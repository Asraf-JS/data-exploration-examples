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raf\Downloads\"/>
    </mc:Choice>
  </mc:AlternateContent>
  <xr:revisionPtr revIDLastSave="0" documentId="13_ncr:9_{8535DF9C-F15F-455D-9914-175C76DD1055}" xr6:coauthVersionLast="47" xr6:coauthVersionMax="47" xr10:uidLastSave="{00000000-0000-0000-0000-000000000000}"/>
  <bookViews>
    <workbookView xWindow="-120" yWindow="-120" windowWidth="29040" windowHeight="15720" activeTab="6" xr2:uid="{4C999086-3DAB-4758-9420-0F3394E18B29}"/>
  </bookViews>
  <sheets>
    <sheet name="Phone_by_Sales (2)" sheetId="8" r:id="rId1"/>
    <sheet name="Sheet1" sheetId="1" r:id="rId2"/>
    <sheet name="Sheet2" sheetId="2" r:id="rId3"/>
    <sheet name="Sheet4" sheetId="4" r:id="rId4"/>
    <sheet name="Phone_by_Sentiment" sheetId="5" r:id="rId5"/>
    <sheet name="Phone_by_Price" sheetId="6" r:id="rId6"/>
    <sheet name="Phone_by_Sal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80" i="8" l="1"/>
  <c r="D1680" i="8" s="1"/>
  <c r="P1680" i="8" s="1"/>
  <c r="A1680" i="8"/>
  <c r="Q1680" i="8" s="1"/>
  <c r="C1679" i="8"/>
  <c r="D1679" i="8" s="1"/>
  <c r="P1679" i="8" s="1"/>
  <c r="Q1679" i="8" s="1"/>
  <c r="A1679" i="8"/>
  <c r="C1678" i="8"/>
  <c r="D1678" i="8" s="1"/>
  <c r="P1678" i="8" s="1"/>
  <c r="A1678" i="8"/>
  <c r="C1677" i="8"/>
  <c r="D1677" i="8" s="1"/>
  <c r="P1677" i="8" s="1"/>
  <c r="A1677" i="8"/>
  <c r="C1676" i="8"/>
  <c r="D1676" i="8" s="1"/>
  <c r="P1676" i="8" s="1"/>
  <c r="Q1676" i="8" s="1"/>
  <c r="A1676" i="8"/>
  <c r="D1675" i="8"/>
  <c r="P1675" i="8" s="1"/>
  <c r="Q1675" i="8" s="1"/>
  <c r="C1675" i="8"/>
  <c r="A1675" i="8"/>
  <c r="C1674" i="8"/>
  <c r="D1674" i="8" s="1"/>
  <c r="P1674" i="8" s="1"/>
  <c r="A1674" i="8"/>
  <c r="D1673" i="8"/>
  <c r="P1673" i="8" s="1"/>
  <c r="C1673" i="8"/>
  <c r="A1673" i="8"/>
  <c r="P1672" i="8"/>
  <c r="Q1672" i="8" s="1"/>
  <c r="D1672" i="8"/>
  <c r="C1672" i="8"/>
  <c r="A1672" i="8"/>
  <c r="D1671" i="8"/>
  <c r="P1671" i="8" s="1"/>
  <c r="C1671" i="8"/>
  <c r="A1671" i="8"/>
  <c r="Q1671" i="8" s="1"/>
  <c r="P1670" i="8"/>
  <c r="Q1670" i="8" s="1"/>
  <c r="C1670" i="8"/>
  <c r="D1670" i="8" s="1"/>
  <c r="A1670" i="8"/>
  <c r="Q1669" i="8"/>
  <c r="P1669" i="8"/>
  <c r="D1669" i="8"/>
  <c r="C1669" i="8"/>
  <c r="A1669" i="8"/>
  <c r="P1668" i="8"/>
  <c r="D1668" i="8"/>
  <c r="C1668" i="8"/>
  <c r="A1668" i="8"/>
  <c r="Q1667" i="8"/>
  <c r="D1667" i="8"/>
  <c r="P1667" i="8" s="1"/>
  <c r="C1667" i="8"/>
  <c r="A1667" i="8"/>
  <c r="C1666" i="8"/>
  <c r="D1666" i="8" s="1"/>
  <c r="P1666" i="8" s="1"/>
  <c r="Q1666" i="8" s="1"/>
  <c r="A1666" i="8"/>
  <c r="Q1665" i="8"/>
  <c r="D1665" i="8"/>
  <c r="P1665" i="8" s="1"/>
  <c r="C1665" i="8"/>
  <c r="A1665" i="8"/>
  <c r="C1664" i="8"/>
  <c r="D1664" i="8" s="1"/>
  <c r="P1664" i="8" s="1"/>
  <c r="A1664" i="8"/>
  <c r="Q1664" i="8" s="1"/>
  <c r="P1663" i="8"/>
  <c r="D1663" i="8"/>
  <c r="C1663" i="8"/>
  <c r="A1663" i="8"/>
  <c r="Q1663" i="8" s="1"/>
  <c r="C1662" i="8"/>
  <c r="D1662" i="8" s="1"/>
  <c r="P1662" i="8" s="1"/>
  <c r="A1662" i="8"/>
  <c r="Q1662" i="8" s="1"/>
  <c r="D1661" i="8"/>
  <c r="P1661" i="8" s="1"/>
  <c r="C1661" i="8"/>
  <c r="A1661" i="8"/>
  <c r="Q1661" i="8" s="1"/>
  <c r="C1660" i="8"/>
  <c r="D1660" i="8" s="1"/>
  <c r="P1660" i="8" s="1"/>
  <c r="Q1660" i="8" s="1"/>
  <c r="A1660" i="8"/>
  <c r="D1659" i="8"/>
  <c r="P1659" i="8" s="1"/>
  <c r="Q1659" i="8" s="1"/>
  <c r="C1659" i="8"/>
  <c r="A1659" i="8"/>
  <c r="C1658" i="8"/>
  <c r="D1658" i="8" s="1"/>
  <c r="P1658" i="8" s="1"/>
  <c r="A1658" i="8"/>
  <c r="D1657" i="8"/>
  <c r="P1657" i="8" s="1"/>
  <c r="C1657" i="8"/>
  <c r="A1657" i="8"/>
  <c r="Q1657" i="8" s="1"/>
  <c r="P1656" i="8"/>
  <c r="Q1656" i="8" s="1"/>
  <c r="C1656" i="8"/>
  <c r="D1656" i="8" s="1"/>
  <c r="A1656" i="8"/>
  <c r="C1655" i="8"/>
  <c r="D1655" i="8" s="1"/>
  <c r="P1655" i="8" s="1"/>
  <c r="A1655" i="8"/>
  <c r="P1654" i="8"/>
  <c r="Q1654" i="8" s="1"/>
  <c r="C1654" i="8"/>
  <c r="D1654" i="8" s="1"/>
  <c r="A1654" i="8"/>
  <c r="Q1653" i="8"/>
  <c r="P1653" i="8"/>
  <c r="D1653" i="8"/>
  <c r="C1653" i="8"/>
  <c r="A1653" i="8"/>
  <c r="D1652" i="8"/>
  <c r="P1652" i="8" s="1"/>
  <c r="C1652" i="8"/>
  <c r="A1652" i="8"/>
  <c r="D1651" i="8"/>
  <c r="P1651" i="8" s="1"/>
  <c r="C1651" i="8"/>
  <c r="A1651" i="8"/>
  <c r="Q1651" i="8" s="1"/>
  <c r="P1650" i="8"/>
  <c r="Q1650" i="8" s="1"/>
  <c r="C1650" i="8"/>
  <c r="D1650" i="8" s="1"/>
  <c r="A1650" i="8"/>
  <c r="D1649" i="8"/>
  <c r="P1649" i="8" s="1"/>
  <c r="C1649" i="8"/>
  <c r="A1649" i="8"/>
  <c r="Q1649" i="8" s="1"/>
  <c r="C1648" i="8"/>
  <c r="D1648" i="8" s="1"/>
  <c r="P1648" i="8" s="1"/>
  <c r="A1648" i="8"/>
  <c r="Q1648" i="8" s="1"/>
  <c r="P1647" i="8"/>
  <c r="D1647" i="8"/>
  <c r="C1647" i="8"/>
  <c r="A1647" i="8"/>
  <c r="C1646" i="8"/>
  <c r="D1646" i="8" s="1"/>
  <c r="P1646" i="8" s="1"/>
  <c r="A1646" i="8"/>
  <c r="C1645" i="8"/>
  <c r="D1645" i="8" s="1"/>
  <c r="P1645" i="8" s="1"/>
  <c r="A1645" i="8"/>
  <c r="Q1644" i="8"/>
  <c r="C1644" i="8"/>
  <c r="D1644" i="8" s="1"/>
  <c r="P1644" i="8" s="1"/>
  <c r="A1644" i="8"/>
  <c r="Q1643" i="8"/>
  <c r="D1643" i="8"/>
  <c r="P1643" i="8" s="1"/>
  <c r="C1643" i="8"/>
  <c r="A1643" i="8"/>
  <c r="C1642" i="8"/>
  <c r="D1642" i="8" s="1"/>
  <c r="P1642" i="8" s="1"/>
  <c r="A1642" i="8"/>
  <c r="D1641" i="8"/>
  <c r="P1641" i="8" s="1"/>
  <c r="C1641" i="8"/>
  <c r="A1641" i="8"/>
  <c r="Q1641" i="8" s="1"/>
  <c r="C1640" i="8"/>
  <c r="D1640" i="8" s="1"/>
  <c r="P1640" i="8" s="1"/>
  <c r="Q1640" i="8" s="1"/>
  <c r="A1640" i="8"/>
  <c r="D1639" i="8"/>
  <c r="P1639" i="8" s="1"/>
  <c r="C1639" i="8"/>
  <c r="A1639" i="8"/>
  <c r="C1638" i="8"/>
  <c r="D1638" i="8" s="1"/>
  <c r="P1638" i="8" s="1"/>
  <c r="Q1638" i="8" s="1"/>
  <c r="A1638" i="8"/>
  <c r="D1637" i="8"/>
  <c r="P1637" i="8" s="1"/>
  <c r="Q1637" i="8" s="1"/>
  <c r="C1637" i="8"/>
  <c r="A1637" i="8"/>
  <c r="P1636" i="8"/>
  <c r="C1636" i="8"/>
  <c r="D1636" i="8" s="1"/>
  <c r="A1636" i="8"/>
  <c r="D1635" i="8"/>
  <c r="P1635" i="8" s="1"/>
  <c r="Q1635" i="8" s="1"/>
  <c r="C1635" i="8"/>
  <c r="A1635" i="8"/>
  <c r="C1634" i="8"/>
  <c r="D1634" i="8" s="1"/>
  <c r="P1634" i="8" s="1"/>
  <c r="Q1634" i="8" s="1"/>
  <c r="A1634" i="8"/>
  <c r="C1633" i="8"/>
  <c r="D1633" i="8" s="1"/>
  <c r="P1633" i="8" s="1"/>
  <c r="A1633" i="8"/>
  <c r="P1632" i="8"/>
  <c r="C1632" i="8"/>
  <c r="D1632" i="8" s="1"/>
  <c r="A1632" i="8"/>
  <c r="Q1632" i="8" s="1"/>
  <c r="Q1631" i="8"/>
  <c r="D1631" i="8"/>
  <c r="P1631" i="8" s="1"/>
  <c r="C1631" i="8"/>
  <c r="A1631" i="8"/>
  <c r="P1630" i="8"/>
  <c r="C1630" i="8"/>
  <c r="D1630" i="8" s="1"/>
  <c r="A1630" i="8"/>
  <c r="D1629" i="8"/>
  <c r="P1629" i="8" s="1"/>
  <c r="Q1629" i="8" s="1"/>
  <c r="C1629" i="8"/>
  <c r="A1629" i="8"/>
  <c r="P1628" i="8"/>
  <c r="Q1628" i="8" s="1"/>
  <c r="C1628" i="8"/>
  <c r="D1628" i="8" s="1"/>
  <c r="A1628" i="8"/>
  <c r="C1627" i="8"/>
  <c r="D1627" i="8" s="1"/>
  <c r="P1627" i="8" s="1"/>
  <c r="A1627" i="8"/>
  <c r="Q1627" i="8" s="1"/>
  <c r="Q1626" i="8"/>
  <c r="C1626" i="8"/>
  <c r="D1626" i="8" s="1"/>
  <c r="P1626" i="8" s="1"/>
  <c r="A1626" i="8"/>
  <c r="C1625" i="8"/>
  <c r="D1625" i="8" s="1"/>
  <c r="P1625" i="8" s="1"/>
  <c r="A1625" i="8"/>
  <c r="C1624" i="8"/>
  <c r="D1624" i="8" s="1"/>
  <c r="P1624" i="8" s="1"/>
  <c r="A1624" i="8"/>
  <c r="Q1624" i="8" s="1"/>
  <c r="P1623" i="8"/>
  <c r="D1623" i="8"/>
  <c r="C1623" i="8"/>
  <c r="A1623" i="8"/>
  <c r="C1622" i="8"/>
  <c r="D1622" i="8" s="1"/>
  <c r="P1622" i="8" s="1"/>
  <c r="A1622" i="8"/>
  <c r="Q1622" i="8" s="1"/>
  <c r="C1621" i="8"/>
  <c r="D1621" i="8" s="1"/>
  <c r="P1621" i="8" s="1"/>
  <c r="Q1621" i="8" s="1"/>
  <c r="A1621" i="8"/>
  <c r="Q1620" i="8"/>
  <c r="D1620" i="8"/>
  <c r="P1620" i="8" s="1"/>
  <c r="C1620" i="8"/>
  <c r="A1620" i="8"/>
  <c r="D1619" i="8"/>
  <c r="P1619" i="8" s="1"/>
  <c r="C1619" i="8"/>
  <c r="A1619" i="8"/>
  <c r="D1618" i="8"/>
  <c r="P1618" i="8" s="1"/>
  <c r="C1618" i="8"/>
  <c r="A1618" i="8"/>
  <c r="D1617" i="8"/>
  <c r="P1617" i="8" s="1"/>
  <c r="Q1617" i="8" s="1"/>
  <c r="C1617" i="8"/>
  <c r="A1617" i="8"/>
  <c r="Q1616" i="8"/>
  <c r="P1616" i="8"/>
  <c r="C1616" i="8"/>
  <c r="D1616" i="8" s="1"/>
  <c r="A1616" i="8"/>
  <c r="P1615" i="8"/>
  <c r="Q1615" i="8" s="1"/>
  <c r="C1615" i="8"/>
  <c r="D1615" i="8" s="1"/>
  <c r="A1615" i="8"/>
  <c r="Q1614" i="8"/>
  <c r="P1614" i="8"/>
  <c r="C1614" i="8"/>
  <c r="D1614" i="8" s="1"/>
  <c r="A1614" i="8"/>
  <c r="Q1613" i="8"/>
  <c r="P1613" i="8"/>
  <c r="C1613" i="8"/>
  <c r="D1613" i="8" s="1"/>
  <c r="A1613" i="8"/>
  <c r="P1612" i="8"/>
  <c r="Q1612" i="8" s="1"/>
  <c r="D1612" i="8"/>
  <c r="C1612" i="8"/>
  <c r="A1612" i="8"/>
  <c r="C1611" i="8"/>
  <c r="D1611" i="8" s="1"/>
  <c r="P1611" i="8" s="1"/>
  <c r="A1611" i="8"/>
  <c r="D1610" i="8"/>
  <c r="P1610" i="8" s="1"/>
  <c r="C1610" i="8"/>
  <c r="A1610" i="8"/>
  <c r="Q1610" i="8" s="1"/>
  <c r="Q1609" i="8"/>
  <c r="C1609" i="8"/>
  <c r="D1609" i="8" s="1"/>
  <c r="P1609" i="8" s="1"/>
  <c r="A1609" i="8"/>
  <c r="C1608" i="8"/>
  <c r="D1608" i="8" s="1"/>
  <c r="P1608" i="8" s="1"/>
  <c r="A1608" i="8"/>
  <c r="P1607" i="8"/>
  <c r="D1607" i="8"/>
  <c r="C1607" i="8"/>
  <c r="A1607" i="8"/>
  <c r="C1606" i="8"/>
  <c r="D1606" i="8" s="1"/>
  <c r="P1606" i="8" s="1"/>
  <c r="A1606" i="8"/>
  <c r="Q1606" i="8" s="1"/>
  <c r="C1605" i="8"/>
  <c r="D1605" i="8" s="1"/>
  <c r="P1605" i="8" s="1"/>
  <c r="Q1605" i="8" s="1"/>
  <c r="A1605" i="8"/>
  <c r="D1604" i="8"/>
  <c r="P1604" i="8" s="1"/>
  <c r="Q1604" i="8" s="1"/>
  <c r="C1604" i="8"/>
  <c r="A1604" i="8"/>
  <c r="C1603" i="8"/>
  <c r="D1603" i="8" s="1"/>
  <c r="P1603" i="8" s="1"/>
  <c r="A1603" i="8"/>
  <c r="D1602" i="8"/>
  <c r="P1602" i="8" s="1"/>
  <c r="C1602" i="8"/>
  <c r="A1602" i="8"/>
  <c r="Q1602" i="8" s="1"/>
  <c r="D1601" i="8"/>
  <c r="P1601" i="8" s="1"/>
  <c r="Q1601" i="8" s="1"/>
  <c r="C1601" i="8"/>
  <c r="A1601" i="8"/>
  <c r="C1600" i="8"/>
  <c r="D1600" i="8" s="1"/>
  <c r="P1600" i="8" s="1"/>
  <c r="A1600" i="8"/>
  <c r="Q1600" i="8" s="1"/>
  <c r="C1599" i="8"/>
  <c r="D1599" i="8" s="1"/>
  <c r="P1599" i="8" s="1"/>
  <c r="Q1599" i="8" s="1"/>
  <c r="A1599" i="8"/>
  <c r="Q1598" i="8"/>
  <c r="P1598" i="8"/>
  <c r="D1598" i="8"/>
  <c r="C1598" i="8"/>
  <c r="A1598" i="8"/>
  <c r="C1597" i="8"/>
  <c r="D1597" i="8" s="1"/>
  <c r="P1597" i="8" s="1"/>
  <c r="A1597" i="8"/>
  <c r="Q1597" i="8" s="1"/>
  <c r="C1596" i="8"/>
  <c r="D1596" i="8" s="1"/>
  <c r="P1596" i="8" s="1"/>
  <c r="A1596" i="8"/>
  <c r="Q1595" i="8"/>
  <c r="P1595" i="8"/>
  <c r="C1595" i="8"/>
  <c r="D1595" i="8" s="1"/>
  <c r="A1595" i="8"/>
  <c r="C1594" i="8"/>
  <c r="D1594" i="8" s="1"/>
  <c r="P1594" i="8" s="1"/>
  <c r="A1594" i="8"/>
  <c r="C1593" i="8"/>
  <c r="D1593" i="8" s="1"/>
  <c r="P1593" i="8" s="1"/>
  <c r="A1593" i="8"/>
  <c r="Q1593" i="8" s="1"/>
  <c r="P1592" i="8"/>
  <c r="Q1592" i="8" s="1"/>
  <c r="D1592" i="8"/>
  <c r="C1592" i="8"/>
  <c r="A1592" i="8"/>
  <c r="C1591" i="8"/>
  <c r="D1591" i="8" s="1"/>
  <c r="P1591" i="8" s="1"/>
  <c r="A1591" i="8"/>
  <c r="Q1591" i="8" s="1"/>
  <c r="C1590" i="8"/>
  <c r="D1590" i="8" s="1"/>
  <c r="P1590" i="8" s="1"/>
  <c r="A1590" i="8"/>
  <c r="C1589" i="8"/>
  <c r="D1589" i="8" s="1"/>
  <c r="P1589" i="8" s="1"/>
  <c r="A1589" i="8"/>
  <c r="C1588" i="8"/>
  <c r="D1588" i="8" s="1"/>
  <c r="P1588" i="8" s="1"/>
  <c r="Q1588" i="8" s="1"/>
  <c r="A1588" i="8"/>
  <c r="C1587" i="8"/>
  <c r="D1587" i="8" s="1"/>
  <c r="P1587" i="8" s="1"/>
  <c r="A1587" i="8"/>
  <c r="D1586" i="8"/>
  <c r="P1586" i="8" s="1"/>
  <c r="C1586" i="8"/>
  <c r="A1586" i="8"/>
  <c r="D1585" i="8"/>
  <c r="P1585" i="8" s="1"/>
  <c r="C1585" i="8"/>
  <c r="A1585" i="8"/>
  <c r="Q1585" i="8" s="1"/>
  <c r="C1584" i="8"/>
  <c r="D1584" i="8" s="1"/>
  <c r="P1584" i="8" s="1"/>
  <c r="Q1584" i="8" s="1"/>
  <c r="A1584" i="8"/>
  <c r="P1583" i="8"/>
  <c r="D1583" i="8"/>
  <c r="C1583" i="8"/>
  <c r="A1583" i="8"/>
  <c r="P1582" i="8"/>
  <c r="Q1582" i="8" s="1"/>
  <c r="D1582" i="8"/>
  <c r="C1582" i="8"/>
  <c r="A1582" i="8"/>
  <c r="D1581" i="8"/>
  <c r="P1581" i="8" s="1"/>
  <c r="Q1581" i="8" s="1"/>
  <c r="C1581" i="8"/>
  <c r="A1581" i="8"/>
  <c r="P1580" i="8"/>
  <c r="D1580" i="8"/>
  <c r="C1580" i="8"/>
  <c r="A1580" i="8"/>
  <c r="Q1580" i="8" s="1"/>
  <c r="Q1579" i="8"/>
  <c r="P1579" i="8"/>
  <c r="D1579" i="8"/>
  <c r="C1579" i="8"/>
  <c r="A1579" i="8"/>
  <c r="P1578" i="8"/>
  <c r="C1578" i="8"/>
  <c r="D1578" i="8" s="1"/>
  <c r="A1578" i="8"/>
  <c r="P1577" i="8"/>
  <c r="Q1577" i="8" s="1"/>
  <c r="C1577" i="8"/>
  <c r="D1577" i="8" s="1"/>
  <c r="A1577" i="8"/>
  <c r="C1576" i="8"/>
  <c r="D1576" i="8" s="1"/>
  <c r="P1576" i="8" s="1"/>
  <c r="Q1576" i="8" s="1"/>
  <c r="A1576" i="8"/>
  <c r="C1575" i="8"/>
  <c r="D1575" i="8" s="1"/>
  <c r="P1575" i="8" s="1"/>
  <c r="A1575" i="8"/>
  <c r="D1574" i="8"/>
  <c r="P1574" i="8" s="1"/>
  <c r="Q1574" i="8" s="1"/>
  <c r="C1574" i="8"/>
  <c r="A1574" i="8"/>
  <c r="D1573" i="8"/>
  <c r="P1573" i="8" s="1"/>
  <c r="C1573" i="8"/>
  <c r="A1573" i="8"/>
  <c r="Q1573" i="8" s="1"/>
  <c r="Q1572" i="8"/>
  <c r="C1572" i="8"/>
  <c r="D1572" i="8" s="1"/>
  <c r="P1572" i="8" s="1"/>
  <c r="A1572" i="8"/>
  <c r="Q1571" i="8"/>
  <c r="P1571" i="8"/>
  <c r="D1571" i="8"/>
  <c r="C1571" i="8"/>
  <c r="A1571" i="8"/>
  <c r="D1570" i="8"/>
  <c r="P1570" i="8" s="1"/>
  <c r="C1570" i="8"/>
  <c r="A1570" i="8"/>
  <c r="P1569" i="8"/>
  <c r="D1569" i="8"/>
  <c r="C1569" i="8"/>
  <c r="A1569" i="8"/>
  <c r="C1568" i="8"/>
  <c r="D1568" i="8" s="1"/>
  <c r="P1568" i="8" s="1"/>
  <c r="A1568" i="8"/>
  <c r="Q1568" i="8" s="1"/>
  <c r="Q1567" i="8"/>
  <c r="P1567" i="8"/>
  <c r="C1567" i="8"/>
  <c r="D1567" i="8" s="1"/>
  <c r="A1567" i="8"/>
  <c r="P1566" i="8"/>
  <c r="D1566" i="8"/>
  <c r="C1566" i="8"/>
  <c r="A1566" i="8"/>
  <c r="Q1566" i="8" s="1"/>
  <c r="D1565" i="8"/>
  <c r="P1565" i="8" s="1"/>
  <c r="C1565" i="8"/>
  <c r="A1565" i="8"/>
  <c r="Q1565" i="8" s="1"/>
  <c r="C1564" i="8"/>
  <c r="D1564" i="8" s="1"/>
  <c r="P1564" i="8" s="1"/>
  <c r="Q1564" i="8" s="1"/>
  <c r="A1564" i="8"/>
  <c r="C1563" i="8"/>
  <c r="D1563" i="8" s="1"/>
  <c r="P1563" i="8" s="1"/>
  <c r="Q1563" i="8" s="1"/>
  <c r="A1563" i="8"/>
  <c r="C1562" i="8"/>
  <c r="D1562" i="8" s="1"/>
  <c r="P1562" i="8" s="1"/>
  <c r="A1562" i="8"/>
  <c r="C1561" i="8"/>
  <c r="D1561" i="8" s="1"/>
  <c r="P1561" i="8" s="1"/>
  <c r="A1561" i="8"/>
  <c r="D1560" i="8"/>
  <c r="P1560" i="8" s="1"/>
  <c r="Q1560" i="8" s="1"/>
  <c r="C1560" i="8"/>
  <c r="A1560" i="8"/>
  <c r="D1559" i="8"/>
  <c r="P1559" i="8" s="1"/>
  <c r="Q1559" i="8" s="1"/>
  <c r="C1559" i="8"/>
  <c r="A1559" i="8"/>
  <c r="C1558" i="8"/>
  <c r="D1558" i="8" s="1"/>
  <c r="P1558" i="8" s="1"/>
  <c r="Q1558" i="8" s="1"/>
  <c r="A1558" i="8"/>
  <c r="D1557" i="8"/>
  <c r="P1557" i="8" s="1"/>
  <c r="C1557" i="8"/>
  <c r="A1557" i="8"/>
  <c r="Q1557" i="8" s="1"/>
  <c r="C1556" i="8"/>
  <c r="D1556" i="8" s="1"/>
  <c r="P1556" i="8" s="1"/>
  <c r="Q1556" i="8" s="1"/>
  <c r="A1556" i="8"/>
  <c r="C1555" i="8"/>
  <c r="D1555" i="8" s="1"/>
  <c r="P1555" i="8" s="1"/>
  <c r="A1555" i="8"/>
  <c r="C1554" i="8"/>
  <c r="D1554" i="8" s="1"/>
  <c r="P1554" i="8" s="1"/>
  <c r="Q1554" i="8" s="1"/>
  <c r="A1554" i="8"/>
  <c r="C1553" i="8"/>
  <c r="D1553" i="8" s="1"/>
  <c r="P1553" i="8" s="1"/>
  <c r="Q1553" i="8" s="1"/>
  <c r="A1553" i="8"/>
  <c r="Q1552" i="8"/>
  <c r="P1552" i="8"/>
  <c r="C1552" i="8"/>
  <c r="D1552" i="8" s="1"/>
  <c r="A1552" i="8"/>
  <c r="Q1551" i="8"/>
  <c r="C1551" i="8"/>
  <c r="D1551" i="8" s="1"/>
  <c r="P1551" i="8" s="1"/>
  <c r="A1551" i="8"/>
  <c r="P1550" i="8"/>
  <c r="D1550" i="8"/>
  <c r="C1550" i="8"/>
  <c r="A1550" i="8"/>
  <c r="Q1550" i="8" s="1"/>
  <c r="Q1549" i="8"/>
  <c r="D1549" i="8"/>
  <c r="P1549" i="8" s="1"/>
  <c r="C1549" i="8"/>
  <c r="A1549" i="8"/>
  <c r="D1548" i="8"/>
  <c r="P1548" i="8" s="1"/>
  <c r="C1548" i="8"/>
  <c r="A1548" i="8"/>
  <c r="C1547" i="8"/>
  <c r="D1547" i="8" s="1"/>
  <c r="P1547" i="8" s="1"/>
  <c r="Q1547" i="8" s="1"/>
  <c r="A1547" i="8"/>
  <c r="C1546" i="8"/>
  <c r="D1546" i="8" s="1"/>
  <c r="P1546" i="8" s="1"/>
  <c r="A1546" i="8"/>
  <c r="Q1545" i="8"/>
  <c r="C1545" i="8"/>
  <c r="D1545" i="8" s="1"/>
  <c r="P1545" i="8" s="1"/>
  <c r="A1545" i="8"/>
  <c r="C1544" i="8"/>
  <c r="D1544" i="8" s="1"/>
  <c r="P1544" i="8" s="1"/>
  <c r="Q1544" i="8" s="1"/>
  <c r="A1544" i="8"/>
  <c r="P1543" i="8"/>
  <c r="D1543" i="8"/>
  <c r="C1543" i="8"/>
  <c r="A1543" i="8"/>
  <c r="Q1543" i="8" s="1"/>
  <c r="C1542" i="8"/>
  <c r="D1542" i="8" s="1"/>
  <c r="P1542" i="8" s="1"/>
  <c r="Q1542" i="8" s="1"/>
  <c r="A1542" i="8"/>
  <c r="D1541" i="8"/>
  <c r="P1541" i="8" s="1"/>
  <c r="C1541" i="8"/>
  <c r="A1541" i="8"/>
  <c r="P1540" i="8"/>
  <c r="C1540" i="8"/>
  <c r="D1540" i="8" s="1"/>
  <c r="A1540" i="8"/>
  <c r="Q1540" i="8" s="1"/>
  <c r="D1539" i="8"/>
  <c r="P1539" i="8" s="1"/>
  <c r="C1539" i="8"/>
  <c r="A1539" i="8"/>
  <c r="D1538" i="8"/>
  <c r="P1538" i="8" s="1"/>
  <c r="C1538" i="8"/>
  <c r="A1538" i="8"/>
  <c r="C1537" i="8"/>
  <c r="D1537" i="8" s="1"/>
  <c r="P1537" i="8" s="1"/>
  <c r="Q1537" i="8" s="1"/>
  <c r="A1537" i="8"/>
  <c r="C1536" i="8"/>
  <c r="D1536" i="8" s="1"/>
  <c r="P1536" i="8" s="1"/>
  <c r="Q1536" i="8" s="1"/>
  <c r="A1536" i="8"/>
  <c r="D1535" i="8"/>
  <c r="P1535" i="8" s="1"/>
  <c r="C1535" i="8"/>
  <c r="A1535" i="8"/>
  <c r="D1534" i="8"/>
  <c r="P1534" i="8" s="1"/>
  <c r="Q1534" i="8" s="1"/>
  <c r="C1534" i="8"/>
  <c r="A1534" i="8"/>
  <c r="D1533" i="8"/>
  <c r="P1533" i="8" s="1"/>
  <c r="C1533" i="8"/>
  <c r="A1533" i="8"/>
  <c r="D1532" i="8"/>
  <c r="P1532" i="8" s="1"/>
  <c r="C1532" i="8"/>
  <c r="A1532" i="8"/>
  <c r="C1531" i="8"/>
  <c r="D1531" i="8" s="1"/>
  <c r="P1531" i="8" s="1"/>
  <c r="A1531" i="8"/>
  <c r="Q1530" i="8"/>
  <c r="D1530" i="8"/>
  <c r="P1530" i="8" s="1"/>
  <c r="C1530" i="8"/>
  <c r="A1530" i="8"/>
  <c r="C1529" i="8"/>
  <c r="D1529" i="8" s="1"/>
  <c r="P1529" i="8" s="1"/>
  <c r="A1529" i="8"/>
  <c r="D1528" i="8"/>
  <c r="P1528" i="8" s="1"/>
  <c r="Q1528" i="8" s="1"/>
  <c r="C1528" i="8"/>
  <c r="A1528" i="8"/>
  <c r="D1527" i="8"/>
  <c r="P1527" i="8" s="1"/>
  <c r="C1527" i="8"/>
  <c r="A1527" i="8"/>
  <c r="C1526" i="8"/>
  <c r="D1526" i="8" s="1"/>
  <c r="P1526" i="8" s="1"/>
  <c r="Q1526" i="8" s="1"/>
  <c r="A1526" i="8"/>
  <c r="P1525" i="8"/>
  <c r="C1525" i="8"/>
  <c r="D1525" i="8" s="1"/>
  <c r="A1525" i="8"/>
  <c r="Q1524" i="8"/>
  <c r="C1524" i="8"/>
  <c r="D1524" i="8" s="1"/>
  <c r="P1524" i="8" s="1"/>
  <c r="A1524" i="8"/>
  <c r="Q1523" i="8"/>
  <c r="C1523" i="8"/>
  <c r="D1523" i="8" s="1"/>
  <c r="P1523" i="8" s="1"/>
  <c r="A1523" i="8"/>
  <c r="D1522" i="8"/>
  <c r="P1522" i="8" s="1"/>
  <c r="C1522" i="8"/>
  <c r="A1522" i="8"/>
  <c r="Q1522" i="8" s="1"/>
  <c r="C1521" i="8"/>
  <c r="D1521" i="8" s="1"/>
  <c r="P1521" i="8" s="1"/>
  <c r="A1521" i="8"/>
  <c r="D1520" i="8"/>
  <c r="P1520" i="8" s="1"/>
  <c r="C1520" i="8"/>
  <c r="A1520" i="8"/>
  <c r="D1519" i="8"/>
  <c r="P1519" i="8" s="1"/>
  <c r="C1519" i="8"/>
  <c r="A1519" i="8"/>
  <c r="Q1519" i="8" s="1"/>
  <c r="D1518" i="8"/>
  <c r="P1518" i="8" s="1"/>
  <c r="C1518" i="8"/>
  <c r="A1518" i="8"/>
  <c r="Q1518" i="8" s="1"/>
  <c r="C1517" i="8"/>
  <c r="D1517" i="8" s="1"/>
  <c r="P1517" i="8" s="1"/>
  <c r="Q1517" i="8" s="1"/>
  <c r="A1517" i="8"/>
  <c r="C1516" i="8"/>
  <c r="D1516" i="8" s="1"/>
  <c r="P1516" i="8" s="1"/>
  <c r="A1516" i="8"/>
  <c r="C1515" i="8"/>
  <c r="D1515" i="8" s="1"/>
  <c r="P1515" i="8" s="1"/>
  <c r="Q1515" i="8" s="1"/>
  <c r="A1515" i="8"/>
  <c r="Q1514" i="8"/>
  <c r="D1514" i="8"/>
  <c r="P1514" i="8" s="1"/>
  <c r="C1514" i="8"/>
  <c r="A1514" i="8"/>
  <c r="C1513" i="8"/>
  <c r="D1513" i="8" s="1"/>
  <c r="P1513" i="8" s="1"/>
  <c r="Q1513" i="8" s="1"/>
  <c r="A1513" i="8"/>
  <c r="D1512" i="8"/>
  <c r="P1512" i="8" s="1"/>
  <c r="Q1512" i="8" s="1"/>
  <c r="C1512" i="8"/>
  <c r="A1512" i="8"/>
  <c r="C1511" i="8"/>
  <c r="D1511" i="8" s="1"/>
  <c r="P1511" i="8" s="1"/>
  <c r="A1511" i="8"/>
  <c r="D1510" i="8"/>
  <c r="P1510" i="8" s="1"/>
  <c r="C1510" i="8"/>
  <c r="A1510" i="8"/>
  <c r="P1509" i="8"/>
  <c r="D1509" i="8"/>
  <c r="C1509" i="8"/>
  <c r="A1509" i="8"/>
  <c r="C1508" i="8"/>
  <c r="D1508" i="8" s="1"/>
  <c r="P1508" i="8" s="1"/>
  <c r="Q1508" i="8" s="1"/>
  <c r="A1508" i="8"/>
  <c r="Q1507" i="8"/>
  <c r="C1507" i="8"/>
  <c r="D1507" i="8" s="1"/>
  <c r="P1507" i="8" s="1"/>
  <c r="A1507" i="8"/>
  <c r="Q1506" i="8"/>
  <c r="C1506" i="8"/>
  <c r="D1506" i="8" s="1"/>
  <c r="P1506" i="8" s="1"/>
  <c r="A1506" i="8"/>
  <c r="Q1505" i="8"/>
  <c r="D1505" i="8"/>
  <c r="P1505" i="8" s="1"/>
  <c r="C1505" i="8"/>
  <c r="A1505" i="8"/>
  <c r="D1504" i="8"/>
  <c r="P1504" i="8" s="1"/>
  <c r="Q1504" i="8" s="1"/>
  <c r="C1504" i="8"/>
  <c r="A1504" i="8"/>
  <c r="D1503" i="8"/>
  <c r="P1503" i="8" s="1"/>
  <c r="C1503" i="8"/>
  <c r="A1503" i="8"/>
  <c r="Q1503" i="8" s="1"/>
  <c r="C1502" i="8"/>
  <c r="D1502" i="8" s="1"/>
  <c r="P1502" i="8" s="1"/>
  <c r="Q1502" i="8" s="1"/>
  <c r="A1502" i="8"/>
  <c r="Q1501" i="8"/>
  <c r="D1501" i="8"/>
  <c r="P1501" i="8" s="1"/>
  <c r="C1501" i="8"/>
  <c r="A1501" i="8"/>
  <c r="C1500" i="8"/>
  <c r="D1500" i="8" s="1"/>
  <c r="P1500" i="8" s="1"/>
  <c r="A1500" i="8"/>
  <c r="C1499" i="8"/>
  <c r="D1499" i="8" s="1"/>
  <c r="P1499" i="8" s="1"/>
  <c r="Q1499" i="8" s="1"/>
  <c r="A1499" i="8"/>
  <c r="C1498" i="8"/>
  <c r="D1498" i="8" s="1"/>
  <c r="P1498" i="8" s="1"/>
  <c r="A1498" i="8"/>
  <c r="C1497" i="8"/>
  <c r="D1497" i="8" s="1"/>
  <c r="P1497" i="8" s="1"/>
  <c r="A1497" i="8"/>
  <c r="Q1496" i="8"/>
  <c r="C1496" i="8"/>
  <c r="D1496" i="8" s="1"/>
  <c r="P1496" i="8" s="1"/>
  <c r="A1496" i="8"/>
  <c r="D1495" i="8"/>
  <c r="P1495" i="8" s="1"/>
  <c r="Q1495" i="8" s="1"/>
  <c r="C1495" i="8"/>
  <c r="A1495" i="8"/>
  <c r="P1494" i="8"/>
  <c r="D1494" i="8"/>
  <c r="C1494" i="8"/>
  <c r="A1494" i="8"/>
  <c r="D1493" i="8"/>
  <c r="P1493" i="8" s="1"/>
  <c r="C1493" i="8"/>
  <c r="A1493" i="8"/>
  <c r="Q1493" i="8" s="1"/>
  <c r="P1492" i="8"/>
  <c r="Q1492" i="8" s="1"/>
  <c r="C1492" i="8"/>
  <c r="D1492" i="8" s="1"/>
  <c r="A1492" i="8"/>
  <c r="Q1491" i="8"/>
  <c r="P1491" i="8"/>
  <c r="D1491" i="8"/>
  <c r="C1491" i="8"/>
  <c r="A1491" i="8"/>
  <c r="C1490" i="8"/>
  <c r="D1490" i="8" s="1"/>
  <c r="P1490" i="8" s="1"/>
  <c r="A1490" i="8"/>
  <c r="P1489" i="8"/>
  <c r="Q1489" i="8" s="1"/>
  <c r="D1489" i="8"/>
  <c r="C1489" i="8"/>
  <c r="A1489" i="8"/>
  <c r="P1488" i="8"/>
  <c r="Q1488" i="8" s="1"/>
  <c r="D1488" i="8"/>
  <c r="C1488" i="8"/>
  <c r="A1488" i="8"/>
  <c r="C1487" i="8"/>
  <c r="D1487" i="8" s="1"/>
  <c r="P1487" i="8" s="1"/>
  <c r="A1487" i="8"/>
  <c r="D1486" i="8"/>
  <c r="P1486" i="8" s="1"/>
  <c r="Q1486" i="8" s="1"/>
  <c r="C1486" i="8"/>
  <c r="A1486" i="8"/>
  <c r="Q1485" i="8"/>
  <c r="D1485" i="8"/>
  <c r="P1485" i="8" s="1"/>
  <c r="C1485" i="8"/>
  <c r="A1485" i="8"/>
  <c r="C1484" i="8"/>
  <c r="D1484" i="8" s="1"/>
  <c r="P1484" i="8" s="1"/>
  <c r="A1484" i="8"/>
  <c r="Q1484" i="8" s="1"/>
  <c r="C1483" i="8"/>
  <c r="D1483" i="8" s="1"/>
  <c r="P1483" i="8" s="1"/>
  <c r="Q1483" i="8" s="1"/>
  <c r="A1483" i="8"/>
  <c r="D1482" i="8"/>
  <c r="P1482" i="8" s="1"/>
  <c r="C1482" i="8"/>
  <c r="A1482" i="8"/>
  <c r="Q1482" i="8" s="1"/>
  <c r="C1481" i="8"/>
  <c r="D1481" i="8" s="1"/>
  <c r="P1481" i="8" s="1"/>
  <c r="A1481" i="8"/>
  <c r="Q1481" i="8" s="1"/>
  <c r="P1480" i="8"/>
  <c r="C1480" i="8"/>
  <c r="D1480" i="8" s="1"/>
  <c r="A1480" i="8"/>
  <c r="D1479" i="8"/>
  <c r="P1479" i="8" s="1"/>
  <c r="C1479" i="8"/>
  <c r="A1479" i="8"/>
  <c r="D1478" i="8"/>
  <c r="P1478" i="8" s="1"/>
  <c r="Q1478" i="8" s="1"/>
  <c r="C1478" i="8"/>
  <c r="A1478" i="8"/>
  <c r="Q1477" i="8"/>
  <c r="P1477" i="8"/>
  <c r="D1477" i="8"/>
  <c r="C1477" i="8"/>
  <c r="A1477" i="8"/>
  <c r="D1476" i="8"/>
  <c r="P1476" i="8" s="1"/>
  <c r="C1476" i="8"/>
  <c r="A1476" i="8"/>
  <c r="D1475" i="8"/>
  <c r="P1475" i="8" s="1"/>
  <c r="C1475" i="8"/>
  <c r="A1475" i="8"/>
  <c r="Q1475" i="8" s="1"/>
  <c r="Q1474" i="8"/>
  <c r="C1474" i="8"/>
  <c r="D1474" i="8" s="1"/>
  <c r="P1474" i="8" s="1"/>
  <c r="A1474" i="8"/>
  <c r="Q1473" i="8"/>
  <c r="C1473" i="8"/>
  <c r="D1473" i="8" s="1"/>
  <c r="P1473" i="8" s="1"/>
  <c r="A1473" i="8"/>
  <c r="C1472" i="8"/>
  <c r="D1472" i="8" s="1"/>
  <c r="P1472" i="8" s="1"/>
  <c r="A1472" i="8"/>
  <c r="C1471" i="8"/>
  <c r="D1471" i="8" s="1"/>
  <c r="P1471" i="8" s="1"/>
  <c r="A1471" i="8"/>
  <c r="Q1471" i="8" s="1"/>
  <c r="D1470" i="8"/>
  <c r="P1470" i="8" s="1"/>
  <c r="Q1470" i="8" s="1"/>
  <c r="C1470" i="8"/>
  <c r="A1470" i="8"/>
  <c r="C1469" i="8"/>
  <c r="D1469" i="8" s="1"/>
  <c r="P1469" i="8" s="1"/>
  <c r="Q1469" i="8" s="1"/>
  <c r="A1469" i="8"/>
  <c r="D1468" i="8"/>
  <c r="P1468" i="8" s="1"/>
  <c r="C1468" i="8"/>
  <c r="A1468" i="8"/>
  <c r="D1467" i="8"/>
  <c r="P1467" i="8" s="1"/>
  <c r="Q1467" i="8" s="1"/>
  <c r="C1467" i="8"/>
  <c r="A1467" i="8"/>
  <c r="D1466" i="8"/>
  <c r="P1466" i="8" s="1"/>
  <c r="C1466" i="8"/>
  <c r="A1466" i="8"/>
  <c r="Q1466" i="8" s="1"/>
  <c r="C1465" i="8"/>
  <c r="D1465" i="8" s="1"/>
  <c r="P1465" i="8" s="1"/>
  <c r="Q1465" i="8" s="1"/>
  <c r="A1465" i="8"/>
  <c r="D1464" i="8"/>
  <c r="P1464" i="8" s="1"/>
  <c r="C1464" i="8"/>
  <c r="A1464" i="8"/>
  <c r="C1463" i="8"/>
  <c r="D1463" i="8" s="1"/>
  <c r="P1463" i="8" s="1"/>
  <c r="Q1463" i="8" s="1"/>
  <c r="A1463" i="8"/>
  <c r="D1462" i="8"/>
  <c r="P1462" i="8" s="1"/>
  <c r="Q1462" i="8" s="1"/>
  <c r="C1462" i="8"/>
  <c r="A1462" i="8"/>
  <c r="P1461" i="8"/>
  <c r="Q1461" i="8" s="1"/>
  <c r="D1461" i="8"/>
  <c r="C1461" i="8"/>
  <c r="A1461" i="8"/>
  <c r="C1460" i="8"/>
  <c r="D1460" i="8" s="1"/>
  <c r="P1460" i="8" s="1"/>
  <c r="A1460" i="8"/>
  <c r="D1459" i="8"/>
  <c r="P1459" i="8" s="1"/>
  <c r="C1459" i="8"/>
  <c r="A1459" i="8"/>
  <c r="D1458" i="8"/>
  <c r="P1458" i="8" s="1"/>
  <c r="Q1458" i="8" s="1"/>
  <c r="C1458" i="8"/>
  <c r="A1458" i="8"/>
  <c r="D1457" i="8"/>
  <c r="P1457" i="8" s="1"/>
  <c r="C1457" i="8"/>
  <c r="A1457" i="8"/>
  <c r="C1456" i="8"/>
  <c r="D1456" i="8" s="1"/>
  <c r="P1456" i="8" s="1"/>
  <c r="Q1456" i="8" s="1"/>
  <c r="A1456" i="8"/>
  <c r="P1455" i="8"/>
  <c r="D1455" i="8"/>
  <c r="C1455" i="8"/>
  <c r="A1455" i="8"/>
  <c r="Q1455" i="8" s="1"/>
  <c r="D1454" i="8"/>
  <c r="P1454" i="8" s="1"/>
  <c r="C1454" i="8"/>
  <c r="A1454" i="8"/>
  <c r="D1453" i="8"/>
  <c r="P1453" i="8" s="1"/>
  <c r="C1453" i="8"/>
  <c r="A1453" i="8"/>
  <c r="Q1453" i="8" s="1"/>
  <c r="C1452" i="8"/>
  <c r="D1452" i="8" s="1"/>
  <c r="P1452" i="8" s="1"/>
  <c r="A1452" i="8"/>
  <c r="D1451" i="8"/>
  <c r="P1451" i="8" s="1"/>
  <c r="Q1451" i="8" s="1"/>
  <c r="C1451" i="8"/>
  <c r="A1451" i="8"/>
  <c r="Q1450" i="8"/>
  <c r="C1450" i="8"/>
  <c r="D1450" i="8" s="1"/>
  <c r="P1450" i="8" s="1"/>
  <c r="A1450" i="8"/>
  <c r="D1449" i="8"/>
  <c r="P1449" i="8" s="1"/>
  <c r="C1449" i="8"/>
  <c r="A1449" i="8"/>
  <c r="P1448" i="8"/>
  <c r="D1448" i="8"/>
  <c r="C1448" i="8"/>
  <c r="A1448" i="8"/>
  <c r="Q1448" i="8" s="1"/>
  <c r="D1447" i="8"/>
  <c r="P1447" i="8" s="1"/>
  <c r="C1447" i="8"/>
  <c r="A1447" i="8"/>
  <c r="P1446" i="8"/>
  <c r="Q1446" i="8" s="1"/>
  <c r="C1446" i="8"/>
  <c r="D1446" i="8" s="1"/>
  <c r="A1446" i="8"/>
  <c r="D1445" i="8"/>
  <c r="P1445" i="8" s="1"/>
  <c r="Q1445" i="8" s="1"/>
  <c r="C1445" i="8"/>
  <c r="A1445" i="8"/>
  <c r="D1444" i="8"/>
  <c r="P1444" i="8" s="1"/>
  <c r="C1444" i="8"/>
  <c r="A1444" i="8"/>
  <c r="D1443" i="8"/>
  <c r="P1443" i="8" s="1"/>
  <c r="C1443" i="8"/>
  <c r="A1443" i="8"/>
  <c r="P1442" i="8"/>
  <c r="Q1442" i="8" s="1"/>
  <c r="D1442" i="8"/>
  <c r="C1442" i="8"/>
  <c r="A1442" i="8"/>
  <c r="C1441" i="8"/>
  <c r="D1441" i="8" s="1"/>
  <c r="P1441" i="8" s="1"/>
  <c r="A1441" i="8"/>
  <c r="Q1441" i="8" s="1"/>
  <c r="Q1440" i="8"/>
  <c r="P1440" i="8"/>
  <c r="C1440" i="8"/>
  <c r="D1440" i="8" s="1"/>
  <c r="A1440" i="8"/>
  <c r="P1439" i="8"/>
  <c r="C1439" i="8"/>
  <c r="D1439" i="8" s="1"/>
  <c r="A1439" i="8"/>
  <c r="Q1439" i="8" s="1"/>
  <c r="D1438" i="8"/>
  <c r="P1438" i="8" s="1"/>
  <c r="C1438" i="8"/>
  <c r="A1438" i="8"/>
  <c r="Q1438" i="8" s="1"/>
  <c r="C1437" i="8"/>
  <c r="D1437" i="8" s="1"/>
  <c r="P1437" i="8" s="1"/>
  <c r="Q1437" i="8" s="1"/>
  <c r="A1437" i="8"/>
  <c r="Q1436" i="8"/>
  <c r="C1436" i="8"/>
  <c r="D1436" i="8" s="1"/>
  <c r="P1436" i="8" s="1"/>
  <c r="A1436" i="8"/>
  <c r="Q1435" i="8"/>
  <c r="D1435" i="8"/>
  <c r="P1435" i="8" s="1"/>
  <c r="C1435" i="8"/>
  <c r="A1435" i="8"/>
  <c r="C1434" i="8"/>
  <c r="D1434" i="8" s="1"/>
  <c r="P1434" i="8" s="1"/>
  <c r="Q1434" i="8" s="1"/>
  <c r="A1434" i="8"/>
  <c r="D1433" i="8"/>
  <c r="P1433" i="8" s="1"/>
  <c r="C1433" i="8"/>
  <c r="A1433" i="8"/>
  <c r="Q1433" i="8" s="1"/>
  <c r="C1432" i="8"/>
  <c r="D1432" i="8" s="1"/>
  <c r="P1432" i="8" s="1"/>
  <c r="Q1432" i="8" s="1"/>
  <c r="A1432" i="8"/>
  <c r="D1431" i="8"/>
  <c r="P1431" i="8" s="1"/>
  <c r="C1431" i="8"/>
  <c r="A1431" i="8"/>
  <c r="P1430" i="8"/>
  <c r="Q1430" i="8" s="1"/>
  <c r="C1430" i="8"/>
  <c r="D1430" i="8" s="1"/>
  <c r="A1430" i="8"/>
  <c r="C1429" i="8"/>
  <c r="D1429" i="8" s="1"/>
  <c r="P1429" i="8" s="1"/>
  <c r="A1429" i="8"/>
  <c r="C1428" i="8"/>
  <c r="D1428" i="8" s="1"/>
  <c r="P1428" i="8" s="1"/>
  <c r="Q1428" i="8" s="1"/>
  <c r="A1428" i="8"/>
  <c r="D1427" i="8"/>
  <c r="P1427" i="8" s="1"/>
  <c r="C1427" i="8"/>
  <c r="A1427" i="8"/>
  <c r="C1426" i="8"/>
  <c r="D1426" i="8" s="1"/>
  <c r="P1426" i="8" s="1"/>
  <c r="A1426" i="8"/>
  <c r="C1425" i="8"/>
  <c r="D1425" i="8" s="1"/>
  <c r="P1425" i="8" s="1"/>
  <c r="Q1425" i="8" s="1"/>
  <c r="A1425" i="8"/>
  <c r="P1424" i="8"/>
  <c r="Q1424" i="8" s="1"/>
  <c r="C1424" i="8"/>
  <c r="D1424" i="8" s="1"/>
  <c r="A1424" i="8"/>
  <c r="C1423" i="8"/>
  <c r="D1423" i="8" s="1"/>
  <c r="P1423" i="8" s="1"/>
  <c r="A1423" i="8"/>
  <c r="C1422" i="8"/>
  <c r="D1422" i="8" s="1"/>
  <c r="P1422" i="8" s="1"/>
  <c r="A1422" i="8"/>
  <c r="Q1422" i="8" s="1"/>
  <c r="Q1421" i="8"/>
  <c r="P1421" i="8"/>
  <c r="D1421" i="8"/>
  <c r="C1421" i="8"/>
  <c r="A1421" i="8"/>
  <c r="C1420" i="8"/>
  <c r="D1420" i="8" s="1"/>
  <c r="P1420" i="8" s="1"/>
  <c r="A1420" i="8"/>
  <c r="D1419" i="8"/>
  <c r="P1419" i="8" s="1"/>
  <c r="C1419" i="8"/>
  <c r="A1419" i="8"/>
  <c r="C1418" i="8"/>
  <c r="D1418" i="8" s="1"/>
  <c r="P1418" i="8" s="1"/>
  <c r="Q1418" i="8" s="1"/>
  <c r="A1418" i="8"/>
  <c r="D1417" i="8"/>
  <c r="P1417" i="8" s="1"/>
  <c r="C1417" i="8"/>
  <c r="A1417" i="8"/>
  <c r="C1416" i="8"/>
  <c r="D1416" i="8" s="1"/>
  <c r="P1416" i="8" s="1"/>
  <c r="A1416" i="8"/>
  <c r="D1415" i="8"/>
  <c r="P1415" i="8" s="1"/>
  <c r="Q1415" i="8" s="1"/>
  <c r="C1415" i="8"/>
  <c r="A1415" i="8"/>
  <c r="C1414" i="8"/>
  <c r="D1414" i="8" s="1"/>
  <c r="P1414" i="8" s="1"/>
  <c r="Q1414" i="8" s="1"/>
  <c r="A1414" i="8"/>
  <c r="C1413" i="8"/>
  <c r="D1413" i="8" s="1"/>
  <c r="P1413" i="8" s="1"/>
  <c r="A1413" i="8"/>
  <c r="C1412" i="8"/>
  <c r="D1412" i="8" s="1"/>
  <c r="P1412" i="8" s="1"/>
  <c r="Q1412" i="8" s="1"/>
  <c r="A1412" i="8"/>
  <c r="D1411" i="8"/>
  <c r="P1411" i="8" s="1"/>
  <c r="C1411" i="8"/>
  <c r="A1411" i="8"/>
  <c r="Q1411" i="8" s="1"/>
  <c r="C1410" i="8"/>
  <c r="D1410" i="8" s="1"/>
  <c r="P1410" i="8" s="1"/>
  <c r="A1410" i="8"/>
  <c r="C1409" i="8"/>
  <c r="D1409" i="8" s="1"/>
  <c r="P1409" i="8" s="1"/>
  <c r="A1409" i="8"/>
  <c r="Q1409" i="8" s="1"/>
  <c r="D1408" i="8"/>
  <c r="P1408" i="8" s="1"/>
  <c r="C1408" i="8"/>
  <c r="A1408" i="8"/>
  <c r="D1407" i="8"/>
  <c r="P1407" i="8" s="1"/>
  <c r="C1407" i="8"/>
  <c r="A1407" i="8"/>
  <c r="Q1407" i="8" s="1"/>
  <c r="Q1406" i="8"/>
  <c r="C1406" i="8"/>
  <c r="D1406" i="8" s="1"/>
  <c r="P1406" i="8" s="1"/>
  <c r="A1406" i="8"/>
  <c r="C1405" i="8"/>
  <c r="D1405" i="8" s="1"/>
  <c r="P1405" i="8" s="1"/>
  <c r="A1405" i="8"/>
  <c r="C1404" i="8"/>
  <c r="D1404" i="8" s="1"/>
  <c r="P1404" i="8" s="1"/>
  <c r="A1404" i="8"/>
  <c r="P1403" i="8"/>
  <c r="C1403" i="8"/>
  <c r="D1403" i="8" s="1"/>
  <c r="A1403" i="8"/>
  <c r="D1402" i="8"/>
  <c r="P1402" i="8" s="1"/>
  <c r="Q1402" i="8" s="1"/>
  <c r="C1402" i="8"/>
  <c r="A1402" i="8"/>
  <c r="C1401" i="8"/>
  <c r="D1401" i="8" s="1"/>
  <c r="P1401" i="8" s="1"/>
  <c r="A1401" i="8"/>
  <c r="C1400" i="8"/>
  <c r="D1400" i="8" s="1"/>
  <c r="P1400" i="8" s="1"/>
  <c r="A1400" i="8"/>
  <c r="Q1400" i="8" s="1"/>
  <c r="D1399" i="8"/>
  <c r="P1399" i="8" s="1"/>
  <c r="C1399" i="8"/>
  <c r="A1399" i="8"/>
  <c r="C1398" i="8"/>
  <c r="D1398" i="8" s="1"/>
  <c r="P1398" i="8" s="1"/>
  <c r="Q1398" i="8" s="1"/>
  <c r="A1398" i="8"/>
  <c r="P1397" i="8"/>
  <c r="Q1397" i="8" s="1"/>
  <c r="D1397" i="8"/>
  <c r="C1397" i="8"/>
  <c r="A1397" i="8"/>
  <c r="C1396" i="8"/>
  <c r="D1396" i="8" s="1"/>
  <c r="P1396" i="8" s="1"/>
  <c r="A1396" i="8"/>
  <c r="Q1396" i="8" s="1"/>
  <c r="P1395" i="8"/>
  <c r="Q1395" i="8" s="1"/>
  <c r="D1395" i="8"/>
  <c r="C1395" i="8"/>
  <c r="A1395" i="8"/>
  <c r="Q1394" i="8"/>
  <c r="P1394" i="8"/>
  <c r="D1394" i="8"/>
  <c r="C1394" i="8"/>
  <c r="A1394" i="8"/>
  <c r="C1393" i="8"/>
  <c r="D1393" i="8" s="1"/>
  <c r="P1393" i="8" s="1"/>
  <c r="A1393" i="8"/>
  <c r="C1392" i="8"/>
  <c r="D1392" i="8" s="1"/>
  <c r="P1392" i="8" s="1"/>
  <c r="A1392" i="8"/>
  <c r="Q1391" i="8"/>
  <c r="C1391" i="8"/>
  <c r="D1391" i="8" s="1"/>
  <c r="P1391" i="8" s="1"/>
  <c r="A1391" i="8"/>
  <c r="D1390" i="8"/>
  <c r="P1390" i="8" s="1"/>
  <c r="C1390" i="8"/>
  <c r="A1390" i="8"/>
  <c r="C1389" i="8"/>
  <c r="D1389" i="8" s="1"/>
  <c r="P1389" i="8" s="1"/>
  <c r="Q1389" i="8" s="1"/>
  <c r="A1389" i="8"/>
  <c r="C1388" i="8"/>
  <c r="D1388" i="8" s="1"/>
  <c r="P1388" i="8" s="1"/>
  <c r="A1388" i="8"/>
  <c r="Q1388" i="8" s="1"/>
  <c r="C1387" i="8"/>
  <c r="D1387" i="8" s="1"/>
  <c r="P1387" i="8" s="1"/>
  <c r="A1387" i="8"/>
  <c r="Q1387" i="8" s="1"/>
  <c r="C1386" i="8"/>
  <c r="D1386" i="8" s="1"/>
  <c r="P1386" i="8" s="1"/>
  <c r="Q1386" i="8" s="1"/>
  <c r="A1386" i="8"/>
  <c r="C1385" i="8"/>
  <c r="D1385" i="8" s="1"/>
  <c r="P1385" i="8" s="1"/>
  <c r="A1385" i="8"/>
  <c r="C1384" i="8"/>
  <c r="D1384" i="8" s="1"/>
  <c r="P1384" i="8" s="1"/>
  <c r="A1384" i="8"/>
  <c r="D1383" i="8"/>
  <c r="P1383" i="8" s="1"/>
  <c r="C1383" i="8"/>
  <c r="A1383" i="8"/>
  <c r="C1382" i="8"/>
  <c r="D1382" i="8" s="1"/>
  <c r="P1382" i="8" s="1"/>
  <c r="Q1382" i="8" s="1"/>
  <c r="A1382" i="8"/>
  <c r="D1381" i="8"/>
  <c r="P1381" i="8" s="1"/>
  <c r="Q1381" i="8" s="1"/>
  <c r="C1381" i="8"/>
  <c r="A1381" i="8"/>
  <c r="C1380" i="8"/>
  <c r="D1380" i="8" s="1"/>
  <c r="P1380" i="8" s="1"/>
  <c r="A1380" i="8"/>
  <c r="Q1380" i="8" s="1"/>
  <c r="P1379" i="8"/>
  <c r="Q1379" i="8" s="1"/>
  <c r="D1379" i="8"/>
  <c r="C1379" i="8"/>
  <c r="A1379" i="8"/>
  <c r="P1378" i="8"/>
  <c r="Q1378" i="8" s="1"/>
  <c r="D1378" i="8"/>
  <c r="C1378" i="8"/>
  <c r="A1378" i="8"/>
  <c r="C1377" i="8"/>
  <c r="D1377" i="8" s="1"/>
  <c r="P1377" i="8" s="1"/>
  <c r="A1377" i="8"/>
  <c r="Q1377" i="8" s="1"/>
  <c r="P1376" i="8"/>
  <c r="C1376" i="8"/>
  <c r="D1376" i="8" s="1"/>
  <c r="A1376" i="8"/>
  <c r="Q1376" i="8" s="1"/>
  <c r="C1375" i="8"/>
  <c r="D1375" i="8" s="1"/>
  <c r="P1375" i="8" s="1"/>
  <c r="Q1375" i="8" s="1"/>
  <c r="A1375" i="8"/>
  <c r="D1374" i="8"/>
  <c r="P1374" i="8" s="1"/>
  <c r="C1374" i="8"/>
  <c r="A1374" i="8"/>
  <c r="C1373" i="8"/>
  <c r="D1373" i="8" s="1"/>
  <c r="P1373" i="8" s="1"/>
  <c r="Q1373" i="8" s="1"/>
  <c r="A1373" i="8"/>
  <c r="C1372" i="8"/>
  <c r="D1372" i="8" s="1"/>
  <c r="P1372" i="8" s="1"/>
  <c r="A1372" i="8"/>
  <c r="C1371" i="8"/>
  <c r="D1371" i="8" s="1"/>
  <c r="P1371" i="8" s="1"/>
  <c r="A1371" i="8"/>
  <c r="Q1371" i="8" s="1"/>
  <c r="D1370" i="8"/>
  <c r="P1370" i="8" s="1"/>
  <c r="Q1370" i="8" s="1"/>
  <c r="C1370" i="8"/>
  <c r="A1370" i="8"/>
  <c r="C1369" i="8"/>
  <c r="D1369" i="8" s="1"/>
  <c r="P1369" i="8" s="1"/>
  <c r="A1369" i="8"/>
  <c r="D1368" i="8"/>
  <c r="P1368" i="8" s="1"/>
  <c r="C1368" i="8"/>
  <c r="A1368" i="8"/>
  <c r="D1367" i="8"/>
  <c r="P1367" i="8" s="1"/>
  <c r="C1367" i="8"/>
  <c r="A1367" i="8"/>
  <c r="C1366" i="8"/>
  <c r="D1366" i="8" s="1"/>
  <c r="P1366" i="8" s="1"/>
  <c r="Q1366" i="8" s="1"/>
  <c r="A1366" i="8"/>
  <c r="P1365" i="8"/>
  <c r="Q1365" i="8" s="1"/>
  <c r="D1365" i="8"/>
  <c r="C1365" i="8"/>
  <c r="A1365" i="8"/>
  <c r="C1364" i="8"/>
  <c r="D1364" i="8" s="1"/>
  <c r="P1364" i="8" s="1"/>
  <c r="A1364" i="8"/>
  <c r="Q1364" i="8" s="1"/>
  <c r="Q1363" i="8"/>
  <c r="P1363" i="8"/>
  <c r="D1363" i="8"/>
  <c r="C1363" i="8"/>
  <c r="A1363" i="8"/>
  <c r="P1362" i="8"/>
  <c r="Q1362" i="8" s="1"/>
  <c r="D1362" i="8"/>
  <c r="C1362" i="8"/>
  <c r="A1362" i="8"/>
  <c r="C1361" i="8"/>
  <c r="D1361" i="8" s="1"/>
  <c r="P1361" i="8" s="1"/>
  <c r="A1361" i="8"/>
  <c r="Q1361" i="8" s="1"/>
  <c r="C1360" i="8"/>
  <c r="D1360" i="8" s="1"/>
  <c r="P1360" i="8" s="1"/>
  <c r="Q1360" i="8" s="1"/>
  <c r="A1360" i="8"/>
  <c r="Q1359" i="8"/>
  <c r="C1359" i="8"/>
  <c r="D1359" i="8" s="1"/>
  <c r="P1359" i="8" s="1"/>
  <c r="A1359" i="8"/>
  <c r="D1358" i="8"/>
  <c r="P1358" i="8" s="1"/>
  <c r="C1358" i="8"/>
  <c r="A1358" i="8"/>
  <c r="C1357" i="8"/>
  <c r="D1357" i="8" s="1"/>
  <c r="P1357" i="8" s="1"/>
  <c r="A1357" i="8"/>
  <c r="Q1357" i="8" s="1"/>
  <c r="C1356" i="8"/>
  <c r="D1356" i="8" s="1"/>
  <c r="P1356" i="8" s="1"/>
  <c r="A1356" i="8"/>
  <c r="D1355" i="8"/>
  <c r="P1355" i="8" s="1"/>
  <c r="C1355" i="8"/>
  <c r="A1355" i="8"/>
  <c r="C1354" i="8"/>
  <c r="D1354" i="8" s="1"/>
  <c r="P1354" i="8" s="1"/>
  <c r="Q1354" i="8" s="1"/>
  <c r="A1354" i="8"/>
  <c r="P1353" i="8"/>
  <c r="C1353" i="8"/>
  <c r="D1353" i="8" s="1"/>
  <c r="A1353" i="8"/>
  <c r="Q1353" i="8" s="1"/>
  <c r="C1352" i="8"/>
  <c r="D1352" i="8" s="1"/>
  <c r="P1352" i="8" s="1"/>
  <c r="A1352" i="8"/>
  <c r="D1351" i="8"/>
  <c r="P1351" i="8" s="1"/>
  <c r="C1351" i="8"/>
  <c r="A1351" i="8"/>
  <c r="Q1351" i="8" s="1"/>
  <c r="Q1350" i="8"/>
  <c r="P1350" i="8"/>
  <c r="C1350" i="8"/>
  <c r="D1350" i="8" s="1"/>
  <c r="A1350" i="8"/>
  <c r="D1349" i="8"/>
  <c r="P1349" i="8" s="1"/>
  <c r="Q1349" i="8" s="1"/>
  <c r="C1349" i="8"/>
  <c r="A1349" i="8"/>
  <c r="C1348" i="8"/>
  <c r="D1348" i="8" s="1"/>
  <c r="P1348" i="8" s="1"/>
  <c r="A1348" i="8"/>
  <c r="Q1348" i="8" s="1"/>
  <c r="P1347" i="8"/>
  <c r="Q1347" i="8" s="1"/>
  <c r="D1347" i="8"/>
  <c r="C1347" i="8"/>
  <c r="A1347" i="8"/>
  <c r="P1346" i="8"/>
  <c r="Q1346" i="8" s="1"/>
  <c r="D1346" i="8"/>
  <c r="C1346" i="8"/>
  <c r="A1346" i="8"/>
  <c r="D1345" i="8"/>
  <c r="P1345" i="8" s="1"/>
  <c r="C1345" i="8"/>
  <c r="A1345" i="8"/>
  <c r="C1344" i="8"/>
  <c r="D1344" i="8" s="1"/>
  <c r="P1344" i="8" s="1"/>
  <c r="A1344" i="8"/>
  <c r="Q1344" i="8" s="1"/>
  <c r="D1343" i="8"/>
  <c r="P1343" i="8" s="1"/>
  <c r="Q1343" i="8" s="1"/>
  <c r="C1343" i="8"/>
  <c r="A1343" i="8"/>
  <c r="Q1342" i="8"/>
  <c r="D1342" i="8"/>
  <c r="P1342" i="8" s="1"/>
  <c r="C1342" i="8"/>
  <c r="A1342" i="8"/>
  <c r="D1341" i="8"/>
  <c r="P1341" i="8" s="1"/>
  <c r="Q1341" i="8" s="1"/>
  <c r="C1341" i="8"/>
  <c r="A1341" i="8"/>
  <c r="C1340" i="8"/>
  <c r="D1340" i="8" s="1"/>
  <c r="P1340" i="8" s="1"/>
  <c r="A1340" i="8"/>
  <c r="C1339" i="8"/>
  <c r="D1339" i="8" s="1"/>
  <c r="P1339" i="8" s="1"/>
  <c r="A1339" i="8"/>
  <c r="Q1339" i="8" s="1"/>
  <c r="C1338" i="8"/>
  <c r="D1338" i="8" s="1"/>
  <c r="P1338" i="8" s="1"/>
  <c r="Q1338" i="8" s="1"/>
  <c r="A1338" i="8"/>
  <c r="C1337" i="8"/>
  <c r="D1337" i="8" s="1"/>
  <c r="P1337" i="8" s="1"/>
  <c r="A1337" i="8"/>
  <c r="C1336" i="8"/>
  <c r="D1336" i="8" s="1"/>
  <c r="P1336" i="8" s="1"/>
  <c r="A1336" i="8"/>
  <c r="Q1336" i="8" s="1"/>
  <c r="D1335" i="8"/>
  <c r="P1335" i="8" s="1"/>
  <c r="C1335" i="8"/>
  <c r="A1335" i="8"/>
  <c r="Q1335" i="8" s="1"/>
  <c r="C1334" i="8"/>
  <c r="D1334" i="8" s="1"/>
  <c r="P1334" i="8" s="1"/>
  <c r="Q1334" i="8" s="1"/>
  <c r="A1334" i="8"/>
  <c r="D1333" i="8"/>
  <c r="P1333" i="8" s="1"/>
  <c r="Q1333" i="8" s="1"/>
  <c r="C1333" i="8"/>
  <c r="A1333" i="8"/>
  <c r="C1332" i="8"/>
  <c r="D1332" i="8" s="1"/>
  <c r="P1332" i="8" s="1"/>
  <c r="A1332" i="8"/>
  <c r="Q1332" i="8" s="1"/>
  <c r="D1331" i="8"/>
  <c r="P1331" i="8" s="1"/>
  <c r="C1331" i="8"/>
  <c r="A1331" i="8"/>
  <c r="Q1331" i="8" s="1"/>
  <c r="Q1330" i="8"/>
  <c r="P1330" i="8"/>
  <c r="D1330" i="8"/>
  <c r="C1330" i="8"/>
  <c r="A1330" i="8"/>
  <c r="P1329" i="8"/>
  <c r="D1329" i="8"/>
  <c r="C1329" i="8"/>
  <c r="A1329" i="8"/>
  <c r="C1328" i="8"/>
  <c r="D1328" i="8" s="1"/>
  <c r="P1328" i="8" s="1"/>
  <c r="A1328" i="8"/>
  <c r="Q1328" i="8" s="1"/>
  <c r="Q1327" i="8"/>
  <c r="D1327" i="8"/>
  <c r="P1327" i="8" s="1"/>
  <c r="C1327" i="8"/>
  <c r="A1327" i="8"/>
  <c r="D1326" i="8"/>
  <c r="P1326" i="8" s="1"/>
  <c r="Q1326" i="8" s="1"/>
  <c r="C1326" i="8"/>
  <c r="A1326" i="8"/>
  <c r="C1325" i="8"/>
  <c r="D1325" i="8" s="1"/>
  <c r="P1325" i="8" s="1"/>
  <c r="A1325" i="8"/>
  <c r="P1324" i="8"/>
  <c r="C1324" i="8"/>
  <c r="D1324" i="8" s="1"/>
  <c r="A1324" i="8"/>
  <c r="D1323" i="8"/>
  <c r="P1323" i="8" s="1"/>
  <c r="C1323" i="8"/>
  <c r="A1323" i="8"/>
  <c r="C1322" i="8"/>
  <c r="D1322" i="8" s="1"/>
  <c r="P1322" i="8" s="1"/>
  <c r="Q1322" i="8" s="1"/>
  <c r="A1322" i="8"/>
  <c r="C1321" i="8"/>
  <c r="D1321" i="8" s="1"/>
  <c r="P1321" i="8" s="1"/>
  <c r="Q1321" i="8" s="1"/>
  <c r="A1321" i="8"/>
  <c r="D1320" i="8"/>
  <c r="P1320" i="8" s="1"/>
  <c r="C1320" i="8"/>
  <c r="A1320" i="8"/>
  <c r="Q1320" i="8" s="1"/>
  <c r="D1319" i="8"/>
  <c r="P1319" i="8" s="1"/>
  <c r="Q1319" i="8" s="1"/>
  <c r="C1319" i="8"/>
  <c r="A1319" i="8"/>
  <c r="C1318" i="8"/>
  <c r="D1318" i="8" s="1"/>
  <c r="P1318" i="8" s="1"/>
  <c r="Q1318" i="8" s="1"/>
  <c r="A1318" i="8"/>
  <c r="P1317" i="8"/>
  <c r="Q1317" i="8" s="1"/>
  <c r="D1317" i="8"/>
  <c r="C1317" i="8"/>
  <c r="A1317" i="8"/>
  <c r="C1316" i="8"/>
  <c r="D1316" i="8" s="1"/>
  <c r="P1316" i="8" s="1"/>
  <c r="Q1316" i="8" s="1"/>
  <c r="A1316" i="8"/>
  <c r="C1315" i="8"/>
  <c r="D1315" i="8" s="1"/>
  <c r="P1315" i="8" s="1"/>
  <c r="Q1315" i="8" s="1"/>
  <c r="A1315" i="8"/>
  <c r="P1314" i="8"/>
  <c r="Q1314" i="8" s="1"/>
  <c r="C1314" i="8"/>
  <c r="D1314" i="8" s="1"/>
  <c r="A1314" i="8"/>
  <c r="C1313" i="8"/>
  <c r="D1313" i="8" s="1"/>
  <c r="P1313" i="8" s="1"/>
  <c r="A1313" i="8"/>
  <c r="Q1313" i="8" s="1"/>
  <c r="P1312" i="8"/>
  <c r="Q1312" i="8" s="1"/>
  <c r="D1312" i="8"/>
  <c r="C1312" i="8"/>
  <c r="A1312" i="8"/>
  <c r="D1311" i="8"/>
  <c r="P1311" i="8" s="1"/>
  <c r="C1311" i="8"/>
  <c r="A1311" i="8"/>
  <c r="P1310" i="8"/>
  <c r="C1310" i="8"/>
  <c r="D1310" i="8" s="1"/>
  <c r="A1310" i="8"/>
  <c r="C1309" i="8"/>
  <c r="D1309" i="8" s="1"/>
  <c r="P1309" i="8" s="1"/>
  <c r="Q1309" i="8" s="1"/>
  <c r="A1309" i="8"/>
  <c r="D1308" i="8"/>
  <c r="P1308" i="8" s="1"/>
  <c r="Q1308" i="8" s="1"/>
  <c r="C1308" i="8"/>
  <c r="A1308" i="8"/>
  <c r="D1307" i="8"/>
  <c r="P1307" i="8" s="1"/>
  <c r="C1307" i="8"/>
  <c r="A1307" i="8"/>
  <c r="Q1307" i="8" s="1"/>
  <c r="D1306" i="8"/>
  <c r="P1306" i="8" s="1"/>
  <c r="C1306" i="8"/>
  <c r="A1306" i="8"/>
  <c r="D1305" i="8"/>
  <c r="P1305" i="8" s="1"/>
  <c r="C1305" i="8"/>
  <c r="A1305" i="8"/>
  <c r="Q1305" i="8" s="1"/>
  <c r="C1304" i="8"/>
  <c r="D1304" i="8" s="1"/>
  <c r="P1304" i="8" s="1"/>
  <c r="Q1304" i="8" s="1"/>
  <c r="A1304" i="8"/>
  <c r="P1303" i="8"/>
  <c r="Q1303" i="8" s="1"/>
  <c r="D1303" i="8"/>
  <c r="C1303" i="8"/>
  <c r="A1303" i="8"/>
  <c r="P1302" i="8"/>
  <c r="C1302" i="8"/>
  <c r="D1302" i="8" s="1"/>
  <c r="A1302" i="8"/>
  <c r="P1301" i="8"/>
  <c r="D1301" i="8"/>
  <c r="C1301" i="8"/>
  <c r="A1301" i="8"/>
  <c r="Q1301" i="8" s="1"/>
  <c r="C1300" i="8"/>
  <c r="D1300" i="8" s="1"/>
  <c r="P1300" i="8" s="1"/>
  <c r="A1300" i="8"/>
  <c r="D1299" i="8"/>
  <c r="P1299" i="8" s="1"/>
  <c r="Q1299" i="8" s="1"/>
  <c r="C1299" i="8"/>
  <c r="A1299" i="8"/>
  <c r="P1298" i="8"/>
  <c r="C1298" i="8"/>
  <c r="D1298" i="8" s="1"/>
  <c r="A1298" i="8"/>
  <c r="Q1298" i="8" s="1"/>
  <c r="D1297" i="8"/>
  <c r="P1297" i="8" s="1"/>
  <c r="C1297" i="8"/>
  <c r="A1297" i="8"/>
  <c r="Q1297" i="8" s="1"/>
  <c r="Q1296" i="8"/>
  <c r="P1296" i="8"/>
  <c r="D1296" i="8"/>
  <c r="C1296" i="8"/>
  <c r="A1296" i="8"/>
  <c r="C1295" i="8"/>
  <c r="D1295" i="8" s="1"/>
  <c r="P1295" i="8" s="1"/>
  <c r="A1295" i="8"/>
  <c r="Q1295" i="8" s="1"/>
  <c r="D1294" i="8"/>
  <c r="P1294" i="8" s="1"/>
  <c r="C1294" i="8"/>
  <c r="A1294" i="8"/>
  <c r="Q1294" i="8" s="1"/>
  <c r="C1293" i="8"/>
  <c r="D1293" i="8" s="1"/>
  <c r="P1293" i="8" s="1"/>
  <c r="A1293" i="8"/>
  <c r="Q1293" i="8" s="1"/>
  <c r="Q1292" i="8"/>
  <c r="C1292" i="8"/>
  <c r="D1292" i="8" s="1"/>
  <c r="P1292" i="8" s="1"/>
  <c r="A1292" i="8"/>
  <c r="D1291" i="8"/>
  <c r="P1291" i="8" s="1"/>
  <c r="Q1291" i="8" s="1"/>
  <c r="C1291" i="8"/>
  <c r="A1291" i="8"/>
  <c r="Q1290" i="8"/>
  <c r="D1290" i="8"/>
  <c r="P1290" i="8" s="1"/>
  <c r="C1290" i="8"/>
  <c r="A1290" i="8"/>
  <c r="P1289" i="8"/>
  <c r="Q1289" i="8" s="1"/>
  <c r="D1289" i="8"/>
  <c r="C1289" i="8"/>
  <c r="A1289" i="8"/>
  <c r="P1288" i="8"/>
  <c r="D1288" i="8"/>
  <c r="C1288" i="8"/>
  <c r="A1288" i="8"/>
  <c r="Q1288" i="8" s="1"/>
  <c r="C1287" i="8"/>
  <c r="D1287" i="8" s="1"/>
  <c r="P1287" i="8" s="1"/>
  <c r="Q1287" i="8" s="1"/>
  <c r="A1287" i="8"/>
  <c r="C1286" i="8"/>
  <c r="D1286" i="8" s="1"/>
  <c r="P1286" i="8" s="1"/>
  <c r="Q1286" i="8" s="1"/>
  <c r="A1286" i="8"/>
  <c r="C1285" i="8"/>
  <c r="D1285" i="8" s="1"/>
  <c r="P1285" i="8" s="1"/>
  <c r="A1285" i="8"/>
  <c r="D1284" i="8"/>
  <c r="P1284" i="8" s="1"/>
  <c r="C1284" i="8"/>
  <c r="A1284" i="8"/>
  <c r="Q1284" i="8" s="1"/>
  <c r="C1283" i="8"/>
  <c r="D1283" i="8" s="1"/>
  <c r="P1283" i="8" s="1"/>
  <c r="Q1283" i="8" s="1"/>
  <c r="A1283" i="8"/>
  <c r="D1282" i="8"/>
  <c r="P1282" i="8" s="1"/>
  <c r="Q1282" i="8" s="1"/>
  <c r="C1282" i="8"/>
  <c r="A1282" i="8"/>
  <c r="C1281" i="8"/>
  <c r="D1281" i="8" s="1"/>
  <c r="P1281" i="8" s="1"/>
  <c r="A1281" i="8"/>
  <c r="C1280" i="8"/>
  <c r="D1280" i="8" s="1"/>
  <c r="P1280" i="8" s="1"/>
  <c r="A1280" i="8"/>
  <c r="Q1280" i="8" s="1"/>
  <c r="P1279" i="8"/>
  <c r="D1279" i="8"/>
  <c r="C1279" i="8"/>
  <c r="A1279" i="8"/>
  <c r="Q1279" i="8" s="1"/>
  <c r="C1278" i="8"/>
  <c r="D1278" i="8" s="1"/>
  <c r="P1278" i="8" s="1"/>
  <c r="A1278" i="8"/>
  <c r="P1277" i="8"/>
  <c r="C1277" i="8"/>
  <c r="D1277" i="8" s="1"/>
  <c r="A1277" i="8"/>
  <c r="C1276" i="8"/>
  <c r="D1276" i="8" s="1"/>
  <c r="P1276" i="8" s="1"/>
  <c r="Q1276" i="8" s="1"/>
  <c r="A1276" i="8"/>
  <c r="D1275" i="8"/>
  <c r="P1275" i="8" s="1"/>
  <c r="Q1275" i="8" s="1"/>
  <c r="C1275" i="8"/>
  <c r="A1275" i="8"/>
  <c r="D1274" i="8"/>
  <c r="P1274" i="8" s="1"/>
  <c r="C1274" i="8"/>
  <c r="A1274" i="8"/>
  <c r="Q1274" i="8" s="1"/>
  <c r="P1273" i="8"/>
  <c r="Q1273" i="8" s="1"/>
  <c r="D1273" i="8"/>
  <c r="C1273" i="8"/>
  <c r="A1273" i="8"/>
  <c r="P1272" i="8"/>
  <c r="D1272" i="8"/>
  <c r="C1272" i="8"/>
  <c r="A1272" i="8"/>
  <c r="Q1272" i="8" s="1"/>
  <c r="C1271" i="8"/>
  <c r="D1271" i="8" s="1"/>
  <c r="P1271" i="8" s="1"/>
  <c r="Q1271" i="8" s="1"/>
  <c r="A1271" i="8"/>
  <c r="Q1270" i="8"/>
  <c r="P1270" i="8"/>
  <c r="C1270" i="8"/>
  <c r="D1270" i="8" s="1"/>
  <c r="A1270" i="8"/>
  <c r="P1269" i="8"/>
  <c r="C1269" i="8"/>
  <c r="D1269" i="8" s="1"/>
  <c r="A1269" i="8"/>
  <c r="Q1269" i="8" s="1"/>
  <c r="D1268" i="8"/>
  <c r="P1268" i="8" s="1"/>
  <c r="C1268" i="8"/>
  <c r="A1268" i="8"/>
  <c r="Q1268" i="8" s="1"/>
  <c r="C1267" i="8"/>
  <c r="D1267" i="8" s="1"/>
  <c r="P1267" i="8" s="1"/>
  <c r="A1267" i="8"/>
  <c r="Q1267" i="8" s="1"/>
  <c r="C1266" i="8"/>
  <c r="D1266" i="8" s="1"/>
  <c r="P1266" i="8" s="1"/>
  <c r="Q1266" i="8" s="1"/>
  <c r="A1266" i="8"/>
  <c r="C1265" i="8"/>
  <c r="D1265" i="8" s="1"/>
  <c r="P1265" i="8" s="1"/>
  <c r="A1265" i="8"/>
  <c r="C1264" i="8"/>
  <c r="D1264" i="8" s="1"/>
  <c r="P1264" i="8" s="1"/>
  <c r="A1264" i="8"/>
  <c r="Q1264" i="8" s="1"/>
  <c r="P1263" i="8"/>
  <c r="D1263" i="8"/>
  <c r="C1263" i="8"/>
  <c r="A1263" i="8"/>
  <c r="C1262" i="8"/>
  <c r="D1262" i="8" s="1"/>
  <c r="P1262" i="8" s="1"/>
  <c r="A1262" i="8"/>
  <c r="C1261" i="8"/>
  <c r="D1261" i="8" s="1"/>
  <c r="P1261" i="8" s="1"/>
  <c r="A1261" i="8"/>
  <c r="P1260" i="8"/>
  <c r="Q1260" i="8" s="1"/>
  <c r="C1260" i="8"/>
  <c r="D1260" i="8" s="1"/>
  <c r="A1260" i="8"/>
  <c r="D1259" i="8"/>
  <c r="P1259" i="8" s="1"/>
  <c r="Q1259" i="8" s="1"/>
  <c r="C1259" i="8"/>
  <c r="A1259" i="8"/>
  <c r="D1258" i="8"/>
  <c r="P1258" i="8" s="1"/>
  <c r="C1258" i="8"/>
  <c r="A1258" i="8"/>
  <c r="D1257" i="8"/>
  <c r="P1257" i="8" s="1"/>
  <c r="Q1257" i="8" s="1"/>
  <c r="C1257" i="8"/>
  <c r="A1257" i="8"/>
  <c r="P1256" i="8"/>
  <c r="C1256" i="8"/>
  <c r="D1256" i="8" s="1"/>
  <c r="A1256" i="8"/>
  <c r="Q1256" i="8" s="1"/>
  <c r="C1255" i="8"/>
  <c r="D1255" i="8" s="1"/>
  <c r="P1255" i="8" s="1"/>
  <c r="A1255" i="8"/>
  <c r="Q1255" i="8" s="1"/>
  <c r="P1254" i="8"/>
  <c r="Q1254" i="8" s="1"/>
  <c r="C1254" i="8"/>
  <c r="D1254" i="8" s="1"/>
  <c r="A1254" i="8"/>
  <c r="C1253" i="8"/>
  <c r="D1253" i="8" s="1"/>
  <c r="P1253" i="8" s="1"/>
  <c r="A1253" i="8"/>
  <c r="C1252" i="8"/>
  <c r="D1252" i="8" s="1"/>
  <c r="P1252" i="8" s="1"/>
  <c r="A1252" i="8"/>
  <c r="C1251" i="8"/>
  <c r="D1251" i="8" s="1"/>
  <c r="P1251" i="8" s="1"/>
  <c r="A1251" i="8"/>
  <c r="D1250" i="8"/>
  <c r="P1250" i="8" s="1"/>
  <c r="Q1250" i="8" s="1"/>
  <c r="C1250" i="8"/>
  <c r="A1250" i="8"/>
  <c r="D1249" i="8"/>
  <c r="P1249" i="8" s="1"/>
  <c r="C1249" i="8"/>
  <c r="A1249" i="8"/>
  <c r="D1248" i="8"/>
  <c r="P1248" i="8" s="1"/>
  <c r="C1248" i="8"/>
  <c r="A1248" i="8"/>
  <c r="P1247" i="8"/>
  <c r="D1247" i="8"/>
  <c r="C1247" i="8"/>
  <c r="A1247" i="8"/>
  <c r="C1246" i="8"/>
  <c r="D1246" i="8" s="1"/>
  <c r="P1246" i="8" s="1"/>
  <c r="A1246" i="8"/>
  <c r="P1245" i="8"/>
  <c r="Q1245" i="8" s="1"/>
  <c r="C1245" i="8"/>
  <c r="D1245" i="8" s="1"/>
  <c r="A1245" i="8"/>
  <c r="C1244" i="8"/>
  <c r="D1244" i="8" s="1"/>
  <c r="P1244" i="8" s="1"/>
  <c r="Q1244" i="8" s="1"/>
  <c r="A1244" i="8"/>
  <c r="D1243" i="8"/>
  <c r="P1243" i="8" s="1"/>
  <c r="C1243" i="8"/>
  <c r="A1243" i="8"/>
  <c r="D1242" i="8"/>
  <c r="P1242" i="8" s="1"/>
  <c r="C1242" i="8"/>
  <c r="A1242" i="8"/>
  <c r="Q1242" i="8" s="1"/>
  <c r="Q1241" i="8"/>
  <c r="D1241" i="8"/>
  <c r="P1241" i="8" s="1"/>
  <c r="C1241" i="8"/>
  <c r="A1241" i="8"/>
  <c r="C1240" i="8"/>
  <c r="D1240" i="8" s="1"/>
  <c r="P1240" i="8" s="1"/>
  <c r="A1240" i="8"/>
  <c r="Q1240" i="8" s="1"/>
  <c r="Q1239" i="8"/>
  <c r="C1239" i="8"/>
  <c r="D1239" i="8" s="1"/>
  <c r="P1239" i="8" s="1"/>
  <c r="A1239" i="8"/>
  <c r="P1238" i="8"/>
  <c r="C1238" i="8"/>
  <c r="D1238" i="8" s="1"/>
  <c r="A1238" i="8"/>
  <c r="Q1238" i="8" s="1"/>
  <c r="D1237" i="8"/>
  <c r="P1237" i="8" s="1"/>
  <c r="C1237" i="8"/>
  <c r="A1237" i="8"/>
  <c r="Q1237" i="8" s="1"/>
  <c r="C1236" i="8"/>
  <c r="D1236" i="8" s="1"/>
  <c r="P1236" i="8" s="1"/>
  <c r="A1236" i="8"/>
  <c r="C1235" i="8"/>
  <c r="D1235" i="8" s="1"/>
  <c r="P1235" i="8" s="1"/>
  <c r="Q1235" i="8" s="1"/>
  <c r="A1235" i="8"/>
  <c r="C1234" i="8"/>
  <c r="D1234" i="8" s="1"/>
  <c r="P1234" i="8" s="1"/>
  <c r="Q1234" i="8" s="1"/>
  <c r="A1234" i="8"/>
  <c r="D1233" i="8"/>
  <c r="P1233" i="8" s="1"/>
  <c r="Q1233" i="8" s="1"/>
  <c r="C1233" i="8"/>
  <c r="A1233" i="8"/>
  <c r="Q1232" i="8"/>
  <c r="P1232" i="8"/>
  <c r="D1232" i="8"/>
  <c r="C1232" i="8"/>
  <c r="A1232" i="8"/>
  <c r="D1231" i="8"/>
  <c r="P1231" i="8" s="1"/>
  <c r="C1231" i="8"/>
  <c r="A1231" i="8"/>
  <c r="P1230" i="8"/>
  <c r="C1230" i="8"/>
  <c r="D1230" i="8" s="1"/>
  <c r="A1230" i="8"/>
  <c r="C1229" i="8"/>
  <c r="D1229" i="8" s="1"/>
  <c r="P1229" i="8" s="1"/>
  <c r="A1229" i="8"/>
  <c r="Q1229" i="8" s="1"/>
  <c r="D1228" i="8"/>
  <c r="P1228" i="8" s="1"/>
  <c r="C1228" i="8"/>
  <c r="A1228" i="8"/>
  <c r="Q1228" i="8" s="1"/>
  <c r="P1227" i="8"/>
  <c r="Q1227" i="8" s="1"/>
  <c r="D1227" i="8"/>
  <c r="C1227" i="8"/>
  <c r="A1227" i="8"/>
  <c r="D1226" i="8"/>
  <c r="P1226" i="8" s="1"/>
  <c r="C1226" i="8"/>
  <c r="A1226" i="8"/>
  <c r="Q1226" i="8" s="1"/>
  <c r="C1225" i="8"/>
  <c r="D1225" i="8" s="1"/>
  <c r="P1225" i="8" s="1"/>
  <c r="A1225" i="8"/>
  <c r="Q1225" i="8" s="1"/>
  <c r="Q1224" i="8"/>
  <c r="C1224" i="8"/>
  <c r="D1224" i="8" s="1"/>
  <c r="P1224" i="8" s="1"/>
  <c r="A1224" i="8"/>
  <c r="D1223" i="8"/>
  <c r="P1223" i="8" s="1"/>
  <c r="Q1223" i="8" s="1"/>
  <c r="C1223" i="8"/>
  <c r="A1223" i="8"/>
  <c r="C1222" i="8"/>
  <c r="D1222" i="8" s="1"/>
  <c r="P1222" i="8" s="1"/>
  <c r="A1222" i="8"/>
  <c r="P1221" i="8"/>
  <c r="D1221" i="8"/>
  <c r="C1221" i="8"/>
  <c r="A1221" i="8"/>
  <c r="Q1221" i="8" s="1"/>
  <c r="Q1220" i="8"/>
  <c r="D1220" i="8"/>
  <c r="P1220" i="8" s="1"/>
  <c r="C1220" i="8"/>
  <c r="A1220" i="8"/>
  <c r="C1219" i="8"/>
  <c r="D1219" i="8" s="1"/>
  <c r="P1219" i="8" s="1"/>
  <c r="Q1219" i="8" s="1"/>
  <c r="A1219" i="8"/>
  <c r="C1218" i="8"/>
  <c r="D1218" i="8" s="1"/>
  <c r="P1218" i="8" s="1"/>
  <c r="Q1218" i="8" s="1"/>
  <c r="A1218" i="8"/>
  <c r="C1217" i="8"/>
  <c r="D1217" i="8" s="1"/>
  <c r="P1217" i="8" s="1"/>
  <c r="A1217" i="8"/>
  <c r="D1216" i="8"/>
  <c r="P1216" i="8" s="1"/>
  <c r="C1216" i="8"/>
  <c r="A1216" i="8"/>
  <c r="D1215" i="8"/>
  <c r="P1215" i="8" s="1"/>
  <c r="Q1215" i="8" s="1"/>
  <c r="C1215" i="8"/>
  <c r="A1215" i="8"/>
  <c r="Q1214" i="8"/>
  <c r="C1214" i="8"/>
  <c r="D1214" i="8" s="1"/>
  <c r="P1214" i="8" s="1"/>
  <c r="A1214" i="8"/>
  <c r="C1213" i="8"/>
  <c r="D1213" i="8" s="1"/>
  <c r="P1213" i="8" s="1"/>
  <c r="A1213" i="8"/>
  <c r="Q1213" i="8" s="1"/>
  <c r="D1212" i="8"/>
  <c r="P1212" i="8" s="1"/>
  <c r="C1212" i="8"/>
  <c r="A1212" i="8"/>
  <c r="Q1212" i="8" s="1"/>
  <c r="P1211" i="8"/>
  <c r="Q1211" i="8" s="1"/>
  <c r="D1211" i="8"/>
  <c r="C1211" i="8"/>
  <c r="A1211" i="8"/>
  <c r="C1210" i="8"/>
  <c r="D1210" i="8" s="1"/>
  <c r="P1210" i="8" s="1"/>
  <c r="A1210" i="8"/>
  <c r="C1209" i="8"/>
  <c r="D1209" i="8" s="1"/>
  <c r="P1209" i="8" s="1"/>
  <c r="A1209" i="8"/>
  <c r="Q1209" i="8" s="1"/>
  <c r="C1208" i="8"/>
  <c r="D1208" i="8" s="1"/>
  <c r="P1208" i="8" s="1"/>
  <c r="Q1208" i="8" s="1"/>
  <c r="A1208" i="8"/>
  <c r="P1207" i="8"/>
  <c r="Q1207" i="8" s="1"/>
  <c r="D1207" i="8"/>
  <c r="C1207" i="8"/>
  <c r="A1207" i="8"/>
  <c r="D1206" i="8"/>
  <c r="P1206" i="8" s="1"/>
  <c r="C1206" i="8"/>
  <c r="A1206" i="8"/>
  <c r="P1205" i="8"/>
  <c r="D1205" i="8"/>
  <c r="C1205" i="8"/>
  <c r="A1205" i="8"/>
  <c r="Q1205" i="8" s="1"/>
  <c r="D1204" i="8"/>
  <c r="P1204" i="8" s="1"/>
  <c r="Q1204" i="8" s="1"/>
  <c r="C1204" i="8"/>
  <c r="A1204" i="8"/>
  <c r="D1203" i="8"/>
  <c r="P1203" i="8" s="1"/>
  <c r="Q1203" i="8" s="1"/>
  <c r="C1203" i="8"/>
  <c r="A1203" i="8"/>
  <c r="P1202" i="8"/>
  <c r="C1202" i="8"/>
  <c r="D1202" i="8" s="1"/>
  <c r="A1202" i="8"/>
  <c r="Q1202" i="8" s="1"/>
  <c r="P1201" i="8"/>
  <c r="C1201" i="8"/>
  <c r="D1201" i="8" s="1"/>
  <c r="A1201" i="8"/>
  <c r="D1200" i="8"/>
  <c r="P1200" i="8" s="1"/>
  <c r="C1200" i="8"/>
  <c r="A1200" i="8"/>
  <c r="P1199" i="8"/>
  <c r="Q1199" i="8" s="1"/>
  <c r="D1199" i="8"/>
  <c r="C1199" i="8"/>
  <c r="A1199" i="8"/>
  <c r="Q1198" i="8"/>
  <c r="P1198" i="8"/>
  <c r="C1198" i="8"/>
  <c r="D1198" i="8" s="1"/>
  <c r="A1198" i="8"/>
  <c r="C1197" i="8"/>
  <c r="D1197" i="8" s="1"/>
  <c r="P1197" i="8" s="1"/>
  <c r="A1197" i="8"/>
  <c r="Q1197" i="8" s="1"/>
  <c r="Q1196" i="8"/>
  <c r="D1196" i="8"/>
  <c r="P1196" i="8" s="1"/>
  <c r="C1196" i="8"/>
  <c r="A1196" i="8"/>
  <c r="D1195" i="8"/>
  <c r="P1195" i="8" s="1"/>
  <c r="Q1195" i="8" s="1"/>
  <c r="C1195" i="8"/>
  <c r="A1195" i="8"/>
  <c r="C1194" i="8"/>
  <c r="D1194" i="8" s="1"/>
  <c r="P1194" i="8" s="1"/>
  <c r="A1194" i="8"/>
  <c r="C1193" i="8"/>
  <c r="D1193" i="8" s="1"/>
  <c r="P1193" i="8" s="1"/>
  <c r="A1193" i="8"/>
  <c r="C1192" i="8"/>
  <c r="D1192" i="8" s="1"/>
  <c r="P1192" i="8" s="1"/>
  <c r="Q1192" i="8" s="1"/>
  <c r="A1192" i="8"/>
  <c r="P1191" i="8"/>
  <c r="Q1191" i="8" s="1"/>
  <c r="C1191" i="8"/>
  <c r="D1191" i="8" s="1"/>
  <c r="A1191" i="8"/>
  <c r="D1190" i="8"/>
  <c r="P1190" i="8" s="1"/>
  <c r="C1190" i="8"/>
  <c r="A1190" i="8"/>
  <c r="P1189" i="8"/>
  <c r="D1189" i="8"/>
  <c r="C1189" i="8"/>
  <c r="A1189" i="8"/>
  <c r="Q1188" i="8"/>
  <c r="D1188" i="8"/>
  <c r="P1188" i="8" s="1"/>
  <c r="C1188" i="8"/>
  <c r="A1188" i="8"/>
  <c r="C1187" i="8"/>
  <c r="D1187" i="8" s="1"/>
  <c r="P1187" i="8" s="1"/>
  <c r="Q1187" i="8" s="1"/>
  <c r="A1187" i="8"/>
  <c r="P1186" i="8"/>
  <c r="C1186" i="8"/>
  <c r="D1186" i="8" s="1"/>
  <c r="A1186" i="8"/>
  <c r="Q1186" i="8" s="1"/>
  <c r="P1185" i="8"/>
  <c r="C1185" i="8"/>
  <c r="D1185" i="8" s="1"/>
  <c r="A1185" i="8"/>
  <c r="D1184" i="8"/>
  <c r="P1184" i="8" s="1"/>
  <c r="C1184" i="8"/>
  <c r="A1184" i="8"/>
  <c r="Q1184" i="8" s="1"/>
  <c r="P1183" i="8"/>
  <c r="Q1183" i="8" s="1"/>
  <c r="C1183" i="8"/>
  <c r="D1183" i="8" s="1"/>
  <c r="A1183" i="8"/>
  <c r="C1182" i="8"/>
  <c r="D1182" i="8" s="1"/>
  <c r="P1182" i="8" s="1"/>
  <c r="Q1182" i="8" s="1"/>
  <c r="A1182" i="8"/>
  <c r="C1181" i="8"/>
  <c r="D1181" i="8" s="1"/>
  <c r="P1181" i="8" s="1"/>
  <c r="A1181" i="8"/>
  <c r="D1180" i="8"/>
  <c r="P1180" i="8" s="1"/>
  <c r="C1180" i="8"/>
  <c r="A1180" i="8"/>
  <c r="Q1180" i="8" s="1"/>
  <c r="Q1179" i="8"/>
  <c r="D1179" i="8"/>
  <c r="P1179" i="8" s="1"/>
  <c r="C1179" i="8"/>
  <c r="A1179" i="8"/>
  <c r="D1178" i="8"/>
  <c r="P1178" i="8" s="1"/>
  <c r="C1178" i="8"/>
  <c r="A1178" i="8"/>
  <c r="C1177" i="8"/>
  <c r="D1177" i="8" s="1"/>
  <c r="P1177" i="8" s="1"/>
  <c r="A1177" i="8"/>
  <c r="C1176" i="8"/>
  <c r="D1176" i="8" s="1"/>
  <c r="P1176" i="8" s="1"/>
  <c r="Q1176" i="8" s="1"/>
  <c r="A1176" i="8"/>
  <c r="D1175" i="8"/>
  <c r="P1175" i="8" s="1"/>
  <c r="Q1175" i="8" s="1"/>
  <c r="C1175" i="8"/>
  <c r="A1175" i="8"/>
  <c r="P1174" i="8"/>
  <c r="C1174" i="8"/>
  <c r="D1174" i="8" s="1"/>
  <c r="A1174" i="8"/>
  <c r="Q1174" i="8" s="1"/>
  <c r="D1173" i="8"/>
  <c r="P1173" i="8" s="1"/>
  <c r="C1173" i="8"/>
  <c r="A1173" i="8"/>
  <c r="D1172" i="8"/>
  <c r="P1172" i="8" s="1"/>
  <c r="Q1172" i="8" s="1"/>
  <c r="C1172" i="8"/>
  <c r="A1172" i="8"/>
  <c r="D1171" i="8"/>
  <c r="P1171" i="8" s="1"/>
  <c r="Q1171" i="8" s="1"/>
  <c r="C1171" i="8"/>
  <c r="A1171" i="8"/>
  <c r="C1170" i="8"/>
  <c r="D1170" i="8" s="1"/>
  <c r="P1170" i="8" s="1"/>
  <c r="A1170" i="8"/>
  <c r="C1169" i="8"/>
  <c r="D1169" i="8" s="1"/>
  <c r="P1169" i="8" s="1"/>
  <c r="A1169" i="8"/>
  <c r="D1168" i="8"/>
  <c r="P1168" i="8" s="1"/>
  <c r="C1168" i="8"/>
  <c r="A1168" i="8"/>
  <c r="Q1167" i="8"/>
  <c r="P1167" i="8"/>
  <c r="D1167" i="8"/>
  <c r="C1167" i="8"/>
  <c r="A1167" i="8"/>
  <c r="D1166" i="8"/>
  <c r="P1166" i="8" s="1"/>
  <c r="Q1166" i="8" s="1"/>
  <c r="C1166" i="8"/>
  <c r="A1166" i="8"/>
  <c r="P1165" i="8"/>
  <c r="C1165" i="8"/>
  <c r="D1165" i="8" s="1"/>
  <c r="A1165" i="8"/>
  <c r="Q1165" i="8" s="1"/>
  <c r="D1164" i="8"/>
  <c r="P1164" i="8" s="1"/>
  <c r="Q1164" i="8" s="1"/>
  <c r="C1164" i="8"/>
  <c r="A1164" i="8"/>
  <c r="D1163" i="8"/>
  <c r="P1163" i="8" s="1"/>
  <c r="C1163" i="8"/>
  <c r="A1163" i="8"/>
  <c r="Q1163" i="8" s="1"/>
  <c r="P1162" i="8"/>
  <c r="D1162" i="8"/>
  <c r="C1162" i="8"/>
  <c r="A1162" i="8"/>
  <c r="Q1162" i="8" s="1"/>
  <c r="P1161" i="8"/>
  <c r="C1161" i="8"/>
  <c r="D1161" i="8" s="1"/>
  <c r="A1161" i="8"/>
  <c r="Q1161" i="8" s="1"/>
  <c r="Q1160" i="8"/>
  <c r="C1160" i="8"/>
  <c r="D1160" i="8" s="1"/>
  <c r="P1160" i="8" s="1"/>
  <c r="A1160" i="8"/>
  <c r="P1159" i="8"/>
  <c r="Q1159" i="8" s="1"/>
  <c r="C1159" i="8"/>
  <c r="D1159" i="8" s="1"/>
  <c r="A1159" i="8"/>
  <c r="Q1158" i="8"/>
  <c r="D1158" i="8"/>
  <c r="P1158" i="8" s="1"/>
  <c r="C1158" i="8"/>
  <c r="A1158" i="8"/>
  <c r="P1157" i="8"/>
  <c r="C1157" i="8"/>
  <c r="D1157" i="8" s="1"/>
  <c r="A1157" i="8"/>
  <c r="C1156" i="8"/>
  <c r="D1156" i="8" s="1"/>
  <c r="P1156" i="8" s="1"/>
  <c r="A1156" i="8"/>
  <c r="P1155" i="8"/>
  <c r="D1155" i="8"/>
  <c r="C1155" i="8"/>
  <c r="A1155" i="8"/>
  <c r="P1154" i="8"/>
  <c r="Q1154" i="8" s="1"/>
  <c r="D1154" i="8"/>
  <c r="C1154" i="8"/>
  <c r="A1154" i="8"/>
  <c r="D1153" i="8"/>
  <c r="P1153" i="8" s="1"/>
  <c r="C1153" i="8"/>
  <c r="A1153" i="8"/>
  <c r="Q1153" i="8" s="1"/>
  <c r="C1152" i="8"/>
  <c r="D1152" i="8" s="1"/>
  <c r="P1152" i="8" s="1"/>
  <c r="Q1152" i="8" s="1"/>
  <c r="A1152" i="8"/>
  <c r="Q1151" i="8"/>
  <c r="C1151" i="8"/>
  <c r="D1151" i="8" s="1"/>
  <c r="P1151" i="8" s="1"/>
  <c r="A1151" i="8"/>
  <c r="P1150" i="8"/>
  <c r="D1150" i="8"/>
  <c r="C1150" i="8"/>
  <c r="A1150" i="8"/>
  <c r="Q1150" i="8" s="1"/>
  <c r="P1149" i="8"/>
  <c r="D1149" i="8"/>
  <c r="C1149" i="8"/>
  <c r="A1149" i="8"/>
  <c r="P1148" i="8"/>
  <c r="Q1148" i="8" s="1"/>
  <c r="D1148" i="8"/>
  <c r="C1148" i="8"/>
  <c r="A1148" i="8"/>
  <c r="C1147" i="8"/>
  <c r="D1147" i="8" s="1"/>
  <c r="P1147" i="8" s="1"/>
  <c r="A1147" i="8"/>
  <c r="Q1146" i="8"/>
  <c r="C1146" i="8"/>
  <c r="D1146" i="8" s="1"/>
  <c r="P1146" i="8" s="1"/>
  <c r="A1146" i="8"/>
  <c r="C1145" i="8"/>
  <c r="D1145" i="8" s="1"/>
  <c r="P1145" i="8" s="1"/>
  <c r="A1145" i="8"/>
  <c r="C1144" i="8"/>
  <c r="D1144" i="8" s="1"/>
  <c r="P1144" i="8" s="1"/>
  <c r="A1144" i="8"/>
  <c r="D1143" i="8"/>
  <c r="P1143" i="8" s="1"/>
  <c r="C1143" i="8"/>
  <c r="A1143" i="8"/>
  <c r="Q1143" i="8" s="1"/>
  <c r="C1142" i="8"/>
  <c r="D1142" i="8" s="1"/>
  <c r="P1142" i="8" s="1"/>
  <c r="Q1142" i="8" s="1"/>
  <c r="A1142" i="8"/>
  <c r="D1141" i="8"/>
  <c r="P1141" i="8" s="1"/>
  <c r="Q1141" i="8" s="1"/>
  <c r="C1141" i="8"/>
  <c r="A1141" i="8"/>
  <c r="C1140" i="8"/>
  <c r="D1140" i="8" s="1"/>
  <c r="P1140" i="8" s="1"/>
  <c r="A1140" i="8"/>
  <c r="Q1140" i="8" s="1"/>
  <c r="P1139" i="8"/>
  <c r="D1139" i="8"/>
  <c r="C1139" i="8"/>
  <c r="A1139" i="8"/>
  <c r="Q1139" i="8" s="1"/>
  <c r="I1138" i="8" a="1"/>
  <c r="I1138" i="8" s="1"/>
  <c r="D1138" i="8"/>
  <c r="P1138" i="8" s="1"/>
  <c r="Q1138" i="8" s="1"/>
  <c r="O1138" i="8" s="1" a="1"/>
  <c r="O1138" i="8" s="1"/>
  <c r="C1138" i="8"/>
  <c r="A1138" i="8"/>
  <c r="D1137" i="8"/>
  <c r="P1137" i="8" s="1"/>
  <c r="C1137" i="8"/>
  <c r="A1137" i="8"/>
  <c r="P1136" i="8"/>
  <c r="Q1136" i="8" s="1"/>
  <c r="C1136" i="8"/>
  <c r="D1136" i="8" s="1"/>
  <c r="A1136" i="8"/>
  <c r="P1135" i="8"/>
  <c r="Q1135" i="8" s="1"/>
  <c r="C1135" i="8"/>
  <c r="D1135" i="8" s="1"/>
  <c r="A1135" i="8"/>
  <c r="D1134" i="8"/>
  <c r="P1134" i="8" s="1"/>
  <c r="C1134" i="8"/>
  <c r="A1134" i="8"/>
  <c r="D1133" i="8"/>
  <c r="P1133" i="8" s="1"/>
  <c r="Q1133" i="8" s="1"/>
  <c r="C1133" i="8"/>
  <c r="A1133" i="8"/>
  <c r="Q1132" i="8"/>
  <c r="P1132" i="8"/>
  <c r="D1132" i="8"/>
  <c r="C1132" i="8"/>
  <c r="A1132" i="8"/>
  <c r="Q1131" i="8"/>
  <c r="C1131" i="8"/>
  <c r="D1131" i="8" s="1"/>
  <c r="P1131" i="8" s="1"/>
  <c r="A1131" i="8"/>
  <c r="D1130" i="8"/>
  <c r="P1130" i="8" s="1"/>
  <c r="C1130" i="8"/>
  <c r="A1130" i="8"/>
  <c r="Q1130" i="8" s="1"/>
  <c r="P1129" i="8"/>
  <c r="C1129" i="8"/>
  <c r="D1129" i="8" s="1"/>
  <c r="A1129" i="8"/>
  <c r="Q1129" i="8" s="1"/>
  <c r="P1128" i="8"/>
  <c r="D1128" i="8"/>
  <c r="C1128" i="8"/>
  <c r="A1128" i="8"/>
  <c r="D1127" i="8"/>
  <c r="P1127" i="8" s="1"/>
  <c r="C1127" i="8"/>
  <c r="A1127" i="8"/>
  <c r="Q1126" i="8"/>
  <c r="C1126" i="8"/>
  <c r="D1126" i="8" s="1"/>
  <c r="P1126" i="8" s="1"/>
  <c r="A1126" i="8"/>
  <c r="C1125" i="8"/>
  <c r="D1125" i="8" s="1"/>
  <c r="P1125" i="8" s="1"/>
  <c r="Q1125" i="8" s="1"/>
  <c r="A1125" i="8"/>
  <c r="C1124" i="8"/>
  <c r="D1124" i="8" s="1"/>
  <c r="P1124" i="8" s="1"/>
  <c r="A1124" i="8"/>
  <c r="D1123" i="8"/>
  <c r="P1123" i="8" s="1"/>
  <c r="C1123" i="8"/>
  <c r="A1123" i="8"/>
  <c r="Q1122" i="8"/>
  <c r="P1122" i="8"/>
  <c r="D1122" i="8"/>
  <c r="C1122" i="8"/>
  <c r="A1122" i="8"/>
  <c r="C1121" i="8"/>
  <c r="D1121" i="8" s="1"/>
  <c r="P1121" i="8" s="1"/>
  <c r="A1121" i="8"/>
  <c r="Q1121" i="8" s="1"/>
  <c r="P1120" i="8"/>
  <c r="D1120" i="8"/>
  <c r="C1120" i="8"/>
  <c r="A1120" i="8"/>
  <c r="C1119" i="8"/>
  <c r="D1119" i="8" s="1"/>
  <c r="P1119" i="8" s="1"/>
  <c r="Q1119" i="8" s="1"/>
  <c r="A1119" i="8"/>
  <c r="P1118" i="8"/>
  <c r="D1118" i="8"/>
  <c r="C1118" i="8"/>
  <c r="A1118" i="8"/>
  <c r="C1117" i="8"/>
  <c r="D1117" i="8" s="1"/>
  <c r="P1117" i="8" s="1"/>
  <c r="A1117" i="8"/>
  <c r="Q1117" i="8" s="1"/>
  <c r="D1116" i="8"/>
  <c r="P1116" i="8" s="1"/>
  <c r="Q1116" i="8" s="1"/>
  <c r="C1116" i="8"/>
  <c r="A1116" i="8"/>
  <c r="P1115" i="8"/>
  <c r="C1115" i="8"/>
  <c r="D1115" i="8" s="1"/>
  <c r="A1115" i="8"/>
  <c r="Q1114" i="8"/>
  <c r="D1114" i="8"/>
  <c r="P1114" i="8" s="1"/>
  <c r="C1114" i="8"/>
  <c r="A1114" i="8"/>
  <c r="C1113" i="8"/>
  <c r="D1113" i="8" s="1"/>
  <c r="P1113" i="8" s="1"/>
  <c r="Q1113" i="8" s="1"/>
  <c r="A1113" i="8"/>
  <c r="C1112" i="8"/>
  <c r="D1112" i="8" s="1"/>
  <c r="P1112" i="8" s="1"/>
  <c r="A1112" i="8"/>
  <c r="C1111" i="8"/>
  <c r="D1111" i="8" s="1"/>
  <c r="P1111" i="8" s="1"/>
  <c r="A1111" i="8"/>
  <c r="C1110" i="8"/>
  <c r="D1110" i="8" s="1"/>
  <c r="P1110" i="8" s="1"/>
  <c r="A1110" i="8"/>
  <c r="Q1109" i="8"/>
  <c r="P1109" i="8"/>
  <c r="C1109" i="8"/>
  <c r="D1109" i="8" s="1"/>
  <c r="A1109" i="8"/>
  <c r="Q1108" i="8"/>
  <c r="C1108" i="8"/>
  <c r="D1108" i="8" s="1"/>
  <c r="P1108" i="8" s="1"/>
  <c r="A1108" i="8"/>
  <c r="D1107" i="8"/>
  <c r="P1107" i="8" s="1"/>
  <c r="C1107" i="8"/>
  <c r="A1107" i="8"/>
  <c r="D1106" i="8"/>
  <c r="P1106" i="8" s="1"/>
  <c r="Q1106" i="8" s="1"/>
  <c r="C1106" i="8"/>
  <c r="A1106" i="8"/>
  <c r="C1105" i="8"/>
  <c r="D1105" i="8" s="1"/>
  <c r="P1105" i="8" s="1"/>
  <c r="A1105" i="8"/>
  <c r="Q1104" i="8"/>
  <c r="C1104" i="8"/>
  <c r="D1104" i="8" s="1"/>
  <c r="P1104" i="8" s="1"/>
  <c r="A1104" i="8"/>
  <c r="O1103" i="8" a="1"/>
  <c r="O1103" i="8" s="1"/>
  <c r="C1103" i="8"/>
  <c r="D1103" i="8" s="1"/>
  <c r="P1103" i="8" s="1"/>
  <c r="Q1103" i="8" s="1"/>
  <c r="A1103" i="8"/>
  <c r="P1102" i="8"/>
  <c r="D1102" i="8"/>
  <c r="C1102" i="8"/>
  <c r="A1102" i="8"/>
  <c r="Q1102" i="8" s="1"/>
  <c r="D1101" i="8"/>
  <c r="P1101" i="8" s="1"/>
  <c r="C1101" i="8"/>
  <c r="A1101" i="8"/>
  <c r="Q1100" i="8"/>
  <c r="P1100" i="8"/>
  <c r="C1100" i="8"/>
  <c r="D1100" i="8" s="1"/>
  <c r="A1100" i="8"/>
  <c r="D1099" i="8"/>
  <c r="P1099" i="8" s="1"/>
  <c r="Q1099" i="8" s="1"/>
  <c r="C1099" i="8"/>
  <c r="A1099" i="8"/>
  <c r="C1098" i="8"/>
  <c r="D1098" i="8" s="1"/>
  <c r="P1098" i="8" s="1"/>
  <c r="A1098" i="8"/>
  <c r="P1097" i="8"/>
  <c r="Q1097" i="8" s="1"/>
  <c r="D1097" i="8"/>
  <c r="C1097" i="8"/>
  <c r="A1097" i="8"/>
  <c r="D1096" i="8"/>
  <c r="P1096" i="8" s="1"/>
  <c r="C1096" i="8"/>
  <c r="A1096" i="8"/>
  <c r="C1095" i="8"/>
  <c r="D1095" i="8" s="1"/>
  <c r="P1095" i="8" s="1"/>
  <c r="Q1095" i="8" s="1"/>
  <c r="A1095" i="8"/>
  <c r="C1094" i="8"/>
  <c r="D1094" i="8" s="1"/>
  <c r="P1094" i="8" s="1"/>
  <c r="Q1094" i="8" s="1"/>
  <c r="A1094" i="8"/>
  <c r="C1093" i="8"/>
  <c r="D1093" i="8" s="1"/>
  <c r="P1093" i="8" s="1"/>
  <c r="A1093" i="8"/>
  <c r="C1092" i="8"/>
  <c r="D1092" i="8" s="1"/>
  <c r="P1092" i="8" s="1"/>
  <c r="A1092" i="8"/>
  <c r="Q1091" i="8"/>
  <c r="P1091" i="8"/>
  <c r="D1091" i="8"/>
  <c r="C1091" i="8"/>
  <c r="A1091" i="8"/>
  <c r="P1090" i="8"/>
  <c r="D1090" i="8"/>
  <c r="C1090" i="8"/>
  <c r="A1090" i="8"/>
  <c r="Q1090" i="8" s="1"/>
  <c r="C1089" i="8"/>
  <c r="D1089" i="8" s="1"/>
  <c r="P1089" i="8" s="1"/>
  <c r="A1089" i="8"/>
  <c r="D1088" i="8"/>
  <c r="P1088" i="8" s="1"/>
  <c r="C1088" i="8"/>
  <c r="A1088" i="8"/>
  <c r="Q1088" i="8" s="1"/>
  <c r="C1087" i="8"/>
  <c r="D1087" i="8" s="1"/>
  <c r="P1087" i="8" s="1"/>
  <c r="A1087" i="8"/>
  <c r="C1086" i="8"/>
  <c r="D1086" i="8" s="1"/>
  <c r="P1086" i="8" s="1"/>
  <c r="A1086" i="8"/>
  <c r="Q1086" i="8" s="1"/>
  <c r="P1085" i="8"/>
  <c r="C1085" i="8"/>
  <c r="D1085" i="8" s="1"/>
  <c r="A1085" i="8"/>
  <c r="P1084" i="8"/>
  <c r="Q1084" i="8" s="1"/>
  <c r="D1084" i="8"/>
  <c r="C1084" i="8"/>
  <c r="A1084" i="8"/>
  <c r="C1083" i="8"/>
  <c r="D1083" i="8" s="1"/>
  <c r="P1083" i="8" s="1"/>
  <c r="Q1083" i="8" s="1"/>
  <c r="A1083" i="8"/>
  <c r="D1082" i="8"/>
  <c r="P1082" i="8" s="1"/>
  <c r="Q1082" i="8" s="1"/>
  <c r="C1082" i="8"/>
  <c r="A1082" i="8"/>
  <c r="Q1081" i="8"/>
  <c r="P1081" i="8"/>
  <c r="D1081" i="8"/>
  <c r="C1081" i="8"/>
  <c r="A1081" i="8"/>
  <c r="D1080" i="8"/>
  <c r="P1080" i="8" s="1"/>
  <c r="C1080" i="8"/>
  <c r="A1080" i="8"/>
  <c r="Q1080" i="8" s="1"/>
  <c r="C1079" i="8"/>
  <c r="D1079" i="8" s="1"/>
  <c r="P1079" i="8" s="1"/>
  <c r="A1079" i="8"/>
  <c r="Q1079" i="8" s="1"/>
  <c r="I1078" i="8" a="1"/>
  <c r="I1078" i="8" s="1"/>
  <c r="C1078" i="8"/>
  <c r="D1078" i="8" s="1"/>
  <c r="P1078" i="8" s="1"/>
  <c r="A1078" i="8"/>
  <c r="Q1078" i="8" s="1"/>
  <c r="P1077" i="8"/>
  <c r="C1077" i="8"/>
  <c r="D1077" i="8" s="1"/>
  <c r="A1077" i="8"/>
  <c r="D1076" i="8"/>
  <c r="P1076" i="8" s="1"/>
  <c r="Q1076" i="8" s="1"/>
  <c r="C1076" i="8"/>
  <c r="A1076" i="8"/>
  <c r="C1075" i="8"/>
  <c r="D1075" i="8" s="1"/>
  <c r="P1075" i="8" s="1"/>
  <c r="Q1075" i="8" s="1"/>
  <c r="A1075" i="8"/>
  <c r="D1074" i="8"/>
  <c r="P1074" i="8" s="1"/>
  <c r="C1074" i="8"/>
  <c r="A1074" i="8"/>
  <c r="C1073" i="8"/>
  <c r="D1073" i="8" s="1"/>
  <c r="P1073" i="8" s="1"/>
  <c r="Q1073" i="8" s="1"/>
  <c r="A1073" i="8"/>
  <c r="Q1072" i="8"/>
  <c r="F1072" i="8" a="1"/>
  <c r="F1072" i="8" s="1"/>
  <c r="D1072" i="8"/>
  <c r="P1072" i="8" s="1"/>
  <c r="C1072" i="8"/>
  <c r="A1072" i="8"/>
  <c r="Q1071" i="8"/>
  <c r="C1071" i="8"/>
  <c r="D1071" i="8" s="1"/>
  <c r="P1071" i="8" s="1"/>
  <c r="A1071" i="8"/>
  <c r="C1070" i="8"/>
  <c r="D1070" i="8" s="1"/>
  <c r="P1070" i="8" s="1"/>
  <c r="A1070" i="8"/>
  <c r="Q1070" i="8" s="1"/>
  <c r="P1069" i="8"/>
  <c r="C1069" i="8"/>
  <c r="D1069" i="8" s="1"/>
  <c r="A1069" i="8"/>
  <c r="C1068" i="8"/>
  <c r="D1068" i="8" s="1"/>
  <c r="P1068" i="8" s="1"/>
  <c r="Q1068" i="8" s="1"/>
  <c r="A1068" i="8"/>
  <c r="C1067" i="8"/>
  <c r="D1067" i="8" s="1"/>
  <c r="P1067" i="8" s="1"/>
  <c r="Q1067" i="8" s="1"/>
  <c r="A1067" i="8"/>
  <c r="Q1066" i="8"/>
  <c r="C1066" i="8"/>
  <c r="D1066" i="8" s="1"/>
  <c r="P1066" i="8" s="1"/>
  <c r="A1066" i="8"/>
  <c r="D1065" i="8"/>
  <c r="P1065" i="8" s="1"/>
  <c r="C1065" i="8"/>
  <c r="A1065" i="8"/>
  <c r="Q1065" i="8" s="1"/>
  <c r="D1064" i="8"/>
  <c r="P1064" i="8" s="1"/>
  <c r="C1064" i="8"/>
  <c r="A1064" i="8"/>
  <c r="C1063" i="8"/>
  <c r="D1063" i="8" s="1"/>
  <c r="P1063" i="8" s="1"/>
  <c r="A1063" i="8"/>
  <c r="C1062" i="8"/>
  <c r="D1062" i="8" s="1"/>
  <c r="P1062" i="8" s="1"/>
  <c r="A1062" i="8"/>
  <c r="Q1062" i="8" s="1"/>
  <c r="C1061" i="8"/>
  <c r="D1061" i="8" s="1"/>
  <c r="P1061" i="8" s="1"/>
  <c r="A1061" i="8"/>
  <c r="C1060" i="8"/>
  <c r="D1060" i="8" s="1"/>
  <c r="P1060" i="8" s="1"/>
  <c r="Q1060" i="8" s="1"/>
  <c r="A1060" i="8"/>
  <c r="D1059" i="8"/>
  <c r="P1059" i="8" s="1"/>
  <c r="Q1059" i="8" s="1"/>
  <c r="C1059" i="8"/>
  <c r="A1059" i="8"/>
  <c r="D1058" i="8"/>
  <c r="P1058" i="8" s="1"/>
  <c r="Q1058" i="8" s="1"/>
  <c r="C1058" i="8"/>
  <c r="A1058" i="8"/>
  <c r="Q1057" i="8"/>
  <c r="D1057" i="8"/>
  <c r="P1057" i="8" s="1"/>
  <c r="C1057" i="8"/>
  <c r="A1057" i="8"/>
  <c r="D1056" i="8"/>
  <c r="P1056" i="8" s="1"/>
  <c r="C1056" i="8"/>
  <c r="A1056" i="8"/>
  <c r="Q1056" i="8" s="1"/>
  <c r="P1055" i="8"/>
  <c r="C1055" i="8"/>
  <c r="D1055" i="8" s="1"/>
  <c r="A1055" i="8"/>
  <c r="Q1055" i="8" s="1"/>
  <c r="P1054" i="8"/>
  <c r="C1054" i="8"/>
  <c r="D1054" i="8" s="1"/>
  <c r="A1054" i="8"/>
  <c r="Q1054" i="8" s="1"/>
  <c r="C1053" i="8"/>
  <c r="D1053" i="8" s="1"/>
  <c r="P1053" i="8" s="1"/>
  <c r="A1053" i="8"/>
  <c r="C1052" i="8"/>
  <c r="D1052" i="8" s="1"/>
  <c r="P1052" i="8" s="1"/>
  <c r="Q1052" i="8" s="1"/>
  <c r="A1052" i="8"/>
  <c r="Q1051" i="8"/>
  <c r="C1051" i="8"/>
  <c r="D1051" i="8" s="1"/>
  <c r="P1051" i="8" s="1"/>
  <c r="A1051" i="8"/>
  <c r="C1050" i="8"/>
  <c r="D1050" i="8" s="1"/>
  <c r="P1050" i="8" s="1"/>
  <c r="Q1050" i="8" s="1"/>
  <c r="A1050" i="8"/>
  <c r="D1049" i="8"/>
  <c r="P1049" i="8" s="1"/>
  <c r="C1049" i="8"/>
  <c r="A1049" i="8"/>
  <c r="Q1049" i="8" s="1"/>
  <c r="D1048" i="8"/>
  <c r="P1048" i="8" s="1"/>
  <c r="C1048" i="8"/>
  <c r="A1048" i="8"/>
  <c r="Q1048" i="8" s="1"/>
  <c r="C1047" i="8"/>
  <c r="D1047" i="8" s="1"/>
  <c r="P1047" i="8" s="1"/>
  <c r="A1047" i="8"/>
  <c r="C1046" i="8"/>
  <c r="D1046" i="8" s="1"/>
  <c r="P1046" i="8" s="1"/>
  <c r="A1046" i="8"/>
  <c r="Q1046" i="8" s="1"/>
  <c r="C1045" i="8"/>
  <c r="D1045" i="8" s="1"/>
  <c r="P1045" i="8" s="1"/>
  <c r="A1045" i="8"/>
  <c r="C1044" i="8"/>
  <c r="D1044" i="8" s="1"/>
  <c r="P1044" i="8" s="1"/>
  <c r="Q1044" i="8" s="1"/>
  <c r="A1044" i="8"/>
  <c r="D1043" i="8"/>
  <c r="P1043" i="8" s="1"/>
  <c r="Q1043" i="8" s="1"/>
  <c r="C1043" i="8"/>
  <c r="A1043" i="8"/>
  <c r="D1042" i="8"/>
  <c r="P1042" i="8" s="1"/>
  <c r="Q1042" i="8" s="1"/>
  <c r="C1042" i="8"/>
  <c r="A1042" i="8"/>
  <c r="Q1041" i="8"/>
  <c r="O1041" i="8" s="1" a="1"/>
  <c r="O1041" i="8" s="1"/>
  <c r="N1041" i="8" a="1"/>
  <c r="N1041" i="8" s="1"/>
  <c r="M1041" i="8" a="1"/>
  <c r="M1041" i="8" s="1"/>
  <c r="J1041" i="8" a="1"/>
  <c r="J1041" i="8" s="1"/>
  <c r="G1041" i="8" a="1"/>
  <c r="G1041" i="8" s="1"/>
  <c r="F1041" i="8" a="1"/>
  <c r="F1041" i="8" s="1"/>
  <c r="E1041" i="8" a="1"/>
  <c r="E1041" i="8" s="1"/>
  <c r="D1041" i="8"/>
  <c r="P1041" i="8" s="1"/>
  <c r="C1041" i="8"/>
  <c r="A1041" i="8"/>
  <c r="D1040" i="8"/>
  <c r="P1040" i="8" s="1"/>
  <c r="C1040" i="8"/>
  <c r="A1040" i="8"/>
  <c r="Q1040" i="8" s="1"/>
  <c r="P1039" i="8"/>
  <c r="C1039" i="8"/>
  <c r="D1039" i="8" s="1"/>
  <c r="A1039" i="8"/>
  <c r="Q1039" i="8" s="1"/>
  <c r="C1038" i="8"/>
  <c r="D1038" i="8" s="1"/>
  <c r="P1038" i="8" s="1"/>
  <c r="A1038" i="8"/>
  <c r="P1037" i="8"/>
  <c r="C1037" i="8"/>
  <c r="D1037" i="8" s="1"/>
  <c r="A1037" i="8"/>
  <c r="P1036" i="8"/>
  <c r="Q1036" i="8" s="1"/>
  <c r="C1036" i="8"/>
  <c r="D1036" i="8" s="1"/>
  <c r="A1036" i="8"/>
  <c r="C1035" i="8"/>
  <c r="D1035" i="8" s="1"/>
  <c r="P1035" i="8" s="1"/>
  <c r="Q1035" i="8" s="1"/>
  <c r="A1035" i="8"/>
  <c r="C1034" i="8"/>
  <c r="D1034" i="8" s="1"/>
  <c r="P1034" i="8" s="1"/>
  <c r="A1034" i="8"/>
  <c r="Q1034" i="8" s="1"/>
  <c r="D1033" i="8"/>
  <c r="P1033" i="8" s="1"/>
  <c r="C1033" i="8"/>
  <c r="A1033" i="8"/>
  <c r="Q1033" i="8" s="1"/>
  <c r="D1032" i="8"/>
  <c r="P1032" i="8" s="1"/>
  <c r="C1032" i="8"/>
  <c r="A1032" i="8"/>
  <c r="Q1032" i="8" s="1"/>
  <c r="C1031" i="8"/>
  <c r="D1031" i="8" s="1"/>
  <c r="P1031" i="8" s="1"/>
  <c r="A1031" i="8"/>
  <c r="C1030" i="8"/>
  <c r="D1030" i="8" s="1"/>
  <c r="P1030" i="8" s="1"/>
  <c r="A1030" i="8"/>
  <c r="P1029" i="8"/>
  <c r="C1029" i="8"/>
  <c r="D1029" i="8" s="1"/>
  <c r="A1029" i="8"/>
  <c r="C1028" i="8"/>
  <c r="D1028" i="8" s="1"/>
  <c r="P1028" i="8" s="1"/>
  <c r="A1028" i="8"/>
  <c r="P1027" i="8"/>
  <c r="Q1027" i="8" s="1"/>
  <c r="C1027" i="8"/>
  <c r="D1027" i="8" s="1"/>
  <c r="A1027" i="8"/>
  <c r="P1026" i="8"/>
  <c r="Q1026" i="8" s="1"/>
  <c r="D1026" i="8"/>
  <c r="C1026" i="8"/>
  <c r="A1026" i="8"/>
  <c r="D1025" i="8"/>
  <c r="P1025" i="8" s="1"/>
  <c r="C1025" i="8"/>
  <c r="A1025" i="8"/>
  <c r="D1024" i="8"/>
  <c r="P1024" i="8" s="1"/>
  <c r="C1024" i="8"/>
  <c r="A1024" i="8"/>
  <c r="Q1024" i="8" s="1"/>
  <c r="C1023" i="8"/>
  <c r="D1023" i="8" s="1"/>
  <c r="P1023" i="8" s="1"/>
  <c r="A1023" i="8"/>
  <c r="Q1023" i="8" s="1"/>
  <c r="C1022" i="8"/>
  <c r="D1022" i="8" s="1"/>
  <c r="P1022" i="8" s="1"/>
  <c r="Q1022" i="8" s="1"/>
  <c r="A1022" i="8"/>
  <c r="C1021" i="8"/>
  <c r="D1021" i="8" s="1"/>
  <c r="P1021" i="8" s="1"/>
  <c r="A1021" i="8"/>
  <c r="P1020" i="8"/>
  <c r="C1020" i="8"/>
  <c r="D1020" i="8" s="1"/>
  <c r="A1020" i="8"/>
  <c r="Q1020" i="8" s="1"/>
  <c r="D1019" i="8"/>
  <c r="P1019" i="8" s="1"/>
  <c r="Q1019" i="8" s="1"/>
  <c r="C1019" i="8"/>
  <c r="A1019" i="8"/>
  <c r="D1018" i="8"/>
  <c r="P1018" i="8" s="1"/>
  <c r="C1018" i="8"/>
  <c r="A1018" i="8"/>
  <c r="Q1018" i="8" s="1"/>
  <c r="D1017" i="8"/>
  <c r="P1017" i="8" s="1"/>
  <c r="C1017" i="8"/>
  <c r="A1017" i="8"/>
  <c r="Q1017" i="8" s="1"/>
  <c r="D1016" i="8"/>
  <c r="P1016" i="8" s="1"/>
  <c r="C1016" i="8"/>
  <c r="A1016" i="8"/>
  <c r="Q1016" i="8" s="1"/>
  <c r="D1015" i="8"/>
  <c r="P1015" i="8" s="1"/>
  <c r="C1015" i="8"/>
  <c r="A1015" i="8"/>
  <c r="C1014" i="8"/>
  <c r="D1014" i="8" s="1"/>
  <c r="P1014" i="8" s="1"/>
  <c r="A1014" i="8"/>
  <c r="Q1014" i="8" s="1"/>
  <c r="D1013" i="8"/>
  <c r="P1013" i="8" s="1"/>
  <c r="C1013" i="8"/>
  <c r="A1013" i="8"/>
  <c r="D1012" i="8"/>
  <c r="P1012" i="8" s="1"/>
  <c r="C1012" i="8"/>
  <c r="A1012" i="8"/>
  <c r="D1011" i="8"/>
  <c r="P1011" i="8" s="1"/>
  <c r="Q1011" i="8" s="1"/>
  <c r="C1011" i="8"/>
  <c r="A1011" i="8"/>
  <c r="P1010" i="8"/>
  <c r="Q1010" i="8" s="1"/>
  <c r="D1010" i="8"/>
  <c r="C1010" i="8"/>
  <c r="A1010" i="8"/>
  <c r="D1009" i="8"/>
  <c r="P1009" i="8" s="1"/>
  <c r="Q1009" i="8" s="1"/>
  <c r="C1009" i="8"/>
  <c r="A1009" i="8"/>
  <c r="P1008" i="8"/>
  <c r="M1008" i="8" a="1"/>
  <c r="M1008" i="8" s="1"/>
  <c r="D1008" i="8"/>
  <c r="C1008" i="8"/>
  <c r="A1008" i="8"/>
  <c r="Q1008" i="8" s="1"/>
  <c r="Q1007" i="8"/>
  <c r="P1007" i="8"/>
  <c r="H1007" i="8" a="1"/>
  <c r="H1007" i="8" s="1"/>
  <c r="G1007" i="8"/>
  <c r="G1007" i="8" a="1"/>
  <c r="F1007" i="8" a="1"/>
  <c r="F1007" i="8" s="1"/>
  <c r="C1007" i="8"/>
  <c r="D1007" i="8" s="1"/>
  <c r="A1007" i="8"/>
  <c r="Q1006" i="8"/>
  <c r="H1006" i="8" s="1" a="1"/>
  <c r="H1006" i="8" s="1"/>
  <c r="C1006" i="8"/>
  <c r="D1006" i="8" s="1"/>
  <c r="P1006" i="8" s="1"/>
  <c r="A1006" i="8"/>
  <c r="D1005" i="8"/>
  <c r="P1005" i="8" s="1"/>
  <c r="C1005" i="8"/>
  <c r="A1005" i="8"/>
  <c r="D1004" i="8"/>
  <c r="P1004" i="8" s="1"/>
  <c r="C1004" i="8"/>
  <c r="A1004" i="8"/>
  <c r="C1003" i="8"/>
  <c r="D1003" i="8" s="1"/>
  <c r="P1003" i="8" s="1"/>
  <c r="A1003" i="8"/>
  <c r="Q1003" i="8" s="1"/>
  <c r="Q1002" i="8"/>
  <c r="C1002" i="8"/>
  <c r="D1002" i="8" s="1"/>
  <c r="P1002" i="8" s="1"/>
  <c r="A1002" i="8"/>
  <c r="C1001" i="8"/>
  <c r="D1001" i="8" s="1"/>
  <c r="P1001" i="8" s="1"/>
  <c r="A1001" i="8"/>
  <c r="P1000" i="8"/>
  <c r="C1000" i="8"/>
  <c r="D1000" i="8" s="1"/>
  <c r="A1000" i="8"/>
  <c r="D999" i="8"/>
  <c r="P999" i="8" s="1"/>
  <c r="Q999" i="8" s="1"/>
  <c r="C999" i="8"/>
  <c r="A999" i="8"/>
  <c r="C998" i="8"/>
  <c r="D998" i="8" s="1"/>
  <c r="P998" i="8" s="1"/>
  <c r="Q998" i="8" s="1"/>
  <c r="A998" i="8"/>
  <c r="C997" i="8"/>
  <c r="D997" i="8" s="1"/>
  <c r="P997" i="8" s="1"/>
  <c r="Q997" i="8" s="1"/>
  <c r="A997" i="8"/>
  <c r="D996" i="8"/>
  <c r="P996" i="8" s="1"/>
  <c r="Q996" i="8" s="1"/>
  <c r="C996" i="8"/>
  <c r="A996" i="8"/>
  <c r="P995" i="8"/>
  <c r="D995" i="8"/>
  <c r="C995" i="8"/>
  <c r="A995" i="8"/>
  <c r="Q995" i="8" s="1"/>
  <c r="C994" i="8"/>
  <c r="D994" i="8" s="1"/>
  <c r="P994" i="8" s="1"/>
  <c r="A994" i="8"/>
  <c r="C993" i="8"/>
  <c r="D993" i="8" s="1"/>
  <c r="P993" i="8" s="1"/>
  <c r="A993" i="8"/>
  <c r="C992" i="8"/>
  <c r="D992" i="8" s="1"/>
  <c r="P992" i="8" s="1"/>
  <c r="Q992" i="8" s="1"/>
  <c r="A992" i="8"/>
  <c r="C991" i="8"/>
  <c r="D991" i="8" s="1"/>
  <c r="P991" i="8" s="1"/>
  <c r="Q991" i="8" s="1"/>
  <c r="A991" i="8"/>
  <c r="P990" i="8"/>
  <c r="D990" i="8"/>
  <c r="C990" i="8"/>
  <c r="A990" i="8"/>
  <c r="Q990" i="8" s="1"/>
  <c r="D989" i="8"/>
  <c r="P989" i="8" s="1"/>
  <c r="C989" i="8"/>
  <c r="A989" i="8"/>
  <c r="D988" i="8"/>
  <c r="P988" i="8" s="1"/>
  <c r="C988" i="8"/>
  <c r="A988" i="8"/>
  <c r="Q988" i="8" s="1"/>
  <c r="C987" i="8"/>
  <c r="D987" i="8" s="1"/>
  <c r="P987" i="8" s="1"/>
  <c r="A987" i="8"/>
  <c r="Q987" i="8" s="1"/>
  <c r="C986" i="8"/>
  <c r="D986" i="8" s="1"/>
  <c r="P986" i="8" s="1"/>
  <c r="Q986" i="8" s="1"/>
  <c r="A986" i="8"/>
  <c r="C985" i="8"/>
  <c r="D985" i="8" s="1"/>
  <c r="P985" i="8" s="1"/>
  <c r="A985" i="8"/>
  <c r="Q985" i="8" s="1"/>
  <c r="C984" i="8"/>
  <c r="D984" i="8" s="1"/>
  <c r="P984" i="8" s="1"/>
  <c r="A984" i="8"/>
  <c r="D983" i="8"/>
  <c r="P983" i="8" s="1"/>
  <c r="Q983" i="8" s="1"/>
  <c r="C983" i="8"/>
  <c r="A983" i="8"/>
  <c r="C982" i="8"/>
  <c r="D982" i="8" s="1"/>
  <c r="P982" i="8" s="1"/>
  <c r="Q982" i="8" s="1"/>
  <c r="A982" i="8"/>
  <c r="Q981" i="8"/>
  <c r="D981" i="8"/>
  <c r="P981" i="8" s="1"/>
  <c r="C981" i="8"/>
  <c r="A981" i="8"/>
  <c r="Q980" i="8"/>
  <c r="D980" i="8"/>
  <c r="P980" i="8" s="1"/>
  <c r="C980" i="8"/>
  <c r="A980" i="8"/>
  <c r="P979" i="8"/>
  <c r="D979" i="8"/>
  <c r="C979" i="8"/>
  <c r="A979" i="8"/>
  <c r="C978" i="8"/>
  <c r="D978" i="8" s="1"/>
  <c r="P978" i="8" s="1"/>
  <c r="A978" i="8"/>
  <c r="C977" i="8"/>
  <c r="D977" i="8" s="1"/>
  <c r="P977" i="8" s="1"/>
  <c r="A977" i="8"/>
  <c r="Q976" i="8"/>
  <c r="P976" i="8"/>
  <c r="C976" i="8"/>
  <c r="D976" i="8" s="1"/>
  <c r="A976" i="8"/>
  <c r="D975" i="8"/>
  <c r="P975" i="8" s="1"/>
  <c r="Q975" i="8" s="1"/>
  <c r="C975" i="8"/>
  <c r="A975" i="8"/>
  <c r="P974" i="8"/>
  <c r="D974" i="8"/>
  <c r="C974" i="8"/>
  <c r="A974" i="8"/>
  <c r="Q974" i="8" s="1"/>
  <c r="O973" i="8" a="1"/>
  <c r="O973" i="8" s="1"/>
  <c r="D973" i="8"/>
  <c r="P973" i="8" s="1"/>
  <c r="C973" i="8"/>
  <c r="A973" i="8"/>
  <c r="Q973" i="8" s="1"/>
  <c r="D972" i="8"/>
  <c r="P972" i="8" s="1"/>
  <c r="C972" i="8"/>
  <c r="A972" i="8"/>
  <c r="L971" i="8" a="1"/>
  <c r="L971" i="8" s="1"/>
  <c r="C971" i="8"/>
  <c r="D971" i="8" s="1"/>
  <c r="P971" i="8" s="1"/>
  <c r="Q971" i="8" s="1"/>
  <c r="A971" i="8"/>
  <c r="Q970" i="8"/>
  <c r="C970" i="8"/>
  <c r="D970" i="8" s="1"/>
  <c r="P970" i="8" s="1"/>
  <c r="A970" i="8"/>
  <c r="P969" i="8"/>
  <c r="C969" i="8"/>
  <c r="D969" i="8" s="1"/>
  <c r="A969" i="8"/>
  <c r="Q969" i="8" s="1"/>
  <c r="P968" i="8"/>
  <c r="D968" i="8"/>
  <c r="C968" i="8"/>
  <c r="A968" i="8"/>
  <c r="D967" i="8"/>
  <c r="P967" i="8" s="1"/>
  <c r="Q967" i="8" s="1"/>
  <c r="C967" i="8"/>
  <c r="A967" i="8"/>
  <c r="Q966" i="8"/>
  <c r="C966" i="8"/>
  <c r="D966" i="8" s="1"/>
  <c r="P966" i="8" s="1"/>
  <c r="A966" i="8"/>
  <c r="C965" i="8"/>
  <c r="D965" i="8" s="1"/>
  <c r="P965" i="8" s="1"/>
  <c r="Q965" i="8" s="1"/>
  <c r="A965" i="8"/>
  <c r="D964" i="8"/>
  <c r="P964" i="8" s="1"/>
  <c r="Q964" i="8" s="1"/>
  <c r="C964" i="8"/>
  <c r="A964" i="8"/>
  <c r="D963" i="8"/>
  <c r="P963" i="8" s="1"/>
  <c r="C963" i="8"/>
  <c r="A963" i="8"/>
  <c r="D962" i="8"/>
  <c r="P962" i="8" s="1"/>
  <c r="C962" i="8"/>
  <c r="A962" i="8"/>
  <c r="P961" i="8"/>
  <c r="C961" i="8"/>
  <c r="D961" i="8" s="1"/>
  <c r="A961" i="8"/>
  <c r="Q961" i="8" s="1"/>
  <c r="Q960" i="8"/>
  <c r="P960" i="8"/>
  <c r="C960" i="8"/>
  <c r="D960" i="8" s="1"/>
  <c r="A960" i="8"/>
  <c r="Q959" i="8"/>
  <c r="C959" i="8"/>
  <c r="D959" i="8" s="1"/>
  <c r="P959" i="8" s="1"/>
  <c r="A959" i="8"/>
  <c r="P958" i="8"/>
  <c r="D958" i="8"/>
  <c r="C958" i="8"/>
  <c r="A958" i="8"/>
  <c r="Q957" i="8"/>
  <c r="P957" i="8"/>
  <c r="D957" i="8"/>
  <c r="C957" i="8"/>
  <c r="A957" i="8"/>
  <c r="M956" i="8" a="1"/>
  <c r="M956" i="8" s="1"/>
  <c r="I956" i="8" a="1"/>
  <c r="I956" i="8" s="1"/>
  <c r="E956" i="8" a="1"/>
  <c r="E956" i="8" s="1"/>
  <c r="D956" i="8"/>
  <c r="P956" i="8" s="1"/>
  <c r="C956" i="8"/>
  <c r="A956" i="8"/>
  <c r="Q956" i="8" s="1"/>
  <c r="Q955" i="8"/>
  <c r="D955" i="8"/>
  <c r="P955" i="8" s="1"/>
  <c r="C955" i="8"/>
  <c r="A955" i="8"/>
  <c r="Q954" i="8"/>
  <c r="P954" i="8"/>
  <c r="D954" i="8"/>
  <c r="C954" i="8"/>
  <c r="A954" i="8"/>
  <c r="P953" i="8"/>
  <c r="C953" i="8"/>
  <c r="D953" i="8" s="1"/>
  <c r="A953" i="8"/>
  <c r="P952" i="8"/>
  <c r="C952" i="8"/>
  <c r="D952" i="8" s="1"/>
  <c r="A952" i="8"/>
  <c r="C951" i="8"/>
  <c r="D951" i="8" s="1"/>
  <c r="P951" i="8" s="1"/>
  <c r="Q951" i="8" s="1"/>
  <c r="A951" i="8"/>
  <c r="D950" i="8"/>
  <c r="P950" i="8" s="1"/>
  <c r="Q950" i="8" s="1"/>
  <c r="C950" i="8"/>
  <c r="A950" i="8"/>
  <c r="P949" i="8"/>
  <c r="D949" i="8"/>
  <c r="C949" i="8"/>
  <c r="A949" i="8"/>
  <c r="Q948" i="8"/>
  <c r="D948" i="8"/>
  <c r="P948" i="8" s="1"/>
  <c r="C948" i="8"/>
  <c r="A948" i="8"/>
  <c r="D947" i="8"/>
  <c r="P947" i="8" s="1"/>
  <c r="Q947" i="8" s="1"/>
  <c r="C947" i="8"/>
  <c r="A947" i="8"/>
  <c r="H946" i="8" a="1"/>
  <c r="H946" i="8" s="1"/>
  <c r="E946" i="8" a="1"/>
  <c r="E946" i="8" s="1"/>
  <c r="C946" i="8"/>
  <c r="D946" i="8" s="1"/>
  <c r="P946" i="8" s="1"/>
  <c r="A946" i="8"/>
  <c r="Q946" i="8" s="1"/>
  <c r="P945" i="8"/>
  <c r="C945" i="8"/>
  <c r="D945" i="8" s="1"/>
  <c r="A945" i="8"/>
  <c r="P944" i="8"/>
  <c r="C944" i="8"/>
  <c r="D944" i="8" s="1"/>
  <c r="A944" i="8"/>
  <c r="D943" i="8"/>
  <c r="P943" i="8" s="1"/>
  <c r="Q943" i="8" s="1"/>
  <c r="C943" i="8"/>
  <c r="A943" i="8"/>
  <c r="Q942" i="8"/>
  <c r="N942" i="8" a="1"/>
  <c r="N942" i="8" s="1"/>
  <c r="D942" i="8"/>
  <c r="P942" i="8" s="1"/>
  <c r="C942" i="8"/>
  <c r="A942" i="8"/>
  <c r="C941" i="8"/>
  <c r="D941" i="8" s="1"/>
  <c r="P941" i="8" s="1"/>
  <c r="Q941" i="8" s="1"/>
  <c r="A941" i="8"/>
  <c r="C940" i="8"/>
  <c r="D940" i="8" s="1"/>
  <c r="P940" i="8" s="1"/>
  <c r="A940" i="8"/>
  <c r="C939" i="8"/>
  <c r="D939" i="8" s="1"/>
  <c r="P939" i="8" s="1"/>
  <c r="A939" i="8"/>
  <c r="Q939" i="8" s="1"/>
  <c r="D938" i="8"/>
  <c r="P938" i="8" s="1"/>
  <c r="C938" i="8"/>
  <c r="A938" i="8"/>
  <c r="C937" i="8"/>
  <c r="D937" i="8" s="1"/>
  <c r="P937" i="8" s="1"/>
  <c r="Q937" i="8" s="1"/>
  <c r="A937" i="8"/>
  <c r="C936" i="8"/>
  <c r="D936" i="8" s="1"/>
  <c r="P936" i="8" s="1"/>
  <c r="Q936" i="8" s="1"/>
  <c r="A936" i="8"/>
  <c r="M935" i="8" a="1"/>
  <c r="M935" i="8" s="1"/>
  <c r="L935" i="8" a="1"/>
  <c r="L935" i="8" s="1"/>
  <c r="J935" i="8" a="1"/>
  <c r="J935" i="8" s="1"/>
  <c r="G935" i="8" a="1"/>
  <c r="G935" i="8" s="1"/>
  <c r="C935" i="8"/>
  <c r="D935" i="8" s="1"/>
  <c r="P935" i="8" s="1"/>
  <c r="A935" i="8"/>
  <c r="Q935" i="8" s="1"/>
  <c r="O935" i="8" s="1" a="1"/>
  <c r="O935" i="8" s="1"/>
  <c r="D934" i="8"/>
  <c r="P934" i="8" s="1"/>
  <c r="C934" i="8"/>
  <c r="A934" i="8"/>
  <c r="Q933" i="8"/>
  <c r="P933" i="8"/>
  <c r="D933" i="8"/>
  <c r="C933" i="8"/>
  <c r="A933" i="8"/>
  <c r="D932" i="8"/>
  <c r="P932" i="8" s="1"/>
  <c r="C932" i="8"/>
  <c r="A932" i="8"/>
  <c r="Q932" i="8" s="1"/>
  <c r="P931" i="8"/>
  <c r="C931" i="8"/>
  <c r="D931" i="8" s="1"/>
  <c r="A931" i="8"/>
  <c r="C930" i="8"/>
  <c r="D930" i="8" s="1"/>
  <c r="P930" i="8" s="1"/>
  <c r="Q930" i="8" s="1"/>
  <c r="A930" i="8"/>
  <c r="P929" i="8"/>
  <c r="Q929" i="8" s="1"/>
  <c r="D929" i="8"/>
  <c r="C929" i="8"/>
  <c r="A929" i="8"/>
  <c r="P928" i="8"/>
  <c r="D928" i="8"/>
  <c r="C928" i="8"/>
  <c r="A928" i="8"/>
  <c r="Q928" i="8" s="1"/>
  <c r="P927" i="8"/>
  <c r="D927" i="8"/>
  <c r="C927" i="8"/>
  <c r="A927" i="8"/>
  <c r="D926" i="8"/>
  <c r="P926" i="8" s="1"/>
  <c r="C926" i="8"/>
  <c r="A926" i="8"/>
  <c r="Q926" i="8" s="1"/>
  <c r="C925" i="8"/>
  <c r="D925" i="8" s="1"/>
  <c r="P925" i="8" s="1"/>
  <c r="Q925" i="8" s="1"/>
  <c r="A925" i="8"/>
  <c r="C924" i="8"/>
  <c r="D924" i="8" s="1"/>
  <c r="P924" i="8" s="1"/>
  <c r="A924" i="8"/>
  <c r="C923" i="8"/>
  <c r="D923" i="8" s="1"/>
  <c r="P923" i="8" s="1"/>
  <c r="A923" i="8"/>
  <c r="D922" i="8"/>
  <c r="P922" i="8" s="1"/>
  <c r="C922" i="8"/>
  <c r="A922" i="8"/>
  <c r="C921" i="8"/>
  <c r="D921" i="8" s="1"/>
  <c r="P921" i="8" s="1"/>
  <c r="Q921" i="8" s="1"/>
  <c r="A921" i="8"/>
  <c r="P920" i="8"/>
  <c r="Q920" i="8" s="1"/>
  <c r="C920" i="8"/>
  <c r="D920" i="8" s="1"/>
  <c r="A920" i="8"/>
  <c r="C919" i="8"/>
  <c r="D919" i="8" s="1"/>
  <c r="P919" i="8" s="1"/>
  <c r="A919" i="8"/>
  <c r="D918" i="8"/>
  <c r="P918" i="8" s="1"/>
  <c r="C918" i="8"/>
  <c r="A918" i="8"/>
  <c r="P917" i="8"/>
  <c r="Q917" i="8" s="1"/>
  <c r="D917" i="8"/>
  <c r="C917" i="8"/>
  <c r="A917" i="8"/>
  <c r="C916" i="8"/>
  <c r="D916" i="8" s="1"/>
  <c r="P916" i="8" s="1"/>
  <c r="A916" i="8"/>
  <c r="Q916" i="8" s="1"/>
  <c r="P915" i="8"/>
  <c r="C915" i="8"/>
  <c r="D915" i="8" s="1"/>
  <c r="A915" i="8"/>
  <c r="Q915" i="8" s="1"/>
  <c r="C914" i="8"/>
  <c r="D914" i="8" s="1"/>
  <c r="P914" i="8" s="1"/>
  <c r="Q914" i="8" s="1"/>
  <c r="A914" i="8"/>
  <c r="C913" i="8"/>
  <c r="D913" i="8" s="1"/>
  <c r="P913" i="8" s="1"/>
  <c r="Q913" i="8" s="1"/>
  <c r="A913" i="8"/>
  <c r="D912" i="8"/>
  <c r="P912" i="8" s="1"/>
  <c r="C912" i="8"/>
  <c r="A912" i="8"/>
  <c r="Q912" i="8" s="1"/>
  <c r="D911" i="8"/>
  <c r="P911" i="8" s="1"/>
  <c r="C911" i="8"/>
  <c r="A911" i="8"/>
  <c r="D910" i="8"/>
  <c r="P910" i="8" s="1"/>
  <c r="C910" i="8"/>
  <c r="A910" i="8"/>
  <c r="Q910" i="8" s="1"/>
  <c r="Q909" i="8"/>
  <c r="C909" i="8"/>
  <c r="D909" i="8" s="1"/>
  <c r="P909" i="8" s="1"/>
  <c r="A909" i="8"/>
  <c r="E908" i="8" a="1"/>
  <c r="E908" i="8" s="1"/>
  <c r="C908" i="8"/>
  <c r="D908" i="8" s="1"/>
  <c r="P908" i="8" s="1"/>
  <c r="Q908" i="8" s="1"/>
  <c r="A908" i="8"/>
  <c r="C907" i="8"/>
  <c r="D907" i="8" s="1"/>
  <c r="P907" i="8" s="1"/>
  <c r="A907" i="8"/>
  <c r="P906" i="8"/>
  <c r="Q906" i="8" s="1"/>
  <c r="D906" i="8"/>
  <c r="C906" i="8"/>
  <c r="A906" i="8"/>
  <c r="D905" i="8"/>
  <c r="P905" i="8" s="1"/>
  <c r="Q905" i="8" s="1"/>
  <c r="C905" i="8"/>
  <c r="A905" i="8"/>
  <c r="C904" i="8"/>
  <c r="D904" i="8" s="1"/>
  <c r="P904" i="8" s="1"/>
  <c r="A904" i="8"/>
  <c r="Q904" i="8" s="1"/>
  <c r="C903" i="8"/>
  <c r="D903" i="8" s="1"/>
  <c r="P903" i="8" s="1"/>
  <c r="A903" i="8"/>
  <c r="Q903" i="8" s="1"/>
  <c r="G902" i="8" a="1"/>
  <c r="G902" i="8" s="1"/>
  <c r="D902" i="8"/>
  <c r="P902" i="8" s="1"/>
  <c r="C902" i="8"/>
  <c r="A902" i="8"/>
  <c r="Q902" i="8" s="1"/>
  <c r="P901" i="8"/>
  <c r="Q901" i="8" s="1"/>
  <c r="M901" i="8" s="1" a="1"/>
  <c r="M901" i="8" s="1"/>
  <c r="L901" i="8" a="1"/>
  <c r="L901" i="8" s="1"/>
  <c r="E901" i="8" a="1"/>
  <c r="E901" i="8" s="1"/>
  <c r="D901" i="8"/>
  <c r="C901" i="8"/>
  <c r="A901" i="8"/>
  <c r="D900" i="8"/>
  <c r="P900" i="8" s="1"/>
  <c r="C900" i="8"/>
  <c r="A900" i="8"/>
  <c r="P899" i="8"/>
  <c r="C899" i="8"/>
  <c r="D899" i="8" s="1"/>
  <c r="A899" i="8"/>
  <c r="Q898" i="8"/>
  <c r="D898" i="8"/>
  <c r="P898" i="8" s="1"/>
  <c r="C898" i="8"/>
  <c r="A898" i="8"/>
  <c r="K897" i="8" a="1"/>
  <c r="K897" i="8" s="1"/>
  <c r="C897" i="8"/>
  <c r="D897" i="8" s="1"/>
  <c r="P897" i="8" s="1"/>
  <c r="Q897" i="8" s="1"/>
  <c r="A897" i="8"/>
  <c r="G896" i="8" a="1"/>
  <c r="G896" i="8" s="1"/>
  <c r="C896" i="8"/>
  <c r="D896" i="8" s="1"/>
  <c r="P896" i="8" s="1"/>
  <c r="Q896" i="8" s="1"/>
  <c r="A896" i="8"/>
  <c r="D895" i="8"/>
  <c r="P895" i="8" s="1"/>
  <c r="C895" i="8"/>
  <c r="A895" i="8"/>
  <c r="Q894" i="8"/>
  <c r="D894" i="8"/>
  <c r="P894" i="8" s="1"/>
  <c r="C894" i="8"/>
  <c r="A894" i="8"/>
  <c r="D893" i="8"/>
  <c r="P893" i="8" s="1"/>
  <c r="Q893" i="8" s="1"/>
  <c r="C893" i="8"/>
  <c r="A893" i="8"/>
  <c r="C892" i="8"/>
  <c r="D892" i="8" s="1"/>
  <c r="P892" i="8" s="1"/>
  <c r="A892" i="8"/>
  <c r="Q892" i="8" s="1"/>
  <c r="C891" i="8"/>
  <c r="D891" i="8" s="1"/>
  <c r="P891" i="8" s="1"/>
  <c r="A891" i="8"/>
  <c r="P890" i="8"/>
  <c r="H890" i="8" a="1"/>
  <c r="H890" i="8" s="1"/>
  <c r="G890" i="8" a="1"/>
  <c r="G890" i="8" s="1"/>
  <c r="D890" i="8"/>
  <c r="C890" i="8"/>
  <c r="A890" i="8"/>
  <c r="Q890" i="8" s="1"/>
  <c r="O890" i="8" s="1" a="1"/>
  <c r="O890" i="8" s="1"/>
  <c r="C889" i="8"/>
  <c r="D889" i="8" s="1"/>
  <c r="P889" i="8" s="1"/>
  <c r="Q889" i="8" s="1"/>
  <c r="A889" i="8"/>
  <c r="C888" i="8"/>
  <c r="D888" i="8" s="1"/>
  <c r="P888" i="8" s="1"/>
  <c r="A888" i="8"/>
  <c r="C887" i="8"/>
  <c r="D887" i="8" s="1"/>
  <c r="P887" i="8" s="1"/>
  <c r="A887" i="8"/>
  <c r="D886" i="8"/>
  <c r="P886" i="8" s="1"/>
  <c r="Q886" i="8" s="1"/>
  <c r="C886" i="8"/>
  <c r="A886" i="8"/>
  <c r="C885" i="8"/>
  <c r="D885" i="8" s="1"/>
  <c r="P885" i="8" s="1"/>
  <c r="A885" i="8"/>
  <c r="Q885" i="8" s="1"/>
  <c r="D884" i="8"/>
  <c r="P884" i="8" s="1"/>
  <c r="C884" i="8"/>
  <c r="A884" i="8"/>
  <c r="P883" i="8"/>
  <c r="C883" i="8"/>
  <c r="D883" i="8" s="1"/>
  <c r="A883" i="8"/>
  <c r="Q883" i="8" s="1"/>
  <c r="C882" i="8"/>
  <c r="D882" i="8" s="1"/>
  <c r="P882" i="8" s="1"/>
  <c r="Q882" i="8" s="1"/>
  <c r="A882" i="8"/>
  <c r="D881" i="8"/>
  <c r="P881" i="8" s="1"/>
  <c r="Q881" i="8" s="1"/>
  <c r="C881" i="8"/>
  <c r="A881" i="8"/>
  <c r="P880" i="8"/>
  <c r="D880" i="8"/>
  <c r="C880" i="8"/>
  <c r="A880" i="8"/>
  <c r="C879" i="8"/>
  <c r="D879" i="8" s="1"/>
  <c r="P879" i="8" s="1"/>
  <c r="A879" i="8"/>
  <c r="P878" i="8"/>
  <c r="H878" i="8" a="1"/>
  <c r="H878" i="8" s="1"/>
  <c r="D878" i="8"/>
  <c r="C878" i="8"/>
  <c r="A878" i="8"/>
  <c r="Q878" i="8" s="1"/>
  <c r="Q877" i="8"/>
  <c r="D877" i="8"/>
  <c r="P877" i="8" s="1"/>
  <c r="C877" i="8"/>
  <c r="A877" i="8"/>
  <c r="C876" i="8"/>
  <c r="D876" i="8" s="1"/>
  <c r="P876" i="8" s="1"/>
  <c r="A876" i="8"/>
  <c r="C875" i="8"/>
  <c r="D875" i="8" s="1"/>
  <c r="P875" i="8" s="1"/>
  <c r="A875" i="8"/>
  <c r="C874" i="8"/>
  <c r="D874" i="8" s="1"/>
  <c r="P874" i="8" s="1"/>
  <c r="A874" i="8"/>
  <c r="C873" i="8"/>
  <c r="D873" i="8" s="1"/>
  <c r="P873" i="8" s="1"/>
  <c r="A873" i="8"/>
  <c r="P872" i="8"/>
  <c r="Q872" i="8" s="1"/>
  <c r="D872" i="8"/>
  <c r="C872" i="8"/>
  <c r="A872" i="8"/>
  <c r="P871" i="8"/>
  <c r="C871" i="8"/>
  <c r="D871" i="8" s="1"/>
  <c r="A871" i="8"/>
  <c r="Q871" i="8" s="1"/>
  <c r="D870" i="8"/>
  <c r="P870" i="8" s="1"/>
  <c r="C870" i="8"/>
  <c r="A870" i="8"/>
  <c r="J869" i="8"/>
  <c r="J869" i="8" a="1"/>
  <c r="D869" i="8"/>
  <c r="P869" i="8" s="1"/>
  <c r="Q869" i="8" s="1"/>
  <c r="C869" i="8"/>
  <c r="A869" i="8"/>
  <c r="Q868" i="8"/>
  <c r="N868" i="8" s="1" a="1"/>
  <c r="N868" i="8" s="1"/>
  <c r="P868" i="8"/>
  <c r="O868" i="8" a="1"/>
  <c r="O868" i="8" s="1"/>
  <c r="J868" i="8" a="1"/>
  <c r="J868" i="8" s="1"/>
  <c r="G868" i="8" a="1"/>
  <c r="G868" i="8" s="1"/>
  <c r="F868" i="8" a="1"/>
  <c r="F868" i="8" s="1"/>
  <c r="D868" i="8"/>
  <c r="C868" i="8"/>
  <c r="A868" i="8"/>
  <c r="C867" i="8"/>
  <c r="D867" i="8" s="1"/>
  <c r="P867" i="8" s="1"/>
  <c r="A867" i="8"/>
  <c r="C866" i="8"/>
  <c r="D866" i="8" s="1"/>
  <c r="P866" i="8" s="1"/>
  <c r="A866" i="8"/>
  <c r="C865" i="8"/>
  <c r="D865" i="8" s="1"/>
  <c r="P865" i="8" s="1"/>
  <c r="Q865" i="8" s="1"/>
  <c r="A865" i="8"/>
  <c r="L864" i="8"/>
  <c r="L864" i="8" a="1"/>
  <c r="H864" i="8" a="1"/>
  <c r="H864" i="8" s="1"/>
  <c r="D864" i="8"/>
  <c r="P864" i="8" s="1"/>
  <c r="Q864" i="8" s="1"/>
  <c r="C864" i="8"/>
  <c r="A864" i="8"/>
  <c r="P863" i="8"/>
  <c r="C863" i="8"/>
  <c r="D863" i="8" s="1"/>
  <c r="A863" i="8"/>
  <c r="P862" i="8"/>
  <c r="D862" i="8"/>
  <c r="C862" i="8"/>
  <c r="A862" i="8"/>
  <c r="Q862" i="8" s="1"/>
  <c r="D861" i="8"/>
  <c r="P861" i="8" s="1"/>
  <c r="Q861" i="8" s="1"/>
  <c r="C861" i="8"/>
  <c r="A861" i="8"/>
  <c r="D860" i="8"/>
  <c r="P860" i="8" s="1"/>
  <c r="C860" i="8"/>
  <c r="A860" i="8"/>
  <c r="Q860" i="8" s="1"/>
  <c r="C859" i="8"/>
  <c r="D859" i="8" s="1"/>
  <c r="P859" i="8" s="1"/>
  <c r="Q859" i="8" s="1"/>
  <c r="A859" i="8"/>
  <c r="C858" i="8"/>
  <c r="D858" i="8" s="1"/>
  <c r="P858" i="8" s="1"/>
  <c r="A858" i="8"/>
  <c r="D857" i="8"/>
  <c r="P857" i="8" s="1"/>
  <c r="C857" i="8"/>
  <c r="A857" i="8"/>
  <c r="L856" i="8" a="1"/>
  <c r="L856" i="8" s="1"/>
  <c r="C856" i="8"/>
  <c r="D856" i="8" s="1"/>
  <c r="P856" i="8" s="1"/>
  <c r="Q856" i="8" s="1"/>
  <c r="A856" i="8"/>
  <c r="C855" i="8"/>
  <c r="D855" i="8" s="1"/>
  <c r="P855" i="8" s="1"/>
  <c r="A855" i="8"/>
  <c r="C854" i="8"/>
  <c r="D854" i="8" s="1"/>
  <c r="P854" i="8" s="1"/>
  <c r="A854" i="8"/>
  <c r="D853" i="8"/>
  <c r="P853" i="8" s="1"/>
  <c r="Q853" i="8" s="1"/>
  <c r="C853" i="8"/>
  <c r="A853" i="8"/>
  <c r="D852" i="8"/>
  <c r="P852" i="8" s="1"/>
  <c r="Q852" i="8" s="1"/>
  <c r="C852" i="8"/>
  <c r="A852" i="8"/>
  <c r="D851" i="8"/>
  <c r="P851" i="8" s="1"/>
  <c r="C851" i="8"/>
  <c r="A851" i="8"/>
  <c r="C850" i="8"/>
  <c r="D850" i="8" s="1"/>
  <c r="P850" i="8" s="1"/>
  <c r="A850" i="8"/>
  <c r="Q850" i="8" s="1"/>
  <c r="C849" i="8"/>
  <c r="D849" i="8" s="1"/>
  <c r="P849" i="8" s="1"/>
  <c r="Q849" i="8" s="1"/>
  <c r="A849" i="8"/>
  <c r="D848" i="8"/>
  <c r="P848" i="8" s="1"/>
  <c r="Q848" i="8" s="1"/>
  <c r="C848" i="8"/>
  <c r="A848" i="8"/>
  <c r="C847" i="8"/>
  <c r="D847" i="8" s="1"/>
  <c r="P847" i="8" s="1"/>
  <c r="A847" i="8"/>
  <c r="D846" i="8"/>
  <c r="P846" i="8" s="1"/>
  <c r="C846" i="8"/>
  <c r="A846" i="8"/>
  <c r="D845" i="8"/>
  <c r="P845" i="8" s="1"/>
  <c r="Q845" i="8" s="1"/>
  <c r="C845" i="8"/>
  <c r="A845" i="8"/>
  <c r="D844" i="8"/>
  <c r="P844" i="8" s="1"/>
  <c r="Q844" i="8" s="1"/>
  <c r="C844" i="8"/>
  <c r="A844" i="8"/>
  <c r="L843" i="8" a="1"/>
  <c r="L843" i="8" s="1"/>
  <c r="I843" i="8" a="1"/>
  <c r="I843" i="8" s="1"/>
  <c r="C843" i="8"/>
  <c r="D843" i="8" s="1"/>
  <c r="P843" i="8" s="1"/>
  <c r="Q843" i="8" s="1"/>
  <c r="A843" i="8"/>
  <c r="C842" i="8"/>
  <c r="D842" i="8" s="1"/>
  <c r="P842" i="8" s="1"/>
  <c r="A842" i="8"/>
  <c r="D841" i="8"/>
  <c r="P841" i="8" s="1"/>
  <c r="C841" i="8"/>
  <c r="A841" i="8"/>
  <c r="F840" i="8" a="1"/>
  <c r="F840" i="8" s="1"/>
  <c r="D840" i="8"/>
  <c r="P840" i="8" s="1"/>
  <c r="Q840" i="8" s="1"/>
  <c r="C840" i="8"/>
  <c r="A840" i="8"/>
  <c r="P839" i="8"/>
  <c r="C839" i="8"/>
  <c r="D839" i="8" s="1"/>
  <c r="A839" i="8"/>
  <c r="C838" i="8"/>
  <c r="D838" i="8" s="1"/>
  <c r="P838" i="8" s="1"/>
  <c r="Q838" i="8" s="1"/>
  <c r="A838" i="8"/>
  <c r="D837" i="8"/>
  <c r="P837" i="8" s="1"/>
  <c r="Q837" i="8" s="1"/>
  <c r="C837" i="8"/>
  <c r="A837" i="8"/>
  <c r="L836" i="8" a="1"/>
  <c r="L836" i="8" s="1"/>
  <c r="D836" i="8"/>
  <c r="P836" i="8" s="1"/>
  <c r="Q836" i="8" s="1"/>
  <c r="C836" i="8"/>
  <c r="A836" i="8"/>
  <c r="D835" i="8"/>
  <c r="P835" i="8" s="1"/>
  <c r="Q835" i="8" s="1"/>
  <c r="C835" i="8"/>
  <c r="A835" i="8"/>
  <c r="C834" i="8"/>
  <c r="D834" i="8" s="1"/>
  <c r="P834" i="8" s="1"/>
  <c r="A834" i="8"/>
  <c r="P833" i="8"/>
  <c r="D833" i="8"/>
  <c r="C833" i="8"/>
  <c r="A833" i="8"/>
  <c r="Q833" i="8" s="1"/>
  <c r="C832" i="8"/>
  <c r="D832" i="8" s="1"/>
  <c r="P832" i="8" s="1"/>
  <c r="Q832" i="8" s="1"/>
  <c r="A832" i="8"/>
  <c r="C831" i="8"/>
  <c r="D831" i="8" s="1"/>
  <c r="P831" i="8" s="1"/>
  <c r="A831" i="8"/>
  <c r="I830" i="8" a="1"/>
  <c r="I830" i="8" s="1"/>
  <c r="C830" i="8"/>
  <c r="D830" i="8" s="1"/>
  <c r="P830" i="8" s="1"/>
  <c r="Q830" i="8" s="1"/>
  <c r="A830" i="8"/>
  <c r="D829" i="8"/>
  <c r="P829" i="8" s="1"/>
  <c r="Q829" i="8" s="1"/>
  <c r="C829" i="8"/>
  <c r="A829" i="8"/>
  <c r="P828" i="8"/>
  <c r="C828" i="8"/>
  <c r="D828" i="8" s="1"/>
  <c r="A828" i="8"/>
  <c r="Q828" i="8" s="1"/>
  <c r="P827" i="8"/>
  <c r="D827" i="8"/>
  <c r="C827" i="8"/>
  <c r="A827" i="8"/>
  <c r="Q827" i="8" s="1"/>
  <c r="C826" i="8"/>
  <c r="D826" i="8" s="1"/>
  <c r="P826" i="8" s="1"/>
  <c r="A826" i="8"/>
  <c r="D825" i="8"/>
  <c r="P825" i="8" s="1"/>
  <c r="Q825" i="8" s="1"/>
  <c r="C825" i="8"/>
  <c r="A825" i="8"/>
  <c r="P824" i="8"/>
  <c r="Q824" i="8" s="1"/>
  <c r="N824" i="8" s="1" a="1"/>
  <c r="N824" i="8" s="1"/>
  <c r="C824" i="8"/>
  <c r="D824" i="8" s="1"/>
  <c r="A824" i="8"/>
  <c r="C823" i="8"/>
  <c r="D823" i="8" s="1"/>
  <c r="P823" i="8" s="1"/>
  <c r="A823" i="8"/>
  <c r="Q822" i="8"/>
  <c r="C822" i="8"/>
  <c r="D822" i="8" s="1"/>
  <c r="P822" i="8" s="1"/>
  <c r="A822" i="8"/>
  <c r="Q821" i="8"/>
  <c r="D821" i="8"/>
  <c r="P821" i="8" s="1"/>
  <c r="C821" i="8"/>
  <c r="A821" i="8"/>
  <c r="C820" i="8"/>
  <c r="D820" i="8" s="1"/>
  <c r="P820" i="8" s="1"/>
  <c r="Q820" i="8" s="1"/>
  <c r="A820" i="8"/>
  <c r="P819" i="8"/>
  <c r="Q819" i="8" s="1"/>
  <c r="D819" i="8"/>
  <c r="C819" i="8"/>
  <c r="A819" i="8"/>
  <c r="C818" i="8"/>
  <c r="D818" i="8" s="1"/>
  <c r="P818" i="8" s="1"/>
  <c r="A818" i="8"/>
  <c r="C817" i="8"/>
  <c r="D817" i="8" s="1"/>
  <c r="P817" i="8" s="1"/>
  <c r="A817" i="8"/>
  <c r="C816" i="8"/>
  <c r="D816" i="8" s="1"/>
  <c r="P816" i="8" s="1"/>
  <c r="Q816" i="8" s="1"/>
  <c r="A816" i="8"/>
  <c r="P815" i="8"/>
  <c r="C815" i="8"/>
  <c r="D815" i="8" s="1"/>
  <c r="A815" i="8"/>
  <c r="C814" i="8"/>
  <c r="D814" i="8" s="1"/>
  <c r="P814" i="8" s="1"/>
  <c r="A814" i="8"/>
  <c r="Q814" i="8" s="1"/>
  <c r="Q813" i="8"/>
  <c r="O813" i="8" s="1" a="1"/>
  <c r="O813" i="8" s="1"/>
  <c r="D813" i="8"/>
  <c r="P813" i="8" s="1"/>
  <c r="C813" i="8"/>
  <c r="A813" i="8"/>
  <c r="J812" i="8" a="1"/>
  <c r="J812" i="8" s="1"/>
  <c r="D812" i="8"/>
  <c r="P812" i="8" s="1"/>
  <c r="C812" i="8"/>
  <c r="A812" i="8"/>
  <c r="Q812" i="8" s="1"/>
  <c r="C811" i="8"/>
  <c r="D811" i="8" s="1"/>
  <c r="P811" i="8" s="1"/>
  <c r="A811" i="8"/>
  <c r="D810" i="8"/>
  <c r="P810" i="8" s="1"/>
  <c r="C810" i="8"/>
  <c r="A810" i="8"/>
  <c r="Q810" i="8" s="1"/>
  <c r="C809" i="8"/>
  <c r="D809" i="8" s="1"/>
  <c r="P809" i="8" s="1"/>
  <c r="A809" i="8"/>
  <c r="D808" i="8"/>
  <c r="P808" i="8" s="1"/>
  <c r="Q808" i="8" s="1"/>
  <c r="C808" i="8"/>
  <c r="A808" i="8"/>
  <c r="C807" i="8"/>
  <c r="D807" i="8" s="1"/>
  <c r="P807" i="8" s="1"/>
  <c r="A807" i="8"/>
  <c r="C806" i="8"/>
  <c r="D806" i="8" s="1"/>
  <c r="P806" i="8" s="1"/>
  <c r="A806" i="8"/>
  <c r="Q805" i="8"/>
  <c r="P805" i="8"/>
  <c r="D805" i="8"/>
  <c r="C805" i="8"/>
  <c r="A805" i="8"/>
  <c r="Q804" i="8"/>
  <c r="D804" i="8"/>
  <c r="P804" i="8" s="1"/>
  <c r="C804" i="8"/>
  <c r="A804" i="8"/>
  <c r="P803" i="8"/>
  <c r="D803" i="8"/>
  <c r="C803" i="8"/>
  <c r="A803" i="8"/>
  <c r="C802" i="8"/>
  <c r="D802" i="8" s="1"/>
  <c r="P802" i="8" s="1"/>
  <c r="Q802" i="8" s="1"/>
  <c r="A802" i="8"/>
  <c r="C801" i="8"/>
  <c r="D801" i="8" s="1"/>
  <c r="P801" i="8" s="1"/>
  <c r="A801" i="8"/>
  <c r="C800" i="8"/>
  <c r="D800" i="8" s="1"/>
  <c r="P800" i="8" s="1"/>
  <c r="A800" i="8"/>
  <c r="Q800" i="8" s="1"/>
  <c r="P799" i="8"/>
  <c r="C799" i="8"/>
  <c r="D799" i="8" s="1"/>
  <c r="A799" i="8"/>
  <c r="Q798" i="8"/>
  <c r="P798" i="8"/>
  <c r="C798" i="8"/>
  <c r="D798" i="8" s="1"/>
  <c r="A798" i="8"/>
  <c r="N797" i="8" a="1"/>
  <c r="N797" i="8" s="1"/>
  <c r="D797" i="8"/>
  <c r="P797" i="8" s="1"/>
  <c r="Q797" i="8" s="1"/>
  <c r="C797" i="8"/>
  <c r="A797" i="8"/>
  <c r="D796" i="8"/>
  <c r="P796" i="8" s="1"/>
  <c r="C796" i="8"/>
  <c r="A796" i="8"/>
  <c r="Q796" i="8" s="1"/>
  <c r="D795" i="8"/>
  <c r="P795" i="8" s="1"/>
  <c r="C795" i="8"/>
  <c r="A795" i="8"/>
  <c r="Q795" i="8" s="1"/>
  <c r="D794" i="8"/>
  <c r="P794" i="8" s="1"/>
  <c r="C794" i="8"/>
  <c r="A794" i="8"/>
  <c r="C793" i="8"/>
  <c r="D793" i="8" s="1"/>
  <c r="P793" i="8" s="1"/>
  <c r="A793" i="8"/>
  <c r="C792" i="8"/>
  <c r="D792" i="8" s="1"/>
  <c r="P792" i="8" s="1"/>
  <c r="Q792" i="8" s="1"/>
  <c r="A792" i="8"/>
  <c r="C791" i="8"/>
  <c r="D791" i="8" s="1"/>
  <c r="P791" i="8" s="1"/>
  <c r="A791" i="8"/>
  <c r="C790" i="8"/>
  <c r="D790" i="8" s="1"/>
  <c r="P790" i="8" s="1"/>
  <c r="A790" i="8"/>
  <c r="Q789" i="8"/>
  <c r="P789" i="8"/>
  <c r="D789" i="8"/>
  <c r="C789" i="8"/>
  <c r="A789" i="8"/>
  <c r="Q788" i="8"/>
  <c r="D788" i="8"/>
  <c r="P788" i="8" s="1"/>
  <c r="C788" i="8"/>
  <c r="A788" i="8"/>
  <c r="L787" i="8" a="1"/>
  <c r="L787" i="8" s="1"/>
  <c r="F787" i="8" a="1"/>
  <c r="F787" i="8" s="1"/>
  <c r="D787" i="8"/>
  <c r="P787" i="8" s="1"/>
  <c r="Q787" i="8" s="1"/>
  <c r="C787" i="8"/>
  <c r="A787" i="8"/>
  <c r="C786" i="8"/>
  <c r="D786" i="8" s="1"/>
  <c r="P786" i="8" s="1"/>
  <c r="A786" i="8"/>
  <c r="Q786" i="8" s="1"/>
  <c r="C785" i="8"/>
  <c r="D785" i="8" s="1"/>
  <c r="P785" i="8" s="1"/>
  <c r="A785" i="8"/>
  <c r="P784" i="8"/>
  <c r="C784" i="8"/>
  <c r="D784" i="8" s="1"/>
  <c r="A784" i="8"/>
  <c r="P783" i="8"/>
  <c r="C783" i="8"/>
  <c r="D783" i="8" s="1"/>
  <c r="A783" i="8"/>
  <c r="P782" i="8"/>
  <c r="D782" i="8"/>
  <c r="C782" i="8"/>
  <c r="A782" i="8"/>
  <c r="Q782" i="8" s="1"/>
  <c r="C781" i="8"/>
  <c r="D781" i="8" s="1"/>
  <c r="P781" i="8" s="1"/>
  <c r="Q781" i="8" s="1"/>
  <c r="A781" i="8"/>
  <c r="Q780" i="8"/>
  <c r="P780" i="8"/>
  <c r="O780" i="8" a="1"/>
  <c r="O780" i="8" s="1"/>
  <c r="K780" i="8" a="1"/>
  <c r="K780" i="8" s="1"/>
  <c r="D780" i="8"/>
  <c r="C780" i="8"/>
  <c r="A780" i="8"/>
  <c r="D779" i="8"/>
  <c r="P779" i="8" s="1"/>
  <c r="C779" i="8"/>
  <c r="A779" i="8"/>
  <c r="M778" i="8" a="1"/>
  <c r="M778" i="8" s="1"/>
  <c r="K778" i="8"/>
  <c r="K778" i="8" a="1"/>
  <c r="J778" i="8"/>
  <c r="F778" i="8"/>
  <c r="F778" i="8" a="1"/>
  <c r="D778" i="8"/>
  <c r="P778" i="8" s="1"/>
  <c r="C778" i="8"/>
  <c r="A778" i="8"/>
  <c r="Q778" i="8" s="1"/>
  <c r="J778" i="8" s="1" a="1"/>
  <c r="P777" i="8"/>
  <c r="Q777" i="8" s="1"/>
  <c r="E777" i="8" s="1" a="1"/>
  <c r="E777" i="8" s="1"/>
  <c r="K777" i="8" a="1"/>
  <c r="K777" i="8" s="1"/>
  <c r="C777" i="8"/>
  <c r="D777" i="8" s="1"/>
  <c r="A777" i="8"/>
  <c r="Q776" i="8"/>
  <c r="N776" i="8" a="1"/>
  <c r="N776" i="8" s="1"/>
  <c r="C776" i="8"/>
  <c r="D776" i="8" s="1"/>
  <c r="P776" i="8" s="1"/>
  <c r="A776" i="8"/>
  <c r="P775" i="8"/>
  <c r="C775" i="8"/>
  <c r="D775" i="8" s="1"/>
  <c r="A775" i="8"/>
  <c r="C774" i="8"/>
  <c r="D774" i="8" s="1"/>
  <c r="P774" i="8" s="1"/>
  <c r="A774" i="8"/>
  <c r="Q773" i="8"/>
  <c r="L773" i="8" s="1" a="1"/>
  <c r="P773" i="8"/>
  <c r="O773" i="8" a="1"/>
  <c r="O773" i="8" s="1"/>
  <c r="M773" i="8" a="1"/>
  <c r="M773" i="8" s="1"/>
  <c r="L773" i="8"/>
  <c r="F773" i="8"/>
  <c r="F773" i="8" a="1"/>
  <c r="E773" i="8" a="1"/>
  <c r="E773" i="8" s="1"/>
  <c r="D773" i="8"/>
  <c r="C773" i="8"/>
  <c r="A773" i="8"/>
  <c r="Q772" i="8"/>
  <c r="D772" i="8"/>
  <c r="P772" i="8" s="1"/>
  <c r="C772" i="8"/>
  <c r="A772" i="8"/>
  <c r="C771" i="8"/>
  <c r="D771" i="8" s="1"/>
  <c r="P771" i="8" s="1"/>
  <c r="A771" i="8"/>
  <c r="M770" i="8"/>
  <c r="M770" i="8" a="1"/>
  <c r="F770" i="8" a="1"/>
  <c r="F770" i="8" s="1"/>
  <c r="C770" i="8"/>
  <c r="D770" i="8" s="1"/>
  <c r="P770" i="8" s="1"/>
  <c r="A770" i="8"/>
  <c r="Q770" i="8" s="1"/>
  <c r="P769" i="8"/>
  <c r="D769" i="8"/>
  <c r="C769" i="8"/>
  <c r="A769" i="8"/>
  <c r="D768" i="8"/>
  <c r="P768" i="8" s="1"/>
  <c r="C768" i="8"/>
  <c r="A768" i="8"/>
  <c r="D767" i="8"/>
  <c r="P767" i="8" s="1"/>
  <c r="C767" i="8"/>
  <c r="A767" i="8"/>
  <c r="C766" i="8"/>
  <c r="D766" i="8" s="1"/>
  <c r="P766" i="8" s="1"/>
  <c r="Q766" i="8" s="1"/>
  <c r="A766" i="8"/>
  <c r="J765" i="8" a="1"/>
  <c r="J765" i="8" s="1"/>
  <c r="F765" i="8" a="1"/>
  <c r="F765" i="8" s="1"/>
  <c r="D765" i="8"/>
  <c r="P765" i="8" s="1"/>
  <c r="Q765" i="8" s="1"/>
  <c r="C765" i="8"/>
  <c r="A765" i="8"/>
  <c r="N764" i="8" a="1"/>
  <c r="N764" i="8" s="1"/>
  <c r="E764" i="8" a="1"/>
  <c r="E764" i="8" s="1"/>
  <c r="C764" i="8"/>
  <c r="D764" i="8" s="1"/>
  <c r="P764" i="8" s="1"/>
  <c r="A764" i="8"/>
  <c r="Q764" i="8" s="1"/>
  <c r="O764" i="8" s="1" a="1"/>
  <c r="O764" i="8" s="1"/>
  <c r="C763" i="8"/>
  <c r="D763" i="8" s="1"/>
  <c r="P763" i="8" s="1"/>
  <c r="A763" i="8"/>
  <c r="C762" i="8"/>
  <c r="D762" i="8" s="1"/>
  <c r="P762" i="8" s="1"/>
  <c r="A762" i="8"/>
  <c r="C761" i="8"/>
  <c r="D761" i="8" s="1"/>
  <c r="P761" i="8" s="1"/>
  <c r="Q761" i="8" s="1"/>
  <c r="A761" i="8"/>
  <c r="D760" i="8"/>
  <c r="P760" i="8" s="1"/>
  <c r="Q760" i="8" s="1"/>
  <c r="C760" i="8"/>
  <c r="A760" i="8"/>
  <c r="C759" i="8"/>
  <c r="D759" i="8" s="1"/>
  <c r="P759" i="8" s="1"/>
  <c r="A759" i="8"/>
  <c r="Q759" i="8" s="1"/>
  <c r="D758" i="8"/>
  <c r="P758" i="8" s="1"/>
  <c r="Q758" i="8" s="1"/>
  <c r="C758" i="8"/>
  <c r="A758" i="8"/>
  <c r="Q757" i="8"/>
  <c r="D757" i="8"/>
  <c r="P757" i="8" s="1"/>
  <c r="C757" i="8"/>
  <c r="A757" i="8"/>
  <c r="C756" i="8"/>
  <c r="D756" i="8" s="1"/>
  <c r="P756" i="8" s="1"/>
  <c r="A756" i="8"/>
  <c r="Q756" i="8" s="1"/>
  <c r="D755" i="8"/>
  <c r="P755" i="8" s="1"/>
  <c r="C755" i="8"/>
  <c r="A755" i="8"/>
  <c r="Q755" i="8" s="1"/>
  <c r="O754" i="8" a="1"/>
  <c r="O754" i="8" s="1"/>
  <c r="C754" i="8"/>
  <c r="D754" i="8" s="1"/>
  <c r="P754" i="8" s="1"/>
  <c r="A754" i="8"/>
  <c r="Q754" i="8" s="1"/>
  <c r="C753" i="8"/>
  <c r="D753" i="8" s="1"/>
  <c r="P753" i="8" s="1"/>
  <c r="A753" i="8"/>
  <c r="C752" i="8"/>
  <c r="D752" i="8" s="1"/>
  <c r="P752" i="8" s="1"/>
  <c r="Q752" i="8" s="1"/>
  <c r="A752" i="8"/>
  <c r="C751" i="8"/>
  <c r="D751" i="8" s="1"/>
  <c r="P751" i="8" s="1"/>
  <c r="A751" i="8"/>
  <c r="Q751" i="8" s="1"/>
  <c r="D750" i="8"/>
  <c r="P750" i="8" s="1"/>
  <c r="Q750" i="8" s="1"/>
  <c r="C750" i="8"/>
  <c r="A750" i="8"/>
  <c r="D749" i="8"/>
  <c r="P749" i="8" s="1"/>
  <c r="Q749" i="8" s="1"/>
  <c r="C749" i="8"/>
  <c r="A749" i="8"/>
  <c r="P748" i="8"/>
  <c r="O748" i="8" a="1"/>
  <c r="O748" i="8" s="1"/>
  <c r="C748" i="8"/>
  <c r="D748" i="8" s="1"/>
  <c r="A748" i="8"/>
  <c r="Q748" i="8" s="1"/>
  <c r="M747" i="8" a="1"/>
  <c r="M747" i="8" s="1"/>
  <c r="I747" i="8" a="1"/>
  <c r="I747" i="8" s="1"/>
  <c r="D747" i="8"/>
  <c r="P747" i="8" s="1"/>
  <c r="Q747" i="8" s="1"/>
  <c r="C747" i="8"/>
  <c r="A747" i="8"/>
  <c r="K746" i="8" a="1"/>
  <c r="K746" i="8" s="1"/>
  <c r="J746" i="8"/>
  <c r="J746" i="8" a="1"/>
  <c r="G746" i="8" a="1"/>
  <c r="G746" i="8" s="1"/>
  <c r="C746" i="8"/>
  <c r="D746" i="8" s="1"/>
  <c r="P746" i="8" s="1"/>
  <c r="A746" i="8"/>
  <c r="Q746" i="8" s="1"/>
  <c r="O746" i="8" s="1" a="1"/>
  <c r="O746" i="8" s="1"/>
  <c r="C745" i="8"/>
  <c r="D745" i="8" s="1"/>
  <c r="P745" i="8" s="1"/>
  <c r="Q745" i="8" s="1"/>
  <c r="A745" i="8"/>
  <c r="P744" i="8"/>
  <c r="Q744" i="8" s="1"/>
  <c r="N744" i="8" s="1" a="1"/>
  <c r="N744" i="8" s="1"/>
  <c r="J744" i="8" a="1"/>
  <c r="J744" i="8" s="1"/>
  <c r="H744" i="8" a="1"/>
  <c r="H744" i="8" s="1"/>
  <c r="E744" i="8" a="1"/>
  <c r="E744" i="8" s="1"/>
  <c r="D744" i="8"/>
  <c r="C744" i="8"/>
  <c r="A744" i="8"/>
  <c r="C743" i="8"/>
  <c r="D743" i="8" s="1"/>
  <c r="P743" i="8" s="1"/>
  <c r="A743" i="8"/>
  <c r="Q743" i="8" s="1"/>
  <c r="Q742" i="8"/>
  <c r="C742" i="8"/>
  <c r="D742" i="8" s="1"/>
  <c r="P742" i="8" s="1"/>
  <c r="A742" i="8"/>
  <c r="J741" i="8" a="1"/>
  <c r="J741" i="8" s="1"/>
  <c r="D741" i="8"/>
  <c r="P741" i="8" s="1"/>
  <c r="Q741" i="8" s="1"/>
  <c r="C741" i="8"/>
  <c r="A741" i="8"/>
  <c r="P740" i="8"/>
  <c r="L740" i="8" a="1"/>
  <c r="L740" i="8" s="1"/>
  <c r="K740" i="8"/>
  <c r="K740" i="8" a="1"/>
  <c r="H740" i="8" a="1"/>
  <c r="H740" i="8" s="1"/>
  <c r="C740" i="8"/>
  <c r="D740" i="8" s="1"/>
  <c r="A740" i="8"/>
  <c r="Q740" i="8" s="1"/>
  <c r="O740" i="8" s="1" a="1"/>
  <c r="O740" i="8" s="1"/>
  <c r="D739" i="8"/>
  <c r="P739" i="8" s="1"/>
  <c r="Q739" i="8" s="1"/>
  <c r="C739" i="8"/>
  <c r="A739" i="8"/>
  <c r="C738" i="8"/>
  <c r="D738" i="8" s="1"/>
  <c r="P738" i="8" s="1"/>
  <c r="A738" i="8"/>
  <c r="Q738" i="8" s="1"/>
  <c r="P737" i="8"/>
  <c r="Q737" i="8" s="1"/>
  <c r="D737" i="8"/>
  <c r="C737" i="8"/>
  <c r="A737" i="8"/>
  <c r="L736" i="8" a="1"/>
  <c r="L736" i="8" s="1"/>
  <c r="J736" i="8" a="1"/>
  <c r="J736" i="8" s="1"/>
  <c r="C736" i="8"/>
  <c r="D736" i="8" s="1"/>
  <c r="P736" i="8" s="1"/>
  <c r="Q736" i="8" s="1"/>
  <c r="N736" i="8" s="1" a="1"/>
  <c r="N736" i="8" s="1"/>
  <c r="A736" i="8"/>
  <c r="C735" i="8"/>
  <c r="D735" i="8" s="1"/>
  <c r="P735" i="8" s="1"/>
  <c r="A735" i="8"/>
  <c r="C734" i="8"/>
  <c r="D734" i="8" s="1"/>
  <c r="P734" i="8" s="1"/>
  <c r="Q734" i="8" s="1"/>
  <c r="A734" i="8"/>
  <c r="D733" i="8"/>
  <c r="P733" i="8" s="1"/>
  <c r="Q733" i="8" s="1"/>
  <c r="C733" i="8"/>
  <c r="A733" i="8"/>
  <c r="P732" i="8"/>
  <c r="C732" i="8"/>
  <c r="D732" i="8" s="1"/>
  <c r="A732" i="8"/>
  <c r="D731" i="8"/>
  <c r="P731" i="8" s="1"/>
  <c r="Q731" i="8" s="1"/>
  <c r="C731" i="8"/>
  <c r="A731" i="8"/>
  <c r="C730" i="8"/>
  <c r="D730" i="8" s="1"/>
  <c r="P730" i="8" s="1"/>
  <c r="A730" i="8"/>
  <c r="D729" i="8"/>
  <c r="P729" i="8" s="1"/>
  <c r="Q729" i="8" s="1"/>
  <c r="C729" i="8"/>
  <c r="A729" i="8"/>
  <c r="D728" i="8"/>
  <c r="P728" i="8" s="1"/>
  <c r="Q728" i="8" s="1"/>
  <c r="C728" i="8"/>
  <c r="A728" i="8"/>
  <c r="C727" i="8"/>
  <c r="D727" i="8" s="1"/>
  <c r="P727" i="8" s="1"/>
  <c r="A727" i="8"/>
  <c r="Q727" i="8" s="1"/>
  <c r="Q726" i="8"/>
  <c r="C726" i="8"/>
  <c r="D726" i="8" s="1"/>
  <c r="P726" i="8" s="1"/>
  <c r="A726" i="8"/>
  <c r="Q725" i="8"/>
  <c r="D725" i="8"/>
  <c r="P725" i="8" s="1"/>
  <c r="C725" i="8"/>
  <c r="A725" i="8"/>
  <c r="P724" i="8"/>
  <c r="C724" i="8"/>
  <c r="D724" i="8" s="1"/>
  <c r="A724" i="8"/>
  <c r="Q723" i="8"/>
  <c r="D723" i="8"/>
  <c r="P723" i="8" s="1"/>
  <c r="C723" i="8"/>
  <c r="A723" i="8"/>
  <c r="C722" i="8"/>
  <c r="D722" i="8" s="1"/>
  <c r="P722" i="8" s="1"/>
  <c r="A722" i="8"/>
  <c r="C721" i="8"/>
  <c r="D721" i="8" s="1"/>
  <c r="P721" i="8" s="1"/>
  <c r="Q721" i="8" s="1"/>
  <c r="A721" i="8"/>
  <c r="C720" i="8"/>
  <c r="D720" i="8" s="1"/>
  <c r="P720" i="8" s="1"/>
  <c r="Q720" i="8" s="1"/>
  <c r="A720" i="8"/>
  <c r="D719" i="8"/>
  <c r="P719" i="8" s="1"/>
  <c r="C719" i="8"/>
  <c r="A719" i="8"/>
  <c r="D718" i="8"/>
  <c r="P718" i="8" s="1"/>
  <c r="Q718" i="8" s="1"/>
  <c r="C718" i="8"/>
  <c r="A718" i="8"/>
  <c r="D717" i="8"/>
  <c r="P717" i="8" s="1"/>
  <c r="Q717" i="8" s="1"/>
  <c r="C717" i="8"/>
  <c r="A717" i="8"/>
  <c r="P716" i="8"/>
  <c r="C716" i="8"/>
  <c r="D716" i="8" s="1"/>
  <c r="A716" i="8"/>
  <c r="D715" i="8"/>
  <c r="P715" i="8" s="1"/>
  <c r="Q715" i="8" s="1"/>
  <c r="C715" i="8"/>
  <c r="A715" i="8"/>
  <c r="C714" i="8"/>
  <c r="D714" i="8" s="1"/>
  <c r="P714" i="8" s="1"/>
  <c r="A714" i="8"/>
  <c r="D713" i="8"/>
  <c r="P713" i="8" s="1"/>
  <c r="C713" i="8"/>
  <c r="A713" i="8"/>
  <c r="Q713" i="8" s="1"/>
  <c r="N712" i="8" a="1"/>
  <c r="N712" i="8" s="1"/>
  <c r="M712" i="8" a="1"/>
  <c r="M712" i="8" s="1"/>
  <c r="D712" i="8"/>
  <c r="P712" i="8" s="1"/>
  <c r="Q712" i="8" s="1"/>
  <c r="C712" i="8"/>
  <c r="A712" i="8"/>
  <c r="C711" i="8"/>
  <c r="D711" i="8" s="1"/>
  <c r="P711" i="8" s="1"/>
  <c r="A711" i="8"/>
  <c r="D710" i="8"/>
  <c r="P710" i="8" s="1"/>
  <c r="Q710" i="8" s="1"/>
  <c r="C710" i="8"/>
  <c r="A710" i="8"/>
  <c r="Q709" i="8"/>
  <c r="N709" i="8" s="1" a="1"/>
  <c r="N709" i="8"/>
  <c r="M709" i="8"/>
  <c r="M709" i="8" a="1"/>
  <c r="D709" i="8"/>
  <c r="P709" i="8" s="1"/>
  <c r="C709" i="8"/>
  <c r="A709" i="8"/>
  <c r="C708" i="8"/>
  <c r="D708" i="8" s="1"/>
  <c r="P708" i="8" s="1"/>
  <c r="A708" i="8"/>
  <c r="C707" i="8"/>
  <c r="D707" i="8" s="1"/>
  <c r="P707" i="8" s="1"/>
  <c r="A707" i="8"/>
  <c r="Q707" i="8" s="1"/>
  <c r="C706" i="8"/>
  <c r="D706" i="8" s="1"/>
  <c r="P706" i="8" s="1"/>
  <c r="A706" i="8"/>
  <c r="H705" i="8" a="1"/>
  <c r="H705" i="8" s="1"/>
  <c r="G705" i="8" a="1"/>
  <c r="G705" i="8" s="1"/>
  <c r="C705" i="8"/>
  <c r="D705" i="8" s="1"/>
  <c r="P705" i="8" s="1"/>
  <c r="Q705" i="8" s="1"/>
  <c r="A705" i="8"/>
  <c r="I704" i="8" a="1"/>
  <c r="I704" i="8" s="1"/>
  <c r="H704" i="8" a="1"/>
  <c r="H704" i="8" s="1"/>
  <c r="F704" i="8" a="1"/>
  <c r="F704" i="8" s="1"/>
  <c r="C704" i="8"/>
  <c r="D704" i="8" s="1"/>
  <c r="P704" i="8" s="1"/>
  <c r="Q704" i="8" s="1"/>
  <c r="A704" i="8"/>
  <c r="D703" i="8"/>
  <c r="P703" i="8" s="1"/>
  <c r="C703" i="8"/>
  <c r="A703" i="8"/>
  <c r="C702" i="8"/>
  <c r="D702" i="8" s="1"/>
  <c r="P702" i="8" s="1"/>
  <c r="A702" i="8"/>
  <c r="Q702" i="8" s="1"/>
  <c r="D701" i="8"/>
  <c r="P701" i="8" s="1"/>
  <c r="Q701" i="8" s="1"/>
  <c r="C701" i="8"/>
  <c r="A701" i="8"/>
  <c r="P700" i="8"/>
  <c r="C700" i="8"/>
  <c r="D700" i="8" s="1"/>
  <c r="A700" i="8"/>
  <c r="D699" i="8"/>
  <c r="P699" i="8" s="1"/>
  <c r="C699" i="8"/>
  <c r="A699" i="8"/>
  <c r="P698" i="8"/>
  <c r="D698" i="8"/>
  <c r="C698" i="8"/>
  <c r="A698" i="8"/>
  <c r="D697" i="8"/>
  <c r="P697" i="8" s="1"/>
  <c r="C697" i="8"/>
  <c r="A697" i="8"/>
  <c r="Q697" i="8" s="1"/>
  <c r="Q696" i="8"/>
  <c r="C696" i="8"/>
  <c r="D696" i="8" s="1"/>
  <c r="P696" i="8" s="1"/>
  <c r="A696" i="8"/>
  <c r="C695" i="8"/>
  <c r="D695" i="8" s="1"/>
  <c r="P695" i="8" s="1"/>
  <c r="Q695" i="8" s="1"/>
  <c r="A695" i="8"/>
  <c r="C694" i="8"/>
  <c r="D694" i="8" s="1"/>
  <c r="P694" i="8" s="1"/>
  <c r="A694" i="8"/>
  <c r="D693" i="8"/>
  <c r="P693" i="8" s="1"/>
  <c r="C693" i="8"/>
  <c r="A693" i="8"/>
  <c r="P692" i="8"/>
  <c r="D692" i="8"/>
  <c r="C692" i="8"/>
  <c r="A692" i="8"/>
  <c r="C691" i="8"/>
  <c r="D691" i="8" s="1"/>
  <c r="P691" i="8" s="1"/>
  <c r="A691" i="8"/>
  <c r="D690" i="8"/>
  <c r="P690" i="8" s="1"/>
  <c r="C690" i="8"/>
  <c r="A690" i="8"/>
  <c r="Q689" i="8"/>
  <c r="C689" i="8"/>
  <c r="D689" i="8" s="1"/>
  <c r="P689" i="8" s="1"/>
  <c r="A689" i="8"/>
  <c r="D688" i="8"/>
  <c r="P688" i="8" s="1"/>
  <c r="C688" i="8"/>
  <c r="A688" i="8"/>
  <c r="C687" i="8"/>
  <c r="D687" i="8" s="1"/>
  <c r="P687" i="8" s="1"/>
  <c r="A687" i="8"/>
  <c r="P686" i="8"/>
  <c r="Q686" i="8" s="1"/>
  <c r="D686" i="8"/>
  <c r="C686" i="8"/>
  <c r="A686" i="8"/>
  <c r="C685" i="8"/>
  <c r="D685" i="8" s="1"/>
  <c r="P685" i="8" s="1"/>
  <c r="Q685" i="8" s="1"/>
  <c r="A685" i="8"/>
  <c r="C684" i="8"/>
  <c r="D684" i="8" s="1"/>
  <c r="P684" i="8" s="1"/>
  <c r="A684" i="8"/>
  <c r="C683" i="8"/>
  <c r="D683" i="8" s="1"/>
  <c r="P683" i="8" s="1"/>
  <c r="A683" i="8"/>
  <c r="Q682" i="8"/>
  <c r="M682" i="8" s="1" a="1"/>
  <c r="M682" i="8" s="1"/>
  <c r="P682" i="8"/>
  <c r="O682" i="8" a="1"/>
  <c r="O682" i="8" s="1"/>
  <c r="N682" i="8" a="1"/>
  <c r="N682" i="8" s="1"/>
  <c r="I682" i="8" a="1"/>
  <c r="I682" i="8" s="1"/>
  <c r="G682" i="8" a="1"/>
  <c r="G682" i="8" s="1"/>
  <c r="F682" i="8" a="1"/>
  <c r="F682" i="8" s="1"/>
  <c r="D682" i="8"/>
  <c r="C682" i="8"/>
  <c r="A682" i="8"/>
  <c r="D681" i="8"/>
  <c r="P681" i="8" s="1"/>
  <c r="C681" i="8"/>
  <c r="A681" i="8"/>
  <c r="C680" i="8"/>
  <c r="D680" i="8" s="1"/>
  <c r="P680" i="8" s="1"/>
  <c r="Q680" i="8" s="1"/>
  <c r="A680" i="8"/>
  <c r="F679" i="8" a="1"/>
  <c r="F679" i="8" s="1"/>
  <c r="C679" i="8"/>
  <c r="D679" i="8" s="1"/>
  <c r="P679" i="8" s="1"/>
  <c r="Q679" i="8" s="1"/>
  <c r="N679" i="8" s="1" a="1"/>
  <c r="N679" i="8" s="1"/>
  <c r="A679" i="8"/>
  <c r="C678" i="8"/>
  <c r="D678" i="8" s="1"/>
  <c r="P678" i="8" s="1"/>
  <c r="A678" i="8"/>
  <c r="D677" i="8"/>
  <c r="P677" i="8" s="1"/>
  <c r="C677" i="8"/>
  <c r="A677" i="8"/>
  <c r="P676" i="8"/>
  <c r="O676" i="8" a="1"/>
  <c r="O676" i="8" s="1"/>
  <c r="J676" i="8" a="1"/>
  <c r="J676" i="8" s="1"/>
  <c r="D676" i="8"/>
  <c r="C676" i="8"/>
  <c r="A676" i="8"/>
  <c r="Q676" i="8" s="1"/>
  <c r="C675" i="8"/>
  <c r="D675" i="8" s="1"/>
  <c r="P675" i="8" s="1"/>
  <c r="A675" i="8"/>
  <c r="M674" i="8" a="1"/>
  <c r="M674" i="8" s="1"/>
  <c r="J674" i="8" a="1"/>
  <c r="J674" i="8" s="1"/>
  <c r="E674" i="8" a="1"/>
  <c r="E674" i="8" s="1"/>
  <c r="D674" i="8"/>
  <c r="P674" i="8" s="1"/>
  <c r="C674" i="8"/>
  <c r="A674" i="8"/>
  <c r="Q674" i="8" s="1"/>
  <c r="Q673" i="8"/>
  <c r="C673" i="8"/>
  <c r="D673" i="8" s="1"/>
  <c r="P673" i="8" s="1"/>
  <c r="A673" i="8"/>
  <c r="D672" i="8"/>
  <c r="P672" i="8" s="1"/>
  <c r="C672" i="8"/>
  <c r="A672" i="8"/>
  <c r="Q672" i="8" s="1"/>
  <c r="C671" i="8"/>
  <c r="D671" i="8" s="1"/>
  <c r="P671" i="8" s="1"/>
  <c r="A671" i="8"/>
  <c r="P670" i="8"/>
  <c r="Q670" i="8" s="1"/>
  <c r="I670" i="8" s="1" a="1"/>
  <c r="I670" i="8" s="1"/>
  <c r="K670" i="8" a="1"/>
  <c r="K670" i="8" s="1"/>
  <c r="H670" i="8" a="1"/>
  <c r="H670" i="8" s="1"/>
  <c r="D670" i="8"/>
  <c r="C670" i="8"/>
  <c r="A670" i="8"/>
  <c r="C669" i="8"/>
  <c r="D669" i="8" s="1"/>
  <c r="P669" i="8" s="1"/>
  <c r="Q669" i="8" s="1"/>
  <c r="A669" i="8"/>
  <c r="C668" i="8"/>
  <c r="D668" i="8" s="1"/>
  <c r="P668" i="8" s="1"/>
  <c r="A668" i="8"/>
  <c r="Q668" i="8" s="1"/>
  <c r="P667" i="8"/>
  <c r="C667" i="8"/>
  <c r="D667" i="8" s="1"/>
  <c r="A667" i="8"/>
  <c r="Q667" i="8" s="1"/>
  <c r="Q666" i="8"/>
  <c r="P666" i="8"/>
  <c r="O666" i="8" a="1"/>
  <c r="O666" i="8" s="1"/>
  <c r="D666" i="8"/>
  <c r="C666" i="8"/>
  <c r="A666" i="8"/>
  <c r="D665" i="8"/>
  <c r="P665" i="8" s="1"/>
  <c r="C665" i="8"/>
  <c r="A665" i="8"/>
  <c r="Q664" i="8"/>
  <c r="C664" i="8"/>
  <c r="D664" i="8" s="1"/>
  <c r="P664" i="8" s="1"/>
  <c r="A664" i="8"/>
  <c r="C663" i="8"/>
  <c r="D663" i="8" s="1"/>
  <c r="P663" i="8" s="1"/>
  <c r="Q663" i="8" s="1"/>
  <c r="A663" i="8"/>
  <c r="Q662" i="8"/>
  <c r="C662" i="8"/>
  <c r="D662" i="8" s="1"/>
  <c r="P662" i="8" s="1"/>
  <c r="A662" i="8"/>
  <c r="C661" i="8"/>
  <c r="D661" i="8" s="1"/>
  <c r="P661" i="8" s="1"/>
  <c r="A661" i="8"/>
  <c r="Q660" i="8"/>
  <c r="P660" i="8"/>
  <c r="D660" i="8"/>
  <c r="C660" i="8"/>
  <c r="A660" i="8"/>
  <c r="D659" i="8"/>
  <c r="P659" i="8" s="1"/>
  <c r="C659" i="8"/>
  <c r="A659" i="8"/>
  <c r="Q659" i="8" s="1"/>
  <c r="E658" i="8" a="1"/>
  <c r="E658" i="8" s="1"/>
  <c r="D658" i="8"/>
  <c r="P658" i="8" s="1"/>
  <c r="C658" i="8"/>
  <c r="A658" i="8"/>
  <c r="Q658" i="8" s="1"/>
  <c r="M658" i="8" s="1" a="1"/>
  <c r="M658" i="8" s="1"/>
  <c r="C657" i="8"/>
  <c r="D657" i="8" s="1"/>
  <c r="P657" i="8" s="1"/>
  <c r="Q657" i="8" s="1"/>
  <c r="A657" i="8"/>
  <c r="P656" i="8"/>
  <c r="D656" i="8"/>
  <c r="C656" i="8"/>
  <c r="A656" i="8"/>
  <c r="C655" i="8"/>
  <c r="D655" i="8" s="1"/>
  <c r="P655" i="8" s="1"/>
  <c r="A655" i="8"/>
  <c r="P654" i="8"/>
  <c r="Q654" i="8" s="1"/>
  <c r="D654" i="8"/>
  <c r="C654" i="8"/>
  <c r="A654" i="8"/>
  <c r="C653" i="8"/>
  <c r="D653" i="8" s="1"/>
  <c r="P653" i="8" s="1"/>
  <c r="Q653" i="8" s="1"/>
  <c r="A653" i="8"/>
  <c r="C652" i="8"/>
  <c r="D652" i="8" s="1"/>
  <c r="P652" i="8" s="1"/>
  <c r="A652" i="8"/>
  <c r="Q651" i="8"/>
  <c r="J651" i="8" s="1" a="1"/>
  <c r="J651" i="8" s="1"/>
  <c r="C651" i="8"/>
  <c r="D651" i="8" s="1"/>
  <c r="P651" i="8" s="1"/>
  <c r="A651" i="8"/>
  <c r="Q650" i="8"/>
  <c r="P650" i="8"/>
  <c r="D650" i="8"/>
  <c r="C650" i="8"/>
  <c r="A650" i="8"/>
  <c r="C649" i="8"/>
  <c r="D649" i="8" s="1"/>
  <c r="P649" i="8" s="1"/>
  <c r="A649" i="8"/>
  <c r="Q648" i="8"/>
  <c r="C648" i="8"/>
  <c r="D648" i="8" s="1"/>
  <c r="P648" i="8" s="1"/>
  <c r="A648" i="8"/>
  <c r="P647" i="8"/>
  <c r="Q647" i="8" s="1"/>
  <c r="C647" i="8"/>
  <c r="D647" i="8" s="1"/>
  <c r="A647" i="8"/>
  <c r="D646" i="8"/>
  <c r="P646" i="8" s="1"/>
  <c r="Q646" i="8" s="1"/>
  <c r="C646" i="8"/>
  <c r="A646" i="8"/>
  <c r="C645" i="8"/>
  <c r="D645" i="8" s="1"/>
  <c r="P645" i="8" s="1"/>
  <c r="A645" i="8"/>
  <c r="D644" i="8"/>
  <c r="P644" i="8" s="1"/>
  <c r="C644" i="8"/>
  <c r="A644" i="8"/>
  <c r="Q644" i="8" s="1"/>
  <c r="C643" i="8"/>
  <c r="D643" i="8" s="1"/>
  <c r="P643" i="8" s="1"/>
  <c r="A643" i="8"/>
  <c r="C642" i="8"/>
  <c r="D642" i="8" s="1"/>
  <c r="P642" i="8" s="1"/>
  <c r="A642" i="8"/>
  <c r="Q641" i="8"/>
  <c r="G641" i="8" s="1" a="1"/>
  <c r="G641" i="8" s="1"/>
  <c r="P641" i="8"/>
  <c r="F641" i="8" a="1"/>
  <c r="F641" i="8" s="1"/>
  <c r="D641" i="8"/>
  <c r="C641" i="8"/>
  <c r="A641" i="8"/>
  <c r="P640" i="8"/>
  <c r="D640" i="8"/>
  <c r="C640" i="8"/>
  <c r="A640" i="8"/>
  <c r="Q640" i="8" s="1"/>
  <c r="C639" i="8"/>
  <c r="D639" i="8" s="1"/>
  <c r="P639" i="8" s="1"/>
  <c r="A639" i="8"/>
  <c r="P638" i="8"/>
  <c r="Q638" i="8" s="1"/>
  <c r="D638" i="8"/>
  <c r="C638" i="8"/>
  <c r="A638" i="8"/>
  <c r="Q637" i="8"/>
  <c r="I637" i="8" s="1" a="1"/>
  <c r="I637" i="8" s="1"/>
  <c r="P637" i="8"/>
  <c r="J637" i="8" a="1"/>
  <c r="J637" i="8" s="1"/>
  <c r="H637" i="8" a="1"/>
  <c r="H637" i="8" s="1"/>
  <c r="C637" i="8"/>
  <c r="D637" i="8" s="1"/>
  <c r="A637" i="8"/>
  <c r="C636" i="8"/>
  <c r="D636" i="8" s="1"/>
  <c r="P636" i="8" s="1"/>
  <c r="Q636" i="8" s="1"/>
  <c r="A636" i="8"/>
  <c r="P635" i="8"/>
  <c r="Q635" i="8" s="1"/>
  <c r="C635" i="8"/>
  <c r="D635" i="8" s="1"/>
  <c r="A635" i="8"/>
  <c r="Q634" i="8"/>
  <c r="K634" i="8" a="1"/>
  <c r="K634" i="8" s="1"/>
  <c r="G634" i="8" a="1"/>
  <c r="G634" i="8" s="1"/>
  <c r="D634" i="8"/>
  <c r="P634" i="8" s="1"/>
  <c r="C634" i="8"/>
  <c r="A634" i="8"/>
  <c r="C633" i="8"/>
  <c r="D633" i="8" s="1"/>
  <c r="P633" i="8" s="1"/>
  <c r="A633" i="8"/>
  <c r="C632" i="8"/>
  <c r="D632" i="8" s="1"/>
  <c r="P632" i="8" s="1"/>
  <c r="Q632" i="8" s="1"/>
  <c r="A632" i="8"/>
  <c r="C631" i="8"/>
  <c r="D631" i="8" s="1"/>
  <c r="P631" i="8" s="1"/>
  <c r="A631" i="8"/>
  <c r="Q631" i="8" s="1"/>
  <c r="D630" i="8"/>
  <c r="P630" i="8" s="1"/>
  <c r="C630" i="8"/>
  <c r="A630" i="8"/>
  <c r="Q630" i="8" s="1"/>
  <c r="C629" i="8"/>
  <c r="D629" i="8" s="1"/>
  <c r="P629" i="8" s="1"/>
  <c r="A629" i="8"/>
  <c r="C628" i="8"/>
  <c r="D628" i="8" s="1"/>
  <c r="P628" i="8" s="1"/>
  <c r="Q628" i="8" s="1"/>
  <c r="A628" i="8"/>
  <c r="C627" i="8"/>
  <c r="D627" i="8" s="1"/>
  <c r="P627" i="8" s="1"/>
  <c r="A627" i="8"/>
  <c r="C626" i="8"/>
  <c r="D626" i="8" s="1"/>
  <c r="P626" i="8" s="1"/>
  <c r="Q626" i="8" s="1"/>
  <c r="A626" i="8"/>
  <c r="C625" i="8"/>
  <c r="D625" i="8" s="1"/>
  <c r="P625" i="8" s="1"/>
  <c r="Q625" i="8" s="1"/>
  <c r="A625" i="8"/>
  <c r="D624" i="8"/>
  <c r="P624" i="8" s="1"/>
  <c r="C624" i="8"/>
  <c r="A624" i="8"/>
  <c r="D623" i="8"/>
  <c r="P623" i="8" s="1"/>
  <c r="C623" i="8"/>
  <c r="A623" i="8"/>
  <c r="Q623" i="8" s="1"/>
  <c r="D622" i="8"/>
  <c r="P622" i="8" s="1"/>
  <c r="C622" i="8"/>
  <c r="A622" i="8"/>
  <c r="Q622" i="8" s="1"/>
  <c r="C621" i="8"/>
  <c r="D621" i="8" s="1"/>
  <c r="P621" i="8" s="1"/>
  <c r="A621" i="8"/>
  <c r="C620" i="8"/>
  <c r="D620" i="8" s="1"/>
  <c r="P620" i="8" s="1"/>
  <c r="Q620" i="8" s="1"/>
  <c r="A620" i="8"/>
  <c r="D619" i="8"/>
  <c r="P619" i="8" s="1"/>
  <c r="C619" i="8"/>
  <c r="A619" i="8"/>
  <c r="Q619" i="8" s="1"/>
  <c r="P618" i="8"/>
  <c r="F618" i="8" a="1"/>
  <c r="F618" i="8" s="1"/>
  <c r="C618" i="8"/>
  <c r="D618" i="8" s="1"/>
  <c r="A618" i="8"/>
  <c r="Q618" i="8" s="1"/>
  <c r="C617" i="8"/>
  <c r="D617" i="8" s="1"/>
  <c r="P617" i="8" s="1"/>
  <c r="Q617" i="8" s="1"/>
  <c r="A617" i="8"/>
  <c r="O616" i="8" a="1"/>
  <c r="O616" i="8" s="1"/>
  <c r="N616" i="8" a="1"/>
  <c r="N616" i="8" s="1"/>
  <c r="C616" i="8"/>
  <c r="D616" i="8" s="1"/>
  <c r="P616" i="8" s="1"/>
  <c r="A616" i="8"/>
  <c r="Q616" i="8" s="1"/>
  <c r="C615" i="8"/>
  <c r="D615" i="8" s="1"/>
  <c r="P615" i="8" s="1"/>
  <c r="A615" i="8"/>
  <c r="F614" i="8" a="1"/>
  <c r="F614" i="8" s="1"/>
  <c r="C614" i="8"/>
  <c r="D614" i="8" s="1"/>
  <c r="P614" i="8" s="1"/>
  <c r="Q614" i="8" s="1"/>
  <c r="A614" i="8"/>
  <c r="D613" i="8"/>
  <c r="P613" i="8" s="1"/>
  <c r="C613" i="8"/>
  <c r="A613" i="8"/>
  <c r="Q613" i="8" s="1"/>
  <c r="D612" i="8"/>
  <c r="P612" i="8" s="1"/>
  <c r="C612" i="8"/>
  <c r="A612" i="8"/>
  <c r="J611" i="8" a="1"/>
  <c r="J611" i="8" s="1"/>
  <c r="I611" i="8" a="1"/>
  <c r="I611" i="8" s="1"/>
  <c r="D611" i="8"/>
  <c r="P611" i="8" s="1"/>
  <c r="Q611" i="8" s="1"/>
  <c r="C611" i="8"/>
  <c r="A611" i="8"/>
  <c r="L610" i="8" a="1"/>
  <c r="L610" i="8" s="1"/>
  <c r="C610" i="8"/>
  <c r="D610" i="8" s="1"/>
  <c r="P610" i="8" s="1"/>
  <c r="Q610" i="8" s="1"/>
  <c r="A610" i="8"/>
  <c r="D609" i="8"/>
  <c r="P609" i="8" s="1"/>
  <c r="C609" i="8"/>
  <c r="A609" i="8"/>
  <c r="C608" i="8"/>
  <c r="D608" i="8" s="1"/>
  <c r="P608" i="8" s="1"/>
  <c r="A608" i="8"/>
  <c r="Q607" i="8"/>
  <c r="P607" i="8"/>
  <c r="D607" i="8"/>
  <c r="C607" i="8"/>
  <c r="A607" i="8"/>
  <c r="D606" i="8"/>
  <c r="P606" i="8" s="1"/>
  <c r="Q606" i="8" s="1"/>
  <c r="C606" i="8"/>
  <c r="A606" i="8"/>
  <c r="K605" i="8"/>
  <c r="K605" i="8" a="1"/>
  <c r="D605" i="8"/>
  <c r="P605" i="8" s="1"/>
  <c r="Q605" i="8" s="1"/>
  <c r="C605" i="8"/>
  <c r="A605" i="8"/>
  <c r="C604" i="8"/>
  <c r="D604" i="8" s="1"/>
  <c r="P604" i="8" s="1"/>
  <c r="Q604" i="8" s="1"/>
  <c r="A604" i="8"/>
  <c r="Q603" i="8"/>
  <c r="M603" i="8" s="1" a="1"/>
  <c r="M603" i="8" s="1"/>
  <c r="N603" i="8" a="1"/>
  <c r="N603" i="8" s="1"/>
  <c r="F603" i="8"/>
  <c r="F603" i="8" a="1"/>
  <c r="D603" i="8"/>
  <c r="P603" i="8" s="1"/>
  <c r="C603" i="8"/>
  <c r="A603" i="8"/>
  <c r="C602" i="8"/>
  <c r="D602" i="8" s="1"/>
  <c r="P602" i="8" s="1"/>
  <c r="A602" i="8"/>
  <c r="P601" i="8"/>
  <c r="H601" i="8" a="1"/>
  <c r="H601" i="8" s="1"/>
  <c r="C601" i="8"/>
  <c r="D601" i="8" s="1"/>
  <c r="A601" i="8"/>
  <c r="Q601" i="8" s="1"/>
  <c r="C600" i="8"/>
  <c r="D600" i="8" s="1"/>
  <c r="P600" i="8" s="1"/>
  <c r="A600" i="8"/>
  <c r="D599" i="8"/>
  <c r="P599" i="8" s="1"/>
  <c r="C599" i="8"/>
  <c r="A599" i="8"/>
  <c r="Q599" i="8" s="1"/>
  <c r="Q598" i="8"/>
  <c r="C598" i="8"/>
  <c r="D598" i="8" s="1"/>
  <c r="P598" i="8" s="1"/>
  <c r="A598" i="8"/>
  <c r="D597" i="8"/>
  <c r="P597" i="8" s="1"/>
  <c r="C597" i="8"/>
  <c r="A597" i="8"/>
  <c r="Q597" i="8" s="1"/>
  <c r="C596" i="8"/>
  <c r="D596" i="8" s="1"/>
  <c r="P596" i="8" s="1"/>
  <c r="A596" i="8"/>
  <c r="D595" i="8"/>
  <c r="P595" i="8" s="1"/>
  <c r="Q595" i="8" s="1"/>
  <c r="C595" i="8"/>
  <c r="A595" i="8"/>
  <c r="P594" i="8"/>
  <c r="Q594" i="8" s="1"/>
  <c r="M594" i="8" a="1"/>
  <c r="M594" i="8" s="1"/>
  <c r="J594" i="8" a="1"/>
  <c r="J594" i="8" s="1"/>
  <c r="H594" i="8" a="1"/>
  <c r="H594" i="8" s="1"/>
  <c r="C594" i="8"/>
  <c r="D594" i="8" s="1"/>
  <c r="A594" i="8"/>
  <c r="C593" i="8"/>
  <c r="D593" i="8" s="1"/>
  <c r="P593" i="8" s="1"/>
  <c r="A593" i="8"/>
  <c r="P592" i="8"/>
  <c r="J592" i="8" a="1"/>
  <c r="J592" i="8" s="1"/>
  <c r="E592" i="8" a="1"/>
  <c r="E592" i="8" s="1"/>
  <c r="C592" i="8"/>
  <c r="D592" i="8" s="1"/>
  <c r="A592" i="8"/>
  <c r="Q592" i="8" s="1"/>
  <c r="D591" i="8"/>
  <c r="P591" i="8" s="1"/>
  <c r="Q591" i="8" s="1"/>
  <c r="C591" i="8"/>
  <c r="A591" i="8"/>
  <c r="P590" i="8"/>
  <c r="Q590" i="8" s="1"/>
  <c r="D590" i="8"/>
  <c r="C590" i="8"/>
  <c r="A590" i="8"/>
  <c r="Q589" i="8"/>
  <c r="D589" i="8"/>
  <c r="P589" i="8" s="1"/>
  <c r="C589" i="8"/>
  <c r="A589" i="8"/>
  <c r="C588" i="8"/>
  <c r="D588" i="8" s="1"/>
  <c r="P588" i="8" s="1"/>
  <c r="Q588" i="8" s="1"/>
  <c r="A588" i="8"/>
  <c r="D587" i="8"/>
  <c r="P587" i="8" s="1"/>
  <c r="C587" i="8"/>
  <c r="A587" i="8"/>
  <c r="P586" i="8"/>
  <c r="L586" i="8" a="1"/>
  <c r="L586" i="8" s="1"/>
  <c r="C586" i="8"/>
  <c r="D586" i="8" s="1"/>
  <c r="A586" i="8"/>
  <c r="Q586" i="8" s="1"/>
  <c r="C585" i="8"/>
  <c r="D585" i="8" s="1"/>
  <c r="P585" i="8" s="1"/>
  <c r="A585" i="8"/>
  <c r="K584" i="8" a="1"/>
  <c r="K584" i="8" s="1"/>
  <c r="C584" i="8"/>
  <c r="D584" i="8" s="1"/>
  <c r="P584" i="8" s="1"/>
  <c r="A584" i="8"/>
  <c r="Q584" i="8" s="1"/>
  <c r="C583" i="8"/>
  <c r="D583" i="8" s="1"/>
  <c r="P583" i="8" s="1"/>
  <c r="A583" i="8"/>
  <c r="Q582" i="8"/>
  <c r="J582" i="8" a="1"/>
  <c r="J582" i="8" s="1"/>
  <c r="C582" i="8"/>
  <c r="D582" i="8" s="1"/>
  <c r="P582" i="8" s="1"/>
  <c r="A582" i="8"/>
  <c r="D581" i="8"/>
  <c r="P581" i="8" s="1"/>
  <c r="C581" i="8"/>
  <c r="A581" i="8"/>
  <c r="Q581" i="8" s="1"/>
  <c r="C580" i="8"/>
  <c r="D580" i="8" s="1"/>
  <c r="P580" i="8" s="1"/>
  <c r="A580" i="8"/>
  <c r="Q579" i="8"/>
  <c r="D579" i="8"/>
  <c r="P579" i="8" s="1"/>
  <c r="C579" i="8"/>
  <c r="A579" i="8"/>
  <c r="L578" i="8" a="1"/>
  <c r="L578" i="8" s="1"/>
  <c r="C578" i="8"/>
  <c r="D578" i="8" s="1"/>
  <c r="P578" i="8" s="1"/>
  <c r="Q578" i="8" s="1"/>
  <c r="A578" i="8"/>
  <c r="C577" i="8"/>
  <c r="D577" i="8" s="1"/>
  <c r="P577" i="8" s="1"/>
  <c r="A577" i="8"/>
  <c r="P576" i="8"/>
  <c r="C576" i="8"/>
  <c r="D576" i="8" s="1"/>
  <c r="A576" i="8"/>
  <c r="Q575" i="8"/>
  <c r="D575" i="8"/>
  <c r="P575" i="8" s="1"/>
  <c r="C575" i="8"/>
  <c r="A575" i="8"/>
  <c r="Q574" i="8"/>
  <c r="D574" i="8"/>
  <c r="P574" i="8" s="1"/>
  <c r="C574" i="8"/>
  <c r="A574" i="8"/>
  <c r="D573" i="8"/>
  <c r="P573" i="8" s="1"/>
  <c r="C573" i="8"/>
  <c r="A573" i="8"/>
  <c r="M572" i="8" a="1"/>
  <c r="M572" i="8" s="1"/>
  <c r="I572" i="8" a="1"/>
  <c r="I572" i="8" s="1"/>
  <c r="H572" i="8" a="1"/>
  <c r="H572" i="8" s="1"/>
  <c r="G572" i="8"/>
  <c r="G572" i="8" a="1"/>
  <c r="C572" i="8"/>
  <c r="D572" i="8" s="1"/>
  <c r="P572" i="8" s="1"/>
  <c r="Q572" i="8" s="1"/>
  <c r="A572" i="8"/>
  <c r="D571" i="8"/>
  <c r="P571" i="8" s="1"/>
  <c r="Q571" i="8" s="1"/>
  <c r="C571" i="8"/>
  <c r="A571" i="8"/>
  <c r="P570" i="8"/>
  <c r="C570" i="8"/>
  <c r="D570" i="8" s="1"/>
  <c r="A570" i="8"/>
  <c r="C569" i="8"/>
  <c r="D569" i="8" s="1"/>
  <c r="P569" i="8" s="1"/>
  <c r="A569" i="8"/>
  <c r="Q569" i="8" s="1"/>
  <c r="C568" i="8"/>
  <c r="D568" i="8" s="1"/>
  <c r="P568" i="8" s="1"/>
  <c r="A568" i="8"/>
  <c r="C567" i="8"/>
  <c r="D567" i="8" s="1"/>
  <c r="P567" i="8" s="1"/>
  <c r="A567" i="8"/>
  <c r="Q566" i="8"/>
  <c r="O566" i="8" a="1"/>
  <c r="O566" i="8" s="1"/>
  <c r="C566" i="8"/>
  <c r="D566" i="8" s="1"/>
  <c r="P566" i="8" s="1"/>
  <c r="A566" i="8"/>
  <c r="D565" i="8"/>
  <c r="P565" i="8" s="1"/>
  <c r="C565" i="8"/>
  <c r="A565" i="8"/>
  <c r="Q565" i="8" s="1"/>
  <c r="C564" i="8"/>
  <c r="D564" i="8" s="1"/>
  <c r="P564" i="8" s="1"/>
  <c r="A564" i="8"/>
  <c r="D563" i="8"/>
  <c r="P563" i="8" s="1"/>
  <c r="C563" i="8"/>
  <c r="A563" i="8"/>
  <c r="Q563" i="8" s="1"/>
  <c r="C562" i="8"/>
  <c r="D562" i="8" s="1"/>
  <c r="P562" i="8" s="1"/>
  <c r="Q562" i="8" s="1"/>
  <c r="A562" i="8"/>
  <c r="M561" i="8" a="1"/>
  <c r="M561" i="8" s="1"/>
  <c r="D561" i="8"/>
  <c r="P561" i="8" s="1"/>
  <c r="C561" i="8"/>
  <c r="A561" i="8"/>
  <c r="Q561" i="8" s="1"/>
  <c r="P560" i="8"/>
  <c r="C560" i="8"/>
  <c r="D560" i="8" s="1"/>
  <c r="A560" i="8"/>
  <c r="M559" i="8" a="1"/>
  <c r="M559" i="8" s="1"/>
  <c r="H559" i="8"/>
  <c r="H559" i="8" a="1"/>
  <c r="D559" i="8"/>
  <c r="P559" i="8" s="1"/>
  <c r="Q559" i="8" s="1"/>
  <c r="C559" i="8"/>
  <c r="A559" i="8"/>
  <c r="Q558" i="8"/>
  <c r="C558" i="8"/>
  <c r="D558" i="8" s="1"/>
  <c r="P558" i="8" s="1"/>
  <c r="A558" i="8"/>
  <c r="C557" i="8"/>
  <c r="D557" i="8" s="1"/>
  <c r="P557" i="8" s="1"/>
  <c r="Q557" i="8" s="1"/>
  <c r="A557" i="8"/>
  <c r="M556" i="8" a="1"/>
  <c r="M556" i="8" s="1"/>
  <c r="C556" i="8"/>
  <c r="D556" i="8" s="1"/>
  <c r="P556" i="8" s="1"/>
  <c r="A556" i="8"/>
  <c r="Q556" i="8" s="1"/>
  <c r="O556" i="8" s="1" a="1"/>
  <c r="O556" i="8" s="1"/>
  <c r="D555" i="8"/>
  <c r="P555" i="8" s="1"/>
  <c r="C555" i="8"/>
  <c r="A555" i="8"/>
  <c r="Q555" i="8" s="1"/>
  <c r="D554" i="8"/>
  <c r="P554" i="8" s="1"/>
  <c r="C554" i="8"/>
  <c r="A554" i="8"/>
  <c r="C553" i="8"/>
  <c r="D553" i="8" s="1"/>
  <c r="P553" i="8" s="1"/>
  <c r="Q553" i="8" s="1"/>
  <c r="A553" i="8"/>
  <c r="P552" i="8"/>
  <c r="C552" i="8"/>
  <c r="D552" i="8" s="1"/>
  <c r="A552" i="8"/>
  <c r="I551" i="8" a="1"/>
  <c r="I551" i="8" s="1"/>
  <c r="C551" i="8"/>
  <c r="D551" i="8" s="1"/>
  <c r="P551" i="8" s="1"/>
  <c r="Q551" i="8" s="1"/>
  <c r="A551" i="8"/>
  <c r="K550" i="8" a="1"/>
  <c r="K550" i="8" s="1"/>
  <c r="C550" i="8"/>
  <c r="D550" i="8" s="1"/>
  <c r="P550" i="8" s="1"/>
  <c r="Q550" i="8" s="1"/>
  <c r="A550" i="8"/>
  <c r="D549" i="8"/>
  <c r="P549" i="8" s="1"/>
  <c r="C549" i="8"/>
  <c r="A549" i="8"/>
  <c r="Q549" i="8" s="1"/>
  <c r="P548" i="8"/>
  <c r="D548" i="8"/>
  <c r="C548" i="8"/>
  <c r="A548" i="8"/>
  <c r="C547" i="8"/>
  <c r="D547" i="8" s="1"/>
  <c r="P547" i="8" s="1"/>
  <c r="A547" i="8"/>
  <c r="I546" i="8" a="1"/>
  <c r="I546" i="8" s="1"/>
  <c r="C546" i="8"/>
  <c r="D546" i="8" s="1"/>
  <c r="P546" i="8" s="1"/>
  <c r="A546" i="8"/>
  <c r="Q546" i="8" s="1"/>
  <c r="N546" i="8" s="1" a="1"/>
  <c r="N546" i="8" s="1"/>
  <c r="Q545" i="8"/>
  <c r="L545" i="8" s="1" a="1"/>
  <c r="L545" i="8" s="1"/>
  <c r="O545" i="8" a="1"/>
  <c r="O545" i="8" s="1"/>
  <c r="G545" i="8" a="1"/>
  <c r="G545" i="8" s="1"/>
  <c r="C545" i="8"/>
  <c r="D545" i="8" s="1"/>
  <c r="P545" i="8" s="1"/>
  <c r="A545" i="8"/>
  <c r="D544" i="8"/>
  <c r="P544" i="8" s="1"/>
  <c r="C544" i="8"/>
  <c r="A544" i="8"/>
  <c r="C543" i="8"/>
  <c r="D543" i="8" s="1"/>
  <c r="P543" i="8" s="1"/>
  <c r="A543" i="8"/>
  <c r="D542" i="8"/>
  <c r="P542" i="8" s="1"/>
  <c r="C542" i="8"/>
  <c r="A542" i="8"/>
  <c r="Q541" i="8"/>
  <c r="D541" i="8"/>
  <c r="P541" i="8" s="1"/>
  <c r="C541" i="8"/>
  <c r="A541" i="8"/>
  <c r="O540" i="8" a="1"/>
  <c r="O540" i="8" s="1"/>
  <c r="N540" i="8" a="1"/>
  <c r="N540" i="8" s="1"/>
  <c r="L540" i="8" a="1"/>
  <c r="L540" i="8" s="1"/>
  <c r="K540" i="8" a="1"/>
  <c r="K540" i="8" s="1"/>
  <c r="J540" i="8" a="1"/>
  <c r="J540" i="8" s="1"/>
  <c r="G540" i="8" a="1"/>
  <c r="G540" i="8" s="1"/>
  <c r="F540" i="8" a="1"/>
  <c r="F540" i="8" s="1"/>
  <c r="C540" i="8"/>
  <c r="D540" i="8" s="1"/>
  <c r="P540" i="8" s="1"/>
  <c r="Q540" i="8" s="1"/>
  <c r="A540" i="8"/>
  <c r="D539" i="8"/>
  <c r="P539" i="8" s="1"/>
  <c r="C539" i="8"/>
  <c r="A539" i="8"/>
  <c r="Q539" i="8" s="1"/>
  <c r="D538" i="8"/>
  <c r="P538" i="8" s="1"/>
  <c r="C538" i="8"/>
  <c r="A538" i="8"/>
  <c r="P537" i="8"/>
  <c r="D537" i="8"/>
  <c r="C537" i="8"/>
  <c r="A537" i="8"/>
  <c r="C536" i="8"/>
  <c r="D536" i="8" s="1"/>
  <c r="P536" i="8" s="1"/>
  <c r="Q536" i="8" s="1"/>
  <c r="A536" i="8"/>
  <c r="C535" i="8"/>
  <c r="D535" i="8" s="1"/>
  <c r="P535" i="8" s="1"/>
  <c r="A535" i="8"/>
  <c r="Q535" i="8" s="1"/>
  <c r="C534" i="8"/>
  <c r="D534" i="8" s="1"/>
  <c r="P534" i="8" s="1"/>
  <c r="Q534" i="8" s="1"/>
  <c r="A534" i="8"/>
  <c r="Q533" i="8"/>
  <c r="I533" i="8" s="1" a="1"/>
  <c r="I533" i="8" s="1"/>
  <c r="O533" i="8" a="1"/>
  <c r="O533" i="8" s="1"/>
  <c r="D533" i="8"/>
  <c r="P533" i="8" s="1"/>
  <c r="C533" i="8"/>
  <c r="A533" i="8"/>
  <c r="P532" i="8"/>
  <c r="D532" i="8"/>
  <c r="C532" i="8"/>
  <c r="A532" i="8"/>
  <c r="Q532" i="8" s="1"/>
  <c r="Q531" i="8"/>
  <c r="D531" i="8"/>
  <c r="P531" i="8" s="1"/>
  <c r="C531" i="8"/>
  <c r="A531" i="8"/>
  <c r="C530" i="8"/>
  <c r="D530" i="8" s="1"/>
  <c r="P530" i="8" s="1"/>
  <c r="A530" i="8"/>
  <c r="C529" i="8"/>
  <c r="D529" i="8" s="1"/>
  <c r="P529" i="8" s="1"/>
  <c r="A529" i="8"/>
  <c r="Q529" i="8" s="1"/>
  <c r="C528" i="8"/>
  <c r="D528" i="8" s="1"/>
  <c r="P528" i="8" s="1"/>
  <c r="A528" i="8"/>
  <c r="P527" i="8"/>
  <c r="C527" i="8"/>
  <c r="D527" i="8" s="1"/>
  <c r="A527" i="8"/>
  <c r="D526" i="8"/>
  <c r="P526" i="8" s="1"/>
  <c r="C526" i="8"/>
  <c r="A526" i="8"/>
  <c r="D525" i="8"/>
  <c r="P525" i="8" s="1"/>
  <c r="Q525" i="8" s="1"/>
  <c r="C525" i="8"/>
  <c r="A525" i="8"/>
  <c r="Q524" i="8"/>
  <c r="C524" i="8"/>
  <c r="D524" i="8" s="1"/>
  <c r="P524" i="8" s="1"/>
  <c r="A524" i="8"/>
  <c r="P523" i="8"/>
  <c r="D523" i="8"/>
  <c r="C523" i="8"/>
  <c r="A523" i="8"/>
  <c r="Q523" i="8" s="1"/>
  <c r="D522" i="8"/>
  <c r="P522" i="8" s="1"/>
  <c r="C522" i="8"/>
  <c r="A522" i="8"/>
  <c r="P521" i="8"/>
  <c r="D521" i="8"/>
  <c r="C521" i="8"/>
  <c r="A521" i="8"/>
  <c r="Q520" i="8"/>
  <c r="L520" i="8" s="1" a="1"/>
  <c r="L520" i="8" s="1"/>
  <c r="P520" i="8"/>
  <c r="M520" i="8"/>
  <c r="M520" i="8" a="1"/>
  <c r="H520" i="8" a="1"/>
  <c r="H520" i="8" s="1"/>
  <c r="C520" i="8"/>
  <c r="D520" i="8" s="1"/>
  <c r="A520" i="8"/>
  <c r="C519" i="8"/>
  <c r="D519" i="8" s="1"/>
  <c r="P519" i="8" s="1"/>
  <c r="A519" i="8"/>
  <c r="C518" i="8"/>
  <c r="D518" i="8" s="1"/>
  <c r="P518" i="8" s="1"/>
  <c r="A518" i="8"/>
  <c r="I517" i="8" a="1"/>
  <c r="I517" i="8" s="1"/>
  <c r="D517" i="8"/>
  <c r="P517" i="8" s="1"/>
  <c r="Q517" i="8" s="1"/>
  <c r="C517" i="8"/>
  <c r="A517" i="8"/>
  <c r="P516" i="8"/>
  <c r="D516" i="8"/>
  <c r="C516" i="8"/>
  <c r="A516" i="8"/>
  <c r="Q515" i="8"/>
  <c r="D515" i="8"/>
  <c r="P515" i="8" s="1"/>
  <c r="C515" i="8"/>
  <c r="A515" i="8"/>
  <c r="C514" i="8"/>
  <c r="D514" i="8" s="1"/>
  <c r="P514" i="8" s="1"/>
  <c r="Q514" i="8" s="1"/>
  <c r="A514" i="8"/>
  <c r="C513" i="8"/>
  <c r="D513" i="8" s="1"/>
  <c r="P513" i="8" s="1"/>
  <c r="A513" i="8"/>
  <c r="Q513" i="8" s="1"/>
  <c r="C512" i="8"/>
  <c r="D512" i="8" s="1"/>
  <c r="P512" i="8" s="1"/>
  <c r="A512" i="8"/>
  <c r="P511" i="8"/>
  <c r="C511" i="8"/>
  <c r="D511" i="8" s="1"/>
  <c r="A511" i="8"/>
  <c r="P510" i="8"/>
  <c r="D510" i="8"/>
  <c r="C510" i="8"/>
  <c r="A510" i="8"/>
  <c r="Q509" i="8"/>
  <c r="J509" i="8" s="1" a="1"/>
  <c r="J509" i="8" s="1"/>
  <c r="M509" i="8" a="1"/>
  <c r="M509" i="8" s="1"/>
  <c r="K509" i="8" a="1"/>
  <c r="K509" i="8" s="1"/>
  <c r="E509" i="8" a="1"/>
  <c r="E509" i="8" s="1"/>
  <c r="D509" i="8"/>
  <c r="P509" i="8" s="1"/>
  <c r="C509" i="8"/>
  <c r="A509" i="8"/>
  <c r="C508" i="8"/>
  <c r="D508" i="8" s="1"/>
  <c r="P508" i="8" s="1"/>
  <c r="Q508" i="8" s="1"/>
  <c r="A508" i="8"/>
  <c r="D507" i="8"/>
  <c r="P507" i="8" s="1"/>
  <c r="C507" i="8"/>
  <c r="A507" i="8"/>
  <c r="D506" i="8"/>
  <c r="P506" i="8" s="1"/>
  <c r="C506" i="8"/>
  <c r="A506" i="8"/>
  <c r="D505" i="8"/>
  <c r="P505" i="8" s="1"/>
  <c r="C505" i="8"/>
  <c r="A505" i="8"/>
  <c r="J504" i="8" a="1"/>
  <c r="J504" i="8" s="1"/>
  <c r="E504" i="8"/>
  <c r="E504" i="8" a="1"/>
  <c r="C504" i="8"/>
  <c r="D504" i="8" s="1"/>
  <c r="P504" i="8" s="1"/>
  <c r="Q504" i="8" s="1"/>
  <c r="L504" i="8" s="1" a="1"/>
  <c r="L504" i="8" s="1"/>
  <c r="A504" i="8"/>
  <c r="C503" i="8"/>
  <c r="D503" i="8" s="1"/>
  <c r="P503" i="8" s="1"/>
  <c r="A503" i="8"/>
  <c r="K502" i="8" a="1"/>
  <c r="K502" i="8" s="1"/>
  <c r="E502" i="8" a="1"/>
  <c r="E502" i="8" s="1"/>
  <c r="C502" i="8"/>
  <c r="D502" i="8" s="1"/>
  <c r="P502" i="8" s="1"/>
  <c r="A502" i="8"/>
  <c r="Q502" i="8" s="1"/>
  <c r="D501" i="8"/>
  <c r="P501" i="8" s="1"/>
  <c r="Q501" i="8" s="1"/>
  <c r="C501" i="8"/>
  <c r="A501" i="8"/>
  <c r="D500" i="8"/>
  <c r="P500" i="8" s="1"/>
  <c r="C500" i="8"/>
  <c r="A500" i="8"/>
  <c r="D499" i="8"/>
  <c r="P499" i="8" s="1"/>
  <c r="C499" i="8"/>
  <c r="A499" i="8"/>
  <c r="D498" i="8"/>
  <c r="P498" i="8" s="1"/>
  <c r="Q498" i="8" s="1"/>
  <c r="C498" i="8"/>
  <c r="A498" i="8"/>
  <c r="C497" i="8"/>
  <c r="D497" i="8" s="1"/>
  <c r="P497" i="8" s="1"/>
  <c r="Q497" i="8" s="1"/>
  <c r="A497" i="8"/>
  <c r="D496" i="8"/>
  <c r="P496" i="8" s="1"/>
  <c r="C496" i="8"/>
  <c r="A496" i="8"/>
  <c r="D495" i="8"/>
  <c r="P495" i="8" s="1"/>
  <c r="C495" i="8"/>
  <c r="A495" i="8"/>
  <c r="C494" i="8"/>
  <c r="D494" i="8" s="1"/>
  <c r="P494" i="8" s="1"/>
  <c r="A494" i="8"/>
  <c r="P493" i="8"/>
  <c r="C493" i="8"/>
  <c r="D493" i="8" s="1"/>
  <c r="A493" i="8"/>
  <c r="Q493" i="8" s="1"/>
  <c r="Q492" i="8"/>
  <c r="P492" i="8"/>
  <c r="D492" i="8"/>
  <c r="C492" i="8"/>
  <c r="A492" i="8"/>
  <c r="P491" i="8"/>
  <c r="D491" i="8"/>
  <c r="C491" i="8"/>
  <c r="A491" i="8"/>
  <c r="Q491" i="8" s="1"/>
  <c r="D490" i="8"/>
  <c r="P490" i="8" s="1"/>
  <c r="Q490" i="8" s="1"/>
  <c r="C490" i="8"/>
  <c r="A490" i="8"/>
  <c r="C489" i="8"/>
  <c r="D489" i="8" s="1"/>
  <c r="P489" i="8" s="1"/>
  <c r="Q489" i="8" s="1"/>
  <c r="A489" i="8"/>
  <c r="Q488" i="8"/>
  <c r="C488" i="8"/>
  <c r="D488" i="8" s="1"/>
  <c r="P488" i="8" s="1"/>
  <c r="A488" i="8"/>
  <c r="I487" i="8" a="1"/>
  <c r="I487" i="8" s="1"/>
  <c r="E487" i="8" a="1"/>
  <c r="E487" i="8" s="1"/>
  <c r="D487" i="8"/>
  <c r="P487" i="8" s="1"/>
  <c r="C487" i="8"/>
  <c r="A487" i="8"/>
  <c r="Q487" i="8" s="1"/>
  <c r="N487" i="8" s="1" a="1"/>
  <c r="N487" i="8" s="1"/>
  <c r="C486" i="8"/>
  <c r="D486" i="8" s="1"/>
  <c r="P486" i="8" s="1"/>
  <c r="A486" i="8"/>
  <c r="Q486" i="8" s="1"/>
  <c r="C485" i="8"/>
  <c r="D485" i="8" s="1"/>
  <c r="P485" i="8" s="1"/>
  <c r="A485" i="8"/>
  <c r="J484" i="8" a="1"/>
  <c r="J484" i="8" s="1"/>
  <c r="D484" i="8"/>
  <c r="P484" i="8" s="1"/>
  <c r="C484" i="8"/>
  <c r="A484" i="8"/>
  <c r="Q484" i="8" s="1"/>
  <c r="M484" i="8" s="1" a="1"/>
  <c r="M484" i="8" s="1"/>
  <c r="C483" i="8"/>
  <c r="D483" i="8" s="1"/>
  <c r="P483" i="8" s="1"/>
  <c r="Q483" i="8" s="1"/>
  <c r="A483" i="8"/>
  <c r="D482" i="8"/>
  <c r="P482" i="8" s="1"/>
  <c r="Q482" i="8" s="1"/>
  <c r="C482" i="8"/>
  <c r="A482" i="8"/>
  <c r="O481" i="8" a="1"/>
  <c r="O481" i="8" s="1"/>
  <c r="N481" i="8" a="1"/>
  <c r="N481" i="8" s="1"/>
  <c r="M481" i="8" a="1"/>
  <c r="M481" i="8" s="1"/>
  <c r="G481" i="8" a="1"/>
  <c r="G481" i="8" s="1"/>
  <c r="F481" i="8" a="1"/>
  <c r="F481" i="8" s="1"/>
  <c r="E481" i="8"/>
  <c r="E481" i="8" a="1"/>
  <c r="D481" i="8"/>
  <c r="P481" i="8" s="1"/>
  <c r="C481" i="8"/>
  <c r="A481" i="8"/>
  <c r="Q481" i="8" s="1"/>
  <c r="P480" i="8"/>
  <c r="K480" i="8"/>
  <c r="K480" i="8" a="1"/>
  <c r="D480" i="8"/>
  <c r="C480" i="8"/>
  <c r="A480" i="8"/>
  <c r="Q480" i="8" s="1"/>
  <c r="Q479" i="8"/>
  <c r="M479" i="8" s="1" a="1"/>
  <c r="M479" i="8" s="1"/>
  <c r="P479" i="8"/>
  <c r="E479" i="8" a="1"/>
  <c r="E479" i="8" s="1"/>
  <c r="D479" i="8"/>
  <c r="C479" i="8"/>
  <c r="A479" i="8"/>
  <c r="C478" i="8"/>
  <c r="D478" i="8" s="1"/>
  <c r="P478" i="8" s="1"/>
  <c r="A478" i="8"/>
  <c r="Q478" i="8" s="1"/>
  <c r="Q477" i="8"/>
  <c r="P477" i="8"/>
  <c r="C477" i="8"/>
  <c r="D477" i="8" s="1"/>
  <c r="A477" i="8"/>
  <c r="Q476" i="8"/>
  <c r="N476" i="8" s="1" a="1"/>
  <c r="N476" i="8" s="1"/>
  <c r="P476" i="8"/>
  <c r="D476" i="8"/>
  <c r="C476" i="8"/>
  <c r="A476" i="8"/>
  <c r="P475" i="8"/>
  <c r="D475" i="8"/>
  <c r="C475" i="8"/>
  <c r="A475" i="8"/>
  <c r="C474" i="8"/>
  <c r="D474" i="8" s="1"/>
  <c r="P474" i="8" s="1"/>
  <c r="A474" i="8"/>
  <c r="Q474" i="8" s="1"/>
  <c r="F473" i="8" a="1"/>
  <c r="F473" i="8" s="1"/>
  <c r="C473" i="8"/>
  <c r="D473" i="8" s="1"/>
  <c r="P473" i="8" s="1"/>
  <c r="Q473" i="8" s="1"/>
  <c r="A473" i="8"/>
  <c r="C472" i="8"/>
  <c r="D472" i="8" s="1"/>
  <c r="P472" i="8" s="1"/>
  <c r="A472" i="8"/>
  <c r="Q472" i="8" s="1"/>
  <c r="C471" i="8"/>
  <c r="D471" i="8" s="1"/>
  <c r="P471" i="8" s="1"/>
  <c r="A471" i="8"/>
  <c r="C470" i="8"/>
  <c r="D470" i="8" s="1"/>
  <c r="P470" i="8" s="1"/>
  <c r="A470" i="8"/>
  <c r="Q470" i="8" s="1"/>
  <c r="C469" i="8"/>
  <c r="D469" i="8" s="1"/>
  <c r="P469" i="8" s="1"/>
  <c r="A469" i="8"/>
  <c r="D468" i="8"/>
  <c r="P468" i="8" s="1"/>
  <c r="C468" i="8"/>
  <c r="A468" i="8"/>
  <c r="L467" i="8" a="1"/>
  <c r="L467" i="8" s="1"/>
  <c r="K467" i="8" a="1"/>
  <c r="K467" i="8" s="1"/>
  <c r="J467" i="8"/>
  <c r="J467" i="8" a="1"/>
  <c r="G467" i="8" a="1"/>
  <c r="G467" i="8" s="1"/>
  <c r="C467" i="8"/>
  <c r="D467" i="8" s="1"/>
  <c r="P467" i="8" s="1"/>
  <c r="Q467" i="8" s="1"/>
  <c r="A467" i="8"/>
  <c r="D466" i="8"/>
  <c r="P466" i="8" s="1"/>
  <c r="Q466" i="8" s="1"/>
  <c r="C466" i="8"/>
  <c r="A466" i="8"/>
  <c r="D465" i="8"/>
  <c r="P465" i="8" s="1"/>
  <c r="C465" i="8"/>
  <c r="A465" i="8"/>
  <c r="Q465" i="8" s="1"/>
  <c r="D464" i="8"/>
  <c r="P464" i="8" s="1"/>
  <c r="C464" i="8"/>
  <c r="A464" i="8"/>
  <c r="Q463" i="8"/>
  <c r="P463" i="8"/>
  <c r="D463" i="8"/>
  <c r="C463" i="8"/>
  <c r="A463" i="8"/>
  <c r="F462" i="8" a="1"/>
  <c r="F462" i="8" s="1"/>
  <c r="C462" i="8"/>
  <c r="D462" i="8" s="1"/>
  <c r="P462" i="8" s="1"/>
  <c r="A462" i="8"/>
  <c r="Q462" i="8" s="1"/>
  <c r="P461" i="8"/>
  <c r="K461" i="8" a="1"/>
  <c r="K461" i="8" s="1"/>
  <c r="C461" i="8"/>
  <c r="D461" i="8" s="1"/>
  <c r="A461" i="8"/>
  <c r="Q461" i="8" s="1"/>
  <c r="Q460" i="8"/>
  <c r="N460" i="8" s="1" a="1"/>
  <c r="N460" i="8" s="1"/>
  <c r="P460" i="8"/>
  <c r="D460" i="8"/>
  <c r="C460" i="8"/>
  <c r="A460" i="8"/>
  <c r="P459" i="8"/>
  <c r="D459" i="8"/>
  <c r="C459" i="8"/>
  <c r="A459" i="8"/>
  <c r="Q459" i="8" s="1"/>
  <c r="Q458" i="8"/>
  <c r="D458" i="8"/>
  <c r="P458" i="8" s="1"/>
  <c r="C458" i="8"/>
  <c r="A458" i="8"/>
  <c r="N457" i="8" a="1"/>
  <c r="N457" i="8" s="1"/>
  <c r="J457" i="8" a="1"/>
  <c r="J457" i="8" s="1"/>
  <c r="I457" i="8" a="1"/>
  <c r="I457" i="8" s="1"/>
  <c r="F457" i="8" a="1"/>
  <c r="F457" i="8" s="1"/>
  <c r="C457" i="8"/>
  <c r="D457" i="8" s="1"/>
  <c r="P457" i="8" s="1"/>
  <c r="Q457" i="8" s="1"/>
  <c r="K457" i="8" s="1" a="1"/>
  <c r="K457" i="8" s="1"/>
  <c r="A457" i="8"/>
  <c r="C456" i="8"/>
  <c r="D456" i="8" s="1"/>
  <c r="P456" i="8" s="1"/>
  <c r="A456" i="8"/>
  <c r="C455" i="8"/>
  <c r="D455" i="8" s="1"/>
  <c r="P455" i="8" s="1"/>
  <c r="A455" i="8"/>
  <c r="J454" i="8" a="1"/>
  <c r="J454" i="8" s="1"/>
  <c r="C454" i="8"/>
  <c r="D454" i="8" s="1"/>
  <c r="P454" i="8" s="1"/>
  <c r="A454" i="8"/>
  <c r="Q454" i="8" s="1"/>
  <c r="O454" i="8" s="1" a="1"/>
  <c r="O454" i="8" s="1"/>
  <c r="C453" i="8"/>
  <c r="D453" i="8" s="1"/>
  <c r="P453" i="8" s="1"/>
  <c r="A453" i="8"/>
  <c r="D452" i="8"/>
  <c r="P452" i="8" s="1"/>
  <c r="C452" i="8"/>
  <c r="A452" i="8"/>
  <c r="O451" i="8" a="1"/>
  <c r="O451" i="8" s="1"/>
  <c r="L451" i="8" a="1"/>
  <c r="L451" i="8" s="1"/>
  <c r="C451" i="8"/>
  <c r="D451" i="8" s="1"/>
  <c r="P451" i="8" s="1"/>
  <c r="Q451" i="8" s="1"/>
  <c r="A451" i="8"/>
  <c r="H450" i="8" a="1"/>
  <c r="H450" i="8" s="1"/>
  <c r="D450" i="8"/>
  <c r="P450" i="8" s="1"/>
  <c r="Q450" i="8" s="1"/>
  <c r="C450" i="8"/>
  <c r="A450" i="8"/>
  <c r="D449" i="8"/>
  <c r="P449" i="8" s="1"/>
  <c r="C449" i="8"/>
  <c r="A449" i="8"/>
  <c r="D448" i="8"/>
  <c r="P448" i="8" s="1"/>
  <c r="C448" i="8"/>
  <c r="A448" i="8"/>
  <c r="P447" i="8"/>
  <c r="Q447" i="8" s="1"/>
  <c r="M447" i="8" s="1" a="1"/>
  <c r="M447" i="8" s="1"/>
  <c r="D447" i="8"/>
  <c r="C447" i="8"/>
  <c r="A447" i="8"/>
  <c r="C446" i="8"/>
  <c r="D446" i="8" s="1"/>
  <c r="P446" i="8" s="1"/>
  <c r="A446" i="8"/>
  <c r="Q446" i="8" s="1"/>
  <c r="N446" i="8" s="1" a="1"/>
  <c r="N446" i="8" s="1"/>
  <c r="P445" i="8"/>
  <c r="C445" i="8"/>
  <c r="D445" i="8" s="1"/>
  <c r="A445" i="8"/>
  <c r="Q444" i="8"/>
  <c r="N444" i="8" s="1" a="1"/>
  <c r="N444" i="8" s="1"/>
  <c r="P444" i="8"/>
  <c r="I444" i="8" a="1"/>
  <c r="I444" i="8" s="1"/>
  <c r="H444" i="8"/>
  <c r="H444" i="8" a="1"/>
  <c r="F444" i="8" a="1"/>
  <c r="F444" i="8" s="1"/>
  <c r="D444" i="8"/>
  <c r="C444" i="8"/>
  <c r="A444" i="8"/>
  <c r="P443" i="8"/>
  <c r="D443" i="8"/>
  <c r="C443" i="8"/>
  <c r="A443" i="8"/>
  <c r="D442" i="8"/>
  <c r="P442" i="8" s="1"/>
  <c r="Q442" i="8" s="1"/>
  <c r="C442" i="8"/>
  <c r="A442" i="8"/>
  <c r="Q441" i="8"/>
  <c r="N441" i="8" s="1" a="1"/>
  <c r="N441" i="8" s="1"/>
  <c r="I441" i="8" a="1"/>
  <c r="I441" i="8" s="1"/>
  <c r="C441" i="8"/>
  <c r="D441" i="8" s="1"/>
  <c r="P441" i="8" s="1"/>
  <c r="A441" i="8"/>
  <c r="Q440" i="8"/>
  <c r="O440" i="8" s="1" a="1"/>
  <c r="O440" i="8"/>
  <c r="G440" i="8" a="1"/>
  <c r="G440" i="8" s="1"/>
  <c r="C440" i="8"/>
  <c r="D440" i="8" s="1"/>
  <c r="P440" i="8" s="1"/>
  <c r="A440" i="8"/>
  <c r="C439" i="8"/>
  <c r="D439" i="8" s="1"/>
  <c r="P439" i="8" s="1"/>
  <c r="A439" i="8"/>
  <c r="Q439" i="8" s="1"/>
  <c r="O438" i="8" a="1"/>
  <c r="O438" i="8" s="1"/>
  <c r="I438" i="8" a="1"/>
  <c r="I438" i="8" s="1"/>
  <c r="G438" i="8" a="1"/>
  <c r="G438" i="8" s="1"/>
  <c r="C438" i="8"/>
  <c r="D438" i="8" s="1"/>
  <c r="P438" i="8" s="1"/>
  <c r="A438" i="8"/>
  <c r="Q438" i="8" s="1"/>
  <c r="C437" i="8"/>
  <c r="D437" i="8" s="1"/>
  <c r="P437" i="8" s="1"/>
  <c r="A437" i="8"/>
  <c r="C436" i="8"/>
  <c r="D436" i="8" s="1"/>
  <c r="P436" i="8" s="1"/>
  <c r="A436" i="8"/>
  <c r="C435" i="8"/>
  <c r="D435" i="8" s="1"/>
  <c r="P435" i="8" s="1"/>
  <c r="Q435" i="8" s="1"/>
  <c r="A435" i="8"/>
  <c r="P434" i="8"/>
  <c r="Q434" i="8" s="1"/>
  <c r="D434" i="8"/>
  <c r="C434" i="8"/>
  <c r="A434" i="8"/>
  <c r="D433" i="8"/>
  <c r="P433" i="8" s="1"/>
  <c r="C433" i="8"/>
  <c r="A433" i="8"/>
  <c r="D432" i="8"/>
  <c r="P432" i="8" s="1"/>
  <c r="C432" i="8"/>
  <c r="A432" i="8"/>
  <c r="Q431" i="8"/>
  <c r="P431" i="8"/>
  <c r="D431" i="8"/>
  <c r="C431" i="8"/>
  <c r="A431" i="8"/>
  <c r="C430" i="8"/>
  <c r="D430" i="8" s="1"/>
  <c r="P430" i="8" s="1"/>
  <c r="A430" i="8"/>
  <c r="Q429" i="8"/>
  <c r="P429" i="8"/>
  <c r="C429" i="8"/>
  <c r="D429" i="8" s="1"/>
  <c r="A429" i="8"/>
  <c r="P428" i="8"/>
  <c r="Q428" i="8" s="1"/>
  <c r="F428" i="8" s="1" a="1"/>
  <c r="F428" i="8" s="1"/>
  <c r="N428" i="8" a="1"/>
  <c r="N428" i="8" s="1"/>
  <c r="C428" i="8"/>
  <c r="D428" i="8" s="1"/>
  <c r="A428" i="8"/>
  <c r="D427" i="8"/>
  <c r="P427" i="8" s="1"/>
  <c r="C427" i="8"/>
  <c r="A427" i="8"/>
  <c r="C426" i="8"/>
  <c r="D426" i="8" s="1"/>
  <c r="P426" i="8" s="1"/>
  <c r="A426" i="8"/>
  <c r="C425" i="8"/>
  <c r="D425" i="8" s="1"/>
  <c r="P425" i="8" s="1"/>
  <c r="A425" i="8"/>
  <c r="Q425" i="8" s="1"/>
  <c r="C424" i="8"/>
  <c r="D424" i="8" s="1"/>
  <c r="P424" i="8" s="1"/>
  <c r="A424" i="8"/>
  <c r="C423" i="8"/>
  <c r="D423" i="8" s="1"/>
  <c r="P423" i="8" s="1"/>
  <c r="A423" i="8"/>
  <c r="C422" i="8"/>
  <c r="D422" i="8" s="1"/>
  <c r="P422" i="8" s="1"/>
  <c r="A422" i="8"/>
  <c r="C421" i="8"/>
  <c r="D421" i="8" s="1"/>
  <c r="P421" i="8" s="1"/>
  <c r="A421" i="8"/>
  <c r="D420" i="8"/>
  <c r="P420" i="8" s="1"/>
  <c r="C420" i="8"/>
  <c r="A420" i="8"/>
  <c r="O419" i="8" a="1"/>
  <c r="O419" i="8" s="1"/>
  <c r="I419" i="8" a="1"/>
  <c r="I419" i="8" s="1"/>
  <c r="C419" i="8"/>
  <c r="D419" i="8" s="1"/>
  <c r="P419" i="8" s="1"/>
  <c r="Q419" i="8" s="1"/>
  <c r="A419" i="8"/>
  <c r="Q418" i="8"/>
  <c r="J418" i="8" s="1" a="1"/>
  <c r="J418" i="8" s="1"/>
  <c r="L418" i="8" a="1"/>
  <c r="L418" i="8" s="1"/>
  <c r="G418" i="8" a="1"/>
  <c r="G418" i="8" s="1"/>
  <c r="C418" i="8"/>
  <c r="D418" i="8" s="1"/>
  <c r="P418" i="8" s="1"/>
  <c r="A418" i="8"/>
  <c r="M417" i="8"/>
  <c r="M417" i="8" a="1"/>
  <c r="L417" i="8" a="1"/>
  <c r="L417" i="8" s="1"/>
  <c r="J417" i="8" a="1"/>
  <c r="J417" i="8" s="1"/>
  <c r="G417" i="8"/>
  <c r="G417" i="8" a="1"/>
  <c r="D417" i="8"/>
  <c r="P417" i="8" s="1"/>
  <c r="C417" i="8"/>
  <c r="A417" i="8"/>
  <c r="Q417" i="8" s="1"/>
  <c r="P416" i="8"/>
  <c r="J416" i="8" a="1"/>
  <c r="J416" i="8" s="1"/>
  <c r="D416" i="8"/>
  <c r="C416" i="8"/>
  <c r="A416" i="8"/>
  <c r="Q416" i="8" s="1"/>
  <c r="P415" i="8"/>
  <c r="Q415" i="8" s="1"/>
  <c r="M415" i="8" a="1"/>
  <c r="M415" i="8" s="1"/>
  <c r="G415" i="8" a="1"/>
  <c r="G415" i="8" s="1"/>
  <c r="D415" i="8"/>
  <c r="C415" i="8"/>
  <c r="A415" i="8"/>
  <c r="D414" i="8"/>
  <c r="P414" i="8" s="1"/>
  <c r="C414" i="8"/>
  <c r="A414" i="8"/>
  <c r="C413" i="8"/>
  <c r="D413" i="8" s="1"/>
  <c r="P413" i="8" s="1"/>
  <c r="Q413" i="8" s="1"/>
  <c r="A413" i="8"/>
  <c r="N412" i="8" a="1"/>
  <c r="N412" i="8" s="1"/>
  <c r="C412" i="8"/>
  <c r="D412" i="8" s="1"/>
  <c r="P412" i="8" s="1"/>
  <c r="Q412" i="8" s="1"/>
  <c r="O412" i="8" s="1" a="1"/>
  <c r="O412" i="8" s="1"/>
  <c r="A412" i="8"/>
  <c r="D411" i="8"/>
  <c r="P411" i="8" s="1"/>
  <c r="Q411" i="8" s="1"/>
  <c r="C411" i="8"/>
  <c r="A411" i="8"/>
  <c r="Q410" i="8"/>
  <c r="C410" i="8"/>
  <c r="D410" i="8" s="1"/>
  <c r="P410" i="8" s="1"/>
  <c r="A410" i="8"/>
  <c r="Q409" i="8"/>
  <c r="M409" i="8" s="1" a="1"/>
  <c r="M409" i="8" s="1"/>
  <c r="N409" i="8" a="1"/>
  <c r="N409" i="8" s="1"/>
  <c r="I409" i="8" a="1"/>
  <c r="I409" i="8" s="1"/>
  <c r="E409" i="8" a="1"/>
  <c r="E409" i="8" s="1"/>
  <c r="D409" i="8"/>
  <c r="P409" i="8" s="1"/>
  <c r="C409" i="8"/>
  <c r="A409" i="8"/>
  <c r="K408" i="8" a="1"/>
  <c r="K408" i="8" s="1"/>
  <c r="C408" i="8"/>
  <c r="D408" i="8" s="1"/>
  <c r="P408" i="8" s="1"/>
  <c r="A408" i="8"/>
  <c r="Q408" i="8" s="1"/>
  <c r="Q407" i="8"/>
  <c r="I407" i="8" s="1" a="1"/>
  <c r="I407" i="8" s="1"/>
  <c r="P407" i="8"/>
  <c r="L407" i="8" a="1"/>
  <c r="L407" i="8" s="1"/>
  <c r="H407" i="8" a="1"/>
  <c r="H407" i="8" s="1"/>
  <c r="C407" i="8"/>
  <c r="D407" i="8" s="1"/>
  <c r="A407" i="8"/>
  <c r="N406" i="8" a="1"/>
  <c r="N406" i="8" s="1"/>
  <c r="C406" i="8"/>
  <c r="D406" i="8" s="1"/>
  <c r="P406" i="8" s="1"/>
  <c r="A406" i="8"/>
  <c r="Q406" i="8" s="1"/>
  <c r="C405" i="8"/>
  <c r="D405" i="8" s="1"/>
  <c r="P405" i="8" s="1"/>
  <c r="A405" i="8"/>
  <c r="C404" i="8"/>
  <c r="D404" i="8" s="1"/>
  <c r="P404" i="8" s="1"/>
  <c r="Q404" i="8" s="1"/>
  <c r="A404" i="8"/>
  <c r="O403" i="8" a="1"/>
  <c r="O403" i="8" s="1"/>
  <c r="N403" i="8"/>
  <c r="N403" i="8" a="1"/>
  <c r="G403" i="8" a="1"/>
  <c r="G403" i="8" s="1"/>
  <c r="F403" i="8" a="1"/>
  <c r="F403" i="8" s="1"/>
  <c r="D403" i="8"/>
  <c r="P403" i="8" s="1"/>
  <c r="Q403" i="8" s="1"/>
  <c r="C403" i="8"/>
  <c r="A403" i="8"/>
  <c r="L402" i="8" a="1"/>
  <c r="L402" i="8" s="1"/>
  <c r="G402" i="8" a="1"/>
  <c r="G402" i="8" s="1"/>
  <c r="D402" i="8"/>
  <c r="P402" i="8" s="1"/>
  <c r="C402" i="8"/>
  <c r="A402" i="8"/>
  <c r="Q402" i="8" s="1"/>
  <c r="O402" i="8" s="1" a="1"/>
  <c r="O402" i="8" s="1"/>
  <c r="M401" i="8" a="1"/>
  <c r="M401" i="8" s="1"/>
  <c r="D401" i="8"/>
  <c r="P401" i="8" s="1"/>
  <c r="C401" i="8"/>
  <c r="A401" i="8"/>
  <c r="Q401" i="8" s="1"/>
  <c r="G400" i="8" a="1"/>
  <c r="G400" i="8" s="1"/>
  <c r="D400" i="8"/>
  <c r="P400" i="8" s="1"/>
  <c r="Q400" i="8" s="1"/>
  <c r="O400" i="8" s="1" a="1"/>
  <c r="O400" i="8" s="1"/>
  <c r="C400" i="8"/>
  <c r="A400" i="8"/>
  <c r="D399" i="8"/>
  <c r="P399" i="8" s="1"/>
  <c r="C399" i="8"/>
  <c r="A399" i="8"/>
  <c r="C398" i="8"/>
  <c r="D398" i="8" s="1"/>
  <c r="P398" i="8" s="1"/>
  <c r="Q398" i="8" s="1"/>
  <c r="A398" i="8"/>
  <c r="P397" i="8"/>
  <c r="D397" i="8"/>
  <c r="C397" i="8"/>
  <c r="A397" i="8"/>
  <c r="D396" i="8"/>
  <c r="P396" i="8" s="1"/>
  <c r="Q396" i="8" s="1"/>
  <c r="C396" i="8"/>
  <c r="A396" i="8"/>
  <c r="D395" i="8"/>
  <c r="P395" i="8" s="1"/>
  <c r="Q395" i="8" s="1"/>
  <c r="C395" i="8"/>
  <c r="A395" i="8"/>
  <c r="C394" i="8"/>
  <c r="D394" i="8" s="1"/>
  <c r="P394" i="8" s="1"/>
  <c r="Q394" i="8" s="1"/>
  <c r="A394" i="8"/>
  <c r="D393" i="8"/>
  <c r="P393" i="8" s="1"/>
  <c r="Q393" i="8" s="1"/>
  <c r="C393" i="8"/>
  <c r="A393" i="8"/>
  <c r="C392" i="8"/>
  <c r="D392" i="8" s="1"/>
  <c r="P392" i="8" s="1"/>
  <c r="A392" i="8"/>
  <c r="P391" i="8"/>
  <c r="C391" i="8"/>
  <c r="D391" i="8" s="1"/>
  <c r="A391" i="8"/>
  <c r="C390" i="8"/>
  <c r="D390" i="8" s="1"/>
  <c r="P390" i="8" s="1"/>
  <c r="A390" i="8"/>
  <c r="C389" i="8"/>
  <c r="D389" i="8" s="1"/>
  <c r="P389" i="8" s="1"/>
  <c r="A389" i="8"/>
  <c r="C388" i="8"/>
  <c r="D388" i="8" s="1"/>
  <c r="P388" i="8" s="1"/>
  <c r="Q388" i="8" s="1"/>
  <c r="A388" i="8"/>
  <c r="J387" i="8" a="1"/>
  <c r="J387" i="8" s="1"/>
  <c r="G387" i="8" a="1"/>
  <c r="G387" i="8" s="1"/>
  <c r="D387" i="8"/>
  <c r="P387" i="8" s="1"/>
  <c r="Q387" i="8" s="1"/>
  <c r="C387" i="8"/>
  <c r="A387" i="8"/>
  <c r="D386" i="8"/>
  <c r="P386" i="8" s="1"/>
  <c r="C386" i="8"/>
  <c r="A386" i="8"/>
  <c r="D385" i="8"/>
  <c r="P385" i="8" s="1"/>
  <c r="C385" i="8"/>
  <c r="A385" i="8"/>
  <c r="D384" i="8"/>
  <c r="P384" i="8" s="1"/>
  <c r="Q384" i="8" s="1"/>
  <c r="C384" i="8"/>
  <c r="A384" i="8"/>
  <c r="P383" i="8"/>
  <c r="C383" i="8"/>
  <c r="D383" i="8" s="1"/>
  <c r="A383" i="8"/>
  <c r="C382" i="8"/>
  <c r="D382" i="8" s="1"/>
  <c r="P382" i="8" s="1"/>
  <c r="Q382" i="8" s="1"/>
  <c r="A382" i="8"/>
  <c r="P381" i="8"/>
  <c r="O381" i="8" a="1"/>
  <c r="O381" i="8" s="1"/>
  <c r="K381" i="8" a="1"/>
  <c r="K381" i="8" s="1"/>
  <c r="D381" i="8"/>
  <c r="C381" i="8"/>
  <c r="A381" i="8"/>
  <c r="Q381" i="8" s="1"/>
  <c r="H380" i="8" a="1"/>
  <c r="H380" i="8" s="1"/>
  <c r="C380" i="8"/>
  <c r="D380" i="8" s="1"/>
  <c r="P380" i="8" s="1"/>
  <c r="Q380" i="8" s="1"/>
  <c r="A380" i="8"/>
  <c r="D379" i="8"/>
  <c r="P379" i="8" s="1"/>
  <c r="Q379" i="8" s="1"/>
  <c r="C379" i="8"/>
  <c r="A379" i="8"/>
  <c r="N378" i="8" a="1"/>
  <c r="N378" i="8" s="1"/>
  <c r="G378" i="8" a="1"/>
  <c r="G378" i="8" s="1"/>
  <c r="C378" i="8"/>
  <c r="D378" i="8" s="1"/>
  <c r="P378" i="8" s="1"/>
  <c r="Q378" i="8" s="1"/>
  <c r="A378" i="8"/>
  <c r="E377" i="8" a="1"/>
  <c r="E377" i="8" s="1"/>
  <c r="D377" i="8"/>
  <c r="P377" i="8" s="1"/>
  <c r="C377" i="8"/>
  <c r="A377" i="8"/>
  <c r="Q377" i="8" s="1"/>
  <c r="C376" i="8"/>
  <c r="D376" i="8" s="1"/>
  <c r="P376" i="8" s="1"/>
  <c r="A376" i="8"/>
  <c r="Q376" i="8" s="1"/>
  <c r="P375" i="8"/>
  <c r="C375" i="8"/>
  <c r="D375" i="8" s="1"/>
  <c r="A375" i="8"/>
  <c r="C374" i="8"/>
  <c r="D374" i="8" s="1"/>
  <c r="P374" i="8" s="1"/>
  <c r="A374" i="8"/>
  <c r="O373" i="8" a="1"/>
  <c r="O373" i="8" s="1"/>
  <c r="L373" i="8" a="1"/>
  <c r="L373" i="8" s="1"/>
  <c r="C373" i="8"/>
  <c r="D373" i="8" s="1"/>
  <c r="P373" i="8" s="1"/>
  <c r="A373" i="8"/>
  <c r="Q373" i="8" s="1"/>
  <c r="K373" i="8" s="1" a="1"/>
  <c r="K373" i="8" s="1"/>
  <c r="Q372" i="8"/>
  <c r="P372" i="8"/>
  <c r="D372" i="8"/>
  <c r="C372" i="8"/>
  <c r="A372" i="8"/>
  <c r="Q371" i="8"/>
  <c r="F371" i="8" s="1" a="1"/>
  <c r="F371" i="8" s="1"/>
  <c r="D371" i="8"/>
  <c r="P371" i="8" s="1"/>
  <c r="C371" i="8"/>
  <c r="A371" i="8"/>
  <c r="J370" i="8" a="1"/>
  <c r="J370" i="8" s="1"/>
  <c r="G370" i="8" a="1"/>
  <c r="G370" i="8" s="1"/>
  <c r="C370" i="8"/>
  <c r="D370" i="8" s="1"/>
  <c r="P370" i="8" s="1"/>
  <c r="A370" i="8"/>
  <c r="Q370" i="8" s="1"/>
  <c r="D369" i="8"/>
  <c r="P369" i="8" s="1"/>
  <c r="C369" i="8"/>
  <c r="A369" i="8"/>
  <c r="Q369" i="8" s="1"/>
  <c r="O368" i="8" a="1"/>
  <c r="O368" i="8" s="1"/>
  <c r="M368" i="8" a="1"/>
  <c r="M368" i="8" s="1"/>
  <c r="J368" i="8" a="1"/>
  <c r="J368" i="8" s="1"/>
  <c r="I368" i="8" a="1"/>
  <c r="I368" i="8" s="1"/>
  <c r="D368" i="8"/>
  <c r="P368" i="8" s="1"/>
  <c r="Q368" i="8" s="1"/>
  <c r="N368" i="8" s="1" a="1"/>
  <c r="N368" i="8" s="1"/>
  <c r="C368" i="8"/>
  <c r="A368" i="8"/>
  <c r="D367" i="8"/>
  <c r="P367" i="8" s="1"/>
  <c r="C367" i="8"/>
  <c r="A367" i="8"/>
  <c r="Q367" i="8" s="1"/>
  <c r="C366" i="8"/>
  <c r="D366" i="8" s="1"/>
  <c r="P366" i="8" s="1"/>
  <c r="Q366" i="8" s="1"/>
  <c r="A366" i="8"/>
  <c r="P365" i="8"/>
  <c r="D365" i="8"/>
  <c r="C365" i="8"/>
  <c r="A365" i="8"/>
  <c r="Q365" i="8" s="1"/>
  <c r="C364" i="8"/>
  <c r="D364" i="8" s="1"/>
  <c r="P364" i="8" s="1"/>
  <c r="Q364" i="8" s="1"/>
  <c r="A364" i="8"/>
  <c r="K363" i="8" a="1"/>
  <c r="K363" i="8" s="1"/>
  <c r="D363" i="8"/>
  <c r="P363" i="8" s="1"/>
  <c r="Q363" i="8" s="1"/>
  <c r="C363" i="8"/>
  <c r="A363" i="8"/>
  <c r="C362" i="8"/>
  <c r="D362" i="8" s="1"/>
  <c r="P362" i="8" s="1"/>
  <c r="A362" i="8"/>
  <c r="D361" i="8"/>
  <c r="P361" i="8" s="1"/>
  <c r="C361" i="8"/>
  <c r="A361" i="8"/>
  <c r="C360" i="8"/>
  <c r="D360" i="8" s="1"/>
  <c r="P360" i="8" s="1"/>
  <c r="A360" i="8"/>
  <c r="C359" i="8"/>
  <c r="D359" i="8" s="1"/>
  <c r="P359" i="8" s="1"/>
  <c r="A359" i="8"/>
  <c r="C358" i="8"/>
  <c r="D358" i="8" s="1"/>
  <c r="P358" i="8" s="1"/>
  <c r="A358" i="8"/>
  <c r="C357" i="8"/>
  <c r="D357" i="8" s="1"/>
  <c r="P357" i="8" s="1"/>
  <c r="A357" i="8"/>
  <c r="C356" i="8"/>
  <c r="D356" i="8" s="1"/>
  <c r="P356" i="8" s="1"/>
  <c r="Q356" i="8" s="1"/>
  <c r="A356" i="8"/>
  <c r="C355" i="8"/>
  <c r="D355" i="8" s="1"/>
  <c r="P355" i="8" s="1"/>
  <c r="A355" i="8"/>
  <c r="Q355" i="8" s="1"/>
  <c r="C354" i="8"/>
  <c r="D354" i="8" s="1"/>
  <c r="P354" i="8" s="1"/>
  <c r="A354" i="8"/>
  <c r="M353" i="8" a="1"/>
  <c r="M353" i="8" s="1"/>
  <c r="D353" i="8"/>
  <c r="P353" i="8" s="1"/>
  <c r="C353" i="8"/>
  <c r="A353" i="8"/>
  <c r="Q353" i="8" s="1"/>
  <c r="P352" i="8"/>
  <c r="D352" i="8"/>
  <c r="C352" i="8"/>
  <c r="A352" i="8"/>
  <c r="P351" i="8"/>
  <c r="Q351" i="8" s="1"/>
  <c r="L351" i="8" a="1"/>
  <c r="L351" i="8" s="1"/>
  <c r="D351" i="8"/>
  <c r="C351" i="8"/>
  <c r="A351" i="8"/>
  <c r="J350" i="8" a="1"/>
  <c r="J350" i="8" s="1"/>
  <c r="H350" i="8" a="1"/>
  <c r="H350" i="8" s="1"/>
  <c r="D350" i="8"/>
  <c r="P350" i="8" s="1"/>
  <c r="Q350" i="8" s="1"/>
  <c r="C350" i="8"/>
  <c r="A350" i="8"/>
  <c r="Q349" i="8"/>
  <c r="G349" i="8" s="1" a="1"/>
  <c r="G349" i="8" s="1"/>
  <c r="P349" i="8"/>
  <c r="M349" i="8" a="1"/>
  <c r="M349" i="8" s="1"/>
  <c r="D349" i="8"/>
  <c r="C349" i="8"/>
  <c r="A349" i="8"/>
  <c r="N348" i="8" a="1"/>
  <c r="N348" i="8" s="1"/>
  <c r="D348" i="8"/>
  <c r="P348" i="8" s="1"/>
  <c r="C348" i="8"/>
  <c r="A348" i="8"/>
  <c r="Q348" i="8" s="1"/>
  <c r="P347" i="8"/>
  <c r="D347" i="8"/>
  <c r="C347" i="8"/>
  <c r="A347" i="8"/>
  <c r="L346" i="8" a="1"/>
  <c r="L346" i="8" s="1"/>
  <c r="I346" i="8" a="1"/>
  <c r="I346" i="8" s="1"/>
  <c r="C346" i="8"/>
  <c r="D346" i="8" s="1"/>
  <c r="P346" i="8" s="1"/>
  <c r="Q346" i="8" s="1"/>
  <c r="A346" i="8"/>
  <c r="P345" i="8"/>
  <c r="E345" i="8" a="1"/>
  <c r="E345" i="8" s="1"/>
  <c r="D345" i="8"/>
  <c r="C345" i="8"/>
  <c r="A345" i="8"/>
  <c r="Q345" i="8" s="1"/>
  <c r="C344" i="8"/>
  <c r="D344" i="8" s="1"/>
  <c r="P344" i="8" s="1"/>
  <c r="Q344" i="8" s="1"/>
  <c r="A344" i="8"/>
  <c r="D343" i="8"/>
  <c r="P343" i="8" s="1"/>
  <c r="C343" i="8"/>
  <c r="A343" i="8"/>
  <c r="C342" i="8"/>
  <c r="D342" i="8" s="1"/>
  <c r="P342" i="8" s="1"/>
  <c r="A342" i="8"/>
  <c r="K341" i="8" a="1"/>
  <c r="K341" i="8" s="1"/>
  <c r="D341" i="8"/>
  <c r="P341" i="8" s="1"/>
  <c r="Q341" i="8" s="1"/>
  <c r="C341" i="8"/>
  <c r="A341" i="8"/>
  <c r="Q340" i="8"/>
  <c r="O340" i="8" s="1" a="1"/>
  <c r="O340" i="8" s="1"/>
  <c r="P340" i="8"/>
  <c r="G340" i="8" a="1"/>
  <c r="G340" i="8" s="1"/>
  <c r="D340" i="8"/>
  <c r="C340" i="8"/>
  <c r="A340" i="8"/>
  <c r="C339" i="8"/>
  <c r="D339" i="8" s="1"/>
  <c r="P339" i="8" s="1"/>
  <c r="Q339" i="8" s="1"/>
  <c r="A339" i="8"/>
  <c r="P338" i="8"/>
  <c r="H338" i="8" a="1"/>
  <c r="H338" i="8" s="1"/>
  <c r="F338" i="8" a="1"/>
  <c r="F338" i="8" s="1"/>
  <c r="E338" i="8" a="1"/>
  <c r="E338" i="8" s="1"/>
  <c r="D338" i="8"/>
  <c r="C338" i="8"/>
  <c r="A338" i="8"/>
  <c r="Q338" i="8" s="1"/>
  <c r="C337" i="8"/>
  <c r="D337" i="8" s="1"/>
  <c r="P337" i="8" s="1"/>
  <c r="A337" i="8"/>
  <c r="Q337" i="8" s="1"/>
  <c r="O337" i="8" s="1" a="1"/>
  <c r="O337" i="8" s="1"/>
  <c r="P336" i="8"/>
  <c r="Q336" i="8" s="1"/>
  <c r="M336" i="8" s="1" a="1"/>
  <c r="M336" i="8" s="1"/>
  <c r="E336" i="8" a="1"/>
  <c r="E336" i="8" s="1"/>
  <c r="D336" i="8"/>
  <c r="C336" i="8"/>
  <c r="A336" i="8"/>
  <c r="Q335" i="8"/>
  <c r="J335" i="8" s="1" a="1"/>
  <c r="J335" i="8" s="1"/>
  <c r="L335" i="8" a="1"/>
  <c r="L335" i="8" s="1"/>
  <c r="C335" i="8"/>
  <c r="D335" i="8" s="1"/>
  <c r="P335" i="8" s="1"/>
  <c r="A335" i="8"/>
  <c r="P334" i="8"/>
  <c r="C334" i="8"/>
  <c r="D334" i="8" s="1"/>
  <c r="A334" i="8"/>
  <c r="C333" i="8"/>
  <c r="D333" i="8" s="1"/>
  <c r="P333" i="8" s="1"/>
  <c r="A333" i="8"/>
  <c r="Q333" i="8" s="1"/>
  <c r="D332" i="8"/>
  <c r="P332" i="8" s="1"/>
  <c r="C332" i="8"/>
  <c r="A332" i="8"/>
  <c r="Q332" i="8" s="1"/>
  <c r="D331" i="8"/>
  <c r="P331" i="8" s="1"/>
  <c r="C331" i="8"/>
  <c r="A331" i="8"/>
  <c r="Q331" i="8" s="1"/>
  <c r="L330" i="8" a="1"/>
  <c r="L330" i="8" s="1"/>
  <c r="F330" i="8" a="1"/>
  <c r="F330" i="8" s="1"/>
  <c r="C330" i="8"/>
  <c r="D330" i="8" s="1"/>
  <c r="P330" i="8" s="1"/>
  <c r="Q330" i="8" s="1"/>
  <c r="N330" i="8" s="1" a="1"/>
  <c r="N330" i="8" s="1"/>
  <c r="A330" i="8"/>
  <c r="M329" i="8" a="1"/>
  <c r="M329" i="8" s="1"/>
  <c r="K329" i="8"/>
  <c r="K329" i="8" a="1"/>
  <c r="E329" i="8" a="1"/>
  <c r="E329" i="8" s="1"/>
  <c r="D329" i="8"/>
  <c r="P329" i="8" s="1"/>
  <c r="C329" i="8"/>
  <c r="A329" i="8"/>
  <c r="Q329" i="8" s="1"/>
  <c r="Q328" i="8"/>
  <c r="O328" i="8" s="1" a="1"/>
  <c r="O328" i="8" s="1"/>
  <c r="L328" i="8" a="1"/>
  <c r="L328" i="8" s="1"/>
  <c r="C328" i="8"/>
  <c r="D328" i="8" s="1"/>
  <c r="P328" i="8" s="1"/>
  <c r="A328" i="8"/>
  <c r="P327" i="8"/>
  <c r="D327" i="8"/>
  <c r="C327" i="8"/>
  <c r="A327" i="8"/>
  <c r="C326" i="8"/>
  <c r="D326" i="8" s="1"/>
  <c r="P326" i="8" s="1"/>
  <c r="A326" i="8"/>
  <c r="D325" i="8"/>
  <c r="P325" i="8" s="1"/>
  <c r="Q325" i="8" s="1"/>
  <c r="C325" i="8"/>
  <c r="A325" i="8"/>
  <c r="Q324" i="8"/>
  <c r="P324" i="8"/>
  <c r="D324" i="8"/>
  <c r="C324" i="8"/>
  <c r="A324" i="8"/>
  <c r="C323" i="8"/>
  <c r="D323" i="8" s="1"/>
  <c r="P323" i="8" s="1"/>
  <c r="Q323" i="8" s="1"/>
  <c r="A323" i="8"/>
  <c r="P322" i="8"/>
  <c r="D322" i="8"/>
  <c r="C322" i="8"/>
  <c r="A322" i="8"/>
  <c r="L321" i="8" a="1"/>
  <c r="L321" i="8" s="1"/>
  <c r="C321" i="8"/>
  <c r="D321" i="8" s="1"/>
  <c r="P321" i="8" s="1"/>
  <c r="A321" i="8"/>
  <c r="Q321" i="8" s="1"/>
  <c r="D320" i="8"/>
  <c r="P320" i="8" s="1"/>
  <c r="Q320" i="8" s="1"/>
  <c r="I320" i="8" s="1" a="1"/>
  <c r="I320" i="8" s="1"/>
  <c r="C320" i="8"/>
  <c r="A320" i="8"/>
  <c r="C319" i="8"/>
  <c r="D319" i="8" s="1"/>
  <c r="P319" i="8" s="1"/>
  <c r="A319" i="8"/>
  <c r="Q319" i="8" s="1"/>
  <c r="D318" i="8"/>
  <c r="P318" i="8" s="1"/>
  <c r="C318" i="8"/>
  <c r="A318" i="8"/>
  <c r="Q317" i="8"/>
  <c r="O317" i="8" s="1" a="1"/>
  <c r="O317" i="8" s="1"/>
  <c r="I317" i="8" a="1"/>
  <c r="I317" i="8" s="1"/>
  <c r="C317" i="8"/>
  <c r="D317" i="8" s="1"/>
  <c r="P317" i="8" s="1"/>
  <c r="A317" i="8"/>
  <c r="I316" i="8" a="1"/>
  <c r="I316" i="8" s="1"/>
  <c r="D316" i="8"/>
  <c r="P316" i="8" s="1"/>
  <c r="C316" i="8"/>
  <c r="A316" i="8"/>
  <c r="Q316" i="8" s="1"/>
  <c r="O316" i="8" s="1" a="1"/>
  <c r="O316" i="8" s="1"/>
  <c r="D315" i="8"/>
  <c r="P315" i="8" s="1"/>
  <c r="Q315" i="8" s="1"/>
  <c r="C315" i="8"/>
  <c r="A315" i="8"/>
  <c r="C314" i="8"/>
  <c r="D314" i="8" s="1"/>
  <c r="P314" i="8" s="1"/>
  <c r="A314" i="8"/>
  <c r="P313" i="8"/>
  <c r="H313" i="8" a="1"/>
  <c r="H313" i="8" s="1"/>
  <c r="D313" i="8"/>
  <c r="C313" i="8"/>
  <c r="A313" i="8"/>
  <c r="Q313" i="8" s="1"/>
  <c r="O313" i="8" s="1" a="1"/>
  <c r="O313" i="8" s="1"/>
  <c r="C312" i="8"/>
  <c r="D312" i="8" s="1"/>
  <c r="P312" i="8" s="1"/>
  <c r="Q312" i="8" s="1"/>
  <c r="A312" i="8"/>
  <c r="D311" i="8"/>
  <c r="P311" i="8" s="1"/>
  <c r="C311" i="8"/>
  <c r="A311" i="8"/>
  <c r="C310" i="8"/>
  <c r="D310" i="8" s="1"/>
  <c r="P310" i="8" s="1"/>
  <c r="A310" i="8"/>
  <c r="Q310" i="8" s="1"/>
  <c r="N309" i="8" a="1"/>
  <c r="N309" i="8" s="1"/>
  <c r="M309" i="8" a="1"/>
  <c r="M309" i="8" s="1"/>
  <c r="J309" i="8" a="1"/>
  <c r="J309" i="8" s="1"/>
  <c r="I309" i="8" a="1"/>
  <c r="I309" i="8" s="1"/>
  <c r="F309" i="8" a="1"/>
  <c r="F309" i="8" s="1"/>
  <c r="D309" i="8"/>
  <c r="P309" i="8" s="1"/>
  <c r="Q309" i="8" s="1"/>
  <c r="C309" i="8"/>
  <c r="A309" i="8"/>
  <c r="P308" i="8"/>
  <c r="D308" i="8"/>
  <c r="C308" i="8"/>
  <c r="A308" i="8"/>
  <c r="Q308" i="8" s="1"/>
  <c r="C307" i="8"/>
  <c r="D307" i="8" s="1"/>
  <c r="P307" i="8" s="1"/>
  <c r="Q307" i="8" s="1"/>
  <c r="A307" i="8"/>
  <c r="P306" i="8"/>
  <c r="D306" i="8"/>
  <c r="C306" i="8"/>
  <c r="A306" i="8"/>
  <c r="P305" i="8"/>
  <c r="C305" i="8"/>
  <c r="D305" i="8" s="1"/>
  <c r="A305" i="8"/>
  <c r="Q305" i="8" s="1"/>
  <c r="D304" i="8"/>
  <c r="P304" i="8" s="1"/>
  <c r="Q304" i="8" s="1"/>
  <c r="C304" i="8"/>
  <c r="A304" i="8"/>
  <c r="C303" i="8"/>
  <c r="D303" i="8" s="1"/>
  <c r="P303" i="8" s="1"/>
  <c r="A303" i="8"/>
  <c r="Q303" i="8" s="1"/>
  <c r="D302" i="8"/>
  <c r="P302" i="8" s="1"/>
  <c r="C302" i="8"/>
  <c r="A302" i="8"/>
  <c r="C301" i="8"/>
  <c r="D301" i="8" s="1"/>
  <c r="P301" i="8" s="1"/>
  <c r="Q301" i="8" s="1"/>
  <c r="A301" i="8"/>
  <c r="D300" i="8"/>
  <c r="P300" i="8" s="1"/>
  <c r="C300" i="8"/>
  <c r="A300" i="8"/>
  <c r="C299" i="8"/>
  <c r="D299" i="8" s="1"/>
  <c r="P299" i="8" s="1"/>
  <c r="A299" i="8"/>
  <c r="Q299" i="8" s="1"/>
  <c r="C298" i="8"/>
  <c r="D298" i="8" s="1"/>
  <c r="P298" i="8" s="1"/>
  <c r="A298" i="8"/>
  <c r="D297" i="8"/>
  <c r="P297" i="8" s="1"/>
  <c r="C297" i="8"/>
  <c r="A297" i="8"/>
  <c r="E296" i="8" a="1"/>
  <c r="E296" i="8" s="1"/>
  <c r="D296" i="8"/>
  <c r="P296" i="8" s="1"/>
  <c r="Q296" i="8" s="1"/>
  <c r="C296" i="8"/>
  <c r="A296" i="8"/>
  <c r="P295" i="8"/>
  <c r="D295" i="8"/>
  <c r="C295" i="8"/>
  <c r="A295" i="8"/>
  <c r="D294" i="8"/>
  <c r="P294" i="8" s="1"/>
  <c r="Q294" i="8" s="1"/>
  <c r="C294" i="8"/>
  <c r="A294" i="8"/>
  <c r="D293" i="8"/>
  <c r="P293" i="8" s="1"/>
  <c r="C293" i="8"/>
  <c r="A293" i="8"/>
  <c r="P292" i="8"/>
  <c r="M292" i="8" a="1"/>
  <c r="M292" i="8" s="1"/>
  <c r="D292" i="8"/>
  <c r="C292" i="8"/>
  <c r="A292" i="8"/>
  <c r="Q292" i="8" s="1"/>
  <c r="C291" i="8"/>
  <c r="D291" i="8" s="1"/>
  <c r="P291" i="8" s="1"/>
  <c r="Q291" i="8" s="1"/>
  <c r="A291" i="8"/>
  <c r="P290" i="8"/>
  <c r="D290" i="8"/>
  <c r="C290" i="8"/>
  <c r="A290" i="8"/>
  <c r="Q290" i="8" s="1"/>
  <c r="P289" i="8"/>
  <c r="J289" i="8" a="1"/>
  <c r="J289" i="8" s="1"/>
  <c r="I289" i="8" a="1"/>
  <c r="I289" i="8" s="1"/>
  <c r="C289" i="8"/>
  <c r="D289" i="8" s="1"/>
  <c r="A289" i="8"/>
  <c r="Q289" i="8" s="1"/>
  <c r="D288" i="8"/>
  <c r="P288" i="8" s="1"/>
  <c r="Q288" i="8" s="1"/>
  <c r="C288" i="8"/>
  <c r="A288" i="8"/>
  <c r="P287" i="8"/>
  <c r="Q287" i="8" s="1"/>
  <c r="C287" i="8"/>
  <c r="D287" i="8" s="1"/>
  <c r="A287" i="8"/>
  <c r="C286" i="8"/>
  <c r="D286" i="8" s="1"/>
  <c r="P286" i="8" s="1"/>
  <c r="A286" i="8"/>
  <c r="K285" i="8"/>
  <c r="K285" i="8" a="1"/>
  <c r="C285" i="8"/>
  <c r="D285" i="8" s="1"/>
  <c r="P285" i="8" s="1"/>
  <c r="Q285" i="8" s="1"/>
  <c r="A285" i="8"/>
  <c r="C284" i="8"/>
  <c r="D284" i="8" s="1"/>
  <c r="P284" i="8" s="1"/>
  <c r="A284" i="8"/>
  <c r="C283" i="8"/>
  <c r="D283" i="8" s="1"/>
  <c r="P283" i="8" s="1"/>
  <c r="A283" i="8"/>
  <c r="Q282" i="8"/>
  <c r="O282" i="8" s="1" a="1"/>
  <c r="O282" i="8" s="1"/>
  <c r="J282" i="8" a="1"/>
  <c r="J282" i="8" s="1"/>
  <c r="F282" i="8" a="1"/>
  <c r="F282" i="8" s="1"/>
  <c r="C282" i="8"/>
  <c r="D282" i="8" s="1"/>
  <c r="P282" i="8" s="1"/>
  <c r="A282" i="8"/>
  <c r="D281" i="8"/>
  <c r="P281" i="8" s="1"/>
  <c r="C281" i="8"/>
  <c r="A281" i="8"/>
  <c r="Q280" i="8"/>
  <c r="D280" i="8"/>
  <c r="P280" i="8" s="1"/>
  <c r="C280" i="8"/>
  <c r="A280" i="8"/>
  <c r="D279" i="8"/>
  <c r="P279" i="8" s="1"/>
  <c r="C279" i="8"/>
  <c r="A279" i="8"/>
  <c r="C278" i="8"/>
  <c r="D278" i="8" s="1"/>
  <c r="P278" i="8" s="1"/>
  <c r="Q278" i="8" s="1"/>
  <c r="A278" i="8"/>
  <c r="C277" i="8"/>
  <c r="D277" i="8" s="1"/>
  <c r="P277" i="8" s="1"/>
  <c r="A277" i="8"/>
  <c r="C276" i="8"/>
  <c r="D276" i="8" s="1"/>
  <c r="P276" i="8" s="1"/>
  <c r="A276" i="8"/>
  <c r="Q276" i="8" s="1"/>
  <c r="M275" i="8" a="1"/>
  <c r="M275" i="8" s="1"/>
  <c r="D275" i="8"/>
  <c r="P275" i="8" s="1"/>
  <c r="Q275" i="8" s="1"/>
  <c r="C275" i="8"/>
  <c r="A275" i="8"/>
  <c r="C274" i="8"/>
  <c r="D274" i="8" s="1"/>
  <c r="P274" i="8" s="1"/>
  <c r="A274" i="8"/>
  <c r="Q274" i="8" s="1"/>
  <c r="J274" i="8" s="1" a="1"/>
  <c r="J274" i="8" s="1"/>
  <c r="C273" i="8"/>
  <c r="D273" i="8" s="1"/>
  <c r="P273" i="8" s="1"/>
  <c r="A273" i="8"/>
  <c r="Q273" i="8" s="1"/>
  <c r="M272" i="8" a="1"/>
  <c r="M272" i="8" s="1"/>
  <c r="D272" i="8"/>
  <c r="P272" i="8" s="1"/>
  <c r="Q272" i="8" s="1"/>
  <c r="C272" i="8"/>
  <c r="A272" i="8"/>
  <c r="C271" i="8"/>
  <c r="D271" i="8" s="1"/>
  <c r="P271" i="8" s="1"/>
  <c r="A271" i="8"/>
  <c r="Q271" i="8" s="1"/>
  <c r="J271" i="8" s="1" a="1"/>
  <c r="J271" i="8" s="1"/>
  <c r="P270" i="8"/>
  <c r="D270" i="8"/>
  <c r="C270" i="8"/>
  <c r="A270" i="8"/>
  <c r="D269" i="8"/>
  <c r="P269" i="8" s="1"/>
  <c r="Q269" i="8" s="1"/>
  <c r="C269" i="8"/>
  <c r="A269" i="8"/>
  <c r="D268" i="8"/>
  <c r="P268" i="8" s="1"/>
  <c r="Q268" i="8" s="1"/>
  <c r="C268" i="8"/>
  <c r="A268" i="8"/>
  <c r="Q267" i="8"/>
  <c r="P267" i="8"/>
  <c r="H267" i="8" a="1"/>
  <c r="H267" i="8" s="1"/>
  <c r="D267" i="8"/>
  <c r="C267" i="8"/>
  <c r="A267" i="8"/>
  <c r="D266" i="8"/>
  <c r="P266" i="8" s="1"/>
  <c r="C266" i="8"/>
  <c r="A266" i="8"/>
  <c r="Q266" i="8" s="1"/>
  <c r="C265" i="8"/>
  <c r="D265" i="8" s="1"/>
  <c r="P265" i="8" s="1"/>
  <c r="A265" i="8"/>
  <c r="Q264" i="8"/>
  <c r="I264" i="8" s="1" a="1"/>
  <c r="I264" i="8" s="1"/>
  <c r="P264" i="8"/>
  <c r="D264" i="8"/>
  <c r="C264" i="8"/>
  <c r="A264" i="8"/>
  <c r="C263" i="8"/>
  <c r="D263" i="8" s="1"/>
  <c r="P263" i="8" s="1"/>
  <c r="A263" i="8"/>
  <c r="C262" i="8"/>
  <c r="D262" i="8" s="1"/>
  <c r="P262" i="8" s="1"/>
  <c r="A262" i="8"/>
  <c r="Q262" i="8" s="1"/>
  <c r="D261" i="8"/>
  <c r="P261" i="8" s="1"/>
  <c r="Q261" i="8" s="1"/>
  <c r="C261" i="8"/>
  <c r="A261" i="8"/>
  <c r="O260" i="8" a="1"/>
  <c r="O260" i="8" s="1"/>
  <c r="D260" i="8"/>
  <c r="P260" i="8" s="1"/>
  <c r="C260" i="8"/>
  <c r="A260" i="8"/>
  <c r="Q260" i="8" s="1"/>
  <c r="L259" i="8"/>
  <c r="L259" i="8" a="1"/>
  <c r="D259" i="8"/>
  <c r="P259" i="8" s="1"/>
  <c r="C259" i="8"/>
  <c r="A259" i="8"/>
  <c r="Q259" i="8" s="1"/>
  <c r="C258" i="8"/>
  <c r="D258" i="8" s="1"/>
  <c r="P258" i="8" s="1"/>
  <c r="A258" i="8"/>
  <c r="C257" i="8"/>
  <c r="D257" i="8" s="1"/>
  <c r="P257" i="8" s="1"/>
  <c r="A257" i="8"/>
  <c r="Q257" i="8" s="1"/>
  <c r="D256" i="8"/>
  <c r="P256" i="8" s="1"/>
  <c r="Q256" i="8" s="1"/>
  <c r="M256" i="8" s="1" a="1"/>
  <c r="M256" i="8" s="1"/>
  <c r="C256" i="8"/>
  <c r="A256" i="8"/>
  <c r="C255" i="8"/>
  <c r="D255" i="8" s="1"/>
  <c r="P255" i="8" s="1"/>
  <c r="A255" i="8"/>
  <c r="P254" i="8"/>
  <c r="D254" i="8"/>
  <c r="C254" i="8"/>
  <c r="A254" i="8"/>
  <c r="Q254" i="8" s="1"/>
  <c r="D253" i="8"/>
  <c r="P253" i="8" s="1"/>
  <c r="Q253" i="8" s="1"/>
  <c r="C253" i="8"/>
  <c r="A253" i="8"/>
  <c r="D252" i="8"/>
  <c r="P252" i="8" s="1"/>
  <c r="Q252" i="8" s="1"/>
  <c r="C252" i="8"/>
  <c r="A252" i="8"/>
  <c r="P251" i="8"/>
  <c r="Q251" i="8" s="1"/>
  <c r="D251" i="8"/>
  <c r="C251" i="8"/>
  <c r="A251" i="8"/>
  <c r="D250" i="8"/>
  <c r="P250" i="8" s="1"/>
  <c r="C250" i="8"/>
  <c r="A250" i="8"/>
  <c r="Q250" i="8" s="1"/>
  <c r="N250" i="8" s="1" a="1"/>
  <c r="N250" i="8" s="1"/>
  <c r="C249" i="8"/>
  <c r="D249" i="8" s="1"/>
  <c r="P249" i="8" s="1"/>
  <c r="A249" i="8"/>
  <c r="Q248" i="8"/>
  <c r="I248" i="8" s="1" a="1"/>
  <c r="I248" i="8" s="1"/>
  <c r="P248" i="8"/>
  <c r="D248" i="8"/>
  <c r="C248" i="8"/>
  <c r="A248" i="8"/>
  <c r="C247" i="8"/>
  <c r="D247" i="8" s="1"/>
  <c r="P247" i="8" s="1"/>
  <c r="A247" i="8"/>
  <c r="C246" i="8"/>
  <c r="D246" i="8" s="1"/>
  <c r="P246" i="8" s="1"/>
  <c r="A246" i="8"/>
  <c r="D245" i="8"/>
  <c r="P245" i="8" s="1"/>
  <c r="Q245" i="8" s="1"/>
  <c r="O245" i="8" s="1" a="1"/>
  <c r="O245" i="8" s="1"/>
  <c r="C245" i="8"/>
  <c r="A245" i="8"/>
  <c r="D244" i="8"/>
  <c r="P244" i="8" s="1"/>
  <c r="C244" i="8"/>
  <c r="A244" i="8"/>
  <c r="D243" i="8"/>
  <c r="P243" i="8" s="1"/>
  <c r="C243" i="8"/>
  <c r="A243" i="8"/>
  <c r="Q243" i="8" s="1"/>
  <c r="J243" i="8" s="1" a="1"/>
  <c r="J243" i="8" s="1"/>
  <c r="C242" i="8"/>
  <c r="D242" i="8" s="1"/>
  <c r="P242" i="8" s="1"/>
  <c r="A242" i="8"/>
  <c r="O241" i="8" a="1"/>
  <c r="O241" i="8" s="1"/>
  <c r="M241" i="8" a="1"/>
  <c r="M241" i="8" s="1"/>
  <c r="C241" i="8"/>
  <c r="D241" i="8" s="1"/>
  <c r="P241" i="8" s="1"/>
  <c r="A241" i="8"/>
  <c r="Q241" i="8" s="1"/>
  <c r="M240" i="8" a="1"/>
  <c r="M240" i="8" s="1"/>
  <c r="E240" i="8" a="1"/>
  <c r="E240" i="8" s="1"/>
  <c r="D240" i="8"/>
  <c r="P240" i="8" s="1"/>
  <c r="Q240" i="8" s="1"/>
  <c r="C240" i="8"/>
  <c r="A240" i="8"/>
  <c r="C239" i="8"/>
  <c r="D239" i="8" s="1"/>
  <c r="P239" i="8" s="1"/>
  <c r="A239" i="8"/>
  <c r="P238" i="8"/>
  <c r="D238" i="8"/>
  <c r="C238" i="8"/>
  <c r="A238" i="8"/>
  <c r="K237" i="8" a="1"/>
  <c r="K237" i="8" s="1"/>
  <c r="E237" i="8"/>
  <c r="E237" i="8" a="1"/>
  <c r="D237" i="8"/>
  <c r="P237" i="8" s="1"/>
  <c r="Q237" i="8" s="1"/>
  <c r="C237" i="8"/>
  <c r="A237" i="8"/>
  <c r="D236" i="8"/>
  <c r="P236" i="8" s="1"/>
  <c r="Q236" i="8" s="1"/>
  <c r="C236" i="8"/>
  <c r="A236" i="8"/>
  <c r="P235" i="8"/>
  <c r="Q235" i="8" s="1"/>
  <c r="C235" i="8"/>
  <c r="D235" i="8" s="1"/>
  <c r="A235" i="8"/>
  <c r="D234" i="8"/>
  <c r="P234" i="8" s="1"/>
  <c r="C234" i="8"/>
  <c r="A234" i="8"/>
  <c r="C233" i="8"/>
  <c r="D233" i="8" s="1"/>
  <c r="P233" i="8" s="1"/>
  <c r="A233" i="8"/>
  <c r="Q233" i="8" s="1"/>
  <c r="Q232" i="8"/>
  <c r="I232" i="8" s="1" a="1"/>
  <c r="I232" i="8" s="1"/>
  <c r="P232" i="8"/>
  <c r="D232" i="8"/>
  <c r="C232" i="8"/>
  <c r="A232" i="8"/>
  <c r="C231" i="8"/>
  <c r="D231" i="8" s="1"/>
  <c r="P231" i="8" s="1"/>
  <c r="A231" i="8"/>
  <c r="Q231" i="8" s="1"/>
  <c r="L230" i="8" a="1"/>
  <c r="L230" i="8" s="1"/>
  <c r="C230" i="8"/>
  <c r="D230" i="8" s="1"/>
  <c r="P230" i="8" s="1"/>
  <c r="A230" i="8"/>
  <c r="Q230" i="8" s="1"/>
  <c r="D229" i="8"/>
  <c r="P229" i="8" s="1"/>
  <c r="Q229" i="8" s="1"/>
  <c r="C229" i="8"/>
  <c r="A229" i="8"/>
  <c r="D228" i="8"/>
  <c r="P228" i="8" s="1"/>
  <c r="C228" i="8"/>
  <c r="A228" i="8"/>
  <c r="C227" i="8"/>
  <c r="D227" i="8" s="1"/>
  <c r="P227" i="8" s="1"/>
  <c r="A227" i="8"/>
  <c r="C226" i="8"/>
  <c r="D226" i="8" s="1"/>
  <c r="P226" i="8" s="1"/>
  <c r="A226" i="8"/>
  <c r="C225" i="8"/>
  <c r="D225" i="8" s="1"/>
  <c r="P225" i="8" s="1"/>
  <c r="A225" i="8"/>
  <c r="Q225" i="8" s="1"/>
  <c r="D224" i="8"/>
  <c r="P224" i="8" s="1"/>
  <c r="Q224" i="8" s="1"/>
  <c r="C224" i="8"/>
  <c r="A224" i="8"/>
  <c r="P223" i="8"/>
  <c r="C223" i="8"/>
  <c r="D223" i="8" s="1"/>
  <c r="A223" i="8"/>
  <c r="P222" i="8"/>
  <c r="D222" i="8"/>
  <c r="C222" i="8"/>
  <c r="A222" i="8"/>
  <c r="M221" i="8"/>
  <c r="M221" i="8" a="1"/>
  <c r="K221" i="8" a="1"/>
  <c r="K221" i="8" s="1"/>
  <c r="D221" i="8"/>
  <c r="P221" i="8" s="1"/>
  <c r="Q221" i="8" s="1"/>
  <c r="C221" i="8"/>
  <c r="A221" i="8"/>
  <c r="Q220" i="8"/>
  <c r="K220" i="8" a="1"/>
  <c r="K220" i="8" s="1"/>
  <c r="D220" i="8"/>
  <c r="P220" i="8" s="1"/>
  <c r="C220" i="8"/>
  <c r="A220" i="8"/>
  <c r="P219" i="8"/>
  <c r="Q219" i="8" s="1"/>
  <c r="C219" i="8"/>
  <c r="D219" i="8" s="1"/>
  <c r="A219" i="8"/>
  <c r="F218" i="8" a="1"/>
  <c r="F218" i="8" s="1"/>
  <c r="D218" i="8"/>
  <c r="P218" i="8" s="1"/>
  <c r="C218" i="8"/>
  <c r="A218" i="8"/>
  <c r="Q218" i="8" s="1"/>
  <c r="N218" i="8" s="1" a="1"/>
  <c r="N218" i="8" s="1"/>
  <c r="C217" i="8"/>
  <c r="D217" i="8" s="1"/>
  <c r="P217" i="8" s="1"/>
  <c r="A217" i="8"/>
  <c r="Q216" i="8"/>
  <c r="P216" i="8"/>
  <c r="I216" i="8" a="1"/>
  <c r="I216" i="8" s="1"/>
  <c r="D216" i="8"/>
  <c r="C216" i="8"/>
  <c r="A216" i="8"/>
  <c r="C215" i="8"/>
  <c r="D215" i="8" s="1"/>
  <c r="P215" i="8" s="1"/>
  <c r="A215" i="8"/>
  <c r="Q214" i="8"/>
  <c r="L214" i="8" s="1" a="1"/>
  <c r="L214" i="8" s="1"/>
  <c r="C214" i="8"/>
  <c r="D214" i="8" s="1"/>
  <c r="P214" i="8" s="1"/>
  <c r="A214" i="8"/>
  <c r="O213" i="8" a="1"/>
  <c r="O213" i="8" s="1"/>
  <c r="I213" i="8"/>
  <c r="I213" i="8" a="1"/>
  <c r="G213" i="8" a="1"/>
  <c r="G213" i="8" s="1"/>
  <c r="F213" i="8" a="1"/>
  <c r="F213" i="8" s="1"/>
  <c r="D213" i="8"/>
  <c r="P213" i="8" s="1"/>
  <c r="Q213" i="8" s="1"/>
  <c r="C213" i="8"/>
  <c r="A213" i="8"/>
  <c r="O212" i="8" a="1"/>
  <c r="O212" i="8" s="1"/>
  <c r="G212" i="8" a="1"/>
  <c r="G212" i="8" s="1"/>
  <c r="D212" i="8"/>
  <c r="P212" i="8" s="1"/>
  <c r="C212" i="8"/>
  <c r="A212" i="8"/>
  <c r="Q212" i="8" s="1"/>
  <c r="C211" i="8"/>
  <c r="D211" i="8" s="1"/>
  <c r="P211" i="8" s="1"/>
  <c r="A211" i="8"/>
  <c r="J210" i="8" a="1"/>
  <c r="J210" i="8" s="1"/>
  <c r="C210" i="8"/>
  <c r="D210" i="8" s="1"/>
  <c r="P210" i="8" s="1"/>
  <c r="A210" i="8"/>
  <c r="Q210" i="8" s="1"/>
  <c r="C209" i="8"/>
  <c r="D209" i="8" s="1"/>
  <c r="P209" i="8" s="1"/>
  <c r="A209" i="8"/>
  <c r="M208" i="8" a="1"/>
  <c r="M208" i="8" s="1"/>
  <c r="E208" i="8" a="1"/>
  <c r="E208" i="8" s="1"/>
  <c r="D208" i="8"/>
  <c r="P208" i="8" s="1"/>
  <c r="Q208" i="8" s="1"/>
  <c r="C208" i="8"/>
  <c r="A208" i="8"/>
  <c r="P207" i="8"/>
  <c r="C207" i="8"/>
  <c r="D207" i="8" s="1"/>
  <c r="A207" i="8"/>
  <c r="P206" i="8"/>
  <c r="D206" i="8"/>
  <c r="C206" i="8"/>
  <c r="A206" i="8"/>
  <c r="Q206" i="8" s="1"/>
  <c r="M205" i="8"/>
  <c r="M205" i="8" a="1"/>
  <c r="J205" i="8" a="1"/>
  <c r="J205" i="8" s="1"/>
  <c r="D205" i="8"/>
  <c r="P205" i="8" s="1"/>
  <c r="Q205" i="8" s="1"/>
  <c r="C205" i="8"/>
  <c r="A205" i="8"/>
  <c r="Q204" i="8"/>
  <c r="D204" i="8"/>
  <c r="P204" i="8" s="1"/>
  <c r="C204" i="8"/>
  <c r="A204" i="8"/>
  <c r="P203" i="8"/>
  <c r="Q203" i="8" s="1"/>
  <c r="E203" i="8" s="1" a="1"/>
  <c r="E203" i="8" s="1"/>
  <c r="C203" i="8"/>
  <c r="D203" i="8" s="1"/>
  <c r="A203" i="8"/>
  <c r="N202" i="8" a="1"/>
  <c r="N202" i="8" s="1"/>
  <c r="F202" i="8" a="1"/>
  <c r="F202" i="8" s="1"/>
  <c r="D202" i="8"/>
  <c r="P202" i="8" s="1"/>
  <c r="C202" i="8"/>
  <c r="A202" i="8"/>
  <c r="Q202" i="8" s="1"/>
  <c r="P201" i="8"/>
  <c r="C201" i="8"/>
  <c r="D201" i="8" s="1"/>
  <c r="A201" i="8"/>
  <c r="Q200" i="8"/>
  <c r="P200" i="8"/>
  <c r="D200" i="8"/>
  <c r="C200" i="8"/>
  <c r="A200" i="8"/>
  <c r="C199" i="8"/>
  <c r="D199" i="8" s="1"/>
  <c r="P199" i="8" s="1"/>
  <c r="A199" i="8"/>
  <c r="C198" i="8"/>
  <c r="D198" i="8" s="1"/>
  <c r="P198" i="8" s="1"/>
  <c r="A198" i="8"/>
  <c r="Q198" i="8" s="1"/>
  <c r="D197" i="8"/>
  <c r="P197" i="8" s="1"/>
  <c r="Q197" i="8" s="1"/>
  <c r="C197" i="8"/>
  <c r="A197" i="8"/>
  <c r="D196" i="8"/>
  <c r="P196" i="8" s="1"/>
  <c r="C196" i="8"/>
  <c r="A196" i="8"/>
  <c r="C195" i="8"/>
  <c r="D195" i="8" s="1"/>
  <c r="P195" i="8" s="1"/>
  <c r="A195" i="8"/>
  <c r="J194" i="8" a="1"/>
  <c r="J194" i="8" s="1"/>
  <c r="I194" i="8" a="1"/>
  <c r="I194" i="8" s="1"/>
  <c r="C194" i="8"/>
  <c r="D194" i="8" s="1"/>
  <c r="P194" i="8" s="1"/>
  <c r="Q194" i="8" s="1"/>
  <c r="A194" i="8"/>
  <c r="C193" i="8"/>
  <c r="D193" i="8" s="1"/>
  <c r="P193" i="8" s="1"/>
  <c r="A193" i="8"/>
  <c r="D192" i="8"/>
  <c r="P192" i="8" s="1"/>
  <c r="Q192" i="8" s="1"/>
  <c r="C192" i="8"/>
  <c r="A192" i="8"/>
  <c r="C191" i="8"/>
  <c r="D191" i="8" s="1"/>
  <c r="P191" i="8" s="1"/>
  <c r="A191" i="8"/>
  <c r="P190" i="8"/>
  <c r="D190" i="8"/>
  <c r="C190" i="8"/>
  <c r="A190" i="8"/>
  <c r="M189" i="8" a="1"/>
  <c r="M189" i="8" s="1"/>
  <c r="K189" i="8" a="1"/>
  <c r="K189" i="8" s="1"/>
  <c r="J189" i="8" a="1"/>
  <c r="J189" i="8" s="1"/>
  <c r="E189" i="8" a="1"/>
  <c r="E189" i="8" s="1"/>
  <c r="D189" i="8"/>
  <c r="P189" i="8" s="1"/>
  <c r="Q189" i="8" s="1"/>
  <c r="C189" i="8"/>
  <c r="A189" i="8"/>
  <c r="D188" i="8"/>
  <c r="P188" i="8" s="1"/>
  <c r="Q188" i="8" s="1"/>
  <c r="C188" i="8"/>
  <c r="A188" i="8"/>
  <c r="C187" i="8"/>
  <c r="D187" i="8" s="1"/>
  <c r="P187" i="8" s="1"/>
  <c r="Q187" i="8" s="1"/>
  <c r="A187" i="8"/>
  <c r="N186" i="8" a="1"/>
  <c r="N186" i="8" s="1"/>
  <c r="F186" i="8" a="1"/>
  <c r="F186" i="8" s="1"/>
  <c r="D186" i="8"/>
  <c r="P186" i="8" s="1"/>
  <c r="C186" i="8"/>
  <c r="A186" i="8"/>
  <c r="Q186" i="8" s="1"/>
  <c r="P185" i="8"/>
  <c r="K185" i="8" a="1"/>
  <c r="K185" i="8" s="1"/>
  <c r="D185" i="8"/>
  <c r="C185" i="8"/>
  <c r="A185" i="8"/>
  <c r="Q185" i="8" s="1"/>
  <c r="O185" i="8" s="1" a="1"/>
  <c r="O185" i="8" s="1"/>
  <c r="Q184" i="8"/>
  <c r="I184" i="8" s="1" a="1"/>
  <c r="I184" i="8" s="1"/>
  <c r="P184" i="8"/>
  <c r="H184" i="8" a="1"/>
  <c r="H184" i="8" s="1"/>
  <c r="D184" i="8"/>
  <c r="C184" i="8"/>
  <c r="A184" i="8"/>
  <c r="C183" i="8"/>
  <c r="D183" i="8" s="1"/>
  <c r="P183" i="8" s="1"/>
  <c r="A183" i="8"/>
  <c r="C182" i="8"/>
  <c r="D182" i="8" s="1"/>
  <c r="P182" i="8" s="1"/>
  <c r="A182" i="8"/>
  <c r="Q181" i="8"/>
  <c r="O181" i="8" a="1"/>
  <c r="O181" i="8" s="1"/>
  <c r="N181" i="8" a="1"/>
  <c r="N181" i="8" s="1"/>
  <c r="I181" i="8" a="1"/>
  <c r="I181" i="8" s="1"/>
  <c r="G181" i="8" a="1"/>
  <c r="G181" i="8" s="1"/>
  <c r="F181" i="8" a="1"/>
  <c r="F181" i="8" s="1"/>
  <c r="E181" i="8"/>
  <c r="E181" i="8" a="1"/>
  <c r="D181" i="8"/>
  <c r="P181" i="8" s="1"/>
  <c r="C181" i="8"/>
  <c r="A181" i="8"/>
  <c r="D180" i="8"/>
  <c r="P180" i="8" s="1"/>
  <c r="C180" i="8"/>
  <c r="A180" i="8"/>
  <c r="C179" i="8"/>
  <c r="D179" i="8" s="1"/>
  <c r="P179" i="8" s="1"/>
  <c r="A179" i="8"/>
  <c r="C178" i="8"/>
  <c r="D178" i="8" s="1"/>
  <c r="P178" i="8" s="1"/>
  <c r="Q178" i="8" s="1"/>
  <c r="A178" i="8"/>
  <c r="C177" i="8"/>
  <c r="D177" i="8" s="1"/>
  <c r="P177" i="8" s="1"/>
  <c r="A177" i="8"/>
  <c r="Q177" i="8" s="1"/>
  <c r="E177" i="8" s="1" a="1"/>
  <c r="E177" i="8" s="1"/>
  <c r="Q176" i="8"/>
  <c r="I176" i="8" s="1" a="1"/>
  <c r="I176" i="8" s="1"/>
  <c r="M176" i="8" a="1"/>
  <c r="M176" i="8" s="1"/>
  <c r="D176" i="8"/>
  <c r="P176" i="8" s="1"/>
  <c r="C176" i="8"/>
  <c r="A176" i="8"/>
  <c r="C175" i="8"/>
  <c r="D175" i="8" s="1"/>
  <c r="P175" i="8" s="1"/>
  <c r="A175" i="8"/>
  <c r="D174" i="8"/>
  <c r="P174" i="8" s="1"/>
  <c r="C174" i="8"/>
  <c r="A174" i="8"/>
  <c r="D173" i="8"/>
  <c r="P173" i="8" s="1"/>
  <c r="Q173" i="8" s="1"/>
  <c r="I173" i="8" s="1" a="1"/>
  <c r="I173" i="8" s="1"/>
  <c r="C173" i="8"/>
  <c r="A173" i="8"/>
  <c r="D172" i="8"/>
  <c r="P172" i="8" s="1"/>
  <c r="Q172" i="8" s="1"/>
  <c r="C172" i="8"/>
  <c r="A172" i="8"/>
  <c r="Q171" i="8"/>
  <c r="C171" i="8"/>
  <c r="D171" i="8" s="1"/>
  <c r="P171" i="8" s="1"/>
  <c r="A171" i="8"/>
  <c r="N170" i="8" a="1"/>
  <c r="N170" i="8" s="1"/>
  <c r="F170" i="8" a="1"/>
  <c r="F170" i="8" s="1"/>
  <c r="D170" i="8"/>
  <c r="P170" i="8" s="1"/>
  <c r="C170" i="8"/>
  <c r="A170" i="8"/>
  <c r="Q170" i="8" s="1"/>
  <c r="P169" i="8"/>
  <c r="O169" i="8" a="1"/>
  <c r="O169" i="8" s="1"/>
  <c r="K169" i="8" a="1"/>
  <c r="K169" i="8" s="1"/>
  <c r="H169" i="8" a="1"/>
  <c r="H169" i="8" s="1"/>
  <c r="G169" i="8" a="1"/>
  <c r="G169" i="8" s="1"/>
  <c r="D169" i="8"/>
  <c r="C169" i="8"/>
  <c r="A169" i="8"/>
  <c r="Q169" i="8" s="1"/>
  <c r="D168" i="8"/>
  <c r="P168" i="8" s="1"/>
  <c r="Q168" i="8" s="1"/>
  <c r="C168" i="8"/>
  <c r="A168" i="8"/>
  <c r="C167" i="8"/>
  <c r="D167" i="8" s="1"/>
  <c r="P167" i="8" s="1"/>
  <c r="A167" i="8"/>
  <c r="Q167" i="8" s="1"/>
  <c r="C166" i="8"/>
  <c r="D166" i="8" s="1"/>
  <c r="P166" i="8" s="1"/>
  <c r="A166" i="8"/>
  <c r="Q165" i="8"/>
  <c r="D165" i="8"/>
  <c r="P165" i="8" s="1"/>
  <c r="C165" i="8"/>
  <c r="A165" i="8"/>
  <c r="O164" i="8" a="1"/>
  <c r="O164" i="8" s="1"/>
  <c r="G164" i="8" a="1"/>
  <c r="G164" i="8" s="1"/>
  <c r="D164" i="8"/>
  <c r="P164" i="8" s="1"/>
  <c r="C164" i="8"/>
  <c r="A164" i="8"/>
  <c r="Q164" i="8" s="1"/>
  <c r="D163" i="8"/>
  <c r="P163" i="8" s="1"/>
  <c r="C163" i="8"/>
  <c r="A163" i="8"/>
  <c r="I162" i="8" a="1"/>
  <c r="I162" i="8" s="1"/>
  <c r="C162" i="8"/>
  <c r="D162" i="8" s="1"/>
  <c r="P162" i="8" s="1"/>
  <c r="Q162" i="8" s="1"/>
  <c r="N162" i="8" s="1" a="1"/>
  <c r="N162" i="8" s="1"/>
  <c r="A162" i="8"/>
  <c r="C161" i="8"/>
  <c r="D161" i="8" s="1"/>
  <c r="P161" i="8" s="1"/>
  <c r="A161" i="8"/>
  <c r="D160" i="8"/>
  <c r="P160" i="8" s="1"/>
  <c r="Q160" i="8" s="1"/>
  <c r="C160" i="8"/>
  <c r="A160" i="8"/>
  <c r="P159" i="8"/>
  <c r="C159" i="8"/>
  <c r="D159" i="8" s="1"/>
  <c r="A159" i="8"/>
  <c r="D158" i="8"/>
  <c r="P158" i="8" s="1"/>
  <c r="C158" i="8"/>
  <c r="A158" i="8"/>
  <c r="M157" i="8" a="1"/>
  <c r="M157" i="8" s="1"/>
  <c r="K157" i="8" a="1"/>
  <c r="K157" i="8" s="1"/>
  <c r="J157" i="8" a="1"/>
  <c r="J157" i="8" s="1"/>
  <c r="I157" i="8" a="1"/>
  <c r="I157" i="8" s="1"/>
  <c r="E157" i="8"/>
  <c r="E157" i="8" a="1"/>
  <c r="D157" i="8"/>
  <c r="P157" i="8" s="1"/>
  <c r="Q157" i="8" s="1"/>
  <c r="C157" i="8"/>
  <c r="A157" i="8"/>
  <c r="D156" i="8"/>
  <c r="P156" i="8" s="1"/>
  <c r="Q156" i="8" s="1"/>
  <c r="C156" i="8"/>
  <c r="A156" i="8"/>
  <c r="C155" i="8"/>
  <c r="D155" i="8" s="1"/>
  <c r="P155" i="8" s="1"/>
  <c r="Q155" i="8" s="1"/>
  <c r="A155" i="8"/>
  <c r="D154" i="8"/>
  <c r="P154" i="8" s="1"/>
  <c r="C154" i="8"/>
  <c r="A154" i="8"/>
  <c r="Q154" i="8" s="1"/>
  <c r="P153" i="8"/>
  <c r="D153" i="8"/>
  <c r="C153" i="8"/>
  <c r="A153" i="8"/>
  <c r="D152" i="8"/>
  <c r="P152" i="8" s="1"/>
  <c r="Q152" i="8" s="1"/>
  <c r="C152" i="8"/>
  <c r="A152" i="8"/>
  <c r="C151" i="8"/>
  <c r="D151" i="8" s="1"/>
  <c r="P151" i="8" s="1"/>
  <c r="A151" i="8"/>
  <c r="Q150" i="8"/>
  <c r="L150" i="8" s="1" a="1"/>
  <c r="L150" i="8" s="1"/>
  <c r="P150" i="8"/>
  <c r="H150" i="8" a="1"/>
  <c r="H150" i="8" s="1"/>
  <c r="C150" i="8"/>
  <c r="D150" i="8" s="1"/>
  <c r="A150" i="8"/>
  <c r="D149" i="8"/>
  <c r="P149" i="8" s="1"/>
  <c r="Q149" i="8" s="1"/>
  <c r="C149" i="8"/>
  <c r="A149" i="8"/>
  <c r="D148" i="8"/>
  <c r="P148" i="8" s="1"/>
  <c r="C148" i="8"/>
  <c r="A148" i="8"/>
  <c r="Q148" i="8" s="1"/>
  <c r="F148" i="8" s="1" a="1"/>
  <c r="F148" i="8" s="1"/>
  <c r="P147" i="8"/>
  <c r="Q147" i="8" s="1"/>
  <c r="D147" i="8"/>
  <c r="C147" i="8"/>
  <c r="A147" i="8"/>
  <c r="J146" i="8" a="1"/>
  <c r="J146" i="8" s="1"/>
  <c r="C146" i="8"/>
  <c r="D146" i="8" s="1"/>
  <c r="P146" i="8" s="1"/>
  <c r="Q146" i="8" s="1"/>
  <c r="N146" i="8" s="1" a="1"/>
  <c r="N146" i="8" s="1"/>
  <c r="A146" i="8"/>
  <c r="C145" i="8"/>
  <c r="D145" i="8" s="1"/>
  <c r="P145" i="8" s="1"/>
  <c r="A145" i="8"/>
  <c r="C144" i="8"/>
  <c r="D144" i="8" s="1"/>
  <c r="P144" i="8" s="1"/>
  <c r="Q144" i="8" s="1"/>
  <c r="A144" i="8"/>
  <c r="C143" i="8"/>
  <c r="D143" i="8" s="1"/>
  <c r="P143" i="8" s="1"/>
  <c r="A143" i="8"/>
  <c r="C142" i="8"/>
  <c r="D142" i="8" s="1"/>
  <c r="P142" i="8" s="1"/>
  <c r="A142" i="8"/>
  <c r="K141" i="8" a="1"/>
  <c r="K141" i="8" s="1"/>
  <c r="J141" i="8" a="1"/>
  <c r="J141" i="8" s="1"/>
  <c r="D141" i="8"/>
  <c r="P141" i="8" s="1"/>
  <c r="Q141" i="8" s="1"/>
  <c r="M141" i="8" s="1" a="1"/>
  <c r="M141" i="8" s="1"/>
  <c r="C141" i="8"/>
  <c r="A141" i="8"/>
  <c r="D140" i="8"/>
  <c r="P140" i="8" s="1"/>
  <c r="Q140" i="8" s="1"/>
  <c r="C140" i="8"/>
  <c r="A140" i="8"/>
  <c r="F139" i="8" a="1"/>
  <c r="F139" i="8" s="1"/>
  <c r="C139" i="8"/>
  <c r="D139" i="8" s="1"/>
  <c r="P139" i="8" s="1"/>
  <c r="Q139" i="8" s="1"/>
  <c r="A139" i="8"/>
  <c r="D138" i="8"/>
  <c r="P138" i="8" s="1"/>
  <c r="C138" i="8"/>
  <c r="A138" i="8"/>
  <c r="P137" i="8"/>
  <c r="D137" i="8"/>
  <c r="C137" i="8"/>
  <c r="A137" i="8"/>
  <c r="Q137" i="8" s="1"/>
  <c r="I137" i="8" s="1" a="1"/>
  <c r="I137" i="8" s="1"/>
  <c r="P136" i="8"/>
  <c r="Q136" i="8" s="1"/>
  <c r="D136" i="8"/>
  <c r="C136" i="8"/>
  <c r="A136" i="8"/>
  <c r="N135" i="8" a="1"/>
  <c r="N135" i="8" s="1"/>
  <c r="F135" i="8"/>
  <c r="F135" i="8" a="1"/>
  <c r="C135" i="8"/>
  <c r="D135" i="8" s="1"/>
  <c r="P135" i="8" s="1"/>
  <c r="A135" i="8"/>
  <c r="Q135" i="8" s="1"/>
  <c r="C134" i="8"/>
  <c r="D134" i="8" s="1"/>
  <c r="P134" i="8" s="1"/>
  <c r="Q134" i="8" s="1"/>
  <c r="A134" i="8"/>
  <c r="I133" i="8" a="1"/>
  <c r="I133" i="8" s="1"/>
  <c r="D133" i="8"/>
  <c r="P133" i="8" s="1"/>
  <c r="Q133" i="8" s="1"/>
  <c r="C133" i="8"/>
  <c r="A133" i="8"/>
  <c r="K132" i="8" a="1"/>
  <c r="K132" i="8" s="1"/>
  <c r="J132" i="8" a="1"/>
  <c r="J132" i="8" s="1"/>
  <c r="D132" i="8"/>
  <c r="P132" i="8" s="1"/>
  <c r="C132" i="8"/>
  <c r="A132" i="8"/>
  <c r="Q132" i="8" s="1"/>
  <c r="O132" i="8" s="1" a="1"/>
  <c r="O132" i="8" s="1"/>
  <c r="C131" i="8"/>
  <c r="D131" i="8" s="1"/>
  <c r="P131" i="8" s="1"/>
  <c r="Q131" i="8" s="1"/>
  <c r="A131" i="8"/>
  <c r="N130" i="8"/>
  <c r="N130" i="8" a="1"/>
  <c r="M130" i="8"/>
  <c r="M130" i="8" a="1"/>
  <c r="J130" i="8" a="1"/>
  <c r="J130" i="8" s="1"/>
  <c r="I130" i="8"/>
  <c r="I130" i="8" a="1"/>
  <c r="F130" i="8" a="1"/>
  <c r="F130" i="8" s="1"/>
  <c r="E130" i="8"/>
  <c r="E130" i="8" a="1"/>
  <c r="C130" i="8"/>
  <c r="D130" i="8" s="1"/>
  <c r="P130" i="8" s="1"/>
  <c r="Q130" i="8" s="1"/>
  <c r="A130" i="8"/>
  <c r="C129" i="8"/>
  <c r="D129" i="8" s="1"/>
  <c r="P129" i="8" s="1"/>
  <c r="A129" i="8"/>
  <c r="C128" i="8"/>
  <c r="D128" i="8" s="1"/>
  <c r="P128" i="8" s="1"/>
  <c r="Q128" i="8" s="1"/>
  <c r="A128" i="8"/>
  <c r="P127" i="8"/>
  <c r="C127" i="8"/>
  <c r="D127" i="8" s="1"/>
  <c r="A127" i="8"/>
  <c r="C126" i="8"/>
  <c r="D126" i="8" s="1"/>
  <c r="P126" i="8" s="1"/>
  <c r="A126" i="8"/>
  <c r="C125" i="8"/>
  <c r="D125" i="8" s="1"/>
  <c r="P125" i="8" s="1"/>
  <c r="Q125" i="8" s="1"/>
  <c r="A125" i="8"/>
  <c r="Q124" i="8"/>
  <c r="C124" i="8"/>
  <c r="D124" i="8" s="1"/>
  <c r="P124" i="8" s="1"/>
  <c r="A124" i="8"/>
  <c r="D123" i="8"/>
  <c r="P123" i="8" s="1"/>
  <c r="Q123" i="8" s="1"/>
  <c r="C123" i="8"/>
  <c r="A123" i="8"/>
  <c r="D122" i="8"/>
  <c r="P122" i="8" s="1"/>
  <c r="C122" i="8"/>
  <c r="A122" i="8"/>
  <c r="Q122" i="8" s="1"/>
  <c r="P121" i="8"/>
  <c r="D121" i="8"/>
  <c r="C121" i="8"/>
  <c r="A121" i="8"/>
  <c r="Q121" i="8" s="1"/>
  <c r="D120" i="8"/>
  <c r="P120" i="8" s="1"/>
  <c r="Q120" i="8" s="1"/>
  <c r="C120" i="8"/>
  <c r="A120" i="8"/>
  <c r="C119" i="8"/>
  <c r="D119" i="8" s="1"/>
  <c r="P119" i="8" s="1"/>
  <c r="A119" i="8"/>
  <c r="C118" i="8"/>
  <c r="D118" i="8" s="1"/>
  <c r="P118" i="8" s="1"/>
  <c r="A118" i="8"/>
  <c r="D117" i="8"/>
  <c r="P117" i="8" s="1"/>
  <c r="Q117" i="8" s="1"/>
  <c r="C117" i="8"/>
  <c r="A117" i="8"/>
  <c r="D116" i="8"/>
  <c r="P116" i="8" s="1"/>
  <c r="C116" i="8"/>
  <c r="A116" i="8"/>
  <c r="D115" i="8"/>
  <c r="P115" i="8" s="1"/>
  <c r="C115" i="8"/>
  <c r="A115" i="8"/>
  <c r="G114" i="8"/>
  <c r="G114" i="8" a="1"/>
  <c r="C114" i="8"/>
  <c r="D114" i="8" s="1"/>
  <c r="P114" i="8" s="1"/>
  <c r="Q114" i="8" s="1"/>
  <c r="A114" i="8"/>
  <c r="Q113" i="8"/>
  <c r="O113" i="8" s="1" a="1"/>
  <c r="O113" i="8" s="1"/>
  <c r="L113" i="8" a="1"/>
  <c r="L113" i="8" s="1"/>
  <c r="K113" i="8" a="1"/>
  <c r="K113" i="8" s="1"/>
  <c r="F113" i="8"/>
  <c r="F113" i="8" a="1"/>
  <c r="E113" i="8" a="1"/>
  <c r="E113" i="8" s="1"/>
  <c r="D113" i="8"/>
  <c r="P113" i="8" s="1"/>
  <c r="C113" i="8"/>
  <c r="A113" i="8"/>
  <c r="D112" i="8"/>
  <c r="P112" i="8" s="1"/>
  <c r="C112" i="8"/>
  <c r="A112" i="8"/>
  <c r="P111" i="8"/>
  <c r="C111" i="8"/>
  <c r="D111" i="8" s="1"/>
  <c r="A111" i="8"/>
  <c r="D110" i="8"/>
  <c r="P110" i="8" s="1"/>
  <c r="C110" i="8"/>
  <c r="A110" i="8"/>
  <c r="K109" i="8" a="1"/>
  <c r="K109" i="8" s="1"/>
  <c r="C109" i="8"/>
  <c r="D109" i="8" s="1"/>
  <c r="P109" i="8" s="1"/>
  <c r="Q109" i="8" s="1"/>
  <c r="A109" i="8"/>
  <c r="C108" i="8"/>
  <c r="D108" i="8" s="1"/>
  <c r="P108" i="8" s="1"/>
  <c r="Q108" i="8" s="1"/>
  <c r="A108" i="8"/>
  <c r="C107" i="8"/>
  <c r="D107" i="8" s="1"/>
  <c r="P107" i="8" s="1"/>
  <c r="A107" i="8"/>
  <c r="D106" i="8"/>
  <c r="P106" i="8" s="1"/>
  <c r="C106" i="8"/>
  <c r="A106" i="8"/>
  <c r="M105" i="8" a="1"/>
  <c r="M105" i="8" s="1"/>
  <c r="D105" i="8"/>
  <c r="P105" i="8" s="1"/>
  <c r="Q105" i="8" s="1"/>
  <c r="C105" i="8"/>
  <c r="A105" i="8"/>
  <c r="J104" i="8" a="1"/>
  <c r="J104" i="8" s="1"/>
  <c r="C104" i="8"/>
  <c r="D104" i="8" s="1"/>
  <c r="P104" i="8" s="1"/>
  <c r="A104" i="8"/>
  <c r="Q104" i="8" s="1"/>
  <c r="P103" i="8"/>
  <c r="O103" i="8" a="1"/>
  <c r="O103" i="8" s="1"/>
  <c r="G103" i="8" a="1"/>
  <c r="G103" i="8" s="1"/>
  <c r="D103" i="8"/>
  <c r="C103" i="8"/>
  <c r="A103" i="8"/>
  <c r="Q103" i="8" s="1"/>
  <c r="M102" i="8" a="1"/>
  <c r="M102" i="8" s="1"/>
  <c r="E102" i="8" a="1"/>
  <c r="E102" i="8" s="1"/>
  <c r="D102" i="8"/>
  <c r="P102" i="8" s="1"/>
  <c r="Q102" i="8" s="1"/>
  <c r="C102" i="8"/>
  <c r="A102" i="8"/>
  <c r="D101" i="8"/>
  <c r="P101" i="8" s="1"/>
  <c r="Q101" i="8" s="1"/>
  <c r="C101" i="8"/>
  <c r="A101" i="8"/>
  <c r="P100" i="8"/>
  <c r="Q100" i="8" s="1"/>
  <c r="H100" i="8" a="1"/>
  <c r="H100" i="8" s="1"/>
  <c r="D100" i="8"/>
  <c r="C100" i="8"/>
  <c r="A100" i="8"/>
  <c r="E99" i="8" a="1"/>
  <c r="E99" i="8" s="1"/>
  <c r="D99" i="8"/>
  <c r="P99" i="8" s="1"/>
  <c r="C99" i="8"/>
  <c r="A99" i="8"/>
  <c r="Q99" i="8" s="1"/>
  <c r="P98" i="8"/>
  <c r="D98" i="8"/>
  <c r="C98" i="8"/>
  <c r="A98" i="8"/>
  <c r="Q98" i="8" s="1"/>
  <c r="P97" i="8"/>
  <c r="Q97" i="8" s="1"/>
  <c r="D97" i="8"/>
  <c r="C97" i="8"/>
  <c r="A97" i="8"/>
  <c r="F96" i="8" a="1"/>
  <c r="F96" i="8" s="1"/>
  <c r="C96" i="8"/>
  <c r="D96" i="8" s="1"/>
  <c r="P96" i="8" s="1"/>
  <c r="Q96" i="8" s="1"/>
  <c r="A96" i="8"/>
  <c r="C95" i="8"/>
  <c r="D95" i="8" s="1"/>
  <c r="P95" i="8" s="1"/>
  <c r="A95" i="8"/>
  <c r="Q94" i="8"/>
  <c r="I94" i="8" s="1" a="1"/>
  <c r="I94" i="8" s="1"/>
  <c r="D94" i="8"/>
  <c r="P94" i="8" s="1"/>
  <c r="C94" i="8"/>
  <c r="A94" i="8"/>
  <c r="D93" i="8"/>
  <c r="P93" i="8" s="1"/>
  <c r="C93" i="8"/>
  <c r="A93" i="8"/>
  <c r="Q93" i="8" s="1"/>
  <c r="L92" i="8" a="1"/>
  <c r="L92" i="8" s="1"/>
  <c r="C92" i="8"/>
  <c r="D92" i="8" s="1"/>
  <c r="P92" i="8" s="1"/>
  <c r="A92" i="8"/>
  <c r="Q92" i="8" s="1"/>
  <c r="C91" i="8"/>
  <c r="D91" i="8" s="1"/>
  <c r="P91" i="8" s="1"/>
  <c r="A91" i="8"/>
  <c r="Q91" i="8" s="1"/>
  <c r="O90" i="8" a="1"/>
  <c r="O90" i="8" s="1"/>
  <c r="G90" i="8" a="1"/>
  <c r="G90" i="8" s="1"/>
  <c r="C90" i="8"/>
  <c r="D90" i="8" s="1"/>
  <c r="P90" i="8" s="1"/>
  <c r="A90" i="8"/>
  <c r="Q90" i="8" s="1"/>
  <c r="D89" i="8"/>
  <c r="P89" i="8" s="1"/>
  <c r="Q89" i="8" s="1"/>
  <c r="C89" i="8"/>
  <c r="A89" i="8"/>
  <c r="C88" i="8"/>
  <c r="D88" i="8" s="1"/>
  <c r="P88" i="8" s="1"/>
  <c r="A88" i="8"/>
  <c r="P87" i="8"/>
  <c r="G87" i="8" a="1"/>
  <c r="G87" i="8" s="1"/>
  <c r="D87" i="8"/>
  <c r="C87" i="8"/>
  <c r="A87" i="8"/>
  <c r="Q87" i="8" s="1"/>
  <c r="M86" i="8" a="1"/>
  <c r="M86" i="8" s="1"/>
  <c r="E86" i="8" a="1"/>
  <c r="E86" i="8" s="1"/>
  <c r="D86" i="8"/>
  <c r="P86" i="8" s="1"/>
  <c r="Q86" i="8" s="1"/>
  <c r="C86" i="8"/>
  <c r="A86" i="8"/>
  <c r="D85" i="8"/>
  <c r="P85" i="8" s="1"/>
  <c r="Q85" i="8" s="1"/>
  <c r="C85" i="8"/>
  <c r="A85" i="8"/>
  <c r="P84" i="8"/>
  <c r="Q84" i="8" s="1"/>
  <c r="H84" i="8" s="1" a="1"/>
  <c r="H84" i="8" s="1"/>
  <c r="D84" i="8"/>
  <c r="C84" i="8"/>
  <c r="A84" i="8"/>
  <c r="D83" i="8"/>
  <c r="P83" i="8" s="1"/>
  <c r="C83" i="8"/>
  <c r="A83" i="8"/>
  <c r="P82" i="8"/>
  <c r="D82" i="8"/>
  <c r="C82" i="8"/>
  <c r="A82" i="8"/>
  <c r="Q82" i="8" s="1"/>
  <c r="P81" i="8"/>
  <c r="Q81" i="8" s="1"/>
  <c r="D81" i="8"/>
  <c r="C81" i="8"/>
  <c r="A81" i="8"/>
  <c r="N80" i="8" a="1"/>
  <c r="N80" i="8" s="1"/>
  <c r="F80" i="8" a="1"/>
  <c r="F80" i="8" s="1"/>
  <c r="C80" i="8"/>
  <c r="D80" i="8" s="1"/>
  <c r="P80" i="8" s="1"/>
  <c r="Q80" i="8" s="1"/>
  <c r="A80" i="8"/>
  <c r="C79" i="8"/>
  <c r="D79" i="8" s="1"/>
  <c r="P79" i="8" s="1"/>
  <c r="A79" i="8"/>
  <c r="Q79" i="8" s="1"/>
  <c r="Q78" i="8"/>
  <c r="I78" i="8" a="1"/>
  <c r="I78" i="8" s="1"/>
  <c r="D78" i="8"/>
  <c r="P78" i="8" s="1"/>
  <c r="C78" i="8"/>
  <c r="A78" i="8"/>
  <c r="F77" i="8" a="1"/>
  <c r="F77" i="8" s="1"/>
  <c r="D77" i="8"/>
  <c r="P77" i="8" s="1"/>
  <c r="C77" i="8"/>
  <c r="A77" i="8"/>
  <c r="Q77" i="8" s="1"/>
  <c r="C76" i="8"/>
  <c r="D76" i="8" s="1"/>
  <c r="P76" i="8" s="1"/>
  <c r="A76" i="8"/>
  <c r="Q76" i="8" s="1"/>
  <c r="I75" i="8"/>
  <c r="I75" i="8" a="1"/>
  <c r="C75" i="8"/>
  <c r="D75" i="8" s="1"/>
  <c r="P75" i="8" s="1"/>
  <c r="A75" i="8"/>
  <c r="Q75" i="8" s="1"/>
  <c r="C74" i="8"/>
  <c r="D74" i="8" s="1"/>
  <c r="P74" i="8" s="1"/>
  <c r="A74" i="8"/>
  <c r="C73" i="8"/>
  <c r="D73" i="8" s="1"/>
  <c r="P73" i="8" s="1"/>
  <c r="Q73" i="8" s="1"/>
  <c r="A73" i="8"/>
  <c r="C72" i="8"/>
  <c r="D72" i="8" s="1"/>
  <c r="P72" i="8" s="1"/>
  <c r="A72" i="8"/>
  <c r="P71" i="8"/>
  <c r="O71" i="8"/>
  <c r="O71" i="8" a="1"/>
  <c r="D71" i="8"/>
  <c r="C71" i="8"/>
  <c r="A71" i="8"/>
  <c r="Q71" i="8" s="1"/>
  <c r="D70" i="8"/>
  <c r="P70" i="8" s="1"/>
  <c r="Q70" i="8" s="1"/>
  <c r="C70" i="8"/>
  <c r="A70" i="8"/>
  <c r="D69" i="8"/>
  <c r="P69" i="8" s="1"/>
  <c r="Q69" i="8" s="1"/>
  <c r="C69" i="8"/>
  <c r="A69" i="8"/>
  <c r="P68" i="8"/>
  <c r="Q68" i="8" s="1"/>
  <c r="D68" i="8"/>
  <c r="C68" i="8"/>
  <c r="A68" i="8"/>
  <c r="D67" i="8"/>
  <c r="P67" i="8" s="1"/>
  <c r="C67" i="8"/>
  <c r="A67" i="8"/>
  <c r="C66" i="8"/>
  <c r="D66" i="8" s="1"/>
  <c r="P66" i="8" s="1"/>
  <c r="A66" i="8"/>
  <c r="Q65" i="8"/>
  <c r="H65" i="8" s="1" a="1"/>
  <c r="H65" i="8" s="1"/>
  <c r="P65" i="8"/>
  <c r="D65" i="8"/>
  <c r="C65" i="8"/>
  <c r="A65" i="8"/>
  <c r="C64" i="8"/>
  <c r="D64" i="8" s="1"/>
  <c r="P64" i="8" s="1"/>
  <c r="A64" i="8"/>
  <c r="C63" i="8"/>
  <c r="D63" i="8" s="1"/>
  <c r="P63" i="8" s="1"/>
  <c r="A63" i="8"/>
  <c r="Q63" i="8" s="1"/>
  <c r="D62" i="8"/>
  <c r="P62" i="8" s="1"/>
  <c r="Q62" i="8" s="1"/>
  <c r="C62" i="8"/>
  <c r="A62" i="8"/>
  <c r="D61" i="8"/>
  <c r="P61" i="8" s="1"/>
  <c r="C61" i="8"/>
  <c r="A61" i="8"/>
  <c r="C60" i="8"/>
  <c r="D60" i="8" s="1"/>
  <c r="P60" i="8" s="1"/>
  <c r="A60" i="8"/>
  <c r="I59" i="8" a="1"/>
  <c r="I59" i="8" s="1"/>
  <c r="C59" i="8"/>
  <c r="D59" i="8" s="1"/>
  <c r="P59" i="8" s="1"/>
  <c r="A59" i="8"/>
  <c r="Q59" i="8" s="1"/>
  <c r="G58" i="8" a="1"/>
  <c r="G58" i="8" s="1"/>
  <c r="C58" i="8"/>
  <c r="D58" i="8" s="1"/>
  <c r="P58" i="8" s="1"/>
  <c r="A58" i="8"/>
  <c r="Q58" i="8" s="1"/>
  <c r="O58" i="8" s="1" a="1"/>
  <c r="O58" i="8" s="1"/>
  <c r="C57" i="8"/>
  <c r="D57" i="8" s="1"/>
  <c r="P57" i="8" s="1"/>
  <c r="Q57" i="8" s="1"/>
  <c r="A57" i="8"/>
  <c r="C56" i="8"/>
  <c r="D56" i="8" s="1"/>
  <c r="P56" i="8" s="1"/>
  <c r="A56" i="8"/>
  <c r="P55" i="8"/>
  <c r="O55" i="8" a="1"/>
  <c r="O55" i="8" s="1"/>
  <c r="G55" i="8"/>
  <c r="G55" i="8" a="1"/>
  <c r="D55" i="8"/>
  <c r="C55" i="8"/>
  <c r="A55" i="8"/>
  <c r="Q55" i="8" s="1"/>
  <c r="D54" i="8"/>
  <c r="P54" i="8" s="1"/>
  <c r="Q54" i="8" s="1"/>
  <c r="C54" i="8"/>
  <c r="A54" i="8"/>
  <c r="D53" i="8"/>
  <c r="P53" i="8" s="1"/>
  <c r="Q53" i="8" s="1"/>
  <c r="C53" i="8"/>
  <c r="A53" i="8"/>
  <c r="P52" i="8"/>
  <c r="Q52" i="8" s="1"/>
  <c r="D52" i="8"/>
  <c r="C52" i="8"/>
  <c r="A52" i="8"/>
  <c r="D51" i="8"/>
  <c r="P51" i="8" s="1"/>
  <c r="C51" i="8"/>
  <c r="A51" i="8"/>
  <c r="C50" i="8"/>
  <c r="D50" i="8" s="1"/>
  <c r="P50" i="8" s="1"/>
  <c r="A50" i="8"/>
  <c r="P49" i="8"/>
  <c r="Q49" i="8" s="1"/>
  <c r="D49" i="8"/>
  <c r="C49" i="8"/>
  <c r="A49" i="8"/>
  <c r="F48" i="8" a="1"/>
  <c r="F48" i="8" s="1"/>
  <c r="C48" i="8"/>
  <c r="D48" i="8" s="1"/>
  <c r="P48" i="8" s="1"/>
  <c r="A48" i="8"/>
  <c r="Q48" i="8" s="1"/>
  <c r="C47" i="8"/>
  <c r="D47" i="8" s="1"/>
  <c r="P47" i="8" s="1"/>
  <c r="A47" i="8"/>
  <c r="Q46" i="8"/>
  <c r="I46" i="8" s="1" a="1"/>
  <c r="I46" i="8" s="1"/>
  <c r="D46" i="8"/>
  <c r="P46" i="8" s="1"/>
  <c r="C46" i="8"/>
  <c r="A46" i="8"/>
  <c r="D45" i="8"/>
  <c r="P45" i="8" s="1"/>
  <c r="C45" i="8"/>
  <c r="A45" i="8"/>
  <c r="Q45" i="8" s="1"/>
  <c r="F45" i="8" s="1" a="1"/>
  <c r="F45" i="8" s="1"/>
  <c r="L44" i="8" a="1"/>
  <c r="L44" i="8" s="1"/>
  <c r="C44" i="8"/>
  <c r="D44" i="8" s="1"/>
  <c r="P44" i="8" s="1"/>
  <c r="A44" i="8"/>
  <c r="Q44" i="8" s="1"/>
  <c r="C43" i="8"/>
  <c r="D43" i="8" s="1"/>
  <c r="P43" i="8" s="1"/>
  <c r="A43" i="8"/>
  <c r="O42" i="8" a="1"/>
  <c r="O42" i="8" s="1"/>
  <c r="C42" i="8"/>
  <c r="D42" i="8" s="1"/>
  <c r="P42" i="8" s="1"/>
  <c r="A42" i="8"/>
  <c r="Q42" i="8" s="1"/>
  <c r="D41" i="8"/>
  <c r="P41" i="8" s="1"/>
  <c r="Q41" i="8" s="1"/>
  <c r="L41" i="8" s="1" a="1"/>
  <c r="L41" i="8" s="1"/>
  <c r="C41" i="8"/>
  <c r="A41" i="8"/>
  <c r="J40" i="8" a="1"/>
  <c r="J40" i="8" s="1"/>
  <c r="C40" i="8"/>
  <c r="D40" i="8" s="1"/>
  <c r="P40" i="8" s="1"/>
  <c r="A40" i="8"/>
  <c r="Q40" i="8" s="1"/>
  <c r="P39" i="8"/>
  <c r="G39" i="8" a="1"/>
  <c r="G39" i="8" s="1"/>
  <c r="D39" i="8"/>
  <c r="C39" i="8"/>
  <c r="A39" i="8"/>
  <c r="Q39" i="8" s="1"/>
  <c r="M38" i="8" a="1"/>
  <c r="M38" i="8" s="1"/>
  <c r="E38" i="8" a="1"/>
  <c r="E38" i="8" s="1"/>
  <c r="D38" i="8"/>
  <c r="P38" i="8" s="1"/>
  <c r="Q38" i="8" s="1"/>
  <c r="C38" i="8"/>
  <c r="A38" i="8"/>
  <c r="J37" i="8" a="1"/>
  <c r="J37" i="8" s="1"/>
  <c r="D37" i="8"/>
  <c r="P37" i="8" s="1"/>
  <c r="Q37" i="8" s="1"/>
  <c r="C37" i="8"/>
  <c r="A37" i="8"/>
  <c r="P36" i="8"/>
  <c r="Q36" i="8" s="1"/>
  <c r="H36" i="8" a="1"/>
  <c r="H36" i="8" s="1"/>
  <c r="D36" i="8"/>
  <c r="C36" i="8"/>
  <c r="A36" i="8"/>
  <c r="D35" i="8"/>
  <c r="P35" i="8" s="1"/>
  <c r="C35" i="8"/>
  <c r="A35" i="8"/>
  <c r="Q35" i="8" s="1"/>
  <c r="K34" i="8" a="1"/>
  <c r="K34" i="8" s="1"/>
  <c r="C34" i="8"/>
  <c r="D34" i="8" s="1"/>
  <c r="P34" i="8" s="1"/>
  <c r="A34" i="8"/>
  <c r="Q34" i="8" s="1"/>
  <c r="P33" i="8"/>
  <c r="Q33" i="8" s="1"/>
  <c r="D33" i="8"/>
  <c r="C33" i="8"/>
  <c r="A33" i="8"/>
  <c r="C32" i="8"/>
  <c r="D32" i="8" s="1"/>
  <c r="P32" i="8" s="1"/>
  <c r="A32" i="8"/>
  <c r="Q32" i="8" s="1"/>
  <c r="C31" i="8"/>
  <c r="D31" i="8" s="1"/>
  <c r="P31" i="8" s="1"/>
  <c r="A31" i="8"/>
  <c r="D30" i="8"/>
  <c r="P30" i="8" s="1"/>
  <c r="Q30" i="8" s="1"/>
  <c r="C30" i="8"/>
  <c r="A30" i="8"/>
  <c r="D29" i="8"/>
  <c r="P29" i="8" s="1"/>
  <c r="C29" i="8"/>
  <c r="A29" i="8"/>
  <c r="C28" i="8"/>
  <c r="D28" i="8" s="1"/>
  <c r="P28" i="8" s="1"/>
  <c r="A28" i="8"/>
  <c r="C27" i="8"/>
  <c r="D27" i="8" s="1"/>
  <c r="P27" i="8" s="1"/>
  <c r="Q27" i="8" s="1"/>
  <c r="A27" i="8"/>
  <c r="O26" i="8" a="1"/>
  <c r="O26" i="8" s="1"/>
  <c r="C26" i="8"/>
  <c r="D26" i="8" s="1"/>
  <c r="P26" i="8" s="1"/>
  <c r="A26" i="8"/>
  <c r="Q26" i="8" s="1"/>
  <c r="C25" i="8"/>
  <c r="D25" i="8" s="1"/>
  <c r="P25" i="8" s="1"/>
  <c r="Q25" i="8" s="1"/>
  <c r="A25" i="8"/>
  <c r="C24" i="8"/>
  <c r="D24" i="8" s="1"/>
  <c r="P24" i="8" s="1"/>
  <c r="A24" i="8"/>
  <c r="Q24" i="8" s="1"/>
  <c r="P23" i="8"/>
  <c r="D23" i="8"/>
  <c r="C23" i="8"/>
  <c r="A23" i="8"/>
  <c r="Q23" i="8" s="1"/>
  <c r="E22" i="8" a="1"/>
  <c r="E22" i="8" s="1"/>
  <c r="D22" i="8"/>
  <c r="P22" i="8" s="1"/>
  <c r="Q22" i="8" s="1"/>
  <c r="C22" i="8"/>
  <c r="A22" i="8"/>
  <c r="J21" i="8" a="1"/>
  <c r="J21" i="8" s="1"/>
  <c r="D21" i="8"/>
  <c r="P21" i="8" s="1"/>
  <c r="Q21" i="8" s="1"/>
  <c r="C21" i="8"/>
  <c r="A21" i="8"/>
  <c r="P20" i="8"/>
  <c r="Q20" i="8" s="1"/>
  <c r="H20" i="8" a="1"/>
  <c r="H20" i="8" s="1"/>
  <c r="D20" i="8"/>
  <c r="C20" i="8"/>
  <c r="A20" i="8"/>
  <c r="D19" i="8"/>
  <c r="P19" i="8" s="1"/>
  <c r="C19" i="8"/>
  <c r="A19" i="8"/>
  <c r="C18" i="8"/>
  <c r="D18" i="8" s="1"/>
  <c r="P18" i="8" s="1"/>
  <c r="A18" i="8"/>
  <c r="P17" i="8"/>
  <c r="Q17" i="8" s="1"/>
  <c r="D17" i="8"/>
  <c r="C17" i="8"/>
  <c r="A17" i="8"/>
  <c r="C16" i="8"/>
  <c r="D16" i="8" s="1"/>
  <c r="P16" i="8" s="1"/>
  <c r="A16" i="8"/>
  <c r="C15" i="8"/>
  <c r="D15" i="8" s="1"/>
  <c r="P15" i="8" s="1"/>
  <c r="A15" i="8"/>
  <c r="Q15" i="8" s="1"/>
  <c r="Q14" i="8"/>
  <c r="I14" i="8" a="1"/>
  <c r="I14" i="8" s="1"/>
  <c r="D14" i="8"/>
  <c r="P14" i="8" s="1"/>
  <c r="C14" i="8"/>
  <c r="A14" i="8"/>
  <c r="D13" i="8"/>
  <c r="P13" i="8" s="1"/>
  <c r="C13" i="8"/>
  <c r="A13" i="8"/>
  <c r="C12" i="8"/>
  <c r="D12" i="8" s="1"/>
  <c r="P12" i="8" s="1"/>
  <c r="A12" i="8"/>
  <c r="C11" i="8"/>
  <c r="D11" i="8" s="1"/>
  <c r="P11" i="8" s="1"/>
  <c r="Q11" i="8" s="1"/>
  <c r="A11" i="8"/>
  <c r="C10" i="8"/>
  <c r="D10" i="8" s="1"/>
  <c r="P10" i="8" s="1"/>
  <c r="A10" i="8"/>
  <c r="C9" i="8"/>
  <c r="D9" i="8" s="1"/>
  <c r="P9" i="8" s="1"/>
  <c r="Q9" i="8" s="1"/>
  <c r="A9" i="8"/>
  <c r="J8" i="8" a="1"/>
  <c r="J8" i="8" s="1"/>
  <c r="C8" i="8"/>
  <c r="D8" i="8" s="1"/>
  <c r="P8" i="8" s="1"/>
  <c r="A8" i="8"/>
  <c r="Q8" i="8" s="1"/>
  <c r="P7" i="8"/>
  <c r="G7" i="8" a="1"/>
  <c r="G7" i="8" s="1"/>
  <c r="D7" i="8"/>
  <c r="C7" i="8"/>
  <c r="A7" i="8"/>
  <c r="Q7" i="8" s="1"/>
  <c r="O7" i="8" s="1" a="1"/>
  <c r="O7" i="8" s="1"/>
  <c r="D6" i="8"/>
  <c r="P6" i="8" s="1"/>
  <c r="Q6" i="8" s="1"/>
  <c r="C6" i="8"/>
  <c r="A6" i="8"/>
  <c r="D5" i="8"/>
  <c r="P5" i="8" s="1"/>
  <c r="Q5" i="8" s="1"/>
  <c r="C5" i="8"/>
  <c r="A5" i="8"/>
  <c r="P4" i="8"/>
  <c r="Q4" i="8" s="1"/>
  <c r="H4" i="8" a="1"/>
  <c r="H4" i="8" s="1"/>
  <c r="D4" i="8"/>
  <c r="C4" i="8"/>
  <c r="A4" i="8"/>
  <c r="E3" i="8" a="1"/>
  <c r="E3" i="8" s="1"/>
  <c r="D3" i="8"/>
  <c r="P3" i="8" s="1"/>
  <c r="C3" i="8"/>
  <c r="A3" i="8"/>
  <c r="Q3" i="8" s="1"/>
  <c r="M1672" i="8" a="1"/>
  <c r="L1662" i="8" a="1"/>
  <c r="J1672" i="8" a="1"/>
  <c r="M1669" i="8" a="1"/>
  <c r="N1664" i="8" a="1"/>
  <c r="G1662" i="8" a="1"/>
  <c r="F1664" i="8" a="1"/>
  <c r="N1666" i="8" a="1"/>
  <c r="O1660" i="8" a="1"/>
  <c r="I1650" i="8" a="1"/>
  <c r="L1627" i="8" a="1"/>
  <c r="L1660" i="8" a="1"/>
  <c r="M1656" i="8" a="1"/>
  <c r="G1660" i="8" a="1"/>
  <c r="H1656" i="8" a="1"/>
  <c r="F1626" i="8" a="1"/>
  <c r="E1672" i="8" a="1"/>
  <c r="E1617" i="8" a="1"/>
  <c r="F1648" i="8" a="1"/>
  <c r="H1634" i="8" a="1"/>
  <c r="O1632" i="8" a="1"/>
  <c r="L1632" i="8" a="1"/>
  <c r="K1616" i="8" a="1"/>
  <c r="F1610" i="8" a="1"/>
  <c r="O1631" i="8" a="1"/>
  <c r="O1627" i="8" a="1"/>
  <c r="H1616" i="8" a="1"/>
  <c r="K1650" i="8" a="1"/>
  <c r="M1617" i="8" a="1"/>
  <c r="K1634" i="8" a="1"/>
  <c r="M1621" i="8" a="1"/>
  <c r="O1609" i="8" a="1"/>
  <c r="M1670" i="8" a="1"/>
  <c r="J1634" i="8" a="1"/>
  <c r="N1626" i="8" a="1"/>
  <c r="G1624" i="8" a="1"/>
  <c r="L1634" i="8" a="1"/>
  <c r="L1626" i="8" a="1"/>
  <c r="N1643" i="8" a="1"/>
  <c r="K1626" i="8" a="1"/>
  <c r="K1609" i="8" a="1"/>
  <c r="K1617" i="8" a="1"/>
  <c r="H1614" i="8" a="1"/>
  <c r="I1581" i="8" a="1"/>
  <c r="I1617" i="8" a="1"/>
  <c r="F1614" i="8" a="1"/>
  <c r="H1581" i="8" a="1"/>
  <c r="E1581" i="8" a="1"/>
  <c r="E1629" i="8" a="1"/>
  <c r="N1610" i="8" a="1"/>
  <c r="M1616" i="8" a="1"/>
  <c r="N1604" i="8" a="1"/>
  <c r="J1604" i="8" a="1"/>
  <c r="L1609" i="8" a="1"/>
  <c r="M1581" i="8" a="1"/>
  <c r="H1612" i="8" a="1"/>
  <c r="G1609" i="8" a="1"/>
  <c r="M1614" i="8" a="1"/>
  <c r="J1585" i="8" a="1"/>
  <c r="I1565" i="8" a="1"/>
  <c r="N1595" i="8" a="1"/>
  <c r="K1591" i="8" a="1"/>
  <c r="M1598" i="8" a="1"/>
  <c r="M1595" i="8" a="1"/>
  <c r="G1591" i="8" a="1"/>
  <c r="O1585" i="8" a="1"/>
  <c r="L1621" i="8" a="1"/>
  <c r="I1602" i="8" a="1"/>
  <c r="G1598" i="8" a="1"/>
  <c r="K1581" i="8" a="1"/>
  <c r="I1648" i="8" a="1"/>
  <c r="H1597" i="8" a="1"/>
  <c r="J1557" i="8" a="1"/>
  <c r="N1577" i="8" a="1"/>
  <c r="E1559" i="8" a="1"/>
  <c r="F1577" i="8" a="1"/>
  <c r="H1567" i="8" a="1"/>
  <c r="O1572" i="8" a="1"/>
  <c r="K1576" i="8" a="1"/>
  <c r="O1620" i="8" a="1"/>
  <c r="L1572" i="8" a="1"/>
  <c r="K1615" i="8" a="1"/>
  <c r="I1566" i="8" a="1"/>
  <c r="O1568" i="8" a="1"/>
  <c r="O1557" i="8" a="1"/>
  <c r="I1551" i="8" a="1"/>
  <c r="N1568" i="8" a="1"/>
  <c r="M1557" i="8" a="1"/>
  <c r="M1552" i="8" a="1"/>
  <c r="E1592" i="8" a="1"/>
  <c r="F1574" i="8" a="1"/>
  <c r="F1565" i="8" a="1"/>
  <c r="J1579" i="8" a="1"/>
  <c r="I1553" i="8" a="1"/>
  <c r="F1519" i="8" a="1"/>
  <c r="M1519" i="8" a="1"/>
  <c r="J1559" i="8" a="1"/>
  <c r="F1547" i="8" a="1"/>
  <c r="O1563" i="8" a="1"/>
  <c r="K1552" i="8" a="1"/>
  <c r="J1563" i="8" a="1"/>
  <c r="N1567" i="8" a="1"/>
  <c r="J1551" i="8" a="1"/>
  <c r="N1519" i="8" a="1"/>
  <c r="G1558" i="8" a="1"/>
  <c r="K1543" i="8" a="1"/>
  <c r="N1530" i="8" a="1"/>
  <c r="I1519" i="8" a="1"/>
  <c r="F1501" i="8" a="1"/>
  <c r="J1517" i="8" a="1"/>
  <c r="K1514" i="8" a="1"/>
  <c r="E1512" i="8" a="1"/>
  <c r="O1506" i="8" a="1"/>
  <c r="M1504" i="8" a="1"/>
  <c r="K1557" i="8" a="1"/>
  <c r="F1542" i="8" a="1"/>
  <c r="G1517" i="8" a="1"/>
  <c r="K1504" i="8" a="1"/>
  <c r="F1502" i="8" a="1"/>
  <c r="G1477" i="8" a="1"/>
  <c r="O1501" i="8" a="1"/>
  <c r="O1485" i="8" a="1"/>
  <c r="G1519" i="8" a="1"/>
  <c r="J1485" i="8" a="1"/>
  <c r="I1485" i="8" a="1"/>
  <c r="E1501" i="8" a="1"/>
  <c r="L1492" i="8" a="1"/>
  <c r="G1485" i="8" a="1"/>
  <c r="O1530" i="8" a="1"/>
  <c r="I1507" i="8" a="1"/>
  <c r="G1492" i="8" a="1"/>
  <c r="G1489" i="8" a="1"/>
  <c r="H1530" i="8" a="1"/>
  <c r="M1512" i="8" a="1"/>
  <c r="F1492" i="8" a="1"/>
  <c r="O1504" i="8" a="1"/>
  <c r="M1502" i="8" a="1"/>
  <c r="O1496" i="8" a="1"/>
  <c r="N1505" i="8" a="1"/>
  <c r="N1492" i="8" a="1"/>
  <c r="O1477" i="8" a="1"/>
  <c r="O1488" i="8" a="1"/>
  <c r="F1485" i="8" a="1"/>
  <c r="J1477" i="8" a="1"/>
  <c r="N1504" i="8" a="1"/>
  <c r="H1477" i="8" a="1"/>
  <c r="O1471" i="8" a="1"/>
  <c r="G1461" i="8" a="1"/>
  <c r="I1478" i="8" a="1"/>
  <c r="H1473" i="8" a="1"/>
  <c r="H1486" i="8" a="1"/>
  <c r="F1461" i="8" a="1"/>
  <c r="H1478" i="8" a="1"/>
  <c r="L1471" i="8" a="1"/>
  <c r="E1478" i="8" a="1"/>
  <c r="I1473" i="8" a="1"/>
  <c r="F1473" i="8" a="1"/>
  <c r="N1467" i="8" a="1"/>
  <c r="G1463" i="8" a="1"/>
  <c r="E1486" i="8" a="1"/>
  <c r="E1455" i="8" a="1"/>
  <c r="N1445" i="8" a="1"/>
  <c r="M1442" i="8" a="1"/>
  <c r="K1440" i="8" a="1"/>
  <c r="M1438" i="8" a="1"/>
  <c r="J1436" i="8" a="1"/>
  <c r="J1466" i="8" a="1"/>
  <c r="E1458" i="8" a="1"/>
  <c r="J1445" i="8" a="1"/>
  <c r="H1440" i="8" a="1"/>
  <c r="I1438" i="8" a="1"/>
  <c r="G1436" i="8" a="1"/>
  <c r="O1424" i="8" a="1"/>
  <c r="O1461" i="8" a="1"/>
  <c r="N1424" i="8" a="1"/>
  <c r="G1506" i="8" a="1"/>
  <c r="K1424" i="8" a="1"/>
  <c r="E1461" i="8" a="1"/>
  <c r="H1424" i="8" a="1"/>
  <c r="O1523" i="8" a="1"/>
  <c r="O1489" i="8" a="1"/>
  <c r="F1440" i="8" a="1"/>
  <c r="O1435" i="8" a="1"/>
  <c r="N1435" i="8" a="1"/>
  <c r="K1395" i="8" a="1"/>
  <c r="G1424" i="8" a="1"/>
  <c r="I1402" i="8" a="1"/>
  <c r="N1365" i="8" a="1"/>
  <c r="O1439" i="8" a="1"/>
  <c r="M1365" i="8" a="1"/>
  <c r="K1351" i="8" a="1"/>
  <c r="E1387" i="8" a="1"/>
  <c r="K1379" i="8" a="1"/>
  <c r="I1379" i="8" a="1"/>
  <c r="K1469" i="8" a="1"/>
  <c r="H1379" i="8" a="1"/>
  <c r="F1365" i="8" a="1"/>
  <c r="E1351" i="8" a="1"/>
  <c r="O1421" i="8" a="1"/>
  <c r="E1394" i="8" a="1"/>
  <c r="L1377" i="8" a="1"/>
  <c r="K1436" i="8" a="1"/>
  <c r="O1400" i="8" a="1"/>
  <c r="K1377" i="8" a="1"/>
  <c r="H1397" i="8" a="1"/>
  <c r="L1370" i="8" a="1"/>
  <c r="K1363" i="8" a="1"/>
  <c r="M1349" i="8" a="1"/>
  <c r="K1343" i="8" a="1"/>
  <c r="E1338" i="8" a="1"/>
  <c r="H1336" i="8" a="1"/>
  <c r="G1330" i="8" a="1"/>
  <c r="I1327" i="8" a="1"/>
  <c r="I1320" i="8" a="1"/>
  <c r="I1354" i="8" a="1"/>
  <c r="F1330" i="8" a="1"/>
  <c r="L1296" i="8" a="1"/>
  <c r="M1351" i="8" a="1"/>
  <c r="F1336" i="8" a="1"/>
  <c r="I1363" i="8" a="1"/>
  <c r="F1343" i="8" a="1"/>
  <c r="L1400" i="8" a="1"/>
  <c r="J1353" i="8" a="1"/>
  <c r="O1335" i="8" a="1"/>
  <c r="H1365" i="8" a="1"/>
  <c r="N1346" i="8" a="1"/>
  <c r="M1394" i="8" a="1"/>
  <c r="N1377" i="8" a="1"/>
  <c r="M1346" i="8" a="1"/>
  <c r="E1339" i="8" a="1"/>
  <c r="O1353" i="8" a="1"/>
  <c r="F1346" i="8" a="1"/>
  <c r="J1335" i="8" a="1"/>
  <c r="M1305" i="8" a="1"/>
  <c r="K1301" i="8" a="1"/>
  <c r="J1380" i="8" a="1"/>
  <c r="G1335" i="8" a="1"/>
  <c r="N1330" i="8" a="1"/>
  <c r="O1375" i="8" a="1"/>
  <c r="M1371" i="8" a="1"/>
  <c r="L1338" i="8" a="1"/>
  <c r="O1336" i="8" a="1"/>
  <c r="J1333" i="8" a="1"/>
  <c r="O1327" i="8" a="1"/>
  <c r="G1350" i="8" a="1"/>
  <c r="O1320" i="8" a="1"/>
  <c r="H1299" i="8" a="1"/>
  <c r="E1297" i="8" a="1"/>
  <c r="E1272" i="8" a="1"/>
  <c r="M1333" i="8" a="1"/>
  <c r="J1304" i="8" a="1"/>
  <c r="O1259" i="8" a="1"/>
  <c r="N1259" i="8" a="1"/>
  <c r="E1364" i="8" a="1"/>
  <c r="I1359" i="8" a="1"/>
  <c r="K1338" i="8" a="1"/>
  <c r="F1296" i="8" a="1"/>
  <c r="N1289" i="8" a="1"/>
  <c r="M1271" i="8" a="1"/>
  <c r="I1301" i="8" a="1"/>
  <c r="I1289" i="8" a="1"/>
  <c r="L1271" i="8" a="1"/>
  <c r="M1259" i="8" a="1"/>
  <c r="M1256" i="8" a="1"/>
  <c r="N1375" i="8" a="1"/>
  <c r="G1301" i="8" a="1"/>
  <c r="K1271" i="8" a="1"/>
  <c r="O1342" i="8" a="1"/>
  <c r="N1303" i="8" a="1"/>
  <c r="I1296" i="8" a="1"/>
  <c r="O1279" i="8" a="1"/>
  <c r="O1269" i="8" a="1"/>
  <c r="K1259" i="8" a="1"/>
  <c r="K1256" i="8" a="1"/>
  <c r="M1380" i="8" a="1"/>
  <c r="H1342" i="8" a="1"/>
  <c r="G1296" i="8" a="1"/>
  <c r="F1289" i="8" a="1"/>
  <c r="K1287" i="8" a="1"/>
  <c r="I1271" i="8" a="1"/>
  <c r="N1269" i="8" a="1"/>
  <c r="N1336" i="8" a="1"/>
  <c r="M1279" i="8" a="1"/>
  <c r="E1271" i="8" a="1"/>
  <c r="H1256" i="8" a="1"/>
  <c r="G1259" i="8" a="1"/>
  <c r="N1312" i="8" a="1"/>
  <c r="K1305" i="8" a="1"/>
  <c r="G1279" i="8" a="1"/>
  <c r="M1275" i="8" a="1"/>
  <c r="M1272" i="8" a="1"/>
  <c r="H1269" i="8" a="1"/>
  <c r="O1297" i="8" a="1"/>
  <c r="E1279" i="8" a="1"/>
  <c r="K1275" i="8" a="1"/>
  <c r="F1269" i="8" a="1"/>
  <c r="E1259" i="8" a="1"/>
  <c r="G1326" i="8" a="1"/>
  <c r="M1314" i="8" a="1"/>
  <c r="H1289" i="8" a="1"/>
  <c r="H1279" i="8" a="1"/>
  <c r="G1269" i="8" a="1"/>
  <c r="N1256" i="8" a="1"/>
  <c r="G1229" i="8" a="1"/>
  <c r="N1250" i="8" a="1"/>
  <c r="M1234" i="8" a="1"/>
  <c r="F1229" i="8" a="1"/>
  <c r="G1224" i="8" a="1"/>
  <c r="M1220" i="8" a="1"/>
  <c r="K1197" i="8" a="1"/>
  <c r="M1330" i="8" a="1"/>
  <c r="L1269" i="8" a="1"/>
  <c r="M1250" i="8" a="1"/>
  <c r="K1239" i="8" a="1"/>
  <c r="I1232" i="8" a="1"/>
  <c r="O1229" i="8" a="1"/>
  <c r="N1362" i="8" a="1"/>
  <c r="N1275" i="8" a="1"/>
  <c r="F1259" i="8" a="1"/>
  <c r="H1254" i="8" a="1"/>
  <c r="N1229" i="8" a="1"/>
  <c r="O1224" i="8" a="1"/>
  <c r="J1290" i="8" a="1"/>
  <c r="J1256" i="8" a="1"/>
  <c r="G1254" i="8" a="1"/>
  <c r="N1238" i="8" a="1"/>
  <c r="O1197" i="8" a="1"/>
  <c r="G1232" i="8" a="1"/>
  <c r="M1229" i="8" a="1"/>
  <c r="N1197" i="8" a="1"/>
  <c r="N1295" i="8" a="1"/>
  <c r="F1256" i="8" a="1"/>
  <c r="M1245" i="8" a="1"/>
  <c r="E1197" i="8" a="1"/>
  <c r="K1238" i="8" a="1"/>
  <c r="M1233" i="8" a="1"/>
  <c r="I1215" i="8" a="1"/>
  <c r="L1191" i="8" a="1"/>
  <c r="M1225" i="8" a="1"/>
  <c r="J1218" i="8" a="1"/>
  <c r="O1208" i="8" a="1"/>
  <c r="N1187" i="8" a="1"/>
  <c r="K1166" i="8" a="1"/>
  <c r="J1161" i="8" a="1"/>
  <c r="L1229" i="8" a="1"/>
  <c r="M1171" i="8" a="1"/>
  <c r="H1166" i="8" a="1"/>
  <c r="I1224" i="8" a="1"/>
  <c r="N1198" i="8" a="1"/>
  <c r="F1240" i="8" a="1"/>
  <c r="O1220" i="8" a="1"/>
  <c r="N1207" i="8" a="1"/>
  <c r="E1203" i="8" a="1"/>
  <c r="L1207" i="8" a="1"/>
  <c r="I1192" i="8" a="1"/>
  <c r="L1186" i="8" a="1"/>
  <c r="G1260" i="8" a="1"/>
  <c r="G1207" i="8" a="1"/>
  <c r="G1205" i="8" a="1"/>
  <c r="K1188" i="8" a="1"/>
  <c r="I1239" i="8" a="1"/>
  <c r="E1171" i="8" a="1"/>
  <c r="K1160" i="8" a="1"/>
  <c r="M1197" i="8" a="1"/>
  <c r="M1212" i="8" a="1"/>
  <c r="J1202" i="8" a="1"/>
  <c r="K1121" i="8" a="1"/>
  <c r="O1211" i="8" a="1"/>
  <c r="O1191" i="8" a="1"/>
  <c r="I1164" i="8" a="1"/>
  <c r="I1126" i="8" a="1"/>
  <c r="J1121" i="8" a="1"/>
  <c r="O1196" i="8" a="1"/>
  <c r="N1191" i="8" a="1"/>
  <c r="F1164" i="8" a="1"/>
  <c r="N1151" i="8" a="1"/>
  <c r="L1167" i="8" a="1"/>
  <c r="O1164" i="8" a="1"/>
  <c r="F1161" i="8" a="1"/>
  <c r="N1153" i="8" a="1"/>
  <c r="M1151" i="8" a="1"/>
  <c r="J1139" i="8" a="1"/>
  <c r="E1136" i="8" a="1"/>
  <c r="E1109" i="8" a="1"/>
  <c r="E1102" i="8" a="1"/>
  <c r="F1171" i="8" a="1"/>
  <c r="O1205" i="8" a="1"/>
  <c r="M1160" i="8" a="1"/>
  <c r="E1151" i="8" a="1"/>
  <c r="G1139" i="8" a="1"/>
  <c r="H1132" i="8" a="1"/>
  <c r="G1091" i="8" a="1"/>
  <c r="K1209" i="8" a="1"/>
  <c r="O1179" i="8" a="1"/>
  <c r="G1163" i="8" a="1"/>
  <c r="N1166" i="8" a="1"/>
  <c r="I1160" i="8" a="1"/>
  <c r="F1132" i="8" a="1"/>
  <c r="F1091" i="8" a="1"/>
  <c r="M1209" i="8" a="1"/>
  <c r="G1160" i="8" a="1"/>
  <c r="O1140" i="8" a="1"/>
  <c r="J1198" i="8" a="1"/>
  <c r="M1146" i="8" a="1"/>
  <c r="J1140" i="8" a="1"/>
  <c r="O1126" i="8" a="1"/>
  <c r="N1174" i="8" a="1"/>
  <c r="K1148" i="8" a="1"/>
  <c r="G1142" i="8" a="1"/>
  <c r="G1140" i="8" a="1"/>
  <c r="G1135" i="8" a="1"/>
  <c r="K1117" i="8" a="1"/>
  <c r="F1140" i="8" a="1"/>
  <c r="N1121" i="8" a="1"/>
  <c r="J1117" i="8" a="1"/>
  <c r="M1114" i="8" a="1"/>
  <c r="O1135" i="8" a="1"/>
  <c r="M1121" i="8" a="1"/>
  <c r="O1117" i="8" a="1"/>
  <c r="O1108" i="8" a="1"/>
  <c r="O1100" i="8" a="1"/>
  <c r="N1056" i="8" a="1"/>
  <c r="J1154" i="8" a="1"/>
  <c r="M1150" i="8" a="1"/>
  <c r="L1126" i="8" a="1"/>
  <c r="E1079" i="8" a="1"/>
  <c r="M1062" i="8" a="1"/>
  <c r="M1056" i="8" a="1"/>
  <c r="K1100" i="8" a="1"/>
  <c r="O1091" i="8" a="1"/>
  <c r="I1100" i="8" a="1"/>
  <c r="N1091" i="8" a="1"/>
  <c r="J1062" i="8" a="1"/>
  <c r="H1148" i="8" a="1"/>
  <c r="M1099" i="8" a="1"/>
  <c r="I1091" i="8" a="1"/>
  <c r="M1080" i="8" a="1"/>
  <c r="I1062" i="8" a="1"/>
  <c r="J1057" i="8" a="1"/>
  <c r="H1102" i="8" a="1"/>
  <c r="L1099" i="8" a="1"/>
  <c r="G1099" i="8" a="1"/>
  <c r="H1082" i="8" a="1"/>
  <c r="E1062" i="8" a="1"/>
  <c r="E1056" i="8" a="1"/>
  <c r="J1132" i="8" a="1"/>
  <c r="O1102" i="8" a="1"/>
  <c r="L1165" i="8" a="1"/>
  <c r="J1122" i="8" a="1"/>
  <c r="M1109" i="8" a="1"/>
  <c r="O1165" i="8" a="1"/>
  <c r="E1140" i="8" a="1"/>
  <c r="M1136" i="8" a="1"/>
  <c r="I1109" i="8" a="1"/>
  <c r="L1095" i="8" a="1"/>
  <c r="E1088" i="8" a="1"/>
  <c r="F1097" i="8" a="1"/>
  <c r="O1088" i="8" a="1"/>
  <c r="E1046" i="8" a="1"/>
  <c r="I1117" i="8" a="1"/>
  <c r="J1049" i="8" a="1"/>
  <c r="K1019" i="8" a="1"/>
  <c r="J1009" i="8" a="1"/>
  <c r="N1131" i="8" a="1"/>
  <c r="K1095" i="8" a="1"/>
  <c r="M1081" i="8" a="1"/>
  <c r="O1073" i="8" a="1"/>
  <c r="J1048" i="8" a="1"/>
  <c r="H1009" i="8" a="1"/>
  <c r="H1095" i="8" a="1"/>
  <c r="I1048" i="8" a="1"/>
  <c r="O1033" i="8" a="1"/>
  <c r="E1009" i="8" a="1"/>
  <c r="M981" i="8" a="1"/>
  <c r="E1146" i="8" a="1"/>
  <c r="I1084" i="8" a="1"/>
  <c r="E1055" i="8" a="1"/>
  <c r="M1044" i="8" a="1"/>
  <c r="G1033" i="8" a="1"/>
  <c r="I1016" i="8" a="1"/>
  <c r="L1002" i="8" a="1"/>
  <c r="E1150" i="8" a="1"/>
  <c r="H1036" i="8" a="1"/>
  <c r="H1202" i="8" a="1"/>
  <c r="G990" i="8" a="1"/>
  <c r="M1046" i="8" a="1"/>
  <c r="L1003" i="8" a="1"/>
  <c r="G951" i="8" a="1"/>
  <c r="O990" i="8" a="1"/>
  <c r="K1009" i="8" a="1"/>
  <c r="N1050" i="8" a="1"/>
  <c r="F980" i="8" a="1"/>
  <c r="H1060" i="8" a="1"/>
  <c r="F1050" i="8" a="1"/>
  <c r="M1002" i="8" a="1"/>
  <c r="E980" i="8" a="1"/>
  <c r="K967" i="8" a="1"/>
  <c r="N961" i="8" a="1"/>
  <c r="O1050" i="8" a="1"/>
  <c r="J954" i="8" a="1"/>
  <c r="M898" i="8" a="1"/>
  <c r="E1002" i="8" a="1"/>
  <c r="F995" i="8" a="1"/>
  <c r="O1035" i="8" a="1"/>
  <c r="M1071" i="8" a="1"/>
  <c r="H1035" i="8" a="1"/>
  <c r="K1011" i="8" a="1"/>
  <c r="G969" i="8" a="1"/>
  <c r="F961" i="8" a="1"/>
  <c r="J957" i="8" a="1"/>
  <c r="F954" i="8" a="1"/>
  <c r="J1075" i="8" a="1"/>
  <c r="I1054" i="8" a="1"/>
  <c r="I1020" i="8" a="1"/>
  <c r="L997" i="8" a="1"/>
  <c r="O995" i="8" a="1"/>
  <c r="F969" i="8" a="1"/>
  <c r="J948" i="8" a="1"/>
  <c r="H1020" i="8" a="1"/>
  <c r="N1016" i="8" a="1"/>
  <c r="K981" i="8" a="1"/>
  <c r="F957" i="8" a="1"/>
  <c r="L921" i="8" a="1"/>
  <c r="L981" i="8" a="1"/>
  <c r="O964" i="8" a="1"/>
  <c r="F948" i="8" a="1"/>
  <c r="K921" i="8" a="1"/>
  <c r="I898" i="8" a="1"/>
  <c r="J921" i="8" a="1"/>
  <c r="N990" i="8" a="1"/>
  <c r="O955" i="8" a="1"/>
  <c r="E929" i="8" a="1"/>
  <c r="O926" i="8" a="1"/>
  <c r="K881" i="8" a="1"/>
  <c r="E877" i="8" a="1"/>
  <c r="I955" i="8" a="1"/>
  <c r="I1019" i="8" a="1"/>
  <c r="N966" i="8" a="1"/>
  <c r="K926" i="8" a="1"/>
  <c r="J881" i="8" a="1"/>
  <c r="E898" i="8" a="1"/>
  <c r="N1057" i="8" a="1"/>
  <c r="K951" i="8" a="1"/>
  <c r="K898" i="8" a="1"/>
  <c r="I954" i="8" a="1"/>
  <c r="N964" i="8" a="1"/>
  <c r="G933" i="8" a="1"/>
  <c r="L925" i="8" a="1"/>
  <c r="M877" i="8" a="1"/>
  <c r="F950" i="8" a="1"/>
  <c r="O1027" i="8" a="1"/>
  <c r="L976" i="8" a="1"/>
  <c r="H929" i="8" a="1"/>
  <c r="L832" i="8" a="1"/>
  <c r="M789" i="8" a="1"/>
  <c r="N904" i="8" a="1"/>
  <c r="M861" i="8" a="1"/>
  <c r="J832" i="8" a="1"/>
  <c r="N871" i="8" a="1"/>
  <c r="O917" i="8" a="1"/>
  <c r="O883" i="8" a="1"/>
  <c r="N821" i="8" a="1"/>
  <c r="I959" i="8" a="1"/>
  <c r="F837" i="8" a="1"/>
  <c r="J829" i="8" a="1"/>
  <c r="O825" i="8" a="1"/>
  <c r="M821" i="8" a="1"/>
  <c r="H789" i="8" a="1"/>
  <c r="O906" i="8" a="1"/>
  <c r="O871" i="8" a="1"/>
  <c r="L860" i="8" a="1"/>
  <c r="E837" i="8" a="1"/>
  <c r="K833" i="8" a="1"/>
  <c r="I829" i="8" a="1"/>
  <c r="G789" i="8" a="1"/>
  <c r="M996" i="8" a="1"/>
  <c r="G906" i="8" a="1"/>
  <c r="I821" i="8" a="1"/>
  <c r="O921" i="8" a="1"/>
  <c r="I865" i="8" a="1"/>
  <c r="H848" i="8" a="1"/>
  <c r="E789" i="8" a="1"/>
  <c r="O877" i="8" a="1"/>
  <c r="N749" i="8" a="1"/>
  <c r="J819" i="8" a="1"/>
  <c r="O789" i="8" a="1"/>
  <c r="K862" i="8" a="1"/>
  <c r="N832" i="8" a="1"/>
  <c r="J749" i="8" a="1"/>
  <c r="L920" i="8" a="1"/>
  <c r="O850" i="8" a="1"/>
  <c r="M822" i="8" a="1"/>
  <c r="O805" i="8" a="1"/>
  <c r="O795" i="8" a="1"/>
  <c r="F749" i="8" a="1"/>
  <c r="I893" i="8" a="1"/>
  <c r="F821" i="8" a="1"/>
  <c r="O751" i="8" a="1"/>
  <c r="G877" i="8" a="1"/>
  <c r="J766" i="8" a="1"/>
  <c r="O759" i="8" a="1"/>
  <c r="N756" i="8" a="1"/>
  <c r="I859" i="8" a="1"/>
  <c r="O804" i="8" a="1"/>
  <c r="F701" i="8" a="1"/>
  <c r="G673" i="8" a="1"/>
  <c r="J788" i="8" a="1"/>
  <c r="L859" i="8" a="1"/>
  <c r="H819" i="8" a="1"/>
  <c r="E766" i="8" a="1"/>
  <c r="K782" i="8" a="1"/>
  <c r="K751" i="8" a="1"/>
  <c r="J664" i="8" a="1"/>
  <c r="O756" i="8" a="1"/>
  <c r="I664" i="8" a="1"/>
  <c r="H782" i="8" a="1"/>
  <c r="K654" i="8" a="1"/>
  <c r="N720" i="8" a="1"/>
  <c r="K686" i="8" a="1"/>
  <c r="M720" i="8" a="1"/>
  <c r="I686" i="8" a="1"/>
  <c r="K772" i="8" a="1"/>
  <c r="N668" i="8" a="1"/>
  <c r="O689" i="8" a="1"/>
  <c r="L664" i="8" a="1"/>
  <c r="G689" i="8" a="1"/>
  <c r="N766" i="8" a="1"/>
  <c r="H623" i="8" a="1"/>
  <c r="O673" i="8" a="1"/>
  <c r="L631" i="8" a="1"/>
  <c r="O623" i="8" a="1"/>
  <c r="O598" i="8" a="1"/>
  <c r="N558" i="8" a="1"/>
  <c r="F524" i="8" a="1"/>
  <c r="I663" i="8" a="1"/>
  <c r="N598" i="8" a="1"/>
  <c r="F598" i="8" a="1"/>
  <c r="H558" i="8" a="1"/>
  <c r="N532" i="8" a="1"/>
  <c r="L531" i="8" a="1"/>
  <c r="G657" i="8" a="1"/>
  <c r="E657" i="8" a="1"/>
  <c r="F597" i="8" a="1"/>
  <c r="N590" i="8" a="1"/>
  <c r="J562" i="8" a="1"/>
  <c r="M525" i="8" a="1"/>
  <c r="I562" i="8" a="1"/>
  <c r="K491" i="8" a="1"/>
  <c r="O565" i="8" a="1"/>
  <c r="I598" i="8" a="1"/>
  <c r="M558" i="8" a="1"/>
  <c r="K498" i="8" a="1"/>
  <c r="J470" i="8" a="1"/>
  <c r="M463" i="8" a="1"/>
  <c r="E431" i="8" a="1"/>
  <c r="G598" i="8" a="1"/>
  <c r="O524" i="8" a="1"/>
  <c r="J498" i="8" a="1"/>
  <c r="F491" i="8" a="1"/>
  <c r="N489" i="8" a="1"/>
  <c r="J463" i="8" a="1"/>
  <c r="L558" i="8" a="1"/>
  <c r="L524" i="8" a="1"/>
  <c r="K489" i="8" a="1"/>
  <c r="G470" i="8" a="1"/>
  <c r="I463" i="8" a="1"/>
  <c r="K524" i="8" a="1"/>
  <c r="F498" i="8" a="1"/>
  <c r="J489" i="8" a="1"/>
  <c r="K623" i="8" a="1"/>
  <c r="O532" i="8" a="1"/>
  <c r="I489" i="8" a="1"/>
  <c r="H532" i="8" a="1"/>
  <c r="I563" i="8" a="1"/>
  <c r="G532" i="8" a="1"/>
  <c r="F489" i="8" a="1"/>
  <c r="O491" i="8" a="1"/>
  <c r="K532" i="8" a="1"/>
  <c r="J531" i="8" a="1"/>
  <c r="N491" i="8" a="1"/>
  <c r="M431" i="8" a="1"/>
  <c r="K425" i="8" a="1"/>
  <c r="M398" i="8" a="1"/>
  <c r="J465" i="8" a="1"/>
  <c r="G465" i="8" a="1"/>
  <c r="J431" i="8" a="1"/>
  <c r="J398" i="8" a="1"/>
  <c r="I431" i="8" a="1"/>
  <c r="O465" i="8" a="1"/>
  <c r="E398" i="8" a="1"/>
  <c r="I497" i="8" a="1"/>
  <c r="N497" i="8" a="1"/>
  <c r="O324" i="8" a="1"/>
  <c r="M324" i="8" a="1"/>
  <c r="K324" i="8" a="1"/>
  <c r="M290" i="8" a="1"/>
  <c r="J366" i="8" a="1"/>
  <c r="J324" i="8" a="1"/>
  <c r="H366" i="8" a="1"/>
  <c r="H324" i="8" a="1"/>
  <c r="G324" i="8" a="1"/>
  <c r="E324" i="8" a="1"/>
  <c r="M224" i="8" a="1"/>
  <c r="K290" i="8" a="1"/>
  <c r="O257" i="8" a="1"/>
  <c r="G257" i="8" a="1"/>
  <c r="O261" i="8" a="1"/>
  <c r="E257" i="8" a="1"/>
  <c r="F393" i="8" a="1"/>
  <c r="H463" i="8" a="1"/>
  <c r="F290" i="8" a="1"/>
  <c r="J167" i="8" a="1"/>
  <c r="M35" i="8" a="1"/>
  <c r="I200" i="8" a="1"/>
  <c r="F167" i="8" a="1"/>
  <c r="H68" i="8" a="1"/>
  <c r="N167" i="8" a="1"/>
  <c r="N167" i="8" l="1"/>
  <c r="H68" i="8"/>
  <c r="F167" i="8"/>
  <c r="I200" i="8"/>
  <c r="M35" i="8"/>
  <c r="J167" i="8"/>
  <c r="F290" i="8"/>
  <c r="H463" i="8"/>
  <c r="F393" i="8"/>
  <c r="E257" i="8"/>
  <c r="O261" i="8"/>
  <c r="G257" i="8"/>
  <c r="O257" i="8"/>
  <c r="K290" i="8"/>
  <c r="M224" i="8"/>
  <c r="E324" i="8"/>
  <c r="G324" i="8"/>
  <c r="H324" i="8"/>
  <c r="H366" i="8"/>
  <c r="J324" i="8"/>
  <c r="J366" i="8"/>
  <c r="M290" i="8"/>
  <c r="K324" i="8"/>
  <c r="M324" i="8"/>
  <c r="O324" i="8"/>
  <c r="N497" i="8"/>
  <c r="I497" i="8"/>
  <c r="E398" i="8"/>
  <c r="O465" i="8"/>
  <c r="I431" i="8"/>
  <c r="J398" i="8"/>
  <c r="J431" i="8"/>
  <c r="G465" i="8"/>
  <c r="J465" i="8"/>
  <c r="M398" i="8"/>
  <c r="K425" i="8"/>
  <c r="M431" i="8"/>
  <c r="N491" i="8"/>
  <c r="J531" i="8"/>
  <c r="K532" i="8"/>
  <c r="O491" i="8"/>
  <c r="F489" i="8"/>
  <c r="G532" i="8"/>
  <c r="I563" i="8"/>
  <c r="H532" i="8"/>
  <c r="I489" i="8"/>
  <c r="O532" i="8"/>
  <c r="K623" i="8"/>
  <c r="J489" i="8"/>
  <c r="F498" i="8"/>
  <c r="K524" i="8"/>
  <c r="I463" i="8"/>
  <c r="G470" i="8"/>
  <c r="K489" i="8"/>
  <c r="L524" i="8"/>
  <c r="L558" i="8"/>
  <c r="J463" i="8"/>
  <c r="N489" i="8"/>
  <c r="F491" i="8"/>
  <c r="J498" i="8"/>
  <c r="O524" i="8"/>
  <c r="G598" i="8"/>
  <c r="E431" i="8"/>
  <c r="M463" i="8"/>
  <c r="J470" i="8"/>
  <c r="K498" i="8"/>
  <c r="M558" i="8"/>
  <c r="I598" i="8"/>
  <c r="O565" i="8"/>
  <c r="K491" i="8"/>
  <c r="I562" i="8"/>
  <c r="M525" i="8"/>
  <c r="J562" i="8"/>
  <c r="N590" i="8"/>
  <c r="F597" i="8"/>
  <c r="E657" i="8"/>
  <c r="G657" i="8"/>
  <c r="L531" i="8"/>
  <c r="N532" i="8"/>
  <c r="H558" i="8"/>
  <c r="F598" i="8"/>
  <c r="N598" i="8"/>
  <c r="I663" i="8"/>
  <c r="F524" i="8"/>
  <c r="N558" i="8"/>
  <c r="O598" i="8"/>
  <c r="O623" i="8"/>
  <c r="L631" i="8"/>
  <c r="O673" i="8"/>
  <c r="H623" i="8"/>
  <c r="N766" i="8"/>
  <c r="G689" i="8"/>
  <c r="L664" i="8"/>
  <c r="O689" i="8"/>
  <c r="N668" i="8"/>
  <c r="K772" i="8"/>
  <c r="I686" i="8"/>
  <c r="M720" i="8"/>
  <c r="K686" i="8"/>
  <c r="N720" i="8"/>
  <c r="K654" i="8"/>
  <c r="H782" i="8"/>
  <c r="I664" i="8"/>
  <c r="O756" i="8"/>
  <c r="J664" i="8"/>
  <c r="K751" i="8"/>
  <c r="K782" i="8"/>
  <c r="E766" i="8"/>
  <c r="H819" i="8"/>
  <c r="L859" i="8"/>
  <c r="J788" i="8"/>
  <c r="G673" i="8"/>
  <c r="F701" i="8"/>
  <c r="O804" i="8"/>
  <c r="I859" i="8"/>
  <c r="N756" i="8"/>
  <c r="O759" i="8"/>
  <c r="J766" i="8"/>
  <c r="G877" i="8"/>
  <c r="O751" i="8"/>
  <c r="F821" i="8"/>
  <c r="I893" i="8"/>
  <c r="F749" i="8"/>
  <c r="O795" i="8"/>
  <c r="O805" i="8"/>
  <c r="M822" i="8"/>
  <c r="O850" i="8"/>
  <c r="L920" i="8"/>
  <c r="J749" i="8"/>
  <c r="N832" i="8"/>
  <c r="K862" i="8"/>
  <c r="O789" i="8"/>
  <c r="J819" i="8"/>
  <c r="N749" i="8"/>
  <c r="O877" i="8"/>
  <c r="E789" i="8"/>
  <c r="H848" i="8"/>
  <c r="I865" i="8"/>
  <c r="O921" i="8"/>
  <c r="I821" i="8"/>
  <c r="G906" i="8"/>
  <c r="M996" i="8"/>
  <c r="G789" i="8"/>
  <c r="I829" i="8"/>
  <c r="K833" i="8"/>
  <c r="E837" i="8"/>
  <c r="L860" i="8"/>
  <c r="O871" i="8"/>
  <c r="O906" i="8"/>
  <c r="H789" i="8"/>
  <c r="M821" i="8"/>
  <c r="O825" i="8"/>
  <c r="J829" i="8"/>
  <c r="F837" i="8"/>
  <c r="I959" i="8"/>
  <c r="N821" i="8"/>
  <c r="O883" i="8"/>
  <c r="O917" i="8"/>
  <c r="N871" i="8"/>
  <c r="J832" i="8"/>
  <c r="M861" i="8"/>
  <c r="N904" i="8"/>
  <c r="M789" i="8"/>
  <c r="L832" i="8"/>
  <c r="H929" i="8"/>
  <c r="L976" i="8"/>
  <c r="O1027" i="8"/>
  <c r="F950" i="8"/>
  <c r="M877" i="8"/>
  <c r="L925" i="8"/>
  <c r="G933" i="8"/>
  <c r="N964" i="8"/>
  <c r="I954" i="8"/>
  <c r="K898" i="8"/>
  <c r="K951" i="8"/>
  <c r="N1057" i="8"/>
  <c r="E898" i="8"/>
  <c r="J881" i="8"/>
  <c r="K926" i="8"/>
  <c r="N966" i="8"/>
  <c r="I1019" i="8"/>
  <c r="I955" i="8"/>
  <c r="E877" i="8"/>
  <c r="K881" i="8"/>
  <c r="O926" i="8"/>
  <c r="E929" i="8"/>
  <c r="O955" i="8"/>
  <c r="N990" i="8"/>
  <c r="J921" i="8"/>
  <c r="I898" i="8"/>
  <c r="K921" i="8"/>
  <c r="F948" i="8"/>
  <c r="O964" i="8"/>
  <c r="L981" i="8"/>
  <c r="L921" i="8"/>
  <c r="F957" i="8"/>
  <c r="K981" i="8"/>
  <c r="N1016" i="8"/>
  <c r="H1020" i="8"/>
  <c r="J948" i="8"/>
  <c r="F969" i="8"/>
  <c r="O995" i="8"/>
  <c r="L997" i="8"/>
  <c r="I1020" i="8"/>
  <c r="I1054" i="8"/>
  <c r="J1075" i="8"/>
  <c r="F954" i="8"/>
  <c r="J957" i="8"/>
  <c r="F961" i="8"/>
  <c r="G969" i="8"/>
  <c r="K1011" i="8"/>
  <c r="H1035" i="8"/>
  <c r="M1071" i="8"/>
  <c r="O1035" i="8"/>
  <c r="F995" i="8"/>
  <c r="E1002" i="8"/>
  <c r="M898" i="8"/>
  <c r="J954" i="8"/>
  <c r="O1050" i="8"/>
  <c r="N961" i="8"/>
  <c r="K967" i="8"/>
  <c r="E980" i="8"/>
  <c r="M1002" i="8"/>
  <c r="F1050" i="8"/>
  <c r="H1060" i="8"/>
  <c r="F980" i="8"/>
  <c r="N1050" i="8"/>
  <c r="K1009" i="8"/>
  <c r="O990" i="8"/>
  <c r="G951" i="8"/>
  <c r="L1003" i="8"/>
  <c r="M1046" i="8"/>
  <c r="G990" i="8"/>
  <c r="H1202" i="8"/>
  <c r="H1036" i="8"/>
  <c r="E1150" i="8"/>
  <c r="L1002" i="8"/>
  <c r="I1016" i="8"/>
  <c r="G1033" i="8"/>
  <c r="M1044" i="8"/>
  <c r="E1055" i="8"/>
  <c r="I1084" i="8"/>
  <c r="E1146" i="8"/>
  <c r="M981" i="8"/>
  <c r="E1009" i="8"/>
  <c r="O1033" i="8"/>
  <c r="I1048" i="8"/>
  <c r="H1095" i="8"/>
  <c r="H1009" i="8"/>
  <c r="J1048" i="8"/>
  <c r="O1073" i="8"/>
  <c r="M1081" i="8"/>
  <c r="K1095" i="8"/>
  <c r="N1131" i="8"/>
  <c r="J1009" i="8"/>
  <c r="K1019" i="8"/>
  <c r="J1049" i="8"/>
  <c r="I1117" i="8"/>
  <c r="E1046" i="8"/>
  <c r="O1088" i="8"/>
  <c r="F1097" i="8"/>
  <c r="E1088" i="8"/>
  <c r="L1095" i="8"/>
  <c r="I1109" i="8"/>
  <c r="M1136" i="8"/>
  <c r="E1140" i="8"/>
  <c r="O1165" i="8"/>
  <c r="M1109" i="8"/>
  <c r="J1122" i="8"/>
  <c r="L1165" i="8"/>
  <c r="O1102" i="8"/>
  <c r="J1132" i="8"/>
  <c r="E1056" i="8"/>
  <c r="E1062" i="8"/>
  <c r="H1082" i="8"/>
  <c r="G1099" i="8"/>
  <c r="L1099" i="8"/>
  <c r="H1102" i="8"/>
  <c r="J1057" i="8"/>
  <c r="I1062" i="8"/>
  <c r="M1080" i="8"/>
  <c r="I1091" i="8"/>
  <c r="M1099" i="8"/>
  <c r="H1148" i="8"/>
  <c r="J1062" i="8"/>
  <c r="N1091" i="8"/>
  <c r="I1100" i="8"/>
  <c r="O1091" i="8"/>
  <c r="K1100" i="8"/>
  <c r="M1056" i="8"/>
  <c r="M1062" i="8"/>
  <c r="E1079" i="8"/>
  <c r="L1126" i="8"/>
  <c r="M1150" i="8"/>
  <c r="J1154" i="8"/>
  <c r="N1056" i="8"/>
  <c r="O1100" i="8"/>
  <c r="O1108" i="8"/>
  <c r="O1117" i="8"/>
  <c r="M1121" i="8"/>
  <c r="O1135" i="8"/>
  <c r="M1114" i="8"/>
  <c r="J1117" i="8"/>
  <c r="N1121" i="8"/>
  <c r="F1140" i="8"/>
  <c r="K1117" i="8"/>
  <c r="G1135" i="8"/>
  <c r="G1140" i="8"/>
  <c r="G1142" i="8"/>
  <c r="K1148" i="8"/>
  <c r="N1174" i="8"/>
  <c r="O1126" i="8"/>
  <c r="J1140" i="8"/>
  <c r="M1146" i="8"/>
  <c r="J1198" i="8"/>
  <c r="O1140" i="8"/>
  <c r="G1160" i="8"/>
  <c r="M1209" i="8"/>
  <c r="F1091" i="8"/>
  <c r="F1132" i="8"/>
  <c r="I1160" i="8"/>
  <c r="N1166" i="8"/>
  <c r="G1163" i="8"/>
  <c r="O1179" i="8"/>
  <c r="K1209" i="8"/>
  <c r="G1091" i="8"/>
  <c r="H1132" i="8"/>
  <c r="G1139" i="8"/>
  <c r="E1151" i="8"/>
  <c r="M1160" i="8"/>
  <c r="O1205" i="8"/>
  <c r="F1171" i="8"/>
  <c r="E1102" i="8"/>
  <c r="E1109" i="8"/>
  <c r="E1136" i="8"/>
  <c r="J1139" i="8"/>
  <c r="M1151" i="8"/>
  <c r="N1153" i="8"/>
  <c r="F1161" i="8"/>
  <c r="O1164" i="8"/>
  <c r="L1167" i="8"/>
  <c r="N1151" i="8"/>
  <c r="F1164" i="8"/>
  <c r="N1191" i="8"/>
  <c r="O1196" i="8"/>
  <c r="J1121" i="8"/>
  <c r="I1126" i="8"/>
  <c r="I1164" i="8"/>
  <c r="O1191" i="8"/>
  <c r="O1211" i="8"/>
  <c r="K1121" i="8"/>
  <c r="J1202" i="8"/>
  <c r="M1212" i="8"/>
  <c r="M1197" i="8"/>
  <c r="K1160" i="8"/>
  <c r="E1171" i="8"/>
  <c r="I1239" i="8"/>
  <c r="K1188" i="8"/>
  <c r="G1205" i="8"/>
  <c r="G1207" i="8"/>
  <c r="G1260" i="8"/>
  <c r="L1186" i="8"/>
  <c r="I1192" i="8"/>
  <c r="L1207" i="8"/>
  <c r="E1203" i="8"/>
  <c r="N1207" i="8"/>
  <c r="O1220" i="8"/>
  <c r="F1240" i="8"/>
  <c r="N1198" i="8"/>
  <c r="I1224" i="8"/>
  <c r="H1166" i="8"/>
  <c r="M1171" i="8"/>
  <c r="L1229" i="8"/>
  <c r="J1161" i="8"/>
  <c r="K1166" i="8"/>
  <c r="N1187" i="8"/>
  <c r="O1208" i="8"/>
  <c r="J1218" i="8"/>
  <c r="M1225" i="8"/>
  <c r="L1191" i="8"/>
  <c r="I1215" i="8"/>
  <c r="M1233" i="8"/>
  <c r="K1238" i="8"/>
  <c r="E1197" i="8"/>
  <c r="M1245" i="8"/>
  <c r="F1256" i="8"/>
  <c r="N1295" i="8"/>
  <c r="N1197" i="8"/>
  <c r="M1229" i="8"/>
  <c r="G1232" i="8"/>
  <c r="O1197" i="8"/>
  <c r="N1238" i="8"/>
  <c r="G1254" i="8"/>
  <c r="J1256" i="8"/>
  <c r="J1290" i="8"/>
  <c r="O1224" i="8"/>
  <c r="N1229" i="8"/>
  <c r="H1254" i="8"/>
  <c r="F1259" i="8"/>
  <c r="N1275" i="8"/>
  <c r="N1362" i="8"/>
  <c r="O1229" i="8"/>
  <c r="I1232" i="8"/>
  <c r="K1239" i="8"/>
  <c r="M1250" i="8"/>
  <c r="L1269" i="8"/>
  <c r="M1330" i="8"/>
  <c r="K1197" i="8"/>
  <c r="M1220" i="8"/>
  <c r="G1224" i="8"/>
  <c r="F1229" i="8"/>
  <c r="M1234" i="8"/>
  <c r="N1250" i="8"/>
  <c r="G1229" i="8"/>
  <c r="N1256" i="8"/>
  <c r="G1269" i="8"/>
  <c r="H1279" i="8"/>
  <c r="H1289" i="8"/>
  <c r="M1314" i="8"/>
  <c r="G1326" i="8"/>
  <c r="E1259" i="8"/>
  <c r="F1269" i="8"/>
  <c r="K1275" i="8"/>
  <c r="E1279" i="8"/>
  <c r="O1297" i="8"/>
  <c r="H1269" i="8"/>
  <c r="M1272" i="8"/>
  <c r="M1275" i="8"/>
  <c r="G1279" i="8"/>
  <c r="K1305" i="8"/>
  <c r="N1312" i="8"/>
  <c r="G1259" i="8"/>
  <c r="H1256" i="8"/>
  <c r="E1271" i="8"/>
  <c r="M1279" i="8"/>
  <c r="N1336" i="8"/>
  <c r="N1269" i="8"/>
  <c r="I1271" i="8"/>
  <c r="K1287" i="8"/>
  <c r="F1289" i="8"/>
  <c r="G1296" i="8"/>
  <c r="H1342" i="8"/>
  <c r="M1380" i="8"/>
  <c r="K1256" i="8"/>
  <c r="K1259" i="8"/>
  <c r="O1269" i="8"/>
  <c r="O1279" i="8"/>
  <c r="I1296" i="8"/>
  <c r="N1303" i="8"/>
  <c r="O1342" i="8"/>
  <c r="K1271" i="8"/>
  <c r="G1301" i="8"/>
  <c r="N1375" i="8"/>
  <c r="M1256" i="8"/>
  <c r="M1259" i="8"/>
  <c r="L1271" i="8"/>
  <c r="I1289" i="8"/>
  <c r="I1301" i="8"/>
  <c r="M1271" i="8"/>
  <c r="N1289" i="8"/>
  <c r="F1296" i="8"/>
  <c r="K1338" i="8"/>
  <c r="I1359" i="8"/>
  <c r="E1364" i="8"/>
  <c r="N1259" i="8"/>
  <c r="O1259" i="8"/>
  <c r="J1304" i="8"/>
  <c r="M1333" i="8"/>
  <c r="E1272" i="8"/>
  <c r="E1297" i="8"/>
  <c r="H1299" i="8"/>
  <c r="O1320" i="8"/>
  <c r="G1350" i="8"/>
  <c r="O1327" i="8"/>
  <c r="J1333" i="8"/>
  <c r="O1336" i="8"/>
  <c r="L1338" i="8"/>
  <c r="M1371" i="8"/>
  <c r="O1375" i="8"/>
  <c r="N1330" i="8"/>
  <c r="G1335" i="8"/>
  <c r="J1380" i="8"/>
  <c r="K1301" i="8"/>
  <c r="M1305" i="8"/>
  <c r="J1335" i="8"/>
  <c r="F1346" i="8"/>
  <c r="O1353" i="8"/>
  <c r="E1339" i="8"/>
  <c r="M1346" i="8"/>
  <c r="N1377" i="8"/>
  <c r="M1394" i="8"/>
  <c r="N1346" i="8"/>
  <c r="H1365" i="8"/>
  <c r="O1335" i="8"/>
  <c r="J1353" i="8"/>
  <c r="L1400" i="8"/>
  <c r="F1343" i="8"/>
  <c r="I1363" i="8"/>
  <c r="F1336" i="8"/>
  <c r="M1351" i="8"/>
  <c r="L1296" i="8"/>
  <c r="F1330" i="8"/>
  <c r="I1354" i="8"/>
  <c r="I1320" i="8"/>
  <c r="I1327" i="8"/>
  <c r="G1330" i="8"/>
  <c r="H1336" i="8"/>
  <c r="E1338" i="8"/>
  <c r="K1343" i="8"/>
  <c r="M1349" i="8"/>
  <c r="K1363" i="8"/>
  <c r="L1370" i="8"/>
  <c r="H1397" i="8"/>
  <c r="K1377" i="8"/>
  <c r="O1400" i="8"/>
  <c r="K1436" i="8"/>
  <c r="L1377" i="8"/>
  <c r="E1394" i="8"/>
  <c r="O1421" i="8"/>
  <c r="E1351" i="8"/>
  <c r="F1365" i="8"/>
  <c r="H1379" i="8"/>
  <c r="K1469" i="8"/>
  <c r="I1379" i="8"/>
  <c r="K1379" i="8"/>
  <c r="E1387" i="8"/>
  <c r="K1351" i="8"/>
  <c r="M1365" i="8"/>
  <c r="O1439" i="8"/>
  <c r="N1365" i="8"/>
  <c r="I1402" i="8"/>
  <c r="G1424" i="8"/>
  <c r="K1395" i="8"/>
  <c r="N1435" i="8"/>
  <c r="O1435" i="8"/>
  <c r="F1440" i="8"/>
  <c r="O1489" i="8"/>
  <c r="O1523" i="8"/>
  <c r="H1424" i="8"/>
  <c r="E1461" i="8"/>
  <c r="K1424" i="8"/>
  <c r="G1506" i="8"/>
  <c r="N1424" i="8"/>
  <c r="O1461" i="8"/>
  <c r="O1424" i="8"/>
  <c r="G1436" i="8"/>
  <c r="I1438" i="8"/>
  <c r="H1440" i="8"/>
  <c r="J1445" i="8"/>
  <c r="E1458" i="8"/>
  <c r="J1466" i="8"/>
  <c r="J1436" i="8"/>
  <c r="M1438" i="8"/>
  <c r="K1440" i="8"/>
  <c r="M1442" i="8"/>
  <c r="N1445" i="8"/>
  <c r="E1455" i="8"/>
  <c r="E1486" i="8"/>
  <c r="G1463" i="8"/>
  <c r="N1467" i="8"/>
  <c r="F1473" i="8"/>
  <c r="I1473" i="8"/>
  <c r="E1478" i="8"/>
  <c r="L1471" i="8"/>
  <c r="H1478" i="8"/>
  <c r="F1461" i="8"/>
  <c r="H1486" i="8"/>
  <c r="H1473" i="8"/>
  <c r="I1478" i="8"/>
  <c r="G1461" i="8"/>
  <c r="O1471" i="8"/>
  <c r="H1477" i="8"/>
  <c r="N1504" i="8"/>
  <c r="J1477" i="8"/>
  <c r="F1485" i="8"/>
  <c r="O1488" i="8"/>
  <c r="O1477" i="8"/>
  <c r="N1492" i="8"/>
  <c r="N1505" i="8"/>
  <c r="O1496" i="8"/>
  <c r="M1502" i="8"/>
  <c r="O1504" i="8"/>
  <c r="F1492" i="8"/>
  <c r="M1512" i="8"/>
  <c r="H1530" i="8"/>
  <c r="G1489" i="8"/>
  <c r="G1492" i="8"/>
  <c r="I1507" i="8"/>
  <c r="O1530" i="8"/>
  <c r="G1485" i="8"/>
  <c r="L1492" i="8"/>
  <c r="E1501" i="8"/>
  <c r="I1485" i="8"/>
  <c r="J1485" i="8"/>
  <c r="G1519" i="8"/>
  <c r="O1485" i="8"/>
  <c r="O1501" i="8"/>
  <c r="G1477" i="8"/>
  <c r="F1502" i="8"/>
  <c r="K1504" i="8"/>
  <c r="G1517" i="8"/>
  <c r="F1542" i="8"/>
  <c r="K1557" i="8"/>
  <c r="M1504" i="8"/>
  <c r="O1506" i="8"/>
  <c r="E1512" i="8"/>
  <c r="K1514" i="8"/>
  <c r="J1517" i="8"/>
  <c r="F1501" i="8"/>
  <c r="I1519" i="8"/>
  <c r="N1530" i="8"/>
  <c r="K1543" i="8"/>
  <c r="G1558" i="8"/>
  <c r="N1519" i="8"/>
  <c r="J1551" i="8"/>
  <c r="N1567" i="8"/>
  <c r="J1563" i="8"/>
  <c r="K1552" i="8"/>
  <c r="O1563" i="8"/>
  <c r="F1547" i="8"/>
  <c r="J1559" i="8"/>
  <c r="M1519" i="8"/>
  <c r="F1519" i="8"/>
  <c r="I1553" i="8"/>
  <c r="J1579" i="8"/>
  <c r="F1565" i="8"/>
  <c r="F1574" i="8"/>
  <c r="E1592" i="8"/>
  <c r="M1552" i="8"/>
  <c r="M1557" i="8"/>
  <c r="N1568" i="8"/>
  <c r="I1551" i="8"/>
  <c r="O1557" i="8"/>
  <c r="O1568" i="8"/>
  <c r="I1566" i="8"/>
  <c r="K1615" i="8"/>
  <c r="L1572" i="8"/>
  <c r="O1620" i="8"/>
  <c r="K1576" i="8"/>
  <c r="O1572" i="8"/>
  <c r="H1567" i="8"/>
  <c r="F1577" i="8"/>
  <c r="E1559" i="8"/>
  <c r="N1577" i="8"/>
  <c r="J1557" i="8"/>
  <c r="H1597" i="8"/>
  <c r="I1648" i="8"/>
  <c r="K1581" i="8"/>
  <c r="G1598" i="8"/>
  <c r="I1602" i="8"/>
  <c r="L1621" i="8"/>
  <c r="O1585" i="8"/>
  <c r="G1591" i="8"/>
  <c r="M1595" i="8"/>
  <c r="M1598" i="8"/>
  <c r="K1591" i="8"/>
  <c r="N1595" i="8"/>
  <c r="I1565" i="8"/>
  <c r="J1585" i="8"/>
  <c r="M1614" i="8"/>
  <c r="G1609" i="8"/>
  <c r="H1612" i="8"/>
  <c r="M1581" i="8"/>
  <c r="L1609" i="8"/>
  <c r="J1604" i="8"/>
  <c r="N1604" i="8"/>
  <c r="M1616" i="8"/>
  <c r="N1610" i="8"/>
  <c r="E1629" i="8"/>
  <c r="E1581" i="8"/>
  <c r="H1581" i="8"/>
  <c r="F1614" i="8"/>
  <c r="I1617" i="8"/>
  <c r="I1581" i="8"/>
  <c r="H1614" i="8"/>
  <c r="K1617" i="8"/>
  <c r="K1609" i="8"/>
  <c r="K1626" i="8"/>
  <c r="N1643" i="8"/>
  <c r="L1626" i="8"/>
  <c r="L1634" i="8"/>
  <c r="G1624" i="8"/>
  <c r="N1626" i="8"/>
  <c r="J1634" i="8"/>
  <c r="M1670" i="8"/>
  <c r="O1609" i="8"/>
  <c r="M1621" i="8"/>
  <c r="K1634" i="8"/>
  <c r="M1617" i="8"/>
  <c r="K1650" i="8"/>
  <c r="H1616" i="8"/>
  <c r="O1627" i="8"/>
  <c r="O1631" i="8"/>
  <c r="F1610" i="8"/>
  <c r="K1616" i="8"/>
  <c r="L1632" i="8"/>
  <c r="O1632" i="8"/>
  <c r="H1634" i="8"/>
  <c r="F1648" i="8"/>
  <c r="E1617" i="8"/>
  <c r="E1672" i="8"/>
  <c r="F1626" i="8"/>
  <c r="H1656" i="8"/>
  <c r="G1660" i="8"/>
  <c r="M1656" i="8"/>
  <c r="L1660" i="8"/>
  <c r="L1627" i="8"/>
  <c r="I1650" i="8"/>
  <c r="O1660" i="8"/>
  <c r="N1666" i="8"/>
  <c r="F1664" i="8"/>
  <c r="G1662" i="8"/>
  <c r="N1664" i="8"/>
  <c r="M1669" i="8"/>
  <c r="J1672" i="8"/>
  <c r="L1662" i="8"/>
  <c r="M1672" i="8"/>
  <c r="O17" i="8" a="1"/>
  <c r="O17" i="8" s="1"/>
  <c r="G17" i="8" a="1"/>
  <c r="G17" i="8" s="1"/>
  <c r="N17" i="8" a="1"/>
  <c r="N17" i="8" s="1"/>
  <c r="F17" i="8" a="1"/>
  <c r="F17" i="8" s="1"/>
  <c r="I17" i="8" a="1"/>
  <c r="I17" i="8" s="1"/>
  <c r="M17" i="8" a="1"/>
  <c r="M17" i="8" s="1"/>
  <c r="E17" i="8" a="1"/>
  <c r="E17" i="8" s="1"/>
  <c r="L17" i="8" a="1"/>
  <c r="L17" i="8" s="1"/>
  <c r="K17" i="8" a="1"/>
  <c r="K17" i="8" s="1"/>
  <c r="J17" i="8" a="1"/>
  <c r="J17" i="8" s="1"/>
  <c r="H17" i="8" a="1"/>
  <c r="H17" i="8" s="1"/>
  <c r="O97" i="8" a="1"/>
  <c r="O97" i="8" s="1"/>
  <c r="G97" i="8" a="1"/>
  <c r="G97" i="8" s="1"/>
  <c r="N97" i="8" a="1"/>
  <c r="N97" i="8" s="1"/>
  <c r="F97" i="8" a="1"/>
  <c r="F97" i="8" s="1"/>
  <c r="M97" i="8" a="1"/>
  <c r="M97" i="8" s="1"/>
  <c r="E97" i="8" a="1"/>
  <c r="E97" i="8" s="1"/>
  <c r="L97" i="8" a="1"/>
  <c r="L97" i="8" s="1"/>
  <c r="I97" i="8" a="1"/>
  <c r="I97" i="8" s="1"/>
  <c r="K97" i="8" a="1"/>
  <c r="K97" i="8" s="1"/>
  <c r="J97" i="8" a="1"/>
  <c r="J97" i="8" s="1"/>
  <c r="H97" i="8" a="1"/>
  <c r="H97" i="8" s="1"/>
  <c r="M73" i="8" a="1"/>
  <c r="M73" i="8" s="1"/>
  <c r="K73" i="8" a="1"/>
  <c r="K73" i="8" s="1"/>
  <c r="J73" i="8" a="1"/>
  <c r="J73" i="8" s="1"/>
  <c r="I73" i="8" a="1"/>
  <c r="I73" i="8" s="1"/>
  <c r="H73" i="8" a="1"/>
  <c r="H73" i="8" s="1"/>
  <c r="O73" i="8" a="1"/>
  <c r="O73" i="8" s="1"/>
  <c r="G73" i="8" a="1"/>
  <c r="G73" i="8" s="1"/>
  <c r="N73" i="8" a="1"/>
  <c r="N73" i="8" s="1"/>
  <c r="F73" i="8" a="1"/>
  <c r="F73" i="8" s="1"/>
  <c r="E73" i="8" a="1"/>
  <c r="E73" i="8" s="1"/>
  <c r="L73" i="8" a="1"/>
  <c r="L73" i="8" s="1"/>
  <c r="M57" i="8" a="1"/>
  <c r="M57" i="8" s="1"/>
  <c r="K57" i="8" a="1"/>
  <c r="K57" i="8" s="1"/>
  <c r="J57" i="8" a="1"/>
  <c r="J57" i="8" s="1"/>
  <c r="I57" i="8" a="1"/>
  <c r="I57" i="8" s="1"/>
  <c r="H57" i="8" a="1"/>
  <c r="H57" i="8" s="1"/>
  <c r="O57" i="8" a="1"/>
  <c r="O57" i="8" s="1"/>
  <c r="G57" i="8" a="1"/>
  <c r="G57" i="8" s="1"/>
  <c r="E57" i="8" a="1"/>
  <c r="E57" i="8" s="1"/>
  <c r="N57" i="8" a="1"/>
  <c r="N57" i="8" s="1"/>
  <c r="F57" i="8" a="1"/>
  <c r="F57" i="8" s="1"/>
  <c r="L57" i="8" a="1"/>
  <c r="L57" i="8" s="1"/>
  <c r="I49" i="8" a="1"/>
  <c r="I49" i="8" s="1"/>
  <c r="O49" i="8" a="1"/>
  <c r="O49" i="8" s="1"/>
  <c r="G49" i="8" a="1"/>
  <c r="G49" i="8" s="1"/>
  <c r="N49" i="8" a="1"/>
  <c r="N49" i="8" s="1"/>
  <c r="F49" i="8" a="1"/>
  <c r="F49" i="8" s="1"/>
  <c r="M49" i="8" a="1"/>
  <c r="M49" i="8" s="1"/>
  <c r="E49" i="8" a="1"/>
  <c r="E49" i="8" s="1"/>
  <c r="L49" i="8" a="1"/>
  <c r="L49" i="8" s="1"/>
  <c r="K49" i="8" a="1"/>
  <c r="K49" i="8" s="1"/>
  <c r="J49" i="8" a="1"/>
  <c r="J49" i="8" s="1"/>
  <c r="H49" i="8" a="1"/>
  <c r="H49" i="8" s="1"/>
  <c r="H30" i="8" a="1"/>
  <c r="H30" i="8" s="1"/>
  <c r="O30" i="8" a="1"/>
  <c r="O30" i="8" s="1"/>
  <c r="G30" i="8" a="1"/>
  <c r="G30" i="8" s="1"/>
  <c r="N30" i="8" a="1"/>
  <c r="N30" i="8" s="1"/>
  <c r="F30" i="8" a="1"/>
  <c r="F30" i="8" s="1"/>
  <c r="M30" i="8" a="1"/>
  <c r="M30" i="8" s="1"/>
  <c r="E30" i="8" a="1"/>
  <c r="E30" i="8" s="1"/>
  <c r="L30" i="8" a="1"/>
  <c r="L30" i="8" s="1"/>
  <c r="K30" i="8" a="1"/>
  <c r="K30" i="8" s="1"/>
  <c r="J30" i="8" a="1"/>
  <c r="J30" i="8" s="1"/>
  <c r="I30" i="8" a="1"/>
  <c r="I30" i="8" s="1"/>
  <c r="K9" i="8" a="1"/>
  <c r="K9" i="8" s="1"/>
  <c r="J9" i="8" a="1"/>
  <c r="J9" i="8" s="1"/>
  <c r="I9" i="8" a="1"/>
  <c r="I9" i="8" s="1"/>
  <c r="H9" i="8" a="1"/>
  <c r="H9" i="8" s="1"/>
  <c r="M9" i="8" a="1"/>
  <c r="M9" i="8" s="1"/>
  <c r="O9" i="8" a="1"/>
  <c r="O9" i="8" s="1"/>
  <c r="G9" i="8" a="1"/>
  <c r="G9" i="8" s="1"/>
  <c r="E9" i="8" a="1"/>
  <c r="E9" i="8" s="1"/>
  <c r="N9" i="8" a="1"/>
  <c r="N9" i="8" s="1"/>
  <c r="F9" i="8" a="1"/>
  <c r="F9" i="8" s="1"/>
  <c r="L9" i="8" a="1"/>
  <c r="L9" i="8" s="1"/>
  <c r="K25" i="8" a="1"/>
  <c r="K25" i="8" s="1"/>
  <c r="E25" i="8" a="1"/>
  <c r="E25" i="8" s="1"/>
  <c r="M25" i="8" a="1"/>
  <c r="M25" i="8" s="1"/>
  <c r="J25" i="8" a="1"/>
  <c r="J25" i="8" s="1"/>
  <c r="I25" i="8" a="1"/>
  <c r="I25" i="8" s="1"/>
  <c r="H25" i="8" a="1"/>
  <c r="H25" i="8" s="1"/>
  <c r="O25" i="8" a="1"/>
  <c r="O25" i="8" s="1"/>
  <c r="G25" i="8" a="1"/>
  <c r="G25" i="8" s="1"/>
  <c r="N25" i="8" a="1"/>
  <c r="N25" i="8" s="1"/>
  <c r="F25" i="8" a="1"/>
  <c r="F25" i="8" s="1"/>
  <c r="L25" i="8" a="1"/>
  <c r="L25" i="8" s="1"/>
  <c r="O81" i="8" a="1"/>
  <c r="O81" i="8" s="1"/>
  <c r="G81" i="8" a="1"/>
  <c r="G81" i="8" s="1"/>
  <c r="N81" i="8" a="1"/>
  <c r="N81" i="8" s="1"/>
  <c r="F81" i="8" a="1"/>
  <c r="F81" i="8" s="1"/>
  <c r="M81" i="8" a="1"/>
  <c r="M81" i="8" s="1"/>
  <c r="E81" i="8" a="1"/>
  <c r="E81" i="8" s="1"/>
  <c r="L81" i="8" a="1"/>
  <c r="L81" i="8" s="1"/>
  <c r="K81" i="8" a="1"/>
  <c r="K81" i="8" s="1"/>
  <c r="J81" i="8" a="1"/>
  <c r="J81" i="8" s="1"/>
  <c r="I81" i="8" a="1"/>
  <c r="I81" i="8" s="1"/>
  <c r="H81" i="8" a="1"/>
  <c r="H81" i="8" s="1"/>
  <c r="K123" i="8" a="1"/>
  <c r="K123" i="8" s="1"/>
  <c r="J123" i="8" a="1"/>
  <c r="J123" i="8" s="1"/>
  <c r="I123" i="8" a="1"/>
  <c r="I123" i="8" s="1"/>
  <c r="O123" i="8" a="1"/>
  <c r="O123" i="8" s="1"/>
  <c r="N123" i="8" a="1"/>
  <c r="N123" i="8" s="1"/>
  <c r="E123" i="8" a="1"/>
  <c r="E123" i="8" s="1"/>
  <c r="M123" i="8" a="1"/>
  <c r="M123" i="8" s="1"/>
  <c r="L123" i="8" a="1"/>
  <c r="L123" i="8" s="1"/>
  <c r="H123" i="8" a="1"/>
  <c r="H123" i="8" s="1"/>
  <c r="G123" i="8" a="1"/>
  <c r="G123" i="8" s="1"/>
  <c r="F123" i="8" a="1"/>
  <c r="F123" i="8" s="1"/>
  <c r="H62" i="8" a="1"/>
  <c r="H62" i="8" s="1"/>
  <c r="O62" i="8" a="1"/>
  <c r="O62" i="8" s="1"/>
  <c r="G62" i="8" a="1"/>
  <c r="G62" i="8" s="1"/>
  <c r="N62" i="8" a="1"/>
  <c r="N62" i="8" s="1"/>
  <c r="F62" i="8" a="1"/>
  <c r="F62" i="8" s="1"/>
  <c r="M62" i="8" a="1"/>
  <c r="M62" i="8" s="1"/>
  <c r="E62" i="8" a="1"/>
  <c r="E62" i="8" s="1"/>
  <c r="L62" i="8" a="1"/>
  <c r="L62" i="8" s="1"/>
  <c r="K62" i="8" a="1"/>
  <c r="K62" i="8" s="1"/>
  <c r="J62" i="8" a="1"/>
  <c r="J62" i="8" s="1"/>
  <c r="I62" i="8" a="1"/>
  <c r="I62" i="8" s="1"/>
  <c r="I33" i="8" a="1"/>
  <c r="I33" i="8" s="1"/>
  <c r="O33" i="8" a="1"/>
  <c r="O33" i="8" s="1"/>
  <c r="G33" i="8" a="1"/>
  <c r="G33" i="8" s="1"/>
  <c r="N33" i="8" a="1"/>
  <c r="N33" i="8" s="1"/>
  <c r="F33" i="8" a="1"/>
  <c r="F33" i="8" s="1"/>
  <c r="M33" i="8" a="1"/>
  <c r="M33" i="8" s="1"/>
  <c r="E33" i="8" a="1"/>
  <c r="E33" i="8" s="1"/>
  <c r="L33" i="8" a="1"/>
  <c r="L33" i="8" s="1"/>
  <c r="K33" i="8" a="1"/>
  <c r="K33" i="8" s="1"/>
  <c r="J33" i="8" a="1"/>
  <c r="J33" i="8" s="1"/>
  <c r="H33" i="8" a="1"/>
  <c r="H33" i="8" s="1"/>
  <c r="Q10" i="8"/>
  <c r="Q19" i="8"/>
  <c r="I21" i="8" a="1"/>
  <c r="I21" i="8" s="1"/>
  <c r="H21" i="8" a="1"/>
  <c r="H21" i="8" s="1"/>
  <c r="O21" i="8" a="1"/>
  <c r="O21" i="8" s="1"/>
  <c r="G21" i="8" a="1"/>
  <c r="G21" i="8" s="1"/>
  <c r="N21" i="8" a="1"/>
  <c r="N21" i="8" s="1"/>
  <c r="F21" i="8" a="1"/>
  <c r="F21" i="8" s="1"/>
  <c r="K21" i="8" a="1"/>
  <c r="K21" i="8" s="1"/>
  <c r="M21" i="8" a="1"/>
  <c r="M21" i="8" s="1"/>
  <c r="E21" i="8" a="1"/>
  <c r="E21" i="8" s="1"/>
  <c r="L21" i="8" a="1"/>
  <c r="L21" i="8" s="1"/>
  <c r="Q50" i="8"/>
  <c r="J98" i="8" a="1"/>
  <c r="J98" i="8" s="1"/>
  <c r="I98" i="8" a="1"/>
  <c r="I98" i="8" s="1"/>
  <c r="H98" i="8" a="1"/>
  <c r="H98" i="8" s="1"/>
  <c r="O98" i="8" a="1"/>
  <c r="O98" i="8" s="1"/>
  <c r="G98" i="8" a="1"/>
  <c r="G98" i="8" s="1"/>
  <c r="N98" i="8" a="1"/>
  <c r="N98" i="8" s="1"/>
  <c r="F98" i="8" a="1"/>
  <c r="F98" i="8" s="1"/>
  <c r="M98" i="8" a="1"/>
  <c r="M98" i="8" s="1"/>
  <c r="E98" i="8" a="1"/>
  <c r="E98" i="8" s="1"/>
  <c r="L98" i="8" a="1"/>
  <c r="L98" i="8" s="1"/>
  <c r="O139" i="8" a="1"/>
  <c r="O139" i="8" s="1"/>
  <c r="G139" i="8" a="1"/>
  <c r="G139" i="8" s="1"/>
  <c r="K139" i="8" a="1"/>
  <c r="K139" i="8" s="1"/>
  <c r="J139" i="8" a="1"/>
  <c r="J139" i="8" s="1"/>
  <c r="I139" i="8" a="1"/>
  <c r="I139" i="8" s="1"/>
  <c r="E139" i="8" a="1"/>
  <c r="E139" i="8" s="1"/>
  <c r="H139" i="8" a="1"/>
  <c r="H139" i="8" s="1"/>
  <c r="N139" i="8" a="1"/>
  <c r="N139" i="8" s="1"/>
  <c r="M139" i="8" a="1"/>
  <c r="M139" i="8" s="1"/>
  <c r="L139" i="8" a="1"/>
  <c r="L139" i="8" s="1"/>
  <c r="K160" i="8" a="1"/>
  <c r="K160" i="8" s="1"/>
  <c r="J160" i="8" a="1"/>
  <c r="J160" i="8" s="1"/>
  <c r="H160" i="8" a="1"/>
  <c r="H160" i="8" s="1"/>
  <c r="O160" i="8" a="1"/>
  <c r="O160" i="8" s="1"/>
  <c r="G160" i="8" a="1"/>
  <c r="G160" i="8" s="1"/>
  <c r="N160" i="8" a="1"/>
  <c r="N160" i="8" s="1"/>
  <c r="F160" i="8" a="1"/>
  <c r="F160" i="8" s="1"/>
  <c r="M160" i="8" a="1"/>
  <c r="M160" i="8" s="1"/>
  <c r="L160" i="8" a="1"/>
  <c r="L160" i="8" s="1"/>
  <c r="I160" i="8" a="1"/>
  <c r="I160" i="8" s="1"/>
  <c r="E160" i="8" a="1"/>
  <c r="E160" i="8" s="1"/>
  <c r="I287" i="8" a="1"/>
  <c r="I287" i="8" s="1"/>
  <c r="O287" i="8" a="1"/>
  <c r="O287" i="8" s="1"/>
  <c r="E287" i="8" a="1"/>
  <c r="E287" i="8" s="1"/>
  <c r="N287" i="8" a="1"/>
  <c r="N287" i="8" s="1"/>
  <c r="M287" i="8" a="1"/>
  <c r="M287" i="8" s="1"/>
  <c r="L287" i="8" a="1"/>
  <c r="L287" i="8" s="1"/>
  <c r="K287" i="8" a="1"/>
  <c r="K287" i="8" s="1"/>
  <c r="J287" i="8" a="1"/>
  <c r="J287" i="8" s="1"/>
  <c r="H287" i="8" a="1"/>
  <c r="H287" i="8" s="1"/>
  <c r="G287" i="8" a="1"/>
  <c r="G287" i="8" s="1"/>
  <c r="J27" i="8" a="1"/>
  <c r="J27" i="8" s="1"/>
  <c r="H27" i="8" a="1"/>
  <c r="H27" i="8" s="1"/>
  <c r="O27" i="8" a="1"/>
  <c r="O27" i="8" s="1"/>
  <c r="G27" i="8" a="1"/>
  <c r="G27" i="8" s="1"/>
  <c r="N27" i="8" a="1"/>
  <c r="N27" i="8" s="1"/>
  <c r="F27" i="8" a="1"/>
  <c r="F27" i="8" s="1"/>
  <c r="M27" i="8" a="1"/>
  <c r="M27" i="8" s="1"/>
  <c r="E27" i="8" a="1"/>
  <c r="E27" i="8" s="1"/>
  <c r="L27" i="8" a="1"/>
  <c r="L27" i="8" s="1"/>
  <c r="K27" i="8" a="1"/>
  <c r="K27" i="8" s="1"/>
  <c r="O4" i="8" a="1"/>
  <c r="O4" i="8" s="1"/>
  <c r="G4" i="8" a="1"/>
  <c r="G4" i="8" s="1"/>
  <c r="N4" i="8" a="1"/>
  <c r="N4" i="8" s="1"/>
  <c r="F4" i="8" a="1"/>
  <c r="F4" i="8" s="1"/>
  <c r="M4" i="8" a="1"/>
  <c r="M4" i="8" s="1"/>
  <c r="E4" i="8" a="1"/>
  <c r="E4" i="8" s="1"/>
  <c r="L4" i="8" a="1"/>
  <c r="L4" i="8" s="1"/>
  <c r="K4" i="8" a="1"/>
  <c r="K4" i="8" s="1"/>
  <c r="J4" i="8" a="1"/>
  <c r="J4" i="8" s="1"/>
  <c r="I4" i="8" a="1"/>
  <c r="I4" i="8" s="1"/>
  <c r="N39" i="8" a="1"/>
  <c r="N39" i="8" s="1"/>
  <c r="F39" i="8" a="1"/>
  <c r="F39" i="8" s="1"/>
  <c r="M39" i="8" a="1"/>
  <c r="M39" i="8" s="1"/>
  <c r="E39" i="8" a="1"/>
  <c r="E39" i="8" s="1"/>
  <c r="L39" i="8" a="1"/>
  <c r="L39" i="8" s="1"/>
  <c r="K39" i="8" a="1"/>
  <c r="K39" i="8" s="1"/>
  <c r="J39" i="8" a="1"/>
  <c r="J39" i="8" s="1"/>
  <c r="H39" i="8" a="1"/>
  <c r="H39" i="8" s="1"/>
  <c r="I39" i="8" a="1"/>
  <c r="I39" i="8" s="1"/>
  <c r="M48" i="8" a="1"/>
  <c r="M48" i="8" s="1"/>
  <c r="E48" i="8" a="1"/>
  <c r="E48" i="8" s="1"/>
  <c r="L48" i="8" a="1"/>
  <c r="L48" i="8" s="1"/>
  <c r="K48" i="8" a="1"/>
  <c r="K48" i="8" s="1"/>
  <c r="J48" i="8" a="1"/>
  <c r="J48" i="8" s="1"/>
  <c r="I48" i="8" a="1"/>
  <c r="I48" i="8" s="1"/>
  <c r="H48" i="8" a="1"/>
  <c r="H48" i="8" s="1"/>
  <c r="O48" i="8" a="1"/>
  <c r="O48" i="8" s="1"/>
  <c r="G48" i="8" a="1"/>
  <c r="G48" i="8" s="1"/>
  <c r="L70" i="8" a="1"/>
  <c r="L70" i="8" s="1"/>
  <c r="K70" i="8" a="1"/>
  <c r="K70" i="8" s="1"/>
  <c r="J70" i="8" a="1"/>
  <c r="J70" i="8" s="1"/>
  <c r="I70" i="8" a="1"/>
  <c r="I70" i="8" s="1"/>
  <c r="H70" i="8" a="1"/>
  <c r="H70" i="8" s="1"/>
  <c r="O70" i="8" a="1"/>
  <c r="O70" i="8" s="1"/>
  <c r="G70" i="8" a="1"/>
  <c r="G70" i="8" s="1"/>
  <c r="N70" i="8" a="1"/>
  <c r="N70" i="8" s="1"/>
  <c r="F70" i="8" a="1"/>
  <c r="F70" i="8" s="1"/>
  <c r="J79" i="8" a="1"/>
  <c r="J79" i="8" s="1"/>
  <c r="I79" i="8" a="1"/>
  <c r="I79" i="8" s="1"/>
  <c r="H79" i="8" a="1"/>
  <c r="H79" i="8" s="1"/>
  <c r="O79" i="8" a="1"/>
  <c r="O79" i="8" s="1"/>
  <c r="G79" i="8" a="1"/>
  <c r="G79" i="8" s="1"/>
  <c r="L79" i="8" a="1"/>
  <c r="L79" i="8" s="1"/>
  <c r="N79" i="8" a="1"/>
  <c r="N79" i="8" s="1"/>
  <c r="F79" i="8" a="1"/>
  <c r="F79" i="8" s="1"/>
  <c r="M79" i="8" a="1"/>
  <c r="M79" i="8" s="1"/>
  <c r="E79" i="8" a="1"/>
  <c r="E79" i="8" s="1"/>
  <c r="N87" i="8" a="1"/>
  <c r="N87" i="8" s="1"/>
  <c r="F87" i="8" a="1"/>
  <c r="F87" i="8" s="1"/>
  <c r="M87" i="8" a="1"/>
  <c r="M87" i="8" s="1"/>
  <c r="E87" i="8" a="1"/>
  <c r="E87" i="8" s="1"/>
  <c r="L87" i="8" a="1"/>
  <c r="L87" i="8" s="1"/>
  <c r="K87" i="8" a="1"/>
  <c r="K87" i="8" s="1"/>
  <c r="H87" i="8" a="1"/>
  <c r="H87" i="8" s="1"/>
  <c r="J87" i="8" a="1"/>
  <c r="J87" i="8" s="1"/>
  <c r="I87" i="8" a="1"/>
  <c r="I87" i="8" s="1"/>
  <c r="O100" i="8" a="1"/>
  <c r="O100" i="8" s="1"/>
  <c r="G100" i="8" a="1"/>
  <c r="G100" i="8" s="1"/>
  <c r="N100" i="8" a="1"/>
  <c r="N100" i="8" s="1"/>
  <c r="F100" i="8" a="1"/>
  <c r="F100" i="8" s="1"/>
  <c r="M100" i="8" a="1"/>
  <c r="M100" i="8" s="1"/>
  <c r="E100" i="8" a="1"/>
  <c r="E100" i="8" s="1"/>
  <c r="L100" i="8" a="1"/>
  <c r="L100" i="8" s="1"/>
  <c r="K100" i="8" a="1"/>
  <c r="K100" i="8" s="1"/>
  <c r="J100" i="8" a="1"/>
  <c r="J100" i="8" s="1"/>
  <c r="I100" i="8" a="1"/>
  <c r="I100" i="8" s="1"/>
  <c r="O120" i="8" a="1"/>
  <c r="O120" i="8" s="1"/>
  <c r="G120" i="8" a="1"/>
  <c r="G120" i="8" s="1"/>
  <c r="N120" i="8" a="1"/>
  <c r="N120" i="8" s="1"/>
  <c r="F120" i="8" a="1"/>
  <c r="F120" i="8" s="1"/>
  <c r="K120" i="8" a="1"/>
  <c r="K120" i="8" s="1"/>
  <c r="J120" i="8" a="1"/>
  <c r="J120" i="8" s="1"/>
  <c r="M120" i="8" a="1"/>
  <c r="M120" i="8" s="1"/>
  <c r="L120" i="8" a="1"/>
  <c r="L120" i="8" s="1"/>
  <c r="I120" i="8" a="1"/>
  <c r="I120" i="8" s="1"/>
  <c r="H120" i="8" a="1"/>
  <c r="H120" i="8" s="1"/>
  <c r="K192" i="8" a="1"/>
  <c r="K192" i="8" s="1"/>
  <c r="J192" i="8" a="1"/>
  <c r="J192" i="8" s="1"/>
  <c r="I192" i="8" a="1"/>
  <c r="I192" i="8" s="1"/>
  <c r="H192" i="8" a="1"/>
  <c r="H192" i="8" s="1"/>
  <c r="O192" i="8" a="1"/>
  <c r="O192" i="8" s="1"/>
  <c r="G192" i="8" a="1"/>
  <c r="G192" i="8" s="1"/>
  <c r="N192" i="8" a="1"/>
  <c r="N192" i="8" s="1"/>
  <c r="F192" i="8" a="1"/>
  <c r="F192" i="8" s="1"/>
  <c r="M192" i="8" a="1"/>
  <c r="M192" i="8" s="1"/>
  <c r="L192" i="8" a="1"/>
  <c r="L192" i="8" s="1"/>
  <c r="H229" i="8" a="1"/>
  <c r="H229" i="8" s="1"/>
  <c r="N229" i="8" a="1"/>
  <c r="N229" i="8" s="1"/>
  <c r="F229" i="8" a="1"/>
  <c r="F229" i="8" s="1"/>
  <c r="M229" i="8" a="1"/>
  <c r="M229" i="8" s="1"/>
  <c r="E229" i="8" a="1"/>
  <c r="E229" i="8" s="1"/>
  <c r="L229" i="8" a="1"/>
  <c r="L229" i="8" s="1"/>
  <c r="K229" i="8" a="1"/>
  <c r="K229" i="8" s="1"/>
  <c r="J229" i="8" a="1"/>
  <c r="J229" i="8" s="1"/>
  <c r="I229" i="8" a="1"/>
  <c r="I229" i="8" s="1"/>
  <c r="G229" i="8" a="1"/>
  <c r="G229" i="8" s="1"/>
  <c r="O229" i="8" a="1"/>
  <c r="O229" i="8" s="1"/>
  <c r="I24" i="8" a="1"/>
  <c r="I24" i="8" s="1"/>
  <c r="H24" i="8" a="1"/>
  <c r="H24" i="8" s="1"/>
  <c r="O24" i="8" a="1"/>
  <c r="O24" i="8" s="1"/>
  <c r="G24" i="8" a="1"/>
  <c r="G24" i="8" s="1"/>
  <c r="N24" i="8" a="1"/>
  <c r="N24" i="8" s="1"/>
  <c r="F24" i="8" a="1"/>
  <c r="F24" i="8" s="1"/>
  <c r="M24" i="8" a="1"/>
  <c r="M24" i="8" s="1"/>
  <c r="E24" i="8" a="1"/>
  <c r="E24" i="8" s="1"/>
  <c r="L24" i="8" a="1"/>
  <c r="L24" i="8" s="1"/>
  <c r="K24" i="8" a="1"/>
  <c r="K24" i="8" s="1"/>
  <c r="K144" i="8" a="1"/>
  <c r="K144" i="8" s="1"/>
  <c r="J144" i="8" a="1"/>
  <c r="J144" i="8" s="1"/>
  <c r="H144" i="8" a="1"/>
  <c r="H144" i="8" s="1"/>
  <c r="O144" i="8" a="1"/>
  <c r="O144" i="8" s="1"/>
  <c r="G144" i="8" a="1"/>
  <c r="G144" i="8" s="1"/>
  <c r="N144" i="8" a="1"/>
  <c r="N144" i="8" s="1"/>
  <c r="F144" i="8" a="1"/>
  <c r="F144" i="8" s="1"/>
  <c r="M144" i="8" a="1"/>
  <c r="M144" i="8" s="1"/>
  <c r="L144" i="8" a="1"/>
  <c r="L144" i="8" s="1"/>
  <c r="I144" i="8" a="1"/>
  <c r="I144" i="8" s="1"/>
  <c r="E144" i="8" a="1"/>
  <c r="E144" i="8" s="1"/>
  <c r="I27" i="8" a="1"/>
  <c r="I27" i="8" s="1"/>
  <c r="M93" i="8" a="1"/>
  <c r="M93" i="8" s="1"/>
  <c r="E93" i="8" a="1"/>
  <c r="E93" i="8" s="1"/>
  <c r="G93" i="8" a="1"/>
  <c r="G93" i="8" s="1"/>
  <c r="L93" i="8" a="1"/>
  <c r="L93" i="8" s="1"/>
  <c r="K93" i="8" a="1"/>
  <c r="K93" i="8" s="1"/>
  <c r="O93" i="8" a="1"/>
  <c r="O93" i="8" s="1"/>
  <c r="J93" i="8" a="1"/>
  <c r="J93" i="8" s="1"/>
  <c r="I93" i="8" a="1"/>
  <c r="I93" i="8" s="1"/>
  <c r="H93" i="8" a="1"/>
  <c r="H93" i="8" s="1"/>
  <c r="J24" i="8" a="1"/>
  <c r="J24" i="8" s="1"/>
  <c r="Q28" i="8"/>
  <c r="N42" i="8" a="1"/>
  <c r="N42" i="8" s="1"/>
  <c r="F42" i="8" a="1"/>
  <c r="F42" i="8" s="1"/>
  <c r="M42" i="8" a="1"/>
  <c r="M42" i="8" s="1"/>
  <c r="E42" i="8" a="1"/>
  <c r="E42" i="8" s="1"/>
  <c r="L42" i="8" a="1"/>
  <c r="L42" i="8" s="1"/>
  <c r="K42" i="8" a="1"/>
  <c r="K42" i="8" s="1"/>
  <c r="J42" i="8" a="1"/>
  <c r="J42" i="8" s="1"/>
  <c r="I42" i="8" a="1"/>
  <c r="I42" i="8" s="1"/>
  <c r="H42" i="8" a="1"/>
  <c r="H42" i="8" s="1"/>
  <c r="Q51" i="8"/>
  <c r="K53" i="8" a="1"/>
  <c r="K53" i="8" s="1"/>
  <c r="I53" i="8" a="1"/>
  <c r="I53" i="8" s="1"/>
  <c r="H53" i="8" a="1"/>
  <c r="H53" i="8" s="1"/>
  <c r="O53" i="8" a="1"/>
  <c r="O53" i="8" s="1"/>
  <c r="G53" i="8" a="1"/>
  <c r="G53" i="8" s="1"/>
  <c r="N53" i="8" a="1"/>
  <c r="N53" i="8" s="1"/>
  <c r="F53" i="8" a="1"/>
  <c r="F53" i="8" s="1"/>
  <c r="M53" i="8" a="1"/>
  <c r="M53" i="8" s="1"/>
  <c r="E53" i="8" a="1"/>
  <c r="E53" i="8" s="1"/>
  <c r="L53" i="8" a="1"/>
  <c r="L53" i="8" s="1"/>
  <c r="H59" i="8" a="1"/>
  <c r="H59" i="8" s="1"/>
  <c r="O59" i="8" a="1"/>
  <c r="O59" i="8" s="1"/>
  <c r="G59" i="8" a="1"/>
  <c r="G59" i="8" s="1"/>
  <c r="N59" i="8" a="1"/>
  <c r="N59" i="8" s="1"/>
  <c r="F59" i="8" a="1"/>
  <c r="F59" i="8" s="1"/>
  <c r="M59" i="8" a="1"/>
  <c r="M59" i="8" s="1"/>
  <c r="E59" i="8" a="1"/>
  <c r="E59" i="8" s="1"/>
  <c r="J59" i="8" a="1"/>
  <c r="J59" i="8" s="1"/>
  <c r="L59" i="8" a="1"/>
  <c r="L59" i="8" s="1"/>
  <c r="K59" i="8" a="1"/>
  <c r="K59" i="8" s="1"/>
  <c r="E70" i="8" a="1"/>
  <c r="E70" i="8" s="1"/>
  <c r="J82" i="8" a="1"/>
  <c r="J82" i="8" s="1"/>
  <c r="I82" i="8" a="1"/>
  <c r="I82" i="8" s="1"/>
  <c r="H82" i="8" a="1"/>
  <c r="H82" i="8" s="1"/>
  <c r="O82" i="8" a="1"/>
  <c r="O82" i="8" s="1"/>
  <c r="G82" i="8" a="1"/>
  <c r="G82" i="8" s="1"/>
  <c r="N82" i="8" a="1"/>
  <c r="N82" i="8" s="1"/>
  <c r="F82" i="8" a="1"/>
  <c r="F82" i="8" s="1"/>
  <c r="M82" i="8" a="1"/>
  <c r="M82" i="8" s="1"/>
  <c r="E82" i="8" a="1"/>
  <c r="E82" i="8" s="1"/>
  <c r="L82" i="8" a="1"/>
  <c r="L82" i="8" s="1"/>
  <c r="N90" i="8" a="1"/>
  <c r="N90" i="8" s="1"/>
  <c r="F90" i="8" a="1"/>
  <c r="F90" i="8" s="1"/>
  <c r="M90" i="8" a="1"/>
  <c r="M90" i="8" s="1"/>
  <c r="E90" i="8" a="1"/>
  <c r="E90" i="8" s="1"/>
  <c r="L90" i="8" a="1"/>
  <c r="L90" i="8" s="1"/>
  <c r="K90" i="8" a="1"/>
  <c r="K90" i="8" s="1"/>
  <c r="J90" i="8" a="1"/>
  <c r="J90" i="8" s="1"/>
  <c r="I90" i="8" a="1"/>
  <c r="I90" i="8" s="1"/>
  <c r="H90" i="8" a="1"/>
  <c r="H90" i="8" s="1"/>
  <c r="M96" i="8" a="1"/>
  <c r="M96" i="8" s="1"/>
  <c r="E96" i="8" a="1"/>
  <c r="E96" i="8" s="1"/>
  <c r="L96" i="8" a="1"/>
  <c r="L96" i="8" s="1"/>
  <c r="K96" i="8" a="1"/>
  <c r="K96" i="8" s="1"/>
  <c r="J96" i="8" a="1"/>
  <c r="J96" i="8" s="1"/>
  <c r="I96" i="8" a="1"/>
  <c r="I96" i="8" s="1"/>
  <c r="H96" i="8" a="1"/>
  <c r="H96" i="8" s="1"/>
  <c r="O96" i="8" a="1"/>
  <c r="O96" i="8" s="1"/>
  <c r="G96" i="8" a="1"/>
  <c r="G96" i="8" s="1"/>
  <c r="K98" i="8" a="1"/>
  <c r="K98" i="8" s="1"/>
  <c r="E120" i="8" a="1"/>
  <c r="E120" i="8" s="1"/>
  <c r="H125" i="8" a="1"/>
  <c r="H125" i="8" s="1"/>
  <c r="O125" i="8" a="1"/>
  <c r="O125" i="8" s="1"/>
  <c r="G125" i="8" a="1"/>
  <c r="G125" i="8" s="1"/>
  <c r="N125" i="8" a="1"/>
  <c r="N125" i="8" s="1"/>
  <c r="F125" i="8" a="1"/>
  <c r="F125" i="8" s="1"/>
  <c r="M125" i="8" a="1"/>
  <c r="M125" i="8" s="1"/>
  <c r="L125" i="8" a="1"/>
  <c r="L125" i="8" s="1"/>
  <c r="K125" i="8" a="1"/>
  <c r="K125" i="8" s="1"/>
  <c r="J125" i="8" a="1"/>
  <c r="J125" i="8" s="1"/>
  <c r="I125" i="8" a="1"/>
  <c r="I125" i="8" s="1"/>
  <c r="E125" i="8" a="1"/>
  <c r="E125" i="8" s="1"/>
  <c r="I140" i="8" a="1"/>
  <c r="I140" i="8" s="1"/>
  <c r="H140" i="8" a="1"/>
  <c r="H140" i="8" s="1"/>
  <c r="N140" i="8" a="1"/>
  <c r="N140" i="8" s="1"/>
  <c r="F140" i="8" a="1"/>
  <c r="F140" i="8" s="1"/>
  <c r="M140" i="8" a="1"/>
  <c r="M140" i="8" s="1"/>
  <c r="E140" i="8" a="1"/>
  <c r="E140" i="8" s="1"/>
  <c r="L140" i="8" a="1"/>
  <c r="L140" i="8" s="1"/>
  <c r="G140" i="8" a="1"/>
  <c r="G140" i="8" s="1"/>
  <c r="J140" i="8" a="1"/>
  <c r="J140" i="8" s="1"/>
  <c r="O140" i="8" a="1"/>
  <c r="O140" i="8" s="1"/>
  <c r="K140" i="8" a="1"/>
  <c r="K140" i="8" s="1"/>
  <c r="H165" i="8" a="1"/>
  <c r="H165" i="8" s="1"/>
  <c r="L165" i="8" a="1"/>
  <c r="L165" i="8" s="1"/>
  <c r="K165" i="8" a="1"/>
  <c r="K165" i="8" s="1"/>
  <c r="J165" i="8" a="1"/>
  <c r="J165" i="8" s="1"/>
  <c r="O165" i="8" a="1"/>
  <c r="O165" i="8" s="1"/>
  <c r="N165" i="8" a="1"/>
  <c r="N165" i="8" s="1"/>
  <c r="M165" i="8" a="1"/>
  <c r="M165" i="8" s="1"/>
  <c r="I165" i="8" a="1"/>
  <c r="I165" i="8" s="1"/>
  <c r="G165" i="8" a="1"/>
  <c r="G165" i="8" s="1"/>
  <c r="F165" i="8" a="1"/>
  <c r="F165" i="8" s="1"/>
  <c r="E165" i="8" a="1"/>
  <c r="E165" i="8" s="1"/>
  <c r="H178" i="8" a="1"/>
  <c r="H178" i="8" s="1"/>
  <c r="O178" i="8" a="1"/>
  <c r="O178" i="8" s="1"/>
  <c r="G178" i="8" a="1"/>
  <c r="G178" i="8" s="1"/>
  <c r="M178" i="8" a="1"/>
  <c r="M178" i="8" s="1"/>
  <c r="E178" i="8" a="1"/>
  <c r="E178" i="8" s="1"/>
  <c r="L178" i="8" a="1"/>
  <c r="L178" i="8" s="1"/>
  <c r="K178" i="8" a="1"/>
  <c r="K178" i="8" s="1"/>
  <c r="F178" i="8" a="1"/>
  <c r="F178" i="8" s="1"/>
  <c r="N178" i="8" a="1"/>
  <c r="N178" i="8" s="1"/>
  <c r="J178" i="8" a="1"/>
  <c r="J178" i="8" s="1"/>
  <c r="I178" i="8" a="1"/>
  <c r="I178" i="8" s="1"/>
  <c r="E192" i="8" a="1"/>
  <c r="E192" i="8" s="1"/>
  <c r="H197" i="8" a="1"/>
  <c r="H197" i="8" s="1"/>
  <c r="M197" i="8" a="1"/>
  <c r="M197" i="8" s="1"/>
  <c r="E197" i="8" a="1"/>
  <c r="E197" i="8" s="1"/>
  <c r="L197" i="8" a="1"/>
  <c r="L197" i="8" s="1"/>
  <c r="K197" i="8" a="1"/>
  <c r="K197" i="8" s="1"/>
  <c r="J197" i="8" a="1"/>
  <c r="J197" i="8" s="1"/>
  <c r="O197" i="8" a="1"/>
  <c r="O197" i="8" s="1"/>
  <c r="N197" i="8" a="1"/>
  <c r="N197" i="8" s="1"/>
  <c r="I197" i="8" a="1"/>
  <c r="I197" i="8" s="1"/>
  <c r="G197" i="8" a="1"/>
  <c r="G197" i="8" s="1"/>
  <c r="F197" i="8" a="1"/>
  <c r="F197" i="8" s="1"/>
  <c r="K76" i="8" a="1"/>
  <c r="K76" i="8" s="1"/>
  <c r="J76" i="8" a="1"/>
  <c r="J76" i="8" s="1"/>
  <c r="I76" i="8" a="1"/>
  <c r="I76" i="8" s="1"/>
  <c r="H76" i="8" a="1"/>
  <c r="H76" i="8" s="1"/>
  <c r="O76" i="8" a="1"/>
  <c r="O76" i="8" s="1"/>
  <c r="G76" i="8" a="1"/>
  <c r="G76" i="8" s="1"/>
  <c r="N76" i="8" a="1"/>
  <c r="N76" i="8" s="1"/>
  <c r="F76" i="8" a="1"/>
  <c r="F76" i="8" s="1"/>
  <c r="M76" i="8" a="1"/>
  <c r="M76" i="8" s="1"/>
  <c r="E76" i="8" a="1"/>
  <c r="E76" i="8" s="1"/>
  <c r="L22" i="8" a="1"/>
  <c r="L22" i="8" s="1"/>
  <c r="K22" i="8" a="1"/>
  <c r="K22" i="8" s="1"/>
  <c r="J22" i="8" a="1"/>
  <c r="J22" i="8" s="1"/>
  <c r="I22" i="8" a="1"/>
  <c r="I22" i="8" s="1"/>
  <c r="H22" i="8" a="1"/>
  <c r="H22" i="8" s="1"/>
  <c r="O22" i="8" a="1"/>
  <c r="O22" i="8" s="1"/>
  <c r="G22" i="8" a="1"/>
  <c r="G22" i="8" s="1"/>
  <c r="N22" i="8" a="1"/>
  <c r="N22" i="8" s="1"/>
  <c r="F22" i="8" a="1"/>
  <c r="F22" i="8" s="1"/>
  <c r="Q31" i="8"/>
  <c r="J53" i="8" a="1"/>
  <c r="J53" i="8" s="1"/>
  <c r="Q56" i="8"/>
  <c r="L76" i="8" a="1"/>
  <c r="L76" i="8" s="1"/>
  <c r="K79" i="8" a="1"/>
  <c r="K79" i="8" s="1"/>
  <c r="F93" i="8" a="1"/>
  <c r="F93" i="8" s="1"/>
  <c r="Q107" i="8"/>
  <c r="N121" i="8" a="1"/>
  <c r="N121" i="8" s="1"/>
  <c r="F121" i="8" a="1"/>
  <c r="F121" i="8" s="1"/>
  <c r="M121" i="8" a="1"/>
  <c r="M121" i="8" s="1"/>
  <c r="E121" i="8" a="1"/>
  <c r="E121" i="8" s="1"/>
  <c r="L121" i="8" a="1"/>
  <c r="L121" i="8" s="1"/>
  <c r="O121" i="8" a="1"/>
  <c r="O121" i="8" s="1"/>
  <c r="K121" i="8" a="1"/>
  <c r="K121" i="8" s="1"/>
  <c r="J121" i="8" a="1"/>
  <c r="J121" i="8" s="1"/>
  <c r="I121" i="8" a="1"/>
  <c r="I121" i="8" s="1"/>
  <c r="H121" i="8" a="1"/>
  <c r="H121" i="8" s="1"/>
  <c r="G121" i="8" a="1"/>
  <c r="G121" i="8" s="1"/>
  <c r="Q126" i="8"/>
  <c r="Q166" i="8"/>
  <c r="Q179" i="8"/>
  <c r="J198" i="8" a="1"/>
  <c r="J198" i="8" s="1"/>
  <c r="I198" i="8" a="1"/>
  <c r="I198" i="8" s="1"/>
  <c r="H198" i="8" a="1"/>
  <c r="H198" i="8" s="1"/>
  <c r="O198" i="8" a="1"/>
  <c r="O198" i="8" s="1"/>
  <c r="G198" i="8" a="1"/>
  <c r="G198" i="8" s="1"/>
  <c r="N198" i="8" a="1"/>
  <c r="N198" i="8" s="1"/>
  <c r="F198" i="8" a="1"/>
  <c r="F198" i="8" s="1"/>
  <c r="M198" i="8" a="1"/>
  <c r="M198" i="8" s="1"/>
  <c r="E198" i="8" a="1"/>
  <c r="E198" i="8" s="1"/>
  <c r="L198" i="8" a="1"/>
  <c r="L198" i="8" s="1"/>
  <c r="K198" i="8" a="1"/>
  <c r="K198" i="8" s="1"/>
  <c r="Q284" i="8"/>
  <c r="H78" i="8" a="1"/>
  <c r="H78" i="8" s="1"/>
  <c r="O78" i="8" a="1"/>
  <c r="O78" i="8" s="1"/>
  <c r="G78" i="8" a="1"/>
  <c r="G78" i="8" s="1"/>
  <c r="N78" i="8" a="1"/>
  <c r="N78" i="8" s="1"/>
  <c r="F78" i="8" a="1"/>
  <c r="F78" i="8" s="1"/>
  <c r="M78" i="8" a="1"/>
  <c r="M78" i="8" s="1"/>
  <c r="E78" i="8" a="1"/>
  <c r="E78" i="8" s="1"/>
  <c r="L78" i="8" a="1"/>
  <c r="L78" i="8" s="1"/>
  <c r="K78" i="8" a="1"/>
  <c r="K78" i="8" s="1"/>
  <c r="J78" i="8" a="1"/>
  <c r="J78" i="8" s="1"/>
  <c r="L3" i="8" a="1"/>
  <c r="L3" i="8" s="1"/>
  <c r="N3" i="8" a="1"/>
  <c r="N3" i="8" s="1"/>
  <c r="K3" i="8" a="1"/>
  <c r="K3" i="8" s="1"/>
  <c r="F3" i="8" a="1"/>
  <c r="F3" i="8" s="1"/>
  <c r="J3" i="8" a="1"/>
  <c r="J3" i="8" s="1"/>
  <c r="I3" i="8" a="1"/>
  <c r="I3" i="8" s="1"/>
  <c r="H3" i="8" a="1"/>
  <c r="H3" i="8" s="1"/>
  <c r="O3" i="8" a="1"/>
  <c r="O3" i="8" s="1"/>
  <c r="G3" i="8" a="1"/>
  <c r="G3" i="8" s="1"/>
  <c r="I5" i="8" a="1"/>
  <c r="I5" i="8" s="1"/>
  <c r="H5" i="8" a="1"/>
  <c r="H5" i="8" s="1"/>
  <c r="O5" i="8" a="1"/>
  <c r="O5" i="8" s="1"/>
  <c r="G5" i="8" a="1"/>
  <c r="G5" i="8" s="1"/>
  <c r="N5" i="8" a="1"/>
  <c r="N5" i="8" s="1"/>
  <c r="F5" i="8" a="1"/>
  <c r="F5" i="8" s="1"/>
  <c r="K5" i="8" a="1"/>
  <c r="K5" i="8" s="1"/>
  <c r="M5" i="8" a="1"/>
  <c r="M5" i="8" s="1"/>
  <c r="E5" i="8" a="1"/>
  <c r="E5" i="8" s="1"/>
  <c r="L5" i="8" a="1"/>
  <c r="L5" i="8" s="1"/>
  <c r="J34" i="8" a="1"/>
  <c r="J34" i="8" s="1"/>
  <c r="I34" i="8" a="1"/>
  <c r="I34" i="8" s="1"/>
  <c r="H34" i="8" a="1"/>
  <c r="H34" i="8" s="1"/>
  <c r="O34" i="8" a="1"/>
  <c r="O34" i="8" s="1"/>
  <c r="G34" i="8" a="1"/>
  <c r="G34" i="8" s="1"/>
  <c r="N34" i="8" a="1"/>
  <c r="N34" i="8" s="1"/>
  <c r="F34" i="8" a="1"/>
  <c r="F34" i="8" s="1"/>
  <c r="M34" i="8" a="1"/>
  <c r="M34" i="8" s="1"/>
  <c r="E34" i="8" a="1"/>
  <c r="E34" i="8" s="1"/>
  <c r="L34" i="8" a="1"/>
  <c r="L34" i="8" s="1"/>
  <c r="M70" i="8" a="1"/>
  <c r="M70" i="8" s="1"/>
  <c r="M77" i="8" a="1"/>
  <c r="M77" i="8" s="1"/>
  <c r="E77" i="8" a="1"/>
  <c r="E77" i="8" s="1"/>
  <c r="O77" i="8" a="1"/>
  <c r="O77" i="8" s="1"/>
  <c r="L77" i="8" a="1"/>
  <c r="L77" i="8" s="1"/>
  <c r="G77" i="8" a="1"/>
  <c r="G77" i="8" s="1"/>
  <c r="K77" i="8" a="1"/>
  <c r="K77" i="8" s="1"/>
  <c r="J77" i="8" a="1"/>
  <c r="J77" i="8" s="1"/>
  <c r="I77" i="8" a="1"/>
  <c r="I77" i="8" s="1"/>
  <c r="H77" i="8" a="1"/>
  <c r="H77" i="8" s="1"/>
  <c r="F99" i="8" a="1"/>
  <c r="F99" i="8" s="1"/>
  <c r="L99" i="8" a="1"/>
  <c r="L99" i="8" s="1"/>
  <c r="K99" i="8" a="1"/>
  <c r="K99" i="8" s="1"/>
  <c r="J99" i="8" a="1"/>
  <c r="J99" i="8" s="1"/>
  <c r="I99" i="8" a="1"/>
  <c r="I99" i="8" s="1"/>
  <c r="H99" i="8" a="1"/>
  <c r="H99" i="8" s="1"/>
  <c r="O99" i="8" a="1"/>
  <c r="O99" i="8" s="1"/>
  <c r="G99" i="8" a="1"/>
  <c r="G99" i="8" s="1"/>
  <c r="N99" i="8" a="1"/>
  <c r="N99" i="8" s="1"/>
  <c r="O235" i="8" a="1"/>
  <c r="O235" i="8" s="1"/>
  <c r="G235" i="8" a="1"/>
  <c r="G235" i="8" s="1"/>
  <c r="M235" i="8" a="1"/>
  <c r="M235" i="8" s="1"/>
  <c r="E235" i="8" a="1"/>
  <c r="E235" i="8" s="1"/>
  <c r="L235" i="8" a="1"/>
  <c r="L235" i="8" s="1"/>
  <c r="K235" i="8" a="1"/>
  <c r="K235" i="8" s="1"/>
  <c r="J235" i="8" a="1"/>
  <c r="J235" i="8" s="1"/>
  <c r="I235" i="8" a="1"/>
  <c r="I235" i="8" s="1"/>
  <c r="N235" i="8" a="1"/>
  <c r="N235" i="8" s="1"/>
  <c r="H235" i="8" a="1"/>
  <c r="H235" i="8" s="1"/>
  <c r="F235" i="8" a="1"/>
  <c r="F235" i="8" s="1"/>
  <c r="O254" i="8" a="1"/>
  <c r="O254" i="8" s="1"/>
  <c r="G254" i="8" a="1"/>
  <c r="G254" i="8" s="1"/>
  <c r="N254" i="8" a="1"/>
  <c r="N254" i="8" s="1"/>
  <c r="F254" i="8" a="1"/>
  <c r="F254" i="8" s="1"/>
  <c r="M254" i="8" a="1"/>
  <c r="M254" i="8" s="1"/>
  <c r="E254" i="8" a="1"/>
  <c r="E254" i="8" s="1"/>
  <c r="L254" i="8" a="1"/>
  <c r="L254" i="8" s="1"/>
  <c r="K254" i="8" a="1"/>
  <c r="K254" i="8" s="1"/>
  <c r="J254" i="8" a="1"/>
  <c r="J254" i="8" s="1"/>
  <c r="I254" i="8" a="1"/>
  <c r="I254" i="8" s="1"/>
  <c r="H254" i="8" a="1"/>
  <c r="H254" i="8" s="1"/>
  <c r="J268" i="8" a="1"/>
  <c r="J268" i="8" s="1"/>
  <c r="I268" i="8" a="1"/>
  <c r="I268" i="8" s="1"/>
  <c r="H268" i="8" a="1"/>
  <c r="H268" i="8" s="1"/>
  <c r="O268" i="8" a="1"/>
  <c r="O268" i="8" s="1"/>
  <c r="G268" i="8" a="1"/>
  <c r="G268" i="8" s="1"/>
  <c r="N268" i="8" a="1"/>
  <c r="N268" i="8" s="1"/>
  <c r="F268" i="8" a="1"/>
  <c r="F268" i="8" s="1"/>
  <c r="M268" i="8" a="1"/>
  <c r="M268" i="8" s="1"/>
  <c r="E268" i="8" a="1"/>
  <c r="E268" i="8" s="1"/>
  <c r="L268" i="8" a="1"/>
  <c r="L268" i="8" s="1"/>
  <c r="K268" i="8" a="1"/>
  <c r="K268" i="8" s="1"/>
  <c r="E89" i="8" a="1"/>
  <c r="E89" i="8" s="1"/>
  <c r="K89" i="8" a="1"/>
  <c r="K89" i="8" s="1"/>
  <c r="J89" i="8" a="1"/>
  <c r="J89" i="8" s="1"/>
  <c r="I89" i="8" a="1"/>
  <c r="I89" i="8" s="1"/>
  <c r="H89" i="8" a="1"/>
  <c r="H89" i="8" s="1"/>
  <c r="M89" i="8" a="1"/>
  <c r="M89" i="8" s="1"/>
  <c r="O89" i="8" a="1"/>
  <c r="O89" i="8" s="1"/>
  <c r="G89" i="8" a="1"/>
  <c r="G89" i="8" s="1"/>
  <c r="N89" i="8" a="1"/>
  <c r="N89" i="8" s="1"/>
  <c r="F89" i="8" a="1"/>
  <c r="F89" i="8" s="1"/>
  <c r="J307" i="8" a="1"/>
  <c r="J307" i="8" s="1"/>
  <c r="O307" i="8" a="1"/>
  <c r="O307" i="8" s="1"/>
  <c r="G307" i="8" a="1"/>
  <c r="G307" i="8" s="1"/>
  <c r="K307" i="8" a="1"/>
  <c r="K307" i="8" s="1"/>
  <c r="N307" i="8" a="1"/>
  <c r="N307" i="8" s="1"/>
  <c r="M307" i="8" a="1"/>
  <c r="M307" i="8" s="1"/>
  <c r="L307" i="8" a="1"/>
  <c r="L307" i="8" s="1"/>
  <c r="I307" i="8" a="1"/>
  <c r="I307" i="8" s="1"/>
  <c r="H307" i="8" a="1"/>
  <c r="H307" i="8" s="1"/>
  <c r="F307" i="8" a="1"/>
  <c r="F307" i="8" s="1"/>
  <c r="E307" i="8" a="1"/>
  <c r="E307" i="8" s="1"/>
  <c r="M45" i="8" a="1"/>
  <c r="M45" i="8" s="1"/>
  <c r="E45" i="8" a="1"/>
  <c r="E45" i="8" s="1"/>
  <c r="L45" i="8" a="1"/>
  <c r="L45" i="8" s="1"/>
  <c r="K45" i="8" a="1"/>
  <c r="K45" i="8" s="1"/>
  <c r="J45" i="8" a="1"/>
  <c r="J45" i="8" s="1"/>
  <c r="G45" i="8" a="1"/>
  <c r="G45" i="8" s="1"/>
  <c r="I45" i="8" a="1"/>
  <c r="I45" i="8" s="1"/>
  <c r="O45" i="8" a="1"/>
  <c r="O45" i="8" s="1"/>
  <c r="H45" i="8" a="1"/>
  <c r="H45" i="8" s="1"/>
  <c r="L89" i="8" a="1"/>
  <c r="L89" i="8" s="1"/>
  <c r="I124" i="8" a="1"/>
  <c r="I124" i="8" s="1"/>
  <c r="H124" i="8" a="1"/>
  <c r="H124" i="8" s="1"/>
  <c r="M124" i="8" a="1"/>
  <c r="M124" i="8" s="1"/>
  <c r="E124" i="8" a="1"/>
  <c r="E124" i="8" s="1"/>
  <c r="L124" i="8" a="1"/>
  <c r="L124" i="8" s="1"/>
  <c r="O124" i="8" a="1"/>
  <c r="O124" i="8" s="1"/>
  <c r="N124" i="8" a="1"/>
  <c r="N124" i="8" s="1"/>
  <c r="K124" i="8" a="1"/>
  <c r="K124" i="8" s="1"/>
  <c r="J124" i="8" a="1"/>
  <c r="J124" i="8" s="1"/>
  <c r="G124" i="8" a="1"/>
  <c r="G124" i="8" s="1"/>
  <c r="F124" i="8" a="1"/>
  <c r="F124" i="8" s="1"/>
  <c r="H149" i="8" a="1"/>
  <c r="H149" i="8" s="1"/>
  <c r="L149" i="8" a="1"/>
  <c r="L149" i="8" s="1"/>
  <c r="K149" i="8" a="1"/>
  <c r="K149" i="8" s="1"/>
  <c r="J149" i="8" a="1"/>
  <c r="J149" i="8" s="1"/>
  <c r="O149" i="8" a="1"/>
  <c r="O149" i="8" s="1"/>
  <c r="N149" i="8" a="1"/>
  <c r="N149" i="8" s="1"/>
  <c r="E149" i="8" a="1"/>
  <c r="E149" i="8" s="1"/>
  <c r="M149" i="8" a="1"/>
  <c r="M149" i="8" s="1"/>
  <c r="I149" i="8" a="1"/>
  <c r="I149" i="8" s="1"/>
  <c r="G149" i="8" a="1"/>
  <c r="G149" i="8" s="1"/>
  <c r="F149" i="8" a="1"/>
  <c r="F149" i="8" s="1"/>
  <c r="I188" i="8" a="1"/>
  <c r="I188" i="8" s="1"/>
  <c r="H188" i="8" a="1"/>
  <c r="H188" i="8" s="1"/>
  <c r="O188" i="8" a="1"/>
  <c r="O188" i="8" s="1"/>
  <c r="G188" i="8" a="1"/>
  <c r="G188" i="8" s="1"/>
  <c r="N188" i="8" a="1"/>
  <c r="N188" i="8" s="1"/>
  <c r="F188" i="8" a="1"/>
  <c r="F188" i="8" s="1"/>
  <c r="M188" i="8" a="1"/>
  <c r="M188" i="8" s="1"/>
  <c r="E188" i="8" a="1"/>
  <c r="E188" i="8" s="1"/>
  <c r="L188" i="8" a="1"/>
  <c r="L188" i="8" s="1"/>
  <c r="K188" i="8" a="1"/>
  <c r="K188" i="8" s="1"/>
  <c r="J188" i="8" a="1"/>
  <c r="J188" i="8" s="1"/>
  <c r="J5" i="8" a="1"/>
  <c r="J5" i="8" s="1"/>
  <c r="I8" i="8" a="1"/>
  <c r="I8" i="8" s="1"/>
  <c r="H8" i="8" a="1"/>
  <c r="H8" i="8" s="1"/>
  <c r="O8" i="8" a="1"/>
  <c r="O8" i="8" s="1"/>
  <c r="G8" i="8" a="1"/>
  <c r="G8" i="8" s="1"/>
  <c r="N8" i="8" a="1"/>
  <c r="N8" i="8" s="1"/>
  <c r="F8" i="8" a="1"/>
  <c r="F8" i="8" s="1"/>
  <c r="M8" i="8" a="1"/>
  <c r="M8" i="8" s="1"/>
  <c r="E8" i="8" a="1"/>
  <c r="E8" i="8" s="1"/>
  <c r="L8" i="8" a="1"/>
  <c r="L8" i="8" s="1"/>
  <c r="K8" i="8" a="1"/>
  <c r="K8" i="8" s="1"/>
  <c r="H11" i="8" a="1"/>
  <c r="H11" i="8" s="1"/>
  <c r="J11" i="8" a="1"/>
  <c r="J11" i="8" s="1"/>
  <c r="O11" i="8" a="1"/>
  <c r="O11" i="8" s="1"/>
  <c r="G11" i="8" a="1"/>
  <c r="G11" i="8" s="1"/>
  <c r="N11" i="8" a="1"/>
  <c r="N11" i="8" s="1"/>
  <c r="F11" i="8" a="1"/>
  <c r="F11" i="8" s="1"/>
  <c r="M11" i="8" a="1"/>
  <c r="M11" i="8" s="1"/>
  <c r="E11" i="8" a="1"/>
  <c r="E11" i="8" s="1"/>
  <c r="L11" i="8" a="1"/>
  <c r="L11" i="8" s="1"/>
  <c r="K11" i="8" a="1"/>
  <c r="K11" i="8" s="1"/>
  <c r="O36" i="8" a="1"/>
  <c r="O36" i="8" s="1"/>
  <c r="G36" i="8" a="1"/>
  <c r="G36" i="8" s="1"/>
  <c r="N36" i="8" a="1"/>
  <c r="N36" i="8" s="1"/>
  <c r="F36" i="8" a="1"/>
  <c r="F36" i="8" s="1"/>
  <c r="M36" i="8" a="1"/>
  <c r="M36" i="8" s="1"/>
  <c r="E36" i="8" a="1"/>
  <c r="E36" i="8" s="1"/>
  <c r="L36" i="8" a="1"/>
  <c r="L36" i="8" s="1"/>
  <c r="K36" i="8" a="1"/>
  <c r="K36" i="8" s="1"/>
  <c r="J36" i="8" a="1"/>
  <c r="J36" i="8" s="1"/>
  <c r="I36" i="8" a="1"/>
  <c r="I36" i="8" s="1"/>
  <c r="G42" i="8" a="1"/>
  <c r="G42" i="8" s="1"/>
  <c r="N45" i="8" a="1"/>
  <c r="N45" i="8" s="1"/>
  <c r="N71" i="8" a="1"/>
  <c r="N71" i="8" s="1"/>
  <c r="F71" i="8" a="1"/>
  <c r="F71" i="8" s="1"/>
  <c r="M71" i="8" a="1"/>
  <c r="M71" i="8" s="1"/>
  <c r="E71" i="8" a="1"/>
  <c r="E71" i="8" s="1"/>
  <c r="H71" i="8" a="1"/>
  <c r="H71" i="8" s="1"/>
  <c r="L71" i="8" a="1"/>
  <c r="L71" i="8" s="1"/>
  <c r="K71" i="8" a="1"/>
  <c r="K71" i="8" s="1"/>
  <c r="J71" i="8" a="1"/>
  <c r="J71" i="8" s="1"/>
  <c r="I71" i="8" a="1"/>
  <c r="I71" i="8" s="1"/>
  <c r="O84" i="8" a="1"/>
  <c r="O84" i="8" s="1"/>
  <c r="G84" i="8" a="1"/>
  <c r="G84" i="8" s="1"/>
  <c r="N84" i="8" a="1"/>
  <c r="N84" i="8" s="1"/>
  <c r="F84" i="8" a="1"/>
  <c r="F84" i="8" s="1"/>
  <c r="M84" i="8" a="1"/>
  <c r="M84" i="8" s="1"/>
  <c r="E84" i="8" a="1"/>
  <c r="E84" i="8" s="1"/>
  <c r="L84" i="8" a="1"/>
  <c r="L84" i="8" s="1"/>
  <c r="K84" i="8" a="1"/>
  <c r="K84" i="8" s="1"/>
  <c r="J84" i="8" a="1"/>
  <c r="J84" i="8" s="1"/>
  <c r="I84" i="8" a="1"/>
  <c r="I84" i="8" s="1"/>
  <c r="N93" i="8" a="1"/>
  <c r="N93" i="8" s="1"/>
  <c r="I104" i="8" a="1"/>
  <c r="I104" i="8" s="1"/>
  <c r="H104" i="8" a="1"/>
  <c r="H104" i="8" s="1"/>
  <c r="O104" i="8" a="1"/>
  <c r="O104" i="8" s="1"/>
  <c r="G104" i="8" a="1"/>
  <c r="G104" i="8" s="1"/>
  <c r="N104" i="8" a="1"/>
  <c r="N104" i="8" s="1"/>
  <c r="F104" i="8" a="1"/>
  <c r="F104" i="8" s="1"/>
  <c r="M104" i="8" a="1"/>
  <c r="M104" i="8" s="1"/>
  <c r="E104" i="8" a="1"/>
  <c r="E104" i="8" s="1"/>
  <c r="L104" i="8" a="1"/>
  <c r="L104" i="8" s="1"/>
  <c r="K104" i="8" a="1"/>
  <c r="K104" i="8" s="1"/>
  <c r="O136" i="8" a="1"/>
  <c r="O136" i="8" s="1"/>
  <c r="G136" i="8" a="1"/>
  <c r="G136" i="8" s="1"/>
  <c r="N136" i="8" a="1"/>
  <c r="N136" i="8" s="1"/>
  <c r="F136" i="8" a="1"/>
  <c r="F136" i="8" s="1"/>
  <c r="L136" i="8" a="1"/>
  <c r="L136" i="8" s="1"/>
  <c r="K136" i="8" a="1"/>
  <c r="K136" i="8" s="1"/>
  <c r="J136" i="8" a="1"/>
  <c r="J136" i="8" s="1"/>
  <c r="M136" i="8" a="1"/>
  <c r="M136" i="8" s="1"/>
  <c r="I136" i="8" a="1"/>
  <c r="I136" i="8" s="1"/>
  <c r="H136" i="8" a="1"/>
  <c r="H136" i="8" s="1"/>
  <c r="E136" i="8" a="1"/>
  <c r="E136" i="8" s="1"/>
  <c r="Q163" i="8"/>
  <c r="O52" i="8" a="1"/>
  <c r="O52" i="8" s="1"/>
  <c r="G52" i="8" a="1"/>
  <c r="G52" i="8" s="1"/>
  <c r="N52" i="8" a="1"/>
  <c r="N52" i="8" s="1"/>
  <c r="F52" i="8" a="1"/>
  <c r="F52" i="8" s="1"/>
  <c r="M52" i="8" a="1"/>
  <c r="M52" i="8" s="1"/>
  <c r="E52" i="8" a="1"/>
  <c r="E52" i="8" s="1"/>
  <c r="L52" i="8" a="1"/>
  <c r="L52" i="8" s="1"/>
  <c r="K52" i="8" a="1"/>
  <c r="K52" i="8" s="1"/>
  <c r="J52" i="8" a="1"/>
  <c r="J52" i="8" s="1"/>
  <c r="I52" i="8" a="1"/>
  <c r="I52" i="8" s="1"/>
  <c r="I172" i="8" a="1"/>
  <c r="I172" i="8" s="1"/>
  <c r="H172" i="8" a="1"/>
  <c r="H172" i="8" s="1"/>
  <c r="N172" i="8" a="1"/>
  <c r="N172" i="8" s="1"/>
  <c r="F172" i="8" a="1"/>
  <c r="F172" i="8" s="1"/>
  <c r="M172" i="8" a="1"/>
  <c r="M172" i="8" s="1"/>
  <c r="E172" i="8" a="1"/>
  <c r="E172" i="8" s="1"/>
  <c r="L172" i="8" a="1"/>
  <c r="L172" i="8" s="1"/>
  <c r="O172" i="8" a="1"/>
  <c r="O172" i="8" s="1"/>
  <c r="K172" i="8" a="1"/>
  <c r="K172" i="8" s="1"/>
  <c r="J172" i="8" a="1"/>
  <c r="J172" i="8" s="1"/>
  <c r="G172" i="8" a="1"/>
  <c r="G172" i="8" s="1"/>
  <c r="J252" i="8" a="1"/>
  <c r="J252" i="8" s="1"/>
  <c r="I252" i="8" a="1"/>
  <c r="I252" i="8" s="1"/>
  <c r="H252" i="8" a="1"/>
  <c r="H252" i="8" s="1"/>
  <c r="O252" i="8" a="1"/>
  <c r="O252" i="8" s="1"/>
  <c r="G252" i="8" a="1"/>
  <c r="G252" i="8" s="1"/>
  <c r="N252" i="8" a="1"/>
  <c r="N252" i="8" s="1"/>
  <c r="F252" i="8" a="1"/>
  <c r="F252" i="8" s="1"/>
  <c r="M252" i="8" a="1"/>
  <c r="M252" i="8" s="1"/>
  <c r="E252" i="8" a="1"/>
  <c r="E252" i="8" s="1"/>
  <c r="L252" i="8" a="1"/>
  <c r="L252" i="8" s="1"/>
  <c r="K252" i="8" a="1"/>
  <c r="K252" i="8" s="1"/>
  <c r="I11" i="8" a="1"/>
  <c r="I11" i="8" s="1"/>
  <c r="M22" i="8" a="1"/>
  <c r="M22" i="8" s="1"/>
  <c r="Q29" i="8"/>
  <c r="O39" i="8" a="1"/>
  <c r="O39" i="8" s="1"/>
  <c r="N48" i="8" a="1"/>
  <c r="N48" i="8" s="1"/>
  <c r="Q60" i="8"/>
  <c r="Q74" i="8"/>
  <c r="M80" i="8" a="1"/>
  <c r="M80" i="8" s="1"/>
  <c r="E80" i="8" a="1"/>
  <c r="E80" i="8" s="1"/>
  <c r="L80" i="8" a="1"/>
  <c r="L80" i="8" s="1"/>
  <c r="K80" i="8" a="1"/>
  <c r="K80" i="8" s="1"/>
  <c r="J80" i="8" a="1"/>
  <c r="J80" i="8" s="1"/>
  <c r="I80" i="8" a="1"/>
  <c r="I80" i="8" s="1"/>
  <c r="H80" i="8" a="1"/>
  <c r="H80" i="8" s="1"/>
  <c r="O80" i="8" a="1"/>
  <c r="O80" i="8" s="1"/>
  <c r="G80" i="8" a="1"/>
  <c r="G80" i="8" s="1"/>
  <c r="K82" i="8" a="1"/>
  <c r="K82" i="8" s="1"/>
  <c r="O87" i="8" a="1"/>
  <c r="O87" i="8" s="1"/>
  <c r="N96" i="8" a="1"/>
  <c r="N96" i="8" s="1"/>
  <c r="Q127" i="8"/>
  <c r="H133" i="8" a="1"/>
  <c r="H133" i="8" s="1"/>
  <c r="L133" i="8" a="1"/>
  <c r="L133" i="8" s="1"/>
  <c r="K133" i="8" a="1"/>
  <c r="K133" i="8" s="1"/>
  <c r="J133" i="8" a="1"/>
  <c r="J133" i="8" s="1"/>
  <c r="G133" i="8" a="1"/>
  <c r="G133" i="8" s="1"/>
  <c r="F133" i="8" a="1"/>
  <c r="F133" i="8" s="1"/>
  <c r="E133" i="8" a="1"/>
  <c r="E133" i="8" s="1"/>
  <c r="O133" i="8" a="1"/>
  <c r="O133" i="8" s="1"/>
  <c r="N133" i="8" a="1"/>
  <c r="N133" i="8" s="1"/>
  <c r="M133" i="8" a="1"/>
  <c r="M133" i="8" s="1"/>
  <c r="Q182" i="8"/>
  <c r="N23" i="8" a="1"/>
  <c r="N23" i="8" s="1"/>
  <c r="F23" i="8" a="1"/>
  <c r="F23" i="8" s="1"/>
  <c r="M23" i="8" a="1"/>
  <c r="M23" i="8" s="1"/>
  <c r="E23" i="8" a="1"/>
  <c r="E23" i="8" s="1"/>
  <c r="L23" i="8" a="1"/>
  <c r="L23" i="8" s="1"/>
  <c r="K23" i="8" a="1"/>
  <c r="K23" i="8" s="1"/>
  <c r="H23" i="8" a="1"/>
  <c r="H23" i="8" s="1"/>
  <c r="J23" i="8" a="1"/>
  <c r="J23" i="8" s="1"/>
  <c r="I23" i="8" a="1"/>
  <c r="I23" i="8" s="1"/>
  <c r="M32" i="8" a="1"/>
  <c r="M32" i="8" s="1"/>
  <c r="E32" i="8" a="1"/>
  <c r="E32" i="8" s="1"/>
  <c r="L32" i="8" a="1"/>
  <c r="L32" i="8" s="1"/>
  <c r="K32" i="8" a="1"/>
  <c r="K32" i="8" s="1"/>
  <c r="J32" i="8" a="1"/>
  <c r="J32" i="8" s="1"/>
  <c r="I32" i="8" a="1"/>
  <c r="I32" i="8" s="1"/>
  <c r="H32" i="8" a="1"/>
  <c r="H32" i="8" s="1"/>
  <c r="O32" i="8" a="1"/>
  <c r="O32" i="8" s="1"/>
  <c r="G32" i="8" a="1"/>
  <c r="G32" i="8" s="1"/>
  <c r="L54" i="8" a="1"/>
  <c r="L54" i="8" s="1"/>
  <c r="K54" i="8" a="1"/>
  <c r="K54" i="8" s="1"/>
  <c r="J54" i="8" a="1"/>
  <c r="J54" i="8" s="1"/>
  <c r="I54" i="8" a="1"/>
  <c r="I54" i="8" s="1"/>
  <c r="H54" i="8" a="1"/>
  <c r="H54" i="8" s="1"/>
  <c r="O54" i="8" a="1"/>
  <c r="O54" i="8" s="1"/>
  <c r="G54" i="8" a="1"/>
  <c r="G54" i="8" s="1"/>
  <c r="N54" i="8" a="1"/>
  <c r="N54" i="8" s="1"/>
  <c r="F54" i="8" a="1"/>
  <c r="F54" i="8" s="1"/>
  <c r="J63" i="8" a="1"/>
  <c r="J63" i="8" s="1"/>
  <c r="I63" i="8" a="1"/>
  <c r="I63" i="8" s="1"/>
  <c r="H63" i="8" a="1"/>
  <c r="H63" i="8" s="1"/>
  <c r="O63" i="8" a="1"/>
  <c r="O63" i="8" s="1"/>
  <c r="G63" i="8" a="1"/>
  <c r="G63" i="8" s="1"/>
  <c r="N63" i="8" a="1"/>
  <c r="N63" i="8" s="1"/>
  <c r="F63" i="8" a="1"/>
  <c r="F63" i="8" s="1"/>
  <c r="M63" i="8" a="1"/>
  <c r="M63" i="8" s="1"/>
  <c r="E63" i="8" a="1"/>
  <c r="E63" i="8" s="1"/>
  <c r="L63" i="8" a="1"/>
  <c r="L63" i="8" s="1"/>
  <c r="O65" i="8" a="1"/>
  <c r="O65" i="8" s="1"/>
  <c r="G65" i="8" a="1"/>
  <c r="G65" i="8" s="1"/>
  <c r="I65" i="8" a="1"/>
  <c r="I65" i="8" s="1"/>
  <c r="N65" i="8" a="1"/>
  <c r="N65" i="8" s="1"/>
  <c r="F65" i="8" a="1"/>
  <c r="F65" i="8" s="1"/>
  <c r="M65" i="8" a="1"/>
  <c r="M65" i="8" s="1"/>
  <c r="E65" i="8" a="1"/>
  <c r="E65" i="8" s="1"/>
  <c r="L65" i="8" a="1"/>
  <c r="L65" i="8" s="1"/>
  <c r="K65" i="8" a="1"/>
  <c r="K65" i="8" s="1"/>
  <c r="J65" i="8" a="1"/>
  <c r="J65" i="8" s="1"/>
  <c r="L122" i="8" a="1"/>
  <c r="L122" i="8" s="1"/>
  <c r="K122" i="8" a="1"/>
  <c r="K122" i="8" s="1"/>
  <c r="H122" i="8" a="1"/>
  <c r="H122" i="8" s="1"/>
  <c r="O122" i="8" a="1"/>
  <c r="O122" i="8" s="1"/>
  <c r="G122" i="8" a="1"/>
  <c r="G122" i="8" s="1"/>
  <c r="N122" i="8" a="1"/>
  <c r="N122" i="8" s="1"/>
  <c r="M122" i="8" a="1"/>
  <c r="M122" i="8" s="1"/>
  <c r="J122" i="8" a="1"/>
  <c r="J122" i="8" s="1"/>
  <c r="I122" i="8" a="1"/>
  <c r="I122" i="8" s="1"/>
  <c r="F122" i="8" a="1"/>
  <c r="F122" i="8" s="1"/>
  <c r="E122" i="8" a="1"/>
  <c r="E122" i="8" s="1"/>
  <c r="O155" i="8" a="1"/>
  <c r="O155" i="8" s="1"/>
  <c r="G155" i="8" a="1"/>
  <c r="G155" i="8" s="1"/>
  <c r="K155" i="8" a="1"/>
  <c r="K155" i="8" s="1"/>
  <c r="J155" i="8" a="1"/>
  <c r="J155" i="8" s="1"/>
  <c r="I155" i="8" a="1"/>
  <c r="I155" i="8" s="1"/>
  <c r="N155" i="8" a="1"/>
  <c r="N155" i="8" s="1"/>
  <c r="M155" i="8" a="1"/>
  <c r="M155" i="8" s="1"/>
  <c r="L155" i="8" a="1"/>
  <c r="L155" i="8" s="1"/>
  <c r="E155" i="8" a="1"/>
  <c r="E155" i="8" s="1"/>
  <c r="H155" i="8" a="1"/>
  <c r="H155" i="8" s="1"/>
  <c r="F155" i="8" a="1"/>
  <c r="F155" i="8" s="1"/>
  <c r="J236" i="8" a="1"/>
  <c r="J236" i="8" s="1"/>
  <c r="I236" i="8" a="1"/>
  <c r="I236" i="8" s="1"/>
  <c r="H236" i="8" a="1"/>
  <c r="H236" i="8" s="1"/>
  <c r="O236" i="8" a="1"/>
  <c r="O236" i="8" s="1"/>
  <c r="G236" i="8" a="1"/>
  <c r="G236" i="8" s="1"/>
  <c r="N236" i="8" a="1"/>
  <c r="N236" i="8" s="1"/>
  <c r="F236" i="8" a="1"/>
  <c r="F236" i="8" s="1"/>
  <c r="M236" i="8" a="1"/>
  <c r="M236" i="8" s="1"/>
  <c r="E236" i="8" a="1"/>
  <c r="E236" i="8" s="1"/>
  <c r="L236" i="8" a="1"/>
  <c r="L236" i="8" s="1"/>
  <c r="K236" i="8" a="1"/>
  <c r="K236" i="8" s="1"/>
  <c r="Q12" i="8"/>
  <c r="H14" i="8" a="1"/>
  <c r="H14" i="8" s="1"/>
  <c r="O14" i="8" a="1"/>
  <c r="O14" i="8" s="1"/>
  <c r="G14" i="8" a="1"/>
  <c r="G14" i="8" s="1"/>
  <c r="N14" i="8" a="1"/>
  <c r="N14" i="8" s="1"/>
  <c r="F14" i="8" a="1"/>
  <c r="F14" i="8" s="1"/>
  <c r="M14" i="8" a="1"/>
  <c r="M14" i="8" s="1"/>
  <c r="E14" i="8" a="1"/>
  <c r="E14" i="8" s="1"/>
  <c r="L14" i="8" a="1"/>
  <c r="L14" i="8" s="1"/>
  <c r="K14" i="8" a="1"/>
  <c r="K14" i="8" s="1"/>
  <c r="J14" i="8" a="1"/>
  <c r="J14" i="8" s="1"/>
  <c r="N26" i="8" a="1"/>
  <c r="N26" i="8" s="1"/>
  <c r="F26" i="8" a="1"/>
  <c r="F26" i="8" s="1"/>
  <c r="M26" i="8" a="1"/>
  <c r="M26" i="8" s="1"/>
  <c r="E26" i="8" a="1"/>
  <c r="E26" i="8" s="1"/>
  <c r="L26" i="8" a="1"/>
  <c r="L26" i="8" s="1"/>
  <c r="K26" i="8" a="1"/>
  <c r="K26" i="8" s="1"/>
  <c r="J26" i="8" a="1"/>
  <c r="J26" i="8" s="1"/>
  <c r="I26" i="8" a="1"/>
  <c r="I26" i="8" s="1"/>
  <c r="H26" i="8" a="1"/>
  <c r="H26" i="8" s="1"/>
  <c r="I37" i="8" a="1"/>
  <c r="I37" i="8" s="1"/>
  <c r="H37" i="8" a="1"/>
  <c r="H37" i="8" s="1"/>
  <c r="O37" i="8" a="1"/>
  <c r="O37" i="8" s="1"/>
  <c r="G37" i="8" a="1"/>
  <c r="G37" i="8" s="1"/>
  <c r="N37" i="8" a="1"/>
  <c r="N37" i="8" s="1"/>
  <c r="F37" i="8" a="1"/>
  <c r="F37" i="8" s="1"/>
  <c r="K37" i="8" a="1"/>
  <c r="K37" i="8" s="1"/>
  <c r="M37" i="8" a="1"/>
  <c r="M37" i="8" s="1"/>
  <c r="E37" i="8" a="1"/>
  <c r="E37" i="8" s="1"/>
  <c r="L37" i="8" a="1"/>
  <c r="L37" i="8" s="1"/>
  <c r="Q43" i="8"/>
  <c r="E54" i="8" a="1"/>
  <c r="E54" i="8" s="1"/>
  <c r="Q66" i="8"/>
  <c r="G71" i="8" a="1"/>
  <c r="G71" i="8" s="1"/>
  <c r="Q83" i="8"/>
  <c r="I85" i="8" a="1"/>
  <c r="I85" i="8" s="1"/>
  <c r="K85" i="8" a="1"/>
  <c r="K85" i="8" s="1"/>
  <c r="H85" i="8" a="1"/>
  <c r="H85" i="8" s="1"/>
  <c r="O85" i="8" a="1"/>
  <c r="O85" i="8" s="1"/>
  <c r="G85" i="8" a="1"/>
  <c r="G85" i="8" s="1"/>
  <c r="N85" i="8" a="1"/>
  <c r="N85" i="8" s="1"/>
  <c r="F85" i="8" a="1"/>
  <c r="F85" i="8" s="1"/>
  <c r="M85" i="8" a="1"/>
  <c r="M85" i="8" s="1"/>
  <c r="E85" i="8" a="1"/>
  <c r="E85" i="8" s="1"/>
  <c r="L85" i="8" a="1"/>
  <c r="L85" i="8" s="1"/>
  <c r="H91" i="8" a="1"/>
  <c r="H91" i="8" s="1"/>
  <c r="J91" i="8" a="1"/>
  <c r="J91" i="8" s="1"/>
  <c r="O91" i="8" a="1"/>
  <c r="O91" i="8" s="1"/>
  <c r="G91" i="8" a="1"/>
  <c r="G91" i="8" s="1"/>
  <c r="N91" i="8" a="1"/>
  <c r="N91" i="8" s="1"/>
  <c r="F91" i="8" a="1"/>
  <c r="F91" i="8" s="1"/>
  <c r="M91" i="8" a="1"/>
  <c r="M91" i="8" s="1"/>
  <c r="E91" i="8" a="1"/>
  <c r="E91" i="8" s="1"/>
  <c r="L91" i="8" a="1"/>
  <c r="L91" i="8" s="1"/>
  <c r="K91" i="8" a="1"/>
  <c r="K91" i="8" s="1"/>
  <c r="I108" i="8" a="1"/>
  <c r="I108" i="8" s="1"/>
  <c r="M108" i="8" a="1"/>
  <c r="M108" i="8" s="1"/>
  <c r="E108" i="8" a="1"/>
  <c r="E108" i="8" s="1"/>
  <c r="N108" i="8" a="1"/>
  <c r="N108" i="8" s="1"/>
  <c r="L108" i="8" a="1"/>
  <c r="L108" i="8" s="1"/>
  <c r="K108" i="8" a="1"/>
  <c r="K108" i="8" s="1"/>
  <c r="J108" i="8" a="1"/>
  <c r="J108" i="8" s="1"/>
  <c r="H108" i="8" a="1"/>
  <c r="H108" i="8" s="1"/>
  <c r="G108" i="8" a="1"/>
  <c r="G108" i="8" s="1"/>
  <c r="F108" i="8" a="1"/>
  <c r="F108" i="8" s="1"/>
  <c r="L117" i="8" a="1"/>
  <c r="L117" i="8" s="1"/>
  <c r="K117" i="8" a="1"/>
  <c r="K117" i="8" s="1"/>
  <c r="J117" i="8" a="1"/>
  <c r="J117" i="8" s="1"/>
  <c r="O117" i="8" a="1"/>
  <c r="O117" i="8" s="1"/>
  <c r="N117" i="8" a="1"/>
  <c r="N117" i="8" s="1"/>
  <c r="M117" i="8" a="1"/>
  <c r="M117" i="8" s="1"/>
  <c r="I117" i="8" a="1"/>
  <c r="I117" i="8" s="1"/>
  <c r="H117" i="8" a="1"/>
  <c r="H117" i="8" s="1"/>
  <c r="G117" i="8" a="1"/>
  <c r="G117" i="8" s="1"/>
  <c r="F117" i="8" a="1"/>
  <c r="F117" i="8" s="1"/>
  <c r="Q183" i="8"/>
  <c r="N280" i="8" a="1"/>
  <c r="N280" i="8" s="1"/>
  <c r="F280" i="8" a="1"/>
  <c r="F280" i="8" s="1"/>
  <c r="K280" i="8" a="1"/>
  <c r="K280" i="8" s="1"/>
  <c r="H280" i="8" a="1"/>
  <c r="H280" i="8" s="1"/>
  <c r="M280" i="8" a="1"/>
  <c r="M280" i="8" s="1"/>
  <c r="L280" i="8" a="1"/>
  <c r="L280" i="8" s="1"/>
  <c r="J280" i="8" a="1"/>
  <c r="J280" i="8" s="1"/>
  <c r="I280" i="8" a="1"/>
  <c r="I280" i="8" s="1"/>
  <c r="G280" i="8" a="1"/>
  <c r="G280" i="8" s="1"/>
  <c r="O280" i="8" a="1"/>
  <c r="O280" i="8" s="1"/>
  <c r="E280" i="8" a="1"/>
  <c r="E280" i="8" s="1"/>
  <c r="E41" i="8" a="1"/>
  <c r="E41" i="8" s="1"/>
  <c r="K41" i="8" a="1"/>
  <c r="K41" i="8" s="1"/>
  <c r="M41" i="8" a="1"/>
  <c r="M41" i="8" s="1"/>
  <c r="J41" i="8" a="1"/>
  <c r="J41" i="8" s="1"/>
  <c r="I41" i="8" a="1"/>
  <c r="I41" i="8" s="1"/>
  <c r="H41" i="8" a="1"/>
  <c r="H41" i="8" s="1"/>
  <c r="O41" i="8" a="1"/>
  <c r="O41" i="8" s="1"/>
  <c r="G41" i="8" a="1"/>
  <c r="G41" i="8" s="1"/>
  <c r="N41" i="8" a="1"/>
  <c r="N41" i="8" s="1"/>
  <c r="F41" i="8" a="1"/>
  <c r="F41" i="8" s="1"/>
  <c r="M3" i="8" a="1"/>
  <c r="M3" i="8" s="1"/>
  <c r="L6" i="8" a="1"/>
  <c r="L6" i="8" s="1"/>
  <c r="K6" i="8" a="1"/>
  <c r="K6" i="8" s="1"/>
  <c r="J6" i="8" a="1"/>
  <c r="J6" i="8" s="1"/>
  <c r="I6" i="8" a="1"/>
  <c r="I6" i="8" s="1"/>
  <c r="H6" i="8" a="1"/>
  <c r="H6" i="8" s="1"/>
  <c r="O6" i="8" a="1"/>
  <c r="O6" i="8" s="1"/>
  <c r="G6" i="8" a="1"/>
  <c r="G6" i="8" s="1"/>
  <c r="N6" i="8" a="1"/>
  <c r="N6" i="8" s="1"/>
  <c r="F6" i="8" a="1"/>
  <c r="F6" i="8" s="1"/>
  <c r="J15" i="8" a="1"/>
  <c r="J15" i="8" s="1"/>
  <c r="L15" i="8" a="1"/>
  <c r="L15" i="8" s="1"/>
  <c r="I15" i="8" a="1"/>
  <c r="I15" i="8" s="1"/>
  <c r="H15" i="8" a="1"/>
  <c r="H15" i="8" s="1"/>
  <c r="O15" i="8" a="1"/>
  <c r="O15" i="8" s="1"/>
  <c r="G15" i="8" a="1"/>
  <c r="G15" i="8" s="1"/>
  <c r="N15" i="8" a="1"/>
  <c r="N15" i="8" s="1"/>
  <c r="F15" i="8" a="1"/>
  <c r="F15" i="8" s="1"/>
  <c r="M15" i="8" a="1"/>
  <c r="M15" i="8" s="1"/>
  <c r="E15" i="8" a="1"/>
  <c r="E15" i="8" s="1"/>
  <c r="I40" i="8" a="1"/>
  <c r="I40" i="8" s="1"/>
  <c r="H40" i="8" a="1"/>
  <c r="H40" i="8" s="1"/>
  <c r="O40" i="8" a="1"/>
  <c r="O40" i="8" s="1"/>
  <c r="G40" i="8" a="1"/>
  <c r="G40" i="8" s="1"/>
  <c r="N40" i="8" a="1"/>
  <c r="N40" i="8" s="1"/>
  <c r="F40" i="8" a="1"/>
  <c r="F40" i="8" s="1"/>
  <c r="M40" i="8" a="1"/>
  <c r="M40" i="8" s="1"/>
  <c r="E40" i="8" a="1"/>
  <c r="E40" i="8" s="1"/>
  <c r="L40" i="8" a="1"/>
  <c r="L40" i="8" s="1"/>
  <c r="K40" i="8" a="1"/>
  <c r="K40" i="8" s="1"/>
  <c r="K63" i="8" a="1"/>
  <c r="K63" i="8" s="1"/>
  <c r="N77" i="8" a="1"/>
  <c r="N77" i="8" s="1"/>
  <c r="J85" i="8" a="1"/>
  <c r="J85" i="8" s="1"/>
  <c r="Q88" i="8"/>
  <c r="M99" i="8" a="1"/>
  <c r="M99" i="8" s="1"/>
  <c r="L102" i="8" a="1"/>
  <c r="L102" i="8" s="1"/>
  <c r="K102" i="8" a="1"/>
  <c r="K102" i="8" s="1"/>
  <c r="J102" i="8" a="1"/>
  <c r="J102" i="8" s="1"/>
  <c r="I102" i="8" a="1"/>
  <c r="I102" i="8" s="1"/>
  <c r="H102" i="8" a="1"/>
  <c r="H102" i="8" s="1"/>
  <c r="O102" i="8" a="1"/>
  <c r="O102" i="8" s="1"/>
  <c r="G102" i="8" a="1"/>
  <c r="G102" i="8" s="1"/>
  <c r="N102" i="8" a="1"/>
  <c r="N102" i="8" s="1"/>
  <c r="F102" i="8" a="1"/>
  <c r="F102" i="8" s="1"/>
  <c r="E117" i="8" a="1"/>
  <c r="E117" i="8" s="1"/>
  <c r="O203" i="8" a="1"/>
  <c r="O203" i="8" s="1"/>
  <c r="G203" i="8" a="1"/>
  <c r="G203" i="8" s="1"/>
  <c r="L203" i="8" a="1"/>
  <c r="L203" i="8" s="1"/>
  <c r="K203" i="8" a="1"/>
  <c r="K203" i="8" s="1"/>
  <c r="J203" i="8" a="1"/>
  <c r="J203" i="8" s="1"/>
  <c r="I203" i="8" a="1"/>
  <c r="I203" i="8" s="1"/>
  <c r="F203" i="8" a="1"/>
  <c r="F203" i="8" s="1"/>
  <c r="H203" i="8" a="1"/>
  <c r="H203" i="8" s="1"/>
  <c r="N203" i="8" a="1"/>
  <c r="N203" i="8" s="1"/>
  <c r="M203" i="8" a="1"/>
  <c r="M203" i="8" s="1"/>
  <c r="E6" i="8" a="1"/>
  <c r="E6" i="8" s="1"/>
  <c r="Q18" i="8"/>
  <c r="G23" i="8" a="1"/>
  <c r="G23" i="8" s="1"/>
  <c r="F32" i="8" a="1"/>
  <c r="F32" i="8" s="1"/>
  <c r="M54" i="8" a="1"/>
  <c r="M54" i="8" s="1"/>
  <c r="Q61" i="8"/>
  <c r="I91" i="8" a="1"/>
  <c r="I91" i="8" s="1"/>
  <c r="O108" i="8" a="1"/>
  <c r="O108" i="8" s="1"/>
  <c r="Q112" i="8"/>
  <c r="H114" i="8" a="1"/>
  <c r="H114" i="8" s="1"/>
  <c r="O114" i="8" a="1"/>
  <c r="O114" i="8" s="1"/>
  <c r="L114" i="8" a="1"/>
  <c r="L114" i="8" s="1"/>
  <c r="F114" i="8" a="1"/>
  <c r="F114" i="8" s="1"/>
  <c r="E114" i="8" a="1"/>
  <c r="E114" i="8" s="1"/>
  <c r="N114" i="8" a="1"/>
  <c r="N114" i="8" s="1"/>
  <c r="M114" i="8" a="1"/>
  <c r="M114" i="8" s="1"/>
  <c r="K114" i="8" a="1"/>
  <c r="K114" i="8" s="1"/>
  <c r="J114" i="8" a="1"/>
  <c r="J114" i="8" s="1"/>
  <c r="I114" i="8" a="1"/>
  <c r="I114" i="8" s="1"/>
  <c r="Q118" i="8"/>
  <c r="K128" i="8" a="1"/>
  <c r="K128" i="8" s="1"/>
  <c r="J128" i="8" a="1"/>
  <c r="J128" i="8" s="1"/>
  <c r="O128" i="8" a="1"/>
  <c r="O128" i="8" s="1"/>
  <c r="G128" i="8" a="1"/>
  <c r="G128" i="8" s="1"/>
  <c r="N128" i="8" a="1"/>
  <c r="N128" i="8" s="1"/>
  <c r="F128" i="8" a="1"/>
  <c r="F128" i="8" s="1"/>
  <c r="M128" i="8" a="1"/>
  <c r="M128" i="8" s="1"/>
  <c r="L128" i="8" a="1"/>
  <c r="L128" i="8" s="1"/>
  <c r="I128" i="8" a="1"/>
  <c r="I128" i="8" s="1"/>
  <c r="H128" i="8" a="1"/>
  <c r="H128" i="8" s="1"/>
  <c r="E128" i="8" a="1"/>
  <c r="E128" i="8" s="1"/>
  <c r="K147" i="8" a="1"/>
  <c r="K147" i="8" s="1"/>
  <c r="O147" i="8" a="1"/>
  <c r="O147" i="8" s="1"/>
  <c r="G147" i="8" a="1"/>
  <c r="G147" i="8" s="1"/>
  <c r="N147" i="8" a="1"/>
  <c r="N147" i="8" s="1"/>
  <c r="F147" i="8" a="1"/>
  <c r="F147" i="8" s="1"/>
  <c r="M147" i="8" a="1"/>
  <c r="M147" i="8" s="1"/>
  <c r="E147" i="8" a="1"/>
  <c r="E147" i="8" s="1"/>
  <c r="L147" i="8" a="1"/>
  <c r="L147" i="8" s="1"/>
  <c r="J147" i="8" a="1"/>
  <c r="J147" i="8" s="1"/>
  <c r="I147" i="8" a="1"/>
  <c r="I147" i="8" s="1"/>
  <c r="H147" i="8" a="1"/>
  <c r="H147" i="8" s="1"/>
  <c r="I156" i="8" a="1"/>
  <c r="I156" i="8" s="1"/>
  <c r="H156" i="8" a="1"/>
  <c r="H156" i="8" s="1"/>
  <c r="N156" i="8" a="1"/>
  <c r="N156" i="8" s="1"/>
  <c r="F156" i="8" a="1"/>
  <c r="F156" i="8" s="1"/>
  <c r="M156" i="8" a="1"/>
  <c r="M156" i="8" s="1"/>
  <c r="E156" i="8" a="1"/>
  <c r="E156" i="8" s="1"/>
  <c r="L156" i="8" a="1"/>
  <c r="L156" i="8" s="1"/>
  <c r="O156" i="8" a="1"/>
  <c r="O156" i="8" s="1"/>
  <c r="K156" i="8" a="1"/>
  <c r="K156" i="8" s="1"/>
  <c r="G156" i="8" a="1"/>
  <c r="G156" i="8" s="1"/>
  <c r="J156" i="8" a="1"/>
  <c r="J156" i="8" s="1"/>
  <c r="O168" i="8" a="1"/>
  <c r="O168" i="8" s="1"/>
  <c r="G168" i="8" a="1"/>
  <c r="G168" i="8" s="1"/>
  <c r="N168" i="8" a="1"/>
  <c r="N168" i="8" s="1"/>
  <c r="F168" i="8" a="1"/>
  <c r="F168" i="8" s="1"/>
  <c r="L168" i="8" a="1"/>
  <c r="L168" i="8" s="1"/>
  <c r="K168" i="8" a="1"/>
  <c r="K168" i="8" s="1"/>
  <c r="J168" i="8" a="1"/>
  <c r="J168" i="8" s="1"/>
  <c r="H168" i="8" a="1"/>
  <c r="H168" i="8" s="1"/>
  <c r="E168" i="8" a="1"/>
  <c r="E168" i="8" s="1"/>
  <c r="I168" i="8" a="1"/>
  <c r="I168" i="8" s="1"/>
  <c r="M168" i="8" a="1"/>
  <c r="M168" i="8" s="1"/>
  <c r="Q227" i="8"/>
  <c r="K15" i="8" a="1"/>
  <c r="K15" i="8" s="1"/>
  <c r="O20" i="8" a="1"/>
  <c r="O20" i="8" s="1"/>
  <c r="G20" i="8" a="1"/>
  <c r="G20" i="8" s="1"/>
  <c r="N20" i="8" a="1"/>
  <c r="N20" i="8" s="1"/>
  <c r="F20" i="8" a="1"/>
  <c r="F20" i="8" s="1"/>
  <c r="M20" i="8" a="1"/>
  <c r="M20" i="8" s="1"/>
  <c r="E20" i="8" a="1"/>
  <c r="E20" i="8" s="1"/>
  <c r="L20" i="8" a="1"/>
  <c r="L20" i="8" s="1"/>
  <c r="K20" i="8" a="1"/>
  <c r="K20" i="8" s="1"/>
  <c r="J20" i="8" a="1"/>
  <c r="J20" i="8" s="1"/>
  <c r="I20" i="8" a="1"/>
  <c r="I20" i="8" s="1"/>
  <c r="G26" i="8" a="1"/>
  <c r="G26" i="8" s="1"/>
  <c r="N55" i="8" a="1"/>
  <c r="N55" i="8" s="1"/>
  <c r="F55" i="8" a="1"/>
  <c r="F55" i="8" s="1"/>
  <c r="M55" i="8" a="1"/>
  <c r="M55" i="8" s="1"/>
  <c r="E55" i="8" a="1"/>
  <c r="E55" i="8" s="1"/>
  <c r="H55" i="8" a="1"/>
  <c r="H55" i="8" s="1"/>
  <c r="L55" i="8" a="1"/>
  <c r="L55" i="8" s="1"/>
  <c r="K55" i="8" a="1"/>
  <c r="K55" i="8" s="1"/>
  <c r="J55" i="8" a="1"/>
  <c r="J55" i="8" s="1"/>
  <c r="I55" i="8" a="1"/>
  <c r="I55" i="8" s="1"/>
  <c r="Q64" i="8"/>
  <c r="N105" i="8" a="1"/>
  <c r="N105" i="8" s="1"/>
  <c r="F105" i="8" a="1"/>
  <c r="F105" i="8" s="1"/>
  <c r="L105" i="8" a="1"/>
  <c r="L105" i="8" s="1"/>
  <c r="E105" i="8" a="1"/>
  <c r="E105" i="8" s="1"/>
  <c r="K105" i="8" a="1"/>
  <c r="K105" i="8" s="1"/>
  <c r="O105" i="8" a="1"/>
  <c r="O105" i="8" s="1"/>
  <c r="J105" i="8" a="1"/>
  <c r="J105" i="8" s="1"/>
  <c r="I105" i="8" a="1"/>
  <c r="I105" i="8" s="1"/>
  <c r="H105" i="8" a="1"/>
  <c r="H105" i="8" s="1"/>
  <c r="G105" i="8" a="1"/>
  <c r="G105" i="8" s="1"/>
  <c r="K131" i="8" a="1"/>
  <c r="K131" i="8" s="1"/>
  <c r="O131" i="8" a="1"/>
  <c r="O131" i="8" s="1"/>
  <c r="G131" i="8" a="1"/>
  <c r="G131" i="8" s="1"/>
  <c r="N131" i="8" a="1"/>
  <c r="N131" i="8" s="1"/>
  <c r="F131" i="8" a="1"/>
  <c r="F131" i="8" s="1"/>
  <c r="M131" i="8" a="1"/>
  <c r="M131" i="8" s="1"/>
  <c r="E131" i="8" a="1"/>
  <c r="E131" i="8" s="1"/>
  <c r="I131" i="8" a="1"/>
  <c r="I131" i="8" s="1"/>
  <c r="L131" i="8" a="1"/>
  <c r="L131" i="8" s="1"/>
  <c r="J131" i="8" a="1"/>
  <c r="J131" i="8" s="1"/>
  <c r="M6" i="8" a="1"/>
  <c r="M6" i="8" s="1"/>
  <c r="Q13" i="8"/>
  <c r="O23" i="8" a="1"/>
  <c r="O23" i="8" s="1"/>
  <c r="N32" i="8" a="1"/>
  <c r="N32" i="8" s="1"/>
  <c r="K44" i="8" a="1"/>
  <c r="K44" i="8" s="1"/>
  <c r="J44" i="8" a="1"/>
  <c r="J44" i="8" s="1"/>
  <c r="I44" i="8" a="1"/>
  <c r="I44" i="8" s="1"/>
  <c r="H44" i="8" a="1"/>
  <c r="H44" i="8" s="1"/>
  <c r="O44" i="8" a="1"/>
  <c r="O44" i="8" s="1"/>
  <c r="G44" i="8" a="1"/>
  <c r="G44" i="8" s="1"/>
  <c r="N44" i="8" a="1"/>
  <c r="N44" i="8" s="1"/>
  <c r="F44" i="8" a="1"/>
  <c r="F44" i="8" s="1"/>
  <c r="M44" i="8" a="1"/>
  <c r="M44" i="8" s="1"/>
  <c r="E44" i="8" a="1"/>
  <c r="E44" i="8" s="1"/>
  <c r="H46" i="8" a="1"/>
  <c r="H46" i="8" s="1"/>
  <c r="O46" i="8" a="1"/>
  <c r="O46" i="8" s="1"/>
  <c r="G46" i="8" a="1"/>
  <c r="G46" i="8" s="1"/>
  <c r="N46" i="8" a="1"/>
  <c r="N46" i="8" s="1"/>
  <c r="F46" i="8" a="1"/>
  <c r="F46" i="8" s="1"/>
  <c r="M46" i="8" a="1"/>
  <c r="M46" i="8" s="1"/>
  <c r="E46" i="8" a="1"/>
  <c r="E46" i="8" s="1"/>
  <c r="L46" i="8" a="1"/>
  <c r="L46" i="8" s="1"/>
  <c r="K46" i="8" a="1"/>
  <c r="K46" i="8" s="1"/>
  <c r="J46" i="8" a="1"/>
  <c r="J46" i="8" s="1"/>
  <c r="N58" i="8" a="1"/>
  <c r="N58" i="8" s="1"/>
  <c r="F58" i="8" a="1"/>
  <c r="F58" i="8" s="1"/>
  <c r="M58" i="8" a="1"/>
  <c r="M58" i="8" s="1"/>
  <c r="E58" i="8" a="1"/>
  <c r="E58" i="8" s="1"/>
  <c r="L58" i="8" a="1"/>
  <c r="L58" i="8" s="1"/>
  <c r="K58" i="8" a="1"/>
  <c r="K58" i="8" s="1"/>
  <c r="J58" i="8" a="1"/>
  <c r="J58" i="8" s="1"/>
  <c r="I58" i="8" a="1"/>
  <c r="I58" i="8" s="1"/>
  <c r="H58" i="8" a="1"/>
  <c r="H58" i="8" s="1"/>
  <c r="Q67" i="8"/>
  <c r="I69" i="8" a="1"/>
  <c r="I69" i="8" s="1"/>
  <c r="H69" i="8" a="1"/>
  <c r="H69" i="8" s="1"/>
  <c r="K69" i="8" a="1"/>
  <c r="K69" i="8" s="1"/>
  <c r="O69" i="8" a="1"/>
  <c r="O69" i="8" s="1"/>
  <c r="G69" i="8" a="1"/>
  <c r="G69" i="8" s="1"/>
  <c r="N69" i="8" a="1"/>
  <c r="N69" i="8" s="1"/>
  <c r="F69" i="8" a="1"/>
  <c r="F69" i="8" s="1"/>
  <c r="M69" i="8" a="1"/>
  <c r="M69" i="8" s="1"/>
  <c r="E69" i="8" a="1"/>
  <c r="E69" i="8" s="1"/>
  <c r="L69" i="8" a="1"/>
  <c r="L69" i="8" s="1"/>
  <c r="H75" i="8" a="1"/>
  <c r="H75" i="8" s="1"/>
  <c r="J75" i="8" a="1"/>
  <c r="J75" i="8" s="1"/>
  <c r="O75" i="8" a="1"/>
  <c r="O75" i="8" s="1"/>
  <c r="G75" i="8" a="1"/>
  <c r="G75" i="8" s="1"/>
  <c r="N75" i="8" a="1"/>
  <c r="N75" i="8" s="1"/>
  <c r="F75" i="8" a="1"/>
  <c r="F75" i="8" s="1"/>
  <c r="M75" i="8" a="1"/>
  <c r="M75" i="8" s="1"/>
  <c r="E75" i="8" a="1"/>
  <c r="E75" i="8" s="1"/>
  <c r="L75" i="8" a="1"/>
  <c r="L75" i="8" s="1"/>
  <c r="K75" i="8" a="1"/>
  <c r="K75" i="8" s="1"/>
  <c r="K92" i="8" a="1"/>
  <c r="K92" i="8" s="1"/>
  <c r="J92" i="8" a="1"/>
  <c r="J92" i="8" s="1"/>
  <c r="I92" i="8" a="1"/>
  <c r="I92" i="8" s="1"/>
  <c r="H92" i="8" a="1"/>
  <c r="H92" i="8" s="1"/>
  <c r="O92" i="8" a="1"/>
  <c r="O92" i="8" s="1"/>
  <c r="G92" i="8" a="1"/>
  <c r="G92" i="8" s="1"/>
  <c r="N92" i="8" a="1"/>
  <c r="N92" i="8" s="1"/>
  <c r="F92" i="8" a="1"/>
  <c r="F92" i="8" s="1"/>
  <c r="M92" i="8" a="1"/>
  <c r="M92" i="8" s="1"/>
  <c r="E92" i="8" a="1"/>
  <c r="E92" i="8" s="1"/>
  <c r="H94" i="8" a="1"/>
  <c r="H94" i="8" s="1"/>
  <c r="O94" i="8" a="1"/>
  <c r="O94" i="8" s="1"/>
  <c r="G94" i="8" a="1"/>
  <c r="G94" i="8" s="1"/>
  <c r="N94" i="8" a="1"/>
  <c r="N94" i="8" s="1"/>
  <c r="F94" i="8" a="1"/>
  <c r="F94" i="8" s="1"/>
  <c r="M94" i="8" a="1"/>
  <c r="M94" i="8" s="1"/>
  <c r="E94" i="8" a="1"/>
  <c r="E94" i="8" s="1"/>
  <c r="L94" i="8" a="1"/>
  <c r="L94" i="8" s="1"/>
  <c r="K94" i="8" a="1"/>
  <c r="K94" i="8" s="1"/>
  <c r="J94" i="8" a="1"/>
  <c r="J94" i="8" s="1"/>
  <c r="H109" i="8" a="1"/>
  <c r="H109" i="8" s="1"/>
  <c r="N109" i="8" a="1"/>
  <c r="N109" i="8" s="1"/>
  <c r="F109" i="8" a="1"/>
  <c r="F109" i="8" s="1"/>
  <c r="J109" i="8" a="1"/>
  <c r="J109" i="8" s="1"/>
  <c r="I109" i="8" a="1"/>
  <c r="I109" i="8" s="1"/>
  <c r="G109" i="8" a="1"/>
  <c r="G109" i="8" s="1"/>
  <c r="E109" i="8" a="1"/>
  <c r="E109" i="8" s="1"/>
  <c r="O109" i="8" a="1"/>
  <c r="O109" i="8" s="1"/>
  <c r="M109" i="8" a="1"/>
  <c r="M109" i="8" s="1"/>
  <c r="L109" i="8" a="1"/>
  <c r="L109" i="8" s="1"/>
  <c r="H131" i="8" a="1"/>
  <c r="H131" i="8" s="1"/>
  <c r="O152" i="8" a="1"/>
  <c r="O152" i="8" s="1"/>
  <c r="G152" i="8" a="1"/>
  <c r="G152" i="8" s="1"/>
  <c r="N152" i="8" a="1"/>
  <c r="N152" i="8" s="1"/>
  <c r="F152" i="8" a="1"/>
  <c r="F152" i="8" s="1"/>
  <c r="L152" i="8" a="1"/>
  <c r="L152" i="8" s="1"/>
  <c r="K152" i="8" a="1"/>
  <c r="K152" i="8" s="1"/>
  <c r="J152" i="8" a="1"/>
  <c r="J152" i="8" s="1"/>
  <c r="I152" i="8" a="1"/>
  <c r="I152" i="8" s="1"/>
  <c r="H152" i="8" a="1"/>
  <c r="H152" i="8" s="1"/>
  <c r="E152" i="8" a="1"/>
  <c r="E152" i="8" s="1"/>
  <c r="O171" i="8" a="1"/>
  <c r="O171" i="8" s="1"/>
  <c r="G171" i="8" a="1"/>
  <c r="G171" i="8" s="1"/>
  <c r="K171" i="8" a="1"/>
  <c r="K171" i="8" s="1"/>
  <c r="J171" i="8" a="1"/>
  <c r="J171" i="8" s="1"/>
  <c r="I171" i="8" a="1"/>
  <c r="I171" i="8" s="1"/>
  <c r="N171" i="8" a="1"/>
  <c r="N171" i="8" s="1"/>
  <c r="M171" i="8" a="1"/>
  <c r="M171" i="8" s="1"/>
  <c r="L171" i="8" a="1"/>
  <c r="L171" i="8" s="1"/>
  <c r="H171" i="8" a="1"/>
  <c r="H171" i="8" s="1"/>
  <c r="F171" i="8" a="1"/>
  <c r="F171" i="8" s="1"/>
  <c r="E171" i="8" a="1"/>
  <c r="E171" i="8" s="1"/>
  <c r="O251" i="8" a="1"/>
  <c r="O251" i="8" s="1"/>
  <c r="G251" i="8" a="1"/>
  <c r="G251" i="8" s="1"/>
  <c r="M251" i="8" a="1"/>
  <c r="M251" i="8" s="1"/>
  <c r="E251" i="8" a="1"/>
  <c r="E251" i="8" s="1"/>
  <c r="L251" i="8" a="1"/>
  <c r="L251" i="8" s="1"/>
  <c r="K251" i="8" a="1"/>
  <c r="K251" i="8" s="1"/>
  <c r="J251" i="8" a="1"/>
  <c r="J251" i="8" s="1"/>
  <c r="I251" i="8" a="1"/>
  <c r="I251" i="8" s="1"/>
  <c r="N251" i="8" a="1"/>
  <c r="N251" i="8" s="1"/>
  <c r="H251" i="8" a="1"/>
  <c r="H251" i="8" s="1"/>
  <c r="F251" i="8" a="1"/>
  <c r="F251" i="8" s="1"/>
  <c r="N7" i="8" a="1"/>
  <c r="N7" i="8" s="1"/>
  <c r="F7" i="8" a="1"/>
  <c r="F7" i="8" s="1"/>
  <c r="H7" i="8" a="1"/>
  <c r="H7" i="8" s="1"/>
  <c r="M7" i="8" a="1"/>
  <c r="M7" i="8" s="1"/>
  <c r="E7" i="8" a="1"/>
  <c r="E7" i="8" s="1"/>
  <c r="L7" i="8" a="1"/>
  <c r="L7" i="8" s="1"/>
  <c r="K7" i="8" a="1"/>
  <c r="K7" i="8" s="1"/>
  <c r="J7" i="8" a="1"/>
  <c r="J7" i="8" s="1"/>
  <c r="I7" i="8" a="1"/>
  <c r="I7" i="8" s="1"/>
  <c r="Q16" i="8"/>
  <c r="L38" i="8" a="1"/>
  <c r="L38" i="8" s="1"/>
  <c r="K38" i="8" a="1"/>
  <c r="K38" i="8" s="1"/>
  <c r="J38" i="8" a="1"/>
  <c r="J38" i="8" s="1"/>
  <c r="I38" i="8" a="1"/>
  <c r="I38" i="8" s="1"/>
  <c r="H38" i="8" a="1"/>
  <c r="H38" i="8" s="1"/>
  <c r="O38" i="8" a="1"/>
  <c r="O38" i="8" s="1"/>
  <c r="G38" i="8" a="1"/>
  <c r="G38" i="8" s="1"/>
  <c r="N38" i="8" a="1"/>
  <c r="N38" i="8" s="1"/>
  <c r="F38" i="8" a="1"/>
  <c r="F38" i="8" s="1"/>
  <c r="Q47" i="8"/>
  <c r="H52" i="8" a="1"/>
  <c r="H52" i="8" s="1"/>
  <c r="J69" i="8" a="1"/>
  <c r="J69" i="8" s="1"/>
  <c r="Q72" i="8"/>
  <c r="L86" i="8" a="1"/>
  <c r="L86" i="8" s="1"/>
  <c r="K86" i="8" a="1"/>
  <c r="K86" i="8" s="1"/>
  <c r="J86" i="8" a="1"/>
  <c r="J86" i="8" s="1"/>
  <c r="I86" i="8" a="1"/>
  <c r="I86" i="8" s="1"/>
  <c r="H86" i="8" a="1"/>
  <c r="H86" i="8" s="1"/>
  <c r="O86" i="8" a="1"/>
  <c r="O86" i="8" s="1"/>
  <c r="G86" i="8" a="1"/>
  <c r="G86" i="8" s="1"/>
  <c r="N86" i="8" a="1"/>
  <c r="N86" i="8" s="1"/>
  <c r="F86" i="8" a="1"/>
  <c r="F86" i="8" s="1"/>
  <c r="Q95" i="8"/>
  <c r="N103" i="8" a="1"/>
  <c r="N103" i="8" s="1"/>
  <c r="F103" i="8" a="1"/>
  <c r="F103" i="8" s="1"/>
  <c r="M103" i="8" a="1"/>
  <c r="M103" i="8" s="1"/>
  <c r="E103" i="8" a="1"/>
  <c r="E103" i="8" s="1"/>
  <c r="L103" i="8" a="1"/>
  <c r="L103" i="8" s="1"/>
  <c r="K103" i="8" a="1"/>
  <c r="K103" i="8" s="1"/>
  <c r="H103" i="8" a="1"/>
  <c r="H103" i="8" s="1"/>
  <c r="J103" i="8" a="1"/>
  <c r="J103" i="8" s="1"/>
  <c r="I103" i="8" a="1"/>
  <c r="I103" i="8" s="1"/>
  <c r="Q115" i="8"/>
  <c r="M152" i="8" a="1"/>
  <c r="M152" i="8" s="1"/>
  <c r="O187" i="8" a="1"/>
  <c r="O187" i="8" s="1"/>
  <c r="G187" i="8" a="1"/>
  <c r="G187" i="8" s="1"/>
  <c r="K187" i="8" a="1"/>
  <c r="K187" i="8" s="1"/>
  <c r="J187" i="8" a="1"/>
  <c r="J187" i="8" s="1"/>
  <c r="I187" i="8" a="1"/>
  <c r="I187" i="8" s="1"/>
  <c r="N187" i="8" a="1"/>
  <c r="N187" i="8" s="1"/>
  <c r="M187" i="8" a="1"/>
  <c r="M187" i="8" s="1"/>
  <c r="L187" i="8" a="1"/>
  <c r="L187" i="8" s="1"/>
  <c r="H187" i="8" a="1"/>
  <c r="H187" i="8" s="1"/>
  <c r="F187" i="8" a="1"/>
  <c r="F187" i="8" s="1"/>
  <c r="E187" i="8" a="1"/>
  <c r="E187" i="8" s="1"/>
  <c r="J204" i="8" a="1"/>
  <c r="J204" i="8" s="1"/>
  <c r="I204" i="8" a="1"/>
  <c r="I204" i="8" s="1"/>
  <c r="H204" i="8" a="1"/>
  <c r="H204" i="8" s="1"/>
  <c r="O204" i="8" a="1"/>
  <c r="O204" i="8" s="1"/>
  <c r="G204" i="8" a="1"/>
  <c r="G204" i="8" s="1"/>
  <c r="N204" i="8" a="1"/>
  <c r="N204" i="8" s="1"/>
  <c r="F204" i="8" a="1"/>
  <c r="F204" i="8" s="1"/>
  <c r="M204" i="8" a="1"/>
  <c r="M204" i="8" s="1"/>
  <c r="E204" i="8" a="1"/>
  <c r="E204" i="8" s="1"/>
  <c r="L204" i="8" a="1"/>
  <c r="L204" i="8" s="1"/>
  <c r="K204" i="8" a="1"/>
  <c r="K204" i="8" s="1"/>
  <c r="O219" i="8" a="1"/>
  <c r="O219" i="8" s="1"/>
  <c r="G219" i="8" a="1"/>
  <c r="G219" i="8" s="1"/>
  <c r="M219" i="8" a="1"/>
  <c r="M219" i="8" s="1"/>
  <c r="E219" i="8" a="1"/>
  <c r="E219" i="8" s="1"/>
  <c r="L219" i="8" a="1"/>
  <c r="L219" i="8" s="1"/>
  <c r="K219" i="8" a="1"/>
  <c r="K219" i="8" s="1"/>
  <c r="J219" i="8" a="1"/>
  <c r="J219" i="8" s="1"/>
  <c r="I219" i="8" a="1"/>
  <c r="I219" i="8" s="1"/>
  <c r="N219" i="8" a="1"/>
  <c r="N219" i="8" s="1"/>
  <c r="H219" i="8" a="1"/>
  <c r="H219" i="8" s="1"/>
  <c r="F219" i="8" a="1"/>
  <c r="F219" i="8" s="1"/>
  <c r="F287" i="8" a="1"/>
  <c r="F287" i="8" s="1"/>
  <c r="I310" i="8" a="1"/>
  <c r="I310" i="8" s="1"/>
  <c r="N310" i="8" a="1"/>
  <c r="N310" i="8" s="1"/>
  <c r="F310" i="8" a="1"/>
  <c r="F310" i="8" s="1"/>
  <c r="K310" i="8" a="1"/>
  <c r="K310" i="8" s="1"/>
  <c r="L310" i="8" a="1"/>
  <c r="L310" i="8" s="1"/>
  <c r="J310" i="8" a="1"/>
  <c r="J310" i="8" s="1"/>
  <c r="H310" i="8" a="1"/>
  <c r="H310" i="8" s="1"/>
  <c r="G310" i="8" a="1"/>
  <c r="G310" i="8" s="1"/>
  <c r="E310" i="8" a="1"/>
  <c r="E310" i="8" s="1"/>
  <c r="O310" i="8" a="1"/>
  <c r="O310" i="8" s="1"/>
  <c r="Q143" i="8"/>
  <c r="H181" i="8" a="1"/>
  <c r="H181" i="8" s="1"/>
  <c r="L181" i="8" a="1"/>
  <c r="L181" i="8" s="1"/>
  <c r="K181" i="8" a="1"/>
  <c r="K181" i="8" s="1"/>
  <c r="J181" i="8" a="1"/>
  <c r="J181" i="8" s="1"/>
  <c r="L205" i="8" a="1"/>
  <c r="L205" i="8" s="1"/>
  <c r="I205" i="8" a="1"/>
  <c r="I205" i="8" s="1"/>
  <c r="H205" i="8" a="1"/>
  <c r="H205" i="8" s="1"/>
  <c r="O205" i="8" a="1"/>
  <c r="O205" i="8" s="1"/>
  <c r="G205" i="8" a="1"/>
  <c r="G205" i="8" s="1"/>
  <c r="N205" i="8" a="1"/>
  <c r="N205" i="8" s="1"/>
  <c r="F205" i="8" a="1"/>
  <c r="F205" i="8" s="1"/>
  <c r="J220" i="8" a="1"/>
  <c r="J220" i="8" s="1"/>
  <c r="I220" i="8" a="1"/>
  <c r="I220" i="8" s="1"/>
  <c r="H220" i="8" a="1"/>
  <c r="H220" i="8" s="1"/>
  <c r="O220" i="8" a="1"/>
  <c r="O220" i="8" s="1"/>
  <c r="G220" i="8" a="1"/>
  <c r="G220" i="8" s="1"/>
  <c r="N220" i="8" a="1"/>
  <c r="N220" i="8" s="1"/>
  <c r="F220" i="8" a="1"/>
  <c r="F220" i="8" s="1"/>
  <c r="M220" i="8" a="1"/>
  <c r="M220" i="8" s="1"/>
  <c r="E220" i="8" a="1"/>
  <c r="E220" i="8" s="1"/>
  <c r="L220" i="8" a="1"/>
  <c r="L220" i="8" s="1"/>
  <c r="G245" i="8" a="1"/>
  <c r="G245" i="8" s="1"/>
  <c r="E256" i="8" a="1"/>
  <c r="E256" i="8" s="1"/>
  <c r="I278" i="8" a="1"/>
  <c r="I278" i="8" s="1"/>
  <c r="N278" i="8" a="1"/>
  <c r="N278" i="8" s="1"/>
  <c r="F278" i="8" a="1"/>
  <c r="F278" i="8" s="1"/>
  <c r="K278" i="8" a="1"/>
  <c r="K278" i="8" s="1"/>
  <c r="J278" i="8" a="1"/>
  <c r="J278" i="8" s="1"/>
  <c r="H278" i="8" a="1"/>
  <c r="H278" i="8" s="1"/>
  <c r="G278" i="8" a="1"/>
  <c r="G278" i="8" s="1"/>
  <c r="E278" i="8" a="1"/>
  <c r="E278" i="8" s="1"/>
  <c r="O278" i="8" a="1"/>
  <c r="O278" i="8" s="1"/>
  <c r="M278" i="8" a="1"/>
  <c r="M278" i="8" s="1"/>
  <c r="K301" i="8" a="1"/>
  <c r="K301" i="8" s="1"/>
  <c r="H301" i="8" a="1"/>
  <c r="H301" i="8" s="1"/>
  <c r="L301" i="8" a="1"/>
  <c r="L301" i="8" s="1"/>
  <c r="M301" i="8" a="1"/>
  <c r="M301" i="8" s="1"/>
  <c r="J301" i="8" a="1"/>
  <c r="J301" i="8" s="1"/>
  <c r="I301" i="8" a="1"/>
  <c r="I301" i="8" s="1"/>
  <c r="G301" i="8" a="1"/>
  <c r="G301" i="8" s="1"/>
  <c r="F301" i="8" a="1"/>
  <c r="F301" i="8" s="1"/>
  <c r="E301" i="8" a="1"/>
  <c r="E301" i="8" s="1"/>
  <c r="O301" i="8" a="1"/>
  <c r="O301" i="8" s="1"/>
  <c r="L308" i="8" a="1"/>
  <c r="L308" i="8" s="1"/>
  <c r="I308" i="8" a="1"/>
  <c r="I308" i="8" s="1"/>
  <c r="N308" i="8" a="1"/>
  <c r="N308" i="8" s="1"/>
  <c r="F308" i="8" a="1"/>
  <c r="F308" i="8" s="1"/>
  <c r="O308" i="8" a="1"/>
  <c r="O308" i="8" s="1"/>
  <c r="M308" i="8" a="1"/>
  <c r="M308" i="8" s="1"/>
  <c r="K308" i="8" a="1"/>
  <c r="K308" i="8" s="1"/>
  <c r="J308" i="8" a="1"/>
  <c r="J308" i="8" s="1"/>
  <c r="H308" i="8" a="1"/>
  <c r="H308" i="8" s="1"/>
  <c r="G308" i="8" a="1"/>
  <c r="G308" i="8" s="1"/>
  <c r="E308" i="8" a="1"/>
  <c r="E308" i="8" s="1"/>
  <c r="L154" i="8" a="1"/>
  <c r="L154" i="8" s="1"/>
  <c r="K154" i="8" a="1"/>
  <c r="K154" i="8" s="1"/>
  <c r="I154" i="8" a="1"/>
  <c r="I154" i="8" s="1"/>
  <c r="H154" i="8" a="1"/>
  <c r="H154" i="8" s="1"/>
  <c r="O154" i="8" a="1"/>
  <c r="O154" i="8" s="1"/>
  <c r="G154" i="8" a="1"/>
  <c r="G154" i="8" s="1"/>
  <c r="N225" i="8" a="1"/>
  <c r="N225" i="8" s="1"/>
  <c r="F225" i="8" a="1"/>
  <c r="F225" i="8" s="1"/>
  <c r="L225" i="8" a="1"/>
  <c r="L225" i="8" s="1"/>
  <c r="K225" i="8" a="1"/>
  <c r="K225" i="8" s="1"/>
  <c r="J225" i="8" a="1"/>
  <c r="J225" i="8" s="1"/>
  <c r="I225" i="8" a="1"/>
  <c r="I225" i="8" s="1"/>
  <c r="H225" i="8" a="1"/>
  <c r="H225" i="8" s="1"/>
  <c r="M113" i="8" a="1"/>
  <c r="M113" i="8" s="1"/>
  <c r="K150" i="8" a="1"/>
  <c r="K150" i="8" s="1"/>
  <c r="J162" i="8" a="1"/>
  <c r="J162" i="8" s="1"/>
  <c r="E205" i="8" a="1"/>
  <c r="E205" i="8" s="1"/>
  <c r="Q207" i="8"/>
  <c r="Q209" i="8"/>
  <c r="K214" i="8" a="1"/>
  <c r="K214" i="8" s="1"/>
  <c r="J214" i="8" a="1"/>
  <c r="J214" i="8" s="1"/>
  <c r="I214" i="8" a="1"/>
  <c r="I214" i="8" s="1"/>
  <c r="H214" i="8" a="1"/>
  <c r="H214" i="8" s="1"/>
  <c r="O214" i="8" a="1"/>
  <c r="O214" i="8" s="1"/>
  <c r="G214" i="8" a="1"/>
  <c r="G214" i="8" s="1"/>
  <c r="N214" i="8" a="1"/>
  <c r="N214" i="8" s="1"/>
  <c r="F214" i="8" a="1"/>
  <c r="F214" i="8" s="1"/>
  <c r="M214" i="8" a="1"/>
  <c r="M214" i="8" s="1"/>
  <c r="E214" i="8" a="1"/>
  <c r="E214" i="8" s="1"/>
  <c r="E225" i="8" a="1"/>
  <c r="E225" i="8" s="1"/>
  <c r="N241" i="8" a="1"/>
  <c r="N241" i="8" s="1"/>
  <c r="F241" i="8" a="1"/>
  <c r="F241" i="8" s="1"/>
  <c r="L241" i="8" a="1"/>
  <c r="L241" i="8" s="1"/>
  <c r="K241" i="8" a="1"/>
  <c r="K241" i="8" s="1"/>
  <c r="J241" i="8" a="1"/>
  <c r="J241" i="8" s="1"/>
  <c r="I241" i="8" a="1"/>
  <c r="I241" i="8" s="1"/>
  <c r="H241" i="8" a="1"/>
  <c r="H241" i="8" s="1"/>
  <c r="I245" i="8" a="1"/>
  <c r="I245" i="8" s="1"/>
  <c r="M305" i="8" a="1"/>
  <c r="M305" i="8" s="1"/>
  <c r="E305" i="8" a="1"/>
  <c r="E305" i="8" s="1"/>
  <c r="J305" i="8" a="1"/>
  <c r="J305" i="8" s="1"/>
  <c r="N305" i="8" a="1"/>
  <c r="N305" i="8" s="1"/>
  <c r="F305" i="8" a="1"/>
  <c r="F305" i="8" s="1"/>
  <c r="H305" i="8" a="1"/>
  <c r="H305" i="8" s="1"/>
  <c r="G305" i="8" a="1"/>
  <c r="G305" i="8" s="1"/>
  <c r="O305" i="8" a="1"/>
  <c r="O305" i="8" s="1"/>
  <c r="L305" i="8" a="1"/>
  <c r="L305" i="8" s="1"/>
  <c r="K305" i="8" a="1"/>
  <c r="K305" i="8" s="1"/>
  <c r="M310" i="8" a="1"/>
  <c r="M310" i="8" s="1"/>
  <c r="N331" i="8" a="1"/>
  <c r="N331" i="8" s="1"/>
  <c r="F331" i="8" a="1"/>
  <c r="F331" i="8" s="1"/>
  <c r="M331" i="8" a="1"/>
  <c r="M331" i="8" s="1"/>
  <c r="E331" i="8" a="1"/>
  <c r="E331" i="8" s="1"/>
  <c r="L331" i="8" a="1"/>
  <c r="L331" i="8" s="1"/>
  <c r="K331" i="8" a="1"/>
  <c r="K331" i="8" s="1"/>
  <c r="I331" i="8" a="1"/>
  <c r="I331" i="8" s="1"/>
  <c r="O331" i="8" a="1"/>
  <c r="O331" i="8" s="1"/>
  <c r="G331" i="8" a="1"/>
  <c r="G331" i="8" s="1"/>
  <c r="J331" i="8" a="1"/>
  <c r="J331" i="8" s="1"/>
  <c r="H331" i="8" a="1"/>
  <c r="H331" i="8" s="1"/>
  <c r="L173" i="8" a="1"/>
  <c r="L173" i="8" s="1"/>
  <c r="H173" i="8" a="1"/>
  <c r="H173" i="8" s="1"/>
  <c r="O173" i="8" a="1"/>
  <c r="O173" i="8" s="1"/>
  <c r="G173" i="8" a="1"/>
  <c r="G173" i="8" s="1"/>
  <c r="N173" i="8" a="1"/>
  <c r="N173" i="8" s="1"/>
  <c r="F173" i="8" a="1"/>
  <c r="F173" i="8" s="1"/>
  <c r="N177" i="8" a="1"/>
  <c r="N177" i="8" s="1"/>
  <c r="F177" i="8" a="1"/>
  <c r="F177" i="8" s="1"/>
  <c r="J177" i="8" a="1"/>
  <c r="J177" i="8" s="1"/>
  <c r="I177" i="8" a="1"/>
  <c r="I177" i="8" s="1"/>
  <c r="H177" i="8" a="1"/>
  <c r="H177" i="8" s="1"/>
  <c r="N113" i="8" a="1"/>
  <c r="N113" i="8" s="1"/>
  <c r="N132" i="8" a="1"/>
  <c r="N132" i="8" s="1"/>
  <c r="G137" i="8" a="1"/>
  <c r="G137" i="8" s="1"/>
  <c r="Q142" i="8"/>
  <c r="Q153" i="8"/>
  <c r="E154" i="8" a="1"/>
  <c r="E154" i="8" s="1"/>
  <c r="M164" i="8" a="1"/>
  <c r="M164" i="8" s="1"/>
  <c r="E164" i="8" a="1"/>
  <c r="E164" i="8" s="1"/>
  <c r="L164" i="8" a="1"/>
  <c r="L164" i="8" s="1"/>
  <c r="J164" i="8" a="1"/>
  <c r="J164" i="8" s="1"/>
  <c r="I164" i="8" a="1"/>
  <c r="I164" i="8" s="1"/>
  <c r="H164" i="8" a="1"/>
  <c r="H164" i="8" s="1"/>
  <c r="L170" i="8" a="1"/>
  <c r="L170" i="8" s="1"/>
  <c r="K170" i="8" a="1"/>
  <c r="K170" i="8" s="1"/>
  <c r="I170" i="8" a="1"/>
  <c r="I170" i="8" s="1"/>
  <c r="H170" i="8" a="1"/>
  <c r="H170" i="8" s="1"/>
  <c r="O170" i="8" a="1"/>
  <c r="O170" i="8" s="1"/>
  <c r="G170" i="8" a="1"/>
  <c r="G170" i="8" s="1"/>
  <c r="L186" i="8" a="1"/>
  <c r="L186" i="8" s="1"/>
  <c r="K186" i="8" a="1"/>
  <c r="K186" i="8" s="1"/>
  <c r="J186" i="8" a="1"/>
  <c r="J186" i="8" s="1"/>
  <c r="I186" i="8" a="1"/>
  <c r="I186" i="8" s="1"/>
  <c r="H186" i="8" a="1"/>
  <c r="H186" i="8" s="1"/>
  <c r="O186" i="8" a="1"/>
  <c r="O186" i="8" s="1"/>
  <c r="G186" i="8" a="1"/>
  <c r="G186" i="8" s="1"/>
  <c r="Q190" i="8"/>
  <c r="H194" i="8" a="1"/>
  <c r="H194" i="8" s="1"/>
  <c r="O194" i="8" a="1"/>
  <c r="O194" i="8" s="1"/>
  <c r="G194" i="8" a="1"/>
  <c r="G194" i="8" s="1"/>
  <c r="N194" i="8" a="1"/>
  <c r="N194" i="8" s="1"/>
  <c r="F194" i="8" a="1"/>
  <c r="F194" i="8" s="1"/>
  <c r="M194" i="8" a="1"/>
  <c r="M194" i="8" s="1"/>
  <c r="E194" i="8" a="1"/>
  <c r="E194" i="8" s="1"/>
  <c r="L194" i="8" a="1"/>
  <c r="L194" i="8" s="1"/>
  <c r="K194" i="8" a="1"/>
  <c r="K194" i="8" s="1"/>
  <c r="M202" i="8" a="1"/>
  <c r="M202" i="8" s="1"/>
  <c r="E202" i="8" a="1"/>
  <c r="E202" i="8" s="1"/>
  <c r="L202" i="8" a="1"/>
  <c r="L202" i="8" s="1"/>
  <c r="K202" i="8" a="1"/>
  <c r="K202" i="8" s="1"/>
  <c r="J202" i="8" a="1"/>
  <c r="J202" i="8" s="1"/>
  <c r="I202" i="8" a="1"/>
  <c r="I202" i="8" s="1"/>
  <c r="H202" i="8" a="1"/>
  <c r="H202" i="8" s="1"/>
  <c r="O202" i="8" a="1"/>
  <c r="O202" i="8" s="1"/>
  <c r="G202" i="8" a="1"/>
  <c r="G202" i="8" s="1"/>
  <c r="Q211" i="8"/>
  <c r="Q215" i="8"/>
  <c r="Q223" i="8"/>
  <c r="G225" i="8" a="1"/>
  <c r="G225" i="8" s="1"/>
  <c r="K230" i="8" a="1"/>
  <c r="K230" i="8" s="1"/>
  <c r="J230" i="8" a="1"/>
  <c r="J230" i="8" s="1"/>
  <c r="I230" i="8" a="1"/>
  <c r="I230" i="8" s="1"/>
  <c r="H230" i="8" a="1"/>
  <c r="H230" i="8" s="1"/>
  <c r="O230" i="8" a="1"/>
  <c r="O230" i="8" s="1"/>
  <c r="G230" i="8" a="1"/>
  <c r="G230" i="8" s="1"/>
  <c r="N230" i="8" a="1"/>
  <c r="N230" i="8" s="1"/>
  <c r="F230" i="8" a="1"/>
  <c r="F230" i="8" s="1"/>
  <c r="M230" i="8" a="1"/>
  <c r="M230" i="8" s="1"/>
  <c r="E230" i="8" a="1"/>
  <c r="E230" i="8" s="1"/>
  <c r="F250" i="8" a="1"/>
  <c r="F250" i="8" s="1"/>
  <c r="K259" i="8" a="1"/>
  <c r="K259" i="8" s="1"/>
  <c r="I259" i="8" a="1"/>
  <c r="I259" i="8" s="1"/>
  <c r="H259" i="8" a="1"/>
  <c r="H259" i="8" s="1"/>
  <c r="O259" i="8" a="1"/>
  <c r="O259" i="8" s="1"/>
  <c r="G259" i="8" a="1"/>
  <c r="G259" i="8" s="1"/>
  <c r="N259" i="8" a="1"/>
  <c r="N259" i="8" s="1"/>
  <c r="F259" i="8" a="1"/>
  <c r="F259" i="8" s="1"/>
  <c r="M259" i="8" a="1"/>
  <c r="M259" i="8" s="1"/>
  <c r="E259" i="8" a="1"/>
  <c r="E259" i="8" s="1"/>
  <c r="L269" i="8" a="1"/>
  <c r="L269" i="8" s="1"/>
  <c r="K269" i="8" a="1"/>
  <c r="K269" i="8" s="1"/>
  <c r="J269" i="8" a="1"/>
  <c r="J269" i="8" s="1"/>
  <c r="I269" i="8" a="1"/>
  <c r="I269" i="8" s="1"/>
  <c r="H269" i="8" a="1"/>
  <c r="H269" i="8" s="1"/>
  <c r="O269" i="8" a="1"/>
  <c r="O269" i="8" s="1"/>
  <c r="G269" i="8" a="1"/>
  <c r="G269" i="8" s="1"/>
  <c r="N269" i="8" a="1"/>
  <c r="N269" i="8" s="1"/>
  <c r="F269" i="8" a="1"/>
  <c r="F269" i="8" s="1"/>
  <c r="L278" i="8" a="1"/>
  <c r="L278" i="8" s="1"/>
  <c r="J288" i="8" a="1"/>
  <c r="J288" i="8" s="1"/>
  <c r="O288" i="8" a="1"/>
  <c r="O288" i="8" s="1"/>
  <c r="G288" i="8" a="1"/>
  <c r="G288" i="8" s="1"/>
  <c r="L288" i="8" a="1"/>
  <c r="L288" i="8" s="1"/>
  <c r="K288" i="8" a="1"/>
  <c r="K288" i="8" s="1"/>
  <c r="I288" i="8" a="1"/>
  <c r="I288" i="8" s="1"/>
  <c r="H288" i="8" a="1"/>
  <c r="H288" i="8" s="1"/>
  <c r="F288" i="8" a="1"/>
  <c r="F288" i="8" s="1"/>
  <c r="E288" i="8" a="1"/>
  <c r="E288" i="8" s="1"/>
  <c r="N288" i="8" a="1"/>
  <c r="N288" i="8" s="1"/>
  <c r="N301" i="8" a="1"/>
  <c r="N301" i="8" s="1"/>
  <c r="M321" i="8" a="1"/>
  <c r="M321" i="8" s="1"/>
  <c r="E321" i="8" a="1"/>
  <c r="E321" i="8" s="1"/>
  <c r="K321" i="8" a="1"/>
  <c r="K321" i="8" s="1"/>
  <c r="J321" i="8" a="1"/>
  <c r="J321" i="8" s="1"/>
  <c r="H321" i="8" a="1"/>
  <c r="H321" i="8" s="1"/>
  <c r="N321" i="8" a="1"/>
  <c r="N321" i="8" s="1"/>
  <c r="F321" i="8" a="1"/>
  <c r="F321" i="8" s="1"/>
  <c r="I321" i="8" a="1"/>
  <c r="I321" i="8" s="1"/>
  <c r="G321" i="8" a="1"/>
  <c r="G321" i="8" s="1"/>
  <c r="O321" i="8" a="1"/>
  <c r="O321" i="8" s="1"/>
  <c r="M148" i="8" a="1"/>
  <c r="M148" i="8" s="1"/>
  <c r="E148" i="8" a="1"/>
  <c r="E148" i="8" s="1"/>
  <c r="L148" i="8" a="1"/>
  <c r="L148" i="8" s="1"/>
  <c r="J148" i="8" a="1"/>
  <c r="J148" i="8" s="1"/>
  <c r="I148" i="8" a="1"/>
  <c r="I148" i="8" s="1"/>
  <c r="H148" i="8" a="1"/>
  <c r="H148" i="8" s="1"/>
  <c r="E173" i="8" a="1"/>
  <c r="E173" i="8" s="1"/>
  <c r="Q191" i="8"/>
  <c r="K243" i="8" a="1"/>
  <c r="K243" i="8" s="1"/>
  <c r="I243" i="8" a="1"/>
  <c r="I243" i="8" s="1"/>
  <c r="H243" i="8" a="1"/>
  <c r="H243" i="8" s="1"/>
  <c r="O243" i="8" a="1"/>
  <c r="O243" i="8" s="1"/>
  <c r="G243" i="8" a="1"/>
  <c r="G243" i="8" s="1"/>
  <c r="N243" i="8" a="1"/>
  <c r="N243" i="8" s="1"/>
  <c r="F243" i="8" a="1"/>
  <c r="F243" i="8" s="1"/>
  <c r="M243" i="8" a="1"/>
  <c r="M243" i="8" s="1"/>
  <c r="E243" i="8" a="1"/>
  <c r="E243" i="8" s="1"/>
  <c r="Q106" i="8"/>
  <c r="M135" i="8" a="1"/>
  <c r="M135" i="8" s="1"/>
  <c r="E135" i="8" a="1"/>
  <c r="E135" i="8" s="1"/>
  <c r="I135" i="8" a="1"/>
  <c r="I135" i="8" s="1"/>
  <c r="H135" i="8" a="1"/>
  <c r="H135" i="8" s="1"/>
  <c r="O135" i="8" a="1"/>
  <c r="O135" i="8" s="1"/>
  <c r="G135" i="8" a="1"/>
  <c r="G135" i="8" s="1"/>
  <c r="Q159" i="8"/>
  <c r="J173" i="8" a="1"/>
  <c r="J173" i="8" s="1"/>
  <c r="G177" i="8" a="1"/>
  <c r="G177" i="8" s="1"/>
  <c r="L221" i="8" a="1"/>
  <c r="L221" i="8" s="1"/>
  <c r="J221" i="8" a="1"/>
  <c r="J221" i="8" s="1"/>
  <c r="I221" i="8" a="1"/>
  <c r="I221" i="8" s="1"/>
  <c r="H221" i="8" a="1"/>
  <c r="H221" i="8" s="1"/>
  <c r="O221" i="8" a="1"/>
  <c r="O221" i="8" s="1"/>
  <c r="G221" i="8" a="1"/>
  <c r="G221" i="8" s="1"/>
  <c r="N221" i="8" a="1"/>
  <c r="N221" i="8" s="1"/>
  <c r="F221" i="8" a="1"/>
  <c r="F221" i="8" s="1"/>
  <c r="Q228" i="8"/>
  <c r="E241" i="8" a="1"/>
  <c r="E241" i="8" s="1"/>
  <c r="L243" i="8" a="1"/>
  <c r="L243" i="8" s="1"/>
  <c r="E269" i="8" a="1"/>
  <c r="E269" i="8" s="1"/>
  <c r="L285" i="8" a="1"/>
  <c r="L285" i="8" s="1"/>
  <c r="J285" i="8" a="1"/>
  <c r="J285" i="8" s="1"/>
  <c r="I285" i="8" a="1"/>
  <c r="I285" i="8" s="1"/>
  <c r="H285" i="8" a="1"/>
  <c r="H285" i="8" s="1"/>
  <c r="G285" i="8" a="1"/>
  <c r="G285" i="8" s="1"/>
  <c r="F285" i="8" a="1"/>
  <c r="F285" i="8" s="1"/>
  <c r="O285" i="8" a="1"/>
  <c r="O285" i="8" s="1"/>
  <c r="E285" i="8" a="1"/>
  <c r="E285" i="8" s="1"/>
  <c r="N285" i="8" a="1"/>
  <c r="N285" i="8" s="1"/>
  <c r="M285" i="8" a="1"/>
  <c r="M285" i="8" s="1"/>
  <c r="Q298" i="8"/>
  <c r="Q302" i="8"/>
  <c r="J372" i="8" a="1"/>
  <c r="J372" i="8" s="1"/>
  <c r="N372" i="8" a="1"/>
  <c r="N372" i="8" s="1"/>
  <c r="F372" i="8" a="1"/>
  <c r="F372" i="8" s="1"/>
  <c r="M372" i="8" a="1"/>
  <c r="M372" i="8" s="1"/>
  <c r="L372" i="8" a="1"/>
  <c r="L372" i="8" s="1"/>
  <c r="K372" i="8" a="1"/>
  <c r="K372" i="8" s="1"/>
  <c r="I372" i="8" a="1"/>
  <c r="I372" i="8" s="1"/>
  <c r="H372" i="8" a="1"/>
  <c r="H372" i="8" s="1"/>
  <c r="G372" i="8" a="1"/>
  <c r="G372" i="8" s="1"/>
  <c r="O372" i="8" a="1"/>
  <c r="O372" i="8" s="1"/>
  <c r="E372" i="8" a="1"/>
  <c r="E372" i="8" s="1"/>
  <c r="I274" i="8" a="1"/>
  <c r="I274" i="8" s="1"/>
  <c r="H274" i="8" a="1"/>
  <c r="H274" i="8" s="1"/>
  <c r="O274" i="8" a="1"/>
  <c r="O274" i="8" s="1"/>
  <c r="G274" i="8" a="1"/>
  <c r="G274" i="8" s="1"/>
  <c r="N274" i="8" a="1"/>
  <c r="N274" i="8" s="1"/>
  <c r="F274" i="8" a="1"/>
  <c r="F274" i="8" s="1"/>
  <c r="M274" i="8" a="1"/>
  <c r="M274" i="8" s="1"/>
  <c r="E274" i="8" a="1"/>
  <c r="E274" i="8" s="1"/>
  <c r="L274" i="8" a="1"/>
  <c r="L274" i="8" s="1"/>
  <c r="K274" i="8" a="1"/>
  <c r="K274" i="8" s="1"/>
  <c r="H137" i="8" a="1"/>
  <c r="H137" i="8" s="1"/>
  <c r="G148" i="8" a="1"/>
  <c r="G148" i="8" s="1"/>
  <c r="F154" i="8" a="1"/>
  <c r="F154" i="8" s="1"/>
  <c r="K173" i="8" a="1"/>
  <c r="K173" i="8" s="1"/>
  <c r="K205" i="8" a="1"/>
  <c r="K205" i="8" s="1"/>
  <c r="H213" i="8" a="1"/>
  <c r="H213" i="8" s="1"/>
  <c r="M213" i="8" a="1"/>
  <c r="M213" i="8" s="1"/>
  <c r="E213" i="8" a="1"/>
  <c r="E213" i="8" s="1"/>
  <c r="L213" i="8" a="1"/>
  <c r="L213" i="8" s="1"/>
  <c r="K213" i="8" a="1"/>
  <c r="K213" i="8" s="1"/>
  <c r="J213" i="8" a="1"/>
  <c r="J213" i="8" s="1"/>
  <c r="H216" i="8" a="1"/>
  <c r="H216" i="8" s="1"/>
  <c r="O216" i="8" a="1"/>
  <c r="O216" i="8" s="1"/>
  <c r="G216" i="8" a="1"/>
  <c r="G216" i="8" s="1"/>
  <c r="N216" i="8" a="1"/>
  <c r="N216" i="8" s="1"/>
  <c r="F216" i="8" a="1"/>
  <c r="F216" i="8" s="1"/>
  <c r="M216" i="8" a="1"/>
  <c r="M216" i="8" s="1"/>
  <c r="E216" i="8" a="1"/>
  <c r="E216" i="8" s="1"/>
  <c r="L216" i="8" a="1"/>
  <c r="L216" i="8" s="1"/>
  <c r="K216" i="8" a="1"/>
  <c r="K216" i="8" s="1"/>
  <c r="J216" i="8" a="1"/>
  <c r="J216" i="8" s="1"/>
  <c r="E221" i="8" a="1"/>
  <c r="E221" i="8" s="1"/>
  <c r="M225" i="8" a="1"/>
  <c r="M225" i="8" s="1"/>
  <c r="Q239" i="8"/>
  <c r="G241" i="8" a="1"/>
  <c r="G241" i="8" s="1"/>
  <c r="Q246" i="8"/>
  <c r="L272" i="8" a="1"/>
  <c r="L272" i="8" s="1"/>
  <c r="K272" i="8" a="1"/>
  <c r="K272" i="8" s="1"/>
  <c r="J272" i="8" a="1"/>
  <c r="J272" i="8" s="1"/>
  <c r="I272" i="8" a="1"/>
  <c r="I272" i="8" s="1"/>
  <c r="H272" i="8" a="1"/>
  <c r="H272" i="8" s="1"/>
  <c r="O272" i="8" a="1"/>
  <c r="O272" i="8" s="1"/>
  <c r="G272" i="8" a="1"/>
  <c r="G272" i="8" s="1"/>
  <c r="N272" i="8" a="1"/>
  <c r="N272" i="8" s="1"/>
  <c r="F272" i="8" a="1"/>
  <c r="F272" i="8" s="1"/>
  <c r="L275" i="8" a="1"/>
  <c r="L275" i="8" s="1"/>
  <c r="K275" i="8" a="1"/>
  <c r="K275" i="8" s="1"/>
  <c r="J275" i="8" a="1"/>
  <c r="J275" i="8" s="1"/>
  <c r="I275" i="8" a="1"/>
  <c r="I275" i="8" s="1"/>
  <c r="H275" i="8" a="1"/>
  <c r="H275" i="8" s="1"/>
  <c r="G275" i="8" a="1"/>
  <c r="G275" i="8" s="1"/>
  <c r="O275" i="8" a="1"/>
  <c r="O275" i="8" s="1"/>
  <c r="F275" i="8" a="1"/>
  <c r="F275" i="8" s="1"/>
  <c r="N275" i="8" a="1"/>
  <c r="N275" i="8" s="1"/>
  <c r="E275" i="8" a="1"/>
  <c r="E275" i="8" s="1"/>
  <c r="M288" i="8" a="1"/>
  <c r="M288" i="8" s="1"/>
  <c r="L292" i="8" a="1"/>
  <c r="L292" i="8" s="1"/>
  <c r="I292" i="8" a="1"/>
  <c r="I292" i="8" s="1"/>
  <c r="N292" i="8" a="1"/>
  <c r="N292" i="8" s="1"/>
  <c r="F292" i="8" a="1"/>
  <c r="F292" i="8" s="1"/>
  <c r="K292" i="8" a="1"/>
  <c r="K292" i="8" s="1"/>
  <c r="J292" i="8" a="1"/>
  <c r="J292" i="8" s="1"/>
  <c r="H292" i="8" a="1"/>
  <c r="H292" i="8" s="1"/>
  <c r="G292" i="8" a="1"/>
  <c r="G292" i="8" s="1"/>
  <c r="E292" i="8" a="1"/>
  <c r="E292" i="8" s="1"/>
  <c r="O292" i="8" a="1"/>
  <c r="O292" i="8" s="1"/>
  <c r="I305" i="8" a="1"/>
  <c r="I305" i="8" s="1"/>
  <c r="Q343" i="8"/>
  <c r="I271" i="8" a="1"/>
  <c r="I271" i="8" s="1"/>
  <c r="H271" i="8" a="1"/>
  <c r="H271" i="8" s="1"/>
  <c r="O271" i="8" a="1"/>
  <c r="O271" i="8" s="1"/>
  <c r="G271" i="8" a="1"/>
  <c r="G271" i="8" s="1"/>
  <c r="N271" i="8" a="1"/>
  <c r="N271" i="8" s="1"/>
  <c r="F271" i="8" a="1"/>
  <c r="F271" i="8" s="1"/>
  <c r="M271" i="8" a="1"/>
  <c r="M271" i="8" s="1"/>
  <c r="E271" i="8" a="1"/>
  <c r="E271" i="8" s="1"/>
  <c r="L271" i="8" a="1"/>
  <c r="L271" i="8" s="1"/>
  <c r="K271" i="8" a="1"/>
  <c r="K271" i="8" s="1"/>
  <c r="L256" i="8" a="1"/>
  <c r="L256" i="8" s="1"/>
  <c r="K256" i="8" a="1"/>
  <c r="K256" i="8" s="1"/>
  <c r="J256" i="8" a="1"/>
  <c r="J256" i="8" s="1"/>
  <c r="I256" i="8" a="1"/>
  <c r="I256" i="8" s="1"/>
  <c r="H256" i="8" a="1"/>
  <c r="H256" i="8" s="1"/>
  <c r="O256" i="8" a="1"/>
  <c r="O256" i="8" s="1"/>
  <c r="G256" i="8" a="1"/>
  <c r="G256" i="8" s="1"/>
  <c r="N256" i="8" a="1"/>
  <c r="N256" i="8" s="1"/>
  <c r="F256" i="8" a="1"/>
  <c r="F256" i="8" s="1"/>
  <c r="Q158" i="8"/>
  <c r="F164" i="8" a="1"/>
  <c r="F164" i="8" s="1"/>
  <c r="J169" i="8" a="1"/>
  <c r="J169" i="8" s="1"/>
  <c r="N169" i="8" a="1"/>
  <c r="N169" i="8" s="1"/>
  <c r="F169" i="8" a="1"/>
  <c r="F169" i="8" s="1"/>
  <c r="M169" i="8" a="1"/>
  <c r="M169" i="8" s="1"/>
  <c r="E169" i="8" a="1"/>
  <c r="E169" i="8" s="1"/>
  <c r="L169" i="8" a="1"/>
  <c r="L169" i="8" s="1"/>
  <c r="E170" i="8" a="1"/>
  <c r="E170" i="8" s="1"/>
  <c r="K177" i="8" a="1"/>
  <c r="K177" i="8" s="1"/>
  <c r="Q180" i="8"/>
  <c r="E186" i="8" a="1"/>
  <c r="E186" i="8" s="1"/>
  <c r="Q193" i="8"/>
  <c r="Q199" i="8"/>
  <c r="Q217" i="8"/>
  <c r="O225" i="8" a="1"/>
  <c r="O225" i="8" s="1"/>
  <c r="L237" i="8" a="1"/>
  <c r="L237" i="8" s="1"/>
  <c r="J237" i="8" a="1"/>
  <c r="J237" i="8" s="1"/>
  <c r="I237" i="8" a="1"/>
  <c r="I237" i="8" s="1"/>
  <c r="H237" i="8" a="1"/>
  <c r="H237" i="8" s="1"/>
  <c r="O237" i="8" a="1"/>
  <c r="O237" i="8" s="1"/>
  <c r="G237" i="8" a="1"/>
  <c r="G237" i="8" s="1"/>
  <c r="N237" i="8" a="1"/>
  <c r="N237" i="8" s="1"/>
  <c r="F237" i="8" a="1"/>
  <c r="F237" i="8" s="1"/>
  <c r="Q244" i="8"/>
  <c r="J259" i="8" a="1"/>
  <c r="J259" i="8" s="1"/>
  <c r="M269" i="8" a="1"/>
  <c r="M269" i="8" s="1"/>
  <c r="E272" i="8" a="1"/>
  <c r="E272" i="8" s="1"/>
  <c r="N289" i="8" a="1"/>
  <c r="N289" i="8" s="1"/>
  <c r="F289" i="8" a="1"/>
  <c r="F289" i="8" s="1"/>
  <c r="H289" i="8" a="1"/>
  <c r="H289" i="8" s="1"/>
  <c r="G289" i="8" a="1"/>
  <c r="G289" i="8" s="1"/>
  <c r="E289" i="8" a="1"/>
  <c r="E289" i="8" s="1"/>
  <c r="O289" i="8" a="1"/>
  <c r="O289" i="8" s="1"/>
  <c r="M289" i="8" a="1"/>
  <c r="M289" i="8" s="1"/>
  <c r="L289" i="8" a="1"/>
  <c r="L289" i="8" s="1"/>
  <c r="K289" i="8" a="1"/>
  <c r="K289" i="8" s="1"/>
  <c r="J339" i="8" a="1"/>
  <c r="J339" i="8" s="1"/>
  <c r="I339" i="8" a="1"/>
  <c r="I339" i="8" s="1"/>
  <c r="H339" i="8" a="1"/>
  <c r="H339" i="8" s="1"/>
  <c r="O339" i="8" a="1"/>
  <c r="O339" i="8" s="1"/>
  <c r="G339" i="8" a="1"/>
  <c r="G339" i="8" s="1"/>
  <c r="M339" i="8" a="1"/>
  <c r="M339" i="8" s="1"/>
  <c r="E339" i="8" a="1"/>
  <c r="E339" i="8" s="1"/>
  <c r="K339" i="8" a="1"/>
  <c r="K339" i="8" s="1"/>
  <c r="N339" i="8" a="1"/>
  <c r="N339" i="8" s="1"/>
  <c r="L339" i="8" a="1"/>
  <c r="L339" i="8" s="1"/>
  <c r="F339" i="8" a="1"/>
  <c r="F339" i="8" s="1"/>
  <c r="Q359" i="8"/>
  <c r="J137" i="8" a="1"/>
  <c r="J137" i="8" s="1"/>
  <c r="N137" i="8" a="1"/>
  <c r="N137" i="8" s="1"/>
  <c r="F137" i="8" a="1"/>
  <c r="F137" i="8" s="1"/>
  <c r="M137" i="8" a="1"/>
  <c r="M137" i="8" s="1"/>
  <c r="E137" i="8" a="1"/>
  <c r="E137" i="8" s="1"/>
  <c r="L137" i="8" a="1"/>
  <c r="L137" i="8" s="1"/>
  <c r="Q110" i="8"/>
  <c r="J113" i="8" a="1"/>
  <c r="J113" i="8" s="1"/>
  <c r="I113" i="8" a="1"/>
  <c r="I113" i="8" s="1"/>
  <c r="H113" i="8" a="1"/>
  <c r="H113" i="8" s="1"/>
  <c r="K148" i="8" a="1"/>
  <c r="K148" i="8" s="1"/>
  <c r="J150" i="8" a="1"/>
  <c r="J150" i="8" s="1"/>
  <c r="I150" i="8" a="1"/>
  <c r="I150" i="8" s="1"/>
  <c r="O150" i="8" a="1"/>
  <c r="O150" i="8" s="1"/>
  <c r="G150" i="8" a="1"/>
  <c r="G150" i="8" s="1"/>
  <c r="N150" i="8" a="1"/>
  <c r="N150" i="8" s="1"/>
  <c r="F150" i="8" a="1"/>
  <c r="F150" i="8" s="1"/>
  <c r="M150" i="8" a="1"/>
  <c r="M150" i="8" s="1"/>
  <c r="E150" i="8" a="1"/>
  <c r="E150" i="8" s="1"/>
  <c r="J154" i="8" a="1"/>
  <c r="J154" i="8" s="1"/>
  <c r="M173" i="8" a="1"/>
  <c r="M173" i="8" s="1"/>
  <c r="Q175" i="8"/>
  <c r="E176" i="8" a="1"/>
  <c r="E176" i="8" s="1"/>
  <c r="O184" i="8" a="1"/>
  <c r="O184" i="8" s="1"/>
  <c r="G184" i="8" a="1"/>
  <c r="G184" i="8" s="1"/>
  <c r="N184" i="8" a="1"/>
  <c r="N184" i="8" s="1"/>
  <c r="F184" i="8" a="1"/>
  <c r="F184" i="8" s="1"/>
  <c r="M184" i="8" a="1"/>
  <c r="M184" i="8" s="1"/>
  <c r="L184" i="8" a="1"/>
  <c r="L184" i="8" s="1"/>
  <c r="K184" i="8" a="1"/>
  <c r="K184" i="8" s="1"/>
  <c r="J184" i="8" a="1"/>
  <c r="J184" i="8" s="1"/>
  <c r="Q196" i="8"/>
  <c r="H232" i="8" a="1"/>
  <c r="H232" i="8" s="1"/>
  <c r="O232" i="8" a="1"/>
  <c r="O232" i="8" s="1"/>
  <c r="G232" i="8" a="1"/>
  <c r="G232" i="8" s="1"/>
  <c r="N232" i="8" a="1"/>
  <c r="N232" i="8" s="1"/>
  <c r="F232" i="8" a="1"/>
  <c r="F232" i="8" s="1"/>
  <c r="M232" i="8" a="1"/>
  <c r="M232" i="8" s="1"/>
  <c r="E232" i="8" a="1"/>
  <c r="E232" i="8" s="1"/>
  <c r="L232" i="8" a="1"/>
  <c r="L232" i="8" s="1"/>
  <c r="K232" i="8" a="1"/>
  <c r="K232" i="8" s="1"/>
  <c r="J232" i="8" a="1"/>
  <c r="J232" i="8" s="1"/>
  <c r="Q286" i="8"/>
  <c r="M132" i="8" a="1"/>
  <c r="M132" i="8" s="1"/>
  <c r="E132" i="8" a="1"/>
  <c r="E132" i="8" s="1"/>
  <c r="L132" i="8" a="1"/>
  <c r="L132" i="8" s="1"/>
  <c r="I132" i="8" a="1"/>
  <c r="I132" i="8" s="1"/>
  <c r="H132" i="8" a="1"/>
  <c r="H132" i="8" s="1"/>
  <c r="K137" i="8" a="1"/>
  <c r="K137" i="8" s="1"/>
  <c r="H146" i="8" a="1"/>
  <c r="H146" i="8" s="1"/>
  <c r="O146" i="8" a="1"/>
  <c r="O146" i="8" s="1"/>
  <c r="G146" i="8" a="1"/>
  <c r="G146" i="8" s="1"/>
  <c r="M146" i="8" a="1"/>
  <c r="M146" i="8" s="1"/>
  <c r="E146" i="8" a="1"/>
  <c r="E146" i="8" s="1"/>
  <c r="L146" i="8" a="1"/>
  <c r="L146" i="8" s="1"/>
  <c r="K146" i="8" a="1"/>
  <c r="K146" i="8" s="1"/>
  <c r="Q151" i="8"/>
  <c r="L177" i="8" a="1"/>
  <c r="L177" i="8" s="1"/>
  <c r="J185" i="8" a="1"/>
  <c r="J185" i="8" s="1"/>
  <c r="N185" i="8" a="1"/>
  <c r="N185" i="8" s="1"/>
  <c r="F185" i="8" a="1"/>
  <c r="F185" i="8" s="1"/>
  <c r="M185" i="8" a="1"/>
  <c r="M185" i="8" s="1"/>
  <c r="E185" i="8" a="1"/>
  <c r="E185" i="8" s="1"/>
  <c r="L185" i="8" a="1"/>
  <c r="L185" i="8" s="1"/>
  <c r="O206" i="8" a="1"/>
  <c r="O206" i="8" s="1"/>
  <c r="G206" i="8" a="1"/>
  <c r="G206" i="8" s="1"/>
  <c r="N206" i="8" a="1"/>
  <c r="N206" i="8" s="1"/>
  <c r="F206" i="8" a="1"/>
  <c r="F206" i="8" s="1"/>
  <c r="M206" i="8" a="1"/>
  <c r="M206" i="8" s="1"/>
  <c r="E206" i="8" a="1"/>
  <c r="E206" i="8" s="1"/>
  <c r="L206" i="8" a="1"/>
  <c r="L206" i="8" s="1"/>
  <c r="K206" i="8" a="1"/>
  <c r="K206" i="8" s="1"/>
  <c r="J206" i="8" a="1"/>
  <c r="J206" i="8" s="1"/>
  <c r="I206" i="8" a="1"/>
  <c r="I206" i="8" s="1"/>
  <c r="Q226" i="8"/>
  <c r="M231" i="8" a="1"/>
  <c r="M231" i="8" s="1"/>
  <c r="E231" i="8" a="1"/>
  <c r="E231" i="8" s="1"/>
  <c r="K231" i="8" a="1"/>
  <c r="K231" i="8" s="1"/>
  <c r="J231" i="8" a="1"/>
  <c r="J231" i="8" s="1"/>
  <c r="I231" i="8" a="1"/>
  <c r="I231" i="8" s="1"/>
  <c r="H231" i="8" a="1"/>
  <c r="H231" i="8" s="1"/>
  <c r="O231" i="8" a="1"/>
  <c r="O231" i="8" s="1"/>
  <c r="G231" i="8" a="1"/>
  <c r="G231" i="8" s="1"/>
  <c r="Q255" i="8"/>
  <c r="K262" i="8" a="1"/>
  <c r="K262" i="8" s="1"/>
  <c r="J262" i="8" a="1"/>
  <c r="J262" i="8" s="1"/>
  <c r="I262" i="8" a="1"/>
  <c r="I262" i="8" s="1"/>
  <c r="H262" i="8" a="1"/>
  <c r="H262" i="8" s="1"/>
  <c r="O262" i="8" a="1"/>
  <c r="O262" i="8" s="1"/>
  <c r="G262" i="8" a="1"/>
  <c r="G262" i="8" s="1"/>
  <c r="N262" i="8" a="1"/>
  <c r="N262" i="8" s="1"/>
  <c r="F262" i="8" a="1"/>
  <c r="F262" i="8" s="1"/>
  <c r="M262" i="8" a="1"/>
  <c r="M262" i="8" s="1"/>
  <c r="E262" i="8" a="1"/>
  <c r="E262" i="8" s="1"/>
  <c r="Q270" i="8"/>
  <c r="L276" i="8" a="1"/>
  <c r="L276" i="8" s="1"/>
  <c r="N276" i="8" a="1"/>
  <c r="N276" i="8" s="1"/>
  <c r="F276" i="8" a="1"/>
  <c r="F276" i="8" s="1"/>
  <c r="G276" i="8" a="1"/>
  <c r="G276" i="8" s="1"/>
  <c r="O276" i="8" a="1"/>
  <c r="O276" i="8" s="1"/>
  <c r="E276" i="8" a="1"/>
  <c r="E276" i="8" s="1"/>
  <c r="M276" i="8" a="1"/>
  <c r="M276" i="8" s="1"/>
  <c r="K276" i="8" a="1"/>
  <c r="K276" i="8" s="1"/>
  <c r="J276" i="8" a="1"/>
  <c r="J276" i="8" s="1"/>
  <c r="I276" i="8" a="1"/>
  <c r="I276" i="8" s="1"/>
  <c r="N315" i="8" a="1"/>
  <c r="N315" i="8" s="1"/>
  <c r="F315" i="8" a="1"/>
  <c r="F315" i="8" s="1"/>
  <c r="K315" i="8" a="1"/>
  <c r="K315" i="8" s="1"/>
  <c r="I315" i="8" a="1"/>
  <c r="I315" i="8" s="1"/>
  <c r="O315" i="8" a="1"/>
  <c r="O315" i="8" s="1"/>
  <c r="G315" i="8" a="1"/>
  <c r="G315" i="8" s="1"/>
  <c r="H315" i="8" a="1"/>
  <c r="H315" i="8" s="1"/>
  <c r="E315" i="8" a="1"/>
  <c r="E315" i="8" s="1"/>
  <c r="M315" i="8" a="1"/>
  <c r="M315" i="8" s="1"/>
  <c r="L315" i="8" a="1"/>
  <c r="L315" i="8" s="1"/>
  <c r="J315" i="8" a="1"/>
  <c r="J315" i="8" s="1"/>
  <c r="J394" i="8" a="1"/>
  <c r="J394" i="8" s="1"/>
  <c r="I394" i="8" a="1"/>
  <c r="I394" i="8" s="1"/>
  <c r="O394" i="8" a="1"/>
  <c r="O394" i="8" s="1"/>
  <c r="G394" i="8" a="1"/>
  <c r="G394" i="8" s="1"/>
  <c r="N394" i="8" a="1"/>
  <c r="N394" i="8" s="1"/>
  <c r="F394" i="8" a="1"/>
  <c r="F394" i="8" s="1"/>
  <c r="M394" i="8" a="1"/>
  <c r="M394" i="8" s="1"/>
  <c r="E394" i="8" a="1"/>
  <c r="E394" i="8" s="1"/>
  <c r="L394" i="8" a="1"/>
  <c r="L394" i="8" s="1"/>
  <c r="K394" i="8" a="1"/>
  <c r="K394" i="8" s="1"/>
  <c r="H394" i="8" a="1"/>
  <c r="H394" i="8" s="1"/>
  <c r="J304" i="8" a="1"/>
  <c r="J304" i="8" s="1"/>
  <c r="O304" i="8" a="1"/>
  <c r="O304" i="8" s="1"/>
  <c r="G304" i="8" a="1"/>
  <c r="G304" i="8" s="1"/>
  <c r="L304" i="8" a="1"/>
  <c r="L304" i="8" s="1"/>
  <c r="H304" i="8" a="1"/>
  <c r="H304" i="8" s="1"/>
  <c r="F304" i="8" a="1"/>
  <c r="F304" i="8" s="1"/>
  <c r="E304" i="8" a="1"/>
  <c r="E304" i="8" s="1"/>
  <c r="N304" i="8" a="1"/>
  <c r="N304" i="8" s="1"/>
  <c r="M304" i="8" a="1"/>
  <c r="M304" i="8" s="1"/>
  <c r="K304" i="8" a="1"/>
  <c r="K304" i="8" s="1"/>
  <c r="J320" i="8" a="1"/>
  <c r="J320" i="8" s="1"/>
  <c r="O320" i="8" a="1"/>
  <c r="O320" i="8" s="1"/>
  <c r="G320" i="8" a="1"/>
  <c r="G320" i="8" s="1"/>
  <c r="L320" i="8" a="1"/>
  <c r="L320" i="8" s="1"/>
  <c r="H320" i="8" a="1"/>
  <c r="H320" i="8" s="1"/>
  <c r="F320" i="8" a="1"/>
  <c r="F320" i="8" s="1"/>
  <c r="E320" i="8" a="1"/>
  <c r="E320" i="8" s="1"/>
  <c r="N320" i="8" a="1"/>
  <c r="N320" i="8" s="1"/>
  <c r="M320" i="8" a="1"/>
  <c r="M320" i="8" s="1"/>
  <c r="K320" i="8" a="1"/>
  <c r="K320" i="8" s="1"/>
  <c r="L141" i="8" a="1"/>
  <c r="L141" i="8" s="1"/>
  <c r="H141" i="8" a="1"/>
  <c r="H141" i="8" s="1"/>
  <c r="O141" i="8" a="1"/>
  <c r="O141" i="8" s="1"/>
  <c r="G141" i="8" a="1"/>
  <c r="G141" i="8" s="1"/>
  <c r="N141" i="8" a="1"/>
  <c r="N141" i="8" s="1"/>
  <c r="F141" i="8" a="1"/>
  <c r="F141" i="8" s="1"/>
  <c r="Q174" i="8"/>
  <c r="M177" i="8" a="1"/>
  <c r="M177" i="8" s="1"/>
  <c r="H248" i="8" a="1"/>
  <c r="H248" i="8" s="1"/>
  <c r="O248" i="8" a="1"/>
  <c r="O248" i="8" s="1"/>
  <c r="G248" i="8" a="1"/>
  <c r="G248" i="8" s="1"/>
  <c r="N248" i="8" a="1"/>
  <c r="N248" i="8" s="1"/>
  <c r="F248" i="8" a="1"/>
  <c r="F248" i="8" s="1"/>
  <c r="M248" i="8" a="1"/>
  <c r="M248" i="8" s="1"/>
  <c r="E248" i="8" a="1"/>
  <c r="E248" i="8" s="1"/>
  <c r="L248" i="8" a="1"/>
  <c r="L248" i="8" s="1"/>
  <c r="K248" i="8" a="1"/>
  <c r="K248" i="8" s="1"/>
  <c r="J248" i="8" a="1"/>
  <c r="J248" i="8" s="1"/>
  <c r="L253" i="8" a="1"/>
  <c r="L253" i="8" s="1"/>
  <c r="J253" i="8" a="1"/>
  <c r="J253" i="8" s="1"/>
  <c r="I253" i="8" a="1"/>
  <c r="I253" i="8" s="1"/>
  <c r="H253" i="8" a="1"/>
  <c r="H253" i="8" s="1"/>
  <c r="O253" i="8" a="1"/>
  <c r="O253" i="8" s="1"/>
  <c r="G253" i="8" a="1"/>
  <c r="G253" i="8" s="1"/>
  <c r="N253" i="8" a="1"/>
  <c r="N253" i="8" s="1"/>
  <c r="F253" i="8" a="1"/>
  <c r="F253" i="8" s="1"/>
  <c r="N260" i="8" a="1"/>
  <c r="N260" i="8" s="1"/>
  <c r="F260" i="8" a="1"/>
  <c r="F260" i="8" s="1"/>
  <c r="M260" i="8" a="1"/>
  <c r="M260" i="8" s="1"/>
  <c r="E260" i="8" a="1"/>
  <c r="E260" i="8" s="1"/>
  <c r="L260" i="8" a="1"/>
  <c r="L260" i="8" s="1"/>
  <c r="K260" i="8" a="1"/>
  <c r="K260" i="8" s="1"/>
  <c r="J260" i="8" a="1"/>
  <c r="J260" i="8" s="1"/>
  <c r="I260" i="8" a="1"/>
  <c r="I260" i="8" s="1"/>
  <c r="H260" i="8" a="1"/>
  <c r="H260" i="8" s="1"/>
  <c r="H264" i="8" a="1"/>
  <c r="H264" i="8" s="1"/>
  <c r="O264" i="8" a="1"/>
  <c r="O264" i="8" s="1"/>
  <c r="G264" i="8" a="1"/>
  <c r="G264" i="8" s="1"/>
  <c r="N264" i="8" a="1"/>
  <c r="N264" i="8" s="1"/>
  <c r="F264" i="8" a="1"/>
  <c r="F264" i="8" s="1"/>
  <c r="M264" i="8" a="1"/>
  <c r="M264" i="8" s="1"/>
  <c r="E264" i="8" a="1"/>
  <c r="E264" i="8" s="1"/>
  <c r="L264" i="8" a="1"/>
  <c r="L264" i="8" s="1"/>
  <c r="K264" i="8" a="1"/>
  <c r="K264" i="8" s="1"/>
  <c r="J264" i="8" a="1"/>
  <c r="J264" i="8" s="1"/>
  <c r="N273" i="8" a="1"/>
  <c r="N273" i="8" s="1"/>
  <c r="F273" i="8" a="1"/>
  <c r="F273" i="8" s="1"/>
  <c r="M273" i="8" a="1"/>
  <c r="M273" i="8" s="1"/>
  <c r="E273" i="8" a="1"/>
  <c r="E273" i="8" s="1"/>
  <c r="L273" i="8" a="1"/>
  <c r="L273" i="8" s="1"/>
  <c r="K273" i="8" a="1"/>
  <c r="K273" i="8" s="1"/>
  <c r="J273" i="8" a="1"/>
  <c r="J273" i="8" s="1"/>
  <c r="I273" i="8" a="1"/>
  <c r="I273" i="8" s="1"/>
  <c r="H273" i="8" a="1"/>
  <c r="H273" i="8" s="1"/>
  <c r="H303" i="8" a="1"/>
  <c r="H303" i="8" s="1"/>
  <c r="M303" i="8" a="1"/>
  <c r="M303" i="8" s="1"/>
  <c r="E303" i="8" a="1"/>
  <c r="E303" i="8" s="1"/>
  <c r="I303" i="8" a="1"/>
  <c r="I303" i="8" s="1"/>
  <c r="K303" i="8" a="1"/>
  <c r="K303" i="8" s="1"/>
  <c r="J303" i="8" a="1"/>
  <c r="J303" i="8" s="1"/>
  <c r="G303" i="8" a="1"/>
  <c r="G303" i="8" s="1"/>
  <c r="F303" i="8" a="1"/>
  <c r="F303" i="8" s="1"/>
  <c r="O303" i="8" a="1"/>
  <c r="O303" i="8" s="1"/>
  <c r="N303" i="8" a="1"/>
  <c r="N303" i="8" s="1"/>
  <c r="N312" i="8" a="1"/>
  <c r="N312" i="8" s="1"/>
  <c r="F312" i="8" a="1"/>
  <c r="F312" i="8" s="1"/>
  <c r="K312" i="8" a="1"/>
  <c r="K312" i="8" s="1"/>
  <c r="H312" i="8" a="1"/>
  <c r="H312" i="8" s="1"/>
  <c r="G312" i="8" a="1"/>
  <c r="G312" i="8" s="1"/>
  <c r="E312" i="8" a="1"/>
  <c r="E312" i="8" s="1"/>
  <c r="O312" i="8" a="1"/>
  <c r="O312" i="8" s="1"/>
  <c r="M312" i="8" a="1"/>
  <c r="M312" i="8" s="1"/>
  <c r="L312" i="8" a="1"/>
  <c r="L312" i="8" s="1"/>
  <c r="J312" i="8" a="1"/>
  <c r="J312" i="8" s="1"/>
  <c r="N344" i="8" a="1"/>
  <c r="N344" i="8" s="1"/>
  <c r="F344" i="8" a="1"/>
  <c r="F344" i="8" s="1"/>
  <c r="K344" i="8" a="1"/>
  <c r="K344" i="8" s="1"/>
  <c r="J344" i="8" a="1"/>
  <c r="J344" i="8" s="1"/>
  <c r="H344" i="8" a="1"/>
  <c r="H344" i="8" s="1"/>
  <c r="G344" i="8" a="1"/>
  <c r="G344" i="8" s="1"/>
  <c r="E344" i="8" a="1"/>
  <c r="E344" i="8" s="1"/>
  <c r="O344" i="8" a="1"/>
  <c r="O344" i="8" s="1"/>
  <c r="M344" i="8" a="1"/>
  <c r="M344" i="8" s="1"/>
  <c r="L344" i="8" a="1"/>
  <c r="L344" i="8" s="1"/>
  <c r="I304" i="8" a="1"/>
  <c r="I304" i="8" s="1"/>
  <c r="G113" i="8" a="1"/>
  <c r="G113" i="8" s="1"/>
  <c r="J135" i="8" a="1"/>
  <c r="J135" i="8" s="1"/>
  <c r="O137" i="8" a="1"/>
  <c r="O137" i="8" s="1"/>
  <c r="E141" i="8" a="1"/>
  <c r="E141" i="8" s="1"/>
  <c r="Q145" i="8"/>
  <c r="F146" i="8" a="1"/>
  <c r="F146" i="8" s="1"/>
  <c r="N148" i="8" a="1"/>
  <c r="N148" i="8" s="1"/>
  <c r="M154" i="8" a="1"/>
  <c r="M154" i="8" s="1"/>
  <c r="K164" i="8" a="1"/>
  <c r="K164" i="8" s="1"/>
  <c r="J170" i="8" a="1"/>
  <c r="J170" i="8" s="1"/>
  <c r="L189" i="8" a="1"/>
  <c r="L189" i="8" s="1"/>
  <c r="H189" i="8" a="1"/>
  <c r="H189" i="8" s="1"/>
  <c r="O189" i="8" a="1"/>
  <c r="O189" i="8" s="1"/>
  <c r="G189" i="8" a="1"/>
  <c r="G189" i="8" s="1"/>
  <c r="N189" i="8" a="1"/>
  <c r="N189" i="8" s="1"/>
  <c r="F189" i="8" a="1"/>
  <c r="F189" i="8" s="1"/>
  <c r="N212" i="8" a="1"/>
  <c r="N212" i="8" s="1"/>
  <c r="F212" i="8" a="1"/>
  <c r="F212" i="8" s="1"/>
  <c r="M212" i="8" a="1"/>
  <c r="M212" i="8" s="1"/>
  <c r="E212" i="8" a="1"/>
  <c r="E212" i="8" s="1"/>
  <c r="L212" i="8" a="1"/>
  <c r="L212" i="8" s="1"/>
  <c r="K212" i="8" a="1"/>
  <c r="K212" i="8" s="1"/>
  <c r="J212" i="8" a="1"/>
  <c r="J212" i="8" s="1"/>
  <c r="I212" i="8" a="1"/>
  <c r="I212" i="8" s="1"/>
  <c r="H212" i="8" a="1"/>
  <c r="H212" i="8" s="1"/>
  <c r="N213" i="8" a="1"/>
  <c r="N213" i="8" s="1"/>
  <c r="Q222" i="8"/>
  <c r="F231" i="8" a="1"/>
  <c r="F231" i="8" s="1"/>
  <c r="M237" i="8" a="1"/>
  <c r="M237" i="8" s="1"/>
  <c r="Q242" i="8"/>
  <c r="Q247" i="8"/>
  <c r="Q249" i="8"/>
  <c r="E253" i="8" a="1"/>
  <c r="E253" i="8" s="1"/>
  <c r="Q265" i="8"/>
  <c r="Q283" i="8"/>
  <c r="I312" i="8" a="1"/>
  <c r="I312" i="8" s="1"/>
  <c r="H319" i="8" a="1"/>
  <c r="H319" i="8" s="1"/>
  <c r="M319" i="8" a="1"/>
  <c r="M319" i="8" s="1"/>
  <c r="E319" i="8" a="1"/>
  <c r="E319" i="8" s="1"/>
  <c r="K319" i="8" a="1"/>
  <c r="K319" i="8" s="1"/>
  <c r="I319" i="8" a="1"/>
  <c r="I319" i="8" s="1"/>
  <c r="G319" i="8" a="1"/>
  <c r="G319" i="8" s="1"/>
  <c r="F319" i="8" a="1"/>
  <c r="F319" i="8" s="1"/>
  <c r="O319" i="8" a="1"/>
  <c r="O319" i="8" s="1"/>
  <c r="N319" i="8" a="1"/>
  <c r="N319" i="8" s="1"/>
  <c r="L319" i="8" a="1"/>
  <c r="L319" i="8" s="1"/>
  <c r="J411" i="8" a="1"/>
  <c r="J411" i="8" s="1"/>
  <c r="L411" i="8" a="1"/>
  <c r="L411" i="8" s="1"/>
  <c r="F411" i="8" a="1"/>
  <c r="F411" i="8" s="1"/>
  <c r="O411" i="8" a="1"/>
  <c r="O411" i="8" s="1"/>
  <c r="E411" i="8" a="1"/>
  <c r="E411" i="8" s="1"/>
  <c r="N411" i="8" a="1"/>
  <c r="N411" i="8" s="1"/>
  <c r="M411" i="8" a="1"/>
  <c r="M411" i="8" s="1"/>
  <c r="K411" i="8" a="1"/>
  <c r="K411" i="8" s="1"/>
  <c r="I411" i="8" a="1"/>
  <c r="I411" i="8" s="1"/>
  <c r="H411" i="8" a="1"/>
  <c r="H411" i="8" s="1"/>
  <c r="G411" i="8" a="1"/>
  <c r="G411" i="8" s="1"/>
  <c r="K176" i="8" a="1"/>
  <c r="K176" i="8" s="1"/>
  <c r="J176" i="8" a="1"/>
  <c r="J176" i="8" s="1"/>
  <c r="H176" i="8" a="1"/>
  <c r="H176" i="8" s="1"/>
  <c r="O176" i="8" a="1"/>
  <c r="O176" i="8" s="1"/>
  <c r="G176" i="8" a="1"/>
  <c r="G176" i="8" s="1"/>
  <c r="N176" i="8" a="1"/>
  <c r="N176" i="8" s="1"/>
  <c r="F176" i="8" a="1"/>
  <c r="F176" i="8" s="1"/>
  <c r="F132" i="8" a="1"/>
  <c r="F132" i="8" s="1"/>
  <c r="H162" i="8" a="1"/>
  <c r="H162" i="8" s="1"/>
  <c r="O162" i="8" a="1"/>
  <c r="O162" i="8" s="1"/>
  <c r="G162" i="8" a="1"/>
  <c r="G162" i="8" s="1"/>
  <c r="M162" i="8" a="1"/>
  <c r="M162" i="8" s="1"/>
  <c r="E162" i="8" a="1"/>
  <c r="E162" i="8" s="1"/>
  <c r="L162" i="8" a="1"/>
  <c r="L162" i="8" s="1"/>
  <c r="K162" i="8" a="1"/>
  <c r="K162" i="8" s="1"/>
  <c r="O177" i="8" a="1"/>
  <c r="O177" i="8" s="1"/>
  <c r="G185" i="8" a="1"/>
  <c r="G185" i="8" s="1"/>
  <c r="I210" i="8" a="1"/>
  <c r="I210" i="8" s="1"/>
  <c r="H210" i="8" a="1"/>
  <c r="H210" i="8" s="1"/>
  <c r="O210" i="8" a="1"/>
  <c r="O210" i="8" s="1"/>
  <c r="G210" i="8" a="1"/>
  <c r="G210" i="8" s="1"/>
  <c r="N210" i="8" a="1"/>
  <c r="N210" i="8" s="1"/>
  <c r="F210" i="8" a="1"/>
  <c r="F210" i="8" s="1"/>
  <c r="M210" i="8" a="1"/>
  <c r="M210" i="8" s="1"/>
  <c r="E210" i="8" a="1"/>
  <c r="E210" i="8" s="1"/>
  <c r="L210" i="8" a="1"/>
  <c r="L210" i="8" s="1"/>
  <c r="K210" i="8" a="1"/>
  <c r="K210" i="8" s="1"/>
  <c r="M218" i="8" a="1"/>
  <c r="M218" i="8" s="1"/>
  <c r="E218" i="8" a="1"/>
  <c r="E218" i="8" s="1"/>
  <c r="L218" i="8" a="1"/>
  <c r="L218" i="8" s="1"/>
  <c r="K218" i="8" a="1"/>
  <c r="K218" i="8" s="1"/>
  <c r="J218" i="8" a="1"/>
  <c r="J218" i="8" s="1"/>
  <c r="I218" i="8" a="1"/>
  <c r="I218" i="8" s="1"/>
  <c r="H218" i="8" a="1"/>
  <c r="H218" i="8" s="1"/>
  <c r="O218" i="8" a="1"/>
  <c r="O218" i="8" s="1"/>
  <c r="G218" i="8" a="1"/>
  <c r="G218" i="8" s="1"/>
  <c r="O267" i="8" a="1"/>
  <c r="O267" i="8" s="1"/>
  <c r="G267" i="8" a="1"/>
  <c r="G267" i="8" s="1"/>
  <c r="N267" i="8" a="1"/>
  <c r="N267" i="8" s="1"/>
  <c r="F267" i="8" a="1"/>
  <c r="F267" i="8" s="1"/>
  <c r="M267" i="8" a="1"/>
  <c r="M267" i="8" s="1"/>
  <c r="E267" i="8" a="1"/>
  <c r="E267" i="8" s="1"/>
  <c r="L267" i="8" a="1"/>
  <c r="L267" i="8" s="1"/>
  <c r="K267" i="8" a="1"/>
  <c r="K267" i="8" s="1"/>
  <c r="J267" i="8" a="1"/>
  <c r="J267" i="8" s="1"/>
  <c r="I267" i="8" a="1"/>
  <c r="I267" i="8" s="1"/>
  <c r="G273" i="8" a="1"/>
  <c r="G273" i="8" s="1"/>
  <c r="H276" i="8" a="1"/>
  <c r="H276" i="8" s="1"/>
  <c r="I344" i="8" a="1"/>
  <c r="I344" i="8" s="1"/>
  <c r="O367" i="8" a="1"/>
  <c r="O367" i="8" s="1"/>
  <c r="G367" i="8" a="1"/>
  <c r="G367" i="8" s="1"/>
  <c r="N367" i="8" a="1"/>
  <c r="N367" i="8" s="1"/>
  <c r="F367" i="8" a="1"/>
  <c r="F367" i="8" s="1"/>
  <c r="K367" i="8" a="1"/>
  <c r="K367" i="8" s="1"/>
  <c r="J367" i="8" a="1"/>
  <c r="J367" i="8" s="1"/>
  <c r="I367" i="8" a="1"/>
  <c r="I367" i="8" s="1"/>
  <c r="E367" i="8" a="1"/>
  <c r="E367" i="8" s="1"/>
  <c r="M367" i="8" a="1"/>
  <c r="M367" i="8" s="1"/>
  <c r="L367" i="8" a="1"/>
  <c r="L367" i="8" s="1"/>
  <c r="H367" i="8" a="1"/>
  <c r="H367" i="8" s="1"/>
  <c r="M250" i="8" a="1"/>
  <c r="M250" i="8" s="1"/>
  <c r="E250" i="8" a="1"/>
  <c r="E250" i="8" s="1"/>
  <c r="L250" i="8" a="1"/>
  <c r="L250" i="8" s="1"/>
  <c r="K250" i="8" a="1"/>
  <c r="K250" i="8" s="1"/>
  <c r="J250" i="8" a="1"/>
  <c r="J250" i="8" s="1"/>
  <c r="I250" i="8" a="1"/>
  <c r="I250" i="8" s="1"/>
  <c r="H250" i="8" a="1"/>
  <c r="H250" i="8" s="1"/>
  <c r="O250" i="8" a="1"/>
  <c r="O250" i="8" s="1"/>
  <c r="G250" i="8" a="1"/>
  <c r="G250" i="8" s="1"/>
  <c r="Q111" i="8"/>
  <c r="Q116" i="8"/>
  <c r="H130" i="8" a="1"/>
  <c r="H130" i="8" s="1"/>
  <c r="O130" i="8" a="1"/>
  <c r="O130" i="8" s="1"/>
  <c r="G130" i="8" a="1"/>
  <c r="G130" i="8" s="1"/>
  <c r="L130" i="8" a="1"/>
  <c r="L130" i="8" s="1"/>
  <c r="K130" i="8" a="1"/>
  <c r="K130" i="8" s="1"/>
  <c r="K135" i="8" a="1"/>
  <c r="K135" i="8" s="1"/>
  <c r="I141" i="8" a="1"/>
  <c r="I141" i="8" s="1"/>
  <c r="O148" i="8" a="1"/>
  <c r="O148" i="8" s="1"/>
  <c r="N154" i="8" a="1"/>
  <c r="N154" i="8" s="1"/>
  <c r="L157" i="8" a="1"/>
  <c r="L157" i="8" s="1"/>
  <c r="H157" i="8" a="1"/>
  <c r="H157" i="8" s="1"/>
  <c r="O157" i="8" a="1"/>
  <c r="O157" i="8" s="1"/>
  <c r="G157" i="8" a="1"/>
  <c r="G157" i="8" s="1"/>
  <c r="N157" i="8" a="1"/>
  <c r="N157" i="8" s="1"/>
  <c r="F157" i="8" a="1"/>
  <c r="F157" i="8" s="1"/>
  <c r="I169" i="8" a="1"/>
  <c r="I169" i="8" s="1"/>
  <c r="L176" i="8" a="1"/>
  <c r="L176" i="8" s="1"/>
  <c r="H185" i="8" a="1"/>
  <c r="H185" i="8" s="1"/>
  <c r="M186" i="8" a="1"/>
  <c r="M186" i="8" s="1"/>
  <c r="Q201" i="8"/>
  <c r="L208" i="8" a="1"/>
  <c r="L208" i="8" s="1"/>
  <c r="K208" i="8" a="1"/>
  <c r="K208" i="8" s="1"/>
  <c r="J208" i="8" a="1"/>
  <c r="J208" i="8" s="1"/>
  <c r="I208" i="8" a="1"/>
  <c r="I208" i="8" s="1"/>
  <c r="H208" i="8" a="1"/>
  <c r="H208" i="8" s="1"/>
  <c r="O208" i="8" a="1"/>
  <c r="O208" i="8" s="1"/>
  <c r="G208" i="8" a="1"/>
  <c r="G208" i="8" s="1"/>
  <c r="N208" i="8" a="1"/>
  <c r="N208" i="8" s="1"/>
  <c r="F208" i="8" a="1"/>
  <c r="F208" i="8" s="1"/>
  <c r="L231" i="8" a="1"/>
  <c r="L231" i="8" s="1"/>
  <c r="Q238" i="8"/>
  <c r="K253" i="8" a="1"/>
  <c r="K253" i="8" s="1"/>
  <c r="L262" i="8" a="1"/>
  <c r="L262" i="8" s="1"/>
  <c r="Q277" i="8"/>
  <c r="L303" i="8" a="1"/>
  <c r="L303" i="8" s="1"/>
  <c r="J319" i="8" a="1"/>
  <c r="J319" i="8" s="1"/>
  <c r="H245" i="8" a="1"/>
  <c r="H245" i="8" s="1"/>
  <c r="N245" i="8" a="1"/>
  <c r="N245" i="8" s="1"/>
  <c r="F245" i="8" a="1"/>
  <c r="F245" i="8" s="1"/>
  <c r="M245" i="8" a="1"/>
  <c r="M245" i="8" s="1"/>
  <c r="E245" i="8" a="1"/>
  <c r="E245" i="8" s="1"/>
  <c r="L245" i="8" a="1"/>
  <c r="L245" i="8" s="1"/>
  <c r="K245" i="8" a="1"/>
  <c r="K245" i="8" s="1"/>
  <c r="J245" i="8" a="1"/>
  <c r="J245" i="8" s="1"/>
  <c r="Q119" i="8"/>
  <c r="Q129" i="8"/>
  <c r="G132" i="8" a="1"/>
  <c r="G132" i="8" s="1"/>
  <c r="L135" i="8" a="1"/>
  <c r="L135" i="8" s="1"/>
  <c r="Q138" i="8"/>
  <c r="I146" i="8" a="1"/>
  <c r="I146" i="8" s="1"/>
  <c r="Q161" i="8"/>
  <c r="F162" i="8" a="1"/>
  <c r="F162" i="8" s="1"/>
  <c r="N164" i="8" a="1"/>
  <c r="N164" i="8" s="1"/>
  <c r="M170" i="8" a="1"/>
  <c r="M170" i="8" s="1"/>
  <c r="M181" i="8" a="1"/>
  <c r="M181" i="8" s="1"/>
  <c r="E184" i="8" a="1"/>
  <c r="E184" i="8" s="1"/>
  <c r="I185" i="8" a="1"/>
  <c r="I185" i="8" s="1"/>
  <c r="I189" i="8" a="1"/>
  <c r="I189" i="8" s="1"/>
  <c r="Q195" i="8"/>
  <c r="H206" i="8" a="1"/>
  <c r="H206" i="8" s="1"/>
  <c r="N231" i="8" a="1"/>
  <c r="N231" i="8" s="1"/>
  <c r="Q234" i="8"/>
  <c r="L240" i="8" a="1"/>
  <c r="L240" i="8" s="1"/>
  <c r="K240" i="8" a="1"/>
  <c r="K240" i="8" s="1"/>
  <c r="J240" i="8" a="1"/>
  <c r="J240" i="8" s="1"/>
  <c r="I240" i="8" a="1"/>
  <c r="I240" i="8" s="1"/>
  <c r="H240" i="8" a="1"/>
  <c r="H240" i="8" s="1"/>
  <c r="O240" i="8" a="1"/>
  <c r="O240" i="8" s="1"/>
  <c r="G240" i="8" a="1"/>
  <c r="G240" i="8" s="1"/>
  <c r="N240" i="8" a="1"/>
  <c r="N240" i="8" s="1"/>
  <c r="F240" i="8" a="1"/>
  <c r="F240" i="8" s="1"/>
  <c r="M253" i="8" a="1"/>
  <c r="M253" i="8" s="1"/>
  <c r="Q258" i="8"/>
  <c r="G260" i="8" a="1"/>
  <c r="G260" i="8" s="1"/>
  <c r="Q263" i="8"/>
  <c r="O273" i="8" a="1"/>
  <c r="O273" i="8" s="1"/>
  <c r="N296" i="8" a="1"/>
  <c r="N296" i="8" s="1"/>
  <c r="F296" i="8" a="1"/>
  <c r="F296" i="8" s="1"/>
  <c r="K296" i="8" a="1"/>
  <c r="K296" i="8" s="1"/>
  <c r="H296" i="8" a="1"/>
  <c r="H296" i="8" s="1"/>
  <c r="O296" i="8" a="1"/>
  <c r="O296" i="8" s="1"/>
  <c r="M296" i="8" a="1"/>
  <c r="M296" i="8" s="1"/>
  <c r="L296" i="8" a="1"/>
  <c r="L296" i="8" s="1"/>
  <c r="J296" i="8" a="1"/>
  <c r="J296" i="8" s="1"/>
  <c r="I296" i="8" a="1"/>
  <c r="I296" i="8" s="1"/>
  <c r="G296" i="8" a="1"/>
  <c r="G296" i="8" s="1"/>
  <c r="Q362" i="8"/>
  <c r="Q281" i="8"/>
  <c r="Q300" i="8"/>
  <c r="O325" i="8" a="1"/>
  <c r="O325" i="8" s="1"/>
  <c r="G325" i="8" a="1"/>
  <c r="G325" i="8" s="1"/>
  <c r="N325" i="8" a="1"/>
  <c r="N325" i="8" s="1"/>
  <c r="F325" i="8" a="1"/>
  <c r="F325" i="8" s="1"/>
  <c r="M325" i="8" a="1"/>
  <c r="M325" i="8" s="1"/>
  <c r="E325" i="8" a="1"/>
  <c r="E325" i="8" s="1"/>
  <c r="L325" i="8" a="1"/>
  <c r="L325" i="8" s="1"/>
  <c r="J325" i="8" a="1"/>
  <c r="J325" i="8" s="1"/>
  <c r="H325" i="8" a="1"/>
  <c r="H325" i="8" s="1"/>
  <c r="H336" i="8" a="1"/>
  <c r="H336" i="8" s="1"/>
  <c r="H348" i="8" a="1"/>
  <c r="H348" i="8" s="1"/>
  <c r="O348" i="8" a="1"/>
  <c r="O348" i="8" s="1"/>
  <c r="M348" i="8" a="1"/>
  <c r="M348" i="8" s="1"/>
  <c r="E348" i="8" a="1"/>
  <c r="E348" i="8" s="1"/>
  <c r="L348" i="8" a="1"/>
  <c r="L348" i="8" s="1"/>
  <c r="K348" i="8" a="1"/>
  <c r="K348" i="8" s="1"/>
  <c r="J348" i="8" a="1"/>
  <c r="J348" i="8" s="1"/>
  <c r="L376" i="8" a="1"/>
  <c r="L376" i="8" s="1"/>
  <c r="H376" i="8" a="1"/>
  <c r="H376" i="8" s="1"/>
  <c r="O376" i="8" a="1"/>
  <c r="O376" i="8" s="1"/>
  <c r="G376" i="8" a="1"/>
  <c r="G376" i="8" s="1"/>
  <c r="F376" i="8" a="1"/>
  <c r="F376" i="8" s="1"/>
  <c r="E376" i="8" a="1"/>
  <c r="E376" i="8" s="1"/>
  <c r="N376" i="8" a="1"/>
  <c r="N376" i="8" s="1"/>
  <c r="M376" i="8" a="1"/>
  <c r="M376" i="8" s="1"/>
  <c r="K376" i="8" a="1"/>
  <c r="K376" i="8" s="1"/>
  <c r="J376" i="8" a="1"/>
  <c r="J376" i="8" s="1"/>
  <c r="I376" i="8" a="1"/>
  <c r="I376" i="8" s="1"/>
  <c r="K404" i="8" a="1"/>
  <c r="K404" i="8" s="1"/>
  <c r="J404" i="8" a="1"/>
  <c r="J404" i="8" s="1"/>
  <c r="H404" i="8" a="1"/>
  <c r="H404" i="8" s="1"/>
  <c r="O404" i="8" a="1"/>
  <c r="O404" i="8" s="1"/>
  <c r="G404" i="8" a="1"/>
  <c r="G404" i="8" s="1"/>
  <c r="N404" i="8" a="1"/>
  <c r="N404" i="8" s="1"/>
  <c r="F404" i="8" a="1"/>
  <c r="F404" i="8" s="1"/>
  <c r="M404" i="8" a="1"/>
  <c r="M404" i="8" s="1"/>
  <c r="E404" i="8" a="1"/>
  <c r="E404" i="8" s="1"/>
  <c r="L404" i="8" a="1"/>
  <c r="L404" i="8" s="1"/>
  <c r="I404" i="8" a="1"/>
  <c r="I404" i="8" s="1"/>
  <c r="K313" i="8" a="1"/>
  <c r="K313" i="8" s="1"/>
  <c r="K316" i="8" a="1"/>
  <c r="K316" i="8" s="1"/>
  <c r="J317" i="8" a="1"/>
  <c r="J317" i="8" s="1"/>
  <c r="I336" i="8" a="1"/>
  <c r="I336" i="8" s="1"/>
  <c r="J340" i="8" a="1"/>
  <c r="J340" i="8" s="1"/>
  <c r="K346" i="8" a="1"/>
  <c r="K346" i="8" s="1"/>
  <c r="H346" i="8" a="1"/>
  <c r="H346" i="8" s="1"/>
  <c r="O346" i="8" a="1"/>
  <c r="O346" i="8" s="1"/>
  <c r="G346" i="8" a="1"/>
  <c r="G346" i="8" s="1"/>
  <c r="N346" i="8" a="1"/>
  <c r="N346" i="8" s="1"/>
  <c r="F346" i="8" a="1"/>
  <c r="F346" i="8" s="1"/>
  <c r="M346" i="8" a="1"/>
  <c r="M346" i="8" s="1"/>
  <c r="E346" i="8" a="1"/>
  <c r="E346" i="8" s="1"/>
  <c r="M379" i="8" a="1"/>
  <c r="M379" i="8" s="1"/>
  <c r="E379" i="8" a="1"/>
  <c r="E379" i="8" s="1"/>
  <c r="L379" i="8" a="1"/>
  <c r="L379" i="8" s="1"/>
  <c r="I379" i="8" a="1"/>
  <c r="I379" i="8" s="1"/>
  <c r="H379" i="8" a="1"/>
  <c r="H379" i="8" s="1"/>
  <c r="O379" i="8" a="1"/>
  <c r="O379" i="8" s="1"/>
  <c r="G379" i="8" a="1"/>
  <c r="G379" i="8" s="1"/>
  <c r="J379" i="8" a="1"/>
  <c r="J379" i="8" s="1"/>
  <c r="N379" i="8" a="1"/>
  <c r="N379" i="8" s="1"/>
  <c r="K379" i="8" a="1"/>
  <c r="K379" i="8" s="1"/>
  <c r="L282" i="8" a="1"/>
  <c r="L282" i="8" s="1"/>
  <c r="L316" i="8" a="1"/>
  <c r="L316" i="8" s="1"/>
  <c r="E328" i="8" a="1"/>
  <c r="E328" i="8" s="1"/>
  <c r="K336" i="8" a="1"/>
  <c r="K336" i="8" s="1"/>
  <c r="O338" i="8" a="1"/>
  <c r="O338" i="8" s="1"/>
  <c r="G338" i="8" a="1"/>
  <c r="G338" i="8" s="1"/>
  <c r="L338" i="8" a="1"/>
  <c r="L338" i="8" s="1"/>
  <c r="K338" i="8" a="1"/>
  <c r="K338" i="8" s="1"/>
  <c r="I338" i="8" a="1"/>
  <c r="I338" i="8" s="1"/>
  <c r="K340" i="8" a="1"/>
  <c r="K340" i="8" s="1"/>
  <c r="N351" i="8" a="1"/>
  <c r="N351" i="8" s="1"/>
  <c r="F351" i="8" a="1"/>
  <c r="F351" i="8" s="1"/>
  <c r="K351" i="8" a="1"/>
  <c r="K351" i="8" s="1"/>
  <c r="I351" i="8" a="1"/>
  <c r="I351" i="8" s="1"/>
  <c r="M351" i="8" a="1"/>
  <c r="M351" i="8" s="1"/>
  <c r="J351" i="8" a="1"/>
  <c r="J351" i="8" s="1"/>
  <c r="H351" i="8" a="1"/>
  <c r="H351" i="8" s="1"/>
  <c r="G351" i="8" a="1"/>
  <c r="G351" i="8" s="1"/>
  <c r="O351" i="8" a="1"/>
  <c r="O351" i="8" s="1"/>
  <c r="E351" i="8" a="1"/>
  <c r="E351" i="8" s="1"/>
  <c r="Q354" i="8"/>
  <c r="F379" i="8" a="1"/>
  <c r="F379" i="8" s="1"/>
  <c r="K382" i="8" a="1"/>
  <c r="K382" i="8" s="1"/>
  <c r="O382" i="8" a="1"/>
  <c r="O382" i="8" s="1"/>
  <c r="G382" i="8" a="1"/>
  <c r="G382" i="8" s="1"/>
  <c r="N382" i="8" a="1"/>
  <c r="N382" i="8" s="1"/>
  <c r="F382" i="8" a="1"/>
  <c r="F382" i="8" s="1"/>
  <c r="L382" i="8" a="1"/>
  <c r="L382" i="8" s="1"/>
  <c r="J382" i="8" a="1"/>
  <c r="J382" i="8" s="1"/>
  <c r="I382" i="8" a="1"/>
  <c r="I382" i="8" s="1"/>
  <c r="H382" i="8" a="1"/>
  <c r="H382" i="8" s="1"/>
  <c r="E382" i="8" a="1"/>
  <c r="E382" i="8" s="1"/>
  <c r="O309" i="8" a="1"/>
  <c r="O309" i="8" s="1"/>
  <c r="G309" i="8" a="1"/>
  <c r="G309" i="8" s="1"/>
  <c r="L309" i="8" a="1"/>
  <c r="L309" i="8" s="1"/>
  <c r="H309" i="8" a="1"/>
  <c r="H309" i="8" s="1"/>
  <c r="M317" i="8" a="1"/>
  <c r="M317" i="8" s="1"/>
  <c r="I325" i="8" a="1"/>
  <c r="I325" i="8" s="1"/>
  <c r="G328" i="8" a="1"/>
  <c r="G328" i="8" s="1"/>
  <c r="M340" i="8" a="1"/>
  <c r="M340" i="8" s="1"/>
  <c r="Q342" i="8"/>
  <c r="F348" i="8" a="1"/>
  <c r="F348" i="8" s="1"/>
  <c r="N282" i="8" a="1"/>
  <c r="N282" i="8" s="1"/>
  <c r="E309" i="8" a="1"/>
  <c r="E309" i="8" s="1"/>
  <c r="M313" i="8" a="1"/>
  <c r="M313" i="8" s="1"/>
  <c r="N316" i="8" a="1"/>
  <c r="N316" i="8" s="1"/>
  <c r="Q322" i="8"/>
  <c r="Q327" i="8"/>
  <c r="J346" i="8" a="1"/>
  <c r="J346" i="8" s="1"/>
  <c r="G348" i="8" a="1"/>
  <c r="G348" i="8" s="1"/>
  <c r="H377" i="8" a="1"/>
  <c r="H377" i="8" s="1"/>
  <c r="O377" i="8" a="1"/>
  <c r="O377" i="8" s="1"/>
  <c r="G377" i="8" a="1"/>
  <c r="G377" i="8" s="1"/>
  <c r="L377" i="8" a="1"/>
  <c r="L377" i="8" s="1"/>
  <c r="K377" i="8" a="1"/>
  <c r="K377" i="8" s="1"/>
  <c r="J377" i="8" a="1"/>
  <c r="J377" i="8" s="1"/>
  <c r="F377" i="8" a="1"/>
  <c r="F377" i="8" s="1"/>
  <c r="N377" i="8" a="1"/>
  <c r="N377" i="8" s="1"/>
  <c r="M377" i="8" a="1"/>
  <c r="M377" i="8" s="1"/>
  <c r="I377" i="8" a="1"/>
  <c r="I377" i="8" s="1"/>
  <c r="M382" i="8" a="1"/>
  <c r="M382" i="8" s="1"/>
  <c r="Q391" i="8"/>
  <c r="O413" i="8" a="1"/>
  <c r="O413" i="8" s="1"/>
  <c r="G413" i="8" a="1"/>
  <c r="G413" i="8" s="1"/>
  <c r="N413" i="8" a="1"/>
  <c r="N413" i="8" s="1"/>
  <c r="F413" i="8" a="1"/>
  <c r="F413" i="8" s="1"/>
  <c r="I413" i="8" a="1"/>
  <c r="I413" i="8" s="1"/>
  <c r="K413" i="8" a="1"/>
  <c r="K413" i="8" s="1"/>
  <c r="J413" i="8" a="1"/>
  <c r="J413" i="8" s="1"/>
  <c r="H413" i="8" a="1"/>
  <c r="H413" i="8" s="1"/>
  <c r="E413" i="8" a="1"/>
  <c r="E413" i="8" s="1"/>
  <c r="M413" i="8" a="1"/>
  <c r="M413" i="8" s="1"/>
  <c r="L413" i="8" a="1"/>
  <c r="L413" i="8" s="1"/>
  <c r="Q293" i="8"/>
  <c r="Q311" i="8"/>
  <c r="K325" i="8" a="1"/>
  <c r="K325" i="8" s="1"/>
  <c r="I328" i="8" a="1"/>
  <c r="I328" i="8" s="1"/>
  <c r="Q334" i="8"/>
  <c r="I345" i="8" a="1"/>
  <c r="I345" i="8" s="1"/>
  <c r="H345" i="8" a="1"/>
  <c r="H345" i="8" s="1"/>
  <c r="O345" i="8" a="1"/>
  <c r="O345" i="8" s="1"/>
  <c r="G345" i="8" a="1"/>
  <c r="G345" i="8" s="1"/>
  <c r="N345" i="8" a="1"/>
  <c r="N345" i="8" s="1"/>
  <c r="F345" i="8" a="1"/>
  <c r="F345" i="8" s="1"/>
  <c r="M345" i="8" a="1"/>
  <c r="M345" i="8" s="1"/>
  <c r="L345" i="8" a="1"/>
  <c r="L345" i="8" s="1"/>
  <c r="J345" i="8" a="1"/>
  <c r="J345" i="8" s="1"/>
  <c r="I348" i="8" a="1"/>
  <c r="I348" i="8" s="1"/>
  <c r="G350" i="8" a="1"/>
  <c r="G350" i="8" s="1"/>
  <c r="F350" i="8" a="1"/>
  <c r="F350" i="8" s="1"/>
  <c r="O350" i="8" a="1"/>
  <c r="O350" i="8" s="1"/>
  <c r="E350" i="8" a="1"/>
  <c r="E350" i="8" s="1"/>
  <c r="M350" i="8" a="1"/>
  <c r="M350" i="8" s="1"/>
  <c r="L350" i="8" a="1"/>
  <c r="L350" i="8" s="1"/>
  <c r="K350" i="8" a="1"/>
  <c r="K350" i="8" s="1"/>
  <c r="I350" i="8" a="1"/>
  <c r="I350" i="8" s="1"/>
  <c r="M363" i="8" a="1"/>
  <c r="M363" i="8" s="1"/>
  <c r="E363" i="8" a="1"/>
  <c r="E363" i="8" s="1"/>
  <c r="L363" i="8" a="1"/>
  <c r="L363" i="8" s="1"/>
  <c r="I363" i="8" a="1"/>
  <c r="I363" i="8" s="1"/>
  <c r="H363" i="8" a="1"/>
  <c r="H363" i="8" s="1"/>
  <c r="O363" i="8" a="1"/>
  <c r="O363" i="8" s="1"/>
  <c r="G363" i="8" a="1"/>
  <c r="G363" i="8" s="1"/>
  <c r="F363" i="8" a="1"/>
  <c r="F363" i="8" s="1"/>
  <c r="N363" i="8" a="1"/>
  <c r="N363" i="8" s="1"/>
  <c r="J363" i="8" a="1"/>
  <c r="J363" i="8" s="1"/>
  <c r="Q383" i="8"/>
  <c r="J336" i="8" a="1"/>
  <c r="J336" i="8" s="1"/>
  <c r="O336" i="8" a="1"/>
  <c r="O336" i="8" s="1"/>
  <c r="G336" i="8" a="1"/>
  <c r="G336" i="8" s="1"/>
  <c r="N336" i="8" a="1"/>
  <c r="N336" i="8" s="1"/>
  <c r="F336" i="8" a="1"/>
  <c r="F336" i="8" s="1"/>
  <c r="L336" i="8" a="1"/>
  <c r="L336" i="8" s="1"/>
  <c r="L369" i="8" a="1"/>
  <c r="L369" i="8" s="1"/>
  <c r="K369" i="8" a="1"/>
  <c r="K369" i="8" s="1"/>
  <c r="H369" i="8" a="1"/>
  <c r="H369" i="8" s="1"/>
  <c r="O369" i="8" a="1"/>
  <c r="O369" i="8" s="1"/>
  <c r="G369" i="8" a="1"/>
  <c r="G369" i="8" s="1"/>
  <c r="N369" i="8" a="1"/>
  <c r="N369" i="8" s="1"/>
  <c r="F369" i="8" a="1"/>
  <c r="F369" i="8" s="1"/>
  <c r="E369" i="8" a="1"/>
  <c r="E369" i="8" s="1"/>
  <c r="M369" i="8" a="1"/>
  <c r="M369" i="8" s="1"/>
  <c r="J369" i="8" a="1"/>
  <c r="J369" i="8" s="1"/>
  <c r="Q374" i="8"/>
  <c r="N380" i="8" a="1"/>
  <c r="N380" i="8" s="1"/>
  <c r="F380" i="8" a="1"/>
  <c r="F380" i="8" s="1"/>
  <c r="J380" i="8" a="1"/>
  <c r="J380" i="8" s="1"/>
  <c r="I380" i="8" a="1"/>
  <c r="I380" i="8" s="1"/>
  <c r="L380" i="8" a="1"/>
  <c r="L380" i="8" s="1"/>
  <c r="K380" i="8" a="1"/>
  <c r="K380" i="8" s="1"/>
  <c r="G380" i="8" a="1"/>
  <c r="G380" i="8" s="1"/>
  <c r="E380" i="8" a="1"/>
  <c r="E380" i="8" s="1"/>
  <c r="M380" i="8" a="1"/>
  <c r="M380" i="8" s="1"/>
  <c r="K317" i="8" a="1"/>
  <c r="K317" i="8" s="1"/>
  <c r="H317" i="8" a="1"/>
  <c r="H317" i="8" s="1"/>
  <c r="N317" i="8" a="1"/>
  <c r="N317" i="8" s="1"/>
  <c r="F317" i="8" a="1"/>
  <c r="F317" i="8" s="1"/>
  <c r="L317" i="8" a="1"/>
  <c r="L317" i="8" s="1"/>
  <c r="M337" i="8" a="1"/>
  <c r="M337" i="8" s="1"/>
  <c r="E337" i="8" a="1"/>
  <c r="E337" i="8" s="1"/>
  <c r="L337" i="8" a="1"/>
  <c r="L337" i="8" s="1"/>
  <c r="K337" i="8" a="1"/>
  <c r="K337" i="8" s="1"/>
  <c r="J337" i="8" a="1"/>
  <c r="J337" i="8" s="1"/>
  <c r="H337" i="8" a="1"/>
  <c r="H337" i="8" s="1"/>
  <c r="N337" i="8" a="1"/>
  <c r="N337" i="8" s="1"/>
  <c r="F337" i="8" a="1"/>
  <c r="F337" i="8" s="1"/>
  <c r="L340" i="8" a="1"/>
  <c r="L340" i="8" s="1"/>
  <c r="I340" i="8" a="1"/>
  <c r="I340" i="8" s="1"/>
  <c r="H340" i="8" a="1"/>
  <c r="H340" i="8" s="1"/>
  <c r="N340" i="8" a="1"/>
  <c r="N340" i="8" s="1"/>
  <c r="F340" i="8" a="1"/>
  <c r="F340" i="8" s="1"/>
  <c r="Q347" i="8"/>
  <c r="I371" i="8" a="1"/>
  <c r="I371" i="8" s="1"/>
  <c r="H371" i="8" a="1"/>
  <c r="H371" i="8" s="1"/>
  <c r="M371" i="8" a="1"/>
  <c r="M371" i="8" s="1"/>
  <c r="E371" i="8" a="1"/>
  <c r="E371" i="8" s="1"/>
  <c r="L371" i="8" a="1"/>
  <c r="L371" i="8" s="1"/>
  <c r="K371" i="8" a="1"/>
  <c r="K371" i="8" s="1"/>
  <c r="O371" i="8" a="1"/>
  <c r="O371" i="8" s="1"/>
  <c r="N371" i="8" a="1"/>
  <c r="N371" i="8" s="1"/>
  <c r="J371" i="8" a="1"/>
  <c r="J371" i="8" s="1"/>
  <c r="G371" i="8" a="1"/>
  <c r="G371" i="8" s="1"/>
  <c r="Q279" i="8"/>
  <c r="K282" i="8" a="1"/>
  <c r="K282" i="8" s="1"/>
  <c r="H282" i="8" a="1"/>
  <c r="H282" i="8" s="1"/>
  <c r="M282" i="8" a="1"/>
  <c r="M282" i="8" s="1"/>
  <c r="E282" i="8" a="1"/>
  <c r="E282" i="8" s="1"/>
  <c r="I313" i="8" a="1"/>
  <c r="I313" i="8" s="1"/>
  <c r="N313" i="8" a="1"/>
  <c r="N313" i="8" s="1"/>
  <c r="F313" i="8" a="1"/>
  <c r="F313" i="8" s="1"/>
  <c r="L313" i="8" a="1"/>
  <c r="L313" i="8" s="1"/>
  <c r="J313" i="8" a="1"/>
  <c r="J313" i="8" s="1"/>
  <c r="H316" i="8" a="1"/>
  <c r="H316" i="8" s="1"/>
  <c r="M316" i="8" a="1"/>
  <c r="M316" i="8" s="1"/>
  <c r="E316" i="8" a="1"/>
  <c r="E316" i="8" s="1"/>
  <c r="J316" i="8" a="1"/>
  <c r="J316" i="8" s="1"/>
  <c r="Q318" i="8"/>
  <c r="M328" i="8" a="1"/>
  <c r="M328" i="8" s="1"/>
  <c r="K330" i="8" a="1"/>
  <c r="K330" i="8" s="1"/>
  <c r="H330" i="8" a="1"/>
  <c r="H330" i="8" s="1"/>
  <c r="O330" i="8" a="1"/>
  <c r="O330" i="8" s="1"/>
  <c r="G330" i="8" a="1"/>
  <c r="G330" i="8" s="1"/>
  <c r="M330" i="8" a="1"/>
  <c r="M330" i="8" s="1"/>
  <c r="E330" i="8" a="1"/>
  <c r="E330" i="8" s="1"/>
  <c r="I355" i="8" a="1"/>
  <c r="I355" i="8" s="1"/>
  <c r="H355" i="8" a="1"/>
  <c r="H355" i="8" s="1"/>
  <c r="M355" i="8" a="1"/>
  <c r="M355" i="8" s="1"/>
  <c r="E355" i="8" a="1"/>
  <c r="E355" i="8" s="1"/>
  <c r="K355" i="8" a="1"/>
  <c r="K355" i="8" s="1"/>
  <c r="L355" i="8" a="1"/>
  <c r="L355" i="8" s="1"/>
  <c r="G355" i="8" a="1"/>
  <c r="G355" i="8" s="1"/>
  <c r="F355" i="8" a="1"/>
  <c r="F355" i="8" s="1"/>
  <c r="O355" i="8" a="1"/>
  <c r="O355" i="8" s="1"/>
  <c r="N355" i="8" a="1"/>
  <c r="N355" i="8" s="1"/>
  <c r="Q361" i="8"/>
  <c r="Q295" i="8"/>
  <c r="Q306" i="8"/>
  <c r="Q314" i="8"/>
  <c r="Q326" i="8"/>
  <c r="J338" i="8" a="1"/>
  <c r="J338" i="8" s="1"/>
  <c r="N350" i="8" a="1"/>
  <c r="N350" i="8" s="1"/>
  <c r="O380" i="8" a="1"/>
  <c r="O380" i="8" s="1"/>
  <c r="G282" i="8" a="1"/>
  <c r="G282" i="8" s="1"/>
  <c r="E317" i="8" a="1"/>
  <c r="E317" i="8" s="1"/>
  <c r="N328" i="8" a="1"/>
  <c r="N328" i="8" s="1"/>
  <c r="F328" i="8" a="1"/>
  <c r="F328" i="8" s="1"/>
  <c r="K328" i="8" a="1"/>
  <c r="K328" i="8" s="1"/>
  <c r="J328" i="8" a="1"/>
  <c r="J328" i="8" s="1"/>
  <c r="H328" i="8" a="1"/>
  <c r="H328" i="8" s="1"/>
  <c r="H335" i="8" a="1"/>
  <c r="H335" i="8" s="1"/>
  <c r="O335" i="8" a="1"/>
  <c r="O335" i="8" s="1"/>
  <c r="G335" i="8" a="1"/>
  <c r="G335" i="8" s="1"/>
  <c r="N335" i="8" a="1"/>
  <c r="N335" i="8" s="1"/>
  <c r="F335" i="8" a="1"/>
  <c r="F335" i="8" s="1"/>
  <c r="M335" i="8" a="1"/>
  <c r="M335" i="8" s="1"/>
  <c r="E335" i="8" a="1"/>
  <c r="E335" i="8" s="1"/>
  <c r="K335" i="8" a="1"/>
  <c r="K335" i="8" s="1"/>
  <c r="I335" i="8" a="1"/>
  <c r="I335" i="8" s="1"/>
  <c r="G337" i="8" a="1"/>
  <c r="G337" i="8" s="1"/>
  <c r="O341" i="8" a="1"/>
  <c r="O341" i="8" s="1"/>
  <c r="G341" i="8" a="1"/>
  <c r="G341" i="8" s="1"/>
  <c r="N341" i="8" a="1"/>
  <c r="N341" i="8" s="1"/>
  <c r="F341" i="8" a="1"/>
  <c r="F341" i="8" s="1"/>
  <c r="M341" i="8" a="1"/>
  <c r="M341" i="8" s="1"/>
  <c r="E341" i="8" a="1"/>
  <c r="E341" i="8" s="1"/>
  <c r="L341" i="8" a="1"/>
  <c r="L341" i="8" s="1"/>
  <c r="J341" i="8" a="1"/>
  <c r="J341" i="8" s="1"/>
  <c r="H341" i="8" a="1"/>
  <c r="H341" i="8" s="1"/>
  <c r="N364" i="8" a="1"/>
  <c r="N364" i="8" s="1"/>
  <c r="F364" i="8" a="1"/>
  <c r="F364" i="8" s="1"/>
  <c r="J364" i="8" a="1"/>
  <c r="J364" i="8" s="1"/>
  <c r="H364" i="8" a="1"/>
  <c r="H364" i="8" s="1"/>
  <c r="G364" i="8" a="1"/>
  <c r="G364" i="8" s="1"/>
  <c r="O364" i="8" a="1"/>
  <c r="O364" i="8" s="1"/>
  <c r="M364" i="8" a="1"/>
  <c r="M364" i="8" s="1"/>
  <c r="K364" i="8" a="1"/>
  <c r="K364" i="8" s="1"/>
  <c r="I364" i="8" a="1"/>
  <c r="I364" i="8" s="1"/>
  <c r="I369" i="8" a="1"/>
  <c r="I369" i="8" s="1"/>
  <c r="O396" i="8" a="1"/>
  <c r="O396" i="8" s="1"/>
  <c r="G396" i="8" a="1"/>
  <c r="G396" i="8" s="1"/>
  <c r="N396" i="8" a="1"/>
  <c r="N396" i="8" s="1"/>
  <c r="F396" i="8" a="1"/>
  <c r="F396" i="8" s="1"/>
  <c r="L396" i="8" a="1"/>
  <c r="L396" i="8" s="1"/>
  <c r="K396" i="8" a="1"/>
  <c r="K396" i="8" s="1"/>
  <c r="J396" i="8" a="1"/>
  <c r="J396" i="8" s="1"/>
  <c r="I396" i="8" a="1"/>
  <c r="I396" i="8" s="1"/>
  <c r="M396" i="8" a="1"/>
  <c r="M396" i="8" s="1"/>
  <c r="E396" i="8" a="1"/>
  <c r="E396" i="8" s="1"/>
  <c r="O523" i="8" a="1"/>
  <c r="O523" i="8" s="1"/>
  <c r="G523" i="8" a="1"/>
  <c r="G523" i="8" s="1"/>
  <c r="L523" i="8" a="1"/>
  <c r="L523" i="8" s="1"/>
  <c r="K523" i="8" a="1"/>
  <c r="K523" i="8" s="1"/>
  <c r="J523" i="8" a="1"/>
  <c r="J523" i="8" s="1"/>
  <c r="I523" i="8" a="1"/>
  <c r="I523" i="8" s="1"/>
  <c r="H523" i="8" a="1"/>
  <c r="H523" i="8" s="1"/>
  <c r="F523" i="8" a="1"/>
  <c r="F523" i="8" s="1"/>
  <c r="E523" i="8" a="1"/>
  <c r="E523" i="8" s="1"/>
  <c r="N523" i="8" a="1"/>
  <c r="N523" i="8" s="1"/>
  <c r="M523" i="8" a="1"/>
  <c r="M523" i="8" s="1"/>
  <c r="E313" i="8" a="1"/>
  <c r="E313" i="8" s="1"/>
  <c r="F316" i="8" a="1"/>
  <c r="F316" i="8" s="1"/>
  <c r="I329" i="8" a="1"/>
  <c r="I329" i="8" s="1"/>
  <c r="H329" i="8" a="1"/>
  <c r="H329" i="8" s="1"/>
  <c r="O329" i="8" a="1"/>
  <c r="O329" i="8" s="1"/>
  <c r="G329" i="8" a="1"/>
  <c r="G329" i="8" s="1"/>
  <c r="N329" i="8" a="1"/>
  <c r="N329" i="8" s="1"/>
  <c r="F329" i="8" a="1"/>
  <c r="F329" i="8" s="1"/>
  <c r="L329" i="8" a="1"/>
  <c r="L329" i="8" s="1"/>
  <c r="J329" i="8" a="1"/>
  <c r="J329" i="8" s="1"/>
  <c r="M338" i="8" a="1"/>
  <c r="M338" i="8" s="1"/>
  <c r="L353" i="8" a="1"/>
  <c r="L353" i="8" s="1"/>
  <c r="K353" i="8" a="1"/>
  <c r="K353" i="8" s="1"/>
  <c r="H353" i="8" a="1"/>
  <c r="H353" i="8" s="1"/>
  <c r="N353" i="8" a="1"/>
  <c r="N353" i="8" s="1"/>
  <c r="F353" i="8" a="1"/>
  <c r="F353" i="8" s="1"/>
  <c r="E353" i="8" a="1"/>
  <c r="E353" i="8" s="1"/>
  <c r="O353" i="8" a="1"/>
  <c r="O353" i="8" s="1"/>
  <c r="J353" i="8" a="1"/>
  <c r="J353" i="8" s="1"/>
  <c r="I353" i="8" a="1"/>
  <c r="I353" i="8" s="1"/>
  <c r="G353" i="8" a="1"/>
  <c r="G353" i="8" s="1"/>
  <c r="J355" i="8" a="1"/>
  <c r="J355" i="8" s="1"/>
  <c r="E364" i="8" a="1"/>
  <c r="E364" i="8" s="1"/>
  <c r="Q375" i="8"/>
  <c r="I378" i="8" a="1"/>
  <c r="I378" i="8" s="1"/>
  <c r="M378" i="8" a="1"/>
  <c r="M378" i="8" s="1"/>
  <c r="E378" i="8" a="1"/>
  <c r="E378" i="8" s="1"/>
  <c r="L378" i="8" a="1"/>
  <c r="L378" i="8" s="1"/>
  <c r="H378" i="8" a="1"/>
  <c r="H378" i="8" s="1"/>
  <c r="F378" i="8" a="1"/>
  <c r="F378" i="8" s="1"/>
  <c r="O378" i="8" a="1"/>
  <c r="O378" i="8" s="1"/>
  <c r="K378" i="8" a="1"/>
  <c r="K378" i="8" s="1"/>
  <c r="H384" i="8" a="1"/>
  <c r="H384" i="8" s="1"/>
  <c r="N384" i="8" a="1"/>
  <c r="N384" i="8" s="1"/>
  <c r="F384" i="8" a="1"/>
  <c r="F384" i="8" s="1"/>
  <c r="L384" i="8" a="1"/>
  <c r="L384" i="8" s="1"/>
  <c r="K384" i="8" a="1"/>
  <c r="K384" i="8" s="1"/>
  <c r="O384" i="8" a="1"/>
  <c r="O384" i="8" s="1"/>
  <c r="M384" i="8" a="1"/>
  <c r="M384" i="8" s="1"/>
  <c r="J384" i="8" a="1"/>
  <c r="J384" i="8" s="1"/>
  <c r="I384" i="8" a="1"/>
  <c r="I384" i="8" s="1"/>
  <c r="G384" i="8" a="1"/>
  <c r="G384" i="8" s="1"/>
  <c r="E384" i="8" a="1"/>
  <c r="E384" i="8" s="1"/>
  <c r="H396" i="8" a="1"/>
  <c r="H396" i="8" s="1"/>
  <c r="Q297" i="8"/>
  <c r="K309" i="8" a="1"/>
  <c r="K309" i="8" s="1"/>
  <c r="I330" i="8" a="1"/>
  <c r="I330" i="8" s="1"/>
  <c r="I337" i="8" a="1"/>
  <c r="I337" i="8" s="1"/>
  <c r="N338" i="8" a="1"/>
  <c r="N338" i="8" s="1"/>
  <c r="K345" i="8" a="1"/>
  <c r="K345" i="8" s="1"/>
  <c r="M370" i="8" a="1"/>
  <c r="M370" i="8" s="1"/>
  <c r="E370" i="8" a="1"/>
  <c r="E370" i="8" s="1"/>
  <c r="I370" i="8" a="1"/>
  <c r="I370" i="8" s="1"/>
  <c r="F370" i="8" a="1"/>
  <c r="F370" i="8" s="1"/>
  <c r="O370" i="8" a="1"/>
  <c r="O370" i="8" s="1"/>
  <c r="N370" i="8" a="1"/>
  <c r="N370" i="8" s="1"/>
  <c r="L370" i="8" a="1"/>
  <c r="L370" i="8" s="1"/>
  <c r="K370" i="8" a="1"/>
  <c r="K370" i="8" s="1"/>
  <c r="H370" i="8" a="1"/>
  <c r="H370" i="8" s="1"/>
  <c r="K388" i="8" a="1"/>
  <c r="K388" i="8" s="1"/>
  <c r="J388" i="8" a="1"/>
  <c r="J388" i="8" s="1"/>
  <c r="H388" i="8" a="1"/>
  <c r="H388" i="8" s="1"/>
  <c r="O388" i="8" a="1"/>
  <c r="O388" i="8" s="1"/>
  <c r="G388" i="8" a="1"/>
  <c r="G388" i="8" s="1"/>
  <c r="N388" i="8" a="1"/>
  <c r="N388" i="8" s="1"/>
  <c r="F388" i="8" a="1"/>
  <c r="F388" i="8" s="1"/>
  <c r="M388" i="8" a="1"/>
  <c r="M388" i="8" s="1"/>
  <c r="E388" i="8" a="1"/>
  <c r="E388" i="8" s="1"/>
  <c r="L388" i="8" a="1"/>
  <c r="L388" i="8" s="1"/>
  <c r="I388" i="8" a="1"/>
  <c r="I388" i="8" s="1"/>
  <c r="M410" i="8" a="1"/>
  <c r="M410" i="8" s="1"/>
  <c r="J410" i="8" a="1"/>
  <c r="J410" i="8" s="1"/>
  <c r="I410" i="8" a="1"/>
  <c r="I410" i="8" s="1"/>
  <c r="G410" i="8" a="1"/>
  <c r="G410" i="8" s="1"/>
  <c r="O410" i="8" a="1"/>
  <c r="O410" i="8" s="1"/>
  <c r="F410" i="8" a="1"/>
  <c r="F410" i="8" s="1"/>
  <c r="N410" i="8" a="1"/>
  <c r="N410" i="8" s="1"/>
  <c r="E410" i="8" a="1"/>
  <c r="E410" i="8" s="1"/>
  <c r="L410" i="8" a="1"/>
  <c r="L410" i="8" s="1"/>
  <c r="H410" i="8" a="1"/>
  <c r="H410" i="8" s="1"/>
  <c r="K410" i="8" a="1"/>
  <c r="K410" i="8" s="1"/>
  <c r="I282" i="8" a="1"/>
  <c r="I282" i="8" s="1"/>
  <c r="G313" i="8" a="1"/>
  <c r="G313" i="8" s="1"/>
  <c r="G316" i="8" a="1"/>
  <c r="G316" i="8" s="1"/>
  <c r="G317" i="8" a="1"/>
  <c r="G317" i="8" s="1"/>
  <c r="J330" i="8" a="1"/>
  <c r="J330" i="8" s="1"/>
  <c r="E340" i="8" a="1"/>
  <c r="E340" i="8" s="1"/>
  <c r="I341" i="8" a="1"/>
  <c r="I341" i="8" s="1"/>
  <c r="L364" i="8" a="1"/>
  <c r="L364" i="8" s="1"/>
  <c r="J378" i="8" a="1"/>
  <c r="J378" i="8" s="1"/>
  <c r="G368" i="8" a="1"/>
  <c r="G368" i="8" s="1"/>
  <c r="G373" i="8" a="1"/>
  <c r="G373" i="8" s="1"/>
  <c r="O429" i="8" a="1"/>
  <c r="O429" i="8" s="1"/>
  <c r="G429" i="8" a="1"/>
  <c r="G429" i="8" s="1"/>
  <c r="N429" i="8" a="1"/>
  <c r="N429" i="8" s="1"/>
  <c r="F429" i="8" a="1"/>
  <c r="F429" i="8" s="1"/>
  <c r="J429" i="8" a="1"/>
  <c r="J429" i="8" s="1"/>
  <c r="I429" i="8" a="1"/>
  <c r="I429" i="8" s="1"/>
  <c r="E429" i="8" a="1"/>
  <c r="E429" i="8" s="1"/>
  <c r="M429" i="8" a="1"/>
  <c r="M429" i="8" s="1"/>
  <c r="L429" i="8" a="1"/>
  <c r="L429" i="8" s="1"/>
  <c r="K429" i="8" a="1"/>
  <c r="K429" i="8" s="1"/>
  <c r="O604" i="8" a="1"/>
  <c r="O604" i="8" s="1"/>
  <c r="G604" i="8" a="1"/>
  <c r="G604" i="8" s="1"/>
  <c r="L604" i="8" a="1"/>
  <c r="L604" i="8" s="1"/>
  <c r="J604" i="8" a="1"/>
  <c r="J604" i="8" s="1"/>
  <c r="H604" i="8" a="1"/>
  <c r="H604" i="8" s="1"/>
  <c r="F604" i="8" a="1"/>
  <c r="F604" i="8" s="1"/>
  <c r="E604" i="8" a="1"/>
  <c r="E604" i="8" s="1"/>
  <c r="N604" i="8" a="1"/>
  <c r="N604" i="8" s="1"/>
  <c r="K604" i="8" a="1"/>
  <c r="K604" i="8" s="1"/>
  <c r="M604" i="8" a="1"/>
  <c r="M604" i="8" s="1"/>
  <c r="I604" i="8" a="1"/>
  <c r="I604" i="8" s="1"/>
  <c r="E349" i="8" a="1"/>
  <c r="E349" i="8" s="1"/>
  <c r="N349" i="8" a="1"/>
  <c r="N349" i="8" s="1"/>
  <c r="Q390" i="8"/>
  <c r="Q471" i="8"/>
  <c r="F349" i="8" a="1"/>
  <c r="F349" i="8" s="1"/>
  <c r="O349" i="8" a="1"/>
  <c r="O349" i="8" s="1"/>
  <c r="L401" i="8" a="1"/>
  <c r="L401" i="8" s="1"/>
  <c r="K401" i="8" a="1"/>
  <c r="K401" i="8" s="1"/>
  <c r="H401" i="8" a="1"/>
  <c r="H401" i="8" s="1"/>
  <c r="O401" i="8" a="1"/>
  <c r="O401" i="8" s="1"/>
  <c r="G401" i="8" a="1"/>
  <c r="G401" i="8" s="1"/>
  <c r="N401" i="8" a="1"/>
  <c r="N401" i="8" s="1"/>
  <c r="F401" i="8" a="1"/>
  <c r="F401" i="8" s="1"/>
  <c r="H406" i="8" a="1"/>
  <c r="H406" i="8" s="1"/>
  <c r="O406" i="8" a="1"/>
  <c r="O406" i="8" s="1"/>
  <c r="G406" i="8" a="1"/>
  <c r="G406" i="8" s="1"/>
  <c r="M406" i="8" a="1"/>
  <c r="M406" i="8" s="1"/>
  <c r="E406" i="8" a="1"/>
  <c r="E406" i="8" s="1"/>
  <c r="L406" i="8" a="1"/>
  <c r="L406" i="8" s="1"/>
  <c r="K406" i="8" a="1"/>
  <c r="K406" i="8" s="1"/>
  <c r="J406" i="8" a="1"/>
  <c r="J406" i="8" s="1"/>
  <c r="K472" i="8" a="1"/>
  <c r="K472" i="8" s="1"/>
  <c r="J472" i="8" a="1"/>
  <c r="J472" i="8" s="1"/>
  <c r="I472" i="8" a="1"/>
  <c r="I472" i="8" s="1"/>
  <c r="H472" i="8" a="1"/>
  <c r="H472" i="8" s="1"/>
  <c r="N472" i="8" a="1"/>
  <c r="N472" i="8" s="1"/>
  <c r="F472" i="8" a="1"/>
  <c r="F472" i="8" s="1"/>
  <c r="M472" i="8" a="1"/>
  <c r="M472" i="8" s="1"/>
  <c r="E472" i="8" a="1"/>
  <c r="E472" i="8" s="1"/>
  <c r="G472" i="8" a="1"/>
  <c r="G472" i="8" s="1"/>
  <c r="O472" i="8" a="1"/>
  <c r="O472" i="8" s="1"/>
  <c r="L472" i="8" a="1"/>
  <c r="L472" i="8" s="1"/>
  <c r="O493" i="8" a="1"/>
  <c r="O493" i="8" s="1"/>
  <c r="G493" i="8" a="1"/>
  <c r="G493" i="8" s="1"/>
  <c r="N493" i="8" a="1"/>
  <c r="N493" i="8" s="1"/>
  <c r="F493" i="8" a="1"/>
  <c r="F493" i="8" s="1"/>
  <c r="J493" i="8" a="1"/>
  <c r="J493" i="8" s="1"/>
  <c r="I493" i="8" a="1"/>
  <c r="I493" i="8" s="1"/>
  <c r="M493" i="8" a="1"/>
  <c r="M493" i="8" s="1"/>
  <c r="L493" i="8" a="1"/>
  <c r="L493" i="8" s="1"/>
  <c r="K493" i="8" a="1"/>
  <c r="K493" i="8" s="1"/>
  <c r="H493" i="8" a="1"/>
  <c r="H493" i="8" s="1"/>
  <c r="E493" i="8" a="1"/>
  <c r="E493" i="8" s="1"/>
  <c r="M566" i="8" a="1"/>
  <c r="M566" i="8" s="1"/>
  <c r="E566" i="8" a="1"/>
  <c r="E566" i="8" s="1"/>
  <c r="L566" i="8" a="1"/>
  <c r="L566" i="8" s="1"/>
  <c r="K566" i="8" a="1"/>
  <c r="K566" i="8" s="1"/>
  <c r="J566" i="8" a="1"/>
  <c r="J566" i="8" s="1"/>
  <c r="I566" i="8" a="1"/>
  <c r="I566" i="8" s="1"/>
  <c r="H566" i="8" a="1"/>
  <c r="H566" i="8" s="1"/>
  <c r="F566" i="8" a="1"/>
  <c r="F566" i="8" s="1"/>
  <c r="N566" i="8" a="1"/>
  <c r="N566" i="8" s="1"/>
  <c r="G566" i="8" a="1"/>
  <c r="G566" i="8" s="1"/>
  <c r="Q352" i="8"/>
  <c r="Q392" i="8"/>
  <c r="F409" i="8" a="1"/>
  <c r="F409" i="8" s="1"/>
  <c r="L450" i="8" a="1"/>
  <c r="L450" i="8" s="1"/>
  <c r="K450" i="8" a="1"/>
  <c r="K450" i="8" s="1"/>
  <c r="J450" i="8" a="1"/>
  <c r="J450" i="8" s="1"/>
  <c r="I450" i="8" a="1"/>
  <c r="I450" i="8" s="1"/>
  <c r="O450" i="8" a="1"/>
  <c r="O450" i="8" s="1"/>
  <c r="G450" i="8" a="1"/>
  <c r="G450" i="8" s="1"/>
  <c r="N450" i="8" a="1"/>
  <c r="N450" i="8" s="1"/>
  <c r="F450" i="8" a="1"/>
  <c r="F450" i="8" s="1"/>
  <c r="E450" i="8" a="1"/>
  <c r="E450" i="8" s="1"/>
  <c r="M450" i="8" a="1"/>
  <c r="M450" i="8" s="1"/>
  <c r="O461" i="8" a="1"/>
  <c r="O461" i="8" s="1"/>
  <c r="G461" i="8" a="1"/>
  <c r="G461" i="8" s="1"/>
  <c r="N461" i="8" a="1"/>
  <c r="N461" i="8" s="1"/>
  <c r="F461" i="8" a="1"/>
  <c r="F461" i="8" s="1"/>
  <c r="J461" i="8" a="1"/>
  <c r="J461" i="8" s="1"/>
  <c r="I461" i="8" a="1"/>
  <c r="I461" i="8" s="1"/>
  <c r="H461" i="8" a="1"/>
  <c r="H461" i="8" s="1"/>
  <c r="E461" i="8" a="1"/>
  <c r="E461" i="8" s="1"/>
  <c r="M461" i="8" a="1"/>
  <c r="M461" i="8" s="1"/>
  <c r="L461" i="8" a="1"/>
  <c r="L461" i="8" s="1"/>
  <c r="K368" i="8" a="1"/>
  <c r="K368" i="8" s="1"/>
  <c r="J381" i="8" a="1"/>
  <c r="J381" i="8" s="1"/>
  <c r="I381" i="8" a="1"/>
  <c r="I381" i="8" s="1"/>
  <c r="N381" i="8" a="1"/>
  <c r="N381" i="8" s="1"/>
  <c r="F381" i="8" a="1"/>
  <c r="F381" i="8" s="1"/>
  <c r="M381" i="8" a="1"/>
  <c r="M381" i="8" s="1"/>
  <c r="E381" i="8" a="1"/>
  <c r="E381" i="8" s="1"/>
  <c r="L381" i="8" a="1"/>
  <c r="L381" i="8" s="1"/>
  <c r="M395" i="8" a="1"/>
  <c r="M395" i="8" s="1"/>
  <c r="E395" i="8" a="1"/>
  <c r="E395" i="8" s="1"/>
  <c r="L395" i="8" a="1"/>
  <c r="L395" i="8" s="1"/>
  <c r="I395" i="8" a="1"/>
  <c r="I395" i="8" s="1"/>
  <c r="H395" i="8" a="1"/>
  <c r="H395" i="8" s="1"/>
  <c r="O395" i="8" a="1"/>
  <c r="O395" i="8" s="1"/>
  <c r="G395" i="8" a="1"/>
  <c r="G395" i="8" s="1"/>
  <c r="K407" i="8" a="1"/>
  <c r="K407" i="8" s="1"/>
  <c r="J407" i="8" a="1"/>
  <c r="J407" i="8" s="1"/>
  <c r="O407" i="8" a="1"/>
  <c r="O407" i="8" s="1"/>
  <c r="G407" i="8" a="1"/>
  <c r="G407" i="8" s="1"/>
  <c r="N407" i="8" a="1"/>
  <c r="N407" i="8" s="1"/>
  <c r="F407" i="8" a="1"/>
  <c r="F407" i="8" s="1"/>
  <c r="M407" i="8" a="1"/>
  <c r="M407" i="8" s="1"/>
  <c r="E407" i="8" a="1"/>
  <c r="E407" i="8" s="1"/>
  <c r="L415" i="8" a="1"/>
  <c r="L415" i="8" s="1"/>
  <c r="K415" i="8" a="1"/>
  <c r="K415" i="8" s="1"/>
  <c r="N415" i="8" a="1"/>
  <c r="N415" i="8" s="1"/>
  <c r="F415" i="8" a="1"/>
  <c r="F415" i="8" s="1"/>
  <c r="E415" i="8" a="1"/>
  <c r="E415" i="8" s="1"/>
  <c r="O415" i="8" a="1"/>
  <c r="O415" i="8" s="1"/>
  <c r="J415" i="8" a="1"/>
  <c r="J415" i="8" s="1"/>
  <c r="I415" i="8" a="1"/>
  <c r="I415" i="8" s="1"/>
  <c r="H415" i="8" a="1"/>
  <c r="H415" i="8" s="1"/>
  <c r="Q424" i="8"/>
  <c r="N486" i="8" a="1"/>
  <c r="N486" i="8" s="1"/>
  <c r="F486" i="8" a="1"/>
  <c r="F486" i="8" s="1"/>
  <c r="M486" i="8" a="1"/>
  <c r="M486" i="8" s="1"/>
  <c r="E486" i="8" a="1"/>
  <c r="E486" i="8" s="1"/>
  <c r="L486" i="8" a="1"/>
  <c r="L486" i="8" s="1"/>
  <c r="K486" i="8" a="1"/>
  <c r="K486" i="8" s="1"/>
  <c r="I486" i="8" a="1"/>
  <c r="I486" i="8" s="1"/>
  <c r="H486" i="8" a="1"/>
  <c r="H486" i="8" s="1"/>
  <c r="O486" i="8" a="1"/>
  <c r="O486" i="8" s="1"/>
  <c r="J486" i="8" a="1"/>
  <c r="J486" i="8" s="1"/>
  <c r="G486" i="8" a="1"/>
  <c r="G486" i="8" s="1"/>
  <c r="H490" i="8" a="1"/>
  <c r="H490" i="8" s="1"/>
  <c r="O490" i="8" a="1"/>
  <c r="O490" i="8" s="1"/>
  <c r="G490" i="8" a="1"/>
  <c r="G490" i="8" s="1"/>
  <c r="N490" i="8" a="1"/>
  <c r="N490" i="8" s="1"/>
  <c r="F490" i="8" a="1"/>
  <c r="F490" i="8" s="1"/>
  <c r="M490" i="8" a="1"/>
  <c r="M490" i="8" s="1"/>
  <c r="E490" i="8" a="1"/>
  <c r="E490" i="8" s="1"/>
  <c r="K490" i="8" a="1"/>
  <c r="K490" i="8" s="1"/>
  <c r="J490" i="8" a="1"/>
  <c r="J490" i="8" s="1"/>
  <c r="L490" i="8" a="1"/>
  <c r="L490" i="8" s="1"/>
  <c r="I349" i="8" a="1"/>
  <c r="I349" i="8" s="1"/>
  <c r="L349" i="8" a="1"/>
  <c r="L349" i="8" s="1"/>
  <c r="I387" i="8" a="1"/>
  <c r="I387" i="8" s="1"/>
  <c r="H387" i="8" a="1"/>
  <c r="H387" i="8" s="1"/>
  <c r="M387" i="8" a="1"/>
  <c r="M387" i="8" s="1"/>
  <c r="E387" i="8" a="1"/>
  <c r="E387" i="8" s="1"/>
  <c r="L387" i="8" a="1"/>
  <c r="L387" i="8" s="1"/>
  <c r="K387" i="8" a="1"/>
  <c r="K387" i="8" s="1"/>
  <c r="E401" i="8" a="1"/>
  <c r="E401" i="8" s="1"/>
  <c r="F406" i="8" a="1"/>
  <c r="F406" i="8" s="1"/>
  <c r="M408" i="8" a="1"/>
  <c r="M408" i="8" s="1"/>
  <c r="E408" i="8" a="1"/>
  <c r="E408" i="8" s="1"/>
  <c r="L408" i="8" a="1"/>
  <c r="L408" i="8" s="1"/>
  <c r="J408" i="8" a="1"/>
  <c r="J408" i="8" s="1"/>
  <c r="I408" i="8" a="1"/>
  <c r="I408" i="8" s="1"/>
  <c r="H408" i="8" a="1"/>
  <c r="H408" i="8" s="1"/>
  <c r="O408" i="8" a="1"/>
  <c r="O408" i="8" s="1"/>
  <c r="G408" i="8" a="1"/>
  <c r="G408" i="8" s="1"/>
  <c r="N416" i="8" a="1"/>
  <c r="N416" i="8" s="1"/>
  <c r="F416" i="8" a="1"/>
  <c r="F416" i="8" s="1"/>
  <c r="L416" i="8" a="1"/>
  <c r="L416" i="8" s="1"/>
  <c r="O416" i="8" a="1"/>
  <c r="O416" i="8" s="1"/>
  <c r="M416" i="8" a="1"/>
  <c r="M416" i="8" s="1"/>
  <c r="I416" i="8" a="1"/>
  <c r="I416" i="8" s="1"/>
  <c r="H416" i="8" a="1"/>
  <c r="H416" i="8" s="1"/>
  <c r="G416" i="8" a="1"/>
  <c r="G416" i="8" s="1"/>
  <c r="E416" i="8" a="1"/>
  <c r="E416" i="8" s="1"/>
  <c r="J534" i="8" a="1"/>
  <c r="J534" i="8" s="1"/>
  <c r="I534" i="8" a="1"/>
  <c r="I534" i="8" s="1"/>
  <c r="N534" i="8" a="1"/>
  <c r="N534" i="8" s="1"/>
  <c r="F534" i="8" a="1"/>
  <c r="F534" i="8" s="1"/>
  <c r="H534" i="8" a="1"/>
  <c r="H534" i="8" s="1"/>
  <c r="G534" i="8" a="1"/>
  <c r="G534" i="8" s="1"/>
  <c r="E534" i="8" a="1"/>
  <c r="E534" i="8" s="1"/>
  <c r="O534" i="8" a="1"/>
  <c r="O534" i="8" s="1"/>
  <c r="M534" i="8" a="1"/>
  <c r="M534" i="8" s="1"/>
  <c r="L534" i="8" a="1"/>
  <c r="L534" i="8" s="1"/>
  <c r="K534" i="8" a="1"/>
  <c r="K534" i="8" s="1"/>
  <c r="H349" i="8" a="1"/>
  <c r="H349" i="8" s="1"/>
  <c r="F387" i="8" a="1"/>
  <c r="F387" i="8" s="1"/>
  <c r="F395" i="8" a="1"/>
  <c r="F395" i="8" s="1"/>
  <c r="I401" i="8" a="1"/>
  <c r="I401" i="8" s="1"/>
  <c r="I490" i="8" a="1"/>
  <c r="I490" i="8" s="1"/>
  <c r="Q357" i="8"/>
  <c r="Q358" i="8"/>
  <c r="Q360" i="8"/>
  <c r="Q389" i="8"/>
  <c r="J395" i="8" a="1"/>
  <c r="J395" i="8" s="1"/>
  <c r="I403" i="8" a="1"/>
  <c r="I403" i="8" s="1"/>
  <c r="H403" i="8" a="1"/>
  <c r="H403" i="8" s="1"/>
  <c r="M403" i="8" a="1"/>
  <c r="M403" i="8" s="1"/>
  <c r="E403" i="8" a="1"/>
  <c r="E403" i="8" s="1"/>
  <c r="L403" i="8" a="1"/>
  <c r="L403" i="8" s="1"/>
  <c r="K403" i="8" a="1"/>
  <c r="K403" i="8" s="1"/>
  <c r="I406" i="8" a="1"/>
  <c r="I406" i="8" s="1"/>
  <c r="F408" i="8" a="1"/>
  <c r="F408" i="8" s="1"/>
  <c r="F418" i="8" a="1"/>
  <c r="F418" i="8" s="1"/>
  <c r="Q386" i="8"/>
  <c r="Q397" i="8"/>
  <c r="J401" i="8" a="1"/>
  <c r="J401" i="8" s="1"/>
  <c r="L447" i="8" a="1"/>
  <c r="L447" i="8" s="1"/>
  <c r="K447" i="8" a="1"/>
  <c r="K447" i="8" s="1"/>
  <c r="O447" i="8" a="1"/>
  <c r="O447" i="8" s="1"/>
  <c r="G447" i="8" a="1"/>
  <c r="G447" i="8" s="1"/>
  <c r="N447" i="8" a="1"/>
  <c r="N447" i="8" s="1"/>
  <c r="F447" i="8" a="1"/>
  <c r="F447" i="8" s="1"/>
  <c r="J447" i="8" a="1"/>
  <c r="J447" i="8" s="1"/>
  <c r="I447" i="8" a="1"/>
  <c r="I447" i="8" s="1"/>
  <c r="H447" i="8" a="1"/>
  <c r="H447" i="8" s="1"/>
  <c r="E447" i="8" a="1"/>
  <c r="E447" i="8" s="1"/>
  <c r="L482" i="8" a="1"/>
  <c r="L482" i="8" s="1"/>
  <c r="K482" i="8" a="1"/>
  <c r="K482" i="8" s="1"/>
  <c r="J482" i="8" a="1"/>
  <c r="J482" i="8" s="1"/>
  <c r="I482" i="8" a="1"/>
  <c r="I482" i="8" s="1"/>
  <c r="O482" i="8" a="1"/>
  <c r="O482" i="8" s="1"/>
  <c r="G482" i="8" a="1"/>
  <c r="G482" i="8" s="1"/>
  <c r="N482" i="8" a="1"/>
  <c r="N482" i="8" s="1"/>
  <c r="F482" i="8" a="1"/>
  <c r="F482" i="8" s="1"/>
  <c r="M482" i="8" a="1"/>
  <c r="M482" i="8" s="1"/>
  <c r="H482" i="8" a="1"/>
  <c r="H482" i="8" s="1"/>
  <c r="E482" i="8" a="1"/>
  <c r="E482" i="8" s="1"/>
  <c r="O622" i="8" a="1"/>
  <c r="O622" i="8" s="1"/>
  <c r="G622" i="8" a="1"/>
  <c r="G622" i="8" s="1"/>
  <c r="L622" i="8" a="1"/>
  <c r="L622" i="8" s="1"/>
  <c r="N622" i="8" a="1"/>
  <c r="N622" i="8" s="1"/>
  <c r="E622" i="8" a="1"/>
  <c r="E622" i="8" s="1"/>
  <c r="M622" i="8" a="1"/>
  <c r="M622" i="8" s="1"/>
  <c r="K622" i="8" a="1"/>
  <c r="K622" i="8" s="1"/>
  <c r="I622" i="8" a="1"/>
  <c r="I622" i="8" s="1"/>
  <c r="H622" i="8" a="1"/>
  <c r="H622" i="8" s="1"/>
  <c r="J622" i="8" a="1"/>
  <c r="J622" i="8" s="1"/>
  <c r="F622" i="8" a="1"/>
  <c r="F622" i="8" s="1"/>
  <c r="J349" i="8" a="1"/>
  <c r="J349" i="8" s="1"/>
  <c r="G381" i="8" a="1"/>
  <c r="G381" i="8" s="1"/>
  <c r="K395" i="8" a="1"/>
  <c r="K395" i="8" s="1"/>
  <c r="I400" i="8" a="1"/>
  <c r="I400" i="8" s="1"/>
  <c r="H400" i="8" a="1"/>
  <c r="H400" i="8" s="1"/>
  <c r="N400" i="8" a="1"/>
  <c r="N400" i="8" s="1"/>
  <c r="F400" i="8" a="1"/>
  <c r="F400" i="8" s="1"/>
  <c r="M400" i="8" a="1"/>
  <c r="M400" i="8" s="1"/>
  <c r="E400" i="8" a="1"/>
  <c r="E400" i="8" s="1"/>
  <c r="L400" i="8" a="1"/>
  <c r="L400" i="8" s="1"/>
  <c r="K400" i="8" a="1"/>
  <c r="K400" i="8" s="1"/>
  <c r="Q405" i="8"/>
  <c r="H409" i="8" a="1"/>
  <c r="H409" i="8" s="1"/>
  <c r="O409" i="8" a="1"/>
  <c r="O409" i="8" s="1"/>
  <c r="G409" i="8" a="1"/>
  <c r="G409" i="8" s="1"/>
  <c r="L409" i="8" a="1"/>
  <c r="L409" i="8" s="1"/>
  <c r="K409" i="8" a="1"/>
  <c r="K409" i="8" s="1"/>
  <c r="J409" i="8" a="1"/>
  <c r="J409" i="8" s="1"/>
  <c r="K416" i="8" a="1"/>
  <c r="K416" i="8" s="1"/>
  <c r="M428" i="8" a="1"/>
  <c r="M428" i="8" s="1"/>
  <c r="E428" i="8" a="1"/>
  <c r="E428" i="8" s="1"/>
  <c r="L428" i="8" a="1"/>
  <c r="L428" i="8" s="1"/>
  <c r="K428" i="8" a="1"/>
  <c r="K428" i="8" s="1"/>
  <c r="J428" i="8" a="1"/>
  <c r="J428" i="8" s="1"/>
  <c r="O428" i="8" a="1"/>
  <c r="O428" i="8" s="1"/>
  <c r="I428" i="8" a="1"/>
  <c r="I428" i="8" s="1"/>
  <c r="H428" i="8" a="1"/>
  <c r="H428" i="8" s="1"/>
  <c r="G428" i="8" a="1"/>
  <c r="G428" i="8" s="1"/>
  <c r="L434" i="8" a="1"/>
  <c r="L434" i="8" s="1"/>
  <c r="K434" i="8" a="1"/>
  <c r="K434" i="8" s="1"/>
  <c r="J434" i="8" a="1"/>
  <c r="J434" i="8" s="1"/>
  <c r="I434" i="8" a="1"/>
  <c r="I434" i="8" s="1"/>
  <c r="N434" i="8" a="1"/>
  <c r="N434" i="8" s="1"/>
  <c r="F434" i="8" a="1"/>
  <c r="F434" i="8" s="1"/>
  <c r="O434" i="8" a="1"/>
  <c r="O434" i="8" s="1"/>
  <c r="M434" i="8" a="1"/>
  <c r="M434" i="8" s="1"/>
  <c r="H434" i="8" a="1"/>
  <c r="H434" i="8" s="1"/>
  <c r="G434" i="8" a="1"/>
  <c r="G434" i="8" s="1"/>
  <c r="E434" i="8" a="1"/>
  <c r="E434" i="8" s="1"/>
  <c r="Q456" i="8"/>
  <c r="H439" i="8" a="1"/>
  <c r="H439" i="8" s="1"/>
  <c r="O439" i="8" a="1"/>
  <c r="O439" i="8" s="1"/>
  <c r="G439" i="8" a="1"/>
  <c r="G439" i="8" s="1"/>
  <c r="K439" i="8" a="1"/>
  <c r="K439" i="8" s="1"/>
  <c r="J439" i="8" a="1"/>
  <c r="J439" i="8" s="1"/>
  <c r="N439" i="8" a="1"/>
  <c r="N439" i="8" s="1"/>
  <c r="M439" i="8" a="1"/>
  <c r="M439" i="8" s="1"/>
  <c r="I439" i="8" a="1"/>
  <c r="I439" i="8" s="1"/>
  <c r="F439" i="8" a="1"/>
  <c r="F439" i="8" s="1"/>
  <c r="E439" i="8" a="1"/>
  <c r="E439" i="8" s="1"/>
  <c r="H442" i="8" a="1"/>
  <c r="H442" i="8" s="1"/>
  <c r="O442" i="8" a="1"/>
  <c r="O442" i="8" s="1"/>
  <c r="G442" i="8" a="1"/>
  <c r="G442" i="8" s="1"/>
  <c r="N442" i="8" a="1"/>
  <c r="N442" i="8" s="1"/>
  <c r="F442" i="8" a="1"/>
  <c r="F442" i="8" s="1"/>
  <c r="M442" i="8" a="1"/>
  <c r="M442" i="8" s="1"/>
  <c r="E442" i="8" a="1"/>
  <c r="E442" i="8" s="1"/>
  <c r="J442" i="8" a="1"/>
  <c r="J442" i="8" s="1"/>
  <c r="L442" i="8" a="1"/>
  <c r="L442" i="8" s="1"/>
  <c r="K442" i="8" a="1"/>
  <c r="K442" i="8" s="1"/>
  <c r="I442" i="8" a="1"/>
  <c r="I442" i="8" s="1"/>
  <c r="H474" i="8" a="1"/>
  <c r="H474" i="8" s="1"/>
  <c r="O474" i="8" a="1"/>
  <c r="O474" i="8" s="1"/>
  <c r="G474" i="8" a="1"/>
  <c r="G474" i="8" s="1"/>
  <c r="N474" i="8" a="1"/>
  <c r="N474" i="8" s="1"/>
  <c r="F474" i="8" a="1"/>
  <c r="F474" i="8" s="1"/>
  <c r="M474" i="8" a="1"/>
  <c r="M474" i="8" s="1"/>
  <c r="E474" i="8" a="1"/>
  <c r="E474" i="8" s="1"/>
  <c r="K474" i="8" a="1"/>
  <c r="K474" i="8" s="1"/>
  <c r="J474" i="8" a="1"/>
  <c r="J474" i="8" s="1"/>
  <c r="L474" i="8" a="1"/>
  <c r="L474" i="8" s="1"/>
  <c r="I474" i="8" a="1"/>
  <c r="I474" i="8" s="1"/>
  <c r="N483" i="8" a="1"/>
  <c r="N483" i="8" s="1"/>
  <c r="F483" i="8" a="1"/>
  <c r="F483" i="8" s="1"/>
  <c r="M483" i="8" a="1"/>
  <c r="M483" i="8" s="1"/>
  <c r="E483" i="8" a="1"/>
  <c r="E483" i="8" s="1"/>
  <c r="I483" i="8" a="1"/>
  <c r="I483" i="8" s="1"/>
  <c r="H483" i="8" a="1"/>
  <c r="H483" i="8" s="1"/>
  <c r="O483" i="8" a="1"/>
  <c r="O483" i="8" s="1"/>
  <c r="L483" i="8" a="1"/>
  <c r="L483" i="8" s="1"/>
  <c r="K483" i="8" a="1"/>
  <c r="K483" i="8" s="1"/>
  <c r="J483" i="8" a="1"/>
  <c r="J483" i="8" s="1"/>
  <c r="K349" i="8" a="1"/>
  <c r="K349" i="8" s="1"/>
  <c r="H368" i="8" a="1"/>
  <c r="H368" i="8" s="1"/>
  <c r="L368" i="8" a="1"/>
  <c r="L368" i="8" s="1"/>
  <c r="N373" i="8" a="1"/>
  <c r="N373" i="8" s="1"/>
  <c r="F373" i="8" a="1"/>
  <c r="F373" i="8" s="1"/>
  <c r="M373" i="8" a="1"/>
  <c r="M373" i="8" s="1"/>
  <c r="E373" i="8" a="1"/>
  <c r="E373" i="8" s="1"/>
  <c r="J373" i="8" a="1"/>
  <c r="J373" i="8" s="1"/>
  <c r="I373" i="8" a="1"/>
  <c r="I373" i="8" s="1"/>
  <c r="H373" i="8" a="1"/>
  <c r="H373" i="8" s="1"/>
  <c r="H381" i="8" a="1"/>
  <c r="H381" i="8" s="1"/>
  <c r="N387" i="8" a="1"/>
  <c r="N387" i="8" s="1"/>
  <c r="N395" i="8" a="1"/>
  <c r="N395" i="8" s="1"/>
  <c r="N402" i="8" a="1"/>
  <c r="N402" i="8" s="1"/>
  <c r="F402" i="8" a="1"/>
  <c r="F402" i="8" s="1"/>
  <c r="M402" i="8" a="1"/>
  <c r="M402" i="8" s="1"/>
  <c r="E402" i="8" a="1"/>
  <c r="E402" i="8" s="1"/>
  <c r="K402" i="8" a="1"/>
  <c r="K402" i="8" s="1"/>
  <c r="J402" i="8" a="1"/>
  <c r="J402" i="8" s="1"/>
  <c r="I402" i="8" a="1"/>
  <c r="I402" i="8" s="1"/>
  <c r="H402" i="8" a="1"/>
  <c r="H402" i="8" s="1"/>
  <c r="L412" i="8" a="1"/>
  <c r="L412" i="8" s="1"/>
  <c r="J412" i="8" a="1"/>
  <c r="J412" i="8" s="1"/>
  <c r="M412" i="8" a="1"/>
  <c r="M412" i="8" s="1"/>
  <c r="K412" i="8" a="1"/>
  <c r="K412" i="8" s="1"/>
  <c r="I412" i="8" a="1"/>
  <c r="I412" i="8" s="1"/>
  <c r="H412" i="8" a="1"/>
  <c r="H412" i="8" s="1"/>
  <c r="G412" i="8" a="1"/>
  <c r="G412" i="8" s="1"/>
  <c r="F412" i="8" a="1"/>
  <c r="F412" i="8" s="1"/>
  <c r="E412" i="8" a="1"/>
  <c r="E412" i="8" s="1"/>
  <c r="K418" i="8" a="1"/>
  <c r="K418" i="8" s="1"/>
  <c r="I418" i="8" a="1"/>
  <c r="I418" i="8" s="1"/>
  <c r="H418" i="8" a="1"/>
  <c r="H418" i="8" s="1"/>
  <c r="E418" i="8" a="1"/>
  <c r="E418" i="8" s="1"/>
  <c r="O418" i="8" a="1"/>
  <c r="O418" i="8" s="1"/>
  <c r="N418" i="8" a="1"/>
  <c r="N418" i="8" s="1"/>
  <c r="M418" i="8" a="1"/>
  <c r="M418" i="8" s="1"/>
  <c r="Q426" i="8"/>
  <c r="N435" i="8" a="1"/>
  <c r="N435" i="8" s="1"/>
  <c r="F435" i="8" a="1"/>
  <c r="F435" i="8" s="1"/>
  <c r="M435" i="8" a="1"/>
  <c r="M435" i="8" s="1"/>
  <c r="E435" i="8" a="1"/>
  <c r="E435" i="8" s="1"/>
  <c r="I435" i="8" a="1"/>
  <c r="I435" i="8" s="1"/>
  <c r="H435" i="8" a="1"/>
  <c r="H435" i="8" s="1"/>
  <c r="L435" i="8" a="1"/>
  <c r="L435" i="8" s="1"/>
  <c r="K435" i="8" a="1"/>
  <c r="K435" i="8" s="1"/>
  <c r="J435" i="8" a="1"/>
  <c r="J435" i="8" s="1"/>
  <c r="G435" i="8" a="1"/>
  <c r="G435" i="8" s="1"/>
  <c r="G483" i="8" a="1"/>
  <c r="G483" i="8" s="1"/>
  <c r="E368" i="8" a="1"/>
  <c r="E368" i="8" s="1"/>
  <c r="Q399" i="8"/>
  <c r="J403" i="8" a="1"/>
  <c r="J403" i="8" s="1"/>
  <c r="N408" i="8" a="1"/>
  <c r="N408" i="8" s="1"/>
  <c r="H429" i="8" a="1"/>
  <c r="H429" i="8" s="1"/>
  <c r="O435" i="8" a="1"/>
  <c r="O435" i="8" s="1"/>
  <c r="L439" i="8" a="1"/>
  <c r="L439" i="8" s="1"/>
  <c r="Q445" i="8"/>
  <c r="O477" i="8" a="1"/>
  <c r="O477" i="8" s="1"/>
  <c r="G477" i="8" a="1"/>
  <c r="G477" i="8" s="1"/>
  <c r="N477" i="8" a="1"/>
  <c r="N477" i="8" s="1"/>
  <c r="F477" i="8" a="1"/>
  <c r="F477" i="8" s="1"/>
  <c r="J477" i="8" a="1"/>
  <c r="J477" i="8" s="1"/>
  <c r="I477" i="8" a="1"/>
  <c r="I477" i="8" s="1"/>
  <c r="M477" i="8" a="1"/>
  <c r="M477" i="8" s="1"/>
  <c r="L477" i="8" a="1"/>
  <c r="L477" i="8" s="1"/>
  <c r="K477" i="8" a="1"/>
  <c r="K477" i="8" s="1"/>
  <c r="H477" i="8" a="1"/>
  <c r="H477" i="8" s="1"/>
  <c r="E477" i="8" a="1"/>
  <c r="E477" i="8" s="1"/>
  <c r="F368" i="8" a="1"/>
  <c r="F368" i="8" s="1"/>
  <c r="Q385" i="8"/>
  <c r="O387" i="8" a="1"/>
  <c r="O387" i="8" s="1"/>
  <c r="J400" i="8" a="1"/>
  <c r="J400" i="8" s="1"/>
  <c r="N419" i="8" a="1"/>
  <c r="N419" i="8" s="1"/>
  <c r="F419" i="8" a="1"/>
  <c r="F419" i="8" s="1"/>
  <c r="M419" i="8" a="1"/>
  <c r="M419" i="8" s="1"/>
  <c r="E419" i="8" a="1"/>
  <c r="E419" i="8" s="1"/>
  <c r="H419" i="8" a="1"/>
  <c r="H419" i="8" s="1"/>
  <c r="G419" i="8" a="1"/>
  <c r="G419" i="8" s="1"/>
  <c r="L419" i="8" a="1"/>
  <c r="L419" i="8" s="1"/>
  <c r="K419" i="8" a="1"/>
  <c r="K419" i="8" s="1"/>
  <c r="J419" i="8" a="1"/>
  <c r="J419" i="8" s="1"/>
  <c r="J478" i="8" a="1"/>
  <c r="J478" i="8" s="1"/>
  <c r="I478" i="8" a="1"/>
  <c r="I478" i="8" s="1"/>
  <c r="H478" i="8" a="1"/>
  <c r="H478" i="8" s="1"/>
  <c r="O478" i="8" a="1"/>
  <c r="O478" i="8" s="1"/>
  <c r="G478" i="8" a="1"/>
  <c r="G478" i="8" s="1"/>
  <c r="M478" i="8" a="1"/>
  <c r="M478" i="8" s="1"/>
  <c r="E478" i="8" a="1"/>
  <c r="E478" i="8" s="1"/>
  <c r="L478" i="8" a="1"/>
  <c r="L478" i="8" s="1"/>
  <c r="N478" i="8" a="1"/>
  <c r="N478" i="8" s="1"/>
  <c r="K478" i="8" a="1"/>
  <c r="K478" i="8" s="1"/>
  <c r="F478" i="8" a="1"/>
  <c r="F478" i="8" s="1"/>
  <c r="I417" i="8" a="1"/>
  <c r="I417" i="8" s="1"/>
  <c r="H417" i="8" a="1"/>
  <c r="H417" i="8" s="1"/>
  <c r="K417" i="8" a="1"/>
  <c r="K417" i="8" s="1"/>
  <c r="N417" i="8" a="1"/>
  <c r="N417" i="8" s="1"/>
  <c r="J441" i="8" a="1"/>
  <c r="J441" i="8" s="1"/>
  <c r="K446" i="8" a="1"/>
  <c r="K446" i="8" s="1"/>
  <c r="F460" i="8" a="1"/>
  <c r="F460" i="8" s="1"/>
  <c r="H479" i="8" a="1"/>
  <c r="H479" i="8" s="1"/>
  <c r="L487" i="8" a="1"/>
  <c r="L487" i="8" s="1"/>
  <c r="J502" i="8" a="1"/>
  <c r="J502" i="8" s="1"/>
  <c r="I502" i="8" a="1"/>
  <c r="I502" i="8" s="1"/>
  <c r="N502" i="8" a="1"/>
  <c r="N502" i="8" s="1"/>
  <c r="F502" i="8" a="1"/>
  <c r="F502" i="8" s="1"/>
  <c r="O502" i="8" a="1"/>
  <c r="O502" i="8" s="1"/>
  <c r="M502" i="8" a="1"/>
  <c r="M502" i="8" s="1"/>
  <c r="L502" i="8" a="1"/>
  <c r="L502" i="8" s="1"/>
  <c r="H502" i="8" a="1"/>
  <c r="H502" i="8" s="1"/>
  <c r="G502" i="8" a="1"/>
  <c r="G502" i="8" s="1"/>
  <c r="M549" i="8" a="1"/>
  <c r="M549" i="8" s="1"/>
  <c r="K549" i="8" a="1"/>
  <c r="K549" i="8" s="1"/>
  <c r="H549" i="8" a="1"/>
  <c r="H549" i="8" s="1"/>
  <c r="G549" i="8" a="1"/>
  <c r="G549" i="8" s="1"/>
  <c r="N549" i="8" a="1"/>
  <c r="N549" i="8" s="1"/>
  <c r="E549" i="8" a="1"/>
  <c r="E549" i="8" s="1"/>
  <c r="L549" i="8" a="1"/>
  <c r="L549" i="8" s="1"/>
  <c r="J549" i="8" a="1"/>
  <c r="J549" i="8" s="1"/>
  <c r="O549" i="8" a="1"/>
  <c r="O549" i="8" s="1"/>
  <c r="I549" i="8" a="1"/>
  <c r="I549" i="8" s="1"/>
  <c r="F549" i="8" a="1"/>
  <c r="F549" i="8" s="1"/>
  <c r="O417" i="8" a="1"/>
  <c r="O417" i="8" s="1"/>
  <c r="Q433" i="8"/>
  <c r="K441" i="8" a="1"/>
  <c r="K441" i="8" s="1"/>
  <c r="Q443" i="8"/>
  <c r="Q452" i="8"/>
  <c r="K515" i="8" a="1"/>
  <c r="K515" i="8" s="1"/>
  <c r="H515" i="8" a="1"/>
  <c r="H515" i="8" s="1"/>
  <c r="O515" i="8" a="1"/>
  <c r="O515" i="8" s="1"/>
  <c r="G515" i="8" a="1"/>
  <c r="G515" i="8" s="1"/>
  <c r="N515" i="8" a="1"/>
  <c r="N515" i="8" s="1"/>
  <c r="F515" i="8" a="1"/>
  <c r="F515" i="8" s="1"/>
  <c r="M515" i="8" a="1"/>
  <c r="M515" i="8" s="1"/>
  <c r="E515" i="8" a="1"/>
  <c r="E515" i="8" s="1"/>
  <c r="L515" i="8" a="1"/>
  <c r="L515" i="8" s="1"/>
  <c r="J515" i="8" a="1"/>
  <c r="J515" i="8" s="1"/>
  <c r="I515" i="8" a="1"/>
  <c r="I515" i="8" s="1"/>
  <c r="O638" i="8" a="1"/>
  <c r="O638" i="8" s="1"/>
  <c r="G638" i="8" a="1"/>
  <c r="G638" i="8" s="1"/>
  <c r="N638" i="8" a="1"/>
  <c r="N638" i="8" s="1"/>
  <c r="F638" i="8" a="1"/>
  <c r="F638" i="8" s="1"/>
  <c r="L638" i="8" a="1"/>
  <c r="L638" i="8" s="1"/>
  <c r="M638" i="8" a="1"/>
  <c r="M638" i="8" s="1"/>
  <c r="J638" i="8" a="1"/>
  <c r="J638" i="8" s="1"/>
  <c r="H638" i="8" a="1"/>
  <c r="H638" i="8" s="1"/>
  <c r="K638" i="8" a="1"/>
  <c r="K638" i="8" s="1"/>
  <c r="I638" i="8" a="1"/>
  <c r="I638" i="8" s="1"/>
  <c r="E638" i="8" a="1"/>
  <c r="E638" i="8" s="1"/>
  <c r="Q448" i="8"/>
  <c r="I460" i="8" a="1"/>
  <c r="I460" i="8" s="1"/>
  <c r="I479" i="8" a="1"/>
  <c r="I479" i="8" s="1"/>
  <c r="M487" i="8" a="1"/>
  <c r="M487" i="8" s="1"/>
  <c r="N513" i="8" a="1"/>
  <c r="N513" i="8" s="1"/>
  <c r="F513" i="8" a="1"/>
  <c r="F513" i="8" s="1"/>
  <c r="K513" i="8" a="1"/>
  <c r="K513" i="8" s="1"/>
  <c r="J513" i="8" a="1"/>
  <c r="J513" i="8" s="1"/>
  <c r="I513" i="8" a="1"/>
  <c r="I513" i="8" s="1"/>
  <c r="H513" i="8" a="1"/>
  <c r="H513" i="8" s="1"/>
  <c r="G513" i="8" a="1"/>
  <c r="G513" i="8" s="1"/>
  <c r="E513" i="8" a="1"/>
  <c r="E513" i="8" s="1"/>
  <c r="O513" i="8" a="1"/>
  <c r="O513" i="8" s="1"/>
  <c r="M535" i="8" a="1"/>
  <c r="M535" i="8" s="1"/>
  <c r="E535" i="8" a="1"/>
  <c r="E535" i="8" s="1"/>
  <c r="J535" i="8" a="1"/>
  <c r="J535" i="8" s="1"/>
  <c r="I535" i="8" a="1"/>
  <c r="I535" i="8" s="1"/>
  <c r="H535" i="8" a="1"/>
  <c r="H535" i="8" s="1"/>
  <c r="O535" i="8" a="1"/>
  <c r="O535" i="8" s="1"/>
  <c r="G535" i="8" a="1"/>
  <c r="G535" i="8" s="1"/>
  <c r="K535" i="8" a="1"/>
  <c r="K535" i="8" s="1"/>
  <c r="F535" i="8" a="1"/>
  <c r="F535" i="8" s="1"/>
  <c r="N535" i="8" a="1"/>
  <c r="N535" i="8" s="1"/>
  <c r="O617" i="8" a="1"/>
  <c r="O617" i="8" s="1"/>
  <c r="G617" i="8" a="1"/>
  <c r="G617" i="8" s="1"/>
  <c r="N617" i="8" a="1"/>
  <c r="N617" i="8" s="1"/>
  <c r="F617" i="8" a="1"/>
  <c r="F617" i="8" s="1"/>
  <c r="M617" i="8" a="1"/>
  <c r="M617" i="8" s="1"/>
  <c r="E617" i="8" a="1"/>
  <c r="E617" i="8" s="1"/>
  <c r="L617" i="8" a="1"/>
  <c r="L617" i="8" s="1"/>
  <c r="K617" i="8" a="1"/>
  <c r="K617" i="8" s="1"/>
  <c r="J617" i="8" a="1"/>
  <c r="J617" i="8" s="1"/>
  <c r="I617" i="8" a="1"/>
  <c r="I617" i="8" s="1"/>
  <c r="H617" i="8" a="1"/>
  <c r="H617" i="8" s="1"/>
  <c r="E417" i="8" a="1"/>
  <c r="E417" i="8" s="1"/>
  <c r="L440" i="8" a="1"/>
  <c r="L440" i="8" s="1"/>
  <c r="Q455" i="8"/>
  <c r="N467" i="8" a="1"/>
  <c r="N467" i="8" s="1"/>
  <c r="F467" i="8" a="1"/>
  <c r="F467" i="8" s="1"/>
  <c r="M467" i="8" a="1"/>
  <c r="M467" i="8" s="1"/>
  <c r="E467" i="8" a="1"/>
  <c r="E467" i="8" s="1"/>
  <c r="I467" i="8" a="1"/>
  <c r="I467" i="8" s="1"/>
  <c r="H467" i="8" a="1"/>
  <c r="H467" i="8" s="1"/>
  <c r="M476" i="8" a="1"/>
  <c r="M476" i="8" s="1"/>
  <c r="E476" i="8" a="1"/>
  <c r="E476" i="8" s="1"/>
  <c r="L476" i="8" a="1"/>
  <c r="L476" i="8" s="1"/>
  <c r="K476" i="8" a="1"/>
  <c r="K476" i="8" s="1"/>
  <c r="J476" i="8" a="1"/>
  <c r="J476" i="8" s="1"/>
  <c r="H476" i="8" a="1"/>
  <c r="H476" i="8" s="1"/>
  <c r="O476" i="8" a="1"/>
  <c r="O476" i="8" s="1"/>
  <c r="G476" i="8" a="1"/>
  <c r="G476" i="8" s="1"/>
  <c r="J479" i="8" a="1"/>
  <c r="J479" i="8" s="1"/>
  <c r="I481" i="8" a="1"/>
  <c r="I481" i="8" s="1"/>
  <c r="H481" i="8" a="1"/>
  <c r="H481" i="8" s="1"/>
  <c r="L481" i="8" a="1"/>
  <c r="L481" i="8" s="1"/>
  <c r="K481" i="8" a="1"/>
  <c r="K481" i="8" s="1"/>
  <c r="Q485" i="8"/>
  <c r="O553" i="8" a="1"/>
  <c r="O553" i="8" s="1"/>
  <c r="G553" i="8" a="1"/>
  <c r="G553" i="8" s="1"/>
  <c r="M553" i="8" a="1"/>
  <c r="M553" i="8" s="1"/>
  <c r="E553" i="8" a="1"/>
  <c r="E553" i="8" s="1"/>
  <c r="K553" i="8" a="1"/>
  <c r="K553" i="8" s="1"/>
  <c r="F553" i="8" a="1"/>
  <c r="F553" i="8" s="1"/>
  <c r="L553" i="8" a="1"/>
  <c r="L553" i="8" s="1"/>
  <c r="J553" i="8" a="1"/>
  <c r="J553" i="8" s="1"/>
  <c r="N553" i="8" a="1"/>
  <c r="N553" i="8" s="1"/>
  <c r="I553" i="8" a="1"/>
  <c r="I553" i="8" s="1"/>
  <c r="H553" i="8" a="1"/>
  <c r="H553" i="8" s="1"/>
  <c r="H579" i="8" a="1"/>
  <c r="H579" i="8" s="1"/>
  <c r="O579" i="8" a="1"/>
  <c r="O579" i="8" s="1"/>
  <c r="G579" i="8" a="1"/>
  <c r="G579" i="8" s="1"/>
  <c r="N579" i="8" a="1"/>
  <c r="N579" i="8" s="1"/>
  <c r="F579" i="8" a="1"/>
  <c r="F579" i="8" s="1"/>
  <c r="L579" i="8" a="1"/>
  <c r="L579" i="8" s="1"/>
  <c r="K579" i="8" a="1"/>
  <c r="K579" i="8" s="1"/>
  <c r="I579" i="8" a="1"/>
  <c r="I579" i="8" s="1"/>
  <c r="E579" i="8" a="1"/>
  <c r="E579" i="8" s="1"/>
  <c r="M579" i="8" a="1"/>
  <c r="M579" i="8" s="1"/>
  <c r="J579" i="8" a="1"/>
  <c r="J579" i="8" s="1"/>
  <c r="N438" i="8" a="1"/>
  <c r="N438" i="8" s="1"/>
  <c r="F438" i="8" a="1"/>
  <c r="F438" i="8" s="1"/>
  <c r="M438" i="8" a="1"/>
  <c r="M438" i="8" s="1"/>
  <c r="E438" i="8" a="1"/>
  <c r="E438" i="8" s="1"/>
  <c r="L438" i="8" a="1"/>
  <c r="L438" i="8" s="1"/>
  <c r="K438" i="8" a="1"/>
  <c r="K438" i="8" s="1"/>
  <c r="H438" i="8" a="1"/>
  <c r="H438" i="8" s="1"/>
  <c r="N440" i="8" a="1"/>
  <c r="N440" i="8" s="1"/>
  <c r="M441" i="8" a="1"/>
  <c r="M441" i="8" s="1"/>
  <c r="E441" i="8" a="1"/>
  <c r="E441" i="8" s="1"/>
  <c r="L441" i="8" a="1"/>
  <c r="L441" i="8" s="1"/>
  <c r="H441" i="8" a="1"/>
  <c r="H441" i="8" s="1"/>
  <c r="O441" i="8" a="1"/>
  <c r="O441" i="8" s="1"/>
  <c r="G441" i="8" a="1"/>
  <c r="G441" i="8" s="1"/>
  <c r="J462" i="8" a="1"/>
  <c r="J462" i="8" s="1"/>
  <c r="I462" i="8" a="1"/>
  <c r="I462" i="8" s="1"/>
  <c r="H462" i="8" a="1"/>
  <c r="H462" i="8" s="1"/>
  <c r="O462" i="8" a="1"/>
  <c r="O462" i="8" s="1"/>
  <c r="G462" i="8" a="1"/>
  <c r="G462" i="8" s="1"/>
  <c r="M462" i="8" a="1"/>
  <c r="M462" i="8" s="1"/>
  <c r="E462" i="8" a="1"/>
  <c r="E462" i="8" s="1"/>
  <c r="L462" i="8" a="1"/>
  <c r="L462" i="8" s="1"/>
  <c r="L513" i="8" a="1"/>
  <c r="L513" i="8" s="1"/>
  <c r="L535" i="8" a="1"/>
  <c r="L535" i="8" s="1"/>
  <c r="N575" i="8" a="1"/>
  <c r="N575" i="8" s="1"/>
  <c r="F575" i="8" a="1"/>
  <c r="F575" i="8" s="1"/>
  <c r="M575" i="8" a="1"/>
  <c r="M575" i="8" s="1"/>
  <c r="E575" i="8" a="1"/>
  <c r="E575" i="8" s="1"/>
  <c r="L575" i="8" a="1"/>
  <c r="L575" i="8" s="1"/>
  <c r="J575" i="8" a="1"/>
  <c r="J575" i="8" s="1"/>
  <c r="I575" i="8" a="1"/>
  <c r="I575" i="8" s="1"/>
  <c r="K575" i="8" a="1"/>
  <c r="K575" i="8" s="1"/>
  <c r="H575" i="8" a="1"/>
  <c r="H575" i="8" s="1"/>
  <c r="G575" i="8" a="1"/>
  <c r="G575" i="8" s="1"/>
  <c r="O575" i="8" a="1"/>
  <c r="O575" i="8" s="1"/>
  <c r="Q414" i="8"/>
  <c r="F417" i="8" a="1"/>
  <c r="F417" i="8" s="1"/>
  <c r="Q432" i="8"/>
  <c r="M513" i="8" a="1"/>
  <c r="M513" i="8" s="1"/>
  <c r="Q437" i="8"/>
  <c r="M473" i="8" a="1"/>
  <c r="M473" i="8" s="1"/>
  <c r="E473" i="8" a="1"/>
  <c r="E473" i="8" s="1"/>
  <c r="L473" i="8" a="1"/>
  <c r="L473" i="8" s="1"/>
  <c r="H473" i="8" a="1"/>
  <c r="H473" i="8" s="1"/>
  <c r="O473" i="8" a="1"/>
  <c r="O473" i="8" s="1"/>
  <c r="G473" i="8" a="1"/>
  <c r="G473" i="8" s="1"/>
  <c r="Q544" i="8"/>
  <c r="Q547" i="8"/>
  <c r="M550" i="8" a="1"/>
  <c r="M550" i="8" s="1"/>
  <c r="E550" i="8" a="1"/>
  <c r="E550" i="8" s="1"/>
  <c r="N550" i="8" a="1"/>
  <c r="N550" i="8" s="1"/>
  <c r="L550" i="8" a="1"/>
  <c r="L550" i="8" s="1"/>
  <c r="J550" i="8" a="1"/>
  <c r="J550" i="8" s="1"/>
  <c r="I550" i="8" a="1"/>
  <c r="I550" i="8" s="1"/>
  <c r="H550" i="8" a="1"/>
  <c r="H550" i="8" s="1"/>
  <c r="G550" i="8" a="1"/>
  <c r="G550" i="8" s="1"/>
  <c r="F550" i="8" a="1"/>
  <c r="F550" i="8" s="1"/>
  <c r="O550" i="8" a="1"/>
  <c r="O550" i="8" s="1"/>
  <c r="M581" i="8" a="1"/>
  <c r="M581" i="8" s="1"/>
  <c r="E581" i="8" a="1"/>
  <c r="E581" i="8" s="1"/>
  <c r="L581" i="8" a="1"/>
  <c r="L581" i="8" s="1"/>
  <c r="K581" i="8" a="1"/>
  <c r="K581" i="8" s="1"/>
  <c r="I581" i="8" a="1"/>
  <c r="I581" i="8" s="1"/>
  <c r="H581" i="8" a="1"/>
  <c r="H581" i="8" s="1"/>
  <c r="G581" i="8" a="1"/>
  <c r="G581" i="8" s="1"/>
  <c r="F581" i="8" a="1"/>
  <c r="F581" i="8" s="1"/>
  <c r="O581" i="8" a="1"/>
  <c r="O581" i="8" s="1"/>
  <c r="N581" i="8" a="1"/>
  <c r="N581" i="8" s="1"/>
  <c r="J581" i="8" a="1"/>
  <c r="J581" i="8" s="1"/>
  <c r="L479" i="8" a="1"/>
  <c r="L479" i="8" s="1"/>
  <c r="K479" i="8" a="1"/>
  <c r="K479" i="8" s="1"/>
  <c r="O479" i="8" a="1"/>
  <c r="O479" i="8" s="1"/>
  <c r="G479" i="8" a="1"/>
  <c r="G479" i="8" s="1"/>
  <c r="N479" i="8" a="1"/>
  <c r="N479" i="8" s="1"/>
  <c r="F479" i="8" a="1"/>
  <c r="F479" i="8" s="1"/>
  <c r="I484" i="8" a="1"/>
  <c r="I484" i="8" s="1"/>
  <c r="H484" i="8" a="1"/>
  <c r="H484" i="8" s="1"/>
  <c r="O484" i="8" a="1"/>
  <c r="O484" i="8" s="1"/>
  <c r="G484" i="8" a="1"/>
  <c r="G484" i="8" s="1"/>
  <c r="N484" i="8" a="1"/>
  <c r="N484" i="8" s="1"/>
  <c r="F484" i="8" a="1"/>
  <c r="F484" i="8" s="1"/>
  <c r="L484" i="8" a="1"/>
  <c r="L484" i="8" s="1"/>
  <c r="K484" i="8" a="1"/>
  <c r="K484" i="8" s="1"/>
  <c r="H514" i="8" a="1"/>
  <c r="H514" i="8" s="1"/>
  <c r="O514" i="8" a="1"/>
  <c r="O514" i="8" s="1"/>
  <c r="G514" i="8" a="1"/>
  <c r="G514" i="8" s="1"/>
  <c r="L514" i="8" a="1"/>
  <c r="L514" i="8" s="1"/>
  <c r="K514" i="8" a="1"/>
  <c r="K514" i="8" s="1"/>
  <c r="J514" i="8" a="1"/>
  <c r="J514" i="8" s="1"/>
  <c r="I514" i="8" a="1"/>
  <c r="I514" i="8" s="1"/>
  <c r="F514" i="8" a="1"/>
  <c r="F514" i="8" s="1"/>
  <c r="Q430" i="8"/>
  <c r="K440" i="8" a="1"/>
  <c r="K440" i="8" s="1"/>
  <c r="J440" i="8" a="1"/>
  <c r="J440" i="8" s="1"/>
  <c r="I440" i="8" a="1"/>
  <c r="I440" i="8" s="1"/>
  <c r="H440" i="8" a="1"/>
  <c r="H440" i="8" s="1"/>
  <c r="M440" i="8" a="1"/>
  <c r="M440" i="8" s="1"/>
  <c r="E440" i="8" a="1"/>
  <c r="E440" i="8" s="1"/>
  <c r="N451" i="8" a="1"/>
  <c r="N451" i="8" s="1"/>
  <c r="F451" i="8" a="1"/>
  <c r="F451" i="8" s="1"/>
  <c r="M451" i="8" a="1"/>
  <c r="M451" i="8" s="1"/>
  <c r="E451" i="8" a="1"/>
  <c r="E451" i="8" s="1"/>
  <c r="I451" i="8" a="1"/>
  <c r="I451" i="8" s="1"/>
  <c r="H451" i="8" a="1"/>
  <c r="H451" i="8" s="1"/>
  <c r="M460" i="8" a="1"/>
  <c r="M460" i="8" s="1"/>
  <c r="E460" i="8" a="1"/>
  <c r="E460" i="8" s="1"/>
  <c r="L460" i="8" a="1"/>
  <c r="L460" i="8" s="1"/>
  <c r="K460" i="8" a="1"/>
  <c r="K460" i="8" s="1"/>
  <c r="J460" i="8" a="1"/>
  <c r="J460" i="8" s="1"/>
  <c r="H460" i="8" a="1"/>
  <c r="H460" i="8" s="1"/>
  <c r="O460" i="8" a="1"/>
  <c r="O460" i="8" s="1"/>
  <c r="G460" i="8" a="1"/>
  <c r="G460" i="8" s="1"/>
  <c r="Q469" i="8"/>
  <c r="O480" i="8" a="1"/>
  <c r="O480" i="8" s="1"/>
  <c r="G480" i="8" a="1"/>
  <c r="G480" i="8" s="1"/>
  <c r="N480" i="8" a="1"/>
  <c r="N480" i="8" s="1"/>
  <c r="F480" i="8" a="1"/>
  <c r="F480" i="8" s="1"/>
  <c r="M480" i="8" a="1"/>
  <c r="M480" i="8" s="1"/>
  <c r="E480" i="8" a="1"/>
  <c r="E480" i="8" s="1"/>
  <c r="L480" i="8" a="1"/>
  <c r="L480" i="8" s="1"/>
  <c r="J480" i="8" a="1"/>
  <c r="J480" i="8" s="1"/>
  <c r="I480" i="8" a="1"/>
  <c r="I480" i="8" s="1"/>
  <c r="E514" i="8" a="1"/>
  <c r="E514" i="8" s="1"/>
  <c r="O539" i="8" a="1"/>
  <c r="O539" i="8" s="1"/>
  <c r="G539" i="8" a="1"/>
  <c r="G539" i="8" s="1"/>
  <c r="N539" i="8" a="1"/>
  <c r="N539" i="8" s="1"/>
  <c r="F539" i="8" a="1"/>
  <c r="F539" i="8" s="1"/>
  <c r="L539" i="8" a="1"/>
  <c r="L539" i="8" s="1"/>
  <c r="K539" i="8" a="1"/>
  <c r="K539" i="8" s="1"/>
  <c r="J539" i="8" a="1"/>
  <c r="J539" i="8" s="1"/>
  <c r="I539" i="8" a="1"/>
  <c r="I539" i="8" s="1"/>
  <c r="M539" i="8" a="1"/>
  <c r="M539" i="8" s="1"/>
  <c r="H539" i="8" a="1"/>
  <c r="H539" i="8" s="1"/>
  <c r="E539" i="8" a="1"/>
  <c r="E539" i="8" s="1"/>
  <c r="Q436" i="8"/>
  <c r="J446" i="8" a="1"/>
  <c r="J446" i="8" s="1"/>
  <c r="I446" i="8" a="1"/>
  <c r="I446" i="8" s="1"/>
  <c r="H446" i="8" a="1"/>
  <c r="H446" i="8" s="1"/>
  <c r="O446" i="8" a="1"/>
  <c r="O446" i="8" s="1"/>
  <c r="G446" i="8" a="1"/>
  <c r="G446" i="8" s="1"/>
  <c r="M446" i="8" a="1"/>
  <c r="M446" i="8" s="1"/>
  <c r="E446" i="8" a="1"/>
  <c r="E446" i="8" s="1"/>
  <c r="L446" i="8" a="1"/>
  <c r="L446" i="8" s="1"/>
  <c r="G451" i="8" a="1"/>
  <c r="G451" i="8" s="1"/>
  <c r="N454" i="8" a="1"/>
  <c r="N454" i="8" s="1"/>
  <c r="F454" i="8" a="1"/>
  <c r="F454" i="8" s="1"/>
  <c r="M454" i="8" a="1"/>
  <c r="M454" i="8" s="1"/>
  <c r="E454" i="8" a="1"/>
  <c r="E454" i="8" s="1"/>
  <c r="L454" i="8" a="1"/>
  <c r="L454" i="8" s="1"/>
  <c r="K454" i="8" a="1"/>
  <c r="K454" i="8" s="1"/>
  <c r="I454" i="8" a="1"/>
  <c r="I454" i="8" s="1"/>
  <c r="H454" i="8" a="1"/>
  <c r="H454" i="8" s="1"/>
  <c r="I473" i="8" a="1"/>
  <c r="I473" i="8" s="1"/>
  <c r="H487" i="8" a="1"/>
  <c r="H487" i="8" s="1"/>
  <c r="O487" i="8" a="1"/>
  <c r="O487" i="8" s="1"/>
  <c r="G487" i="8" a="1"/>
  <c r="G487" i="8" s="1"/>
  <c r="K487" i="8" a="1"/>
  <c r="K487" i="8" s="1"/>
  <c r="J487" i="8" a="1"/>
  <c r="J487" i="8" s="1"/>
  <c r="M514" i="8" a="1"/>
  <c r="M514" i="8" s="1"/>
  <c r="Q420" i="8"/>
  <c r="J438" i="8" a="1"/>
  <c r="J438" i="8" s="1"/>
  <c r="O467" i="8" a="1"/>
  <c r="O467" i="8" s="1"/>
  <c r="Q475" i="8"/>
  <c r="J481" i="8" a="1"/>
  <c r="J481" i="8" s="1"/>
  <c r="E484" i="8" a="1"/>
  <c r="E484" i="8" s="1"/>
  <c r="Q494" i="8"/>
  <c r="N514" i="8" a="1"/>
  <c r="N514" i="8" s="1"/>
  <c r="H517" i="8" a="1"/>
  <c r="H517" i="8" s="1"/>
  <c r="M517" i="8" a="1"/>
  <c r="M517" i="8" s="1"/>
  <c r="E517" i="8" a="1"/>
  <c r="E517" i="8" s="1"/>
  <c r="L517" i="8" a="1"/>
  <c r="L517" i="8" s="1"/>
  <c r="K517" i="8" a="1"/>
  <c r="K517" i="8" s="1"/>
  <c r="J517" i="8" a="1"/>
  <c r="J517" i="8" s="1"/>
  <c r="O517" i="8" a="1"/>
  <c r="O517" i="8" s="1"/>
  <c r="N517" i="8" a="1"/>
  <c r="N517" i="8" s="1"/>
  <c r="G517" i="8" a="1"/>
  <c r="G517" i="8" s="1"/>
  <c r="F517" i="8" a="1"/>
  <c r="F517" i="8" s="1"/>
  <c r="I625" i="8" a="1"/>
  <c r="I625" i="8" s="1"/>
  <c r="H625" i="8" a="1"/>
  <c r="H625" i="8" s="1"/>
  <c r="G625" i="8" a="1"/>
  <c r="G625" i="8" s="1"/>
  <c r="F625" i="8" a="1"/>
  <c r="F625" i="8" s="1"/>
  <c r="O625" i="8" a="1"/>
  <c r="O625" i="8" s="1"/>
  <c r="M625" i="8" a="1"/>
  <c r="M625" i="8" s="1"/>
  <c r="L625" i="8" a="1"/>
  <c r="L625" i="8" s="1"/>
  <c r="N625" i="8" a="1"/>
  <c r="N625" i="8" s="1"/>
  <c r="K625" i="8" a="1"/>
  <c r="K625" i="8" s="1"/>
  <c r="J625" i="8" a="1"/>
  <c r="J625" i="8" s="1"/>
  <c r="E625" i="8" a="1"/>
  <c r="E625" i="8" s="1"/>
  <c r="Q421" i="8"/>
  <c r="F441" i="8" a="1"/>
  <c r="F441" i="8" s="1"/>
  <c r="J451" i="8" a="1"/>
  <c r="J451" i="8" s="1"/>
  <c r="M457" i="8" a="1"/>
  <c r="M457" i="8" s="1"/>
  <c r="E457" i="8" a="1"/>
  <c r="E457" i="8" s="1"/>
  <c r="L457" i="8" a="1"/>
  <c r="L457" i="8" s="1"/>
  <c r="H457" i="8" a="1"/>
  <c r="H457" i="8" s="1"/>
  <c r="O457" i="8" a="1"/>
  <c r="O457" i="8" s="1"/>
  <c r="G457" i="8" a="1"/>
  <c r="G457" i="8" s="1"/>
  <c r="K462" i="8" a="1"/>
  <c r="K462" i="8" s="1"/>
  <c r="J473" i="8" a="1"/>
  <c r="J473" i="8" s="1"/>
  <c r="F476" i="8" a="1"/>
  <c r="F476" i="8" s="1"/>
  <c r="Q499" i="8"/>
  <c r="Q427" i="8"/>
  <c r="F446" i="8" a="1"/>
  <c r="F446" i="8" s="1"/>
  <c r="G454" i="8" a="1"/>
  <c r="G454" i="8" s="1"/>
  <c r="Q468" i="8"/>
  <c r="K473" i="8" a="1"/>
  <c r="K473" i="8" s="1"/>
  <c r="H480" i="8" a="1"/>
  <c r="H480" i="8" s="1"/>
  <c r="M501" i="8" a="1"/>
  <c r="M501" i="8" s="1"/>
  <c r="E501" i="8" a="1"/>
  <c r="E501" i="8" s="1"/>
  <c r="L501" i="8" a="1"/>
  <c r="L501" i="8" s="1"/>
  <c r="K501" i="8" a="1"/>
  <c r="K501" i="8" s="1"/>
  <c r="J501" i="8" a="1"/>
  <c r="J501" i="8" s="1"/>
  <c r="O501" i="8" a="1"/>
  <c r="O501" i="8" s="1"/>
  <c r="N501" i="8" a="1"/>
  <c r="N501" i="8" s="1"/>
  <c r="I501" i="8" a="1"/>
  <c r="I501" i="8" s="1"/>
  <c r="H501" i="8" a="1"/>
  <c r="H501" i="8" s="1"/>
  <c r="G501" i="8" a="1"/>
  <c r="G501" i="8" s="1"/>
  <c r="F501" i="8" a="1"/>
  <c r="F501" i="8" s="1"/>
  <c r="O504" i="8" a="1"/>
  <c r="O504" i="8" s="1"/>
  <c r="G504" i="8" a="1"/>
  <c r="G504" i="8" s="1"/>
  <c r="N504" i="8" a="1"/>
  <c r="N504" i="8" s="1"/>
  <c r="F504" i="8" a="1"/>
  <c r="F504" i="8" s="1"/>
  <c r="K504" i="8" a="1"/>
  <c r="K504" i="8" s="1"/>
  <c r="M504" i="8" a="1"/>
  <c r="M504" i="8" s="1"/>
  <c r="I504" i="8" a="1"/>
  <c r="I504" i="8" s="1"/>
  <c r="H504" i="8" a="1"/>
  <c r="H504" i="8" s="1"/>
  <c r="Q507" i="8"/>
  <c r="Q542" i="8"/>
  <c r="K578" i="8" a="1"/>
  <c r="K578" i="8" s="1"/>
  <c r="J578" i="8" a="1"/>
  <c r="J578" i="8" s="1"/>
  <c r="I578" i="8" a="1"/>
  <c r="I578" i="8" s="1"/>
  <c r="H578" i="8" a="1"/>
  <c r="H578" i="8" s="1"/>
  <c r="G578" i="8" a="1"/>
  <c r="G578" i="8" s="1"/>
  <c r="F578" i="8" a="1"/>
  <c r="F578" i="8" s="1"/>
  <c r="E578" i="8" a="1"/>
  <c r="E578" i="8" s="1"/>
  <c r="O578" i="8" a="1"/>
  <c r="O578" i="8" s="1"/>
  <c r="M578" i="8" a="1"/>
  <c r="M578" i="8" s="1"/>
  <c r="N578" i="8" a="1"/>
  <c r="N578" i="8" s="1"/>
  <c r="Q422" i="8"/>
  <c r="Q423" i="8"/>
  <c r="F440" i="8" a="1"/>
  <c r="F440" i="8" s="1"/>
  <c r="M444" i="8" a="1"/>
  <c r="M444" i="8" s="1"/>
  <c r="E444" i="8" a="1"/>
  <c r="E444" i="8" s="1"/>
  <c r="L444" i="8" a="1"/>
  <c r="L444" i="8" s="1"/>
  <c r="K444" i="8" a="1"/>
  <c r="K444" i="8" s="1"/>
  <c r="J444" i="8" a="1"/>
  <c r="J444" i="8" s="1"/>
  <c r="O444" i="8" a="1"/>
  <c r="O444" i="8" s="1"/>
  <c r="G444" i="8" a="1"/>
  <c r="G444" i="8" s="1"/>
  <c r="Q449" i="8"/>
  <c r="K451" i="8" a="1"/>
  <c r="K451" i="8" s="1"/>
  <c r="Q453" i="8"/>
  <c r="N462" i="8" a="1"/>
  <c r="N462" i="8" s="1"/>
  <c r="Q464" i="8"/>
  <c r="N473" i="8" a="1"/>
  <c r="N473" i="8" s="1"/>
  <c r="I476" i="8" a="1"/>
  <c r="I476" i="8" s="1"/>
  <c r="F487" i="8" a="1"/>
  <c r="F487" i="8" s="1"/>
  <c r="Q518" i="8"/>
  <c r="H533" i="8" a="1"/>
  <c r="H533" i="8" s="1"/>
  <c r="M533" i="8" a="1"/>
  <c r="M533" i="8" s="1"/>
  <c r="E533" i="8" a="1"/>
  <c r="E533" i="8" s="1"/>
  <c r="L533" i="8" a="1"/>
  <c r="L533" i="8" s="1"/>
  <c r="K533" i="8" a="1"/>
  <c r="K533" i="8" s="1"/>
  <c r="J533" i="8" a="1"/>
  <c r="J533" i="8" s="1"/>
  <c r="G533" i="8" a="1"/>
  <c r="G533" i="8" s="1"/>
  <c r="F533" i="8" a="1"/>
  <c r="F533" i="8" s="1"/>
  <c r="N533" i="8" a="1"/>
  <c r="N533" i="8" s="1"/>
  <c r="L556" i="8" a="1"/>
  <c r="L556" i="8" s="1"/>
  <c r="G556" i="8" a="1"/>
  <c r="G556" i="8" s="1"/>
  <c r="F556" i="8" a="1"/>
  <c r="F556" i="8" s="1"/>
  <c r="E556" i="8" a="1"/>
  <c r="E556" i="8" s="1"/>
  <c r="N556" i="8" a="1"/>
  <c r="N556" i="8" s="1"/>
  <c r="K556" i="8" a="1"/>
  <c r="K556" i="8" s="1"/>
  <c r="J556" i="8" a="1"/>
  <c r="J556" i="8" s="1"/>
  <c r="I556" i="8" a="1"/>
  <c r="I556" i="8" s="1"/>
  <c r="H556" i="8" a="1"/>
  <c r="H556" i="8" s="1"/>
  <c r="L571" i="8" a="1"/>
  <c r="L571" i="8" s="1"/>
  <c r="K571" i="8" a="1"/>
  <c r="K571" i="8" s="1"/>
  <c r="J571" i="8" a="1"/>
  <c r="J571" i="8" s="1"/>
  <c r="H571" i="8" a="1"/>
  <c r="H571" i="8" s="1"/>
  <c r="O571" i="8" a="1"/>
  <c r="O571" i="8" s="1"/>
  <c r="G571" i="8" a="1"/>
  <c r="G571" i="8" s="1"/>
  <c r="F571" i="8" a="1"/>
  <c r="F571" i="8" s="1"/>
  <c r="E571" i="8" a="1"/>
  <c r="E571" i="8" s="1"/>
  <c r="M571" i="8" a="1"/>
  <c r="M571" i="8" s="1"/>
  <c r="N571" i="8" a="1"/>
  <c r="N571" i="8" s="1"/>
  <c r="I571" i="8" a="1"/>
  <c r="I571" i="8" s="1"/>
  <c r="Q516" i="8"/>
  <c r="Q528" i="8"/>
  <c r="Q538" i="8"/>
  <c r="J546" i="8" a="1"/>
  <c r="J546" i="8" s="1"/>
  <c r="M613" i="8" a="1"/>
  <c r="M613" i="8" s="1"/>
  <c r="E613" i="8" a="1"/>
  <c r="E613" i="8" s="1"/>
  <c r="L613" i="8" a="1"/>
  <c r="L613" i="8" s="1"/>
  <c r="K613" i="8" a="1"/>
  <c r="K613" i="8" s="1"/>
  <c r="J613" i="8" a="1"/>
  <c r="J613" i="8" s="1"/>
  <c r="I613" i="8" a="1"/>
  <c r="I613" i="8" s="1"/>
  <c r="H613" i="8" a="1"/>
  <c r="H613" i="8" s="1"/>
  <c r="O613" i="8" a="1"/>
  <c r="O613" i="8" s="1"/>
  <c r="N613" i="8" a="1"/>
  <c r="N613" i="8" s="1"/>
  <c r="G613" i="8" a="1"/>
  <c r="G613" i="8" s="1"/>
  <c r="F613" i="8" a="1"/>
  <c r="F613" i="8" s="1"/>
  <c r="J636" i="8" a="1"/>
  <c r="J636" i="8" s="1"/>
  <c r="O636" i="8" a="1"/>
  <c r="O636" i="8" s="1"/>
  <c r="G636" i="8" a="1"/>
  <c r="G636" i="8" s="1"/>
  <c r="K636" i="8" a="1"/>
  <c r="K636" i="8" s="1"/>
  <c r="H636" i="8" a="1"/>
  <c r="H636" i="8" s="1"/>
  <c r="E636" i="8" a="1"/>
  <c r="E636" i="8" s="1"/>
  <c r="N636" i="8" a="1"/>
  <c r="N636" i="8" s="1"/>
  <c r="M636" i="8" a="1"/>
  <c r="M636" i="8" s="1"/>
  <c r="L636" i="8" a="1"/>
  <c r="L636" i="8" s="1"/>
  <c r="I636" i="8" a="1"/>
  <c r="I636" i="8" s="1"/>
  <c r="F636" i="8" a="1"/>
  <c r="F636" i="8" s="1"/>
  <c r="I520" i="8" a="1"/>
  <c r="I520" i="8" s="1"/>
  <c r="K546" i="8" a="1"/>
  <c r="K546" i="8" s="1"/>
  <c r="M582" i="8" a="1"/>
  <c r="M582" i="8" s="1"/>
  <c r="E582" i="8" a="1"/>
  <c r="E582" i="8" s="1"/>
  <c r="K582" i="8" a="1"/>
  <c r="K582" i="8" s="1"/>
  <c r="I582" i="8" a="1"/>
  <c r="I582" i="8" s="1"/>
  <c r="H582" i="8" a="1"/>
  <c r="H582" i="8" s="1"/>
  <c r="G582" i="8" a="1"/>
  <c r="G582" i="8" s="1"/>
  <c r="F582" i="8" a="1"/>
  <c r="F582" i="8" s="1"/>
  <c r="O582" i="8" a="1"/>
  <c r="O582" i="8" s="1"/>
  <c r="N582" i="8" a="1"/>
  <c r="N582" i="8" s="1"/>
  <c r="L582" i="8" a="1"/>
  <c r="L582" i="8" s="1"/>
  <c r="O586" i="8" a="1"/>
  <c r="O586" i="8" s="1"/>
  <c r="G586" i="8" a="1"/>
  <c r="G586" i="8" s="1"/>
  <c r="M586" i="8" a="1"/>
  <c r="M586" i="8" s="1"/>
  <c r="E586" i="8" a="1"/>
  <c r="E586" i="8" s="1"/>
  <c r="K586" i="8" a="1"/>
  <c r="K586" i="8" s="1"/>
  <c r="J586" i="8" a="1"/>
  <c r="J586" i="8" s="1"/>
  <c r="I586" i="8" a="1"/>
  <c r="I586" i="8" s="1"/>
  <c r="H586" i="8" a="1"/>
  <c r="H586" i="8" s="1"/>
  <c r="F586" i="8" a="1"/>
  <c r="F586" i="8" s="1"/>
  <c r="N586" i="8" a="1"/>
  <c r="N586" i="8" s="1"/>
  <c r="L606" i="8" a="1"/>
  <c r="L606" i="8" s="1"/>
  <c r="I606" i="8" a="1"/>
  <c r="I606" i="8" s="1"/>
  <c r="O606" i="8" a="1"/>
  <c r="O606" i="8" s="1"/>
  <c r="G606" i="8" a="1"/>
  <c r="G606" i="8" s="1"/>
  <c r="M606" i="8" a="1"/>
  <c r="M606" i="8" s="1"/>
  <c r="K606" i="8" a="1"/>
  <c r="K606" i="8" s="1"/>
  <c r="J606" i="8" a="1"/>
  <c r="J606" i="8" s="1"/>
  <c r="H606" i="8" a="1"/>
  <c r="H606" i="8" s="1"/>
  <c r="F606" i="8" a="1"/>
  <c r="F606" i="8" s="1"/>
  <c r="E606" i="8" a="1"/>
  <c r="E606" i="8" s="1"/>
  <c r="N610" i="8" a="1"/>
  <c r="N610" i="8" s="1"/>
  <c r="F610" i="8" a="1"/>
  <c r="F610" i="8" s="1"/>
  <c r="K610" i="8" a="1"/>
  <c r="K610" i="8" s="1"/>
  <c r="I610" i="8" a="1"/>
  <c r="I610" i="8" s="1"/>
  <c r="G610" i="8" a="1"/>
  <c r="G610" i="8" s="1"/>
  <c r="E610" i="8" a="1"/>
  <c r="E610" i="8" s="1"/>
  <c r="O610" i="8" a="1"/>
  <c r="O610" i="8" s="1"/>
  <c r="M610" i="8" a="1"/>
  <c r="M610" i="8" s="1"/>
  <c r="J610" i="8" a="1"/>
  <c r="J610" i="8" s="1"/>
  <c r="Q496" i="8"/>
  <c r="J520" i="8" a="1"/>
  <c r="J520" i="8" s="1"/>
  <c r="Q527" i="8"/>
  <c r="Q537" i="8"/>
  <c r="M546" i="8" a="1"/>
  <c r="M546" i="8" s="1"/>
  <c r="Q548" i="8"/>
  <c r="Q573" i="8"/>
  <c r="Q583" i="8"/>
  <c r="Q683" i="8"/>
  <c r="Q526" i="8"/>
  <c r="Q543" i="8"/>
  <c r="I592" i="8" a="1"/>
  <c r="I592" i="8" s="1"/>
  <c r="N592" i="8" a="1"/>
  <c r="N592" i="8" s="1"/>
  <c r="F592" i="8" a="1"/>
  <c r="F592" i="8" s="1"/>
  <c r="L592" i="8" a="1"/>
  <c r="L592" i="8" s="1"/>
  <c r="O592" i="8" a="1"/>
  <c r="O592" i="8" s="1"/>
  <c r="M592" i="8" a="1"/>
  <c r="M592" i="8" s="1"/>
  <c r="K592" i="8" a="1"/>
  <c r="K592" i="8" s="1"/>
  <c r="H592" i="8" a="1"/>
  <c r="H592" i="8" s="1"/>
  <c r="G592" i="8" a="1"/>
  <c r="G592" i="8" s="1"/>
  <c r="N594" i="8" a="1"/>
  <c r="N594" i="8" s="1"/>
  <c r="F594" i="8" a="1"/>
  <c r="F594" i="8" s="1"/>
  <c r="K594" i="8" a="1"/>
  <c r="K594" i="8" s="1"/>
  <c r="I594" i="8" a="1"/>
  <c r="I594" i="8" s="1"/>
  <c r="G594" i="8" a="1"/>
  <c r="G594" i="8" s="1"/>
  <c r="E594" i="8" a="1"/>
  <c r="E594" i="8" s="1"/>
  <c r="O594" i="8" a="1"/>
  <c r="O594" i="8" s="1"/>
  <c r="L594" i="8" a="1"/>
  <c r="L594" i="8" s="1"/>
  <c r="O601" i="8" a="1"/>
  <c r="O601" i="8" s="1"/>
  <c r="G601" i="8" a="1"/>
  <c r="G601" i="8" s="1"/>
  <c r="N601" i="8" a="1"/>
  <c r="N601" i="8" s="1"/>
  <c r="F601" i="8" a="1"/>
  <c r="F601" i="8" s="1"/>
  <c r="M601" i="8" a="1"/>
  <c r="M601" i="8" s="1"/>
  <c r="E601" i="8" a="1"/>
  <c r="E601" i="8" s="1"/>
  <c r="L601" i="8" a="1"/>
  <c r="L601" i="8" s="1"/>
  <c r="K601" i="8" a="1"/>
  <c r="K601" i="8" s="1"/>
  <c r="J601" i="8" a="1"/>
  <c r="J601" i="8" s="1"/>
  <c r="I601" i="8" a="1"/>
  <c r="I601" i="8" s="1"/>
  <c r="N606" i="8" a="1"/>
  <c r="N606" i="8" s="1"/>
  <c r="H610" i="8" a="1"/>
  <c r="H610" i="8" s="1"/>
  <c r="H680" i="8" a="1"/>
  <c r="H680" i="8" s="1"/>
  <c r="O680" i="8" a="1"/>
  <c r="O680" i="8" s="1"/>
  <c r="G680" i="8" a="1"/>
  <c r="G680" i="8" s="1"/>
  <c r="N680" i="8" a="1"/>
  <c r="N680" i="8" s="1"/>
  <c r="F680" i="8" a="1"/>
  <c r="F680" i="8" s="1"/>
  <c r="M680" i="8" a="1"/>
  <c r="M680" i="8" s="1"/>
  <c r="E680" i="8" a="1"/>
  <c r="E680" i="8" s="1"/>
  <c r="K680" i="8" a="1"/>
  <c r="K680" i="8" s="1"/>
  <c r="L680" i="8" a="1"/>
  <c r="L680" i="8" s="1"/>
  <c r="I680" i="8" a="1"/>
  <c r="I680" i="8" s="1"/>
  <c r="J551" i="8" a="1"/>
  <c r="J551" i="8" s="1"/>
  <c r="H551" i="8" a="1"/>
  <c r="H551" i="8" s="1"/>
  <c r="N551" i="8" a="1"/>
  <c r="N551" i="8" s="1"/>
  <c r="F551" i="8" a="1"/>
  <c r="F551" i="8" s="1"/>
  <c r="K551" i="8" a="1"/>
  <c r="K551" i="8" s="1"/>
  <c r="G551" i="8" a="1"/>
  <c r="G551" i="8" s="1"/>
  <c r="E551" i="8" a="1"/>
  <c r="E551" i="8" s="1"/>
  <c r="O551" i="8" a="1"/>
  <c r="O551" i="8" s="1"/>
  <c r="H614" i="8" a="1"/>
  <c r="H614" i="8" s="1"/>
  <c r="M614" i="8" a="1"/>
  <c r="M614" i="8" s="1"/>
  <c r="E614" i="8" a="1"/>
  <c r="E614" i="8" s="1"/>
  <c r="K614" i="8" a="1"/>
  <c r="K614" i="8" s="1"/>
  <c r="O614" i="8" a="1"/>
  <c r="O614" i="8" s="1"/>
  <c r="N614" i="8" a="1"/>
  <c r="N614" i="8" s="1"/>
  <c r="L614" i="8" a="1"/>
  <c r="L614" i="8" s="1"/>
  <c r="J614" i="8" a="1"/>
  <c r="J614" i="8" s="1"/>
  <c r="I614" i="8" a="1"/>
  <c r="I614" i="8" s="1"/>
  <c r="G614" i="8" a="1"/>
  <c r="G614" i="8" s="1"/>
  <c r="J618" i="8" a="1"/>
  <c r="J618" i="8" s="1"/>
  <c r="O618" i="8" a="1"/>
  <c r="O618" i="8" s="1"/>
  <c r="G618" i="8" a="1"/>
  <c r="G618" i="8" s="1"/>
  <c r="M618" i="8" a="1"/>
  <c r="M618" i="8" s="1"/>
  <c r="E618" i="8" a="1"/>
  <c r="E618" i="8" s="1"/>
  <c r="N618" i="8" a="1"/>
  <c r="N618" i="8" s="1"/>
  <c r="L618" i="8" a="1"/>
  <c r="L618" i="8" s="1"/>
  <c r="K618" i="8" a="1"/>
  <c r="K618" i="8" s="1"/>
  <c r="I618" i="8" a="1"/>
  <c r="I618" i="8" s="1"/>
  <c r="H618" i="8" a="1"/>
  <c r="H618" i="8" s="1"/>
  <c r="J680" i="8" a="1"/>
  <c r="J680" i="8" s="1"/>
  <c r="Q512" i="8"/>
  <c r="Q522" i="8"/>
  <c r="L551" i="8" a="1"/>
  <c r="L551" i="8" s="1"/>
  <c r="Q567" i="8"/>
  <c r="J584" i="8" a="1"/>
  <c r="J584" i="8" s="1"/>
  <c r="H584" i="8" a="1"/>
  <c r="H584" i="8" s="1"/>
  <c r="I584" i="8" a="1"/>
  <c r="I584" i="8" s="1"/>
  <c r="G584" i="8" a="1"/>
  <c r="G584" i="8" s="1"/>
  <c r="F584" i="8" a="1"/>
  <c r="F584" i="8" s="1"/>
  <c r="E584" i="8" a="1"/>
  <c r="E584" i="8" s="1"/>
  <c r="O584" i="8" a="1"/>
  <c r="O584" i="8" s="1"/>
  <c r="N584" i="8" a="1"/>
  <c r="N584" i="8" s="1"/>
  <c r="M584" i="8" a="1"/>
  <c r="M584" i="8" s="1"/>
  <c r="Q587" i="8"/>
  <c r="I589" i="8" a="1"/>
  <c r="I589" i="8" s="1"/>
  <c r="H589" i="8" a="1"/>
  <c r="H589" i="8" s="1"/>
  <c r="O589" i="8" a="1"/>
  <c r="O589" i="8" s="1"/>
  <c r="G589" i="8" a="1"/>
  <c r="G589" i="8" s="1"/>
  <c r="N589" i="8" a="1"/>
  <c r="N589" i="8" s="1"/>
  <c r="F589" i="8" a="1"/>
  <c r="F589" i="8" s="1"/>
  <c r="M589" i="8" a="1"/>
  <c r="M589" i="8" s="1"/>
  <c r="E589" i="8" a="1"/>
  <c r="E589" i="8" s="1"/>
  <c r="L589" i="8" a="1"/>
  <c r="L589" i="8" s="1"/>
  <c r="K589" i="8" a="1"/>
  <c r="K589" i="8" s="1"/>
  <c r="J589" i="8" a="1"/>
  <c r="J589" i="8" s="1"/>
  <c r="Q602" i="8"/>
  <c r="Q615" i="8"/>
  <c r="I626" i="8" a="1"/>
  <c r="I626" i="8" s="1"/>
  <c r="N626" i="8" a="1"/>
  <c r="N626" i="8" s="1"/>
  <c r="F626" i="8" a="1"/>
  <c r="F626" i="8" s="1"/>
  <c r="E626" i="8" a="1"/>
  <c r="E626" i="8" s="1"/>
  <c r="M626" i="8" a="1"/>
  <c r="M626" i="8" s="1"/>
  <c r="K626" i="8" a="1"/>
  <c r="K626" i="8" s="1"/>
  <c r="H626" i="8" a="1"/>
  <c r="H626" i="8" s="1"/>
  <c r="L626" i="8" a="1"/>
  <c r="L626" i="8" s="1"/>
  <c r="O745" i="8" a="1"/>
  <c r="O745" i="8" s="1"/>
  <c r="G745" i="8" a="1"/>
  <c r="G745" i="8" s="1"/>
  <c r="N745" i="8" a="1"/>
  <c r="N745" i="8" s="1"/>
  <c r="F745" i="8" a="1"/>
  <c r="F745" i="8" s="1"/>
  <c r="M745" i="8" a="1"/>
  <c r="M745" i="8" s="1"/>
  <c r="E745" i="8" a="1"/>
  <c r="E745" i="8" s="1"/>
  <c r="K745" i="8" a="1"/>
  <c r="K745" i="8" s="1"/>
  <c r="J745" i="8" a="1"/>
  <c r="J745" i="8" s="1"/>
  <c r="I745" i="8" a="1"/>
  <c r="I745" i="8" s="1"/>
  <c r="L745" i="8" a="1"/>
  <c r="L745" i="8" s="1"/>
  <c r="H745" i="8" a="1"/>
  <c r="H745" i="8" s="1"/>
  <c r="O520" i="8" a="1"/>
  <c r="O520" i="8" s="1"/>
  <c r="G520" i="8" a="1"/>
  <c r="G520" i="8" s="1"/>
  <c r="N520" i="8" a="1"/>
  <c r="N520" i="8" s="1"/>
  <c r="F520" i="8" a="1"/>
  <c r="F520" i="8" s="1"/>
  <c r="K520" i="8" a="1"/>
  <c r="K520" i="8" s="1"/>
  <c r="N545" i="8" a="1"/>
  <c r="N545" i="8" s="1"/>
  <c r="F545" i="8" a="1"/>
  <c r="F545" i="8" s="1"/>
  <c r="M545" i="8" a="1"/>
  <c r="M545" i="8" s="1"/>
  <c r="E545" i="8" a="1"/>
  <c r="E545" i="8" s="1"/>
  <c r="K545" i="8" a="1"/>
  <c r="K545" i="8" s="1"/>
  <c r="J545" i="8" a="1"/>
  <c r="J545" i="8" s="1"/>
  <c r="I545" i="8" a="1"/>
  <c r="I545" i="8" s="1"/>
  <c r="H545" i="8" a="1"/>
  <c r="H545" i="8" s="1"/>
  <c r="L619" i="8" a="1"/>
  <c r="L619" i="8" s="1"/>
  <c r="K619" i="8" a="1"/>
  <c r="K619" i="8" s="1"/>
  <c r="J619" i="8" a="1"/>
  <c r="J619" i="8" s="1"/>
  <c r="I619" i="8" a="1"/>
  <c r="I619" i="8" s="1"/>
  <c r="H619" i="8" a="1"/>
  <c r="H619" i="8" s="1"/>
  <c r="O619" i="8" a="1"/>
  <c r="O619" i="8" s="1"/>
  <c r="G619" i="8" a="1"/>
  <c r="G619" i="8" s="1"/>
  <c r="E619" i="8" a="1"/>
  <c r="E619" i="8" s="1"/>
  <c r="N619" i="8" a="1"/>
  <c r="N619" i="8" s="1"/>
  <c r="M619" i="8" a="1"/>
  <c r="M619" i="8" s="1"/>
  <c r="G626" i="8" a="1"/>
  <c r="G626" i="8" s="1"/>
  <c r="L509" i="8" a="1"/>
  <c r="L509" i="8" s="1"/>
  <c r="I509" i="8" a="1"/>
  <c r="I509" i="8" s="1"/>
  <c r="H509" i="8" a="1"/>
  <c r="H509" i="8" s="1"/>
  <c r="O509" i="8" a="1"/>
  <c r="O509" i="8" s="1"/>
  <c r="G509" i="8" a="1"/>
  <c r="G509" i="8" s="1"/>
  <c r="N509" i="8" a="1"/>
  <c r="N509" i="8" s="1"/>
  <c r="F509" i="8" a="1"/>
  <c r="F509" i="8" s="1"/>
  <c r="Q511" i="8"/>
  <c r="Q521" i="8"/>
  <c r="H546" i="8" a="1"/>
  <c r="H546" i="8" s="1"/>
  <c r="O546" i="8" a="1"/>
  <c r="O546" i="8" s="1"/>
  <c r="G546" i="8" a="1"/>
  <c r="G546" i="8" s="1"/>
  <c r="L546" i="8" a="1"/>
  <c r="L546" i="8" s="1"/>
  <c r="M551" i="8" a="1"/>
  <c r="M551" i="8" s="1"/>
  <c r="J599" i="8" a="1"/>
  <c r="J599" i="8" s="1"/>
  <c r="I599" i="8" a="1"/>
  <c r="I599" i="8" s="1"/>
  <c r="H599" i="8" a="1"/>
  <c r="H599" i="8" s="1"/>
  <c r="O599" i="8" a="1"/>
  <c r="O599" i="8" s="1"/>
  <c r="G599" i="8" a="1"/>
  <c r="G599" i="8" s="1"/>
  <c r="N599" i="8" a="1"/>
  <c r="N599" i="8" s="1"/>
  <c r="F599" i="8" a="1"/>
  <c r="F599" i="8" s="1"/>
  <c r="M599" i="8" a="1"/>
  <c r="M599" i="8" s="1"/>
  <c r="E599" i="8" a="1"/>
  <c r="E599" i="8" s="1"/>
  <c r="L599" i="8" a="1"/>
  <c r="L599" i="8" s="1"/>
  <c r="J626" i="8" a="1"/>
  <c r="J626" i="8" s="1"/>
  <c r="K646" i="8" a="1"/>
  <c r="K646" i="8" s="1"/>
  <c r="J646" i="8" a="1"/>
  <c r="J646" i="8" s="1"/>
  <c r="I646" i="8" a="1"/>
  <c r="I646" i="8" s="1"/>
  <c r="H646" i="8" a="1"/>
  <c r="H646" i="8" s="1"/>
  <c r="O646" i="8" a="1"/>
  <c r="O646" i="8" s="1"/>
  <c r="N646" i="8" a="1"/>
  <c r="N646" i="8" s="1"/>
  <c r="L646" i="8" a="1"/>
  <c r="L646" i="8" s="1"/>
  <c r="G646" i="8" a="1"/>
  <c r="G646" i="8" s="1"/>
  <c r="F646" i="8" a="1"/>
  <c r="F646" i="8" s="1"/>
  <c r="M646" i="8" a="1"/>
  <c r="M646" i="8" s="1"/>
  <c r="E646" i="8" a="1"/>
  <c r="E646" i="8" s="1"/>
  <c r="Q510" i="8"/>
  <c r="K561" i="8" a="1"/>
  <c r="K561" i="8" s="1"/>
  <c r="I561" i="8" a="1"/>
  <c r="I561" i="8" s="1"/>
  <c r="O561" i="8" a="1"/>
  <c r="O561" i="8" s="1"/>
  <c r="G561" i="8" a="1"/>
  <c r="G561" i="8" s="1"/>
  <c r="L561" i="8" a="1"/>
  <c r="L561" i="8" s="1"/>
  <c r="J561" i="8" a="1"/>
  <c r="J561" i="8" s="1"/>
  <c r="H561" i="8" a="1"/>
  <c r="H561" i="8" s="1"/>
  <c r="F561" i="8" a="1"/>
  <c r="F561" i="8" s="1"/>
  <c r="E561" i="8" a="1"/>
  <c r="E561" i="8" s="1"/>
  <c r="N561" i="8" a="1"/>
  <c r="N561" i="8" s="1"/>
  <c r="L584" i="8" a="1"/>
  <c r="L584" i="8" s="1"/>
  <c r="O626" i="8" a="1"/>
  <c r="O626" i="8" s="1"/>
  <c r="Q495" i="8"/>
  <c r="Q500" i="8"/>
  <c r="E546" i="8" a="1"/>
  <c r="E546" i="8" s="1"/>
  <c r="I605" i="8" a="1"/>
  <c r="I605" i="8" s="1"/>
  <c r="H605" i="8" a="1"/>
  <c r="H605" i="8" s="1"/>
  <c r="O605" i="8" a="1"/>
  <c r="O605" i="8" s="1"/>
  <c r="G605" i="8" a="1"/>
  <c r="G605" i="8" s="1"/>
  <c r="N605" i="8" a="1"/>
  <c r="N605" i="8" s="1"/>
  <c r="F605" i="8" a="1"/>
  <c r="F605" i="8" s="1"/>
  <c r="M605" i="8" a="1"/>
  <c r="M605" i="8" s="1"/>
  <c r="E605" i="8" a="1"/>
  <c r="E605" i="8" s="1"/>
  <c r="L605" i="8" a="1"/>
  <c r="L605" i="8" s="1"/>
  <c r="J605" i="8" a="1"/>
  <c r="J605" i="8" s="1"/>
  <c r="L669" i="8" a="1"/>
  <c r="L669" i="8" s="1"/>
  <c r="K669" i="8" a="1"/>
  <c r="K669" i="8" s="1"/>
  <c r="I669" i="8" a="1"/>
  <c r="I669" i="8" s="1"/>
  <c r="H669" i="8" a="1"/>
  <c r="H669" i="8" s="1"/>
  <c r="O669" i="8" a="1"/>
  <c r="O669" i="8" s="1"/>
  <c r="G669" i="8" a="1"/>
  <c r="G669" i="8" s="1"/>
  <c r="N669" i="8" a="1"/>
  <c r="N669" i="8" s="1"/>
  <c r="F669" i="8" a="1"/>
  <c r="F669" i="8" s="1"/>
  <c r="M669" i="8" a="1"/>
  <c r="M669" i="8" s="1"/>
  <c r="J669" i="8" a="1"/>
  <c r="J669" i="8" s="1"/>
  <c r="E669" i="8" a="1"/>
  <c r="E669" i="8" s="1"/>
  <c r="Q503" i="8"/>
  <c r="Q506" i="8"/>
  <c r="Q519" i="8"/>
  <c r="E520" i="8" a="1"/>
  <c r="E520" i="8" s="1"/>
  <c r="F546" i="8" a="1"/>
  <c r="F546" i="8" s="1"/>
  <c r="Q554" i="8"/>
  <c r="N559" i="8" a="1"/>
  <c r="N559" i="8" s="1"/>
  <c r="F559" i="8" a="1"/>
  <c r="F559" i="8" s="1"/>
  <c r="L559" i="8" a="1"/>
  <c r="L559" i="8" s="1"/>
  <c r="J559" i="8" a="1"/>
  <c r="J559" i="8" s="1"/>
  <c r="G559" i="8" a="1"/>
  <c r="G559" i="8" s="1"/>
  <c r="E559" i="8" a="1"/>
  <c r="E559" i="8" s="1"/>
  <c r="O559" i="8" a="1"/>
  <c r="O559" i="8" s="1"/>
  <c r="K559" i="8" a="1"/>
  <c r="K559" i="8" s="1"/>
  <c r="I559" i="8" a="1"/>
  <c r="I559" i="8" s="1"/>
  <c r="L572" i="8" a="1"/>
  <c r="L572" i="8" s="1"/>
  <c r="F572" i="8" a="1"/>
  <c r="F572" i="8" s="1"/>
  <c r="E572" i="8" a="1"/>
  <c r="E572" i="8" s="1"/>
  <c r="O572" i="8" a="1"/>
  <c r="O572" i="8" s="1"/>
  <c r="N572" i="8" a="1"/>
  <c r="N572" i="8" s="1"/>
  <c r="K572" i="8" a="1"/>
  <c r="K572" i="8" s="1"/>
  <c r="J572" i="8" a="1"/>
  <c r="J572" i="8" s="1"/>
  <c r="Q585" i="8"/>
  <c r="K599" i="8" a="1"/>
  <c r="K599" i="8" s="1"/>
  <c r="F619" i="8" a="1"/>
  <c r="F619" i="8" s="1"/>
  <c r="Q505" i="8"/>
  <c r="Q530" i="8"/>
  <c r="I540" i="8" a="1"/>
  <c r="I540" i="8" s="1"/>
  <c r="H540" i="8" a="1"/>
  <c r="H540" i="8" s="1"/>
  <c r="M540" i="8" a="1"/>
  <c r="M540" i="8" s="1"/>
  <c r="E540" i="8" a="1"/>
  <c r="E540" i="8" s="1"/>
  <c r="M647" i="8" a="1"/>
  <c r="M647" i="8" s="1"/>
  <c r="E647" i="8" a="1"/>
  <c r="E647" i="8" s="1"/>
  <c r="J647" i="8" a="1"/>
  <c r="J647" i="8" s="1"/>
  <c r="O647" i="8" a="1"/>
  <c r="O647" i="8" s="1"/>
  <c r="N647" i="8" a="1"/>
  <c r="N647" i="8" s="1"/>
  <c r="L647" i="8" a="1"/>
  <c r="L647" i="8" s="1"/>
  <c r="I647" i="8" a="1"/>
  <c r="I647" i="8" s="1"/>
  <c r="G647" i="8" a="1"/>
  <c r="G647" i="8" s="1"/>
  <c r="F647" i="8" a="1"/>
  <c r="F647" i="8" s="1"/>
  <c r="K647" i="8" a="1"/>
  <c r="K647" i="8" s="1"/>
  <c r="H647" i="8" a="1"/>
  <c r="H647" i="8" s="1"/>
  <c r="Q608" i="8"/>
  <c r="Q688" i="8"/>
  <c r="Q576" i="8"/>
  <c r="Q577" i="8"/>
  <c r="Q596" i="8"/>
  <c r="Q568" i="8"/>
  <c r="Q612" i="8"/>
  <c r="H632" i="8" a="1"/>
  <c r="H632" i="8" s="1"/>
  <c r="M632" i="8" a="1"/>
  <c r="M632" i="8" s="1"/>
  <c r="E632" i="8" a="1"/>
  <c r="E632" i="8" s="1"/>
  <c r="G632" i="8" a="1"/>
  <c r="G632" i="8" s="1"/>
  <c r="F632" i="8" a="1"/>
  <c r="F632" i="8" s="1"/>
  <c r="O632" i="8" a="1"/>
  <c r="O632" i="8" s="1"/>
  <c r="N632" i="8" a="1"/>
  <c r="N632" i="8" s="1"/>
  <c r="L632" i="8" a="1"/>
  <c r="L632" i="8" s="1"/>
  <c r="K632" i="8" a="1"/>
  <c r="K632" i="8" s="1"/>
  <c r="J632" i="8" a="1"/>
  <c r="J632" i="8" s="1"/>
  <c r="Q552" i="8"/>
  <c r="Q600" i="8"/>
  <c r="E641" i="8" a="1"/>
  <c r="E641" i="8" s="1"/>
  <c r="M650" i="8" a="1"/>
  <c r="M650" i="8" s="1"/>
  <c r="E650" i="8" a="1"/>
  <c r="E650" i="8" s="1"/>
  <c r="L650" i="8" a="1"/>
  <c r="L650" i="8" s="1"/>
  <c r="K650" i="8" a="1"/>
  <c r="K650" i="8" s="1"/>
  <c r="J650" i="8" a="1"/>
  <c r="J650" i="8" s="1"/>
  <c r="I650" i="8" a="1"/>
  <c r="I650" i="8" s="1"/>
  <c r="H650" i="8" a="1"/>
  <c r="H650" i="8" s="1"/>
  <c r="G650" i="8" a="1"/>
  <c r="G650" i="8" s="1"/>
  <c r="F650" i="8" a="1"/>
  <c r="F650" i="8" s="1"/>
  <c r="O650" i="8" a="1"/>
  <c r="O650" i="8" s="1"/>
  <c r="N650" i="8" a="1"/>
  <c r="N650" i="8" s="1"/>
  <c r="N660" i="8" a="1"/>
  <c r="N660" i="8" s="1"/>
  <c r="F660" i="8" a="1"/>
  <c r="F660" i="8" s="1"/>
  <c r="M660" i="8" a="1"/>
  <c r="M660" i="8" s="1"/>
  <c r="E660" i="8" a="1"/>
  <c r="E660" i="8" s="1"/>
  <c r="L660" i="8" a="1"/>
  <c r="L660" i="8" s="1"/>
  <c r="K660" i="8" a="1"/>
  <c r="K660" i="8" s="1"/>
  <c r="I660" i="8" a="1"/>
  <c r="I660" i="8" s="1"/>
  <c r="H660" i="8" a="1"/>
  <c r="H660" i="8" s="1"/>
  <c r="G660" i="8" a="1"/>
  <c r="G660" i="8" s="1"/>
  <c r="O660" i="8" a="1"/>
  <c r="O660" i="8" s="1"/>
  <c r="J660" i="8" a="1"/>
  <c r="J660" i="8" s="1"/>
  <c r="J718" i="8" a="1"/>
  <c r="J718" i="8" s="1"/>
  <c r="N718" i="8" a="1"/>
  <c r="N718" i="8" s="1"/>
  <c r="F718" i="8" a="1"/>
  <c r="F718" i="8" s="1"/>
  <c r="L718" i="8" a="1"/>
  <c r="L718" i="8" s="1"/>
  <c r="K718" i="8" a="1"/>
  <c r="K718" i="8" s="1"/>
  <c r="I718" i="8" a="1"/>
  <c r="I718" i="8" s="1"/>
  <c r="H718" i="8" a="1"/>
  <c r="H718" i="8" s="1"/>
  <c r="G718" i="8" a="1"/>
  <c r="G718" i="8" s="1"/>
  <c r="E718" i="8" a="1"/>
  <c r="E718" i="8" s="1"/>
  <c r="O718" i="8" a="1"/>
  <c r="O718" i="8" s="1"/>
  <c r="M718" i="8" a="1"/>
  <c r="M718" i="8" s="1"/>
  <c r="O742" i="8" a="1"/>
  <c r="O742" i="8" s="1"/>
  <c r="G742" i="8" a="1"/>
  <c r="G742" i="8" s="1"/>
  <c r="N742" i="8" a="1"/>
  <c r="N742" i="8" s="1"/>
  <c r="F742" i="8" a="1"/>
  <c r="F742" i="8" s="1"/>
  <c r="J742" i="8" a="1"/>
  <c r="J742" i="8" s="1"/>
  <c r="L742" i="8" a="1"/>
  <c r="L742" i="8" s="1"/>
  <c r="K742" i="8" a="1"/>
  <c r="K742" i="8" s="1"/>
  <c r="I742" i="8" a="1"/>
  <c r="I742" i="8" s="1"/>
  <c r="H742" i="8" a="1"/>
  <c r="H742" i="8" s="1"/>
  <c r="E742" i="8" a="1"/>
  <c r="E742" i="8" s="1"/>
  <c r="M742" i="8" a="1"/>
  <c r="M742" i="8" s="1"/>
  <c r="M616" i="8" a="1"/>
  <c r="M616" i="8" s="1"/>
  <c r="E616" i="8" a="1"/>
  <c r="E616" i="8" s="1"/>
  <c r="J616" i="8" a="1"/>
  <c r="J616" i="8" s="1"/>
  <c r="H616" i="8" a="1"/>
  <c r="H616" i="8" s="1"/>
  <c r="Q624" i="8"/>
  <c r="H648" i="8" a="1"/>
  <c r="H648" i="8" s="1"/>
  <c r="O648" i="8" a="1"/>
  <c r="O648" i="8" s="1"/>
  <c r="G648" i="8" a="1"/>
  <c r="G648" i="8" s="1"/>
  <c r="N648" i="8" a="1"/>
  <c r="N648" i="8" s="1"/>
  <c r="F648" i="8" a="1"/>
  <c r="F648" i="8" s="1"/>
  <c r="M648" i="8" a="1"/>
  <c r="M648" i="8" s="1"/>
  <c r="E648" i="8" a="1"/>
  <c r="E648" i="8" s="1"/>
  <c r="L648" i="8" a="1"/>
  <c r="L648" i="8" s="1"/>
  <c r="K648" i="8" a="1"/>
  <c r="K648" i="8" s="1"/>
  <c r="J648" i="8" a="1"/>
  <c r="J648" i="8" s="1"/>
  <c r="I648" i="8" a="1"/>
  <c r="I648" i="8" s="1"/>
  <c r="O667" i="8" a="1"/>
  <c r="O667" i="8" s="1"/>
  <c r="G667" i="8" a="1"/>
  <c r="G667" i="8" s="1"/>
  <c r="N667" i="8" a="1"/>
  <c r="N667" i="8" s="1"/>
  <c r="F667" i="8" a="1"/>
  <c r="F667" i="8" s="1"/>
  <c r="L667" i="8" a="1"/>
  <c r="L667" i="8" s="1"/>
  <c r="K667" i="8" a="1"/>
  <c r="K667" i="8" s="1"/>
  <c r="J667" i="8" a="1"/>
  <c r="J667" i="8" s="1"/>
  <c r="I667" i="8" a="1"/>
  <c r="I667" i="8" s="1"/>
  <c r="M667" i="8" a="1"/>
  <c r="M667" i="8" s="1"/>
  <c r="H667" i="8" a="1"/>
  <c r="H667" i="8" s="1"/>
  <c r="E667" i="8" a="1"/>
  <c r="E667" i="8" s="1"/>
  <c r="L685" i="8" a="1"/>
  <c r="L685" i="8" s="1"/>
  <c r="K685" i="8" a="1"/>
  <c r="K685" i="8" s="1"/>
  <c r="J685" i="8" a="1"/>
  <c r="J685" i="8" s="1"/>
  <c r="I685" i="8" a="1"/>
  <c r="I685" i="8" s="1"/>
  <c r="H685" i="8" a="1"/>
  <c r="H685" i="8" s="1"/>
  <c r="O685" i="8" a="1"/>
  <c r="O685" i="8" s="1"/>
  <c r="G685" i="8" a="1"/>
  <c r="G685" i="8" s="1"/>
  <c r="N685" i="8" a="1"/>
  <c r="N685" i="8" s="1"/>
  <c r="F685" i="8" a="1"/>
  <c r="F685" i="8" s="1"/>
  <c r="E685" i="8" a="1"/>
  <c r="E685" i="8" s="1"/>
  <c r="Q570" i="8"/>
  <c r="Q580" i="8"/>
  <c r="Q621" i="8"/>
  <c r="I632" i="8" a="1"/>
  <c r="I632" i="8" s="1"/>
  <c r="M685" i="8" a="1"/>
  <c r="M685" i="8" s="1"/>
  <c r="L603" i="8" a="1"/>
  <c r="L603" i="8" s="1"/>
  <c r="K603" i="8" a="1"/>
  <c r="K603" i="8" s="1"/>
  <c r="J603" i="8" a="1"/>
  <c r="J603" i="8" s="1"/>
  <c r="I603" i="8" a="1"/>
  <c r="I603" i="8" s="1"/>
  <c r="H603" i="8" a="1"/>
  <c r="H603" i="8" s="1"/>
  <c r="O603" i="8" a="1"/>
  <c r="O603" i="8" s="1"/>
  <c r="G603" i="8" a="1"/>
  <c r="G603" i="8" s="1"/>
  <c r="N644" i="8" a="1"/>
  <c r="N644" i="8" s="1"/>
  <c r="F644" i="8" a="1"/>
  <c r="F644" i="8" s="1"/>
  <c r="M644" i="8" a="1"/>
  <c r="M644" i="8" s="1"/>
  <c r="E644" i="8" a="1"/>
  <c r="E644" i="8" s="1"/>
  <c r="L644" i="8" a="1"/>
  <c r="L644" i="8" s="1"/>
  <c r="K644" i="8" a="1"/>
  <c r="K644" i="8" s="1"/>
  <c r="J644" i="8" a="1"/>
  <c r="J644" i="8" s="1"/>
  <c r="I644" i="8" a="1"/>
  <c r="I644" i="8" s="1"/>
  <c r="H644" i="8" a="1"/>
  <c r="H644" i="8" s="1"/>
  <c r="F651" i="8" a="1"/>
  <c r="F651" i="8" s="1"/>
  <c r="N702" i="8" a="1"/>
  <c r="N702" i="8" s="1"/>
  <c r="F702" i="8" a="1"/>
  <c r="F702" i="8" s="1"/>
  <c r="J702" i="8" a="1"/>
  <c r="J702" i="8" s="1"/>
  <c r="I702" i="8" a="1"/>
  <c r="I702" i="8" s="1"/>
  <c r="H702" i="8" a="1"/>
  <c r="H702" i="8" s="1"/>
  <c r="G702" i="8" a="1"/>
  <c r="G702" i="8" s="1"/>
  <c r="E702" i="8" a="1"/>
  <c r="E702" i="8" s="1"/>
  <c r="O702" i="8" a="1"/>
  <c r="O702" i="8" s="1"/>
  <c r="M702" i="8" a="1"/>
  <c r="M702" i="8" s="1"/>
  <c r="L702" i="8" a="1"/>
  <c r="L702" i="8" s="1"/>
  <c r="K702" i="8" a="1"/>
  <c r="K702" i="8" s="1"/>
  <c r="O707" i="8" a="1"/>
  <c r="O707" i="8" s="1"/>
  <c r="G707" i="8" a="1"/>
  <c r="G707" i="8" s="1"/>
  <c r="N707" i="8" a="1"/>
  <c r="N707" i="8" s="1"/>
  <c r="F707" i="8" a="1"/>
  <c r="F707" i="8" s="1"/>
  <c r="K707" i="8" a="1"/>
  <c r="K707" i="8" s="1"/>
  <c r="J707" i="8" a="1"/>
  <c r="J707" i="8" s="1"/>
  <c r="M707" i="8" a="1"/>
  <c r="M707" i="8" s="1"/>
  <c r="L707" i="8" a="1"/>
  <c r="L707" i="8" s="1"/>
  <c r="I707" i="8" a="1"/>
  <c r="I707" i="8" s="1"/>
  <c r="H707" i="8" a="1"/>
  <c r="H707" i="8" s="1"/>
  <c r="F616" i="8" a="1"/>
  <c r="F616" i="8" s="1"/>
  <c r="K659" i="8" a="1"/>
  <c r="K659" i="8" s="1"/>
  <c r="H659" i="8" a="1"/>
  <c r="H659" i="8" s="1"/>
  <c r="M659" i="8" a="1"/>
  <c r="M659" i="8" s="1"/>
  <c r="E659" i="8" a="1"/>
  <c r="E659" i="8" s="1"/>
  <c r="F659" i="8" a="1"/>
  <c r="F659" i="8" s="1"/>
  <c r="O659" i="8" a="1"/>
  <c r="O659" i="8" s="1"/>
  <c r="L659" i="8" a="1"/>
  <c r="L659" i="8" s="1"/>
  <c r="J659" i="8" a="1"/>
  <c r="J659" i="8" s="1"/>
  <c r="I659" i="8" a="1"/>
  <c r="I659" i="8" s="1"/>
  <c r="K715" i="8" a="1"/>
  <c r="K715" i="8" s="1"/>
  <c r="J715" i="8" a="1"/>
  <c r="J715" i="8" s="1"/>
  <c r="H715" i="8" a="1"/>
  <c r="H715" i="8" s="1"/>
  <c r="O715" i="8" a="1"/>
  <c r="O715" i="8" s="1"/>
  <c r="G715" i="8" a="1"/>
  <c r="G715" i="8" s="1"/>
  <c r="N715" i="8" a="1"/>
  <c r="N715" i="8" s="1"/>
  <c r="F715" i="8" a="1"/>
  <c r="F715" i="8" s="1"/>
  <c r="L715" i="8" a="1"/>
  <c r="L715" i="8" s="1"/>
  <c r="I715" i="8" a="1"/>
  <c r="I715" i="8" s="1"/>
  <c r="E715" i="8" a="1"/>
  <c r="E715" i="8" s="1"/>
  <c r="M715" i="8" a="1"/>
  <c r="M715" i="8" s="1"/>
  <c r="H611" i="8" a="1"/>
  <c r="H611" i="8" s="1"/>
  <c r="O611" i="8" a="1"/>
  <c r="O611" i="8" s="1"/>
  <c r="G611" i="8" a="1"/>
  <c r="G611" i="8" s="1"/>
  <c r="N611" i="8" a="1"/>
  <c r="N611" i="8" s="1"/>
  <c r="F611" i="8" a="1"/>
  <c r="F611" i="8" s="1"/>
  <c r="M611" i="8" a="1"/>
  <c r="M611" i="8" s="1"/>
  <c r="E611" i="8" a="1"/>
  <c r="E611" i="8" s="1"/>
  <c r="L611" i="8" a="1"/>
  <c r="L611" i="8" s="1"/>
  <c r="K611" i="8" a="1"/>
  <c r="K611" i="8" s="1"/>
  <c r="Q633" i="8"/>
  <c r="Q694" i="8"/>
  <c r="E707" i="8" a="1"/>
  <c r="E707" i="8" s="1"/>
  <c r="G616" i="8" a="1"/>
  <c r="G616" i="8" s="1"/>
  <c r="M634" i="8" a="1"/>
  <c r="M634" i="8" s="1"/>
  <c r="E634" i="8" a="1"/>
  <c r="E634" i="8" s="1"/>
  <c r="J634" i="8" a="1"/>
  <c r="J634" i="8" s="1"/>
  <c r="I634" i="8" a="1"/>
  <c r="I634" i="8" s="1"/>
  <c r="H634" i="8" a="1"/>
  <c r="H634" i="8" s="1"/>
  <c r="F634" i="8" a="1"/>
  <c r="F634" i="8" s="1"/>
  <c r="O634" i="8" a="1"/>
  <c r="O634" i="8" s="1"/>
  <c r="N634" i="8" a="1"/>
  <c r="N634" i="8" s="1"/>
  <c r="L634" i="8" a="1"/>
  <c r="L634" i="8" s="1"/>
  <c r="K641" i="8" a="1"/>
  <c r="K641" i="8" s="1"/>
  <c r="O641" i="8" a="1"/>
  <c r="O641" i="8" s="1"/>
  <c r="N641" i="8" a="1"/>
  <c r="N641" i="8" s="1"/>
  <c r="M641" i="8" a="1"/>
  <c r="M641" i="8" s="1"/>
  <c r="L641" i="8" a="1"/>
  <c r="L641" i="8" s="1"/>
  <c r="J641" i="8" a="1"/>
  <c r="J641" i="8" s="1"/>
  <c r="I641" i="8" a="1"/>
  <c r="I641" i="8" s="1"/>
  <c r="H641" i="8" a="1"/>
  <c r="H641" i="8" s="1"/>
  <c r="G644" i="8" a="1"/>
  <c r="G644" i="8" s="1"/>
  <c r="O651" i="8" a="1"/>
  <c r="O651" i="8" s="1"/>
  <c r="G651" i="8" a="1"/>
  <c r="G651" i="8" s="1"/>
  <c r="L651" i="8" a="1"/>
  <c r="L651" i="8" s="1"/>
  <c r="I651" i="8" a="1"/>
  <c r="I651" i="8" s="1"/>
  <c r="H651" i="8" a="1"/>
  <c r="H651" i="8" s="1"/>
  <c r="E651" i="8" a="1"/>
  <c r="E651" i="8" s="1"/>
  <c r="N651" i="8" a="1"/>
  <c r="N651" i="8" s="1"/>
  <c r="M651" i="8" a="1"/>
  <c r="M651" i="8" s="1"/>
  <c r="K651" i="8" a="1"/>
  <c r="K651" i="8" s="1"/>
  <c r="L672" i="8" a="1"/>
  <c r="L672" i="8" s="1"/>
  <c r="K672" i="8" a="1"/>
  <c r="K672" i="8" s="1"/>
  <c r="J672" i="8" a="1"/>
  <c r="J672" i="8" s="1"/>
  <c r="I672" i="8" a="1"/>
  <c r="I672" i="8" s="1"/>
  <c r="O672" i="8" a="1"/>
  <c r="O672" i="8" s="1"/>
  <c r="G672" i="8" a="1"/>
  <c r="G672" i="8" s="1"/>
  <c r="N672" i="8" a="1"/>
  <c r="N672" i="8" s="1"/>
  <c r="M672" i="8" a="1"/>
  <c r="M672" i="8" s="1"/>
  <c r="H672" i="8" a="1"/>
  <c r="H672" i="8" s="1"/>
  <c r="F672" i="8" a="1"/>
  <c r="F672" i="8" s="1"/>
  <c r="E672" i="8" a="1"/>
  <c r="E672" i="8" s="1"/>
  <c r="Q593" i="8"/>
  <c r="I616" i="8" a="1"/>
  <c r="I616" i="8" s="1"/>
  <c r="Q642" i="8"/>
  <c r="Q652" i="8"/>
  <c r="G659" i="8" a="1"/>
  <c r="G659" i="8" s="1"/>
  <c r="Q560" i="8"/>
  <c r="Q564" i="8"/>
  <c r="E603" i="8" a="1"/>
  <c r="E603" i="8" s="1"/>
  <c r="Q609" i="8"/>
  <c r="K616" i="8" a="1"/>
  <c r="K616" i="8" s="1"/>
  <c r="L731" i="8" a="1"/>
  <c r="L731" i="8" s="1"/>
  <c r="K731" i="8" a="1"/>
  <c r="K731" i="8" s="1"/>
  <c r="J731" i="8" a="1"/>
  <c r="J731" i="8" s="1"/>
  <c r="H731" i="8" a="1"/>
  <c r="H731" i="8" s="1"/>
  <c r="O731" i="8" a="1"/>
  <c r="O731" i="8" s="1"/>
  <c r="G731" i="8" a="1"/>
  <c r="G731" i="8" s="1"/>
  <c r="N731" i="8" a="1"/>
  <c r="N731" i="8" s="1"/>
  <c r="F731" i="8" a="1"/>
  <c r="F731" i="8" s="1"/>
  <c r="I731" i="8" a="1"/>
  <c r="I731" i="8" s="1"/>
  <c r="E731" i="8" a="1"/>
  <c r="E731" i="8" s="1"/>
  <c r="M731" i="8" a="1"/>
  <c r="M731" i="8" s="1"/>
  <c r="L616" i="8" a="1"/>
  <c r="L616" i="8" s="1"/>
  <c r="O644" i="8" a="1"/>
  <c r="O644" i="8" s="1"/>
  <c r="N659" i="8" a="1"/>
  <c r="N659" i="8" s="1"/>
  <c r="Q649" i="8"/>
  <c r="M666" i="8" a="1"/>
  <c r="M666" i="8" s="1"/>
  <c r="E666" i="8" a="1"/>
  <c r="E666" i="8" s="1"/>
  <c r="L666" i="8" a="1"/>
  <c r="L666" i="8" s="1"/>
  <c r="K666" i="8" a="1"/>
  <c r="K666" i="8" s="1"/>
  <c r="J666" i="8" a="1"/>
  <c r="J666" i="8" s="1"/>
  <c r="H666" i="8" a="1"/>
  <c r="H666" i="8" s="1"/>
  <c r="Q639" i="8"/>
  <c r="N713" i="8" a="1"/>
  <c r="N713" i="8" s="1"/>
  <c r="F713" i="8" a="1"/>
  <c r="F713" i="8" s="1"/>
  <c r="M713" i="8" a="1"/>
  <c r="M713" i="8" s="1"/>
  <c r="E713" i="8" a="1"/>
  <c r="E713" i="8" s="1"/>
  <c r="K713" i="8" a="1"/>
  <c r="K713" i="8" s="1"/>
  <c r="J713" i="8" a="1"/>
  <c r="J713" i="8" s="1"/>
  <c r="I713" i="8" a="1"/>
  <c r="I713" i="8" s="1"/>
  <c r="L713" i="8" a="1"/>
  <c r="L713" i="8" s="1"/>
  <c r="H713" i="8" a="1"/>
  <c r="H713" i="8" s="1"/>
  <c r="G713" i="8" a="1"/>
  <c r="G713" i="8" s="1"/>
  <c r="O713" i="8" a="1"/>
  <c r="O713" i="8" s="1"/>
  <c r="J721" i="8" a="1"/>
  <c r="J721" i="8" s="1"/>
  <c r="I721" i="8" a="1"/>
  <c r="I721" i="8" s="1"/>
  <c r="O721" i="8" a="1"/>
  <c r="O721" i="8" s="1"/>
  <c r="G721" i="8" a="1"/>
  <c r="G721" i="8" s="1"/>
  <c r="N721" i="8" a="1"/>
  <c r="N721" i="8" s="1"/>
  <c r="F721" i="8" a="1"/>
  <c r="F721" i="8" s="1"/>
  <c r="M721" i="8" a="1"/>
  <c r="M721" i="8" s="1"/>
  <c r="E721" i="8" a="1"/>
  <c r="E721" i="8" s="1"/>
  <c r="K721" i="8" a="1"/>
  <c r="K721" i="8" s="1"/>
  <c r="H721" i="8" a="1"/>
  <c r="H721" i="8" s="1"/>
  <c r="Q627" i="8"/>
  <c r="Q629" i="8"/>
  <c r="K637" i="8" a="1"/>
  <c r="K637" i="8" s="1"/>
  <c r="J658" i="8" a="1"/>
  <c r="J658" i="8" s="1"/>
  <c r="I674" i="8" a="1"/>
  <c r="I674" i="8" s="1"/>
  <c r="H674" i="8" a="1"/>
  <c r="H674" i="8" s="1"/>
  <c r="O674" i="8" a="1"/>
  <c r="O674" i="8" s="1"/>
  <c r="G674" i="8" a="1"/>
  <c r="G674" i="8" s="1"/>
  <c r="N674" i="8" a="1"/>
  <c r="N674" i="8" s="1"/>
  <c r="F674" i="8" a="1"/>
  <c r="F674" i="8" s="1"/>
  <c r="L674" i="8" a="1"/>
  <c r="L674" i="8" s="1"/>
  <c r="Q687" i="8"/>
  <c r="N710" i="8" a="1"/>
  <c r="N710" i="8" s="1"/>
  <c r="F710" i="8" a="1"/>
  <c r="F710" i="8" s="1"/>
  <c r="J710" i="8" a="1"/>
  <c r="J710" i="8" s="1"/>
  <c r="L710" i="8" a="1"/>
  <c r="L710" i="8" s="1"/>
  <c r="K710" i="8" a="1"/>
  <c r="K710" i="8" s="1"/>
  <c r="I710" i="8" a="1"/>
  <c r="I710" i="8" s="1"/>
  <c r="H710" i="8" a="1"/>
  <c r="H710" i="8" s="1"/>
  <c r="G710" i="8" a="1"/>
  <c r="G710" i="8" s="1"/>
  <c r="E710" i="8" a="1"/>
  <c r="E710" i="8" s="1"/>
  <c r="O710" i="8" a="1"/>
  <c r="O710" i="8" s="1"/>
  <c r="L721" i="8" a="1"/>
  <c r="L721" i="8" s="1"/>
  <c r="L637" i="8" a="1"/>
  <c r="L637" i="8" s="1"/>
  <c r="K658" i="8" a="1"/>
  <c r="K658" i="8" s="1"/>
  <c r="N676" i="8" a="1"/>
  <c r="N676" i="8" s="1"/>
  <c r="F676" i="8" a="1"/>
  <c r="F676" i="8" s="1"/>
  <c r="M676" i="8" a="1"/>
  <c r="M676" i="8" s="1"/>
  <c r="E676" i="8" a="1"/>
  <c r="E676" i="8" s="1"/>
  <c r="L676" i="8" a="1"/>
  <c r="L676" i="8" s="1"/>
  <c r="K676" i="8" a="1"/>
  <c r="K676" i="8" s="1"/>
  <c r="I676" i="8" a="1"/>
  <c r="I676" i="8" s="1"/>
  <c r="J705" i="8" a="1"/>
  <c r="J705" i="8" s="1"/>
  <c r="I705" i="8" a="1"/>
  <c r="I705" i="8" s="1"/>
  <c r="N705" i="8" a="1"/>
  <c r="N705" i="8" s="1"/>
  <c r="F705" i="8" a="1"/>
  <c r="F705" i="8" s="1"/>
  <c r="M705" i="8" a="1"/>
  <c r="M705" i="8" s="1"/>
  <c r="E705" i="8" a="1"/>
  <c r="E705" i="8" s="1"/>
  <c r="O705" i="8" a="1"/>
  <c r="O705" i="8" s="1"/>
  <c r="L705" i="8" a="1"/>
  <c r="L705" i="8" s="1"/>
  <c r="K705" i="8" a="1"/>
  <c r="K705" i="8" s="1"/>
  <c r="M637" i="8" a="1"/>
  <c r="M637" i="8" s="1"/>
  <c r="Q643" i="8"/>
  <c r="Q678" i="8"/>
  <c r="Q691" i="8"/>
  <c r="M710" i="8" a="1"/>
  <c r="M710" i="8" s="1"/>
  <c r="H797" i="8" a="1"/>
  <c r="H797" i="8" s="1"/>
  <c r="M797" i="8" a="1"/>
  <c r="M797" i="8" s="1"/>
  <c r="E797" i="8" a="1"/>
  <c r="E797" i="8" s="1"/>
  <c r="J797" i="8" a="1"/>
  <c r="J797" i="8" s="1"/>
  <c r="L797" i="8" a="1"/>
  <c r="L797" i="8" s="1"/>
  <c r="K797" i="8" a="1"/>
  <c r="K797" i="8" s="1"/>
  <c r="I797" i="8" a="1"/>
  <c r="I797" i="8" s="1"/>
  <c r="G797" i="8" a="1"/>
  <c r="G797" i="8" s="1"/>
  <c r="F797" i="8" a="1"/>
  <c r="F797" i="8" s="1"/>
  <c r="O797" i="8" a="1"/>
  <c r="O797" i="8" s="1"/>
  <c r="N637" i="8" a="1"/>
  <c r="N637" i="8" s="1"/>
  <c r="Q661" i="8"/>
  <c r="Q665" i="8"/>
  <c r="F666" i="8" a="1"/>
  <c r="F666" i="8" s="1"/>
  <c r="O670" i="8" a="1"/>
  <c r="O670" i="8" s="1"/>
  <c r="G670" i="8" a="1"/>
  <c r="G670" i="8" s="1"/>
  <c r="N670" i="8" a="1"/>
  <c r="N670" i="8" s="1"/>
  <c r="F670" i="8" a="1"/>
  <c r="F670" i="8" s="1"/>
  <c r="M670" i="8" a="1"/>
  <c r="M670" i="8" s="1"/>
  <c r="E670" i="8" a="1"/>
  <c r="E670" i="8" s="1"/>
  <c r="L670" i="8" a="1"/>
  <c r="L670" i="8" s="1"/>
  <c r="J670" i="8" a="1"/>
  <c r="J670" i="8" s="1"/>
  <c r="G676" i="8" a="1"/>
  <c r="G676" i="8" s="1"/>
  <c r="Q693" i="8"/>
  <c r="M757" i="8" a="1"/>
  <c r="M757" i="8" s="1"/>
  <c r="E757" i="8" a="1"/>
  <c r="E757" i="8" s="1"/>
  <c r="L757" i="8" a="1"/>
  <c r="L757" i="8" s="1"/>
  <c r="K757" i="8" a="1"/>
  <c r="K757" i="8" s="1"/>
  <c r="I757" i="8" a="1"/>
  <c r="I757" i="8" s="1"/>
  <c r="H757" i="8" a="1"/>
  <c r="H757" i="8" s="1"/>
  <c r="O757" i="8" a="1"/>
  <c r="O757" i="8" s="1"/>
  <c r="G757" i="8" a="1"/>
  <c r="G757" i="8" s="1"/>
  <c r="N757" i="8" a="1"/>
  <c r="N757" i="8" s="1"/>
  <c r="J757" i="8" a="1"/>
  <c r="J757" i="8" s="1"/>
  <c r="F757" i="8" a="1"/>
  <c r="F757" i="8" s="1"/>
  <c r="E637" i="8" a="1"/>
  <c r="E637" i="8" s="1"/>
  <c r="O637" i="8" a="1"/>
  <c r="O637" i="8" s="1"/>
  <c r="G666" i="8" a="1"/>
  <c r="G666" i="8" s="1"/>
  <c r="Q671" i="8"/>
  <c r="K674" i="8" a="1"/>
  <c r="K674" i="8" s="1"/>
  <c r="H676" i="8" a="1"/>
  <c r="H676" i="8" s="1"/>
  <c r="Q684" i="8"/>
  <c r="L725" i="8" a="1"/>
  <c r="L725" i="8" s="1"/>
  <c r="K725" i="8" a="1"/>
  <c r="K725" i="8" s="1"/>
  <c r="I725" i="8" a="1"/>
  <c r="I725" i="8" s="1"/>
  <c r="H725" i="8" a="1"/>
  <c r="H725" i="8" s="1"/>
  <c r="O725" i="8" a="1"/>
  <c r="O725" i="8" s="1"/>
  <c r="G725" i="8" a="1"/>
  <c r="G725" i="8" s="1"/>
  <c r="N725" i="8" a="1"/>
  <c r="N725" i="8" s="1"/>
  <c r="M725" i="8" a="1"/>
  <c r="M725" i="8" s="1"/>
  <c r="J725" i="8" a="1"/>
  <c r="J725" i="8" s="1"/>
  <c r="F725" i="8" a="1"/>
  <c r="F725" i="8" s="1"/>
  <c r="E725" i="8" a="1"/>
  <c r="E725" i="8" s="1"/>
  <c r="Q763" i="8"/>
  <c r="Q699" i="8"/>
  <c r="F637" i="8" a="1"/>
  <c r="F637" i="8" s="1"/>
  <c r="Q655" i="8"/>
  <c r="Q656" i="8"/>
  <c r="I666" i="8" a="1"/>
  <c r="I666" i="8" s="1"/>
  <c r="Q675" i="8"/>
  <c r="H758" i="8" a="1"/>
  <c r="H758" i="8" s="1"/>
  <c r="O758" i="8" a="1"/>
  <c r="O758" i="8" s="1"/>
  <c r="G758" i="8" a="1"/>
  <c r="G758" i="8" s="1"/>
  <c r="N758" i="8" a="1"/>
  <c r="N758" i="8" s="1"/>
  <c r="F758" i="8" a="1"/>
  <c r="F758" i="8" s="1"/>
  <c r="M758" i="8" a="1"/>
  <c r="M758" i="8" s="1"/>
  <c r="E758" i="8" a="1"/>
  <c r="E758" i="8" s="1"/>
  <c r="J758" i="8" a="1"/>
  <c r="J758" i="8" s="1"/>
  <c r="L758" i="8" a="1"/>
  <c r="L758" i="8" s="1"/>
  <c r="K758" i="8" a="1"/>
  <c r="K758" i="8" s="1"/>
  <c r="I758" i="8" a="1"/>
  <c r="I758" i="8" s="1"/>
  <c r="I658" i="8" a="1"/>
  <c r="I658" i="8" s="1"/>
  <c r="H658" i="8" a="1"/>
  <c r="H658" i="8" s="1"/>
  <c r="O658" i="8" a="1"/>
  <c r="O658" i="8" s="1"/>
  <c r="G658" i="8" a="1"/>
  <c r="G658" i="8" s="1"/>
  <c r="N658" i="8" a="1"/>
  <c r="N658" i="8" s="1"/>
  <c r="F658" i="8" a="1"/>
  <c r="F658" i="8" s="1"/>
  <c r="L658" i="8" a="1"/>
  <c r="L658" i="8" s="1"/>
  <c r="H717" i="8" a="1"/>
  <c r="H717" i="8" s="1"/>
  <c r="O717" i="8" a="1"/>
  <c r="O717" i="8" s="1"/>
  <c r="G717" i="8" a="1"/>
  <c r="G717" i="8" s="1"/>
  <c r="M717" i="8" a="1"/>
  <c r="M717" i="8" s="1"/>
  <c r="E717" i="8" a="1"/>
  <c r="E717" i="8" s="1"/>
  <c r="L717" i="8" a="1"/>
  <c r="L717" i="8" s="1"/>
  <c r="K717" i="8" a="1"/>
  <c r="K717" i="8" s="1"/>
  <c r="J717" i="8" a="1"/>
  <c r="J717" i="8" s="1"/>
  <c r="I717" i="8" a="1"/>
  <c r="I717" i="8" s="1"/>
  <c r="F717" i="8" a="1"/>
  <c r="F717" i="8" s="1"/>
  <c r="N717" i="8" a="1"/>
  <c r="N717" i="8" s="1"/>
  <c r="L750" i="8" a="1"/>
  <c r="L750" i="8" s="1"/>
  <c r="K750" i="8" a="1"/>
  <c r="K750" i="8" s="1"/>
  <c r="J750" i="8" a="1"/>
  <c r="J750" i="8" s="1"/>
  <c r="N750" i="8" a="1"/>
  <c r="N750" i="8" s="1"/>
  <c r="F750" i="8" a="1"/>
  <c r="F750" i="8" s="1"/>
  <c r="O750" i="8" a="1"/>
  <c r="O750" i="8" s="1"/>
  <c r="M750" i="8" a="1"/>
  <c r="M750" i="8" s="1"/>
  <c r="I750" i="8" a="1"/>
  <c r="I750" i="8" s="1"/>
  <c r="H750" i="8" a="1"/>
  <c r="H750" i="8" s="1"/>
  <c r="G750" i="8" a="1"/>
  <c r="G750" i="8" s="1"/>
  <c r="H853" i="8" a="1"/>
  <c r="H853" i="8" s="1"/>
  <c r="L853" i="8" a="1"/>
  <c r="L853" i="8" s="1"/>
  <c r="F853" i="8" a="1"/>
  <c r="F853" i="8" s="1"/>
  <c r="O853" i="8" a="1"/>
  <c r="O853" i="8" s="1"/>
  <c r="N853" i="8" a="1"/>
  <c r="N853" i="8" s="1"/>
  <c r="M853" i="8" a="1"/>
  <c r="M853" i="8" s="1"/>
  <c r="K853" i="8" a="1"/>
  <c r="K853" i="8" s="1"/>
  <c r="J853" i="8" a="1"/>
  <c r="J853" i="8" s="1"/>
  <c r="I853" i="8" a="1"/>
  <c r="I853" i="8" s="1"/>
  <c r="G853" i="8" a="1"/>
  <c r="G853" i="8" s="1"/>
  <c r="E853" i="8" a="1"/>
  <c r="E853" i="8" s="1"/>
  <c r="G637" i="8" a="1"/>
  <c r="G637" i="8" s="1"/>
  <c r="Q681" i="8"/>
  <c r="Q690" i="8"/>
  <c r="K737" i="8" a="1"/>
  <c r="K737" i="8" s="1"/>
  <c r="J737" i="8" a="1"/>
  <c r="J737" i="8" s="1"/>
  <c r="I737" i="8" a="1"/>
  <c r="I737" i="8" s="1"/>
  <c r="O737" i="8" a="1"/>
  <c r="O737" i="8" s="1"/>
  <c r="G737" i="8" a="1"/>
  <c r="G737" i="8" s="1"/>
  <c r="N737" i="8" a="1"/>
  <c r="N737" i="8" s="1"/>
  <c r="F737" i="8" a="1"/>
  <c r="F737" i="8" s="1"/>
  <c r="M737" i="8" a="1"/>
  <c r="M737" i="8" s="1"/>
  <c r="E737" i="8" a="1"/>
  <c r="E737" i="8" s="1"/>
  <c r="L737" i="8" a="1"/>
  <c r="L737" i="8" s="1"/>
  <c r="H737" i="8" a="1"/>
  <c r="H737" i="8" s="1"/>
  <c r="E750" i="8" a="1"/>
  <c r="E750" i="8" s="1"/>
  <c r="Q645" i="8"/>
  <c r="N666" i="8" a="1"/>
  <c r="N666" i="8" s="1"/>
  <c r="Q677" i="8"/>
  <c r="M679" i="8" a="1"/>
  <c r="M679" i="8" s="1"/>
  <c r="E679" i="8" a="1"/>
  <c r="E679" i="8" s="1"/>
  <c r="L679" i="8" a="1"/>
  <c r="L679" i="8" s="1"/>
  <c r="K679" i="8" a="1"/>
  <c r="K679" i="8" s="1"/>
  <c r="J679" i="8" a="1"/>
  <c r="J679" i="8" s="1"/>
  <c r="I679" i="8" a="1"/>
  <c r="I679" i="8" s="1"/>
  <c r="H679" i="8" a="1"/>
  <c r="H679" i="8" s="1"/>
  <c r="O679" i="8" a="1"/>
  <c r="O679" i="8" s="1"/>
  <c r="G679" i="8" a="1"/>
  <c r="G679" i="8" s="1"/>
  <c r="Q692" i="8"/>
  <c r="O704" i="8" a="1"/>
  <c r="O704" i="8" s="1"/>
  <c r="G704" i="8" a="1"/>
  <c r="G704" i="8" s="1"/>
  <c r="K704" i="8" a="1"/>
  <c r="K704" i="8" s="1"/>
  <c r="E704" i="8" a="1"/>
  <c r="E704" i="8" s="1"/>
  <c r="N704" i="8" a="1"/>
  <c r="N704" i="8" s="1"/>
  <c r="M704" i="8" a="1"/>
  <c r="M704" i="8" s="1"/>
  <c r="L704" i="8" a="1"/>
  <c r="L704" i="8" s="1"/>
  <c r="J704" i="8" a="1"/>
  <c r="J704" i="8" s="1"/>
  <c r="K712" i="8" a="1"/>
  <c r="K712" i="8" s="1"/>
  <c r="O712" i="8" a="1"/>
  <c r="O712" i="8" s="1"/>
  <c r="G712" i="8" a="1"/>
  <c r="G712" i="8" s="1"/>
  <c r="L712" i="8" a="1"/>
  <c r="L712" i="8" s="1"/>
  <c r="J712" i="8" a="1"/>
  <c r="J712" i="8" s="1"/>
  <c r="I712" i="8" a="1"/>
  <c r="I712" i="8" s="1"/>
  <c r="H712" i="8" a="1"/>
  <c r="H712" i="8" s="1"/>
  <c r="F712" i="8" a="1"/>
  <c r="F712" i="8" s="1"/>
  <c r="E712" i="8" a="1"/>
  <c r="E712" i="8" s="1"/>
  <c r="M738" i="8" a="1"/>
  <c r="M738" i="8" s="1"/>
  <c r="E738" i="8" a="1"/>
  <c r="E738" i="8" s="1"/>
  <c r="L738" i="8" a="1"/>
  <c r="L738" i="8" s="1"/>
  <c r="H738" i="8" a="1"/>
  <c r="H738" i="8" s="1"/>
  <c r="O738" i="8" a="1"/>
  <c r="O738" i="8" s="1"/>
  <c r="N738" i="8" a="1"/>
  <c r="N738" i="8" s="1"/>
  <c r="K738" i="8" a="1"/>
  <c r="K738" i="8" s="1"/>
  <c r="J738" i="8" a="1"/>
  <c r="J738" i="8" s="1"/>
  <c r="I738" i="8" a="1"/>
  <c r="I738" i="8" s="1"/>
  <c r="G738" i="8" a="1"/>
  <c r="G738" i="8" s="1"/>
  <c r="F738" i="8" a="1"/>
  <c r="F738" i="8" s="1"/>
  <c r="M741" i="8" a="1"/>
  <c r="M741" i="8" s="1"/>
  <c r="E741" i="8" a="1"/>
  <c r="E741" i="8" s="1"/>
  <c r="L741" i="8" a="1"/>
  <c r="L741" i="8" s="1"/>
  <c r="K741" i="8" a="1"/>
  <c r="K741" i="8" s="1"/>
  <c r="I741" i="8" a="1"/>
  <c r="I741" i="8" s="1"/>
  <c r="H741" i="8" a="1"/>
  <c r="H741" i="8" s="1"/>
  <c r="O741" i="8" a="1"/>
  <c r="O741" i="8" s="1"/>
  <c r="G741" i="8" a="1"/>
  <c r="G741" i="8" s="1"/>
  <c r="F741" i="8" a="1"/>
  <c r="F741" i="8" s="1"/>
  <c r="N741" i="8" a="1"/>
  <c r="N741" i="8" s="1"/>
  <c r="L747" i="8" a="1"/>
  <c r="L747" i="8" s="1"/>
  <c r="K747" i="8" a="1"/>
  <c r="K747" i="8" s="1"/>
  <c r="J747" i="8" a="1"/>
  <c r="J747" i="8" s="1"/>
  <c r="H747" i="8" a="1"/>
  <c r="H747" i="8" s="1"/>
  <c r="O747" i="8" a="1"/>
  <c r="O747" i="8" s="1"/>
  <c r="G747" i="8" a="1"/>
  <c r="G747" i="8" s="1"/>
  <c r="N747" i="8" a="1"/>
  <c r="N747" i="8" s="1"/>
  <c r="F747" i="8" a="1"/>
  <c r="F747" i="8" s="1"/>
  <c r="E747" i="8" a="1"/>
  <c r="E747" i="8" s="1"/>
  <c r="O816" i="8" a="1"/>
  <c r="O816" i="8" s="1"/>
  <c r="G816" i="8" a="1"/>
  <c r="G816" i="8" s="1"/>
  <c r="N816" i="8" a="1"/>
  <c r="N816" i="8" s="1"/>
  <c r="F816" i="8" a="1"/>
  <c r="F816" i="8" s="1"/>
  <c r="M816" i="8" a="1"/>
  <c r="M816" i="8" s="1"/>
  <c r="E816" i="8" a="1"/>
  <c r="E816" i="8" s="1"/>
  <c r="K816" i="8" a="1"/>
  <c r="K816" i="8" s="1"/>
  <c r="J816" i="8" a="1"/>
  <c r="J816" i="8" s="1"/>
  <c r="I816" i="8" a="1"/>
  <c r="I816" i="8" s="1"/>
  <c r="L816" i="8" a="1"/>
  <c r="L816" i="8" s="1"/>
  <c r="H816" i="8" a="1"/>
  <c r="H816" i="8" s="1"/>
  <c r="Q708" i="8"/>
  <c r="M736" i="8" a="1"/>
  <c r="M736" i="8" s="1"/>
  <c r="K776" i="8" a="1"/>
  <c r="K776" i="8" s="1"/>
  <c r="J776" i="8" a="1"/>
  <c r="J776" i="8" s="1"/>
  <c r="O776" i="8" a="1"/>
  <c r="O776" i="8" s="1"/>
  <c r="G776" i="8" a="1"/>
  <c r="G776" i="8" s="1"/>
  <c r="M776" i="8" a="1"/>
  <c r="M776" i="8" s="1"/>
  <c r="L776" i="8" a="1"/>
  <c r="L776" i="8" s="1"/>
  <c r="I776" i="8" a="1"/>
  <c r="I776" i="8" s="1"/>
  <c r="E776" i="8" a="1"/>
  <c r="E776" i="8" s="1"/>
  <c r="L802" i="8" a="1"/>
  <c r="L802" i="8" s="1"/>
  <c r="K802" i="8" a="1"/>
  <c r="K802" i="8" s="1"/>
  <c r="H802" i="8" a="1"/>
  <c r="H802" i="8" s="1"/>
  <c r="O802" i="8" a="1"/>
  <c r="O802" i="8" s="1"/>
  <c r="G802" i="8" a="1"/>
  <c r="G802" i="8" s="1"/>
  <c r="N802" i="8" a="1"/>
  <c r="N802" i="8" s="1"/>
  <c r="F802" i="8" a="1"/>
  <c r="F802" i="8" s="1"/>
  <c r="E802" i="8" a="1"/>
  <c r="E802" i="8" s="1"/>
  <c r="M802" i="8" a="1"/>
  <c r="M802" i="8" s="1"/>
  <c r="J802" i="8" a="1"/>
  <c r="J802" i="8" s="1"/>
  <c r="I802" i="8" a="1"/>
  <c r="I802" i="8" s="1"/>
  <c r="K808" i="8" a="1"/>
  <c r="K808" i="8" s="1"/>
  <c r="J808" i="8" a="1"/>
  <c r="J808" i="8" s="1"/>
  <c r="O808" i="8" a="1"/>
  <c r="O808" i="8" s="1"/>
  <c r="G808" i="8" a="1"/>
  <c r="G808" i="8" s="1"/>
  <c r="N808" i="8" a="1"/>
  <c r="N808" i="8" s="1"/>
  <c r="F808" i="8" a="1"/>
  <c r="F808" i="8" s="1"/>
  <c r="M808" i="8" a="1"/>
  <c r="M808" i="8" s="1"/>
  <c r="E808" i="8" a="1"/>
  <c r="E808" i="8" s="1"/>
  <c r="L808" i="8" a="1"/>
  <c r="L808" i="8" s="1"/>
  <c r="I808" i="8" a="1"/>
  <c r="I808" i="8" s="1"/>
  <c r="H808" i="8" a="1"/>
  <c r="H808" i="8" s="1"/>
  <c r="N830" i="8" a="1"/>
  <c r="N830" i="8" s="1"/>
  <c r="F830" i="8" a="1"/>
  <c r="F830" i="8" s="1"/>
  <c r="J830" i="8" a="1"/>
  <c r="J830" i="8" s="1"/>
  <c r="H830" i="8" a="1"/>
  <c r="H830" i="8" s="1"/>
  <c r="G830" i="8" a="1"/>
  <c r="G830" i="8" s="1"/>
  <c r="E830" i="8" a="1"/>
  <c r="E830" i="8" s="1"/>
  <c r="O830" i="8" a="1"/>
  <c r="O830" i="8" s="1"/>
  <c r="M830" i="8" a="1"/>
  <c r="M830" i="8" s="1"/>
  <c r="L830" i="8" a="1"/>
  <c r="L830" i="8" s="1"/>
  <c r="K830" i="8" a="1"/>
  <c r="K830" i="8" s="1"/>
  <c r="L709" i="8" a="1"/>
  <c r="L709" i="8" s="1"/>
  <c r="K709" i="8" a="1"/>
  <c r="K709" i="8" s="1"/>
  <c r="H709" i="8" a="1"/>
  <c r="H709" i="8" s="1"/>
  <c r="O709" i="8" a="1"/>
  <c r="O709" i="8" s="1"/>
  <c r="G709" i="8" a="1"/>
  <c r="G709" i="8" s="1"/>
  <c r="Q724" i="8"/>
  <c r="J743" i="8" a="1"/>
  <c r="J743" i="8" s="1"/>
  <c r="I743" i="8" a="1"/>
  <c r="I743" i="8" s="1"/>
  <c r="H743" i="8" a="1"/>
  <c r="H743" i="8" s="1"/>
  <c r="N743" i="8" a="1"/>
  <c r="N743" i="8" s="1"/>
  <c r="F743" i="8" a="1"/>
  <c r="F743" i="8" s="1"/>
  <c r="M743" i="8" a="1"/>
  <c r="M743" i="8" s="1"/>
  <c r="E743" i="8" a="1"/>
  <c r="E743" i="8" s="1"/>
  <c r="L743" i="8" a="1"/>
  <c r="L743" i="8" s="1"/>
  <c r="N849" i="8" a="1"/>
  <c r="N849" i="8" s="1"/>
  <c r="F849" i="8" a="1"/>
  <c r="F849" i="8" s="1"/>
  <c r="J849" i="8" a="1"/>
  <c r="J849" i="8" s="1"/>
  <c r="M849" i="8" a="1"/>
  <c r="M849" i="8" s="1"/>
  <c r="L849" i="8" a="1"/>
  <c r="L849" i="8" s="1"/>
  <c r="K849" i="8" a="1"/>
  <c r="K849" i="8" s="1"/>
  <c r="I849" i="8" a="1"/>
  <c r="I849" i="8" s="1"/>
  <c r="H849" i="8" a="1"/>
  <c r="H849" i="8" s="1"/>
  <c r="G849" i="8" a="1"/>
  <c r="G849" i="8" s="1"/>
  <c r="O849" i="8" a="1"/>
  <c r="O849" i="8" s="1"/>
  <c r="E849" i="8" a="1"/>
  <c r="E849" i="8" s="1"/>
  <c r="H682" i="8" a="1"/>
  <c r="H682" i="8" s="1"/>
  <c r="Q716" i="8"/>
  <c r="Q719" i="8"/>
  <c r="N740" i="8" a="1"/>
  <c r="N740" i="8" s="1"/>
  <c r="M746" i="8" a="1"/>
  <c r="M746" i="8" s="1"/>
  <c r="Q771" i="8"/>
  <c r="Q779" i="8"/>
  <c r="M780" i="8" a="1"/>
  <c r="M780" i="8" s="1"/>
  <c r="E780" i="8" a="1"/>
  <c r="E780" i="8" s="1"/>
  <c r="L780" i="8" a="1"/>
  <c r="L780" i="8" s="1"/>
  <c r="I780" i="8" a="1"/>
  <c r="I780" i="8" s="1"/>
  <c r="J780" i="8" a="1"/>
  <c r="J780" i="8" s="1"/>
  <c r="H780" i="8" a="1"/>
  <c r="H780" i="8" s="1"/>
  <c r="G780" i="8" a="1"/>
  <c r="G780" i="8" s="1"/>
  <c r="F780" i="8" a="1"/>
  <c r="F780" i="8" s="1"/>
  <c r="N780" i="8" a="1"/>
  <c r="N780" i="8" s="1"/>
  <c r="K835" i="8" a="1"/>
  <c r="K835" i="8" s="1"/>
  <c r="O835" i="8" a="1"/>
  <c r="O835" i="8" s="1"/>
  <c r="G835" i="8" a="1"/>
  <c r="G835" i="8" s="1"/>
  <c r="N835" i="8" a="1"/>
  <c r="N835" i="8" s="1"/>
  <c r="J835" i="8" a="1"/>
  <c r="J835" i="8" s="1"/>
  <c r="I835" i="8" a="1"/>
  <c r="I835" i="8" s="1"/>
  <c r="F835" i="8" a="1"/>
  <c r="F835" i="8" s="1"/>
  <c r="M835" i="8" a="1"/>
  <c r="M835" i="8" s="1"/>
  <c r="L835" i="8" a="1"/>
  <c r="L835" i="8" s="1"/>
  <c r="H835" i="8" a="1"/>
  <c r="H835" i="8" s="1"/>
  <c r="E835" i="8" a="1"/>
  <c r="E835" i="8" s="1"/>
  <c r="L930" i="8" a="1"/>
  <c r="L930" i="8" s="1"/>
  <c r="K930" i="8" a="1"/>
  <c r="K930" i="8" s="1"/>
  <c r="J930" i="8" a="1"/>
  <c r="J930" i="8" s="1"/>
  <c r="H930" i="8" a="1"/>
  <c r="H930" i="8" s="1"/>
  <c r="O930" i="8" a="1"/>
  <c r="O930" i="8" s="1"/>
  <c r="G930" i="8" a="1"/>
  <c r="G930" i="8" s="1"/>
  <c r="N930" i="8" a="1"/>
  <c r="N930" i="8" s="1"/>
  <c r="F930" i="8" a="1"/>
  <c r="F930" i="8" s="1"/>
  <c r="M930" i="8" a="1"/>
  <c r="M930" i="8" s="1"/>
  <c r="I930" i="8" a="1"/>
  <c r="I930" i="8" s="1"/>
  <c r="E930" i="8" a="1"/>
  <c r="E930" i="8" s="1"/>
  <c r="E709" i="8" a="1"/>
  <c r="E709" i="8" s="1"/>
  <c r="Q711" i="8"/>
  <c r="Q714" i="8"/>
  <c r="Q722" i="8"/>
  <c r="Q732" i="8"/>
  <c r="F744" i="8" a="1"/>
  <c r="F744" i="8" s="1"/>
  <c r="N746" i="8" a="1"/>
  <c r="N746" i="8" s="1"/>
  <c r="H765" i="8" a="1"/>
  <c r="H765" i="8" s="1"/>
  <c r="N765" i="8" a="1"/>
  <c r="N765" i="8" s="1"/>
  <c r="E765" i="8" a="1"/>
  <c r="E765" i="8" s="1"/>
  <c r="M765" i="8" a="1"/>
  <c r="M765" i="8" s="1"/>
  <c r="L765" i="8" a="1"/>
  <c r="L765" i="8" s="1"/>
  <c r="K765" i="8" a="1"/>
  <c r="K765" i="8" s="1"/>
  <c r="G765" i="8" a="1"/>
  <c r="G765" i="8" s="1"/>
  <c r="J798" i="8" a="1"/>
  <c r="J798" i="8" s="1"/>
  <c r="I798" i="8" a="1"/>
  <c r="I798" i="8" s="1"/>
  <c r="N798" i="8" a="1"/>
  <c r="N798" i="8" s="1"/>
  <c r="F798" i="8" a="1"/>
  <c r="F798" i="8" s="1"/>
  <c r="M798" i="8" a="1"/>
  <c r="M798" i="8" s="1"/>
  <c r="E798" i="8" a="1"/>
  <c r="E798" i="8" s="1"/>
  <c r="L798" i="8" a="1"/>
  <c r="L798" i="8" s="1"/>
  <c r="O798" i="8" a="1"/>
  <c r="O798" i="8" s="1"/>
  <c r="K798" i="8" a="1"/>
  <c r="K798" i="8" s="1"/>
  <c r="H798" i="8" a="1"/>
  <c r="H798" i="8" s="1"/>
  <c r="G798" i="8" a="1"/>
  <c r="G798" i="8" s="1"/>
  <c r="I844" i="8" a="1"/>
  <c r="I844" i="8" s="1"/>
  <c r="M844" i="8" a="1"/>
  <c r="M844" i="8" s="1"/>
  <c r="E844" i="8" a="1"/>
  <c r="E844" i="8" s="1"/>
  <c r="G844" i="8" a="1"/>
  <c r="G844" i="8" s="1"/>
  <c r="F844" i="8" a="1"/>
  <c r="F844" i="8" s="1"/>
  <c r="O844" i="8" a="1"/>
  <c r="O844" i="8" s="1"/>
  <c r="N844" i="8" a="1"/>
  <c r="N844" i="8" s="1"/>
  <c r="L844" i="8" a="1"/>
  <c r="L844" i="8" s="1"/>
  <c r="K844" i="8" a="1"/>
  <c r="K844" i="8" s="1"/>
  <c r="J844" i="8" a="1"/>
  <c r="J844" i="8" s="1"/>
  <c r="H844" i="8" a="1"/>
  <c r="H844" i="8" s="1"/>
  <c r="O872" i="8" a="1"/>
  <c r="O872" i="8" s="1"/>
  <c r="G872" i="8" a="1"/>
  <c r="G872" i="8" s="1"/>
  <c r="N872" i="8" a="1"/>
  <c r="N872" i="8" s="1"/>
  <c r="F872" i="8" a="1"/>
  <c r="F872" i="8" s="1"/>
  <c r="M872" i="8" a="1"/>
  <c r="M872" i="8" s="1"/>
  <c r="E872" i="8" a="1"/>
  <c r="E872" i="8" s="1"/>
  <c r="K872" i="8" a="1"/>
  <c r="K872" i="8" s="1"/>
  <c r="L872" i="8" a="1"/>
  <c r="L872" i="8" s="1"/>
  <c r="J872" i="8" a="1"/>
  <c r="J872" i="8" s="1"/>
  <c r="I872" i="8" a="1"/>
  <c r="I872" i="8" s="1"/>
  <c r="H872" i="8" a="1"/>
  <c r="H872" i="8" s="1"/>
  <c r="N748" i="8" a="1"/>
  <c r="N748" i="8" s="1"/>
  <c r="F748" i="8" a="1"/>
  <c r="F748" i="8" s="1"/>
  <c r="M748" i="8" a="1"/>
  <c r="M748" i="8" s="1"/>
  <c r="E748" i="8" a="1"/>
  <c r="E748" i="8" s="1"/>
  <c r="I748" i="8" a="1"/>
  <c r="I748" i="8" s="1"/>
  <c r="H781" i="8" a="1"/>
  <c r="H781" i="8" s="1"/>
  <c r="G781" i="8" a="1"/>
  <c r="G781" i="8" s="1"/>
  <c r="F781" i="8" a="1"/>
  <c r="F781" i="8" s="1"/>
  <c r="E781" i="8" a="1"/>
  <c r="E781" i="8" s="1"/>
  <c r="O781" i="8" a="1"/>
  <c r="O781" i="8" s="1"/>
  <c r="N781" i="8" a="1"/>
  <c r="N781" i="8" s="1"/>
  <c r="L781" i="8" a="1"/>
  <c r="L781" i="8" s="1"/>
  <c r="J781" i="8" a="1"/>
  <c r="J781" i="8" s="1"/>
  <c r="H810" i="8" a="1"/>
  <c r="H810" i="8" s="1"/>
  <c r="O810" i="8" a="1"/>
  <c r="O810" i="8" s="1"/>
  <c r="G810" i="8" a="1"/>
  <c r="G810" i="8" s="1"/>
  <c r="N810" i="8" a="1"/>
  <c r="N810" i="8" s="1"/>
  <c r="F810" i="8" a="1"/>
  <c r="F810" i="8" s="1"/>
  <c r="L810" i="8" a="1"/>
  <c r="L810" i="8" s="1"/>
  <c r="K810" i="8" a="1"/>
  <c r="K810" i="8" s="1"/>
  <c r="J810" i="8" a="1"/>
  <c r="J810" i="8" s="1"/>
  <c r="M810" i="8" a="1"/>
  <c r="M810" i="8" s="1"/>
  <c r="I810" i="8" a="1"/>
  <c r="I810" i="8" s="1"/>
  <c r="E810" i="8" a="1"/>
  <c r="E810" i="8" s="1"/>
  <c r="H813" i="8" a="1"/>
  <c r="H813" i="8" s="1"/>
  <c r="M813" i="8" a="1"/>
  <c r="M813" i="8" s="1"/>
  <c r="E813" i="8" a="1"/>
  <c r="E813" i="8" s="1"/>
  <c r="L813" i="8" a="1"/>
  <c r="L813" i="8" s="1"/>
  <c r="J813" i="8" a="1"/>
  <c r="J813" i="8" s="1"/>
  <c r="N813" i="8" a="1"/>
  <c r="N813" i="8" s="1"/>
  <c r="K813" i="8" a="1"/>
  <c r="K813" i="8" s="1"/>
  <c r="I813" i="8" a="1"/>
  <c r="I813" i="8" s="1"/>
  <c r="G813" i="8" a="1"/>
  <c r="G813" i="8" s="1"/>
  <c r="F813" i="8" a="1"/>
  <c r="F813" i="8" s="1"/>
  <c r="O840" i="8" a="1"/>
  <c r="O840" i="8" s="1"/>
  <c r="G840" i="8" a="1"/>
  <c r="G840" i="8" s="1"/>
  <c r="K840" i="8" a="1"/>
  <c r="K840" i="8" s="1"/>
  <c r="I840" i="8" a="1"/>
  <c r="I840" i="8" s="1"/>
  <c r="E840" i="8" a="1"/>
  <c r="E840" i="8" s="1"/>
  <c r="N840" i="8" a="1"/>
  <c r="N840" i="8" s="1"/>
  <c r="L840" i="8" a="1"/>
  <c r="L840" i="8" s="1"/>
  <c r="M840" i="8" a="1"/>
  <c r="M840" i="8" s="1"/>
  <c r="J840" i="8" a="1"/>
  <c r="J840" i="8" s="1"/>
  <c r="H840" i="8" a="1"/>
  <c r="H840" i="8" s="1"/>
  <c r="F709" i="8" a="1"/>
  <c r="F709" i="8" s="1"/>
  <c r="G743" i="8" a="1"/>
  <c r="G743" i="8" s="1"/>
  <c r="I744" i="8" a="1"/>
  <c r="I744" i="8" s="1"/>
  <c r="J814" i="8" a="1"/>
  <c r="J814" i="8" s="1"/>
  <c r="I814" i="8" a="1"/>
  <c r="I814" i="8" s="1"/>
  <c r="H814" i="8" a="1"/>
  <c r="H814" i="8" s="1"/>
  <c r="N814" i="8" a="1"/>
  <c r="N814" i="8" s="1"/>
  <c r="F814" i="8" a="1"/>
  <c r="F814" i="8" s="1"/>
  <c r="M814" i="8" a="1"/>
  <c r="M814" i="8" s="1"/>
  <c r="E814" i="8" a="1"/>
  <c r="E814" i="8" s="1"/>
  <c r="L814" i="8" a="1"/>
  <c r="L814" i="8" s="1"/>
  <c r="O814" i="8" a="1"/>
  <c r="O814" i="8" s="1"/>
  <c r="K814" i="8" a="1"/>
  <c r="K814" i="8" s="1"/>
  <c r="G814" i="8" a="1"/>
  <c r="G814" i="8" s="1"/>
  <c r="O856" i="8" a="1"/>
  <c r="O856" i="8" s="1"/>
  <c r="G856" i="8" a="1"/>
  <c r="G856" i="8" s="1"/>
  <c r="N856" i="8" a="1"/>
  <c r="N856" i="8" s="1"/>
  <c r="F856" i="8" a="1"/>
  <c r="F856" i="8" s="1"/>
  <c r="M856" i="8" a="1"/>
  <c r="M856" i="8" s="1"/>
  <c r="E856" i="8" a="1"/>
  <c r="E856" i="8" s="1"/>
  <c r="K856" i="8" a="1"/>
  <c r="K856" i="8" s="1"/>
  <c r="J856" i="8" a="1"/>
  <c r="J856" i="8" s="1"/>
  <c r="I856" i="8" a="1"/>
  <c r="I856" i="8" s="1"/>
  <c r="H856" i="8" a="1"/>
  <c r="H856" i="8" s="1"/>
  <c r="J682" i="8" a="1"/>
  <c r="J682" i="8" s="1"/>
  <c r="Q703" i="8"/>
  <c r="G748" i="8" a="1"/>
  <c r="G748" i="8" s="1"/>
  <c r="I765" i="8" a="1"/>
  <c r="I765" i="8" s="1"/>
  <c r="N777" i="8" a="1"/>
  <c r="N777" i="8" s="1"/>
  <c r="F777" i="8" a="1"/>
  <c r="F777" i="8" s="1"/>
  <c r="J777" i="8" a="1"/>
  <c r="J777" i="8" s="1"/>
  <c r="I777" i="8" a="1"/>
  <c r="I777" i="8" s="1"/>
  <c r="H777" i="8" a="1"/>
  <c r="H777" i="8" s="1"/>
  <c r="G777" i="8" a="1"/>
  <c r="G777" i="8" s="1"/>
  <c r="O777" i="8" a="1"/>
  <c r="O777" i="8" s="1"/>
  <c r="M777" i="8" a="1"/>
  <c r="M777" i="8" s="1"/>
  <c r="L777" i="8" a="1"/>
  <c r="L777" i="8" s="1"/>
  <c r="I781" i="8" a="1"/>
  <c r="I781" i="8" s="1"/>
  <c r="L845" i="8" a="1"/>
  <c r="L845" i="8" s="1"/>
  <c r="H845" i="8" a="1"/>
  <c r="H845" i="8" s="1"/>
  <c r="N845" i="8" a="1"/>
  <c r="N845" i="8" s="1"/>
  <c r="K845" i="8" a="1"/>
  <c r="K845" i="8" s="1"/>
  <c r="J845" i="8" a="1"/>
  <c r="J845" i="8" s="1"/>
  <c r="I845" i="8" a="1"/>
  <c r="I845" i="8" s="1"/>
  <c r="G845" i="8" a="1"/>
  <c r="G845" i="8" s="1"/>
  <c r="F845" i="8" a="1"/>
  <c r="F845" i="8" s="1"/>
  <c r="O845" i="8" a="1"/>
  <c r="O845" i="8" s="1"/>
  <c r="M845" i="8" a="1"/>
  <c r="M845" i="8" s="1"/>
  <c r="E845" i="8" a="1"/>
  <c r="E845" i="8" s="1"/>
  <c r="H736" i="8" a="1"/>
  <c r="H736" i="8" s="1"/>
  <c r="O736" i="8" a="1"/>
  <c r="O736" i="8" s="1"/>
  <c r="G736" i="8" a="1"/>
  <c r="G736" i="8" s="1"/>
  <c r="K736" i="8" a="1"/>
  <c r="K736" i="8" s="1"/>
  <c r="N754" i="8" a="1"/>
  <c r="N754" i="8" s="1"/>
  <c r="F754" i="8" a="1"/>
  <c r="F754" i="8" s="1"/>
  <c r="M754" i="8" a="1"/>
  <c r="M754" i="8" s="1"/>
  <c r="E754" i="8" a="1"/>
  <c r="E754" i="8" s="1"/>
  <c r="L754" i="8" a="1"/>
  <c r="L754" i="8" s="1"/>
  <c r="K754" i="8" a="1"/>
  <c r="K754" i="8" s="1"/>
  <c r="H754" i="8" a="1"/>
  <c r="H754" i="8" s="1"/>
  <c r="J764" i="8" a="1"/>
  <c r="J764" i="8" s="1"/>
  <c r="I764" i="8" a="1"/>
  <c r="I764" i="8" s="1"/>
  <c r="H764" i="8" a="1"/>
  <c r="H764" i="8" s="1"/>
  <c r="F764" i="8" a="1"/>
  <c r="F764" i="8" s="1"/>
  <c r="M764" i="8" a="1"/>
  <c r="M764" i="8" s="1"/>
  <c r="L764" i="8" a="1"/>
  <c r="L764" i="8" s="1"/>
  <c r="K781" i="8" a="1"/>
  <c r="K781" i="8" s="1"/>
  <c r="K682" i="8" a="1"/>
  <c r="K682" i="8" s="1"/>
  <c r="I709" i="8" a="1"/>
  <c r="I709" i="8" s="1"/>
  <c r="Q730" i="8"/>
  <c r="E736" i="8" a="1"/>
  <c r="E736" i="8" s="1"/>
  <c r="K743" i="8" a="1"/>
  <c r="K743" i="8" s="1"/>
  <c r="M744" i="8" a="1"/>
  <c r="M744" i="8" s="1"/>
  <c r="H748" i="8" a="1"/>
  <c r="H748" i="8" s="1"/>
  <c r="M781" i="8" a="1"/>
  <c r="M781" i="8" s="1"/>
  <c r="Q698" i="8"/>
  <c r="J740" i="8" a="1"/>
  <c r="J740" i="8" s="1"/>
  <c r="I740" i="8" a="1"/>
  <c r="I740" i="8" s="1"/>
  <c r="M740" i="8" a="1"/>
  <c r="M740" i="8" s="1"/>
  <c r="E740" i="8" a="1"/>
  <c r="E740" i="8" s="1"/>
  <c r="I746" i="8" a="1"/>
  <c r="I746" i="8" s="1"/>
  <c r="H746" i="8" a="1"/>
  <c r="H746" i="8" s="1"/>
  <c r="L746" i="8" a="1"/>
  <c r="L746" i="8" s="1"/>
  <c r="J748" i="8" a="1"/>
  <c r="J748" i="8" s="1"/>
  <c r="L682" i="8" a="1"/>
  <c r="L682" i="8" s="1"/>
  <c r="Q700" i="8"/>
  <c r="J709" i="8" a="1"/>
  <c r="J709" i="8" s="1"/>
  <c r="Q735" i="8"/>
  <c r="F736" i="8" a="1"/>
  <c r="F736" i="8" s="1"/>
  <c r="K748" i="8" a="1"/>
  <c r="K748" i="8" s="1"/>
  <c r="G754" i="8" a="1"/>
  <c r="G754" i="8" s="1"/>
  <c r="O765" i="8" a="1"/>
  <c r="O765" i="8" s="1"/>
  <c r="Q784" i="8"/>
  <c r="I736" i="8" a="1"/>
  <c r="I736" i="8" s="1"/>
  <c r="F740" i="8" a="1"/>
  <c r="F740" i="8" s="1"/>
  <c r="L744" i="8" a="1"/>
  <c r="L744" i="8" s="1"/>
  <c r="K744" i="8" a="1"/>
  <c r="K744" i="8" s="1"/>
  <c r="O744" i="8" a="1"/>
  <c r="O744" i="8" s="1"/>
  <c r="G744" i="8" a="1"/>
  <c r="G744" i="8" s="1"/>
  <c r="E746" i="8" a="1"/>
  <c r="E746" i="8" s="1"/>
  <c r="I754" i="8" a="1"/>
  <c r="I754" i="8" s="1"/>
  <c r="G764" i="8" a="1"/>
  <c r="G764" i="8" s="1"/>
  <c r="Q768" i="8"/>
  <c r="K770" i="8" a="1"/>
  <c r="K770" i="8" s="1"/>
  <c r="H770" i="8" a="1"/>
  <c r="H770" i="8" s="1"/>
  <c r="L770" i="8" a="1"/>
  <c r="L770" i="8" s="1"/>
  <c r="J770" i="8" a="1"/>
  <c r="J770" i="8" s="1"/>
  <c r="I770" i="8" a="1"/>
  <c r="I770" i="8" s="1"/>
  <c r="G770" i="8" a="1"/>
  <c r="G770" i="8" s="1"/>
  <c r="O770" i="8" a="1"/>
  <c r="O770" i="8" s="1"/>
  <c r="E770" i="8" a="1"/>
  <c r="E770" i="8" s="1"/>
  <c r="N770" i="8" a="1"/>
  <c r="N770" i="8" s="1"/>
  <c r="F776" i="8" a="1"/>
  <c r="F776" i="8" s="1"/>
  <c r="O787" i="8" a="1"/>
  <c r="O787" i="8" s="1"/>
  <c r="G787" i="8" a="1"/>
  <c r="G787" i="8" s="1"/>
  <c r="I787" i="8" a="1"/>
  <c r="I787" i="8" s="1"/>
  <c r="N787" i="8" a="1"/>
  <c r="N787" i="8" s="1"/>
  <c r="M787" i="8" a="1"/>
  <c r="M787" i="8" s="1"/>
  <c r="K787" i="8" a="1"/>
  <c r="K787" i="8" s="1"/>
  <c r="J787" i="8" a="1"/>
  <c r="J787" i="8" s="1"/>
  <c r="H787" i="8" a="1"/>
  <c r="H787" i="8" s="1"/>
  <c r="M812" i="8" a="1"/>
  <c r="M812" i="8" s="1"/>
  <c r="E812" i="8" a="1"/>
  <c r="E812" i="8" s="1"/>
  <c r="L812" i="8" a="1"/>
  <c r="L812" i="8" s="1"/>
  <c r="K812" i="8" a="1"/>
  <c r="K812" i="8" s="1"/>
  <c r="I812" i="8" a="1"/>
  <c r="I812" i="8" s="1"/>
  <c r="H812" i="8" a="1"/>
  <c r="H812" i="8" s="1"/>
  <c r="O812" i="8" a="1"/>
  <c r="O812" i="8" s="1"/>
  <c r="G812" i="8" a="1"/>
  <c r="G812" i="8" s="1"/>
  <c r="F812" i="8" a="1"/>
  <c r="F812" i="8" s="1"/>
  <c r="N812" i="8" a="1"/>
  <c r="N812" i="8" s="1"/>
  <c r="E682" i="8" a="1"/>
  <c r="E682" i="8" s="1"/>
  <c r="Q706" i="8"/>
  <c r="G740" i="8" a="1"/>
  <c r="G740" i="8" s="1"/>
  <c r="O743" i="8" a="1"/>
  <c r="O743" i="8" s="1"/>
  <c r="F746" i="8" a="1"/>
  <c r="F746" i="8" s="1"/>
  <c r="L748" i="8" a="1"/>
  <c r="L748" i="8" s="1"/>
  <c r="Q753" i="8"/>
  <c r="J754" i="8" a="1"/>
  <c r="J754" i="8" s="1"/>
  <c r="K764" i="8" a="1"/>
  <c r="K764" i="8" s="1"/>
  <c r="Q774" i="8"/>
  <c r="H776" i="8" a="1"/>
  <c r="H776" i="8" s="1"/>
  <c r="E787" i="8" a="1"/>
  <c r="E787" i="8" s="1"/>
  <c r="O824" i="8" a="1"/>
  <c r="O824" i="8" s="1"/>
  <c r="G824" i="8" a="1"/>
  <c r="G824" i="8" s="1"/>
  <c r="K824" i="8" a="1"/>
  <c r="K824" i="8" s="1"/>
  <c r="F824" i="8" a="1"/>
  <c r="F824" i="8" s="1"/>
  <c r="M824" i="8" a="1"/>
  <c r="M824" i="8" s="1"/>
  <c r="L824" i="8" a="1"/>
  <c r="L824" i="8" s="1"/>
  <c r="I824" i="8" a="1"/>
  <c r="I824" i="8" s="1"/>
  <c r="J824" i="8" a="1"/>
  <c r="J824" i="8" s="1"/>
  <c r="H824" i="8" a="1"/>
  <c r="H824" i="8" s="1"/>
  <c r="E824" i="8" a="1"/>
  <c r="E824" i="8" s="1"/>
  <c r="I778" i="8" a="1"/>
  <c r="I778" i="8" s="1"/>
  <c r="Q799" i="8"/>
  <c r="N773" i="8" a="1"/>
  <c r="N773" i="8" s="1"/>
  <c r="Q783" i="8"/>
  <c r="Q794" i="8"/>
  <c r="N878" i="8" a="1"/>
  <c r="N878" i="8" s="1"/>
  <c r="F878" i="8" a="1"/>
  <c r="F878" i="8" s="1"/>
  <c r="M878" i="8" a="1"/>
  <c r="M878" i="8" s="1"/>
  <c r="E878" i="8" a="1"/>
  <c r="E878" i="8" s="1"/>
  <c r="L878" i="8" a="1"/>
  <c r="L878" i="8" s="1"/>
  <c r="J878" i="8" a="1"/>
  <c r="J878" i="8" s="1"/>
  <c r="G878" i="8" a="1"/>
  <c r="G878" i="8" s="1"/>
  <c r="O878" i="8" a="1"/>
  <c r="O878" i="8" s="1"/>
  <c r="K878" i="8" a="1"/>
  <c r="K878" i="8" s="1"/>
  <c r="I878" i="8" a="1"/>
  <c r="I878" i="8" s="1"/>
  <c r="Q790" i="8"/>
  <c r="Q791" i="8"/>
  <c r="Q793" i="8"/>
  <c r="Q809" i="8"/>
  <c r="Q817" i="8"/>
  <c r="O843" i="8" a="1"/>
  <c r="O843" i="8" s="1"/>
  <c r="G843" i="8" a="1"/>
  <c r="G843" i="8" s="1"/>
  <c r="K843" i="8" a="1"/>
  <c r="K843" i="8" s="1"/>
  <c r="J843" i="8" a="1"/>
  <c r="J843" i="8" s="1"/>
  <c r="H843" i="8" a="1"/>
  <c r="H843" i="8" s="1"/>
  <c r="F843" i="8" a="1"/>
  <c r="F843" i="8" s="1"/>
  <c r="E843" i="8" a="1"/>
  <c r="E843" i="8" s="1"/>
  <c r="N843" i="8" a="1"/>
  <c r="N843" i="8" s="1"/>
  <c r="M843" i="8" a="1"/>
  <c r="M843" i="8" s="1"/>
  <c r="Q854" i="8"/>
  <c r="M941" i="8" a="1"/>
  <c r="M941" i="8" s="1"/>
  <c r="E941" i="8" a="1"/>
  <c r="E941" i="8" s="1"/>
  <c r="H941" i="8" a="1"/>
  <c r="H941" i="8" s="1"/>
  <c r="G941" i="8" a="1"/>
  <c r="G941" i="8" s="1"/>
  <c r="F941" i="8" a="1"/>
  <c r="F941" i="8" s="1"/>
  <c r="N941" i="8" a="1"/>
  <c r="N941" i="8" s="1"/>
  <c r="L941" i="8" a="1"/>
  <c r="L941" i="8" s="1"/>
  <c r="K941" i="8" a="1"/>
  <c r="K941" i="8" s="1"/>
  <c r="J941" i="8" a="1"/>
  <c r="J941" i="8" s="1"/>
  <c r="O941" i="8" a="1"/>
  <c r="O941" i="8" s="1"/>
  <c r="I941" i="8" a="1"/>
  <c r="I941" i="8" s="1"/>
  <c r="Q874" i="8"/>
  <c r="Q841" i="8"/>
  <c r="Q846" i="8"/>
  <c r="Q807" i="8"/>
  <c r="Q875" i="8"/>
  <c r="L886" i="8" a="1"/>
  <c r="L886" i="8" s="1"/>
  <c r="J886" i="8" a="1"/>
  <c r="J886" i="8" s="1"/>
  <c r="H886" i="8" a="1"/>
  <c r="H886" i="8" s="1"/>
  <c r="N886" i="8" a="1"/>
  <c r="N886" i="8" s="1"/>
  <c r="M886" i="8" a="1"/>
  <c r="M886" i="8" s="1"/>
  <c r="K886" i="8" a="1"/>
  <c r="K886" i="8" s="1"/>
  <c r="O886" i="8" a="1"/>
  <c r="O886" i="8" s="1"/>
  <c r="I886" i="8" a="1"/>
  <c r="I886" i="8" s="1"/>
  <c r="G886" i="8" a="1"/>
  <c r="G886" i="8" s="1"/>
  <c r="F886" i="8" a="1"/>
  <c r="F886" i="8" s="1"/>
  <c r="E886" i="8" a="1"/>
  <c r="E886" i="8" s="1"/>
  <c r="J820" i="8" a="1"/>
  <c r="J820" i="8" s="1"/>
  <c r="I820" i="8" a="1"/>
  <c r="I820" i="8" s="1"/>
  <c r="H820" i="8" a="1"/>
  <c r="H820" i="8" s="1"/>
  <c r="O820" i="8" a="1"/>
  <c r="O820" i="8" s="1"/>
  <c r="F820" i="8" a="1"/>
  <c r="F820" i="8" s="1"/>
  <c r="M820" i="8" a="1"/>
  <c r="M820" i="8" s="1"/>
  <c r="L820" i="8" a="1"/>
  <c r="L820" i="8" s="1"/>
  <c r="G773" i="8" a="1"/>
  <c r="G773" i="8" s="1"/>
  <c r="Q806" i="8"/>
  <c r="E820" i="8" a="1"/>
  <c r="E820" i="8" s="1"/>
  <c r="Q855" i="8"/>
  <c r="H773" i="8" a="1"/>
  <c r="H773" i="8" s="1"/>
  <c r="H778" i="8" a="1"/>
  <c r="H778" i="8" s="1"/>
  <c r="O778" i="8" a="1"/>
  <c r="O778" i="8" s="1"/>
  <c r="G778" i="8" a="1"/>
  <c r="G778" i="8" s="1"/>
  <c r="L778" i="8" a="1"/>
  <c r="L778" i="8" s="1"/>
  <c r="Q785" i="8"/>
  <c r="G820" i="8" a="1"/>
  <c r="G820" i="8" s="1"/>
  <c r="M896" i="8" a="1"/>
  <c r="M896" i="8" s="1"/>
  <c r="E896" i="8" a="1"/>
  <c r="E896" i="8" s="1"/>
  <c r="K896" i="8" a="1"/>
  <c r="K896" i="8" s="1"/>
  <c r="I896" i="8" a="1"/>
  <c r="I896" i="8" s="1"/>
  <c r="N896" i="8" a="1"/>
  <c r="N896" i="8" s="1"/>
  <c r="L896" i="8" a="1"/>
  <c r="L896" i="8" s="1"/>
  <c r="H896" i="8" a="1"/>
  <c r="H896" i="8" s="1"/>
  <c r="O896" i="8" a="1"/>
  <c r="O896" i="8" s="1"/>
  <c r="J896" i="8" a="1"/>
  <c r="J896" i="8" s="1"/>
  <c r="Q769" i="8"/>
  <c r="N778" i="8" a="1"/>
  <c r="N778" i="8" s="1"/>
  <c r="Q803" i="8"/>
  <c r="F896" i="8" a="1"/>
  <c r="F896" i="8" s="1"/>
  <c r="K908" i="8" a="1"/>
  <c r="K908" i="8" s="1"/>
  <c r="I908" i="8" a="1"/>
  <c r="I908" i="8" s="1"/>
  <c r="O908" i="8" a="1"/>
  <c r="O908" i="8" s="1"/>
  <c r="G908" i="8" a="1"/>
  <c r="G908" i="8" s="1"/>
  <c r="H908" i="8" a="1"/>
  <c r="H908" i="8" s="1"/>
  <c r="F908" i="8" a="1"/>
  <c r="F908" i="8" s="1"/>
  <c r="N908" i="8" a="1"/>
  <c r="N908" i="8" s="1"/>
  <c r="M908" i="8" a="1"/>
  <c r="M908" i="8" s="1"/>
  <c r="L908" i="8" a="1"/>
  <c r="L908" i="8" s="1"/>
  <c r="J908" i="8" a="1"/>
  <c r="J908" i="8" s="1"/>
  <c r="I773" i="8" a="1"/>
  <c r="I773" i="8" s="1"/>
  <c r="Q775" i="8"/>
  <c r="J913" i="8" a="1"/>
  <c r="J913" i="8" s="1"/>
  <c r="I913" i="8" a="1"/>
  <c r="I913" i="8" s="1"/>
  <c r="N913" i="8" a="1"/>
  <c r="N913" i="8" s="1"/>
  <c r="M913" i="8" a="1"/>
  <c r="M913" i="8" s="1"/>
  <c r="L913" i="8" a="1"/>
  <c r="L913" i="8" s="1"/>
  <c r="K913" i="8" a="1"/>
  <c r="K913" i="8" s="1"/>
  <c r="H913" i="8" a="1"/>
  <c r="H913" i="8" s="1"/>
  <c r="F913" i="8" a="1"/>
  <c r="F913" i="8" s="1"/>
  <c r="E913" i="8" a="1"/>
  <c r="E913" i="8" s="1"/>
  <c r="O913" i="8" a="1"/>
  <c r="O913" i="8" s="1"/>
  <c r="E778" i="8" a="1"/>
  <c r="E778" i="8" s="1"/>
  <c r="Q811" i="8"/>
  <c r="Q815" i="8"/>
  <c r="K820" i="8" a="1"/>
  <c r="K820" i="8" s="1"/>
  <c r="Q842" i="8"/>
  <c r="H869" i="8" a="1"/>
  <c r="H869" i="8" s="1"/>
  <c r="O869" i="8" a="1"/>
  <c r="O869" i="8" s="1"/>
  <c r="G869" i="8" a="1"/>
  <c r="G869" i="8" s="1"/>
  <c r="N869" i="8" a="1"/>
  <c r="N869" i="8" s="1"/>
  <c r="F869" i="8" a="1"/>
  <c r="F869" i="8" s="1"/>
  <c r="L869" i="8" a="1"/>
  <c r="L869" i="8" s="1"/>
  <c r="I869" i="8" a="1"/>
  <c r="I869" i="8" s="1"/>
  <c r="E869" i="8" a="1"/>
  <c r="E869" i="8" s="1"/>
  <c r="M869" i="8" a="1"/>
  <c r="M869" i="8" s="1"/>
  <c r="K869" i="8" a="1"/>
  <c r="K869" i="8" s="1"/>
  <c r="G913" i="8" a="1"/>
  <c r="G913" i="8" s="1"/>
  <c r="Q919" i="8"/>
  <c r="Q767" i="8"/>
  <c r="J773" i="8" a="1"/>
  <c r="J773" i="8" s="1"/>
  <c r="Q801" i="8"/>
  <c r="M836" i="8" a="1"/>
  <c r="M836" i="8" s="1"/>
  <c r="E836" i="8" a="1"/>
  <c r="E836" i="8" s="1"/>
  <c r="I836" i="8" a="1"/>
  <c r="I836" i="8" s="1"/>
  <c r="K836" i="8" a="1"/>
  <c r="K836" i="8" s="1"/>
  <c r="J836" i="8" a="1"/>
  <c r="J836" i="8" s="1"/>
  <c r="H836" i="8" a="1"/>
  <c r="H836" i="8" s="1"/>
  <c r="G836" i="8" a="1"/>
  <c r="G836" i="8" s="1"/>
  <c r="F836" i="8" a="1"/>
  <c r="F836" i="8" s="1"/>
  <c r="O836" i="8" a="1"/>
  <c r="O836" i="8" s="1"/>
  <c r="N836" i="8" a="1"/>
  <c r="N836" i="8" s="1"/>
  <c r="K864" i="8" a="1"/>
  <c r="K864" i="8" s="1"/>
  <c r="J864" i="8" a="1"/>
  <c r="J864" i="8" s="1"/>
  <c r="I864" i="8" a="1"/>
  <c r="I864" i="8" s="1"/>
  <c r="O864" i="8" a="1"/>
  <c r="O864" i="8" s="1"/>
  <c r="G864" i="8" a="1"/>
  <c r="G864" i="8" s="1"/>
  <c r="F864" i="8" a="1"/>
  <c r="F864" i="8" s="1"/>
  <c r="E864" i="8" a="1"/>
  <c r="E864" i="8" s="1"/>
  <c r="N864" i="8" a="1"/>
  <c r="N864" i="8" s="1"/>
  <c r="M864" i="8" a="1"/>
  <c r="M864" i="8" s="1"/>
  <c r="Q762" i="8"/>
  <c r="K773" i="8" a="1"/>
  <c r="K773" i="8" s="1"/>
  <c r="Q818" i="8"/>
  <c r="N820" i="8" a="1"/>
  <c r="N820" i="8" s="1"/>
  <c r="O909" i="8" a="1"/>
  <c r="O909" i="8" s="1"/>
  <c r="G909" i="8" a="1"/>
  <c r="G909" i="8" s="1"/>
  <c r="E909" i="8" a="1"/>
  <c r="E909" i="8" s="1"/>
  <c r="N909" i="8" a="1"/>
  <c r="N909" i="8" s="1"/>
  <c r="M909" i="8" a="1"/>
  <c r="M909" i="8" s="1"/>
  <c r="K909" i="8" a="1"/>
  <c r="K909" i="8" s="1"/>
  <c r="J909" i="8" a="1"/>
  <c r="J909" i="8" s="1"/>
  <c r="L909" i="8" a="1"/>
  <c r="L909" i="8" s="1"/>
  <c r="I909" i="8" a="1"/>
  <c r="I909" i="8" s="1"/>
  <c r="H909" i="8" a="1"/>
  <c r="H909" i="8" s="1"/>
  <c r="F909" i="8" a="1"/>
  <c r="F909" i="8" s="1"/>
  <c r="Q839" i="8"/>
  <c r="Q873" i="8"/>
  <c r="Q851" i="8"/>
  <c r="Q857" i="8"/>
  <c r="M890" i="8" a="1"/>
  <c r="M890" i="8" s="1"/>
  <c r="J901" i="8" a="1"/>
  <c r="J901" i="8" s="1"/>
  <c r="Q826" i="8"/>
  <c r="Q858" i="8"/>
  <c r="M912" i="8" a="1"/>
  <c r="M912" i="8" s="1"/>
  <c r="E912" i="8" a="1"/>
  <c r="E912" i="8" s="1"/>
  <c r="K912" i="8" a="1"/>
  <c r="K912" i="8" s="1"/>
  <c r="I912" i="8" a="1"/>
  <c r="I912" i="8" s="1"/>
  <c r="F912" i="8" a="1"/>
  <c r="F912" i="8" s="1"/>
  <c r="O912" i="8" a="1"/>
  <c r="O912" i="8" s="1"/>
  <c r="N912" i="8" a="1"/>
  <c r="N912" i="8" s="1"/>
  <c r="L912" i="8" a="1"/>
  <c r="L912" i="8" s="1"/>
  <c r="H912" i="8" a="1"/>
  <c r="H912" i="8" s="1"/>
  <c r="Q940" i="8"/>
  <c r="M905" i="8" a="1"/>
  <c r="M905" i="8" s="1"/>
  <c r="E905" i="8" a="1"/>
  <c r="E905" i="8" s="1"/>
  <c r="G905" i="8" a="1"/>
  <c r="G905" i="8" s="1"/>
  <c r="F905" i="8" a="1"/>
  <c r="F905" i="8" s="1"/>
  <c r="O905" i="8" a="1"/>
  <c r="O905" i="8" s="1"/>
  <c r="L905" i="8" a="1"/>
  <c r="L905" i="8" s="1"/>
  <c r="I905" i="8" a="1"/>
  <c r="I905" i="8" s="1"/>
  <c r="Q823" i="8"/>
  <c r="Q870" i="8"/>
  <c r="Q880" i="8"/>
  <c r="Q888" i="8"/>
  <c r="H905" i="8" a="1"/>
  <c r="H905" i="8" s="1"/>
  <c r="Q907" i="8"/>
  <c r="Q847" i="8"/>
  <c r="Q867" i="8"/>
  <c r="G912" i="8" a="1"/>
  <c r="G912" i="8" s="1"/>
  <c r="L1070" i="8" a="1"/>
  <c r="L1070" i="8" s="1"/>
  <c r="K1070" i="8" a="1"/>
  <c r="K1070" i="8" s="1"/>
  <c r="J1070" i="8" a="1"/>
  <c r="J1070" i="8" s="1"/>
  <c r="O1070" i="8" a="1"/>
  <c r="O1070" i="8" s="1"/>
  <c r="G1070" i="8" a="1"/>
  <c r="G1070" i="8" s="1"/>
  <c r="N1070" i="8" a="1"/>
  <c r="N1070" i="8" s="1"/>
  <c r="M1070" i="8" a="1"/>
  <c r="M1070" i="8" s="1"/>
  <c r="I1070" i="8" a="1"/>
  <c r="I1070" i="8" s="1"/>
  <c r="H1070" i="8" a="1"/>
  <c r="H1070" i="8" s="1"/>
  <c r="F1070" i="8" a="1"/>
  <c r="F1070" i="8" s="1"/>
  <c r="E1070" i="8" a="1"/>
  <c r="E1070" i="8" s="1"/>
  <c r="Q863" i="8"/>
  <c r="M868" i="8" a="1"/>
  <c r="M868" i="8" s="1"/>
  <c r="E868" i="8" a="1"/>
  <c r="E868" i="8" s="1"/>
  <c r="L868" i="8" a="1"/>
  <c r="L868" i="8" s="1"/>
  <c r="K868" i="8" a="1"/>
  <c r="K868" i="8" s="1"/>
  <c r="I868" i="8" a="1"/>
  <c r="I868" i="8" s="1"/>
  <c r="K901" i="8" a="1"/>
  <c r="K901" i="8" s="1"/>
  <c r="I901" i="8" a="1"/>
  <c r="I901" i="8" s="1"/>
  <c r="H901" i="8" a="1"/>
  <c r="H901" i="8" s="1"/>
  <c r="G901" i="8" a="1"/>
  <c r="G901" i="8" s="1"/>
  <c r="F901" i="8" a="1"/>
  <c r="F901" i="8" s="1"/>
  <c r="O901" i="8" a="1"/>
  <c r="O901" i="8" s="1"/>
  <c r="N901" i="8" a="1"/>
  <c r="N901" i="8" s="1"/>
  <c r="J905" i="8" a="1"/>
  <c r="J905" i="8" s="1"/>
  <c r="Q866" i="8"/>
  <c r="I897" i="8" a="1"/>
  <c r="I897" i="8" s="1"/>
  <c r="J897" i="8" a="1"/>
  <c r="J897" i="8" s="1"/>
  <c r="H897" i="8" a="1"/>
  <c r="H897" i="8" s="1"/>
  <c r="G897" i="8" a="1"/>
  <c r="G897" i="8" s="1"/>
  <c r="F897" i="8" a="1"/>
  <c r="F897" i="8" s="1"/>
  <c r="E897" i="8" a="1"/>
  <c r="E897" i="8" s="1"/>
  <c r="O897" i="8" a="1"/>
  <c r="O897" i="8" s="1"/>
  <c r="L902" i="8" a="1"/>
  <c r="L902" i="8" s="1"/>
  <c r="J902" i="8" a="1"/>
  <c r="J902" i="8" s="1"/>
  <c r="H902" i="8" a="1"/>
  <c r="H902" i="8" s="1"/>
  <c r="F902" i="8" a="1"/>
  <c r="F902" i="8" s="1"/>
  <c r="E902" i="8" a="1"/>
  <c r="E902" i="8" s="1"/>
  <c r="O902" i="8" a="1"/>
  <c r="O902" i="8" s="1"/>
  <c r="N902" i="8" a="1"/>
  <c r="N902" i="8" s="1"/>
  <c r="M902" i="8" a="1"/>
  <c r="M902" i="8" s="1"/>
  <c r="K902" i="8" a="1"/>
  <c r="K902" i="8" s="1"/>
  <c r="Q958" i="8"/>
  <c r="Q834" i="8"/>
  <c r="Q879" i="8"/>
  <c r="K905" i="8" a="1"/>
  <c r="K905" i="8" s="1"/>
  <c r="J912" i="8" a="1"/>
  <c r="J912" i="8" s="1"/>
  <c r="N905" i="8" a="1"/>
  <c r="N905" i="8" s="1"/>
  <c r="Q831" i="8"/>
  <c r="Q887" i="8"/>
  <c r="N890" i="8" a="1"/>
  <c r="N890" i="8" s="1"/>
  <c r="F890" i="8" a="1"/>
  <c r="F890" i="8" s="1"/>
  <c r="L890" i="8" a="1"/>
  <c r="L890" i="8" s="1"/>
  <c r="J890" i="8" a="1"/>
  <c r="J890" i="8" s="1"/>
  <c r="K890" i="8" a="1"/>
  <c r="K890" i="8" s="1"/>
  <c r="I890" i="8" a="1"/>
  <c r="I890" i="8" s="1"/>
  <c r="L897" i="8" a="1"/>
  <c r="L897" i="8" s="1"/>
  <c r="Q924" i="8"/>
  <c r="K975" i="8" a="1"/>
  <c r="K975" i="8" s="1"/>
  <c r="J975" i="8" a="1"/>
  <c r="J975" i="8" s="1"/>
  <c r="I975" i="8" a="1"/>
  <c r="I975" i="8" s="1"/>
  <c r="H975" i="8" a="1"/>
  <c r="H975" i="8" s="1"/>
  <c r="O975" i="8" a="1"/>
  <c r="O975" i="8" s="1"/>
  <c r="G975" i="8" a="1"/>
  <c r="G975" i="8" s="1"/>
  <c r="M975" i="8" a="1"/>
  <c r="M975" i="8" s="1"/>
  <c r="L975" i="8" a="1"/>
  <c r="L975" i="8" s="1"/>
  <c r="F975" i="8" a="1"/>
  <c r="F975" i="8" s="1"/>
  <c r="E975" i="8" a="1"/>
  <c r="E975" i="8" s="1"/>
  <c r="N975" i="8" a="1"/>
  <c r="N975" i="8" s="1"/>
  <c r="Q876" i="8"/>
  <c r="M897" i="8" a="1"/>
  <c r="M897" i="8" s="1"/>
  <c r="H868" i="8" a="1"/>
  <c r="H868" i="8" s="1"/>
  <c r="E890" i="8" a="1"/>
  <c r="E890" i="8" s="1"/>
  <c r="N897" i="8" a="1"/>
  <c r="N897" i="8" s="1"/>
  <c r="I902" i="8" a="1"/>
  <c r="I902" i="8" s="1"/>
  <c r="O1039" i="8" a="1"/>
  <c r="O1039" i="8" s="1"/>
  <c r="G1039" i="8" a="1"/>
  <c r="G1039" i="8" s="1"/>
  <c r="L1039" i="8" a="1"/>
  <c r="L1039" i="8" s="1"/>
  <c r="K1039" i="8" a="1"/>
  <c r="K1039" i="8" s="1"/>
  <c r="F1039" i="8" a="1"/>
  <c r="F1039" i="8" s="1"/>
  <c r="E1039" i="8" a="1"/>
  <c r="E1039" i="8" s="1"/>
  <c r="N1039" i="8" a="1"/>
  <c r="N1039" i="8" s="1"/>
  <c r="M1039" i="8" a="1"/>
  <c r="M1039" i="8" s="1"/>
  <c r="J1039" i="8" a="1"/>
  <c r="J1039" i="8" s="1"/>
  <c r="I1039" i="8" a="1"/>
  <c r="I1039" i="8" s="1"/>
  <c r="H1039" i="8" a="1"/>
  <c r="H1039" i="8" s="1"/>
  <c r="Q900" i="8"/>
  <c r="Q934" i="8"/>
  <c r="M942" i="8" a="1"/>
  <c r="M942" i="8" s="1"/>
  <c r="E942" i="8" a="1"/>
  <c r="E942" i="8" s="1"/>
  <c r="L942" i="8" a="1"/>
  <c r="L942" i="8" s="1"/>
  <c r="K942" i="8" a="1"/>
  <c r="K942" i="8" s="1"/>
  <c r="J942" i="8" a="1"/>
  <c r="J942" i="8" s="1"/>
  <c r="H942" i="8" a="1"/>
  <c r="H942" i="8" s="1"/>
  <c r="O942" i="8" a="1"/>
  <c r="O942" i="8" s="1"/>
  <c r="F942" i="8" a="1"/>
  <c r="F942" i="8" s="1"/>
  <c r="Q952" i="8"/>
  <c r="H971" i="8" a="1"/>
  <c r="H971" i="8" s="1"/>
  <c r="O971" i="8" a="1"/>
  <c r="O971" i="8" s="1"/>
  <c r="G971" i="8" a="1"/>
  <c r="G971" i="8" s="1"/>
  <c r="N971" i="8" a="1"/>
  <c r="N971" i="8" s="1"/>
  <c r="F971" i="8" a="1"/>
  <c r="F971" i="8" s="1"/>
  <c r="M971" i="8" a="1"/>
  <c r="M971" i="8" s="1"/>
  <c r="K971" i="8" a="1"/>
  <c r="K971" i="8" s="1"/>
  <c r="J971" i="8" a="1"/>
  <c r="J971" i="8" s="1"/>
  <c r="I971" i="8" a="1"/>
  <c r="I971" i="8" s="1"/>
  <c r="E971" i="8" a="1"/>
  <c r="E971" i="8" s="1"/>
  <c r="I974" i="8" a="1"/>
  <c r="I974" i="8" s="1"/>
  <c r="M974" i="8" a="1"/>
  <c r="M974" i="8" s="1"/>
  <c r="E974" i="8" a="1"/>
  <c r="E974" i="8" s="1"/>
  <c r="L974" i="8" a="1"/>
  <c r="L974" i="8" s="1"/>
  <c r="K974" i="8" a="1"/>
  <c r="K974" i="8" s="1"/>
  <c r="J974" i="8" a="1"/>
  <c r="J974" i="8" s="1"/>
  <c r="H974" i="8" a="1"/>
  <c r="H974" i="8" s="1"/>
  <c r="G974" i="8" a="1"/>
  <c r="G974" i="8" s="1"/>
  <c r="F974" i="8" a="1"/>
  <c r="F974" i="8" s="1"/>
  <c r="O1008" i="8" a="1"/>
  <c r="O1008" i="8" s="1"/>
  <c r="G1008" i="8" a="1"/>
  <c r="G1008" i="8" s="1"/>
  <c r="L1008" i="8" a="1"/>
  <c r="L1008" i="8" s="1"/>
  <c r="K1008" i="8" a="1"/>
  <c r="K1008" i="8" s="1"/>
  <c r="J1008" i="8" a="1"/>
  <c r="J1008" i="8" s="1"/>
  <c r="I1008" i="8" a="1"/>
  <c r="I1008" i="8" s="1"/>
  <c r="H1008" i="8" a="1"/>
  <c r="H1008" i="8" s="1"/>
  <c r="F1008" i="8" a="1"/>
  <c r="F1008" i="8" s="1"/>
  <c r="E1008" i="8" a="1"/>
  <c r="E1008" i="8" s="1"/>
  <c r="N1008" i="8" a="1"/>
  <c r="N1008" i="8" s="1"/>
  <c r="Q918" i="8"/>
  <c r="Q923" i="8"/>
  <c r="Q884" i="8"/>
  <c r="Q911" i="8"/>
  <c r="Q922" i="8"/>
  <c r="L956" i="8" a="1"/>
  <c r="L956" i="8" s="1"/>
  <c r="H956" i="8" a="1"/>
  <c r="H956" i="8" s="1"/>
  <c r="O956" i="8" a="1"/>
  <c r="O956" i="8" s="1"/>
  <c r="G956" i="8" a="1"/>
  <c r="G956" i="8" s="1"/>
  <c r="F956" i="8" a="1"/>
  <c r="F956" i="8" s="1"/>
  <c r="N956" i="8" a="1"/>
  <c r="N956" i="8" s="1"/>
  <c r="K956" i="8" a="1"/>
  <c r="K956" i="8" s="1"/>
  <c r="J956" i="8" a="1"/>
  <c r="J956" i="8" s="1"/>
  <c r="Q972" i="8"/>
  <c r="N974" i="8" a="1"/>
  <c r="N974" i="8" s="1"/>
  <c r="Q989" i="8"/>
  <c r="Q891" i="8"/>
  <c r="O974" i="8" a="1"/>
  <c r="O974" i="8" s="1"/>
  <c r="Q927" i="8"/>
  <c r="Q949" i="8"/>
  <c r="J1006" i="8" a="1"/>
  <c r="J1006" i="8" s="1"/>
  <c r="I1006" i="8" a="1"/>
  <c r="I1006" i="8" s="1"/>
  <c r="G1006" i="8" a="1"/>
  <c r="G1006" i="8" s="1"/>
  <c r="O1006" i="8" a="1"/>
  <c r="O1006" i="8" s="1"/>
  <c r="F1006" i="8" a="1"/>
  <c r="F1006" i="8" s="1"/>
  <c r="N1006" i="8" a="1"/>
  <c r="N1006" i="8" s="1"/>
  <c r="E1006" i="8" a="1"/>
  <c r="E1006" i="8" s="1"/>
  <c r="M1006" i="8" a="1"/>
  <c r="M1006" i="8" s="1"/>
  <c r="L1006" i="8" a="1"/>
  <c r="L1006" i="8" s="1"/>
  <c r="K1006" i="8" a="1"/>
  <c r="K1006" i="8" s="1"/>
  <c r="Q895" i="8"/>
  <c r="Q962" i="8"/>
  <c r="G942" i="8" a="1"/>
  <c r="G942" i="8" s="1"/>
  <c r="Q944" i="8"/>
  <c r="N973" i="8" a="1"/>
  <c r="N973" i="8" s="1"/>
  <c r="F973" i="8" a="1"/>
  <c r="F973" i="8" s="1"/>
  <c r="M973" i="8" a="1"/>
  <c r="M973" i="8" s="1"/>
  <c r="E973" i="8" a="1"/>
  <c r="E973" i="8" s="1"/>
  <c r="L973" i="8" a="1"/>
  <c r="L973" i="8" s="1"/>
  <c r="K973" i="8" a="1"/>
  <c r="K973" i="8" s="1"/>
  <c r="J973" i="8" a="1"/>
  <c r="J973" i="8" s="1"/>
  <c r="I973" i="8" a="1"/>
  <c r="I973" i="8" s="1"/>
  <c r="G973" i="8" a="1"/>
  <c r="G973" i="8" s="1"/>
  <c r="Q993" i="8"/>
  <c r="I935" i="8" a="1"/>
  <c r="I935" i="8" s="1"/>
  <c r="H935" i="8" a="1"/>
  <c r="H935" i="8" s="1"/>
  <c r="N935" i="8" a="1"/>
  <c r="N935" i="8" s="1"/>
  <c r="F935" i="8" a="1"/>
  <c r="F935" i="8" s="1"/>
  <c r="K935" i="8" a="1"/>
  <c r="K935" i="8" s="1"/>
  <c r="Q899" i="8"/>
  <c r="Q931" i="8"/>
  <c r="Q938" i="8"/>
  <c r="I942" i="8" a="1"/>
  <c r="I942" i="8" s="1"/>
  <c r="K946" i="8" a="1"/>
  <c r="K946" i="8" s="1"/>
  <c r="O946" i="8" a="1"/>
  <c r="O946" i="8" s="1"/>
  <c r="G946" i="8" a="1"/>
  <c r="G946" i="8" s="1"/>
  <c r="F946" i="8" a="1"/>
  <c r="F946" i="8" s="1"/>
  <c r="N946" i="8" a="1"/>
  <c r="N946" i="8" s="1"/>
  <c r="M946" i="8" a="1"/>
  <c r="M946" i="8" s="1"/>
  <c r="L946" i="8" a="1"/>
  <c r="L946" i="8" s="1"/>
  <c r="J946" i="8" a="1"/>
  <c r="J946" i="8" s="1"/>
  <c r="I946" i="8" a="1"/>
  <c r="I946" i="8" s="1"/>
  <c r="E935" i="8" a="1"/>
  <c r="E935" i="8" s="1"/>
  <c r="H973" i="8" a="1"/>
  <c r="H973" i="8" s="1"/>
  <c r="Q994" i="8"/>
  <c r="Q977" i="8"/>
  <c r="Q1001" i="8"/>
  <c r="Q945" i="8"/>
  <c r="Q1004" i="8"/>
  <c r="Q1063" i="8"/>
  <c r="Q953" i="8"/>
  <c r="Q1000" i="8"/>
  <c r="Q984" i="8"/>
  <c r="Q963" i="8"/>
  <c r="O1007" i="8" a="1"/>
  <c r="O1007" i="8" s="1"/>
  <c r="L1007" i="8" a="1"/>
  <c r="L1007" i="8" s="1"/>
  <c r="N1007" i="8" a="1"/>
  <c r="N1007" i="8" s="1"/>
  <c r="E1007" i="8" a="1"/>
  <c r="E1007" i="8" s="1"/>
  <c r="M1007" i="8" a="1"/>
  <c r="M1007" i="8" s="1"/>
  <c r="K1007" i="8" a="1"/>
  <c r="K1007" i="8" s="1"/>
  <c r="J1007" i="8" a="1"/>
  <c r="J1007" i="8" s="1"/>
  <c r="I1007" i="8" a="1"/>
  <c r="I1007" i="8" s="1"/>
  <c r="Q979" i="8"/>
  <c r="Q1025" i="8"/>
  <c r="Q968" i="8"/>
  <c r="Q978" i="8"/>
  <c r="Q1005" i="8"/>
  <c r="Q1028" i="8"/>
  <c r="Q1093" i="8"/>
  <c r="Q1015" i="8"/>
  <c r="K1041" i="8" a="1"/>
  <c r="K1041" i="8" s="1"/>
  <c r="Q1074" i="8"/>
  <c r="O1078" i="8" a="1"/>
  <c r="O1078" i="8" s="1"/>
  <c r="G1078" i="8" a="1"/>
  <c r="G1078" i="8" s="1"/>
  <c r="K1078" i="8" a="1"/>
  <c r="K1078" i="8" s="1"/>
  <c r="M1078" i="8" a="1"/>
  <c r="M1078" i="8" s="1"/>
  <c r="L1078" i="8" a="1"/>
  <c r="L1078" i="8" s="1"/>
  <c r="J1078" i="8" a="1"/>
  <c r="J1078" i="8" s="1"/>
  <c r="H1078" i="8" a="1"/>
  <c r="H1078" i="8" s="1"/>
  <c r="F1078" i="8" a="1"/>
  <c r="F1078" i="8" s="1"/>
  <c r="E1078" i="8" a="1"/>
  <c r="E1078" i="8" s="1"/>
  <c r="Q1012" i="8"/>
  <c r="Q1029" i="8"/>
  <c r="Q1069" i="8"/>
  <c r="Q1089" i="8"/>
  <c r="Q1061" i="8"/>
  <c r="Q1087" i="8"/>
  <c r="Q1030" i="8"/>
  <c r="Q1038" i="8"/>
  <c r="N1078" i="8" a="1"/>
  <c r="N1078" i="8" s="1"/>
  <c r="Q1021" i="8"/>
  <c r="Q1031" i="8"/>
  <c r="Q1037" i="8"/>
  <c r="Q1047" i="8"/>
  <c r="Q1013" i="8"/>
  <c r="L1041" i="8" a="1"/>
  <c r="L1041" i="8" s="1"/>
  <c r="I1041" i="8" a="1"/>
  <c r="I1041" i="8" s="1"/>
  <c r="H1041" i="8" a="1"/>
  <c r="H1041" i="8" s="1"/>
  <c r="H1072" i="8" a="1"/>
  <c r="H1072" i="8" s="1"/>
  <c r="J1072" i="8" a="1"/>
  <c r="J1072" i="8" s="1"/>
  <c r="I1072" i="8" a="1"/>
  <c r="I1072" i="8" s="1"/>
  <c r="G1072" i="8" a="1"/>
  <c r="G1072" i="8" s="1"/>
  <c r="O1072" i="8" a="1"/>
  <c r="O1072" i="8" s="1"/>
  <c r="N1072" i="8" a="1"/>
  <c r="N1072" i="8" s="1"/>
  <c r="E1072" i="8" a="1"/>
  <c r="E1072" i="8" s="1"/>
  <c r="M1072" i="8" a="1"/>
  <c r="M1072" i="8" s="1"/>
  <c r="L1072" i="8" a="1"/>
  <c r="L1072" i="8" s="1"/>
  <c r="K1072" i="8" a="1"/>
  <c r="K1072" i="8" s="1"/>
  <c r="K1103" i="8" a="1"/>
  <c r="K1103" i="8" s="1"/>
  <c r="I1103" i="8" a="1"/>
  <c r="I1103" i="8" s="1"/>
  <c r="H1103" i="8" a="1"/>
  <c r="H1103" i="8" s="1"/>
  <c r="G1103" i="8" a="1"/>
  <c r="G1103" i="8" s="1"/>
  <c r="F1103" i="8" a="1"/>
  <c r="F1103" i="8" s="1"/>
  <c r="M1103" i="8" a="1"/>
  <c r="M1103" i="8" s="1"/>
  <c r="L1103" i="8" a="1"/>
  <c r="L1103" i="8" s="1"/>
  <c r="J1103" i="8" a="1"/>
  <c r="J1103" i="8" s="1"/>
  <c r="E1103" i="8" a="1"/>
  <c r="E1103" i="8" s="1"/>
  <c r="N1103" i="8" a="1"/>
  <c r="N1103" i="8" s="1"/>
  <c r="Q1053" i="8"/>
  <c r="Q1064" i="8"/>
  <c r="Q1045" i="8"/>
  <c r="Q1092" i="8"/>
  <c r="Q1098" i="8"/>
  <c r="Q1115" i="8"/>
  <c r="Q1147" i="8"/>
  <c r="Q1149" i="8"/>
  <c r="Q1110" i="8"/>
  <c r="Q1118" i="8"/>
  <c r="Q1145" i="8"/>
  <c r="Q1077" i="8"/>
  <c r="Q1096" i="8"/>
  <c r="Q1101" i="8"/>
  <c r="Q1085" i="8"/>
  <c r="Q1112" i="8"/>
  <c r="N1138" i="8" a="1"/>
  <c r="N1138" i="8" s="1"/>
  <c r="F1138" i="8" a="1"/>
  <c r="F1138" i="8" s="1"/>
  <c r="L1138" i="8" a="1"/>
  <c r="L1138" i="8" s="1"/>
  <c r="K1138" i="8" a="1"/>
  <c r="K1138" i="8" s="1"/>
  <c r="G1138" i="8" a="1"/>
  <c r="G1138" i="8" s="1"/>
  <c r="E1138" i="8" a="1"/>
  <c r="E1138" i="8" s="1"/>
  <c r="M1138" i="8" a="1"/>
  <c r="M1138" i="8" s="1"/>
  <c r="J1138" i="8" a="1"/>
  <c r="J1138" i="8" s="1"/>
  <c r="H1138" i="8" a="1"/>
  <c r="H1138" i="8" s="1"/>
  <c r="Q1123" i="8"/>
  <c r="Q1120" i="8"/>
  <c r="Q1134" i="8"/>
  <c r="Q1144" i="8"/>
  <c r="Q1194" i="8"/>
  <c r="Q1249" i="8"/>
  <c r="Q1156" i="8"/>
  <c r="Q1155" i="8"/>
  <c r="Q1170" i="8"/>
  <c r="Q1107" i="8"/>
  <c r="Q1127" i="8"/>
  <c r="Q1128" i="8"/>
  <c r="Q1137" i="8"/>
  <c r="Q1111" i="8"/>
  <c r="Q1201" i="8"/>
  <c r="Q1185" i="8"/>
  <c r="Q1177" i="8"/>
  <c r="Q1169" i="8"/>
  <c r="Q1181" i="8"/>
  <c r="Q1105" i="8"/>
  <c r="Q1222" i="8"/>
  <c r="Q1124" i="8"/>
  <c r="Q1178" i="8"/>
  <c r="Q1200" i="8"/>
  <c r="Q1210" i="8"/>
  <c r="Q1189" i="8"/>
  <c r="Q1190" i="8"/>
  <c r="Q1252" i="8"/>
  <c r="Q1193" i="8"/>
  <c r="Q1236" i="8"/>
  <c r="Q1157" i="8"/>
  <c r="Q1206" i="8"/>
  <c r="Q1217" i="8"/>
  <c r="Q1253" i="8"/>
  <c r="Q1258" i="8"/>
  <c r="Q1216" i="8"/>
  <c r="Q1168" i="8"/>
  <c r="Q1173" i="8"/>
  <c r="Q1251" i="8"/>
  <c r="Q1265" i="8"/>
  <c r="Q1231" i="8"/>
  <c r="Q1278" i="8"/>
  <c r="Q1246" i="8"/>
  <c r="Q1263" i="8"/>
  <c r="Q1247" i="8"/>
  <c r="Q1262" i="8"/>
  <c r="Q1302" i="8"/>
  <c r="Q1311" i="8"/>
  <c r="Q1230" i="8"/>
  <c r="Q1243" i="8"/>
  <c r="Q1261" i="8"/>
  <c r="Q1248" i="8"/>
  <c r="Q1277" i="8"/>
  <c r="Q1281" i="8"/>
  <c r="Q1285" i="8"/>
  <c r="Q1300" i="8"/>
  <c r="Q1325" i="8"/>
  <c r="Q1337" i="8"/>
  <c r="Q1369" i="8"/>
  <c r="Q1306" i="8"/>
  <c r="Q1323" i="8"/>
  <c r="Q1358" i="8"/>
  <c r="Q1340" i="8"/>
  <c r="Q1310" i="8"/>
  <c r="Q1392" i="8"/>
  <c r="Q1401" i="8"/>
  <c r="Q1368" i="8"/>
  <c r="Q1399" i="8"/>
  <c r="Q1383" i="8"/>
  <c r="Q1385" i="8"/>
  <c r="Q1393" i="8"/>
  <c r="Q1405" i="8"/>
  <c r="Q1423" i="8"/>
  <c r="Q1429" i="8"/>
  <c r="Q1356" i="8"/>
  <c r="Q1367" i="8"/>
  <c r="Q1413" i="8"/>
  <c r="Q1372" i="8"/>
  <c r="Q1352" i="8"/>
  <c r="Q1345" i="8"/>
  <c r="Q1374" i="8"/>
  <c r="Q1403" i="8"/>
  <c r="Q1324" i="8"/>
  <c r="Q1329" i="8"/>
  <c r="Q1355" i="8"/>
  <c r="Q1384" i="8"/>
  <c r="Q1390" i="8"/>
  <c r="Q1416" i="8"/>
  <c r="Q1426" i="8"/>
  <c r="Q1408" i="8"/>
  <c r="Q1449" i="8"/>
  <c r="Q1459" i="8"/>
  <c r="Q1404" i="8"/>
  <c r="Q1431" i="8"/>
  <c r="Q1443" i="8"/>
  <c r="Q1410" i="8"/>
  <c r="Q1420" i="8"/>
  <c r="Q1427" i="8"/>
  <c r="Q1417" i="8"/>
  <c r="Q1419" i="8"/>
  <c r="Q1454" i="8"/>
  <c r="Q1444" i="8"/>
  <c r="Q1464" i="8"/>
  <c r="Q1447" i="8"/>
  <c r="Q1457" i="8"/>
  <c r="Q1452" i="8"/>
  <c r="Q1460" i="8"/>
  <c r="Q1468" i="8"/>
  <c r="Q1497" i="8"/>
  <c r="Q1535" i="8"/>
  <c r="Q1476" i="8"/>
  <c r="Q1472" i="8"/>
  <c r="Q1498" i="8"/>
  <c r="Q1511" i="8"/>
  <c r="Q1487" i="8"/>
  <c r="Q1490" i="8"/>
  <c r="Q1509" i="8"/>
  <c r="Q1479" i="8"/>
  <c r="Q1480" i="8"/>
  <c r="Q1521" i="8"/>
  <c r="Q1525" i="8"/>
  <c r="Q1527" i="8"/>
  <c r="Q1541" i="8"/>
  <c r="Q1510" i="8"/>
  <c r="Q1520" i="8"/>
  <c r="Q1533" i="8"/>
  <c r="Q1500" i="8"/>
  <c r="Q1516" i="8"/>
  <c r="Q1494" i="8"/>
  <c r="Q1587" i="8"/>
  <c r="Q1594" i="8"/>
  <c r="Q1561" i="8"/>
  <c r="Q1531" i="8"/>
  <c r="Q1529" i="8"/>
  <c r="Q1539" i="8"/>
  <c r="Q1538" i="8"/>
  <c r="Q1548" i="8"/>
  <c r="Q1596" i="8"/>
  <c r="Q1555" i="8"/>
  <c r="Q1562" i="8"/>
  <c r="Q1532" i="8"/>
  <c r="Q1570" i="8"/>
  <c r="Q1583" i="8"/>
  <c r="Q1578" i="8"/>
  <c r="Q1589" i="8"/>
  <c r="Q1546" i="8"/>
  <c r="Q1608" i="8"/>
  <c r="Q1575" i="8"/>
  <c r="Q1590" i="8"/>
  <c r="Q1611" i="8"/>
  <c r="Q1645" i="8"/>
  <c r="Q1625" i="8"/>
  <c r="Q1569" i="8"/>
  <c r="Q1603" i="8"/>
  <c r="Q1586" i="8"/>
  <c r="Q1642" i="8"/>
  <c r="Q1652" i="8"/>
  <c r="Q1633" i="8"/>
  <c r="Q1618" i="8"/>
  <c r="Q1619" i="8"/>
  <c r="Q1646" i="8"/>
  <c r="Q1607" i="8"/>
  <c r="Q1647" i="8"/>
  <c r="Q1623" i="8"/>
  <c r="Q1639" i="8"/>
  <c r="Q1677" i="8"/>
  <c r="Q1630" i="8"/>
  <c r="Q1674" i="8"/>
  <c r="Q1678" i="8"/>
  <c r="Q1658" i="8"/>
  <c r="Q1636" i="8"/>
  <c r="Q1655" i="8"/>
  <c r="Q1668" i="8"/>
  <c r="Q1673" i="8"/>
  <c r="C40" i="4"/>
  <c r="C41" i="4"/>
  <c r="C32" i="4"/>
  <c r="C33" i="4"/>
  <c r="C34" i="4"/>
  <c r="C35" i="4"/>
  <c r="C36" i="4"/>
  <c r="C37" i="4"/>
  <c r="C38" i="4"/>
  <c r="C39" i="4"/>
  <c r="C31" i="4"/>
  <c r="F9" i="2" a="1"/>
  <c r="F9" i="2" s="1"/>
  <c r="F12" i="2" a="1"/>
  <c r="F12" i="2" s="1"/>
  <c r="F20" i="2" a="1"/>
  <c r="F20" i="2" s="1"/>
  <c r="F23" i="2" a="1"/>
  <c r="F23" i="2" s="1"/>
  <c r="F24" i="2" a="1"/>
  <c r="F24" i="2" s="1"/>
  <c r="F25" i="2" a="1"/>
  <c r="F25" i="2" s="1"/>
  <c r="F36" i="2" a="1"/>
  <c r="F36" i="2" s="1"/>
  <c r="F37" i="2" a="1"/>
  <c r="F37" i="2" s="1"/>
  <c r="F46" i="2" a="1"/>
  <c r="F46" i="2" s="1"/>
  <c r="F52" i="2" a="1"/>
  <c r="F52" i="2" s="1"/>
  <c r="F76" i="2" a="1"/>
  <c r="F76" i="2" s="1"/>
  <c r="F79" i="2" a="1"/>
  <c r="F79" i="2" s="1"/>
  <c r="F80" i="2" a="1"/>
  <c r="F80" i="2" s="1"/>
  <c r="F90" i="2" a="1"/>
  <c r="F90" i="2" s="1"/>
  <c r="F93" i="2" a="1"/>
  <c r="F93" i="2" s="1"/>
  <c r="F94" i="2" a="1"/>
  <c r="F94" i="2" s="1"/>
  <c r="F104" i="2" a="1"/>
  <c r="F104" i="2" s="1"/>
  <c r="F107" i="2" a="1"/>
  <c r="F107" i="2" s="1"/>
  <c r="F108" i="2" a="1"/>
  <c r="F108" i="2" s="1"/>
  <c r="F118" i="2" a="1"/>
  <c r="F118" i="2" s="1"/>
  <c r="F125" i="2" a="1"/>
  <c r="F125" i="2" s="1"/>
  <c r="F126" i="2" a="1"/>
  <c r="F126" i="2" s="1"/>
  <c r="F127" i="2" a="1"/>
  <c r="F127" i="2" s="1"/>
  <c r="F141" i="2" a="1"/>
  <c r="F141" i="2" s="1"/>
  <c r="F142" i="2" a="1"/>
  <c r="F142" i="2" s="1"/>
  <c r="F143" i="2" a="1"/>
  <c r="F143" i="2" s="1"/>
  <c r="F156" i="2" a="1"/>
  <c r="F156" i="2" s="1"/>
  <c r="F164" i="2" a="1"/>
  <c r="F164" i="2" s="1"/>
  <c r="F181" i="2" a="1"/>
  <c r="F181" i="2" s="1"/>
  <c r="F188" i="2" a="1"/>
  <c r="F188" i="2" s="1"/>
  <c r="F204" i="2" a="1"/>
  <c r="F204" i="2" s="1"/>
  <c r="F214" i="2" a="1"/>
  <c r="F214" i="2" s="1"/>
  <c r="F215" i="2" a="1"/>
  <c r="F215" i="2" s="1"/>
  <c r="F216" i="2" a="1"/>
  <c r="F216" i="2" s="1"/>
  <c r="F263" i="2" a="1"/>
  <c r="F263" i="2" s="1"/>
  <c r="F264" i="2" a="1"/>
  <c r="F264" i="2" s="1"/>
  <c r="F265" i="2" a="1"/>
  <c r="F265" i="2" s="1"/>
  <c r="F312" i="2" a="1"/>
  <c r="F312" i="2" s="1"/>
  <c r="F2" i="2" a="1"/>
  <c r="F2" i="2" s="1"/>
  <c r="E3" i="2"/>
  <c r="F3" i="2" s="1" a="1"/>
  <c r="F3" i="2" s="1"/>
  <c r="E4" i="2"/>
  <c r="F4" i="2" s="1" a="1"/>
  <c r="F4" i="2" s="1"/>
  <c r="E5" i="2"/>
  <c r="F5" i="2" s="1" a="1"/>
  <c r="F5" i="2" s="1"/>
  <c r="E6" i="2"/>
  <c r="F6" i="2" s="1" a="1"/>
  <c r="F6" i="2" s="1"/>
  <c r="E7" i="2"/>
  <c r="F7" i="2" s="1" a="1"/>
  <c r="F7" i="2" s="1"/>
  <c r="E8" i="2"/>
  <c r="F8" i="2" s="1" a="1"/>
  <c r="F8" i="2" s="1"/>
  <c r="E9" i="2"/>
  <c r="E10" i="2"/>
  <c r="F10" i="2" s="1" a="1"/>
  <c r="F10" i="2" s="1"/>
  <c r="E11" i="2"/>
  <c r="F11" i="2" s="1" a="1"/>
  <c r="F11" i="2" s="1"/>
  <c r="E12" i="2"/>
  <c r="E13" i="2"/>
  <c r="F13" i="2" s="1" a="1"/>
  <c r="F13" i="2" s="1"/>
  <c r="E14" i="2"/>
  <c r="F14" i="2" s="1" a="1"/>
  <c r="F14" i="2" s="1"/>
  <c r="E15" i="2"/>
  <c r="F15" i="2" s="1" a="1"/>
  <c r="F15" i="2" s="1"/>
  <c r="E16" i="2"/>
  <c r="F16" i="2" s="1" a="1"/>
  <c r="F16" i="2" s="1"/>
  <c r="E17" i="2"/>
  <c r="F17" i="2" s="1" a="1"/>
  <c r="F17" i="2" s="1"/>
  <c r="E18" i="2"/>
  <c r="F18" i="2" s="1" a="1"/>
  <c r="F18" i="2" s="1"/>
  <c r="E19" i="2"/>
  <c r="F19" i="2" s="1" a="1"/>
  <c r="F19" i="2" s="1"/>
  <c r="E20" i="2"/>
  <c r="E21" i="2"/>
  <c r="F21" i="2" s="1" a="1"/>
  <c r="F21" i="2" s="1"/>
  <c r="E22" i="2"/>
  <c r="F22" i="2" s="1" a="1"/>
  <c r="F22" i="2" s="1"/>
  <c r="E23" i="2"/>
  <c r="E24" i="2"/>
  <c r="E25" i="2"/>
  <c r="E26" i="2"/>
  <c r="F26" i="2" s="1" a="1"/>
  <c r="F26" i="2" s="1"/>
  <c r="E27" i="2"/>
  <c r="F27" i="2" s="1" a="1"/>
  <c r="F27" i="2" s="1"/>
  <c r="E28" i="2"/>
  <c r="F28" i="2" s="1" a="1"/>
  <c r="F28" i="2" s="1"/>
  <c r="E29" i="2"/>
  <c r="F29" i="2" s="1" a="1"/>
  <c r="F29" i="2" s="1"/>
  <c r="E30" i="2"/>
  <c r="F30" i="2" s="1" a="1"/>
  <c r="F30" i="2" s="1"/>
  <c r="E31" i="2"/>
  <c r="F31" i="2" s="1" a="1"/>
  <c r="F31" i="2" s="1"/>
  <c r="E32" i="2"/>
  <c r="F32" i="2" s="1" a="1"/>
  <c r="F32" i="2" s="1"/>
  <c r="E33" i="2"/>
  <c r="F33" i="2" s="1" a="1"/>
  <c r="F33" i="2" s="1"/>
  <c r="E34" i="2"/>
  <c r="F34" i="2" s="1" a="1"/>
  <c r="F34" i="2" s="1"/>
  <c r="E35" i="2"/>
  <c r="F35" i="2" s="1" a="1"/>
  <c r="F35" i="2" s="1"/>
  <c r="E36" i="2"/>
  <c r="E37" i="2"/>
  <c r="E38" i="2"/>
  <c r="E39" i="2"/>
  <c r="F39" i="2" s="1" a="1"/>
  <c r="F39" i="2" s="1"/>
  <c r="E40" i="2"/>
  <c r="F40" i="2" s="1" a="1"/>
  <c r="F40" i="2" s="1"/>
  <c r="E41" i="2"/>
  <c r="F41" i="2" s="1" a="1"/>
  <c r="F41" i="2" s="1"/>
  <c r="E42" i="2"/>
  <c r="F42" i="2" s="1" a="1"/>
  <c r="F42" i="2" s="1"/>
  <c r="E43" i="2"/>
  <c r="F43" i="2" s="1" a="1"/>
  <c r="F43" i="2" s="1"/>
  <c r="E44" i="2"/>
  <c r="F44" i="2" s="1" a="1"/>
  <c r="F44" i="2" s="1"/>
  <c r="E45" i="2"/>
  <c r="F45" i="2" s="1" a="1"/>
  <c r="F45" i="2" s="1"/>
  <c r="E46" i="2"/>
  <c r="E47" i="2"/>
  <c r="F47" i="2" s="1" a="1"/>
  <c r="F47" i="2" s="1"/>
  <c r="E48" i="2"/>
  <c r="F48" i="2" s="1" a="1"/>
  <c r="F48" i="2" s="1"/>
  <c r="E49" i="2"/>
  <c r="F49" i="2" s="1" a="1"/>
  <c r="F49" i="2" s="1"/>
  <c r="E50" i="2"/>
  <c r="E51" i="2"/>
  <c r="F51" i="2" s="1" a="1"/>
  <c r="F51" i="2" s="1"/>
  <c r="E52" i="2"/>
  <c r="E53" i="2"/>
  <c r="F53" i="2" s="1" a="1"/>
  <c r="F53" i="2" s="1"/>
  <c r="E54" i="2"/>
  <c r="F54" i="2" s="1" a="1"/>
  <c r="F54" i="2" s="1"/>
  <c r="E55" i="2"/>
  <c r="F55" i="2" s="1" a="1"/>
  <c r="F55" i="2" s="1"/>
  <c r="E56" i="2"/>
  <c r="F56" i="2" s="1" a="1"/>
  <c r="F56" i="2" s="1"/>
  <c r="E57" i="2"/>
  <c r="F57" i="2" s="1" a="1"/>
  <c r="F57" i="2" s="1"/>
  <c r="E58" i="2"/>
  <c r="F58" i="2" s="1" a="1"/>
  <c r="F58" i="2" s="1"/>
  <c r="E59" i="2"/>
  <c r="F59" i="2" s="1" a="1"/>
  <c r="F59" i="2" s="1"/>
  <c r="E60" i="2"/>
  <c r="F60" i="2" s="1" a="1"/>
  <c r="F60" i="2" s="1"/>
  <c r="E61" i="2"/>
  <c r="F61" i="2" s="1" a="1"/>
  <c r="F61" i="2" s="1"/>
  <c r="E62" i="2"/>
  <c r="E63" i="2"/>
  <c r="F63" i="2" s="1" a="1"/>
  <c r="F63" i="2" s="1"/>
  <c r="E64" i="2"/>
  <c r="F64" i="2" s="1" a="1"/>
  <c r="F64" i="2" s="1"/>
  <c r="E65" i="2"/>
  <c r="F65" i="2" s="1" a="1"/>
  <c r="F65" i="2" s="1"/>
  <c r="E66" i="2"/>
  <c r="F66" i="2" s="1" a="1"/>
  <c r="F66" i="2" s="1"/>
  <c r="E67" i="2"/>
  <c r="F67" i="2" s="1" a="1"/>
  <c r="F67" i="2" s="1"/>
  <c r="E68" i="2"/>
  <c r="F68" i="2" s="1" a="1"/>
  <c r="F68" i="2" s="1"/>
  <c r="E69" i="2"/>
  <c r="F69" i="2" s="1" a="1"/>
  <c r="F69" i="2" s="1"/>
  <c r="E70" i="2"/>
  <c r="F70" i="2" s="1" a="1"/>
  <c r="F70" i="2" s="1"/>
  <c r="E71" i="2"/>
  <c r="F71" i="2" s="1" a="1"/>
  <c r="F71" i="2" s="1"/>
  <c r="E72" i="2"/>
  <c r="F72" i="2" s="1" a="1"/>
  <c r="F72" i="2" s="1"/>
  <c r="E73" i="2"/>
  <c r="F73" i="2" s="1" a="1"/>
  <c r="F73" i="2" s="1"/>
  <c r="E74" i="2"/>
  <c r="E75" i="2"/>
  <c r="F75" i="2" s="1" a="1"/>
  <c r="F75" i="2" s="1"/>
  <c r="E76" i="2"/>
  <c r="E77" i="2"/>
  <c r="F77" i="2" s="1" a="1"/>
  <c r="F77" i="2" s="1"/>
  <c r="E78" i="2"/>
  <c r="F78" i="2" s="1" a="1"/>
  <c r="F78" i="2" s="1"/>
  <c r="E79" i="2"/>
  <c r="E80" i="2"/>
  <c r="E81" i="2"/>
  <c r="F81" i="2" s="1" a="1"/>
  <c r="F81" i="2" s="1"/>
  <c r="E82" i="2"/>
  <c r="F82" i="2" s="1" a="1"/>
  <c r="F82" i="2" s="1"/>
  <c r="E83" i="2"/>
  <c r="F83" i="2" s="1" a="1"/>
  <c r="F83" i="2" s="1"/>
  <c r="E84" i="2"/>
  <c r="F84" i="2" s="1" a="1"/>
  <c r="F84" i="2" s="1"/>
  <c r="E85" i="2"/>
  <c r="F85" i="2" s="1" a="1"/>
  <c r="F85" i="2" s="1"/>
  <c r="E86" i="2"/>
  <c r="E87" i="2"/>
  <c r="F87" i="2" s="1" a="1"/>
  <c r="F87" i="2" s="1"/>
  <c r="E88" i="2"/>
  <c r="F88" i="2" s="1" a="1"/>
  <c r="F88" i="2" s="1"/>
  <c r="E89" i="2"/>
  <c r="F89" i="2" s="1" a="1"/>
  <c r="F89" i="2" s="1"/>
  <c r="E90" i="2"/>
  <c r="E91" i="2"/>
  <c r="F91" i="2" s="1" a="1"/>
  <c r="F91" i="2" s="1"/>
  <c r="E92" i="2"/>
  <c r="F92" i="2" s="1" a="1"/>
  <c r="F92" i="2" s="1"/>
  <c r="E93" i="2"/>
  <c r="E94" i="2"/>
  <c r="E95" i="2"/>
  <c r="F95" i="2" s="1" a="1"/>
  <c r="F95" i="2" s="1"/>
  <c r="E96" i="2"/>
  <c r="F96" i="2" s="1" a="1"/>
  <c r="F96" i="2" s="1"/>
  <c r="E97" i="2"/>
  <c r="F97" i="2" s="1" a="1"/>
  <c r="F97" i="2" s="1"/>
  <c r="E98" i="2"/>
  <c r="E99" i="2"/>
  <c r="F99" i="2" s="1" a="1"/>
  <c r="F99" i="2" s="1"/>
  <c r="E100" i="2"/>
  <c r="F100" i="2" s="1" a="1"/>
  <c r="F100" i="2" s="1"/>
  <c r="E101" i="2"/>
  <c r="F101" i="2" s="1" a="1"/>
  <c r="F101" i="2" s="1"/>
  <c r="E102" i="2"/>
  <c r="F102" i="2" s="1" a="1"/>
  <c r="F102" i="2" s="1"/>
  <c r="E103" i="2"/>
  <c r="F103" i="2" s="1" a="1"/>
  <c r="F103" i="2" s="1"/>
  <c r="E104" i="2"/>
  <c r="E105" i="2"/>
  <c r="F105" i="2" s="1" a="1"/>
  <c r="F105" i="2" s="1"/>
  <c r="E106" i="2"/>
  <c r="F106" i="2" s="1" a="1"/>
  <c r="F106" i="2" s="1"/>
  <c r="E107" i="2"/>
  <c r="E108" i="2"/>
  <c r="E109" i="2"/>
  <c r="F109" i="2" s="1" a="1"/>
  <c r="F109" i="2" s="1"/>
  <c r="E110" i="2"/>
  <c r="E111" i="2"/>
  <c r="E112" i="2"/>
  <c r="F112" i="2" s="1" a="1"/>
  <c r="F112" i="2" s="1"/>
  <c r="E113" i="2"/>
  <c r="F113" i="2" s="1" a="1"/>
  <c r="F113" i="2" s="1"/>
  <c r="E114" i="2"/>
  <c r="F114" i="2" s="1" a="1"/>
  <c r="F114" i="2" s="1"/>
  <c r="E115" i="2"/>
  <c r="F115" i="2" s="1" a="1"/>
  <c r="F115" i="2" s="1"/>
  <c r="E116" i="2"/>
  <c r="F116" i="2" s="1" a="1"/>
  <c r="F116" i="2" s="1"/>
  <c r="E117" i="2"/>
  <c r="F117" i="2" s="1" a="1"/>
  <c r="F117" i="2" s="1"/>
  <c r="E118" i="2"/>
  <c r="E119" i="2"/>
  <c r="F119" i="2" s="1" a="1"/>
  <c r="F119" i="2" s="1"/>
  <c r="E120" i="2"/>
  <c r="F120" i="2" s="1" a="1"/>
  <c r="F120" i="2" s="1"/>
  <c r="E121" i="2"/>
  <c r="F121" i="2" s="1" a="1"/>
  <c r="F121" i="2" s="1"/>
  <c r="E122" i="2"/>
  <c r="E123" i="2"/>
  <c r="E124" i="2"/>
  <c r="E125" i="2"/>
  <c r="E126" i="2"/>
  <c r="E127" i="2"/>
  <c r="E128" i="2"/>
  <c r="F128" i="2" s="1" a="1"/>
  <c r="F128" i="2" s="1"/>
  <c r="E129" i="2"/>
  <c r="F129" i="2" s="1" a="1"/>
  <c r="F129" i="2" s="1"/>
  <c r="E130" i="2"/>
  <c r="F130" i="2" s="1" a="1"/>
  <c r="F130" i="2" s="1"/>
  <c r="E131" i="2"/>
  <c r="F131" i="2" s="1" a="1"/>
  <c r="F131" i="2" s="1"/>
  <c r="E132" i="2"/>
  <c r="F132" i="2" s="1" a="1"/>
  <c r="F132" i="2" s="1"/>
  <c r="E133" i="2"/>
  <c r="F133" i="2" s="1" a="1"/>
  <c r="F133" i="2" s="1"/>
  <c r="E134" i="2"/>
  <c r="E135" i="2"/>
  <c r="E136" i="2"/>
  <c r="E137" i="2"/>
  <c r="E138" i="2"/>
  <c r="F138" i="2" s="1" a="1"/>
  <c r="F138" i="2" s="1"/>
  <c r="E139" i="2"/>
  <c r="F139" i="2" s="1" a="1"/>
  <c r="F139" i="2" s="1"/>
  <c r="E140" i="2"/>
  <c r="F140" i="2" s="1" a="1"/>
  <c r="F140" i="2" s="1"/>
  <c r="E141" i="2"/>
  <c r="E142" i="2"/>
  <c r="E143" i="2"/>
  <c r="E144" i="2"/>
  <c r="F144" i="2" s="1" a="1"/>
  <c r="F144" i="2" s="1"/>
  <c r="E145" i="2"/>
  <c r="F145" i="2" s="1" a="1"/>
  <c r="F145" i="2" s="1"/>
  <c r="E146" i="2"/>
  <c r="E147" i="2"/>
  <c r="E148" i="2"/>
  <c r="E149" i="2"/>
  <c r="E150" i="2"/>
  <c r="F150" i="2" s="1" a="1"/>
  <c r="F150" i="2" s="1"/>
  <c r="E151" i="2"/>
  <c r="F151" i="2" s="1" a="1"/>
  <c r="F151" i="2" s="1"/>
  <c r="E152" i="2"/>
  <c r="F152" i="2" s="1" a="1"/>
  <c r="F152" i="2" s="1"/>
  <c r="E153" i="2"/>
  <c r="F153" i="2" s="1" a="1"/>
  <c r="F153" i="2" s="1"/>
  <c r="E154" i="2"/>
  <c r="F154" i="2" s="1" a="1"/>
  <c r="F154" i="2" s="1"/>
  <c r="E155" i="2"/>
  <c r="F155" i="2" s="1" a="1"/>
  <c r="F155" i="2" s="1"/>
  <c r="E156" i="2"/>
  <c r="E157" i="2"/>
  <c r="F157" i="2" s="1" a="1"/>
  <c r="F157" i="2" s="1"/>
  <c r="E158" i="2"/>
  <c r="E159" i="2"/>
  <c r="E160" i="2"/>
  <c r="E161" i="2"/>
  <c r="E162" i="2"/>
  <c r="F162" i="2" s="1" a="1"/>
  <c r="F162" i="2" s="1"/>
  <c r="E163" i="2"/>
  <c r="F163" i="2" s="1" a="1"/>
  <c r="F163" i="2" s="1"/>
  <c r="E164" i="2"/>
  <c r="E165" i="2"/>
  <c r="F165" i="2" s="1" a="1"/>
  <c r="F165" i="2" s="1"/>
  <c r="E166" i="2"/>
  <c r="F166" i="2" s="1" a="1"/>
  <c r="F166" i="2" s="1"/>
  <c r="E167" i="2"/>
  <c r="F167" i="2" s="1" a="1"/>
  <c r="F167" i="2" s="1"/>
  <c r="E168" i="2"/>
  <c r="F168" i="2" s="1" a="1"/>
  <c r="F168" i="2" s="1"/>
  <c r="E169" i="2"/>
  <c r="F169" i="2" s="1" a="1"/>
  <c r="F169" i="2" s="1"/>
  <c r="E170" i="2"/>
  <c r="E171" i="2"/>
  <c r="E172" i="2"/>
  <c r="E173" i="2"/>
  <c r="E174" i="2"/>
  <c r="E175" i="2"/>
  <c r="F175" i="2" s="1" a="1"/>
  <c r="F175" i="2" s="1"/>
  <c r="E176" i="2"/>
  <c r="F176" i="2" s="1" a="1"/>
  <c r="F176" i="2" s="1"/>
  <c r="E177" i="2"/>
  <c r="F177" i="2" s="1" a="1"/>
  <c r="F177" i="2" s="1"/>
  <c r="E178" i="2"/>
  <c r="F178" i="2" s="1" a="1"/>
  <c r="F178" i="2" s="1"/>
  <c r="E179" i="2"/>
  <c r="F179" i="2" s="1" a="1"/>
  <c r="F179" i="2" s="1"/>
  <c r="E180" i="2"/>
  <c r="F180" i="2" s="1" a="1"/>
  <c r="F180" i="2" s="1"/>
  <c r="E181" i="2"/>
  <c r="E182" i="2"/>
  <c r="E183" i="2"/>
  <c r="E184" i="2"/>
  <c r="E185" i="2"/>
  <c r="E186" i="2"/>
  <c r="E187" i="2"/>
  <c r="E188" i="2"/>
  <c r="E189" i="2"/>
  <c r="F189" i="2" s="1" a="1"/>
  <c r="F189" i="2" s="1"/>
  <c r="E190" i="2"/>
  <c r="F190" i="2" s="1" a="1"/>
  <c r="F190" i="2" s="1"/>
  <c r="E191" i="2"/>
  <c r="F191" i="2" s="1" a="1"/>
  <c r="F191" i="2" s="1"/>
  <c r="E192" i="2"/>
  <c r="F192" i="2" s="1" a="1"/>
  <c r="F192" i="2" s="1"/>
  <c r="E193" i="2"/>
  <c r="F193" i="2" s="1" a="1"/>
  <c r="F193" i="2" s="1"/>
  <c r="E194" i="2"/>
  <c r="E195" i="2"/>
  <c r="E196" i="2"/>
  <c r="E197" i="2"/>
  <c r="E198" i="2"/>
  <c r="E199" i="2"/>
  <c r="E200" i="2"/>
  <c r="E201" i="2"/>
  <c r="F201" i="2" s="1" a="1"/>
  <c r="F201" i="2" s="1"/>
  <c r="E202" i="2"/>
  <c r="F202" i="2" s="1" a="1"/>
  <c r="F202" i="2" s="1"/>
  <c r="E203" i="2"/>
  <c r="F203" i="2" s="1" a="1"/>
  <c r="F203" i="2" s="1"/>
  <c r="E204" i="2"/>
  <c r="E205" i="2"/>
  <c r="F205" i="2" s="1" a="1"/>
  <c r="F205" i="2" s="1"/>
  <c r="E206" i="2"/>
  <c r="E207" i="2"/>
  <c r="E208" i="2"/>
  <c r="E209" i="2"/>
  <c r="E210" i="2"/>
  <c r="E211" i="2"/>
  <c r="E212" i="2"/>
  <c r="E213" i="2"/>
  <c r="F213" i="2" s="1" a="1"/>
  <c r="F213" i="2" s="1"/>
  <c r="E214" i="2"/>
  <c r="E215" i="2"/>
  <c r="E216" i="2"/>
  <c r="E217" i="2"/>
  <c r="F217" i="2" s="1" a="1"/>
  <c r="F217" i="2" s="1"/>
  <c r="E218" i="2"/>
  <c r="E219" i="2"/>
  <c r="E220" i="2"/>
  <c r="E221" i="2"/>
  <c r="E222" i="2"/>
  <c r="E223" i="2"/>
  <c r="E224" i="2"/>
  <c r="E225" i="2"/>
  <c r="E226" i="2"/>
  <c r="F226" i="2" s="1" a="1"/>
  <c r="F226" i="2" s="1"/>
  <c r="E227" i="2"/>
  <c r="F227" i="2" s="1" a="1"/>
  <c r="F227" i="2" s="1"/>
  <c r="E228" i="2"/>
  <c r="F228" i="2" s="1" a="1"/>
  <c r="F228" i="2" s="1"/>
  <c r="E229" i="2"/>
  <c r="F229" i="2" s="1" a="1"/>
  <c r="F229" i="2" s="1"/>
  <c r="E230" i="2"/>
  <c r="E231" i="2"/>
  <c r="E232" i="2"/>
  <c r="E233" i="2"/>
  <c r="E234" i="2"/>
  <c r="E235" i="2"/>
  <c r="E236" i="2"/>
  <c r="E237" i="2"/>
  <c r="E238" i="2"/>
  <c r="F238" i="2" s="1" a="1"/>
  <c r="F238" i="2" s="1"/>
  <c r="E239" i="2"/>
  <c r="F239" i="2" s="1" a="1"/>
  <c r="F239" i="2" s="1"/>
  <c r="E240" i="2"/>
  <c r="F240" i="2" s="1" a="1"/>
  <c r="F240" i="2" s="1"/>
  <c r="E241" i="2"/>
  <c r="F241" i="2" s="1" a="1"/>
  <c r="F241" i="2" s="1"/>
  <c r="E242" i="2"/>
  <c r="E243" i="2"/>
  <c r="E244" i="2"/>
  <c r="E245" i="2"/>
  <c r="E246" i="2"/>
  <c r="E247" i="2"/>
  <c r="E248" i="2"/>
  <c r="E249" i="2"/>
  <c r="E250" i="2"/>
  <c r="E251" i="2"/>
  <c r="F251" i="2" s="1" a="1"/>
  <c r="F251" i="2" s="1"/>
  <c r="E252" i="2"/>
  <c r="F252" i="2" s="1" a="1"/>
  <c r="F252" i="2" s="1"/>
  <c r="E253" i="2"/>
  <c r="F253" i="2" s="1" a="1"/>
  <c r="F253" i="2" s="1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F275" i="2" s="1" a="1"/>
  <c r="F275" i="2" s="1"/>
  <c r="E276" i="2"/>
  <c r="F276" i="2" s="1" a="1"/>
  <c r="F276" i="2" s="1"/>
  <c r="E277" i="2"/>
  <c r="F277" i="2" s="1" a="1"/>
  <c r="F277" i="2" s="1"/>
  <c r="E278" i="2"/>
  <c r="E279" i="2"/>
  <c r="E280" i="2"/>
  <c r="E281" i="2"/>
  <c r="E282" i="2"/>
  <c r="E283" i="2"/>
  <c r="E284" i="2"/>
  <c r="E285" i="2"/>
  <c r="E286" i="2"/>
  <c r="E287" i="2"/>
  <c r="F287" i="2" s="1" a="1"/>
  <c r="F287" i="2" s="1"/>
  <c r="E288" i="2"/>
  <c r="F288" i="2" s="1" a="1"/>
  <c r="F288" i="2" s="1"/>
  <c r="E289" i="2"/>
  <c r="F289" i="2" s="1" a="1"/>
  <c r="F289" i="2" s="1"/>
  <c r="E290" i="2"/>
  <c r="E291" i="2"/>
  <c r="E292" i="2"/>
  <c r="E293" i="2"/>
  <c r="E294" i="2"/>
  <c r="E295" i="2"/>
  <c r="E296" i="2"/>
  <c r="E297" i="2"/>
  <c r="E298" i="2"/>
  <c r="E299" i="2"/>
  <c r="F299" i="2" s="1" a="1"/>
  <c r="F299" i="2" s="1"/>
  <c r="E300" i="2"/>
  <c r="F300" i="2" s="1" a="1"/>
  <c r="F300" i="2" s="1"/>
  <c r="E301" i="2"/>
  <c r="F301" i="2" s="1" a="1"/>
  <c r="F301" i="2" s="1"/>
  <c r="E302" i="2"/>
  <c r="E303" i="2"/>
  <c r="E304" i="2"/>
  <c r="E305" i="2"/>
  <c r="E306" i="2"/>
  <c r="E307" i="2"/>
  <c r="E308" i="2"/>
  <c r="E309" i="2"/>
  <c r="E310" i="2"/>
  <c r="E311" i="2"/>
  <c r="E312" i="2"/>
  <c r="E313" i="2"/>
  <c r="F313" i="2" s="1" a="1"/>
  <c r="F313" i="2" s="1"/>
  <c r="E314" i="2"/>
  <c r="E315" i="2"/>
  <c r="E316" i="2"/>
  <c r="E317" i="2"/>
  <c r="E318" i="2"/>
  <c r="E319" i="2"/>
  <c r="E320" i="2"/>
  <c r="E321" i="2"/>
  <c r="E322" i="2"/>
  <c r="E323" i="2"/>
  <c r="E324" i="2"/>
  <c r="F324" i="2" s="1" a="1"/>
  <c r="F324" i="2" s="1"/>
  <c r="E325" i="2"/>
  <c r="F325" i="2" s="1" a="1"/>
  <c r="F325" i="2" s="1"/>
  <c r="E326" i="2"/>
  <c r="E327" i="2"/>
  <c r="E328" i="2"/>
  <c r="E329" i="2"/>
  <c r="E330" i="2"/>
  <c r="E331" i="2"/>
  <c r="E332" i="2"/>
  <c r="E333" i="2"/>
  <c r="E334" i="2"/>
  <c r="E335" i="2"/>
  <c r="E336" i="2"/>
  <c r="E337" i="2"/>
  <c r="F337" i="2" s="1" a="1"/>
  <c r="F337" i="2" s="1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2" i="2"/>
  <c r="G323" i="8" a="1"/>
  <c r="H299" i="8" a="1"/>
  <c r="E68" i="8" a="1"/>
  <c r="K266" i="8" a="1"/>
  <c r="G134" i="8" a="1"/>
  <c r="E35" i="8" a="1"/>
  <c r="N294" i="8" a="1"/>
  <c r="N261" i="8" a="1"/>
  <c r="J257" i="8" a="1"/>
  <c r="I365" i="8" a="1"/>
  <c r="F333" i="8" a="1"/>
  <c r="M200" i="8" a="1"/>
  <c r="F224" i="8" a="1"/>
  <c r="M574" i="8" a="1"/>
  <c r="F492" i="8" a="1"/>
  <c r="F488" i="8" a="1"/>
  <c r="J529" i="8" a="1"/>
  <c r="J557" i="8" a="1"/>
  <c r="E458" i="8" a="1"/>
  <c r="I425" i="8" a="1"/>
  <c r="L459" i="8" a="1"/>
  <c r="H466" i="8" a="1"/>
  <c r="F628" i="8" a="1"/>
  <c r="M489" i="8" a="1"/>
  <c r="L431" i="8" a="1"/>
  <c r="L470" i="8" a="1"/>
  <c r="H569" i="8" a="1"/>
  <c r="J491" i="8" a="1"/>
  <c r="O635" i="8" a="1"/>
  <c r="G536" i="8" a="1"/>
  <c r="L465" i="8" a="1"/>
  <c r="F525" i="8" a="1"/>
  <c r="G620" i="8" a="1"/>
  <c r="O463" i="8" a="1"/>
  <c r="L497" i="8" a="1"/>
  <c r="N653" i="8" a="1"/>
  <c r="F558" i="8" a="1"/>
  <c r="M630" i="8" a="1"/>
  <c r="E662" i="8" a="1"/>
  <c r="F565" i="8" a="1"/>
  <c r="J696" i="8" a="1"/>
  <c r="E563" i="8" a="1"/>
  <c r="I597" i="8" a="1"/>
  <c r="H761" i="8" a="1"/>
  <c r="N723" i="8" a="1"/>
  <c r="I734" i="8" a="1"/>
  <c r="M729" i="8" a="1"/>
  <c r="H631" i="8" a="1"/>
  <c r="H657" i="8" a="1"/>
  <c r="L668" i="8" a="1"/>
  <c r="L686" i="8" a="1"/>
  <c r="F728" i="8" a="1"/>
  <c r="K760" i="8" a="1"/>
  <c r="F697" i="8" a="1"/>
  <c r="M695" i="8" a="1"/>
  <c r="O701" i="8" a="1"/>
  <c r="E668" i="8" a="1"/>
  <c r="F720" i="8" a="1"/>
  <c r="M755" i="8" a="1"/>
  <c r="L756" i="8" a="1"/>
  <c r="J772" i="8" a="1"/>
  <c r="G795" i="8" a="1"/>
  <c r="F733" i="8" a="1"/>
  <c r="F752" i="8" a="1"/>
  <c r="N786" i="8" a="1"/>
  <c r="K792" i="8" a="1"/>
  <c r="J914" i="8" a="1"/>
  <c r="N796" i="8" a="1"/>
  <c r="M759" i="8" a="1"/>
  <c r="I800" i="8" a="1"/>
  <c r="G782" i="8" a="1"/>
  <c r="N733" i="8" a="1"/>
  <c r="O796" i="8" a="1"/>
  <c r="G766" i="8" a="1"/>
  <c r="J833" i="8" a="1"/>
  <c r="K848" i="8" a="1"/>
  <c r="K860" i="8" a="1"/>
  <c r="M825" i="8" a="1"/>
  <c r="G1010" i="8" a="1"/>
  <c r="G894" i="8" a="1"/>
  <c r="G882" i="8" a="1"/>
  <c r="H991" i="8" a="1"/>
  <c r="K852" i="8" a="1"/>
  <c r="N861" i="8" a="1"/>
  <c r="O832" i="8" a="1"/>
  <c r="I850" i="8" a="1"/>
  <c r="N893" i="8" a="1"/>
  <c r="N862" i="8" a="1"/>
  <c r="K889" i="8" a="1"/>
  <c r="J939" i="8" a="1"/>
  <c r="G892" i="8" a="1"/>
  <c r="J1022" i="8" a="1"/>
  <c r="F925" i="8" a="1"/>
  <c r="G988" i="8" a="1"/>
  <c r="G936" i="8" a="1"/>
  <c r="H947" i="8" a="1"/>
  <c r="H926" i="8" a="1"/>
  <c r="E933" i="8" a="1"/>
  <c r="F881" i="8" a="1"/>
  <c r="H917" i="8" a="1"/>
  <c r="J877" i="8" a="1"/>
  <c r="M323" i="8" a="1"/>
  <c r="E299" i="8" a="1"/>
  <c r="L68" i="8" a="1"/>
  <c r="J266" i="8" a="1"/>
  <c r="L134" i="8" a="1"/>
  <c r="F294" i="8" a="1"/>
  <c r="F261" i="8" a="1"/>
  <c r="I257" i="8" a="1"/>
  <c r="N365" i="8" a="1"/>
  <c r="J233" i="8" a="1"/>
  <c r="L333" i="8" a="1"/>
  <c r="E200" i="8" a="1"/>
  <c r="K233" i="8" a="1"/>
  <c r="L574" i="8" a="1"/>
  <c r="M488" i="8" a="1"/>
  <c r="I529" i="8" a="1"/>
  <c r="K458" i="8" a="1"/>
  <c r="F425" i="8" a="1"/>
  <c r="O459" i="8" a="1"/>
  <c r="E466" i="8" a="1"/>
  <c r="K628" i="8" a="1"/>
  <c r="E489" i="8" a="1"/>
  <c r="I508" i="8" a="1"/>
  <c r="K431" i="8" a="1"/>
  <c r="K470" i="8" a="1"/>
  <c r="L569" i="8" a="1"/>
  <c r="I491" i="8" a="1"/>
  <c r="E635" i="8" a="1"/>
  <c r="L508" i="8" a="1"/>
  <c r="N536" i="8" a="1"/>
  <c r="K465" i="8" a="1"/>
  <c r="K525" i="8" a="1"/>
  <c r="O620" i="8" a="1"/>
  <c r="G463" i="8" a="1"/>
  <c r="J497" i="8" a="1"/>
  <c r="N524" i="8" a="1"/>
  <c r="F653" i="8" a="1"/>
  <c r="K562" i="8" a="1"/>
  <c r="L630" i="8" a="1"/>
  <c r="L662" i="8" a="1"/>
  <c r="N607" i="8" a="1"/>
  <c r="I696" i="8" a="1"/>
  <c r="O563" i="8" a="1"/>
  <c r="G563" i="8" a="1"/>
  <c r="H597" i="8" a="1"/>
  <c r="I623" i="8" a="1"/>
  <c r="J598" i="8" a="1"/>
  <c r="G761" i="8" a="1"/>
  <c r="F723" i="8" a="1"/>
  <c r="H734" i="8" a="1"/>
  <c r="E729" i="8" a="1"/>
  <c r="I595" i="8" a="1"/>
  <c r="J640" i="8" a="1"/>
  <c r="O657" i="8" a="1"/>
  <c r="N673" i="8" a="1"/>
  <c r="J686" i="8" a="1"/>
  <c r="E728" i="8" a="1"/>
  <c r="J760" i="8" a="1"/>
  <c r="M697" i="8" a="1"/>
  <c r="E695" i="8" a="1"/>
  <c r="G701" i="8" a="1"/>
  <c r="N689" i="8" a="1"/>
  <c r="E720" i="8" a="1"/>
  <c r="I755" i="8" a="1"/>
  <c r="G772" i="8" a="1"/>
  <c r="F795" i="8" a="1"/>
  <c r="K752" i="8" a="1"/>
  <c r="J786" i="8" a="1"/>
  <c r="J792" i="8" a="1"/>
  <c r="H914" i="8" a="1"/>
  <c r="K796" i="8" a="1"/>
  <c r="E759" i="8" a="1"/>
  <c r="M800" i="8" a="1"/>
  <c r="E800" i="8" a="1"/>
  <c r="K819" i="8" a="1"/>
  <c r="O766" i="8" a="1"/>
  <c r="I833" i="8" a="1"/>
  <c r="I848" i="8" a="1"/>
  <c r="J860" i="8" a="1"/>
  <c r="L825" i="8" a="1"/>
  <c r="I916" i="8" a="1"/>
  <c r="F1010" i="8" a="1"/>
  <c r="E894" i="8" a="1"/>
  <c r="E882" i="8" a="1"/>
  <c r="O991" i="8" a="1"/>
  <c r="I852" i="8" a="1"/>
  <c r="G832" i="8" a="1"/>
  <c r="G850" i="8" a="1"/>
  <c r="F862" i="8" a="1"/>
  <c r="H889" i="8" a="1"/>
  <c r="H939" i="8" a="1"/>
  <c r="F892" i="8" a="1"/>
  <c r="O1022" i="8" a="1"/>
  <c r="J943" i="8" a="1"/>
  <c r="E988" i="8" a="1"/>
  <c r="N936" i="8" a="1"/>
  <c r="N926" i="8" a="1"/>
  <c r="E323" i="8" a="1"/>
  <c r="K68" i="8" a="1"/>
  <c r="I266" i="8" a="1"/>
  <c r="K294" i="8" a="1"/>
  <c r="M261" i="8" a="1"/>
  <c r="H257" i="8" a="1"/>
  <c r="F365" i="8" a="1"/>
  <c r="H233" i="8" a="1"/>
  <c r="G333" i="8" a="1"/>
  <c r="L200" i="8" a="1"/>
  <c r="E224" i="8" a="1"/>
  <c r="K574" i="8" a="1"/>
  <c r="E488" i="8" a="1"/>
  <c r="H529" i="8" a="1"/>
  <c r="J458" i="8" a="1"/>
  <c r="N459" i="8" a="1"/>
  <c r="E628" i="8" a="1"/>
  <c r="L489" i="8" a="1"/>
  <c r="H508" i="8" a="1"/>
  <c r="O431" i="8" a="1"/>
  <c r="I470" i="8" a="1"/>
  <c r="M491" i="8" a="1"/>
  <c r="N635" i="8" a="1"/>
  <c r="F536" i="8" a="1"/>
  <c r="L555" i="8" a="1"/>
  <c r="J525" i="8" a="1"/>
  <c r="N620" i="8" a="1"/>
  <c r="N463" i="8" a="1"/>
  <c r="E653" i="8" a="1"/>
  <c r="H562" i="8" a="1"/>
  <c r="I630" i="8" a="1"/>
  <c r="F607" i="8" a="1"/>
  <c r="M563" i="8" a="1"/>
  <c r="L590" i="8" a="1"/>
  <c r="O597" i="8" a="1"/>
  <c r="M663" i="8" a="1"/>
  <c r="O761" i="8" a="1"/>
  <c r="L723" i="8" a="1"/>
  <c r="E734" i="8" a="1"/>
  <c r="K729" i="8" a="1"/>
  <c r="J631" i="8" a="1"/>
  <c r="F631" i="8" a="1"/>
  <c r="M657" i="8" a="1"/>
  <c r="F673" i="8" a="1"/>
  <c r="H739" i="8" a="1"/>
  <c r="G760" i="8" a="1"/>
  <c r="H664" i="8" a="1"/>
  <c r="E697" i="8" a="1"/>
  <c r="L695" i="8" a="1"/>
  <c r="L701" i="8" a="1"/>
  <c r="F689" i="8" a="1"/>
  <c r="I727" i="8" a="1"/>
  <c r="E755" i="8" a="1"/>
  <c r="I749" i="8" a="1"/>
  <c r="I786" i="8" a="1"/>
  <c r="O792" i="8" a="1"/>
  <c r="N914" i="8" a="1"/>
  <c r="J796" i="8" a="1"/>
  <c r="L759" i="8" a="1"/>
  <c r="L800" i="8" a="1"/>
  <c r="L752" i="8" a="1"/>
  <c r="H910" i="8" a="1"/>
  <c r="G819" i="8" a="1"/>
  <c r="F756" i="8" a="1"/>
  <c r="F766" i="8" a="1"/>
  <c r="J804" i="8" a="1"/>
  <c r="H833" i="8" a="1"/>
  <c r="O848" i="8" a="1"/>
  <c r="F860" i="8" a="1"/>
  <c r="K825" i="8" a="1"/>
  <c r="H916" i="8" a="1"/>
  <c r="M805" i="8" a="1"/>
  <c r="O894" i="8" a="1"/>
  <c r="O928" i="8" a="1"/>
  <c r="G991" i="8" a="1"/>
  <c r="H903" i="8" a="1"/>
  <c r="J852" i="8" a="1"/>
  <c r="M832" i="8" a="1"/>
  <c r="K789" i="8" a="1"/>
  <c r="E850" i="8" a="1"/>
  <c r="F804" i="8" a="1"/>
  <c r="M862" i="8" a="1"/>
  <c r="G889" i="8" a="1"/>
  <c r="M939" i="8" a="1"/>
  <c r="E892" i="8" a="1"/>
  <c r="G1022" i="8" a="1"/>
  <c r="H943" i="8" a="1"/>
  <c r="N988" i="8" a="1"/>
  <c r="F936" i="8" a="1"/>
  <c r="F926" i="8" a="1"/>
  <c r="K965" i="8" a="1"/>
  <c r="E881" i="8" a="1"/>
  <c r="F937" i="8" a="1"/>
  <c r="F970" i="8" a="1"/>
  <c r="K915" i="8" a="1"/>
  <c r="I920" i="8" a="1"/>
  <c r="G883" i="8" a="1"/>
  <c r="J929" i="8" a="1"/>
  <c r="N960" i="8" a="1"/>
  <c r="L966" i="8" a="1"/>
  <c r="H961" i="8" a="1"/>
  <c r="G950" i="8" a="1"/>
  <c r="I985" i="8" a="1"/>
  <c r="E967" i="8" a="1"/>
  <c r="L898" i="8" a="1"/>
  <c r="N998" i="8" a="1"/>
  <c r="L1017" i="8" a="1"/>
  <c r="K950" i="8" a="1"/>
  <c r="I957" i="8" a="1"/>
  <c r="E1032" i="8" a="1"/>
  <c r="M959" i="8" a="1"/>
  <c r="G1066" i="8" a="1"/>
  <c r="F999" i="8" a="1"/>
  <c r="K323" i="8" a="1"/>
  <c r="J68" i="8" a="1"/>
  <c r="H266" i="8" a="1"/>
  <c r="J356" i="8" a="1"/>
  <c r="H294" i="8" a="1"/>
  <c r="E261" i="8" a="1"/>
  <c r="I261" i="8" a="1"/>
  <c r="H332" i="8" a="1"/>
  <c r="M365" i="8" a="1"/>
  <c r="O233" i="8" a="1"/>
  <c r="E333" i="8" a="1"/>
  <c r="K200" i="8" a="1"/>
  <c r="H574" i="8" a="1"/>
  <c r="O488" i="8" a="1"/>
  <c r="O529" i="8" a="1"/>
  <c r="L458" i="8" a="1"/>
  <c r="K459" i="8" a="1"/>
  <c r="M628" i="8" a="1"/>
  <c r="H489" i="8" a="1"/>
  <c r="L588" i="8" a="1"/>
  <c r="M508" i="8" a="1"/>
  <c r="G431" i="8" a="1"/>
  <c r="H470" i="8" a="1"/>
  <c r="E491" i="8" a="1"/>
  <c r="K635" i="8" a="1"/>
  <c r="K536" i="8" a="1"/>
  <c r="J555" i="8" a="1"/>
  <c r="G491" i="8" a="1"/>
  <c r="E525" i="8" a="1"/>
  <c r="M620" i="8" a="1"/>
  <c r="F463" i="8" a="1"/>
  <c r="J532" i="8" a="1"/>
  <c r="O653" i="8" a="1"/>
  <c r="G562" i="8" a="1"/>
  <c r="O630" i="8" a="1"/>
  <c r="M607" i="8" a="1"/>
  <c r="J563" i="8" a="1"/>
  <c r="I590" i="8" a="1"/>
  <c r="N597" i="8" a="1"/>
  <c r="E663" i="8" a="1"/>
  <c r="L623" i="8" a="1"/>
  <c r="E761" i="8" a="1"/>
  <c r="K723" i="8" a="1"/>
  <c r="G734" i="8" a="1"/>
  <c r="J729" i="8" a="1"/>
  <c r="K631" i="8" a="1"/>
  <c r="J623" i="8" a="1"/>
  <c r="O654" i="8" a="1"/>
  <c r="L657" i="8" a="1"/>
  <c r="M673" i="8" a="1"/>
  <c r="O739" i="8" a="1"/>
  <c r="O760" i="8" a="1"/>
  <c r="O664" i="8" a="1"/>
  <c r="L697" i="8" a="1"/>
  <c r="K695" i="8" a="1"/>
  <c r="K701" i="8" a="1"/>
  <c r="M689" i="8" a="1"/>
  <c r="H727" i="8" a="1"/>
  <c r="H749" i="8" a="1"/>
  <c r="I788" i="8" a="1"/>
  <c r="G792" i="8" a="1"/>
  <c r="F914" i="8" a="1"/>
  <c r="G796" i="8" a="1"/>
  <c r="H800" i="8" a="1"/>
  <c r="K756" i="8" a="1"/>
  <c r="N910" i="8" a="1"/>
  <c r="O819" i="8" a="1"/>
  <c r="G759" i="8" a="1"/>
  <c r="M766" i="8" a="1"/>
  <c r="J805" i="8" a="1"/>
  <c r="G833" i="8" a="1"/>
  <c r="G848" i="8" a="1"/>
  <c r="N860" i="8" a="1"/>
  <c r="I825" i="8" a="1"/>
  <c r="O916" i="8" a="1"/>
  <c r="L829" i="8" a="1"/>
  <c r="M894" i="8" a="1"/>
  <c r="G928" i="8" a="1"/>
  <c r="M991" i="8" a="1"/>
  <c r="M903" i="8" a="1"/>
  <c r="I789" i="8" a="1"/>
  <c r="G852" i="8" a="1"/>
  <c r="I832" i="8" a="1"/>
  <c r="E805" i="8" a="1"/>
  <c r="G805" i="8" a="1"/>
  <c r="G804" i="8" a="1"/>
  <c r="E862" i="8" a="1"/>
  <c r="F889" i="8" a="1"/>
  <c r="E939" i="8" a="1"/>
  <c r="N892" i="8" a="1"/>
  <c r="E1022" i="8" a="1"/>
  <c r="G943" i="8" a="1"/>
  <c r="J988" i="8" a="1"/>
  <c r="M871" i="8" a="1"/>
  <c r="M936" i="8" a="1"/>
  <c r="M926" i="8" a="1"/>
  <c r="J965" i="8" a="1"/>
  <c r="M881" i="8" a="1"/>
  <c r="M937" i="8" a="1"/>
  <c r="I885" i="8" a="1"/>
  <c r="J885" i="8" a="1"/>
  <c r="J915" i="8" a="1"/>
  <c r="O920" i="8" a="1"/>
  <c r="J871" i="8" a="1"/>
  <c r="I929" i="8" a="1"/>
  <c r="F960" i="8" a="1"/>
  <c r="K966" i="8" a="1"/>
  <c r="E961" i="8" a="1"/>
  <c r="O950" i="8" a="1"/>
  <c r="H985" i="8" a="1"/>
  <c r="O967" i="8" a="1"/>
  <c r="F998" i="8" a="1"/>
  <c r="J1017" i="8" a="1"/>
  <c r="J961" i="8" a="1"/>
  <c r="H957" i="8" a="1"/>
  <c r="L1032" i="8" a="1"/>
  <c r="L959" i="8" a="1"/>
  <c r="F1066" i="8" a="1"/>
  <c r="M999" i="8" a="1"/>
  <c r="N323" i="8" a="1"/>
  <c r="I68" i="8" a="1"/>
  <c r="O266" i="8" a="1"/>
  <c r="N356" i="8" a="1"/>
  <c r="G294" i="8" a="1"/>
  <c r="L261" i="8" a="1"/>
  <c r="M332" i="8" a="1"/>
  <c r="E365" i="8" a="1"/>
  <c r="G233" i="8" a="1"/>
  <c r="O333" i="8" a="1"/>
  <c r="M167" i="8" a="1"/>
  <c r="J200" i="8" a="1"/>
  <c r="G574" i="8" a="1"/>
  <c r="J290" i="8" a="1"/>
  <c r="K366" i="8" a="1"/>
  <c r="L488" i="8" a="1"/>
  <c r="M529" i="8" a="1"/>
  <c r="I458" i="8" a="1"/>
  <c r="H459" i="8" a="1"/>
  <c r="N591" i="8" a="1"/>
  <c r="J628" i="8" a="1"/>
  <c r="O489" i="8" a="1"/>
  <c r="J588" i="8" a="1"/>
  <c r="E508" i="8" a="1"/>
  <c r="N431" i="8" a="1"/>
  <c r="F508" i="8" a="1"/>
  <c r="L491" i="8" a="1"/>
  <c r="I635" i="8" a="1"/>
  <c r="M536" i="8" a="1"/>
  <c r="H555" i="8" a="1"/>
  <c r="L541" i="8" a="1"/>
  <c r="L620" i="8" a="1"/>
  <c r="M653" i="8" a="1"/>
  <c r="F562" i="8" a="1"/>
  <c r="J630" i="8" a="1"/>
  <c r="E607" i="8" a="1"/>
  <c r="J524" i="8" a="1"/>
  <c r="O590" i="8" a="1"/>
  <c r="G597" i="8" a="1"/>
  <c r="L663" i="8" a="1"/>
  <c r="L761" i="8" a="1"/>
  <c r="J723" i="8" a="1"/>
  <c r="L640" i="8" a="1"/>
  <c r="I729" i="8" a="1"/>
  <c r="I631" i="8" a="1"/>
  <c r="G623" i="8" a="1"/>
  <c r="G654" i="8" a="1"/>
  <c r="J657" i="8" a="1"/>
  <c r="E673" i="8" a="1"/>
  <c r="G739" i="8" a="1"/>
  <c r="N760" i="8" a="1"/>
  <c r="G664" i="8" a="1"/>
  <c r="J695" i="8" a="1"/>
  <c r="J701" i="8" a="1"/>
  <c r="E689" i="8" a="1"/>
  <c r="N727" i="8" a="1"/>
  <c r="O749" i="8" a="1"/>
  <c r="H788" i="8" a="1"/>
  <c r="N792" i="8" a="1"/>
  <c r="M914" i="8" a="1"/>
  <c r="F796" i="8" a="1"/>
  <c r="I828" i="8" a="1"/>
  <c r="J756" i="8" a="1"/>
  <c r="F910" i="8" a="1"/>
  <c r="N751" i="8" a="1"/>
  <c r="N819" i="8" a="1"/>
  <c r="L766" i="8" a="1"/>
  <c r="J822" i="8" a="1"/>
  <c r="E833" i="8" a="1"/>
  <c r="F848" i="8" a="1"/>
  <c r="N865" i="8" a="1"/>
  <c r="H825" i="8" a="1"/>
  <c r="G916" i="8" a="1"/>
  <c r="H829" i="8" a="1"/>
  <c r="K894" i="8" a="1"/>
  <c r="N928" i="8" a="1"/>
  <c r="L991" i="8" a="1"/>
  <c r="L903" i="8" a="1"/>
  <c r="F852" i="8" a="1"/>
  <c r="O829" i="8" a="1"/>
  <c r="H832" i="8" a="1"/>
  <c r="H805" i="8" a="1"/>
  <c r="L862" i="8" a="1"/>
  <c r="I939" i="8" a="1"/>
  <c r="L892" i="8" a="1"/>
  <c r="N1022" i="8" a="1"/>
  <c r="O943" i="8" a="1"/>
  <c r="I988" i="8" a="1"/>
  <c r="E871" i="8" a="1"/>
  <c r="E936" i="8" a="1"/>
  <c r="E926" i="8" a="1"/>
  <c r="G965" i="8" a="1"/>
  <c r="H885" i="8" a="1"/>
  <c r="E937" i="8" a="1"/>
  <c r="M892" i="8" a="1"/>
  <c r="I904" i="8" a="1"/>
  <c r="I915" i="8" a="1"/>
  <c r="G920" i="8" a="1"/>
  <c r="L881" i="8" a="1"/>
  <c r="L929" i="8" a="1"/>
  <c r="J960" i="8" a="1"/>
  <c r="J966" i="8" a="1"/>
  <c r="J997" i="8" a="1"/>
  <c r="N950" i="8" a="1"/>
  <c r="M985" i="8" a="1"/>
  <c r="L967" i="8" a="1"/>
  <c r="M998" i="8" a="1"/>
  <c r="I1017" i="8" a="1"/>
  <c r="G967" i="8" a="1"/>
  <c r="G957" i="8" a="1"/>
  <c r="K1032" i="8" a="1"/>
  <c r="K959" i="8" a="1"/>
  <c r="E999" i="8" a="1"/>
  <c r="O954" i="8" a="1"/>
  <c r="L323" i="8" a="1"/>
  <c r="G266" i="8" a="1"/>
  <c r="I356" i="8" a="1"/>
  <c r="O291" i="8" a="1"/>
  <c r="E294" i="8" a="1"/>
  <c r="K261" i="8" a="1"/>
  <c r="H200" i="8" a="1"/>
  <c r="E332" i="8" a="1"/>
  <c r="L365" i="8" a="1"/>
  <c r="N233" i="8" a="1"/>
  <c r="M333" i="8" a="1"/>
  <c r="E167" i="8" a="1"/>
  <c r="F574" i="8" a="1"/>
  <c r="O366" i="8" a="1"/>
  <c r="H393" i="8" a="1"/>
  <c r="G488" i="8" a="1"/>
  <c r="L529" i="8" a="1"/>
  <c r="G459" i="8" a="1"/>
  <c r="F591" i="8" a="1"/>
  <c r="I628" i="8" a="1"/>
  <c r="G489" i="8" a="1"/>
  <c r="K588" i="8" a="1"/>
  <c r="O508" i="8" a="1"/>
  <c r="F431" i="8" a="1"/>
  <c r="H498" i="8" a="1"/>
  <c r="H635" i="8" a="1"/>
  <c r="L536" i="8" a="1"/>
  <c r="I555" i="8" a="1"/>
  <c r="E465" i="8" a="1"/>
  <c r="K541" i="8" a="1"/>
  <c r="K620" i="8" a="1"/>
  <c r="F465" i="8" a="1"/>
  <c r="K653" i="8" a="1"/>
  <c r="E562" i="8" a="1"/>
  <c r="G630" i="8" a="1"/>
  <c r="L607" i="8" a="1"/>
  <c r="I558" i="8" a="1"/>
  <c r="F532" i="8" a="1"/>
  <c r="G590" i="8" a="1"/>
  <c r="J663" i="8" a="1"/>
  <c r="K761" i="8" a="1"/>
  <c r="I723" i="8" a="1"/>
  <c r="K640" i="8" a="1"/>
  <c r="L729" i="8" a="1"/>
  <c r="G631" i="8" a="1"/>
  <c r="F623" i="8" a="1"/>
  <c r="N654" i="8" a="1"/>
  <c r="I657" i="8" a="1"/>
  <c r="L673" i="8" a="1"/>
  <c r="N739" i="8" a="1"/>
  <c r="I760" i="8" a="1"/>
  <c r="N664" i="8" a="1"/>
  <c r="I695" i="8" a="1"/>
  <c r="I701" i="8" a="1"/>
  <c r="L689" i="8" a="1"/>
  <c r="O726" i="8" a="1"/>
  <c r="F727" i="8" a="1"/>
  <c r="G749" i="8" a="1"/>
  <c r="O827" i="8" a="1"/>
  <c r="M788" i="8" a="1"/>
  <c r="F792" i="8" a="1"/>
  <c r="K914" i="8" a="1"/>
  <c r="M828" i="8" a="1"/>
  <c r="I756" i="8" a="1"/>
  <c r="L910" i="8" a="1"/>
  <c r="F751" i="8" a="1"/>
  <c r="M819" i="8" a="1"/>
  <c r="K766" i="8" a="1"/>
  <c r="J838" i="8" a="1"/>
  <c r="N822" i="8" a="1"/>
  <c r="O833" i="8" a="1"/>
  <c r="E848" i="8" a="1"/>
  <c r="F865" i="8" a="1"/>
  <c r="G825" i="8" a="1"/>
  <c r="M916" i="8" a="1"/>
  <c r="K829" i="8" a="1"/>
  <c r="N804" i="8" a="1"/>
  <c r="F928" i="8" a="1"/>
  <c r="F991" i="8" a="1"/>
  <c r="K903" i="8" a="1"/>
  <c r="H821" i="8" a="1"/>
  <c r="O852" i="8" a="1"/>
  <c r="K837" i="8" a="1"/>
  <c r="E832" i="8" a="1"/>
  <c r="J862" i="8" a="1"/>
  <c r="G939" i="8" a="1"/>
  <c r="H906" i="8" a="1"/>
  <c r="M1022" i="8" a="1"/>
  <c r="E943" i="8" a="1"/>
  <c r="M988" i="8" a="1"/>
  <c r="L871" i="8" a="1"/>
  <c r="N906" i="8" a="1"/>
  <c r="L936" i="8" a="1"/>
  <c r="H892" i="8" a="1"/>
  <c r="L926" i="8" a="1"/>
  <c r="F965" i="8" a="1"/>
  <c r="K937" i="8" a="1"/>
  <c r="O904" i="8" a="1"/>
  <c r="H915" i="8" a="1"/>
  <c r="N920" i="8" a="1"/>
  <c r="I932" i="8" a="1"/>
  <c r="M885" i="8" a="1"/>
  <c r="O929" i="8" a="1"/>
  <c r="I960" i="8" a="1"/>
  <c r="K969" i="8" a="1"/>
  <c r="I997" i="8" a="1"/>
  <c r="N976" i="8" a="1"/>
  <c r="F985" i="8" a="1"/>
  <c r="J967" i="8" a="1"/>
  <c r="H950" i="8" a="1"/>
  <c r="E998" i="8" a="1"/>
  <c r="G1017" i="8" a="1"/>
  <c r="N969" i="8" a="1"/>
  <c r="N982" i="8" a="1"/>
  <c r="H1032" i="8" a="1"/>
  <c r="N992" i="8" a="1"/>
  <c r="O986" i="8" a="1"/>
  <c r="L999" i="8" a="1"/>
  <c r="I101" i="8" a="1"/>
  <c r="J101" i="8" a="1"/>
  <c r="F323" i="8" a="1"/>
  <c r="L35" i="8" a="1"/>
  <c r="N266" i="8" a="1"/>
  <c r="H356" i="8" a="1"/>
  <c r="G291" i="8" a="1"/>
  <c r="O294" i="8" a="1"/>
  <c r="L167" i="8" a="1"/>
  <c r="J261" i="8" a="1"/>
  <c r="L332" i="8" a="1"/>
  <c r="G365" i="8" a="1"/>
  <c r="F233" i="8" a="1"/>
  <c r="I233" i="8" a="1"/>
  <c r="I167" i="8" a="1"/>
  <c r="E574" i="8" a="1"/>
  <c r="G366" i="8" a="1"/>
  <c r="M492" i="8" a="1"/>
  <c r="O393" i="8" a="1"/>
  <c r="G529" i="8" a="1"/>
  <c r="I557" i="8" a="1"/>
  <c r="F459" i="8" a="1"/>
  <c r="M591" i="8" a="1"/>
  <c r="H628" i="8" a="1"/>
  <c r="I588" i="8" a="1"/>
  <c r="N508" i="8" a="1"/>
  <c r="O498" i="8" a="1"/>
  <c r="F635" i="8" a="1"/>
  <c r="J536" i="8" a="1"/>
  <c r="F555" i="8" a="1"/>
  <c r="I541" i="8" a="1"/>
  <c r="F620" i="8" a="1"/>
  <c r="O470" i="8" a="1"/>
  <c r="J653" i="8" a="1"/>
  <c r="O562" i="8" a="1"/>
  <c r="F630" i="8" a="1"/>
  <c r="L562" i="8" a="1"/>
  <c r="K607" i="8" a="1"/>
  <c r="K558" i="8" a="1"/>
  <c r="M590" i="8" a="1"/>
  <c r="O663" i="8" a="1"/>
  <c r="J761" i="8" a="1"/>
  <c r="H723" i="8" a="1"/>
  <c r="I640" i="8" a="1"/>
  <c r="H729" i="8" a="1"/>
  <c r="O631" i="8" a="1"/>
  <c r="N623" i="8" a="1"/>
  <c r="F654" i="8" a="1"/>
  <c r="K673" i="8" a="1"/>
  <c r="F739" i="8" a="1"/>
  <c r="H760" i="8" a="1"/>
  <c r="F664" i="8" a="1"/>
  <c r="H695" i="8" a="1"/>
  <c r="E701" i="8" a="1"/>
  <c r="K689" i="8" a="1"/>
  <c r="G726" i="8" a="1"/>
  <c r="M727" i="8" a="1"/>
  <c r="H686" i="8" a="1"/>
  <c r="M749" i="8" a="1"/>
  <c r="G827" i="8" a="1"/>
  <c r="E788" i="8" a="1"/>
  <c r="L792" i="8" a="1"/>
  <c r="I914" i="8" a="1"/>
  <c r="E828" i="8" a="1"/>
  <c r="J752" i="8" a="1"/>
  <c r="H756" i="8" a="1"/>
  <c r="K910" i="8" a="1"/>
  <c r="M751" i="8" a="1"/>
  <c r="I819" i="8" a="1"/>
  <c r="F772" i="8" a="1"/>
  <c r="N838" i="8" a="1"/>
  <c r="F822" i="8" a="1"/>
  <c r="M833" i="8" a="1"/>
  <c r="N848" i="8" a="1"/>
  <c r="L865" i="8" a="1"/>
  <c r="E825" i="8" a="1"/>
  <c r="E916" i="8" a="1"/>
  <c r="G829" i="8" a="1"/>
  <c r="E829" i="8" a="1"/>
  <c r="M928" i="8" a="1"/>
  <c r="E991" i="8" a="1"/>
  <c r="J903" i="8" a="1"/>
  <c r="L821" i="8" a="1"/>
  <c r="N852" i="8" a="1"/>
  <c r="H852" i="8" a="1"/>
  <c r="O837" i="8" a="1"/>
  <c r="I862" i="8" a="1"/>
  <c r="F939" i="8" a="1"/>
  <c r="H925" i="8" a="1"/>
  <c r="I1022" i="8" a="1"/>
  <c r="N943" i="8" a="1"/>
  <c r="F988" i="8" a="1"/>
  <c r="K871" i="8" a="1"/>
  <c r="F906" i="8" a="1"/>
  <c r="H936" i="8" a="1"/>
  <c r="G926" i="8" a="1"/>
  <c r="N965" i="8" a="1"/>
  <c r="H937" i="8" a="1"/>
  <c r="G904" i="8" a="1"/>
  <c r="E915" i="8" a="1"/>
  <c r="F920" i="8" a="1"/>
  <c r="H932" i="8" a="1"/>
  <c r="N929" i="8" a="1"/>
  <c r="E960" i="8" a="1"/>
  <c r="J969" i="8" a="1"/>
  <c r="H997" i="8" a="1"/>
  <c r="F976" i="8" a="1"/>
  <c r="E985" i="8" a="1"/>
  <c r="I967" i="8" a="1"/>
  <c r="L998" i="8" a="1"/>
  <c r="K1017" i="8" a="1"/>
  <c r="M1026" i="8" a="1"/>
  <c r="N1032" i="8" a="1"/>
  <c r="F992" i="8" a="1"/>
  <c r="G986" i="8" a="1"/>
  <c r="K999" i="8" a="1"/>
  <c r="K954" i="8" a="1"/>
  <c r="H101" i="8" a="1"/>
  <c r="N299" i="8" a="1"/>
  <c r="N35" i="8" a="1"/>
  <c r="F266" i="8" a="1"/>
  <c r="J134" i="8" a="1"/>
  <c r="E356" i="8" a="1"/>
  <c r="K291" i="8" a="1"/>
  <c r="M294" i="8" a="1"/>
  <c r="J332" i="8" a="1"/>
  <c r="O365" i="8" a="1"/>
  <c r="M233" i="8" a="1"/>
  <c r="H167" i="8" a="1"/>
  <c r="J574" i="8" a="1"/>
  <c r="F366" i="8" a="1"/>
  <c r="E492" i="8" a="1"/>
  <c r="G393" i="8" a="1"/>
  <c r="E529" i="8" a="1"/>
  <c r="L398" i="8" a="1"/>
  <c r="O557" i="8" a="1"/>
  <c r="E591" i="8" a="1"/>
  <c r="O628" i="8" a="1"/>
  <c r="H588" i="8" a="1"/>
  <c r="J508" i="8" a="1"/>
  <c r="O569" i="8" a="1"/>
  <c r="G498" i="8" a="1"/>
  <c r="J635" i="8" a="1"/>
  <c r="I536" i="8" a="1"/>
  <c r="O555" i="8" a="1"/>
  <c r="H541" i="8" a="1"/>
  <c r="E620" i="8" a="1"/>
  <c r="H653" i="8" a="1"/>
  <c r="N562" i="8" a="1"/>
  <c r="K662" i="8" a="1"/>
  <c r="K531" i="8" a="1"/>
  <c r="M565" i="8" a="1"/>
  <c r="J607" i="8" a="1"/>
  <c r="H696" i="8" a="1"/>
  <c r="J558" i="8" a="1"/>
  <c r="K590" i="8" a="1"/>
  <c r="G663" i="8" a="1"/>
  <c r="M761" i="8" a="1"/>
  <c r="E723" i="8" a="1"/>
  <c r="G640" i="8" a="1"/>
  <c r="H595" i="8" a="1"/>
  <c r="E631" i="8" a="1"/>
  <c r="E623" i="8" a="1"/>
  <c r="M654" i="8" a="1"/>
  <c r="J673" i="8" a="1"/>
  <c r="L728" i="8" a="1"/>
  <c r="L739" i="8" a="1"/>
  <c r="F760" i="8" a="1"/>
  <c r="M664" i="8" a="1"/>
  <c r="O695" i="8" a="1"/>
  <c r="N701" i="8" a="1"/>
  <c r="J689" i="8" a="1"/>
  <c r="N726" i="8" a="1"/>
  <c r="E727" i="8" a="1"/>
  <c r="E749" i="8" a="1"/>
  <c r="K827" i="8" a="1"/>
  <c r="L788" i="8" a="1"/>
  <c r="I792" i="8" a="1"/>
  <c r="G914" i="8" a="1"/>
  <c r="O828" i="8" a="1"/>
  <c r="M756" i="8" a="1"/>
  <c r="J910" i="8" a="1"/>
  <c r="E751" i="8" a="1"/>
  <c r="F819" i="8" a="1"/>
  <c r="F838" i="8" a="1"/>
  <c r="L822" i="8" a="1"/>
  <c r="L833" i="8" a="1"/>
  <c r="M848" i="8" a="1"/>
  <c r="J865" i="8" a="1"/>
  <c r="K916" i="8" a="1"/>
  <c r="L1010" i="8" a="1"/>
  <c r="F829" i="8" a="1"/>
  <c r="H837" i="8" a="1"/>
  <c r="J882" i="8" a="1"/>
  <c r="E928" i="8" a="1"/>
  <c r="N991" i="8" a="1"/>
  <c r="I903" i="8" a="1"/>
  <c r="O821" i="8" a="1"/>
  <c r="L852" i="8" a="1"/>
  <c r="L861" i="8" a="1"/>
  <c r="F832" i="8" a="1"/>
  <c r="O893" i="8" a="1"/>
  <c r="O859" i="8" a="1"/>
  <c r="G862" i="8" a="1"/>
  <c r="O939" i="8" a="1"/>
  <c r="O925" i="8" a="1"/>
  <c r="H1022" i="8" a="1"/>
  <c r="M943" i="8" a="1"/>
  <c r="I871" i="8" a="1"/>
  <c r="L906" i="8" a="1"/>
  <c r="L947" i="8" a="1"/>
  <c r="L933" i="8" a="1"/>
  <c r="M965" i="8" a="1"/>
  <c r="O937" i="8" a="1"/>
  <c r="J937" i="8" a="1"/>
  <c r="M904" i="8" a="1"/>
  <c r="L917" i="8" a="1"/>
  <c r="M920" i="8" a="1"/>
  <c r="O932" i="8" a="1"/>
  <c r="L915" i="8" a="1"/>
  <c r="M929" i="8" a="1"/>
  <c r="O960" i="8" a="1"/>
  <c r="M969" i="8" a="1"/>
  <c r="O997" i="8" a="1"/>
  <c r="J976" i="8" a="1"/>
  <c r="O985" i="8" a="1"/>
  <c r="H967" i="8" a="1"/>
  <c r="I998" i="8" a="1"/>
  <c r="F1017" i="8" a="1"/>
  <c r="J982" i="8" a="1"/>
  <c r="E1026" i="8" a="1"/>
  <c r="J1032" i="8" a="1"/>
  <c r="M992" i="8" a="1"/>
  <c r="N986" i="8" a="1"/>
  <c r="J999" i="8" a="1"/>
  <c r="E954" i="8" a="1"/>
  <c r="O101" i="8" a="1"/>
  <c r="F299" i="8" a="1"/>
  <c r="K35" i="8" a="1"/>
  <c r="I134" i="8" a="1"/>
  <c r="O356" i="8" a="1"/>
  <c r="M291" i="8" a="1"/>
  <c r="L294" i="8" a="1"/>
  <c r="O332" i="8" a="1"/>
  <c r="K365" i="8" a="1"/>
  <c r="E233" i="8" a="1"/>
  <c r="O167" i="8" a="1"/>
  <c r="L224" i="8" a="1"/>
  <c r="E366" i="8" a="1"/>
  <c r="L492" i="8" a="1"/>
  <c r="E290" i="8" a="1"/>
  <c r="L393" i="8" a="1"/>
  <c r="K398" i="8" a="1"/>
  <c r="G557" i="8" a="1"/>
  <c r="M425" i="8" a="1"/>
  <c r="L466" i="8" a="1"/>
  <c r="L591" i="8" a="1"/>
  <c r="L628" i="8" a="1"/>
  <c r="G588" i="8" a="1"/>
  <c r="G508" i="8" a="1"/>
  <c r="G569" i="8" a="1"/>
  <c r="L498" i="8" a="1"/>
  <c r="M635" i="8" a="1"/>
  <c r="H536" i="8" a="1"/>
  <c r="E555" i="8" a="1"/>
  <c r="H491" i="8" a="1"/>
  <c r="O541" i="8" a="1"/>
  <c r="I620" i="8" a="1"/>
  <c r="G653" i="8" a="1"/>
  <c r="M562" i="8" a="1"/>
  <c r="J662" i="8" a="1"/>
  <c r="H531" i="8" a="1"/>
  <c r="E565" i="8" a="1"/>
  <c r="I607" i="8" a="1"/>
  <c r="O696" i="8" a="1"/>
  <c r="G558" i="8" a="1"/>
  <c r="J590" i="8" a="1"/>
  <c r="N663" i="8" a="1"/>
  <c r="I761" i="8" a="1"/>
  <c r="M723" i="8" a="1"/>
  <c r="F640" i="8" a="1"/>
  <c r="O595" i="8" a="1"/>
  <c r="N631" i="8" a="1"/>
  <c r="M623" i="8" a="1"/>
  <c r="E654" i="8" a="1"/>
  <c r="I673" i="8" a="1"/>
  <c r="K728" i="8" a="1"/>
  <c r="K739" i="8" a="1"/>
  <c r="E664" i="8" a="1"/>
  <c r="G695" i="8" a="1"/>
  <c r="I689" i="8" a="1"/>
  <c r="F726" i="8" a="1"/>
  <c r="N695" i="8" a="1"/>
  <c r="L727" i="8" a="1"/>
  <c r="H755" i="8" a="1"/>
  <c r="I733" i="8" a="1"/>
  <c r="K795" i="8" a="1"/>
  <c r="L749" i="8" a="1"/>
  <c r="H827" i="8" a="1"/>
  <c r="O788" i="8" a="1"/>
  <c r="H792" i="8" a="1"/>
  <c r="O914" i="8" a="1"/>
  <c r="N828" i="8" a="1"/>
  <c r="M786" i="8" a="1"/>
  <c r="E756" i="8" a="1"/>
  <c r="I910" i="8" a="1"/>
  <c r="L751" i="8" a="1"/>
  <c r="E819" i="8" a="1"/>
  <c r="G751" i="8" a="1"/>
  <c r="O838" i="8" a="1"/>
  <c r="K822" i="8" a="1"/>
  <c r="H862" i="8" a="1"/>
  <c r="L848" i="8" a="1"/>
  <c r="H865" i="8" a="1"/>
  <c r="L916" i="8" a="1"/>
  <c r="I1010" i="8" a="1"/>
  <c r="N829" i="8" a="1"/>
  <c r="L837" i="8" a="1"/>
  <c r="H882" i="8" a="1"/>
  <c r="K928" i="8" a="1"/>
  <c r="E903" i="8" a="1"/>
  <c r="E821" i="8" a="1"/>
  <c r="J861" i="8" a="1"/>
  <c r="G893" i="8" a="1"/>
  <c r="G859" i="8" a="1"/>
  <c r="O862" i="8" a="1"/>
  <c r="N939" i="8" a="1"/>
  <c r="G925" i="8" a="1"/>
  <c r="L1022" i="8" a="1"/>
  <c r="L943" i="8" a="1"/>
  <c r="K885" i="8" a="1"/>
  <c r="J906" i="8" a="1"/>
  <c r="M947" i="8" a="1"/>
  <c r="G947" i="8" a="1"/>
  <c r="K933" i="8" a="1"/>
  <c r="O965" i="8" a="1"/>
  <c r="L937" i="8" a="1"/>
  <c r="O970" i="8" a="1"/>
  <c r="E904" i="8" a="1"/>
  <c r="K917" i="8" a="1"/>
  <c r="E920" i="8" a="1"/>
  <c r="G932" i="8" a="1"/>
  <c r="K929" i="8" a="1"/>
  <c r="M960" i="8" a="1"/>
  <c r="L969" i="8" a="1"/>
  <c r="G997" i="8" a="1"/>
  <c r="I976" i="8" a="1"/>
  <c r="H955" i="8" a="1"/>
  <c r="M982" i="8" a="1"/>
  <c r="H998" i="8" a="1"/>
  <c r="N985" i="8" a="1"/>
  <c r="L1026" i="8" a="1"/>
  <c r="I1032" i="8" a="1"/>
  <c r="E992" i="8" a="1"/>
  <c r="F986" i="8" a="1"/>
  <c r="I1018" i="8" a="1"/>
  <c r="N954" i="8" a="1"/>
  <c r="G101" i="8" a="1"/>
  <c r="K299" i="8" a="1"/>
  <c r="J35" i="8" a="1"/>
  <c r="N134" i="8" a="1"/>
  <c r="M356" i="8" a="1"/>
  <c r="L291" i="8" a="1"/>
  <c r="J294" i="8" a="1"/>
  <c r="N332" i="8" a="1"/>
  <c r="H365" i="8" a="1"/>
  <c r="L233" i="8" a="1"/>
  <c r="G167" i="8" a="1"/>
  <c r="K224" i="8" a="1"/>
  <c r="H290" i="8" a="1"/>
  <c r="N366" i="8" a="1"/>
  <c r="K492" i="8" a="1"/>
  <c r="O290" i="8" a="1"/>
  <c r="K393" i="8" a="1"/>
  <c r="I398" i="8" a="1"/>
  <c r="M557" i="8" a="1"/>
  <c r="E425" i="8" a="1"/>
  <c r="K466" i="8" a="1"/>
  <c r="K591" i="8" a="1"/>
  <c r="G628" i="8" a="1"/>
  <c r="F588" i="8" a="1"/>
  <c r="N569" i="8" a="1"/>
  <c r="E498" i="8" a="1"/>
  <c r="G635" i="8" a="1"/>
  <c r="N555" i="8" a="1"/>
  <c r="G541" i="8" a="1"/>
  <c r="H620" i="8" a="1"/>
  <c r="I662" i="8" a="1"/>
  <c r="O531" i="8" a="1"/>
  <c r="L565" i="8" a="1"/>
  <c r="O607" i="8" a="1"/>
  <c r="G696" i="8" a="1"/>
  <c r="O558" i="8" a="1"/>
  <c r="H590" i="8" a="1"/>
  <c r="K663" i="8" a="1"/>
  <c r="K734" i="8" a="1"/>
  <c r="H598" i="8" a="1"/>
  <c r="O640" i="8" a="1"/>
  <c r="G595" i="8" a="1"/>
  <c r="M631" i="8" a="1"/>
  <c r="H640" i="8" a="1"/>
  <c r="L654" i="8" a="1"/>
  <c r="H673" i="8" a="1"/>
  <c r="O728" i="8" a="1"/>
  <c r="J739" i="8" a="1"/>
  <c r="K664" i="8" a="1"/>
  <c r="H689" i="8" a="1"/>
  <c r="J726" i="8" a="1"/>
  <c r="M701" i="8" a="1"/>
  <c r="O727" i="8" a="1"/>
  <c r="L720" i="8" a="1"/>
  <c r="O755" i="8" a="1"/>
  <c r="I772" i="8" a="1"/>
  <c r="H733" i="8" a="1"/>
  <c r="H795" i="8" a="1"/>
  <c r="K749" i="8" a="1"/>
  <c r="N827" i="8" a="1"/>
  <c r="N788" i="8" a="1"/>
  <c r="E792" i="8" a="1"/>
  <c r="E914" i="8" a="1"/>
  <c r="F786" i="8" a="1"/>
  <c r="L828" i="8" a="1"/>
  <c r="J782" i="8" a="1"/>
  <c r="G910" i="8" a="1"/>
  <c r="J751" i="8" a="1"/>
  <c r="L819" i="8" a="1"/>
  <c r="E782" i="8" a="1"/>
  <c r="M838" i="8" a="1"/>
  <c r="I822" i="8" a="1"/>
  <c r="J848" i="8" a="1"/>
  <c r="G865" i="8" a="1"/>
  <c r="J916" i="8" a="1"/>
  <c r="E1010" i="8" a="1"/>
  <c r="G837" i="8" a="1"/>
  <c r="N882" i="8" a="1"/>
  <c r="J928" i="8" a="1"/>
  <c r="I804" i="8" a="1"/>
  <c r="O903" i="8" a="1"/>
  <c r="K821" i="8" a="1"/>
  <c r="H861" i="8" a="1"/>
  <c r="H850" i="8" a="1"/>
  <c r="M893" i="8" a="1"/>
  <c r="M859" i="8" a="1"/>
  <c r="M889" i="8" a="1"/>
  <c r="L939" i="8" a="1"/>
  <c r="J925" i="8" a="1"/>
  <c r="F1022" i="8" a="1"/>
  <c r="K943" i="8" a="1"/>
  <c r="F885" i="8" a="1"/>
  <c r="M906" i="8" a="1"/>
  <c r="K947" i="8" a="1"/>
  <c r="I933" i="8" a="1"/>
  <c r="L965" i="8" a="1"/>
  <c r="I937" i="8" a="1"/>
  <c r="G970" i="8" a="1"/>
  <c r="K904" i="8" a="1"/>
  <c r="N917" i="8" a="1"/>
  <c r="H920" i="8" a="1"/>
  <c r="M932" i="8" a="1"/>
  <c r="F877" i="8" a="1"/>
  <c r="G929" i="8" a="1"/>
  <c r="L960" i="8" a="1"/>
  <c r="I969" i="8" a="1"/>
  <c r="N997" i="8" a="1"/>
  <c r="O976" i="8" a="1"/>
  <c r="K955" i="8" a="1"/>
  <c r="E982" i="8" a="1"/>
  <c r="O998" i="8" a="1"/>
  <c r="H948" i="8" a="1"/>
  <c r="I1026" i="8" a="1"/>
  <c r="G1032" i="8" a="1"/>
  <c r="J992" i="8" a="1"/>
  <c r="J1066" i="8" a="1"/>
  <c r="K986" i="8" a="1"/>
  <c r="H1018" i="8" a="1"/>
  <c r="N101" i="8" a="1"/>
  <c r="O299" i="8" a="1"/>
  <c r="I35" i="8" a="1"/>
  <c r="F134" i="8" a="1"/>
  <c r="L356" i="8" a="1"/>
  <c r="J291" i="8" a="1"/>
  <c r="K332" i="8" a="1"/>
  <c r="J224" i="8" a="1"/>
  <c r="M366" i="8" a="1"/>
  <c r="J492" i="8" a="1"/>
  <c r="G290" i="8" a="1"/>
  <c r="J393" i="8" a="1"/>
  <c r="H398" i="8" a="1"/>
  <c r="E557" i="8" a="1"/>
  <c r="H458" i="8" a="1"/>
  <c r="L425" i="8" a="1"/>
  <c r="J466" i="8" a="1"/>
  <c r="M466" i="8" a="1"/>
  <c r="J591" i="8" a="1"/>
  <c r="E588" i="8" a="1"/>
  <c r="F569" i="8" a="1"/>
  <c r="N498" i="8" a="1"/>
  <c r="M555" i="8" a="1"/>
  <c r="L525" i="8" a="1"/>
  <c r="N541" i="8" a="1"/>
  <c r="K497" i="8" a="1"/>
  <c r="I524" i="8" a="1"/>
  <c r="H662" i="8" a="1"/>
  <c r="G531" i="8" a="1"/>
  <c r="K565" i="8" a="1"/>
  <c r="H607" i="8" a="1"/>
  <c r="N696" i="8" a="1"/>
  <c r="E558" i="8" a="1"/>
  <c r="E590" i="8" a="1"/>
  <c r="F590" i="8" a="1"/>
  <c r="H663" i="8" a="1"/>
  <c r="L598" i="8" a="1"/>
  <c r="J734" i="8" a="1"/>
  <c r="M598" i="8" a="1"/>
  <c r="E640" i="8" a="1"/>
  <c r="N595" i="8" a="1"/>
  <c r="J654" i="8" a="1"/>
  <c r="O686" i="8" a="1"/>
  <c r="G728" i="8" a="1"/>
  <c r="M739" i="8" a="1"/>
  <c r="J697" i="8" a="1"/>
  <c r="J668" i="8" a="1"/>
  <c r="M726" i="8" a="1"/>
  <c r="O720" i="8" a="1"/>
  <c r="K727" i="8" a="1"/>
  <c r="G755" i="8" a="1"/>
  <c r="H772" i="8" a="1"/>
  <c r="O733" i="8" a="1"/>
  <c r="M795" i="8" a="1"/>
  <c r="M827" i="8" a="1"/>
  <c r="L786" i="8" a="1"/>
  <c r="K788" i="8" a="1"/>
  <c r="M792" i="8" a="1"/>
  <c r="O800" i="8" a="1"/>
  <c r="K828" i="8" a="1"/>
  <c r="I782" i="8" a="1"/>
  <c r="O910" i="8" a="1"/>
  <c r="I751" i="8" a="1"/>
  <c r="L838" i="8" a="1"/>
  <c r="H822" i="8" a="1"/>
  <c r="I860" i="8" a="1"/>
  <c r="E865" i="8" a="1"/>
  <c r="F916" i="8" a="1"/>
  <c r="N1010" i="8" a="1"/>
  <c r="H894" i="8" a="1"/>
  <c r="N837" i="8" a="1"/>
  <c r="F882" i="8" a="1"/>
  <c r="I928" i="8" a="1"/>
  <c r="H804" i="8" a="1"/>
  <c r="N903" i="8" a="1"/>
  <c r="J821" i="8" a="1"/>
  <c r="K861" i="8" a="1"/>
  <c r="N850" i="8" a="1"/>
  <c r="L893" i="8" a="1"/>
  <c r="K859" i="8" a="1"/>
  <c r="E889" i="8" a="1"/>
  <c r="E925" i="8" a="1"/>
  <c r="I943" i="8" a="1"/>
  <c r="E885" i="8" a="1"/>
  <c r="K906" i="8" a="1"/>
  <c r="J947" i="8" a="1"/>
  <c r="N933" i="8" a="1"/>
  <c r="H965" i="8" a="1"/>
  <c r="G937" i="8" a="1"/>
  <c r="K970" i="8" a="1"/>
  <c r="J904" i="8" a="1"/>
  <c r="F917" i="8" a="1"/>
  <c r="E932" i="8" a="1"/>
  <c r="N881" i="8" a="1"/>
  <c r="F929" i="8" a="1"/>
  <c r="H960" i="8" a="1"/>
  <c r="H969" i="8" a="1"/>
  <c r="F997" i="8" a="1"/>
  <c r="M976" i="8" a="1"/>
  <c r="J955" i="8" a="1"/>
  <c r="I982" i="8" a="1"/>
  <c r="K998" i="8" a="1"/>
  <c r="L948" i="8" a="1"/>
  <c r="O1026" i="8" a="1"/>
  <c r="F1032" i="8" a="1"/>
  <c r="I992" i="8" a="1"/>
  <c r="I1066" i="8" a="1"/>
  <c r="J986" i="8" a="1"/>
  <c r="M1018" i="8" a="1"/>
  <c r="F101" i="8" a="1"/>
  <c r="G299" i="8" a="1"/>
  <c r="H35" i="8" a="1"/>
  <c r="O68" i="8" a="1"/>
  <c r="M134" i="8" a="1"/>
  <c r="K356" i="8" a="1"/>
  <c r="I291" i="8" a="1"/>
  <c r="N291" i="8" a="1"/>
  <c r="I332" i="8" a="1"/>
  <c r="K333" i="8" a="1"/>
  <c r="I224" i="8" a="1"/>
  <c r="L366" i="8" a="1"/>
  <c r="H492" i="8" a="1"/>
  <c r="L290" i="8" a="1"/>
  <c r="N393" i="8" a="1"/>
  <c r="K488" i="8" a="1"/>
  <c r="O398" i="8" a="1"/>
  <c r="N557" i="8" a="1"/>
  <c r="O458" i="8" a="1"/>
  <c r="H425" i="8" a="1"/>
  <c r="I466" i="8" a="1"/>
  <c r="I591" i="8" a="1"/>
  <c r="O588" i="8" a="1"/>
  <c r="E463" i="8" a="1"/>
  <c r="M569" i="8" a="1"/>
  <c r="M498" i="8" a="1"/>
  <c r="K555" i="8" a="1"/>
  <c r="I525" i="8" a="1"/>
  <c r="F541" i="8" a="1"/>
  <c r="H431" i="8" a="1"/>
  <c r="H497" i="8" a="1"/>
  <c r="H524" i="8" a="1"/>
  <c r="N662" i="8" a="1"/>
  <c r="N531" i="8" a="1"/>
  <c r="I565" i="8" a="1"/>
  <c r="G607" i="8" a="1"/>
  <c r="F696" i="8" a="1"/>
  <c r="G524" i="8" a="1"/>
  <c r="H563" i="8" a="1"/>
  <c r="M597" i="8" a="1"/>
  <c r="F663" i="8" a="1"/>
  <c r="N734" i="8" a="1"/>
  <c r="E598" i="8" a="1"/>
  <c r="N640" i="8" a="1"/>
  <c r="F595" i="8" a="1"/>
  <c r="I654" i="8" a="1"/>
  <c r="G686" i="8" a="1"/>
  <c r="N728" i="8" a="1"/>
  <c r="I739" i="8" a="1"/>
  <c r="I697" i="8" a="1"/>
  <c r="F695" i="8" a="1"/>
  <c r="I668" i="8" a="1"/>
  <c r="L726" i="8" a="1"/>
  <c r="G720" i="8" a="1"/>
  <c r="J727" i="8" a="1"/>
  <c r="F668" i="8" a="1"/>
  <c r="N755" i="8" a="1"/>
  <c r="M772" i="8" a="1"/>
  <c r="G733" i="8" a="1"/>
  <c r="E795" i="8" a="1"/>
  <c r="J827" i="8" a="1"/>
  <c r="I752" i="8" a="1"/>
  <c r="K786" i="8" a="1"/>
  <c r="G788" i="8" a="1"/>
  <c r="M796" i="8" a="1"/>
  <c r="J759" i="8" a="1"/>
  <c r="G800" i="8" a="1"/>
  <c r="J828" i="8" a="1"/>
  <c r="N782" i="8" a="1"/>
  <c r="M910" i="8" a="1"/>
  <c r="H751" i="8" a="1"/>
  <c r="G756" i="8" a="1"/>
  <c r="K838" i="8" a="1"/>
  <c r="G822" i="8" a="1"/>
  <c r="L789" i="8" a="1"/>
  <c r="H860" i="8" a="1"/>
  <c r="O865" i="8" a="1"/>
  <c r="N916" i="8" a="1"/>
  <c r="M1010" i="8" a="1"/>
  <c r="N894" i="8" a="1"/>
  <c r="M837" i="8" a="1"/>
  <c r="O882" i="8" a="1"/>
  <c r="L928" i="8" a="1"/>
  <c r="M804" i="8" a="1"/>
  <c r="G903" i="8" a="1"/>
  <c r="G821" i="8" a="1"/>
  <c r="I861" i="8" a="1"/>
  <c r="F850" i="8" a="1"/>
  <c r="K893" i="8" a="1"/>
  <c r="J859" i="8" a="1"/>
  <c r="O889" i="8" a="1"/>
  <c r="N925" i="8" a="1"/>
  <c r="F943" i="8" a="1"/>
  <c r="O885" i="8" a="1"/>
  <c r="I906" i="8" a="1"/>
  <c r="I947" i="8" a="1"/>
  <c r="N877" i="8" a="1"/>
  <c r="F933" i="8" a="1"/>
  <c r="E965" i="8" a="1"/>
  <c r="J970" i="8" a="1"/>
  <c r="H904" i="8" a="1"/>
  <c r="M917" i="8" a="1"/>
  <c r="H871" i="8" a="1"/>
  <c r="L932" i="8" a="1"/>
  <c r="E883" i="8" a="1"/>
  <c r="M966" i="8" a="1"/>
  <c r="E969" i="8" a="1"/>
  <c r="M997" i="8" a="1"/>
  <c r="K976" i="8" a="1"/>
  <c r="G955" i="8" a="1"/>
  <c r="H982" i="8" a="1"/>
  <c r="J998" i="8" a="1"/>
  <c r="I948" i="8" a="1"/>
  <c r="L950" i="8" a="1"/>
  <c r="N1026" i="8" a="1"/>
  <c r="J959" i="8" a="1"/>
  <c r="O992" i="8" a="1"/>
  <c r="H1066" i="8" a="1"/>
  <c r="M986" i="8" a="1"/>
  <c r="E1018" i="8" a="1"/>
  <c r="M101" i="8" a="1"/>
  <c r="J323" i="8" a="1"/>
  <c r="M299" i="8" a="1"/>
  <c r="F35" i="8" a="1"/>
  <c r="G68" i="8" a="1"/>
  <c r="E134" i="8" a="1"/>
  <c r="G356" i="8" a="1"/>
  <c r="H291" i="8" a="1"/>
  <c r="N257" i="8" a="1"/>
  <c r="G332" i="8" a="1"/>
  <c r="J333" i="8" a="1"/>
  <c r="M257" i="8" a="1"/>
  <c r="O200" i="8" a="1"/>
  <c r="H224" i="8" a="1"/>
  <c r="I366" i="8" a="1"/>
  <c r="O492" i="8" a="1"/>
  <c r="I290" i="8" a="1"/>
  <c r="L324" i="8" a="1"/>
  <c r="M393" i="8" a="1"/>
  <c r="J488" i="8" a="1"/>
  <c r="G398" i="8" a="1"/>
  <c r="L557" i="8" a="1"/>
  <c r="G458" i="8" a="1"/>
  <c r="O425" i="8" a="1"/>
  <c r="J459" i="8" a="1"/>
  <c r="O466" i="8" a="1"/>
  <c r="O591" i="8" a="1"/>
  <c r="N588" i="8" a="1"/>
  <c r="N465" i="8" a="1"/>
  <c r="N470" i="8" a="1"/>
  <c r="E569" i="8" a="1"/>
  <c r="I498" i="8" a="1"/>
  <c r="G555" i="8" a="1"/>
  <c r="H525" i="8" a="1"/>
  <c r="E541" i="8" a="1"/>
  <c r="G497" i="8" a="1"/>
  <c r="M524" i="8" a="1"/>
  <c r="K630" i="8" a="1"/>
  <c r="F662" i="8" a="1"/>
  <c r="F531" i="8" a="1"/>
  <c r="H565" i="8" a="1"/>
  <c r="M696" i="8" a="1"/>
  <c r="M532" i="8" a="1"/>
  <c r="N563" i="8" a="1"/>
  <c r="E597" i="8" a="1"/>
  <c r="F734" i="8" a="1"/>
  <c r="K598" i="8" a="1"/>
  <c r="M640" i="8" a="1"/>
  <c r="O729" i="8" a="1"/>
  <c r="M595" i="8" a="1"/>
  <c r="H654" i="8" a="1"/>
  <c r="N686" i="8" a="1"/>
  <c r="M728" i="8" a="1"/>
  <c r="E739" i="8" a="1"/>
  <c r="H697" i="8" a="1"/>
  <c r="H668" i="8" a="1"/>
  <c r="K726" i="8" a="1"/>
  <c r="K720" i="8" a="1"/>
  <c r="G727" i="8" a="1"/>
  <c r="F755" i="8" a="1"/>
  <c r="E772" i="8" a="1"/>
  <c r="M733" i="8" a="1"/>
  <c r="N795" i="8" a="1"/>
  <c r="L827" i="8" a="1"/>
  <c r="H752" i="8" a="1"/>
  <c r="H786" i="8" a="1"/>
  <c r="F788" i="8" a="1"/>
  <c r="J733" i="8" a="1"/>
  <c r="E796" i="8" a="1"/>
  <c r="I759" i="8" a="1"/>
  <c r="N800" i="8" a="1"/>
  <c r="H828" i="8" a="1"/>
  <c r="F782" i="8" a="1"/>
  <c r="E910" i="8" a="1"/>
  <c r="M752" i="8" a="1"/>
  <c r="K759" i="8" a="1"/>
  <c r="I838" i="8" a="1"/>
  <c r="E822" i="8" a="1"/>
  <c r="N789" i="8" a="1"/>
  <c r="O860" i="8" a="1"/>
  <c r="M865" i="8" a="1"/>
  <c r="J1010" i="8" a="1"/>
  <c r="F894" i="8" a="1"/>
  <c r="J837" i="8" a="1"/>
  <c r="L805" i="8" a="1"/>
  <c r="M882" i="8" a="1"/>
  <c r="H928" i="8" a="1"/>
  <c r="E804" i="8" a="1"/>
  <c r="F903" i="8" a="1"/>
  <c r="M829" i="8" a="1"/>
  <c r="G861" i="8" a="1"/>
  <c r="L850" i="8" a="1"/>
  <c r="J893" i="8" a="1"/>
  <c r="H859" i="8" a="1"/>
  <c r="N889" i="8" a="1"/>
  <c r="H883" i="8" a="1"/>
  <c r="M925" i="8" a="1"/>
  <c r="I877" i="8" a="1"/>
  <c r="L988" i="8" a="1"/>
  <c r="N885" i="8" a="1"/>
  <c r="K936" i="8" a="1"/>
  <c r="F947" i="8" a="1"/>
  <c r="G885" i="8" a="1"/>
  <c r="O933" i="8" a="1"/>
  <c r="E101" i="8" a="1"/>
  <c r="I323" i="8" a="1"/>
  <c r="L299" i="8" a="1"/>
  <c r="O35" i="8" a="1"/>
  <c r="N68" i="8" a="1"/>
  <c r="M266" i="8" a="1"/>
  <c r="K134" i="8" a="1"/>
  <c r="F356" i="8" a="1"/>
  <c r="F291" i="8" a="1"/>
  <c r="G261" i="8" a="1"/>
  <c r="F257" i="8" a="1"/>
  <c r="F332" i="8" a="1"/>
  <c r="I333" i="8" a="1"/>
  <c r="G200" i="8" a="1"/>
  <c r="O224" i="8" a="1"/>
  <c r="I574" i="8" a="1"/>
  <c r="G492" i="8" a="1"/>
  <c r="N290" i="8" a="1"/>
  <c r="I324" i="8" a="1"/>
  <c r="I393" i="8" a="1"/>
  <c r="I488" i="8" a="1"/>
  <c r="N529" i="8" a="1"/>
  <c r="N398" i="8" a="1"/>
  <c r="K557" i="8" a="1"/>
  <c r="N458" i="8" a="1"/>
  <c r="G425" i="8" a="1"/>
  <c r="I459" i="8" a="1"/>
  <c r="G466" i="8" a="1"/>
  <c r="H591" i="8" a="1"/>
  <c r="F470" i="8" a="1"/>
  <c r="K569" i="8" a="1"/>
  <c r="K508" i="8" a="1"/>
  <c r="E536" i="8" a="1"/>
  <c r="O525" i="8" a="1"/>
  <c r="M541" i="8" a="1"/>
  <c r="F497" i="8" a="1"/>
  <c r="I531" i="8" a="1"/>
  <c r="E524" i="8" a="1"/>
  <c r="H630" i="8" a="1"/>
  <c r="O662" i="8" a="1"/>
  <c r="M531" i="8" a="1"/>
  <c r="N565" i="8" a="1"/>
  <c r="E696" i="8" a="1"/>
  <c r="E532" i="8" a="1"/>
  <c r="F563" i="8" a="1"/>
  <c r="L597" i="8" a="1"/>
  <c r="O734" i="8" a="1"/>
  <c r="G729" i="8" a="1"/>
  <c r="E595" i="8" a="1"/>
  <c r="N657" i="8" a="1"/>
  <c r="F686" i="8" a="1"/>
  <c r="J728" i="8" a="1"/>
  <c r="E760" i="8" a="1"/>
  <c r="O697" i="8" a="1"/>
  <c r="O668" i="8" a="1"/>
  <c r="I726" i="8" a="1"/>
  <c r="J720" i="8" a="1"/>
  <c r="L755" i="8" a="1"/>
  <c r="O772" i="8" a="1"/>
  <c r="E733" i="8" a="1"/>
  <c r="L795" i="8" a="1"/>
  <c r="I827" i="8" a="1"/>
  <c r="O752" i="8" a="1"/>
  <c r="O786" i="8" a="1"/>
  <c r="L796" i="8" a="1"/>
  <c r="H759" i="8" a="1"/>
  <c r="F800" i="8" a="1"/>
  <c r="G828" i="8" a="1"/>
  <c r="O782" i="8" a="1"/>
  <c r="H838" i="8" a="1"/>
  <c r="O822" i="8" a="1"/>
  <c r="F789" i="8" a="1"/>
  <c r="G860" i="8" a="1"/>
  <c r="K865" i="8" a="1"/>
  <c r="J825" i="8" a="1"/>
  <c r="H1010" i="8" a="1"/>
  <c r="L894" i="8" a="1"/>
  <c r="I805" i="8" a="1"/>
  <c r="L882" i="8" a="1"/>
  <c r="K991" i="8" a="1"/>
  <c r="L804" i="8" a="1"/>
  <c r="I837" i="8" a="1"/>
  <c r="F861" i="8" a="1"/>
  <c r="M850" i="8" a="1"/>
  <c r="H893" i="8" a="1"/>
  <c r="F859" i="8" a="1"/>
  <c r="L889" i="8" a="1"/>
  <c r="K892" i="8" a="1"/>
  <c r="K925" i="8" a="1"/>
  <c r="M883" i="8" a="1"/>
  <c r="K988" i="8" a="1"/>
  <c r="L885" i="8" a="1"/>
  <c r="J936" i="8" a="1"/>
  <c r="O947" i="8" a="1"/>
  <c r="L101" i="8" a="1"/>
  <c r="H323" i="8" a="1"/>
  <c r="J299" i="8" a="1"/>
  <c r="G35" i="8" a="1"/>
  <c r="F68" i="8" a="1"/>
  <c r="E266" i="8" a="1"/>
  <c r="O134" i="8" a="1"/>
  <c r="K167" i="8" a="1"/>
  <c r="E291" i="8" a="1"/>
  <c r="L257" i="8" a="1"/>
  <c r="H333" i="8" a="1"/>
  <c r="N200" i="8" a="1"/>
  <c r="G224" i="8" a="1"/>
  <c r="O574" i="8" a="1"/>
  <c r="N492" i="8" a="1"/>
  <c r="N324" i="8" a="1"/>
  <c r="E393" i="8" a="1"/>
  <c r="H488" i="8" a="1"/>
  <c r="F529" i="8" a="1"/>
  <c r="F398" i="8" a="1"/>
  <c r="H557" i="8" a="1"/>
  <c r="F458" i="8" a="1"/>
  <c r="N425" i="8" a="1"/>
  <c r="M459" i="8" a="1"/>
  <c r="N466" i="8" a="1"/>
  <c r="G591" i="8" a="1"/>
  <c r="M470" i="8" a="1"/>
  <c r="J569" i="8" a="1"/>
  <c r="I465" i="8" a="1"/>
  <c r="G525" i="8" a="1"/>
  <c r="J541" i="8" a="1"/>
  <c r="L463" i="8" a="1"/>
  <c r="E497" i="8" a="1"/>
  <c r="L653" i="8" a="1"/>
  <c r="N630" i="8" a="1"/>
  <c r="M662" i="8" a="1"/>
  <c r="E531" i="8" a="1"/>
  <c r="J565" i="8" a="1"/>
  <c r="K696" i="8" a="1"/>
  <c r="L532" i="8" a="1"/>
  <c r="L563" i="8" a="1"/>
  <c r="K597" i="8" a="1"/>
  <c r="N761" i="8" a="1"/>
  <c r="O723" i="8" a="1"/>
  <c r="M734" i="8" a="1"/>
  <c r="N729" i="8" a="1"/>
  <c r="L595" i="8" a="1"/>
  <c r="J595" i="8" a="1"/>
  <c r="F657" i="8" a="1"/>
  <c r="K668" i="8" a="1"/>
  <c r="M686" i="8" a="1"/>
  <c r="I728" i="8" a="1"/>
  <c r="M760" i="8" a="1"/>
  <c r="G697" i="8" a="1"/>
  <c r="K697" i="8" a="1"/>
  <c r="G668" i="8" a="1"/>
  <c r="H726" i="8" a="1"/>
  <c r="I720" i="8" a="1"/>
  <c r="K755" i="8" a="1"/>
  <c r="N772" i="8" a="1"/>
  <c r="L733" i="8" a="1"/>
  <c r="J795" i="8" a="1"/>
  <c r="F827" i="8" a="1"/>
  <c r="G752" i="8" a="1"/>
  <c r="G786" i="8" a="1"/>
  <c r="I796" i="8" a="1"/>
  <c r="N759" i="8" a="1"/>
  <c r="K800" i="8" a="1"/>
  <c r="F828" i="8" a="1"/>
  <c r="M782" i="8" a="1"/>
  <c r="I766" i="8" a="1"/>
  <c r="G838" i="8" a="1"/>
  <c r="N833" i="8" a="1"/>
  <c r="M860" i="8" a="1"/>
  <c r="N825" i="8" a="1"/>
  <c r="O1010" i="8" a="1"/>
  <c r="J894" i="8" a="1"/>
  <c r="N805" i="8" a="1"/>
  <c r="I882" i="8" a="1"/>
  <c r="J991" i="8" a="1"/>
  <c r="K804" i="8" a="1"/>
  <c r="M852" i="8" a="1"/>
  <c r="E861" i="8" a="1"/>
  <c r="J789" i="8" a="1"/>
  <c r="K850" i="8" a="1"/>
  <c r="F893" i="8" a="1"/>
  <c r="E859" i="8" a="1"/>
  <c r="J889" i="8" a="1"/>
  <c r="I892" i="8" a="1"/>
  <c r="I925" i="8" a="1"/>
  <c r="H988" i="8" a="1"/>
  <c r="I936" i="8" a="1"/>
  <c r="E947" i="8" a="1"/>
  <c r="J926" i="8" a="1"/>
  <c r="J933" i="8" a="1"/>
  <c r="H881" i="8" a="1"/>
  <c r="I881" i="8" a="1"/>
  <c r="L877" i="8" a="1"/>
  <c r="H970" i="8" a="1"/>
  <c r="O915" i="8" a="1"/>
  <c r="G917" i="8" a="1"/>
  <c r="F932" i="8" a="1"/>
  <c r="L883" i="8" a="1"/>
  <c r="H966" i="8" a="1"/>
  <c r="M961" i="8" a="1"/>
  <c r="M950" i="8" a="1"/>
  <c r="E976" i="8" a="1"/>
  <c r="M955" i="8" a="1"/>
  <c r="O982" i="8" a="1"/>
  <c r="M1017" i="8" a="1"/>
  <c r="E948" i="8" a="1"/>
  <c r="O957" i="8" a="1"/>
  <c r="H1026" i="8" a="1"/>
  <c r="F959" i="8" a="1"/>
  <c r="H992" i="8" a="1"/>
  <c r="O1066" i="8" a="1"/>
  <c r="K101" i="8" a="1"/>
  <c r="O323" i="8" a="1"/>
  <c r="I299" i="8" a="1"/>
  <c r="M68" i="8" a="1"/>
  <c r="L266" i="8" a="1"/>
  <c r="H134" i="8" a="1"/>
  <c r="I294" i="8" a="1"/>
  <c r="H261" i="8" a="1"/>
  <c r="K257" i="8" a="1"/>
  <c r="J365" i="8" a="1"/>
  <c r="N333" i="8" a="1"/>
  <c r="F200" i="8" a="1"/>
  <c r="N224" i="8" a="1"/>
  <c r="N574" i="8" a="1"/>
  <c r="I492" i="8" a="1"/>
  <c r="F324" i="8" a="1"/>
  <c r="N488" i="8" a="1"/>
  <c r="K529" i="8" a="1"/>
  <c r="F557" i="8" a="1"/>
  <c r="M458" i="8" a="1"/>
  <c r="J425" i="8" a="1"/>
  <c r="E459" i="8" a="1"/>
  <c r="F466" i="8" a="1"/>
  <c r="M497" i="8" a="1"/>
  <c r="N628" i="8" a="1"/>
  <c r="M465" i="8" a="1"/>
  <c r="M588" i="8" a="1"/>
  <c r="E470" i="8" a="1"/>
  <c r="I569" i="8" a="1"/>
  <c r="L635" i="8" a="1"/>
  <c r="O536" i="8" a="1"/>
  <c r="H465" i="8" a="1"/>
  <c r="N525" i="8" a="1"/>
  <c r="J620" i="8" a="1"/>
  <c r="K463" i="8" a="1"/>
  <c r="O497" i="8" a="1"/>
  <c r="I653" i="8" a="1"/>
  <c r="E630" i="8" a="1"/>
  <c r="G662" i="8" a="1"/>
  <c r="G565" i="8" a="1"/>
  <c r="L696" i="8" a="1"/>
  <c r="I532" i="8" a="1"/>
  <c r="K563" i="8" a="1"/>
  <c r="J597" i="8" a="1"/>
  <c r="F761" i="8" a="1"/>
  <c r="G723" i="8" a="1"/>
  <c r="L734" i="8" a="1"/>
  <c r="F729" i="8" a="1"/>
  <c r="K595" i="8" a="1"/>
  <c r="K657" i="8" a="1"/>
  <c r="E686" i="8" a="1"/>
  <c r="H728" i="8" a="1"/>
  <c r="L760" i="8" a="1"/>
  <c r="N697" i="8" a="1"/>
  <c r="H701" i="8" a="1"/>
  <c r="M668" i="8" a="1"/>
  <c r="E726" i="8" a="1"/>
  <c r="H720" i="8" a="1"/>
  <c r="J755" i="8" a="1"/>
  <c r="L772" i="8" a="1"/>
  <c r="K733" i="8" a="1"/>
  <c r="I795" i="8" a="1"/>
  <c r="E827" i="8" a="1"/>
  <c r="N752" i="8" a="1"/>
  <c r="E786" i="8" a="1"/>
  <c r="E752" i="8" a="1"/>
  <c r="L914" i="8" a="1"/>
  <c r="H796" i="8" a="1"/>
  <c r="F759" i="8" a="1"/>
  <c r="J800" i="8" a="1"/>
  <c r="L782" i="8" a="1"/>
  <c r="H766" i="8" a="1"/>
  <c r="E838" i="8" a="1"/>
  <c r="F833" i="8" a="1"/>
  <c r="K805" i="8" a="1"/>
  <c r="E860" i="8" a="1"/>
  <c r="F825" i="8" a="1"/>
  <c r="K1010" i="8" a="1"/>
  <c r="I894" i="8" a="1"/>
  <c r="F805" i="8" a="1"/>
  <c r="K882" i="8" a="1"/>
  <c r="I991" i="8" a="1"/>
  <c r="E852" i="8" a="1"/>
  <c r="O861" i="8" a="1"/>
  <c r="K832" i="8" a="1"/>
  <c r="J850" i="8" a="1"/>
  <c r="E893" i="8" a="1"/>
  <c r="N859" i="8" a="1"/>
  <c r="I889" i="8" a="1"/>
  <c r="K939" i="8" a="1"/>
  <c r="O892" i="8" a="1"/>
  <c r="K1022" i="8" a="1"/>
  <c r="O988" i="8" a="1"/>
  <c r="O936" i="8" a="1"/>
  <c r="N947" i="8" a="1"/>
  <c r="I926" i="8" a="1"/>
  <c r="H933" i="8" a="1"/>
  <c r="G881" i="8" a="1"/>
  <c r="J892" i="8" a="1"/>
  <c r="K877" i="8" a="1"/>
  <c r="E970" i="8" a="1"/>
  <c r="G915" i="8" a="1"/>
  <c r="E917" i="8" a="1"/>
  <c r="N932" i="8" a="1"/>
  <c r="K883" i="8" a="1"/>
  <c r="L904" i="8" a="1"/>
  <c r="G966" i="8" a="1"/>
  <c r="L961" i="8" a="1"/>
  <c r="E950" i="8" a="1"/>
  <c r="L985" i="8" a="1"/>
  <c r="N967" i="8" a="1"/>
  <c r="L982" i="8" a="1"/>
  <c r="E1017" i="8" a="1"/>
  <c r="N948" i="8" a="1"/>
  <c r="N957" i="8" a="1"/>
  <c r="G1026" i="8" a="1"/>
  <c r="E959" i="8" a="1"/>
  <c r="N1066" i="8" a="1"/>
  <c r="O999" i="8" a="1"/>
  <c r="I917" i="8" a="1"/>
  <c r="O966" i="8" a="1"/>
  <c r="M967" i="8" a="1"/>
  <c r="E957" i="8" a="1"/>
  <c r="N999" i="8" a="1"/>
  <c r="N983" i="8" a="1"/>
  <c r="H1023" i="8" a="1"/>
  <c r="M951" i="8" a="1"/>
  <c r="N980" i="8" a="1"/>
  <c r="E1027" i="8" a="1"/>
  <c r="K964" i="8" a="1"/>
  <c r="J987" i="8" a="1"/>
  <c r="K996" i="8" a="1"/>
  <c r="L1044" i="8" a="1"/>
  <c r="H1048" i="8" a="1"/>
  <c r="J1076" i="8" a="1"/>
  <c r="E1068" i="8" a="1"/>
  <c r="F1036" i="8" a="1"/>
  <c r="K1040" i="8" a="1"/>
  <c r="H990" i="8" a="1"/>
  <c r="H1059" i="8" a="1"/>
  <c r="I995" i="8" a="1"/>
  <c r="K1034" i="8" a="1"/>
  <c r="E1052" i="8" a="1"/>
  <c r="N1003" i="8" a="1"/>
  <c r="G1019" i="8" a="1"/>
  <c r="N1060" i="8" a="1"/>
  <c r="N1065" i="8" a="1"/>
  <c r="O1020" i="8" a="1"/>
  <c r="E1043" i="8" a="1"/>
  <c r="M1054" i="8" a="1"/>
  <c r="H995" i="8" a="1"/>
  <c r="E1050" i="8" a="1"/>
  <c r="G1086" i="8" a="1"/>
  <c r="H1071" i="8" a="1"/>
  <c r="E1081" i="8" a="1"/>
  <c r="N1062" i="8" a="1"/>
  <c r="J1141" i="8" a="1"/>
  <c r="F1082" i="8" a="1"/>
  <c r="L1046" i="8" a="1"/>
  <c r="I1152" i="8" a="1"/>
  <c r="K1119" i="8" a="1"/>
  <c r="E1084" i="8" a="1"/>
  <c r="M1133" i="8" a="1"/>
  <c r="O1130" i="8" a="1"/>
  <c r="L1079" i="8" a="1"/>
  <c r="N1046" i="8" a="1"/>
  <c r="F1090" i="8" a="1"/>
  <c r="I1097" i="8" a="1"/>
  <c r="I1057" i="8" a="1"/>
  <c r="I1095" i="8" a="1"/>
  <c r="F1136" i="8" a="1"/>
  <c r="O1159" i="8" a="1"/>
  <c r="M1219" i="8" a="1"/>
  <c r="J1183" i="8" a="1"/>
  <c r="F1154" i="8" a="1"/>
  <c r="L1146" i="8" a="1"/>
  <c r="N1139" i="8" a="1"/>
  <c r="F1148" i="8" a="1"/>
  <c r="L1109" i="8" a="1"/>
  <c r="N1129" i="8" a="1"/>
  <c r="H1195" i="8" a="1"/>
  <c r="H1199" i="8" a="1"/>
  <c r="L1108" i="8" a="1"/>
  <c r="F1121" i="8" a="1"/>
  <c r="E1175" i="8" a="1"/>
  <c r="N1158" i="8" a="1"/>
  <c r="K1172" i="8" a="1"/>
  <c r="N1117" i="8" a="1"/>
  <c r="O1132" i="8" a="1"/>
  <c r="I1165" i="8" a="1"/>
  <c r="O1162" i="8" a="1"/>
  <c r="N1182" i="8" a="1"/>
  <c r="J1184" i="8" a="1"/>
  <c r="I1186" i="8" a="1"/>
  <c r="F1179" i="8" a="1"/>
  <c r="G1213" i="8" a="1"/>
  <c r="E1235" i="8" a="1"/>
  <c r="K1315" i="8" a="1"/>
  <c r="E1240" i="8" a="1"/>
  <c r="L1227" i="8" a="1"/>
  <c r="O1244" i="8" a="1"/>
  <c r="H1203" i="8" a="1"/>
  <c r="K1228" i="8" a="1"/>
  <c r="M1188" i="8" a="1"/>
  <c r="N1237" i="8" a="1"/>
  <c r="F1208" i="8" a="1"/>
  <c r="L1214" i="8" a="1"/>
  <c r="H1241" i="8" a="1"/>
  <c r="F1198" i="8" a="1"/>
  <c r="M1218" i="8" a="1"/>
  <c r="I1242" i="8" a="1"/>
  <c r="H1233" i="8" a="1"/>
  <c r="F1211" i="8" a="1"/>
  <c r="N1167" i="8" a="1"/>
  <c r="F1202" i="8" a="1"/>
  <c r="G1212" i="8" a="1"/>
  <c r="N1226" i="8" a="1"/>
  <c r="H1220" i="8" a="1"/>
  <c r="F1316" i="8" a="1"/>
  <c r="I1245" i="8" a="1"/>
  <c r="K1270" i="8" a="1"/>
  <c r="F1225" i="8" a="1"/>
  <c r="I1254" i="8" a="1"/>
  <c r="K1276" i="8" a="1"/>
  <c r="E1255" i="8" a="1"/>
  <c r="I1341" i="8" a="1"/>
  <c r="J1232" i="8" a="1"/>
  <c r="K1293" i="8" a="1"/>
  <c r="G1238" i="8" a="1"/>
  <c r="G1283" i="8" a="1"/>
  <c r="J1308" i="8" a="1"/>
  <c r="K1273" i="8" a="1"/>
  <c r="O1274" i="8" a="1"/>
  <c r="M1309" i="8" a="1"/>
  <c r="H1326" i="8" a="1"/>
  <c r="H1290" i="8" a="1"/>
  <c r="E1298" i="8" a="1"/>
  <c r="H1271" i="8" a="1"/>
  <c r="J1268" i="8" a="1"/>
  <c r="K1313" i="8" a="1"/>
  <c r="F1331" i="8" a="1"/>
  <c r="E1386" i="8" a="1"/>
  <c r="H1291" i="8" a="1"/>
  <c r="L1298" i="8" a="1"/>
  <c r="M1347" i="8" a="1"/>
  <c r="G1288" i="8" a="1"/>
  <c r="H1280" i="8" a="1"/>
  <c r="H1282" i="8" a="1"/>
  <c r="L1303" i="8" a="1"/>
  <c r="H1318" i="8" a="1"/>
  <c r="N1272" i="8" a="1"/>
  <c r="F1299" i="8" a="1"/>
  <c r="I1307" i="8" a="1"/>
  <c r="I1344" i="8" a="1"/>
  <c r="I1314" i="8" a="1"/>
  <c r="E1319" i="8" a="1"/>
  <c r="K1284" i="8" a="1"/>
  <c r="J1275" i="8" a="1"/>
  <c r="J1295" i="8" a="1"/>
  <c r="O1334" i="8" a="1"/>
  <c r="M1297" i="8" a="1"/>
  <c r="N1348" i="8" a="1"/>
  <c r="G1398" i="8" a="1"/>
  <c r="H1327" i="8" a="1"/>
  <c r="L1376" i="8" a="1"/>
  <c r="I1339" i="8" a="1"/>
  <c r="L1330" i="8" a="1"/>
  <c r="E1350" i="8" a="1"/>
  <c r="L1362" i="8" a="1"/>
  <c r="E1381" i="8" a="1"/>
  <c r="O1389" i="8" a="1"/>
  <c r="G1339" i="8" a="1"/>
  <c r="K1336" i="8" a="1"/>
  <c r="L1346" i="8" a="1"/>
  <c r="L1357" i="8" a="1"/>
  <c r="L1339" i="8" a="1"/>
  <c r="L1328" i="8" a="1"/>
  <c r="L1396" i="8" a="1"/>
  <c r="K1354" i="8" a="1"/>
  <c r="H1320" i="8" a="1"/>
  <c r="K1361" i="8" a="1"/>
  <c r="H1330" i="8" a="1"/>
  <c r="F1364" i="8" a="1"/>
  <c r="H1301" i="8" a="1"/>
  <c r="M1375" i="8" a="1"/>
  <c r="K1406" i="8" a="1"/>
  <c r="G1351" i="8" a="1"/>
  <c r="G1432" i="8" a="1"/>
  <c r="O1363" i="8" a="1"/>
  <c r="L1387" i="8" a="1"/>
  <c r="E1428" i="8" a="1"/>
  <c r="I1418" i="8" a="1"/>
  <c r="K1412" i="8" a="1"/>
  <c r="E1465" i="8" a="1"/>
  <c r="N1402" i="8" a="1"/>
  <c r="J1370" i="8" a="1"/>
  <c r="K1380" i="8" a="1"/>
  <c r="G1409" i="8" a="1"/>
  <c r="H1430" i="8" a="1"/>
  <c r="G1397" i="8" a="1"/>
  <c r="F1414" i="8" a="1"/>
  <c r="E1395" i="8" a="1"/>
  <c r="J1425" i="8" a="1"/>
  <c r="K1438" i="8" a="1"/>
  <c r="F1435" i="8" a="1"/>
  <c r="K1470" i="8" a="1"/>
  <c r="M1455" i="8" a="1"/>
  <c r="N1458" i="8" a="1"/>
  <c r="O1422" i="8" a="1"/>
  <c r="O1481" i="8" a="1"/>
  <c r="N1434" i="8" a="1"/>
  <c r="M1467" i="8" a="1"/>
  <c r="F1433" i="8" a="1"/>
  <c r="J1440" i="8" a="1"/>
  <c r="H1436" i="8" a="1"/>
  <c r="G1456" i="8" a="1"/>
  <c r="K1437" i="8" a="1"/>
  <c r="K1422" i="8" a="1"/>
  <c r="O1469" i="8" a="1"/>
  <c r="H1475" i="8" a="1"/>
  <c r="K1484" i="8" a="1"/>
  <c r="E1473" i="8" a="1"/>
  <c r="F1466" i="8" a="1"/>
  <c r="M1482" i="8" a="1"/>
  <c r="E1491" i="8" a="1"/>
  <c r="M1461" i="8" a="1"/>
  <c r="O1466" i="8" a="1"/>
  <c r="M1486" i="8" a="1"/>
  <c r="K1534" i="8" a="1"/>
  <c r="K1522" i="8" a="1"/>
  <c r="J1513" i="8" a="1"/>
  <c r="G1544" i="8" a="1"/>
  <c r="F1507" i="8" a="1"/>
  <c r="H1549" i="8" a="1"/>
  <c r="G1488" i="8" a="1"/>
  <c r="I1508" i="8" a="1"/>
  <c r="L1493" i="8" a="1"/>
  <c r="N1523" i="8" a="1"/>
  <c r="M933" i="8" a="1"/>
  <c r="K920" i="8" a="1"/>
  <c r="O969" i="8" a="1"/>
  <c r="O961" i="8" a="1"/>
  <c r="G982" i="8" a="1"/>
  <c r="G985" i="8" a="1"/>
  <c r="L957" i="8" a="1"/>
  <c r="K1018" i="8" a="1"/>
  <c r="F983" i="8" a="1"/>
  <c r="F1023" i="8" a="1"/>
  <c r="L951" i="8" a="1"/>
  <c r="M980" i="8" a="1"/>
  <c r="M1027" i="8" a="1"/>
  <c r="M964" i="8" a="1"/>
  <c r="N1014" i="8" a="1"/>
  <c r="J996" i="8" a="1"/>
  <c r="H1033" i="8" a="1"/>
  <c r="H1044" i="8" a="1"/>
  <c r="M1067" i="8" a="1"/>
  <c r="G1048" i="8" a="1"/>
  <c r="N1076" i="8" a="1"/>
  <c r="J1068" i="8" a="1"/>
  <c r="M1036" i="8" a="1"/>
  <c r="J1040" i="8" a="1"/>
  <c r="M990" i="8" a="1"/>
  <c r="N1059" i="8" a="1"/>
  <c r="H1002" i="8" a="1"/>
  <c r="N1042" i="8" a="1"/>
  <c r="J1052" i="8" a="1"/>
  <c r="F1003" i="8" a="1"/>
  <c r="O1019" i="8" a="1"/>
  <c r="F1060" i="8" a="1"/>
  <c r="O1034" i="8" a="1"/>
  <c r="L1020" i="8" a="1"/>
  <c r="O1043" i="8" a="1"/>
  <c r="L1113" i="8" a="1"/>
  <c r="L1050" i="8" a="1"/>
  <c r="J1086" i="8" a="1"/>
  <c r="N1073" i="8" a="1"/>
  <c r="N1081" i="8" a="1"/>
  <c r="F1062" i="8" a="1"/>
  <c r="I1141" i="8" a="1"/>
  <c r="N1082" i="8" a="1"/>
  <c r="O1152" i="8" a="1"/>
  <c r="O1119" i="8" a="1"/>
  <c r="M1084" i="8" a="1"/>
  <c r="E1133" i="8" a="1"/>
  <c r="M1057" i="8" a="1"/>
  <c r="G1130" i="8" a="1"/>
  <c r="K1079" i="8" a="1"/>
  <c r="F1046" i="8" a="1"/>
  <c r="O1090" i="8" a="1"/>
  <c r="H1097" i="8" a="1"/>
  <c r="H1057" i="8" a="1"/>
  <c r="E1095" i="8" a="1"/>
  <c r="H1136" i="8" a="1"/>
  <c r="N1159" i="8" a="1"/>
  <c r="J1131" i="8" a="1"/>
  <c r="I1183" i="8" a="1"/>
  <c r="L1154" i="8" a="1"/>
  <c r="K1146" i="8" a="1"/>
  <c r="F1139" i="8" a="1"/>
  <c r="I1153" i="8" a="1"/>
  <c r="K1109" i="8" a="1"/>
  <c r="I1129" i="8" a="1"/>
  <c r="G1195" i="8" a="1"/>
  <c r="L1199" i="8" a="1"/>
  <c r="G1108" i="8" a="1"/>
  <c r="E1121" i="8" a="1"/>
  <c r="E1100" i="8" a="1"/>
  <c r="J1158" i="8" a="1"/>
  <c r="I1172" i="8" a="1"/>
  <c r="F1117" i="8" a="1"/>
  <c r="G1132" i="8" a="1"/>
  <c r="K1136" i="8" a="1"/>
  <c r="K1165" i="8" a="1"/>
  <c r="G1162" i="8" a="1"/>
  <c r="J1182" i="8" a="1"/>
  <c r="H1184" i="8" a="1"/>
  <c r="N1186" i="8" a="1"/>
  <c r="K1191" i="8" a="1"/>
  <c r="E1213" i="8" a="1"/>
  <c r="O1235" i="8" a="1"/>
  <c r="H1315" i="8" a="1"/>
  <c r="N1240" i="8" a="1"/>
  <c r="K1227" i="8" a="1"/>
  <c r="G1244" i="8" a="1"/>
  <c r="O1203" i="8" a="1"/>
  <c r="I1228" i="8" a="1"/>
  <c r="M1166" i="8" a="1"/>
  <c r="I1188" i="8" a="1"/>
  <c r="L1237" i="8" a="1"/>
  <c r="M1208" i="8" a="1"/>
  <c r="K1214" i="8" a="1"/>
  <c r="F1241" i="8" a="1"/>
  <c r="L1204" i="8" a="1"/>
  <c r="E1218" i="8" a="1"/>
  <c r="L1233" i="8" a="1"/>
  <c r="O1215" i="8" a="1"/>
  <c r="F1167" i="8" a="1"/>
  <c r="M1202" i="8" a="1"/>
  <c r="N1212" i="8" a="1"/>
  <c r="L1226" i="8" a="1"/>
  <c r="N1220" i="8" a="1"/>
  <c r="L1316" i="8" a="1"/>
  <c r="O1245" i="8" a="1"/>
  <c r="J1270" i="8" a="1"/>
  <c r="J1197" i="8" a="1"/>
  <c r="K1205" i="8" a="1"/>
  <c r="H1234" i="8" a="1"/>
  <c r="O1257" i="8" a="1"/>
  <c r="J1276" i="8" a="1"/>
  <c r="M1255" i="8" a="1"/>
  <c r="H1232" i="8" a="1"/>
  <c r="J1293" i="8" a="1"/>
  <c r="N1260" i="8" a="1"/>
  <c r="F1238" i="8" a="1"/>
  <c r="N1205" i="8" a="1"/>
  <c r="H1308" i="8" a="1"/>
  <c r="N1273" i="8" a="1"/>
  <c r="G1274" i="8" a="1"/>
  <c r="L1309" i="8" a="1"/>
  <c r="F1326" i="8" a="1"/>
  <c r="O1290" i="8" a="1"/>
  <c r="N1298" i="8" a="1"/>
  <c r="O1271" i="8" a="1"/>
  <c r="I1268" i="8" a="1"/>
  <c r="I1313" i="8" a="1"/>
  <c r="L1331" i="8" a="1"/>
  <c r="K1386" i="8" a="1"/>
  <c r="O1291" i="8" a="1"/>
  <c r="K1317" i="8" a="1"/>
  <c r="E1347" i="8" a="1"/>
  <c r="N1288" i="8" a="1"/>
  <c r="O1280" i="8" a="1"/>
  <c r="O1282" i="8" a="1"/>
  <c r="K1303" i="8" a="1"/>
  <c r="F1318" i="8" a="1"/>
  <c r="F1272" i="8" a="1"/>
  <c r="N1299" i="8" a="1"/>
  <c r="N1307" i="8" a="1"/>
  <c r="H1344" i="8" a="1"/>
  <c r="O1314" i="8" a="1"/>
  <c r="G1319" i="8" a="1"/>
  <c r="F1292" i="8" a="1"/>
  <c r="I1275" i="8" a="1"/>
  <c r="I1295" i="8" a="1"/>
  <c r="L1334" i="8" a="1"/>
  <c r="F1348" i="8" a="1"/>
  <c r="H1450" i="8" a="1"/>
  <c r="G1327" i="8" a="1"/>
  <c r="J1376" i="8" a="1"/>
  <c r="O1339" i="8" a="1"/>
  <c r="K1330" i="8" a="1"/>
  <c r="L1350" i="8" a="1"/>
  <c r="K1362" i="8" a="1"/>
  <c r="N1381" i="8" a="1"/>
  <c r="G1389" i="8" a="1"/>
  <c r="N1382" i="8" a="1"/>
  <c r="J1336" i="8" a="1"/>
  <c r="K1346" i="8" a="1"/>
  <c r="J1357" i="8" a="1"/>
  <c r="L1349" i="8" a="1"/>
  <c r="J1361" i="8" a="1"/>
  <c r="K1396" i="8" a="1"/>
  <c r="L1354" i="8" a="1"/>
  <c r="L1333" i="8" a="1"/>
  <c r="M1391" i="8" a="1"/>
  <c r="F1333" i="8" a="1"/>
  <c r="L1364" i="8" a="1"/>
  <c r="J1305" i="8" a="1"/>
  <c r="E1375" i="8" a="1"/>
  <c r="J1406" i="8" a="1"/>
  <c r="N1351" i="8" a="1"/>
  <c r="E1365" i="8" a="1"/>
  <c r="G1363" i="8" a="1"/>
  <c r="L1394" i="8" a="1"/>
  <c r="M1428" i="8" a="1"/>
  <c r="H1418" i="8" a="1"/>
  <c r="J1412" i="8" a="1"/>
  <c r="O1465" i="8" a="1"/>
  <c r="F1402" i="8" a="1"/>
  <c r="K1400" i="8" a="1"/>
  <c r="J1409" i="8" a="1"/>
  <c r="G1430" i="8" a="1"/>
  <c r="N1397" i="8" a="1"/>
  <c r="E1414" i="8" a="1"/>
  <c r="L1395" i="8" a="1"/>
  <c r="I1425" i="8" a="1"/>
  <c r="H1438" i="8" a="1"/>
  <c r="H1434" i="8" a="1"/>
  <c r="J1451" i="8" a="1"/>
  <c r="I1470" i="8" a="1"/>
  <c r="I1455" i="8" a="1"/>
  <c r="M1458" i="8" a="1"/>
  <c r="G1422" i="8" a="1"/>
  <c r="G1481" i="8" a="1"/>
  <c r="N1438" i="8" a="1"/>
  <c r="O1438" i="8" a="1"/>
  <c r="J1467" i="8" a="1"/>
  <c r="N1433" i="8" a="1"/>
  <c r="I1440" i="8" a="1"/>
  <c r="F1436" i="8" a="1"/>
  <c r="E1456" i="8" a="1"/>
  <c r="J1437" i="8" a="1"/>
  <c r="F1424" i="8" a="1"/>
  <c r="N1469" i="8" a="1"/>
  <c r="O1475" i="8" a="1"/>
  <c r="J1484" i="8" a="1"/>
  <c r="N1473" i="8" a="1"/>
  <c r="M1475" i="8" a="1"/>
  <c r="M1495" i="8" a="1"/>
  <c r="K1482" i="8" a="1"/>
  <c r="N1515" i="8" a="1"/>
  <c r="K1461" i="8" a="1"/>
  <c r="L1486" i="8" a="1"/>
  <c r="J1534" i="8" a="1"/>
  <c r="G1522" i="8" a="1"/>
  <c r="H1513" i="8" a="1"/>
  <c r="J1544" i="8" a="1"/>
  <c r="E1507" i="8" a="1"/>
  <c r="N1549" i="8" a="1"/>
  <c r="K1492" i="8" a="1"/>
  <c r="H1508" i="8" a="1"/>
  <c r="E1493" i="8" a="1"/>
  <c r="K1523" i="8" a="1"/>
  <c r="M1537" i="8" a="1"/>
  <c r="J1556" i="8" a="1"/>
  <c r="I1504" i="8" a="1"/>
  <c r="I965" i="8" a="1"/>
  <c r="G871" i="8" a="1"/>
  <c r="J920" i="8" a="1"/>
  <c r="G961" i="8" a="1"/>
  <c r="F982" i="8" a="1"/>
  <c r="K957" i="8" a="1"/>
  <c r="J1018" i="8" a="1"/>
  <c r="M983" i="8" a="1"/>
  <c r="E1023" i="8" a="1"/>
  <c r="I951" i="8" a="1"/>
  <c r="J980" i="8" a="1"/>
  <c r="J1027" i="8" a="1"/>
  <c r="J964" i="8" a="1"/>
  <c r="F1014" i="8" a="1"/>
  <c r="I996" i="8" a="1"/>
  <c r="M1033" i="8" a="1"/>
  <c r="G1044" i="8" a="1"/>
  <c r="E1067" i="8" a="1"/>
  <c r="F1048" i="8" a="1"/>
  <c r="F1076" i="8" a="1"/>
  <c r="L1068" i="8" a="1"/>
  <c r="E1036" i="8" a="1"/>
  <c r="M1051" i="8" a="1"/>
  <c r="E990" i="8" a="1"/>
  <c r="F1059" i="8" a="1"/>
  <c r="O1002" i="8" a="1"/>
  <c r="F1042" i="8" a="1"/>
  <c r="K1052" i="8" a="1"/>
  <c r="M1003" i="8" a="1"/>
  <c r="N1019" i="8" a="1"/>
  <c r="G1060" i="8" a="1"/>
  <c r="K1020" i="8" a="1"/>
  <c r="L1043" i="8" a="1"/>
  <c r="J1113" i="8" a="1"/>
  <c r="K1016" i="8" a="1"/>
  <c r="K1050" i="8" a="1"/>
  <c r="H1086" i="8" a="1"/>
  <c r="L1080" i="8" a="1"/>
  <c r="I1088" i="8" a="1"/>
  <c r="K1062" i="8" a="1"/>
  <c r="N1141" i="8" a="1"/>
  <c r="L1082" i="8" a="1"/>
  <c r="G1080" i="8" a="1"/>
  <c r="G1152" i="8" a="1"/>
  <c r="M1119" i="8" a="1"/>
  <c r="L1084" i="8" a="1"/>
  <c r="L1133" i="8" a="1"/>
  <c r="J1094" i="8" a="1"/>
  <c r="F1130" i="8" a="1"/>
  <c r="I1083" i="8" a="1"/>
  <c r="K1046" i="8" a="1"/>
  <c r="N1090" i="8" a="1"/>
  <c r="G1097" i="8" a="1"/>
  <c r="O1057" i="8" a="1"/>
  <c r="M1095" i="8" a="1"/>
  <c r="H1142" i="8" a="1"/>
  <c r="M1159" i="8" a="1"/>
  <c r="I1131" i="8" a="1"/>
  <c r="H1183" i="8" a="1"/>
  <c r="K1154" i="8" a="1"/>
  <c r="I1146" i="8" a="1"/>
  <c r="M1139" i="8" a="1"/>
  <c r="H1153" i="8" a="1"/>
  <c r="H1109" i="8" a="1"/>
  <c r="H1143" i="8" a="1"/>
  <c r="F1195" i="8" a="1"/>
  <c r="F1100" i="8" a="1"/>
  <c r="L1135" i="8" a="1"/>
  <c r="O1121" i="8" a="1"/>
  <c r="E1114" i="8" a="1"/>
  <c r="H1158" i="8" a="1"/>
  <c r="N1176" i="8" a="1"/>
  <c r="H1117" i="8" a="1"/>
  <c r="M1132" i="8" a="1"/>
  <c r="M1143" i="8" a="1"/>
  <c r="K1140" i="8" a="1"/>
  <c r="J1165" i="8" a="1"/>
  <c r="M1162" i="8" a="1"/>
  <c r="H1182" i="8" a="1"/>
  <c r="N1184" i="8" a="1"/>
  <c r="J1186" i="8" a="1"/>
  <c r="J1191" i="8" a="1"/>
  <c r="K1223" i="8" a="1"/>
  <c r="L1235" i="8" a="1"/>
  <c r="H1180" i="8" a="1"/>
  <c r="H1240" i="8" a="1"/>
  <c r="O1227" i="8" a="1"/>
  <c r="F1244" i="8" a="1"/>
  <c r="G1203" i="8" a="1"/>
  <c r="H1126" i="8" a="1"/>
  <c r="E1166" i="8" a="1"/>
  <c r="G1188" i="8" a="1"/>
  <c r="F1237" i="8" a="1"/>
  <c r="E1208" i="8" a="1"/>
  <c r="I1214" i="8" a="1"/>
  <c r="N1241" i="8" a="1"/>
  <c r="K1204" i="8" a="1"/>
  <c r="L1218" i="8" a="1"/>
  <c r="I1161" i="8" a="1"/>
  <c r="J1233" i="8" a="1"/>
  <c r="G1215" i="8" a="1"/>
  <c r="O1167" i="8" a="1"/>
  <c r="E1202" i="8" a="1"/>
  <c r="F1212" i="8" a="1"/>
  <c r="F1226" i="8" a="1"/>
  <c r="F1220" i="8" a="1"/>
  <c r="O1316" i="8" a="1"/>
  <c r="G1245" i="8" a="1"/>
  <c r="I1270" i="8" a="1"/>
  <c r="I1197" i="8" a="1"/>
  <c r="E1220" i="8" a="1"/>
  <c r="G1234" i="8" a="1"/>
  <c r="G1257" i="8" a="1"/>
  <c r="I1276" i="8" a="1"/>
  <c r="L1255" i="8" a="1"/>
  <c r="F1197" i="8" a="1"/>
  <c r="J1250" i="8" a="1"/>
  <c r="I1293" i="8" a="1"/>
  <c r="F1260" i="8" a="1"/>
  <c r="E1238" i="8" a="1"/>
  <c r="F1205" i="8" a="1"/>
  <c r="F1308" i="8" a="1"/>
  <c r="J1273" i="8" a="1"/>
  <c r="N1274" i="8" a="1"/>
  <c r="I1309" i="8" a="1"/>
  <c r="O1326" i="8" a="1"/>
  <c r="G1290" i="8" a="1"/>
  <c r="M1298" i="8" a="1"/>
  <c r="G1271" i="8" a="1"/>
  <c r="H1268" i="8" a="1"/>
  <c r="G1313" i="8" a="1"/>
  <c r="J1331" i="8" a="1"/>
  <c r="J1386" i="8" a="1"/>
  <c r="G1291" i="8" a="1"/>
  <c r="L1317" i="8" a="1"/>
  <c r="L1347" i="8" a="1"/>
  <c r="F1288" i="8" a="1"/>
  <c r="G1280" i="8" a="1"/>
  <c r="G1282" i="8" a="1"/>
  <c r="M1303" i="8" a="1"/>
  <c r="I1264" i="8" a="1"/>
  <c r="E1288" i="8" a="1"/>
  <c r="L1299" i="8" a="1"/>
  <c r="F1307" i="8" a="1"/>
  <c r="L1344" i="8" a="1"/>
  <c r="G1314" i="8" a="1"/>
  <c r="M1319" i="8" a="1"/>
  <c r="L1304" i="8" a="1"/>
  <c r="H1275" i="8" a="1"/>
  <c r="H1295" i="8" a="1"/>
  <c r="J1334" i="8" a="1"/>
  <c r="N1366" i="8" a="1"/>
  <c r="L1348" i="8" a="1"/>
  <c r="G1450" i="8" a="1"/>
  <c r="F1327" i="8" a="1"/>
  <c r="I1376" i="8" a="1"/>
  <c r="M1339" i="8" a="1"/>
  <c r="J1330" i="8" a="1"/>
  <c r="K1350" i="8" a="1"/>
  <c r="J1362" i="8" a="1"/>
  <c r="H1381" i="8" a="1"/>
  <c r="N1389" i="8" a="1"/>
  <c r="F1382" i="8" a="1"/>
  <c r="M1336" i="8" a="1"/>
  <c r="I1346" i="8" a="1"/>
  <c r="I1357" i="8" a="1"/>
  <c r="K1349" i="8" a="1"/>
  <c r="I1361" i="8" a="1"/>
  <c r="M1396" i="8" a="1"/>
  <c r="J1354" i="8" a="1"/>
  <c r="K1333" i="8" a="1"/>
  <c r="E1391" i="8" a="1"/>
  <c r="I1335" i="8" a="1"/>
  <c r="M1364" i="8" a="1"/>
  <c r="L1320" i="8" a="1"/>
  <c r="L1375" i="8" a="1"/>
  <c r="I1406" i="8" a="1"/>
  <c r="F1351" i="8" a="1"/>
  <c r="M1411" i="8" a="1"/>
  <c r="N1363" i="8" a="1"/>
  <c r="K1394" i="8" a="1"/>
  <c r="J1428" i="8" a="1"/>
  <c r="G1418" i="8" a="1"/>
  <c r="I1412" i="8" a="1"/>
  <c r="M1402" i="8" a="1"/>
  <c r="J1377" i="8" a="1"/>
  <c r="J1400" i="8" a="1"/>
  <c r="I1409" i="8" a="1"/>
  <c r="F1397" i="8" a="1"/>
  <c r="J1395" i="8" a="1"/>
  <c r="G1438" i="8" a="1"/>
  <c r="G1434" i="8" a="1"/>
  <c r="I1451" i="8" a="1"/>
  <c r="H1470" i="8" a="1"/>
  <c r="J1458" i="8" a="1"/>
  <c r="M1422" i="8" a="1"/>
  <c r="N1481" i="8" a="1"/>
  <c r="L1442" i="8" a="1"/>
  <c r="I1467" i="8" a="1"/>
  <c r="L1439" i="8" a="1"/>
  <c r="O1453" i="8" a="1"/>
  <c r="O1436" i="8" a="1"/>
  <c r="J1422" i="8" a="1"/>
  <c r="M1456" i="8" a="1"/>
  <c r="I1437" i="8" a="1"/>
  <c r="L1469" i="8" a="1"/>
  <c r="G1475" i="8" a="1"/>
  <c r="M1473" i="8" a="1"/>
  <c r="E1495" i="8" a="1"/>
  <c r="J1482" i="8" a="1"/>
  <c r="F1515" i="8" a="1"/>
  <c r="J1461" i="8" a="1"/>
  <c r="O1478" i="8" a="1"/>
  <c r="G1486" i="8" a="1"/>
  <c r="G1534" i="8" a="1"/>
  <c r="F1522" i="8" a="1"/>
  <c r="G1513" i="8" a="1"/>
  <c r="M1507" i="8" a="1"/>
  <c r="E1549" i="8" a="1"/>
  <c r="J1492" i="8" a="1"/>
  <c r="O1508" i="8" a="1"/>
  <c r="M1493" i="8" a="1"/>
  <c r="G1523" i="8" a="1"/>
  <c r="E1537" i="8" a="1"/>
  <c r="M1556" i="8" a="1"/>
  <c r="F1477" i="8" a="1"/>
  <c r="O1524" i="8" a="1"/>
  <c r="H1502" i="8" a="1"/>
  <c r="M1488" i="8" a="1"/>
  <c r="L1512" i="8" a="1"/>
  <c r="E1545" i="8" a="1"/>
  <c r="J1501" i="8" a="1"/>
  <c r="H877" i="8" a="1"/>
  <c r="K961" i="8" a="1"/>
  <c r="K982" i="8" a="1"/>
  <c r="G998" i="8" a="1"/>
  <c r="K1026" i="8" a="1"/>
  <c r="G1018" i="8" a="1"/>
  <c r="E983" i="8" a="1"/>
  <c r="M1023" i="8" a="1"/>
  <c r="I980" i="8" a="1"/>
  <c r="O1032" i="8" a="1"/>
  <c r="I964" i="8" a="1"/>
  <c r="K1014" i="8" a="1"/>
  <c r="E996" i="8" a="1"/>
  <c r="E1033" i="8" a="1"/>
  <c r="L1067" i="8" a="1"/>
  <c r="O1048" i="8" a="1"/>
  <c r="K1076" i="8" a="1"/>
  <c r="K1068" i="8" a="1"/>
  <c r="J1036" i="8" a="1"/>
  <c r="E1051" i="8" a="1"/>
  <c r="L990" i="8" a="1"/>
  <c r="M1059" i="8" a="1"/>
  <c r="G1002" i="8" a="1"/>
  <c r="M1042" i="8" a="1"/>
  <c r="I1052" i="8" a="1"/>
  <c r="E1003" i="8" a="1"/>
  <c r="H1049" i="8" a="1"/>
  <c r="E1060" i="8" a="1"/>
  <c r="J990" i="8" a="1"/>
  <c r="K1043" i="8" a="1"/>
  <c r="I1113" i="8" a="1"/>
  <c r="H1016" i="8" a="1"/>
  <c r="G1050" i="8" a="1"/>
  <c r="F1086" i="8" a="1"/>
  <c r="H1080" i="8" a="1"/>
  <c r="M1141" i="8" a="1"/>
  <c r="K1082" i="8" a="1"/>
  <c r="M1086" i="8" a="1"/>
  <c r="N1152" i="8" a="1"/>
  <c r="J1119" i="8" a="1"/>
  <c r="K1084" i="8" a="1"/>
  <c r="K1133" i="8" a="1"/>
  <c r="K1125" i="8" a="1"/>
  <c r="M1130" i="8" a="1"/>
  <c r="M1083" i="8" a="1"/>
  <c r="E1073" i="8" a="1"/>
  <c r="L1090" i="8" a="1"/>
  <c r="O1116" i="8" a="1"/>
  <c r="G1057" i="8" a="1"/>
  <c r="N1142" i="8" a="1"/>
  <c r="L1159" i="8" a="1"/>
  <c r="H1131" i="8" a="1"/>
  <c r="L1183" i="8" a="1"/>
  <c r="M1154" i="8" a="1"/>
  <c r="F1146" i="8" a="1"/>
  <c r="E1139" i="8" a="1"/>
  <c r="O1153" i="8" a="1"/>
  <c r="O1109" i="8" a="1"/>
  <c r="O1143" i="8" a="1"/>
  <c r="J1195" i="8" a="1"/>
  <c r="M1100" i="8" a="1"/>
  <c r="K1135" i="8" a="1"/>
  <c r="L1121" i="8" a="1"/>
  <c r="G1129" i="8" a="1"/>
  <c r="O1158" i="8" a="1"/>
  <c r="F1176" i="8" a="1"/>
  <c r="G1117" i="8" a="1"/>
  <c r="E1132" i="8" a="1"/>
  <c r="L1150" i="8" a="1"/>
  <c r="I1140" i="8" a="1"/>
  <c r="E1165" i="8" a="1"/>
  <c r="E1162" i="8" a="1"/>
  <c r="F1182" i="8" a="1"/>
  <c r="F1184" i="8" a="1"/>
  <c r="H1186" i="8" a="1"/>
  <c r="I1191" i="8" a="1"/>
  <c r="J1223" i="8" a="1"/>
  <c r="K1235" i="8" a="1"/>
  <c r="N1180" i="8" a="1"/>
  <c r="N1227" i="8" a="1"/>
  <c r="E1244" i="8" a="1"/>
  <c r="N1203" i="8" a="1"/>
  <c r="N1126" i="8" a="1"/>
  <c r="G1167" i="8" a="1"/>
  <c r="I1166" i="8" a="1"/>
  <c r="E1188" i="8" a="1"/>
  <c r="I1167" i="8" a="1"/>
  <c r="L1208" i="8" a="1"/>
  <c r="O1214" i="8" a="1"/>
  <c r="K1241" i="8" a="1"/>
  <c r="J1204" i="8" a="1"/>
  <c r="K1218" i="8" a="1"/>
  <c r="E1191" i="8" a="1"/>
  <c r="G1233" i="8" a="1"/>
  <c r="N1215" i="8" a="1"/>
  <c r="M1167" i="8" a="1"/>
  <c r="K1202" i="8" a="1"/>
  <c r="L1212" i="8" a="1"/>
  <c r="M1266" i="8" a="1"/>
  <c r="M1316" i="8" a="1"/>
  <c r="N1245" i="8" a="1"/>
  <c r="H1270" i="8" a="1"/>
  <c r="H1197" i="8" a="1"/>
  <c r="G1221" i="8" a="1"/>
  <c r="F1234" i="8" a="1"/>
  <c r="M1257" i="8" a="1"/>
  <c r="H1276" i="8" a="1"/>
  <c r="K1255" i="8" a="1"/>
  <c r="G1220" i="8" a="1"/>
  <c r="H1250" i="8" a="1"/>
  <c r="G1293" i="8" a="1"/>
  <c r="L1260" i="8" a="1"/>
  <c r="O1238" i="8" a="1"/>
  <c r="M1205" i="8" a="1"/>
  <c r="E1308" i="8" a="1"/>
  <c r="I1273" i="8" a="1"/>
  <c r="F1274" i="8" a="1"/>
  <c r="G1309" i="8" a="1"/>
  <c r="N1326" i="8" a="1"/>
  <c r="N1290" i="8" a="1"/>
  <c r="M1321" i="8" a="1"/>
  <c r="N1271" i="8" a="1"/>
  <c r="O1268" i="8" a="1"/>
  <c r="F1313" i="8" a="1"/>
  <c r="F871" i="8" a="1"/>
  <c r="E906" i="8" a="1"/>
  <c r="I961" i="8" a="1"/>
  <c r="H1017" i="8" a="1"/>
  <c r="J1026" i="8" a="1"/>
  <c r="F1018" i="8" a="1"/>
  <c r="L983" i="8" a="1"/>
  <c r="I1023" i="8" a="1"/>
  <c r="G980" i="8" a="1"/>
  <c r="J898" i="8" a="1"/>
  <c r="F964" i="8" a="1"/>
  <c r="J1014" i="8" a="1"/>
  <c r="N996" i="8" a="1"/>
  <c r="L1033" i="8" a="1"/>
  <c r="I1002" i="8" a="1"/>
  <c r="J1067" i="8" a="1"/>
  <c r="N1048" i="8" a="1"/>
  <c r="I1076" i="8" a="1"/>
  <c r="I1068" i="8" a="1"/>
  <c r="L1036" i="8" a="1"/>
  <c r="L1051" i="8" a="1"/>
  <c r="E1059" i="8" a="1"/>
  <c r="N1002" i="8" a="1"/>
  <c r="E1042" i="8" a="1"/>
  <c r="H1052" i="8" a="1"/>
  <c r="I1011" i="8" a="1"/>
  <c r="M1049" i="8" a="1"/>
  <c r="O1060" i="8" a="1"/>
  <c r="G995" i="8" a="1"/>
  <c r="M1035" i="8" a="1"/>
  <c r="J1043" i="8" a="1"/>
  <c r="H1113" i="8" a="1"/>
  <c r="G1016" i="8" a="1"/>
  <c r="M1075" i="8" a="1"/>
  <c r="E1086" i="8" a="1"/>
  <c r="O1080" i="8" a="1"/>
  <c r="I1056" i="8" a="1"/>
  <c r="H1141" i="8" a="1"/>
  <c r="J1082" i="8" a="1"/>
  <c r="F1152" i="8" a="1"/>
  <c r="I1119" i="8" a="1"/>
  <c r="O1094" i="8" a="1"/>
  <c r="J1133" i="8" a="1"/>
  <c r="J1125" i="8" a="1"/>
  <c r="L1130" i="8" a="1"/>
  <c r="L1083" i="8" a="1"/>
  <c r="M1073" i="8" a="1"/>
  <c r="K1090" i="8" a="1"/>
  <c r="G1116" i="8" a="1"/>
  <c r="H1088" i="8" a="1"/>
  <c r="K1102" i="8" a="1"/>
  <c r="F1142" i="8" a="1"/>
  <c r="K1159" i="8" a="1"/>
  <c r="F1131" i="8" a="1"/>
  <c r="K1183" i="8" a="1"/>
  <c r="I1154" i="8" a="1"/>
  <c r="L1163" i="8" a="1"/>
  <c r="L1139" i="8" a="1"/>
  <c r="G1153" i="8" a="1"/>
  <c r="N1135" i="8" a="1"/>
  <c r="G1143" i="8" a="1"/>
  <c r="I1195" i="8" a="1"/>
  <c r="L1100" i="8" a="1"/>
  <c r="J1135" i="8" a="1"/>
  <c r="I1122" i="8" a="1"/>
  <c r="I1139" i="8" a="1"/>
  <c r="L1158" i="8" a="1"/>
  <c r="L1176" i="8" a="1"/>
  <c r="E1117" i="8" a="1"/>
  <c r="L1132" i="8" a="1"/>
  <c r="J1150" i="8" a="1"/>
  <c r="H1140" i="8" a="1"/>
  <c r="H1165" i="8" a="1"/>
  <c r="J1162" i="8" a="1"/>
  <c r="L1182" i="8" a="1"/>
  <c r="L1184" i="8" a="1"/>
  <c r="F1186" i="8" a="1"/>
  <c r="H1191" i="8" a="1"/>
  <c r="I1223" i="8" a="1"/>
  <c r="J1235" i="8" a="1"/>
  <c r="F1180" i="8" a="1"/>
  <c r="J1227" i="8" a="1"/>
  <c r="M1203" i="8" a="1"/>
  <c r="F1126" i="8" a="1"/>
  <c r="K1171" i="8" a="1"/>
  <c r="O1166" i="8" a="1"/>
  <c r="O1188" i="8" a="1"/>
  <c r="M1180" i="8" a="1"/>
  <c r="J1208" i="8" a="1"/>
  <c r="G1214" i="8" a="1"/>
  <c r="H1161" i="8" a="1"/>
  <c r="H1204" i="8" a="1"/>
  <c r="I1218" i="8" a="1"/>
  <c r="H1196" i="8" a="1"/>
  <c r="F1233" i="8" a="1"/>
  <c r="F1215" i="8" a="1"/>
  <c r="K1167" i="8" a="1"/>
  <c r="I1202" i="8" a="1"/>
  <c r="J1212" i="8" a="1"/>
  <c r="J1126" i="8" a="1"/>
  <c r="E1266" i="8" a="1"/>
  <c r="K1316" i="8" a="1"/>
  <c r="F1245" i="8" a="1"/>
  <c r="O1286" i="8" a="1"/>
  <c r="J1205" i="8" a="1"/>
  <c r="N1224" i="8" a="1"/>
  <c r="E1234" i="8" a="1"/>
  <c r="E1257" i="8" a="1"/>
  <c r="O1276" i="8" a="1"/>
  <c r="I1255" i="8" a="1"/>
  <c r="I1221" i="8" a="1"/>
  <c r="L1250" i="8" a="1"/>
  <c r="O1293" i="8" a="1"/>
  <c r="K1260" i="8" a="1"/>
  <c r="M1238" i="8" a="1"/>
  <c r="E1205" i="8" a="1"/>
  <c r="O1308" i="8" a="1"/>
  <c r="H1273" i="8" a="1"/>
  <c r="M1274" i="8" a="1"/>
  <c r="E1326" i="8" a="1"/>
  <c r="F1290" i="8" a="1"/>
  <c r="E1321" i="8" a="1"/>
  <c r="F1271" i="8" a="1"/>
  <c r="G1268" i="8" a="1"/>
  <c r="O1322" i="8" a="1"/>
  <c r="H1331" i="8" a="1"/>
  <c r="I1386" i="8" a="1"/>
  <c r="F1291" i="8" a="1"/>
  <c r="G1317" i="8" a="1"/>
  <c r="I1347" i="8" a="1"/>
  <c r="O1313" i="8" a="1"/>
  <c r="F1280" i="8" a="1"/>
  <c r="I1284" i="8" a="1"/>
  <c r="H1303" i="8" a="1"/>
  <c r="F1282" i="8" a="1"/>
  <c r="J1297" i="8" a="1"/>
  <c r="J1299" i="8" a="1"/>
  <c r="E1307" i="8" a="1"/>
  <c r="E1344" i="8" a="1"/>
  <c r="K1314" i="8" a="1"/>
  <c r="G1360" i="8" a="1"/>
  <c r="L1256" i="8" a="1"/>
  <c r="G1275" i="8" a="1"/>
  <c r="F1295" i="8" a="1"/>
  <c r="G1334" i="8" a="1"/>
  <c r="M1366" i="8" a="1"/>
  <c r="M1348" i="8" a="1"/>
  <c r="E1450" i="8" a="1"/>
  <c r="N1327" i="8" a="1"/>
  <c r="H1376" i="8" a="1"/>
  <c r="M1388" i="8" a="1"/>
  <c r="O1330" i="8" a="1"/>
  <c r="O1350" i="8" a="1"/>
  <c r="O1362" i="8" a="1"/>
  <c r="L1301" i="8" a="1"/>
  <c r="M1389" i="8" a="1"/>
  <c r="E1382" i="8" a="1"/>
  <c r="I1336" i="8" a="1"/>
  <c r="O1346" i="8" a="1"/>
  <c r="O1373" i="8" a="1"/>
  <c r="I1349" i="8" a="1"/>
  <c r="O1361" i="8" a="1"/>
  <c r="E1396" i="8" a="1"/>
  <c r="L1378" i="8" a="1"/>
  <c r="O1333" i="8" a="1"/>
  <c r="K1391" i="8" a="1"/>
  <c r="N1335" i="8" a="1"/>
  <c r="J1364" i="8" a="1"/>
  <c r="I1338" i="8" a="1"/>
  <c r="J1375" i="8" a="1"/>
  <c r="I1407" i="8" a="1"/>
  <c r="H1394" i="8" a="1"/>
  <c r="L1411" i="8" a="1"/>
  <c r="M1363" i="8" a="1"/>
  <c r="I1394" i="8" a="1"/>
  <c r="J1351" i="8" a="1"/>
  <c r="G1412" i="8" a="1"/>
  <c r="O1379" i="8" a="1"/>
  <c r="L1402" i="8" a="1"/>
  <c r="H1377" i="8" a="1"/>
  <c r="H1400" i="8" a="1"/>
  <c r="G1353" i="8" a="1"/>
  <c r="K1365" i="8" a="1"/>
  <c r="E1397" i="8" a="1"/>
  <c r="H1353" i="8" a="1"/>
  <c r="H1395" i="8" a="1"/>
  <c r="G1518" i="8" a="1"/>
  <c r="E1438" i="8" a="1"/>
  <c r="O1434" i="8" a="1"/>
  <c r="N1451" i="8" a="1"/>
  <c r="G1470" i="8" a="1"/>
  <c r="K1445" i="8" a="1"/>
  <c r="H1458" i="8" a="1"/>
  <c r="L1422" i="8" a="1"/>
  <c r="M1481" i="8" a="1"/>
  <c r="O1442" i="8" a="1"/>
  <c r="N1463" i="8" a="1"/>
  <c r="G1467" i="8" a="1"/>
  <c r="H1439" i="8" a="1"/>
  <c r="N1453" i="8" a="1"/>
  <c r="L1436" i="8" a="1"/>
  <c r="N1446" i="8" a="1"/>
  <c r="K1456" i="8" a="1"/>
  <c r="F1456" i="8" a="1"/>
  <c r="G1469" i="8" a="1"/>
  <c r="F1475" i="8" a="1"/>
  <c r="G1466" i="8" a="1"/>
  <c r="F1484" i="8" a="1"/>
  <c r="H1526" i="8" a="1"/>
  <c r="K1495" i="8" a="1"/>
  <c r="F1482" i="8" a="1"/>
  <c r="J1515" i="8" a="1"/>
  <c r="N1471" i="8" a="1"/>
  <c r="N1478" i="8" a="1"/>
  <c r="M1514" i="8" a="1"/>
  <c r="I1534" i="8" a="1"/>
  <c r="I1503" i="8" a="1"/>
  <c r="N1513" i="8" a="1"/>
  <c r="H1505" i="8" a="1"/>
  <c r="K1507" i="8" a="1"/>
  <c r="K1549" i="8" a="1"/>
  <c r="E1492" i="8" a="1"/>
  <c r="F1489" i="8" a="1"/>
  <c r="M1505" i="8" a="1"/>
  <c r="I1523" i="8" a="1"/>
  <c r="G1537" i="8" a="1"/>
  <c r="H1556" i="8" a="1"/>
  <c r="L1485" i="8" a="1"/>
  <c r="N1524" i="8" a="1"/>
  <c r="E1502" i="8" a="1"/>
  <c r="K1488" i="8" a="1"/>
  <c r="J1512" i="8" a="1"/>
  <c r="O881" i="8" a="1"/>
  <c r="M915" i="8" a="1"/>
  <c r="K997" i="8" a="1"/>
  <c r="O1017" i="8" a="1"/>
  <c r="F1026" i="8" a="1"/>
  <c r="O1018" i="8" a="1"/>
  <c r="K983" i="8" a="1"/>
  <c r="N921" i="8" a="1"/>
  <c r="I983" i="8" a="1"/>
  <c r="H898" i="8" a="1"/>
  <c r="E964" i="8" a="1"/>
  <c r="H1014" i="8" a="1"/>
  <c r="G898" i="8" a="1"/>
  <c r="F1033" i="8" a="1"/>
  <c r="I1067" i="8" a="1"/>
  <c r="N1058" i="8" a="1"/>
  <c r="H1076" i="8" a="1"/>
  <c r="K1036" i="8" a="1"/>
  <c r="J1051" i="8" a="1"/>
  <c r="H1024" i="8" a="1"/>
  <c r="L1059" i="8" a="1"/>
  <c r="F1002" i="8" a="1"/>
  <c r="L1042" i="8" a="1"/>
  <c r="J981" i="8" a="1"/>
  <c r="N1011" i="8" a="1"/>
  <c r="E1049" i="8" a="1"/>
  <c r="M1060" i="8" a="1"/>
  <c r="J1003" i="8" a="1"/>
  <c r="E1035" i="8" a="1"/>
  <c r="H1043" i="8" a="1"/>
  <c r="G1113" i="8" a="1"/>
  <c r="F1016" i="8" a="1"/>
  <c r="E1075" i="8" a="1"/>
  <c r="N1086" i="8" a="1"/>
  <c r="E1080" i="8" a="1"/>
  <c r="H1056" i="8" a="1"/>
  <c r="G1141" i="8" a="1"/>
  <c r="L1086" i="8" a="1"/>
  <c r="N1106" i="8" a="1"/>
  <c r="M1152" i="8" a="1"/>
  <c r="G1119" i="8" a="1"/>
  <c r="G1094" i="8" a="1"/>
  <c r="I1133" i="8" a="1"/>
  <c r="I1125" i="8" a="1"/>
  <c r="K1130" i="8" a="1"/>
  <c r="K1083" i="8" a="1"/>
  <c r="L1073" i="8" a="1"/>
  <c r="J1090" i="8" a="1"/>
  <c r="M1116" i="8" a="1"/>
  <c r="L1088" i="8" a="1"/>
  <c r="I1104" i="8" a="1"/>
  <c r="M1142" i="8" a="1"/>
  <c r="I1159" i="8" a="1"/>
  <c r="O1131" i="8" a="1"/>
  <c r="J1108" i="8" a="1"/>
  <c r="H1154" i="8" a="1"/>
  <c r="I1163" i="8" a="1"/>
  <c r="O1139" i="8" a="1"/>
  <c r="M1153" i="8" a="1"/>
  <c r="N1143" i="8" a="1"/>
  <c r="O1195" i="8" a="1"/>
  <c r="J1100" i="8" a="1"/>
  <c r="H1135" i="8" a="1"/>
  <c r="H1139" i="8" a="1"/>
  <c r="E1143" i="8" a="1"/>
  <c r="G1158" i="8" a="1"/>
  <c r="J1176" i="8" a="1"/>
  <c r="M1117" i="8" a="1"/>
  <c r="N1132" i="8" a="1"/>
  <c r="I1150" i="8" a="1"/>
  <c r="N1140" i="8" a="1"/>
  <c r="G1165" i="8" a="1"/>
  <c r="I1162" i="8" a="1"/>
  <c r="K1126" i="8" a="1"/>
  <c r="M1184" i="8" a="1"/>
  <c r="L1209" i="8" a="1"/>
  <c r="G1191" i="8" a="1"/>
  <c r="F1223" i="8" a="1"/>
  <c r="I1235" i="8" a="1"/>
  <c r="L1180" i="8" a="1"/>
  <c r="N1192" i="8" a="1"/>
  <c r="I1227" i="8" a="1"/>
  <c r="N1160" i="8" a="1"/>
  <c r="K1203" i="8" a="1"/>
  <c r="M1126" i="8" a="1"/>
  <c r="K1180" i="8" a="1"/>
  <c r="G1166" i="8" a="1"/>
  <c r="M1192" i="8" a="1"/>
  <c r="H1208" i="8" a="1"/>
  <c r="N1214" i="8" a="1"/>
  <c r="N1204" i="8" a="1"/>
  <c r="H1218" i="8" a="1"/>
  <c r="N1196" i="8" a="1"/>
  <c r="E1233" i="8" a="1"/>
  <c r="M1215" i="8" a="1"/>
  <c r="I1174" i="8" a="1"/>
  <c r="L1202" i="8" a="1"/>
  <c r="K1212" i="8" a="1"/>
  <c r="N1161" i="8" a="1"/>
  <c r="K1266" i="8" a="1"/>
  <c r="J1316" i="8" a="1"/>
  <c r="K1245" i="8" a="1"/>
  <c r="G1286" i="8" a="1"/>
  <c r="F1224" i="8" a="1"/>
  <c r="O1234" i="8" a="1"/>
  <c r="L1257" i="8" a="1"/>
  <c r="G1276" i="8" a="1"/>
  <c r="O1267" i="8" a="1"/>
  <c r="E1225" i="8" a="1"/>
  <c r="K1250" i="8" a="1"/>
  <c r="F1293" i="8" a="1"/>
  <c r="I1260" i="8" a="1"/>
  <c r="L1238" i="8" a="1"/>
  <c r="L1205" i="8" a="1"/>
  <c r="N1308" i="8" a="1"/>
  <c r="F1273" i="8" a="1"/>
  <c r="E1274" i="8" a="1"/>
  <c r="J1292" i="8" a="1"/>
  <c r="M1326" i="8" a="1"/>
  <c r="M1290" i="8" a="1"/>
  <c r="K1321" i="8" a="1"/>
  <c r="I1287" i="8" a="1"/>
  <c r="N1268" i="8" a="1"/>
  <c r="G1322" i="8" a="1"/>
  <c r="G1331" i="8" a="1"/>
  <c r="H1264" i="8" a="1"/>
  <c r="L1287" i="8" a="1"/>
  <c r="O1317" i="8" a="1"/>
  <c r="K1347" i="8" a="1"/>
  <c r="I1332" i="8" a="1"/>
  <c r="M1280" i="8" a="1"/>
  <c r="H1284" i="8" a="1"/>
  <c r="F1303" i="8" a="1"/>
  <c r="M1291" i="8" a="1"/>
  <c r="H1297" i="8" a="1"/>
  <c r="I1299" i="8" a="1"/>
  <c r="H1307" i="8" a="1"/>
  <c r="I1280" i="8" a="1"/>
  <c r="J1314" i="8" a="1"/>
  <c r="N1360" i="8" a="1"/>
  <c r="I1256" i="8" a="1"/>
  <c r="N1279" i="8" a="1"/>
  <c r="O1295" i="8" a="1"/>
  <c r="K1334" i="8" a="1"/>
  <c r="E1366" i="8" a="1"/>
  <c r="K1348" i="8" a="1"/>
  <c r="O1450" i="8" a="1"/>
  <c r="K1327" i="8" a="1"/>
  <c r="O1328" i="8" a="1"/>
  <c r="E1388" i="8" a="1"/>
  <c r="J1348" i="8" a="1"/>
  <c r="J1350" i="8" a="1"/>
  <c r="G1362" i="8" a="1"/>
  <c r="J1301" i="8" a="1"/>
  <c r="E1389" i="8" a="1"/>
  <c r="L1382" i="8" a="1"/>
  <c r="G1336" i="8" a="1"/>
  <c r="J1346" i="8" a="1"/>
  <c r="G1373" i="8" a="1"/>
  <c r="O1349" i="8" a="1"/>
  <c r="G1361" i="8" a="1"/>
  <c r="F1301" i="8" a="1"/>
  <c r="K1378" i="8" a="1"/>
  <c r="G1333" i="8" a="1"/>
  <c r="J1391" i="8" a="1"/>
  <c r="F1335" i="8" a="1"/>
  <c r="O1415" i="8" a="1"/>
  <c r="G1342" i="8" a="1"/>
  <c r="H1375" i="8" a="1"/>
  <c r="H1407" i="8" a="1"/>
  <c r="K1411" i="8" a="1"/>
  <c r="E1363" i="8" a="1"/>
  <c r="O1394" i="8" a="1"/>
  <c r="N1353" i="8" a="1"/>
  <c r="F1412" i="8" a="1"/>
  <c r="G1379" i="8" a="1"/>
  <c r="K1402" i="8" a="1"/>
  <c r="O1377" i="8" a="1"/>
  <c r="N1400" i="8" a="1"/>
  <c r="I1370" i="8" a="1"/>
  <c r="J1365" i="8" a="1"/>
  <c r="G1400" i="8" a="1"/>
  <c r="G1406" i="8" a="1"/>
  <c r="N1518" i="8" a="1"/>
  <c r="K1448" i="8" a="1"/>
  <c r="E1434" i="8" a="1"/>
  <c r="F1451" i="8" a="1"/>
  <c r="F1470" i="8" a="1"/>
  <c r="I1445" i="8" a="1"/>
  <c r="G1458" i="8" a="1"/>
  <c r="H1462" i="8" a="1"/>
  <c r="E1481" i="8" a="1"/>
  <c r="E1442" i="8" a="1"/>
  <c r="F1463" i="8" a="1"/>
  <c r="F1467" i="8" a="1"/>
  <c r="G1439" i="8" a="1"/>
  <c r="F1453" i="8" a="1"/>
  <c r="I1441" i="8" a="1"/>
  <c r="F1446" i="8" a="1"/>
  <c r="J1456" i="8" a="1"/>
  <c r="N1483" i="8" a="1"/>
  <c r="L1474" i="8" a="1"/>
  <c r="L1475" i="8" a="1"/>
  <c r="E1466" i="8" a="1"/>
  <c r="O1499" i="8" a="1"/>
  <c r="M1526" i="8" a="1"/>
  <c r="I1495" i="8" a="1"/>
  <c r="E1482" i="8" a="1"/>
  <c r="I1515" i="8" a="1"/>
  <c r="F1471" i="8" a="1"/>
  <c r="F1478" i="8" a="1"/>
  <c r="E1514" i="8" a="1"/>
  <c r="H1534" i="8" a="1"/>
  <c r="H1503" i="8" a="1"/>
  <c r="M1513" i="8" a="1"/>
  <c r="E1513" i="8" a="1"/>
  <c r="I1536" i="8" a="1"/>
  <c r="I1549" i="8" a="1"/>
  <c r="O1492" i="8" a="1"/>
  <c r="M1489" i="8" a="1"/>
  <c r="E1505" i="8" a="1"/>
  <c r="H1523" i="8" a="1"/>
  <c r="O1537" i="8" a="1"/>
  <c r="G1556" i="8" a="1"/>
  <c r="K1485" i="8" a="1"/>
  <c r="F1524" i="8" a="1"/>
  <c r="E997" i="8" a="1"/>
  <c r="N1017" i="8" a="1"/>
  <c r="M1032" i="8" a="1"/>
  <c r="N1018" i="8" a="1"/>
  <c r="H983" i="8" a="1"/>
  <c r="F921" i="8" a="1"/>
  <c r="L986" i="8" a="1"/>
  <c r="N898" i="8" a="1"/>
  <c r="I987" i="8" a="1"/>
  <c r="G1014" i="8" a="1"/>
  <c r="I921" i="8" a="1"/>
  <c r="N1033" i="8" a="1"/>
  <c r="E1044" i="8" a="1"/>
  <c r="H1067" i="8" a="1"/>
  <c r="F1058" i="8" a="1"/>
  <c r="G1076" i="8" a="1"/>
  <c r="L1009" i="8" a="1"/>
  <c r="I1036" i="8" a="1"/>
  <c r="I1051" i="8" a="1"/>
  <c r="O1024" i="8" a="1"/>
  <c r="O1059" i="8" a="1"/>
  <c r="K1002" i="8" a="1"/>
  <c r="I1042" i="8" a="1"/>
  <c r="I981" i="8" a="1"/>
  <c r="F1011" i="8" a="1"/>
  <c r="L1049" i="8" a="1"/>
  <c r="L1060" i="8" a="1"/>
  <c r="M1011" i="8" a="1"/>
  <c r="J1035" i="8" a="1"/>
  <c r="G1043" i="8" a="1"/>
  <c r="N1113" i="8" a="1"/>
  <c r="E1016" i="8" a="1"/>
  <c r="N1075" i="8" a="1"/>
  <c r="N1080" i="8" a="1"/>
  <c r="O1056" i="8" a="1"/>
  <c r="E1141" i="8" a="1"/>
  <c r="J1099" i="8" a="1"/>
  <c r="F1106" i="8" a="1"/>
  <c r="K1152" i="8" a="1"/>
  <c r="E1119" i="8" a="1"/>
  <c r="K1094" i="8" a="1"/>
  <c r="H1133" i="8" a="1"/>
  <c r="H1125" i="8" a="1"/>
  <c r="I1130" i="8" a="1"/>
  <c r="J1083" i="8" a="1"/>
  <c r="K1073" i="8" a="1"/>
  <c r="H1090" i="8" a="1"/>
  <c r="E1116" i="8" a="1"/>
  <c r="M1088" i="8" a="1"/>
  <c r="O1104" i="8" a="1"/>
  <c r="E1142" i="8" a="1"/>
  <c r="I1219" i="8" a="1"/>
  <c r="M1131" i="8" a="1"/>
  <c r="J1114" i="8" a="1"/>
  <c r="E1154" i="8" a="1"/>
  <c r="F1163" i="8" a="1"/>
  <c r="K1139" i="8" a="1"/>
  <c r="E1153" i="8" a="1"/>
  <c r="E1104" i="8" a="1"/>
  <c r="F1143" i="8" a="1"/>
  <c r="N1195" i="8" a="1"/>
  <c r="G1100" i="8" a="1"/>
  <c r="F1135" i="8" a="1"/>
  <c r="L1153" i="8" a="1"/>
  <c r="O1175" i="8" a="1"/>
  <c r="F1158" i="8" a="1"/>
  <c r="H1176" i="8" a="1"/>
  <c r="N1122" i="8" a="1"/>
  <c r="K1132" i="8" a="1"/>
  <c r="N1150" i="8" a="1"/>
  <c r="M1140" i="8" a="1"/>
  <c r="F1165" i="8" a="1"/>
  <c r="H1162" i="8" a="1"/>
  <c r="K1184" i="8" a="1"/>
  <c r="G1174" i="8" a="1"/>
  <c r="F1191" i="8" a="1"/>
  <c r="E1223" i="8" a="1"/>
  <c r="G1235" i="8" a="1"/>
  <c r="J1180" i="8" a="1"/>
  <c r="F1192" i="8" a="1"/>
  <c r="H1227" i="8" a="1"/>
  <c r="F1160" i="8" a="1"/>
  <c r="F1203" i="8" a="1"/>
  <c r="E1126" i="8" a="1"/>
  <c r="K1192" i="8" a="1"/>
  <c r="J1166" i="8" a="1"/>
  <c r="I1187" i="8" a="1"/>
  <c r="I1208" i="8" a="1"/>
  <c r="J1214" i="8" a="1"/>
  <c r="F1204" i="8" a="1"/>
  <c r="N1242" i="8" a="1"/>
  <c r="F1196" i="8" a="1"/>
  <c r="O1233" i="8" a="1"/>
  <c r="E1215" i="8" a="1"/>
  <c r="M1174" i="8" a="1"/>
  <c r="H1209" i="8" a="1"/>
  <c r="I1212" i="8" a="1"/>
  <c r="E1164" i="8" a="1"/>
  <c r="J1266" i="8" a="1"/>
  <c r="H1316" i="8" a="1"/>
  <c r="J1245" i="8" a="1"/>
  <c r="N1286" i="8" a="1"/>
  <c r="H1267" i="8" a="1"/>
  <c r="M1224" i="8" a="1"/>
  <c r="N1234" i="8" a="1"/>
  <c r="K1257" i="8" a="1"/>
  <c r="H1221" i="8" a="1"/>
  <c r="H1341" i="8" a="1"/>
  <c r="J1229" i="8" a="1"/>
  <c r="I1250" i="8" a="1"/>
  <c r="N1293" i="8" a="1"/>
  <c r="E1260" i="8" a="1"/>
  <c r="H1283" i="8" a="1"/>
  <c r="O1221" i="8" a="1"/>
  <c r="M1308" i="8" a="1"/>
  <c r="L1274" i="8" a="1"/>
  <c r="G1292" i="8" a="1"/>
  <c r="L1326" i="8" a="1"/>
  <c r="E1290" i="8" a="1"/>
  <c r="I1321" i="8" a="1"/>
  <c r="L1312" i="8" a="1"/>
  <c r="F1268" i="8" a="1"/>
  <c r="I1322" i="8" a="1"/>
  <c r="M1331" i="8" a="1"/>
  <c r="N1264" i="8" a="1"/>
  <c r="E1291" i="8" a="1"/>
  <c r="F1317" i="8" a="1"/>
  <c r="H1347" i="8" a="1"/>
  <c r="H1332" i="8" a="1"/>
  <c r="E1280" i="8" a="1"/>
  <c r="O1284" i="8" a="1"/>
  <c r="E1303" i="8" a="1"/>
  <c r="F1294" i="8" a="1"/>
  <c r="N1297" i="8" a="1"/>
  <c r="H1304" i="8" a="1"/>
  <c r="G1307" i="8" a="1"/>
  <c r="O1289" i="8" a="1"/>
  <c r="H1314" i="8" a="1"/>
  <c r="F1360" i="8" a="1"/>
  <c r="O1256" i="8" a="1"/>
  <c r="F1279" i="8" a="1"/>
  <c r="I1334" i="8" a="1"/>
  <c r="L1366" i="8" a="1"/>
  <c r="N1398" i="8" a="1"/>
  <c r="N1450" i="8" a="1"/>
  <c r="G1328" i="8" a="1"/>
  <c r="L1388" i="8" a="1"/>
  <c r="J1342" i="8" a="1"/>
  <c r="H1350" i="8" a="1"/>
  <c r="E1362" i="8" a="1"/>
  <c r="M1301" i="8" a="1"/>
  <c r="K1389" i="8" a="1"/>
  <c r="K1382" i="8" a="1"/>
  <c r="E1336" i="8" a="1"/>
  <c r="H1346" i="8" a="1"/>
  <c r="N1373" i="8" a="1"/>
  <c r="G1349" i="8" a="1"/>
  <c r="M1361" i="8" a="1"/>
  <c r="F1320" i="8" a="1"/>
  <c r="J1378" i="8" a="1"/>
  <c r="E1333" i="8" a="1"/>
  <c r="H1391" i="8" a="1"/>
  <c r="L1335" i="8" a="1"/>
  <c r="G1415" i="8" a="1"/>
  <c r="K1371" i="8" a="1"/>
  <c r="I1375" i="8" a="1"/>
  <c r="N1407" i="8" a="1"/>
  <c r="K1432" i="8" a="1"/>
  <c r="J1411" i="8" a="1"/>
  <c r="L1363" i="8" a="1"/>
  <c r="G1394" i="8" a="1"/>
  <c r="F1353" i="8" a="1"/>
  <c r="E1412" i="8" a="1"/>
  <c r="N1379" i="8" a="1"/>
  <c r="J1402" i="8" a="1"/>
  <c r="G1377" i="8" a="1"/>
  <c r="F1400" i="8" a="1"/>
  <c r="M1387" i="8" a="1"/>
  <c r="I1365" i="8" a="1"/>
  <c r="H1363" i="8" a="1"/>
  <c r="L1409" i="8" a="1"/>
  <c r="F1518" i="8" a="1"/>
  <c r="M1448" i="8" a="1"/>
  <c r="M1434" i="8" a="1"/>
  <c r="E1451" i="8" a="1"/>
  <c r="E1470" i="8" a="1"/>
  <c r="M1445" i="8" a="1"/>
  <c r="F1458" i="8" a="1"/>
  <c r="G1462" i="8" a="1"/>
  <c r="K1481" i="8" a="1"/>
  <c r="N1442" i="8" a="1"/>
  <c r="L1463" i="8" a="1"/>
  <c r="E1467" i="8" a="1"/>
  <c r="F1439" i="8" a="1"/>
  <c r="M1453" i="8" a="1"/>
  <c r="O1441" i="8" a="1"/>
  <c r="I1446" i="8" a="1"/>
  <c r="I1456" i="8" a="1"/>
  <c r="F1483" i="8" a="1"/>
  <c r="H1421" i="8" a="1"/>
  <c r="N1474" i="8" a="1"/>
  <c r="J1475" i="8" a="1"/>
  <c r="N1466" i="8" a="1"/>
  <c r="G1499" i="8" a="1"/>
  <c r="L1526" i="8" a="1"/>
  <c r="J1495" i="8" a="1"/>
  <c r="K1491" i="8" a="1"/>
  <c r="H1515" i="8" a="1"/>
  <c r="M1471" i="8" a="1"/>
  <c r="M1478" i="8" a="1"/>
  <c r="L1514" i="8" a="1"/>
  <c r="E1534" i="8" a="1"/>
  <c r="O1503" i="8" a="1"/>
  <c r="L1513" i="8" a="1"/>
  <c r="O1522" i="8" a="1"/>
  <c r="M1536" i="8" a="1"/>
  <c r="G1549" i="8" a="1"/>
  <c r="M1492" i="8" a="1"/>
  <c r="E1489" i="8" a="1"/>
  <c r="F1505" i="8" a="1"/>
  <c r="M1528" i="8" a="1"/>
  <c r="F1537" i="8" a="1"/>
  <c r="F1556" i="8" a="1"/>
  <c r="H1485" i="8" a="1"/>
  <c r="M1524" i="8" a="1"/>
  <c r="N1502" i="8" a="1"/>
  <c r="H1488" i="8" a="1"/>
  <c r="N1512" i="8" a="1"/>
  <c r="F1554" i="8" a="1"/>
  <c r="L1506" i="8" a="1"/>
  <c r="I1547" i="8" a="1"/>
  <c r="N1540" i="8" a="1"/>
  <c r="K1564" i="8" a="1"/>
  <c r="H1553" i="8" a="1"/>
  <c r="E1543" i="8" a="1"/>
  <c r="I1582" i="8" a="1"/>
  <c r="G1552" i="8" a="1"/>
  <c r="F1563" i="8" a="1"/>
  <c r="J1519" i="8" a="1"/>
  <c r="G1579" i="8" a="1"/>
  <c r="L1606" i="8" a="1"/>
  <c r="E1557" i="8" a="1"/>
  <c r="J1601" i="8" a="1"/>
  <c r="K1574" i="8" a="1"/>
  <c r="F1584" i="8" a="1"/>
  <c r="L970" i="8" a="1"/>
  <c r="I950" i="8" a="1"/>
  <c r="H959" i="8" a="1"/>
  <c r="M1066" i="8" a="1"/>
  <c r="L1018" i="8" a="1"/>
  <c r="J983" i="8" a="1"/>
  <c r="M921" i="8" a="1"/>
  <c r="F898" i="8" a="1"/>
  <c r="H987" i="8" a="1"/>
  <c r="E1014" i="8" a="1"/>
  <c r="K1033" i="8" a="1"/>
  <c r="O1055" i="8" a="1"/>
  <c r="O1067" i="8" a="1"/>
  <c r="M1058" i="8" a="1"/>
  <c r="O1076" i="8" a="1"/>
  <c r="I1009" i="8" a="1"/>
  <c r="I1040" i="8" a="1"/>
  <c r="H1051" i="8" a="1"/>
  <c r="G1024" i="8" a="1"/>
  <c r="K1059" i="8" a="1"/>
  <c r="J1002" i="8" a="1"/>
  <c r="O1042" i="8" a="1"/>
  <c r="H981" i="8" a="1"/>
  <c r="L1011" i="8" a="1"/>
  <c r="K1049" i="8" a="1"/>
  <c r="H1065" i="8" a="1"/>
  <c r="L1019" i="8" a="1"/>
  <c r="I1035" i="8" a="1"/>
  <c r="L1054" i="8" a="1"/>
  <c r="F1113" i="8" a="1"/>
  <c r="O1016" i="8" a="1"/>
  <c r="K1075" i="8" a="1"/>
  <c r="I1046" i="8" a="1"/>
  <c r="J1080" i="8" a="1"/>
  <c r="G1056" i="8" a="1"/>
  <c r="O1141" i="8" a="1"/>
  <c r="I1099" i="8" a="1"/>
  <c r="L1106" i="8" a="1"/>
  <c r="J1152" i="8" a="1"/>
  <c r="N1119" i="8" a="1"/>
  <c r="M1094" i="8" a="1"/>
  <c r="G1125" i="8" a="1"/>
  <c r="N1130" i="8" a="1"/>
  <c r="H1083" i="8" a="1"/>
  <c r="J1073" i="8" a="1"/>
  <c r="G1090" i="8" a="1"/>
  <c r="L1116" i="8" a="1"/>
  <c r="K1088" i="8" a="1"/>
  <c r="G1104" i="8" a="1"/>
  <c r="O1142" i="8" a="1"/>
  <c r="H1219" i="8" a="1"/>
  <c r="L1131" i="8" a="1"/>
  <c r="H1114" i="8" a="1"/>
  <c r="O1154" i="8" a="1"/>
  <c r="E1163" i="8" a="1"/>
  <c r="K1153" i="8" a="1"/>
  <c r="L1143" i="8" a="1"/>
  <c r="O1199" i="8" a="1"/>
  <c r="L1102" i="8" a="1"/>
  <c r="E1135" i="8" a="1"/>
  <c r="K1175" i="8" a="1"/>
  <c r="E1131" i="8" a="1"/>
  <c r="L1172" i="8" a="1"/>
  <c r="M1176" i="8" a="1"/>
  <c r="F1122" i="8" a="1"/>
  <c r="I1132" i="8" a="1"/>
  <c r="K1150" i="8" a="1"/>
  <c r="L1140" i="8" a="1"/>
  <c r="N1165" i="8" a="1"/>
  <c r="N1162" i="8" a="1"/>
  <c r="I1184" i="8" a="1"/>
  <c r="M1179" i="8" a="1"/>
  <c r="O1223" i="8" a="1"/>
  <c r="O1315" i="8" a="1"/>
  <c r="I1180" i="8" a="1"/>
  <c r="L1192" i="8" a="1"/>
  <c r="G1227" i="8" a="1"/>
  <c r="J1160" i="8" a="1"/>
  <c r="H1228" i="8" a="1"/>
  <c r="O1161" i="8" a="1"/>
  <c r="J1203" i="8" a="1"/>
  <c r="F1166" i="8" a="1"/>
  <c r="L1203" i="8" a="1"/>
  <c r="H1187" i="8" a="1"/>
  <c r="G1208" i="8" a="1"/>
  <c r="H1214" i="8" a="1"/>
  <c r="L1187" i="8" a="1"/>
  <c r="E1204" i="8" a="1"/>
  <c r="F1242" i="8" a="1"/>
  <c r="L1196" i="8" a="1"/>
  <c r="N1233" i="8" a="1"/>
  <c r="L1215" i="8" a="1"/>
  <c r="E1174" i="8" a="1"/>
  <c r="O1209" i="8" a="1"/>
  <c r="E1212" i="8" a="1"/>
  <c r="M1191" i="8" a="1"/>
  <c r="H1266" i="8" a="1"/>
  <c r="G1316" i="8" a="1"/>
  <c r="H1245" i="8" a="1"/>
  <c r="F1286" i="8" a="1"/>
  <c r="N1267" i="8" a="1"/>
  <c r="E1224" i="8" a="1"/>
  <c r="K1234" i="8" a="1"/>
  <c r="N1257" i="8" a="1"/>
  <c r="I1234" i="8" a="1"/>
  <c r="O1341" i="8" a="1"/>
  <c r="I1229" i="8" a="1"/>
  <c r="G1250" i="8" a="1"/>
  <c r="E1293" i="8" a="1"/>
  <c r="O1260" i="8" a="1"/>
  <c r="N1283" i="8" a="1"/>
  <c r="K1225" i="8" a="1"/>
  <c r="L1308" i="8" a="1"/>
  <c r="K1274" i="8" a="1"/>
  <c r="E1292" i="8" a="1"/>
  <c r="J1287" i="8" a="1"/>
  <c r="L1290" i="8" a="1"/>
  <c r="L1321" i="8" a="1"/>
  <c r="J1312" i="8" a="1"/>
  <c r="M1268" i="8" a="1"/>
  <c r="M1322" i="8" a="1"/>
  <c r="O1331" i="8" a="1"/>
  <c r="F1264" i="8" a="1"/>
  <c r="O1294" i="8" a="1"/>
  <c r="N1317" i="8" a="1"/>
  <c r="G1332" i="8" a="1"/>
  <c r="L1280" i="8" a="1"/>
  <c r="G1284" i="8" a="1"/>
  <c r="G1318" i="8" a="1"/>
  <c r="L1297" i="8" a="1"/>
  <c r="N1304" i="8" a="1"/>
  <c r="O1307" i="8" a="1"/>
  <c r="G1289" i="8" a="1"/>
  <c r="F1314" i="8" a="1"/>
  <c r="M1360" i="8" a="1"/>
  <c r="G1256" i="8" a="1"/>
  <c r="L1279" i="8" a="1"/>
  <c r="O1264" i="8" a="1"/>
  <c r="E1256" i="8" a="1"/>
  <c r="K1366" i="8" a="1"/>
  <c r="F1398" i="8" a="1"/>
  <c r="M1450" i="8" a="1"/>
  <c r="M1342" i="8" a="1"/>
  <c r="N1328" i="8" a="1"/>
  <c r="K1388" i="8" a="1"/>
  <c r="I1342" i="8" a="1"/>
  <c r="M1359" i="8" a="1"/>
  <c r="M1362" i="8" a="1"/>
  <c r="N1305" i="8" a="1"/>
  <c r="I1389" i="8" a="1"/>
  <c r="I1382" i="8" a="1"/>
  <c r="M1343" i="8" a="1"/>
  <c r="G1346" i="8" a="1"/>
  <c r="F1373" i="8" a="1"/>
  <c r="H1349" i="8" a="1"/>
  <c r="E1361" i="8" a="1"/>
  <c r="I1378" i="8" a="1"/>
  <c r="N1333" i="8" a="1"/>
  <c r="N1391" i="8" a="1"/>
  <c r="M1335" i="8" a="1"/>
  <c r="N1415" i="8" a="1"/>
  <c r="J1371" i="8" a="1"/>
  <c r="G1375" i="8" a="1"/>
  <c r="F1407" i="8" a="1"/>
  <c r="O1432" i="8" a="1"/>
  <c r="H1411" i="8" a="1"/>
  <c r="J1363" i="8" a="1"/>
  <c r="N1394" i="8" a="1"/>
  <c r="M1353" i="8" a="1"/>
  <c r="N1465" i="8" a="1"/>
  <c r="F1379" i="8" a="1"/>
  <c r="M1377" i="8" a="1"/>
  <c r="M1400" i="8" a="1"/>
  <c r="N1430" i="8" a="1"/>
  <c r="O1365" i="8" a="1"/>
  <c r="I1414" i="8" a="1"/>
  <c r="F1377" i="8" a="1"/>
  <c r="H1425" i="8" a="1"/>
  <c r="K1518" i="8" a="1"/>
  <c r="L1448" i="8" a="1"/>
  <c r="L1434" i="8" a="1"/>
  <c r="O1451" i="8" a="1"/>
  <c r="E1440" i="8" a="1"/>
  <c r="L1445" i="8" a="1"/>
  <c r="N1421" i="8" a="1"/>
  <c r="F1462" i="8" a="1"/>
  <c r="L1481" i="8" a="1"/>
  <c r="K1442" i="8" a="1"/>
  <c r="K1463" i="8" a="1"/>
  <c r="I1422" i="8" a="1"/>
  <c r="E1439" i="8" a="1"/>
  <c r="E1453" i="8" a="1"/>
  <c r="G1441" i="8" a="1"/>
  <c r="H1446" i="8" a="1"/>
  <c r="H1456" i="8" a="1"/>
  <c r="K1483" i="8" a="1"/>
  <c r="N1422" i="8" a="1"/>
  <c r="M1474" i="8" a="1"/>
  <c r="I1475" i="8" a="1"/>
  <c r="M1466" i="8" a="1"/>
  <c r="N1499" i="8" a="1"/>
  <c r="J1526" i="8" a="1"/>
  <c r="H1495" i="8" a="1"/>
  <c r="J1491" i="8" a="1"/>
  <c r="E1515" i="8" a="1"/>
  <c r="E1471" i="8" a="1"/>
  <c r="L1478" i="8" a="1"/>
  <c r="I1514" i="8" a="1"/>
  <c r="O1534" i="8" a="1"/>
  <c r="G1503" i="8" a="1"/>
  <c r="K1513" i="8" a="1"/>
  <c r="F1544" i="8" a="1"/>
  <c r="L1536" i="8" a="1"/>
  <c r="J1549" i="8" a="1"/>
  <c r="E1496" i="8" a="1"/>
  <c r="L1489" i="8" a="1"/>
  <c r="O1505" i="8" a="1"/>
  <c r="E1528" i="8" a="1"/>
  <c r="K1537" i="8" a="1"/>
  <c r="O1556" i="8" a="1"/>
  <c r="E1485" i="8" a="1"/>
  <c r="E1524" i="8" a="1"/>
  <c r="H1504" i="8" a="1"/>
  <c r="F1488" i="8" a="1"/>
  <c r="F1512" i="8" a="1"/>
  <c r="K1554" i="8" a="1"/>
  <c r="I970" i="8" a="1"/>
  <c r="J950" i="8" a="1"/>
  <c r="G948" i="8" a="1"/>
  <c r="G959" i="8" a="1"/>
  <c r="E1066" i="8" a="1"/>
  <c r="O898" i="8" a="1"/>
  <c r="E986" i="8" a="1"/>
  <c r="E921" i="8" a="1"/>
  <c r="I999" i="8" a="1"/>
  <c r="O987" i="8" a="1"/>
  <c r="O1014" i="8" a="1"/>
  <c r="J951" i="8" a="1"/>
  <c r="J1033" i="8" a="1"/>
  <c r="G1055" i="8" a="1"/>
  <c r="G1067" i="8" a="1"/>
  <c r="E1058" i="8" a="1"/>
  <c r="E1076" i="8" a="1"/>
  <c r="G1009" i="8" a="1"/>
  <c r="H1040" i="8" a="1"/>
  <c r="O1051" i="8" a="1"/>
  <c r="L1024" i="8" a="1"/>
  <c r="J1059" i="8" a="1"/>
  <c r="J1034" i="8" a="1"/>
  <c r="K1042" i="8" a="1"/>
  <c r="O981" i="8" a="1"/>
  <c r="J1011" i="8" a="1"/>
  <c r="I1049" i="8" a="1"/>
  <c r="H1011" i="8" a="1"/>
  <c r="O1065" i="8" a="1"/>
  <c r="I1065" i="8" a="1"/>
  <c r="F1035" i="8" a="1"/>
  <c r="K1054" i="8" a="1"/>
  <c r="E1113" i="8" a="1"/>
  <c r="M1016" i="8" a="1"/>
  <c r="I1075" i="8" a="1"/>
  <c r="O1071" i="8" a="1"/>
  <c r="I1080" i="8" a="1"/>
  <c r="L1056" i="8" a="1"/>
  <c r="L1141" i="8" a="1"/>
  <c r="H1099" i="8" a="1"/>
  <c r="K1106" i="8" a="1"/>
  <c r="H1152" i="8" a="1"/>
  <c r="H1119" i="8" a="1"/>
  <c r="L1094" i="8" a="1"/>
  <c r="F1125" i="8" a="1"/>
  <c r="E1130" i="8" a="1"/>
  <c r="O1079" i="8" a="1"/>
  <c r="G1083" i="8" a="1"/>
  <c r="L1062" i="8" a="1"/>
  <c r="I1073" i="8" a="1"/>
  <c r="J1116" i="8" a="1"/>
  <c r="J1088" i="8" a="1"/>
  <c r="N1104" i="8" a="1"/>
  <c r="K1142" i="8" a="1"/>
  <c r="O1219" i="8" a="1"/>
  <c r="K1131" i="8" a="1"/>
  <c r="O1114" i="8" a="1"/>
  <c r="N1102" i="8" a="1"/>
  <c r="O1163" i="8" a="1"/>
  <c r="O1148" i="8" a="1"/>
  <c r="J1153" i="8" a="1"/>
  <c r="K1143" i="8" a="1"/>
  <c r="G1199" i="8" a="1"/>
  <c r="J1102" i="8" a="1"/>
  <c r="J1175" i="8" a="1"/>
  <c r="F1102" i="8" a="1"/>
  <c r="H1172" i="8" a="1"/>
  <c r="I1176" i="8" a="1"/>
  <c r="L1122" i="8" a="1"/>
  <c r="J1136" i="8" a="1"/>
  <c r="G1150" i="8" a="1"/>
  <c r="L1151" i="8" a="1"/>
  <c r="M1165" i="8" a="1"/>
  <c r="L1162" i="8" a="1"/>
  <c r="G1164" i="8" a="1"/>
  <c r="G1184" i="8" a="1"/>
  <c r="E1179" i="8" a="1"/>
  <c r="J1213" i="8" a="1"/>
  <c r="N1223" i="8" a="1"/>
  <c r="G1315" i="8" a="1"/>
  <c r="G1180" i="8" a="1"/>
  <c r="J1192" i="8" a="1"/>
  <c r="F1227" i="8" a="1"/>
  <c r="H1160" i="8" a="1"/>
  <c r="O1228" i="8" a="1"/>
  <c r="G1161" i="8" a="1"/>
  <c r="K1207" i="8" a="1"/>
  <c r="L1166" i="8" a="1"/>
  <c r="M1237" i="8" a="1"/>
  <c r="O1187" i="8" a="1"/>
  <c r="K1208" i="8" a="1"/>
  <c r="F1214" i="8" a="1"/>
  <c r="M1198" i="8" a="1"/>
  <c r="O1204" i="8" a="1"/>
  <c r="L1242" i="8" a="1"/>
  <c r="J1196" i="8" a="1"/>
  <c r="M1211" i="8" a="1"/>
  <c r="K1215" i="8" a="1"/>
  <c r="K1174" i="8" a="1"/>
  <c r="G1209" i="8" a="1"/>
  <c r="K1226" i="8" a="1"/>
  <c r="M1204" i="8" a="1"/>
  <c r="O1266" i="8" a="1"/>
  <c r="E1316" i="8" a="1"/>
  <c r="E1245" i="8" a="1"/>
  <c r="M1286" i="8" a="1"/>
  <c r="F1267" i="8" a="1"/>
  <c r="L1224" i="8" a="1"/>
  <c r="L1254" i="8" a="1"/>
  <c r="J1257" i="8" a="1"/>
  <c r="G1341" i="8" a="1"/>
  <c r="H1229" i="8" a="1"/>
  <c r="F1250" i="8" a="1"/>
  <c r="M1293" i="8" a="1"/>
  <c r="M1260" i="8" a="1"/>
  <c r="F1283" i="8" a="1"/>
  <c r="J1239" i="8" a="1"/>
  <c r="K1308" i="8" a="1"/>
  <c r="L1197" i="8" a="1"/>
  <c r="J1274" i="8" a="1"/>
  <c r="N1292" i="8" a="1"/>
  <c r="H1287" i="8" a="1"/>
  <c r="K1290" i="8" a="1"/>
  <c r="G1321" i="8" a="1"/>
  <c r="O1312" i="8" a="1"/>
  <c r="E1268" i="8" a="1"/>
  <c r="L1322" i="8" a="1"/>
  <c r="K1331" i="8" a="1"/>
  <c r="M1264" i="8" a="1"/>
  <c r="G1294" i="8" a="1"/>
  <c r="M1317" i="8" a="1"/>
  <c r="F1332" i="8" a="1"/>
  <c r="K1280" i="8" a="1"/>
  <c r="N1284" i="8" a="1"/>
  <c r="E1318" i="8" a="1"/>
  <c r="K1297" i="8" a="1"/>
  <c r="F1304" i="8" a="1"/>
  <c r="L1307" i="8" a="1"/>
  <c r="M1289" i="8" a="1"/>
  <c r="E1314" i="8" a="1"/>
  <c r="E1360" i="8" a="1"/>
  <c r="K1279" i="8" a="1"/>
  <c r="E1275" i="8" a="1"/>
  <c r="L1259" i="8" a="1"/>
  <c r="I1366" i="8" a="1"/>
  <c r="M1398" i="8" a="1"/>
  <c r="L1450" i="8" a="1"/>
  <c r="G1359" i="8" a="1"/>
  <c r="F1328" i="8" a="1"/>
  <c r="J1388" i="8" a="1"/>
  <c r="F1342" i="8" a="1"/>
  <c r="E1359" i="8" a="1"/>
  <c r="H1362" i="8" a="1"/>
  <c r="F1305" i="8" a="1"/>
  <c r="L1389" i="8" a="1"/>
  <c r="H1382" i="8" a="1"/>
  <c r="E1343" i="8" a="1"/>
  <c r="H1357" i="8" a="1"/>
  <c r="M1373" i="8" a="1"/>
  <c r="F1349" i="8" a="1"/>
  <c r="N1361" i="8" a="1"/>
  <c r="M1328" i="8" a="1"/>
  <c r="O1378" i="8" a="1"/>
  <c r="H1333" i="8" a="1"/>
  <c r="F1391" i="8" a="1"/>
  <c r="K1335" i="8" a="1"/>
  <c r="F1415" i="8" a="1"/>
  <c r="I1371" i="8" a="1"/>
  <c r="F1375" i="8" a="1"/>
  <c r="L1407" i="8" a="1"/>
  <c r="F1432" i="8" a="1"/>
  <c r="O1411" i="8" a="1"/>
  <c r="M1407" i="8" a="1"/>
  <c r="F1394" i="8" a="1"/>
  <c r="E1353" i="8" a="1"/>
  <c r="F1465" i="8" a="1"/>
  <c r="M1379" i="8" a="1"/>
  <c r="H1370" i="8" a="1"/>
  <c r="E1377" i="8" a="1"/>
  <c r="E1400" i="8" a="1"/>
  <c r="F1430" i="8" a="1"/>
  <c r="G1365" i="8" a="1"/>
  <c r="O1414" i="8" a="1"/>
  <c r="O1425" i="8" a="1"/>
  <c r="E1518" i="8" a="1"/>
  <c r="J1448" i="8" a="1"/>
  <c r="K1434" i="8" a="1"/>
  <c r="M1451" i="8" a="1"/>
  <c r="L1455" i="8" a="1"/>
  <c r="H1445" i="8" a="1"/>
  <c r="F1421" i="8" a="1"/>
  <c r="N1462" i="8" a="1"/>
  <c r="J1481" i="8" a="1"/>
  <c r="J1442" i="8" a="1"/>
  <c r="J1463" i="8" a="1"/>
  <c r="M1433" i="8" a="1"/>
  <c r="N1439" i="8" a="1"/>
  <c r="K1453" i="8" a="1"/>
  <c r="K1441" i="8" a="1"/>
  <c r="G1446" i="8" a="1"/>
  <c r="G1421" i="8" a="1"/>
  <c r="M1483" i="8" a="1"/>
  <c r="L1433" i="8" a="1"/>
  <c r="K1474" i="8" a="1"/>
  <c r="E1475" i="8" a="1"/>
  <c r="L1466" i="8" a="1"/>
  <c r="F1499" i="8" a="1"/>
  <c r="G1526" i="8" a="1"/>
  <c r="G1495" i="8" a="1"/>
  <c r="I1491" i="8" a="1"/>
  <c r="M1515" i="8" a="1"/>
  <c r="J1471" i="8" a="1"/>
  <c r="K1478" i="8" a="1"/>
  <c r="G1514" i="8" a="1"/>
  <c r="F1534" i="8" a="1"/>
  <c r="N1503" i="8" a="1"/>
  <c r="F1513" i="8" a="1"/>
  <c r="K1536" i="8" a="1"/>
  <c r="F1549" i="8" a="1"/>
  <c r="N1508" i="8" a="1"/>
  <c r="J1489" i="8" a="1"/>
  <c r="G1505" i="8" a="1"/>
  <c r="L1528" i="8" a="1"/>
  <c r="N1537" i="8" a="1"/>
  <c r="N1556" i="8" a="1"/>
  <c r="N1485" i="8" a="1"/>
  <c r="J1524" i="8" a="1"/>
  <c r="N1517" i="8" a="1"/>
  <c r="I1496" i="8" a="1"/>
  <c r="H1554" i="8" a="1"/>
  <c r="N970" i="8" a="1"/>
  <c r="H976" i="8" a="1"/>
  <c r="O948" i="8" a="1"/>
  <c r="O959" i="8" a="1"/>
  <c r="L1066" i="8" a="1"/>
  <c r="G954" i="8" a="1"/>
  <c r="H999" i="8" a="1"/>
  <c r="H921" i="8" a="1"/>
  <c r="I1027" i="8" a="1"/>
  <c r="G987" i="8" a="1"/>
  <c r="M1014" i="8" a="1"/>
  <c r="E955" i="8" a="1"/>
  <c r="I1033" i="8" a="1"/>
  <c r="N1055" i="8" a="1"/>
  <c r="N1067" i="8" a="1"/>
  <c r="L1058" i="8" a="1"/>
  <c r="M1076" i="8" a="1"/>
  <c r="F1009" i="8" a="1"/>
  <c r="O1040" i="8" a="1"/>
  <c r="N1051" i="8" a="1"/>
  <c r="K1024" i="8" a="1"/>
  <c r="G1059" i="8" a="1"/>
  <c r="I1034" i="8" a="1"/>
  <c r="J1042" i="8" a="1"/>
  <c r="G981" i="8" a="1"/>
  <c r="G1011" i="8" a="1"/>
  <c r="G1049" i="8" a="1"/>
  <c r="F1019" i="8" a="1"/>
  <c r="G1065" i="8" a="1"/>
  <c r="K1003" i="8" a="1"/>
  <c r="N1035" i="8" a="1"/>
  <c r="J1054" i="8" a="1"/>
  <c r="O1113" i="8" a="1"/>
  <c r="L1016" i="8" a="1"/>
  <c r="H1075" i="8" a="1"/>
  <c r="G1071" i="8" a="1"/>
  <c r="L1081" i="8" a="1"/>
  <c r="E1057" i="8" a="1"/>
  <c r="F1141" i="8" a="1"/>
  <c r="K1099" i="8" a="1"/>
  <c r="G1106" i="8" a="1"/>
  <c r="E1152" i="8" a="1"/>
  <c r="F1119" i="8" a="1"/>
  <c r="I1094" i="8" a="1"/>
  <c r="J1056" i="8" a="1"/>
  <c r="N1125" i="8" a="1"/>
  <c r="G1079" i="8" a="1"/>
  <c r="F1083" i="8" a="1"/>
  <c r="H1073" i="8" a="1"/>
  <c r="M1097" i="8" a="1"/>
  <c r="H1116" i="8" a="1"/>
  <c r="G1088" i="8" a="1"/>
  <c r="F1104" i="8" a="1"/>
  <c r="J1142" i="8" a="1"/>
  <c r="G1219" i="8" a="1"/>
  <c r="G1131" i="8" a="1"/>
  <c r="G1114" i="8" a="1"/>
  <c r="N1163" i="8" a="1"/>
  <c r="G1148" i="8" a="1"/>
  <c r="F1153" i="8" a="1"/>
  <c r="M1129" i="8" a="1"/>
  <c r="J1143" i="8" a="1"/>
  <c r="N1199" i="8" a="1"/>
  <c r="I1102" i="8" a="1"/>
  <c r="H1091" i="8" a="1"/>
  <c r="I1175" i="8" a="1"/>
  <c r="K1104" i="8" a="1"/>
  <c r="N1172" i="8" a="1"/>
  <c r="G1176" i="8" a="1"/>
  <c r="K1122" i="8" a="1"/>
  <c r="F1150" i="8" a="1"/>
  <c r="K1151" i="8" a="1"/>
  <c r="K1091" i="8" a="1"/>
  <c r="F1162" i="8" a="1"/>
  <c r="I1171" i="8" a="1"/>
  <c r="E1184" i="8" a="1"/>
  <c r="L1179" i="8" a="1"/>
  <c r="I1213" i="8" a="1"/>
  <c r="M1223" i="8" a="1"/>
  <c r="N1315" i="8" a="1"/>
  <c r="I1240" i="8" a="1"/>
  <c r="H1192" i="8" a="1"/>
  <c r="K1244" i="8" a="1"/>
  <c r="E1160" i="8" a="1"/>
  <c r="G1228" i="8" a="1"/>
  <c r="E1161" i="8" a="1"/>
  <c r="J1207" i="8" a="1"/>
  <c r="H1167" i="8" a="1"/>
  <c r="E1237" i="8" a="1"/>
  <c r="G1187" i="8" a="1"/>
  <c r="G1126" i="8" a="1"/>
  <c r="O1241" i="8" a="1"/>
  <c r="E1198" i="8" a="1"/>
  <c r="I1204" i="8" a="1"/>
  <c r="H1242" i="8" a="1"/>
  <c r="K1196" i="8" a="1"/>
  <c r="E1211" i="8" a="1"/>
  <c r="J1215" i="8" a="1"/>
  <c r="O1174" i="8" a="1"/>
  <c r="N1209" i="8" a="1"/>
  <c r="J1226" i="8" a="1"/>
  <c r="G1266" i="8" a="1"/>
  <c r="I1205" i="8" a="1"/>
  <c r="O1270" i="8" a="1"/>
  <c r="E1286" i="8" a="1"/>
  <c r="M1267" i="8" a="1"/>
  <c r="K1224" i="8" a="1"/>
  <c r="J1254" i="8" a="1"/>
  <c r="I1257" i="8" a="1"/>
  <c r="F1239" i="8" a="1"/>
  <c r="M1341" i="8" a="1"/>
  <c r="K1232" i="8" a="1"/>
  <c r="E1250" i="8" a="1"/>
  <c r="L1293" i="8" a="1"/>
  <c r="J1260" i="8" a="1"/>
  <c r="M1283" i="8" a="1"/>
  <c r="H1239" i="8" a="1"/>
  <c r="I1308" i="8" a="1"/>
  <c r="L1225" i="8" a="1"/>
  <c r="H1309" i="8" a="1"/>
  <c r="M1292" i="8" a="1"/>
  <c r="O1287" i="8" a="1"/>
  <c r="I1298" i="8" a="1"/>
  <c r="F1321" i="8" a="1"/>
  <c r="M1312" i="8" a="1"/>
  <c r="L1268" i="8" a="1"/>
  <c r="N1322" i="8" a="1"/>
  <c r="E1331" i="8" a="1"/>
  <c r="E1264" i="8" a="1"/>
  <c r="N1294" i="8" a="1"/>
  <c r="I1317" i="8" a="1"/>
  <c r="G1264" i="8" a="1"/>
  <c r="K1332" i="8" a="1"/>
  <c r="J1280" i="8" a="1"/>
  <c r="F1284" i="8" a="1"/>
  <c r="J1318" i="8" a="1"/>
  <c r="L1272" i="8" a="1"/>
  <c r="I1297" i="8" a="1"/>
  <c r="K1304" i="8" a="1"/>
  <c r="J1307" i="8" a="1"/>
  <c r="E1289" i="8" a="1"/>
  <c r="H1319" i="8" a="1"/>
  <c r="L1360" i="8" a="1"/>
  <c r="L1264" i="8" a="1"/>
  <c r="J1279" i="8" a="1"/>
  <c r="J1259" i="8" a="1"/>
  <c r="O1366" i="8" a="1"/>
  <c r="E1398" i="8" a="1"/>
  <c r="K1450" i="8" a="1"/>
  <c r="F1362" i="8" a="1"/>
  <c r="E1328" i="8" a="1"/>
  <c r="H1388" i="8" a="1"/>
  <c r="E1342" i="8" a="1"/>
  <c r="L1359" i="8" a="1"/>
  <c r="L1381" i="8" a="1"/>
  <c r="L1305" i="8" a="1"/>
  <c r="J1389" i="8" a="1"/>
  <c r="O1382" i="8" a="1"/>
  <c r="L1343" i="8" a="1"/>
  <c r="O1357" i="8" a="1"/>
  <c r="E1373" i="8" a="1"/>
  <c r="E1349" i="8" a="1"/>
  <c r="F1361" i="8" a="1"/>
  <c r="H1354" i="8" a="1"/>
  <c r="G1378" i="8" a="1"/>
  <c r="H1338" i="8" a="1"/>
  <c r="O1391" i="8" a="1"/>
  <c r="E1335" i="8" a="1"/>
  <c r="M1415" i="8" a="1"/>
  <c r="H1371" i="8" a="1"/>
  <c r="K1407" i="8" a="1"/>
  <c r="N1432" i="8" a="1"/>
  <c r="N1411" i="8" a="1"/>
  <c r="O1428" i="8" a="1"/>
  <c r="N1418" i="8" a="1"/>
  <c r="L1353" i="8" a="1"/>
  <c r="K1465" i="8" a="1"/>
  <c r="E1379" i="8" a="1"/>
  <c r="O1370" i="8" a="1"/>
  <c r="I1380" i="8" a="1"/>
  <c r="H1409" i="8" a="1"/>
  <c r="O1430" i="8" a="1"/>
  <c r="N1414" i="8" a="1"/>
  <c r="O1387" i="8" a="1"/>
  <c r="G1425" i="8" a="1"/>
  <c r="M1518" i="8" a="1"/>
  <c r="I1448" i="8" a="1"/>
  <c r="J1434" i="8" a="1"/>
  <c r="L1451" i="8" a="1"/>
  <c r="K1455" i="8" a="1"/>
  <c r="G1445" i="8" a="1"/>
  <c r="M1421" i="8" a="1"/>
  <c r="E1462" i="8" a="1"/>
  <c r="I1481" i="8" a="1"/>
  <c r="I1442" i="8" a="1"/>
  <c r="E1463" i="8" a="1"/>
  <c r="E1433" i="8" a="1"/>
  <c r="M1439" i="8" a="1"/>
  <c r="L1453" i="8" a="1"/>
  <c r="J1441" i="8" a="1"/>
  <c r="E1446" i="8" a="1"/>
  <c r="O1437" i="8" a="1"/>
  <c r="L1483" i="8" a="1"/>
  <c r="K1435" i="8" a="1"/>
  <c r="J1474" i="8" a="1"/>
  <c r="I1484" i="8" a="1"/>
  <c r="K1475" i="8" a="1"/>
  <c r="M1499" i="8" a="1"/>
  <c r="O1526" i="8" a="1"/>
  <c r="F1495" i="8" a="1"/>
  <c r="O1491" i="8" a="1"/>
  <c r="L1515" i="8" a="1"/>
  <c r="K1471" i="8" a="1"/>
  <c r="J1478" i="8" a="1"/>
  <c r="F1514" i="8" a="1"/>
  <c r="J1522" i="8" a="1"/>
  <c r="F1503" i="8" a="1"/>
  <c r="M1544" i="8" a="1"/>
  <c r="N1477" i="8" a="1"/>
  <c r="J1536" i="8" a="1"/>
  <c r="O1549" i="8" a="1"/>
  <c r="F1508" i="8" a="1"/>
  <c r="I1489" i="8" a="1"/>
  <c r="L1505" i="8" a="1"/>
  <c r="K1528" i="8" a="1"/>
  <c r="L1537" i="8" a="1"/>
  <c r="E1556" i="8" a="1"/>
  <c r="M1485" i="8" a="1"/>
  <c r="L1524" i="8" a="1"/>
  <c r="F1517" i="8" a="1"/>
  <c r="H1496" i="8" a="1"/>
  <c r="M970" i="8" a="1"/>
  <c r="G976" i="8" a="1"/>
  <c r="M948" i="8" a="1"/>
  <c r="N959" i="8" a="1"/>
  <c r="K1066" i="8" a="1"/>
  <c r="M954" i="8" a="1"/>
  <c r="O1023" i="8" a="1"/>
  <c r="N1027" i="8" a="1"/>
  <c r="N987" i="8" a="1"/>
  <c r="L1014" i="8" a="1"/>
  <c r="H951" i="8" a="1"/>
  <c r="K960" i="8" a="1"/>
  <c r="K1044" i="8" a="1"/>
  <c r="F1055" i="8" a="1"/>
  <c r="K1067" i="8" a="1"/>
  <c r="I1058" i="8" a="1"/>
  <c r="L1076" i="8" a="1"/>
  <c r="O1009" i="8" a="1"/>
  <c r="G1040" i="8" a="1"/>
  <c r="K1051" i="8" a="1"/>
  <c r="J1024" i="8" a="1"/>
  <c r="H1034" i="8" a="1"/>
  <c r="H1042" i="8" a="1"/>
  <c r="N981" i="8" a="1"/>
  <c r="E1011" i="8" a="1"/>
  <c r="F1049" i="8" a="1"/>
  <c r="F1024" i="8" a="1"/>
  <c r="M1065" i="8" a="1"/>
  <c r="N1020" i="8" a="1"/>
  <c r="L1035" i="8" a="1"/>
  <c r="O1054" i="8" a="1"/>
  <c r="K1113" i="8" a="1"/>
  <c r="J1016" i="8" a="1"/>
  <c r="G1075" i="8" a="1"/>
  <c r="N1071" i="8" a="1"/>
  <c r="K1081" i="8" a="1"/>
  <c r="F1057" i="8" a="1"/>
  <c r="F1099" i="8" a="1"/>
  <c r="O1106" i="8" a="1"/>
  <c r="L1152" i="8" a="1"/>
  <c r="N1084" i="8" a="1"/>
  <c r="H1094" i="8" a="1"/>
  <c r="O1125" i="8" a="1"/>
  <c r="J1079" i="8" a="1"/>
  <c r="O1083" i="8" a="1"/>
  <c r="E1071" i="8" a="1"/>
  <c r="G1073" i="8" a="1"/>
  <c r="E1097" i="8" a="1"/>
  <c r="F1116" i="8" a="1"/>
  <c r="F1088" i="8" a="1"/>
  <c r="M1104" i="8" a="1"/>
  <c r="I1142" i="8" a="1"/>
  <c r="L1219" i="8" a="1"/>
  <c r="O1183" i="8" a="1"/>
  <c r="F1114" i="8" a="1"/>
  <c r="L1142" i="8" a="1"/>
  <c r="K1163" i="8" a="1"/>
  <c r="M1148" i="8" a="1"/>
  <c r="M1091" i="8" a="1"/>
  <c r="E1129" i="8" a="1"/>
  <c r="I1143" i="8" a="1"/>
  <c r="F1199" i="8" a="1"/>
  <c r="M1102" i="8" a="1"/>
  <c r="N1175" i="8" a="1"/>
  <c r="F1109" i="8" a="1"/>
  <c r="F1172" i="8" a="1"/>
  <c r="E1176" i="8" a="1"/>
  <c r="G1122" i="8" a="1"/>
  <c r="O1150" i="8" a="1"/>
  <c r="J1151" i="8" a="1"/>
  <c r="L1114" i="8" a="1"/>
  <c r="M1182" i="8" a="1"/>
  <c r="H1171" i="8" a="1"/>
  <c r="O1184" i="8" a="1"/>
  <c r="K1179" i="8" a="1"/>
  <c r="H1213" i="8" a="1"/>
  <c r="L1223" i="8" a="1"/>
  <c r="F1315" i="8" a="1"/>
  <c r="O1240" i="8" a="1"/>
  <c r="G1192" i="8" a="1"/>
  <c r="I1244" i="8" a="1"/>
  <c r="O1160" i="8" a="1"/>
  <c r="N1228" i="8" a="1"/>
  <c r="M1161" i="8" a="1"/>
  <c r="I1207" i="8" a="1"/>
  <c r="L1171" i="8" a="1"/>
  <c r="K1237" i="8" a="1"/>
  <c r="M1187" i="8" a="1"/>
  <c r="J1167" i="8" a="1"/>
  <c r="G1241" i="8" a="1"/>
  <c r="L1198" i="8" a="1"/>
  <c r="G1204" i="8" a="1"/>
  <c r="G1242" i="8" a="1"/>
  <c r="I1196" i="8" a="1"/>
  <c r="L1211" i="8" a="1"/>
  <c r="H1215" i="8" a="1"/>
  <c r="L1174" i="8" a="1"/>
  <c r="F1209" i="8" a="1"/>
  <c r="I1226" i="8" a="1"/>
  <c r="F1266" i="8" a="1"/>
  <c r="G1270" i="8" a="1"/>
  <c r="L1286" i="8" a="1"/>
  <c r="E1267" i="8" a="1"/>
  <c r="J1224" i="8" a="1"/>
  <c r="F1254" i="8" a="1"/>
  <c r="H1257" i="8" a="1"/>
  <c r="J1255" i="8" a="1"/>
  <c r="E1341" i="8" a="1"/>
  <c r="F1232" i="8" a="1"/>
  <c r="O1250" i="8" a="1"/>
  <c r="H1260" i="8" a="1"/>
  <c r="E1283" i="8" a="1"/>
  <c r="O1239" i="8" a="1"/>
  <c r="G1308" i="8" a="1"/>
  <c r="K1229" i="8" a="1"/>
  <c r="N1309" i="8" a="1"/>
  <c r="L1292" i="8" a="1"/>
  <c r="G1287" i="8" a="1"/>
  <c r="K1298" i="8" a="1"/>
  <c r="O1321" i="8" a="1"/>
  <c r="K1312" i="8" a="1"/>
  <c r="J1313" i="8" a="1"/>
  <c r="K1322" i="8" a="1"/>
  <c r="H1386" i="8" a="1"/>
  <c r="K1264" i="8" a="1"/>
  <c r="E1294" i="8" a="1"/>
  <c r="H1317" i="8" a="1"/>
  <c r="L1288" i="8" a="1"/>
  <c r="O1332" i="8" a="1"/>
  <c r="M1282" i="8" a="1"/>
  <c r="M1284" i="8" a="1"/>
  <c r="O1318" i="8" a="1"/>
  <c r="K1272" i="8" a="1"/>
  <c r="G1297" i="8" a="1"/>
  <c r="I1304" i="8" a="1"/>
  <c r="O1344" i="8" a="1"/>
  <c r="L1289" i="8" a="1"/>
  <c r="N1319" i="8" a="1"/>
  <c r="J1360" i="8" a="1"/>
  <c r="M1269" i="8" a="1"/>
  <c r="I1279" i="8" a="1"/>
  <c r="M1288" i="8" a="1"/>
  <c r="I1259" i="8" a="1"/>
  <c r="J1366" i="8" a="1"/>
  <c r="L1398" i="8" a="1"/>
  <c r="J1450" i="8" a="1"/>
  <c r="O1376" i="8" a="1"/>
  <c r="I1328" i="8" a="1"/>
  <c r="O1388" i="8" a="1"/>
  <c r="N1342" i="8" a="1"/>
  <c r="K1359" i="8" a="1"/>
  <c r="K1381" i="8" a="1"/>
  <c r="I1305" i="8" a="1"/>
  <c r="M1296" i="8" a="1"/>
  <c r="J1382" i="8" a="1"/>
  <c r="J1343" i="8" a="1"/>
  <c r="G1357" i="8" a="1"/>
  <c r="K1373" i="8" a="1"/>
  <c r="N1349" i="8" a="1"/>
  <c r="I1396" i="8" a="1"/>
  <c r="O1354" i="8" a="1"/>
  <c r="N1378" i="8" a="1"/>
  <c r="O1338" i="8" a="1"/>
  <c r="I1391" i="8" a="1"/>
  <c r="F1338" i="8" a="1"/>
  <c r="E1415" i="8" a="1"/>
  <c r="N1371" i="8" a="1"/>
  <c r="M1406" i="8" a="1"/>
  <c r="J1407" i="8" a="1"/>
  <c r="E1432" i="8" a="1"/>
  <c r="I1411" i="8" a="1"/>
  <c r="K1387" i="8" a="1"/>
  <c r="G1428" i="8" a="1"/>
  <c r="F1418" i="8" a="1"/>
  <c r="K1353" i="8" a="1"/>
  <c r="L1465" i="8" a="1"/>
  <c r="L1379" i="8" a="1"/>
  <c r="G1370" i="8" a="1"/>
  <c r="H1380" i="8" a="1"/>
  <c r="O1409" i="8" a="1"/>
  <c r="E1430" i="8" a="1"/>
  <c r="E1380" i="8" a="1"/>
  <c r="M1414" i="8" a="1"/>
  <c r="N1425" i="8" a="1"/>
  <c r="J1518" i="8" a="1"/>
  <c r="H1448" i="8" a="1"/>
  <c r="J1435" i="8" a="1"/>
  <c r="K1451" i="8" a="1"/>
  <c r="J1455" i="8" a="1"/>
  <c r="F1445" i="8" a="1"/>
  <c r="E1421" i="8" a="1"/>
  <c r="M1462" i="8" a="1"/>
  <c r="H1481" i="8" a="1"/>
  <c r="H1442" i="8" a="1"/>
  <c r="O1463" i="8" a="1"/>
  <c r="K1433" i="8" a="1"/>
  <c r="I1439" i="8" a="1"/>
  <c r="J1453" i="8" a="1"/>
  <c r="H1441" i="8" a="1"/>
  <c r="O1446" i="8" a="1"/>
  <c r="G1437" i="8" a="1"/>
  <c r="I1483" i="8" a="1"/>
  <c r="K1439" i="8" a="1"/>
  <c r="I1474" i="8" a="1"/>
  <c r="H1484" i="8" a="1"/>
  <c r="H1461" i="8" a="1"/>
  <c r="E1499" i="8" a="1"/>
  <c r="N1526" i="8" a="1"/>
  <c r="N1495" i="8" a="1"/>
  <c r="G1491" i="8" a="1"/>
  <c r="O1515" i="8" a="1"/>
  <c r="I1471" i="8" a="1"/>
  <c r="K1486" i="8" a="1"/>
  <c r="O1514" i="8" a="1"/>
  <c r="I1522" i="8" a="1"/>
  <c r="M1503" i="8" a="1"/>
  <c r="E1544" i="8" a="1"/>
  <c r="E1488" i="8" a="1"/>
  <c r="G1536" i="8" a="1"/>
  <c r="L1549" i="8" a="1"/>
  <c r="M1508" i="8" a="1"/>
  <c r="H1489" i="8" a="1"/>
  <c r="J1505" i="8" a="1"/>
  <c r="J1528" i="8" a="1"/>
  <c r="J1537" i="8" a="1"/>
  <c r="M1477" i="8" a="1"/>
  <c r="F904" i="8" a="1"/>
  <c r="N883" i="8" a="1"/>
  <c r="K985" i="8" a="1"/>
  <c r="K948" i="8" a="1"/>
  <c r="L992" i="8" a="1"/>
  <c r="L954" i="8" a="1"/>
  <c r="G1023" i="8" a="1"/>
  <c r="F1027" i="8" a="1"/>
  <c r="F987" i="8" a="1"/>
  <c r="I1014" i="8" a="1"/>
  <c r="G964" i="8" a="1"/>
  <c r="J1044" i="8" a="1"/>
  <c r="L1055" i="8" a="1"/>
  <c r="F1067" i="8" a="1"/>
  <c r="O1058" i="8" a="1"/>
  <c r="O1068" i="8" a="1"/>
  <c r="N1009" i="8" a="1"/>
  <c r="L1040" i="8" a="1"/>
  <c r="G1051" i="8" a="1"/>
  <c r="I1024" i="8" a="1"/>
  <c r="M995" i="8" a="1"/>
  <c r="M1034" i="8" a="1"/>
  <c r="O1052" i="8" a="1"/>
  <c r="F981" i="8" a="1"/>
  <c r="O1011" i="8" a="1"/>
  <c r="O1049" i="8" a="1"/>
  <c r="G1034" i="8" a="1"/>
  <c r="E1065" i="8" a="1"/>
  <c r="F1020" i="8" a="1"/>
  <c r="K1035" i="8" a="1"/>
  <c r="G1054" i="8" a="1"/>
  <c r="M1113" i="8" a="1"/>
  <c r="G1035" i="8" a="1"/>
  <c r="F1075" i="8" a="1"/>
  <c r="F1071" i="8" a="1"/>
  <c r="J1081" i="8" a="1"/>
  <c r="F1080" i="8" a="1"/>
  <c r="E1099" i="8" a="1"/>
  <c r="M1106" i="8" a="1"/>
  <c r="F1056" i="8" a="1"/>
  <c r="F1084" i="8" a="1"/>
  <c r="F1094" i="8" a="1"/>
  <c r="O1082" i="8" a="1"/>
  <c r="M1125" i="8" a="1"/>
  <c r="I1079" i="8" a="1"/>
  <c r="N1083" i="8" a="1"/>
  <c r="E1083" i="8" a="1"/>
  <c r="F1073" i="8" a="1"/>
  <c r="L1097" i="8" a="1"/>
  <c r="N1116" i="8" a="1"/>
  <c r="O1095" i="8" a="1"/>
  <c r="J1104" i="8" a="1"/>
  <c r="H1150" i="8" a="1"/>
  <c r="K1219" i="8" a="1"/>
  <c r="G1183" i="8" a="1"/>
  <c r="N1114" i="8" a="1"/>
  <c r="J1146" i="8" a="1"/>
  <c r="M1163" i="8" a="1"/>
  <c r="E1148" i="8" a="1"/>
  <c r="E1091" i="8" a="1"/>
  <c r="L1129" i="8" a="1"/>
  <c r="M1199" i="8" a="1"/>
  <c r="K1108" i="8" a="1"/>
  <c r="L1175" i="8" a="1"/>
  <c r="I1114" i="8" a="1"/>
  <c r="E1172" i="8" a="1"/>
  <c r="O1176" i="8" a="1"/>
  <c r="E1122" i="8" a="1"/>
  <c r="H1100" i="8" a="1"/>
  <c r="H1151" i="8" a="1"/>
  <c r="E1182" i="8" a="1"/>
  <c r="O1171" i="8" a="1"/>
  <c r="O1186" i="8" a="1"/>
  <c r="N1179" i="8" a="1"/>
  <c r="O1213" i="8" a="1"/>
  <c r="H1223" i="8" a="1"/>
  <c r="M1315" i="8" a="1"/>
  <c r="G1240" i="8" a="1"/>
  <c r="E1192" i="8" a="1"/>
  <c r="N1244" i="8" a="1"/>
  <c r="L1160" i="8" a="1"/>
  <c r="F1228" i="8" a="1"/>
  <c r="L1161" i="8" a="1"/>
  <c r="H1207" i="8" a="1"/>
  <c r="L1188" i="8" a="1"/>
  <c r="J1237" i="8" a="1"/>
  <c r="K1187" i="8" a="1"/>
  <c r="M1241" i="8" a="1"/>
  <c r="K1198" i="8" a="1"/>
  <c r="N1211" i="8" a="1"/>
  <c r="E1242" i="8" a="1"/>
  <c r="G1196" i="8" a="1"/>
  <c r="K1211" i="8" a="1"/>
  <c r="J1174" i="8" a="1"/>
  <c r="J1209" i="8" a="1"/>
  <c r="H1226" i="8" a="1"/>
  <c r="H1205" i="8" a="1"/>
  <c r="N1266" i="8" a="1"/>
  <c r="N1221" i="8" a="1"/>
  <c r="N1270" i="8" a="1"/>
  <c r="K1286" i="8" a="1"/>
  <c r="L1267" i="8" a="1"/>
  <c r="H1224" i="8" a="1"/>
  <c r="E1254" i="8" a="1"/>
  <c r="N1276" i="8" a="1"/>
  <c r="H1255" i="8" a="1"/>
  <c r="K1341" i="8" a="1"/>
  <c r="O1232" i="8" a="1"/>
  <c r="F1257" i="8" a="1"/>
  <c r="L1283" i="8" a="1"/>
  <c r="G1239" i="8" a="1"/>
  <c r="O1273" i="8" a="1"/>
  <c r="I1238" i="8" a="1"/>
  <c r="F1309" i="8" a="1"/>
  <c r="K1292" i="8" a="1"/>
  <c r="N1287" i="8" a="1"/>
  <c r="J1298" i="8" a="1"/>
  <c r="N1321" i="8" a="1"/>
  <c r="I1312" i="8" a="1"/>
  <c r="H1313" i="8" a="1"/>
  <c r="J1322" i="8" a="1"/>
  <c r="O1386" i="8" a="1"/>
  <c r="J1264" i="8" a="1"/>
  <c r="M1294" i="8" a="1"/>
  <c r="E1317" i="8" a="1"/>
  <c r="K1288" i="8" a="1"/>
  <c r="N1332" i="8" a="1"/>
  <c r="E1282" i="8" a="1"/>
  <c r="E1284" i="8" a="1"/>
  <c r="N1318" i="8" a="1"/>
  <c r="J1272" i="8" a="1"/>
  <c r="F1297" i="8" a="1"/>
  <c r="G1304" i="8" a="1"/>
  <c r="G1344" i="8" a="1"/>
  <c r="K1289" i="8" a="1"/>
  <c r="F1319" i="8" a="1"/>
  <c r="K1360" i="8" a="1"/>
  <c r="E1269" i="8" a="1"/>
  <c r="N1282" i="8" a="1"/>
  <c r="H1292" i="8" a="1"/>
  <c r="H1259" i="8" a="1"/>
  <c r="H1366" i="8" a="1"/>
  <c r="K1398" i="8" a="1"/>
  <c r="I1450" i="8" a="1"/>
  <c r="G1376" i="8" a="1"/>
  <c r="K1339" i="8" a="1"/>
  <c r="G1388" i="8" a="1"/>
  <c r="L1342" i="8" a="1"/>
  <c r="J1359" i="8" a="1"/>
  <c r="J1381" i="8" a="1"/>
  <c r="H1305" i="8" a="1"/>
  <c r="G1320" i="8" a="1"/>
  <c r="G1382" i="8" a="1"/>
  <c r="H1343" i="8" a="1"/>
  <c r="N1357" i="8" a="1"/>
  <c r="L1373" i="8" a="1"/>
  <c r="I1373" i="8" a="1"/>
  <c r="H1396" i="8" a="1"/>
  <c r="G1354" i="8" a="1"/>
  <c r="F1378" i="8" a="1"/>
  <c r="G1338" i="8" a="1"/>
  <c r="G1391" i="8" a="1"/>
  <c r="I1364" i="8" a="1"/>
  <c r="L1415" i="8" a="1"/>
  <c r="F1371" i="8" a="1"/>
  <c r="E1406" i="8" a="1"/>
  <c r="E1407" i="8" a="1"/>
  <c r="L1432" i="8" a="1"/>
  <c r="G1411" i="8" a="1"/>
  <c r="J1387" i="8" a="1"/>
  <c r="N1428" i="8" a="1"/>
  <c r="K1418" i="8" a="1"/>
  <c r="I1353" i="8" a="1"/>
  <c r="I1465" i="8" a="1"/>
  <c r="J1379" i="8" a="1"/>
  <c r="N1370" i="8" a="1"/>
  <c r="O1380" i="8" a="1"/>
  <c r="N1409" i="8" a="1"/>
  <c r="M1430" i="8" a="1"/>
  <c r="L1397" i="8" a="1"/>
  <c r="L1414" i="8" a="1"/>
  <c r="O1395" i="8" a="1"/>
  <c r="F1425" i="8" a="1"/>
  <c r="I1518" i="8" a="1"/>
  <c r="G1448" i="8" a="1"/>
  <c r="H1435" i="8" a="1"/>
  <c r="G1451" i="8" a="1"/>
  <c r="H1455" i="8" a="1"/>
  <c r="O1445" i="8" a="1"/>
  <c r="L1421" i="8" a="1"/>
  <c r="L1462" i="8" a="1"/>
  <c r="M1424" i="8" a="1"/>
  <c r="G1442" i="8" a="1"/>
  <c r="M1463" i="8" a="1"/>
  <c r="J1433" i="8" a="1"/>
  <c r="O1440" i="8" a="1"/>
  <c r="I1453" i="8" a="1"/>
  <c r="F1441" i="8" a="1"/>
  <c r="M1446" i="8" a="1"/>
  <c r="M1437" i="8" a="1"/>
  <c r="O1483" i="8" a="1"/>
  <c r="I1469" i="8" a="1"/>
  <c r="H1474" i="8" a="1"/>
  <c r="G1484" i="8" a="1"/>
  <c r="E1484" i="8" a="1"/>
  <c r="K1499" i="8" a="1"/>
  <c r="K1526" i="8" a="1"/>
  <c r="O1495" i="8" a="1"/>
  <c r="N1491" i="8" a="1"/>
  <c r="G1515" i="8" a="1"/>
  <c r="H1471" i="8" a="1"/>
  <c r="J1486" i="8" a="1"/>
  <c r="N1514" i="8" a="1"/>
  <c r="H1522" i="8" a="1"/>
  <c r="E1503" i="8" a="1"/>
  <c r="N1544" i="8" a="1"/>
  <c r="J1507" i="8" a="1"/>
  <c r="O1536" i="8" a="1"/>
  <c r="E1508" i="8" a="1"/>
  <c r="H1493" i="8" a="1"/>
  <c r="I1505" i="8" a="1"/>
  <c r="F883" i="8" a="1"/>
  <c r="L955" i="8" a="1"/>
  <c r="J985" i="8" a="1"/>
  <c r="K992" i="8" a="1"/>
  <c r="I986" i="8" a="1"/>
  <c r="H954" i="8" a="1"/>
  <c r="L1023" i="8" a="1"/>
  <c r="N951" i="8" a="1"/>
  <c r="H980" i="8" a="1"/>
  <c r="L1027" i="8" a="1"/>
  <c r="M987" i="8" a="1"/>
  <c r="H996" i="8" a="1"/>
  <c r="I1044" i="8" a="1"/>
  <c r="K1055" i="8" a="1"/>
  <c r="M1048" i="8" a="1"/>
  <c r="K1058" i="8" a="1"/>
  <c r="G1068" i="8" a="1"/>
  <c r="M1009" i="8" a="1"/>
  <c r="F1040" i="8" a="1"/>
  <c r="F1051" i="8" a="1"/>
  <c r="E1024" i="8" a="1"/>
  <c r="E995" i="8" a="1"/>
  <c r="E1034" i="8" a="1"/>
  <c r="G1052" i="8" a="1"/>
  <c r="I1003" i="8" a="1"/>
  <c r="M1019" i="8" a="1"/>
  <c r="N1049" i="8" a="1"/>
  <c r="G1042" i="8" a="1"/>
  <c r="L1065" i="8" a="1"/>
  <c r="M1020" i="8" a="1"/>
  <c r="I1043" i="8" a="1"/>
  <c r="H1054" i="8" a="1"/>
  <c r="J1050" i="8" a="1"/>
  <c r="O1075" i="8" a="1"/>
  <c r="L1071" i="8" a="1"/>
  <c r="I1081" i="8" a="1"/>
  <c r="J1046" i="8" a="1"/>
  <c r="I1082" i="8" a="1"/>
  <c r="O1099" i="8" a="1"/>
  <c r="J1106" i="8" a="1"/>
  <c r="J1084" i="8" a="1"/>
  <c r="O1133" i="8" a="1"/>
  <c r="E1094" i="8" a="1"/>
  <c r="L1125" i="8" a="1"/>
  <c r="H1079" i="8" a="1"/>
  <c r="N1094" i="8" a="1"/>
  <c r="G1081" i="8" a="1"/>
  <c r="K1097" i="8" a="1"/>
  <c r="K1116" i="8" a="1"/>
  <c r="G1095" i="8" a="1"/>
  <c r="I1136" i="8" a="1"/>
  <c r="J1159" i="8" a="1"/>
  <c r="J1219" i="8" a="1"/>
  <c r="N1183" i="8" a="1"/>
  <c r="K1114" i="8" a="1"/>
  <c r="H1146" i="8" a="1"/>
  <c r="J1163" i="8" a="1"/>
  <c r="L1148" i="8" a="1"/>
  <c r="L1091" i="8" a="1"/>
  <c r="K1129" i="8" a="1"/>
  <c r="M1195" i="8" a="1"/>
  <c r="E1199" i="8" a="1"/>
  <c r="I1108" i="8" a="1"/>
  <c r="H1104" i="8" a="1"/>
  <c r="H1175" i="8" a="1"/>
  <c r="I1158" i="8" a="1"/>
  <c r="O1172" i="8" a="1"/>
  <c r="K1176" i="8" a="1"/>
  <c r="O1122" i="8" a="1"/>
  <c r="G1102" i="8" a="1"/>
  <c r="I1151" i="8" a="1"/>
  <c r="L1136" i="8" a="1"/>
  <c r="K1182" i="8" a="1"/>
  <c r="G1171" i="8" a="1"/>
  <c r="G1186" i="8" a="1"/>
  <c r="J1179" i="8" a="1"/>
  <c r="N1213" i="8" a="1"/>
  <c r="H1235" i="8" a="1"/>
  <c r="E1315" i="8" a="1"/>
  <c r="M1240" i="8" a="1"/>
  <c r="F1213" i="8" a="1"/>
  <c r="M1244" i="8" a="1"/>
  <c r="K1164" i="8" a="1"/>
  <c r="M1228" i="8" a="1"/>
  <c r="K1161" i="8" a="1"/>
  <c r="F1207" i="8" a="1"/>
  <c r="J1188" i="8" a="1"/>
  <c r="I1237" i="8" a="1"/>
  <c r="J1187" i="8" a="1"/>
  <c r="O1180" i="8" a="1"/>
  <c r="E1241" i="8" a="1"/>
  <c r="I1198" i="8" a="1"/>
  <c r="O1218" i="8" a="1"/>
  <c r="O1242" i="8" a="1"/>
  <c r="E1196" i="8" a="1"/>
  <c r="J1211" i="8" a="1"/>
  <c r="H1164" i="8" a="1"/>
  <c r="H1174" i="8" a="1"/>
  <c r="I1209" i="8" a="1"/>
  <c r="O1226" i="8" a="1"/>
  <c r="L1220" i="8" a="1"/>
  <c r="L1266" i="8" a="1"/>
  <c r="F1221" i="8" a="1"/>
  <c r="F1270" i="8" a="1"/>
  <c r="J1286" i="8" a="1"/>
  <c r="J1267" i="8" a="1"/>
  <c r="H1225" i="8" a="1"/>
  <c r="O1254" i="8" a="1"/>
  <c r="F1276" i="8" a="1"/>
  <c r="O1255" i="8" a="1"/>
  <c r="F1341" i="8" a="1"/>
  <c r="E1232" i="8" a="1"/>
  <c r="G1197" i="8" a="1"/>
  <c r="J1221" i="8" a="1"/>
  <c r="K1221" i="8" a="1"/>
  <c r="K1283" i="8" a="1"/>
  <c r="E1239" i="8" a="1"/>
  <c r="G1273" i="8" a="1"/>
  <c r="L1245" i="8" a="1"/>
  <c r="K1309" i="8" a="1"/>
  <c r="I1292" i="8" a="1"/>
  <c r="F1287" i="8" a="1"/>
  <c r="H1298" i="8" a="1"/>
  <c r="J1321" i="8" a="1"/>
  <c r="H1312" i="8" a="1"/>
  <c r="M1313" i="8" a="1"/>
  <c r="H1322" i="8" a="1"/>
  <c r="G1386" i="8" a="1"/>
  <c r="L1294" i="8" a="1"/>
  <c r="O1347" i="8" a="1"/>
  <c r="J1288" i="8" a="1"/>
  <c r="M1332" i="8" a="1"/>
  <c r="L1282" i="8" a="1"/>
  <c r="L1284" i="8" a="1"/>
  <c r="M1318" i="8" a="1"/>
  <c r="I1272" i="8" a="1"/>
  <c r="O1299" i="8" a="1"/>
  <c r="E1304" i="8" a="1"/>
  <c r="N1344" i="8" a="1"/>
  <c r="J1289" i="8" a="1"/>
  <c r="L1319" i="8" a="1"/>
  <c r="I1360" i="8" a="1"/>
  <c r="K1269" i="8" a="1"/>
  <c r="M1295" i="8" a="1"/>
  <c r="N1334" i="8" a="1"/>
  <c r="F1275" i="8" a="1"/>
  <c r="G1366" i="8" a="1"/>
  <c r="I1398" i="8" a="1"/>
  <c r="J1296" i="8" a="1"/>
  <c r="N1376" i="8" a="1"/>
  <c r="J1339" i="8" a="1"/>
  <c r="N1388" i="8" a="1"/>
  <c r="K1342" i="8" a="1"/>
  <c r="H1359" i="8" a="1"/>
  <c r="I1381" i="8" a="1"/>
  <c r="O1305" i="8" a="1"/>
  <c r="M1320" i="8" a="1"/>
  <c r="N1296" i="8" a="1"/>
  <c r="O1343" i="8" a="1"/>
  <c r="F1357" i="8" a="1"/>
  <c r="J1373" i="8" a="1"/>
  <c r="E1296" i="8" a="1"/>
  <c r="O1396" i="8" a="1"/>
  <c r="N1354" i="8" a="1"/>
  <c r="M1378" i="8" a="1"/>
  <c r="J1338" i="8" a="1"/>
  <c r="L1361" i="8" a="1"/>
  <c r="H1364" i="8" a="1"/>
  <c r="K1415" i="8" a="1"/>
  <c r="O1371" i="8" a="1"/>
  <c r="F1406" i="8" a="1"/>
  <c r="O1407" i="8" a="1"/>
  <c r="J1432" i="8" a="1"/>
  <c r="F1411" i="8" a="1"/>
  <c r="I1387" i="8" a="1"/>
  <c r="F1428" i="8" a="1"/>
  <c r="O1418" i="8" a="1"/>
  <c r="L1412" i="8" a="1"/>
  <c r="M1465" i="8" a="1"/>
  <c r="G1387" i="8" a="1"/>
  <c r="F1370" i="8" a="1"/>
  <c r="G1380" i="8" a="1"/>
  <c r="F1409" i="8" a="1"/>
  <c r="K1430" i="8" a="1"/>
  <c r="K1397" i="8" a="1"/>
  <c r="K1414" i="8" a="1"/>
  <c r="G1395" i="8" a="1"/>
  <c r="M1425" i="8" a="1"/>
  <c r="L1518" i="8" a="1"/>
  <c r="F1448" i="8" a="1"/>
  <c r="M1435" i="8" a="1"/>
  <c r="J1470" i="8" a="1"/>
  <c r="G1455" i="8" a="1"/>
  <c r="E1445" i="8" a="1"/>
  <c r="K1421" i="8" a="1"/>
  <c r="O1462" i="8" a="1"/>
  <c r="E1424" i="8" a="1"/>
  <c r="H1463" i="8" a="1"/>
  <c r="I1433" i="8" a="1"/>
  <c r="G1440" i="8" a="1"/>
  <c r="H1453" i="8" a="1"/>
  <c r="E1441" i="8" a="1"/>
  <c r="L1446" i="8" a="1"/>
  <c r="E1437" i="8" a="1"/>
  <c r="J1483" i="8" a="1"/>
  <c r="H1469" i="8" a="1"/>
  <c r="G1474" i="8" a="1"/>
  <c r="N1484" i="8" a="1"/>
  <c r="K1473" i="8" a="1"/>
  <c r="J1499" i="8" a="1"/>
  <c r="I1526" i="8" a="1"/>
  <c r="I1482" i="8" a="1"/>
  <c r="M1491" i="8" a="1"/>
  <c r="G1471" i="8" a="1"/>
  <c r="I1486" i="8" a="1"/>
  <c r="J1514" i="8" a="1"/>
  <c r="M1522" i="8" a="1"/>
  <c r="J1503" i="8" a="1"/>
  <c r="L1544" i="8" a="1"/>
  <c r="O1507" i="8" a="1"/>
  <c r="N1536" i="8" a="1"/>
  <c r="K1503" i="8" a="1"/>
  <c r="G1508" i="8" a="1"/>
  <c r="O1493" i="8" a="1"/>
  <c r="M1523" i="8" a="1"/>
  <c r="N1528" i="8" a="1"/>
  <c r="L1477" i="8" a="1"/>
  <c r="G1504" i="8" a="1"/>
  <c r="H1524" i="8" a="1"/>
  <c r="H1517" i="8" a="1"/>
  <c r="N1496" i="8" a="1"/>
  <c r="J1545" i="8" a="1"/>
  <c r="L1554" i="8" a="1"/>
  <c r="F1530" i="8" a="1"/>
  <c r="E1542" i="8" a="1"/>
  <c r="K1550" i="8" a="1"/>
  <c r="F1540" i="8" a="1"/>
  <c r="O1542" i="8" a="1"/>
  <c r="I1540" i="8" a="1"/>
  <c r="K1566" i="8" a="1"/>
  <c r="E1582" i="8" a="1"/>
  <c r="N1560" i="8" a="1"/>
  <c r="O1571" i="8" a="1"/>
  <c r="O1558" i="8" a="1"/>
  <c r="H1579" i="8" a="1"/>
  <c r="G1551" i="8" a="1"/>
  <c r="K1519" i="8" a="1"/>
  <c r="F1552" i="8" a="1"/>
  <c r="E1567" i="8" a="1"/>
  <c r="H1565" i="8" a="1"/>
  <c r="N915" i="8" a="1"/>
  <c r="K932" i="8" a="1"/>
  <c r="J883" i="8" a="1"/>
  <c r="E966" i="8" a="1"/>
  <c r="F955" i="8" a="1"/>
  <c r="H986" i="8" a="1"/>
  <c r="N1023" i="8" a="1"/>
  <c r="F951" i="8" a="1"/>
  <c r="L980" i="8" a="1"/>
  <c r="K1027" i="8" a="1"/>
  <c r="G960" i="8" a="1"/>
  <c r="E987" i="8" a="1"/>
  <c r="G921" i="8" a="1"/>
  <c r="O996" i="8" a="1"/>
  <c r="F996" i="8" a="1"/>
  <c r="N1044" i="8" a="1"/>
  <c r="J1055" i="8" a="1"/>
  <c r="E1048" i="8" a="1"/>
  <c r="J1058" i="8" a="1"/>
  <c r="N1068" i="8" a="1"/>
  <c r="O1036" i="8" a="1"/>
  <c r="E1040" i="8" a="1"/>
  <c r="M1055" i="8" a="1"/>
  <c r="N1024" i="8" a="1"/>
  <c r="L995" i="8" a="1"/>
  <c r="F1034" i="8" a="1"/>
  <c r="N1052" i="8" a="1"/>
  <c r="H1003" i="8" a="1"/>
  <c r="E1019" i="8" a="1"/>
  <c r="L1052" i="8" a="1"/>
  <c r="K1060" i="8" a="1"/>
  <c r="K1065" i="8" a="1"/>
  <c r="E1020" i="8" a="1"/>
  <c r="N1043" i="8" a="1"/>
  <c r="F1054" i="8" a="1"/>
  <c r="I1050" i="8" a="1"/>
  <c r="L1075" i="8" a="1"/>
  <c r="K1071" i="8" a="1"/>
  <c r="H1081" i="8" a="1"/>
  <c r="H1062" i="8" a="1"/>
  <c r="I1086" i="8" a="1"/>
  <c r="M1082" i="8" a="1"/>
  <c r="N1099" i="8" a="1"/>
  <c r="I1106" i="8" a="1"/>
  <c r="K1080" i="8" a="1"/>
  <c r="H1084" i="8" a="1"/>
  <c r="G1133" i="8" a="1"/>
  <c r="E1125" i="8" a="1"/>
  <c r="K1056" i="8" a="1"/>
  <c r="F1079" i="8" a="1"/>
  <c r="H1046" i="8" a="1"/>
  <c r="M1090" i="8" a="1"/>
  <c r="O1097" i="8" a="1"/>
  <c r="I1116" i="8" a="1"/>
  <c r="N1095" i="8" a="1"/>
  <c r="O1136" i="8" a="1"/>
  <c r="H1159" i="8" a="1"/>
  <c r="F1219" i="8" a="1"/>
  <c r="F1183" i="8" a="1"/>
  <c r="L1117" i="8" a="1"/>
  <c r="O1146" i="8" a="1"/>
  <c r="H1163" i="8" a="1"/>
  <c r="N1148" i="8" a="1"/>
  <c r="M1108" i="8" a="1"/>
  <c r="H1129" i="8" a="1"/>
  <c r="E1195" i="8" a="1"/>
  <c r="K1199" i="8" a="1"/>
  <c r="H1108" i="8" a="1"/>
  <c r="I1121" i="8" a="1"/>
  <c r="M1175" i="8" a="1"/>
  <c r="M1158" i="8" a="1"/>
  <c r="M1172" i="8" a="1"/>
  <c r="M1122" i="8" a="1"/>
  <c r="L1104" i="8" a="1"/>
  <c r="G1151" i="8" a="1"/>
  <c r="G1154" i="8" a="1"/>
  <c r="I1182" i="8" a="1"/>
  <c r="N1171" i="8" a="1"/>
  <c r="M1186" i="8" a="1"/>
  <c r="I1179" i="8" a="1"/>
  <c r="M1213" i="8" a="1"/>
  <c r="N1235" i="8" a="1"/>
  <c r="J1315" i="8" a="1"/>
  <c r="L1240" i="8" a="1"/>
  <c r="G1223" i="8" a="1"/>
  <c r="L1244" i="8" a="1"/>
  <c r="E1167" i="8" a="1"/>
  <c r="E1228" i="8" a="1"/>
  <c r="N1164" i="8" a="1"/>
  <c r="E1207" i="8" a="1"/>
  <c r="H1188" i="8" a="1"/>
  <c r="H1237" i="8" a="1"/>
  <c r="E1187" i="8" a="1"/>
  <c r="F1187" i="8" a="1"/>
  <c r="L1241" i="8" a="1"/>
  <c r="O1198" i="8" a="1"/>
  <c r="G1218" i="8" a="1"/>
  <c r="M1242" i="8" a="1"/>
  <c r="M1196" i="8" a="1"/>
  <c r="I1211" i="8" a="1"/>
  <c r="L1164" i="8" a="1"/>
  <c r="O1202" i="8" a="1"/>
  <c r="E1209" i="8" a="1"/>
  <c r="G1226" i="8" a="1"/>
  <c r="K1220" i="8" a="1"/>
  <c r="I1266" i="8" a="1"/>
  <c r="M1221" i="8" a="1"/>
  <c r="M1270" i="8" a="1"/>
  <c r="I1286" i="8" a="1"/>
  <c r="I1267" i="8" a="1"/>
  <c r="O1225" i="8" a="1"/>
  <c r="N1254" i="8" a="1"/>
  <c r="M1276" i="8" a="1"/>
  <c r="G1255" i="8" a="1"/>
  <c r="N1341" i="8" a="1"/>
  <c r="N1232" i="8" a="1"/>
  <c r="I1225" i="8" a="1"/>
  <c r="E1229" i="8" a="1"/>
  <c r="J1225" i="8" a="1"/>
  <c r="O1283" i="8" a="1"/>
  <c r="N1239" i="8" a="1"/>
  <c r="M1273" i="8" a="1"/>
  <c r="J1309" i="8" a="1"/>
  <c r="J1326" i="8" a="1"/>
  <c r="M1287" i="8" a="1"/>
  <c r="G1298" i="8" a="1"/>
  <c r="H1321" i="8" a="1"/>
  <c r="G1312" i="8" a="1"/>
  <c r="E1313" i="8" a="1"/>
  <c r="F1322" i="8" a="1"/>
  <c r="N1386" i="8" a="1"/>
  <c r="L1291" i="8" a="1"/>
  <c r="K1294" i="8" a="1"/>
  <c r="G1347" i="8" a="1"/>
  <c r="I1288" i="8" a="1"/>
  <c r="L1332" i="8" a="1"/>
  <c r="K1282" i="8" a="1"/>
  <c r="I1303" i="8" a="1"/>
  <c r="L1318" i="8" a="1"/>
  <c r="H1272" i="8" a="1"/>
  <c r="G1299" i="8" a="1"/>
  <c r="O1304" i="8" a="1"/>
  <c r="F1344" i="8" a="1"/>
  <c r="K1319" i="8" a="1"/>
  <c r="H1360" i="8" a="1"/>
  <c r="J1269" i="8" a="1"/>
  <c r="E1295" i="8" a="1"/>
  <c r="F1334" i="8" a="1"/>
  <c r="H1398" i="8" a="1"/>
  <c r="N1320" i="8" a="1"/>
  <c r="F1376" i="8" a="1"/>
  <c r="H1339" i="8" a="1"/>
  <c r="I1388" i="8" a="1"/>
  <c r="N1350" i="8" a="1"/>
  <c r="F1359" i="8" a="1"/>
  <c r="O1381" i="8" a="1"/>
  <c r="O1348" i="8" a="1"/>
  <c r="K1320" i="8" a="1"/>
  <c r="N1301" i="8" a="1"/>
  <c r="N1343" i="8" a="1"/>
  <c r="M1357" i="8" a="1"/>
  <c r="E1301" i="8" a="1"/>
  <c r="O1296" i="8" a="1"/>
  <c r="G1396" i="8" a="1"/>
  <c r="F1354" i="8" a="1"/>
  <c r="H1378" i="8" a="1"/>
  <c r="N1338" i="8" a="1"/>
  <c r="H1296" i="8" a="1"/>
  <c r="O1364" i="8" a="1"/>
  <c r="J1415" i="8" a="1"/>
  <c r="L1371" i="8" a="1"/>
  <c r="O1406" i="8" a="1"/>
  <c r="I1351" i="8" a="1"/>
  <c r="M1432" i="8" a="1"/>
  <c r="H1387" i="8" a="1"/>
  <c r="L1428" i="8" a="1"/>
  <c r="M1418" i="8" a="1"/>
  <c r="O1412" i="8" a="1"/>
  <c r="J1465" i="8" a="1"/>
  <c r="H1402" i="8" a="1"/>
  <c r="M1370" i="8" a="1"/>
  <c r="N1380" i="8" a="1"/>
  <c r="M1409" i="8" a="1"/>
  <c r="J1430" i="8" a="1"/>
  <c r="J1397" i="8" a="1"/>
  <c r="J1414" i="8" a="1"/>
  <c r="N1395" i="8" a="1"/>
  <c r="E1425" i="8" a="1"/>
  <c r="H1518" i="8" a="1"/>
  <c r="E1448" i="8" a="1"/>
  <c r="L1435" i="8" a="1"/>
  <c r="N1470" i="8" a="1"/>
  <c r="F1455" i="8" a="1"/>
  <c r="L1458" i="8" a="1"/>
  <c r="J1421" i="8" a="1"/>
  <c r="K1462" i="8" a="1"/>
  <c r="L1424" i="8" a="1"/>
  <c r="L1467" i="8" a="1"/>
  <c r="H1433" i="8" a="1"/>
  <c r="N1440" i="8" a="1"/>
  <c r="M1436" i="8" a="1"/>
  <c r="N1441" i="8" a="1"/>
  <c r="K1446" i="8" a="1"/>
  <c r="F1437" i="8" a="1"/>
  <c r="H1483" i="8" a="1"/>
  <c r="M1469" i="8" a="1"/>
  <c r="O1474" i="8" a="1"/>
  <c r="L1484" i="8" a="1"/>
  <c r="J1473" i="8" a="1"/>
  <c r="I1499" i="8" a="1"/>
  <c r="F1526" i="8" a="1"/>
  <c r="H1482" i="8" a="1"/>
  <c r="H1491" i="8" a="1"/>
  <c r="K1466" i="8" a="1"/>
  <c r="O1482" i="8" a="1"/>
  <c r="F1486" i="8" a="1"/>
  <c r="H1514" i="8" a="1"/>
  <c r="E1522" i="8" a="1"/>
  <c r="L1503" i="8" a="1"/>
  <c r="K1544" i="8" a="1"/>
  <c r="N1507" i="8" a="1"/>
  <c r="F1536" i="8" a="1"/>
  <c r="K1505" i="8" a="1"/>
  <c r="L1508" i="8" a="1"/>
  <c r="G1493" i="8" a="1"/>
  <c r="E1523" i="8" a="1"/>
  <c r="I1528" i="8" a="1"/>
  <c r="J1488" i="8" a="1"/>
  <c r="K1477" i="8" a="1"/>
  <c r="F1504" i="8" a="1"/>
  <c r="J1493" i="8" a="1"/>
  <c r="E1517" i="8" a="1"/>
  <c r="L1496" i="8" a="1"/>
  <c r="H1545" i="8" a="1"/>
  <c r="M1554" i="8" a="1"/>
  <c r="E1530" i="8" a="1"/>
  <c r="M1542" i="8" a="1"/>
  <c r="I1550" i="8" a="1"/>
  <c r="O1540" i="8" a="1"/>
  <c r="L1547" i="8" a="1"/>
  <c r="L1543" i="8" a="1"/>
  <c r="N1566" i="8" a="1"/>
  <c r="G1582" i="8" a="1"/>
  <c r="K1560" i="8" a="1"/>
  <c r="E1571" i="8" a="1"/>
  <c r="N1558" i="8" a="1"/>
  <c r="F1579" i="8" a="1"/>
  <c r="N1551" i="8" a="1"/>
  <c r="H1519" i="8" a="1"/>
  <c r="I1559" i="8" a="1"/>
  <c r="J1567" i="8" a="1"/>
  <c r="M1565" i="8" a="1"/>
  <c r="F915" i="8" a="1"/>
  <c r="J932" i="8" a="1"/>
  <c r="I883" i="8" a="1"/>
  <c r="I966" i="8" a="1"/>
  <c r="N955" i="8" a="1"/>
  <c r="G992" i="8" a="1"/>
  <c r="O983" i="8" a="1"/>
  <c r="K1023" i="8" a="1"/>
  <c r="O951" i="8" a="1"/>
  <c r="K980" i="8" a="1"/>
  <c r="H1027" i="8" a="1"/>
  <c r="H964" i="8" a="1"/>
  <c r="L987" i="8" a="1"/>
  <c r="G996" i="8" a="1"/>
  <c r="F1044" i="8" a="1"/>
  <c r="I1055" i="8" a="1"/>
  <c r="L1048" i="8" a="1"/>
  <c r="H1058" i="8" a="1"/>
  <c r="F1068" i="8" a="1"/>
  <c r="G1036" i="8" a="1"/>
  <c r="N1040" i="8" a="1"/>
  <c r="H1068" i="8" a="1"/>
  <c r="M1024" i="8" a="1"/>
  <c r="K995" i="8" a="1"/>
  <c r="N1034" i="8" a="1"/>
  <c r="F1052" i="8" a="1"/>
  <c r="O1003" i="8" a="1"/>
  <c r="J1019" i="8" a="1"/>
  <c r="J1060" i="8" a="1"/>
  <c r="J1065" i="8" a="1"/>
  <c r="J1020" i="8" a="1"/>
  <c r="F1043" i="8" a="1"/>
  <c r="E1054" i="8" a="1"/>
  <c r="E981" i="8" a="1"/>
  <c r="H1050" i="8" a="1"/>
  <c r="K1086" i="8" a="1"/>
  <c r="J1071" i="8" a="1"/>
  <c r="F1081" i="8" a="1"/>
  <c r="O1062" i="8" a="1"/>
  <c r="N1088" i="8" a="1"/>
  <c r="E1082" i="8" a="1"/>
  <c r="H1106" i="8" a="1"/>
  <c r="G1084" i="8" a="1"/>
  <c r="N1133" i="8" a="1"/>
  <c r="J1130" i="8" a="1"/>
  <c r="N1079" i="8" a="1"/>
  <c r="O1046" i="8" a="1"/>
  <c r="E1090" i="8" a="1"/>
  <c r="N1097" i="8" a="1"/>
  <c r="L1057" i="8" a="1"/>
  <c r="F1095" i="8" a="1"/>
  <c r="G1136" i="8" a="1"/>
  <c r="G1159" i="8" a="1"/>
  <c r="E1219" i="8" a="1"/>
  <c r="M1183" i="8" a="1"/>
  <c r="I1135" i="8" a="1"/>
  <c r="G1146" i="8" a="1"/>
  <c r="N1100" i="8" a="1"/>
  <c r="J1148" i="8" a="1"/>
  <c r="J1109" i="8" a="1"/>
  <c r="F1129" i="8" a="1"/>
  <c r="L1195" i="8" a="1"/>
  <c r="J1199" i="8" a="1"/>
  <c r="F1108" i="8" a="1"/>
  <c r="H1121" i="8" a="1"/>
  <c r="G1175" i="8" a="1"/>
  <c r="E1158" i="8" a="1"/>
  <c r="J1172" i="8" a="1"/>
  <c r="J1091" i="8" a="1"/>
  <c r="H1122" i="8" a="1"/>
  <c r="E1108" i="8" a="1"/>
  <c r="F1151" i="8" a="1"/>
  <c r="E1159" i="8" a="1"/>
  <c r="O1182" i="8" a="1"/>
  <c r="J1171" i="8" a="1"/>
  <c r="E1186" i="8" a="1"/>
  <c r="H1179" i="8" a="1"/>
  <c r="L1213" i="8" a="1"/>
  <c r="F1235" i="8" a="1"/>
  <c r="I1315" i="8" a="1"/>
  <c r="K1240" i="8" a="1"/>
  <c r="M1227" i="8" a="1"/>
  <c r="J1244" i="8" a="1"/>
  <c r="L1228" i="8" a="1"/>
  <c r="E1180" i="8" a="1"/>
  <c r="O1207" i="8" a="1"/>
  <c r="N1188" i="8" a="1"/>
  <c r="G1237" i="8" a="1"/>
  <c r="O1192" i="8" a="1"/>
  <c r="M1214" i="8" a="1"/>
  <c r="J1241" i="8" a="1"/>
  <c r="G1198" i="8" a="1"/>
  <c r="N1218" i="8" a="1"/>
  <c r="K1242" i="8" a="1"/>
  <c r="K1233" i="8" a="1"/>
  <c r="H1211" i="8" a="1"/>
  <c r="J1164" i="8" a="1"/>
  <c r="G1202" i="8" a="1"/>
  <c r="H1212" i="8" a="1"/>
  <c r="M1226" i="8" a="1"/>
  <c r="J1220" i="8" a="1"/>
  <c r="I1316" i="8" a="1"/>
  <c r="E1221" i="8" a="1"/>
  <c r="E1270" i="8" a="1"/>
  <c r="H1286" i="8" a="1"/>
  <c r="G1267" i="8" a="1"/>
  <c r="G1225" i="8" a="1"/>
  <c r="M1254" i="8" a="1"/>
  <c r="E1276" i="8" a="1"/>
  <c r="N1255" i="8" a="1"/>
  <c r="L1341" i="8" a="1"/>
  <c r="M1232" i="8" a="1"/>
  <c r="J1234" i="8" a="1"/>
  <c r="L1234" i="8" a="1"/>
  <c r="J1238" i="8" a="1"/>
  <c r="J1283" i="8" a="1"/>
  <c r="M1239" i="8" a="1"/>
  <c r="E1273" i="8" a="1"/>
  <c r="I1274" i="8" a="1"/>
  <c r="E1309" i="8" a="1"/>
  <c r="I1326" i="8" a="1"/>
  <c r="E1287" i="8" a="1"/>
  <c r="F1298" i="8" a="1"/>
  <c r="F1312" i="8" a="1"/>
  <c r="L1313" i="8" a="1"/>
  <c r="E1322" i="8" a="1"/>
  <c r="F1386" i="8" a="1"/>
  <c r="J1291" i="8" a="1"/>
  <c r="J1294" i="8" a="1"/>
  <c r="N1347" i="8" a="1"/>
  <c r="H1288" i="8" a="1"/>
  <c r="J1332" i="8" a="1"/>
  <c r="J1282" i="8" a="1"/>
  <c r="O1303" i="8" a="1"/>
  <c r="K1318" i="8" a="1"/>
  <c r="O1272" i="8" a="1"/>
  <c r="M1299" i="8" a="1"/>
  <c r="M1304" i="8" a="1"/>
  <c r="M1344" i="8" a="1"/>
  <c r="J1319" i="8" a="1"/>
  <c r="I1269" i="8" a="1"/>
  <c r="K1295" i="8" a="1"/>
  <c r="M1334" i="8" a="1"/>
  <c r="I1348" i="8" a="1"/>
  <c r="O1398" i="8" a="1"/>
  <c r="L1327" i="8" a="1"/>
  <c r="M1376" i="8" a="1"/>
  <c r="N1339" i="8" a="1"/>
  <c r="F1388" i="8" a="1"/>
  <c r="F1350" i="8" a="1"/>
  <c r="O1359" i="8" a="1"/>
  <c r="G1381" i="8" a="1"/>
  <c r="J1320" i="8" a="1"/>
  <c r="I1343" i="8" a="1"/>
  <c r="E1357" i="8" a="1"/>
  <c r="E1305" i="8" a="1"/>
  <c r="O1301" i="8" a="1"/>
  <c r="N1396" i="8" a="1"/>
  <c r="M1354" i="8" a="1"/>
  <c r="E1378" i="8" a="1"/>
  <c r="M1338" i="8" a="1"/>
  <c r="G1364" i="8" a="1"/>
  <c r="I1415" i="8" a="1"/>
  <c r="G1371" i="8" a="1"/>
  <c r="N1406" i="8" a="1"/>
  <c r="H1351" i="8" a="1"/>
  <c r="I1432" i="8" a="1"/>
  <c r="N1387" i="8" a="1"/>
  <c r="K1428" i="8" a="1"/>
  <c r="L1418" i="8" a="1"/>
  <c r="N1412" i="8" a="1"/>
  <c r="H1465" i="8" a="1"/>
  <c r="O1402" i="8" a="1"/>
  <c r="E1370" i="8" a="1"/>
  <c r="F1380" i="8" a="1"/>
  <c r="E1409" i="8" a="1"/>
  <c r="L1430" i="8" a="1"/>
  <c r="I1397" i="8" a="1"/>
  <c r="H1414" i="8" a="1"/>
  <c r="F1395" i="8" a="1"/>
  <c r="L1425" i="8" a="1"/>
  <c r="J1438" i="8" a="1"/>
  <c r="O1448" i="8" a="1"/>
  <c r="I1435" i="8" a="1"/>
  <c r="M1470" i="8" a="1"/>
  <c r="O1455" i="8" a="1"/>
  <c r="K1458" i="8" a="1"/>
  <c r="I1421" i="8" a="1"/>
  <c r="J1462" i="8" a="1"/>
  <c r="J1424" i="8" a="1"/>
  <c r="N937" i="8" a="1"/>
  <c r="J917" i="8" a="1"/>
  <c r="F966" i="8" a="1"/>
  <c r="F967" i="8" a="1"/>
  <c r="M957" i="8" a="1"/>
  <c r="G999" i="8" a="1"/>
  <c r="G983" i="8" a="1"/>
  <c r="J1023" i="8" a="1"/>
  <c r="E951" i="8" a="1"/>
  <c r="O980" i="8" a="1"/>
  <c r="G1027" i="8" a="1"/>
  <c r="L964" i="8" a="1"/>
  <c r="K987" i="8" a="1"/>
  <c r="L996" i="8" a="1"/>
  <c r="N995" i="8" a="1"/>
  <c r="O1044" i="8" a="1"/>
  <c r="H1055" i="8" a="1"/>
  <c r="K1048" i="8" a="1"/>
  <c r="G1058" i="8" a="1"/>
  <c r="M1068" i="8" a="1"/>
  <c r="N1036" i="8" a="1"/>
  <c r="M1040" i="8" a="1"/>
  <c r="I990" i="8" a="1"/>
  <c r="I1059" i="8" a="1"/>
  <c r="J995" i="8" a="1"/>
  <c r="L1034" i="8" a="1"/>
  <c r="M1052" i="8" a="1"/>
  <c r="G1003" i="8" a="1"/>
  <c r="H1019" i="8" a="1"/>
  <c r="F990" i="8" a="1"/>
  <c r="I1060" i="8" a="1"/>
  <c r="F1065" i="8" a="1"/>
  <c r="G1020" i="8" a="1"/>
  <c r="M1043" i="8" a="1"/>
  <c r="N1054" i="8" a="1"/>
  <c r="K990" i="8" a="1"/>
  <c r="M1050" i="8" a="1"/>
  <c r="O1086" i="8" a="1"/>
  <c r="I1071" i="8" a="1"/>
  <c r="O1081" i="8" a="1"/>
  <c r="G1062" i="8" a="1"/>
  <c r="K1141" i="8" a="1"/>
  <c r="G1082" i="8" a="1"/>
  <c r="E1106" i="8" a="1"/>
  <c r="L1119" i="8" a="1"/>
  <c r="O1084" i="8" a="1"/>
  <c r="F1133" i="8" a="1"/>
  <c r="H1130" i="8" a="1"/>
  <c r="M1079" i="8" a="1"/>
  <c r="G1046" i="8" a="1"/>
  <c r="I1090" i="8" a="1"/>
  <c r="J1097" i="8" a="1"/>
  <c r="K1057" i="8" a="1"/>
  <c r="J1095" i="8" a="1"/>
  <c r="N1136" i="8" a="1"/>
  <c r="F1159" i="8" a="1"/>
  <c r="N1219" i="8" a="1"/>
  <c r="E1183" i="8" a="1"/>
  <c r="N1154" i="8" a="1"/>
  <c r="N1146" i="8" a="1"/>
  <c r="M1135" i="8" a="1"/>
  <c r="I1148" i="8" a="1"/>
  <c r="N1109" i="8" a="1"/>
  <c r="O1129" i="8" a="1"/>
  <c r="K1195" i="8" a="1"/>
  <c r="I1199" i="8" a="1"/>
  <c r="N1108" i="8" a="1"/>
  <c r="G1121" i="8" a="1"/>
  <c r="F1175" i="8" a="1"/>
  <c r="K1158" i="8" a="1"/>
  <c r="G1172" i="8" a="1"/>
  <c r="J1129" i="8" a="1"/>
  <c r="G1109" i="8" a="1"/>
  <c r="O1151" i="8" a="1"/>
  <c r="K1162" i="8" a="1"/>
  <c r="G1182" i="8" a="1"/>
  <c r="F1174" i="8" a="1"/>
  <c r="K1186" i="8" a="1"/>
  <c r="G1179" i="8" a="1"/>
  <c r="K1213" i="8" a="1"/>
  <c r="M1235" i="8" a="1"/>
  <c r="L1315" i="8" a="1"/>
  <c r="J1240" i="8" a="1"/>
  <c r="E1227" i="8" a="1"/>
  <c r="H1244" i="8" a="1"/>
  <c r="I1203" i="8" a="1"/>
  <c r="J1228" i="8" a="1"/>
  <c r="M1207" i="8" a="1"/>
  <c r="F1188" i="8" a="1"/>
  <c r="O1237" i="8" a="1"/>
  <c r="N1208" i="8" a="1"/>
  <c r="E1214" i="8" a="1"/>
  <c r="I1241" i="8" a="1"/>
  <c r="H1198" i="8" a="1"/>
  <c r="F1218" i="8" a="1"/>
  <c r="J1242" i="8" a="1"/>
  <c r="I1233" i="8" a="1"/>
  <c r="G1211" i="8" a="1"/>
  <c r="M1164" i="8" a="1"/>
  <c r="N1202" i="8" a="1"/>
  <c r="O1212" i="8" a="1"/>
  <c r="E1226" i="8" a="1"/>
  <c r="I1220" i="8" a="1"/>
  <c r="N1316" i="8" a="1"/>
  <c r="L1221" i="8" a="1"/>
  <c r="L1270" i="8" a="1"/>
  <c r="K1267" i="8" a="1"/>
  <c r="N1225" i="8" a="1"/>
  <c r="K1254" i="8" a="1"/>
  <c r="L1276" i="8" a="1"/>
  <c r="F1255" i="8" a="1"/>
  <c r="J1341" i="8" a="1"/>
  <c r="L1232" i="8" a="1"/>
  <c r="H1293" i="8" a="1"/>
  <c r="H1238" i="8" a="1"/>
  <c r="I1283" i="8" a="1"/>
  <c r="L1239" i="8" a="1"/>
  <c r="L1273" i="8" a="1"/>
  <c r="H1274" i="8" a="1"/>
  <c r="O1309" i="8" a="1"/>
  <c r="K1326" i="8" a="1"/>
  <c r="I1290" i="8" a="1"/>
  <c r="O1298" i="8" a="1"/>
  <c r="J1271" i="8" a="1"/>
  <c r="E1312" i="8" a="1"/>
  <c r="N1313" i="8" a="1"/>
  <c r="N1331" i="8" a="1"/>
  <c r="M1386" i="8" a="1"/>
  <c r="I1291" i="8" a="1"/>
  <c r="I1294" i="8" a="1"/>
  <c r="F1347" i="8" a="1"/>
  <c r="O1288" i="8" a="1"/>
  <c r="E1332" i="8" a="1"/>
  <c r="I1282" i="8" a="1"/>
  <c r="G1303" i="8" a="1"/>
  <c r="I1318" i="8" a="1"/>
  <c r="G1272" i="8" a="1"/>
  <c r="E1299" i="8" a="1"/>
  <c r="K1307" i="8" a="1"/>
  <c r="K1344" i="8" a="1"/>
  <c r="L1314" i="8" a="1"/>
  <c r="O1319" i="8" a="1"/>
  <c r="L1275" i="8" a="1"/>
  <c r="L1295" i="8" a="1"/>
  <c r="E1334" i="8" a="1"/>
  <c r="O1292" i="8" a="1"/>
  <c r="H1348" i="8" a="1"/>
  <c r="J1398" i="8" a="1"/>
  <c r="J1327" i="8" a="1"/>
  <c r="E1376" i="8" a="1"/>
  <c r="F1339" i="8" a="1"/>
  <c r="K1296" i="8" a="1"/>
  <c r="M1350" i="8" a="1"/>
  <c r="N1359" i="8" a="1"/>
  <c r="M1381" i="8" a="1"/>
  <c r="H1389" i="8" a="1"/>
  <c r="H1328" i="8" a="1"/>
  <c r="J1328" i="8" a="1"/>
  <c r="G1343" i="8" a="1"/>
  <c r="K1357" i="8" a="1"/>
  <c r="K1328" i="8" a="1"/>
  <c r="E1320" i="8" a="1"/>
  <c r="F1396" i="8" a="1"/>
  <c r="E1354" i="8" a="1"/>
  <c r="G1305" i="8" a="1"/>
  <c r="M1327" i="8" a="1"/>
  <c r="N1364" i="8" a="1"/>
  <c r="H1415" i="8" a="1"/>
  <c r="E1371" i="8" a="1"/>
  <c r="L1406" i="8" a="1"/>
  <c r="O1351" i="8" a="1"/>
  <c r="H1432" i="8" a="1"/>
  <c r="G1407" i="8" a="1"/>
  <c r="F1387" i="8" a="1"/>
  <c r="H1428" i="8" a="1"/>
  <c r="J1418" i="8" a="1"/>
  <c r="M1412" i="8" a="1"/>
  <c r="G1465" i="8" a="1"/>
  <c r="G1402" i="8" a="1"/>
  <c r="K1370" i="8" a="1"/>
  <c r="L1380" i="8" a="1"/>
  <c r="K1409" i="8" a="1"/>
  <c r="I1430" i="8" a="1"/>
  <c r="O1397" i="8" a="1"/>
  <c r="G1414" i="8" a="1"/>
  <c r="M1395" i="8" a="1"/>
  <c r="K1425" i="8" a="1"/>
  <c r="L1438" i="8" a="1"/>
  <c r="N1448" i="8" a="1"/>
  <c r="G1435" i="8" a="1"/>
  <c r="L1470" i="8" a="1"/>
  <c r="N1455" i="8" a="1"/>
  <c r="O1458" i="8" a="1"/>
  <c r="H1422" i="8" a="1"/>
  <c r="I1462" i="8" a="1"/>
  <c r="I1424" i="8" a="1"/>
  <c r="F1422" i="8" a="1"/>
  <c r="H1467" i="8" a="1"/>
  <c r="O1433" i="8" a="1"/>
  <c r="L1440" i="8" a="1"/>
  <c r="I1436" i="8" a="1"/>
  <c r="L1441" i="8" a="1"/>
  <c r="O1456" i="8" a="1"/>
  <c r="L1437" i="8" a="1"/>
  <c r="E1483" i="8" a="1"/>
  <c r="F1469" i="8" a="1"/>
  <c r="E1474" i="8" a="1"/>
  <c r="M1484" i="8" a="1"/>
  <c r="G1473" i="8" a="1"/>
  <c r="L1499" i="8" a="1"/>
  <c r="N1461" i="8" a="1"/>
  <c r="N1482" i="8" a="1"/>
  <c r="F1491" i="8" a="1"/>
  <c r="I1461" i="8" a="1"/>
  <c r="N1486" i="8" a="1"/>
  <c r="M1534" i="8" a="1"/>
  <c r="L1522" i="8" a="1"/>
  <c r="I1513" i="8" a="1"/>
  <c r="H1544" i="8" a="1"/>
  <c r="G1507" i="8" a="1"/>
  <c r="O1544" i="8" a="1"/>
  <c r="E1536" i="8" a="1"/>
  <c r="J1508" i="8" a="1"/>
  <c r="F1493" i="8" a="1"/>
  <c r="J1523" i="8" a="1"/>
  <c r="F1528" i="8" a="1"/>
  <c r="K1556" i="8" a="1"/>
  <c r="N1488" i="8" a="1"/>
  <c r="L1504" i="8" a="1"/>
  <c r="K1502" i="8" a="1"/>
  <c r="M1517" i="8" a="1"/>
  <c r="H1512" i="8" a="1"/>
  <c r="F1545" i="8" a="1"/>
  <c r="I1554" i="8" a="1"/>
  <c r="I1501" i="8" a="1"/>
  <c r="I1542" i="8" a="1"/>
  <c r="G1550" i="8" a="1"/>
  <c r="O1564" i="8" a="1"/>
  <c r="E1506" i="8" a="1"/>
  <c r="H1543" i="8" a="1"/>
  <c r="O1566" i="8" a="1"/>
  <c r="I1552" i="8" a="1"/>
  <c r="H1560" i="8" a="1"/>
  <c r="M1571" i="8" a="1"/>
  <c r="K1558" i="8" a="1"/>
  <c r="H1606" i="8" a="1"/>
  <c r="F1551" i="8" a="1"/>
  <c r="L1601" i="8" a="1"/>
  <c r="F1559" i="8" a="1"/>
  <c r="F1567" i="8" a="1"/>
  <c r="I1331" i="8" a="1"/>
  <c r="K1299" i="8" a="1"/>
  <c r="F1389" i="8" a="1"/>
  <c r="K1364" i="8" a="1"/>
  <c r="M1397" i="8" a="1"/>
  <c r="I1434" i="8" a="1"/>
  <c r="G1453" i="8" a="1"/>
  <c r="E1469" i="8" a="1"/>
  <c r="G1482" i="8" a="1"/>
  <c r="H1492" i="8" a="1"/>
  <c r="K1493" i="8" a="1"/>
  <c r="L1517" i="8" a="1"/>
  <c r="L1545" i="8" a="1"/>
  <c r="M1530" i="8" a="1"/>
  <c r="K1542" i="8" a="1"/>
  <c r="H1550" i="8" a="1"/>
  <c r="I1564" i="8" a="1"/>
  <c r="I1543" i="8" a="1"/>
  <c r="N1582" i="8" a="1"/>
  <c r="E1560" i="8" a="1"/>
  <c r="N1571" i="8" a="1"/>
  <c r="L1519" i="8" a="1"/>
  <c r="I1606" i="8" a="1"/>
  <c r="O1519" i="8" a="1"/>
  <c r="L1559" i="8" a="1"/>
  <c r="O1574" i="8" a="1"/>
  <c r="L1584" i="8" a="1"/>
  <c r="F1572" i="8" a="1"/>
  <c r="K1588" i="8" a="1"/>
  <c r="F1568" i="8" a="1"/>
  <c r="F1600" i="8" a="1"/>
  <c r="K1592" i="8" a="1"/>
  <c r="L1598" i="8" a="1"/>
  <c r="K1597" i="8" a="1"/>
  <c r="L1615" i="8" a="1"/>
  <c r="E1602" i="8" a="1"/>
  <c r="L1612" i="8" a="1"/>
  <c r="J1613" i="8" a="1"/>
  <c r="N1581" i="8" a="1"/>
  <c r="E1620" i="8" a="1"/>
  <c r="E1605" i="8" a="1"/>
  <c r="L1624" i="8" a="1"/>
  <c r="J1609" i="8" a="1"/>
  <c r="F1622" i="8" a="1"/>
  <c r="F1640" i="8" a="1"/>
  <c r="I1614" i="8" a="1"/>
  <c r="I1628" i="8" a="1"/>
  <c r="M1629" i="8" a="1"/>
  <c r="E1644" i="8" a="1"/>
  <c r="J1653" i="8" a="1"/>
  <c r="L1670" i="8" a="1"/>
  <c r="L1671" i="8" a="1"/>
  <c r="K1676" i="8" a="1"/>
  <c r="L1617" i="8" a="1"/>
  <c r="K1641" i="8" a="1"/>
  <c r="M1631" i="8" a="1"/>
  <c r="N1632" i="8" a="1"/>
  <c r="K1656" i="8" a="1"/>
  <c r="J1648" i="8" a="1"/>
  <c r="I1657" i="8" a="1"/>
  <c r="O1665" i="8" a="1"/>
  <c r="G1650" i="8" a="1"/>
  <c r="J1659" i="8" a="1"/>
  <c r="G1664" i="8" a="1"/>
  <c r="F1679" i="8" a="1"/>
  <c r="K1660" i="8" a="1"/>
  <c r="G1667" i="8" a="1"/>
  <c r="L1680" i="8" a="1"/>
  <c r="F1663" i="8" a="1"/>
  <c r="H1669" i="8" a="1"/>
  <c r="O1545" i="8" a="1"/>
  <c r="L1574" i="8" a="1"/>
  <c r="E1612" i="8" a="1"/>
  <c r="F1670" i="8" a="1"/>
  <c r="E1660" i="8" a="1"/>
  <c r="L1386" i="8" a="1"/>
  <c r="M1307" i="8" a="1"/>
  <c r="M1382" i="8" a="1"/>
  <c r="I1330" i="8" a="1"/>
  <c r="I1458" i="8" a="1"/>
  <c r="E1436" i="8" a="1"/>
  <c r="J1469" i="8" a="1"/>
  <c r="L1491" i="8" a="1"/>
  <c r="O1513" i="8" a="1"/>
  <c r="L1523" i="8" a="1"/>
  <c r="I1493" i="8" a="1"/>
  <c r="G1545" i="8" a="1"/>
  <c r="L1530" i="8" a="1"/>
  <c r="L1542" i="8" a="1"/>
  <c r="F1550" i="8" a="1"/>
  <c r="H1564" i="8" a="1"/>
  <c r="O1543" i="8" a="1"/>
  <c r="F1582" i="8" a="1"/>
  <c r="L1560" i="8" a="1"/>
  <c r="L1571" i="8" a="1"/>
  <c r="G1606" i="8" a="1"/>
  <c r="O1601" i="8" a="1"/>
  <c r="K1559" i="8" a="1"/>
  <c r="I1574" i="8" a="1"/>
  <c r="J1584" i="8" a="1"/>
  <c r="I1580" i="8" a="1"/>
  <c r="G1588" i="8" a="1"/>
  <c r="N1588" i="8" a="1"/>
  <c r="K1568" i="8" a="1"/>
  <c r="J1600" i="8" a="1"/>
  <c r="I1592" i="8" a="1"/>
  <c r="L1585" i="8" a="1"/>
  <c r="J1598" i="8" a="1"/>
  <c r="G1597" i="8" a="1"/>
  <c r="O1599" i="8" a="1"/>
  <c r="M1602" i="8" a="1"/>
  <c r="J1612" i="8" a="1"/>
  <c r="M1613" i="8" a="1"/>
  <c r="J1581" i="8" a="1"/>
  <c r="L1620" i="8" a="1"/>
  <c r="K1605" i="8" a="1"/>
  <c r="I1609" i="8" a="1"/>
  <c r="M1622" i="8" a="1"/>
  <c r="M1640" i="8" a="1"/>
  <c r="O1614" i="8" a="1"/>
  <c r="G1628" i="8" a="1"/>
  <c r="J1629" i="8" a="1"/>
  <c r="H1651" i="8" a="1"/>
  <c r="I1653" i="8" a="1"/>
  <c r="O1654" i="8" a="1"/>
  <c r="K1670" i="8" a="1"/>
  <c r="K1671" i="8" a="1"/>
  <c r="J1676" i="8" a="1"/>
  <c r="H1617" i="8" a="1"/>
  <c r="H1641" i="8" a="1"/>
  <c r="E1631" i="8" a="1"/>
  <c r="M1632" i="8" a="1"/>
  <c r="I1656" i="8" a="1"/>
  <c r="E1648" i="8" a="1"/>
  <c r="I1661" i="8" a="1"/>
  <c r="G1665" i="8" a="1"/>
  <c r="N1650" i="8" a="1"/>
  <c r="I1659" i="8" a="1"/>
  <c r="M1664" i="8" a="1"/>
  <c r="M1679" i="8" a="1"/>
  <c r="H1660" i="8" a="1"/>
  <c r="N1667" i="8" a="1"/>
  <c r="K1680" i="8" a="1"/>
  <c r="M1663" i="8" a="1"/>
  <c r="I1669" i="8" a="1"/>
  <c r="J1530" i="8" a="1"/>
  <c r="K1571" i="8" a="1"/>
  <c r="I1591" i="8" a="1"/>
  <c r="K1653" i="8" a="1"/>
  <c r="N1679" i="8" a="1"/>
  <c r="J1344" i="8" a="1"/>
  <c r="K1375" i="8" a="1"/>
  <c r="E1418" i="8" a="1"/>
  <c r="E1422" i="8" a="1"/>
  <c r="N1436" i="8" a="1"/>
  <c r="F1474" i="8" a="1"/>
  <c r="K1515" i="8" a="1"/>
  <c r="I1544" i="8" a="1"/>
  <c r="F1523" i="8" a="1"/>
  <c r="M1496" i="8" a="1"/>
  <c r="L1488" i="8" a="1"/>
  <c r="N1545" i="8" a="1"/>
  <c r="K1530" i="8" a="1"/>
  <c r="J1542" i="8" a="1"/>
  <c r="K1540" i="8" a="1"/>
  <c r="F1543" i="8" a="1"/>
  <c r="K1582" i="8" a="1"/>
  <c r="O1560" i="8" a="1"/>
  <c r="I1571" i="8" a="1"/>
  <c r="O1579" i="8" a="1"/>
  <c r="M1551" i="8" a="1"/>
  <c r="E1601" i="8" a="1"/>
  <c r="G1559" i="8" a="1"/>
  <c r="H1574" i="8" a="1"/>
  <c r="I1584" i="8" a="1"/>
  <c r="N1580" i="8" a="1"/>
  <c r="O1588" i="8" a="1"/>
  <c r="O1576" i="8" a="1"/>
  <c r="E1600" i="8" a="1"/>
  <c r="F1592" i="8" a="1"/>
  <c r="M1637" i="8" a="1"/>
  <c r="F1598" i="8" a="1"/>
  <c r="J1597" i="8" a="1"/>
  <c r="G1599" i="8" a="1"/>
  <c r="J1602" i="8" a="1"/>
  <c r="K1612" i="8" a="1"/>
  <c r="E1613" i="8" a="1"/>
  <c r="O1597" i="8" a="1"/>
  <c r="J1620" i="8" a="1"/>
  <c r="J1605" i="8" a="1"/>
  <c r="N1621" i="8" a="1"/>
  <c r="F1609" i="8" a="1"/>
  <c r="E1622" i="8" a="1"/>
  <c r="E1640" i="8" a="1"/>
  <c r="G1614" i="8" a="1"/>
  <c r="I1629" i="8" a="1"/>
  <c r="O1651" i="8" a="1"/>
  <c r="H1653" i="8" a="1"/>
  <c r="G1654" i="8" a="1"/>
  <c r="J1670" i="8" a="1"/>
  <c r="I1676" i="8" a="1"/>
  <c r="O1617" i="8" a="1"/>
  <c r="J1641" i="8" a="1"/>
  <c r="L1631" i="8" a="1"/>
  <c r="J1632" i="8" a="1"/>
  <c r="N1656" i="8" a="1"/>
  <c r="N1648" i="8" a="1"/>
  <c r="H1661" i="8" a="1"/>
  <c r="N1665" i="8" a="1"/>
  <c r="J1650" i="8" a="1"/>
  <c r="H1659" i="8" a="1"/>
  <c r="E1664" i="8" a="1"/>
  <c r="E1679" i="8" a="1"/>
  <c r="I1662" i="8" a="1"/>
  <c r="F1667" i="8" a="1"/>
  <c r="J1680" i="8" a="1"/>
  <c r="E1663" i="8" a="1"/>
  <c r="J1669" i="8" a="1"/>
  <c r="N1493" i="8" a="1"/>
  <c r="E1573" i="8" a="1"/>
  <c r="M1609" i="8" a="1"/>
  <c r="L1641" i="8" a="1"/>
  <c r="N1291" i="8" a="1"/>
  <c r="F1366" i="8" a="1"/>
  <c r="L1336" i="8" a="1"/>
  <c r="F1481" i="8" a="1"/>
  <c r="M1441" i="8" a="1"/>
  <c r="N1475" i="8" a="1"/>
  <c r="G1528" i="8" a="1"/>
  <c r="E1504" i="8" a="1"/>
  <c r="I1488" i="8" a="1"/>
  <c r="M1545" i="8" a="1"/>
  <c r="I1530" i="8" a="1"/>
  <c r="K1547" i="8" a="1"/>
  <c r="E1540" i="8" a="1"/>
  <c r="M1501" i="8" a="1"/>
  <c r="N1543" i="8" a="1"/>
  <c r="O1582" i="8" a="1"/>
  <c r="I1560" i="8" a="1"/>
  <c r="H1571" i="8" a="1"/>
  <c r="N1579" i="8" a="1"/>
  <c r="E1551" i="8" a="1"/>
  <c r="K1601" i="8" a="1"/>
  <c r="G1574" i="8" a="1"/>
  <c r="M1584" i="8" a="1"/>
  <c r="F1580" i="8" a="1"/>
  <c r="I1588" i="8" a="1"/>
  <c r="G1568" i="8" a="1"/>
  <c r="G1576" i="8" a="1"/>
  <c r="L1600" i="8" a="1"/>
  <c r="H1592" i="8" a="1"/>
  <c r="E1637" i="8" a="1"/>
  <c r="O1598" i="8" a="1"/>
  <c r="I1597" i="8" a="1"/>
  <c r="L1599" i="8" a="1"/>
  <c r="G1602" i="8" a="1"/>
  <c r="F1612" i="8" a="1"/>
  <c r="L1613" i="8" a="1"/>
  <c r="O1604" i="8" a="1"/>
  <c r="H1605" i="8" a="1"/>
  <c r="F1621" i="8" a="1"/>
  <c r="E1609" i="8" a="1"/>
  <c r="K1622" i="8" a="1"/>
  <c r="H1635" i="8" a="1"/>
  <c r="E1614" i="8" a="1"/>
  <c r="G1629" i="8" a="1"/>
  <c r="G1651" i="8" a="1"/>
  <c r="N1653" i="8" a="1"/>
  <c r="N1654" i="8" a="1"/>
  <c r="I1670" i="8" a="1"/>
  <c r="H1676" i="8" a="1"/>
  <c r="G1617" i="8" a="1"/>
  <c r="I1641" i="8" a="1"/>
  <c r="K1631" i="8" a="1"/>
  <c r="I1632" i="8" a="1"/>
  <c r="F1656" i="8" a="1"/>
  <c r="M1648" i="8" a="1"/>
  <c r="O1661" i="8" a="1"/>
  <c r="F1665" i="8" a="1"/>
  <c r="H1650" i="8" a="1"/>
  <c r="O1659" i="8" a="1"/>
  <c r="L1664" i="8" a="1"/>
  <c r="L1679" i="8" a="1"/>
  <c r="L1675" i="8" a="1"/>
  <c r="M1667" i="8" a="1"/>
  <c r="I1660" i="8" a="1"/>
  <c r="L1663" i="8" a="1"/>
  <c r="K1669" i="8" a="1"/>
  <c r="J1564" i="8" a="1"/>
  <c r="M1592" i="8" a="1"/>
  <c r="J1614" i="8" a="1"/>
  <c r="G1648" i="8" a="1"/>
  <c r="J1317" i="8" a="1"/>
  <c r="E1346" i="8" a="1"/>
  <c r="H1406" i="8" a="1"/>
  <c r="H1412" i="8" a="1"/>
  <c r="F1442" i="8" a="1"/>
  <c r="O1484" i="8" a="1"/>
  <c r="L1461" i="8" a="1"/>
  <c r="K1489" i="8" a="1"/>
  <c r="H1528" i="8" a="1"/>
  <c r="J1504" i="8" a="1"/>
  <c r="G1496" i="8" a="1"/>
  <c r="N1554" i="8" a="1"/>
  <c r="N1547" i="8" a="1"/>
  <c r="M1540" i="8" a="1"/>
  <c r="E1550" i="8" a="1"/>
  <c r="M1543" i="8" a="1"/>
  <c r="M1582" i="8" a="1"/>
  <c r="J1560" i="8" a="1"/>
  <c r="G1571" i="8" a="1"/>
  <c r="M1579" i="8" a="1"/>
  <c r="H1551" i="8" a="1"/>
  <c r="H1601" i="8" a="1"/>
  <c r="J1565" i="8" a="1"/>
  <c r="J1568" i="8" a="1"/>
  <c r="L1580" i="8" a="1"/>
  <c r="F1588" i="8" a="1"/>
  <c r="J1577" i="8" a="1"/>
  <c r="J1576" i="8" a="1"/>
  <c r="M1600" i="8" a="1"/>
  <c r="L1637" i="8" a="1"/>
  <c r="K1598" i="8" a="1"/>
  <c r="F1597" i="8" a="1"/>
  <c r="K1599" i="8" a="1"/>
  <c r="K1604" i="8" a="1"/>
  <c r="N1612" i="8" a="1"/>
  <c r="I1613" i="8" a="1"/>
  <c r="J1595" i="8" a="1"/>
  <c r="G1605" i="8" a="1"/>
  <c r="J1621" i="8" a="1"/>
  <c r="K1614" i="8" a="1"/>
  <c r="L1622" i="8" a="1"/>
  <c r="O1635" i="8" a="1"/>
  <c r="N1614" i="8" a="1"/>
  <c r="K1610" i="8" a="1"/>
  <c r="O1629" i="8" a="1"/>
  <c r="N1651" i="8" a="1"/>
  <c r="F1653" i="8" a="1"/>
  <c r="F1654" i="8" a="1"/>
  <c r="H1670" i="8" a="1"/>
  <c r="J1626" i="8" a="1"/>
  <c r="K1627" i="8" a="1"/>
  <c r="N1617" i="8" a="1"/>
  <c r="L1643" i="8" a="1"/>
  <c r="J1631" i="8" a="1"/>
  <c r="H1632" i="8" a="1"/>
  <c r="O1656" i="8" a="1"/>
  <c r="L1648" i="8" a="1"/>
  <c r="G1661" i="8" a="1"/>
  <c r="M1665" i="8" a="1"/>
  <c r="F1650" i="8" a="1"/>
  <c r="G1659" i="8" a="1"/>
  <c r="K1664" i="8" a="1"/>
  <c r="K1679" i="8" a="1"/>
  <c r="K1675" i="8" a="1"/>
  <c r="E1667" i="8" a="1"/>
  <c r="O1662" i="8" a="1"/>
  <c r="K1663" i="8" a="1"/>
  <c r="L1669" i="8" a="1"/>
  <c r="O1517" i="8" a="1"/>
  <c r="O1559" i="8" a="1"/>
  <c r="G1620" i="8" a="1"/>
  <c r="E1638" i="8" a="1"/>
  <c r="J1347" i="8" a="1"/>
  <c r="N1314" i="8" a="1"/>
  <c r="E1348" i="8" a="1"/>
  <c r="H1373" i="8" a="1"/>
  <c r="L1351" i="8" a="1"/>
  <c r="O1528" i="8" a="1"/>
  <c r="G1524" i="8" a="1"/>
  <c r="F1496" i="8" a="1"/>
  <c r="G1554" i="8" a="1"/>
  <c r="E1547" i="8" a="1"/>
  <c r="L1540" i="8" a="1"/>
  <c r="H1540" i="8" a="1"/>
  <c r="J1543" i="8" a="1"/>
  <c r="L1582" i="8" a="1"/>
  <c r="G1560" i="8" a="1"/>
  <c r="F1571" i="8" a="1"/>
  <c r="L1579" i="8" a="1"/>
  <c r="O1551" i="8" a="1"/>
  <c r="N1601" i="8" a="1"/>
  <c r="E1519" i="8" a="1"/>
  <c r="E1565" i="8" a="1"/>
  <c r="I1568" i="8" a="1"/>
  <c r="K1580" i="8" a="1"/>
  <c r="G1565" i="8" a="1"/>
  <c r="M1577" i="8" a="1"/>
  <c r="F1576" i="8" a="1"/>
  <c r="H1600" i="8" a="1"/>
  <c r="J1593" i="8" a="1"/>
  <c r="K1637" i="8" a="1"/>
  <c r="I1598" i="8" a="1"/>
  <c r="E1597" i="8" a="1"/>
  <c r="H1599" i="8" a="1"/>
  <c r="I1604" i="8" a="1"/>
  <c r="I1612" i="8" a="1"/>
  <c r="F1613" i="8" a="1"/>
  <c r="G1595" i="8" a="1"/>
  <c r="O1605" i="8" a="1"/>
  <c r="I1621" i="8" a="1"/>
  <c r="J1622" i="8" a="1"/>
  <c r="G1635" i="8" a="1"/>
  <c r="I1616" i="8" a="1"/>
  <c r="L1629" i="8" a="1"/>
  <c r="F1651" i="8" a="1"/>
  <c r="O1653" i="8" a="1"/>
  <c r="L1654" i="8" a="1"/>
  <c r="E1670" i="8" a="1"/>
  <c r="H1626" i="8" a="1"/>
  <c r="E1627" i="8" a="1"/>
  <c r="F1617" i="8" a="1"/>
  <c r="K1643" i="8" a="1"/>
  <c r="I1631" i="8" a="1"/>
  <c r="G1632" i="8" a="1"/>
  <c r="J1656" i="8" a="1"/>
  <c r="K1648" i="8" a="1"/>
  <c r="N1661" i="8" a="1"/>
  <c r="E1665" i="8" a="1"/>
  <c r="M1666" i="8" a="1"/>
  <c r="N1659" i="8" a="1"/>
  <c r="J1664" i="8" a="1"/>
  <c r="J1679" i="8" a="1"/>
  <c r="J1675" i="8" a="1"/>
  <c r="L1667" i="8" a="1"/>
  <c r="J1663" i="8" a="1"/>
  <c r="E1669" i="8" a="1"/>
  <c r="G1530" i="8" a="1"/>
  <c r="N1600" i="8" a="1"/>
  <c r="G1644" i="8" a="1"/>
  <c r="H1657" i="8" a="1"/>
  <c r="O1360" i="8" a="1"/>
  <c r="F1450" i="8" a="1"/>
  <c r="J1349" i="8" a="1"/>
  <c r="E1435" i="8" a="1"/>
  <c r="H1466" i="8" a="1"/>
  <c r="H1507" i="8" a="1"/>
  <c r="H1537" i="8" a="1"/>
  <c r="K1524" i="8" a="1"/>
  <c r="J1496" i="8" a="1"/>
  <c r="E1554" i="8" a="1"/>
  <c r="J1547" i="8" a="1"/>
  <c r="J1540" i="8" a="1"/>
  <c r="J1553" i="8" a="1"/>
  <c r="G1543" i="8" a="1"/>
  <c r="J1582" i="8" a="1"/>
  <c r="F1560" i="8" a="1"/>
  <c r="J1571" i="8" a="1"/>
  <c r="K1579" i="8" a="1"/>
  <c r="L1551" i="8" a="1"/>
  <c r="M1601" i="8" a="1"/>
  <c r="O1567" i="8" a="1"/>
  <c r="O1565" i="8" a="1"/>
  <c r="H1568" i="8" a="1"/>
  <c r="J1580" i="8" a="1"/>
  <c r="H1573" i="8" a="1"/>
  <c r="L1577" i="8" a="1"/>
  <c r="E1576" i="8" a="1"/>
  <c r="K1600" i="8" a="1"/>
  <c r="G1593" i="8" a="1"/>
  <c r="J1637" i="8" a="1"/>
  <c r="H1598" i="8" a="1"/>
  <c r="N1597" i="8" a="1"/>
  <c r="E1599" i="8" a="1"/>
  <c r="H1604" i="8" a="1"/>
  <c r="H1591" i="8" a="1"/>
  <c r="O1613" i="8" a="1"/>
  <c r="G1585" i="8" a="1"/>
  <c r="L1595" i="8" a="1"/>
  <c r="H1585" i="8" a="1"/>
  <c r="H1621" i="8" a="1"/>
  <c r="J1610" i="8" a="1"/>
  <c r="I1622" i="8" a="1"/>
  <c r="N1635" i="8" a="1"/>
  <c r="O1622" i="8" a="1"/>
  <c r="O1616" i="8" a="1"/>
  <c r="K1629" i="8" a="1"/>
  <c r="M1651" i="8" a="1"/>
  <c r="G1653" i="8" a="1"/>
  <c r="I1654" i="8" a="1"/>
  <c r="O1626" i="8" a="1"/>
  <c r="M1627" i="8" a="1"/>
  <c r="F1627" i="8" a="1"/>
  <c r="J1643" i="8" a="1"/>
  <c r="H1631" i="8" a="1"/>
  <c r="F1632" i="8" a="1"/>
  <c r="G1656" i="8" a="1"/>
  <c r="O1657" i="8" a="1"/>
  <c r="F1661" i="8" a="1"/>
  <c r="L1665" i="8" a="1"/>
  <c r="E1666" i="8" a="1"/>
  <c r="F1659" i="8" a="1"/>
  <c r="K1662" i="8" a="1"/>
  <c r="I1679" i="8" a="1"/>
  <c r="I1675" i="8" a="1"/>
  <c r="K1667" i="8" a="1"/>
  <c r="L1672" i="8" a="1"/>
  <c r="I1663" i="8" a="1"/>
  <c r="H1334" i="8" a="1"/>
  <c r="K1606" i="8" a="1"/>
  <c r="H1602" i="8" a="1"/>
  <c r="L1649" i="8" a="1"/>
  <c r="O1664" i="8" a="1"/>
  <c r="E1327" i="8" a="1"/>
  <c r="H1361" i="8" a="1"/>
  <c r="E1411" i="8" a="1"/>
  <c r="E1402" i="8" a="1"/>
  <c r="I1395" i="8" a="1"/>
  <c r="J1446" i="8" a="1"/>
  <c r="O1473" i="8" a="1"/>
  <c r="L1507" i="8" a="1"/>
  <c r="I1537" i="8" a="1"/>
  <c r="I1524" i="8" a="1"/>
  <c r="O1512" i="8" a="1"/>
  <c r="O1554" i="8" a="1"/>
  <c r="I1506" i="8" a="1"/>
  <c r="G1547" i="8" a="1"/>
  <c r="G1540" i="8" a="1"/>
  <c r="N1553" i="8" a="1"/>
  <c r="G1553" i="8" a="1"/>
  <c r="H1582" i="8" a="1"/>
  <c r="M1563" i="8" a="1"/>
  <c r="H1558" i="8" a="1"/>
  <c r="I1579" i="8" a="1"/>
  <c r="K1551" i="8" a="1"/>
  <c r="I1601" i="8" a="1"/>
  <c r="G1567" i="8" a="1"/>
  <c r="L1565" i="8" a="1"/>
  <c r="L1568" i="8" a="1"/>
  <c r="H1580" i="8" a="1"/>
  <c r="G1573" i="8" a="1"/>
  <c r="K1577" i="8" a="1"/>
  <c r="N1576" i="8" a="1"/>
  <c r="O1593" i="8" a="1"/>
  <c r="I1637" i="8" a="1"/>
  <c r="E1598" i="8" a="1"/>
  <c r="M1597" i="8" a="1"/>
  <c r="J1599" i="8" a="1"/>
  <c r="F1604" i="8" a="1"/>
  <c r="E1595" i="8" a="1"/>
  <c r="N1613" i="8" a="1"/>
  <c r="O1591" i="8" a="1"/>
  <c r="K1595" i="8" a="1"/>
  <c r="L1605" i="8" a="1"/>
  <c r="O1621" i="8" a="1"/>
  <c r="H1610" i="8" a="1"/>
  <c r="G1622" i="8" a="1"/>
  <c r="F1635" i="8" a="1"/>
  <c r="H1628" i="8" a="1"/>
  <c r="G1616" i="8" a="1"/>
  <c r="E1651" i="8" a="1"/>
  <c r="K1649" i="8" a="1"/>
  <c r="M1654" i="8" a="1"/>
  <c r="J1671" i="8" a="1"/>
  <c r="G1626" i="8" a="1"/>
  <c r="J1627" i="8" a="1"/>
  <c r="M1649" i="8" a="1"/>
  <c r="I1643" i="8" a="1"/>
  <c r="O1638" i="8" a="1"/>
  <c r="E1632" i="8" a="1"/>
  <c r="E1656" i="8" a="1"/>
  <c r="G1657" i="8" a="1"/>
  <c r="M1661" i="8" a="1"/>
  <c r="L1666" i="8" a="1"/>
  <c r="M1659" i="8" a="1"/>
  <c r="J1662" i="8" a="1"/>
  <c r="H1679" i="8" a="1"/>
  <c r="H1675" i="8" a="1"/>
  <c r="J1667" i="8" a="1"/>
  <c r="K1672" i="8" a="1"/>
  <c r="H1663" i="8" a="1"/>
  <c r="N1542" i="8" a="1"/>
  <c r="I1567" i="8" a="1"/>
  <c r="I1605" i="8" a="1"/>
  <c r="L1656" i="8" a="1"/>
  <c r="K1291" i="8" a="1"/>
  <c r="J1396" i="8" a="1"/>
  <c r="L1456" i="8" a="1"/>
  <c r="L1473" i="8" a="1"/>
  <c r="H1536" i="8" a="1"/>
  <c r="L1502" i="8" a="1"/>
  <c r="G1512" i="8" a="1"/>
  <c r="J1554" i="8" a="1"/>
  <c r="H1506" i="8" a="1"/>
  <c r="O1547" i="8" a="1"/>
  <c r="G1542" i="8" a="1"/>
  <c r="E1553" i="8" a="1"/>
  <c r="F1506" i="8" a="1"/>
  <c r="E1563" i="8" a="1"/>
  <c r="L1558" i="8" a="1"/>
  <c r="E1579" i="8" a="1"/>
  <c r="G1601" i="8" a="1"/>
  <c r="M1567" i="8" a="1"/>
  <c r="K1565" i="8" a="1"/>
  <c r="E1568" i="8" a="1"/>
  <c r="G1580" i="8" a="1"/>
  <c r="F1573" i="8" a="1"/>
  <c r="I1577" i="8" a="1"/>
  <c r="M1576" i="8" a="1"/>
  <c r="N1565" i="8" a="1"/>
  <c r="M1593" i="8" a="1"/>
  <c r="N1637" i="8" a="1"/>
  <c r="N1598" i="8" a="1"/>
  <c r="O1615" i="8" a="1"/>
  <c r="I1599" i="8" a="1"/>
  <c r="M1604" i="8" a="1"/>
  <c r="L1597" i="8" a="1"/>
  <c r="K1613" i="8" a="1"/>
  <c r="O1602" i="8" a="1"/>
  <c r="I1595" i="8" a="1"/>
  <c r="M1624" i="8" a="1"/>
  <c r="K1621" i="8" a="1"/>
  <c r="O1610" i="8" a="1"/>
  <c r="L1640" i="8" a="1"/>
  <c r="M1635" i="8" a="1"/>
  <c r="O1628" i="8" a="1"/>
  <c r="N1616" i="8" a="1"/>
  <c r="N1644" i="8" a="1"/>
  <c r="L1651" i="8" a="1"/>
  <c r="J1649" i="8" a="1"/>
  <c r="K1654" i="8" a="1"/>
  <c r="I1671" i="8" a="1"/>
  <c r="M1626" i="8" a="1"/>
  <c r="I1627" i="8" a="1"/>
  <c r="H1643" i="8" a="1"/>
  <c r="G1638" i="8" a="1"/>
  <c r="I1634" i="8" a="1"/>
  <c r="J1617" i="8" a="1"/>
  <c r="N1657" i="8" a="1"/>
  <c r="E1661" i="8" a="1"/>
  <c r="N1627" i="8" a="1"/>
  <c r="J1666" i="8" a="1"/>
  <c r="E1659" i="8" a="1"/>
  <c r="H1662" i="8" a="1"/>
  <c r="O1679" i="8" a="1"/>
  <c r="O1675" i="8" a="1"/>
  <c r="I1667" i="8" a="1"/>
  <c r="I1672" i="8" a="1"/>
  <c r="O1663" i="8" a="1"/>
  <c r="E1566" i="8" a="1"/>
  <c r="M1615" i="8" a="1"/>
  <c r="F1629" i="8" a="1"/>
  <c r="K1659" i="8" a="1"/>
  <c r="N1280" i="8" a="1"/>
  <c r="I1319" i="8" a="1"/>
  <c r="K1376" i="8" a="1"/>
  <c r="O1518" i="8" a="1"/>
  <c r="N1437" i="8" a="1"/>
  <c r="H1499" i="8" a="1"/>
  <c r="G1478" i="8" a="1"/>
  <c r="M1549" i="8" a="1"/>
  <c r="J1502" i="8" a="1"/>
  <c r="K1512" i="8" a="1"/>
  <c r="L1501" i="8" a="1"/>
  <c r="N1506" i="8" a="1"/>
  <c r="M1547" i="8" a="1"/>
  <c r="G1564" i="8" a="1"/>
  <c r="L1553" i="8" a="1"/>
  <c r="K1545" i="8" a="1"/>
  <c r="J1552" i="8" a="1"/>
  <c r="K1563" i="8" a="1"/>
  <c r="J1558" i="8" a="1"/>
  <c r="N1606" i="8" a="1"/>
  <c r="L1557" i="8" a="1"/>
  <c r="F1601" i="8" a="1"/>
  <c r="L1567" i="8" a="1"/>
  <c r="G1572" i="8" a="1"/>
  <c r="M1572" i="8" a="1"/>
  <c r="O1580" i="8" a="1"/>
  <c r="O1573" i="8" a="1"/>
  <c r="O1577" i="8" a="1"/>
  <c r="I1576" i="8" a="1"/>
  <c r="M1568" i="8" a="1"/>
  <c r="L1593" i="8" a="1"/>
  <c r="F1637" i="8" a="1"/>
  <c r="M1591" i="8" a="1"/>
  <c r="G1615" i="8" a="1"/>
  <c r="F1599" i="8" a="1"/>
  <c r="G1604" i="8" a="1"/>
  <c r="M1599" i="8" a="1"/>
  <c r="H1613" i="8" a="1"/>
  <c r="K1620" i="8" a="1"/>
  <c r="H1595" i="8" a="1"/>
  <c r="E1624" i="8" a="1"/>
  <c r="G1621" i="8" a="1"/>
  <c r="G1610" i="8" a="1"/>
  <c r="O1640" i="8" a="1"/>
  <c r="E1635" i="8" a="1"/>
  <c r="F1628" i="8" a="1"/>
  <c r="F1616" i="8" a="1"/>
  <c r="F1644" i="8" a="1"/>
  <c r="K1651" i="8" a="1"/>
  <c r="I1649" i="8" a="1"/>
  <c r="J1654" i="8" a="1"/>
  <c r="H1671" i="8" a="1"/>
  <c r="E1626" i="8" a="1"/>
  <c r="H1627" i="8" a="1"/>
  <c r="O1641" i="8" a="1"/>
  <c r="M1643" i="8" a="1"/>
  <c r="M1638" i="8" a="1"/>
  <c r="F1634" i="8" a="1"/>
  <c r="I1626" i="8" a="1"/>
  <c r="F1657" i="8" a="1"/>
  <c r="L1661" i="8" a="1"/>
  <c r="K1632" i="8" a="1"/>
  <c r="I1666" i="8" a="1"/>
  <c r="F1666" i="8" a="1"/>
  <c r="N1662" i="8" a="1"/>
  <c r="G1679" i="8" a="1"/>
  <c r="G1675" i="8" a="1"/>
  <c r="H1680" i="8" a="1"/>
  <c r="H1672" i="8" a="1"/>
  <c r="G1663" i="8" a="1"/>
  <c r="H1335" i="8" a="1"/>
  <c r="K1573" i="8" a="1"/>
  <c r="N1624" i="8" a="1"/>
  <c r="F1631" i="8" a="1"/>
  <c r="O1669" i="8" a="1"/>
  <c r="J1284" i="8" a="1"/>
  <c r="G1348" i="8" a="1"/>
  <c r="F1363" i="8" a="1"/>
  <c r="I1377" i="8" a="1"/>
  <c r="F1438" i="8" a="1"/>
  <c r="I1463" i="8" a="1"/>
  <c r="H1437" i="8" a="1"/>
  <c r="O1486" i="8" a="1"/>
  <c r="L1556" i="8" a="1"/>
  <c r="I1502" i="8" a="1"/>
  <c r="I1512" i="8" a="1"/>
  <c r="K1501" i="8" a="1"/>
  <c r="M1506" i="8" a="1"/>
  <c r="H1547" i="8" a="1"/>
  <c r="N1564" i="8" a="1"/>
  <c r="K1553" i="8" a="1"/>
  <c r="M1566" i="8" a="1"/>
  <c r="O1552" i="8" a="1"/>
  <c r="H1563" i="8" a="1"/>
  <c r="F1558" i="8" a="1"/>
  <c r="F1606" i="8" a="1"/>
  <c r="G1557" i="8" a="1"/>
  <c r="K1567" i="8" a="1"/>
  <c r="K1584" i="8" a="1"/>
  <c r="E1572" i="8" a="1"/>
  <c r="M1580" i="8" a="1"/>
  <c r="N1573" i="8" a="1"/>
  <c r="H1577" i="8" a="1"/>
  <c r="H1576" i="8" a="1"/>
  <c r="O1592" i="8" a="1"/>
  <c r="K1593" i="8" a="1"/>
  <c r="H1637" i="8" a="1"/>
  <c r="E1591" i="8" a="1"/>
  <c r="J1615" i="8" a="1"/>
  <c r="N1599" i="8" a="1"/>
  <c r="E1604" i="8" a="1"/>
  <c r="N1585" i="8" a="1"/>
  <c r="G1613" i="8" a="1"/>
  <c r="I1620" i="8" a="1"/>
  <c r="F1595" i="8" a="1"/>
  <c r="K1624" i="8" a="1"/>
  <c r="E1621" i="8" a="1"/>
  <c r="M1610" i="8" a="1"/>
  <c r="N1640" i="8" a="1"/>
  <c r="L1635" i="8" a="1"/>
  <c r="E1628" i="8" a="1"/>
  <c r="L1616" i="8" a="1"/>
  <c r="O1644" i="8" a="1"/>
  <c r="I1651" i="8" a="1"/>
  <c r="H1649" i="8" a="1"/>
  <c r="H1654" i="8" a="1"/>
  <c r="O1671" i="8" a="1"/>
  <c r="G1627" i="8" a="1"/>
  <c r="G1641" i="8" a="1"/>
  <c r="E1643" i="8" a="1"/>
  <c r="K1638" i="8" a="1"/>
  <c r="E1634" i="8" a="1"/>
  <c r="G1634" i="8" a="1"/>
  <c r="M1657" i="8" a="1"/>
  <c r="K1661" i="8" a="1"/>
  <c r="H1666" i="8" a="1"/>
  <c r="F1662" i="8" a="1"/>
  <c r="N1675" i="8" a="1"/>
  <c r="O1680" i="8" a="1"/>
  <c r="O1672" i="8" a="1"/>
  <c r="M1440" i="8" a="1"/>
  <c r="O1584" i="8" a="1"/>
  <c r="O1581" i="8" a="1"/>
  <c r="L1676" i="8" a="1"/>
  <c r="E1680" i="8" a="1"/>
  <c r="J1303" i="8" a="1"/>
  <c r="O1275" i="8" a="1"/>
  <c r="E1330" i="8" a="1"/>
  <c r="I1333" i="8" a="1"/>
  <c r="I1400" i="8" a="1"/>
  <c r="K1467" i="8" a="1"/>
  <c r="G1483" i="8" a="1"/>
  <c r="I1466" i="8" a="1"/>
  <c r="I1556" i="8" a="1"/>
  <c r="G1502" i="8" a="1"/>
  <c r="H1501" i="8" a="1"/>
  <c r="K1506" i="8" a="1"/>
  <c r="L1550" i="8" a="1"/>
  <c r="F1564" i="8" a="1"/>
  <c r="F1553" i="8" a="1"/>
  <c r="L1566" i="8" a="1"/>
  <c r="E1552" i="8" a="1"/>
  <c r="N1563" i="8" a="1"/>
  <c r="E1558" i="8" a="1"/>
  <c r="M1606" i="8" a="1"/>
  <c r="I1557" i="8" a="1"/>
  <c r="J1574" i="8" a="1"/>
  <c r="H1584" i="8" a="1"/>
  <c r="H1572" i="8" a="1"/>
  <c r="M1588" i="8" a="1"/>
  <c r="J1573" i="8" a="1"/>
  <c r="G1577" i="8" a="1"/>
  <c r="L1576" i="8" a="1"/>
  <c r="G1592" i="8" a="1"/>
  <c r="I1593" i="8" a="1"/>
  <c r="G1637" i="8" a="1"/>
  <c r="J1591" i="8" a="1"/>
  <c r="I1615" i="8" a="1"/>
  <c r="N1602" i="8" a="1"/>
  <c r="L1604" i="8" a="1"/>
  <c r="F1585" i="8" a="1"/>
  <c r="H1620" i="8" a="1"/>
  <c r="O1595" i="8" a="1"/>
  <c r="J1624" i="8" a="1"/>
  <c r="I1624" i="8" a="1"/>
  <c r="E1610" i="8" a="1"/>
  <c r="K1640" i="8" a="1"/>
  <c r="K1635" i="8" a="1"/>
  <c r="N1628" i="8" a="1"/>
  <c r="J1616" i="8" a="1"/>
  <c r="L1644" i="8" a="1"/>
  <c r="J1651" i="8" a="1"/>
  <c r="O1649" i="8" a="1"/>
  <c r="E1654" i="8" a="1"/>
  <c r="G1671" i="8" a="1"/>
  <c r="N1676" i="8" a="1"/>
  <c r="E1649" i="8" a="1"/>
  <c r="N1641" i="8" a="1"/>
  <c r="O1643" i="8" a="1"/>
  <c r="J1638" i="8" a="1"/>
  <c r="O1634" i="8" a="1"/>
  <c r="N1638" i="8" a="1"/>
  <c r="E1657" i="8" a="1"/>
  <c r="J1661" i="8" a="1"/>
  <c r="M1644" i="8" a="1"/>
  <c r="O1666" i="8" a="1"/>
  <c r="K1666" i="8" a="1"/>
  <c r="M1662" i="8" a="1"/>
  <c r="F1675" i="8" a="1"/>
  <c r="G1680" i="8" a="1"/>
  <c r="G1672" i="8" a="1"/>
  <c r="I1680" i="8" a="1"/>
  <c r="L1482" i="8" a="1"/>
  <c r="L1588" i="8" a="1"/>
  <c r="G1640" i="8" a="1"/>
  <c r="H1665" i="8" a="1"/>
  <c r="K1268" i="8" a="1"/>
  <c r="G1295" i="8" a="1"/>
  <c r="I1350" i="8" a="1"/>
  <c r="J1394" i="8" a="1"/>
  <c r="F1434" i="8" a="1"/>
  <c r="O1467" i="8" a="1"/>
  <c r="E1526" i="8" a="1"/>
  <c r="L1534" i="8" a="1"/>
  <c r="I1492" i="8" a="1"/>
  <c r="E1477" i="8" a="1"/>
  <c r="O1502" i="8" a="1"/>
  <c r="J1506" i="8" a="1"/>
  <c r="J1550" i="8" a="1"/>
  <c r="E1564" i="8" a="1"/>
  <c r="O1553" i="8" a="1"/>
  <c r="G1566" i="8" a="1"/>
  <c r="N1552" i="8" a="1"/>
  <c r="I1563" i="8" a="1"/>
  <c r="M1558" i="8" a="1"/>
  <c r="E1606" i="8" a="1"/>
  <c r="H1557" i="8" a="1"/>
  <c r="N1559" i="8" a="1"/>
  <c r="M1574" i="8" a="1"/>
  <c r="N1584" i="8" a="1"/>
  <c r="K1572" i="8" a="1"/>
  <c r="E1588" i="8" a="1"/>
  <c r="M1573" i="8" a="1"/>
  <c r="E1577" i="8" a="1"/>
  <c r="I1600" i="8" a="1"/>
  <c r="L1592" i="8" a="1"/>
  <c r="H1593" i="8" a="1"/>
  <c r="O1637" i="8" a="1"/>
  <c r="F1591" i="8" a="1"/>
  <c r="E1615" i="8" a="1"/>
  <c r="F1602" i="8" a="1"/>
  <c r="O1612" i="8" a="1"/>
  <c r="K1585" i="8" a="1"/>
  <c r="L1581" i="8" a="1"/>
  <c r="N1620" i="8" a="1"/>
  <c r="N1605" i="8" a="1"/>
  <c r="H1624" i="8" a="1"/>
  <c r="L1610" i="8" a="1"/>
  <c r="J1640" i="8" a="1"/>
  <c r="J1635" i="8" a="1"/>
  <c r="M1628" i="8" a="1"/>
  <c r="E1616" i="8" a="1"/>
  <c r="J1644" i="8" a="1"/>
  <c r="M1653" i="8" a="1"/>
  <c r="G1649" i="8" a="1"/>
  <c r="O1670" i="8" a="1"/>
  <c r="N1671" i="8" a="1"/>
  <c r="F1676" i="8" a="1"/>
  <c r="G1676" i="8" a="1"/>
  <c r="F1641" i="8" a="1"/>
  <c r="G1643" i="8" a="1"/>
  <c r="I1638" i="8" a="1"/>
  <c r="N1634" i="8" a="1"/>
  <c r="K1644" i="8" a="1"/>
  <c r="L1657" i="8" a="1"/>
  <c r="K1665" i="8" a="1"/>
  <c r="M1650" i="8" a="1"/>
  <c r="G1666" i="8" a="1"/>
  <c r="E1662" i="8" a="1"/>
  <c r="N1660" i="8" a="1"/>
  <c r="M1675" i="8" a="1"/>
  <c r="N1680" i="8" a="1"/>
  <c r="N1672" i="8" a="1"/>
  <c r="F1669" i="8" a="1"/>
  <c r="M1560" i="8" a="1"/>
  <c r="E1593" i="8" a="1"/>
  <c r="J1628" i="8" a="1"/>
  <c r="O1650" i="8" a="1"/>
  <c r="I1362" i="8" a="1"/>
  <c r="L1391" i="8" a="1"/>
  <c r="I1428" i="8" a="1"/>
  <c r="H1451" i="8" a="1"/>
  <c r="G1433" i="8" a="1"/>
  <c r="N1456" i="8" a="1"/>
  <c r="N1534" i="8" a="1"/>
  <c r="K1508" i="8" a="1"/>
  <c r="I1477" i="8" a="1"/>
  <c r="K1517" i="8" a="1"/>
  <c r="G1501" i="8" a="1"/>
  <c r="N1550" i="8" a="1"/>
  <c r="M1564" i="8" a="1"/>
  <c r="M1553" i="8" a="1"/>
  <c r="J1566" i="8" a="1"/>
  <c r="L1552" i="8" a="1"/>
  <c r="G1563" i="8" a="1"/>
  <c r="I1558" i="8" a="1"/>
  <c r="J1606" i="8" a="1"/>
  <c r="F1557" i="8" a="1"/>
  <c r="H1559" i="8" a="1"/>
  <c r="E1574" i="8" a="1"/>
  <c r="G1584" i="8" a="1"/>
  <c r="J1572" i="8" a="1"/>
  <c r="J1588" i="8" a="1"/>
  <c r="L1573" i="8" a="1"/>
  <c r="E1580" i="8" a="1"/>
  <c r="O1600" i="8" a="1"/>
  <c r="J1592" i="8" a="1"/>
  <c r="N1593" i="8" a="1"/>
  <c r="N1591" i="8" a="1"/>
  <c r="N1615" i="8" a="1"/>
  <c r="L1602" i="8" a="1"/>
  <c r="G1612" i="8" a="1"/>
  <c r="E1585" i="8" a="1"/>
  <c r="G1581" i="8" a="1"/>
  <c r="F1620" i="8" a="1"/>
  <c r="F1605" i="8" a="1"/>
  <c r="F1624" i="8" a="1"/>
  <c r="H1609" i="8" a="1"/>
  <c r="I1610" i="8" a="1"/>
  <c r="I1640" i="8" a="1"/>
  <c r="I1635" i="8" a="1"/>
  <c r="L1628" i="8" a="1"/>
  <c r="H1629" i="8" a="1"/>
  <c r="I1644" i="8" a="1"/>
  <c r="E1653" i="8" a="1"/>
  <c r="N1649" i="8" a="1"/>
  <c r="G1670" i="8" a="1"/>
  <c r="F1671" i="8" a="1"/>
  <c r="M1676" i="8" a="1"/>
  <c r="G1631" i="8" a="1"/>
  <c r="M1641" i="8" a="1"/>
  <c r="F1643" i="8" a="1"/>
  <c r="H1638" i="8" a="1"/>
  <c r="M1634" i="8" a="1"/>
  <c r="H1648" i="8" a="1"/>
  <c r="K1657" i="8" a="1"/>
  <c r="J1665" i="8" a="1"/>
  <c r="E1650" i="8" a="1"/>
  <c r="F1660" i="8" a="1"/>
  <c r="E1675" i="8" a="1"/>
  <c r="F1680" i="8" a="1"/>
  <c r="F1672" i="8" a="1"/>
  <c r="N1669" i="8" a="1"/>
  <c r="H1294" i="8" a="1"/>
  <c r="N1622" i="8" a="1"/>
  <c r="N1663" i="8" a="1"/>
  <c r="F1381" i="8" a="1"/>
  <c r="L1365" i="8" a="1"/>
  <c r="O1470" i="8" a="1"/>
  <c r="J1439" i="8" a="1"/>
  <c r="L1495" i="8" a="1"/>
  <c r="N1522" i="8" a="1"/>
  <c r="N1489" i="8" a="1"/>
  <c r="K1496" i="8" a="1"/>
  <c r="I1517" i="8" a="1"/>
  <c r="I1545" i="8" a="1"/>
  <c r="H1542" i="8" a="1"/>
  <c r="O1550" i="8" a="1"/>
  <c r="L1564" i="8" a="1"/>
  <c r="N1501" i="8" a="1"/>
  <c r="H1566" i="8" a="1"/>
  <c r="H1552" i="8" a="1"/>
  <c r="L1563" i="8" a="1"/>
  <c r="F1566" i="8" a="1"/>
  <c r="O1606" i="8" a="1"/>
  <c r="N1557" i="8" a="1"/>
  <c r="M1559" i="8" a="1"/>
  <c r="N1574" i="8" a="1"/>
  <c r="E1584" i="8" a="1"/>
  <c r="N1572" i="8" a="1"/>
  <c r="H1588" i="8" a="1"/>
  <c r="I1573" i="8" a="1"/>
  <c r="G1600" i="8" a="1"/>
  <c r="N1592" i="8" a="1"/>
  <c r="F1593" i="8" a="1"/>
  <c r="H1615" i="8" a="1"/>
  <c r="L1591" i="8" a="1"/>
  <c r="F1615" i="8" a="1"/>
  <c r="K1602" i="8" a="1"/>
  <c r="M1612" i="8" a="1"/>
  <c r="M1585" i="8" a="1"/>
  <c r="F1581" i="8" a="1"/>
  <c r="M1620" i="8" a="1"/>
  <c r="M1605" i="8" a="1"/>
  <c r="O1624" i="8" a="1"/>
  <c r="N1609" i="8" a="1"/>
  <c r="H1622" i="8" a="1"/>
  <c r="H1640" i="8" a="1"/>
  <c r="L1614" i="8" a="1"/>
  <c r="K1628" i="8" a="1"/>
  <c r="N1629" i="8" a="1"/>
  <c r="H1644" i="8" a="1"/>
  <c r="L1653" i="8" a="1"/>
  <c r="F1649" i="8" a="1"/>
  <c r="N1670" i="8" a="1"/>
  <c r="M1671" i="8" a="1"/>
  <c r="E1676" i="8" a="1"/>
  <c r="O1676" i="8" a="1"/>
  <c r="E1641" i="8" a="1"/>
  <c r="N1631" i="8" a="1"/>
  <c r="F1638" i="8" a="1"/>
  <c r="L1638" i="8" a="1"/>
  <c r="O1648" i="8" a="1"/>
  <c r="J1657" i="8" a="1"/>
  <c r="I1665" i="8" a="1"/>
  <c r="L1650" i="8" a="1"/>
  <c r="L1659" i="8" a="1"/>
  <c r="H1664" i="8" a="1"/>
  <c r="I1664" i="8" a="1"/>
  <c r="M1660" i="8" a="1"/>
  <c r="H1667" i="8" a="1"/>
  <c r="M1680" i="8" a="1"/>
  <c r="J1660" i="8" a="1"/>
  <c r="G1669" i="8" a="1"/>
  <c r="M1550" i="8" a="1"/>
  <c r="I1572" i="8" a="1"/>
  <c r="I1585" i="8" a="1"/>
  <c r="E1671" i="8" a="1"/>
  <c r="O1667" i="8" a="1"/>
  <c r="F123" i="2" a="1"/>
  <c r="F147" i="2" a="1"/>
  <c r="F171" i="2" a="1"/>
  <c r="F187" i="2" a="1"/>
  <c r="F195" i="2" a="1"/>
  <c r="F211" i="2" a="1"/>
  <c r="F219" i="2" a="1"/>
  <c r="F235" i="2" a="1"/>
  <c r="F243" i="2" a="1"/>
  <c r="F259" i="2" a="1"/>
  <c r="F267" i="2" a="1"/>
  <c r="F283" i="2" a="1"/>
  <c r="F291" i="2" a="1"/>
  <c r="F307" i="2" a="1"/>
  <c r="F315" i="2" a="1"/>
  <c r="F323" i="2" a="1"/>
  <c r="F331" i="2" a="1"/>
  <c r="F339" i="2" a="1"/>
  <c r="F347" i="2" a="1"/>
  <c r="F355" i="2" a="1"/>
  <c r="F363" i="2" a="1"/>
  <c r="F371" i="2" a="1"/>
  <c r="F379" i="2" a="1"/>
  <c r="F387" i="2" a="1"/>
  <c r="F395" i="2" a="1"/>
  <c r="F403" i="2" a="1"/>
  <c r="F411" i="2" a="1"/>
  <c r="F419" i="2" a="1"/>
  <c r="F427" i="2" a="1"/>
  <c r="F197" i="2" a="1"/>
  <c r="F237" i="2" a="1"/>
  <c r="F261" i="2" a="1"/>
  <c r="F285" i="2" a="1"/>
  <c r="F333" i="2" a="1"/>
  <c r="F357" i="2" a="1"/>
  <c r="F373" i="2" a="1"/>
  <c r="F389" i="2" a="1"/>
  <c r="F421" i="2" a="1"/>
  <c r="F335" i="2" a="1"/>
  <c r="F407" i="2" a="1"/>
  <c r="F344" i="2" a="1"/>
  <c r="F297" i="2" a="1"/>
  <c r="F353" i="2" a="1"/>
  <c r="F124" i="2" a="1"/>
  <c r="F260" i="2" a="1"/>
  <c r="F292" i="2" a="1"/>
  <c r="F308" i="2" a="1"/>
  <c r="F316" i="2" a="1"/>
  <c r="F332" i="2" a="1"/>
  <c r="F340" i="2" a="1"/>
  <c r="F356" i="2" a="1"/>
  <c r="F364" i="2" a="1"/>
  <c r="F380" i="2" a="1"/>
  <c r="F388" i="2" a="1"/>
  <c r="F404" i="2" a="1"/>
  <c r="F412" i="2" a="1"/>
  <c r="F428" i="2" a="1"/>
  <c r="F173" i="2" a="1"/>
  <c r="F221" i="2" a="1"/>
  <c r="F245" i="2" a="1"/>
  <c r="F293" i="2" a="1"/>
  <c r="F317" i="2" a="1"/>
  <c r="F349" i="2" a="1"/>
  <c r="F381" i="2" a="1"/>
  <c r="F413" i="2" a="1"/>
  <c r="F343" i="2" a="1"/>
  <c r="F431" i="2" a="1"/>
  <c r="F392" i="2" a="1"/>
  <c r="F209" i="2" a="1"/>
  <c r="F266" i="2" a="1"/>
  <c r="F418" i="2" a="1"/>
  <c r="F148" i="2" a="1"/>
  <c r="F172" i="2" a="1"/>
  <c r="F196" i="2" a="1"/>
  <c r="F212" i="2" a="1"/>
  <c r="F220" i="2" a="1"/>
  <c r="F236" i="2" a="1"/>
  <c r="F244" i="2" a="1"/>
  <c r="F268" i="2" a="1"/>
  <c r="F284" i="2" a="1"/>
  <c r="F348" i="2" a="1"/>
  <c r="F372" i="2" a="1"/>
  <c r="F396" i="2" a="1"/>
  <c r="F420" i="2" a="1"/>
  <c r="F309" i="2" a="1"/>
  <c r="F341" i="2" a="1"/>
  <c r="F365" i="2" a="1"/>
  <c r="F405" i="2" a="1"/>
  <c r="F351" i="2" a="1"/>
  <c r="F423" i="2" a="1"/>
  <c r="F376" i="2" a="1"/>
  <c r="F233" i="2" a="1"/>
  <c r="F345" i="2" a="1"/>
  <c r="F242" i="2" a="1"/>
  <c r="F370" i="2" a="1"/>
  <c r="F269" i="2" a="1"/>
  <c r="F397" i="2" a="1"/>
  <c r="F391" i="2" a="1"/>
  <c r="F400" i="2" a="1"/>
  <c r="F385" i="2" a="1"/>
  <c r="F282" i="2" a="1"/>
  <c r="F149" i="2" a="1"/>
  <c r="F429" i="2" a="1"/>
  <c r="F352" i="2" a="1"/>
  <c r="F249" i="2" a="1"/>
  <c r="F329" i="2" a="1"/>
  <c r="F314" i="2" a="1"/>
  <c r="F426" i="2" a="1"/>
  <c r="F38" i="2" a="1"/>
  <c r="F86" i="2" a="1"/>
  <c r="F158" i="2" a="1"/>
  <c r="F182" i="2" a="1"/>
  <c r="F198" i="2" a="1"/>
  <c r="F222" i="2" a="1"/>
  <c r="F254" i="2" a="1"/>
  <c r="F262" i="2" a="1"/>
  <c r="F278" i="2" a="1"/>
  <c r="F286" i="2" a="1"/>
  <c r="F302" i="2" a="1"/>
  <c r="F310" i="2" a="1"/>
  <c r="F326" i="2" a="1"/>
  <c r="F334" i="2" a="1"/>
  <c r="F350" i="2" a="1"/>
  <c r="F358" i="2" a="1"/>
  <c r="F366" i="2" a="1"/>
  <c r="F382" i="2" a="1"/>
  <c r="F390" i="2" a="1"/>
  <c r="F406" i="2" a="1"/>
  <c r="F414" i="2" a="1"/>
  <c r="F422" i="2" a="1"/>
  <c r="F319" i="2" a="1"/>
  <c r="F399" i="2" a="1"/>
  <c r="F328" i="2" a="1"/>
  <c r="F424" i="2" a="1"/>
  <c r="F305" i="2" a="1"/>
  <c r="F393" i="2" a="1"/>
  <c r="F338" i="2" a="1"/>
  <c r="F402" i="2" a="1"/>
  <c r="F62" i="2" a="1"/>
  <c r="F110" i="2" a="1"/>
  <c r="F134" i="2" a="1"/>
  <c r="F174" i="2" a="1"/>
  <c r="F206" i="2" a="1"/>
  <c r="F230" i="2" a="1"/>
  <c r="F246" i="2" a="1"/>
  <c r="F270" i="2" a="1"/>
  <c r="F294" i="2" a="1"/>
  <c r="F318" i="2" a="1"/>
  <c r="F342" i="2" a="1"/>
  <c r="F374" i="2" a="1"/>
  <c r="F398" i="2" a="1"/>
  <c r="F430" i="2" a="1"/>
  <c r="F375" i="2" a="1"/>
  <c r="F368" i="2" a="1"/>
  <c r="F401" i="2" a="1"/>
  <c r="F298" i="2" a="1"/>
  <c r="F410" i="2" a="1"/>
  <c r="F111" i="2" a="1"/>
  <c r="F135" i="2" a="1"/>
  <c r="F159" i="2" a="1"/>
  <c r="F199" i="2" a="1"/>
  <c r="F207" i="2" a="1"/>
  <c r="F223" i="2" a="1"/>
  <c r="F231" i="2" a="1"/>
  <c r="F247" i="2" a="1"/>
  <c r="F271" i="2" a="1"/>
  <c r="F279" i="2" a="1"/>
  <c r="F295" i="2" a="1"/>
  <c r="F311" i="2" a="1"/>
  <c r="F327" i="2" a="1"/>
  <c r="F359" i="2" a="1"/>
  <c r="F383" i="2" a="1"/>
  <c r="F415" i="2" a="1"/>
  <c r="F336" i="2" a="1"/>
  <c r="F185" i="2" a="1"/>
  <c r="F281" i="2" a="1"/>
  <c r="F425" i="2" a="1"/>
  <c r="F234" i="2" a="1"/>
  <c r="F346" i="2" a="1"/>
  <c r="F183" i="2" a="1"/>
  <c r="F255" i="2" a="1"/>
  <c r="F303" i="2" a="1"/>
  <c r="F367" i="2" a="1"/>
  <c r="F416" i="2" a="1"/>
  <c r="F257" i="2" a="1"/>
  <c r="F417" i="2" a="1"/>
  <c r="F306" i="2" a="1"/>
  <c r="F160" i="2" a="1"/>
  <c r="F184" i="2" a="1"/>
  <c r="F200" i="2" a="1"/>
  <c r="F232" i="2" a="1"/>
  <c r="F256" i="2" a="1"/>
  <c r="F272" i="2" a="1"/>
  <c r="F296" i="2" a="1"/>
  <c r="F360" i="2" a="1"/>
  <c r="F408" i="2" a="1"/>
  <c r="F369" i="2" a="1"/>
  <c r="F218" i="2" a="1"/>
  <c r="F354" i="2" a="1"/>
  <c r="F136" i="2" a="1"/>
  <c r="F208" i="2" a="1"/>
  <c r="F224" i="2" a="1"/>
  <c r="F248" i="2" a="1"/>
  <c r="F280" i="2" a="1"/>
  <c r="F304" i="2" a="1"/>
  <c r="F320" i="2" a="1"/>
  <c r="F384" i="2" a="1"/>
  <c r="F432" i="2" a="1"/>
  <c r="F225" i="2" a="1"/>
  <c r="F361" i="2" a="1"/>
  <c r="F258" i="2" a="1"/>
  <c r="F378" i="2" a="1"/>
  <c r="F137" i="2" a="1"/>
  <c r="F273" i="2" a="1"/>
  <c r="F321" i="2" a="1"/>
  <c r="F409" i="2" a="1"/>
  <c r="F274" i="2" a="1"/>
  <c r="F394" i="2" a="1"/>
  <c r="F161" i="2" a="1"/>
  <c r="F377" i="2" a="1"/>
  <c r="F290" i="2" a="1"/>
  <c r="F386" i="2" a="1"/>
  <c r="F170" i="2" a="1"/>
  <c r="F322" i="2" a="1"/>
  <c r="F50" i="2" a="1"/>
  <c r="F74" i="2" a="1"/>
  <c r="F98" i="2" a="1"/>
  <c r="F122" i="2" a="1"/>
  <c r="F146" i="2" a="1"/>
  <c r="F186" i="2" a="1"/>
  <c r="F194" i="2" a="1"/>
  <c r="F210" i="2" a="1"/>
  <c r="F250" i="2" a="1"/>
  <c r="F330" i="2" a="1"/>
  <c r="F362" i="2" a="1"/>
  <c r="O1667" i="8" l="1"/>
  <c r="E1671" i="8"/>
  <c r="I1585" i="8"/>
  <c r="I1572" i="8"/>
  <c r="M1550" i="8"/>
  <c r="G1669" i="8"/>
  <c r="J1660" i="8"/>
  <c r="M1680" i="8"/>
  <c r="H1667" i="8"/>
  <c r="M1660" i="8"/>
  <c r="I1664" i="8"/>
  <c r="H1664" i="8"/>
  <c r="L1659" i="8"/>
  <c r="L1650" i="8"/>
  <c r="I1665" i="8"/>
  <c r="J1657" i="8"/>
  <c r="O1648" i="8"/>
  <c r="L1638" i="8"/>
  <c r="F1638" i="8"/>
  <c r="N1631" i="8"/>
  <c r="E1641" i="8"/>
  <c r="O1676" i="8"/>
  <c r="E1676" i="8"/>
  <c r="M1671" i="8"/>
  <c r="N1670" i="8"/>
  <c r="F1649" i="8"/>
  <c r="L1653" i="8"/>
  <c r="H1644" i="8"/>
  <c r="N1629" i="8"/>
  <c r="K1628" i="8"/>
  <c r="L1614" i="8"/>
  <c r="H1640" i="8"/>
  <c r="H1622" i="8"/>
  <c r="N1609" i="8"/>
  <c r="O1624" i="8"/>
  <c r="M1605" i="8"/>
  <c r="M1620" i="8"/>
  <c r="F1581" i="8"/>
  <c r="M1585" i="8"/>
  <c r="M1612" i="8"/>
  <c r="K1602" i="8"/>
  <c r="F1615" i="8"/>
  <c r="L1591" i="8"/>
  <c r="H1615" i="8"/>
  <c r="F1593" i="8"/>
  <c r="N1592" i="8"/>
  <c r="G1600" i="8"/>
  <c r="I1573" i="8"/>
  <c r="H1588" i="8"/>
  <c r="N1572" i="8"/>
  <c r="E1584" i="8"/>
  <c r="N1574" i="8"/>
  <c r="M1559" i="8"/>
  <c r="N1557" i="8"/>
  <c r="O1606" i="8"/>
  <c r="F1566" i="8"/>
  <c r="L1563" i="8"/>
  <c r="H1552" i="8"/>
  <c r="H1566" i="8"/>
  <c r="N1501" i="8"/>
  <c r="L1564" i="8"/>
  <c r="O1550" i="8"/>
  <c r="H1542" i="8"/>
  <c r="I1545" i="8"/>
  <c r="I1517" i="8"/>
  <c r="K1496" i="8"/>
  <c r="N1489" i="8"/>
  <c r="N1522" i="8"/>
  <c r="L1495" i="8"/>
  <c r="J1439" i="8"/>
  <c r="O1470" i="8"/>
  <c r="L1365" i="8"/>
  <c r="F1381" i="8"/>
  <c r="N1663" i="8"/>
  <c r="N1622" i="8"/>
  <c r="H1294" i="8"/>
  <c r="N1669" i="8"/>
  <c r="F1672" i="8"/>
  <c r="F1680" i="8"/>
  <c r="E1675" i="8"/>
  <c r="F1660" i="8"/>
  <c r="E1650" i="8"/>
  <c r="J1665" i="8"/>
  <c r="K1657" i="8"/>
  <c r="H1648" i="8"/>
  <c r="M1634" i="8"/>
  <c r="H1638" i="8"/>
  <c r="F1643" i="8"/>
  <c r="M1641" i="8"/>
  <c r="G1631" i="8"/>
  <c r="M1676" i="8"/>
  <c r="F1671" i="8"/>
  <c r="G1670" i="8"/>
  <c r="N1649" i="8"/>
  <c r="E1653" i="8"/>
  <c r="I1644" i="8"/>
  <c r="H1629" i="8"/>
  <c r="L1628" i="8"/>
  <c r="I1635" i="8"/>
  <c r="I1640" i="8"/>
  <c r="I1610" i="8"/>
  <c r="H1609" i="8"/>
  <c r="F1624" i="8"/>
  <c r="F1605" i="8"/>
  <c r="F1620" i="8"/>
  <c r="G1581" i="8"/>
  <c r="E1585" i="8"/>
  <c r="G1612" i="8"/>
  <c r="L1602" i="8"/>
  <c r="N1615" i="8"/>
  <c r="N1591" i="8"/>
  <c r="N1593" i="8"/>
  <c r="J1592" i="8"/>
  <c r="O1600" i="8"/>
  <c r="E1580" i="8"/>
  <c r="L1573" i="8"/>
  <c r="J1588" i="8"/>
  <c r="J1572" i="8"/>
  <c r="G1584" i="8"/>
  <c r="E1574" i="8"/>
  <c r="H1559" i="8"/>
  <c r="F1557" i="8"/>
  <c r="J1606" i="8"/>
  <c r="I1558" i="8"/>
  <c r="G1563" i="8"/>
  <c r="L1552" i="8"/>
  <c r="J1566" i="8"/>
  <c r="M1553" i="8"/>
  <c r="M1564" i="8"/>
  <c r="N1550" i="8"/>
  <c r="G1501" i="8"/>
  <c r="K1517" i="8"/>
  <c r="I1477" i="8"/>
  <c r="K1508" i="8"/>
  <c r="N1534" i="8"/>
  <c r="N1456" i="8"/>
  <c r="G1433" i="8"/>
  <c r="H1451" i="8"/>
  <c r="I1428" i="8"/>
  <c r="L1391" i="8"/>
  <c r="I1362" i="8"/>
  <c r="O1650" i="8"/>
  <c r="J1628" i="8"/>
  <c r="E1593" i="8"/>
  <c r="M1560" i="8"/>
  <c r="F1669" i="8"/>
  <c r="N1672" i="8"/>
  <c r="N1680" i="8"/>
  <c r="M1675" i="8"/>
  <c r="N1660" i="8"/>
  <c r="E1662" i="8"/>
  <c r="G1666" i="8"/>
  <c r="M1650" i="8"/>
  <c r="K1665" i="8"/>
  <c r="L1657" i="8"/>
  <c r="K1644" i="8"/>
  <c r="N1634" i="8"/>
  <c r="I1638" i="8"/>
  <c r="G1643" i="8"/>
  <c r="F1641" i="8"/>
  <c r="G1676" i="8"/>
  <c r="F1676" i="8"/>
  <c r="N1671" i="8"/>
  <c r="O1670" i="8"/>
  <c r="G1649" i="8"/>
  <c r="M1653" i="8"/>
  <c r="J1644" i="8"/>
  <c r="E1616" i="8"/>
  <c r="M1628" i="8"/>
  <c r="J1635" i="8"/>
  <c r="J1640" i="8"/>
  <c r="L1610" i="8"/>
  <c r="H1624" i="8"/>
  <c r="N1605" i="8"/>
  <c r="N1620" i="8"/>
  <c r="L1581" i="8"/>
  <c r="K1585" i="8"/>
  <c r="O1612" i="8"/>
  <c r="F1602" i="8"/>
  <c r="E1615" i="8"/>
  <c r="F1591" i="8"/>
  <c r="O1637" i="8"/>
  <c r="H1593" i="8"/>
  <c r="L1592" i="8"/>
  <c r="I1600" i="8"/>
  <c r="E1577" i="8"/>
  <c r="M1573" i="8"/>
  <c r="E1588" i="8"/>
  <c r="K1572" i="8"/>
  <c r="N1584" i="8"/>
  <c r="M1574" i="8"/>
  <c r="N1559" i="8"/>
  <c r="H1557" i="8"/>
  <c r="E1606" i="8"/>
  <c r="M1558" i="8"/>
  <c r="I1563" i="8"/>
  <c r="N1552" i="8"/>
  <c r="G1566" i="8"/>
  <c r="O1553" i="8"/>
  <c r="E1564" i="8"/>
  <c r="J1550" i="8"/>
  <c r="J1506" i="8"/>
  <c r="O1502" i="8"/>
  <c r="E1477" i="8"/>
  <c r="I1492" i="8"/>
  <c r="L1534" i="8"/>
  <c r="E1526" i="8"/>
  <c r="O1467" i="8"/>
  <c r="F1434" i="8"/>
  <c r="J1394" i="8"/>
  <c r="I1350" i="8"/>
  <c r="G1295" i="8"/>
  <c r="K1268" i="8"/>
  <c r="H1665" i="8"/>
  <c r="G1640" i="8"/>
  <c r="L1588" i="8"/>
  <c r="L1482" i="8"/>
  <c r="I1680" i="8"/>
  <c r="G1672" i="8"/>
  <c r="G1680" i="8"/>
  <c r="F1675" i="8"/>
  <c r="M1662" i="8"/>
  <c r="K1666" i="8"/>
  <c r="O1666" i="8"/>
  <c r="M1644" i="8"/>
  <c r="J1661" i="8"/>
  <c r="E1657" i="8"/>
  <c r="N1638" i="8"/>
  <c r="O1634" i="8"/>
  <c r="J1638" i="8"/>
  <c r="O1643" i="8"/>
  <c r="N1641" i="8"/>
  <c r="E1649" i="8"/>
  <c r="N1676" i="8"/>
  <c r="G1671" i="8"/>
  <c r="E1654" i="8"/>
  <c r="O1649" i="8"/>
  <c r="J1651" i="8"/>
  <c r="L1644" i="8"/>
  <c r="J1616" i="8"/>
  <c r="N1628" i="8"/>
  <c r="K1635" i="8"/>
  <c r="K1640" i="8"/>
  <c r="E1610" i="8"/>
  <c r="I1624" i="8"/>
  <c r="J1624" i="8"/>
  <c r="O1595" i="8"/>
  <c r="H1620" i="8"/>
  <c r="F1585" i="8"/>
  <c r="L1604" i="8"/>
  <c r="N1602" i="8"/>
  <c r="I1615" i="8"/>
  <c r="J1591" i="8"/>
  <c r="G1637" i="8"/>
  <c r="I1593" i="8"/>
  <c r="G1592" i="8"/>
  <c r="L1576" i="8"/>
  <c r="G1577" i="8"/>
  <c r="J1573" i="8"/>
  <c r="M1588" i="8"/>
  <c r="H1572" i="8"/>
  <c r="H1584" i="8"/>
  <c r="J1574" i="8"/>
  <c r="I1557" i="8"/>
  <c r="M1606" i="8"/>
  <c r="E1558" i="8"/>
  <c r="N1563" i="8"/>
  <c r="E1552" i="8"/>
  <c r="L1566" i="8"/>
  <c r="F1553" i="8"/>
  <c r="F1564" i="8"/>
  <c r="L1550" i="8"/>
  <c r="K1506" i="8"/>
  <c r="H1501" i="8"/>
  <c r="G1502" i="8"/>
  <c r="I1556" i="8"/>
  <c r="I1466" i="8"/>
  <c r="G1483" i="8"/>
  <c r="K1467" i="8"/>
  <c r="I1400" i="8"/>
  <c r="I1333" i="8"/>
  <c r="E1330" i="8"/>
  <c r="O1275" i="8"/>
  <c r="J1303" i="8"/>
  <c r="E1680" i="8"/>
  <c r="L1676" i="8"/>
  <c r="O1581" i="8"/>
  <c r="O1584" i="8"/>
  <c r="M1440" i="8"/>
  <c r="O1672" i="8"/>
  <c r="O1680" i="8"/>
  <c r="N1675" i="8"/>
  <c r="F1662" i="8"/>
  <c r="H1666" i="8"/>
  <c r="K1661" i="8"/>
  <c r="M1657" i="8"/>
  <c r="G1634" i="8"/>
  <c r="E1634" i="8"/>
  <c r="K1638" i="8"/>
  <c r="E1643" i="8"/>
  <c r="G1641" i="8"/>
  <c r="G1627" i="8"/>
  <c r="O1671" i="8"/>
  <c r="H1654" i="8"/>
  <c r="H1649" i="8"/>
  <c r="I1651" i="8"/>
  <c r="O1644" i="8"/>
  <c r="L1616" i="8"/>
  <c r="E1628" i="8"/>
  <c r="L1635" i="8"/>
  <c r="N1640" i="8"/>
  <c r="M1610" i="8"/>
  <c r="E1621" i="8"/>
  <c r="K1624" i="8"/>
  <c r="F1595" i="8"/>
  <c r="I1620" i="8"/>
  <c r="G1613" i="8"/>
  <c r="N1585" i="8"/>
  <c r="E1604" i="8"/>
  <c r="N1599" i="8"/>
  <c r="J1615" i="8"/>
  <c r="E1591" i="8"/>
  <c r="H1637" i="8"/>
  <c r="K1593" i="8"/>
  <c r="O1592" i="8"/>
  <c r="H1576" i="8"/>
  <c r="H1577" i="8"/>
  <c r="N1573" i="8"/>
  <c r="M1580" i="8"/>
  <c r="E1572" i="8"/>
  <c r="K1584" i="8"/>
  <c r="K1567" i="8"/>
  <c r="G1557" i="8"/>
  <c r="F1606" i="8"/>
  <c r="F1558" i="8"/>
  <c r="H1563" i="8"/>
  <c r="O1552" i="8"/>
  <c r="M1566" i="8"/>
  <c r="K1553" i="8"/>
  <c r="N1564" i="8"/>
  <c r="H1547" i="8"/>
  <c r="M1506" i="8"/>
  <c r="K1501" i="8"/>
  <c r="I1512" i="8"/>
  <c r="I1502" i="8"/>
  <c r="L1556" i="8"/>
  <c r="O1486" i="8"/>
  <c r="H1437" i="8"/>
  <c r="I1463" i="8"/>
  <c r="F1438" i="8"/>
  <c r="I1377" i="8"/>
  <c r="F1363" i="8"/>
  <c r="G1348" i="8"/>
  <c r="J1284" i="8"/>
  <c r="O1669" i="8"/>
  <c r="F1631" i="8"/>
  <c r="N1624" i="8"/>
  <c r="K1573" i="8"/>
  <c r="H1335" i="8"/>
  <c r="G1663" i="8"/>
  <c r="H1672" i="8"/>
  <c r="H1680" i="8"/>
  <c r="G1675" i="8"/>
  <c r="G1679" i="8"/>
  <c r="N1662" i="8"/>
  <c r="F1666" i="8"/>
  <c r="I1666" i="8"/>
  <c r="K1632" i="8"/>
  <c r="L1661" i="8"/>
  <c r="F1657" i="8"/>
  <c r="I1626" i="8"/>
  <c r="F1634" i="8"/>
  <c r="M1638" i="8"/>
  <c r="M1643" i="8"/>
  <c r="O1641" i="8"/>
  <c r="H1627" i="8"/>
  <c r="E1626" i="8"/>
  <c r="H1671" i="8"/>
  <c r="J1654" i="8"/>
  <c r="I1649" i="8"/>
  <c r="K1651" i="8"/>
  <c r="F1644" i="8"/>
  <c r="F1616" i="8"/>
  <c r="F1628" i="8"/>
  <c r="E1635" i="8"/>
  <c r="O1640" i="8"/>
  <c r="G1610" i="8"/>
  <c r="G1621" i="8"/>
  <c r="E1624" i="8"/>
  <c r="H1595" i="8"/>
  <c r="K1620" i="8"/>
  <c r="H1613" i="8"/>
  <c r="M1599" i="8"/>
  <c r="G1604" i="8"/>
  <c r="F1599" i="8"/>
  <c r="G1615" i="8"/>
  <c r="M1591" i="8"/>
  <c r="F1637" i="8"/>
  <c r="L1593" i="8"/>
  <c r="M1568" i="8"/>
  <c r="I1576" i="8"/>
  <c r="O1577" i="8"/>
  <c r="O1573" i="8"/>
  <c r="O1580" i="8"/>
  <c r="M1572" i="8"/>
  <c r="G1572" i="8"/>
  <c r="L1567" i="8"/>
  <c r="F1601" i="8"/>
  <c r="L1557" i="8"/>
  <c r="N1606" i="8"/>
  <c r="J1558" i="8"/>
  <c r="K1563" i="8"/>
  <c r="J1552" i="8"/>
  <c r="K1545" i="8"/>
  <c r="L1553" i="8"/>
  <c r="G1564" i="8"/>
  <c r="M1547" i="8"/>
  <c r="N1506" i="8"/>
  <c r="L1501" i="8"/>
  <c r="K1512" i="8"/>
  <c r="J1502" i="8"/>
  <c r="M1549" i="8"/>
  <c r="G1478" i="8"/>
  <c r="H1499" i="8"/>
  <c r="N1437" i="8"/>
  <c r="O1518" i="8"/>
  <c r="K1376" i="8"/>
  <c r="I1319" i="8"/>
  <c r="N1280" i="8"/>
  <c r="K1659" i="8"/>
  <c r="F1629" i="8"/>
  <c r="M1615" i="8"/>
  <c r="E1566" i="8"/>
  <c r="O1663" i="8"/>
  <c r="I1672" i="8"/>
  <c r="I1667" i="8"/>
  <c r="O1675" i="8"/>
  <c r="O1679" i="8"/>
  <c r="H1662" i="8"/>
  <c r="E1659" i="8"/>
  <c r="J1666" i="8"/>
  <c r="N1627" i="8"/>
  <c r="E1661" i="8"/>
  <c r="N1657" i="8"/>
  <c r="J1617" i="8"/>
  <c r="I1634" i="8"/>
  <c r="G1638" i="8"/>
  <c r="H1643" i="8"/>
  <c r="I1627" i="8"/>
  <c r="M1626" i="8"/>
  <c r="I1671" i="8"/>
  <c r="K1654" i="8"/>
  <c r="J1649" i="8"/>
  <c r="L1651" i="8"/>
  <c r="N1644" i="8"/>
  <c r="N1616" i="8"/>
  <c r="O1628" i="8"/>
  <c r="M1635" i="8"/>
  <c r="L1640" i="8"/>
  <c r="O1610" i="8"/>
  <c r="K1621" i="8"/>
  <c r="M1624" i="8"/>
  <c r="I1595" i="8"/>
  <c r="O1602" i="8"/>
  <c r="K1613" i="8"/>
  <c r="L1597" i="8"/>
  <c r="M1604" i="8"/>
  <c r="I1599" i="8"/>
  <c r="O1615" i="8"/>
  <c r="N1598" i="8"/>
  <c r="N1637" i="8"/>
  <c r="M1593" i="8"/>
  <c r="N1565" i="8"/>
  <c r="M1576" i="8"/>
  <c r="I1577" i="8"/>
  <c r="F1573" i="8"/>
  <c r="G1580" i="8"/>
  <c r="E1568" i="8"/>
  <c r="K1565" i="8"/>
  <c r="M1567" i="8"/>
  <c r="G1601" i="8"/>
  <c r="E1579" i="8"/>
  <c r="L1558" i="8"/>
  <c r="E1563" i="8"/>
  <c r="F1506" i="8"/>
  <c r="E1553" i="8"/>
  <c r="G1542" i="8"/>
  <c r="O1547" i="8"/>
  <c r="H1506" i="8"/>
  <c r="J1554" i="8"/>
  <c r="G1512" i="8"/>
  <c r="L1502" i="8"/>
  <c r="H1536" i="8"/>
  <c r="L1473" i="8"/>
  <c r="L1456" i="8"/>
  <c r="J1396" i="8"/>
  <c r="K1291" i="8"/>
  <c r="L1656" i="8"/>
  <c r="I1605" i="8"/>
  <c r="I1567" i="8"/>
  <c r="N1542" i="8"/>
  <c r="H1663" i="8"/>
  <c r="K1672" i="8"/>
  <c r="J1667" i="8"/>
  <c r="H1675" i="8"/>
  <c r="H1679" i="8"/>
  <c r="J1662" i="8"/>
  <c r="M1659" i="8"/>
  <c r="L1666" i="8"/>
  <c r="M1661" i="8"/>
  <c r="G1657" i="8"/>
  <c r="E1656" i="8"/>
  <c r="E1632" i="8"/>
  <c r="O1638" i="8"/>
  <c r="I1643" i="8"/>
  <c r="M1649" i="8"/>
  <c r="J1627" i="8"/>
  <c r="G1626" i="8"/>
  <c r="J1671" i="8"/>
  <c r="M1654" i="8"/>
  <c r="K1649" i="8"/>
  <c r="E1651" i="8"/>
  <c r="G1616" i="8"/>
  <c r="H1628" i="8"/>
  <c r="F1635" i="8"/>
  <c r="G1622" i="8"/>
  <c r="H1610" i="8"/>
  <c r="O1621" i="8"/>
  <c r="L1605" i="8"/>
  <c r="K1595" i="8"/>
  <c r="O1591" i="8"/>
  <c r="N1613" i="8"/>
  <c r="E1595" i="8"/>
  <c r="F1604" i="8"/>
  <c r="J1599" i="8"/>
  <c r="M1597" i="8"/>
  <c r="E1598" i="8"/>
  <c r="I1637" i="8"/>
  <c r="O1593" i="8"/>
  <c r="N1576" i="8"/>
  <c r="K1577" i="8"/>
  <c r="G1573" i="8"/>
  <c r="H1580" i="8"/>
  <c r="L1568" i="8"/>
  <c r="L1565" i="8"/>
  <c r="G1567" i="8"/>
  <c r="I1601" i="8"/>
  <c r="K1551" i="8"/>
  <c r="I1579" i="8"/>
  <c r="H1558" i="8"/>
  <c r="M1563" i="8"/>
  <c r="H1582" i="8"/>
  <c r="G1553" i="8"/>
  <c r="N1553" i="8"/>
  <c r="G1540" i="8"/>
  <c r="G1547" i="8"/>
  <c r="I1506" i="8"/>
  <c r="O1554" i="8"/>
  <c r="O1512" i="8"/>
  <c r="I1524" i="8"/>
  <c r="I1537" i="8"/>
  <c r="L1507" i="8"/>
  <c r="O1473" i="8"/>
  <c r="J1446" i="8"/>
  <c r="I1395" i="8"/>
  <c r="E1402" i="8"/>
  <c r="E1411" i="8"/>
  <c r="H1361" i="8"/>
  <c r="E1327" i="8"/>
  <c r="O1664" i="8"/>
  <c r="L1649" i="8"/>
  <c r="H1602" i="8"/>
  <c r="K1606" i="8"/>
  <c r="H1334" i="8"/>
  <c r="I1663" i="8"/>
  <c r="L1672" i="8"/>
  <c r="K1667" i="8"/>
  <c r="I1675" i="8"/>
  <c r="I1679" i="8"/>
  <c r="K1662" i="8"/>
  <c r="F1659" i="8"/>
  <c r="E1666" i="8"/>
  <c r="L1665" i="8"/>
  <c r="F1661" i="8"/>
  <c r="O1657" i="8"/>
  <c r="G1656" i="8"/>
  <c r="F1632" i="8"/>
  <c r="H1631" i="8"/>
  <c r="J1643" i="8"/>
  <c r="F1627" i="8"/>
  <c r="M1627" i="8"/>
  <c r="O1626" i="8"/>
  <c r="I1654" i="8"/>
  <c r="G1653" i="8"/>
  <c r="M1651" i="8"/>
  <c r="K1629" i="8"/>
  <c r="O1616" i="8"/>
  <c r="O1622" i="8"/>
  <c r="N1635" i="8"/>
  <c r="I1622" i="8"/>
  <c r="J1610" i="8"/>
  <c r="H1621" i="8"/>
  <c r="H1585" i="8"/>
  <c r="L1595" i="8"/>
  <c r="G1585" i="8"/>
  <c r="O1613" i="8"/>
  <c r="H1591" i="8"/>
  <c r="H1604" i="8"/>
  <c r="E1599" i="8"/>
  <c r="N1597" i="8"/>
  <c r="H1598" i="8"/>
  <c r="J1637" i="8"/>
  <c r="G1593" i="8"/>
  <c r="K1600" i="8"/>
  <c r="E1576" i="8"/>
  <c r="L1577" i="8"/>
  <c r="H1573" i="8"/>
  <c r="J1580" i="8"/>
  <c r="H1568" i="8"/>
  <c r="O1565" i="8"/>
  <c r="O1567" i="8"/>
  <c r="M1601" i="8"/>
  <c r="L1551" i="8"/>
  <c r="K1579" i="8"/>
  <c r="J1571" i="8"/>
  <c r="F1560" i="8"/>
  <c r="J1582" i="8"/>
  <c r="G1543" i="8"/>
  <c r="J1553" i="8"/>
  <c r="J1540" i="8"/>
  <c r="J1547" i="8"/>
  <c r="E1554" i="8"/>
  <c r="J1496" i="8"/>
  <c r="K1524" i="8"/>
  <c r="H1537" i="8"/>
  <c r="H1507" i="8"/>
  <c r="H1466" i="8"/>
  <c r="E1435" i="8"/>
  <c r="J1349" i="8"/>
  <c r="F1450" i="8"/>
  <c r="O1360" i="8"/>
  <c r="H1657" i="8"/>
  <c r="G1644" i="8"/>
  <c r="N1600" i="8"/>
  <c r="G1530" i="8"/>
  <c r="E1669" i="8"/>
  <c r="J1663" i="8"/>
  <c r="L1667" i="8"/>
  <c r="J1675" i="8"/>
  <c r="J1679" i="8"/>
  <c r="J1664" i="8"/>
  <c r="N1659" i="8"/>
  <c r="M1666" i="8"/>
  <c r="E1665" i="8"/>
  <c r="N1661" i="8"/>
  <c r="K1648" i="8"/>
  <c r="J1656" i="8"/>
  <c r="G1632" i="8"/>
  <c r="I1631" i="8"/>
  <c r="K1643" i="8"/>
  <c r="F1617" i="8"/>
  <c r="E1627" i="8"/>
  <c r="H1626" i="8"/>
  <c r="E1670" i="8"/>
  <c r="L1654" i="8"/>
  <c r="O1653" i="8"/>
  <c r="F1651" i="8"/>
  <c r="L1629" i="8"/>
  <c r="I1616" i="8"/>
  <c r="G1635" i="8"/>
  <c r="J1622" i="8"/>
  <c r="I1621" i="8"/>
  <c r="O1605" i="8"/>
  <c r="G1595" i="8"/>
  <c r="F1613" i="8"/>
  <c r="I1612" i="8"/>
  <c r="I1604" i="8"/>
  <c r="H1599" i="8"/>
  <c r="E1597" i="8"/>
  <c r="I1598" i="8"/>
  <c r="K1637" i="8"/>
  <c r="J1593" i="8"/>
  <c r="H1600" i="8"/>
  <c r="F1576" i="8"/>
  <c r="M1577" i="8"/>
  <c r="G1565" i="8"/>
  <c r="K1580" i="8"/>
  <c r="I1568" i="8"/>
  <c r="E1565" i="8"/>
  <c r="E1519" i="8"/>
  <c r="N1601" i="8"/>
  <c r="O1551" i="8"/>
  <c r="L1579" i="8"/>
  <c r="F1571" i="8"/>
  <c r="G1560" i="8"/>
  <c r="L1582" i="8"/>
  <c r="J1543" i="8"/>
  <c r="H1540" i="8"/>
  <c r="L1540" i="8"/>
  <c r="E1547" i="8"/>
  <c r="G1554" i="8"/>
  <c r="F1496" i="8"/>
  <c r="G1524" i="8"/>
  <c r="O1528" i="8"/>
  <c r="L1351" i="8"/>
  <c r="H1373" i="8"/>
  <c r="E1348" i="8"/>
  <c r="N1314" i="8"/>
  <c r="J1347" i="8"/>
  <c r="E1638" i="8"/>
  <c r="G1620" i="8"/>
  <c r="O1559" i="8"/>
  <c r="O1517" i="8"/>
  <c r="L1669" i="8"/>
  <c r="K1663" i="8"/>
  <c r="O1662" i="8"/>
  <c r="E1667" i="8"/>
  <c r="K1675" i="8"/>
  <c r="K1679" i="8"/>
  <c r="K1664" i="8"/>
  <c r="G1659" i="8"/>
  <c r="F1650" i="8"/>
  <c r="M1665" i="8"/>
  <c r="G1661" i="8"/>
  <c r="L1648" i="8"/>
  <c r="O1656" i="8"/>
  <c r="H1632" i="8"/>
  <c r="J1631" i="8"/>
  <c r="L1643" i="8"/>
  <c r="N1617" i="8"/>
  <c r="K1627" i="8"/>
  <c r="J1626" i="8"/>
  <c r="H1670" i="8"/>
  <c r="F1654" i="8"/>
  <c r="F1653" i="8"/>
  <c r="N1651" i="8"/>
  <c r="O1629" i="8"/>
  <c r="K1610" i="8"/>
  <c r="N1614" i="8"/>
  <c r="O1635" i="8"/>
  <c r="L1622" i="8"/>
  <c r="K1614" i="8"/>
  <c r="J1621" i="8"/>
  <c r="G1605" i="8"/>
  <c r="J1595" i="8"/>
  <c r="I1613" i="8"/>
  <c r="N1612" i="8"/>
  <c r="K1604" i="8"/>
  <c r="K1599" i="8"/>
  <c r="F1597" i="8"/>
  <c r="K1598" i="8"/>
  <c r="L1637" i="8"/>
  <c r="M1600" i="8"/>
  <c r="J1576" i="8"/>
  <c r="J1577" i="8"/>
  <c r="F1588" i="8"/>
  <c r="L1580" i="8"/>
  <c r="J1568" i="8"/>
  <c r="J1565" i="8"/>
  <c r="H1601" i="8"/>
  <c r="H1551" i="8"/>
  <c r="M1579" i="8"/>
  <c r="G1571" i="8"/>
  <c r="J1560" i="8"/>
  <c r="M1582" i="8"/>
  <c r="M1543" i="8"/>
  <c r="E1550" i="8"/>
  <c r="M1540" i="8"/>
  <c r="N1547" i="8"/>
  <c r="N1554" i="8"/>
  <c r="G1496" i="8"/>
  <c r="J1504" i="8"/>
  <c r="H1528" i="8"/>
  <c r="K1489" i="8"/>
  <c r="L1461" i="8"/>
  <c r="O1484" i="8"/>
  <c r="F1442" i="8"/>
  <c r="H1412" i="8"/>
  <c r="H1406" i="8"/>
  <c r="E1346" i="8"/>
  <c r="J1317" i="8"/>
  <c r="G1648" i="8"/>
  <c r="J1614" i="8"/>
  <c r="M1592" i="8"/>
  <c r="J1564" i="8"/>
  <c r="K1669" i="8"/>
  <c r="L1663" i="8"/>
  <c r="I1660" i="8"/>
  <c r="M1667" i="8"/>
  <c r="L1675" i="8"/>
  <c r="L1679" i="8"/>
  <c r="L1664" i="8"/>
  <c r="O1659" i="8"/>
  <c r="H1650" i="8"/>
  <c r="F1665" i="8"/>
  <c r="O1661" i="8"/>
  <c r="M1648" i="8"/>
  <c r="F1656" i="8"/>
  <c r="I1632" i="8"/>
  <c r="K1631" i="8"/>
  <c r="I1641" i="8"/>
  <c r="G1617" i="8"/>
  <c r="H1676" i="8"/>
  <c r="I1670" i="8"/>
  <c r="N1654" i="8"/>
  <c r="N1653" i="8"/>
  <c r="G1651" i="8"/>
  <c r="G1629" i="8"/>
  <c r="E1614" i="8"/>
  <c r="H1635" i="8"/>
  <c r="K1622" i="8"/>
  <c r="E1609" i="8"/>
  <c r="F1621" i="8"/>
  <c r="H1605" i="8"/>
  <c r="O1604" i="8"/>
  <c r="L1613" i="8"/>
  <c r="F1612" i="8"/>
  <c r="G1602" i="8"/>
  <c r="L1599" i="8"/>
  <c r="I1597" i="8"/>
  <c r="O1598" i="8"/>
  <c r="E1637" i="8"/>
  <c r="H1592" i="8"/>
  <c r="L1600" i="8"/>
  <c r="G1576" i="8"/>
  <c r="G1568" i="8"/>
  <c r="I1588" i="8"/>
  <c r="F1580" i="8"/>
  <c r="M1584" i="8"/>
  <c r="G1574" i="8"/>
  <c r="K1601" i="8"/>
  <c r="E1551" i="8"/>
  <c r="N1579" i="8"/>
  <c r="H1571" i="8"/>
  <c r="I1560" i="8"/>
  <c r="O1582" i="8"/>
  <c r="N1543" i="8"/>
  <c r="M1501" i="8"/>
  <c r="E1540" i="8"/>
  <c r="K1547" i="8"/>
  <c r="I1530" i="8"/>
  <c r="M1545" i="8"/>
  <c r="I1488" i="8"/>
  <c r="E1504" i="8"/>
  <c r="G1528" i="8"/>
  <c r="N1475" i="8"/>
  <c r="M1441" i="8"/>
  <c r="F1481" i="8"/>
  <c r="L1336" i="8"/>
  <c r="F1366" i="8"/>
  <c r="N1291" i="8"/>
  <c r="L1641" i="8"/>
  <c r="M1609" i="8"/>
  <c r="E1573" i="8"/>
  <c r="N1493" i="8"/>
  <c r="J1669" i="8"/>
  <c r="E1663" i="8"/>
  <c r="J1680" i="8"/>
  <c r="F1667" i="8"/>
  <c r="I1662" i="8"/>
  <c r="E1679" i="8"/>
  <c r="E1664" i="8"/>
  <c r="H1659" i="8"/>
  <c r="J1650" i="8"/>
  <c r="N1665" i="8"/>
  <c r="H1661" i="8"/>
  <c r="N1648" i="8"/>
  <c r="N1656" i="8"/>
  <c r="J1632" i="8"/>
  <c r="L1631" i="8"/>
  <c r="J1641" i="8"/>
  <c r="O1617" i="8"/>
  <c r="I1676" i="8"/>
  <c r="J1670" i="8"/>
  <c r="G1654" i="8"/>
  <c r="H1653" i="8"/>
  <c r="O1651" i="8"/>
  <c r="I1629" i="8"/>
  <c r="G1614" i="8"/>
  <c r="E1640" i="8"/>
  <c r="E1622" i="8"/>
  <c r="F1609" i="8"/>
  <c r="N1621" i="8"/>
  <c r="J1605" i="8"/>
  <c r="J1620" i="8"/>
  <c r="O1597" i="8"/>
  <c r="E1613" i="8"/>
  <c r="K1612" i="8"/>
  <c r="J1602" i="8"/>
  <c r="G1599" i="8"/>
  <c r="J1597" i="8"/>
  <c r="F1598" i="8"/>
  <c r="M1637" i="8"/>
  <c r="F1592" i="8"/>
  <c r="E1600" i="8"/>
  <c r="O1576" i="8"/>
  <c r="O1588" i="8"/>
  <c r="N1580" i="8"/>
  <c r="I1584" i="8"/>
  <c r="H1574" i="8"/>
  <c r="G1559" i="8"/>
  <c r="E1601" i="8"/>
  <c r="M1551" i="8"/>
  <c r="O1579" i="8"/>
  <c r="I1571" i="8"/>
  <c r="O1560" i="8"/>
  <c r="K1582" i="8"/>
  <c r="F1543" i="8"/>
  <c r="K1540" i="8"/>
  <c r="J1542" i="8"/>
  <c r="K1530" i="8"/>
  <c r="N1545" i="8"/>
  <c r="L1488" i="8"/>
  <c r="M1496" i="8"/>
  <c r="F1523" i="8"/>
  <c r="I1544" i="8"/>
  <c r="K1515" i="8"/>
  <c r="F1474" i="8"/>
  <c r="N1436" i="8"/>
  <c r="E1422" i="8"/>
  <c r="E1418" i="8"/>
  <c r="K1375" i="8"/>
  <c r="J1344" i="8"/>
  <c r="N1679" i="8"/>
  <c r="K1653" i="8"/>
  <c r="I1591" i="8"/>
  <c r="K1571" i="8"/>
  <c r="J1530" i="8"/>
  <c r="I1669" i="8"/>
  <c r="M1663" i="8"/>
  <c r="K1680" i="8"/>
  <c r="N1667" i="8"/>
  <c r="H1660" i="8"/>
  <c r="M1679" i="8"/>
  <c r="M1664" i="8"/>
  <c r="I1659" i="8"/>
  <c r="N1650" i="8"/>
  <c r="G1665" i="8"/>
  <c r="I1661" i="8"/>
  <c r="E1648" i="8"/>
  <c r="I1656" i="8"/>
  <c r="M1632" i="8"/>
  <c r="E1631" i="8"/>
  <c r="H1641" i="8"/>
  <c r="H1617" i="8"/>
  <c r="J1676" i="8"/>
  <c r="K1671" i="8"/>
  <c r="K1670" i="8"/>
  <c r="O1654" i="8"/>
  <c r="I1653" i="8"/>
  <c r="H1651" i="8"/>
  <c r="J1629" i="8"/>
  <c r="G1628" i="8"/>
  <c r="O1614" i="8"/>
  <c r="M1640" i="8"/>
  <c r="M1622" i="8"/>
  <c r="I1609" i="8"/>
  <c r="K1605" i="8"/>
  <c r="L1620" i="8"/>
  <c r="J1581" i="8"/>
  <c r="M1613" i="8"/>
  <c r="J1612" i="8"/>
  <c r="M1602" i="8"/>
  <c r="O1599" i="8"/>
  <c r="G1597" i="8"/>
  <c r="J1598" i="8"/>
  <c r="L1585" i="8"/>
  <c r="I1592" i="8"/>
  <c r="J1600" i="8"/>
  <c r="K1568" i="8"/>
  <c r="N1588" i="8"/>
  <c r="G1588" i="8"/>
  <c r="I1580" i="8"/>
  <c r="J1584" i="8"/>
  <c r="I1574" i="8"/>
  <c r="K1559" i="8"/>
  <c r="O1601" i="8"/>
  <c r="G1606" i="8"/>
  <c r="L1571" i="8"/>
  <c r="L1560" i="8"/>
  <c r="F1582" i="8"/>
  <c r="O1543" i="8"/>
  <c r="H1564" i="8"/>
  <c r="F1550" i="8"/>
  <c r="L1542" i="8"/>
  <c r="L1530" i="8"/>
  <c r="G1545" i="8"/>
  <c r="I1493" i="8"/>
  <c r="L1523" i="8"/>
  <c r="O1513" i="8"/>
  <c r="L1491" i="8"/>
  <c r="J1469" i="8"/>
  <c r="E1436" i="8"/>
  <c r="I1458" i="8"/>
  <c r="I1330" i="8"/>
  <c r="M1382" i="8"/>
  <c r="M1307" i="8"/>
  <c r="L1386" i="8"/>
  <c r="E1660" i="8"/>
  <c r="F1670" i="8"/>
  <c r="E1612" i="8"/>
  <c r="L1574" i="8"/>
  <c r="O1545" i="8"/>
  <c r="H1669" i="8"/>
  <c r="F1663" i="8"/>
  <c r="L1680" i="8"/>
  <c r="G1667" i="8"/>
  <c r="K1660" i="8"/>
  <c r="F1679" i="8"/>
  <c r="G1664" i="8"/>
  <c r="J1659" i="8"/>
  <c r="G1650" i="8"/>
  <c r="O1665" i="8"/>
  <c r="I1657" i="8"/>
  <c r="J1648" i="8"/>
  <c r="K1656" i="8"/>
  <c r="N1632" i="8"/>
  <c r="M1631" i="8"/>
  <c r="K1641" i="8"/>
  <c r="L1617" i="8"/>
  <c r="K1676" i="8"/>
  <c r="L1671" i="8"/>
  <c r="L1670" i="8"/>
  <c r="J1653" i="8"/>
  <c r="E1644" i="8"/>
  <c r="M1629" i="8"/>
  <c r="I1628" i="8"/>
  <c r="I1614" i="8"/>
  <c r="F1640" i="8"/>
  <c r="F1622" i="8"/>
  <c r="J1609" i="8"/>
  <c r="L1624" i="8"/>
  <c r="E1605" i="8"/>
  <c r="E1620" i="8"/>
  <c r="N1581" i="8"/>
  <c r="J1613" i="8"/>
  <c r="L1612" i="8"/>
  <c r="E1602" i="8"/>
  <c r="L1615" i="8"/>
  <c r="K1597" i="8"/>
  <c r="L1598" i="8"/>
  <c r="K1592" i="8"/>
  <c r="F1600" i="8"/>
  <c r="F1568" i="8"/>
  <c r="K1588" i="8"/>
  <c r="F1572" i="8"/>
  <c r="L1584" i="8"/>
  <c r="O1574" i="8"/>
  <c r="L1559" i="8"/>
  <c r="O1519" i="8"/>
  <c r="I1606" i="8"/>
  <c r="L1519" i="8"/>
  <c r="N1571" i="8"/>
  <c r="E1560" i="8"/>
  <c r="N1582" i="8"/>
  <c r="I1543" i="8"/>
  <c r="I1564" i="8"/>
  <c r="H1550" i="8"/>
  <c r="K1542" i="8"/>
  <c r="M1530" i="8"/>
  <c r="L1545" i="8"/>
  <c r="L1517" i="8"/>
  <c r="K1493" i="8"/>
  <c r="H1492" i="8"/>
  <c r="G1482" i="8"/>
  <c r="E1469" i="8"/>
  <c r="G1453" i="8"/>
  <c r="I1434" i="8"/>
  <c r="M1397" i="8"/>
  <c r="K1364" i="8"/>
  <c r="F1389" i="8"/>
  <c r="K1299" i="8"/>
  <c r="I1331" i="8"/>
  <c r="F1567" i="8"/>
  <c r="F1559" i="8"/>
  <c r="L1601" i="8"/>
  <c r="F1551" i="8"/>
  <c r="H1606" i="8"/>
  <c r="K1558" i="8"/>
  <c r="M1571" i="8"/>
  <c r="H1560" i="8"/>
  <c r="I1552" i="8"/>
  <c r="O1566" i="8"/>
  <c r="H1543" i="8"/>
  <c r="E1506" i="8"/>
  <c r="O1564" i="8"/>
  <c r="G1550" i="8"/>
  <c r="I1542" i="8"/>
  <c r="I1501" i="8"/>
  <c r="I1554" i="8"/>
  <c r="F1545" i="8"/>
  <c r="H1512" i="8"/>
  <c r="M1517" i="8"/>
  <c r="K1502" i="8"/>
  <c r="L1504" i="8"/>
  <c r="N1488" i="8"/>
  <c r="K1556" i="8"/>
  <c r="F1528" i="8"/>
  <c r="J1523" i="8"/>
  <c r="F1493" i="8"/>
  <c r="J1508" i="8"/>
  <c r="E1536" i="8"/>
  <c r="O1544" i="8"/>
  <c r="G1507" i="8"/>
  <c r="H1544" i="8"/>
  <c r="I1513" i="8"/>
  <c r="L1522" i="8"/>
  <c r="M1534" i="8"/>
  <c r="N1486" i="8"/>
  <c r="I1461" i="8"/>
  <c r="F1491" i="8"/>
  <c r="N1482" i="8"/>
  <c r="N1461" i="8"/>
  <c r="L1499" i="8"/>
  <c r="G1473" i="8"/>
  <c r="M1484" i="8"/>
  <c r="E1474" i="8"/>
  <c r="F1469" i="8"/>
  <c r="E1483" i="8"/>
  <c r="L1437" i="8"/>
  <c r="O1456" i="8"/>
  <c r="L1441" i="8"/>
  <c r="I1436" i="8"/>
  <c r="L1440" i="8"/>
  <c r="O1433" i="8"/>
  <c r="H1467" i="8"/>
  <c r="F1422" i="8"/>
  <c r="I1424" i="8"/>
  <c r="I1462" i="8"/>
  <c r="H1422" i="8"/>
  <c r="O1458" i="8"/>
  <c r="N1455" i="8"/>
  <c r="L1470" i="8"/>
  <c r="G1435" i="8"/>
  <c r="N1448" i="8"/>
  <c r="L1438" i="8"/>
  <c r="K1425" i="8"/>
  <c r="M1395" i="8"/>
  <c r="G1414" i="8"/>
  <c r="O1397" i="8"/>
  <c r="I1430" i="8"/>
  <c r="K1409" i="8"/>
  <c r="L1380" i="8"/>
  <c r="K1370" i="8"/>
  <c r="G1402" i="8"/>
  <c r="G1465" i="8"/>
  <c r="M1412" i="8"/>
  <c r="J1418" i="8"/>
  <c r="H1428" i="8"/>
  <c r="F1387" i="8"/>
  <c r="G1407" i="8"/>
  <c r="H1432" i="8"/>
  <c r="O1351" i="8"/>
  <c r="L1406" i="8"/>
  <c r="E1371" i="8"/>
  <c r="H1415" i="8"/>
  <c r="N1364" i="8"/>
  <c r="M1327" i="8"/>
  <c r="G1305" i="8"/>
  <c r="E1354" i="8"/>
  <c r="F1396" i="8"/>
  <c r="E1320" i="8"/>
  <c r="K1328" i="8"/>
  <c r="K1357" i="8"/>
  <c r="G1343" i="8"/>
  <c r="J1328" i="8"/>
  <c r="H1328" i="8"/>
  <c r="H1389" i="8"/>
  <c r="M1381" i="8"/>
  <c r="N1359" i="8"/>
  <c r="M1350" i="8"/>
  <c r="K1296" i="8"/>
  <c r="F1339" i="8"/>
  <c r="E1376" i="8"/>
  <c r="J1327" i="8"/>
  <c r="J1398" i="8"/>
  <c r="H1348" i="8"/>
  <c r="O1292" i="8"/>
  <c r="E1334" i="8"/>
  <c r="L1295" i="8"/>
  <c r="L1275" i="8"/>
  <c r="O1319" i="8"/>
  <c r="L1314" i="8"/>
  <c r="K1344" i="8"/>
  <c r="K1307" i="8"/>
  <c r="E1299" i="8"/>
  <c r="G1272" i="8"/>
  <c r="I1318" i="8"/>
  <c r="G1303" i="8"/>
  <c r="I1282" i="8"/>
  <c r="E1332" i="8"/>
  <c r="O1288" i="8"/>
  <c r="F1347" i="8"/>
  <c r="I1294" i="8"/>
  <c r="I1291" i="8"/>
  <c r="M1386" i="8"/>
  <c r="N1331" i="8"/>
  <c r="N1313" i="8"/>
  <c r="E1312" i="8"/>
  <c r="J1271" i="8"/>
  <c r="O1298" i="8"/>
  <c r="I1290" i="8"/>
  <c r="K1326" i="8"/>
  <c r="O1309" i="8"/>
  <c r="H1274" i="8"/>
  <c r="L1273" i="8"/>
  <c r="L1239" i="8"/>
  <c r="I1283" i="8"/>
  <c r="H1238" i="8"/>
  <c r="H1293" i="8"/>
  <c r="L1232" i="8"/>
  <c r="J1341" i="8"/>
  <c r="F1255" i="8"/>
  <c r="L1276" i="8"/>
  <c r="K1254" i="8"/>
  <c r="N1225" i="8"/>
  <c r="K1267" i="8"/>
  <c r="L1270" i="8"/>
  <c r="L1221" i="8"/>
  <c r="N1316" i="8"/>
  <c r="I1220" i="8"/>
  <c r="E1226" i="8"/>
  <c r="O1212" i="8"/>
  <c r="N1202" i="8"/>
  <c r="M1164" i="8"/>
  <c r="G1211" i="8"/>
  <c r="I1233" i="8"/>
  <c r="J1242" i="8"/>
  <c r="F1218" i="8"/>
  <c r="H1198" i="8"/>
  <c r="I1241" i="8"/>
  <c r="E1214" i="8"/>
  <c r="N1208" i="8"/>
  <c r="O1237" i="8"/>
  <c r="F1188" i="8"/>
  <c r="M1207" i="8"/>
  <c r="J1228" i="8"/>
  <c r="I1203" i="8"/>
  <c r="H1244" i="8"/>
  <c r="E1227" i="8"/>
  <c r="J1240" i="8"/>
  <c r="L1315" i="8"/>
  <c r="M1235" i="8"/>
  <c r="K1213" i="8"/>
  <c r="G1179" i="8"/>
  <c r="K1186" i="8"/>
  <c r="F1174" i="8"/>
  <c r="G1182" i="8"/>
  <c r="K1162" i="8"/>
  <c r="O1151" i="8"/>
  <c r="G1109" i="8"/>
  <c r="J1129" i="8"/>
  <c r="G1172" i="8"/>
  <c r="K1158" i="8"/>
  <c r="F1175" i="8"/>
  <c r="G1121" i="8"/>
  <c r="N1108" i="8"/>
  <c r="I1199" i="8"/>
  <c r="K1195" i="8"/>
  <c r="O1129" i="8"/>
  <c r="N1109" i="8"/>
  <c r="I1148" i="8"/>
  <c r="M1135" i="8"/>
  <c r="N1146" i="8"/>
  <c r="N1154" i="8"/>
  <c r="E1183" i="8"/>
  <c r="N1219" i="8"/>
  <c r="F1159" i="8"/>
  <c r="N1136" i="8"/>
  <c r="J1095" i="8"/>
  <c r="K1057" i="8"/>
  <c r="J1097" i="8"/>
  <c r="I1090" i="8"/>
  <c r="G1046" i="8"/>
  <c r="M1079" i="8"/>
  <c r="H1130" i="8"/>
  <c r="F1133" i="8"/>
  <c r="O1084" i="8"/>
  <c r="L1119" i="8"/>
  <c r="E1106" i="8"/>
  <c r="G1082" i="8"/>
  <c r="K1141" i="8"/>
  <c r="G1062" i="8"/>
  <c r="O1081" i="8"/>
  <c r="I1071" i="8"/>
  <c r="O1086" i="8"/>
  <c r="M1050" i="8"/>
  <c r="K990" i="8"/>
  <c r="N1054" i="8"/>
  <c r="M1043" i="8"/>
  <c r="G1020" i="8"/>
  <c r="F1065" i="8"/>
  <c r="I1060" i="8"/>
  <c r="F990" i="8"/>
  <c r="H1019" i="8"/>
  <c r="G1003" i="8"/>
  <c r="M1052" i="8"/>
  <c r="L1034" i="8"/>
  <c r="J995" i="8"/>
  <c r="I1059" i="8"/>
  <c r="I990" i="8"/>
  <c r="M1040" i="8"/>
  <c r="N1036" i="8"/>
  <c r="M1068" i="8"/>
  <c r="G1058" i="8"/>
  <c r="K1048" i="8"/>
  <c r="H1055" i="8"/>
  <c r="O1044" i="8"/>
  <c r="N995" i="8"/>
  <c r="L996" i="8"/>
  <c r="K987" i="8"/>
  <c r="L964" i="8"/>
  <c r="G1027" i="8"/>
  <c r="O980" i="8"/>
  <c r="E951" i="8"/>
  <c r="J1023" i="8"/>
  <c r="G983" i="8"/>
  <c r="G999" i="8"/>
  <c r="M957" i="8"/>
  <c r="F967" i="8"/>
  <c r="F966" i="8"/>
  <c r="J917" i="8"/>
  <c r="N937" i="8"/>
  <c r="J1424" i="8"/>
  <c r="J1462" i="8"/>
  <c r="I1421" i="8"/>
  <c r="K1458" i="8"/>
  <c r="O1455" i="8"/>
  <c r="M1470" i="8"/>
  <c r="I1435" i="8"/>
  <c r="O1448" i="8"/>
  <c r="J1438" i="8"/>
  <c r="L1425" i="8"/>
  <c r="F1395" i="8"/>
  <c r="H1414" i="8"/>
  <c r="I1397" i="8"/>
  <c r="L1430" i="8"/>
  <c r="E1409" i="8"/>
  <c r="F1380" i="8"/>
  <c r="E1370" i="8"/>
  <c r="O1402" i="8"/>
  <c r="H1465" i="8"/>
  <c r="N1412" i="8"/>
  <c r="L1418" i="8"/>
  <c r="K1428" i="8"/>
  <c r="N1387" i="8"/>
  <c r="I1432" i="8"/>
  <c r="H1351" i="8"/>
  <c r="N1406" i="8"/>
  <c r="G1371" i="8"/>
  <c r="I1415" i="8"/>
  <c r="G1364" i="8"/>
  <c r="M1338" i="8"/>
  <c r="E1378" i="8"/>
  <c r="M1354" i="8"/>
  <c r="N1396" i="8"/>
  <c r="O1301" i="8"/>
  <c r="E1305" i="8"/>
  <c r="E1357" i="8"/>
  <c r="I1343" i="8"/>
  <c r="J1320" i="8"/>
  <c r="G1381" i="8"/>
  <c r="O1359" i="8"/>
  <c r="F1350" i="8"/>
  <c r="F1388" i="8"/>
  <c r="N1339" i="8"/>
  <c r="M1376" i="8"/>
  <c r="L1327" i="8"/>
  <c r="O1398" i="8"/>
  <c r="I1348" i="8"/>
  <c r="M1334" i="8"/>
  <c r="K1295" i="8"/>
  <c r="I1269" i="8"/>
  <c r="J1319" i="8"/>
  <c r="M1344" i="8"/>
  <c r="M1304" i="8"/>
  <c r="M1299" i="8"/>
  <c r="O1272" i="8"/>
  <c r="K1318" i="8"/>
  <c r="O1303" i="8"/>
  <c r="J1282" i="8"/>
  <c r="J1332" i="8"/>
  <c r="H1288" i="8"/>
  <c r="N1347" i="8"/>
  <c r="J1294" i="8"/>
  <c r="J1291" i="8"/>
  <c r="F1386" i="8"/>
  <c r="E1322" i="8"/>
  <c r="L1313" i="8"/>
  <c r="F1312" i="8"/>
  <c r="F1298" i="8"/>
  <c r="E1287" i="8"/>
  <c r="I1326" i="8"/>
  <c r="E1309" i="8"/>
  <c r="I1274" i="8"/>
  <c r="E1273" i="8"/>
  <c r="M1239" i="8"/>
  <c r="J1283" i="8"/>
  <c r="J1238" i="8"/>
  <c r="L1234" i="8"/>
  <c r="J1234" i="8"/>
  <c r="M1232" i="8"/>
  <c r="L1341" i="8"/>
  <c r="N1255" i="8"/>
  <c r="E1276" i="8"/>
  <c r="M1254" i="8"/>
  <c r="G1225" i="8"/>
  <c r="G1267" i="8"/>
  <c r="H1286" i="8"/>
  <c r="E1270" i="8"/>
  <c r="E1221" i="8"/>
  <c r="I1316" i="8"/>
  <c r="J1220" i="8"/>
  <c r="M1226" i="8"/>
  <c r="H1212" i="8"/>
  <c r="G1202" i="8"/>
  <c r="J1164" i="8"/>
  <c r="H1211" i="8"/>
  <c r="K1233" i="8"/>
  <c r="K1242" i="8"/>
  <c r="N1218" i="8"/>
  <c r="G1198" i="8"/>
  <c r="J1241" i="8"/>
  <c r="M1214" i="8"/>
  <c r="O1192" i="8"/>
  <c r="G1237" i="8"/>
  <c r="N1188" i="8"/>
  <c r="O1207" i="8"/>
  <c r="E1180" i="8"/>
  <c r="L1228" i="8"/>
  <c r="J1244" i="8"/>
  <c r="M1227" i="8"/>
  <c r="K1240" i="8"/>
  <c r="I1315" i="8"/>
  <c r="F1235" i="8"/>
  <c r="L1213" i="8"/>
  <c r="H1179" i="8"/>
  <c r="E1186" i="8"/>
  <c r="J1171" i="8"/>
  <c r="O1182" i="8"/>
  <c r="E1159" i="8"/>
  <c r="F1151" i="8"/>
  <c r="E1108" i="8"/>
  <c r="H1122" i="8"/>
  <c r="J1091" i="8"/>
  <c r="J1172" i="8"/>
  <c r="E1158" i="8"/>
  <c r="G1175" i="8"/>
  <c r="H1121" i="8"/>
  <c r="F1108" i="8"/>
  <c r="J1199" i="8"/>
  <c r="L1195" i="8"/>
  <c r="F1129" i="8"/>
  <c r="J1109" i="8"/>
  <c r="J1148" i="8"/>
  <c r="N1100" i="8"/>
  <c r="G1146" i="8"/>
  <c r="I1135" i="8"/>
  <c r="M1183" i="8"/>
  <c r="E1219" i="8"/>
  <c r="G1159" i="8"/>
  <c r="G1136" i="8"/>
  <c r="F1095" i="8"/>
  <c r="L1057" i="8"/>
  <c r="N1097" i="8"/>
  <c r="E1090" i="8"/>
  <c r="O1046" i="8"/>
  <c r="N1079" i="8"/>
  <c r="J1130" i="8"/>
  <c r="N1133" i="8"/>
  <c r="G1084" i="8"/>
  <c r="H1106" i="8"/>
  <c r="E1082" i="8"/>
  <c r="N1088" i="8"/>
  <c r="O1062" i="8"/>
  <c r="F1081" i="8"/>
  <c r="J1071" i="8"/>
  <c r="K1086" i="8"/>
  <c r="H1050" i="8"/>
  <c r="E981" i="8"/>
  <c r="E1054" i="8"/>
  <c r="F1043" i="8"/>
  <c r="J1020" i="8"/>
  <c r="J1065" i="8"/>
  <c r="J1060" i="8"/>
  <c r="J1019" i="8"/>
  <c r="O1003" i="8"/>
  <c r="F1052" i="8"/>
  <c r="N1034" i="8"/>
  <c r="K995" i="8"/>
  <c r="M1024" i="8"/>
  <c r="H1068" i="8"/>
  <c r="N1040" i="8"/>
  <c r="G1036" i="8"/>
  <c r="F1068" i="8"/>
  <c r="H1058" i="8"/>
  <c r="L1048" i="8"/>
  <c r="I1055" i="8"/>
  <c r="F1044" i="8"/>
  <c r="G996" i="8"/>
  <c r="L987" i="8"/>
  <c r="H964" i="8"/>
  <c r="H1027" i="8"/>
  <c r="K980" i="8"/>
  <c r="O951" i="8"/>
  <c r="K1023" i="8"/>
  <c r="O983" i="8"/>
  <c r="G992" i="8"/>
  <c r="N955" i="8"/>
  <c r="I966" i="8"/>
  <c r="I883" i="8"/>
  <c r="J932" i="8"/>
  <c r="F915" i="8"/>
  <c r="M1565" i="8"/>
  <c r="J1567" i="8"/>
  <c r="I1559" i="8"/>
  <c r="H1519" i="8"/>
  <c r="N1551" i="8"/>
  <c r="F1579" i="8"/>
  <c r="N1558" i="8"/>
  <c r="E1571" i="8"/>
  <c r="K1560" i="8"/>
  <c r="G1582" i="8"/>
  <c r="N1566" i="8"/>
  <c r="L1543" i="8"/>
  <c r="L1547" i="8"/>
  <c r="O1540" i="8"/>
  <c r="I1550" i="8"/>
  <c r="M1542" i="8"/>
  <c r="E1530" i="8"/>
  <c r="M1554" i="8"/>
  <c r="H1545" i="8"/>
  <c r="L1496" i="8"/>
  <c r="E1517" i="8"/>
  <c r="J1493" i="8"/>
  <c r="F1504" i="8"/>
  <c r="K1477" i="8"/>
  <c r="J1488" i="8"/>
  <c r="I1528" i="8"/>
  <c r="E1523" i="8"/>
  <c r="G1493" i="8"/>
  <c r="L1508" i="8"/>
  <c r="K1505" i="8"/>
  <c r="F1536" i="8"/>
  <c r="N1507" i="8"/>
  <c r="K1544" i="8"/>
  <c r="L1503" i="8"/>
  <c r="E1522" i="8"/>
  <c r="H1514" i="8"/>
  <c r="F1486" i="8"/>
  <c r="O1482" i="8"/>
  <c r="K1466" i="8"/>
  <c r="H1491" i="8"/>
  <c r="H1482" i="8"/>
  <c r="F1526" i="8"/>
  <c r="I1499" i="8"/>
  <c r="J1473" i="8"/>
  <c r="L1484" i="8"/>
  <c r="O1474" i="8"/>
  <c r="M1469" i="8"/>
  <c r="H1483" i="8"/>
  <c r="F1437" i="8"/>
  <c r="K1446" i="8"/>
  <c r="N1441" i="8"/>
  <c r="M1436" i="8"/>
  <c r="N1440" i="8"/>
  <c r="H1433" i="8"/>
  <c r="L1467" i="8"/>
  <c r="L1424" i="8"/>
  <c r="K1462" i="8"/>
  <c r="J1421" i="8"/>
  <c r="L1458" i="8"/>
  <c r="F1455" i="8"/>
  <c r="N1470" i="8"/>
  <c r="L1435" i="8"/>
  <c r="E1448" i="8"/>
  <c r="H1518" i="8"/>
  <c r="E1425" i="8"/>
  <c r="N1395" i="8"/>
  <c r="J1414" i="8"/>
  <c r="J1397" i="8"/>
  <c r="J1430" i="8"/>
  <c r="M1409" i="8"/>
  <c r="N1380" i="8"/>
  <c r="M1370" i="8"/>
  <c r="H1402" i="8"/>
  <c r="J1465" i="8"/>
  <c r="O1412" i="8"/>
  <c r="M1418" i="8"/>
  <c r="L1428" i="8"/>
  <c r="H1387" i="8"/>
  <c r="M1432" i="8"/>
  <c r="I1351" i="8"/>
  <c r="O1406" i="8"/>
  <c r="L1371" i="8"/>
  <c r="J1415" i="8"/>
  <c r="O1364" i="8"/>
  <c r="H1296" i="8"/>
  <c r="N1338" i="8"/>
  <c r="H1378" i="8"/>
  <c r="F1354" i="8"/>
  <c r="G1396" i="8"/>
  <c r="O1296" i="8"/>
  <c r="E1301" i="8"/>
  <c r="M1357" i="8"/>
  <c r="N1343" i="8"/>
  <c r="N1301" i="8"/>
  <c r="K1320" i="8"/>
  <c r="O1348" i="8"/>
  <c r="O1381" i="8"/>
  <c r="F1359" i="8"/>
  <c r="N1350" i="8"/>
  <c r="I1388" i="8"/>
  <c r="H1339" i="8"/>
  <c r="F1376" i="8"/>
  <c r="N1320" i="8"/>
  <c r="H1398" i="8"/>
  <c r="F1334" i="8"/>
  <c r="E1295" i="8"/>
  <c r="J1269" i="8"/>
  <c r="H1360" i="8"/>
  <c r="K1319" i="8"/>
  <c r="F1344" i="8"/>
  <c r="O1304" i="8"/>
  <c r="G1299" i="8"/>
  <c r="H1272" i="8"/>
  <c r="L1318" i="8"/>
  <c r="I1303" i="8"/>
  <c r="K1282" i="8"/>
  <c r="L1332" i="8"/>
  <c r="I1288" i="8"/>
  <c r="G1347" i="8"/>
  <c r="K1294" i="8"/>
  <c r="L1291" i="8"/>
  <c r="N1386" i="8"/>
  <c r="F1322" i="8"/>
  <c r="E1313" i="8"/>
  <c r="G1312" i="8"/>
  <c r="H1321" i="8"/>
  <c r="G1298" i="8"/>
  <c r="M1287" i="8"/>
  <c r="J1326" i="8"/>
  <c r="J1309" i="8"/>
  <c r="M1273" i="8"/>
  <c r="N1239" i="8"/>
  <c r="O1283" i="8"/>
  <c r="J1225" i="8"/>
  <c r="E1229" i="8"/>
  <c r="I1225" i="8"/>
  <c r="N1232" i="8"/>
  <c r="N1341" i="8"/>
  <c r="G1255" i="8"/>
  <c r="M1276" i="8"/>
  <c r="N1254" i="8"/>
  <c r="O1225" i="8"/>
  <c r="I1267" i="8"/>
  <c r="I1286" i="8"/>
  <c r="M1270" i="8"/>
  <c r="M1221" i="8"/>
  <c r="I1266" i="8"/>
  <c r="K1220" i="8"/>
  <c r="G1226" i="8"/>
  <c r="E1209" i="8"/>
  <c r="O1202" i="8"/>
  <c r="L1164" i="8"/>
  <c r="I1211" i="8"/>
  <c r="M1196" i="8"/>
  <c r="M1242" i="8"/>
  <c r="G1218" i="8"/>
  <c r="O1198" i="8"/>
  <c r="L1241" i="8"/>
  <c r="F1187" i="8"/>
  <c r="E1187" i="8"/>
  <c r="H1237" i="8"/>
  <c r="H1188" i="8"/>
  <c r="E1207" i="8"/>
  <c r="N1164" i="8"/>
  <c r="E1228" i="8"/>
  <c r="E1167" i="8"/>
  <c r="L1244" i="8"/>
  <c r="G1223" i="8"/>
  <c r="L1240" i="8"/>
  <c r="J1315" i="8"/>
  <c r="N1235" i="8"/>
  <c r="M1213" i="8"/>
  <c r="I1179" i="8"/>
  <c r="M1186" i="8"/>
  <c r="N1171" i="8"/>
  <c r="I1182" i="8"/>
  <c r="G1154" i="8"/>
  <c r="G1151" i="8"/>
  <c r="L1104" i="8"/>
  <c r="M1122" i="8"/>
  <c r="M1172" i="8"/>
  <c r="M1158" i="8"/>
  <c r="M1175" i="8"/>
  <c r="I1121" i="8"/>
  <c r="H1108" i="8"/>
  <c r="K1199" i="8"/>
  <c r="E1195" i="8"/>
  <c r="H1129" i="8"/>
  <c r="M1108" i="8"/>
  <c r="N1148" i="8"/>
  <c r="H1163" i="8"/>
  <c r="O1146" i="8"/>
  <c r="L1117" i="8"/>
  <c r="F1183" i="8"/>
  <c r="F1219" i="8"/>
  <c r="H1159" i="8"/>
  <c r="O1136" i="8"/>
  <c r="N1095" i="8"/>
  <c r="I1116" i="8"/>
  <c r="O1097" i="8"/>
  <c r="M1090" i="8"/>
  <c r="H1046" i="8"/>
  <c r="F1079" i="8"/>
  <c r="K1056" i="8"/>
  <c r="E1125" i="8"/>
  <c r="G1133" i="8"/>
  <c r="H1084" i="8"/>
  <c r="K1080" i="8"/>
  <c r="I1106" i="8"/>
  <c r="N1099" i="8"/>
  <c r="M1082" i="8"/>
  <c r="I1086" i="8"/>
  <c r="H1062" i="8"/>
  <c r="H1081" i="8"/>
  <c r="K1071" i="8"/>
  <c r="L1075" i="8"/>
  <c r="I1050" i="8"/>
  <c r="F1054" i="8"/>
  <c r="N1043" i="8"/>
  <c r="E1020" i="8"/>
  <c r="K1065" i="8"/>
  <c r="K1060" i="8"/>
  <c r="L1052" i="8"/>
  <c r="E1019" i="8"/>
  <c r="H1003" i="8"/>
  <c r="N1052" i="8"/>
  <c r="F1034" i="8"/>
  <c r="L995" i="8"/>
  <c r="N1024" i="8"/>
  <c r="M1055" i="8"/>
  <c r="E1040" i="8"/>
  <c r="O1036" i="8"/>
  <c r="N1068" i="8"/>
  <c r="J1058" i="8"/>
  <c r="E1048" i="8"/>
  <c r="J1055" i="8"/>
  <c r="N1044" i="8"/>
  <c r="F996" i="8"/>
  <c r="O996" i="8"/>
  <c r="G921" i="8"/>
  <c r="E987" i="8"/>
  <c r="G960" i="8"/>
  <c r="K1027" i="8"/>
  <c r="L980" i="8"/>
  <c r="F951" i="8"/>
  <c r="N1023" i="8"/>
  <c r="H986" i="8"/>
  <c r="F955" i="8"/>
  <c r="E966" i="8"/>
  <c r="J883" i="8"/>
  <c r="K932" i="8"/>
  <c r="N915" i="8"/>
  <c r="H1565" i="8"/>
  <c r="E1567" i="8"/>
  <c r="F1552" i="8"/>
  <c r="K1519" i="8"/>
  <c r="G1551" i="8"/>
  <c r="H1579" i="8"/>
  <c r="O1558" i="8"/>
  <c r="O1571" i="8"/>
  <c r="N1560" i="8"/>
  <c r="E1582" i="8"/>
  <c r="K1566" i="8"/>
  <c r="I1540" i="8"/>
  <c r="O1542" i="8"/>
  <c r="F1540" i="8"/>
  <c r="K1550" i="8"/>
  <c r="E1542" i="8"/>
  <c r="F1530" i="8"/>
  <c r="L1554" i="8"/>
  <c r="J1545" i="8"/>
  <c r="N1496" i="8"/>
  <c r="H1517" i="8"/>
  <c r="H1524" i="8"/>
  <c r="G1504" i="8"/>
  <c r="L1477" i="8"/>
  <c r="N1528" i="8"/>
  <c r="M1523" i="8"/>
  <c r="O1493" i="8"/>
  <c r="G1508" i="8"/>
  <c r="K1503" i="8"/>
  <c r="N1536" i="8"/>
  <c r="O1507" i="8"/>
  <c r="L1544" i="8"/>
  <c r="J1503" i="8"/>
  <c r="M1522" i="8"/>
  <c r="J1514" i="8"/>
  <c r="I1486" i="8"/>
  <c r="G1471" i="8"/>
  <c r="M1491" i="8"/>
  <c r="I1482" i="8"/>
  <c r="I1526" i="8"/>
  <c r="J1499" i="8"/>
  <c r="K1473" i="8"/>
  <c r="N1484" i="8"/>
  <c r="G1474" i="8"/>
  <c r="H1469" i="8"/>
  <c r="J1483" i="8"/>
  <c r="E1437" i="8"/>
  <c r="L1446" i="8"/>
  <c r="E1441" i="8"/>
  <c r="H1453" i="8"/>
  <c r="G1440" i="8"/>
  <c r="I1433" i="8"/>
  <c r="H1463" i="8"/>
  <c r="E1424" i="8"/>
  <c r="O1462" i="8"/>
  <c r="K1421" i="8"/>
  <c r="E1445" i="8"/>
  <c r="G1455" i="8"/>
  <c r="J1470" i="8"/>
  <c r="M1435" i="8"/>
  <c r="F1448" i="8"/>
  <c r="L1518" i="8"/>
  <c r="M1425" i="8"/>
  <c r="G1395" i="8"/>
  <c r="K1414" i="8"/>
  <c r="K1397" i="8"/>
  <c r="K1430" i="8"/>
  <c r="F1409" i="8"/>
  <c r="G1380" i="8"/>
  <c r="F1370" i="8"/>
  <c r="G1387" i="8"/>
  <c r="M1465" i="8"/>
  <c r="L1412" i="8"/>
  <c r="O1418" i="8"/>
  <c r="F1428" i="8"/>
  <c r="I1387" i="8"/>
  <c r="F1411" i="8"/>
  <c r="J1432" i="8"/>
  <c r="O1407" i="8"/>
  <c r="F1406" i="8"/>
  <c r="O1371" i="8"/>
  <c r="K1415" i="8"/>
  <c r="H1364" i="8"/>
  <c r="L1361" i="8"/>
  <c r="J1338" i="8"/>
  <c r="M1378" i="8"/>
  <c r="N1354" i="8"/>
  <c r="O1396" i="8"/>
  <c r="E1296" i="8"/>
  <c r="J1373" i="8"/>
  <c r="F1357" i="8"/>
  <c r="O1343" i="8"/>
  <c r="N1296" i="8"/>
  <c r="M1320" i="8"/>
  <c r="O1305" i="8"/>
  <c r="I1381" i="8"/>
  <c r="H1359" i="8"/>
  <c r="K1342" i="8"/>
  <c r="N1388" i="8"/>
  <c r="J1339" i="8"/>
  <c r="N1376" i="8"/>
  <c r="J1296" i="8"/>
  <c r="I1398" i="8"/>
  <c r="G1366" i="8"/>
  <c r="F1275" i="8"/>
  <c r="N1334" i="8"/>
  <c r="M1295" i="8"/>
  <c r="K1269" i="8"/>
  <c r="I1360" i="8"/>
  <c r="L1319" i="8"/>
  <c r="J1289" i="8"/>
  <c r="N1344" i="8"/>
  <c r="E1304" i="8"/>
  <c r="O1299" i="8"/>
  <c r="I1272" i="8"/>
  <c r="M1318" i="8"/>
  <c r="L1284" i="8"/>
  <c r="L1282" i="8"/>
  <c r="M1332" i="8"/>
  <c r="J1288" i="8"/>
  <c r="O1347" i="8"/>
  <c r="L1294" i="8"/>
  <c r="G1386" i="8"/>
  <c r="H1322" i="8"/>
  <c r="M1313" i="8"/>
  <c r="H1312" i="8"/>
  <c r="J1321" i="8"/>
  <c r="H1298" i="8"/>
  <c r="F1287" i="8"/>
  <c r="I1292" i="8"/>
  <c r="K1309" i="8"/>
  <c r="L1245" i="8"/>
  <c r="G1273" i="8"/>
  <c r="E1239" i="8"/>
  <c r="K1283" i="8"/>
  <c r="K1221" i="8"/>
  <c r="J1221" i="8"/>
  <c r="G1197" i="8"/>
  <c r="E1232" i="8"/>
  <c r="F1341" i="8"/>
  <c r="O1255" i="8"/>
  <c r="F1276" i="8"/>
  <c r="O1254" i="8"/>
  <c r="H1225" i="8"/>
  <c r="J1267" i="8"/>
  <c r="J1286" i="8"/>
  <c r="F1270" i="8"/>
  <c r="F1221" i="8"/>
  <c r="L1266" i="8"/>
  <c r="L1220" i="8"/>
  <c r="O1226" i="8"/>
  <c r="I1209" i="8"/>
  <c r="H1174" i="8"/>
  <c r="H1164" i="8"/>
  <c r="J1211" i="8"/>
  <c r="E1196" i="8"/>
  <c r="O1242" i="8"/>
  <c r="O1218" i="8"/>
  <c r="I1198" i="8"/>
  <c r="E1241" i="8"/>
  <c r="O1180" i="8"/>
  <c r="J1187" i="8"/>
  <c r="I1237" i="8"/>
  <c r="J1188" i="8"/>
  <c r="F1207" i="8"/>
  <c r="K1161" i="8"/>
  <c r="M1228" i="8"/>
  <c r="K1164" i="8"/>
  <c r="M1244" i="8"/>
  <c r="F1213" i="8"/>
  <c r="M1240" i="8"/>
  <c r="E1315" i="8"/>
  <c r="H1235" i="8"/>
  <c r="N1213" i="8"/>
  <c r="J1179" i="8"/>
  <c r="G1186" i="8"/>
  <c r="G1171" i="8"/>
  <c r="K1182" i="8"/>
  <c r="L1136" i="8"/>
  <c r="I1151" i="8"/>
  <c r="G1102" i="8"/>
  <c r="O1122" i="8"/>
  <c r="K1176" i="8"/>
  <c r="O1172" i="8"/>
  <c r="I1158" i="8"/>
  <c r="H1175" i="8"/>
  <c r="H1104" i="8"/>
  <c r="I1108" i="8"/>
  <c r="E1199" i="8"/>
  <c r="M1195" i="8"/>
  <c r="K1129" i="8"/>
  <c r="L1091" i="8"/>
  <c r="L1148" i="8"/>
  <c r="J1163" i="8"/>
  <c r="H1146" i="8"/>
  <c r="K1114" i="8"/>
  <c r="N1183" i="8"/>
  <c r="J1219" i="8"/>
  <c r="J1159" i="8"/>
  <c r="I1136" i="8"/>
  <c r="G1095" i="8"/>
  <c r="K1116" i="8"/>
  <c r="K1097" i="8"/>
  <c r="G1081" i="8"/>
  <c r="N1094" i="8"/>
  <c r="H1079" i="8"/>
  <c r="L1125" i="8"/>
  <c r="E1094" i="8"/>
  <c r="O1133" i="8"/>
  <c r="J1084" i="8"/>
  <c r="J1106" i="8"/>
  <c r="O1099" i="8"/>
  <c r="I1082" i="8"/>
  <c r="J1046" i="8"/>
  <c r="I1081" i="8"/>
  <c r="L1071" i="8"/>
  <c r="O1075" i="8"/>
  <c r="J1050" i="8"/>
  <c r="H1054" i="8"/>
  <c r="I1043" i="8"/>
  <c r="M1020" i="8"/>
  <c r="L1065" i="8"/>
  <c r="G1042" i="8"/>
  <c r="N1049" i="8"/>
  <c r="M1019" i="8"/>
  <c r="I1003" i="8"/>
  <c r="G1052" i="8"/>
  <c r="E1034" i="8"/>
  <c r="E995" i="8"/>
  <c r="E1024" i="8"/>
  <c r="F1051" i="8"/>
  <c r="F1040" i="8"/>
  <c r="M1009" i="8"/>
  <c r="G1068" i="8"/>
  <c r="K1058" i="8"/>
  <c r="M1048" i="8"/>
  <c r="K1055" i="8"/>
  <c r="I1044" i="8"/>
  <c r="H996" i="8"/>
  <c r="M987" i="8"/>
  <c r="L1027" i="8"/>
  <c r="H980" i="8"/>
  <c r="N951" i="8"/>
  <c r="L1023" i="8"/>
  <c r="H954" i="8"/>
  <c r="I986" i="8"/>
  <c r="K992" i="8"/>
  <c r="J985" i="8"/>
  <c r="L955" i="8"/>
  <c r="F883" i="8"/>
  <c r="I1505" i="8"/>
  <c r="H1493" i="8"/>
  <c r="E1508" i="8"/>
  <c r="O1536" i="8"/>
  <c r="J1507" i="8"/>
  <c r="N1544" i="8"/>
  <c r="E1503" i="8"/>
  <c r="H1522" i="8"/>
  <c r="N1514" i="8"/>
  <c r="J1486" i="8"/>
  <c r="H1471" i="8"/>
  <c r="G1515" i="8"/>
  <c r="N1491" i="8"/>
  <c r="O1495" i="8"/>
  <c r="K1526" i="8"/>
  <c r="K1499" i="8"/>
  <c r="E1484" i="8"/>
  <c r="G1484" i="8"/>
  <c r="H1474" i="8"/>
  <c r="I1469" i="8"/>
  <c r="O1483" i="8"/>
  <c r="M1437" i="8"/>
  <c r="M1446" i="8"/>
  <c r="F1441" i="8"/>
  <c r="I1453" i="8"/>
  <c r="O1440" i="8"/>
  <c r="J1433" i="8"/>
  <c r="M1463" i="8"/>
  <c r="G1442" i="8"/>
  <c r="M1424" i="8"/>
  <c r="L1462" i="8"/>
  <c r="L1421" i="8"/>
  <c r="O1445" i="8"/>
  <c r="H1455" i="8"/>
  <c r="G1451" i="8"/>
  <c r="H1435" i="8"/>
  <c r="G1448" i="8"/>
  <c r="I1518" i="8"/>
  <c r="F1425" i="8"/>
  <c r="O1395" i="8"/>
  <c r="L1414" i="8"/>
  <c r="L1397" i="8"/>
  <c r="M1430" i="8"/>
  <c r="N1409" i="8"/>
  <c r="O1380" i="8"/>
  <c r="N1370" i="8"/>
  <c r="J1379" i="8"/>
  <c r="I1465" i="8"/>
  <c r="I1353" i="8"/>
  <c r="K1418" i="8"/>
  <c r="N1428" i="8"/>
  <c r="J1387" i="8"/>
  <c r="G1411" i="8"/>
  <c r="L1432" i="8"/>
  <c r="E1407" i="8"/>
  <c r="E1406" i="8"/>
  <c r="F1371" i="8"/>
  <c r="L1415" i="8"/>
  <c r="I1364" i="8"/>
  <c r="G1391" i="8"/>
  <c r="G1338" i="8"/>
  <c r="F1378" i="8"/>
  <c r="G1354" i="8"/>
  <c r="H1396" i="8"/>
  <c r="I1373" i="8"/>
  <c r="L1373" i="8"/>
  <c r="N1357" i="8"/>
  <c r="H1343" i="8"/>
  <c r="G1382" i="8"/>
  <c r="G1320" i="8"/>
  <c r="H1305" i="8"/>
  <c r="J1381" i="8"/>
  <c r="J1359" i="8"/>
  <c r="L1342" i="8"/>
  <c r="G1388" i="8"/>
  <c r="K1339" i="8"/>
  <c r="G1376" i="8"/>
  <c r="I1450" i="8"/>
  <c r="K1398" i="8"/>
  <c r="H1366" i="8"/>
  <c r="H1259" i="8"/>
  <c r="H1292" i="8"/>
  <c r="N1282" i="8"/>
  <c r="E1269" i="8"/>
  <c r="K1360" i="8"/>
  <c r="F1319" i="8"/>
  <c r="K1289" i="8"/>
  <c r="G1344" i="8"/>
  <c r="G1304" i="8"/>
  <c r="F1297" i="8"/>
  <c r="J1272" i="8"/>
  <c r="N1318" i="8"/>
  <c r="E1284" i="8"/>
  <c r="E1282" i="8"/>
  <c r="N1332" i="8"/>
  <c r="K1288" i="8"/>
  <c r="E1317" i="8"/>
  <c r="M1294" i="8"/>
  <c r="J1264" i="8"/>
  <c r="O1386" i="8"/>
  <c r="J1322" i="8"/>
  <c r="H1313" i="8"/>
  <c r="I1312" i="8"/>
  <c r="N1321" i="8"/>
  <c r="J1298" i="8"/>
  <c r="N1287" i="8"/>
  <c r="K1292" i="8"/>
  <c r="F1309" i="8"/>
  <c r="I1238" i="8"/>
  <c r="O1273" i="8"/>
  <c r="G1239" i="8"/>
  <c r="L1283" i="8"/>
  <c r="F1257" i="8"/>
  <c r="O1232" i="8"/>
  <c r="K1341" i="8"/>
  <c r="H1255" i="8"/>
  <c r="N1276" i="8"/>
  <c r="E1254" i="8"/>
  <c r="H1224" i="8"/>
  <c r="L1267" i="8"/>
  <c r="K1286" i="8"/>
  <c r="N1270" i="8"/>
  <c r="N1221" i="8"/>
  <c r="N1266" i="8"/>
  <c r="H1205" i="8"/>
  <c r="H1226" i="8"/>
  <c r="J1209" i="8"/>
  <c r="J1174" i="8"/>
  <c r="K1211" i="8"/>
  <c r="G1196" i="8"/>
  <c r="E1242" i="8"/>
  <c r="N1211" i="8"/>
  <c r="K1198" i="8"/>
  <c r="M1241" i="8"/>
  <c r="K1187" i="8"/>
  <c r="J1237" i="8"/>
  <c r="L1188" i="8"/>
  <c r="H1207" i="8"/>
  <c r="L1161" i="8"/>
  <c r="F1228" i="8"/>
  <c r="L1160" i="8"/>
  <c r="N1244" i="8"/>
  <c r="E1192" i="8"/>
  <c r="G1240" i="8"/>
  <c r="M1315" i="8"/>
  <c r="H1223" i="8"/>
  <c r="O1213" i="8"/>
  <c r="N1179" i="8"/>
  <c r="O1186" i="8"/>
  <c r="O1171" i="8"/>
  <c r="E1182" i="8"/>
  <c r="H1151" i="8"/>
  <c r="H1100" i="8"/>
  <c r="E1122" i="8"/>
  <c r="O1176" i="8"/>
  <c r="E1172" i="8"/>
  <c r="I1114" i="8"/>
  <c r="L1175" i="8"/>
  <c r="K1108" i="8"/>
  <c r="M1199" i="8"/>
  <c r="L1129" i="8"/>
  <c r="E1091" i="8"/>
  <c r="E1148" i="8"/>
  <c r="M1163" i="8"/>
  <c r="J1146" i="8"/>
  <c r="N1114" i="8"/>
  <c r="G1183" i="8"/>
  <c r="K1219" i="8"/>
  <c r="H1150" i="8"/>
  <c r="J1104" i="8"/>
  <c r="O1095" i="8"/>
  <c r="N1116" i="8"/>
  <c r="L1097" i="8"/>
  <c r="F1073" i="8"/>
  <c r="E1083" i="8"/>
  <c r="N1083" i="8"/>
  <c r="I1079" i="8"/>
  <c r="M1125" i="8"/>
  <c r="O1082" i="8"/>
  <c r="F1094" i="8"/>
  <c r="F1084" i="8"/>
  <c r="F1056" i="8"/>
  <c r="M1106" i="8"/>
  <c r="E1099" i="8"/>
  <c r="F1080" i="8"/>
  <c r="J1081" i="8"/>
  <c r="F1071" i="8"/>
  <c r="F1075" i="8"/>
  <c r="G1035" i="8"/>
  <c r="M1113" i="8"/>
  <c r="G1054" i="8"/>
  <c r="K1035" i="8"/>
  <c r="F1020" i="8"/>
  <c r="E1065" i="8"/>
  <c r="G1034" i="8"/>
  <c r="O1049" i="8"/>
  <c r="O1011" i="8"/>
  <c r="F981" i="8"/>
  <c r="O1052" i="8"/>
  <c r="M1034" i="8"/>
  <c r="M995" i="8"/>
  <c r="I1024" i="8"/>
  <c r="G1051" i="8"/>
  <c r="L1040" i="8"/>
  <c r="N1009" i="8"/>
  <c r="O1068" i="8"/>
  <c r="O1058" i="8"/>
  <c r="F1067" i="8"/>
  <c r="L1055" i="8"/>
  <c r="J1044" i="8"/>
  <c r="G964" i="8"/>
  <c r="I1014" i="8"/>
  <c r="F987" i="8"/>
  <c r="F1027" i="8"/>
  <c r="G1023" i="8"/>
  <c r="L954" i="8"/>
  <c r="L992" i="8"/>
  <c r="K948" i="8"/>
  <c r="K985" i="8"/>
  <c r="N883" i="8"/>
  <c r="F904" i="8"/>
  <c r="M1477" i="8"/>
  <c r="J1537" i="8"/>
  <c r="J1528" i="8"/>
  <c r="J1505" i="8"/>
  <c r="H1489" i="8"/>
  <c r="M1508" i="8"/>
  <c r="L1549" i="8"/>
  <c r="G1536" i="8"/>
  <c r="E1488" i="8"/>
  <c r="E1544" i="8"/>
  <c r="M1503" i="8"/>
  <c r="I1522" i="8"/>
  <c r="O1514" i="8"/>
  <c r="K1486" i="8"/>
  <c r="I1471" i="8"/>
  <c r="O1515" i="8"/>
  <c r="G1491" i="8"/>
  <c r="N1495" i="8"/>
  <c r="N1526" i="8"/>
  <c r="E1499" i="8"/>
  <c r="H1461" i="8"/>
  <c r="H1484" i="8"/>
  <c r="I1474" i="8"/>
  <c r="K1439" i="8"/>
  <c r="I1483" i="8"/>
  <c r="G1437" i="8"/>
  <c r="O1446" i="8"/>
  <c r="H1441" i="8"/>
  <c r="J1453" i="8"/>
  <c r="I1439" i="8"/>
  <c r="K1433" i="8"/>
  <c r="O1463" i="8"/>
  <c r="H1442" i="8"/>
  <c r="H1481" i="8"/>
  <c r="M1462" i="8"/>
  <c r="E1421" i="8"/>
  <c r="F1445" i="8"/>
  <c r="J1455" i="8"/>
  <c r="K1451" i="8"/>
  <c r="J1435" i="8"/>
  <c r="H1448" i="8"/>
  <c r="J1518" i="8"/>
  <c r="N1425" i="8"/>
  <c r="M1414" i="8"/>
  <c r="E1380" i="8"/>
  <c r="E1430" i="8"/>
  <c r="O1409" i="8"/>
  <c r="H1380" i="8"/>
  <c r="G1370" i="8"/>
  <c r="L1379" i="8"/>
  <c r="L1465" i="8"/>
  <c r="K1353" i="8"/>
  <c r="F1418" i="8"/>
  <c r="G1428" i="8"/>
  <c r="K1387" i="8"/>
  <c r="I1411" i="8"/>
  <c r="E1432" i="8"/>
  <c r="J1407" i="8"/>
  <c r="M1406" i="8"/>
  <c r="N1371" i="8"/>
  <c r="E1415" i="8"/>
  <c r="F1338" i="8"/>
  <c r="I1391" i="8"/>
  <c r="O1338" i="8"/>
  <c r="N1378" i="8"/>
  <c r="O1354" i="8"/>
  <c r="I1396" i="8"/>
  <c r="N1349" i="8"/>
  <c r="K1373" i="8"/>
  <c r="G1357" i="8"/>
  <c r="J1343" i="8"/>
  <c r="J1382" i="8"/>
  <c r="M1296" i="8"/>
  <c r="I1305" i="8"/>
  <c r="K1381" i="8"/>
  <c r="K1359" i="8"/>
  <c r="N1342" i="8"/>
  <c r="O1388" i="8"/>
  <c r="I1328" i="8"/>
  <c r="O1376" i="8"/>
  <c r="J1450" i="8"/>
  <c r="L1398" i="8"/>
  <c r="J1366" i="8"/>
  <c r="I1259" i="8"/>
  <c r="M1288" i="8"/>
  <c r="I1279" i="8"/>
  <c r="M1269" i="8"/>
  <c r="J1360" i="8"/>
  <c r="N1319" i="8"/>
  <c r="L1289" i="8"/>
  <c r="O1344" i="8"/>
  <c r="I1304" i="8"/>
  <c r="G1297" i="8"/>
  <c r="K1272" i="8"/>
  <c r="O1318" i="8"/>
  <c r="M1284" i="8"/>
  <c r="M1282" i="8"/>
  <c r="O1332" i="8"/>
  <c r="L1288" i="8"/>
  <c r="H1317" i="8"/>
  <c r="E1294" i="8"/>
  <c r="K1264" i="8"/>
  <c r="H1386" i="8"/>
  <c r="K1322" i="8"/>
  <c r="J1313" i="8"/>
  <c r="K1312" i="8"/>
  <c r="O1321" i="8"/>
  <c r="K1298" i="8"/>
  <c r="G1287" i="8"/>
  <c r="L1292" i="8"/>
  <c r="N1309" i="8"/>
  <c r="K1229" i="8"/>
  <c r="G1308" i="8"/>
  <c r="O1239" i="8"/>
  <c r="E1283" i="8"/>
  <c r="H1260" i="8"/>
  <c r="O1250" i="8"/>
  <c r="F1232" i="8"/>
  <c r="E1341" i="8"/>
  <c r="J1255" i="8"/>
  <c r="H1257" i="8"/>
  <c r="F1254" i="8"/>
  <c r="J1224" i="8"/>
  <c r="E1267" i="8"/>
  <c r="L1286" i="8"/>
  <c r="G1270" i="8"/>
  <c r="F1266" i="8"/>
  <c r="I1226" i="8"/>
  <c r="F1209" i="8"/>
  <c r="L1174" i="8"/>
  <c r="H1215" i="8"/>
  <c r="L1211" i="8"/>
  <c r="I1196" i="8"/>
  <c r="G1242" i="8"/>
  <c r="G1204" i="8"/>
  <c r="L1198" i="8"/>
  <c r="G1241" i="8"/>
  <c r="J1167" i="8"/>
  <c r="M1187" i="8"/>
  <c r="K1237" i="8"/>
  <c r="L1171" i="8"/>
  <c r="I1207" i="8"/>
  <c r="M1161" i="8"/>
  <c r="N1228" i="8"/>
  <c r="O1160" i="8"/>
  <c r="I1244" i="8"/>
  <c r="G1192" i="8"/>
  <c r="O1240" i="8"/>
  <c r="F1315" i="8"/>
  <c r="L1223" i="8"/>
  <c r="H1213" i="8"/>
  <c r="K1179" i="8"/>
  <c r="O1184" i="8"/>
  <c r="H1171" i="8"/>
  <c r="M1182" i="8"/>
  <c r="L1114" i="8"/>
  <c r="J1151" i="8"/>
  <c r="O1150" i="8"/>
  <c r="G1122" i="8"/>
  <c r="E1176" i="8"/>
  <c r="F1172" i="8"/>
  <c r="F1109" i="8"/>
  <c r="N1175" i="8"/>
  <c r="M1102" i="8"/>
  <c r="F1199" i="8"/>
  <c r="I1143" i="8"/>
  <c r="E1129" i="8"/>
  <c r="M1091" i="8"/>
  <c r="M1148" i="8"/>
  <c r="K1163" i="8"/>
  <c r="L1142" i="8"/>
  <c r="F1114" i="8"/>
  <c r="O1183" i="8"/>
  <c r="L1219" i="8"/>
  <c r="I1142" i="8"/>
  <c r="M1104" i="8"/>
  <c r="F1088" i="8"/>
  <c r="F1116" i="8"/>
  <c r="E1097" i="8"/>
  <c r="G1073" i="8"/>
  <c r="E1071" i="8"/>
  <c r="O1083" i="8"/>
  <c r="J1079" i="8"/>
  <c r="O1125" i="8"/>
  <c r="H1094" i="8"/>
  <c r="N1084" i="8"/>
  <c r="L1152" i="8"/>
  <c r="O1106" i="8"/>
  <c r="F1099" i="8"/>
  <c r="F1057" i="8"/>
  <c r="K1081" i="8"/>
  <c r="N1071" i="8"/>
  <c r="G1075" i="8"/>
  <c r="J1016" i="8"/>
  <c r="K1113" i="8"/>
  <c r="O1054" i="8"/>
  <c r="L1035" i="8"/>
  <c r="N1020" i="8"/>
  <c r="M1065" i="8"/>
  <c r="F1024" i="8"/>
  <c r="F1049" i="8"/>
  <c r="E1011" i="8"/>
  <c r="N981" i="8"/>
  <c r="H1042" i="8"/>
  <c r="H1034" i="8"/>
  <c r="J1024" i="8"/>
  <c r="K1051" i="8"/>
  <c r="G1040" i="8"/>
  <c r="O1009" i="8"/>
  <c r="L1076" i="8"/>
  <c r="I1058" i="8"/>
  <c r="K1067" i="8"/>
  <c r="F1055" i="8"/>
  <c r="K1044" i="8"/>
  <c r="K960" i="8"/>
  <c r="H951" i="8"/>
  <c r="L1014" i="8"/>
  <c r="N987" i="8"/>
  <c r="N1027" i="8"/>
  <c r="O1023" i="8"/>
  <c r="M954" i="8"/>
  <c r="K1066" i="8"/>
  <c r="N959" i="8"/>
  <c r="M948" i="8"/>
  <c r="G976" i="8"/>
  <c r="M970" i="8"/>
  <c r="H1496" i="8"/>
  <c r="F1517" i="8"/>
  <c r="L1524" i="8"/>
  <c r="M1485" i="8"/>
  <c r="E1556" i="8"/>
  <c r="L1537" i="8"/>
  <c r="K1528" i="8"/>
  <c r="L1505" i="8"/>
  <c r="I1489" i="8"/>
  <c r="F1508" i="8"/>
  <c r="O1549" i="8"/>
  <c r="J1536" i="8"/>
  <c r="N1477" i="8"/>
  <c r="M1544" i="8"/>
  <c r="F1503" i="8"/>
  <c r="J1522" i="8"/>
  <c r="F1514" i="8"/>
  <c r="J1478" i="8"/>
  <c r="K1471" i="8"/>
  <c r="L1515" i="8"/>
  <c r="O1491" i="8"/>
  <c r="F1495" i="8"/>
  <c r="O1526" i="8"/>
  <c r="M1499" i="8"/>
  <c r="K1475" i="8"/>
  <c r="I1484" i="8"/>
  <c r="J1474" i="8"/>
  <c r="K1435" i="8"/>
  <c r="L1483" i="8"/>
  <c r="O1437" i="8"/>
  <c r="E1446" i="8"/>
  <c r="J1441" i="8"/>
  <c r="L1453" i="8"/>
  <c r="M1439" i="8"/>
  <c r="E1433" i="8"/>
  <c r="E1463" i="8"/>
  <c r="I1442" i="8"/>
  <c r="I1481" i="8"/>
  <c r="E1462" i="8"/>
  <c r="M1421" i="8"/>
  <c r="G1445" i="8"/>
  <c r="K1455" i="8"/>
  <c r="L1451" i="8"/>
  <c r="J1434" i="8"/>
  <c r="I1448" i="8"/>
  <c r="M1518" i="8"/>
  <c r="G1425" i="8"/>
  <c r="O1387" i="8"/>
  <c r="N1414" i="8"/>
  <c r="O1430" i="8"/>
  <c r="H1409" i="8"/>
  <c r="I1380" i="8"/>
  <c r="O1370" i="8"/>
  <c r="E1379" i="8"/>
  <c r="K1465" i="8"/>
  <c r="L1353" i="8"/>
  <c r="N1418" i="8"/>
  <c r="O1428" i="8"/>
  <c r="N1411" i="8"/>
  <c r="N1432" i="8"/>
  <c r="K1407" i="8"/>
  <c r="H1371" i="8"/>
  <c r="M1415" i="8"/>
  <c r="E1335" i="8"/>
  <c r="O1391" i="8"/>
  <c r="H1338" i="8"/>
  <c r="G1378" i="8"/>
  <c r="H1354" i="8"/>
  <c r="F1361" i="8"/>
  <c r="E1349" i="8"/>
  <c r="E1373" i="8"/>
  <c r="O1357" i="8"/>
  <c r="L1343" i="8"/>
  <c r="O1382" i="8"/>
  <c r="J1389" i="8"/>
  <c r="L1305" i="8"/>
  <c r="L1381" i="8"/>
  <c r="L1359" i="8"/>
  <c r="E1342" i="8"/>
  <c r="H1388" i="8"/>
  <c r="E1328" i="8"/>
  <c r="F1362" i="8"/>
  <c r="K1450" i="8"/>
  <c r="E1398" i="8"/>
  <c r="O1366" i="8"/>
  <c r="J1259" i="8"/>
  <c r="J1279" i="8"/>
  <c r="L1264" i="8"/>
  <c r="L1360" i="8"/>
  <c r="H1319" i="8"/>
  <c r="E1289" i="8"/>
  <c r="J1307" i="8"/>
  <c r="K1304" i="8"/>
  <c r="I1297" i="8"/>
  <c r="L1272" i="8"/>
  <c r="J1318" i="8"/>
  <c r="F1284" i="8"/>
  <c r="J1280" i="8"/>
  <c r="K1332" i="8"/>
  <c r="G1264" i="8"/>
  <c r="I1317" i="8"/>
  <c r="N1294" i="8"/>
  <c r="E1264" i="8"/>
  <c r="E1331" i="8"/>
  <c r="N1322" i="8"/>
  <c r="L1268" i="8"/>
  <c r="M1312" i="8"/>
  <c r="F1321" i="8"/>
  <c r="I1298" i="8"/>
  <c r="O1287" i="8"/>
  <c r="M1292" i="8"/>
  <c r="H1309" i="8"/>
  <c r="L1225" i="8"/>
  <c r="I1308" i="8"/>
  <c r="H1239" i="8"/>
  <c r="M1283" i="8"/>
  <c r="J1260" i="8"/>
  <c r="L1293" i="8"/>
  <c r="E1250" i="8"/>
  <c r="K1232" i="8"/>
  <c r="M1341" i="8"/>
  <c r="F1239" i="8"/>
  <c r="I1257" i="8"/>
  <c r="J1254" i="8"/>
  <c r="K1224" i="8"/>
  <c r="M1267" i="8"/>
  <c r="E1286" i="8"/>
  <c r="O1270" i="8"/>
  <c r="I1205" i="8"/>
  <c r="G1266" i="8"/>
  <c r="J1226" i="8"/>
  <c r="N1209" i="8"/>
  <c r="O1174" i="8"/>
  <c r="J1215" i="8"/>
  <c r="E1211" i="8"/>
  <c r="K1196" i="8"/>
  <c r="H1242" i="8"/>
  <c r="I1204" i="8"/>
  <c r="E1198" i="8"/>
  <c r="O1241" i="8"/>
  <c r="G1126" i="8"/>
  <c r="G1187" i="8"/>
  <c r="E1237" i="8"/>
  <c r="H1167" i="8"/>
  <c r="J1207" i="8"/>
  <c r="E1161" i="8"/>
  <c r="G1228" i="8"/>
  <c r="E1160" i="8"/>
  <c r="K1244" i="8"/>
  <c r="H1192" i="8"/>
  <c r="I1240" i="8"/>
  <c r="N1315" i="8"/>
  <c r="M1223" i="8"/>
  <c r="I1213" i="8"/>
  <c r="L1179" i="8"/>
  <c r="E1184" i="8"/>
  <c r="I1171" i="8"/>
  <c r="F1162" i="8"/>
  <c r="K1091" i="8"/>
  <c r="K1151" i="8"/>
  <c r="F1150" i="8"/>
  <c r="K1122" i="8"/>
  <c r="G1176" i="8"/>
  <c r="N1172" i="8"/>
  <c r="K1104" i="8"/>
  <c r="I1175" i="8"/>
  <c r="H1091" i="8"/>
  <c r="I1102" i="8"/>
  <c r="N1199" i="8"/>
  <c r="J1143" i="8"/>
  <c r="M1129" i="8"/>
  <c r="F1153" i="8"/>
  <c r="G1148" i="8"/>
  <c r="N1163" i="8"/>
  <c r="G1114" i="8"/>
  <c r="G1131" i="8"/>
  <c r="G1219" i="8"/>
  <c r="J1142" i="8"/>
  <c r="F1104" i="8"/>
  <c r="G1088" i="8"/>
  <c r="H1116" i="8"/>
  <c r="M1097" i="8"/>
  <c r="H1073" i="8"/>
  <c r="F1083" i="8"/>
  <c r="G1079" i="8"/>
  <c r="N1125" i="8"/>
  <c r="J1056" i="8"/>
  <c r="I1094" i="8"/>
  <c r="F1119" i="8"/>
  <c r="E1152" i="8"/>
  <c r="G1106" i="8"/>
  <c r="K1099" i="8"/>
  <c r="F1141" i="8"/>
  <c r="E1057" i="8"/>
  <c r="L1081" i="8"/>
  <c r="G1071" i="8"/>
  <c r="H1075" i="8"/>
  <c r="L1016" i="8"/>
  <c r="O1113" i="8"/>
  <c r="J1054" i="8"/>
  <c r="N1035" i="8"/>
  <c r="K1003" i="8"/>
  <c r="G1065" i="8"/>
  <c r="F1019" i="8"/>
  <c r="G1049" i="8"/>
  <c r="G1011" i="8"/>
  <c r="G981" i="8"/>
  <c r="J1042" i="8"/>
  <c r="I1034" i="8"/>
  <c r="G1059" i="8"/>
  <c r="K1024" i="8"/>
  <c r="N1051" i="8"/>
  <c r="O1040" i="8"/>
  <c r="F1009" i="8"/>
  <c r="M1076" i="8"/>
  <c r="L1058" i="8"/>
  <c r="N1067" i="8"/>
  <c r="N1055" i="8"/>
  <c r="I1033" i="8"/>
  <c r="E955" i="8"/>
  <c r="M1014" i="8"/>
  <c r="G987" i="8"/>
  <c r="I1027" i="8"/>
  <c r="H921" i="8"/>
  <c r="H999" i="8"/>
  <c r="G954" i="8"/>
  <c r="L1066" i="8"/>
  <c r="O959" i="8"/>
  <c r="O948" i="8"/>
  <c r="H976" i="8"/>
  <c r="N970" i="8"/>
  <c r="H1554" i="8"/>
  <c r="I1496" i="8"/>
  <c r="N1517" i="8"/>
  <c r="J1524" i="8"/>
  <c r="N1485" i="8"/>
  <c r="N1556" i="8"/>
  <c r="N1537" i="8"/>
  <c r="L1528" i="8"/>
  <c r="G1505" i="8"/>
  <c r="J1489" i="8"/>
  <c r="N1508" i="8"/>
  <c r="F1549" i="8"/>
  <c r="K1536" i="8"/>
  <c r="F1513" i="8"/>
  <c r="N1503" i="8"/>
  <c r="F1534" i="8"/>
  <c r="G1514" i="8"/>
  <c r="K1478" i="8"/>
  <c r="J1471" i="8"/>
  <c r="M1515" i="8"/>
  <c r="I1491" i="8"/>
  <c r="G1495" i="8"/>
  <c r="G1526" i="8"/>
  <c r="F1499" i="8"/>
  <c r="L1466" i="8"/>
  <c r="E1475" i="8"/>
  <c r="K1474" i="8"/>
  <c r="L1433" i="8"/>
  <c r="M1483" i="8"/>
  <c r="G1421" i="8"/>
  <c r="G1446" i="8"/>
  <c r="K1441" i="8"/>
  <c r="K1453" i="8"/>
  <c r="N1439" i="8"/>
  <c r="M1433" i="8"/>
  <c r="J1463" i="8"/>
  <c r="J1442" i="8"/>
  <c r="J1481" i="8"/>
  <c r="N1462" i="8"/>
  <c r="F1421" i="8"/>
  <c r="H1445" i="8"/>
  <c r="L1455" i="8"/>
  <c r="M1451" i="8"/>
  <c r="K1434" i="8"/>
  <c r="J1448" i="8"/>
  <c r="E1518" i="8"/>
  <c r="O1425" i="8"/>
  <c r="O1414" i="8"/>
  <c r="G1365" i="8"/>
  <c r="F1430" i="8"/>
  <c r="E1400" i="8"/>
  <c r="E1377" i="8"/>
  <c r="H1370" i="8"/>
  <c r="M1379" i="8"/>
  <c r="F1465" i="8"/>
  <c r="E1353" i="8"/>
  <c r="F1394" i="8"/>
  <c r="M1407" i="8"/>
  <c r="O1411" i="8"/>
  <c r="F1432" i="8"/>
  <c r="L1407" i="8"/>
  <c r="F1375" i="8"/>
  <c r="I1371" i="8"/>
  <c r="F1415" i="8"/>
  <c r="K1335" i="8"/>
  <c r="F1391" i="8"/>
  <c r="H1333" i="8"/>
  <c r="O1378" i="8"/>
  <c r="M1328" i="8"/>
  <c r="N1361" i="8"/>
  <c r="F1349" i="8"/>
  <c r="M1373" i="8"/>
  <c r="H1357" i="8"/>
  <c r="E1343" i="8"/>
  <c r="H1382" i="8"/>
  <c r="L1389" i="8"/>
  <c r="F1305" i="8"/>
  <c r="H1362" i="8"/>
  <c r="E1359" i="8"/>
  <c r="F1342" i="8"/>
  <c r="J1388" i="8"/>
  <c r="F1328" i="8"/>
  <c r="G1359" i="8"/>
  <c r="L1450" i="8"/>
  <c r="M1398" i="8"/>
  <c r="I1366" i="8"/>
  <c r="L1259" i="8"/>
  <c r="E1275" i="8"/>
  <c r="K1279" i="8"/>
  <c r="E1360" i="8"/>
  <c r="E1314" i="8"/>
  <c r="M1289" i="8"/>
  <c r="L1307" i="8"/>
  <c r="F1304" i="8"/>
  <c r="K1297" i="8"/>
  <c r="E1318" i="8"/>
  <c r="N1284" i="8"/>
  <c r="K1280" i="8"/>
  <c r="F1332" i="8"/>
  <c r="M1317" i="8"/>
  <c r="G1294" i="8"/>
  <c r="M1264" i="8"/>
  <c r="K1331" i="8"/>
  <c r="L1322" i="8"/>
  <c r="E1268" i="8"/>
  <c r="O1312" i="8"/>
  <c r="G1321" i="8"/>
  <c r="K1290" i="8"/>
  <c r="H1287" i="8"/>
  <c r="N1292" i="8"/>
  <c r="J1274" i="8"/>
  <c r="L1197" i="8"/>
  <c r="K1308" i="8"/>
  <c r="J1239" i="8"/>
  <c r="F1283" i="8"/>
  <c r="M1260" i="8"/>
  <c r="M1293" i="8"/>
  <c r="F1250" i="8"/>
  <c r="H1229" i="8"/>
  <c r="G1341" i="8"/>
  <c r="J1257" i="8"/>
  <c r="L1254" i="8"/>
  <c r="L1224" i="8"/>
  <c r="F1267" i="8"/>
  <c r="M1286" i="8"/>
  <c r="E1245" i="8"/>
  <c r="E1316" i="8"/>
  <c r="O1266" i="8"/>
  <c r="M1204" i="8"/>
  <c r="K1226" i="8"/>
  <c r="G1209" i="8"/>
  <c r="K1174" i="8"/>
  <c r="K1215" i="8"/>
  <c r="M1211" i="8"/>
  <c r="J1196" i="8"/>
  <c r="L1242" i="8"/>
  <c r="O1204" i="8"/>
  <c r="M1198" i="8"/>
  <c r="F1214" i="8"/>
  <c r="K1208" i="8"/>
  <c r="O1187" i="8"/>
  <c r="M1237" i="8"/>
  <c r="L1166" i="8"/>
  <c r="K1207" i="8"/>
  <c r="G1161" i="8"/>
  <c r="O1228" i="8"/>
  <c r="H1160" i="8"/>
  <c r="F1227" i="8"/>
  <c r="J1192" i="8"/>
  <c r="G1180" i="8"/>
  <c r="G1315" i="8"/>
  <c r="N1223" i="8"/>
  <c r="J1213" i="8"/>
  <c r="E1179" i="8"/>
  <c r="G1184" i="8"/>
  <c r="G1164" i="8"/>
  <c r="L1162" i="8"/>
  <c r="M1165" i="8"/>
  <c r="L1151" i="8"/>
  <c r="G1150" i="8"/>
  <c r="J1136" i="8"/>
  <c r="L1122" i="8"/>
  <c r="I1176" i="8"/>
  <c r="H1172" i="8"/>
  <c r="F1102" i="8"/>
  <c r="J1175" i="8"/>
  <c r="J1102" i="8"/>
  <c r="G1199" i="8"/>
  <c r="K1143" i="8"/>
  <c r="J1153" i="8"/>
  <c r="O1148" i="8"/>
  <c r="O1163" i="8"/>
  <c r="N1102" i="8"/>
  <c r="O1114" i="8"/>
  <c r="K1131" i="8"/>
  <c r="O1219" i="8"/>
  <c r="K1142" i="8"/>
  <c r="N1104" i="8"/>
  <c r="J1088" i="8"/>
  <c r="J1116" i="8"/>
  <c r="I1073" i="8"/>
  <c r="L1062" i="8"/>
  <c r="G1083" i="8"/>
  <c r="O1079" i="8"/>
  <c r="E1130" i="8"/>
  <c r="F1125" i="8"/>
  <c r="L1094" i="8"/>
  <c r="H1119" i="8"/>
  <c r="H1152" i="8"/>
  <c r="K1106" i="8"/>
  <c r="H1099" i="8"/>
  <c r="L1141" i="8"/>
  <c r="L1056" i="8"/>
  <c r="I1080" i="8"/>
  <c r="O1071" i="8"/>
  <c r="I1075" i="8"/>
  <c r="M1016" i="8"/>
  <c r="E1113" i="8"/>
  <c r="K1054" i="8"/>
  <c r="F1035" i="8"/>
  <c r="I1065" i="8"/>
  <c r="O1065" i="8"/>
  <c r="H1011" i="8"/>
  <c r="I1049" i="8"/>
  <c r="J1011" i="8"/>
  <c r="O981" i="8"/>
  <c r="K1042" i="8"/>
  <c r="J1034" i="8"/>
  <c r="J1059" i="8"/>
  <c r="L1024" i="8"/>
  <c r="O1051" i="8"/>
  <c r="H1040" i="8"/>
  <c r="G1009" i="8"/>
  <c r="E1076" i="8"/>
  <c r="E1058" i="8"/>
  <c r="G1067" i="8"/>
  <c r="G1055" i="8"/>
  <c r="J1033" i="8"/>
  <c r="J951" i="8"/>
  <c r="O1014" i="8"/>
  <c r="O987" i="8"/>
  <c r="I999" i="8"/>
  <c r="E921" i="8"/>
  <c r="E986" i="8"/>
  <c r="O898" i="8"/>
  <c r="E1066" i="8"/>
  <c r="G959" i="8"/>
  <c r="G948" i="8"/>
  <c r="J950" i="8"/>
  <c r="I970" i="8"/>
  <c r="K1554" i="8"/>
  <c r="F1512" i="8"/>
  <c r="F1488" i="8"/>
  <c r="H1504" i="8"/>
  <c r="E1524" i="8"/>
  <c r="E1485" i="8"/>
  <c r="O1556" i="8"/>
  <c r="K1537" i="8"/>
  <c r="E1528" i="8"/>
  <c r="O1505" i="8"/>
  <c r="L1489" i="8"/>
  <c r="E1496" i="8"/>
  <c r="J1549" i="8"/>
  <c r="L1536" i="8"/>
  <c r="F1544" i="8"/>
  <c r="K1513" i="8"/>
  <c r="G1503" i="8"/>
  <c r="O1534" i="8"/>
  <c r="I1514" i="8"/>
  <c r="L1478" i="8"/>
  <c r="E1471" i="8"/>
  <c r="E1515" i="8"/>
  <c r="J1491" i="8"/>
  <c r="H1495" i="8"/>
  <c r="J1526" i="8"/>
  <c r="N1499" i="8"/>
  <c r="M1466" i="8"/>
  <c r="I1475" i="8"/>
  <c r="M1474" i="8"/>
  <c r="N1422" i="8"/>
  <c r="K1483" i="8"/>
  <c r="H1456" i="8"/>
  <c r="H1446" i="8"/>
  <c r="G1441" i="8"/>
  <c r="E1453" i="8"/>
  <c r="E1439" i="8"/>
  <c r="I1422" i="8"/>
  <c r="K1463" i="8"/>
  <c r="K1442" i="8"/>
  <c r="L1481" i="8"/>
  <c r="F1462" i="8"/>
  <c r="N1421" i="8"/>
  <c r="L1445" i="8"/>
  <c r="E1440" i="8"/>
  <c r="O1451" i="8"/>
  <c r="L1434" i="8"/>
  <c r="L1448" i="8"/>
  <c r="K1518" i="8"/>
  <c r="H1425" i="8"/>
  <c r="F1377" i="8"/>
  <c r="I1414" i="8"/>
  <c r="O1365" i="8"/>
  <c r="N1430" i="8"/>
  <c r="M1400" i="8"/>
  <c r="M1377" i="8"/>
  <c r="F1379" i="8"/>
  <c r="N1465" i="8"/>
  <c r="M1353" i="8"/>
  <c r="N1394" i="8"/>
  <c r="J1363" i="8"/>
  <c r="H1411" i="8"/>
  <c r="O1432" i="8"/>
  <c r="F1407" i="8"/>
  <c r="G1375" i="8"/>
  <c r="J1371" i="8"/>
  <c r="N1415" i="8"/>
  <c r="M1335" i="8"/>
  <c r="N1391" i="8"/>
  <c r="N1333" i="8"/>
  <c r="I1378" i="8"/>
  <c r="E1361" i="8"/>
  <c r="H1349" i="8"/>
  <c r="F1373" i="8"/>
  <c r="G1346" i="8"/>
  <c r="M1343" i="8"/>
  <c r="I1382" i="8"/>
  <c r="I1389" i="8"/>
  <c r="N1305" i="8"/>
  <c r="M1362" i="8"/>
  <c r="M1359" i="8"/>
  <c r="I1342" i="8"/>
  <c r="K1388" i="8"/>
  <c r="N1328" i="8"/>
  <c r="M1342" i="8"/>
  <c r="M1450" i="8"/>
  <c r="F1398" i="8"/>
  <c r="K1366" i="8"/>
  <c r="E1256" i="8"/>
  <c r="O1264" i="8"/>
  <c r="L1279" i="8"/>
  <c r="G1256" i="8"/>
  <c r="M1360" i="8"/>
  <c r="F1314" i="8"/>
  <c r="G1289" i="8"/>
  <c r="O1307" i="8"/>
  <c r="N1304" i="8"/>
  <c r="L1297" i="8"/>
  <c r="G1318" i="8"/>
  <c r="G1284" i="8"/>
  <c r="L1280" i="8"/>
  <c r="G1332" i="8"/>
  <c r="N1317" i="8"/>
  <c r="O1294" i="8"/>
  <c r="F1264" i="8"/>
  <c r="O1331" i="8"/>
  <c r="M1322" i="8"/>
  <c r="M1268" i="8"/>
  <c r="J1312" i="8"/>
  <c r="L1321" i="8"/>
  <c r="L1290" i="8"/>
  <c r="J1287" i="8"/>
  <c r="E1292" i="8"/>
  <c r="K1274" i="8"/>
  <c r="L1308" i="8"/>
  <c r="K1225" i="8"/>
  <c r="N1283" i="8"/>
  <c r="O1260" i="8"/>
  <c r="E1293" i="8"/>
  <c r="G1250" i="8"/>
  <c r="I1229" i="8"/>
  <c r="O1341" i="8"/>
  <c r="I1234" i="8"/>
  <c r="N1257" i="8"/>
  <c r="K1234" i="8"/>
  <c r="E1224" i="8"/>
  <c r="N1267" i="8"/>
  <c r="F1286" i="8"/>
  <c r="H1245" i="8"/>
  <c r="G1316" i="8"/>
  <c r="H1266" i="8"/>
  <c r="M1191" i="8"/>
  <c r="E1212" i="8"/>
  <c r="O1209" i="8"/>
  <c r="E1174" i="8"/>
  <c r="L1215" i="8"/>
  <c r="N1233" i="8"/>
  <c r="L1196" i="8"/>
  <c r="F1242" i="8"/>
  <c r="E1204" i="8"/>
  <c r="L1187" i="8"/>
  <c r="H1214" i="8"/>
  <c r="G1208" i="8"/>
  <c r="H1187" i="8"/>
  <c r="L1203" i="8"/>
  <c r="F1166" i="8"/>
  <c r="J1203" i="8"/>
  <c r="O1161" i="8"/>
  <c r="H1228" i="8"/>
  <c r="J1160" i="8"/>
  <c r="G1227" i="8"/>
  <c r="L1192" i="8"/>
  <c r="I1180" i="8"/>
  <c r="O1315" i="8"/>
  <c r="O1223" i="8"/>
  <c r="M1179" i="8"/>
  <c r="I1184" i="8"/>
  <c r="N1162" i="8"/>
  <c r="N1165" i="8"/>
  <c r="L1140" i="8"/>
  <c r="K1150" i="8"/>
  <c r="I1132" i="8"/>
  <c r="F1122" i="8"/>
  <c r="M1176" i="8"/>
  <c r="L1172" i="8"/>
  <c r="E1131" i="8"/>
  <c r="K1175" i="8"/>
  <c r="E1135" i="8"/>
  <c r="L1102" i="8"/>
  <c r="O1199" i="8"/>
  <c r="L1143" i="8"/>
  <c r="K1153" i="8"/>
  <c r="E1163" i="8"/>
  <c r="O1154" i="8"/>
  <c r="H1114" i="8"/>
  <c r="L1131" i="8"/>
  <c r="H1219" i="8"/>
  <c r="O1142" i="8"/>
  <c r="G1104" i="8"/>
  <c r="K1088" i="8"/>
  <c r="L1116" i="8"/>
  <c r="G1090" i="8"/>
  <c r="J1073" i="8"/>
  <c r="H1083" i="8"/>
  <c r="N1130" i="8"/>
  <c r="G1125" i="8"/>
  <c r="M1094" i="8"/>
  <c r="N1119" i="8"/>
  <c r="J1152" i="8"/>
  <c r="L1106" i="8"/>
  <c r="I1099" i="8"/>
  <c r="O1141" i="8"/>
  <c r="G1056" i="8"/>
  <c r="J1080" i="8"/>
  <c r="I1046" i="8"/>
  <c r="K1075" i="8"/>
  <c r="O1016" i="8"/>
  <c r="F1113" i="8"/>
  <c r="L1054" i="8"/>
  <c r="I1035" i="8"/>
  <c r="L1019" i="8"/>
  <c r="H1065" i="8"/>
  <c r="K1049" i="8"/>
  <c r="L1011" i="8"/>
  <c r="H981" i="8"/>
  <c r="O1042" i="8"/>
  <c r="J1002" i="8"/>
  <c r="K1059" i="8"/>
  <c r="G1024" i="8"/>
  <c r="H1051" i="8"/>
  <c r="I1040" i="8"/>
  <c r="I1009" i="8"/>
  <c r="O1076" i="8"/>
  <c r="M1058" i="8"/>
  <c r="O1067" i="8"/>
  <c r="O1055" i="8"/>
  <c r="K1033" i="8"/>
  <c r="E1014" i="8"/>
  <c r="H987" i="8"/>
  <c r="F898" i="8"/>
  <c r="M921" i="8"/>
  <c r="J983" i="8"/>
  <c r="L1018" i="8"/>
  <c r="M1066" i="8"/>
  <c r="H959" i="8"/>
  <c r="I950" i="8"/>
  <c r="L970" i="8"/>
  <c r="F1584" i="8"/>
  <c r="K1574" i="8"/>
  <c r="J1601" i="8"/>
  <c r="E1557" i="8"/>
  <c r="L1606" i="8"/>
  <c r="G1579" i="8"/>
  <c r="J1519" i="8"/>
  <c r="F1563" i="8"/>
  <c r="G1552" i="8"/>
  <c r="I1582" i="8"/>
  <c r="E1543" i="8"/>
  <c r="H1553" i="8"/>
  <c r="K1564" i="8"/>
  <c r="N1540" i="8"/>
  <c r="I1547" i="8"/>
  <c r="L1506" i="8"/>
  <c r="F1554" i="8"/>
  <c r="N1512" i="8"/>
  <c r="H1488" i="8"/>
  <c r="N1502" i="8"/>
  <c r="M1524" i="8"/>
  <c r="H1485" i="8"/>
  <c r="F1556" i="8"/>
  <c r="F1537" i="8"/>
  <c r="M1528" i="8"/>
  <c r="F1505" i="8"/>
  <c r="E1489" i="8"/>
  <c r="M1492" i="8"/>
  <c r="G1549" i="8"/>
  <c r="M1536" i="8"/>
  <c r="O1522" i="8"/>
  <c r="L1513" i="8"/>
  <c r="O1503" i="8"/>
  <c r="E1534" i="8"/>
  <c r="L1514" i="8"/>
  <c r="M1478" i="8"/>
  <c r="M1471" i="8"/>
  <c r="H1515" i="8"/>
  <c r="K1491" i="8"/>
  <c r="J1495" i="8"/>
  <c r="L1526" i="8"/>
  <c r="G1499" i="8"/>
  <c r="N1466" i="8"/>
  <c r="J1475" i="8"/>
  <c r="N1474" i="8"/>
  <c r="H1421" i="8"/>
  <c r="F1483" i="8"/>
  <c r="I1456" i="8"/>
  <c r="I1446" i="8"/>
  <c r="O1441" i="8"/>
  <c r="M1453" i="8"/>
  <c r="F1439" i="8"/>
  <c r="E1467" i="8"/>
  <c r="L1463" i="8"/>
  <c r="N1442" i="8"/>
  <c r="K1481" i="8"/>
  <c r="G1462" i="8"/>
  <c r="F1458" i="8"/>
  <c r="M1445" i="8"/>
  <c r="E1470" i="8"/>
  <c r="E1451" i="8"/>
  <c r="M1434" i="8"/>
  <c r="M1448" i="8"/>
  <c r="F1518" i="8"/>
  <c r="L1409" i="8"/>
  <c r="H1363" i="8"/>
  <c r="I1365" i="8"/>
  <c r="M1387" i="8"/>
  <c r="F1400" i="8"/>
  <c r="G1377" i="8"/>
  <c r="J1402" i="8"/>
  <c r="N1379" i="8"/>
  <c r="E1412" i="8"/>
  <c r="F1353" i="8"/>
  <c r="G1394" i="8"/>
  <c r="L1363" i="8"/>
  <c r="J1411" i="8"/>
  <c r="K1432" i="8"/>
  <c r="N1407" i="8"/>
  <c r="I1375" i="8"/>
  <c r="K1371" i="8"/>
  <c r="G1415" i="8"/>
  <c r="L1335" i="8"/>
  <c r="H1391" i="8"/>
  <c r="E1333" i="8"/>
  <c r="J1378" i="8"/>
  <c r="F1320" i="8"/>
  <c r="M1361" i="8"/>
  <c r="G1349" i="8"/>
  <c r="N1373" i="8"/>
  <c r="H1346" i="8"/>
  <c r="E1336" i="8"/>
  <c r="K1382" i="8"/>
  <c r="K1389" i="8"/>
  <c r="M1301" i="8"/>
  <c r="E1362" i="8"/>
  <c r="H1350" i="8"/>
  <c r="J1342" i="8"/>
  <c r="L1388" i="8"/>
  <c r="G1328" i="8"/>
  <c r="N1450" i="8"/>
  <c r="N1398" i="8"/>
  <c r="L1366" i="8"/>
  <c r="I1334" i="8"/>
  <c r="F1279" i="8"/>
  <c r="O1256" i="8"/>
  <c r="F1360" i="8"/>
  <c r="H1314" i="8"/>
  <c r="O1289" i="8"/>
  <c r="G1307" i="8"/>
  <c r="H1304" i="8"/>
  <c r="N1297" i="8"/>
  <c r="F1294" i="8"/>
  <c r="E1303" i="8"/>
  <c r="O1284" i="8"/>
  <c r="E1280" i="8"/>
  <c r="H1332" i="8"/>
  <c r="H1347" i="8"/>
  <c r="F1317" i="8"/>
  <c r="E1291" i="8"/>
  <c r="N1264" i="8"/>
  <c r="M1331" i="8"/>
  <c r="I1322" i="8"/>
  <c r="F1268" i="8"/>
  <c r="L1312" i="8"/>
  <c r="I1321" i="8"/>
  <c r="E1290" i="8"/>
  <c r="L1326" i="8"/>
  <c r="G1292" i="8"/>
  <c r="L1274" i="8"/>
  <c r="M1308" i="8"/>
  <c r="O1221" i="8"/>
  <c r="H1283" i="8"/>
  <c r="E1260" i="8"/>
  <c r="N1293" i="8"/>
  <c r="I1250" i="8"/>
  <c r="J1229" i="8"/>
  <c r="H1341" i="8"/>
  <c r="H1221" i="8"/>
  <c r="K1257" i="8"/>
  <c r="N1234" i="8"/>
  <c r="M1224" i="8"/>
  <c r="H1267" i="8"/>
  <c r="N1286" i="8"/>
  <c r="J1245" i="8"/>
  <c r="H1316" i="8"/>
  <c r="J1266" i="8"/>
  <c r="E1164" i="8"/>
  <c r="I1212" i="8"/>
  <c r="H1209" i="8"/>
  <c r="M1174" i="8"/>
  <c r="E1215" i="8"/>
  <c r="O1233" i="8"/>
  <c r="F1196" i="8"/>
  <c r="N1242" i="8"/>
  <c r="F1204" i="8"/>
  <c r="J1214" i="8"/>
  <c r="I1208" i="8"/>
  <c r="I1187" i="8"/>
  <c r="J1166" i="8"/>
  <c r="K1192" i="8"/>
  <c r="E1126" i="8"/>
  <c r="F1203" i="8"/>
  <c r="F1160" i="8"/>
  <c r="H1227" i="8"/>
  <c r="F1192" i="8"/>
  <c r="J1180" i="8"/>
  <c r="G1235" i="8"/>
  <c r="E1223" i="8"/>
  <c r="F1191" i="8"/>
  <c r="G1174" i="8"/>
  <c r="K1184" i="8"/>
  <c r="H1162" i="8"/>
  <c r="F1165" i="8"/>
  <c r="M1140" i="8"/>
  <c r="N1150" i="8"/>
  <c r="K1132" i="8"/>
  <c r="N1122" i="8"/>
  <c r="H1176" i="8"/>
  <c r="F1158" i="8"/>
  <c r="O1175" i="8"/>
  <c r="L1153" i="8"/>
  <c r="F1135" i="8"/>
  <c r="G1100" i="8"/>
  <c r="N1195" i="8"/>
  <c r="F1143" i="8"/>
  <c r="E1104" i="8"/>
  <c r="E1153" i="8"/>
  <c r="K1139" i="8"/>
  <c r="F1163" i="8"/>
  <c r="E1154" i="8"/>
  <c r="J1114" i="8"/>
  <c r="M1131" i="8"/>
  <c r="I1219" i="8"/>
  <c r="E1142" i="8"/>
  <c r="O1104" i="8"/>
  <c r="M1088" i="8"/>
  <c r="E1116" i="8"/>
  <c r="H1090" i="8"/>
  <c r="K1073" i="8"/>
  <c r="J1083" i="8"/>
  <c r="I1130" i="8"/>
  <c r="H1125" i="8"/>
  <c r="H1133" i="8"/>
  <c r="K1094" i="8"/>
  <c r="E1119" i="8"/>
  <c r="K1152" i="8"/>
  <c r="F1106" i="8"/>
  <c r="J1099" i="8"/>
  <c r="E1141" i="8"/>
  <c r="O1056" i="8"/>
  <c r="N1080" i="8"/>
  <c r="N1075" i="8"/>
  <c r="E1016" i="8"/>
  <c r="N1113" i="8"/>
  <c r="G1043" i="8"/>
  <c r="J1035" i="8"/>
  <c r="M1011" i="8"/>
  <c r="L1060" i="8"/>
  <c r="L1049" i="8"/>
  <c r="F1011" i="8"/>
  <c r="I981" i="8"/>
  <c r="I1042" i="8"/>
  <c r="K1002" i="8"/>
  <c r="O1059" i="8"/>
  <c r="O1024" i="8"/>
  <c r="I1051" i="8"/>
  <c r="I1036" i="8"/>
  <c r="L1009" i="8"/>
  <c r="G1076" i="8"/>
  <c r="F1058" i="8"/>
  <c r="H1067" i="8"/>
  <c r="E1044" i="8"/>
  <c r="N1033" i="8"/>
  <c r="I921" i="8"/>
  <c r="G1014" i="8"/>
  <c r="I987" i="8"/>
  <c r="N898" i="8"/>
  <c r="L986" i="8"/>
  <c r="F921" i="8"/>
  <c r="H983" i="8"/>
  <c r="N1018" i="8"/>
  <c r="M1032" i="8"/>
  <c r="N1017" i="8"/>
  <c r="E997" i="8"/>
  <c r="F1524" i="8"/>
  <c r="K1485" i="8"/>
  <c r="G1556" i="8"/>
  <c r="O1537" i="8"/>
  <c r="H1523" i="8"/>
  <c r="E1505" i="8"/>
  <c r="M1489" i="8"/>
  <c r="O1492" i="8"/>
  <c r="I1549" i="8"/>
  <c r="I1536" i="8"/>
  <c r="E1513" i="8"/>
  <c r="M1513" i="8"/>
  <c r="H1503" i="8"/>
  <c r="H1534" i="8"/>
  <c r="E1514" i="8"/>
  <c r="F1478" i="8"/>
  <c r="F1471" i="8"/>
  <c r="I1515" i="8"/>
  <c r="E1482" i="8"/>
  <c r="I1495" i="8"/>
  <c r="M1526" i="8"/>
  <c r="O1499" i="8"/>
  <c r="E1466" i="8"/>
  <c r="L1475" i="8"/>
  <c r="L1474" i="8"/>
  <c r="N1483" i="8"/>
  <c r="J1456" i="8"/>
  <c r="F1446" i="8"/>
  <c r="I1441" i="8"/>
  <c r="F1453" i="8"/>
  <c r="G1439" i="8"/>
  <c r="F1467" i="8"/>
  <c r="F1463" i="8"/>
  <c r="E1442" i="8"/>
  <c r="E1481" i="8"/>
  <c r="H1462" i="8"/>
  <c r="G1458" i="8"/>
  <c r="I1445" i="8"/>
  <c r="F1470" i="8"/>
  <c r="F1451" i="8"/>
  <c r="E1434" i="8"/>
  <c r="K1448" i="8"/>
  <c r="N1518" i="8"/>
  <c r="G1406" i="8"/>
  <c r="G1400" i="8"/>
  <c r="J1365" i="8"/>
  <c r="I1370" i="8"/>
  <c r="N1400" i="8"/>
  <c r="O1377" i="8"/>
  <c r="K1402" i="8"/>
  <c r="G1379" i="8"/>
  <c r="F1412" i="8"/>
  <c r="N1353" i="8"/>
  <c r="O1394" i="8"/>
  <c r="E1363" i="8"/>
  <c r="K1411" i="8"/>
  <c r="H1407" i="8"/>
  <c r="H1375" i="8"/>
  <c r="G1342" i="8"/>
  <c r="O1415" i="8"/>
  <c r="F1335" i="8"/>
  <c r="J1391" i="8"/>
  <c r="G1333" i="8"/>
  <c r="K1378" i="8"/>
  <c r="F1301" i="8"/>
  <c r="G1361" i="8"/>
  <c r="O1349" i="8"/>
  <c r="G1373" i="8"/>
  <c r="J1346" i="8"/>
  <c r="G1336" i="8"/>
  <c r="L1382" i="8"/>
  <c r="E1389" i="8"/>
  <c r="J1301" i="8"/>
  <c r="G1362" i="8"/>
  <c r="J1350" i="8"/>
  <c r="J1348" i="8"/>
  <c r="E1388" i="8"/>
  <c r="O1328" i="8"/>
  <c r="K1327" i="8"/>
  <c r="O1450" i="8"/>
  <c r="K1348" i="8"/>
  <c r="E1366" i="8"/>
  <c r="K1334" i="8"/>
  <c r="O1295" i="8"/>
  <c r="N1279" i="8"/>
  <c r="I1256" i="8"/>
  <c r="N1360" i="8"/>
  <c r="J1314" i="8"/>
  <c r="I1280" i="8"/>
  <c r="H1307" i="8"/>
  <c r="I1299" i="8"/>
  <c r="H1297" i="8"/>
  <c r="M1291" i="8"/>
  <c r="F1303" i="8"/>
  <c r="H1284" i="8"/>
  <c r="M1280" i="8"/>
  <c r="I1332" i="8"/>
  <c r="K1347" i="8"/>
  <c r="O1317" i="8"/>
  <c r="L1287" i="8"/>
  <c r="H1264" i="8"/>
  <c r="G1331" i="8"/>
  <c r="G1322" i="8"/>
  <c r="N1268" i="8"/>
  <c r="I1287" i="8"/>
  <c r="K1321" i="8"/>
  <c r="M1290" i="8"/>
  <c r="M1326" i="8"/>
  <c r="J1292" i="8"/>
  <c r="E1274" i="8"/>
  <c r="F1273" i="8"/>
  <c r="N1308" i="8"/>
  <c r="L1205" i="8"/>
  <c r="L1238" i="8"/>
  <c r="I1260" i="8"/>
  <c r="F1293" i="8"/>
  <c r="K1250" i="8"/>
  <c r="E1225" i="8"/>
  <c r="O1267" i="8"/>
  <c r="G1276" i="8"/>
  <c r="L1257" i="8"/>
  <c r="O1234" i="8"/>
  <c r="F1224" i="8"/>
  <c r="G1286" i="8"/>
  <c r="K1245" i="8"/>
  <c r="J1316" i="8"/>
  <c r="K1266" i="8"/>
  <c r="N1161" i="8"/>
  <c r="K1212" i="8"/>
  <c r="L1202" i="8"/>
  <c r="I1174" i="8"/>
  <c r="M1215" i="8"/>
  <c r="E1233" i="8"/>
  <c r="N1196" i="8"/>
  <c r="H1218" i="8"/>
  <c r="N1204" i="8"/>
  <c r="N1214" i="8"/>
  <c r="H1208" i="8"/>
  <c r="M1192" i="8"/>
  <c r="G1166" i="8"/>
  <c r="K1180" i="8"/>
  <c r="M1126" i="8"/>
  <c r="K1203" i="8"/>
  <c r="N1160" i="8"/>
  <c r="I1227" i="8"/>
  <c r="N1192" i="8"/>
  <c r="L1180" i="8"/>
  <c r="I1235" i="8"/>
  <c r="F1223" i="8"/>
  <c r="G1191" i="8"/>
  <c r="L1209" i="8"/>
  <c r="M1184" i="8"/>
  <c r="K1126" i="8"/>
  <c r="I1162" i="8"/>
  <c r="G1165" i="8"/>
  <c r="N1140" i="8"/>
  <c r="I1150" i="8"/>
  <c r="N1132" i="8"/>
  <c r="M1117" i="8"/>
  <c r="J1176" i="8"/>
  <c r="G1158" i="8"/>
  <c r="E1143" i="8"/>
  <c r="H1139" i="8"/>
  <c r="H1135" i="8"/>
  <c r="J1100" i="8"/>
  <c r="O1195" i="8"/>
  <c r="N1143" i="8"/>
  <c r="M1153" i="8"/>
  <c r="O1139" i="8"/>
  <c r="I1163" i="8"/>
  <c r="H1154" i="8"/>
  <c r="J1108" i="8"/>
  <c r="O1131" i="8"/>
  <c r="I1159" i="8"/>
  <c r="M1142" i="8"/>
  <c r="I1104" i="8"/>
  <c r="L1088" i="8"/>
  <c r="M1116" i="8"/>
  <c r="J1090" i="8"/>
  <c r="L1073" i="8"/>
  <c r="K1083" i="8"/>
  <c r="K1130" i="8"/>
  <c r="I1125" i="8"/>
  <c r="I1133" i="8"/>
  <c r="G1094" i="8"/>
  <c r="G1119" i="8"/>
  <c r="M1152" i="8"/>
  <c r="N1106" i="8"/>
  <c r="L1086" i="8"/>
  <c r="G1141" i="8"/>
  <c r="H1056" i="8"/>
  <c r="E1080" i="8"/>
  <c r="N1086" i="8"/>
  <c r="E1075" i="8"/>
  <c r="F1016" i="8"/>
  <c r="G1113" i="8"/>
  <c r="H1043" i="8"/>
  <c r="E1035" i="8"/>
  <c r="J1003" i="8"/>
  <c r="M1060" i="8"/>
  <c r="E1049" i="8"/>
  <c r="N1011" i="8"/>
  <c r="J981" i="8"/>
  <c r="L1042" i="8"/>
  <c r="F1002" i="8"/>
  <c r="L1059" i="8"/>
  <c r="H1024" i="8"/>
  <c r="J1051" i="8"/>
  <c r="K1036" i="8"/>
  <c r="H1076" i="8"/>
  <c r="N1058" i="8"/>
  <c r="I1067" i="8"/>
  <c r="F1033" i="8"/>
  <c r="G898" i="8"/>
  <c r="H1014" i="8"/>
  <c r="E964" i="8"/>
  <c r="H898" i="8"/>
  <c r="I983" i="8"/>
  <c r="N921" i="8"/>
  <c r="K983" i="8"/>
  <c r="O1018" i="8"/>
  <c r="F1026" i="8"/>
  <c r="O1017" i="8"/>
  <c r="K997" i="8"/>
  <c r="M915" i="8"/>
  <c r="O881" i="8"/>
  <c r="J1512" i="8"/>
  <c r="K1488" i="8"/>
  <c r="E1502" i="8"/>
  <c r="N1524" i="8"/>
  <c r="L1485" i="8"/>
  <c r="H1556" i="8"/>
  <c r="G1537" i="8"/>
  <c r="I1523" i="8"/>
  <c r="M1505" i="8"/>
  <c r="F1489" i="8"/>
  <c r="E1492" i="8"/>
  <c r="K1549" i="8"/>
  <c r="K1507" i="8"/>
  <c r="H1505" i="8"/>
  <c r="N1513" i="8"/>
  <c r="I1503" i="8"/>
  <c r="I1534" i="8"/>
  <c r="M1514" i="8"/>
  <c r="N1478" i="8"/>
  <c r="N1471" i="8"/>
  <c r="J1515" i="8"/>
  <c r="F1482" i="8"/>
  <c r="K1495" i="8"/>
  <c r="H1526" i="8"/>
  <c r="F1484" i="8"/>
  <c r="G1466" i="8"/>
  <c r="F1475" i="8"/>
  <c r="G1469" i="8"/>
  <c r="F1456" i="8"/>
  <c r="K1456" i="8"/>
  <c r="N1446" i="8"/>
  <c r="L1436" i="8"/>
  <c r="N1453" i="8"/>
  <c r="H1439" i="8"/>
  <c r="G1467" i="8"/>
  <c r="N1463" i="8"/>
  <c r="O1442" i="8"/>
  <c r="M1481" i="8"/>
  <c r="L1422" i="8"/>
  <c r="H1458" i="8"/>
  <c r="K1445" i="8"/>
  <c r="G1470" i="8"/>
  <c r="N1451" i="8"/>
  <c r="O1434" i="8"/>
  <c r="E1438" i="8"/>
  <c r="G1518" i="8"/>
  <c r="H1395" i="8"/>
  <c r="H1353" i="8"/>
  <c r="E1397" i="8"/>
  <c r="K1365" i="8"/>
  <c r="G1353" i="8"/>
  <c r="H1400" i="8"/>
  <c r="H1377" i="8"/>
  <c r="L1402" i="8"/>
  <c r="O1379" i="8"/>
  <c r="G1412" i="8"/>
  <c r="J1351" i="8"/>
  <c r="I1394" i="8"/>
  <c r="M1363" i="8"/>
  <c r="L1411" i="8"/>
  <c r="H1394" i="8"/>
  <c r="I1407" i="8"/>
  <c r="J1375" i="8"/>
  <c r="I1338" i="8"/>
  <c r="J1364" i="8"/>
  <c r="N1335" i="8"/>
  <c r="K1391" i="8"/>
  <c r="O1333" i="8"/>
  <c r="L1378" i="8"/>
  <c r="E1396" i="8"/>
  <c r="O1361" i="8"/>
  <c r="I1349" i="8"/>
  <c r="O1373" i="8"/>
  <c r="O1346" i="8"/>
  <c r="I1336" i="8"/>
  <c r="E1382" i="8"/>
  <c r="M1389" i="8"/>
  <c r="L1301" i="8"/>
  <c r="O1362" i="8"/>
  <c r="O1350" i="8"/>
  <c r="O1330" i="8"/>
  <c r="M1388" i="8"/>
  <c r="H1376" i="8"/>
  <c r="N1327" i="8"/>
  <c r="E1450" i="8"/>
  <c r="M1348" i="8"/>
  <c r="M1366" i="8"/>
  <c r="G1334" i="8"/>
  <c r="F1295" i="8"/>
  <c r="G1275" i="8"/>
  <c r="L1256" i="8"/>
  <c r="G1360" i="8"/>
  <c r="K1314" i="8"/>
  <c r="E1344" i="8"/>
  <c r="E1307" i="8"/>
  <c r="J1299" i="8"/>
  <c r="J1297" i="8"/>
  <c r="F1282" i="8"/>
  <c r="H1303" i="8"/>
  <c r="I1284" i="8"/>
  <c r="F1280" i="8"/>
  <c r="O1313" i="8"/>
  <c r="I1347" i="8"/>
  <c r="G1317" i="8"/>
  <c r="F1291" i="8"/>
  <c r="I1386" i="8"/>
  <c r="H1331" i="8"/>
  <c r="O1322" i="8"/>
  <c r="G1268" i="8"/>
  <c r="F1271" i="8"/>
  <c r="E1321" i="8"/>
  <c r="F1290" i="8"/>
  <c r="E1326" i="8"/>
  <c r="M1274" i="8"/>
  <c r="H1273" i="8"/>
  <c r="O1308" i="8"/>
  <c r="E1205" i="8"/>
  <c r="M1238" i="8"/>
  <c r="K1260" i="8"/>
  <c r="O1293" i="8"/>
  <c r="L1250" i="8"/>
  <c r="I1221" i="8"/>
  <c r="I1255" i="8"/>
  <c r="O1276" i="8"/>
  <c r="E1257" i="8"/>
  <c r="E1234" i="8"/>
  <c r="N1224" i="8"/>
  <c r="J1205" i="8"/>
  <c r="O1286" i="8"/>
  <c r="F1245" i="8"/>
  <c r="K1316" i="8"/>
  <c r="E1266" i="8"/>
  <c r="J1126" i="8"/>
  <c r="J1212" i="8"/>
  <c r="I1202" i="8"/>
  <c r="K1167" i="8"/>
  <c r="F1215" i="8"/>
  <c r="F1233" i="8"/>
  <c r="H1196" i="8"/>
  <c r="I1218" i="8"/>
  <c r="H1204" i="8"/>
  <c r="H1161" i="8"/>
  <c r="G1214" i="8"/>
  <c r="J1208" i="8"/>
  <c r="M1180" i="8"/>
  <c r="O1188" i="8"/>
  <c r="O1166" i="8"/>
  <c r="K1171" i="8"/>
  <c r="F1126" i="8"/>
  <c r="M1203" i="8"/>
  <c r="J1227" i="8"/>
  <c r="F1180" i="8"/>
  <c r="J1235" i="8"/>
  <c r="I1223" i="8"/>
  <c r="H1191" i="8"/>
  <c r="F1186" i="8"/>
  <c r="L1184" i="8"/>
  <c r="L1182" i="8"/>
  <c r="J1162" i="8"/>
  <c r="H1165" i="8"/>
  <c r="H1140" i="8"/>
  <c r="J1150" i="8"/>
  <c r="L1132" i="8"/>
  <c r="E1117" i="8"/>
  <c r="L1176" i="8"/>
  <c r="L1158" i="8"/>
  <c r="I1139" i="8"/>
  <c r="I1122" i="8"/>
  <c r="J1135" i="8"/>
  <c r="L1100" i="8"/>
  <c r="I1195" i="8"/>
  <c r="G1143" i="8"/>
  <c r="N1135" i="8"/>
  <c r="G1153" i="8"/>
  <c r="L1139" i="8"/>
  <c r="L1163" i="8"/>
  <c r="I1154" i="8"/>
  <c r="K1183" i="8"/>
  <c r="F1131" i="8"/>
  <c r="K1159" i="8"/>
  <c r="F1142" i="8"/>
  <c r="K1102" i="8"/>
  <c r="H1088" i="8"/>
  <c r="G1116" i="8"/>
  <c r="K1090" i="8"/>
  <c r="M1073" i="8"/>
  <c r="L1083" i="8"/>
  <c r="L1130" i="8"/>
  <c r="J1125" i="8"/>
  <c r="J1133" i="8"/>
  <c r="O1094" i="8"/>
  <c r="I1119" i="8"/>
  <c r="F1152" i="8"/>
  <c r="J1082" i="8"/>
  <c r="H1141" i="8"/>
  <c r="I1056" i="8"/>
  <c r="O1080" i="8"/>
  <c r="E1086" i="8"/>
  <c r="M1075" i="8"/>
  <c r="G1016" i="8"/>
  <c r="H1113" i="8"/>
  <c r="J1043" i="8"/>
  <c r="M1035" i="8"/>
  <c r="G995" i="8"/>
  <c r="O1060" i="8"/>
  <c r="M1049" i="8"/>
  <c r="I1011" i="8"/>
  <c r="H1052" i="8"/>
  <c r="E1042" i="8"/>
  <c r="N1002" i="8"/>
  <c r="E1059" i="8"/>
  <c r="L1051" i="8"/>
  <c r="L1036" i="8"/>
  <c r="I1068" i="8"/>
  <c r="I1076" i="8"/>
  <c r="N1048" i="8"/>
  <c r="J1067" i="8"/>
  <c r="I1002" i="8"/>
  <c r="L1033" i="8"/>
  <c r="N996" i="8"/>
  <c r="J1014" i="8"/>
  <c r="F964" i="8"/>
  <c r="J898" i="8"/>
  <c r="G980" i="8"/>
  <c r="I1023" i="8"/>
  <c r="L983" i="8"/>
  <c r="F1018" i="8"/>
  <c r="J1026" i="8"/>
  <c r="H1017" i="8"/>
  <c r="I961" i="8"/>
  <c r="E906" i="8"/>
  <c r="F871" i="8"/>
  <c r="F1313" i="8"/>
  <c r="O1268" i="8"/>
  <c r="N1271" i="8"/>
  <c r="M1321" i="8"/>
  <c r="N1290" i="8"/>
  <c r="N1326" i="8"/>
  <c r="G1309" i="8"/>
  <c r="F1274" i="8"/>
  <c r="I1273" i="8"/>
  <c r="E1308" i="8"/>
  <c r="M1205" i="8"/>
  <c r="O1238" i="8"/>
  <c r="L1260" i="8"/>
  <c r="G1293" i="8"/>
  <c r="H1250" i="8"/>
  <c r="G1220" i="8"/>
  <c r="K1255" i="8"/>
  <c r="H1276" i="8"/>
  <c r="M1257" i="8"/>
  <c r="F1234" i="8"/>
  <c r="G1221" i="8"/>
  <c r="H1197" i="8"/>
  <c r="H1270" i="8"/>
  <c r="N1245" i="8"/>
  <c r="M1316" i="8"/>
  <c r="M1266" i="8"/>
  <c r="L1212" i="8"/>
  <c r="K1202" i="8"/>
  <c r="M1167" i="8"/>
  <c r="N1215" i="8"/>
  <c r="G1233" i="8"/>
  <c r="E1191" i="8"/>
  <c r="K1218" i="8"/>
  <c r="J1204" i="8"/>
  <c r="K1241" i="8"/>
  <c r="O1214" i="8"/>
  <c r="L1208" i="8"/>
  <c r="I1167" i="8"/>
  <c r="E1188" i="8"/>
  <c r="I1166" i="8"/>
  <c r="G1167" i="8"/>
  <c r="N1126" i="8"/>
  <c r="N1203" i="8"/>
  <c r="E1244" i="8"/>
  <c r="N1227" i="8"/>
  <c r="N1180" i="8"/>
  <c r="K1235" i="8"/>
  <c r="J1223" i="8"/>
  <c r="I1191" i="8"/>
  <c r="H1186" i="8"/>
  <c r="F1184" i="8"/>
  <c r="F1182" i="8"/>
  <c r="E1162" i="8"/>
  <c r="E1165" i="8"/>
  <c r="I1140" i="8"/>
  <c r="L1150" i="8"/>
  <c r="E1132" i="8"/>
  <c r="G1117" i="8"/>
  <c r="F1176" i="8"/>
  <c r="O1158" i="8"/>
  <c r="G1129" i="8"/>
  <c r="L1121" i="8"/>
  <c r="K1135" i="8"/>
  <c r="M1100" i="8"/>
  <c r="J1195" i="8"/>
  <c r="O1143" i="8"/>
  <c r="O1109" i="8"/>
  <c r="O1153" i="8"/>
  <c r="E1139" i="8"/>
  <c r="F1146" i="8"/>
  <c r="M1154" i="8"/>
  <c r="L1183" i="8"/>
  <c r="H1131" i="8"/>
  <c r="L1159" i="8"/>
  <c r="N1142" i="8"/>
  <c r="G1057" i="8"/>
  <c r="O1116" i="8"/>
  <c r="L1090" i="8"/>
  <c r="E1073" i="8"/>
  <c r="M1083" i="8"/>
  <c r="M1130" i="8"/>
  <c r="K1125" i="8"/>
  <c r="K1133" i="8"/>
  <c r="K1084" i="8"/>
  <c r="J1119" i="8"/>
  <c r="N1152" i="8"/>
  <c r="M1086" i="8"/>
  <c r="K1082" i="8"/>
  <c r="M1141" i="8"/>
  <c r="H1080" i="8"/>
  <c r="F1086" i="8"/>
  <c r="G1050" i="8"/>
  <c r="H1016" i="8"/>
  <c r="I1113" i="8"/>
  <c r="K1043" i="8"/>
  <c r="J990" i="8"/>
  <c r="E1060" i="8"/>
  <c r="H1049" i="8"/>
  <c r="E1003" i="8"/>
  <c r="I1052" i="8"/>
  <c r="M1042" i="8"/>
  <c r="G1002" i="8"/>
  <c r="M1059" i="8"/>
  <c r="L990" i="8"/>
  <c r="E1051" i="8"/>
  <c r="J1036" i="8"/>
  <c r="K1068" i="8"/>
  <c r="K1076" i="8"/>
  <c r="O1048" i="8"/>
  <c r="L1067" i="8"/>
  <c r="E1033" i="8"/>
  <c r="E996" i="8"/>
  <c r="K1014" i="8"/>
  <c r="I964" i="8"/>
  <c r="O1032" i="8"/>
  <c r="I980" i="8"/>
  <c r="M1023" i="8"/>
  <c r="E983" i="8"/>
  <c r="G1018" i="8"/>
  <c r="K1026" i="8"/>
  <c r="G998" i="8"/>
  <c r="K982" i="8"/>
  <c r="K961" i="8"/>
  <c r="H877" i="8"/>
  <c r="J1501" i="8"/>
  <c r="E1545" i="8"/>
  <c r="L1512" i="8"/>
  <c r="M1488" i="8"/>
  <c r="H1502" i="8"/>
  <c r="O1524" i="8"/>
  <c r="F1477" i="8"/>
  <c r="M1556" i="8"/>
  <c r="E1537" i="8"/>
  <c r="G1523" i="8"/>
  <c r="M1493" i="8"/>
  <c r="O1508" i="8"/>
  <c r="J1492" i="8"/>
  <c r="E1549" i="8"/>
  <c r="M1507" i="8"/>
  <c r="G1513" i="8"/>
  <c r="F1522" i="8"/>
  <c r="G1534" i="8"/>
  <c r="G1486" i="8"/>
  <c r="O1478" i="8"/>
  <c r="J1461" i="8"/>
  <c r="F1515" i="8"/>
  <c r="J1482" i="8"/>
  <c r="E1495" i="8"/>
  <c r="M1473" i="8"/>
  <c r="G1475" i="8"/>
  <c r="L1469" i="8"/>
  <c r="I1437" i="8"/>
  <c r="M1456" i="8"/>
  <c r="J1422" i="8"/>
  <c r="O1436" i="8"/>
  <c r="O1453" i="8"/>
  <c r="L1439" i="8"/>
  <c r="I1467" i="8"/>
  <c r="L1442" i="8"/>
  <c r="N1481" i="8"/>
  <c r="M1422" i="8"/>
  <c r="J1458" i="8"/>
  <c r="H1470" i="8"/>
  <c r="I1451" i="8"/>
  <c r="G1434" i="8"/>
  <c r="G1438" i="8"/>
  <c r="J1395" i="8"/>
  <c r="F1397" i="8"/>
  <c r="I1409" i="8"/>
  <c r="J1400" i="8"/>
  <c r="J1377" i="8"/>
  <c r="M1402" i="8"/>
  <c r="I1412" i="8"/>
  <c r="G1418" i="8"/>
  <c r="J1428" i="8"/>
  <c r="K1394" i="8"/>
  <c r="N1363" i="8"/>
  <c r="M1411" i="8"/>
  <c r="F1351" i="8"/>
  <c r="I1406" i="8"/>
  <c r="L1375" i="8"/>
  <c r="L1320" i="8"/>
  <c r="M1364" i="8"/>
  <c r="I1335" i="8"/>
  <c r="E1391" i="8"/>
  <c r="K1333" i="8"/>
  <c r="J1354" i="8"/>
  <c r="M1396" i="8"/>
  <c r="I1361" i="8"/>
  <c r="K1349" i="8"/>
  <c r="I1357" i="8"/>
  <c r="I1346" i="8"/>
  <c r="M1336" i="8"/>
  <c r="F1382" i="8"/>
  <c r="N1389" i="8"/>
  <c r="H1381" i="8"/>
  <c r="J1362" i="8"/>
  <c r="K1350" i="8"/>
  <c r="J1330" i="8"/>
  <c r="M1339" i="8"/>
  <c r="I1376" i="8"/>
  <c r="F1327" i="8"/>
  <c r="G1450" i="8"/>
  <c r="L1348" i="8"/>
  <c r="N1366" i="8"/>
  <c r="J1334" i="8"/>
  <c r="H1295" i="8"/>
  <c r="H1275" i="8"/>
  <c r="L1304" i="8"/>
  <c r="M1319" i="8"/>
  <c r="G1314" i="8"/>
  <c r="L1344" i="8"/>
  <c r="F1307" i="8"/>
  <c r="L1299" i="8"/>
  <c r="E1288" i="8"/>
  <c r="I1264" i="8"/>
  <c r="M1303" i="8"/>
  <c r="G1282" i="8"/>
  <c r="G1280" i="8"/>
  <c r="F1288" i="8"/>
  <c r="L1347" i="8"/>
  <c r="L1317" i="8"/>
  <c r="G1291" i="8"/>
  <c r="J1386" i="8"/>
  <c r="J1331" i="8"/>
  <c r="G1313" i="8"/>
  <c r="H1268" i="8"/>
  <c r="G1271" i="8"/>
  <c r="M1298" i="8"/>
  <c r="G1290" i="8"/>
  <c r="O1326" i="8"/>
  <c r="I1309" i="8"/>
  <c r="N1274" i="8"/>
  <c r="J1273" i="8"/>
  <c r="F1308" i="8"/>
  <c r="F1205" i="8"/>
  <c r="E1238" i="8"/>
  <c r="F1260" i="8"/>
  <c r="I1293" i="8"/>
  <c r="J1250" i="8"/>
  <c r="F1197" i="8"/>
  <c r="L1255" i="8"/>
  <c r="I1276" i="8"/>
  <c r="G1257" i="8"/>
  <c r="G1234" i="8"/>
  <c r="E1220" i="8"/>
  <c r="I1197" i="8"/>
  <c r="I1270" i="8"/>
  <c r="G1245" i="8"/>
  <c r="O1316" i="8"/>
  <c r="F1220" i="8"/>
  <c r="F1226" i="8"/>
  <c r="F1212" i="8"/>
  <c r="E1202" i="8"/>
  <c r="O1167" i="8"/>
  <c r="G1215" i="8"/>
  <c r="J1233" i="8"/>
  <c r="I1161" i="8"/>
  <c r="L1218" i="8"/>
  <c r="K1204" i="8"/>
  <c r="N1241" i="8"/>
  <c r="I1214" i="8"/>
  <c r="E1208" i="8"/>
  <c r="F1237" i="8"/>
  <c r="G1188" i="8"/>
  <c r="E1166" i="8"/>
  <c r="H1126" i="8"/>
  <c r="G1203" i="8"/>
  <c r="F1244" i="8"/>
  <c r="O1227" i="8"/>
  <c r="H1240" i="8"/>
  <c r="H1180" i="8"/>
  <c r="L1235" i="8"/>
  <c r="K1223" i="8"/>
  <c r="J1191" i="8"/>
  <c r="J1186" i="8"/>
  <c r="N1184" i="8"/>
  <c r="H1182" i="8"/>
  <c r="M1162" i="8"/>
  <c r="J1165" i="8"/>
  <c r="K1140" i="8"/>
  <c r="M1143" i="8"/>
  <c r="M1132" i="8"/>
  <c r="H1117" i="8"/>
  <c r="N1176" i="8"/>
  <c r="H1158" i="8"/>
  <c r="E1114" i="8"/>
  <c r="O1121" i="8"/>
  <c r="L1135" i="8"/>
  <c r="F1100" i="8"/>
  <c r="F1195" i="8"/>
  <c r="H1143" i="8"/>
  <c r="H1109" i="8"/>
  <c r="H1153" i="8"/>
  <c r="M1139" i="8"/>
  <c r="I1146" i="8"/>
  <c r="K1154" i="8"/>
  <c r="H1183" i="8"/>
  <c r="I1131" i="8"/>
  <c r="M1159" i="8"/>
  <c r="H1142" i="8"/>
  <c r="M1095" i="8"/>
  <c r="O1057" i="8"/>
  <c r="G1097" i="8"/>
  <c r="N1090" i="8"/>
  <c r="K1046" i="8"/>
  <c r="I1083" i="8"/>
  <c r="F1130" i="8"/>
  <c r="J1094" i="8"/>
  <c r="L1133" i="8"/>
  <c r="L1084" i="8"/>
  <c r="M1119" i="8"/>
  <c r="G1152" i="8"/>
  <c r="G1080" i="8"/>
  <c r="L1082" i="8"/>
  <c r="N1141" i="8"/>
  <c r="K1062" i="8"/>
  <c r="I1088" i="8"/>
  <c r="L1080" i="8"/>
  <c r="H1086" i="8"/>
  <c r="K1050" i="8"/>
  <c r="K1016" i="8"/>
  <c r="J1113" i="8"/>
  <c r="L1043" i="8"/>
  <c r="K1020" i="8"/>
  <c r="G1060" i="8"/>
  <c r="N1019" i="8"/>
  <c r="M1003" i="8"/>
  <c r="K1052" i="8"/>
  <c r="F1042" i="8"/>
  <c r="O1002" i="8"/>
  <c r="F1059" i="8"/>
  <c r="E990" i="8"/>
  <c r="M1051" i="8"/>
  <c r="E1036" i="8"/>
  <c r="L1068" i="8"/>
  <c r="F1076" i="8"/>
  <c r="F1048" i="8"/>
  <c r="E1067" i="8"/>
  <c r="G1044" i="8"/>
  <c r="M1033" i="8"/>
  <c r="I996" i="8"/>
  <c r="F1014" i="8"/>
  <c r="J964" i="8"/>
  <c r="J1027" i="8"/>
  <c r="J980" i="8"/>
  <c r="I951" i="8"/>
  <c r="E1023" i="8"/>
  <c r="M983" i="8"/>
  <c r="J1018" i="8"/>
  <c r="K957" i="8"/>
  <c r="F982" i="8"/>
  <c r="G961" i="8"/>
  <c r="J920" i="8"/>
  <c r="G871" i="8"/>
  <c r="I965" i="8"/>
  <c r="I1504" i="8"/>
  <c r="J1556" i="8"/>
  <c r="M1537" i="8"/>
  <c r="K1523" i="8"/>
  <c r="E1493" i="8"/>
  <c r="H1508" i="8"/>
  <c r="K1492" i="8"/>
  <c r="N1549" i="8"/>
  <c r="E1507" i="8"/>
  <c r="J1544" i="8"/>
  <c r="H1513" i="8"/>
  <c r="G1522" i="8"/>
  <c r="J1534" i="8"/>
  <c r="L1486" i="8"/>
  <c r="K1461" i="8"/>
  <c r="N1515" i="8"/>
  <c r="K1482" i="8"/>
  <c r="M1495" i="8"/>
  <c r="M1475" i="8"/>
  <c r="N1473" i="8"/>
  <c r="J1484" i="8"/>
  <c r="O1475" i="8"/>
  <c r="N1469" i="8"/>
  <c r="F1424" i="8"/>
  <c r="J1437" i="8"/>
  <c r="E1456" i="8"/>
  <c r="F1436" i="8"/>
  <c r="I1440" i="8"/>
  <c r="N1433" i="8"/>
  <c r="J1467" i="8"/>
  <c r="O1438" i="8"/>
  <c r="N1438" i="8"/>
  <c r="G1481" i="8"/>
  <c r="G1422" i="8"/>
  <c r="M1458" i="8"/>
  <c r="I1455" i="8"/>
  <c r="I1470" i="8"/>
  <c r="J1451" i="8"/>
  <c r="H1434" i="8"/>
  <c r="H1438" i="8"/>
  <c r="I1425" i="8"/>
  <c r="L1395" i="8"/>
  <c r="E1414" i="8"/>
  <c r="N1397" i="8"/>
  <c r="G1430" i="8"/>
  <c r="J1409" i="8"/>
  <c r="K1400" i="8"/>
  <c r="F1402" i="8"/>
  <c r="O1465" i="8"/>
  <c r="J1412" i="8"/>
  <c r="H1418" i="8"/>
  <c r="M1428" i="8"/>
  <c r="L1394" i="8"/>
  <c r="G1363" i="8"/>
  <c r="E1365" i="8"/>
  <c r="N1351" i="8"/>
  <c r="J1406" i="8"/>
  <c r="E1375" i="8"/>
  <c r="J1305" i="8"/>
  <c r="L1364" i="8"/>
  <c r="F1333" i="8"/>
  <c r="M1391" i="8"/>
  <c r="L1333" i="8"/>
  <c r="L1354" i="8"/>
  <c r="K1396" i="8"/>
  <c r="J1361" i="8"/>
  <c r="L1349" i="8"/>
  <c r="J1357" i="8"/>
  <c r="K1346" i="8"/>
  <c r="J1336" i="8"/>
  <c r="N1382" i="8"/>
  <c r="G1389" i="8"/>
  <c r="N1381" i="8"/>
  <c r="K1362" i="8"/>
  <c r="L1350" i="8"/>
  <c r="K1330" i="8"/>
  <c r="O1339" i="8"/>
  <c r="J1376" i="8"/>
  <c r="G1327" i="8"/>
  <c r="H1450" i="8"/>
  <c r="F1348" i="8"/>
  <c r="L1334" i="8"/>
  <c r="I1295" i="8"/>
  <c r="I1275" i="8"/>
  <c r="F1292" i="8"/>
  <c r="G1319" i="8"/>
  <c r="O1314" i="8"/>
  <c r="H1344" i="8"/>
  <c r="N1307" i="8"/>
  <c r="N1299" i="8"/>
  <c r="F1272" i="8"/>
  <c r="F1318" i="8"/>
  <c r="K1303" i="8"/>
  <c r="O1282" i="8"/>
  <c r="O1280" i="8"/>
  <c r="N1288" i="8"/>
  <c r="E1347" i="8"/>
  <c r="K1317" i="8"/>
  <c r="O1291" i="8"/>
  <c r="K1386" i="8"/>
  <c r="L1331" i="8"/>
  <c r="I1313" i="8"/>
  <c r="I1268" i="8"/>
  <c r="O1271" i="8"/>
  <c r="N1298" i="8"/>
  <c r="O1290" i="8"/>
  <c r="F1326" i="8"/>
  <c r="L1309" i="8"/>
  <c r="G1274" i="8"/>
  <c r="N1273" i="8"/>
  <c r="H1308" i="8"/>
  <c r="N1205" i="8"/>
  <c r="F1238" i="8"/>
  <c r="N1260" i="8"/>
  <c r="J1293" i="8"/>
  <c r="H1232" i="8"/>
  <c r="M1255" i="8"/>
  <c r="J1276" i="8"/>
  <c r="O1257" i="8"/>
  <c r="H1234" i="8"/>
  <c r="K1205" i="8"/>
  <c r="J1197" i="8"/>
  <c r="J1270" i="8"/>
  <c r="O1245" i="8"/>
  <c r="L1316" i="8"/>
  <c r="N1220" i="8"/>
  <c r="L1226" i="8"/>
  <c r="N1212" i="8"/>
  <c r="M1202" i="8"/>
  <c r="F1167" i="8"/>
  <c r="O1215" i="8"/>
  <c r="L1233" i="8"/>
  <c r="E1218" i="8"/>
  <c r="L1204" i="8"/>
  <c r="F1241" i="8"/>
  <c r="K1214" i="8"/>
  <c r="M1208" i="8"/>
  <c r="L1237" i="8"/>
  <c r="I1188" i="8"/>
  <c r="M1166" i="8"/>
  <c r="I1228" i="8"/>
  <c r="O1203" i="8"/>
  <c r="G1244" i="8"/>
  <c r="K1227" i="8"/>
  <c r="N1240" i="8"/>
  <c r="H1315" i="8"/>
  <c r="O1235" i="8"/>
  <c r="E1213" i="8"/>
  <c r="K1191" i="8"/>
  <c r="N1186" i="8"/>
  <c r="H1184" i="8"/>
  <c r="J1182" i="8"/>
  <c r="G1162" i="8"/>
  <c r="K1165" i="8"/>
  <c r="K1136" i="8"/>
  <c r="G1132" i="8"/>
  <c r="F1117" i="8"/>
  <c r="I1172" i="8"/>
  <c r="J1158" i="8"/>
  <c r="E1100" i="8"/>
  <c r="E1121" i="8"/>
  <c r="G1108" i="8"/>
  <c r="L1199" i="8"/>
  <c r="G1195" i="8"/>
  <c r="I1129" i="8"/>
  <c r="K1109" i="8"/>
  <c r="I1153" i="8"/>
  <c r="F1139" i="8"/>
  <c r="K1146" i="8"/>
  <c r="L1154" i="8"/>
  <c r="I1183" i="8"/>
  <c r="J1131" i="8"/>
  <c r="N1159" i="8"/>
  <c r="H1136" i="8"/>
  <c r="E1095" i="8"/>
  <c r="H1057" i="8"/>
  <c r="H1097" i="8"/>
  <c r="O1090" i="8"/>
  <c r="F1046" i="8"/>
  <c r="K1079" i="8"/>
  <c r="G1130" i="8"/>
  <c r="M1057" i="8"/>
  <c r="E1133" i="8"/>
  <c r="M1084" i="8"/>
  <c r="O1119" i="8"/>
  <c r="O1152" i="8"/>
  <c r="N1082" i="8"/>
  <c r="I1141" i="8"/>
  <c r="F1062" i="8"/>
  <c r="N1081" i="8"/>
  <c r="N1073" i="8"/>
  <c r="J1086" i="8"/>
  <c r="L1050" i="8"/>
  <c r="L1113" i="8"/>
  <c r="O1043" i="8"/>
  <c r="L1020" i="8"/>
  <c r="O1034" i="8"/>
  <c r="F1060" i="8"/>
  <c r="O1019" i="8"/>
  <c r="F1003" i="8"/>
  <c r="J1052" i="8"/>
  <c r="N1042" i="8"/>
  <c r="H1002" i="8"/>
  <c r="N1059" i="8"/>
  <c r="M990" i="8"/>
  <c r="J1040" i="8"/>
  <c r="M1036" i="8"/>
  <c r="J1068" i="8"/>
  <c r="N1076" i="8"/>
  <c r="G1048" i="8"/>
  <c r="M1067" i="8"/>
  <c r="H1044" i="8"/>
  <c r="H1033" i="8"/>
  <c r="J996" i="8"/>
  <c r="N1014" i="8"/>
  <c r="M964" i="8"/>
  <c r="M1027" i="8"/>
  <c r="M980" i="8"/>
  <c r="L951" i="8"/>
  <c r="F1023" i="8"/>
  <c r="F983" i="8"/>
  <c r="K1018" i="8"/>
  <c r="L957" i="8"/>
  <c r="G985" i="8"/>
  <c r="G982" i="8"/>
  <c r="O961" i="8"/>
  <c r="O969" i="8"/>
  <c r="K920" i="8"/>
  <c r="M933" i="8"/>
  <c r="N1523" i="8"/>
  <c r="L1493" i="8"/>
  <c r="I1508" i="8"/>
  <c r="G1488" i="8"/>
  <c r="H1549" i="8"/>
  <c r="F1507" i="8"/>
  <c r="G1544" i="8"/>
  <c r="J1513" i="8"/>
  <c r="K1522" i="8"/>
  <c r="K1534" i="8"/>
  <c r="M1486" i="8"/>
  <c r="O1466" i="8"/>
  <c r="M1461" i="8"/>
  <c r="E1491" i="8"/>
  <c r="M1482" i="8"/>
  <c r="F1466" i="8"/>
  <c r="E1473" i="8"/>
  <c r="K1484" i="8"/>
  <c r="H1475" i="8"/>
  <c r="O1469" i="8"/>
  <c r="K1422" i="8"/>
  <c r="K1437" i="8"/>
  <c r="G1456" i="8"/>
  <c r="H1436" i="8"/>
  <c r="J1440" i="8"/>
  <c r="F1433" i="8"/>
  <c r="M1467" i="8"/>
  <c r="N1434" i="8"/>
  <c r="O1481" i="8"/>
  <c r="O1422" i="8"/>
  <c r="N1458" i="8"/>
  <c r="M1455" i="8"/>
  <c r="K1470" i="8"/>
  <c r="F1435" i="8"/>
  <c r="K1438" i="8"/>
  <c r="J1425" i="8"/>
  <c r="E1395" i="8"/>
  <c r="F1414" i="8"/>
  <c r="G1397" i="8"/>
  <c r="H1430" i="8"/>
  <c r="G1409" i="8"/>
  <c r="K1380" i="8"/>
  <c r="J1370" i="8"/>
  <c r="N1402" i="8"/>
  <c r="E1465" i="8"/>
  <c r="K1412" i="8"/>
  <c r="I1418" i="8"/>
  <c r="E1428" i="8"/>
  <c r="L1387" i="8"/>
  <c r="O1363" i="8"/>
  <c r="G1432" i="8"/>
  <c r="G1351" i="8"/>
  <c r="K1406" i="8"/>
  <c r="M1375" i="8"/>
  <c r="H1301" i="8"/>
  <c r="F1364" i="8"/>
  <c r="H1330" i="8"/>
  <c r="K1361" i="8"/>
  <c r="H1320" i="8"/>
  <c r="K1354" i="8"/>
  <c r="L1396" i="8"/>
  <c r="L1328" i="8"/>
  <c r="L1339" i="8"/>
  <c r="L1357" i="8"/>
  <c r="L1346" i="8"/>
  <c r="K1336" i="8"/>
  <c r="G1339" i="8"/>
  <c r="O1389" i="8"/>
  <c r="E1381" i="8"/>
  <c r="L1362" i="8"/>
  <c r="E1350" i="8"/>
  <c r="L1330" i="8"/>
  <c r="I1339" i="8"/>
  <c r="L1376" i="8"/>
  <c r="H1327" i="8"/>
  <c r="G1398" i="8"/>
  <c r="N1348" i="8"/>
  <c r="M1297" i="8"/>
  <c r="O1334" i="8"/>
  <c r="J1295" i="8"/>
  <c r="J1275" i="8"/>
  <c r="K1284" i="8"/>
  <c r="E1319" i="8"/>
  <c r="I1314" i="8"/>
  <c r="I1344" i="8"/>
  <c r="I1307" i="8"/>
  <c r="F1299" i="8"/>
  <c r="N1272" i="8"/>
  <c r="H1318" i="8"/>
  <c r="L1303" i="8"/>
  <c r="H1282" i="8"/>
  <c r="H1280" i="8"/>
  <c r="G1288" i="8"/>
  <c r="M1347" i="8"/>
  <c r="L1298" i="8"/>
  <c r="H1291" i="8"/>
  <c r="E1386" i="8"/>
  <c r="F1331" i="8"/>
  <c r="K1313" i="8"/>
  <c r="J1268" i="8"/>
  <c r="H1271" i="8"/>
  <c r="E1298" i="8"/>
  <c r="H1290" i="8"/>
  <c r="H1326" i="8"/>
  <c r="M1309" i="8"/>
  <c r="O1274" i="8"/>
  <c r="K1273" i="8"/>
  <c r="J1308" i="8"/>
  <c r="G1283" i="8"/>
  <c r="G1238" i="8"/>
  <c r="K1293" i="8"/>
  <c r="J1232" i="8"/>
  <c r="I1341" i="8"/>
  <c r="E1255" i="8"/>
  <c r="K1276" i="8"/>
  <c r="I1254" i="8"/>
  <c r="F1225" i="8"/>
  <c r="K1270" i="8"/>
  <c r="I1245" i="8"/>
  <c r="F1316" i="8"/>
  <c r="H1220" i="8"/>
  <c r="N1226" i="8"/>
  <c r="G1212" i="8"/>
  <c r="F1202" i="8"/>
  <c r="N1167" i="8"/>
  <c r="F1211" i="8"/>
  <c r="H1233" i="8"/>
  <c r="I1242" i="8"/>
  <c r="M1218" i="8"/>
  <c r="F1198" i="8"/>
  <c r="H1241" i="8"/>
  <c r="L1214" i="8"/>
  <c r="F1208" i="8"/>
  <c r="N1237" i="8"/>
  <c r="M1188" i="8"/>
  <c r="K1228" i="8"/>
  <c r="H1203" i="8"/>
  <c r="O1244" i="8"/>
  <c r="L1227" i="8"/>
  <c r="E1240" i="8"/>
  <c r="K1315" i="8"/>
  <c r="E1235" i="8"/>
  <c r="G1213" i="8"/>
  <c r="F1179" i="8"/>
  <c r="I1186" i="8"/>
  <c r="J1184" i="8"/>
  <c r="N1182" i="8"/>
  <c r="O1162" i="8"/>
  <c r="I1165" i="8"/>
  <c r="O1132" i="8"/>
  <c r="N1117" i="8"/>
  <c r="K1172" i="8"/>
  <c r="N1158" i="8"/>
  <c r="E1175" i="8"/>
  <c r="F1121" i="8"/>
  <c r="L1108" i="8"/>
  <c r="H1199" i="8"/>
  <c r="H1195" i="8"/>
  <c r="N1129" i="8"/>
  <c r="L1109" i="8"/>
  <c r="F1148" i="8"/>
  <c r="N1139" i="8"/>
  <c r="L1146" i="8"/>
  <c r="F1154" i="8"/>
  <c r="J1183" i="8"/>
  <c r="M1219" i="8"/>
  <c r="O1159" i="8"/>
  <c r="F1136" i="8"/>
  <c r="I1095" i="8"/>
  <c r="I1057" i="8"/>
  <c r="I1097" i="8"/>
  <c r="F1090" i="8"/>
  <c r="N1046" i="8"/>
  <c r="L1079" i="8"/>
  <c r="O1130" i="8"/>
  <c r="M1133" i="8"/>
  <c r="E1084" i="8"/>
  <c r="K1119" i="8"/>
  <c r="I1152" i="8"/>
  <c r="L1046" i="8"/>
  <c r="F1082" i="8"/>
  <c r="J1141" i="8"/>
  <c r="N1062" i="8"/>
  <c r="E1081" i="8"/>
  <c r="H1071" i="8"/>
  <c r="G1086" i="8"/>
  <c r="E1050" i="8"/>
  <c r="H995" i="8"/>
  <c r="M1054" i="8"/>
  <c r="E1043" i="8"/>
  <c r="O1020" i="8"/>
  <c r="N1065" i="8"/>
  <c r="N1060" i="8"/>
  <c r="G1019" i="8"/>
  <c r="N1003" i="8"/>
  <c r="E1052" i="8"/>
  <c r="K1034" i="8"/>
  <c r="I995" i="8"/>
  <c r="H1059" i="8"/>
  <c r="H990" i="8"/>
  <c r="K1040" i="8"/>
  <c r="F1036" i="8"/>
  <c r="E1068" i="8"/>
  <c r="J1076" i="8"/>
  <c r="H1048" i="8"/>
  <c r="L1044" i="8"/>
  <c r="K996" i="8"/>
  <c r="J987" i="8"/>
  <c r="K964" i="8"/>
  <c r="E1027" i="8"/>
  <c r="N980" i="8"/>
  <c r="M951" i="8"/>
  <c r="H1023" i="8"/>
  <c r="N983" i="8"/>
  <c r="N999" i="8"/>
  <c r="E957" i="8"/>
  <c r="M967" i="8"/>
  <c r="O966" i="8"/>
  <c r="I917" i="8"/>
  <c r="O999" i="8"/>
  <c r="N1066" i="8"/>
  <c r="E959" i="8"/>
  <c r="G1026" i="8"/>
  <c r="N957" i="8"/>
  <c r="N948" i="8"/>
  <c r="E1017" i="8"/>
  <c r="L982" i="8"/>
  <c r="N967" i="8"/>
  <c r="L985" i="8"/>
  <c r="E950" i="8"/>
  <c r="L961" i="8"/>
  <c r="G966" i="8"/>
  <c r="L904" i="8"/>
  <c r="K883" i="8"/>
  <c r="N932" i="8"/>
  <c r="E917" i="8"/>
  <c r="G915" i="8"/>
  <c r="E970" i="8"/>
  <c r="K877" i="8"/>
  <c r="J892" i="8"/>
  <c r="G881" i="8"/>
  <c r="H933" i="8"/>
  <c r="I926" i="8"/>
  <c r="N947" i="8"/>
  <c r="O936" i="8"/>
  <c r="O988" i="8"/>
  <c r="K1022" i="8"/>
  <c r="O892" i="8"/>
  <c r="K939" i="8"/>
  <c r="I889" i="8"/>
  <c r="N859" i="8"/>
  <c r="E893" i="8"/>
  <c r="J850" i="8"/>
  <c r="K832" i="8"/>
  <c r="O861" i="8"/>
  <c r="E852" i="8"/>
  <c r="I991" i="8"/>
  <c r="K882" i="8"/>
  <c r="F805" i="8"/>
  <c r="I894" i="8"/>
  <c r="K1010" i="8"/>
  <c r="F825" i="8"/>
  <c r="E860" i="8"/>
  <c r="K805" i="8"/>
  <c r="F833" i="8"/>
  <c r="E838" i="8"/>
  <c r="H766" i="8"/>
  <c r="L782" i="8"/>
  <c r="J800" i="8"/>
  <c r="F759" i="8"/>
  <c r="H796" i="8"/>
  <c r="L914" i="8"/>
  <c r="E752" i="8"/>
  <c r="E786" i="8"/>
  <c r="N752" i="8"/>
  <c r="E827" i="8"/>
  <c r="I795" i="8"/>
  <c r="K733" i="8"/>
  <c r="L772" i="8"/>
  <c r="J755" i="8"/>
  <c r="H720" i="8"/>
  <c r="E726" i="8"/>
  <c r="M668" i="8"/>
  <c r="H701" i="8"/>
  <c r="N697" i="8"/>
  <c r="L760" i="8"/>
  <c r="H728" i="8"/>
  <c r="E686" i="8"/>
  <c r="K657" i="8"/>
  <c r="K595" i="8"/>
  <c r="F729" i="8"/>
  <c r="L734" i="8"/>
  <c r="G723" i="8"/>
  <c r="F761" i="8"/>
  <c r="J597" i="8"/>
  <c r="K563" i="8"/>
  <c r="I532" i="8"/>
  <c r="L696" i="8"/>
  <c r="G565" i="8"/>
  <c r="G662" i="8"/>
  <c r="E630" i="8"/>
  <c r="I653" i="8"/>
  <c r="O497" i="8"/>
  <c r="K463" i="8"/>
  <c r="J620" i="8"/>
  <c r="N525" i="8"/>
  <c r="H465" i="8"/>
  <c r="O536" i="8"/>
  <c r="L635" i="8"/>
  <c r="I569" i="8"/>
  <c r="E470" i="8"/>
  <c r="M588" i="8"/>
  <c r="M465" i="8"/>
  <c r="N628" i="8"/>
  <c r="M497" i="8"/>
  <c r="F466" i="8"/>
  <c r="E459" i="8"/>
  <c r="J425" i="8"/>
  <c r="M458" i="8"/>
  <c r="F557" i="8"/>
  <c r="K529" i="8"/>
  <c r="N488" i="8"/>
  <c r="F324" i="8"/>
  <c r="I492" i="8"/>
  <c r="N574" i="8"/>
  <c r="N224" i="8"/>
  <c r="F200" i="8"/>
  <c r="N333" i="8"/>
  <c r="J365" i="8"/>
  <c r="K257" i="8"/>
  <c r="H261" i="8"/>
  <c r="I294" i="8"/>
  <c r="H134" i="8"/>
  <c r="L266" i="8"/>
  <c r="M68" i="8"/>
  <c r="I299" i="8"/>
  <c r="O323" i="8"/>
  <c r="K101" i="8"/>
  <c r="O1066" i="8"/>
  <c r="H992" i="8"/>
  <c r="F959" i="8"/>
  <c r="H1026" i="8"/>
  <c r="O957" i="8"/>
  <c r="E948" i="8"/>
  <c r="M1017" i="8"/>
  <c r="O982" i="8"/>
  <c r="M955" i="8"/>
  <c r="E976" i="8"/>
  <c r="M950" i="8"/>
  <c r="M961" i="8"/>
  <c r="H966" i="8"/>
  <c r="L883" i="8"/>
  <c r="F932" i="8"/>
  <c r="G917" i="8"/>
  <c r="O915" i="8"/>
  <c r="H970" i="8"/>
  <c r="L877" i="8"/>
  <c r="I881" i="8"/>
  <c r="H881" i="8"/>
  <c r="J933" i="8"/>
  <c r="J926" i="8"/>
  <c r="E947" i="8"/>
  <c r="I936" i="8"/>
  <c r="H988" i="8"/>
  <c r="I925" i="8"/>
  <c r="I892" i="8"/>
  <c r="J889" i="8"/>
  <c r="E859" i="8"/>
  <c r="F893" i="8"/>
  <c r="K850" i="8"/>
  <c r="J789" i="8"/>
  <c r="E861" i="8"/>
  <c r="M852" i="8"/>
  <c r="K804" i="8"/>
  <c r="J991" i="8"/>
  <c r="I882" i="8"/>
  <c r="N805" i="8"/>
  <c r="J894" i="8"/>
  <c r="O1010" i="8"/>
  <c r="N825" i="8"/>
  <c r="M860" i="8"/>
  <c r="N833" i="8"/>
  <c r="G838" i="8"/>
  <c r="I766" i="8"/>
  <c r="M782" i="8"/>
  <c r="F828" i="8"/>
  <c r="K800" i="8"/>
  <c r="N759" i="8"/>
  <c r="I796" i="8"/>
  <c r="G786" i="8"/>
  <c r="G752" i="8"/>
  <c r="F827" i="8"/>
  <c r="J795" i="8"/>
  <c r="L733" i="8"/>
  <c r="N772" i="8"/>
  <c r="K755" i="8"/>
  <c r="I720" i="8"/>
  <c r="H726" i="8"/>
  <c r="G668" i="8"/>
  <c r="K697" i="8"/>
  <c r="G697" i="8"/>
  <c r="M760" i="8"/>
  <c r="I728" i="8"/>
  <c r="M686" i="8"/>
  <c r="K668" i="8"/>
  <c r="F657" i="8"/>
  <c r="J595" i="8"/>
  <c r="L595" i="8"/>
  <c r="N729" i="8"/>
  <c r="M734" i="8"/>
  <c r="O723" i="8"/>
  <c r="N761" i="8"/>
  <c r="K597" i="8"/>
  <c r="L563" i="8"/>
  <c r="L532" i="8"/>
  <c r="K696" i="8"/>
  <c r="J565" i="8"/>
  <c r="E531" i="8"/>
  <c r="M662" i="8"/>
  <c r="N630" i="8"/>
  <c r="L653" i="8"/>
  <c r="E497" i="8"/>
  <c r="L463" i="8"/>
  <c r="J541" i="8"/>
  <c r="G525" i="8"/>
  <c r="I465" i="8"/>
  <c r="J569" i="8"/>
  <c r="M470" i="8"/>
  <c r="G591" i="8"/>
  <c r="N466" i="8"/>
  <c r="M459" i="8"/>
  <c r="N425" i="8"/>
  <c r="F458" i="8"/>
  <c r="H557" i="8"/>
  <c r="F398" i="8"/>
  <c r="F529" i="8"/>
  <c r="H488" i="8"/>
  <c r="E393" i="8"/>
  <c r="N324" i="8"/>
  <c r="N492" i="8"/>
  <c r="O574" i="8"/>
  <c r="G224" i="8"/>
  <c r="N200" i="8"/>
  <c r="H333" i="8"/>
  <c r="L257" i="8"/>
  <c r="E291" i="8"/>
  <c r="K167" i="8"/>
  <c r="O134" i="8"/>
  <c r="E266" i="8"/>
  <c r="F68" i="8"/>
  <c r="G35" i="8"/>
  <c r="J299" i="8"/>
  <c r="H323" i="8"/>
  <c r="L101" i="8"/>
  <c r="O947" i="8"/>
  <c r="J936" i="8"/>
  <c r="L885" i="8"/>
  <c r="K988" i="8"/>
  <c r="M883" i="8"/>
  <c r="K925" i="8"/>
  <c r="K892" i="8"/>
  <c r="L889" i="8"/>
  <c r="F859" i="8"/>
  <c r="H893" i="8"/>
  <c r="M850" i="8"/>
  <c r="F861" i="8"/>
  <c r="I837" i="8"/>
  <c r="L804" i="8"/>
  <c r="K991" i="8"/>
  <c r="L882" i="8"/>
  <c r="I805" i="8"/>
  <c r="L894" i="8"/>
  <c r="H1010" i="8"/>
  <c r="J825" i="8"/>
  <c r="K865" i="8"/>
  <c r="G860" i="8"/>
  <c r="F789" i="8"/>
  <c r="O822" i="8"/>
  <c r="H838" i="8"/>
  <c r="O782" i="8"/>
  <c r="G828" i="8"/>
  <c r="F800" i="8"/>
  <c r="H759" i="8"/>
  <c r="L796" i="8"/>
  <c r="O786" i="8"/>
  <c r="O752" i="8"/>
  <c r="I827" i="8"/>
  <c r="L795" i="8"/>
  <c r="E733" i="8"/>
  <c r="O772" i="8"/>
  <c r="L755" i="8"/>
  <c r="J720" i="8"/>
  <c r="I726" i="8"/>
  <c r="O668" i="8"/>
  <c r="O697" i="8"/>
  <c r="E760" i="8"/>
  <c r="J728" i="8"/>
  <c r="F686" i="8"/>
  <c r="N657" i="8"/>
  <c r="E595" i="8"/>
  <c r="G729" i="8"/>
  <c r="O734" i="8"/>
  <c r="L597" i="8"/>
  <c r="F563" i="8"/>
  <c r="E532" i="8"/>
  <c r="E696" i="8"/>
  <c r="N565" i="8"/>
  <c r="M531" i="8"/>
  <c r="O662" i="8"/>
  <c r="H630" i="8"/>
  <c r="E524" i="8"/>
  <c r="I531" i="8"/>
  <c r="F497" i="8"/>
  <c r="M541" i="8"/>
  <c r="O525" i="8"/>
  <c r="E536" i="8"/>
  <c r="K508" i="8"/>
  <c r="K569" i="8"/>
  <c r="F470" i="8"/>
  <c r="H591" i="8"/>
  <c r="G466" i="8"/>
  <c r="I459" i="8"/>
  <c r="G425" i="8"/>
  <c r="N458" i="8"/>
  <c r="K557" i="8"/>
  <c r="N398" i="8"/>
  <c r="N529" i="8"/>
  <c r="I488" i="8"/>
  <c r="I393" i="8"/>
  <c r="I324" i="8"/>
  <c r="N290" i="8"/>
  <c r="G492" i="8"/>
  <c r="I574" i="8"/>
  <c r="O224" i="8"/>
  <c r="G200" i="8"/>
  <c r="I333" i="8"/>
  <c r="F332" i="8"/>
  <c r="F257" i="8"/>
  <c r="G261" i="8"/>
  <c r="F291" i="8"/>
  <c r="F356" i="8"/>
  <c r="K134" i="8"/>
  <c r="M266" i="8"/>
  <c r="N68" i="8"/>
  <c r="O35" i="8"/>
  <c r="L299" i="8"/>
  <c r="I323" i="8"/>
  <c r="E101" i="8"/>
  <c r="O933" i="8"/>
  <c r="G885" i="8"/>
  <c r="F947" i="8"/>
  <c r="K936" i="8"/>
  <c r="N885" i="8"/>
  <c r="L988" i="8"/>
  <c r="I877" i="8"/>
  <c r="M925" i="8"/>
  <c r="H883" i="8"/>
  <c r="N889" i="8"/>
  <c r="H859" i="8"/>
  <c r="J893" i="8"/>
  <c r="L850" i="8"/>
  <c r="G861" i="8"/>
  <c r="M829" i="8"/>
  <c r="F903" i="8"/>
  <c r="E804" i="8"/>
  <c r="H928" i="8"/>
  <c r="M882" i="8"/>
  <c r="L805" i="8"/>
  <c r="J837" i="8"/>
  <c r="F894" i="8"/>
  <c r="J1010" i="8"/>
  <c r="M865" i="8"/>
  <c r="O860" i="8"/>
  <c r="N789" i="8"/>
  <c r="E822" i="8"/>
  <c r="I838" i="8"/>
  <c r="K759" i="8"/>
  <c r="M752" i="8"/>
  <c r="E910" i="8"/>
  <c r="F782" i="8"/>
  <c r="H828" i="8"/>
  <c r="N800" i="8"/>
  <c r="I759" i="8"/>
  <c r="E796" i="8"/>
  <c r="J733" i="8"/>
  <c r="F788" i="8"/>
  <c r="H786" i="8"/>
  <c r="H752" i="8"/>
  <c r="L827" i="8"/>
  <c r="N795" i="8"/>
  <c r="M733" i="8"/>
  <c r="E772" i="8"/>
  <c r="F755" i="8"/>
  <c r="G727" i="8"/>
  <c r="K720" i="8"/>
  <c r="K726" i="8"/>
  <c r="H668" i="8"/>
  <c r="H697" i="8"/>
  <c r="E739" i="8"/>
  <c r="M728" i="8"/>
  <c r="N686" i="8"/>
  <c r="H654" i="8"/>
  <c r="M595" i="8"/>
  <c r="O729" i="8"/>
  <c r="M640" i="8"/>
  <c r="K598" i="8"/>
  <c r="F734" i="8"/>
  <c r="E597" i="8"/>
  <c r="N563" i="8"/>
  <c r="M532" i="8"/>
  <c r="M696" i="8"/>
  <c r="H565" i="8"/>
  <c r="F531" i="8"/>
  <c r="F662" i="8"/>
  <c r="K630" i="8"/>
  <c r="M524" i="8"/>
  <c r="G497" i="8"/>
  <c r="E541" i="8"/>
  <c r="H525" i="8"/>
  <c r="G555" i="8"/>
  <c r="I498" i="8"/>
  <c r="E569" i="8"/>
  <c r="N470" i="8"/>
  <c r="N465" i="8"/>
  <c r="N588" i="8"/>
  <c r="O591" i="8"/>
  <c r="O466" i="8"/>
  <c r="J459" i="8"/>
  <c r="O425" i="8"/>
  <c r="G458" i="8"/>
  <c r="L557" i="8"/>
  <c r="G398" i="8"/>
  <c r="J488" i="8"/>
  <c r="M393" i="8"/>
  <c r="L324" i="8"/>
  <c r="I290" i="8"/>
  <c r="O492" i="8"/>
  <c r="I366" i="8"/>
  <c r="H224" i="8"/>
  <c r="O200" i="8"/>
  <c r="M257" i="8"/>
  <c r="J333" i="8"/>
  <c r="G332" i="8"/>
  <c r="N257" i="8"/>
  <c r="H291" i="8"/>
  <c r="G356" i="8"/>
  <c r="E134" i="8"/>
  <c r="G68" i="8"/>
  <c r="F35" i="8"/>
  <c r="M299" i="8"/>
  <c r="J323" i="8"/>
  <c r="M101" i="8"/>
  <c r="E1018" i="8"/>
  <c r="M986" i="8"/>
  <c r="H1066" i="8"/>
  <c r="O992" i="8"/>
  <c r="J959" i="8"/>
  <c r="N1026" i="8"/>
  <c r="L950" i="8"/>
  <c r="I948" i="8"/>
  <c r="J998" i="8"/>
  <c r="H982" i="8"/>
  <c r="G955" i="8"/>
  <c r="K976" i="8"/>
  <c r="M997" i="8"/>
  <c r="E969" i="8"/>
  <c r="M966" i="8"/>
  <c r="E883" i="8"/>
  <c r="L932" i="8"/>
  <c r="H871" i="8"/>
  <c r="M917" i="8"/>
  <c r="H904" i="8"/>
  <c r="J970" i="8"/>
  <c r="E965" i="8"/>
  <c r="F933" i="8"/>
  <c r="N877" i="8"/>
  <c r="I947" i="8"/>
  <c r="I906" i="8"/>
  <c r="O885" i="8"/>
  <c r="F943" i="8"/>
  <c r="N925" i="8"/>
  <c r="O889" i="8"/>
  <c r="J859" i="8"/>
  <c r="K893" i="8"/>
  <c r="F850" i="8"/>
  <c r="I861" i="8"/>
  <c r="G821" i="8"/>
  <c r="G903" i="8"/>
  <c r="M804" i="8"/>
  <c r="L928" i="8"/>
  <c r="O882" i="8"/>
  <c r="M837" i="8"/>
  <c r="N894" i="8"/>
  <c r="M1010" i="8"/>
  <c r="N916" i="8"/>
  <c r="O865" i="8"/>
  <c r="H860" i="8"/>
  <c r="L789" i="8"/>
  <c r="G822" i="8"/>
  <c r="K838" i="8"/>
  <c r="G756" i="8"/>
  <c r="H751" i="8"/>
  <c r="M910" i="8"/>
  <c r="N782" i="8"/>
  <c r="J828" i="8"/>
  <c r="G800" i="8"/>
  <c r="J759" i="8"/>
  <c r="M796" i="8"/>
  <c r="G788" i="8"/>
  <c r="K786" i="8"/>
  <c r="I752" i="8"/>
  <c r="J827" i="8"/>
  <c r="E795" i="8"/>
  <c r="G733" i="8"/>
  <c r="M772" i="8"/>
  <c r="N755" i="8"/>
  <c r="F668" i="8"/>
  <c r="J727" i="8"/>
  <c r="G720" i="8"/>
  <c r="L726" i="8"/>
  <c r="I668" i="8"/>
  <c r="F695" i="8"/>
  <c r="I697" i="8"/>
  <c r="I739" i="8"/>
  <c r="N728" i="8"/>
  <c r="G686" i="8"/>
  <c r="I654" i="8"/>
  <c r="F595" i="8"/>
  <c r="N640" i="8"/>
  <c r="E598" i="8"/>
  <c r="N734" i="8"/>
  <c r="F663" i="8"/>
  <c r="M597" i="8"/>
  <c r="H563" i="8"/>
  <c r="G524" i="8"/>
  <c r="F696" i="8"/>
  <c r="G607" i="8"/>
  <c r="I565" i="8"/>
  <c r="N531" i="8"/>
  <c r="N662" i="8"/>
  <c r="H524" i="8"/>
  <c r="H497" i="8"/>
  <c r="H431" i="8"/>
  <c r="F541" i="8"/>
  <c r="I525" i="8"/>
  <c r="K555" i="8"/>
  <c r="M498" i="8"/>
  <c r="M569" i="8"/>
  <c r="E463" i="8"/>
  <c r="O588" i="8"/>
  <c r="I591" i="8"/>
  <c r="I466" i="8"/>
  <c r="H425" i="8"/>
  <c r="O458" i="8"/>
  <c r="N557" i="8"/>
  <c r="O398" i="8"/>
  <c r="K488" i="8"/>
  <c r="N393" i="8"/>
  <c r="L290" i="8"/>
  <c r="H492" i="8"/>
  <c r="L366" i="8"/>
  <c r="I224" i="8"/>
  <c r="K333" i="8"/>
  <c r="I332" i="8"/>
  <c r="N291" i="8"/>
  <c r="I291" i="8"/>
  <c r="K356" i="8"/>
  <c r="M134" i="8"/>
  <c r="O68" i="8"/>
  <c r="H35" i="8"/>
  <c r="G299" i="8"/>
  <c r="F101" i="8"/>
  <c r="M1018" i="8"/>
  <c r="J986" i="8"/>
  <c r="I1066" i="8"/>
  <c r="I992" i="8"/>
  <c r="F1032" i="8"/>
  <c r="O1026" i="8"/>
  <c r="L948" i="8"/>
  <c r="K998" i="8"/>
  <c r="I982" i="8"/>
  <c r="J955" i="8"/>
  <c r="M976" i="8"/>
  <c r="F997" i="8"/>
  <c r="H969" i="8"/>
  <c r="H960" i="8"/>
  <c r="F929" i="8"/>
  <c r="N881" i="8"/>
  <c r="E932" i="8"/>
  <c r="F917" i="8"/>
  <c r="J904" i="8"/>
  <c r="K970" i="8"/>
  <c r="G937" i="8"/>
  <c r="H965" i="8"/>
  <c r="N933" i="8"/>
  <c r="J947" i="8"/>
  <c r="K906" i="8"/>
  <c r="E885" i="8"/>
  <c r="I943" i="8"/>
  <c r="E925" i="8"/>
  <c r="E889" i="8"/>
  <c r="K859" i="8"/>
  <c r="L893" i="8"/>
  <c r="N850" i="8"/>
  <c r="K861" i="8"/>
  <c r="J821" i="8"/>
  <c r="N903" i="8"/>
  <c r="H804" i="8"/>
  <c r="I928" i="8"/>
  <c r="F882" i="8"/>
  <c r="N837" i="8"/>
  <c r="H894" i="8"/>
  <c r="N1010" i="8"/>
  <c r="F916" i="8"/>
  <c r="E865" i="8"/>
  <c r="I860" i="8"/>
  <c r="H822" i="8"/>
  <c r="L838" i="8"/>
  <c r="I751" i="8"/>
  <c r="O910" i="8"/>
  <c r="I782" i="8"/>
  <c r="K828" i="8"/>
  <c r="O800" i="8"/>
  <c r="M792" i="8"/>
  <c r="K788" i="8"/>
  <c r="L786" i="8"/>
  <c r="M827" i="8"/>
  <c r="M795" i="8"/>
  <c r="O733" i="8"/>
  <c r="H772" i="8"/>
  <c r="G755" i="8"/>
  <c r="K727" i="8"/>
  <c r="O720" i="8"/>
  <c r="M726" i="8"/>
  <c r="J668" i="8"/>
  <c r="J697" i="8"/>
  <c r="M739" i="8"/>
  <c r="G728" i="8"/>
  <c r="O686" i="8"/>
  <c r="J654" i="8"/>
  <c r="N595" i="8"/>
  <c r="E640" i="8"/>
  <c r="M598" i="8"/>
  <c r="J734" i="8"/>
  <c r="L598" i="8"/>
  <c r="H663" i="8"/>
  <c r="F590" i="8"/>
  <c r="E590" i="8"/>
  <c r="E558" i="8"/>
  <c r="N696" i="8"/>
  <c r="H607" i="8"/>
  <c r="K565" i="8"/>
  <c r="G531" i="8"/>
  <c r="H662" i="8"/>
  <c r="I524" i="8"/>
  <c r="K497" i="8"/>
  <c r="N541" i="8"/>
  <c r="L525" i="8"/>
  <c r="M555" i="8"/>
  <c r="N498" i="8"/>
  <c r="F569" i="8"/>
  <c r="E588" i="8"/>
  <c r="J591" i="8"/>
  <c r="M466" i="8"/>
  <c r="J466" i="8"/>
  <c r="L425" i="8"/>
  <c r="H458" i="8"/>
  <c r="E557" i="8"/>
  <c r="H398" i="8"/>
  <c r="J393" i="8"/>
  <c r="G290" i="8"/>
  <c r="J492" i="8"/>
  <c r="M366" i="8"/>
  <c r="J224" i="8"/>
  <c r="K332" i="8"/>
  <c r="J291" i="8"/>
  <c r="L356" i="8"/>
  <c r="F134" i="8"/>
  <c r="I35" i="8"/>
  <c r="O299" i="8"/>
  <c r="N101" i="8"/>
  <c r="H1018" i="8"/>
  <c r="K986" i="8"/>
  <c r="J1066" i="8"/>
  <c r="J992" i="8"/>
  <c r="G1032" i="8"/>
  <c r="I1026" i="8"/>
  <c r="H948" i="8"/>
  <c r="O998" i="8"/>
  <c r="E982" i="8"/>
  <c r="K955" i="8"/>
  <c r="O976" i="8"/>
  <c r="N997" i="8"/>
  <c r="I969" i="8"/>
  <c r="L960" i="8"/>
  <c r="G929" i="8"/>
  <c r="F877" i="8"/>
  <c r="M932" i="8"/>
  <c r="H920" i="8"/>
  <c r="N917" i="8"/>
  <c r="K904" i="8"/>
  <c r="G970" i="8"/>
  <c r="I937" i="8"/>
  <c r="L965" i="8"/>
  <c r="I933" i="8"/>
  <c r="K947" i="8"/>
  <c r="M906" i="8"/>
  <c r="F885" i="8"/>
  <c r="K943" i="8"/>
  <c r="F1022" i="8"/>
  <c r="J925" i="8"/>
  <c r="L939" i="8"/>
  <c r="M889" i="8"/>
  <c r="M859" i="8"/>
  <c r="M893" i="8"/>
  <c r="H850" i="8"/>
  <c r="H861" i="8"/>
  <c r="K821" i="8"/>
  <c r="O903" i="8"/>
  <c r="I804" i="8"/>
  <c r="J928" i="8"/>
  <c r="N882" i="8"/>
  <c r="G837" i="8"/>
  <c r="E1010" i="8"/>
  <c r="J916" i="8"/>
  <c r="G865" i="8"/>
  <c r="J848" i="8"/>
  <c r="I822" i="8"/>
  <c r="M838" i="8"/>
  <c r="E782" i="8"/>
  <c r="L819" i="8"/>
  <c r="J751" i="8"/>
  <c r="G910" i="8"/>
  <c r="J782" i="8"/>
  <c r="L828" i="8"/>
  <c r="F786" i="8"/>
  <c r="E914" i="8"/>
  <c r="E792" i="8"/>
  <c r="N788" i="8"/>
  <c r="N827" i="8"/>
  <c r="K749" i="8"/>
  <c r="H795" i="8"/>
  <c r="H733" i="8"/>
  <c r="I772" i="8"/>
  <c r="O755" i="8"/>
  <c r="L720" i="8"/>
  <c r="O727" i="8"/>
  <c r="M701" i="8"/>
  <c r="J726" i="8"/>
  <c r="H689" i="8"/>
  <c r="K664" i="8"/>
  <c r="J739" i="8"/>
  <c r="O728" i="8"/>
  <c r="H673" i="8"/>
  <c r="L654" i="8"/>
  <c r="H640" i="8"/>
  <c r="M631" i="8"/>
  <c r="G595" i="8"/>
  <c r="O640" i="8"/>
  <c r="H598" i="8"/>
  <c r="K734" i="8"/>
  <c r="K663" i="8"/>
  <c r="H590" i="8"/>
  <c r="O558" i="8"/>
  <c r="G696" i="8"/>
  <c r="O607" i="8"/>
  <c r="L565" i="8"/>
  <c r="O531" i="8"/>
  <c r="I662" i="8"/>
  <c r="H620" i="8"/>
  <c r="G541" i="8"/>
  <c r="N555" i="8"/>
  <c r="G635" i="8"/>
  <c r="E498" i="8"/>
  <c r="N569" i="8"/>
  <c r="F588" i="8"/>
  <c r="G628" i="8"/>
  <c r="K591" i="8"/>
  <c r="K466" i="8"/>
  <c r="E425" i="8"/>
  <c r="M557" i="8"/>
  <c r="I398" i="8"/>
  <c r="K393" i="8"/>
  <c r="O290" i="8"/>
  <c r="K492" i="8"/>
  <c r="N366" i="8"/>
  <c r="H290" i="8"/>
  <c r="K224" i="8"/>
  <c r="G167" i="8"/>
  <c r="L233" i="8"/>
  <c r="H365" i="8"/>
  <c r="N332" i="8"/>
  <c r="J294" i="8"/>
  <c r="L291" i="8"/>
  <c r="M356" i="8"/>
  <c r="N134" i="8"/>
  <c r="J35" i="8"/>
  <c r="K299" i="8"/>
  <c r="G101" i="8"/>
  <c r="N954" i="8"/>
  <c r="I1018" i="8"/>
  <c r="F986" i="8"/>
  <c r="E992" i="8"/>
  <c r="I1032" i="8"/>
  <c r="L1026" i="8"/>
  <c r="N985" i="8"/>
  <c r="H998" i="8"/>
  <c r="M982" i="8"/>
  <c r="H955" i="8"/>
  <c r="I976" i="8"/>
  <c r="G997" i="8"/>
  <c r="L969" i="8"/>
  <c r="M960" i="8"/>
  <c r="K929" i="8"/>
  <c r="G932" i="8"/>
  <c r="E920" i="8"/>
  <c r="K917" i="8"/>
  <c r="E904" i="8"/>
  <c r="O970" i="8"/>
  <c r="L937" i="8"/>
  <c r="O965" i="8"/>
  <c r="K933" i="8"/>
  <c r="G947" i="8"/>
  <c r="M947" i="8"/>
  <c r="J906" i="8"/>
  <c r="K885" i="8"/>
  <c r="L943" i="8"/>
  <c r="L1022" i="8"/>
  <c r="G925" i="8"/>
  <c r="N939" i="8"/>
  <c r="O862" i="8"/>
  <c r="G859" i="8"/>
  <c r="G893" i="8"/>
  <c r="J861" i="8"/>
  <c r="E821" i="8"/>
  <c r="E903" i="8"/>
  <c r="K928" i="8"/>
  <c r="H882" i="8"/>
  <c r="L837" i="8"/>
  <c r="N829" i="8"/>
  <c r="I1010" i="8"/>
  <c r="L916" i="8"/>
  <c r="H865" i="8"/>
  <c r="L848" i="8"/>
  <c r="H862" i="8"/>
  <c r="K822" i="8"/>
  <c r="O838" i="8"/>
  <c r="G751" i="8"/>
  <c r="E819" i="8"/>
  <c r="L751" i="8"/>
  <c r="I910" i="8"/>
  <c r="E756" i="8"/>
  <c r="M786" i="8"/>
  <c r="N828" i="8"/>
  <c r="O914" i="8"/>
  <c r="H792" i="8"/>
  <c r="O788" i="8"/>
  <c r="H827" i="8"/>
  <c r="L749" i="8"/>
  <c r="K795" i="8"/>
  <c r="I733" i="8"/>
  <c r="H755" i="8"/>
  <c r="L727" i="8"/>
  <c r="N695" i="8"/>
  <c r="F726" i="8"/>
  <c r="I689" i="8"/>
  <c r="G695" i="8"/>
  <c r="E664" i="8"/>
  <c r="K739" i="8"/>
  <c r="K728" i="8"/>
  <c r="I673" i="8"/>
  <c r="E654" i="8"/>
  <c r="M623" i="8"/>
  <c r="N631" i="8"/>
  <c r="O595" i="8"/>
  <c r="F640" i="8"/>
  <c r="M723" i="8"/>
  <c r="I761" i="8"/>
  <c r="N663" i="8"/>
  <c r="J590" i="8"/>
  <c r="G558" i="8"/>
  <c r="O696" i="8"/>
  <c r="I607" i="8"/>
  <c r="E565" i="8"/>
  <c r="H531" i="8"/>
  <c r="J662" i="8"/>
  <c r="M562" i="8"/>
  <c r="G653" i="8"/>
  <c r="I620" i="8"/>
  <c r="O541" i="8"/>
  <c r="H491" i="8"/>
  <c r="E555" i="8"/>
  <c r="H536" i="8"/>
  <c r="M635" i="8"/>
  <c r="L498" i="8"/>
  <c r="G569" i="8"/>
  <c r="G508" i="8"/>
  <c r="G588" i="8"/>
  <c r="L628" i="8"/>
  <c r="L591" i="8"/>
  <c r="L466" i="8"/>
  <c r="M425" i="8"/>
  <c r="G557" i="8"/>
  <c r="K398" i="8"/>
  <c r="L393" i="8"/>
  <c r="E290" i="8"/>
  <c r="L492" i="8"/>
  <c r="E366" i="8"/>
  <c r="L224" i="8"/>
  <c r="O167" i="8"/>
  <c r="E233" i="8"/>
  <c r="K365" i="8"/>
  <c r="O332" i="8"/>
  <c r="L294" i="8"/>
  <c r="M291" i="8"/>
  <c r="O356" i="8"/>
  <c r="I134" i="8"/>
  <c r="K35" i="8"/>
  <c r="F299" i="8"/>
  <c r="O101" i="8"/>
  <c r="E954" i="8"/>
  <c r="J999" i="8"/>
  <c r="N986" i="8"/>
  <c r="M992" i="8"/>
  <c r="J1032" i="8"/>
  <c r="E1026" i="8"/>
  <c r="J982" i="8"/>
  <c r="F1017" i="8"/>
  <c r="I998" i="8"/>
  <c r="H967" i="8"/>
  <c r="O985" i="8"/>
  <c r="J976" i="8"/>
  <c r="O997" i="8"/>
  <c r="M969" i="8"/>
  <c r="O960" i="8"/>
  <c r="M929" i="8"/>
  <c r="L915" i="8"/>
  <c r="O932" i="8"/>
  <c r="M920" i="8"/>
  <c r="L917" i="8"/>
  <c r="M904" i="8"/>
  <c r="J937" i="8"/>
  <c r="O937" i="8"/>
  <c r="M965" i="8"/>
  <c r="L933" i="8"/>
  <c r="L947" i="8"/>
  <c r="L906" i="8"/>
  <c r="I871" i="8"/>
  <c r="M943" i="8"/>
  <c r="H1022" i="8"/>
  <c r="O925" i="8"/>
  <c r="O939" i="8"/>
  <c r="G862" i="8"/>
  <c r="O859" i="8"/>
  <c r="O893" i="8"/>
  <c r="F832" i="8"/>
  <c r="L861" i="8"/>
  <c r="L852" i="8"/>
  <c r="O821" i="8"/>
  <c r="I903" i="8"/>
  <c r="N991" i="8"/>
  <c r="E928" i="8"/>
  <c r="J882" i="8"/>
  <c r="H837" i="8"/>
  <c r="F829" i="8"/>
  <c r="L1010" i="8"/>
  <c r="K916" i="8"/>
  <c r="J865" i="8"/>
  <c r="M848" i="8"/>
  <c r="L833" i="8"/>
  <c r="L822" i="8"/>
  <c r="F838" i="8"/>
  <c r="F819" i="8"/>
  <c r="E751" i="8"/>
  <c r="J910" i="8"/>
  <c r="M756" i="8"/>
  <c r="O828" i="8"/>
  <c r="G914" i="8"/>
  <c r="I792" i="8"/>
  <c r="L788" i="8"/>
  <c r="K827" i="8"/>
  <c r="E749" i="8"/>
  <c r="E727" i="8"/>
  <c r="N726" i="8"/>
  <c r="J689" i="8"/>
  <c r="N701" i="8"/>
  <c r="O695" i="8"/>
  <c r="M664" i="8"/>
  <c r="F760" i="8"/>
  <c r="L739" i="8"/>
  <c r="L728" i="8"/>
  <c r="J673" i="8"/>
  <c r="M654" i="8"/>
  <c r="E623" i="8"/>
  <c r="E631" i="8"/>
  <c r="H595" i="8"/>
  <c r="G640" i="8"/>
  <c r="E723" i="8"/>
  <c r="M761" i="8"/>
  <c r="G663" i="8"/>
  <c r="K590" i="8"/>
  <c r="J558" i="8"/>
  <c r="H696" i="8"/>
  <c r="J607" i="8"/>
  <c r="M565" i="8"/>
  <c r="K531" i="8"/>
  <c r="K662" i="8"/>
  <c r="N562" i="8"/>
  <c r="H653" i="8"/>
  <c r="E620" i="8"/>
  <c r="H541" i="8"/>
  <c r="O555" i="8"/>
  <c r="I536" i="8"/>
  <c r="J635" i="8"/>
  <c r="G498" i="8"/>
  <c r="O569" i="8"/>
  <c r="J508" i="8"/>
  <c r="H588" i="8"/>
  <c r="O628" i="8"/>
  <c r="E591" i="8"/>
  <c r="O557" i="8"/>
  <c r="L398" i="8"/>
  <c r="E529" i="8"/>
  <c r="G393" i="8"/>
  <c r="E492" i="8"/>
  <c r="F366" i="8"/>
  <c r="J574" i="8"/>
  <c r="H167" i="8"/>
  <c r="M233" i="8"/>
  <c r="O365" i="8"/>
  <c r="J332" i="8"/>
  <c r="M294" i="8"/>
  <c r="K291" i="8"/>
  <c r="E356" i="8"/>
  <c r="J134" i="8"/>
  <c r="F266" i="8"/>
  <c r="N35" i="8"/>
  <c r="N299" i="8"/>
  <c r="H101" i="8"/>
  <c r="K954" i="8"/>
  <c r="K999" i="8"/>
  <c r="G986" i="8"/>
  <c r="F992" i="8"/>
  <c r="N1032" i="8"/>
  <c r="M1026" i="8"/>
  <c r="K1017" i="8"/>
  <c r="L998" i="8"/>
  <c r="I967" i="8"/>
  <c r="E985" i="8"/>
  <c r="F976" i="8"/>
  <c r="H997" i="8"/>
  <c r="J969" i="8"/>
  <c r="E960" i="8"/>
  <c r="N929" i="8"/>
  <c r="H932" i="8"/>
  <c r="F920" i="8"/>
  <c r="E915" i="8"/>
  <c r="G904" i="8"/>
  <c r="H937" i="8"/>
  <c r="N965" i="8"/>
  <c r="G926" i="8"/>
  <c r="H936" i="8"/>
  <c r="F906" i="8"/>
  <c r="K871" i="8"/>
  <c r="F988" i="8"/>
  <c r="N943" i="8"/>
  <c r="I1022" i="8"/>
  <c r="H925" i="8"/>
  <c r="F939" i="8"/>
  <c r="I862" i="8"/>
  <c r="O837" i="8"/>
  <c r="H852" i="8"/>
  <c r="N852" i="8"/>
  <c r="L821" i="8"/>
  <c r="J903" i="8"/>
  <c r="E991" i="8"/>
  <c r="M928" i="8"/>
  <c r="E829" i="8"/>
  <c r="G829" i="8"/>
  <c r="E916" i="8"/>
  <c r="E825" i="8"/>
  <c r="L865" i="8"/>
  <c r="N848" i="8"/>
  <c r="M833" i="8"/>
  <c r="F822" i="8"/>
  <c r="N838" i="8"/>
  <c r="F772" i="8"/>
  <c r="I819" i="8"/>
  <c r="M751" i="8"/>
  <c r="K910" i="8"/>
  <c r="H756" i="8"/>
  <c r="J752" i="8"/>
  <c r="E828" i="8"/>
  <c r="I914" i="8"/>
  <c r="L792" i="8"/>
  <c r="E788" i="8"/>
  <c r="G827" i="8"/>
  <c r="M749" i="8"/>
  <c r="H686" i="8"/>
  <c r="M727" i="8"/>
  <c r="G726" i="8"/>
  <c r="K689" i="8"/>
  <c r="E701" i="8"/>
  <c r="H695" i="8"/>
  <c r="F664" i="8"/>
  <c r="H760" i="8"/>
  <c r="F739" i="8"/>
  <c r="K673" i="8"/>
  <c r="F654" i="8"/>
  <c r="N623" i="8"/>
  <c r="O631" i="8"/>
  <c r="H729" i="8"/>
  <c r="I640" i="8"/>
  <c r="H723" i="8"/>
  <c r="J761" i="8"/>
  <c r="O663" i="8"/>
  <c r="M590" i="8"/>
  <c r="K558" i="8"/>
  <c r="K607" i="8"/>
  <c r="L562" i="8"/>
  <c r="F630" i="8"/>
  <c r="O562" i="8"/>
  <c r="J653" i="8"/>
  <c r="O470" i="8"/>
  <c r="F620" i="8"/>
  <c r="I541" i="8"/>
  <c r="F555" i="8"/>
  <c r="J536" i="8"/>
  <c r="F635" i="8"/>
  <c r="O498" i="8"/>
  <c r="N508" i="8"/>
  <c r="I588" i="8"/>
  <c r="H628" i="8"/>
  <c r="M591" i="8"/>
  <c r="F459" i="8"/>
  <c r="I557" i="8"/>
  <c r="G529" i="8"/>
  <c r="O393" i="8"/>
  <c r="M492" i="8"/>
  <c r="G366" i="8"/>
  <c r="E574" i="8"/>
  <c r="I167" i="8"/>
  <c r="I233" i="8"/>
  <c r="F233" i="8"/>
  <c r="G365" i="8"/>
  <c r="L332" i="8"/>
  <c r="J261" i="8"/>
  <c r="L167" i="8"/>
  <c r="O294" i="8"/>
  <c r="G291" i="8"/>
  <c r="H356" i="8"/>
  <c r="N266" i="8"/>
  <c r="L35" i="8"/>
  <c r="F323" i="8"/>
  <c r="J101" i="8"/>
  <c r="I101" i="8"/>
  <c r="L999" i="8"/>
  <c r="O986" i="8"/>
  <c r="N992" i="8"/>
  <c r="H1032" i="8"/>
  <c r="N982" i="8"/>
  <c r="N969" i="8"/>
  <c r="G1017" i="8"/>
  <c r="E998" i="8"/>
  <c r="H950" i="8"/>
  <c r="J967" i="8"/>
  <c r="F985" i="8"/>
  <c r="N976" i="8"/>
  <c r="I997" i="8"/>
  <c r="K969" i="8"/>
  <c r="I960" i="8"/>
  <c r="O929" i="8"/>
  <c r="M885" i="8"/>
  <c r="I932" i="8"/>
  <c r="N920" i="8"/>
  <c r="H915" i="8"/>
  <c r="O904" i="8"/>
  <c r="K937" i="8"/>
  <c r="F965" i="8"/>
  <c r="L926" i="8"/>
  <c r="H892" i="8"/>
  <c r="L936" i="8"/>
  <c r="N906" i="8"/>
  <c r="L871" i="8"/>
  <c r="M988" i="8"/>
  <c r="E943" i="8"/>
  <c r="M1022" i="8"/>
  <c r="H906" i="8"/>
  <c r="G939" i="8"/>
  <c r="J862" i="8"/>
  <c r="E832" i="8"/>
  <c r="K837" i="8"/>
  <c r="O852" i="8"/>
  <c r="H821" i="8"/>
  <c r="K903" i="8"/>
  <c r="F991" i="8"/>
  <c r="F928" i="8"/>
  <c r="N804" i="8"/>
  <c r="K829" i="8"/>
  <c r="M916" i="8"/>
  <c r="G825" i="8"/>
  <c r="F865" i="8"/>
  <c r="E848" i="8"/>
  <c r="O833" i="8"/>
  <c r="N822" i="8"/>
  <c r="J838" i="8"/>
  <c r="K766" i="8"/>
  <c r="M819" i="8"/>
  <c r="F751" i="8"/>
  <c r="L910" i="8"/>
  <c r="I756" i="8"/>
  <c r="M828" i="8"/>
  <c r="K914" i="8"/>
  <c r="F792" i="8"/>
  <c r="M788" i="8"/>
  <c r="O827" i="8"/>
  <c r="G749" i="8"/>
  <c r="F727" i="8"/>
  <c r="O726" i="8"/>
  <c r="L689" i="8"/>
  <c r="I701" i="8"/>
  <c r="I695" i="8"/>
  <c r="N664" i="8"/>
  <c r="I760" i="8"/>
  <c r="N739" i="8"/>
  <c r="L673" i="8"/>
  <c r="I657" i="8"/>
  <c r="N654" i="8"/>
  <c r="F623" i="8"/>
  <c r="G631" i="8"/>
  <c r="L729" i="8"/>
  <c r="K640" i="8"/>
  <c r="I723" i="8"/>
  <c r="K761" i="8"/>
  <c r="J663" i="8"/>
  <c r="G590" i="8"/>
  <c r="F532" i="8"/>
  <c r="I558" i="8"/>
  <c r="L607" i="8"/>
  <c r="G630" i="8"/>
  <c r="E562" i="8"/>
  <c r="K653" i="8"/>
  <c r="F465" i="8"/>
  <c r="K620" i="8"/>
  <c r="K541" i="8"/>
  <c r="E465" i="8"/>
  <c r="I555" i="8"/>
  <c r="L536" i="8"/>
  <c r="H635" i="8"/>
  <c r="H498" i="8"/>
  <c r="F431" i="8"/>
  <c r="O508" i="8"/>
  <c r="K588" i="8"/>
  <c r="G489" i="8"/>
  <c r="I628" i="8"/>
  <c r="F591" i="8"/>
  <c r="G459" i="8"/>
  <c r="L529" i="8"/>
  <c r="G488" i="8"/>
  <c r="H393" i="8"/>
  <c r="O366" i="8"/>
  <c r="F574" i="8"/>
  <c r="E167" i="8"/>
  <c r="M333" i="8"/>
  <c r="N233" i="8"/>
  <c r="L365" i="8"/>
  <c r="E332" i="8"/>
  <c r="H200" i="8"/>
  <c r="K261" i="8"/>
  <c r="E294" i="8"/>
  <c r="O291" i="8"/>
  <c r="I356" i="8"/>
  <c r="G266" i="8"/>
  <c r="L323" i="8"/>
  <c r="O954" i="8"/>
  <c r="E999" i="8"/>
  <c r="K959" i="8"/>
  <c r="K1032" i="8"/>
  <c r="G957" i="8"/>
  <c r="G967" i="8"/>
  <c r="I1017" i="8"/>
  <c r="M998" i="8"/>
  <c r="L967" i="8"/>
  <c r="M985" i="8"/>
  <c r="N950" i="8"/>
  <c r="J997" i="8"/>
  <c r="J966" i="8"/>
  <c r="J960" i="8"/>
  <c r="L929" i="8"/>
  <c r="L881" i="8"/>
  <c r="G920" i="8"/>
  <c r="I915" i="8"/>
  <c r="I904" i="8"/>
  <c r="M892" i="8"/>
  <c r="E937" i="8"/>
  <c r="H885" i="8"/>
  <c r="G965" i="8"/>
  <c r="E926" i="8"/>
  <c r="E936" i="8"/>
  <c r="E871" i="8"/>
  <c r="I988" i="8"/>
  <c r="O943" i="8"/>
  <c r="N1022" i="8"/>
  <c r="L892" i="8"/>
  <c r="I939" i="8"/>
  <c r="L862" i="8"/>
  <c r="H805" i="8"/>
  <c r="H832" i="8"/>
  <c r="O829" i="8"/>
  <c r="F852" i="8"/>
  <c r="L903" i="8"/>
  <c r="L991" i="8"/>
  <c r="N928" i="8"/>
  <c r="K894" i="8"/>
  <c r="H829" i="8"/>
  <c r="G916" i="8"/>
  <c r="H825" i="8"/>
  <c r="N865" i="8"/>
  <c r="F848" i="8"/>
  <c r="E833" i="8"/>
  <c r="J822" i="8"/>
  <c r="L766" i="8"/>
  <c r="N819" i="8"/>
  <c r="N751" i="8"/>
  <c r="F910" i="8"/>
  <c r="J756" i="8"/>
  <c r="I828" i="8"/>
  <c r="F796" i="8"/>
  <c r="M914" i="8"/>
  <c r="N792" i="8"/>
  <c r="H788" i="8"/>
  <c r="O749" i="8"/>
  <c r="N727" i="8"/>
  <c r="E689" i="8"/>
  <c r="J701" i="8"/>
  <c r="J695" i="8"/>
  <c r="G664" i="8"/>
  <c r="N760" i="8"/>
  <c r="G739" i="8"/>
  <c r="E673" i="8"/>
  <c r="J657" i="8"/>
  <c r="G654" i="8"/>
  <c r="G623" i="8"/>
  <c r="I631" i="8"/>
  <c r="I729" i="8"/>
  <c r="L640" i="8"/>
  <c r="J723" i="8"/>
  <c r="L761" i="8"/>
  <c r="L663" i="8"/>
  <c r="G597" i="8"/>
  <c r="O590" i="8"/>
  <c r="J524" i="8"/>
  <c r="E607" i="8"/>
  <c r="J630" i="8"/>
  <c r="F562" i="8"/>
  <c r="M653" i="8"/>
  <c r="L620" i="8"/>
  <c r="L541" i="8"/>
  <c r="H555" i="8"/>
  <c r="M536" i="8"/>
  <c r="I635" i="8"/>
  <c r="L491" i="8"/>
  <c r="F508" i="8"/>
  <c r="N431" i="8"/>
  <c r="E508" i="8"/>
  <c r="J588" i="8"/>
  <c r="O489" i="8"/>
  <c r="J628" i="8"/>
  <c r="N591" i="8"/>
  <c r="H459" i="8"/>
  <c r="I458" i="8"/>
  <c r="M529" i="8"/>
  <c r="L488" i="8"/>
  <c r="K366" i="8"/>
  <c r="J290" i="8"/>
  <c r="G574" i="8"/>
  <c r="J200" i="8"/>
  <c r="M167" i="8"/>
  <c r="O333" i="8"/>
  <c r="G233" i="8"/>
  <c r="E365" i="8"/>
  <c r="M332" i="8"/>
  <c r="L261" i="8"/>
  <c r="G294" i="8"/>
  <c r="N356" i="8"/>
  <c r="O266" i="8"/>
  <c r="I68" i="8"/>
  <c r="N323" i="8"/>
  <c r="M999" i="8"/>
  <c r="F1066" i="8"/>
  <c r="L959" i="8"/>
  <c r="L1032" i="8"/>
  <c r="H957" i="8"/>
  <c r="J961" i="8"/>
  <c r="J1017" i="8"/>
  <c r="F998" i="8"/>
  <c r="O967" i="8"/>
  <c r="H985" i="8"/>
  <c r="O950" i="8"/>
  <c r="E961" i="8"/>
  <c r="K966" i="8"/>
  <c r="F960" i="8"/>
  <c r="I929" i="8"/>
  <c r="J871" i="8"/>
  <c r="O920" i="8"/>
  <c r="J915" i="8"/>
  <c r="J885" i="8"/>
  <c r="I885" i="8"/>
  <c r="M937" i="8"/>
  <c r="M881" i="8"/>
  <c r="J965" i="8"/>
  <c r="M926" i="8"/>
  <c r="M936" i="8"/>
  <c r="M871" i="8"/>
  <c r="J988" i="8"/>
  <c r="G943" i="8"/>
  <c r="E1022" i="8"/>
  <c r="N892" i="8"/>
  <c r="E939" i="8"/>
  <c r="F889" i="8"/>
  <c r="E862" i="8"/>
  <c r="G804" i="8"/>
  <c r="G805" i="8"/>
  <c r="E805" i="8"/>
  <c r="I832" i="8"/>
  <c r="G852" i="8"/>
  <c r="I789" i="8"/>
  <c r="M903" i="8"/>
  <c r="M991" i="8"/>
  <c r="G928" i="8"/>
  <c r="M894" i="8"/>
  <c r="L829" i="8"/>
  <c r="O916" i="8"/>
  <c r="I825" i="8"/>
  <c r="N860" i="8"/>
  <c r="G848" i="8"/>
  <c r="G833" i="8"/>
  <c r="J805" i="8"/>
  <c r="M766" i="8"/>
  <c r="G759" i="8"/>
  <c r="O819" i="8"/>
  <c r="N910" i="8"/>
  <c r="K756" i="8"/>
  <c r="H800" i="8"/>
  <c r="G796" i="8"/>
  <c r="F914" i="8"/>
  <c r="G792" i="8"/>
  <c r="I788" i="8"/>
  <c r="H749" i="8"/>
  <c r="H727" i="8"/>
  <c r="M689" i="8"/>
  <c r="K701" i="8"/>
  <c r="K695" i="8"/>
  <c r="L697" i="8"/>
  <c r="O664" i="8"/>
  <c r="O760" i="8"/>
  <c r="O739" i="8"/>
  <c r="M673" i="8"/>
  <c r="L657" i="8"/>
  <c r="O654" i="8"/>
  <c r="J623" i="8"/>
  <c r="K631" i="8"/>
  <c r="J729" i="8"/>
  <c r="G734" i="8"/>
  <c r="K723" i="8"/>
  <c r="E761" i="8"/>
  <c r="L623" i="8"/>
  <c r="E663" i="8"/>
  <c r="N597" i="8"/>
  <c r="I590" i="8"/>
  <c r="J563" i="8"/>
  <c r="M607" i="8"/>
  <c r="O630" i="8"/>
  <c r="G562" i="8"/>
  <c r="O653" i="8"/>
  <c r="J532" i="8"/>
  <c r="F463" i="8"/>
  <c r="M620" i="8"/>
  <c r="E525" i="8"/>
  <c r="G491" i="8"/>
  <c r="J555" i="8"/>
  <c r="K536" i="8"/>
  <c r="K635" i="8"/>
  <c r="E491" i="8"/>
  <c r="H470" i="8"/>
  <c r="G431" i="8"/>
  <c r="M508" i="8"/>
  <c r="L588" i="8"/>
  <c r="H489" i="8"/>
  <c r="M628" i="8"/>
  <c r="K459" i="8"/>
  <c r="L458" i="8"/>
  <c r="O529" i="8"/>
  <c r="O488" i="8"/>
  <c r="H574" i="8"/>
  <c r="K200" i="8"/>
  <c r="E333" i="8"/>
  <c r="O233" i="8"/>
  <c r="M365" i="8"/>
  <c r="H332" i="8"/>
  <c r="I261" i="8"/>
  <c r="E261" i="8"/>
  <c r="H294" i="8"/>
  <c r="J356" i="8"/>
  <c r="H266" i="8"/>
  <c r="J68" i="8"/>
  <c r="K323" i="8"/>
  <c r="F999" i="8"/>
  <c r="G1066" i="8"/>
  <c r="M959" i="8"/>
  <c r="E1032" i="8"/>
  <c r="I957" i="8"/>
  <c r="K950" i="8"/>
  <c r="L1017" i="8"/>
  <c r="N998" i="8"/>
  <c r="L898" i="8"/>
  <c r="E967" i="8"/>
  <c r="I985" i="8"/>
  <c r="G950" i="8"/>
  <c r="H961" i="8"/>
  <c r="L966" i="8"/>
  <c r="N960" i="8"/>
  <c r="J929" i="8"/>
  <c r="G883" i="8"/>
  <c r="I920" i="8"/>
  <c r="K915" i="8"/>
  <c r="F970" i="8"/>
  <c r="F937" i="8"/>
  <c r="E881" i="8"/>
  <c r="K965" i="8"/>
  <c r="F926" i="8"/>
  <c r="F936" i="8"/>
  <c r="N988" i="8"/>
  <c r="H943" i="8"/>
  <c r="G1022" i="8"/>
  <c r="E892" i="8"/>
  <c r="M939" i="8"/>
  <c r="G889" i="8"/>
  <c r="M862" i="8"/>
  <c r="F804" i="8"/>
  <c r="E850" i="8"/>
  <c r="K789" i="8"/>
  <c r="M832" i="8"/>
  <c r="J852" i="8"/>
  <c r="H903" i="8"/>
  <c r="G991" i="8"/>
  <c r="O928" i="8"/>
  <c r="O894" i="8"/>
  <c r="M805" i="8"/>
  <c r="H916" i="8"/>
  <c r="K825" i="8"/>
  <c r="F860" i="8"/>
  <c r="O848" i="8"/>
  <c r="H833" i="8"/>
  <c r="J804" i="8"/>
  <c r="F766" i="8"/>
  <c r="F756" i="8"/>
  <c r="G819" i="8"/>
  <c r="H910" i="8"/>
  <c r="L752" i="8"/>
  <c r="L800" i="8"/>
  <c r="L759" i="8"/>
  <c r="J796" i="8"/>
  <c r="N914" i="8"/>
  <c r="O792" i="8"/>
  <c r="I786" i="8"/>
  <c r="I749" i="8"/>
  <c r="E755" i="8"/>
  <c r="I727" i="8"/>
  <c r="F689" i="8"/>
  <c r="L701" i="8"/>
  <c r="L695" i="8"/>
  <c r="E697" i="8"/>
  <c r="H664" i="8"/>
  <c r="G760" i="8"/>
  <c r="H739" i="8"/>
  <c r="F673" i="8"/>
  <c r="M657" i="8"/>
  <c r="F631" i="8"/>
  <c r="J631" i="8"/>
  <c r="K729" i="8"/>
  <c r="E734" i="8"/>
  <c r="L723" i="8"/>
  <c r="O761" i="8"/>
  <c r="M663" i="8"/>
  <c r="O597" i="8"/>
  <c r="L590" i="8"/>
  <c r="M563" i="8"/>
  <c r="F607" i="8"/>
  <c r="I630" i="8"/>
  <c r="H562" i="8"/>
  <c r="E653" i="8"/>
  <c r="N463" i="8"/>
  <c r="N620" i="8"/>
  <c r="J525" i="8"/>
  <c r="L555" i="8"/>
  <c r="F536" i="8"/>
  <c r="N635" i="8"/>
  <c r="M491" i="8"/>
  <c r="I470" i="8"/>
  <c r="O431" i="8"/>
  <c r="H508" i="8"/>
  <c r="L489" i="8"/>
  <c r="E628" i="8"/>
  <c r="N459" i="8"/>
  <c r="J458" i="8"/>
  <c r="H529" i="8"/>
  <c r="E488" i="8"/>
  <c r="K574" i="8"/>
  <c r="E224" i="8"/>
  <c r="L200" i="8"/>
  <c r="G333" i="8"/>
  <c r="H233" i="8"/>
  <c r="F365" i="8"/>
  <c r="H257" i="8"/>
  <c r="M261" i="8"/>
  <c r="K294" i="8"/>
  <c r="I266" i="8"/>
  <c r="K68" i="8"/>
  <c r="E323" i="8"/>
  <c r="N926" i="8"/>
  <c r="N936" i="8"/>
  <c r="E988" i="8"/>
  <c r="J943" i="8"/>
  <c r="O1022" i="8"/>
  <c r="F892" i="8"/>
  <c r="H939" i="8"/>
  <c r="H889" i="8"/>
  <c r="F862" i="8"/>
  <c r="G850" i="8"/>
  <c r="G832" i="8"/>
  <c r="I852" i="8"/>
  <c r="O991" i="8"/>
  <c r="E882" i="8"/>
  <c r="E894" i="8"/>
  <c r="F1010" i="8"/>
  <c r="I916" i="8"/>
  <c r="L825" i="8"/>
  <c r="J860" i="8"/>
  <c r="I848" i="8"/>
  <c r="I833" i="8"/>
  <c r="O766" i="8"/>
  <c r="K819" i="8"/>
  <c r="E800" i="8"/>
  <c r="M800" i="8"/>
  <c r="E759" i="8"/>
  <c r="K796" i="8"/>
  <c r="H914" i="8"/>
  <c r="J792" i="8"/>
  <c r="J786" i="8"/>
  <c r="K752" i="8"/>
  <c r="F795" i="8"/>
  <c r="G772" i="8"/>
  <c r="I755" i="8"/>
  <c r="E720" i="8"/>
  <c r="N689" i="8"/>
  <c r="G701" i="8"/>
  <c r="E695" i="8"/>
  <c r="M697" i="8"/>
  <c r="J760" i="8"/>
  <c r="E728" i="8"/>
  <c r="J686" i="8"/>
  <c r="N673" i="8"/>
  <c r="O657" i="8"/>
  <c r="J640" i="8"/>
  <c r="I595" i="8"/>
  <c r="E729" i="8"/>
  <c r="H734" i="8"/>
  <c r="F723" i="8"/>
  <c r="G761" i="8"/>
  <c r="J598" i="8"/>
  <c r="I623" i="8"/>
  <c r="H597" i="8"/>
  <c r="G563" i="8"/>
  <c r="O563" i="8"/>
  <c r="I696" i="8"/>
  <c r="N607" i="8"/>
  <c r="L662" i="8"/>
  <c r="L630" i="8"/>
  <c r="K562" i="8"/>
  <c r="F653" i="8"/>
  <c r="N524" i="8"/>
  <c r="J497" i="8"/>
  <c r="G463" i="8"/>
  <c r="O620" i="8"/>
  <c r="K525" i="8"/>
  <c r="K465" i="8"/>
  <c r="N536" i="8"/>
  <c r="L508" i="8"/>
  <c r="E635" i="8"/>
  <c r="I491" i="8"/>
  <c r="L569" i="8"/>
  <c r="K470" i="8"/>
  <c r="K431" i="8"/>
  <c r="I508" i="8"/>
  <c r="E489" i="8"/>
  <c r="K628" i="8"/>
  <c r="E466" i="8"/>
  <c r="O459" i="8"/>
  <c r="F425" i="8"/>
  <c r="K458" i="8"/>
  <c r="I529" i="8"/>
  <c r="M488" i="8"/>
  <c r="L574" i="8"/>
  <c r="K233" i="8"/>
  <c r="E200" i="8"/>
  <c r="L333" i="8"/>
  <c r="J233" i="8"/>
  <c r="N365" i="8"/>
  <c r="I257" i="8"/>
  <c r="F261" i="8"/>
  <c r="F294" i="8"/>
  <c r="L134" i="8"/>
  <c r="J266" i="8"/>
  <c r="L68" i="8"/>
  <c r="E299" i="8"/>
  <c r="M323" i="8"/>
  <c r="J877" i="8"/>
  <c r="H917" i="8"/>
  <c r="F881" i="8"/>
  <c r="E933" i="8"/>
  <c r="H926" i="8"/>
  <c r="H947" i="8"/>
  <c r="G936" i="8"/>
  <c r="G988" i="8"/>
  <c r="F925" i="8"/>
  <c r="J1022" i="8"/>
  <c r="G892" i="8"/>
  <c r="J939" i="8"/>
  <c r="K889" i="8"/>
  <c r="N862" i="8"/>
  <c r="N893" i="8"/>
  <c r="I850" i="8"/>
  <c r="O832" i="8"/>
  <c r="N861" i="8"/>
  <c r="K852" i="8"/>
  <c r="H991" i="8"/>
  <c r="G882" i="8"/>
  <c r="G894" i="8"/>
  <c r="G1010" i="8"/>
  <c r="M825" i="8"/>
  <c r="K860" i="8"/>
  <c r="K848" i="8"/>
  <c r="J833" i="8"/>
  <c r="G766" i="8"/>
  <c r="O796" i="8"/>
  <c r="N733" i="8"/>
  <c r="G782" i="8"/>
  <c r="I800" i="8"/>
  <c r="M759" i="8"/>
  <c r="N796" i="8"/>
  <c r="J914" i="8"/>
  <c r="K792" i="8"/>
  <c r="N786" i="8"/>
  <c r="F752" i="8"/>
  <c r="F733" i="8"/>
  <c r="G795" i="8"/>
  <c r="J772" i="8"/>
  <c r="L756" i="8"/>
  <c r="M755" i="8"/>
  <c r="F720" i="8"/>
  <c r="E668" i="8"/>
  <c r="O701" i="8"/>
  <c r="M695" i="8"/>
  <c r="F697" i="8"/>
  <c r="K760" i="8"/>
  <c r="F728" i="8"/>
  <c r="L686" i="8"/>
  <c r="L668" i="8"/>
  <c r="H657" i="8"/>
  <c r="H631" i="8"/>
  <c r="M729" i="8"/>
  <c r="I734" i="8"/>
  <c r="N723" i="8"/>
  <c r="H761" i="8"/>
  <c r="I597" i="8"/>
  <c r="E563" i="8"/>
  <c r="J696" i="8"/>
  <c r="F565" i="8"/>
  <c r="E662" i="8"/>
  <c r="M630" i="8"/>
  <c r="F558" i="8"/>
  <c r="N653" i="8"/>
  <c r="L497" i="8"/>
  <c r="O463" i="8"/>
  <c r="G620" i="8"/>
  <c r="F525" i="8"/>
  <c r="L465" i="8"/>
  <c r="G536" i="8"/>
  <c r="O635" i="8"/>
  <c r="J491" i="8"/>
  <c r="H569" i="8"/>
  <c r="L470" i="8"/>
  <c r="L431" i="8"/>
  <c r="M489" i="8"/>
  <c r="F628" i="8"/>
  <c r="H466" i="8"/>
  <c r="L459" i="8"/>
  <c r="I425" i="8"/>
  <c r="E458" i="8"/>
  <c r="J557" i="8"/>
  <c r="J529" i="8"/>
  <c r="F488" i="8"/>
  <c r="F492" i="8"/>
  <c r="M574" i="8"/>
  <c r="F224" i="8"/>
  <c r="M200" i="8"/>
  <c r="F333" i="8"/>
  <c r="I365" i="8"/>
  <c r="J257" i="8"/>
  <c r="N261" i="8"/>
  <c r="N294" i="8"/>
  <c r="E35" i="8"/>
  <c r="G134" i="8"/>
  <c r="K266" i="8"/>
  <c r="E68" i="8"/>
  <c r="H299" i="8"/>
  <c r="G323" i="8"/>
  <c r="M1107" i="8" a="1"/>
  <c r="M1107" i="8" s="1"/>
  <c r="E1107" i="8" a="1"/>
  <c r="E1107" i="8" s="1"/>
  <c r="G1107" i="8" a="1"/>
  <c r="G1107" i="8" s="1"/>
  <c r="F1107" i="8" a="1"/>
  <c r="F1107" i="8" s="1"/>
  <c r="O1107" i="8" a="1"/>
  <c r="O1107" i="8" s="1"/>
  <c r="N1107" i="8" a="1"/>
  <c r="N1107" i="8" s="1"/>
  <c r="L1107" i="8" a="1"/>
  <c r="L1107" i="8" s="1"/>
  <c r="K1107" i="8" a="1"/>
  <c r="K1107" i="8" s="1"/>
  <c r="J1107" i="8" a="1"/>
  <c r="J1107" i="8" s="1"/>
  <c r="I1107" i="8" a="1"/>
  <c r="I1107" i="8" s="1"/>
  <c r="H1107" i="8" a="1"/>
  <c r="H1107" i="8" s="1"/>
  <c r="J1037" i="8" a="1"/>
  <c r="J1037" i="8" s="1"/>
  <c r="O1037" i="8" a="1"/>
  <c r="O1037" i="8" s="1"/>
  <c r="G1037" i="8" a="1"/>
  <c r="G1037" i="8" s="1"/>
  <c r="N1037" i="8" a="1"/>
  <c r="N1037" i="8" s="1"/>
  <c r="F1037" i="8" a="1"/>
  <c r="F1037" i="8" s="1"/>
  <c r="E1037" i="8" a="1"/>
  <c r="E1037" i="8" s="1"/>
  <c r="M1037" i="8" a="1"/>
  <c r="M1037" i="8" s="1"/>
  <c r="L1037" i="8" a="1"/>
  <c r="L1037" i="8" s="1"/>
  <c r="K1037" i="8" a="1"/>
  <c r="K1037" i="8" s="1"/>
  <c r="I1037" i="8" a="1"/>
  <c r="I1037" i="8" s="1"/>
  <c r="H1037" i="8" a="1"/>
  <c r="H1037" i="8" s="1"/>
  <c r="H938" i="8" a="1"/>
  <c r="H938" i="8" s="1"/>
  <c r="O938" i="8" a="1"/>
  <c r="O938" i="8" s="1"/>
  <c r="G938" i="8" a="1"/>
  <c r="G938" i="8" s="1"/>
  <c r="N938" i="8" a="1"/>
  <c r="N938" i="8" s="1"/>
  <c r="F938" i="8" a="1"/>
  <c r="F938" i="8" s="1"/>
  <c r="L938" i="8" a="1"/>
  <c r="L938" i="8" s="1"/>
  <c r="K938" i="8" a="1"/>
  <c r="K938" i="8" s="1"/>
  <c r="J938" i="8" a="1"/>
  <c r="J938" i="8" s="1"/>
  <c r="M938" i="8" a="1"/>
  <c r="M938" i="8" s="1"/>
  <c r="I938" i="8" a="1"/>
  <c r="I938" i="8" s="1"/>
  <c r="E938" i="8" a="1"/>
  <c r="E938" i="8" s="1"/>
  <c r="I1012" i="8" a="1"/>
  <c r="I1012" i="8" s="1"/>
  <c r="N1012" i="8" a="1"/>
  <c r="N1012" i="8" s="1"/>
  <c r="F1012" i="8" a="1"/>
  <c r="F1012" i="8" s="1"/>
  <c r="H1012" i="8" a="1"/>
  <c r="H1012" i="8" s="1"/>
  <c r="G1012" i="8" a="1"/>
  <c r="G1012" i="8" s="1"/>
  <c r="E1012" i="8" a="1"/>
  <c r="E1012" i="8" s="1"/>
  <c r="M1012" i="8" a="1"/>
  <c r="M1012" i="8" s="1"/>
  <c r="L1012" i="8" a="1"/>
  <c r="L1012" i="8" s="1"/>
  <c r="K1012" i="8" a="1"/>
  <c r="K1012" i="8" s="1"/>
  <c r="O1012" i="8" a="1"/>
  <c r="O1012" i="8" s="1"/>
  <c r="J1012" i="8" a="1"/>
  <c r="J1012" i="8" s="1"/>
  <c r="K978" i="8" a="1"/>
  <c r="K978" i="8" s="1"/>
  <c r="O978" i="8" a="1"/>
  <c r="O978" i="8" s="1"/>
  <c r="G978" i="8" a="1"/>
  <c r="G978" i="8" s="1"/>
  <c r="N978" i="8" a="1"/>
  <c r="N978" i="8" s="1"/>
  <c r="F978" i="8" a="1"/>
  <c r="F978" i="8" s="1"/>
  <c r="M978" i="8" a="1"/>
  <c r="M978" i="8" s="1"/>
  <c r="L978" i="8" a="1"/>
  <c r="L978" i="8" s="1"/>
  <c r="J978" i="8" a="1"/>
  <c r="J978" i="8" s="1"/>
  <c r="H978" i="8" a="1"/>
  <c r="H978" i="8" s="1"/>
  <c r="E978" i="8" a="1"/>
  <c r="E978" i="8" s="1"/>
  <c r="I978" i="8" a="1"/>
  <c r="I978" i="8" s="1"/>
  <c r="N1045" i="8" a="1"/>
  <c r="N1045" i="8" s="1"/>
  <c r="F1045" i="8" a="1"/>
  <c r="F1045" i="8" s="1"/>
  <c r="K1045" i="8" a="1"/>
  <c r="K1045" i="8" s="1"/>
  <c r="J1045" i="8" a="1"/>
  <c r="J1045" i="8" s="1"/>
  <c r="O1045" i="8" a="1"/>
  <c r="O1045" i="8" s="1"/>
  <c r="L1045" i="8" a="1"/>
  <c r="L1045" i="8" s="1"/>
  <c r="I1045" i="8" a="1"/>
  <c r="I1045" i="8" s="1"/>
  <c r="H1045" i="8" a="1"/>
  <c r="H1045" i="8" s="1"/>
  <c r="G1045" i="8" a="1"/>
  <c r="G1045" i="8" s="1"/>
  <c r="M1045" i="8" a="1"/>
  <c r="M1045" i="8" s="1"/>
  <c r="E1045" i="8" a="1"/>
  <c r="E1045" i="8" s="1"/>
  <c r="J968" i="8" a="1"/>
  <c r="J968" i="8" s="1"/>
  <c r="N968" i="8" a="1"/>
  <c r="N968" i="8" s="1"/>
  <c r="F968" i="8" a="1"/>
  <c r="F968" i="8" s="1"/>
  <c r="M968" i="8" a="1"/>
  <c r="M968" i="8" s="1"/>
  <c r="E968" i="8" a="1"/>
  <c r="E968" i="8" s="1"/>
  <c r="O968" i="8" a="1"/>
  <c r="O968" i="8" s="1"/>
  <c r="K968" i="8" a="1"/>
  <c r="K968" i="8" s="1"/>
  <c r="I968" i="8" a="1"/>
  <c r="I968" i="8" s="1"/>
  <c r="G968" i="8" a="1"/>
  <c r="G968" i="8" s="1"/>
  <c r="H968" i="8" a="1"/>
  <c r="H968" i="8" s="1"/>
  <c r="L968" i="8" a="1"/>
  <c r="L968" i="8" s="1"/>
  <c r="M1004" i="8" a="1"/>
  <c r="M1004" i="8" s="1"/>
  <c r="E1004" i="8" a="1"/>
  <c r="E1004" i="8" s="1"/>
  <c r="L1004" i="8" a="1"/>
  <c r="L1004" i="8" s="1"/>
  <c r="K1004" i="8" a="1"/>
  <c r="K1004" i="8" s="1"/>
  <c r="H1004" i="8" a="1"/>
  <c r="H1004" i="8" s="1"/>
  <c r="O1004" i="8" a="1"/>
  <c r="O1004" i="8" s="1"/>
  <c r="G1004" i="8" a="1"/>
  <c r="G1004" i="8" s="1"/>
  <c r="N1004" i="8" a="1"/>
  <c r="N1004" i="8" s="1"/>
  <c r="J1004" i="8" a="1"/>
  <c r="J1004" i="8" s="1"/>
  <c r="I1004" i="8" a="1"/>
  <c r="I1004" i="8" s="1"/>
  <c r="F1004" i="8" a="1"/>
  <c r="F1004" i="8" s="1"/>
  <c r="M1074" i="8" a="1"/>
  <c r="M1074" i="8" s="1"/>
  <c r="E1074" i="8" a="1"/>
  <c r="E1074" i="8" s="1"/>
  <c r="I1074" i="8" a="1"/>
  <c r="I1074" i="8" s="1"/>
  <c r="H1074" i="8" a="1"/>
  <c r="H1074" i="8" s="1"/>
  <c r="G1074" i="8" a="1"/>
  <c r="G1074" i="8" s="1"/>
  <c r="F1074" i="8" a="1"/>
  <c r="F1074" i="8" s="1"/>
  <c r="O1074" i="8" a="1"/>
  <c r="O1074" i="8" s="1"/>
  <c r="N1074" i="8" a="1"/>
  <c r="N1074" i="8" s="1"/>
  <c r="L1074" i="8" a="1"/>
  <c r="L1074" i="8" s="1"/>
  <c r="J1074" i="8" a="1"/>
  <c r="J1074" i="8" s="1"/>
  <c r="K1074" i="8" a="1"/>
  <c r="K1074" i="8" s="1"/>
  <c r="O945" i="8" a="1"/>
  <c r="O945" i="8" s="1"/>
  <c r="G945" i="8" a="1"/>
  <c r="G945" i="8" s="1"/>
  <c r="K945" i="8" a="1"/>
  <c r="K945" i="8" s="1"/>
  <c r="J945" i="8" a="1"/>
  <c r="J945" i="8" s="1"/>
  <c r="H945" i="8" a="1"/>
  <c r="H945" i="8" s="1"/>
  <c r="N945" i="8" a="1"/>
  <c r="N945" i="8" s="1"/>
  <c r="M945" i="8" a="1"/>
  <c r="M945" i="8" s="1"/>
  <c r="L945" i="8" a="1"/>
  <c r="L945" i="8" s="1"/>
  <c r="F945" i="8" a="1"/>
  <c r="F945" i="8" s="1"/>
  <c r="E945" i="8" a="1"/>
  <c r="E945" i="8" s="1"/>
  <c r="I945" i="8" a="1"/>
  <c r="I945" i="8" s="1"/>
  <c r="M979" i="8" a="1"/>
  <c r="M979" i="8" s="1"/>
  <c r="E979" i="8" a="1"/>
  <c r="E979" i="8" s="1"/>
  <c r="L979" i="8" a="1"/>
  <c r="L979" i="8" s="1"/>
  <c r="K979" i="8" a="1"/>
  <c r="K979" i="8" s="1"/>
  <c r="J979" i="8" a="1"/>
  <c r="J979" i="8" s="1"/>
  <c r="I979" i="8" a="1"/>
  <c r="I979" i="8" s="1"/>
  <c r="O979" i="8" a="1"/>
  <c r="O979" i="8" s="1"/>
  <c r="N979" i="8" a="1"/>
  <c r="N979" i="8" s="1"/>
  <c r="H979" i="8" a="1"/>
  <c r="H979" i="8" s="1"/>
  <c r="G979" i="8" a="1"/>
  <c r="G979" i="8" s="1"/>
  <c r="F979" i="8" a="1"/>
  <c r="F979" i="8" s="1"/>
  <c r="H1105" i="8" a="1"/>
  <c r="H1105" i="8" s="1"/>
  <c r="O1105" i="8" a="1"/>
  <c r="O1105" i="8" s="1"/>
  <c r="E1105" i="8" a="1"/>
  <c r="E1105" i="8" s="1"/>
  <c r="K1105" i="8" a="1"/>
  <c r="K1105" i="8" s="1"/>
  <c r="F1105" i="8" a="1"/>
  <c r="F1105" i="8" s="1"/>
  <c r="N1105" i="8" a="1"/>
  <c r="N1105" i="8" s="1"/>
  <c r="M1105" i="8" a="1"/>
  <c r="M1105" i="8" s="1"/>
  <c r="L1105" i="8" a="1"/>
  <c r="L1105" i="8" s="1"/>
  <c r="J1105" i="8" a="1"/>
  <c r="J1105" i="8" s="1"/>
  <c r="I1105" i="8" a="1"/>
  <c r="I1105" i="8" s="1"/>
  <c r="G1105" i="8" a="1"/>
  <c r="G1105" i="8" s="1"/>
  <c r="H834" i="8" a="1"/>
  <c r="H834" i="8" s="1"/>
  <c r="L834" i="8" a="1"/>
  <c r="L834" i="8" s="1"/>
  <c r="F834" i="8" a="1"/>
  <c r="F834" i="8" s="1"/>
  <c r="O834" i="8" a="1"/>
  <c r="O834" i="8" s="1"/>
  <c r="E834" i="8" a="1"/>
  <c r="E834" i="8" s="1"/>
  <c r="N834" i="8" a="1"/>
  <c r="N834" i="8" s="1"/>
  <c r="M834" i="8" a="1"/>
  <c r="M834" i="8" s="1"/>
  <c r="K834" i="8" a="1"/>
  <c r="K834" i="8" s="1"/>
  <c r="J834" i="8" a="1"/>
  <c r="J834" i="8" s="1"/>
  <c r="I834" i="8" a="1"/>
  <c r="I834" i="8" s="1"/>
  <c r="G834" i="8" a="1"/>
  <c r="G834" i="8" s="1"/>
  <c r="O1111" i="8" a="1"/>
  <c r="O1111" i="8" s="1"/>
  <c r="G1111" i="8" a="1"/>
  <c r="G1111" i="8" s="1"/>
  <c r="H1111" i="8" a="1"/>
  <c r="H1111" i="8" s="1"/>
  <c r="E1111" i="8" a="1"/>
  <c r="E1111" i="8" s="1"/>
  <c r="M1111" i="8" a="1"/>
  <c r="M1111" i="8" s="1"/>
  <c r="N1111" i="8" a="1"/>
  <c r="N1111" i="8" s="1"/>
  <c r="L1111" i="8" a="1"/>
  <c r="L1111" i="8" s="1"/>
  <c r="K1111" i="8" a="1"/>
  <c r="K1111" i="8" s="1"/>
  <c r="J1111" i="8" a="1"/>
  <c r="J1111" i="8" s="1"/>
  <c r="I1111" i="8" a="1"/>
  <c r="I1111" i="8" s="1"/>
  <c r="F1111" i="8" a="1"/>
  <c r="F1111" i="8" s="1"/>
  <c r="N806" i="8" a="1"/>
  <c r="N806" i="8" s="1"/>
  <c r="F806" i="8" a="1"/>
  <c r="F806" i="8" s="1"/>
  <c r="M806" i="8" a="1"/>
  <c r="M806" i="8" s="1"/>
  <c r="E806" i="8" a="1"/>
  <c r="E806" i="8" s="1"/>
  <c r="J806" i="8" a="1"/>
  <c r="J806" i="8" s="1"/>
  <c r="I806" i="8" a="1"/>
  <c r="I806" i="8" s="1"/>
  <c r="H806" i="8" a="1"/>
  <c r="H806" i="8" s="1"/>
  <c r="G806" i="8" a="1"/>
  <c r="G806" i="8" s="1"/>
  <c r="O806" i="8" a="1"/>
  <c r="O806" i="8" s="1"/>
  <c r="L806" i="8" a="1"/>
  <c r="L806" i="8" s="1"/>
  <c r="K806" i="8" a="1"/>
  <c r="K806" i="8" s="1"/>
  <c r="I807" i="8" a="1"/>
  <c r="I807" i="8" s="1"/>
  <c r="N807" i="8" a="1"/>
  <c r="N807" i="8" s="1"/>
  <c r="F807" i="8" a="1"/>
  <c r="F807" i="8" s="1"/>
  <c r="K807" i="8" a="1"/>
  <c r="K807" i="8" s="1"/>
  <c r="J807" i="8" a="1"/>
  <c r="J807" i="8" s="1"/>
  <c r="H807" i="8" a="1"/>
  <c r="H807" i="8" s="1"/>
  <c r="G807" i="8" a="1"/>
  <c r="G807" i="8" s="1"/>
  <c r="E807" i="8" a="1"/>
  <c r="E807" i="8" s="1"/>
  <c r="O807" i="8" a="1"/>
  <c r="O807" i="8" s="1"/>
  <c r="M807" i="8" a="1"/>
  <c r="M807" i="8" s="1"/>
  <c r="L807" i="8" a="1"/>
  <c r="L807" i="8" s="1"/>
  <c r="N732" i="8" a="1"/>
  <c r="N732" i="8" s="1"/>
  <c r="F732" i="8" a="1"/>
  <c r="F732" i="8" s="1"/>
  <c r="M732" i="8" a="1"/>
  <c r="M732" i="8" s="1"/>
  <c r="E732" i="8" a="1"/>
  <c r="E732" i="8" s="1"/>
  <c r="I732" i="8" a="1"/>
  <c r="I732" i="8" s="1"/>
  <c r="O732" i="8" a="1"/>
  <c r="O732" i="8" s="1"/>
  <c r="L732" i="8" a="1"/>
  <c r="L732" i="8" s="1"/>
  <c r="K732" i="8" a="1"/>
  <c r="K732" i="8" s="1"/>
  <c r="J732" i="8" a="1"/>
  <c r="J732" i="8" s="1"/>
  <c r="H732" i="8" a="1"/>
  <c r="H732" i="8" s="1"/>
  <c r="G732" i="8" a="1"/>
  <c r="G732" i="8" s="1"/>
  <c r="N639" i="8" a="1"/>
  <c r="N639" i="8" s="1"/>
  <c r="F639" i="8" a="1"/>
  <c r="F639" i="8" s="1"/>
  <c r="K639" i="8" a="1"/>
  <c r="K639" i="8" s="1"/>
  <c r="J639" i="8" a="1"/>
  <c r="J639" i="8" s="1"/>
  <c r="H639" i="8" a="1"/>
  <c r="H639" i="8" s="1"/>
  <c r="G639" i="8" a="1"/>
  <c r="G639" i="8" s="1"/>
  <c r="E639" i="8" a="1"/>
  <c r="E639" i="8" s="1"/>
  <c r="O639" i="8" a="1"/>
  <c r="O639" i="8" s="1"/>
  <c r="M639" i="8" a="1"/>
  <c r="M639" i="8" s="1"/>
  <c r="L639" i="8" a="1"/>
  <c r="L639" i="8" s="1"/>
  <c r="I639" i="8" a="1"/>
  <c r="I639" i="8" s="1"/>
  <c r="I543" i="8" a="1"/>
  <c r="I543" i="8" s="1"/>
  <c r="H543" i="8" a="1"/>
  <c r="H543" i="8" s="1"/>
  <c r="N543" i="8" a="1"/>
  <c r="N543" i="8" s="1"/>
  <c r="F543" i="8" a="1"/>
  <c r="F543" i="8" s="1"/>
  <c r="M543" i="8" a="1"/>
  <c r="M543" i="8" s="1"/>
  <c r="E543" i="8" a="1"/>
  <c r="E543" i="8" s="1"/>
  <c r="L543" i="8" a="1"/>
  <c r="L543" i="8" s="1"/>
  <c r="K543" i="8" a="1"/>
  <c r="K543" i="8" s="1"/>
  <c r="J543" i="8" a="1"/>
  <c r="J543" i="8" s="1"/>
  <c r="G543" i="8" a="1"/>
  <c r="G543" i="8" s="1"/>
  <c r="O543" i="8" a="1"/>
  <c r="O543" i="8" s="1"/>
  <c r="I159" i="8" a="1"/>
  <c r="I159" i="8" s="1"/>
  <c r="M159" i="8" a="1"/>
  <c r="M159" i="8" s="1"/>
  <c r="E159" i="8" a="1"/>
  <c r="E159" i="8" s="1"/>
  <c r="L159" i="8" a="1"/>
  <c r="L159" i="8" s="1"/>
  <c r="K159" i="8" a="1"/>
  <c r="K159" i="8" s="1"/>
  <c r="N159" i="8" a="1"/>
  <c r="N159" i="8" s="1"/>
  <c r="J159" i="8" a="1"/>
  <c r="J159" i="8" s="1"/>
  <c r="O159" i="8" a="1"/>
  <c r="O159" i="8" s="1"/>
  <c r="H159" i="8" a="1"/>
  <c r="H159" i="8" s="1"/>
  <c r="G159" i="8" a="1"/>
  <c r="G159" i="8" s="1"/>
  <c r="F159" i="8" a="1"/>
  <c r="F159" i="8" s="1"/>
  <c r="M29" i="8" a="1"/>
  <c r="M29" i="8" s="1"/>
  <c r="E29" i="8" a="1"/>
  <c r="E29" i="8" s="1"/>
  <c r="L29" i="8" a="1"/>
  <c r="L29" i="8" s="1"/>
  <c r="O29" i="8" a="1"/>
  <c r="O29" i="8" s="1"/>
  <c r="G29" i="8" a="1"/>
  <c r="G29" i="8" s="1"/>
  <c r="K29" i="8" a="1"/>
  <c r="K29" i="8" s="1"/>
  <c r="J29" i="8" a="1"/>
  <c r="J29" i="8" s="1"/>
  <c r="I29" i="8" a="1"/>
  <c r="I29" i="8" s="1"/>
  <c r="H29" i="8" a="1"/>
  <c r="H29" i="8" s="1"/>
  <c r="N29" i="8" a="1"/>
  <c r="N29" i="8" s="1"/>
  <c r="F29" i="8" a="1"/>
  <c r="F29" i="8" s="1"/>
  <c r="K179" i="8" a="1"/>
  <c r="K179" i="8" s="1"/>
  <c r="O179" i="8" a="1"/>
  <c r="O179" i="8" s="1"/>
  <c r="G179" i="8" a="1"/>
  <c r="G179" i="8" s="1"/>
  <c r="N179" i="8" a="1"/>
  <c r="N179" i="8" s="1"/>
  <c r="F179" i="8" a="1"/>
  <c r="F179" i="8" s="1"/>
  <c r="M179" i="8" a="1"/>
  <c r="M179" i="8" s="1"/>
  <c r="E179" i="8" a="1"/>
  <c r="E179" i="8" s="1"/>
  <c r="H179" i="8" a="1"/>
  <c r="H179" i="8" s="1"/>
  <c r="J179" i="8" a="1"/>
  <c r="J179" i="8" s="1"/>
  <c r="I179" i="8" a="1"/>
  <c r="I179" i="8" s="1"/>
  <c r="L179" i="8" a="1"/>
  <c r="L179" i="8" s="1"/>
  <c r="I919" i="8" a="1"/>
  <c r="I919" i="8" s="1"/>
  <c r="H919" i="8" a="1"/>
  <c r="H919" i="8" s="1"/>
  <c r="K919" i="8" a="1"/>
  <c r="K919" i="8" s="1"/>
  <c r="O919" i="8" a="1"/>
  <c r="O919" i="8" s="1"/>
  <c r="N919" i="8" a="1"/>
  <c r="N919" i="8" s="1"/>
  <c r="L919" i="8" a="1"/>
  <c r="L919" i="8" s="1"/>
  <c r="J919" i="8" a="1"/>
  <c r="J919" i="8" s="1"/>
  <c r="E919" i="8" a="1"/>
  <c r="E919" i="8" s="1"/>
  <c r="M919" i="8" a="1"/>
  <c r="M919" i="8" s="1"/>
  <c r="G919" i="8" a="1"/>
  <c r="G919" i="8" s="1"/>
  <c r="F919" i="8" a="1"/>
  <c r="F919" i="8" s="1"/>
  <c r="N846" i="8" a="1"/>
  <c r="N846" i="8" s="1"/>
  <c r="F846" i="8" a="1"/>
  <c r="F846" i="8" s="1"/>
  <c r="L846" i="8" a="1"/>
  <c r="L846" i="8" s="1"/>
  <c r="J846" i="8" a="1"/>
  <c r="J846" i="8" s="1"/>
  <c r="K846" i="8" a="1"/>
  <c r="K846" i="8" s="1"/>
  <c r="I846" i="8" a="1"/>
  <c r="I846" i="8" s="1"/>
  <c r="H846" i="8" a="1"/>
  <c r="H846" i="8" s="1"/>
  <c r="G846" i="8" a="1"/>
  <c r="G846" i="8" s="1"/>
  <c r="E846" i="8" a="1"/>
  <c r="E846" i="8" s="1"/>
  <c r="O846" i="8" a="1"/>
  <c r="O846" i="8" s="1"/>
  <c r="M846" i="8" a="1"/>
  <c r="M846" i="8" s="1"/>
  <c r="O700" i="8" a="1"/>
  <c r="O700" i="8" s="1"/>
  <c r="E700" i="8" a="1"/>
  <c r="E700" i="8" s="1"/>
  <c r="N700" i="8" a="1"/>
  <c r="N700" i="8" s="1"/>
  <c r="M700" i="8" a="1"/>
  <c r="M700" i="8" s="1"/>
  <c r="L700" i="8" a="1"/>
  <c r="L700" i="8" s="1"/>
  <c r="K700" i="8" a="1"/>
  <c r="K700" i="8" s="1"/>
  <c r="I700" i="8" a="1"/>
  <c r="I700" i="8" s="1"/>
  <c r="H700" i="8" a="1"/>
  <c r="H700" i="8" s="1"/>
  <c r="G700" i="8" a="1"/>
  <c r="G700" i="8" s="1"/>
  <c r="F700" i="8" a="1"/>
  <c r="F700" i="8" s="1"/>
  <c r="J700" i="8" a="1"/>
  <c r="J700" i="8" s="1"/>
  <c r="I708" i="8" a="1"/>
  <c r="I708" i="8" s="1"/>
  <c r="M708" i="8" a="1"/>
  <c r="M708" i="8" s="1"/>
  <c r="E708" i="8" a="1"/>
  <c r="E708" i="8" s="1"/>
  <c r="N708" i="8" a="1"/>
  <c r="N708" i="8" s="1"/>
  <c r="L708" i="8" a="1"/>
  <c r="L708" i="8" s="1"/>
  <c r="K708" i="8" a="1"/>
  <c r="K708" i="8" s="1"/>
  <c r="J708" i="8" a="1"/>
  <c r="J708" i="8" s="1"/>
  <c r="H708" i="8" a="1"/>
  <c r="H708" i="8" s="1"/>
  <c r="G708" i="8" a="1"/>
  <c r="G708" i="8" s="1"/>
  <c r="F708" i="8" a="1"/>
  <c r="F708" i="8" s="1"/>
  <c r="O708" i="8" a="1"/>
  <c r="O708" i="8" s="1"/>
  <c r="O633" i="8" a="1"/>
  <c r="O633" i="8" s="1"/>
  <c r="G633" i="8" a="1"/>
  <c r="G633" i="8" s="1"/>
  <c r="M633" i="8" a="1"/>
  <c r="M633" i="8" s="1"/>
  <c r="L633" i="8" a="1"/>
  <c r="L633" i="8" s="1"/>
  <c r="J633" i="8" a="1"/>
  <c r="J633" i="8" s="1"/>
  <c r="I633" i="8" a="1"/>
  <c r="I633" i="8" s="1"/>
  <c r="H633" i="8" a="1"/>
  <c r="H633" i="8" s="1"/>
  <c r="F633" i="8" a="1"/>
  <c r="F633" i="8" s="1"/>
  <c r="E633" i="8" a="1"/>
  <c r="E633" i="8" s="1"/>
  <c r="N633" i="8" a="1"/>
  <c r="N633" i="8" s="1"/>
  <c r="K633" i="8" a="1"/>
  <c r="K633" i="8" s="1"/>
  <c r="K577" i="8" a="1"/>
  <c r="K577" i="8" s="1"/>
  <c r="J577" i="8" a="1"/>
  <c r="J577" i="8" s="1"/>
  <c r="I577" i="8" a="1"/>
  <c r="I577" i="8" s="1"/>
  <c r="O577" i="8" a="1"/>
  <c r="O577" i="8" s="1"/>
  <c r="G577" i="8" a="1"/>
  <c r="G577" i="8" s="1"/>
  <c r="N577" i="8" a="1"/>
  <c r="N577" i="8" s="1"/>
  <c r="F577" i="8" a="1"/>
  <c r="F577" i="8" s="1"/>
  <c r="L577" i="8" a="1"/>
  <c r="L577" i="8" s="1"/>
  <c r="H577" i="8" a="1"/>
  <c r="H577" i="8" s="1"/>
  <c r="M577" i="8" a="1"/>
  <c r="M577" i="8" s="1"/>
  <c r="E577" i="8" a="1"/>
  <c r="E577" i="8" s="1"/>
  <c r="J615" i="8" a="1"/>
  <c r="J615" i="8" s="1"/>
  <c r="I615" i="8" a="1"/>
  <c r="I615" i="8" s="1"/>
  <c r="H615" i="8" a="1"/>
  <c r="H615" i="8" s="1"/>
  <c r="O615" i="8" a="1"/>
  <c r="O615" i="8" s="1"/>
  <c r="G615" i="8" a="1"/>
  <c r="G615" i="8" s="1"/>
  <c r="N615" i="8" a="1"/>
  <c r="N615" i="8" s="1"/>
  <c r="F615" i="8" a="1"/>
  <c r="F615" i="8" s="1"/>
  <c r="M615" i="8" a="1"/>
  <c r="M615" i="8" s="1"/>
  <c r="E615" i="8" a="1"/>
  <c r="E615" i="8" s="1"/>
  <c r="L615" i="8" a="1"/>
  <c r="L615" i="8" s="1"/>
  <c r="K615" i="8" a="1"/>
  <c r="K615" i="8" s="1"/>
  <c r="N526" i="8" a="1"/>
  <c r="N526" i="8" s="1"/>
  <c r="F526" i="8" a="1"/>
  <c r="F526" i="8" s="1"/>
  <c r="M526" i="8" a="1"/>
  <c r="M526" i="8" s="1"/>
  <c r="E526" i="8" a="1"/>
  <c r="E526" i="8" s="1"/>
  <c r="J526" i="8" a="1"/>
  <c r="J526" i="8" s="1"/>
  <c r="L526" i="8" a="1"/>
  <c r="L526" i="8" s="1"/>
  <c r="K526" i="8" a="1"/>
  <c r="K526" i="8" s="1"/>
  <c r="I526" i="8" a="1"/>
  <c r="I526" i="8" s="1"/>
  <c r="H526" i="8" a="1"/>
  <c r="H526" i="8" s="1"/>
  <c r="G526" i="8" a="1"/>
  <c r="G526" i="8" s="1"/>
  <c r="O526" i="8" a="1"/>
  <c r="O526" i="8" s="1"/>
  <c r="I452" i="8" a="1"/>
  <c r="I452" i="8" s="1"/>
  <c r="H452" i="8" a="1"/>
  <c r="H452" i="8" s="1"/>
  <c r="O452" i="8" a="1"/>
  <c r="O452" i="8" s="1"/>
  <c r="G452" i="8" a="1"/>
  <c r="G452" i="8" s="1"/>
  <c r="N452" i="8" a="1"/>
  <c r="N452" i="8" s="1"/>
  <c r="F452" i="8" a="1"/>
  <c r="F452" i="8" s="1"/>
  <c r="L452" i="8" a="1"/>
  <c r="L452" i="8" s="1"/>
  <c r="K452" i="8" a="1"/>
  <c r="K452" i="8" s="1"/>
  <c r="M452" i="8" a="1"/>
  <c r="M452" i="8" s="1"/>
  <c r="J452" i="8" a="1"/>
  <c r="J452" i="8" s="1"/>
  <c r="E452" i="8" a="1"/>
  <c r="E452" i="8" s="1"/>
  <c r="L385" i="8" a="1"/>
  <c r="L385" i="8" s="1"/>
  <c r="K385" i="8" a="1"/>
  <c r="K385" i="8" s="1"/>
  <c r="H385" i="8" a="1"/>
  <c r="H385" i="8" s="1"/>
  <c r="O385" i="8" a="1"/>
  <c r="O385" i="8" s="1"/>
  <c r="G385" i="8" a="1"/>
  <c r="G385" i="8" s="1"/>
  <c r="N385" i="8" a="1"/>
  <c r="N385" i="8" s="1"/>
  <c r="F385" i="8" a="1"/>
  <c r="F385" i="8" s="1"/>
  <c r="M385" i="8" a="1"/>
  <c r="M385" i="8" s="1"/>
  <c r="J385" i="8" a="1"/>
  <c r="J385" i="8" s="1"/>
  <c r="I385" i="8" a="1"/>
  <c r="I385" i="8" s="1"/>
  <c r="E385" i="8" a="1"/>
  <c r="E385" i="8" s="1"/>
  <c r="O374" i="8" a="1"/>
  <c r="O374" i="8" s="1"/>
  <c r="G374" i="8" a="1"/>
  <c r="G374" i="8" s="1"/>
  <c r="K374" i="8" a="1"/>
  <c r="K374" i="8" s="1"/>
  <c r="E374" i="8" a="1"/>
  <c r="E374" i="8" s="1"/>
  <c r="N374" i="8" a="1"/>
  <c r="N374" i="8" s="1"/>
  <c r="M374" i="8" a="1"/>
  <c r="M374" i="8" s="1"/>
  <c r="L374" i="8" a="1"/>
  <c r="L374" i="8" s="1"/>
  <c r="J374" i="8" a="1"/>
  <c r="J374" i="8" s="1"/>
  <c r="H374" i="8" a="1"/>
  <c r="H374" i="8" s="1"/>
  <c r="I374" i="8" a="1"/>
  <c r="I374" i="8" s="1"/>
  <c r="F374" i="8" a="1"/>
  <c r="F374" i="8" s="1"/>
  <c r="O283" i="8" a="1"/>
  <c r="O283" i="8" s="1"/>
  <c r="G283" i="8" a="1"/>
  <c r="G283" i="8" s="1"/>
  <c r="F283" i="8" a="1"/>
  <c r="F283" i="8" s="1"/>
  <c r="E283" i="8" a="1"/>
  <c r="E283" i="8" s="1"/>
  <c r="N283" i="8" a="1"/>
  <c r="N283" i="8" s="1"/>
  <c r="M283" i="8" a="1"/>
  <c r="M283" i="8" s="1"/>
  <c r="L283" i="8" a="1"/>
  <c r="L283" i="8" s="1"/>
  <c r="K283" i="8" a="1"/>
  <c r="K283" i="8" s="1"/>
  <c r="J283" i="8" a="1"/>
  <c r="J283" i="8" s="1"/>
  <c r="I283" i="8" a="1"/>
  <c r="I283" i="8" s="1"/>
  <c r="H283" i="8" a="1"/>
  <c r="H283" i="8" s="1"/>
  <c r="N145" i="8" a="1"/>
  <c r="N145" i="8" s="1"/>
  <c r="F145" i="8" a="1"/>
  <c r="F145" i="8" s="1"/>
  <c r="J145" i="8" a="1"/>
  <c r="J145" i="8" s="1"/>
  <c r="I145" i="8" a="1"/>
  <c r="I145" i="8" s="1"/>
  <c r="H145" i="8" a="1"/>
  <c r="H145" i="8" s="1"/>
  <c r="E145" i="8" a="1"/>
  <c r="E145" i="8" s="1"/>
  <c r="O145" i="8" a="1"/>
  <c r="O145" i="8" s="1"/>
  <c r="K145" i="8" a="1"/>
  <c r="K145" i="8" s="1"/>
  <c r="M145" i="8" a="1"/>
  <c r="M145" i="8" s="1"/>
  <c r="L145" i="8" a="1"/>
  <c r="L145" i="8" s="1"/>
  <c r="G145" i="8" a="1"/>
  <c r="G145" i="8" s="1"/>
  <c r="L343" i="8" a="1"/>
  <c r="L343" i="8" s="1"/>
  <c r="K343" i="8" a="1"/>
  <c r="K343" i="8" s="1"/>
  <c r="J343" i="8" a="1"/>
  <c r="J343" i="8" s="1"/>
  <c r="I343" i="8" a="1"/>
  <c r="I343" i="8" s="1"/>
  <c r="O343" i="8" a="1"/>
  <c r="O343" i="8" s="1"/>
  <c r="G343" i="8" a="1"/>
  <c r="G343" i="8" s="1"/>
  <c r="M343" i="8" a="1"/>
  <c r="M343" i="8" s="1"/>
  <c r="E343" i="8" a="1"/>
  <c r="E343" i="8" s="1"/>
  <c r="N343" i="8" a="1"/>
  <c r="N343" i="8" s="1"/>
  <c r="H343" i="8" a="1"/>
  <c r="H343" i="8" s="1"/>
  <c r="F343" i="8" a="1"/>
  <c r="F343" i="8" s="1"/>
  <c r="J153" i="8" a="1"/>
  <c r="J153" i="8" s="1"/>
  <c r="N153" i="8" a="1"/>
  <c r="N153" i="8" s="1"/>
  <c r="F153" i="8" a="1"/>
  <c r="F153" i="8" s="1"/>
  <c r="M153" i="8" a="1"/>
  <c r="M153" i="8" s="1"/>
  <c r="E153" i="8" a="1"/>
  <c r="E153" i="8" s="1"/>
  <c r="L153" i="8" a="1"/>
  <c r="L153" i="8" s="1"/>
  <c r="O153" i="8" a="1"/>
  <c r="O153" i="8" s="1"/>
  <c r="K153" i="8" a="1"/>
  <c r="K153" i="8" s="1"/>
  <c r="I153" i="8" a="1"/>
  <c r="I153" i="8" s="1"/>
  <c r="H153" i="8" a="1"/>
  <c r="H153" i="8" s="1"/>
  <c r="G153" i="8" a="1"/>
  <c r="G153" i="8" s="1"/>
  <c r="O115" i="8" a="1"/>
  <c r="O115" i="8" s="1"/>
  <c r="G115" i="8" a="1"/>
  <c r="G115" i="8" s="1"/>
  <c r="N115" i="8" a="1"/>
  <c r="N115" i="8" s="1"/>
  <c r="F115" i="8" a="1"/>
  <c r="F115" i="8" s="1"/>
  <c r="M115" i="8" a="1"/>
  <c r="M115" i="8" s="1"/>
  <c r="E115" i="8" a="1"/>
  <c r="E115" i="8" s="1"/>
  <c r="H115" i="8" a="1"/>
  <c r="H115" i="8" s="1"/>
  <c r="L115" i="8" a="1"/>
  <c r="L115" i="8" s="1"/>
  <c r="K115" i="8" a="1"/>
  <c r="K115" i="8" s="1"/>
  <c r="J115" i="8" a="1"/>
  <c r="J115" i="8" s="1"/>
  <c r="I115" i="8" a="1"/>
  <c r="I115" i="8" s="1"/>
  <c r="J166" i="8" a="1"/>
  <c r="J166" i="8" s="1"/>
  <c r="I166" i="8" a="1"/>
  <c r="I166" i="8" s="1"/>
  <c r="O166" i="8" a="1"/>
  <c r="O166" i="8" s="1"/>
  <c r="G166" i="8" a="1"/>
  <c r="G166" i="8" s="1"/>
  <c r="N166" i="8" a="1"/>
  <c r="N166" i="8" s="1"/>
  <c r="F166" i="8" a="1"/>
  <c r="F166" i="8" s="1"/>
  <c r="M166" i="8" a="1"/>
  <c r="M166" i="8" s="1"/>
  <c r="E166" i="8" a="1"/>
  <c r="E166" i="8" s="1"/>
  <c r="L166" i="8" a="1"/>
  <c r="L166" i="8" s="1"/>
  <c r="K166" i="8" a="1"/>
  <c r="K166" i="8" s="1"/>
  <c r="H166" i="8" a="1"/>
  <c r="H166" i="8" s="1"/>
  <c r="I775" i="8" a="1"/>
  <c r="I775" i="8" s="1"/>
  <c r="O775" i="8" a="1"/>
  <c r="O775" i="8" s="1"/>
  <c r="E775" i="8" a="1"/>
  <c r="E775" i="8" s="1"/>
  <c r="N775" i="8" a="1"/>
  <c r="N775" i="8" s="1"/>
  <c r="M775" i="8" a="1"/>
  <c r="M775" i="8" s="1"/>
  <c r="L775" i="8" a="1"/>
  <c r="L775" i="8" s="1"/>
  <c r="K775" i="8" a="1"/>
  <c r="K775" i="8" s="1"/>
  <c r="H775" i="8" a="1"/>
  <c r="H775" i="8" s="1"/>
  <c r="G775" i="8" a="1"/>
  <c r="G775" i="8" s="1"/>
  <c r="J775" i="8" a="1"/>
  <c r="J775" i="8" s="1"/>
  <c r="F775" i="8" a="1"/>
  <c r="F775" i="8" s="1"/>
  <c r="J841" i="8" a="1"/>
  <c r="J841" i="8" s="1"/>
  <c r="N841" i="8" a="1"/>
  <c r="N841" i="8" s="1"/>
  <c r="F841" i="8" a="1"/>
  <c r="F841" i="8" s="1"/>
  <c r="E841" i="8" a="1"/>
  <c r="E841" i="8" s="1"/>
  <c r="O841" i="8" a="1"/>
  <c r="O841" i="8" s="1"/>
  <c r="M841" i="8" a="1"/>
  <c r="M841" i="8" s="1"/>
  <c r="L841" i="8" a="1"/>
  <c r="L841" i="8" s="1"/>
  <c r="K841" i="8" a="1"/>
  <c r="K841" i="8" s="1"/>
  <c r="I841" i="8" a="1"/>
  <c r="I841" i="8" s="1"/>
  <c r="H841" i="8" a="1"/>
  <c r="H841" i="8" s="1"/>
  <c r="G841" i="8" a="1"/>
  <c r="G841" i="8" s="1"/>
  <c r="H714" i="8" a="1"/>
  <c r="H714" i="8" s="1"/>
  <c r="L714" i="8" a="1"/>
  <c r="L714" i="8" s="1"/>
  <c r="J714" i="8" a="1"/>
  <c r="J714" i="8" s="1"/>
  <c r="I714" i="8" a="1"/>
  <c r="I714" i="8" s="1"/>
  <c r="G714" i="8" a="1"/>
  <c r="G714" i="8" s="1"/>
  <c r="F714" i="8" a="1"/>
  <c r="F714" i="8" s="1"/>
  <c r="E714" i="8" a="1"/>
  <c r="E714" i="8" s="1"/>
  <c r="O714" i="8" a="1"/>
  <c r="O714" i="8" s="1"/>
  <c r="N714" i="8" a="1"/>
  <c r="N714" i="8" s="1"/>
  <c r="M714" i="8" a="1"/>
  <c r="M714" i="8" s="1"/>
  <c r="K714" i="8" a="1"/>
  <c r="K714" i="8" s="1"/>
  <c r="K675" i="8" a="1"/>
  <c r="K675" i="8" s="1"/>
  <c r="J675" i="8" a="1"/>
  <c r="J675" i="8" s="1"/>
  <c r="I675" i="8" a="1"/>
  <c r="I675" i="8" s="1"/>
  <c r="H675" i="8" a="1"/>
  <c r="H675" i="8" s="1"/>
  <c r="O675" i="8" a="1"/>
  <c r="O675" i="8" s="1"/>
  <c r="G675" i="8" a="1"/>
  <c r="G675" i="8" s="1"/>
  <c r="N675" i="8" a="1"/>
  <c r="N675" i="8" s="1"/>
  <c r="F675" i="8" a="1"/>
  <c r="F675" i="8" s="1"/>
  <c r="M675" i="8" a="1"/>
  <c r="M675" i="8" s="1"/>
  <c r="E675" i="8" a="1"/>
  <c r="E675" i="8" s="1"/>
  <c r="L675" i="8" a="1"/>
  <c r="L675" i="8" s="1"/>
  <c r="N560" i="8" a="1"/>
  <c r="N560" i="8" s="1"/>
  <c r="F560" i="8" a="1"/>
  <c r="F560" i="8" s="1"/>
  <c r="O560" i="8" a="1"/>
  <c r="O560" i="8" s="1"/>
  <c r="M560" i="8" a="1"/>
  <c r="M560" i="8" s="1"/>
  <c r="L560" i="8" a="1"/>
  <c r="L560" i="8" s="1"/>
  <c r="K560" i="8" a="1"/>
  <c r="K560" i="8" s="1"/>
  <c r="I560" i="8" a="1"/>
  <c r="I560" i="8" s="1"/>
  <c r="H560" i="8" a="1"/>
  <c r="H560" i="8" s="1"/>
  <c r="G560" i="8" a="1"/>
  <c r="G560" i="8" s="1"/>
  <c r="J560" i="8" a="1"/>
  <c r="J560" i="8" s="1"/>
  <c r="E560" i="8" a="1"/>
  <c r="E560" i="8" s="1"/>
  <c r="N576" i="8" a="1"/>
  <c r="N576" i="8" s="1"/>
  <c r="F576" i="8" a="1"/>
  <c r="F576" i="8" s="1"/>
  <c r="L576" i="8" a="1"/>
  <c r="L576" i="8" s="1"/>
  <c r="K576" i="8" a="1"/>
  <c r="K576" i="8" s="1"/>
  <c r="J576" i="8" a="1"/>
  <c r="J576" i="8" s="1"/>
  <c r="I576" i="8" a="1"/>
  <c r="I576" i="8" s="1"/>
  <c r="H576" i="8" a="1"/>
  <c r="H576" i="8" s="1"/>
  <c r="G576" i="8" a="1"/>
  <c r="G576" i="8" s="1"/>
  <c r="E576" i="8" a="1"/>
  <c r="E576" i="8" s="1"/>
  <c r="O576" i="8" a="1"/>
  <c r="O576" i="8" s="1"/>
  <c r="M576" i="8" a="1"/>
  <c r="M576" i="8" s="1"/>
  <c r="J583" i="8" a="1"/>
  <c r="J583" i="8" s="1"/>
  <c r="I583" i="8" a="1"/>
  <c r="I583" i="8" s="1"/>
  <c r="H583" i="8" a="1"/>
  <c r="H583" i="8" s="1"/>
  <c r="N583" i="8" a="1"/>
  <c r="N583" i="8" s="1"/>
  <c r="F583" i="8" a="1"/>
  <c r="F583" i="8" s="1"/>
  <c r="M583" i="8" a="1"/>
  <c r="M583" i="8" s="1"/>
  <c r="E583" i="8" a="1"/>
  <c r="E583" i="8" s="1"/>
  <c r="G583" i="8" a="1"/>
  <c r="G583" i="8" s="1"/>
  <c r="O583" i="8" a="1"/>
  <c r="O583" i="8" s="1"/>
  <c r="L583" i="8" a="1"/>
  <c r="L583" i="8" s="1"/>
  <c r="K583" i="8" a="1"/>
  <c r="K583" i="8" s="1"/>
  <c r="H420" i="8" a="1"/>
  <c r="H420" i="8" s="1"/>
  <c r="N420" i="8" a="1"/>
  <c r="N420" i="8" s="1"/>
  <c r="F420" i="8" a="1"/>
  <c r="F420" i="8" s="1"/>
  <c r="E420" i="8" a="1"/>
  <c r="E420" i="8" s="1"/>
  <c r="O420" i="8" a="1"/>
  <c r="O420" i="8" s="1"/>
  <c r="L420" i="8" a="1"/>
  <c r="L420" i="8" s="1"/>
  <c r="K420" i="8" a="1"/>
  <c r="K420" i="8" s="1"/>
  <c r="J420" i="8" a="1"/>
  <c r="J420" i="8" s="1"/>
  <c r="I420" i="8" a="1"/>
  <c r="I420" i="8" s="1"/>
  <c r="G420" i="8" a="1"/>
  <c r="G420" i="8" s="1"/>
  <c r="M420" i="8" a="1"/>
  <c r="M420" i="8" s="1"/>
  <c r="I414" i="8" a="1"/>
  <c r="I414" i="8" s="1"/>
  <c r="O414" i="8" a="1"/>
  <c r="O414" i="8" s="1"/>
  <c r="G414" i="8" a="1"/>
  <c r="G414" i="8" s="1"/>
  <c r="H414" i="8" a="1"/>
  <c r="H414" i="8" s="1"/>
  <c r="F414" i="8" a="1"/>
  <c r="F414" i="8" s="1"/>
  <c r="E414" i="8" a="1"/>
  <c r="E414" i="8" s="1"/>
  <c r="N414" i="8" a="1"/>
  <c r="N414" i="8" s="1"/>
  <c r="M414" i="8" a="1"/>
  <c r="M414" i="8" s="1"/>
  <c r="L414" i="8" a="1"/>
  <c r="L414" i="8" s="1"/>
  <c r="K414" i="8" a="1"/>
  <c r="K414" i="8" s="1"/>
  <c r="J414" i="8" a="1"/>
  <c r="J414" i="8" s="1"/>
  <c r="J443" i="8" a="1"/>
  <c r="J443" i="8" s="1"/>
  <c r="I443" i="8" a="1"/>
  <c r="I443" i="8" s="1"/>
  <c r="M443" i="8" a="1"/>
  <c r="M443" i="8" s="1"/>
  <c r="E443" i="8" a="1"/>
  <c r="E443" i="8" s="1"/>
  <c r="L443" i="8" a="1"/>
  <c r="L443" i="8" s="1"/>
  <c r="N443" i="8" a="1"/>
  <c r="N443" i="8" s="1"/>
  <c r="K443" i="8" a="1"/>
  <c r="K443" i="8" s="1"/>
  <c r="H443" i="8" a="1"/>
  <c r="H443" i="8" s="1"/>
  <c r="F443" i="8" a="1"/>
  <c r="F443" i="8" s="1"/>
  <c r="G443" i="8" a="1"/>
  <c r="G443" i="8" s="1"/>
  <c r="O443" i="8" a="1"/>
  <c r="O443" i="8" s="1"/>
  <c r="O358" i="8" a="1"/>
  <c r="O358" i="8" s="1"/>
  <c r="G358" i="8" a="1"/>
  <c r="G358" i="8" s="1"/>
  <c r="K358" i="8" a="1"/>
  <c r="K358" i="8" s="1"/>
  <c r="H358" i="8" a="1"/>
  <c r="H358" i="8" s="1"/>
  <c r="F358" i="8" a="1"/>
  <c r="F358" i="8" s="1"/>
  <c r="E358" i="8" a="1"/>
  <c r="E358" i="8" s="1"/>
  <c r="N358" i="8" a="1"/>
  <c r="N358" i="8" s="1"/>
  <c r="M358" i="8" a="1"/>
  <c r="M358" i="8" s="1"/>
  <c r="J358" i="8" a="1"/>
  <c r="J358" i="8" s="1"/>
  <c r="L358" i="8" a="1"/>
  <c r="L358" i="8" s="1"/>
  <c r="I358" i="8" a="1"/>
  <c r="I358" i="8" s="1"/>
  <c r="K375" i="8" a="1"/>
  <c r="K375" i="8" s="1"/>
  <c r="J375" i="8" a="1"/>
  <c r="J375" i="8" s="1"/>
  <c r="O375" i="8" a="1"/>
  <c r="O375" i="8" s="1"/>
  <c r="G375" i="8" a="1"/>
  <c r="G375" i="8" s="1"/>
  <c r="N375" i="8" a="1"/>
  <c r="N375" i="8" s="1"/>
  <c r="F375" i="8" a="1"/>
  <c r="F375" i="8" s="1"/>
  <c r="M375" i="8" a="1"/>
  <c r="M375" i="8" s="1"/>
  <c r="E375" i="8" a="1"/>
  <c r="E375" i="8" s="1"/>
  <c r="L375" i="8" a="1"/>
  <c r="L375" i="8" s="1"/>
  <c r="H375" i="8" a="1"/>
  <c r="H375" i="8" s="1"/>
  <c r="I375" i="8" a="1"/>
  <c r="I375" i="8" s="1"/>
  <c r="O383" i="8" a="1"/>
  <c r="O383" i="8" s="1"/>
  <c r="G383" i="8" a="1"/>
  <c r="G383" i="8" s="1"/>
  <c r="N383" i="8" a="1"/>
  <c r="N383" i="8" s="1"/>
  <c r="F383" i="8" a="1"/>
  <c r="F383" i="8" s="1"/>
  <c r="K383" i="8" a="1"/>
  <c r="K383" i="8" s="1"/>
  <c r="J383" i="8" a="1"/>
  <c r="J383" i="8" s="1"/>
  <c r="I383" i="8" a="1"/>
  <c r="I383" i="8" s="1"/>
  <c r="M383" i="8" a="1"/>
  <c r="M383" i="8" s="1"/>
  <c r="L383" i="8" a="1"/>
  <c r="L383" i="8" s="1"/>
  <c r="H383" i="8" a="1"/>
  <c r="H383" i="8" s="1"/>
  <c r="E383" i="8" a="1"/>
  <c r="E383" i="8" s="1"/>
  <c r="M354" i="8" a="1"/>
  <c r="M354" i="8" s="1"/>
  <c r="N354" i="8" a="1"/>
  <c r="N354" i="8" s="1"/>
  <c r="L354" i="8" a="1"/>
  <c r="L354" i="8" s="1"/>
  <c r="K354" i="8" a="1"/>
  <c r="K354" i="8" s="1"/>
  <c r="I354" i="8" a="1"/>
  <c r="I354" i="8" s="1"/>
  <c r="H354" i="8" a="1"/>
  <c r="H354" i="8" s="1"/>
  <c r="G354" i="8" a="1"/>
  <c r="G354" i="8" s="1"/>
  <c r="F354" i="8" a="1"/>
  <c r="F354" i="8" s="1"/>
  <c r="O354" i="8" a="1"/>
  <c r="O354" i="8" s="1"/>
  <c r="J354" i="8" a="1"/>
  <c r="J354" i="8" s="1"/>
  <c r="E354" i="8" a="1"/>
  <c r="E354" i="8" s="1"/>
  <c r="J281" i="8" a="1"/>
  <c r="J281" i="8" s="1"/>
  <c r="L281" i="8" a="1"/>
  <c r="L281" i="8" s="1"/>
  <c r="K281" i="8" a="1"/>
  <c r="K281" i="8" s="1"/>
  <c r="I281" i="8" a="1"/>
  <c r="I281" i="8" s="1"/>
  <c r="H281" i="8" a="1"/>
  <c r="H281" i="8" s="1"/>
  <c r="G281" i="8" a="1"/>
  <c r="G281" i="8" s="1"/>
  <c r="F281" i="8" a="1"/>
  <c r="F281" i="8" s="1"/>
  <c r="E281" i="8" a="1"/>
  <c r="E281" i="8" s="1"/>
  <c r="O281" i="8" a="1"/>
  <c r="O281" i="8" s="1"/>
  <c r="N281" i="8" a="1"/>
  <c r="N281" i="8" s="1"/>
  <c r="M281" i="8" a="1"/>
  <c r="M281" i="8" s="1"/>
  <c r="J265" i="8" a="1"/>
  <c r="J265" i="8" s="1"/>
  <c r="I265" i="8" a="1"/>
  <c r="I265" i="8" s="1"/>
  <c r="H265" i="8" a="1"/>
  <c r="H265" i="8" s="1"/>
  <c r="O265" i="8" a="1"/>
  <c r="O265" i="8" s="1"/>
  <c r="G265" i="8" a="1"/>
  <c r="G265" i="8" s="1"/>
  <c r="N265" i="8" a="1"/>
  <c r="N265" i="8" s="1"/>
  <c r="F265" i="8" a="1"/>
  <c r="F265" i="8" s="1"/>
  <c r="M265" i="8" a="1"/>
  <c r="M265" i="8" s="1"/>
  <c r="E265" i="8" a="1"/>
  <c r="E265" i="8" s="1"/>
  <c r="L265" i="8" a="1"/>
  <c r="L265" i="8" s="1"/>
  <c r="K265" i="8" a="1"/>
  <c r="K265" i="8" s="1"/>
  <c r="M196" i="8" a="1"/>
  <c r="M196" i="8" s="1"/>
  <c r="E196" i="8" a="1"/>
  <c r="E196" i="8" s="1"/>
  <c r="L196" i="8" a="1"/>
  <c r="L196" i="8" s="1"/>
  <c r="K196" i="8" a="1"/>
  <c r="K196" i="8" s="1"/>
  <c r="J196" i="8" a="1"/>
  <c r="J196" i="8" s="1"/>
  <c r="I196" i="8" a="1"/>
  <c r="I196" i="8" s="1"/>
  <c r="H196" i="8" a="1"/>
  <c r="H196" i="8" s="1"/>
  <c r="G196" i="8" a="1"/>
  <c r="G196" i="8" s="1"/>
  <c r="F196" i="8" a="1"/>
  <c r="F196" i="8" s="1"/>
  <c r="N196" i="8" a="1"/>
  <c r="N196" i="8" s="1"/>
  <c r="O196" i="8" a="1"/>
  <c r="O196" i="8" s="1"/>
  <c r="N142" i="8" a="1"/>
  <c r="N142" i="8" s="1"/>
  <c r="F142" i="8" a="1"/>
  <c r="F142" i="8" s="1"/>
  <c r="M142" i="8" a="1"/>
  <c r="M142" i="8" s="1"/>
  <c r="E142" i="8" a="1"/>
  <c r="E142" i="8" s="1"/>
  <c r="K142" i="8" a="1"/>
  <c r="K142" i="8" s="1"/>
  <c r="J142" i="8" a="1"/>
  <c r="J142" i="8" s="1"/>
  <c r="I142" i="8" a="1"/>
  <c r="I142" i="8" s="1"/>
  <c r="L142" i="8" a="1"/>
  <c r="L142" i="8" s="1"/>
  <c r="H142" i="8" a="1"/>
  <c r="H142" i="8" s="1"/>
  <c r="G142" i="8" a="1"/>
  <c r="G142" i="8" s="1"/>
  <c r="O142" i="8" a="1"/>
  <c r="O142" i="8" s="1"/>
  <c r="M16" i="8" a="1"/>
  <c r="M16" i="8" s="1"/>
  <c r="E16" i="8" a="1"/>
  <c r="E16" i="8" s="1"/>
  <c r="L16" i="8" a="1"/>
  <c r="L16" i="8" s="1"/>
  <c r="K16" i="8" a="1"/>
  <c r="K16" i="8" s="1"/>
  <c r="J16" i="8" a="1"/>
  <c r="J16" i="8" s="1"/>
  <c r="I16" i="8" a="1"/>
  <c r="I16" i="8" s="1"/>
  <c r="H16" i="8" a="1"/>
  <c r="H16" i="8" s="1"/>
  <c r="O16" i="8" a="1"/>
  <c r="O16" i="8" s="1"/>
  <c r="G16" i="8" a="1"/>
  <c r="G16" i="8" s="1"/>
  <c r="N16" i="8" a="1"/>
  <c r="N16" i="8" s="1"/>
  <c r="F16" i="8" a="1"/>
  <c r="F16" i="8" s="1"/>
  <c r="M61" i="8" a="1"/>
  <c r="M61" i="8" s="1"/>
  <c r="E61" i="8" a="1"/>
  <c r="E61" i="8" s="1"/>
  <c r="G61" i="8" a="1"/>
  <c r="G61" i="8" s="1"/>
  <c r="L61" i="8" a="1"/>
  <c r="L61" i="8" s="1"/>
  <c r="O61" i="8" a="1"/>
  <c r="O61" i="8" s="1"/>
  <c r="K61" i="8" a="1"/>
  <c r="K61" i="8" s="1"/>
  <c r="J61" i="8" a="1"/>
  <c r="J61" i="8" s="1"/>
  <c r="I61" i="8" a="1"/>
  <c r="I61" i="8" s="1"/>
  <c r="H61" i="8" a="1"/>
  <c r="H61" i="8" s="1"/>
  <c r="F61" i="8" a="1"/>
  <c r="F61" i="8" s="1"/>
  <c r="N61" i="8" a="1"/>
  <c r="N61" i="8" s="1"/>
  <c r="L83" i="8" a="1"/>
  <c r="L83" i="8" s="1"/>
  <c r="N83" i="8" a="1"/>
  <c r="N83" i="8" s="1"/>
  <c r="K83" i="8" a="1"/>
  <c r="K83" i="8" s="1"/>
  <c r="J83" i="8" a="1"/>
  <c r="J83" i="8" s="1"/>
  <c r="I83" i="8" a="1"/>
  <c r="I83" i="8" s="1"/>
  <c r="F83" i="8" a="1"/>
  <c r="F83" i="8" s="1"/>
  <c r="H83" i="8" a="1"/>
  <c r="H83" i="8" s="1"/>
  <c r="O83" i="8" a="1"/>
  <c r="O83" i="8" s="1"/>
  <c r="G83" i="8" a="1"/>
  <c r="G83" i="8" s="1"/>
  <c r="M83" i="8" a="1"/>
  <c r="M83" i="8" s="1"/>
  <c r="E83" i="8" a="1"/>
  <c r="E83" i="8" s="1"/>
  <c r="N126" i="8" a="1"/>
  <c r="N126" i="8" s="1"/>
  <c r="F126" i="8" a="1"/>
  <c r="F126" i="8" s="1"/>
  <c r="M126" i="8" a="1"/>
  <c r="M126" i="8" s="1"/>
  <c r="E126" i="8" a="1"/>
  <c r="E126" i="8" s="1"/>
  <c r="J126" i="8" a="1"/>
  <c r="J126" i="8" s="1"/>
  <c r="I126" i="8" a="1"/>
  <c r="I126" i="8" s="1"/>
  <c r="O126" i="8" a="1"/>
  <c r="O126" i="8" s="1"/>
  <c r="L126" i="8" a="1"/>
  <c r="L126" i="8" s="1"/>
  <c r="K126" i="8" a="1"/>
  <c r="K126" i="8" s="1"/>
  <c r="H126" i="8" a="1"/>
  <c r="H126" i="8" s="1"/>
  <c r="G126" i="8" a="1"/>
  <c r="G126" i="8" s="1"/>
  <c r="I56" i="8" a="1"/>
  <c r="I56" i="8" s="1"/>
  <c r="H56" i="8" a="1"/>
  <c r="H56" i="8" s="1"/>
  <c r="O56" i="8" a="1"/>
  <c r="O56" i="8" s="1"/>
  <c r="G56" i="8" a="1"/>
  <c r="G56" i="8" s="1"/>
  <c r="N56" i="8" a="1"/>
  <c r="N56" i="8" s="1"/>
  <c r="F56" i="8" a="1"/>
  <c r="F56" i="8" s="1"/>
  <c r="M56" i="8" a="1"/>
  <c r="M56" i="8" s="1"/>
  <c r="E56" i="8" a="1"/>
  <c r="E56" i="8" s="1"/>
  <c r="L56" i="8" a="1"/>
  <c r="L56" i="8" s="1"/>
  <c r="K56" i="8" a="1"/>
  <c r="K56" i="8" s="1"/>
  <c r="J56" i="8" a="1"/>
  <c r="J56" i="8" s="1"/>
  <c r="J50" i="8" a="1"/>
  <c r="J50" i="8" s="1"/>
  <c r="I50" i="8" a="1"/>
  <c r="I50" i="8" s="1"/>
  <c r="H50" i="8" a="1"/>
  <c r="H50" i="8" s="1"/>
  <c r="O50" i="8" a="1"/>
  <c r="O50" i="8" s="1"/>
  <c r="G50" i="8" a="1"/>
  <c r="G50" i="8" s="1"/>
  <c r="N50" i="8" a="1"/>
  <c r="N50" i="8" s="1"/>
  <c r="F50" i="8" a="1"/>
  <c r="F50" i="8" s="1"/>
  <c r="M50" i="8" a="1"/>
  <c r="M50" i="8" s="1"/>
  <c r="E50" i="8" a="1"/>
  <c r="E50" i="8" s="1"/>
  <c r="L50" i="8" a="1"/>
  <c r="L50" i="8" s="1"/>
  <c r="K50" i="8" a="1"/>
  <c r="K50" i="8" s="1"/>
  <c r="I711" i="8" a="1"/>
  <c r="I711" i="8" s="1"/>
  <c r="H711" i="8" a="1"/>
  <c r="H711" i="8" s="1"/>
  <c r="N711" i="8" a="1"/>
  <c r="N711" i="8" s="1"/>
  <c r="F711" i="8" a="1"/>
  <c r="F711" i="8" s="1"/>
  <c r="M711" i="8" a="1"/>
  <c r="M711" i="8" s="1"/>
  <c r="E711" i="8" a="1"/>
  <c r="E711" i="8" s="1"/>
  <c r="L711" i="8" a="1"/>
  <c r="L711" i="8" s="1"/>
  <c r="K711" i="8" a="1"/>
  <c r="K711" i="8" s="1"/>
  <c r="J711" i="8" a="1"/>
  <c r="J711" i="8" s="1"/>
  <c r="G711" i="8" a="1"/>
  <c r="G711" i="8" s="1"/>
  <c r="O711" i="8" a="1"/>
  <c r="O711" i="8" s="1"/>
  <c r="H677" i="8" a="1"/>
  <c r="H677" i="8" s="1"/>
  <c r="O677" i="8" a="1"/>
  <c r="O677" i="8" s="1"/>
  <c r="G677" i="8" a="1"/>
  <c r="G677" i="8" s="1"/>
  <c r="N677" i="8" a="1"/>
  <c r="N677" i="8" s="1"/>
  <c r="F677" i="8" a="1"/>
  <c r="F677" i="8" s="1"/>
  <c r="M677" i="8" a="1"/>
  <c r="M677" i="8" s="1"/>
  <c r="E677" i="8" a="1"/>
  <c r="E677" i="8" s="1"/>
  <c r="L677" i="8" a="1"/>
  <c r="L677" i="8" s="1"/>
  <c r="K677" i="8" a="1"/>
  <c r="K677" i="8" s="1"/>
  <c r="J677" i="8" a="1"/>
  <c r="J677" i="8" s="1"/>
  <c r="I677" i="8" a="1"/>
  <c r="I677" i="8" s="1"/>
  <c r="L688" i="8" a="1"/>
  <c r="L688" i="8" s="1"/>
  <c r="K688" i="8" a="1"/>
  <c r="K688" i="8" s="1"/>
  <c r="J688" i="8" a="1"/>
  <c r="J688" i="8" s="1"/>
  <c r="I688" i="8" a="1"/>
  <c r="I688" i="8" s="1"/>
  <c r="O688" i="8" a="1"/>
  <c r="O688" i="8" s="1"/>
  <c r="G688" i="8" a="1"/>
  <c r="G688" i="8" s="1"/>
  <c r="F688" i="8" a="1"/>
  <c r="F688" i="8" s="1"/>
  <c r="E688" i="8" a="1"/>
  <c r="E688" i="8" s="1"/>
  <c r="N688" i="8" a="1"/>
  <c r="N688" i="8" s="1"/>
  <c r="M688" i="8" a="1"/>
  <c r="M688" i="8" s="1"/>
  <c r="H688" i="8" a="1"/>
  <c r="H688" i="8" s="1"/>
  <c r="I573" i="8" a="1"/>
  <c r="I573" i="8" s="1"/>
  <c r="H573" i="8" a="1"/>
  <c r="H573" i="8" s="1"/>
  <c r="O573" i="8" a="1"/>
  <c r="O573" i="8" s="1"/>
  <c r="G573" i="8" a="1"/>
  <c r="G573" i="8" s="1"/>
  <c r="M573" i="8" a="1"/>
  <c r="M573" i="8" s="1"/>
  <c r="E573" i="8" a="1"/>
  <c r="E573" i="8" s="1"/>
  <c r="L573" i="8" a="1"/>
  <c r="L573" i="8" s="1"/>
  <c r="N573" i="8" a="1"/>
  <c r="N573" i="8" s="1"/>
  <c r="J573" i="8" a="1"/>
  <c r="J573" i="8" s="1"/>
  <c r="K573" i="8" a="1"/>
  <c r="K573" i="8" s="1"/>
  <c r="F573" i="8" a="1"/>
  <c r="F573" i="8" s="1"/>
  <c r="O448" i="8" a="1"/>
  <c r="O448" i="8" s="1"/>
  <c r="G448" i="8" a="1"/>
  <c r="G448" i="8" s="1"/>
  <c r="N448" i="8" a="1"/>
  <c r="N448" i="8" s="1"/>
  <c r="F448" i="8" a="1"/>
  <c r="F448" i="8" s="1"/>
  <c r="M448" i="8" a="1"/>
  <c r="M448" i="8" s="1"/>
  <c r="E448" i="8" a="1"/>
  <c r="E448" i="8" s="1"/>
  <c r="L448" i="8" a="1"/>
  <c r="L448" i="8" s="1"/>
  <c r="J448" i="8" a="1"/>
  <c r="J448" i="8" s="1"/>
  <c r="I448" i="8" a="1"/>
  <c r="I448" i="8" s="1"/>
  <c r="K448" i="8" a="1"/>
  <c r="K448" i="8" s="1"/>
  <c r="H448" i="8" a="1"/>
  <c r="H448" i="8" s="1"/>
  <c r="I362" i="8" a="1"/>
  <c r="I362" i="8" s="1"/>
  <c r="M362" i="8" a="1"/>
  <c r="M362" i="8" s="1"/>
  <c r="E362" i="8" a="1"/>
  <c r="E362" i="8" s="1"/>
  <c r="H362" i="8" a="1"/>
  <c r="H362" i="8" s="1"/>
  <c r="F362" i="8" a="1"/>
  <c r="F362" i="8" s="1"/>
  <c r="O362" i="8" a="1"/>
  <c r="O362" i="8" s="1"/>
  <c r="N362" i="8" a="1"/>
  <c r="N362" i="8" s="1"/>
  <c r="K362" i="8" a="1"/>
  <c r="K362" i="8" s="1"/>
  <c r="L362" i="8" a="1"/>
  <c r="L362" i="8" s="1"/>
  <c r="J362" i="8" a="1"/>
  <c r="J362" i="8" s="1"/>
  <c r="G362" i="8" a="1"/>
  <c r="G362" i="8" s="1"/>
  <c r="I143" i="8" a="1"/>
  <c r="I143" i="8" s="1"/>
  <c r="M143" i="8" a="1"/>
  <c r="M143" i="8" s="1"/>
  <c r="E143" i="8" a="1"/>
  <c r="E143" i="8" s="1"/>
  <c r="L143" i="8" a="1"/>
  <c r="L143" i="8" s="1"/>
  <c r="K143" i="8" a="1"/>
  <c r="K143" i="8" s="1"/>
  <c r="O143" i="8" a="1"/>
  <c r="O143" i="8" s="1"/>
  <c r="N143" i="8" a="1"/>
  <c r="N143" i="8" s="1"/>
  <c r="J143" i="8" a="1"/>
  <c r="J143" i="8" s="1"/>
  <c r="H143" i="8" a="1"/>
  <c r="H143" i="8" s="1"/>
  <c r="G143" i="8" a="1"/>
  <c r="G143" i="8" s="1"/>
  <c r="F143" i="8" a="1"/>
  <c r="F143" i="8" s="1"/>
  <c r="K163" i="8" a="1"/>
  <c r="K163" i="8" s="1"/>
  <c r="O163" i="8" a="1"/>
  <c r="O163" i="8" s="1"/>
  <c r="G163" i="8" a="1"/>
  <c r="G163" i="8" s="1"/>
  <c r="N163" i="8" a="1"/>
  <c r="N163" i="8" s="1"/>
  <c r="F163" i="8" a="1"/>
  <c r="F163" i="8" s="1"/>
  <c r="M163" i="8" a="1"/>
  <c r="M163" i="8" s="1"/>
  <c r="E163" i="8" a="1"/>
  <c r="E163" i="8" s="1"/>
  <c r="J163" i="8" a="1"/>
  <c r="J163" i="8" s="1"/>
  <c r="I163" i="8" a="1"/>
  <c r="I163" i="8" s="1"/>
  <c r="H163" i="8" a="1"/>
  <c r="H163" i="8" s="1"/>
  <c r="L163" i="8" a="1"/>
  <c r="L163" i="8" s="1"/>
  <c r="L51" i="8" a="1"/>
  <c r="L51" i="8" s="1"/>
  <c r="K51" i="8" a="1"/>
  <c r="K51" i="8" s="1"/>
  <c r="J51" i="8" a="1"/>
  <c r="J51" i="8" s="1"/>
  <c r="I51" i="8" a="1"/>
  <c r="I51" i="8" s="1"/>
  <c r="N51" i="8" a="1"/>
  <c r="N51" i="8" s="1"/>
  <c r="H51" i="8" a="1"/>
  <c r="H51" i="8" s="1"/>
  <c r="O51" i="8" a="1"/>
  <c r="O51" i="8" s="1"/>
  <c r="G51" i="8" a="1"/>
  <c r="G51" i="8" s="1"/>
  <c r="F51" i="8" a="1"/>
  <c r="F51" i="8" s="1"/>
  <c r="M51" i="8" a="1"/>
  <c r="M51" i="8" s="1"/>
  <c r="E51" i="8" a="1"/>
  <c r="E51" i="8" s="1"/>
  <c r="K923" i="8" a="1"/>
  <c r="K923" i="8" s="1"/>
  <c r="J923" i="8" a="1"/>
  <c r="J923" i="8" s="1"/>
  <c r="M923" i="8" a="1"/>
  <c r="M923" i="8" s="1"/>
  <c r="E923" i="8" a="1"/>
  <c r="E923" i="8" s="1"/>
  <c r="O923" i="8" a="1"/>
  <c r="O923" i="8" s="1"/>
  <c r="N923" i="8" a="1"/>
  <c r="N923" i="8" s="1"/>
  <c r="L923" i="8" a="1"/>
  <c r="L923" i="8" s="1"/>
  <c r="H923" i="8" a="1"/>
  <c r="H923" i="8" s="1"/>
  <c r="G923" i="8" a="1"/>
  <c r="G923" i="8" s="1"/>
  <c r="I923" i="8" a="1"/>
  <c r="I923" i="8" s="1"/>
  <c r="F923" i="8" a="1"/>
  <c r="F923" i="8" s="1"/>
  <c r="I876" i="8" a="1"/>
  <c r="I876" i="8" s="1"/>
  <c r="H876" i="8" a="1"/>
  <c r="H876" i="8" s="1"/>
  <c r="O876" i="8" a="1"/>
  <c r="O876" i="8" s="1"/>
  <c r="G876" i="8" a="1"/>
  <c r="G876" i="8" s="1"/>
  <c r="M876" i="8" a="1"/>
  <c r="M876" i="8" s="1"/>
  <c r="E876" i="8" a="1"/>
  <c r="E876" i="8" s="1"/>
  <c r="N876" i="8" a="1"/>
  <c r="N876" i="8" s="1"/>
  <c r="L876" i="8" a="1"/>
  <c r="L876" i="8" s="1"/>
  <c r="K876" i="8" a="1"/>
  <c r="K876" i="8" s="1"/>
  <c r="J876" i="8" a="1"/>
  <c r="J876" i="8" s="1"/>
  <c r="F876" i="8" a="1"/>
  <c r="F876" i="8" s="1"/>
  <c r="J857" i="8" a="1"/>
  <c r="J857" i="8" s="1"/>
  <c r="N857" i="8" a="1"/>
  <c r="N857" i="8" s="1"/>
  <c r="F857" i="8" a="1"/>
  <c r="F857" i="8" s="1"/>
  <c r="L857" i="8" a="1"/>
  <c r="L857" i="8" s="1"/>
  <c r="K857" i="8" a="1"/>
  <c r="K857" i="8" s="1"/>
  <c r="I857" i="8" a="1"/>
  <c r="I857" i="8" s="1"/>
  <c r="H857" i="8" a="1"/>
  <c r="H857" i="8" s="1"/>
  <c r="G857" i="8" a="1"/>
  <c r="G857" i="8" s="1"/>
  <c r="E857" i="8" a="1"/>
  <c r="E857" i="8" s="1"/>
  <c r="O857" i="8" a="1"/>
  <c r="O857" i="8" s="1"/>
  <c r="M857" i="8" a="1"/>
  <c r="M857" i="8" s="1"/>
  <c r="N809" i="8" a="1"/>
  <c r="N809" i="8" s="1"/>
  <c r="F809" i="8" a="1"/>
  <c r="F809" i="8" s="1"/>
  <c r="K809" i="8" a="1"/>
  <c r="K809" i="8" s="1"/>
  <c r="H809" i="8" a="1"/>
  <c r="H809" i="8" s="1"/>
  <c r="O809" i="8" a="1"/>
  <c r="O809" i="8" s="1"/>
  <c r="M809" i="8" a="1"/>
  <c r="M809" i="8" s="1"/>
  <c r="L809" i="8" a="1"/>
  <c r="L809" i="8" s="1"/>
  <c r="J809" i="8" a="1"/>
  <c r="J809" i="8" s="1"/>
  <c r="I809" i="8" a="1"/>
  <c r="I809" i="8" s="1"/>
  <c r="G809" i="8" a="1"/>
  <c r="G809" i="8" s="1"/>
  <c r="E809" i="8" a="1"/>
  <c r="E809" i="8" s="1"/>
  <c r="M703" i="8" a="1"/>
  <c r="M703" i="8" s="1"/>
  <c r="E703" i="8" a="1"/>
  <c r="E703" i="8" s="1"/>
  <c r="L703" i="8" a="1"/>
  <c r="L703" i="8" s="1"/>
  <c r="I703" i="8" a="1"/>
  <c r="I703" i="8" s="1"/>
  <c r="H703" i="8" a="1"/>
  <c r="H703" i="8" s="1"/>
  <c r="G703" i="8" a="1"/>
  <c r="G703" i="8" s="1"/>
  <c r="F703" i="8" a="1"/>
  <c r="F703" i="8" s="1"/>
  <c r="O703" i="8" a="1"/>
  <c r="O703" i="8" s="1"/>
  <c r="K703" i="8" a="1"/>
  <c r="K703" i="8" s="1"/>
  <c r="J703" i="8" a="1"/>
  <c r="J703" i="8" s="1"/>
  <c r="N703" i="8" a="1"/>
  <c r="N703" i="8" s="1"/>
  <c r="K779" i="8" a="1"/>
  <c r="K779" i="8" s="1"/>
  <c r="N779" i="8" a="1"/>
  <c r="N779" i="8" s="1"/>
  <c r="M779" i="8" a="1"/>
  <c r="M779" i="8" s="1"/>
  <c r="L779" i="8" a="1"/>
  <c r="L779" i="8" s="1"/>
  <c r="J779" i="8" a="1"/>
  <c r="J779" i="8" s="1"/>
  <c r="H779" i="8" a="1"/>
  <c r="H779" i="8" s="1"/>
  <c r="G779" i="8" a="1"/>
  <c r="G779" i="8" s="1"/>
  <c r="F779" i="8" a="1"/>
  <c r="F779" i="8" s="1"/>
  <c r="O779" i="8" a="1"/>
  <c r="O779" i="8" s="1"/>
  <c r="I779" i="8" a="1"/>
  <c r="I779" i="8" s="1"/>
  <c r="E779" i="8" a="1"/>
  <c r="E779" i="8" s="1"/>
  <c r="J652" i="8" a="1"/>
  <c r="J652" i="8" s="1"/>
  <c r="I652" i="8" a="1"/>
  <c r="I652" i="8" s="1"/>
  <c r="H652" i="8" a="1"/>
  <c r="H652" i="8" s="1"/>
  <c r="O652" i="8" a="1"/>
  <c r="O652" i="8" s="1"/>
  <c r="G652" i="8" a="1"/>
  <c r="G652" i="8" s="1"/>
  <c r="F652" i="8" a="1"/>
  <c r="F652" i="8" s="1"/>
  <c r="M652" i="8" a="1"/>
  <c r="M652" i="8" s="1"/>
  <c r="L652" i="8" a="1"/>
  <c r="L652" i="8" s="1"/>
  <c r="E652" i="8" a="1"/>
  <c r="E652" i="8" s="1"/>
  <c r="N652" i="8" a="1"/>
  <c r="N652" i="8" s="1"/>
  <c r="K652" i="8" a="1"/>
  <c r="K652" i="8" s="1"/>
  <c r="M600" i="8" a="1"/>
  <c r="M600" i="8" s="1"/>
  <c r="E600" i="8" a="1"/>
  <c r="E600" i="8" s="1"/>
  <c r="J600" i="8" a="1"/>
  <c r="J600" i="8" s="1"/>
  <c r="H600" i="8" a="1"/>
  <c r="H600" i="8" s="1"/>
  <c r="L600" i="8" a="1"/>
  <c r="L600" i="8" s="1"/>
  <c r="K600" i="8" a="1"/>
  <c r="K600" i="8" s="1"/>
  <c r="I600" i="8" a="1"/>
  <c r="I600" i="8" s="1"/>
  <c r="G600" i="8" a="1"/>
  <c r="G600" i="8" s="1"/>
  <c r="F600" i="8" a="1"/>
  <c r="F600" i="8" s="1"/>
  <c r="O600" i="8" a="1"/>
  <c r="O600" i="8" s="1"/>
  <c r="N600" i="8" a="1"/>
  <c r="N600" i="8" s="1"/>
  <c r="O505" i="8" a="1"/>
  <c r="O505" i="8" s="1"/>
  <c r="G505" i="8" a="1"/>
  <c r="G505" i="8" s="1"/>
  <c r="N505" i="8" a="1"/>
  <c r="N505" i="8" s="1"/>
  <c r="F505" i="8" a="1"/>
  <c r="F505" i="8" s="1"/>
  <c r="M505" i="8" a="1"/>
  <c r="M505" i="8" s="1"/>
  <c r="E505" i="8" a="1"/>
  <c r="E505" i="8" s="1"/>
  <c r="L505" i="8" a="1"/>
  <c r="L505" i="8" s="1"/>
  <c r="J505" i="8" a="1"/>
  <c r="J505" i="8" s="1"/>
  <c r="I505" i="8" a="1"/>
  <c r="I505" i="8" s="1"/>
  <c r="H505" i="8" a="1"/>
  <c r="H505" i="8" s="1"/>
  <c r="K505" i="8" a="1"/>
  <c r="K505" i="8" s="1"/>
  <c r="M548" i="8" a="1"/>
  <c r="M548" i="8" s="1"/>
  <c r="E548" i="8" a="1"/>
  <c r="E548" i="8" s="1"/>
  <c r="L548" i="8" a="1"/>
  <c r="L548" i="8" s="1"/>
  <c r="K548" i="8" a="1"/>
  <c r="K548" i="8" s="1"/>
  <c r="I548" i="8" a="1"/>
  <c r="I548" i="8" s="1"/>
  <c r="O548" i="8" a="1"/>
  <c r="O548" i="8" s="1"/>
  <c r="N548" i="8" a="1"/>
  <c r="N548" i="8" s="1"/>
  <c r="J548" i="8" a="1"/>
  <c r="J548" i="8" s="1"/>
  <c r="H548" i="8" a="1"/>
  <c r="H548" i="8" s="1"/>
  <c r="G548" i="8" a="1"/>
  <c r="G548" i="8" s="1"/>
  <c r="F548" i="8" a="1"/>
  <c r="F548" i="8" s="1"/>
  <c r="N542" i="8" a="1"/>
  <c r="N542" i="8" s="1"/>
  <c r="F542" i="8" a="1"/>
  <c r="F542" i="8" s="1"/>
  <c r="M542" i="8" a="1"/>
  <c r="M542" i="8" s="1"/>
  <c r="E542" i="8" a="1"/>
  <c r="E542" i="8" s="1"/>
  <c r="J542" i="8" a="1"/>
  <c r="J542" i="8" s="1"/>
  <c r="K542" i="8" a="1"/>
  <c r="K542" i="8" s="1"/>
  <c r="I542" i="8" a="1"/>
  <c r="I542" i="8" s="1"/>
  <c r="H542" i="8" a="1"/>
  <c r="H542" i="8" s="1"/>
  <c r="G542" i="8" a="1"/>
  <c r="G542" i="8" s="1"/>
  <c r="O542" i="8" a="1"/>
  <c r="O542" i="8" s="1"/>
  <c r="L542" i="8" a="1"/>
  <c r="L542" i="8" s="1"/>
  <c r="K421" i="8" a="1"/>
  <c r="K421" i="8" s="1"/>
  <c r="J421" i="8" a="1"/>
  <c r="J421" i="8" s="1"/>
  <c r="N421" i="8" a="1"/>
  <c r="N421" i="8" s="1"/>
  <c r="F421" i="8" a="1"/>
  <c r="F421" i="8" s="1"/>
  <c r="M421" i="8" a="1"/>
  <c r="M421" i="8" s="1"/>
  <c r="E421" i="8" a="1"/>
  <c r="E421" i="8" s="1"/>
  <c r="O421" i="8" a="1"/>
  <c r="O421" i="8" s="1"/>
  <c r="L421" i="8" a="1"/>
  <c r="L421" i="8" s="1"/>
  <c r="I421" i="8" a="1"/>
  <c r="I421" i="8" s="1"/>
  <c r="H421" i="8" a="1"/>
  <c r="H421" i="8" s="1"/>
  <c r="G421" i="8" a="1"/>
  <c r="G421" i="8" s="1"/>
  <c r="I433" i="8" a="1"/>
  <c r="I433" i="8" s="1"/>
  <c r="H433" i="8" a="1"/>
  <c r="H433" i="8" s="1"/>
  <c r="L433" i="8" a="1"/>
  <c r="L433" i="8" s="1"/>
  <c r="K433" i="8" a="1"/>
  <c r="K433" i="8" s="1"/>
  <c r="N433" i="8" a="1"/>
  <c r="N433" i="8" s="1"/>
  <c r="M433" i="8" a="1"/>
  <c r="M433" i="8" s="1"/>
  <c r="J433" i="8" a="1"/>
  <c r="J433" i="8" s="1"/>
  <c r="F433" i="8" a="1"/>
  <c r="F433" i="8" s="1"/>
  <c r="E433" i="8" a="1"/>
  <c r="E433" i="8" s="1"/>
  <c r="O433" i="8" a="1"/>
  <c r="O433" i="8" s="1"/>
  <c r="G433" i="8" a="1"/>
  <c r="G433" i="8" s="1"/>
  <c r="N174" i="8" a="1"/>
  <c r="N174" i="8" s="1"/>
  <c r="F174" i="8" a="1"/>
  <c r="F174" i="8" s="1"/>
  <c r="M174" i="8" a="1"/>
  <c r="M174" i="8" s="1"/>
  <c r="E174" i="8" a="1"/>
  <c r="E174" i="8" s="1"/>
  <c r="K174" i="8" a="1"/>
  <c r="K174" i="8" s="1"/>
  <c r="J174" i="8" a="1"/>
  <c r="J174" i="8" s="1"/>
  <c r="I174" i="8" a="1"/>
  <c r="I174" i="8" s="1"/>
  <c r="G174" i="8" a="1"/>
  <c r="G174" i="8" s="1"/>
  <c r="H174" i="8" a="1"/>
  <c r="H174" i="8" s="1"/>
  <c r="O174" i="8" a="1"/>
  <c r="O174" i="8" s="1"/>
  <c r="L174" i="8" a="1"/>
  <c r="L174" i="8" s="1"/>
  <c r="J217" i="8" a="1"/>
  <c r="J217" i="8" s="1"/>
  <c r="H217" i="8" a="1"/>
  <c r="H217" i="8" s="1"/>
  <c r="O217" i="8" a="1"/>
  <c r="O217" i="8" s="1"/>
  <c r="G217" i="8" a="1"/>
  <c r="G217" i="8" s="1"/>
  <c r="N217" i="8" a="1"/>
  <c r="N217" i="8" s="1"/>
  <c r="F217" i="8" a="1"/>
  <c r="F217" i="8" s="1"/>
  <c r="M217" i="8" a="1"/>
  <c r="M217" i="8" s="1"/>
  <c r="E217" i="8" a="1"/>
  <c r="E217" i="8" s="1"/>
  <c r="L217" i="8" a="1"/>
  <c r="L217" i="8" s="1"/>
  <c r="K217" i="8" a="1"/>
  <c r="K217" i="8" s="1"/>
  <c r="I217" i="8" a="1"/>
  <c r="I217" i="8" s="1"/>
  <c r="K246" i="8" a="1"/>
  <c r="K246" i="8" s="1"/>
  <c r="J246" i="8" a="1"/>
  <c r="J246" i="8" s="1"/>
  <c r="I246" i="8" a="1"/>
  <c r="I246" i="8" s="1"/>
  <c r="H246" i="8" a="1"/>
  <c r="H246" i="8" s="1"/>
  <c r="O246" i="8" a="1"/>
  <c r="O246" i="8" s="1"/>
  <c r="G246" i="8" a="1"/>
  <c r="G246" i="8" s="1"/>
  <c r="N246" i="8" a="1"/>
  <c r="N246" i="8" s="1"/>
  <c r="F246" i="8" a="1"/>
  <c r="F246" i="8" s="1"/>
  <c r="M246" i="8" a="1"/>
  <c r="M246" i="8" s="1"/>
  <c r="E246" i="8" a="1"/>
  <c r="E246" i="8" s="1"/>
  <c r="L246" i="8" a="1"/>
  <c r="L246" i="8" s="1"/>
  <c r="M302" i="8" a="1"/>
  <c r="M302" i="8" s="1"/>
  <c r="E302" i="8" a="1"/>
  <c r="E302" i="8" s="1"/>
  <c r="J302" i="8" a="1"/>
  <c r="J302" i="8" s="1"/>
  <c r="O302" i="8" a="1"/>
  <c r="O302" i="8" s="1"/>
  <c r="G302" i="8" a="1"/>
  <c r="G302" i="8" s="1"/>
  <c r="K302" i="8" a="1"/>
  <c r="K302" i="8" s="1"/>
  <c r="I302" i="8" a="1"/>
  <c r="I302" i="8" s="1"/>
  <c r="H302" i="8" a="1"/>
  <c r="H302" i="8" s="1"/>
  <c r="F302" i="8" a="1"/>
  <c r="F302" i="8" s="1"/>
  <c r="N302" i="8" a="1"/>
  <c r="N302" i="8" s="1"/>
  <c r="L302" i="8" a="1"/>
  <c r="L302" i="8" s="1"/>
  <c r="J118" i="8" a="1"/>
  <c r="J118" i="8" s="1"/>
  <c r="I118" i="8" a="1"/>
  <c r="I118" i="8" s="1"/>
  <c r="N118" i="8" a="1"/>
  <c r="N118" i="8" s="1"/>
  <c r="F118" i="8" a="1"/>
  <c r="F118" i="8" s="1"/>
  <c r="M118" i="8" a="1"/>
  <c r="M118" i="8" s="1"/>
  <c r="E118" i="8" a="1"/>
  <c r="E118" i="8" s="1"/>
  <c r="O118" i="8" a="1"/>
  <c r="O118" i="8" s="1"/>
  <c r="L118" i="8" a="1"/>
  <c r="L118" i="8" s="1"/>
  <c r="K118" i="8" a="1"/>
  <c r="K118" i="8" s="1"/>
  <c r="H118" i="8" a="1"/>
  <c r="H118" i="8" s="1"/>
  <c r="G118" i="8" a="1"/>
  <c r="G118" i="8" s="1"/>
  <c r="J66" i="8" a="1"/>
  <c r="J66" i="8" s="1"/>
  <c r="I66" i="8" a="1"/>
  <c r="I66" i="8" s="1"/>
  <c r="H66" i="8" a="1"/>
  <c r="H66" i="8" s="1"/>
  <c r="O66" i="8" a="1"/>
  <c r="O66" i="8" s="1"/>
  <c r="G66" i="8" a="1"/>
  <c r="G66" i="8" s="1"/>
  <c r="N66" i="8" a="1"/>
  <c r="N66" i="8" s="1"/>
  <c r="F66" i="8" a="1"/>
  <c r="F66" i="8" s="1"/>
  <c r="M66" i="8" a="1"/>
  <c r="M66" i="8" s="1"/>
  <c r="E66" i="8" a="1"/>
  <c r="E66" i="8" s="1"/>
  <c r="L66" i="8" a="1"/>
  <c r="L66" i="8" s="1"/>
  <c r="K66" i="8" a="1"/>
  <c r="K66" i="8" s="1"/>
  <c r="J182" i="8" a="1"/>
  <c r="J182" i="8" s="1"/>
  <c r="I182" i="8" a="1"/>
  <c r="I182" i="8" s="1"/>
  <c r="O182" i="8" a="1"/>
  <c r="O182" i="8" s="1"/>
  <c r="G182" i="8" a="1"/>
  <c r="G182" i="8" s="1"/>
  <c r="N182" i="8" a="1"/>
  <c r="N182" i="8" s="1"/>
  <c r="F182" i="8" a="1"/>
  <c r="F182" i="8" s="1"/>
  <c r="M182" i="8" a="1"/>
  <c r="M182" i="8" s="1"/>
  <c r="E182" i="8" a="1"/>
  <c r="E182" i="8" s="1"/>
  <c r="L182" i="8" a="1"/>
  <c r="L182" i="8" s="1"/>
  <c r="K182" i="8" a="1"/>
  <c r="K182" i="8" s="1"/>
  <c r="H182" i="8" a="1"/>
  <c r="H182" i="8" s="1"/>
  <c r="H284" i="8" a="1"/>
  <c r="H284" i="8" s="1"/>
  <c r="M284" i="8" a="1"/>
  <c r="M284" i="8" s="1"/>
  <c r="E284" i="8" a="1"/>
  <c r="E284" i="8" s="1"/>
  <c r="J284" i="8" a="1"/>
  <c r="J284" i="8" s="1"/>
  <c r="N284" i="8" a="1"/>
  <c r="N284" i="8" s="1"/>
  <c r="L284" i="8" a="1"/>
  <c r="L284" i="8" s="1"/>
  <c r="K284" i="8" a="1"/>
  <c r="K284" i="8" s="1"/>
  <c r="I284" i="8" a="1"/>
  <c r="I284" i="8" s="1"/>
  <c r="G284" i="8" a="1"/>
  <c r="G284" i="8" s="1"/>
  <c r="F284" i="8" a="1"/>
  <c r="F284" i="8" s="1"/>
  <c r="O284" i="8" a="1"/>
  <c r="O284" i="8" s="1"/>
  <c r="J31" i="8" a="1"/>
  <c r="J31" i="8" s="1"/>
  <c r="I31" i="8" a="1"/>
  <c r="I31" i="8" s="1"/>
  <c r="H31" i="8" a="1"/>
  <c r="H31" i="8" s="1"/>
  <c r="O31" i="8" a="1"/>
  <c r="O31" i="8" s="1"/>
  <c r="G31" i="8" a="1"/>
  <c r="G31" i="8" s="1"/>
  <c r="L31" i="8" a="1"/>
  <c r="L31" i="8" s="1"/>
  <c r="N31" i="8" a="1"/>
  <c r="N31" i="8" s="1"/>
  <c r="F31" i="8" a="1"/>
  <c r="F31" i="8" s="1"/>
  <c r="M31" i="8" a="1"/>
  <c r="M31" i="8" s="1"/>
  <c r="E31" i="8" a="1"/>
  <c r="E31" i="8" s="1"/>
  <c r="K31" i="8" a="1"/>
  <c r="K31" i="8" s="1"/>
  <c r="I831" i="8" a="1"/>
  <c r="I831" i="8" s="1"/>
  <c r="M831" i="8" a="1"/>
  <c r="M831" i="8" s="1"/>
  <c r="E831" i="8" a="1"/>
  <c r="E831" i="8" s="1"/>
  <c r="F831" i="8" a="1"/>
  <c r="F831" i="8" s="1"/>
  <c r="L831" i="8" a="1"/>
  <c r="L831" i="8" s="1"/>
  <c r="K831" i="8" a="1"/>
  <c r="K831" i="8" s="1"/>
  <c r="H831" i="8" a="1"/>
  <c r="H831" i="8" s="1"/>
  <c r="O831" i="8" a="1"/>
  <c r="O831" i="8" s="1"/>
  <c r="N831" i="8" a="1"/>
  <c r="N831" i="8" s="1"/>
  <c r="J831" i="8" a="1"/>
  <c r="J831" i="8" s="1"/>
  <c r="G831" i="8" a="1"/>
  <c r="G831" i="8" s="1"/>
  <c r="K867" i="8" a="1"/>
  <c r="K867" i="8" s="1"/>
  <c r="I867" i="8" a="1"/>
  <c r="I867" i="8" s="1"/>
  <c r="O867" i="8" a="1"/>
  <c r="O867" i="8" s="1"/>
  <c r="G867" i="8" a="1"/>
  <c r="G867" i="8" s="1"/>
  <c r="J867" i="8" a="1"/>
  <c r="J867" i="8" s="1"/>
  <c r="H867" i="8" a="1"/>
  <c r="H867" i="8" s="1"/>
  <c r="F867" i="8" a="1"/>
  <c r="F867" i="8" s="1"/>
  <c r="E867" i="8" a="1"/>
  <c r="E867" i="8" s="1"/>
  <c r="N867" i="8" a="1"/>
  <c r="N867" i="8" s="1"/>
  <c r="M867" i="8" a="1"/>
  <c r="M867" i="8" s="1"/>
  <c r="L867" i="8" a="1"/>
  <c r="L867" i="8" s="1"/>
  <c r="M839" i="8" a="1"/>
  <c r="M839" i="8" s="1"/>
  <c r="E839" i="8" a="1"/>
  <c r="E839" i="8" s="1"/>
  <c r="I839" i="8" a="1"/>
  <c r="I839" i="8" s="1"/>
  <c r="L839" i="8" a="1"/>
  <c r="L839" i="8" s="1"/>
  <c r="H839" i="8" a="1"/>
  <c r="H839" i="8" s="1"/>
  <c r="G839" i="8" a="1"/>
  <c r="G839" i="8" s="1"/>
  <c r="O839" i="8" a="1"/>
  <c r="O839" i="8" s="1"/>
  <c r="N839" i="8" a="1"/>
  <c r="N839" i="8" s="1"/>
  <c r="K839" i="8" a="1"/>
  <c r="K839" i="8" s="1"/>
  <c r="J839" i="8" a="1"/>
  <c r="J839" i="8" s="1"/>
  <c r="F839" i="8" a="1"/>
  <c r="F839" i="8" s="1"/>
  <c r="M783" i="8" a="1"/>
  <c r="M783" i="8" s="1"/>
  <c r="E783" i="8" a="1"/>
  <c r="E783" i="8" s="1"/>
  <c r="K783" i="8" a="1"/>
  <c r="K783" i="8" s="1"/>
  <c r="J783" i="8" a="1"/>
  <c r="J783" i="8" s="1"/>
  <c r="I783" i="8" a="1"/>
  <c r="I783" i="8" s="1"/>
  <c r="H783" i="8" a="1"/>
  <c r="H783" i="8" s="1"/>
  <c r="F783" i="8" a="1"/>
  <c r="F783" i="8" s="1"/>
  <c r="O783" i="8" a="1"/>
  <c r="O783" i="8" s="1"/>
  <c r="N783" i="8" a="1"/>
  <c r="N783" i="8" s="1"/>
  <c r="L783" i="8" a="1"/>
  <c r="L783" i="8" s="1"/>
  <c r="G783" i="8" a="1"/>
  <c r="G783" i="8" s="1"/>
  <c r="I655" i="8" a="1"/>
  <c r="I655" i="8" s="1"/>
  <c r="N655" i="8" a="1"/>
  <c r="N655" i="8" s="1"/>
  <c r="F655" i="8" a="1"/>
  <c r="F655" i="8" s="1"/>
  <c r="K655" i="8" a="1"/>
  <c r="K655" i="8" s="1"/>
  <c r="E655" i="8" a="1"/>
  <c r="E655" i="8" s="1"/>
  <c r="O655" i="8" a="1"/>
  <c r="O655" i="8" s="1"/>
  <c r="M655" i="8" a="1"/>
  <c r="M655" i="8" s="1"/>
  <c r="L655" i="8" a="1"/>
  <c r="L655" i="8" s="1"/>
  <c r="J655" i="8" a="1"/>
  <c r="J655" i="8" s="1"/>
  <c r="H655" i="8" a="1"/>
  <c r="H655" i="8" s="1"/>
  <c r="G655" i="8" a="1"/>
  <c r="G655" i="8" s="1"/>
  <c r="J684" i="8" a="1"/>
  <c r="J684" i="8" s="1"/>
  <c r="I684" i="8" a="1"/>
  <c r="I684" i="8" s="1"/>
  <c r="H684" i="8" a="1"/>
  <c r="H684" i="8" s="1"/>
  <c r="O684" i="8" a="1"/>
  <c r="O684" i="8" s="1"/>
  <c r="G684" i="8" a="1"/>
  <c r="G684" i="8" s="1"/>
  <c r="M684" i="8" a="1"/>
  <c r="M684" i="8" s="1"/>
  <c r="E684" i="8" a="1"/>
  <c r="E684" i="8" s="1"/>
  <c r="L684" i="8" a="1"/>
  <c r="L684" i="8" s="1"/>
  <c r="K684" i="8" a="1"/>
  <c r="K684" i="8" s="1"/>
  <c r="F684" i="8" a="1"/>
  <c r="F684" i="8" s="1"/>
  <c r="N684" i="8" a="1"/>
  <c r="N684" i="8" s="1"/>
  <c r="I642" i="8" a="1"/>
  <c r="I642" i="8" s="1"/>
  <c r="H642" i="8" a="1"/>
  <c r="H642" i="8" s="1"/>
  <c r="N642" i="8" a="1"/>
  <c r="N642" i="8" s="1"/>
  <c r="F642" i="8" a="1"/>
  <c r="F642" i="8" s="1"/>
  <c r="L642" i="8" a="1"/>
  <c r="L642" i="8" s="1"/>
  <c r="K642" i="8" a="1"/>
  <c r="K642" i="8" s="1"/>
  <c r="E642" i="8" a="1"/>
  <c r="E642" i="8" s="1"/>
  <c r="O642" i="8" a="1"/>
  <c r="O642" i="8" s="1"/>
  <c r="G642" i="8" a="1"/>
  <c r="G642" i="8" s="1"/>
  <c r="M642" i="8" a="1"/>
  <c r="M642" i="8" s="1"/>
  <c r="J642" i="8" a="1"/>
  <c r="J642" i="8" s="1"/>
  <c r="N510" i="8" a="1"/>
  <c r="N510" i="8" s="1"/>
  <c r="F510" i="8" a="1"/>
  <c r="F510" i="8" s="1"/>
  <c r="M510" i="8" a="1"/>
  <c r="M510" i="8" s="1"/>
  <c r="E510" i="8" a="1"/>
  <c r="E510" i="8" s="1"/>
  <c r="J510" i="8" a="1"/>
  <c r="J510" i="8" s="1"/>
  <c r="L510" i="8" a="1"/>
  <c r="L510" i="8" s="1"/>
  <c r="K510" i="8" a="1"/>
  <c r="K510" i="8" s="1"/>
  <c r="I510" i="8" a="1"/>
  <c r="I510" i="8" s="1"/>
  <c r="H510" i="8" a="1"/>
  <c r="H510" i="8" s="1"/>
  <c r="O510" i="8" a="1"/>
  <c r="O510" i="8" s="1"/>
  <c r="G510" i="8" a="1"/>
  <c r="G510" i="8" s="1"/>
  <c r="O507" i="8" a="1"/>
  <c r="O507" i="8" s="1"/>
  <c r="L507" i="8" a="1"/>
  <c r="L507" i="8" s="1"/>
  <c r="K507" i="8" a="1"/>
  <c r="K507" i="8" s="1"/>
  <c r="J507" i="8" a="1"/>
  <c r="J507" i="8" s="1"/>
  <c r="I507" i="8" a="1"/>
  <c r="I507" i="8" s="1"/>
  <c r="N507" i="8" a="1"/>
  <c r="N507" i="8" s="1"/>
  <c r="M507" i="8" a="1"/>
  <c r="M507" i="8" s="1"/>
  <c r="H507" i="8" a="1"/>
  <c r="H507" i="8" s="1"/>
  <c r="G507" i="8" a="1"/>
  <c r="G507" i="8" s="1"/>
  <c r="F507" i="8" a="1"/>
  <c r="F507" i="8" s="1"/>
  <c r="E507" i="8" a="1"/>
  <c r="E507" i="8" s="1"/>
  <c r="J427" i="8" a="1"/>
  <c r="J427" i="8" s="1"/>
  <c r="I427" i="8" a="1"/>
  <c r="I427" i="8" s="1"/>
  <c r="M427" i="8" a="1"/>
  <c r="M427" i="8" s="1"/>
  <c r="E427" i="8" a="1"/>
  <c r="E427" i="8" s="1"/>
  <c r="L427" i="8" a="1"/>
  <c r="L427" i="8" s="1"/>
  <c r="O427" i="8" a="1"/>
  <c r="O427" i="8" s="1"/>
  <c r="N427" i="8" a="1"/>
  <c r="N427" i="8" s="1"/>
  <c r="K427" i="8" a="1"/>
  <c r="K427" i="8" s="1"/>
  <c r="H427" i="8" a="1"/>
  <c r="H427" i="8" s="1"/>
  <c r="G427" i="8" a="1"/>
  <c r="G427" i="8" s="1"/>
  <c r="F427" i="8" a="1"/>
  <c r="F427" i="8" s="1"/>
  <c r="K437" i="8" a="1"/>
  <c r="K437" i="8" s="1"/>
  <c r="J437" i="8" a="1"/>
  <c r="J437" i="8" s="1"/>
  <c r="N437" i="8" a="1"/>
  <c r="N437" i="8" s="1"/>
  <c r="F437" i="8" a="1"/>
  <c r="F437" i="8" s="1"/>
  <c r="M437" i="8" a="1"/>
  <c r="M437" i="8" s="1"/>
  <c r="E437" i="8" a="1"/>
  <c r="E437" i="8" s="1"/>
  <c r="I437" i="8" a="1"/>
  <c r="I437" i="8" s="1"/>
  <c r="H437" i="8" a="1"/>
  <c r="H437" i="8" s="1"/>
  <c r="G437" i="8" a="1"/>
  <c r="G437" i="8" s="1"/>
  <c r="O437" i="8" a="1"/>
  <c r="O437" i="8" s="1"/>
  <c r="L437" i="8" a="1"/>
  <c r="L437" i="8" s="1"/>
  <c r="N347" i="8" a="1"/>
  <c r="N347" i="8" s="1"/>
  <c r="F347" i="8" a="1"/>
  <c r="F347" i="8" s="1"/>
  <c r="M347" i="8" a="1"/>
  <c r="M347" i="8" s="1"/>
  <c r="E347" i="8" a="1"/>
  <c r="E347" i="8" s="1"/>
  <c r="L347" i="8" a="1"/>
  <c r="L347" i="8" s="1"/>
  <c r="K347" i="8" a="1"/>
  <c r="K347" i="8" s="1"/>
  <c r="J347" i="8" a="1"/>
  <c r="J347" i="8" s="1"/>
  <c r="I347" i="8" a="1"/>
  <c r="I347" i="8" s="1"/>
  <c r="O347" i="8" a="1"/>
  <c r="O347" i="8" s="1"/>
  <c r="G347" i="8" a="1"/>
  <c r="G347" i="8" s="1"/>
  <c r="H347" i="8" a="1"/>
  <c r="H347" i="8" s="1"/>
  <c r="J249" i="8" a="1"/>
  <c r="J249" i="8" s="1"/>
  <c r="H249" i="8" a="1"/>
  <c r="H249" i="8" s="1"/>
  <c r="O249" i="8" a="1"/>
  <c r="O249" i="8" s="1"/>
  <c r="G249" i="8" a="1"/>
  <c r="G249" i="8" s="1"/>
  <c r="N249" i="8" a="1"/>
  <c r="N249" i="8" s="1"/>
  <c r="F249" i="8" a="1"/>
  <c r="F249" i="8" s="1"/>
  <c r="M249" i="8" a="1"/>
  <c r="M249" i="8" s="1"/>
  <c r="E249" i="8" a="1"/>
  <c r="E249" i="8" s="1"/>
  <c r="L249" i="8" a="1"/>
  <c r="L249" i="8" s="1"/>
  <c r="K249" i="8" a="1"/>
  <c r="K249" i="8" s="1"/>
  <c r="I249" i="8" a="1"/>
  <c r="I249" i="8" s="1"/>
  <c r="I255" i="8" a="1"/>
  <c r="I255" i="8" s="1"/>
  <c r="O255" i="8" a="1"/>
  <c r="O255" i="8" s="1"/>
  <c r="G255" i="8" a="1"/>
  <c r="G255" i="8" s="1"/>
  <c r="N255" i="8" a="1"/>
  <c r="N255" i="8" s="1"/>
  <c r="F255" i="8" a="1"/>
  <c r="F255" i="8" s="1"/>
  <c r="M255" i="8" a="1"/>
  <c r="M255" i="8" s="1"/>
  <c r="E255" i="8" a="1"/>
  <c r="E255" i="8" s="1"/>
  <c r="L255" i="8" a="1"/>
  <c r="L255" i="8" s="1"/>
  <c r="K255" i="8" a="1"/>
  <c r="K255" i="8" s="1"/>
  <c r="J255" i="8" a="1"/>
  <c r="J255" i="8" s="1"/>
  <c r="H255" i="8" a="1"/>
  <c r="H255" i="8" s="1"/>
  <c r="M199" i="8" a="1"/>
  <c r="M199" i="8" s="1"/>
  <c r="E199" i="8" a="1"/>
  <c r="E199" i="8" s="1"/>
  <c r="J199" i="8" a="1"/>
  <c r="J199" i="8" s="1"/>
  <c r="I199" i="8" a="1"/>
  <c r="I199" i="8" s="1"/>
  <c r="H199" i="8" a="1"/>
  <c r="H199" i="8" s="1"/>
  <c r="O199" i="8" a="1"/>
  <c r="O199" i="8" s="1"/>
  <c r="G199" i="8" a="1"/>
  <c r="G199" i="8" s="1"/>
  <c r="L199" i="8" a="1"/>
  <c r="L199" i="8" s="1"/>
  <c r="K199" i="8" a="1"/>
  <c r="K199" i="8" s="1"/>
  <c r="F199" i="8" a="1"/>
  <c r="F199" i="8" s="1"/>
  <c r="N199" i="8" a="1"/>
  <c r="N199" i="8" s="1"/>
  <c r="K298" i="8" a="1"/>
  <c r="K298" i="8" s="1"/>
  <c r="H298" i="8" a="1"/>
  <c r="H298" i="8" s="1"/>
  <c r="M298" i="8" a="1"/>
  <c r="M298" i="8" s="1"/>
  <c r="E298" i="8" a="1"/>
  <c r="E298" i="8" s="1"/>
  <c r="O298" i="8" a="1"/>
  <c r="O298" i="8" s="1"/>
  <c r="N298" i="8" a="1"/>
  <c r="N298" i="8" s="1"/>
  <c r="L298" i="8" a="1"/>
  <c r="L298" i="8" s="1"/>
  <c r="J298" i="8" a="1"/>
  <c r="J298" i="8" s="1"/>
  <c r="I298" i="8" a="1"/>
  <c r="I298" i="8" s="1"/>
  <c r="G298" i="8" a="1"/>
  <c r="G298" i="8" s="1"/>
  <c r="F298" i="8" a="1"/>
  <c r="F298" i="8" s="1"/>
  <c r="N228" i="8" a="1"/>
  <c r="N228" i="8" s="1"/>
  <c r="F228" i="8" a="1"/>
  <c r="F228" i="8" s="1"/>
  <c r="M228" i="8" a="1"/>
  <c r="M228" i="8" s="1"/>
  <c r="E228" i="8" a="1"/>
  <c r="E228" i="8" s="1"/>
  <c r="L228" i="8" a="1"/>
  <c r="L228" i="8" s="1"/>
  <c r="K228" i="8" a="1"/>
  <c r="K228" i="8" s="1"/>
  <c r="J228" i="8" a="1"/>
  <c r="J228" i="8" s="1"/>
  <c r="I228" i="8" a="1"/>
  <c r="I228" i="8" s="1"/>
  <c r="H228" i="8" a="1"/>
  <c r="H228" i="8" s="1"/>
  <c r="O228" i="8" a="1"/>
  <c r="O228" i="8" s="1"/>
  <c r="G228" i="8" a="1"/>
  <c r="G228" i="8" s="1"/>
  <c r="I72" i="8" a="1"/>
  <c r="I72" i="8" s="1"/>
  <c r="H72" i="8" a="1"/>
  <c r="H72" i="8" s="1"/>
  <c r="O72" i="8" a="1"/>
  <c r="O72" i="8" s="1"/>
  <c r="G72" i="8" a="1"/>
  <c r="G72" i="8" s="1"/>
  <c r="N72" i="8" a="1"/>
  <c r="N72" i="8" s="1"/>
  <c r="F72" i="8" a="1"/>
  <c r="F72" i="8" s="1"/>
  <c r="M72" i="8" a="1"/>
  <c r="M72" i="8" s="1"/>
  <c r="E72" i="8" a="1"/>
  <c r="E72" i="8" s="1"/>
  <c r="L72" i="8" a="1"/>
  <c r="L72" i="8" s="1"/>
  <c r="K72" i="8" a="1"/>
  <c r="K72" i="8" s="1"/>
  <c r="J72" i="8" a="1"/>
  <c r="J72" i="8" s="1"/>
  <c r="M64" i="8" a="1"/>
  <c r="M64" i="8" s="1"/>
  <c r="E64" i="8" a="1"/>
  <c r="E64" i="8" s="1"/>
  <c r="L64" i="8" a="1"/>
  <c r="L64" i="8" s="1"/>
  <c r="K64" i="8" a="1"/>
  <c r="K64" i="8" s="1"/>
  <c r="J64" i="8" a="1"/>
  <c r="J64" i="8" s="1"/>
  <c r="I64" i="8" a="1"/>
  <c r="I64" i="8" s="1"/>
  <c r="H64" i="8" a="1"/>
  <c r="H64" i="8" s="1"/>
  <c r="O64" i="8" a="1"/>
  <c r="O64" i="8" s="1"/>
  <c r="G64" i="8" a="1"/>
  <c r="G64" i="8" s="1"/>
  <c r="N64" i="8" a="1"/>
  <c r="N64" i="8" s="1"/>
  <c r="F64" i="8" a="1"/>
  <c r="F64" i="8" s="1"/>
  <c r="I847" i="8" a="1"/>
  <c r="I847" i="8" s="1"/>
  <c r="M847" i="8" a="1"/>
  <c r="M847" i="8" s="1"/>
  <c r="E847" i="8" a="1"/>
  <c r="E847" i="8" s="1"/>
  <c r="J847" i="8" a="1"/>
  <c r="J847" i="8" s="1"/>
  <c r="G847" i="8" a="1"/>
  <c r="G847" i="8" s="1"/>
  <c r="F847" i="8" a="1"/>
  <c r="F847" i="8" s="1"/>
  <c r="O847" i="8" a="1"/>
  <c r="O847" i="8" s="1"/>
  <c r="N847" i="8" a="1"/>
  <c r="N847" i="8" s="1"/>
  <c r="L847" i="8" a="1"/>
  <c r="L847" i="8" s="1"/>
  <c r="H847" i="8" a="1"/>
  <c r="H847" i="8" s="1"/>
  <c r="K847" i="8" a="1"/>
  <c r="K847" i="8" s="1"/>
  <c r="L874" i="8" a="1"/>
  <c r="L874" i="8" s="1"/>
  <c r="K874" i="8" a="1"/>
  <c r="K874" i="8" s="1"/>
  <c r="J874" i="8" a="1"/>
  <c r="J874" i="8" s="1"/>
  <c r="H874" i="8" a="1"/>
  <c r="H874" i="8" s="1"/>
  <c r="O874" i="8" a="1"/>
  <c r="O874" i="8" s="1"/>
  <c r="N874" i="8" a="1"/>
  <c r="N874" i="8" s="1"/>
  <c r="M874" i="8" a="1"/>
  <c r="M874" i="8" s="1"/>
  <c r="I874" i="8" a="1"/>
  <c r="I874" i="8" s="1"/>
  <c r="G874" i="8" a="1"/>
  <c r="G874" i="8" s="1"/>
  <c r="F874" i="8" a="1"/>
  <c r="F874" i="8" s="1"/>
  <c r="E874" i="8" a="1"/>
  <c r="E874" i="8" s="1"/>
  <c r="I791" i="8" a="1"/>
  <c r="I791" i="8" s="1"/>
  <c r="N791" i="8" a="1"/>
  <c r="N791" i="8" s="1"/>
  <c r="F791" i="8" a="1"/>
  <c r="F791" i="8" s="1"/>
  <c r="K791" i="8" a="1"/>
  <c r="K791" i="8" s="1"/>
  <c r="M791" i="8" a="1"/>
  <c r="M791" i="8" s="1"/>
  <c r="L791" i="8" a="1"/>
  <c r="L791" i="8" s="1"/>
  <c r="J791" i="8" a="1"/>
  <c r="J791" i="8" s="1"/>
  <c r="H791" i="8" a="1"/>
  <c r="H791" i="8" s="1"/>
  <c r="G791" i="8" a="1"/>
  <c r="G791" i="8" s="1"/>
  <c r="E791" i="8" a="1"/>
  <c r="E791" i="8" s="1"/>
  <c r="O791" i="8" a="1"/>
  <c r="O791" i="8" s="1"/>
  <c r="E698" i="8" a="1"/>
  <c r="E698" i="8" s="1"/>
  <c r="M698" i="8" a="1"/>
  <c r="M698" i="8" s="1"/>
  <c r="L698" i="8" a="1"/>
  <c r="L698" i="8" s="1"/>
  <c r="K698" i="8" a="1"/>
  <c r="K698" i="8" s="1"/>
  <c r="J698" i="8" a="1"/>
  <c r="J698" i="8" s="1"/>
  <c r="I698" i="8" a="1"/>
  <c r="I698" i="8" s="1"/>
  <c r="H698" i="8" a="1"/>
  <c r="H698" i="8" s="1"/>
  <c r="O698" i="8" a="1"/>
  <c r="O698" i="8" s="1"/>
  <c r="G698" i="8" a="1"/>
  <c r="G698" i="8" s="1"/>
  <c r="F698" i="8" a="1"/>
  <c r="F698" i="8" s="1"/>
  <c r="N698" i="8" a="1"/>
  <c r="N698" i="8" s="1"/>
  <c r="H645" i="8" a="1"/>
  <c r="H645" i="8" s="1"/>
  <c r="M645" i="8" a="1"/>
  <c r="M645" i="8" s="1"/>
  <c r="E645" i="8" a="1"/>
  <c r="E645" i="8" s="1"/>
  <c r="O645" i="8" a="1"/>
  <c r="O645" i="8" s="1"/>
  <c r="N645" i="8" a="1"/>
  <c r="N645" i="8" s="1"/>
  <c r="L645" i="8" a="1"/>
  <c r="L645" i="8" s="1"/>
  <c r="K645" i="8" a="1"/>
  <c r="K645" i="8" s="1"/>
  <c r="J645" i="8" a="1"/>
  <c r="J645" i="8" s="1"/>
  <c r="I645" i="8" a="1"/>
  <c r="I645" i="8" s="1"/>
  <c r="G645" i="8" a="1"/>
  <c r="G645" i="8" s="1"/>
  <c r="F645" i="8" a="1"/>
  <c r="F645" i="8" s="1"/>
  <c r="J552" i="8" a="1"/>
  <c r="J552" i="8" s="1"/>
  <c r="H552" i="8" a="1"/>
  <c r="H552" i="8" s="1"/>
  <c r="G552" i="8" a="1"/>
  <c r="G552" i="8" s="1"/>
  <c r="O552" i="8" a="1"/>
  <c r="O552" i="8" s="1"/>
  <c r="E552" i="8" a="1"/>
  <c r="E552" i="8" s="1"/>
  <c r="N552" i="8" a="1"/>
  <c r="N552" i="8" s="1"/>
  <c r="M552" i="8" a="1"/>
  <c r="M552" i="8" s="1"/>
  <c r="F552" i="8" a="1"/>
  <c r="F552" i="8" s="1"/>
  <c r="L552" i="8" a="1"/>
  <c r="L552" i="8" s="1"/>
  <c r="K552" i="8" a="1"/>
  <c r="K552" i="8" s="1"/>
  <c r="I552" i="8" a="1"/>
  <c r="I552" i="8" s="1"/>
  <c r="I511" i="8" a="1"/>
  <c r="I511" i="8" s="1"/>
  <c r="N511" i="8" a="1"/>
  <c r="N511" i="8" s="1"/>
  <c r="F511" i="8" a="1"/>
  <c r="F511" i="8" s="1"/>
  <c r="M511" i="8" a="1"/>
  <c r="M511" i="8" s="1"/>
  <c r="E511" i="8" a="1"/>
  <c r="E511" i="8" s="1"/>
  <c r="L511" i="8" a="1"/>
  <c r="L511" i="8" s="1"/>
  <c r="K511" i="8" a="1"/>
  <c r="K511" i="8" s="1"/>
  <c r="G511" i="8" a="1"/>
  <c r="G511" i="8" s="1"/>
  <c r="J511" i="8" a="1"/>
  <c r="J511" i="8" s="1"/>
  <c r="O511" i="8" a="1"/>
  <c r="O511" i="8" s="1"/>
  <c r="H511" i="8" a="1"/>
  <c r="H511" i="8" s="1"/>
  <c r="J537" i="8" a="1"/>
  <c r="J537" i="8" s="1"/>
  <c r="O537" i="8" a="1"/>
  <c r="O537" i="8" s="1"/>
  <c r="G537" i="8" a="1"/>
  <c r="G537" i="8" s="1"/>
  <c r="N537" i="8" a="1"/>
  <c r="N537" i="8" s="1"/>
  <c r="F537" i="8" a="1"/>
  <c r="F537" i="8" s="1"/>
  <c r="M537" i="8" a="1"/>
  <c r="M537" i="8" s="1"/>
  <c r="E537" i="8" a="1"/>
  <c r="E537" i="8" s="1"/>
  <c r="L537" i="8" a="1"/>
  <c r="L537" i="8" s="1"/>
  <c r="K537" i="8" a="1"/>
  <c r="K537" i="8" s="1"/>
  <c r="I537" i="8" a="1"/>
  <c r="I537" i="8" s="1"/>
  <c r="H537" i="8" a="1"/>
  <c r="H537" i="8" s="1"/>
  <c r="I436" i="8" a="1"/>
  <c r="I436" i="8" s="1"/>
  <c r="H436" i="8" a="1"/>
  <c r="H436" i="8" s="1"/>
  <c r="O436" i="8" a="1"/>
  <c r="O436" i="8" s="1"/>
  <c r="G436" i="8" a="1"/>
  <c r="G436" i="8" s="1"/>
  <c r="N436" i="8" a="1"/>
  <c r="N436" i="8" s="1"/>
  <c r="F436" i="8" a="1"/>
  <c r="F436" i="8" s="1"/>
  <c r="K436" i="8" a="1"/>
  <c r="K436" i="8" s="1"/>
  <c r="E436" i="8" a="1"/>
  <c r="E436" i="8" s="1"/>
  <c r="M436" i="8" a="1"/>
  <c r="M436" i="8" s="1"/>
  <c r="L436" i="8" a="1"/>
  <c r="L436" i="8" s="1"/>
  <c r="J436" i="8" a="1"/>
  <c r="J436" i="8" s="1"/>
  <c r="J430" i="8" a="1"/>
  <c r="J430" i="8" s="1"/>
  <c r="I430" i="8" a="1"/>
  <c r="I430" i="8" s="1"/>
  <c r="H430" i="8" a="1"/>
  <c r="H430" i="8" s="1"/>
  <c r="O430" i="8" a="1"/>
  <c r="O430" i="8" s="1"/>
  <c r="G430" i="8" a="1"/>
  <c r="G430" i="8" s="1"/>
  <c r="L430" i="8" a="1"/>
  <c r="L430" i="8" s="1"/>
  <c r="F430" i="8" a="1"/>
  <c r="F430" i="8" s="1"/>
  <c r="E430" i="8" a="1"/>
  <c r="E430" i="8" s="1"/>
  <c r="N430" i="8" a="1"/>
  <c r="N430" i="8" s="1"/>
  <c r="M430" i="8" a="1"/>
  <c r="M430" i="8" s="1"/>
  <c r="K430" i="8" a="1"/>
  <c r="K430" i="8" s="1"/>
  <c r="M247" i="8" a="1"/>
  <c r="M247" i="8" s="1"/>
  <c r="E247" i="8" a="1"/>
  <c r="E247" i="8" s="1"/>
  <c r="K247" i="8" a="1"/>
  <c r="K247" i="8" s="1"/>
  <c r="J247" i="8" a="1"/>
  <c r="J247" i="8" s="1"/>
  <c r="I247" i="8" a="1"/>
  <c r="I247" i="8" s="1"/>
  <c r="H247" i="8" a="1"/>
  <c r="H247" i="8" s="1"/>
  <c r="O247" i="8" a="1"/>
  <c r="O247" i="8" s="1"/>
  <c r="G247" i="8" a="1"/>
  <c r="G247" i="8" s="1"/>
  <c r="F247" i="8" a="1"/>
  <c r="F247" i="8" s="1"/>
  <c r="N247" i="8" a="1"/>
  <c r="N247" i="8" s="1"/>
  <c r="L247" i="8" a="1"/>
  <c r="L247" i="8" s="1"/>
  <c r="N193" i="8" a="1"/>
  <c r="N193" i="8" s="1"/>
  <c r="F193" i="8" a="1"/>
  <c r="F193" i="8" s="1"/>
  <c r="J193" i="8" a="1"/>
  <c r="J193" i="8" s="1"/>
  <c r="I193" i="8" a="1"/>
  <c r="I193" i="8" s="1"/>
  <c r="H193" i="8" a="1"/>
  <c r="H193" i="8" s="1"/>
  <c r="L193" i="8" a="1"/>
  <c r="L193" i="8" s="1"/>
  <c r="K193" i="8" a="1"/>
  <c r="K193" i="8" s="1"/>
  <c r="G193" i="8" a="1"/>
  <c r="G193" i="8" s="1"/>
  <c r="E193" i="8" a="1"/>
  <c r="E193" i="8" s="1"/>
  <c r="O193" i="8" a="1"/>
  <c r="O193" i="8" s="1"/>
  <c r="M193" i="8" a="1"/>
  <c r="M193" i="8" s="1"/>
  <c r="I239" i="8" a="1"/>
  <c r="I239" i="8" s="1"/>
  <c r="O239" i="8" a="1"/>
  <c r="O239" i="8" s="1"/>
  <c r="G239" i="8" a="1"/>
  <c r="G239" i="8" s="1"/>
  <c r="N239" i="8" a="1"/>
  <c r="N239" i="8" s="1"/>
  <c r="F239" i="8" a="1"/>
  <c r="F239" i="8" s="1"/>
  <c r="M239" i="8" a="1"/>
  <c r="M239" i="8" s="1"/>
  <c r="E239" i="8" a="1"/>
  <c r="E239" i="8" s="1"/>
  <c r="L239" i="8" a="1"/>
  <c r="L239" i="8" s="1"/>
  <c r="K239" i="8" a="1"/>
  <c r="K239" i="8" s="1"/>
  <c r="J239" i="8" a="1"/>
  <c r="J239" i="8" s="1"/>
  <c r="H239" i="8" a="1"/>
  <c r="H239" i="8" s="1"/>
  <c r="I223" i="8" a="1"/>
  <c r="I223" i="8" s="1"/>
  <c r="O223" i="8" a="1"/>
  <c r="O223" i="8" s="1"/>
  <c r="G223" i="8" a="1"/>
  <c r="G223" i="8" s="1"/>
  <c r="N223" i="8" a="1"/>
  <c r="N223" i="8" s="1"/>
  <c r="F223" i="8" a="1"/>
  <c r="F223" i="8" s="1"/>
  <c r="M223" i="8" a="1"/>
  <c r="M223" i="8" s="1"/>
  <c r="E223" i="8" a="1"/>
  <c r="E223" i="8" s="1"/>
  <c r="L223" i="8" a="1"/>
  <c r="L223" i="8" s="1"/>
  <c r="K223" i="8" a="1"/>
  <c r="K223" i="8" s="1"/>
  <c r="J223" i="8" a="1"/>
  <c r="J223" i="8" s="1"/>
  <c r="H223" i="8" a="1"/>
  <c r="H223" i="8" s="1"/>
  <c r="J18" i="8" a="1"/>
  <c r="J18" i="8" s="1"/>
  <c r="I18" i="8" a="1"/>
  <c r="I18" i="8" s="1"/>
  <c r="H18" i="8" a="1"/>
  <c r="H18" i="8" s="1"/>
  <c r="O18" i="8" a="1"/>
  <c r="O18" i="8" s="1"/>
  <c r="G18" i="8" a="1"/>
  <c r="G18" i="8" s="1"/>
  <c r="N18" i="8" a="1"/>
  <c r="N18" i="8" s="1"/>
  <c r="F18" i="8" a="1"/>
  <c r="F18" i="8" s="1"/>
  <c r="M18" i="8" a="1"/>
  <c r="M18" i="8" s="1"/>
  <c r="E18" i="8" a="1"/>
  <c r="E18" i="8" s="1"/>
  <c r="L18" i="8" a="1"/>
  <c r="L18" i="8" s="1"/>
  <c r="K18" i="8" a="1"/>
  <c r="K18" i="8" s="1"/>
  <c r="H43" i="8" a="1"/>
  <c r="H43" i="8" s="1"/>
  <c r="O43" i="8" a="1"/>
  <c r="O43" i="8" s="1"/>
  <c r="G43" i="8" a="1"/>
  <c r="G43" i="8" s="1"/>
  <c r="N43" i="8" a="1"/>
  <c r="N43" i="8" s="1"/>
  <c r="F43" i="8" a="1"/>
  <c r="F43" i="8" s="1"/>
  <c r="M43" i="8" a="1"/>
  <c r="M43" i="8" s="1"/>
  <c r="E43" i="8" a="1"/>
  <c r="E43" i="8" s="1"/>
  <c r="J43" i="8" a="1"/>
  <c r="J43" i="8" s="1"/>
  <c r="L43" i="8" a="1"/>
  <c r="L43" i="8" s="1"/>
  <c r="K43" i="8" a="1"/>
  <c r="K43" i="8" s="1"/>
  <c r="I43" i="8" a="1"/>
  <c r="I43" i="8" s="1"/>
  <c r="L842" i="8" a="1"/>
  <c r="L842" i="8" s="1"/>
  <c r="H842" i="8" a="1"/>
  <c r="H842" i="8" s="1"/>
  <c r="M842" i="8" a="1"/>
  <c r="M842" i="8" s="1"/>
  <c r="K842" i="8" a="1"/>
  <c r="K842" i="8" s="1"/>
  <c r="J842" i="8" a="1"/>
  <c r="J842" i="8" s="1"/>
  <c r="I842" i="8" a="1"/>
  <c r="I842" i="8" s="1"/>
  <c r="G842" i="8" a="1"/>
  <c r="G842" i="8" s="1"/>
  <c r="F842" i="8" a="1"/>
  <c r="F842" i="8" s="1"/>
  <c r="O842" i="8" a="1"/>
  <c r="O842" i="8" s="1"/>
  <c r="E842" i="8" a="1"/>
  <c r="E842" i="8" s="1"/>
  <c r="N842" i="8" a="1"/>
  <c r="N842" i="8" s="1"/>
  <c r="N790" i="8" a="1"/>
  <c r="N790" i="8" s="1"/>
  <c r="F790" i="8" a="1"/>
  <c r="F790" i="8" s="1"/>
  <c r="M790" i="8" a="1"/>
  <c r="M790" i="8" s="1"/>
  <c r="E790" i="8" a="1"/>
  <c r="E790" i="8" s="1"/>
  <c r="J790" i="8" a="1"/>
  <c r="J790" i="8" s="1"/>
  <c r="I790" i="8" a="1"/>
  <c r="I790" i="8" s="1"/>
  <c r="L790" i="8" a="1"/>
  <c r="L790" i="8" s="1"/>
  <c r="K790" i="8" a="1"/>
  <c r="K790" i="8" s="1"/>
  <c r="H790" i="8" a="1"/>
  <c r="H790" i="8" s="1"/>
  <c r="G790" i="8" a="1"/>
  <c r="G790" i="8" s="1"/>
  <c r="O790" i="8" a="1"/>
  <c r="O790" i="8" s="1"/>
  <c r="K699" i="8" a="1"/>
  <c r="K699" i="8" s="1"/>
  <c r="J699" i="8" a="1"/>
  <c r="J699" i="8" s="1"/>
  <c r="N699" i="8" a="1"/>
  <c r="N699" i="8" s="1"/>
  <c r="H699" i="8" a="1"/>
  <c r="H699" i="8" s="1"/>
  <c r="G699" i="8" a="1"/>
  <c r="G699" i="8" s="1"/>
  <c r="F699" i="8" a="1"/>
  <c r="F699" i="8" s="1"/>
  <c r="O699" i="8" a="1"/>
  <c r="O699" i="8" s="1"/>
  <c r="E699" i="8" a="1"/>
  <c r="E699" i="8" s="1"/>
  <c r="M699" i="8" a="1"/>
  <c r="M699" i="8" s="1"/>
  <c r="L699" i="8" a="1"/>
  <c r="L699" i="8" s="1"/>
  <c r="I699" i="8" a="1"/>
  <c r="I699" i="8" s="1"/>
  <c r="I627" i="8" a="1"/>
  <c r="I627" i="8" s="1"/>
  <c r="H627" i="8" a="1"/>
  <c r="H627" i="8" s="1"/>
  <c r="O627" i="8" a="1"/>
  <c r="O627" i="8" s="1"/>
  <c r="F627" i="8" a="1"/>
  <c r="F627" i="8" s="1"/>
  <c r="M627" i="8" a="1"/>
  <c r="M627" i="8" s="1"/>
  <c r="L627" i="8" a="1"/>
  <c r="L627" i="8" s="1"/>
  <c r="N627" i="8" a="1"/>
  <c r="N627" i="8" s="1"/>
  <c r="K627" i="8" a="1"/>
  <c r="K627" i="8" s="1"/>
  <c r="J627" i="8" a="1"/>
  <c r="J627" i="8" s="1"/>
  <c r="G627" i="8" a="1"/>
  <c r="G627" i="8" s="1"/>
  <c r="E627" i="8" a="1"/>
  <c r="E627" i="8" s="1"/>
  <c r="O585" i="8" a="1"/>
  <c r="O585" i="8" s="1"/>
  <c r="G585" i="8" a="1"/>
  <c r="G585" i="8" s="1"/>
  <c r="N585" i="8" a="1"/>
  <c r="N585" i="8" s="1"/>
  <c r="F585" i="8" a="1"/>
  <c r="F585" i="8" s="1"/>
  <c r="M585" i="8" a="1"/>
  <c r="M585" i="8" s="1"/>
  <c r="E585" i="8" a="1"/>
  <c r="E585" i="8" s="1"/>
  <c r="K585" i="8" a="1"/>
  <c r="K585" i="8" s="1"/>
  <c r="J585" i="8" a="1"/>
  <c r="J585" i="8" s="1"/>
  <c r="I585" i="8" a="1"/>
  <c r="I585" i="8" s="1"/>
  <c r="H585" i="8" a="1"/>
  <c r="H585" i="8" s="1"/>
  <c r="L585" i="8" a="1"/>
  <c r="L585" i="8" s="1"/>
  <c r="M500" i="8" a="1"/>
  <c r="M500" i="8" s="1"/>
  <c r="E500" i="8" a="1"/>
  <c r="E500" i="8" s="1"/>
  <c r="L500" i="8" a="1"/>
  <c r="L500" i="8" s="1"/>
  <c r="I500" i="8" a="1"/>
  <c r="I500" i="8" s="1"/>
  <c r="O500" i="8" a="1"/>
  <c r="O500" i="8" s="1"/>
  <c r="N500" i="8" a="1"/>
  <c r="N500" i="8" s="1"/>
  <c r="J500" i="8" a="1"/>
  <c r="J500" i="8" s="1"/>
  <c r="H500" i="8" a="1"/>
  <c r="H500" i="8" s="1"/>
  <c r="G500" i="8" a="1"/>
  <c r="G500" i="8" s="1"/>
  <c r="K500" i="8" a="1"/>
  <c r="K500" i="8" s="1"/>
  <c r="F500" i="8" a="1"/>
  <c r="F500" i="8" s="1"/>
  <c r="I527" i="8" a="1"/>
  <c r="I527" i="8" s="1"/>
  <c r="N527" i="8" a="1"/>
  <c r="N527" i="8" s="1"/>
  <c r="F527" i="8" a="1"/>
  <c r="F527" i="8" s="1"/>
  <c r="M527" i="8" a="1"/>
  <c r="M527" i="8" s="1"/>
  <c r="E527" i="8" a="1"/>
  <c r="E527" i="8" s="1"/>
  <c r="L527" i="8" a="1"/>
  <c r="L527" i="8" s="1"/>
  <c r="K527" i="8" a="1"/>
  <c r="K527" i="8" s="1"/>
  <c r="J527" i="8" a="1"/>
  <c r="J527" i="8" s="1"/>
  <c r="H527" i="8" a="1"/>
  <c r="H527" i="8" s="1"/>
  <c r="O527" i="8" a="1"/>
  <c r="O527" i="8" s="1"/>
  <c r="G527" i="8" a="1"/>
  <c r="G527" i="8" s="1"/>
  <c r="N405" i="8" a="1"/>
  <c r="N405" i="8" s="1"/>
  <c r="F405" i="8" a="1"/>
  <c r="F405" i="8" s="1"/>
  <c r="M405" i="8" a="1"/>
  <c r="M405" i="8" s="1"/>
  <c r="E405" i="8" a="1"/>
  <c r="E405" i="8" s="1"/>
  <c r="J405" i="8" a="1"/>
  <c r="J405" i="8" s="1"/>
  <c r="I405" i="8" a="1"/>
  <c r="I405" i="8" s="1"/>
  <c r="H405" i="8" a="1"/>
  <c r="H405" i="8" s="1"/>
  <c r="K405" i="8" a="1"/>
  <c r="K405" i="8" s="1"/>
  <c r="G405" i="8" a="1"/>
  <c r="G405" i="8" s="1"/>
  <c r="L405" i="8" a="1"/>
  <c r="L405" i="8" s="1"/>
  <c r="O405" i="8" a="1"/>
  <c r="O405" i="8" s="1"/>
  <c r="O322" i="8" a="1"/>
  <c r="O322" i="8" s="1"/>
  <c r="G322" i="8" a="1"/>
  <c r="G322" i="8" s="1"/>
  <c r="L322" i="8" a="1"/>
  <c r="L322" i="8" s="1"/>
  <c r="I322" i="8" a="1"/>
  <c r="I322" i="8" s="1"/>
  <c r="K322" i="8" a="1"/>
  <c r="K322" i="8" s="1"/>
  <c r="J322" i="8" a="1"/>
  <c r="J322" i="8" s="1"/>
  <c r="H322" i="8" a="1"/>
  <c r="H322" i="8" s="1"/>
  <c r="F322" i="8" a="1"/>
  <c r="F322" i="8" s="1"/>
  <c r="E322" i="8" a="1"/>
  <c r="E322" i="8" s="1"/>
  <c r="N322" i="8" a="1"/>
  <c r="N322" i="8" s="1"/>
  <c r="M322" i="8" a="1"/>
  <c r="M322" i="8" s="1"/>
  <c r="N161" i="8" a="1"/>
  <c r="N161" i="8" s="1"/>
  <c r="F161" i="8" a="1"/>
  <c r="F161" i="8" s="1"/>
  <c r="J161" i="8" a="1"/>
  <c r="J161" i="8" s="1"/>
  <c r="I161" i="8" a="1"/>
  <c r="I161" i="8" s="1"/>
  <c r="H161" i="8" a="1"/>
  <c r="H161" i="8" s="1"/>
  <c r="O161" i="8" a="1"/>
  <c r="O161" i="8" s="1"/>
  <c r="M161" i="8" a="1"/>
  <c r="M161" i="8" s="1"/>
  <c r="L161" i="8" a="1"/>
  <c r="L161" i="8" s="1"/>
  <c r="E161" i="8" a="1"/>
  <c r="E161" i="8" s="1"/>
  <c r="K161" i="8" a="1"/>
  <c r="K161" i="8" s="1"/>
  <c r="G161" i="8" a="1"/>
  <c r="G161" i="8" s="1"/>
  <c r="J201" i="8" a="1"/>
  <c r="J201" i="8" s="1"/>
  <c r="O201" i="8" a="1"/>
  <c r="O201" i="8" s="1"/>
  <c r="G201" i="8" a="1"/>
  <c r="G201" i="8" s="1"/>
  <c r="N201" i="8" a="1"/>
  <c r="N201" i="8" s="1"/>
  <c r="F201" i="8" a="1"/>
  <c r="F201" i="8" s="1"/>
  <c r="M201" i="8" a="1"/>
  <c r="M201" i="8" s="1"/>
  <c r="E201" i="8" a="1"/>
  <c r="E201" i="8" s="1"/>
  <c r="L201" i="8" a="1"/>
  <c r="L201" i="8" s="1"/>
  <c r="I201" i="8" a="1"/>
  <c r="I201" i="8" s="1"/>
  <c r="K201" i="8" a="1"/>
  <c r="K201" i="8" s="1"/>
  <c r="H201" i="8" a="1"/>
  <c r="H201" i="8" s="1"/>
  <c r="I242" i="8" a="1"/>
  <c r="I242" i="8" s="1"/>
  <c r="H242" i="8" a="1"/>
  <c r="H242" i="8" s="1"/>
  <c r="O242" i="8" a="1"/>
  <c r="O242" i="8" s="1"/>
  <c r="G242" i="8" a="1"/>
  <c r="G242" i="8" s="1"/>
  <c r="N242" i="8" a="1"/>
  <c r="N242" i="8" s="1"/>
  <c r="F242" i="8" a="1"/>
  <c r="F242" i="8" s="1"/>
  <c r="M242" i="8" a="1"/>
  <c r="M242" i="8" s="1"/>
  <c r="E242" i="8" a="1"/>
  <c r="E242" i="8" s="1"/>
  <c r="L242" i="8" a="1"/>
  <c r="L242" i="8" s="1"/>
  <c r="K242" i="8" a="1"/>
  <c r="K242" i="8" s="1"/>
  <c r="J242" i="8" a="1"/>
  <c r="J242" i="8" s="1"/>
  <c r="I226" i="8" a="1"/>
  <c r="I226" i="8" s="1"/>
  <c r="H226" i="8" a="1"/>
  <c r="H226" i="8" s="1"/>
  <c r="O226" i="8" a="1"/>
  <c r="O226" i="8" s="1"/>
  <c r="G226" i="8" a="1"/>
  <c r="G226" i="8" s="1"/>
  <c r="N226" i="8" a="1"/>
  <c r="N226" i="8" s="1"/>
  <c r="F226" i="8" a="1"/>
  <c r="F226" i="8" s="1"/>
  <c r="M226" i="8" a="1"/>
  <c r="M226" i="8" s="1"/>
  <c r="E226" i="8" a="1"/>
  <c r="E226" i="8" s="1"/>
  <c r="L226" i="8" a="1"/>
  <c r="L226" i="8" s="1"/>
  <c r="K226" i="8" a="1"/>
  <c r="K226" i="8" s="1"/>
  <c r="J226" i="8" a="1"/>
  <c r="J226" i="8" s="1"/>
  <c r="M286" i="8" a="1"/>
  <c r="M286" i="8" s="1"/>
  <c r="E286" i="8" a="1"/>
  <c r="E286" i="8" s="1"/>
  <c r="J286" i="8" a="1"/>
  <c r="J286" i="8" s="1"/>
  <c r="O286" i="8" a="1"/>
  <c r="O286" i="8" s="1"/>
  <c r="G286" i="8" a="1"/>
  <c r="G286" i="8" s="1"/>
  <c r="H286" i="8" a="1"/>
  <c r="H286" i="8" s="1"/>
  <c r="F286" i="8" a="1"/>
  <c r="F286" i="8" s="1"/>
  <c r="N286" i="8" a="1"/>
  <c r="N286" i="8" s="1"/>
  <c r="L286" i="8" a="1"/>
  <c r="L286" i="8" s="1"/>
  <c r="K286" i="8" a="1"/>
  <c r="K286" i="8" s="1"/>
  <c r="I286" i="8" a="1"/>
  <c r="I286" i="8" s="1"/>
  <c r="L106" i="8" a="1"/>
  <c r="L106" i="8" s="1"/>
  <c r="H106" i="8" a="1"/>
  <c r="H106" i="8" s="1"/>
  <c r="I106" i="8" a="1"/>
  <c r="I106" i="8" s="1"/>
  <c r="G106" i="8" a="1"/>
  <c r="G106" i="8" s="1"/>
  <c r="F106" i="8" a="1"/>
  <c r="F106" i="8" s="1"/>
  <c r="E106" i="8" a="1"/>
  <c r="E106" i="8" s="1"/>
  <c r="O106" i="8" a="1"/>
  <c r="O106" i="8" s="1"/>
  <c r="N106" i="8" a="1"/>
  <c r="N106" i="8" s="1"/>
  <c r="M106" i="8" a="1"/>
  <c r="M106" i="8" s="1"/>
  <c r="K106" i="8" a="1"/>
  <c r="K106" i="8" s="1"/>
  <c r="J106" i="8" a="1"/>
  <c r="J106" i="8" s="1"/>
  <c r="M215" i="8" a="1"/>
  <c r="M215" i="8" s="1"/>
  <c r="E215" i="8" a="1"/>
  <c r="E215" i="8" s="1"/>
  <c r="J215" i="8" a="1"/>
  <c r="J215" i="8" s="1"/>
  <c r="I215" i="8" a="1"/>
  <c r="I215" i="8" s="1"/>
  <c r="H215" i="8" a="1"/>
  <c r="H215" i="8" s="1"/>
  <c r="O215" i="8" a="1"/>
  <c r="O215" i="8" s="1"/>
  <c r="G215" i="8" a="1"/>
  <c r="G215" i="8" s="1"/>
  <c r="N215" i="8" a="1"/>
  <c r="N215" i="8" s="1"/>
  <c r="L215" i="8" a="1"/>
  <c r="L215" i="8" s="1"/>
  <c r="K215" i="8" a="1"/>
  <c r="K215" i="8" s="1"/>
  <c r="F215" i="8" a="1"/>
  <c r="F215" i="8" s="1"/>
  <c r="I863" i="8" a="1"/>
  <c r="I863" i="8" s="1"/>
  <c r="O863" i="8" a="1"/>
  <c r="O863" i="8" s="1"/>
  <c r="G863" i="8" a="1"/>
  <c r="G863" i="8" s="1"/>
  <c r="M863" i="8" a="1"/>
  <c r="M863" i="8" s="1"/>
  <c r="E863" i="8" a="1"/>
  <c r="E863" i="8" s="1"/>
  <c r="J863" i="8" a="1"/>
  <c r="J863" i="8" s="1"/>
  <c r="H863" i="8" a="1"/>
  <c r="H863" i="8" s="1"/>
  <c r="F863" i="8" a="1"/>
  <c r="F863" i="8" s="1"/>
  <c r="N863" i="8" a="1"/>
  <c r="N863" i="8" s="1"/>
  <c r="L863" i="8" a="1"/>
  <c r="L863" i="8" s="1"/>
  <c r="K863" i="8" a="1"/>
  <c r="K863" i="8" s="1"/>
  <c r="J907" i="8" a="1"/>
  <c r="J907" i="8" s="1"/>
  <c r="K907" i="8" a="1"/>
  <c r="K907" i="8" s="1"/>
  <c r="I907" i="8" a="1"/>
  <c r="I907" i="8" s="1"/>
  <c r="H907" i="8" a="1"/>
  <c r="H907" i="8" s="1"/>
  <c r="G907" i="8" a="1"/>
  <c r="G907" i="8" s="1"/>
  <c r="F907" i="8" a="1"/>
  <c r="F907" i="8" s="1"/>
  <c r="O907" i="8" a="1"/>
  <c r="O907" i="8" s="1"/>
  <c r="N907" i="8" a="1"/>
  <c r="N907" i="8" s="1"/>
  <c r="M907" i="8" a="1"/>
  <c r="M907" i="8" s="1"/>
  <c r="L907" i="8" a="1"/>
  <c r="L907" i="8" s="1"/>
  <c r="E907" i="8" a="1"/>
  <c r="E907" i="8" s="1"/>
  <c r="N774" i="8" a="1"/>
  <c r="N774" i="8" s="1"/>
  <c r="F774" i="8" a="1"/>
  <c r="F774" i="8" s="1"/>
  <c r="M774" i="8" a="1"/>
  <c r="M774" i="8" s="1"/>
  <c r="E774" i="8" a="1"/>
  <c r="E774" i="8" s="1"/>
  <c r="J774" i="8" a="1"/>
  <c r="J774" i="8" s="1"/>
  <c r="H774" i="8" a="1"/>
  <c r="H774" i="8" s="1"/>
  <c r="G774" i="8" a="1"/>
  <c r="G774" i="8" s="1"/>
  <c r="K774" i="8" a="1"/>
  <c r="K774" i="8" s="1"/>
  <c r="O774" i="8" a="1"/>
  <c r="O774" i="8" s="1"/>
  <c r="L774" i="8" a="1"/>
  <c r="L774" i="8" s="1"/>
  <c r="I774" i="8" a="1"/>
  <c r="I774" i="8" s="1"/>
  <c r="J724" i="8" a="1"/>
  <c r="J724" i="8" s="1"/>
  <c r="I724" i="8" a="1"/>
  <c r="I724" i="8" s="1"/>
  <c r="M724" i="8" a="1"/>
  <c r="M724" i="8" s="1"/>
  <c r="E724" i="8" a="1"/>
  <c r="E724" i="8" s="1"/>
  <c r="O724" i="8" a="1"/>
  <c r="O724" i="8" s="1"/>
  <c r="N724" i="8" a="1"/>
  <c r="N724" i="8" s="1"/>
  <c r="L724" i="8" a="1"/>
  <c r="L724" i="8" s="1"/>
  <c r="K724" i="8" a="1"/>
  <c r="K724" i="8" s="1"/>
  <c r="H724" i="8" a="1"/>
  <c r="H724" i="8" s="1"/>
  <c r="G724" i="8" a="1"/>
  <c r="G724" i="8" s="1"/>
  <c r="F724" i="8" a="1"/>
  <c r="F724" i="8" s="1"/>
  <c r="N692" i="8" a="1"/>
  <c r="N692" i="8" s="1"/>
  <c r="F692" i="8" a="1"/>
  <c r="F692" i="8" s="1"/>
  <c r="M692" i="8" a="1"/>
  <c r="M692" i="8" s="1"/>
  <c r="E692" i="8" a="1"/>
  <c r="E692" i="8" s="1"/>
  <c r="L692" i="8" a="1"/>
  <c r="L692" i="8" s="1"/>
  <c r="K692" i="8" a="1"/>
  <c r="K692" i="8" s="1"/>
  <c r="I692" i="8" a="1"/>
  <c r="I692" i="8" s="1"/>
  <c r="J692" i="8" a="1"/>
  <c r="J692" i="8" s="1"/>
  <c r="H692" i="8" a="1"/>
  <c r="H692" i="8" s="1"/>
  <c r="G692" i="8" a="1"/>
  <c r="G692" i="8" s="1"/>
  <c r="O692" i="8" a="1"/>
  <c r="O692" i="8" s="1"/>
  <c r="I671" i="8" a="1"/>
  <c r="I671" i="8" s="1"/>
  <c r="H671" i="8" a="1"/>
  <c r="H671" i="8" s="1"/>
  <c r="O671" i="8" a="1"/>
  <c r="O671" i="8" s="1"/>
  <c r="G671" i="8" a="1"/>
  <c r="G671" i="8" s="1"/>
  <c r="N671" i="8" a="1"/>
  <c r="N671" i="8" s="1"/>
  <c r="F671" i="8" a="1"/>
  <c r="F671" i="8" s="1"/>
  <c r="M671" i="8" a="1"/>
  <c r="M671" i="8" s="1"/>
  <c r="E671" i="8" a="1"/>
  <c r="E671" i="8" s="1"/>
  <c r="L671" i="8" a="1"/>
  <c r="L671" i="8" s="1"/>
  <c r="K671" i="8" a="1"/>
  <c r="K671" i="8" s="1"/>
  <c r="J671" i="8" a="1"/>
  <c r="J671" i="8" s="1"/>
  <c r="J649" i="8" a="1"/>
  <c r="J649" i="8" s="1"/>
  <c r="O649" i="8" a="1"/>
  <c r="O649" i="8" s="1"/>
  <c r="G649" i="8" a="1"/>
  <c r="G649" i="8" s="1"/>
  <c r="M649" i="8" a="1"/>
  <c r="M649" i="8" s="1"/>
  <c r="L649" i="8" a="1"/>
  <c r="L649" i="8" s="1"/>
  <c r="I649" i="8" a="1"/>
  <c r="I649" i="8" s="1"/>
  <c r="H649" i="8" a="1"/>
  <c r="H649" i="8" s="1"/>
  <c r="E649" i="8" a="1"/>
  <c r="E649" i="8" s="1"/>
  <c r="N649" i="8" a="1"/>
  <c r="N649" i="8" s="1"/>
  <c r="K649" i="8" a="1"/>
  <c r="K649" i="8" s="1"/>
  <c r="F649" i="8" a="1"/>
  <c r="F649" i="8" s="1"/>
  <c r="N495" i="8" a="1"/>
  <c r="N495" i="8" s="1"/>
  <c r="K495" i="8" a="1"/>
  <c r="K495" i="8" s="1"/>
  <c r="M495" i="8" a="1"/>
  <c r="M495" i="8" s="1"/>
  <c r="L495" i="8" a="1"/>
  <c r="L495" i="8" s="1"/>
  <c r="G495" i="8" a="1"/>
  <c r="G495" i="8" s="1"/>
  <c r="O495" i="8" a="1"/>
  <c r="O495" i="8" s="1"/>
  <c r="F495" i="8" a="1"/>
  <c r="F495" i="8" s="1"/>
  <c r="I495" i="8" a="1"/>
  <c r="I495" i="8" s="1"/>
  <c r="H495" i="8" a="1"/>
  <c r="H495" i="8" s="1"/>
  <c r="E495" i="8" a="1"/>
  <c r="E495" i="8" s="1"/>
  <c r="J495" i="8" a="1"/>
  <c r="J495" i="8" s="1"/>
  <c r="J567" i="8" a="1"/>
  <c r="J567" i="8" s="1"/>
  <c r="I567" i="8" a="1"/>
  <c r="I567" i="8" s="1"/>
  <c r="H567" i="8" a="1"/>
  <c r="H567" i="8" s="1"/>
  <c r="N567" i="8" a="1"/>
  <c r="N567" i="8" s="1"/>
  <c r="F567" i="8" a="1"/>
  <c r="F567" i="8" s="1"/>
  <c r="M567" i="8" a="1"/>
  <c r="M567" i="8" s="1"/>
  <c r="E567" i="8" a="1"/>
  <c r="E567" i="8" s="1"/>
  <c r="K567" i="8" a="1"/>
  <c r="K567" i="8" s="1"/>
  <c r="G567" i="8" a="1"/>
  <c r="G567" i="8" s="1"/>
  <c r="O567" i="8" a="1"/>
  <c r="O567" i="8" s="1"/>
  <c r="L567" i="8" a="1"/>
  <c r="L567" i="8" s="1"/>
  <c r="O445" i="8" a="1"/>
  <c r="O445" i="8" s="1"/>
  <c r="G445" i="8" a="1"/>
  <c r="G445" i="8" s="1"/>
  <c r="N445" i="8" a="1"/>
  <c r="N445" i="8" s="1"/>
  <c r="F445" i="8" a="1"/>
  <c r="F445" i="8" s="1"/>
  <c r="J445" i="8" a="1"/>
  <c r="J445" i="8" s="1"/>
  <c r="I445" i="8" a="1"/>
  <c r="I445" i="8" s="1"/>
  <c r="M445" i="8" a="1"/>
  <c r="M445" i="8" s="1"/>
  <c r="L445" i="8" a="1"/>
  <c r="L445" i="8" s="1"/>
  <c r="K445" i="8" a="1"/>
  <c r="K445" i="8" s="1"/>
  <c r="H445" i="8" a="1"/>
  <c r="H445" i="8" s="1"/>
  <c r="E445" i="8" a="1"/>
  <c r="E445" i="8" s="1"/>
  <c r="M334" i="8" a="1"/>
  <c r="M334" i="8" s="1"/>
  <c r="E334" i="8" a="1"/>
  <c r="E334" i="8" s="1"/>
  <c r="J334" i="8" a="1"/>
  <c r="J334" i="8" s="1"/>
  <c r="I334" i="8" a="1"/>
  <c r="I334" i="8" s="1"/>
  <c r="O334" i="8" a="1"/>
  <c r="O334" i="8" s="1"/>
  <c r="G334" i="8" a="1"/>
  <c r="G334" i="8" s="1"/>
  <c r="N334" i="8" a="1"/>
  <c r="N334" i="8" s="1"/>
  <c r="L334" i="8" a="1"/>
  <c r="L334" i="8" s="1"/>
  <c r="K334" i="8" a="1"/>
  <c r="K334" i="8" s="1"/>
  <c r="H334" i="8" a="1"/>
  <c r="H334" i="8" s="1"/>
  <c r="F334" i="8" a="1"/>
  <c r="F334" i="8" s="1"/>
  <c r="K391" i="8" a="1"/>
  <c r="K391" i="8" s="1"/>
  <c r="J391" i="8" a="1"/>
  <c r="J391" i="8" s="1"/>
  <c r="O391" i="8" a="1"/>
  <c r="O391" i="8" s="1"/>
  <c r="G391" i="8" a="1"/>
  <c r="G391" i="8" s="1"/>
  <c r="N391" i="8" a="1"/>
  <c r="N391" i="8" s="1"/>
  <c r="F391" i="8" a="1"/>
  <c r="F391" i="8" s="1"/>
  <c r="M391" i="8" a="1"/>
  <c r="M391" i="8" s="1"/>
  <c r="E391" i="8" a="1"/>
  <c r="E391" i="8" s="1"/>
  <c r="H391" i="8" a="1"/>
  <c r="H391" i="8" s="1"/>
  <c r="L391" i="8" a="1"/>
  <c r="L391" i="8" s="1"/>
  <c r="I391" i="8" a="1"/>
  <c r="I391" i="8" s="1"/>
  <c r="H277" i="8" a="1"/>
  <c r="H277" i="8" s="1"/>
  <c r="M277" i="8" a="1"/>
  <c r="M277" i="8" s="1"/>
  <c r="L277" i="8" a="1"/>
  <c r="L277" i="8" s="1"/>
  <c r="K277" i="8" a="1"/>
  <c r="K277" i="8" s="1"/>
  <c r="J277" i="8" a="1"/>
  <c r="J277" i="8" s="1"/>
  <c r="I277" i="8" a="1"/>
  <c r="I277" i="8" s="1"/>
  <c r="G277" i="8" a="1"/>
  <c r="G277" i="8" s="1"/>
  <c r="F277" i="8" a="1"/>
  <c r="F277" i="8" s="1"/>
  <c r="E277" i="8" a="1"/>
  <c r="E277" i="8" s="1"/>
  <c r="O277" i="8" a="1"/>
  <c r="O277" i="8" s="1"/>
  <c r="N277" i="8" a="1"/>
  <c r="N277" i="8" s="1"/>
  <c r="M180" i="8" a="1"/>
  <c r="M180" i="8" s="1"/>
  <c r="E180" i="8" a="1"/>
  <c r="E180" i="8" s="1"/>
  <c r="L180" i="8" a="1"/>
  <c r="L180" i="8" s="1"/>
  <c r="J180" i="8" a="1"/>
  <c r="J180" i="8" s="1"/>
  <c r="I180" i="8" a="1"/>
  <c r="I180" i="8" s="1"/>
  <c r="H180" i="8" a="1"/>
  <c r="H180" i="8" s="1"/>
  <c r="K180" i="8" a="1"/>
  <c r="K180" i="8" s="1"/>
  <c r="G180" i="8" a="1"/>
  <c r="G180" i="8" s="1"/>
  <c r="F180" i="8" a="1"/>
  <c r="F180" i="8" s="1"/>
  <c r="O180" i="8" a="1"/>
  <c r="O180" i="8" s="1"/>
  <c r="N180" i="8" a="1"/>
  <c r="N180" i="8" s="1"/>
  <c r="K211" i="8" a="1"/>
  <c r="K211" i="8" s="1"/>
  <c r="H211" i="8" a="1"/>
  <c r="H211" i="8" s="1"/>
  <c r="O211" i="8" a="1"/>
  <c r="O211" i="8" s="1"/>
  <c r="G211" i="8" a="1"/>
  <c r="G211" i="8" s="1"/>
  <c r="N211" i="8" a="1"/>
  <c r="N211" i="8" s="1"/>
  <c r="F211" i="8" a="1"/>
  <c r="F211" i="8" s="1"/>
  <c r="M211" i="8" a="1"/>
  <c r="M211" i="8" s="1"/>
  <c r="E211" i="8" a="1"/>
  <c r="E211" i="8" s="1"/>
  <c r="L211" i="8" a="1"/>
  <c r="L211" i="8" s="1"/>
  <c r="J211" i="8" a="1"/>
  <c r="J211" i="8" s="1"/>
  <c r="I211" i="8" a="1"/>
  <c r="I211" i="8" s="1"/>
  <c r="J47" i="8" a="1"/>
  <c r="J47" i="8" s="1"/>
  <c r="I47" i="8" a="1"/>
  <c r="I47" i="8" s="1"/>
  <c r="H47" i="8" a="1"/>
  <c r="H47" i="8" s="1"/>
  <c r="O47" i="8" a="1"/>
  <c r="O47" i="8" s="1"/>
  <c r="G47" i="8" a="1"/>
  <c r="G47" i="8" s="1"/>
  <c r="N47" i="8" a="1"/>
  <c r="N47" i="8" s="1"/>
  <c r="F47" i="8" a="1"/>
  <c r="F47" i="8" s="1"/>
  <c r="L47" i="8" a="1"/>
  <c r="L47" i="8" s="1"/>
  <c r="M47" i="8" a="1"/>
  <c r="M47" i="8" s="1"/>
  <c r="E47" i="8" a="1"/>
  <c r="E47" i="8" s="1"/>
  <c r="K47" i="8" a="1"/>
  <c r="K47" i="8" s="1"/>
  <c r="I88" i="8" a="1"/>
  <c r="I88" i="8" s="1"/>
  <c r="H88" i="8" a="1"/>
  <c r="H88" i="8" s="1"/>
  <c r="O88" i="8" a="1"/>
  <c r="O88" i="8" s="1"/>
  <c r="G88" i="8" a="1"/>
  <c r="G88" i="8" s="1"/>
  <c r="N88" i="8" a="1"/>
  <c r="N88" i="8" s="1"/>
  <c r="F88" i="8" a="1"/>
  <c r="F88" i="8" s="1"/>
  <c r="M88" i="8" a="1"/>
  <c r="M88" i="8" s="1"/>
  <c r="E88" i="8" a="1"/>
  <c r="E88" i="8" s="1"/>
  <c r="L88" i="8" a="1"/>
  <c r="L88" i="8" s="1"/>
  <c r="K88" i="8" a="1"/>
  <c r="K88" i="8" s="1"/>
  <c r="J88" i="8" a="1"/>
  <c r="J88" i="8" s="1"/>
  <c r="O900" i="8" a="1"/>
  <c r="O900" i="8" s="1"/>
  <c r="G900" i="8" a="1"/>
  <c r="G900" i="8" s="1"/>
  <c r="M900" i="8" a="1"/>
  <c r="M900" i="8" s="1"/>
  <c r="E900" i="8" a="1"/>
  <c r="E900" i="8" s="1"/>
  <c r="K900" i="8" a="1"/>
  <c r="K900" i="8" s="1"/>
  <c r="L900" i="8" a="1"/>
  <c r="L900" i="8" s="1"/>
  <c r="J900" i="8" a="1"/>
  <c r="J900" i="8" s="1"/>
  <c r="I900" i="8" a="1"/>
  <c r="I900" i="8" s="1"/>
  <c r="F900" i="8" a="1"/>
  <c r="F900" i="8" s="1"/>
  <c r="N900" i="8" a="1"/>
  <c r="N900" i="8" s="1"/>
  <c r="H900" i="8" a="1"/>
  <c r="H900" i="8" s="1"/>
  <c r="J681" i="8" a="1"/>
  <c r="J681" i="8" s="1"/>
  <c r="I681" i="8" a="1"/>
  <c r="I681" i="8" s="1"/>
  <c r="H681" i="8" a="1"/>
  <c r="H681" i="8" s="1"/>
  <c r="O681" i="8" a="1"/>
  <c r="O681" i="8" s="1"/>
  <c r="G681" i="8" a="1"/>
  <c r="G681" i="8" s="1"/>
  <c r="N681" i="8" a="1"/>
  <c r="N681" i="8" s="1"/>
  <c r="F681" i="8" a="1"/>
  <c r="F681" i="8" s="1"/>
  <c r="M681" i="8" a="1"/>
  <c r="M681" i="8" s="1"/>
  <c r="E681" i="8" a="1"/>
  <c r="E681" i="8" s="1"/>
  <c r="L681" i="8" a="1"/>
  <c r="L681" i="8" s="1"/>
  <c r="K681" i="8" a="1"/>
  <c r="K681" i="8" s="1"/>
  <c r="J397" i="8" a="1"/>
  <c r="J397" i="8" s="1"/>
  <c r="I397" i="8" a="1"/>
  <c r="I397" i="8" s="1"/>
  <c r="N397" i="8" a="1"/>
  <c r="N397" i="8" s="1"/>
  <c r="F397" i="8" a="1"/>
  <c r="F397" i="8" s="1"/>
  <c r="M397" i="8" a="1"/>
  <c r="M397" i="8" s="1"/>
  <c r="E397" i="8" a="1"/>
  <c r="E397" i="8" s="1"/>
  <c r="L397" i="8" a="1"/>
  <c r="L397" i="8" s="1"/>
  <c r="H397" i="8" a="1"/>
  <c r="H397" i="8" s="1"/>
  <c r="G397" i="8" a="1"/>
  <c r="G397" i="8" s="1"/>
  <c r="O397" i="8" a="1"/>
  <c r="O397" i="8" s="1"/>
  <c r="K397" i="8" a="1"/>
  <c r="K397" i="8" s="1"/>
  <c r="I352" i="8" a="1"/>
  <c r="I352" i="8" s="1"/>
  <c r="H352" i="8" a="1"/>
  <c r="H352" i="8" s="1"/>
  <c r="G352" i="8" a="1"/>
  <c r="G352" i="8" s="1"/>
  <c r="F352" i="8" a="1"/>
  <c r="F352" i="8" s="1"/>
  <c r="O352" i="8" a="1"/>
  <c r="O352" i="8" s="1"/>
  <c r="E352" i="8" a="1"/>
  <c r="E352" i="8" s="1"/>
  <c r="N352" i="8" a="1"/>
  <c r="N352" i="8" s="1"/>
  <c r="M352" i="8" a="1"/>
  <c r="M352" i="8" s="1"/>
  <c r="K352" i="8" a="1"/>
  <c r="K352" i="8" s="1"/>
  <c r="L352" i="8" a="1"/>
  <c r="L352" i="8" s="1"/>
  <c r="J352" i="8" a="1"/>
  <c r="J352" i="8" s="1"/>
  <c r="L138" i="8" a="1"/>
  <c r="L138" i="8" s="1"/>
  <c r="K138" i="8" a="1"/>
  <c r="K138" i="8" s="1"/>
  <c r="I138" i="8" a="1"/>
  <c r="I138" i="8" s="1"/>
  <c r="H138" i="8" a="1"/>
  <c r="H138" i="8" s="1"/>
  <c r="O138" i="8" a="1"/>
  <c r="O138" i="8" s="1"/>
  <c r="G138" i="8" a="1"/>
  <c r="G138" i="8" s="1"/>
  <c r="N138" i="8" a="1"/>
  <c r="N138" i="8" s="1"/>
  <c r="M138" i="8" a="1"/>
  <c r="M138" i="8" s="1"/>
  <c r="E138" i="8" a="1"/>
  <c r="E138" i="8" s="1"/>
  <c r="J138" i="8" a="1"/>
  <c r="J138" i="8" s="1"/>
  <c r="F138" i="8" a="1"/>
  <c r="F138" i="8" s="1"/>
  <c r="M151" i="8" a="1"/>
  <c r="M151" i="8" s="1"/>
  <c r="E151" i="8" a="1"/>
  <c r="E151" i="8" s="1"/>
  <c r="I151" i="8" a="1"/>
  <c r="I151" i="8" s="1"/>
  <c r="H151" i="8" a="1"/>
  <c r="H151" i="8" s="1"/>
  <c r="O151" i="8" a="1"/>
  <c r="O151" i="8" s="1"/>
  <c r="G151" i="8" a="1"/>
  <c r="G151" i="8" s="1"/>
  <c r="J151" i="8" a="1"/>
  <c r="J151" i="8" s="1"/>
  <c r="L151" i="8" a="1"/>
  <c r="L151" i="8" s="1"/>
  <c r="F151" i="8" a="1"/>
  <c r="F151" i="8" s="1"/>
  <c r="K151" i="8" a="1"/>
  <c r="K151" i="8" s="1"/>
  <c r="N151" i="8" a="1"/>
  <c r="N151" i="8" s="1"/>
  <c r="M183" i="8" a="1"/>
  <c r="M183" i="8" s="1"/>
  <c r="E183" i="8" a="1"/>
  <c r="E183" i="8" s="1"/>
  <c r="I183" i="8" a="1"/>
  <c r="I183" i="8" s="1"/>
  <c r="H183" i="8" a="1"/>
  <c r="H183" i="8" s="1"/>
  <c r="O183" i="8" a="1"/>
  <c r="O183" i="8" s="1"/>
  <c r="G183" i="8" a="1"/>
  <c r="G183" i="8" s="1"/>
  <c r="N183" i="8" a="1"/>
  <c r="N183" i="8" s="1"/>
  <c r="L183" i="8" a="1"/>
  <c r="L183" i="8" s="1"/>
  <c r="K183" i="8" a="1"/>
  <c r="K183" i="8" s="1"/>
  <c r="J183" i="8" a="1"/>
  <c r="J183" i="8" s="1"/>
  <c r="F183" i="8" a="1"/>
  <c r="F183" i="8" s="1"/>
  <c r="N768" i="8" a="1"/>
  <c r="N768" i="8" s="1"/>
  <c r="F768" i="8" a="1"/>
  <c r="F768" i="8" s="1"/>
  <c r="K768" i="8" a="1"/>
  <c r="K768" i="8" s="1"/>
  <c r="I768" i="8" a="1"/>
  <c r="I768" i="8" s="1"/>
  <c r="H768" i="8" a="1"/>
  <c r="H768" i="8" s="1"/>
  <c r="G768" i="8" a="1"/>
  <c r="G768" i="8" s="1"/>
  <c r="L768" i="8" a="1"/>
  <c r="L768" i="8" s="1"/>
  <c r="O768" i="8" a="1"/>
  <c r="O768" i="8" s="1"/>
  <c r="M768" i="8" a="1"/>
  <c r="M768" i="8" s="1"/>
  <c r="J768" i="8" a="1"/>
  <c r="J768" i="8" s="1"/>
  <c r="E768" i="8" a="1"/>
  <c r="E768" i="8" s="1"/>
  <c r="H580" i="8" a="1"/>
  <c r="H580" i="8" s="1"/>
  <c r="N580" i="8" a="1"/>
  <c r="N580" i="8" s="1"/>
  <c r="F580" i="8" a="1"/>
  <c r="F580" i="8" s="1"/>
  <c r="J580" i="8" a="1"/>
  <c r="J580" i="8" s="1"/>
  <c r="I580" i="8" a="1"/>
  <c r="I580" i="8" s="1"/>
  <c r="G580" i="8" a="1"/>
  <c r="G580" i="8" s="1"/>
  <c r="E580" i="8" a="1"/>
  <c r="E580" i="8" s="1"/>
  <c r="O580" i="8" a="1"/>
  <c r="O580" i="8" s="1"/>
  <c r="M580" i="8" a="1"/>
  <c r="M580" i="8" s="1"/>
  <c r="L580" i="8" a="1"/>
  <c r="L580" i="8" s="1"/>
  <c r="K580" i="8" a="1"/>
  <c r="K580" i="8" s="1"/>
  <c r="N386" i="8" a="1"/>
  <c r="N386" i="8" s="1"/>
  <c r="F386" i="8" a="1"/>
  <c r="F386" i="8" s="1"/>
  <c r="M386" i="8" a="1"/>
  <c r="M386" i="8" s="1"/>
  <c r="E386" i="8" a="1"/>
  <c r="E386" i="8" s="1"/>
  <c r="K386" i="8" a="1"/>
  <c r="K386" i="8" s="1"/>
  <c r="I386" i="8" a="1"/>
  <c r="I386" i="8" s="1"/>
  <c r="H386" i="8" a="1"/>
  <c r="H386" i="8" s="1"/>
  <c r="J386" i="8" a="1"/>
  <c r="J386" i="8" s="1"/>
  <c r="G386" i="8" a="1"/>
  <c r="G386" i="8" s="1"/>
  <c r="L386" i="8" a="1"/>
  <c r="L386" i="8" s="1"/>
  <c r="O386" i="8" a="1"/>
  <c r="O386" i="8" s="1"/>
  <c r="H361" i="8" a="1"/>
  <c r="H361" i="8" s="1"/>
  <c r="O361" i="8" a="1"/>
  <c r="O361" i="8" s="1"/>
  <c r="G361" i="8" a="1"/>
  <c r="G361" i="8" s="1"/>
  <c r="L361" i="8" a="1"/>
  <c r="L361" i="8" s="1"/>
  <c r="K361" i="8" a="1"/>
  <c r="K361" i="8" s="1"/>
  <c r="J361" i="8" a="1"/>
  <c r="J361" i="8" s="1"/>
  <c r="F361" i="8" a="1"/>
  <c r="F361" i="8" s="1"/>
  <c r="E361" i="8" a="1"/>
  <c r="E361" i="8" s="1"/>
  <c r="N361" i="8" a="1"/>
  <c r="N361" i="8" s="1"/>
  <c r="M361" i="8" a="1"/>
  <c r="M361" i="8" s="1"/>
  <c r="I361" i="8" a="1"/>
  <c r="I361" i="8" s="1"/>
  <c r="M279" i="8" a="1"/>
  <c r="M279" i="8" s="1"/>
  <c r="E279" i="8" a="1"/>
  <c r="E279" i="8" s="1"/>
  <c r="G279" i="8" a="1"/>
  <c r="G279" i="8" s="1"/>
  <c r="F279" i="8" a="1"/>
  <c r="F279" i="8" s="1"/>
  <c r="O279" i="8" a="1"/>
  <c r="O279" i="8" s="1"/>
  <c r="N279" i="8" a="1"/>
  <c r="N279" i="8" s="1"/>
  <c r="L279" i="8" a="1"/>
  <c r="L279" i="8" s="1"/>
  <c r="K279" i="8" a="1"/>
  <c r="K279" i="8" s="1"/>
  <c r="J279" i="8" a="1"/>
  <c r="J279" i="8" s="1"/>
  <c r="I279" i="8" a="1"/>
  <c r="I279" i="8" s="1"/>
  <c r="H279" i="8" a="1"/>
  <c r="H279" i="8" s="1"/>
  <c r="O270" i="8" a="1"/>
  <c r="O270" i="8" s="1"/>
  <c r="G270" i="8" a="1"/>
  <c r="G270" i="8" s="1"/>
  <c r="N270" i="8" a="1"/>
  <c r="N270" i="8" s="1"/>
  <c r="F270" i="8" a="1"/>
  <c r="F270" i="8" s="1"/>
  <c r="M270" i="8" a="1"/>
  <c r="M270" i="8" s="1"/>
  <c r="E270" i="8" a="1"/>
  <c r="E270" i="8" s="1"/>
  <c r="L270" i="8" a="1"/>
  <c r="L270" i="8" s="1"/>
  <c r="K270" i="8" a="1"/>
  <c r="K270" i="8" s="1"/>
  <c r="J270" i="8" a="1"/>
  <c r="J270" i="8" s="1"/>
  <c r="I270" i="8" a="1"/>
  <c r="I270" i="8" s="1"/>
  <c r="H270" i="8" a="1"/>
  <c r="H270" i="8" s="1"/>
  <c r="N244" i="8" a="1"/>
  <c r="N244" i="8" s="1"/>
  <c r="F244" i="8" a="1"/>
  <c r="F244" i="8" s="1"/>
  <c r="M244" i="8" a="1"/>
  <c r="M244" i="8" s="1"/>
  <c r="E244" i="8" a="1"/>
  <c r="E244" i="8" s="1"/>
  <c r="L244" i="8" a="1"/>
  <c r="L244" i="8" s="1"/>
  <c r="K244" i="8" a="1"/>
  <c r="K244" i="8" s="1"/>
  <c r="J244" i="8" a="1"/>
  <c r="J244" i="8" s="1"/>
  <c r="I244" i="8" a="1"/>
  <c r="I244" i="8" s="1"/>
  <c r="H244" i="8" a="1"/>
  <c r="H244" i="8" s="1"/>
  <c r="O244" i="8" a="1"/>
  <c r="O244" i="8" s="1"/>
  <c r="G244" i="8" a="1"/>
  <c r="G244" i="8" s="1"/>
  <c r="K811" i="8" a="1"/>
  <c r="K811" i="8" s="1"/>
  <c r="H811" i="8" a="1"/>
  <c r="H811" i="8" s="1"/>
  <c r="M811" i="8" a="1"/>
  <c r="M811" i="8" s="1"/>
  <c r="E811" i="8" a="1"/>
  <c r="E811" i="8" s="1"/>
  <c r="F811" i="8" a="1"/>
  <c r="F811" i="8" s="1"/>
  <c r="O811" i="8" a="1"/>
  <c r="O811" i="8" s="1"/>
  <c r="N811" i="8" a="1"/>
  <c r="N811" i="8" s="1"/>
  <c r="L811" i="8" a="1"/>
  <c r="L811" i="8" s="1"/>
  <c r="J811" i="8" a="1"/>
  <c r="J811" i="8" s="1"/>
  <c r="I811" i="8" a="1"/>
  <c r="I811" i="8" s="1"/>
  <c r="G811" i="8" a="1"/>
  <c r="G811" i="8" s="1"/>
  <c r="J665" i="8" a="1"/>
  <c r="J665" i="8" s="1"/>
  <c r="I665" i="8" a="1"/>
  <c r="I665" i="8" s="1"/>
  <c r="O665" i="8" a="1"/>
  <c r="O665" i="8" s="1"/>
  <c r="G665" i="8" a="1"/>
  <c r="G665" i="8" s="1"/>
  <c r="M665" i="8" a="1"/>
  <c r="M665" i="8" s="1"/>
  <c r="E665" i="8" a="1"/>
  <c r="E665" i="8" s="1"/>
  <c r="L665" i="8" a="1"/>
  <c r="L665" i="8" s="1"/>
  <c r="K665" i="8" a="1"/>
  <c r="K665" i="8" s="1"/>
  <c r="H665" i="8" a="1"/>
  <c r="H665" i="8" s="1"/>
  <c r="F665" i="8" a="1"/>
  <c r="F665" i="8" s="1"/>
  <c r="N665" i="8" a="1"/>
  <c r="N665" i="8" s="1"/>
  <c r="K691" i="8" a="1"/>
  <c r="K691" i="8" s="1"/>
  <c r="J691" i="8" a="1"/>
  <c r="J691" i="8" s="1"/>
  <c r="I691" i="8" a="1"/>
  <c r="I691" i="8" s="1"/>
  <c r="H691" i="8" a="1"/>
  <c r="H691" i="8" s="1"/>
  <c r="O691" i="8" a="1"/>
  <c r="O691" i="8" s="1"/>
  <c r="G691" i="8" a="1"/>
  <c r="G691" i="8" s="1"/>
  <c r="N691" i="8" a="1"/>
  <c r="N691" i="8" s="1"/>
  <c r="F691" i="8" a="1"/>
  <c r="F691" i="8" s="1"/>
  <c r="M691" i="8" a="1"/>
  <c r="M691" i="8" s="1"/>
  <c r="E691" i="8" a="1"/>
  <c r="E691" i="8" s="1"/>
  <c r="L691" i="8" a="1"/>
  <c r="L691" i="8" s="1"/>
  <c r="O570" i="8" a="1"/>
  <c r="O570" i="8" s="1"/>
  <c r="G570" i="8" a="1"/>
  <c r="G570" i="8" s="1"/>
  <c r="I570" i="8" a="1"/>
  <c r="I570" i="8" s="1"/>
  <c r="H570" i="8" a="1"/>
  <c r="H570" i="8" s="1"/>
  <c r="F570" i="8" a="1"/>
  <c r="F570" i="8" s="1"/>
  <c r="E570" i="8" a="1"/>
  <c r="E570" i="8" s="1"/>
  <c r="N570" i="8" a="1"/>
  <c r="N570" i="8" s="1"/>
  <c r="M570" i="8" a="1"/>
  <c r="M570" i="8" s="1"/>
  <c r="L570" i="8" a="1"/>
  <c r="L570" i="8" s="1"/>
  <c r="K570" i="8" a="1"/>
  <c r="K570" i="8" s="1"/>
  <c r="J570" i="8" a="1"/>
  <c r="J570" i="8" s="1"/>
  <c r="L538" i="8" a="1"/>
  <c r="L538" i="8" s="1"/>
  <c r="K538" i="8" a="1"/>
  <c r="K538" i="8" s="1"/>
  <c r="H538" i="8" a="1"/>
  <c r="H538" i="8" s="1"/>
  <c r="O538" i="8" a="1"/>
  <c r="O538" i="8" s="1"/>
  <c r="N538" i="8" a="1"/>
  <c r="N538" i="8" s="1"/>
  <c r="M538" i="8" a="1"/>
  <c r="M538" i="8" s="1"/>
  <c r="J538" i="8" a="1"/>
  <c r="J538" i="8" s="1"/>
  <c r="I538" i="8" a="1"/>
  <c r="I538" i="8" s="1"/>
  <c r="E538" i="8" a="1"/>
  <c r="E538" i="8" s="1"/>
  <c r="G538" i="8" a="1"/>
  <c r="G538" i="8" s="1"/>
  <c r="F538" i="8" a="1"/>
  <c r="F538" i="8" s="1"/>
  <c r="I468" i="8" a="1"/>
  <c r="I468" i="8" s="1"/>
  <c r="H468" i="8" a="1"/>
  <c r="H468" i="8" s="1"/>
  <c r="O468" i="8" a="1"/>
  <c r="O468" i="8" s="1"/>
  <c r="G468" i="8" a="1"/>
  <c r="G468" i="8" s="1"/>
  <c r="N468" i="8" a="1"/>
  <c r="N468" i="8" s="1"/>
  <c r="F468" i="8" a="1"/>
  <c r="F468" i="8" s="1"/>
  <c r="L468" i="8" a="1"/>
  <c r="L468" i="8" s="1"/>
  <c r="K468" i="8" a="1"/>
  <c r="K468" i="8" s="1"/>
  <c r="M468" i="8" a="1"/>
  <c r="M468" i="8" s="1"/>
  <c r="J468" i="8" a="1"/>
  <c r="J468" i="8" s="1"/>
  <c r="E468" i="8" a="1"/>
  <c r="E468" i="8" s="1"/>
  <c r="J494" i="8" a="1"/>
  <c r="J494" i="8" s="1"/>
  <c r="I494" i="8" a="1"/>
  <c r="I494" i="8" s="1"/>
  <c r="H494" i="8" a="1"/>
  <c r="H494" i="8" s="1"/>
  <c r="O494" i="8" a="1"/>
  <c r="O494" i="8" s="1"/>
  <c r="G494" i="8" a="1"/>
  <c r="G494" i="8" s="1"/>
  <c r="M494" i="8" a="1"/>
  <c r="M494" i="8" s="1"/>
  <c r="E494" i="8" a="1"/>
  <c r="E494" i="8" s="1"/>
  <c r="L494" i="8" a="1"/>
  <c r="L494" i="8" s="1"/>
  <c r="F494" i="8" a="1"/>
  <c r="F494" i="8" s="1"/>
  <c r="N494" i="8" a="1"/>
  <c r="N494" i="8" s="1"/>
  <c r="K494" i="8" a="1"/>
  <c r="K494" i="8" s="1"/>
  <c r="H471" i="8" a="1"/>
  <c r="H471" i="8" s="1"/>
  <c r="O471" i="8" a="1"/>
  <c r="O471" i="8" s="1"/>
  <c r="G471" i="8" a="1"/>
  <c r="G471" i="8" s="1"/>
  <c r="K471" i="8" a="1"/>
  <c r="K471" i="8" s="1"/>
  <c r="J471" i="8" a="1"/>
  <c r="J471" i="8" s="1"/>
  <c r="N471" i="8" a="1"/>
  <c r="N471" i="8" s="1"/>
  <c r="M471" i="8" a="1"/>
  <c r="M471" i="8" s="1"/>
  <c r="L471" i="8" a="1"/>
  <c r="L471" i="8" s="1"/>
  <c r="I471" i="8" a="1"/>
  <c r="I471" i="8" s="1"/>
  <c r="F471" i="8" a="1"/>
  <c r="F471" i="8" s="1"/>
  <c r="E471" i="8" a="1"/>
  <c r="E471" i="8" s="1"/>
  <c r="L311" i="8" a="1"/>
  <c r="L311" i="8" s="1"/>
  <c r="I311" i="8" a="1"/>
  <c r="I311" i="8" s="1"/>
  <c r="M311" i="8" a="1"/>
  <c r="M311" i="8" s="1"/>
  <c r="E311" i="8" a="1"/>
  <c r="E311" i="8" s="1"/>
  <c r="H311" i="8" a="1"/>
  <c r="H311" i="8" s="1"/>
  <c r="G311" i="8" a="1"/>
  <c r="G311" i="8" s="1"/>
  <c r="F311" i="8" a="1"/>
  <c r="F311" i="8" s="1"/>
  <c r="O311" i="8" a="1"/>
  <c r="O311" i="8" s="1"/>
  <c r="N311" i="8" a="1"/>
  <c r="N311" i="8" s="1"/>
  <c r="K311" i="8" a="1"/>
  <c r="K311" i="8" s="1"/>
  <c r="J311" i="8" a="1"/>
  <c r="J311" i="8" s="1"/>
  <c r="O238" i="8" a="1"/>
  <c r="O238" i="8" s="1"/>
  <c r="G238" i="8" a="1"/>
  <c r="G238" i="8" s="1"/>
  <c r="N238" i="8" a="1"/>
  <c r="N238" i="8" s="1"/>
  <c r="F238" i="8" a="1"/>
  <c r="F238" i="8" s="1"/>
  <c r="M238" i="8" a="1"/>
  <c r="M238" i="8" s="1"/>
  <c r="E238" i="8" a="1"/>
  <c r="E238" i="8" s="1"/>
  <c r="L238" i="8" a="1"/>
  <c r="L238" i="8" s="1"/>
  <c r="K238" i="8" a="1"/>
  <c r="K238" i="8" s="1"/>
  <c r="J238" i="8" a="1"/>
  <c r="J238" i="8" s="1"/>
  <c r="I238" i="8" a="1"/>
  <c r="I238" i="8" s="1"/>
  <c r="H238" i="8" a="1"/>
  <c r="H238" i="8" s="1"/>
  <c r="M116" i="8" a="1"/>
  <c r="M116" i="8" s="1"/>
  <c r="E116" i="8" a="1"/>
  <c r="E116" i="8" s="1"/>
  <c r="L116" i="8" a="1"/>
  <c r="L116" i="8" s="1"/>
  <c r="I116" i="8" a="1"/>
  <c r="I116" i="8" s="1"/>
  <c r="H116" i="8" a="1"/>
  <c r="H116" i="8" s="1"/>
  <c r="O116" i="8" a="1"/>
  <c r="O116" i="8" s="1"/>
  <c r="F116" i="8" a="1"/>
  <c r="F116" i="8" s="1"/>
  <c r="N116" i="8" a="1"/>
  <c r="N116" i="8" s="1"/>
  <c r="K116" i="8" a="1"/>
  <c r="K116" i="8" s="1"/>
  <c r="J116" i="8" a="1"/>
  <c r="J116" i="8" s="1"/>
  <c r="G116" i="8" a="1"/>
  <c r="G116" i="8" s="1"/>
  <c r="O222" i="8" a="1"/>
  <c r="O222" i="8" s="1"/>
  <c r="G222" i="8" a="1"/>
  <c r="G222" i="8" s="1"/>
  <c r="N222" i="8" a="1"/>
  <c r="N222" i="8" s="1"/>
  <c r="F222" i="8" a="1"/>
  <c r="F222" i="8" s="1"/>
  <c r="M222" i="8" a="1"/>
  <c r="M222" i="8" s="1"/>
  <c r="E222" i="8" a="1"/>
  <c r="E222" i="8" s="1"/>
  <c r="L222" i="8" a="1"/>
  <c r="L222" i="8" s="1"/>
  <c r="K222" i="8" a="1"/>
  <c r="K222" i="8" s="1"/>
  <c r="J222" i="8" a="1"/>
  <c r="J222" i="8" s="1"/>
  <c r="I222" i="8" a="1"/>
  <c r="I222" i="8" s="1"/>
  <c r="H222" i="8" a="1"/>
  <c r="H222" i="8" s="1"/>
  <c r="N110" i="8" a="1"/>
  <c r="N110" i="8" s="1"/>
  <c r="F110" i="8" a="1"/>
  <c r="F110" i="8" s="1"/>
  <c r="J110" i="8" a="1"/>
  <c r="J110" i="8" s="1"/>
  <c r="G110" i="8" a="1"/>
  <c r="G110" i="8" s="1"/>
  <c r="I110" i="8" a="1"/>
  <c r="I110" i="8" s="1"/>
  <c r="E110" i="8" a="1"/>
  <c r="E110" i="8" s="1"/>
  <c r="O110" i="8" a="1"/>
  <c r="O110" i="8" s="1"/>
  <c r="M110" i="8" a="1"/>
  <c r="M110" i="8" s="1"/>
  <c r="L110" i="8" a="1"/>
  <c r="L110" i="8" s="1"/>
  <c r="K110" i="8" a="1"/>
  <c r="K110" i="8" s="1"/>
  <c r="H110" i="8" a="1"/>
  <c r="H110" i="8" s="1"/>
  <c r="N190" i="8" a="1"/>
  <c r="N190" i="8" s="1"/>
  <c r="F190" i="8" a="1"/>
  <c r="F190" i="8" s="1"/>
  <c r="M190" i="8" a="1"/>
  <c r="M190" i="8" s="1"/>
  <c r="E190" i="8" a="1"/>
  <c r="E190" i="8" s="1"/>
  <c r="L190" i="8" a="1"/>
  <c r="L190" i="8" s="1"/>
  <c r="K190" i="8" a="1"/>
  <c r="K190" i="8" s="1"/>
  <c r="J190" i="8" a="1"/>
  <c r="J190" i="8" s="1"/>
  <c r="I190" i="8" a="1"/>
  <c r="I190" i="8" s="1"/>
  <c r="O190" i="8" a="1"/>
  <c r="O190" i="8" s="1"/>
  <c r="H190" i="8" a="1"/>
  <c r="H190" i="8" s="1"/>
  <c r="G190" i="8" a="1"/>
  <c r="G190" i="8" s="1"/>
  <c r="J95" i="8" a="1"/>
  <c r="J95" i="8" s="1"/>
  <c r="L95" i="8" a="1"/>
  <c r="L95" i="8" s="1"/>
  <c r="I95" i="8" a="1"/>
  <c r="I95" i="8" s="1"/>
  <c r="H95" i="8" a="1"/>
  <c r="H95" i="8" s="1"/>
  <c r="O95" i="8" a="1"/>
  <c r="O95" i="8" s="1"/>
  <c r="G95" i="8" a="1"/>
  <c r="G95" i="8" s="1"/>
  <c r="N95" i="8" a="1"/>
  <c r="N95" i="8" s="1"/>
  <c r="F95" i="8" a="1"/>
  <c r="F95" i="8" s="1"/>
  <c r="M95" i="8" a="1"/>
  <c r="M95" i="8" s="1"/>
  <c r="E95" i="8" a="1"/>
  <c r="E95" i="8" s="1"/>
  <c r="K95" i="8" a="1"/>
  <c r="K95" i="8" s="1"/>
  <c r="M880" i="8" a="1"/>
  <c r="M880" i="8" s="1"/>
  <c r="K880" i="8" a="1"/>
  <c r="K880" i="8" s="1"/>
  <c r="L880" i="8" a="1"/>
  <c r="L880" i="8" s="1"/>
  <c r="J880" i="8" a="1"/>
  <c r="J880" i="8" s="1"/>
  <c r="H880" i="8" a="1"/>
  <c r="H880" i="8" s="1"/>
  <c r="I880" i="8" a="1"/>
  <c r="I880" i="8" s="1"/>
  <c r="G880" i="8" a="1"/>
  <c r="G880" i="8" s="1"/>
  <c r="F880" i="8" a="1"/>
  <c r="F880" i="8" s="1"/>
  <c r="E880" i="8" a="1"/>
  <c r="E880" i="8" s="1"/>
  <c r="O880" i="8" a="1"/>
  <c r="O880" i="8" s="1"/>
  <c r="N880" i="8" a="1"/>
  <c r="N880" i="8" s="1"/>
  <c r="O803" i="8" a="1"/>
  <c r="O803" i="8" s="1"/>
  <c r="G803" i="8" a="1"/>
  <c r="G803" i="8" s="1"/>
  <c r="L803" i="8" a="1"/>
  <c r="L803" i="8" s="1"/>
  <c r="I803" i="8" a="1"/>
  <c r="I803" i="8" s="1"/>
  <c r="F803" i="8" a="1"/>
  <c r="F803" i="8" s="1"/>
  <c r="E803" i="8" a="1"/>
  <c r="E803" i="8" s="1"/>
  <c r="N803" i="8" a="1"/>
  <c r="N803" i="8" s="1"/>
  <c r="M803" i="8" a="1"/>
  <c r="M803" i="8" s="1"/>
  <c r="K803" i="8" a="1"/>
  <c r="K803" i="8" s="1"/>
  <c r="J803" i="8" a="1"/>
  <c r="J803" i="8" s="1"/>
  <c r="H803" i="8" a="1"/>
  <c r="H803" i="8" s="1"/>
  <c r="K678" i="8" a="1"/>
  <c r="K678" i="8" s="1"/>
  <c r="J678" i="8" a="1"/>
  <c r="J678" i="8" s="1"/>
  <c r="I678" i="8" a="1"/>
  <c r="I678" i="8" s="1"/>
  <c r="H678" i="8" a="1"/>
  <c r="H678" i="8" s="1"/>
  <c r="N678" i="8" a="1"/>
  <c r="N678" i="8" s="1"/>
  <c r="F678" i="8" a="1"/>
  <c r="F678" i="8" s="1"/>
  <c r="O678" i="8" a="1"/>
  <c r="O678" i="8" s="1"/>
  <c r="M678" i="8" a="1"/>
  <c r="M678" i="8" s="1"/>
  <c r="G678" i="8" a="1"/>
  <c r="G678" i="8" s="1"/>
  <c r="E678" i="8" a="1"/>
  <c r="E678" i="8" s="1"/>
  <c r="L678" i="8" a="1"/>
  <c r="L678" i="8" s="1"/>
  <c r="K512" i="8" a="1"/>
  <c r="K512" i="8" s="1"/>
  <c r="J512" i="8" a="1"/>
  <c r="J512" i="8" s="1"/>
  <c r="O512" i="8" a="1"/>
  <c r="O512" i="8" s="1"/>
  <c r="G512" i="8" a="1"/>
  <c r="G512" i="8" s="1"/>
  <c r="I512" i="8" a="1"/>
  <c r="I512" i="8" s="1"/>
  <c r="H512" i="8" a="1"/>
  <c r="H512" i="8" s="1"/>
  <c r="F512" i="8" a="1"/>
  <c r="F512" i="8" s="1"/>
  <c r="E512" i="8" a="1"/>
  <c r="E512" i="8" s="1"/>
  <c r="N512" i="8" a="1"/>
  <c r="N512" i="8" s="1"/>
  <c r="M512" i="8" a="1"/>
  <c r="M512" i="8" s="1"/>
  <c r="L512" i="8" a="1"/>
  <c r="L512" i="8" s="1"/>
  <c r="K547" i="8" a="1"/>
  <c r="K547" i="8" s="1"/>
  <c r="J547" i="8" a="1"/>
  <c r="J547" i="8" s="1"/>
  <c r="H547" i="8" a="1"/>
  <c r="H547" i="8" s="1"/>
  <c r="O547" i="8" a="1"/>
  <c r="O547" i="8" s="1"/>
  <c r="G547" i="8" a="1"/>
  <c r="G547" i="8" s="1"/>
  <c r="N547" i="8" a="1"/>
  <c r="N547" i="8" s="1"/>
  <c r="F547" i="8" a="1"/>
  <c r="F547" i="8" s="1"/>
  <c r="M547" i="8" a="1"/>
  <c r="M547" i="8" s="1"/>
  <c r="E547" i="8" a="1"/>
  <c r="E547" i="8" s="1"/>
  <c r="L547" i="8" a="1"/>
  <c r="L547" i="8" s="1"/>
  <c r="I547" i="8" a="1"/>
  <c r="I547" i="8" s="1"/>
  <c r="K314" i="8" a="1"/>
  <c r="K314" i="8" s="1"/>
  <c r="H314" i="8" a="1"/>
  <c r="H314" i="8" s="1"/>
  <c r="M314" i="8" a="1"/>
  <c r="M314" i="8" s="1"/>
  <c r="E314" i="8" a="1"/>
  <c r="E314" i="8" s="1"/>
  <c r="G314" i="8" a="1"/>
  <c r="G314" i="8" s="1"/>
  <c r="F314" i="8" a="1"/>
  <c r="F314" i="8" s="1"/>
  <c r="O314" i="8" a="1"/>
  <c r="O314" i="8" s="1"/>
  <c r="N314" i="8" a="1"/>
  <c r="N314" i="8" s="1"/>
  <c r="L314" i="8" a="1"/>
  <c r="L314" i="8" s="1"/>
  <c r="J314" i="8" a="1"/>
  <c r="J314" i="8" s="1"/>
  <c r="I314" i="8" a="1"/>
  <c r="I314" i="8" s="1"/>
  <c r="M318" i="8" a="1"/>
  <c r="M318" i="8" s="1"/>
  <c r="E318" i="8" a="1"/>
  <c r="E318" i="8" s="1"/>
  <c r="J318" i="8" a="1"/>
  <c r="J318" i="8" s="1"/>
  <c r="O318" i="8" a="1"/>
  <c r="O318" i="8" s="1"/>
  <c r="G318" i="8" a="1"/>
  <c r="G318" i="8" s="1"/>
  <c r="H318" i="8" a="1"/>
  <c r="H318" i="8" s="1"/>
  <c r="F318" i="8" a="1"/>
  <c r="F318" i="8" s="1"/>
  <c r="N318" i="8" a="1"/>
  <c r="N318" i="8" s="1"/>
  <c r="L318" i="8" a="1"/>
  <c r="L318" i="8" s="1"/>
  <c r="K318" i="8" a="1"/>
  <c r="K318" i="8" s="1"/>
  <c r="I318" i="8" a="1"/>
  <c r="I318" i="8" s="1"/>
  <c r="M234" i="8" a="1"/>
  <c r="M234" i="8" s="1"/>
  <c r="E234" i="8" a="1"/>
  <c r="E234" i="8" s="1"/>
  <c r="L234" i="8" a="1"/>
  <c r="L234" i="8" s="1"/>
  <c r="K234" i="8" a="1"/>
  <c r="K234" i="8" s="1"/>
  <c r="J234" i="8" a="1"/>
  <c r="J234" i="8" s="1"/>
  <c r="I234" i="8" a="1"/>
  <c r="I234" i="8" s="1"/>
  <c r="H234" i="8" a="1"/>
  <c r="H234" i="8" s="1"/>
  <c r="O234" i="8" a="1"/>
  <c r="O234" i="8" s="1"/>
  <c r="G234" i="8" a="1"/>
  <c r="G234" i="8" s="1"/>
  <c r="N234" i="8" a="1"/>
  <c r="N234" i="8" s="1"/>
  <c r="F234" i="8" a="1"/>
  <c r="F234" i="8" s="1"/>
  <c r="N129" i="8" a="1"/>
  <c r="N129" i="8" s="1"/>
  <c r="F129" i="8" a="1"/>
  <c r="F129" i="8" s="1"/>
  <c r="J129" i="8" a="1"/>
  <c r="J129" i="8" s="1"/>
  <c r="I129" i="8" a="1"/>
  <c r="I129" i="8" s="1"/>
  <c r="H129" i="8" a="1"/>
  <c r="H129" i="8" s="1"/>
  <c r="O129" i="8" a="1"/>
  <c r="O129" i="8" s="1"/>
  <c r="M129" i="8" a="1"/>
  <c r="M129" i="8" s="1"/>
  <c r="L129" i="8" a="1"/>
  <c r="L129" i="8" s="1"/>
  <c r="K129" i="8" a="1"/>
  <c r="K129" i="8" s="1"/>
  <c r="G129" i="8" a="1"/>
  <c r="G129" i="8" s="1"/>
  <c r="E129" i="8" a="1"/>
  <c r="E129" i="8" s="1"/>
  <c r="M111" i="8" a="1"/>
  <c r="M111" i="8" s="1"/>
  <c r="E111" i="8" a="1"/>
  <c r="E111" i="8" s="1"/>
  <c r="K111" i="8" a="1"/>
  <c r="K111" i="8" s="1"/>
  <c r="O111" i="8" a="1"/>
  <c r="O111" i="8" s="1"/>
  <c r="N111" i="8" a="1"/>
  <c r="N111" i="8" s="1"/>
  <c r="L111" i="8" a="1"/>
  <c r="L111" i="8" s="1"/>
  <c r="J111" i="8" a="1"/>
  <c r="J111" i="8" s="1"/>
  <c r="I111" i="8" a="1"/>
  <c r="I111" i="8" s="1"/>
  <c r="H111" i="8" a="1"/>
  <c r="H111" i="8" s="1"/>
  <c r="G111" i="8" a="1"/>
  <c r="G111" i="8" s="1"/>
  <c r="F111" i="8" a="1"/>
  <c r="F111" i="8" s="1"/>
  <c r="I175" i="8" a="1"/>
  <c r="I175" i="8" s="1"/>
  <c r="M175" i="8" a="1"/>
  <c r="M175" i="8" s="1"/>
  <c r="E175" i="8" a="1"/>
  <c r="E175" i="8" s="1"/>
  <c r="L175" i="8" a="1"/>
  <c r="L175" i="8" s="1"/>
  <c r="K175" i="8" a="1"/>
  <c r="K175" i="8" s="1"/>
  <c r="H175" i="8" a="1"/>
  <c r="H175" i="8" s="1"/>
  <c r="G175" i="8" a="1"/>
  <c r="G175" i="8" s="1"/>
  <c r="F175" i="8" a="1"/>
  <c r="F175" i="8" s="1"/>
  <c r="N175" i="8" a="1"/>
  <c r="N175" i="8" s="1"/>
  <c r="O175" i="8" a="1"/>
  <c r="O175" i="8" s="1"/>
  <c r="J175" i="8" a="1"/>
  <c r="J175" i="8" s="1"/>
  <c r="K227" i="8" a="1"/>
  <c r="K227" i="8" s="1"/>
  <c r="I227" i="8" a="1"/>
  <c r="I227" i="8" s="1"/>
  <c r="H227" i="8" a="1"/>
  <c r="H227" i="8" s="1"/>
  <c r="O227" i="8" a="1"/>
  <c r="O227" i="8" s="1"/>
  <c r="G227" i="8" a="1"/>
  <c r="G227" i="8" s="1"/>
  <c r="N227" i="8" a="1"/>
  <c r="N227" i="8" s="1"/>
  <c r="F227" i="8" a="1"/>
  <c r="F227" i="8" s="1"/>
  <c r="M227" i="8" a="1"/>
  <c r="M227" i="8" s="1"/>
  <c r="E227" i="8" a="1"/>
  <c r="E227" i="8" s="1"/>
  <c r="L227" i="8" a="1"/>
  <c r="L227" i="8" s="1"/>
  <c r="J227" i="8" a="1"/>
  <c r="J227" i="8" s="1"/>
  <c r="N74" i="8" a="1"/>
  <c r="N74" i="8" s="1"/>
  <c r="F74" i="8" a="1"/>
  <c r="F74" i="8" s="1"/>
  <c r="M74" i="8" a="1"/>
  <c r="M74" i="8" s="1"/>
  <c r="E74" i="8" a="1"/>
  <c r="E74" i="8" s="1"/>
  <c r="L74" i="8" a="1"/>
  <c r="L74" i="8" s="1"/>
  <c r="K74" i="8" a="1"/>
  <c r="K74" i="8" s="1"/>
  <c r="J74" i="8" a="1"/>
  <c r="J74" i="8" s="1"/>
  <c r="I74" i="8" a="1"/>
  <c r="I74" i="8" s="1"/>
  <c r="H74" i="8" a="1"/>
  <c r="H74" i="8" s="1"/>
  <c r="O74" i="8" a="1"/>
  <c r="O74" i="8" s="1"/>
  <c r="G74" i="8" a="1"/>
  <c r="G74" i="8" s="1"/>
  <c r="I879" i="8" a="1"/>
  <c r="I879" i="8" s="1"/>
  <c r="H879" i="8" a="1"/>
  <c r="H879" i="8" s="1"/>
  <c r="O879" i="8" a="1"/>
  <c r="O879" i="8" s="1"/>
  <c r="G879" i="8" a="1"/>
  <c r="G879" i="8" s="1"/>
  <c r="M879" i="8" a="1"/>
  <c r="M879" i="8" s="1"/>
  <c r="E879" i="8" a="1"/>
  <c r="E879" i="8" s="1"/>
  <c r="J879" i="8" a="1"/>
  <c r="J879" i="8" s="1"/>
  <c r="F879" i="8" a="1"/>
  <c r="F879" i="8" s="1"/>
  <c r="N879" i="8" a="1"/>
  <c r="N879" i="8" s="1"/>
  <c r="L879" i="8" a="1"/>
  <c r="L879" i="8" s="1"/>
  <c r="K879" i="8" a="1"/>
  <c r="K879" i="8" s="1"/>
  <c r="M940" i="8" a="1"/>
  <c r="M940" i="8" s="1"/>
  <c r="E940" i="8" a="1"/>
  <c r="E940" i="8" s="1"/>
  <c r="L940" i="8" a="1"/>
  <c r="L940" i="8" s="1"/>
  <c r="K940" i="8" a="1"/>
  <c r="K940" i="8" s="1"/>
  <c r="I940" i="8" a="1"/>
  <c r="I940" i="8" s="1"/>
  <c r="H940" i="8" a="1"/>
  <c r="H940" i="8" s="1"/>
  <c r="O940" i="8" a="1"/>
  <c r="O940" i="8" s="1"/>
  <c r="G940" i="8" a="1"/>
  <c r="G940" i="8" s="1"/>
  <c r="N940" i="8" a="1"/>
  <c r="N940" i="8" s="1"/>
  <c r="J940" i="8" a="1"/>
  <c r="J940" i="8" s="1"/>
  <c r="F940" i="8" a="1"/>
  <c r="F940" i="8" s="1"/>
  <c r="H643" i="8" a="1"/>
  <c r="H643" i="8" s="1"/>
  <c r="I643" i="8" a="1"/>
  <c r="I643" i="8" s="1"/>
  <c r="G643" i="8" a="1"/>
  <c r="G643" i="8" s="1"/>
  <c r="O643" i="8" a="1"/>
  <c r="O643" i="8" s="1"/>
  <c r="E643" i="8" a="1"/>
  <c r="E643" i="8" s="1"/>
  <c r="M643" i="8" a="1"/>
  <c r="M643" i="8" s="1"/>
  <c r="L643" i="8" a="1"/>
  <c r="L643" i="8" s="1"/>
  <c r="K643" i="8" a="1"/>
  <c r="K643" i="8" s="1"/>
  <c r="N643" i="8" a="1"/>
  <c r="N643" i="8" s="1"/>
  <c r="J643" i="8" a="1"/>
  <c r="J643" i="8" s="1"/>
  <c r="F643" i="8" a="1"/>
  <c r="F643" i="8" s="1"/>
  <c r="K612" i="8" a="1"/>
  <c r="K612" i="8" s="1"/>
  <c r="H612" i="8" a="1"/>
  <c r="H612" i="8" s="1"/>
  <c r="N612" i="8" a="1"/>
  <c r="N612" i="8" s="1"/>
  <c r="F612" i="8" a="1"/>
  <c r="F612" i="8" s="1"/>
  <c r="M612" i="8" a="1"/>
  <c r="M612" i="8" s="1"/>
  <c r="L612" i="8" a="1"/>
  <c r="L612" i="8" s="1"/>
  <c r="J612" i="8" a="1"/>
  <c r="J612" i="8" s="1"/>
  <c r="I612" i="8" a="1"/>
  <c r="I612" i="8" s="1"/>
  <c r="G612" i="8" a="1"/>
  <c r="G612" i="8" s="1"/>
  <c r="E612" i="8" a="1"/>
  <c r="E612" i="8" s="1"/>
  <c r="O612" i="8" a="1"/>
  <c r="O612" i="8" s="1"/>
  <c r="M519" i="8" a="1"/>
  <c r="M519" i="8" s="1"/>
  <c r="E519" i="8" a="1"/>
  <c r="E519" i="8" s="1"/>
  <c r="J519" i="8" a="1"/>
  <c r="J519" i="8" s="1"/>
  <c r="I519" i="8" a="1"/>
  <c r="I519" i="8" s="1"/>
  <c r="H519" i="8" a="1"/>
  <c r="H519" i="8" s="1"/>
  <c r="O519" i="8" a="1"/>
  <c r="O519" i="8" s="1"/>
  <c r="G519" i="8" a="1"/>
  <c r="G519" i="8" s="1"/>
  <c r="N519" i="8" a="1"/>
  <c r="N519" i="8" s="1"/>
  <c r="K519" i="8" a="1"/>
  <c r="K519" i="8" s="1"/>
  <c r="L519" i="8" a="1"/>
  <c r="L519" i="8" s="1"/>
  <c r="F519" i="8" a="1"/>
  <c r="F519" i="8" s="1"/>
  <c r="K528" i="8" a="1"/>
  <c r="K528" i="8" s="1"/>
  <c r="J528" i="8" a="1"/>
  <c r="J528" i="8" s="1"/>
  <c r="O528" i="8" a="1"/>
  <c r="O528" i="8" s="1"/>
  <c r="G528" i="8" a="1"/>
  <c r="G528" i="8" s="1"/>
  <c r="N528" i="8" a="1"/>
  <c r="N528" i="8" s="1"/>
  <c r="M528" i="8" a="1"/>
  <c r="M528" i="8" s="1"/>
  <c r="L528" i="8" a="1"/>
  <c r="L528" i="8" s="1"/>
  <c r="F528" i="8" a="1"/>
  <c r="F528" i="8" s="1"/>
  <c r="E528" i="8" a="1"/>
  <c r="E528" i="8" s="1"/>
  <c r="I528" i="8" a="1"/>
  <c r="I528" i="8" s="1"/>
  <c r="H528" i="8" a="1"/>
  <c r="H528" i="8" s="1"/>
  <c r="J518" i="8" a="1"/>
  <c r="J518" i="8" s="1"/>
  <c r="I518" i="8" a="1"/>
  <c r="I518" i="8" s="1"/>
  <c r="N518" i="8" a="1"/>
  <c r="N518" i="8" s="1"/>
  <c r="F518" i="8" a="1"/>
  <c r="F518" i="8" s="1"/>
  <c r="O518" i="8" a="1"/>
  <c r="O518" i="8" s="1"/>
  <c r="M518" i="8" a="1"/>
  <c r="M518" i="8" s="1"/>
  <c r="L518" i="8" a="1"/>
  <c r="L518" i="8" s="1"/>
  <c r="H518" i="8" a="1"/>
  <c r="H518" i="8" s="1"/>
  <c r="G518" i="8" a="1"/>
  <c r="G518" i="8" s="1"/>
  <c r="E518" i="8" a="1"/>
  <c r="E518" i="8" s="1"/>
  <c r="K518" i="8" a="1"/>
  <c r="K518" i="8" s="1"/>
  <c r="K453" i="8" a="1"/>
  <c r="K453" i="8" s="1"/>
  <c r="J453" i="8" a="1"/>
  <c r="J453" i="8" s="1"/>
  <c r="N453" i="8" a="1"/>
  <c r="N453" i="8" s="1"/>
  <c r="F453" i="8" a="1"/>
  <c r="F453" i="8" s="1"/>
  <c r="M453" i="8" a="1"/>
  <c r="M453" i="8" s="1"/>
  <c r="E453" i="8" a="1"/>
  <c r="E453" i="8" s="1"/>
  <c r="O453" i="8" a="1"/>
  <c r="O453" i="8" s="1"/>
  <c r="L453" i="8" a="1"/>
  <c r="L453" i="8" s="1"/>
  <c r="I453" i="8" a="1"/>
  <c r="I453" i="8" s="1"/>
  <c r="H453" i="8" a="1"/>
  <c r="H453" i="8" s="1"/>
  <c r="G453" i="8" a="1"/>
  <c r="G453" i="8" s="1"/>
  <c r="K469" i="8" a="1"/>
  <c r="K469" i="8" s="1"/>
  <c r="J469" i="8" a="1"/>
  <c r="J469" i="8" s="1"/>
  <c r="N469" i="8" a="1"/>
  <c r="N469" i="8" s="1"/>
  <c r="F469" i="8" a="1"/>
  <c r="F469" i="8" s="1"/>
  <c r="M469" i="8" a="1"/>
  <c r="M469" i="8" s="1"/>
  <c r="E469" i="8" a="1"/>
  <c r="E469" i="8" s="1"/>
  <c r="H469" i="8" a="1"/>
  <c r="H469" i="8" s="1"/>
  <c r="G469" i="8" a="1"/>
  <c r="G469" i="8" s="1"/>
  <c r="O469" i="8" a="1"/>
  <c r="O469" i="8" s="1"/>
  <c r="L469" i="8" a="1"/>
  <c r="L469" i="8" s="1"/>
  <c r="I469" i="8" a="1"/>
  <c r="I469" i="8" s="1"/>
  <c r="K544" i="8" a="1"/>
  <c r="K544" i="8" s="1"/>
  <c r="J544" i="8" a="1"/>
  <c r="J544" i="8" s="1"/>
  <c r="O544" i="8" a="1"/>
  <c r="O544" i="8" s="1"/>
  <c r="G544" i="8" a="1"/>
  <c r="G544" i="8" s="1"/>
  <c r="N544" i="8" a="1"/>
  <c r="N544" i="8" s="1"/>
  <c r="M544" i="8" a="1"/>
  <c r="M544" i="8" s="1"/>
  <c r="L544" i="8" a="1"/>
  <c r="L544" i="8" s="1"/>
  <c r="H544" i="8" a="1"/>
  <c r="H544" i="8" s="1"/>
  <c r="F544" i="8" a="1"/>
  <c r="F544" i="8" s="1"/>
  <c r="E544" i="8" a="1"/>
  <c r="E544" i="8" s="1"/>
  <c r="I544" i="8" a="1"/>
  <c r="I544" i="8" s="1"/>
  <c r="I297" i="8" a="1"/>
  <c r="I297" i="8" s="1"/>
  <c r="N297" i="8" a="1"/>
  <c r="N297" i="8" s="1"/>
  <c r="F297" i="8" a="1"/>
  <c r="F297" i="8" s="1"/>
  <c r="J297" i="8" a="1"/>
  <c r="J297" i="8" s="1"/>
  <c r="O297" i="8" a="1"/>
  <c r="O297" i="8" s="1"/>
  <c r="M297" i="8" a="1"/>
  <c r="M297" i="8" s="1"/>
  <c r="L297" i="8" a="1"/>
  <c r="L297" i="8" s="1"/>
  <c r="K297" i="8" a="1"/>
  <c r="K297" i="8" s="1"/>
  <c r="H297" i="8" a="1"/>
  <c r="H297" i="8" s="1"/>
  <c r="G297" i="8" a="1"/>
  <c r="G297" i="8" s="1"/>
  <c r="E297" i="8" a="1"/>
  <c r="E297" i="8" s="1"/>
  <c r="O306" i="8" a="1"/>
  <c r="O306" i="8" s="1"/>
  <c r="G306" i="8" a="1"/>
  <c r="G306" i="8" s="1"/>
  <c r="L306" i="8" a="1"/>
  <c r="L306" i="8" s="1"/>
  <c r="I306" i="8" a="1"/>
  <c r="I306" i="8" s="1"/>
  <c r="E306" i="8" a="1"/>
  <c r="E306" i="8" s="1"/>
  <c r="N306" i="8" a="1"/>
  <c r="N306" i="8" s="1"/>
  <c r="M306" i="8" a="1"/>
  <c r="M306" i="8" s="1"/>
  <c r="K306" i="8" a="1"/>
  <c r="K306" i="8" s="1"/>
  <c r="J306" i="8" a="1"/>
  <c r="J306" i="8" s="1"/>
  <c r="H306" i="8" a="1"/>
  <c r="H306" i="8" s="1"/>
  <c r="F306" i="8" a="1"/>
  <c r="F306" i="8" s="1"/>
  <c r="I119" i="8" a="1"/>
  <c r="I119" i="8" s="1"/>
  <c r="H119" i="8" a="1"/>
  <c r="H119" i="8" s="1"/>
  <c r="O119" i="8" a="1"/>
  <c r="O119" i="8" s="1"/>
  <c r="G119" i="8" a="1"/>
  <c r="G119" i="8" s="1"/>
  <c r="N119" i="8" a="1"/>
  <c r="N119" i="8" s="1"/>
  <c r="M119" i="8" a="1"/>
  <c r="M119" i="8" s="1"/>
  <c r="L119" i="8" a="1"/>
  <c r="L119" i="8" s="1"/>
  <c r="K119" i="8" a="1"/>
  <c r="K119" i="8" s="1"/>
  <c r="J119" i="8" a="1"/>
  <c r="J119" i="8" s="1"/>
  <c r="F119" i="8" a="1"/>
  <c r="F119" i="8" s="1"/>
  <c r="E119" i="8" a="1"/>
  <c r="E119" i="8" s="1"/>
  <c r="K12" i="8" a="1"/>
  <c r="K12" i="8" s="1"/>
  <c r="J12" i="8" a="1"/>
  <c r="J12" i="8" s="1"/>
  <c r="I12" i="8" a="1"/>
  <c r="I12" i="8" s="1"/>
  <c r="H12" i="8" a="1"/>
  <c r="H12" i="8" s="1"/>
  <c r="O12" i="8" a="1"/>
  <c r="O12" i="8" s="1"/>
  <c r="G12" i="8" a="1"/>
  <c r="G12" i="8" s="1"/>
  <c r="N12" i="8" a="1"/>
  <c r="N12" i="8" s="1"/>
  <c r="F12" i="8" a="1"/>
  <c r="F12" i="8" s="1"/>
  <c r="M12" i="8" a="1"/>
  <c r="M12" i="8" s="1"/>
  <c r="E12" i="8" a="1"/>
  <c r="E12" i="8" s="1"/>
  <c r="L12" i="8" a="1"/>
  <c r="L12" i="8" s="1"/>
  <c r="K60" i="8" a="1"/>
  <c r="K60" i="8" s="1"/>
  <c r="J60" i="8" a="1"/>
  <c r="J60" i="8" s="1"/>
  <c r="I60" i="8" a="1"/>
  <c r="I60" i="8" s="1"/>
  <c r="H60" i="8" a="1"/>
  <c r="H60" i="8" s="1"/>
  <c r="O60" i="8" a="1"/>
  <c r="O60" i="8" s="1"/>
  <c r="G60" i="8" a="1"/>
  <c r="G60" i="8" s="1"/>
  <c r="N60" i="8" a="1"/>
  <c r="N60" i="8" s="1"/>
  <c r="F60" i="8" a="1"/>
  <c r="F60" i="8" s="1"/>
  <c r="M60" i="8" a="1"/>
  <c r="M60" i="8" s="1"/>
  <c r="E60" i="8" a="1"/>
  <c r="E60" i="8" s="1"/>
  <c r="L60" i="8" a="1"/>
  <c r="L60" i="8" s="1"/>
  <c r="K28" i="8" a="1"/>
  <c r="K28" i="8" s="1"/>
  <c r="J28" i="8" a="1"/>
  <c r="J28" i="8" s="1"/>
  <c r="I28" i="8" a="1"/>
  <c r="I28" i="8" s="1"/>
  <c r="H28" i="8" a="1"/>
  <c r="H28" i="8" s="1"/>
  <c r="O28" i="8" a="1"/>
  <c r="O28" i="8" s="1"/>
  <c r="G28" i="8" a="1"/>
  <c r="G28" i="8" s="1"/>
  <c r="N28" i="8" a="1"/>
  <c r="N28" i="8" s="1"/>
  <c r="F28" i="8" a="1"/>
  <c r="F28" i="8" s="1"/>
  <c r="M28" i="8" a="1"/>
  <c r="M28" i="8" s="1"/>
  <c r="E28" i="8" a="1"/>
  <c r="E28" i="8" s="1"/>
  <c r="L28" i="8" a="1"/>
  <c r="L28" i="8" s="1"/>
  <c r="F19" i="8" a="1"/>
  <c r="F19" i="8" s="1"/>
  <c r="L19" i="8" a="1"/>
  <c r="L19" i="8" s="1"/>
  <c r="N19" i="8" a="1"/>
  <c r="N19" i="8" s="1"/>
  <c r="K19" i="8" a="1"/>
  <c r="K19" i="8" s="1"/>
  <c r="J19" i="8" a="1"/>
  <c r="J19" i="8" s="1"/>
  <c r="I19" i="8" a="1"/>
  <c r="I19" i="8" s="1"/>
  <c r="H19" i="8" a="1"/>
  <c r="H19" i="8" s="1"/>
  <c r="O19" i="8" a="1"/>
  <c r="O19" i="8" s="1"/>
  <c r="G19" i="8" a="1"/>
  <c r="G19" i="8" s="1"/>
  <c r="M19" i="8" a="1"/>
  <c r="M19" i="8" s="1"/>
  <c r="E19" i="8" a="1"/>
  <c r="E19" i="8" s="1"/>
  <c r="M823" i="8" a="1"/>
  <c r="M823" i="8" s="1"/>
  <c r="E823" i="8" a="1"/>
  <c r="E823" i="8" s="1"/>
  <c r="I823" i="8" a="1"/>
  <c r="I823" i="8" s="1"/>
  <c r="J823" i="8" a="1"/>
  <c r="J823" i="8" s="1"/>
  <c r="F823" i="8" a="1"/>
  <c r="F823" i="8" s="1"/>
  <c r="O823" i="8" a="1"/>
  <c r="O823" i="8" s="1"/>
  <c r="L823" i="8" a="1"/>
  <c r="L823" i="8" s="1"/>
  <c r="N823" i="8" a="1"/>
  <c r="N823" i="8" s="1"/>
  <c r="K823" i="8" a="1"/>
  <c r="K823" i="8" s="1"/>
  <c r="H823" i="8" a="1"/>
  <c r="H823" i="8" s="1"/>
  <c r="G823" i="8" a="1"/>
  <c r="G823" i="8" s="1"/>
  <c r="J801" i="8" a="1"/>
  <c r="J801" i="8" s="1"/>
  <c r="O801" i="8" a="1"/>
  <c r="O801" i="8" s="1"/>
  <c r="G801" i="8" a="1"/>
  <c r="G801" i="8" s="1"/>
  <c r="L801" i="8" a="1"/>
  <c r="L801" i="8" s="1"/>
  <c r="N801" i="8" a="1"/>
  <c r="N801" i="8" s="1"/>
  <c r="M801" i="8" a="1"/>
  <c r="M801" i="8" s="1"/>
  <c r="K801" i="8" a="1"/>
  <c r="K801" i="8" s="1"/>
  <c r="I801" i="8" a="1"/>
  <c r="I801" i="8" s="1"/>
  <c r="H801" i="8" a="1"/>
  <c r="H801" i="8" s="1"/>
  <c r="E801" i="8" a="1"/>
  <c r="E801" i="8" s="1"/>
  <c r="F801" i="8" a="1"/>
  <c r="F801" i="8" s="1"/>
  <c r="J769" i="8" a="1"/>
  <c r="J769" i="8" s="1"/>
  <c r="F769" i="8" a="1"/>
  <c r="F769" i="8" s="1"/>
  <c r="O769" i="8" a="1"/>
  <c r="O769" i="8" s="1"/>
  <c r="E769" i="8" a="1"/>
  <c r="E769" i="8" s="1"/>
  <c r="N769" i="8" a="1"/>
  <c r="N769" i="8" s="1"/>
  <c r="M769" i="8" a="1"/>
  <c r="M769" i="8" s="1"/>
  <c r="L769" i="8" a="1"/>
  <c r="L769" i="8" s="1"/>
  <c r="K769" i="8" a="1"/>
  <c r="K769" i="8" s="1"/>
  <c r="I769" i="8" a="1"/>
  <c r="I769" i="8" s="1"/>
  <c r="H769" i="8" a="1"/>
  <c r="H769" i="8" s="1"/>
  <c r="G769" i="8" a="1"/>
  <c r="G769" i="8" s="1"/>
  <c r="N735" i="8" a="1"/>
  <c r="N735" i="8" s="1"/>
  <c r="F735" i="8" a="1"/>
  <c r="F735" i="8" s="1"/>
  <c r="M735" i="8" a="1"/>
  <c r="M735" i="8" s="1"/>
  <c r="E735" i="8" a="1"/>
  <c r="E735" i="8" s="1"/>
  <c r="L735" i="8" a="1"/>
  <c r="L735" i="8" s="1"/>
  <c r="J735" i="8" a="1"/>
  <c r="J735" i="8" s="1"/>
  <c r="I735" i="8" a="1"/>
  <c r="I735" i="8" s="1"/>
  <c r="H735" i="8" a="1"/>
  <c r="H735" i="8" s="1"/>
  <c r="O735" i="8" a="1"/>
  <c r="O735" i="8" s="1"/>
  <c r="K735" i="8" a="1"/>
  <c r="K735" i="8" s="1"/>
  <c r="G735" i="8" a="1"/>
  <c r="G735" i="8" s="1"/>
  <c r="L506" i="8" a="1"/>
  <c r="L506" i="8" s="1"/>
  <c r="K506" i="8" a="1"/>
  <c r="K506" i="8" s="1"/>
  <c r="H506" i="8" a="1"/>
  <c r="H506" i="8" s="1"/>
  <c r="O506" i="8" a="1"/>
  <c r="O506" i="8" s="1"/>
  <c r="N506" i="8" a="1"/>
  <c r="N506" i="8" s="1"/>
  <c r="M506" i="8" a="1"/>
  <c r="M506" i="8" s="1"/>
  <c r="J506" i="8" a="1"/>
  <c r="J506" i="8" s="1"/>
  <c r="I506" i="8" a="1"/>
  <c r="I506" i="8" s="1"/>
  <c r="G506" i="8" a="1"/>
  <c r="G506" i="8" s="1"/>
  <c r="F506" i="8" a="1"/>
  <c r="F506" i="8" s="1"/>
  <c r="E506" i="8" a="1"/>
  <c r="E506" i="8" s="1"/>
  <c r="L295" i="8" a="1"/>
  <c r="L295" i="8" s="1"/>
  <c r="I295" i="8" a="1"/>
  <c r="I295" i="8" s="1"/>
  <c r="M295" i="8" a="1"/>
  <c r="M295" i="8" s="1"/>
  <c r="E295" i="8" a="1"/>
  <c r="E295" i="8" s="1"/>
  <c r="F295" i="8" a="1"/>
  <c r="F295" i="8" s="1"/>
  <c r="O295" i="8" a="1"/>
  <c r="O295" i="8" s="1"/>
  <c r="N295" i="8" a="1"/>
  <c r="N295" i="8" s="1"/>
  <c r="K295" i="8" a="1"/>
  <c r="K295" i="8" s="1"/>
  <c r="J295" i="8" a="1"/>
  <c r="J295" i="8" s="1"/>
  <c r="H295" i="8" a="1"/>
  <c r="H295" i="8" s="1"/>
  <c r="G295" i="8" a="1"/>
  <c r="G295" i="8" s="1"/>
  <c r="I342" i="8" a="1"/>
  <c r="I342" i="8" s="1"/>
  <c r="N342" i="8" a="1"/>
  <c r="N342" i="8" s="1"/>
  <c r="F342" i="8" a="1"/>
  <c r="F342" i="8" s="1"/>
  <c r="M342" i="8" a="1"/>
  <c r="M342" i="8" s="1"/>
  <c r="E342" i="8" a="1"/>
  <c r="E342" i="8" s="1"/>
  <c r="K342" i="8" a="1"/>
  <c r="K342" i="8" s="1"/>
  <c r="O342" i="8" a="1"/>
  <c r="O342" i="8" s="1"/>
  <c r="L342" i="8" a="1"/>
  <c r="L342" i="8" s="1"/>
  <c r="J342" i="8" a="1"/>
  <c r="J342" i="8" s="1"/>
  <c r="H342" i="8" a="1"/>
  <c r="H342" i="8" s="1"/>
  <c r="G342" i="8" a="1"/>
  <c r="G342" i="8" s="1"/>
  <c r="N209" i="8" a="1"/>
  <c r="N209" i="8" s="1"/>
  <c r="F209" i="8" a="1"/>
  <c r="F209" i="8" s="1"/>
  <c r="K209" i="8" a="1"/>
  <c r="K209" i="8" s="1"/>
  <c r="J209" i="8" a="1"/>
  <c r="J209" i="8" s="1"/>
  <c r="I209" i="8" a="1"/>
  <c r="I209" i="8" s="1"/>
  <c r="H209" i="8" a="1"/>
  <c r="H209" i="8" s="1"/>
  <c r="O209" i="8" a="1"/>
  <c r="O209" i="8" s="1"/>
  <c r="M209" i="8" a="1"/>
  <c r="M209" i="8" s="1"/>
  <c r="L209" i="8" a="1"/>
  <c r="L209" i="8" s="1"/>
  <c r="G209" i="8" a="1"/>
  <c r="G209" i="8" s="1"/>
  <c r="E209" i="8" a="1"/>
  <c r="E209" i="8" s="1"/>
  <c r="K107" i="8" a="1"/>
  <c r="K107" i="8" s="1"/>
  <c r="I107" i="8" a="1"/>
  <c r="I107" i="8" s="1"/>
  <c r="F107" i="8" a="1"/>
  <c r="F107" i="8" s="1"/>
  <c r="E107" i="8" a="1"/>
  <c r="E107" i="8" s="1"/>
  <c r="H107" i="8" a="1"/>
  <c r="H107" i="8" s="1"/>
  <c r="O107" i="8" a="1"/>
  <c r="O107" i="8" s="1"/>
  <c r="N107" i="8" a="1"/>
  <c r="N107" i="8" s="1"/>
  <c r="M107" i="8" a="1"/>
  <c r="M107" i="8" s="1"/>
  <c r="L107" i="8" a="1"/>
  <c r="L107" i="8" s="1"/>
  <c r="J107" i="8" a="1"/>
  <c r="J107" i="8" s="1"/>
  <c r="G107" i="8" a="1"/>
  <c r="G107" i="8" s="1"/>
  <c r="N10" i="8" a="1"/>
  <c r="N10" i="8" s="1"/>
  <c r="F10" i="8" a="1"/>
  <c r="F10" i="8" s="1"/>
  <c r="M10" i="8" a="1"/>
  <c r="M10" i="8" s="1"/>
  <c r="E10" i="8" a="1"/>
  <c r="E10" i="8" s="1"/>
  <c r="L10" i="8" a="1"/>
  <c r="L10" i="8" s="1"/>
  <c r="K10" i="8" a="1"/>
  <c r="K10" i="8" s="1"/>
  <c r="J10" i="8" a="1"/>
  <c r="J10" i="8" s="1"/>
  <c r="I10" i="8" a="1"/>
  <c r="I10" i="8" s="1"/>
  <c r="H10" i="8" a="1"/>
  <c r="H10" i="8" s="1"/>
  <c r="O10" i="8" a="1"/>
  <c r="O10" i="8" s="1"/>
  <c r="G10" i="8" a="1"/>
  <c r="G10" i="8" s="1"/>
  <c r="O875" i="8" a="1"/>
  <c r="O875" i="8" s="1"/>
  <c r="G875" i="8" a="1"/>
  <c r="G875" i="8" s="1"/>
  <c r="N875" i="8" a="1"/>
  <c r="N875" i="8" s="1"/>
  <c r="F875" i="8" a="1"/>
  <c r="F875" i="8" s="1"/>
  <c r="M875" i="8" a="1"/>
  <c r="M875" i="8" s="1"/>
  <c r="E875" i="8" a="1"/>
  <c r="E875" i="8" s="1"/>
  <c r="K875" i="8" a="1"/>
  <c r="K875" i="8" s="1"/>
  <c r="L875" i="8" a="1"/>
  <c r="L875" i="8" s="1"/>
  <c r="J875" i="8" a="1"/>
  <c r="J875" i="8" s="1"/>
  <c r="I875" i="8" a="1"/>
  <c r="I875" i="8" s="1"/>
  <c r="H875" i="8" a="1"/>
  <c r="H875" i="8" s="1"/>
  <c r="K609" i="8" a="1"/>
  <c r="K609" i="8" s="1"/>
  <c r="J609" i="8" a="1"/>
  <c r="J609" i="8" s="1"/>
  <c r="I609" i="8" a="1"/>
  <c r="I609" i="8" s="1"/>
  <c r="H609" i="8" a="1"/>
  <c r="H609" i="8" s="1"/>
  <c r="O609" i="8" a="1"/>
  <c r="O609" i="8" s="1"/>
  <c r="G609" i="8" a="1"/>
  <c r="G609" i="8" s="1"/>
  <c r="N609" i="8" a="1"/>
  <c r="N609" i="8" s="1"/>
  <c r="F609" i="8" a="1"/>
  <c r="F609" i="8" s="1"/>
  <c r="M609" i="8" a="1"/>
  <c r="M609" i="8" s="1"/>
  <c r="L609" i="8" a="1"/>
  <c r="L609" i="8" s="1"/>
  <c r="E609" i="8" a="1"/>
  <c r="E609" i="8" s="1"/>
  <c r="K593" i="8" a="1"/>
  <c r="K593" i="8" s="1"/>
  <c r="J593" i="8" a="1"/>
  <c r="J593" i="8" s="1"/>
  <c r="I593" i="8" a="1"/>
  <c r="I593" i="8" s="1"/>
  <c r="H593" i="8" a="1"/>
  <c r="H593" i="8" s="1"/>
  <c r="O593" i="8" a="1"/>
  <c r="O593" i="8" s="1"/>
  <c r="G593" i="8" a="1"/>
  <c r="G593" i="8" s="1"/>
  <c r="N593" i="8" a="1"/>
  <c r="N593" i="8" s="1"/>
  <c r="F593" i="8" a="1"/>
  <c r="F593" i="8" s="1"/>
  <c r="L593" i="8" a="1"/>
  <c r="L593" i="8" s="1"/>
  <c r="M593" i="8" a="1"/>
  <c r="M593" i="8" s="1"/>
  <c r="E593" i="8" a="1"/>
  <c r="E593" i="8" s="1"/>
  <c r="J568" i="8" a="1"/>
  <c r="J568" i="8" s="1"/>
  <c r="I568" i="8" a="1"/>
  <c r="I568" i="8" s="1"/>
  <c r="H568" i="8" a="1"/>
  <c r="H568" i="8" s="1"/>
  <c r="G568" i="8" a="1"/>
  <c r="G568" i="8" s="1"/>
  <c r="F568" i="8" a="1"/>
  <c r="F568" i="8" s="1"/>
  <c r="O568" i="8" a="1"/>
  <c r="O568" i="8" s="1"/>
  <c r="N568" i="8" a="1"/>
  <c r="N568" i="8" s="1"/>
  <c r="M568" i="8" a="1"/>
  <c r="M568" i="8" s="1"/>
  <c r="L568" i="8" a="1"/>
  <c r="L568" i="8" s="1"/>
  <c r="K568" i="8" a="1"/>
  <c r="K568" i="8" s="1"/>
  <c r="E568" i="8" a="1"/>
  <c r="E568" i="8" s="1"/>
  <c r="I608" i="8" a="1"/>
  <c r="I608" i="8" s="1"/>
  <c r="N608" i="8" a="1"/>
  <c r="N608" i="8" s="1"/>
  <c r="F608" i="8" a="1"/>
  <c r="F608" i="8" s="1"/>
  <c r="L608" i="8" a="1"/>
  <c r="L608" i="8" s="1"/>
  <c r="O608" i="8" a="1"/>
  <c r="O608" i="8" s="1"/>
  <c r="M608" i="8" a="1"/>
  <c r="M608" i="8" s="1"/>
  <c r="K608" i="8" a="1"/>
  <c r="K608" i="8" s="1"/>
  <c r="J608" i="8" a="1"/>
  <c r="J608" i="8" s="1"/>
  <c r="H608" i="8" a="1"/>
  <c r="H608" i="8" s="1"/>
  <c r="G608" i="8" a="1"/>
  <c r="G608" i="8" s="1"/>
  <c r="E608" i="8" a="1"/>
  <c r="E608" i="8" s="1"/>
  <c r="M516" i="8" a="1"/>
  <c r="M516" i="8" s="1"/>
  <c r="E516" i="8" a="1"/>
  <c r="E516" i="8" s="1"/>
  <c r="L516" i="8" a="1"/>
  <c r="L516" i="8" s="1"/>
  <c r="I516" i="8" a="1"/>
  <c r="I516" i="8" s="1"/>
  <c r="O516" i="8" a="1"/>
  <c r="O516" i="8" s="1"/>
  <c r="N516" i="8" a="1"/>
  <c r="N516" i="8" s="1"/>
  <c r="K516" i="8" a="1"/>
  <c r="K516" i="8" s="1"/>
  <c r="J516" i="8" a="1"/>
  <c r="J516" i="8" s="1"/>
  <c r="F516" i="8" a="1"/>
  <c r="F516" i="8" s="1"/>
  <c r="H516" i="8" a="1"/>
  <c r="H516" i="8" s="1"/>
  <c r="G516" i="8" a="1"/>
  <c r="G516" i="8" s="1"/>
  <c r="I449" i="8" a="1"/>
  <c r="I449" i="8" s="1"/>
  <c r="H449" i="8" a="1"/>
  <c r="H449" i="8" s="1"/>
  <c r="L449" i="8" a="1"/>
  <c r="L449" i="8" s="1"/>
  <c r="K449" i="8" a="1"/>
  <c r="K449" i="8" s="1"/>
  <c r="O449" i="8" a="1"/>
  <c r="O449" i="8" s="1"/>
  <c r="N449" i="8" a="1"/>
  <c r="N449" i="8" s="1"/>
  <c r="M449" i="8" a="1"/>
  <c r="M449" i="8" s="1"/>
  <c r="J449" i="8" a="1"/>
  <c r="J449" i="8" s="1"/>
  <c r="G449" i="8" a="1"/>
  <c r="G449" i="8" s="1"/>
  <c r="F449" i="8" a="1"/>
  <c r="F449" i="8" s="1"/>
  <c r="E449" i="8" a="1"/>
  <c r="E449" i="8" s="1"/>
  <c r="K485" i="8" a="1"/>
  <c r="K485" i="8" s="1"/>
  <c r="J485" i="8" a="1"/>
  <c r="J485" i="8" s="1"/>
  <c r="N485" i="8" a="1"/>
  <c r="N485" i="8" s="1"/>
  <c r="F485" i="8" a="1"/>
  <c r="F485" i="8" s="1"/>
  <c r="M485" i="8" a="1"/>
  <c r="M485" i="8" s="1"/>
  <c r="E485" i="8" a="1"/>
  <c r="E485" i="8" s="1"/>
  <c r="O485" i="8" a="1"/>
  <c r="O485" i="8" s="1"/>
  <c r="L485" i="8" a="1"/>
  <c r="L485" i="8" s="1"/>
  <c r="I485" i="8" a="1"/>
  <c r="I485" i="8" s="1"/>
  <c r="H485" i="8" a="1"/>
  <c r="H485" i="8" s="1"/>
  <c r="G485" i="8" a="1"/>
  <c r="G485" i="8" s="1"/>
  <c r="K424" i="8" a="1"/>
  <c r="K424" i="8" s="1"/>
  <c r="J424" i="8" a="1"/>
  <c r="J424" i="8" s="1"/>
  <c r="H424" i="8" a="1"/>
  <c r="H424" i="8" s="1"/>
  <c r="O424" i="8" a="1"/>
  <c r="O424" i="8" s="1"/>
  <c r="N424" i="8" a="1"/>
  <c r="N424" i="8" s="1"/>
  <c r="M424" i="8" a="1"/>
  <c r="M424" i="8" s="1"/>
  <c r="I424" i="8" a="1"/>
  <c r="I424" i="8" s="1"/>
  <c r="G424" i="8" a="1"/>
  <c r="G424" i="8" s="1"/>
  <c r="F424" i="8" a="1"/>
  <c r="F424" i="8" s="1"/>
  <c r="L424" i="8" a="1"/>
  <c r="L424" i="8" s="1"/>
  <c r="E424" i="8" a="1"/>
  <c r="E424" i="8" s="1"/>
  <c r="M263" i="8" a="1"/>
  <c r="M263" i="8" s="1"/>
  <c r="E263" i="8" a="1"/>
  <c r="E263" i="8" s="1"/>
  <c r="L263" i="8" a="1"/>
  <c r="L263" i="8" s="1"/>
  <c r="K263" i="8" a="1"/>
  <c r="K263" i="8" s="1"/>
  <c r="J263" i="8" a="1"/>
  <c r="J263" i="8" s="1"/>
  <c r="I263" i="8" a="1"/>
  <c r="I263" i="8" s="1"/>
  <c r="H263" i="8" a="1"/>
  <c r="H263" i="8" s="1"/>
  <c r="O263" i="8" a="1"/>
  <c r="O263" i="8" s="1"/>
  <c r="G263" i="8" a="1"/>
  <c r="G263" i="8" s="1"/>
  <c r="F263" i="8" a="1"/>
  <c r="F263" i="8" s="1"/>
  <c r="N263" i="8" a="1"/>
  <c r="N263" i="8" s="1"/>
  <c r="K195" i="8" a="1"/>
  <c r="K195" i="8" s="1"/>
  <c r="O195" i="8" a="1"/>
  <c r="O195" i="8" s="1"/>
  <c r="G195" i="8" a="1"/>
  <c r="G195" i="8" s="1"/>
  <c r="N195" i="8" a="1"/>
  <c r="N195" i="8" s="1"/>
  <c r="F195" i="8" a="1"/>
  <c r="F195" i="8" s="1"/>
  <c r="M195" i="8" a="1"/>
  <c r="M195" i="8" s="1"/>
  <c r="E195" i="8" a="1"/>
  <c r="E195" i="8" s="1"/>
  <c r="L195" i="8" a="1"/>
  <c r="L195" i="8" s="1"/>
  <c r="H195" i="8" a="1"/>
  <c r="H195" i="8" s="1"/>
  <c r="J195" i="8" a="1"/>
  <c r="J195" i="8" s="1"/>
  <c r="I195" i="8" a="1"/>
  <c r="I195" i="8" s="1"/>
  <c r="I207" i="8" a="1"/>
  <c r="I207" i="8" s="1"/>
  <c r="N207" i="8" a="1"/>
  <c r="N207" i="8" s="1"/>
  <c r="F207" i="8" a="1"/>
  <c r="F207" i="8" s="1"/>
  <c r="M207" i="8" a="1"/>
  <c r="M207" i="8" s="1"/>
  <c r="E207" i="8" a="1"/>
  <c r="E207" i="8" s="1"/>
  <c r="L207" i="8" a="1"/>
  <c r="L207" i="8" s="1"/>
  <c r="K207" i="8" a="1"/>
  <c r="K207" i="8" s="1"/>
  <c r="O207" i="8" a="1"/>
  <c r="O207" i="8" s="1"/>
  <c r="J207" i="8" a="1"/>
  <c r="J207" i="8" s="1"/>
  <c r="H207" i="8" a="1"/>
  <c r="H207" i="8" s="1"/>
  <c r="G207" i="8" a="1"/>
  <c r="G207" i="8" s="1"/>
  <c r="L67" i="8" a="1"/>
  <c r="L67" i="8" s="1"/>
  <c r="K67" i="8" a="1"/>
  <c r="K67" i="8" s="1"/>
  <c r="J67" i="8" a="1"/>
  <c r="J67" i="8" s="1"/>
  <c r="I67" i="8" a="1"/>
  <c r="I67" i="8" s="1"/>
  <c r="H67" i="8" a="1"/>
  <c r="H67" i="8" s="1"/>
  <c r="N67" i="8" a="1"/>
  <c r="N67" i="8" s="1"/>
  <c r="O67" i="8" a="1"/>
  <c r="O67" i="8" s="1"/>
  <c r="G67" i="8" a="1"/>
  <c r="G67" i="8" s="1"/>
  <c r="F67" i="8" a="1"/>
  <c r="F67" i="8" s="1"/>
  <c r="E67" i="8" a="1"/>
  <c r="E67" i="8" s="1"/>
  <c r="M67" i="8" a="1"/>
  <c r="M67" i="8" s="1"/>
  <c r="M13" i="8" a="1"/>
  <c r="M13" i="8" s="1"/>
  <c r="E13" i="8" a="1"/>
  <c r="E13" i="8" s="1"/>
  <c r="O13" i="8" a="1"/>
  <c r="O13" i="8" s="1"/>
  <c r="L13" i="8" a="1"/>
  <c r="L13" i="8" s="1"/>
  <c r="K13" i="8" a="1"/>
  <c r="K13" i="8" s="1"/>
  <c r="J13" i="8" a="1"/>
  <c r="J13" i="8" s="1"/>
  <c r="G13" i="8" a="1"/>
  <c r="G13" i="8" s="1"/>
  <c r="I13" i="8" a="1"/>
  <c r="I13" i="8" s="1"/>
  <c r="H13" i="8" a="1"/>
  <c r="H13" i="8" s="1"/>
  <c r="F13" i="8" a="1"/>
  <c r="F13" i="8" s="1"/>
  <c r="N13" i="8" a="1"/>
  <c r="N13" i="8" s="1"/>
  <c r="K112" i="8" a="1"/>
  <c r="K112" i="8" s="1"/>
  <c r="O112" i="8" a="1"/>
  <c r="O112" i="8" s="1"/>
  <c r="G112" i="8" a="1"/>
  <c r="G112" i="8" s="1"/>
  <c r="L112" i="8" a="1"/>
  <c r="L112" i="8" s="1"/>
  <c r="J112" i="8" a="1"/>
  <c r="J112" i="8" s="1"/>
  <c r="I112" i="8" a="1"/>
  <c r="I112" i="8" s="1"/>
  <c r="H112" i="8" a="1"/>
  <c r="H112" i="8" s="1"/>
  <c r="N112" i="8" a="1"/>
  <c r="N112" i="8" s="1"/>
  <c r="F112" i="8" a="1"/>
  <c r="F112" i="8" s="1"/>
  <c r="E112" i="8" a="1"/>
  <c r="E112" i="8" s="1"/>
  <c r="M112" i="8" a="1"/>
  <c r="M112" i="8" s="1"/>
  <c r="M127" i="8" a="1"/>
  <c r="M127" i="8" s="1"/>
  <c r="E127" i="8" a="1"/>
  <c r="E127" i="8" s="1"/>
  <c r="L127" i="8" a="1"/>
  <c r="L127" i="8" s="1"/>
  <c r="K127" i="8" a="1"/>
  <c r="K127" i="8" s="1"/>
  <c r="O127" i="8" a="1"/>
  <c r="O127" i="8" s="1"/>
  <c r="N127" i="8" a="1"/>
  <c r="N127" i="8" s="1"/>
  <c r="J127" i="8" a="1"/>
  <c r="J127" i="8" s="1"/>
  <c r="I127" i="8" a="1"/>
  <c r="I127" i="8" s="1"/>
  <c r="H127" i="8" a="1"/>
  <c r="H127" i="8" s="1"/>
  <c r="G127" i="8" a="1"/>
  <c r="G127" i="8" s="1"/>
  <c r="F127" i="8" a="1"/>
  <c r="F127" i="8" s="1"/>
  <c r="F362" i="2"/>
  <c r="F330" i="2"/>
  <c r="F250" i="2"/>
  <c r="F210" i="2"/>
  <c r="F194" i="2"/>
  <c r="F186" i="2"/>
  <c r="F146" i="2"/>
  <c r="F122" i="2"/>
  <c r="F98" i="2"/>
  <c r="F74" i="2"/>
  <c r="F50" i="2"/>
  <c r="F322" i="2"/>
  <c r="F170" i="2"/>
  <c r="F386" i="2"/>
  <c r="F290" i="2"/>
  <c r="F377" i="2"/>
  <c r="F161" i="2"/>
  <c r="F394" i="2"/>
  <c r="F274" i="2"/>
  <c r="F409" i="2"/>
  <c r="F321" i="2"/>
  <c r="F273" i="2"/>
  <c r="F137" i="2"/>
  <c r="F378" i="2"/>
  <c r="F258" i="2"/>
  <c r="F361" i="2"/>
  <c r="F225" i="2"/>
  <c r="F432" i="2"/>
  <c r="F384" i="2"/>
  <c r="F320" i="2"/>
  <c r="F304" i="2"/>
  <c r="F280" i="2"/>
  <c r="F248" i="2"/>
  <c r="F224" i="2"/>
  <c r="F208" i="2"/>
  <c r="F136" i="2"/>
  <c r="F354" i="2"/>
  <c r="F218" i="2"/>
  <c r="F369" i="2"/>
  <c r="F408" i="2"/>
  <c r="F360" i="2"/>
  <c r="F296" i="2"/>
  <c r="F272" i="2"/>
  <c r="F256" i="2"/>
  <c r="F232" i="2"/>
  <c r="F200" i="2"/>
  <c r="F184" i="2"/>
  <c r="F160" i="2"/>
  <c r="F306" i="2"/>
  <c r="F417" i="2"/>
  <c r="F257" i="2"/>
  <c r="F416" i="2"/>
  <c r="F367" i="2"/>
  <c r="F303" i="2"/>
  <c r="F255" i="2"/>
  <c r="F183" i="2"/>
  <c r="F346" i="2"/>
  <c r="F234" i="2"/>
  <c r="F425" i="2"/>
  <c r="F281" i="2"/>
  <c r="F185" i="2"/>
  <c r="F336" i="2"/>
  <c r="F415" i="2"/>
  <c r="F383" i="2"/>
  <c r="F359" i="2"/>
  <c r="F327" i="2"/>
  <c r="F311" i="2"/>
  <c r="F295" i="2"/>
  <c r="F279" i="2"/>
  <c r="F271" i="2"/>
  <c r="F247" i="2"/>
  <c r="F231" i="2"/>
  <c r="F223" i="2"/>
  <c r="F207" i="2"/>
  <c r="F199" i="2"/>
  <c r="F159" i="2"/>
  <c r="F135" i="2"/>
  <c r="F111" i="2"/>
  <c r="F410" i="2"/>
  <c r="F298" i="2"/>
  <c r="F401" i="2"/>
  <c r="F368" i="2"/>
  <c r="F375" i="2"/>
  <c r="F430" i="2"/>
  <c r="F398" i="2"/>
  <c r="F374" i="2"/>
  <c r="F342" i="2"/>
  <c r="F318" i="2"/>
  <c r="F294" i="2"/>
  <c r="F270" i="2"/>
  <c r="F246" i="2"/>
  <c r="F230" i="2"/>
  <c r="F206" i="2"/>
  <c r="F174" i="2"/>
  <c r="F134" i="2"/>
  <c r="F110" i="2"/>
  <c r="F62" i="2"/>
  <c r="F402" i="2"/>
  <c r="F338" i="2"/>
  <c r="F393" i="2"/>
  <c r="F305" i="2"/>
  <c r="F424" i="2"/>
  <c r="F328" i="2"/>
  <c r="F399" i="2"/>
  <c r="F319" i="2"/>
  <c r="F422" i="2"/>
  <c r="F414" i="2"/>
  <c r="F406" i="2"/>
  <c r="F390" i="2"/>
  <c r="F382" i="2"/>
  <c r="F366" i="2"/>
  <c r="F358" i="2"/>
  <c r="F350" i="2"/>
  <c r="F334" i="2"/>
  <c r="F326" i="2"/>
  <c r="F310" i="2"/>
  <c r="F302" i="2"/>
  <c r="F286" i="2"/>
  <c r="F278" i="2"/>
  <c r="F262" i="2"/>
  <c r="F254" i="2"/>
  <c r="F222" i="2"/>
  <c r="F198" i="2"/>
  <c r="F182" i="2"/>
  <c r="F158" i="2"/>
  <c r="F86" i="2"/>
  <c r="F38" i="2"/>
  <c r="F426" i="2"/>
  <c r="F314" i="2"/>
  <c r="F329" i="2"/>
  <c r="F249" i="2"/>
  <c r="F352" i="2"/>
  <c r="F429" i="2"/>
  <c r="F149" i="2"/>
  <c r="F282" i="2"/>
  <c r="F385" i="2"/>
  <c r="F400" i="2"/>
  <c r="F391" i="2"/>
  <c r="F397" i="2"/>
  <c r="F269" i="2"/>
  <c r="F370" i="2"/>
  <c r="F242" i="2"/>
  <c r="F345" i="2"/>
  <c r="F233" i="2"/>
  <c r="F376" i="2"/>
  <c r="F423" i="2"/>
  <c r="F351" i="2"/>
  <c r="F405" i="2"/>
  <c r="F365" i="2"/>
  <c r="F341" i="2"/>
  <c r="F309" i="2"/>
  <c r="F420" i="2"/>
  <c r="F396" i="2"/>
  <c r="F372" i="2"/>
  <c r="F348" i="2"/>
  <c r="F284" i="2"/>
  <c r="F268" i="2"/>
  <c r="F244" i="2"/>
  <c r="F236" i="2"/>
  <c r="F220" i="2"/>
  <c r="F212" i="2"/>
  <c r="F196" i="2"/>
  <c r="F172" i="2"/>
  <c r="F148" i="2"/>
  <c r="F418" i="2"/>
  <c r="F266" i="2"/>
  <c r="F209" i="2"/>
  <c r="F392" i="2"/>
  <c r="F431" i="2"/>
  <c r="F343" i="2"/>
  <c r="F413" i="2"/>
  <c r="F381" i="2"/>
  <c r="F349" i="2"/>
  <c r="F317" i="2"/>
  <c r="F293" i="2"/>
  <c r="F245" i="2"/>
  <c r="F221" i="2"/>
  <c r="F173" i="2"/>
  <c r="F428" i="2"/>
  <c r="F412" i="2"/>
  <c r="F404" i="2"/>
  <c r="F388" i="2"/>
  <c r="F380" i="2"/>
  <c r="F364" i="2"/>
  <c r="F356" i="2"/>
  <c r="F340" i="2"/>
  <c r="F332" i="2"/>
  <c r="F316" i="2"/>
  <c r="F308" i="2"/>
  <c r="F292" i="2"/>
  <c r="F260" i="2"/>
  <c r="F124" i="2"/>
  <c r="F353" i="2"/>
  <c r="F297" i="2"/>
  <c r="F344" i="2"/>
  <c r="F407" i="2"/>
  <c r="F335" i="2"/>
  <c r="F421" i="2"/>
  <c r="F389" i="2"/>
  <c r="F373" i="2"/>
  <c r="F357" i="2"/>
  <c r="F333" i="2"/>
  <c r="F285" i="2"/>
  <c r="F261" i="2"/>
  <c r="F237" i="2"/>
  <c r="F197" i="2"/>
  <c r="F427" i="2"/>
  <c r="F419" i="2"/>
  <c r="F411" i="2"/>
  <c r="F403" i="2"/>
  <c r="F395" i="2"/>
  <c r="F387" i="2"/>
  <c r="F379" i="2"/>
  <c r="F371" i="2"/>
  <c r="F363" i="2"/>
  <c r="F355" i="2"/>
  <c r="F347" i="2"/>
  <c r="F339" i="2"/>
  <c r="F331" i="2"/>
  <c r="F323" i="2"/>
  <c r="F315" i="2"/>
  <c r="F307" i="2"/>
  <c r="F291" i="2"/>
  <c r="F283" i="2"/>
  <c r="F267" i="2"/>
  <c r="F259" i="2"/>
  <c r="F243" i="2"/>
  <c r="F235" i="2"/>
  <c r="F219" i="2"/>
  <c r="F211" i="2"/>
  <c r="F195" i="2"/>
  <c r="F187" i="2"/>
  <c r="F171" i="2"/>
  <c r="F147" i="2"/>
  <c r="F123" i="2"/>
  <c r="H1555" i="8" a="1"/>
  <c r="H1678" i="8" a="1"/>
  <c r="L1677" i="8" a="1"/>
  <c r="N1516" i="8" a="1"/>
  <c r="M1527" i="8" a="1"/>
  <c r="H1645" i="8" a="1"/>
  <c r="L1541" i="8" a="1"/>
  <c r="K1352" i="8" a="1"/>
  <c r="N1655" i="8" a="1"/>
  <c r="F1546" i="8" a="1"/>
  <c r="N1511" i="8" a="1"/>
  <c r="L1497" i="8" a="1"/>
  <c r="L1636" i="8" a="1"/>
  <c r="G1630" i="8" a="1"/>
  <c r="O1646" i="8" a="1"/>
  <c r="L1529" i="8" a="1"/>
  <c r="F1490" i="8" a="1"/>
  <c r="O1589" i="8" a="1"/>
  <c r="N1531" i="8" a="1"/>
  <c r="J1587" i="8" a="1"/>
  <c r="H1623" i="8" a="1"/>
  <c r="J1532" i="8" a="1"/>
  <c r="K1404" i="8" a="1"/>
  <c r="H1633" i="8" a="1"/>
  <c r="H1500" i="8" a="1"/>
  <c r="O1367" i="8" a="1"/>
  <c r="E1668" i="8" a="1"/>
  <c r="L1625" i="8" a="1"/>
  <c r="N1575" i="8" a="1"/>
  <c r="I1457" i="8" a="1"/>
  <c r="M1607" i="8" a="1"/>
  <c r="I1608" i="8" a="1"/>
  <c r="E1548" i="8" a="1"/>
  <c r="G1520" i="8" a="1"/>
  <c r="K1586" i="8" a="1"/>
  <c r="K1590" i="8" a="1"/>
  <c r="L1618" i="8" a="1"/>
  <c r="H1603" i="8" a="1"/>
  <c r="O1494" i="8" a="1"/>
  <c r="M1535" i="8" a="1"/>
  <c r="H1561" i="8" a="1"/>
  <c r="J1480" i="8" a="1"/>
  <c r="H1652" i="8" a="1"/>
  <c r="F1562" i="8" a="1"/>
  <c r="G1479" i="8" a="1"/>
  <c r="H1340" i="8" a="1"/>
  <c r="G1243" i="8" a="1"/>
  <c r="M1189" i="8" a="1"/>
  <c r="M1029" i="8" a="1"/>
  <c r="I1399" i="8" a="1"/>
  <c r="L1310" i="8" a="1"/>
  <c r="G1306" i="8" a="1"/>
  <c r="I1285" i="8" a="1"/>
  <c r="H1230" i="8" a="1"/>
  <c r="H1231" i="8" a="1"/>
  <c r="L1170" i="8" a="1"/>
  <c r="F1087" i="8" a="1"/>
  <c r="O977" i="8" a="1"/>
  <c r="M931" i="8" a="1"/>
  <c r="N1459" i="8" a="1"/>
  <c r="F1368" i="8" a="1"/>
  <c r="F1325" i="8" a="1"/>
  <c r="M1302" i="8" a="1"/>
  <c r="K1251" i="8" a="1"/>
  <c r="F1021" i="8" a="1"/>
  <c r="M1487" i="8" a="1"/>
  <c r="K1447" i="8" a="1"/>
  <c r="J1278" i="8" a="1"/>
  <c r="F994" i="8" a="1"/>
  <c r="H899" i="8" a="1"/>
  <c r="F1216" i="8" a="1"/>
  <c r="H1217" i="8" a="1"/>
  <c r="N1177" i="8" a="1"/>
  <c r="M1120" i="8" a="1"/>
  <c r="L1145" i="8" a="1"/>
  <c r="I944" i="8" a="1"/>
  <c r="I1390" i="8" a="1"/>
  <c r="K1206" i="8" a="1"/>
  <c r="J1200" i="8" a="1"/>
  <c r="N1096" i="8" a="1"/>
  <c r="F1015" i="8" a="1"/>
  <c r="G1374" i="8" a="1"/>
  <c r="K1383" i="8" a="1"/>
  <c r="N1277" i="8" a="1"/>
  <c r="J1178" i="8" a="1"/>
  <c r="L1064" i="8" a="1"/>
  <c r="H1013" i="8" a="1"/>
  <c r="G1472" i="8" a="1"/>
  <c r="M1384" i="8" a="1"/>
  <c r="I1261" i="8" a="1"/>
  <c r="M1262" i="8" a="1"/>
  <c r="M1263" i="8" a="1"/>
  <c r="N1077" i="8" a="1"/>
  <c r="G1118" i="8" a="1"/>
  <c r="O1038" i="8" a="1"/>
  <c r="E1413" i="8" a="1"/>
  <c r="N1323" i="8" a="1"/>
  <c r="G1247" i="8" a="1"/>
  <c r="F1173" i="8" a="1"/>
  <c r="J1194" i="8" a="1"/>
  <c r="H1110" i="8" a="1"/>
  <c r="O1147" i="8" a="1"/>
  <c r="H1053" i="8" a="1"/>
  <c r="F993" i="8" a="1"/>
  <c r="K1538" i="8" a="1"/>
  <c r="J1403" i="8" a="1"/>
  <c r="K1393" i="8" a="1"/>
  <c r="K1248" i="8" a="1"/>
  <c r="O1168" i="8" a="1"/>
  <c r="K1201" i="8" a="1"/>
  <c r="E1134" i="8" a="1"/>
  <c r="I1419" i="8" a="1"/>
  <c r="F1355" i="8" a="1"/>
  <c r="H1385" i="8" a="1"/>
  <c r="I1252" i="8" a="1"/>
  <c r="O1169" i="8" a="1"/>
  <c r="F1149" i="8" a="1"/>
  <c r="M953" i="8" a="1"/>
  <c r="J1417" i="8" a="1"/>
  <c r="N1429" i="8" a="1"/>
  <c r="F1155" i="8" a="1"/>
  <c r="J1156" i="8" a="1"/>
  <c r="K1000" i="8" a="1"/>
  <c r="I884" i="8" a="1"/>
  <c r="L887" i="8" a="1"/>
  <c r="M1249" i="8" a="1"/>
  <c r="O1098" i="8" a="1"/>
  <c r="O1093" i="8" a="1"/>
  <c r="M1025" i="8" a="1"/>
  <c r="H1476" i="8" a="1"/>
  <c r="K1444" i="8" a="1"/>
  <c r="E1427" i="8" a="1"/>
  <c r="H1443" i="8" a="1"/>
  <c r="N1416" i="8" a="1"/>
  <c r="G1324" i="8" a="1"/>
  <c r="F1345" i="8" a="1"/>
  <c r="J1137" i="8" a="1"/>
  <c r="H1509" i="8" a="1"/>
  <c r="L1468" i="8" a="1"/>
  <c r="L1372" i="8" a="1"/>
  <c r="G1300" i="8" a="1"/>
  <c r="O1128" i="8" a="1"/>
  <c r="H1005" i="8" a="1"/>
  <c r="J1464" i="8" a="1"/>
  <c r="G1431" i="8" a="1"/>
  <c r="H1426" i="8" a="1"/>
  <c r="N1193" i="8" a="1"/>
  <c r="H1190" i="8" a="1"/>
  <c r="G1127" i="8" a="1"/>
  <c r="J1123" i="8" a="1"/>
  <c r="J1063" i="8" a="1"/>
  <c r="M1001" i="8" a="1"/>
  <c r="L784" i="8" a="1"/>
  <c r="I719" i="8" a="1"/>
  <c r="J693" i="8" a="1"/>
  <c r="H694" i="8" a="1"/>
  <c r="I596" i="8" a="1"/>
  <c r="N432" i="8" a="1"/>
  <c r="L389" i="8" a="1"/>
  <c r="N794" i="8" a="1"/>
  <c r="I722" i="8" a="1"/>
  <c r="F716" i="8" a="1"/>
  <c r="M564" i="8" a="1"/>
  <c r="N360" i="8" a="1"/>
  <c r="H300" i="8" a="1"/>
  <c r="F258" i="8" a="1"/>
  <c r="G191" i="8" a="1"/>
  <c r="E359" i="8" a="1"/>
  <c r="F817" i="8" a="1"/>
  <c r="K530" i="8" a="1"/>
  <c r="G357" i="8" a="1"/>
  <c r="N958" i="8" a="1"/>
  <c r="F873" i="8" a="1"/>
  <c r="G656" i="8" a="1"/>
  <c r="M918" i="8" a="1"/>
  <c r="O851" i="8" a="1"/>
  <c r="M771" i="8" a="1"/>
  <c r="G455" i="8" a="1"/>
  <c r="O753" i="8" a="1"/>
  <c r="H629" i="8" a="1"/>
  <c r="G683" i="8" a="1"/>
  <c r="F327" i="8" a="1"/>
  <c r="J858" i="8" a="1"/>
  <c r="N763" i="8" a="1"/>
  <c r="L554" i="8" a="1"/>
  <c r="G423" i="8" a="1"/>
  <c r="H496" i="8" a="1"/>
  <c r="H422" i="8" a="1"/>
  <c r="N818" i="8" a="1"/>
  <c r="O895" i="8" a="1"/>
  <c r="I922" i="8" a="1"/>
  <c r="G888" i="8" a="1"/>
  <c r="E464" i="8" a="1"/>
  <c r="E426" i="8" a="1"/>
  <c r="G456" i="8" a="1"/>
  <c r="M326" i="8" a="1"/>
  <c r="E706" i="8" a="1"/>
  <c r="N687" i="8" a="1"/>
  <c r="M390" i="8" a="1"/>
  <c r="L293" i="8" a="1"/>
  <c r="K870" i="8" a="1"/>
  <c r="E785" i="8" a="1"/>
  <c r="M762" i="8" a="1"/>
  <c r="G855" i="8" a="1"/>
  <c r="M730" i="8" a="1"/>
  <c r="I587" i="8" a="1"/>
  <c r="F503" i="8" a="1"/>
  <c r="O475" i="8" a="1"/>
  <c r="F989" i="8" a="1"/>
  <c r="G389" i="8" a="1"/>
  <c r="J918" i="8" a="1"/>
  <c r="G858" i="8" a="1"/>
  <c r="O496" i="8" a="1"/>
  <c r="I464" i="8" a="1"/>
  <c r="E503" i="8" a="1"/>
  <c r="F1555" i="8" a="1"/>
  <c r="O1678" i="8" a="1"/>
  <c r="K1677" i="8" a="1"/>
  <c r="F1516" i="8" a="1"/>
  <c r="J1527" i="8" a="1"/>
  <c r="O1645" i="8" a="1"/>
  <c r="K1541" i="8" a="1"/>
  <c r="J1352" i="8" a="1"/>
  <c r="F1655" i="8" a="1"/>
  <c r="J1539" i="8" a="1"/>
  <c r="M1511" i="8" a="1"/>
  <c r="K1497" i="8" a="1"/>
  <c r="K1636" i="8" a="1"/>
  <c r="K1630" i="8" a="1"/>
  <c r="N1646" i="8" a="1"/>
  <c r="J1529" i="8" a="1"/>
  <c r="E1490" i="8" a="1"/>
  <c r="L1589" i="8" a="1"/>
  <c r="F1531" i="8" a="1"/>
  <c r="I1587" i="8" a="1"/>
  <c r="I1642" i="8" a="1"/>
  <c r="I1532" i="8" a="1"/>
  <c r="G1404" i="8" a="1"/>
  <c r="O1633" i="8" a="1"/>
  <c r="M1500" i="8" a="1"/>
  <c r="G1367" i="8" a="1"/>
  <c r="L1668" i="8" a="1"/>
  <c r="K1625" i="8" a="1"/>
  <c r="K1575" i="8" a="1"/>
  <c r="H1457" i="8" a="1"/>
  <c r="L1607" i="8" a="1"/>
  <c r="K1570" i="8" a="1"/>
  <c r="N1548" i="8" a="1"/>
  <c r="F1520" i="8" a="1"/>
  <c r="O1586" i="8" a="1"/>
  <c r="L1590" i="8" a="1"/>
  <c r="K1618" i="8" a="1"/>
  <c r="M1603" i="8" a="1"/>
  <c r="N1494" i="8" a="1"/>
  <c r="L1535" i="8" a="1"/>
  <c r="N1561" i="8" a="1"/>
  <c r="I1480" i="8" a="1"/>
  <c r="I1583" i="8" a="1"/>
  <c r="O1562" i="8" a="1"/>
  <c r="E1479" i="8" a="1"/>
  <c r="G1340" i="8" a="1"/>
  <c r="F1243" i="8" a="1"/>
  <c r="E1189" i="8" a="1"/>
  <c r="L1029" i="8" a="1"/>
  <c r="H1399" i="8" a="1"/>
  <c r="K1310" i="8" a="1"/>
  <c r="N1369" i="8" a="1"/>
  <c r="H1285" i="8" a="1"/>
  <c r="G1230" i="8" a="1"/>
  <c r="G1231" i="8" a="1"/>
  <c r="J1170" i="8" a="1"/>
  <c r="N1087" i="8" a="1"/>
  <c r="G977" i="8" a="1"/>
  <c r="J931" i="8" a="1"/>
  <c r="F1459" i="8" a="1"/>
  <c r="M1368" i="8" a="1"/>
  <c r="K1281" i="8" a="1"/>
  <c r="L1302" i="8" a="1"/>
  <c r="J1251" i="8" a="1"/>
  <c r="E1021" i="8" a="1"/>
  <c r="E1487" i="8" a="1"/>
  <c r="J1447" i="8" a="1"/>
  <c r="I1278" i="8" a="1"/>
  <c r="E994" i="8" a="1"/>
  <c r="M1498" i="8" a="1"/>
  <c r="L1216" i="8" a="1"/>
  <c r="G1217" i="8" a="1"/>
  <c r="F1177" i="8" a="1"/>
  <c r="K1120" i="8" a="1"/>
  <c r="K1145" i="8" a="1"/>
  <c r="H944" i="8" a="1"/>
  <c r="H1390" i="8" a="1"/>
  <c r="F1206" i="8" a="1"/>
  <c r="I1200" i="8" a="1"/>
  <c r="M1096" i="8" a="1"/>
  <c r="J984" i="8" a="1"/>
  <c r="M1374" i="8" a="1"/>
  <c r="E1383" i="8" a="1"/>
  <c r="F1277" i="8" a="1"/>
  <c r="H1178" i="8" a="1"/>
  <c r="K1064" i="8" a="1"/>
  <c r="O1013" i="8" a="1"/>
  <c r="I1472" i="8" a="1"/>
  <c r="E1384" i="8" a="1"/>
  <c r="O1261" i="8" a="1"/>
  <c r="E1262" i="8" a="1"/>
  <c r="M1236" i="8" a="1"/>
  <c r="L1077" i="8" a="1"/>
  <c r="F1118" i="8" a="1"/>
  <c r="G1038" i="8" a="1"/>
  <c r="L1413" i="8" a="1"/>
  <c r="F1323" i="8" a="1"/>
  <c r="M1247" i="8" a="1"/>
  <c r="M1173" i="8" a="1"/>
  <c r="H1194" i="8" a="1"/>
  <c r="N1110" i="8" a="1"/>
  <c r="M1147" i="8" a="1"/>
  <c r="O1030" i="8" a="1"/>
  <c r="M993" i="8" a="1"/>
  <c r="I1538" i="8" a="1"/>
  <c r="I1403" i="8" a="1"/>
  <c r="N1393" i="8" a="1"/>
  <c r="O1248" i="8" a="1"/>
  <c r="M1168" i="8" a="1"/>
  <c r="J1201" i="8" a="1"/>
  <c r="O1134" i="8" a="1"/>
  <c r="H1419" i="8" a="1"/>
  <c r="O1355" i="8" a="1"/>
  <c r="N1401" i="8" a="1"/>
  <c r="H1252" i="8" a="1"/>
  <c r="L1169" i="8" a="1"/>
  <c r="M1149" i="8" a="1"/>
  <c r="J953" i="8" a="1"/>
  <c r="I1417" i="8" a="1"/>
  <c r="E1429" i="8" a="1"/>
  <c r="M1155" i="8" a="1"/>
  <c r="F1156" i="8" a="1"/>
  <c r="J1000" i="8" a="1"/>
  <c r="H884" i="8" a="1"/>
  <c r="K1124" i="8" a="1"/>
  <c r="L1249" i="8" a="1"/>
  <c r="N1098" i="8" a="1"/>
  <c r="E1093" i="8" a="1"/>
  <c r="K1025" i="8" a="1"/>
  <c r="G1476" i="8" a="1"/>
  <c r="J1444" i="8" a="1"/>
  <c r="L1427" i="8" a="1"/>
  <c r="G1443" i="8" a="1"/>
  <c r="F1416" i="8" a="1"/>
  <c r="K1324" i="8" a="1"/>
  <c r="M1356" i="8" a="1"/>
  <c r="F1137" i="8" a="1"/>
  <c r="F1509" i="8" a="1"/>
  <c r="K1468" i="8" a="1"/>
  <c r="K1372" i="8" a="1"/>
  <c r="O1300" i="8" a="1"/>
  <c r="N1128" i="8" a="1"/>
  <c r="O1005" i="8" a="1"/>
  <c r="O1410" i="8" a="1"/>
  <c r="O1431" i="8" a="1"/>
  <c r="E1426" i="8" a="1"/>
  <c r="F1193" i="8" a="1"/>
  <c r="F1190" i="8" a="1"/>
  <c r="N1127" i="8" a="1"/>
  <c r="I1123" i="8" a="1"/>
  <c r="H1063" i="8" a="1"/>
  <c r="G1001" i="8" a="1"/>
  <c r="H719" i="8" a="1"/>
  <c r="I693" i="8" a="1"/>
  <c r="N694" i="8" a="1"/>
  <c r="G596" i="8" a="1"/>
  <c r="F432" i="8" a="1"/>
  <c r="K389" i="8" a="1"/>
  <c r="G722" i="8" a="1"/>
  <c r="N716" i="8" a="1"/>
  <c r="L564" i="8" a="1"/>
  <c r="M360" i="8" a="1"/>
  <c r="M300" i="8" a="1"/>
  <c r="M258" i="8" a="1"/>
  <c r="F191" i="8" a="1"/>
  <c r="H359" i="8" a="1"/>
  <c r="L817" i="8" a="1"/>
  <c r="J530" i="8" a="1"/>
  <c r="O357" i="8" a="1"/>
  <c r="O873" i="8" a="1"/>
  <c r="O656" i="8" a="1"/>
  <c r="E918" i="8" a="1"/>
  <c r="G851" i="8" a="1"/>
  <c r="K771" i="8" a="1"/>
  <c r="K455" i="8" a="1"/>
  <c r="M927" i="8" a="1"/>
  <c r="G753" i="8" a="1"/>
  <c r="G629" i="8" a="1"/>
  <c r="N683" i="8" a="1"/>
  <c r="H858" i="8" a="1"/>
  <c r="I690" i="8" a="1"/>
  <c r="E763" i="8" a="1"/>
  <c r="J554" i="8" a="1"/>
  <c r="K423" i="8" a="1"/>
  <c r="N496" i="8" a="1"/>
  <c r="G422" i="8" a="1"/>
  <c r="F818" i="8" a="1"/>
  <c r="N895" i="8" a="1"/>
  <c r="M922" i="8" a="1"/>
  <c r="M888" i="8" a="1"/>
  <c r="L464" i="8" a="1"/>
  <c r="N426" i="8" a="1"/>
  <c r="O456" i="8" a="1"/>
  <c r="E326" i="8" a="1"/>
  <c r="F687" i="8" a="1"/>
  <c r="E390" i="8" a="1"/>
  <c r="H293" i="8" a="1"/>
  <c r="O785" i="8" a="1"/>
  <c r="H762" i="8" a="1"/>
  <c r="F855" i="8" a="1"/>
  <c r="K730" i="8" a="1"/>
  <c r="F587" i="8" a="1"/>
  <c r="L503" i="8" a="1"/>
  <c r="N475" i="8" a="1"/>
  <c r="L1356" i="8" a="1"/>
  <c r="G719" i="8" a="1"/>
  <c r="J360" i="8" a="1"/>
  <c r="I949" i="8" a="1"/>
  <c r="L927" i="8" a="1"/>
  <c r="J891" i="8" a="1"/>
  <c r="I621" i="8" a="1"/>
  <c r="H326" i="8" a="1"/>
  <c r="N587" i="8" a="1"/>
  <c r="I1658" i="8" a="1"/>
  <c r="G1678" i="8" a="1"/>
  <c r="J1677" i="8" a="1"/>
  <c r="L1516" i="8" a="1"/>
  <c r="I1527" i="8" a="1"/>
  <c r="G1645" i="8" a="1"/>
  <c r="J1541" i="8" a="1"/>
  <c r="I1352" i="8" a="1"/>
  <c r="M1655" i="8" a="1"/>
  <c r="I1539" i="8" a="1"/>
  <c r="K1511" i="8" a="1"/>
  <c r="O1673" i="8" a="1"/>
  <c r="J1636" i="8" a="1"/>
  <c r="J1630" i="8" a="1"/>
  <c r="L1646" i="8" a="1"/>
  <c r="F1529" i="8" a="1"/>
  <c r="O1490" i="8" a="1"/>
  <c r="G1589" i="8" a="1"/>
  <c r="H1531" i="8" a="1"/>
  <c r="E1587" i="8" a="1"/>
  <c r="O1642" i="8" a="1"/>
  <c r="H1532" i="8" a="1"/>
  <c r="J1594" i="8" a="1"/>
  <c r="G1633" i="8" a="1"/>
  <c r="L1500" i="8" a="1"/>
  <c r="N1367" i="8" a="1"/>
  <c r="K1668" i="8" a="1"/>
  <c r="J1625" i="8" a="1"/>
  <c r="O1575" i="8" a="1"/>
  <c r="O1457" i="8" a="1"/>
  <c r="I1607" i="8" a="1"/>
  <c r="I1570" i="8" a="1"/>
  <c r="L1548" i="8" a="1"/>
  <c r="I1619" i="8" a="1"/>
  <c r="N1586" i="8" a="1"/>
  <c r="I1590" i="8" a="1"/>
  <c r="I1618" i="8" a="1"/>
  <c r="K1603" i="8" a="1"/>
  <c r="M1494" i="8" a="1"/>
  <c r="K1535" i="8" a="1"/>
  <c r="F1561" i="8" a="1"/>
  <c r="H1480" i="8" a="1"/>
  <c r="L1583" i="8" a="1"/>
  <c r="M1562" i="8" a="1"/>
  <c r="I1460" i="8" a="1"/>
  <c r="F1340" i="8" a="1"/>
  <c r="H1243" i="8" a="1"/>
  <c r="L1189" i="8" a="1"/>
  <c r="J1029" i="8" a="1"/>
  <c r="O1399" i="8" a="1"/>
  <c r="J1310" i="8" a="1"/>
  <c r="F1369" i="8" a="1"/>
  <c r="O1285" i="8" a="1"/>
  <c r="M1311" i="8" a="1"/>
  <c r="O1231" i="8" a="1"/>
  <c r="H1170" i="8" a="1"/>
  <c r="L1087" i="8" a="1"/>
  <c r="N977" i="8" a="1"/>
  <c r="H931" i="8" a="1"/>
  <c r="M1459" i="8" a="1"/>
  <c r="E1368" i="8" a="1"/>
  <c r="I1281" i="8" a="1"/>
  <c r="J1302" i="8" a="1"/>
  <c r="N1085" i="8" a="1"/>
  <c r="N1021" i="8" a="1"/>
  <c r="G1487" i="8" a="1"/>
  <c r="I1447" i="8" a="1"/>
  <c r="H1278" i="8" a="1"/>
  <c r="L994" i="8" a="1"/>
  <c r="L1498" i="8" a="1"/>
  <c r="E1216" i="8" a="1"/>
  <c r="I1222" i="8" a="1"/>
  <c r="M1177" i="8" a="1"/>
  <c r="E1120" i="8" a="1"/>
  <c r="I1145" i="8" a="1"/>
  <c r="G944" i="8" a="1"/>
  <c r="O1390" i="8" a="1"/>
  <c r="N1206" i="8" a="1"/>
  <c r="H1200" i="8" a="1"/>
  <c r="K1096" i="8" a="1"/>
  <c r="N984" i="8" a="1"/>
  <c r="E1374" i="8" a="1"/>
  <c r="O1392" i="8" a="1"/>
  <c r="M1277" i="8" a="1"/>
  <c r="F1178" i="8" a="1"/>
  <c r="H1064" i="8" a="1"/>
  <c r="L1013" i="8" a="1"/>
  <c r="H1472" i="8" a="1"/>
  <c r="O1384" i="8" a="1"/>
  <c r="G1261" i="8" a="1"/>
  <c r="G1262" i="8" a="1"/>
  <c r="E1236" i="8" a="1"/>
  <c r="K1077" i="8" a="1"/>
  <c r="J1092" i="8" a="1"/>
  <c r="F1038" i="8" a="1"/>
  <c r="K1413" i="8" a="1"/>
  <c r="E1323" i="8" a="1"/>
  <c r="J1247" i="8" a="1"/>
  <c r="E1173" i="8" a="1"/>
  <c r="F1194" i="8" a="1"/>
  <c r="F1110" i="8" a="1"/>
  <c r="L1147" i="8" a="1"/>
  <c r="G1030" i="8" a="1"/>
  <c r="E993" i="8" a="1"/>
  <c r="K1510" i="8" a="1"/>
  <c r="H1403" i="8" a="1"/>
  <c r="F1393" i="8" a="1"/>
  <c r="N1248" i="8" a="1"/>
  <c r="H1168" i="8" a="1"/>
  <c r="N1201" i="8" a="1"/>
  <c r="N1134" i="8" a="1"/>
  <c r="O1419" i="8" a="1"/>
  <c r="M1355" i="8" a="1"/>
  <c r="F1401" i="8" a="1"/>
  <c r="F1252" i="8" a="1"/>
  <c r="L1185" i="8" a="1"/>
  <c r="E1149" i="8" a="1"/>
  <c r="N953" i="8" a="1"/>
  <c r="H1417" i="8" a="1"/>
  <c r="M1429" i="8" a="1"/>
  <c r="E1155" i="8" a="1"/>
  <c r="E1156" i="8" a="1"/>
  <c r="I1000" i="8" a="1"/>
  <c r="F884" i="8" a="1"/>
  <c r="I1124" i="8" a="1"/>
  <c r="J1249" i="8" a="1"/>
  <c r="M1093" i="8" a="1"/>
  <c r="J1025" i="8" a="1"/>
  <c r="F1476" i="8" a="1"/>
  <c r="N1444" i="8" a="1"/>
  <c r="K1427" i="8" a="1"/>
  <c r="E1443" i="8" a="1"/>
  <c r="O1416" i="8" a="1"/>
  <c r="J1324" i="8" a="1"/>
  <c r="E1356" i="8" a="1"/>
  <c r="E1137" i="8" a="1"/>
  <c r="N989" i="8" a="1"/>
  <c r="L1509" i="8" a="1"/>
  <c r="J1468" i="8" a="1"/>
  <c r="J1372" i="8" a="1"/>
  <c r="E1300" i="8" a="1"/>
  <c r="L1128" i="8" a="1"/>
  <c r="F1005" i="8" a="1"/>
  <c r="G1410" i="8" a="1"/>
  <c r="F1431" i="8" a="1"/>
  <c r="I1258" i="8" a="1"/>
  <c r="I1193" i="8" a="1"/>
  <c r="N1190" i="8" a="1"/>
  <c r="F1127" i="8" a="1"/>
  <c r="G1123" i="8" a="1"/>
  <c r="O1063" i="8" a="1"/>
  <c r="F1001" i="8" a="1"/>
  <c r="K719" i="8" a="1"/>
  <c r="F694" i="8" a="1"/>
  <c r="E596" i="8" a="1"/>
  <c r="M432" i="8" a="1"/>
  <c r="O389" i="8" a="1"/>
  <c r="F722" i="8" a="1"/>
  <c r="K564" i="8" a="1"/>
  <c r="K360" i="8" a="1"/>
  <c r="E300" i="8" a="1"/>
  <c r="E258" i="8" a="1"/>
  <c r="L359" i="8" a="1"/>
  <c r="M817" i="8" a="1"/>
  <c r="E530" i="8" a="1"/>
  <c r="L357" i="8" a="1"/>
  <c r="M873" i="8" a="1"/>
  <c r="F656" i="8" a="1"/>
  <c r="L918" i="8" a="1"/>
  <c r="L851" i="8" a="1"/>
  <c r="J771" i="8" a="1"/>
  <c r="J521" i="8" a="1"/>
  <c r="J455" i="8" a="1"/>
  <c r="E927" i="8" a="1"/>
  <c r="N753" i="8" a="1"/>
  <c r="O629" i="8" a="1"/>
  <c r="F683" i="8" a="1"/>
  <c r="I858" i="8" a="1"/>
  <c r="H690" i="8" a="1"/>
  <c r="M763" i="8" a="1"/>
  <c r="H554" i="8" a="1"/>
  <c r="J423" i="8" a="1"/>
  <c r="J621" i="8" a="1"/>
  <c r="M496" i="8" a="1"/>
  <c r="F422" i="8" a="1"/>
  <c r="M818" i="8" a="1"/>
  <c r="K895" i="8" a="1"/>
  <c r="E922" i="8" a="1"/>
  <c r="E888" i="8" a="1"/>
  <c r="J464" i="8" a="1"/>
  <c r="K426" i="8" a="1"/>
  <c r="K326" i="8" a="1"/>
  <c r="M687" i="8" a="1"/>
  <c r="L390" i="8" a="1"/>
  <c r="I293" i="8" a="1"/>
  <c r="N785" i="8" a="1"/>
  <c r="N855" i="8" a="1"/>
  <c r="J730" i="8" a="1"/>
  <c r="E587" i="8" a="1"/>
  <c r="J854" i="8" a="1"/>
  <c r="K503" i="8" a="1"/>
  <c r="K475" i="8" a="1"/>
  <c r="N1137" i="8" a="1"/>
  <c r="M694" i="8" a="1"/>
  <c r="L258" i="8" a="1"/>
  <c r="K357" i="8" a="1"/>
  <c r="N771" i="8" a="1"/>
  <c r="M683" i="8" a="1"/>
  <c r="O690" i="8" a="1"/>
  <c r="H888" i="8" a="1"/>
  <c r="K390" i="8" a="1"/>
  <c r="M799" i="8" a="1"/>
  <c r="H1658" i="8" a="1"/>
  <c r="N1678" i="8" a="1"/>
  <c r="L1578" i="8" a="1"/>
  <c r="K1516" i="8" a="1"/>
  <c r="F1527" i="8" a="1"/>
  <c r="N1645" i="8" a="1"/>
  <c r="E1541" i="8" a="1"/>
  <c r="H1352" i="8" a="1"/>
  <c r="E1655" i="8" a="1"/>
  <c r="H1539" i="8" a="1"/>
  <c r="I1511" i="8" a="1"/>
  <c r="G1673" i="8" a="1"/>
  <c r="I1636" i="8" a="1"/>
  <c r="J1639" i="8" a="1"/>
  <c r="J1646" i="8" a="1"/>
  <c r="K1529" i="8" a="1"/>
  <c r="L1490" i="8" a="1"/>
  <c r="N1589" i="8" a="1"/>
  <c r="G1531" i="8" a="1"/>
  <c r="G1587" i="8" a="1"/>
  <c r="M1642" i="8" a="1"/>
  <c r="F1532" i="8" a="1"/>
  <c r="H1594" i="8" a="1"/>
  <c r="L1633" i="8" a="1"/>
  <c r="M1452" i="8" a="1"/>
  <c r="F1367" i="8" a="1"/>
  <c r="H1668" i="8" a="1"/>
  <c r="G1625" i="8" a="1"/>
  <c r="H1575" i="8" a="1"/>
  <c r="G1457" i="8" a="1"/>
  <c r="H1607" i="8" a="1"/>
  <c r="H1570" i="8" a="1"/>
  <c r="J1548" i="8" a="1"/>
  <c r="M1619" i="8" a="1"/>
  <c r="L1586" i="8" a="1"/>
  <c r="I1329" i="8" a="1"/>
  <c r="G1618" i="8" a="1"/>
  <c r="G1603" i="8" a="1"/>
  <c r="L1494" i="8" a="1"/>
  <c r="J1535" i="8" a="1"/>
  <c r="K1561" i="8" a="1"/>
  <c r="G1480" i="8" a="1"/>
  <c r="K1583" i="8" a="1"/>
  <c r="L1562" i="8" a="1"/>
  <c r="H1460" i="8" a="1"/>
  <c r="N1340" i="8" a="1"/>
  <c r="M1253" i="8" a="1"/>
  <c r="K1189" i="8" a="1"/>
  <c r="E1029" i="8" a="1"/>
  <c r="G1399" i="8" a="1"/>
  <c r="I1310" i="8" a="1"/>
  <c r="M1369" i="8" a="1"/>
  <c r="N1285" i="8" a="1"/>
  <c r="E1311" i="8" a="1"/>
  <c r="N1231" i="8" a="1"/>
  <c r="K1031" i="8" a="1"/>
  <c r="J1087" i="8" a="1"/>
  <c r="F977" i="8" a="1"/>
  <c r="K931" i="8" a="1"/>
  <c r="E1459" i="8" a="1"/>
  <c r="O1368" i="8" a="1"/>
  <c r="H1281" i="8" a="1"/>
  <c r="I1302" i="8" a="1"/>
  <c r="F1085" i="8" a="1"/>
  <c r="M1021" i="8" a="1"/>
  <c r="K962" i="8" a="1"/>
  <c r="F1487" i="8" a="1"/>
  <c r="G1447" i="8" a="1"/>
  <c r="O1278" i="8" a="1"/>
  <c r="M994" i="8" a="1"/>
  <c r="K1498" i="8" a="1"/>
  <c r="O1216" i="8" a="1"/>
  <c r="H1222" i="8" a="1"/>
  <c r="K1177" i="8" a="1"/>
  <c r="N1101" i="8" a="1"/>
  <c r="O1145" i="8" a="1"/>
  <c r="L944" i="8" a="1"/>
  <c r="G1390" i="8" a="1"/>
  <c r="L1206" i="8" a="1"/>
  <c r="N1200" i="8" a="1"/>
  <c r="J1096" i="8" a="1"/>
  <c r="F984" i="8" a="1"/>
  <c r="L1374" i="8" a="1"/>
  <c r="G1392" i="8" a="1"/>
  <c r="E1277" i="8" a="1"/>
  <c r="I1115" i="8" a="1"/>
  <c r="O1064" i="8" a="1"/>
  <c r="G1013" i="8" a="1"/>
  <c r="F1472" i="8" a="1"/>
  <c r="L1384" i="8" a="1"/>
  <c r="N1261" i="8" a="1"/>
  <c r="O1262" i="8" a="1"/>
  <c r="L1236" i="8" a="1"/>
  <c r="H1077" i="8" a="1"/>
  <c r="N1092" i="8" a="1"/>
  <c r="E1038" i="8" a="1"/>
  <c r="K1405" i="8" a="1"/>
  <c r="K1323" i="8" a="1"/>
  <c r="H1247" i="8" a="1"/>
  <c r="L1173" i="8" a="1"/>
  <c r="N1194" i="8" a="1"/>
  <c r="M1110" i="8" a="1"/>
  <c r="G1147" i="8" a="1"/>
  <c r="N1030" i="8" a="1"/>
  <c r="L993" i="8" a="1"/>
  <c r="J1510" i="8" a="1"/>
  <c r="G1403" i="8" a="1"/>
  <c r="N1337" i="8" a="1"/>
  <c r="L1248" i="8" a="1"/>
  <c r="G1168" i="8" a="1"/>
  <c r="M1201" i="8" a="1"/>
  <c r="M1134" i="8" a="1"/>
  <c r="G1419" i="8" a="1"/>
  <c r="L1355" i="8" a="1"/>
  <c r="M1401" i="8" a="1"/>
  <c r="N1252" i="8" a="1"/>
  <c r="K1185" i="8" a="1"/>
  <c r="K1149" i="8" a="1"/>
  <c r="O1417" i="8" a="1"/>
  <c r="L1429" i="8" a="1"/>
  <c r="L1155" i="8" a="1"/>
  <c r="G1156" i="8" a="1"/>
  <c r="N1000" i="8" a="1"/>
  <c r="N884" i="8" a="1"/>
  <c r="H1124" i="8" a="1"/>
  <c r="G1249" i="8" a="1"/>
  <c r="L1093" i="8" a="1"/>
  <c r="E1476" i="8" a="1"/>
  <c r="H1444" i="8" a="1"/>
  <c r="J1427" i="8" a="1"/>
  <c r="O1443" i="8" a="1"/>
  <c r="M1416" i="8" a="1"/>
  <c r="I1324" i="8" a="1"/>
  <c r="H1372" i="8" a="1"/>
  <c r="M1300" i="8" a="1"/>
  <c r="I1128" i="8" a="1"/>
  <c r="N1005" i="8" a="1"/>
  <c r="E1410" i="8" a="1"/>
  <c r="N1431" i="8" a="1"/>
  <c r="O1258" i="8" a="1"/>
  <c r="E1193" i="8" a="1"/>
  <c r="J1127" i="8" a="1"/>
  <c r="H1123" i="8" a="1"/>
  <c r="G1063" i="8" a="1"/>
  <c r="E432" i="8" a="1"/>
  <c r="I564" i="8" a="1"/>
  <c r="I359" i="8" a="1"/>
  <c r="O521" i="8" a="1"/>
  <c r="F629" i="8" a="1"/>
  <c r="N423" i="8" a="1"/>
  <c r="I818" i="8" a="1"/>
  <c r="E687" i="8" a="1"/>
  <c r="H854" i="8" a="1"/>
  <c r="N1658" i="8" a="1"/>
  <c r="F1678" i="8" a="1"/>
  <c r="O1578" i="8" a="1"/>
  <c r="H1516" i="8" a="1"/>
  <c r="I1674" i="8" a="1"/>
  <c r="F1645" i="8" a="1"/>
  <c r="N1541" i="8" a="1"/>
  <c r="N1352" i="8" a="1"/>
  <c r="K1655" i="8" a="1"/>
  <c r="G1539" i="8" a="1"/>
  <c r="H1511" i="8" a="1"/>
  <c r="N1673" i="8" a="1"/>
  <c r="H1636" i="8" a="1"/>
  <c r="I1639" i="8" a="1"/>
  <c r="I1646" i="8" a="1"/>
  <c r="J1358" i="8" a="1"/>
  <c r="K1490" i="8" a="1"/>
  <c r="K1589" i="8" a="1"/>
  <c r="O1531" i="8" a="1"/>
  <c r="O1587" i="8" a="1"/>
  <c r="L1642" i="8" a="1"/>
  <c r="N1532" i="8" a="1"/>
  <c r="N1594" i="8" a="1"/>
  <c r="F1633" i="8" a="1"/>
  <c r="E1452" i="8" a="1"/>
  <c r="L1367" i="8" a="1"/>
  <c r="N1569" i="8" a="1"/>
  <c r="O1625" i="8" a="1"/>
  <c r="F1575" i="8" a="1"/>
  <c r="N1457" i="8" a="1"/>
  <c r="F1607" i="8" a="1"/>
  <c r="G1570" i="8" a="1"/>
  <c r="I1548" i="8" a="1"/>
  <c r="E1619" i="8" a="1"/>
  <c r="G1586" i="8" a="1"/>
  <c r="O1329" i="8" a="1"/>
  <c r="E1618" i="8" a="1"/>
  <c r="O1596" i="8" a="1"/>
  <c r="K1494" i="8" a="1"/>
  <c r="F1535" i="8" a="1"/>
  <c r="L1561" i="8" a="1"/>
  <c r="E1480" i="8" a="1"/>
  <c r="J1583" i="8" a="1"/>
  <c r="G1562" i="8" a="1"/>
  <c r="O1460" i="8" a="1"/>
  <c r="K1340" i="8" a="1"/>
  <c r="E1253" i="8" a="1"/>
  <c r="I1189" i="8" a="1"/>
  <c r="M1112" i="8" a="1"/>
  <c r="H1029" i="8" a="1"/>
  <c r="N1399" i="8" a="1"/>
  <c r="H1310" i="8" a="1"/>
  <c r="E1369" i="8" a="1"/>
  <c r="L1285" i="8" a="1"/>
  <c r="K1311" i="8" a="1"/>
  <c r="M1231" i="8" a="1"/>
  <c r="H1031" i="8" a="1"/>
  <c r="O1087" i="8" a="1"/>
  <c r="L963" i="8" a="1"/>
  <c r="M977" i="8" a="1"/>
  <c r="E931" i="8" a="1"/>
  <c r="L1459" i="8" a="1"/>
  <c r="L1368" i="8" a="1"/>
  <c r="O1281" i="8" a="1"/>
  <c r="H1302" i="8" a="1"/>
  <c r="O1085" i="8" a="1"/>
  <c r="L1021" i="8" a="1"/>
  <c r="O962" i="8" a="1"/>
  <c r="O1487" i="8" a="1"/>
  <c r="M1449" i="8" a="1"/>
  <c r="G1278" i="8" a="1"/>
  <c r="I994" i="8" a="1"/>
  <c r="J1498" i="8" a="1"/>
  <c r="M1216" i="8" a="1"/>
  <c r="O1222" i="8" a="1"/>
  <c r="J1177" i="8" a="1"/>
  <c r="F1101" i="8" a="1"/>
  <c r="J1145" i="8" a="1"/>
  <c r="J952" i="8" a="1"/>
  <c r="M1390" i="8" a="1"/>
  <c r="J1206" i="8" a="1"/>
  <c r="F1200" i="8" a="1"/>
  <c r="I1096" i="8" a="1"/>
  <c r="M984" i="8" a="1"/>
  <c r="N1374" i="8" a="1"/>
  <c r="N1392" i="8" a="1"/>
  <c r="L1277" i="8" a="1"/>
  <c r="O1115" i="8" a="1"/>
  <c r="N1064" i="8" a="1"/>
  <c r="H1521" i="8" a="1"/>
  <c r="E1472" i="8" a="1"/>
  <c r="G1384" i="8" a="1"/>
  <c r="F1261" i="8" a="1"/>
  <c r="J1262" i="8" a="1"/>
  <c r="K1236" i="8" a="1"/>
  <c r="E1077" i="8" a="1"/>
  <c r="F1092" i="8" a="1"/>
  <c r="N1038" i="8" a="1"/>
  <c r="J1405" i="8" a="1"/>
  <c r="I1323" i="8" a="1"/>
  <c r="H1246" i="8" a="1"/>
  <c r="K1173" i="8" a="1"/>
  <c r="L1194" i="8" a="1"/>
  <c r="E1110" i="8" a="1"/>
  <c r="K1147" i="8" a="1"/>
  <c r="F1030" i="8" a="1"/>
  <c r="K993" i="8" a="1"/>
  <c r="O1510" i="8" a="1"/>
  <c r="O1403" i="8" a="1"/>
  <c r="F1337" i="8" a="1"/>
  <c r="J1248" i="8" a="1"/>
  <c r="J1181" i="8" a="1"/>
  <c r="I1201" i="8" a="1"/>
  <c r="H1134" i="8" a="1"/>
  <c r="N1419" i="8" a="1"/>
  <c r="G1355" i="8" a="1"/>
  <c r="E1401" i="8" a="1"/>
  <c r="L1252" i="8" a="1"/>
  <c r="J1185" i="8" a="1"/>
  <c r="J1149" i="8" a="1"/>
  <c r="G1417" i="8" a="1"/>
  <c r="K1265" i="8" a="1"/>
  <c r="J1155" i="8" a="1"/>
  <c r="L1156" i="8" a="1"/>
  <c r="F1000" i="8" a="1"/>
  <c r="J884" i="8" a="1"/>
  <c r="N1124" i="8" a="1"/>
  <c r="E1249" i="8" a="1"/>
  <c r="K1093" i="8" a="1"/>
  <c r="O1476" i="8" a="1"/>
  <c r="J1454" i="8" a="1"/>
  <c r="I1427" i="8" a="1"/>
  <c r="M1443" i="8" a="1"/>
  <c r="L1416" i="8" a="1"/>
  <c r="H1324" i="8" a="1"/>
  <c r="K1356" i="8" a="1"/>
  <c r="M1137" i="8" a="1"/>
  <c r="M989" i="8" a="1"/>
  <c r="J1509" i="8" a="1"/>
  <c r="H1420" i="8" a="1"/>
  <c r="O1372" i="8" a="1"/>
  <c r="M1157" i="8" a="1"/>
  <c r="G1128" i="8" a="1"/>
  <c r="E1005" i="8" a="1"/>
  <c r="N1410" i="8" a="1"/>
  <c r="E1431" i="8" a="1"/>
  <c r="G1258" i="8" a="1"/>
  <c r="L1193" i="8" a="1"/>
  <c r="E1127" i="8" a="1"/>
  <c r="K1047" i="8" a="1"/>
  <c r="N1063" i="8" a="1"/>
  <c r="N1001" i="8" a="1"/>
  <c r="F719" i="8" a="1"/>
  <c r="L694" i="8" a="1"/>
  <c r="L432" i="8" a="1"/>
  <c r="O722" i="8" a="1"/>
  <c r="F564" i="8" a="1"/>
  <c r="F360" i="8" a="1"/>
  <c r="N300" i="8" a="1"/>
  <c r="K258" i="8" a="1"/>
  <c r="N158" i="8" a="1"/>
  <c r="I817" i="8" a="1"/>
  <c r="K873" i="8" a="1"/>
  <c r="O949" i="8" a="1"/>
  <c r="H918" i="8" a="1"/>
  <c r="H851" i="8" a="1"/>
  <c r="L771" i="8" a="1"/>
  <c r="G521" i="8" a="1"/>
  <c r="M455" i="8" a="1"/>
  <c r="O927" i="8" a="1"/>
  <c r="M753" i="8" a="1"/>
  <c r="N629" i="8" a="1"/>
  <c r="E683" i="8" a="1"/>
  <c r="I891" i="8" a="1"/>
  <c r="F858" i="8" a="1"/>
  <c r="N934" i="8" a="1"/>
  <c r="G690" i="8" a="1"/>
  <c r="L763" i="8" a="1"/>
  <c r="N554" i="8" a="1"/>
  <c r="M423" i="8" a="1"/>
  <c r="M392" i="8" a="1"/>
  <c r="H621" i="8" a="1"/>
  <c r="L496" i="8" a="1"/>
  <c r="E818" i="8" a="1"/>
  <c r="J895" i="8" a="1"/>
  <c r="E924" i="8" a="1"/>
  <c r="F888" i="8" a="1"/>
  <c r="K464" i="8" a="1"/>
  <c r="I426" i="8" a="1"/>
  <c r="G326" i="8" a="1"/>
  <c r="L687" i="8" a="1"/>
  <c r="J390" i="8" a="1"/>
  <c r="E293" i="8" a="1"/>
  <c r="K785" i="8" a="1"/>
  <c r="E799" i="8" a="1"/>
  <c r="H661" i="8" a="1"/>
  <c r="M587" i="8" a="1"/>
  <c r="N854" i="8" a="1"/>
  <c r="G475" i="8" a="1"/>
  <c r="O1509" i="8" a="1"/>
  <c r="K694" i="8" a="1"/>
  <c r="O158" i="8" a="1"/>
  <c r="E327" i="8" a="1"/>
  <c r="O522" i="8" a="1"/>
  <c r="H390" i="8" a="1"/>
  <c r="F1658" i="8" a="1"/>
  <c r="M1678" i="8" a="1"/>
  <c r="G1578" i="8" a="1"/>
  <c r="G1516" i="8" a="1"/>
  <c r="H1674" i="8" a="1"/>
  <c r="M1645" i="8" a="1"/>
  <c r="J1525" i="8" a="1"/>
  <c r="F1352" i="8" a="1"/>
  <c r="L1655" i="8" a="1"/>
  <c r="O1539" i="8" a="1"/>
  <c r="E1511" i="8" a="1"/>
  <c r="F1673" i="8" a="1"/>
  <c r="F1636" i="8" a="1"/>
  <c r="H1639" i="8" a="1"/>
  <c r="H1646" i="8" a="1"/>
  <c r="I1358" i="8" a="1"/>
  <c r="I1490" i="8" a="1"/>
  <c r="N1647" i="8" a="1"/>
  <c r="E1531" i="8" a="1"/>
  <c r="F1587" i="8" a="1"/>
  <c r="K1642" i="8" a="1"/>
  <c r="K1532" i="8" a="1"/>
  <c r="E1594" i="8" a="1"/>
  <c r="E1633" i="8" a="1"/>
  <c r="O1452" i="8" a="1"/>
  <c r="E1367" i="8" a="1"/>
  <c r="L1569" i="8" a="1"/>
  <c r="N1625" i="8" a="1"/>
  <c r="K1533" i="8" a="1"/>
  <c r="F1457" i="8" a="1"/>
  <c r="E1607" i="8" a="1"/>
  <c r="O1570" i="8" a="1"/>
  <c r="M1548" i="8" a="1"/>
  <c r="L1619" i="8" a="1"/>
  <c r="J1586" i="8" a="1"/>
  <c r="G1329" i="8" a="1"/>
  <c r="M1618" i="8" a="1"/>
  <c r="G1596" i="8" a="1"/>
  <c r="I1494" i="8" a="1"/>
  <c r="M1611" i="8" a="1"/>
  <c r="J1561" i="8" a="1"/>
  <c r="F1480" i="8" a="1"/>
  <c r="H1583" i="8" a="1"/>
  <c r="N1562" i="8" a="1"/>
  <c r="N1460" i="8" a="1"/>
  <c r="I1340" i="8" a="1"/>
  <c r="K1253" i="8" a="1"/>
  <c r="H1189" i="8" a="1"/>
  <c r="E1112" i="8" a="1"/>
  <c r="F1399" i="8" a="1"/>
  <c r="F1310" i="8" a="1"/>
  <c r="L1369" i="8" a="1"/>
  <c r="G1285" i="8" a="1"/>
  <c r="H1311" i="8" a="1"/>
  <c r="L1231" i="8" a="1"/>
  <c r="O1031" i="8" a="1"/>
  <c r="M1087" i="8" a="1"/>
  <c r="F963" i="8" a="1"/>
  <c r="E977" i="8" a="1"/>
  <c r="H866" i="8" a="1"/>
  <c r="K1459" i="8" a="1"/>
  <c r="G1368" i="8" a="1"/>
  <c r="G1281" i="8" a="1"/>
  <c r="G1302" i="8" a="1"/>
  <c r="E1085" i="8" a="1"/>
  <c r="K1021" i="8" a="1"/>
  <c r="G962" i="8" a="1"/>
  <c r="L1487" i="8" a="1"/>
  <c r="E1449" i="8" a="1"/>
  <c r="N1278" i="8" a="1"/>
  <c r="N1061" i="8" a="1"/>
  <c r="H994" i="8" a="1"/>
  <c r="I1498" i="8" a="1"/>
  <c r="G1216" i="8" a="1"/>
  <c r="G1222" i="8" a="1"/>
  <c r="I1177" i="8" a="1"/>
  <c r="H1101" i="8" a="1"/>
  <c r="H1145" i="8" a="1"/>
  <c r="N952" i="8" a="1"/>
  <c r="E1390" i="8" a="1"/>
  <c r="K1210" i="8" a="1"/>
  <c r="L1200" i="8" a="1"/>
  <c r="G1096" i="8" a="1"/>
  <c r="E984" i="8" a="1"/>
  <c r="K1374" i="8" a="1"/>
  <c r="F1392" i="8" a="1"/>
  <c r="K1277" i="8" a="1"/>
  <c r="E1115" i="8" a="1"/>
  <c r="J1064" i="8" a="1"/>
  <c r="M1521" i="8" a="1"/>
  <c r="N1472" i="8" a="1"/>
  <c r="K1423" i="8" a="1"/>
  <c r="M1261" i="8" a="1"/>
  <c r="L1262" i="8" a="1"/>
  <c r="J1236" i="8" a="1"/>
  <c r="M1077" i="8" a="1"/>
  <c r="I1092" i="8" a="1"/>
  <c r="M1038" i="8" a="1"/>
  <c r="I1405" i="8" a="1"/>
  <c r="G1323" i="8" a="1"/>
  <c r="N1246" i="8" a="1"/>
  <c r="J1173" i="8" a="1"/>
  <c r="M1144" i="8" a="1"/>
  <c r="I1110" i="8" a="1"/>
  <c r="E1147" i="8" a="1"/>
  <c r="K1030" i="8" a="1"/>
  <c r="J993" i="8" a="1"/>
  <c r="G1510" i="8" a="1"/>
  <c r="E1403" i="8" a="1"/>
  <c r="M1337" i="8" a="1"/>
  <c r="I1248" i="8" a="1"/>
  <c r="I1181" i="8" a="1"/>
  <c r="H1201" i="8" a="1"/>
  <c r="J1028" i="8" a="1"/>
  <c r="F1419" i="8" a="1"/>
  <c r="E1355" i="8" a="1"/>
  <c r="L1401" i="8" a="1"/>
  <c r="K1252" i="8" a="1"/>
  <c r="I1185" i="8" a="1"/>
  <c r="H1149" i="8" a="1"/>
  <c r="N1417" i="8" a="1"/>
  <c r="I1265" i="8" a="1"/>
  <c r="I1155" i="8" a="1"/>
  <c r="H1089" i="8" a="1"/>
  <c r="M1000" i="8" a="1"/>
  <c r="L884" i="8" a="1"/>
  <c r="L1124" i="8" a="1"/>
  <c r="O1249" i="8" a="1"/>
  <c r="H1093" i="8" a="1"/>
  <c r="N1476" i="8" a="1"/>
  <c r="K1454" i="8" a="1"/>
  <c r="H1427" i="8" a="1"/>
  <c r="J1408" i="8" a="1"/>
  <c r="K1416" i="8" a="1"/>
  <c r="F1324" i="8" a="1"/>
  <c r="J1356" i="8" a="1"/>
  <c r="K1137" i="8" a="1"/>
  <c r="E989" i="8" a="1"/>
  <c r="I1509" i="8" a="1"/>
  <c r="O1420" i="8" a="1"/>
  <c r="G1372" i="8" a="1"/>
  <c r="N1157" i="8" a="1"/>
  <c r="J1069" i="8" a="1"/>
  <c r="L1005" i="8" a="1"/>
  <c r="M1410" i="8" a="1"/>
  <c r="M1431" i="8" a="1"/>
  <c r="N1258" i="8" a="1"/>
  <c r="K1193" i="8" a="1"/>
  <c r="M1127" i="8" a="1"/>
  <c r="H1047" i="8" a="1"/>
  <c r="F1063" i="8" a="1"/>
  <c r="M767" i="8" a="1"/>
  <c r="O719" i="8" a="1"/>
  <c r="G694" i="8" a="1"/>
  <c r="I432" i="8" a="1"/>
  <c r="L972" i="8" a="1"/>
  <c r="N722" i="8" a="1"/>
  <c r="E564" i="8" a="1"/>
  <c r="L300" i="8" a="1"/>
  <c r="J258" i="8" a="1"/>
  <c r="J602" i="8" a="1"/>
  <c r="F158" i="8" a="1"/>
  <c r="H817" i="8" a="1"/>
  <c r="G873" i="8" a="1"/>
  <c r="E949" i="8" a="1"/>
  <c r="O918" i="8" a="1"/>
  <c r="F851" i="8" a="1"/>
  <c r="N793" i="8" a="1"/>
  <c r="I771" i="8" a="1"/>
  <c r="N521" i="8" a="1"/>
  <c r="L455" i="8" a="1"/>
  <c r="G927" i="8" a="1"/>
  <c r="E753" i="8" a="1"/>
  <c r="M629" i="8" a="1"/>
  <c r="L683" i="8" a="1"/>
  <c r="H499" i="8" a="1"/>
  <c r="H891" i="8" a="1"/>
  <c r="E858" i="8" a="1"/>
  <c r="L624" i="8" a="1"/>
  <c r="F934" i="8" a="1"/>
  <c r="L826" i="8" a="1"/>
  <c r="N690" i="8" a="1"/>
  <c r="J763" i="8" a="1"/>
  <c r="K554" i="8" a="1"/>
  <c r="L423" i="8" a="1"/>
  <c r="E392" i="8" a="1"/>
  <c r="G621" i="8" a="1"/>
  <c r="G496" i="8" a="1"/>
  <c r="M815" i="8" a="1"/>
  <c r="I895" i="8" a="1"/>
  <c r="L924" i="8" a="1"/>
  <c r="N888" i="8" a="1"/>
  <c r="L522" i="8" a="1"/>
  <c r="H464" i="8" a="1"/>
  <c r="F426" i="8" a="1"/>
  <c r="O326" i="8" a="1"/>
  <c r="L911" i="8" a="1"/>
  <c r="K687" i="8" a="1"/>
  <c r="N390" i="8" a="1"/>
  <c r="N293" i="8" a="1"/>
  <c r="I785" i="8" a="1"/>
  <c r="J799" i="8" a="1"/>
  <c r="O661" i="8" a="1"/>
  <c r="O399" i="8" a="1"/>
  <c r="F854" i="8" a="1"/>
  <c r="K1345" i="8" a="1"/>
  <c r="J389" i="8" a="1"/>
  <c r="O817" i="8" a="1"/>
  <c r="F949" i="8" a="1"/>
  <c r="K934" i="8" a="1"/>
  <c r="N924" i="8" a="1"/>
  <c r="I706" i="8" a="1"/>
  <c r="L661" i="8" a="1"/>
  <c r="K1658" i="8" a="1"/>
  <c r="E1678" i="8" a="1"/>
  <c r="H1578" i="8" a="1"/>
  <c r="E1516" i="8" a="1"/>
  <c r="N1674" i="8" a="1"/>
  <c r="E1645" i="8" a="1"/>
  <c r="I1525" i="8" a="1"/>
  <c r="O1352" i="8" a="1"/>
  <c r="J1546" i="8" a="1"/>
  <c r="F1539" i="8" a="1"/>
  <c r="J1511" i="8" a="1"/>
  <c r="M1673" i="8" a="1"/>
  <c r="G1636" i="8" a="1"/>
  <c r="O1639" i="8" a="1"/>
  <c r="G1646" i="8" a="1"/>
  <c r="H1358" i="8" a="1"/>
  <c r="H1490" i="8" a="1"/>
  <c r="F1647" i="8" a="1"/>
  <c r="K1531" i="8" a="1"/>
  <c r="K1623" i="8" a="1"/>
  <c r="J1642" i="8" a="1"/>
  <c r="E1532" i="8" a="1"/>
  <c r="K1594" i="8" a="1"/>
  <c r="N1633" i="8" a="1"/>
  <c r="N1452" i="8" a="1"/>
  <c r="M1367" i="8" a="1"/>
  <c r="J1569" i="8" a="1"/>
  <c r="M1625" i="8" a="1"/>
  <c r="H1533" i="8" a="1"/>
  <c r="M1457" i="8" a="1"/>
  <c r="M1608" i="8" a="1"/>
  <c r="F1570" i="8" a="1"/>
  <c r="H1548" i="8" a="1"/>
  <c r="K1619" i="8" a="1"/>
  <c r="I1586" i="8" a="1"/>
  <c r="M1329" i="8" a="1"/>
  <c r="J1618" i="8" a="1"/>
  <c r="M1596" i="8" a="1"/>
  <c r="H1494" i="8" a="1"/>
  <c r="E1611" i="8" a="1"/>
  <c r="G1561" i="8" a="1"/>
  <c r="J1652" i="8" a="1"/>
  <c r="G1583" i="8" a="1"/>
  <c r="H1562" i="8" a="1"/>
  <c r="L1460" i="8" a="1"/>
  <c r="O1340" i="8" a="1"/>
  <c r="J1253" i="8" a="1"/>
  <c r="G1189" i="8" a="1"/>
  <c r="K1112" i="8" a="1"/>
  <c r="L1399" i="8" a="1"/>
  <c r="M1306" i="8" a="1"/>
  <c r="K1369" i="8" a="1"/>
  <c r="F1285" i="8" a="1"/>
  <c r="O1311" i="8" a="1"/>
  <c r="F1231" i="8" a="1"/>
  <c r="G1031" i="8" a="1"/>
  <c r="I1087" i="8" a="1"/>
  <c r="E963" i="8" a="1"/>
  <c r="L977" i="8" a="1"/>
  <c r="O866" i="8" a="1"/>
  <c r="J1459" i="8" a="1"/>
  <c r="O1325" i="8" a="1"/>
  <c r="N1281" i="8" a="1"/>
  <c r="F1302" i="8" a="1"/>
  <c r="M1085" i="8" a="1"/>
  <c r="I1021" i="8" a="1"/>
  <c r="N962" i="8" a="1"/>
  <c r="K1487" i="8" a="1"/>
  <c r="L1449" i="8" a="1"/>
  <c r="F1278" i="8" a="1"/>
  <c r="F1061" i="8" a="1"/>
  <c r="N899" i="8" a="1"/>
  <c r="F1498" i="8" a="1"/>
  <c r="K1216" i="8" a="1"/>
  <c r="N1222" i="8" a="1"/>
  <c r="E1177" i="8" a="1"/>
  <c r="G1101" i="8" a="1"/>
  <c r="G1145" i="8" a="1"/>
  <c r="F952" i="8" a="1"/>
  <c r="L1390" i="8" a="1"/>
  <c r="J1210" i="8" a="1"/>
  <c r="M1200" i="8" a="1"/>
  <c r="K1015" i="8" a="1"/>
  <c r="K984" i="8" a="1"/>
  <c r="F1374" i="8" a="1"/>
  <c r="M1392" i="8" a="1"/>
  <c r="J1277" i="8" a="1"/>
  <c r="N1115" i="8" a="1"/>
  <c r="I1064" i="8" a="1"/>
  <c r="E1521" i="8" a="1"/>
  <c r="M1472" i="8" a="1"/>
  <c r="J1423" i="8" a="1"/>
  <c r="E1261" i="8" a="1"/>
  <c r="N1263" i="8" a="1"/>
  <c r="H1236" i="8" a="1"/>
  <c r="I1077" i="8" a="1"/>
  <c r="H1092" i="8" a="1"/>
  <c r="I1038" i="8" a="1"/>
  <c r="H1405" i="8" a="1"/>
  <c r="O1323" i="8" a="1"/>
  <c r="F1246" i="8" a="1"/>
  <c r="I1173" i="8" a="1"/>
  <c r="E1144" i="8" a="1"/>
  <c r="L1110" i="8" a="1"/>
  <c r="J1053" i="8" a="1"/>
  <c r="E1030" i="8" a="1"/>
  <c r="I993" i="8" a="1"/>
  <c r="F1510" i="8" a="1"/>
  <c r="M1403" i="8" a="1"/>
  <c r="E1337" i="8" a="1"/>
  <c r="H1248" i="8" a="1"/>
  <c r="H1181" i="8" a="1"/>
  <c r="G1201" i="8" a="1"/>
  <c r="I1028" i="8" a="1"/>
  <c r="M1419" i="8" a="1"/>
  <c r="N1385" i="8" a="1"/>
  <c r="K1401" i="8" a="1"/>
  <c r="J1252" i="8" a="1"/>
  <c r="H1185" i="8" a="1"/>
  <c r="L1149" i="8" a="1"/>
  <c r="M1417" i="8" a="1"/>
  <c r="H1265" i="8" a="1"/>
  <c r="H1155" i="8" a="1"/>
  <c r="I1089" i="8" a="1"/>
  <c r="E1000" i="8" a="1"/>
  <c r="H887" i="8" a="1"/>
  <c r="J1124" i="8" a="1"/>
  <c r="F1249" i="8" a="1"/>
  <c r="G1093" i="8" a="1"/>
  <c r="L1476" i="8" a="1"/>
  <c r="I1454" i="8" a="1"/>
  <c r="O1427" i="8" a="1"/>
  <c r="I1408" i="8" a="1"/>
  <c r="J1416" i="8" a="1"/>
  <c r="J1345" i="8" a="1"/>
  <c r="H1356" i="8" a="1"/>
  <c r="L1137" i="8" a="1"/>
  <c r="L989" i="8" a="1"/>
  <c r="E1509" i="8" a="1"/>
  <c r="G1420" i="8" a="1"/>
  <c r="F1372" i="8" a="1"/>
  <c r="L1157" i="8" a="1"/>
  <c r="I1069" i="8" a="1"/>
  <c r="K1005" i="8" a="1"/>
  <c r="G1464" i="8" a="1"/>
  <c r="K1410" i="8" a="1"/>
  <c r="L1431" i="8" a="1"/>
  <c r="F1258" i="8" a="1"/>
  <c r="J1193" i="8" a="1"/>
  <c r="L1127" i="8" a="1"/>
  <c r="O1047" i="8" a="1"/>
  <c r="M1063" i="8" a="1"/>
  <c r="E767" i="8" a="1"/>
  <c r="O784" i="8" a="1"/>
  <c r="N719" i="8" a="1"/>
  <c r="E694" i="8" a="1"/>
  <c r="K432" i="8" a="1"/>
  <c r="H972" i="8" a="1"/>
  <c r="H794" i="8" a="1"/>
  <c r="K722" i="8" a="1"/>
  <c r="J564" i="8" a="1"/>
  <c r="K300" i="8" a="1"/>
  <c r="O602" i="8" a="1"/>
  <c r="M158" i="8" a="1"/>
  <c r="E817" i="8" a="1"/>
  <c r="I958" i="8" a="1"/>
  <c r="E873" i="8" a="1"/>
  <c r="N949" i="8" a="1"/>
  <c r="K918" i="8" a="1"/>
  <c r="E851" i="8" a="1"/>
  <c r="F793" i="8" a="1"/>
  <c r="F521" i="8" a="1"/>
  <c r="I455" i="8" a="1"/>
  <c r="I927" i="8" a="1"/>
  <c r="L753" i="8" a="1"/>
  <c r="L629" i="8" a="1"/>
  <c r="K683" i="8" a="1"/>
  <c r="O499" i="8" a="1"/>
  <c r="L327" i="8" a="1"/>
  <c r="G891" i="8" a="1"/>
  <c r="O858" i="8" a="1"/>
  <c r="I624" i="8" a="1"/>
  <c r="M934" i="8" a="1"/>
  <c r="H826" i="8" a="1"/>
  <c r="F690" i="8" a="1"/>
  <c r="H763" i="8" a="1"/>
  <c r="I554" i="8" a="1"/>
  <c r="I423" i="8" a="1"/>
  <c r="L392" i="8" a="1"/>
  <c r="F621" i="8" a="1"/>
  <c r="F496" i="8" a="1"/>
  <c r="E815" i="8" a="1"/>
  <c r="H895" i="8" a="1"/>
  <c r="K924" i="8" a="1"/>
  <c r="L888" i="8" a="1"/>
  <c r="K522" i="8" a="1"/>
  <c r="L426" i="8" a="1"/>
  <c r="L326" i="8" a="1"/>
  <c r="I911" i="8" a="1"/>
  <c r="L706" i="8" a="1"/>
  <c r="J687" i="8" a="1"/>
  <c r="I390" i="8" a="1"/>
  <c r="M293" i="8" a="1"/>
  <c r="J870" i="8" a="1"/>
  <c r="H785" i="8" a="1"/>
  <c r="O799" i="8" a="1"/>
  <c r="G661" i="8" a="1"/>
  <c r="G399" i="8" a="1"/>
  <c r="M854" i="8" a="1"/>
  <c r="O767" i="8" a="1"/>
  <c r="I794" i="8" a="1"/>
  <c r="M530" i="8" a="1"/>
  <c r="I499" i="8" a="1"/>
  <c r="F392" i="8" a="1"/>
  <c r="O426" i="8" a="1"/>
  <c r="F799" i="8" a="1"/>
  <c r="O1555" i="8" a="1"/>
  <c r="L1658" i="8" a="1"/>
  <c r="L1678" i="8" a="1"/>
  <c r="E1578" i="8" a="1"/>
  <c r="O1516" i="8" a="1"/>
  <c r="F1674" i="8" a="1"/>
  <c r="J1645" i="8" a="1"/>
  <c r="O1525" i="8" a="1"/>
  <c r="M1352" i="8" a="1"/>
  <c r="N1546" i="8" a="1"/>
  <c r="M1539" i="8" a="1"/>
  <c r="J1497" i="8" a="1"/>
  <c r="E1673" i="8" a="1"/>
  <c r="N1636" i="8" a="1"/>
  <c r="G1639" i="8" a="1"/>
  <c r="F1646" i="8" a="1"/>
  <c r="O1358" i="8" a="1"/>
  <c r="M1490" i="8" a="1"/>
  <c r="M1647" i="8" a="1"/>
  <c r="I1531" i="8" a="1"/>
  <c r="O1623" i="8" a="1"/>
  <c r="H1642" i="8" a="1"/>
  <c r="O1404" i="8" a="1"/>
  <c r="M1594" i="8" a="1"/>
  <c r="M1633" i="8" a="1"/>
  <c r="L1452" i="8" a="1"/>
  <c r="J1367" i="8" a="1"/>
  <c r="G1569" i="8" a="1"/>
  <c r="I1625" i="8" a="1"/>
  <c r="G1533" i="8" a="1"/>
  <c r="E1457" i="8" a="1"/>
  <c r="E1608" i="8" a="1"/>
  <c r="J1570" i="8" a="1"/>
  <c r="M1520" i="8" a="1"/>
  <c r="G1619" i="8" a="1"/>
  <c r="F1586" i="8" a="1"/>
  <c r="E1329" i="8" a="1"/>
  <c r="H1618" i="8" a="1"/>
  <c r="E1596" i="8" a="1"/>
  <c r="F1494" i="8" a="1"/>
  <c r="H1611" i="8" a="1"/>
  <c r="O1561" i="8" a="1"/>
  <c r="I1652" i="8" a="1"/>
  <c r="O1583" i="8" a="1"/>
  <c r="J1479" i="8" a="1"/>
  <c r="K1460" i="8" a="1"/>
  <c r="J1340" i="8" a="1"/>
  <c r="I1253" i="8" a="1"/>
  <c r="O1189" i="8" a="1"/>
  <c r="J1112" i="8" a="1"/>
  <c r="K1399" i="8" a="1"/>
  <c r="E1306" i="8" a="1"/>
  <c r="I1369" i="8" a="1"/>
  <c r="N1230" i="8" a="1"/>
  <c r="G1311" i="8" a="1"/>
  <c r="E1231" i="8" a="1"/>
  <c r="F1031" i="8" a="1"/>
  <c r="H1087" i="8" a="1"/>
  <c r="O963" i="8" a="1"/>
  <c r="J977" i="8" a="1"/>
  <c r="G866" i="8" a="1"/>
  <c r="O1459" i="8" a="1"/>
  <c r="G1325" i="8" a="1"/>
  <c r="F1281" i="8" a="1"/>
  <c r="H1251" i="8" a="1"/>
  <c r="K1085" i="8" a="1"/>
  <c r="H1021" i="8" a="1"/>
  <c r="F962" i="8" a="1"/>
  <c r="N1487" i="8" a="1"/>
  <c r="K1449" i="8" a="1"/>
  <c r="M1278" i="8" a="1"/>
  <c r="M1061" i="8" a="1"/>
  <c r="F899" i="8" a="1"/>
  <c r="N1498" i="8" a="1"/>
  <c r="L1217" i="8" a="1"/>
  <c r="F1222" i="8" a="1"/>
  <c r="L1177" i="8" a="1"/>
  <c r="E1101" i="8" a="1"/>
  <c r="F1145" i="8" a="1"/>
  <c r="L952" i="8" a="1"/>
  <c r="N1390" i="8" a="1"/>
  <c r="I1210" i="8" a="1"/>
  <c r="K1200" i="8" a="1"/>
  <c r="H1015" i="8" a="1"/>
  <c r="I984" i="8" a="1"/>
  <c r="I1383" i="8" a="1"/>
  <c r="E1392" i="8" a="1"/>
  <c r="H1277" i="8" a="1"/>
  <c r="M1115" i="8" a="1"/>
  <c r="G1064" i="8" a="1"/>
  <c r="O1521" i="8" a="1"/>
  <c r="L1472" i="8" a="1"/>
  <c r="I1423" i="8" a="1"/>
  <c r="L1261" i="8" a="1"/>
  <c r="F1263" i="8" a="1"/>
  <c r="N1236" i="8" a="1"/>
  <c r="L1118" i="8" a="1"/>
  <c r="G1092" i="8" a="1"/>
  <c r="H1038" i="8" a="1"/>
  <c r="G1405" i="8" a="1"/>
  <c r="M1323" i="8" a="1"/>
  <c r="I1246" i="8" a="1"/>
  <c r="O1173" i="8" a="1"/>
  <c r="K1144" i="8" a="1"/>
  <c r="K1110" i="8" a="1"/>
  <c r="I1053" i="8" a="1"/>
  <c r="M1030" i="8" a="1"/>
  <c r="N1538" i="8" a="1"/>
  <c r="E1510" i="8" a="1"/>
  <c r="L1403" i="8" a="1"/>
  <c r="K1337" i="8" a="1"/>
  <c r="G1248" i="8" a="1"/>
  <c r="K1181" i="8" a="1"/>
  <c r="F1201" i="8" a="1"/>
  <c r="N1028" i="8" a="1"/>
  <c r="E1419" i="8" a="1"/>
  <c r="F1385" i="8" a="1"/>
  <c r="I1401" i="8" a="1"/>
  <c r="K1169" i="8" a="1"/>
  <c r="G1185" i="8" a="1"/>
  <c r="I1149" i="8" a="1"/>
  <c r="F1417" i="8" a="1"/>
  <c r="O1265" i="8" a="1"/>
  <c r="G1155" i="8" a="1"/>
  <c r="F1089" i="8" a="1"/>
  <c r="L1000" i="8" a="1"/>
  <c r="K887" i="8" a="1"/>
  <c r="G1124" i="8" a="1"/>
  <c r="I1098" i="8" a="1"/>
  <c r="N1093" i="8" a="1"/>
  <c r="K1476" i="8" a="1"/>
  <c r="H1454" i="8" a="1"/>
  <c r="N1427" i="8" a="1"/>
  <c r="H1408" i="8" a="1"/>
  <c r="I1416" i="8" a="1"/>
  <c r="I1345" i="8" a="1"/>
  <c r="G1356" i="8" a="1"/>
  <c r="K989" i="8" a="1"/>
  <c r="N1509" i="8" a="1"/>
  <c r="E1420" i="8" a="1"/>
  <c r="N1372" i="8" a="1"/>
  <c r="K1157" i="8" a="1"/>
  <c r="O1069" i="8" a="1"/>
  <c r="J1005" i="8" a="1"/>
  <c r="O1464" i="8" a="1"/>
  <c r="J1410" i="8" a="1"/>
  <c r="J1426" i="8" a="1"/>
  <c r="L1258" i="8" a="1"/>
  <c r="M1193" i="8" a="1"/>
  <c r="K1127" i="8" a="1"/>
  <c r="G1047" i="8" a="1"/>
  <c r="L1063" i="8" a="1"/>
  <c r="L767" i="8" a="1"/>
  <c r="G784" i="8" a="1"/>
  <c r="H693" i="8" a="1"/>
  <c r="O694" i="8" a="1"/>
  <c r="J432" i="8" a="1"/>
  <c r="O972" i="8" a="1"/>
  <c r="O794" i="8" a="1"/>
  <c r="M716" i="8" a="1"/>
  <c r="G564" i="8" a="1"/>
  <c r="I300" i="8" a="1"/>
  <c r="I191" i="8" a="1"/>
  <c r="G602" i="8" a="1"/>
  <c r="E158" i="8" a="1"/>
  <c r="M958" i="8" a="1"/>
  <c r="M949" i="8" a="1"/>
  <c r="I918" i="8" a="1"/>
  <c r="N851" i="8" a="1"/>
  <c r="K793" i="8" a="1"/>
  <c r="M521" i="8" a="1"/>
  <c r="E455" i="8" a="1"/>
  <c r="H927" i="8" a="1"/>
  <c r="H753" i="8" a="1"/>
  <c r="K629" i="8" a="1"/>
  <c r="J683" i="8" a="1"/>
  <c r="G499" i="8" a="1"/>
  <c r="K327" i="8" a="1"/>
  <c r="F891" i="8" a="1"/>
  <c r="N858" i="8" a="1"/>
  <c r="N624" i="8" a="1"/>
  <c r="E934" i="8" a="1"/>
  <c r="J826" i="8" a="1"/>
  <c r="L690" i="8" a="1"/>
  <c r="F554" i="8" a="1"/>
  <c r="F423" i="8" a="1"/>
  <c r="J392" i="8" a="1"/>
  <c r="N621" i="8" a="1"/>
  <c r="E496" i="8" a="1"/>
  <c r="J815" i="8" a="1"/>
  <c r="G895" i="8" a="1"/>
  <c r="I924" i="8" a="1"/>
  <c r="K888" i="8" a="1"/>
  <c r="H522" i="8" a="1"/>
  <c r="K456" i="8" a="1"/>
  <c r="J326" i="8" a="1"/>
  <c r="H911" i="8" a="1"/>
  <c r="H706" i="8" a="1"/>
  <c r="F390" i="8" a="1"/>
  <c r="K293" i="8" a="1"/>
  <c r="I870" i="8" a="1"/>
  <c r="L762" i="8" a="1"/>
  <c r="G799" i="8" a="1"/>
  <c r="M661" i="8" a="1"/>
  <c r="N399" i="8" a="1"/>
  <c r="L854" i="8" a="1"/>
  <c r="E1157" i="8" a="1"/>
  <c r="H564" i="8" a="1"/>
  <c r="I873" i="8" a="1"/>
  <c r="K753" i="8" a="1"/>
  <c r="L895" i="8" a="1"/>
  <c r="H687" i="8" a="1"/>
  <c r="K855" i="8" a="1"/>
  <c r="G1555" i="8" a="1"/>
  <c r="J1658" i="8" a="1"/>
  <c r="I1677" i="8" a="1"/>
  <c r="N1578" i="8" a="1"/>
  <c r="M1516" i="8" a="1"/>
  <c r="M1674" i="8" a="1"/>
  <c r="K1645" i="8" a="1"/>
  <c r="G1525" i="8" a="1"/>
  <c r="L1352" i="8" a="1"/>
  <c r="E1546" i="8" a="1"/>
  <c r="L1539" i="8" a="1"/>
  <c r="I1497" i="8" a="1"/>
  <c r="L1673" i="8" a="1"/>
  <c r="I1630" i="8" a="1"/>
  <c r="N1639" i="8" a="1"/>
  <c r="E1646" i="8" a="1"/>
  <c r="G1358" i="8" a="1"/>
  <c r="N1490" i="8" a="1"/>
  <c r="E1647" i="8" a="1"/>
  <c r="M1531" i="8" a="1"/>
  <c r="G1623" i="8" a="1"/>
  <c r="G1642" i="8" a="1"/>
  <c r="F1404" i="8" a="1"/>
  <c r="L1594" i="8" a="1"/>
  <c r="G1500" i="8" a="1"/>
  <c r="J1452" i="8" a="1"/>
  <c r="K1367" i="8" a="1"/>
  <c r="H1569" i="8" a="1"/>
  <c r="F1625" i="8" a="1"/>
  <c r="O1533" i="8" a="1"/>
  <c r="L1457" i="8" a="1"/>
  <c r="K1608" i="8" a="1"/>
  <c r="E1570" i="8" a="1"/>
  <c r="E1520" i="8" a="1"/>
  <c r="F1619" i="8" a="1"/>
  <c r="J1590" i="8" a="1"/>
  <c r="N1329" i="8" a="1"/>
  <c r="O1618" i="8" a="1"/>
  <c r="F1596" i="8" a="1"/>
  <c r="J1494" i="8" a="1"/>
  <c r="L1611" i="8" a="1"/>
  <c r="M1561" i="8" a="1"/>
  <c r="O1652" i="8" a="1"/>
  <c r="N1583" i="8" a="1"/>
  <c r="I1479" i="8" a="1"/>
  <c r="J1460" i="8" a="1"/>
  <c r="L1243" i="8" a="1"/>
  <c r="H1253" i="8" a="1"/>
  <c r="J1189" i="8" a="1"/>
  <c r="N1112" i="8" a="1"/>
  <c r="J1399" i="8" a="1"/>
  <c r="K1306" i="8" a="1"/>
  <c r="O1369" i="8" a="1"/>
  <c r="F1230" i="8" a="1"/>
  <c r="N1311" i="8" a="1"/>
  <c r="O1170" i="8" a="1"/>
  <c r="N1031" i="8" a="1"/>
  <c r="E1087" i="8" a="1"/>
  <c r="N963" i="8" a="1"/>
  <c r="I977" i="8" a="1"/>
  <c r="N866" i="8" a="1"/>
  <c r="I1459" i="8" a="1"/>
  <c r="M1325" i="8" a="1"/>
  <c r="M1281" i="8" a="1"/>
  <c r="N1251" i="8" a="1"/>
  <c r="J1085" i="8" a="1"/>
  <c r="J962" i="8" a="1"/>
  <c r="J1487" i="8" a="1"/>
  <c r="I1449" i="8" a="1"/>
  <c r="E1278" i="8" a="1"/>
  <c r="E1061" i="8" a="1"/>
  <c r="O899" i="8" a="1"/>
  <c r="H1498" i="8" a="1"/>
  <c r="K1217" i="8" a="1"/>
  <c r="M1222" i="8" a="1"/>
  <c r="I1120" i="8" a="1"/>
  <c r="I1101" i="8" a="1"/>
  <c r="N1145" i="8" a="1"/>
  <c r="K952" i="8" a="1"/>
  <c r="K1390" i="8" a="1"/>
  <c r="O1210" i="8" a="1"/>
  <c r="G1200" i="8" a="1"/>
  <c r="J1015" i="8" a="1"/>
  <c r="H984" i="8" a="1"/>
  <c r="H1383" i="8" a="1"/>
  <c r="L1392" i="8" a="1"/>
  <c r="K1178" i="8" a="1"/>
  <c r="L1115" i="8" a="1"/>
  <c r="F1064" i="8" a="1"/>
  <c r="N1521" i="8" a="1"/>
  <c r="K1472" i="8" a="1"/>
  <c r="H1423" i="8" a="1"/>
  <c r="J1261" i="8" a="1"/>
  <c r="L1263" i="8" a="1"/>
  <c r="I1236" i="8" a="1"/>
  <c r="J1118" i="8" a="1"/>
  <c r="E1092" i="8" a="1"/>
  <c r="J1413" i="8" a="1"/>
  <c r="O1405" i="8" a="1"/>
  <c r="L1323" i="8" a="1"/>
  <c r="G1246" i="8" a="1"/>
  <c r="H1173" i="8" a="1"/>
  <c r="J1144" i="8" a="1"/>
  <c r="J1110" i="8" a="1"/>
  <c r="O1053" i="8" a="1"/>
  <c r="L1030" i="8" a="1"/>
  <c r="F1538" i="8" a="1"/>
  <c r="N1510" i="8" a="1"/>
  <c r="J1393" i="8" a="1"/>
  <c r="I1337" i="8" a="1"/>
  <c r="F1248" i="8" a="1"/>
  <c r="G1181" i="8" a="1"/>
  <c r="E1201" i="8" a="1"/>
  <c r="F1028" i="8" a="1"/>
  <c r="L1419" i="8" a="1"/>
  <c r="M1385" i="8" a="1"/>
  <c r="H1401" i="8" a="1"/>
  <c r="J1169" i="8" a="1"/>
  <c r="E1185" i="8" a="1"/>
  <c r="K953" i="8" a="1"/>
  <c r="E1417" i="8" a="1"/>
  <c r="G1265" i="8" a="1"/>
  <c r="O1155" i="8" a="1"/>
  <c r="N1089" i="8" a="1"/>
  <c r="G1000" i="8" a="1"/>
  <c r="J887" i="8" a="1"/>
  <c r="F1124" i="8" a="1"/>
  <c r="M1098" i="8" a="1"/>
  <c r="L1025" i="8" a="1"/>
  <c r="M1476" i="8" a="1"/>
  <c r="F1454" i="8" a="1"/>
  <c r="G1427" i="8" a="1"/>
  <c r="G1408" i="8" a="1"/>
  <c r="H1416" i="8" a="1"/>
  <c r="H1345" i="8" a="1"/>
  <c r="F1356" i="8" a="1"/>
  <c r="J989" i="8" a="1"/>
  <c r="M1468" i="8" a="1"/>
  <c r="N1420" i="8" a="1"/>
  <c r="I1372" i="8" a="1"/>
  <c r="H1157" i="8" a="1"/>
  <c r="G1069" i="8" a="1"/>
  <c r="M1005" i="8" a="1"/>
  <c r="F1464" i="8" a="1"/>
  <c r="I1410" i="8" a="1"/>
  <c r="I1426" i="8" a="1"/>
  <c r="M1258" i="8" a="1"/>
  <c r="I1190" i="8" a="1"/>
  <c r="I1127" i="8" a="1"/>
  <c r="N1047" i="8" a="1"/>
  <c r="I1063" i="8" a="1"/>
  <c r="K767" i="8" a="1"/>
  <c r="N784" i="8" a="1"/>
  <c r="O693" i="8" a="1"/>
  <c r="K596" i="8" a="1"/>
  <c r="H432" i="8" a="1"/>
  <c r="G972" i="8" a="1"/>
  <c r="G794" i="8" a="1"/>
  <c r="E716" i="8" a="1"/>
  <c r="G300" i="8" a="1"/>
  <c r="M191" i="8" a="1"/>
  <c r="M602" i="8" a="1"/>
  <c r="K158" i="8" a="1"/>
  <c r="H530" i="8" a="1"/>
  <c r="E958" i="8" a="1"/>
  <c r="L656" i="8" a="1"/>
  <c r="L949" i="8" a="1"/>
  <c r="G918" i="8" a="1"/>
  <c r="M851" i="8" a="1"/>
  <c r="H793" i="8" a="1"/>
  <c r="E521" i="8" a="1"/>
  <c r="F455" i="8" a="1"/>
  <c r="F927" i="8" a="1"/>
  <c r="E629" i="8" a="1"/>
  <c r="I683" i="8" a="1"/>
  <c r="N499" i="8" a="1"/>
  <c r="J327" i="8" a="1"/>
  <c r="O891" i="8" a="1"/>
  <c r="M858" i="8" a="1"/>
  <c r="E624" i="8" a="1"/>
  <c r="L934" i="8" a="1"/>
  <c r="I826" i="8" a="1"/>
  <c r="M690" i="8" a="1"/>
  <c r="E423" i="8" a="1"/>
  <c r="I392" i="8" a="1"/>
  <c r="E621" i="8" a="1"/>
  <c r="M422" i="8" a="1"/>
  <c r="I815" i="8" a="1"/>
  <c r="H922" i="8" a="1"/>
  <c r="H924" i="8" a="1"/>
  <c r="J888" i="8" a="1"/>
  <c r="G522" i="8" a="1"/>
  <c r="J456" i="8" a="1"/>
  <c r="G911" i="8" a="1"/>
  <c r="O706" i="8" a="1"/>
  <c r="J293" i="8" a="1"/>
  <c r="H870" i="8" a="1"/>
  <c r="K762" i="8" a="1"/>
  <c r="M855" i="8" a="1"/>
  <c r="N799" i="8" a="1"/>
  <c r="E661" i="8" a="1"/>
  <c r="F399" i="8" a="1"/>
  <c r="K854" i="8" a="1"/>
  <c r="L1324" i="8" a="1"/>
  <c r="L722" i="8" a="1"/>
  <c r="J357" i="8" a="1"/>
  <c r="G793" i="8" a="1"/>
  <c r="K496" i="8" a="1"/>
  <c r="E911" i="8" a="1"/>
  <c r="H587" i="8" a="1"/>
  <c r="N1555" i="8" a="1"/>
  <c r="E1658" i="8" a="1"/>
  <c r="H1677" i="8" a="1"/>
  <c r="M1578" i="8" a="1"/>
  <c r="L1527" i="8" a="1"/>
  <c r="E1674" i="8" a="1"/>
  <c r="L1645" i="8" a="1"/>
  <c r="N1525" i="8" a="1"/>
  <c r="E1352" i="8" a="1"/>
  <c r="M1546" i="8" a="1"/>
  <c r="K1539" i="8" a="1"/>
  <c r="H1497" i="8" a="1"/>
  <c r="K1673" i="8" a="1"/>
  <c r="H1630" i="8" a="1"/>
  <c r="F1639" i="8" a="1"/>
  <c r="I1529" i="8" a="1"/>
  <c r="M1358" i="8" a="1"/>
  <c r="J1490" i="8" a="1"/>
  <c r="L1647" i="8" a="1"/>
  <c r="L1531" i="8" a="1"/>
  <c r="N1623" i="8" a="1"/>
  <c r="F1642" i="8" a="1"/>
  <c r="N1404" i="8" a="1"/>
  <c r="I1594" i="8" a="1"/>
  <c r="F1500" i="8" a="1"/>
  <c r="I1452" i="8" a="1"/>
  <c r="J1668" i="8" a="1"/>
  <c r="F1569" i="8" a="1"/>
  <c r="E1625" i="8" a="1"/>
  <c r="F1533" i="8" a="1"/>
  <c r="K1457" i="8" a="1"/>
  <c r="J1608" i="8" a="1"/>
  <c r="L1570" i="8" a="1"/>
  <c r="L1520" i="8" a="1"/>
  <c r="O1619" i="8" a="1"/>
  <c r="O1590" i="8" a="1"/>
  <c r="L1329" i="8" a="1"/>
  <c r="I1603" i="8" a="1"/>
  <c r="K1596" i="8" a="1"/>
  <c r="G1494" i="8" a="1"/>
  <c r="G1611" i="8" a="1"/>
  <c r="E1561" i="8" a="1"/>
  <c r="G1652" i="8" a="1"/>
  <c r="F1583" i="8" a="1"/>
  <c r="H1479" i="8" a="1"/>
  <c r="G1460" i="8" a="1"/>
  <c r="J1243" i="8" a="1"/>
  <c r="G1253" i="8" a="1"/>
  <c r="O1112" i="8" a="1"/>
  <c r="M1399" i="8" a="1"/>
  <c r="H1306" i="8" a="1"/>
  <c r="J1369" i="8" a="1"/>
  <c r="E1230" i="8" a="1"/>
  <c r="L1311" i="8" a="1"/>
  <c r="G1170" i="8" a="1"/>
  <c r="M1031" i="8" a="1"/>
  <c r="M963" i="8" a="1"/>
  <c r="K977" i="8" a="1"/>
  <c r="F866" i="8" a="1"/>
  <c r="H1459" i="8" a="1"/>
  <c r="E1325" i="8" a="1"/>
  <c r="L1281" i="8" a="1"/>
  <c r="F1251" i="8" a="1"/>
  <c r="I1085" i="8" a="1"/>
  <c r="I962" i="8" a="1"/>
  <c r="H1447" i="8" a="1"/>
  <c r="J1449" i="8" a="1"/>
  <c r="L1278" i="8" a="1"/>
  <c r="K1061" i="8" a="1"/>
  <c r="M899" i="8" a="1"/>
  <c r="G1498" i="8" a="1"/>
  <c r="J1217" i="8" a="1"/>
  <c r="E1222" i="8" a="1"/>
  <c r="O1120" i="8" a="1"/>
  <c r="O1101" i="8" a="1"/>
  <c r="N944" i="8" a="1"/>
  <c r="I952" i="8" a="1"/>
  <c r="F1390" i="8" a="1"/>
  <c r="G1210" i="8" a="1"/>
  <c r="E1200" i="8" a="1"/>
  <c r="I1015" i="8" a="1"/>
  <c r="O984" i="8" a="1"/>
  <c r="O1383" i="8" a="1"/>
  <c r="J1392" i="8" a="1"/>
  <c r="I1178" i="8" a="1"/>
  <c r="K1115" i="8" a="1"/>
  <c r="N1013" i="8" a="1"/>
  <c r="L1521" i="8" a="1"/>
  <c r="J1472" i="8" a="1"/>
  <c r="O1423" i="8" a="1"/>
  <c r="H1261" i="8" a="1"/>
  <c r="K1263" i="8" a="1"/>
  <c r="G1236" i="8" a="1"/>
  <c r="I1118" i="8" a="1"/>
  <c r="O1092" i="8" a="1"/>
  <c r="I1413" i="8" a="1"/>
  <c r="N1405" i="8" a="1"/>
  <c r="N1247" i="8" a="1"/>
  <c r="E1246" i="8" a="1"/>
  <c r="G1173" i="8" a="1"/>
  <c r="O1144" i="8" a="1"/>
  <c r="G1110" i="8" a="1"/>
  <c r="G1053" i="8" a="1"/>
  <c r="J1030" i="8" a="1"/>
  <c r="M1538" i="8" a="1"/>
  <c r="M1510" i="8" a="1"/>
  <c r="I1393" i="8" a="1"/>
  <c r="J1337" i="8" a="1"/>
  <c r="J1168" i="8" a="1"/>
  <c r="E1181" i="8" a="1"/>
  <c r="O1201" i="8" a="1"/>
  <c r="L1028" i="8" a="1"/>
  <c r="K1419" i="8" a="1"/>
  <c r="E1385" i="8" a="1"/>
  <c r="O1401" i="8" a="1"/>
  <c r="I1169" i="8" a="1"/>
  <c r="O1185" i="8" a="1"/>
  <c r="I953" i="8" a="1"/>
  <c r="K1429" i="8" a="1"/>
  <c r="N1265" i="8" a="1"/>
  <c r="K1155" i="8" a="1"/>
  <c r="M1089" i="8" a="1"/>
  <c r="H1000" i="8" a="1"/>
  <c r="I887" i="8" a="1"/>
  <c r="O1124" i="8" a="1"/>
  <c r="E1098" i="8" a="1"/>
  <c r="I1025" i="8" a="1"/>
  <c r="I1444" i="8" a="1"/>
  <c r="E1454" i="8" a="1"/>
  <c r="F1427" i="8" a="1"/>
  <c r="F1408" i="8" a="1"/>
  <c r="G1416" i="8" a="1"/>
  <c r="O1345" i="8" a="1"/>
  <c r="O1356" i="8" a="1"/>
  <c r="H989" i="8" a="1"/>
  <c r="I1468" i="8" a="1"/>
  <c r="M1420" i="8" a="1"/>
  <c r="N1300" i="8" a="1"/>
  <c r="J1157" i="8" a="1"/>
  <c r="N1069" i="8" a="1"/>
  <c r="I1005" i="8" a="1"/>
  <c r="N1464" i="8" a="1"/>
  <c r="H1410" i="8" a="1"/>
  <c r="O1426" i="8" a="1"/>
  <c r="K1258" i="8" a="1"/>
  <c r="O1190" i="8" a="1"/>
  <c r="N1123" i="8" a="1"/>
  <c r="F1047" i="8" a="1"/>
  <c r="E1063" i="8" a="1"/>
  <c r="J767" i="8" a="1"/>
  <c r="F784" i="8" a="1"/>
  <c r="G693" i="8" a="1"/>
  <c r="H596" i="8" a="1"/>
  <c r="N389" i="8" a="1"/>
  <c r="K972" i="8" a="1"/>
  <c r="L794" i="8" a="1"/>
  <c r="I716" i="8" a="1"/>
  <c r="F300" i="8" a="1"/>
  <c r="E191" i="8" a="1"/>
  <c r="E602" i="8" a="1"/>
  <c r="K359" i="8" a="1"/>
  <c r="J158" i="8" a="1"/>
  <c r="O530" i="8" a="1"/>
  <c r="N357" i="8" a="1"/>
  <c r="L958" i="8" a="1"/>
  <c r="K656" i="8" a="1"/>
  <c r="K949" i="8" a="1"/>
  <c r="J851" i="8" a="1"/>
  <c r="M793" i="8" a="1"/>
  <c r="L521" i="8" a="1"/>
  <c r="N927" i="8" a="1"/>
  <c r="H683" i="8" a="1"/>
  <c r="F499" i="8" a="1"/>
  <c r="I327" i="8" a="1"/>
  <c r="N891" i="8" a="1"/>
  <c r="M624" i="8" a="1"/>
  <c r="J934" i="8" a="1"/>
  <c r="G826" i="8" a="1"/>
  <c r="K690" i="8" a="1"/>
  <c r="H392" i="8" a="1"/>
  <c r="M621" i="8" a="1"/>
  <c r="E422" i="8" a="1"/>
  <c r="O815" i="8" a="1"/>
  <c r="O922" i="8" a="1"/>
  <c r="O924" i="8" a="1"/>
  <c r="F522" i="8" a="1"/>
  <c r="I456" i="8" a="1"/>
  <c r="F911" i="8" a="1"/>
  <c r="N706" i="8" a="1"/>
  <c r="N870" i="8" a="1"/>
  <c r="J762" i="8" a="1"/>
  <c r="E855" i="8" a="1"/>
  <c r="L799" i="8" a="1"/>
  <c r="I730" i="8" a="1"/>
  <c r="J661" i="8" a="1"/>
  <c r="K399" i="8" a="1"/>
  <c r="I854" i="8" a="1"/>
  <c r="J503" i="8" a="1"/>
  <c r="F1420" i="8" a="1"/>
  <c r="H716" i="8" a="1"/>
  <c r="N359" i="8" a="1"/>
  <c r="N826" i="8" a="1"/>
  <c r="H818" i="8" a="1"/>
  <c r="L785" i="8" a="1"/>
  <c r="E475" i="8" a="1"/>
  <c r="E1555" i="8" a="1"/>
  <c r="O1658" i="8" a="1"/>
  <c r="O1677" i="8" a="1"/>
  <c r="K1578" i="8" a="1"/>
  <c r="H1527" i="8" a="1"/>
  <c r="L1674" i="8" a="1"/>
  <c r="O1541" i="8" a="1"/>
  <c r="M1525" i="8" a="1"/>
  <c r="G1352" i="8" a="1"/>
  <c r="K1546" i="8" a="1"/>
  <c r="E1539" i="8" a="1"/>
  <c r="N1497" i="8" a="1"/>
  <c r="J1673" i="8" a="1"/>
  <c r="F1630" i="8" a="1"/>
  <c r="K1639" i="8" a="1"/>
  <c r="H1529" i="8" a="1"/>
  <c r="E1358" i="8" a="1"/>
  <c r="H1589" i="8" a="1"/>
  <c r="K1647" i="8" a="1"/>
  <c r="J1531" i="8" a="1"/>
  <c r="F1623" i="8" a="1"/>
  <c r="E1642" i="8" a="1"/>
  <c r="E1404" i="8" a="1"/>
  <c r="G1594" i="8" a="1"/>
  <c r="E1500" i="8" a="1"/>
  <c r="H1452" i="8" a="1"/>
  <c r="I1668" i="8" a="1"/>
  <c r="E1569" i="8" a="1"/>
  <c r="M1575" i="8" a="1"/>
  <c r="L1533" i="8" a="1"/>
  <c r="J1457" i="8" a="1"/>
  <c r="O1608" i="8" a="1"/>
  <c r="N1570" i="8" a="1"/>
  <c r="K1520" i="8" a="1"/>
  <c r="N1619" i="8" a="1"/>
  <c r="G1590" i="8" a="1"/>
  <c r="F1329" i="8" a="1"/>
  <c r="J1603" i="8" a="1"/>
  <c r="I1596" i="8" a="1"/>
  <c r="H1535" i="8" a="1"/>
  <c r="O1611" i="8" a="1"/>
  <c r="I1561" i="8" a="1"/>
  <c r="L1652" i="8" a="1"/>
  <c r="E1583" i="8" a="1"/>
  <c r="N1479" i="8" a="1"/>
  <c r="F1460" i="8" a="1"/>
  <c r="I1243" i="8" a="1"/>
  <c r="F1253" i="8" a="1"/>
  <c r="L1112" i="8" a="1"/>
  <c r="N1029" i="8" a="1"/>
  <c r="E1399" i="8" a="1"/>
  <c r="F1306" i="8" a="1"/>
  <c r="H1369" i="8" a="1"/>
  <c r="M1230" i="8" a="1"/>
  <c r="J1311" i="8" a="1"/>
  <c r="K1170" i="8" a="1"/>
  <c r="L1031" i="8" a="1"/>
  <c r="K963" i="8" a="1"/>
  <c r="O931" i="8" a="1"/>
  <c r="L866" i="8" a="1"/>
  <c r="G1459" i="8" a="1"/>
  <c r="K1325" i="8" a="1"/>
  <c r="J1281" i="8" a="1"/>
  <c r="M1251" i="8" a="1"/>
  <c r="H1085" i="8" a="1"/>
  <c r="H962" i="8" a="1"/>
  <c r="N1447" i="8" a="1"/>
  <c r="H1449" i="8" a="1"/>
  <c r="J1061" i="8" a="1"/>
  <c r="L899" i="8" a="1"/>
  <c r="E1498" i="8" a="1"/>
  <c r="F1217" i="8" a="1"/>
  <c r="K1222" i="8" a="1"/>
  <c r="G1120" i="8" a="1"/>
  <c r="M1101" i="8" a="1"/>
  <c r="F944" i="8" a="1"/>
  <c r="H952" i="8" a="1"/>
  <c r="I1206" i="8" a="1"/>
  <c r="M1210" i="8" a="1"/>
  <c r="O1200" i="8" a="1"/>
  <c r="G1015" i="8" a="1"/>
  <c r="L984" i="8" a="1"/>
  <c r="G1383" i="8" a="1"/>
  <c r="I1392" i="8" a="1"/>
  <c r="O1178" i="8" a="1"/>
  <c r="J1115" i="8" a="1"/>
  <c r="F1013" i="8" a="1"/>
  <c r="K1521" i="8" a="1"/>
  <c r="K1384" i="8" a="1"/>
  <c r="G1423" i="8" a="1"/>
  <c r="K1261" i="8" a="1"/>
  <c r="J1263" i="8" a="1"/>
  <c r="F1236" i="8" a="1"/>
  <c r="O1118" i="8" a="1"/>
  <c r="M1092" i="8" a="1"/>
  <c r="H1413" i="8" a="1"/>
  <c r="E1405" i="8" a="1"/>
  <c r="F1247" i="8" a="1"/>
  <c r="L1246" i="8" a="1"/>
  <c r="K1194" i="8" a="1"/>
  <c r="L1144" i="8" a="1"/>
  <c r="O1110" i="8" a="1"/>
  <c r="N1053" i="8" a="1"/>
  <c r="I1030" i="8" a="1"/>
  <c r="L1538" i="8" a="1"/>
  <c r="L1510" i="8" a="1"/>
  <c r="H1393" i="8" a="1"/>
  <c r="G1337" i="8" a="1"/>
  <c r="N1168" i="8" a="1"/>
  <c r="M1181" i="8" a="1"/>
  <c r="L1134" i="8" a="1"/>
  <c r="H1028" i="8" a="1"/>
  <c r="J1419" i="8" a="1"/>
  <c r="L1385" i="8" a="1"/>
  <c r="G1401" i="8" a="1"/>
  <c r="H1169" i="8" a="1"/>
  <c r="N1185" i="8" a="1"/>
  <c r="H953" i="8" a="1"/>
  <c r="J1429" i="8" a="1"/>
  <c r="M1265" i="8" a="1"/>
  <c r="N1156" i="8" a="1"/>
  <c r="L1089" i="8" a="1"/>
  <c r="O1000" i="8" a="1"/>
  <c r="E887" i="8" a="1"/>
  <c r="M1124" i="8" a="1"/>
  <c r="L1098" i="8" a="1"/>
  <c r="H1025" i="8" a="1"/>
  <c r="G1444" i="8" a="1"/>
  <c r="O1454" i="8" a="1"/>
  <c r="N1443" i="8" a="1"/>
  <c r="O1408" i="8" a="1"/>
  <c r="E1416" i="8" a="1"/>
  <c r="G1345" i="8" a="1"/>
  <c r="N1356" i="8" a="1"/>
  <c r="G989" i="8" a="1"/>
  <c r="H1468" i="8" a="1"/>
  <c r="L1420" i="8" a="1"/>
  <c r="F1300" i="8" a="1"/>
  <c r="I1157" i="8" a="1"/>
  <c r="M1128" i="8" a="1"/>
  <c r="F1069" i="8" a="1"/>
  <c r="G1005" i="8" a="1"/>
  <c r="E1464" i="8" a="1"/>
  <c r="L1410" i="8" a="1"/>
  <c r="G1426" i="8" a="1"/>
  <c r="H1258" i="8" a="1"/>
  <c r="G1190" i="8" a="1"/>
  <c r="F1123" i="8" a="1"/>
  <c r="E1047" i="8" a="1"/>
  <c r="L1001" i="8" a="1"/>
  <c r="I767" i="8" a="1"/>
  <c r="K784" i="8" a="1"/>
  <c r="N693" i="8" a="1"/>
  <c r="N596" i="8" a="1"/>
  <c r="F389" i="8" a="1"/>
  <c r="J972" i="8" a="1"/>
  <c r="K794" i="8" a="1"/>
  <c r="L716" i="8" a="1"/>
  <c r="L360" i="8" a="1"/>
  <c r="O300" i="8" a="1"/>
  <c r="L191" i="8" a="1"/>
  <c r="N602" i="8" a="1"/>
  <c r="J359" i="8" a="1"/>
  <c r="I158" i="8" a="1"/>
  <c r="G530" i="8" a="1"/>
  <c r="F357" i="8" a="1"/>
  <c r="K958" i="8" a="1"/>
  <c r="J656" i="8" a="1"/>
  <c r="H949" i="8" a="1"/>
  <c r="L793" i="8" a="1"/>
  <c r="K521" i="8" a="1"/>
  <c r="K927" i="8" a="1"/>
  <c r="M499" i="8" a="1"/>
  <c r="O327" i="8" a="1"/>
  <c r="L891" i="8" a="1"/>
  <c r="K624" i="8" a="1"/>
  <c r="I934" i="8" a="1"/>
  <c r="F826" i="8" a="1"/>
  <c r="J690" i="8" a="1"/>
  <c r="O392" i="8" a="1"/>
  <c r="L621" i="8" a="1"/>
  <c r="K422" i="8" a="1"/>
  <c r="L818" i="8" a="1"/>
  <c r="G815" i="8" a="1"/>
  <c r="G922" i="8" a="1"/>
  <c r="G924" i="8" a="1"/>
  <c r="E522" i="8" a="1"/>
  <c r="H456" i="8" a="1"/>
  <c r="O911" i="8" a="1"/>
  <c r="M706" i="8" a="1"/>
  <c r="F870" i="8" a="1"/>
  <c r="I762" i="8" a="1"/>
  <c r="I855" i="8" a="1"/>
  <c r="K799" i="8" a="1"/>
  <c r="H730" i="8" a="1"/>
  <c r="K661" i="8" a="1"/>
  <c r="L587" i="8" a="1"/>
  <c r="J399" i="8" a="1"/>
  <c r="G854" i="8" a="1"/>
  <c r="I503" i="8" a="1"/>
  <c r="J475" i="8" a="1"/>
  <c r="J1300" i="8" a="1"/>
  <c r="M596" i="8" a="1"/>
  <c r="G360" i="8" a="1"/>
  <c r="N656" i="8" a="1"/>
  <c r="G763" i="8" a="1"/>
  <c r="K815" i="8" a="1"/>
  <c r="M456" i="8" a="1"/>
  <c r="E730" i="8" a="1"/>
  <c r="L1555" i="8" a="1"/>
  <c r="M1658" i="8" a="1"/>
  <c r="G1677" i="8" a="1"/>
  <c r="J1578" i="8" a="1"/>
  <c r="G1527" i="8" a="1"/>
  <c r="K1674" i="8" a="1"/>
  <c r="G1541" i="8" a="1"/>
  <c r="L1525" i="8" a="1"/>
  <c r="J1655" i="8" a="1"/>
  <c r="G1546" i="8" a="1"/>
  <c r="N1539" i="8" a="1"/>
  <c r="F1497" i="8" a="1"/>
  <c r="I1673" i="8" a="1"/>
  <c r="O1630" i="8" a="1"/>
  <c r="L1639" i="8" a="1"/>
  <c r="G1529" i="8" a="1"/>
  <c r="K1358" i="8" a="1"/>
  <c r="M1589" i="8" a="1"/>
  <c r="J1647" i="8" a="1"/>
  <c r="K1587" i="8" a="1"/>
  <c r="M1623" i="8" a="1"/>
  <c r="N1642" i="8" a="1"/>
  <c r="M1404" i="8" a="1"/>
  <c r="O1594" i="8" a="1"/>
  <c r="O1500" i="8" a="1"/>
  <c r="G1452" i="8" a="1"/>
  <c r="O1668" i="8" a="1"/>
  <c r="O1569" i="8" a="1"/>
  <c r="E1575" i="8" a="1"/>
  <c r="J1533" i="8" a="1"/>
  <c r="K1607" i="8" a="1"/>
  <c r="H1608" i="8" a="1"/>
  <c r="M1570" i="8" a="1"/>
  <c r="H1520" i="8" a="1"/>
  <c r="J1619" i="8" a="1"/>
  <c r="M1590" i="8" a="1"/>
  <c r="K1329" i="8" a="1"/>
  <c r="E1603" i="8" a="1"/>
  <c r="J1596" i="8" a="1"/>
  <c r="I1535" i="8" a="1"/>
  <c r="N1611" i="8" a="1"/>
  <c r="L1480" i="8" a="1"/>
  <c r="F1652" i="8" a="1"/>
  <c r="M1583" i="8" a="1"/>
  <c r="F1479" i="8" a="1"/>
  <c r="E1460" i="8" a="1"/>
  <c r="E1243" i="8" a="1"/>
  <c r="O1253" i="8" a="1"/>
  <c r="I1112" i="8" a="1"/>
  <c r="F1029" i="8" a="1"/>
  <c r="O1310" i="8" a="1"/>
  <c r="O1306" i="8" a="1"/>
  <c r="G1369" i="8" a="1"/>
  <c r="L1230" i="8" a="1"/>
  <c r="I1311" i="8" a="1"/>
  <c r="I1170" i="8" a="1"/>
  <c r="J1031" i="8" a="1"/>
  <c r="J963" i="8" a="1"/>
  <c r="G931" i="8" a="1"/>
  <c r="I866" i="8" a="1"/>
  <c r="K1368" i="8" a="1"/>
  <c r="L1325" i="8" a="1"/>
  <c r="E1281" i="8" a="1"/>
  <c r="E1251" i="8" a="1"/>
  <c r="L1085" i="8" a="1"/>
  <c r="E962" i="8" a="1"/>
  <c r="F1447" i="8" a="1"/>
  <c r="F1449" i="8" a="1"/>
  <c r="I1061" i="8" a="1"/>
  <c r="K994" i="8" a="1"/>
  <c r="J899" i="8" a="1"/>
  <c r="O1498" i="8" a="1"/>
  <c r="E1217" i="8" a="1"/>
  <c r="L1222" i="8" a="1"/>
  <c r="N1120" i="8" a="1"/>
  <c r="L1101" i="8" a="1"/>
  <c r="J944" i="8" a="1"/>
  <c r="G952" i="8" a="1"/>
  <c r="H1206" i="8" a="1"/>
  <c r="E1210" i="8" a="1"/>
  <c r="L1096" i="8" a="1"/>
  <c r="E1015" i="8" a="1"/>
  <c r="G984" i="8" a="1"/>
  <c r="N1383" i="8" a="1"/>
  <c r="K1392" i="8" a="1"/>
  <c r="G1178" i="8" a="1"/>
  <c r="H1115" i="8" a="1"/>
  <c r="K1013" i="8" a="1"/>
  <c r="J1521" i="8" a="1"/>
  <c r="J1384" i="8" a="1"/>
  <c r="N1423" i="8" a="1"/>
  <c r="K1262" i="8" a="1"/>
  <c r="I1263" i="8" a="1"/>
  <c r="O1236" i="8" a="1"/>
  <c r="E1118" i="8" a="1"/>
  <c r="L1092" i="8" a="1"/>
  <c r="O1413" i="8" a="1"/>
  <c r="M1405" i="8" a="1"/>
  <c r="L1247" i="8" a="1"/>
  <c r="O1246" i="8" a="1"/>
  <c r="I1194" i="8" a="1"/>
  <c r="H1144" i="8" a="1"/>
  <c r="J1147" i="8" a="1"/>
  <c r="F1053" i="8" a="1"/>
  <c r="H1030" i="8" a="1"/>
  <c r="J1538" i="8" a="1"/>
  <c r="H1510" i="8" a="1"/>
  <c r="O1393" i="8" a="1"/>
  <c r="O1337" i="8" a="1"/>
  <c r="F1168" i="8" a="1"/>
  <c r="L1181" i="8" a="1"/>
  <c r="J1134" i="8" a="1"/>
  <c r="E1028" i="8" a="1"/>
  <c r="K1355" i="8" a="1"/>
  <c r="K1385" i="8" a="1"/>
  <c r="J1401" i="8" a="1"/>
  <c r="G1169" i="8" a="1"/>
  <c r="M1185" i="8" a="1"/>
  <c r="G953" i="8" a="1"/>
  <c r="I1429" i="8" a="1"/>
  <c r="L1265" i="8" a="1"/>
  <c r="K1156" i="8" a="1"/>
  <c r="K1089" i="8" a="1"/>
  <c r="O884" i="8" a="1"/>
  <c r="G887" i="8" a="1"/>
  <c r="E1124" i="8" a="1"/>
  <c r="K1098" i="8" a="1"/>
  <c r="G1025" i="8" a="1"/>
  <c r="F1444" i="8" a="1"/>
  <c r="N1454" i="8" a="1"/>
  <c r="F1443" i="8" a="1"/>
  <c r="E1408" i="8" a="1"/>
  <c r="M1324" i="8" a="1"/>
  <c r="M1345" i="8" a="1"/>
  <c r="I1356" i="8" a="1"/>
  <c r="O989" i="8" a="1"/>
  <c r="G1468" i="8" a="1"/>
  <c r="J1420" i="8" a="1"/>
  <c r="L1300" i="8" a="1"/>
  <c r="G1157" i="8" a="1"/>
  <c r="E1128" i="8" a="1"/>
  <c r="M1069" i="8" a="1"/>
  <c r="M1464" i="8" a="1"/>
  <c r="F1410" i="8" a="1"/>
  <c r="N1426" i="8" a="1"/>
  <c r="J1258" i="8" a="1"/>
  <c r="M1190" i="8" a="1"/>
  <c r="M1123" i="8" a="1"/>
  <c r="M1047" i="8" a="1"/>
  <c r="K1001" i="8" a="1"/>
  <c r="H767" i="8" a="1"/>
  <c r="J784" i="8" a="1"/>
  <c r="F693" i="8" a="1"/>
  <c r="F596" i="8" a="1"/>
  <c r="M389" i="8" a="1"/>
  <c r="I972" i="8" a="1"/>
  <c r="M794" i="8" a="1"/>
  <c r="K716" i="8" a="1"/>
  <c r="H360" i="8" a="1"/>
  <c r="I258" i="8" a="1"/>
  <c r="K191" i="8" a="1"/>
  <c r="L602" i="8" a="1"/>
  <c r="O359" i="8" a="1"/>
  <c r="H158" i="8" a="1"/>
  <c r="L530" i="8" a="1"/>
  <c r="M357" i="8" a="1"/>
  <c r="J958" i="8" a="1"/>
  <c r="I656" i="8" a="1"/>
  <c r="G949" i="8" a="1"/>
  <c r="J793" i="8" a="1"/>
  <c r="O771" i="8" a="1"/>
  <c r="I521" i="8" a="1"/>
  <c r="J927" i="8" a="1"/>
  <c r="E499" i="8" a="1"/>
  <c r="G327" i="8" a="1"/>
  <c r="K891" i="8" a="1"/>
  <c r="H624" i="8" a="1"/>
  <c r="H934" i="8" a="1"/>
  <c r="O826" i="8" a="1"/>
  <c r="E690" i="8" a="1"/>
  <c r="G392" i="8" a="1"/>
  <c r="K621" i="8" a="1"/>
  <c r="O422" i="8" a="1"/>
  <c r="K818" i="8" a="1"/>
  <c r="N815" i="8" a="1"/>
  <c r="N922" i="8" a="1"/>
  <c r="J924" i="8" a="1"/>
  <c r="N522" i="8" a="1"/>
  <c r="O464" i="8" a="1"/>
  <c r="N456" i="8" a="1"/>
  <c r="N911" i="8" a="1"/>
  <c r="K706" i="8" a="1"/>
  <c r="L870" i="8" a="1"/>
  <c r="G762" i="8" a="1"/>
  <c r="O855" i="8" a="1"/>
  <c r="I799" i="8" a="1"/>
  <c r="L730" i="8" a="1"/>
  <c r="I661" i="8" a="1"/>
  <c r="K587" i="8" a="1"/>
  <c r="I399" i="8" a="1"/>
  <c r="O854" i="8" a="1"/>
  <c r="H503" i="8" a="1"/>
  <c r="I475" i="8" a="1"/>
  <c r="E1468" i="8" a="1"/>
  <c r="I1001" i="8" a="1"/>
  <c r="E693" i="8" a="1"/>
  <c r="O258" i="8" a="1"/>
  <c r="G958" i="8" a="1"/>
  <c r="G624" i="8" a="1"/>
  <c r="L422" i="8" a="1"/>
  <c r="I326" i="8" a="1"/>
  <c r="L399" i="8" a="1"/>
  <c r="I1555" i="8" a="1"/>
  <c r="G1658" i="8" a="1"/>
  <c r="N1677" i="8" a="1"/>
  <c r="I1578" i="8" a="1"/>
  <c r="N1527" i="8" a="1"/>
  <c r="O1674" i="8" a="1"/>
  <c r="I1541" i="8" a="1"/>
  <c r="K1525" i="8" a="1"/>
  <c r="I1655" i="8" a="1"/>
  <c r="L1546" i="8" a="1"/>
  <c r="L1511" i="8" a="1"/>
  <c r="E1497" i="8" a="1"/>
  <c r="H1673" i="8" a="1"/>
  <c r="E1630" i="8" a="1"/>
  <c r="M1639" i="8" a="1"/>
  <c r="N1529" i="8" a="1"/>
  <c r="F1358" i="8" a="1"/>
  <c r="E1589" i="8" a="1"/>
  <c r="O1647" i="8" a="1"/>
  <c r="H1587" i="8" a="1"/>
  <c r="E1623" i="8" a="1"/>
  <c r="O1532" i="8" a="1"/>
  <c r="L1404" i="8" a="1"/>
  <c r="F1594" i="8" a="1"/>
  <c r="N1500" i="8" a="1"/>
  <c r="F1452" i="8" a="1"/>
  <c r="G1668" i="8" a="1"/>
  <c r="M1569" i="8" a="1"/>
  <c r="J1575" i="8" a="1"/>
  <c r="I1533" i="8" a="1"/>
  <c r="G1607" i="8" a="1"/>
  <c r="N1608" i="8" a="1"/>
  <c r="O1548" i="8" a="1"/>
  <c r="O1520" i="8" a="1"/>
  <c r="H1619" i="8" a="1"/>
  <c r="E1590" i="8" a="1"/>
  <c r="J1329" i="8" a="1"/>
  <c r="L1603" i="8" a="1"/>
  <c r="N1596" i="8" a="1"/>
  <c r="G1535" i="8" a="1"/>
  <c r="K1611" i="8" a="1"/>
  <c r="K1480" i="8" a="1"/>
  <c r="E1652" i="8" a="1"/>
  <c r="J1562" i="8" a="1"/>
  <c r="O1479" i="8" a="1"/>
  <c r="M1460" i="8" a="1"/>
  <c r="O1243" i="8" a="1"/>
  <c r="N1253" i="8" a="1"/>
  <c r="H1112" i="8" a="1"/>
  <c r="K1029" i="8" a="1"/>
  <c r="G1310" i="8" a="1"/>
  <c r="N1306" i="8" a="1"/>
  <c r="M1285" i="8" a="1"/>
  <c r="K1230" i="8" a="1"/>
  <c r="F1311" i="8" a="1"/>
  <c r="F1170" i="8" a="1"/>
  <c r="I1031" i="8" a="1"/>
  <c r="I963" i="8" a="1"/>
  <c r="N931" i="8" a="1"/>
  <c r="E866" i="8" a="1"/>
  <c r="J1368" i="8" a="1"/>
  <c r="J1325" i="8" a="1"/>
  <c r="K1302" i="8" a="1"/>
  <c r="L1251" i="8" a="1"/>
  <c r="G1085" i="8" a="1"/>
  <c r="M962" i="8" a="1"/>
  <c r="L1447" i="8" a="1"/>
  <c r="O1449" i="8" a="1"/>
  <c r="H1061" i="8" a="1"/>
  <c r="J994" i="8" a="1"/>
  <c r="I899" i="8" a="1"/>
  <c r="J1216" i="8" a="1"/>
  <c r="O1217" i="8" a="1"/>
  <c r="J1222" i="8" a="1"/>
  <c r="F1120" i="8" a="1"/>
  <c r="K1101" i="8" a="1"/>
  <c r="O944" i="8" a="1"/>
  <c r="O952" i="8" a="1"/>
  <c r="O1206" i="8" a="1"/>
  <c r="N1210" i="8" a="1"/>
  <c r="H1096" i="8" a="1"/>
  <c r="O1015" i="8" a="1"/>
  <c r="J1374" i="8" a="1"/>
  <c r="F1383" i="8" a="1"/>
  <c r="H1392" i="8" a="1"/>
  <c r="M1178" i="8" a="1"/>
  <c r="G1115" i="8" a="1"/>
  <c r="E1013" i="8" a="1"/>
  <c r="I1521" i="8" a="1"/>
  <c r="I1384" i="8" a="1"/>
  <c r="F1423" i="8" a="1"/>
  <c r="I1262" i="8" a="1"/>
  <c r="H1263" i="8" a="1"/>
  <c r="J1077" i="8" a="1"/>
  <c r="N1118" i="8" a="1"/>
  <c r="K1092" i="8" a="1"/>
  <c r="G1413" i="8" a="1"/>
  <c r="L1405" i="8" a="1"/>
  <c r="K1247" i="8" a="1"/>
  <c r="M1246" i="8" a="1"/>
  <c r="O1194" i="8" a="1"/>
  <c r="G1144" i="8" a="1"/>
  <c r="I1147" i="8" a="1"/>
  <c r="M1053" i="8" a="1"/>
  <c r="H993" i="8" a="1"/>
  <c r="G1538" i="8" a="1"/>
  <c r="I1510" i="8" a="1"/>
  <c r="G1393" i="8" a="1"/>
  <c r="L1337" i="8" a="1"/>
  <c r="L1168" i="8" a="1"/>
  <c r="F1181" i="8" a="1"/>
  <c r="I1134" i="8" a="1"/>
  <c r="O1028" i="8" a="1"/>
  <c r="J1355" i="8" a="1"/>
  <c r="I1385" i="8" a="1"/>
  <c r="O1252" i="8" a="1"/>
  <c r="F1169" i="8" a="1"/>
  <c r="F1185" i="8" a="1"/>
  <c r="F953" i="8" a="1"/>
  <c r="H1429" i="8" a="1"/>
  <c r="J1265" i="8" a="1"/>
  <c r="I1156" i="8" a="1"/>
  <c r="O1089" i="8" a="1"/>
  <c r="G884" i="8" a="1"/>
  <c r="F887" i="8" a="1"/>
  <c r="K1249" i="8" a="1"/>
  <c r="J1098" i="8" a="1"/>
  <c r="F1025" i="8" a="1"/>
  <c r="O1444" i="8" a="1"/>
  <c r="M1454" i="8" a="1"/>
  <c r="L1443" i="8" a="1"/>
  <c r="N1408" i="8" a="1"/>
  <c r="E1324" i="8" a="1"/>
  <c r="E1345" i="8" a="1"/>
  <c r="I1137" i="8" a="1"/>
  <c r="I989" i="8" a="1"/>
  <c r="F1468" i="8" a="1"/>
  <c r="I1420" i="8" a="1"/>
  <c r="K1300" i="8" a="1"/>
  <c r="F1157" i="8" a="1"/>
  <c r="K1128" i="8" a="1"/>
  <c r="E1069" i="8" a="1"/>
  <c r="L1464" i="8" a="1"/>
  <c r="H1431" i="8" a="1"/>
  <c r="F1426" i="8" a="1"/>
  <c r="E1258" i="8" a="1"/>
  <c r="E1190" i="8" a="1"/>
  <c r="E1123" i="8" a="1"/>
  <c r="L1047" i="8" a="1"/>
  <c r="J1001" i="8" a="1"/>
  <c r="G767" i="8" a="1"/>
  <c r="I784" i="8" a="1"/>
  <c r="M719" i="8" a="1"/>
  <c r="M693" i="8" a="1"/>
  <c r="O596" i="8" a="1"/>
  <c r="E389" i="8" a="1"/>
  <c r="F972" i="8" a="1"/>
  <c r="J794" i="8" a="1"/>
  <c r="M722" i="8" a="1"/>
  <c r="J716" i="8" a="1"/>
  <c r="I360" i="8" a="1"/>
  <c r="H258" i="8" a="1"/>
  <c r="O191" i="8" a="1"/>
  <c r="K602" i="8" a="1"/>
  <c r="G359" i="8" a="1"/>
  <c r="G158" i="8" a="1"/>
  <c r="J817" i="8" a="1"/>
  <c r="N530" i="8" a="1"/>
  <c r="E357" i="8" a="1"/>
  <c r="H958" i="8" a="1"/>
  <c r="J873" i="8" a="1"/>
  <c r="E656" i="8" a="1"/>
  <c r="J949" i="8" a="1"/>
  <c r="I793" i="8" a="1"/>
  <c r="G771" i="8" a="1"/>
  <c r="H521" i="8" a="1"/>
  <c r="J499" i="8" a="1"/>
  <c r="M327" i="8" a="1"/>
  <c r="E891" i="8" a="1"/>
  <c r="J624" i="8" a="1"/>
  <c r="O934" i="8" a="1"/>
  <c r="E826" i="8" a="1"/>
  <c r="K763" i="8" a="1"/>
  <c r="K392" i="8" a="1"/>
  <c r="O621" i="8" a="1"/>
  <c r="N422" i="8" a="1"/>
  <c r="J818" i="8" a="1"/>
  <c r="L815" i="8" a="1"/>
  <c r="F922" i="8" a="1"/>
  <c r="F924" i="8" a="1"/>
  <c r="M522" i="8" a="1"/>
  <c r="G464" i="8" a="1"/>
  <c r="H426" i="8" a="1"/>
  <c r="F456" i="8" a="1"/>
  <c r="K911" i="8" a="1"/>
  <c r="J706" i="8" a="1"/>
  <c r="I687" i="8" a="1"/>
  <c r="G870" i="8" a="1"/>
  <c r="J785" i="8" a="1"/>
  <c r="F762" i="8" a="1"/>
  <c r="L855" i="8" a="1"/>
  <c r="H799" i="8" a="1"/>
  <c r="F730" i="8" a="1"/>
  <c r="N661" i="8" a="1"/>
  <c r="J587" i="8" a="1"/>
  <c r="M399" i="8" a="1"/>
  <c r="E854" i="8" a="1"/>
  <c r="O503" i="8" a="1"/>
  <c r="M475" i="8" a="1"/>
  <c r="H1137" i="8" a="1"/>
  <c r="E719" i="8" a="1"/>
  <c r="I602" i="8" a="1"/>
  <c r="M891" i="8" a="1"/>
  <c r="N464" i="8" a="1"/>
  <c r="N762" i="8" a="1"/>
  <c r="M1555" i="8" a="1"/>
  <c r="K1678" i="8" a="1"/>
  <c r="F1677" i="8" a="1"/>
  <c r="F1578" i="8" a="1"/>
  <c r="E1527" i="8" a="1"/>
  <c r="J1674" i="8" a="1"/>
  <c r="H1541" i="8" a="1"/>
  <c r="H1525" i="8" a="1"/>
  <c r="H1655" i="8" a="1"/>
  <c r="I1546" i="8" a="1"/>
  <c r="G1511" i="8" a="1"/>
  <c r="O1497" i="8" a="1"/>
  <c r="E1636" i="8" a="1"/>
  <c r="N1630" i="8" a="1"/>
  <c r="E1639" i="8" a="1"/>
  <c r="E1529" i="8" a="1"/>
  <c r="N1358" i="8" a="1"/>
  <c r="J1589" i="8" a="1"/>
  <c r="G1647" i="8" a="1"/>
  <c r="N1587" i="8" a="1"/>
  <c r="L1623" i="8" a="1"/>
  <c r="G1532" i="8" a="1"/>
  <c r="J1404" i="8" a="1"/>
  <c r="K1633" i="8" a="1"/>
  <c r="K1500" i="8" a="1"/>
  <c r="K1452" i="8" a="1"/>
  <c r="N1668" i="8" a="1"/>
  <c r="K1569" i="8" a="1"/>
  <c r="I1575" i="8" a="1"/>
  <c r="E1533" i="8" a="1"/>
  <c r="N1607" i="8" a="1"/>
  <c r="L1608" i="8" a="1"/>
  <c r="G1548" i="8" a="1"/>
  <c r="N1520" i="8" a="1"/>
  <c r="H1586" i="8" a="1"/>
  <c r="H1590" i="8" a="1"/>
  <c r="H1329" i="8" a="1"/>
  <c r="F1603" i="8" a="1"/>
  <c r="L1596" i="8" a="1"/>
  <c r="O1535" i="8" a="1"/>
  <c r="J1611" i="8" a="1"/>
  <c r="O1480" i="8" a="1"/>
  <c r="N1652" i="8" a="1"/>
  <c r="I1562" i="8" a="1"/>
  <c r="M1479" i="8" a="1"/>
  <c r="M1340" i="8" a="1"/>
  <c r="N1243" i="8" a="1"/>
  <c r="L1253" i="8" a="1"/>
  <c r="G1112" i="8" a="1"/>
  <c r="I1029" i="8" a="1"/>
  <c r="M1310" i="8" a="1"/>
  <c r="L1306" i="8" a="1"/>
  <c r="E1285" i="8" a="1"/>
  <c r="J1230" i="8" a="1"/>
  <c r="K1231" i="8" a="1"/>
  <c r="E1170" i="8" a="1"/>
  <c r="E1031" i="8" a="1"/>
  <c r="H963" i="8" a="1"/>
  <c r="F931" i="8" a="1"/>
  <c r="M866" i="8" a="1"/>
  <c r="I1368" i="8" a="1"/>
  <c r="N1325" i="8" a="1"/>
  <c r="O1302" i="8" a="1"/>
  <c r="I1251" i="8" a="1"/>
  <c r="J1021" i="8" a="1"/>
  <c r="L962" i="8" a="1"/>
  <c r="E1447" i="8" a="1"/>
  <c r="N1449" i="8" a="1"/>
  <c r="G1061" i="8" a="1"/>
  <c r="O994" i="8" a="1"/>
  <c r="G899" i="8" a="1"/>
  <c r="I1216" i="8" a="1"/>
  <c r="N1217" i="8" a="1"/>
  <c r="H1177" i="8" a="1"/>
  <c r="L1120" i="8" a="1"/>
  <c r="J1101" i="8" a="1"/>
  <c r="E944" i="8" a="1"/>
  <c r="E952" i="8" a="1"/>
  <c r="G1206" i="8" a="1"/>
  <c r="L1210" i="8" a="1"/>
  <c r="F1096" i="8" a="1"/>
  <c r="N1015" i="8" a="1"/>
  <c r="I1374" i="8" a="1"/>
  <c r="L1383" i="8" a="1"/>
  <c r="I1277" i="8" a="1"/>
  <c r="E1178" i="8" a="1"/>
  <c r="F1115" i="8" a="1"/>
  <c r="M1013" i="8" a="1"/>
  <c r="G1521" i="8" a="1"/>
  <c r="H1384" i="8" a="1"/>
  <c r="M1423" i="8" a="1"/>
  <c r="H1262" i="8" a="1"/>
  <c r="G1263" i="8" a="1"/>
  <c r="G1077" i="8" a="1"/>
  <c r="M1118" i="8" a="1"/>
  <c r="L1038" i="8" a="1"/>
  <c r="N1413" i="8" a="1"/>
  <c r="F1405" i="8" a="1"/>
  <c r="E1247" i="8" a="1"/>
  <c r="K1246" i="8" a="1"/>
  <c r="G1194" i="8" a="1"/>
  <c r="N1144" i="8" a="1"/>
  <c r="H1147" i="8" a="1"/>
  <c r="E1053" i="8" a="1"/>
  <c r="O993" i="8" a="1"/>
  <c r="O1538" i="8" a="1"/>
  <c r="N1403" i="8" a="1"/>
  <c r="M1393" i="8" a="1"/>
  <c r="H1337" i="8" a="1"/>
  <c r="K1168" i="8" a="1"/>
  <c r="O1181" i="8" a="1"/>
  <c r="K1134" i="8" a="1"/>
  <c r="M1028" i="8" a="1"/>
  <c r="I1355" i="8" a="1"/>
  <c r="O1385" i="8" a="1"/>
  <c r="G1252" i="8" a="1"/>
  <c r="E1169" i="8" a="1"/>
  <c r="O1149" i="8" a="1"/>
  <c r="O953" i="8" a="1"/>
  <c r="G1429" i="8" a="1"/>
  <c r="F1265" i="8" a="1"/>
  <c r="H1156" i="8" a="1"/>
  <c r="J1089" i="8" a="1"/>
  <c r="M884" i="8" a="1"/>
  <c r="O887" i="8" a="1"/>
  <c r="I1249" i="8" a="1"/>
  <c r="H1098" i="8" a="1"/>
  <c r="J1093" i="8" a="1"/>
  <c r="E1025" i="8" a="1"/>
  <c r="E1444" i="8" a="1"/>
  <c r="L1454" i="8" a="1"/>
  <c r="K1443" i="8" a="1"/>
  <c r="M1408" i="8" a="1"/>
  <c r="J1128" i="8" a="1"/>
  <c r="L1069" i="8" a="1"/>
  <c r="I1464" i="8" a="1"/>
  <c r="K1431" i="8" a="1"/>
  <c r="M1426" i="8" a="1"/>
  <c r="H1193" i="8" a="1"/>
  <c r="K1190" i="8" a="1"/>
  <c r="O1123" i="8" a="1"/>
  <c r="J1047" i="8" a="1"/>
  <c r="H784" i="8" a="1"/>
  <c r="E972" i="8" a="1"/>
  <c r="N191" i="8" a="1"/>
  <c r="H771" i="8" a="1"/>
  <c r="O554" i="8" a="1"/>
  <c r="L922" i="8" a="1"/>
  <c r="E870" i="8" a="1"/>
  <c r="G503" i="8" a="1"/>
  <c r="K1555" i="8" a="1"/>
  <c r="J1678" i="8" a="1"/>
  <c r="M1677" i="8" a="1"/>
  <c r="J1516" i="8" a="1"/>
  <c r="K1527" i="8" a="1"/>
  <c r="G1674" i="8" a="1"/>
  <c r="F1541" i="8" a="1"/>
  <c r="F1525" i="8" a="1"/>
  <c r="O1655" i="8" a="1"/>
  <c r="H1546" i="8" a="1"/>
  <c r="F1511" i="8" a="1"/>
  <c r="G1497" i="8" a="1"/>
  <c r="O1636" i="8" a="1"/>
  <c r="M1630" i="8" a="1"/>
  <c r="K1646" i="8" a="1"/>
  <c r="O1529" i="8" a="1"/>
  <c r="L1358" i="8" a="1"/>
  <c r="I1589" i="8" a="1"/>
  <c r="I1647" i="8" a="1"/>
  <c r="M1587" i="8" a="1"/>
  <c r="J1623" i="8" a="1"/>
  <c r="M1532" i="8" a="1"/>
  <c r="I1404" i="8" a="1"/>
  <c r="J1633" i="8" a="1"/>
  <c r="I1500" i="8" a="1"/>
  <c r="I1367" i="8" a="1"/>
  <c r="F1668" i="8" a="1"/>
  <c r="I1569" i="8" a="1"/>
  <c r="G1575" i="8" a="1"/>
  <c r="N1533" i="8" a="1"/>
  <c r="J1607" i="8" a="1"/>
  <c r="F1608" i="8" a="1"/>
  <c r="K1548" i="8" a="1"/>
  <c r="J1520" i="8" a="1"/>
  <c r="M1586" i="8" a="1"/>
  <c r="F1590" i="8" a="1"/>
  <c r="N1618" i="8" a="1"/>
  <c r="O1603" i="8" a="1"/>
  <c r="H1596" i="8" a="1"/>
  <c r="N1535" i="8" a="1"/>
  <c r="I1611" i="8" a="1"/>
  <c r="N1480" i="8" a="1"/>
  <c r="M1652" i="8" a="1"/>
  <c r="K1562" i="8" a="1"/>
  <c r="L1479" i="8" a="1"/>
  <c r="E1340" i="8" a="1"/>
  <c r="M1243" i="8" a="1"/>
  <c r="N1189" i="8" a="1"/>
  <c r="F1112" i="8" a="1"/>
  <c r="G1029" i="8" a="1"/>
  <c r="E1310" i="8" a="1"/>
  <c r="J1306" i="8" a="1"/>
  <c r="K1285" i="8" a="1"/>
  <c r="O1230" i="8" a="1"/>
  <c r="J1231" i="8" a="1"/>
  <c r="N1170" i="8" a="1"/>
  <c r="K1087" i="8" a="1"/>
  <c r="G963" i="8" a="1"/>
  <c r="L931" i="8" a="1"/>
  <c r="K866" i="8" a="1"/>
  <c r="H1368" i="8" a="1"/>
  <c r="I1325" i="8" a="1"/>
  <c r="E1302" i="8" a="1"/>
  <c r="G1251" i="8" a="1"/>
  <c r="O1021" i="8" a="1"/>
  <c r="I1487" i="8" a="1"/>
  <c r="O1447" i="8" a="1"/>
  <c r="G1449" i="8" a="1"/>
  <c r="O1061" i="8" a="1"/>
  <c r="G994" i="8" a="1"/>
  <c r="E899" i="8" a="1"/>
  <c r="H1216" i="8" a="1"/>
  <c r="M1217" i="8" a="1"/>
  <c r="O1177" i="8" a="1"/>
  <c r="J1120" i="8" a="1"/>
  <c r="M1145" i="8" a="1"/>
  <c r="M944" i="8" a="1"/>
  <c r="M952" i="8" a="1"/>
  <c r="M1206" i="8" a="1"/>
  <c r="H1210" i="8" a="1"/>
  <c r="O1096" i="8" a="1"/>
  <c r="M1015" i="8" a="1"/>
  <c r="H1374" i="8" a="1"/>
  <c r="J1383" i="8" a="1"/>
  <c r="O1277" i="8" a="1"/>
  <c r="N1178" i="8" a="1"/>
  <c r="M1064" i="8" a="1"/>
  <c r="J1013" i="8" a="1"/>
  <c r="F1521" i="8" a="1"/>
  <c r="N1384" i="8" a="1"/>
  <c r="L1423" i="8" a="1"/>
  <c r="N1262" i="8" a="1"/>
  <c r="E1263" i="8" a="1"/>
  <c r="F1077" i="8" a="1"/>
  <c r="K1118" i="8" a="1"/>
  <c r="K1038" i="8" a="1"/>
  <c r="F1413" i="8" a="1"/>
  <c r="J1323" i="8" a="1"/>
  <c r="O1247" i="8" a="1"/>
  <c r="J1246" i="8" a="1"/>
  <c r="M1194" i="8" a="1"/>
  <c r="I1144" i="8" a="1"/>
  <c r="N1147" i="8" a="1"/>
  <c r="L1053" i="8" a="1"/>
  <c r="G993" i="8" a="1"/>
  <c r="H1538" i="8" a="1"/>
  <c r="F1403" i="8" a="1"/>
  <c r="E1393" i="8" a="1"/>
  <c r="M1248" i="8" a="1"/>
  <c r="I1168" i="8" a="1"/>
  <c r="N1181" i="8" a="1"/>
  <c r="G1134" i="8" a="1"/>
  <c r="K1028" i="8" a="1"/>
  <c r="H1355" i="8" a="1"/>
  <c r="G1385" i="8" a="1"/>
  <c r="M1252" i="8" a="1"/>
  <c r="N1169" i="8" a="1"/>
  <c r="G1149" i="8" a="1"/>
  <c r="E953" i="8" a="1"/>
  <c r="L1417" i="8" a="1"/>
  <c r="O1429" i="8" a="1"/>
  <c r="E1265" i="8" a="1"/>
  <c r="O1156" i="8" a="1"/>
  <c r="G1089" i="8" a="1"/>
  <c r="E884" i="8" a="1"/>
  <c r="N887" i="8" a="1"/>
  <c r="H1249" i="8" a="1"/>
  <c r="G1098" i="8" a="1"/>
  <c r="I1093" i="8" a="1"/>
  <c r="O1025" i="8" a="1"/>
  <c r="J1476" i="8" a="1"/>
  <c r="M1444" i="8" a="1"/>
  <c r="G1454" i="8" a="1"/>
  <c r="J1443" i="8" a="1"/>
  <c r="L1408" i="8" a="1"/>
  <c r="O1324" i="8" a="1"/>
  <c r="N1345" i="8" a="1"/>
  <c r="O1137" i="8" a="1"/>
  <c r="G1509" i="8" a="1"/>
  <c r="O1468" i="8" a="1"/>
  <c r="M1372" i="8" a="1"/>
  <c r="I1300" i="8" a="1"/>
  <c r="O1157" i="8" a="1"/>
  <c r="H1128" i="8" a="1"/>
  <c r="K1069" i="8" a="1"/>
  <c r="H1464" i="8" a="1"/>
  <c r="J1431" i="8" a="1"/>
  <c r="L1426" i="8" a="1"/>
  <c r="O1193" i="8" a="1"/>
  <c r="L1190" i="8" a="1"/>
  <c r="H1127" i="8" a="1"/>
  <c r="L1123" i="8" a="1"/>
  <c r="I1047" i="8" a="1"/>
  <c r="H1001" i="8" a="1"/>
  <c r="F767" i="8" a="1"/>
  <c r="E784" i="8" a="1"/>
  <c r="L719" i="8" a="1"/>
  <c r="L693" i="8" a="1"/>
  <c r="J694" i="8" a="1"/>
  <c r="L596" i="8" a="1"/>
  <c r="O432" i="8" a="1"/>
  <c r="I389" i="8" a="1"/>
  <c r="N972" i="8" a="1"/>
  <c r="F794" i="8" a="1"/>
  <c r="H722" i="8" a="1"/>
  <c r="G716" i="8" a="1"/>
  <c r="O564" i="8" a="1"/>
  <c r="E360" i="8" a="1"/>
  <c r="G258" i="8" a="1"/>
  <c r="J191" i="8" a="1"/>
  <c r="F602" i="8" a="1"/>
  <c r="F359" i="8" a="1"/>
  <c r="L158" i="8" a="1"/>
  <c r="G817" i="8" a="1"/>
  <c r="I530" i="8" a="1"/>
  <c r="H357" i="8" a="1"/>
  <c r="F958" i="8" a="1"/>
  <c r="H873" i="8" a="1"/>
  <c r="M656" i="8" a="1"/>
  <c r="N918" i="8" a="1"/>
  <c r="E793" i="8" a="1"/>
  <c r="F771" i="8" a="1"/>
  <c r="H455" i="8" a="1"/>
  <c r="J753" i="8" a="1"/>
  <c r="J629" i="8" a="1"/>
  <c r="L499" i="8" a="1"/>
  <c r="N327" i="8" a="1"/>
  <c r="L858" i="8" a="1"/>
  <c r="F624" i="8" a="1"/>
  <c r="G934" i="8" a="1"/>
  <c r="M826" i="8" a="1"/>
  <c r="O763" i="8" a="1"/>
  <c r="G554" i="8" a="1"/>
  <c r="H423" i="8" a="1"/>
  <c r="N392" i="8" a="1"/>
  <c r="J496" i="8" a="1"/>
  <c r="J422" i="8" a="1"/>
  <c r="O818" i="8" a="1"/>
  <c r="H815" i="8" a="1"/>
  <c r="F895" i="8" a="1"/>
  <c r="K922" i="8" a="1"/>
  <c r="I888" i="8" a="1"/>
  <c r="J522" i="8" a="1"/>
  <c r="F464" i="8" a="1"/>
  <c r="G426" i="8" a="1"/>
  <c r="E456" i="8" a="1"/>
  <c r="N326" i="8" a="1"/>
  <c r="M911" i="8" a="1"/>
  <c r="G706" i="8" a="1"/>
  <c r="O687" i="8" a="1"/>
  <c r="O390" i="8" a="1"/>
  <c r="O293" i="8" a="1"/>
  <c r="O870" i="8" a="1"/>
  <c r="G785" i="8" a="1"/>
  <c r="E762" i="8" a="1"/>
  <c r="J855" i="8" a="1"/>
  <c r="O730" i="8" a="1"/>
  <c r="F661" i="8" a="1"/>
  <c r="O587" i="8" a="1"/>
  <c r="E399" i="8" a="1"/>
  <c r="N503" i="8" a="1"/>
  <c r="L475" i="8" a="1"/>
  <c r="K1509" i="8" a="1"/>
  <c r="E1001" i="8" a="1"/>
  <c r="E722" i="8" a="1"/>
  <c r="K817" i="8" a="1"/>
  <c r="I851" i="8" a="1"/>
  <c r="F753" i="8" a="1"/>
  <c r="E554" i="8" a="1"/>
  <c r="M895" i="8" a="1"/>
  <c r="J426" i="8" a="1"/>
  <c r="M785" i="8" a="1"/>
  <c r="H475" i="8" a="1"/>
  <c r="J1555" i="8" a="1"/>
  <c r="I1678" i="8" a="1"/>
  <c r="E1677" i="8" a="1"/>
  <c r="I1516" i="8" a="1"/>
  <c r="O1527" i="8" a="1"/>
  <c r="I1645" i="8" a="1"/>
  <c r="M1541" i="8" a="1"/>
  <c r="E1525" i="8" a="1"/>
  <c r="G1655" i="8" a="1"/>
  <c r="O1546" i="8" a="1"/>
  <c r="O1511" i="8" a="1"/>
  <c r="M1497" i="8" a="1"/>
  <c r="M1636" i="8" a="1"/>
  <c r="L1630" i="8" a="1"/>
  <c r="M1646" i="8" a="1"/>
  <c r="M1529" i="8" a="1"/>
  <c r="G1490" i="8" a="1"/>
  <c r="F1589" i="8" a="1"/>
  <c r="H1647" i="8" a="1"/>
  <c r="L1587" i="8" a="1"/>
  <c r="I1623" i="8" a="1"/>
  <c r="L1532" i="8" a="1"/>
  <c r="H1404" i="8" a="1"/>
  <c r="I1633" i="8" a="1"/>
  <c r="J1500" i="8" a="1"/>
  <c r="H1367" i="8" a="1"/>
  <c r="M1668" i="8" a="1"/>
  <c r="H1625" i="8" a="1"/>
  <c r="L1575" i="8" a="1"/>
  <c r="M1533" i="8" a="1"/>
  <c r="O1607" i="8" a="1"/>
  <c r="G1608" i="8" a="1"/>
  <c r="F1548" i="8" a="1"/>
  <c r="I1520" i="8" a="1"/>
  <c r="E1586" i="8" a="1"/>
  <c r="N1590" i="8" a="1"/>
  <c r="F1618" i="8" a="1"/>
  <c r="N1603" i="8" a="1"/>
  <c r="E1494" i="8" a="1"/>
  <c r="E1535" i="8" a="1"/>
  <c r="F1611" i="8" a="1"/>
  <c r="M1480" i="8" a="1"/>
  <c r="K1652" i="8" a="1"/>
  <c r="E1562" i="8" a="1"/>
  <c r="K1479" i="8" a="1"/>
  <c r="L1340" i="8" a="1"/>
  <c r="K1243" i="8" a="1"/>
  <c r="F1189" i="8" a="1"/>
  <c r="O1029" i="8" a="1"/>
  <c r="N1310" i="8" a="1"/>
  <c r="I1306" i="8" a="1"/>
  <c r="J1285" i="8" a="1"/>
  <c r="I1230" i="8" a="1"/>
  <c r="I1231" i="8" a="1"/>
  <c r="M1170" i="8" a="1"/>
  <c r="G1087" i="8" a="1"/>
  <c r="H977" i="8" a="1"/>
  <c r="I931" i="8" a="1"/>
  <c r="J866" i="8" a="1"/>
  <c r="N1368" i="8" a="1"/>
  <c r="H1325" i="8" a="1"/>
  <c r="N1302" i="8" a="1"/>
  <c r="O1251" i="8" a="1"/>
  <c r="G1021" i="8" a="1"/>
  <c r="H1487" i="8" a="1"/>
  <c r="M1447" i="8" a="1"/>
  <c r="K1278" i="8" a="1"/>
  <c r="L1061" i="8" a="1"/>
  <c r="N994" i="8" a="1"/>
  <c r="K899" i="8" a="1"/>
  <c r="N1216" i="8" a="1"/>
  <c r="I1217" i="8" a="1"/>
  <c r="G1177" i="8" a="1"/>
  <c r="H1120" i="8" a="1"/>
  <c r="E1145" i="8" a="1"/>
  <c r="K944" i="8" a="1"/>
  <c r="J1390" i="8" a="1"/>
  <c r="E1206" i="8" a="1"/>
  <c r="F1210" i="8" a="1"/>
  <c r="E1096" i="8" a="1"/>
  <c r="L1015" i="8" a="1"/>
  <c r="O1374" i="8" a="1"/>
  <c r="M1383" i="8" a="1"/>
  <c r="G1277" i="8" a="1"/>
  <c r="L1178" i="8" a="1"/>
  <c r="E1064" i="8" a="1"/>
  <c r="I1013" i="8" a="1"/>
  <c r="O1472" i="8" a="1"/>
  <c r="F1384" i="8" a="1"/>
  <c r="E1423" i="8" a="1"/>
  <c r="F1262" i="8" a="1"/>
  <c r="O1263" i="8" a="1"/>
  <c r="O1077" i="8" a="1"/>
  <c r="H1118" i="8" a="1"/>
  <c r="J1038" i="8" a="1"/>
  <c r="M1413" i="8" a="1"/>
  <c r="H1323" i="8" a="1"/>
  <c r="I1247" i="8" a="1"/>
  <c r="N1173" i="8" a="1"/>
  <c r="E1194" i="8" a="1"/>
  <c r="F1144" i="8" a="1"/>
  <c r="F1147" i="8" a="1"/>
  <c r="K1053" i="8" a="1"/>
  <c r="N993" i="8" a="1"/>
  <c r="E1538" i="8" a="1"/>
  <c r="K1403" i="8" a="1"/>
  <c r="L1393" i="8" a="1"/>
  <c r="E1248" i="8" a="1"/>
  <c r="E1168" i="8" a="1"/>
  <c r="L1201" i="8" a="1"/>
  <c r="F1134" i="8" a="1"/>
  <c r="G1028" i="8" a="1"/>
  <c r="N1355" i="8" a="1"/>
  <c r="J1385" i="8" a="1"/>
  <c r="E1252" i="8" a="1"/>
  <c r="M1169" i="8" a="1"/>
  <c r="N1149" i="8" a="1"/>
  <c r="L953" i="8" a="1"/>
  <c r="K1417" i="8" a="1"/>
  <c r="F1429" i="8" a="1"/>
  <c r="N1155" i="8" a="1"/>
  <c r="M1156" i="8" a="1"/>
  <c r="E1089" i="8" a="1"/>
  <c r="K884" i="8" a="1"/>
  <c r="M887" i="8" a="1"/>
  <c r="N1249" i="8" a="1"/>
  <c r="F1098" i="8" a="1"/>
  <c r="F1093" i="8" a="1"/>
  <c r="N1025" i="8" a="1"/>
  <c r="I1476" i="8" a="1"/>
  <c r="L1444" i="8" a="1"/>
  <c r="M1427" i="8" a="1"/>
  <c r="I1443" i="8" a="1"/>
  <c r="K1408" i="8" a="1"/>
  <c r="N1324" i="8" a="1"/>
  <c r="L1345" i="8" a="1"/>
  <c r="G1137" i="8" a="1"/>
  <c r="M1509" i="8" a="1"/>
  <c r="N1468" i="8" a="1"/>
  <c r="E1372" i="8" a="1"/>
  <c r="H1300" i="8" a="1"/>
  <c r="F1128" i="8" a="1"/>
  <c r="H1069" i="8" a="1"/>
  <c r="K1464" i="8" a="1"/>
  <c r="I1431" i="8" a="1"/>
  <c r="K1426" i="8" a="1"/>
  <c r="G1193" i="8" a="1"/>
  <c r="J1190" i="8" a="1"/>
  <c r="O1127" i="8" a="1"/>
  <c r="K1123" i="8" a="1"/>
  <c r="K1063" i="8" a="1"/>
  <c r="O1001" i="8" a="1"/>
  <c r="N767" i="8" a="1"/>
  <c r="M784" i="8" a="1"/>
  <c r="J719" i="8" a="1"/>
  <c r="K693" i="8" a="1"/>
  <c r="I694" i="8" a="1"/>
  <c r="J596" i="8" a="1"/>
  <c r="G432" i="8" a="1"/>
  <c r="H389" i="8" a="1"/>
  <c r="M972" i="8" a="1"/>
  <c r="E794" i="8" a="1"/>
  <c r="J722" i="8" a="1"/>
  <c r="O716" i="8" a="1"/>
  <c r="N564" i="8" a="1"/>
  <c r="O360" i="8" a="1"/>
  <c r="N258" i="8" a="1"/>
  <c r="H191" i="8" a="1"/>
  <c r="H602" i="8" a="1"/>
  <c r="M359" i="8" a="1"/>
  <c r="N817" i="8" a="1"/>
  <c r="F530" i="8" a="1"/>
  <c r="I357" i="8" a="1"/>
  <c r="O958" i="8" a="1"/>
  <c r="N873" i="8" a="1"/>
  <c r="H656" i="8" a="1"/>
  <c r="F918" i="8" a="1"/>
  <c r="K851" i="8" a="1"/>
  <c r="O793" i="8" a="1"/>
  <c r="E771" i="8" a="1"/>
  <c r="O455" i="8" a="1"/>
  <c r="I753" i="8" a="1"/>
  <c r="I629" i="8" a="1"/>
  <c r="O683" i="8" a="1"/>
  <c r="K499" i="8" a="1"/>
  <c r="H327" i="8" a="1"/>
  <c r="K858" i="8" a="1"/>
  <c r="O624" i="8" a="1"/>
  <c r="K826" i="8" a="1"/>
  <c r="F763" i="8" a="1"/>
  <c r="M554" i="8" a="1"/>
  <c r="O423" i="8" a="1"/>
  <c r="I496" i="8" a="1"/>
  <c r="I422" i="8" a="1"/>
  <c r="G818" i="8" a="1"/>
  <c r="F815" i="8" a="1"/>
  <c r="E895" i="8" a="1"/>
  <c r="J922" i="8" a="1"/>
  <c r="O888" i="8" a="1"/>
  <c r="I522" i="8" a="1"/>
  <c r="M464" i="8" a="1"/>
  <c r="M426" i="8" a="1"/>
  <c r="L456" i="8" a="1"/>
  <c r="F326" i="8" a="1"/>
  <c r="J911" i="8" a="1"/>
  <c r="F706" i="8" a="1"/>
  <c r="G687" i="8" a="1"/>
  <c r="G390" i="8" a="1"/>
  <c r="G293" i="8" a="1"/>
  <c r="M870" i="8" a="1"/>
  <c r="F785" i="8" a="1"/>
  <c r="O762" i="8" a="1"/>
  <c r="H855" i="8" a="1"/>
  <c r="N730" i="8" a="1"/>
  <c r="G587" i="8" a="1"/>
  <c r="H399" i="8" a="1"/>
  <c r="M503" i="8" a="1"/>
  <c r="F475" i="8" a="1"/>
  <c r="K1420" i="8" a="1"/>
  <c r="J300" i="8" a="1"/>
  <c r="L873" i="8" a="1"/>
  <c r="N455" i="8" a="1"/>
  <c r="I763" i="8" a="1"/>
  <c r="M924" i="8" a="1"/>
  <c r="F293" i="8" a="1"/>
  <c r="G730" i="8" a="1"/>
  <c r="G730" i="8" l="1"/>
  <c r="F293" i="8"/>
  <c r="M924" i="8"/>
  <c r="I763" i="8"/>
  <c r="N455" i="8"/>
  <c r="L873" i="8"/>
  <c r="J300" i="8"/>
  <c r="K1420" i="8"/>
  <c r="F475" i="8"/>
  <c r="M503" i="8"/>
  <c r="H399" i="8"/>
  <c r="G587" i="8"/>
  <c r="N730" i="8"/>
  <c r="H855" i="8"/>
  <c r="O762" i="8"/>
  <c r="F785" i="8"/>
  <c r="M870" i="8"/>
  <c r="G293" i="8"/>
  <c r="G390" i="8"/>
  <c r="G687" i="8"/>
  <c r="F706" i="8"/>
  <c r="J911" i="8"/>
  <c r="F326" i="8"/>
  <c r="L456" i="8"/>
  <c r="M426" i="8"/>
  <c r="M464" i="8"/>
  <c r="I522" i="8"/>
  <c r="O888" i="8"/>
  <c r="J922" i="8"/>
  <c r="E895" i="8"/>
  <c r="F815" i="8"/>
  <c r="G818" i="8"/>
  <c r="I422" i="8"/>
  <c r="I496" i="8"/>
  <c r="O423" i="8"/>
  <c r="M554" i="8"/>
  <c r="F763" i="8"/>
  <c r="K826" i="8"/>
  <c r="O624" i="8"/>
  <c r="K858" i="8"/>
  <c r="H327" i="8"/>
  <c r="K499" i="8"/>
  <c r="O683" i="8"/>
  <c r="I629" i="8"/>
  <c r="I753" i="8"/>
  <c r="O455" i="8"/>
  <c r="E771" i="8"/>
  <c r="O793" i="8"/>
  <c r="K851" i="8"/>
  <c r="F918" i="8"/>
  <c r="H656" i="8"/>
  <c r="N873" i="8"/>
  <c r="O958" i="8"/>
  <c r="I357" i="8"/>
  <c r="F530" i="8"/>
  <c r="N817" i="8"/>
  <c r="M359" i="8"/>
  <c r="H602" i="8"/>
  <c r="H191" i="8"/>
  <c r="N258" i="8"/>
  <c r="O360" i="8"/>
  <c r="N564" i="8"/>
  <c r="O716" i="8"/>
  <c r="J722" i="8"/>
  <c r="E794" i="8"/>
  <c r="M972" i="8"/>
  <c r="H389" i="8"/>
  <c r="G432" i="8"/>
  <c r="J596" i="8"/>
  <c r="I694" i="8"/>
  <c r="K693" i="8"/>
  <c r="J719" i="8"/>
  <c r="M784" i="8"/>
  <c r="N767" i="8"/>
  <c r="O1001" i="8"/>
  <c r="K1063" i="8"/>
  <c r="K1123" i="8"/>
  <c r="O1127" i="8"/>
  <c r="J1190" i="8"/>
  <c r="G1193" i="8"/>
  <c r="K1426" i="8"/>
  <c r="I1431" i="8"/>
  <c r="K1464" i="8"/>
  <c r="H1069" i="8"/>
  <c r="F1128" i="8"/>
  <c r="H1300" i="8"/>
  <c r="E1372" i="8"/>
  <c r="N1468" i="8"/>
  <c r="M1509" i="8"/>
  <c r="G1137" i="8"/>
  <c r="L1345" i="8"/>
  <c r="N1324" i="8"/>
  <c r="K1408" i="8"/>
  <c r="I1443" i="8"/>
  <c r="M1427" i="8"/>
  <c r="L1444" i="8"/>
  <c r="I1476" i="8"/>
  <c r="N1025" i="8"/>
  <c r="F1093" i="8"/>
  <c r="F1098" i="8"/>
  <c r="N1249" i="8"/>
  <c r="M887" i="8"/>
  <c r="K884" i="8"/>
  <c r="E1089" i="8"/>
  <c r="M1156" i="8"/>
  <c r="N1155" i="8"/>
  <c r="F1429" i="8"/>
  <c r="K1417" i="8"/>
  <c r="L953" i="8"/>
  <c r="N1149" i="8"/>
  <c r="M1169" i="8"/>
  <c r="E1252" i="8"/>
  <c r="J1385" i="8"/>
  <c r="N1355" i="8"/>
  <c r="G1028" i="8"/>
  <c r="F1134" i="8"/>
  <c r="L1201" i="8"/>
  <c r="E1168" i="8"/>
  <c r="E1248" i="8"/>
  <c r="L1393" i="8"/>
  <c r="K1403" i="8"/>
  <c r="E1538" i="8"/>
  <c r="N993" i="8"/>
  <c r="K1053" i="8"/>
  <c r="F1147" i="8"/>
  <c r="F1144" i="8"/>
  <c r="E1194" i="8"/>
  <c r="N1173" i="8"/>
  <c r="I1247" i="8"/>
  <c r="H1323" i="8"/>
  <c r="M1413" i="8"/>
  <c r="J1038" i="8"/>
  <c r="H1118" i="8"/>
  <c r="O1077" i="8"/>
  <c r="O1263" i="8"/>
  <c r="F1262" i="8"/>
  <c r="E1423" i="8"/>
  <c r="F1384" i="8"/>
  <c r="O1472" i="8"/>
  <c r="I1013" i="8"/>
  <c r="E1064" i="8"/>
  <c r="L1178" i="8"/>
  <c r="G1277" i="8"/>
  <c r="M1383" i="8"/>
  <c r="O1374" i="8"/>
  <c r="L1015" i="8"/>
  <c r="E1096" i="8"/>
  <c r="F1210" i="8"/>
  <c r="E1206" i="8"/>
  <c r="J1390" i="8"/>
  <c r="K944" i="8"/>
  <c r="E1145" i="8"/>
  <c r="H1120" i="8"/>
  <c r="G1177" i="8"/>
  <c r="I1217" i="8"/>
  <c r="N1216" i="8"/>
  <c r="K899" i="8"/>
  <c r="N994" i="8"/>
  <c r="L1061" i="8"/>
  <c r="K1278" i="8"/>
  <c r="M1447" i="8"/>
  <c r="H1487" i="8"/>
  <c r="G1021" i="8"/>
  <c r="O1251" i="8"/>
  <c r="N1302" i="8"/>
  <c r="H1325" i="8"/>
  <c r="N1368" i="8"/>
  <c r="J866" i="8"/>
  <c r="I931" i="8"/>
  <c r="H977" i="8"/>
  <c r="G1087" i="8"/>
  <c r="M1170" i="8"/>
  <c r="I1231" i="8"/>
  <c r="I1230" i="8"/>
  <c r="J1285" i="8"/>
  <c r="I1306" i="8"/>
  <c r="N1310" i="8"/>
  <c r="O1029" i="8"/>
  <c r="F1189" i="8"/>
  <c r="K1243" i="8"/>
  <c r="L1340" i="8"/>
  <c r="K1479" i="8"/>
  <c r="E1562" i="8"/>
  <c r="K1652" i="8"/>
  <c r="M1480" i="8"/>
  <c r="F1611" i="8"/>
  <c r="E1535" i="8"/>
  <c r="E1494" i="8"/>
  <c r="N1603" i="8"/>
  <c r="F1618" i="8"/>
  <c r="N1590" i="8"/>
  <c r="E1586" i="8"/>
  <c r="I1520" i="8"/>
  <c r="F1548" i="8"/>
  <c r="G1608" i="8"/>
  <c r="O1607" i="8"/>
  <c r="M1533" i="8"/>
  <c r="L1575" i="8"/>
  <c r="H1625" i="8"/>
  <c r="M1668" i="8"/>
  <c r="H1367" i="8"/>
  <c r="J1500" i="8"/>
  <c r="I1633" i="8"/>
  <c r="H1404" i="8"/>
  <c r="L1532" i="8"/>
  <c r="I1623" i="8"/>
  <c r="L1587" i="8"/>
  <c r="H1647" i="8"/>
  <c r="F1589" i="8"/>
  <c r="G1490" i="8"/>
  <c r="M1529" i="8"/>
  <c r="M1646" i="8"/>
  <c r="L1630" i="8"/>
  <c r="M1636" i="8"/>
  <c r="M1497" i="8"/>
  <c r="O1511" i="8"/>
  <c r="O1546" i="8"/>
  <c r="G1655" i="8"/>
  <c r="E1525" i="8"/>
  <c r="M1541" i="8"/>
  <c r="I1645" i="8"/>
  <c r="O1527" i="8"/>
  <c r="I1516" i="8"/>
  <c r="E1677" i="8"/>
  <c r="I1678" i="8"/>
  <c r="J1555" i="8"/>
  <c r="H475" i="8"/>
  <c r="M785" i="8"/>
  <c r="J426" i="8"/>
  <c r="M895" i="8"/>
  <c r="E554" i="8"/>
  <c r="F753" i="8"/>
  <c r="I851" i="8"/>
  <c r="K817" i="8"/>
  <c r="E722" i="8"/>
  <c r="E1001" i="8"/>
  <c r="K1509" i="8"/>
  <c r="L475" i="8"/>
  <c r="N503" i="8"/>
  <c r="E399" i="8"/>
  <c r="O587" i="8"/>
  <c r="F661" i="8"/>
  <c r="O730" i="8"/>
  <c r="J855" i="8"/>
  <c r="E762" i="8"/>
  <c r="G785" i="8"/>
  <c r="O870" i="8"/>
  <c r="O293" i="8"/>
  <c r="O390" i="8"/>
  <c r="O687" i="8"/>
  <c r="G706" i="8"/>
  <c r="M911" i="8"/>
  <c r="N326" i="8"/>
  <c r="E456" i="8"/>
  <c r="G426" i="8"/>
  <c r="F464" i="8"/>
  <c r="J522" i="8"/>
  <c r="I888" i="8"/>
  <c r="K922" i="8"/>
  <c r="F895" i="8"/>
  <c r="H815" i="8"/>
  <c r="O818" i="8"/>
  <c r="J422" i="8"/>
  <c r="J496" i="8"/>
  <c r="N392" i="8"/>
  <c r="H423" i="8"/>
  <c r="G554" i="8"/>
  <c r="O763" i="8"/>
  <c r="M826" i="8"/>
  <c r="G934" i="8"/>
  <c r="F624" i="8"/>
  <c r="L858" i="8"/>
  <c r="N327" i="8"/>
  <c r="L499" i="8"/>
  <c r="J629" i="8"/>
  <c r="J753" i="8"/>
  <c r="H455" i="8"/>
  <c r="F771" i="8"/>
  <c r="E793" i="8"/>
  <c r="N918" i="8"/>
  <c r="M656" i="8"/>
  <c r="H873" i="8"/>
  <c r="F958" i="8"/>
  <c r="H357" i="8"/>
  <c r="I530" i="8"/>
  <c r="G817" i="8"/>
  <c r="L158" i="8"/>
  <c r="F359" i="8"/>
  <c r="F602" i="8"/>
  <c r="J191" i="8"/>
  <c r="G258" i="8"/>
  <c r="E360" i="8"/>
  <c r="O564" i="8"/>
  <c r="G716" i="8"/>
  <c r="H722" i="8"/>
  <c r="F794" i="8"/>
  <c r="N972" i="8"/>
  <c r="I389" i="8"/>
  <c r="O432" i="8"/>
  <c r="L596" i="8"/>
  <c r="J694" i="8"/>
  <c r="L693" i="8"/>
  <c r="L719" i="8"/>
  <c r="E784" i="8"/>
  <c r="F767" i="8"/>
  <c r="H1001" i="8"/>
  <c r="I1047" i="8"/>
  <c r="L1123" i="8"/>
  <c r="H1127" i="8"/>
  <c r="L1190" i="8"/>
  <c r="O1193" i="8"/>
  <c r="L1426" i="8"/>
  <c r="J1431" i="8"/>
  <c r="H1464" i="8"/>
  <c r="K1069" i="8"/>
  <c r="H1128" i="8"/>
  <c r="O1157" i="8"/>
  <c r="I1300" i="8"/>
  <c r="M1372" i="8"/>
  <c r="O1468" i="8"/>
  <c r="G1509" i="8"/>
  <c r="O1137" i="8"/>
  <c r="N1345" i="8"/>
  <c r="O1324" i="8"/>
  <c r="L1408" i="8"/>
  <c r="J1443" i="8"/>
  <c r="G1454" i="8"/>
  <c r="M1444" i="8"/>
  <c r="J1476" i="8"/>
  <c r="O1025" i="8"/>
  <c r="I1093" i="8"/>
  <c r="G1098" i="8"/>
  <c r="H1249" i="8"/>
  <c r="N887" i="8"/>
  <c r="E884" i="8"/>
  <c r="G1089" i="8"/>
  <c r="O1156" i="8"/>
  <c r="E1265" i="8"/>
  <c r="O1429" i="8"/>
  <c r="L1417" i="8"/>
  <c r="E953" i="8"/>
  <c r="G1149" i="8"/>
  <c r="N1169" i="8"/>
  <c r="M1252" i="8"/>
  <c r="G1385" i="8"/>
  <c r="H1355" i="8"/>
  <c r="K1028" i="8"/>
  <c r="G1134" i="8"/>
  <c r="N1181" i="8"/>
  <c r="I1168" i="8"/>
  <c r="M1248" i="8"/>
  <c r="E1393" i="8"/>
  <c r="F1403" i="8"/>
  <c r="H1538" i="8"/>
  <c r="G993" i="8"/>
  <c r="L1053" i="8"/>
  <c r="N1147" i="8"/>
  <c r="I1144" i="8"/>
  <c r="M1194" i="8"/>
  <c r="J1246" i="8"/>
  <c r="O1247" i="8"/>
  <c r="J1323" i="8"/>
  <c r="F1413" i="8"/>
  <c r="K1038" i="8"/>
  <c r="K1118" i="8"/>
  <c r="F1077" i="8"/>
  <c r="E1263" i="8"/>
  <c r="N1262" i="8"/>
  <c r="L1423" i="8"/>
  <c r="N1384" i="8"/>
  <c r="F1521" i="8"/>
  <c r="J1013" i="8"/>
  <c r="M1064" i="8"/>
  <c r="N1178" i="8"/>
  <c r="O1277" i="8"/>
  <c r="J1383" i="8"/>
  <c r="H1374" i="8"/>
  <c r="M1015" i="8"/>
  <c r="O1096" i="8"/>
  <c r="H1210" i="8"/>
  <c r="M1206" i="8"/>
  <c r="M952" i="8"/>
  <c r="M944" i="8"/>
  <c r="M1145" i="8"/>
  <c r="J1120" i="8"/>
  <c r="O1177" i="8"/>
  <c r="M1217" i="8"/>
  <c r="H1216" i="8"/>
  <c r="E899" i="8"/>
  <c r="G994" i="8"/>
  <c r="O1061" i="8"/>
  <c r="G1449" i="8"/>
  <c r="O1447" i="8"/>
  <c r="I1487" i="8"/>
  <c r="O1021" i="8"/>
  <c r="G1251" i="8"/>
  <c r="E1302" i="8"/>
  <c r="I1325" i="8"/>
  <c r="H1368" i="8"/>
  <c r="K866" i="8"/>
  <c r="L931" i="8"/>
  <c r="G963" i="8"/>
  <c r="K1087" i="8"/>
  <c r="N1170" i="8"/>
  <c r="J1231" i="8"/>
  <c r="O1230" i="8"/>
  <c r="K1285" i="8"/>
  <c r="J1306" i="8"/>
  <c r="E1310" i="8"/>
  <c r="G1029" i="8"/>
  <c r="F1112" i="8"/>
  <c r="N1189" i="8"/>
  <c r="M1243" i="8"/>
  <c r="E1340" i="8"/>
  <c r="L1479" i="8"/>
  <c r="K1562" i="8"/>
  <c r="M1652" i="8"/>
  <c r="N1480" i="8"/>
  <c r="I1611" i="8"/>
  <c r="N1535" i="8"/>
  <c r="H1596" i="8"/>
  <c r="O1603" i="8"/>
  <c r="N1618" i="8"/>
  <c r="F1590" i="8"/>
  <c r="M1586" i="8"/>
  <c r="J1520" i="8"/>
  <c r="K1548" i="8"/>
  <c r="F1608" i="8"/>
  <c r="J1607" i="8"/>
  <c r="N1533" i="8"/>
  <c r="G1575" i="8"/>
  <c r="I1569" i="8"/>
  <c r="F1668" i="8"/>
  <c r="I1367" i="8"/>
  <c r="I1500" i="8"/>
  <c r="J1633" i="8"/>
  <c r="I1404" i="8"/>
  <c r="M1532" i="8"/>
  <c r="J1623" i="8"/>
  <c r="M1587" i="8"/>
  <c r="I1647" i="8"/>
  <c r="I1589" i="8"/>
  <c r="L1358" i="8"/>
  <c r="O1529" i="8"/>
  <c r="K1646" i="8"/>
  <c r="M1630" i="8"/>
  <c r="O1636" i="8"/>
  <c r="G1497" i="8"/>
  <c r="F1511" i="8"/>
  <c r="H1546" i="8"/>
  <c r="O1655" i="8"/>
  <c r="F1525" i="8"/>
  <c r="F1541" i="8"/>
  <c r="G1674" i="8"/>
  <c r="K1527" i="8"/>
  <c r="J1516" i="8"/>
  <c r="M1677" i="8"/>
  <c r="J1678" i="8"/>
  <c r="K1555" i="8"/>
  <c r="G503" i="8"/>
  <c r="E870" i="8"/>
  <c r="L922" i="8"/>
  <c r="O554" i="8"/>
  <c r="H771" i="8"/>
  <c r="N191" i="8"/>
  <c r="E972" i="8"/>
  <c r="H784" i="8"/>
  <c r="J1047" i="8"/>
  <c r="O1123" i="8"/>
  <c r="K1190" i="8"/>
  <c r="H1193" i="8"/>
  <c r="M1426" i="8"/>
  <c r="K1431" i="8"/>
  <c r="I1464" i="8"/>
  <c r="L1069" i="8"/>
  <c r="J1128" i="8"/>
  <c r="M1408" i="8"/>
  <c r="K1443" i="8"/>
  <c r="L1454" i="8"/>
  <c r="E1444" i="8"/>
  <c r="E1025" i="8"/>
  <c r="J1093" i="8"/>
  <c r="H1098" i="8"/>
  <c r="I1249" i="8"/>
  <c r="O887" i="8"/>
  <c r="M884" i="8"/>
  <c r="J1089" i="8"/>
  <c r="H1156" i="8"/>
  <c r="F1265" i="8"/>
  <c r="G1429" i="8"/>
  <c r="O953" i="8"/>
  <c r="O1149" i="8"/>
  <c r="E1169" i="8"/>
  <c r="G1252" i="8"/>
  <c r="O1385" i="8"/>
  <c r="I1355" i="8"/>
  <c r="M1028" i="8"/>
  <c r="K1134" i="8"/>
  <c r="O1181" i="8"/>
  <c r="K1168" i="8"/>
  <c r="H1337" i="8"/>
  <c r="M1393" i="8"/>
  <c r="N1403" i="8"/>
  <c r="O1538" i="8"/>
  <c r="O993" i="8"/>
  <c r="E1053" i="8"/>
  <c r="H1147" i="8"/>
  <c r="N1144" i="8"/>
  <c r="G1194" i="8"/>
  <c r="K1246" i="8"/>
  <c r="E1247" i="8"/>
  <c r="F1405" i="8"/>
  <c r="N1413" i="8"/>
  <c r="L1038" i="8"/>
  <c r="M1118" i="8"/>
  <c r="G1077" i="8"/>
  <c r="G1263" i="8"/>
  <c r="H1262" i="8"/>
  <c r="M1423" i="8"/>
  <c r="H1384" i="8"/>
  <c r="G1521" i="8"/>
  <c r="M1013" i="8"/>
  <c r="F1115" i="8"/>
  <c r="E1178" i="8"/>
  <c r="I1277" i="8"/>
  <c r="L1383" i="8"/>
  <c r="I1374" i="8"/>
  <c r="N1015" i="8"/>
  <c r="F1096" i="8"/>
  <c r="L1210" i="8"/>
  <c r="G1206" i="8"/>
  <c r="E952" i="8"/>
  <c r="E944" i="8"/>
  <c r="J1101" i="8"/>
  <c r="L1120" i="8"/>
  <c r="H1177" i="8"/>
  <c r="N1217" i="8"/>
  <c r="I1216" i="8"/>
  <c r="G899" i="8"/>
  <c r="O994" i="8"/>
  <c r="G1061" i="8"/>
  <c r="N1449" i="8"/>
  <c r="E1447" i="8"/>
  <c r="L962" i="8"/>
  <c r="J1021" i="8"/>
  <c r="I1251" i="8"/>
  <c r="O1302" i="8"/>
  <c r="N1325" i="8"/>
  <c r="I1368" i="8"/>
  <c r="M866" i="8"/>
  <c r="F931" i="8"/>
  <c r="H963" i="8"/>
  <c r="E1031" i="8"/>
  <c r="E1170" i="8"/>
  <c r="K1231" i="8"/>
  <c r="J1230" i="8"/>
  <c r="E1285" i="8"/>
  <c r="L1306" i="8"/>
  <c r="M1310" i="8"/>
  <c r="I1029" i="8"/>
  <c r="G1112" i="8"/>
  <c r="L1253" i="8"/>
  <c r="N1243" i="8"/>
  <c r="M1340" i="8"/>
  <c r="M1479" i="8"/>
  <c r="I1562" i="8"/>
  <c r="N1652" i="8"/>
  <c r="O1480" i="8"/>
  <c r="J1611" i="8"/>
  <c r="O1535" i="8"/>
  <c r="L1596" i="8"/>
  <c r="F1603" i="8"/>
  <c r="H1329" i="8"/>
  <c r="H1590" i="8"/>
  <c r="H1586" i="8"/>
  <c r="N1520" i="8"/>
  <c r="G1548" i="8"/>
  <c r="L1608" i="8"/>
  <c r="N1607" i="8"/>
  <c r="E1533" i="8"/>
  <c r="I1575" i="8"/>
  <c r="K1569" i="8"/>
  <c r="N1668" i="8"/>
  <c r="K1452" i="8"/>
  <c r="K1500" i="8"/>
  <c r="K1633" i="8"/>
  <c r="J1404" i="8"/>
  <c r="G1532" i="8"/>
  <c r="L1623" i="8"/>
  <c r="N1587" i="8"/>
  <c r="G1647" i="8"/>
  <c r="J1589" i="8"/>
  <c r="N1358" i="8"/>
  <c r="E1529" i="8"/>
  <c r="E1639" i="8"/>
  <c r="N1630" i="8"/>
  <c r="E1636" i="8"/>
  <c r="O1497" i="8"/>
  <c r="G1511" i="8"/>
  <c r="I1546" i="8"/>
  <c r="H1655" i="8"/>
  <c r="H1525" i="8"/>
  <c r="H1541" i="8"/>
  <c r="J1674" i="8"/>
  <c r="E1527" i="8"/>
  <c r="F1578" i="8"/>
  <c r="F1677" i="8"/>
  <c r="K1678" i="8"/>
  <c r="M1555" i="8"/>
  <c r="N762" i="8"/>
  <c r="N464" i="8"/>
  <c r="M891" i="8"/>
  <c r="I602" i="8"/>
  <c r="E719" i="8"/>
  <c r="H1137" i="8"/>
  <c r="M475" i="8"/>
  <c r="O503" i="8"/>
  <c r="E854" i="8"/>
  <c r="M399" i="8"/>
  <c r="J587" i="8"/>
  <c r="N661" i="8"/>
  <c r="F730" i="8"/>
  <c r="H799" i="8"/>
  <c r="L855" i="8"/>
  <c r="F762" i="8"/>
  <c r="J785" i="8"/>
  <c r="G870" i="8"/>
  <c r="I687" i="8"/>
  <c r="J706" i="8"/>
  <c r="K911" i="8"/>
  <c r="F456" i="8"/>
  <c r="H426" i="8"/>
  <c r="G464" i="8"/>
  <c r="M522" i="8"/>
  <c r="F924" i="8"/>
  <c r="F922" i="8"/>
  <c r="L815" i="8"/>
  <c r="J818" i="8"/>
  <c r="N422" i="8"/>
  <c r="O621" i="8"/>
  <c r="K392" i="8"/>
  <c r="K763" i="8"/>
  <c r="E826" i="8"/>
  <c r="O934" i="8"/>
  <c r="J624" i="8"/>
  <c r="E891" i="8"/>
  <c r="M327" i="8"/>
  <c r="J499" i="8"/>
  <c r="H521" i="8"/>
  <c r="G771" i="8"/>
  <c r="I793" i="8"/>
  <c r="J949" i="8"/>
  <c r="E656" i="8"/>
  <c r="J873" i="8"/>
  <c r="H958" i="8"/>
  <c r="E357" i="8"/>
  <c r="N530" i="8"/>
  <c r="J817" i="8"/>
  <c r="G158" i="8"/>
  <c r="G359" i="8"/>
  <c r="K602" i="8"/>
  <c r="O191" i="8"/>
  <c r="H258" i="8"/>
  <c r="I360" i="8"/>
  <c r="J716" i="8"/>
  <c r="M722" i="8"/>
  <c r="J794" i="8"/>
  <c r="F972" i="8"/>
  <c r="E389" i="8"/>
  <c r="O596" i="8"/>
  <c r="M693" i="8"/>
  <c r="M719" i="8"/>
  <c r="I784" i="8"/>
  <c r="G767" i="8"/>
  <c r="J1001" i="8"/>
  <c r="L1047" i="8"/>
  <c r="E1123" i="8"/>
  <c r="E1190" i="8"/>
  <c r="E1258" i="8"/>
  <c r="F1426" i="8"/>
  <c r="H1431" i="8"/>
  <c r="L1464" i="8"/>
  <c r="E1069" i="8"/>
  <c r="K1128" i="8"/>
  <c r="F1157" i="8"/>
  <c r="K1300" i="8"/>
  <c r="I1420" i="8"/>
  <c r="F1468" i="8"/>
  <c r="I989" i="8"/>
  <c r="I1137" i="8"/>
  <c r="E1345" i="8"/>
  <c r="E1324" i="8"/>
  <c r="N1408" i="8"/>
  <c r="L1443" i="8"/>
  <c r="M1454" i="8"/>
  <c r="O1444" i="8"/>
  <c r="F1025" i="8"/>
  <c r="J1098" i="8"/>
  <c r="K1249" i="8"/>
  <c r="F887" i="8"/>
  <c r="G884" i="8"/>
  <c r="O1089" i="8"/>
  <c r="I1156" i="8"/>
  <c r="J1265" i="8"/>
  <c r="H1429" i="8"/>
  <c r="F953" i="8"/>
  <c r="F1185" i="8"/>
  <c r="F1169" i="8"/>
  <c r="O1252" i="8"/>
  <c r="I1385" i="8"/>
  <c r="J1355" i="8"/>
  <c r="O1028" i="8"/>
  <c r="I1134" i="8"/>
  <c r="F1181" i="8"/>
  <c r="L1168" i="8"/>
  <c r="L1337" i="8"/>
  <c r="G1393" i="8"/>
  <c r="I1510" i="8"/>
  <c r="G1538" i="8"/>
  <c r="H993" i="8"/>
  <c r="M1053" i="8"/>
  <c r="I1147" i="8"/>
  <c r="G1144" i="8"/>
  <c r="O1194" i="8"/>
  <c r="M1246" i="8"/>
  <c r="K1247" i="8"/>
  <c r="L1405" i="8"/>
  <c r="G1413" i="8"/>
  <c r="K1092" i="8"/>
  <c r="N1118" i="8"/>
  <c r="J1077" i="8"/>
  <c r="H1263" i="8"/>
  <c r="I1262" i="8"/>
  <c r="F1423" i="8"/>
  <c r="I1384" i="8"/>
  <c r="I1521" i="8"/>
  <c r="E1013" i="8"/>
  <c r="G1115" i="8"/>
  <c r="M1178" i="8"/>
  <c r="H1392" i="8"/>
  <c r="F1383" i="8"/>
  <c r="J1374" i="8"/>
  <c r="O1015" i="8"/>
  <c r="H1096" i="8"/>
  <c r="N1210" i="8"/>
  <c r="O1206" i="8"/>
  <c r="O952" i="8"/>
  <c r="O944" i="8"/>
  <c r="K1101" i="8"/>
  <c r="F1120" i="8"/>
  <c r="J1222" i="8"/>
  <c r="O1217" i="8"/>
  <c r="J1216" i="8"/>
  <c r="I899" i="8"/>
  <c r="J994" i="8"/>
  <c r="H1061" i="8"/>
  <c r="O1449" i="8"/>
  <c r="L1447" i="8"/>
  <c r="M962" i="8"/>
  <c r="G1085" i="8"/>
  <c r="L1251" i="8"/>
  <c r="K1302" i="8"/>
  <c r="J1325" i="8"/>
  <c r="J1368" i="8"/>
  <c r="E866" i="8"/>
  <c r="N931" i="8"/>
  <c r="I963" i="8"/>
  <c r="I1031" i="8"/>
  <c r="F1170" i="8"/>
  <c r="F1311" i="8"/>
  <c r="K1230" i="8"/>
  <c r="M1285" i="8"/>
  <c r="N1306" i="8"/>
  <c r="G1310" i="8"/>
  <c r="K1029" i="8"/>
  <c r="H1112" i="8"/>
  <c r="N1253" i="8"/>
  <c r="O1243" i="8"/>
  <c r="M1460" i="8"/>
  <c r="O1479" i="8"/>
  <c r="J1562" i="8"/>
  <c r="E1652" i="8"/>
  <c r="K1480" i="8"/>
  <c r="K1611" i="8"/>
  <c r="G1535" i="8"/>
  <c r="N1596" i="8"/>
  <c r="L1603" i="8"/>
  <c r="J1329" i="8"/>
  <c r="E1590" i="8"/>
  <c r="H1619" i="8"/>
  <c r="O1520" i="8"/>
  <c r="O1548" i="8"/>
  <c r="N1608" i="8"/>
  <c r="G1607" i="8"/>
  <c r="I1533" i="8"/>
  <c r="J1575" i="8"/>
  <c r="M1569" i="8"/>
  <c r="G1668" i="8"/>
  <c r="F1452" i="8"/>
  <c r="N1500" i="8"/>
  <c r="F1594" i="8"/>
  <c r="L1404" i="8"/>
  <c r="O1532" i="8"/>
  <c r="E1623" i="8"/>
  <c r="H1587" i="8"/>
  <c r="O1647" i="8"/>
  <c r="E1589" i="8"/>
  <c r="F1358" i="8"/>
  <c r="N1529" i="8"/>
  <c r="M1639" i="8"/>
  <c r="E1630" i="8"/>
  <c r="H1673" i="8"/>
  <c r="E1497" i="8"/>
  <c r="L1511" i="8"/>
  <c r="L1546" i="8"/>
  <c r="I1655" i="8"/>
  <c r="K1525" i="8"/>
  <c r="I1541" i="8"/>
  <c r="O1674" i="8"/>
  <c r="N1527" i="8"/>
  <c r="I1578" i="8"/>
  <c r="N1677" i="8"/>
  <c r="G1658" i="8"/>
  <c r="I1555" i="8"/>
  <c r="L399" i="8"/>
  <c r="I326" i="8"/>
  <c r="L422" i="8"/>
  <c r="G624" i="8"/>
  <c r="G958" i="8"/>
  <c r="O258" i="8"/>
  <c r="E693" i="8"/>
  <c r="I1001" i="8"/>
  <c r="E1468" i="8"/>
  <c r="I475" i="8"/>
  <c r="H503" i="8"/>
  <c r="O854" i="8"/>
  <c r="I399" i="8"/>
  <c r="K587" i="8"/>
  <c r="I661" i="8"/>
  <c r="L730" i="8"/>
  <c r="I799" i="8"/>
  <c r="O855" i="8"/>
  <c r="G762" i="8"/>
  <c r="L870" i="8"/>
  <c r="K706" i="8"/>
  <c r="N911" i="8"/>
  <c r="N456" i="8"/>
  <c r="O464" i="8"/>
  <c r="N522" i="8"/>
  <c r="J924" i="8"/>
  <c r="N922" i="8"/>
  <c r="N815" i="8"/>
  <c r="K818" i="8"/>
  <c r="O422" i="8"/>
  <c r="K621" i="8"/>
  <c r="G392" i="8"/>
  <c r="E690" i="8"/>
  <c r="O826" i="8"/>
  <c r="H934" i="8"/>
  <c r="H624" i="8"/>
  <c r="K891" i="8"/>
  <c r="G327" i="8"/>
  <c r="E499" i="8"/>
  <c r="J927" i="8"/>
  <c r="I521" i="8"/>
  <c r="O771" i="8"/>
  <c r="J793" i="8"/>
  <c r="G949" i="8"/>
  <c r="I656" i="8"/>
  <c r="J958" i="8"/>
  <c r="M357" i="8"/>
  <c r="L530" i="8"/>
  <c r="H158" i="8"/>
  <c r="O359" i="8"/>
  <c r="L602" i="8"/>
  <c r="K191" i="8"/>
  <c r="I258" i="8"/>
  <c r="H360" i="8"/>
  <c r="K716" i="8"/>
  <c r="M794" i="8"/>
  <c r="I972" i="8"/>
  <c r="M389" i="8"/>
  <c r="F596" i="8"/>
  <c r="F693" i="8"/>
  <c r="J784" i="8"/>
  <c r="H767" i="8"/>
  <c r="K1001" i="8"/>
  <c r="M1047" i="8"/>
  <c r="M1123" i="8"/>
  <c r="M1190" i="8"/>
  <c r="J1258" i="8"/>
  <c r="N1426" i="8"/>
  <c r="F1410" i="8"/>
  <c r="M1464" i="8"/>
  <c r="M1069" i="8"/>
  <c r="E1128" i="8"/>
  <c r="G1157" i="8"/>
  <c r="L1300" i="8"/>
  <c r="J1420" i="8"/>
  <c r="G1468" i="8"/>
  <c r="O989" i="8"/>
  <c r="I1356" i="8"/>
  <c r="M1345" i="8"/>
  <c r="M1324" i="8"/>
  <c r="E1408" i="8"/>
  <c r="F1443" i="8"/>
  <c r="N1454" i="8"/>
  <c r="F1444" i="8"/>
  <c r="G1025" i="8"/>
  <c r="K1098" i="8"/>
  <c r="E1124" i="8"/>
  <c r="G887" i="8"/>
  <c r="O884" i="8"/>
  <c r="K1089" i="8"/>
  <c r="K1156" i="8"/>
  <c r="L1265" i="8"/>
  <c r="I1429" i="8"/>
  <c r="G953" i="8"/>
  <c r="M1185" i="8"/>
  <c r="G1169" i="8"/>
  <c r="J1401" i="8"/>
  <c r="K1385" i="8"/>
  <c r="K1355" i="8"/>
  <c r="E1028" i="8"/>
  <c r="J1134" i="8"/>
  <c r="L1181" i="8"/>
  <c r="F1168" i="8"/>
  <c r="O1337" i="8"/>
  <c r="O1393" i="8"/>
  <c r="H1510" i="8"/>
  <c r="J1538" i="8"/>
  <c r="H1030" i="8"/>
  <c r="F1053" i="8"/>
  <c r="J1147" i="8"/>
  <c r="H1144" i="8"/>
  <c r="I1194" i="8"/>
  <c r="O1246" i="8"/>
  <c r="L1247" i="8"/>
  <c r="M1405" i="8"/>
  <c r="O1413" i="8"/>
  <c r="L1092" i="8"/>
  <c r="E1118" i="8"/>
  <c r="O1236" i="8"/>
  <c r="I1263" i="8"/>
  <c r="K1262" i="8"/>
  <c r="N1423" i="8"/>
  <c r="J1384" i="8"/>
  <c r="J1521" i="8"/>
  <c r="K1013" i="8"/>
  <c r="H1115" i="8"/>
  <c r="G1178" i="8"/>
  <c r="K1392" i="8"/>
  <c r="N1383" i="8"/>
  <c r="G984" i="8"/>
  <c r="E1015" i="8"/>
  <c r="L1096" i="8"/>
  <c r="E1210" i="8"/>
  <c r="H1206" i="8"/>
  <c r="G952" i="8"/>
  <c r="J944" i="8"/>
  <c r="L1101" i="8"/>
  <c r="N1120" i="8"/>
  <c r="L1222" i="8"/>
  <c r="E1217" i="8"/>
  <c r="O1498" i="8"/>
  <c r="J899" i="8"/>
  <c r="K994" i="8"/>
  <c r="I1061" i="8"/>
  <c r="F1449" i="8"/>
  <c r="F1447" i="8"/>
  <c r="E962" i="8"/>
  <c r="L1085" i="8"/>
  <c r="E1251" i="8"/>
  <c r="E1281" i="8"/>
  <c r="L1325" i="8"/>
  <c r="K1368" i="8"/>
  <c r="I866" i="8"/>
  <c r="G931" i="8"/>
  <c r="J963" i="8"/>
  <c r="J1031" i="8"/>
  <c r="I1170" i="8"/>
  <c r="I1311" i="8"/>
  <c r="L1230" i="8"/>
  <c r="G1369" i="8"/>
  <c r="O1306" i="8"/>
  <c r="O1310" i="8"/>
  <c r="F1029" i="8"/>
  <c r="I1112" i="8"/>
  <c r="O1253" i="8"/>
  <c r="E1243" i="8"/>
  <c r="E1460" i="8"/>
  <c r="F1479" i="8"/>
  <c r="M1583" i="8"/>
  <c r="F1652" i="8"/>
  <c r="L1480" i="8"/>
  <c r="N1611" i="8"/>
  <c r="I1535" i="8"/>
  <c r="J1596" i="8"/>
  <c r="E1603" i="8"/>
  <c r="K1329" i="8"/>
  <c r="M1590" i="8"/>
  <c r="J1619" i="8"/>
  <c r="H1520" i="8"/>
  <c r="M1570" i="8"/>
  <c r="H1608" i="8"/>
  <c r="K1607" i="8"/>
  <c r="J1533" i="8"/>
  <c r="E1575" i="8"/>
  <c r="O1569" i="8"/>
  <c r="O1668" i="8"/>
  <c r="G1452" i="8"/>
  <c r="O1500" i="8"/>
  <c r="O1594" i="8"/>
  <c r="M1404" i="8"/>
  <c r="N1642" i="8"/>
  <c r="M1623" i="8"/>
  <c r="K1587" i="8"/>
  <c r="J1647" i="8"/>
  <c r="M1589" i="8"/>
  <c r="K1358" i="8"/>
  <c r="G1529" i="8"/>
  <c r="L1639" i="8"/>
  <c r="O1630" i="8"/>
  <c r="I1673" i="8"/>
  <c r="F1497" i="8"/>
  <c r="N1539" i="8"/>
  <c r="G1546" i="8"/>
  <c r="J1655" i="8"/>
  <c r="L1525" i="8"/>
  <c r="G1541" i="8"/>
  <c r="K1674" i="8"/>
  <c r="G1527" i="8"/>
  <c r="J1578" i="8"/>
  <c r="G1677" i="8"/>
  <c r="M1658" i="8"/>
  <c r="L1555" i="8"/>
  <c r="E730" i="8"/>
  <c r="M456" i="8"/>
  <c r="K815" i="8"/>
  <c r="G763" i="8"/>
  <c r="N656" i="8"/>
  <c r="G360" i="8"/>
  <c r="M596" i="8"/>
  <c r="J1300" i="8"/>
  <c r="J475" i="8"/>
  <c r="I503" i="8"/>
  <c r="G854" i="8"/>
  <c r="J399" i="8"/>
  <c r="L587" i="8"/>
  <c r="K661" i="8"/>
  <c r="H730" i="8"/>
  <c r="K799" i="8"/>
  <c r="I855" i="8"/>
  <c r="I762" i="8"/>
  <c r="F870" i="8"/>
  <c r="M706" i="8"/>
  <c r="O911" i="8"/>
  <c r="H456" i="8"/>
  <c r="E522" i="8"/>
  <c r="G924" i="8"/>
  <c r="G922" i="8"/>
  <c r="G815" i="8"/>
  <c r="L818" i="8"/>
  <c r="K422" i="8"/>
  <c r="L621" i="8"/>
  <c r="O392" i="8"/>
  <c r="J690" i="8"/>
  <c r="F826" i="8"/>
  <c r="I934" i="8"/>
  <c r="K624" i="8"/>
  <c r="L891" i="8"/>
  <c r="O327" i="8"/>
  <c r="M499" i="8"/>
  <c r="K927" i="8"/>
  <c r="K521" i="8"/>
  <c r="L793" i="8"/>
  <c r="H949" i="8"/>
  <c r="J656" i="8"/>
  <c r="K958" i="8"/>
  <c r="F357" i="8"/>
  <c r="G530" i="8"/>
  <c r="I158" i="8"/>
  <c r="J359" i="8"/>
  <c r="N602" i="8"/>
  <c r="L191" i="8"/>
  <c r="O300" i="8"/>
  <c r="L360" i="8"/>
  <c r="L716" i="8"/>
  <c r="K794" i="8"/>
  <c r="J972" i="8"/>
  <c r="F389" i="8"/>
  <c r="N596" i="8"/>
  <c r="N693" i="8"/>
  <c r="K784" i="8"/>
  <c r="I767" i="8"/>
  <c r="L1001" i="8"/>
  <c r="E1047" i="8"/>
  <c r="F1123" i="8"/>
  <c r="G1190" i="8"/>
  <c r="H1258" i="8"/>
  <c r="G1426" i="8"/>
  <c r="L1410" i="8"/>
  <c r="E1464" i="8"/>
  <c r="G1005" i="8"/>
  <c r="F1069" i="8"/>
  <c r="M1128" i="8"/>
  <c r="I1157" i="8"/>
  <c r="F1300" i="8"/>
  <c r="L1420" i="8"/>
  <c r="H1468" i="8"/>
  <c r="G989" i="8"/>
  <c r="N1356" i="8"/>
  <c r="G1345" i="8"/>
  <c r="E1416" i="8"/>
  <c r="O1408" i="8"/>
  <c r="N1443" i="8"/>
  <c r="O1454" i="8"/>
  <c r="G1444" i="8"/>
  <c r="H1025" i="8"/>
  <c r="L1098" i="8"/>
  <c r="M1124" i="8"/>
  <c r="E887" i="8"/>
  <c r="O1000" i="8"/>
  <c r="L1089" i="8"/>
  <c r="N1156" i="8"/>
  <c r="M1265" i="8"/>
  <c r="J1429" i="8"/>
  <c r="H953" i="8"/>
  <c r="N1185" i="8"/>
  <c r="H1169" i="8"/>
  <c r="G1401" i="8"/>
  <c r="L1385" i="8"/>
  <c r="J1419" i="8"/>
  <c r="H1028" i="8"/>
  <c r="L1134" i="8"/>
  <c r="M1181" i="8"/>
  <c r="N1168" i="8"/>
  <c r="G1337" i="8"/>
  <c r="H1393" i="8"/>
  <c r="L1510" i="8"/>
  <c r="L1538" i="8"/>
  <c r="I1030" i="8"/>
  <c r="N1053" i="8"/>
  <c r="O1110" i="8"/>
  <c r="L1144" i="8"/>
  <c r="K1194" i="8"/>
  <c r="L1246" i="8"/>
  <c r="F1247" i="8"/>
  <c r="E1405" i="8"/>
  <c r="H1413" i="8"/>
  <c r="M1092" i="8"/>
  <c r="O1118" i="8"/>
  <c r="F1236" i="8"/>
  <c r="J1263" i="8"/>
  <c r="K1261" i="8"/>
  <c r="G1423" i="8"/>
  <c r="K1384" i="8"/>
  <c r="K1521" i="8"/>
  <c r="F1013" i="8"/>
  <c r="J1115" i="8"/>
  <c r="O1178" i="8"/>
  <c r="I1392" i="8"/>
  <c r="G1383" i="8"/>
  <c r="L984" i="8"/>
  <c r="G1015" i="8"/>
  <c r="O1200" i="8"/>
  <c r="M1210" i="8"/>
  <c r="I1206" i="8"/>
  <c r="H952" i="8"/>
  <c r="F944" i="8"/>
  <c r="M1101" i="8"/>
  <c r="G1120" i="8"/>
  <c r="K1222" i="8"/>
  <c r="F1217" i="8"/>
  <c r="E1498" i="8"/>
  <c r="L899" i="8"/>
  <c r="J1061" i="8"/>
  <c r="H1449" i="8"/>
  <c r="N1447" i="8"/>
  <c r="H962" i="8"/>
  <c r="H1085" i="8"/>
  <c r="M1251" i="8"/>
  <c r="J1281" i="8"/>
  <c r="K1325" i="8"/>
  <c r="G1459" i="8"/>
  <c r="L866" i="8"/>
  <c r="O931" i="8"/>
  <c r="K963" i="8"/>
  <c r="L1031" i="8"/>
  <c r="K1170" i="8"/>
  <c r="J1311" i="8"/>
  <c r="M1230" i="8"/>
  <c r="H1369" i="8"/>
  <c r="F1306" i="8"/>
  <c r="E1399" i="8"/>
  <c r="N1029" i="8"/>
  <c r="L1112" i="8"/>
  <c r="F1253" i="8"/>
  <c r="I1243" i="8"/>
  <c r="F1460" i="8"/>
  <c r="N1479" i="8"/>
  <c r="E1583" i="8"/>
  <c r="L1652" i="8"/>
  <c r="I1561" i="8"/>
  <c r="O1611" i="8"/>
  <c r="H1535" i="8"/>
  <c r="I1596" i="8"/>
  <c r="J1603" i="8"/>
  <c r="F1329" i="8"/>
  <c r="G1590" i="8"/>
  <c r="N1619" i="8"/>
  <c r="K1520" i="8"/>
  <c r="N1570" i="8"/>
  <c r="O1608" i="8"/>
  <c r="J1457" i="8"/>
  <c r="L1533" i="8"/>
  <c r="M1575" i="8"/>
  <c r="E1569" i="8"/>
  <c r="I1668" i="8"/>
  <c r="H1452" i="8"/>
  <c r="E1500" i="8"/>
  <c r="G1594" i="8"/>
  <c r="E1404" i="8"/>
  <c r="E1642" i="8"/>
  <c r="F1623" i="8"/>
  <c r="J1531" i="8"/>
  <c r="K1647" i="8"/>
  <c r="H1589" i="8"/>
  <c r="E1358" i="8"/>
  <c r="H1529" i="8"/>
  <c r="K1639" i="8"/>
  <c r="F1630" i="8"/>
  <c r="J1673" i="8"/>
  <c r="N1497" i="8"/>
  <c r="E1539" i="8"/>
  <c r="K1546" i="8"/>
  <c r="G1352" i="8"/>
  <c r="M1525" i="8"/>
  <c r="O1541" i="8"/>
  <c r="L1674" i="8"/>
  <c r="H1527" i="8"/>
  <c r="K1578" i="8"/>
  <c r="O1677" i="8"/>
  <c r="O1658" i="8"/>
  <c r="E1555" i="8"/>
  <c r="E475" i="8"/>
  <c r="L785" i="8"/>
  <c r="H818" i="8"/>
  <c r="N826" i="8"/>
  <c r="N359" i="8"/>
  <c r="H716" i="8"/>
  <c r="F1420" i="8"/>
  <c r="J503" i="8"/>
  <c r="I854" i="8"/>
  <c r="K399" i="8"/>
  <c r="J661" i="8"/>
  <c r="I730" i="8"/>
  <c r="L799" i="8"/>
  <c r="E855" i="8"/>
  <c r="J762" i="8"/>
  <c r="N870" i="8"/>
  <c r="N706" i="8"/>
  <c r="F911" i="8"/>
  <c r="I456" i="8"/>
  <c r="F522" i="8"/>
  <c r="O924" i="8"/>
  <c r="O922" i="8"/>
  <c r="O815" i="8"/>
  <c r="E422" i="8"/>
  <c r="M621" i="8"/>
  <c r="H392" i="8"/>
  <c r="K690" i="8"/>
  <c r="G826" i="8"/>
  <c r="J934" i="8"/>
  <c r="M624" i="8"/>
  <c r="N891" i="8"/>
  <c r="I327" i="8"/>
  <c r="F499" i="8"/>
  <c r="H683" i="8"/>
  <c r="N927" i="8"/>
  <c r="L521" i="8"/>
  <c r="M793" i="8"/>
  <c r="J851" i="8"/>
  <c r="K949" i="8"/>
  <c r="K656" i="8"/>
  <c r="L958" i="8"/>
  <c r="N357" i="8"/>
  <c r="O530" i="8"/>
  <c r="J158" i="8"/>
  <c r="K359" i="8"/>
  <c r="E602" i="8"/>
  <c r="E191" i="8"/>
  <c r="F300" i="8"/>
  <c r="I716" i="8"/>
  <c r="L794" i="8"/>
  <c r="K972" i="8"/>
  <c r="N389" i="8"/>
  <c r="H596" i="8"/>
  <c r="G693" i="8"/>
  <c r="F784" i="8"/>
  <c r="J767" i="8"/>
  <c r="E1063" i="8"/>
  <c r="F1047" i="8"/>
  <c r="N1123" i="8"/>
  <c r="O1190" i="8"/>
  <c r="K1258" i="8"/>
  <c r="O1426" i="8"/>
  <c r="H1410" i="8"/>
  <c r="N1464" i="8"/>
  <c r="I1005" i="8"/>
  <c r="N1069" i="8"/>
  <c r="J1157" i="8"/>
  <c r="N1300" i="8"/>
  <c r="M1420" i="8"/>
  <c r="I1468" i="8"/>
  <c r="H989" i="8"/>
  <c r="O1356" i="8"/>
  <c r="O1345" i="8"/>
  <c r="G1416" i="8"/>
  <c r="F1408" i="8"/>
  <c r="F1427" i="8"/>
  <c r="E1454" i="8"/>
  <c r="I1444" i="8"/>
  <c r="I1025" i="8"/>
  <c r="E1098" i="8"/>
  <c r="O1124" i="8"/>
  <c r="I887" i="8"/>
  <c r="H1000" i="8"/>
  <c r="M1089" i="8"/>
  <c r="K1155" i="8"/>
  <c r="N1265" i="8"/>
  <c r="K1429" i="8"/>
  <c r="I953" i="8"/>
  <c r="O1185" i="8"/>
  <c r="I1169" i="8"/>
  <c r="O1401" i="8"/>
  <c r="E1385" i="8"/>
  <c r="K1419" i="8"/>
  <c r="L1028" i="8"/>
  <c r="O1201" i="8"/>
  <c r="E1181" i="8"/>
  <c r="J1168" i="8"/>
  <c r="J1337" i="8"/>
  <c r="I1393" i="8"/>
  <c r="M1510" i="8"/>
  <c r="M1538" i="8"/>
  <c r="J1030" i="8"/>
  <c r="G1053" i="8"/>
  <c r="G1110" i="8"/>
  <c r="O1144" i="8"/>
  <c r="G1173" i="8"/>
  <c r="E1246" i="8"/>
  <c r="N1247" i="8"/>
  <c r="N1405" i="8"/>
  <c r="I1413" i="8"/>
  <c r="O1092" i="8"/>
  <c r="I1118" i="8"/>
  <c r="G1236" i="8"/>
  <c r="K1263" i="8"/>
  <c r="H1261" i="8"/>
  <c r="O1423" i="8"/>
  <c r="J1472" i="8"/>
  <c r="L1521" i="8"/>
  <c r="N1013" i="8"/>
  <c r="K1115" i="8"/>
  <c r="I1178" i="8"/>
  <c r="J1392" i="8"/>
  <c r="O1383" i="8"/>
  <c r="O984" i="8"/>
  <c r="I1015" i="8"/>
  <c r="E1200" i="8"/>
  <c r="G1210" i="8"/>
  <c r="F1390" i="8"/>
  <c r="I952" i="8"/>
  <c r="N944" i="8"/>
  <c r="O1101" i="8"/>
  <c r="O1120" i="8"/>
  <c r="E1222" i="8"/>
  <c r="J1217" i="8"/>
  <c r="G1498" i="8"/>
  <c r="M899" i="8"/>
  <c r="K1061" i="8"/>
  <c r="L1278" i="8"/>
  <c r="J1449" i="8"/>
  <c r="H1447" i="8"/>
  <c r="I962" i="8"/>
  <c r="I1085" i="8"/>
  <c r="F1251" i="8"/>
  <c r="L1281" i="8"/>
  <c r="E1325" i="8"/>
  <c r="H1459" i="8"/>
  <c r="F866" i="8"/>
  <c r="K977" i="8"/>
  <c r="M963" i="8"/>
  <c r="M1031" i="8"/>
  <c r="G1170" i="8"/>
  <c r="L1311" i="8"/>
  <c r="E1230" i="8"/>
  <c r="J1369" i="8"/>
  <c r="H1306" i="8"/>
  <c r="M1399" i="8"/>
  <c r="O1112" i="8"/>
  <c r="G1253" i="8"/>
  <c r="J1243" i="8"/>
  <c r="G1460" i="8"/>
  <c r="H1479" i="8"/>
  <c r="F1583" i="8"/>
  <c r="G1652" i="8"/>
  <c r="E1561" i="8"/>
  <c r="G1611" i="8"/>
  <c r="G1494" i="8"/>
  <c r="K1596" i="8"/>
  <c r="I1603" i="8"/>
  <c r="L1329" i="8"/>
  <c r="O1590" i="8"/>
  <c r="O1619" i="8"/>
  <c r="L1520" i="8"/>
  <c r="L1570" i="8"/>
  <c r="J1608" i="8"/>
  <c r="K1457" i="8"/>
  <c r="F1533" i="8"/>
  <c r="E1625" i="8"/>
  <c r="F1569" i="8"/>
  <c r="J1668" i="8"/>
  <c r="I1452" i="8"/>
  <c r="F1500" i="8"/>
  <c r="I1594" i="8"/>
  <c r="N1404" i="8"/>
  <c r="F1642" i="8"/>
  <c r="N1623" i="8"/>
  <c r="L1531" i="8"/>
  <c r="L1647" i="8"/>
  <c r="J1490" i="8"/>
  <c r="M1358" i="8"/>
  <c r="I1529" i="8"/>
  <c r="F1639" i="8"/>
  <c r="H1630" i="8"/>
  <c r="K1673" i="8"/>
  <c r="H1497" i="8"/>
  <c r="K1539" i="8"/>
  <c r="M1546" i="8"/>
  <c r="E1352" i="8"/>
  <c r="N1525" i="8"/>
  <c r="L1645" i="8"/>
  <c r="E1674" i="8"/>
  <c r="L1527" i="8"/>
  <c r="M1578" i="8"/>
  <c r="H1677" i="8"/>
  <c r="E1658" i="8"/>
  <c r="N1555" i="8"/>
  <c r="H587" i="8"/>
  <c r="E911" i="8"/>
  <c r="K496" i="8"/>
  <c r="G793" i="8"/>
  <c r="J357" i="8"/>
  <c r="L722" i="8"/>
  <c r="L1324" i="8"/>
  <c r="K854" i="8"/>
  <c r="F399" i="8"/>
  <c r="E661" i="8"/>
  <c r="N799" i="8"/>
  <c r="M855" i="8"/>
  <c r="K762" i="8"/>
  <c r="H870" i="8"/>
  <c r="J293" i="8"/>
  <c r="O706" i="8"/>
  <c r="G911" i="8"/>
  <c r="J456" i="8"/>
  <c r="G522" i="8"/>
  <c r="J888" i="8"/>
  <c r="H924" i="8"/>
  <c r="H922" i="8"/>
  <c r="I815" i="8"/>
  <c r="M422" i="8"/>
  <c r="E621" i="8"/>
  <c r="I392" i="8"/>
  <c r="E423" i="8"/>
  <c r="M690" i="8"/>
  <c r="I826" i="8"/>
  <c r="L934" i="8"/>
  <c r="E624" i="8"/>
  <c r="M858" i="8"/>
  <c r="O891" i="8"/>
  <c r="J327" i="8"/>
  <c r="N499" i="8"/>
  <c r="I683" i="8"/>
  <c r="E629" i="8"/>
  <c r="F927" i="8"/>
  <c r="F455" i="8"/>
  <c r="E521" i="8"/>
  <c r="H793" i="8"/>
  <c r="M851" i="8"/>
  <c r="G918" i="8"/>
  <c r="L949" i="8"/>
  <c r="L656" i="8"/>
  <c r="E958" i="8"/>
  <c r="H530" i="8"/>
  <c r="K158" i="8"/>
  <c r="M602" i="8"/>
  <c r="M191" i="8"/>
  <c r="G300" i="8"/>
  <c r="E716" i="8"/>
  <c r="G794" i="8"/>
  <c r="G972" i="8"/>
  <c r="H432" i="8"/>
  <c r="K596" i="8"/>
  <c r="O693" i="8"/>
  <c r="N784" i="8"/>
  <c r="K767" i="8"/>
  <c r="I1063" i="8"/>
  <c r="N1047" i="8"/>
  <c r="I1127" i="8"/>
  <c r="I1190" i="8"/>
  <c r="M1258" i="8"/>
  <c r="I1426" i="8"/>
  <c r="I1410" i="8"/>
  <c r="F1464" i="8"/>
  <c r="M1005" i="8"/>
  <c r="G1069" i="8"/>
  <c r="H1157" i="8"/>
  <c r="I1372" i="8"/>
  <c r="N1420" i="8"/>
  <c r="M1468" i="8"/>
  <c r="J989" i="8"/>
  <c r="F1356" i="8"/>
  <c r="H1345" i="8"/>
  <c r="H1416" i="8"/>
  <c r="G1408" i="8"/>
  <c r="G1427" i="8"/>
  <c r="F1454" i="8"/>
  <c r="M1476" i="8"/>
  <c r="L1025" i="8"/>
  <c r="M1098" i="8"/>
  <c r="F1124" i="8"/>
  <c r="J887" i="8"/>
  <c r="G1000" i="8"/>
  <c r="N1089" i="8"/>
  <c r="O1155" i="8"/>
  <c r="G1265" i="8"/>
  <c r="E1417" i="8"/>
  <c r="K953" i="8"/>
  <c r="E1185" i="8"/>
  <c r="J1169" i="8"/>
  <c r="H1401" i="8"/>
  <c r="M1385" i="8"/>
  <c r="L1419" i="8"/>
  <c r="F1028" i="8"/>
  <c r="E1201" i="8"/>
  <c r="G1181" i="8"/>
  <c r="F1248" i="8"/>
  <c r="I1337" i="8"/>
  <c r="J1393" i="8"/>
  <c r="N1510" i="8"/>
  <c r="F1538" i="8"/>
  <c r="L1030" i="8"/>
  <c r="O1053" i="8"/>
  <c r="J1110" i="8"/>
  <c r="J1144" i="8"/>
  <c r="H1173" i="8"/>
  <c r="G1246" i="8"/>
  <c r="L1323" i="8"/>
  <c r="O1405" i="8"/>
  <c r="J1413" i="8"/>
  <c r="E1092" i="8"/>
  <c r="J1118" i="8"/>
  <c r="I1236" i="8"/>
  <c r="L1263" i="8"/>
  <c r="J1261" i="8"/>
  <c r="H1423" i="8"/>
  <c r="K1472" i="8"/>
  <c r="N1521" i="8"/>
  <c r="F1064" i="8"/>
  <c r="L1115" i="8"/>
  <c r="K1178" i="8"/>
  <c r="L1392" i="8"/>
  <c r="H1383" i="8"/>
  <c r="H984" i="8"/>
  <c r="J1015" i="8"/>
  <c r="G1200" i="8"/>
  <c r="O1210" i="8"/>
  <c r="K1390" i="8"/>
  <c r="K952" i="8"/>
  <c r="N1145" i="8"/>
  <c r="I1101" i="8"/>
  <c r="I1120" i="8"/>
  <c r="M1222" i="8"/>
  <c r="K1217" i="8"/>
  <c r="H1498" i="8"/>
  <c r="O899" i="8"/>
  <c r="E1061" i="8"/>
  <c r="E1278" i="8"/>
  <c r="I1449" i="8"/>
  <c r="J1487" i="8"/>
  <c r="J962" i="8"/>
  <c r="J1085" i="8"/>
  <c r="N1251" i="8"/>
  <c r="M1281" i="8"/>
  <c r="M1325" i="8"/>
  <c r="I1459" i="8"/>
  <c r="N866" i="8"/>
  <c r="I977" i="8"/>
  <c r="N963" i="8"/>
  <c r="E1087" i="8"/>
  <c r="N1031" i="8"/>
  <c r="O1170" i="8"/>
  <c r="N1311" i="8"/>
  <c r="F1230" i="8"/>
  <c r="O1369" i="8"/>
  <c r="K1306" i="8"/>
  <c r="J1399" i="8"/>
  <c r="N1112" i="8"/>
  <c r="J1189" i="8"/>
  <c r="H1253" i="8"/>
  <c r="L1243" i="8"/>
  <c r="J1460" i="8"/>
  <c r="I1479" i="8"/>
  <c r="N1583" i="8"/>
  <c r="O1652" i="8"/>
  <c r="M1561" i="8"/>
  <c r="L1611" i="8"/>
  <c r="J1494" i="8"/>
  <c r="F1596" i="8"/>
  <c r="O1618" i="8"/>
  <c r="N1329" i="8"/>
  <c r="J1590" i="8"/>
  <c r="F1619" i="8"/>
  <c r="E1520" i="8"/>
  <c r="E1570" i="8"/>
  <c r="K1608" i="8"/>
  <c r="L1457" i="8"/>
  <c r="O1533" i="8"/>
  <c r="F1625" i="8"/>
  <c r="H1569" i="8"/>
  <c r="K1367" i="8"/>
  <c r="J1452" i="8"/>
  <c r="G1500" i="8"/>
  <c r="L1594" i="8"/>
  <c r="F1404" i="8"/>
  <c r="G1642" i="8"/>
  <c r="G1623" i="8"/>
  <c r="M1531" i="8"/>
  <c r="E1647" i="8"/>
  <c r="N1490" i="8"/>
  <c r="G1358" i="8"/>
  <c r="E1646" i="8"/>
  <c r="N1639" i="8"/>
  <c r="I1630" i="8"/>
  <c r="L1673" i="8"/>
  <c r="I1497" i="8"/>
  <c r="L1539" i="8"/>
  <c r="E1546" i="8"/>
  <c r="L1352" i="8"/>
  <c r="G1525" i="8"/>
  <c r="K1645" i="8"/>
  <c r="M1674" i="8"/>
  <c r="M1516" i="8"/>
  <c r="N1578" i="8"/>
  <c r="I1677" i="8"/>
  <c r="J1658" i="8"/>
  <c r="G1555" i="8"/>
  <c r="K855" i="8"/>
  <c r="H687" i="8"/>
  <c r="L895" i="8"/>
  <c r="K753" i="8"/>
  <c r="I873" i="8"/>
  <c r="H564" i="8"/>
  <c r="E1157" i="8"/>
  <c r="L854" i="8"/>
  <c r="N399" i="8"/>
  <c r="M661" i="8"/>
  <c r="G799" i="8"/>
  <c r="L762" i="8"/>
  <c r="I870" i="8"/>
  <c r="K293" i="8"/>
  <c r="F390" i="8"/>
  <c r="H706" i="8"/>
  <c r="H911" i="8"/>
  <c r="J326" i="8"/>
  <c r="K456" i="8"/>
  <c r="H522" i="8"/>
  <c r="K888" i="8"/>
  <c r="I924" i="8"/>
  <c r="G895" i="8"/>
  <c r="J815" i="8"/>
  <c r="E496" i="8"/>
  <c r="N621" i="8"/>
  <c r="J392" i="8"/>
  <c r="F423" i="8"/>
  <c r="F554" i="8"/>
  <c r="L690" i="8"/>
  <c r="J826" i="8"/>
  <c r="E934" i="8"/>
  <c r="N624" i="8"/>
  <c r="N858" i="8"/>
  <c r="F891" i="8"/>
  <c r="K327" i="8"/>
  <c r="G499" i="8"/>
  <c r="J683" i="8"/>
  <c r="K629" i="8"/>
  <c r="H753" i="8"/>
  <c r="H927" i="8"/>
  <c r="E455" i="8"/>
  <c r="M521" i="8"/>
  <c r="K793" i="8"/>
  <c r="N851" i="8"/>
  <c r="I918" i="8"/>
  <c r="M949" i="8"/>
  <c r="M958" i="8"/>
  <c r="E158" i="8"/>
  <c r="G602" i="8"/>
  <c r="I191" i="8"/>
  <c r="I300" i="8"/>
  <c r="G564" i="8"/>
  <c r="M716" i="8"/>
  <c r="O794" i="8"/>
  <c r="O972" i="8"/>
  <c r="J432" i="8"/>
  <c r="O694" i="8"/>
  <c r="H693" i="8"/>
  <c r="G784" i="8"/>
  <c r="L767" i="8"/>
  <c r="L1063" i="8"/>
  <c r="G1047" i="8"/>
  <c r="K1127" i="8"/>
  <c r="M1193" i="8"/>
  <c r="L1258" i="8"/>
  <c r="J1426" i="8"/>
  <c r="J1410" i="8"/>
  <c r="O1464" i="8"/>
  <c r="J1005" i="8"/>
  <c r="O1069" i="8"/>
  <c r="K1157" i="8"/>
  <c r="N1372" i="8"/>
  <c r="E1420" i="8"/>
  <c r="N1509" i="8"/>
  <c r="K989" i="8"/>
  <c r="G1356" i="8"/>
  <c r="I1345" i="8"/>
  <c r="I1416" i="8"/>
  <c r="H1408" i="8"/>
  <c r="N1427" i="8"/>
  <c r="H1454" i="8"/>
  <c r="K1476" i="8"/>
  <c r="N1093" i="8"/>
  <c r="I1098" i="8"/>
  <c r="G1124" i="8"/>
  <c r="K887" i="8"/>
  <c r="L1000" i="8"/>
  <c r="F1089" i="8"/>
  <c r="G1155" i="8"/>
  <c r="O1265" i="8"/>
  <c r="F1417" i="8"/>
  <c r="I1149" i="8"/>
  <c r="G1185" i="8"/>
  <c r="K1169" i="8"/>
  <c r="I1401" i="8"/>
  <c r="F1385" i="8"/>
  <c r="E1419" i="8"/>
  <c r="N1028" i="8"/>
  <c r="F1201" i="8"/>
  <c r="K1181" i="8"/>
  <c r="G1248" i="8"/>
  <c r="K1337" i="8"/>
  <c r="L1403" i="8"/>
  <c r="E1510" i="8"/>
  <c r="N1538" i="8"/>
  <c r="M1030" i="8"/>
  <c r="I1053" i="8"/>
  <c r="K1110" i="8"/>
  <c r="K1144" i="8"/>
  <c r="O1173" i="8"/>
  <c r="I1246" i="8"/>
  <c r="M1323" i="8"/>
  <c r="G1405" i="8"/>
  <c r="H1038" i="8"/>
  <c r="G1092" i="8"/>
  <c r="L1118" i="8"/>
  <c r="N1236" i="8"/>
  <c r="F1263" i="8"/>
  <c r="L1261" i="8"/>
  <c r="I1423" i="8"/>
  <c r="L1472" i="8"/>
  <c r="O1521" i="8"/>
  <c r="G1064" i="8"/>
  <c r="M1115" i="8"/>
  <c r="H1277" i="8"/>
  <c r="E1392" i="8"/>
  <c r="I1383" i="8"/>
  <c r="I984" i="8"/>
  <c r="H1015" i="8"/>
  <c r="K1200" i="8"/>
  <c r="I1210" i="8"/>
  <c r="N1390" i="8"/>
  <c r="L952" i="8"/>
  <c r="F1145" i="8"/>
  <c r="E1101" i="8"/>
  <c r="L1177" i="8"/>
  <c r="F1222" i="8"/>
  <c r="L1217" i="8"/>
  <c r="N1498" i="8"/>
  <c r="F899" i="8"/>
  <c r="M1061" i="8"/>
  <c r="M1278" i="8"/>
  <c r="K1449" i="8"/>
  <c r="N1487" i="8"/>
  <c r="F962" i="8"/>
  <c r="H1021" i="8"/>
  <c r="K1085" i="8"/>
  <c r="H1251" i="8"/>
  <c r="F1281" i="8"/>
  <c r="G1325" i="8"/>
  <c r="O1459" i="8"/>
  <c r="G866" i="8"/>
  <c r="J977" i="8"/>
  <c r="O963" i="8"/>
  <c r="H1087" i="8"/>
  <c r="F1031" i="8"/>
  <c r="E1231" i="8"/>
  <c r="G1311" i="8"/>
  <c r="N1230" i="8"/>
  <c r="I1369" i="8"/>
  <c r="E1306" i="8"/>
  <c r="K1399" i="8"/>
  <c r="J1112" i="8"/>
  <c r="O1189" i="8"/>
  <c r="I1253" i="8"/>
  <c r="J1340" i="8"/>
  <c r="K1460" i="8"/>
  <c r="J1479" i="8"/>
  <c r="O1583" i="8"/>
  <c r="I1652" i="8"/>
  <c r="O1561" i="8"/>
  <c r="H1611" i="8"/>
  <c r="F1494" i="8"/>
  <c r="E1596" i="8"/>
  <c r="H1618" i="8"/>
  <c r="E1329" i="8"/>
  <c r="F1586" i="8"/>
  <c r="G1619" i="8"/>
  <c r="M1520" i="8"/>
  <c r="J1570" i="8"/>
  <c r="E1608" i="8"/>
  <c r="E1457" i="8"/>
  <c r="G1533" i="8"/>
  <c r="I1625" i="8"/>
  <c r="G1569" i="8"/>
  <c r="J1367" i="8"/>
  <c r="L1452" i="8"/>
  <c r="M1633" i="8"/>
  <c r="M1594" i="8"/>
  <c r="O1404" i="8"/>
  <c r="H1642" i="8"/>
  <c r="O1623" i="8"/>
  <c r="I1531" i="8"/>
  <c r="M1647" i="8"/>
  <c r="M1490" i="8"/>
  <c r="O1358" i="8"/>
  <c r="F1646" i="8"/>
  <c r="G1639" i="8"/>
  <c r="N1636" i="8"/>
  <c r="E1673" i="8"/>
  <c r="J1497" i="8"/>
  <c r="M1539" i="8"/>
  <c r="N1546" i="8"/>
  <c r="M1352" i="8"/>
  <c r="O1525" i="8"/>
  <c r="J1645" i="8"/>
  <c r="F1674" i="8"/>
  <c r="O1516" i="8"/>
  <c r="E1578" i="8"/>
  <c r="L1678" i="8"/>
  <c r="L1658" i="8"/>
  <c r="O1555" i="8"/>
  <c r="F799" i="8"/>
  <c r="O426" i="8"/>
  <c r="F392" i="8"/>
  <c r="I499" i="8"/>
  <c r="M530" i="8"/>
  <c r="I794" i="8"/>
  <c r="O767" i="8"/>
  <c r="M854" i="8"/>
  <c r="G399" i="8"/>
  <c r="G661" i="8"/>
  <c r="O799" i="8"/>
  <c r="H785" i="8"/>
  <c r="J870" i="8"/>
  <c r="M293" i="8"/>
  <c r="I390" i="8"/>
  <c r="J687" i="8"/>
  <c r="L706" i="8"/>
  <c r="I911" i="8"/>
  <c r="L326" i="8"/>
  <c r="L426" i="8"/>
  <c r="K522" i="8"/>
  <c r="L888" i="8"/>
  <c r="K924" i="8"/>
  <c r="H895" i="8"/>
  <c r="E815" i="8"/>
  <c r="F496" i="8"/>
  <c r="F621" i="8"/>
  <c r="L392" i="8"/>
  <c r="I423" i="8"/>
  <c r="I554" i="8"/>
  <c r="H763" i="8"/>
  <c r="F690" i="8"/>
  <c r="H826" i="8"/>
  <c r="M934" i="8"/>
  <c r="I624" i="8"/>
  <c r="O858" i="8"/>
  <c r="G891" i="8"/>
  <c r="L327" i="8"/>
  <c r="O499" i="8"/>
  <c r="K683" i="8"/>
  <c r="L629" i="8"/>
  <c r="L753" i="8"/>
  <c r="I927" i="8"/>
  <c r="I455" i="8"/>
  <c r="F521" i="8"/>
  <c r="F793" i="8"/>
  <c r="E851" i="8"/>
  <c r="K918" i="8"/>
  <c r="N949" i="8"/>
  <c r="E873" i="8"/>
  <c r="I958" i="8"/>
  <c r="E817" i="8"/>
  <c r="M158" i="8"/>
  <c r="O602" i="8"/>
  <c r="K300" i="8"/>
  <c r="J564" i="8"/>
  <c r="K722" i="8"/>
  <c r="H794" i="8"/>
  <c r="H972" i="8"/>
  <c r="K432" i="8"/>
  <c r="E694" i="8"/>
  <c r="N719" i="8"/>
  <c r="O784" i="8"/>
  <c r="E767" i="8"/>
  <c r="M1063" i="8"/>
  <c r="O1047" i="8"/>
  <c r="L1127" i="8"/>
  <c r="J1193" i="8"/>
  <c r="F1258" i="8"/>
  <c r="L1431" i="8"/>
  <c r="K1410" i="8"/>
  <c r="G1464" i="8"/>
  <c r="K1005" i="8"/>
  <c r="I1069" i="8"/>
  <c r="L1157" i="8"/>
  <c r="F1372" i="8"/>
  <c r="G1420" i="8"/>
  <c r="E1509" i="8"/>
  <c r="L989" i="8"/>
  <c r="L1137" i="8"/>
  <c r="H1356" i="8"/>
  <c r="J1345" i="8"/>
  <c r="J1416" i="8"/>
  <c r="I1408" i="8"/>
  <c r="O1427" i="8"/>
  <c r="I1454" i="8"/>
  <c r="L1476" i="8"/>
  <c r="G1093" i="8"/>
  <c r="F1249" i="8"/>
  <c r="J1124" i="8"/>
  <c r="H887" i="8"/>
  <c r="E1000" i="8"/>
  <c r="I1089" i="8"/>
  <c r="H1155" i="8"/>
  <c r="H1265" i="8"/>
  <c r="M1417" i="8"/>
  <c r="L1149" i="8"/>
  <c r="H1185" i="8"/>
  <c r="J1252" i="8"/>
  <c r="K1401" i="8"/>
  <c r="N1385" i="8"/>
  <c r="M1419" i="8"/>
  <c r="I1028" i="8"/>
  <c r="G1201" i="8"/>
  <c r="H1181" i="8"/>
  <c r="H1248" i="8"/>
  <c r="E1337" i="8"/>
  <c r="M1403" i="8"/>
  <c r="F1510" i="8"/>
  <c r="I993" i="8"/>
  <c r="E1030" i="8"/>
  <c r="J1053" i="8"/>
  <c r="L1110" i="8"/>
  <c r="E1144" i="8"/>
  <c r="I1173" i="8"/>
  <c r="F1246" i="8"/>
  <c r="O1323" i="8"/>
  <c r="H1405" i="8"/>
  <c r="I1038" i="8"/>
  <c r="H1092" i="8"/>
  <c r="I1077" i="8"/>
  <c r="H1236" i="8"/>
  <c r="N1263" i="8"/>
  <c r="E1261" i="8"/>
  <c r="J1423" i="8"/>
  <c r="M1472" i="8"/>
  <c r="E1521" i="8"/>
  <c r="I1064" i="8"/>
  <c r="N1115" i="8"/>
  <c r="J1277" i="8"/>
  <c r="M1392" i="8"/>
  <c r="F1374" i="8"/>
  <c r="K984" i="8"/>
  <c r="K1015" i="8"/>
  <c r="M1200" i="8"/>
  <c r="J1210" i="8"/>
  <c r="L1390" i="8"/>
  <c r="F952" i="8"/>
  <c r="G1145" i="8"/>
  <c r="G1101" i="8"/>
  <c r="E1177" i="8"/>
  <c r="N1222" i="8"/>
  <c r="K1216" i="8"/>
  <c r="F1498" i="8"/>
  <c r="N899" i="8"/>
  <c r="F1061" i="8"/>
  <c r="F1278" i="8"/>
  <c r="L1449" i="8"/>
  <c r="K1487" i="8"/>
  <c r="N962" i="8"/>
  <c r="I1021" i="8"/>
  <c r="M1085" i="8"/>
  <c r="F1302" i="8"/>
  <c r="N1281" i="8"/>
  <c r="O1325" i="8"/>
  <c r="J1459" i="8"/>
  <c r="O866" i="8"/>
  <c r="L977" i="8"/>
  <c r="E963" i="8"/>
  <c r="I1087" i="8"/>
  <c r="G1031" i="8"/>
  <c r="F1231" i="8"/>
  <c r="O1311" i="8"/>
  <c r="F1285" i="8"/>
  <c r="K1369" i="8"/>
  <c r="M1306" i="8"/>
  <c r="L1399" i="8"/>
  <c r="K1112" i="8"/>
  <c r="G1189" i="8"/>
  <c r="J1253" i="8"/>
  <c r="O1340" i="8"/>
  <c r="L1460" i="8"/>
  <c r="H1562" i="8"/>
  <c r="G1583" i="8"/>
  <c r="J1652" i="8"/>
  <c r="G1561" i="8"/>
  <c r="E1611" i="8"/>
  <c r="H1494" i="8"/>
  <c r="M1596" i="8"/>
  <c r="J1618" i="8"/>
  <c r="M1329" i="8"/>
  <c r="I1586" i="8"/>
  <c r="K1619" i="8"/>
  <c r="H1548" i="8"/>
  <c r="F1570" i="8"/>
  <c r="M1608" i="8"/>
  <c r="M1457" i="8"/>
  <c r="H1533" i="8"/>
  <c r="M1625" i="8"/>
  <c r="J1569" i="8"/>
  <c r="M1367" i="8"/>
  <c r="N1452" i="8"/>
  <c r="N1633" i="8"/>
  <c r="K1594" i="8"/>
  <c r="E1532" i="8"/>
  <c r="J1642" i="8"/>
  <c r="K1623" i="8"/>
  <c r="K1531" i="8"/>
  <c r="F1647" i="8"/>
  <c r="H1490" i="8"/>
  <c r="H1358" i="8"/>
  <c r="G1646" i="8"/>
  <c r="O1639" i="8"/>
  <c r="G1636" i="8"/>
  <c r="M1673" i="8"/>
  <c r="J1511" i="8"/>
  <c r="F1539" i="8"/>
  <c r="J1546" i="8"/>
  <c r="O1352" i="8"/>
  <c r="I1525" i="8"/>
  <c r="E1645" i="8"/>
  <c r="N1674" i="8"/>
  <c r="E1516" i="8"/>
  <c r="H1578" i="8"/>
  <c r="E1678" i="8"/>
  <c r="K1658" i="8"/>
  <c r="L661" i="8"/>
  <c r="I706" i="8"/>
  <c r="N924" i="8"/>
  <c r="K934" i="8"/>
  <c r="F949" i="8"/>
  <c r="O817" i="8"/>
  <c r="J389" i="8"/>
  <c r="K1345" i="8"/>
  <c r="F854" i="8"/>
  <c r="O399" i="8"/>
  <c r="O661" i="8"/>
  <c r="J799" i="8"/>
  <c r="I785" i="8"/>
  <c r="N293" i="8"/>
  <c r="N390" i="8"/>
  <c r="K687" i="8"/>
  <c r="L911" i="8"/>
  <c r="O326" i="8"/>
  <c r="F426" i="8"/>
  <c r="H464" i="8"/>
  <c r="L522" i="8"/>
  <c r="N888" i="8"/>
  <c r="L924" i="8"/>
  <c r="I895" i="8"/>
  <c r="M815" i="8"/>
  <c r="G496" i="8"/>
  <c r="G621" i="8"/>
  <c r="E392" i="8"/>
  <c r="L423" i="8"/>
  <c r="K554" i="8"/>
  <c r="J763" i="8"/>
  <c r="N690" i="8"/>
  <c r="L826" i="8"/>
  <c r="F934" i="8"/>
  <c r="L624" i="8"/>
  <c r="E858" i="8"/>
  <c r="H891" i="8"/>
  <c r="H499" i="8"/>
  <c r="L683" i="8"/>
  <c r="M629" i="8"/>
  <c r="E753" i="8"/>
  <c r="G927" i="8"/>
  <c r="L455" i="8"/>
  <c r="N521" i="8"/>
  <c r="I771" i="8"/>
  <c r="N793" i="8"/>
  <c r="F851" i="8"/>
  <c r="O918" i="8"/>
  <c r="E949" i="8"/>
  <c r="G873" i="8"/>
  <c r="H817" i="8"/>
  <c r="F158" i="8"/>
  <c r="J602" i="8"/>
  <c r="J258" i="8"/>
  <c r="L300" i="8"/>
  <c r="E564" i="8"/>
  <c r="N722" i="8"/>
  <c r="L972" i="8"/>
  <c r="I432" i="8"/>
  <c r="G694" i="8"/>
  <c r="O719" i="8"/>
  <c r="M767" i="8"/>
  <c r="F1063" i="8"/>
  <c r="H1047" i="8"/>
  <c r="M1127" i="8"/>
  <c r="K1193" i="8"/>
  <c r="N1258" i="8"/>
  <c r="M1431" i="8"/>
  <c r="M1410" i="8"/>
  <c r="L1005" i="8"/>
  <c r="J1069" i="8"/>
  <c r="N1157" i="8"/>
  <c r="G1372" i="8"/>
  <c r="O1420" i="8"/>
  <c r="I1509" i="8"/>
  <c r="E989" i="8"/>
  <c r="K1137" i="8"/>
  <c r="J1356" i="8"/>
  <c r="F1324" i="8"/>
  <c r="K1416" i="8"/>
  <c r="J1408" i="8"/>
  <c r="H1427" i="8"/>
  <c r="K1454" i="8"/>
  <c r="N1476" i="8"/>
  <c r="H1093" i="8"/>
  <c r="O1249" i="8"/>
  <c r="L1124" i="8"/>
  <c r="L884" i="8"/>
  <c r="M1000" i="8"/>
  <c r="H1089" i="8"/>
  <c r="I1155" i="8"/>
  <c r="I1265" i="8"/>
  <c r="N1417" i="8"/>
  <c r="H1149" i="8"/>
  <c r="I1185" i="8"/>
  <c r="K1252" i="8"/>
  <c r="L1401" i="8"/>
  <c r="E1355" i="8"/>
  <c r="F1419" i="8"/>
  <c r="J1028" i="8"/>
  <c r="H1201" i="8"/>
  <c r="I1181" i="8"/>
  <c r="I1248" i="8"/>
  <c r="M1337" i="8"/>
  <c r="E1403" i="8"/>
  <c r="G1510" i="8"/>
  <c r="J993" i="8"/>
  <c r="K1030" i="8"/>
  <c r="E1147" i="8"/>
  <c r="I1110" i="8"/>
  <c r="M1144" i="8"/>
  <c r="J1173" i="8"/>
  <c r="N1246" i="8"/>
  <c r="G1323" i="8"/>
  <c r="I1405" i="8"/>
  <c r="M1038" i="8"/>
  <c r="I1092" i="8"/>
  <c r="M1077" i="8"/>
  <c r="J1236" i="8"/>
  <c r="L1262" i="8"/>
  <c r="M1261" i="8"/>
  <c r="K1423" i="8"/>
  <c r="N1472" i="8"/>
  <c r="M1521" i="8"/>
  <c r="J1064" i="8"/>
  <c r="E1115" i="8"/>
  <c r="K1277" i="8"/>
  <c r="F1392" i="8"/>
  <c r="K1374" i="8"/>
  <c r="E984" i="8"/>
  <c r="G1096" i="8"/>
  <c r="L1200" i="8"/>
  <c r="K1210" i="8"/>
  <c r="E1390" i="8"/>
  <c r="N952" i="8"/>
  <c r="H1145" i="8"/>
  <c r="H1101" i="8"/>
  <c r="I1177" i="8"/>
  <c r="G1222" i="8"/>
  <c r="G1216" i="8"/>
  <c r="I1498" i="8"/>
  <c r="H994" i="8"/>
  <c r="N1061" i="8"/>
  <c r="N1278" i="8"/>
  <c r="E1449" i="8"/>
  <c r="L1487" i="8"/>
  <c r="G962" i="8"/>
  <c r="K1021" i="8"/>
  <c r="E1085" i="8"/>
  <c r="G1302" i="8"/>
  <c r="G1281" i="8"/>
  <c r="G1368" i="8"/>
  <c r="K1459" i="8"/>
  <c r="H866" i="8"/>
  <c r="E977" i="8"/>
  <c r="F963" i="8"/>
  <c r="M1087" i="8"/>
  <c r="O1031" i="8"/>
  <c r="L1231" i="8"/>
  <c r="H1311" i="8"/>
  <c r="G1285" i="8"/>
  <c r="L1369" i="8"/>
  <c r="F1310" i="8"/>
  <c r="F1399" i="8"/>
  <c r="E1112" i="8"/>
  <c r="H1189" i="8"/>
  <c r="K1253" i="8"/>
  <c r="I1340" i="8"/>
  <c r="N1460" i="8"/>
  <c r="N1562" i="8"/>
  <c r="H1583" i="8"/>
  <c r="F1480" i="8"/>
  <c r="J1561" i="8"/>
  <c r="M1611" i="8"/>
  <c r="I1494" i="8"/>
  <c r="G1596" i="8"/>
  <c r="M1618" i="8"/>
  <c r="G1329" i="8"/>
  <c r="J1586" i="8"/>
  <c r="L1619" i="8"/>
  <c r="M1548" i="8"/>
  <c r="O1570" i="8"/>
  <c r="E1607" i="8"/>
  <c r="F1457" i="8"/>
  <c r="K1533" i="8"/>
  <c r="N1625" i="8"/>
  <c r="L1569" i="8"/>
  <c r="E1367" i="8"/>
  <c r="O1452" i="8"/>
  <c r="E1633" i="8"/>
  <c r="E1594" i="8"/>
  <c r="K1532" i="8"/>
  <c r="K1642" i="8"/>
  <c r="F1587" i="8"/>
  <c r="E1531" i="8"/>
  <c r="N1647" i="8"/>
  <c r="I1490" i="8"/>
  <c r="I1358" i="8"/>
  <c r="H1646" i="8"/>
  <c r="H1639" i="8"/>
  <c r="F1636" i="8"/>
  <c r="F1673" i="8"/>
  <c r="E1511" i="8"/>
  <c r="O1539" i="8"/>
  <c r="L1655" i="8"/>
  <c r="F1352" i="8"/>
  <c r="J1525" i="8"/>
  <c r="M1645" i="8"/>
  <c r="H1674" i="8"/>
  <c r="G1516" i="8"/>
  <c r="G1578" i="8"/>
  <c r="M1678" i="8"/>
  <c r="F1658" i="8"/>
  <c r="H390" i="8"/>
  <c r="O522" i="8"/>
  <c r="E327" i="8"/>
  <c r="O158" i="8"/>
  <c r="K694" i="8"/>
  <c r="O1509" i="8"/>
  <c r="G475" i="8"/>
  <c r="N854" i="8"/>
  <c r="M587" i="8"/>
  <c r="H661" i="8"/>
  <c r="E799" i="8"/>
  <c r="K785" i="8"/>
  <c r="E293" i="8"/>
  <c r="J390" i="8"/>
  <c r="L687" i="8"/>
  <c r="G326" i="8"/>
  <c r="I426" i="8"/>
  <c r="K464" i="8"/>
  <c r="F888" i="8"/>
  <c r="E924" i="8"/>
  <c r="J895" i="8"/>
  <c r="E818" i="8"/>
  <c r="L496" i="8"/>
  <c r="H621" i="8"/>
  <c r="M392" i="8"/>
  <c r="M423" i="8"/>
  <c r="N554" i="8"/>
  <c r="L763" i="8"/>
  <c r="G690" i="8"/>
  <c r="N934" i="8"/>
  <c r="F858" i="8"/>
  <c r="I891" i="8"/>
  <c r="E683" i="8"/>
  <c r="N629" i="8"/>
  <c r="M753" i="8"/>
  <c r="O927" i="8"/>
  <c r="M455" i="8"/>
  <c r="G521" i="8"/>
  <c r="L771" i="8"/>
  <c r="H851" i="8"/>
  <c r="H918" i="8"/>
  <c r="O949" i="8"/>
  <c r="K873" i="8"/>
  <c r="I817" i="8"/>
  <c r="N158" i="8"/>
  <c r="K258" i="8"/>
  <c r="N300" i="8"/>
  <c r="F360" i="8"/>
  <c r="F564" i="8"/>
  <c r="O722" i="8"/>
  <c r="L432" i="8"/>
  <c r="L694" i="8"/>
  <c r="F719" i="8"/>
  <c r="N1001" i="8"/>
  <c r="N1063" i="8"/>
  <c r="K1047" i="8"/>
  <c r="E1127" i="8"/>
  <c r="L1193" i="8"/>
  <c r="G1258" i="8"/>
  <c r="E1431" i="8"/>
  <c r="N1410" i="8"/>
  <c r="E1005" i="8"/>
  <c r="G1128" i="8"/>
  <c r="M1157" i="8"/>
  <c r="O1372" i="8"/>
  <c r="H1420" i="8"/>
  <c r="J1509" i="8"/>
  <c r="M989" i="8"/>
  <c r="M1137" i="8"/>
  <c r="K1356" i="8"/>
  <c r="H1324" i="8"/>
  <c r="L1416" i="8"/>
  <c r="M1443" i="8"/>
  <c r="I1427" i="8"/>
  <c r="J1454" i="8"/>
  <c r="O1476" i="8"/>
  <c r="K1093" i="8"/>
  <c r="E1249" i="8"/>
  <c r="N1124" i="8"/>
  <c r="J884" i="8"/>
  <c r="F1000" i="8"/>
  <c r="L1156" i="8"/>
  <c r="J1155" i="8"/>
  <c r="K1265" i="8"/>
  <c r="G1417" i="8"/>
  <c r="J1149" i="8"/>
  <c r="J1185" i="8"/>
  <c r="L1252" i="8"/>
  <c r="E1401" i="8"/>
  <c r="G1355" i="8"/>
  <c r="N1419" i="8"/>
  <c r="H1134" i="8"/>
  <c r="I1201" i="8"/>
  <c r="J1181" i="8"/>
  <c r="J1248" i="8"/>
  <c r="F1337" i="8"/>
  <c r="O1403" i="8"/>
  <c r="O1510" i="8"/>
  <c r="K993" i="8"/>
  <c r="F1030" i="8"/>
  <c r="K1147" i="8"/>
  <c r="E1110" i="8"/>
  <c r="L1194" i="8"/>
  <c r="K1173" i="8"/>
  <c r="H1246" i="8"/>
  <c r="I1323" i="8"/>
  <c r="J1405" i="8"/>
  <c r="N1038" i="8"/>
  <c r="F1092" i="8"/>
  <c r="E1077" i="8"/>
  <c r="K1236" i="8"/>
  <c r="J1262" i="8"/>
  <c r="F1261" i="8"/>
  <c r="G1384" i="8"/>
  <c r="E1472" i="8"/>
  <c r="H1521" i="8"/>
  <c r="N1064" i="8"/>
  <c r="O1115" i="8"/>
  <c r="L1277" i="8"/>
  <c r="N1392" i="8"/>
  <c r="N1374" i="8"/>
  <c r="M984" i="8"/>
  <c r="I1096" i="8"/>
  <c r="F1200" i="8"/>
  <c r="J1206" i="8"/>
  <c r="M1390" i="8"/>
  <c r="J952" i="8"/>
  <c r="J1145" i="8"/>
  <c r="F1101" i="8"/>
  <c r="J1177" i="8"/>
  <c r="O1222" i="8"/>
  <c r="M1216" i="8"/>
  <c r="J1498" i="8"/>
  <c r="I994" i="8"/>
  <c r="G1278" i="8"/>
  <c r="M1449" i="8"/>
  <c r="O1487" i="8"/>
  <c r="O962" i="8"/>
  <c r="L1021" i="8"/>
  <c r="O1085" i="8"/>
  <c r="H1302" i="8"/>
  <c r="O1281" i="8"/>
  <c r="L1368" i="8"/>
  <c r="L1459" i="8"/>
  <c r="E931" i="8"/>
  <c r="M977" i="8"/>
  <c r="L963" i="8"/>
  <c r="O1087" i="8"/>
  <c r="H1031" i="8"/>
  <c r="M1231" i="8"/>
  <c r="K1311" i="8"/>
  <c r="L1285" i="8"/>
  <c r="E1369" i="8"/>
  <c r="H1310" i="8"/>
  <c r="N1399" i="8"/>
  <c r="H1029" i="8"/>
  <c r="M1112" i="8"/>
  <c r="I1189" i="8"/>
  <c r="E1253" i="8"/>
  <c r="K1340" i="8"/>
  <c r="O1460" i="8"/>
  <c r="G1562" i="8"/>
  <c r="J1583" i="8"/>
  <c r="E1480" i="8"/>
  <c r="L1561" i="8"/>
  <c r="F1535" i="8"/>
  <c r="K1494" i="8"/>
  <c r="O1596" i="8"/>
  <c r="E1618" i="8"/>
  <c r="O1329" i="8"/>
  <c r="G1586" i="8"/>
  <c r="E1619" i="8"/>
  <c r="I1548" i="8"/>
  <c r="G1570" i="8"/>
  <c r="F1607" i="8"/>
  <c r="N1457" i="8"/>
  <c r="F1575" i="8"/>
  <c r="O1625" i="8"/>
  <c r="N1569" i="8"/>
  <c r="L1367" i="8"/>
  <c r="E1452" i="8"/>
  <c r="F1633" i="8"/>
  <c r="N1594" i="8"/>
  <c r="N1532" i="8"/>
  <c r="L1642" i="8"/>
  <c r="O1587" i="8"/>
  <c r="O1531" i="8"/>
  <c r="K1589" i="8"/>
  <c r="K1490" i="8"/>
  <c r="J1358" i="8"/>
  <c r="I1646" i="8"/>
  <c r="I1639" i="8"/>
  <c r="H1636" i="8"/>
  <c r="N1673" i="8"/>
  <c r="H1511" i="8"/>
  <c r="G1539" i="8"/>
  <c r="K1655" i="8"/>
  <c r="N1352" i="8"/>
  <c r="N1541" i="8"/>
  <c r="F1645" i="8"/>
  <c r="I1674" i="8"/>
  <c r="H1516" i="8"/>
  <c r="O1578" i="8"/>
  <c r="F1678" i="8"/>
  <c r="N1658" i="8"/>
  <c r="H854" i="8"/>
  <c r="E687" i="8"/>
  <c r="I818" i="8"/>
  <c r="N423" i="8"/>
  <c r="F629" i="8"/>
  <c r="O521" i="8"/>
  <c r="I359" i="8"/>
  <c r="I564" i="8"/>
  <c r="E432" i="8"/>
  <c r="G1063" i="8"/>
  <c r="H1123" i="8"/>
  <c r="J1127" i="8"/>
  <c r="E1193" i="8"/>
  <c r="O1258" i="8"/>
  <c r="N1431" i="8"/>
  <c r="E1410" i="8"/>
  <c r="N1005" i="8"/>
  <c r="I1128" i="8"/>
  <c r="M1300" i="8"/>
  <c r="H1372" i="8"/>
  <c r="I1324" i="8"/>
  <c r="M1416" i="8"/>
  <c r="O1443" i="8"/>
  <c r="J1427" i="8"/>
  <c r="H1444" i="8"/>
  <c r="E1476" i="8"/>
  <c r="L1093" i="8"/>
  <c r="G1249" i="8"/>
  <c r="H1124" i="8"/>
  <c r="N884" i="8"/>
  <c r="N1000" i="8"/>
  <c r="G1156" i="8"/>
  <c r="L1155" i="8"/>
  <c r="L1429" i="8"/>
  <c r="O1417" i="8"/>
  <c r="K1149" i="8"/>
  <c r="K1185" i="8"/>
  <c r="N1252" i="8"/>
  <c r="M1401" i="8"/>
  <c r="L1355" i="8"/>
  <c r="G1419" i="8"/>
  <c r="M1134" i="8"/>
  <c r="M1201" i="8"/>
  <c r="G1168" i="8"/>
  <c r="L1248" i="8"/>
  <c r="N1337" i="8"/>
  <c r="G1403" i="8"/>
  <c r="J1510" i="8"/>
  <c r="L993" i="8"/>
  <c r="N1030" i="8"/>
  <c r="G1147" i="8"/>
  <c r="M1110" i="8"/>
  <c r="N1194" i="8"/>
  <c r="L1173" i="8"/>
  <c r="H1247" i="8"/>
  <c r="K1323" i="8"/>
  <c r="K1405" i="8"/>
  <c r="E1038" i="8"/>
  <c r="N1092" i="8"/>
  <c r="H1077" i="8"/>
  <c r="L1236" i="8"/>
  <c r="O1262" i="8"/>
  <c r="N1261" i="8"/>
  <c r="L1384" i="8"/>
  <c r="F1472" i="8"/>
  <c r="G1013" i="8"/>
  <c r="O1064" i="8"/>
  <c r="I1115" i="8"/>
  <c r="E1277" i="8"/>
  <c r="G1392" i="8"/>
  <c r="L1374" i="8"/>
  <c r="F984" i="8"/>
  <c r="J1096" i="8"/>
  <c r="N1200" i="8"/>
  <c r="L1206" i="8"/>
  <c r="G1390" i="8"/>
  <c r="L944" i="8"/>
  <c r="O1145" i="8"/>
  <c r="N1101" i="8"/>
  <c r="K1177" i="8"/>
  <c r="H1222" i="8"/>
  <c r="O1216" i="8"/>
  <c r="K1498" i="8"/>
  <c r="M994" i="8"/>
  <c r="O1278" i="8"/>
  <c r="G1447" i="8"/>
  <c r="F1487" i="8"/>
  <c r="K962" i="8"/>
  <c r="M1021" i="8"/>
  <c r="F1085" i="8"/>
  <c r="I1302" i="8"/>
  <c r="H1281" i="8"/>
  <c r="O1368" i="8"/>
  <c r="E1459" i="8"/>
  <c r="K931" i="8"/>
  <c r="F977" i="8"/>
  <c r="J1087" i="8"/>
  <c r="K1031" i="8"/>
  <c r="N1231" i="8"/>
  <c r="E1311" i="8"/>
  <c r="N1285" i="8"/>
  <c r="M1369" i="8"/>
  <c r="I1310" i="8"/>
  <c r="G1399" i="8"/>
  <c r="E1029" i="8"/>
  <c r="K1189" i="8"/>
  <c r="M1253" i="8"/>
  <c r="N1340" i="8"/>
  <c r="H1460" i="8"/>
  <c r="L1562" i="8"/>
  <c r="K1583" i="8"/>
  <c r="G1480" i="8"/>
  <c r="K1561" i="8"/>
  <c r="J1535" i="8"/>
  <c r="L1494" i="8"/>
  <c r="G1603" i="8"/>
  <c r="G1618" i="8"/>
  <c r="I1329" i="8"/>
  <c r="L1586" i="8"/>
  <c r="M1619" i="8"/>
  <c r="J1548" i="8"/>
  <c r="H1570" i="8"/>
  <c r="H1607" i="8"/>
  <c r="G1457" i="8"/>
  <c r="H1575" i="8"/>
  <c r="G1625" i="8"/>
  <c r="H1668" i="8"/>
  <c r="F1367" i="8"/>
  <c r="M1452" i="8"/>
  <c r="L1633" i="8"/>
  <c r="H1594" i="8"/>
  <c r="F1532" i="8"/>
  <c r="M1642" i="8"/>
  <c r="G1587" i="8"/>
  <c r="G1531" i="8"/>
  <c r="N1589" i="8"/>
  <c r="L1490" i="8"/>
  <c r="K1529" i="8"/>
  <c r="J1646" i="8"/>
  <c r="J1639" i="8"/>
  <c r="I1636" i="8"/>
  <c r="G1673" i="8"/>
  <c r="I1511" i="8"/>
  <c r="H1539" i="8"/>
  <c r="E1655" i="8"/>
  <c r="H1352" i="8"/>
  <c r="E1541" i="8"/>
  <c r="N1645" i="8"/>
  <c r="F1527" i="8"/>
  <c r="K1516" i="8"/>
  <c r="L1578" i="8"/>
  <c r="N1678" i="8"/>
  <c r="H1658" i="8"/>
  <c r="M799" i="8"/>
  <c r="K390" i="8"/>
  <c r="H888" i="8"/>
  <c r="O690" i="8"/>
  <c r="M683" i="8"/>
  <c r="N771" i="8"/>
  <c r="K357" i="8"/>
  <c r="L258" i="8"/>
  <c r="M694" i="8"/>
  <c r="N1137" i="8"/>
  <c r="K475" i="8"/>
  <c r="K503" i="8"/>
  <c r="J854" i="8"/>
  <c r="E587" i="8"/>
  <c r="J730" i="8"/>
  <c r="N855" i="8"/>
  <c r="N785" i="8"/>
  <c r="I293" i="8"/>
  <c r="L390" i="8"/>
  <c r="M687" i="8"/>
  <c r="K326" i="8"/>
  <c r="K426" i="8"/>
  <c r="J464" i="8"/>
  <c r="E888" i="8"/>
  <c r="E922" i="8"/>
  <c r="K895" i="8"/>
  <c r="M818" i="8"/>
  <c r="F422" i="8"/>
  <c r="M496" i="8"/>
  <c r="J621" i="8"/>
  <c r="J423" i="8"/>
  <c r="H554" i="8"/>
  <c r="M763" i="8"/>
  <c r="H690" i="8"/>
  <c r="I858" i="8"/>
  <c r="F683" i="8"/>
  <c r="O629" i="8"/>
  <c r="N753" i="8"/>
  <c r="E927" i="8"/>
  <c r="J455" i="8"/>
  <c r="J521" i="8"/>
  <c r="J771" i="8"/>
  <c r="L851" i="8"/>
  <c r="L918" i="8"/>
  <c r="F656" i="8"/>
  <c r="M873" i="8"/>
  <c r="L357" i="8"/>
  <c r="E530" i="8"/>
  <c r="M817" i="8"/>
  <c r="L359" i="8"/>
  <c r="E258" i="8"/>
  <c r="E300" i="8"/>
  <c r="K360" i="8"/>
  <c r="K564" i="8"/>
  <c r="F722" i="8"/>
  <c r="O389" i="8"/>
  <c r="M432" i="8"/>
  <c r="E596" i="8"/>
  <c r="F694" i="8"/>
  <c r="K719" i="8"/>
  <c r="F1001" i="8"/>
  <c r="O1063" i="8"/>
  <c r="G1123" i="8"/>
  <c r="F1127" i="8"/>
  <c r="N1190" i="8"/>
  <c r="I1193" i="8"/>
  <c r="I1258" i="8"/>
  <c r="F1431" i="8"/>
  <c r="G1410" i="8"/>
  <c r="F1005" i="8"/>
  <c r="L1128" i="8"/>
  <c r="E1300" i="8"/>
  <c r="J1372" i="8"/>
  <c r="J1468" i="8"/>
  <c r="L1509" i="8"/>
  <c r="N989" i="8"/>
  <c r="E1137" i="8"/>
  <c r="E1356" i="8"/>
  <c r="J1324" i="8"/>
  <c r="O1416" i="8"/>
  <c r="E1443" i="8"/>
  <c r="K1427" i="8"/>
  <c r="N1444" i="8"/>
  <c r="F1476" i="8"/>
  <c r="J1025" i="8"/>
  <c r="M1093" i="8"/>
  <c r="J1249" i="8"/>
  <c r="I1124" i="8"/>
  <c r="F884" i="8"/>
  <c r="I1000" i="8"/>
  <c r="E1156" i="8"/>
  <c r="E1155" i="8"/>
  <c r="M1429" i="8"/>
  <c r="H1417" i="8"/>
  <c r="N953" i="8"/>
  <c r="E1149" i="8"/>
  <c r="L1185" i="8"/>
  <c r="F1252" i="8"/>
  <c r="F1401" i="8"/>
  <c r="M1355" i="8"/>
  <c r="O1419" i="8"/>
  <c r="N1134" i="8"/>
  <c r="N1201" i="8"/>
  <c r="H1168" i="8"/>
  <c r="N1248" i="8"/>
  <c r="F1393" i="8"/>
  <c r="H1403" i="8"/>
  <c r="K1510" i="8"/>
  <c r="E993" i="8"/>
  <c r="G1030" i="8"/>
  <c r="L1147" i="8"/>
  <c r="F1110" i="8"/>
  <c r="F1194" i="8"/>
  <c r="E1173" i="8"/>
  <c r="J1247" i="8"/>
  <c r="E1323" i="8"/>
  <c r="K1413" i="8"/>
  <c r="F1038" i="8"/>
  <c r="J1092" i="8"/>
  <c r="K1077" i="8"/>
  <c r="E1236" i="8"/>
  <c r="G1262" i="8"/>
  <c r="G1261" i="8"/>
  <c r="O1384" i="8"/>
  <c r="H1472" i="8"/>
  <c r="L1013" i="8"/>
  <c r="H1064" i="8"/>
  <c r="F1178" i="8"/>
  <c r="M1277" i="8"/>
  <c r="O1392" i="8"/>
  <c r="E1374" i="8"/>
  <c r="N984" i="8"/>
  <c r="K1096" i="8"/>
  <c r="H1200" i="8"/>
  <c r="N1206" i="8"/>
  <c r="O1390" i="8"/>
  <c r="G944" i="8"/>
  <c r="I1145" i="8"/>
  <c r="E1120" i="8"/>
  <c r="M1177" i="8"/>
  <c r="I1222" i="8"/>
  <c r="E1216" i="8"/>
  <c r="L1498" i="8"/>
  <c r="L994" i="8"/>
  <c r="H1278" i="8"/>
  <c r="I1447" i="8"/>
  <c r="G1487" i="8"/>
  <c r="N1021" i="8"/>
  <c r="N1085" i="8"/>
  <c r="J1302" i="8"/>
  <c r="I1281" i="8"/>
  <c r="E1368" i="8"/>
  <c r="M1459" i="8"/>
  <c r="H931" i="8"/>
  <c r="N977" i="8"/>
  <c r="L1087" i="8"/>
  <c r="H1170" i="8"/>
  <c r="O1231" i="8"/>
  <c r="M1311" i="8"/>
  <c r="O1285" i="8"/>
  <c r="F1369" i="8"/>
  <c r="J1310" i="8"/>
  <c r="O1399" i="8"/>
  <c r="J1029" i="8"/>
  <c r="L1189" i="8"/>
  <c r="H1243" i="8"/>
  <c r="F1340" i="8"/>
  <c r="I1460" i="8"/>
  <c r="M1562" i="8"/>
  <c r="L1583" i="8"/>
  <c r="H1480" i="8"/>
  <c r="F1561" i="8"/>
  <c r="K1535" i="8"/>
  <c r="M1494" i="8"/>
  <c r="K1603" i="8"/>
  <c r="I1618" i="8"/>
  <c r="I1590" i="8"/>
  <c r="N1586" i="8"/>
  <c r="I1619" i="8"/>
  <c r="L1548" i="8"/>
  <c r="I1570" i="8"/>
  <c r="I1607" i="8"/>
  <c r="O1457" i="8"/>
  <c r="O1575" i="8"/>
  <c r="J1625" i="8"/>
  <c r="K1668" i="8"/>
  <c r="N1367" i="8"/>
  <c r="L1500" i="8"/>
  <c r="G1633" i="8"/>
  <c r="J1594" i="8"/>
  <c r="H1532" i="8"/>
  <c r="O1642" i="8"/>
  <c r="E1587" i="8"/>
  <c r="H1531" i="8"/>
  <c r="G1589" i="8"/>
  <c r="O1490" i="8"/>
  <c r="F1529" i="8"/>
  <c r="L1646" i="8"/>
  <c r="J1630" i="8"/>
  <c r="J1636" i="8"/>
  <c r="O1673" i="8"/>
  <c r="K1511" i="8"/>
  <c r="I1539" i="8"/>
  <c r="M1655" i="8"/>
  <c r="I1352" i="8"/>
  <c r="J1541" i="8"/>
  <c r="G1645" i="8"/>
  <c r="I1527" i="8"/>
  <c r="L1516" i="8"/>
  <c r="J1677" i="8"/>
  <c r="G1678" i="8"/>
  <c r="I1658" i="8"/>
  <c r="N587" i="8"/>
  <c r="H326" i="8"/>
  <c r="I621" i="8"/>
  <c r="J891" i="8"/>
  <c r="L927" i="8"/>
  <c r="I949" i="8"/>
  <c r="J360" i="8"/>
  <c r="G719" i="8"/>
  <c r="L1356" i="8"/>
  <c r="N475" i="8"/>
  <c r="L503" i="8"/>
  <c r="F587" i="8"/>
  <c r="K730" i="8"/>
  <c r="F855" i="8"/>
  <c r="H762" i="8"/>
  <c r="O785" i="8"/>
  <c r="H293" i="8"/>
  <c r="E390" i="8"/>
  <c r="F687" i="8"/>
  <c r="E326" i="8"/>
  <c r="O456" i="8"/>
  <c r="N426" i="8"/>
  <c r="L464" i="8"/>
  <c r="M888" i="8"/>
  <c r="M922" i="8"/>
  <c r="N895" i="8"/>
  <c r="F818" i="8"/>
  <c r="G422" i="8"/>
  <c r="N496" i="8"/>
  <c r="K423" i="8"/>
  <c r="J554" i="8"/>
  <c r="E763" i="8"/>
  <c r="I690" i="8"/>
  <c r="H858" i="8"/>
  <c r="N683" i="8"/>
  <c r="G629" i="8"/>
  <c r="G753" i="8"/>
  <c r="M927" i="8"/>
  <c r="K455" i="8"/>
  <c r="K771" i="8"/>
  <c r="G851" i="8"/>
  <c r="E918" i="8"/>
  <c r="O656" i="8"/>
  <c r="O873" i="8"/>
  <c r="O357" i="8"/>
  <c r="J530" i="8"/>
  <c r="L817" i="8"/>
  <c r="H359" i="8"/>
  <c r="F191" i="8"/>
  <c r="M258" i="8"/>
  <c r="M300" i="8"/>
  <c r="M360" i="8"/>
  <c r="L564" i="8"/>
  <c r="N716" i="8"/>
  <c r="G722" i="8"/>
  <c r="K389" i="8"/>
  <c r="F432" i="8"/>
  <c r="G596" i="8"/>
  <c r="N694" i="8"/>
  <c r="I693" i="8"/>
  <c r="H719" i="8"/>
  <c r="G1001" i="8"/>
  <c r="H1063" i="8"/>
  <c r="I1123" i="8"/>
  <c r="N1127" i="8"/>
  <c r="F1190" i="8"/>
  <c r="F1193" i="8"/>
  <c r="E1426" i="8"/>
  <c r="O1431" i="8"/>
  <c r="O1410" i="8"/>
  <c r="O1005" i="8"/>
  <c r="N1128" i="8"/>
  <c r="O1300" i="8"/>
  <c r="K1372" i="8"/>
  <c r="K1468" i="8"/>
  <c r="F1509" i="8"/>
  <c r="F1137" i="8"/>
  <c r="M1356" i="8"/>
  <c r="K1324" i="8"/>
  <c r="F1416" i="8"/>
  <c r="G1443" i="8"/>
  <c r="L1427" i="8"/>
  <c r="J1444" i="8"/>
  <c r="G1476" i="8"/>
  <c r="K1025" i="8"/>
  <c r="E1093" i="8"/>
  <c r="N1098" i="8"/>
  <c r="L1249" i="8"/>
  <c r="K1124" i="8"/>
  <c r="H884" i="8"/>
  <c r="J1000" i="8"/>
  <c r="F1156" i="8"/>
  <c r="M1155" i="8"/>
  <c r="E1429" i="8"/>
  <c r="I1417" i="8"/>
  <c r="J953" i="8"/>
  <c r="M1149" i="8"/>
  <c r="L1169" i="8"/>
  <c r="H1252" i="8"/>
  <c r="N1401" i="8"/>
  <c r="O1355" i="8"/>
  <c r="H1419" i="8"/>
  <c r="O1134" i="8"/>
  <c r="J1201" i="8"/>
  <c r="M1168" i="8"/>
  <c r="O1248" i="8"/>
  <c r="N1393" i="8"/>
  <c r="I1403" i="8"/>
  <c r="I1538" i="8"/>
  <c r="M993" i="8"/>
  <c r="O1030" i="8"/>
  <c r="M1147" i="8"/>
  <c r="N1110" i="8"/>
  <c r="H1194" i="8"/>
  <c r="M1173" i="8"/>
  <c r="M1247" i="8"/>
  <c r="F1323" i="8"/>
  <c r="L1413" i="8"/>
  <c r="G1038" i="8"/>
  <c r="F1118" i="8"/>
  <c r="L1077" i="8"/>
  <c r="M1236" i="8"/>
  <c r="E1262" i="8"/>
  <c r="O1261" i="8"/>
  <c r="E1384" i="8"/>
  <c r="I1472" i="8"/>
  <c r="O1013" i="8"/>
  <c r="K1064" i="8"/>
  <c r="H1178" i="8"/>
  <c r="F1277" i="8"/>
  <c r="E1383" i="8"/>
  <c r="M1374" i="8"/>
  <c r="J984" i="8"/>
  <c r="M1096" i="8"/>
  <c r="I1200" i="8"/>
  <c r="F1206" i="8"/>
  <c r="H1390" i="8"/>
  <c r="H944" i="8"/>
  <c r="K1145" i="8"/>
  <c r="K1120" i="8"/>
  <c r="F1177" i="8"/>
  <c r="G1217" i="8"/>
  <c r="L1216" i="8"/>
  <c r="M1498" i="8"/>
  <c r="E994" i="8"/>
  <c r="I1278" i="8"/>
  <c r="J1447" i="8"/>
  <c r="E1487" i="8"/>
  <c r="E1021" i="8"/>
  <c r="J1251" i="8"/>
  <c r="L1302" i="8"/>
  <c r="K1281" i="8"/>
  <c r="M1368" i="8"/>
  <c r="F1459" i="8"/>
  <c r="J931" i="8"/>
  <c r="G977" i="8"/>
  <c r="N1087" i="8"/>
  <c r="J1170" i="8"/>
  <c r="G1231" i="8"/>
  <c r="G1230" i="8"/>
  <c r="H1285" i="8"/>
  <c r="N1369" i="8"/>
  <c r="K1310" i="8"/>
  <c r="H1399" i="8"/>
  <c r="L1029" i="8"/>
  <c r="E1189" i="8"/>
  <c r="F1243" i="8"/>
  <c r="G1340" i="8"/>
  <c r="E1479" i="8"/>
  <c r="O1562" i="8"/>
  <c r="I1583" i="8"/>
  <c r="I1480" i="8"/>
  <c r="N1561" i="8"/>
  <c r="L1535" i="8"/>
  <c r="N1494" i="8"/>
  <c r="M1603" i="8"/>
  <c r="K1618" i="8"/>
  <c r="L1590" i="8"/>
  <c r="O1586" i="8"/>
  <c r="F1520" i="8"/>
  <c r="N1548" i="8"/>
  <c r="K1570" i="8"/>
  <c r="L1607" i="8"/>
  <c r="H1457" i="8"/>
  <c r="K1575" i="8"/>
  <c r="K1625" i="8"/>
  <c r="L1668" i="8"/>
  <c r="G1367" i="8"/>
  <c r="M1500" i="8"/>
  <c r="O1633" i="8"/>
  <c r="G1404" i="8"/>
  <c r="I1532" i="8"/>
  <c r="I1642" i="8"/>
  <c r="I1587" i="8"/>
  <c r="F1531" i="8"/>
  <c r="L1589" i="8"/>
  <c r="E1490" i="8"/>
  <c r="J1529" i="8"/>
  <c r="N1646" i="8"/>
  <c r="K1630" i="8"/>
  <c r="K1636" i="8"/>
  <c r="K1497" i="8"/>
  <c r="M1511" i="8"/>
  <c r="J1539" i="8"/>
  <c r="F1655" i="8"/>
  <c r="J1352" i="8"/>
  <c r="K1541" i="8"/>
  <c r="O1645" i="8"/>
  <c r="J1527" i="8"/>
  <c r="F1516" i="8"/>
  <c r="K1677" i="8"/>
  <c r="O1678" i="8"/>
  <c r="F1555" i="8"/>
  <c r="E503" i="8"/>
  <c r="I464" i="8"/>
  <c r="O496" i="8"/>
  <c r="G858" i="8"/>
  <c r="J918" i="8"/>
  <c r="G389" i="8"/>
  <c r="F989" i="8"/>
  <c r="O475" i="8"/>
  <c r="F503" i="8"/>
  <c r="I587" i="8"/>
  <c r="M730" i="8"/>
  <c r="G855" i="8"/>
  <c r="M762" i="8"/>
  <c r="E785" i="8"/>
  <c r="K870" i="8"/>
  <c r="L293" i="8"/>
  <c r="M390" i="8"/>
  <c r="N687" i="8"/>
  <c r="E706" i="8"/>
  <c r="M326" i="8"/>
  <c r="G456" i="8"/>
  <c r="E426" i="8"/>
  <c r="E464" i="8"/>
  <c r="G888" i="8"/>
  <c r="I922" i="8"/>
  <c r="O895" i="8"/>
  <c r="N818" i="8"/>
  <c r="H422" i="8"/>
  <c r="H496" i="8"/>
  <c r="G423" i="8"/>
  <c r="L554" i="8"/>
  <c r="N763" i="8"/>
  <c r="J858" i="8"/>
  <c r="F327" i="8"/>
  <c r="G683" i="8"/>
  <c r="H629" i="8"/>
  <c r="O753" i="8"/>
  <c r="G455" i="8"/>
  <c r="M771" i="8"/>
  <c r="O851" i="8"/>
  <c r="M918" i="8"/>
  <c r="G656" i="8"/>
  <c r="F873" i="8"/>
  <c r="N958" i="8"/>
  <c r="G357" i="8"/>
  <c r="K530" i="8"/>
  <c r="F817" i="8"/>
  <c r="E359" i="8"/>
  <c r="G191" i="8"/>
  <c r="F258" i="8"/>
  <c r="H300" i="8"/>
  <c r="N360" i="8"/>
  <c r="M564" i="8"/>
  <c r="F716" i="8"/>
  <c r="I722" i="8"/>
  <c r="N794" i="8"/>
  <c r="L389" i="8"/>
  <c r="N432" i="8"/>
  <c r="I596" i="8"/>
  <c r="H694" i="8"/>
  <c r="J693" i="8"/>
  <c r="I719" i="8"/>
  <c r="L784" i="8"/>
  <c r="M1001" i="8"/>
  <c r="J1063" i="8"/>
  <c r="J1123" i="8"/>
  <c r="G1127" i="8"/>
  <c r="H1190" i="8"/>
  <c r="N1193" i="8"/>
  <c r="H1426" i="8"/>
  <c r="G1431" i="8"/>
  <c r="J1464" i="8"/>
  <c r="H1005" i="8"/>
  <c r="O1128" i="8"/>
  <c r="G1300" i="8"/>
  <c r="L1372" i="8"/>
  <c r="L1468" i="8"/>
  <c r="H1509" i="8"/>
  <c r="J1137" i="8"/>
  <c r="F1345" i="8"/>
  <c r="G1324" i="8"/>
  <c r="N1416" i="8"/>
  <c r="H1443" i="8"/>
  <c r="E1427" i="8"/>
  <c r="K1444" i="8"/>
  <c r="H1476" i="8"/>
  <c r="M1025" i="8"/>
  <c r="O1093" i="8"/>
  <c r="O1098" i="8"/>
  <c r="M1249" i="8"/>
  <c r="L887" i="8"/>
  <c r="I884" i="8"/>
  <c r="K1000" i="8"/>
  <c r="J1156" i="8"/>
  <c r="F1155" i="8"/>
  <c r="N1429" i="8"/>
  <c r="J1417" i="8"/>
  <c r="M953" i="8"/>
  <c r="F1149" i="8"/>
  <c r="O1169" i="8"/>
  <c r="I1252" i="8"/>
  <c r="H1385" i="8"/>
  <c r="F1355" i="8"/>
  <c r="I1419" i="8"/>
  <c r="E1134" i="8"/>
  <c r="K1201" i="8"/>
  <c r="O1168" i="8"/>
  <c r="K1248" i="8"/>
  <c r="K1393" i="8"/>
  <c r="J1403" i="8"/>
  <c r="K1538" i="8"/>
  <c r="F993" i="8"/>
  <c r="H1053" i="8"/>
  <c r="O1147" i="8"/>
  <c r="H1110" i="8"/>
  <c r="J1194" i="8"/>
  <c r="F1173" i="8"/>
  <c r="G1247" i="8"/>
  <c r="N1323" i="8"/>
  <c r="E1413" i="8"/>
  <c r="O1038" i="8"/>
  <c r="G1118" i="8"/>
  <c r="N1077" i="8"/>
  <c r="M1263" i="8"/>
  <c r="M1262" i="8"/>
  <c r="I1261" i="8"/>
  <c r="M1384" i="8"/>
  <c r="G1472" i="8"/>
  <c r="H1013" i="8"/>
  <c r="L1064" i="8"/>
  <c r="J1178" i="8"/>
  <c r="N1277" i="8"/>
  <c r="K1383" i="8"/>
  <c r="G1374" i="8"/>
  <c r="F1015" i="8"/>
  <c r="N1096" i="8"/>
  <c r="J1200" i="8"/>
  <c r="K1206" i="8"/>
  <c r="I1390" i="8"/>
  <c r="I944" i="8"/>
  <c r="L1145" i="8"/>
  <c r="M1120" i="8"/>
  <c r="N1177" i="8"/>
  <c r="H1217" i="8"/>
  <c r="F1216" i="8"/>
  <c r="H899" i="8"/>
  <c r="F994" i="8"/>
  <c r="J1278" i="8"/>
  <c r="K1447" i="8"/>
  <c r="M1487" i="8"/>
  <c r="F1021" i="8"/>
  <c r="K1251" i="8"/>
  <c r="M1302" i="8"/>
  <c r="F1325" i="8"/>
  <c r="F1368" i="8"/>
  <c r="N1459" i="8"/>
  <c r="M931" i="8"/>
  <c r="O977" i="8"/>
  <c r="F1087" i="8"/>
  <c r="L1170" i="8"/>
  <c r="H1231" i="8"/>
  <c r="H1230" i="8"/>
  <c r="I1285" i="8"/>
  <c r="G1306" i="8"/>
  <c r="L1310" i="8"/>
  <c r="I1399" i="8"/>
  <c r="M1029" i="8"/>
  <c r="M1189" i="8"/>
  <c r="G1243" i="8"/>
  <c r="H1340" i="8"/>
  <c r="G1479" i="8"/>
  <c r="F1562" i="8"/>
  <c r="H1652" i="8"/>
  <c r="J1480" i="8"/>
  <c r="H1561" i="8"/>
  <c r="M1535" i="8"/>
  <c r="O1494" i="8"/>
  <c r="H1603" i="8"/>
  <c r="L1618" i="8"/>
  <c r="K1590" i="8"/>
  <c r="K1586" i="8"/>
  <c r="G1520" i="8"/>
  <c r="E1548" i="8"/>
  <c r="I1608" i="8"/>
  <c r="M1607" i="8"/>
  <c r="I1457" i="8"/>
  <c r="N1575" i="8"/>
  <c r="L1625" i="8"/>
  <c r="E1668" i="8"/>
  <c r="O1367" i="8"/>
  <c r="H1500" i="8"/>
  <c r="H1633" i="8"/>
  <c r="K1404" i="8"/>
  <c r="J1532" i="8"/>
  <c r="H1623" i="8"/>
  <c r="J1587" i="8"/>
  <c r="N1531" i="8"/>
  <c r="O1589" i="8"/>
  <c r="F1490" i="8"/>
  <c r="L1529" i="8"/>
  <c r="O1646" i="8"/>
  <c r="G1630" i="8"/>
  <c r="L1636" i="8"/>
  <c r="L1497" i="8"/>
  <c r="N1511" i="8"/>
  <c r="F1546" i="8"/>
  <c r="N1655" i="8"/>
  <c r="K1352" i="8"/>
  <c r="L1541" i="8"/>
  <c r="H1645" i="8"/>
  <c r="M1527" i="8"/>
  <c r="N1516" i="8"/>
  <c r="L1677" i="8"/>
  <c r="H1678" i="8"/>
  <c r="H1555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<sst xmlns="http://schemas.openxmlformats.org/spreadsheetml/2006/main" count="7586" uniqueCount="197">
  <si>
    <t>Launch Date</t>
  </si>
  <si>
    <t>Model Name</t>
  </si>
  <si>
    <t>Popularity Score</t>
  </si>
  <si>
    <t>Days Since Launch</t>
  </si>
  <si>
    <t>Samsung Galaxy S10</t>
  </si>
  <si>
    <t>Huawei P30 Pro</t>
  </si>
  <si>
    <t>Xiaomi Mi 9T Pro</t>
  </si>
  <si>
    <t>Vivo S1 Pro</t>
  </si>
  <si>
    <t>Samsung Galaxy S20</t>
  </si>
  <si>
    <t>Oppo Reno3 Pro</t>
  </si>
  <si>
    <t>Apple iPhone SE</t>
  </si>
  <si>
    <t>Huawei Nova 7i</t>
  </si>
  <si>
    <t>Xiaomi Redmi Note 9 Pro</t>
  </si>
  <si>
    <t>Samsung Galaxy S21 Ultra</t>
  </si>
  <si>
    <t>Apple iPhone 12 Pro</t>
  </si>
  <si>
    <t>Xiaomi Mi 11</t>
  </si>
  <si>
    <t>Date</t>
  </si>
  <si>
    <t>Samsung Galaxy S21</t>
  </si>
  <si>
    <t>Sales</t>
  </si>
  <si>
    <t>Now list down all the phones you mentioned in the previous prompt as a table. The table must contain:</t>
  </si>
  <si>
    <t>Brunei: iPhone 12 (8), Samsung Galaxy S21 (8), Xiaomi Redmi Note 10 (7), Oppo A54 (6)</t>
  </si>
  <si>
    <t>Cambodia: iPhone 12 (8), Samsung Galaxy A52 (8), Vivo Y20 (7), Huawei Y9a (6)</t>
  </si>
  <si>
    <t>Indonesia: Xiaomi Redmi 10 (8), Samsung Galaxy A52 (8), Oppo A16 (7), Vivo Y33s (7)</t>
  </si>
  <si>
    <t>Laos: Samsung Galaxy A52 (8), Xiaomi Redmi Note 10 (7), Oppo A16 (7), Vivo Y12s (6)</t>
  </si>
  <si>
    <t>Malaysia: iPhone 13 (9), Samsung Galaxy S21 (8), Xiaomi Redmi Note 10 (7), Vivo Y12s (6)</t>
  </si>
  <si>
    <t>Myanmar: Xiaomi Redmi Note 10 (7), Samsung Galaxy A52 (8), Vivo Y11s (6), Huawei Nova 7i (6)</t>
  </si>
  <si>
    <t>Philippines: Samsung Galaxy A52 (8), Xiaomi Redmi 10 (7), Vivo Y12s (6), Oppo A16 (7)</t>
  </si>
  <si>
    <t>Singapore: iPhone 13 (9), Samsung Galaxy S21 (8), Google Pixel 6 (7), OnePlus Nord CE (7)</t>
  </si>
  <si>
    <t>Thailand: Xiaomi Redmi Note 10 (7), Samsung Galaxy A52 (8), Vivo Y12s (6), Oppo A54 (7)</t>
  </si>
  <si>
    <t>Vietnam: Xiaomi Redmi 10 (7), Samsung Galaxy A52 (8), Oppo A54 (7), Vivo Y20s (6)</t>
  </si>
  <si>
    <t xml:space="preserve"> Brunei</t>
  </si>
  <si>
    <t xml:space="preserve"> Cambodia</t>
  </si>
  <si>
    <t xml:space="preserve"> East Timor</t>
  </si>
  <si>
    <t xml:space="preserve"> Indonesia</t>
  </si>
  <si>
    <t xml:space="preserve"> Laos</t>
  </si>
  <si>
    <t xml:space="preserve"> Malaysia</t>
  </si>
  <si>
    <t xml:space="preserve"> Myanmar</t>
  </si>
  <si>
    <t xml:space="preserve"> Philippines</t>
  </si>
  <si>
    <t xml:space="preserve"> Singapore</t>
  </si>
  <si>
    <t xml:space="preserve"> Thailand</t>
  </si>
  <si>
    <t xml:space="preserve"> Vietnam</t>
  </si>
  <si>
    <t xml:space="preserve"> Date launched</t>
  </si>
  <si>
    <t xml:space="preserve"> Phone</t>
  </si>
  <si>
    <t xml:space="preserve"> Company</t>
  </si>
  <si>
    <t xml:space="preserve"> Specs</t>
  </si>
  <si>
    <t>Date launched</t>
  </si>
  <si>
    <t>Phone</t>
  </si>
  <si>
    <t>Company</t>
  </si>
  <si>
    <t>Specs</t>
  </si>
  <si>
    <t>2019-09</t>
  </si>
  <si>
    <t>iPhone 11</t>
  </si>
  <si>
    <t>Apple</t>
  </si>
  <si>
    <t>2020-02</t>
  </si>
  <si>
    <t>Samsung Galaxy S20 Ultra</t>
  </si>
  <si>
    <t>Samsung</t>
  </si>
  <si>
    <t>2021-03</t>
  </si>
  <si>
    <t>Xiaomi Redmi Note 10</t>
  </si>
  <si>
    <t>Xiaomi</t>
  </si>
  <si>
    <t>2021-04</t>
  </si>
  <si>
    <t>OPPO A54</t>
  </si>
  <si>
    <t>Oppo</t>
  </si>
  <si>
    <t>2020-09</t>
  </si>
  <si>
    <t>Vivo Y20</t>
  </si>
  <si>
    <t>Vivo</t>
  </si>
  <si>
    <t>Huawei Y9a</t>
  </si>
  <si>
    <t>Huawei</t>
  </si>
  <si>
    <t>Xiaomi Redmi 10</t>
  </si>
  <si>
    <t>Samsung Galaxy A52</t>
  </si>
  <si>
    <t>2021-05</t>
  </si>
  <si>
    <t>Vivo Y33s</t>
  </si>
  <si>
    <t>2020-11</t>
  </si>
  <si>
    <t>Vivo Y11s</t>
  </si>
  <si>
    <t>2021-09</t>
  </si>
  <si>
    <t>iPhone 13</t>
  </si>
  <si>
    <t>2021-01</t>
  </si>
  <si>
    <t>2021-10</t>
  </si>
  <si>
    <t>Google Pixel 6</t>
  </si>
  <si>
    <t>Google</t>
  </si>
  <si>
    <t>2021-06</t>
  </si>
  <si>
    <t>OnePlus Nord CE</t>
  </si>
  <si>
    <t>OnePlus</t>
  </si>
  <si>
    <t>Apple iPhone 13 Pro</t>
  </si>
  <si>
    <t>2021-02</t>
  </si>
  <si>
    <t>Samsung Galaxy A32 5G</t>
  </si>
  <si>
    <t>Realme C25</t>
  </si>
  <si>
    <t>Realme</t>
  </si>
  <si>
    <t>Xiaomi Poco X3 Pro</t>
  </si>
  <si>
    <t>Samsung Galaxy Z Flip 3</t>
  </si>
  <si>
    <t>2020-08</t>
  </si>
  <si>
    <t>Xiaomi Poco X3 NFC</t>
  </si>
  <si>
    <t>OPPO A93</t>
  </si>
  <si>
    <t>2020-10</t>
  </si>
  <si>
    <t>Vivo V20</t>
  </si>
  <si>
    <t>2019-05</t>
  </si>
  <si>
    <t>Samsung Galaxy A50</t>
  </si>
  <si>
    <t>2019-08</t>
  </si>
  <si>
    <t>Xiaomi Redmi Note 7</t>
  </si>
  <si>
    <t>Realme C21</t>
  </si>
  <si>
    <t>Google Pixel 4</t>
  </si>
  <si>
    <t>Samsung Galaxy A10s</t>
  </si>
  <si>
    <t>Realme Narzo 30A</t>
  </si>
  <si>
    <t>Samsung Galaxy A22 5G</t>
  </si>
  <si>
    <t>Xiaomi Redmi 9</t>
  </si>
  <si>
    <t>Realme C3</t>
  </si>
  <si>
    <t>2018-10</t>
  </si>
  <si>
    <t>Samsung Galaxy A7</t>
  </si>
  <si>
    <t>6.1" Liquid Retina IPS LCD</t>
  </si>
  <si>
    <t>6.9" Dynamic AMOLED 2X</t>
  </si>
  <si>
    <t>6.43" Super AMOLED</t>
  </si>
  <si>
    <t>6.51" IPS LCD</t>
  </si>
  <si>
    <t>6.63" IPS LCD</t>
  </si>
  <si>
    <t>6.5" IPS LCD</t>
  </si>
  <si>
    <t>6.5" Super AMOLED</t>
  </si>
  <si>
    <t>6.58" IPS LCD</t>
  </si>
  <si>
    <t>6.4" IPS LCD</t>
  </si>
  <si>
    <t>6.1" Super Retina XDR OLED</t>
  </si>
  <si>
    <t>6.2" Dynamic AMOLED 2X</t>
  </si>
  <si>
    <t>6.4" AMOLED</t>
  </si>
  <si>
    <t>6.43" Fluid AMOLED</t>
  </si>
  <si>
    <t>6.5" TFT</t>
  </si>
  <si>
    <t>6.67" IPS LCD</t>
  </si>
  <si>
    <t>6.7" Dynamic AMOLED 2X</t>
  </si>
  <si>
    <t>6.43" AMOLED</t>
  </si>
  <si>
    <t>6.44" AMOLED</t>
  </si>
  <si>
    <t>6.4" Super AMOLED</t>
  </si>
  <si>
    <t>6.3" IPS LCD</t>
  </si>
  <si>
    <t>5.7" P-OLED</t>
  </si>
  <si>
    <t>6.2" PLS TFT</t>
  </si>
  <si>
    <t>6.6" TFT</t>
  </si>
  <si>
    <t>6.53" IPS LCD</t>
  </si>
  <si>
    <t>6.0" Super AMOLED</t>
  </si>
  <si>
    <t>Brunei</t>
  </si>
  <si>
    <t>Cambodia</t>
  </si>
  <si>
    <t>East Timor</t>
  </si>
  <si>
    <t>Indonesia</t>
  </si>
  <si>
    <t>Laos</t>
  </si>
  <si>
    <t>Malaysia</t>
  </si>
  <si>
    <t>Myanmar</t>
  </si>
  <si>
    <t>Philippines</t>
  </si>
  <si>
    <t>Singapore</t>
  </si>
  <si>
    <t>Thailand</t>
  </si>
  <si>
    <t>Vietnam</t>
  </si>
  <si>
    <t>P001</t>
  </si>
  <si>
    <t>P002</t>
  </si>
  <si>
    <t>P003</t>
  </si>
  <si>
    <t>P004</t>
  </si>
  <si>
    <t>P005</t>
  </si>
  <si>
    <t>P006</t>
  </si>
  <si>
    <t>P007</t>
  </si>
  <si>
    <t>P008</t>
  </si>
  <si>
    <t>P009</t>
  </si>
  <si>
    <t>P010</t>
  </si>
  <si>
    <t>P011</t>
  </si>
  <si>
    <t>P012</t>
  </si>
  <si>
    <t>P013</t>
  </si>
  <si>
    <t>P014</t>
  </si>
  <si>
    <t>P015</t>
  </si>
  <si>
    <t>P016</t>
  </si>
  <si>
    <t>P017</t>
  </si>
  <si>
    <t>P018</t>
  </si>
  <si>
    <t>P019</t>
  </si>
  <si>
    <t>P020</t>
  </si>
  <si>
    <t>P021</t>
  </si>
  <si>
    <t>P022</t>
  </si>
  <si>
    <t>P023</t>
  </si>
  <si>
    <t>P024</t>
  </si>
  <si>
    <t>P025</t>
  </si>
  <si>
    <t>P026</t>
  </si>
  <si>
    <t>P027</t>
  </si>
  <si>
    <t>P028</t>
  </si>
  <si>
    <t>P029</t>
  </si>
  <si>
    <t>P030</t>
  </si>
  <si>
    <t>P031</t>
  </si>
  <si>
    <t>P032</t>
  </si>
  <si>
    <t>P033</t>
  </si>
  <si>
    <t>Product ID</t>
  </si>
  <si>
    <t>Price Range</t>
  </si>
  <si>
    <t>$699-$749</t>
  </si>
  <si>
    <t>$1,399-$1,599</t>
  </si>
  <si>
    <t>$199-$249</t>
  </si>
  <si>
    <t>$149-$199</t>
  </si>
  <si>
    <t>$229-$279</t>
  </si>
  <si>
    <t>$349-$399</t>
  </si>
  <si>
    <t>$129-$149</t>
  </si>
  <si>
    <t>$299-$349</t>
  </si>
  <si>
    <t>$799-$1,099</t>
  </si>
  <si>
    <t>$799-$1,199</t>
  </si>
  <si>
    <t>$599-$699</t>
  </si>
  <si>
    <t>$299-$399</t>
  </si>
  <si>
    <t>$999-$1,099</t>
  </si>
  <si>
    <t>$279-$329</t>
  </si>
  <si>
    <t>$99-$149</t>
  </si>
  <si>
    <t>$799-$899</t>
  </si>
  <si>
    <t>$249-$299</t>
  </si>
  <si>
    <t>$399-$449</t>
  </si>
  <si>
    <t>Date 2</t>
  </si>
  <si>
    <t>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</si>
</sst>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2" borderId="2" xfId="0" applyFont="1" applyFill="1" applyBorder="1"/>
    <xf numFmtId="0" fontId="0" fillId="0" borderId="2" xfId="0" applyFont="1" applyBorder="1"/>
    <xf numFmtId="14" fontId="0" fillId="2" borderId="1" xfId="0" applyNumberFormat="1" applyFont="1" applyFill="1" applyBorder="1"/>
    <xf numFmtId="14" fontId="0" fillId="0" borderId="1" xfId="0" applyNumberFormat="1" applyFont="1" applyBorder="1"/>
  </cellXfs>
  <cellStyles count="1">
    <cellStyle name="Normal" xfId="0" builtinId="0"/>
  </cellStyles>
  <dxfs count="1"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ADCC25-0834-4DB4-B08D-DF2604816AEB}" name="Table1" displayName="Table1" ref="B2:E14" totalsRowShown="0">
  <autoFilter ref="B2:E14" xr:uid="{D2ADCC25-0834-4DB4-B08D-DF2604816AEB}"/>
  <tableColumns count="4">
    <tableColumn id="1" xr3:uid="{53208FE0-A593-4A5B-A957-A7700F23396F}" name="Launch Date" dataDxfId="0"/>
    <tableColumn id="2" xr3:uid="{08BA05F0-C32E-4194-B1E0-53D302B50024}" name="Model Name"/>
    <tableColumn id="3" xr3:uid="{9171DCCB-7612-4BD5-AFB5-29155DFF586D}" name="Popularity Score"/>
    <tableColumn id="4" xr3:uid="{E2D524FA-A9B2-4998-91CC-9D5938D3984F}" name="Days Since Launc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7C95-3EC4-4B70-BB07-DC4F7ED13094}">
  <sheetPr codeName="Sheet8"/>
  <dimension ref="A1:Q1682"/>
  <sheetViews>
    <sheetView topLeftCell="A1292" workbookViewId="0">
      <selection activeCell="N1316" sqref="N1316"/>
    </sheetView>
  </sheetViews>
  <sheetFormatPr defaultRowHeight="15" x14ac:dyDescent="0.25"/>
  <cols>
    <col min="1" max="1" width="14" customWidth="1"/>
    <col min="2" max="2" width="11.42578125" customWidth="1"/>
    <col min="3" max="3" width="26.5703125" customWidth="1"/>
    <col min="4" max="4" width="13.85546875" customWidth="1"/>
    <col min="5" max="15" width="12.42578125" customWidth="1"/>
    <col min="16" max="16" width="29.5703125" customWidth="1"/>
  </cols>
  <sheetData>
    <row r="1" spans="1:17" x14ac:dyDescent="0.25">
      <c r="A1" s="1">
        <v>43466</v>
      </c>
    </row>
    <row r="2" spans="1:17" x14ac:dyDescent="0.25">
      <c r="A2" t="s">
        <v>16</v>
      </c>
      <c r="B2" t="s">
        <v>175</v>
      </c>
      <c r="C2" t="s">
        <v>46</v>
      </c>
      <c r="D2" t="s">
        <v>0</v>
      </c>
      <c r="E2" t="s">
        <v>131</v>
      </c>
      <c r="F2" t="s">
        <v>132</v>
      </c>
      <c r="G2" t="s">
        <v>133</v>
      </c>
      <c r="H2" t="s">
        <v>134</v>
      </c>
      <c r="I2" t="s">
        <v>135</v>
      </c>
      <c r="J2" t="s">
        <v>136</v>
      </c>
      <c r="K2" t="s">
        <v>137</v>
      </c>
      <c r="L2" t="s">
        <v>138</v>
      </c>
      <c r="M2" t="s">
        <v>139</v>
      </c>
      <c r="N2" t="s">
        <v>140</v>
      </c>
      <c r="O2" t="s">
        <v>141</v>
      </c>
    </row>
    <row r="3" spans="1:17" x14ac:dyDescent="0.25">
      <c r="A3" s="1">
        <f>DATE(YEAR($A$1), MONTH($A$1) + INT((ROW()-1)/35), DAY($A$1))</f>
        <v>43466</v>
      </c>
      <c r="B3" t="s">
        <v>142</v>
      </c>
      <c r="C3" t="str">
        <f>_xlfn.XLOOKUP(B3,Phone_by_Price!$A$2:$A$34,Phone_by_Price!$B$2:$B$34,"-",0,1)</f>
        <v>iPhone 11</v>
      </c>
      <c r="D3" t="str">
        <f>_xlfn.XLOOKUP(C3,Phone_by_Sentiment!$B$2:$B$37,Phone_by_Sentiment!$A$2:$A$37,"-",0,1)</f>
        <v>2019-09</v>
      </c>
      <c r="E3" cm="1">
        <f t="array" ref="E3">IF($Q3&gt;=0,IFERROR(generateSalesData($D3, IF(ISNUMBER(_xlfn.XLOOKUP($C3,Phone_by_Sentiment!$B$2:$B$37,Phone_by_Sentiment!E$2:E$37,"",0,1)),_xlfn.XLOOKUP($C3,Phone_by_Sentiment!$B$2:$B$37,Phone_by_Sentiment!E$2:E$37,"",0,1),0),$A3-TEXT(DATEVALUE($D3&amp;"-01"), "dd-mm-yyyy")),0),0)</f>
        <v>0</v>
      </c>
      <c r="F3" cm="1">
        <f t="array" ref="F3">IF($Q3&gt;=0,IFERROR(generateSalesData($D3, IF(ISNUMBER(_xlfn.XLOOKUP($C3,Phone_by_Sentiment!$B$2:$B$37,Phone_by_Sentiment!F$2:F$37,"",0,1)),_xlfn.XLOOKUP($C3,Phone_by_Sentiment!$B$2:$B$37,Phone_by_Sentiment!F$2:F$37,"",0,1),0),$A3-TEXT(DATEVALUE($D3&amp;"-01"), "dd-mm-yyyy")),0),0)</f>
        <v>0</v>
      </c>
      <c r="G3" cm="1">
        <f t="array" ref="G3">IF($Q3&gt;=0,IFERROR(generateSalesData($D3, IF(ISNUMBER(_xlfn.XLOOKUP($C3,Phone_by_Sentiment!$B$2:$B$37,Phone_by_Sentiment!G$2:G$37,"",0,1)),_xlfn.XLOOKUP($C3,Phone_by_Sentiment!$B$2:$B$37,Phone_by_Sentiment!G$2:G$37,"",0,1),0),$A3-TEXT(DATEVALUE($D3&amp;"-01"), "dd-mm-yyyy")),0),0)</f>
        <v>0</v>
      </c>
      <c r="H3" cm="1">
        <f t="array" ref="H3">IF($Q3&gt;=0,IFERROR(generateSalesData($D3, IF(ISNUMBER(_xlfn.XLOOKUP($C3,Phone_by_Sentiment!$B$2:$B$37,Phone_by_Sentiment!H$2:H$37,"",0,1)),_xlfn.XLOOKUP($C3,Phone_by_Sentiment!$B$2:$B$37,Phone_by_Sentiment!H$2:H$37,"",0,1),0),$A3-TEXT(DATEVALUE($D3&amp;"-01"), "dd-mm-yyyy")),0),0)</f>
        <v>0</v>
      </c>
      <c r="I3" cm="1">
        <f t="array" ref="I3">IF($Q3&gt;=0,IFERROR(generateSalesData($D3, IF(ISNUMBER(_xlfn.XLOOKUP($C3,Phone_by_Sentiment!$B$2:$B$37,Phone_by_Sentiment!I$2:I$37,"",0,1)),_xlfn.XLOOKUP($C3,Phone_by_Sentiment!$B$2:$B$37,Phone_by_Sentiment!I$2:I$37,"",0,1),0),$A3-TEXT(DATEVALUE($D3&amp;"-01"), "dd-mm-yyyy")),0),0)</f>
        <v>0</v>
      </c>
      <c r="J3" cm="1">
        <f t="array" ref="J3">IF($Q3&gt;=0,IFERROR(generateSalesData($D3, IF(ISNUMBER(_xlfn.XLOOKUP($C3,Phone_by_Sentiment!$B$2:$B$37,Phone_by_Sentiment!J$2:J$37,"",0,1)),_xlfn.XLOOKUP($C3,Phone_by_Sentiment!$B$2:$B$37,Phone_by_Sentiment!J$2:J$37,"",0,1),0),$A3-TEXT(DATEVALUE($D3&amp;"-01"), "dd-mm-yyyy")),0),0)</f>
        <v>0</v>
      </c>
      <c r="K3" cm="1">
        <f t="array" ref="K3">IF($Q3&gt;=0,IFERROR(generateSalesData($D3, IF(ISNUMBER(_xlfn.XLOOKUP($C3,Phone_by_Sentiment!$B$2:$B$37,Phone_by_Sentiment!K$2:K$37,"",0,1)),_xlfn.XLOOKUP($C3,Phone_by_Sentiment!$B$2:$B$37,Phone_by_Sentiment!K$2:K$37,"",0,1),0),$A3-TEXT(DATEVALUE($D3&amp;"-01"), "dd-mm-yyyy")),0),0)</f>
        <v>0</v>
      </c>
      <c r="L3" cm="1">
        <f t="array" ref="L3">IF($Q3&gt;=0,IFERROR(generateSalesData($D3, IF(ISNUMBER(_xlfn.XLOOKUP($C3,Phone_by_Sentiment!$B$2:$B$37,Phone_by_Sentiment!L$2:L$37,"",0,1)),_xlfn.XLOOKUP($C3,Phone_by_Sentiment!$B$2:$B$37,Phone_by_Sentiment!L$2:L$37,"",0,1),0),$A3-TEXT(DATEVALUE($D3&amp;"-01"), "dd-mm-yyyy")),0),0)</f>
        <v>0</v>
      </c>
      <c r="M3" cm="1">
        <f t="array" ref="M3">IF($Q3&gt;=0,IFERROR(generateSalesData($D3, IF(ISNUMBER(_xlfn.XLOOKUP($C3,Phone_by_Sentiment!$B$2:$B$37,Phone_by_Sentiment!M$2:M$37,"",0,1)),_xlfn.XLOOKUP($C3,Phone_by_Sentiment!$B$2:$B$37,Phone_by_Sentiment!M$2:M$37,"",0,1),0),$A3-TEXT(DATEVALUE($D3&amp;"-01"), "dd-mm-yyyy")),0),0)</f>
        <v>0</v>
      </c>
      <c r="N3" cm="1">
        <f t="array" ref="N3">IF($Q3&gt;=0,IFERROR(generateSalesData($D3, IF(ISNUMBER(_xlfn.XLOOKUP($C3,Phone_by_Sentiment!$B$2:$B$37,Phone_by_Sentiment!N$2:N$37,"",0,1)),_xlfn.XLOOKUP($C3,Phone_by_Sentiment!$B$2:$B$37,Phone_by_Sentiment!N$2:N$37,"",0,1),0),$A3-TEXT(DATEVALUE($D3&amp;"-01"), "dd-mm-yyyy")),0),0)</f>
        <v>0</v>
      </c>
      <c r="O3" cm="1">
        <f t="array" ref="O3">IF($Q3&gt;=0,IFERROR(generateSalesData($D3, IF(ISNUMBER(_xlfn.XLOOKUP($C3,Phone_by_Sentiment!$B$2:$B$37,Phone_by_Sentiment!O$2:O$37,"",0,1)),_xlfn.XLOOKUP($C3,Phone_by_Sentiment!$B$2:$B$37,Phone_by_Sentiment!O$2:O$37,"",0,1),0),$A3-TEXT(DATEVALUE($D3&amp;"-01"), "dd-mm-yyyy")),0),0)</f>
        <v>0</v>
      </c>
      <c r="P3" s="1">
        <f>DATEVALUE($D3&amp;"-01")</f>
        <v>43709</v>
      </c>
      <c r="Q3">
        <f>A3-P3</f>
        <v>-243</v>
      </c>
    </row>
    <row r="4" spans="1:17" x14ac:dyDescent="0.25">
      <c r="A4" s="1">
        <f t="shared" ref="A4:A264" si="0">DATE(YEAR($A$1), MONTH($A$1) + INT((ROW()-1)/35), DAY($A$1))</f>
        <v>43466</v>
      </c>
      <c r="B4" t="s">
        <v>143</v>
      </c>
      <c r="C4" t="str">
        <f>_xlfn.XLOOKUP(B4,Phone_by_Price!$A$2:$A$34,Phone_by_Price!$B$2:$B$34,"-",0,1)</f>
        <v>Samsung Galaxy S20 Ultra</v>
      </c>
      <c r="D4" t="str">
        <f>_xlfn.XLOOKUP(C4,Phone_by_Sentiment!$B$2:$B$37,Phone_by_Sentiment!$A$2:$A$37,"-",0,1)</f>
        <v>2020-02</v>
      </c>
      <c r="E4" cm="1">
        <f t="array" ref="E4">IF($Q4&gt;=0,IFERROR(generateSalesData($D4, IF(ISNUMBER(_xlfn.XLOOKUP($C4,Phone_by_Sentiment!$B$2:$B$37,Phone_by_Sentiment!E$2:E$37,"",0,1)),_xlfn.XLOOKUP($C4,Phone_by_Sentiment!$B$2:$B$37,Phone_by_Sentiment!E$2:E$37,"",0,1),0),$A4-TEXT(DATEVALUE($D4&amp;"-01"), "dd-mm-yyyy")),0),0)</f>
        <v>0</v>
      </c>
      <c r="F4" cm="1">
        <f t="array" ref="F4">IF($Q4&gt;=0,IFERROR(generateSalesData($D4, IF(ISNUMBER(_xlfn.XLOOKUP($C4,Phone_by_Sentiment!$B$2:$B$37,Phone_by_Sentiment!F$2:F$37,"",0,1)),_xlfn.XLOOKUP($C4,Phone_by_Sentiment!$B$2:$B$37,Phone_by_Sentiment!F$2:F$37,"",0,1),0),$A4-TEXT(DATEVALUE($D4&amp;"-01"), "dd-mm-yyyy")),0),0)</f>
        <v>0</v>
      </c>
      <c r="G4" cm="1">
        <f t="array" ref="G4">IF($Q4&gt;=0,IFERROR(generateSalesData($D4, IF(ISNUMBER(_xlfn.XLOOKUP($C4,Phone_by_Sentiment!$B$2:$B$37,Phone_by_Sentiment!G$2:G$37,"",0,1)),_xlfn.XLOOKUP($C4,Phone_by_Sentiment!$B$2:$B$37,Phone_by_Sentiment!G$2:G$37,"",0,1),0),$A4-TEXT(DATEVALUE($D4&amp;"-01"), "dd-mm-yyyy")),0),0)</f>
        <v>0</v>
      </c>
      <c r="H4" cm="1">
        <f t="array" ref="H4">IF($Q4&gt;=0,IFERROR(generateSalesData($D4, IF(ISNUMBER(_xlfn.XLOOKUP($C4,Phone_by_Sentiment!$B$2:$B$37,Phone_by_Sentiment!H$2:H$37,"",0,1)),_xlfn.XLOOKUP($C4,Phone_by_Sentiment!$B$2:$B$37,Phone_by_Sentiment!H$2:H$37,"",0,1),0),$A4-TEXT(DATEVALUE($D4&amp;"-01"), "dd-mm-yyyy")),0),0)</f>
        <v>0</v>
      </c>
      <c r="I4" cm="1">
        <f t="array" ref="I4">IF($Q4&gt;=0,IFERROR(generateSalesData($D4, IF(ISNUMBER(_xlfn.XLOOKUP($C4,Phone_by_Sentiment!$B$2:$B$37,Phone_by_Sentiment!I$2:I$37,"",0,1)),_xlfn.XLOOKUP($C4,Phone_by_Sentiment!$B$2:$B$37,Phone_by_Sentiment!I$2:I$37,"",0,1),0),$A4-TEXT(DATEVALUE($D4&amp;"-01"), "dd-mm-yyyy")),0),0)</f>
        <v>0</v>
      </c>
      <c r="J4" cm="1">
        <f t="array" ref="J4">IF($Q4&gt;=0,IFERROR(generateSalesData($D4, IF(ISNUMBER(_xlfn.XLOOKUP($C4,Phone_by_Sentiment!$B$2:$B$37,Phone_by_Sentiment!J$2:J$37,"",0,1)),_xlfn.XLOOKUP($C4,Phone_by_Sentiment!$B$2:$B$37,Phone_by_Sentiment!J$2:J$37,"",0,1),0),$A4-TEXT(DATEVALUE($D4&amp;"-01"), "dd-mm-yyyy")),0),0)</f>
        <v>0</v>
      </c>
      <c r="K4" cm="1">
        <f t="array" ref="K4">IF($Q4&gt;=0,IFERROR(generateSalesData($D4, IF(ISNUMBER(_xlfn.XLOOKUP($C4,Phone_by_Sentiment!$B$2:$B$37,Phone_by_Sentiment!K$2:K$37,"",0,1)),_xlfn.XLOOKUP($C4,Phone_by_Sentiment!$B$2:$B$37,Phone_by_Sentiment!K$2:K$37,"",0,1),0),$A4-TEXT(DATEVALUE($D4&amp;"-01"), "dd-mm-yyyy")),0),0)</f>
        <v>0</v>
      </c>
      <c r="L4" cm="1">
        <f t="array" ref="L4">IF($Q4&gt;=0,IFERROR(generateSalesData($D4, IF(ISNUMBER(_xlfn.XLOOKUP($C4,Phone_by_Sentiment!$B$2:$B$37,Phone_by_Sentiment!L$2:L$37,"",0,1)),_xlfn.XLOOKUP($C4,Phone_by_Sentiment!$B$2:$B$37,Phone_by_Sentiment!L$2:L$37,"",0,1),0),$A4-TEXT(DATEVALUE($D4&amp;"-01"), "dd-mm-yyyy")),0),0)</f>
        <v>0</v>
      </c>
      <c r="M4" cm="1">
        <f t="array" ref="M4">IF($Q4&gt;=0,IFERROR(generateSalesData($D4, IF(ISNUMBER(_xlfn.XLOOKUP($C4,Phone_by_Sentiment!$B$2:$B$37,Phone_by_Sentiment!M$2:M$37,"",0,1)),_xlfn.XLOOKUP($C4,Phone_by_Sentiment!$B$2:$B$37,Phone_by_Sentiment!M$2:M$37,"",0,1),0),$A4-TEXT(DATEVALUE($D4&amp;"-01"), "dd-mm-yyyy")),0),0)</f>
        <v>0</v>
      </c>
      <c r="N4" cm="1">
        <f t="array" ref="N4">IF($Q4&gt;=0,IFERROR(generateSalesData($D4, IF(ISNUMBER(_xlfn.XLOOKUP($C4,Phone_by_Sentiment!$B$2:$B$37,Phone_by_Sentiment!N$2:N$37,"",0,1)),_xlfn.XLOOKUP($C4,Phone_by_Sentiment!$B$2:$B$37,Phone_by_Sentiment!N$2:N$37,"",0,1),0),$A4-TEXT(DATEVALUE($D4&amp;"-01"), "dd-mm-yyyy")),0),0)</f>
        <v>0</v>
      </c>
      <c r="O4" cm="1">
        <f t="array" ref="O4">IF($Q4&gt;=0,IFERROR(generateSalesData($D4, IF(ISNUMBER(_xlfn.XLOOKUP($C4,Phone_by_Sentiment!$B$2:$B$37,Phone_by_Sentiment!O$2:O$37,"",0,1)),_xlfn.XLOOKUP($C4,Phone_by_Sentiment!$B$2:$B$37,Phone_by_Sentiment!O$2:O$37,"",0,1),0),$A4-TEXT(DATEVALUE($D4&amp;"-01"), "dd-mm-yyyy")),0),0)</f>
        <v>0</v>
      </c>
      <c r="P4" s="1">
        <f t="shared" ref="P4:P67" si="1">DATEVALUE($D4&amp;"-01")</f>
        <v>43862</v>
      </c>
      <c r="Q4">
        <f t="shared" ref="Q4:Q67" si="2">A4-P4</f>
        <v>-396</v>
      </c>
    </row>
    <row r="5" spans="1:17" x14ac:dyDescent="0.25">
      <c r="A5" s="1">
        <f t="shared" si="0"/>
        <v>43466</v>
      </c>
      <c r="B5" t="s">
        <v>144</v>
      </c>
      <c r="C5" t="str">
        <f>_xlfn.XLOOKUP(B5,Phone_by_Price!$A$2:$A$34,Phone_by_Price!$B$2:$B$34,"-",0,1)</f>
        <v>Xiaomi Redmi Note 10</v>
      </c>
      <c r="D5" t="str">
        <f>_xlfn.XLOOKUP(C5,Phone_by_Sentiment!$B$2:$B$37,Phone_by_Sentiment!$A$2:$A$37,"-",0,1)</f>
        <v>2021-03</v>
      </c>
      <c r="E5" cm="1">
        <f t="array" ref="E5">IF($Q5&gt;=0,IFERROR(generateSalesData($D5, IF(ISNUMBER(_xlfn.XLOOKUP($C5,Phone_by_Sentiment!$B$2:$B$37,Phone_by_Sentiment!E$2:E$37,"",0,1)),_xlfn.XLOOKUP($C5,Phone_by_Sentiment!$B$2:$B$37,Phone_by_Sentiment!E$2:E$37,"",0,1),0),$A5-TEXT(DATEVALUE($D5&amp;"-01"), "dd-mm-yyyy")),0),0)</f>
        <v>0</v>
      </c>
      <c r="F5" cm="1">
        <f t="array" ref="F5">IF($Q5&gt;=0,IFERROR(generateSalesData($D5, IF(ISNUMBER(_xlfn.XLOOKUP($C5,Phone_by_Sentiment!$B$2:$B$37,Phone_by_Sentiment!F$2:F$37,"",0,1)),_xlfn.XLOOKUP($C5,Phone_by_Sentiment!$B$2:$B$37,Phone_by_Sentiment!F$2:F$37,"",0,1),0),$A5-TEXT(DATEVALUE($D5&amp;"-01"), "dd-mm-yyyy")),0),0)</f>
        <v>0</v>
      </c>
      <c r="G5" cm="1">
        <f t="array" ref="G5">IF($Q5&gt;=0,IFERROR(generateSalesData($D5, IF(ISNUMBER(_xlfn.XLOOKUP($C5,Phone_by_Sentiment!$B$2:$B$37,Phone_by_Sentiment!G$2:G$37,"",0,1)),_xlfn.XLOOKUP($C5,Phone_by_Sentiment!$B$2:$B$37,Phone_by_Sentiment!G$2:G$37,"",0,1),0),$A5-TEXT(DATEVALUE($D5&amp;"-01"), "dd-mm-yyyy")),0),0)</f>
        <v>0</v>
      </c>
      <c r="H5" cm="1">
        <f t="array" ref="H5">IF($Q5&gt;=0,IFERROR(generateSalesData($D5, IF(ISNUMBER(_xlfn.XLOOKUP($C5,Phone_by_Sentiment!$B$2:$B$37,Phone_by_Sentiment!H$2:H$37,"",0,1)),_xlfn.XLOOKUP($C5,Phone_by_Sentiment!$B$2:$B$37,Phone_by_Sentiment!H$2:H$37,"",0,1),0),$A5-TEXT(DATEVALUE($D5&amp;"-01"), "dd-mm-yyyy")),0),0)</f>
        <v>0</v>
      </c>
      <c r="I5" cm="1">
        <f t="array" ref="I5">IF($Q5&gt;=0,IFERROR(generateSalesData($D5, IF(ISNUMBER(_xlfn.XLOOKUP($C5,Phone_by_Sentiment!$B$2:$B$37,Phone_by_Sentiment!I$2:I$37,"",0,1)),_xlfn.XLOOKUP($C5,Phone_by_Sentiment!$B$2:$B$37,Phone_by_Sentiment!I$2:I$37,"",0,1),0),$A5-TEXT(DATEVALUE($D5&amp;"-01"), "dd-mm-yyyy")),0),0)</f>
        <v>0</v>
      </c>
      <c r="J5" cm="1">
        <f t="array" ref="J5">IF($Q5&gt;=0,IFERROR(generateSalesData($D5, IF(ISNUMBER(_xlfn.XLOOKUP($C5,Phone_by_Sentiment!$B$2:$B$37,Phone_by_Sentiment!J$2:J$37,"",0,1)),_xlfn.XLOOKUP($C5,Phone_by_Sentiment!$B$2:$B$37,Phone_by_Sentiment!J$2:J$37,"",0,1),0),$A5-TEXT(DATEVALUE($D5&amp;"-01"), "dd-mm-yyyy")),0),0)</f>
        <v>0</v>
      </c>
      <c r="K5" cm="1">
        <f t="array" ref="K5">IF($Q5&gt;=0,IFERROR(generateSalesData($D5, IF(ISNUMBER(_xlfn.XLOOKUP($C5,Phone_by_Sentiment!$B$2:$B$37,Phone_by_Sentiment!K$2:K$37,"",0,1)),_xlfn.XLOOKUP($C5,Phone_by_Sentiment!$B$2:$B$37,Phone_by_Sentiment!K$2:K$37,"",0,1),0),$A5-TEXT(DATEVALUE($D5&amp;"-01"), "dd-mm-yyyy")),0),0)</f>
        <v>0</v>
      </c>
      <c r="L5" cm="1">
        <f t="array" ref="L5">IF($Q5&gt;=0,IFERROR(generateSalesData($D5, IF(ISNUMBER(_xlfn.XLOOKUP($C5,Phone_by_Sentiment!$B$2:$B$37,Phone_by_Sentiment!L$2:L$37,"",0,1)),_xlfn.XLOOKUP($C5,Phone_by_Sentiment!$B$2:$B$37,Phone_by_Sentiment!L$2:L$37,"",0,1),0),$A5-TEXT(DATEVALUE($D5&amp;"-01"), "dd-mm-yyyy")),0),0)</f>
        <v>0</v>
      </c>
      <c r="M5" cm="1">
        <f t="array" ref="M5">IF($Q5&gt;=0,IFERROR(generateSalesData($D5, IF(ISNUMBER(_xlfn.XLOOKUP($C5,Phone_by_Sentiment!$B$2:$B$37,Phone_by_Sentiment!M$2:M$37,"",0,1)),_xlfn.XLOOKUP($C5,Phone_by_Sentiment!$B$2:$B$37,Phone_by_Sentiment!M$2:M$37,"",0,1),0),$A5-TEXT(DATEVALUE($D5&amp;"-01"), "dd-mm-yyyy")),0),0)</f>
        <v>0</v>
      </c>
      <c r="N5" cm="1">
        <f t="array" ref="N5">IF($Q5&gt;=0,IFERROR(generateSalesData($D5, IF(ISNUMBER(_xlfn.XLOOKUP($C5,Phone_by_Sentiment!$B$2:$B$37,Phone_by_Sentiment!N$2:N$37,"",0,1)),_xlfn.XLOOKUP($C5,Phone_by_Sentiment!$B$2:$B$37,Phone_by_Sentiment!N$2:N$37,"",0,1),0),$A5-TEXT(DATEVALUE($D5&amp;"-01"), "dd-mm-yyyy")),0),0)</f>
        <v>0</v>
      </c>
      <c r="O5" cm="1">
        <f t="array" ref="O5">IF($Q5&gt;=0,IFERROR(generateSalesData($D5, IF(ISNUMBER(_xlfn.XLOOKUP($C5,Phone_by_Sentiment!$B$2:$B$37,Phone_by_Sentiment!O$2:O$37,"",0,1)),_xlfn.XLOOKUP($C5,Phone_by_Sentiment!$B$2:$B$37,Phone_by_Sentiment!O$2:O$37,"",0,1),0),$A5-TEXT(DATEVALUE($D5&amp;"-01"), "dd-mm-yyyy")),0),0)</f>
        <v>0</v>
      </c>
      <c r="P5" s="1">
        <f t="shared" si="1"/>
        <v>44256</v>
      </c>
      <c r="Q5">
        <f t="shared" si="2"/>
        <v>-790</v>
      </c>
    </row>
    <row r="6" spans="1:17" x14ac:dyDescent="0.25">
      <c r="A6" s="1">
        <f t="shared" si="0"/>
        <v>43466</v>
      </c>
      <c r="B6" t="s">
        <v>145</v>
      </c>
      <c r="C6" t="str">
        <f>_xlfn.XLOOKUP(B6,Phone_by_Price!$A$2:$A$34,Phone_by_Price!$B$2:$B$34,"-",0,1)</f>
        <v>OPPO A54</v>
      </c>
      <c r="D6" t="str">
        <f>_xlfn.XLOOKUP(C6,Phone_by_Sentiment!$B$2:$B$37,Phone_by_Sentiment!$A$2:$A$37,"-",0,1)</f>
        <v>2021-04</v>
      </c>
      <c r="E6" cm="1">
        <f t="array" ref="E6">IF($Q6&gt;=0,IFERROR(generateSalesData($D6, IF(ISNUMBER(_xlfn.XLOOKUP($C6,Phone_by_Sentiment!$B$2:$B$37,Phone_by_Sentiment!E$2:E$37,"",0,1)),_xlfn.XLOOKUP($C6,Phone_by_Sentiment!$B$2:$B$37,Phone_by_Sentiment!E$2:E$37,"",0,1),0),$A6-TEXT(DATEVALUE($D6&amp;"-01"), "dd-mm-yyyy")),0),0)</f>
        <v>0</v>
      </c>
      <c r="F6" cm="1">
        <f t="array" ref="F6">IF($Q6&gt;=0,IFERROR(generateSalesData($D6, IF(ISNUMBER(_xlfn.XLOOKUP($C6,Phone_by_Sentiment!$B$2:$B$37,Phone_by_Sentiment!F$2:F$37,"",0,1)),_xlfn.XLOOKUP($C6,Phone_by_Sentiment!$B$2:$B$37,Phone_by_Sentiment!F$2:F$37,"",0,1),0),$A6-TEXT(DATEVALUE($D6&amp;"-01"), "dd-mm-yyyy")),0),0)</f>
        <v>0</v>
      </c>
      <c r="G6" cm="1">
        <f t="array" ref="G6">IF($Q6&gt;=0,IFERROR(generateSalesData($D6, IF(ISNUMBER(_xlfn.XLOOKUP($C6,Phone_by_Sentiment!$B$2:$B$37,Phone_by_Sentiment!G$2:G$37,"",0,1)),_xlfn.XLOOKUP($C6,Phone_by_Sentiment!$B$2:$B$37,Phone_by_Sentiment!G$2:G$37,"",0,1),0),$A6-TEXT(DATEVALUE($D6&amp;"-01"), "dd-mm-yyyy")),0),0)</f>
        <v>0</v>
      </c>
      <c r="H6" cm="1">
        <f t="array" ref="H6">IF($Q6&gt;=0,IFERROR(generateSalesData($D6, IF(ISNUMBER(_xlfn.XLOOKUP($C6,Phone_by_Sentiment!$B$2:$B$37,Phone_by_Sentiment!H$2:H$37,"",0,1)),_xlfn.XLOOKUP($C6,Phone_by_Sentiment!$B$2:$B$37,Phone_by_Sentiment!H$2:H$37,"",0,1),0),$A6-TEXT(DATEVALUE($D6&amp;"-01"), "dd-mm-yyyy")),0),0)</f>
        <v>0</v>
      </c>
      <c r="I6" cm="1">
        <f t="array" ref="I6">IF($Q6&gt;=0,IFERROR(generateSalesData($D6, IF(ISNUMBER(_xlfn.XLOOKUP($C6,Phone_by_Sentiment!$B$2:$B$37,Phone_by_Sentiment!I$2:I$37,"",0,1)),_xlfn.XLOOKUP($C6,Phone_by_Sentiment!$B$2:$B$37,Phone_by_Sentiment!I$2:I$37,"",0,1),0),$A6-TEXT(DATEVALUE($D6&amp;"-01"), "dd-mm-yyyy")),0),0)</f>
        <v>0</v>
      </c>
      <c r="J6" cm="1">
        <f t="array" ref="J6">IF($Q6&gt;=0,IFERROR(generateSalesData($D6, IF(ISNUMBER(_xlfn.XLOOKUP($C6,Phone_by_Sentiment!$B$2:$B$37,Phone_by_Sentiment!J$2:J$37,"",0,1)),_xlfn.XLOOKUP($C6,Phone_by_Sentiment!$B$2:$B$37,Phone_by_Sentiment!J$2:J$37,"",0,1),0),$A6-TEXT(DATEVALUE($D6&amp;"-01"), "dd-mm-yyyy")),0),0)</f>
        <v>0</v>
      </c>
      <c r="K6" cm="1">
        <f t="array" ref="K6">IF($Q6&gt;=0,IFERROR(generateSalesData($D6, IF(ISNUMBER(_xlfn.XLOOKUP($C6,Phone_by_Sentiment!$B$2:$B$37,Phone_by_Sentiment!K$2:K$37,"",0,1)),_xlfn.XLOOKUP($C6,Phone_by_Sentiment!$B$2:$B$37,Phone_by_Sentiment!K$2:K$37,"",0,1),0),$A6-TEXT(DATEVALUE($D6&amp;"-01"), "dd-mm-yyyy")),0),0)</f>
        <v>0</v>
      </c>
      <c r="L6" cm="1">
        <f t="array" ref="L6">IF($Q6&gt;=0,IFERROR(generateSalesData($D6, IF(ISNUMBER(_xlfn.XLOOKUP($C6,Phone_by_Sentiment!$B$2:$B$37,Phone_by_Sentiment!L$2:L$37,"",0,1)),_xlfn.XLOOKUP($C6,Phone_by_Sentiment!$B$2:$B$37,Phone_by_Sentiment!L$2:L$37,"",0,1),0),$A6-TEXT(DATEVALUE($D6&amp;"-01"), "dd-mm-yyyy")),0),0)</f>
        <v>0</v>
      </c>
      <c r="M6" cm="1">
        <f t="array" ref="M6">IF($Q6&gt;=0,IFERROR(generateSalesData($D6, IF(ISNUMBER(_xlfn.XLOOKUP($C6,Phone_by_Sentiment!$B$2:$B$37,Phone_by_Sentiment!M$2:M$37,"",0,1)),_xlfn.XLOOKUP($C6,Phone_by_Sentiment!$B$2:$B$37,Phone_by_Sentiment!M$2:M$37,"",0,1),0),$A6-TEXT(DATEVALUE($D6&amp;"-01"), "dd-mm-yyyy")),0),0)</f>
        <v>0</v>
      </c>
      <c r="N6" cm="1">
        <f t="array" ref="N6">IF($Q6&gt;=0,IFERROR(generateSalesData($D6, IF(ISNUMBER(_xlfn.XLOOKUP($C6,Phone_by_Sentiment!$B$2:$B$37,Phone_by_Sentiment!N$2:N$37,"",0,1)),_xlfn.XLOOKUP($C6,Phone_by_Sentiment!$B$2:$B$37,Phone_by_Sentiment!N$2:N$37,"",0,1),0),$A6-TEXT(DATEVALUE($D6&amp;"-01"), "dd-mm-yyyy")),0),0)</f>
        <v>0</v>
      </c>
      <c r="O6" cm="1">
        <f t="array" ref="O6">IF($Q6&gt;=0,IFERROR(generateSalesData($D6, IF(ISNUMBER(_xlfn.XLOOKUP($C6,Phone_by_Sentiment!$B$2:$B$37,Phone_by_Sentiment!O$2:O$37,"",0,1)),_xlfn.XLOOKUP($C6,Phone_by_Sentiment!$B$2:$B$37,Phone_by_Sentiment!O$2:O$37,"",0,1),0),$A6-TEXT(DATEVALUE($D6&amp;"-01"), "dd-mm-yyyy")),0),0)</f>
        <v>0</v>
      </c>
      <c r="P6" s="1">
        <f t="shared" si="1"/>
        <v>44287</v>
      </c>
      <c r="Q6">
        <f t="shared" si="2"/>
        <v>-821</v>
      </c>
    </row>
    <row r="7" spans="1:17" x14ac:dyDescent="0.25">
      <c r="A7" s="1">
        <f t="shared" si="0"/>
        <v>43466</v>
      </c>
      <c r="B7" t="s">
        <v>146</v>
      </c>
      <c r="C7" t="str">
        <f>_xlfn.XLOOKUP(B7,Phone_by_Price!$A$2:$A$34,Phone_by_Price!$B$2:$B$34,"-",0,1)</f>
        <v>Vivo Y20</v>
      </c>
      <c r="D7" t="str">
        <f>_xlfn.XLOOKUP(C7,Phone_by_Sentiment!$B$2:$B$37,Phone_by_Sentiment!$A$2:$A$37,"-",0,1)</f>
        <v>2020-09</v>
      </c>
      <c r="E7" cm="1">
        <f t="array" ref="E7">IF($Q7&gt;=0,IFERROR(generateSalesData($D7, IF(ISNUMBER(_xlfn.XLOOKUP($C7,Phone_by_Sentiment!$B$2:$B$37,Phone_by_Sentiment!E$2:E$37,"",0,1)),_xlfn.XLOOKUP($C7,Phone_by_Sentiment!$B$2:$B$37,Phone_by_Sentiment!E$2:E$37,"",0,1),0),$A7-TEXT(DATEVALUE($D7&amp;"-01"), "dd-mm-yyyy")),0),0)</f>
        <v>0</v>
      </c>
      <c r="F7" cm="1">
        <f t="array" ref="F7">IF($Q7&gt;=0,IFERROR(generateSalesData($D7, IF(ISNUMBER(_xlfn.XLOOKUP($C7,Phone_by_Sentiment!$B$2:$B$37,Phone_by_Sentiment!F$2:F$37,"",0,1)),_xlfn.XLOOKUP($C7,Phone_by_Sentiment!$B$2:$B$37,Phone_by_Sentiment!F$2:F$37,"",0,1),0),$A7-TEXT(DATEVALUE($D7&amp;"-01"), "dd-mm-yyyy")),0),0)</f>
        <v>0</v>
      </c>
      <c r="G7" cm="1">
        <f t="array" ref="G7">IF($Q7&gt;=0,IFERROR(generateSalesData($D7, IF(ISNUMBER(_xlfn.XLOOKUP($C7,Phone_by_Sentiment!$B$2:$B$37,Phone_by_Sentiment!G$2:G$37,"",0,1)),_xlfn.XLOOKUP($C7,Phone_by_Sentiment!$B$2:$B$37,Phone_by_Sentiment!G$2:G$37,"",0,1),0),$A7-TEXT(DATEVALUE($D7&amp;"-01"), "dd-mm-yyyy")),0),0)</f>
        <v>0</v>
      </c>
      <c r="H7" cm="1">
        <f t="array" ref="H7">IF($Q7&gt;=0,IFERROR(generateSalesData($D7, IF(ISNUMBER(_xlfn.XLOOKUP($C7,Phone_by_Sentiment!$B$2:$B$37,Phone_by_Sentiment!H$2:H$37,"",0,1)),_xlfn.XLOOKUP($C7,Phone_by_Sentiment!$B$2:$B$37,Phone_by_Sentiment!H$2:H$37,"",0,1),0),$A7-TEXT(DATEVALUE($D7&amp;"-01"), "dd-mm-yyyy")),0),0)</f>
        <v>0</v>
      </c>
      <c r="I7" cm="1">
        <f t="array" ref="I7">IF($Q7&gt;=0,IFERROR(generateSalesData($D7, IF(ISNUMBER(_xlfn.XLOOKUP($C7,Phone_by_Sentiment!$B$2:$B$37,Phone_by_Sentiment!I$2:I$37,"",0,1)),_xlfn.XLOOKUP($C7,Phone_by_Sentiment!$B$2:$B$37,Phone_by_Sentiment!I$2:I$37,"",0,1),0),$A7-TEXT(DATEVALUE($D7&amp;"-01"), "dd-mm-yyyy")),0),0)</f>
        <v>0</v>
      </c>
      <c r="J7" cm="1">
        <f t="array" ref="J7">IF($Q7&gt;=0,IFERROR(generateSalesData($D7, IF(ISNUMBER(_xlfn.XLOOKUP($C7,Phone_by_Sentiment!$B$2:$B$37,Phone_by_Sentiment!J$2:J$37,"",0,1)),_xlfn.XLOOKUP($C7,Phone_by_Sentiment!$B$2:$B$37,Phone_by_Sentiment!J$2:J$37,"",0,1),0),$A7-TEXT(DATEVALUE($D7&amp;"-01"), "dd-mm-yyyy")),0),0)</f>
        <v>0</v>
      </c>
      <c r="K7" cm="1">
        <f t="array" ref="K7">IF($Q7&gt;=0,IFERROR(generateSalesData($D7, IF(ISNUMBER(_xlfn.XLOOKUP($C7,Phone_by_Sentiment!$B$2:$B$37,Phone_by_Sentiment!K$2:K$37,"",0,1)),_xlfn.XLOOKUP($C7,Phone_by_Sentiment!$B$2:$B$37,Phone_by_Sentiment!K$2:K$37,"",0,1),0),$A7-TEXT(DATEVALUE($D7&amp;"-01"), "dd-mm-yyyy")),0),0)</f>
        <v>0</v>
      </c>
      <c r="L7" cm="1">
        <f t="array" ref="L7">IF($Q7&gt;=0,IFERROR(generateSalesData($D7, IF(ISNUMBER(_xlfn.XLOOKUP($C7,Phone_by_Sentiment!$B$2:$B$37,Phone_by_Sentiment!L$2:L$37,"",0,1)),_xlfn.XLOOKUP($C7,Phone_by_Sentiment!$B$2:$B$37,Phone_by_Sentiment!L$2:L$37,"",0,1),0),$A7-TEXT(DATEVALUE($D7&amp;"-01"), "dd-mm-yyyy")),0),0)</f>
        <v>0</v>
      </c>
      <c r="M7" cm="1">
        <f t="array" ref="M7">IF($Q7&gt;=0,IFERROR(generateSalesData($D7, IF(ISNUMBER(_xlfn.XLOOKUP($C7,Phone_by_Sentiment!$B$2:$B$37,Phone_by_Sentiment!M$2:M$37,"",0,1)),_xlfn.XLOOKUP($C7,Phone_by_Sentiment!$B$2:$B$37,Phone_by_Sentiment!M$2:M$37,"",0,1),0),$A7-TEXT(DATEVALUE($D7&amp;"-01"), "dd-mm-yyyy")),0),0)</f>
        <v>0</v>
      </c>
      <c r="N7" cm="1">
        <f t="array" ref="N7">IF($Q7&gt;=0,IFERROR(generateSalesData($D7, IF(ISNUMBER(_xlfn.XLOOKUP($C7,Phone_by_Sentiment!$B$2:$B$37,Phone_by_Sentiment!N$2:N$37,"",0,1)),_xlfn.XLOOKUP($C7,Phone_by_Sentiment!$B$2:$B$37,Phone_by_Sentiment!N$2:N$37,"",0,1),0),$A7-TEXT(DATEVALUE($D7&amp;"-01"), "dd-mm-yyyy")),0),0)</f>
        <v>0</v>
      </c>
      <c r="O7" cm="1">
        <f t="array" ref="O7">IF($Q7&gt;=0,IFERROR(generateSalesData($D7, IF(ISNUMBER(_xlfn.XLOOKUP($C7,Phone_by_Sentiment!$B$2:$B$37,Phone_by_Sentiment!O$2:O$37,"",0,1)),_xlfn.XLOOKUP($C7,Phone_by_Sentiment!$B$2:$B$37,Phone_by_Sentiment!O$2:O$37,"",0,1),0),$A7-TEXT(DATEVALUE($D7&amp;"-01"), "dd-mm-yyyy")),0),0)</f>
        <v>0</v>
      </c>
      <c r="P7" s="1">
        <f t="shared" si="1"/>
        <v>44075</v>
      </c>
      <c r="Q7">
        <f t="shared" si="2"/>
        <v>-609</v>
      </c>
    </row>
    <row r="8" spans="1:17" x14ac:dyDescent="0.25">
      <c r="A8" s="1">
        <f t="shared" si="0"/>
        <v>43466</v>
      </c>
      <c r="B8" t="s">
        <v>147</v>
      </c>
      <c r="C8" t="str">
        <f>_xlfn.XLOOKUP(B8,Phone_by_Price!$A$2:$A$34,Phone_by_Price!$B$2:$B$34,"-",0,1)</f>
        <v>Huawei Y9a</v>
      </c>
      <c r="D8" t="str">
        <f>_xlfn.XLOOKUP(C8,Phone_by_Sentiment!$B$2:$B$37,Phone_by_Sentiment!$A$2:$A$37,"-",0,1)</f>
        <v>2020-02</v>
      </c>
      <c r="E8" cm="1">
        <f t="array" ref="E8">IF($Q8&gt;=0,IFERROR(generateSalesData($D8, IF(ISNUMBER(_xlfn.XLOOKUP($C8,Phone_by_Sentiment!$B$2:$B$37,Phone_by_Sentiment!E$2:E$37,"",0,1)),_xlfn.XLOOKUP($C8,Phone_by_Sentiment!$B$2:$B$37,Phone_by_Sentiment!E$2:E$37,"",0,1),0),$A8-TEXT(DATEVALUE($D8&amp;"-01"), "dd-mm-yyyy")),0),0)</f>
        <v>0</v>
      </c>
      <c r="F8" cm="1">
        <f t="array" ref="F8">IF($Q8&gt;=0,IFERROR(generateSalesData($D8, IF(ISNUMBER(_xlfn.XLOOKUP($C8,Phone_by_Sentiment!$B$2:$B$37,Phone_by_Sentiment!F$2:F$37,"",0,1)),_xlfn.XLOOKUP($C8,Phone_by_Sentiment!$B$2:$B$37,Phone_by_Sentiment!F$2:F$37,"",0,1),0),$A8-TEXT(DATEVALUE($D8&amp;"-01"), "dd-mm-yyyy")),0),0)</f>
        <v>0</v>
      </c>
      <c r="G8" cm="1">
        <f t="array" ref="G8">IF($Q8&gt;=0,IFERROR(generateSalesData($D8, IF(ISNUMBER(_xlfn.XLOOKUP($C8,Phone_by_Sentiment!$B$2:$B$37,Phone_by_Sentiment!G$2:G$37,"",0,1)),_xlfn.XLOOKUP($C8,Phone_by_Sentiment!$B$2:$B$37,Phone_by_Sentiment!G$2:G$37,"",0,1),0),$A8-TEXT(DATEVALUE($D8&amp;"-01"), "dd-mm-yyyy")),0),0)</f>
        <v>0</v>
      </c>
      <c r="H8" cm="1">
        <f t="array" ref="H8">IF($Q8&gt;=0,IFERROR(generateSalesData($D8, IF(ISNUMBER(_xlfn.XLOOKUP($C8,Phone_by_Sentiment!$B$2:$B$37,Phone_by_Sentiment!H$2:H$37,"",0,1)),_xlfn.XLOOKUP($C8,Phone_by_Sentiment!$B$2:$B$37,Phone_by_Sentiment!H$2:H$37,"",0,1),0),$A8-TEXT(DATEVALUE($D8&amp;"-01"), "dd-mm-yyyy")),0),0)</f>
        <v>0</v>
      </c>
      <c r="I8" cm="1">
        <f t="array" ref="I8">IF($Q8&gt;=0,IFERROR(generateSalesData($D8, IF(ISNUMBER(_xlfn.XLOOKUP($C8,Phone_by_Sentiment!$B$2:$B$37,Phone_by_Sentiment!I$2:I$37,"",0,1)),_xlfn.XLOOKUP($C8,Phone_by_Sentiment!$B$2:$B$37,Phone_by_Sentiment!I$2:I$37,"",0,1),0),$A8-TEXT(DATEVALUE($D8&amp;"-01"), "dd-mm-yyyy")),0),0)</f>
        <v>0</v>
      </c>
      <c r="J8" cm="1">
        <f t="array" ref="J8">IF($Q8&gt;=0,IFERROR(generateSalesData($D8, IF(ISNUMBER(_xlfn.XLOOKUP($C8,Phone_by_Sentiment!$B$2:$B$37,Phone_by_Sentiment!J$2:J$37,"",0,1)),_xlfn.XLOOKUP($C8,Phone_by_Sentiment!$B$2:$B$37,Phone_by_Sentiment!J$2:J$37,"",0,1),0),$A8-TEXT(DATEVALUE($D8&amp;"-01"), "dd-mm-yyyy")),0),0)</f>
        <v>0</v>
      </c>
      <c r="K8" cm="1">
        <f t="array" ref="K8">IF($Q8&gt;=0,IFERROR(generateSalesData($D8, IF(ISNUMBER(_xlfn.XLOOKUP($C8,Phone_by_Sentiment!$B$2:$B$37,Phone_by_Sentiment!K$2:K$37,"",0,1)),_xlfn.XLOOKUP($C8,Phone_by_Sentiment!$B$2:$B$37,Phone_by_Sentiment!K$2:K$37,"",0,1),0),$A8-TEXT(DATEVALUE($D8&amp;"-01"), "dd-mm-yyyy")),0),0)</f>
        <v>0</v>
      </c>
      <c r="L8" cm="1">
        <f t="array" ref="L8">IF($Q8&gt;=0,IFERROR(generateSalesData($D8, IF(ISNUMBER(_xlfn.XLOOKUP($C8,Phone_by_Sentiment!$B$2:$B$37,Phone_by_Sentiment!L$2:L$37,"",0,1)),_xlfn.XLOOKUP($C8,Phone_by_Sentiment!$B$2:$B$37,Phone_by_Sentiment!L$2:L$37,"",0,1),0),$A8-TEXT(DATEVALUE($D8&amp;"-01"), "dd-mm-yyyy")),0),0)</f>
        <v>0</v>
      </c>
      <c r="M8" cm="1">
        <f t="array" ref="M8">IF($Q8&gt;=0,IFERROR(generateSalesData($D8, IF(ISNUMBER(_xlfn.XLOOKUP($C8,Phone_by_Sentiment!$B$2:$B$37,Phone_by_Sentiment!M$2:M$37,"",0,1)),_xlfn.XLOOKUP($C8,Phone_by_Sentiment!$B$2:$B$37,Phone_by_Sentiment!M$2:M$37,"",0,1),0),$A8-TEXT(DATEVALUE($D8&amp;"-01"), "dd-mm-yyyy")),0),0)</f>
        <v>0</v>
      </c>
      <c r="N8" cm="1">
        <f t="array" ref="N8">IF($Q8&gt;=0,IFERROR(generateSalesData($D8, IF(ISNUMBER(_xlfn.XLOOKUP($C8,Phone_by_Sentiment!$B$2:$B$37,Phone_by_Sentiment!N$2:N$37,"",0,1)),_xlfn.XLOOKUP($C8,Phone_by_Sentiment!$B$2:$B$37,Phone_by_Sentiment!N$2:N$37,"",0,1),0),$A8-TEXT(DATEVALUE($D8&amp;"-01"), "dd-mm-yyyy")),0),0)</f>
        <v>0</v>
      </c>
      <c r="O8" cm="1">
        <f t="array" ref="O8">IF($Q8&gt;=0,IFERROR(generateSalesData($D8, IF(ISNUMBER(_xlfn.XLOOKUP($C8,Phone_by_Sentiment!$B$2:$B$37,Phone_by_Sentiment!O$2:O$37,"",0,1)),_xlfn.XLOOKUP($C8,Phone_by_Sentiment!$B$2:$B$37,Phone_by_Sentiment!O$2:O$37,"",0,1),0),$A8-TEXT(DATEVALUE($D8&amp;"-01"), "dd-mm-yyyy")),0),0)</f>
        <v>0</v>
      </c>
      <c r="P8" s="1">
        <f t="shared" si="1"/>
        <v>43862</v>
      </c>
      <c r="Q8">
        <f t="shared" si="2"/>
        <v>-396</v>
      </c>
    </row>
    <row r="9" spans="1:17" x14ac:dyDescent="0.25">
      <c r="A9" s="1">
        <f t="shared" si="0"/>
        <v>43466</v>
      </c>
      <c r="B9" t="s">
        <v>148</v>
      </c>
      <c r="C9" t="str">
        <f>_xlfn.XLOOKUP(B9,Phone_by_Price!$A$2:$A$34,Phone_by_Price!$B$2:$B$34,"-",0,1)</f>
        <v>Xiaomi Redmi 10</v>
      </c>
      <c r="D9" t="str">
        <f>_xlfn.XLOOKUP(C9,Phone_by_Sentiment!$B$2:$B$37,Phone_by_Sentiment!$A$2:$A$37,"-",0,1)</f>
        <v>2021-03</v>
      </c>
      <c r="E9" cm="1">
        <f t="array" ref="E9">IF($Q9&gt;=0,IFERROR(generateSalesData($D9, IF(ISNUMBER(_xlfn.XLOOKUP($C9,Phone_by_Sentiment!$B$2:$B$37,Phone_by_Sentiment!E$2:E$37,"",0,1)),_xlfn.XLOOKUP($C9,Phone_by_Sentiment!$B$2:$B$37,Phone_by_Sentiment!E$2:E$37,"",0,1),0),$A9-TEXT(DATEVALUE($D9&amp;"-01"), "dd-mm-yyyy")),0),0)</f>
        <v>0</v>
      </c>
      <c r="F9" cm="1">
        <f t="array" ref="F9">IF($Q9&gt;=0,IFERROR(generateSalesData($D9, IF(ISNUMBER(_xlfn.XLOOKUP($C9,Phone_by_Sentiment!$B$2:$B$37,Phone_by_Sentiment!F$2:F$37,"",0,1)),_xlfn.XLOOKUP($C9,Phone_by_Sentiment!$B$2:$B$37,Phone_by_Sentiment!F$2:F$37,"",0,1),0),$A9-TEXT(DATEVALUE($D9&amp;"-01"), "dd-mm-yyyy")),0),0)</f>
        <v>0</v>
      </c>
      <c r="G9" cm="1">
        <f t="array" ref="G9">IF($Q9&gt;=0,IFERROR(generateSalesData($D9, IF(ISNUMBER(_xlfn.XLOOKUP($C9,Phone_by_Sentiment!$B$2:$B$37,Phone_by_Sentiment!G$2:G$37,"",0,1)),_xlfn.XLOOKUP($C9,Phone_by_Sentiment!$B$2:$B$37,Phone_by_Sentiment!G$2:G$37,"",0,1),0),$A9-TEXT(DATEVALUE($D9&amp;"-01"), "dd-mm-yyyy")),0),0)</f>
        <v>0</v>
      </c>
      <c r="H9" cm="1">
        <f t="array" ref="H9">IF($Q9&gt;=0,IFERROR(generateSalesData($D9, IF(ISNUMBER(_xlfn.XLOOKUP($C9,Phone_by_Sentiment!$B$2:$B$37,Phone_by_Sentiment!H$2:H$37,"",0,1)),_xlfn.XLOOKUP($C9,Phone_by_Sentiment!$B$2:$B$37,Phone_by_Sentiment!H$2:H$37,"",0,1),0),$A9-TEXT(DATEVALUE($D9&amp;"-01"), "dd-mm-yyyy")),0),0)</f>
        <v>0</v>
      </c>
      <c r="I9" cm="1">
        <f t="array" ref="I9">IF($Q9&gt;=0,IFERROR(generateSalesData($D9, IF(ISNUMBER(_xlfn.XLOOKUP($C9,Phone_by_Sentiment!$B$2:$B$37,Phone_by_Sentiment!I$2:I$37,"",0,1)),_xlfn.XLOOKUP($C9,Phone_by_Sentiment!$B$2:$B$37,Phone_by_Sentiment!I$2:I$37,"",0,1),0),$A9-TEXT(DATEVALUE($D9&amp;"-01"), "dd-mm-yyyy")),0),0)</f>
        <v>0</v>
      </c>
      <c r="J9" cm="1">
        <f t="array" ref="J9">IF($Q9&gt;=0,IFERROR(generateSalesData($D9, IF(ISNUMBER(_xlfn.XLOOKUP($C9,Phone_by_Sentiment!$B$2:$B$37,Phone_by_Sentiment!J$2:J$37,"",0,1)),_xlfn.XLOOKUP($C9,Phone_by_Sentiment!$B$2:$B$37,Phone_by_Sentiment!J$2:J$37,"",0,1),0),$A9-TEXT(DATEVALUE($D9&amp;"-01"), "dd-mm-yyyy")),0),0)</f>
        <v>0</v>
      </c>
      <c r="K9" cm="1">
        <f t="array" ref="K9">IF($Q9&gt;=0,IFERROR(generateSalesData($D9, IF(ISNUMBER(_xlfn.XLOOKUP($C9,Phone_by_Sentiment!$B$2:$B$37,Phone_by_Sentiment!K$2:K$37,"",0,1)),_xlfn.XLOOKUP($C9,Phone_by_Sentiment!$B$2:$B$37,Phone_by_Sentiment!K$2:K$37,"",0,1),0),$A9-TEXT(DATEVALUE($D9&amp;"-01"), "dd-mm-yyyy")),0),0)</f>
        <v>0</v>
      </c>
      <c r="L9" cm="1">
        <f t="array" ref="L9">IF($Q9&gt;=0,IFERROR(generateSalesData($D9, IF(ISNUMBER(_xlfn.XLOOKUP($C9,Phone_by_Sentiment!$B$2:$B$37,Phone_by_Sentiment!L$2:L$37,"",0,1)),_xlfn.XLOOKUP($C9,Phone_by_Sentiment!$B$2:$B$37,Phone_by_Sentiment!L$2:L$37,"",0,1),0),$A9-TEXT(DATEVALUE($D9&amp;"-01"), "dd-mm-yyyy")),0),0)</f>
        <v>0</v>
      </c>
      <c r="M9" cm="1">
        <f t="array" ref="M9">IF($Q9&gt;=0,IFERROR(generateSalesData($D9, IF(ISNUMBER(_xlfn.XLOOKUP($C9,Phone_by_Sentiment!$B$2:$B$37,Phone_by_Sentiment!M$2:M$37,"",0,1)),_xlfn.XLOOKUP($C9,Phone_by_Sentiment!$B$2:$B$37,Phone_by_Sentiment!M$2:M$37,"",0,1),0),$A9-TEXT(DATEVALUE($D9&amp;"-01"), "dd-mm-yyyy")),0),0)</f>
        <v>0</v>
      </c>
      <c r="N9" cm="1">
        <f t="array" ref="N9">IF($Q9&gt;=0,IFERROR(generateSalesData($D9, IF(ISNUMBER(_xlfn.XLOOKUP($C9,Phone_by_Sentiment!$B$2:$B$37,Phone_by_Sentiment!N$2:N$37,"",0,1)),_xlfn.XLOOKUP($C9,Phone_by_Sentiment!$B$2:$B$37,Phone_by_Sentiment!N$2:N$37,"",0,1),0),$A9-TEXT(DATEVALUE($D9&amp;"-01"), "dd-mm-yyyy")),0),0)</f>
        <v>0</v>
      </c>
      <c r="O9" cm="1">
        <f t="array" ref="O9">IF($Q9&gt;=0,IFERROR(generateSalesData($D9, IF(ISNUMBER(_xlfn.XLOOKUP($C9,Phone_by_Sentiment!$B$2:$B$37,Phone_by_Sentiment!O$2:O$37,"",0,1)),_xlfn.XLOOKUP($C9,Phone_by_Sentiment!$B$2:$B$37,Phone_by_Sentiment!O$2:O$37,"",0,1),0),$A9-TEXT(DATEVALUE($D9&amp;"-01"), "dd-mm-yyyy")),0),0)</f>
        <v>0</v>
      </c>
      <c r="P9" s="1">
        <f t="shared" si="1"/>
        <v>44256</v>
      </c>
      <c r="Q9">
        <f t="shared" si="2"/>
        <v>-790</v>
      </c>
    </row>
    <row r="10" spans="1:17" x14ac:dyDescent="0.25">
      <c r="A10" s="1">
        <f t="shared" si="0"/>
        <v>43466</v>
      </c>
      <c r="B10" t="s">
        <v>149</v>
      </c>
      <c r="C10" t="str">
        <f>_xlfn.XLOOKUP(B10,Phone_by_Price!$A$2:$A$34,Phone_by_Price!$B$2:$B$34,"-",0,1)</f>
        <v>Samsung Galaxy A52</v>
      </c>
      <c r="D10" t="str">
        <f>_xlfn.XLOOKUP(C10,Phone_by_Sentiment!$B$2:$B$37,Phone_by_Sentiment!$A$2:$A$37,"-",0,1)</f>
        <v>2021-03</v>
      </c>
      <c r="E10" cm="1">
        <f t="array" ref="E10">IF($Q10&gt;=0,IFERROR(generateSalesData($D10, IF(ISNUMBER(_xlfn.XLOOKUP($C10,Phone_by_Sentiment!$B$2:$B$37,Phone_by_Sentiment!E$2:E$37,"",0,1)),_xlfn.XLOOKUP($C10,Phone_by_Sentiment!$B$2:$B$37,Phone_by_Sentiment!E$2:E$37,"",0,1),0),$A10-TEXT(DATEVALUE($D10&amp;"-01"), "dd-mm-yyyy")),0),0)</f>
        <v>0</v>
      </c>
      <c r="F10" cm="1">
        <f t="array" ref="F10">IF($Q10&gt;=0,IFERROR(generateSalesData($D10, IF(ISNUMBER(_xlfn.XLOOKUP($C10,Phone_by_Sentiment!$B$2:$B$37,Phone_by_Sentiment!F$2:F$37,"",0,1)),_xlfn.XLOOKUP($C10,Phone_by_Sentiment!$B$2:$B$37,Phone_by_Sentiment!F$2:F$37,"",0,1),0),$A10-TEXT(DATEVALUE($D10&amp;"-01"), "dd-mm-yyyy")),0),0)</f>
        <v>0</v>
      </c>
      <c r="G10" cm="1">
        <f t="array" ref="G10">IF($Q10&gt;=0,IFERROR(generateSalesData($D10, IF(ISNUMBER(_xlfn.XLOOKUP($C10,Phone_by_Sentiment!$B$2:$B$37,Phone_by_Sentiment!G$2:G$37,"",0,1)),_xlfn.XLOOKUP($C10,Phone_by_Sentiment!$B$2:$B$37,Phone_by_Sentiment!G$2:G$37,"",0,1),0),$A10-TEXT(DATEVALUE($D10&amp;"-01"), "dd-mm-yyyy")),0),0)</f>
        <v>0</v>
      </c>
      <c r="H10" cm="1">
        <f t="array" ref="H10">IF($Q10&gt;=0,IFERROR(generateSalesData($D10, IF(ISNUMBER(_xlfn.XLOOKUP($C10,Phone_by_Sentiment!$B$2:$B$37,Phone_by_Sentiment!H$2:H$37,"",0,1)),_xlfn.XLOOKUP($C10,Phone_by_Sentiment!$B$2:$B$37,Phone_by_Sentiment!H$2:H$37,"",0,1),0),$A10-TEXT(DATEVALUE($D10&amp;"-01"), "dd-mm-yyyy")),0),0)</f>
        <v>0</v>
      </c>
      <c r="I10" cm="1">
        <f t="array" ref="I10">IF($Q10&gt;=0,IFERROR(generateSalesData($D10, IF(ISNUMBER(_xlfn.XLOOKUP($C10,Phone_by_Sentiment!$B$2:$B$37,Phone_by_Sentiment!I$2:I$37,"",0,1)),_xlfn.XLOOKUP($C10,Phone_by_Sentiment!$B$2:$B$37,Phone_by_Sentiment!I$2:I$37,"",0,1),0),$A10-TEXT(DATEVALUE($D10&amp;"-01"), "dd-mm-yyyy")),0),0)</f>
        <v>0</v>
      </c>
      <c r="J10" cm="1">
        <f t="array" ref="J10">IF($Q10&gt;=0,IFERROR(generateSalesData($D10, IF(ISNUMBER(_xlfn.XLOOKUP($C10,Phone_by_Sentiment!$B$2:$B$37,Phone_by_Sentiment!J$2:J$37,"",0,1)),_xlfn.XLOOKUP($C10,Phone_by_Sentiment!$B$2:$B$37,Phone_by_Sentiment!J$2:J$37,"",0,1),0),$A10-TEXT(DATEVALUE($D10&amp;"-01"), "dd-mm-yyyy")),0),0)</f>
        <v>0</v>
      </c>
      <c r="K10" cm="1">
        <f t="array" ref="K10">IF($Q10&gt;=0,IFERROR(generateSalesData($D10, IF(ISNUMBER(_xlfn.XLOOKUP($C10,Phone_by_Sentiment!$B$2:$B$37,Phone_by_Sentiment!K$2:K$37,"",0,1)),_xlfn.XLOOKUP($C10,Phone_by_Sentiment!$B$2:$B$37,Phone_by_Sentiment!K$2:K$37,"",0,1),0),$A10-TEXT(DATEVALUE($D10&amp;"-01"), "dd-mm-yyyy")),0),0)</f>
        <v>0</v>
      </c>
      <c r="L10" cm="1">
        <f t="array" ref="L10">IF($Q10&gt;=0,IFERROR(generateSalesData($D10, IF(ISNUMBER(_xlfn.XLOOKUP($C10,Phone_by_Sentiment!$B$2:$B$37,Phone_by_Sentiment!L$2:L$37,"",0,1)),_xlfn.XLOOKUP($C10,Phone_by_Sentiment!$B$2:$B$37,Phone_by_Sentiment!L$2:L$37,"",0,1),0),$A10-TEXT(DATEVALUE($D10&amp;"-01"), "dd-mm-yyyy")),0),0)</f>
        <v>0</v>
      </c>
      <c r="M10" cm="1">
        <f t="array" ref="M10">IF($Q10&gt;=0,IFERROR(generateSalesData($D10, IF(ISNUMBER(_xlfn.XLOOKUP($C10,Phone_by_Sentiment!$B$2:$B$37,Phone_by_Sentiment!M$2:M$37,"",0,1)),_xlfn.XLOOKUP($C10,Phone_by_Sentiment!$B$2:$B$37,Phone_by_Sentiment!M$2:M$37,"",0,1),0),$A10-TEXT(DATEVALUE($D10&amp;"-01"), "dd-mm-yyyy")),0),0)</f>
        <v>0</v>
      </c>
      <c r="N10" cm="1">
        <f t="array" ref="N10">IF($Q10&gt;=0,IFERROR(generateSalesData($D10, IF(ISNUMBER(_xlfn.XLOOKUP($C10,Phone_by_Sentiment!$B$2:$B$37,Phone_by_Sentiment!N$2:N$37,"",0,1)),_xlfn.XLOOKUP($C10,Phone_by_Sentiment!$B$2:$B$37,Phone_by_Sentiment!N$2:N$37,"",0,1),0),$A10-TEXT(DATEVALUE($D10&amp;"-01"), "dd-mm-yyyy")),0),0)</f>
        <v>0</v>
      </c>
      <c r="O10" cm="1">
        <f t="array" ref="O10">IF($Q10&gt;=0,IFERROR(generateSalesData($D10, IF(ISNUMBER(_xlfn.XLOOKUP($C10,Phone_by_Sentiment!$B$2:$B$37,Phone_by_Sentiment!O$2:O$37,"",0,1)),_xlfn.XLOOKUP($C10,Phone_by_Sentiment!$B$2:$B$37,Phone_by_Sentiment!O$2:O$37,"",0,1),0),$A10-TEXT(DATEVALUE($D10&amp;"-01"), "dd-mm-yyyy")),0),0)</f>
        <v>0</v>
      </c>
      <c r="P10" s="1">
        <f t="shared" si="1"/>
        <v>44256</v>
      </c>
      <c r="Q10">
        <f t="shared" si="2"/>
        <v>-790</v>
      </c>
    </row>
    <row r="11" spans="1:17" x14ac:dyDescent="0.25">
      <c r="A11" s="1">
        <f t="shared" si="0"/>
        <v>43466</v>
      </c>
      <c r="B11" t="s">
        <v>150</v>
      </c>
      <c r="C11" t="str">
        <f>_xlfn.XLOOKUP(B11,Phone_by_Price!$A$2:$A$34,Phone_by_Price!$B$2:$B$34,"-",0,1)</f>
        <v>Vivo Y33s</v>
      </c>
      <c r="D11" t="str">
        <f>_xlfn.XLOOKUP(C11,Phone_by_Sentiment!$B$2:$B$37,Phone_by_Sentiment!$A$2:$A$37,"-",0,1)</f>
        <v>2021-05</v>
      </c>
      <c r="E11" cm="1">
        <f t="array" ref="E11">IF($Q11&gt;=0,IFERROR(generateSalesData($D11, IF(ISNUMBER(_xlfn.XLOOKUP($C11,Phone_by_Sentiment!$B$2:$B$37,Phone_by_Sentiment!E$2:E$37,"",0,1)),_xlfn.XLOOKUP($C11,Phone_by_Sentiment!$B$2:$B$37,Phone_by_Sentiment!E$2:E$37,"",0,1),0),$A11-TEXT(DATEVALUE($D11&amp;"-01"), "dd-mm-yyyy")),0),0)</f>
        <v>0</v>
      </c>
      <c r="F11" cm="1">
        <f t="array" ref="F11">IF($Q11&gt;=0,IFERROR(generateSalesData($D11, IF(ISNUMBER(_xlfn.XLOOKUP($C11,Phone_by_Sentiment!$B$2:$B$37,Phone_by_Sentiment!F$2:F$37,"",0,1)),_xlfn.XLOOKUP($C11,Phone_by_Sentiment!$B$2:$B$37,Phone_by_Sentiment!F$2:F$37,"",0,1),0),$A11-TEXT(DATEVALUE($D11&amp;"-01"), "dd-mm-yyyy")),0),0)</f>
        <v>0</v>
      </c>
      <c r="G11" cm="1">
        <f t="array" ref="G11">IF($Q11&gt;=0,IFERROR(generateSalesData($D11, IF(ISNUMBER(_xlfn.XLOOKUP($C11,Phone_by_Sentiment!$B$2:$B$37,Phone_by_Sentiment!G$2:G$37,"",0,1)),_xlfn.XLOOKUP($C11,Phone_by_Sentiment!$B$2:$B$37,Phone_by_Sentiment!G$2:G$37,"",0,1),0),$A11-TEXT(DATEVALUE($D11&amp;"-01"), "dd-mm-yyyy")),0),0)</f>
        <v>0</v>
      </c>
      <c r="H11" cm="1">
        <f t="array" ref="H11">IF($Q11&gt;=0,IFERROR(generateSalesData($D11, IF(ISNUMBER(_xlfn.XLOOKUP($C11,Phone_by_Sentiment!$B$2:$B$37,Phone_by_Sentiment!H$2:H$37,"",0,1)),_xlfn.XLOOKUP($C11,Phone_by_Sentiment!$B$2:$B$37,Phone_by_Sentiment!H$2:H$37,"",0,1),0),$A11-TEXT(DATEVALUE($D11&amp;"-01"), "dd-mm-yyyy")),0),0)</f>
        <v>0</v>
      </c>
      <c r="I11" cm="1">
        <f t="array" ref="I11">IF($Q11&gt;=0,IFERROR(generateSalesData($D11, IF(ISNUMBER(_xlfn.XLOOKUP($C11,Phone_by_Sentiment!$B$2:$B$37,Phone_by_Sentiment!I$2:I$37,"",0,1)),_xlfn.XLOOKUP($C11,Phone_by_Sentiment!$B$2:$B$37,Phone_by_Sentiment!I$2:I$37,"",0,1),0),$A11-TEXT(DATEVALUE($D11&amp;"-01"), "dd-mm-yyyy")),0),0)</f>
        <v>0</v>
      </c>
      <c r="J11" cm="1">
        <f t="array" ref="J11">IF($Q11&gt;=0,IFERROR(generateSalesData($D11, IF(ISNUMBER(_xlfn.XLOOKUP($C11,Phone_by_Sentiment!$B$2:$B$37,Phone_by_Sentiment!J$2:J$37,"",0,1)),_xlfn.XLOOKUP($C11,Phone_by_Sentiment!$B$2:$B$37,Phone_by_Sentiment!J$2:J$37,"",0,1),0),$A11-TEXT(DATEVALUE($D11&amp;"-01"), "dd-mm-yyyy")),0),0)</f>
        <v>0</v>
      </c>
      <c r="K11" cm="1">
        <f t="array" ref="K11">IF($Q11&gt;=0,IFERROR(generateSalesData($D11, IF(ISNUMBER(_xlfn.XLOOKUP($C11,Phone_by_Sentiment!$B$2:$B$37,Phone_by_Sentiment!K$2:K$37,"",0,1)),_xlfn.XLOOKUP($C11,Phone_by_Sentiment!$B$2:$B$37,Phone_by_Sentiment!K$2:K$37,"",0,1),0),$A11-TEXT(DATEVALUE($D11&amp;"-01"), "dd-mm-yyyy")),0),0)</f>
        <v>0</v>
      </c>
      <c r="L11" cm="1">
        <f t="array" ref="L11">IF($Q11&gt;=0,IFERROR(generateSalesData($D11, IF(ISNUMBER(_xlfn.XLOOKUP($C11,Phone_by_Sentiment!$B$2:$B$37,Phone_by_Sentiment!L$2:L$37,"",0,1)),_xlfn.XLOOKUP($C11,Phone_by_Sentiment!$B$2:$B$37,Phone_by_Sentiment!L$2:L$37,"",0,1),0),$A11-TEXT(DATEVALUE($D11&amp;"-01"), "dd-mm-yyyy")),0),0)</f>
        <v>0</v>
      </c>
      <c r="M11" cm="1">
        <f t="array" ref="M11">IF($Q11&gt;=0,IFERROR(generateSalesData($D11, IF(ISNUMBER(_xlfn.XLOOKUP($C11,Phone_by_Sentiment!$B$2:$B$37,Phone_by_Sentiment!M$2:M$37,"",0,1)),_xlfn.XLOOKUP($C11,Phone_by_Sentiment!$B$2:$B$37,Phone_by_Sentiment!M$2:M$37,"",0,1),0),$A11-TEXT(DATEVALUE($D11&amp;"-01"), "dd-mm-yyyy")),0),0)</f>
        <v>0</v>
      </c>
      <c r="N11" cm="1">
        <f t="array" ref="N11">IF($Q11&gt;=0,IFERROR(generateSalesData($D11, IF(ISNUMBER(_xlfn.XLOOKUP($C11,Phone_by_Sentiment!$B$2:$B$37,Phone_by_Sentiment!N$2:N$37,"",0,1)),_xlfn.XLOOKUP($C11,Phone_by_Sentiment!$B$2:$B$37,Phone_by_Sentiment!N$2:N$37,"",0,1),0),$A11-TEXT(DATEVALUE($D11&amp;"-01"), "dd-mm-yyyy")),0),0)</f>
        <v>0</v>
      </c>
      <c r="O11" cm="1">
        <f t="array" ref="O11">IF($Q11&gt;=0,IFERROR(generateSalesData($D11, IF(ISNUMBER(_xlfn.XLOOKUP($C11,Phone_by_Sentiment!$B$2:$B$37,Phone_by_Sentiment!O$2:O$37,"",0,1)),_xlfn.XLOOKUP($C11,Phone_by_Sentiment!$B$2:$B$37,Phone_by_Sentiment!O$2:O$37,"",0,1),0),$A11-TEXT(DATEVALUE($D11&amp;"-01"), "dd-mm-yyyy")),0),0)</f>
        <v>0</v>
      </c>
      <c r="P11" s="1">
        <f t="shared" si="1"/>
        <v>44317</v>
      </c>
      <c r="Q11">
        <f t="shared" si="2"/>
        <v>-851</v>
      </c>
    </row>
    <row r="12" spans="1:17" x14ac:dyDescent="0.25">
      <c r="A12" s="1">
        <f t="shared" si="0"/>
        <v>43466</v>
      </c>
      <c r="B12" t="s">
        <v>151</v>
      </c>
      <c r="C12" t="str">
        <f>_xlfn.XLOOKUP(B12,Phone_by_Price!$A$2:$A$34,Phone_by_Price!$B$2:$B$34,"-",0,1)</f>
        <v>Vivo Y11s</v>
      </c>
      <c r="D12" t="str">
        <f>_xlfn.XLOOKUP(C12,Phone_by_Sentiment!$B$2:$B$37,Phone_by_Sentiment!$A$2:$A$37,"-",0,1)</f>
        <v>2020-11</v>
      </c>
      <c r="E12" cm="1">
        <f t="array" ref="E12">IF($Q12&gt;=0,IFERROR(generateSalesData($D12, IF(ISNUMBER(_xlfn.XLOOKUP($C12,Phone_by_Sentiment!$B$2:$B$37,Phone_by_Sentiment!E$2:E$37,"",0,1)),_xlfn.XLOOKUP($C12,Phone_by_Sentiment!$B$2:$B$37,Phone_by_Sentiment!E$2:E$37,"",0,1),0),$A12-TEXT(DATEVALUE($D12&amp;"-01"), "dd-mm-yyyy")),0),0)</f>
        <v>0</v>
      </c>
      <c r="F12" cm="1">
        <f t="array" ref="F12">IF($Q12&gt;=0,IFERROR(generateSalesData($D12, IF(ISNUMBER(_xlfn.XLOOKUP($C12,Phone_by_Sentiment!$B$2:$B$37,Phone_by_Sentiment!F$2:F$37,"",0,1)),_xlfn.XLOOKUP($C12,Phone_by_Sentiment!$B$2:$B$37,Phone_by_Sentiment!F$2:F$37,"",0,1),0),$A12-TEXT(DATEVALUE($D12&amp;"-01"), "dd-mm-yyyy")),0),0)</f>
        <v>0</v>
      </c>
      <c r="G12" cm="1">
        <f t="array" ref="G12">IF($Q12&gt;=0,IFERROR(generateSalesData($D12, IF(ISNUMBER(_xlfn.XLOOKUP($C12,Phone_by_Sentiment!$B$2:$B$37,Phone_by_Sentiment!G$2:G$37,"",0,1)),_xlfn.XLOOKUP($C12,Phone_by_Sentiment!$B$2:$B$37,Phone_by_Sentiment!G$2:G$37,"",0,1),0),$A12-TEXT(DATEVALUE($D12&amp;"-01"), "dd-mm-yyyy")),0),0)</f>
        <v>0</v>
      </c>
      <c r="H12" cm="1">
        <f t="array" ref="H12">IF($Q12&gt;=0,IFERROR(generateSalesData($D12, IF(ISNUMBER(_xlfn.XLOOKUP($C12,Phone_by_Sentiment!$B$2:$B$37,Phone_by_Sentiment!H$2:H$37,"",0,1)),_xlfn.XLOOKUP($C12,Phone_by_Sentiment!$B$2:$B$37,Phone_by_Sentiment!H$2:H$37,"",0,1),0),$A12-TEXT(DATEVALUE($D12&amp;"-01"), "dd-mm-yyyy")),0),0)</f>
        <v>0</v>
      </c>
      <c r="I12" cm="1">
        <f t="array" ref="I12">IF($Q12&gt;=0,IFERROR(generateSalesData($D12, IF(ISNUMBER(_xlfn.XLOOKUP($C12,Phone_by_Sentiment!$B$2:$B$37,Phone_by_Sentiment!I$2:I$37,"",0,1)),_xlfn.XLOOKUP($C12,Phone_by_Sentiment!$B$2:$B$37,Phone_by_Sentiment!I$2:I$37,"",0,1),0),$A12-TEXT(DATEVALUE($D12&amp;"-01"), "dd-mm-yyyy")),0),0)</f>
        <v>0</v>
      </c>
      <c r="J12" cm="1">
        <f t="array" ref="J12">IF($Q12&gt;=0,IFERROR(generateSalesData($D12, IF(ISNUMBER(_xlfn.XLOOKUP($C12,Phone_by_Sentiment!$B$2:$B$37,Phone_by_Sentiment!J$2:J$37,"",0,1)),_xlfn.XLOOKUP($C12,Phone_by_Sentiment!$B$2:$B$37,Phone_by_Sentiment!J$2:J$37,"",0,1),0),$A12-TEXT(DATEVALUE($D12&amp;"-01"), "dd-mm-yyyy")),0),0)</f>
        <v>0</v>
      </c>
      <c r="K12" cm="1">
        <f t="array" ref="K12">IF($Q12&gt;=0,IFERROR(generateSalesData($D12, IF(ISNUMBER(_xlfn.XLOOKUP($C12,Phone_by_Sentiment!$B$2:$B$37,Phone_by_Sentiment!K$2:K$37,"",0,1)),_xlfn.XLOOKUP($C12,Phone_by_Sentiment!$B$2:$B$37,Phone_by_Sentiment!K$2:K$37,"",0,1),0),$A12-TEXT(DATEVALUE($D12&amp;"-01"), "dd-mm-yyyy")),0),0)</f>
        <v>0</v>
      </c>
      <c r="L12" cm="1">
        <f t="array" ref="L12">IF($Q12&gt;=0,IFERROR(generateSalesData($D12, IF(ISNUMBER(_xlfn.XLOOKUP($C12,Phone_by_Sentiment!$B$2:$B$37,Phone_by_Sentiment!L$2:L$37,"",0,1)),_xlfn.XLOOKUP($C12,Phone_by_Sentiment!$B$2:$B$37,Phone_by_Sentiment!L$2:L$37,"",0,1),0),$A12-TEXT(DATEVALUE($D12&amp;"-01"), "dd-mm-yyyy")),0),0)</f>
        <v>0</v>
      </c>
      <c r="M12" cm="1">
        <f t="array" ref="M12">IF($Q12&gt;=0,IFERROR(generateSalesData($D12, IF(ISNUMBER(_xlfn.XLOOKUP($C12,Phone_by_Sentiment!$B$2:$B$37,Phone_by_Sentiment!M$2:M$37,"",0,1)),_xlfn.XLOOKUP($C12,Phone_by_Sentiment!$B$2:$B$37,Phone_by_Sentiment!M$2:M$37,"",0,1),0),$A12-TEXT(DATEVALUE($D12&amp;"-01"), "dd-mm-yyyy")),0),0)</f>
        <v>0</v>
      </c>
      <c r="N12" cm="1">
        <f t="array" ref="N12">IF($Q12&gt;=0,IFERROR(generateSalesData($D12, IF(ISNUMBER(_xlfn.XLOOKUP($C12,Phone_by_Sentiment!$B$2:$B$37,Phone_by_Sentiment!N$2:N$37,"",0,1)),_xlfn.XLOOKUP($C12,Phone_by_Sentiment!$B$2:$B$37,Phone_by_Sentiment!N$2:N$37,"",0,1),0),$A12-TEXT(DATEVALUE($D12&amp;"-01"), "dd-mm-yyyy")),0),0)</f>
        <v>0</v>
      </c>
      <c r="O12" cm="1">
        <f t="array" ref="O12">IF($Q12&gt;=0,IFERROR(generateSalesData($D12, IF(ISNUMBER(_xlfn.XLOOKUP($C12,Phone_by_Sentiment!$B$2:$B$37,Phone_by_Sentiment!O$2:O$37,"",0,1)),_xlfn.XLOOKUP($C12,Phone_by_Sentiment!$B$2:$B$37,Phone_by_Sentiment!O$2:O$37,"",0,1),0),$A12-TEXT(DATEVALUE($D12&amp;"-01"), "dd-mm-yyyy")),0),0)</f>
        <v>0</v>
      </c>
      <c r="P12" s="1">
        <f t="shared" si="1"/>
        <v>44136</v>
      </c>
      <c r="Q12">
        <f t="shared" si="2"/>
        <v>-670</v>
      </c>
    </row>
    <row r="13" spans="1:17" x14ac:dyDescent="0.25">
      <c r="A13" s="1">
        <f t="shared" si="0"/>
        <v>43466</v>
      </c>
      <c r="B13" t="s">
        <v>152</v>
      </c>
      <c r="C13" t="str">
        <f>_xlfn.XLOOKUP(B13,Phone_by_Price!$A$2:$A$34,Phone_by_Price!$B$2:$B$34,"-",0,1)</f>
        <v>Huawei Nova 7i</v>
      </c>
      <c r="D13" t="str">
        <f>_xlfn.XLOOKUP(C13,Phone_by_Sentiment!$B$2:$B$37,Phone_by_Sentiment!$A$2:$A$37,"-",0,1)</f>
        <v>2020-02</v>
      </c>
      <c r="E13" cm="1">
        <f t="array" ref="E13">IF($Q13&gt;=0,IFERROR(generateSalesData($D13, IF(ISNUMBER(_xlfn.XLOOKUP($C13,Phone_by_Sentiment!$B$2:$B$37,Phone_by_Sentiment!E$2:E$37,"",0,1)),_xlfn.XLOOKUP($C13,Phone_by_Sentiment!$B$2:$B$37,Phone_by_Sentiment!E$2:E$37,"",0,1),0),$A13-TEXT(DATEVALUE($D13&amp;"-01"), "dd-mm-yyyy")),0),0)</f>
        <v>0</v>
      </c>
      <c r="F13" cm="1">
        <f t="array" ref="F13">IF($Q13&gt;=0,IFERROR(generateSalesData($D13, IF(ISNUMBER(_xlfn.XLOOKUP($C13,Phone_by_Sentiment!$B$2:$B$37,Phone_by_Sentiment!F$2:F$37,"",0,1)),_xlfn.XLOOKUP($C13,Phone_by_Sentiment!$B$2:$B$37,Phone_by_Sentiment!F$2:F$37,"",0,1),0),$A13-TEXT(DATEVALUE($D13&amp;"-01"), "dd-mm-yyyy")),0),0)</f>
        <v>0</v>
      </c>
      <c r="G13" cm="1">
        <f t="array" ref="G13">IF($Q13&gt;=0,IFERROR(generateSalesData($D13, IF(ISNUMBER(_xlfn.XLOOKUP($C13,Phone_by_Sentiment!$B$2:$B$37,Phone_by_Sentiment!G$2:G$37,"",0,1)),_xlfn.XLOOKUP($C13,Phone_by_Sentiment!$B$2:$B$37,Phone_by_Sentiment!G$2:G$37,"",0,1),0),$A13-TEXT(DATEVALUE($D13&amp;"-01"), "dd-mm-yyyy")),0),0)</f>
        <v>0</v>
      </c>
      <c r="H13" cm="1">
        <f t="array" ref="H13">IF($Q13&gt;=0,IFERROR(generateSalesData($D13, IF(ISNUMBER(_xlfn.XLOOKUP($C13,Phone_by_Sentiment!$B$2:$B$37,Phone_by_Sentiment!H$2:H$37,"",0,1)),_xlfn.XLOOKUP($C13,Phone_by_Sentiment!$B$2:$B$37,Phone_by_Sentiment!H$2:H$37,"",0,1),0),$A13-TEXT(DATEVALUE($D13&amp;"-01"), "dd-mm-yyyy")),0),0)</f>
        <v>0</v>
      </c>
      <c r="I13" cm="1">
        <f t="array" ref="I13">IF($Q13&gt;=0,IFERROR(generateSalesData($D13, IF(ISNUMBER(_xlfn.XLOOKUP($C13,Phone_by_Sentiment!$B$2:$B$37,Phone_by_Sentiment!I$2:I$37,"",0,1)),_xlfn.XLOOKUP($C13,Phone_by_Sentiment!$B$2:$B$37,Phone_by_Sentiment!I$2:I$37,"",0,1),0),$A13-TEXT(DATEVALUE($D13&amp;"-01"), "dd-mm-yyyy")),0),0)</f>
        <v>0</v>
      </c>
      <c r="J13" cm="1">
        <f t="array" ref="J13">IF($Q13&gt;=0,IFERROR(generateSalesData($D13, IF(ISNUMBER(_xlfn.XLOOKUP($C13,Phone_by_Sentiment!$B$2:$B$37,Phone_by_Sentiment!J$2:J$37,"",0,1)),_xlfn.XLOOKUP($C13,Phone_by_Sentiment!$B$2:$B$37,Phone_by_Sentiment!J$2:J$37,"",0,1),0),$A13-TEXT(DATEVALUE($D13&amp;"-01"), "dd-mm-yyyy")),0),0)</f>
        <v>0</v>
      </c>
      <c r="K13" cm="1">
        <f t="array" ref="K13">IF($Q13&gt;=0,IFERROR(generateSalesData($D13, IF(ISNUMBER(_xlfn.XLOOKUP($C13,Phone_by_Sentiment!$B$2:$B$37,Phone_by_Sentiment!K$2:K$37,"",0,1)),_xlfn.XLOOKUP($C13,Phone_by_Sentiment!$B$2:$B$37,Phone_by_Sentiment!K$2:K$37,"",0,1),0),$A13-TEXT(DATEVALUE($D13&amp;"-01"), "dd-mm-yyyy")),0),0)</f>
        <v>0</v>
      </c>
      <c r="L13" cm="1">
        <f t="array" ref="L13">IF($Q13&gt;=0,IFERROR(generateSalesData($D13, IF(ISNUMBER(_xlfn.XLOOKUP($C13,Phone_by_Sentiment!$B$2:$B$37,Phone_by_Sentiment!L$2:L$37,"",0,1)),_xlfn.XLOOKUP($C13,Phone_by_Sentiment!$B$2:$B$37,Phone_by_Sentiment!L$2:L$37,"",0,1),0),$A13-TEXT(DATEVALUE($D13&amp;"-01"), "dd-mm-yyyy")),0),0)</f>
        <v>0</v>
      </c>
      <c r="M13" cm="1">
        <f t="array" ref="M13">IF($Q13&gt;=0,IFERROR(generateSalesData($D13, IF(ISNUMBER(_xlfn.XLOOKUP($C13,Phone_by_Sentiment!$B$2:$B$37,Phone_by_Sentiment!M$2:M$37,"",0,1)),_xlfn.XLOOKUP($C13,Phone_by_Sentiment!$B$2:$B$37,Phone_by_Sentiment!M$2:M$37,"",0,1),0),$A13-TEXT(DATEVALUE($D13&amp;"-01"), "dd-mm-yyyy")),0),0)</f>
        <v>0</v>
      </c>
      <c r="N13" cm="1">
        <f t="array" ref="N13">IF($Q13&gt;=0,IFERROR(generateSalesData($D13, IF(ISNUMBER(_xlfn.XLOOKUP($C13,Phone_by_Sentiment!$B$2:$B$37,Phone_by_Sentiment!N$2:N$37,"",0,1)),_xlfn.XLOOKUP($C13,Phone_by_Sentiment!$B$2:$B$37,Phone_by_Sentiment!N$2:N$37,"",0,1),0),$A13-TEXT(DATEVALUE($D13&amp;"-01"), "dd-mm-yyyy")),0),0)</f>
        <v>0</v>
      </c>
      <c r="O13" cm="1">
        <f t="array" ref="O13">IF($Q13&gt;=0,IFERROR(generateSalesData($D13, IF(ISNUMBER(_xlfn.XLOOKUP($C13,Phone_by_Sentiment!$B$2:$B$37,Phone_by_Sentiment!O$2:O$37,"",0,1)),_xlfn.XLOOKUP($C13,Phone_by_Sentiment!$B$2:$B$37,Phone_by_Sentiment!O$2:O$37,"",0,1),0),$A13-TEXT(DATEVALUE($D13&amp;"-01"), "dd-mm-yyyy")),0),0)</f>
        <v>0</v>
      </c>
      <c r="P13" s="1">
        <f t="shared" si="1"/>
        <v>43862</v>
      </c>
      <c r="Q13">
        <f t="shared" si="2"/>
        <v>-396</v>
      </c>
    </row>
    <row r="14" spans="1:17" x14ac:dyDescent="0.25">
      <c r="A14" s="1">
        <f t="shared" si="0"/>
        <v>43466</v>
      </c>
      <c r="B14" t="s">
        <v>153</v>
      </c>
      <c r="C14" t="str">
        <f>_xlfn.XLOOKUP(B14,Phone_by_Price!$A$2:$A$34,Phone_by_Price!$B$2:$B$34,"-",0,1)</f>
        <v>iPhone 13</v>
      </c>
      <c r="D14" t="str">
        <f>_xlfn.XLOOKUP(C14,Phone_by_Sentiment!$B$2:$B$37,Phone_by_Sentiment!$A$2:$A$37,"-",0,1)</f>
        <v>2021-09</v>
      </c>
      <c r="E14" cm="1">
        <f t="array" ref="E14">IF($Q14&gt;=0,IFERROR(generateSalesData($D14, IF(ISNUMBER(_xlfn.XLOOKUP($C14,Phone_by_Sentiment!$B$2:$B$37,Phone_by_Sentiment!E$2:E$37,"",0,1)),_xlfn.XLOOKUP($C14,Phone_by_Sentiment!$B$2:$B$37,Phone_by_Sentiment!E$2:E$37,"",0,1),0),$A14-TEXT(DATEVALUE($D14&amp;"-01"), "dd-mm-yyyy")),0),0)</f>
        <v>0</v>
      </c>
      <c r="F14" cm="1">
        <f t="array" ref="F14">IF($Q14&gt;=0,IFERROR(generateSalesData($D14, IF(ISNUMBER(_xlfn.XLOOKUP($C14,Phone_by_Sentiment!$B$2:$B$37,Phone_by_Sentiment!F$2:F$37,"",0,1)),_xlfn.XLOOKUP($C14,Phone_by_Sentiment!$B$2:$B$37,Phone_by_Sentiment!F$2:F$37,"",0,1),0),$A14-TEXT(DATEVALUE($D14&amp;"-01"), "dd-mm-yyyy")),0),0)</f>
        <v>0</v>
      </c>
      <c r="G14" cm="1">
        <f t="array" ref="G14">IF($Q14&gt;=0,IFERROR(generateSalesData($D14, IF(ISNUMBER(_xlfn.XLOOKUP($C14,Phone_by_Sentiment!$B$2:$B$37,Phone_by_Sentiment!G$2:G$37,"",0,1)),_xlfn.XLOOKUP($C14,Phone_by_Sentiment!$B$2:$B$37,Phone_by_Sentiment!G$2:G$37,"",0,1),0),$A14-TEXT(DATEVALUE($D14&amp;"-01"), "dd-mm-yyyy")),0),0)</f>
        <v>0</v>
      </c>
      <c r="H14" cm="1">
        <f t="array" ref="H14">IF($Q14&gt;=0,IFERROR(generateSalesData($D14, IF(ISNUMBER(_xlfn.XLOOKUP($C14,Phone_by_Sentiment!$B$2:$B$37,Phone_by_Sentiment!H$2:H$37,"",0,1)),_xlfn.XLOOKUP($C14,Phone_by_Sentiment!$B$2:$B$37,Phone_by_Sentiment!H$2:H$37,"",0,1),0),$A14-TEXT(DATEVALUE($D14&amp;"-01"), "dd-mm-yyyy")),0),0)</f>
        <v>0</v>
      </c>
      <c r="I14" cm="1">
        <f t="array" ref="I14">IF($Q14&gt;=0,IFERROR(generateSalesData($D14, IF(ISNUMBER(_xlfn.XLOOKUP($C14,Phone_by_Sentiment!$B$2:$B$37,Phone_by_Sentiment!I$2:I$37,"",0,1)),_xlfn.XLOOKUP($C14,Phone_by_Sentiment!$B$2:$B$37,Phone_by_Sentiment!I$2:I$37,"",0,1),0),$A14-TEXT(DATEVALUE($D14&amp;"-01"), "dd-mm-yyyy")),0),0)</f>
        <v>0</v>
      </c>
      <c r="J14" cm="1">
        <f t="array" ref="J14">IF($Q14&gt;=0,IFERROR(generateSalesData($D14, IF(ISNUMBER(_xlfn.XLOOKUP($C14,Phone_by_Sentiment!$B$2:$B$37,Phone_by_Sentiment!J$2:J$37,"",0,1)),_xlfn.XLOOKUP($C14,Phone_by_Sentiment!$B$2:$B$37,Phone_by_Sentiment!J$2:J$37,"",0,1),0),$A14-TEXT(DATEVALUE($D14&amp;"-01"), "dd-mm-yyyy")),0),0)</f>
        <v>0</v>
      </c>
      <c r="K14" cm="1">
        <f t="array" ref="K14">IF($Q14&gt;=0,IFERROR(generateSalesData($D14, IF(ISNUMBER(_xlfn.XLOOKUP($C14,Phone_by_Sentiment!$B$2:$B$37,Phone_by_Sentiment!K$2:K$37,"",0,1)),_xlfn.XLOOKUP($C14,Phone_by_Sentiment!$B$2:$B$37,Phone_by_Sentiment!K$2:K$37,"",0,1),0),$A14-TEXT(DATEVALUE($D14&amp;"-01"), "dd-mm-yyyy")),0),0)</f>
        <v>0</v>
      </c>
      <c r="L14" cm="1">
        <f t="array" ref="L14">IF($Q14&gt;=0,IFERROR(generateSalesData($D14, IF(ISNUMBER(_xlfn.XLOOKUP($C14,Phone_by_Sentiment!$B$2:$B$37,Phone_by_Sentiment!L$2:L$37,"",0,1)),_xlfn.XLOOKUP($C14,Phone_by_Sentiment!$B$2:$B$37,Phone_by_Sentiment!L$2:L$37,"",0,1),0),$A14-TEXT(DATEVALUE($D14&amp;"-01"), "dd-mm-yyyy")),0),0)</f>
        <v>0</v>
      </c>
      <c r="M14" cm="1">
        <f t="array" ref="M14">IF($Q14&gt;=0,IFERROR(generateSalesData($D14, IF(ISNUMBER(_xlfn.XLOOKUP($C14,Phone_by_Sentiment!$B$2:$B$37,Phone_by_Sentiment!M$2:M$37,"",0,1)),_xlfn.XLOOKUP($C14,Phone_by_Sentiment!$B$2:$B$37,Phone_by_Sentiment!M$2:M$37,"",0,1),0),$A14-TEXT(DATEVALUE($D14&amp;"-01"), "dd-mm-yyyy")),0),0)</f>
        <v>0</v>
      </c>
      <c r="N14" cm="1">
        <f t="array" ref="N14">IF($Q14&gt;=0,IFERROR(generateSalesData($D14, IF(ISNUMBER(_xlfn.XLOOKUP($C14,Phone_by_Sentiment!$B$2:$B$37,Phone_by_Sentiment!N$2:N$37,"",0,1)),_xlfn.XLOOKUP($C14,Phone_by_Sentiment!$B$2:$B$37,Phone_by_Sentiment!N$2:N$37,"",0,1),0),$A14-TEXT(DATEVALUE($D14&amp;"-01"), "dd-mm-yyyy")),0),0)</f>
        <v>0</v>
      </c>
      <c r="O14" cm="1">
        <f t="array" ref="O14">IF($Q14&gt;=0,IFERROR(generateSalesData($D14, IF(ISNUMBER(_xlfn.XLOOKUP($C14,Phone_by_Sentiment!$B$2:$B$37,Phone_by_Sentiment!O$2:O$37,"",0,1)),_xlfn.XLOOKUP($C14,Phone_by_Sentiment!$B$2:$B$37,Phone_by_Sentiment!O$2:O$37,"",0,1),0),$A14-TEXT(DATEVALUE($D14&amp;"-01"), "dd-mm-yyyy")),0),0)</f>
        <v>0</v>
      </c>
      <c r="P14" s="1">
        <f t="shared" si="1"/>
        <v>44440</v>
      </c>
      <c r="Q14">
        <f t="shared" si="2"/>
        <v>-974</v>
      </c>
    </row>
    <row r="15" spans="1:17" x14ac:dyDescent="0.25">
      <c r="A15" s="1">
        <f t="shared" si="0"/>
        <v>43466</v>
      </c>
      <c r="B15" t="s">
        <v>154</v>
      </c>
      <c r="C15" t="str">
        <f>_xlfn.XLOOKUP(B15,Phone_by_Price!$A$2:$A$34,Phone_by_Price!$B$2:$B$34,"-",0,1)</f>
        <v>Samsung Galaxy S21</v>
      </c>
      <c r="D15" t="str">
        <f>_xlfn.XLOOKUP(C15,Phone_by_Sentiment!$B$2:$B$37,Phone_by_Sentiment!$A$2:$A$37,"-",0,1)</f>
        <v>2021-01</v>
      </c>
      <c r="E15" cm="1">
        <f t="array" ref="E15">IF($Q15&gt;=0,IFERROR(generateSalesData($D15, IF(ISNUMBER(_xlfn.XLOOKUP($C15,Phone_by_Sentiment!$B$2:$B$37,Phone_by_Sentiment!E$2:E$37,"",0,1)),_xlfn.XLOOKUP($C15,Phone_by_Sentiment!$B$2:$B$37,Phone_by_Sentiment!E$2:E$37,"",0,1),0),$A15-TEXT(DATEVALUE($D15&amp;"-01"), "dd-mm-yyyy")),0),0)</f>
        <v>0</v>
      </c>
      <c r="F15" cm="1">
        <f t="array" ref="F15">IF($Q15&gt;=0,IFERROR(generateSalesData($D15, IF(ISNUMBER(_xlfn.XLOOKUP($C15,Phone_by_Sentiment!$B$2:$B$37,Phone_by_Sentiment!F$2:F$37,"",0,1)),_xlfn.XLOOKUP($C15,Phone_by_Sentiment!$B$2:$B$37,Phone_by_Sentiment!F$2:F$37,"",0,1),0),$A15-TEXT(DATEVALUE($D15&amp;"-01"), "dd-mm-yyyy")),0),0)</f>
        <v>0</v>
      </c>
      <c r="G15" cm="1">
        <f t="array" ref="G15">IF($Q15&gt;=0,IFERROR(generateSalesData($D15, IF(ISNUMBER(_xlfn.XLOOKUP($C15,Phone_by_Sentiment!$B$2:$B$37,Phone_by_Sentiment!G$2:G$37,"",0,1)),_xlfn.XLOOKUP($C15,Phone_by_Sentiment!$B$2:$B$37,Phone_by_Sentiment!G$2:G$37,"",0,1),0),$A15-TEXT(DATEVALUE($D15&amp;"-01"), "dd-mm-yyyy")),0),0)</f>
        <v>0</v>
      </c>
      <c r="H15" cm="1">
        <f t="array" ref="H15">IF($Q15&gt;=0,IFERROR(generateSalesData($D15, IF(ISNUMBER(_xlfn.XLOOKUP($C15,Phone_by_Sentiment!$B$2:$B$37,Phone_by_Sentiment!H$2:H$37,"",0,1)),_xlfn.XLOOKUP($C15,Phone_by_Sentiment!$B$2:$B$37,Phone_by_Sentiment!H$2:H$37,"",0,1),0),$A15-TEXT(DATEVALUE($D15&amp;"-01"), "dd-mm-yyyy")),0),0)</f>
        <v>0</v>
      </c>
      <c r="I15" cm="1">
        <f t="array" ref="I15">IF($Q15&gt;=0,IFERROR(generateSalesData($D15, IF(ISNUMBER(_xlfn.XLOOKUP($C15,Phone_by_Sentiment!$B$2:$B$37,Phone_by_Sentiment!I$2:I$37,"",0,1)),_xlfn.XLOOKUP($C15,Phone_by_Sentiment!$B$2:$B$37,Phone_by_Sentiment!I$2:I$37,"",0,1),0),$A15-TEXT(DATEVALUE($D15&amp;"-01"), "dd-mm-yyyy")),0),0)</f>
        <v>0</v>
      </c>
      <c r="J15" cm="1">
        <f t="array" ref="J15">IF($Q15&gt;=0,IFERROR(generateSalesData($D15, IF(ISNUMBER(_xlfn.XLOOKUP($C15,Phone_by_Sentiment!$B$2:$B$37,Phone_by_Sentiment!J$2:J$37,"",0,1)),_xlfn.XLOOKUP($C15,Phone_by_Sentiment!$B$2:$B$37,Phone_by_Sentiment!J$2:J$37,"",0,1),0),$A15-TEXT(DATEVALUE($D15&amp;"-01"), "dd-mm-yyyy")),0),0)</f>
        <v>0</v>
      </c>
      <c r="K15" cm="1">
        <f t="array" ref="K15">IF($Q15&gt;=0,IFERROR(generateSalesData($D15, IF(ISNUMBER(_xlfn.XLOOKUP($C15,Phone_by_Sentiment!$B$2:$B$37,Phone_by_Sentiment!K$2:K$37,"",0,1)),_xlfn.XLOOKUP($C15,Phone_by_Sentiment!$B$2:$B$37,Phone_by_Sentiment!K$2:K$37,"",0,1),0),$A15-TEXT(DATEVALUE($D15&amp;"-01"), "dd-mm-yyyy")),0),0)</f>
        <v>0</v>
      </c>
      <c r="L15" cm="1">
        <f t="array" ref="L15">IF($Q15&gt;=0,IFERROR(generateSalesData($D15, IF(ISNUMBER(_xlfn.XLOOKUP($C15,Phone_by_Sentiment!$B$2:$B$37,Phone_by_Sentiment!L$2:L$37,"",0,1)),_xlfn.XLOOKUP($C15,Phone_by_Sentiment!$B$2:$B$37,Phone_by_Sentiment!L$2:L$37,"",0,1),0),$A15-TEXT(DATEVALUE($D15&amp;"-01"), "dd-mm-yyyy")),0),0)</f>
        <v>0</v>
      </c>
      <c r="M15" cm="1">
        <f t="array" ref="M15">IF($Q15&gt;=0,IFERROR(generateSalesData($D15, IF(ISNUMBER(_xlfn.XLOOKUP($C15,Phone_by_Sentiment!$B$2:$B$37,Phone_by_Sentiment!M$2:M$37,"",0,1)),_xlfn.XLOOKUP($C15,Phone_by_Sentiment!$B$2:$B$37,Phone_by_Sentiment!M$2:M$37,"",0,1),0),$A15-TEXT(DATEVALUE($D15&amp;"-01"), "dd-mm-yyyy")),0),0)</f>
        <v>0</v>
      </c>
      <c r="N15" cm="1">
        <f t="array" ref="N15">IF($Q15&gt;=0,IFERROR(generateSalesData($D15, IF(ISNUMBER(_xlfn.XLOOKUP($C15,Phone_by_Sentiment!$B$2:$B$37,Phone_by_Sentiment!N$2:N$37,"",0,1)),_xlfn.XLOOKUP($C15,Phone_by_Sentiment!$B$2:$B$37,Phone_by_Sentiment!N$2:N$37,"",0,1),0),$A15-TEXT(DATEVALUE($D15&amp;"-01"), "dd-mm-yyyy")),0),0)</f>
        <v>0</v>
      </c>
      <c r="O15" cm="1">
        <f t="array" ref="O15">IF($Q15&gt;=0,IFERROR(generateSalesData($D15, IF(ISNUMBER(_xlfn.XLOOKUP($C15,Phone_by_Sentiment!$B$2:$B$37,Phone_by_Sentiment!O$2:O$37,"",0,1)),_xlfn.XLOOKUP($C15,Phone_by_Sentiment!$B$2:$B$37,Phone_by_Sentiment!O$2:O$37,"",0,1),0),$A15-TEXT(DATEVALUE($D15&amp;"-01"), "dd-mm-yyyy")),0),0)</f>
        <v>0</v>
      </c>
      <c r="P15" s="1">
        <f t="shared" si="1"/>
        <v>44197</v>
      </c>
      <c r="Q15">
        <f t="shared" si="2"/>
        <v>-731</v>
      </c>
    </row>
    <row r="16" spans="1:17" x14ac:dyDescent="0.25">
      <c r="A16" s="1">
        <f t="shared" si="0"/>
        <v>43466</v>
      </c>
      <c r="B16" t="s">
        <v>155</v>
      </c>
      <c r="C16" t="str">
        <f>_xlfn.XLOOKUP(B16,Phone_by_Price!$A$2:$A$34,Phone_by_Price!$B$2:$B$34,"-",0,1)</f>
        <v>Google Pixel 6</v>
      </c>
      <c r="D16" t="str">
        <f>_xlfn.XLOOKUP(C16,Phone_by_Sentiment!$B$2:$B$37,Phone_by_Sentiment!$A$2:$A$37,"-",0,1)</f>
        <v>2021-10</v>
      </c>
      <c r="E16" cm="1">
        <f t="array" ref="E16">IF($Q16&gt;=0,IFERROR(generateSalesData($D16, IF(ISNUMBER(_xlfn.XLOOKUP($C16,Phone_by_Sentiment!$B$2:$B$37,Phone_by_Sentiment!E$2:E$37,"",0,1)),_xlfn.XLOOKUP($C16,Phone_by_Sentiment!$B$2:$B$37,Phone_by_Sentiment!E$2:E$37,"",0,1),0),$A16-TEXT(DATEVALUE($D16&amp;"-01"), "dd-mm-yyyy")),0),0)</f>
        <v>0</v>
      </c>
      <c r="F16" cm="1">
        <f t="array" ref="F16">IF($Q16&gt;=0,IFERROR(generateSalesData($D16, IF(ISNUMBER(_xlfn.XLOOKUP($C16,Phone_by_Sentiment!$B$2:$B$37,Phone_by_Sentiment!F$2:F$37,"",0,1)),_xlfn.XLOOKUP($C16,Phone_by_Sentiment!$B$2:$B$37,Phone_by_Sentiment!F$2:F$37,"",0,1),0),$A16-TEXT(DATEVALUE($D16&amp;"-01"), "dd-mm-yyyy")),0),0)</f>
        <v>0</v>
      </c>
      <c r="G16" cm="1">
        <f t="array" ref="G16">IF($Q16&gt;=0,IFERROR(generateSalesData($D16, IF(ISNUMBER(_xlfn.XLOOKUP($C16,Phone_by_Sentiment!$B$2:$B$37,Phone_by_Sentiment!G$2:G$37,"",0,1)),_xlfn.XLOOKUP($C16,Phone_by_Sentiment!$B$2:$B$37,Phone_by_Sentiment!G$2:G$37,"",0,1),0),$A16-TEXT(DATEVALUE($D16&amp;"-01"), "dd-mm-yyyy")),0),0)</f>
        <v>0</v>
      </c>
      <c r="H16" cm="1">
        <f t="array" ref="H16">IF($Q16&gt;=0,IFERROR(generateSalesData($D16, IF(ISNUMBER(_xlfn.XLOOKUP($C16,Phone_by_Sentiment!$B$2:$B$37,Phone_by_Sentiment!H$2:H$37,"",0,1)),_xlfn.XLOOKUP($C16,Phone_by_Sentiment!$B$2:$B$37,Phone_by_Sentiment!H$2:H$37,"",0,1),0),$A16-TEXT(DATEVALUE($D16&amp;"-01"), "dd-mm-yyyy")),0),0)</f>
        <v>0</v>
      </c>
      <c r="I16" cm="1">
        <f t="array" ref="I16">IF($Q16&gt;=0,IFERROR(generateSalesData($D16, IF(ISNUMBER(_xlfn.XLOOKUP($C16,Phone_by_Sentiment!$B$2:$B$37,Phone_by_Sentiment!I$2:I$37,"",0,1)),_xlfn.XLOOKUP($C16,Phone_by_Sentiment!$B$2:$B$37,Phone_by_Sentiment!I$2:I$37,"",0,1),0),$A16-TEXT(DATEVALUE($D16&amp;"-01"), "dd-mm-yyyy")),0),0)</f>
        <v>0</v>
      </c>
      <c r="J16" cm="1">
        <f t="array" ref="J16">IF($Q16&gt;=0,IFERROR(generateSalesData($D16, IF(ISNUMBER(_xlfn.XLOOKUP($C16,Phone_by_Sentiment!$B$2:$B$37,Phone_by_Sentiment!J$2:J$37,"",0,1)),_xlfn.XLOOKUP($C16,Phone_by_Sentiment!$B$2:$B$37,Phone_by_Sentiment!J$2:J$37,"",0,1),0),$A16-TEXT(DATEVALUE($D16&amp;"-01"), "dd-mm-yyyy")),0),0)</f>
        <v>0</v>
      </c>
      <c r="K16" cm="1">
        <f t="array" ref="K16">IF($Q16&gt;=0,IFERROR(generateSalesData($D16, IF(ISNUMBER(_xlfn.XLOOKUP($C16,Phone_by_Sentiment!$B$2:$B$37,Phone_by_Sentiment!K$2:K$37,"",0,1)),_xlfn.XLOOKUP($C16,Phone_by_Sentiment!$B$2:$B$37,Phone_by_Sentiment!K$2:K$37,"",0,1),0),$A16-TEXT(DATEVALUE($D16&amp;"-01"), "dd-mm-yyyy")),0),0)</f>
        <v>0</v>
      </c>
      <c r="L16" cm="1">
        <f t="array" ref="L16">IF($Q16&gt;=0,IFERROR(generateSalesData($D16, IF(ISNUMBER(_xlfn.XLOOKUP($C16,Phone_by_Sentiment!$B$2:$B$37,Phone_by_Sentiment!L$2:L$37,"",0,1)),_xlfn.XLOOKUP($C16,Phone_by_Sentiment!$B$2:$B$37,Phone_by_Sentiment!L$2:L$37,"",0,1),0),$A16-TEXT(DATEVALUE($D16&amp;"-01"), "dd-mm-yyyy")),0),0)</f>
        <v>0</v>
      </c>
      <c r="M16" cm="1">
        <f t="array" ref="M16">IF($Q16&gt;=0,IFERROR(generateSalesData($D16, IF(ISNUMBER(_xlfn.XLOOKUP($C16,Phone_by_Sentiment!$B$2:$B$37,Phone_by_Sentiment!M$2:M$37,"",0,1)),_xlfn.XLOOKUP($C16,Phone_by_Sentiment!$B$2:$B$37,Phone_by_Sentiment!M$2:M$37,"",0,1),0),$A16-TEXT(DATEVALUE($D16&amp;"-01"), "dd-mm-yyyy")),0),0)</f>
        <v>0</v>
      </c>
      <c r="N16" cm="1">
        <f t="array" ref="N16">IF($Q16&gt;=0,IFERROR(generateSalesData($D16, IF(ISNUMBER(_xlfn.XLOOKUP($C16,Phone_by_Sentiment!$B$2:$B$37,Phone_by_Sentiment!N$2:N$37,"",0,1)),_xlfn.XLOOKUP($C16,Phone_by_Sentiment!$B$2:$B$37,Phone_by_Sentiment!N$2:N$37,"",0,1),0),$A16-TEXT(DATEVALUE($D16&amp;"-01"), "dd-mm-yyyy")),0),0)</f>
        <v>0</v>
      </c>
      <c r="O16" cm="1">
        <f t="array" ref="O16">IF($Q16&gt;=0,IFERROR(generateSalesData($D16, IF(ISNUMBER(_xlfn.XLOOKUP($C16,Phone_by_Sentiment!$B$2:$B$37,Phone_by_Sentiment!O$2:O$37,"",0,1)),_xlfn.XLOOKUP($C16,Phone_by_Sentiment!$B$2:$B$37,Phone_by_Sentiment!O$2:O$37,"",0,1),0),$A16-TEXT(DATEVALUE($D16&amp;"-01"), "dd-mm-yyyy")),0),0)</f>
        <v>0</v>
      </c>
      <c r="P16" s="1">
        <f t="shared" si="1"/>
        <v>44470</v>
      </c>
      <c r="Q16">
        <f t="shared" si="2"/>
        <v>-1004</v>
      </c>
    </row>
    <row r="17" spans="1:17" x14ac:dyDescent="0.25">
      <c r="A17" s="1">
        <f t="shared" si="0"/>
        <v>43466</v>
      </c>
      <c r="B17" t="s">
        <v>156</v>
      </c>
      <c r="C17" t="str">
        <f>_xlfn.XLOOKUP(B17,Phone_by_Price!$A$2:$A$34,Phone_by_Price!$B$2:$B$34,"-",0,1)</f>
        <v>OnePlus Nord CE</v>
      </c>
      <c r="D17" t="str">
        <f>_xlfn.XLOOKUP(C17,Phone_by_Sentiment!$B$2:$B$37,Phone_by_Sentiment!$A$2:$A$37,"-",0,1)</f>
        <v>2021-06</v>
      </c>
      <c r="E17" cm="1">
        <f t="array" ref="E17">IF($Q17&gt;=0,IFERROR(generateSalesData($D17, IF(ISNUMBER(_xlfn.XLOOKUP($C17,Phone_by_Sentiment!$B$2:$B$37,Phone_by_Sentiment!E$2:E$37,"",0,1)),_xlfn.XLOOKUP($C17,Phone_by_Sentiment!$B$2:$B$37,Phone_by_Sentiment!E$2:E$37,"",0,1),0),$A17-TEXT(DATEVALUE($D17&amp;"-01"), "dd-mm-yyyy")),0),0)</f>
        <v>0</v>
      </c>
      <c r="F17" cm="1">
        <f t="array" ref="F17">IF($Q17&gt;=0,IFERROR(generateSalesData($D17, IF(ISNUMBER(_xlfn.XLOOKUP($C17,Phone_by_Sentiment!$B$2:$B$37,Phone_by_Sentiment!F$2:F$37,"",0,1)),_xlfn.XLOOKUP($C17,Phone_by_Sentiment!$B$2:$B$37,Phone_by_Sentiment!F$2:F$37,"",0,1),0),$A17-TEXT(DATEVALUE($D17&amp;"-01"), "dd-mm-yyyy")),0),0)</f>
        <v>0</v>
      </c>
      <c r="G17" cm="1">
        <f t="array" ref="G17">IF($Q17&gt;=0,IFERROR(generateSalesData($D17, IF(ISNUMBER(_xlfn.XLOOKUP($C17,Phone_by_Sentiment!$B$2:$B$37,Phone_by_Sentiment!G$2:G$37,"",0,1)),_xlfn.XLOOKUP($C17,Phone_by_Sentiment!$B$2:$B$37,Phone_by_Sentiment!G$2:G$37,"",0,1),0),$A17-TEXT(DATEVALUE($D17&amp;"-01"), "dd-mm-yyyy")),0),0)</f>
        <v>0</v>
      </c>
      <c r="H17" cm="1">
        <f t="array" ref="H17">IF($Q17&gt;=0,IFERROR(generateSalesData($D17, IF(ISNUMBER(_xlfn.XLOOKUP($C17,Phone_by_Sentiment!$B$2:$B$37,Phone_by_Sentiment!H$2:H$37,"",0,1)),_xlfn.XLOOKUP($C17,Phone_by_Sentiment!$B$2:$B$37,Phone_by_Sentiment!H$2:H$37,"",0,1),0),$A17-TEXT(DATEVALUE($D17&amp;"-01"), "dd-mm-yyyy")),0),0)</f>
        <v>0</v>
      </c>
      <c r="I17" cm="1">
        <f t="array" ref="I17">IF($Q17&gt;=0,IFERROR(generateSalesData($D17, IF(ISNUMBER(_xlfn.XLOOKUP($C17,Phone_by_Sentiment!$B$2:$B$37,Phone_by_Sentiment!I$2:I$37,"",0,1)),_xlfn.XLOOKUP($C17,Phone_by_Sentiment!$B$2:$B$37,Phone_by_Sentiment!I$2:I$37,"",0,1),0),$A17-TEXT(DATEVALUE($D17&amp;"-01"), "dd-mm-yyyy")),0),0)</f>
        <v>0</v>
      </c>
      <c r="J17" cm="1">
        <f t="array" ref="J17">IF($Q17&gt;=0,IFERROR(generateSalesData($D17, IF(ISNUMBER(_xlfn.XLOOKUP($C17,Phone_by_Sentiment!$B$2:$B$37,Phone_by_Sentiment!J$2:J$37,"",0,1)),_xlfn.XLOOKUP($C17,Phone_by_Sentiment!$B$2:$B$37,Phone_by_Sentiment!J$2:J$37,"",0,1),0),$A17-TEXT(DATEVALUE($D17&amp;"-01"), "dd-mm-yyyy")),0),0)</f>
        <v>0</v>
      </c>
      <c r="K17" cm="1">
        <f t="array" ref="K17">IF($Q17&gt;=0,IFERROR(generateSalesData($D17, IF(ISNUMBER(_xlfn.XLOOKUP($C17,Phone_by_Sentiment!$B$2:$B$37,Phone_by_Sentiment!K$2:K$37,"",0,1)),_xlfn.XLOOKUP($C17,Phone_by_Sentiment!$B$2:$B$37,Phone_by_Sentiment!K$2:K$37,"",0,1),0),$A17-TEXT(DATEVALUE($D17&amp;"-01"), "dd-mm-yyyy")),0),0)</f>
        <v>0</v>
      </c>
      <c r="L17" cm="1">
        <f t="array" ref="L17">IF($Q17&gt;=0,IFERROR(generateSalesData($D17, IF(ISNUMBER(_xlfn.XLOOKUP($C17,Phone_by_Sentiment!$B$2:$B$37,Phone_by_Sentiment!L$2:L$37,"",0,1)),_xlfn.XLOOKUP($C17,Phone_by_Sentiment!$B$2:$B$37,Phone_by_Sentiment!L$2:L$37,"",0,1),0),$A17-TEXT(DATEVALUE($D17&amp;"-01"), "dd-mm-yyyy")),0),0)</f>
        <v>0</v>
      </c>
      <c r="M17" cm="1">
        <f t="array" ref="M17">IF($Q17&gt;=0,IFERROR(generateSalesData($D17, IF(ISNUMBER(_xlfn.XLOOKUP($C17,Phone_by_Sentiment!$B$2:$B$37,Phone_by_Sentiment!M$2:M$37,"",0,1)),_xlfn.XLOOKUP($C17,Phone_by_Sentiment!$B$2:$B$37,Phone_by_Sentiment!M$2:M$37,"",0,1),0),$A17-TEXT(DATEVALUE($D17&amp;"-01"), "dd-mm-yyyy")),0),0)</f>
        <v>0</v>
      </c>
      <c r="N17" cm="1">
        <f t="array" ref="N17">IF($Q17&gt;=0,IFERROR(generateSalesData($D17, IF(ISNUMBER(_xlfn.XLOOKUP($C17,Phone_by_Sentiment!$B$2:$B$37,Phone_by_Sentiment!N$2:N$37,"",0,1)),_xlfn.XLOOKUP($C17,Phone_by_Sentiment!$B$2:$B$37,Phone_by_Sentiment!N$2:N$37,"",0,1),0),$A17-TEXT(DATEVALUE($D17&amp;"-01"), "dd-mm-yyyy")),0),0)</f>
        <v>0</v>
      </c>
      <c r="O17" cm="1">
        <f t="array" ref="O17">IF($Q17&gt;=0,IFERROR(generateSalesData($D17, IF(ISNUMBER(_xlfn.XLOOKUP($C17,Phone_by_Sentiment!$B$2:$B$37,Phone_by_Sentiment!O$2:O$37,"",0,1)),_xlfn.XLOOKUP($C17,Phone_by_Sentiment!$B$2:$B$37,Phone_by_Sentiment!O$2:O$37,"",0,1),0),$A17-TEXT(DATEVALUE($D17&amp;"-01"), "dd-mm-yyyy")),0),0)</f>
        <v>0</v>
      </c>
      <c r="P17" s="1">
        <f t="shared" si="1"/>
        <v>44348</v>
      </c>
      <c r="Q17">
        <f t="shared" si="2"/>
        <v>-882</v>
      </c>
    </row>
    <row r="18" spans="1:17" x14ac:dyDescent="0.25">
      <c r="A18" s="1">
        <f t="shared" si="0"/>
        <v>43466</v>
      </c>
      <c r="B18" t="s">
        <v>157</v>
      </c>
      <c r="C18" t="str">
        <f>_xlfn.XLOOKUP(B18,Phone_by_Price!$A$2:$A$34,Phone_by_Price!$B$2:$B$34,"-",0,1)</f>
        <v>Apple iPhone 13 Pro</v>
      </c>
      <c r="D18" t="str">
        <f>_xlfn.XLOOKUP(C18,Phone_by_Sentiment!$B$2:$B$37,Phone_by_Sentiment!$A$2:$A$37,"-",0,1)</f>
        <v>2021-09</v>
      </c>
      <c r="E18" cm="1">
        <f t="array" ref="E18">IF($Q18&gt;=0,IFERROR(generateSalesData($D18, IF(ISNUMBER(_xlfn.XLOOKUP($C18,Phone_by_Sentiment!$B$2:$B$37,Phone_by_Sentiment!E$2:E$37,"",0,1)),_xlfn.XLOOKUP($C18,Phone_by_Sentiment!$B$2:$B$37,Phone_by_Sentiment!E$2:E$37,"",0,1),0),$A18-TEXT(DATEVALUE($D18&amp;"-01"), "dd-mm-yyyy")),0),0)</f>
        <v>0</v>
      </c>
      <c r="F18" cm="1">
        <f t="array" ref="F18">IF($Q18&gt;=0,IFERROR(generateSalesData($D18, IF(ISNUMBER(_xlfn.XLOOKUP($C18,Phone_by_Sentiment!$B$2:$B$37,Phone_by_Sentiment!F$2:F$37,"",0,1)),_xlfn.XLOOKUP($C18,Phone_by_Sentiment!$B$2:$B$37,Phone_by_Sentiment!F$2:F$37,"",0,1),0),$A18-TEXT(DATEVALUE($D18&amp;"-01"), "dd-mm-yyyy")),0),0)</f>
        <v>0</v>
      </c>
      <c r="G18" cm="1">
        <f t="array" ref="G18">IF($Q18&gt;=0,IFERROR(generateSalesData($D18, IF(ISNUMBER(_xlfn.XLOOKUP($C18,Phone_by_Sentiment!$B$2:$B$37,Phone_by_Sentiment!G$2:G$37,"",0,1)),_xlfn.XLOOKUP($C18,Phone_by_Sentiment!$B$2:$B$37,Phone_by_Sentiment!G$2:G$37,"",0,1),0),$A18-TEXT(DATEVALUE($D18&amp;"-01"), "dd-mm-yyyy")),0),0)</f>
        <v>0</v>
      </c>
      <c r="H18" cm="1">
        <f t="array" ref="H18">IF($Q18&gt;=0,IFERROR(generateSalesData($D18, IF(ISNUMBER(_xlfn.XLOOKUP($C18,Phone_by_Sentiment!$B$2:$B$37,Phone_by_Sentiment!H$2:H$37,"",0,1)),_xlfn.XLOOKUP($C18,Phone_by_Sentiment!$B$2:$B$37,Phone_by_Sentiment!H$2:H$37,"",0,1),0),$A18-TEXT(DATEVALUE($D18&amp;"-01"), "dd-mm-yyyy")),0),0)</f>
        <v>0</v>
      </c>
      <c r="I18" cm="1">
        <f t="array" ref="I18">IF($Q18&gt;=0,IFERROR(generateSalesData($D18, IF(ISNUMBER(_xlfn.XLOOKUP($C18,Phone_by_Sentiment!$B$2:$B$37,Phone_by_Sentiment!I$2:I$37,"",0,1)),_xlfn.XLOOKUP($C18,Phone_by_Sentiment!$B$2:$B$37,Phone_by_Sentiment!I$2:I$37,"",0,1),0),$A18-TEXT(DATEVALUE($D18&amp;"-01"), "dd-mm-yyyy")),0),0)</f>
        <v>0</v>
      </c>
      <c r="J18" cm="1">
        <f t="array" ref="J18">IF($Q18&gt;=0,IFERROR(generateSalesData($D18, IF(ISNUMBER(_xlfn.XLOOKUP($C18,Phone_by_Sentiment!$B$2:$B$37,Phone_by_Sentiment!J$2:J$37,"",0,1)),_xlfn.XLOOKUP($C18,Phone_by_Sentiment!$B$2:$B$37,Phone_by_Sentiment!J$2:J$37,"",0,1),0),$A18-TEXT(DATEVALUE($D18&amp;"-01"), "dd-mm-yyyy")),0),0)</f>
        <v>0</v>
      </c>
      <c r="K18" cm="1">
        <f t="array" ref="K18">IF($Q18&gt;=0,IFERROR(generateSalesData($D18, IF(ISNUMBER(_xlfn.XLOOKUP($C18,Phone_by_Sentiment!$B$2:$B$37,Phone_by_Sentiment!K$2:K$37,"",0,1)),_xlfn.XLOOKUP($C18,Phone_by_Sentiment!$B$2:$B$37,Phone_by_Sentiment!K$2:K$37,"",0,1),0),$A18-TEXT(DATEVALUE($D18&amp;"-01"), "dd-mm-yyyy")),0),0)</f>
        <v>0</v>
      </c>
      <c r="L18" cm="1">
        <f t="array" ref="L18">IF($Q18&gt;=0,IFERROR(generateSalesData($D18, IF(ISNUMBER(_xlfn.XLOOKUP($C18,Phone_by_Sentiment!$B$2:$B$37,Phone_by_Sentiment!L$2:L$37,"",0,1)),_xlfn.XLOOKUP($C18,Phone_by_Sentiment!$B$2:$B$37,Phone_by_Sentiment!L$2:L$37,"",0,1),0),$A18-TEXT(DATEVALUE($D18&amp;"-01"), "dd-mm-yyyy")),0),0)</f>
        <v>0</v>
      </c>
      <c r="M18" cm="1">
        <f t="array" ref="M18">IF($Q18&gt;=0,IFERROR(generateSalesData($D18, IF(ISNUMBER(_xlfn.XLOOKUP($C18,Phone_by_Sentiment!$B$2:$B$37,Phone_by_Sentiment!M$2:M$37,"",0,1)),_xlfn.XLOOKUP($C18,Phone_by_Sentiment!$B$2:$B$37,Phone_by_Sentiment!M$2:M$37,"",0,1),0),$A18-TEXT(DATEVALUE($D18&amp;"-01"), "dd-mm-yyyy")),0),0)</f>
        <v>0</v>
      </c>
      <c r="N18" cm="1">
        <f t="array" ref="N18">IF($Q18&gt;=0,IFERROR(generateSalesData($D18, IF(ISNUMBER(_xlfn.XLOOKUP($C18,Phone_by_Sentiment!$B$2:$B$37,Phone_by_Sentiment!N$2:N$37,"",0,1)),_xlfn.XLOOKUP($C18,Phone_by_Sentiment!$B$2:$B$37,Phone_by_Sentiment!N$2:N$37,"",0,1),0),$A18-TEXT(DATEVALUE($D18&amp;"-01"), "dd-mm-yyyy")),0),0)</f>
        <v>0</v>
      </c>
      <c r="O18" cm="1">
        <f t="array" ref="O18">IF($Q18&gt;=0,IFERROR(generateSalesData($D18, IF(ISNUMBER(_xlfn.XLOOKUP($C18,Phone_by_Sentiment!$B$2:$B$37,Phone_by_Sentiment!O$2:O$37,"",0,1)),_xlfn.XLOOKUP($C18,Phone_by_Sentiment!$B$2:$B$37,Phone_by_Sentiment!O$2:O$37,"",0,1),0),$A18-TEXT(DATEVALUE($D18&amp;"-01"), "dd-mm-yyyy")),0),0)</f>
        <v>0</v>
      </c>
      <c r="P18" s="1">
        <f t="shared" si="1"/>
        <v>44440</v>
      </c>
      <c r="Q18">
        <f t="shared" si="2"/>
        <v>-974</v>
      </c>
    </row>
    <row r="19" spans="1:17" x14ac:dyDescent="0.25">
      <c r="A19" s="1">
        <f t="shared" si="0"/>
        <v>43466</v>
      </c>
      <c r="B19" t="s">
        <v>158</v>
      </c>
      <c r="C19" t="str">
        <f>_xlfn.XLOOKUP(B19,Phone_by_Price!$A$2:$A$34,Phone_by_Price!$B$2:$B$34,"-",0,1)</f>
        <v>Samsung Galaxy A32 5G</v>
      </c>
      <c r="D19" t="str">
        <f>_xlfn.XLOOKUP(C19,Phone_by_Sentiment!$B$2:$B$37,Phone_by_Sentiment!$A$2:$A$37,"-",0,1)</f>
        <v>2021-02</v>
      </c>
      <c r="E19" cm="1">
        <f t="array" ref="E19">IF($Q19&gt;=0,IFERROR(generateSalesData($D19, IF(ISNUMBER(_xlfn.XLOOKUP($C19,Phone_by_Sentiment!$B$2:$B$37,Phone_by_Sentiment!E$2:E$37,"",0,1)),_xlfn.XLOOKUP($C19,Phone_by_Sentiment!$B$2:$B$37,Phone_by_Sentiment!E$2:E$37,"",0,1),0),$A19-TEXT(DATEVALUE($D19&amp;"-01"), "dd-mm-yyyy")),0),0)</f>
        <v>0</v>
      </c>
      <c r="F19" cm="1">
        <f t="array" ref="F19">IF($Q19&gt;=0,IFERROR(generateSalesData($D19, IF(ISNUMBER(_xlfn.XLOOKUP($C19,Phone_by_Sentiment!$B$2:$B$37,Phone_by_Sentiment!F$2:F$37,"",0,1)),_xlfn.XLOOKUP($C19,Phone_by_Sentiment!$B$2:$B$37,Phone_by_Sentiment!F$2:F$37,"",0,1),0),$A19-TEXT(DATEVALUE($D19&amp;"-01"), "dd-mm-yyyy")),0),0)</f>
        <v>0</v>
      </c>
      <c r="G19" cm="1">
        <f t="array" ref="G19">IF($Q19&gt;=0,IFERROR(generateSalesData($D19, IF(ISNUMBER(_xlfn.XLOOKUP($C19,Phone_by_Sentiment!$B$2:$B$37,Phone_by_Sentiment!G$2:G$37,"",0,1)),_xlfn.XLOOKUP($C19,Phone_by_Sentiment!$B$2:$B$37,Phone_by_Sentiment!G$2:G$37,"",0,1),0),$A19-TEXT(DATEVALUE($D19&amp;"-01"), "dd-mm-yyyy")),0),0)</f>
        <v>0</v>
      </c>
      <c r="H19" cm="1">
        <f t="array" ref="H19">IF($Q19&gt;=0,IFERROR(generateSalesData($D19, IF(ISNUMBER(_xlfn.XLOOKUP($C19,Phone_by_Sentiment!$B$2:$B$37,Phone_by_Sentiment!H$2:H$37,"",0,1)),_xlfn.XLOOKUP($C19,Phone_by_Sentiment!$B$2:$B$37,Phone_by_Sentiment!H$2:H$37,"",0,1),0),$A19-TEXT(DATEVALUE($D19&amp;"-01"), "dd-mm-yyyy")),0),0)</f>
        <v>0</v>
      </c>
      <c r="I19" cm="1">
        <f t="array" ref="I19">IF($Q19&gt;=0,IFERROR(generateSalesData($D19, IF(ISNUMBER(_xlfn.XLOOKUP($C19,Phone_by_Sentiment!$B$2:$B$37,Phone_by_Sentiment!I$2:I$37,"",0,1)),_xlfn.XLOOKUP($C19,Phone_by_Sentiment!$B$2:$B$37,Phone_by_Sentiment!I$2:I$37,"",0,1),0),$A19-TEXT(DATEVALUE($D19&amp;"-01"), "dd-mm-yyyy")),0),0)</f>
        <v>0</v>
      </c>
      <c r="J19" cm="1">
        <f t="array" ref="J19">IF($Q19&gt;=0,IFERROR(generateSalesData($D19, IF(ISNUMBER(_xlfn.XLOOKUP($C19,Phone_by_Sentiment!$B$2:$B$37,Phone_by_Sentiment!J$2:J$37,"",0,1)),_xlfn.XLOOKUP($C19,Phone_by_Sentiment!$B$2:$B$37,Phone_by_Sentiment!J$2:J$37,"",0,1),0),$A19-TEXT(DATEVALUE($D19&amp;"-01"), "dd-mm-yyyy")),0),0)</f>
        <v>0</v>
      </c>
      <c r="K19" cm="1">
        <f t="array" ref="K19">IF($Q19&gt;=0,IFERROR(generateSalesData($D19, IF(ISNUMBER(_xlfn.XLOOKUP($C19,Phone_by_Sentiment!$B$2:$B$37,Phone_by_Sentiment!K$2:K$37,"",0,1)),_xlfn.XLOOKUP($C19,Phone_by_Sentiment!$B$2:$B$37,Phone_by_Sentiment!K$2:K$37,"",0,1),0),$A19-TEXT(DATEVALUE($D19&amp;"-01"), "dd-mm-yyyy")),0),0)</f>
        <v>0</v>
      </c>
      <c r="L19" cm="1">
        <f t="array" ref="L19">IF($Q19&gt;=0,IFERROR(generateSalesData($D19, IF(ISNUMBER(_xlfn.XLOOKUP($C19,Phone_by_Sentiment!$B$2:$B$37,Phone_by_Sentiment!L$2:L$37,"",0,1)),_xlfn.XLOOKUP($C19,Phone_by_Sentiment!$B$2:$B$37,Phone_by_Sentiment!L$2:L$37,"",0,1),0),$A19-TEXT(DATEVALUE($D19&amp;"-01"), "dd-mm-yyyy")),0),0)</f>
        <v>0</v>
      </c>
      <c r="M19" cm="1">
        <f t="array" ref="M19">IF($Q19&gt;=0,IFERROR(generateSalesData($D19, IF(ISNUMBER(_xlfn.XLOOKUP($C19,Phone_by_Sentiment!$B$2:$B$37,Phone_by_Sentiment!M$2:M$37,"",0,1)),_xlfn.XLOOKUP($C19,Phone_by_Sentiment!$B$2:$B$37,Phone_by_Sentiment!M$2:M$37,"",0,1),0),$A19-TEXT(DATEVALUE($D19&amp;"-01"), "dd-mm-yyyy")),0),0)</f>
        <v>0</v>
      </c>
      <c r="N19" cm="1">
        <f t="array" ref="N19">IF($Q19&gt;=0,IFERROR(generateSalesData($D19, IF(ISNUMBER(_xlfn.XLOOKUP($C19,Phone_by_Sentiment!$B$2:$B$37,Phone_by_Sentiment!N$2:N$37,"",0,1)),_xlfn.XLOOKUP($C19,Phone_by_Sentiment!$B$2:$B$37,Phone_by_Sentiment!N$2:N$37,"",0,1),0),$A19-TEXT(DATEVALUE($D19&amp;"-01"), "dd-mm-yyyy")),0),0)</f>
        <v>0</v>
      </c>
      <c r="O19" cm="1">
        <f t="array" ref="O19">IF($Q19&gt;=0,IFERROR(generateSalesData($D19, IF(ISNUMBER(_xlfn.XLOOKUP($C19,Phone_by_Sentiment!$B$2:$B$37,Phone_by_Sentiment!O$2:O$37,"",0,1)),_xlfn.XLOOKUP($C19,Phone_by_Sentiment!$B$2:$B$37,Phone_by_Sentiment!O$2:O$37,"",0,1),0),$A19-TEXT(DATEVALUE($D19&amp;"-01"), "dd-mm-yyyy")),0),0)</f>
        <v>0</v>
      </c>
      <c r="P19" s="1">
        <f t="shared" si="1"/>
        <v>44228</v>
      </c>
      <c r="Q19">
        <f t="shared" si="2"/>
        <v>-762</v>
      </c>
    </row>
    <row r="20" spans="1:17" x14ac:dyDescent="0.25">
      <c r="A20" s="1">
        <f t="shared" si="0"/>
        <v>43466</v>
      </c>
      <c r="B20" t="s">
        <v>159</v>
      </c>
      <c r="C20" t="str">
        <f>_xlfn.XLOOKUP(B20,Phone_by_Price!$A$2:$A$34,Phone_by_Price!$B$2:$B$34,"-",0,1)</f>
        <v>Realme C25</v>
      </c>
      <c r="D20" t="str">
        <f>_xlfn.XLOOKUP(C20,Phone_by_Sentiment!$B$2:$B$37,Phone_by_Sentiment!$A$2:$A$37,"-",0,1)</f>
        <v>2021-03</v>
      </c>
      <c r="E20" cm="1">
        <f t="array" ref="E20">IF($Q20&gt;=0,IFERROR(generateSalesData($D20, IF(ISNUMBER(_xlfn.XLOOKUP($C20,Phone_by_Sentiment!$B$2:$B$37,Phone_by_Sentiment!E$2:E$37,"",0,1)),_xlfn.XLOOKUP($C20,Phone_by_Sentiment!$B$2:$B$37,Phone_by_Sentiment!E$2:E$37,"",0,1),0),$A20-TEXT(DATEVALUE($D20&amp;"-01"), "dd-mm-yyyy")),0),0)</f>
        <v>0</v>
      </c>
      <c r="F20" cm="1">
        <f t="array" ref="F20">IF($Q20&gt;=0,IFERROR(generateSalesData($D20, IF(ISNUMBER(_xlfn.XLOOKUP($C20,Phone_by_Sentiment!$B$2:$B$37,Phone_by_Sentiment!F$2:F$37,"",0,1)),_xlfn.XLOOKUP($C20,Phone_by_Sentiment!$B$2:$B$37,Phone_by_Sentiment!F$2:F$37,"",0,1),0),$A20-TEXT(DATEVALUE($D20&amp;"-01"), "dd-mm-yyyy")),0),0)</f>
        <v>0</v>
      </c>
      <c r="G20" cm="1">
        <f t="array" ref="G20">IF($Q20&gt;=0,IFERROR(generateSalesData($D20, IF(ISNUMBER(_xlfn.XLOOKUP($C20,Phone_by_Sentiment!$B$2:$B$37,Phone_by_Sentiment!G$2:G$37,"",0,1)),_xlfn.XLOOKUP($C20,Phone_by_Sentiment!$B$2:$B$37,Phone_by_Sentiment!G$2:G$37,"",0,1),0),$A20-TEXT(DATEVALUE($D20&amp;"-01"), "dd-mm-yyyy")),0),0)</f>
        <v>0</v>
      </c>
      <c r="H20" cm="1">
        <f t="array" ref="H20">IF($Q20&gt;=0,IFERROR(generateSalesData($D20, IF(ISNUMBER(_xlfn.XLOOKUP($C20,Phone_by_Sentiment!$B$2:$B$37,Phone_by_Sentiment!H$2:H$37,"",0,1)),_xlfn.XLOOKUP($C20,Phone_by_Sentiment!$B$2:$B$37,Phone_by_Sentiment!H$2:H$37,"",0,1),0),$A20-TEXT(DATEVALUE($D20&amp;"-01"), "dd-mm-yyyy")),0),0)</f>
        <v>0</v>
      </c>
      <c r="I20" cm="1">
        <f t="array" ref="I20">IF($Q20&gt;=0,IFERROR(generateSalesData($D20, IF(ISNUMBER(_xlfn.XLOOKUP($C20,Phone_by_Sentiment!$B$2:$B$37,Phone_by_Sentiment!I$2:I$37,"",0,1)),_xlfn.XLOOKUP($C20,Phone_by_Sentiment!$B$2:$B$37,Phone_by_Sentiment!I$2:I$37,"",0,1),0),$A20-TEXT(DATEVALUE($D20&amp;"-01"), "dd-mm-yyyy")),0),0)</f>
        <v>0</v>
      </c>
      <c r="J20" cm="1">
        <f t="array" ref="J20">IF($Q20&gt;=0,IFERROR(generateSalesData($D20, IF(ISNUMBER(_xlfn.XLOOKUP($C20,Phone_by_Sentiment!$B$2:$B$37,Phone_by_Sentiment!J$2:J$37,"",0,1)),_xlfn.XLOOKUP($C20,Phone_by_Sentiment!$B$2:$B$37,Phone_by_Sentiment!J$2:J$37,"",0,1),0),$A20-TEXT(DATEVALUE($D20&amp;"-01"), "dd-mm-yyyy")),0),0)</f>
        <v>0</v>
      </c>
      <c r="K20" cm="1">
        <f t="array" ref="K20">IF($Q20&gt;=0,IFERROR(generateSalesData($D20, IF(ISNUMBER(_xlfn.XLOOKUP($C20,Phone_by_Sentiment!$B$2:$B$37,Phone_by_Sentiment!K$2:K$37,"",0,1)),_xlfn.XLOOKUP($C20,Phone_by_Sentiment!$B$2:$B$37,Phone_by_Sentiment!K$2:K$37,"",0,1),0),$A20-TEXT(DATEVALUE($D20&amp;"-01"), "dd-mm-yyyy")),0),0)</f>
        <v>0</v>
      </c>
      <c r="L20" cm="1">
        <f t="array" ref="L20">IF($Q20&gt;=0,IFERROR(generateSalesData($D20, IF(ISNUMBER(_xlfn.XLOOKUP($C20,Phone_by_Sentiment!$B$2:$B$37,Phone_by_Sentiment!L$2:L$37,"",0,1)),_xlfn.XLOOKUP($C20,Phone_by_Sentiment!$B$2:$B$37,Phone_by_Sentiment!L$2:L$37,"",0,1),0),$A20-TEXT(DATEVALUE($D20&amp;"-01"), "dd-mm-yyyy")),0),0)</f>
        <v>0</v>
      </c>
      <c r="M20" cm="1">
        <f t="array" ref="M20">IF($Q20&gt;=0,IFERROR(generateSalesData($D20, IF(ISNUMBER(_xlfn.XLOOKUP($C20,Phone_by_Sentiment!$B$2:$B$37,Phone_by_Sentiment!M$2:M$37,"",0,1)),_xlfn.XLOOKUP($C20,Phone_by_Sentiment!$B$2:$B$37,Phone_by_Sentiment!M$2:M$37,"",0,1),0),$A20-TEXT(DATEVALUE($D20&amp;"-01"), "dd-mm-yyyy")),0),0)</f>
        <v>0</v>
      </c>
      <c r="N20" cm="1">
        <f t="array" ref="N20">IF($Q20&gt;=0,IFERROR(generateSalesData($D20, IF(ISNUMBER(_xlfn.XLOOKUP($C20,Phone_by_Sentiment!$B$2:$B$37,Phone_by_Sentiment!N$2:N$37,"",0,1)),_xlfn.XLOOKUP($C20,Phone_by_Sentiment!$B$2:$B$37,Phone_by_Sentiment!N$2:N$37,"",0,1),0),$A20-TEXT(DATEVALUE($D20&amp;"-01"), "dd-mm-yyyy")),0),0)</f>
        <v>0</v>
      </c>
      <c r="O20" cm="1">
        <f t="array" ref="O20">IF($Q20&gt;=0,IFERROR(generateSalesData($D20, IF(ISNUMBER(_xlfn.XLOOKUP($C20,Phone_by_Sentiment!$B$2:$B$37,Phone_by_Sentiment!O$2:O$37,"",0,1)),_xlfn.XLOOKUP($C20,Phone_by_Sentiment!$B$2:$B$37,Phone_by_Sentiment!O$2:O$37,"",0,1),0),$A20-TEXT(DATEVALUE($D20&amp;"-01"), "dd-mm-yyyy")),0),0)</f>
        <v>0</v>
      </c>
      <c r="P20" s="1">
        <f t="shared" si="1"/>
        <v>44256</v>
      </c>
      <c r="Q20">
        <f t="shared" si="2"/>
        <v>-790</v>
      </c>
    </row>
    <row r="21" spans="1:17" x14ac:dyDescent="0.25">
      <c r="A21" s="1">
        <f t="shared" si="0"/>
        <v>43466</v>
      </c>
      <c r="B21" t="s">
        <v>160</v>
      </c>
      <c r="C21" t="str">
        <f>_xlfn.XLOOKUP(B21,Phone_by_Price!$A$2:$A$34,Phone_by_Price!$B$2:$B$34,"-",0,1)</f>
        <v>Xiaomi Poco X3 Pro</v>
      </c>
      <c r="D21" t="str">
        <f>_xlfn.XLOOKUP(C21,Phone_by_Sentiment!$B$2:$B$37,Phone_by_Sentiment!$A$2:$A$37,"-",0,1)</f>
        <v>2021-05</v>
      </c>
      <c r="E21" cm="1">
        <f t="array" ref="E21">IF($Q21&gt;=0,IFERROR(generateSalesData($D21, IF(ISNUMBER(_xlfn.XLOOKUP($C21,Phone_by_Sentiment!$B$2:$B$37,Phone_by_Sentiment!E$2:E$37,"",0,1)),_xlfn.XLOOKUP($C21,Phone_by_Sentiment!$B$2:$B$37,Phone_by_Sentiment!E$2:E$37,"",0,1),0),$A21-TEXT(DATEVALUE($D21&amp;"-01"), "dd-mm-yyyy")),0),0)</f>
        <v>0</v>
      </c>
      <c r="F21" cm="1">
        <f t="array" ref="F21">IF($Q21&gt;=0,IFERROR(generateSalesData($D21, IF(ISNUMBER(_xlfn.XLOOKUP($C21,Phone_by_Sentiment!$B$2:$B$37,Phone_by_Sentiment!F$2:F$37,"",0,1)),_xlfn.XLOOKUP($C21,Phone_by_Sentiment!$B$2:$B$37,Phone_by_Sentiment!F$2:F$37,"",0,1),0),$A21-TEXT(DATEVALUE($D21&amp;"-01"), "dd-mm-yyyy")),0),0)</f>
        <v>0</v>
      </c>
      <c r="G21" cm="1">
        <f t="array" ref="G21">IF($Q21&gt;=0,IFERROR(generateSalesData($D21, IF(ISNUMBER(_xlfn.XLOOKUP($C21,Phone_by_Sentiment!$B$2:$B$37,Phone_by_Sentiment!G$2:G$37,"",0,1)),_xlfn.XLOOKUP($C21,Phone_by_Sentiment!$B$2:$B$37,Phone_by_Sentiment!G$2:G$37,"",0,1),0),$A21-TEXT(DATEVALUE($D21&amp;"-01"), "dd-mm-yyyy")),0),0)</f>
        <v>0</v>
      </c>
      <c r="H21" cm="1">
        <f t="array" ref="H21">IF($Q21&gt;=0,IFERROR(generateSalesData($D21, IF(ISNUMBER(_xlfn.XLOOKUP($C21,Phone_by_Sentiment!$B$2:$B$37,Phone_by_Sentiment!H$2:H$37,"",0,1)),_xlfn.XLOOKUP($C21,Phone_by_Sentiment!$B$2:$B$37,Phone_by_Sentiment!H$2:H$37,"",0,1),0),$A21-TEXT(DATEVALUE($D21&amp;"-01"), "dd-mm-yyyy")),0),0)</f>
        <v>0</v>
      </c>
      <c r="I21" cm="1">
        <f t="array" ref="I21">IF($Q21&gt;=0,IFERROR(generateSalesData($D21, IF(ISNUMBER(_xlfn.XLOOKUP($C21,Phone_by_Sentiment!$B$2:$B$37,Phone_by_Sentiment!I$2:I$37,"",0,1)),_xlfn.XLOOKUP($C21,Phone_by_Sentiment!$B$2:$B$37,Phone_by_Sentiment!I$2:I$37,"",0,1),0),$A21-TEXT(DATEVALUE($D21&amp;"-01"), "dd-mm-yyyy")),0),0)</f>
        <v>0</v>
      </c>
      <c r="J21" cm="1">
        <f t="array" ref="J21">IF($Q21&gt;=0,IFERROR(generateSalesData($D21, IF(ISNUMBER(_xlfn.XLOOKUP($C21,Phone_by_Sentiment!$B$2:$B$37,Phone_by_Sentiment!J$2:J$37,"",0,1)),_xlfn.XLOOKUP($C21,Phone_by_Sentiment!$B$2:$B$37,Phone_by_Sentiment!J$2:J$37,"",0,1),0),$A21-TEXT(DATEVALUE($D21&amp;"-01"), "dd-mm-yyyy")),0),0)</f>
        <v>0</v>
      </c>
      <c r="K21" cm="1">
        <f t="array" ref="K21">IF($Q21&gt;=0,IFERROR(generateSalesData($D21, IF(ISNUMBER(_xlfn.XLOOKUP($C21,Phone_by_Sentiment!$B$2:$B$37,Phone_by_Sentiment!K$2:K$37,"",0,1)),_xlfn.XLOOKUP($C21,Phone_by_Sentiment!$B$2:$B$37,Phone_by_Sentiment!K$2:K$37,"",0,1),0),$A21-TEXT(DATEVALUE($D21&amp;"-01"), "dd-mm-yyyy")),0),0)</f>
        <v>0</v>
      </c>
      <c r="L21" cm="1">
        <f t="array" ref="L21">IF($Q21&gt;=0,IFERROR(generateSalesData($D21, IF(ISNUMBER(_xlfn.XLOOKUP($C21,Phone_by_Sentiment!$B$2:$B$37,Phone_by_Sentiment!L$2:L$37,"",0,1)),_xlfn.XLOOKUP($C21,Phone_by_Sentiment!$B$2:$B$37,Phone_by_Sentiment!L$2:L$37,"",0,1),0),$A21-TEXT(DATEVALUE($D21&amp;"-01"), "dd-mm-yyyy")),0),0)</f>
        <v>0</v>
      </c>
      <c r="M21" cm="1">
        <f t="array" ref="M21">IF($Q21&gt;=0,IFERROR(generateSalesData($D21, IF(ISNUMBER(_xlfn.XLOOKUP($C21,Phone_by_Sentiment!$B$2:$B$37,Phone_by_Sentiment!M$2:M$37,"",0,1)),_xlfn.XLOOKUP($C21,Phone_by_Sentiment!$B$2:$B$37,Phone_by_Sentiment!M$2:M$37,"",0,1),0),$A21-TEXT(DATEVALUE($D21&amp;"-01"), "dd-mm-yyyy")),0),0)</f>
        <v>0</v>
      </c>
      <c r="N21" cm="1">
        <f t="array" ref="N21">IF($Q21&gt;=0,IFERROR(generateSalesData($D21, IF(ISNUMBER(_xlfn.XLOOKUP($C21,Phone_by_Sentiment!$B$2:$B$37,Phone_by_Sentiment!N$2:N$37,"",0,1)),_xlfn.XLOOKUP($C21,Phone_by_Sentiment!$B$2:$B$37,Phone_by_Sentiment!N$2:N$37,"",0,1),0),$A21-TEXT(DATEVALUE($D21&amp;"-01"), "dd-mm-yyyy")),0),0)</f>
        <v>0</v>
      </c>
      <c r="O21" cm="1">
        <f t="array" ref="O21">IF($Q21&gt;=0,IFERROR(generateSalesData($D21, IF(ISNUMBER(_xlfn.XLOOKUP($C21,Phone_by_Sentiment!$B$2:$B$37,Phone_by_Sentiment!O$2:O$37,"",0,1)),_xlfn.XLOOKUP($C21,Phone_by_Sentiment!$B$2:$B$37,Phone_by_Sentiment!O$2:O$37,"",0,1),0),$A21-TEXT(DATEVALUE($D21&amp;"-01"), "dd-mm-yyyy")),0),0)</f>
        <v>0</v>
      </c>
      <c r="P21" s="1">
        <f t="shared" si="1"/>
        <v>44317</v>
      </c>
      <c r="Q21">
        <f t="shared" si="2"/>
        <v>-851</v>
      </c>
    </row>
    <row r="22" spans="1:17" x14ac:dyDescent="0.25">
      <c r="A22" s="1">
        <f t="shared" si="0"/>
        <v>43466</v>
      </c>
      <c r="B22" t="s">
        <v>161</v>
      </c>
      <c r="C22" t="str">
        <f>_xlfn.XLOOKUP(B22,Phone_by_Price!$A$2:$A$34,Phone_by_Price!$B$2:$B$34,"-",0,1)</f>
        <v>Samsung Galaxy Z Flip 3</v>
      </c>
      <c r="D22" t="str">
        <f>_xlfn.XLOOKUP(C22,Phone_by_Sentiment!$B$2:$B$37,Phone_by_Sentiment!$A$2:$A$37,"-",0,1)</f>
        <v>2021-09</v>
      </c>
      <c r="E22" cm="1">
        <f t="array" ref="E22">IF($Q22&gt;=0,IFERROR(generateSalesData($D22, IF(ISNUMBER(_xlfn.XLOOKUP($C22,Phone_by_Sentiment!$B$2:$B$37,Phone_by_Sentiment!E$2:E$37,"",0,1)),_xlfn.XLOOKUP($C22,Phone_by_Sentiment!$B$2:$B$37,Phone_by_Sentiment!E$2:E$37,"",0,1),0),$A22-TEXT(DATEVALUE($D22&amp;"-01"), "dd-mm-yyyy")),0),0)</f>
        <v>0</v>
      </c>
      <c r="F22" cm="1">
        <f t="array" ref="F22">IF($Q22&gt;=0,IFERROR(generateSalesData($D22, IF(ISNUMBER(_xlfn.XLOOKUP($C22,Phone_by_Sentiment!$B$2:$B$37,Phone_by_Sentiment!F$2:F$37,"",0,1)),_xlfn.XLOOKUP($C22,Phone_by_Sentiment!$B$2:$B$37,Phone_by_Sentiment!F$2:F$37,"",0,1),0),$A22-TEXT(DATEVALUE($D22&amp;"-01"), "dd-mm-yyyy")),0),0)</f>
        <v>0</v>
      </c>
      <c r="G22" cm="1">
        <f t="array" ref="G22">IF($Q22&gt;=0,IFERROR(generateSalesData($D22, IF(ISNUMBER(_xlfn.XLOOKUP($C22,Phone_by_Sentiment!$B$2:$B$37,Phone_by_Sentiment!G$2:G$37,"",0,1)),_xlfn.XLOOKUP($C22,Phone_by_Sentiment!$B$2:$B$37,Phone_by_Sentiment!G$2:G$37,"",0,1),0),$A22-TEXT(DATEVALUE($D22&amp;"-01"), "dd-mm-yyyy")),0),0)</f>
        <v>0</v>
      </c>
      <c r="H22" cm="1">
        <f t="array" ref="H22">IF($Q22&gt;=0,IFERROR(generateSalesData($D22, IF(ISNUMBER(_xlfn.XLOOKUP($C22,Phone_by_Sentiment!$B$2:$B$37,Phone_by_Sentiment!H$2:H$37,"",0,1)),_xlfn.XLOOKUP($C22,Phone_by_Sentiment!$B$2:$B$37,Phone_by_Sentiment!H$2:H$37,"",0,1),0),$A22-TEXT(DATEVALUE($D22&amp;"-01"), "dd-mm-yyyy")),0),0)</f>
        <v>0</v>
      </c>
      <c r="I22" cm="1">
        <f t="array" ref="I22">IF($Q22&gt;=0,IFERROR(generateSalesData($D22, IF(ISNUMBER(_xlfn.XLOOKUP($C22,Phone_by_Sentiment!$B$2:$B$37,Phone_by_Sentiment!I$2:I$37,"",0,1)),_xlfn.XLOOKUP($C22,Phone_by_Sentiment!$B$2:$B$37,Phone_by_Sentiment!I$2:I$37,"",0,1),0),$A22-TEXT(DATEVALUE($D22&amp;"-01"), "dd-mm-yyyy")),0),0)</f>
        <v>0</v>
      </c>
      <c r="J22" cm="1">
        <f t="array" ref="J22">IF($Q22&gt;=0,IFERROR(generateSalesData($D22, IF(ISNUMBER(_xlfn.XLOOKUP($C22,Phone_by_Sentiment!$B$2:$B$37,Phone_by_Sentiment!J$2:J$37,"",0,1)),_xlfn.XLOOKUP($C22,Phone_by_Sentiment!$B$2:$B$37,Phone_by_Sentiment!J$2:J$37,"",0,1),0),$A22-TEXT(DATEVALUE($D22&amp;"-01"), "dd-mm-yyyy")),0),0)</f>
        <v>0</v>
      </c>
      <c r="K22" cm="1">
        <f t="array" ref="K22">IF($Q22&gt;=0,IFERROR(generateSalesData($D22, IF(ISNUMBER(_xlfn.XLOOKUP($C22,Phone_by_Sentiment!$B$2:$B$37,Phone_by_Sentiment!K$2:K$37,"",0,1)),_xlfn.XLOOKUP($C22,Phone_by_Sentiment!$B$2:$B$37,Phone_by_Sentiment!K$2:K$37,"",0,1),0),$A22-TEXT(DATEVALUE($D22&amp;"-01"), "dd-mm-yyyy")),0),0)</f>
        <v>0</v>
      </c>
      <c r="L22" cm="1">
        <f t="array" ref="L22">IF($Q22&gt;=0,IFERROR(generateSalesData($D22, IF(ISNUMBER(_xlfn.XLOOKUP($C22,Phone_by_Sentiment!$B$2:$B$37,Phone_by_Sentiment!L$2:L$37,"",0,1)),_xlfn.XLOOKUP($C22,Phone_by_Sentiment!$B$2:$B$37,Phone_by_Sentiment!L$2:L$37,"",0,1),0),$A22-TEXT(DATEVALUE($D22&amp;"-01"), "dd-mm-yyyy")),0),0)</f>
        <v>0</v>
      </c>
      <c r="M22" cm="1">
        <f t="array" ref="M22">IF($Q22&gt;=0,IFERROR(generateSalesData($D22, IF(ISNUMBER(_xlfn.XLOOKUP($C22,Phone_by_Sentiment!$B$2:$B$37,Phone_by_Sentiment!M$2:M$37,"",0,1)),_xlfn.XLOOKUP($C22,Phone_by_Sentiment!$B$2:$B$37,Phone_by_Sentiment!M$2:M$37,"",0,1),0),$A22-TEXT(DATEVALUE($D22&amp;"-01"), "dd-mm-yyyy")),0),0)</f>
        <v>0</v>
      </c>
      <c r="N22" cm="1">
        <f t="array" ref="N22">IF($Q22&gt;=0,IFERROR(generateSalesData($D22, IF(ISNUMBER(_xlfn.XLOOKUP($C22,Phone_by_Sentiment!$B$2:$B$37,Phone_by_Sentiment!N$2:N$37,"",0,1)),_xlfn.XLOOKUP($C22,Phone_by_Sentiment!$B$2:$B$37,Phone_by_Sentiment!N$2:N$37,"",0,1),0),$A22-TEXT(DATEVALUE($D22&amp;"-01"), "dd-mm-yyyy")),0),0)</f>
        <v>0</v>
      </c>
      <c r="O22" cm="1">
        <f t="array" ref="O22">IF($Q22&gt;=0,IFERROR(generateSalesData($D22, IF(ISNUMBER(_xlfn.XLOOKUP($C22,Phone_by_Sentiment!$B$2:$B$37,Phone_by_Sentiment!O$2:O$37,"",0,1)),_xlfn.XLOOKUP($C22,Phone_by_Sentiment!$B$2:$B$37,Phone_by_Sentiment!O$2:O$37,"",0,1),0),$A22-TEXT(DATEVALUE($D22&amp;"-01"), "dd-mm-yyyy")),0),0)</f>
        <v>0</v>
      </c>
      <c r="P22" s="1">
        <f t="shared" si="1"/>
        <v>44440</v>
      </c>
      <c r="Q22">
        <f t="shared" si="2"/>
        <v>-974</v>
      </c>
    </row>
    <row r="23" spans="1:17" x14ac:dyDescent="0.25">
      <c r="A23" s="1">
        <f t="shared" si="0"/>
        <v>43466</v>
      </c>
      <c r="B23" t="s">
        <v>162</v>
      </c>
      <c r="C23" t="str">
        <f>_xlfn.XLOOKUP(B23,Phone_by_Price!$A$2:$A$34,Phone_by_Price!$B$2:$B$34,"-",0,1)</f>
        <v>Xiaomi Poco X3 NFC</v>
      </c>
      <c r="D23" t="str">
        <f>_xlfn.XLOOKUP(C23,Phone_by_Sentiment!$B$2:$B$37,Phone_by_Sentiment!$A$2:$A$37,"-",0,1)</f>
        <v>2020-08</v>
      </c>
      <c r="E23" cm="1">
        <f t="array" ref="E23">IF($Q23&gt;=0,IFERROR(generateSalesData($D23, IF(ISNUMBER(_xlfn.XLOOKUP($C23,Phone_by_Sentiment!$B$2:$B$37,Phone_by_Sentiment!E$2:E$37,"",0,1)),_xlfn.XLOOKUP($C23,Phone_by_Sentiment!$B$2:$B$37,Phone_by_Sentiment!E$2:E$37,"",0,1),0),$A23-TEXT(DATEVALUE($D23&amp;"-01"), "dd-mm-yyyy")),0),0)</f>
        <v>0</v>
      </c>
      <c r="F23" cm="1">
        <f t="array" ref="F23">IF($Q23&gt;=0,IFERROR(generateSalesData($D23, IF(ISNUMBER(_xlfn.XLOOKUP($C23,Phone_by_Sentiment!$B$2:$B$37,Phone_by_Sentiment!F$2:F$37,"",0,1)),_xlfn.XLOOKUP($C23,Phone_by_Sentiment!$B$2:$B$37,Phone_by_Sentiment!F$2:F$37,"",0,1),0),$A23-TEXT(DATEVALUE($D23&amp;"-01"), "dd-mm-yyyy")),0),0)</f>
        <v>0</v>
      </c>
      <c r="G23" cm="1">
        <f t="array" ref="G23">IF($Q23&gt;=0,IFERROR(generateSalesData($D23, IF(ISNUMBER(_xlfn.XLOOKUP($C23,Phone_by_Sentiment!$B$2:$B$37,Phone_by_Sentiment!G$2:G$37,"",0,1)),_xlfn.XLOOKUP($C23,Phone_by_Sentiment!$B$2:$B$37,Phone_by_Sentiment!G$2:G$37,"",0,1),0),$A23-TEXT(DATEVALUE($D23&amp;"-01"), "dd-mm-yyyy")),0),0)</f>
        <v>0</v>
      </c>
      <c r="H23" cm="1">
        <f t="array" ref="H23">IF($Q23&gt;=0,IFERROR(generateSalesData($D23, IF(ISNUMBER(_xlfn.XLOOKUP($C23,Phone_by_Sentiment!$B$2:$B$37,Phone_by_Sentiment!H$2:H$37,"",0,1)),_xlfn.XLOOKUP($C23,Phone_by_Sentiment!$B$2:$B$37,Phone_by_Sentiment!H$2:H$37,"",0,1),0),$A23-TEXT(DATEVALUE($D23&amp;"-01"), "dd-mm-yyyy")),0),0)</f>
        <v>0</v>
      </c>
      <c r="I23" cm="1">
        <f t="array" ref="I23">IF($Q23&gt;=0,IFERROR(generateSalesData($D23, IF(ISNUMBER(_xlfn.XLOOKUP($C23,Phone_by_Sentiment!$B$2:$B$37,Phone_by_Sentiment!I$2:I$37,"",0,1)),_xlfn.XLOOKUP($C23,Phone_by_Sentiment!$B$2:$B$37,Phone_by_Sentiment!I$2:I$37,"",0,1),0),$A23-TEXT(DATEVALUE($D23&amp;"-01"), "dd-mm-yyyy")),0),0)</f>
        <v>0</v>
      </c>
      <c r="J23" cm="1">
        <f t="array" ref="J23">IF($Q23&gt;=0,IFERROR(generateSalesData($D23, IF(ISNUMBER(_xlfn.XLOOKUP($C23,Phone_by_Sentiment!$B$2:$B$37,Phone_by_Sentiment!J$2:J$37,"",0,1)),_xlfn.XLOOKUP($C23,Phone_by_Sentiment!$B$2:$B$37,Phone_by_Sentiment!J$2:J$37,"",0,1),0),$A23-TEXT(DATEVALUE($D23&amp;"-01"), "dd-mm-yyyy")),0),0)</f>
        <v>0</v>
      </c>
      <c r="K23" cm="1">
        <f t="array" ref="K23">IF($Q23&gt;=0,IFERROR(generateSalesData($D23, IF(ISNUMBER(_xlfn.XLOOKUP($C23,Phone_by_Sentiment!$B$2:$B$37,Phone_by_Sentiment!K$2:K$37,"",0,1)),_xlfn.XLOOKUP($C23,Phone_by_Sentiment!$B$2:$B$37,Phone_by_Sentiment!K$2:K$37,"",0,1),0),$A23-TEXT(DATEVALUE($D23&amp;"-01"), "dd-mm-yyyy")),0),0)</f>
        <v>0</v>
      </c>
      <c r="L23" cm="1">
        <f t="array" ref="L23">IF($Q23&gt;=0,IFERROR(generateSalesData($D23, IF(ISNUMBER(_xlfn.XLOOKUP($C23,Phone_by_Sentiment!$B$2:$B$37,Phone_by_Sentiment!L$2:L$37,"",0,1)),_xlfn.XLOOKUP($C23,Phone_by_Sentiment!$B$2:$B$37,Phone_by_Sentiment!L$2:L$37,"",0,1),0),$A23-TEXT(DATEVALUE($D23&amp;"-01"), "dd-mm-yyyy")),0),0)</f>
        <v>0</v>
      </c>
      <c r="M23" cm="1">
        <f t="array" ref="M23">IF($Q23&gt;=0,IFERROR(generateSalesData($D23, IF(ISNUMBER(_xlfn.XLOOKUP($C23,Phone_by_Sentiment!$B$2:$B$37,Phone_by_Sentiment!M$2:M$37,"",0,1)),_xlfn.XLOOKUP($C23,Phone_by_Sentiment!$B$2:$B$37,Phone_by_Sentiment!M$2:M$37,"",0,1),0),$A23-TEXT(DATEVALUE($D23&amp;"-01"), "dd-mm-yyyy")),0),0)</f>
        <v>0</v>
      </c>
      <c r="N23" cm="1">
        <f t="array" ref="N23">IF($Q23&gt;=0,IFERROR(generateSalesData($D23, IF(ISNUMBER(_xlfn.XLOOKUP($C23,Phone_by_Sentiment!$B$2:$B$37,Phone_by_Sentiment!N$2:N$37,"",0,1)),_xlfn.XLOOKUP($C23,Phone_by_Sentiment!$B$2:$B$37,Phone_by_Sentiment!N$2:N$37,"",0,1),0),$A23-TEXT(DATEVALUE($D23&amp;"-01"), "dd-mm-yyyy")),0),0)</f>
        <v>0</v>
      </c>
      <c r="O23" cm="1">
        <f t="array" ref="O23">IF($Q23&gt;=0,IFERROR(generateSalesData($D23, IF(ISNUMBER(_xlfn.XLOOKUP($C23,Phone_by_Sentiment!$B$2:$B$37,Phone_by_Sentiment!O$2:O$37,"",0,1)),_xlfn.XLOOKUP($C23,Phone_by_Sentiment!$B$2:$B$37,Phone_by_Sentiment!O$2:O$37,"",0,1),0),$A23-TEXT(DATEVALUE($D23&amp;"-01"), "dd-mm-yyyy")),0),0)</f>
        <v>0</v>
      </c>
      <c r="P23" s="1">
        <f t="shared" si="1"/>
        <v>44044</v>
      </c>
      <c r="Q23">
        <f t="shared" si="2"/>
        <v>-578</v>
      </c>
    </row>
    <row r="24" spans="1:17" x14ac:dyDescent="0.25">
      <c r="A24" s="1">
        <f t="shared" si="0"/>
        <v>43466</v>
      </c>
      <c r="B24" t="s">
        <v>163</v>
      </c>
      <c r="C24" t="str">
        <f>_xlfn.XLOOKUP(B24,Phone_by_Price!$A$2:$A$34,Phone_by_Price!$B$2:$B$34,"-",0,1)</f>
        <v>OPPO A93</v>
      </c>
      <c r="D24" t="str">
        <f>_xlfn.XLOOKUP(C24,Phone_by_Sentiment!$B$2:$B$37,Phone_by_Sentiment!$A$2:$A$37,"-",0,1)</f>
        <v>2021-02</v>
      </c>
      <c r="E24" cm="1">
        <f t="array" ref="E24">IF($Q24&gt;=0,IFERROR(generateSalesData($D24, IF(ISNUMBER(_xlfn.XLOOKUP($C24,Phone_by_Sentiment!$B$2:$B$37,Phone_by_Sentiment!E$2:E$37,"",0,1)),_xlfn.XLOOKUP($C24,Phone_by_Sentiment!$B$2:$B$37,Phone_by_Sentiment!E$2:E$37,"",0,1),0),$A24-TEXT(DATEVALUE($D24&amp;"-01"), "dd-mm-yyyy")),0),0)</f>
        <v>0</v>
      </c>
      <c r="F24" cm="1">
        <f t="array" ref="F24">IF($Q24&gt;=0,IFERROR(generateSalesData($D24, IF(ISNUMBER(_xlfn.XLOOKUP($C24,Phone_by_Sentiment!$B$2:$B$37,Phone_by_Sentiment!F$2:F$37,"",0,1)),_xlfn.XLOOKUP($C24,Phone_by_Sentiment!$B$2:$B$37,Phone_by_Sentiment!F$2:F$37,"",0,1),0),$A24-TEXT(DATEVALUE($D24&amp;"-01"), "dd-mm-yyyy")),0),0)</f>
        <v>0</v>
      </c>
      <c r="G24" cm="1">
        <f t="array" ref="G24">IF($Q24&gt;=0,IFERROR(generateSalesData($D24, IF(ISNUMBER(_xlfn.XLOOKUP($C24,Phone_by_Sentiment!$B$2:$B$37,Phone_by_Sentiment!G$2:G$37,"",0,1)),_xlfn.XLOOKUP($C24,Phone_by_Sentiment!$B$2:$B$37,Phone_by_Sentiment!G$2:G$37,"",0,1),0),$A24-TEXT(DATEVALUE($D24&amp;"-01"), "dd-mm-yyyy")),0),0)</f>
        <v>0</v>
      </c>
      <c r="H24" cm="1">
        <f t="array" ref="H24">IF($Q24&gt;=0,IFERROR(generateSalesData($D24, IF(ISNUMBER(_xlfn.XLOOKUP($C24,Phone_by_Sentiment!$B$2:$B$37,Phone_by_Sentiment!H$2:H$37,"",0,1)),_xlfn.XLOOKUP($C24,Phone_by_Sentiment!$B$2:$B$37,Phone_by_Sentiment!H$2:H$37,"",0,1),0),$A24-TEXT(DATEVALUE($D24&amp;"-01"), "dd-mm-yyyy")),0),0)</f>
        <v>0</v>
      </c>
      <c r="I24" cm="1">
        <f t="array" ref="I24">IF($Q24&gt;=0,IFERROR(generateSalesData($D24, IF(ISNUMBER(_xlfn.XLOOKUP($C24,Phone_by_Sentiment!$B$2:$B$37,Phone_by_Sentiment!I$2:I$37,"",0,1)),_xlfn.XLOOKUP($C24,Phone_by_Sentiment!$B$2:$B$37,Phone_by_Sentiment!I$2:I$37,"",0,1),0),$A24-TEXT(DATEVALUE($D24&amp;"-01"), "dd-mm-yyyy")),0),0)</f>
        <v>0</v>
      </c>
      <c r="J24" cm="1">
        <f t="array" ref="J24">IF($Q24&gt;=0,IFERROR(generateSalesData($D24, IF(ISNUMBER(_xlfn.XLOOKUP($C24,Phone_by_Sentiment!$B$2:$B$37,Phone_by_Sentiment!J$2:J$37,"",0,1)),_xlfn.XLOOKUP($C24,Phone_by_Sentiment!$B$2:$B$37,Phone_by_Sentiment!J$2:J$37,"",0,1),0),$A24-TEXT(DATEVALUE($D24&amp;"-01"), "dd-mm-yyyy")),0),0)</f>
        <v>0</v>
      </c>
      <c r="K24" cm="1">
        <f t="array" ref="K24">IF($Q24&gt;=0,IFERROR(generateSalesData($D24, IF(ISNUMBER(_xlfn.XLOOKUP($C24,Phone_by_Sentiment!$B$2:$B$37,Phone_by_Sentiment!K$2:K$37,"",0,1)),_xlfn.XLOOKUP($C24,Phone_by_Sentiment!$B$2:$B$37,Phone_by_Sentiment!K$2:K$37,"",0,1),0),$A24-TEXT(DATEVALUE($D24&amp;"-01"), "dd-mm-yyyy")),0),0)</f>
        <v>0</v>
      </c>
      <c r="L24" cm="1">
        <f t="array" ref="L24">IF($Q24&gt;=0,IFERROR(generateSalesData($D24, IF(ISNUMBER(_xlfn.XLOOKUP($C24,Phone_by_Sentiment!$B$2:$B$37,Phone_by_Sentiment!L$2:L$37,"",0,1)),_xlfn.XLOOKUP($C24,Phone_by_Sentiment!$B$2:$B$37,Phone_by_Sentiment!L$2:L$37,"",0,1),0),$A24-TEXT(DATEVALUE($D24&amp;"-01"), "dd-mm-yyyy")),0),0)</f>
        <v>0</v>
      </c>
      <c r="M24" cm="1">
        <f t="array" ref="M24">IF($Q24&gt;=0,IFERROR(generateSalesData($D24, IF(ISNUMBER(_xlfn.XLOOKUP($C24,Phone_by_Sentiment!$B$2:$B$37,Phone_by_Sentiment!M$2:M$37,"",0,1)),_xlfn.XLOOKUP($C24,Phone_by_Sentiment!$B$2:$B$37,Phone_by_Sentiment!M$2:M$37,"",0,1),0),$A24-TEXT(DATEVALUE($D24&amp;"-01"), "dd-mm-yyyy")),0),0)</f>
        <v>0</v>
      </c>
      <c r="N24" cm="1">
        <f t="array" ref="N24">IF($Q24&gt;=0,IFERROR(generateSalesData($D24, IF(ISNUMBER(_xlfn.XLOOKUP($C24,Phone_by_Sentiment!$B$2:$B$37,Phone_by_Sentiment!N$2:N$37,"",0,1)),_xlfn.XLOOKUP($C24,Phone_by_Sentiment!$B$2:$B$37,Phone_by_Sentiment!N$2:N$37,"",0,1),0),$A24-TEXT(DATEVALUE($D24&amp;"-01"), "dd-mm-yyyy")),0),0)</f>
        <v>0</v>
      </c>
      <c r="O24" cm="1">
        <f t="array" ref="O24">IF($Q24&gt;=0,IFERROR(generateSalesData($D24, IF(ISNUMBER(_xlfn.XLOOKUP($C24,Phone_by_Sentiment!$B$2:$B$37,Phone_by_Sentiment!O$2:O$37,"",0,1)),_xlfn.XLOOKUP($C24,Phone_by_Sentiment!$B$2:$B$37,Phone_by_Sentiment!O$2:O$37,"",0,1),0),$A24-TEXT(DATEVALUE($D24&amp;"-01"), "dd-mm-yyyy")),0),0)</f>
        <v>0</v>
      </c>
      <c r="P24" s="1">
        <f t="shared" si="1"/>
        <v>44228</v>
      </c>
      <c r="Q24">
        <f t="shared" si="2"/>
        <v>-762</v>
      </c>
    </row>
    <row r="25" spans="1:17" x14ac:dyDescent="0.25">
      <c r="A25" s="1">
        <f t="shared" si="0"/>
        <v>43466</v>
      </c>
      <c r="B25" t="s">
        <v>164</v>
      </c>
      <c r="C25" t="str">
        <f>_xlfn.XLOOKUP(B25,Phone_by_Price!$A$2:$A$34,Phone_by_Price!$B$2:$B$34,"-",0,1)</f>
        <v>Vivo V20</v>
      </c>
      <c r="D25" t="str">
        <f>_xlfn.XLOOKUP(C25,Phone_by_Sentiment!$B$2:$B$37,Phone_by_Sentiment!$A$2:$A$37,"-",0,1)</f>
        <v>2020-10</v>
      </c>
      <c r="E25" cm="1">
        <f t="array" ref="E25">IF($Q25&gt;=0,IFERROR(generateSalesData($D25, IF(ISNUMBER(_xlfn.XLOOKUP($C25,Phone_by_Sentiment!$B$2:$B$37,Phone_by_Sentiment!E$2:E$37,"",0,1)),_xlfn.XLOOKUP($C25,Phone_by_Sentiment!$B$2:$B$37,Phone_by_Sentiment!E$2:E$37,"",0,1),0),$A25-TEXT(DATEVALUE($D25&amp;"-01"), "dd-mm-yyyy")),0),0)</f>
        <v>0</v>
      </c>
      <c r="F25" cm="1">
        <f t="array" ref="F25">IF($Q25&gt;=0,IFERROR(generateSalesData($D25, IF(ISNUMBER(_xlfn.XLOOKUP($C25,Phone_by_Sentiment!$B$2:$B$37,Phone_by_Sentiment!F$2:F$37,"",0,1)),_xlfn.XLOOKUP($C25,Phone_by_Sentiment!$B$2:$B$37,Phone_by_Sentiment!F$2:F$37,"",0,1),0),$A25-TEXT(DATEVALUE($D25&amp;"-01"), "dd-mm-yyyy")),0),0)</f>
        <v>0</v>
      </c>
      <c r="G25" cm="1">
        <f t="array" ref="G25">IF($Q25&gt;=0,IFERROR(generateSalesData($D25, IF(ISNUMBER(_xlfn.XLOOKUP($C25,Phone_by_Sentiment!$B$2:$B$37,Phone_by_Sentiment!G$2:G$37,"",0,1)),_xlfn.XLOOKUP($C25,Phone_by_Sentiment!$B$2:$B$37,Phone_by_Sentiment!G$2:G$37,"",0,1),0),$A25-TEXT(DATEVALUE($D25&amp;"-01"), "dd-mm-yyyy")),0),0)</f>
        <v>0</v>
      </c>
      <c r="H25" cm="1">
        <f t="array" ref="H25">IF($Q25&gt;=0,IFERROR(generateSalesData($D25, IF(ISNUMBER(_xlfn.XLOOKUP($C25,Phone_by_Sentiment!$B$2:$B$37,Phone_by_Sentiment!H$2:H$37,"",0,1)),_xlfn.XLOOKUP($C25,Phone_by_Sentiment!$B$2:$B$37,Phone_by_Sentiment!H$2:H$37,"",0,1),0),$A25-TEXT(DATEVALUE($D25&amp;"-01"), "dd-mm-yyyy")),0),0)</f>
        <v>0</v>
      </c>
      <c r="I25" cm="1">
        <f t="array" ref="I25">IF($Q25&gt;=0,IFERROR(generateSalesData($D25, IF(ISNUMBER(_xlfn.XLOOKUP($C25,Phone_by_Sentiment!$B$2:$B$37,Phone_by_Sentiment!I$2:I$37,"",0,1)),_xlfn.XLOOKUP($C25,Phone_by_Sentiment!$B$2:$B$37,Phone_by_Sentiment!I$2:I$37,"",0,1),0),$A25-TEXT(DATEVALUE($D25&amp;"-01"), "dd-mm-yyyy")),0),0)</f>
        <v>0</v>
      </c>
      <c r="J25" cm="1">
        <f t="array" ref="J25">IF($Q25&gt;=0,IFERROR(generateSalesData($D25, IF(ISNUMBER(_xlfn.XLOOKUP($C25,Phone_by_Sentiment!$B$2:$B$37,Phone_by_Sentiment!J$2:J$37,"",0,1)),_xlfn.XLOOKUP($C25,Phone_by_Sentiment!$B$2:$B$37,Phone_by_Sentiment!J$2:J$37,"",0,1),0),$A25-TEXT(DATEVALUE($D25&amp;"-01"), "dd-mm-yyyy")),0),0)</f>
        <v>0</v>
      </c>
      <c r="K25" cm="1">
        <f t="array" ref="K25">IF($Q25&gt;=0,IFERROR(generateSalesData($D25, IF(ISNUMBER(_xlfn.XLOOKUP($C25,Phone_by_Sentiment!$B$2:$B$37,Phone_by_Sentiment!K$2:K$37,"",0,1)),_xlfn.XLOOKUP($C25,Phone_by_Sentiment!$B$2:$B$37,Phone_by_Sentiment!K$2:K$37,"",0,1),0),$A25-TEXT(DATEVALUE($D25&amp;"-01"), "dd-mm-yyyy")),0),0)</f>
        <v>0</v>
      </c>
      <c r="L25" cm="1">
        <f t="array" ref="L25">IF($Q25&gt;=0,IFERROR(generateSalesData($D25, IF(ISNUMBER(_xlfn.XLOOKUP($C25,Phone_by_Sentiment!$B$2:$B$37,Phone_by_Sentiment!L$2:L$37,"",0,1)),_xlfn.XLOOKUP($C25,Phone_by_Sentiment!$B$2:$B$37,Phone_by_Sentiment!L$2:L$37,"",0,1),0),$A25-TEXT(DATEVALUE($D25&amp;"-01"), "dd-mm-yyyy")),0),0)</f>
        <v>0</v>
      </c>
      <c r="M25" cm="1">
        <f t="array" ref="M25">IF($Q25&gt;=0,IFERROR(generateSalesData($D25, IF(ISNUMBER(_xlfn.XLOOKUP($C25,Phone_by_Sentiment!$B$2:$B$37,Phone_by_Sentiment!M$2:M$37,"",0,1)),_xlfn.XLOOKUP($C25,Phone_by_Sentiment!$B$2:$B$37,Phone_by_Sentiment!M$2:M$37,"",0,1),0),$A25-TEXT(DATEVALUE($D25&amp;"-01"), "dd-mm-yyyy")),0),0)</f>
        <v>0</v>
      </c>
      <c r="N25" cm="1">
        <f t="array" ref="N25">IF($Q25&gt;=0,IFERROR(generateSalesData($D25, IF(ISNUMBER(_xlfn.XLOOKUP($C25,Phone_by_Sentiment!$B$2:$B$37,Phone_by_Sentiment!N$2:N$37,"",0,1)),_xlfn.XLOOKUP($C25,Phone_by_Sentiment!$B$2:$B$37,Phone_by_Sentiment!N$2:N$37,"",0,1),0),$A25-TEXT(DATEVALUE($D25&amp;"-01"), "dd-mm-yyyy")),0),0)</f>
        <v>0</v>
      </c>
      <c r="O25" cm="1">
        <f t="array" ref="O25">IF($Q25&gt;=0,IFERROR(generateSalesData($D25, IF(ISNUMBER(_xlfn.XLOOKUP($C25,Phone_by_Sentiment!$B$2:$B$37,Phone_by_Sentiment!O$2:O$37,"",0,1)),_xlfn.XLOOKUP($C25,Phone_by_Sentiment!$B$2:$B$37,Phone_by_Sentiment!O$2:O$37,"",0,1),0),$A25-TEXT(DATEVALUE($D25&amp;"-01"), "dd-mm-yyyy")),0),0)</f>
        <v>0</v>
      </c>
      <c r="P25" s="1">
        <f t="shared" si="1"/>
        <v>44105</v>
      </c>
      <c r="Q25">
        <f t="shared" si="2"/>
        <v>-639</v>
      </c>
    </row>
    <row r="26" spans="1:17" x14ac:dyDescent="0.25">
      <c r="A26" s="1">
        <f t="shared" si="0"/>
        <v>43466</v>
      </c>
      <c r="B26" t="s">
        <v>165</v>
      </c>
      <c r="C26" t="str">
        <f>_xlfn.XLOOKUP(B26,Phone_by_Price!$A$2:$A$34,Phone_by_Price!$B$2:$B$34,"-",0,1)</f>
        <v>Samsung Galaxy A50</v>
      </c>
      <c r="D26" t="str">
        <f>_xlfn.XLOOKUP(C26,Phone_by_Sentiment!$B$2:$B$37,Phone_by_Sentiment!$A$2:$A$37,"-",0,1)</f>
        <v>2019-05</v>
      </c>
      <c r="E26" cm="1">
        <f t="array" ref="E26">IF($Q26&gt;=0,IFERROR(generateSalesData($D26, IF(ISNUMBER(_xlfn.XLOOKUP($C26,Phone_by_Sentiment!$B$2:$B$37,Phone_by_Sentiment!E$2:E$37,"",0,1)),_xlfn.XLOOKUP($C26,Phone_by_Sentiment!$B$2:$B$37,Phone_by_Sentiment!E$2:E$37,"",0,1),0),$A26-TEXT(DATEVALUE($D26&amp;"-01"), "dd-mm-yyyy")),0),0)</f>
        <v>0</v>
      </c>
      <c r="F26" cm="1">
        <f t="array" ref="F26">IF($Q26&gt;=0,IFERROR(generateSalesData($D26, IF(ISNUMBER(_xlfn.XLOOKUP($C26,Phone_by_Sentiment!$B$2:$B$37,Phone_by_Sentiment!F$2:F$37,"",0,1)),_xlfn.XLOOKUP($C26,Phone_by_Sentiment!$B$2:$B$37,Phone_by_Sentiment!F$2:F$37,"",0,1),0),$A26-TEXT(DATEVALUE($D26&amp;"-01"), "dd-mm-yyyy")),0),0)</f>
        <v>0</v>
      </c>
      <c r="G26" cm="1">
        <f t="array" ref="G26">IF($Q26&gt;=0,IFERROR(generateSalesData($D26, IF(ISNUMBER(_xlfn.XLOOKUP($C26,Phone_by_Sentiment!$B$2:$B$37,Phone_by_Sentiment!G$2:G$37,"",0,1)),_xlfn.XLOOKUP($C26,Phone_by_Sentiment!$B$2:$B$37,Phone_by_Sentiment!G$2:G$37,"",0,1),0),$A26-TEXT(DATEVALUE($D26&amp;"-01"), "dd-mm-yyyy")),0),0)</f>
        <v>0</v>
      </c>
      <c r="H26" cm="1">
        <f t="array" ref="H26">IF($Q26&gt;=0,IFERROR(generateSalesData($D26, IF(ISNUMBER(_xlfn.XLOOKUP($C26,Phone_by_Sentiment!$B$2:$B$37,Phone_by_Sentiment!H$2:H$37,"",0,1)),_xlfn.XLOOKUP($C26,Phone_by_Sentiment!$B$2:$B$37,Phone_by_Sentiment!H$2:H$37,"",0,1),0),$A26-TEXT(DATEVALUE($D26&amp;"-01"), "dd-mm-yyyy")),0),0)</f>
        <v>0</v>
      </c>
      <c r="I26" cm="1">
        <f t="array" ref="I26">IF($Q26&gt;=0,IFERROR(generateSalesData($D26, IF(ISNUMBER(_xlfn.XLOOKUP($C26,Phone_by_Sentiment!$B$2:$B$37,Phone_by_Sentiment!I$2:I$37,"",0,1)),_xlfn.XLOOKUP($C26,Phone_by_Sentiment!$B$2:$B$37,Phone_by_Sentiment!I$2:I$37,"",0,1),0),$A26-TEXT(DATEVALUE($D26&amp;"-01"), "dd-mm-yyyy")),0),0)</f>
        <v>0</v>
      </c>
      <c r="J26" cm="1">
        <f t="array" ref="J26">IF($Q26&gt;=0,IFERROR(generateSalesData($D26, IF(ISNUMBER(_xlfn.XLOOKUP($C26,Phone_by_Sentiment!$B$2:$B$37,Phone_by_Sentiment!J$2:J$37,"",0,1)),_xlfn.XLOOKUP($C26,Phone_by_Sentiment!$B$2:$B$37,Phone_by_Sentiment!J$2:J$37,"",0,1),0),$A26-TEXT(DATEVALUE($D26&amp;"-01"), "dd-mm-yyyy")),0),0)</f>
        <v>0</v>
      </c>
      <c r="K26" cm="1">
        <f t="array" ref="K26">IF($Q26&gt;=0,IFERROR(generateSalesData($D26, IF(ISNUMBER(_xlfn.XLOOKUP($C26,Phone_by_Sentiment!$B$2:$B$37,Phone_by_Sentiment!K$2:K$37,"",0,1)),_xlfn.XLOOKUP($C26,Phone_by_Sentiment!$B$2:$B$37,Phone_by_Sentiment!K$2:K$37,"",0,1),0),$A26-TEXT(DATEVALUE($D26&amp;"-01"), "dd-mm-yyyy")),0),0)</f>
        <v>0</v>
      </c>
      <c r="L26" cm="1">
        <f t="array" ref="L26">IF($Q26&gt;=0,IFERROR(generateSalesData($D26, IF(ISNUMBER(_xlfn.XLOOKUP($C26,Phone_by_Sentiment!$B$2:$B$37,Phone_by_Sentiment!L$2:L$37,"",0,1)),_xlfn.XLOOKUP($C26,Phone_by_Sentiment!$B$2:$B$37,Phone_by_Sentiment!L$2:L$37,"",0,1),0),$A26-TEXT(DATEVALUE($D26&amp;"-01"), "dd-mm-yyyy")),0),0)</f>
        <v>0</v>
      </c>
      <c r="M26" cm="1">
        <f t="array" ref="M26">IF($Q26&gt;=0,IFERROR(generateSalesData($D26, IF(ISNUMBER(_xlfn.XLOOKUP($C26,Phone_by_Sentiment!$B$2:$B$37,Phone_by_Sentiment!M$2:M$37,"",0,1)),_xlfn.XLOOKUP($C26,Phone_by_Sentiment!$B$2:$B$37,Phone_by_Sentiment!M$2:M$37,"",0,1),0),$A26-TEXT(DATEVALUE($D26&amp;"-01"), "dd-mm-yyyy")),0),0)</f>
        <v>0</v>
      </c>
      <c r="N26" cm="1">
        <f t="array" ref="N26">IF($Q26&gt;=0,IFERROR(generateSalesData($D26, IF(ISNUMBER(_xlfn.XLOOKUP($C26,Phone_by_Sentiment!$B$2:$B$37,Phone_by_Sentiment!N$2:N$37,"",0,1)),_xlfn.XLOOKUP($C26,Phone_by_Sentiment!$B$2:$B$37,Phone_by_Sentiment!N$2:N$37,"",0,1),0),$A26-TEXT(DATEVALUE($D26&amp;"-01"), "dd-mm-yyyy")),0),0)</f>
        <v>0</v>
      </c>
      <c r="O26" cm="1">
        <f t="array" ref="O26">IF($Q26&gt;=0,IFERROR(generateSalesData($D26, IF(ISNUMBER(_xlfn.XLOOKUP($C26,Phone_by_Sentiment!$B$2:$B$37,Phone_by_Sentiment!O$2:O$37,"",0,1)),_xlfn.XLOOKUP($C26,Phone_by_Sentiment!$B$2:$B$37,Phone_by_Sentiment!O$2:O$37,"",0,1),0),$A26-TEXT(DATEVALUE($D26&amp;"-01"), "dd-mm-yyyy")),0),0)</f>
        <v>0</v>
      </c>
      <c r="P26" s="1">
        <f t="shared" si="1"/>
        <v>43586</v>
      </c>
      <c r="Q26">
        <f t="shared" si="2"/>
        <v>-120</v>
      </c>
    </row>
    <row r="27" spans="1:17" x14ac:dyDescent="0.25">
      <c r="A27" s="1">
        <f t="shared" si="0"/>
        <v>43466</v>
      </c>
      <c r="B27" t="s">
        <v>166</v>
      </c>
      <c r="C27" t="str">
        <f>_xlfn.XLOOKUP(B27,Phone_by_Price!$A$2:$A$34,Phone_by_Price!$B$2:$B$34,"-",0,1)</f>
        <v>Xiaomi Redmi Note 7</v>
      </c>
      <c r="D27" t="str">
        <f>_xlfn.XLOOKUP(C27,Phone_by_Sentiment!$B$2:$B$37,Phone_by_Sentiment!$A$2:$A$37,"-",0,1)</f>
        <v>2019-08</v>
      </c>
      <c r="E27" cm="1">
        <f t="array" ref="E27">IF($Q27&gt;=0,IFERROR(generateSalesData($D27, IF(ISNUMBER(_xlfn.XLOOKUP($C27,Phone_by_Sentiment!$B$2:$B$37,Phone_by_Sentiment!E$2:E$37,"",0,1)),_xlfn.XLOOKUP($C27,Phone_by_Sentiment!$B$2:$B$37,Phone_by_Sentiment!E$2:E$37,"",0,1),0),$A27-TEXT(DATEVALUE($D27&amp;"-01"), "dd-mm-yyyy")),0),0)</f>
        <v>0</v>
      </c>
      <c r="F27" cm="1">
        <f t="array" ref="F27">IF($Q27&gt;=0,IFERROR(generateSalesData($D27, IF(ISNUMBER(_xlfn.XLOOKUP($C27,Phone_by_Sentiment!$B$2:$B$37,Phone_by_Sentiment!F$2:F$37,"",0,1)),_xlfn.XLOOKUP($C27,Phone_by_Sentiment!$B$2:$B$37,Phone_by_Sentiment!F$2:F$37,"",0,1),0),$A27-TEXT(DATEVALUE($D27&amp;"-01"), "dd-mm-yyyy")),0),0)</f>
        <v>0</v>
      </c>
      <c r="G27" cm="1">
        <f t="array" ref="G27">IF($Q27&gt;=0,IFERROR(generateSalesData($D27, IF(ISNUMBER(_xlfn.XLOOKUP($C27,Phone_by_Sentiment!$B$2:$B$37,Phone_by_Sentiment!G$2:G$37,"",0,1)),_xlfn.XLOOKUP($C27,Phone_by_Sentiment!$B$2:$B$37,Phone_by_Sentiment!G$2:G$37,"",0,1),0),$A27-TEXT(DATEVALUE($D27&amp;"-01"), "dd-mm-yyyy")),0),0)</f>
        <v>0</v>
      </c>
      <c r="H27" cm="1">
        <f t="array" ref="H27">IF($Q27&gt;=0,IFERROR(generateSalesData($D27, IF(ISNUMBER(_xlfn.XLOOKUP($C27,Phone_by_Sentiment!$B$2:$B$37,Phone_by_Sentiment!H$2:H$37,"",0,1)),_xlfn.XLOOKUP($C27,Phone_by_Sentiment!$B$2:$B$37,Phone_by_Sentiment!H$2:H$37,"",0,1),0),$A27-TEXT(DATEVALUE($D27&amp;"-01"), "dd-mm-yyyy")),0),0)</f>
        <v>0</v>
      </c>
      <c r="I27" cm="1">
        <f t="array" ref="I27">IF($Q27&gt;=0,IFERROR(generateSalesData($D27, IF(ISNUMBER(_xlfn.XLOOKUP($C27,Phone_by_Sentiment!$B$2:$B$37,Phone_by_Sentiment!I$2:I$37,"",0,1)),_xlfn.XLOOKUP($C27,Phone_by_Sentiment!$B$2:$B$37,Phone_by_Sentiment!I$2:I$37,"",0,1),0),$A27-TEXT(DATEVALUE($D27&amp;"-01"), "dd-mm-yyyy")),0),0)</f>
        <v>0</v>
      </c>
      <c r="J27" cm="1">
        <f t="array" ref="J27">IF($Q27&gt;=0,IFERROR(generateSalesData($D27, IF(ISNUMBER(_xlfn.XLOOKUP($C27,Phone_by_Sentiment!$B$2:$B$37,Phone_by_Sentiment!J$2:J$37,"",0,1)),_xlfn.XLOOKUP($C27,Phone_by_Sentiment!$B$2:$B$37,Phone_by_Sentiment!J$2:J$37,"",0,1),0),$A27-TEXT(DATEVALUE($D27&amp;"-01"), "dd-mm-yyyy")),0),0)</f>
        <v>0</v>
      </c>
      <c r="K27" cm="1">
        <f t="array" ref="K27">IF($Q27&gt;=0,IFERROR(generateSalesData($D27, IF(ISNUMBER(_xlfn.XLOOKUP($C27,Phone_by_Sentiment!$B$2:$B$37,Phone_by_Sentiment!K$2:K$37,"",0,1)),_xlfn.XLOOKUP($C27,Phone_by_Sentiment!$B$2:$B$37,Phone_by_Sentiment!K$2:K$37,"",0,1),0),$A27-TEXT(DATEVALUE($D27&amp;"-01"), "dd-mm-yyyy")),0),0)</f>
        <v>0</v>
      </c>
      <c r="L27" cm="1">
        <f t="array" ref="L27">IF($Q27&gt;=0,IFERROR(generateSalesData($D27, IF(ISNUMBER(_xlfn.XLOOKUP($C27,Phone_by_Sentiment!$B$2:$B$37,Phone_by_Sentiment!L$2:L$37,"",0,1)),_xlfn.XLOOKUP($C27,Phone_by_Sentiment!$B$2:$B$37,Phone_by_Sentiment!L$2:L$37,"",0,1),0),$A27-TEXT(DATEVALUE($D27&amp;"-01"), "dd-mm-yyyy")),0),0)</f>
        <v>0</v>
      </c>
      <c r="M27" cm="1">
        <f t="array" ref="M27">IF($Q27&gt;=0,IFERROR(generateSalesData($D27, IF(ISNUMBER(_xlfn.XLOOKUP($C27,Phone_by_Sentiment!$B$2:$B$37,Phone_by_Sentiment!M$2:M$37,"",0,1)),_xlfn.XLOOKUP($C27,Phone_by_Sentiment!$B$2:$B$37,Phone_by_Sentiment!M$2:M$37,"",0,1),0),$A27-TEXT(DATEVALUE($D27&amp;"-01"), "dd-mm-yyyy")),0),0)</f>
        <v>0</v>
      </c>
      <c r="N27" cm="1">
        <f t="array" ref="N27">IF($Q27&gt;=0,IFERROR(generateSalesData($D27, IF(ISNUMBER(_xlfn.XLOOKUP($C27,Phone_by_Sentiment!$B$2:$B$37,Phone_by_Sentiment!N$2:N$37,"",0,1)),_xlfn.XLOOKUP($C27,Phone_by_Sentiment!$B$2:$B$37,Phone_by_Sentiment!N$2:N$37,"",0,1),0),$A27-TEXT(DATEVALUE($D27&amp;"-01"), "dd-mm-yyyy")),0),0)</f>
        <v>0</v>
      </c>
      <c r="O27" cm="1">
        <f t="array" ref="O27">IF($Q27&gt;=0,IFERROR(generateSalesData($D27, IF(ISNUMBER(_xlfn.XLOOKUP($C27,Phone_by_Sentiment!$B$2:$B$37,Phone_by_Sentiment!O$2:O$37,"",0,1)),_xlfn.XLOOKUP($C27,Phone_by_Sentiment!$B$2:$B$37,Phone_by_Sentiment!O$2:O$37,"",0,1),0),$A27-TEXT(DATEVALUE($D27&amp;"-01"), "dd-mm-yyyy")),0),0)</f>
        <v>0</v>
      </c>
      <c r="P27" s="1">
        <f t="shared" si="1"/>
        <v>43678</v>
      </c>
      <c r="Q27">
        <f t="shared" si="2"/>
        <v>-212</v>
      </c>
    </row>
    <row r="28" spans="1:17" x14ac:dyDescent="0.25">
      <c r="A28" s="1">
        <f t="shared" si="0"/>
        <v>43466</v>
      </c>
      <c r="B28" t="s">
        <v>167</v>
      </c>
      <c r="C28" t="str">
        <f>_xlfn.XLOOKUP(B28,Phone_by_Price!$A$2:$A$34,Phone_by_Price!$B$2:$B$34,"-",0,1)</f>
        <v>Realme C21</v>
      </c>
      <c r="D28" t="str">
        <f>_xlfn.XLOOKUP(C28,Phone_by_Sentiment!$B$2:$B$37,Phone_by_Sentiment!$A$2:$A$37,"-",0,1)</f>
        <v>2021-04</v>
      </c>
      <c r="E28" cm="1">
        <f t="array" ref="E28">IF($Q28&gt;=0,IFERROR(generateSalesData($D28, IF(ISNUMBER(_xlfn.XLOOKUP($C28,Phone_by_Sentiment!$B$2:$B$37,Phone_by_Sentiment!E$2:E$37,"",0,1)),_xlfn.XLOOKUP($C28,Phone_by_Sentiment!$B$2:$B$37,Phone_by_Sentiment!E$2:E$37,"",0,1),0),$A28-TEXT(DATEVALUE($D28&amp;"-01"), "dd-mm-yyyy")),0),0)</f>
        <v>0</v>
      </c>
      <c r="F28" cm="1">
        <f t="array" ref="F28">IF($Q28&gt;=0,IFERROR(generateSalesData($D28, IF(ISNUMBER(_xlfn.XLOOKUP($C28,Phone_by_Sentiment!$B$2:$B$37,Phone_by_Sentiment!F$2:F$37,"",0,1)),_xlfn.XLOOKUP($C28,Phone_by_Sentiment!$B$2:$B$37,Phone_by_Sentiment!F$2:F$37,"",0,1),0),$A28-TEXT(DATEVALUE($D28&amp;"-01"), "dd-mm-yyyy")),0),0)</f>
        <v>0</v>
      </c>
      <c r="G28" cm="1">
        <f t="array" ref="G28">IF($Q28&gt;=0,IFERROR(generateSalesData($D28, IF(ISNUMBER(_xlfn.XLOOKUP($C28,Phone_by_Sentiment!$B$2:$B$37,Phone_by_Sentiment!G$2:G$37,"",0,1)),_xlfn.XLOOKUP($C28,Phone_by_Sentiment!$B$2:$B$37,Phone_by_Sentiment!G$2:G$37,"",0,1),0),$A28-TEXT(DATEVALUE($D28&amp;"-01"), "dd-mm-yyyy")),0),0)</f>
        <v>0</v>
      </c>
      <c r="H28" cm="1">
        <f t="array" ref="H28">IF($Q28&gt;=0,IFERROR(generateSalesData($D28, IF(ISNUMBER(_xlfn.XLOOKUP($C28,Phone_by_Sentiment!$B$2:$B$37,Phone_by_Sentiment!H$2:H$37,"",0,1)),_xlfn.XLOOKUP($C28,Phone_by_Sentiment!$B$2:$B$37,Phone_by_Sentiment!H$2:H$37,"",0,1),0),$A28-TEXT(DATEVALUE($D28&amp;"-01"), "dd-mm-yyyy")),0),0)</f>
        <v>0</v>
      </c>
      <c r="I28" cm="1">
        <f t="array" ref="I28">IF($Q28&gt;=0,IFERROR(generateSalesData($D28, IF(ISNUMBER(_xlfn.XLOOKUP($C28,Phone_by_Sentiment!$B$2:$B$37,Phone_by_Sentiment!I$2:I$37,"",0,1)),_xlfn.XLOOKUP($C28,Phone_by_Sentiment!$B$2:$B$37,Phone_by_Sentiment!I$2:I$37,"",0,1),0),$A28-TEXT(DATEVALUE($D28&amp;"-01"), "dd-mm-yyyy")),0),0)</f>
        <v>0</v>
      </c>
      <c r="J28" cm="1">
        <f t="array" ref="J28">IF($Q28&gt;=0,IFERROR(generateSalesData($D28, IF(ISNUMBER(_xlfn.XLOOKUP($C28,Phone_by_Sentiment!$B$2:$B$37,Phone_by_Sentiment!J$2:J$37,"",0,1)),_xlfn.XLOOKUP($C28,Phone_by_Sentiment!$B$2:$B$37,Phone_by_Sentiment!J$2:J$37,"",0,1),0),$A28-TEXT(DATEVALUE($D28&amp;"-01"), "dd-mm-yyyy")),0),0)</f>
        <v>0</v>
      </c>
      <c r="K28" cm="1">
        <f t="array" ref="K28">IF($Q28&gt;=0,IFERROR(generateSalesData($D28, IF(ISNUMBER(_xlfn.XLOOKUP($C28,Phone_by_Sentiment!$B$2:$B$37,Phone_by_Sentiment!K$2:K$37,"",0,1)),_xlfn.XLOOKUP($C28,Phone_by_Sentiment!$B$2:$B$37,Phone_by_Sentiment!K$2:K$37,"",0,1),0),$A28-TEXT(DATEVALUE($D28&amp;"-01"), "dd-mm-yyyy")),0),0)</f>
        <v>0</v>
      </c>
      <c r="L28" cm="1">
        <f t="array" ref="L28">IF($Q28&gt;=0,IFERROR(generateSalesData($D28, IF(ISNUMBER(_xlfn.XLOOKUP($C28,Phone_by_Sentiment!$B$2:$B$37,Phone_by_Sentiment!L$2:L$37,"",0,1)),_xlfn.XLOOKUP($C28,Phone_by_Sentiment!$B$2:$B$37,Phone_by_Sentiment!L$2:L$37,"",0,1),0),$A28-TEXT(DATEVALUE($D28&amp;"-01"), "dd-mm-yyyy")),0),0)</f>
        <v>0</v>
      </c>
      <c r="M28" cm="1">
        <f t="array" ref="M28">IF($Q28&gt;=0,IFERROR(generateSalesData($D28, IF(ISNUMBER(_xlfn.XLOOKUP($C28,Phone_by_Sentiment!$B$2:$B$37,Phone_by_Sentiment!M$2:M$37,"",0,1)),_xlfn.XLOOKUP($C28,Phone_by_Sentiment!$B$2:$B$37,Phone_by_Sentiment!M$2:M$37,"",0,1),0),$A28-TEXT(DATEVALUE($D28&amp;"-01"), "dd-mm-yyyy")),0),0)</f>
        <v>0</v>
      </c>
      <c r="N28" cm="1">
        <f t="array" ref="N28">IF($Q28&gt;=0,IFERROR(generateSalesData($D28, IF(ISNUMBER(_xlfn.XLOOKUP($C28,Phone_by_Sentiment!$B$2:$B$37,Phone_by_Sentiment!N$2:N$37,"",0,1)),_xlfn.XLOOKUP($C28,Phone_by_Sentiment!$B$2:$B$37,Phone_by_Sentiment!N$2:N$37,"",0,1),0),$A28-TEXT(DATEVALUE($D28&amp;"-01"), "dd-mm-yyyy")),0),0)</f>
        <v>0</v>
      </c>
      <c r="O28" cm="1">
        <f t="array" ref="O28">IF($Q28&gt;=0,IFERROR(generateSalesData($D28, IF(ISNUMBER(_xlfn.XLOOKUP($C28,Phone_by_Sentiment!$B$2:$B$37,Phone_by_Sentiment!O$2:O$37,"",0,1)),_xlfn.XLOOKUP($C28,Phone_by_Sentiment!$B$2:$B$37,Phone_by_Sentiment!O$2:O$37,"",0,1),0),$A28-TEXT(DATEVALUE($D28&amp;"-01"), "dd-mm-yyyy")),0),0)</f>
        <v>0</v>
      </c>
      <c r="P28" s="1">
        <f t="shared" si="1"/>
        <v>44287</v>
      </c>
      <c r="Q28">
        <f t="shared" si="2"/>
        <v>-821</v>
      </c>
    </row>
    <row r="29" spans="1:17" x14ac:dyDescent="0.25">
      <c r="A29" s="1">
        <f t="shared" si="0"/>
        <v>43466</v>
      </c>
      <c r="B29" t="s">
        <v>168</v>
      </c>
      <c r="C29" t="str">
        <f>_xlfn.XLOOKUP(B29,Phone_by_Price!$A$2:$A$34,Phone_by_Price!$B$2:$B$34,"-",0,1)</f>
        <v>Google Pixel 4</v>
      </c>
      <c r="D29" t="str">
        <f>_xlfn.XLOOKUP(C29,Phone_by_Sentiment!$B$2:$B$37,Phone_by_Sentiment!$A$2:$A$37,"-",0,1)</f>
        <v>2019-09</v>
      </c>
      <c r="E29" cm="1">
        <f t="array" ref="E29">IF($Q29&gt;=0,IFERROR(generateSalesData($D29, IF(ISNUMBER(_xlfn.XLOOKUP($C29,Phone_by_Sentiment!$B$2:$B$37,Phone_by_Sentiment!E$2:E$37,"",0,1)),_xlfn.XLOOKUP($C29,Phone_by_Sentiment!$B$2:$B$37,Phone_by_Sentiment!E$2:E$37,"",0,1),0),$A29-TEXT(DATEVALUE($D29&amp;"-01"), "dd-mm-yyyy")),0),0)</f>
        <v>0</v>
      </c>
      <c r="F29" cm="1">
        <f t="array" ref="F29">IF($Q29&gt;=0,IFERROR(generateSalesData($D29, IF(ISNUMBER(_xlfn.XLOOKUP($C29,Phone_by_Sentiment!$B$2:$B$37,Phone_by_Sentiment!F$2:F$37,"",0,1)),_xlfn.XLOOKUP($C29,Phone_by_Sentiment!$B$2:$B$37,Phone_by_Sentiment!F$2:F$37,"",0,1),0),$A29-TEXT(DATEVALUE($D29&amp;"-01"), "dd-mm-yyyy")),0),0)</f>
        <v>0</v>
      </c>
      <c r="G29" cm="1">
        <f t="array" ref="G29">IF($Q29&gt;=0,IFERROR(generateSalesData($D29, IF(ISNUMBER(_xlfn.XLOOKUP($C29,Phone_by_Sentiment!$B$2:$B$37,Phone_by_Sentiment!G$2:G$37,"",0,1)),_xlfn.XLOOKUP($C29,Phone_by_Sentiment!$B$2:$B$37,Phone_by_Sentiment!G$2:G$37,"",0,1),0),$A29-TEXT(DATEVALUE($D29&amp;"-01"), "dd-mm-yyyy")),0),0)</f>
        <v>0</v>
      </c>
      <c r="H29" cm="1">
        <f t="array" ref="H29">IF($Q29&gt;=0,IFERROR(generateSalesData($D29, IF(ISNUMBER(_xlfn.XLOOKUP($C29,Phone_by_Sentiment!$B$2:$B$37,Phone_by_Sentiment!H$2:H$37,"",0,1)),_xlfn.XLOOKUP($C29,Phone_by_Sentiment!$B$2:$B$37,Phone_by_Sentiment!H$2:H$37,"",0,1),0),$A29-TEXT(DATEVALUE($D29&amp;"-01"), "dd-mm-yyyy")),0),0)</f>
        <v>0</v>
      </c>
      <c r="I29" cm="1">
        <f t="array" ref="I29">IF($Q29&gt;=0,IFERROR(generateSalesData($D29, IF(ISNUMBER(_xlfn.XLOOKUP($C29,Phone_by_Sentiment!$B$2:$B$37,Phone_by_Sentiment!I$2:I$37,"",0,1)),_xlfn.XLOOKUP($C29,Phone_by_Sentiment!$B$2:$B$37,Phone_by_Sentiment!I$2:I$37,"",0,1),0),$A29-TEXT(DATEVALUE($D29&amp;"-01"), "dd-mm-yyyy")),0),0)</f>
        <v>0</v>
      </c>
      <c r="J29" cm="1">
        <f t="array" ref="J29">IF($Q29&gt;=0,IFERROR(generateSalesData($D29, IF(ISNUMBER(_xlfn.XLOOKUP($C29,Phone_by_Sentiment!$B$2:$B$37,Phone_by_Sentiment!J$2:J$37,"",0,1)),_xlfn.XLOOKUP($C29,Phone_by_Sentiment!$B$2:$B$37,Phone_by_Sentiment!J$2:J$37,"",0,1),0),$A29-TEXT(DATEVALUE($D29&amp;"-01"), "dd-mm-yyyy")),0),0)</f>
        <v>0</v>
      </c>
      <c r="K29" cm="1">
        <f t="array" ref="K29">IF($Q29&gt;=0,IFERROR(generateSalesData($D29, IF(ISNUMBER(_xlfn.XLOOKUP($C29,Phone_by_Sentiment!$B$2:$B$37,Phone_by_Sentiment!K$2:K$37,"",0,1)),_xlfn.XLOOKUP($C29,Phone_by_Sentiment!$B$2:$B$37,Phone_by_Sentiment!K$2:K$37,"",0,1),0),$A29-TEXT(DATEVALUE($D29&amp;"-01"), "dd-mm-yyyy")),0),0)</f>
        <v>0</v>
      </c>
      <c r="L29" cm="1">
        <f t="array" ref="L29">IF($Q29&gt;=0,IFERROR(generateSalesData($D29, IF(ISNUMBER(_xlfn.XLOOKUP($C29,Phone_by_Sentiment!$B$2:$B$37,Phone_by_Sentiment!L$2:L$37,"",0,1)),_xlfn.XLOOKUP($C29,Phone_by_Sentiment!$B$2:$B$37,Phone_by_Sentiment!L$2:L$37,"",0,1),0),$A29-TEXT(DATEVALUE($D29&amp;"-01"), "dd-mm-yyyy")),0),0)</f>
        <v>0</v>
      </c>
      <c r="M29" cm="1">
        <f t="array" ref="M29">IF($Q29&gt;=0,IFERROR(generateSalesData($D29, IF(ISNUMBER(_xlfn.XLOOKUP($C29,Phone_by_Sentiment!$B$2:$B$37,Phone_by_Sentiment!M$2:M$37,"",0,1)),_xlfn.XLOOKUP($C29,Phone_by_Sentiment!$B$2:$B$37,Phone_by_Sentiment!M$2:M$37,"",0,1),0),$A29-TEXT(DATEVALUE($D29&amp;"-01"), "dd-mm-yyyy")),0),0)</f>
        <v>0</v>
      </c>
      <c r="N29" cm="1">
        <f t="array" ref="N29">IF($Q29&gt;=0,IFERROR(generateSalesData($D29, IF(ISNUMBER(_xlfn.XLOOKUP($C29,Phone_by_Sentiment!$B$2:$B$37,Phone_by_Sentiment!N$2:N$37,"",0,1)),_xlfn.XLOOKUP($C29,Phone_by_Sentiment!$B$2:$B$37,Phone_by_Sentiment!N$2:N$37,"",0,1),0),$A29-TEXT(DATEVALUE($D29&amp;"-01"), "dd-mm-yyyy")),0),0)</f>
        <v>0</v>
      </c>
      <c r="O29" cm="1">
        <f t="array" ref="O29">IF($Q29&gt;=0,IFERROR(generateSalesData($D29, IF(ISNUMBER(_xlfn.XLOOKUP($C29,Phone_by_Sentiment!$B$2:$B$37,Phone_by_Sentiment!O$2:O$37,"",0,1)),_xlfn.XLOOKUP($C29,Phone_by_Sentiment!$B$2:$B$37,Phone_by_Sentiment!O$2:O$37,"",0,1),0),$A29-TEXT(DATEVALUE($D29&amp;"-01"), "dd-mm-yyyy")),0),0)</f>
        <v>0</v>
      </c>
      <c r="P29" s="1">
        <f t="shared" si="1"/>
        <v>43709</v>
      </c>
      <c r="Q29">
        <f t="shared" si="2"/>
        <v>-243</v>
      </c>
    </row>
    <row r="30" spans="1:17" x14ac:dyDescent="0.25">
      <c r="A30" s="1">
        <f t="shared" si="0"/>
        <v>43466</v>
      </c>
      <c r="B30" t="s">
        <v>169</v>
      </c>
      <c r="C30" t="str">
        <f>_xlfn.XLOOKUP(B30,Phone_by_Price!$A$2:$A$34,Phone_by_Price!$B$2:$B$34,"-",0,1)</f>
        <v>Samsung Galaxy A10s</v>
      </c>
      <c r="D30" t="str">
        <f>_xlfn.XLOOKUP(C30,Phone_by_Sentiment!$B$2:$B$37,Phone_by_Sentiment!$A$2:$A$37,"-",0,1)</f>
        <v>2019-08</v>
      </c>
      <c r="E30" cm="1">
        <f t="array" ref="E30">IF($Q30&gt;=0,IFERROR(generateSalesData($D30, IF(ISNUMBER(_xlfn.XLOOKUP($C30,Phone_by_Sentiment!$B$2:$B$37,Phone_by_Sentiment!E$2:E$37,"",0,1)),_xlfn.XLOOKUP($C30,Phone_by_Sentiment!$B$2:$B$37,Phone_by_Sentiment!E$2:E$37,"",0,1),0),$A30-TEXT(DATEVALUE($D30&amp;"-01"), "dd-mm-yyyy")),0),0)</f>
        <v>0</v>
      </c>
      <c r="F30" cm="1">
        <f t="array" ref="F30">IF($Q30&gt;=0,IFERROR(generateSalesData($D30, IF(ISNUMBER(_xlfn.XLOOKUP($C30,Phone_by_Sentiment!$B$2:$B$37,Phone_by_Sentiment!F$2:F$37,"",0,1)),_xlfn.XLOOKUP($C30,Phone_by_Sentiment!$B$2:$B$37,Phone_by_Sentiment!F$2:F$37,"",0,1),0),$A30-TEXT(DATEVALUE($D30&amp;"-01"), "dd-mm-yyyy")),0),0)</f>
        <v>0</v>
      </c>
      <c r="G30" cm="1">
        <f t="array" ref="G30">IF($Q30&gt;=0,IFERROR(generateSalesData($D30, IF(ISNUMBER(_xlfn.XLOOKUP($C30,Phone_by_Sentiment!$B$2:$B$37,Phone_by_Sentiment!G$2:G$37,"",0,1)),_xlfn.XLOOKUP($C30,Phone_by_Sentiment!$B$2:$B$37,Phone_by_Sentiment!G$2:G$37,"",0,1),0),$A30-TEXT(DATEVALUE($D30&amp;"-01"), "dd-mm-yyyy")),0),0)</f>
        <v>0</v>
      </c>
      <c r="H30" cm="1">
        <f t="array" ref="H30">IF($Q30&gt;=0,IFERROR(generateSalesData($D30, IF(ISNUMBER(_xlfn.XLOOKUP($C30,Phone_by_Sentiment!$B$2:$B$37,Phone_by_Sentiment!H$2:H$37,"",0,1)),_xlfn.XLOOKUP($C30,Phone_by_Sentiment!$B$2:$B$37,Phone_by_Sentiment!H$2:H$37,"",0,1),0),$A30-TEXT(DATEVALUE($D30&amp;"-01"), "dd-mm-yyyy")),0),0)</f>
        <v>0</v>
      </c>
      <c r="I30" cm="1">
        <f t="array" ref="I30">IF($Q30&gt;=0,IFERROR(generateSalesData($D30, IF(ISNUMBER(_xlfn.XLOOKUP($C30,Phone_by_Sentiment!$B$2:$B$37,Phone_by_Sentiment!I$2:I$37,"",0,1)),_xlfn.XLOOKUP($C30,Phone_by_Sentiment!$B$2:$B$37,Phone_by_Sentiment!I$2:I$37,"",0,1),0),$A30-TEXT(DATEVALUE($D30&amp;"-01"), "dd-mm-yyyy")),0),0)</f>
        <v>0</v>
      </c>
      <c r="J30" cm="1">
        <f t="array" ref="J30">IF($Q30&gt;=0,IFERROR(generateSalesData($D30, IF(ISNUMBER(_xlfn.XLOOKUP($C30,Phone_by_Sentiment!$B$2:$B$37,Phone_by_Sentiment!J$2:J$37,"",0,1)),_xlfn.XLOOKUP($C30,Phone_by_Sentiment!$B$2:$B$37,Phone_by_Sentiment!J$2:J$37,"",0,1),0),$A30-TEXT(DATEVALUE($D30&amp;"-01"), "dd-mm-yyyy")),0),0)</f>
        <v>0</v>
      </c>
      <c r="K30" cm="1">
        <f t="array" ref="K30">IF($Q30&gt;=0,IFERROR(generateSalesData($D30, IF(ISNUMBER(_xlfn.XLOOKUP($C30,Phone_by_Sentiment!$B$2:$B$37,Phone_by_Sentiment!K$2:K$37,"",0,1)),_xlfn.XLOOKUP($C30,Phone_by_Sentiment!$B$2:$B$37,Phone_by_Sentiment!K$2:K$37,"",0,1),0),$A30-TEXT(DATEVALUE($D30&amp;"-01"), "dd-mm-yyyy")),0),0)</f>
        <v>0</v>
      </c>
      <c r="L30" cm="1">
        <f t="array" ref="L30">IF($Q30&gt;=0,IFERROR(generateSalesData($D30, IF(ISNUMBER(_xlfn.XLOOKUP($C30,Phone_by_Sentiment!$B$2:$B$37,Phone_by_Sentiment!L$2:L$37,"",0,1)),_xlfn.XLOOKUP($C30,Phone_by_Sentiment!$B$2:$B$37,Phone_by_Sentiment!L$2:L$37,"",0,1),0),$A30-TEXT(DATEVALUE($D30&amp;"-01"), "dd-mm-yyyy")),0),0)</f>
        <v>0</v>
      </c>
      <c r="M30" cm="1">
        <f t="array" ref="M30">IF($Q30&gt;=0,IFERROR(generateSalesData($D30, IF(ISNUMBER(_xlfn.XLOOKUP($C30,Phone_by_Sentiment!$B$2:$B$37,Phone_by_Sentiment!M$2:M$37,"",0,1)),_xlfn.XLOOKUP($C30,Phone_by_Sentiment!$B$2:$B$37,Phone_by_Sentiment!M$2:M$37,"",0,1),0),$A30-TEXT(DATEVALUE($D30&amp;"-01"), "dd-mm-yyyy")),0),0)</f>
        <v>0</v>
      </c>
      <c r="N30" cm="1">
        <f t="array" ref="N30">IF($Q30&gt;=0,IFERROR(generateSalesData($D30, IF(ISNUMBER(_xlfn.XLOOKUP($C30,Phone_by_Sentiment!$B$2:$B$37,Phone_by_Sentiment!N$2:N$37,"",0,1)),_xlfn.XLOOKUP($C30,Phone_by_Sentiment!$B$2:$B$37,Phone_by_Sentiment!N$2:N$37,"",0,1),0),$A30-TEXT(DATEVALUE($D30&amp;"-01"), "dd-mm-yyyy")),0),0)</f>
        <v>0</v>
      </c>
      <c r="O30" cm="1">
        <f t="array" ref="O30">IF($Q30&gt;=0,IFERROR(generateSalesData($D30, IF(ISNUMBER(_xlfn.XLOOKUP($C30,Phone_by_Sentiment!$B$2:$B$37,Phone_by_Sentiment!O$2:O$37,"",0,1)),_xlfn.XLOOKUP($C30,Phone_by_Sentiment!$B$2:$B$37,Phone_by_Sentiment!O$2:O$37,"",0,1),0),$A30-TEXT(DATEVALUE($D30&amp;"-01"), "dd-mm-yyyy")),0),0)</f>
        <v>0</v>
      </c>
      <c r="P30" s="1">
        <f t="shared" si="1"/>
        <v>43678</v>
      </c>
      <c r="Q30">
        <f t="shared" si="2"/>
        <v>-212</v>
      </c>
    </row>
    <row r="31" spans="1:17" x14ac:dyDescent="0.25">
      <c r="A31" s="1">
        <f t="shared" si="0"/>
        <v>43466</v>
      </c>
      <c r="B31" t="s">
        <v>170</v>
      </c>
      <c r="C31" t="str">
        <f>_xlfn.XLOOKUP(B31,Phone_by_Price!$A$2:$A$34,Phone_by_Price!$B$2:$B$34,"-",0,1)</f>
        <v>Realme Narzo 30A</v>
      </c>
      <c r="D31" t="str">
        <f>_xlfn.XLOOKUP(C31,Phone_by_Sentiment!$B$2:$B$37,Phone_by_Sentiment!$A$2:$A$37,"-",0,1)</f>
        <v>2021-02</v>
      </c>
      <c r="E31" cm="1">
        <f t="array" ref="E31">IF($Q31&gt;=0,IFERROR(generateSalesData($D31, IF(ISNUMBER(_xlfn.XLOOKUP($C31,Phone_by_Sentiment!$B$2:$B$37,Phone_by_Sentiment!E$2:E$37,"",0,1)),_xlfn.XLOOKUP($C31,Phone_by_Sentiment!$B$2:$B$37,Phone_by_Sentiment!E$2:E$37,"",0,1),0),$A31-TEXT(DATEVALUE($D31&amp;"-01"), "dd-mm-yyyy")),0),0)</f>
        <v>0</v>
      </c>
      <c r="F31" cm="1">
        <f t="array" ref="F31">IF($Q31&gt;=0,IFERROR(generateSalesData($D31, IF(ISNUMBER(_xlfn.XLOOKUP($C31,Phone_by_Sentiment!$B$2:$B$37,Phone_by_Sentiment!F$2:F$37,"",0,1)),_xlfn.XLOOKUP($C31,Phone_by_Sentiment!$B$2:$B$37,Phone_by_Sentiment!F$2:F$37,"",0,1),0),$A31-TEXT(DATEVALUE($D31&amp;"-01"), "dd-mm-yyyy")),0),0)</f>
        <v>0</v>
      </c>
      <c r="G31" cm="1">
        <f t="array" ref="G31">IF($Q31&gt;=0,IFERROR(generateSalesData($D31, IF(ISNUMBER(_xlfn.XLOOKUP($C31,Phone_by_Sentiment!$B$2:$B$37,Phone_by_Sentiment!G$2:G$37,"",0,1)),_xlfn.XLOOKUP($C31,Phone_by_Sentiment!$B$2:$B$37,Phone_by_Sentiment!G$2:G$37,"",0,1),0),$A31-TEXT(DATEVALUE($D31&amp;"-01"), "dd-mm-yyyy")),0),0)</f>
        <v>0</v>
      </c>
      <c r="H31" cm="1">
        <f t="array" ref="H31">IF($Q31&gt;=0,IFERROR(generateSalesData($D31, IF(ISNUMBER(_xlfn.XLOOKUP($C31,Phone_by_Sentiment!$B$2:$B$37,Phone_by_Sentiment!H$2:H$37,"",0,1)),_xlfn.XLOOKUP($C31,Phone_by_Sentiment!$B$2:$B$37,Phone_by_Sentiment!H$2:H$37,"",0,1),0),$A31-TEXT(DATEVALUE($D31&amp;"-01"), "dd-mm-yyyy")),0),0)</f>
        <v>0</v>
      </c>
      <c r="I31" cm="1">
        <f t="array" ref="I31">IF($Q31&gt;=0,IFERROR(generateSalesData($D31, IF(ISNUMBER(_xlfn.XLOOKUP($C31,Phone_by_Sentiment!$B$2:$B$37,Phone_by_Sentiment!I$2:I$37,"",0,1)),_xlfn.XLOOKUP($C31,Phone_by_Sentiment!$B$2:$B$37,Phone_by_Sentiment!I$2:I$37,"",0,1),0),$A31-TEXT(DATEVALUE($D31&amp;"-01"), "dd-mm-yyyy")),0),0)</f>
        <v>0</v>
      </c>
      <c r="J31" cm="1">
        <f t="array" ref="J31">IF($Q31&gt;=0,IFERROR(generateSalesData($D31, IF(ISNUMBER(_xlfn.XLOOKUP($C31,Phone_by_Sentiment!$B$2:$B$37,Phone_by_Sentiment!J$2:J$37,"",0,1)),_xlfn.XLOOKUP($C31,Phone_by_Sentiment!$B$2:$B$37,Phone_by_Sentiment!J$2:J$37,"",0,1),0),$A31-TEXT(DATEVALUE($D31&amp;"-01"), "dd-mm-yyyy")),0),0)</f>
        <v>0</v>
      </c>
      <c r="K31" cm="1">
        <f t="array" ref="K31">IF($Q31&gt;=0,IFERROR(generateSalesData($D31, IF(ISNUMBER(_xlfn.XLOOKUP($C31,Phone_by_Sentiment!$B$2:$B$37,Phone_by_Sentiment!K$2:K$37,"",0,1)),_xlfn.XLOOKUP($C31,Phone_by_Sentiment!$B$2:$B$37,Phone_by_Sentiment!K$2:K$37,"",0,1),0),$A31-TEXT(DATEVALUE($D31&amp;"-01"), "dd-mm-yyyy")),0),0)</f>
        <v>0</v>
      </c>
      <c r="L31" cm="1">
        <f t="array" ref="L31">IF($Q31&gt;=0,IFERROR(generateSalesData($D31, IF(ISNUMBER(_xlfn.XLOOKUP($C31,Phone_by_Sentiment!$B$2:$B$37,Phone_by_Sentiment!L$2:L$37,"",0,1)),_xlfn.XLOOKUP($C31,Phone_by_Sentiment!$B$2:$B$37,Phone_by_Sentiment!L$2:L$37,"",0,1),0),$A31-TEXT(DATEVALUE($D31&amp;"-01"), "dd-mm-yyyy")),0),0)</f>
        <v>0</v>
      </c>
      <c r="M31" cm="1">
        <f t="array" ref="M31">IF($Q31&gt;=0,IFERROR(generateSalesData($D31, IF(ISNUMBER(_xlfn.XLOOKUP($C31,Phone_by_Sentiment!$B$2:$B$37,Phone_by_Sentiment!M$2:M$37,"",0,1)),_xlfn.XLOOKUP($C31,Phone_by_Sentiment!$B$2:$B$37,Phone_by_Sentiment!M$2:M$37,"",0,1),0),$A31-TEXT(DATEVALUE($D31&amp;"-01"), "dd-mm-yyyy")),0),0)</f>
        <v>0</v>
      </c>
      <c r="N31" cm="1">
        <f t="array" ref="N31">IF($Q31&gt;=0,IFERROR(generateSalesData($D31, IF(ISNUMBER(_xlfn.XLOOKUP($C31,Phone_by_Sentiment!$B$2:$B$37,Phone_by_Sentiment!N$2:N$37,"",0,1)),_xlfn.XLOOKUP($C31,Phone_by_Sentiment!$B$2:$B$37,Phone_by_Sentiment!N$2:N$37,"",0,1),0),$A31-TEXT(DATEVALUE($D31&amp;"-01"), "dd-mm-yyyy")),0),0)</f>
        <v>0</v>
      </c>
      <c r="O31" cm="1">
        <f t="array" ref="O31">IF($Q31&gt;=0,IFERROR(generateSalesData($D31, IF(ISNUMBER(_xlfn.XLOOKUP($C31,Phone_by_Sentiment!$B$2:$B$37,Phone_by_Sentiment!O$2:O$37,"",0,1)),_xlfn.XLOOKUP($C31,Phone_by_Sentiment!$B$2:$B$37,Phone_by_Sentiment!O$2:O$37,"",0,1),0),$A31-TEXT(DATEVALUE($D31&amp;"-01"), "dd-mm-yyyy")),0),0)</f>
        <v>0</v>
      </c>
      <c r="P31" s="1">
        <f t="shared" si="1"/>
        <v>44228</v>
      </c>
      <c r="Q31">
        <f t="shared" si="2"/>
        <v>-762</v>
      </c>
    </row>
    <row r="32" spans="1:17" x14ac:dyDescent="0.25">
      <c r="A32" s="1">
        <f t="shared" si="0"/>
        <v>43466</v>
      </c>
      <c r="B32" t="s">
        <v>171</v>
      </c>
      <c r="C32" t="str">
        <f>_xlfn.XLOOKUP(B32,Phone_by_Price!$A$2:$A$34,Phone_by_Price!$B$2:$B$34,"-",0,1)</f>
        <v>Samsung Galaxy A22 5G</v>
      </c>
      <c r="D32" t="str">
        <f>_xlfn.XLOOKUP(C32,Phone_by_Sentiment!$B$2:$B$37,Phone_by_Sentiment!$A$2:$A$37,"-",0,1)</f>
        <v>2021-05</v>
      </c>
      <c r="E32" cm="1">
        <f t="array" ref="E32">IF($Q32&gt;=0,IFERROR(generateSalesData($D32, IF(ISNUMBER(_xlfn.XLOOKUP($C32,Phone_by_Sentiment!$B$2:$B$37,Phone_by_Sentiment!E$2:E$37,"",0,1)),_xlfn.XLOOKUP($C32,Phone_by_Sentiment!$B$2:$B$37,Phone_by_Sentiment!E$2:E$37,"",0,1),0),$A32-TEXT(DATEVALUE($D32&amp;"-01"), "dd-mm-yyyy")),0),0)</f>
        <v>0</v>
      </c>
      <c r="F32" cm="1">
        <f t="array" ref="F32">IF($Q32&gt;=0,IFERROR(generateSalesData($D32, IF(ISNUMBER(_xlfn.XLOOKUP($C32,Phone_by_Sentiment!$B$2:$B$37,Phone_by_Sentiment!F$2:F$37,"",0,1)),_xlfn.XLOOKUP($C32,Phone_by_Sentiment!$B$2:$B$37,Phone_by_Sentiment!F$2:F$37,"",0,1),0),$A32-TEXT(DATEVALUE($D32&amp;"-01"), "dd-mm-yyyy")),0),0)</f>
        <v>0</v>
      </c>
      <c r="G32" cm="1">
        <f t="array" ref="G32">IF($Q32&gt;=0,IFERROR(generateSalesData($D32, IF(ISNUMBER(_xlfn.XLOOKUP($C32,Phone_by_Sentiment!$B$2:$B$37,Phone_by_Sentiment!G$2:G$37,"",0,1)),_xlfn.XLOOKUP($C32,Phone_by_Sentiment!$B$2:$B$37,Phone_by_Sentiment!G$2:G$37,"",0,1),0),$A32-TEXT(DATEVALUE($D32&amp;"-01"), "dd-mm-yyyy")),0),0)</f>
        <v>0</v>
      </c>
      <c r="H32" cm="1">
        <f t="array" ref="H32">IF($Q32&gt;=0,IFERROR(generateSalesData($D32, IF(ISNUMBER(_xlfn.XLOOKUP($C32,Phone_by_Sentiment!$B$2:$B$37,Phone_by_Sentiment!H$2:H$37,"",0,1)),_xlfn.XLOOKUP($C32,Phone_by_Sentiment!$B$2:$B$37,Phone_by_Sentiment!H$2:H$37,"",0,1),0),$A32-TEXT(DATEVALUE($D32&amp;"-01"), "dd-mm-yyyy")),0),0)</f>
        <v>0</v>
      </c>
      <c r="I32" cm="1">
        <f t="array" ref="I32">IF($Q32&gt;=0,IFERROR(generateSalesData($D32, IF(ISNUMBER(_xlfn.XLOOKUP($C32,Phone_by_Sentiment!$B$2:$B$37,Phone_by_Sentiment!I$2:I$37,"",0,1)),_xlfn.XLOOKUP($C32,Phone_by_Sentiment!$B$2:$B$37,Phone_by_Sentiment!I$2:I$37,"",0,1),0),$A32-TEXT(DATEVALUE($D32&amp;"-01"), "dd-mm-yyyy")),0),0)</f>
        <v>0</v>
      </c>
      <c r="J32" cm="1">
        <f t="array" ref="J32">IF($Q32&gt;=0,IFERROR(generateSalesData($D32, IF(ISNUMBER(_xlfn.XLOOKUP($C32,Phone_by_Sentiment!$B$2:$B$37,Phone_by_Sentiment!J$2:J$37,"",0,1)),_xlfn.XLOOKUP($C32,Phone_by_Sentiment!$B$2:$B$37,Phone_by_Sentiment!J$2:J$37,"",0,1),0),$A32-TEXT(DATEVALUE($D32&amp;"-01"), "dd-mm-yyyy")),0),0)</f>
        <v>0</v>
      </c>
      <c r="K32" cm="1">
        <f t="array" ref="K32">IF($Q32&gt;=0,IFERROR(generateSalesData($D32, IF(ISNUMBER(_xlfn.XLOOKUP($C32,Phone_by_Sentiment!$B$2:$B$37,Phone_by_Sentiment!K$2:K$37,"",0,1)),_xlfn.XLOOKUP($C32,Phone_by_Sentiment!$B$2:$B$37,Phone_by_Sentiment!K$2:K$37,"",0,1),0),$A32-TEXT(DATEVALUE($D32&amp;"-01"), "dd-mm-yyyy")),0),0)</f>
        <v>0</v>
      </c>
      <c r="L32" cm="1">
        <f t="array" ref="L32">IF($Q32&gt;=0,IFERROR(generateSalesData($D32, IF(ISNUMBER(_xlfn.XLOOKUP($C32,Phone_by_Sentiment!$B$2:$B$37,Phone_by_Sentiment!L$2:L$37,"",0,1)),_xlfn.XLOOKUP($C32,Phone_by_Sentiment!$B$2:$B$37,Phone_by_Sentiment!L$2:L$37,"",0,1),0),$A32-TEXT(DATEVALUE($D32&amp;"-01"), "dd-mm-yyyy")),0),0)</f>
        <v>0</v>
      </c>
      <c r="M32" cm="1">
        <f t="array" ref="M32">IF($Q32&gt;=0,IFERROR(generateSalesData($D32, IF(ISNUMBER(_xlfn.XLOOKUP($C32,Phone_by_Sentiment!$B$2:$B$37,Phone_by_Sentiment!M$2:M$37,"",0,1)),_xlfn.XLOOKUP($C32,Phone_by_Sentiment!$B$2:$B$37,Phone_by_Sentiment!M$2:M$37,"",0,1),0),$A32-TEXT(DATEVALUE($D32&amp;"-01"), "dd-mm-yyyy")),0),0)</f>
        <v>0</v>
      </c>
      <c r="N32" cm="1">
        <f t="array" ref="N32">IF($Q32&gt;=0,IFERROR(generateSalesData($D32, IF(ISNUMBER(_xlfn.XLOOKUP($C32,Phone_by_Sentiment!$B$2:$B$37,Phone_by_Sentiment!N$2:N$37,"",0,1)),_xlfn.XLOOKUP($C32,Phone_by_Sentiment!$B$2:$B$37,Phone_by_Sentiment!N$2:N$37,"",0,1),0),$A32-TEXT(DATEVALUE($D32&amp;"-01"), "dd-mm-yyyy")),0),0)</f>
        <v>0</v>
      </c>
      <c r="O32" cm="1">
        <f t="array" ref="O32">IF($Q32&gt;=0,IFERROR(generateSalesData($D32, IF(ISNUMBER(_xlfn.XLOOKUP($C32,Phone_by_Sentiment!$B$2:$B$37,Phone_by_Sentiment!O$2:O$37,"",0,1)),_xlfn.XLOOKUP($C32,Phone_by_Sentiment!$B$2:$B$37,Phone_by_Sentiment!O$2:O$37,"",0,1),0),$A32-TEXT(DATEVALUE($D32&amp;"-01"), "dd-mm-yyyy")),0),0)</f>
        <v>0</v>
      </c>
      <c r="P32" s="1">
        <f t="shared" si="1"/>
        <v>44317</v>
      </c>
      <c r="Q32">
        <f t="shared" si="2"/>
        <v>-851</v>
      </c>
    </row>
    <row r="33" spans="1:17" x14ac:dyDescent="0.25">
      <c r="A33" s="1">
        <f t="shared" si="0"/>
        <v>43466</v>
      </c>
      <c r="B33" t="s">
        <v>172</v>
      </c>
      <c r="C33" t="str">
        <f>_xlfn.XLOOKUP(B33,Phone_by_Price!$A$2:$A$34,Phone_by_Price!$B$2:$B$34,"-",0,1)</f>
        <v>Xiaomi Redmi 9</v>
      </c>
      <c r="D33" t="str">
        <f>_xlfn.XLOOKUP(C33,Phone_by_Sentiment!$B$2:$B$37,Phone_by_Sentiment!$A$2:$A$37,"-",0,1)</f>
        <v>2020-08</v>
      </c>
      <c r="E33" cm="1">
        <f t="array" ref="E33">IF($Q33&gt;=0,IFERROR(generateSalesData($D33, IF(ISNUMBER(_xlfn.XLOOKUP($C33,Phone_by_Sentiment!$B$2:$B$37,Phone_by_Sentiment!E$2:E$37,"",0,1)),_xlfn.XLOOKUP($C33,Phone_by_Sentiment!$B$2:$B$37,Phone_by_Sentiment!E$2:E$37,"",0,1),0),$A33-TEXT(DATEVALUE($D33&amp;"-01"), "dd-mm-yyyy")),0),0)</f>
        <v>0</v>
      </c>
      <c r="F33" cm="1">
        <f t="array" ref="F33">IF($Q33&gt;=0,IFERROR(generateSalesData($D33, IF(ISNUMBER(_xlfn.XLOOKUP($C33,Phone_by_Sentiment!$B$2:$B$37,Phone_by_Sentiment!F$2:F$37,"",0,1)),_xlfn.XLOOKUP($C33,Phone_by_Sentiment!$B$2:$B$37,Phone_by_Sentiment!F$2:F$37,"",0,1),0),$A33-TEXT(DATEVALUE($D33&amp;"-01"), "dd-mm-yyyy")),0),0)</f>
        <v>0</v>
      </c>
      <c r="G33" cm="1">
        <f t="array" ref="G33">IF($Q33&gt;=0,IFERROR(generateSalesData($D33, IF(ISNUMBER(_xlfn.XLOOKUP($C33,Phone_by_Sentiment!$B$2:$B$37,Phone_by_Sentiment!G$2:G$37,"",0,1)),_xlfn.XLOOKUP($C33,Phone_by_Sentiment!$B$2:$B$37,Phone_by_Sentiment!G$2:G$37,"",0,1),0),$A33-TEXT(DATEVALUE($D33&amp;"-01"), "dd-mm-yyyy")),0),0)</f>
        <v>0</v>
      </c>
      <c r="H33" cm="1">
        <f t="array" ref="H33">IF($Q33&gt;=0,IFERROR(generateSalesData($D33, IF(ISNUMBER(_xlfn.XLOOKUP($C33,Phone_by_Sentiment!$B$2:$B$37,Phone_by_Sentiment!H$2:H$37,"",0,1)),_xlfn.XLOOKUP($C33,Phone_by_Sentiment!$B$2:$B$37,Phone_by_Sentiment!H$2:H$37,"",0,1),0),$A33-TEXT(DATEVALUE($D33&amp;"-01"), "dd-mm-yyyy")),0),0)</f>
        <v>0</v>
      </c>
      <c r="I33" cm="1">
        <f t="array" ref="I33">IF($Q33&gt;=0,IFERROR(generateSalesData($D33, IF(ISNUMBER(_xlfn.XLOOKUP($C33,Phone_by_Sentiment!$B$2:$B$37,Phone_by_Sentiment!I$2:I$37,"",0,1)),_xlfn.XLOOKUP($C33,Phone_by_Sentiment!$B$2:$B$37,Phone_by_Sentiment!I$2:I$37,"",0,1),0),$A33-TEXT(DATEVALUE($D33&amp;"-01"), "dd-mm-yyyy")),0),0)</f>
        <v>0</v>
      </c>
      <c r="J33" cm="1">
        <f t="array" ref="J33">IF($Q33&gt;=0,IFERROR(generateSalesData($D33, IF(ISNUMBER(_xlfn.XLOOKUP($C33,Phone_by_Sentiment!$B$2:$B$37,Phone_by_Sentiment!J$2:J$37,"",0,1)),_xlfn.XLOOKUP($C33,Phone_by_Sentiment!$B$2:$B$37,Phone_by_Sentiment!J$2:J$37,"",0,1),0),$A33-TEXT(DATEVALUE($D33&amp;"-01"), "dd-mm-yyyy")),0),0)</f>
        <v>0</v>
      </c>
      <c r="K33" cm="1">
        <f t="array" ref="K33">IF($Q33&gt;=0,IFERROR(generateSalesData($D33, IF(ISNUMBER(_xlfn.XLOOKUP($C33,Phone_by_Sentiment!$B$2:$B$37,Phone_by_Sentiment!K$2:K$37,"",0,1)),_xlfn.XLOOKUP($C33,Phone_by_Sentiment!$B$2:$B$37,Phone_by_Sentiment!K$2:K$37,"",0,1),0),$A33-TEXT(DATEVALUE($D33&amp;"-01"), "dd-mm-yyyy")),0),0)</f>
        <v>0</v>
      </c>
      <c r="L33" cm="1">
        <f t="array" ref="L33">IF($Q33&gt;=0,IFERROR(generateSalesData($D33, IF(ISNUMBER(_xlfn.XLOOKUP($C33,Phone_by_Sentiment!$B$2:$B$37,Phone_by_Sentiment!L$2:L$37,"",0,1)),_xlfn.XLOOKUP($C33,Phone_by_Sentiment!$B$2:$B$37,Phone_by_Sentiment!L$2:L$37,"",0,1),0),$A33-TEXT(DATEVALUE($D33&amp;"-01"), "dd-mm-yyyy")),0),0)</f>
        <v>0</v>
      </c>
      <c r="M33" cm="1">
        <f t="array" ref="M33">IF($Q33&gt;=0,IFERROR(generateSalesData($D33, IF(ISNUMBER(_xlfn.XLOOKUP($C33,Phone_by_Sentiment!$B$2:$B$37,Phone_by_Sentiment!M$2:M$37,"",0,1)),_xlfn.XLOOKUP($C33,Phone_by_Sentiment!$B$2:$B$37,Phone_by_Sentiment!M$2:M$37,"",0,1),0),$A33-TEXT(DATEVALUE($D33&amp;"-01"), "dd-mm-yyyy")),0),0)</f>
        <v>0</v>
      </c>
      <c r="N33" cm="1">
        <f t="array" ref="N33">IF($Q33&gt;=0,IFERROR(generateSalesData($D33, IF(ISNUMBER(_xlfn.XLOOKUP($C33,Phone_by_Sentiment!$B$2:$B$37,Phone_by_Sentiment!N$2:N$37,"",0,1)),_xlfn.XLOOKUP($C33,Phone_by_Sentiment!$B$2:$B$37,Phone_by_Sentiment!N$2:N$37,"",0,1),0),$A33-TEXT(DATEVALUE($D33&amp;"-01"), "dd-mm-yyyy")),0),0)</f>
        <v>0</v>
      </c>
      <c r="O33" cm="1">
        <f t="array" ref="O33">IF($Q33&gt;=0,IFERROR(generateSalesData($D33, IF(ISNUMBER(_xlfn.XLOOKUP($C33,Phone_by_Sentiment!$B$2:$B$37,Phone_by_Sentiment!O$2:O$37,"",0,1)),_xlfn.XLOOKUP($C33,Phone_by_Sentiment!$B$2:$B$37,Phone_by_Sentiment!O$2:O$37,"",0,1),0),$A33-TEXT(DATEVALUE($D33&amp;"-01"), "dd-mm-yyyy")),0),0)</f>
        <v>0</v>
      </c>
      <c r="P33" s="1">
        <f t="shared" si="1"/>
        <v>44044</v>
      </c>
      <c r="Q33">
        <f t="shared" si="2"/>
        <v>-578</v>
      </c>
    </row>
    <row r="34" spans="1:17" x14ac:dyDescent="0.25">
      <c r="A34" s="1">
        <f t="shared" si="0"/>
        <v>43466</v>
      </c>
      <c r="B34" t="s">
        <v>173</v>
      </c>
      <c r="C34" t="str">
        <f>_xlfn.XLOOKUP(B34,Phone_by_Price!$A$2:$A$34,Phone_by_Price!$B$2:$B$34,"-",0,1)</f>
        <v>Realme C3</v>
      </c>
      <c r="D34" t="str">
        <f>_xlfn.XLOOKUP(C34,Phone_by_Sentiment!$B$2:$B$37,Phone_by_Sentiment!$A$2:$A$37,"-",0,1)</f>
        <v>2020-02</v>
      </c>
      <c r="E34" cm="1">
        <f t="array" ref="E34">IF($Q34&gt;=0,IFERROR(generateSalesData($D34, IF(ISNUMBER(_xlfn.XLOOKUP($C34,Phone_by_Sentiment!$B$2:$B$37,Phone_by_Sentiment!E$2:E$37,"",0,1)),_xlfn.XLOOKUP($C34,Phone_by_Sentiment!$B$2:$B$37,Phone_by_Sentiment!E$2:E$37,"",0,1),0),$A34-TEXT(DATEVALUE($D34&amp;"-01"), "dd-mm-yyyy")),0),0)</f>
        <v>0</v>
      </c>
      <c r="F34" cm="1">
        <f t="array" ref="F34">IF($Q34&gt;=0,IFERROR(generateSalesData($D34, IF(ISNUMBER(_xlfn.XLOOKUP($C34,Phone_by_Sentiment!$B$2:$B$37,Phone_by_Sentiment!F$2:F$37,"",0,1)),_xlfn.XLOOKUP($C34,Phone_by_Sentiment!$B$2:$B$37,Phone_by_Sentiment!F$2:F$37,"",0,1),0),$A34-TEXT(DATEVALUE($D34&amp;"-01"), "dd-mm-yyyy")),0),0)</f>
        <v>0</v>
      </c>
      <c r="G34" cm="1">
        <f t="array" ref="G34">IF($Q34&gt;=0,IFERROR(generateSalesData($D34, IF(ISNUMBER(_xlfn.XLOOKUP($C34,Phone_by_Sentiment!$B$2:$B$37,Phone_by_Sentiment!G$2:G$37,"",0,1)),_xlfn.XLOOKUP($C34,Phone_by_Sentiment!$B$2:$B$37,Phone_by_Sentiment!G$2:G$37,"",0,1),0),$A34-TEXT(DATEVALUE($D34&amp;"-01"), "dd-mm-yyyy")),0),0)</f>
        <v>0</v>
      </c>
      <c r="H34" cm="1">
        <f t="array" ref="H34">IF($Q34&gt;=0,IFERROR(generateSalesData($D34, IF(ISNUMBER(_xlfn.XLOOKUP($C34,Phone_by_Sentiment!$B$2:$B$37,Phone_by_Sentiment!H$2:H$37,"",0,1)),_xlfn.XLOOKUP($C34,Phone_by_Sentiment!$B$2:$B$37,Phone_by_Sentiment!H$2:H$37,"",0,1),0),$A34-TEXT(DATEVALUE($D34&amp;"-01"), "dd-mm-yyyy")),0),0)</f>
        <v>0</v>
      </c>
      <c r="I34" cm="1">
        <f t="array" ref="I34">IF($Q34&gt;=0,IFERROR(generateSalesData($D34, IF(ISNUMBER(_xlfn.XLOOKUP($C34,Phone_by_Sentiment!$B$2:$B$37,Phone_by_Sentiment!I$2:I$37,"",0,1)),_xlfn.XLOOKUP($C34,Phone_by_Sentiment!$B$2:$B$37,Phone_by_Sentiment!I$2:I$37,"",0,1),0),$A34-TEXT(DATEVALUE($D34&amp;"-01"), "dd-mm-yyyy")),0),0)</f>
        <v>0</v>
      </c>
      <c r="J34" cm="1">
        <f t="array" ref="J34">IF($Q34&gt;=0,IFERROR(generateSalesData($D34, IF(ISNUMBER(_xlfn.XLOOKUP($C34,Phone_by_Sentiment!$B$2:$B$37,Phone_by_Sentiment!J$2:J$37,"",0,1)),_xlfn.XLOOKUP($C34,Phone_by_Sentiment!$B$2:$B$37,Phone_by_Sentiment!J$2:J$37,"",0,1),0),$A34-TEXT(DATEVALUE($D34&amp;"-01"), "dd-mm-yyyy")),0),0)</f>
        <v>0</v>
      </c>
      <c r="K34" cm="1">
        <f t="array" ref="K34">IF($Q34&gt;=0,IFERROR(generateSalesData($D34, IF(ISNUMBER(_xlfn.XLOOKUP($C34,Phone_by_Sentiment!$B$2:$B$37,Phone_by_Sentiment!K$2:K$37,"",0,1)),_xlfn.XLOOKUP($C34,Phone_by_Sentiment!$B$2:$B$37,Phone_by_Sentiment!K$2:K$37,"",0,1),0),$A34-TEXT(DATEVALUE($D34&amp;"-01"), "dd-mm-yyyy")),0),0)</f>
        <v>0</v>
      </c>
      <c r="L34" cm="1">
        <f t="array" ref="L34">IF($Q34&gt;=0,IFERROR(generateSalesData($D34, IF(ISNUMBER(_xlfn.XLOOKUP($C34,Phone_by_Sentiment!$B$2:$B$37,Phone_by_Sentiment!L$2:L$37,"",0,1)),_xlfn.XLOOKUP($C34,Phone_by_Sentiment!$B$2:$B$37,Phone_by_Sentiment!L$2:L$37,"",0,1),0),$A34-TEXT(DATEVALUE($D34&amp;"-01"), "dd-mm-yyyy")),0),0)</f>
        <v>0</v>
      </c>
      <c r="M34" cm="1">
        <f t="array" ref="M34">IF($Q34&gt;=0,IFERROR(generateSalesData($D34, IF(ISNUMBER(_xlfn.XLOOKUP($C34,Phone_by_Sentiment!$B$2:$B$37,Phone_by_Sentiment!M$2:M$37,"",0,1)),_xlfn.XLOOKUP($C34,Phone_by_Sentiment!$B$2:$B$37,Phone_by_Sentiment!M$2:M$37,"",0,1),0),$A34-TEXT(DATEVALUE($D34&amp;"-01"), "dd-mm-yyyy")),0),0)</f>
        <v>0</v>
      </c>
      <c r="N34" cm="1">
        <f t="array" ref="N34">IF($Q34&gt;=0,IFERROR(generateSalesData($D34, IF(ISNUMBER(_xlfn.XLOOKUP($C34,Phone_by_Sentiment!$B$2:$B$37,Phone_by_Sentiment!N$2:N$37,"",0,1)),_xlfn.XLOOKUP($C34,Phone_by_Sentiment!$B$2:$B$37,Phone_by_Sentiment!N$2:N$37,"",0,1),0),$A34-TEXT(DATEVALUE($D34&amp;"-01"), "dd-mm-yyyy")),0),0)</f>
        <v>0</v>
      </c>
      <c r="O34" cm="1">
        <f t="array" ref="O34">IF($Q34&gt;=0,IFERROR(generateSalesData($D34, IF(ISNUMBER(_xlfn.XLOOKUP($C34,Phone_by_Sentiment!$B$2:$B$37,Phone_by_Sentiment!O$2:O$37,"",0,1)),_xlfn.XLOOKUP($C34,Phone_by_Sentiment!$B$2:$B$37,Phone_by_Sentiment!O$2:O$37,"",0,1),0),$A34-TEXT(DATEVALUE($D34&amp;"-01"), "dd-mm-yyyy")),0),0)</f>
        <v>0</v>
      </c>
      <c r="P34" s="1">
        <f t="shared" si="1"/>
        <v>43862</v>
      </c>
      <c r="Q34">
        <f t="shared" si="2"/>
        <v>-396</v>
      </c>
    </row>
    <row r="35" spans="1:17" x14ac:dyDescent="0.25">
      <c r="A35" s="1">
        <f t="shared" si="0"/>
        <v>43466</v>
      </c>
      <c r="B35" t="s">
        <v>174</v>
      </c>
      <c r="C35" t="str">
        <f>_xlfn.XLOOKUP(B35,Phone_by_Price!$A$2:$A$34,Phone_by_Price!$B$2:$B$34,"-",0,1)</f>
        <v>Samsung Galaxy A7</v>
      </c>
      <c r="D35" t="str">
        <f>_xlfn.XLOOKUP(C35,Phone_by_Sentiment!$B$2:$B$37,Phone_by_Sentiment!$A$2:$A$37,"-",0,1)</f>
        <v>2018-10</v>
      </c>
      <c r="E35" cm="1">
        <f t="array" ref="E35">IF($Q35&gt;=0,IFERROR(generateSalesData($D35, IF(ISNUMBER(_xlfn.XLOOKUP($C35,Phone_by_Sentiment!$B$2:$B$37,Phone_by_Sentiment!E$2:E$37,"",0,1)),_xlfn.XLOOKUP($C35,Phone_by_Sentiment!$B$2:$B$37,Phone_by_Sentiment!E$2:E$37,"",0,1),0),$A35-TEXT(DATEVALUE($D35&amp;"-01"), "dd-mm-yyyy")),0),0)</f>
        <v>945</v>
      </c>
      <c r="F35" cm="1">
        <f t="array" ref="F35">IF($Q35&gt;=0,IFERROR(generateSalesData($D35, IF(ISNUMBER(_xlfn.XLOOKUP($C35,Phone_by_Sentiment!$B$2:$B$37,Phone_by_Sentiment!F$2:F$37,"",0,1)),_xlfn.XLOOKUP($C35,Phone_by_Sentiment!$B$2:$B$37,Phone_by_Sentiment!F$2:F$37,"",0,1),0),$A35-TEXT(DATEVALUE($D35&amp;"-01"), "dd-mm-yyyy")),0),0)</f>
        <v>394</v>
      </c>
      <c r="G35" cm="1">
        <f t="array" ref="G35">IF($Q35&gt;=0,IFERROR(generateSalesData($D35, IF(ISNUMBER(_xlfn.XLOOKUP($C35,Phone_by_Sentiment!$B$2:$B$37,Phone_by_Sentiment!G$2:G$37,"",0,1)),_xlfn.XLOOKUP($C35,Phone_by_Sentiment!$B$2:$B$37,Phone_by_Sentiment!G$2:G$37,"",0,1),0),$A35-TEXT(DATEVALUE($D35&amp;"-01"), "dd-mm-yyyy")),0),0)</f>
        <v>762</v>
      </c>
      <c r="H35" cm="1">
        <f t="array" ref="H35">IF($Q35&gt;=0,IFERROR(generateSalesData($D35, IF(ISNUMBER(_xlfn.XLOOKUP($C35,Phone_by_Sentiment!$B$2:$B$37,Phone_by_Sentiment!H$2:H$37,"",0,1)),_xlfn.XLOOKUP($C35,Phone_by_Sentiment!$B$2:$B$37,Phone_by_Sentiment!H$2:H$37,"",0,1),0),$A35-TEXT(DATEVALUE($D35&amp;"-01"), "dd-mm-yyyy")),0),0)</f>
        <v>3561</v>
      </c>
      <c r="I35" cm="1">
        <f t="array" ref="I35">IF($Q35&gt;=0,IFERROR(generateSalesData($D35, IF(ISNUMBER(_xlfn.XLOOKUP($C35,Phone_by_Sentiment!$B$2:$B$37,Phone_by_Sentiment!I$2:I$37,"",0,1)),_xlfn.XLOOKUP($C35,Phone_by_Sentiment!$B$2:$B$37,Phone_by_Sentiment!I$2:I$37,"",0,1),0),$A35-TEXT(DATEVALUE($D35&amp;"-01"), "dd-mm-yyyy")),0),0)</f>
        <v>2565</v>
      </c>
      <c r="J35" cm="1">
        <f t="array" ref="J35">IF($Q35&gt;=0,IFERROR(generateSalesData($D35, IF(ISNUMBER(_xlfn.XLOOKUP($C35,Phone_by_Sentiment!$B$2:$B$37,Phone_by_Sentiment!J$2:J$37,"",0,1)),_xlfn.XLOOKUP($C35,Phone_by_Sentiment!$B$2:$B$37,Phone_by_Sentiment!J$2:J$37,"",0,1),0),$A35-TEXT(DATEVALUE($D35&amp;"-01"), "dd-mm-yyyy")),0),0)</f>
        <v>408</v>
      </c>
      <c r="K35" cm="1">
        <f t="array" ref="K35">IF($Q35&gt;=0,IFERROR(generateSalesData($D35, IF(ISNUMBER(_xlfn.XLOOKUP($C35,Phone_by_Sentiment!$B$2:$B$37,Phone_by_Sentiment!K$2:K$37,"",0,1)),_xlfn.XLOOKUP($C35,Phone_by_Sentiment!$B$2:$B$37,Phone_by_Sentiment!K$2:K$37,"",0,1),0),$A35-TEXT(DATEVALUE($D35&amp;"-01"), "dd-mm-yyyy")),0),0)</f>
        <v>1208</v>
      </c>
      <c r="L35" cm="1">
        <f t="array" ref="L35">IF($Q35&gt;=0,IFERROR(generateSalesData($D35, IF(ISNUMBER(_xlfn.XLOOKUP($C35,Phone_by_Sentiment!$B$2:$B$37,Phone_by_Sentiment!L$2:L$37,"",0,1)),_xlfn.XLOOKUP($C35,Phone_by_Sentiment!$B$2:$B$37,Phone_by_Sentiment!L$2:L$37,"",0,1),0),$A35-TEXT(DATEVALUE($D35&amp;"-01"), "dd-mm-yyyy")),0),0)</f>
        <v>562</v>
      </c>
      <c r="M35" cm="1">
        <f t="array" ref="M35">IF($Q35&gt;=0,IFERROR(generateSalesData($D35, IF(ISNUMBER(_xlfn.XLOOKUP($C35,Phone_by_Sentiment!$B$2:$B$37,Phone_by_Sentiment!M$2:M$37,"",0,1)),_xlfn.XLOOKUP($C35,Phone_by_Sentiment!$B$2:$B$37,Phone_by_Sentiment!M$2:M$37,"",0,1),0),$A35-TEXT(DATEVALUE($D35&amp;"-01"), "dd-mm-yyyy")),0),0)</f>
        <v>3213</v>
      </c>
      <c r="N35" cm="1">
        <f t="array" ref="N35">IF($Q35&gt;=0,IFERROR(generateSalesData($D35, IF(ISNUMBER(_xlfn.XLOOKUP($C35,Phone_by_Sentiment!$B$2:$B$37,Phone_by_Sentiment!N$2:N$37,"",0,1)),_xlfn.XLOOKUP($C35,Phone_by_Sentiment!$B$2:$B$37,Phone_by_Sentiment!N$2:N$37,"",0,1),0),$A35-TEXT(DATEVALUE($D35&amp;"-01"), "dd-mm-yyyy")),0),0)</f>
        <v>2295</v>
      </c>
      <c r="O35" cm="1">
        <f t="array" ref="O35">IF($Q35&gt;=0,IFERROR(generateSalesData($D35, IF(ISNUMBER(_xlfn.XLOOKUP($C35,Phone_by_Sentiment!$B$2:$B$37,Phone_by_Sentiment!O$2:O$37,"",0,1)),_xlfn.XLOOKUP($C35,Phone_by_Sentiment!$B$2:$B$37,Phone_by_Sentiment!O$2:O$37,"",0,1),0),$A35-TEXT(DATEVALUE($D35&amp;"-01"), "dd-mm-yyyy")),0),0)</f>
        <v>1451</v>
      </c>
      <c r="P35" s="1">
        <f t="shared" si="1"/>
        <v>43374</v>
      </c>
      <c r="Q35">
        <f t="shared" si="2"/>
        <v>92</v>
      </c>
    </row>
    <row r="36" spans="1:17" x14ac:dyDescent="0.25">
      <c r="A36" s="1">
        <f t="shared" si="0"/>
        <v>43497</v>
      </c>
      <c r="B36" t="s">
        <v>142</v>
      </c>
      <c r="C36" t="str">
        <f>_xlfn.XLOOKUP(B36,Phone_by_Price!$A$2:$A$34,Phone_by_Price!$B$2:$B$34,"-",0,1)</f>
        <v>iPhone 11</v>
      </c>
      <c r="D36" t="str">
        <f>_xlfn.XLOOKUP(C36,Phone_by_Sentiment!$B$2:$B$37,Phone_by_Sentiment!$A$2:$A$37,"-",0,1)</f>
        <v>2019-09</v>
      </c>
      <c r="E36" cm="1">
        <f t="array" ref="E36">IF($Q36&gt;=0,IFERROR(generateSalesData($D36, IF(ISNUMBER(_xlfn.XLOOKUP($C36,Phone_by_Sentiment!$B$2:$B$37,Phone_by_Sentiment!E$2:E$37,"",0,1)),_xlfn.XLOOKUP($C36,Phone_by_Sentiment!$B$2:$B$37,Phone_by_Sentiment!E$2:E$37,"",0,1),0),$A36-TEXT(DATEVALUE($D36&amp;"-01"), "dd-mm-yyyy")),0),0)</f>
        <v>0</v>
      </c>
      <c r="F36" cm="1">
        <f t="array" ref="F36">IF($Q36&gt;=0,IFERROR(generateSalesData($D36, IF(ISNUMBER(_xlfn.XLOOKUP($C36,Phone_by_Sentiment!$B$2:$B$37,Phone_by_Sentiment!F$2:F$37,"",0,1)),_xlfn.XLOOKUP($C36,Phone_by_Sentiment!$B$2:$B$37,Phone_by_Sentiment!F$2:F$37,"",0,1),0),$A36-TEXT(DATEVALUE($D36&amp;"-01"), "dd-mm-yyyy")),0),0)</f>
        <v>0</v>
      </c>
      <c r="G36" cm="1">
        <f t="array" ref="G36">IF($Q36&gt;=0,IFERROR(generateSalesData($D36, IF(ISNUMBER(_xlfn.XLOOKUP($C36,Phone_by_Sentiment!$B$2:$B$37,Phone_by_Sentiment!G$2:G$37,"",0,1)),_xlfn.XLOOKUP($C36,Phone_by_Sentiment!$B$2:$B$37,Phone_by_Sentiment!G$2:G$37,"",0,1),0),$A36-TEXT(DATEVALUE($D36&amp;"-01"), "dd-mm-yyyy")),0),0)</f>
        <v>0</v>
      </c>
      <c r="H36" cm="1">
        <f t="array" ref="H36">IF($Q36&gt;=0,IFERROR(generateSalesData($D36, IF(ISNUMBER(_xlfn.XLOOKUP($C36,Phone_by_Sentiment!$B$2:$B$37,Phone_by_Sentiment!H$2:H$37,"",0,1)),_xlfn.XLOOKUP($C36,Phone_by_Sentiment!$B$2:$B$37,Phone_by_Sentiment!H$2:H$37,"",0,1),0),$A36-TEXT(DATEVALUE($D36&amp;"-01"), "dd-mm-yyyy")),0),0)</f>
        <v>0</v>
      </c>
      <c r="I36" cm="1">
        <f t="array" ref="I36">IF($Q36&gt;=0,IFERROR(generateSalesData($D36, IF(ISNUMBER(_xlfn.XLOOKUP($C36,Phone_by_Sentiment!$B$2:$B$37,Phone_by_Sentiment!I$2:I$37,"",0,1)),_xlfn.XLOOKUP($C36,Phone_by_Sentiment!$B$2:$B$37,Phone_by_Sentiment!I$2:I$37,"",0,1),0),$A36-TEXT(DATEVALUE($D36&amp;"-01"), "dd-mm-yyyy")),0),0)</f>
        <v>0</v>
      </c>
      <c r="J36" cm="1">
        <f t="array" ref="J36">IF($Q36&gt;=0,IFERROR(generateSalesData($D36, IF(ISNUMBER(_xlfn.XLOOKUP($C36,Phone_by_Sentiment!$B$2:$B$37,Phone_by_Sentiment!J$2:J$37,"",0,1)),_xlfn.XLOOKUP($C36,Phone_by_Sentiment!$B$2:$B$37,Phone_by_Sentiment!J$2:J$37,"",0,1),0),$A36-TEXT(DATEVALUE($D36&amp;"-01"), "dd-mm-yyyy")),0),0)</f>
        <v>0</v>
      </c>
      <c r="K36" cm="1">
        <f t="array" ref="K36">IF($Q36&gt;=0,IFERROR(generateSalesData($D36, IF(ISNUMBER(_xlfn.XLOOKUP($C36,Phone_by_Sentiment!$B$2:$B$37,Phone_by_Sentiment!K$2:K$37,"",0,1)),_xlfn.XLOOKUP($C36,Phone_by_Sentiment!$B$2:$B$37,Phone_by_Sentiment!K$2:K$37,"",0,1),0),$A36-TEXT(DATEVALUE($D36&amp;"-01"), "dd-mm-yyyy")),0),0)</f>
        <v>0</v>
      </c>
      <c r="L36" cm="1">
        <f t="array" ref="L36">IF($Q36&gt;=0,IFERROR(generateSalesData($D36, IF(ISNUMBER(_xlfn.XLOOKUP($C36,Phone_by_Sentiment!$B$2:$B$37,Phone_by_Sentiment!L$2:L$37,"",0,1)),_xlfn.XLOOKUP($C36,Phone_by_Sentiment!$B$2:$B$37,Phone_by_Sentiment!L$2:L$37,"",0,1),0),$A36-TEXT(DATEVALUE($D36&amp;"-01"), "dd-mm-yyyy")),0),0)</f>
        <v>0</v>
      </c>
      <c r="M36" cm="1">
        <f t="array" ref="M36">IF($Q36&gt;=0,IFERROR(generateSalesData($D36, IF(ISNUMBER(_xlfn.XLOOKUP($C36,Phone_by_Sentiment!$B$2:$B$37,Phone_by_Sentiment!M$2:M$37,"",0,1)),_xlfn.XLOOKUP($C36,Phone_by_Sentiment!$B$2:$B$37,Phone_by_Sentiment!M$2:M$37,"",0,1),0),$A36-TEXT(DATEVALUE($D36&amp;"-01"), "dd-mm-yyyy")),0),0)</f>
        <v>0</v>
      </c>
      <c r="N36" cm="1">
        <f t="array" ref="N36">IF($Q36&gt;=0,IFERROR(generateSalesData($D36, IF(ISNUMBER(_xlfn.XLOOKUP($C36,Phone_by_Sentiment!$B$2:$B$37,Phone_by_Sentiment!N$2:N$37,"",0,1)),_xlfn.XLOOKUP($C36,Phone_by_Sentiment!$B$2:$B$37,Phone_by_Sentiment!N$2:N$37,"",0,1),0),$A36-TEXT(DATEVALUE($D36&amp;"-01"), "dd-mm-yyyy")),0),0)</f>
        <v>0</v>
      </c>
      <c r="O36" cm="1">
        <f t="array" ref="O36">IF($Q36&gt;=0,IFERROR(generateSalesData($D36, IF(ISNUMBER(_xlfn.XLOOKUP($C36,Phone_by_Sentiment!$B$2:$B$37,Phone_by_Sentiment!O$2:O$37,"",0,1)),_xlfn.XLOOKUP($C36,Phone_by_Sentiment!$B$2:$B$37,Phone_by_Sentiment!O$2:O$37,"",0,1),0),$A36-TEXT(DATEVALUE($D36&amp;"-01"), "dd-mm-yyyy")),0),0)</f>
        <v>0</v>
      </c>
      <c r="P36" s="1">
        <f t="shared" si="1"/>
        <v>43709</v>
      </c>
      <c r="Q36">
        <f t="shared" si="2"/>
        <v>-212</v>
      </c>
    </row>
    <row r="37" spans="1:17" x14ac:dyDescent="0.25">
      <c r="A37" s="1">
        <f t="shared" si="0"/>
        <v>43497</v>
      </c>
      <c r="B37" t="s">
        <v>143</v>
      </c>
      <c r="C37" t="str">
        <f>_xlfn.XLOOKUP(B37,Phone_by_Price!$A$2:$A$34,Phone_by_Price!$B$2:$B$34,"-",0,1)</f>
        <v>Samsung Galaxy S20 Ultra</v>
      </c>
      <c r="D37" t="str">
        <f>_xlfn.XLOOKUP(C37,Phone_by_Sentiment!$B$2:$B$37,Phone_by_Sentiment!$A$2:$A$37,"-",0,1)</f>
        <v>2020-02</v>
      </c>
      <c r="E37" cm="1">
        <f t="array" ref="E37">IF($Q37&gt;=0,IFERROR(generateSalesData($D37, IF(ISNUMBER(_xlfn.XLOOKUP($C37,Phone_by_Sentiment!$B$2:$B$37,Phone_by_Sentiment!E$2:E$37,"",0,1)),_xlfn.XLOOKUP($C37,Phone_by_Sentiment!$B$2:$B$37,Phone_by_Sentiment!E$2:E$37,"",0,1),0),$A37-TEXT(DATEVALUE($D37&amp;"-01"), "dd-mm-yyyy")),0),0)</f>
        <v>0</v>
      </c>
      <c r="F37" cm="1">
        <f t="array" ref="F37">IF($Q37&gt;=0,IFERROR(generateSalesData($D37, IF(ISNUMBER(_xlfn.XLOOKUP($C37,Phone_by_Sentiment!$B$2:$B$37,Phone_by_Sentiment!F$2:F$37,"",0,1)),_xlfn.XLOOKUP($C37,Phone_by_Sentiment!$B$2:$B$37,Phone_by_Sentiment!F$2:F$37,"",0,1),0),$A37-TEXT(DATEVALUE($D37&amp;"-01"), "dd-mm-yyyy")),0),0)</f>
        <v>0</v>
      </c>
      <c r="G37" cm="1">
        <f t="array" ref="G37">IF($Q37&gt;=0,IFERROR(generateSalesData($D37, IF(ISNUMBER(_xlfn.XLOOKUP($C37,Phone_by_Sentiment!$B$2:$B$37,Phone_by_Sentiment!G$2:G$37,"",0,1)),_xlfn.XLOOKUP($C37,Phone_by_Sentiment!$B$2:$B$37,Phone_by_Sentiment!G$2:G$37,"",0,1),0),$A37-TEXT(DATEVALUE($D37&amp;"-01"), "dd-mm-yyyy")),0),0)</f>
        <v>0</v>
      </c>
      <c r="H37" cm="1">
        <f t="array" ref="H37">IF($Q37&gt;=0,IFERROR(generateSalesData($D37, IF(ISNUMBER(_xlfn.XLOOKUP($C37,Phone_by_Sentiment!$B$2:$B$37,Phone_by_Sentiment!H$2:H$37,"",0,1)),_xlfn.XLOOKUP($C37,Phone_by_Sentiment!$B$2:$B$37,Phone_by_Sentiment!H$2:H$37,"",0,1),0),$A37-TEXT(DATEVALUE($D37&amp;"-01"), "dd-mm-yyyy")),0),0)</f>
        <v>0</v>
      </c>
      <c r="I37" cm="1">
        <f t="array" ref="I37">IF($Q37&gt;=0,IFERROR(generateSalesData($D37, IF(ISNUMBER(_xlfn.XLOOKUP($C37,Phone_by_Sentiment!$B$2:$B$37,Phone_by_Sentiment!I$2:I$37,"",0,1)),_xlfn.XLOOKUP($C37,Phone_by_Sentiment!$B$2:$B$37,Phone_by_Sentiment!I$2:I$37,"",0,1),0),$A37-TEXT(DATEVALUE($D37&amp;"-01"), "dd-mm-yyyy")),0),0)</f>
        <v>0</v>
      </c>
      <c r="J37" cm="1">
        <f t="array" ref="J37">IF($Q37&gt;=0,IFERROR(generateSalesData($D37, IF(ISNUMBER(_xlfn.XLOOKUP($C37,Phone_by_Sentiment!$B$2:$B$37,Phone_by_Sentiment!J$2:J$37,"",0,1)),_xlfn.XLOOKUP($C37,Phone_by_Sentiment!$B$2:$B$37,Phone_by_Sentiment!J$2:J$37,"",0,1),0),$A37-TEXT(DATEVALUE($D37&amp;"-01"), "dd-mm-yyyy")),0),0)</f>
        <v>0</v>
      </c>
      <c r="K37" cm="1">
        <f t="array" ref="K37">IF($Q37&gt;=0,IFERROR(generateSalesData($D37, IF(ISNUMBER(_xlfn.XLOOKUP($C37,Phone_by_Sentiment!$B$2:$B$37,Phone_by_Sentiment!K$2:K$37,"",0,1)),_xlfn.XLOOKUP($C37,Phone_by_Sentiment!$B$2:$B$37,Phone_by_Sentiment!K$2:K$37,"",0,1),0),$A37-TEXT(DATEVALUE($D37&amp;"-01"), "dd-mm-yyyy")),0),0)</f>
        <v>0</v>
      </c>
      <c r="L37" cm="1">
        <f t="array" ref="L37">IF($Q37&gt;=0,IFERROR(generateSalesData($D37, IF(ISNUMBER(_xlfn.XLOOKUP($C37,Phone_by_Sentiment!$B$2:$B$37,Phone_by_Sentiment!L$2:L$37,"",0,1)),_xlfn.XLOOKUP($C37,Phone_by_Sentiment!$B$2:$B$37,Phone_by_Sentiment!L$2:L$37,"",0,1),0),$A37-TEXT(DATEVALUE($D37&amp;"-01"), "dd-mm-yyyy")),0),0)</f>
        <v>0</v>
      </c>
      <c r="M37" cm="1">
        <f t="array" ref="M37">IF($Q37&gt;=0,IFERROR(generateSalesData($D37, IF(ISNUMBER(_xlfn.XLOOKUP($C37,Phone_by_Sentiment!$B$2:$B$37,Phone_by_Sentiment!M$2:M$37,"",0,1)),_xlfn.XLOOKUP($C37,Phone_by_Sentiment!$B$2:$B$37,Phone_by_Sentiment!M$2:M$37,"",0,1),0),$A37-TEXT(DATEVALUE($D37&amp;"-01"), "dd-mm-yyyy")),0),0)</f>
        <v>0</v>
      </c>
      <c r="N37" cm="1">
        <f t="array" ref="N37">IF($Q37&gt;=0,IFERROR(generateSalesData($D37, IF(ISNUMBER(_xlfn.XLOOKUP($C37,Phone_by_Sentiment!$B$2:$B$37,Phone_by_Sentiment!N$2:N$37,"",0,1)),_xlfn.XLOOKUP($C37,Phone_by_Sentiment!$B$2:$B$37,Phone_by_Sentiment!N$2:N$37,"",0,1),0),$A37-TEXT(DATEVALUE($D37&amp;"-01"), "dd-mm-yyyy")),0),0)</f>
        <v>0</v>
      </c>
      <c r="O37" cm="1">
        <f t="array" ref="O37">IF($Q37&gt;=0,IFERROR(generateSalesData($D37, IF(ISNUMBER(_xlfn.XLOOKUP($C37,Phone_by_Sentiment!$B$2:$B$37,Phone_by_Sentiment!O$2:O$37,"",0,1)),_xlfn.XLOOKUP($C37,Phone_by_Sentiment!$B$2:$B$37,Phone_by_Sentiment!O$2:O$37,"",0,1),0),$A37-TEXT(DATEVALUE($D37&amp;"-01"), "dd-mm-yyyy")),0),0)</f>
        <v>0</v>
      </c>
      <c r="P37" s="1">
        <f t="shared" si="1"/>
        <v>43862</v>
      </c>
      <c r="Q37">
        <f t="shared" si="2"/>
        <v>-365</v>
      </c>
    </row>
    <row r="38" spans="1:17" x14ac:dyDescent="0.25">
      <c r="A38" s="1">
        <f t="shared" si="0"/>
        <v>43497</v>
      </c>
      <c r="B38" t="s">
        <v>144</v>
      </c>
      <c r="C38" t="str">
        <f>_xlfn.XLOOKUP(B38,Phone_by_Price!$A$2:$A$34,Phone_by_Price!$B$2:$B$34,"-",0,1)</f>
        <v>Xiaomi Redmi Note 10</v>
      </c>
      <c r="D38" t="str">
        <f>_xlfn.XLOOKUP(C38,Phone_by_Sentiment!$B$2:$B$37,Phone_by_Sentiment!$A$2:$A$37,"-",0,1)</f>
        <v>2021-03</v>
      </c>
      <c r="E38" cm="1">
        <f t="array" ref="E38">IF($Q38&gt;=0,IFERROR(generateSalesData($D38, IF(ISNUMBER(_xlfn.XLOOKUP($C38,Phone_by_Sentiment!$B$2:$B$37,Phone_by_Sentiment!E$2:E$37,"",0,1)),_xlfn.XLOOKUP($C38,Phone_by_Sentiment!$B$2:$B$37,Phone_by_Sentiment!E$2:E$37,"",0,1),0),$A38-TEXT(DATEVALUE($D38&amp;"-01"), "dd-mm-yyyy")),0),0)</f>
        <v>0</v>
      </c>
      <c r="F38" cm="1">
        <f t="array" ref="F38">IF($Q38&gt;=0,IFERROR(generateSalesData($D38, IF(ISNUMBER(_xlfn.XLOOKUP($C38,Phone_by_Sentiment!$B$2:$B$37,Phone_by_Sentiment!F$2:F$37,"",0,1)),_xlfn.XLOOKUP($C38,Phone_by_Sentiment!$B$2:$B$37,Phone_by_Sentiment!F$2:F$37,"",0,1),0),$A38-TEXT(DATEVALUE($D38&amp;"-01"), "dd-mm-yyyy")),0),0)</f>
        <v>0</v>
      </c>
      <c r="G38" cm="1">
        <f t="array" ref="G38">IF($Q38&gt;=0,IFERROR(generateSalesData($D38, IF(ISNUMBER(_xlfn.XLOOKUP($C38,Phone_by_Sentiment!$B$2:$B$37,Phone_by_Sentiment!G$2:G$37,"",0,1)),_xlfn.XLOOKUP($C38,Phone_by_Sentiment!$B$2:$B$37,Phone_by_Sentiment!G$2:G$37,"",0,1),0),$A38-TEXT(DATEVALUE($D38&amp;"-01"), "dd-mm-yyyy")),0),0)</f>
        <v>0</v>
      </c>
      <c r="H38" cm="1">
        <f t="array" ref="H38">IF($Q38&gt;=0,IFERROR(generateSalesData($D38, IF(ISNUMBER(_xlfn.XLOOKUP($C38,Phone_by_Sentiment!$B$2:$B$37,Phone_by_Sentiment!H$2:H$37,"",0,1)),_xlfn.XLOOKUP($C38,Phone_by_Sentiment!$B$2:$B$37,Phone_by_Sentiment!H$2:H$37,"",0,1),0),$A38-TEXT(DATEVALUE($D38&amp;"-01"), "dd-mm-yyyy")),0),0)</f>
        <v>0</v>
      </c>
      <c r="I38" cm="1">
        <f t="array" ref="I38">IF($Q38&gt;=0,IFERROR(generateSalesData($D38, IF(ISNUMBER(_xlfn.XLOOKUP($C38,Phone_by_Sentiment!$B$2:$B$37,Phone_by_Sentiment!I$2:I$37,"",0,1)),_xlfn.XLOOKUP($C38,Phone_by_Sentiment!$B$2:$B$37,Phone_by_Sentiment!I$2:I$37,"",0,1),0),$A38-TEXT(DATEVALUE($D38&amp;"-01"), "dd-mm-yyyy")),0),0)</f>
        <v>0</v>
      </c>
      <c r="J38" cm="1">
        <f t="array" ref="J38">IF($Q38&gt;=0,IFERROR(generateSalesData($D38, IF(ISNUMBER(_xlfn.XLOOKUP($C38,Phone_by_Sentiment!$B$2:$B$37,Phone_by_Sentiment!J$2:J$37,"",0,1)),_xlfn.XLOOKUP($C38,Phone_by_Sentiment!$B$2:$B$37,Phone_by_Sentiment!J$2:J$37,"",0,1),0),$A38-TEXT(DATEVALUE($D38&amp;"-01"), "dd-mm-yyyy")),0),0)</f>
        <v>0</v>
      </c>
      <c r="K38" cm="1">
        <f t="array" ref="K38">IF($Q38&gt;=0,IFERROR(generateSalesData($D38, IF(ISNUMBER(_xlfn.XLOOKUP($C38,Phone_by_Sentiment!$B$2:$B$37,Phone_by_Sentiment!K$2:K$37,"",0,1)),_xlfn.XLOOKUP($C38,Phone_by_Sentiment!$B$2:$B$37,Phone_by_Sentiment!K$2:K$37,"",0,1),0),$A38-TEXT(DATEVALUE($D38&amp;"-01"), "dd-mm-yyyy")),0),0)</f>
        <v>0</v>
      </c>
      <c r="L38" cm="1">
        <f t="array" ref="L38">IF($Q38&gt;=0,IFERROR(generateSalesData($D38, IF(ISNUMBER(_xlfn.XLOOKUP($C38,Phone_by_Sentiment!$B$2:$B$37,Phone_by_Sentiment!L$2:L$37,"",0,1)),_xlfn.XLOOKUP($C38,Phone_by_Sentiment!$B$2:$B$37,Phone_by_Sentiment!L$2:L$37,"",0,1),0),$A38-TEXT(DATEVALUE($D38&amp;"-01"), "dd-mm-yyyy")),0),0)</f>
        <v>0</v>
      </c>
      <c r="M38" cm="1">
        <f t="array" ref="M38">IF($Q38&gt;=0,IFERROR(generateSalesData($D38, IF(ISNUMBER(_xlfn.XLOOKUP($C38,Phone_by_Sentiment!$B$2:$B$37,Phone_by_Sentiment!M$2:M$37,"",0,1)),_xlfn.XLOOKUP($C38,Phone_by_Sentiment!$B$2:$B$37,Phone_by_Sentiment!M$2:M$37,"",0,1),0),$A38-TEXT(DATEVALUE($D38&amp;"-01"), "dd-mm-yyyy")),0),0)</f>
        <v>0</v>
      </c>
      <c r="N38" cm="1">
        <f t="array" ref="N38">IF($Q38&gt;=0,IFERROR(generateSalesData($D38, IF(ISNUMBER(_xlfn.XLOOKUP($C38,Phone_by_Sentiment!$B$2:$B$37,Phone_by_Sentiment!N$2:N$37,"",0,1)),_xlfn.XLOOKUP($C38,Phone_by_Sentiment!$B$2:$B$37,Phone_by_Sentiment!N$2:N$37,"",0,1),0),$A38-TEXT(DATEVALUE($D38&amp;"-01"), "dd-mm-yyyy")),0),0)</f>
        <v>0</v>
      </c>
      <c r="O38" cm="1">
        <f t="array" ref="O38">IF($Q38&gt;=0,IFERROR(generateSalesData($D38, IF(ISNUMBER(_xlfn.XLOOKUP($C38,Phone_by_Sentiment!$B$2:$B$37,Phone_by_Sentiment!O$2:O$37,"",0,1)),_xlfn.XLOOKUP($C38,Phone_by_Sentiment!$B$2:$B$37,Phone_by_Sentiment!O$2:O$37,"",0,1),0),$A38-TEXT(DATEVALUE($D38&amp;"-01"), "dd-mm-yyyy")),0),0)</f>
        <v>0</v>
      </c>
      <c r="P38" s="1">
        <f t="shared" si="1"/>
        <v>44256</v>
      </c>
      <c r="Q38">
        <f t="shared" si="2"/>
        <v>-759</v>
      </c>
    </row>
    <row r="39" spans="1:17" x14ac:dyDescent="0.25">
      <c r="A39" s="1">
        <f t="shared" si="0"/>
        <v>43497</v>
      </c>
      <c r="B39" t="s">
        <v>145</v>
      </c>
      <c r="C39" t="str">
        <f>_xlfn.XLOOKUP(B39,Phone_by_Price!$A$2:$A$34,Phone_by_Price!$B$2:$B$34,"-",0,1)</f>
        <v>OPPO A54</v>
      </c>
      <c r="D39" t="str">
        <f>_xlfn.XLOOKUP(C39,Phone_by_Sentiment!$B$2:$B$37,Phone_by_Sentiment!$A$2:$A$37,"-",0,1)</f>
        <v>2021-04</v>
      </c>
      <c r="E39" cm="1">
        <f t="array" ref="E39">IF($Q39&gt;=0,IFERROR(generateSalesData($D39, IF(ISNUMBER(_xlfn.XLOOKUP($C39,Phone_by_Sentiment!$B$2:$B$37,Phone_by_Sentiment!E$2:E$37,"",0,1)),_xlfn.XLOOKUP($C39,Phone_by_Sentiment!$B$2:$B$37,Phone_by_Sentiment!E$2:E$37,"",0,1),0),$A39-TEXT(DATEVALUE($D39&amp;"-01"), "dd-mm-yyyy")),0),0)</f>
        <v>0</v>
      </c>
      <c r="F39" cm="1">
        <f t="array" ref="F39">IF($Q39&gt;=0,IFERROR(generateSalesData($D39, IF(ISNUMBER(_xlfn.XLOOKUP($C39,Phone_by_Sentiment!$B$2:$B$37,Phone_by_Sentiment!F$2:F$37,"",0,1)),_xlfn.XLOOKUP($C39,Phone_by_Sentiment!$B$2:$B$37,Phone_by_Sentiment!F$2:F$37,"",0,1),0),$A39-TEXT(DATEVALUE($D39&amp;"-01"), "dd-mm-yyyy")),0),0)</f>
        <v>0</v>
      </c>
      <c r="G39" cm="1">
        <f t="array" ref="G39">IF($Q39&gt;=0,IFERROR(generateSalesData($D39, IF(ISNUMBER(_xlfn.XLOOKUP($C39,Phone_by_Sentiment!$B$2:$B$37,Phone_by_Sentiment!G$2:G$37,"",0,1)),_xlfn.XLOOKUP($C39,Phone_by_Sentiment!$B$2:$B$37,Phone_by_Sentiment!G$2:G$37,"",0,1),0),$A39-TEXT(DATEVALUE($D39&amp;"-01"), "dd-mm-yyyy")),0),0)</f>
        <v>0</v>
      </c>
      <c r="H39" cm="1">
        <f t="array" ref="H39">IF($Q39&gt;=0,IFERROR(generateSalesData($D39, IF(ISNUMBER(_xlfn.XLOOKUP($C39,Phone_by_Sentiment!$B$2:$B$37,Phone_by_Sentiment!H$2:H$37,"",0,1)),_xlfn.XLOOKUP($C39,Phone_by_Sentiment!$B$2:$B$37,Phone_by_Sentiment!H$2:H$37,"",0,1),0),$A39-TEXT(DATEVALUE($D39&amp;"-01"), "dd-mm-yyyy")),0),0)</f>
        <v>0</v>
      </c>
      <c r="I39" cm="1">
        <f t="array" ref="I39">IF($Q39&gt;=0,IFERROR(generateSalesData($D39, IF(ISNUMBER(_xlfn.XLOOKUP($C39,Phone_by_Sentiment!$B$2:$B$37,Phone_by_Sentiment!I$2:I$37,"",0,1)),_xlfn.XLOOKUP($C39,Phone_by_Sentiment!$B$2:$B$37,Phone_by_Sentiment!I$2:I$37,"",0,1),0),$A39-TEXT(DATEVALUE($D39&amp;"-01"), "dd-mm-yyyy")),0),0)</f>
        <v>0</v>
      </c>
      <c r="J39" cm="1">
        <f t="array" ref="J39">IF($Q39&gt;=0,IFERROR(generateSalesData($D39, IF(ISNUMBER(_xlfn.XLOOKUP($C39,Phone_by_Sentiment!$B$2:$B$37,Phone_by_Sentiment!J$2:J$37,"",0,1)),_xlfn.XLOOKUP($C39,Phone_by_Sentiment!$B$2:$B$37,Phone_by_Sentiment!J$2:J$37,"",0,1),0),$A39-TEXT(DATEVALUE($D39&amp;"-01"), "dd-mm-yyyy")),0),0)</f>
        <v>0</v>
      </c>
      <c r="K39" cm="1">
        <f t="array" ref="K39">IF($Q39&gt;=0,IFERROR(generateSalesData($D39, IF(ISNUMBER(_xlfn.XLOOKUP($C39,Phone_by_Sentiment!$B$2:$B$37,Phone_by_Sentiment!K$2:K$37,"",0,1)),_xlfn.XLOOKUP($C39,Phone_by_Sentiment!$B$2:$B$37,Phone_by_Sentiment!K$2:K$37,"",0,1),0),$A39-TEXT(DATEVALUE($D39&amp;"-01"), "dd-mm-yyyy")),0),0)</f>
        <v>0</v>
      </c>
      <c r="L39" cm="1">
        <f t="array" ref="L39">IF($Q39&gt;=0,IFERROR(generateSalesData($D39, IF(ISNUMBER(_xlfn.XLOOKUP($C39,Phone_by_Sentiment!$B$2:$B$37,Phone_by_Sentiment!L$2:L$37,"",0,1)),_xlfn.XLOOKUP($C39,Phone_by_Sentiment!$B$2:$B$37,Phone_by_Sentiment!L$2:L$37,"",0,1),0),$A39-TEXT(DATEVALUE($D39&amp;"-01"), "dd-mm-yyyy")),0),0)</f>
        <v>0</v>
      </c>
      <c r="M39" cm="1">
        <f t="array" ref="M39">IF($Q39&gt;=0,IFERROR(generateSalesData($D39, IF(ISNUMBER(_xlfn.XLOOKUP($C39,Phone_by_Sentiment!$B$2:$B$37,Phone_by_Sentiment!M$2:M$37,"",0,1)),_xlfn.XLOOKUP($C39,Phone_by_Sentiment!$B$2:$B$37,Phone_by_Sentiment!M$2:M$37,"",0,1),0),$A39-TEXT(DATEVALUE($D39&amp;"-01"), "dd-mm-yyyy")),0),0)</f>
        <v>0</v>
      </c>
      <c r="N39" cm="1">
        <f t="array" ref="N39">IF($Q39&gt;=0,IFERROR(generateSalesData($D39, IF(ISNUMBER(_xlfn.XLOOKUP($C39,Phone_by_Sentiment!$B$2:$B$37,Phone_by_Sentiment!N$2:N$37,"",0,1)),_xlfn.XLOOKUP($C39,Phone_by_Sentiment!$B$2:$B$37,Phone_by_Sentiment!N$2:N$37,"",0,1),0),$A39-TEXT(DATEVALUE($D39&amp;"-01"), "dd-mm-yyyy")),0),0)</f>
        <v>0</v>
      </c>
      <c r="O39" cm="1">
        <f t="array" ref="O39">IF($Q39&gt;=0,IFERROR(generateSalesData($D39, IF(ISNUMBER(_xlfn.XLOOKUP($C39,Phone_by_Sentiment!$B$2:$B$37,Phone_by_Sentiment!O$2:O$37,"",0,1)),_xlfn.XLOOKUP($C39,Phone_by_Sentiment!$B$2:$B$37,Phone_by_Sentiment!O$2:O$37,"",0,1),0),$A39-TEXT(DATEVALUE($D39&amp;"-01"), "dd-mm-yyyy")),0),0)</f>
        <v>0</v>
      </c>
      <c r="P39" s="1">
        <f t="shared" si="1"/>
        <v>44287</v>
      </c>
      <c r="Q39">
        <f t="shared" si="2"/>
        <v>-790</v>
      </c>
    </row>
    <row r="40" spans="1:17" x14ac:dyDescent="0.25">
      <c r="A40" s="1">
        <f t="shared" si="0"/>
        <v>43497</v>
      </c>
      <c r="B40" t="s">
        <v>146</v>
      </c>
      <c r="C40" t="str">
        <f>_xlfn.XLOOKUP(B40,Phone_by_Price!$A$2:$A$34,Phone_by_Price!$B$2:$B$34,"-",0,1)</f>
        <v>Vivo Y20</v>
      </c>
      <c r="D40" t="str">
        <f>_xlfn.XLOOKUP(C40,Phone_by_Sentiment!$B$2:$B$37,Phone_by_Sentiment!$A$2:$A$37,"-",0,1)</f>
        <v>2020-09</v>
      </c>
      <c r="E40" cm="1">
        <f t="array" ref="E40">IF($Q40&gt;=0,IFERROR(generateSalesData($D40, IF(ISNUMBER(_xlfn.XLOOKUP($C40,Phone_by_Sentiment!$B$2:$B$37,Phone_by_Sentiment!E$2:E$37,"",0,1)),_xlfn.XLOOKUP($C40,Phone_by_Sentiment!$B$2:$B$37,Phone_by_Sentiment!E$2:E$37,"",0,1),0),$A40-TEXT(DATEVALUE($D40&amp;"-01"), "dd-mm-yyyy")),0),0)</f>
        <v>0</v>
      </c>
      <c r="F40" cm="1">
        <f t="array" ref="F40">IF($Q40&gt;=0,IFERROR(generateSalesData($D40, IF(ISNUMBER(_xlfn.XLOOKUP($C40,Phone_by_Sentiment!$B$2:$B$37,Phone_by_Sentiment!F$2:F$37,"",0,1)),_xlfn.XLOOKUP($C40,Phone_by_Sentiment!$B$2:$B$37,Phone_by_Sentiment!F$2:F$37,"",0,1),0),$A40-TEXT(DATEVALUE($D40&amp;"-01"), "dd-mm-yyyy")),0),0)</f>
        <v>0</v>
      </c>
      <c r="G40" cm="1">
        <f t="array" ref="G40">IF($Q40&gt;=0,IFERROR(generateSalesData($D40, IF(ISNUMBER(_xlfn.XLOOKUP($C40,Phone_by_Sentiment!$B$2:$B$37,Phone_by_Sentiment!G$2:G$37,"",0,1)),_xlfn.XLOOKUP($C40,Phone_by_Sentiment!$B$2:$B$37,Phone_by_Sentiment!G$2:G$37,"",0,1),0),$A40-TEXT(DATEVALUE($D40&amp;"-01"), "dd-mm-yyyy")),0),0)</f>
        <v>0</v>
      </c>
      <c r="H40" cm="1">
        <f t="array" ref="H40">IF($Q40&gt;=0,IFERROR(generateSalesData($D40, IF(ISNUMBER(_xlfn.XLOOKUP($C40,Phone_by_Sentiment!$B$2:$B$37,Phone_by_Sentiment!H$2:H$37,"",0,1)),_xlfn.XLOOKUP($C40,Phone_by_Sentiment!$B$2:$B$37,Phone_by_Sentiment!H$2:H$37,"",0,1),0),$A40-TEXT(DATEVALUE($D40&amp;"-01"), "dd-mm-yyyy")),0),0)</f>
        <v>0</v>
      </c>
      <c r="I40" cm="1">
        <f t="array" ref="I40">IF($Q40&gt;=0,IFERROR(generateSalesData($D40, IF(ISNUMBER(_xlfn.XLOOKUP($C40,Phone_by_Sentiment!$B$2:$B$37,Phone_by_Sentiment!I$2:I$37,"",0,1)),_xlfn.XLOOKUP($C40,Phone_by_Sentiment!$B$2:$B$37,Phone_by_Sentiment!I$2:I$37,"",0,1),0),$A40-TEXT(DATEVALUE($D40&amp;"-01"), "dd-mm-yyyy")),0),0)</f>
        <v>0</v>
      </c>
      <c r="J40" cm="1">
        <f t="array" ref="J40">IF($Q40&gt;=0,IFERROR(generateSalesData($D40, IF(ISNUMBER(_xlfn.XLOOKUP($C40,Phone_by_Sentiment!$B$2:$B$37,Phone_by_Sentiment!J$2:J$37,"",0,1)),_xlfn.XLOOKUP($C40,Phone_by_Sentiment!$B$2:$B$37,Phone_by_Sentiment!J$2:J$37,"",0,1),0),$A40-TEXT(DATEVALUE($D40&amp;"-01"), "dd-mm-yyyy")),0),0)</f>
        <v>0</v>
      </c>
      <c r="K40" cm="1">
        <f t="array" ref="K40">IF($Q40&gt;=0,IFERROR(generateSalesData($D40, IF(ISNUMBER(_xlfn.XLOOKUP($C40,Phone_by_Sentiment!$B$2:$B$37,Phone_by_Sentiment!K$2:K$37,"",0,1)),_xlfn.XLOOKUP($C40,Phone_by_Sentiment!$B$2:$B$37,Phone_by_Sentiment!K$2:K$37,"",0,1),0),$A40-TEXT(DATEVALUE($D40&amp;"-01"), "dd-mm-yyyy")),0),0)</f>
        <v>0</v>
      </c>
      <c r="L40" cm="1">
        <f t="array" ref="L40">IF($Q40&gt;=0,IFERROR(generateSalesData($D40, IF(ISNUMBER(_xlfn.XLOOKUP($C40,Phone_by_Sentiment!$B$2:$B$37,Phone_by_Sentiment!L$2:L$37,"",0,1)),_xlfn.XLOOKUP($C40,Phone_by_Sentiment!$B$2:$B$37,Phone_by_Sentiment!L$2:L$37,"",0,1),0),$A40-TEXT(DATEVALUE($D40&amp;"-01"), "dd-mm-yyyy")),0),0)</f>
        <v>0</v>
      </c>
      <c r="M40" cm="1">
        <f t="array" ref="M40">IF($Q40&gt;=0,IFERROR(generateSalesData($D40, IF(ISNUMBER(_xlfn.XLOOKUP($C40,Phone_by_Sentiment!$B$2:$B$37,Phone_by_Sentiment!M$2:M$37,"",0,1)),_xlfn.XLOOKUP($C40,Phone_by_Sentiment!$B$2:$B$37,Phone_by_Sentiment!M$2:M$37,"",0,1),0),$A40-TEXT(DATEVALUE($D40&amp;"-01"), "dd-mm-yyyy")),0),0)</f>
        <v>0</v>
      </c>
      <c r="N40" cm="1">
        <f t="array" ref="N40">IF($Q40&gt;=0,IFERROR(generateSalesData($D40, IF(ISNUMBER(_xlfn.XLOOKUP($C40,Phone_by_Sentiment!$B$2:$B$37,Phone_by_Sentiment!N$2:N$37,"",0,1)),_xlfn.XLOOKUP($C40,Phone_by_Sentiment!$B$2:$B$37,Phone_by_Sentiment!N$2:N$37,"",0,1),0),$A40-TEXT(DATEVALUE($D40&amp;"-01"), "dd-mm-yyyy")),0),0)</f>
        <v>0</v>
      </c>
      <c r="O40" cm="1">
        <f t="array" ref="O40">IF($Q40&gt;=0,IFERROR(generateSalesData($D40, IF(ISNUMBER(_xlfn.XLOOKUP($C40,Phone_by_Sentiment!$B$2:$B$37,Phone_by_Sentiment!O$2:O$37,"",0,1)),_xlfn.XLOOKUP($C40,Phone_by_Sentiment!$B$2:$B$37,Phone_by_Sentiment!O$2:O$37,"",0,1),0),$A40-TEXT(DATEVALUE($D40&amp;"-01"), "dd-mm-yyyy")),0),0)</f>
        <v>0</v>
      </c>
      <c r="P40" s="1">
        <f t="shared" si="1"/>
        <v>44075</v>
      </c>
      <c r="Q40">
        <f t="shared" si="2"/>
        <v>-578</v>
      </c>
    </row>
    <row r="41" spans="1:17" x14ac:dyDescent="0.25">
      <c r="A41" s="1">
        <f t="shared" si="0"/>
        <v>43497</v>
      </c>
      <c r="B41" t="s">
        <v>147</v>
      </c>
      <c r="C41" t="str">
        <f>_xlfn.XLOOKUP(B41,Phone_by_Price!$A$2:$A$34,Phone_by_Price!$B$2:$B$34,"-",0,1)</f>
        <v>Huawei Y9a</v>
      </c>
      <c r="D41" t="str">
        <f>_xlfn.XLOOKUP(C41,Phone_by_Sentiment!$B$2:$B$37,Phone_by_Sentiment!$A$2:$A$37,"-",0,1)</f>
        <v>2020-02</v>
      </c>
      <c r="E41" cm="1">
        <f t="array" ref="E41">IF($Q41&gt;=0,IFERROR(generateSalesData($D41, IF(ISNUMBER(_xlfn.XLOOKUP($C41,Phone_by_Sentiment!$B$2:$B$37,Phone_by_Sentiment!E$2:E$37,"",0,1)),_xlfn.XLOOKUP($C41,Phone_by_Sentiment!$B$2:$B$37,Phone_by_Sentiment!E$2:E$37,"",0,1),0),$A41-TEXT(DATEVALUE($D41&amp;"-01"), "dd-mm-yyyy")),0),0)</f>
        <v>0</v>
      </c>
      <c r="F41" cm="1">
        <f t="array" ref="F41">IF($Q41&gt;=0,IFERROR(generateSalesData($D41, IF(ISNUMBER(_xlfn.XLOOKUP($C41,Phone_by_Sentiment!$B$2:$B$37,Phone_by_Sentiment!F$2:F$37,"",0,1)),_xlfn.XLOOKUP($C41,Phone_by_Sentiment!$B$2:$B$37,Phone_by_Sentiment!F$2:F$37,"",0,1),0),$A41-TEXT(DATEVALUE($D41&amp;"-01"), "dd-mm-yyyy")),0),0)</f>
        <v>0</v>
      </c>
      <c r="G41" cm="1">
        <f t="array" ref="G41">IF($Q41&gt;=0,IFERROR(generateSalesData($D41, IF(ISNUMBER(_xlfn.XLOOKUP($C41,Phone_by_Sentiment!$B$2:$B$37,Phone_by_Sentiment!G$2:G$37,"",0,1)),_xlfn.XLOOKUP($C41,Phone_by_Sentiment!$B$2:$B$37,Phone_by_Sentiment!G$2:G$37,"",0,1),0),$A41-TEXT(DATEVALUE($D41&amp;"-01"), "dd-mm-yyyy")),0),0)</f>
        <v>0</v>
      </c>
      <c r="H41" cm="1">
        <f t="array" ref="H41">IF($Q41&gt;=0,IFERROR(generateSalesData($D41, IF(ISNUMBER(_xlfn.XLOOKUP($C41,Phone_by_Sentiment!$B$2:$B$37,Phone_by_Sentiment!H$2:H$37,"",0,1)),_xlfn.XLOOKUP($C41,Phone_by_Sentiment!$B$2:$B$37,Phone_by_Sentiment!H$2:H$37,"",0,1),0),$A41-TEXT(DATEVALUE($D41&amp;"-01"), "dd-mm-yyyy")),0),0)</f>
        <v>0</v>
      </c>
      <c r="I41" cm="1">
        <f t="array" ref="I41">IF($Q41&gt;=0,IFERROR(generateSalesData($D41, IF(ISNUMBER(_xlfn.XLOOKUP($C41,Phone_by_Sentiment!$B$2:$B$37,Phone_by_Sentiment!I$2:I$37,"",0,1)),_xlfn.XLOOKUP($C41,Phone_by_Sentiment!$B$2:$B$37,Phone_by_Sentiment!I$2:I$37,"",0,1),0),$A41-TEXT(DATEVALUE($D41&amp;"-01"), "dd-mm-yyyy")),0),0)</f>
        <v>0</v>
      </c>
      <c r="J41" cm="1">
        <f t="array" ref="J41">IF($Q41&gt;=0,IFERROR(generateSalesData($D41, IF(ISNUMBER(_xlfn.XLOOKUP($C41,Phone_by_Sentiment!$B$2:$B$37,Phone_by_Sentiment!J$2:J$37,"",0,1)),_xlfn.XLOOKUP($C41,Phone_by_Sentiment!$B$2:$B$37,Phone_by_Sentiment!J$2:J$37,"",0,1),0),$A41-TEXT(DATEVALUE($D41&amp;"-01"), "dd-mm-yyyy")),0),0)</f>
        <v>0</v>
      </c>
      <c r="K41" cm="1">
        <f t="array" ref="K41">IF($Q41&gt;=0,IFERROR(generateSalesData($D41, IF(ISNUMBER(_xlfn.XLOOKUP($C41,Phone_by_Sentiment!$B$2:$B$37,Phone_by_Sentiment!K$2:K$37,"",0,1)),_xlfn.XLOOKUP($C41,Phone_by_Sentiment!$B$2:$B$37,Phone_by_Sentiment!K$2:K$37,"",0,1),0),$A41-TEXT(DATEVALUE($D41&amp;"-01"), "dd-mm-yyyy")),0),0)</f>
        <v>0</v>
      </c>
      <c r="L41" cm="1">
        <f t="array" ref="L41">IF($Q41&gt;=0,IFERROR(generateSalesData($D41, IF(ISNUMBER(_xlfn.XLOOKUP($C41,Phone_by_Sentiment!$B$2:$B$37,Phone_by_Sentiment!L$2:L$37,"",0,1)),_xlfn.XLOOKUP($C41,Phone_by_Sentiment!$B$2:$B$37,Phone_by_Sentiment!L$2:L$37,"",0,1),0),$A41-TEXT(DATEVALUE($D41&amp;"-01"), "dd-mm-yyyy")),0),0)</f>
        <v>0</v>
      </c>
      <c r="M41" cm="1">
        <f t="array" ref="M41">IF($Q41&gt;=0,IFERROR(generateSalesData($D41, IF(ISNUMBER(_xlfn.XLOOKUP($C41,Phone_by_Sentiment!$B$2:$B$37,Phone_by_Sentiment!M$2:M$37,"",0,1)),_xlfn.XLOOKUP($C41,Phone_by_Sentiment!$B$2:$B$37,Phone_by_Sentiment!M$2:M$37,"",0,1),0),$A41-TEXT(DATEVALUE($D41&amp;"-01"), "dd-mm-yyyy")),0),0)</f>
        <v>0</v>
      </c>
      <c r="N41" cm="1">
        <f t="array" ref="N41">IF($Q41&gt;=0,IFERROR(generateSalesData($D41, IF(ISNUMBER(_xlfn.XLOOKUP($C41,Phone_by_Sentiment!$B$2:$B$37,Phone_by_Sentiment!N$2:N$37,"",0,1)),_xlfn.XLOOKUP($C41,Phone_by_Sentiment!$B$2:$B$37,Phone_by_Sentiment!N$2:N$37,"",0,1),0),$A41-TEXT(DATEVALUE($D41&amp;"-01"), "dd-mm-yyyy")),0),0)</f>
        <v>0</v>
      </c>
      <c r="O41" cm="1">
        <f t="array" ref="O41">IF($Q41&gt;=0,IFERROR(generateSalesData($D41, IF(ISNUMBER(_xlfn.XLOOKUP($C41,Phone_by_Sentiment!$B$2:$B$37,Phone_by_Sentiment!O$2:O$37,"",0,1)),_xlfn.XLOOKUP($C41,Phone_by_Sentiment!$B$2:$B$37,Phone_by_Sentiment!O$2:O$37,"",0,1),0),$A41-TEXT(DATEVALUE($D41&amp;"-01"), "dd-mm-yyyy")),0),0)</f>
        <v>0</v>
      </c>
      <c r="P41" s="1">
        <f t="shared" si="1"/>
        <v>43862</v>
      </c>
      <c r="Q41">
        <f t="shared" si="2"/>
        <v>-365</v>
      </c>
    </row>
    <row r="42" spans="1:17" x14ac:dyDescent="0.25">
      <c r="A42" s="1">
        <f t="shared" si="0"/>
        <v>43497</v>
      </c>
      <c r="B42" t="s">
        <v>148</v>
      </c>
      <c r="C42" t="str">
        <f>_xlfn.XLOOKUP(B42,Phone_by_Price!$A$2:$A$34,Phone_by_Price!$B$2:$B$34,"-",0,1)</f>
        <v>Xiaomi Redmi 10</v>
      </c>
      <c r="D42" t="str">
        <f>_xlfn.XLOOKUP(C42,Phone_by_Sentiment!$B$2:$B$37,Phone_by_Sentiment!$A$2:$A$37,"-",0,1)</f>
        <v>2021-03</v>
      </c>
      <c r="E42" cm="1">
        <f t="array" ref="E42">IF($Q42&gt;=0,IFERROR(generateSalesData($D42, IF(ISNUMBER(_xlfn.XLOOKUP($C42,Phone_by_Sentiment!$B$2:$B$37,Phone_by_Sentiment!E$2:E$37,"",0,1)),_xlfn.XLOOKUP($C42,Phone_by_Sentiment!$B$2:$B$37,Phone_by_Sentiment!E$2:E$37,"",0,1),0),$A42-TEXT(DATEVALUE($D42&amp;"-01"), "dd-mm-yyyy")),0),0)</f>
        <v>0</v>
      </c>
      <c r="F42" cm="1">
        <f t="array" ref="F42">IF($Q42&gt;=0,IFERROR(generateSalesData($D42, IF(ISNUMBER(_xlfn.XLOOKUP($C42,Phone_by_Sentiment!$B$2:$B$37,Phone_by_Sentiment!F$2:F$37,"",0,1)),_xlfn.XLOOKUP($C42,Phone_by_Sentiment!$B$2:$B$37,Phone_by_Sentiment!F$2:F$37,"",0,1),0),$A42-TEXT(DATEVALUE($D42&amp;"-01"), "dd-mm-yyyy")),0),0)</f>
        <v>0</v>
      </c>
      <c r="G42" cm="1">
        <f t="array" ref="G42">IF($Q42&gt;=0,IFERROR(generateSalesData($D42, IF(ISNUMBER(_xlfn.XLOOKUP($C42,Phone_by_Sentiment!$B$2:$B$37,Phone_by_Sentiment!G$2:G$37,"",0,1)),_xlfn.XLOOKUP($C42,Phone_by_Sentiment!$B$2:$B$37,Phone_by_Sentiment!G$2:G$37,"",0,1),0),$A42-TEXT(DATEVALUE($D42&amp;"-01"), "dd-mm-yyyy")),0),0)</f>
        <v>0</v>
      </c>
      <c r="H42" cm="1">
        <f t="array" ref="H42">IF($Q42&gt;=0,IFERROR(generateSalesData($D42, IF(ISNUMBER(_xlfn.XLOOKUP($C42,Phone_by_Sentiment!$B$2:$B$37,Phone_by_Sentiment!H$2:H$37,"",0,1)),_xlfn.XLOOKUP($C42,Phone_by_Sentiment!$B$2:$B$37,Phone_by_Sentiment!H$2:H$37,"",0,1),0),$A42-TEXT(DATEVALUE($D42&amp;"-01"), "dd-mm-yyyy")),0),0)</f>
        <v>0</v>
      </c>
      <c r="I42" cm="1">
        <f t="array" ref="I42">IF($Q42&gt;=0,IFERROR(generateSalesData($D42, IF(ISNUMBER(_xlfn.XLOOKUP($C42,Phone_by_Sentiment!$B$2:$B$37,Phone_by_Sentiment!I$2:I$37,"",0,1)),_xlfn.XLOOKUP($C42,Phone_by_Sentiment!$B$2:$B$37,Phone_by_Sentiment!I$2:I$37,"",0,1),0),$A42-TEXT(DATEVALUE($D42&amp;"-01"), "dd-mm-yyyy")),0),0)</f>
        <v>0</v>
      </c>
      <c r="J42" cm="1">
        <f t="array" ref="J42">IF($Q42&gt;=0,IFERROR(generateSalesData($D42, IF(ISNUMBER(_xlfn.XLOOKUP($C42,Phone_by_Sentiment!$B$2:$B$37,Phone_by_Sentiment!J$2:J$37,"",0,1)),_xlfn.XLOOKUP($C42,Phone_by_Sentiment!$B$2:$B$37,Phone_by_Sentiment!J$2:J$37,"",0,1),0),$A42-TEXT(DATEVALUE($D42&amp;"-01"), "dd-mm-yyyy")),0),0)</f>
        <v>0</v>
      </c>
      <c r="K42" cm="1">
        <f t="array" ref="K42">IF($Q42&gt;=0,IFERROR(generateSalesData($D42, IF(ISNUMBER(_xlfn.XLOOKUP($C42,Phone_by_Sentiment!$B$2:$B$37,Phone_by_Sentiment!K$2:K$37,"",0,1)),_xlfn.XLOOKUP($C42,Phone_by_Sentiment!$B$2:$B$37,Phone_by_Sentiment!K$2:K$37,"",0,1),0),$A42-TEXT(DATEVALUE($D42&amp;"-01"), "dd-mm-yyyy")),0),0)</f>
        <v>0</v>
      </c>
      <c r="L42" cm="1">
        <f t="array" ref="L42">IF($Q42&gt;=0,IFERROR(generateSalesData($D42, IF(ISNUMBER(_xlfn.XLOOKUP($C42,Phone_by_Sentiment!$B$2:$B$37,Phone_by_Sentiment!L$2:L$37,"",0,1)),_xlfn.XLOOKUP($C42,Phone_by_Sentiment!$B$2:$B$37,Phone_by_Sentiment!L$2:L$37,"",0,1),0),$A42-TEXT(DATEVALUE($D42&amp;"-01"), "dd-mm-yyyy")),0),0)</f>
        <v>0</v>
      </c>
      <c r="M42" cm="1">
        <f t="array" ref="M42">IF($Q42&gt;=0,IFERROR(generateSalesData($D42, IF(ISNUMBER(_xlfn.XLOOKUP($C42,Phone_by_Sentiment!$B$2:$B$37,Phone_by_Sentiment!M$2:M$37,"",0,1)),_xlfn.XLOOKUP($C42,Phone_by_Sentiment!$B$2:$B$37,Phone_by_Sentiment!M$2:M$37,"",0,1),0),$A42-TEXT(DATEVALUE($D42&amp;"-01"), "dd-mm-yyyy")),0),0)</f>
        <v>0</v>
      </c>
      <c r="N42" cm="1">
        <f t="array" ref="N42">IF($Q42&gt;=0,IFERROR(generateSalesData($D42, IF(ISNUMBER(_xlfn.XLOOKUP($C42,Phone_by_Sentiment!$B$2:$B$37,Phone_by_Sentiment!N$2:N$37,"",0,1)),_xlfn.XLOOKUP($C42,Phone_by_Sentiment!$B$2:$B$37,Phone_by_Sentiment!N$2:N$37,"",0,1),0),$A42-TEXT(DATEVALUE($D42&amp;"-01"), "dd-mm-yyyy")),0),0)</f>
        <v>0</v>
      </c>
      <c r="O42" cm="1">
        <f t="array" ref="O42">IF($Q42&gt;=0,IFERROR(generateSalesData($D42, IF(ISNUMBER(_xlfn.XLOOKUP($C42,Phone_by_Sentiment!$B$2:$B$37,Phone_by_Sentiment!O$2:O$37,"",0,1)),_xlfn.XLOOKUP($C42,Phone_by_Sentiment!$B$2:$B$37,Phone_by_Sentiment!O$2:O$37,"",0,1),0),$A42-TEXT(DATEVALUE($D42&amp;"-01"), "dd-mm-yyyy")),0),0)</f>
        <v>0</v>
      </c>
      <c r="P42" s="1">
        <f t="shared" si="1"/>
        <v>44256</v>
      </c>
      <c r="Q42">
        <f t="shared" si="2"/>
        <v>-759</v>
      </c>
    </row>
    <row r="43" spans="1:17" x14ac:dyDescent="0.25">
      <c r="A43" s="1">
        <f t="shared" si="0"/>
        <v>43497</v>
      </c>
      <c r="B43" t="s">
        <v>149</v>
      </c>
      <c r="C43" t="str">
        <f>_xlfn.XLOOKUP(B43,Phone_by_Price!$A$2:$A$34,Phone_by_Price!$B$2:$B$34,"-",0,1)</f>
        <v>Samsung Galaxy A52</v>
      </c>
      <c r="D43" t="str">
        <f>_xlfn.XLOOKUP(C43,Phone_by_Sentiment!$B$2:$B$37,Phone_by_Sentiment!$A$2:$A$37,"-",0,1)</f>
        <v>2021-03</v>
      </c>
      <c r="E43" cm="1">
        <f t="array" ref="E43">IF($Q43&gt;=0,IFERROR(generateSalesData($D43, IF(ISNUMBER(_xlfn.XLOOKUP($C43,Phone_by_Sentiment!$B$2:$B$37,Phone_by_Sentiment!E$2:E$37,"",0,1)),_xlfn.XLOOKUP($C43,Phone_by_Sentiment!$B$2:$B$37,Phone_by_Sentiment!E$2:E$37,"",0,1),0),$A43-TEXT(DATEVALUE($D43&amp;"-01"), "dd-mm-yyyy")),0),0)</f>
        <v>0</v>
      </c>
      <c r="F43" cm="1">
        <f t="array" ref="F43">IF($Q43&gt;=0,IFERROR(generateSalesData($D43, IF(ISNUMBER(_xlfn.XLOOKUP($C43,Phone_by_Sentiment!$B$2:$B$37,Phone_by_Sentiment!F$2:F$37,"",0,1)),_xlfn.XLOOKUP($C43,Phone_by_Sentiment!$B$2:$B$37,Phone_by_Sentiment!F$2:F$37,"",0,1),0),$A43-TEXT(DATEVALUE($D43&amp;"-01"), "dd-mm-yyyy")),0),0)</f>
        <v>0</v>
      </c>
      <c r="G43" cm="1">
        <f t="array" ref="G43">IF($Q43&gt;=0,IFERROR(generateSalesData($D43, IF(ISNUMBER(_xlfn.XLOOKUP($C43,Phone_by_Sentiment!$B$2:$B$37,Phone_by_Sentiment!G$2:G$37,"",0,1)),_xlfn.XLOOKUP($C43,Phone_by_Sentiment!$B$2:$B$37,Phone_by_Sentiment!G$2:G$37,"",0,1),0),$A43-TEXT(DATEVALUE($D43&amp;"-01"), "dd-mm-yyyy")),0),0)</f>
        <v>0</v>
      </c>
      <c r="H43" cm="1">
        <f t="array" ref="H43">IF($Q43&gt;=0,IFERROR(generateSalesData($D43, IF(ISNUMBER(_xlfn.XLOOKUP($C43,Phone_by_Sentiment!$B$2:$B$37,Phone_by_Sentiment!H$2:H$37,"",0,1)),_xlfn.XLOOKUP($C43,Phone_by_Sentiment!$B$2:$B$37,Phone_by_Sentiment!H$2:H$37,"",0,1),0),$A43-TEXT(DATEVALUE($D43&amp;"-01"), "dd-mm-yyyy")),0),0)</f>
        <v>0</v>
      </c>
      <c r="I43" cm="1">
        <f t="array" ref="I43">IF($Q43&gt;=0,IFERROR(generateSalesData($D43, IF(ISNUMBER(_xlfn.XLOOKUP($C43,Phone_by_Sentiment!$B$2:$B$37,Phone_by_Sentiment!I$2:I$37,"",0,1)),_xlfn.XLOOKUP($C43,Phone_by_Sentiment!$B$2:$B$37,Phone_by_Sentiment!I$2:I$37,"",0,1),0),$A43-TEXT(DATEVALUE($D43&amp;"-01"), "dd-mm-yyyy")),0),0)</f>
        <v>0</v>
      </c>
      <c r="J43" cm="1">
        <f t="array" ref="J43">IF($Q43&gt;=0,IFERROR(generateSalesData($D43, IF(ISNUMBER(_xlfn.XLOOKUP($C43,Phone_by_Sentiment!$B$2:$B$37,Phone_by_Sentiment!J$2:J$37,"",0,1)),_xlfn.XLOOKUP($C43,Phone_by_Sentiment!$B$2:$B$37,Phone_by_Sentiment!J$2:J$37,"",0,1),0),$A43-TEXT(DATEVALUE($D43&amp;"-01"), "dd-mm-yyyy")),0),0)</f>
        <v>0</v>
      </c>
      <c r="K43" cm="1">
        <f t="array" ref="K43">IF($Q43&gt;=0,IFERROR(generateSalesData($D43, IF(ISNUMBER(_xlfn.XLOOKUP($C43,Phone_by_Sentiment!$B$2:$B$37,Phone_by_Sentiment!K$2:K$37,"",0,1)),_xlfn.XLOOKUP($C43,Phone_by_Sentiment!$B$2:$B$37,Phone_by_Sentiment!K$2:K$37,"",0,1),0),$A43-TEXT(DATEVALUE($D43&amp;"-01"), "dd-mm-yyyy")),0),0)</f>
        <v>0</v>
      </c>
      <c r="L43" cm="1">
        <f t="array" ref="L43">IF($Q43&gt;=0,IFERROR(generateSalesData($D43, IF(ISNUMBER(_xlfn.XLOOKUP($C43,Phone_by_Sentiment!$B$2:$B$37,Phone_by_Sentiment!L$2:L$37,"",0,1)),_xlfn.XLOOKUP($C43,Phone_by_Sentiment!$B$2:$B$37,Phone_by_Sentiment!L$2:L$37,"",0,1),0),$A43-TEXT(DATEVALUE($D43&amp;"-01"), "dd-mm-yyyy")),0),0)</f>
        <v>0</v>
      </c>
      <c r="M43" cm="1">
        <f t="array" ref="M43">IF($Q43&gt;=0,IFERROR(generateSalesData($D43, IF(ISNUMBER(_xlfn.XLOOKUP($C43,Phone_by_Sentiment!$B$2:$B$37,Phone_by_Sentiment!M$2:M$37,"",0,1)),_xlfn.XLOOKUP($C43,Phone_by_Sentiment!$B$2:$B$37,Phone_by_Sentiment!M$2:M$37,"",0,1),0),$A43-TEXT(DATEVALUE($D43&amp;"-01"), "dd-mm-yyyy")),0),0)</f>
        <v>0</v>
      </c>
      <c r="N43" cm="1">
        <f t="array" ref="N43">IF($Q43&gt;=0,IFERROR(generateSalesData($D43, IF(ISNUMBER(_xlfn.XLOOKUP($C43,Phone_by_Sentiment!$B$2:$B$37,Phone_by_Sentiment!N$2:N$37,"",0,1)),_xlfn.XLOOKUP($C43,Phone_by_Sentiment!$B$2:$B$37,Phone_by_Sentiment!N$2:N$37,"",0,1),0),$A43-TEXT(DATEVALUE($D43&amp;"-01"), "dd-mm-yyyy")),0),0)</f>
        <v>0</v>
      </c>
      <c r="O43" cm="1">
        <f t="array" ref="O43">IF($Q43&gt;=0,IFERROR(generateSalesData($D43, IF(ISNUMBER(_xlfn.XLOOKUP($C43,Phone_by_Sentiment!$B$2:$B$37,Phone_by_Sentiment!O$2:O$37,"",0,1)),_xlfn.XLOOKUP($C43,Phone_by_Sentiment!$B$2:$B$37,Phone_by_Sentiment!O$2:O$37,"",0,1),0),$A43-TEXT(DATEVALUE($D43&amp;"-01"), "dd-mm-yyyy")),0),0)</f>
        <v>0</v>
      </c>
      <c r="P43" s="1">
        <f t="shared" si="1"/>
        <v>44256</v>
      </c>
      <c r="Q43">
        <f t="shared" si="2"/>
        <v>-759</v>
      </c>
    </row>
    <row r="44" spans="1:17" x14ac:dyDescent="0.25">
      <c r="A44" s="1">
        <f t="shared" si="0"/>
        <v>43497</v>
      </c>
      <c r="B44" t="s">
        <v>150</v>
      </c>
      <c r="C44" t="str">
        <f>_xlfn.XLOOKUP(B44,Phone_by_Price!$A$2:$A$34,Phone_by_Price!$B$2:$B$34,"-",0,1)</f>
        <v>Vivo Y33s</v>
      </c>
      <c r="D44" t="str">
        <f>_xlfn.XLOOKUP(C44,Phone_by_Sentiment!$B$2:$B$37,Phone_by_Sentiment!$A$2:$A$37,"-",0,1)</f>
        <v>2021-05</v>
      </c>
      <c r="E44" cm="1">
        <f t="array" ref="E44">IF($Q44&gt;=0,IFERROR(generateSalesData($D44, IF(ISNUMBER(_xlfn.XLOOKUP($C44,Phone_by_Sentiment!$B$2:$B$37,Phone_by_Sentiment!E$2:E$37,"",0,1)),_xlfn.XLOOKUP($C44,Phone_by_Sentiment!$B$2:$B$37,Phone_by_Sentiment!E$2:E$37,"",0,1),0),$A44-TEXT(DATEVALUE($D44&amp;"-01"), "dd-mm-yyyy")),0),0)</f>
        <v>0</v>
      </c>
      <c r="F44" cm="1">
        <f t="array" ref="F44">IF($Q44&gt;=0,IFERROR(generateSalesData($D44, IF(ISNUMBER(_xlfn.XLOOKUP($C44,Phone_by_Sentiment!$B$2:$B$37,Phone_by_Sentiment!F$2:F$37,"",0,1)),_xlfn.XLOOKUP($C44,Phone_by_Sentiment!$B$2:$B$37,Phone_by_Sentiment!F$2:F$37,"",0,1),0),$A44-TEXT(DATEVALUE($D44&amp;"-01"), "dd-mm-yyyy")),0),0)</f>
        <v>0</v>
      </c>
      <c r="G44" cm="1">
        <f t="array" ref="G44">IF($Q44&gt;=0,IFERROR(generateSalesData($D44, IF(ISNUMBER(_xlfn.XLOOKUP($C44,Phone_by_Sentiment!$B$2:$B$37,Phone_by_Sentiment!G$2:G$37,"",0,1)),_xlfn.XLOOKUP($C44,Phone_by_Sentiment!$B$2:$B$37,Phone_by_Sentiment!G$2:G$37,"",0,1),0),$A44-TEXT(DATEVALUE($D44&amp;"-01"), "dd-mm-yyyy")),0),0)</f>
        <v>0</v>
      </c>
      <c r="H44" cm="1">
        <f t="array" ref="H44">IF($Q44&gt;=0,IFERROR(generateSalesData($D44, IF(ISNUMBER(_xlfn.XLOOKUP($C44,Phone_by_Sentiment!$B$2:$B$37,Phone_by_Sentiment!H$2:H$37,"",0,1)),_xlfn.XLOOKUP($C44,Phone_by_Sentiment!$B$2:$B$37,Phone_by_Sentiment!H$2:H$37,"",0,1),0),$A44-TEXT(DATEVALUE($D44&amp;"-01"), "dd-mm-yyyy")),0),0)</f>
        <v>0</v>
      </c>
      <c r="I44" cm="1">
        <f t="array" ref="I44">IF($Q44&gt;=0,IFERROR(generateSalesData($D44, IF(ISNUMBER(_xlfn.XLOOKUP($C44,Phone_by_Sentiment!$B$2:$B$37,Phone_by_Sentiment!I$2:I$37,"",0,1)),_xlfn.XLOOKUP($C44,Phone_by_Sentiment!$B$2:$B$37,Phone_by_Sentiment!I$2:I$37,"",0,1),0),$A44-TEXT(DATEVALUE($D44&amp;"-01"), "dd-mm-yyyy")),0),0)</f>
        <v>0</v>
      </c>
      <c r="J44" cm="1">
        <f t="array" ref="J44">IF($Q44&gt;=0,IFERROR(generateSalesData($D44, IF(ISNUMBER(_xlfn.XLOOKUP($C44,Phone_by_Sentiment!$B$2:$B$37,Phone_by_Sentiment!J$2:J$37,"",0,1)),_xlfn.XLOOKUP($C44,Phone_by_Sentiment!$B$2:$B$37,Phone_by_Sentiment!J$2:J$37,"",0,1),0),$A44-TEXT(DATEVALUE($D44&amp;"-01"), "dd-mm-yyyy")),0),0)</f>
        <v>0</v>
      </c>
      <c r="K44" cm="1">
        <f t="array" ref="K44">IF($Q44&gt;=0,IFERROR(generateSalesData($D44, IF(ISNUMBER(_xlfn.XLOOKUP($C44,Phone_by_Sentiment!$B$2:$B$37,Phone_by_Sentiment!K$2:K$37,"",0,1)),_xlfn.XLOOKUP($C44,Phone_by_Sentiment!$B$2:$B$37,Phone_by_Sentiment!K$2:K$37,"",0,1),0),$A44-TEXT(DATEVALUE($D44&amp;"-01"), "dd-mm-yyyy")),0),0)</f>
        <v>0</v>
      </c>
      <c r="L44" cm="1">
        <f t="array" ref="L44">IF($Q44&gt;=0,IFERROR(generateSalesData($D44, IF(ISNUMBER(_xlfn.XLOOKUP($C44,Phone_by_Sentiment!$B$2:$B$37,Phone_by_Sentiment!L$2:L$37,"",0,1)),_xlfn.XLOOKUP($C44,Phone_by_Sentiment!$B$2:$B$37,Phone_by_Sentiment!L$2:L$37,"",0,1),0),$A44-TEXT(DATEVALUE($D44&amp;"-01"), "dd-mm-yyyy")),0),0)</f>
        <v>0</v>
      </c>
      <c r="M44" cm="1">
        <f t="array" ref="M44">IF($Q44&gt;=0,IFERROR(generateSalesData($D44, IF(ISNUMBER(_xlfn.XLOOKUP($C44,Phone_by_Sentiment!$B$2:$B$37,Phone_by_Sentiment!M$2:M$37,"",0,1)),_xlfn.XLOOKUP($C44,Phone_by_Sentiment!$B$2:$B$37,Phone_by_Sentiment!M$2:M$37,"",0,1),0),$A44-TEXT(DATEVALUE($D44&amp;"-01"), "dd-mm-yyyy")),0),0)</f>
        <v>0</v>
      </c>
      <c r="N44" cm="1">
        <f t="array" ref="N44">IF($Q44&gt;=0,IFERROR(generateSalesData($D44, IF(ISNUMBER(_xlfn.XLOOKUP($C44,Phone_by_Sentiment!$B$2:$B$37,Phone_by_Sentiment!N$2:N$37,"",0,1)),_xlfn.XLOOKUP($C44,Phone_by_Sentiment!$B$2:$B$37,Phone_by_Sentiment!N$2:N$37,"",0,1),0),$A44-TEXT(DATEVALUE($D44&amp;"-01"), "dd-mm-yyyy")),0),0)</f>
        <v>0</v>
      </c>
      <c r="O44" cm="1">
        <f t="array" ref="O44">IF($Q44&gt;=0,IFERROR(generateSalesData($D44, IF(ISNUMBER(_xlfn.XLOOKUP($C44,Phone_by_Sentiment!$B$2:$B$37,Phone_by_Sentiment!O$2:O$37,"",0,1)),_xlfn.XLOOKUP($C44,Phone_by_Sentiment!$B$2:$B$37,Phone_by_Sentiment!O$2:O$37,"",0,1),0),$A44-TEXT(DATEVALUE($D44&amp;"-01"), "dd-mm-yyyy")),0),0)</f>
        <v>0</v>
      </c>
      <c r="P44" s="1">
        <f t="shared" si="1"/>
        <v>44317</v>
      </c>
      <c r="Q44">
        <f t="shared" si="2"/>
        <v>-820</v>
      </c>
    </row>
    <row r="45" spans="1:17" x14ac:dyDescent="0.25">
      <c r="A45" s="1">
        <f t="shared" si="0"/>
        <v>43497</v>
      </c>
      <c r="B45" t="s">
        <v>151</v>
      </c>
      <c r="C45" t="str">
        <f>_xlfn.XLOOKUP(B45,Phone_by_Price!$A$2:$A$34,Phone_by_Price!$B$2:$B$34,"-",0,1)</f>
        <v>Vivo Y11s</v>
      </c>
      <c r="D45" t="str">
        <f>_xlfn.XLOOKUP(C45,Phone_by_Sentiment!$B$2:$B$37,Phone_by_Sentiment!$A$2:$A$37,"-",0,1)</f>
        <v>2020-11</v>
      </c>
      <c r="E45" cm="1">
        <f t="array" ref="E45">IF($Q45&gt;=0,IFERROR(generateSalesData($D45, IF(ISNUMBER(_xlfn.XLOOKUP($C45,Phone_by_Sentiment!$B$2:$B$37,Phone_by_Sentiment!E$2:E$37,"",0,1)),_xlfn.XLOOKUP($C45,Phone_by_Sentiment!$B$2:$B$37,Phone_by_Sentiment!E$2:E$37,"",0,1),0),$A45-TEXT(DATEVALUE($D45&amp;"-01"), "dd-mm-yyyy")),0),0)</f>
        <v>0</v>
      </c>
      <c r="F45" cm="1">
        <f t="array" ref="F45">IF($Q45&gt;=0,IFERROR(generateSalesData($D45, IF(ISNUMBER(_xlfn.XLOOKUP($C45,Phone_by_Sentiment!$B$2:$B$37,Phone_by_Sentiment!F$2:F$37,"",0,1)),_xlfn.XLOOKUP($C45,Phone_by_Sentiment!$B$2:$B$37,Phone_by_Sentiment!F$2:F$37,"",0,1),0),$A45-TEXT(DATEVALUE($D45&amp;"-01"), "dd-mm-yyyy")),0),0)</f>
        <v>0</v>
      </c>
      <c r="G45" cm="1">
        <f t="array" ref="G45">IF($Q45&gt;=0,IFERROR(generateSalesData($D45, IF(ISNUMBER(_xlfn.XLOOKUP($C45,Phone_by_Sentiment!$B$2:$B$37,Phone_by_Sentiment!G$2:G$37,"",0,1)),_xlfn.XLOOKUP($C45,Phone_by_Sentiment!$B$2:$B$37,Phone_by_Sentiment!G$2:G$37,"",0,1),0),$A45-TEXT(DATEVALUE($D45&amp;"-01"), "dd-mm-yyyy")),0),0)</f>
        <v>0</v>
      </c>
      <c r="H45" cm="1">
        <f t="array" ref="H45">IF($Q45&gt;=0,IFERROR(generateSalesData($D45, IF(ISNUMBER(_xlfn.XLOOKUP($C45,Phone_by_Sentiment!$B$2:$B$37,Phone_by_Sentiment!H$2:H$37,"",0,1)),_xlfn.XLOOKUP($C45,Phone_by_Sentiment!$B$2:$B$37,Phone_by_Sentiment!H$2:H$37,"",0,1),0),$A45-TEXT(DATEVALUE($D45&amp;"-01"), "dd-mm-yyyy")),0),0)</f>
        <v>0</v>
      </c>
      <c r="I45" cm="1">
        <f t="array" ref="I45">IF($Q45&gt;=0,IFERROR(generateSalesData($D45, IF(ISNUMBER(_xlfn.XLOOKUP($C45,Phone_by_Sentiment!$B$2:$B$37,Phone_by_Sentiment!I$2:I$37,"",0,1)),_xlfn.XLOOKUP($C45,Phone_by_Sentiment!$B$2:$B$37,Phone_by_Sentiment!I$2:I$37,"",0,1),0),$A45-TEXT(DATEVALUE($D45&amp;"-01"), "dd-mm-yyyy")),0),0)</f>
        <v>0</v>
      </c>
      <c r="J45" cm="1">
        <f t="array" ref="J45">IF($Q45&gt;=0,IFERROR(generateSalesData($D45, IF(ISNUMBER(_xlfn.XLOOKUP($C45,Phone_by_Sentiment!$B$2:$B$37,Phone_by_Sentiment!J$2:J$37,"",0,1)),_xlfn.XLOOKUP($C45,Phone_by_Sentiment!$B$2:$B$37,Phone_by_Sentiment!J$2:J$37,"",0,1),0),$A45-TEXT(DATEVALUE($D45&amp;"-01"), "dd-mm-yyyy")),0),0)</f>
        <v>0</v>
      </c>
      <c r="K45" cm="1">
        <f t="array" ref="K45">IF($Q45&gt;=0,IFERROR(generateSalesData($D45, IF(ISNUMBER(_xlfn.XLOOKUP($C45,Phone_by_Sentiment!$B$2:$B$37,Phone_by_Sentiment!K$2:K$37,"",0,1)),_xlfn.XLOOKUP($C45,Phone_by_Sentiment!$B$2:$B$37,Phone_by_Sentiment!K$2:K$37,"",0,1),0),$A45-TEXT(DATEVALUE($D45&amp;"-01"), "dd-mm-yyyy")),0),0)</f>
        <v>0</v>
      </c>
      <c r="L45" cm="1">
        <f t="array" ref="L45">IF($Q45&gt;=0,IFERROR(generateSalesData($D45, IF(ISNUMBER(_xlfn.XLOOKUP($C45,Phone_by_Sentiment!$B$2:$B$37,Phone_by_Sentiment!L$2:L$37,"",0,1)),_xlfn.XLOOKUP($C45,Phone_by_Sentiment!$B$2:$B$37,Phone_by_Sentiment!L$2:L$37,"",0,1),0),$A45-TEXT(DATEVALUE($D45&amp;"-01"), "dd-mm-yyyy")),0),0)</f>
        <v>0</v>
      </c>
      <c r="M45" cm="1">
        <f t="array" ref="M45">IF($Q45&gt;=0,IFERROR(generateSalesData($D45, IF(ISNUMBER(_xlfn.XLOOKUP($C45,Phone_by_Sentiment!$B$2:$B$37,Phone_by_Sentiment!M$2:M$37,"",0,1)),_xlfn.XLOOKUP($C45,Phone_by_Sentiment!$B$2:$B$37,Phone_by_Sentiment!M$2:M$37,"",0,1),0),$A45-TEXT(DATEVALUE($D45&amp;"-01"), "dd-mm-yyyy")),0),0)</f>
        <v>0</v>
      </c>
      <c r="N45" cm="1">
        <f t="array" ref="N45">IF($Q45&gt;=0,IFERROR(generateSalesData($D45, IF(ISNUMBER(_xlfn.XLOOKUP($C45,Phone_by_Sentiment!$B$2:$B$37,Phone_by_Sentiment!N$2:N$37,"",0,1)),_xlfn.XLOOKUP($C45,Phone_by_Sentiment!$B$2:$B$37,Phone_by_Sentiment!N$2:N$37,"",0,1),0),$A45-TEXT(DATEVALUE($D45&amp;"-01"), "dd-mm-yyyy")),0),0)</f>
        <v>0</v>
      </c>
      <c r="O45" cm="1">
        <f t="array" ref="O45">IF($Q45&gt;=0,IFERROR(generateSalesData($D45, IF(ISNUMBER(_xlfn.XLOOKUP($C45,Phone_by_Sentiment!$B$2:$B$37,Phone_by_Sentiment!O$2:O$37,"",0,1)),_xlfn.XLOOKUP($C45,Phone_by_Sentiment!$B$2:$B$37,Phone_by_Sentiment!O$2:O$37,"",0,1),0),$A45-TEXT(DATEVALUE($D45&amp;"-01"), "dd-mm-yyyy")),0),0)</f>
        <v>0</v>
      </c>
      <c r="P45" s="1">
        <f t="shared" si="1"/>
        <v>44136</v>
      </c>
      <c r="Q45">
        <f t="shared" si="2"/>
        <v>-639</v>
      </c>
    </row>
    <row r="46" spans="1:17" x14ac:dyDescent="0.25">
      <c r="A46" s="1">
        <f t="shared" si="0"/>
        <v>43497</v>
      </c>
      <c r="B46" t="s">
        <v>152</v>
      </c>
      <c r="C46" t="str">
        <f>_xlfn.XLOOKUP(B46,Phone_by_Price!$A$2:$A$34,Phone_by_Price!$B$2:$B$34,"-",0,1)</f>
        <v>Huawei Nova 7i</v>
      </c>
      <c r="D46" t="str">
        <f>_xlfn.XLOOKUP(C46,Phone_by_Sentiment!$B$2:$B$37,Phone_by_Sentiment!$A$2:$A$37,"-",0,1)</f>
        <v>2020-02</v>
      </c>
      <c r="E46" cm="1">
        <f t="array" ref="E46">IF($Q46&gt;=0,IFERROR(generateSalesData($D46, IF(ISNUMBER(_xlfn.XLOOKUP($C46,Phone_by_Sentiment!$B$2:$B$37,Phone_by_Sentiment!E$2:E$37,"",0,1)),_xlfn.XLOOKUP($C46,Phone_by_Sentiment!$B$2:$B$37,Phone_by_Sentiment!E$2:E$37,"",0,1),0),$A46-TEXT(DATEVALUE($D46&amp;"-01"), "dd-mm-yyyy")),0),0)</f>
        <v>0</v>
      </c>
      <c r="F46" cm="1">
        <f t="array" ref="F46">IF($Q46&gt;=0,IFERROR(generateSalesData($D46, IF(ISNUMBER(_xlfn.XLOOKUP($C46,Phone_by_Sentiment!$B$2:$B$37,Phone_by_Sentiment!F$2:F$37,"",0,1)),_xlfn.XLOOKUP($C46,Phone_by_Sentiment!$B$2:$B$37,Phone_by_Sentiment!F$2:F$37,"",0,1),0),$A46-TEXT(DATEVALUE($D46&amp;"-01"), "dd-mm-yyyy")),0),0)</f>
        <v>0</v>
      </c>
      <c r="G46" cm="1">
        <f t="array" ref="G46">IF($Q46&gt;=0,IFERROR(generateSalesData($D46, IF(ISNUMBER(_xlfn.XLOOKUP($C46,Phone_by_Sentiment!$B$2:$B$37,Phone_by_Sentiment!G$2:G$37,"",0,1)),_xlfn.XLOOKUP($C46,Phone_by_Sentiment!$B$2:$B$37,Phone_by_Sentiment!G$2:G$37,"",0,1),0),$A46-TEXT(DATEVALUE($D46&amp;"-01"), "dd-mm-yyyy")),0),0)</f>
        <v>0</v>
      </c>
      <c r="H46" cm="1">
        <f t="array" ref="H46">IF($Q46&gt;=0,IFERROR(generateSalesData($D46, IF(ISNUMBER(_xlfn.XLOOKUP($C46,Phone_by_Sentiment!$B$2:$B$37,Phone_by_Sentiment!H$2:H$37,"",0,1)),_xlfn.XLOOKUP($C46,Phone_by_Sentiment!$B$2:$B$37,Phone_by_Sentiment!H$2:H$37,"",0,1),0),$A46-TEXT(DATEVALUE($D46&amp;"-01"), "dd-mm-yyyy")),0),0)</f>
        <v>0</v>
      </c>
      <c r="I46" cm="1">
        <f t="array" ref="I46">IF($Q46&gt;=0,IFERROR(generateSalesData($D46, IF(ISNUMBER(_xlfn.XLOOKUP($C46,Phone_by_Sentiment!$B$2:$B$37,Phone_by_Sentiment!I$2:I$37,"",0,1)),_xlfn.XLOOKUP($C46,Phone_by_Sentiment!$B$2:$B$37,Phone_by_Sentiment!I$2:I$37,"",0,1),0),$A46-TEXT(DATEVALUE($D46&amp;"-01"), "dd-mm-yyyy")),0),0)</f>
        <v>0</v>
      </c>
      <c r="J46" cm="1">
        <f t="array" ref="J46">IF($Q46&gt;=0,IFERROR(generateSalesData($D46, IF(ISNUMBER(_xlfn.XLOOKUP($C46,Phone_by_Sentiment!$B$2:$B$37,Phone_by_Sentiment!J$2:J$37,"",0,1)),_xlfn.XLOOKUP($C46,Phone_by_Sentiment!$B$2:$B$37,Phone_by_Sentiment!J$2:J$37,"",0,1),0),$A46-TEXT(DATEVALUE($D46&amp;"-01"), "dd-mm-yyyy")),0),0)</f>
        <v>0</v>
      </c>
      <c r="K46" cm="1">
        <f t="array" ref="K46">IF($Q46&gt;=0,IFERROR(generateSalesData($D46, IF(ISNUMBER(_xlfn.XLOOKUP($C46,Phone_by_Sentiment!$B$2:$B$37,Phone_by_Sentiment!K$2:K$37,"",0,1)),_xlfn.XLOOKUP($C46,Phone_by_Sentiment!$B$2:$B$37,Phone_by_Sentiment!K$2:K$37,"",0,1),0),$A46-TEXT(DATEVALUE($D46&amp;"-01"), "dd-mm-yyyy")),0),0)</f>
        <v>0</v>
      </c>
      <c r="L46" cm="1">
        <f t="array" ref="L46">IF($Q46&gt;=0,IFERROR(generateSalesData($D46, IF(ISNUMBER(_xlfn.XLOOKUP($C46,Phone_by_Sentiment!$B$2:$B$37,Phone_by_Sentiment!L$2:L$37,"",0,1)),_xlfn.XLOOKUP($C46,Phone_by_Sentiment!$B$2:$B$37,Phone_by_Sentiment!L$2:L$37,"",0,1),0),$A46-TEXT(DATEVALUE($D46&amp;"-01"), "dd-mm-yyyy")),0),0)</f>
        <v>0</v>
      </c>
      <c r="M46" cm="1">
        <f t="array" ref="M46">IF($Q46&gt;=0,IFERROR(generateSalesData($D46, IF(ISNUMBER(_xlfn.XLOOKUP($C46,Phone_by_Sentiment!$B$2:$B$37,Phone_by_Sentiment!M$2:M$37,"",0,1)),_xlfn.XLOOKUP($C46,Phone_by_Sentiment!$B$2:$B$37,Phone_by_Sentiment!M$2:M$37,"",0,1),0),$A46-TEXT(DATEVALUE($D46&amp;"-01"), "dd-mm-yyyy")),0),0)</f>
        <v>0</v>
      </c>
      <c r="N46" cm="1">
        <f t="array" ref="N46">IF($Q46&gt;=0,IFERROR(generateSalesData($D46, IF(ISNUMBER(_xlfn.XLOOKUP($C46,Phone_by_Sentiment!$B$2:$B$37,Phone_by_Sentiment!N$2:N$37,"",0,1)),_xlfn.XLOOKUP($C46,Phone_by_Sentiment!$B$2:$B$37,Phone_by_Sentiment!N$2:N$37,"",0,1),0),$A46-TEXT(DATEVALUE($D46&amp;"-01"), "dd-mm-yyyy")),0),0)</f>
        <v>0</v>
      </c>
      <c r="O46" cm="1">
        <f t="array" ref="O46">IF($Q46&gt;=0,IFERROR(generateSalesData($D46, IF(ISNUMBER(_xlfn.XLOOKUP($C46,Phone_by_Sentiment!$B$2:$B$37,Phone_by_Sentiment!O$2:O$37,"",0,1)),_xlfn.XLOOKUP($C46,Phone_by_Sentiment!$B$2:$B$37,Phone_by_Sentiment!O$2:O$37,"",0,1),0),$A46-TEXT(DATEVALUE($D46&amp;"-01"), "dd-mm-yyyy")),0),0)</f>
        <v>0</v>
      </c>
      <c r="P46" s="1">
        <f t="shared" si="1"/>
        <v>43862</v>
      </c>
      <c r="Q46">
        <f t="shared" si="2"/>
        <v>-365</v>
      </c>
    </row>
    <row r="47" spans="1:17" x14ac:dyDescent="0.25">
      <c r="A47" s="1">
        <f t="shared" si="0"/>
        <v>43497</v>
      </c>
      <c r="B47" t="s">
        <v>153</v>
      </c>
      <c r="C47" t="str">
        <f>_xlfn.XLOOKUP(B47,Phone_by_Price!$A$2:$A$34,Phone_by_Price!$B$2:$B$34,"-",0,1)</f>
        <v>iPhone 13</v>
      </c>
      <c r="D47" t="str">
        <f>_xlfn.XLOOKUP(C47,Phone_by_Sentiment!$B$2:$B$37,Phone_by_Sentiment!$A$2:$A$37,"-",0,1)</f>
        <v>2021-09</v>
      </c>
      <c r="E47" cm="1">
        <f t="array" ref="E47">IF($Q47&gt;=0,IFERROR(generateSalesData($D47, IF(ISNUMBER(_xlfn.XLOOKUP($C47,Phone_by_Sentiment!$B$2:$B$37,Phone_by_Sentiment!E$2:E$37,"",0,1)),_xlfn.XLOOKUP($C47,Phone_by_Sentiment!$B$2:$B$37,Phone_by_Sentiment!E$2:E$37,"",0,1),0),$A47-TEXT(DATEVALUE($D47&amp;"-01"), "dd-mm-yyyy")),0),0)</f>
        <v>0</v>
      </c>
      <c r="F47" cm="1">
        <f t="array" ref="F47">IF($Q47&gt;=0,IFERROR(generateSalesData($D47, IF(ISNUMBER(_xlfn.XLOOKUP($C47,Phone_by_Sentiment!$B$2:$B$37,Phone_by_Sentiment!F$2:F$37,"",0,1)),_xlfn.XLOOKUP($C47,Phone_by_Sentiment!$B$2:$B$37,Phone_by_Sentiment!F$2:F$37,"",0,1),0),$A47-TEXT(DATEVALUE($D47&amp;"-01"), "dd-mm-yyyy")),0),0)</f>
        <v>0</v>
      </c>
      <c r="G47" cm="1">
        <f t="array" ref="G47">IF($Q47&gt;=0,IFERROR(generateSalesData($D47, IF(ISNUMBER(_xlfn.XLOOKUP($C47,Phone_by_Sentiment!$B$2:$B$37,Phone_by_Sentiment!G$2:G$37,"",0,1)),_xlfn.XLOOKUP($C47,Phone_by_Sentiment!$B$2:$B$37,Phone_by_Sentiment!G$2:G$37,"",0,1),0),$A47-TEXT(DATEVALUE($D47&amp;"-01"), "dd-mm-yyyy")),0),0)</f>
        <v>0</v>
      </c>
      <c r="H47" cm="1">
        <f t="array" ref="H47">IF($Q47&gt;=0,IFERROR(generateSalesData($D47, IF(ISNUMBER(_xlfn.XLOOKUP($C47,Phone_by_Sentiment!$B$2:$B$37,Phone_by_Sentiment!H$2:H$37,"",0,1)),_xlfn.XLOOKUP($C47,Phone_by_Sentiment!$B$2:$B$37,Phone_by_Sentiment!H$2:H$37,"",0,1),0),$A47-TEXT(DATEVALUE($D47&amp;"-01"), "dd-mm-yyyy")),0),0)</f>
        <v>0</v>
      </c>
      <c r="I47" cm="1">
        <f t="array" ref="I47">IF($Q47&gt;=0,IFERROR(generateSalesData($D47, IF(ISNUMBER(_xlfn.XLOOKUP($C47,Phone_by_Sentiment!$B$2:$B$37,Phone_by_Sentiment!I$2:I$37,"",0,1)),_xlfn.XLOOKUP($C47,Phone_by_Sentiment!$B$2:$B$37,Phone_by_Sentiment!I$2:I$37,"",0,1),0),$A47-TEXT(DATEVALUE($D47&amp;"-01"), "dd-mm-yyyy")),0),0)</f>
        <v>0</v>
      </c>
      <c r="J47" cm="1">
        <f t="array" ref="J47">IF($Q47&gt;=0,IFERROR(generateSalesData($D47, IF(ISNUMBER(_xlfn.XLOOKUP($C47,Phone_by_Sentiment!$B$2:$B$37,Phone_by_Sentiment!J$2:J$37,"",0,1)),_xlfn.XLOOKUP($C47,Phone_by_Sentiment!$B$2:$B$37,Phone_by_Sentiment!J$2:J$37,"",0,1),0),$A47-TEXT(DATEVALUE($D47&amp;"-01"), "dd-mm-yyyy")),0),0)</f>
        <v>0</v>
      </c>
      <c r="K47" cm="1">
        <f t="array" ref="K47">IF($Q47&gt;=0,IFERROR(generateSalesData($D47, IF(ISNUMBER(_xlfn.XLOOKUP($C47,Phone_by_Sentiment!$B$2:$B$37,Phone_by_Sentiment!K$2:K$37,"",0,1)),_xlfn.XLOOKUP($C47,Phone_by_Sentiment!$B$2:$B$37,Phone_by_Sentiment!K$2:K$37,"",0,1),0),$A47-TEXT(DATEVALUE($D47&amp;"-01"), "dd-mm-yyyy")),0),0)</f>
        <v>0</v>
      </c>
      <c r="L47" cm="1">
        <f t="array" ref="L47">IF($Q47&gt;=0,IFERROR(generateSalesData($D47, IF(ISNUMBER(_xlfn.XLOOKUP($C47,Phone_by_Sentiment!$B$2:$B$37,Phone_by_Sentiment!L$2:L$37,"",0,1)),_xlfn.XLOOKUP($C47,Phone_by_Sentiment!$B$2:$B$37,Phone_by_Sentiment!L$2:L$37,"",0,1),0),$A47-TEXT(DATEVALUE($D47&amp;"-01"), "dd-mm-yyyy")),0),0)</f>
        <v>0</v>
      </c>
      <c r="M47" cm="1">
        <f t="array" ref="M47">IF($Q47&gt;=0,IFERROR(generateSalesData($D47, IF(ISNUMBER(_xlfn.XLOOKUP($C47,Phone_by_Sentiment!$B$2:$B$37,Phone_by_Sentiment!M$2:M$37,"",0,1)),_xlfn.XLOOKUP($C47,Phone_by_Sentiment!$B$2:$B$37,Phone_by_Sentiment!M$2:M$37,"",0,1),0),$A47-TEXT(DATEVALUE($D47&amp;"-01"), "dd-mm-yyyy")),0),0)</f>
        <v>0</v>
      </c>
      <c r="N47" cm="1">
        <f t="array" ref="N47">IF($Q47&gt;=0,IFERROR(generateSalesData($D47, IF(ISNUMBER(_xlfn.XLOOKUP($C47,Phone_by_Sentiment!$B$2:$B$37,Phone_by_Sentiment!N$2:N$37,"",0,1)),_xlfn.XLOOKUP($C47,Phone_by_Sentiment!$B$2:$B$37,Phone_by_Sentiment!N$2:N$37,"",0,1),0),$A47-TEXT(DATEVALUE($D47&amp;"-01"), "dd-mm-yyyy")),0),0)</f>
        <v>0</v>
      </c>
      <c r="O47" cm="1">
        <f t="array" ref="O47">IF($Q47&gt;=0,IFERROR(generateSalesData($D47, IF(ISNUMBER(_xlfn.XLOOKUP($C47,Phone_by_Sentiment!$B$2:$B$37,Phone_by_Sentiment!O$2:O$37,"",0,1)),_xlfn.XLOOKUP($C47,Phone_by_Sentiment!$B$2:$B$37,Phone_by_Sentiment!O$2:O$37,"",0,1),0),$A47-TEXT(DATEVALUE($D47&amp;"-01"), "dd-mm-yyyy")),0),0)</f>
        <v>0</v>
      </c>
      <c r="P47" s="1">
        <f t="shared" si="1"/>
        <v>44440</v>
      </c>
      <c r="Q47">
        <f t="shared" si="2"/>
        <v>-943</v>
      </c>
    </row>
    <row r="48" spans="1:17" x14ac:dyDescent="0.25">
      <c r="A48" s="1">
        <f t="shared" si="0"/>
        <v>43497</v>
      </c>
      <c r="B48" t="s">
        <v>154</v>
      </c>
      <c r="C48" t="str">
        <f>_xlfn.XLOOKUP(B48,Phone_by_Price!$A$2:$A$34,Phone_by_Price!$B$2:$B$34,"-",0,1)</f>
        <v>Samsung Galaxy S21</v>
      </c>
      <c r="D48" t="str">
        <f>_xlfn.XLOOKUP(C48,Phone_by_Sentiment!$B$2:$B$37,Phone_by_Sentiment!$A$2:$A$37,"-",0,1)</f>
        <v>2021-01</v>
      </c>
      <c r="E48" cm="1">
        <f t="array" ref="E48">IF($Q48&gt;=0,IFERROR(generateSalesData($D48, IF(ISNUMBER(_xlfn.XLOOKUP($C48,Phone_by_Sentiment!$B$2:$B$37,Phone_by_Sentiment!E$2:E$37,"",0,1)),_xlfn.XLOOKUP($C48,Phone_by_Sentiment!$B$2:$B$37,Phone_by_Sentiment!E$2:E$37,"",0,1),0),$A48-TEXT(DATEVALUE($D48&amp;"-01"), "dd-mm-yyyy")),0),0)</f>
        <v>0</v>
      </c>
      <c r="F48" cm="1">
        <f t="array" ref="F48">IF($Q48&gt;=0,IFERROR(generateSalesData($D48, IF(ISNUMBER(_xlfn.XLOOKUP($C48,Phone_by_Sentiment!$B$2:$B$37,Phone_by_Sentiment!F$2:F$37,"",0,1)),_xlfn.XLOOKUP($C48,Phone_by_Sentiment!$B$2:$B$37,Phone_by_Sentiment!F$2:F$37,"",0,1),0),$A48-TEXT(DATEVALUE($D48&amp;"-01"), "dd-mm-yyyy")),0),0)</f>
        <v>0</v>
      </c>
      <c r="G48" cm="1">
        <f t="array" ref="G48">IF($Q48&gt;=0,IFERROR(generateSalesData($D48, IF(ISNUMBER(_xlfn.XLOOKUP($C48,Phone_by_Sentiment!$B$2:$B$37,Phone_by_Sentiment!G$2:G$37,"",0,1)),_xlfn.XLOOKUP($C48,Phone_by_Sentiment!$B$2:$B$37,Phone_by_Sentiment!G$2:G$37,"",0,1),0),$A48-TEXT(DATEVALUE($D48&amp;"-01"), "dd-mm-yyyy")),0),0)</f>
        <v>0</v>
      </c>
      <c r="H48" cm="1">
        <f t="array" ref="H48">IF($Q48&gt;=0,IFERROR(generateSalesData($D48, IF(ISNUMBER(_xlfn.XLOOKUP($C48,Phone_by_Sentiment!$B$2:$B$37,Phone_by_Sentiment!H$2:H$37,"",0,1)),_xlfn.XLOOKUP($C48,Phone_by_Sentiment!$B$2:$B$37,Phone_by_Sentiment!H$2:H$37,"",0,1),0),$A48-TEXT(DATEVALUE($D48&amp;"-01"), "dd-mm-yyyy")),0),0)</f>
        <v>0</v>
      </c>
      <c r="I48" cm="1">
        <f t="array" ref="I48">IF($Q48&gt;=0,IFERROR(generateSalesData($D48, IF(ISNUMBER(_xlfn.XLOOKUP($C48,Phone_by_Sentiment!$B$2:$B$37,Phone_by_Sentiment!I$2:I$37,"",0,1)),_xlfn.XLOOKUP($C48,Phone_by_Sentiment!$B$2:$B$37,Phone_by_Sentiment!I$2:I$37,"",0,1),0),$A48-TEXT(DATEVALUE($D48&amp;"-01"), "dd-mm-yyyy")),0),0)</f>
        <v>0</v>
      </c>
      <c r="J48" cm="1">
        <f t="array" ref="J48">IF($Q48&gt;=0,IFERROR(generateSalesData($D48, IF(ISNUMBER(_xlfn.XLOOKUP($C48,Phone_by_Sentiment!$B$2:$B$37,Phone_by_Sentiment!J$2:J$37,"",0,1)),_xlfn.XLOOKUP($C48,Phone_by_Sentiment!$B$2:$B$37,Phone_by_Sentiment!J$2:J$37,"",0,1),0),$A48-TEXT(DATEVALUE($D48&amp;"-01"), "dd-mm-yyyy")),0),0)</f>
        <v>0</v>
      </c>
      <c r="K48" cm="1">
        <f t="array" ref="K48">IF($Q48&gt;=0,IFERROR(generateSalesData($D48, IF(ISNUMBER(_xlfn.XLOOKUP($C48,Phone_by_Sentiment!$B$2:$B$37,Phone_by_Sentiment!K$2:K$37,"",0,1)),_xlfn.XLOOKUP($C48,Phone_by_Sentiment!$B$2:$B$37,Phone_by_Sentiment!K$2:K$37,"",0,1),0),$A48-TEXT(DATEVALUE($D48&amp;"-01"), "dd-mm-yyyy")),0),0)</f>
        <v>0</v>
      </c>
      <c r="L48" cm="1">
        <f t="array" ref="L48">IF($Q48&gt;=0,IFERROR(generateSalesData($D48, IF(ISNUMBER(_xlfn.XLOOKUP($C48,Phone_by_Sentiment!$B$2:$B$37,Phone_by_Sentiment!L$2:L$37,"",0,1)),_xlfn.XLOOKUP($C48,Phone_by_Sentiment!$B$2:$B$37,Phone_by_Sentiment!L$2:L$37,"",0,1),0),$A48-TEXT(DATEVALUE($D48&amp;"-01"), "dd-mm-yyyy")),0),0)</f>
        <v>0</v>
      </c>
      <c r="M48" cm="1">
        <f t="array" ref="M48">IF($Q48&gt;=0,IFERROR(generateSalesData($D48, IF(ISNUMBER(_xlfn.XLOOKUP($C48,Phone_by_Sentiment!$B$2:$B$37,Phone_by_Sentiment!M$2:M$37,"",0,1)),_xlfn.XLOOKUP($C48,Phone_by_Sentiment!$B$2:$B$37,Phone_by_Sentiment!M$2:M$37,"",0,1),0),$A48-TEXT(DATEVALUE($D48&amp;"-01"), "dd-mm-yyyy")),0),0)</f>
        <v>0</v>
      </c>
      <c r="N48" cm="1">
        <f t="array" ref="N48">IF($Q48&gt;=0,IFERROR(generateSalesData($D48, IF(ISNUMBER(_xlfn.XLOOKUP($C48,Phone_by_Sentiment!$B$2:$B$37,Phone_by_Sentiment!N$2:N$37,"",0,1)),_xlfn.XLOOKUP($C48,Phone_by_Sentiment!$B$2:$B$37,Phone_by_Sentiment!N$2:N$37,"",0,1),0),$A48-TEXT(DATEVALUE($D48&amp;"-01"), "dd-mm-yyyy")),0),0)</f>
        <v>0</v>
      </c>
      <c r="O48" cm="1">
        <f t="array" ref="O48">IF($Q48&gt;=0,IFERROR(generateSalesData($D48, IF(ISNUMBER(_xlfn.XLOOKUP($C48,Phone_by_Sentiment!$B$2:$B$37,Phone_by_Sentiment!O$2:O$37,"",0,1)),_xlfn.XLOOKUP($C48,Phone_by_Sentiment!$B$2:$B$37,Phone_by_Sentiment!O$2:O$37,"",0,1),0),$A48-TEXT(DATEVALUE($D48&amp;"-01"), "dd-mm-yyyy")),0),0)</f>
        <v>0</v>
      </c>
      <c r="P48" s="1">
        <f t="shared" si="1"/>
        <v>44197</v>
      </c>
      <c r="Q48">
        <f t="shared" si="2"/>
        <v>-700</v>
      </c>
    </row>
    <row r="49" spans="1:17" x14ac:dyDescent="0.25">
      <c r="A49" s="1">
        <f t="shared" si="0"/>
        <v>43497</v>
      </c>
      <c r="B49" t="s">
        <v>155</v>
      </c>
      <c r="C49" t="str">
        <f>_xlfn.XLOOKUP(B49,Phone_by_Price!$A$2:$A$34,Phone_by_Price!$B$2:$B$34,"-",0,1)</f>
        <v>Google Pixel 6</v>
      </c>
      <c r="D49" t="str">
        <f>_xlfn.XLOOKUP(C49,Phone_by_Sentiment!$B$2:$B$37,Phone_by_Sentiment!$A$2:$A$37,"-",0,1)</f>
        <v>2021-10</v>
      </c>
      <c r="E49" cm="1">
        <f t="array" ref="E49">IF($Q49&gt;=0,IFERROR(generateSalesData($D49, IF(ISNUMBER(_xlfn.XLOOKUP($C49,Phone_by_Sentiment!$B$2:$B$37,Phone_by_Sentiment!E$2:E$37,"",0,1)),_xlfn.XLOOKUP($C49,Phone_by_Sentiment!$B$2:$B$37,Phone_by_Sentiment!E$2:E$37,"",0,1),0),$A49-TEXT(DATEVALUE($D49&amp;"-01"), "dd-mm-yyyy")),0),0)</f>
        <v>0</v>
      </c>
      <c r="F49" cm="1">
        <f t="array" ref="F49">IF($Q49&gt;=0,IFERROR(generateSalesData($D49, IF(ISNUMBER(_xlfn.XLOOKUP($C49,Phone_by_Sentiment!$B$2:$B$37,Phone_by_Sentiment!F$2:F$37,"",0,1)),_xlfn.XLOOKUP($C49,Phone_by_Sentiment!$B$2:$B$37,Phone_by_Sentiment!F$2:F$37,"",0,1),0),$A49-TEXT(DATEVALUE($D49&amp;"-01"), "dd-mm-yyyy")),0),0)</f>
        <v>0</v>
      </c>
      <c r="G49" cm="1">
        <f t="array" ref="G49">IF($Q49&gt;=0,IFERROR(generateSalesData($D49, IF(ISNUMBER(_xlfn.XLOOKUP($C49,Phone_by_Sentiment!$B$2:$B$37,Phone_by_Sentiment!G$2:G$37,"",0,1)),_xlfn.XLOOKUP($C49,Phone_by_Sentiment!$B$2:$B$37,Phone_by_Sentiment!G$2:G$37,"",0,1),0),$A49-TEXT(DATEVALUE($D49&amp;"-01"), "dd-mm-yyyy")),0),0)</f>
        <v>0</v>
      </c>
      <c r="H49" cm="1">
        <f t="array" ref="H49">IF($Q49&gt;=0,IFERROR(generateSalesData($D49, IF(ISNUMBER(_xlfn.XLOOKUP($C49,Phone_by_Sentiment!$B$2:$B$37,Phone_by_Sentiment!H$2:H$37,"",0,1)),_xlfn.XLOOKUP($C49,Phone_by_Sentiment!$B$2:$B$37,Phone_by_Sentiment!H$2:H$37,"",0,1),0),$A49-TEXT(DATEVALUE($D49&amp;"-01"), "dd-mm-yyyy")),0),0)</f>
        <v>0</v>
      </c>
      <c r="I49" cm="1">
        <f t="array" ref="I49">IF($Q49&gt;=0,IFERROR(generateSalesData($D49, IF(ISNUMBER(_xlfn.XLOOKUP($C49,Phone_by_Sentiment!$B$2:$B$37,Phone_by_Sentiment!I$2:I$37,"",0,1)),_xlfn.XLOOKUP($C49,Phone_by_Sentiment!$B$2:$B$37,Phone_by_Sentiment!I$2:I$37,"",0,1),0),$A49-TEXT(DATEVALUE($D49&amp;"-01"), "dd-mm-yyyy")),0),0)</f>
        <v>0</v>
      </c>
      <c r="J49" cm="1">
        <f t="array" ref="J49">IF($Q49&gt;=0,IFERROR(generateSalesData($D49, IF(ISNUMBER(_xlfn.XLOOKUP($C49,Phone_by_Sentiment!$B$2:$B$37,Phone_by_Sentiment!J$2:J$37,"",0,1)),_xlfn.XLOOKUP($C49,Phone_by_Sentiment!$B$2:$B$37,Phone_by_Sentiment!J$2:J$37,"",0,1),0),$A49-TEXT(DATEVALUE($D49&amp;"-01"), "dd-mm-yyyy")),0),0)</f>
        <v>0</v>
      </c>
      <c r="K49" cm="1">
        <f t="array" ref="K49">IF($Q49&gt;=0,IFERROR(generateSalesData($D49, IF(ISNUMBER(_xlfn.XLOOKUP($C49,Phone_by_Sentiment!$B$2:$B$37,Phone_by_Sentiment!K$2:K$37,"",0,1)),_xlfn.XLOOKUP($C49,Phone_by_Sentiment!$B$2:$B$37,Phone_by_Sentiment!K$2:K$37,"",0,1),0),$A49-TEXT(DATEVALUE($D49&amp;"-01"), "dd-mm-yyyy")),0),0)</f>
        <v>0</v>
      </c>
      <c r="L49" cm="1">
        <f t="array" ref="L49">IF($Q49&gt;=0,IFERROR(generateSalesData($D49, IF(ISNUMBER(_xlfn.XLOOKUP($C49,Phone_by_Sentiment!$B$2:$B$37,Phone_by_Sentiment!L$2:L$37,"",0,1)),_xlfn.XLOOKUP($C49,Phone_by_Sentiment!$B$2:$B$37,Phone_by_Sentiment!L$2:L$37,"",0,1),0),$A49-TEXT(DATEVALUE($D49&amp;"-01"), "dd-mm-yyyy")),0),0)</f>
        <v>0</v>
      </c>
      <c r="M49" cm="1">
        <f t="array" ref="M49">IF($Q49&gt;=0,IFERROR(generateSalesData($D49, IF(ISNUMBER(_xlfn.XLOOKUP($C49,Phone_by_Sentiment!$B$2:$B$37,Phone_by_Sentiment!M$2:M$37,"",0,1)),_xlfn.XLOOKUP($C49,Phone_by_Sentiment!$B$2:$B$37,Phone_by_Sentiment!M$2:M$37,"",0,1),0),$A49-TEXT(DATEVALUE($D49&amp;"-01"), "dd-mm-yyyy")),0),0)</f>
        <v>0</v>
      </c>
      <c r="N49" cm="1">
        <f t="array" ref="N49">IF($Q49&gt;=0,IFERROR(generateSalesData($D49, IF(ISNUMBER(_xlfn.XLOOKUP($C49,Phone_by_Sentiment!$B$2:$B$37,Phone_by_Sentiment!N$2:N$37,"",0,1)),_xlfn.XLOOKUP($C49,Phone_by_Sentiment!$B$2:$B$37,Phone_by_Sentiment!N$2:N$37,"",0,1),0),$A49-TEXT(DATEVALUE($D49&amp;"-01"), "dd-mm-yyyy")),0),0)</f>
        <v>0</v>
      </c>
      <c r="O49" cm="1">
        <f t="array" ref="O49">IF($Q49&gt;=0,IFERROR(generateSalesData($D49, IF(ISNUMBER(_xlfn.XLOOKUP($C49,Phone_by_Sentiment!$B$2:$B$37,Phone_by_Sentiment!O$2:O$37,"",0,1)),_xlfn.XLOOKUP($C49,Phone_by_Sentiment!$B$2:$B$37,Phone_by_Sentiment!O$2:O$37,"",0,1),0),$A49-TEXT(DATEVALUE($D49&amp;"-01"), "dd-mm-yyyy")),0),0)</f>
        <v>0</v>
      </c>
      <c r="P49" s="1">
        <f t="shared" si="1"/>
        <v>44470</v>
      </c>
      <c r="Q49">
        <f t="shared" si="2"/>
        <v>-973</v>
      </c>
    </row>
    <row r="50" spans="1:17" x14ac:dyDescent="0.25">
      <c r="A50" s="1">
        <f t="shared" si="0"/>
        <v>43497</v>
      </c>
      <c r="B50" t="s">
        <v>156</v>
      </c>
      <c r="C50" t="str">
        <f>_xlfn.XLOOKUP(B50,Phone_by_Price!$A$2:$A$34,Phone_by_Price!$B$2:$B$34,"-",0,1)</f>
        <v>OnePlus Nord CE</v>
      </c>
      <c r="D50" t="str">
        <f>_xlfn.XLOOKUP(C50,Phone_by_Sentiment!$B$2:$B$37,Phone_by_Sentiment!$A$2:$A$37,"-",0,1)</f>
        <v>2021-06</v>
      </c>
      <c r="E50" cm="1">
        <f t="array" ref="E50">IF($Q50&gt;=0,IFERROR(generateSalesData($D50, IF(ISNUMBER(_xlfn.XLOOKUP($C50,Phone_by_Sentiment!$B$2:$B$37,Phone_by_Sentiment!E$2:E$37,"",0,1)),_xlfn.XLOOKUP($C50,Phone_by_Sentiment!$B$2:$B$37,Phone_by_Sentiment!E$2:E$37,"",0,1),0),$A50-TEXT(DATEVALUE($D50&amp;"-01"), "dd-mm-yyyy")),0),0)</f>
        <v>0</v>
      </c>
      <c r="F50" cm="1">
        <f t="array" ref="F50">IF($Q50&gt;=0,IFERROR(generateSalesData($D50, IF(ISNUMBER(_xlfn.XLOOKUP($C50,Phone_by_Sentiment!$B$2:$B$37,Phone_by_Sentiment!F$2:F$37,"",0,1)),_xlfn.XLOOKUP($C50,Phone_by_Sentiment!$B$2:$B$37,Phone_by_Sentiment!F$2:F$37,"",0,1),0),$A50-TEXT(DATEVALUE($D50&amp;"-01"), "dd-mm-yyyy")),0),0)</f>
        <v>0</v>
      </c>
      <c r="G50" cm="1">
        <f t="array" ref="G50">IF($Q50&gt;=0,IFERROR(generateSalesData($D50, IF(ISNUMBER(_xlfn.XLOOKUP($C50,Phone_by_Sentiment!$B$2:$B$37,Phone_by_Sentiment!G$2:G$37,"",0,1)),_xlfn.XLOOKUP($C50,Phone_by_Sentiment!$B$2:$B$37,Phone_by_Sentiment!G$2:G$37,"",0,1),0),$A50-TEXT(DATEVALUE($D50&amp;"-01"), "dd-mm-yyyy")),0),0)</f>
        <v>0</v>
      </c>
      <c r="H50" cm="1">
        <f t="array" ref="H50">IF($Q50&gt;=0,IFERROR(generateSalesData($D50, IF(ISNUMBER(_xlfn.XLOOKUP($C50,Phone_by_Sentiment!$B$2:$B$37,Phone_by_Sentiment!H$2:H$37,"",0,1)),_xlfn.XLOOKUP($C50,Phone_by_Sentiment!$B$2:$B$37,Phone_by_Sentiment!H$2:H$37,"",0,1),0),$A50-TEXT(DATEVALUE($D50&amp;"-01"), "dd-mm-yyyy")),0),0)</f>
        <v>0</v>
      </c>
      <c r="I50" cm="1">
        <f t="array" ref="I50">IF($Q50&gt;=0,IFERROR(generateSalesData($D50, IF(ISNUMBER(_xlfn.XLOOKUP($C50,Phone_by_Sentiment!$B$2:$B$37,Phone_by_Sentiment!I$2:I$37,"",0,1)),_xlfn.XLOOKUP($C50,Phone_by_Sentiment!$B$2:$B$37,Phone_by_Sentiment!I$2:I$37,"",0,1),0),$A50-TEXT(DATEVALUE($D50&amp;"-01"), "dd-mm-yyyy")),0),0)</f>
        <v>0</v>
      </c>
      <c r="J50" cm="1">
        <f t="array" ref="J50">IF($Q50&gt;=0,IFERROR(generateSalesData($D50, IF(ISNUMBER(_xlfn.XLOOKUP($C50,Phone_by_Sentiment!$B$2:$B$37,Phone_by_Sentiment!J$2:J$37,"",0,1)),_xlfn.XLOOKUP($C50,Phone_by_Sentiment!$B$2:$B$37,Phone_by_Sentiment!J$2:J$37,"",0,1),0),$A50-TEXT(DATEVALUE($D50&amp;"-01"), "dd-mm-yyyy")),0),0)</f>
        <v>0</v>
      </c>
      <c r="K50" cm="1">
        <f t="array" ref="K50">IF($Q50&gt;=0,IFERROR(generateSalesData($D50, IF(ISNUMBER(_xlfn.XLOOKUP($C50,Phone_by_Sentiment!$B$2:$B$37,Phone_by_Sentiment!K$2:K$37,"",0,1)),_xlfn.XLOOKUP($C50,Phone_by_Sentiment!$B$2:$B$37,Phone_by_Sentiment!K$2:K$37,"",0,1),0),$A50-TEXT(DATEVALUE($D50&amp;"-01"), "dd-mm-yyyy")),0),0)</f>
        <v>0</v>
      </c>
      <c r="L50" cm="1">
        <f t="array" ref="L50">IF($Q50&gt;=0,IFERROR(generateSalesData($D50, IF(ISNUMBER(_xlfn.XLOOKUP($C50,Phone_by_Sentiment!$B$2:$B$37,Phone_by_Sentiment!L$2:L$37,"",0,1)),_xlfn.XLOOKUP($C50,Phone_by_Sentiment!$B$2:$B$37,Phone_by_Sentiment!L$2:L$37,"",0,1),0),$A50-TEXT(DATEVALUE($D50&amp;"-01"), "dd-mm-yyyy")),0),0)</f>
        <v>0</v>
      </c>
      <c r="M50" cm="1">
        <f t="array" ref="M50">IF($Q50&gt;=0,IFERROR(generateSalesData($D50, IF(ISNUMBER(_xlfn.XLOOKUP($C50,Phone_by_Sentiment!$B$2:$B$37,Phone_by_Sentiment!M$2:M$37,"",0,1)),_xlfn.XLOOKUP($C50,Phone_by_Sentiment!$B$2:$B$37,Phone_by_Sentiment!M$2:M$37,"",0,1),0),$A50-TEXT(DATEVALUE($D50&amp;"-01"), "dd-mm-yyyy")),0),0)</f>
        <v>0</v>
      </c>
      <c r="N50" cm="1">
        <f t="array" ref="N50">IF($Q50&gt;=0,IFERROR(generateSalesData($D50, IF(ISNUMBER(_xlfn.XLOOKUP($C50,Phone_by_Sentiment!$B$2:$B$37,Phone_by_Sentiment!N$2:N$37,"",0,1)),_xlfn.XLOOKUP($C50,Phone_by_Sentiment!$B$2:$B$37,Phone_by_Sentiment!N$2:N$37,"",0,1),0),$A50-TEXT(DATEVALUE($D50&amp;"-01"), "dd-mm-yyyy")),0),0)</f>
        <v>0</v>
      </c>
      <c r="O50" cm="1">
        <f t="array" ref="O50">IF($Q50&gt;=0,IFERROR(generateSalesData($D50, IF(ISNUMBER(_xlfn.XLOOKUP($C50,Phone_by_Sentiment!$B$2:$B$37,Phone_by_Sentiment!O$2:O$37,"",0,1)),_xlfn.XLOOKUP($C50,Phone_by_Sentiment!$B$2:$B$37,Phone_by_Sentiment!O$2:O$37,"",0,1),0),$A50-TEXT(DATEVALUE($D50&amp;"-01"), "dd-mm-yyyy")),0),0)</f>
        <v>0</v>
      </c>
      <c r="P50" s="1">
        <f t="shared" si="1"/>
        <v>44348</v>
      </c>
      <c r="Q50">
        <f t="shared" si="2"/>
        <v>-851</v>
      </c>
    </row>
    <row r="51" spans="1:17" x14ac:dyDescent="0.25">
      <c r="A51" s="1">
        <f t="shared" si="0"/>
        <v>43497</v>
      </c>
      <c r="B51" t="s">
        <v>157</v>
      </c>
      <c r="C51" t="str">
        <f>_xlfn.XLOOKUP(B51,Phone_by_Price!$A$2:$A$34,Phone_by_Price!$B$2:$B$34,"-",0,1)</f>
        <v>Apple iPhone 13 Pro</v>
      </c>
      <c r="D51" t="str">
        <f>_xlfn.XLOOKUP(C51,Phone_by_Sentiment!$B$2:$B$37,Phone_by_Sentiment!$A$2:$A$37,"-",0,1)</f>
        <v>2021-09</v>
      </c>
      <c r="E51" cm="1">
        <f t="array" ref="E51">IF($Q51&gt;=0,IFERROR(generateSalesData($D51, IF(ISNUMBER(_xlfn.XLOOKUP($C51,Phone_by_Sentiment!$B$2:$B$37,Phone_by_Sentiment!E$2:E$37,"",0,1)),_xlfn.XLOOKUP($C51,Phone_by_Sentiment!$B$2:$B$37,Phone_by_Sentiment!E$2:E$37,"",0,1),0),$A51-TEXT(DATEVALUE($D51&amp;"-01"), "dd-mm-yyyy")),0),0)</f>
        <v>0</v>
      </c>
      <c r="F51" cm="1">
        <f t="array" ref="F51">IF($Q51&gt;=0,IFERROR(generateSalesData($D51, IF(ISNUMBER(_xlfn.XLOOKUP($C51,Phone_by_Sentiment!$B$2:$B$37,Phone_by_Sentiment!F$2:F$37,"",0,1)),_xlfn.XLOOKUP($C51,Phone_by_Sentiment!$B$2:$B$37,Phone_by_Sentiment!F$2:F$37,"",0,1),0),$A51-TEXT(DATEVALUE($D51&amp;"-01"), "dd-mm-yyyy")),0),0)</f>
        <v>0</v>
      </c>
      <c r="G51" cm="1">
        <f t="array" ref="G51">IF($Q51&gt;=0,IFERROR(generateSalesData($D51, IF(ISNUMBER(_xlfn.XLOOKUP($C51,Phone_by_Sentiment!$B$2:$B$37,Phone_by_Sentiment!G$2:G$37,"",0,1)),_xlfn.XLOOKUP($C51,Phone_by_Sentiment!$B$2:$B$37,Phone_by_Sentiment!G$2:G$37,"",0,1),0),$A51-TEXT(DATEVALUE($D51&amp;"-01"), "dd-mm-yyyy")),0),0)</f>
        <v>0</v>
      </c>
      <c r="H51" cm="1">
        <f t="array" ref="H51">IF($Q51&gt;=0,IFERROR(generateSalesData($D51, IF(ISNUMBER(_xlfn.XLOOKUP($C51,Phone_by_Sentiment!$B$2:$B$37,Phone_by_Sentiment!H$2:H$37,"",0,1)),_xlfn.XLOOKUP($C51,Phone_by_Sentiment!$B$2:$B$37,Phone_by_Sentiment!H$2:H$37,"",0,1),0),$A51-TEXT(DATEVALUE($D51&amp;"-01"), "dd-mm-yyyy")),0),0)</f>
        <v>0</v>
      </c>
      <c r="I51" cm="1">
        <f t="array" ref="I51">IF($Q51&gt;=0,IFERROR(generateSalesData($D51, IF(ISNUMBER(_xlfn.XLOOKUP($C51,Phone_by_Sentiment!$B$2:$B$37,Phone_by_Sentiment!I$2:I$37,"",0,1)),_xlfn.XLOOKUP($C51,Phone_by_Sentiment!$B$2:$B$37,Phone_by_Sentiment!I$2:I$37,"",0,1),0),$A51-TEXT(DATEVALUE($D51&amp;"-01"), "dd-mm-yyyy")),0),0)</f>
        <v>0</v>
      </c>
      <c r="J51" cm="1">
        <f t="array" ref="J51">IF($Q51&gt;=0,IFERROR(generateSalesData($D51, IF(ISNUMBER(_xlfn.XLOOKUP($C51,Phone_by_Sentiment!$B$2:$B$37,Phone_by_Sentiment!J$2:J$37,"",0,1)),_xlfn.XLOOKUP($C51,Phone_by_Sentiment!$B$2:$B$37,Phone_by_Sentiment!J$2:J$37,"",0,1),0),$A51-TEXT(DATEVALUE($D51&amp;"-01"), "dd-mm-yyyy")),0),0)</f>
        <v>0</v>
      </c>
      <c r="K51" cm="1">
        <f t="array" ref="K51">IF($Q51&gt;=0,IFERROR(generateSalesData($D51, IF(ISNUMBER(_xlfn.XLOOKUP($C51,Phone_by_Sentiment!$B$2:$B$37,Phone_by_Sentiment!K$2:K$37,"",0,1)),_xlfn.XLOOKUP($C51,Phone_by_Sentiment!$B$2:$B$37,Phone_by_Sentiment!K$2:K$37,"",0,1),0),$A51-TEXT(DATEVALUE($D51&amp;"-01"), "dd-mm-yyyy")),0),0)</f>
        <v>0</v>
      </c>
      <c r="L51" cm="1">
        <f t="array" ref="L51">IF($Q51&gt;=0,IFERROR(generateSalesData($D51, IF(ISNUMBER(_xlfn.XLOOKUP($C51,Phone_by_Sentiment!$B$2:$B$37,Phone_by_Sentiment!L$2:L$37,"",0,1)),_xlfn.XLOOKUP($C51,Phone_by_Sentiment!$B$2:$B$37,Phone_by_Sentiment!L$2:L$37,"",0,1),0),$A51-TEXT(DATEVALUE($D51&amp;"-01"), "dd-mm-yyyy")),0),0)</f>
        <v>0</v>
      </c>
      <c r="M51" cm="1">
        <f t="array" ref="M51">IF($Q51&gt;=0,IFERROR(generateSalesData($D51, IF(ISNUMBER(_xlfn.XLOOKUP($C51,Phone_by_Sentiment!$B$2:$B$37,Phone_by_Sentiment!M$2:M$37,"",0,1)),_xlfn.XLOOKUP($C51,Phone_by_Sentiment!$B$2:$B$37,Phone_by_Sentiment!M$2:M$37,"",0,1),0),$A51-TEXT(DATEVALUE($D51&amp;"-01"), "dd-mm-yyyy")),0),0)</f>
        <v>0</v>
      </c>
      <c r="N51" cm="1">
        <f t="array" ref="N51">IF($Q51&gt;=0,IFERROR(generateSalesData($D51, IF(ISNUMBER(_xlfn.XLOOKUP($C51,Phone_by_Sentiment!$B$2:$B$37,Phone_by_Sentiment!N$2:N$37,"",0,1)),_xlfn.XLOOKUP($C51,Phone_by_Sentiment!$B$2:$B$37,Phone_by_Sentiment!N$2:N$37,"",0,1),0),$A51-TEXT(DATEVALUE($D51&amp;"-01"), "dd-mm-yyyy")),0),0)</f>
        <v>0</v>
      </c>
      <c r="O51" cm="1">
        <f t="array" ref="O51">IF($Q51&gt;=0,IFERROR(generateSalesData($D51, IF(ISNUMBER(_xlfn.XLOOKUP($C51,Phone_by_Sentiment!$B$2:$B$37,Phone_by_Sentiment!O$2:O$37,"",0,1)),_xlfn.XLOOKUP($C51,Phone_by_Sentiment!$B$2:$B$37,Phone_by_Sentiment!O$2:O$37,"",0,1),0),$A51-TEXT(DATEVALUE($D51&amp;"-01"), "dd-mm-yyyy")),0),0)</f>
        <v>0</v>
      </c>
      <c r="P51" s="1">
        <f t="shared" si="1"/>
        <v>44440</v>
      </c>
      <c r="Q51">
        <f t="shared" si="2"/>
        <v>-943</v>
      </c>
    </row>
    <row r="52" spans="1:17" x14ac:dyDescent="0.25">
      <c r="A52" s="1">
        <f t="shared" si="0"/>
        <v>43497</v>
      </c>
      <c r="B52" t="s">
        <v>158</v>
      </c>
      <c r="C52" t="str">
        <f>_xlfn.XLOOKUP(B52,Phone_by_Price!$A$2:$A$34,Phone_by_Price!$B$2:$B$34,"-",0,1)</f>
        <v>Samsung Galaxy A32 5G</v>
      </c>
      <c r="D52" t="str">
        <f>_xlfn.XLOOKUP(C52,Phone_by_Sentiment!$B$2:$B$37,Phone_by_Sentiment!$A$2:$A$37,"-",0,1)</f>
        <v>2021-02</v>
      </c>
      <c r="E52" cm="1">
        <f t="array" ref="E52">IF($Q52&gt;=0,IFERROR(generateSalesData($D52, IF(ISNUMBER(_xlfn.XLOOKUP($C52,Phone_by_Sentiment!$B$2:$B$37,Phone_by_Sentiment!E$2:E$37,"",0,1)),_xlfn.XLOOKUP($C52,Phone_by_Sentiment!$B$2:$B$37,Phone_by_Sentiment!E$2:E$37,"",0,1),0),$A52-TEXT(DATEVALUE($D52&amp;"-01"), "dd-mm-yyyy")),0),0)</f>
        <v>0</v>
      </c>
      <c r="F52" cm="1">
        <f t="array" ref="F52">IF($Q52&gt;=0,IFERROR(generateSalesData($D52, IF(ISNUMBER(_xlfn.XLOOKUP($C52,Phone_by_Sentiment!$B$2:$B$37,Phone_by_Sentiment!F$2:F$37,"",0,1)),_xlfn.XLOOKUP($C52,Phone_by_Sentiment!$B$2:$B$37,Phone_by_Sentiment!F$2:F$37,"",0,1),0),$A52-TEXT(DATEVALUE($D52&amp;"-01"), "dd-mm-yyyy")),0),0)</f>
        <v>0</v>
      </c>
      <c r="G52" cm="1">
        <f t="array" ref="G52">IF($Q52&gt;=0,IFERROR(generateSalesData($D52, IF(ISNUMBER(_xlfn.XLOOKUP($C52,Phone_by_Sentiment!$B$2:$B$37,Phone_by_Sentiment!G$2:G$37,"",0,1)),_xlfn.XLOOKUP($C52,Phone_by_Sentiment!$B$2:$B$37,Phone_by_Sentiment!G$2:G$37,"",0,1),0),$A52-TEXT(DATEVALUE($D52&amp;"-01"), "dd-mm-yyyy")),0),0)</f>
        <v>0</v>
      </c>
      <c r="H52" cm="1">
        <f t="array" ref="H52">IF($Q52&gt;=0,IFERROR(generateSalesData($D52, IF(ISNUMBER(_xlfn.XLOOKUP($C52,Phone_by_Sentiment!$B$2:$B$37,Phone_by_Sentiment!H$2:H$37,"",0,1)),_xlfn.XLOOKUP($C52,Phone_by_Sentiment!$B$2:$B$37,Phone_by_Sentiment!H$2:H$37,"",0,1),0),$A52-TEXT(DATEVALUE($D52&amp;"-01"), "dd-mm-yyyy")),0),0)</f>
        <v>0</v>
      </c>
      <c r="I52" cm="1">
        <f t="array" ref="I52">IF($Q52&gt;=0,IFERROR(generateSalesData($D52, IF(ISNUMBER(_xlfn.XLOOKUP($C52,Phone_by_Sentiment!$B$2:$B$37,Phone_by_Sentiment!I$2:I$37,"",0,1)),_xlfn.XLOOKUP($C52,Phone_by_Sentiment!$B$2:$B$37,Phone_by_Sentiment!I$2:I$37,"",0,1),0),$A52-TEXT(DATEVALUE($D52&amp;"-01"), "dd-mm-yyyy")),0),0)</f>
        <v>0</v>
      </c>
      <c r="J52" cm="1">
        <f t="array" ref="J52">IF($Q52&gt;=0,IFERROR(generateSalesData($D52, IF(ISNUMBER(_xlfn.XLOOKUP($C52,Phone_by_Sentiment!$B$2:$B$37,Phone_by_Sentiment!J$2:J$37,"",0,1)),_xlfn.XLOOKUP($C52,Phone_by_Sentiment!$B$2:$B$37,Phone_by_Sentiment!J$2:J$37,"",0,1),0),$A52-TEXT(DATEVALUE($D52&amp;"-01"), "dd-mm-yyyy")),0),0)</f>
        <v>0</v>
      </c>
      <c r="K52" cm="1">
        <f t="array" ref="K52">IF($Q52&gt;=0,IFERROR(generateSalesData($D52, IF(ISNUMBER(_xlfn.XLOOKUP($C52,Phone_by_Sentiment!$B$2:$B$37,Phone_by_Sentiment!K$2:K$37,"",0,1)),_xlfn.XLOOKUP($C52,Phone_by_Sentiment!$B$2:$B$37,Phone_by_Sentiment!K$2:K$37,"",0,1),0),$A52-TEXT(DATEVALUE($D52&amp;"-01"), "dd-mm-yyyy")),0),0)</f>
        <v>0</v>
      </c>
      <c r="L52" cm="1">
        <f t="array" ref="L52">IF($Q52&gt;=0,IFERROR(generateSalesData($D52, IF(ISNUMBER(_xlfn.XLOOKUP($C52,Phone_by_Sentiment!$B$2:$B$37,Phone_by_Sentiment!L$2:L$37,"",0,1)),_xlfn.XLOOKUP($C52,Phone_by_Sentiment!$B$2:$B$37,Phone_by_Sentiment!L$2:L$37,"",0,1),0),$A52-TEXT(DATEVALUE($D52&amp;"-01"), "dd-mm-yyyy")),0),0)</f>
        <v>0</v>
      </c>
      <c r="M52" cm="1">
        <f t="array" ref="M52">IF($Q52&gt;=0,IFERROR(generateSalesData($D52, IF(ISNUMBER(_xlfn.XLOOKUP($C52,Phone_by_Sentiment!$B$2:$B$37,Phone_by_Sentiment!M$2:M$37,"",0,1)),_xlfn.XLOOKUP($C52,Phone_by_Sentiment!$B$2:$B$37,Phone_by_Sentiment!M$2:M$37,"",0,1),0),$A52-TEXT(DATEVALUE($D52&amp;"-01"), "dd-mm-yyyy")),0),0)</f>
        <v>0</v>
      </c>
      <c r="N52" cm="1">
        <f t="array" ref="N52">IF($Q52&gt;=0,IFERROR(generateSalesData($D52, IF(ISNUMBER(_xlfn.XLOOKUP($C52,Phone_by_Sentiment!$B$2:$B$37,Phone_by_Sentiment!N$2:N$37,"",0,1)),_xlfn.XLOOKUP($C52,Phone_by_Sentiment!$B$2:$B$37,Phone_by_Sentiment!N$2:N$37,"",0,1),0),$A52-TEXT(DATEVALUE($D52&amp;"-01"), "dd-mm-yyyy")),0),0)</f>
        <v>0</v>
      </c>
      <c r="O52" cm="1">
        <f t="array" ref="O52">IF($Q52&gt;=0,IFERROR(generateSalesData($D52, IF(ISNUMBER(_xlfn.XLOOKUP($C52,Phone_by_Sentiment!$B$2:$B$37,Phone_by_Sentiment!O$2:O$37,"",0,1)),_xlfn.XLOOKUP($C52,Phone_by_Sentiment!$B$2:$B$37,Phone_by_Sentiment!O$2:O$37,"",0,1),0),$A52-TEXT(DATEVALUE($D52&amp;"-01"), "dd-mm-yyyy")),0),0)</f>
        <v>0</v>
      </c>
      <c r="P52" s="1">
        <f t="shared" si="1"/>
        <v>44228</v>
      </c>
      <c r="Q52">
        <f t="shared" si="2"/>
        <v>-731</v>
      </c>
    </row>
    <row r="53" spans="1:17" x14ac:dyDescent="0.25">
      <c r="A53" s="1">
        <f t="shared" si="0"/>
        <v>43497</v>
      </c>
      <c r="B53" t="s">
        <v>159</v>
      </c>
      <c r="C53" t="str">
        <f>_xlfn.XLOOKUP(B53,Phone_by_Price!$A$2:$A$34,Phone_by_Price!$B$2:$B$34,"-",0,1)</f>
        <v>Realme C25</v>
      </c>
      <c r="D53" t="str">
        <f>_xlfn.XLOOKUP(C53,Phone_by_Sentiment!$B$2:$B$37,Phone_by_Sentiment!$A$2:$A$37,"-",0,1)</f>
        <v>2021-03</v>
      </c>
      <c r="E53" cm="1">
        <f t="array" ref="E53">IF($Q53&gt;=0,IFERROR(generateSalesData($D53, IF(ISNUMBER(_xlfn.XLOOKUP($C53,Phone_by_Sentiment!$B$2:$B$37,Phone_by_Sentiment!E$2:E$37,"",0,1)),_xlfn.XLOOKUP($C53,Phone_by_Sentiment!$B$2:$B$37,Phone_by_Sentiment!E$2:E$37,"",0,1),0),$A53-TEXT(DATEVALUE($D53&amp;"-01"), "dd-mm-yyyy")),0),0)</f>
        <v>0</v>
      </c>
      <c r="F53" cm="1">
        <f t="array" ref="F53">IF($Q53&gt;=0,IFERROR(generateSalesData($D53, IF(ISNUMBER(_xlfn.XLOOKUP($C53,Phone_by_Sentiment!$B$2:$B$37,Phone_by_Sentiment!F$2:F$37,"",0,1)),_xlfn.XLOOKUP($C53,Phone_by_Sentiment!$B$2:$B$37,Phone_by_Sentiment!F$2:F$37,"",0,1),0),$A53-TEXT(DATEVALUE($D53&amp;"-01"), "dd-mm-yyyy")),0),0)</f>
        <v>0</v>
      </c>
      <c r="G53" cm="1">
        <f t="array" ref="G53">IF($Q53&gt;=0,IFERROR(generateSalesData($D53, IF(ISNUMBER(_xlfn.XLOOKUP($C53,Phone_by_Sentiment!$B$2:$B$37,Phone_by_Sentiment!G$2:G$37,"",0,1)),_xlfn.XLOOKUP($C53,Phone_by_Sentiment!$B$2:$B$37,Phone_by_Sentiment!G$2:G$37,"",0,1),0),$A53-TEXT(DATEVALUE($D53&amp;"-01"), "dd-mm-yyyy")),0),0)</f>
        <v>0</v>
      </c>
      <c r="H53" cm="1">
        <f t="array" ref="H53">IF($Q53&gt;=0,IFERROR(generateSalesData($D53, IF(ISNUMBER(_xlfn.XLOOKUP($C53,Phone_by_Sentiment!$B$2:$B$37,Phone_by_Sentiment!H$2:H$37,"",0,1)),_xlfn.XLOOKUP($C53,Phone_by_Sentiment!$B$2:$B$37,Phone_by_Sentiment!H$2:H$37,"",0,1),0),$A53-TEXT(DATEVALUE($D53&amp;"-01"), "dd-mm-yyyy")),0),0)</f>
        <v>0</v>
      </c>
      <c r="I53" cm="1">
        <f t="array" ref="I53">IF($Q53&gt;=0,IFERROR(generateSalesData($D53, IF(ISNUMBER(_xlfn.XLOOKUP($C53,Phone_by_Sentiment!$B$2:$B$37,Phone_by_Sentiment!I$2:I$37,"",0,1)),_xlfn.XLOOKUP($C53,Phone_by_Sentiment!$B$2:$B$37,Phone_by_Sentiment!I$2:I$37,"",0,1),0),$A53-TEXT(DATEVALUE($D53&amp;"-01"), "dd-mm-yyyy")),0),0)</f>
        <v>0</v>
      </c>
      <c r="J53" cm="1">
        <f t="array" ref="J53">IF($Q53&gt;=0,IFERROR(generateSalesData($D53, IF(ISNUMBER(_xlfn.XLOOKUP($C53,Phone_by_Sentiment!$B$2:$B$37,Phone_by_Sentiment!J$2:J$37,"",0,1)),_xlfn.XLOOKUP($C53,Phone_by_Sentiment!$B$2:$B$37,Phone_by_Sentiment!J$2:J$37,"",0,1),0),$A53-TEXT(DATEVALUE($D53&amp;"-01"), "dd-mm-yyyy")),0),0)</f>
        <v>0</v>
      </c>
      <c r="K53" cm="1">
        <f t="array" ref="K53">IF($Q53&gt;=0,IFERROR(generateSalesData($D53, IF(ISNUMBER(_xlfn.XLOOKUP($C53,Phone_by_Sentiment!$B$2:$B$37,Phone_by_Sentiment!K$2:K$37,"",0,1)),_xlfn.XLOOKUP($C53,Phone_by_Sentiment!$B$2:$B$37,Phone_by_Sentiment!K$2:K$37,"",0,1),0),$A53-TEXT(DATEVALUE($D53&amp;"-01"), "dd-mm-yyyy")),0),0)</f>
        <v>0</v>
      </c>
      <c r="L53" cm="1">
        <f t="array" ref="L53">IF($Q53&gt;=0,IFERROR(generateSalesData($D53, IF(ISNUMBER(_xlfn.XLOOKUP($C53,Phone_by_Sentiment!$B$2:$B$37,Phone_by_Sentiment!L$2:L$37,"",0,1)),_xlfn.XLOOKUP($C53,Phone_by_Sentiment!$B$2:$B$37,Phone_by_Sentiment!L$2:L$37,"",0,1),0),$A53-TEXT(DATEVALUE($D53&amp;"-01"), "dd-mm-yyyy")),0),0)</f>
        <v>0</v>
      </c>
      <c r="M53" cm="1">
        <f t="array" ref="M53">IF($Q53&gt;=0,IFERROR(generateSalesData($D53, IF(ISNUMBER(_xlfn.XLOOKUP($C53,Phone_by_Sentiment!$B$2:$B$37,Phone_by_Sentiment!M$2:M$37,"",0,1)),_xlfn.XLOOKUP($C53,Phone_by_Sentiment!$B$2:$B$37,Phone_by_Sentiment!M$2:M$37,"",0,1),0),$A53-TEXT(DATEVALUE($D53&amp;"-01"), "dd-mm-yyyy")),0),0)</f>
        <v>0</v>
      </c>
      <c r="N53" cm="1">
        <f t="array" ref="N53">IF($Q53&gt;=0,IFERROR(generateSalesData($D53, IF(ISNUMBER(_xlfn.XLOOKUP($C53,Phone_by_Sentiment!$B$2:$B$37,Phone_by_Sentiment!N$2:N$37,"",0,1)),_xlfn.XLOOKUP($C53,Phone_by_Sentiment!$B$2:$B$37,Phone_by_Sentiment!N$2:N$37,"",0,1),0),$A53-TEXT(DATEVALUE($D53&amp;"-01"), "dd-mm-yyyy")),0),0)</f>
        <v>0</v>
      </c>
      <c r="O53" cm="1">
        <f t="array" ref="O53">IF($Q53&gt;=0,IFERROR(generateSalesData($D53, IF(ISNUMBER(_xlfn.XLOOKUP($C53,Phone_by_Sentiment!$B$2:$B$37,Phone_by_Sentiment!O$2:O$37,"",0,1)),_xlfn.XLOOKUP($C53,Phone_by_Sentiment!$B$2:$B$37,Phone_by_Sentiment!O$2:O$37,"",0,1),0),$A53-TEXT(DATEVALUE($D53&amp;"-01"), "dd-mm-yyyy")),0),0)</f>
        <v>0</v>
      </c>
      <c r="P53" s="1">
        <f t="shared" si="1"/>
        <v>44256</v>
      </c>
      <c r="Q53">
        <f t="shared" si="2"/>
        <v>-759</v>
      </c>
    </row>
    <row r="54" spans="1:17" x14ac:dyDescent="0.25">
      <c r="A54" s="1">
        <f t="shared" si="0"/>
        <v>43497</v>
      </c>
      <c r="B54" t="s">
        <v>160</v>
      </c>
      <c r="C54" t="str">
        <f>_xlfn.XLOOKUP(B54,Phone_by_Price!$A$2:$A$34,Phone_by_Price!$B$2:$B$34,"-",0,1)</f>
        <v>Xiaomi Poco X3 Pro</v>
      </c>
      <c r="D54" t="str">
        <f>_xlfn.XLOOKUP(C54,Phone_by_Sentiment!$B$2:$B$37,Phone_by_Sentiment!$A$2:$A$37,"-",0,1)</f>
        <v>2021-05</v>
      </c>
      <c r="E54" cm="1">
        <f t="array" ref="E54">IF($Q54&gt;=0,IFERROR(generateSalesData($D54, IF(ISNUMBER(_xlfn.XLOOKUP($C54,Phone_by_Sentiment!$B$2:$B$37,Phone_by_Sentiment!E$2:E$37,"",0,1)),_xlfn.XLOOKUP($C54,Phone_by_Sentiment!$B$2:$B$37,Phone_by_Sentiment!E$2:E$37,"",0,1),0),$A54-TEXT(DATEVALUE($D54&amp;"-01"), "dd-mm-yyyy")),0),0)</f>
        <v>0</v>
      </c>
      <c r="F54" cm="1">
        <f t="array" ref="F54">IF($Q54&gt;=0,IFERROR(generateSalesData($D54, IF(ISNUMBER(_xlfn.XLOOKUP($C54,Phone_by_Sentiment!$B$2:$B$37,Phone_by_Sentiment!F$2:F$37,"",0,1)),_xlfn.XLOOKUP($C54,Phone_by_Sentiment!$B$2:$B$37,Phone_by_Sentiment!F$2:F$37,"",0,1),0),$A54-TEXT(DATEVALUE($D54&amp;"-01"), "dd-mm-yyyy")),0),0)</f>
        <v>0</v>
      </c>
      <c r="G54" cm="1">
        <f t="array" ref="G54">IF($Q54&gt;=0,IFERROR(generateSalesData($D54, IF(ISNUMBER(_xlfn.XLOOKUP($C54,Phone_by_Sentiment!$B$2:$B$37,Phone_by_Sentiment!G$2:G$37,"",0,1)),_xlfn.XLOOKUP($C54,Phone_by_Sentiment!$B$2:$B$37,Phone_by_Sentiment!G$2:G$37,"",0,1),0),$A54-TEXT(DATEVALUE($D54&amp;"-01"), "dd-mm-yyyy")),0),0)</f>
        <v>0</v>
      </c>
      <c r="H54" cm="1">
        <f t="array" ref="H54">IF($Q54&gt;=0,IFERROR(generateSalesData($D54, IF(ISNUMBER(_xlfn.XLOOKUP($C54,Phone_by_Sentiment!$B$2:$B$37,Phone_by_Sentiment!H$2:H$37,"",0,1)),_xlfn.XLOOKUP($C54,Phone_by_Sentiment!$B$2:$B$37,Phone_by_Sentiment!H$2:H$37,"",0,1),0),$A54-TEXT(DATEVALUE($D54&amp;"-01"), "dd-mm-yyyy")),0),0)</f>
        <v>0</v>
      </c>
      <c r="I54" cm="1">
        <f t="array" ref="I54">IF($Q54&gt;=0,IFERROR(generateSalesData($D54, IF(ISNUMBER(_xlfn.XLOOKUP($C54,Phone_by_Sentiment!$B$2:$B$37,Phone_by_Sentiment!I$2:I$37,"",0,1)),_xlfn.XLOOKUP($C54,Phone_by_Sentiment!$B$2:$B$37,Phone_by_Sentiment!I$2:I$37,"",0,1),0),$A54-TEXT(DATEVALUE($D54&amp;"-01"), "dd-mm-yyyy")),0),0)</f>
        <v>0</v>
      </c>
      <c r="J54" cm="1">
        <f t="array" ref="J54">IF($Q54&gt;=0,IFERROR(generateSalesData($D54, IF(ISNUMBER(_xlfn.XLOOKUP($C54,Phone_by_Sentiment!$B$2:$B$37,Phone_by_Sentiment!J$2:J$37,"",0,1)),_xlfn.XLOOKUP($C54,Phone_by_Sentiment!$B$2:$B$37,Phone_by_Sentiment!J$2:J$37,"",0,1),0),$A54-TEXT(DATEVALUE($D54&amp;"-01"), "dd-mm-yyyy")),0),0)</f>
        <v>0</v>
      </c>
      <c r="K54" cm="1">
        <f t="array" ref="K54">IF($Q54&gt;=0,IFERROR(generateSalesData($D54, IF(ISNUMBER(_xlfn.XLOOKUP($C54,Phone_by_Sentiment!$B$2:$B$37,Phone_by_Sentiment!K$2:K$37,"",0,1)),_xlfn.XLOOKUP($C54,Phone_by_Sentiment!$B$2:$B$37,Phone_by_Sentiment!K$2:K$37,"",0,1),0),$A54-TEXT(DATEVALUE($D54&amp;"-01"), "dd-mm-yyyy")),0),0)</f>
        <v>0</v>
      </c>
      <c r="L54" cm="1">
        <f t="array" ref="L54">IF($Q54&gt;=0,IFERROR(generateSalesData($D54, IF(ISNUMBER(_xlfn.XLOOKUP($C54,Phone_by_Sentiment!$B$2:$B$37,Phone_by_Sentiment!L$2:L$37,"",0,1)),_xlfn.XLOOKUP($C54,Phone_by_Sentiment!$B$2:$B$37,Phone_by_Sentiment!L$2:L$37,"",0,1),0),$A54-TEXT(DATEVALUE($D54&amp;"-01"), "dd-mm-yyyy")),0),0)</f>
        <v>0</v>
      </c>
      <c r="M54" cm="1">
        <f t="array" ref="M54">IF($Q54&gt;=0,IFERROR(generateSalesData($D54, IF(ISNUMBER(_xlfn.XLOOKUP($C54,Phone_by_Sentiment!$B$2:$B$37,Phone_by_Sentiment!M$2:M$37,"",0,1)),_xlfn.XLOOKUP($C54,Phone_by_Sentiment!$B$2:$B$37,Phone_by_Sentiment!M$2:M$37,"",0,1),0),$A54-TEXT(DATEVALUE($D54&amp;"-01"), "dd-mm-yyyy")),0),0)</f>
        <v>0</v>
      </c>
      <c r="N54" cm="1">
        <f t="array" ref="N54">IF($Q54&gt;=0,IFERROR(generateSalesData($D54, IF(ISNUMBER(_xlfn.XLOOKUP($C54,Phone_by_Sentiment!$B$2:$B$37,Phone_by_Sentiment!N$2:N$37,"",0,1)),_xlfn.XLOOKUP($C54,Phone_by_Sentiment!$B$2:$B$37,Phone_by_Sentiment!N$2:N$37,"",0,1),0),$A54-TEXT(DATEVALUE($D54&amp;"-01"), "dd-mm-yyyy")),0),0)</f>
        <v>0</v>
      </c>
      <c r="O54" cm="1">
        <f t="array" ref="O54">IF($Q54&gt;=0,IFERROR(generateSalesData($D54, IF(ISNUMBER(_xlfn.XLOOKUP($C54,Phone_by_Sentiment!$B$2:$B$37,Phone_by_Sentiment!O$2:O$37,"",0,1)),_xlfn.XLOOKUP($C54,Phone_by_Sentiment!$B$2:$B$37,Phone_by_Sentiment!O$2:O$37,"",0,1),0),$A54-TEXT(DATEVALUE($D54&amp;"-01"), "dd-mm-yyyy")),0),0)</f>
        <v>0</v>
      </c>
      <c r="P54" s="1">
        <f t="shared" si="1"/>
        <v>44317</v>
      </c>
      <c r="Q54">
        <f t="shared" si="2"/>
        <v>-820</v>
      </c>
    </row>
    <row r="55" spans="1:17" x14ac:dyDescent="0.25">
      <c r="A55" s="1">
        <f t="shared" si="0"/>
        <v>43497</v>
      </c>
      <c r="B55" t="s">
        <v>161</v>
      </c>
      <c r="C55" t="str">
        <f>_xlfn.XLOOKUP(B55,Phone_by_Price!$A$2:$A$34,Phone_by_Price!$B$2:$B$34,"-",0,1)</f>
        <v>Samsung Galaxy Z Flip 3</v>
      </c>
      <c r="D55" t="str">
        <f>_xlfn.XLOOKUP(C55,Phone_by_Sentiment!$B$2:$B$37,Phone_by_Sentiment!$A$2:$A$37,"-",0,1)</f>
        <v>2021-09</v>
      </c>
      <c r="E55" cm="1">
        <f t="array" ref="E55">IF($Q55&gt;=0,IFERROR(generateSalesData($D55, IF(ISNUMBER(_xlfn.XLOOKUP($C55,Phone_by_Sentiment!$B$2:$B$37,Phone_by_Sentiment!E$2:E$37,"",0,1)),_xlfn.XLOOKUP($C55,Phone_by_Sentiment!$B$2:$B$37,Phone_by_Sentiment!E$2:E$37,"",0,1),0),$A55-TEXT(DATEVALUE($D55&amp;"-01"), "dd-mm-yyyy")),0),0)</f>
        <v>0</v>
      </c>
      <c r="F55" cm="1">
        <f t="array" ref="F55">IF($Q55&gt;=0,IFERROR(generateSalesData($D55, IF(ISNUMBER(_xlfn.XLOOKUP($C55,Phone_by_Sentiment!$B$2:$B$37,Phone_by_Sentiment!F$2:F$37,"",0,1)),_xlfn.XLOOKUP($C55,Phone_by_Sentiment!$B$2:$B$37,Phone_by_Sentiment!F$2:F$37,"",0,1),0),$A55-TEXT(DATEVALUE($D55&amp;"-01"), "dd-mm-yyyy")),0),0)</f>
        <v>0</v>
      </c>
      <c r="G55" cm="1">
        <f t="array" ref="G55">IF($Q55&gt;=0,IFERROR(generateSalesData($D55, IF(ISNUMBER(_xlfn.XLOOKUP($C55,Phone_by_Sentiment!$B$2:$B$37,Phone_by_Sentiment!G$2:G$37,"",0,1)),_xlfn.XLOOKUP($C55,Phone_by_Sentiment!$B$2:$B$37,Phone_by_Sentiment!G$2:G$37,"",0,1),0),$A55-TEXT(DATEVALUE($D55&amp;"-01"), "dd-mm-yyyy")),0),0)</f>
        <v>0</v>
      </c>
      <c r="H55" cm="1">
        <f t="array" ref="H55">IF($Q55&gt;=0,IFERROR(generateSalesData($D55, IF(ISNUMBER(_xlfn.XLOOKUP($C55,Phone_by_Sentiment!$B$2:$B$37,Phone_by_Sentiment!H$2:H$37,"",0,1)),_xlfn.XLOOKUP($C55,Phone_by_Sentiment!$B$2:$B$37,Phone_by_Sentiment!H$2:H$37,"",0,1),0),$A55-TEXT(DATEVALUE($D55&amp;"-01"), "dd-mm-yyyy")),0),0)</f>
        <v>0</v>
      </c>
      <c r="I55" cm="1">
        <f t="array" ref="I55">IF($Q55&gt;=0,IFERROR(generateSalesData($D55, IF(ISNUMBER(_xlfn.XLOOKUP($C55,Phone_by_Sentiment!$B$2:$B$37,Phone_by_Sentiment!I$2:I$37,"",0,1)),_xlfn.XLOOKUP($C55,Phone_by_Sentiment!$B$2:$B$37,Phone_by_Sentiment!I$2:I$37,"",0,1),0),$A55-TEXT(DATEVALUE($D55&amp;"-01"), "dd-mm-yyyy")),0),0)</f>
        <v>0</v>
      </c>
      <c r="J55" cm="1">
        <f t="array" ref="J55">IF($Q55&gt;=0,IFERROR(generateSalesData($D55, IF(ISNUMBER(_xlfn.XLOOKUP($C55,Phone_by_Sentiment!$B$2:$B$37,Phone_by_Sentiment!J$2:J$37,"",0,1)),_xlfn.XLOOKUP($C55,Phone_by_Sentiment!$B$2:$B$37,Phone_by_Sentiment!J$2:J$37,"",0,1),0),$A55-TEXT(DATEVALUE($D55&amp;"-01"), "dd-mm-yyyy")),0),0)</f>
        <v>0</v>
      </c>
      <c r="K55" cm="1">
        <f t="array" ref="K55">IF($Q55&gt;=0,IFERROR(generateSalesData($D55, IF(ISNUMBER(_xlfn.XLOOKUP($C55,Phone_by_Sentiment!$B$2:$B$37,Phone_by_Sentiment!K$2:K$37,"",0,1)),_xlfn.XLOOKUP($C55,Phone_by_Sentiment!$B$2:$B$37,Phone_by_Sentiment!K$2:K$37,"",0,1),0),$A55-TEXT(DATEVALUE($D55&amp;"-01"), "dd-mm-yyyy")),0),0)</f>
        <v>0</v>
      </c>
      <c r="L55" cm="1">
        <f t="array" ref="L55">IF($Q55&gt;=0,IFERROR(generateSalesData($D55, IF(ISNUMBER(_xlfn.XLOOKUP($C55,Phone_by_Sentiment!$B$2:$B$37,Phone_by_Sentiment!L$2:L$37,"",0,1)),_xlfn.XLOOKUP($C55,Phone_by_Sentiment!$B$2:$B$37,Phone_by_Sentiment!L$2:L$37,"",0,1),0),$A55-TEXT(DATEVALUE($D55&amp;"-01"), "dd-mm-yyyy")),0),0)</f>
        <v>0</v>
      </c>
      <c r="M55" cm="1">
        <f t="array" ref="M55">IF($Q55&gt;=0,IFERROR(generateSalesData($D55, IF(ISNUMBER(_xlfn.XLOOKUP($C55,Phone_by_Sentiment!$B$2:$B$37,Phone_by_Sentiment!M$2:M$37,"",0,1)),_xlfn.XLOOKUP($C55,Phone_by_Sentiment!$B$2:$B$37,Phone_by_Sentiment!M$2:M$37,"",0,1),0),$A55-TEXT(DATEVALUE($D55&amp;"-01"), "dd-mm-yyyy")),0),0)</f>
        <v>0</v>
      </c>
      <c r="N55" cm="1">
        <f t="array" ref="N55">IF($Q55&gt;=0,IFERROR(generateSalesData($D55, IF(ISNUMBER(_xlfn.XLOOKUP($C55,Phone_by_Sentiment!$B$2:$B$37,Phone_by_Sentiment!N$2:N$37,"",0,1)),_xlfn.XLOOKUP($C55,Phone_by_Sentiment!$B$2:$B$37,Phone_by_Sentiment!N$2:N$37,"",0,1),0),$A55-TEXT(DATEVALUE($D55&amp;"-01"), "dd-mm-yyyy")),0),0)</f>
        <v>0</v>
      </c>
      <c r="O55" cm="1">
        <f t="array" ref="O55">IF($Q55&gt;=0,IFERROR(generateSalesData($D55, IF(ISNUMBER(_xlfn.XLOOKUP($C55,Phone_by_Sentiment!$B$2:$B$37,Phone_by_Sentiment!O$2:O$37,"",0,1)),_xlfn.XLOOKUP($C55,Phone_by_Sentiment!$B$2:$B$37,Phone_by_Sentiment!O$2:O$37,"",0,1),0),$A55-TEXT(DATEVALUE($D55&amp;"-01"), "dd-mm-yyyy")),0),0)</f>
        <v>0</v>
      </c>
      <c r="P55" s="1">
        <f t="shared" si="1"/>
        <v>44440</v>
      </c>
      <c r="Q55">
        <f t="shared" si="2"/>
        <v>-943</v>
      </c>
    </row>
    <row r="56" spans="1:17" x14ac:dyDescent="0.25">
      <c r="A56" s="1">
        <f t="shared" si="0"/>
        <v>43497</v>
      </c>
      <c r="B56" t="s">
        <v>162</v>
      </c>
      <c r="C56" t="str">
        <f>_xlfn.XLOOKUP(B56,Phone_by_Price!$A$2:$A$34,Phone_by_Price!$B$2:$B$34,"-",0,1)</f>
        <v>Xiaomi Poco X3 NFC</v>
      </c>
      <c r="D56" t="str">
        <f>_xlfn.XLOOKUP(C56,Phone_by_Sentiment!$B$2:$B$37,Phone_by_Sentiment!$A$2:$A$37,"-",0,1)</f>
        <v>2020-08</v>
      </c>
      <c r="E56" cm="1">
        <f t="array" ref="E56">IF($Q56&gt;=0,IFERROR(generateSalesData($D56, IF(ISNUMBER(_xlfn.XLOOKUP($C56,Phone_by_Sentiment!$B$2:$B$37,Phone_by_Sentiment!E$2:E$37,"",0,1)),_xlfn.XLOOKUP($C56,Phone_by_Sentiment!$B$2:$B$37,Phone_by_Sentiment!E$2:E$37,"",0,1),0),$A56-TEXT(DATEVALUE($D56&amp;"-01"), "dd-mm-yyyy")),0),0)</f>
        <v>0</v>
      </c>
      <c r="F56" cm="1">
        <f t="array" ref="F56">IF($Q56&gt;=0,IFERROR(generateSalesData($D56, IF(ISNUMBER(_xlfn.XLOOKUP($C56,Phone_by_Sentiment!$B$2:$B$37,Phone_by_Sentiment!F$2:F$37,"",0,1)),_xlfn.XLOOKUP($C56,Phone_by_Sentiment!$B$2:$B$37,Phone_by_Sentiment!F$2:F$37,"",0,1),0),$A56-TEXT(DATEVALUE($D56&amp;"-01"), "dd-mm-yyyy")),0),0)</f>
        <v>0</v>
      </c>
      <c r="G56" cm="1">
        <f t="array" ref="G56">IF($Q56&gt;=0,IFERROR(generateSalesData($D56, IF(ISNUMBER(_xlfn.XLOOKUP($C56,Phone_by_Sentiment!$B$2:$B$37,Phone_by_Sentiment!G$2:G$37,"",0,1)),_xlfn.XLOOKUP($C56,Phone_by_Sentiment!$B$2:$B$37,Phone_by_Sentiment!G$2:G$37,"",0,1),0),$A56-TEXT(DATEVALUE($D56&amp;"-01"), "dd-mm-yyyy")),0),0)</f>
        <v>0</v>
      </c>
      <c r="H56" cm="1">
        <f t="array" ref="H56">IF($Q56&gt;=0,IFERROR(generateSalesData($D56, IF(ISNUMBER(_xlfn.XLOOKUP($C56,Phone_by_Sentiment!$B$2:$B$37,Phone_by_Sentiment!H$2:H$37,"",0,1)),_xlfn.XLOOKUP($C56,Phone_by_Sentiment!$B$2:$B$37,Phone_by_Sentiment!H$2:H$37,"",0,1),0),$A56-TEXT(DATEVALUE($D56&amp;"-01"), "dd-mm-yyyy")),0),0)</f>
        <v>0</v>
      </c>
      <c r="I56" cm="1">
        <f t="array" ref="I56">IF($Q56&gt;=0,IFERROR(generateSalesData($D56, IF(ISNUMBER(_xlfn.XLOOKUP($C56,Phone_by_Sentiment!$B$2:$B$37,Phone_by_Sentiment!I$2:I$37,"",0,1)),_xlfn.XLOOKUP($C56,Phone_by_Sentiment!$B$2:$B$37,Phone_by_Sentiment!I$2:I$37,"",0,1),0),$A56-TEXT(DATEVALUE($D56&amp;"-01"), "dd-mm-yyyy")),0),0)</f>
        <v>0</v>
      </c>
      <c r="J56" cm="1">
        <f t="array" ref="J56">IF($Q56&gt;=0,IFERROR(generateSalesData($D56, IF(ISNUMBER(_xlfn.XLOOKUP($C56,Phone_by_Sentiment!$B$2:$B$37,Phone_by_Sentiment!J$2:J$37,"",0,1)),_xlfn.XLOOKUP($C56,Phone_by_Sentiment!$B$2:$B$37,Phone_by_Sentiment!J$2:J$37,"",0,1),0),$A56-TEXT(DATEVALUE($D56&amp;"-01"), "dd-mm-yyyy")),0),0)</f>
        <v>0</v>
      </c>
      <c r="K56" cm="1">
        <f t="array" ref="K56">IF($Q56&gt;=0,IFERROR(generateSalesData($D56, IF(ISNUMBER(_xlfn.XLOOKUP($C56,Phone_by_Sentiment!$B$2:$B$37,Phone_by_Sentiment!K$2:K$37,"",0,1)),_xlfn.XLOOKUP($C56,Phone_by_Sentiment!$B$2:$B$37,Phone_by_Sentiment!K$2:K$37,"",0,1),0),$A56-TEXT(DATEVALUE($D56&amp;"-01"), "dd-mm-yyyy")),0),0)</f>
        <v>0</v>
      </c>
      <c r="L56" cm="1">
        <f t="array" ref="L56">IF($Q56&gt;=0,IFERROR(generateSalesData($D56, IF(ISNUMBER(_xlfn.XLOOKUP($C56,Phone_by_Sentiment!$B$2:$B$37,Phone_by_Sentiment!L$2:L$37,"",0,1)),_xlfn.XLOOKUP($C56,Phone_by_Sentiment!$B$2:$B$37,Phone_by_Sentiment!L$2:L$37,"",0,1),0),$A56-TEXT(DATEVALUE($D56&amp;"-01"), "dd-mm-yyyy")),0),0)</f>
        <v>0</v>
      </c>
      <c r="M56" cm="1">
        <f t="array" ref="M56">IF($Q56&gt;=0,IFERROR(generateSalesData($D56, IF(ISNUMBER(_xlfn.XLOOKUP($C56,Phone_by_Sentiment!$B$2:$B$37,Phone_by_Sentiment!M$2:M$37,"",0,1)),_xlfn.XLOOKUP($C56,Phone_by_Sentiment!$B$2:$B$37,Phone_by_Sentiment!M$2:M$37,"",0,1),0),$A56-TEXT(DATEVALUE($D56&amp;"-01"), "dd-mm-yyyy")),0),0)</f>
        <v>0</v>
      </c>
      <c r="N56" cm="1">
        <f t="array" ref="N56">IF($Q56&gt;=0,IFERROR(generateSalesData($D56, IF(ISNUMBER(_xlfn.XLOOKUP($C56,Phone_by_Sentiment!$B$2:$B$37,Phone_by_Sentiment!N$2:N$37,"",0,1)),_xlfn.XLOOKUP($C56,Phone_by_Sentiment!$B$2:$B$37,Phone_by_Sentiment!N$2:N$37,"",0,1),0),$A56-TEXT(DATEVALUE($D56&amp;"-01"), "dd-mm-yyyy")),0),0)</f>
        <v>0</v>
      </c>
      <c r="O56" cm="1">
        <f t="array" ref="O56">IF($Q56&gt;=0,IFERROR(generateSalesData($D56, IF(ISNUMBER(_xlfn.XLOOKUP($C56,Phone_by_Sentiment!$B$2:$B$37,Phone_by_Sentiment!O$2:O$37,"",0,1)),_xlfn.XLOOKUP($C56,Phone_by_Sentiment!$B$2:$B$37,Phone_by_Sentiment!O$2:O$37,"",0,1),0),$A56-TEXT(DATEVALUE($D56&amp;"-01"), "dd-mm-yyyy")),0),0)</f>
        <v>0</v>
      </c>
      <c r="P56" s="1">
        <f t="shared" si="1"/>
        <v>44044</v>
      </c>
      <c r="Q56">
        <f t="shared" si="2"/>
        <v>-547</v>
      </c>
    </row>
    <row r="57" spans="1:17" x14ac:dyDescent="0.25">
      <c r="A57" s="1">
        <f t="shared" si="0"/>
        <v>43497</v>
      </c>
      <c r="B57" t="s">
        <v>163</v>
      </c>
      <c r="C57" t="str">
        <f>_xlfn.XLOOKUP(B57,Phone_by_Price!$A$2:$A$34,Phone_by_Price!$B$2:$B$34,"-",0,1)</f>
        <v>OPPO A93</v>
      </c>
      <c r="D57" t="str">
        <f>_xlfn.XLOOKUP(C57,Phone_by_Sentiment!$B$2:$B$37,Phone_by_Sentiment!$A$2:$A$37,"-",0,1)</f>
        <v>2021-02</v>
      </c>
      <c r="E57" cm="1">
        <f t="array" ref="E57">IF($Q57&gt;=0,IFERROR(generateSalesData($D57, IF(ISNUMBER(_xlfn.XLOOKUP($C57,Phone_by_Sentiment!$B$2:$B$37,Phone_by_Sentiment!E$2:E$37,"",0,1)),_xlfn.XLOOKUP($C57,Phone_by_Sentiment!$B$2:$B$37,Phone_by_Sentiment!E$2:E$37,"",0,1),0),$A57-TEXT(DATEVALUE($D57&amp;"-01"), "dd-mm-yyyy")),0),0)</f>
        <v>0</v>
      </c>
      <c r="F57" cm="1">
        <f t="array" ref="F57">IF($Q57&gt;=0,IFERROR(generateSalesData($D57, IF(ISNUMBER(_xlfn.XLOOKUP($C57,Phone_by_Sentiment!$B$2:$B$37,Phone_by_Sentiment!F$2:F$37,"",0,1)),_xlfn.XLOOKUP($C57,Phone_by_Sentiment!$B$2:$B$37,Phone_by_Sentiment!F$2:F$37,"",0,1),0),$A57-TEXT(DATEVALUE($D57&amp;"-01"), "dd-mm-yyyy")),0),0)</f>
        <v>0</v>
      </c>
      <c r="G57" cm="1">
        <f t="array" ref="G57">IF($Q57&gt;=0,IFERROR(generateSalesData($D57, IF(ISNUMBER(_xlfn.XLOOKUP($C57,Phone_by_Sentiment!$B$2:$B$37,Phone_by_Sentiment!G$2:G$37,"",0,1)),_xlfn.XLOOKUP($C57,Phone_by_Sentiment!$B$2:$B$37,Phone_by_Sentiment!G$2:G$37,"",0,1),0),$A57-TEXT(DATEVALUE($D57&amp;"-01"), "dd-mm-yyyy")),0),0)</f>
        <v>0</v>
      </c>
      <c r="H57" cm="1">
        <f t="array" ref="H57">IF($Q57&gt;=0,IFERROR(generateSalesData($D57, IF(ISNUMBER(_xlfn.XLOOKUP($C57,Phone_by_Sentiment!$B$2:$B$37,Phone_by_Sentiment!H$2:H$37,"",0,1)),_xlfn.XLOOKUP($C57,Phone_by_Sentiment!$B$2:$B$37,Phone_by_Sentiment!H$2:H$37,"",0,1),0),$A57-TEXT(DATEVALUE($D57&amp;"-01"), "dd-mm-yyyy")),0),0)</f>
        <v>0</v>
      </c>
      <c r="I57" cm="1">
        <f t="array" ref="I57">IF($Q57&gt;=0,IFERROR(generateSalesData($D57, IF(ISNUMBER(_xlfn.XLOOKUP($C57,Phone_by_Sentiment!$B$2:$B$37,Phone_by_Sentiment!I$2:I$37,"",0,1)),_xlfn.XLOOKUP($C57,Phone_by_Sentiment!$B$2:$B$37,Phone_by_Sentiment!I$2:I$37,"",0,1),0),$A57-TEXT(DATEVALUE($D57&amp;"-01"), "dd-mm-yyyy")),0),0)</f>
        <v>0</v>
      </c>
      <c r="J57" cm="1">
        <f t="array" ref="J57">IF($Q57&gt;=0,IFERROR(generateSalesData($D57, IF(ISNUMBER(_xlfn.XLOOKUP($C57,Phone_by_Sentiment!$B$2:$B$37,Phone_by_Sentiment!J$2:J$37,"",0,1)),_xlfn.XLOOKUP($C57,Phone_by_Sentiment!$B$2:$B$37,Phone_by_Sentiment!J$2:J$37,"",0,1),0),$A57-TEXT(DATEVALUE($D57&amp;"-01"), "dd-mm-yyyy")),0),0)</f>
        <v>0</v>
      </c>
      <c r="K57" cm="1">
        <f t="array" ref="K57">IF($Q57&gt;=0,IFERROR(generateSalesData($D57, IF(ISNUMBER(_xlfn.XLOOKUP($C57,Phone_by_Sentiment!$B$2:$B$37,Phone_by_Sentiment!K$2:K$37,"",0,1)),_xlfn.XLOOKUP($C57,Phone_by_Sentiment!$B$2:$B$37,Phone_by_Sentiment!K$2:K$37,"",0,1),0),$A57-TEXT(DATEVALUE($D57&amp;"-01"), "dd-mm-yyyy")),0),0)</f>
        <v>0</v>
      </c>
      <c r="L57" cm="1">
        <f t="array" ref="L57">IF($Q57&gt;=0,IFERROR(generateSalesData($D57, IF(ISNUMBER(_xlfn.XLOOKUP($C57,Phone_by_Sentiment!$B$2:$B$37,Phone_by_Sentiment!L$2:L$37,"",0,1)),_xlfn.XLOOKUP($C57,Phone_by_Sentiment!$B$2:$B$37,Phone_by_Sentiment!L$2:L$37,"",0,1),0),$A57-TEXT(DATEVALUE($D57&amp;"-01"), "dd-mm-yyyy")),0),0)</f>
        <v>0</v>
      </c>
      <c r="M57" cm="1">
        <f t="array" ref="M57">IF($Q57&gt;=0,IFERROR(generateSalesData($D57, IF(ISNUMBER(_xlfn.XLOOKUP($C57,Phone_by_Sentiment!$B$2:$B$37,Phone_by_Sentiment!M$2:M$37,"",0,1)),_xlfn.XLOOKUP($C57,Phone_by_Sentiment!$B$2:$B$37,Phone_by_Sentiment!M$2:M$37,"",0,1),0),$A57-TEXT(DATEVALUE($D57&amp;"-01"), "dd-mm-yyyy")),0),0)</f>
        <v>0</v>
      </c>
      <c r="N57" cm="1">
        <f t="array" ref="N57">IF($Q57&gt;=0,IFERROR(generateSalesData($D57, IF(ISNUMBER(_xlfn.XLOOKUP($C57,Phone_by_Sentiment!$B$2:$B$37,Phone_by_Sentiment!N$2:N$37,"",0,1)),_xlfn.XLOOKUP($C57,Phone_by_Sentiment!$B$2:$B$37,Phone_by_Sentiment!N$2:N$37,"",0,1),0),$A57-TEXT(DATEVALUE($D57&amp;"-01"), "dd-mm-yyyy")),0),0)</f>
        <v>0</v>
      </c>
      <c r="O57" cm="1">
        <f t="array" ref="O57">IF($Q57&gt;=0,IFERROR(generateSalesData($D57, IF(ISNUMBER(_xlfn.XLOOKUP($C57,Phone_by_Sentiment!$B$2:$B$37,Phone_by_Sentiment!O$2:O$37,"",0,1)),_xlfn.XLOOKUP($C57,Phone_by_Sentiment!$B$2:$B$37,Phone_by_Sentiment!O$2:O$37,"",0,1),0),$A57-TEXT(DATEVALUE($D57&amp;"-01"), "dd-mm-yyyy")),0),0)</f>
        <v>0</v>
      </c>
      <c r="P57" s="1">
        <f t="shared" si="1"/>
        <v>44228</v>
      </c>
      <c r="Q57">
        <f t="shared" si="2"/>
        <v>-731</v>
      </c>
    </row>
    <row r="58" spans="1:17" x14ac:dyDescent="0.25">
      <c r="A58" s="1">
        <f t="shared" si="0"/>
        <v>43497</v>
      </c>
      <c r="B58" t="s">
        <v>164</v>
      </c>
      <c r="C58" t="str">
        <f>_xlfn.XLOOKUP(B58,Phone_by_Price!$A$2:$A$34,Phone_by_Price!$B$2:$B$34,"-",0,1)</f>
        <v>Vivo V20</v>
      </c>
      <c r="D58" t="str">
        <f>_xlfn.XLOOKUP(C58,Phone_by_Sentiment!$B$2:$B$37,Phone_by_Sentiment!$A$2:$A$37,"-",0,1)</f>
        <v>2020-10</v>
      </c>
      <c r="E58" cm="1">
        <f t="array" ref="E58">IF($Q58&gt;=0,IFERROR(generateSalesData($D58, IF(ISNUMBER(_xlfn.XLOOKUP($C58,Phone_by_Sentiment!$B$2:$B$37,Phone_by_Sentiment!E$2:E$37,"",0,1)),_xlfn.XLOOKUP($C58,Phone_by_Sentiment!$B$2:$B$37,Phone_by_Sentiment!E$2:E$37,"",0,1),0),$A58-TEXT(DATEVALUE($D58&amp;"-01"), "dd-mm-yyyy")),0),0)</f>
        <v>0</v>
      </c>
      <c r="F58" cm="1">
        <f t="array" ref="F58">IF($Q58&gt;=0,IFERROR(generateSalesData($D58, IF(ISNUMBER(_xlfn.XLOOKUP($C58,Phone_by_Sentiment!$B$2:$B$37,Phone_by_Sentiment!F$2:F$37,"",0,1)),_xlfn.XLOOKUP($C58,Phone_by_Sentiment!$B$2:$B$37,Phone_by_Sentiment!F$2:F$37,"",0,1),0),$A58-TEXT(DATEVALUE($D58&amp;"-01"), "dd-mm-yyyy")),0),0)</f>
        <v>0</v>
      </c>
      <c r="G58" cm="1">
        <f t="array" ref="G58">IF($Q58&gt;=0,IFERROR(generateSalesData($D58, IF(ISNUMBER(_xlfn.XLOOKUP($C58,Phone_by_Sentiment!$B$2:$B$37,Phone_by_Sentiment!G$2:G$37,"",0,1)),_xlfn.XLOOKUP($C58,Phone_by_Sentiment!$B$2:$B$37,Phone_by_Sentiment!G$2:G$37,"",0,1),0),$A58-TEXT(DATEVALUE($D58&amp;"-01"), "dd-mm-yyyy")),0),0)</f>
        <v>0</v>
      </c>
      <c r="H58" cm="1">
        <f t="array" ref="H58">IF($Q58&gt;=0,IFERROR(generateSalesData($D58, IF(ISNUMBER(_xlfn.XLOOKUP($C58,Phone_by_Sentiment!$B$2:$B$37,Phone_by_Sentiment!H$2:H$37,"",0,1)),_xlfn.XLOOKUP($C58,Phone_by_Sentiment!$B$2:$B$37,Phone_by_Sentiment!H$2:H$37,"",0,1),0),$A58-TEXT(DATEVALUE($D58&amp;"-01"), "dd-mm-yyyy")),0),0)</f>
        <v>0</v>
      </c>
      <c r="I58" cm="1">
        <f t="array" ref="I58">IF($Q58&gt;=0,IFERROR(generateSalesData($D58, IF(ISNUMBER(_xlfn.XLOOKUP($C58,Phone_by_Sentiment!$B$2:$B$37,Phone_by_Sentiment!I$2:I$37,"",0,1)),_xlfn.XLOOKUP($C58,Phone_by_Sentiment!$B$2:$B$37,Phone_by_Sentiment!I$2:I$37,"",0,1),0),$A58-TEXT(DATEVALUE($D58&amp;"-01"), "dd-mm-yyyy")),0),0)</f>
        <v>0</v>
      </c>
      <c r="J58" cm="1">
        <f t="array" ref="J58">IF($Q58&gt;=0,IFERROR(generateSalesData($D58, IF(ISNUMBER(_xlfn.XLOOKUP($C58,Phone_by_Sentiment!$B$2:$B$37,Phone_by_Sentiment!J$2:J$37,"",0,1)),_xlfn.XLOOKUP($C58,Phone_by_Sentiment!$B$2:$B$37,Phone_by_Sentiment!J$2:J$37,"",0,1),0),$A58-TEXT(DATEVALUE($D58&amp;"-01"), "dd-mm-yyyy")),0),0)</f>
        <v>0</v>
      </c>
      <c r="K58" cm="1">
        <f t="array" ref="K58">IF($Q58&gt;=0,IFERROR(generateSalesData($D58, IF(ISNUMBER(_xlfn.XLOOKUP($C58,Phone_by_Sentiment!$B$2:$B$37,Phone_by_Sentiment!K$2:K$37,"",0,1)),_xlfn.XLOOKUP($C58,Phone_by_Sentiment!$B$2:$B$37,Phone_by_Sentiment!K$2:K$37,"",0,1),0),$A58-TEXT(DATEVALUE($D58&amp;"-01"), "dd-mm-yyyy")),0),0)</f>
        <v>0</v>
      </c>
      <c r="L58" cm="1">
        <f t="array" ref="L58">IF($Q58&gt;=0,IFERROR(generateSalesData($D58, IF(ISNUMBER(_xlfn.XLOOKUP($C58,Phone_by_Sentiment!$B$2:$B$37,Phone_by_Sentiment!L$2:L$37,"",0,1)),_xlfn.XLOOKUP($C58,Phone_by_Sentiment!$B$2:$B$37,Phone_by_Sentiment!L$2:L$37,"",0,1),0),$A58-TEXT(DATEVALUE($D58&amp;"-01"), "dd-mm-yyyy")),0),0)</f>
        <v>0</v>
      </c>
      <c r="M58" cm="1">
        <f t="array" ref="M58">IF($Q58&gt;=0,IFERROR(generateSalesData($D58, IF(ISNUMBER(_xlfn.XLOOKUP($C58,Phone_by_Sentiment!$B$2:$B$37,Phone_by_Sentiment!M$2:M$37,"",0,1)),_xlfn.XLOOKUP($C58,Phone_by_Sentiment!$B$2:$B$37,Phone_by_Sentiment!M$2:M$37,"",0,1),0),$A58-TEXT(DATEVALUE($D58&amp;"-01"), "dd-mm-yyyy")),0),0)</f>
        <v>0</v>
      </c>
      <c r="N58" cm="1">
        <f t="array" ref="N58">IF($Q58&gt;=0,IFERROR(generateSalesData($D58, IF(ISNUMBER(_xlfn.XLOOKUP($C58,Phone_by_Sentiment!$B$2:$B$37,Phone_by_Sentiment!N$2:N$37,"",0,1)),_xlfn.XLOOKUP($C58,Phone_by_Sentiment!$B$2:$B$37,Phone_by_Sentiment!N$2:N$37,"",0,1),0),$A58-TEXT(DATEVALUE($D58&amp;"-01"), "dd-mm-yyyy")),0),0)</f>
        <v>0</v>
      </c>
      <c r="O58" cm="1">
        <f t="array" ref="O58">IF($Q58&gt;=0,IFERROR(generateSalesData($D58, IF(ISNUMBER(_xlfn.XLOOKUP($C58,Phone_by_Sentiment!$B$2:$B$37,Phone_by_Sentiment!O$2:O$37,"",0,1)),_xlfn.XLOOKUP($C58,Phone_by_Sentiment!$B$2:$B$37,Phone_by_Sentiment!O$2:O$37,"",0,1),0),$A58-TEXT(DATEVALUE($D58&amp;"-01"), "dd-mm-yyyy")),0),0)</f>
        <v>0</v>
      </c>
      <c r="P58" s="1">
        <f t="shared" si="1"/>
        <v>44105</v>
      </c>
      <c r="Q58">
        <f t="shared" si="2"/>
        <v>-608</v>
      </c>
    </row>
    <row r="59" spans="1:17" x14ac:dyDescent="0.25">
      <c r="A59" s="1">
        <f t="shared" si="0"/>
        <v>43497</v>
      </c>
      <c r="B59" t="s">
        <v>165</v>
      </c>
      <c r="C59" t="str">
        <f>_xlfn.XLOOKUP(B59,Phone_by_Price!$A$2:$A$34,Phone_by_Price!$B$2:$B$34,"-",0,1)</f>
        <v>Samsung Galaxy A50</v>
      </c>
      <c r="D59" t="str">
        <f>_xlfn.XLOOKUP(C59,Phone_by_Sentiment!$B$2:$B$37,Phone_by_Sentiment!$A$2:$A$37,"-",0,1)</f>
        <v>2019-05</v>
      </c>
      <c r="E59" cm="1">
        <f t="array" ref="E59">IF($Q59&gt;=0,IFERROR(generateSalesData($D59, IF(ISNUMBER(_xlfn.XLOOKUP($C59,Phone_by_Sentiment!$B$2:$B$37,Phone_by_Sentiment!E$2:E$37,"",0,1)),_xlfn.XLOOKUP($C59,Phone_by_Sentiment!$B$2:$B$37,Phone_by_Sentiment!E$2:E$37,"",0,1),0),$A59-TEXT(DATEVALUE($D59&amp;"-01"), "dd-mm-yyyy")),0),0)</f>
        <v>0</v>
      </c>
      <c r="F59" cm="1">
        <f t="array" ref="F59">IF($Q59&gt;=0,IFERROR(generateSalesData($D59, IF(ISNUMBER(_xlfn.XLOOKUP($C59,Phone_by_Sentiment!$B$2:$B$37,Phone_by_Sentiment!F$2:F$37,"",0,1)),_xlfn.XLOOKUP($C59,Phone_by_Sentiment!$B$2:$B$37,Phone_by_Sentiment!F$2:F$37,"",0,1),0),$A59-TEXT(DATEVALUE($D59&amp;"-01"), "dd-mm-yyyy")),0),0)</f>
        <v>0</v>
      </c>
      <c r="G59" cm="1">
        <f t="array" ref="G59">IF($Q59&gt;=0,IFERROR(generateSalesData($D59, IF(ISNUMBER(_xlfn.XLOOKUP($C59,Phone_by_Sentiment!$B$2:$B$37,Phone_by_Sentiment!G$2:G$37,"",0,1)),_xlfn.XLOOKUP($C59,Phone_by_Sentiment!$B$2:$B$37,Phone_by_Sentiment!G$2:G$37,"",0,1),0),$A59-TEXT(DATEVALUE($D59&amp;"-01"), "dd-mm-yyyy")),0),0)</f>
        <v>0</v>
      </c>
      <c r="H59" cm="1">
        <f t="array" ref="H59">IF($Q59&gt;=0,IFERROR(generateSalesData($D59, IF(ISNUMBER(_xlfn.XLOOKUP($C59,Phone_by_Sentiment!$B$2:$B$37,Phone_by_Sentiment!H$2:H$37,"",0,1)),_xlfn.XLOOKUP($C59,Phone_by_Sentiment!$B$2:$B$37,Phone_by_Sentiment!H$2:H$37,"",0,1),0),$A59-TEXT(DATEVALUE($D59&amp;"-01"), "dd-mm-yyyy")),0),0)</f>
        <v>0</v>
      </c>
      <c r="I59" cm="1">
        <f t="array" ref="I59">IF($Q59&gt;=0,IFERROR(generateSalesData($D59, IF(ISNUMBER(_xlfn.XLOOKUP($C59,Phone_by_Sentiment!$B$2:$B$37,Phone_by_Sentiment!I$2:I$37,"",0,1)),_xlfn.XLOOKUP($C59,Phone_by_Sentiment!$B$2:$B$37,Phone_by_Sentiment!I$2:I$37,"",0,1),0),$A59-TEXT(DATEVALUE($D59&amp;"-01"), "dd-mm-yyyy")),0),0)</f>
        <v>0</v>
      </c>
      <c r="J59" cm="1">
        <f t="array" ref="J59">IF($Q59&gt;=0,IFERROR(generateSalesData($D59, IF(ISNUMBER(_xlfn.XLOOKUP($C59,Phone_by_Sentiment!$B$2:$B$37,Phone_by_Sentiment!J$2:J$37,"",0,1)),_xlfn.XLOOKUP($C59,Phone_by_Sentiment!$B$2:$B$37,Phone_by_Sentiment!J$2:J$37,"",0,1),0),$A59-TEXT(DATEVALUE($D59&amp;"-01"), "dd-mm-yyyy")),0),0)</f>
        <v>0</v>
      </c>
      <c r="K59" cm="1">
        <f t="array" ref="K59">IF($Q59&gt;=0,IFERROR(generateSalesData($D59, IF(ISNUMBER(_xlfn.XLOOKUP($C59,Phone_by_Sentiment!$B$2:$B$37,Phone_by_Sentiment!K$2:K$37,"",0,1)),_xlfn.XLOOKUP($C59,Phone_by_Sentiment!$B$2:$B$37,Phone_by_Sentiment!K$2:K$37,"",0,1),0),$A59-TEXT(DATEVALUE($D59&amp;"-01"), "dd-mm-yyyy")),0),0)</f>
        <v>0</v>
      </c>
      <c r="L59" cm="1">
        <f t="array" ref="L59">IF($Q59&gt;=0,IFERROR(generateSalesData($D59, IF(ISNUMBER(_xlfn.XLOOKUP($C59,Phone_by_Sentiment!$B$2:$B$37,Phone_by_Sentiment!L$2:L$37,"",0,1)),_xlfn.XLOOKUP($C59,Phone_by_Sentiment!$B$2:$B$37,Phone_by_Sentiment!L$2:L$37,"",0,1),0),$A59-TEXT(DATEVALUE($D59&amp;"-01"), "dd-mm-yyyy")),0),0)</f>
        <v>0</v>
      </c>
      <c r="M59" cm="1">
        <f t="array" ref="M59">IF($Q59&gt;=0,IFERROR(generateSalesData($D59, IF(ISNUMBER(_xlfn.XLOOKUP($C59,Phone_by_Sentiment!$B$2:$B$37,Phone_by_Sentiment!M$2:M$37,"",0,1)),_xlfn.XLOOKUP($C59,Phone_by_Sentiment!$B$2:$B$37,Phone_by_Sentiment!M$2:M$37,"",0,1),0),$A59-TEXT(DATEVALUE($D59&amp;"-01"), "dd-mm-yyyy")),0),0)</f>
        <v>0</v>
      </c>
      <c r="N59" cm="1">
        <f t="array" ref="N59">IF($Q59&gt;=0,IFERROR(generateSalesData($D59, IF(ISNUMBER(_xlfn.XLOOKUP($C59,Phone_by_Sentiment!$B$2:$B$37,Phone_by_Sentiment!N$2:N$37,"",0,1)),_xlfn.XLOOKUP($C59,Phone_by_Sentiment!$B$2:$B$37,Phone_by_Sentiment!N$2:N$37,"",0,1),0),$A59-TEXT(DATEVALUE($D59&amp;"-01"), "dd-mm-yyyy")),0),0)</f>
        <v>0</v>
      </c>
      <c r="O59" cm="1">
        <f t="array" ref="O59">IF($Q59&gt;=0,IFERROR(generateSalesData($D59, IF(ISNUMBER(_xlfn.XLOOKUP($C59,Phone_by_Sentiment!$B$2:$B$37,Phone_by_Sentiment!O$2:O$37,"",0,1)),_xlfn.XLOOKUP($C59,Phone_by_Sentiment!$B$2:$B$37,Phone_by_Sentiment!O$2:O$37,"",0,1),0),$A59-TEXT(DATEVALUE($D59&amp;"-01"), "dd-mm-yyyy")),0),0)</f>
        <v>0</v>
      </c>
      <c r="P59" s="1">
        <f t="shared" si="1"/>
        <v>43586</v>
      </c>
      <c r="Q59">
        <f t="shared" si="2"/>
        <v>-89</v>
      </c>
    </row>
    <row r="60" spans="1:17" x14ac:dyDescent="0.25">
      <c r="A60" s="1">
        <f t="shared" si="0"/>
        <v>43497</v>
      </c>
      <c r="B60" t="s">
        <v>166</v>
      </c>
      <c r="C60" t="str">
        <f>_xlfn.XLOOKUP(B60,Phone_by_Price!$A$2:$A$34,Phone_by_Price!$B$2:$B$34,"-",0,1)</f>
        <v>Xiaomi Redmi Note 7</v>
      </c>
      <c r="D60" t="str">
        <f>_xlfn.XLOOKUP(C60,Phone_by_Sentiment!$B$2:$B$37,Phone_by_Sentiment!$A$2:$A$37,"-",0,1)</f>
        <v>2019-08</v>
      </c>
      <c r="E60" cm="1">
        <f t="array" ref="E60">IF($Q60&gt;=0,IFERROR(generateSalesData($D60, IF(ISNUMBER(_xlfn.XLOOKUP($C60,Phone_by_Sentiment!$B$2:$B$37,Phone_by_Sentiment!E$2:E$37,"",0,1)),_xlfn.XLOOKUP($C60,Phone_by_Sentiment!$B$2:$B$37,Phone_by_Sentiment!E$2:E$37,"",0,1),0),$A60-TEXT(DATEVALUE($D60&amp;"-01"), "dd-mm-yyyy")),0),0)</f>
        <v>0</v>
      </c>
      <c r="F60" cm="1">
        <f t="array" ref="F60">IF($Q60&gt;=0,IFERROR(generateSalesData($D60, IF(ISNUMBER(_xlfn.XLOOKUP($C60,Phone_by_Sentiment!$B$2:$B$37,Phone_by_Sentiment!F$2:F$37,"",0,1)),_xlfn.XLOOKUP($C60,Phone_by_Sentiment!$B$2:$B$37,Phone_by_Sentiment!F$2:F$37,"",0,1),0),$A60-TEXT(DATEVALUE($D60&amp;"-01"), "dd-mm-yyyy")),0),0)</f>
        <v>0</v>
      </c>
      <c r="G60" cm="1">
        <f t="array" ref="G60">IF($Q60&gt;=0,IFERROR(generateSalesData($D60, IF(ISNUMBER(_xlfn.XLOOKUP($C60,Phone_by_Sentiment!$B$2:$B$37,Phone_by_Sentiment!G$2:G$37,"",0,1)),_xlfn.XLOOKUP($C60,Phone_by_Sentiment!$B$2:$B$37,Phone_by_Sentiment!G$2:G$37,"",0,1),0),$A60-TEXT(DATEVALUE($D60&amp;"-01"), "dd-mm-yyyy")),0),0)</f>
        <v>0</v>
      </c>
      <c r="H60" cm="1">
        <f t="array" ref="H60">IF($Q60&gt;=0,IFERROR(generateSalesData($D60, IF(ISNUMBER(_xlfn.XLOOKUP($C60,Phone_by_Sentiment!$B$2:$B$37,Phone_by_Sentiment!H$2:H$37,"",0,1)),_xlfn.XLOOKUP($C60,Phone_by_Sentiment!$B$2:$B$37,Phone_by_Sentiment!H$2:H$37,"",0,1),0),$A60-TEXT(DATEVALUE($D60&amp;"-01"), "dd-mm-yyyy")),0),0)</f>
        <v>0</v>
      </c>
      <c r="I60" cm="1">
        <f t="array" ref="I60">IF($Q60&gt;=0,IFERROR(generateSalesData($D60, IF(ISNUMBER(_xlfn.XLOOKUP($C60,Phone_by_Sentiment!$B$2:$B$37,Phone_by_Sentiment!I$2:I$37,"",0,1)),_xlfn.XLOOKUP($C60,Phone_by_Sentiment!$B$2:$B$37,Phone_by_Sentiment!I$2:I$37,"",0,1),0),$A60-TEXT(DATEVALUE($D60&amp;"-01"), "dd-mm-yyyy")),0),0)</f>
        <v>0</v>
      </c>
      <c r="J60" cm="1">
        <f t="array" ref="J60">IF($Q60&gt;=0,IFERROR(generateSalesData($D60, IF(ISNUMBER(_xlfn.XLOOKUP($C60,Phone_by_Sentiment!$B$2:$B$37,Phone_by_Sentiment!J$2:J$37,"",0,1)),_xlfn.XLOOKUP($C60,Phone_by_Sentiment!$B$2:$B$37,Phone_by_Sentiment!J$2:J$37,"",0,1),0),$A60-TEXT(DATEVALUE($D60&amp;"-01"), "dd-mm-yyyy")),0),0)</f>
        <v>0</v>
      </c>
      <c r="K60" cm="1">
        <f t="array" ref="K60">IF($Q60&gt;=0,IFERROR(generateSalesData($D60, IF(ISNUMBER(_xlfn.XLOOKUP($C60,Phone_by_Sentiment!$B$2:$B$37,Phone_by_Sentiment!K$2:K$37,"",0,1)),_xlfn.XLOOKUP($C60,Phone_by_Sentiment!$B$2:$B$37,Phone_by_Sentiment!K$2:K$37,"",0,1),0),$A60-TEXT(DATEVALUE($D60&amp;"-01"), "dd-mm-yyyy")),0),0)</f>
        <v>0</v>
      </c>
      <c r="L60" cm="1">
        <f t="array" ref="L60">IF($Q60&gt;=0,IFERROR(generateSalesData($D60, IF(ISNUMBER(_xlfn.XLOOKUP($C60,Phone_by_Sentiment!$B$2:$B$37,Phone_by_Sentiment!L$2:L$37,"",0,1)),_xlfn.XLOOKUP($C60,Phone_by_Sentiment!$B$2:$B$37,Phone_by_Sentiment!L$2:L$37,"",0,1),0),$A60-TEXT(DATEVALUE($D60&amp;"-01"), "dd-mm-yyyy")),0),0)</f>
        <v>0</v>
      </c>
      <c r="M60" cm="1">
        <f t="array" ref="M60">IF($Q60&gt;=0,IFERROR(generateSalesData($D60, IF(ISNUMBER(_xlfn.XLOOKUP($C60,Phone_by_Sentiment!$B$2:$B$37,Phone_by_Sentiment!M$2:M$37,"",0,1)),_xlfn.XLOOKUP($C60,Phone_by_Sentiment!$B$2:$B$37,Phone_by_Sentiment!M$2:M$37,"",0,1),0),$A60-TEXT(DATEVALUE($D60&amp;"-01"), "dd-mm-yyyy")),0),0)</f>
        <v>0</v>
      </c>
      <c r="N60" cm="1">
        <f t="array" ref="N60">IF($Q60&gt;=0,IFERROR(generateSalesData($D60, IF(ISNUMBER(_xlfn.XLOOKUP($C60,Phone_by_Sentiment!$B$2:$B$37,Phone_by_Sentiment!N$2:N$37,"",0,1)),_xlfn.XLOOKUP($C60,Phone_by_Sentiment!$B$2:$B$37,Phone_by_Sentiment!N$2:N$37,"",0,1),0),$A60-TEXT(DATEVALUE($D60&amp;"-01"), "dd-mm-yyyy")),0),0)</f>
        <v>0</v>
      </c>
      <c r="O60" cm="1">
        <f t="array" ref="O60">IF($Q60&gt;=0,IFERROR(generateSalesData($D60, IF(ISNUMBER(_xlfn.XLOOKUP($C60,Phone_by_Sentiment!$B$2:$B$37,Phone_by_Sentiment!O$2:O$37,"",0,1)),_xlfn.XLOOKUP($C60,Phone_by_Sentiment!$B$2:$B$37,Phone_by_Sentiment!O$2:O$37,"",0,1),0),$A60-TEXT(DATEVALUE($D60&amp;"-01"), "dd-mm-yyyy")),0),0)</f>
        <v>0</v>
      </c>
      <c r="P60" s="1">
        <f t="shared" si="1"/>
        <v>43678</v>
      </c>
      <c r="Q60">
        <f t="shared" si="2"/>
        <v>-181</v>
      </c>
    </row>
    <row r="61" spans="1:17" x14ac:dyDescent="0.25">
      <c r="A61" s="1">
        <f t="shared" si="0"/>
        <v>43497</v>
      </c>
      <c r="B61" t="s">
        <v>167</v>
      </c>
      <c r="C61" t="str">
        <f>_xlfn.XLOOKUP(B61,Phone_by_Price!$A$2:$A$34,Phone_by_Price!$B$2:$B$34,"-",0,1)</f>
        <v>Realme C21</v>
      </c>
      <c r="D61" t="str">
        <f>_xlfn.XLOOKUP(C61,Phone_by_Sentiment!$B$2:$B$37,Phone_by_Sentiment!$A$2:$A$37,"-",0,1)</f>
        <v>2021-04</v>
      </c>
      <c r="E61" cm="1">
        <f t="array" ref="E61">IF($Q61&gt;=0,IFERROR(generateSalesData($D61, IF(ISNUMBER(_xlfn.XLOOKUP($C61,Phone_by_Sentiment!$B$2:$B$37,Phone_by_Sentiment!E$2:E$37,"",0,1)),_xlfn.XLOOKUP($C61,Phone_by_Sentiment!$B$2:$B$37,Phone_by_Sentiment!E$2:E$37,"",0,1),0),$A61-TEXT(DATEVALUE($D61&amp;"-01"), "dd-mm-yyyy")),0),0)</f>
        <v>0</v>
      </c>
      <c r="F61" cm="1">
        <f t="array" ref="F61">IF($Q61&gt;=0,IFERROR(generateSalesData($D61, IF(ISNUMBER(_xlfn.XLOOKUP($C61,Phone_by_Sentiment!$B$2:$B$37,Phone_by_Sentiment!F$2:F$37,"",0,1)),_xlfn.XLOOKUP($C61,Phone_by_Sentiment!$B$2:$B$37,Phone_by_Sentiment!F$2:F$37,"",0,1),0),$A61-TEXT(DATEVALUE($D61&amp;"-01"), "dd-mm-yyyy")),0),0)</f>
        <v>0</v>
      </c>
      <c r="G61" cm="1">
        <f t="array" ref="G61">IF($Q61&gt;=0,IFERROR(generateSalesData($D61, IF(ISNUMBER(_xlfn.XLOOKUP($C61,Phone_by_Sentiment!$B$2:$B$37,Phone_by_Sentiment!G$2:G$37,"",0,1)),_xlfn.XLOOKUP($C61,Phone_by_Sentiment!$B$2:$B$37,Phone_by_Sentiment!G$2:G$37,"",0,1),0),$A61-TEXT(DATEVALUE($D61&amp;"-01"), "dd-mm-yyyy")),0),0)</f>
        <v>0</v>
      </c>
      <c r="H61" cm="1">
        <f t="array" ref="H61">IF($Q61&gt;=0,IFERROR(generateSalesData($D61, IF(ISNUMBER(_xlfn.XLOOKUP($C61,Phone_by_Sentiment!$B$2:$B$37,Phone_by_Sentiment!H$2:H$37,"",0,1)),_xlfn.XLOOKUP($C61,Phone_by_Sentiment!$B$2:$B$37,Phone_by_Sentiment!H$2:H$37,"",0,1),0),$A61-TEXT(DATEVALUE($D61&amp;"-01"), "dd-mm-yyyy")),0),0)</f>
        <v>0</v>
      </c>
      <c r="I61" cm="1">
        <f t="array" ref="I61">IF($Q61&gt;=0,IFERROR(generateSalesData($D61, IF(ISNUMBER(_xlfn.XLOOKUP($C61,Phone_by_Sentiment!$B$2:$B$37,Phone_by_Sentiment!I$2:I$37,"",0,1)),_xlfn.XLOOKUP($C61,Phone_by_Sentiment!$B$2:$B$37,Phone_by_Sentiment!I$2:I$37,"",0,1),0),$A61-TEXT(DATEVALUE($D61&amp;"-01"), "dd-mm-yyyy")),0),0)</f>
        <v>0</v>
      </c>
      <c r="J61" cm="1">
        <f t="array" ref="J61">IF($Q61&gt;=0,IFERROR(generateSalesData($D61, IF(ISNUMBER(_xlfn.XLOOKUP($C61,Phone_by_Sentiment!$B$2:$B$37,Phone_by_Sentiment!J$2:J$37,"",0,1)),_xlfn.XLOOKUP($C61,Phone_by_Sentiment!$B$2:$B$37,Phone_by_Sentiment!J$2:J$37,"",0,1),0),$A61-TEXT(DATEVALUE($D61&amp;"-01"), "dd-mm-yyyy")),0),0)</f>
        <v>0</v>
      </c>
      <c r="K61" cm="1">
        <f t="array" ref="K61">IF($Q61&gt;=0,IFERROR(generateSalesData($D61, IF(ISNUMBER(_xlfn.XLOOKUP($C61,Phone_by_Sentiment!$B$2:$B$37,Phone_by_Sentiment!K$2:K$37,"",0,1)),_xlfn.XLOOKUP($C61,Phone_by_Sentiment!$B$2:$B$37,Phone_by_Sentiment!K$2:K$37,"",0,1),0),$A61-TEXT(DATEVALUE($D61&amp;"-01"), "dd-mm-yyyy")),0),0)</f>
        <v>0</v>
      </c>
      <c r="L61" cm="1">
        <f t="array" ref="L61">IF($Q61&gt;=0,IFERROR(generateSalesData($D61, IF(ISNUMBER(_xlfn.XLOOKUP($C61,Phone_by_Sentiment!$B$2:$B$37,Phone_by_Sentiment!L$2:L$37,"",0,1)),_xlfn.XLOOKUP($C61,Phone_by_Sentiment!$B$2:$B$37,Phone_by_Sentiment!L$2:L$37,"",0,1),0),$A61-TEXT(DATEVALUE($D61&amp;"-01"), "dd-mm-yyyy")),0),0)</f>
        <v>0</v>
      </c>
      <c r="M61" cm="1">
        <f t="array" ref="M61">IF($Q61&gt;=0,IFERROR(generateSalesData($D61, IF(ISNUMBER(_xlfn.XLOOKUP($C61,Phone_by_Sentiment!$B$2:$B$37,Phone_by_Sentiment!M$2:M$37,"",0,1)),_xlfn.XLOOKUP($C61,Phone_by_Sentiment!$B$2:$B$37,Phone_by_Sentiment!M$2:M$37,"",0,1),0),$A61-TEXT(DATEVALUE($D61&amp;"-01"), "dd-mm-yyyy")),0),0)</f>
        <v>0</v>
      </c>
      <c r="N61" cm="1">
        <f t="array" ref="N61">IF($Q61&gt;=0,IFERROR(generateSalesData($D61, IF(ISNUMBER(_xlfn.XLOOKUP($C61,Phone_by_Sentiment!$B$2:$B$37,Phone_by_Sentiment!N$2:N$37,"",0,1)),_xlfn.XLOOKUP($C61,Phone_by_Sentiment!$B$2:$B$37,Phone_by_Sentiment!N$2:N$37,"",0,1),0),$A61-TEXT(DATEVALUE($D61&amp;"-01"), "dd-mm-yyyy")),0),0)</f>
        <v>0</v>
      </c>
      <c r="O61" cm="1">
        <f t="array" ref="O61">IF($Q61&gt;=0,IFERROR(generateSalesData($D61, IF(ISNUMBER(_xlfn.XLOOKUP($C61,Phone_by_Sentiment!$B$2:$B$37,Phone_by_Sentiment!O$2:O$37,"",0,1)),_xlfn.XLOOKUP($C61,Phone_by_Sentiment!$B$2:$B$37,Phone_by_Sentiment!O$2:O$37,"",0,1),0),$A61-TEXT(DATEVALUE($D61&amp;"-01"), "dd-mm-yyyy")),0),0)</f>
        <v>0</v>
      </c>
      <c r="P61" s="1">
        <f t="shared" si="1"/>
        <v>44287</v>
      </c>
      <c r="Q61">
        <f t="shared" si="2"/>
        <v>-790</v>
      </c>
    </row>
    <row r="62" spans="1:17" x14ac:dyDescent="0.25">
      <c r="A62" s="1">
        <f t="shared" si="0"/>
        <v>43497</v>
      </c>
      <c r="B62" t="s">
        <v>168</v>
      </c>
      <c r="C62" t="str">
        <f>_xlfn.XLOOKUP(B62,Phone_by_Price!$A$2:$A$34,Phone_by_Price!$B$2:$B$34,"-",0,1)</f>
        <v>Google Pixel 4</v>
      </c>
      <c r="D62" t="str">
        <f>_xlfn.XLOOKUP(C62,Phone_by_Sentiment!$B$2:$B$37,Phone_by_Sentiment!$A$2:$A$37,"-",0,1)</f>
        <v>2019-09</v>
      </c>
      <c r="E62" cm="1">
        <f t="array" ref="E62">IF($Q62&gt;=0,IFERROR(generateSalesData($D62, IF(ISNUMBER(_xlfn.XLOOKUP($C62,Phone_by_Sentiment!$B$2:$B$37,Phone_by_Sentiment!E$2:E$37,"",0,1)),_xlfn.XLOOKUP($C62,Phone_by_Sentiment!$B$2:$B$37,Phone_by_Sentiment!E$2:E$37,"",0,1),0),$A62-TEXT(DATEVALUE($D62&amp;"-01"), "dd-mm-yyyy")),0),0)</f>
        <v>0</v>
      </c>
      <c r="F62" cm="1">
        <f t="array" ref="F62">IF($Q62&gt;=0,IFERROR(generateSalesData($D62, IF(ISNUMBER(_xlfn.XLOOKUP($C62,Phone_by_Sentiment!$B$2:$B$37,Phone_by_Sentiment!F$2:F$37,"",0,1)),_xlfn.XLOOKUP($C62,Phone_by_Sentiment!$B$2:$B$37,Phone_by_Sentiment!F$2:F$37,"",0,1),0),$A62-TEXT(DATEVALUE($D62&amp;"-01"), "dd-mm-yyyy")),0),0)</f>
        <v>0</v>
      </c>
      <c r="G62" cm="1">
        <f t="array" ref="G62">IF($Q62&gt;=0,IFERROR(generateSalesData($D62, IF(ISNUMBER(_xlfn.XLOOKUP($C62,Phone_by_Sentiment!$B$2:$B$37,Phone_by_Sentiment!G$2:G$37,"",0,1)),_xlfn.XLOOKUP($C62,Phone_by_Sentiment!$B$2:$B$37,Phone_by_Sentiment!G$2:G$37,"",0,1),0),$A62-TEXT(DATEVALUE($D62&amp;"-01"), "dd-mm-yyyy")),0),0)</f>
        <v>0</v>
      </c>
      <c r="H62" cm="1">
        <f t="array" ref="H62">IF($Q62&gt;=0,IFERROR(generateSalesData($D62, IF(ISNUMBER(_xlfn.XLOOKUP($C62,Phone_by_Sentiment!$B$2:$B$37,Phone_by_Sentiment!H$2:H$37,"",0,1)),_xlfn.XLOOKUP($C62,Phone_by_Sentiment!$B$2:$B$37,Phone_by_Sentiment!H$2:H$37,"",0,1),0),$A62-TEXT(DATEVALUE($D62&amp;"-01"), "dd-mm-yyyy")),0),0)</f>
        <v>0</v>
      </c>
      <c r="I62" cm="1">
        <f t="array" ref="I62">IF($Q62&gt;=0,IFERROR(generateSalesData($D62, IF(ISNUMBER(_xlfn.XLOOKUP($C62,Phone_by_Sentiment!$B$2:$B$37,Phone_by_Sentiment!I$2:I$37,"",0,1)),_xlfn.XLOOKUP($C62,Phone_by_Sentiment!$B$2:$B$37,Phone_by_Sentiment!I$2:I$37,"",0,1),0),$A62-TEXT(DATEVALUE($D62&amp;"-01"), "dd-mm-yyyy")),0),0)</f>
        <v>0</v>
      </c>
      <c r="J62" cm="1">
        <f t="array" ref="J62">IF($Q62&gt;=0,IFERROR(generateSalesData($D62, IF(ISNUMBER(_xlfn.XLOOKUP($C62,Phone_by_Sentiment!$B$2:$B$37,Phone_by_Sentiment!J$2:J$37,"",0,1)),_xlfn.XLOOKUP($C62,Phone_by_Sentiment!$B$2:$B$37,Phone_by_Sentiment!J$2:J$37,"",0,1),0),$A62-TEXT(DATEVALUE($D62&amp;"-01"), "dd-mm-yyyy")),0),0)</f>
        <v>0</v>
      </c>
      <c r="K62" cm="1">
        <f t="array" ref="K62">IF($Q62&gt;=0,IFERROR(generateSalesData($D62, IF(ISNUMBER(_xlfn.XLOOKUP($C62,Phone_by_Sentiment!$B$2:$B$37,Phone_by_Sentiment!K$2:K$37,"",0,1)),_xlfn.XLOOKUP($C62,Phone_by_Sentiment!$B$2:$B$37,Phone_by_Sentiment!K$2:K$37,"",0,1),0),$A62-TEXT(DATEVALUE($D62&amp;"-01"), "dd-mm-yyyy")),0),0)</f>
        <v>0</v>
      </c>
      <c r="L62" cm="1">
        <f t="array" ref="L62">IF($Q62&gt;=0,IFERROR(generateSalesData($D62, IF(ISNUMBER(_xlfn.XLOOKUP($C62,Phone_by_Sentiment!$B$2:$B$37,Phone_by_Sentiment!L$2:L$37,"",0,1)),_xlfn.XLOOKUP($C62,Phone_by_Sentiment!$B$2:$B$37,Phone_by_Sentiment!L$2:L$37,"",0,1),0),$A62-TEXT(DATEVALUE($D62&amp;"-01"), "dd-mm-yyyy")),0),0)</f>
        <v>0</v>
      </c>
      <c r="M62" cm="1">
        <f t="array" ref="M62">IF($Q62&gt;=0,IFERROR(generateSalesData($D62, IF(ISNUMBER(_xlfn.XLOOKUP($C62,Phone_by_Sentiment!$B$2:$B$37,Phone_by_Sentiment!M$2:M$37,"",0,1)),_xlfn.XLOOKUP($C62,Phone_by_Sentiment!$B$2:$B$37,Phone_by_Sentiment!M$2:M$37,"",0,1),0),$A62-TEXT(DATEVALUE($D62&amp;"-01"), "dd-mm-yyyy")),0),0)</f>
        <v>0</v>
      </c>
      <c r="N62" cm="1">
        <f t="array" ref="N62">IF($Q62&gt;=0,IFERROR(generateSalesData($D62, IF(ISNUMBER(_xlfn.XLOOKUP($C62,Phone_by_Sentiment!$B$2:$B$37,Phone_by_Sentiment!N$2:N$37,"",0,1)),_xlfn.XLOOKUP($C62,Phone_by_Sentiment!$B$2:$B$37,Phone_by_Sentiment!N$2:N$37,"",0,1),0),$A62-TEXT(DATEVALUE($D62&amp;"-01"), "dd-mm-yyyy")),0),0)</f>
        <v>0</v>
      </c>
      <c r="O62" cm="1">
        <f t="array" ref="O62">IF($Q62&gt;=0,IFERROR(generateSalesData($D62, IF(ISNUMBER(_xlfn.XLOOKUP($C62,Phone_by_Sentiment!$B$2:$B$37,Phone_by_Sentiment!O$2:O$37,"",0,1)),_xlfn.XLOOKUP($C62,Phone_by_Sentiment!$B$2:$B$37,Phone_by_Sentiment!O$2:O$37,"",0,1),0),$A62-TEXT(DATEVALUE($D62&amp;"-01"), "dd-mm-yyyy")),0),0)</f>
        <v>0</v>
      </c>
      <c r="P62" s="1">
        <f t="shared" si="1"/>
        <v>43709</v>
      </c>
      <c r="Q62">
        <f t="shared" si="2"/>
        <v>-212</v>
      </c>
    </row>
    <row r="63" spans="1:17" x14ac:dyDescent="0.25">
      <c r="A63" s="1">
        <f t="shared" si="0"/>
        <v>43497</v>
      </c>
      <c r="B63" t="s">
        <v>169</v>
      </c>
      <c r="C63" t="str">
        <f>_xlfn.XLOOKUP(B63,Phone_by_Price!$A$2:$A$34,Phone_by_Price!$B$2:$B$34,"-",0,1)</f>
        <v>Samsung Galaxy A10s</v>
      </c>
      <c r="D63" t="str">
        <f>_xlfn.XLOOKUP(C63,Phone_by_Sentiment!$B$2:$B$37,Phone_by_Sentiment!$A$2:$A$37,"-",0,1)</f>
        <v>2019-08</v>
      </c>
      <c r="E63" cm="1">
        <f t="array" ref="E63">IF($Q63&gt;=0,IFERROR(generateSalesData($D63, IF(ISNUMBER(_xlfn.XLOOKUP($C63,Phone_by_Sentiment!$B$2:$B$37,Phone_by_Sentiment!E$2:E$37,"",0,1)),_xlfn.XLOOKUP($C63,Phone_by_Sentiment!$B$2:$B$37,Phone_by_Sentiment!E$2:E$37,"",0,1),0),$A63-TEXT(DATEVALUE($D63&amp;"-01"), "dd-mm-yyyy")),0),0)</f>
        <v>0</v>
      </c>
      <c r="F63" cm="1">
        <f t="array" ref="F63">IF($Q63&gt;=0,IFERROR(generateSalesData($D63, IF(ISNUMBER(_xlfn.XLOOKUP($C63,Phone_by_Sentiment!$B$2:$B$37,Phone_by_Sentiment!F$2:F$37,"",0,1)),_xlfn.XLOOKUP($C63,Phone_by_Sentiment!$B$2:$B$37,Phone_by_Sentiment!F$2:F$37,"",0,1),0),$A63-TEXT(DATEVALUE($D63&amp;"-01"), "dd-mm-yyyy")),0),0)</f>
        <v>0</v>
      </c>
      <c r="G63" cm="1">
        <f t="array" ref="G63">IF($Q63&gt;=0,IFERROR(generateSalesData($D63, IF(ISNUMBER(_xlfn.XLOOKUP($C63,Phone_by_Sentiment!$B$2:$B$37,Phone_by_Sentiment!G$2:G$37,"",0,1)),_xlfn.XLOOKUP($C63,Phone_by_Sentiment!$B$2:$B$37,Phone_by_Sentiment!G$2:G$37,"",0,1),0),$A63-TEXT(DATEVALUE($D63&amp;"-01"), "dd-mm-yyyy")),0),0)</f>
        <v>0</v>
      </c>
      <c r="H63" cm="1">
        <f t="array" ref="H63">IF($Q63&gt;=0,IFERROR(generateSalesData($D63, IF(ISNUMBER(_xlfn.XLOOKUP($C63,Phone_by_Sentiment!$B$2:$B$37,Phone_by_Sentiment!H$2:H$37,"",0,1)),_xlfn.XLOOKUP($C63,Phone_by_Sentiment!$B$2:$B$37,Phone_by_Sentiment!H$2:H$37,"",0,1),0),$A63-TEXT(DATEVALUE($D63&amp;"-01"), "dd-mm-yyyy")),0),0)</f>
        <v>0</v>
      </c>
      <c r="I63" cm="1">
        <f t="array" ref="I63">IF($Q63&gt;=0,IFERROR(generateSalesData($D63, IF(ISNUMBER(_xlfn.XLOOKUP($C63,Phone_by_Sentiment!$B$2:$B$37,Phone_by_Sentiment!I$2:I$37,"",0,1)),_xlfn.XLOOKUP($C63,Phone_by_Sentiment!$B$2:$B$37,Phone_by_Sentiment!I$2:I$37,"",0,1),0),$A63-TEXT(DATEVALUE($D63&amp;"-01"), "dd-mm-yyyy")),0),0)</f>
        <v>0</v>
      </c>
      <c r="J63" cm="1">
        <f t="array" ref="J63">IF($Q63&gt;=0,IFERROR(generateSalesData($D63, IF(ISNUMBER(_xlfn.XLOOKUP($C63,Phone_by_Sentiment!$B$2:$B$37,Phone_by_Sentiment!J$2:J$37,"",0,1)),_xlfn.XLOOKUP($C63,Phone_by_Sentiment!$B$2:$B$37,Phone_by_Sentiment!J$2:J$37,"",0,1),0),$A63-TEXT(DATEVALUE($D63&amp;"-01"), "dd-mm-yyyy")),0),0)</f>
        <v>0</v>
      </c>
      <c r="K63" cm="1">
        <f t="array" ref="K63">IF($Q63&gt;=0,IFERROR(generateSalesData($D63, IF(ISNUMBER(_xlfn.XLOOKUP($C63,Phone_by_Sentiment!$B$2:$B$37,Phone_by_Sentiment!K$2:K$37,"",0,1)),_xlfn.XLOOKUP($C63,Phone_by_Sentiment!$B$2:$B$37,Phone_by_Sentiment!K$2:K$37,"",0,1),0),$A63-TEXT(DATEVALUE($D63&amp;"-01"), "dd-mm-yyyy")),0),0)</f>
        <v>0</v>
      </c>
      <c r="L63" cm="1">
        <f t="array" ref="L63">IF($Q63&gt;=0,IFERROR(generateSalesData($D63, IF(ISNUMBER(_xlfn.XLOOKUP($C63,Phone_by_Sentiment!$B$2:$B$37,Phone_by_Sentiment!L$2:L$37,"",0,1)),_xlfn.XLOOKUP($C63,Phone_by_Sentiment!$B$2:$B$37,Phone_by_Sentiment!L$2:L$37,"",0,1),0),$A63-TEXT(DATEVALUE($D63&amp;"-01"), "dd-mm-yyyy")),0),0)</f>
        <v>0</v>
      </c>
      <c r="M63" cm="1">
        <f t="array" ref="M63">IF($Q63&gt;=0,IFERROR(generateSalesData($D63, IF(ISNUMBER(_xlfn.XLOOKUP($C63,Phone_by_Sentiment!$B$2:$B$37,Phone_by_Sentiment!M$2:M$37,"",0,1)),_xlfn.XLOOKUP($C63,Phone_by_Sentiment!$B$2:$B$37,Phone_by_Sentiment!M$2:M$37,"",0,1),0),$A63-TEXT(DATEVALUE($D63&amp;"-01"), "dd-mm-yyyy")),0),0)</f>
        <v>0</v>
      </c>
      <c r="N63" cm="1">
        <f t="array" ref="N63">IF($Q63&gt;=0,IFERROR(generateSalesData($D63, IF(ISNUMBER(_xlfn.XLOOKUP($C63,Phone_by_Sentiment!$B$2:$B$37,Phone_by_Sentiment!N$2:N$37,"",0,1)),_xlfn.XLOOKUP($C63,Phone_by_Sentiment!$B$2:$B$37,Phone_by_Sentiment!N$2:N$37,"",0,1),0),$A63-TEXT(DATEVALUE($D63&amp;"-01"), "dd-mm-yyyy")),0),0)</f>
        <v>0</v>
      </c>
      <c r="O63" cm="1">
        <f t="array" ref="O63">IF($Q63&gt;=0,IFERROR(generateSalesData($D63, IF(ISNUMBER(_xlfn.XLOOKUP($C63,Phone_by_Sentiment!$B$2:$B$37,Phone_by_Sentiment!O$2:O$37,"",0,1)),_xlfn.XLOOKUP($C63,Phone_by_Sentiment!$B$2:$B$37,Phone_by_Sentiment!O$2:O$37,"",0,1),0),$A63-TEXT(DATEVALUE($D63&amp;"-01"), "dd-mm-yyyy")),0),0)</f>
        <v>0</v>
      </c>
      <c r="P63" s="1">
        <f t="shared" si="1"/>
        <v>43678</v>
      </c>
      <c r="Q63">
        <f t="shared" si="2"/>
        <v>-181</v>
      </c>
    </row>
    <row r="64" spans="1:17" x14ac:dyDescent="0.25">
      <c r="A64" s="1">
        <f t="shared" si="0"/>
        <v>43497</v>
      </c>
      <c r="B64" t="s">
        <v>170</v>
      </c>
      <c r="C64" t="str">
        <f>_xlfn.XLOOKUP(B64,Phone_by_Price!$A$2:$A$34,Phone_by_Price!$B$2:$B$34,"-",0,1)</f>
        <v>Realme Narzo 30A</v>
      </c>
      <c r="D64" t="str">
        <f>_xlfn.XLOOKUP(C64,Phone_by_Sentiment!$B$2:$B$37,Phone_by_Sentiment!$A$2:$A$37,"-",0,1)</f>
        <v>2021-02</v>
      </c>
      <c r="E64" cm="1">
        <f t="array" ref="E64">IF($Q64&gt;=0,IFERROR(generateSalesData($D64, IF(ISNUMBER(_xlfn.XLOOKUP($C64,Phone_by_Sentiment!$B$2:$B$37,Phone_by_Sentiment!E$2:E$37,"",0,1)),_xlfn.XLOOKUP($C64,Phone_by_Sentiment!$B$2:$B$37,Phone_by_Sentiment!E$2:E$37,"",0,1),0),$A64-TEXT(DATEVALUE($D64&amp;"-01"), "dd-mm-yyyy")),0),0)</f>
        <v>0</v>
      </c>
      <c r="F64" cm="1">
        <f t="array" ref="F64">IF($Q64&gt;=0,IFERROR(generateSalesData($D64, IF(ISNUMBER(_xlfn.XLOOKUP($C64,Phone_by_Sentiment!$B$2:$B$37,Phone_by_Sentiment!F$2:F$37,"",0,1)),_xlfn.XLOOKUP($C64,Phone_by_Sentiment!$B$2:$B$37,Phone_by_Sentiment!F$2:F$37,"",0,1),0),$A64-TEXT(DATEVALUE($D64&amp;"-01"), "dd-mm-yyyy")),0),0)</f>
        <v>0</v>
      </c>
      <c r="G64" cm="1">
        <f t="array" ref="G64">IF($Q64&gt;=0,IFERROR(generateSalesData($D64, IF(ISNUMBER(_xlfn.XLOOKUP($C64,Phone_by_Sentiment!$B$2:$B$37,Phone_by_Sentiment!G$2:G$37,"",0,1)),_xlfn.XLOOKUP($C64,Phone_by_Sentiment!$B$2:$B$37,Phone_by_Sentiment!G$2:G$37,"",0,1),0),$A64-TEXT(DATEVALUE($D64&amp;"-01"), "dd-mm-yyyy")),0),0)</f>
        <v>0</v>
      </c>
      <c r="H64" cm="1">
        <f t="array" ref="H64">IF($Q64&gt;=0,IFERROR(generateSalesData($D64, IF(ISNUMBER(_xlfn.XLOOKUP($C64,Phone_by_Sentiment!$B$2:$B$37,Phone_by_Sentiment!H$2:H$37,"",0,1)),_xlfn.XLOOKUP($C64,Phone_by_Sentiment!$B$2:$B$37,Phone_by_Sentiment!H$2:H$37,"",0,1),0),$A64-TEXT(DATEVALUE($D64&amp;"-01"), "dd-mm-yyyy")),0),0)</f>
        <v>0</v>
      </c>
      <c r="I64" cm="1">
        <f t="array" ref="I64">IF($Q64&gt;=0,IFERROR(generateSalesData($D64, IF(ISNUMBER(_xlfn.XLOOKUP($C64,Phone_by_Sentiment!$B$2:$B$37,Phone_by_Sentiment!I$2:I$37,"",0,1)),_xlfn.XLOOKUP($C64,Phone_by_Sentiment!$B$2:$B$37,Phone_by_Sentiment!I$2:I$37,"",0,1),0),$A64-TEXT(DATEVALUE($D64&amp;"-01"), "dd-mm-yyyy")),0),0)</f>
        <v>0</v>
      </c>
      <c r="J64" cm="1">
        <f t="array" ref="J64">IF($Q64&gt;=0,IFERROR(generateSalesData($D64, IF(ISNUMBER(_xlfn.XLOOKUP($C64,Phone_by_Sentiment!$B$2:$B$37,Phone_by_Sentiment!J$2:J$37,"",0,1)),_xlfn.XLOOKUP($C64,Phone_by_Sentiment!$B$2:$B$37,Phone_by_Sentiment!J$2:J$37,"",0,1),0),$A64-TEXT(DATEVALUE($D64&amp;"-01"), "dd-mm-yyyy")),0),0)</f>
        <v>0</v>
      </c>
      <c r="K64" cm="1">
        <f t="array" ref="K64">IF($Q64&gt;=0,IFERROR(generateSalesData($D64, IF(ISNUMBER(_xlfn.XLOOKUP($C64,Phone_by_Sentiment!$B$2:$B$37,Phone_by_Sentiment!K$2:K$37,"",0,1)),_xlfn.XLOOKUP($C64,Phone_by_Sentiment!$B$2:$B$37,Phone_by_Sentiment!K$2:K$37,"",0,1),0),$A64-TEXT(DATEVALUE($D64&amp;"-01"), "dd-mm-yyyy")),0),0)</f>
        <v>0</v>
      </c>
      <c r="L64" cm="1">
        <f t="array" ref="L64">IF($Q64&gt;=0,IFERROR(generateSalesData($D64, IF(ISNUMBER(_xlfn.XLOOKUP($C64,Phone_by_Sentiment!$B$2:$B$37,Phone_by_Sentiment!L$2:L$37,"",0,1)),_xlfn.XLOOKUP($C64,Phone_by_Sentiment!$B$2:$B$37,Phone_by_Sentiment!L$2:L$37,"",0,1),0),$A64-TEXT(DATEVALUE($D64&amp;"-01"), "dd-mm-yyyy")),0),0)</f>
        <v>0</v>
      </c>
      <c r="M64" cm="1">
        <f t="array" ref="M64">IF($Q64&gt;=0,IFERROR(generateSalesData($D64, IF(ISNUMBER(_xlfn.XLOOKUP($C64,Phone_by_Sentiment!$B$2:$B$37,Phone_by_Sentiment!M$2:M$37,"",0,1)),_xlfn.XLOOKUP($C64,Phone_by_Sentiment!$B$2:$B$37,Phone_by_Sentiment!M$2:M$37,"",0,1),0),$A64-TEXT(DATEVALUE($D64&amp;"-01"), "dd-mm-yyyy")),0),0)</f>
        <v>0</v>
      </c>
      <c r="N64" cm="1">
        <f t="array" ref="N64">IF($Q64&gt;=0,IFERROR(generateSalesData($D64, IF(ISNUMBER(_xlfn.XLOOKUP($C64,Phone_by_Sentiment!$B$2:$B$37,Phone_by_Sentiment!N$2:N$37,"",0,1)),_xlfn.XLOOKUP($C64,Phone_by_Sentiment!$B$2:$B$37,Phone_by_Sentiment!N$2:N$37,"",0,1),0),$A64-TEXT(DATEVALUE($D64&amp;"-01"), "dd-mm-yyyy")),0),0)</f>
        <v>0</v>
      </c>
      <c r="O64" cm="1">
        <f t="array" ref="O64">IF($Q64&gt;=0,IFERROR(generateSalesData($D64, IF(ISNUMBER(_xlfn.XLOOKUP($C64,Phone_by_Sentiment!$B$2:$B$37,Phone_by_Sentiment!O$2:O$37,"",0,1)),_xlfn.XLOOKUP($C64,Phone_by_Sentiment!$B$2:$B$37,Phone_by_Sentiment!O$2:O$37,"",0,1),0),$A64-TEXT(DATEVALUE($D64&amp;"-01"), "dd-mm-yyyy")),0),0)</f>
        <v>0</v>
      </c>
      <c r="P64" s="1">
        <f t="shared" si="1"/>
        <v>44228</v>
      </c>
      <c r="Q64">
        <f t="shared" si="2"/>
        <v>-731</v>
      </c>
    </row>
    <row r="65" spans="1:17" x14ac:dyDescent="0.25">
      <c r="A65" s="1">
        <f t="shared" si="0"/>
        <v>43497</v>
      </c>
      <c r="B65" t="s">
        <v>171</v>
      </c>
      <c r="C65" t="str">
        <f>_xlfn.XLOOKUP(B65,Phone_by_Price!$A$2:$A$34,Phone_by_Price!$B$2:$B$34,"-",0,1)</f>
        <v>Samsung Galaxy A22 5G</v>
      </c>
      <c r="D65" t="str">
        <f>_xlfn.XLOOKUP(C65,Phone_by_Sentiment!$B$2:$B$37,Phone_by_Sentiment!$A$2:$A$37,"-",0,1)</f>
        <v>2021-05</v>
      </c>
      <c r="E65" cm="1">
        <f t="array" ref="E65">IF($Q65&gt;=0,IFERROR(generateSalesData($D65, IF(ISNUMBER(_xlfn.XLOOKUP($C65,Phone_by_Sentiment!$B$2:$B$37,Phone_by_Sentiment!E$2:E$37,"",0,1)),_xlfn.XLOOKUP($C65,Phone_by_Sentiment!$B$2:$B$37,Phone_by_Sentiment!E$2:E$37,"",0,1),0),$A65-TEXT(DATEVALUE($D65&amp;"-01"), "dd-mm-yyyy")),0),0)</f>
        <v>0</v>
      </c>
      <c r="F65" cm="1">
        <f t="array" ref="F65">IF($Q65&gt;=0,IFERROR(generateSalesData($D65, IF(ISNUMBER(_xlfn.XLOOKUP($C65,Phone_by_Sentiment!$B$2:$B$37,Phone_by_Sentiment!F$2:F$37,"",0,1)),_xlfn.XLOOKUP($C65,Phone_by_Sentiment!$B$2:$B$37,Phone_by_Sentiment!F$2:F$37,"",0,1),0),$A65-TEXT(DATEVALUE($D65&amp;"-01"), "dd-mm-yyyy")),0),0)</f>
        <v>0</v>
      </c>
      <c r="G65" cm="1">
        <f t="array" ref="G65">IF($Q65&gt;=0,IFERROR(generateSalesData($D65, IF(ISNUMBER(_xlfn.XLOOKUP($C65,Phone_by_Sentiment!$B$2:$B$37,Phone_by_Sentiment!G$2:G$37,"",0,1)),_xlfn.XLOOKUP($C65,Phone_by_Sentiment!$B$2:$B$37,Phone_by_Sentiment!G$2:G$37,"",0,1),0),$A65-TEXT(DATEVALUE($D65&amp;"-01"), "dd-mm-yyyy")),0),0)</f>
        <v>0</v>
      </c>
      <c r="H65" cm="1">
        <f t="array" ref="H65">IF($Q65&gt;=0,IFERROR(generateSalesData($D65, IF(ISNUMBER(_xlfn.XLOOKUP($C65,Phone_by_Sentiment!$B$2:$B$37,Phone_by_Sentiment!H$2:H$37,"",0,1)),_xlfn.XLOOKUP($C65,Phone_by_Sentiment!$B$2:$B$37,Phone_by_Sentiment!H$2:H$37,"",0,1),0),$A65-TEXT(DATEVALUE($D65&amp;"-01"), "dd-mm-yyyy")),0),0)</f>
        <v>0</v>
      </c>
      <c r="I65" cm="1">
        <f t="array" ref="I65">IF($Q65&gt;=0,IFERROR(generateSalesData($D65, IF(ISNUMBER(_xlfn.XLOOKUP($C65,Phone_by_Sentiment!$B$2:$B$37,Phone_by_Sentiment!I$2:I$37,"",0,1)),_xlfn.XLOOKUP($C65,Phone_by_Sentiment!$B$2:$B$37,Phone_by_Sentiment!I$2:I$37,"",0,1),0),$A65-TEXT(DATEVALUE($D65&amp;"-01"), "dd-mm-yyyy")),0),0)</f>
        <v>0</v>
      </c>
      <c r="J65" cm="1">
        <f t="array" ref="J65">IF($Q65&gt;=0,IFERROR(generateSalesData($D65, IF(ISNUMBER(_xlfn.XLOOKUP($C65,Phone_by_Sentiment!$B$2:$B$37,Phone_by_Sentiment!J$2:J$37,"",0,1)),_xlfn.XLOOKUP($C65,Phone_by_Sentiment!$B$2:$B$37,Phone_by_Sentiment!J$2:J$37,"",0,1),0),$A65-TEXT(DATEVALUE($D65&amp;"-01"), "dd-mm-yyyy")),0),0)</f>
        <v>0</v>
      </c>
      <c r="K65" cm="1">
        <f t="array" ref="K65">IF($Q65&gt;=0,IFERROR(generateSalesData($D65, IF(ISNUMBER(_xlfn.XLOOKUP($C65,Phone_by_Sentiment!$B$2:$B$37,Phone_by_Sentiment!K$2:K$37,"",0,1)),_xlfn.XLOOKUP($C65,Phone_by_Sentiment!$B$2:$B$37,Phone_by_Sentiment!K$2:K$37,"",0,1),0),$A65-TEXT(DATEVALUE($D65&amp;"-01"), "dd-mm-yyyy")),0),0)</f>
        <v>0</v>
      </c>
      <c r="L65" cm="1">
        <f t="array" ref="L65">IF($Q65&gt;=0,IFERROR(generateSalesData($D65, IF(ISNUMBER(_xlfn.XLOOKUP($C65,Phone_by_Sentiment!$B$2:$B$37,Phone_by_Sentiment!L$2:L$37,"",0,1)),_xlfn.XLOOKUP($C65,Phone_by_Sentiment!$B$2:$B$37,Phone_by_Sentiment!L$2:L$37,"",0,1),0),$A65-TEXT(DATEVALUE($D65&amp;"-01"), "dd-mm-yyyy")),0),0)</f>
        <v>0</v>
      </c>
      <c r="M65" cm="1">
        <f t="array" ref="M65">IF($Q65&gt;=0,IFERROR(generateSalesData($D65, IF(ISNUMBER(_xlfn.XLOOKUP($C65,Phone_by_Sentiment!$B$2:$B$37,Phone_by_Sentiment!M$2:M$37,"",0,1)),_xlfn.XLOOKUP($C65,Phone_by_Sentiment!$B$2:$B$37,Phone_by_Sentiment!M$2:M$37,"",0,1),0),$A65-TEXT(DATEVALUE($D65&amp;"-01"), "dd-mm-yyyy")),0),0)</f>
        <v>0</v>
      </c>
      <c r="N65" cm="1">
        <f t="array" ref="N65">IF($Q65&gt;=0,IFERROR(generateSalesData($D65, IF(ISNUMBER(_xlfn.XLOOKUP($C65,Phone_by_Sentiment!$B$2:$B$37,Phone_by_Sentiment!N$2:N$37,"",0,1)),_xlfn.XLOOKUP($C65,Phone_by_Sentiment!$B$2:$B$37,Phone_by_Sentiment!N$2:N$37,"",0,1),0),$A65-TEXT(DATEVALUE($D65&amp;"-01"), "dd-mm-yyyy")),0),0)</f>
        <v>0</v>
      </c>
      <c r="O65" cm="1">
        <f t="array" ref="O65">IF($Q65&gt;=0,IFERROR(generateSalesData($D65, IF(ISNUMBER(_xlfn.XLOOKUP($C65,Phone_by_Sentiment!$B$2:$B$37,Phone_by_Sentiment!O$2:O$37,"",0,1)),_xlfn.XLOOKUP($C65,Phone_by_Sentiment!$B$2:$B$37,Phone_by_Sentiment!O$2:O$37,"",0,1),0),$A65-TEXT(DATEVALUE($D65&amp;"-01"), "dd-mm-yyyy")),0),0)</f>
        <v>0</v>
      </c>
      <c r="P65" s="1">
        <f t="shared" si="1"/>
        <v>44317</v>
      </c>
      <c r="Q65">
        <f t="shared" si="2"/>
        <v>-820</v>
      </c>
    </row>
    <row r="66" spans="1:17" x14ac:dyDescent="0.25">
      <c r="A66" s="1">
        <f t="shared" si="0"/>
        <v>43497</v>
      </c>
      <c r="B66" t="s">
        <v>172</v>
      </c>
      <c r="C66" t="str">
        <f>_xlfn.XLOOKUP(B66,Phone_by_Price!$A$2:$A$34,Phone_by_Price!$B$2:$B$34,"-",0,1)</f>
        <v>Xiaomi Redmi 9</v>
      </c>
      <c r="D66" t="str">
        <f>_xlfn.XLOOKUP(C66,Phone_by_Sentiment!$B$2:$B$37,Phone_by_Sentiment!$A$2:$A$37,"-",0,1)</f>
        <v>2020-08</v>
      </c>
      <c r="E66" cm="1">
        <f t="array" ref="E66">IF($Q66&gt;=0,IFERROR(generateSalesData($D66, IF(ISNUMBER(_xlfn.XLOOKUP($C66,Phone_by_Sentiment!$B$2:$B$37,Phone_by_Sentiment!E$2:E$37,"",0,1)),_xlfn.XLOOKUP($C66,Phone_by_Sentiment!$B$2:$B$37,Phone_by_Sentiment!E$2:E$37,"",0,1),0),$A66-TEXT(DATEVALUE($D66&amp;"-01"), "dd-mm-yyyy")),0),0)</f>
        <v>0</v>
      </c>
      <c r="F66" cm="1">
        <f t="array" ref="F66">IF($Q66&gt;=0,IFERROR(generateSalesData($D66, IF(ISNUMBER(_xlfn.XLOOKUP($C66,Phone_by_Sentiment!$B$2:$B$37,Phone_by_Sentiment!F$2:F$37,"",0,1)),_xlfn.XLOOKUP($C66,Phone_by_Sentiment!$B$2:$B$37,Phone_by_Sentiment!F$2:F$37,"",0,1),0),$A66-TEXT(DATEVALUE($D66&amp;"-01"), "dd-mm-yyyy")),0),0)</f>
        <v>0</v>
      </c>
      <c r="G66" cm="1">
        <f t="array" ref="G66">IF($Q66&gt;=0,IFERROR(generateSalesData($D66, IF(ISNUMBER(_xlfn.XLOOKUP($C66,Phone_by_Sentiment!$B$2:$B$37,Phone_by_Sentiment!G$2:G$37,"",0,1)),_xlfn.XLOOKUP($C66,Phone_by_Sentiment!$B$2:$B$37,Phone_by_Sentiment!G$2:G$37,"",0,1),0),$A66-TEXT(DATEVALUE($D66&amp;"-01"), "dd-mm-yyyy")),0),0)</f>
        <v>0</v>
      </c>
      <c r="H66" cm="1">
        <f t="array" ref="H66">IF($Q66&gt;=0,IFERROR(generateSalesData($D66, IF(ISNUMBER(_xlfn.XLOOKUP($C66,Phone_by_Sentiment!$B$2:$B$37,Phone_by_Sentiment!H$2:H$37,"",0,1)),_xlfn.XLOOKUP($C66,Phone_by_Sentiment!$B$2:$B$37,Phone_by_Sentiment!H$2:H$37,"",0,1),0),$A66-TEXT(DATEVALUE($D66&amp;"-01"), "dd-mm-yyyy")),0),0)</f>
        <v>0</v>
      </c>
      <c r="I66" cm="1">
        <f t="array" ref="I66">IF($Q66&gt;=0,IFERROR(generateSalesData($D66, IF(ISNUMBER(_xlfn.XLOOKUP($C66,Phone_by_Sentiment!$B$2:$B$37,Phone_by_Sentiment!I$2:I$37,"",0,1)),_xlfn.XLOOKUP($C66,Phone_by_Sentiment!$B$2:$B$37,Phone_by_Sentiment!I$2:I$37,"",0,1),0),$A66-TEXT(DATEVALUE($D66&amp;"-01"), "dd-mm-yyyy")),0),0)</f>
        <v>0</v>
      </c>
      <c r="J66" cm="1">
        <f t="array" ref="J66">IF($Q66&gt;=0,IFERROR(generateSalesData($D66, IF(ISNUMBER(_xlfn.XLOOKUP($C66,Phone_by_Sentiment!$B$2:$B$37,Phone_by_Sentiment!J$2:J$37,"",0,1)),_xlfn.XLOOKUP($C66,Phone_by_Sentiment!$B$2:$B$37,Phone_by_Sentiment!J$2:J$37,"",0,1),0),$A66-TEXT(DATEVALUE($D66&amp;"-01"), "dd-mm-yyyy")),0),0)</f>
        <v>0</v>
      </c>
      <c r="K66" cm="1">
        <f t="array" ref="K66">IF($Q66&gt;=0,IFERROR(generateSalesData($D66, IF(ISNUMBER(_xlfn.XLOOKUP($C66,Phone_by_Sentiment!$B$2:$B$37,Phone_by_Sentiment!K$2:K$37,"",0,1)),_xlfn.XLOOKUP($C66,Phone_by_Sentiment!$B$2:$B$37,Phone_by_Sentiment!K$2:K$37,"",0,1),0),$A66-TEXT(DATEVALUE($D66&amp;"-01"), "dd-mm-yyyy")),0),0)</f>
        <v>0</v>
      </c>
      <c r="L66" cm="1">
        <f t="array" ref="L66">IF($Q66&gt;=0,IFERROR(generateSalesData($D66, IF(ISNUMBER(_xlfn.XLOOKUP($C66,Phone_by_Sentiment!$B$2:$B$37,Phone_by_Sentiment!L$2:L$37,"",0,1)),_xlfn.XLOOKUP($C66,Phone_by_Sentiment!$B$2:$B$37,Phone_by_Sentiment!L$2:L$37,"",0,1),0),$A66-TEXT(DATEVALUE($D66&amp;"-01"), "dd-mm-yyyy")),0),0)</f>
        <v>0</v>
      </c>
      <c r="M66" cm="1">
        <f t="array" ref="M66">IF($Q66&gt;=0,IFERROR(generateSalesData($D66, IF(ISNUMBER(_xlfn.XLOOKUP($C66,Phone_by_Sentiment!$B$2:$B$37,Phone_by_Sentiment!M$2:M$37,"",0,1)),_xlfn.XLOOKUP($C66,Phone_by_Sentiment!$B$2:$B$37,Phone_by_Sentiment!M$2:M$37,"",0,1),0),$A66-TEXT(DATEVALUE($D66&amp;"-01"), "dd-mm-yyyy")),0),0)</f>
        <v>0</v>
      </c>
      <c r="N66" cm="1">
        <f t="array" ref="N66">IF($Q66&gt;=0,IFERROR(generateSalesData($D66, IF(ISNUMBER(_xlfn.XLOOKUP($C66,Phone_by_Sentiment!$B$2:$B$37,Phone_by_Sentiment!N$2:N$37,"",0,1)),_xlfn.XLOOKUP($C66,Phone_by_Sentiment!$B$2:$B$37,Phone_by_Sentiment!N$2:N$37,"",0,1),0),$A66-TEXT(DATEVALUE($D66&amp;"-01"), "dd-mm-yyyy")),0),0)</f>
        <v>0</v>
      </c>
      <c r="O66" cm="1">
        <f t="array" ref="O66">IF($Q66&gt;=0,IFERROR(generateSalesData($D66, IF(ISNUMBER(_xlfn.XLOOKUP($C66,Phone_by_Sentiment!$B$2:$B$37,Phone_by_Sentiment!O$2:O$37,"",0,1)),_xlfn.XLOOKUP($C66,Phone_by_Sentiment!$B$2:$B$37,Phone_by_Sentiment!O$2:O$37,"",0,1),0),$A66-TEXT(DATEVALUE($D66&amp;"-01"), "dd-mm-yyyy")),0),0)</f>
        <v>0</v>
      </c>
      <c r="P66" s="1">
        <f t="shared" si="1"/>
        <v>44044</v>
      </c>
      <c r="Q66">
        <f t="shared" si="2"/>
        <v>-547</v>
      </c>
    </row>
    <row r="67" spans="1:17" x14ac:dyDescent="0.25">
      <c r="A67" s="1">
        <f t="shared" si="0"/>
        <v>43497</v>
      </c>
      <c r="B67" t="s">
        <v>173</v>
      </c>
      <c r="C67" t="str">
        <f>_xlfn.XLOOKUP(B67,Phone_by_Price!$A$2:$A$34,Phone_by_Price!$B$2:$B$34,"-",0,1)</f>
        <v>Realme C3</v>
      </c>
      <c r="D67" t="str">
        <f>_xlfn.XLOOKUP(C67,Phone_by_Sentiment!$B$2:$B$37,Phone_by_Sentiment!$A$2:$A$37,"-",0,1)</f>
        <v>2020-02</v>
      </c>
      <c r="E67" cm="1">
        <f t="array" ref="E67">IF($Q67&gt;=0,IFERROR(generateSalesData($D67, IF(ISNUMBER(_xlfn.XLOOKUP($C67,Phone_by_Sentiment!$B$2:$B$37,Phone_by_Sentiment!E$2:E$37,"",0,1)),_xlfn.XLOOKUP($C67,Phone_by_Sentiment!$B$2:$B$37,Phone_by_Sentiment!E$2:E$37,"",0,1),0),$A67-TEXT(DATEVALUE($D67&amp;"-01"), "dd-mm-yyyy")),0),0)</f>
        <v>0</v>
      </c>
      <c r="F67" cm="1">
        <f t="array" ref="F67">IF($Q67&gt;=0,IFERROR(generateSalesData($D67, IF(ISNUMBER(_xlfn.XLOOKUP($C67,Phone_by_Sentiment!$B$2:$B$37,Phone_by_Sentiment!F$2:F$37,"",0,1)),_xlfn.XLOOKUP($C67,Phone_by_Sentiment!$B$2:$B$37,Phone_by_Sentiment!F$2:F$37,"",0,1),0),$A67-TEXT(DATEVALUE($D67&amp;"-01"), "dd-mm-yyyy")),0),0)</f>
        <v>0</v>
      </c>
      <c r="G67" cm="1">
        <f t="array" ref="G67">IF($Q67&gt;=0,IFERROR(generateSalesData($D67, IF(ISNUMBER(_xlfn.XLOOKUP($C67,Phone_by_Sentiment!$B$2:$B$37,Phone_by_Sentiment!G$2:G$37,"",0,1)),_xlfn.XLOOKUP($C67,Phone_by_Sentiment!$B$2:$B$37,Phone_by_Sentiment!G$2:G$37,"",0,1),0),$A67-TEXT(DATEVALUE($D67&amp;"-01"), "dd-mm-yyyy")),0),0)</f>
        <v>0</v>
      </c>
      <c r="H67" cm="1">
        <f t="array" ref="H67">IF($Q67&gt;=0,IFERROR(generateSalesData($D67, IF(ISNUMBER(_xlfn.XLOOKUP($C67,Phone_by_Sentiment!$B$2:$B$37,Phone_by_Sentiment!H$2:H$37,"",0,1)),_xlfn.XLOOKUP($C67,Phone_by_Sentiment!$B$2:$B$37,Phone_by_Sentiment!H$2:H$37,"",0,1),0),$A67-TEXT(DATEVALUE($D67&amp;"-01"), "dd-mm-yyyy")),0),0)</f>
        <v>0</v>
      </c>
      <c r="I67" cm="1">
        <f t="array" ref="I67">IF($Q67&gt;=0,IFERROR(generateSalesData($D67, IF(ISNUMBER(_xlfn.XLOOKUP($C67,Phone_by_Sentiment!$B$2:$B$37,Phone_by_Sentiment!I$2:I$37,"",0,1)),_xlfn.XLOOKUP($C67,Phone_by_Sentiment!$B$2:$B$37,Phone_by_Sentiment!I$2:I$37,"",0,1),0),$A67-TEXT(DATEVALUE($D67&amp;"-01"), "dd-mm-yyyy")),0),0)</f>
        <v>0</v>
      </c>
      <c r="J67" cm="1">
        <f t="array" ref="J67">IF($Q67&gt;=0,IFERROR(generateSalesData($D67, IF(ISNUMBER(_xlfn.XLOOKUP($C67,Phone_by_Sentiment!$B$2:$B$37,Phone_by_Sentiment!J$2:J$37,"",0,1)),_xlfn.XLOOKUP($C67,Phone_by_Sentiment!$B$2:$B$37,Phone_by_Sentiment!J$2:J$37,"",0,1),0),$A67-TEXT(DATEVALUE($D67&amp;"-01"), "dd-mm-yyyy")),0),0)</f>
        <v>0</v>
      </c>
      <c r="K67" cm="1">
        <f t="array" ref="K67">IF($Q67&gt;=0,IFERROR(generateSalesData($D67, IF(ISNUMBER(_xlfn.XLOOKUP($C67,Phone_by_Sentiment!$B$2:$B$37,Phone_by_Sentiment!K$2:K$37,"",0,1)),_xlfn.XLOOKUP($C67,Phone_by_Sentiment!$B$2:$B$37,Phone_by_Sentiment!K$2:K$37,"",0,1),0),$A67-TEXT(DATEVALUE($D67&amp;"-01"), "dd-mm-yyyy")),0),0)</f>
        <v>0</v>
      </c>
      <c r="L67" cm="1">
        <f t="array" ref="L67">IF($Q67&gt;=0,IFERROR(generateSalesData($D67, IF(ISNUMBER(_xlfn.XLOOKUP($C67,Phone_by_Sentiment!$B$2:$B$37,Phone_by_Sentiment!L$2:L$37,"",0,1)),_xlfn.XLOOKUP($C67,Phone_by_Sentiment!$B$2:$B$37,Phone_by_Sentiment!L$2:L$37,"",0,1),0),$A67-TEXT(DATEVALUE($D67&amp;"-01"), "dd-mm-yyyy")),0),0)</f>
        <v>0</v>
      </c>
      <c r="M67" cm="1">
        <f t="array" ref="M67">IF($Q67&gt;=0,IFERROR(generateSalesData($D67, IF(ISNUMBER(_xlfn.XLOOKUP($C67,Phone_by_Sentiment!$B$2:$B$37,Phone_by_Sentiment!M$2:M$37,"",0,1)),_xlfn.XLOOKUP($C67,Phone_by_Sentiment!$B$2:$B$37,Phone_by_Sentiment!M$2:M$37,"",0,1),0),$A67-TEXT(DATEVALUE($D67&amp;"-01"), "dd-mm-yyyy")),0),0)</f>
        <v>0</v>
      </c>
      <c r="N67" cm="1">
        <f t="array" ref="N67">IF($Q67&gt;=0,IFERROR(generateSalesData($D67, IF(ISNUMBER(_xlfn.XLOOKUP($C67,Phone_by_Sentiment!$B$2:$B$37,Phone_by_Sentiment!N$2:N$37,"",0,1)),_xlfn.XLOOKUP($C67,Phone_by_Sentiment!$B$2:$B$37,Phone_by_Sentiment!N$2:N$37,"",0,1),0),$A67-TEXT(DATEVALUE($D67&amp;"-01"), "dd-mm-yyyy")),0),0)</f>
        <v>0</v>
      </c>
      <c r="O67" cm="1">
        <f t="array" ref="O67">IF($Q67&gt;=0,IFERROR(generateSalesData($D67, IF(ISNUMBER(_xlfn.XLOOKUP($C67,Phone_by_Sentiment!$B$2:$B$37,Phone_by_Sentiment!O$2:O$37,"",0,1)),_xlfn.XLOOKUP($C67,Phone_by_Sentiment!$B$2:$B$37,Phone_by_Sentiment!O$2:O$37,"",0,1),0),$A67-TEXT(DATEVALUE($D67&amp;"-01"), "dd-mm-yyyy")),0),0)</f>
        <v>0</v>
      </c>
      <c r="P67" s="1">
        <f t="shared" si="1"/>
        <v>43862</v>
      </c>
      <c r="Q67">
        <f t="shared" si="2"/>
        <v>-365</v>
      </c>
    </row>
    <row r="68" spans="1:17" x14ac:dyDescent="0.25">
      <c r="A68" s="1">
        <f t="shared" si="0"/>
        <v>43497</v>
      </c>
      <c r="B68" t="s">
        <v>174</v>
      </c>
      <c r="C68" t="str">
        <f>_xlfn.XLOOKUP(B68,Phone_by_Price!$A$2:$A$34,Phone_by_Price!$B$2:$B$34,"-",0,1)</f>
        <v>Samsung Galaxy A7</v>
      </c>
      <c r="D68" t="str">
        <f>_xlfn.XLOOKUP(C68,Phone_by_Sentiment!$B$2:$B$37,Phone_by_Sentiment!$A$2:$A$37,"-",0,1)</f>
        <v>2018-10</v>
      </c>
      <c r="E68" cm="1">
        <f t="array" ref="E68">IF($Q68&gt;=0,IFERROR(generateSalesData($D68, IF(ISNUMBER(_xlfn.XLOOKUP($C68,Phone_by_Sentiment!$B$2:$B$37,Phone_by_Sentiment!E$2:E$37,"",0,1)),_xlfn.XLOOKUP($C68,Phone_by_Sentiment!$B$2:$B$37,Phone_by_Sentiment!E$2:E$37,"",0,1),0),$A68-TEXT(DATEVALUE($D68&amp;"-01"), "dd-mm-yyyy")),0),0)</f>
        <v>503</v>
      </c>
      <c r="F68" cm="1">
        <f t="array" ref="F68">IF($Q68&gt;=0,IFERROR(generateSalesData($D68, IF(ISNUMBER(_xlfn.XLOOKUP($C68,Phone_by_Sentiment!$B$2:$B$37,Phone_by_Sentiment!F$2:F$37,"",0,1)),_xlfn.XLOOKUP($C68,Phone_by_Sentiment!$B$2:$B$37,Phone_by_Sentiment!F$2:F$37,"",0,1),0),$A68-TEXT(DATEVALUE($D68&amp;"-01"), "dd-mm-yyyy")),0),0)</f>
        <v>449</v>
      </c>
      <c r="G68" cm="1">
        <f t="array" ref="G68">IF($Q68&gt;=0,IFERROR(generateSalesData($D68, IF(ISNUMBER(_xlfn.XLOOKUP($C68,Phone_by_Sentiment!$B$2:$B$37,Phone_by_Sentiment!G$2:G$37,"",0,1)),_xlfn.XLOOKUP($C68,Phone_by_Sentiment!$B$2:$B$37,Phone_by_Sentiment!G$2:G$37,"",0,1),0),$A68-TEXT(DATEVALUE($D68&amp;"-01"), "dd-mm-yyyy")),0),0)</f>
        <v>467</v>
      </c>
      <c r="H68" cm="1">
        <f t="array" ref="H68">IF($Q68&gt;=0,IFERROR(generateSalesData($D68, IF(ISNUMBER(_xlfn.XLOOKUP($C68,Phone_by_Sentiment!$B$2:$B$37,Phone_by_Sentiment!H$2:H$37,"",0,1)),_xlfn.XLOOKUP($C68,Phone_by_Sentiment!$B$2:$B$37,Phone_by_Sentiment!H$2:H$37,"",0,1),0),$A68-TEXT(DATEVALUE($D68&amp;"-01"), "dd-mm-yyyy")),0),0)</f>
        <v>1715</v>
      </c>
      <c r="I68" cm="1">
        <f t="array" ref="I68">IF($Q68&gt;=0,IFERROR(generateSalesData($D68, IF(ISNUMBER(_xlfn.XLOOKUP($C68,Phone_by_Sentiment!$B$2:$B$37,Phone_by_Sentiment!I$2:I$37,"",0,1)),_xlfn.XLOOKUP($C68,Phone_by_Sentiment!$B$2:$B$37,Phone_by_Sentiment!I$2:I$37,"",0,1),0),$A68-TEXT(DATEVALUE($D68&amp;"-01"), "dd-mm-yyyy")),0),0)</f>
        <v>1639</v>
      </c>
      <c r="J68" cm="1">
        <f t="array" ref="J68">IF($Q68&gt;=0,IFERROR(generateSalesData($D68, IF(ISNUMBER(_xlfn.XLOOKUP($C68,Phone_by_Sentiment!$B$2:$B$37,Phone_by_Sentiment!J$2:J$37,"",0,1)),_xlfn.XLOOKUP($C68,Phone_by_Sentiment!$B$2:$B$37,Phone_by_Sentiment!J$2:J$37,"",0,1),0),$A68-TEXT(DATEVALUE($D68&amp;"-01"), "dd-mm-yyyy")),0),0)</f>
        <v>240</v>
      </c>
      <c r="K68" cm="1">
        <f t="array" ref="K68">IF($Q68&gt;=0,IFERROR(generateSalesData($D68, IF(ISNUMBER(_xlfn.XLOOKUP($C68,Phone_by_Sentiment!$B$2:$B$37,Phone_by_Sentiment!K$2:K$37,"",0,1)),_xlfn.XLOOKUP($C68,Phone_by_Sentiment!$B$2:$B$37,Phone_by_Sentiment!K$2:K$37,"",0,1),0),$A68-TEXT(DATEVALUE($D68&amp;"-01"), "dd-mm-yyyy")),0),0)</f>
        <v>128</v>
      </c>
      <c r="L68" cm="1">
        <f t="array" ref="L68">IF($Q68&gt;=0,IFERROR(generateSalesData($D68, IF(ISNUMBER(_xlfn.XLOOKUP($C68,Phone_by_Sentiment!$B$2:$B$37,Phone_by_Sentiment!L$2:L$37,"",0,1)),_xlfn.XLOOKUP($C68,Phone_by_Sentiment!$B$2:$B$37,Phone_by_Sentiment!L$2:L$37,"",0,1),0),$A68-TEXT(DATEVALUE($D68&amp;"-01"), "dd-mm-yyyy")),0),0)</f>
        <v>836</v>
      </c>
      <c r="M68" cm="1">
        <f t="array" ref="M68">IF($Q68&gt;=0,IFERROR(generateSalesData($D68, IF(ISNUMBER(_xlfn.XLOOKUP($C68,Phone_by_Sentiment!$B$2:$B$37,Phone_by_Sentiment!M$2:M$37,"",0,1)),_xlfn.XLOOKUP($C68,Phone_by_Sentiment!$B$2:$B$37,Phone_by_Sentiment!M$2:M$37,"",0,1),0),$A68-TEXT(DATEVALUE($D68&amp;"-01"), "dd-mm-yyyy")),0),0)</f>
        <v>951</v>
      </c>
      <c r="N68" cm="1">
        <f t="array" ref="N68">IF($Q68&gt;=0,IFERROR(generateSalesData($D68, IF(ISNUMBER(_xlfn.XLOOKUP($C68,Phone_by_Sentiment!$B$2:$B$37,Phone_by_Sentiment!N$2:N$37,"",0,1)),_xlfn.XLOOKUP($C68,Phone_by_Sentiment!$B$2:$B$37,Phone_by_Sentiment!N$2:N$37,"",0,1),0),$A68-TEXT(DATEVALUE($D68&amp;"-01"), "dd-mm-yyyy")),0),0)</f>
        <v>2571</v>
      </c>
      <c r="O68" cm="1">
        <f t="array" ref="O68">IF($Q68&gt;=0,IFERROR(generateSalesData($D68, IF(ISNUMBER(_xlfn.XLOOKUP($C68,Phone_by_Sentiment!$B$2:$B$37,Phone_by_Sentiment!O$2:O$37,"",0,1)),_xlfn.XLOOKUP($C68,Phone_by_Sentiment!$B$2:$B$37,Phone_by_Sentiment!O$2:O$37,"",0,1),0),$A68-TEXT(DATEVALUE($D68&amp;"-01"), "dd-mm-yyyy")),0),0)</f>
        <v>1551</v>
      </c>
      <c r="P68" s="1">
        <f t="shared" ref="P68:P131" si="3">DATEVALUE($D68&amp;"-01")</f>
        <v>43374</v>
      </c>
      <c r="Q68">
        <f t="shared" ref="Q68:Q131" si="4">A68-P68</f>
        <v>123</v>
      </c>
    </row>
    <row r="69" spans="1:17" x14ac:dyDescent="0.25">
      <c r="A69" s="1">
        <f t="shared" si="0"/>
        <v>43497</v>
      </c>
      <c r="B69" t="s">
        <v>142</v>
      </c>
      <c r="C69" t="str">
        <f>_xlfn.XLOOKUP(B69,Phone_by_Price!$A$2:$A$34,Phone_by_Price!$B$2:$B$34,"-",0,1)</f>
        <v>iPhone 11</v>
      </c>
      <c r="D69" t="str">
        <f>_xlfn.XLOOKUP(C69,Phone_by_Sentiment!$B$2:$B$37,Phone_by_Sentiment!$A$2:$A$37,"-",0,1)</f>
        <v>2019-09</v>
      </c>
      <c r="E69" cm="1">
        <f t="array" ref="E69">IF($Q69&gt;=0,IFERROR(generateSalesData($D69, IF(ISNUMBER(_xlfn.XLOOKUP($C69,Phone_by_Sentiment!$B$2:$B$37,Phone_by_Sentiment!E$2:E$37,"",0,1)),_xlfn.XLOOKUP($C69,Phone_by_Sentiment!$B$2:$B$37,Phone_by_Sentiment!E$2:E$37,"",0,1),0),$A69-TEXT(DATEVALUE($D69&amp;"-01"), "dd-mm-yyyy")),0),0)</f>
        <v>0</v>
      </c>
      <c r="F69" cm="1">
        <f t="array" ref="F69">IF($Q69&gt;=0,IFERROR(generateSalesData($D69, IF(ISNUMBER(_xlfn.XLOOKUP($C69,Phone_by_Sentiment!$B$2:$B$37,Phone_by_Sentiment!F$2:F$37,"",0,1)),_xlfn.XLOOKUP($C69,Phone_by_Sentiment!$B$2:$B$37,Phone_by_Sentiment!F$2:F$37,"",0,1),0),$A69-TEXT(DATEVALUE($D69&amp;"-01"), "dd-mm-yyyy")),0),0)</f>
        <v>0</v>
      </c>
      <c r="G69" cm="1">
        <f t="array" ref="G69">IF($Q69&gt;=0,IFERROR(generateSalesData($D69, IF(ISNUMBER(_xlfn.XLOOKUP($C69,Phone_by_Sentiment!$B$2:$B$37,Phone_by_Sentiment!G$2:G$37,"",0,1)),_xlfn.XLOOKUP($C69,Phone_by_Sentiment!$B$2:$B$37,Phone_by_Sentiment!G$2:G$37,"",0,1),0),$A69-TEXT(DATEVALUE($D69&amp;"-01"), "dd-mm-yyyy")),0),0)</f>
        <v>0</v>
      </c>
      <c r="H69" cm="1">
        <f t="array" ref="H69">IF($Q69&gt;=0,IFERROR(generateSalesData($D69, IF(ISNUMBER(_xlfn.XLOOKUP($C69,Phone_by_Sentiment!$B$2:$B$37,Phone_by_Sentiment!H$2:H$37,"",0,1)),_xlfn.XLOOKUP($C69,Phone_by_Sentiment!$B$2:$B$37,Phone_by_Sentiment!H$2:H$37,"",0,1),0),$A69-TEXT(DATEVALUE($D69&amp;"-01"), "dd-mm-yyyy")),0),0)</f>
        <v>0</v>
      </c>
      <c r="I69" cm="1">
        <f t="array" ref="I69">IF($Q69&gt;=0,IFERROR(generateSalesData($D69, IF(ISNUMBER(_xlfn.XLOOKUP($C69,Phone_by_Sentiment!$B$2:$B$37,Phone_by_Sentiment!I$2:I$37,"",0,1)),_xlfn.XLOOKUP($C69,Phone_by_Sentiment!$B$2:$B$37,Phone_by_Sentiment!I$2:I$37,"",0,1),0),$A69-TEXT(DATEVALUE($D69&amp;"-01"), "dd-mm-yyyy")),0),0)</f>
        <v>0</v>
      </c>
      <c r="J69" cm="1">
        <f t="array" ref="J69">IF($Q69&gt;=0,IFERROR(generateSalesData($D69, IF(ISNUMBER(_xlfn.XLOOKUP($C69,Phone_by_Sentiment!$B$2:$B$37,Phone_by_Sentiment!J$2:J$37,"",0,1)),_xlfn.XLOOKUP($C69,Phone_by_Sentiment!$B$2:$B$37,Phone_by_Sentiment!J$2:J$37,"",0,1),0),$A69-TEXT(DATEVALUE($D69&amp;"-01"), "dd-mm-yyyy")),0),0)</f>
        <v>0</v>
      </c>
      <c r="K69" cm="1">
        <f t="array" ref="K69">IF($Q69&gt;=0,IFERROR(generateSalesData($D69, IF(ISNUMBER(_xlfn.XLOOKUP($C69,Phone_by_Sentiment!$B$2:$B$37,Phone_by_Sentiment!K$2:K$37,"",0,1)),_xlfn.XLOOKUP($C69,Phone_by_Sentiment!$B$2:$B$37,Phone_by_Sentiment!K$2:K$37,"",0,1),0),$A69-TEXT(DATEVALUE($D69&amp;"-01"), "dd-mm-yyyy")),0),0)</f>
        <v>0</v>
      </c>
      <c r="L69" cm="1">
        <f t="array" ref="L69">IF($Q69&gt;=0,IFERROR(generateSalesData($D69, IF(ISNUMBER(_xlfn.XLOOKUP($C69,Phone_by_Sentiment!$B$2:$B$37,Phone_by_Sentiment!L$2:L$37,"",0,1)),_xlfn.XLOOKUP($C69,Phone_by_Sentiment!$B$2:$B$37,Phone_by_Sentiment!L$2:L$37,"",0,1),0),$A69-TEXT(DATEVALUE($D69&amp;"-01"), "dd-mm-yyyy")),0),0)</f>
        <v>0</v>
      </c>
      <c r="M69" cm="1">
        <f t="array" ref="M69">IF($Q69&gt;=0,IFERROR(generateSalesData($D69, IF(ISNUMBER(_xlfn.XLOOKUP($C69,Phone_by_Sentiment!$B$2:$B$37,Phone_by_Sentiment!M$2:M$37,"",0,1)),_xlfn.XLOOKUP($C69,Phone_by_Sentiment!$B$2:$B$37,Phone_by_Sentiment!M$2:M$37,"",0,1),0),$A69-TEXT(DATEVALUE($D69&amp;"-01"), "dd-mm-yyyy")),0),0)</f>
        <v>0</v>
      </c>
      <c r="N69" cm="1">
        <f t="array" ref="N69">IF($Q69&gt;=0,IFERROR(generateSalesData($D69, IF(ISNUMBER(_xlfn.XLOOKUP($C69,Phone_by_Sentiment!$B$2:$B$37,Phone_by_Sentiment!N$2:N$37,"",0,1)),_xlfn.XLOOKUP($C69,Phone_by_Sentiment!$B$2:$B$37,Phone_by_Sentiment!N$2:N$37,"",0,1),0),$A69-TEXT(DATEVALUE($D69&amp;"-01"), "dd-mm-yyyy")),0),0)</f>
        <v>0</v>
      </c>
      <c r="O69" cm="1">
        <f t="array" ref="O69">IF($Q69&gt;=0,IFERROR(generateSalesData($D69, IF(ISNUMBER(_xlfn.XLOOKUP($C69,Phone_by_Sentiment!$B$2:$B$37,Phone_by_Sentiment!O$2:O$37,"",0,1)),_xlfn.XLOOKUP($C69,Phone_by_Sentiment!$B$2:$B$37,Phone_by_Sentiment!O$2:O$37,"",0,1),0),$A69-TEXT(DATEVALUE($D69&amp;"-01"), "dd-mm-yyyy")),0),0)</f>
        <v>0</v>
      </c>
      <c r="P69" s="1">
        <f t="shared" si="3"/>
        <v>43709</v>
      </c>
      <c r="Q69">
        <f t="shared" si="4"/>
        <v>-212</v>
      </c>
    </row>
    <row r="70" spans="1:17" x14ac:dyDescent="0.25">
      <c r="A70" s="1">
        <f t="shared" si="0"/>
        <v>43497</v>
      </c>
      <c r="B70" t="s">
        <v>143</v>
      </c>
      <c r="C70" t="str">
        <f>_xlfn.XLOOKUP(B70,Phone_by_Price!$A$2:$A$34,Phone_by_Price!$B$2:$B$34,"-",0,1)</f>
        <v>Samsung Galaxy S20 Ultra</v>
      </c>
      <c r="D70" t="str">
        <f>_xlfn.XLOOKUP(C70,Phone_by_Sentiment!$B$2:$B$37,Phone_by_Sentiment!$A$2:$A$37,"-",0,1)</f>
        <v>2020-02</v>
      </c>
      <c r="E70" cm="1">
        <f t="array" ref="E70">IF($Q70&gt;=0,IFERROR(generateSalesData($D70, IF(ISNUMBER(_xlfn.XLOOKUP($C70,Phone_by_Sentiment!$B$2:$B$37,Phone_by_Sentiment!E$2:E$37,"",0,1)),_xlfn.XLOOKUP($C70,Phone_by_Sentiment!$B$2:$B$37,Phone_by_Sentiment!E$2:E$37,"",0,1),0),$A70-TEXT(DATEVALUE($D70&amp;"-01"), "dd-mm-yyyy")),0),0)</f>
        <v>0</v>
      </c>
      <c r="F70" cm="1">
        <f t="array" ref="F70">IF($Q70&gt;=0,IFERROR(generateSalesData($D70, IF(ISNUMBER(_xlfn.XLOOKUP($C70,Phone_by_Sentiment!$B$2:$B$37,Phone_by_Sentiment!F$2:F$37,"",0,1)),_xlfn.XLOOKUP($C70,Phone_by_Sentiment!$B$2:$B$37,Phone_by_Sentiment!F$2:F$37,"",0,1),0),$A70-TEXT(DATEVALUE($D70&amp;"-01"), "dd-mm-yyyy")),0),0)</f>
        <v>0</v>
      </c>
      <c r="G70" cm="1">
        <f t="array" ref="G70">IF($Q70&gt;=0,IFERROR(generateSalesData($D70, IF(ISNUMBER(_xlfn.XLOOKUP($C70,Phone_by_Sentiment!$B$2:$B$37,Phone_by_Sentiment!G$2:G$37,"",0,1)),_xlfn.XLOOKUP($C70,Phone_by_Sentiment!$B$2:$B$37,Phone_by_Sentiment!G$2:G$37,"",0,1),0),$A70-TEXT(DATEVALUE($D70&amp;"-01"), "dd-mm-yyyy")),0),0)</f>
        <v>0</v>
      </c>
      <c r="H70" cm="1">
        <f t="array" ref="H70">IF($Q70&gt;=0,IFERROR(generateSalesData($D70, IF(ISNUMBER(_xlfn.XLOOKUP($C70,Phone_by_Sentiment!$B$2:$B$37,Phone_by_Sentiment!H$2:H$37,"",0,1)),_xlfn.XLOOKUP($C70,Phone_by_Sentiment!$B$2:$B$37,Phone_by_Sentiment!H$2:H$37,"",0,1),0),$A70-TEXT(DATEVALUE($D70&amp;"-01"), "dd-mm-yyyy")),0),0)</f>
        <v>0</v>
      </c>
      <c r="I70" cm="1">
        <f t="array" ref="I70">IF($Q70&gt;=0,IFERROR(generateSalesData($D70, IF(ISNUMBER(_xlfn.XLOOKUP($C70,Phone_by_Sentiment!$B$2:$B$37,Phone_by_Sentiment!I$2:I$37,"",0,1)),_xlfn.XLOOKUP($C70,Phone_by_Sentiment!$B$2:$B$37,Phone_by_Sentiment!I$2:I$37,"",0,1),0),$A70-TEXT(DATEVALUE($D70&amp;"-01"), "dd-mm-yyyy")),0),0)</f>
        <v>0</v>
      </c>
      <c r="J70" cm="1">
        <f t="array" ref="J70">IF($Q70&gt;=0,IFERROR(generateSalesData($D70, IF(ISNUMBER(_xlfn.XLOOKUP($C70,Phone_by_Sentiment!$B$2:$B$37,Phone_by_Sentiment!J$2:J$37,"",0,1)),_xlfn.XLOOKUP($C70,Phone_by_Sentiment!$B$2:$B$37,Phone_by_Sentiment!J$2:J$37,"",0,1),0),$A70-TEXT(DATEVALUE($D70&amp;"-01"), "dd-mm-yyyy")),0),0)</f>
        <v>0</v>
      </c>
      <c r="K70" cm="1">
        <f t="array" ref="K70">IF($Q70&gt;=0,IFERROR(generateSalesData($D70, IF(ISNUMBER(_xlfn.XLOOKUP($C70,Phone_by_Sentiment!$B$2:$B$37,Phone_by_Sentiment!K$2:K$37,"",0,1)),_xlfn.XLOOKUP($C70,Phone_by_Sentiment!$B$2:$B$37,Phone_by_Sentiment!K$2:K$37,"",0,1),0),$A70-TEXT(DATEVALUE($D70&amp;"-01"), "dd-mm-yyyy")),0),0)</f>
        <v>0</v>
      </c>
      <c r="L70" cm="1">
        <f t="array" ref="L70">IF($Q70&gt;=0,IFERROR(generateSalesData($D70, IF(ISNUMBER(_xlfn.XLOOKUP($C70,Phone_by_Sentiment!$B$2:$B$37,Phone_by_Sentiment!L$2:L$37,"",0,1)),_xlfn.XLOOKUP($C70,Phone_by_Sentiment!$B$2:$B$37,Phone_by_Sentiment!L$2:L$37,"",0,1),0),$A70-TEXT(DATEVALUE($D70&amp;"-01"), "dd-mm-yyyy")),0),0)</f>
        <v>0</v>
      </c>
      <c r="M70" cm="1">
        <f t="array" ref="M70">IF($Q70&gt;=0,IFERROR(generateSalesData($D70, IF(ISNUMBER(_xlfn.XLOOKUP($C70,Phone_by_Sentiment!$B$2:$B$37,Phone_by_Sentiment!M$2:M$37,"",0,1)),_xlfn.XLOOKUP($C70,Phone_by_Sentiment!$B$2:$B$37,Phone_by_Sentiment!M$2:M$37,"",0,1),0),$A70-TEXT(DATEVALUE($D70&amp;"-01"), "dd-mm-yyyy")),0),0)</f>
        <v>0</v>
      </c>
      <c r="N70" cm="1">
        <f t="array" ref="N70">IF($Q70&gt;=0,IFERROR(generateSalesData($D70, IF(ISNUMBER(_xlfn.XLOOKUP($C70,Phone_by_Sentiment!$B$2:$B$37,Phone_by_Sentiment!N$2:N$37,"",0,1)),_xlfn.XLOOKUP($C70,Phone_by_Sentiment!$B$2:$B$37,Phone_by_Sentiment!N$2:N$37,"",0,1),0),$A70-TEXT(DATEVALUE($D70&amp;"-01"), "dd-mm-yyyy")),0),0)</f>
        <v>0</v>
      </c>
      <c r="O70" cm="1">
        <f t="array" ref="O70">IF($Q70&gt;=0,IFERROR(generateSalesData($D70, IF(ISNUMBER(_xlfn.XLOOKUP($C70,Phone_by_Sentiment!$B$2:$B$37,Phone_by_Sentiment!O$2:O$37,"",0,1)),_xlfn.XLOOKUP($C70,Phone_by_Sentiment!$B$2:$B$37,Phone_by_Sentiment!O$2:O$37,"",0,1),0),$A70-TEXT(DATEVALUE($D70&amp;"-01"), "dd-mm-yyyy")),0),0)</f>
        <v>0</v>
      </c>
      <c r="P70" s="1">
        <f t="shared" si="3"/>
        <v>43862</v>
      </c>
      <c r="Q70">
        <f t="shared" si="4"/>
        <v>-365</v>
      </c>
    </row>
    <row r="71" spans="1:17" x14ac:dyDescent="0.25">
      <c r="A71" s="1">
        <f t="shared" si="0"/>
        <v>43525</v>
      </c>
      <c r="B71" t="s">
        <v>144</v>
      </c>
      <c r="C71" t="str">
        <f>_xlfn.XLOOKUP(B71,Phone_by_Price!$A$2:$A$34,Phone_by_Price!$B$2:$B$34,"-",0,1)</f>
        <v>Xiaomi Redmi Note 10</v>
      </c>
      <c r="D71" t="str">
        <f>_xlfn.XLOOKUP(C71,Phone_by_Sentiment!$B$2:$B$37,Phone_by_Sentiment!$A$2:$A$37,"-",0,1)</f>
        <v>2021-03</v>
      </c>
      <c r="E71" cm="1">
        <f t="array" ref="E71">IF($Q71&gt;=0,IFERROR(generateSalesData($D71, IF(ISNUMBER(_xlfn.XLOOKUP($C71,Phone_by_Sentiment!$B$2:$B$37,Phone_by_Sentiment!E$2:E$37,"",0,1)),_xlfn.XLOOKUP($C71,Phone_by_Sentiment!$B$2:$B$37,Phone_by_Sentiment!E$2:E$37,"",0,1),0),$A71-TEXT(DATEVALUE($D71&amp;"-01"), "dd-mm-yyyy")),0),0)</f>
        <v>0</v>
      </c>
      <c r="F71" cm="1">
        <f t="array" ref="F71">IF($Q71&gt;=0,IFERROR(generateSalesData($D71, IF(ISNUMBER(_xlfn.XLOOKUP($C71,Phone_by_Sentiment!$B$2:$B$37,Phone_by_Sentiment!F$2:F$37,"",0,1)),_xlfn.XLOOKUP($C71,Phone_by_Sentiment!$B$2:$B$37,Phone_by_Sentiment!F$2:F$37,"",0,1),0),$A71-TEXT(DATEVALUE($D71&amp;"-01"), "dd-mm-yyyy")),0),0)</f>
        <v>0</v>
      </c>
      <c r="G71" cm="1">
        <f t="array" ref="G71">IF($Q71&gt;=0,IFERROR(generateSalesData($D71, IF(ISNUMBER(_xlfn.XLOOKUP($C71,Phone_by_Sentiment!$B$2:$B$37,Phone_by_Sentiment!G$2:G$37,"",0,1)),_xlfn.XLOOKUP($C71,Phone_by_Sentiment!$B$2:$B$37,Phone_by_Sentiment!G$2:G$37,"",0,1),0),$A71-TEXT(DATEVALUE($D71&amp;"-01"), "dd-mm-yyyy")),0),0)</f>
        <v>0</v>
      </c>
      <c r="H71" cm="1">
        <f t="array" ref="H71">IF($Q71&gt;=0,IFERROR(generateSalesData($D71, IF(ISNUMBER(_xlfn.XLOOKUP($C71,Phone_by_Sentiment!$B$2:$B$37,Phone_by_Sentiment!H$2:H$37,"",0,1)),_xlfn.XLOOKUP($C71,Phone_by_Sentiment!$B$2:$B$37,Phone_by_Sentiment!H$2:H$37,"",0,1),0),$A71-TEXT(DATEVALUE($D71&amp;"-01"), "dd-mm-yyyy")),0),0)</f>
        <v>0</v>
      </c>
      <c r="I71" cm="1">
        <f t="array" ref="I71">IF($Q71&gt;=0,IFERROR(generateSalesData($D71, IF(ISNUMBER(_xlfn.XLOOKUP($C71,Phone_by_Sentiment!$B$2:$B$37,Phone_by_Sentiment!I$2:I$37,"",0,1)),_xlfn.XLOOKUP($C71,Phone_by_Sentiment!$B$2:$B$37,Phone_by_Sentiment!I$2:I$37,"",0,1),0),$A71-TEXT(DATEVALUE($D71&amp;"-01"), "dd-mm-yyyy")),0),0)</f>
        <v>0</v>
      </c>
      <c r="J71" cm="1">
        <f t="array" ref="J71">IF($Q71&gt;=0,IFERROR(generateSalesData($D71, IF(ISNUMBER(_xlfn.XLOOKUP($C71,Phone_by_Sentiment!$B$2:$B$37,Phone_by_Sentiment!J$2:J$37,"",0,1)),_xlfn.XLOOKUP($C71,Phone_by_Sentiment!$B$2:$B$37,Phone_by_Sentiment!J$2:J$37,"",0,1),0),$A71-TEXT(DATEVALUE($D71&amp;"-01"), "dd-mm-yyyy")),0),0)</f>
        <v>0</v>
      </c>
      <c r="K71" cm="1">
        <f t="array" ref="K71">IF($Q71&gt;=0,IFERROR(generateSalesData($D71, IF(ISNUMBER(_xlfn.XLOOKUP($C71,Phone_by_Sentiment!$B$2:$B$37,Phone_by_Sentiment!K$2:K$37,"",0,1)),_xlfn.XLOOKUP($C71,Phone_by_Sentiment!$B$2:$B$37,Phone_by_Sentiment!K$2:K$37,"",0,1),0),$A71-TEXT(DATEVALUE($D71&amp;"-01"), "dd-mm-yyyy")),0),0)</f>
        <v>0</v>
      </c>
      <c r="L71" cm="1">
        <f t="array" ref="L71">IF($Q71&gt;=0,IFERROR(generateSalesData($D71, IF(ISNUMBER(_xlfn.XLOOKUP($C71,Phone_by_Sentiment!$B$2:$B$37,Phone_by_Sentiment!L$2:L$37,"",0,1)),_xlfn.XLOOKUP($C71,Phone_by_Sentiment!$B$2:$B$37,Phone_by_Sentiment!L$2:L$37,"",0,1),0),$A71-TEXT(DATEVALUE($D71&amp;"-01"), "dd-mm-yyyy")),0),0)</f>
        <v>0</v>
      </c>
      <c r="M71" cm="1">
        <f t="array" ref="M71">IF($Q71&gt;=0,IFERROR(generateSalesData($D71, IF(ISNUMBER(_xlfn.XLOOKUP($C71,Phone_by_Sentiment!$B$2:$B$37,Phone_by_Sentiment!M$2:M$37,"",0,1)),_xlfn.XLOOKUP($C71,Phone_by_Sentiment!$B$2:$B$37,Phone_by_Sentiment!M$2:M$37,"",0,1),0),$A71-TEXT(DATEVALUE($D71&amp;"-01"), "dd-mm-yyyy")),0),0)</f>
        <v>0</v>
      </c>
      <c r="N71" cm="1">
        <f t="array" ref="N71">IF($Q71&gt;=0,IFERROR(generateSalesData($D71, IF(ISNUMBER(_xlfn.XLOOKUP($C71,Phone_by_Sentiment!$B$2:$B$37,Phone_by_Sentiment!N$2:N$37,"",0,1)),_xlfn.XLOOKUP($C71,Phone_by_Sentiment!$B$2:$B$37,Phone_by_Sentiment!N$2:N$37,"",0,1),0),$A71-TEXT(DATEVALUE($D71&amp;"-01"), "dd-mm-yyyy")),0),0)</f>
        <v>0</v>
      </c>
      <c r="O71" cm="1">
        <f t="array" ref="O71">IF($Q71&gt;=0,IFERROR(generateSalesData($D71, IF(ISNUMBER(_xlfn.XLOOKUP($C71,Phone_by_Sentiment!$B$2:$B$37,Phone_by_Sentiment!O$2:O$37,"",0,1)),_xlfn.XLOOKUP($C71,Phone_by_Sentiment!$B$2:$B$37,Phone_by_Sentiment!O$2:O$37,"",0,1),0),$A71-TEXT(DATEVALUE($D71&amp;"-01"), "dd-mm-yyyy")),0),0)</f>
        <v>0</v>
      </c>
      <c r="P71" s="1">
        <f t="shared" si="3"/>
        <v>44256</v>
      </c>
      <c r="Q71">
        <f t="shared" si="4"/>
        <v>-731</v>
      </c>
    </row>
    <row r="72" spans="1:17" x14ac:dyDescent="0.25">
      <c r="A72" s="1">
        <f t="shared" si="0"/>
        <v>43525</v>
      </c>
      <c r="B72" t="s">
        <v>145</v>
      </c>
      <c r="C72" t="str">
        <f>_xlfn.XLOOKUP(B72,Phone_by_Price!$A$2:$A$34,Phone_by_Price!$B$2:$B$34,"-",0,1)</f>
        <v>OPPO A54</v>
      </c>
      <c r="D72" t="str">
        <f>_xlfn.XLOOKUP(C72,Phone_by_Sentiment!$B$2:$B$37,Phone_by_Sentiment!$A$2:$A$37,"-",0,1)</f>
        <v>2021-04</v>
      </c>
      <c r="E72" cm="1">
        <f t="array" ref="E72">IF($Q72&gt;=0,IFERROR(generateSalesData($D72, IF(ISNUMBER(_xlfn.XLOOKUP($C72,Phone_by_Sentiment!$B$2:$B$37,Phone_by_Sentiment!E$2:E$37,"",0,1)),_xlfn.XLOOKUP($C72,Phone_by_Sentiment!$B$2:$B$37,Phone_by_Sentiment!E$2:E$37,"",0,1),0),$A72-TEXT(DATEVALUE($D72&amp;"-01"), "dd-mm-yyyy")),0),0)</f>
        <v>0</v>
      </c>
      <c r="F72" cm="1">
        <f t="array" ref="F72">IF($Q72&gt;=0,IFERROR(generateSalesData($D72, IF(ISNUMBER(_xlfn.XLOOKUP($C72,Phone_by_Sentiment!$B$2:$B$37,Phone_by_Sentiment!F$2:F$37,"",0,1)),_xlfn.XLOOKUP($C72,Phone_by_Sentiment!$B$2:$B$37,Phone_by_Sentiment!F$2:F$37,"",0,1),0),$A72-TEXT(DATEVALUE($D72&amp;"-01"), "dd-mm-yyyy")),0),0)</f>
        <v>0</v>
      </c>
      <c r="G72" cm="1">
        <f t="array" ref="G72">IF($Q72&gt;=0,IFERROR(generateSalesData($D72, IF(ISNUMBER(_xlfn.XLOOKUP($C72,Phone_by_Sentiment!$B$2:$B$37,Phone_by_Sentiment!G$2:G$37,"",0,1)),_xlfn.XLOOKUP($C72,Phone_by_Sentiment!$B$2:$B$37,Phone_by_Sentiment!G$2:G$37,"",0,1),0),$A72-TEXT(DATEVALUE($D72&amp;"-01"), "dd-mm-yyyy")),0),0)</f>
        <v>0</v>
      </c>
      <c r="H72" cm="1">
        <f t="array" ref="H72">IF($Q72&gt;=0,IFERROR(generateSalesData($D72, IF(ISNUMBER(_xlfn.XLOOKUP($C72,Phone_by_Sentiment!$B$2:$B$37,Phone_by_Sentiment!H$2:H$37,"",0,1)),_xlfn.XLOOKUP($C72,Phone_by_Sentiment!$B$2:$B$37,Phone_by_Sentiment!H$2:H$37,"",0,1),0),$A72-TEXT(DATEVALUE($D72&amp;"-01"), "dd-mm-yyyy")),0),0)</f>
        <v>0</v>
      </c>
      <c r="I72" cm="1">
        <f t="array" ref="I72">IF($Q72&gt;=0,IFERROR(generateSalesData($D72, IF(ISNUMBER(_xlfn.XLOOKUP($C72,Phone_by_Sentiment!$B$2:$B$37,Phone_by_Sentiment!I$2:I$37,"",0,1)),_xlfn.XLOOKUP($C72,Phone_by_Sentiment!$B$2:$B$37,Phone_by_Sentiment!I$2:I$37,"",0,1),0),$A72-TEXT(DATEVALUE($D72&amp;"-01"), "dd-mm-yyyy")),0),0)</f>
        <v>0</v>
      </c>
      <c r="J72" cm="1">
        <f t="array" ref="J72">IF($Q72&gt;=0,IFERROR(generateSalesData($D72, IF(ISNUMBER(_xlfn.XLOOKUP($C72,Phone_by_Sentiment!$B$2:$B$37,Phone_by_Sentiment!J$2:J$37,"",0,1)),_xlfn.XLOOKUP($C72,Phone_by_Sentiment!$B$2:$B$37,Phone_by_Sentiment!J$2:J$37,"",0,1),0),$A72-TEXT(DATEVALUE($D72&amp;"-01"), "dd-mm-yyyy")),0),0)</f>
        <v>0</v>
      </c>
      <c r="K72" cm="1">
        <f t="array" ref="K72">IF($Q72&gt;=0,IFERROR(generateSalesData($D72, IF(ISNUMBER(_xlfn.XLOOKUP($C72,Phone_by_Sentiment!$B$2:$B$37,Phone_by_Sentiment!K$2:K$37,"",0,1)),_xlfn.XLOOKUP($C72,Phone_by_Sentiment!$B$2:$B$37,Phone_by_Sentiment!K$2:K$37,"",0,1),0),$A72-TEXT(DATEVALUE($D72&amp;"-01"), "dd-mm-yyyy")),0),0)</f>
        <v>0</v>
      </c>
      <c r="L72" cm="1">
        <f t="array" ref="L72">IF($Q72&gt;=0,IFERROR(generateSalesData($D72, IF(ISNUMBER(_xlfn.XLOOKUP($C72,Phone_by_Sentiment!$B$2:$B$37,Phone_by_Sentiment!L$2:L$37,"",0,1)),_xlfn.XLOOKUP($C72,Phone_by_Sentiment!$B$2:$B$37,Phone_by_Sentiment!L$2:L$37,"",0,1),0),$A72-TEXT(DATEVALUE($D72&amp;"-01"), "dd-mm-yyyy")),0),0)</f>
        <v>0</v>
      </c>
      <c r="M72" cm="1">
        <f t="array" ref="M72">IF($Q72&gt;=0,IFERROR(generateSalesData($D72, IF(ISNUMBER(_xlfn.XLOOKUP($C72,Phone_by_Sentiment!$B$2:$B$37,Phone_by_Sentiment!M$2:M$37,"",0,1)),_xlfn.XLOOKUP($C72,Phone_by_Sentiment!$B$2:$B$37,Phone_by_Sentiment!M$2:M$37,"",0,1),0),$A72-TEXT(DATEVALUE($D72&amp;"-01"), "dd-mm-yyyy")),0),0)</f>
        <v>0</v>
      </c>
      <c r="N72" cm="1">
        <f t="array" ref="N72">IF($Q72&gt;=0,IFERROR(generateSalesData($D72, IF(ISNUMBER(_xlfn.XLOOKUP($C72,Phone_by_Sentiment!$B$2:$B$37,Phone_by_Sentiment!N$2:N$37,"",0,1)),_xlfn.XLOOKUP($C72,Phone_by_Sentiment!$B$2:$B$37,Phone_by_Sentiment!N$2:N$37,"",0,1),0),$A72-TEXT(DATEVALUE($D72&amp;"-01"), "dd-mm-yyyy")),0),0)</f>
        <v>0</v>
      </c>
      <c r="O72" cm="1">
        <f t="array" ref="O72">IF($Q72&gt;=0,IFERROR(generateSalesData($D72, IF(ISNUMBER(_xlfn.XLOOKUP($C72,Phone_by_Sentiment!$B$2:$B$37,Phone_by_Sentiment!O$2:O$37,"",0,1)),_xlfn.XLOOKUP($C72,Phone_by_Sentiment!$B$2:$B$37,Phone_by_Sentiment!O$2:O$37,"",0,1),0),$A72-TEXT(DATEVALUE($D72&amp;"-01"), "dd-mm-yyyy")),0),0)</f>
        <v>0</v>
      </c>
      <c r="P72" s="1">
        <f t="shared" si="3"/>
        <v>44287</v>
      </c>
      <c r="Q72">
        <f t="shared" si="4"/>
        <v>-762</v>
      </c>
    </row>
    <row r="73" spans="1:17" x14ac:dyDescent="0.25">
      <c r="A73" s="1">
        <f t="shared" si="0"/>
        <v>43525</v>
      </c>
      <c r="B73" t="s">
        <v>146</v>
      </c>
      <c r="C73" t="str">
        <f>_xlfn.XLOOKUP(B73,Phone_by_Price!$A$2:$A$34,Phone_by_Price!$B$2:$B$34,"-",0,1)</f>
        <v>Vivo Y20</v>
      </c>
      <c r="D73" t="str">
        <f>_xlfn.XLOOKUP(C73,Phone_by_Sentiment!$B$2:$B$37,Phone_by_Sentiment!$A$2:$A$37,"-",0,1)</f>
        <v>2020-09</v>
      </c>
      <c r="E73" cm="1">
        <f t="array" ref="E73">IF($Q73&gt;=0,IFERROR(generateSalesData($D73, IF(ISNUMBER(_xlfn.XLOOKUP($C73,Phone_by_Sentiment!$B$2:$B$37,Phone_by_Sentiment!E$2:E$37,"",0,1)),_xlfn.XLOOKUP($C73,Phone_by_Sentiment!$B$2:$B$37,Phone_by_Sentiment!E$2:E$37,"",0,1),0),$A73-TEXT(DATEVALUE($D73&amp;"-01"), "dd-mm-yyyy")),0),0)</f>
        <v>0</v>
      </c>
      <c r="F73" cm="1">
        <f t="array" ref="F73">IF($Q73&gt;=0,IFERROR(generateSalesData($D73, IF(ISNUMBER(_xlfn.XLOOKUP($C73,Phone_by_Sentiment!$B$2:$B$37,Phone_by_Sentiment!F$2:F$37,"",0,1)),_xlfn.XLOOKUP($C73,Phone_by_Sentiment!$B$2:$B$37,Phone_by_Sentiment!F$2:F$37,"",0,1),0),$A73-TEXT(DATEVALUE($D73&amp;"-01"), "dd-mm-yyyy")),0),0)</f>
        <v>0</v>
      </c>
      <c r="G73" cm="1">
        <f t="array" ref="G73">IF($Q73&gt;=0,IFERROR(generateSalesData($D73, IF(ISNUMBER(_xlfn.XLOOKUP($C73,Phone_by_Sentiment!$B$2:$B$37,Phone_by_Sentiment!G$2:G$37,"",0,1)),_xlfn.XLOOKUP($C73,Phone_by_Sentiment!$B$2:$B$37,Phone_by_Sentiment!G$2:G$37,"",0,1),0),$A73-TEXT(DATEVALUE($D73&amp;"-01"), "dd-mm-yyyy")),0),0)</f>
        <v>0</v>
      </c>
      <c r="H73" cm="1">
        <f t="array" ref="H73">IF($Q73&gt;=0,IFERROR(generateSalesData($D73, IF(ISNUMBER(_xlfn.XLOOKUP($C73,Phone_by_Sentiment!$B$2:$B$37,Phone_by_Sentiment!H$2:H$37,"",0,1)),_xlfn.XLOOKUP($C73,Phone_by_Sentiment!$B$2:$B$37,Phone_by_Sentiment!H$2:H$37,"",0,1),0),$A73-TEXT(DATEVALUE($D73&amp;"-01"), "dd-mm-yyyy")),0),0)</f>
        <v>0</v>
      </c>
      <c r="I73" cm="1">
        <f t="array" ref="I73">IF($Q73&gt;=0,IFERROR(generateSalesData($D73, IF(ISNUMBER(_xlfn.XLOOKUP($C73,Phone_by_Sentiment!$B$2:$B$37,Phone_by_Sentiment!I$2:I$37,"",0,1)),_xlfn.XLOOKUP($C73,Phone_by_Sentiment!$B$2:$B$37,Phone_by_Sentiment!I$2:I$37,"",0,1),0),$A73-TEXT(DATEVALUE($D73&amp;"-01"), "dd-mm-yyyy")),0),0)</f>
        <v>0</v>
      </c>
      <c r="J73" cm="1">
        <f t="array" ref="J73">IF($Q73&gt;=0,IFERROR(generateSalesData($D73, IF(ISNUMBER(_xlfn.XLOOKUP($C73,Phone_by_Sentiment!$B$2:$B$37,Phone_by_Sentiment!J$2:J$37,"",0,1)),_xlfn.XLOOKUP($C73,Phone_by_Sentiment!$B$2:$B$37,Phone_by_Sentiment!J$2:J$37,"",0,1),0),$A73-TEXT(DATEVALUE($D73&amp;"-01"), "dd-mm-yyyy")),0),0)</f>
        <v>0</v>
      </c>
      <c r="K73" cm="1">
        <f t="array" ref="K73">IF($Q73&gt;=0,IFERROR(generateSalesData($D73, IF(ISNUMBER(_xlfn.XLOOKUP($C73,Phone_by_Sentiment!$B$2:$B$37,Phone_by_Sentiment!K$2:K$37,"",0,1)),_xlfn.XLOOKUP($C73,Phone_by_Sentiment!$B$2:$B$37,Phone_by_Sentiment!K$2:K$37,"",0,1),0),$A73-TEXT(DATEVALUE($D73&amp;"-01"), "dd-mm-yyyy")),0),0)</f>
        <v>0</v>
      </c>
      <c r="L73" cm="1">
        <f t="array" ref="L73">IF($Q73&gt;=0,IFERROR(generateSalesData($D73, IF(ISNUMBER(_xlfn.XLOOKUP($C73,Phone_by_Sentiment!$B$2:$B$37,Phone_by_Sentiment!L$2:L$37,"",0,1)),_xlfn.XLOOKUP($C73,Phone_by_Sentiment!$B$2:$B$37,Phone_by_Sentiment!L$2:L$37,"",0,1),0),$A73-TEXT(DATEVALUE($D73&amp;"-01"), "dd-mm-yyyy")),0),0)</f>
        <v>0</v>
      </c>
      <c r="M73" cm="1">
        <f t="array" ref="M73">IF($Q73&gt;=0,IFERROR(generateSalesData($D73, IF(ISNUMBER(_xlfn.XLOOKUP($C73,Phone_by_Sentiment!$B$2:$B$37,Phone_by_Sentiment!M$2:M$37,"",0,1)),_xlfn.XLOOKUP($C73,Phone_by_Sentiment!$B$2:$B$37,Phone_by_Sentiment!M$2:M$37,"",0,1),0),$A73-TEXT(DATEVALUE($D73&amp;"-01"), "dd-mm-yyyy")),0),0)</f>
        <v>0</v>
      </c>
      <c r="N73" cm="1">
        <f t="array" ref="N73">IF($Q73&gt;=0,IFERROR(generateSalesData($D73, IF(ISNUMBER(_xlfn.XLOOKUP($C73,Phone_by_Sentiment!$B$2:$B$37,Phone_by_Sentiment!N$2:N$37,"",0,1)),_xlfn.XLOOKUP($C73,Phone_by_Sentiment!$B$2:$B$37,Phone_by_Sentiment!N$2:N$37,"",0,1),0),$A73-TEXT(DATEVALUE($D73&amp;"-01"), "dd-mm-yyyy")),0),0)</f>
        <v>0</v>
      </c>
      <c r="O73" cm="1">
        <f t="array" ref="O73">IF($Q73&gt;=0,IFERROR(generateSalesData($D73, IF(ISNUMBER(_xlfn.XLOOKUP($C73,Phone_by_Sentiment!$B$2:$B$37,Phone_by_Sentiment!O$2:O$37,"",0,1)),_xlfn.XLOOKUP($C73,Phone_by_Sentiment!$B$2:$B$37,Phone_by_Sentiment!O$2:O$37,"",0,1),0),$A73-TEXT(DATEVALUE($D73&amp;"-01"), "dd-mm-yyyy")),0),0)</f>
        <v>0</v>
      </c>
      <c r="P73" s="1">
        <f t="shared" si="3"/>
        <v>44075</v>
      </c>
      <c r="Q73">
        <f t="shared" si="4"/>
        <v>-550</v>
      </c>
    </row>
    <row r="74" spans="1:17" x14ac:dyDescent="0.25">
      <c r="A74" s="1">
        <f t="shared" si="0"/>
        <v>43525</v>
      </c>
      <c r="B74" t="s">
        <v>147</v>
      </c>
      <c r="C74" t="str">
        <f>_xlfn.XLOOKUP(B74,Phone_by_Price!$A$2:$A$34,Phone_by_Price!$B$2:$B$34,"-",0,1)</f>
        <v>Huawei Y9a</v>
      </c>
      <c r="D74" t="str">
        <f>_xlfn.XLOOKUP(C74,Phone_by_Sentiment!$B$2:$B$37,Phone_by_Sentiment!$A$2:$A$37,"-",0,1)</f>
        <v>2020-02</v>
      </c>
      <c r="E74" cm="1">
        <f t="array" ref="E74">IF($Q74&gt;=0,IFERROR(generateSalesData($D74, IF(ISNUMBER(_xlfn.XLOOKUP($C74,Phone_by_Sentiment!$B$2:$B$37,Phone_by_Sentiment!E$2:E$37,"",0,1)),_xlfn.XLOOKUP($C74,Phone_by_Sentiment!$B$2:$B$37,Phone_by_Sentiment!E$2:E$37,"",0,1),0),$A74-TEXT(DATEVALUE($D74&amp;"-01"), "dd-mm-yyyy")),0),0)</f>
        <v>0</v>
      </c>
      <c r="F74" cm="1">
        <f t="array" ref="F74">IF($Q74&gt;=0,IFERROR(generateSalesData($D74, IF(ISNUMBER(_xlfn.XLOOKUP($C74,Phone_by_Sentiment!$B$2:$B$37,Phone_by_Sentiment!F$2:F$37,"",0,1)),_xlfn.XLOOKUP($C74,Phone_by_Sentiment!$B$2:$B$37,Phone_by_Sentiment!F$2:F$37,"",0,1),0),$A74-TEXT(DATEVALUE($D74&amp;"-01"), "dd-mm-yyyy")),0),0)</f>
        <v>0</v>
      </c>
      <c r="G74" cm="1">
        <f t="array" ref="G74">IF($Q74&gt;=0,IFERROR(generateSalesData($D74, IF(ISNUMBER(_xlfn.XLOOKUP($C74,Phone_by_Sentiment!$B$2:$B$37,Phone_by_Sentiment!G$2:G$37,"",0,1)),_xlfn.XLOOKUP($C74,Phone_by_Sentiment!$B$2:$B$37,Phone_by_Sentiment!G$2:G$37,"",0,1),0),$A74-TEXT(DATEVALUE($D74&amp;"-01"), "dd-mm-yyyy")),0),0)</f>
        <v>0</v>
      </c>
      <c r="H74" cm="1">
        <f t="array" ref="H74">IF($Q74&gt;=0,IFERROR(generateSalesData($D74, IF(ISNUMBER(_xlfn.XLOOKUP($C74,Phone_by_Sentiment!$B$2:$B$37,Phone_by_Sentiment!H$2:H$37,"",0,1)),_xlfn.XLOOKUP($C74,Phone_by_Sentiment!$B$2:$B$37,Phone_by_Sentiment!H$2:H$37,"",0,1),0),$A74-TEXT(DATEVALUE($D74&amp;"-01"), "dd-mm-yyyy")),0),0)</f>
        <v>0</v>
      </c>
      <c r="I74" cm="1">
        <f t="array" ref="I74">IF($Q74&gt;=0,IFERROR(generateSalesData($D74, IF(ISNUMBER(_xlfn.XLOOKUP($C74,Phone_by_Sentiment!$B$2:$B$37,Phone_by_Sentiment!I$2:I$37,"",0,1)),_xlfn.XLOOKUP($C74,Phone_by_Sentiment!$B$2:$B$37,Phone_by_Sentiment!I$2:I$37,"",0,1),0),$A74-TEXT(DATEVALUE($D74&amp;"-01"), "dd-mm-yyyy")),0),0)</f>
        <v>0</v>
      </c>
      <c r="J74" cm="1">
        <f t="array" ref="J74">IF($Q74&gt;=0,IFERROR(generateSalesData($D74, IF(ISNUMBER(_xlfn.XLOOKUP($C74,Phone_by_Sentiment!$B$2:$B$37,Phone_by_Sentiment!J$2:J$37,"",0,1)),_xlfn.XLOOKUP($C74,Phone_by_Sentiment!$B$2:$B$37,Phone_by_Sentiment!J$2:J$37,"",0,1),0),$A74-TEXT(DATEVALUE($D74&amp;"-01"), "dd-mm-yyyy")),0),0)</f>
        <v>0</v>
      </c>
      <c r="K74" cm="1">
        <f t="array" ref="K74">IF($Q74&gt;=0,IFERROR(generateSalesData($D74, IF(ISNUMBER(_xlfn.XLOOKUP($C74,Phone_by_Sentiment!$B$2:$B$37,Phone_by_Sentiment!K$2:K$37,"",0,1)),_xlfn.XLOOKUP($C74,Phone_by_Sentiment!$B$2:$B$37,Phone_by_Sentiment!K$2:K$37,"",0,1),0),$A74-TEXT(DATEVALUE($D74&amp;"-01"), "dd-mm-yyyy")),0),0)</f>
        <v>0</v>
      </c>
      <c r="L74" cm="1">
        <f t="array" ref="L74">IF($Q74&gt;=0,IFERROR(generateSalesData($D74, IF(ISNUMBER(_xlfn.XLOOKUP($C74,Phone_by_Sentiment!$B$2:$B$37,Phone_by_Sentiment!L$2:L$37,"",0,1)),_xlfn.XLOOKUP($C74,Phone_by_Sentiment!$B$2:$B$37,Phone_by_Sentiment!L$2:L$37,"",0,1),0),$A74-TEXT(DATEVALUE($D74&amp;"-01"), "dd-mm-yyyy")),0),0)</f>
        <v>0</v>
      </c>
      <c r="M74" cm="1">
        <f t="array" ref="M74">IF($Q74&gt;=0,IFERROR(generateSalesData($D74, IF(ISNUMBER(_xlfn.XLOOKUP($C74,Phone_by_Sentiment!$B$2:$B$37,Phone_by_Sentiment!M$2:M$37,"",0,1)),_xlfn.XLOOKUP($C74,Phone_by_Sentiment!$B$2:$B$37,Phone_by_Sentiment!M$2:M$37,"",0,1),0),$A74-TEXT(DATEVALUE($D74&amp;"-01"), "dd-mm-yyyy")),0),0)</f>
        <v>0</v>
      </c>
      <c r="N74" cm="1">
        <f t="array" ref="N74">IF($Q74&gt;=0,IFERROR(generateSalesData($D74, IF(ISNUMBER(_xlfn.XLOOKUP($C74,Phone_by_Sentiment!$B$2:$B$37,Phone_by_Sentiment!N$2:N$37,"",0,1)),_xlfn.XLOOKUP($C74,Phone_by_Sentiment!$B$2:$B$37,Phone_by_Sentiment!N$2:N$37,"",0,1),0),$A74-TEXT(DATEVALUE($D74&amp;"-01"), "dd-mm-yyyy")),0),0)</f>
        <v>0</v>
      </c>
      <c r="O74" cm="1">
        <f t="array" ref="O74">IF($Q74&gt;=0,IFERROR(generateSalesData($D74, IF(ISNUMBER(_xlfn.XLOOKUP($C74,Phone_by_Sentiment!$B$2:$B$37,Phone_by_Sentiment!O$2:O$37,"",0,1)),_xlfn.XLOOKUP($C74,Phone_by_Sentiment!$B$2:$B$37,Phone_by_Sentiment!O$2:O$37,"",0,1),0),$A74-TEXT(DATEVALUE($D74&amp;"-01"), "dd-mm-yyyy")),0),0)</f>
        <v>0</v>
      </c>
      <c r="P74" s="1">
        <f t="shared" si="3"/>
        <v>43862</v>
      </c>
      <c r="Q74">
        <f t="shared" si="4"/>
        <v>-337</v>
      </c>
    </row>
    <row r="75" spans="1:17" x14ac:dyDescent="0.25">
      <c r="A75" s="1">
        <f t="shared" si="0"/>
        <v>43525</v>
      </c>
      <c r="B75" t="s">
        <v>148</v>
      </c>
      <c r="C75" t="str">
        <f>_xlfn.XLOOKUP(B75,Phone_by_Price!$A$2:$A$34,Phone_by_Price!$B$2:$B$34,"-",0,1)</f>
        <v>Xiaomi Redmi 10</v>
      </c>
      <c r="D75" t="str">
        <f>_xlfn.XLOOKUP(C75,Phone_by_Sentiment!$B$2:$B$37,Phone_by_Sentiment!$A$2:$A$37,"-",0,1)</f>
        <v>2021-03</v>
      </c>
      <c r="E75" cm="1">
        <f t="array" ref="E75">IF($Q75&gt;=0,IFERROR(generateSalesData($D75, IF(ISNUMBER(_xlfn.XLOOKUP($C75,Phone_by_Sentiment!$B$2:$B$37,Phone_by_Sentiment!E$2:E$37,"",0,1)),_xlfn.XLOOKUP($C75,Phone_by_Sentiment!$B$2:$B$37,Phone_by_Sentiment!E$2:E$37,"",0,1),0),$A75-TEXT(DATEVALUE($D75&amp;"-01"), "dd-mm-yyyy")),0),0)</f>
        <v>0</v>
      </c>
      <c r="F75" cm="1">
        <f t="array" ref="F75">IF($Q75&gt;=0,IFERROR(generateSalesData($D75, IF(ISNUMBER(_xlfn.XLOOKUP($C75,Phone_by_Sentiment!$B$2:$B$37,Phone_by_Sentiment!F$2:F$37,"",0,1)),_xlfn.XLOOKUP($C75,Phone_by_Sentiment!$B$2:$B$37,Phone_by_Sentiment!F$2:F$37,"",0,1),0),$A75-TEXT(DATEVALUE($D75&amp;"-01"), "dd-mm-yyyy")),0),0)</f>
        <v>0</v>
      </c>
      <c r="G75" cm="1">
        <f t="array" ref="G75">IF($Q75&gt;=0,IFERROR(generateSalesData($D75, IF(ISNUMBER(_xlfn.XLOOKUP($C75,Phone_by_Sentiment!$B$2:$B$37,Phone_by_Sentiment!G$2:G$37,"",0,1)),_xlfn.XLOOKUP($C75,Phone_by_Sentiment!$B$2:$B$37,Phone_by_Sentiment!G$2:G$37,"",0,1),0),$A75-TEXT(DATEVALUE($D75&amp;"-01"), "dd-mm-yyyy")),0),0)</f>
        <v>0</v>
      </c>
      <c r="H75" cm="1">
        <f t="array" ref="H75">IF($Q75&gt;=0,IFERROR(generateSalesData($D75, IF(ISNUMBER(_xlfn.XLOOKUP($C75,Phone_by_Sentiment!$B$2:$B$37,Phone_by_Sentiment!H$2:H$37,"",0,1)),_xlfn.XLOOKUP($C75,Phone_by_Sentiment!$B$2:$B$37,Phone_by_Sentiment!H$2:H$37,"",0,1),0),$A75-TEXT(DATEVALUE($D75&amp;"-01"), "dd-mm-yyyy")),0),0)</f>
        <v>0</v>
      </c>
      <c r="I75" cm="1">
        <f t="array" ref="I75">IF($Q75&gt;=0,IFERROR(generateSalesData($D75, IF(ISNUMBER(_xlfn.XLOOKUP($C75,Phone_by_Sentiment!$B$2:$B$37,Phone_by_Sentiment!I$2:I$37,"",0,1)),_xlfn.XLOOKUP($C75,Phone_by_Sentiment!$B$2:$B$37,Phone_by_Sentiment!I$2:I$37,"",0,1),0),$A75-TEXT(DATEVALUE($D75&amp;"-01"), "dd-mm-yyyy")),0),0)</f>
        <v>0</v>
      </c>
      <c r="J75" cm="1">
        <f t="array" ref="J75">IF($Q75&gt;=0,IFERROR(generateSalesData($D75, IF(ISNUMBER(_xlfn.XLOOKUP($C75,Phone_by_Sentiment!$B$2:$B$37,Phone_by_Sentiment!J$2:J$37,"",0,1)),_xlfn.XLOOKUP($C75,Phone_by_Sentiment!$B$2:$B$37,Phone_by_Sentiment!J$2:J$37,"",0,1),0),$A75-TEXT(DATEVALUE($D75&amp;"-01"), "dd-mm-yyyy")),0),0)</f>
        <v>0</v>
      </c>
      <c r="K75" cm="1">
        <f t="array" ref="K75">IF($Q75&gt;=0,IFERROR(generateSalesData($D75, IF(ISNUMBER(_xlfn.XLOOKUP($C75,Phone_by_Sentiment!$B$2:$B$37,Phone_by_Sentiment!K$2:K$37,"",0,1)),_xlfn.XLOOKUP($C75,Phone_by_Sentiment!$B$2:$B$37,Phone_by_Sentiment!K$2:K$37,"",0,1),0),$A75-TEXT(DATEVALUE($D75&amp;"-01"), "dd-mm-yyyy")),0),0)</f>
        <v>0</v>
      </c>
      <c r="L75" cm="1">
        <f t="array" ref="L75">IF($Q75&gt;=0,IFERROR(generateSalesData($D75, IF(ISNUMBER(_xlfn.XLOOKUP($C75,Phone_by_Sentiment!$B$2:$B$37,Phone_by_Sentiment!L$2:L$37,"",0,1)),_xlfn.XLOOKUP($C75,Phone_by_Sentiment!$B$2:$B$37,Phone_by_Sentiment!L$2:L$37,"",0,1),0),$A75-TEXT(DATEVALUE($D75&amp;"-01"), "dd-mm-yyyy")),0),0)</f>
        <v>0</v>
      </c>
      <c r="M75" cm="1">
        <f t="array" ref="M75">IF($Q75&gt;=0,IFERROR(generateSalesData($D75, IF(ISNUMBER(_xlfn.XLOOKUP($C75,Phone_by_Sentiment!$B$2:$B$37,Phone_by_Sentiment!M$2:M$37,"",0,1)),_xlfn.XLOOKUP($C75,Phone_by_Sentiment!$B$2:$B$37,Phone_by_Sentiment!M$2:M$37,"",0,1),0),$A75-TEXT(DATEVALUE($D75&amp;"-01"), "dd-mm-yyyy")),0),0)</f>
        <v>0</v>
      </c>
      <c r="N75" cm="1">
        <f t="array" ref="N75">IF($Q75&gt;=0,IFERROR(generateSalesData($D75, IF(ISNUMBER(_xlfn.XLOOKUP($C75,Phone_by_Sentiment!$B$2:$B$37,Phone_by_Sentiment!N$2:N$37,"",0,1)),_xlfn.XLOOKUP($C75,Phone_by_Sentiment!$B$2:$B$37,Phone_by_Sentiment!N$2:N$37,"",0,1),0),$A75-TEXT(DATEVALUE($D75&amp;"-01"), "dd-mm-yyyy")),0),0)</f>
        <v>0</v>
      </c>
      <c r="O75" cm="1">
        <f t="array" ref="O75">IF($Q75&gt;=0,IFERROR(generateSalesData($D75, IF(ISNUMBER(_xlfn.XLOOKUP($C75,Phone_by_Sentiment!$B$2:$B$37,Phone_by_Sentiment!O$2:O$37,"",0,1)),_xlfn.XLOOKUP($C75,Phone_by_Sentiment!$B$2:$B$37,Phone_by_Sentiment!O$2:O$37,"",0,1),0),$A75-TEXT(DATEVALUE($D75&amp;"-01"), "dd-mm-yyyy")),0),0)</f>
        <v>0</v>
      </c>
      <c r="P75" s="1">
        <f t="shared" si="3"/>
        <v>44256</v>
      </c>
      <c r="Q75">
        <f t="shared" si="4"/>
        <v>-731</v>
      </c>
    </row>
    <row r="76" spans="1:17" x14ac:dyDescent="0.25">
      <c r="A76" s="1">
        <f t="shared" si="0"/>
        <v>43525</v>
      </c>
      <c r="B76" t="s">
        <v>149</v>
      </c>
      <c r="C76" t="str">
        <f>_xlfn.XLOOKUP(B76,Phone_by_Price!$A$2:$A$34,Phone_by_Price!$B$2:$B$34,"-",0,1)</f>
        <v>Samsung Galaxy A52</v>
      </c>
      <c r="D76" t="str">
        <f>_xlfn.XLOOKUP(C76,Phone_by_Sentiment!$B$2:$B$37,Phone_by_Sentiment!$A$2:$A$37,"-",0,1)</f>
        <v>2021-03</v>
      </c>
      <c r="E76" cm="1">
        <f t="array" ref="E76">IF($Q76&gt;=0,IFERROR(generateSalesData($D76, IF(ISNUMBER(_xlfn.XLOOKUP($C76,Phone_by_Sentiment!$B$2:$B$37,Phone_by_Sentiment!E$2:E$37,"",0,1)),_xlfn.XLOOKUP($C76,Phone_by_Sentiment!$B$2:$B$37,Phone_by_Sentiment!E$2:E$37,"",0,1),0),$A76-TEXT(DATEVALUE($D76&amp;"-01"), "dd-mm-yyyy")),0),0)</f>
        <v>0</v>
      </c>
      <c r="F76" cm="1">
        <f t="array" ref="F76">IF($Q76&gt;=0,IFERROR(generateSalesData($D76, IF(ISNUMBER(_xlfn.XLOOKUP($C76,Phone_by_Sentiment!$B$2:$B$37,Phone_by_Sentiment!F$2:F$37,"",0,1)),_xlfn.XLOOKUP($C76,Phone_by_Sentiment!$B$2:$B$37,Phone_by_Sentiment!F$2:F$37,"",0,1),0),$A76-TEXT(DATEVALUE($D76&amp;"-01"), "dd-mm-yyyy")),0),0)</f>
        <v>0</v>
      </c>
      <c r="G76" cm="1">
        <f t="array" ref="G76">IF($Q76&gt;=0,IFERROR(generateSalesData($D76, IF(ISNUMBER(_xlfn.XLOOKUP($C76,Phone_by_Sentiment!$B$2:$B$37,Phone_by_Sentiment!G$2:G$37,"",0,1)),_xlfn.XLOOKUP($C76,Phone_by_Sentiment!$B$2:$B$37,Phone_by_Sentiment!G$2:G$37,"",0,1),0),$A76-TEXT(DATEVALUE($D76&amp;"-01"), "dd-mm-yyyy")),0),0)</f>
        <v>0</v>
      </c>
      <c r="H76" cm="1">
        <f t="array" ref="H76">IF($Q76&gt;=0,IFERROR(generateSalesData($D76, IF(ISNUMBER(_xlfn.XLOOKUP($C76,Phone_by_Sentiment!$B$2:$B$37,Phone_by_Sentiment!H$2:H$37,"",0,1)),_xlfn.XLOOKUP($C76,Phone_by_Sentiment!$B$2:$B$37,Phone_by_Sentiment!H$2:H$37,"",0,1),0),$A76-TEXT(DATEVALUE($D76&amp;"-01"), "dd-mm-yyyy")),0),0)</f>
        <v>0</v>
      </c>
      <c r="I76" cm="1">
        <f t="array" ref="I76">IF($Q76&gt;=0,IFERROR(generateSalesData($D76, IF(ISNUMBER(_xlfn.XLOOKUP($C76,Phone_by_Sentiment!$B$2:$B$37,Phone_by_Sentiment!I$2:I$37,"",0,1)),_xlfn.XLOOKUP($C76,Phone_by_Sentiment!$B$2:$B$37,Phone_by_Sentiment!I$2:I$37,"",0,1),0),$A76-TEXT(DATEVALUE($D76&amp;"-01"), "dd-mm-yyyy")),0),0)</f>
        <v>0</v>
      </c>
      <c r="J76" cm="1">
        <f t="array" ref="J76">IF($Q76&gt;=0,IFERROR(generateSalesData($D76, IF(ISNUMBER(_xlfn.XLOOKUP($C76,Phone_by_Sentiment!$B$2:$B$37,Phone_by_Sentiment!J$2:J$37,"",0,1)),_xlfn.XLOOKUP($C76,Phone_by_Sentiment!$B$2:$B$37,Phone_by_Sentiment!J$2:J$37,"",0,1),0),$A76-TEXT(DATEVALUE($D76&amp;"-01"), "dd-mm-yyyy")),0),0)</f>
        <v>0</v>
      </c>
      <c r="K76" cm="1">
        <f t="array" ref="K76">IF($Q76&gt;=0,IFERROR(generateSalesData($D76, IF(ISNUMBER(_xlfn.XLOOKUP($C76,Phone_by_Sentiment!$B$2:$B$37,Phone_by_Sentiment!K$2:K$37,"",0,1)),_xlfn.XLOOKUP($C76,Phone_by_Sentiment!$B$2:$B$37,Phone_by_Sentiment!K$2:K$37,"",0,1),0),$A76-TEXT(DATEVALUE($D76&amp;"-01"), "dd-mm-yyyy")),0),0)</f>
        <v>0</v>
      </c>
      <c r="L76" cm="1">
        <f t="array" ref="L76">IF($Q76&gt;=0,IFERROR(generateSalesData($D76, IF(ISNUMBER(_xlfn.XLOOKUP($C76,Phone_by_Sentiment!$B$2:$B$37,Phone_by_Sentiment!L$2:L$37,"",0,1)),_xlfn.XLOOKUP($C76,Phone_by_Sentiment!$B$2:$B$37,Phone_by_Sentiment!L$2:L$37,"",0,1),0),$A76-TEXT(DATEVALUE($D76&amp;"-01"), "dd-mm-yyyy")),0),0)</f>
        <v>0</v>
      </c>
      <c r="M76" cm="1">
        <f t="array" ref="M76">IF($Q76&gt;=0,IFERROR(generateSalesData($D76, IF(ISNUMBER(_xlfn.XLOOKUP($C76,Phone_by_Sentiment!$B$2:$B$37,Phone_by_Sentiment!M$2:M$37,"",0,1)),_xlfn.XLOOKUP($C76,Phone_by_Sentiment!$B$2:$B$37,Phone_by_Sentiment!M$2:M$37,"",0,1),0),$A76-TEXT(DATEVALUE($D76&amp;"-01"), "dd-mm-yyyy")),0),0)</f>
        <v>0</v>
      </c>
      <c r="N76" cm="1">
        <f t="array" ref="N76">IF($Q76&gt;=0,IFERROR(generateSalesData($D76, IF(ISNUMBER(_xlfn.XLOOKUP($C76,Phone_by_Sentiment!$B$2:$B$37,Phone_by_Sentiment!N$2:N$37,"",0,1)),_xlfn.XLOOKUP($C76,Phone_by_Sentiment!$B$2:$B$37,Phone_by_Sentiment!N$2:N$37,"",0,1),0),$A76-TEXT(DATEVALUE($D76&amp;"-01"), "dd-mm-yyyy")),0),0)</f>
        <v>0</v>
      </c>
      <c r="O76" cm="1">
        <f t="array" ref="O76">IF($Q76&gt;=0,IFERROR(generateSalesData($D76, IF(ISNUMBER(_xlfn.XLOOKUP($C76,Phone_by_Sentiment!$B$2:$B$37,Phone_by_Sentiment!O$2:O$37,"",0,1)),_xlfn.XLOOKUP($C76,Phone_by_Sentiment!$B$2:$B$37,Phone_by_Sentiment!O$2:O$37,"",0,1),0),$A76-TEXT(DATEVALUE($D76&amp;"-01"), "dd-mm-yyyy")),0),0)</f>
        <v>0</v>
      </c>
      <c r="P76" s="1">
        <f t="shared" si="3"/>
        <v>44256</v>
      </c>
      <c r="Q76">
        <f t="shared" si="4"/>
        <v>-731</v>
      </c>
    </row>
    <row r="77" spans="1:17" x14ac:dyDescent="0.25">
      <c r="A77" s="1">
        <f t="shared" si="0"/>
        <v>43525</v>
      </c>
      <c r="B77" t="s">
        <v>150</v>
      </c>
      <c r="C77" t="str">
        <f>_xlfn.XLOOKUP(B77,Phone_by_Price!$A$2:$A$34,Phone_by_Price!$B$2:$B$34,"-",0,1)</f>
        <v>Vivo Y33s</v>
      </c>
      <c r="D77" t="str">
        <f>_xlfn.XLOOKUP(C77,Phone_by_Sentiment!$B$2:$B$37,Phone_by_Sentiment!$A$2:$A$37,"-",0,1)</f>
        <v>2021-05</v>
      </c>
      <c r="E77" cm="1">
        <f t="array" ref="E77">IF($Q77&gt;=0,IFERROR(generateSalesData($D77, IF(ISNUMBER(_xlfn.XLOOKUP($C77,Phone_by_Sentiment!$B$2:$B$37,Phone_by_Sentiment!E$2:E$37,"",0,1)),_xlfn.XLOOKUP($C77,Phone_by_Sentiment!$B$2:$B$37,Phone_by_Sentiment!E$2:E$37,"",0,1),0),$A77-TEXT(DATEVALUE($D77&amp;"-01"), "dd-mm-yyyy")),0),0)</f>
        <v>0</v>
      </c>
      <c r="F77" cm="1">
        <f t="array" ref="F77">IF($Q77&gt;=0,IFERROR(generateSalesData($D77, IF(ISNUMBER(_xlfn.XLOOKUP($C77,Phone_by_Sentiment!$B$2:$B$37,Phone_by_Sentiment!F$2:F$37,"",0,1)),_xlfn.XLOOKUP($C77,Phone_by_Sentiment!$B$2:$B$37,Phone_by_Sentiment!F$2:F$37,"",0,1),0),$A77-TEXT(DATEVALUE($D77&amp;"-01"), "dd-mm-yyyy")),0),0)</f>
        <v>0</v>
      </c>
      <c r="G77" cm="1">
        <f t="array" ref="G77">IF($Q77&gt;=0,IFERROR(generateSalesData($D77, IF(ISNUMBER(_xlfn.XLOOKUP($C77,Phone_by_Sentiment!$B$2:$B$37,Phone_by_Sentiment!G$2:G$37,"",0,1)),_xlfn.XLOOKUP($C77,Phone_by_Sentiment!$B$2:$B$37,Phone_by_Sentiment!G$2:G$37,"",0,1),0),$A77-TEXT(DATEVALUE($D77&amp;"-01"), "dd-mm-yyyy")),0),0)</f>
        <v>0</v>
      </c>
      <c r="H77" cm="1">
        <f t="array" ref="H77">IF($Q77&gt;=0,IFERROR(generateSalesData($D77, IF(ISNUMBER(_xlfn.XLOOKUP($C77,Phone_by_Sentiment!$B$2:$B$37,Phone_by_Sentiment!H$2:H$37,"",0,1)),_xlfn.XLOOKUP($C77,Phone_by_Sentiment!$B$2:$B$37,Phone_by_Sentiment!H$2:H$37,"",0,1),0),$A77-TEXT(DATEVALUE($D77&amp;"-01"), "dd-mm-yyyy")),0),0)</f>
        <v>0</v>
      </c>
      <c r="I77" cm="1">
        <f t="array" ref="I77">IF($Q77&gt;=0,IFERROR(generateSalesData($D77, IF(ISNUMBER(_xlfn.XLOOKUP($C77,Phone_by_Sentiment!$B$2:$B$37,Phone_by_Sentiment!I$2:I$37,"",0,1)),_xlfn.XLOOKUP($C77,Phone_by_Sentiment!$B$2:$B$37,Phone_by_Sentiment!I$2:I$37,"",0,1),0),$A77-TEXT(DATEVALUE($D77&amp;"-01"), "dd-mm-yyyy")),0),0)</f>
        <v>0</v>
      </c>
      <c r="J77" cm="1">
        <f t="array" ref="J77">IF($Q77&gt;=0,IFERROR(generateSalesData($D77, IF(ISNUMBER(_xlfn.XLOOKUP($C77,Phone_by_Sentiment!$B$2:$B$37,Phone_by_Sentiment!J$2:J$37,"",0,1)),_xlfn.XLOOKUP($C77,Phone_by_Sentiment!$B$2:$B$37,Phone_by_Sentiment!J$2:J$37,"",0,1),0),$A77-TEXT(DATEVALUE($D77&amp;"-01"), "dd-mm-yyyy")),0),0)</f>
        <v>0</v>
      </c>
      <c r="K77" cm="1">
        <f t="array" ref="K77">IF($Q77&gt;=0,IFERROR(generateSalesData($D77, IF(ISNUMBER(_xlfn.XLOOKUP($C77,Phone_by_Sentiment!$B$2:$B$37,Phone_by_Sentiment!K$2:K$37,"",0,1)),_xlfn.XLOOKUP($C77,Phone_by_Sentiment!$B$2:$B$37,Phone_by_Sentiment!K$2:K$37,"",0,1),0),$A77-TEXT(DATEVALUE($D77&amp;"-01"), "dd-mm-yyyy")),0),0)</f>
        <v>0</v>
      </c>
      <c r="L77" cm="1">
        <f t="array" ref="L77">IF($Q77&gt;=0,IFERROR(generateSalesData($D77, IF(ISNUMBER(_xlfn.XLOOKUP($C77,Phone_by_Sentiment!$B$2:$B$37,Phone_by_Sentiment!L$2:L$37,"",0,1)),_xlfn.XLOOKUP($C77,Phone_by_Sentiment!$B$2:$B$37,Phone_by_Sentiment!L$2:L$37,"",0,1),0),$A77-TEXT(DATEVALUE($D77&amp;"-01"), "dd-mm-yyyy")),0),0)</f>
        <v>0</v>
      </c>
      <c r="M77" cm="1">
        <f t="array" ref="M77">IF($Q77&gt;=0,IFERROR(generateSalesData($D77, IF(ISNUMBER(_xlfn.XLOOKUP($C77,Phone_by_Sentiment!$B$2:$B$37,Phone_by_Sentiment!M$2:M$37,"",0,1)),_xlfn.XLOOKUP($C77,Phone_by_Sentiment!$B$2:$B$37,Phone_by_Sentiment!M$2:M$37,"",0,1),0),$A77-TEXT(DATEVALUE($D77&amp;"-01"), "dd-mm-yyyy")),0),0)</f>
        <v>0</v>
      </c>
      <c r="N77" cm="1">
        <f t="array" ref="N77">IF($Q77&gt;=0,IFERROR(generateSalesData($D77, IF(ISNUMBER(_xlfn.XLOOKUP($C77,Phone_by_Sentiment!$B$2:$B$37,Phone_by_Sentiment!N$2:N$37,"",0,1)),_xlfn.XLOOKUP($C77,Phone_by_Sentiment!$B$2:$B$37,Phone_by_Sentiment!N$2:N$37,"",0,1),0),$A77-TEXT(DATEVALUE($D77&amp;"-01"), "dd-mm-yyyy")),0),0)</f>
        <v>0</v>
      </c>
      <c r="O77" cm="1">
        <f t="array" ref="O77">IF($Q77&gt;=0,IFERROR(generateSalesData($D77, IF(ISNUMBER(_xlfn.XLOOKUP($C77,Phone_by_Sentiment!$B$2:$B$37,Phone_by_Sentiment!O$2:O$37,"",0,1)),_xlfn.XLOOKUP($C77,Phone_by_Sentiment!$B$2:$B$37,Phone_by_Sentiment!O$2:O$37,"",0,1),0),$A77-TEXT(DATEVALUE($D77&amp;"-01"), "dd-mm-yyyy")),0),0)</f>
        <v>0</v>
      </c>
      <c r="P77" s="1">
        <f t="shared" si="3"/>
        <v>44317</v>
      </c>
      <c r="Q77">
        <f t="shared" si="4"/>
        <v>-792</v>
      </c>
    </row>
    <row r="78" spans="1:17" x14ac:dyDescent="0.25">
      <c r="A78" s="1">
        <f t="shared" si="0"/>
        <v>43525</v>
      </c>
      <c r="B78" t="s">
        <v>151</v>
      </c>
      <c r="C78" t="str">
        <f>_xlfn.XLOOKUP(B78,Phone_by_Price!$A$2:$A$34,Phone_by_Price!$B$2:$B$34,"-",0,1)</f>
        <v>Vivo Y11s</v>
      </c>
      <c r="D78" t="str">
        <f>_xlfn.XLOOKUP(C78,Phone_by_Sentiment!$B$2:$B$37,Phone_by_Sentiment!$A$2:$A$37,"-",0,1)</f>
        <v>2020-11</v>
      </c>
      <c r="E78" cm="1">
        <f t="array" ref="E78">IF($Q78&gt;=0,IFERROR(generateSalesData($D78, IF(ISNUMBER(_xlfn.XLOOKUP($C78,Phone_by_Sentiment!$B$2:$B$37,Phone_by_Sentiment!E$2:E$37,"",0,1)),_xlfn.XLOOKUP($C78,Phone_by_Sentiment!$B$2:$B$37,Phone_by_Sentiment!E$2:E$37,"",0,1),0),$A78-TEXT(DATEVALUE($D78&amp;"-01"), "dd-mm-yyyy")),0),0)</f>
        <v>0</v>
      </c>
      <c r="F78" cm="1">
        <f t="array" ref="F78">IF($Q78&gt;=0,IFERROR(generateSalesData($D78, IF(ISNUMBER(_xlfn.XLOOKUP($C78,Phone_by_Sentiment!$B$2:$B$37,Phone_by_Sentiment!F$2:F$37,"",0,1)),_xlfn.XLOOKUP($C78,Phone_by_Sentiment!$B$2:$B$37,Phone_by_Sentiment!F$2:F$37,"",0,1),0),$A78-TEXT(DATEVALUE($D78&amp;"-01"), "dd-mm-yyyy")),0),0)</f>
        <v>0</v>
      </c>
      <c r="G78" cm="1">
        <f t="array" ref="G78">IF($Q78&gt;=0,IFERROR(generateSalesData($D78, IF(ISNUMBER(_xlfn.XLOOKUP($C78,Phone_by_Sentiment!$B$2:$B$37,Phone_by_Sentiment!G$2:G$37,"",0,1)),_xlfn.XLOOKUP($C78,Phone_by_Sentiment!$B$2:$B$37,Phone_by_Sentiment!G$2:G$37,"",0,1),0),$A78-TEXT(DATEVALUE($D78&amp;"-01"), "dd-mm-yyyy")),0),0)</f>
        <v>0</v>
      </c>
      <c r="H78" cm="1">
        <f t="array" ref="H78">IF($Q78&gt;=0,IFERROR(generateSalesData($D78, IF(ISNUMBER(_xlfn.XLOOKUP($C78,Phone_by_Sentiment!$B$2:$B$37,Phone_by_Sentiment!H$2:H$37,"",0,1)),_xlfn.XLOOKUP($C78,Phone_by_Sentiment!$B$2:$B$37,Phone_by_Sentiment!H$2:H$37,"",0,1),0),$A78-TEXT(DATEVALUE($D78&amp;"-01"), "dd-mm-yyyy")),0),0)</f>
        <v>0</v>
      </c>
      <c r="I78" cm="1">
        <f t="array" ref="I78">IF($Q78&gt;=0,IFERROR(generateSalesData($D78, IF(ISNUMBER(_xlfn.XLOOKUP($C78,Phone_by_Sentiment!$B$2:$B$37,Phone_by_Sentiment!I$2:I$37,"",0,1)),_xlfn.XLOOKUP($C78,Phone_by_Sentiment!$B$2:$B$37,Phone_by_Sentiment!I$2:I$37,"",0,1),0),$A78-TEXT(DATEVALUE($D78&amp;"-01"), "dd-mm-yyyy")),0),0)</f>
        <v>0</v>
      </c>
      <c r="J78" cm="1">
        <f t="array" ref="J78">IF($Q78&gt;=0,IFERROR(generateSalesData($D78, IF(ISNUMBER(_xlfn.XLOOKUP($C78,Phone_by_Sentiment!$B$2:$B$37,Phone_by_Sentiment!J$2:J$37,"",0,1)),_xlfn.XLOOKUP($C78,Phone_by_Sentiment!$B$2:$B$37,Phone_by_Sentiment!J$2:J$37,"",0,1),0),$A78-TEXT(DATEVALUE($D78&amp;"-01"), "dd-mm-yyyy")),0),0)</f>
        <v>0</v>
      </c>
      <c r="K78" cm="1">
        <f t="array" ref="K78">IF($Q78&gt;=0,IFERROR(generateSalesData($D78, IF(ISNUMBER(_xlfn.XLOOKUP($C78,Phone_by_Sentiment!$B$2:$B$37,Phone_by_Sentiment!K$2:K$37,"",0,1)),_xlfn.XLOOKUP($C78,Phone_by_Sentiment!$B$2:$B$37,Phone_by_Sentiment!K$2:K$37,"",0,1),0),$A78-TEXT(DATEVALUE($D78&amp;"-01"), "dd-mm-yyyy")),0),0)</f>
        <v>0</v>
      </c>
      <c r="L78" cm="1">
        <f t="array" ref="L78">IF($Q78&gt;=0,IFERROR(generateSalesData($D78, IF(ISNUMBER(_xlfn.XLOOKUP($C78,Phone_by_Sentiment!$B$2:$B$37,Phone_by_Sentiment!L$2:L$37,"",0,1)),_xlfn.XLOOKUP($C78,Phone_by_Sentiment!$B$2:$B$37,Phone_by_Sentiment!L$2:L$37,"",0,1),0),$A78-TEXT(DATEVALUE($D78&amp;"-01"), "dd-mm-yyyy")),0),0)</f>
        <v>0</v>
      </c>
      <c r="M78" cm="1">
        <f t="array" ref="M78">IF($Q78&gt;=0,IFERROR(generateSalesData($D78, IF(ISNUMBER(_xlfn.XLOOKUP($C78,Phone_by_Sentiment!$B$2:$B$37,Phone_by_Sentiment!M$2:M$37,"",0,1)),_xlfn.XLOOKUP($C78,Phone_by_Sentiment!$B$2:$B$37,Phone_by_Sentiment!M$2:M$37,"",0,1),0),$A78-TEXT(DATEVALUE($D78&amp;"-01"), "dd-mm-yyyy")),0),0)</f>
        <v>0</v>
      </c>
      <c r="N78" cm="1">
        <f t="array" ref="N78">IF($Q78&gt;=0,IFERROR(generateSalesData($D78, IF(ISNUMBER(_xlfn.XLOOKUP($C78,Phone_by_Sentiment!$B$2:$B$37,Phone_by_Sentiment!N$2:N$37,"",0,1)),_xlfn.XLOOKUP($C78,Phone_by_Sentiment!$B$2:$B$37,Phone_by_Sentiment!N$2:N$37,"",0,1),0),$A78-TEXT(DATEVALUE($D78&amp;"-01"), "dd-mm-yyyy")),0),0)</f>
        <v>0</v>
      </c>
      <c r="O78" cm="1">
        <f t="array" ref="O78">IF($Q78&gt;=0,IFERROR(generateSalesData($D78, IF(ISNUMBER(_xlfn.XLOOKUP($C78,Phone_by_Sentiment!$B$2:$B$37,Phone_by_Sentiment!O$2:O$37,"",0,1)),_xlfn.XLOOKUP($C78,Phone_by_Sentiment!$B$2:$B$37,Phone_by_Sentiment!O$2:O$37,"",0,1),0),$A78-TEXT(DATEVALUE($D78&amp;"-01"), "dd-mm-yyyy")),0),0)</f>
        <v>0</v>
      </c>
      <c r="P78" s="1">
        <f t="shared" si="3"/>
        <v>44136</v>
      </c>
      <c r="Q78">
        <f t="shared" si="4"/>
        <v>-611</v>
      </c>
    </row>
    <row r="79" spans="1:17" x14ac:dyDescent="0.25">
      <c r="A79" s="1">
        <f t="shared" si="0"/>
        <v>43525</v>
      </c>
      <c r="B79" t="s">
        <v>152</v>
      </c>
      <c r="C79" t="str">
        <f>_xlfn.XLOOKUP(B79,Phone_by_Price!$A$2:$A$34,Phone_by_Price!$B$2:$B$34,"-",0,1)</f>
        <v>Huawei Nova 7i</v>
      </c>
      <c r="D79" t="str">
        <f>_xlfn.XLOOKUP(C79,Phone_by_Sentiment!$B$2:$B$37,Phone_by_Sentiment!$A$2:$A$37,"-",0,1)</f>
        <v>2020-02</v>
      </c>
      <c r="E79" cm="1">
        <f t="array" ref="E79">IF($Q79&gt;=0,IFERROR(generateSalesData($D79, IF(ISNUMBER(_xlfn.XLOOKUP($C79,Phone_by_Sentiment!$B$2:$B$37,Phone_by_Sentiment!E$2:E$37,"",0,1)),_xlfn.XLOOKUP($C79,Phone_by_Sentiment!$B$2:$B$37,Phone_by_Sentiment!E$2:E$37,"",0,1),0),$A79-TEXT(DATEVALUE($D79&amp;"-01"), "dd-mm-yyyy")),0),0)</f>
        <v>0</v>
      </c>
      <c r="F79" cm="1">
        <f t="array" ref="F79">IF($Q79&gt;=0,IFERROR(generateSalesData($D79, IF(ISNUMBER(_xlfn.XLOOKUP($C79,Phone_by_Sentiment!$B$2:$B$37,Phone_by_Sentiment!F$2:F$37,"",0,1)),_xlfn.XLOOKUP($C79,Phone_by_Sentiment!$B$2:$B$37,Phone_by_Sentiment!F$2:F$37,"",0,1),0),$A79-TEXT(DATEVALUE($D79&amp;"-01"), "dd-mm-yyyy")),0),0)</f>
        <v>0</v>
      </c>
      <c r="G79" cm="1">
        <f t="array" ref="G79">IF($Q79&gt;=0,IFERROR(generateSalesData($D79, IF(ISNUMBER(_xlfn.XLOOKUP($C79,Phone_by_Sentiment!$B$2:$B$37,Phone_by_Sentiment!G$2:G$37,"",0,1)),_xlfn.XLOOKUP($C79,Phone_by_Sentiment!$B$2:$B$37,Phone_by_Sentiment!G$2:G$37,"",0,1),0),$A79-TEXT(DATEVALUE($D79&amp;"-01"), "dd-mm-yyyy")),0),0)</f>
        <v>0</v>
      </c>
      <c r="H79" cm="1">
        <f t="array" ref="H79">IF($Q79&gt;=0,IFERROR(generateSalesData($D79, IF(ISNUMBER(_xlfn.XLOOKUP($C79,Phone_by_Sentiment!$B$2:$B$37,Phone_by_Sentiment!H$2:H$37,"",0,1)),_xlfn.XLOOKUP($C79,Phone_by_Sentiment!$B$2:$B$37,Phone_by_Sentiment!H$2:H$37,"",0,1),0),$A79-TEXT(DATEVALUE($D79&amp;"-01"), "dd-mm-yyyy")),0),0)</f>
        <v>0</v>
      </c>
      <c r="I79" cm="1">
        <f t="array" ref="I79">IF($Q79&gt;=0,IFERROR(generateSalesData($D79, IF(ISNUMBER(_xlfn.XLOOKUP($C79,Phone_by_Sentiment!$B$2:$B$37,Phone_by_Sentiment!I$2:I$37,"",0,1)),_xlfn.XLOOKUP($C79,Phone_by_Sentiment!$B$2:$B$37,Phone_by_Sentiment!I$2:I$37,"",0,1),0),$A79-TEXT(DATEVALUE($D79&amp;"-01"), "dd-mm-yyyy")),0),0)</f>
        <v>0</v>
      </c>
      <c r="J79" cm="1">
        <f t="array" ref="J79">IF($Q79&gt;=0,IFERROR(generateSalesData($D79, IF(ISNUMBER(_xlfn.XLOOKUP($C79,Phone_by_Sentiment!$B$2:$B$37,Phone_by_Sentiment!J$2:J$37,"",0,1)),_xlfn.XLOOKUP($C79,Phone_by_Sentiment!$B$2:$B$37,Phone_by_Sentiment!J$2:J$37,"",0,1),0),$A79-TEXT(DATEVALUE($D79&amp;"-01"), "dd-mm-yyyy")),0),0)</f>
        <v>0</v>
      </c>
      <c r="K79" cm="1">
        <f t="array" ref="K79">IF($Q79&gt;=0,IFERROR(generateSalesData($D79, IF(ISNUMBER(_xlfn.XLOOKUP($C79,Phone_by_Sentiment!$B$2:$B$37,Phone_by_Sentiment!K$2:K$37,"",0,1)),_xlfn.XLOOKUP($C79,Phone_by_Sentiment!$B$2:$B$37,Phone_by_Sentiment!K$2:K$37,"",0,1),0),$A79-TEXT(DATEVALUE($D79&amp;"-01"), "dd-mm-yyyy")),0),0)</f>
        <v>0</v>
      </c>
      <c r="L79" cm="1">
        <f t="array" ref="L79">IF($Q79&gt;=0,IFERROR(generateSalesData($D79, IF(ISNUMBER(_xlfn.XLOOKUP($C79,Phone_by_Sentiment!$B$2:$B$37,Phone_by_Sentiment!L$2:L$37,"",0,1)),_xlfn.XLOOKUP($C79,Phone_by_Sentiment!$B$2:$B$37,Phone_by_Sentiment!L$2:L$37,"",0,1),0),$A79-TEXT(DATEVALUE($D79&amp;"-01"), "dd-mm-yyyy")),0),0)</f>
        <v>0</v>
      </c>
      <c r="M79" cm="1">
        <f t="array" ref="M79">IF($Q79&gt;=0,IFERROR(generateSalesData($D79, IF(ISNUMBER(_xlfn.XLOOKUP($C79,Phone_by_Sentiment!$B$2:$B$37,Phone_by_Sentiment!M$2:M$37,"",0,1)),_xlfn.XLOOKUP($C79,Phone_by_Sentiment!$B$2:$B$37,Phone_by_Sentiment!M$2:M$37,"",0,1),0),$A79-TEXT(DATEVALUE($D79&amp;"-01"), "dd-mm-yyyy")),0),0)</f>
        <v>0</v>
      </c>
      <c r="N79" cm="1">
        <f t="array" ref="N79">IF($Q79&gt;=0,IFERROR(generateSalesData($D79, IF(ISNUMBER(_xlfn.XLOOKUP($C79,Phone_by_Sentiment!$B$2:$B$37,Phone_by_Sentiment!N$2:N$37,"",0,1)),_xlfn.XLOOKUP($C79,Phone_by_Sentiment!$B$2:$B$37,Phone_by_Sentiment!N$2:N$37,"",0,1),0),$A79-TEXT(DATEVALUE($D79&amp;"-01"), "dd-mm-yyyy")),0),0)</f>
        <v>0</v>
      </c>
      <c r="O79" cm="1">
        <f t="array" ref="O79">IF($Q79&gt;=0,IFERROR(generateSalesData($D79, IF(ISNUMBER(_xlfn.XLOOKUP($C79,Phone_by_Sentiment!$B$2:$B$37,Phone_by_Sentiment!O$2:O$37,"",0,1)),_xlfn.XLOOKUP($C79,Phone_by_Sentiment!$B$2:$B$37,Phone_by_Sentiment!O$2:O$37,"",0,1),0),$A79-TEXT(DATEVALUE($D79&amp;"-01"), "dd-mm-yyyy")),0),0)</f>
        <v>0</v>
      </c>
      <c r="P79" s="1">
        <f t="shared" si="3"/>
        <v>43862</v>
      </c>
      <c r="Q79">
        <f t="shared" si="4"/>
        <v>-337</v>
      </c>
    </row>
    <row r="80" spans="1:17" x14ac:dyDescent="0.25">
      <c r="A80" s="1">
        <f t="shared" si="0"/>
        <v>43525</v>
      </c>
      <c r="B80" t="s">
        <v>153</v>
      </c>
      <c r="C80" t="str">
        <f>_xlfn.XLOOKUP(B80,Phone_by_Price!$A$2:$A$34,Phone_by_Price!$B$2:$B$34,"-",0,1)</f>
        <v>iPhone 13</v>
      </c>
      <c r="D80" t="str">
        <f>_xlfn.XLOOKUP(C80,Phone_by_Sentiment!$B$2:$B$37,Phone_by_Sentiment!$A$2:$A$37,"-",0,1)</f>
        <v>2021-09</v>
      </c>
      <c r="E80" cm="1">
        <f t="array" ref="E80">IF($Q80&gt;=0,IFERROR(generateSalesData($D80, IF(ISNUMBER(_xlfn.XLOOKUP($C80,Phone_by_Sentiment!$B$2:$B$37,Phone_by_Sentiment!E$2:E$37,"",0,1)),_xlfn.XLOOKUP($C80,Phone_by_Sentiment!$B$2:$B$37,Phone_by_Sentiment!E$2:E$37,"",0,1),0),$A80-TEXT(DATEVALUE($D80&amp;"-01"), "dd-mm-yyyy")),0),0)</f>
        <v>0</v>
      </c>
      <c r="F80" cm="1">
        <f t="array" ref="F80">IF($Q80&gt;=0,IFERROR(generateSalesData($D80, IF(ISNUMBER(_xlfn.XLOOKUP($C80,Phone_by_Sentiment!$B$2:$B$37,Phone_by_Sentiment!F$2:F$37,"",0,1)),_xlfn.XLOOKUP($C80,Phone_by_Sentiment!$B$2:$B$37,Phone_by_Sentiment!F$2:F$37,"",0,1),0),$A80-TEXT(DATEVALUE($D80&amp;"-01"), "dd-mm-yyyy")),0),0)</f>
        <v>0</v>
      </c>
      <c r="G80" cm="1">
        <f t="array" ref="G80">IF($Q80&gt;=0,IFERROR(generateSalesData($D80, IF(ISNUMBER(_xlfn.XLOOKUP($C80,Phone_by_Sentiment!$B$2:$B$37,Phone_by_Sentiment!G$2:G$37,"",0,1)),_xlfn.XLOOKUP($C80,Phone_by_Sentiment!$B$2:$B$37,Phone_by_Sentiment!G$2:G$37,"",0,1),0),$A80-TEXT(DATEVALUE($D80&amp;"-01"), "dd-mm-yyyy")),0),0)</f>
        <v>0</v>
      </c>
      <c r="H80" cm="1">
        <f t="array" ref="H80">IF($Q80&gt;=0,IFERROR(generateSalesData($D80, IF(ISNUMBER(_xlfn.XLOOKUP($C80,Phone_by_Sentiment!$B$2:$B$37,Phone_by_Sentiment!H$2:H$37,"",0,1)),_xlfn.XLOOKUP($C80,Phone_by_Sentiment!$B$2:$B$37,Phone_by_Sentiment!H$2:H$37,"",0,1),0),$A80-TEXT(DATEVALUE($D80&amp;"-01"), "dd-mm-yyyy")),0),0)</f>
        <v>0</v>
      </c>
      <c r="I80" cm="1">
        <f t="array" ref="I80">IF($Q80&gt;=0,IFERROR(generateSalesData($D80, IF(ISNUMBER(_xlfn.XLOOKUP($C80,Phone_by_Sentiment!$B$2:$B$37,Phone_by_Sentiment!I$2:I$37,"",0,1)),_xlfn.XLOOKUP($C80,Phone_by_Sentiment!$B$2:$B$37,Phone_by_Sentiment!I$2:I$37,"",0,1),0),$A80-TEXT(DATEVALUE($D80&amp;"-01"), "dd-mm-yyyy")),0),0)</f>
        <v>0</v>
      </c>
      <c r="J80" cm="1">
        <f t="array" ref="J80">IF($Q80&gt;=0,IFERROR(generateSalesData($D80, IF(ISNUMBER(_xlfn.XLOOKUP($C80,Phone_by_Sentiment!$B$2:$B$37,Phone_by_Sentiment!J$2:J$37,"",0,1)),_xlfn.XLOOKUP($C80,Phone_by_Sentiment!$B$2:$B$37,Phone_by_Sentiment!J$2:J$37,"",0,1),0),$A80-TEXT(DATEVALUE($D80&amp;"-01"), "dd-mm-yyyy")),0),0)</f>
        <v>0</v>
      </c>
      <c r="K80" cm="1">
        <f t="array" ref="K80">IF($Q80&gt;=0,IFERROR(generateSalesData($D80, IF(ISNUMBER(_xlfn.XLOOKUP($C80,Phone_by_Sentiment!$B$2:$B$37,Phone_by_Sentiment!K$2:K$37,"",0,1)),_xlfn.XLOOKUP($C80,Phone_by_Sentiment!$B$2:$B$37,Phone_by_Sentiment!K$2:K$37,"",0,1),0),$A80-TEXT(DATEVALUE($D80&amp;"-01"), "dd-mm-yyyy")),0),0)</f>
        <v>0</v>
      </c>
      <c r="L80" cm="1">
        <f t="array" ref="L80">IF($Q80&gt;=0,IFERROR(generateSalesData($D80, IF(ISNUMBER(_xlfn.XLOOKUP($C80,Phone_by_Sentiment!$B$2:$B$37,Phone_by_Sentiment!L$2:L$37,"",0,1)),_xlfn.XLOOKUP($C80,Phone_by_Sentiment!$B$2:$B$37,Phone_by_Sentiment!L$2:L$37,"",0,1),0),$A80-TEXT(DATEVALUE($D80&amp;"-01"), "dd-mm-yyyy")),0),0)</f>
        <v>0</v>
      </c>
      <c r="M80" cm="1">
        <f t="array" ref="M80">IF($Q80&gt;=0,IFERROR(generateSalesData($D80, IF(ISNUMBER(_xlfn.XLOOKUP($C80,Phone_by_Sentiment!$B$2:$B$37,Phone_by_Sentiment!M$2:M$37,"",0,1)),_xlfn.XLOOKUP($C80,Phone_by_Sentiment!$B$2:$B$37,Phone_by_Sentiment!M$2:M$37,"",0,1),0),$A80-TEXT(DATEVALUE($D80&amp;"-01"), "dd-mm-yyyy")),0),0)</f>
        <v>0</v>
      </c>
      <c r="N80" cm="1">
        <f t="array" ref="N80">IF($Q80&gt;=0,IFERROR(generateSalesData($D80, IF(ISNUMBER(_xlfn.XLOOKUP($C80,Phone_by_Sentiment!$B$2:$B$37,Phone_by_Sentiment!N$2:N$37,"",0,1)),_xlfn.XLOOKUP($C80,Phone_by_Sentiment!$B$2:$B$37,Phone_by_Sentiment!N$2:N$37,"",0,1),0),$A80-TEXT(DATEVALUE($D80&amp;"-01"), "dd-mm-yyyy")),0),0)</f>
        <v>0</v>
      </c>
      <c r="O80" cm="1">
        <f t="array" ref="O80">IF($Q80&gt;=0,IFERROR(generateSalesData($D80, IF(ISNUMBER(_xlfn.XLOOKUP($C80,Phone_by_Sentiment!$B$2:$B$37,Phone_by_Sentiment!O$2:O$37,"",0,1)),_xlfn.XLOOKUP($C80,Phone_by_Sentiment!$B$2:$B$37,Phone_by_Sentiment!O$2:O$37,"",0,1),0),$A80-TEXT(DATEVALUE($D80&amp;"-01"), "dd-mm-yyyy")),0),0)</f>
        <v>0</v>
      </c>
      <c r="P80" s="1">
        <f t="shared" si="3"/>
        <v>44440</v>
      </c>
      <c r="Q80">
        <f t="shared" si="4"/>
        <v>-915</v>
      </c>
    </row>
    <row r="81" spans="1:17" x14ac:dyDescent="0.25">
      <c r="A81" s="1">
        <f t="shared" si="0"/>
        <v>43525</v>
      </c>
      <c r="B81" t="s">
        <v>154</v>
      </c>
      <c r="C81" t="str">
        <f>_xlfn.XLOOKUP(B81,Phone_by_Price!$A$2:$A$34,Phone_by_Price!$B$2:$B$34,"-",0,1)</f>
        <v>Samsung Galaxy S21</v>
      </c>
      <c r="D81" t="str">
        <f>_xlfn.XLOOKUP(C81,Phone_by_Sentiment!$B$2:$B$37,Phone_by_Sentiment!$A$2:$A$37,"-",0,1)</f>
        <v>2021-01</v>
      </c>
      <c r="E81" cm="1">
        <f t="array" ref="E81">IF($Q81&gt;=0,IFERROR(generateSalesData($D81, IF(ISNUMBER(_xlfn.XLOOKUP($C81,Phone_by_Sentiment!$B$2:$B$37,Phone_by_Sentiment!E$2:E$37,"",0,1)),_xlfn.XLOOKUP($C81,Phone_by_Sentiment!$B$2:$B$37,Phone_by_Sentiment!E$2:E$37,"",0,1),0),$A81-TEXT(DATEVALUE($D81&amp;"-01"), "dd-mm-yyyy")),0),0)</f>
        <v>0</v>
      </c>
      <c r="F81" cm="1">
        <f t="array" ref="F81">IF($Q81&gt;=0,IFERROR(generateSalesData($D81, IF(ISNUMBER(_xlfn.XLOOKUP($C81,Phone_by_Sentiment!$B$2:$B$37,Phone_by_Sentiment!F$2:F$37,"",0,1)),_xlfn.XLOOKUP($C81,Phone_by_Sentiment!$B$2:$B$37,Phone_by_Sentiment!F$2:F$37,"",0,1),0),$A81-TEXT(DATEVALUE($D81&amp;"-01"), "dd-mm-yyyy")),0),0)</f>
        <v>0</v>
      </c>
      <c r="G81" cm="1">
        <f t="array" ref="G81">IF($Q81&gt;=0,IFERROR(generateSalesData($D81, IF(ISNUMBER(_xlfn.XLOOKUP($C81,Phone_by_Sentiment!$B$2:$B$37,Phone_by_Sentiment!G$2:G$37,"",0,1)),_xlfn.XLOOKUP($C81,Phone_by_Sentiment!$B$2:$B$37,Phone_by_Sentiment!G$2:G$37,"",0,1),0),$A81-TEXT(DATEVALUE($D81&amp;"-01"), "dd-mm-yyyy")),0),0)</f>
        <v>0</v>
      </c>
      <c r="H81" cm="1">
        <f t="array" ref="H81">IF($Q81&gt;=0,IFERROR(generateSalesData($D81, IF(ISNUMBER(_xlfn.XLOOKUP($C81,Phone_by_Sentiment!$B$2:$B$37,Phone_by_Sentiment!H$2:H$37,"",0,1)),_xlfn.XLOOKUP($C81,Phone_by_Sentiment!$B$2:$B$37,Phone_by_Sentiment!H$2:H$37,"",0,1),0),$A81-TEXT(DATEVALUE($D81&amp;"-01"), "dd-mm-yyyy")),0),0)</f>
        <v>0</v>
      </c>
      <c r="I81" cm="1">
        <f t="array" ref="I81">IF($Q81&gt;=0,IFERROR(generateSalesData($D81, IF(ISNUMBER(_xlfn.XLOOKUP($C81,Phone_by_Sentiment!$B$2:$B$37,Phone_by_Sentiment!I$2:I$37,"",0,1)),_xlfn.XLOOKUP($C81,Phone_by_Sentiment!$B$2:$B$37,Phone_by_Sentiment!I$2:I$37,"",0,1),0),$A81-TEXT(DATEVALUE($D81&amp;"-01"), "dd-mm-yyyy")),0),0)</f>
        <v>0</v>
      </c>
      <c r="J81" cm="1">
        <f t="array" ref="J81">IF($Q81&gt;=0,IFERROR(generateSalesData($D81, IF(ISNUMBER(_xlfn.XLOOKUP($C81,Phone_by_Sentiment!$B$2:$B$37,Phone_by_Sentiment!J$2:J$37,"",0,1)),_xlfn.XLOOKUP($C81,Phone_by_Sentiment!$B$2:$B$37,Phone_by_Sentiment!J$2:J$37,"",0,1),0),$A81-TEXT(DATEVALUE($D81&amp;"-01"), "dd-mm-yyyy")),0),0)</f>
        <v>0</v>
      </c>
      <c r="K81" cm="1">
        <f t="array" ref="K81">IF($Q81&gt;=0,IFERROR(generateSalesData($D81, IF(ISNUMBER(_xlfn.XLOOKUP($C81,Phone_by_Sentiment!$B$2:$B$37,Phone_by_Sentiment!K$2:K$37,"",0,1)),_xlfn.XLOOKUP($C81,Phone_by_Sentiment!$B$2:$B$37,Phone_by_Sentiment!K$2:K$37,"",0,1),0),$A81-TEXT(DATEVALUE($D81&amp;"-01"), "dd-mm-yyyy")),0),0)</f>
        <v>0</v>
      </c>
      <c r="L81" cm="1">
        <f t="array" ref="L81">IF($Q81&gt;=0,IFERROR(generateSalesData($D81, IF(ISNUMBER(_xlfn.XLOOKUP($C81,Phone_by_Sentiment!$B$2:$B$37,Phone_by_Sentiment!L$2:L$37,"",0,1)),_xlfn.XLOOKUP($C81,Phone_by_Sentiment!$B$2:$B$37,Phone_by_Sentiment!L$2:L$37,"",0,1),0),$A81-TEXT(DATEVALUE($D81&amp;"-01"), "dd-mm-yyyy")),0),0)</f>
        <v>0</v>
      </c>
      <c r="M81" cm="1">
        <f t="array" ref="M81">IF($Q81&gt;=0,IFERROR(generateSalesData($D81, IF(ISNUMBER(_xlfn.XLOOKUP($C81,Phone_by_Sentiment!$B$2:$B$37,Phone_by_Sentiment!M$2:M$37,"",0,1)),_xlfn.XLOOKUP($C81,Phone_by_Sentiment!$B$2:$B$37,Phone_by_Sentiment!M$2:M$37,"",0,1),0),$A81-TEXT(DATEVALUE($D81&amp;"-01"), "dd-mm-yyyy")),0),0)</f>
        <v>0</v>
      </c>
      <c r="N81" cm="1">
        <f t="array" ref="N81">IF($Q81&gt;=0,IFERROR(generateSalesData($D81, IF(ISNUMBER(_xlfn.XLOOKUP($C81,Phone_by_Sentiment!$B$2:$B$37,Phone_by_Sentiment!N$2:N$37,"",0,1)),_xlfn.XLOOKUP($C81,Phone_by_Sentiment!$B$2:$B$37,Phone_by_Sentiment!N$2:N$37,"",0,1),0),$A81-TEXT(DATEVALUE($D81&amp;"-01"), "dd-mm-yyyy")),0),0)</f>
        <v>0</v>
      </c>
      <c r="O81" cm="1">
        <f t="array" ref="O81">IF($Q81&gt;=0,IFERROR(generateSalesData($D81, IF(ISNUMBER(_xlfn.XLOOKUP($C81,Phone_by_Sentiment!$B$2:$B$37,Phone_by_Sentiment!O$2:O$37,"",0,1)),_xlfn.XLOOKUP($C81,Phone_by_Sentiment!$B$2:$B$37,Phone_by_Sentiment!O$2:O$37,"",0,1),0),$A81-TEXT(DATEVALUE($D81&amp;"-01"), "dd-mm-yyyy")),0),0)</f>
        <v>0</v>
      </c>
      <c r="P81" s="1">
        <f t="shared" si="3"/>
        <v>44197</v>
      </c>
      <c r="Q81">
        <f t="shared" si="4"/>
        <v>-672</v>
      </c>
    </row>
    <row r="82" spans="1:17" x14ac:dyDescent="0.25">
      <c r="A82" s="1">
        <f t="shared" si="0"/>
        <v>43525</v>
      </c>
      <c r="B82" t="s">
        <v>155</v>
      </c>
      <c r="C82" t="str">
        <f>_xlfn.XLOOKUP(B82,Phone_by_Price!$A$2:$A$34,Phone_by_Price!$B$2:$B$34,"-",0,1)</f>
        <v>Google Pixel 6</v>
      </c>
      <c r="D82" t="str">
        <f>_xlfn.XLOOKUP(C82,Phone_by_Sentiment!$B$2:$B$37,Phone_by_Sentiment!$A$2:$A$37,"-",0,1)</f>
        <v>2021-10</v>
      </c>
      <c r="E82" cm="1">
        <f t="array" ref="E82">IF($Q82&gt;=0,IFERROR(generateSalesData($D82, IF(ISNUMBER(_xlfn.XLOOKUP($C82,Phone_by_Sentiment!$B$2:$B$37,Phone_by_Sentiment!E$2:E$37,"",0,1)),_xlfn.XLOOKUP($C82,Phone_by_Sentiment!$B$2:$B$37,Phone_by_Sentiment!E$2:E$37,"",0,1),0),$A82-TEXT(DATEVALUE($D82&amp;"-01"), "dd-mm-yyyy")),0),0)</f>
        <v>0</v>
      </c>
      <c r="F82" cm="1">
        <f t="array" ref="F82">IF($Q82&gt;=0,IFERROR(generateSalesData($D82, IF(ISNUMBER(_xlfn.XLOOKUP($C82,Phone_by_Sentiment!$B$2:$B$37,Phone_by_Sentiment!F$2:F$37,"",0,1)),_xlfn.XLOOKUP($C82,Phone_by_Sentiment!$B$2:$B$37,Phone_by_Sentiment!F$2:F$37,"",0,1),0),$A82-TEXT(DATEVALUE($D82&amp;"-01"), "dd-mm-yyyy")),0),0)</f>
        <v>0</v>
      </c>
      <c r="G82" cm="1">
        <f t="array" ref="G82">IF($Q82&gt;=0,IFERROR(generateSalesData($D82, IF(ISNUMBER(_xlfn.XLOOKUP($C82,Phone_by_Sentiment!$B$2:$B$37,Phone_by_Sentiment!G$2:G$37,"",0,1)),_xlfn.XLOOKUP($C82,Phone_by_Sentiment!$B$2:$B$37,Phone_by_Sentiment!G$2:G$37,"",0,1),0),$A82-TEXT(DATEVALUE($D82&amp;"-01"), "dd-mm-yyyy")),0),0)</f>
        <v>0</v>
      </c>
      <c r="H82" cm="1">
        <f t="array" ref="H82">IF($Q82&gt;=0,IFERROR(generateSalesData($D82, IF(ISNUMBER(_xlfn.XLOOKUP($C82,Phone_by_Sentiment!$B$2:$B$37,Phone_by_Sentiment!H$2:H$37,"",0,1)),_xlfn.XLOOKUP($C82,Phone_by_Sentiment!$B$2:$B$37,Phone_by_Sentiment!H$2:H$37,"",0,1),0),$A82-TEXT(DATEVALUE($D82&amp;"-01"), "dd-mm-yyyy")),0),0)</f>
        <v>0</v>
      </c>
      <c r="I82" cm="1">
        <f t="array" ref="I82">IF($Q82&gt;=0,IFERROR(generateSalesData($D82, IF(ISNUMBER(_xlfn.XLOOKUP($C82,Phone_by_Sentiment!$B$2:$B$37,Phone_by_Sentiment!I$2:I$37,"",0,1)),_xlfn.XLOOKUP($C82,Phone_by_Sentiment!$B$2:$B$37,Phone_by_Sentiment!I$2:I$37,"",0,1),0),$A82-TEXT(DATEVALUE($D82&amp;"-01"), "dd-mm-yyyy")),0),0)</f>
        <v>0</v>
      </c>
      <c r="J82" cm="1">
        <f t="array" ref="J82">IF($Q82&gt;=0,IFERROR(generateSalesData($D82, IF(ISNUMBER(_xlfn.XLOOKUP($C82,Phone_by_Sentiment!$B$2:$B$37,Phone_by_Sentiment!J$2:J$37,"",0,1)),_xlfn.XLOOKUP($C82,Phone_by_Sentiment!$B$2:$B$37,Phone_by_Sentiment!J$2:J$37,"",0,1),0),$A82-TEXT(DATEVALUE($D82&amp;"-01"), "dd-mm-yyyy")),0),0)</f>
        <v>0</v>
      </c>
      <c r="K82" cm="1">
        <f t="array" ref="K82">IF($Q82&gt;=0,IFERROR(generateSalesData($D82, IF(ISNUMBER(_xlfn.XLOOKUP($C82,Phone_by_Sentiment!$B$2:$B$37,Phone_by_Sentiment!K$2:K$37,"",0,1)),_xlfn.XLOOKUP($C82,Phone_by_Sentiment!$B$2:$B$37,Phone_by_Sentiment!K$2:K$37,"",0,1),0),$A82-TEXT(DATEVALUE($D82&amp;"-01"), "dd-mm-yyyy")),0),0)</f>
        <v>0</v>
      </c>
      <c r="L82" cm="1">
        <f t="array" ref="L82">IF($Q82&gt;=0,IFERROR(generateSalesData($D82, IF(ISNUMBER(_xlfn.XLOOKUP($C82,Phone_by_Sentiment!$B$2:$B$37,Phone_by_Sentiment!L$2:L$37,"",0,1)),_xlfn.XLOOKUP($C82,Phone_by_Sentiment!$B$2:$B$37,Phone_by_Sentiment!L$2:L$37,"",0,1),0),$A82-TEXT(DATEVALUE($D82&amp;"-01"), "dd-mm-yyyy")),0),0)</f>
        <v>0</v>
      </c>
      <c r="M82" cm="1">
        <f t="array" ref="M82">IF($Q82&gt;=0,IFERROR(generateSalesData($D82, IF(ISNUMBER(_xlfn.XLOOKUP($C82,Phone_by_Sentiment!$B$2:$B$37,Phone_by_Sentiment!M$2:M$37,"",0,1)),_xlfn.XLOOKUP($C82,Phone_by_Sentiment!$B$2:$B$37,Phone_by_Sentiment!M$2:M$37,"",0,1),0),$A82-TEXT(DATEVALUE($D82&amp;"-01"), "dd-mm-yyyy")),0),0)</f>
        <v>0</v>
      </c>
      <c r="N82" cm="1">
        <f t="array" ref="N82">IF($Q82&gt;=0,IFERROR(generateSalesData($D82, IF(ISNUMBER(_xlfn.XLOOKUP($C82,Phone_by_Sentiment!$B$2:$B$37,Phone_by_Sentiment!N$2:N$37,"",0,1)),_xlfn.XLOOKUP($C82,Phone_by_Sentiment!$B$2:$B$37,Phone_by_Sentiment!N$2:N$37,"",0,1),0),$A82-TEXT(DATEVALUE($D82&amp;"-01"), "dd-mm-yyyy")),0),0)</f>
        <v>0</v>
      </c>
      <c r="O82" cm="1">
        <f t="array" ref="O82">IF($Q82&gt;=0,IFERROR(generateSalesData($D82, IF(ISNUMBER(_xlfn.XLOOKUP($C82,Phone_by_Sentiment!$B$2:$B$37,Phone_by_Sentiment!O$2:O$37,"",0,1)),_xlfn.XLOOKUP($C82,Phone_by_Sentiment!$B$2:$B$37,Phone_by_Sentiment!O$2:O$37,"",0,1),0),$A82-TEXT(DATEVALUE($D82&amp;"-01"), "dd-mm-yyyy")),0),0)</f>
        <v>0</v>
      </c>
      <c r="P82" s="1">
        <f t="shared" si="3"/>
        <v>44470</v>
      </c>
      <c r="Q82">
        <f t="shared" si="4"/>
        <v>-945</v>
      </c>
    </row>
    <row r="83" spans="1:17" x14ac:dyDescent="0.25">
      <c r="A83" s="1">
        <f t="shared" si="0"/>
        <v>43525</v>
      </c>
      <c r="B83" t="s">
        <v>156</v>
      </c>
      <c r="C83" t="str">
        <f>_xlfn.XLOOKUP(B83,Phone_by_Price!$A$2:$A$34,Phone_by_Price!$B$2:$B$34,"-",0,1)</f>
        <v>OnePlus Nord CE</v>
      </c>
      <c r="D83" t="str">
        <f>_xlfn.XLOOKUP(C83,Phone_by_Sentiment!$B$2:$B$37,Phone_by_Sentiment!$A$2:$A$37,"-",0,1)</f>
        <v>2021-06</v>
      </c>
      <c r="E83" cm="1">
        <f t="array" ref="E83">IF($Q83&gt;=0,IFERROR(generateSalesData($D83, IF(ISNUMBER(_xlfn.XLOOKUP($C83,Phone_by_Sentiment!$B$2:$B$37,Phone_by_Sentiment!E$2:E$37,"",0,1)),_xlfn.XLOOKUP($C83,Phone_by_Sentiment!$B$2:$B$37,Phone_by_Sentiment!E$2:E$37,"",0,1),0),$A83-TEXT(DATEVALUE($D83&amp;"-01"), "dd-mm-yyyy")),0),0)</f>
        <v>0</v>
      </c>
      <c r="F83" cm="1">
        <f t="array" ref="F83">IF($Q83&gt;=0,IFERROR(generateSalesData($D83, IF(ISNUMBER(_xlfn.XLOOKUP($C83,Phone_by_Sentiment!$B$2:$B$37,Phone_by_Sentiment!F$2:F$37,"",0,1)),_xlfn.XLOOKUP($C83,Phone_by_Sentiment!$B$2:$B$37,Phone_by_Sentiment!F$2:F$37,"",0,1),0),$A83-TEXT(DATEVALUE($D83&amp;"-01"), "dd-mm-yyyy")),0),0)</f>
        <v>0</v>
      </c>
      <c r="G83" cm="1">
        <f t="array" ref="G83">IF($Q83&gt;=0,IFERROR(generateSalesData($D83, IF(ISNUMBER(_xlfn.XLOOKUP($C83,Phone_by_Sentiment!$B$2:$B$37,Phone_by_Sentiment!G$2:G$37,"",0,1)),_xlfn.XLOOKUP($C83,Phone_by_Sentiment!$B$2:$B$37,Phone_by_Sentiment!G$2:G$37,"",0,1),0),$A83-TEXT(DATEVALUE($D83&amp;"-01"), "dd-mm-yyyy")),0),0)</f>
        <v>0</v>
      </c>
      <c r="H83" cm="1">
        <f t="array" ref="H83">IF($Q83&gt;=0,IFERROR(generateSalesData($D83, IF(ISNUMBER(_xlfn.XLOOKUP($C83,Phone_by_Sentiment!$B$2:$B$37,Phone_by_Sentiment!H$2:H$37,"",0,1)),_xlfn.XLOOKUP($C83,Phone_by_Sentiment!$B$2:$B$37,Phone_by_Sentiment!H$2:H$37,"",0,1),0),$A83-TEXT(DATEVALUE($D83&amp;"-01"), "dd-mm-yyyy")),0),0)</f>
        <v>0</v>
      </c>
      <c r="I83" cm="1">
        <f t="array" ref="I83">IF($Q83&gt;=0,IFERROR(generateSalesData($D83, IF(ISNUMBER(_xlfn.XLOOKUP($C83,Phone_by_Sentiment!$B$2:$B$37,Phone_by_Sentiment!I$2:I$37,"",0,1)),_xlfn.XLOOKUP($C83,Phone_by_Sentiment!$B$2:$B$37,Phone_by_Sentiment!I$2:I$37,"",0,1),0),$A83-TEXT(DATEVALUE($D83&amp;"-01"), "dd-mm-yyyy")),0),0)</f>
        <v>0</v>
      </c>
      <c r="J83" cm="1">
        <f t="array" ref="J83">IF($Q83&gt;=0,IFERROR(generateSalesData($D83, IF(ISNUMBER(_xlfn.XLOOKUP($C83,Phone_by_Sentiment!$B$2:$B$37,Phone_by_Sentiment!J$2:J$37,"",0,1)),_xlfn.XLOOKUP($C83,Phone_by_Sentiment!$B$2:$B$37,Phone_by_Sentiment!J$2:J$37,"",0,1),0),$A83-TEXT(DATEVALUE($D83&amp;"-01"), "dd-mm-yyyy")),0),0)</f>
        <v>0</v>
      </c>
      <c r="K83" cm="1">
        <f t="array" ref="K83">IF($Q83&gt;=0,IFERROR(generateSalesData($D83, IF(ISNUMBER(_xlfn.XLOOKUP($C83,Phone_by_Sentiment!$B$2:$B$37,Phone_by_Sentiment!K$2:K$37,"",0,1)),_xlfn.XLOOKUP($C83,Phone_by_Sentiment!$B$2:$B$37,Phone_by_Sentiment!K$2:K$37,"",0,1),0),$A83-TEXT(DATEVALUE($D83&amp;"-01"), "dd-mm-yyyy")),0),0)</f>
        <v>0</v>
      </c>
      <c r="L83" cm="1">
        <f t="array" ref="L83">IF($Q83&gt;=0,IFERROR(generateSalesData($D83, IF(ISNUMBER(_xlfn.XLOOKUP($C83,Phone_by_Sentiment!$B$2:$B$37,Phone_by_Sentiment!L$2:L$37,"",0,1)),_xlfn.XLOOKUP($C83,Phone_by_Sentiment!$B$2:$B$37,Phone_by_Sentiment!L$2:L$37,"",0,1),0),$A83-TEXT(DATEVALUE($D83&amp;"-01"), "dd-mm-yyyy")),0),0)</f>
        <v>0</v>
      </c>
      <c r="M83" cm="1">
        <f t="array" ref="M83">IF($Q83&gt;=0,IFERROR(generateSalesData($D83, IF(ISNUMBER(_xlfn.XLOOKUP($C83,Phone_by_Sentiment!$B$2:$B$37,Phone_by_Sentiment!M$2:M$37,"",0,1)),_xlfn.XLOOKUP($C83,Phone_by_Sentiment!$B$2:$B$37,Phone_by_Sentiment!M$2:M$37,"",0,1),0),$A83-TEXT(DATEVALUE($D83&amp;"-01"), "dd-mm-yyyy")),0),0)</f>
        <v>0</v>
      </c>
      <c r="N83" cm="1">
        <f t="array" ref="N83">IF($Q83&gt;=0,IFERROR(generateSalesData($D83, IF(ISNUMBER(_xlfn.XLOOKUP($C83,Phone_by_Sentiment!$B$2:$B$37,Phone_by_Sentiment!N$2:N$37,"",0,1)),_xlfn.XLOOKUP($C83,Phone_by_Sentiment!$B$2:$B$37,Phone_by_Sentiment!N$2:N$37,"",0,1),0),$A83-TEXT(DATEVALUE($D83&amp;"-01"), "dd-mm-yyyy")),0),0)</f>
        <v>0</v>
      </c>
      <c r="O83" cm="1">
        <f t="array" ref="O83">IF($Q83&gt;=0,IFERROR(generateSalesData($D83, IF(ISNUMBER(_xlfn.XLOOKUP($C83,Phone_by_Sentiment!$B$2:$B$37,Phone_by_Sentiment!O$2:O$37,"",0,1)),_xlfn.XLOOKUP($C83,Phone_by_Sentiment!$B$2:$B$37,Phone_by_Sentiment!O$2:O$37,"",0,1),0),$A83-TEXT(DATEVALUE($D83&amp;"-01"), "dd-mm-yyyy")),0),0)</f>
        <v>0</v>
      </c>
      <c r="P83" s="1">
        <f t="shared" si="3"/>
        <v>44348</v>
      </c>
      <c r="Q83">
        <f t="shared" si="4"/>
        <v>-823</v>
      </c>
    </row>
    <row r="84" spans="1:17" x14ac:dyDescent="0.25">
      <c r="A84" s="1">
        <f t="shared" si="0"/>
        <v>43525</v>
      </c>
      <c r="B84" t="s">
        <v>157</v>
      </c>
      <c r="C84" t="str">
        <f>_xlfn.XLOOKUP(B84,Phone_by_Price!$A$2:$A$34,Phone_by_Price!$B$2:$B$34,"-",0,1)</f>
        <v>Apple iPhone 13 Pro</v>
      </c>
      <c r="D84" t="str">
        <f>_xlfn.XLOOKUP(C84,Phone_by_Sentiment!$B$2:$B$37,Phone_by_Sentiment!$A$2:$A$37,"-",0,1)</f>
        <v>2021-09</v>
      </c>
      <c r="E84" cm="1">
        <f t="array" ref="E84">IF($Q84&gt;=0,IFERROR(generateSalesData($D84, IF(ISNUMBER(_xlfn.XLOOKUP($C84,Phone_by_Sentiment!$B$2:$B$37,Phone_by_Sentiment!E$2:E$37,"",0,1)),_xlfn.XLOOKUP($C84,Phone_by_Sentiment!$B$2:$B$37,Phone_by_Sentiment!E$2:E$37,"",0,1),0),$A84-TEXT(DATEVALUE($D84&amp;"-01"), "dd-mm-yyyy")),0),0)</f>
        <v>0</v>
      </c>
      <c r="F84" cm="1">
        <f t="array" ref="F84">IF($Q84&gt;=0,IFERROR(generateSalesData($D84, IF(ISNUMBER(_xlfn.XLOOKUP($C84,Phone_by_Sentiment!$B$2:$B$37,Phone_by_Sentiment!F$2:F$37,"",0,1)),_xlfn.XLOOKUP($C84,Phone_by_Sentiment!$B$2:$B$37,Phone_by_Sentiment!F$2:F$37,"",0,1),0),$A84-TEXT(DATEVALUE($D84&amp;"-01"), "dd-mm-yyyy")),0),0)</f>
        <v>0</v>
      </c>
      <c r="G84" cm="1">
        <f t="array" ref="G84">IF($Q84&gt;=0,IFERROR(generateSalesData($D84, IF(ISNUMBER(_xlfn.XLOOKUP($C84,Phone_by_Sentiment!$B$2:$B$37,Phone_by_Sentiment!G$2:G$37,"",0,1)),_xlfn.XLOOKUP($C84,Phone_by_Sentiment!$B$2:$B$37,Phone_by_Sentiment!G$2:G$37,"",0,1),0),$A84-TEXT(DATEVALUE($D84&amp;"-01"), "dd-mm-yyyy")),0),0)</f>
        <v>0</v>
      </c>
      <c r="H84" cm="1">
        <f t="array" ref="H84">IF($Q84&gt;=0,IFERROR(generateSalesData($D84, IF(ISNUMBER(_xlfn.XLOOKUP($C84,Phone_by_Sentiment!$B$2:$B$37,Phone_by_Sentiment!H$2:H$37,"",0,1)),_xlfn.XLOOKUP($C84,Phone_by_Sentiment!$B$2:$B$37,Phone_by_Sentiment!H$2:H$37,"",0,1),0),$A84-TEXT(DATEVALUE($D84&amp;"-01"), "dd-mm-yyyy")),0),0)</f>
        <v>0</v>
      </c>
      <c r="I84" cm="1">
        <f t="array" ref="I84">IF($Q84&gt;=0,IFERROR(generateSalesData($D84, IF(ISNUMBER(_xlfn.XLOOKUP($C84,Phone_by_Sentiment!$B$2:$B$37,Phone_by_Sentiment!I$2:I$37,"",0,1)),_xlfn.XLOOKUP($C84,Phone_by_Sentiment!$B$2:$B$37,Phone_by_Sentiment!I$2:I$37,"",0,1),0),$A84-TEXT(DATEVALUE($D84&amp;"-01"), "dd-mm-yyyy")),0),0)</f>
        <v>0</v>
      </c>
      <c r="J84" cm="1">
        <f t="array" ref="J84">IF($Q84&gt;=0,IFERROR(generateSalesData($D84, IF(ISNUMBER(_xlfn.XLOOKUP($C84,Phone_by_Sentiment!$B$2:$B$37,Phone_by_Sentiment!J$2:J$37,"",0,1)),_xlfn.XLOOKUP($C84,Phone_by_Sentiment!$B$2:$B$37,Phone_by_Sentiment!J$2:J$37,"",0,1),0),$A84-TEXT(DATEVALUE($D84&amp;"-01"), "dd-mm-yyyy")),0),0)</f>
        <v>0</v>
      </c>
      <c r="K84" cm="1">
        <f t="array" ref="K84">IF($Q84&gt;=0,IFERROR(generateSalesData($D84, IF(ISNUMBER(_xlfn.XLOOKUP($C84,Phone_by_Sentiment!$B$2:$B$37,Phone_by_Sentiment!K$2:K$37,"",0,1)),_xlfn.XLOOKUP($C84,Phone_by_Sentiment!$B$2:$B$37,Phone_by_Sentiment!K$2:K$37,"",0,1),0),$A84-TEXT(DATEVALUE($D84&amp;"-01"), "dd-mm-yyyy")),0),0)</f>
        <v>0</v>
      </c>
      <c r="L84" cm="1">
        <f t="array" ref="L84">IF($Q84&gt;=0,IFERROR(generateSalesData($D84, IF(ISNUMBER(_xlfn.XLOOKUP($C84,Phone_by_Sentiment!$B$2:$B$37,Phone_by_Sentiment!L$2:L$37,"",0,1)),_xlfn.XLOOKUP($C84,Phone_by_Sentiment!$B$2:$B$37,Phone_by_Sentiment!L$2:L$37,"",0,1),0),$A84-TEXT(DATEVALUE($D84&amp;"-01"), "dd-mm-yyyy")),0),0)</f>
        <v>0</v>
      </c>
      <c r="M84" cm="1">
        <f t="array" ref="M84">IF($Q84&gt;=0,IFERROR(generateSalesData($D84, IF(ISNUMBER(_xlfn.XLOOKUP($C84,Phone_by_Sentiment!$B$2:$B$37,Phone_by_Sentiment!M$2:M$37,"",0,1)),_xlfn.XLOOKUP($C84,Phone_by_Sentiment!$B$2:$B$37,Phone_by_Sentiment!M$2:M$37,"",0,1),0),$A84-TEXT(DATEVALUE($D84&amp;"-01"), "dd-mm-yyyy")),0),0)</f>
        <v>0</v>
      </c>
      <c r="N84" cm="1">
        <f t="array" ref="N84">IF($Q84&gt;=0,IFERROR(generateSalesData($D84, IF(ISNUMBER(_xlfn.XLOOKUP($C84,Phone_by_Sentiment!$B$2:$B$37,Phone_by_Sentiment!N$2:N$37,"",0,1)),_xlfn.XLOOKUP($C84,Phone_by_Sentiment!$B$2:$B$37,Phone_by_Sentiment!N$2:N$37,"",0,1),0),$A84-TEXT(DATEVALUE($D84&amp;"-01"), "dd-mm-yyyy")),0),0)</f>
        <v>0</v>
      </c>
      <c r="O84" cm="1">
        <f t="array" ref="O84">IF($Q84&gt;=0,IFERROR(generateSalesData($D84, IF(ISNUMBER(_xlfn.XLOOKUP($C84,Phone_by_Sentiment!$B$2:$B$37,Phone_by_Sentiment!O$2:O$37,"",0,1)),_xlfn.XLOOKUP($C84,Phone_by_Sentiment!$B$2:$B$37,Phone_by_Sentiment!O$2:O$37,"",0,1),0),$A84-TEXT(DATEVALUE($D84&amp;"-01"), "dd-mm-yyyy")),0),0)</f>
        <v>0</v>
      </c>
      <c r="P84" s="1">
        <f t="shared" si="3"/>
        <v>44440</v>
      </c>
      <c r="Q84">
        <f t="shared" si="4"/>
        <v>-915</v>
      </c>
    </row>
    <row r="85" spans="1:17" x14ac:dyDescent="0.25">
      <c r="A85" s="1">
        <f t="shared" si="0"/>
        <v>43525</v>
      </c>
      <c r="B85" t="s">
        <v>158</v>
      </c>
      <c r="C85" t="str">
        <f>_xlfn.XLOOKUP(B85,Phone_by_Price!$A$2:$A$34,Phone_by_Price!$B$2:$B$34,"-",0,1)</f>
        <v>Samsung Galaxy A32 5G</v>
      </c>
      <c r="D85" t="str">
        <f>_xlfn.XLOOKUP(C85,Phone_by_Sentiment!$B$2:$B$37,Phone_by_Sentiment!$A$2:$A$37,"-",0,1)</f>
        <v>2021-02</v>
      </c>
      <c r="E85" cm="1">
        <f t="array" ref="E85">IF($Q85&gt;=0,IFERROR(generateSalesData($D85, IF(ISNUMBER(_xlfn.XLOOKUP($C85,Phone_by_Sentiment!$B$2:$B$37,Phone_by_Sentiment!E$2:E$37,"",0,1)),_xlfn.XLOOKUP($C85,Phone_by_Sentiment!$B$2:$B$37,Phone_by_Sentiment!E$2:E$37,"",0,1),0),$A85-TEXT(DATEVALUE($D85&amp;"-01"), "dd-mm-yyyy")),0),0)</f>
        <v>0</v>
      </c>
      <c r="F85" cm="1">
        <f t="array" ref="F85">IF($Q85&gt;=0,IFERROR(generateSalesData($D85, IF(ISNUMBER(_xlfn.XLOOKUP($C85,Phone_by_Sentiment!$B$2:$B$37,Phone_by_Sentiment!F$2:F$37,"",0,1)),_xlfn.XLOOKUP($C85,Phone_by_Sentiment!$B$2:$B$37,Phone_by_Sentiment!F$2:F$37,"",0,1),0),$A85-TEXT(DATEVALUE($D85&amp;"-01"), "dd-mm-yyyy")),0),0)</f>
        <v>0</v>
      </c>
      <c r="G85" cm="1">
        <f t="array" ref="G85">IF($Q85&gt;=0,IFERROR(generateSalesData($D85, IF(ISNUMBER(_xlfn.XLOOKUP($C85,Phone_by_Sentiment!$B$2:$B$37,Phone_by_Sentiment!G$2:G$37,"",0,1)),_xlfn.XLOOKUP($C85,Phone_by_Sentiment!$B$2:$B$37,Phone_by_Sentiment!G$2:G$37,"",0,1),0),$A85-TEXT(DATEVALUE($D85&amp;"-01"), "dd-mm-yyyy")),0),0)</f>
        <v>0</v>
      </c>
      <c r="H85" cm="1">
        <f t="array" ref="H85">IF($Q85&gt;=0,IFERROR(generateSalesData($D85, IF(ISNUMBER(_xlfn.XLOOKUP($C85,Phone_by_Sentiment!$B$2:$B$37,Phone_by_Sentiment!H$2:H$37,"",0,1)),_xlfn.XLOOKUP($C85,Phone_by_Sentiment!$B$2:$B$37,Phone_by_Sentiment!H$2:H$37,"",0,1),0),$A85-TEXT(DATEVALUE($D85&amp;"-01"), "dd-mm-yyyy")),0),0)</f>
        <v>0</v>
      </c>
      <c r="I85" cm="1">
        <f t="array" ref="I85">IF($Q85&gt;=0,IFERROR(generateSalesData($D85, IF(ISNUMBER(_xlfn.XLOOKUP($C85,Phone_by_Sentiment!$B$2:$B$37,Phone_by_Sentiment!I$2:I$37,"",0,1)),_xlfn.XLOOKUP($C85,Phone_by_Sentiment!$B$2:$B$37,Phone_by_Sentiment!I$2:I$37,"",0,1),0),$A85-TEXT(DATEVALUE($D85&amp;"-01"), "dd-mm-yyyy")),0),0)</f>
        <v>0</v>
      </c>
      <c r="J85" cm="1">
        <f t="array" ref="J85">IF($Q85&gt;=0,IFERROR(generateSalesData($D85, IF(ISNUMBER(_xlfn.XLOOKUP($C85,Phone_by_Sentiment!$B$2:$B$37,Phone_by_Sentiment!J$2:J$37,"",0,1)),_xlfn.XLOOKUP($C85,Phone_by_Sentiment!$B$2:$B$37,Phone_by_Sentiment!J$2:J$37,"",0,1),0),$A85-TEXT(DATEVALUE($D85&amp;"-01"), "dd-mm-yyyy")),0),0)</f>
        <v>0</v>
      </c>
      <c r="K85" cm="1">
        <f t="array" ref="K85">IF($Q85&gt;=0,IFERROR(generateSalesData($D85, IF(ISNUMBER(_xlfn.XLOOKUP($C85,Phone_by_Sentiment!$B$2:$B$37,Phone_by_Sentiment!K$2:K$37,"",0,1)),_xlfn.XLOOKUP($C85,Phone_by_Sentiment!$B$2:$B$37,Phone_by_Sentiment!K$2:K$37,"",0,1),0),$A85-TEXT(DATEVALUE($D85&amp;"-01"), "dd-mm-yyyy")),0),0)</f>
        <v>0</v>
      </c>
      <c r="L85" cm="1">
        <f t="array" ref="L85">IF($Q85&gt;=0,IFERROR(generateSalesData($D85, IF(ISNUMBER(_xlfn.XLOOKUP($C85,Phone_by_Sentiment!$B$2:$B$37,Phone_by_Sentiment!L$2:L$37,"",0,1)),_xlfn.XLOOKUP($C85,Phone_by_Sentiment!$B$2:$B$37,Phone_by_Sentiment!L$2:L$37,"",0,1),0),$A85-TEXT(DATEVALUE($D85&amp;"-01"), "dd-mm-yyyy")),0),0)</f>
        <v>0</v>
      </c>
      <c r="M85" cm="1">
        <f t="array" ref="M85">IF($Q85&gt;=0,IFERROR(generateSalesData($D85, IF(ISNUMBER(_xlfn.XLOOKUP($C85,Phone_by_Sentiment!$B$2:$B$37,Phone_by_Sentiment!M$2:M$37,"",0,1)),_xlfn.XLOOKUP($C85,Phone_by_Sentiment!$B$2:$B$37,Phone_by_Sentiment!M$2:M$37,"",0,1),0),$A85-TEXT(DATEVALUE($D85&amp;"-01"), "dd-mm-yyyy")),0),0)</f>
        <v>0</v>
      </c>
      <c r="N85" cm="1">
        <f t="array" ref="N85">IF($Q85&gt;=0,IFERROR(generateSalesData($D85, IF(ISNUMBER(_xlfn.XLOOKUP($C85,Phone_by_Sentiment!$B$2:$B$37,Phone_by_Sentiment!N$2:N$37,"",0,1)),_xlfn.XLOOKUP($C85,Phone_by_Sentiment!$B$2:$B$37,Phone_by_Sentiment!N$2:N$37,"",0,1),0),$A85-TEXT(DATEVALUE($D85&amp;"-01"), "dd-mm-yyyy")),0),0)</f>
        <v>0</v>
      </c>
      <c r="O85" cm="1">
        <f t="array" ref="O85">IF($Q85&gt;=0,IFERROR(generateSalesData($D85, IF(ISNUMBER(_xlfn.XLOOKUP($C85,Phone_by_Sentiment!$B$2:$B$37,Phone_by_Sentiment!O$2:O$37,"",0,1)),_xlfn.XLOOKUP($C85,Phone_by_Sentiment!$B$2:$B$37,Phone_by_Sentiment!O$2:O$37,"",0,1),0),$A85-TEXT(DATEVALUE($D85&amp;"-01"), "dd-mm-yyyy")),0),0)</f>
        <v>0</v>
      </c>
      <c r="P85" s="1">
        <f t="shared" si="3"/>
        <v>44228</v>
      </c>
      <c r="Q85">
        <f t="shared" si="4"/>
        <v>-703</v>
      </c>
    </row>
    <row r="86" spans="1:17" x14ac:dyDescent="0.25">
      <c r="A86" s="1">
        <f t="shared" si="0"/>
        <v>43525</v>
      </c>
      <c r="B86" t="s">
        <v>159</v>
      </c>
      <c r="C86" t="str">
        <f>_xlfn.XLOOKUP(B86,Phone_by_Price!$A$2:$A$34,Phone_by_Price!$B$2:$B$34,"-",0,1)</f>
        <v>Realme C25</v>
      </c>
      <c r="D86" t="str">
        <f>_xlfn.XLOOKUP(C86,Phone_by_Sentiment!$B$2:$B$37,Phone_by_Sentiment!$A$2:$A$37,"-",0,1)</f>
        <v>2021-03</v>
      </c>
      <c r="E86" cm="1">
        <f t="array" ref="E86">IF($Q86&gt;=0,IFERROR(generateSalesData($D86, IF(ISNUMBER(_xlfn.XLOOKUP($C86,Phone_by_Sentiment!$B$2:$B$37,Phone_by_Sentiment!E$2:E$37,"",0,1)),_xlfn.XLOOKUP($C86,Phone_by_Sentiment!$B$2:$B$37,Phone_by_Sentiment!E$2:E$37,"",0,1),0),$A86-TEXT(DATEVALUE($D86&amp;"-01"), "dd-mm-yyyy")),0),0)</f>
        <v>0</v>
      </c>
      <c r="F86" cm="1">
        <f t="array" ref="F86">IF($Q86&gt;=0,IFERROR(generateSalesData($D86, IF(ISNUMBER(_xlfn.XLOOKUP($C86,Phone_by_Sentiment!$B$2:$B$37,Phone_by_Sentiment!F$2:F$37,"",0,1)),_xlfn.XLOOKUP($C86,Phone_by_Sentiment!$B$2:$B$37,Phone_by_Sentiment!F$2:F$37,"",0,1),0),$A86-TEXT(DATEVALUE($D86&amp;"-01"), "dd-mm-yyyy")),0),0)</f>
        <v>0</v>
      </c>
      <c r="G86" cm="1">
        <f t="array" ref="G86">IF($Q86&gt;=0,IFERROR(generateSalesData($D86, IF(ISNUMBER(_xlfn.XLOOKUP($C86,Phone_by_Sentiment!$B$2:$B$37,Phone_by_Sentiment!G$2:G$37,"",0,1)),_xlfn.XLOOKUP($C86,Phone_by_Sentiment!$B$2:$B$37,Phone_by_Sentiment!G$2:G$37,"",0,1),0),$A86-TEXT(DATEVALUE($D86&amp;"-01"), "dd-mm-yyyy")),0),0)</f>
        <v>0</v>
      </c>
      <c r="H86" cm="1">
        <f t="array" ref="H86">IF($Q86&gt;=0,IFERROR(generateSalesData($D86, IF(ISNUMBER(_xlfn.XLOOKUP($C86,Phone_by_Sentiment!$B$2:$B$37,Phone_by_Sentiment!H$2:H$37,"",0,1)),_xlfn.XLOOKUP($C86,Phone_by_Sentiment!$B$2:$B$37,Phone_by_Sentiment!H$2:H$37,"",0,1),0),$A86-TEXT(DATEVALUE($D86&amp;"-01"), "dd-mm-yyyy")),0),0)</f>
        <v>0</v>
      </c>
      <c r="I86" cm="1">
        <f t="array" ref="I86">IF($Q86&gt;=0,IFERROR(generateSalesData($D86, IF(ISNUMBER(_xlfn.XLOOKUP($C86,Phone_by_Sentiment!$B$2:$B$37,Phone_by_Sentiment!I$2:I$37,"",0,1)),_xlfn.XLOOKUP($C86,Phone_by_Sentiment!$B$2:$B$37,Phone_by_Sentiment!I$2:I$37,"",0,1),0),$A86-TEXT(DATEVALUE($D86&amp;"-01"), "dd-mm-yyyy")),0),0)</f>
        <v>0</v>
      </c>
      <c r="J86" cm="1">
        <f t="array" ref="J86">IF($Q86&gt;=0,IFERROR(generateSalesData($D86, IF(ISNUMBER(_xlfn.XLOOKUP($C86,Phone_by_Sentiment!$B$2:$B$37,Phone_by_Sentiment!J$2:J$37,"",0,1)),_xlfn.XLOOKUP($C86,Phone_by_Sentiment!$B$2:$B$37,Phone_by_Sentiment!J$2:J$37,"",0,1),0),$A86-TEXT(DATEVALUE($D86&amp;"-01"), "dd-mm-yyyy")),0),0)</f>
        <v>0</v>
      </c>
      <c r="K86" cm="1">
        <f t="array" ref="K86">IF($Q86&gt;=0,IFERROR(generateSalesData($D86, IF(ISNUMBER(_xlfn.XLOOKUP($C86,Phone_by_Sentiment!$B$2:$B$37,Phone_by_Sentiment!K$2:K$37,"",0,1)),_xlfn.XLOOKUP($C86,Phone_by_Sentiment!$B$2:$B$37,Phone_by_Sentiment!K$2:K$37,"",0,1),0),$A86-TEXT(DATEVALUE($D86&amp;"-01"), "dd-mm-yyyy")),0),0)</f>
        <v>0</v>
      </c>
      <c r="L86" cm="1">
        <f t="array" ref="L86">IF($Q86&gt;=0,IFERROR(generateSalesData($D86, IF(ISNUMBER(_xlfn.XLOOKUP($C86,Phone_by_Sentiment!$B$2:$B$37,Phone_by_Sentiment!L$2:L$37,"",0,1)),_xlfn.XLOOKUP($C86,Phone_by_Sentiment!$B$2:$B$37,Phone_by_Sentiment!L$2:L$37,"",0,1),0),$A86-TEXT(DATEVALUE($D86&amp;"-01"), "dd-mm-yyyy")),0),0)</f>
        <v>0</v>
      </c>
      <c r="M86" cm="1">
        <f t="array" ref="M86">IF($Q86&gt;=0,IFERROR(generateSalesData($D86, IF(ISNUMBER(_xlfn.XLOOKUP($C86,Phone_by_Sentiment!$B$2:$B$37,Phone_by_Sentiment!M$2:M$37,"",0,1)),_xlfn.XLOOKUP($C86,Phone_by_Sentiment!$B$2:$B$37,Phone_by_Sentiment!M$2:M$37,"",0,1),0),$A86-TEXT(DATEVALUE($D86&amp;"-01"), "dd-mm-yyyy")),0),0)</f>
        <v>0</v>
      </c>
      <c r="N86" cm="1">
        <f t="array" ref="N86">IF($Q86&gt;=0,IFERROR(generateSalesData($D86, IF(ISNUMBER(_xlfn.XLOOKUP($C86,Phone_by_Sentiment!$B$2:$B$37,Phone_by_Sentiment!N$2:N$37,"",0,1)),_xlfn.XLOOKUP($C86,Phone_by_Sentiment!$B$2:$B$37,Phone_by_Sentiment!N$2:N$37,"",0,1),0),$A86-TEXT(DATEVALUE($D86&amp;"-01"), "dd-mm-yyyy")),0),0)</f>
        <v>0</v>
      </c>
      <c r="O86" cm="1">
        <f t="array" ref="O86">IF($Q86&gt;=0,IFERROR(generateSalesData($D86, IF(ISNUMBER(_xlfn.XLOOKUP($C86,Phone_by_Sentiment!$B$2:$B$37,Phone_by_Sentiment!O$2:O$37,"",0,1)),_xlfn.XLOOKUP($C86,Phone_by_Sentiment!$B$2:$B$37,Phone_by_Sentiment!O$2:O$37,"",0,1),0),$A86-TEXT(DATEVALUE($D86&amp;"-01"), "dd-mm-yyyy")),0),0)</f>
        <v>0</v>
      </c>
      <c r="P86" s="1">
        <f t="shared" si="3"/>
        <v>44256</v>
      </c>
      <c r="Q86">
        <f t="shared" si="4"/>
        <v>-731</v>
      </c>
    </row>
    <row r="87" spans="1:17" x14ac:dyDescent="0.25">
      <c r="A87" s="1">
        <f t="shared" si="0"/>
        <v>43525</v>
      </c>
      <c r="B87" t="s">
        <v>160</v>
      </c>
      <c r="C87" t="str">
        <f>_xlfn.XLOOKUP(B87,Phone_by_Price!$A$2:$A$34,Phone_by_Price!$B$2:$B$34,"-",0,1)</f>
        <v>Xiaomi Poco X3 Pro</v>
      </c>
      <c r="D87" t="str">
        <f>_xlfn.XLOOKUP(C87,Phone_by_Sentiment!$B$2:$B$37,Phone_by_Sentiment!$A$2:$A$37,"-",0,1)</f>
        <v>2021-05</v>
      </c>
      <c r="E87" cm="1">
        <f t="array" ref="E87">IF($Q87&gt;=0,IFERROR(generateSalesData($D87, IF(ISNUMBER(_xlfn.XLOOKUP($C87,Phone_by_Sentiment!$B$2:$B$37,Phone_by_Sentiment!E$2:E$37,"",0,1)),_xlfn.XLOOKUP($C87,Phone_by_Sentiment!$B$2:$B$37,Phone_by_Sentiment!E$2:E$37,"",0,1),0),$A87-TEXT(DATEVALUE($D87&amp;"-01"), "dd-mm-yyyy")),0),0)</f>
        <v>0</v>
      </c>
      <c r="F87" cm="1">
        <f t="array" ref="F87">IF($Q87&gt;=0,IFERROR(generateSalesData($D87, IF(ISNUMBER(_xlfn.XLOOKUP($C87,Phone_by_Sentiment!$B$2:$B$37,Phone_by_Sentiment!F$2:F$37,"",0,1)),_xlfn.XLOOKUP($C87,Phone_by_Sentiment!$B$2:$B$37,Phone_by_Sentiment!F$2:F$37,"",0,1),0),$A87-TEXT(DATEVALUE($D87&amp;"-01"), "dd-mm-yyyy")),0),0)</f>
        <v>0</v>
      </c>
      <c r="G87" cm="1">
        <f t="array" ref="G87">IF($Q87&gt;=0,IFERROR(generateSalesData($D87, IF(ISNUMBER(_xlfn.XLOOKUP($C87,Phone_by_Sentiment!$B$2:$B$37,Phone_by_Sentiment!G$2:G$37,"",0,1)),_xlfn.XLOOKUP($C87,Phone_by_Sentiment!$B$2:$B$37,Phone_by_Sentiment!G$2:G$37,"",0,1),0),$A87-TEXT(DATEVALUE($D87&amp;"-01"), "dd-mm-yyyy")),0),0)</f>
        <v>0</v>
      </c>
      <c r="H87" cm="1">
        <f t="array" ref="H87">IF($Q87&gt;=0,IFERROR(generateSalesData($D87, IF(ISNUMBER(_xlfn.XLOOKUP($C87,Phone_by_Sentiment!$B$2:$B$37,Phone_by_Sentiment!H$2:H$37,"",0,1)),_xlfn.XLOOKUP($C87,Phone_by_Sentiment!$B$2:$B$37,Phone_by_Sentiment!H$2:H$37,"",0,1),0),$A87-TEXT(DATEVALUE($D87&amp;"-01"), "dd-mm-yyyy")),0),0)</f>
        <v>0</v>
      </c>
      <c r="I87" cm="1">
        <f t="array" ref="I87">IF($Q87&gt;=0,IFERROR(generateSalesData($D87, IF(ISNUMBER(_xlfn.XLOOKUP($C87,Phone_by_Sentiment!$B$2:$B$37,Phone_by_Sentiment!I$2:I$37,"",0,1)),_xlfn.XLOOKUP($C87,Phone_by_Sentiment!$B$2:$B$37,Phone_by_Sentiment!I$2:I$37,"",0,1),0),$A87-TEXT(DATEVALUE($D87&amp;"-01"), "dd-mm-yyyy")),0),0)</f>
        <v>0</v>
      </c>
      <c r="J87" cm="1">
        <f t="array" ref="J87">IF($Q87&gt;=0,IFERROR(generateSalesData($D87, IF(ISNUMBER(_xlfn.XLOOKUP($C87,Phone_by_Sentiment!$B$2:$B$37,Phone_by_Sentiment!J$2:J$37,"",0,1)),_xlfn.XLOOKUP($C87,Phone_by_Sentiment!$B$2:$B$37,Phone_by_Sentiment!J$2:J$37,"",0,1),0),$A87-TEXT(DATEVALUE($D87&amp;"-01"), "dd-mm-yyyy")),0),0)</f>
        <v>0</v>
      </c>
      <c r="K87" cm="1">
        <f t="array" ref="K87">IF($Q87&gt;=0,IFERROR(generateSalesData($D87, IF(ISNUMBER(_xlfn.XLOOKUP($C87,Phone_by_Sentiment!$B$2:$B$37,Phone_by_Sentiment!K$2:K$37,"",0,1)),_xlfn.XLOOKUP($C87,Phone_by_Sentiment!$B$2:$B$37,Phone_by_Sentiment!K$2:K$37,"",0,1),0),$A87-TEXT(DATEVALUE($D87&amp;"-01"), "dd-mm-yyyy")),0),0)</f>
        <v>0</v>
      </c>
      <c r="L87" cm="1">
        <f t="array" ref="L87">IF($Q87&gt;=0,IFERROR(generateSalesData($D87, IF(ISNUMBER(_xlfn.XLOOKUP($C87,Phone_by_Sentiment!$B$2:$B$37,Phone_by_Sentiment!L$2:L$37,"",0,1)),_xlfn.XLOOKUP($C87,Phone_by_Sentiment!$B$2:$B$37,Phone_by_Sentiment!L$2:L$37,"",0,1),0),$A87-TEXT(DATEVALUE($D87&amp;"-01"), "dd-mm-yyyy")),0),0)</f>
        <v>0</v>
      </c>
      <c r="M87" cm="1">
        <f t="array" ref="M87">IF($Q87&gt;=0,IFERROR(generateSalesData($D87, IF(ISNUMBER(_xlfn.XLOOKUP($C87,Phone_by_Sentiment!$B$2:$B$37,Phone_by_Sentiment!M$2:M$37,"",0,1)),_xlfn.XLOOKUP($C87,Phone_by_Sentiment!$B$2:$B$37,Phone_by_Sentiment!M$2:M$37,"",0,1),0),$A87-TEXT(DATEVALUE($D87&amp;"-01"), "dd-mm-yyyy")),0),0)</f>
        <v>0</v>
      </c>
      <c r="N87" cm="1">
        <f t="array" ref="N87">IF($Q87&gt;=0,IFERROR(generateSalesData($D87, IF(ISNUMBER(_xlfn.XLOOKUP($C87,Phone_by_Sentiment!$B$2:$B$37,Phone_by_Sentiment!N$2:N$37,"",0,1)),_xlfn.XLOOKUP($C87,Phone_by_Sentiment!$B$2:$B$37,Phone_by_Sentiment!N$2:N$37,"",0,1),0),$A87-TEXT(DATEVALUE($D87&amp;"-01"), "dd-mm-yyyy")),0),0)</f>
        <v>0</v>
      </c>
      <c r="O87" cm="1">
        <f t="array" ref="O87">IF($Q87&gt;=0,IFERROR(generateSalesData($D87, IF(ISNUMBER(_xlfn.XLOOKUP($C87,Phone_by_Sentiment!$B$2:$B$37,Phone_by_Sentiment!O$2:O$37,"",0,1)),_xlfn.XLOOKUP($C87,Phone_by_Sentiment!$B$2:$B$37,Phone_by_Sentiment!O$2:O$37,"",0,1),0),$A87-TEXT(DATEVALUE($D87&amp;"-01"), "dd-mm-yyyy")),0),0)</f>
        <v>0</v>
      </c>
      <c r="P87" s="1">
        <f t="shared" si="3"/>
        <v>44317</v>
      </c>
      <c r="Q87">
        <f t="shared" si="4"/>
        <v>-792</v>
      </c>
    </row>
    <row r="88" spans="1:17" x14ac:dyDescent="0.25">
      <c r="A88" s="1">
        <f t="shared" si="0"/>
        <v>43525</v>
      </c>
      <c r="B88" t="s">
        <v>161</v>
      </c>
      <c r="C88" t="str">
        <f>_xlfn.XLOOKUP(B88,Phone_by_Price!$A$2:$A$34,Phone_by_Price!$B$2:$B$34,"-",0,1)</f>
        <v>Samsung Galaxy Z Flip 3</v>
      </c>
      <c r="D88" t="str">
        <f>_xlfn.XLOOKUP(C88,Phone_by_Sentiment!$B$2:$B$37,Phone_by_Sentiment!$A$2:$A$37,"-",0,1)</f>
        <v>2021-09</v>
      </c>
      <c r="E88" cm="1">
        <f t="array" ref="E88">IF($Q88&gt;=0,IFERROR(generateSalesData($D88, IF(ISNUMBER(_xlfn.XLOOKUP($C88,Phone_by_Sentiment!$B$2:$B$37,Phone_by_Sentiment!E$2:E$37,"",0,1)),_xlfn.XLOOKUP($C88,Phone_by_Sentiment!$B$2:$B$37,Phone_by_Sentiment!E$2:E$37,"",0,1),0),$A88-TEXT(DATEVALUE($D88&amp;"-01"), "dd-mm-yyyy")),0),0)</f>
        <v>0</v>
      </c>
      <c r="F88" cm="1">
        <f t="array" ref="F88">IF($Q88&gt;=0,IFERROR(generateSalesData($D88, IF(ISNUMBER(_xlfn.XLOOKUP($C88,Phone_by_Sentiment!$B$2:$B$37,Phone_by_Sentiment!F$2:F$37,"",0,1)),_xlfn.XLOOKUP($C88,Phone_by_Sentiment!$B$2:$B$37,Phone_by_Sentiment!F$2:F$37,"",0,1),0),$A88-TEXT(DATEVALUE($D88&amp;"-01"), "dd-mm-yyyy")),0),0)</f>
        <v>0</v>
      </c>
      <c r="G88" cm="1">
        <f t="array" ref="G88">IF($Q88&gt;=0,IFERROR(generateSalesData($D88, IF(ISNUMBER(_xlfn.XLOOKUP($C88,Phone_by_Sentiment!$B$2:$B$37,Phone_by_Sentiment!G$2:G$37,"",0,1)),_xlfn.XLOOKUP($C88,Phone_by_Sentiment!$B$2:$B$37,Phone_by_Sentiment!G$2:G$37,"",0,1),0),$A88-TEXT(DATEVALUE($D88&amp;"-01"), "dd-mm-yyyy")),0),0)</f>
        <v>0</v>
      </c>
      <c r="H88" cm="1">
        <f t="array" ref="H88">IF($Q88&gt;=0,IFERROR(generateSalesData($D88, IF(ISNUMBER(_xlfn.XLOOKUP($C88,Phone_by_Sentiment!$B$2:$B$37,Phone_by_Sentiment!H$2:H$37,"",0,1)),_xlfn.XLOOKUP($C88,Phone_by_Sentiment!$B$2:$B$37,Phone_by_Sentiment!H$2:H$37,"",0,1),0),$A88-TEXT(DATEVALUE($D88&amp;"-01"), "dd-mm-yyyy")),0),0)</f>
        <v>0</v>
      </c>
      <c r="I88" cm="1">
        <f t="array" ref="I88">IF($Q88&gt;=0,IFERROR(generateSalesData($D88, IF(ISNUMBER(_xlfn.XLOOKUP($C88,Phone_by_Sentiment!$B$2:$B$37,Phone_by_Sentiment!I$2:I$37,"",0,1)),_xlfn.XLOOKUP($C88,Phone_by_Sentiment!$B$2:$B$37,Phone_by_Sentiment!I$2:I$37,"",0,1),0),$A88-TEXT(DATEVALUE($D88&amp;"-01"), "dd-mm-yyyy")),0),0)</f>
        <v>0</v>
      </c>
      <c r="J88" cm="1">
        <f t="array" ref="J88">IF($Q88&gt;=0,IFERROR(generateSalesData($D88, IF(ISNUMBER(_xlfn.XLOOKUP($C88,Phone_by_Sentiment!$B$2:$B$37,Phone_by_Sentiment!J$2:J$37,"",0,1)),_xlfn.XLOOKUP($C88,Phone_by_Sentiment!$B$2:$B$37,Phone_by_Sentiment!J$2:J$37,"",0,1),0),$A88-TEXT(DATEVALUE($D88&amp;"-01"), "dd-mm-yyyy")),0),0)</f>
        <v>0</v>
      </c>
      <c r="K88" cm="1">
        <f t="array" ref="K88">IF($Q88&gt;=0,IFERROR(generateSalesData($D88, IF(ISNUMBER(_xlfn.XLOOKUP($C88,Phone_by_Sentiment!$B$2:$B$37,Phone_by_Sentiment!K$2:K$37,"",0,1)),_xlfn.XLOOKUP($C88,Phone_by_Sentiment!$B$2:$B$37,Phone_by_Sentiment!K$2:K$37,"",0,1),0),$A88-TEXT(DATEVALUE($D88&amp;"-01"), "dd-mm-yyyy")),0),0)</f>
        <v>0</v>
      </c>
      <c r="L88" cm="1">
        <f t="array" ref="L88">IF($Q88&gt;=0,IFERROR(generateSalesData($D88, IF(ISNUMBER(_xlfn.XLOOKUP($C88,Phone_by_Sentiment!$B$2:$B$37,Phone_by_Sentiment!L$2:L$37,"",0,1)),_xlfn.XLOOKUP($C88,Phone_by_Sentiment!$B$2:$B$37,Phone_by_Sentiment!L$2:L$37,"",0,1),0),$A88-TEXT(DATEVALUE($D88&amp;"-01"), "dd-mm-yyyy")),0),0)</f>
        <v>0</v>
      </c>
      <c r="M88" cm="1">
        <f t="array" ref="M88">IF($Q88&gt;=0,IFERROR(generateSalesData($D88, IF(ISNUMBER(_xlfn.XLOOKUP($C88,Phone_by_Sentiment!$B$2:$B$37,Phone_by_Sentiment!M$2:M$37,"",0,1)),_xlfn.XLOOKUP($C88,Phone_by_Sentiment!$B$2:$B$37,Phone_by_Sentiment!M$2:M$37,"",0,1),0),$A88-TEXT(DATEVALUE($D88&amp;"-01"), "dd-mm-yyyy")),0),0)</f>
        <v>0</v>
      </c>
      <c r="N88" cm="1">
        <f t="array" ref="N88">IF($Q88&gt;=0,IFERROR(generateSalesData($D88, IF(ISNUMBER(_xlfn.XLOOKUP($C88,Phone_by_Sentiment!$B$2:$B$37,Phone_by_Sentiment!N$2:N$37,"",0,1)),_xlfn.XLOOKUP($C88,Phone_by_Sentiment!$B$2:$B$37,Phone_by_Sentiment!N$2:N$37,"",0,1),0),$A88-TEXT(DATEVALUE($D88&amp;"-01"), "dd-mm-yyyy")),0),0)</f>
        <v>0</v>
      </c>
      <c r="O88" cm="1">
        <f t="array" ref="O88">IF($Q88&gt;=0,IFERROR(generateSalesData($D88, IF(ISNUMBER(_xlfn.XLOOKUP($C88,Phone_by_Sentiment!$B$2:$B$37,Phone_by_Sentiment!O$2:O$37,"",0,1)),_xlfn.XLOOKUP($C88,Phone_by_Sentiment!$B$2:$B$37,Phone_by_Sentiment!O$2:O$37,"",0,1),0),$A88-TEXT(DATEVALUE($D88&amp;"-01"), "dd-mm-yyyy")),0),0)</f>
        <v>0</v>
      </c>
      <c r="P88" s="1">
        <f t="shared" si="3"/>
        <v>44440</v>
      </c>
      <c r="Q88">
        <f t="shared" si="4"/>
        <v>-915</v>
      </c>
    </row>
    <row r="89" spans="1:17" x14ac:dyDescent="0.25">
      <c r="A89" s="1">
        <f t="shared" si="0"/>
        <v>43525</v>
      </c>
      <c r="B89" t="s">
        <v>162</v>
      </c>
      <c r="C89" t="str">
        <f>_xlfn.XLOOKUP(B89,Phone_by_Price!$A$2:$A$34,Phone_by_Price!$B$2:$B$34,"-",0,1)</f>
        <v>Xiaomi Poco X3 NFC</v>
      </c>
      <c r="D89" t="str">
        <f>_xlfn.XLOOKUP(C89,Phone_by_Sentiment!$B$2:$B$37,Phone_by_Sentiment!$A$2:$A$37,"-",0,1)</f>
        <v>2020-08</v>
      </c>
      <c r="E89" cm="1">
        <f t="array" ref="E89">IF($Q89&gt;=0,IFERROR(generateSalesData($D89, IF(ISNUMBER(_xlfn.XLOOKUP($C89,Phone_by_Sentiment!$B$2:$B$37,Phone_by_Sentiment!E$2:E$37,"",0,1)),_xlfn.XLOOKUP($C89,Phone_by_Sentiment!$B$2:$B$37,Phone_by_Sentiment!E$2:E$37,"",0,1),0),$A89-TEXT(DATEVALUE($D89&amp;"-01"), "dd-mm-yyyy")),0),0)</f>
        <v>0</v>
      </c>
      <c r="F89" cm="1">
        <f t="array" ref="F89">IF($Q89&gt;=0,IFERROR(generateSalesData($D89, IF(ISNUMBER(_xlfn.XLOOKUP($C89,Phone_by_Sentiment!$B$2:$B$37,Phone_by_Sentiment!F$2:F$37,"",0,1)),_xlfn.XLOOKUP($C89,Phone_by_Sentiment!$B$2:$B$37,Phone_by_Sentiment!F$2:F$37,"",0,1),0),$A89-TEXT(DATEVALUE($D89&amp;"-01"), "dd-mm-yyyy")),0),0)</f>
        <v>0</v>
      </c>
      <c r="G89" cm="1">
        <f t="array" ref="G89">IF($Q89&gt;=0,IFERROR(generateSalesData($D89, IF(ISNUMBER(_xlfn.XLOOKUP($C89,Phone_by_Sentiment!$B$2:$B$37,Phone_by_Sentiment!G$2:G$37,"",0,1)),_xlfn.XLOOKUP($C89,Phone_by_Sentiment!$B$2:$B$37,Phone_by_Sentiment!G$2:G$37,"",0,1),0),$A89-TEXT(DATEVALUE($D89&amp;"-01"), "dd-mm-yyyy")),0),0)</f>
        <v>0</v>
      </c>
      <c r="H89" cm="1">
        <f t="array" ref="H89">IF($Q89&gt;=0,IFERROR(generateSalesData($D89, IF(ISNUMBER(_xlfn.XLOOKUP($C89,Phone_by_Sentiment!$B$2:$B$37,Phone_by_Sentiment!H$2:H$37,"",0,1)),_xlfn.XLOOKUP($C89,Phone_by_Sentiment!$B$2:$B$37,Phone_by_Sentiment!H$2:H$37,"",0,1),0),$A89-TEXT(DATEVALUE($D89&amp;"-01"), "dd-mm-yyyy")),0),0)</f>
        <v>0</v>
      </c>
      <c r="I89" cm="1">
        <f t="array" ref="I89">IF($Q89&gt;=0,IFERROR(generateSalesData($D89, IF(ISNUMBER(_xlfn.XLOOKUP($C89,Phone_by_Sentiment!$B$2:$B$37,Phone_by_Sentiment!I$2:I$37,"",0,1)),_xlfn.XLOOKUP($C89,Phone_by_Sentiment!$B$2:$B$37,Phone_by_Sentiment!I$2:I$37,"",0,1),0),$A89-TEXT(DATEVALUE($D89&amp;"-01"), "dd-mm-yyyy")),0),0)</f>
        <v>0</v>
      </c>
      <c r="J89" cm="1">
        <f t="array" ref="J89">IF($Q89&gt;=0,IFERROR(generateSalesData($D89, IF(ISNUMBER(_xlfn.XLOOKUP($C89,Phone_by_Sentiment!$B$2:$B$37,Phone_by_Sentiment!J$2:J$37,"",0,1)),_xlfn.XLOOKUP($C89,Phone_by_Sentiment!$B$2:$B$37,Phone_by_Sentiment!J$2:J$37,"",0,1),0),$A89-TEXT(DATEVALUE($D89&amp;"-01"), "dd-mm-yyyy")),0),0)</f>
        <v>0</v>
      </c>
      <c r="K89" cm="1">
        <f t="array" ref="K89">IF($Q89&gt;=0,IFERROR(generateSalesData($D89, IF(ISNUMBER(_xlfn.XLOOKUP($C89,Phone_by_Sentiment!$B$2:$B$37,Phone_by_Sentiment!K$2:K$37,"",0,1)),_xlfn.XLOOKUP($C89,Phone_by_Sentiment!$B$2:$B$37,Phone_by_Sentiment!K$2:K$37,"",0,1),0),$A89-TEXT(DATEVALUE($D89&amp;"-01"), "dd-mm-yyyy")),0),0)</f>
        <v>0</v>
      </c>
      <c r="L89" cm="1">
        <f t="array" ref="L89">IF($Q89&gt;=0,IFERROR(generateSalesData($D89, IF(ISNUMBER(_xlfn.XLOOKUP($C89,Phone_by_Sentiment!$B$2:$B$37,Phone_by_Sentiment!L$2:L$37,"",0,1)),_xlfn.XLOOKUP($C89,Phone_by_Sentiment!$B$2:$B$37,Phone_by_Sentiment!L$2:L$37,"",0,1),0),$A89-TEXT(DATEVALUE($D89&amp;"-01"), "dd-mm-yyyy")),0),0)</f>
        <v>0</v>
      </c>
      <c r="M89" cm="1">
        <f t="array" ref="M89">IF($Q89&gt;=0,IFERROR(generateSalesData($D89, IF(ISNUMBER(_xlfn.XLOOKUP($C89,Phone_by_Sentiment!$B$2:$B$37,Phone_by_Sentiment!M$2:M$37,"",0,1)),_xlfn.XLOOKUP($C89,Phone_by_Sentiment!$B$2:$B$37,Phone_by_Sentiment!M$2:M$37,"",0,1),0),$A89-TEXT(DATEVALUE($D89&amp;"-01"), "dd-mm-yyyy")),0),0)</f>
        <v>0</v>
      </c>
      <c r="N89" cm="1">
        <f t="array" ref="N89">IF($Q89&gt;=0,IFERROR(generateSalesData($D89, IF(ISNUMBER(_xlfn.XLOOKUP($C89,Phone_by_Sentiment!$B$2:$B$37,Phone_by_Sentiment!N$2:N$37,"",0,1)),_xlfn.XLOOKUP($C89,Phone_by_Sentiment!$B$2:$B$37,Phone_by_Sentiment!N$2:N$37,"",0,1),0),$A89-TEXT(DATEVALUE($D89&amp;"-01"), "dd-mm-yyyy")),0),0)</f>
        <v>0</v>
      </c>
      <c r="O89" cm="1">
        <f t="array" ref="O89">IF($Q89&gt;=0,IFERROR(generateSalesData($D89, IF(ISNUMBER(_xlfn.XLOOKUP($C89,Phone_by_Sentiment!$B$2:$B$37,Phone_by_Sentiment!O$2:O$37,"",0,1)),_xlfn.XLOOKUP($C89,Phone_by_Sentiment!$B$2:$B$37,Phone_by_Sentiment!O$2:O$37,"",0,1),0),$A89-TEXT(DATEVALUE($D89&amp;"-01"), "dd-mm-yyyy")),0),0)</f>
        <v>0</v>
      </c>
      <c r="P89" s="1">
        <f t="shared" si="3"/>
        <v>44044</v>
      </c>
      <c r="Q89">
        <f t="shared" si="4"/>
        <v>-519</v>
      </c>
    </row>
    <row r="90" spans="1:17" x14ac:dyDescent="0.25">
      <c r="A90" s="1">
        <f t="shared" si="0"/>
        <v>43525</v>
      </c>
      <c r="B90" t="s">
        <v>163</v>
      </c>
      <c r="C90" t="str">
        <f>_xlfn.XLOOKUP(B90,Phone_by_Price!$A$2:$A$34,Phone_by_Price!$B$2:$B$34,"-",0,1)</f>
        <v>OPPO A93</v>
      </c>
      <c r="D90" t="str">
        <f>_xlfn.XLOOKUP(C90,Phone_by_Sentiment!$B$2:$B$37,Phone_by_Sentiment!$A$2:$A$37,"-",0,1)</f>
        <v>2021-02</v>
      </c>
      <c r="E90" cm="1">
        <f t="array" ref="E90">IF($Q90&gt;=0,IFERROR(generateSalesData($D90, IF(ISNUMBER(_xlfn.XLOOKUP($C90,Phone_by_Sentiment!$B$2:$B$37,Phone_by_Sentiment!E$2:E$37,"",0,1)),_xlfn.XLOOKUP($C90,Phone_by_Sentiment!$B$2:$B$37,Phone_by_Sentiment!E$2:E$37,"",0,1),0),$A90-TEXT(DATEVALUE($D90&amp;"-01"), "dd-mm-yyyy")),0),0)</f>
        <v>0</v>
      </c>
      <c r="F90" cm="1">
        <f t="array" ref="F90">IF($Q90&gt;=0,IFERROR(generateSalesData($D90, IF(ISNUMBER(_xlfn.XLOOKUP($C90,Phone_by_Sentiment!$B$2:$B$37,Phone_by_Sentiment!F$2:F$37,"",0,1)),_xlfn.XLOOKUP($C90,Phone_by_Sentiment!$B$2:$B$37,Phone_by_Sentiment!F$2:F$37,"",0,1),0),$A90-TEXT(DATEVALUE($D90&amp;"-01"), "dd-mm-yyyy")),0),0)</f>
        <v>0</v>
      </c>
      <c r="G90" cm="1">
        <f t="array" ref="G90">IF($Q90&gt;=0,IFERROR(generateSalesData($D90, IF(ISNUMBER(_xlfn.XLOOKUP($C90,Phone_by_Sentiment!$B$2:$B$37,Phone_by_Sentiment!G$2:G$37,"",0,1)),_xlfn.XLOOKUP($C90,Phone_by_Sentiment!$B$2:$B$37,Phone_by_Sentiment!G$2:G$37,"",0,1),0),$A90-TEXT(DATEVALUE($D90&amp;"-01"), "dd-mm-yyyy")),0),0)</f>
        <v>0</v>
      </c>
      <c r="H90" cm="1">
        <f t="array" ref="H90">IF($Q90&gt;=0,IFERROR(generateSalesData($D90, IF(ISNUMBER(_xlfn.XLOOKUP($C90,Phone_by_Sentiment!$B$2:$B$37,Phone_by_Sentiment!H$2:H$37,"",0,1)),_xlfn.XLOOKUP($C90,Phone_by_Sentiment!$B$2:$B$37,Phone_by_Sentiment!H$2:H$37,"",0,1),0),$A90-TEXT(DATEVALUE($D90&amp;"-01"), "dd-mm-yyyy")),0),0)</f>
        <v>0</v>
      </c>
      <c r="I90" cm="1">
        <f t="array" ref="I90">IF($Q90&gt;=0,IFERROR(generateSalesData($D90, IF(ISNUMBER(_xlfn.XLOOKUP($C90,Phone_by_Sentiment!$B$2:$B$37,Phone_by_Sentiment!I$2:I$37,"",0,1)),_xlfn.XLOOKUP($C90,Phone_by_Sentiment!$B$2:$B$37,Phone_by_Sentiment!I$2:I$37,"",0,1),0),$A90-TEXT(DATEVALUE($D90&amp;"-01"), "dd-mm-yyyy")),0),0)</f>
        <v>0</v>
      </c>
      <c r="J90" cm="1">
        <f t="array" ref="J90">IF($Q90&gt;=0,IFERROR(generateSalesData($D90, IF(ISNUMBER(_xlfn.XLOOKUP($C90,Phone_by_Sentiment!$B$2:$B$37,Phone_by_Sentiment!J$2:J$37,"",0,1)),_xlfn.XLOOKUP($C90,Phone_by_Sentiment!$B$2:$B$37,Phone_by_Sentiment!J$2:J$37,"",0,1),0),$A90-TEXT(DATEVALUE($D90&amp;"-01"), "dd-mm-yyyy")),0),0)</f>
        <v>0</v>
      </c>
      <c r="K90" cm="1">
        <f t="array" ref="K90">IF($Q90&gt;=0,IFERROR(generateSalesData($D90, IF(ISNUMBER(_xlfn.XLOOKUP($C90,Phone_by_Sentiment!$B$2:$B$37,Phone_by_Sentiment!K$2:K$37,"",0,1)),_xlfn.XLOOKUP($C90,Phone_by_Sentiment!$B$2:$B$37,Phone_by_Sentiment!K$2:K$37,"",0,1),0),$A90-TEXT(DATEVALUE($D90&amp;"-01"), "dd-mm-yyyy")),0),0)</f>
        <v>0</v>
      </c>
      <c r="L90" cm="1">
        <f t="array" ref="L90">IF($Q90&gt;=0,IFERROR(generateSalesData($D90, IF(ISNUMBER(_xlfn.XLOOKUP($C90,Phone_by_Sentiment!$B$2:$B$37,Phone_by_Sentiment!L$2:L$37,"",0,1)),_xlfn.XLOOKUP($C90,Phone_by_Sentiment!$B$2:$B$37,Phone_by_Sentiment!L$2:L$37,"",0,1),0),$A90-TEXT(DATEVALUE($D90&amp;"-01"), "dd-mm-yyyy")),0),0)</f>
        <v>0</v>
      </c>
      <c r="M90" cm="1">
        <f t="array" ref="M90">IF($Q90&gt;=0,IFERROR(generateSalesData($D90, IF(ISNUMBER(_xlfn.XLOOKUP($C90,Phone_by_Sentiment!$B$2:$B$37,Phone_by_Sentiment!M$2:M$37,"",0,1)),_xlfn.XLOOKUP($C90,Phone_by_Sentiment!$B$2:$B$37,Phone_by_Sentiment!M$2:M$37,"",0,1),0),$A90-TEXT(DATEVALUE($D90&amp;"-01"), "dd-mm-yyyy")),0),0)</f>
        <v>0</v>
      </c>
      <c r="N90" cm="1">
        <f t="array" ref="N90">IF($Q90&gt;=0,IFERROR(generateSalesData($D90, IF(ISNUMBER(_xlfn.XLOOKUP($C90,Phone_by_Sentiment!$B$2:$B$37,Phone_by_Sentiment!N$2:N$37,"",0,1)),_xlfn.XLOOKUP($C90,Phone_by_Sentiment!$B$2:$B$37,Phone_by_Sentiment!N$2:N$37,"",0,1),0),$A90-TEXT(DATEVALUE($D90&amp;"-01"), "dd-mm-yyyy")),0),0)</f>
        <v>0</v>
      </c>
      <c r="O90" cm="1">
        <f t="array" ref="O90">IF($Q90&gt;=0,IFERROR(generateSalesData($D90, IF(ISNUMBER(_xlfn.XLOOKUP($C90,Phone_by_Sentiment!$B$2:$B$37,Phone_by_Sentiment!O$2:O$37,"",0,1)),_xlfn.XLOOKUP($C90,Phone_by_Sentiment!$B$2:$B$37,Phone_by_Sentiment!O$2:O$37,"",0,1),0),$A90-TEXT(DATEVALUE($D90&amp;"-01"), "dd-mm-yyyy")),0),0)</f>
        <v>0</v>
      </c>
      <c r="P90" s="1">
        <f t="shared" si="3"/>
        <v>44228</v>
      </c>
      <c r="Q90">
        <f t="shared" si="4"/>
        <v>-703</v>
      </c>
    </row>
    <row r="91" spans="1:17" x14ac:dyDescent="0.25">
      <c r="A91" s="1">
        <f t="shared" si="0"/>
        <v>43525</v>
      </c>
      <c r="B91" t="s">
        <v>164</v>
      </c>
      <c r="C91" t="str">
        <f>_xlfn.XLOOKUP(B91,Phone_by_Price!$A$2:$A$34,Phone_by_Price!$B$2:$B$34,"-",0,1)</f>
        <v>Vivo V20</v>
      </c>
      <c r="D91" t="str">
        <f>_xlfn.XLOOKUP(C91,Phone_by_Sentiment!$B$2:$B$37,Phone_by_Sentiment!$A$2:$A$37,"-",0,1)</f>
        <v>2020-10</v>
      </c>
      <c r="E91" cm="1">
        <f t="array" ref="E91">IF($Q91&gt;=0,IFERROR(generateSalesData($D91, IF(ISNUMBER(_xlfn.XLOOKUP($C91,Phone_by_Sentiment!$B$2:$B$37,Phone_by_Sentiment!E$2:E$37,"",0,1)),_xlfn.XLOOKUP($C91,Phone_by_Sentiment!$B$2:$B$37,Phone_by_Sentiment!E$2:E$37,"",0,1),0),$A91-TEXT(DATEVALUE($D91&amp;"-01"), "dd-mm-yyyy")),0),0)</f>
        <v>0</v>
      </c>
      <c r="F91" cm="1">
        <f t="array" ref="F91">IF($Q91&gt;=0,IFERROR(generateSalesData($D91, IF(ISNUMBER(_xlfn.XLOOKUP($C91,Phone_by_Sentiment!$B$2:$B$37,Phone_by_Sentiment!F$2:F$37,"",0,1)),_xlfn.XLOOKUP($C91,Phone_by_Sentiment!$B$2:$B$37,Phone_by_Sentiment!F$2:F$37,"",0,1),0),$A91-TEXT(DATEVALUE($D91&amp;"-01"), "dd-mm-yyyy")),0),0)</f>
        <v>0</v>
      </c>
      <c r="G91" cm="1">
        <f t="array" ref="G91">IF($Q91&gt;=0,IFERROR(generateSalesData($D91, IF(ISNUMBER(_xlfn.XLOOKUP($C91,Phone_by_Sentiment!$B$2:$B$37,Phone_by_Sentiment!G$2:G$37,"",0,1)),_xlfn.XLOOKUP($C91,Phone_by_Sentiment!$B$2:$B$37,Phone_by_Sentiment!G$2:G$37,"",0,1),0),$A91-TEXT(DATEVALUE($D91&amp;"-01"), "dd-mm-yyyy")),0),0)</f>
        <v>0</v>
      </c>
      <c r="H91" cm="1">
        <f t="array" ref="H91">IF($Q91&gt;=0,IFERROR(generateSalesData($D91, IF(ISNUMBER(_xlfn.XLOOKUP($C91,Phone_by_Sentiment!$B$2:$B$37,Phone_by_Sentiment!H$2:H$37,"",0,1)),_xlfn.XLOOKUP($C91,Phone_by_Sentiment!$B$2:$B$37,Phone_by_Sentiment!H$2:H$37,"",0,1),0),$A91-TEXT(DATEVALUE($D91&amp;"-01"), "dd-mm-yyyy")),0),0)</f>
        <v>0</v>
      </c>
      <c r="I91" cm="1">
        <f t="array" ref="I91">IF($Q91&gt;=0,IFERROR(generateSalesData($D91, IF(ISNUMBER(_xlfn.XLOOKUP($C91,Phone_by_Sentiment!$B$2:$B$37,Phone_by_Sentiment!I$2:I$37,"",0,1)),_xlfn.XLOOKUP($C91,Phone_by_Sentiment!$B$2:$B$37,Phone_by_Sentiment!I$2:I$37,"",0,1),0),$A91-TEXT(DATEVALUE($D91&amp;"-01"), "dd-mm-yyyy")),0),0)</f>
        <v>0</v>
      </c>
      <c r="J91" cm="1">
        <f t="array" ref="J91">IF($Q91&gt;=0,IFERROR(generateSalesData($D91, IF(ISNUMBER(_xlfn.XLOOKUP($C91,Phone_by_Sentiment!$B$2:$B$37,Phone_by_Sentiment!J$2:J$37,"",0,1)),_xlfn.XLOOKUP($C91,Phone_by_Sentiment!$B$2:$B$37,Phone_by_Sentiment!J$2:J$37,"",0,1),0),$A91-TEXT(DATEVALUE($D91&amp;"-01"), "dd-mm-yyyy")),0),0)</f>
        <v>0</v>
      </c>
      <c r="K91" cm="1">
        <f t="array" ref="K91">IF($Q91&gt;=0,IFERROR(generateSalesData($D91, IF(ISNUMBER(_xlfn.XLOOKUP($C91,Phone_by_Sentiment!$B$2:$B$37,Phone_by_Sentiment!K$2:K$37,"",0,1)),_xlfn.XLOOKUP($C91,Phone_by_Sentiment!$B$2:$B$37,Phone_by_Sentiment!K$2:K$37,"",0,1),0),$A91-TEXT(DATEVALUE($D91&amp;"-01"), "dd-mm-yyyy")),0),0)</f>
        <v>0</v>
      </c>
      <c r="L91" cm="1">
        <f t="array" ref="L91">IF($Q91&gt;=0,IFERROR(generateSalesData($D91, IF(ISNUMBER(_xlfn.XLOOKUP($C91,Phone_by_Sentiment!$B$2:$B$37,Phone_by_Sentiment!L$2:L$37,"",0,1)),_xlfn.XLOOKUP($C91,Phone_by_Sentiment!$B$2:$B$37,Phone_by_Sentiment!L$2:L$37,"",0,1),0),$A91-TEXT(DATEVALUE($D91&amp;"-01"), "dd-mm-yyyy")),0),0)</f>
        <v>0</v>
      </c>
      <c r="M91" cm="1">
        <f t="array" ref="M91">IF($Q91&gt;=0,IFERROR(generateSalesData($D91, IF(ISNUMBER(_xlfn.XLOOKUP($C91,Phone_by_Sentiment!$B$2:$B$37,Phone_by_Sentiment!M$2:M$37,"",0,1)),_xlfn.XLOOKUP($C91,Phone_by_Sentiment!$B$2:$B$37,Phone_by_Sentiment!M$2:M$37,"",0,1),0),$A91-TEXT(DATEVALUE($D91&amp;"-01"), "dd-mm-yyyy")),0),0)</f>
        <v>0</v>
      </c>
      <c r="N91" cm="1">
        <f t="array" ref="N91">IF($Q91&gt;=0,IFERROR(generateSalesData($D91, IF(ISNUMBER(_xlfn.XLOOKUP($C91,Phone_by_Sentiment!$B$2:$B$37,Phone_by_Sentiment!N$2:N$37,"",0,1)),_xlfn.XLOOKUP($C91,Phone_by_Sentiment!$B$2:$B$37,Phone_by_Sentiment!N$2:N$37,"",0,1),0),$A91-TEXT(DATEVALUE($D91&amp;"-01"), "dd-mm-yyyy")),0),0)</f>
        <v>0</v>
      </c>
      <c r="O91" cm="1">
        <f t="array" ref="O91">IF($Q91&gt;=0,IFERROR(generateSalesData($D91, IF(ISNUMBER(_xlfn.XLOOKUP($C91,Phone_by_Sentiment!$B$2:$B$37,Phone_by_Sentiment!O$2:O$37,"",0,1)),_xlfn.XLOOKUP($C91,Phone_by_Sentiment!$B$2:$B$37,Phone_by_Sentiment!O$2:O$37,"",0,1),0),$A91-TEXT(DATEVALUE($D91&amp;"-01"), "dd-mm-yyyy")),0),0)</f>
        <v>0</v>
      </c>
      <c r="P91" s="1">
        <f t="shared" si="3"/>
        <v>44105</v>
      </c>
      <c r="Q91">
        <f t="shared" si="4"/>
        <v>-580</v>
      </c>
    </row>
    <row r="92" spans="1:17" x14ac:dyDescent="0.25">
      <c r="A92" s="1">
        <f t="shared" si="0"/>
        <v>43525</v>
      </c>
      <c r="B92" t="s">
        <v>165</v>
      </c>
      <c r="C92" t="str">
        <f>_xlfn.XLOOKUP(B92,Phone_by_Price!$A$2:$A$34,Phone_by_Price!$B$2:$B$34,"-",0,1)</f>
        <v>Samsung Galaxy A50</v>
      </c>
      <c r="D92" t="str">
        <f>_xlfn.XLOOKUP(C92,Phone_by_Sentiment!$B$2:$B$37,Phone_by_Sentiment!$A$2:$A$37,"-",0,1)</f>
        <v>2019-05</v>
      </c>
      <c r="E92" cm="1">
        <f t="array" ref="E92">IF($Q92&gt;=0,IFERROR(generateSalesData($D92, IF(ISNUMBER(_xlfn.XLOOKUP($C92,Phone_by_Sentiment!$B$2:$B$37,Phone_by_Sentiment!E$2:E$37,"",0,1)),_xlfn.XLOOKUP($C92,Phone_by_Sentiment!$B$2:$B$37,Phone_by_Sentiment!E$2:E$37,"",0,1),0),$A92-TEXT(DATEVALUE($D92&amp;"-01"), "dd-mm-yyyy")),0),0)</f>
        <v>0</v>
      </c>
      <c r="F92" cm="1">
        <f t="array" ref="F92">IF($Q92&gt;=0,IFERROR(generateSalesData($D92, IF(ISNUMBER(_xlfn.XLOOKUP($C92,Phone_by_Sentiment!$B$2:$B$37,Phone_by_Sentiment!F$2:F$37,"",0,1)),_xlfn.XLOOKUP($C92,Phone_by_Sentiment!$B$2:$B$37,Phone_by_Sentiment!F$2:F$37,"",0,1),0),$A92-TEXT(DATEVALUE($D92&amp;"-01"), "dd-mm-yyyy")),0),0)</f>
        <v>0</v>
      </c>
      <c r="G92" cm="1">
        <f t="array" ref="G92">IF($Q92&gt;=0,IFERROR(generateSalesData($D92, IF(ISNUMBER(_xlfn.XLOOKUP($C92,Phone_by_Sentiment!$B$2:$B$37,Phone_by_Sentiment!G$2:G$37,"",0,1)),_xlfn.XLOOKUP($C92,Phone_by_Sentiment!$B$2:$B$37,Phone_by_Sentiment!G$2:G$37,"",0,1),0),$A92-TEXT(DATEVALUE($D92&amp;"-01"), "dd-mm-yyyy")),0),0)</f>
        <v>0</v>
      </c>
      <c r="H92" cm="1">
        <f t="array" ref="H92">IF($Q92&gt;=0,IFERROR(generateSalesData($D92, IF(ISNUMBER(_xlfn.XLOOKUP($C92,Phone_by_Sentiment!$B$2:$B$37,Phone_by_Sentiment!H$2:H$37,"",0,1)),_xlfn.XLOOKUP($C92,Phone_by_Sentiment!$B$2:$B$37,Phone_by_Sentiment!H$2:H$37,"",0,1),0),$A92-TEXT(DATEVALUE($D92&amp;"-01"), "dd-mm-yyyy")),0),0)</f>
        <v>0</v>
      </c>
      <c r="I92" cm="1">
        <f t="array" ref="I92">IF($Q92&gt;=0,IFERROR(generateSalesData($D92, IF(ISNUMBER(_xlfn.XLOOKUP($C92,Phone_by_Sentiment!$B$2:$B$37,Phone_by_Sentiment!I$2:I$37,"",0,1)),_xlfn.XLOOKUP($C92,Phone_by_Sentiment!$B$2:$B$37,Phone_by_Sentiment!I$2:I$37,"",0,1),0),$A92-TEXT(DATEVALUE($D92&amp;"-01"), "dd-mm-yyyy")),0),0)</f>
        <v>0</v>
      </c>
      <c r="J92" cm="1">
        <f t="array" ref="J92">IF($Q92&gt;=0,IFERROR(generateSalesData($D92, IF(ISNUMBER(_xlfn.XLOOKUP($C92,Phone_by_Sentiment!$B$2:$B$37,Phone_by_Sentiment!J$2:J$37,"",0,1)),_xlfn.XLOOKUP($C92,Phone_by_Sentiment!$B$2:$B$37,Phone_by_Sentiment!J$2:J$37,"",0,1),0),$A92-TEXT(DATEVALUE($D92&amp;"-01"), "dd-mm-yyyy")),0),0)</f>
        <v>0</v>
      </c>
      <c r="K92" cm="1">
        <f t="array" ref="K92">IF($Q92&gt;=0,IFERROR(generateSalesData($D92, IF(ISNUMBER(_xlfn.XLOOKUP($C92,Phone_by_Sentiment!$B$2:$B$37,Phone_by_Sentiment!K$2:K$37,"",0,1)),_xlfn.XLOOKUP($C92,Phone_by_Sentiment!$B$2:$B$37,Phone_by_Sentiment!K$2:K$37,"",0,1),0),$A92-TEXT(DATEVALUE($D92&amp;"-01"), "dd-mm-yyyy")),0),0)</f>
        <v>0</v>
      </c>
      <c r="L92" cm="1">
        <f t="array" ref="L92">IF($Q92&gt;=0,IFERROR(generateSalesData($D92, IF(ISNUMBER(_xlfn.XLOOKUP($C92,Phone_by_Sentiment!$B$2:$B$37,Phone_by_Sentiment!L$2:L$37,"",0,1)),_xlfn.XLOOKUP($C92,Phone_by_Sentiment!$B$2:$B$37,Phone_by_Sentiment!L$2:L$37,"",0,1),0),$A92-TEXT(DATEVALUE($D92&amp;"-01"), "dd-mm-yyyy")),0),0)</f>
        <v>0</v>
      </c>
      <c r="M92" cm="1">
        <f t="array" ref="M92">IF($Q92&gt;=0,IFERROR(generateSalesData($D92, IF(ISNUMBER(_xlfn.XLOOKUP($C92,Phone_by_Sentiment!$B$2:$B$37,Phone_by_Sentiment!M$2:M$37,"",0,1)),_xlfn.XLOOKUP($C92,Phone_by_Sentiment!$B$2:$B$37,Phone_by_Sentiment!M$2:M$37,"",0,1),0),$A92-TEXT(DATEVALUE($D92&amp;"-01"), "dd-mm-yyyy")),0),0)</f>
        <v>0</v>
      </c>
      <c r="N92" cm="1">
        <f t="array" ref="N92">IF($Q92&gt;=0,IFERROR(generateSalesData($D92, IF(ISNUMBER(_xlfn.XLOOKUP($C92,Phone_by_Sentiment!$B$2:$B$37,Phone_by_Sentiment!N$2:N$37,"",0,1)),_xlfn.XLOOKUP($C92,Phone_by_Sentiment!$B$2:$B$37,Phone_by_Sentiment!N$2:N$37,"",0,1),0),$A92-TEXT(DATEVALUE($D92&amp;"-01"), "dd-mm-yyyy")),0),0)</f>
        <v>0</v>
      </c>
      <c r="O92" cm="1">
        <f t="array" ref="O92">IF($Q92&gt;=0,IFERROR(generateSalesData($D92, IF(ISNUMBER(_xlfn.XLOOKUP($C92,Phone_by_Sentiment!$B$2:$B$37,Phone_by_Sentiment!O$2:O$37,"",0,1)),_xlfn.XLOOKUP($C92,Phone_by_Sentiment!$B$2:$B$37,Phone_by_Sentiment!O$2:O$37,"",0,1),0),$A92-TEXT(DATEVALUE($D92&amp;"-01"), "dd-mm-yyyy")),0),0)</f>
        <v>0</v>
      </c>
      <c r="P92" s="1">
        <f t="shared" si="3"/>
        <v>43586</v>
      </c>
      <c r="Q92">
        <f t="shared" si="4"/>
        <v>-61</v>
      </c>
    </row>
    <row r="93" spans="1:17" x14ac:dyDescent="0.25">
      <c r="A93" s="1">
        <f t="shared" si="0"/>
        <v>43525</v>
      </c>
      <c r="B93" t="s">
        <v>166</v>
      </c>
      <c r="C93" t="str">
        <f>_xlfn.XLOOKUP(B93,Phone_by_Price!$A$2:$A$34,Phone_by_Price!$B$2:$B$34,"-",0,1)</f>
        <v>Xiaomi Redmi Note 7</v>
      </c>
      <c r="D93" t="str">
        <f>_xlfn.XLOOKUP(C93,Phone_by_Sentiment!$B$2:$B$37,Phone_by_Sentiment!$A$2:$A$37,"-",0,1)</f>
        <v>2019-08</v>
      </c>
      <c r="E93" cm="1">
        <f t="array" ref="E93">IF($Q93&gt;=0,IFERROR(generateSalesData($D93, IF(ISNUMBER(_xlfn.XLOOKUP($C93,Phone_by_Sentiment!$B$2:$B$37,Phone_by_Sentiment!E$2:E$37,"",0,1)),_xlfn.XLOOKUP($C93,Phone_by_Sentiment!$B$2:$B$37,Phone_by_Sentiment!E$2:E$37,"",0,1),0),$A93-TEXT(DATEVALUE($D93&amp;"-01"), "dd-mm-yyyy")),0),0)</f>
        <v>0</v>
      </c>
      <c r="F93" cm="1">
        <f t="array" ref="F93">IF($Q93&gt;=0,IFERROR(generateSalesData($D93, IF(ISNUMBER(_xlfn.XLOOKUP($C93,Phone_by_Sentiment!$B$2:$B$37,Phone_by_Sentiment!F$2:F$37,"",0,1)),_xlfn.XLOOKUP($C93,Phone_by_Sentiment!$B$2:$B$37,Phone_by_Sentiment!F$2:F$37,"",0,1),0),$A93-TEXT(DATEVALUE($D93&amp;"-01"), "dd-mm-yyyy")),0),0)</f>
        <v>0</v>
      </c>
      <c r="G93" cm="1">
        <f t="array" ref="G93">IF($Q93&gt;=0,IFERROR(generateSalesData($D93, IF(ISNUMBER(_xlfn.XLOOKUP($C93,Phone_by_Sentiment!$B$2:$B$37,Phone_by_Sentiment!G$2:G$37,"",0,1)),_xlfn.XLOOKUP($C93,Phone_by_Sentiment!$B$2:$B$37,Phone_by_Sentiment!G$2:G$37,"",0,1),0),$A93-TEXT(DATEVALUE($D93&amp;"-01"), "dd-mm-yyyy")),0),0)</f>
        <v>0</v>
      </c>
      <c r="H93" cm="1">
        <f t="array" ref="H93">IF($Q93&gt;=0,IFERROR(generateSalesData($D93, IF(ISNUMBER(_xlfn.XLOOKUP($C93,Phone_by_Sentiment!$B$2:$B$37,Phone_by_Sentiment!H$2:H$37,"",0,1)),_xlfn.XLOOKUP($C93,Phone_by_Sentiment!$B$2:$B$37,Phone_by_Sentiment!H$2:H$37,"",0,1),0),$A93-TEXT(DATEVALUE($D93&amp;"-01"), "dd-mm-yyyy")),0),0)</f>
        <v>0</v>
      </c>
      <c r="I93" cm="1">
        <f t="array" ref="I93">IF($Q93&gt;=0,IFERROR(generateSalesData($D93, IF(ISNUMBER(_xlfn.XLOOKUP($C93,Phone_by_Sentiment!$B$2:$B$37,Phone_by_Sentiment!I$2:I$37,"",0,1)),_xlfn.XLOOKUP($C93,Phone_by_Sentiment!$B$2:$B$37,Phone_by_Sentiment!I$2:I$37,"",0,1),0),$A93-TEXT(DATEVALUE($D93&amp;"-01"), "dd-mm-yyyy")),0),0)</f>
        <v>0</v>
      </c>
      <c r="J93" cm="1">
        <f t="array" ref="J93">IF($Q93&gt;=0,IFERROR(generateSalesData($D93, IF(ISNUMBER(_xlfn.XLOOKUP($C93,Phone_by_Sentiment!$B$2:$B$37,Phone_by_Sentiment!J$2:J$37,"",0,1)),_xlfn.XLOOKUP($C93,Phone_by_Sentiment!$B$2:$B$37,Phone_by_Sentiment!J$2:J$37,"",0,1),0),$A93-TEXT(DATEVALUE($D93&amp;"-01"), "dd-mm-yyyy")),0),0)</f>
        <v>0</v>
      </c>
      <c r="K93" cm="1">
        <f t="array" ref="K93">IF($Q93&gt;=0,IFERROR(generateSalesData($D93, IF(ISNUMBER(_xlfn.XLOOKUP($C93,Phone_by_Sentiment!$B$2:$B$37,Phone_by_Sentiment!K$2:K$37,"",0,1)),_xlfn.XLOOKUP($C93,Phone_by_Sentiment!$B$2:$B$37,Phone_by_Sentiment!K$2:K$37,"",0,1),0),$A93-TEXT(DATEVALUE($D93&amp;"-01"), "dd-mm-yyyy")),0),0)</f>
        <v>0</v>
      </c>
      <c r="L93" cm="1">
        <f t="array" ref="L93">IF($Q93&gt;=0,IFERROR(generateSalesData($D93, IF(ISNUMBER(_xlfn.XLOOKUP($C93,Phone_by_Sentiment!$B$2:$B$37,Phone_by_Sentiment!L$2:L$37,"",0,1)),_xlfn.XLOOKUP($C93,Phone_by_Sentiment!$B$2:$B$37,Phone_by_Sentiment!L$2:L$37,"",0,1),0),$A93-TEXT(DATEVALUE($D93&amp;"-01"), "dd-mm-yyyy")),0),0)</f>
        <v>0</v>
      </c>
      <c r="M93" cm="1">
        <f t="array" ref="M93">IF($Q93&gt;=0,IFERROR(generateSalesData($D93, IF(ISNUMBER(_xlfn.XLOOKUP($C93,Phone_by_Sentiment!$B$2:$B$37,Phone_by_Sentiment!M$2:M$37,"",0,1)),_xlfn.XLOOKUP($C93,Phone_by_Sentiment!$B$2:$B$37,Phone_by_Sentiment!M$2:M$37,"",0,1),0),$A93-TEXT(DATEVALUE($D93&amp;"-01"), "dd-mm-yyyy")),0),0)</f>
        <v>0</v>
      </c>
      <c r="N93" cm="1">
        <f t="array" ref="N93">IF($Q93&gt;=0,IFERROR(generateSalesData($D93, IF(ISNUMBER(_xlfn.XLOOKUP($C93,Phone_by_Sentiment!$B$2:$B$37,Phone_by_Sentiment!N$2:N$37,"",0,1)),_xlfn.XLOOKUP($C93,Phone_by_Sentiment!$B$2:$B$37,Phone_by_Sentiment!N$2:N$37,"",0,1),0),$A93-TEXT(DATEVALUE($D93&amp;"-01"), "dd-mm-yyyy")),0),0)</f>
        <v>0</v>
      </c>
      <c r="O93" cm="1">
        <f t="array" ref="O93">IF($Q93&gt;=0,IFERROR(generateSalesData($D93, IF(ISNUMBER(_xlfn.XLOOKUP($C93,Phone_by_Sentiment!$B$2:$B$37,Phone_by_Sentiment!O$2:O$37,"",0,1)),_xlfn.XLOOKUP($C93,Phone_by_Sentiment!$B$2:$B$37,Phone_by_Sentiment!O$2:O$37,"",0,1),0),$A93-TEXT(DATEVALUE($D93&amp;"-01"), "dd-mm-yyyy")),0),0)</f>
        <v>0</v>
      </c>
      <c r="P93" s="1">
        <f t="shared" si="3"/>
        <v>43678</v>
      </c>
      <c r="Q93">
        <f t="shared" si="4"/>
        <v>-153</v>
      </c>
    </row>
    <row r="94" spans="1:17" x14ac:dyDescent="0.25">
      <c r="A94" s="1">
        <f t="shared" si="0"/>
        <v>43525</v>
      </c>
      <c r="B94" t="s">
        <v>167</v>
      </c>
      <c r="C94" t="str">
        <f>_xlfn.XLOOKUP(B94,Phone_by_Price!$A$2:$A$34,Phone_by_Price!$B$2:$B$34,"-",0,1)</f>
        <v>Realme C21</v>
      </c>
      <c r="D94" t="str">
        <f>_xlfn.XLOOKUP(C94,Phone_by_Sentiment!$B$2:$B$37,Phone_by_Sentiment!$A$2:$A$37,"-",0,1)</f>
        <v>2021-04</v>
      </c>
      <c r="E94" cm="1">
        <f t="array" ref="E94">IF($Q94&gt;=0,IFERROR(generateSalesData($D94, IF(ISNUMBER(_xlfn.XLOOKUP($C94,Phone_by_Sentiment!$B$2:$B$37,Phone_by_Sentiment!E$2:E$37,"",0,1)),_xlfn.XLOOKUP($C94,Phone_by_Sentiment!$B$2:$B$37,Phone_by_Sentiment!E$2:E$37,"",0,1),0),$A94-TEXT(DATEVALUE($D94&amp;"-01"), "dd-mm-yyyy")),0),0)</f>
        <v>0</v>
      </c>
      <c r="F94" cm="1">
        <f t="array" ref="F94">IF($Q94&gt;=0,IFERROR(generateSalesData($D94, IF(ISNUMBER(_xlfn.XLOOKUP($C94,Phone_by_Sentiment!$B$2:$B$37,Phone_by_Sentiment!F$2:F$37,"",0,1)),_xlfn.XLOOKUP($C94,Phone_by_Sentiment!$B$2:$B$37,Phone_by_Sentiment!F$2:F$37,"",0,1),0),$A94-TEXT(DATEVALUE($D94&amp;"-01"), "dd-mm-yyyy")),0),0)</f>
        <v>0</v>
      </c>
      <c r="G94" cm="1">
        <f t="array" ref="G94">IF($Q94&gt;=0,IFERROR(generateSalesData($D94, IF(ISNUMBER(_xlfn.XLOOKUP($C94,Phone_by_Sentiment!$B$2:$B$37,Phone_by_Sentiment!G$2:G$37,"",0,1)),_xlfn.XLOOKUP($C94,Phone_by_Sentiment!$B$2:$B$37,Phone_by_Sentiment!G$2:G$37,"",0,1),0),$A94-TEXT(DATEVALUE($D94&amp;"-01"), "dd-mm-yyyy")),0),0)</f>
        <v>0</v>
      </c>
      <c r="H94" cm="1">
        <f t="array" ref="H94">IF($Q94&gt;=0,IFERROR(generateSalesData($D94, IF(ISNUMBER(_xlfn.XLOOKUP($C94,Phone_by_Sentiment!$B$2:$B$37,Phone_by_Sentiment!H$2:H$37,"",0,1)),_xlfn.XLOOKUP($C94,Phone_by_Sentiment!$B$2:$B$37,Phone_by_Sentiment!H$2:H$37,"",0,1),0),$A94-TEXT(DATEVALUE($D94&amp;"-01"), "dd-mm-yyyy")),0),0)</f>
        <v>0</v>
      </c>
      <c r="I94" cm="1">
        <f t="array" ref="I94">IF($Q94&gt;=0,IFERROR(generateSalesData($D94, IF(ISNUMBER(_xlfn.XLOOKUP($C94,Phone_by_Sentiment!$B$2:$B$37,Phone_by_Sentiment!I$2:I$37,"",0,1)),_xlfn.XLOOKUP($C94,Phone_by_Sentiment!$B$2:$B$37,Phone_by_Sentiment!I$2:I$37,"",0,1),0),$A94-TEXT(DATEVALUE($D94&amp;"-01"), "dd-mm-yyyy")),0),0)</f>
        <v>0</v>
      </c>
      <c r="J94" cm="1">
        <f t="array" ref="J94">IF($Q94&gt;=0,IFERROR(generateSalesData($D94, IF(ISNUMBER(_xlfn.XLOOKUP($C94,Phone_by_Sentiment!$B$2:$B$37,Phone_by_Sentiment!J$2:J$37,"",0,1)),_xlfn.XLOOKUP($C94,Phone_by_Sentiment!$B$2:$B$37,Phone_by_Sentiment!J$2:J$37,"",0,1),0),$A94-TEXT(DATEVALUE($D94&amp;"-01"), "dd-mm-yyyy")),0),0)</f>
        <v>0</v>
      </c>
      <c r="K94" cm="1">
        <f t="array" ref="K94">IF($Q94&gt;=0,IFERROR(generateSalesData($D94, IF(ISNUMBER(_xlfn.XLOOKUP($C94,Phone_by_Sentiment!$B$2:$B$37,Phone_by_Sentiment!K$2:K$37,"",0,1)),_xlfn.XLOOKUP($C94,Phone_by_Sentiment!$B$2:$B$37,Phone_by_Sentiment!K$2:K$37,"",0,1),0),$A94-TEXT(DATEVALUE($D94&amp;"-01"), "dd-mm-yyyy")),0),0)</f>
        <v>0</v>
      </c>
      <c r="L94" cm="1">
        <f t="array" ref="L94">IF($Q94&gt;=0,IFERROR(generateSalesData($D94, IF(ISNUMBER(_xlfn.XLOOKUP($C94,Phone_by_Sentiment!$B$2:$B$37,Phone_by_Sentiment!L$2:L$37,"",0,1)),_xlfn.XLOOKUP($C94,Phone_by_Sentiment!$B$2:$B$37,Phone_by_Sentiment!L$2:L$37,"",0,1),0),$A94-TEXT(DATEVALUE($D94&amp;"-01"), "dd-mm-yyyy")),0),0)</f>
        <v>0</v>
      </c>
      <c r="M94" cm="1">
        <f t="array" ref="M94">IF($Q94&gt;=0,IFERROR(generateSalesData($D94, IF(ISNUMBER(_xlfn.XLOOKUP($C94,Phone_by_Sentiment!$B$2:$B$37,Phone_by_Sentiment!M$2:M$37,"",0,1)),_xlfn.XLOOKUP($C94,Phone_by_Sentiment!$B$2:$B$37,Phone_by_Sentiment!M$2:M$37,"",0,1),0),$A94-TEXT(DATEVALUE($D94&amp;"-01"), "dd-mm-yyyy")),0),0)</f>
        <v>0</v>
      </c>
      <c r="N94" cm="1">
        <f t="array" ref="N94">IF($Q94&gt;=0,IFERROR(generateSalesData($D94, IF(ISNUMBER(_xlfn.XLOOKUP($C94,Phone_by_Sentiment!$B$2:$B$37,Phone_by_Sentiment!N$2:N$37,"",0,1)),_xlfn.XLOOKUP($C94,Phone_by_Sentiment!$B$2:$B$37,Phone_by_Sentiment!N$2:N$37,"",0,1),0),$A94-TEXT(DATEVALUE($D94&amp;"-01"), "dd-mm-yyyy")),0),0)</f>
        <v>0</v>
      </c>
      <c r="O94" cm="1">
        <f t="array" ref="O94">IF($Q94&gt;=0,IFERROR(generateSalesData($D94, IF(ISNUMBER(_xlfn.XLOOKUP($C94,Phone_by_Sentiment!$B$2:$B$37,Phone_by_Sentiment!O$2:O$37,"",0,1)),_xlfn.XLOOKUP($C94,Phone_by_Sentiment!$B$2:$B$37,Phone_by_Sentiment!O$2:O$37,"",0,1),0),$A94-TEXT(DATEVALUE($D94&amp;"-01"), "dd-mm-yyyy")),0),0)</f>
        <v>0</v>
      </c>
      <c r="P94" s="1">
        <f t="shared" si="3"/>
        <v>44287</v>
      </c>
      <c r="Q94">
        <f t="shared" si="4"/>
        <v>-762</v>
      </c>
    </row>
    <row r="95" spans="1:17" x14ac:dyDescent="0.25">
      <c r="A95" s="1">
        <f t="shared" si="0"/>
        <v>43525</v>
      </c>
      <c r="B95" t="s">
        <v>168</v>
      </c>
      <c r="C95" t="str">
        <f>_xlfn.XLOOKUP(B95,Phone_by_Price!$A$2:$A$34,Phone_by_Price!$B$2:$B$34,"-",0,1)</f>
        <v>Google Pixel 4</v>
      </c>
      <c r="D95" t="str">
        <f>_xlfn.XLOOKUP(C95,Phone_by_Sentiment!$B$2:$B$37,Phone_by_Sentiment!$A$2:$A$37,"-",0,1)</f>
        <v>2019-09</v>
      </c>
      <c r="E95" cm="1">
        <f t="array" ref="E95">IF($Q95&gt;=0,IFERROR(generateSalesData($D95, IF(ISNUMBER(_xlfn.XLOOKUP($C95,Phone_by_Sentiment!$B$2:$B$37,Phone_by_Sentiment!E$2:E$37,"",0,1)),_xlfn.XLOOKUP($C95,Phone_by_Sentiment!$B$2:$B$37,Phone_by_Sentiment!E$2:E$37,"",0,1),0),$A95-TEXT(DATEVALUE($D95&amp;"-01"), "dd-mm-yyyy")),0),0)</f>
        <v>0</v>
      </c>
      <c r="F95" cm="1">
        <f t="array" ref="F95">IF($Q95&gt;=0,IFERROR(generateSalesData($D95, IF(ISNUMBER(_xlfn.XLOOKUP($C95,Phone_by_Sentiment!$B$2:$B$37,Phone_by_Sentiment!F$2:F$37,"",0,1)),_xlfn.XLOOKUP($C95,Phone_by_Sentiment!$B$2:$B$37,Phone_by_Sentiment!F$2:F$37,"",0,1),0),$A95-TEXT(DATEVALUE($D95&amp;"-01"), "dd-mm-yyyy")),0),0)</f>
        <v>0</v>
      </c>
      <c r="G95" cm="1">
        <f t="array" ref="G95">IF($Q95&gt;=0,IFERROR(generateSalesData($D95, IF(ISNUMBER(_xlfn.XLOOKUP($C95,Phone_by_Sentiment!$B$2:$B$37,Phone_by_Sentiment!G$2:G$37,"",0,1)),_xlfn.XLOOKUP($C95,Phone_by_Sentiment!$B$2:$B$37,Phone_by_Sentiment!G$2:G$37,"",0,1),0),$A95-TEXT(DATEVALUE($D95&amp;"-01"), "dd-mm-yyyy")),0),0)</f>
        <v>0</v>
      </c>
      <c r="H95" cm="1">
        <f t="array" ref="H95">IF($Q95&gt;=0,IFERROR(generateSalesData($D95, IF(ISNUMBER(_xlfn.XLOOKUP($C95,Phone_by_Sentiment!$B$2:$B$37,Phone_by_Sentiment!H$2:H$37,"",0,1)),_xlfn.XLOOKUP($C95,Phone_by_Sentiment!$B$2:$B$37,Phone_by_Sentiment!H$2:H$37,"",0,1),0),$A95-TEXT(DATEVALUE($D95&amp;"-01"), "dd-mm-yyyy")),0),0)</f>
        <v>0</v>
      </c>
      <c r="I95" cm="1">
        <f t="array" ref="I95">IF($Q95&gt;=0,IFERROR(generateSalesData($D95, IF(ISNUMBER(_xlfn.XLOOKUP($C95,Phone_by_Sentiment!$B$2:$B$37,Phone_by_Sentiment!I$2:I$37,"",0,1)),_xlfn.XLOOKUP($C95,Phone_by_Sentiment!$B$2:$B$37,Phone_by_Sentiment!I$2:I$37,"",0,1),0),$A95-TEXT(DATEVALUE($D95&amp;"-01"), "dd-mm-yyyy")),0),0)</f>
        <v>0</v>
      </c>
      <c r="J95" cm="1">
        <f t="array" ref="J95">IF($Q95&gt;=0,IFERROR(generateSalesData($D95, IF(ISNUMBER(_xlfn.XLOOKUP($C95,Phone_by_Sentiment!$B$2:$B$37,Phone_by_Sentiment!J$2:J$37,"",0,1)),_xlfn.XLOOKUP($C95,Phone_by_Sentiment!$B$2:$B$37,Phone_by_Sentiment!J$2:J$37,"",0,1),0),$A95-TEXT(DATEVALUE($D95&amp;"-01"), "dd-mm-yyyy")),0),0)</f>
        <v>0</v>
      </c>
      <c r="K95" cm="1">
        <f t="array" ref="K95">IF($Q95&gt;=0,IFERROR(generateSalesData($D95, IF(ISNUMBER(_xlfn.XLOOKUP($C95,Phone_by_Sentiment!$B$2:$B$37,Phone_by_Sentiment!K$2:K$37,"",0,1)),_xlfn.XLOOKUP($C95,Phone_by_Sentiment!$B$2:$B$37,Phone_by_Sentiment!K$2:K$37,"",0,1),0),$A95-TEXT(DATEVALUE($D95&amp;"-01"), "dd-mm-yyyy")),0),0)</f>
        <v>0</v>
      </c>
      <c r="L95" cm="1">
        <f t="array" ref="L95">IF($Q95&gt;=0,IFERROR(generateSalesData($D95, IF(ISNUMBER(_xlfn.XLOOKUP($C95,Phone_by_Sentiment!$B$2:$B$37,Phone_by_Sentiment!L$2:L$37,"",0,1)),_xlfn.XLOOKUP($C95,Phone_by_Sentiment!$B$2:$B$37,Phone_by_Sentiment!L$2:L$37,"",0,1),0),$A95-TEXT(DATEVALUE($D95&amp;"-01"), "dd-mm-yyyy")),0),0)</f>
        <v>0</v>
      </c>
      <c r="M95" cm="1">
        <f t="array" ref="M95">IF($Q95&gt;=0,IFERROR(generateSalesData($D95, IF(ISNUMBER(_xlfn.XLOOKUP($C95,Phone_by_Sentiment!$B$2:$B$37,Phone_by_Sentiment!M$2:M$37,"",0,1)),_xlfn.XLOOKUP($C95,Phone_by_Sentiment!$B$2:$B$37,Phone_by_Sentiment!M$2:M$37,"",0,1),0),$A95-TEXT(DATEVALUE($D95&amp;"-01"), "dd-mm-yyyy")),0),0)</f>
        <v>0</v>
      </c>
      <c r="N95" cm="1">
        <f t="array" ref="N95">IF($Q95&gt;=0,IFERROR(generateSalesData($D95, IF(ISNUMBER(_xlfn.XLOOKUP($C95,Phone_by_Sentiment!$B$2:$B$37,Phone_by_Sentiment!N$2:N$37,"",0,1)),_xlfn.XLOOKUP($C95,Phone_by_Sentiment!$B$2:$B$37,Phone_by_Sentiment!N$2:N$37,"",0,1),0),$A95-TEXT(DATEVALUE($D95&amp;"-01"), "dd-mm-yyyy")),0),0)</f>
        <v>0</v>
      </c>
      <c r="O95" cm="1">
        <f t="array" ref="O95">IF($Q95&gt;=0,IFERROR(generateSalesData($D95, IF(ISNUMBER(_xlfn.XLOOKUP($C95,Phone_by_Sentiment!$B$2:$B$37,Phone_by_Sentiment!O$2:O$37,"",0,1)),_xlfn.XLOOKUP($C95,Phone_by_Sentiment!$B$2:$B$37,Phone_by_Sentiment!O$2:O$37,"",0,1),0),$A95-TEXT(DATEVALUE($D95&amp;"-01"), "dd-mm-yyyy")),0),0)</f>
        <v>0</v>
      </c>
      <c r="P95" s="1">
        <f t="shared" si="3"/>
        <v>43709</v>
      </c>
      <c r="Q95">
        <f t="shared" si="4"/>
        <v>-184</v>
      </c>
    </row>
    <row r="96" spans="1:17" x14ac:dyDescent="0.25">
      <c r="A96" s="1">
        <f t="shared" si="0"/>
        <v>43525</v>
      </c>
      <c r="B96" t="s">
        <v>169</v>
      </c>
      <c r="C96" t="str">
        <f>_xlfn.XLOOKUP(B96,Phone_by_Price!$A$2:$A$34,Phone_by_Price!$B$2:$B$34,"-",0,1)</f>
        <v>Samsung Galaxy A10s</v>
      </c>
      <c r="D96" t="str">
        <f>_xlfn.XLOOKUP(C96,Phone_by_Sentiment!$B$2:$B$37,Phone_by_Sentiment!$A$2:$A$37,"-",0,1)</f>
        <v>2019-08</v>
      </c>
      <c r="E96" cm="1">
        <f t="array" ref="E96">IF($Q96&gt;=0,IFERROR(generateSalesData($D96, IF(ISNUMBER(_xlfn.XLOOKUP($C96,Phone_by_Sentiment!$B$2:$B$37,Phone_by_Sentiment!E$2:E$37,"",0,1)),_xlfn.XLOOKUP($C96,Phone_by_Sentiment!$B$2:$B$37,Phone_by_Sentiment!E$2:E$37,"",0,1),0),$A96-TEXT(DATEVALUE($D96&amp;"-01"), "dd-mm-yyyy")),0),0)</f>
        <v>0</v>
      </c>
      <c r="F96" cm="1">
        <f t="array" ref="F96">IF($Q96&gt;=0,IFERROR(generateSalesData($D96, IF(ISNUMBER(_xlfn.XLOOKUP($C96,Phone_by_Sentiment!$B$2:$B$37,Phone_by_Sentiment!F$2:F$37,"",0,1)),_xlfn.XLOOKUP($C96,Phone_by_Sentiment!$B$2:$B$37,Phone_by_Sentiment!F$2:F$37,"",0,1),0),$A96-TEXT(DATEVALUE($D96&amp;"-01"), "dd-mm-yyyy")),0),0)</f>
        <v>0</v>
      </c>
      <c r="G96" cm="1">
        <f t="array" ref="G96">IF($Q96&gt;=0,IFERROR(generateSalesData($D96, IF(ISNUMBER(_xlfn.XLOOKUP($C96,Phone_by_Sentiment!$B$2:$B$37,Phone_by_Sentiment!G$2:G$37,"",0,1)),_xlfn.XLOOKUP($C96,Phone_by_Sentiment!$B$2:$B$37,Phone_by_Sentiment!G$2:G$37,"",0,1),0),$A96-TEXT(DATEVALUE($D96&amp;"-01"), "dd-mm-yyyy")),0),0)</f>
        <v>0</v>
      </c>
      <c r="H96" cm="1">
        <f t="array" ref="H96">IF($Q96&gt;=0,IFERROR(generateSalesData($D96, IF(ISNUMBER(_xlfn.XLOOKUP($C96,Phone_by_Sentiment!$B$2:$B$37,Phone_by_Sentiment!H$2:H$37,"",0,1)),_xlfn.XLOOKUP($C96,Phone_by_Sentiment!$B$2:$B$37,Phone_by_Sentiment!H$2:H$37,"",0,1),0),$A96-TEXT(DATEVALUE($D96&amp;"-01"), "dd-mm-yyyy")),0),0)</f>
        <v>0</v>
      </c>
      <c r="I96" cm="1">
        <f t="array" ref="I96">IF($Q96&gt;=0,IFERROR(generateSalesData($D96, IF(ISNUMBER(_xlfn.XLOOKUP($C96,Phone_by_Sentiment!$B$2:$B$37,Phone_by_Sentiment!I$2:I$37,"",0,1)),_xlfn.XLOOKUP($C96,Phone_by_Sentiment!$B$2:$B$37,Phone_by_Sentiment!I$2:I$37,"",0,1),0),$A96-TEXT(DATEVALUE($D96&amp;"-01"), "dd-mm-yyyy")),0),0)</f>
        <v>0</v>
      </c>
      <c r="J96" cm="1">
        <f t="array" ref="J96">IF($Q96&gt;=0,IFERROR(generateSalesData($D96, IF(ISNUMBER(_xlfn.XLOOKUP($C96,Phone_by_Sentiment!$B$2:$B$37,Phone_by_Sentiment!J$2:J$37,"",0,1)),_xlfn.XLOOKUP($C96,Phone_by_Sentiment!$B$2:$B$37,Phone_by_Sentiment!J$2:J$37,"",0,1),0),$A96-TEXT(DATEVALUE($D96&amp;"-01"), "dd-mm-yyyy")),0),0)</f>
        <v>0</v>
      </c>
      <c r="K96" cm="1">
        <f t="array" ref="K96">IF($Q96&gt;=0,IFERROR(generateSalesData($D96, IF(ISNUMBER(_xlfn.XLOOKUP($C96,Phone_by_Sentiment!$B$2:$B$37,Phone_by_Sentiment!K$2:K$37,"",0,1)),_xlfn.XLOOKUP($C96,Phone_by_Sentiment!$B$2:$B$37,Phone_by_Sentiment!K$2:K$37,"",0,1),0),$A96-TEXT(DATEVALUE($D96&amp;"-01"), "dd-mm-yyyy")),0),0)</f>
        <v>0</v>
      </c>
      <c r="L96" cm="1">
        <f t="array" ref="L96">IF($Q96&gt;=0,IFERROR(generateSalesData($D96, IF(ISNUMBER(_xlfn.XLOOKUP($C96,Phone_by_Sentiment!$B$2:$B$37,Phone_by_Sentiment!L$2:L$37,"",0,1)),_xlfn.XLOOKUP($C96,Phone_by_Sentiment!$B$2:$B$37,Phone_by_Sentiment!L$2:L$37,"",0,1),0),$A96-TEXT(DATEVALUE($D96&amp;"-01"), "dd-mm-yyyy")),0),0)</f>
        <v>0</v>
      </c>
      <c r="M96" cm="1">
        <f t="array" ref="M96">IF($Q96&gt;=0,IFERROR(generateSalesData($D96, IF(ISNUMBER(_xlfn.XLOOKUP($C96,Phone_by_Sentiment!$B$2:$B$37,Phone_by_Sentiment!M$2:M$37,"",0,1)),_xlfn.XLOOKUP($C96,Phone_by_Sentiment!$B$2:$B$37,Phone_by_Sentiment!M$2:M$37,"",0,1),0),$A96-TEXT(DATEVALUE($D96&amp;"-01"), "dd-mm-yyyy")),0),0)</f>
        <v>0</v>
      </c>
      <c r="N96" cm="1">
        <f t="array" ref="N96">IF($Q96&gt;=0,IFERROR(generateSalesData($D96, IF(ISNUMBER(_xlfn.XLOOKUP($C96,Phone_by_Sentiment!$B$2:$B$37,Phone_by_Sentiment!N$2:N$37,"",0,1)),_xlfn.XLOOKUP($C96,Phone_by_Sentiment!$B$2:$B$37,Phone_by_Sentiment!N$2:N$37,"",0,1),0),$A96-TEXT(DATEVALUE($D96&amp;"-01"), "dd-mm-yyyy")),0),0)</f>
        <v>0</v>
      </c>
      <c r="O96" cm="1">
        <f t="array" ref="O96">IF($Q96&gt;=0,IFERROR(generateSalesData($D96, IF(ISNUMBER(_xlfn.XLOOKUP($C96,Phone_by_Sentiment!$B$2:$B$37,Phone_by_Sentiment!O$2:O$37,"",0,1)),_xlfn.XLOOKUP($C96,Phone_by_Sentiment!$B$2:$B$37,Phone_by_Sentiment!O$2:O$37,"",0,1),0),$A96-TEXT(DATEVALUE($D96&amp;"-01"), "dd-mm-yyyy")),0),0)</f>
        <v>0</v>
      </c>
      <c r="P96" s="1">
        <f t="shared" si="3"/>
        <v>43678</v>
      </c>
      <c r="Q96">
        <f t="shared" si="4"/>
        <v>-153</v>
      </c>
    </row>
    <row r="97" spans="1:17" x14ac:dyDescent="0.25">
      <c r="A97" s="1">
        <f t="shared" si="0"/>
        <v>43525</v>
      </c>
      <c r="B97" t="s">
        <v>170</v>
      </c>
      <c r="C97" t="str">
        <f>_xlfn.XLOOKUP(B97,Phone_by_Price!$A$2:$A$34,Phone_by_Price!$B$2:$B$34,"-",0,1)</f>
        <v>Realme Narzo 30A</v>
      </c>
      <c r="D97" t="str">
        <f>_xlfn.XLOOKUP(C97,Phone_by_Sentiment!$B$2:$B$37,Phone_by_Sentiment!$A$2:$A$37,"-",0,1)</f>
        <v>2021-02</v>
      </c>
      <c r="E97" cm="1">
        <f t="array" ref="E97">IF($Q97&gt;=0,IFERROR(generateSalesData($D97, IF(ISNUMBER(_xlfn.XLOOKUP($C97,Phone_by_Sentiment!$B$2:$B$37,Phone_by_Sentiment!E$2:E$37,"",0,1)),_xlfn.XLOOKUP($C97,Phone_by_Sentiment!$B$2:$B$37,Phone_by_Sentiment!E$2:E$37,"",0,1),0),$A97-TEXT(DATEVALUE($D97&amp;"-01"), "dd-mm-yyyy")),0),0)</f>
        <v>0</v>
      </c>
      <c r="F97" cm="1">
        <f t="array" ref="F97">IF($Q97&gt;=0,IFERROR(generateSalesData($D97, IF(ISNUMBER(_xlfn.XLOOKUP($C97,Phone_by_Sentiment!$B$2:$B$37,Phone_by_Sentiment!F$2:F$37,"",0,1)),_xlfn.XLOOKUP($C97,Phone_by_Sentiment!$B$2:$B$37,Phone_by_Sentiment!F$2:F$37,"",0,1),0),$A97-TEXT(DATEVALUE($D97&amp;"-01"), "dd-mm-yyyy")),0),0)</f>
        <v>0</v>
      </c>
      <c r="G97" cm="1">
        <f t="array" ref="G97">IF($Q97&gt;=0,IFERROR(generateSalesData($D97, IF(ISNUMBER(_xlfn.XLOOKUP($C97,Phone_by_Sentiment!$B$2:$B$37,Phone_by_Sentiment!G$2:G$37,"",0,1)),_xlfn.XLOOKUP($C97,Phone_by_Sentiment!$B$2:$B$37,Phone_by_Sentiment!G$2:G$37,"",0,1),0),$A97-TEXT(DATEVALUE($D97&amp;"-01"), "dd-mm-yyyy")),0),0)</f>
        <v>0</v>
      </c>
      <c r="H97" cm="1">
        <f t="array" ref="H97">IF($Q97&gt;=0,IFERROR(generateSalesData($D97, IF(ISNUMBER(_xlfn.XLOOKUP($C97,Phone_by_Sentiment!$B$2:$B$37,Phone_by_Sentiment!H$2:H$37,"",0,1)),_xlfn.XLOOKUP($C97,Phone_by_Sentiment!$B$2:$B$37,Phone_by_Sentiment!H$2:H$37,"",0,1),0),$A97-TEXT(DATEVALUE($D97&amp;"-01"), "dd-mm-yyyy")),0),0)</f>
        <v>0</v>
      </c>
      <c r="I97" cm="1">
        <f t="array" ref="I97">IF($Q97&gt;=0,IFERROR(generateSalesData($D97, IF(ISNUMBER(_xlfn.XLOOKUP($C97,Phone_by_Sentiment!$B$2:$B$37,Phone_by_Sentiment!I$2:I$37,"",0,1)),_xlfn.XLOOKUP($C97,Phone_by_Sentiment!$B$2:$B$37,Phone_by_Sentiment!I$2:I$37,"",0,1),0),$A97-TEXT(DATEVALUE($D97&amp;"-01"), "dd-mm-yyyy")),0),0)</f>
        <v>0</v>
      </c>
      <c r="J97" cm="1">
        <f t="array" ref="J97">IF($Q97&gt;=0,IFERROR(generateSalesData($D97, IF(ISNUMBER(_xlfn.XLOOKUP($C97,Phone_by_Sentiment!$B$2:$B$37,Phone_by_Sentiment!J$2:J$37,"",0,1)),_xlfn.XLOOKUP($C97,Phone_by_Sentiment!$B$2:$B$37,Phone_by_Sentiment!J$2:J$37,"",0,1),0),$A97-TEXT(DATEVALUE($D97&amp;"-01"), "dd-mm-yyyy")),0),0)</f>
        <v>0</v>
      </c>
      <c r="K97" cm="1">
        <f t="array" ref="K97">IF($Q97&gt;=0,IFERROR(generateSalesData($D97, IF(ISNUMBER(_xlfn.XLOOKUP($C97,Phone_by_Sentiment!$B$2:$B$37,Phone_by_Sentiment!K$2:K$37,"",0,1)),_xlfn.XLOOKUP($C97,Phone_by_Sentiment!$B$2:$B$37,Phone_by_Sentiment!K$2:K$37,"",0,1),0),$A97-TEXT(DATEVALUE($D97&amp;"-01"), "dd-mm-yyyy")),0),0)</f>
        <v>0</v>
      </c>
      <c r="L97" cm="1">
        <f t="array" ref="L97">IF($Q97&gt;=0,IFERROR(generateSalesData($D97, IF(ISNUMBER(_xlfn.XLOOKUP($C97,Phone_by_Sentiment!$B$2:$B$37,Phone_by_Sentiment!L$2:L$37,"",0,1)),_xlfn.XLOOKUP($C97,Phone_by_Sentiment!$B$2:$B$37,Phone_by_Sentiment!L$2:L$37,"",0,1),0),$A97-TEXT(DATEVALUE($D97&amp;"-01"), "dd-mm-yyyy")),0),0)</f>
        <v>0</v>
      </c>
      <c r="M97" cm="1">
        <f t="array" ref="M97">IF($Q97&gt;=0,IFERROR(generateSalesData($D97, IF(ISNUMBER(_xlfn.XLOOKUP($C97,Phone_by_Sentiment!$B$2:$B$37,Phone_by_Sentiment!M$2:M$37,"",0,1)),_xlfn.XLOOKUP($C97,Phone_by_Sentiment!$B$2:$B$37,Phone_by_Sentiment!M$2:M$37,"",0,1),0),$A97-TEXT(DATEVALUE($D97&amp;"-01"), "dd-mm-yyyy")),0),0)</f>
        <v>0</v>
      </c>
      <c r="N97" cm="1">
        <f t="array" ref="N97">IF($Q97&gt;=0,IFERROR(generateSalesData($D97, IF(ISNUMBER(_xlfn.XLOOKUP($C97,Phone_by_Sentiment!$B$2:$B$37,Phone_by_Sentiment!N$2:N$37,"",0,1)),_xlfn.XLOOKUP($C97,Phone_by_Sentiment!$B$2:$B$37,Phone_by_Sentiment!N$2:N$37,"",0,1),0),$A97-TEXT(DATEVALUE($D97&amp;"-01"), "dd-mm-yyyy")),0),0)</f>
        <v>0</v>
      </c>
      <c r="O97" cm="1">
        <f t="array" ref="O97">IF($Q97&gt;=0,IFERROR(generateSalesData($D97, IF(ISNUMBER(_xlfn.XLOOKUP($C97,Phone_by_Sentiment!$B$2:$B$37,Phone_by_Sentiment!O$2:O$37,"",0,1)),_xlfn.XLOOKUP($C97,Phone_by_Sentiment!$B$2:$B$37,Phone_by_Sentiment!O$2:O$37,"",0,1),0),$A97-TEXT(DATEVALUE($D97&amp;"-01"), "dd-mm-yyyy")),0),0)</f>
        <v>0</v>
      </c>
      <c r="P97" s="1">
        <f t="shared" si="3"/>
        <v>44228</v>
      </c>
      <c r="Q97">
        <f t="shared" si="4"/>
        <v>-703</v>
      </c>
    </row>
    <row r="98" spans="1:17" x14ac:dyDescent="0.25">
      <c r="A98" s="1">
        <f t="shared" si="0"/>
        <v>43525</v>
      </c>
      <c r="B98" t="s">
        <v>171</v>
      </c>
      <c r="C98" t="str">
        <f>_xlfn.XLOOKUP(B98,Phone_by_Price!$A$2:$A$34,Phone_by_Price!$B$2:$B$34,"-",0,1)</f>
        <v>Samsung Galaxy A22 5G</v>
      </c>
      <c r="D98" t="str">
        <f>_xlfn.XLOOKUP(C98,Phone_by_Sentiment!$B$2:$B$37,Phone_by_Sentiment!$A$2:$A$37,"-",0,1)</f>
        <v>2021-05</v>
      </c>
      <c r="E98" cm="1">
        <f t="array" ref="E98">IF($Q98&gt;=0,IFERROR(generateSalesData($D98, IF(ISNUMBER(_xlfn.XLOOKUP($C98,Phone_by_Sentiment!$B$2:$B$37,Phone_by_Sentiment!E$2:E$37,"",0,1)),_xlfn.XLOOKUP($C98,Phone_by_Sentiment!$B$2:$B$37,Phone_by_Sentiment!E$2:E$37,"",0,1),0),$A98-TEXT(DATEVALUE($D98&amp;"-01"), "dd-mm-yyyy")),0),0)</f>
        <v>0</v>
      </c>
      <c r="F98" cm="1">
        <f t="array" ref="F98">IF($Q98&gt;=0,IFERROR(generateSalesData($D98, IF(ISNUMBER(_xlfn.XLOOKUP($C98,Phone_by_Sentiment!$B$2:$B$37,Phone_by_Sentiment!F$2:F$37,"",0,1)),_xlfn.XLOOKUP($C98,Phone_by_Sentiment!$B$2:$B$37,Phone_by_Sentiment!F$2:F$37,"",0,1),0),$A98-TEXT(DATEVALUE($D98&amp;"-01"), "dd-mm-yyyy")),0),0)</f>
        <v>0</v>
      </c>
      <c r="G98" cm="1">
        <f t="array" ref="G98">IF($Q98&gt;=0,IFERROR(generateSalesData($D98, IF(ISNUMBER(_xlfn.XLOOKUP($C98,Phone_by_Sentiment!$B$2:$B$37,Phone_by_Sentiment!G$2:G$37,"",0,1)),_xlfn.XLOOKUP($C98,Phone_by_Sentiment!$B$2:$B$37,Phone_by_Sentiment!G$2:G$37,"",0,1),0),$A98-TEXT(DATEVALUE($D98&amp;"-01"), "dd-mm-yyyy")),0),0)</f>
        <v>0</v>
      </c>
      <c r="H98" cm="1">
        <f t="array" ref="H98">IF($Q98&gt;=0,IFERROR(generateSalesData($D98, IF(ISNUMBER(_xlfn.XLOOKUP($C98,Phone_by_Sentiment!$B$2:$B$37,Phone_by_Sentiment!H$2:H$37,"",0,1)),_xlfn.XLOOKUP($C98,Phone_by_Sentiment!$B$2:$B$37,Phone_by_Sentiment!H$2:H$37,"",0,1),0),$A98-TEXT(DATEVALUE($D98&amp;"-01"), "dd-mm-yyyy")),0),0)</f>
        <v>0</v>
      </c>
      <c r="I98" cm="1">
        <f t="array" ref="I98">IF($Q98&gt;=0,IFERROR(generateSalesData($D98, IF(ISNUMBER(_xlfn.XLOOKUP($C98,Phone_by_Sentiment!$B$2:$B$37,Phone_by_Sentiment!I$2:I$37,"",0,1)),_xlfn.XLOOKUP($C98,Phone_by_Sentiment!$B$2:$B$37,Phone_by_Sentiment!I$2:I$37,"",0,1),0),$A98-TEXT(DATEVALUE($D98&amp;"-01"), "dd-mm-yyyy")),0),0)</f>
        <v>0</v>
      </c>
      <c r="J98" cm="1">
        <f t="array" ref="J98">IF($Q98&gt;=0,IFERROR(generateSalesData($D98, IF(ISNUMBER(_xlfn.XLOOKUP($C98,Phone_by_Sentiment!$B$2:$B$37,Phone_by_Sentiment!J$2:J$37,"",0,1)),_xlfn.XLOOKUP($C98,Phone_by_Sentiment!$B$2:$B$37,Phone_by_Sentiment!J$2:J$37,"",0,1),0),$A98-TEXT(DATEVALUE($D98&amp;"-01"), "dd-mm-yyyy")),0),0)</f>
        <v>0</v>
      </c>
      <c r="K98" cm="1">
        <f t="array" ref="K98">IF($Q98&gt;=0,IFERROR(generateSalesData($D98, IF(ISNUMBER(_xlfn.XLOOKUP($C98,Phone_by_Sentiment!$B$2:$B$37,Phone_by_Sentiment!K$2:K$37,"",0,1)),_xlfn.XLOOKUP($C98,Phone_by_Sentiment!$B$2:$B$37,Phone_by_Sentiment!K$2:K$37,"",0,1),0),$A98-TEXT(DATEVALUE($D98&amp;"-01"), "dd-mm-yyyy")),0),0)</f>
        <v>0</v>
      </c>
      <c r="L98" cm="1">
        <f t="array" ref="L98">IF($Q98&gt;=0,IFERROR(generateSalesData($D98, IF(ISNUMBER(_xlfn.XLOOKUP($C98,Phone_by_Sentiment!$B$2:$B$37,Phone_by_Sentiment!L$2:L$37,"",0,1)),_xlfn.XLOOKUP($C98,Phone_by_Sentiment!$B$2:$B$37,Phone_by_Sentiment!L$2:L$37,"",0,1),0),$A98-TEXT(DATEVALUE($D98&amp;"-01"), "dd-mm-yyyy")),0),0)</f>
        <v>0</v>
      </c>
      <c r="M98" cm="1">
        <f t="array" ref="M98">IF($Q98&gt;=0,IFERROR(generateSalesData($D98, IF(ISNUMBER(_xlfn.XLOOKUP($C98,Phone_by_Sentiment!$B$2:$B$37,Phone_by_Sentiment!M$2:M$37,"",0,1)),_xlfn.XLOOKUP($C98,Phone_by_Sentiment!$B$2:$B$37,Phone_by_Sentiment!M$2:M$37,"",0,1),0),$A98-TEXT(DATEVALUE($D98&amp;"-01"), "dd-mm-yyyy")),0),0)</f>
        <v>0</v>
      </c>
      <c r="N98" cm="1">
        <f t="array" ref="N98">IF($Q98&gt;=0,IFERROR(generateSalesData($D98, IF(ISNUMBER(_xlfn.XLOOKUP($C98,Phone_by_Sentiment!$B$2:$B$37,Phone_by_Sentiment!N$2:N$37,"",0,1)),_xlfn.XLOOKUP($C98,Phone_by_Sentiment!$B$2:$B$37,Phone_by_Sentiment!N$2:N$37,"",0,1),0),$A98-TEXT(DATEVALUE($D98&amp;"-01"), "dd-mm-yyyy")),0),0)</f>
        <v>0</v>
      </c>
      <c r="O98" cm="1">
        <f t="array" ref="O98">IF($Q98&gt;=0,IFERROR(generateSalesData($D98, IF(ISNUMBER(_xlfn.XLOOKUP($C98,Phone_by_Sentiment!$B$2:$B$37,Phone_by_Sentiment!O$2:O$37,"",0,1)),_xlfn.XLOOKUP($C98,Phone_by_Sentiment!$B$2:$B$37,Phone_by_Sentiment!O$2:O$37,"",0,1),0),$A98-TEXT(DATEVALUE($D98&amp;"-01"), "dd-mm-yyyy")),0),0)</f>
        <v>0</v>
      </c>
      <c r="P98" s="1">
        <f t="shared" si="3"/>
        <v>44317</v>
      </c>
      <c r="Q98">
        <f t="shared" si="4"/>
        <v>-792</v>
      </c>
    </row>
    <row r="99" spans="1:17" x14ac:dyDescent="0.25">
      <c r="A99" s="1">
        <f t="shared" si="0"/>
        <v>43525</v>
      </c>
      <c r="B99" t="s">
        <v>172</v>
      </c>
      <c r="C99" t="str">
        <f>_xlfn.XLOOKUP(B99,Phone_by_Price!$A$2:$A$34,Phone_by_Price!$B$2:$B$34,"-",0,1)</f>
        <v>Xiaomi Redmi 9</v>
      </c>
      <c r="D99" t="str">
        <f>_xlfn.XLOOKUP(C99,Phone_by_Sentiment!$B$2:$B$37,Phone_by_Sentiment!$A$2:$A$37,"-",0,1)</f>
        <v>2020-08</v>
      </c>
      <c r="E99" cm="1">
        <f t="array" ref="E99">IF($Q99&gt;=0,IFERROR(generateSalesData($D99, IF(ISNUMBER(_xlfn.XLOOKUP($C99,Phone_by_Sentiment!$B$2:$B$37,Phone_by_Sentiment!E$2:E$37,"",0,1)),_xlfn.XLOOKUP($C99,Phone_by_Sentiment!$B$2:$B$37,Phone_by_Sentiment!E$2:E$37,"",0,1),0),$A99-TEXT(DATEVALUE($D99&amp;"-01"), "dd-mm-yyyy")),0),0)</f>
        <v>0</v>
      </c>
      <c r="F99" cm="1">
        <f t="array" ref="F99">IF($Q99&gt;=0,IFERROR(generateSalesData($D99, IF(ISNUMBER(_xlfn.XLOOKUP($C99,Phone_by_Sentiment!$B$2:$B$37,Phone_by_Sentiment!F$2:F$37,"",0,1)),_xlfn.XLOOKUP($C99,Phone_by_Sentiment!$B$2:$B$37,Phone_by_Sentiment!F$2:F$37,"",0,1),0),$A99-TEXT(DATEVALUE($D99&amp;"-01"), "dd-mm-yyyy")),0),0)</f>
        <v>0</v>
      </c>
      <c r="G99" cm="1">
        <f t="array" ref="G99">IF($Q99&gt;=0,IFERROR(generateSalesData($D99, IF(ISNUMBER(_xlfn.XLOOKUP($C99,Phone_by_Sentiment!$B$2:$B$37,Phone_by_Sentiment!G$2:G$37,"",0,1)),_xlfn.XLOOKUP($C99,Phone_by_Sentiment!$B$2:$B$37,Phone_by_Sentiment!G$2:G$37,"",0,1),0),$A99-TEXT(DATEVALUE($D99&amp;"-01"), "dd-mm-yyyy")),0),0)</f>
        <v>0</v>
      </c>
      <c r="H99" cm="1">
        <f t="array" ref="H99">IF($Q99&gt;=0,IFERROR(generateSalesData($D99, IF(ISNUMBER(_xlfn.XLOOKUP($C99,Phone_by_Sentiment!$B$2:$B$37,Phone_by_Sentiment!H$2:H$37,"",0,1)),_xlfn.XLOOKUP($C99,Phone_by_Sentiment!$B$2:$B$37,Phone_by_Sentiment!H$2:H$37,"",0,1),0),$A99-TEXT(DATEVALUE($D99&amp;"-01"), "dd-mm-yyyy")),0),0)</f>
        <v>0</v>
      </c>
      <c r="I99" cm="1">
        <f t="array" ref="I99">IF($Q99&gt;=0,IFERROR(generateSalesData($D99, IF(ISNUMBER(_xlfn.XLOOKUP($C99,Phone_by_Sentiment!$B$2:$B$37,Phone_by_Sentiment!I$2:I$37,"",0,1)),_xlfn.XLOOKUP($C99,Phone_by_Sentiment!$B$2:$B$37,Phone_by_Sentiment!I$2:I$37,"",0,1),0),$A99-TEXT(DATEVALUE($D99&amp;"-01"), "dd-mm-yyyy")),0),0)</f>
        <v>0</v>
      </c>
      <c r="J99" cm="1">
        <f t="array" ref="J99">IF($Q99&gt;=0,IFERROR(generateSalesData($D99, IF(ISNUMBER(_xlfn.XLOOKUP($C99,Phone_by_Sentiment!$B$2:$B$37,Phone_by_Sentiment!J$2:J$37,"",0,1)),_xlfn.XLOOKUP($C99,Phone_by_Sentiment!$B$2:$B$37,Phone_by_Sentiment!J$2:J$37,"",0,1),0),$A99-TEXT(DATEVALUE($D99&amp;"-01"), "dd-mm-yyyy")),0),0)</f>
        <v>0</v>
      </c>
      <c r="K99" cm="1">
        <f t="array" ref="K99">IF($Q99&gt;=0,IFERROR(generateSalesData($D99, IF(ISNUMBER(_xlfn.XLOOKUP($C99,Phone_by_Sentiment!$B$2:$B$37,Phone_by_Sentiment!K$2:K$37,"",0,1)),_xlfn.XLOOKUP($C99,Phone_by_Sentiment!$B$2:$B$37,Phone_by_Sentiment!K$2:K$37,"",0,1),0),$A99-TEXT(DATEVALUE($D99&amp;"-01"), "dd-mm-yyyy")),0),0)</f>
        <v>0</v>
      </c>
      <c r="L99" cm="1">
        <f t="array" ref="L99">IF($Q99&gt;=0,IFERROR(generateSalesData($D99, IF(ISNUMBER(_xlfn.XLOOKUP($C99,Phone_by_Sentiment!$B$2:$B$37,Phone_by_Sentiment!L$2:L$37,"",0,1)),_xlfn.XLOOKUP($C99,Phone_by_Sentiment!$B$2:$B$37,Phone_by_Sentiment!L$2:L$37,"",0,1),0),$A99-TEXT(DATEVALUE($D99&amp;"-01"), "dd-mm-yyyy")),0),0)</f>
        <v>0</v>
      </c>
      <c r="M99" cm="1">
        <f t="array" ref="M99">IF($Q99&gt;=0,IFERROR(generateSalesData($D99, IF(ISNUMBER(_xlfn.XLOOKUP($C99,Phone_by_Sentiment!$B$2:$B$37,Phone_by_Sentiment!M$2:M$37,"",0,1)),_xlfn.XLOOKUP($C99,Phone_by_Sentiment!$B$2:$B$37,Phone_by_Sentiment!M$2:M$37,"",0,1),0),$A99-TEXT(DATEVALUE($D99&amp;"-01"), "dd-mm-yyyy")),0),0)</f>
        <v>0</v>
      </c>
      <c r="N99" cm="1">
        <f t="array" ref="N99">IF($Q99&gt;=0,IFERROR(generateSalesData($D99, IF(ISNUMBER(_xlfn.XLOOKUP($C99,Phone_by_Sentiment!$B$2:$B$37,Phone_by_Sentiment!N$2:N$37,"",0,1)),_xlfn.XLOOKUP($C99,Phone_by_Sentiment!$B$2:$B$37,Phone_by_Sentiment!N$2:N$37,"",0,1),0),$A99-TEXT(DATEVALUE($D99&amp;"-01"), "dd-mm-yyyy")),0),0)</f>
        <v>0</v>
      </c>
      <c r="O99" cm="1">
        <f t="array" ref="O99">IF($Q99&gt;=0,IFERROR(generateSalesData($D99, IF(ISNUMBER(_xlfn.XLOOKUP($C99,Phone_by_Sentiment!$B$2:$B$37,Phone_by_Sentiment!O$2:O$37,"",0,1)),_xlfn.XLOOKUP($C99,Phone_by_Sentiment!$B$2:$B$37,Phone_by_Sentiment!O$2:O$37,"",0,1),0),$A99-TEXT(DATEVALUE($D99&amp;"-01"), "dd-mm-yyyy")),0),0)</f>
        <v>0</v>
      </c>
      <c r="P99" s="1">
        <f t="shared" si="3"/>
        <v>44044</v>
      </c>
      <c r="Q99">
        <f t="shared" si="4"/>
        <v>-519</v>
      </c>
    </row>
    <row r="100" spans="1:17" x14ac:dyDescent="0.25">
      <c r="A100" s="1">
        <f t="shared" si="0"/>
        <v>43525</v>
      </c>
      <c r="B100" t="s">
        <v>173</v>
      </c>
      <c r="C100" t="str">
        <f>_xlfn.XLOOKUP(B100,Phone_by_Price!$A$2:$A$34,Phone_by_Price!$B$2:$B$34,"-",0,1)</f>
        <v>Realme C3</v>
      </c>
      <c r="D100" t="str">
        <f>_xlfn.XLOOKUP(C100,Phone_by_Sentiment!$B$2:$B$37,Phone_by_Sentiment!$A$2:$A$37,"-",0,1)</f>
        <v>2020-02</v>
      </c>
      <c r="E100" cm="1">
        <f t="array" ref="E100">IF($Q100&gt;=0,IFERROR(generateSalesData($D100, IF(ISNUMBER(_xlfn.XLOOKUP($C100,Phone_by_Sentiment!$B$2:$B$37,Phone_by_Sentiment!E$2:E$37,"",0,1)),_xlfn.XLOOKUP($C100,Phone_by_Sentiment!$B$2:$B$37,Phone_by_Sentiment!E$2:E$37,"",0,1),0),$A100-TEXT(DATEVALUE($D100&amp;"-01"), "dd-mm-yyyy")),0),0)</f>
        <v>0</v>
      </c>
      <c r="F100" cm="1">
        <f t="array" ref="F100">IF($Q100&gt;=0,IFERROR(generateSalesData($D100, IF(ISNUMBER(_xlfn.XLOOKUP($C100,Phone_by_Sentiment!$B$2:$B$37,Phone_by_Sentiment!F$2:F$37,"",0,1)),_xlfn.XLOOKUP($C100,Phone_by_Sentiment!$B$2:$B$37,Phone_by_Sentiment!F$2:F$37,"",0,1),0),$A100-TEXT(DATEVALUE($D100&amp;"-01"), "dd-mm-yyyy")),0),0)</f>
        <v>0</v>
      </c>
      <c r="G100" cm="1">
        <f t="array" ref="G100">IF($Q100&gt;=0,IFERROR(generateSalesData($D100, IF(ISNUMBER(_xlfn.XLOOKUP($C100,Phone_by_Sentiment!$B$2:$B$37,Phone_by_Sentiment!G$2:G$37,"",0,1)),_xlfn.XLOOKUP($C100,Phone_by_Sentiment!$B$2:$B$37,Phone_by_Sentiment!G$2:G$37,"",0,1),0),$A100-TEXT(DATEVALUE($D100&amp;"-01"), "dd-mm-yyyy")),0),0)</f>
        <v>0</v>
      </c>
      <c r="H100" cm="1">
        <f t="array" ref="H100">IF($Q100&gt;=0,IFERROR(generateSalesData($D100, IF(ISNUMBER(_xlfn.XLOOKUP($C100,Phone_by_Sentiment!$B$2:$B$37,Phone_by_Sentiment!H$2:H$37,"",0,1)),_xlfn.XLOOKUP($C100,Phone_by_Sentiment!$B$2:$B$37,Phone_by_Sentiment!H$2:H$37,"",0,1),0),$A100-TEXT(DATEVALUE($D100&amp;"-01"), "dd-mm-yyyy")),0),0)</f>
        <v>0</v>
      </c>
      <c r="I100" cm="1">
        <f t="array" ref="I100">IF($Q100&gt;=0,IFERROR(generateSalesData($D100, IF(ISNUMBER(_xlfn.XLOOKUP($C100,Phone_by_Sentiment!$B$2:$B$37,Phone_by_Sentiment!I$2:I$37,"",0,1)),_xlfn.XLOOKUP($C100,Phone_by_Sentiment!$B$2:$B$37,Phone_by_Sentiment!I$2:I$37,"",0,1),0),$A100-TEXT(DATEVALUE($D100&amp;"-01"), "dd-mm-yyyy")),0),0)</f>
        <v>0</v>
      </c>
      <c r="J100" cm="1">
        <f t="array" ref="J100">IF($Q100&gt;=0,IFERROR(generateSalesData($D100, IF(ISNUMBER(_xlfn.XLOOKUP($C100,Phone_by_Sentiment!$B$2:$B$37,Phone_by_Sentiment!J$2:J$37,"",0,1)),_xlfn.XLOOKUP($C100,Phone_by_Sentiment!$B$2:$B$37,Phone_by_Sentiment!J$2:J$37,"",0,1),0),$A100-TEXT(DATEVALUE($D100&amp;"-01"), "dd-mm-yyyy")),0),0)</f>
        <v>0</v>
      </c>
      <c r="K100" cm="1">
        <f t="array" ref="K100">IF($Q100&gt;=0,IFERROR(generateSalesData($D100, IF(ISNUMBER(_xlfn.XLOOKUP($C100,Phone_by_Sentiment!$B$2:$B$37,Phone_by_Sentiment!K$2:K$37,"",0,1)),_xlfn.XLOOKUP($C100,Phone_by_Sentiment!$B$2:$B$37,Phone_by_Sentiment!K$2:K$37,"",0,1),0),$A100-TEXT(DATEVALUE($D100&amp;"-01"), "dd-mm-yyyy")),0),0)</f>
        <v>0</v>
      </c>
      <c r="L100" cm="1">
        <f t="array" ref="L100">IF($Q100&gt;=0,IFERROR(generateSalesData($D100, IF(ISNUMBER(_xlfn.XLOOKUP($C100,Phone_by_Sentiment!$B$2:$B$37,Phone_by_Sentiment!L$2:L$37,"",0,1)),_xlfn.XLOOKUP($C100,Phone_by_Sentiment!$B$2:$B$37,Phone_by_Sentiment!L$2:L$37,"",0,1),0),$A100-TEXT(DATEVALUE($D100&amp;"-01"), "dd-mm-yyyy")),0),0)</f>
        <v>0</v>
      </c>
      <c r="M100" cm="1">
        <f t="array" ref="M100">IF($Q100&gt;=0,IFERROR(generateSalesData($D100, IF(ISNUMBER(_xlfn.XLOOKUP($C100,Phone_by_Sentiment!$B$2:$B$37,Phone_by_Sentiment!M$2:M$37,"",0,1)),_xlfn.XLOOKUP($C100,Phone_by_Sentiment!$B$2:$B$37,Phone_by_Sentiment!M$2:M$37,"",0,1),0),$A100-TEXT(DATEVALUE($D100&amp;"-01"), "dd-mm-yyyy")),0),0)</f>
        <v>0</v>
      </c>
      <c r="N100" cm="1">
        <f t="array" ref="N100">IF($Q100&gt;=0,IFERROR(generateSalesData($D100, IF(ISNUMBER(_xlfn.XLOOKUP($C100,Phone_by_Sentiment!$B$2:$B$37,Phone_by_Sentiment!N$2:N$37,"",0,1)),_xlfn.XLOOKUP($C100,Phone_by_Sentiment!$B$2:$B$37,Phone_by_Sentiment!N$2:N$37,"",0,1),0),$A100-TEXT(DATEVALUE($D100&amp;"-01"), "dd-mm-yyyy")),0),0)</f>
        <v>0</v>
      </c>
      <c r="O100" cm="1">
        <f t="array" ref="O100">IF($Q100&gt;=0,IFERROR(generateSalesData($D100, IF(ISNUMBER(_xlfn.XLOOKUP($C100,Phone_by_Sentiment!$B$2:$B$37,Phone_by_Sentiment!O$2:O$37,"",0,1)),_xlfn.XLOOKUP($C100,Phone_by_Sentiment!$B$2:$B$37,Phone_by_Sentiment!O$2:O$37,"",0,1),0),$A100-TEXT(DATEVALUE($D100&amp;"-01"), "dd-mm-yyyy")),0),0)</f>
        <v>0</v>
      </c>
      <c r="P100" s="1">
        <f t="shared" si="3"/>
        <v>43862</v>
      </c>
      <c r="Q100">
        <f t="shared" si="4"/>
        <v>-337</v>
      </c>
    </row>
    <row r="101" spans="1:17" x14ac:dyDescent="0.25">
      <c r="A101" s="1">
        <f t="shared" si="0"/>
        <v>43525</v>
      </c>
      <c r="B101" t="s">
        <v>174</v>
      </c>
      <c r="C101" t="str">
        <f>_xlfn.XLOOKUP(B101,Phone_by_Price!$A$2:$A$34,Phone_by_Price!$B$2:$B$34,"-",0,1)</f>
        <v>Samsung Galaxy A7</v>
      </c>
      <c r="D101" t="str">
        <f>_xlfn.XLOOKUP(C101,Phone_by_Sentiment!$B$2:$B$37,Phone_by_Sentiment!$A$2:$A$37,"-",0,1)</f>
        <v>2018-10</v>
      </c>
      <c r="E101" cm="1">
        <f t="array" ref="E101">IF($Q101&gt;=0,IFERROR(generateSalesData($D101, IF(ISNUMBER(_xlfn.XLOOKUP($C101,Phone_by_Sentiment!$B$2:$B$37,Phone_by_Sentiment!E$2:E$37,"",0,1)),_xlfn.XLOOKUP($C101,Phone_by_Sentiment!$B$2:$B$37,Phone_by_Sentiment!E$2:E$37,"",0,1),0),$A101-TEXT(DATEVALUE($D101&amp;"-01"), "dd-mm-yyyy")),0),0)</f>
        <v>397</v>
      </c>
      <c r="F101" cm="1">
        <f t="array" ref="F101">IF($Q101&gt;=0,IFERROR(generateSalesData($D101, IF(ISNUMBER(_xlfn.XLOOKUP($C101,Phone_by_Sentiment!$B$2:$B$37,Phone_by_Sentiment!F$2:F$37,"",0,1)),_xlfn.XLOOKUP($C101,Phone_by_Sentiment!$B$2:$B$37,Phone_by_Sentiment!F$2:F$37,"",0,1),0),$A101-TEXT(DATEVALUE($D101&amp;"-01"), "dd-mm-yyyy")),0),0)</f>
        <v>584</v>
      </c>
      <c r="G101" cm="1">
        <f t="array" ref="G101">IF($Q101&gt;=0,IFERROR(generateSalesData($D101, IF(ISNUMBER(_xlfn.XLOOKUP($C101,Phone_by_Sentiment!$B$2:$B$37,Phone_by_Sentiment!G$2:G$37,"",0,1)),_xlfn.XLOOKUP($C101,Phone_by_Sentiment!$B$2:$B$37,Phone_by_Sentiment!G$2:G$37,"",0,1),0),$A101-TEXT(DATEVALUE($D101&amp;"-01"), "dd-mm-yyyy")),0),0)</f>
        <v>490</v>
      </c>
      <c r="H101" cm="1">
        <f t="array" ref="H101">IF($Q101&gt;=0,IFERROR(generateSalesData($D101, IF(ISNUMBER(_xlfn.XLOOKUP($C101,Phone_by_Sentiment!$B$2:$B$37,Phone_by_Sentiment!H$2:H$37,"",0,1)),_xlfn.XLOOKUP($C101,Phone_by_Sentiment!$B$2:$B$37,Phone_by_Sentiment!H$2:H$37,"",0,1),0),$A101-TEXT(DATEVALUE($D101&amp;"-01"), "dd-mm-yyyy")),0),0)</f>
        <v>630</v>
      </c>
      <c r="I101" cm="1">
        <f t="array" ref="I101">IF($Q101&gt;=0,IFERROR(generateSalesData($D101, IF(ISNUMBER(_xlfn.XLOOKUP($C101,Phone_by_Sentiment!$B$2:$B$37,Phone_by_Sentiment!I$2:I$37,"",0,1)),_xlfn.XLOOKUP($C101,Phone_by_Sentiment!$B$2:$B$37,Phone_by_Sentiment!I$2:I$37,"",0,1),0),$A101-TEXT(DATEVALUE($D101&amp;"-01"), "dd-mm-yyyy")),0),0)</f>
        <v>2264</v>
      </c>
      <c r="J101" cm="1">
        <f t="array" ref="J101">IF($Q101&gt;=0,IFERROR(generateSalesData($D101, IF(ISNUMBER(_xlfn.XLOOKUP($C101,Phone_by_Sentiment!$B$2:$B$37,Phone_by_Sentiment!J$2:J$37,"",0,1)),_xlfn.XLOOKUP($C101,Phone_by_Sentiment!$B$2:$B$37,Phone_by_Sentiment!J$2:J$37,"",0,1),0),$A101-TEXT(DATEVALUE($D101&amp;"-01"), "dd-mm-yyyy")),0),0)</f>
        <v>53</v>
      </c>
      <c r="K101" cm="1">
        <f t="array" ref="K101">IF($Q101&gt;=0,IFERROR(generateSalesData($D101, IF(ISNUMBER(_xlfn.XLOOKUP($C101,Phone_by_Sentiment!$B$2:$B$37,Phone_by_Sentiment!K$2:K$37,"",0,1)),_xlfn.XLOOKUP($C101,Phone_by_Sentiment!$B$2:$B$37,Phone_by_Sentiment!K$2:K$37,"",0,1),0),$A101-TEXT(DATEVALUE($D101&amp;"-01"), "dd-mm-yyyy")),0),0)</f>
        <v>203</v>
      </c>
      <c r="L101" cm="1">
        <f t="array" ref="L101">IF($Q101&gt;=0,IFERROR(generateSalesData($D101, IF(ISNUMBER(_xlfn.XLOOKUP($C101,Phone_by_Sentiment!$B$2:$B$37,Phone_by_Sentiment!L$2:L$37,"",0,1)),_xlfn.XLOOKUP($C101,Phone_by_Sentiment!$B$2:$B$37,Phone_by_Sentiment!L$2:L$37,"",0,1),0),$A101-TEXT(DATEVALUE($D101&amp;"-01"), "dd-mm-yyyy")),0),0)</f>
        <v>642</v>
      </c>
      <c r="M101" cm="1">
        <f t="array" ref="M101">IF($Q101&gt;=0,IFERROR(generateSalesData($D101, IF(ISNUMBER(_xlfn.XLOOKUP($C101,Phone_by_Sentiment!$B$2:$B$37,Phone_by_Sentiment!M$2:M$37,"",0,1)),_xlfn.XLOOKUP($C101,Phone_by_Sentiment!$B$2:$B$37,Phone_by_Sentiment!M$2:M$37,"",0,1),0),$A101-TEXT(DATEVALUE($D101&amp;"-01"), "dd-mm-yyyy")),0),0)</f>
        <v>658</v>
      </c>
      <c r="N101" cm="1">
        <f t="array" ref="N101">IF($Q101&gt;=0,IFERROR(generateSalesData($D101, IF(ISNUMBER(_xlfn.XLOOKUP($C101,Phone_by_Sentiment!$B$2:$B$37,Phone_by_Sentiment!N$2:N$37,"",0,1)),_xlfn.XLOOKUP($C101,Phone_by_Sentiment!$B$2:$B$37,Phone_by_Sentiment!N$2:N$37,"",0,1),0),$A101-TEXT(DATEVALUE($D101&amp;"-01"), "dd-mm-yyyy")),0),0)</f>
        <v>2232</v>
      </c>
      <c r="O101" cm="1">
        <f t="array" ref="O101">IF($Q101&gt;=0,IFERROR(generateSalesData($D101, IF(ISNUMBER(_xlfn.XLOOKUP($C101,Phone_by_Sentiment!$B$2:$B$37,Phone_by_Sentiment!O$2:O$37,"",0,1)),_xlfn.XLOOKUP($C101,Phone_by_Sentiment!$B$2:$B$37,Phone_by_Sentiment!O$2:O$37,"",0,1),0),$A101-TEXT(DATEVALUE($D101&amp;"-01"), "dd-mm-yyyy")),0),0)</f>
        <v>3179</v>
      </c>
      <c r="P101" s="1">
        <f t="shared" si="3"/>
        <v>43374</v>
      </c>
      <c r="Q101">
        <f t="shared" si="4"/>
        <v>151</v>
      </c>
    </row>
    <row r="102" spans="1:17" x14ac:dyDescent="0.25">
      <c r="A102" s="1">
        <f t="shared" si="0"/>
        <v>43525</v>
      </c>
      <c r="B102" t="s">
        <v>142</v>
      </c>
      <c r="C102" t="str">
        <f>_xlfn.XLOOKUP(B102,Phone_by_Price!$A$2:$A$34,Phone_by_Price!$B$2:$B$34,"-",0,1)</f>
        <v>iPhone 11</v>
      </c>
      <c r="D102" t="str">
        <f>_xlfn.XLOOKUP(C102,Phone_by_Sentiment!$B$2:$B$37,Phone_by_Sentiment!$A$2:$A$37,"-",0,1)</f>
        <v>2019-09</v>
      </c>
      <c r="E102" cm="1">
        <f t="array" ref="E102">IF($Q102&gt;=0,IFERROR(generateSalesData($D102, IF(ISNUMBER(_xlfn.XLOOKUP($C102,Phone_by_Sentiment!$B$2:$B$37,Phone_by_Sentiment!E$2:E$37,"",0,1)),_xlfn.XLOOKUP($C102,Phone_by_Sentiment!$B$2:$B$37,Phone_by_Sentiment!E$2:E$37,"",0,1),0),$A102-TEXT(DATEVALUE($D102&amp;"-01"), "dd-mm-yyyy")),0),0)</f>
        <v>0</v>
      </c>
      <c r="F102" cm="1">
        <f t="array" ref="F102">IF($Q102&gt;=0,IFERROR(generateSalesData($D102, IF(ISNUMBER(_xlfn.XLOOKUP($C102,Phone_by_Sentiment!$B$2:$B$37,Phone_by_Sentiment!F$2:F$37,"",0,1)),_xlfn.XLOOKUP($C102,Phone_by_Sentiment!$B$2:$B$37,Phone_by_Sentiment!F$2:F$37,"",0,1),0),$A102-TEXT(DATEVALUE($D102&amp;"-01"), "dd-mm-yyyy")),0),0)</f>
        <v>0</v>
      </c>
      <c r="G102" cm="1">
        <f t="array" ref="G102">IF($Q102&gt;=0,IFERROR(generateSalesData($D102, IF(ISNUMBER(_xlfn.XLOOKUP($C102,Phone_by_Sentiment!$B$2:$B$37,Phone_by_Sentiment!G$2:G$37,"",0,1)),_xlfn.XLOOKUP($C102,Phone_by_Sentiment!$B$2:$B$37,Phone_by_Sentiment!G$2:G$37,"",0,1),0),$A102-TEXT(DATEVALUE($D102&amp;"-01"), "dd-mm-yyyy")),0),0)</f>
        <v>0</v>
      </c>
      <c r="H102" cm="1">
        <f t="array" ref="H102">IF($Q102&gt;=0,IFERROR(generateSalesData($D102, IF(ISNUMBER(_xlfn.XLOOKUP($C102,Phone_by_Sentiment!$B$2:$B$37,Phone_by_Sentiment!H$2:H$37,"",0,1)),_xlfn.XLOOKUP($C102,Phone_by_Sentiment!$B$2:$B$37,Phone_by_Sentiment!H$2:H$37,"",0,1),0),$A102-TEXT(DATEVALUE($D102&amp;"-01"), "dd-mm-yyyy")),0),0)</f>
        <v>0</v>
      </c>
      <c r="I102" cm="1">
        <f t="array" ref="I102">IF($Q102&gt;=0,IFERROR(generateSalesData($D102, IF(ISNUMBER(_xlfn.XLOOKUP($C102,Phone_by_Sentiment!$B$2:$B$37,Phone_by_Sentiment!I$2:I$37,"",0,1)),_xlfn.XLOOKUP($C102,Phone_by_Sentiment!$B$2:$B$37,Phone_by_Sentiment!I$2:I$37,"",0,1),0),$A102-TEXT(DATEVALUE($D102&amp;"-01"), "dd-mm-yyyy")),0),0)</f>
        <v>0</v>
      </c>
      <c r="J102" cm="1">
        <f t="array" ref="J102">IF($Q102&gt;=0,IFERROR(generateSalesData($D102, IF(ISNUMBER(_xlfn.XLOOKUP($C102,Phone_by_Sentiment!$B$2:$B$37,Phone_by_Sentiment!J$2:J$37,"",0,1)),_xlfn.XLOOKUP($C102,Phone_by_Sentiment!$B$2:$B$37,Phone_by_Sentiment!J$2:J$37,"",0,1),0),$A102-TEXT(DATEVALUE($D102&amp;"-01"), "dd-mm-yyyy")),0),0)</f>
        <v>0</v>
      </c>
      <c r="K102" cm="1">
        <f t="array" ref="K102">IF($Q102&gt;=0,IFERROR(generateSalesData($D102, IF(ISNUMBER(_xlfn.XLOOKUP($C102,Phone_by_Sentiment!$B$2:$B$37,Phone_by_Sentiment!K$2:K$37,"",0,1)),_xlfn.XLOOKUP($C102,Phone_by_Sentiment!$B$2:$B$37,Phone_by_Sentiment!K$2:K$37,"",0,1),0),$A102-TEXT(DATEVALUE($D102&amp;"-01"), "dd-mm-yyyy")),0),0)</f>
        <v>0</v>
      </c>
      <c r="L102" cm="1">
        <f t="array" ref="L102">IF($Q102&gt;=0,IFERROR(generateSalesData($D102, IF(ISNUMBER(_xlfn.XLOOKUP($C102,Phone_by_Sentiment!$B$2:$B$37,Phone_by_Sentiment!L$2:L$37,"",0,1)),_xlfn.XLOOKUP($C102,Phone_by_Sentiment!$B$2:$B$37,Phone_by_Sentiment!L$2:L$37,"",0,1),0),$A102-TEXT(DATEVALUE($D102&amp;"-01"), "dd-mm-yyyy")),0),0)</f>
        <v>0</v>
      </c>
      <c r="M102" cm="1">
        <f t="array" ref="M102">IF($Q102&gt;=0,IFERROR(generateSalesData($D102, IF(ISNUMBER(_xlfn.XLOOKUP($C102,Phone_by_Sentiment!$B$2:$B$37,Phone_by_Sentiment!M$2:M$37,"",0,1)),_xlfn.XLOOKUP($C102,Phone_by_Sentiment!$B$2:$B$37,Phone_by_Sentiment!M$2:M$37,"",0,1),0),$A102-TEXT(DATEVALUE($D102&amp;"-01"), "dd-mm-yyyy")),0),0)</f>
        <v>0</v>
      </c>
      <c r="N102" cm="1">
        <f t="array" ref="N102">IF($Q102&gt;=0,IFERROR(generateSalesData($D102, IF(ISNUMBER(_xlfn.XLOOKUP($C102,Phone_by_Sentiment!$B$2:$B$37,Phone_by_Sentiment!N$2:N$37,"",0,1)),_xlfn.XLOOKUP($C102,Phone_by_Sentiment!$B$2:$B$37,Phone_by_Sentiment!N$2:N$37,"",0,1),0),$A102-TEXT(DATEVALUE($D102&amp;"-01"), "dd-mm-yyyy")),0),0)</f>
        <v>0</v>
      </c>
      <c r="O102" cm="1">
        <f t="array" ref="O102">IF($Q102&gt;=0,IFERROR(generateSalesData($D102, IF(ISNUMBER(_xlfn.XLOOKUP($C102,Phone_by_Sentiment!$B$2:$B$37,Phone_by_Sentiment!O$2:O$37,"",0,1)),_xlfn.XLOOKUP($C102,Phone_by_Sentiment!$B$2:$B$37,Phone_by_Sentiment!O$2:O$37,"",0,1),0),$A102-TEXT(DATEVALUE($D102&amp;"-01"), "dd-mm-yyyy")),0),0)</f>
        <v>0</v>
      </c>
      <c r="P102" s="1">
        <f t="shared" si="3"/>
        <v>43709</v>
      </c>
      <c r="Q102">
        <f t="shared" si="4"/>
        <v>-184</v>
      </c>
    </row>
    <row r="103" spans="1:17" x14ac:dyDescent="0.25">
      <c r="A103" s="1">
        <f t="shared" si="0"/>
        <v>43525</v>
      </c>
      <c r="B103" t="s">
        <v>143</v>
      </c>
      <c r="C103" t="str">
        <f>_xlfn.XLOOKUP(B103,Phone_by_Price!$A$2:$A$34,Phone_by_Price!$B$2:$B$34,"-",0,1)</f>
        <v>Samsung Galaxy S20 Ultra</v>
      </c>
      <c r="D103" t="str">
        <f>_xlfn.XLOOKUP(C103,Phone_by_Sentiment!$B$2:$B$37,Phone_by_Sentiment!$A$2:$A$37,"-",0,1)</f>
        <v>2020-02</v>
      </c>
      <c r="E103" cm="1">
        <f t="array" ref="E103">IF($Q103&gt;=0,IFERROR(generateSalesData($D103, IF(ISNUMBER(_xlfn.XLOOKUP($C103,Phone_by_Sentiment!$B$2:$B$37,Phone_by_Sentiment!E$2:E$37,"",0,1)),_xlfn.XLOOKUP($C103,Phone_by_Sentiment!$B$2:$B$37,Phone_by_Sentiment!E$2:E$37,"",0,1),0),$A103-TEXT(DATEVALUE($D103&amp;"-01"), "dd-mm-yyyy")),0),0)</f>
        <v>0</v>
      </c>
      <c r="F103" cm="1">
        <f t="array" ref="F103">IF($Q103&gt;=0,IFERROR(generateSalesData($D103, IF(ISNUMBER(_xlfn.XLOOKUP($C103,Phone_by_Sentiment!$B$2:$B$37,Phone_by_Sentiment!F$2:F$37,"",0,1)),_xlfn.XLOOKUP($C103,Phone_by_Sentiment!$B$2:$B$37,Phone_by_Sentiment!F$2:F$37,"",0,1),0),$A103-TEXT(DATEVALUE($D103&amp;"-01"), "dd-mm-yyyy")),0),0)</f>
        <v>0</v>
      </c>
      <c r="G103" cm="1">
        <f t="array" ref="G103">IF($Q103&gt;=0,IFERROR(generateSalesData($D103, IF(ISNUMBER(_xlfn.XLOOKUP($C103,Phone_by_Sentiment!$B$2:$B$37,Phone_by_Sentiment!G$2:G$37,"",0,1)),_xlfn.XLOOKUP($C103,Phone_by_Sentiment!$B$2:$B$37,Phone_by_Sentiment!G$2:G$37,"",0,1),0),$A103-TEXT(DATEVALUE($D103&amp;"-01"), "dd-mm-yyyy")),0),0)</f>
        <v>0</v>
      </c>
      <c r="H103" cm="1">
        <f t="array" ref="H103">IF($Q103&gt;=0,IFERROR(generateSalesData($D103, IF(ISNUMBER(_xlfn.XLOOKUP($C103,Phone_by_Sentiment!$B$2:$B$37,Phone_by_Sentiment!H$2:H$37,"",0,1)),_xlfn.XLOOKUP($C103,Phone_by_Sentiment!$B$2:$B$37,Phone_by_Sentiment!H$2:H$37,"",0,1),0),$A103-TEXT(DATEVALUE($D103&amp;"-01"), "dd-mm-yyyy")),0),0)</f>
        <v>0</v>
      </c>
      <c r="I103" cm="1">
        <f t="array" ref="I103">IF($Q103&gt;=0,IFERROR(generateSalesData($D103, IF(ISNUMBER(_xlfn.XLOOKUP($C103,Phone_by_Sentiment!$B$2:$B$37,Phone_by_Sentiment!I$2:I$37,"",0,1)),_xlfn.XLOOKUP($C103,Phone_by_Sentiment!$B$2:$B$37,Phone_by_Sentiment!I$2:I$37,"",0,1),0),$A103-TEXT(DATEVALUE($D103&amp;"-01"), "dd-mm-yyyy")),0),0)</f>
        <v>0</v>
      </c>
      <c r="J103" cm="1">
        <f t="array" ref="J103">IF($Q103&gt;=0,IFERROR(generateSalesData($D103, IF(ISNUMBER(_xlfn.XLOOKUP($C103,Phone_by_Sentiment!$B$2:$B$37,Phone_by_Sentiment!J$2:J$37,"",0,1)),_xlfn.XLOOKUP($C103,Phone_by_Sentiment!$B$2:$B$37,Phone_by_Sentiment!J$2:J$37,"",0,1),0),$A103-TEXT(DATEVALUE($D103&amp;"-01"), "dd-mm-yyyy")),0),0)</f>
        <v>0</v>
      </c>
      <c r="K103" cm="1">
        <f t="array" ref="K103">IF($Q103&gt;=0,IFERROR(generateSalesData($D103, IF(ISNUMBER(_xlfn.XLOOKUP($C103,Phone_by_Sentiment!$B$2:$B$37,Phone_by_Sentiment!K$2:K$37,"",0,1)),_xlfn.XLOOKUP($C103,Phone_by_Sentiment!$B$2:$B$37,Phone_by_Sentiment!K$2:K$37,"",0,1),0),$A103-TEXT(DATEVALUE($D103&amp;"-01"), "dd-mm-yyyy")),0),0)</f>
        <v>0</v>
      </c>
      <c r="L103" cm="1">
        <f t="array" ref="L103">IF($Q103&gt;=0,IFERROR(generateSalesData($D103, IF(ISNUMBER(_xlfn.XLOOKUP($C103,Phone_by_Sentiment!$B$2:$B$37,Phone_by_Sentiment!L$2:L$37,"",0,1)),_xlfn.XLOOKUP($C103,Phone_by_Sentiment!$B$2:$B$37,Phone_by_Sentiment!L$2:L$37,"",0,1),0),$A103-TEXT(DATEVALUE($D103&amp;"-01"), "dd-mm-yyyy")),0),0)</f>
        <v>0</v>
      </c>
      <c r="M103" cm="1">
        <f t="array" ref="M103">IF($Q103&gt;=0,IFERROR(generateSalesData($D103, IF(ISNUMBER(_xlfn.XLOOKUP($C103,Phone_by_Sentiment!$B$2:$B$37,Phone_by_Sentiment!M$2:M$37,"",0,1)),_xlfn.XLOOKUP($C103,Phone_by_Sentiment!$B$2:$B$37,Phone_by_Sentiment!M$2:M$37,"",0,1),0),$A103-TEXT(DATEVALUE($D103&amp;"-01"), "dd-mm-yyyy")),0),0)</f>
        <v>0</v>
      </c>
      <c r="N103" cm="1">
        <f t="array" ref="N103">IF($Q103&gt;=0,IFERROR(generateSalesData($D103, IF(ISNUMBER(_xlfn.XLOOKUP($C103,Phone_by_Sentiment!$B$2:$B$37,Phone_by_Sentiment!N$2:N$37,"",0,1)),_xlfn.XLOOKUP($C103,Phone_by_Sentiment!$B$2:$B$37,Phone_by_Sentiment!N$2:N$37,"",0,1),0),$A103-TEXT(DATEVALUE($D103&amp;"-01"), "dd-mm-yyyy")),0),0)</f>
        <v>0</v>
      </c>
      <c r="O103" cm="1">
        <f t="array" ref="O103">IF($Q103&gt;=0,IFERROR(generateSalesData($D103, IF(ISNUMBER(_xlfn.XLOOKUP($C103,Phone_by_Sentiment!$B$2:$B$37,Phone_by_Sentiment!O$2:O$37,"",0,1)),_xlfn.XLOOKUP($C103,Phone_by_Sentiment!$B$2:$B$37,Phone_by_Sentiment!O$2:O$37,"",0,1),0),$A103-TEXT(DATEVALUE($D103&amp;"-01"), "dd-mm-yyyy")),0),0)</f>
        <v>0</v>
      </c>
      <c r="P103" s="1">
        <f t="shared" si="3"/>
        <v>43862</v>
      </c>
      <c r="Q103">
        <f t="shared" si="4"/>
        <v>-337</v>
      </c>
    </row>
    <row r="104" spans="1:17" x14ac:dyDescent="0.25">
      <c r="A104" s="1">
        <f t="shared" si="0"/>
        <v>43525</v>
      </c>
      <c r="B104" t="s">
        <v>144</v>
      </c>
      <c r="C104" t="str">
        <f>_xlfn.XLOOKUP(B104,Phone_by_Price!$A$2:$A$34,Phone_by_Price!$B$2:$B$34,"-",0,1)</f>
        <v>Xiaomi Redmi Note 10</v>
      </c>
      <c r="D104" t="str">
        <f>_xlfn.XLOOKUP(C104,Phone_by_Sentiment!$B$2:$B$37,Phone_by_Sentiment!$A$2:$A$37,"-",0,1)</f>
        <v>2021-03</v>
      </c>
      <c r="E104" cm="1">
        <f t="array" ref="E104">IF($Q104&gt;=0,IFERROR(generateSalesData($D104, IF(ISNUMBER(_xlfn.XLOOKUP($C104,Phone_by_Sentiment!$B$2:$B$37,Phone_by_Sentiment!E$2:E$37,"",0,1)),_xlfn.XLOOKUP($C104,Phone_by_Sentiment!$B$2:$B$37,Phone_by_Sentiment!E$2:E$37,"",0,1),0),$A104-TEXT(DATEVALUE($D104&amp;"-01"), "dd-mm-yyyy")),0),0)</f>
        <v>0</v>
      </c>
      <c r="F104" cm="1">
        <f t="array" ref="F104">IF($Q104&gt;=0,IFERROR(generateSalesData($D104, IF(ISNUMBER(_xlfn.XLOOKUP($C104,Phone_by_Sentiment!$B$2:$B$37,Phone_by_Sentiment!F$2:F$37,"",0,1)),_xlfn.XLOOKUP($C104,Phone_by_Sentiment!$B$2:$B$37,Phone_by_Sentiment!F$2:F$37,"",0,1),0),$A104-TEXT(DATEVALUE($D104&amp;"-01"), "dd-mm-yyyy")),0),0)</f>
        <v>0</v>
      </c>
      <c r="G104" cm="1">
        <f t="array" ref="G104">IF($Q104&gt;=0,IFERROR(generateSalesData($D104, IF(ISNUMBER(_xlfn.XLOOKUP($C104,Phone_by_Sentiment!$B$2:$B$37,Phone_by_Sentiment!G$2:G$37,"",0,1)),_xlfn.XLOOKUP($C104,Phone_by_Sentiment!$B$2:$B$37,Phone_by_Sentiment!G$2:G$37,"",0,1),0),$A104-TEXT(DATEVALUE($D104&amp;"-01"), "dd-mm-yyyy")),0),0)</f>
        <v>0</v>
      </c>
      <c r="H104" cm="1">
        <f t="array" ref="H104">IF($Q104&gt;=0,IFERROR(generateSalesData($D104, IF(ISNUMBER(_xlfn.XLOOKUP($C104,Phone_by_Sentiment!$B$2:$B$37,Phone_by_Sentiment!H$2:H$37,"",0,1)),_xlfn.XLOOKUP($C104,Phone_by_Sentiment!$B$2:$B$37,Phone_by_Sentiment!H$2:H$37,"",0,1),0),$A104-TEXT(DATEVALUE($D104&amp;"-01"), "dd-mm-yyyy")),0),0)</f>
        <v>0</v>
      </c>
      <c r="I104" cm="1">
        <f t="array" ref="I104">IF($Q104&gt;=0,IFERROR(generateSalesData($D104, IF(ISNUMBER(_xlfn.XLOOKUP($C104,Phone_by_Sentiment!$B$2:$B$37,Phone_by_Sentiment!I$2:I$37,"",0,1)),_xlfn.XLOOKUP($C104,Phone_by_Sentiment!$B$2:$B$37,Phone_by_Sentiment!I$2:I$37,"",0,1),0),$A104-TEXT(DATEVALUE($D104&amp;"-01"), "dd-mm-yyyy")),0),0)</f>
        <v>0</v>
      </c>
      <c r="J104" cm="1">
        <f t="array" ref="J104">IF($Q104&gt;=0,IFERROR(generateSalesData($D104, IF(ISNUMBER(_xlfn.XLOOKUP($C104,Phone_by_Sentiment!$B$2:$B$37,Phone_by_Sentiment!J$2:J$37,"",0,1)),_xlfn.XLOOKUP($C104,Phone_by_Sentiment!$B$2:$B$37,Phone_by_Sentiment!J$2:J$37,"",0,1),0),$A104-TEXT(DATEVALUE($D104&amp;"-01"), "dd-mm-yyyy")),0),0)</f>
        <v>0</v>
      </c>
      <c r="K104" cm="1">
        <f t="array" ref="K104">IF($Q104&gt;=0,IFERROR(generateSalesData($D104, IF(ISNUMBER(_xlfn.XLOOKUP($C104,Phone_by_Sentiment!$B$2:$B$37,Phone_by_Sentiment!K$2:K$37,"",0,1)),_xlfn.XLOOKUP($C104,Phone_by_Sentiment!$B$2:$B$37,Phone_by_Sentiment!K$2:K$37,"",0,1),0),$A104-TEXT(DATEVALUE($D104&amp;"-01"), "dd-mm-yyyy")),0),0)</f>
        <v>0</v>
      </c>
      <c r="L104" cm="1">
        <f t="array" ref="L104">IF($Q104&gt;=0,IFERROR(generateSalesData($D104, IF(ISNUMBER(_xlfn.XLOOKUP($C104,Phone_by_Sentiment!$B$2:$B$37,Phone_by_Sentiment!L$2:L$37,"",0,1)),_xlfn.XLOOKUP($C104,Phone_by_Sentiment!$B$2:$B$37,Phone_by_Sentiment!L$2:L$37,"",0,1),0),$A104-TEXT(DATEVALUE($D104&amp;"-01"), "dd-mm-yyyy")),0),0)</f>
        <v>0</v>
      </c>
      <c r="M104" cm="1">
        <f t="array" ref="M104">IF($Q104&gt;=0,IFERROR(generateSalesData($D104, IF(ISNUMBER(_xlfn.XLOOKUP($C104,Phone_by_Sentiment!$B$2:$B$37,Phone_by_Sentiment!M$2:M$37,"",0,1)),_xlfn.XLOOKUP($C104,Phone_by_Sentiment!$B$2:$B$37,Phone_by_Sentiment!M$2:M$37,"",0,1),0),$A104-TEXT(DATEVALUE($D104&amp;"-01"), "dd-mm-yyyy")),0),0)</f>
        <v>0</v>
      </c>
      <c r="N104" cm="1">
        <f t="array" ref="N104">IF($Q104&gt;=0,IFERROR(generateSalesData($D104, IF(ISNUMBER(_xlfn.XLOOKUP($C104,Phone_by_Sentiment!$B$2:$B$37,Phone_by_Sentiment!N$2:N$37,"",0,1)),_xlfn.XLOOKUP($C104,Phone_by_Sentiment!$B$2:$B$37,Phone_by_Sentiment!N$2:N$37,"",0,1),0),$A104-TEXT(DATEVALUE($D104&amp;"-01"), "dd-mm-yyyy")),0),0)</f>
        <v>0</v>
      </c>
      <c r="O104" cm="1">
        <f t="array" ref="O104">IF($Q104&gt;=0,IFERROR(generateSalesData($D104, IF(ISNUMBER(_xlfn.XLOOKUP($C104,Phone_by_Sentiment!$B$2:$B$37,Phone_by_Sentiment!O$2:O$37,"",0,1)),_xlfn.XLOOKUP($C104,Phone_by_Sentiment!$B$2:$B$37,Phone_by_Sentiment!O$2:O$37,"",0,1),0),$A104-TEXT(DATEVALUE($D104&amp;"-01"), "dd-mm-yyyy")),0),0)</f>
        <v>0</v>
      </c>
      <c r="P104" s="1">
        <f t="shared" si="3"/>
        <v>44256</v>
      </c>
      <c r="Q104">
        <f t="shared" si="4"/>
        <v>-731</v>
      </c>
    </row>
    <row r="105" spans="1:17" x14ac:dyDescent="0.25">
      <c r="A105" s="1">
        <f t="shared" si="0"/>
        <v>43525</v>
      </c>
      <c r="B105" t="s">
        <v>145</v>
      </c>
      <c r="C105" t="str">
        <f>_xlfn.XLOOKUP(B105,Phone_by_Price!$A$2:$A$34,Phone_by_Price!$B$2:$B$34,"-",0,1)</f>
        <v>OPPO A54</v>
      </c>
      <c r="D105" t="str">
        <f>_xlfn.XLOOKUP(C105,Phone_by_Sentiment!$B$2:$B$37,Phone_by_Sentiment!$A$2:$A$37,"-",0,1)</f>
        <v>2021-04</v>
      </c>
      <c r="E105" cm="1">
        <f t="array" ref="E105">IF($Q105&gt;=0,IFERROR(generateSalesData($D105, IF(ISNUMBER(_xlfn.XLOOKUP($C105,Phone_by_Sentiment!$B$2:$B$37,Phone_by_Sentiment!E$2:E$37,"",0,1)),_xlfn.XLOOKUP($C105,Phone_by_Sentiment!$B$2:$B$37,Phone_by_Sentiment!E$2:E$37,"",0,1),0),$A105-TEXT(DATEVALUE($D105&amp;"-01"), "dd-mm-yyyy")),0),0)</f>
        <v>0</v>
      </c>
      <c r="F105" cm="1">
        <f t="array" ref="F105">IF($Q105&gt;=0,IFERROR(generateSalesData($D105, IF(ISNUMBER(_xlfn.XLOOKUP($C105,Phone_by_Sentiment!$B$2:$B$37,Phone_by_Sentiment!F$2:F$37,"",0,1)),_xlfn.XLOOKUP($C105,Phone_by_Sentiment!$B$2:$B$37,Phone_by_Sentiment!F$2:F$37,"",0,1),0),$A105-TEXT(DATEVALUE($D105&amp;"-01"), "dd-mm-yyyy")),0),0)</f>
        <v>0</v>
      </c>
      <c r="G105" cm="1">
        <f t="array" ref="G105">IF($Q105&gt;=0,IFERROR(generateSalesData($D105, IF(ISNUMBER(_xlfn.XLOOKUP($C105,Phone_by_Sentiment!$B$2:$B$37,Phone_by_Sentiment!G$2:G$37,"",0,1)),_xlfn.XLOOKUP($C105,Phone_by_Sentiment!$B$2:$B$37,Phone_by_Sentiment!G$2:G$37,"",0,1),0),$A105-TEXT(DATEVALUE($D105&amp;"-01"), "dd-mm-yyyy")),0),0)</f>
        <v>0</v>
      </c>
      <c r="H105" cm="1">
        <f t="array" ref="H105">IF($Q105&gt;=0,IFERROR(generateSalesData($D105, IF(ISNUMBER(_xlfn.XLOOKUP($C105,Phone_by_Sentiment!$B$2:$B$37,Phone_by_Sentiment!H$2:H$37,"",0,1)),_xlfn.XLOOKUP($C105,Phone_by_Sentiment!$B$2:$B$37,Phone_by_Sentiment!H$2:H$37,"",0,1),0),$A105-TEXT(DATEVALUE($D105&amp;"-01"), "dd-mm-yyyy")),0),0)</f>
        <v>0</v>
      </c>
      <c r="I105" cm="1">
        <f t="array" ref="I105">IF($Q105&gt;=0,IFERROR(generateSalesData($D105, IF(ISNUMBER(_xlfn.XLOOKUP($C105,Phone_by_Sentiment!$B$2:$B$37,Phone_by_Sentiment!I$2:I$37,"",0,1)),_xlfn.XLOOKUP($C105,Phone_by_Sentiment!$B$2:$B$37,Phone_by_Sentiment!I$2:I$37,"",0,1),0),$A105-TEXT(DATEVALUE($D105&amp;"-01"), "dd-mm-yyyy")),0),0)</f>
        <v>0</v>
      </c>
      <c r="J105" cm="1">
        <f t="array" ref="J105">IF($Q105&gt;=0,IFERROR(generateSalesData($D105, IF(ISNUMBER(_xlfn.XLOOKUP($C105,Phone_by_Sentiment!$B$2:$B$37,Phone_by_Sentiment!J$2:J$37,"",0,1)),_xlfn.XLOOKUP($C105,Phone_by_Sentiment!$B$2:$B$37,Phone_by_Sentiment!J$2:J$37,"",0,1),0),$A105-TEXT(DATEVALUE($D105&amp;"-01"), "dd-mm-yyyy")),0),0)</f>
        <v>0</v>
      </c>
      <c r="K105" cm="1">
        <f t="array" ref="K105">IF($Q105&gt;=0,IFERROR(generateSalesData($D105, IF(ISNUMBER(_xlfn.XLOOKUP($C105,Phone_by_Sentiment!$B$2:$B$37,Phone_by_Sentiment!K$2:K$37,"",0,1)),_xlfn.XLOOKUP($C105,Phone_by_Sentiment!$B$2:$B$37,Phone_by_Sentiment!K$2:K$37,"",0,1),0),$A105-TEXT(DATEVALUE($D105&amp;"-01"), "dd-mm-yyyy")),0),0)</f>
        <v>0</v>
      </c>
      <c r="L105" cm="1">
        <f t="array" ref="L105">IF($Q105&gt;=0,IFERROR(generateSalesData($D105, IF(ISNUMBER(_xlfn.XLOOKUP($C105,Phone_by_Sentiment!$B$2:$B$37,Phone_by_Sentiment!L$2:L$37,"",0,1)),_xlfn.XLOOKUP($C105,Phone_by_Sentiment!$B$2:$B$37,Phone_by_Sentiment!L$2:L$37,"",0,1),0),$A105-TEXT(DATEVALUE($D105&amp;"-01"), "dd-mm-yyyy")),0),0)</f>
        <v>0</v>
      </c>
      <c r="M105" cm="1">
        <f t="array" ref="M105">IF($Q105&gt;=0,IFERROR(generateSalesData($D105, IF(ISNUMBER(_xlfn.XLOOKUP($C105,Phone_by_Sentiment!$B$2:$B$37,Phone_by_Sentiment!M$2:M$37,"",0,1)),_xlfn.XLOOKUP($C105,Phone_by_Sentiment!$B$2:$B$37,Phone_by_Sentiment!M$2:M$37,"",0,1),0),$A105-TEXT(DATEVALUE($D105&amp;"-01"), "dd-mm-yyyy")),0),0)</f>
        <v>0</v>
      </c>
      <c r="N105" cm="1">
        <f t="array" ref="N105">IF($Q105&gt;=0,IFERROR(generateSalesData($D105, IF(ISNUMBER(_xlfn.XLOOKUP($C105,Phone_by_Sentiment!$B$2:$B$37,Phone_by_Sentiment!N$2:N$37,"",0,1)),_xlfn.XLOOKUP($C105,Phone_by_Sentiment!$B$2:$B$37,Phone_by_Sentiment!N$2:N$37,"",0,1),0),$A105-TEXT(DATEVALUE($D105&amp;"-01"), "dd-mm-yyyy")),0),0)</f>
        <v>0</v>
      </c>
      <c r="O105" cm="1">
        <f t="array" ref="O105">IF($Q105&gt;=0,IFERROR(generateSalesData($D105, IF(ISNUMBER(_xlfn.XLOOKUP($C105,Phone_by_Sentiment!$B$2:$B$37,Phone_by_Sentiment!O$2:O$37,"",0,1)),_xlfn.XLOOKUP($C105,Phone_by_Sentiment!$B$2:$B$37,Phone_by_Sentiment!O$2:O$37,"",0,1),0),$A105-TEXT(DATEVALUE($D105&amp;"-01"), "dd-mm-yyyy")),0),0)</f>
        <v>0</v>
      </c>
      <c r="P105" s="1">
        <f t="shared" si="3"/>
        <v>44287</v>
      </c>
      <c r="Q105">
        <f t="shared" si="4"/>
        <v>-762</v>
      </c>
    </row>
    <row r="106" spans="1:17" x14ac:dyDescent="0.25">
      <c r="A106" s="1">
        <f t="shared" si="0"/>
        <v>43556</v>
      </c>
      <c r="B106" t="s">
        <v>146</v>
      </c>
      <c r="C106" t="str">
        <f>_xlfn.XLOOKUP(B106,Phone_by_Price!$A$2:$A$34,Phone_by_Price!$B$2:$B$34,"-",0,1)</f>
        <v>Vivo Y20</v>
      </c>
      <c r="D106" t="str">
        <f>_xlfn.XLOOKUP(C106,Phone_by_Sentiment!$B$2:$B$37,Phone_by_Sentiment!$A$2:$A$37,"-",0,1)</f>
        <v>2020-09</v>
      </c>
      <c r="E106" cm="1">
        <f t="array" ref="E106">IF($Q106&gt;=0,IFERROR(generateSalesData($D106, IF(ISNUMBER(_xlfn.XLOOKUP($C106,Phone_by_Sentiment!$B$2:$B$37,Phone_by_Sentiment!E$2:E$37,"",0,1)),_xlfn.XLOOKUP($C106,Phone_by_Sentiment!$B$2:$B$37,Phone_by_Sentiment!E$2:E$37,"",0,1),0),$A106-TEXT(DATEVALUE($D106&amp;"-01"), "dd-mm-yyyy")),0),0)</f>
        <v>0</v>
      </c>
      <c r="F106" cm="1">
        <f t="array" ref="F106">IF($Q106&gt;=0,IFERROR(generateSalesData($D106, IF(ISNUMBER(_xlfn.XLOOKUP($C106,Phone_by_Sentiment!$B$2:$B$37,Phone_by_Sentiment!F$2:F$37,"",0,1)),_xlfn.XLOOKUP($C106,Phone_by_Sentiment!$B$2:$B$37,Phone_by_Sentiment!F$2:F$37,"",0,1),0),$A106-TEXT(DATEVALUE($D106&amp;"-01"), "dd-mm-yyyy")),0),0)</f>
        <v>0</v>
      </c>
      <c r="G106" cm="1">
        <f t="array" ref="G106">IF($Q106&gt;=0,IFERROR(generateSalesData($D106, IF(ISNUMBER(_xlfn.XLOOKUP($C106,Phone_by_Sentiment!$B$2:$B$37,Phone_by_Sentiment!G$2:G$37,"",0,1)),_xlfn.XLOOKUP($C106,Phone_by_Sentiment!$B$2:$B$37,Phone_by_Sentiment!G$2:G$37,"",0,1),0),$A106-TEXT(DATEVALUE($D106&amp;"-01"), "dd-mm-yyyy")),0),0)</f>
        <v>0</v>
      </c>
      <c r="H106" cm="1">
        <f t="array" ref="H106">IF($Q106&gt;=0,IFERROR(generateSalesData($D106, IF(ISNUMBER(_xlfn.XLOOKUP($C106,Phone_by_Sentiment!$B$2:$B$37,Phone_by_Sentiment!H$2:H$37,"",0,1)),_xlfn.XLOOKUP($C106,Phone_by_Sentiment!$B$2:$B$37,Phone_by_Sentiment!H$2:H$37,"",0,1),0),$A106-TEXT(DATEVALUE($D106&amp;"-01"), "dd-mm-yyyy")),0),0)</f>
        <v>0</v>
      </c>
      <c r="I106" cm="1">
        <f t="array" ref="I106">IF($Q106&gt;=0,IFERROR(generateSalesData($D106, IF(ISNUMBER(_xlfn.XLOOKUP($C106,Phone_by_Sentiment!$B$2:$B$37,Phone_by_Sentiment!I$2:I$37,"",0,1)),_xlfn.XLOOKUP($C106,Phone_by_Sentiment!$B$2:$B$37,Phone_by_Sentiment!I$2:I$37,"",0,1),0),$A106-TEXT(DATEVALUE($D106&amp;"-01"), "dd-mm-yyyy")),0),0)</f>
        <v>0</v>
      </c>
      <c r="J106" cm="1">
        <f t="array" ref="J106">IF($Q106&gt;=0,IFERROR(generateSalesData($D106, IF(ISNUMBER(_xlfn.XLOOKUP($C106,Phone_by_Sentiment!$B$2:$B$37,Phone_by_Sentiment!J$2:J$37,"",0,1)),_xlfn.XLOOKUP($C106,Phone_by_Sentiment!$B$2:$B$37,Phone_by_Sentiment!J$2:J$37,"",0,1),0),$A106-TEXT(DATEVALUE($D106&amp;"-01"), "dd-mm-yyyy")),0),0)</f>
        <v>0</v>
      </c>
      <c r="K106" cm="1">
        <f t="array" ref="K106">IF($Q106&gt;=0,IFERROR(generateSalesData($D106, IF(ISNUMBER(_xlfn.XLOOKUP($C106,Phone_by_Sentiment!$B$2:$B$37,Phone_by_Sentiment!K$2:K$37,"",0,1)),_xlfn.XLOOKUP($C106,Phone_by_Sentiment!$B$2:$B$37,Phone_by_Sentiment!K$2:K$37,"",0,1),0),$A106-TEXT(DATEVALUE($D106&amp;"-01"), "dd-mm-yyyy")),0),0)</f>
        <v>0</v>
      </c>
      <c r="L106" cm="1">
        <f t="array" ref="L106">IF($Q106&gt;=0,IFERROR(generateSalesData($D106, IF(ISNUMBER(_xlfn.XLOOKUP($C106,Phone_by_Sentiment!$B$2:$B$37,Phone_by_Sentiment!L$2:L$37,"",0,1)),_xlfn.XLOOKUP($C106,Phone_by_Sentiment!$B$2:$B$37,Phone_by_Sentiment!L$2:L$37,"",0,1),0),$A106-TEXT(DATEVALUE($D106&amp;"-01"), "dd-mm-yyyy")),0),0)</f>
        <v>0</v>
      </c>
      <c r="M106" cm="1">
        <f t="array" ref="M106">IF($Q106&gt;=0,IFERROR(generateSalesData($D106, IF(ISNUMBER(_xlfn.XLOOKUP($C106,Phone_by_Sentiment!$B$2:$B$37,Phone_by_Sentiment!M$2:M$37,"",0,1)),_xlfn.XLOOKUP($C106,Phone_by_Sentiment!$B$2:$B$37,Phone_by_Sentiment!M$2:M$37,"",0,1),0),$A106-TEXT(DATEVALUE($D106&amp;"-01"), "dd-mm-yyyy")),0),0)</f>
        <v>0</v>
      </c>
      <c r="N106" cm="1">
        <f t="array" ref="N106">IF($Q106&gt;=0,IFERROR(generateSalesData($D106, IF(ISNUMBER(_xlfn.XLOOKUP($C106,Phone_by_Sentiment!$B$2:$B$37,Phone_by_Sentiment!N$2:N$37,"",0,1)),_xlfn.XLOOKUP($C106,Phone_by_Sentiment!$B$2:$B$37,Phone_by_Sentiment!N$2:N$37,"",0,1),0),$A106-TEXT(DATEVALUE($D106&amp;"-01"), "dd-mm-yyyy")),0),0)</f>
        <v>0</v>
      </c>
      <c r="O106" cm="1">
        <f t="array" ref="O106">IF($Q106&gt;=0,IFERROR(generateSalesData($D106, IF(ISNUMBER(_xlfn.XLOOKUP($C106,Phone_by_Sentiment!$B$2:$B$37,Phone_by_Sentiment!O$2:O$37,"",0,1)),_xlfn.XLOOKUP($C106,Phone_by_Sentiment!$B$2:$B$37,Phone_by_Sentiment!O$2:O$37,"",0,1),0),$A106-TEXT(DATEVALUE($D106&amp;"-01"), "dd-mm-yyyy")),0),0)</f>
        <v>0</v>
      </c>
      <c r="P106" s="1">
        <f t="shared" si="3"/>
        <v>44075</v>
      </c>
      <c r="Q106">
        <f t="shared" si="4"/>
        <v>-519</v>
      </c>
    </row>
    <row r="107" spans="1:17" x14ac:dyDescent="0.25">
      <c r="A107" s="1">
        <f t="shared" si="0"/>
        <v>43556</v>
      </c>
      <c r="B107" t="s">
        <v>147</v>
      </c>
      <c r="C107" t="str">
        <f>_xlfn.XLOOKUP(B107,Phone_by_Price!$A$2:$A$34,Phone_by_Price!$B$2:$B$34,"-",0,1)</f>
        <v>Huawei Y9a</v>
      </c>
      <c r="D107" t="str">
        <f>_xlfn.XLOOKUP(C107,Phone_by_Sentiment!$B$2:$B$37,Phone_by_Sentiment!$A$2:$A$37,"-",0,1)</f>
        <v>2020-02</v>
      </c>
      <c r="E107" cm="1">
        <f t="array" ref="E107">IF($Q107&gt;=0,IFERROR(generateSalesData($D107, IF(ISNUMBER(_xlfn.XLOOKUP($C107,Phone_by_Sentiment!$B$2:$B$37,Phone_by_Sentiment!E$2:E$37,"",0,1)),_xlfn.XLOOKUP($C107,Phone_by_Sentiment!$B$2:$B$37,Phone_by_Sentiment!E$2:E$37,"",0,1),0),$A107-TEXT(DATEVALUE($D107&amp;"-01"), "dd-mm-yyyy")),0),0)</f>
        <v>0</v>
      </c>
      <c r="F107" cm="1">
        <f t="array" ref="F107">IF($Q107&gt;=0,IFERROR(generateSalesData($D107, IF(ISNUMBER(_xlfn.XLOOKUP($C107,Phone_by_Sentiment!$B$2:$B$37,Phone_by_Sentiment!F$2:F$37,"",0,1)),_xlfn.XLOOKUP($C107,Phone_by_Sentiment!$B$2:$B$37,Phone_by_Sentiment!F$2:F$37,"",0,1),0),$A107-TEXT(DATEVALUE($D107&amp;"-01"), "dd-mm-yyyy")),0),0)</f>
        <v>0</v>
      </c>
      <c r="G107" cm="1">
        <f t="array" ref="G107">IF($Q107&gt;=0,IFERROR(generateSalesData($D107, IF(ISNUMBER(_xlfn.XLOOKUP($C107,Phone_by_Sentiment!$B$2:$B$37,Phone_by_Sentiment!G$2:G$37,"",0,1)),_xlfn.XLOOKUP($C107,Phone_by_Sentiment!$B$2:$B$37,Phone_by_Sentiment!G$2:G$37,"",0,1),0),$A107-TEXT(DATEVALUE($D107&amp;"-01"), "dd-mm-yyyy")),0),0)</f>
        <v>0</v>
      </c>
      <c r="H107" cm="1">
        <f t="array" ref="H107">IF($Q107&gt;=0,IFERROR(generateSalesData($D107, IF(ISNUMBER(_xlfn.XLOOKUP($C107,Phone_by_Sentiment!$B$2:$B$37,Phone_by_Sentiment!H$2:H$37,"",0,1)),_xlfn.XLOOKUP($C107,Phone_by_Sentiment!$B$2:$B$37,Phone_by_Sentiment!H$2:H$37,"",0,1),0),$A107-TEXT(DATEVALUE($D107&amp;"-01"), "dd-mm-yyyy")),0),0)</f>
        <v>0</v>
      </c>
      <c r="I107" cm="1">
        <f t="array" ref="I107">IF($Q107&gt;=0,IFERROR(generateSalesData($D107, IF(ISNUMBER(_xlfn.XLOOKUP($C107,Phone_by_Sentiment!$B$2:$B$37,Phone_by_Sentiment!I$2:I$37,"",0,1)),_xlfn.XLOOKUP($C107,Phone_by_Sentiment!$B$2:$B$37,Phone_by_Sentiment!I$2:I$37,"",0,1),0),$A107-TEXT(DATEVALUE($D107&amp;"-01"), "dd-mm-yyyy")),0),0)</f>
        <v>0</v>
      </c>
      <c r="J107" cm="1">
        <f t="array" ref="J107">IF($Q107&gt;=0,IFERROR(generateSalesData($D107, IF(ISNUMBER(_xlfn.XLOOKUP($C107,Phone_by_Sentiment!$B$2:$B$37,Phone_by_Sentiment!J$2:J$37,"",0,1)),_xlfn.XLOOKUP($C107,Phone_by_Sentiment!$B$2:$B$37,Phone_by_Sentiment!J$2:J$37,"",0,1),0),$A107-TEXT(DATEVALUE($D107&amp;"-01"), "dd-mm-yyyy")),0),0)</f>
        <v>0</v>
      </c>
      <c r="K107" cm="1">
        <f t="array" ref="K107">IF($Q107&gt;=0,IFERROR(generateSalesData($D107, IF(ISNUMBER(_xlfn.XLOOKUP($C107,Phone_by_Sentiment!$B$2:$B$37,Phone_by_Sentiment!K$2:K$37,"",0,1)),_xlfn.XLOOKUP($C107,Phone_by_Sentiment!$B$2:$B$37,Phone_by_Sentiment!K$2:K$37,"",0,1),0),$A107-TEXT(DATEVALUE($D107&amp;"-01"), "dd-mm-yyyy")),0),0)</f>
        <v>0</v>
      </c>
      <c r="L107" cm="1">
        <f t="array" ref="L107">IF($Q107&gt;=0,IFERROR(generateSalesData($D107, IF(ISNUMBER(_xlfn.XLOOKUP($C107,Phone_by_Sentiment!$B$2:$B$37,Phone_by_Sentiment!L$2:L$37,"",0,1)),_xlfn.XLOOKUP($C107,Phone_by_Sentiment!$B$2:$B$37,Phone_by_Sentiment!L$2:L$37,"",0,1),0),$A107-TEXT(DATEVALUE($D107&amp;"-01"), "dd-mm-yyyy")),0),0)</f>
        <v>0</v>
      </c>
      <c r="M107" cm="1">
        <f t="array" ref="M107">IF($Q107&gt;=0,IFERROR(generateSalesData($D107, IF(ISNUMBER(_xlfn.XLOOKUP($C107,Phone_by_Sentiment!$B$2:$B$37,Phone_by_Sentiment!M$2:M$37,"",0,1)),_xlfn.XLOOKUP($C107,Phone_by_Sentiment!$B$2:$B$37,Phone_by_Sentiment!M$2:M$37,"",0,1),0),$A107-TEXT(DATEVALUE($D107&amp;"-01"), "dd-mm-yyyy")),0),0)</f>
        <v>0</v>
      </c>
      <c r="N107" cm="1">
        <f t="array" ref="N107">IF($Q107&gt;=0,IFERROR(generateSalesData($D107, IF(ISNUMBER(_xlfn.XLOOKUP($C107,Phone_by_Sentiment!$B$2:$B$37,Phone_by_Sentiment!N$2:N$37,"",0,1)),_xlfn.XLOOKUP($C107,Phone_by_Sentiment!$B$2:$B$37,Phone_by_Sentiment!N$2:N$37,"",0,1),0),$A107-TEXT(DATEVALUE($D107&amp;"-01"), "dd-mm-yyyy")),0),0)</f>
        <v>0</v>
      </c>
      <c r="O107" cm="1">
        <f t="array" ref="O107">IF($Q107&gt;=0,IFERROR(generateSalesData($D107, IF(ISNUMBER(_xlfn.XLOOKUP($C107,Phone_by_Sentiment!$B$2:$B$37,Phone_by_Sentiment!O$2:O$37,"",0,1)),_xlfn.XLOOKUP($C107,Phone_by_Sentiment!$B$2:$B$37,Phone_by_Sentiment!O$2:O$37,"",0,1),0),$A107-TEXT(DATEVALUE($D107&amp;"-01"), "dd-mm-yyyy")),0),0)</f>
        <v>0</v>
      </c>
      <c r="P107" s="1">
        <f t="shared" si="3"/>
        <v>43862</v>
      </c>
      <c r="Q107">
        <f t="shared" si="4"/>
        <v>-306</v>
      </c>
    </row>
    <row r="108" spans="1:17" x14ac:dyDescent="0.25">
      <c r="A108" s="1">
        <f t="shared" si="0"/>
        <v>43556</v>
      </c>
      <c r="B108" t="s">
        <v>148</v>
      </c>
      <c r="C108" t="str">
        <f>_xlfn.XLOOKUP(B108,Phone_by_Price!$A$2:$A$34,Phone_by_Price!$B$2:$B$34,"-",0,1)</f>
        <v>Xiaomi Redmi 10</v>
      </c>
      <c r="D108" t="str">
        <f>_xlfn.XLOOKUP(C108,Phone_by_Sentiment!$B$2:$B$37,Phone_by_Sentiment!$A$2:$A$37,"-",0,1)</f>
        <v>2021-03</v>
      </c>
      <c r="E108" cm="1">
        <f t="array" ref="E108">IF($Q108&gt;=0,IFERROR(generateSalesData($D108, IF(ISNUMBER(_xlfn.XLOOKUP($C108,Phone_by_Sentiment!$B$2:$B$37,Phone_by_Sentiment!E$2:E$37,"",0,1)),_xlfn.XLOOKUP($C108,Phone_by_Sentiment!$B$2:$B$37,Phone_by_Sentiment!E$2:E$37,"",0,1),0),$A108-TEXT(DATEVALUE($D108&amp;"-01"), "dd-mm-yyyy")),0),0)</f>
        <v>0</v>
      </c>
      <c r="F108" cm="1">
        <f t="array" ref="F108">IF($Q108&gt;=0,IFERROR(generateSalesData($D108, IF(ISNUMBER(_xlfn.XLOOKUP($C108,Phone_by_Sentiment!$B$2:$B$37,Phone_by_Sentiment!F$2:F$37,"",0,1)),_xlfn.XLOOKUP($C108,Phone_by_Sentiment!$B$2:$B$37,Phone_by_Sentiment!F$2:F$37,"",0,1),0),$A108-TEXT(DATEVALUE($D108&amp;"-01"), "dd-mm-yyyy")),0),0)</f>
        <v>0</v>
      </c>
      <c r="G108" cm="1">
        <f t="array" ref="G108">IF($Q108&gt;=0,IFERROR(generateSalesData($D108, IF(ISNUMBER(_xlfn.XLOOKUP($C108,Phone_by_Sentiment!$B$2:$B$37,Phone_by_Sentiment!G$2:G$37,"",0,1)),_xlfn.XLOOKUP($C108,Phone_by_Sentiment!$B$2:$B$37,Phone_by_Sentiment!G$2:G$37,"",0,1),0),$A108-TEXT(DATEVALUE($D108&amp;"-01"), "dd-mm-yyyy")),0),0)</f>
        <v>0</v>
      </c>
      <c r="H108" cm="1">
        <f t="array" ref="H108">IF($Q108&gt;=0,IFERROR(generateSalesData($D108, IF(ISNUMBER(_xlfn.XLOOKUP($C108,Phone_by_Sentiment!$B$2:$B$37,Phone_by_Sentiment!H$2:H$37,"",0,1)),_xlfn.XLOOKUP($C108,Phone_by_Sentiment!$B$2:$B$37,Phone_by_Sentiment!H$2:H$37,"",0,1),0),$A108-TEXT(DATEVALUE($D108&amp;"-01"), "dd-mm-yyyy")),0),0)</f>
        <v>0</v>
      </c>
      <c r="I108" cm="1">
        <f t="array" ref="I108">IF($Q108&gt;=0,IFERROR(generateSalesData($D108, IF(ISNUMBER(_xlfn.XLOOKUP($C108,Phone_by_Sentiment!$B$2:$B$37,Phone_by_Sentiment!I$2:I$37,"",0,1)),_xlfn.XLOOKUP($C108,Phone_by_Sentiment!$B$2:$B$37,Phone_by_Sentiment!I$2:I$37,"",0,1),0),$A108-TEXT(DATEVALUE($D108&amp;"-01"), "dd-mm-yyyy")),0),0)</f>
        <v>0</v>
      </c>
      <c r="J108" cm="1">
        <f t="array" ref="J108">IF($Q108&gt;=0,IFERROR(generateSalesData($D108, IF(ISNUMBER(_xlfn.XLOOKUP($C108,Phone_by_Sentiment!$B$2:$B$37,Phone_by_Sentiment!J$2:J$37,"",0,1)),_xlfn.XLOOKUP($C108,Phone_by_Sentiment!$B$2:$B$37,Phone_by_Sentiment!J$2:J$37,"",0,1),0),$A108-TEXT(DATEVALUE($D108&amp;"-01"), "dd-mm-yyyy")),0),0)</f>
        <v>0</v>
      </c>
      <c r="K108" cm="1">
        <f t="array" ref="K108">IF($Q108&gt;=0,IFERROR(generateSalesData($D108, IF(ISNUMBER(_xlfn.XLOOKUP($C108,Phone_by_Sentiment!$B$2:$B$37,Phone_by_Sentiment!K$2:K$37,"",0,1)),_xlfn.XLOOKUP($C108,Phone_by_Sentiment!$B$2:$B$37,Phone_by_Sentiment!K$2:K$37,"",0,1),0),$A108-TEXT(DATEVALUE($D108&amp;"-01"), "dd-mm-yyyy")),0),0)</f>
        <v>0</v>
      </c>
      <c r="L108" cm="1">
        <f t="array" ref="L108">IF($Q108&gt;=0,IFERROR(generateSalesData($D108, IF(ISNUMBER(_xlfn.XLOOKUP($C108,Phone_by_Sentiment!$B$2:$B$37,Phone_by_Sentiment!L$2:L$37,"",0,1)),_xlfn.XLOOKUP($C108,Phone_by_Sentiment!$B$2:$B$37,Phone_by_Sentiment!L$2:L$37,"",0,1),0),$A108-TEXT(DATEVALUE($D108&amp;"-01"), "dd-mm-yyyy")),0),0)</f>
        <v>0</v>
      </c>
      <c r="M108" cm="1">
        <f t="array" ref="M108">IF($Q108&gt;=0,IFERROR(generateSalesData($D108, IF(ISNUMBER(_xlfn.XLOOKUP($C108,Phone_by_Sentiment!$B$2:$B$37,Phone_by_Sentiment!M$2:M$37,"",0,1)),_xlfn.XLOOKUP($C108,Phone_by_Sentiment!$B$2:$B$37,Phone_by_Sentiment!M$2:M$37,"",0,1),0),$A108-TEXT(DATEVALUE($D108&amp;"-01"), "dd-mm-yyyy")),0),0)</f>
        <v>0</v>
      </c>
      <c r="N108" cm="1">
        <f t="array" ref="N108">IF($Q108&gt;=0,IFERROR(generateSalesData($D108, IF(ISNUMBER(_xlfn.XLOOKUP($C108,Phone_by_Sentiment!$B$2:$B$37,Phone_by_Sentiment!N$2:N$37,"",0,1)),_xlfn.XLOOKUP($C108,Phone_by_Sentiment!$B$2:$B$37,Phone_by_Sentiment!N$2:N$37,"",0,1),0),$A108-TEXT(DATEVALUE($D108&amp;"-01"), "dd-mm-yyyy")),0),0)</f>
        <v>0</v>
      </c>
      <c r="O108" cm="1">
        <f t="array" ref="O108">IF($Q108&gt;=0,IFERROR(generateSalesData($D108, IF(ISNUMBER(_xlfn.XLOOKUP($C108,Phone_by_Sentiment!$B$2:$B$37,Phone_by_Sentiment!O$2:O$37,"",0,1)),_xlfn.XLOOKUP($C108,Phone_by_Sentiment!$B$2:$B$37,Phone_by_Sentiment!O$2:O$37,"",0,1),0),$A108-TEXT(DATEVALUE($D108&amp;"-01"), "dd-mm-yyyy")),0),0)</f>
        <v>0</v>
      </c>
      <c r="P108" s="1">
        <f t="shared" si="3"/>
        <v>44256</v>
      </c>
      <c r="Q108">
        <f t="shared" si="4"/>
        <v>-700</v>
      </c>
    </row>
    <row r="109" spans="1:17" x14ac:dyDescent="0.25">
      <c r="A109" s="1">
        <f t="shared" si="0"/>
        <v>43556</v>
      </c>
      <c r="B109" t="s">
        <v>149</v>
      </c>
      <c r="C109" t="str">
        <f>_xlfn.XLOOKUP(B109,Phone_by_Price!$A$2:$A$34,Phone_by_Price!$B$2:$B$34,"-",0,1)</f>
        <v>Samsung Galaxy A52</v>
      </c>
      <c r="D109" t="str">
        <f>_xlfn.XLOOKUP(C109,Phone_by_Sentiment!$B$2:$B$37,Phone_by_Sentiment!$A$2:$A$37,"-",0,1)</f>
        <v>2021-03</v>
      </c>
      <c r="E109" cm="1">
        <f t="array" ref="E109">IF($Q109&gt;=0,IFERROR(generateSalesData($D109, IF(ISNUMBER(_xlfn.XLOOKUP($C109,Phone_by_Sentiment!$B$2:$B$37,Phone_by_Sentiment!E$2:E$37,"",0,1)),_xlfn.XLOOKUP($C109,Phone_by_Sentiment!$B$2:$B$37,Phone_by_Sentiment!E$2:E$37,"",0,1),0),$A109-TEXT(DATEVALUE($D109&amp;"-01"), "dd-mm-yyyy")),0),0)</f>
        <v>0</v>
      </c>
      <c r="F109" cm="1">
        <f t="array" ref="F109">IF($Q109&gt;=0,IFERROR(generateSalesData($D109, IF(ISNUMBER(_xlfn.XLOOKUP($C109,Phone_by_Sentiment!$B$2:$B$37,Phone_by_Sentiment!F$2:F$37,"",0,1)),_xlfn.XLOOKUP($C109,Phone_by_Sentiment!$B$2:$B$37,Phone_by_Sentiment!F$2:F$37,"",0,1),0),$A109-TEXT(DATEVALUE($D109&amp;"-01"), "dd-mm-yyyy")),0),0)</f>
        <v>0</v>
      </c>
      <c r="G109" cm="1">
        <f t="array" ref="G109">IF($Q109&gt;=0,IFERROR(generateSalesData($D109, IF(ISNUMBER(_xlfn.XLOOKUP($C109,Phone_by_Sentiment!$B$2:$B$37,Phone_by_Sentiment!G$2:G$37,"",0,1)),_xlfn.XLOOKUP($C109,Phone_by_Sentiment!$B$2:$B$37,Phone_by_Sentiment!G$2:G$37,"",0,1),0),$A109-TEXT(DATEVALUE($D109&amp;"-01"), "dd-mm-yyyy")),0),0)</f>
        <v>0</v>
      </c>
      <c r="H109" cm="1">
        <f t="array" ref="H109">IF($Q109&gt;=0,IFERROR(generateSalesData($D109, IF(ISNUMBER(_xlfn.XLOOKUP($C109,Phone_by_Sentiment!$B$2:$B$37,Phone_by_Sentiment!H$2:H$37,"",0,1)),_xlfn.XLOOKUP($C109,Phone_by_Sentiment!$B$2:$B$37,Phone_by_Sentiment!H$2:H$37,"",0,1),0),$A109-TEXT(DATEVALUE($D109&amp;"-01"), "dd-mm-yyyy")),0),0)</f>
        <v>0</v>
      </c>
      <c r="I109" cm="1">
        <f t="array" ref="I109">IF($Q109&gt;=0,IFERROR(generateSalesData($D109, IF(ISNUMBER(_xlfn.XLOOKUP($C109,Phone_by_Sentiment!$B$2:$B$37,Phone_by_Sentiment!I$2:I$37,"",0,1)),_xlfn.XLOOKUP($C109,Phone_by_Sentiment!$B$2:$B$37,Phone_by_Sentiment!I$2:I$37,"",0,1),0),$A109-TEXT(DATEVALUE($D109&amp;"-01"), "dd-mm-yyyy")),0),0)</f>
        <v>0</v>
      </c>
      <c r="J109" cm="1">
        <f t="array" ref="J109">IF($Q109&gt;=0,IFERROR(generateSalesData($D109, IF(ISNUMBER(_xlfn.XLOOKUP($C109,Phone_by_Sentiment!$B$2:$B$37,Phone_by_Sentiment!J$2:J$37,"",0,1)),_xlfn.XLOOKUP($C109,Phone_by_Sentiment!$B$2:$B$37,Phone_by_Sentiment!J$2:J$37,"",0,1),0),$A109-TEXT(DATEVALUE($D109&amp;"-01"), "dd-mm-yyyy")),0),0)</f>
        <v>0</v>
      </c>
      <c r="K109" cm="1">
        <f t="array" ref="K109">IF($Q109&gt;=0,IFERROR(generateSalesData($D109, IF(ISNUMBER(_xlfn.XLOOKUP($C109,Phone_by_Sentiment!$B$2:$B$37,Phone_by_Sentiment!K$2:K$37,"",0,1)),_xlfn.XLOOKUP($C109,Phone_by_Sentiment!$B$2:$B$37,Phone_by_Sentiment!K$2:K$37,"",0,1),0),$A109-TEXT(DATEVALUE($D109&amp;"-01"), "dd-mm-yyyy")),0),0)</f>
        <v>0</v>
      </c>
      <c r="L109" cm="1">
        <f t="array" ref="L109">IF($Q109&gt;=0,IFERROR(generateSalesData($D109, IF(ISNUMBER(_xlfn.XLOOKUP($C109,Phone_by_Sentiment!$B$2:$B$37,Phone_by_Sentiment!L$2:L$37,"",0,1)),_xlfn.XLOOKUP($C109,Phone_by_Sentiment!$B$2:$B$37,Phone_by_Sentiment!L$2:L$37,"",0,1),0),$A109-TEXT(DATEVALUE($D109&amp;"-01"), "dd-mm-yyyy")),0),0)</f>
        <v>0</v>
      </c>
      <c r="M109" cm="1">
        <f t="array" ref="M109">IF($Q109&gt;=0,IFERROR(generateSalesData($D109, IF(ISNUMBER(_xlfn.XLOOKUP($C109,Phone_by_Sentiment!$B$2:$B$37,Phone_by_Sentiment!M$2:M$37,"",0,1)),_xlfn.XLOOKUP($C109,Phone_by_Sentiment!$B$2:$B$37,Phone_by_Sentiment!M$2:M$37,"",0,1),0),$A109-TEXT(DATEVALUE($D109&amp;"-01"), "dd-mm-yyyy")),0),0)</f>
        <v>0</v>
      </c>
      <c r="N109" cm="1">
        <f t="array" ref="N109">IF($Q109&gt;=0,IFERROR(generateSalesData($D109, IF(ISNUMBER(_xlfn.XLOOKUP($C109,Phone_by_Sentiment!$B$2:$B$37,Phone_by_Sentiment!N$2:N$37,"",0,1)),_xlfn.XLOOKUP($C109,Phone_by_Sentiment!$B$2:$B$37,Phone_by_Sentiment!N$2:N$37,"",0,1),0),$A109-TEXT(DATEVALUE($D109&amp;"-01"), "dd-mm-yyyy")),0),0)</f>
        <v>0</v>
      </c>
      <c r="O109" cm="1">
        <f t="array" ref="O109">IF($Q109&gt;=0,IFERROR(generateSalesData($D109, IF(ISNUMBER(_xlfn.XLOOKUP($C109,Phone_by_Sentiment!$B$2:$B$37,Phone_by_Sentiment!O$2:O$37,"",0,1)),_xlfn.XLOOKUP($C109,Phone_by_Sentiment!$B$2:$B$37,Phone_by_Sentiment!O$2:O$37,"",0,1),0),$A109-TEXT(DATEVALUE($D109&amp;"-01"), "dd-mm-yyyy")),0),0)</f>
        <v>0</v>
      </c>
      <c r="P109" s="1">
        <f t="shared" si="3"/>
        <v>44256</v>
      </c>
      <c r="Q109">
        <f t="shared" si="4"/>
        <v>-700</v>
      </c>
    </row>
    <row r="110" spans="1:17" x14ac:dyDescent="0.25">
      <c r="A110" s="1">
        <f t="shared" si="0"/>
        <v>43556</v>
      </c>
      <c r="B110" t="s">
        <v>150</v>
      </c>
      <c r="C110" t="str">
        <f>_xlfn.XLOOKUP(B110,Phone_by_Price!$A$2:$A$34,Phone_by_Price!$B$2:$B$34,"-",0,1)</f>
        <v>Vivo Y33s</v>
      </c>
      <c r="D110" t="str">
        <f>_xlfn.XLOOKUP(C110,Phone_by_Sentiment!$B$2:$B$37,Phone_by_Sentiment!$A$2:$A$37,"-",0,1)</f>
        <v>2021-05</v>
      </c>
      <c r="E110" cm="1">
        <f t="array" ref="E110">IF($Q110&gt;=0,IFERROR(generateSalesData($D110, IF(ISNUMBER(_xlfn.XLOOKUP($C110,Phone_by_Sentiment!$B$2:$B$37,Phone_by_Sentiment!E$2:E$37,"",0,1)),_xlfn.XLOOKUP($C110,Phone_by_Sentiment!$B$2:$B$37,Phone_by_Sentiment!E$2:E$37,"",0,1),0),$A110-TEXT(DATEVALUE($D110&amp;"-01"), "dd-mm-yyyy")),0),0)</f>
        <v>0</v>
      </c>
      <c r="F110" cm="1">
        <f t="array" ref="F110">IF($Q110&gt;=0,IFERROR(generateSalesData($D110, IF(ISNUMBER(_xlfn.XLOOKUP($C110,Phone_by_Sentiment!$B$2:$B$37,Phone_by_Sentiment!F$2:F$37,"",0,1)),_xlfn.XLOOKUP($C110,Phone_by_Sentiment!$B$2:$B$37,Phone_by_Sentiment!F$2:F$37,"",0,1),0),$A110-TEXT(DATEVALUE($D110&amp;"-01"), "dd-mm-yyyy")),0),0)</f>
        <v>0</v>
      </c>
      <c r="G110" cm="1">
        <f t="array" ref="G110">IF($Q110&gt;=0,IFERROR(generateSalesData($D110, IF(ISNUMBER(_xlfn.XLOOKUP($C110,Phone_by_Sentiment!$B$2:$B$37,Phone_by_Sentiment!G$2:G$37,"",0,1)),_xlfn.XLOOKUP($C110,Phone_by_Sentiment!$B$2:$B$37,Phone_by_Sentiment!G$2:G$37,"",0,1),0),$A110-TEXT(DATEVALUE($D110&amp;"-01"), "dd-mm-yyyy")),0),0)</f>
        <v>0</v>
      </c>
      <c r="H110" cm="1">
        <f t="array" ref="H110">IF($Q110&gt;=0,IFERROR(generateSalesData($D110, IF(ISNUMBER(_xlfn.XLOOKUP($C110,Phone_by_Sentiment!$B$2:$B$37,Phone_by_Sentiment!H$2:H$37,"",0,1)),_xlfn.XLOOKUP($C110,Phone_by_Sentiment!$B$2:$B$37,Phone_by_Sentiment!H$2:H$37,"",0,1),0),$A110-TEXT(DATEVALUE($D110&amp;"-01"), "dd-mm-yyyy")),0),0)</f>
        <v>0</v>
      </c>
      <c r="I110" cm="1">
        <f t="array" ref="I110">IF($Q110&gt;=0,IFERROR(generateSalesData($D110, IF(ISNUMBER(_xlfn.XLOOKUP($C110,Phone_by_Sentiment!$B$2:$B$37,Phone_by_Sentiment!I$2:I$37,"",0,1)),_xlfn.XLOOKUP($C110,Phone_by_Sentiment!$B$2:$B$37,Phone_by_Sentiment!I$2:I$37,"",0,1),0),$A110-TEXT(DATEVALUE($D110&amp;"-01"), "dd-mm-yyyy")),0),0)</f>
        <v>0</v>
      </c>
      <c r="J110" cm="1">
        <f t="array" ref="J110">IF($Q110&gt;=0,IFERROR(generateSalesData($D110, IF(ISNUMBER(_xlfn.XLOOKUP($C110,Phone_by_Sentiment!$B$2:$B$37,Phone_by_Sentiment!J$2:J$37,"",0,1)),_xlfn.XLOOKUP($C110,Phone_by_Sentiment!$B$2:$B$37,Phone_by_Sentiment!J$2:J$37,"",0,1),0),$A110-TEXT(DATEVALUE($D110&amp;"-01"), "dd-mm-yyyy")),0),0)</f>
        <v>0</v>
      </c>
      <c r="K110" cm="1">
        <f t="array" ref="K110">IF($Q110&gt;=0,IFERROR(generateSalesData($D110, IF(ISNUMBER(_xlfn.XLOOKUP($C110,Phone_by_Sentiment!$B$2:$B$37,Phone_by_Sentiment!K$2:K$37,"",0,1)),_xlfn.XLOOKUP($C110,Phone_by_Sentiment!$B$2:$B$37,Phone_by_Sentiment!K$2:K$37,"",0,1),0),$A110-TEXT(DATEVALUE($D110&amp;"-01"), "dd-mm-yyyy")),0),0)</f>
        <v>0</v>
      </c>
      <c r="L110" cm="1">
        <f t="array" ref="L110">IF($Q110&gt;=0,IFERROR(generateSalesData($D110, IF(ISNUMBER(_xlfn.XLOOKUP($C110,Phone_by_Sentiment!$B$2:$B$37,Phone_by_Sentiment!L$2:L$37,"",0,1)),_xlfn.XLOOKUP($C110,Phone_by_Sentiment!$B$2:$B$37,Phone_by_Sentiment!L$2:L$37,"",0,1),0),$A110-TEXT(DATEVALUE($D110&amp;"-01"), "dd-mm-yyyy")),0),0)</f>
        <v>0</v>
      </c>
      <c r="M110" cm="1">
        <f t="array" ref="M110">IF($Q110&gt;=0,IFERROR(generateSalesData($D110, IF(ISNUMBER(_xlfn.XLOOKUP($C110,Phone_by_Sentiment!$B$2:$B$37,Phone_by_Sentiment!M$2:M$37,"",0,1)),_xlfn.XLOOKUP($C110,Phone_by_Sentiment!$B$2:$B$37,Phone_by_Sentiment!M$2:M$37,"",0,1),0),$A110-TEXT(DATEVALUE($D110&amp;"-01"), "dd-mm-yyyy")),0),0)</f>
        <v>0</v>
      </c>
      <c r="N110" cm="1">
        <f t="array" ref="N110">IF($Q110&gt;=0,IFERROR(generateSalesData($D110, IF(ISNUMBER(_xlfn.XLOOKUP($C110,Phone_by_Sentiment!$B$2:$B$37,Phone_by_Sentiment!N$2:N$37,"",0,1)),_xlfn.XLOOKUP($C110,Phone_by_Sentiment!$B$2:$B$37,Phone_by_Sentiment!N$2:N$37,"",0,1),0),$A110-TEXT(DATEVALUE($D110&amp;"-01"), "dd-mm-yyyy")),0),0)</f>
        <v>0</v>
      </c>
      <c r="O110" cm="1">
        <f t="array" ref="O110">IF($Q110&gt;=0,IFERROR(generateSalesData($D110, IF(ISNUMBER(_xlfn.XLOOKUP($C110,Phone_by_Sentiment!$B$2:$B$37,Phone_by_Sentiment!O$2:O$37,"",0,1)),_xlfn.XLOOKUP($C110,Phone_by_Sentiment!$B$2:$B$37,Phone_by_Sentiment!O$2:O$37,"",0,1),0),$A110-TEXT(DATEVALUE($D110&amp;"-01"), "dd-mm-yyyy")),0),0)</f>
        <v>0</v>
      </c>
      <c r="P110" s="1">
        <f t="shared" si="3"/>
        <v>44317</v>
      </c>
      <c r="Q110">
        <f t="shared" si="4"/>
        <v>-761</v>
      </c>
    </row>
    <row r="111" spans="1:17" x14ac:dyDescent="0.25">
      <c r="A111" s="1">
        <f t="shared" si="0"/>
        <v>43556</v>
      </c>
      <c r="B111" t="s">
        <v>151</v>
      </c>
      <c r="C111" t="str">
        <f>_xlfn.XLOOKUP(B111,Phone_by_Price!$A$2:$A$34,Phone_by_Price!$B$2:$B$34,"-",0,1)</f>
        <v>Vivo Y11s</v>
      </c>
      <c r="D111" t="str">
        <f>_xlfn.XLOOKUP(C111,Phone_by_Sentiment!$B$2:$B$37,Phone_by_Sentiment!$A$2:$A$37,"-",0,1)</f>
        <v>2020-11</v>
      </c>
      <c r="E111" cm="1">
        <f t="array" ref="E111">IF($Q111&gt;=0,IFERROR(generateSalesData($D111, IF(ISNUMBER(_xlfn.XLOOKUP($C111,Phone_by_Sentiment!$B$2:$B$37,Phone_by_Sentiment!E$2:E$37,"",0,1)),_xlfn.XLOOKUP($C111,Phone_by_Sentiment!$B$2:$B$37,Phone_by_Sentiment!E$2:E$37,"",0,1),0),$A111-TEXT(DATEVALUE($D111&amp;"-01"), "dd-mm-yyyy")),0),0)</f>
        <v>0</v>
      </c>
      <c r="F111" cm="1">
        <f t="array" ref="F111">IF($Q111&gt;=0,IFERROR(generateSalesData($D111, IF(ISNUMBER(_xlfn.XLOOKUP($C111,Phone_by_Sentiment!$B$2:$B$37,Phone_by_Sentiment!F$2:F$37,"",0,1)),_xlfn.XLOOKUP($C111,Phone_by_Sentiment!$B$2:$B$37,Phone_by_Sentiment!F$2:F$37,"",0,1),0),$A111-TEXT(DATEVALUE($D111&amp;"-01"), "dd-mm-yyyy")),0),0)</f>
        <v>0</v>
      </c>
      <c r="G111" cm="1">
        <f t="array" ref="G111">IF($Q111&gt;=0,IFERROR(generateSalesData($D111, IF(ISNUMBER(_xlfn.XLOOKUP($C111,Phone_by_Sentiment!$B$2:$B$37,Phone_by_Sentiment!G$2:G$37,"",0,1)),_xlfn.XLOOKUP($C111,Phone_by_Sentiment!$B$2:$B$37,Phone_by_Sentiment!G$2:G$37,"",0,1),0),$A111-TEXT(DATEVALUE($D111&amp;"-01"), "dd-mm-yyyy")),0),0)</f>
        <v>0</v>
      </c>
      <c r="H111" cm="1">
        <f t="array" ref="H111">IF($Q111&gt;=0,IFERROR(generateSalesData($D111, IF(ISNUMBER(_xlfn.XLOOKUP($C111,Phone_by_Sentiment!$B$2:$B$37,Phone_by_Sentiment!H$2:H$37,"",0,1)),_xlfn.XLOOKUP($C111,Phone_by_Sentiment!$B$2:$B$37,Phone_by_Sentiment!H$2:H$37,"",0,1),0),$A111-TEXT(DATEVALUE($D111&amp;"-01"), "dd-mm-yyyy")),0),0)</f>
        <v>0</v>
      </c>
      <c r="I111" cm="1">
        <f t="array" ref="I111">IF($Q111&gt;=0,IFERROR(generateSalesData($D111, IF(ISNUMBER(_xlfn.XLOOKUP($C111,Phone_by_Sentiment!$B$2:$B$37,Phone_by_Sentiment!I$2:I$37,"",0,1)),_xlfn.XLOOKUP($C111,Phone_by_Sentiment!$B$2:$B$37,Phone_by_Sentiment!I$2:I$37,"",0,1),0),$A111-TEXT(DATEVALUE($D111&amp;"-01"), "dd-mm-yyyy")),0),0)</f>
        <v>0</v>
      </c>
      <c r="J111" cm="1">
        <f t="array" ref="J111">IF($Q111&gt;=0,IFERROR(generateSalesData($D111, IF(ISNUMBER(_xlfn.XLOOKUP($C111,Phone_by_Sentiment!$B$2:$B$37,Phone_by_Sentiment!J$2:J$37,"",0,1)),_xlfn.XLOOKUP($C111,Phone_by_Sentiment!$B$2:$B$37,Phone_by_Sentiment!J$2:J$37,"",0,1),0),$A111-TEXT(DATEVALUE($D111&amp;"-01"), "dd-mm-yyyy")),0),0)</f>
        <v>0</v>
      </c>
      <c r="K111" cm="1">
        <f t="array" ref="K111">IF($Q111&gt;=0,IFERROR(generateSalesData($D111, IF(ISNUMBER(_xlfn.XLOOKUP($C111,Phone_by_Sentiment!$B$2:$B$37,Phone_by_Sentiment!K$2:K$37,"",0,1)),_xlfn.XLOOKUP($C111,Phone_by_Sentiment!$B$2:$B$37,Phone_by_Sentiment!K$2:K$37,"",0,1),0),$A111-TEXT(DATEVALUE($D111&amp;"-01"), "dd-mm-yyyy")),0),0)</f>
        <v>0</v>
      </c>
      <c r="L111" cm="1">
        <f t="array" ref="L111">IF($Q111&gt;=0,IFERROR(generateSalesData($D111, IF(ISNUMBER(_xlfn.XLOOKUP($C111,Phone_by_Sentiment!$B$2:$B$37,Phone_by_Sentiment!L$2:L$37,"",0,1)),_xlfn.XLOOKUP($C111,Phone_by_Sentiment!$B$2:$B$37,Phone_by_Sentiment!L$2:L$37,"",0,1),0),$A111-TEXT(DATEVALUE($D111&amp;"-01"), "dd-mm-yyyy")),0),0)</f>
        <v>0</v>
      </c>
      <c r="M111" cm="1">
        <f t="array" ref="M111">IF($Q111&gt;=0,IFERROR(generateSalesData($D111, IF(ISNUMBER(_xlfn.XLOOKUP($C111,Phone_by_Sentiment!$B$2:$B$37,Phone_by_Sentiment!M$2:M$37,"",0,1)),_xlfn.XLOOKUP($C111,Phone_by_Sentiment!$B$2:$B$37,Phone_by_Sentiment!M$2:M$37,"",0,1),0),$A111-TEXT(DATEVALUE($D111&amp;"-01"), "dd-mm-yyyy")),0),0)</f>
        <v>0</v>
      </c>
      <c r="N111" cm="1">
        <f t="array" ref="N111">IF($Q111&gt;=0,IFERROR(generateSalesData($D111, IF(ISNUMBER(_xlfn.XLOOKUP($C111,Phone_by_Sentiment!$B$2:$B$37,Phone_by_Sentiment!N$2:N$37,"",0,1)),_xlfn.XLOOKUP($C111,Phone_by_Sentiment!$B$2:$B$37,Phone_by_Sentiment!N$2:N$37,"",0,1),0),$A111-TEXT(DATEVALUE($D111&amp;"-01"), "dd-mm-yyyy")),0),0)</f>
        <v>0</v>
      </c>
      <c r="O111" cm="1">
        <f t="array" ref="O111">IF($Q111&gt;=0,IFERROR(generateSalesData($D111, IF(ISNUMBER(_xlfn.XLOOKUP($C111,Phone_by_Sentiment!$B$2:$B$37,Phone_by_Sentiment!O$2:O$37,"",0,1)),_xlfn.XLOOKUP($C111,Phone_by_Sentiment!$B$2:$B$37,Phone_by_Sentiment!O$2:O$37,"",0,1),0),$A111-TEXT(DATEVALUE($D111&amp;"-01"), "dd-mm-yyyy")),0),0)</f>
        <v>0</v>
      </c>
      <c r="P111" s="1">
        <f t="shared" si="3"/>
        <v>44136</v>
      </c>
      <c r="Q111">
        <f t="shared" si="4"/>
        <v>-580</v>
      </c>
    </row>
    <row r="112" spans="1:17" x14ac:dyDescent="0.25">
      <c r="A112" s="1">
        <f t="shared" si="0"/>
        <v>43556</v>
      </c>
      <c r="B112" t="s">
        <v>152</v>
      </c>
      <c r="C112" t="str">
        <f>_xlfn.XLOOKUP(B112,Phone_by_Price!$A$2:$A$34,Phone_by_Price!$B$2:$B$34,"-",0,1)</f>
        <v>Huawei Nova 7i</v>
      </c>
      <c r="D112" t="str">
        <f>_xlfn.XLOOKUP(C112,Phone_by_Sentiment!$B$2:$B$37,Phone_by_Sentiment!$A$2:$A$37,"-",0,1)</f>
        <v>2020-02</v>
      </c>
      <c r="E112" cm="1">
        <f t="array" ref="E112">IF($Q112&gt;=0,IFERROR(generateSalesData($D112, IF(ISNUMBER(_xlfn.XLOOKUP($C112,Phone_by_Sentiment!$B$2:$B$37,Phone_by_Sentiment!E$2:E$37,"",0,1)),_xlfn.XLOOKUP($C112,Phone_by_Sentiment!$B$2:$B$37,Phone_by_Sentiment!E$2:E$37,"",0,1),0),$A112-TEXT(DATEVALUE($D112&amp;"-01"), "dd-mm-yyyy")),0),0)</f>
        <v>0</v>
      </c>
      <c r="F112" cm="1">
        <f t="array" ref="F112">IF($Q112&gt;=0,IFERROR(generateSalesData($D112, IF(ISNUMBER(_xlfn.XLOOKUP($C112,Phone_by_Sentiment!$B$2:$B$37,Phone_by_Sentiment!F$2:F$37,"",0,1)),_xlfn.XLOOKUP($C112,Phone_by_Sentiment!$B$2:$B$37,Phone_by_Sentiment!F$2:F$37,"",0,1),0),$A112-TEXT(DATEVALUE($D112&amp;"-01"), "dd-mm-yyyy")),0),0)</f>
        <v>0</v>
      </c>
      <c r="G112" cm="1">
        <f t="array" ref="G112">IF($Q112&gt;=0,IFERROR(generateSalesData($D112, IF(ISNUMBER(_xlfn.XLOOKUP($C112,Phone_by_Sentiment!$B$2:$B$37,Phone_by_Sentiment!G$2:G$37,"",0,1)),_xlfn.XLOOKUP($C112,Phone_by_Sentiment!$B$2:$B$37,Phone_by_Sentiment!G$2:G$37,"",0,1),0),$A112-TEXT(DATEVALUE($D112&amp;"-01"), "dd-mm-yyyy")),0),0)</f>
        <v>0</v>
      </c>
      <c r="H112" cm="1">
        <f t="array" ref="H112">IF($Q112&gt;=0,IFERROR(generateSalesData($D112, IF(ISNUMBER(_xlfn.XLOOKUP($C112,Phone_by_Sentiment!$B$2:$B$37,Phone_by_Sentiment!H$2:H$37,"",0,1)),_xlfn.XLOOKUP($C112,Phone_by_Sentiment!$B$2:$B$37,Phone_by_Sentiment!H$2:H$37,"",0,1),0),$A112-TEXT(DATEVALUE($D112&amp;"-01"), "dd-mm-yyyy")),0),0)</f>
        <v>0</v>
      </c>
      <c r="I112" cm="1">
        <f t="array" ref="I112">IF($Q112&gt;=0,IFERROR(generateSalesData($D112, IF(ISNUMBER(_xlfn.XLOOKUP($C112,Phone_by_Sentiment!$B$2:$B$37,Phone_by_Sentiment!I$2:I$37,"",0,1)),_xlfn.XLOOKUP($C112,Phone_by_Sentiment!$B$2:$B$37,Phone_by_Sentiment!I$2:I$37,"",0,1),0),$A112-TEXT(DATEVALUE($D112&amp;"-01"), "dd-mm-yyyy")),0),0)</f>
        <v>0</v>
      </c>
      <c r="J112" cm="1">
        <f t="array" ref="J112">IF($Q112&gt;=0,IFERROR(generateSalesData($D112, IF(ISNUMBER(_xlfn.XLOOKUP($C112,Phone_by_Sentiment!$B$2:$B$37,Phone_by_Sentiment!J$2:J$37,"",0,1)),_xlfn.XLOOKUP($C112,Phone_by_Sentiment!$B$2:$B$37,Phone_by_Sentiment!J$2:J$37,"",0,1),0),$A112-TEXT(DATEVALUE($D112&amp;"-01"), "dd-mm-yyyy")),0),0)</f>
        <v>0</v>
      </c>
      <c r="K112" cm="1">
        <f t="array" ref="K112">IF($Q112&gt;=0,IFERROR(generateSalesData($D112, IF(ISNUMBER(_xlfn.XLOOKUP($C112,Phone_by_Sentiment!$B$2:$B$37,Phone_by_Sentiment!K$2:K$37,"",0,1)),_xlfn.XLOOKUP($C112,Phone_by_Sentiment!$B$2:$B$37,Phone_by_Sentiment!K$2:K$37,"",0,1),0),$A112-TEXT(DATEVALUE($D112&amp;"-01"), "dd-mm-yyyy")),0),0)</f>
        <v>0</v>
      </c>
      <c r="L112" cm="1">
        <f t="array" ref="L112">IF($Q112&gt;=0,IFERROR(generateSalesData($D112, IF(ISNUMBER(_xlfn.XLOOKUP($C112,Phone_by_Sentiment!$B$2:$B$37,Phone_by_Sentiment!L$2:L$37,"",0,1)),_xlfn.XLOOKUP($C112,Phone_by_Sentiment!$B$2:$B$37,Phone_by_Sentiment!L$2:L$37,"",0,1),0),$A112-TEXT(DATEVALUE($D112&amp;"-01"), "dd-mm-yyyy")),0),0)</f>
        <v>0</v>
      </c>
      <c r="M112" cm="1">
        <f t="array" ref="M112">IF($Q112&gt;=0,IFERROR(generateSalesData($D112, IF(ISNUMBER(_xlfn.XLOOKUP($C112,Phone_by_Sentiment!$B$2:$B$37,Phone_by_Sentiment!M$2:M$37,"",0,1)),_xlfn.XLOOKUP($C112,Phone_by_Sentiment!$B$2:$B$37,Phone_by_Sentiment!M$2:M$37,"",0,1),0),$A112-TEXT(DATEVALUE($D112&amp;"-01"), "dd-mm-yyyy")),0),0)</f>
        <v>0</v>
      </c>
      <c r="N112" cm="1">
        <f t="array" ref="N112">IF($Q112&gt;=0,IFERROR(generateSalesData($D112, IF(ISNUMBER(_xlfn.XLOOKUP($C112,Phone_by_Sentiment!$B$2:$B$37,Phone_by_Sentiment!N$2:N$37,"",0,1)),_xlfn.XLOOKUP($C112,Phone_by_Sentiment!$B$2:$B$37,Phone_by_Sentiment!N$2:N$37,"",0,1),0),$A112-TEXT(DATEVALUE($D112&amp;"-01"), "dd-mm-yyyy")),0),0)</f>
        <v>0</v>
      </c>
      <c r="O112" cm="1">
        <f t="array" ref="O112">IF($Q112&gt;=0,IFERROR(generateSalesData($D112, IF(ISNUMBER(_xlfn.XLOOKUP($C112,Phone_by_Sentiment!$B$2:$B$37,Phone_by_Sentiment!O$2:O$37,"",0,1)),_xlfn.XLOOKUP($C112,Phone_by_Sentiment!$B$2:$B$37,Phone_by_Sentiment!O$2:O$37,"",0,1),0),$A112-TEXT(DATEVALUE($D112&amp;"-01"), "dd-mm-yyyy")),0),0)</f>
        <v>0</v>
      </c>
      <c r="P112" s="1">
        <f t="shared" si="3"/>
        <v>43862</v>
      </c>
      <c r="Q112">
        <f t="shared" si="4"/>
        <v>-306</v>
      </c>
    </row>
    <row r="113" spans="1:17" x14ac:dyDescent="0.25">
      <c r="A113" s="1">
        <f t="shared" si="0"/>
        <v>43556</v>
      </c>
      <c r="B113" t="s">
        <v>153</v>
      </c>
      <c r="C113" t="str">
        <f>_xlfn.XLOOKUP(B113,Phone_by_Price!$A$2:$A$34,Phone_by_Price!$B$2:$B$34,"-",0,1)</f>
        <v>iPhone 13</v>
      </c>
      <c r="D113" t="str">
        <f>_xlfn.XLOOKUP(C113,Phone_by_Sentiment!$B$2:$B$37,Phone_by_Sentiment!$A$2:$A$37,"-",0,1)</f>
        <v>2021-09</v>
      </c>
      <c r="E113" cm="1">
        <f t="array" ref="E113">IF($Q113&gt;=0,IFERROR(generateSalesData($D113, IF(ISNUMBER(_xlfn.XLOOKUP($C113,Phone_by_Sentiment!$B$2:$B$37,Phone_by_Sentiment!E$2:E$37,"",0,1)),_xlfn.XLOOKUP($C113,Phone_by_Sentiment!$B$2:$B$37,Phone_by_Sentiment!E$2:E$37,"",0,1),0),$A113-TEXT(DATEVALUE($D113&amp;"-01"), "dd-mm-yyyy")),0),0)</f>
        <v>0</v>
      </c>
      <c r="F113" cm="1">
        <f t="array" ref="F113">IF($Q113&gt;=0,IFERROR(generateSalesData($D113, IF(ISNUMBER(_xlfn.XLOOKUP($C113,Phone_by_Sentiment!$B$2:$B$37,Phone_by_Sentiment!F$2:F$37,"",0,1)),_xlfn.XLOOKUP($C113,Phone_by_Sentiment!$B$2:$B$37,Phone_by_Sentiment!F$2:F$37,"",0,1),0),$A113-TEXT(DATEVALUE($D113&amp;"-01"), "dd-mm-yyyy")),0),0)</f>
        <v>0</v>
      </c>
      <c r="G113" cm="1">
        <f t="array" ref="G113">IF($Q113&gt;=0,IFERROR(generateSalesData($D113, IF(ISNUMBER(_xlfn.XLOOKUP($C113,Phone_by_Sentiment!$B$2:$B$37,Phone_by_Sentiment!G$2:G$37,"",0,1)),_xlfn.XLOOKUP($C113,Phone_by_Sentiment!$B$2:$B$37,Phone_by_Sentiment!G$2:G$37,"",0,1),0),$A113-TEXT(DATEVALUE($D113&amp;"-01"), "dd-mm-yyyy")),0),0)</f>
        <v>0</v>
      </c>
      <c r="H113" cm="1">
        <f t="array" ref="H113">IF($Q113&gt;=0,IFERROR(generateSalesData($D113, IF(ISNUMBER(_xlfn.XLOOKUP($C113,Phone_by_Sentiment!$B$2:$B$37,Phone_by_Sentiment!H$2:H$37,"",0,1)),_xlfn.XLOOKUP($C113,Phone_by_Sentiment!$B$2:$B$37,Phone_by_Sentiment!H$2:H$37,"",0,1),0),$A113-TEXT(DATEVALUE($D113&amp;"-01"), "dd-mm-yyyy")),0),0)</f>
        <v>0</v>
      </c>
      <c r="I113" cm="1">
        <f t="array" ref="I113">IF($Q113&gt;=0,IFERROR(generateSalesData($D113, IF(ISNUMBER(_xlfn.XLOOKUP($C113,Phone_by_Sentiment!$B$2:$B$37,Phone_by_Sentiment!I$2:I$37,"",0,1)),_xlfn.XLOOKUP($C113,Phone_by_Sentiment!$B$2:$B$37,Phone_by_Sentiment!I$2:I$37,"",0,1),0),$A113-TEXT(DATEVALUE($D113&amp;"-01"), "dd-mm-yyyy")),0),0)</f>
        <v>0</v>
      </c>
      <c r="J113" cm="1">
        <f t="array" ref="J113">IF($Q113&gt;=0,IFERROR(generateSalesData($D113, IF(ISNUMBER(_xlfn.XLOOKUP($C113,Phone_by_Sentiment!$B$2:$B$37,Phone_by_Sentiment!J$2:J$37,"",0,1)),_xlfn.XLOOKUP($C113,Phone_by_Sentiment!$B$2:$B$37,Phone_by_Sentiment!J$2:J$37,"",0,1),0),$A113-TEXT(DATEVALUE($D113&amp;"-01"), "dd-mm-yyyy")),0),0)</f>
        <v>0</v>
      </c>
      <c r="K113" cm="1">
        <f t="array" ref="K113">IF($Q113&gt;=0,IFERROR(generateSalesData($D113, IF(ISNUMBER(_xlfn.XLOOKUP($C113,Phone_by_Sentiment!$B$2:$B$37,Phone_by_Sentiment!K$2:K$37,"",0,1)),_xlfn.XLOOKUP($C113,Phone_by_Sentiment!$B$2:$B$37,Phone_by_Sentiment!K$2:K$37,"",0,1),0),$A113-TEXT(DATEVALUE($D113&amp;"-01"), "dd-mm-yyyy")),0),0)</f>
        <v>0</v>
      </c>
      <c r="L113" cm="1">
        <f t="array" ref="L113">IF($Q113&gt;=0,IFERROR(generateSalesData($D113, IF(ISNUMBER(_xlfn.XLOOKUP($C113,Phone_by_Sentiment!$B$2:$B$37,Phone_by_Sentiment!L$2:L$37,"",0,1)),_xlfn.XLOOKUP($C113,Phone_by_Sentiment!$B$2:$B$37,Phone_by_Sentiment!L$2:L$37,"",0,1),0),$A113-TEXT(DATEVALUE($D113&amp;"-01"), "dd-mm-yyyy")),0),0)</f>
        <v>0</v>
      </c>
      <c r="M113" cm="1">
        <f t="array" ref="M113">IF($Q113&gt;=0,IFERROR(generateSalesData($D113, IF(ISNUMBER(_xlfn.XLOOKUP($C113,Phone_by_Sentiment!$B$2:$B$37,Phone_by_Sentiment!M$2:M$37,"",0,1)),_xlfn.XLOOKUP($C113,Phone_by_Sentiment!$B$2:$B$37,Phone_by_Sentiment!M$2:M$37,"",0,1),0),$A113-TEXT(DATEVALUE($D113&amp;"-01"), "dd-mm-yyyy")),0),0)</f>
        <v>0</v>
      </c>
      <c r="N113" cm="1">
        <f t="array" ref="N113">IF($Q113&gt;=0,IFERROR(generateSalesData($D113, IF(ISNUMBER(_xlfn.XLOOKUP($C113,Phone_by_Sentiment!$B$2:$B$37,Phone_by_Sentiment!N$2:N$37,"",0,1)),_xlfn.XLOOKUP($C113,Phone_by_Sentiment!$B$2:$B$37,Phone_by_Sentiment!N$2:N$37,"",0,1),0),$A113-TEXT(DATEVALUE($D113&amp;"-01"), "dd-mm-yyyy")),0),0)</f>
        <v>0</v>
      </c>
      <c r="O113" cm="1">
        <f t="array" ref="O113">IF($Q113&gt;=0,IFERROR(generateSalesData($D113, IF(ISNUMBER(_xlfn.XLOOKUP($C113,Phone_by_Sentiment!$B$2:$B$37,Phone_by_Sentiment!O$2:O$37,"",0,1)),_xlfn.XLOOKUP($C113,Phone_by_Sentiment!$B$2:$B$37,Phone_by_Sentiment!O$2:O$37,"",0,1),0),$A113-TEXT(DATEVALUE($D113&amp;"-01"), "dd-mm-yyyy")),0),0)</f>
        <v>0</v>
      </c>
      <c r="P113" s="1">
        <f t="shared" si="3"/>
        <v>44440</v>
      </c>
      <c r="Q113">
        <f t="shared" si="4"/>
        <v>-884</v>
      </c>
    </row>
    <row r="114" spans="1:17" x14ac:dyDescent="0.25">
      <c r="A114" s="1">
        <f t="shared" si="0"/>
        <v>43556</v>
      </c>
      <c r="B114" t="s">
        <v>154</v>
      </c>
      <c r="C114" t="str">
        <f>_xlfn.XLOOKUP(B114,Phone_by_Price!$A$2:$A$34,Phone_by_Price!$B$2:$B$34,"-",0,1)</f>
        <v>Samsung Galaxy S21</v>
      </c>
      <c r="D114" t="str">
        <f>_xlfn.XLOOKUP(C114,Phone_by_Sentiment!$B$2:$B$37,Phone_by_Sentiment!$A$2:$A$37,"-",0,1)</f>
        <v>2021-01</v>
      </c>
      <c r="E114" cm="1">
        <f t="array" ref="E114">IF($Q114&gt;=0,IFERROR(generateSalesData($D114, IF(ISNUMBER(_xlfn.XLOOKUP($C114,Phone_by_Sentiment!$B$2:$B$37,Phone_by_Sentiment!E$2:E$37,"",0,1)),_xlfn.XLOOKUP($C114,Phone_by_Sentiment!$B$2:$B$37,Phone_by_Sentiment!E$2:E$37,"",0,1),0),$A114-TEXT(DATEVALUE($D114&amp;"-01"), "dd-mm-yyyy")),0),0)</f>
        <v>0</v>
      </c>
      <c r="F114" cm="1">
        <f t="array" ref="F114">IF($Q114&gt;=0,IFERROR(generateSalesData($D114, IF(ISNUMBER(_xlfn.XLOOKUP($C114,Phone_by_Sentiment!$B$2:$B$37,Phone_by_Sentiment!F$2:F$37,"",0,1)),_xlfn.XLOOKUP($C114,Phone_by_Sentiment!$B$2:$B$37,Phone_by_Sentiment!F$2:F$37,"",0,1),0),$A114-TEXT(DATEVALUE($D114&amp;"-01"), "dd-mm-yyyy")),0),0)</f>
        <v>0</v>
      </c>
      <c r="G114" cm="1">
        <f t="array" ref="G114">IF($Q114&gt;=0,IFERROR(generateSalesData($D114, IF(ISNUMBER(_xlfn.XLOOKUP($C114,Phone_by_Sentiment!$B$2:$B$37,Phone_by_Sentiment!G$2:G$37,"",0,1)),_xlfn.XLOOKUP($C114,Phone_by_Sentiment!$B$2:$B$37,Phone_by_Sentiment!G$2:G$37,"",0,1),0),$A114-TEXT(DATEVALUE($D114&amp;"-01"), "dd-mm-yyyy")),0),0)</f>
        <v>0</v>
      </c>
      <c r="H114" cm="1">
        <f t="array" ref="H114">IF($Q114&gt;=0,IFERROR(generateSalesData($D114, IF(ISNUMBER(_xlfn.XLOOKUP($C114,Phone_by_Sentiment!$B$2:$B$37,Phone_by_Sentiment!H$2:H$37,"",0,1)),_xlfn.XLOOKUP($C114,Phone_by_Sentiment!$B$2:$B$37,Phone_by_Sentiment!H$2:H$37,"",0,1),0),$A114-TEXT(DATEVALUE($D114&amp;"-01"), "dd-mm-yyyy")),0),0)</f>
        <v>0</v>
      </c>
      <c r="I114" cm="1">
        <f t="array" ref="I114">IF($Q114&gt;=0,IFERROR(generateSalesData($D114, IF(ISNUMBER(_xlfn.XLOOKUP($C114,Phone_by_Sentiment!$B$2:$B$37,Phone_by_Sentiment!I$2:I$37,"",0,1)),_xlfn.XLOOKUP($C114,Phone_by_Sentiment!$B$2:$B$37,Phone_by_Sentiment!I$2:I$37,"",0,1),0),$A114-TEXT(DATEVALUE($D114&amp;"-01"), "dd-mm-yyyy")),0),0)</f>
        <v>0</v>
      </c>
      <c r="J114" cm="1">
        <f t="array" ref="J114">IF($Q114&gt;=0,IFERROR(generateSalesData($D114, IF(ISNUMBER(_xlfn.XLOOKUP($C114,Phone_by_Sentiment!$B$2:$B$37,Phone_by_Sentiment!J$2:J$37,"",0,1)),_xlfn.XLOOKUP($C114,Phone_by_Sentiment!$B$2:$B$37,Phone_by_Sentiment!J$2:J$37,"",0,1),0),$A114-TEXT(DATEVALUE($D114&amp;"-01"), "dd-mm-yyyy")),0),0)</f>
        <v>0</v>
      </c>
      <c r="K114" cm="1">
        <f t="array" ref="K114">IF($Q114&gt;=0,IFERROR(generateSalesData($D114, IF(ISNUMBER(_xlfn.XLOOKUP($C114,Phone_by_Sentiment!$B$2:$B$37,Phone_by_Sentiment!K$2:K$37,"",0,1)),_xlfn.XLOOKUP($C114,Phone_by_Sentiment!$B$2:$B$37,Phone_by_Sentiment!K$2:K$37,"",0,1),0),$A114-TEXT(DATEVALUE($D114&amp;"-01"), "dd-mm-yyyy")),0),0)</f>
        <v>0</v>
      </c>
      <c r="L114" cm="1">
        <f t="array" ref="L114">IF($Q114&gt;=0,IFERROR(generateSalesData($D114, IF(ISNUMBER(_xlfn.XLOOKUP($C114,Phone_by_Sentiment!$B$2:$B$37,Phone_by_Sentiment!L$2:L$37,"",0,1)),_xlfn.XLOOKUP($C114,Phone_by_Sentiment!$B$2:$B$37,Phone_by_Sentiment!L$2:L$37,"",0,1),0),$A114-TEXT(DATEVALUE($D114&amp;"-01"), "dd-mm-yyyy")),0),0)</f>
        <v>0</v>
      </c>
      <c r="M114" cm="1">
        <f t="array" ref="M114">IF($Q114&gt;=0,IFERROR(generateSalesData($D114, IF(ISNUMBER(_xlfn.XLOOKUP($C114,Phone_by_Sentiment!$B$2:$B$37,Phone_by_Sentiment!M$2:M$37,"",0,1)),_xlfn.XLOOKUP($C114,Phone_by_Sentiment!$B$2:$B$37,Phone_by_Sentiment!M$2:M$37,"",0,1),0),$A114-TEXT(DATEVALUE($D114&amp;"-01"), "dd-mm-yyyy")),0),0)</f>
        <v>0</v>
      </c>
      <c r="N114" cm="1">
        <f t="array" ref="N114">IF($Q114&gt;=0,IFERROR(generateSalesData($D114, IF(ISNUMBER(_xlfn.XLOOKUP($C114,Phone_by_Sentiment!$B$2:$B$37,Phone_by_Sentiment!N$2:N$37,"",0,1)),_xlfn.XLOOKUP($C114,Phone_by_Sentiment!$B$2:$B$37,Phone_by_Sentiment!N$2:N$37,"",0,1),0),$A114-TEXT(DATEVALUE($D114&amp;"-01"), "dd-mm-yyyy")),0),0)</f>
        <v>0</v>
      </c>
      <c r="O114" cm="1">
        <f t="array" ref="O114">IF($Q114&gt;=0,IFERROR(generateSalesData($D114, IF(ISNUMBER(_xlfn.XLOOKUP($C114,Phone_by_Sentiment!$B$2:$B$37,Phone_by_Sentiment!O$2:O$37,"",0,1)),_xlfn.XLOOKUP($C114,Phone_by_Sentiment!$B$2:$B$37,Phone_by_Sentiment!O$2:O$37,"",0,1),0),$A114-TEXT(DATEVALUE($D114&amp;"-01"), "dd-mm-yyyy")),0),0)</f>
        <v>0</v>
      </c>
      <c r="P114" s="1">
        <f t="shared" si="3"/>
        <v>44197</v>
      </c>
      <c r="Q114">
        <f t="shared" si="4"/>
        <v>-641</v>
      </c>
    </row>
    <row r="115" spans="1:17" x14ac:dyDescent="0.25">
      <c r="A115" s="1">
        <f t="shared" si="0"/>
        <v>43556</v>
      </c>
      <c r="B115" t="s">
        <v>155</v>
      </c>
      <c r="C115" t="str">
        <f>_xlfn.XLOOKUP(B115,Phone_by_Price!$A$2:$A$34,Phone_by_Price!$B$2:$B$34,"-",0,1)</f>
        <v>Google Pixel 6</v>
      </c>
      <c r="D115" t="str">
        <f>_xlfn.XLOOKUP(C115,Phone_by_Sentiment!$B$2:$B$37,Phone_by_Sentiment!$A$2:$A$37,"-",0,1)</f>
        <v>2021-10</v>
      </c>
      <c r="E115" cm="1">
        <f t="array" ref="E115">IF($Q115&gt;=0,IFERROR(generateSalesData($D115, IF(ISNUMBER(_xlfn.XLOOKUP($C115,Phone_by_Sentiment!$B$2:$B$37,Phone_by_Sentiment!E$2:E$37,"",0,1)),_xlfn.XLOOKUP($C115,Phone_by_Sentiment!$B$2:$B$37,Phone_by_Sentiment!E$2:E$37,"",0,1),0),$A115-TEXT(DATEVALUE($D115&amp;"-01"), "dd-mm-yyyy")),0),0)</f>
        <v>0</v>
      </c>
      <c r="F115" cm="1">
        <f t="array" ref="F115">IF($Q115&gt;=0,IFERROR(generateSalesData($D115, IF(ISNUMBER(_xlfn.XLOOKUP($C115,Phone_by_Sentiment!$B$2:$B$37,Phone_by_Sentiment!F$2:F$37,"",0,1)),_xlfn.XLOOKUP($C115,Phone_by_Sentiment!$B$2:$B$37,Phone_by_Sentiment!F$2:F$37,"",0,1),0),$A115-TEXT(DATEVALUE($D115&amp;"-01"), "dd-mm-yyyy")),0),0)</f>
        <v>0</v>
      </c>
      <c r="G115" cm="1">
        <f t="array" ref="G115">IF($Q115&gt;=0,IFERROR(generateSalesData($D115, IF(ISNUMBER(_xlfn.XLOOKUP($C115,Phone_by_Sentiment!$B$2:$B$37,Phone_by_Sentiment!G$2:G$37,"",0,1)),_xlfn.XLOOKUP($C115,Phone_by_Sentiment!$B$2:$B$37,Phone_by_Sentiment!G$2:G$37,"",0,1),0),$A115-TEXT(DATEVALUE($D115&amp;"-01"), "dd-mm-yyyy")),0),0)</f>
        <v>0</v>
      </c>
      <c r="H115" cm="1">
        <f t="array" ref="H115">IF($Q115&gt;=0,IFERROR(generateSalesData($D115, IF(ISNUMBER(_xlfn.XLOOKUP($C115,Phone_by_Sentiment!$B$2:$B$37,Phone_by_Sentiment!H$2:H$37,"",0,1)),_xlfn.XLOOKUP($C115,Phone_by_Sentiment!$B$2:$B$37,Phone_by_Sentiment!H$2:H$37,"",0,1),0),$A115-TEXT(DATEVALUE($D115&amp;"-01"), "dd-mm-yyyy")),0),0)</f>
        <v>0</v>
      </c>
      <c r="I115" cm="1">
        <f t="array" ref="I115">IF($Q115&gt;=0,IFERROR(generateSalesData($D115, IF(ISNUMBER(_xlfn.XLOOKUP($C115,Phone_by_Sentiment!$B$2:$B$37,Phone_by_Sentiment!I$2:I$37,"",0,1)),_xlfn.XLOOKUP($C115,Phone_by_Sentiment!$B$2:$B$37,Phone_by_Sentiment!I$2:I$37,"",0,1),0),$A115-TEXT(DATEVALUE($D115&amp;"-01"), "dd-mm-yyyy")),0),0)</f>
        <v>0</v>
      </c>
      <c r="J115" cm="1">
        <f t="array" ref="J115">IF($Q115&gt;=0,IFERROR(generateSalesData($D115, IF(ISNUMBER(_xlfn.XLOOKUP($C115,Phone_by_Sentiment!$B$2:$B$37,Phone_by_Sentiment!J$2:J$37,"",0,1)),_xlfn.XLOOKUP($C115,Phone_by_Sentiment!$B$2:$B$37,Phone_by_Sentiment!J$2:J$37,"",0,1),0),$A115-TEXT(DATEVALUE($D115&amp;"-01"), "dd-mm-yyyy")),0),0)</f>
        <v>0</v>
      </c>
      <c r="K115" cm="1">
        <f t="array" ref="K115">IF($Q115&gt;=0,IFERROR(generateSalesData($D115, IF(ISNUMBER(_xlfn.XLOOKUP($C115,Phone_by_Sentiment!$B$2:$B$37,Phone_by_Sentiment!K$2:K$37,"",0,1)),_xlfn.XLOOKUP($C115,Phone_by_Sentiment!$B$2:$B$37,Phone_by_Sentiment!K$2:K$37,"",0,1),0),$A115-TEXT(DATEVALUE($D115&amp;"-01"), "dd-mm-yyyy")),0),0)</f>
        <v>0</v>
      </c>
      <c r="L115" cm="1">
        <f t="array" ref="L115">IF($Q115&gt;=0,IFERROR(generateSalesData($D115, IF(ISNUMBER(_xlfn.XLOOKUP($C115,Phone_by_Sentiment!$B$2:$B$37,Phone_by_Sentiment!L$2:L$37,"",0,1)),_xlfn.XLOOKUP($C115,Phone_by_Sentiment!$B$2:$B$37,Phone_by_Sentiment!L$2:L$37,"",0,1),0),$A115-TEXT(DATEVALUE($D115&amp;"-01"), "dd-mm-yyyy")),0),0)</f>
        <v>0</v>
      </c>
      <c r="M115" cm="1">
        <f t="array" ref="M115">IF($Q115&gt;=0,IFERROR(generateSalesData($D115, IF(ISNUMBER(_xlfn.XLOOKUP($C115,Phone_by_Sentiment!$B$2:$B$37,Phone_by_Sentiment!M$2:M$37,"",0,1)),_xlfn.XLOOKUP($C115,Phone_by_Sentiment!$B$2:$B$37,Phone_by_Sentiment!M$2:M$37,"",0,1),0),$A115-TEXT(DATEVALUE($D115&amp;"-01"), "dd-mm-yyyy")),0),0)</f>
        <v>0</v>
      </c>
      <c r="N115" cm="1">
        <f t="array" ref="N115">IF($Q115&gt;=0,IFERROR(generateSalesData($D115, IF(ISNUMBER(_xlfn.XLOOKUP($C115,Phone_by_Sentiment!$B$2:$B$37,Phone_by_Sentiment!N$2:N$37,"",0,1)),_xlfn.XLOOKUP($C115,Phone_by_Sentiment!$B$2:$B$37,Phone_by_Sentiment!N$2:N$37,"",0,1),0),$A115-TEXT(DATEVALUE($D115&amp;"-01"), "dd-mm-yyyy")),0),0)</f>
        <v>0</v>
      </c>
      <c r="O115" cm="1">
        <f t="array" ref="O115">IF($Q115&gt;=0,IFERROR(generateSalesData($D115, IF(ISNUMBER(_xlfn.XLOOKUP($C115,Phone_by_Sentiment!$B$2:$B$37,Phone_by_Sentiment!O$2:O$37,"",0,1)),_xlfn.XLOOKUP($C115,Phone_by_Sentiment!$B$2:$B$37,Phone_by_Sentiment!O$2:O$37,"",0,1),0),$A115-TEXT(DATEVALUE($D115&amp;"-01"), "dd-mm-yyyy")),0),0)</f>
        <v>0</v>
      </c>
      <c r="P115" s="1">
        <f t="shared" si="3"/>
        <v>44470</v>
      </c>
      <c r="Q115">
        <f t="shared" si="4"/>
        <v>-914</v>
      </c>
    </row>
    <row r="116" spans="1:17" x14ac:dyDescent="0.25">
      <c r="A116" s="1">
        <f t="shared" si="0"/>
        <v>43556</v>
      </c>
      <c r="B116" t="s">
        <v>156</v>
      </c>
      <c r="C116" t="str">
        <f>_xlfn.XLOOKUP(B116,Phone_by_Price!$A$2:$A$34,Phone_by_Price!$B$2:$B$34,"-",0,1)</f>
        <v>OnePlus Nord CE</v>
      </c>
      <c r="D116" t="str">
        <f>_xlfn.XLOOKUP(C116,Phone_by_Sentiment!$B$2:$B$37,Phone_by_Sentiment!$A$2:$A$37,"-",0,1)</f>
        <v>2021-06</v>
      </c>
      <c r="E116" cm="1">
        <f t="array" ref="E116">IF($Q116&gt;=0,IFERROR(generateSalesData($D116, IF(ISNUMBER(_xlfn.XLOOKUP($C116,Phone_by_Sentiment!$B$2:$B$37,Phone_by_Sentiment!E$2:E$37,"",0,1)),_xlfn.XLOOKUP($C116,Phone_by_Sentiment!$B$2:$B$37,Phone_by_Sentiment!E$2:E$37,"",0,1),0),$A116-TEXT(DATEVALUE($D116&amp;"-01"), "dd-mm-yyyy")),0),0)</f>
        <v>0</v>
      </c>
      <c r="F116" cm="1">
        <f t="array" ref="F116">IF($Q116&gt;=0,IFERROR(generateSalesData($D116, IF(ISNUMBER(_xlfn.XLOOKUP($C116,Phone_by_Sentiment!$B$2:$B$37,Phone_by_Sentiment!F$2:F$37,"",0,1)),_xlfn.XLOOKUP($C116,Phone_by_Sentiment!$B$2:$B$37,Phone_by_Sentiment!F$2:F$37,"",0,1),0),$A116-TEXT(DATEVALUE($D116&amp;"-01"), "dd-mm-yyyy")),0),0)</f>
        <v>0</v>
      </c>
      <c r="G116" cm="1">
        <f t="array" ref="G116">IF($Q116&gt;=0,IFERROR(generateSalesData($D116, IF(ISNUMBER(_xlfn.XLOOKUP($C116,Phone_by_Sentiment!$B$2:$B$37,Phone_by_Sentiment!G$2:G$37,"",0,1)),_xlfn.XLOOKUP($C116,Phone_by_Sentiment!$B$2:$B$37,Phone_by_Sentiment!G$2:G$37,"",0,1),0),$A116-TEXT(DATEVALUE($D116&amp;"-01"), "dd-mm-yyyy")),0),0)</f>
        <v>0</v>
      </c>
      <c r="H116" cm="1">
        <f t="array" ref="H116">IF($Q116&gt;=0,IFERROR(generateSalesData($D116, IF(ISNUMBER(_xlfn.XLOOKUP($C116,Phone_by_Sentiment!$B$2:$B$37,Phone_by_Sentiment!H$2:H$37,"",0,1)),_xlfn.XLOOKUP($C116,Phone_by_Sentiment!$B$2:$B$37,Phone_by_Sentiment!H$2:H$37,"",0,1),0),$A116-TEXT(DATEVALUE($D116&amp;"-01"), "dd-mm-yyyy")),0),0)</f>
        <v>0</v>
      </c>
      <c r="I116" cm="1">
        <f t="array" ref="I116">IF($Q116&gt;=0,IFERROR(generateSalesData($D116, IF(ISNUMBER(_xlfn.XLOOKUP($C116,Phone_by_Sentiment!$B$2:$B$37,Phone_by_Sentiment!I$2:I$37,"",0,1)),_xlfn.XLOOKUP($C116,Phone_by_Sentiment!$B$2:$B$37,Phone_by_Sentiment!I$2:I$37,"",0,1),0),$A116-TEXT(DATEVALUE($D116&amp;"-01"), "dd-mm-yyyy")),0),0)</f>
        <v>0</v>
      </c>
      <c r="J116" cm="1">
        <f t="array" ref="J116">IF($Q116&gt;=0,IFERROR(generateSalesData($D116, IF(ISNUMBER(_xlfn.XLOOKUP($C116,Phone_by_Sentiment!$B$2:$B$37,Phone_by_Sentiment!J$2:J$37,"",0,1)),_xlfn.XLOOKUP($C116,Phone_by_Sentiment!$B$2:$B$37,Phone_by_Sentiment!J$2:J$37,"",0,1),0),$A116-TEXT(DATEVALUE($D116&amp;"-01"), "dd-mm-yyyy")),0),0)</f>
        <v>0</v>
      </c>
      <c r="K116" cm="1">
        <f t="array" ref="K116">IF($Q116&gt;=0,IFERROR(generateSalesData($D116, IF(ISNUMBER(_xlfn.XLOOKUP($C116,Phone_by_Sentiment!$B$2:$B$37,Phone_by_Sentiment!K$2:K$37,"",0,1)),_xlfn.XLOOKUP($C116,Phone_by_Sentiment!$B$2:$B$37,Phone_by_Sentiment!K$2:K$37,"",0,1),0),$A116-TEXT(DATEVALUE($D116&amp;"-01"), "dd-mm-yyyy")),0),0)</f>
        <v>0</v>
      </c>
      <c r="L116" cm="1">
        <f t="array" ref="L116">IF($Q116&gt;=0,IFERROR(generateSalesData($D116, IF(ISNUMBER(_xlfn.XLOOKUP($C116,Phone_by_Sentiment!$B$2:$B$37,Phone_by_Sentiment!L$2:L$37,"",0,1)),_xlfn.XLOOKUP($C116,Phone_by_Sentiment!$B$2:$B$37,Phone_by_Sentiment!L$2:L$37,"",0,1),0),$A116-TEXT(DATEVALUE($D116&amp;"-01"), "dd-mm-yyyy")),0),0)</f>
        <v>0</v>
      </c>
      <c r="M116" cm="1">
        <f t="array" ref="M116">IF($Q116&gt;=0,IFERROR(generateSalesData($D116, IF(ISNUMBER(_xlfn.XLOOKUP($C116,Phone_by_Sentiment!$B$2:$B$37,Phone_by_Sentiment!M$2:M$37,"",0,1)),_xlfn.XLOOKUP($C116,Phone_by_Sentiment!$B$2:$B$37,Phone_by_Sentiment!M$2:M$37,"",0,1),0),$A116-TEXT(DATEVALUE($D116&amp;"-01"), "dd-mm-yyyy")),0),0)</f>
        <v>0</v>
      </c>
      <c r="N116" cm="1">
        <f t="array" ref="N116">IF($Q116&gt;=0,IFERROR(generateSalesData($D116, IF(ISNUMBER(_xlfn.XLOOKUP($C116,Phone_by_Sentiment!$B$2:$B$37,Phone_by_Sentiment!N$2:N$37,"",0,1)),_xlfn.XLOOKUP($C116,Phone_by_Sentiment!$B$2:$B$37,Phone_by_Sentiment!N$2:N$37,"",0,1),0),$A116-TEXT(DATEVALUE($D116&amp;"-01"), "dd-mm-yyyy")),0),0)</f>
        <v>0</v>
      </c>
      <c r="O116" cm="1">
        <f t="array" ref="O116">IF($Q116&gt;=0,IFERROR(generateSalesData($D116, IF(ISNUMBER(_xlfn.XLOOKUP($C116,Phone_by_Sentiment!$B$2:$B$37,Phone_by_Sentiment!O$2:O$37,"",0,1)),_xlfn.XLOOKUP($C116,Phone_by_Sentiment!$B$2:$B$37,Phone_by_Sentiment!O$2:O$37,"",0,1),0),$A116-TEXT(DATEVALUE($D116&amp;"-01"), "dd-mm-yyyy")),0),0)</f>
        <v>0</v>
      </c>
      <c r="P116" s="1">
        <f t="shared" si="3"/>
        <v>44348</v>
      </c>
      <c r="Q116">
        <f t="shared" si="4"/>
        <v>-792</v>
      </c>
    </row>
    <row r="117" spans="1:17" x14ac:dyDescent="0.25">
      <c r="A117" s="1">
        <f t="shared" si="0"/>
        <v>43556</v>
      </c>
      <c r="B117" t="s">
        <v>157</v>
      </c>
      <c r="C117" t="str">
        <f>_xlfn.XLOOKUP(B117,Phone_by_Price!$A$2:$A$34,Phone_by_Price!$B$2:$B$34,"-",0,1)</f>
        <v>Apple iPhone 13 Pro</v>
      </c>
      <c r="D117" t="str">
        <f>_xlfn.XLOOKUP(C117,Phone_by_Sentiment!$B$2:$B$37,Phone_by_Sentiment!$A$2:$A$37,"-",0,1)</f>
        <v>2021-09</v>
      </c>
      <c r="E117" cm="1">
        <f t="array" ref="E117">IF($Q117&gt;=0,IFERROR(generateSalesData($D117, IF(ISNUMBER(_xlfn.XLOOKUP($C117,Phone_by_Sentiment!$B$2:$B$37,Phone_by_Sentiment!E$2:E$37,"",0,1)),_xlfn.XLOOKUP($C117,Phone_by_Sentiment!$B$2:$B$37,Phone_by_Sentiment!E$2:E$37,"",0,1),0),$A117-TEXT(DATEVALUE($D117&amp;"-01"), "dd-mm-yyyy")),0),0)</f>
        <v>0</v>
      </c>
      <c r="F117" cm="1">
        <f t="array" ref="F117">IF($Q117&gt;=0,IFERROR(generateSalesData($D117, IF(ISNUMBER(_xlfn.XLOOKUP($C117,Phone_by_Sentiment!$B$2:$B$37,Phone_by_Sentiment!F$2:F$37,"",0,1)),_xlfn.XLOOKUP($C117,Phone_by_Sentiment!$B$2:$B$37,Phone_by_Sentiment!F$2:F$37,"",0,1),0),$A117-TEXT(DATEVALUE($D117&amp;"-01"), "dd-mm-yyyy")),0),0)</f>
        <v>0</v>
      </c>
      <c r="G117" cm="1">
        <f t="array" ref="G117">IF($Q117&gt;=0,IFERROR(generateSalesData($D117, IF(ISNUMBER(_xlfn.XLOOKUP($C117,Phone_by_Sentiment!$B$2:$B$37,Phone_by_Sentiment!G$2:G$37,"",0,1)),_xlfn.XLOOKUP($C117,Phone_by_Sentiment!$B$2:$B$37,Phone_by_Sentiment!G$2:G$37,"",0,1),0),$A117-TEXT(DATEVALUE($D117&amp;"-01"), "dd-mm-yyyy")),0),0)</f>
        <v>0</v>
      </c>
      <c r="H117" cm="1">
        <f t="array" ref="H117">IF($Q117&gt;=0,IFERROR(generateSalesData($D117, IF(ISNUMBER(_xlfn.XLOOKUP($C117,Phone_by_Sentiment!$B$2:$B$37,Phone_by_Sentiment!H$2:H$37,"",0,1)),_xlfn.XLOOKUP($C117,Phone_by_Sentiment!$B$2:$B$37,Phone_by_Sentiment!H$2:H$37,"",0,1),0),$A117-TEXT(DATEVALUE($D117&amp;"-01"), "dd-mm-yyyy")),0),0)</f>
        <v>0</v>
      </c>
      <c r="I117" cm="1">
        <f t="array" ref="I117">IF($Q117&gt;=0,IFERROR(generateSalesData($D117, IF(ISNUMBER(_xlfn.XLOOKUP($C117,Phone_by_Sentiment!$B$2:$B$37,Phone_by_Sentiment!I$2:I$37,"",0,1)),_xlfn.XLOOKUP($C117,Phone_by_Sentiment!$B$2:$B$37,Phone_by_Sentiment!I$2:I$37,"",0,1),0),$A117-TEXT(DATEVALUE($D117&amp;"-01"), "dd-mm-yyyy")),0),0)</f>
        <v>0</v>
      </c>
      <c r="J117" cm="1">
        <f t="array" ref="J117">IF($Q117&gt;=0,IFERROR(generateSalesData($D117, IF(ISNUMBER(_xlfn.XLOOKUP($C117,Phone_by_Sentiment!$B$2:$B$37,Phone_by_Sentiment!J$2:J$37,"",0,1)),_xlfn.XLOOKUP($C117,Phone_by_Sentiment!$B$2:$B$37,Phone_by_Sentiment!J$2:J$37,"",0,1),0),$A117-TEXT(DATEVALUE($D117&amp;"-01"), "dd-mm-yyyy")),0),0)</f>
        <v>0</v>
      </c>
      <c r="K117" cm="1">
        <f t="array" ref="K117">IF($Q117&gt;=0,IFERROR(generateSalesData($D117, IF(ISNUMBER(_xlfn.XLOOKUP($C117,Phone_by_Sentiment!$B$2:$B$37,Phone_by_Sentiment!K$2:K$37,"",0,1)),_xlfn.XLOOKUP($C117,Phone_by_Sentiment!$B$2:$B$37,Phone_by_Sentiment!K$2:K$37,"",0,1),0),$A117-TEXT(DATEVALUE($D117&amp;"-01"), "dd-mm-yyyy")),0),0)</f>
        <v>0</v>
      </c>
      <c r="L117" cm="1">
        <f t="array" ref="L117">IF($Q117&gt;=0,IFERROR(generateSalesData($D117, IF(ISNUMBER(_xlfn.XLOOKUP($C117,Phone_by_Sentiment!$B$2:$B$37,Phone_by_Sentiment!L$2:L$37,"",0,1)),_xlfn.XLOOKUP($C117,Phone_by_Sentiment!$B$2:$B$37,Phone_by_Sentiment!L$2:L$37,"",0,1),0),$A117-TEXT(DATEVALUE($D117&amp;"-01"), "dd-mm-yyyy")),0),0)</f>
        <v>0</v>
      </c>
      <c r="M117" cm="1">
        <f t="array" ref="M117">IF($Q117&gt;=0,IFERROR(generateSalesData($D117, IF(ISNUMBER(_xlfn.XLOOKUP($C117,Phone_by_Sentiment!$B$2:$B$37,Phone_by_Sentiment!M$2:M$37,"",0,1)),_xlfn.XLOOKUP($C117,Phone_by_Sentiment!$B$2:$B$37,Phone_by_Sentiment!M$2:M$37,"",0,1),0),$A117-TEXT(DATEVALUE($D117&amp;"-01"), "dd-mm-yyyy")),0),0)</f>
        <v>0</v>
      </c>
      <c r="N117" cm="1">
        <f t="array" ref="N117">IF($Q117&gt;=0,IFERROR(generateSalesData($D117, IF(ISNUMBER(_xlfn.XLOOKUP($C117,Phone_by_Sentiment!$B$2:$B$37,Phone_by_Sentiment!N$2:N$37,"",0,1)),_xlfn.XLOOKUP($C117,Phone_by_Sentiment!$B$2:$B$37,Phone_by_Sentiment!N$2:N$37,"",0,1),0),$A117-TEXT(DATEVALUE($D117&amp;"-01"), "dd-mm-yyyy")),0),0)</f>
        <v>0</v>
      </c>
      <c r="O117" cm="1">
        <f t="array" ref="O117">IF($Q117&gt;=0,IFERROR(generateSalesData($D117, IF(ISNUMBER(_xlfn.XLOOKUP($C117,Phone_by_Sentiment!$B$2:$B$37,Phone_by_Sentiment!O$2:O$37,"",0,1)),_xlfn.XLOOKUP($C117,Phone_by_Sentiment!$B$2:$B$37,Phone_by_Sentiment!O$2:O$37,"",0,1),0),$A117-TEXT(DATEVALUE($D117&amp;"-01"), "dd-mm-yyyy")),0),0)</f>
        <v>0</v>
      </c>
      <c r="P117" s="1">
        <f t="shared" si="3"/>
        <v>44440</v>
      </c>
      <c r="Q117">
        <f t="shared" si="4"/>
        <v>-884</v>
      </c>
    </row>
    <row r="118" spans="1:17" x14ac:dyDescent="0.25">
      <c r="A118" s="1">
        <f t="shared" si="0"/>
        <v>43556</v>
      </c>
      <c r="B118" t="s">
        <v>158</v>
      </c>
      <c r="C118" t="str">
        <f>_xlfn.XLOOKUP(B118,Phone_by_Price!$A$2:$A$34,Phone_by_Price!$B$2:$B$34,"-",0,1)</f>
        <v>Samsung Galaxy A32 5G</v>
      </c>
      <c r="D118" t="str">
        <f>_xlfn.XLOOKUP(C118,Phone_by_Sentiment!$B$2:$B$37,Phone_by_Sentiment!$A$2:$A$37,"-",0,1)</f>
        <v>2021-02</v>
      </c>
      <c r="E118" cm="1">
        <f t="array" ref="E118">IF($Q118&gt;=0,IFERROR(generateSalesData($D118, IF(ISNUMBER(_xlfn.XLOOKUP($C118,Phone_by_Sentiment!$B$2:$B$37,Phone_by_Sentiment!E$2:E$37,"",0,1)),_xlfn.XLOOKUP($C118,Phone_by_Sentiment!$B$2:$B$37,Phone_by_Sentiment!E$2:E$37,"",0,1),0),$A118-TEXT(DATEVALUE($D118&amp;"-01"), "dd-mm-yyyy")),0),0)</f>
        <v>0</v>
      </c>
      <c r="F118" cm="1">
        <f t="array" ref="F118">IF($Q118&gt;=0,IFERROR(generateSalesData($D118, IF(ISNUMBER(_xlfn.XLOOKUP($C118,Phone_by_Sentiment!$B$2:$B$37,Phone_by_Sentiment!F$2:F$37,"",0,1)),_xlfn.XLOOKUP($C118,Phone_by_Sentiment!$B$2:$B$37,Phone_by_Sentiment!F$2:F$37,"",0,1),0),$A118-TEXT(DATEVALUE($D118&amp;"-01"), "dd-mm-yyyy")),0),0)</f>
        <v>0</v>
      </c>
      <c r="G118" cm="1">
        <f t="array" ref="G118">IF($Q118&gt;=0,IFERROR(generateSalesData($D118, IF(ISNUMBER(_xlfn.XLOOKUP($C118,Phone_by_Sentiment!$B$2:$B$37,Phone_by_Sentiment!G$2:G$37,"",0,1)),_xlfn.XLOOKUP($C118,Phone_by_Sentiment!$B$2:$B$37,Phone_by_Sentiment!G$2:G$37,"",0,1),0),$A118-TEXT(DATEVALUE($D118&amp;"-01"), "dd-mm-yyyy")),0),0)</f>
        <v>0</v>
      </c>
      <c r="H118" cm="1">
        <f t="array" ref="H118">IF($Q118&gt;=0,IFERROR(generateSalesData($D118, IF(ISNUMBER(_xlfn.XLOOKUP($C118,Phone_by_Sentiment!$B$2:$B$37,Phone_by_Sentiment!H$2:H$37,"",0,1)),_xlfn.XLOOKUP($C118,Phone_by_Sentiment!$B$2:$B$37,Phone_by_Sentiment!H$2:H$37,"",0,1),0),$A118-TEXT(DATEVALUE($D118&amp;"-01"), "dd-mm-yyyy")),0),0)</f>
        <v>0</v>
      </c>
      <c r="I118" cm="1">
        <f t="array" ref="I118">IF($Q118&gt;=0,IFERROR(generateSalesData($D118, IF(ISNUMBER(_xlfn.XLOOKUP($C118,Phone_by_Sentiment!$B$2:$B$37,Phone_by_Sentiment!I$2:I$37,"",0,1)),_xlfn.XLOOKUP($C118,Phone_by_Sentiment!$B$2:$B$37,Phone_by_Sentiment!I$2:I$37,"",0,1),0),$A118-TEXT(DATEVALUE($D118&amp;"-01"), "dd-mm-yyyy")),0),0)</f>
        <v>0</v>
      </c>
      <c r="J118" cm="1">
        <f t="array" ref="J118">IF($Q118&gt;=0,IFERROR(generateSalesData($D118, IF(ISNUMBER(_xlfn.XLOOKUP($C118,Phone_by_Sentiment!$B$2:$B$37,Phone_by_Sentiment!J$2:J$37,"",0,1)),_xlfn.XLOOKUP($C118,Phone_by_Sentiment!$B$2:$B$37,Phone_by_Sentiment!J$2:J$37,"",0,1),0),$A118-TEXT(DATEVALUE($D118&amp;"-01"), "dd-mm-yyyy")),0),0)</f>
        <v>0</v>
      </c>
      <c r="K118" cm="1">
        <f t="array" ref="K118">IF($Q118&gt;=0,IFERROR(generateSalesData($D118, IF(ISNUMBER(_xlfn.XLOOKUP($C118,Phone_by_Sentiment!$B$2:$B$37,Phone_by_Sentiment!K$2:K$37,"",0,1)),_xlfn.XLOOKUP($C118,Phone_by_Sentiment!$B$2:$B$37,Phone_by_Sentiment!K$2:K$37,"",0,1),0),$A118-TEXT(DATEVALUE($D118&amp;"-01"), "dd-mm-yyyy")),0),0)</f>
        <v>0</v>
      </c>
      <c r="L118" cm="1">
        <f t="array" ref="L118">IF($Q118&gt;=0,IFERROR(generateSalesData($D118, IF(ISNUMBER(_xlfn.XLOOKUP($C118,Phone_by_Sentiment!$B$2:$B$37,Phone_by_Sentiment!L$2:L$37,"",0,1)),_xlfn.XLOOKUP($C118,Phone_by_Sentiment!$B$2:$B$37,Phone_by_Sentiment!L$2:L$37,"",0,1),0),$A118-TEXT(DATEVALUE($D118&amp;"-01"), "dd-mm-yyyy")),0),0)</f>
        <v>0</v>
      </c>
      <c r="M118" cm="1">
        <f t="array" ref="M118">IF($Q118&gt;=0,IFERROR(generateSalesData($D118, IF(ISNUMBER(_xlfn.XLOOKUP($C118,Phone_by_Sentiment!$B$2:$B$37,Phone_by_Sentiment!M$2:M$37,"",0,1)),_xlfn.XLOOKUP($C118,Phone_by_Sentiment!$B$2:$B$37,Phone_by_Sentiment!M$2:M$37,"",0,1),0),$A118-TEXT(DATEVALUE($D118&amp;"-01"), "dd-mm-yyyy")),0),0)</f>
        <v>0</v>
      </c>
      <c r="N118" cm="1">
        <f t="array" ref="N118">IF($Q118&gt;=0,IFERROR(generateSalesData($D118, IF(ISNUMBER(_xlfn.XLOOKUP($C118,Phone_by_Sentiment!$B$2:$B$37,Phone_by_Sentiment!N$2:N$37,"",0,1)),_xlfn.XLOOKUP($C118,Phone_by_Sentiment!$B$2:$B$37,Phone_by_Sentiment!N$2:N$37,"",0,1),0),$A118-TEXT(DATEVALUE($D118&amp;"-01"), "dd-mm-yyyy")),0),0)</f>
        <v>0</v>
      </c>
      <c r="O118" cm="1">
        <f t="array" ref="O118">IF($Q118&gt;=0,IFERROR(generateSalesData($D118, IF(ISNUMBER(_xlfn.XLOOKUP($C118,Phone_by_Sentiment!$B$2:$B$37,Phone_by_Sentiment!O$2:O$37,"",0,1)),_xlfn.XLOOKUP($C118,Phone_by_Sentiment!$B$2:$B$37,Phone_by_Sentiment!O$2:O$37,"",0,1),0),$A118-TEXT(DATEVALUE($D118&amp;"-01"), "dd-mm-yyyy")),0),0)</f>
        <v>0</v>
      </c>
      <c r="P118" s="1">
        <f t="shared" si="3"/>
        <v>44228</v>
      </c>
      <c r="Q118">
        <f t="shared" si="4"/>
        <v>-672</v>
      </c>
    </row>
    <row r="119" spans="1:17" x14ac:dyDescent="0.25">
      <c r="A119" s="1">
        <f t="shared" si="0"/>
        <v>43556</v>
      </c>
      <c r="B119" t="s">
        <v>159</v>
      </c>
      <c r="C119" t="str">
        <f>_xlfn.XLOOKUP(B119,Phone_by_Price!$A$2:$A$34,Phone_by_Price!$B$2:$B$34,"-",0,1)</f>
        <v>Realme C25</v>
      </c>
      <c r="D119" t="str">
        <f>_xlfn.XLOOKUP(C119,Phone_by_Sentiment!$B$2:$B$37,Phone_by_Sentiment!$A$2:$A$37,"-",0,1)</f>
        <v>2021-03</v>
      </c>
      <c r="E119" cm="1">
        <f t="array" ref="E119">IF($Q119&gt;=0,IFERROR(generateSalesData($D119, IF(ISNUMBER(_xlfn.XLOOKUP($C119,Phone_by_Sentiment!$B$2:$B$37,Phone_by_Sentiment!E$2:E$37,"",0,1)),_xlfn.XLOOKUP($C119,Phone_by_Sentiment!$B$2:$B$37,Phone_by_Sentiment!E$2:E$37,"",0,1),0),$A119-TEXT(DATEVALUE($D119&amp;"-01"), "dd-mm-yyyy")),0),0)</f>
        <v>0</v>
      </c>
      <c r="F119" cm="1">
        <f t="array" ref="F119">IF($Q119&gt;=0,IFERROR(generateSalesData($D119, IF(ISNUMBER(_xlfn.XLOOKUP($C119,Phone_by_Sentiment!$B$2:$B$37,Phone_by_Sentiment!F$2:F$37,"",0,1)),_xlfn.XLOOKUP($C119,Phone_by_Sentiment!$B$2:$B$37,Phone_by_Sentiment!F$2:F$37,"",0,1),0),$A119-TEXT(DATEVALUE($D119&amp;"-01"), "dd-mm-yyyy")),0),0)</f>
        <v>0</v>
      </c>
      <c r="G119" cm="1">
        <f t="array" ref="G119">IF($Q119&gt;=0,IFERROR(generateSalesData($D119, IF(ISNUMBER(_xlfn.XLOOKUP($C119,Phone_by_Sentiment!$B$2:$B$37,Phone_by_Sentiment!G$2:G$37,"",0,1)),_xlfn.XLOOKUP($C119,Phone_by_Sentiment!$B$2:$B$37,Phone_by_Sentiment!G$2:G$37,"",0,1),0),$A119-TEXT(DATEVALUE($D119&amp;"-01"), "dd-mm-yyyy")),0),0)</f>
        <v>0</v>
      </c>
      <c r="H119" cm="1">
        <f t="array" ref="H119">IF($Q119&gt;=0,IFERROR(generateSalesData($D119, IF(ISNUMBER(_xlfn.XLOOKUP($C119,Phone_by_Sentiment!$B$2:$B$37,Phone_by_Sentiment!H$2:H$37,"",0,1)),_xlfn.XLOOKUP($C119,Phone_by_Sentiment!$B$2:$B$37,Phone_by_Sentiment!H$2:H$37,"",0,1),0),$A119-TEXT(DATEVALUE($D119&amp;"-01"), "dd-mm-yyyy")),0),0)</f>
        <v>0</v>
      </c>
      <c r="I119" cm="1">
        <f t="array" ref="I119">IF($Q119&gt;=0,IFERROR(generateSalesData($D119, IF(ISNUMBER(_xlfn.XLOOKUP($C119,Phone_by_Sentiment!$B$2:$B$37,Phone_by_Sentiment!I$2:I$37,"",0,1)),_xlfn.XLOOKUP($C119,Phone_by_Sentiment!$B$2:$B$37,Phone_by_Sentiment!I$2:I$37,"",0,1),0),$A119-TEXT(DATEVALUE($D119&amp;"-01"), "dd-mm-yyyy")),0),0)</f>
        <v>0</v>
      </c>
      <c r="J119" cm="1">
        <f t="array" ref="J119">IF($Q119&gt;=0,IFERROR(generateSalesData($D119, IF(ISNUMBER(_xlfn.XLOOKUP($C119,Phone_by_Sentiment!$B$2:$B$37,Phone_by_Sentiment!J$2:J$37,"",0,1)),_xlfn.XLOOKUP($C119,Phone_by_Sentiment!$B$2:$B$37,Phone_by_Sentiment!J$2:J$37,"",0,1),0),$A119-TEXT(DATEVALUE($D119&amp;"-01"), "dd-mm-yyyy")),0),0)</f>
        <v>0</v>
      </c>
      <c r="K119" cm="1">
        <f t="array" ref="K119">IF($Q119&gt;=0,IFERROR(generateSalesData($D119, IF(ISNUMBER(_xlfn.XLOOKUP($C119,Phone_by_Sentiment!$B$2:$B$37,Phone_by_Sentiment!K$2:K$37,"",0,1)),_xlfn.XLOOKUP($C119,Phone_by_Sentiment!$B$2:$B$37,Phone_by_Sentiment!K$2:K$37,"",0,1),0),$A119-TEXT(DATEVALUE($D119&amp;"-01"), "dd-mm-yyyy")),0),0)</f>
        <v>0</v>
      </c>
      <c r="L119" cm="1">
        <f t="array" ref="L119">IF($Q119&gt;=0,IFERROR(generateSalesData($D119, IF(ISNUMBER(_xlfn.XLOOKUP($C119,Phone_by_Sentiment!$B$2:$B$37,Phone_by_Sentiment!L$2:L$37,"",0,1)),_xlfn.XLOOKUP($C119,Phone_by_Sentiment!$B$2:$B$37,Phone_by_Sentiment!L$2:L$37,"",0,1),0),$A119-TEXT(DATEVALUE($D119&amp;"-01"), "dd-mm-yyyy")),0),0)</f>
        <v>0</v>
      </c>
      <c r="M119" cm="1">
        <f t="array" ref="M119">IF($Q119&gt;=0,IFERROR(generateSalesData($D119, IF(ISNUMBER(_xlfn.XLOOKUP($C119,Phone_by_Sentiment!$B$2:$B$37,Phone_by_Sentiment!M$2:M$37,"",0,1)),_xlfn.XLOOKUP($C119,Phone_by_Sentiment!$B$2:$B$37,Phone_by_Sentiment!M$2:M$37,"",0,1),0),$A119-TEXT(DATEVALUE($D119&amp;"-01"), "dd-mm-yyyy")),0),0)</f>
        <v>0</v>
      </c>
      <c r="N119" cm="1">
        <f t="array" ref="N119">IF($Q119&gt;=0,IFERROR(generateSalesData($D119, IF(ISNUMBER(_xlfn.XLOOKUP($C119,Phone_by_Sentiment!$B$2:$B$37,Phone_by_Sentiment!N$2:N$37,"",0,1)),_xlfn.XLOOKUP($C119,Phone_by_Sentiment!$B$2:$B$37,Phone_by_Sentiment!N$2:N$37,"",0,1),0),$A119-TEXT(DATEVALUE($D119&amp;"-01"), "dd-mm-yyyy")),0),0)</f>
        <v>0</v>
      </c>
      <c r="O119" cm="1">
        <f t="array" ref="O119">IF($Q119&gt;=0,IFERROR(generateSalesData($D119, IF(ISNUMBER(_xlfn.XLOOKUP($C119,Phone_by_Sentiment!$B$2:$B$37,Phone_by_Sentiment!O$2:O$37,"",0,1)),_xlfn.XLOOKUP($C119,Phone_by_Sentiment!$B$2:$B$37,Phone_by_Sentiment!O$2:O$37,"",0,1),0),$A119-TEXT(DATEVALUE($D119&amp;"-01"), "dd-mm-yyyy")),0),0)</f>
        <v>0</v>
      </c>
      <c r="P119" s="1">
        <f t="shared" si="3"/>
        <v>44256</v>
      </c>
      <c r="Q119">
        <f t="shared" si="4"/>
        <v>-700</v>
      </c>
    </row>
    <row r="120" spans="1:17" x14ac:dyDescent="0.25">
      <c r="A120" s="1">
        <f t="shared" si="0"/>
        <v>43556</v>
      </c>
      <c r="B120" t="s">
        <v>160</v>
      </c>
      <c r="C120" t="str">
        <f>_xlfn.XLOOKUP(B120,Phone_by_Price!$A$2:$A$34,Phone_by_Price!$B$2:$B$34,"-",0,1)</f>
        <v>Xiaomi Poco X3 Pro</v>
      </c>
      <c r="D120" t="str">
        <f>_xlfn.XLOOKUP(C120,Phone_by_Sentiment!$B$2:$B$37,Phone_by_Sentiment!$A$2:$A$37,"-",0,1)</f>
        <v>2021-05</v>
      </c>
      <c r="E120" cm="1">
        <f t="array" ref="E120">IF($Q120&gt;=0,IFERROR(generateSalesData($D120, IF(ISNUMBER(_xlfn.XLOOKUP($C120,Phone_by_Sentiment!$B$2:$B$37,Phone_by_Sentiment!E$2:E$37,"",0,1)),_xlfn.XLOOKUP($C120,Phone_by_Sentiment!$B$2:$B$37,Phone_by_Sentiment!E$2:E$37,"",0,1),0),$A120-TEXT(DATEVALUE($D120&amp;"-01"), "dd-mm-yyyy")),0),0)</f>
        <v>0</v>
      </c>
      <c r="F120" cm="1">
        <f t="array" ref="F120">IF($Q120&gt;=0,IFERROR(generateSalesData($D120, IF(ISNUMBER(_xlfn.XLOOKUP($C120,Phone_by_Sentiment!$B$2:$B$37,Phone_by_Sentiment!F$2:F$37,"",0,1)),_xlfn.XLOOKUP($C120,Phone_by_Sentiment!$B$2:$B$37,Phone_by_Sentiment!F$2:F$37,"",0,1),0),$A120-TEXT(DATEVALUE($D120&amp;"-01"), "dd-mm-yyyy")),0),0)</f>
        <v>0</v>
      </c>
      <c r="G120" cm="1">
        <f t="array" ref="G120">IF($Q120&gt;=0,IFERROR(generateSalesData($D120, IF(ISNUMBER(_xlfn.XLOOKUP($C120,Phone_by_Sentiment!$B$2:$B$37,Phone_by_Sentiment!G$2:G$37,"",0,1)),_xlfn.XLOOKUP($C120,Phone_by_Sentiment!$B$2:$B$37,Phone_by_Sentiment!G$2:G$37,"",0,1),0),$A120-TEXT(DATEVALUE($D120&amp;"-01"), "dd-mm-yyyy")),0),0)</f>
        <v>0</v>
      </c>
      <c r="H120" cm="1">
        <f t="array" ref="H120">IF($Q120&gt;=0,IFERROR(generateSalesData($D120, IF(ISNUMBER(_xlfn.XLOOKUP($C120,Phone_by_Sentiment!$B$2:$B$37,Phone_by_Sentiment!H$2:H$37,"",0,1)),_xlfn.XLOOKUP($C120,Phone_by_Sentiment!$B$2:$B$37,Phone_by_Sentiment!H$2:H$37,"",0,1),0),$A120-TEXT(DATEVALUE($D120&amp;"-01"), "dd-mm-yyyy")),0),0)</f>
        <v>0</v>
      </c>
      <c r="I120" cm="1">
        <f t="array" ref="I120">IF($Q120&gt;=0,IFERROR(generateSalesData($D120, IF(ISNUMBER(_xlfn.XLOOKUP($C120,Phone_by_Sentiment!$B$2:$B$37,Phone_by_Sentiment!I$2:I$37,"",0,1)),_xlfn.XLOOKUP($C120,Phone_by_Sentiment!$B$2:$B$37,Phone_by_Sentiment!I$2:I$37,"",0,1),0),$A120-TEXT(DATEVALUE($D120&amp;"-01"), "dd-mm-yyyy")),0),0)</f>
        <v>0</v>
      </c>
      <c r="J120" cm="1">
        <f t="array" ref="J120">IF($Q120&gt;=0,IFERROR(generateSalesData($D120, IF(ISNUMBER(_xlfn.XLOOKUP($C120,Phone_by_Sentiment!$B$2:$B$37,Phone_by_Sentiment!J$2:J$37,"",0,1)),_xlfn.XLOOKUP($C120,Phone_by_Sentiment!$B$2:$B$37,Phone_by_Sentiment!J$2:J$37,"",0,1),0),$A120-TEXT(DATEVALUE($D120&amp;"-01"), "dd-mm-yyyy")),0),0)</f>
        <v>0</v>
      </c>
      <c r="K120" cm="1">
        <f t="array" ref="K120">IF($Q120&gt;=0,IFERROR(generateSalesData($D120, IF(ISNUMBER(_xlfn.XLOOKUP($C120,Phone_by_Sentiment!$B$2:$B$37,Phone_by_Sentiment!K$2:K$37,"",0,1)),_xlfn.XLOOKUP($C120,Phone_by_Sentiment!$B$2:$B$37,Phone_by_Sentiment!K$2:K$37,"",0,1),0),$A120-TEXT(DATEVALUE($D120&amp;"-01"), "dd-mm-yyyy")),0),0)</f>
        <v>0</v>
      </c>
      <c r="L120" cm="1">
        <f t="array" ref="L120">IF($Q120&gt;=0,IFERROR(generateSalesData($D120, IF(ISNUMBER(_xlfn.XLOOKUP($C120,Phone_by_Sentiment!$B$2:$B$37,Phone_by_Sentiment!L$2:L$37,"",0,1)),_xlfn.XLOOKUP($C120,Phone_by_Sentiment!$B$2:$B$37,Phone_by_Sentiment!L$2:L$37,"",0,1),0),$A120-TEXT(DATEVALUE($D120&amp;"-01"), "dd-mm-yyyy")),0),0)</f>
        <v>0</v>
      </c>
      <c r="M120" cm="1">
        <f t="array" ref="M120">IF($Q120&gt;=0,IFERROR(generateSalesData($D120, IF(ISNUMBER(_xlfn.XLOOKUP($C120,Phone_by_Sentiment!$B$2:$B$37,Phone_by_Sentiment!M$2:M$37,"",0,1)),_xlfn.XLOOKUP($C120,Phone_by_Sentiment!$B$2:$B$37,Phone_by_Sentiment!M$2:M$37,"",0,1),0),$A120-TEXT(DATEVALUE($D120&amp;"-01"), "dd-mm-yyyy")),0),0)</f>
        <v>0</v>
      </c>
      <c r="N120" cm="1">
        <f t="array" ref="N120">IF($Q120&gt;=0,IFERROR(generateSalesData($D120, IF(ISNUMBER(_xlfn.XLOOKUP($C120,Phone_by_Sentiment!$B$2:$B$37,Phone_by_Sentiment!N$2:N$37,"",0,1)),_xlfn.XLOOKUP($C120,Phone_by_Sentiment!$B$2:$B$37,Phone_by_Sentiment!N$2:N$37,"",0,1),0),$A120-TEXT(DATEVALUE($D120&amp;"-01"), "dd-mm-yyyy")),0),0)</f>
        <v>0</v>
      </c>
      <c r="O120" cm="1">
        <f t="array" ref="O120">IF($Q120&gt;=0,IFERROR(generateSalesData($D120, IF(ISNUMBER(_xlfn.XLOOKUP($C120,Phone_by_Sentiment!$B$2:$B$37,Phone_by_Sentiment!O$2:O$37,"",0,1)),_xlfn.XLOOKUP($C120,Phone_by_Sentiment!$B$2:$B$37,Phone_by_Sentiment!O$2:O$37,"",0,1),0),$A120-TEXT(DATEVALUE($D120&amp;"-01"), "dd-mm-yyyy")),0),0)</f>
        <v>0</v>
      </c>
      <c r="P120" s="1">
        <f t="shared" si="3"/>
        <v>44317</v>
      </c>
      <c r="Q120">
        <f t="shared" si="4"/>
        <v>-761</v>
      </c>
    </row>
    <row r="121" spans="1:17" x14ac:dyDescent="0.25">
      <c r="A121" s="1">
        <f t="shared" si="0"/>
        <v>43556</v>
      </c>
      <c r="B121" t="s">
        <v>161</v>
      </c>
      <c r="C121" t="str">
        <f>_xlfn.XLOOKUP(B121,Phone_by_Price!$A$2:$A$34,Phone_by_Price!$B$2:$B$34,"-",0,1)</f>
        <v>Samsung Galaxy Z Flip 3</v>
      </c>
      <c r="D121" t="str">
        <f>_xlfn.XLOOKUP(C121,Phone_by_Sentiment!$B$2:$B$37,Phone_by_Sentiment!$A$2:$A$37,"-",0,1)</f>
        <v>2021-09</v>
      </c>
      <c r="E121" cm="1">
        <f t="array" ref="E121">IF($Q121&gt;=0,IFERROR(generateSalesData($D121, IF(ISNUMBER(_xlfn.XLOOKUP($C121,Phone_by_Sentiment!$B$2:$B$37,Phone_by_Sentiment!E$2:E$37,"",0,1)),_xlfn.XLOOKUP($C121,Phone_by_Sentiment!$B$2:$B$37,Phone_by_Sentiment!E$2:E$37,"",0,1),0),$A121-TEXT(DATEVALUE($D121&amp;"-01"), "dd-mm-yyyy")),0),0)</f>
        <v>0</v>
      </c>
      <c r="F121" cm="1">
        <f t="array" ref="F121">IF($Q121&gt;=0,IFERROR(generateSalesData($D121, IF(ISNUMBER(_xlfn.XLOOKUP($C121,Phone_by_Sentiment!$B$2:$B$37,Phone_by_Sentiment!F$2:F$37,"",0,1)),_xlfn.XLOOKUP($C121,Phone_by_Sentiment!$B$2:$B$37,Phone_by_Sentiment!F$2:F$37,"",0,1),0),$A121-TEXT(DATEVALUE($D121&amp;"-01"), "dd-mm-yyyy")),0),0)</f>
        <v>0</v>
      </c>
      <c r="G121" cm="1">
        <f t="array" ref="G121">IF($Q121&gt;=0,IFERROR(generateSalesData($D121, IF(ISNUMBER(_xlfn.XLOOKUP($C121,Phone_by_Sentiment!$B$2:$B$37,Phone_by_Sentiment!G$2:G$37,"",0,1)),_xlfn.XLOOKUP($C121,Phone_by_Sentiment!$B$2:$B$37,Phone_by_Sentiment!G$2:G$37,"",0,1),0),$A121-TEXT(DATEVALUE($D121&amp;"-01"), "dd-mm-yyyy")),0),0)</f>
        <v>0</v>
      </c>
      <c r="H121" cm="1">
        <f t="array" ref="H121">IF($Q121&gt;=0,IFERROR(generateSalesData($D121, IF(ISNUMBER(_xlfn.XLOOKUP($C121,Phone_by_Sentiment!$B$2:$B$37,Phone_by_Sentiment!H$2:H$37,"",0,1)),_xlfn.XLOOKUP($C121,Phone_by_Sentiment!$B$2:$B$37,Phone_by_Sentiment!H$2:H$37,"",0,1),0),$A121-TEXT(DATEVALUE($D121&amp;"-01"), "dd-mm-yyyy")),0),0)</f>
        <v>0</v>
      </c>
      <c r="I121" cm="1">
        <f t="array" ref="I121">IF($Q121&gt;=0,IFERROR(generateSalesData($D121, IF(ISNUMBER(_xlfn.XLOOKUP($C121,Phone_by_Sentiment!$B$2:$B$37,Phone_by_Sentiment!I$2:I$37,"",0,1)),_xlfn.XLOOKUP($C121,Phone_by_Sentiment!$B$2:$B$37,Phone_by_Sentiment!I$2:I$37,"",0,1),0),$A121-TEXT(DATEVALUE($D121&amp;"-01"), "dd-mm-yyyy")),0),0)</f>
        <v>0</v>
      </c>
      <c r="J121" cm="1">
        <f t="array" ref="J121">IF($Q121&gt;=0,IFERROR(generateSalesData($D121, IF(ISNUMBER(_xlfn.XLOOKUP($C121,Phone_by_Sentiment!$B$2:$B$37,Phone_by_Sentiment!J$2:J$37,"",0,1)),_xlfn.XLOOKUP($C121,Phone_by_Sentiment!$B$2:$B$37,Phone_by_Sentiment!J$2:J$37,"",0,1),0),$A121-TEXT(DATEVALUE($D121&amp;"-01"), "dd-mm-yyyy")),0),0)</f>
        <v>0</v>
      </c>
      <c r="K121" cm="1">
        <f t="array" ref="K121">IF($Q121&gt;=0,IFERROR(generateSalesData($D121, IF(ISNUMBER(_xlfn.XLOOKUP($C121,Phone_by_Sentiment!$B$2:$B$37,Phone_by_Sentiment!K$2:K$37,"",0,1)),_xlfn.XLOOKUP($C121,Phone_by_Sentiment!$B$2:$B$37,Phone_by_Sentiment!K$2:K$37,"",0,1),0),$A121-TEXT(DATEVALUE($D121&amp;"-01"), "dd-mm-yyyy")),0),0)</f>
        <v>0</v>
      </c>
      <c r="L121" cm="1">
        <f t="array" ref="L121">IF($Q121&gt;=0,IFERROR(generateSalesData($D121, IF(ISNUMBER(_xlfn.XLOOKUP($C121,Phone_by_Sentiment!$B$2:$B$37,Phone_by_Sentiment!L$2:L$37,"",0,1)),_xlfn.XLOOKUP($C121,Phone_by_Sentiment!$B$2:$B$37,Phone_by_Sentiment!L$2:L$37,"",0,1),0),$A121-TEXT(DATEVALUE($D121&amp;"-01"), "dd-mm-yyyy")),0),0)</f>
        <v>0</v>
      </c>
      <c r="M121" cm="1">
        <f t="array" ref="M121">IF($Q121&gt;=0,IFERROR(generateSalesData($D121, IF(ISNUMBER(_xlfn.XLOOKUP($C121,Phone_by_Sentiment!$B$2:$B$37,Phone_by_Sentiment!M$2:M$37,"",0,1)),_xlfn.XLOOKUP($C121,Phone_by_Sentiment!$B$2:$B$37,Phone_by_Sentiment!M$2:M$37,"",0,1),0),$A121-TEXT(DATEVALUE($D121&amp;"-01"), "dd-mm-yyyy")),0),0)</f>
        <v>0</v>
      </c>
      <c r="N121" cm="1">
        <f t="array" ref="N121">IF($Q121&gt;=0,IFERROR(generateSalesData($D121, IF(ISNUMBER(_xlfn.XLOOKUP($C121,Phone_by_Sentiment!$B$2:$B$37,Phone_by_Sentiment!N$2:N$37,"",0,1)),_xlfn.XLOOKUP($C121,Phone_by_Sentiment!$B$2:$B$37,Phone_by_Sentiment!N$2:N$37,"",0,1),0),$A121-TEXT(DATEVALUE($D121&amp;"-01"), "dd-mm-yyyy")),0),0)</f>
        <v>0</v>
      </c>
      <c r="O121" cm="1">
        <f t="array" ref="O121">IF($Q121&gt;=0,IFERROR(generateSalesData($D121, IF(ISNUMBER(_xlfn.XLOOKUP($C121,Phone_by_Sentiment!$B$2:$B$37,Phone_by_Sentiment!O$2:O$37,"",0,1)),_xlfn.XLOOKUP($C121,Phone_by_Sentiment!$B$2:$B$37,Phone_by_Sentiment!O$2:O$37,"",0,1),0),$A121-TEXT(DATEVALUE($D121&amp;"-01"), "dd-mm-yyyy")),0),0)</f>
        <v>0</v>
      </c>
      <c r="P121" s="1">
        <f t="shared" si="3"/>
        <v>44440</v>
      </c>
      <c r="Q121">
        <f t="shared" si="4"/>
        <v>-884</v>
      </c>
    </row>
    <row r="122" spans="1:17" x14ac:dyDescent="0.25">
      <c r="A122" s="1">
        <f t="shared" si="0"/>
        <v>43556</v>
      </c>
      <c r="B122" t="s">
        <v>162</v>
      </c>
      <c r="C122" t="str">
        <f>_xlfn.XLOOKUP(B122,Phone_by_Price!$A$2:$A$34,Phone_by_Price!$B$2:$B$34,"-",0,1)</f>
        <v>Xiaomi Poco X3 NFC</v>
      </c>
      <c r="D122" t="str">
        <f>_xlfn.XLOOKUP(C122,Phone_by_Sentiment!$B$2:$B$37,Phone_by_Sentiment!$A$2:$A$37,"-",0,1)</f>
        <v>2020-08</v>
      </c>
      <c r="E122" cm="1">
        <f t="array" ref="E122">IF($Q122&gt;=0,IFERROR(generateSalesData($D122, IF(ISNUMBER(_xlfn.XLOOKUP($C122,Phone_by_Sentiment!$B$2:$B$37,Phone_by_Sentiment!E$2:E$37,"",0,1)),_xlfn.XLOOKUP($C122,Phone_by_Sentiment!$B$2:$B$37,Phone_by_Sentiment!E$2:E$37,"",0,1),0),$A122-TEXT(DATEVALUE($D122&amp;"-01"), "dd-mm-yyyy")),0),0)</f>
        <v>0</v>
      </c>
      <c r="F122" cm="1">
        <f t="array" ref="F122">IF($Q122&gt;=0,IFERROR(generateSalesData($D122, IF(ISNUMBER(_xlfn.XLOOKUP($C122,Phone_by_Sentiment!$B$2:$B$37,Phone_by_Sentiment!F$2:F$37,"",0,1)),_xlfn.XLOOKUP($C122,Phone_by_Sentiment!$B$2:$B$37,Phone_by_Sentiment!F$2:F$37,"",0,1),0),$A122-TEXT(DATEVALUE($D122&amp;"-01"), "dd-mm-yyyy")),0),0)</f>
        <v>0</v>
      </c>
      <c r="G122" cm="1">
        <f t="array" ref="G122">IF($Q122&gt;=0,IFERROR(generateSalesData($D122, IF(ISNUMBER(_xlfn.XLOOKUP($C122,Phone_by_Sentiment!$B$2:$B$37,Phone_by_Sentiment!G$2:G$37,"",0,1)),_xlfn.XLOOKUP($C122,Phone_by_Sentiment!$B$2:$B$37,Phone_by_Sentiment!G$2:G$37,"",0,1),0),$A122-TEXT(DATEVALUE($D122&amp;"-01"), "dd-mm-yyyy")),0),0)</f>
        <v>0</v>
      </c>
      <c r="H122" cm="1">
        <f t="array" ref="H122">IF($Q122&gt;=0,IFERROR(generateSalesData($D122, IF(ISNUMBER(_xlfn.XLOOKUP($C122,Phone_by_Sentiment!$B$2:$B$37,Phone_by_Sentiment!H$2:H$37,"",0,1)),_xlfn.XLOOKUP($C122,Phone_by_Sentiment!$B$2:$B$37,Phone_by_Sentiment!H$2:H$37,"",0,1),0),$A122-TEXT(DATEVALUE($D122&amp;"-01"), "dd-mm-yyyy")),0),0)</f>
        <v>0</v>
      </c>
      <c r="I122" cm="1">
        <f t="array" ref="I122">IF($Q122&gt;=0,IFERROR(generateSalesData($D122, IF(ISNUMBER(_xlfn.XLOOKUP($C122,Phone_by_Sentiment!$B$2:$B$37,Phone_by_Sentiment!I$2:I$37,"",0,1)),_xlfn.XLOOKUP($C122,Phone_by_Sentiment!$B$2:$B$37,Phone_by_Sentiment!I$2:I$37,"",0,1),0),$A122-TEXT(DATEVALUE($D122&amp;"-01"), "dd-mm-yyyy")),0),0)</f>
        <v>0</v>
      </c>
      <c r="J122" cm="1">
        <f t="array" ref="J122">IF($Q122&gt;=0,IFERROR(generateSalesData($D122, IF(ISNUMBER(_xlfn.XLOOKUP($C122,Phone_by_Sentiment!$B$2:$B$37,Phone_by_Sentiment!J$2:J$37,"",0,1)),_xlfn.XLOOKUP($C122,Phone_by_Sentiment!$B$2:$B$37,Phone_by_Sentiment!J$2:J$37,"",0,1),0),$A122-TEXT(DATEVALUE($D122&amp;"-01"), "dd-mm-yyyy")),0),0)</f>
        <v>0</v>
      </c>
      <c r="K122" cm="1">
        <f t="array" ref="K122">IF($Q122&gt;=0,IFERROR(generateSalesData($D122, IF(ISNUMBER(_xlfn.XLOOKUP($C122,Phone_by_Sentiment!$B$2:$B$37,Phone_by_Sentiment!K$2:K$37,"",0,1)),_xlfn.XLOOKUP($C122,Phone_by_Sentiment!$B$2:$B$37,Phone_by_Sentiment!K$2:K$37,"",0,1),0),$A122-TEXT(DATEVALUE($D122&amp;"-01"), "dd-mm-yyyy")),0),0)</f>
        <v>0</v>
      </c>
      <c r="L122" cm="1">
        <f t="array" ref="L122">IF($Q122&gt;=0,IFERROR(generateSalesData($D122, IF(ISNUMBER(_xlfn.XLOOKUP($C122,Phone_by_Sentiment!$B$2:$B$37,Phone_by_Sentiment!L$2:L$37,"",0,1)),_xlfn.XLOOKUP($C122,Phone_by_Sentiment!$B$2:$B$37,Phone_by_Sentiment!L$2:L$37,"",0,1),0),$A122-TEXT(DATEVALUE($D122&amp;"-01"), "dd-mm-yyyy")),0),0)</f>
        <v>0</v>
      </c>
      <c r="M122" cm="1">
        <f t="array" ref="M122">IF($Q122&gt;=0,IFERROR(generateSalesData($D122, IF(ISNUMBER(_xlfn.XLOOKUP($C122,Phone_by_Sentiment!$B$2:$B$37,Phone_by_Sentiment!M$2:M$37,"",0,1)),_xlfn.XLOOKUP($C122,Phone_by_Sentiment!$B$2:$B$37,Phone_by_Sentiment!M$2:M$37,"",0,1),0),$A122-TEXT(DATEVALUE($D122&amp;"-01"), "dd-mm-yyyy")),0),0)</f>
        <v>0</v>
      </c>
      <c r="N122" cm="1">
        <f t="array" ref="N122">IF($Q122&gt;=0,IFERROR(generateSalesData($D122, IF(ISNUMBER(_xlfn.XLOOKUP($C122,Phone_by_Sentiment!$B$2:$B$37,Phone_by_Sentiment!N$2:N$37,"",0,1)),_xlfn.XLOOKUP($C122,Phone_by_Sentiment!$B$2:$B$37,Phone_by_Sentiment!N$2:N$37,"",0,1),0),$A122-TEXT(DATEVALUE($D122&amp;"-01"), "dd-mm-yyyy")),0),0)</f>
        <v>0</v>
      </c>
      <c r="O122" cm="1">
        <f t="array" ref="O122">IF($Q122&gt;=0,IFERROR(generateSalesData($D122, IF(ISNUMBER(_xlfn.XLOOKUP($C122,Phone_by_Sentiment!$B$2:$B$37,Phone_by_Sentiment!O$2:O$37,"",0,1)),_xlfn.XLOOKUP($C122,Phone_by_Sentiment!$B$2:$B$37,Phone_by_Sentiment!O$2:O$37,"",0,1),0),$A122-TEXT(DATEVALUE($D122&amp;"-01"), "dd-mm-yyyy")),0),0)</f>
        <v>0</v>
      </c>
      <c r="P122" s="1">
        <f t="shared" si="3"/>
        <v>44044</v>
      </c>
      <c r="Q122">
        <f t="shared" si="4"/>
        <v>-488</v>
      </c>
    </row>
    <row r="123" spans="1:17" x14ac:dyDescent="0.25">
      <c r="A123" s="1">
        <f t="shared" si="0"/>
        <v>43556</v>
      </c>
      <c r="B123" t="s">
        <v>163</v>
      </c>
      <c r="C123" t="str">
        <f>_xlfn.XLOOKUP(B123,Phone_by_Price!$A$2:$A$34,Phone_by_Price!$B$2:$B$34,"-",0,1)</f>
        <v>OPPO A93</v>
      </c>
      <c r="D123" t="str">
        <f>_xlfn.XLOOKUP(C123,Phone_by_Sentiment!$B$2:$B$37,Phone_by_Sentiment!$A$2:$A$37,"-",0,1)</f>
        <v>2021-02</v>
      </c>
      <c r="E123" cm="1">
        <f t="array" ref="E123">IF($Q123&gt;=0,IFERROR(generateSalesData($D123, IF(ISNUMBER(_xlfn.XLOOKUP($C123,Phone_by_Sentiment!$B$2:$B$37,Phone_by_Sentiment!E$2:E$37,"",0,1)),_xlfn.XLOOKUP($C123,Phone_by_Sentiment!$B$2:$B$37,Phone_by_Sentiment!E$2:E$37,"",0,1),0),$A123-TEXT(DATEVALUE($D123&amp;"-01"), "dd-mm-yyyy")),0),0)</f>
        <v>0</v>
      </c>
      <c r="F123" cm="1">
        <f t="array" ref="F123">IF($Q123&gt;=0,IFERROR(generateSalesData($D123, IF(ISNUMBER(_xlfn.XLOOKUP($C123,Phone_by_Sentiment!$B$2:$B$37,Phone_by_Sentiment!F$2:F$37,"",0,1)),_xlfn.XLOOKUP($C123,Phone_by_Sentiment!$B$2:$B$37,Phone_by_Sentiment!F$2:F$37,"",0,1),0),$A123-TEXT(DATEVALUE($D123&amp;"-01"), "dd-mm-yyyy")),0),0)</f>
        <v>0</v>
      </c>
      <c r="G123" cm="1">
        <f t="array" ref="G123">IF($Q123&gt;=0,IFERROR(generateSalesData($D123, IF(ISNUMBER(_xlfn.XLOOKUP($C123,Phone_by_Sentiment!$B$2:$B$37,Phone_by_Sentiment!G$2:G$37,"",0,1)),_xlfn.XLOOKUP($C123,Phone_by_Sentiment!$B$2:$B$37,Phone_by_Sentiment!G$2:G$37,"",0,1),0),$A123-TEXT(DATEVALUE($D123&amp;"-01"), "dd-mm-yyyy")),0),0)</f>
        <v>0</v>
      </c>
      <c r="H123" cm="1">
        <f t="array" ref="H123">IF($Q123&gt;=0,IFERROR(generateSalesData($D123, IF(ISNUMBER(_xlfn.XLOOKUP($C123,Phone_by_Sentiment!$B$2:$B$37,Phone_by_Sentiment!H$2:H$37,"",0,1)),_xlfn.XLOOKUP($C123,Phone_by_Sentiment!$B$2:$B$37,Phone_by_Sentiment!H$2:H$37,"",0,1),0),$A123-TEXT(DATEVALUE($D123&amp;"-01"), "dd-mm-yyyy")),0),0)</f>
        <v>0</v>
      </c>
      <c r="I123" cm="1">
        <f t="array" ref="I123">IF($Q123&gt;=0,IFERROR(generateSalesData($D123, IF(ISNUMBER(_xlfn.XLOOKUP($C123,Phone_by_Sentiment!$B$2:$B$37,Phone_by_Sentiment!I$2:I$37,"",0,1)),_xlfn.XLOOKUP($C123,Phone_by_Sentiment!$B$2:$B$37,Phone_by_Sentiment!I$2:I$37,"",0,1),0),$A123-TEXT(DATEVALUE($D123&amp;"-01"), "dd-mm-yyyy")),0),0)</f>
        <v>0</v>
      </c>
      <c r="J123" cm="1">
        <f t="array" ref="J123">IF($Q123&gt;=0,IFERROR(generateSalesData($D123, IF(ISNUMBER(_xlfn.XLOOKUP($C123,Phone_by_Sentiment!$B$2:$B$37,Phone_by_Sentiment!J$2:J$37,"",0,1)),_xlfn.XLOOKUP($C123,Phone_by_Sentiment!$B$2:$B$37,Phone_by_Sentiment!J$2:J$37,"",0,1),0),$A123-TEXT(DATEVALUE($D123&amp;"-01"), "dd-mm-yyyy")),0),0)</f>
        <v>0</v>
      </c>
      <c r="K123" cm="1">
        <f t="array" ref="K123">IF($Q123&gt;=0,IFERROR(generateSalesData($D123, IF(ISNUMBER(_xlfn.XLOOKUP($C123,Phone_by_Sentiment!$B$2:$B$37,Phone_by_Sentiment!K$2:K$37,"",0,1)),_xlfn.XLOOKUP($C123,Phone_by_Sentiment!$B$2:$B$37,Phone_by_Sentiment!K$2:K$37,"",0,1),0),$A123-TEXT(DATEVALUE($D123&amp;"-01"), "dd-mm-yyyy")),0),0)</f>
        <v>0</v>
      </c>
      <c r="L123" cm="1">
        <f t="array" ref="L123">IF($Q123&gt;=0,IFERROR(generateSalesData($D123, IF(ISNUMBER(_xlfn.XLOOKUP($C123,Phone_by_Sentiment!$B$2:$B$37,Phone_by_Sentiment!L$2:L$37,"",0,1)),_xlfn.XLOOKUP($C123,Phone_by_Sentiment!$B$2:$B$37,Phone_by_Sentiment!L$2:L$37,"",0,1),0),$A123-TEXT(DATEVALUE($D123&amp;"-01"), "dd-mm-yyyy")),0),0)</f>
        <v>0</v>
      </c>
      <c r="M123" cm="1">
        <f t="array" ref="M123">IF($Q123&gt;=0,IFERROR(generateSalesData($D123, IF(ISNUMBER(_xlfn.XLOOKUP($C123,Phone_by_Sentiment!$B$2:$B$37,Phone_by_Sentiment!M$2:M$37,"",0,1)),_xlfn.XLOOKUP($C123,Phone_by_Sentiment!$B$2:$B$37,Phone_by_Sentiment!M$2:M$37,"",0,1),0),$A123-TEXT(DATEVALUE($D123&amp;"-01"), "dd-mm-yyyy")),0),0)</f>
        <v>0</v>
      </c>
      <c r="N123" cm="1">
        <f t="array" ref="N123">IF($Q123&gt;=0,IFERROR(generateSalesData($D123, IF(ISNUMBER(_xlfn.XLOOKUP($C123,Phone_by_Sentiment!$B$2:$B$37,Phone_by_Sentiment!N$2:N$37,"",0,1)),_xlfn.XLOOKUP($C123,Phone_by_Sentiment!$B$2:$B$37,Phone_by_Sentiment!N$2:N$37,"",0,1),0),$A123-TEXT(DATEVALUE($D123&amp;"-01"), "dd-mm-yyyy")),0),0)</f>
        <v>0</v>
      </c>
      <c r="O123" cm="1">
        <f t="array" ref="O123">IF($Q123&gt;=0,IFERROR(generateSalesData($D123, IF(ISNUMBER(_xlfn.XLOOKUP($C123,Phone_by_Sentiment!$B$2:$B$37,Phone_by_Sentiment!O$2:O$37,"",0,1)),_xlfn.XLOOKUP($C123,Phone_by_Sentiment!$B$2:$B$37,Phone_by_Sentiment!O$2:O$37,"",0,1),0),$A123-TEXT(DATEVALUE($D123&amp;"-01"), "dd-mm-yyyy")),0),0)</f>
        <v>0</v>
      </c>
      <c r="P123" s="1">
        <f t="shared" si="3"/>
        <v>44228</v>
      </c>
      <c r="Q123">
        <f t="shared" si="4"/>
        <v>-672</v>
      </c>
    </row>
    <row r="124" spans="1:17" x14ac:dyDescent="0.25">
      <c r="A124" s="1">
        <f t="shared" si="0"/>
        <v>43556</v>
      </c>
      <c r="B124" t="s">
        <v>164</v>
      </c>
      <c r="C124" t="str">
        <f>_xlfn.XLOOKUP(B124,Phone_by_Price!$A$2:$A$34,Phone_by_Price!$B$2:$B$34,"-",0,1)</f>
        <v>Vivo V20</v>
      </c>
      <c r="D124" t="str">
        <f>_xlfn.XLOOKUP(C124,Phone_by_Sentiment!$B$2:$B$37,Phone_by_Sentiment!$A$2:$A$37,"-",0,1)</f>
        <v>2020-10</v>
      </c>
      <c r="E124" cm="1">
        <f t="array" ref="E124">IF($Q124&gt;=0,IFERROR(generateSalesData($D124, IF(ISNUMBER(_xlfn.XLOOKUP($C124,Phone_by_Sentiment!$B$2:$B$37,Phone_by_Sentiment!E$2:E$37,"",0,1)),_xlfn.XLOOKUP($C124,Phone_by_Sentiment!$B$2:$B$37,Phone_by_Sentiment!E$2:E$37,"",0,1),0),$A124-TEXT(DATEVALUE($D124&amp;"-01"), "dd-mm-yyyy")),0),0)</f>
        <v>0</v>
      </c>
      <c r="F124" cm="1">
        <f t="array" ref="F124">IF($Q124&gt;=0,IFERROR(generateSalesData($D124, IF(ISNUMBER(_xlfn.XLOOKUP($C124,Phone_by_Sentiment!$B$2:$B$37,Phone_by_Sentiment!F$2:F$37,"",0,1)),_xlfn.XLOOKUP($C124,Phone_by_Sentiment!$B$2:$B$37,Phone_by_Sentiment!F$2:F$37,"",0,1),0),$A124-TEXT(DATEVALUE($D124&amp;"-01"), "dd-mm-yyyy")),0),0)</f>
        <v>0</v>
      </c>
      <c r="G124" cm="1">
        <f t="array" ref="G124">IF($Q124&gt;=0,IFERROR(generateSalesData($D124, IF(ISNUMBER(_xlfn.XLOOKUP($C124,Phone_by_Sentiment!$B$2:$B$37,Phone_by_Sentiment!G$2:G$37,"",0,1)),_xlfn.XLOOKUP($C124,Phone_by_Sentiment!$B$2:$B$37,Phone_by_Sentiment!G$2:G$37,"",0,1),0),$A124-TEXT(DATEVALUE($D124&amp;"-01"), "dd-mm-yyyy")),0),0)</f>
        <v>0</v>
      </c>
      <c r="H124" cm="1">
        <f t="array" ref="H124">IF($Q124&gt;=0,IFERROR(generateSalesData($D124, IF(ISNUMBER(_xlfn.XLOOKUP($C124,Phone_by_Sentiment!$B$2:$B$37,Phone_by_Sentiment!H$2:H$37,"",0,1)),_xlfn.XLOOKUP($C124,Phone_by_Sentiment!$B$2:$B$37,Phone_by_Sentiment!H$2:H$37,"",0,1),0),$A124-TEXT(DATEVALUE($D124&amp;"-01"), "dd-mm-yyyy")),0),0)</f>
        <v>0</v>
      </c>
      <c r="I124" cm="1">
        <f t="array" ref="I124">IF($Q124&gt;=0,IFERROR(generateSalesData($D124, IF(ISNUMBER(_xlfn.XLOOKUP($C124,Phone_by_Sentiment!$B$2:$B$37,Phone_by_Sentiment!I$2:I$37,"",0,1)),_xlfn.XLOOKUP($C124,Phone_by_Sentiment!$B$2:$B$37,Phone_by_Sentiment!I$2:I$37,"",0,1),0),$A124-TEXT(DATEVALUE($D124&amp;"-01"), "dd-mm-yyyy")),0),0)</f>
        <v>0</v>
      </c>
      <c r="J124" cm="1">
        <f t="array" ref="J124">IF($Q124&gt;=0,IFERROR(generateSalesData($D124, IF(ISNUMBER(_xlfn.XLOOKUP($C124,Phone_by_Sentiment!$B$2:$B$37,Phone_by_Sentiment!J$2:J$37,"",0,1)),_xlfn.XLOOKUP($C124,Phone_by_Sentiment!$B$2:$B$37,Phone_by_Sentiment!J$2:J$37,"",0,1),0),$A124-TEXT(DATEVALUE($D124&amp;"-01"), "dd-mm-yyyy")),0),0)</f>
        <v>0</v>
      </c>
      <c r="K124" cm="1">
        <f t="array" ref="K124">IF($Q124&gt;=0,IFERROR(generateSalesData($D124, IF(ISNUMBER(_xlfn.XLOOKUP($C124,Phone_by_Sentiment!$B$2:$B$37,Phone_by_Sentiment!K$2:K$37,"",0,1)),_xlfn.XLOOKUP($C124,Phone_by_Sentiment!$B$2:$B$37,Phone_by_Sentiment!K$2:K$37,"",0,1),0),$A124-TEXT(DATEVALUE($D124&amp;"-01"), "dd-mm-yyyy")),0),0)</f>
        <v>0</v>
      </c>
      <c r="L124" cm="1">
        <f t="array" ref="L124">IF($Q124&gt;=0,IFERROR(generateSalesData($D124, IF(ISNUMBER(_xlfn.XLOOKUP($C124,Phone_by_Sentiment!$B$2:$B$37,Phone_by_Sentiment!L$2:L$37,"",0,1)),_xlfn.XLOOKUP($C124,Phone_by_Sentiment!$B$2:$B$37,Phone_by_Sentiment!L$2:L$37,"",0,1),0),$A124-TEXT(DATEVALUE($D124&amp;"-01"), "dd-mm-yyyy")),0),0)</f>
        <v>0</v>
      </c>
      <c r="M124" cm="1">
        <f t="array" ref="M124">IF($Q124&gt;=0,IFERROR(generateSalesData($D124, IF(ISNUMBER(_xlfn.XLOOKUP($C124,Phone_by_Sentiment!$B$2:$B$37,Phone_by_Sentiment!M$2:M$37,"",0,1)),_xlfn.XLOOKUP($C124,Phone_by_Sentiment!$B$2:$B$37,Phone_by_Sentiment!M$2:M$37,"",0,1),0),$A124-TEXT(DATEVALUE($D124&amp;"-01"), "dd-mm-yyyy")),0),0)</f>
        <v>0</v>
      </c>
      <c r="N124" cm="1">
        <f t="array" ref="N124">IF($Q124&gt;=0,IFERROR(generateSalesData($D124, IF(ISNUMBER(_xlfn.XLOOKUP($C124,Phone_by_Sentiment!$B$2:$B$37,Phone_by_Sentiment!N$2:N$37,"",0,1)),_xlfn.XLOOKUP($C124,Phone_by_Sentiment!$B$2:$B$37,Phone_by_Sentiment!N$2:N$37,"",0,1),0),$A124-TEXT(DATEVALUE($D124&amp;"-01"), "dd-mm-yyyy")),0),0)</f>
        <v>0</v>
      </c>
      <c r="O124" cm="1">
        <f t="array" ref="O124">IF($Q124&gt;=0,IFERROR(generateSalesData($D124, IF(ISNUMBER(_xlfn.XLOOKUP($C124,Phone_by_Sentiment!$B$2:$B$37,Phone_by_Sentiment!O$2:O$37,"",0,1)),_xlfn.XLOOKUP($C124,Phone_by_Sentiment!$B$2:$B$37,Phone_by_Sentiment!O$2:O$37,"",0,1),0),$A124-TEXT(DATEVALUE($D124&amp;"-01"), "dd-mm-yyyy")),0),0)</f>
        <v>0</v>
      </c>
      <c r="P124" s="1">
        <f t="shared" si="3"/>
        <v>44105</v>
      </c>
      <c r="Q124">
        <f t="shared" si="4"/>
        <v>-549</v>
      </c>
    </row>
    <row r="125" spans="1:17" x14ac:dyDescent="0.25">
      <c r="A125" s="1">
        <f t="shared" si="0"/>
        <v>43556</v>
      </c>
      <c r="B125" t="s">
        <v>165</v>
      </c>
      <c r="C125" t="str">
        <f>_xlfn.XLOOKUP(B125,Phone_by_Price!$A$2:$A$34,Phone_by_Price!$B$2:$B$34,"-",0,1)</f>
        <v>Samsung Galaxy A50</v>
      </c>
      <c r="D125" t="str">
        <f>_xlfn.XLOOKUP(C125,Phone_by_Sentiment!$B$2:$B$37,Phone_by_Sentiment!$A$2:$A$37,"-",0,1)</f>
        <v>2019-05</v>
      </c>
      <c r="E125" cm="1">
        <f t="array" ref="E125">IF($Q125&gt;=0,IFERROR(generateSalesData($D125, IF(ISNUMBER(_xlfn.XLOOKUP($C125,Phone_by_Sentiment!$B$2:$B$37,Phone_by_Sentiment!E$2:E$37,"",0,1)),_xlfn.XLOOKUP($C125,Phone_by_Sentiment!$B$2:$B$37,Phone_by_Sentiment!E$2:E$37,"",0,1),0),$A125-TEXT(DATEVALUE($D125&amp;"-01"), "dd-mm-yyyy")),0),0)</f>
        <v>0</v>
      </c>
      <c r="F125" cm="1">
        <f t="array" ref="F125">IF($Q125&gt;=0,IFERROR(generateSalesData($D125, IF(ISNUMBER(_xlfn.XLOOKUP($C125,Phone_by_Sentiment!$B$2:$B$37,Phone_by_Sentiment!F$2:F$37,"",0,1)),_xlfn.XLOOKUP($C125,Phone_by_Sentiment!$B$2:$B$37,Phone_by_Sentiment!F$2:F$37,"",0,1),0),$A125-TEXT(DATEVALUE($D125&amp;"-01"), "dd-mm-yyyy")),0),0)</f>
        <v>0</v>
      </c>
      <c r="G125" cm="1">
        <f t="array" ref="G125">IF($Q125&gt;=0,IFERROR(generateSalesData($D125, IF(ISNUMBER(_xlfn.XLOOKUP($C125,Phone_by_Sentiment!$B$2:$B$37,Phone_by_Sentiment!G$2:G$37,"",0,1)),_xlfn.XLOOKUP($C125,Phone_by_Sentiment!$B$2:$B$37,Phone_by_Sentiment!G$2:G$37,"",0,1),0),$A125-TEXT(DATEVALUE($D125&amp;"-01"), "dd-mm-yyyy")),0),0)</f>
        <v>0</v>
      </c>
      <c r="H125" cm="1">
        <f t="array" ref="H125">IF($Q125&gt;=0,IFERROR(generateSalesData($D125, IF(ISNUMBER(_xlfn.XLOOKUP($C125,Phone_by_Sentiment!$B$2:$B$37,Phone_by_Sentiment!H$2:H$37,"",0,1)),_xlfn.XLOOKUP($C125,Phone_by_Sentiment!$B$2:$B$37,Phone_by_Sentiment!H$2:H$37,"",0,1),0),$A125-TEXT(DATEVALUE($D125&amp;"-01"), "dd-mm-yyyy")),0),0)</f>
        <v>0</v>
      </c>
      <c r="I125" cm="1">
        <f t="array" ref="I125">IF($Q125&gt;=0,IFERROR(generateSalesData($D125, IF(ISNUMBER(_xlfn.XLOOKUP($C125,Phone_by_Sentiment!$B$2:$B$37,Phone_by_Sentiment!I$2:I$37,"",0,1)),_xlfn.XLOOKUP($C125,Phone_by_Sentiment!$B$2:$B$37,Phone_by_Sentiment!I$2:I$37,"",0,1),0),$A125-TEXT(DATEVALUE($D125&amp;"-01"), "dd-mm-yyyy")),0),0)</f>
        <v>0</v>
      </c>
      <c r="J125" cm="1">
        <f t="array" ref="J125">IF($Q125&gt;=0,IFERROR(generateSalesData($D125, IF(ISNUMBER(_xlfn.XLOOKUP($C125,Phone_by_Sentiment!$B$2:$B$37,Phone_by_Sentiment!J$2:J$37,"",0,1)),_xlfn.XLOOKUP($C125,Phone_by_Sentiment!$B$2:$B$37,Phone_by_Sentiment!J$2:J$37,"",0,1),0),$A125-TEXT(DATEVALUE($D125&amp;"-01"), "dd-mm-yyyy")),0),0)</f>
        <v>0</v>
      </c>
      <c r="K125" cm="1">
        <f t="array" ref="K125">IF($Q125&gt;=0,IFERROR(generateSalesData($D125, IF(ISNUMBER(_xlfn.XLOOKUP($C125,Phone_by_Sentiment!$B$2:$B$37,Phone_by_Sentiment!K$2:K$37,"",0,1)),_xlfn.XLOOKUP($C125,Phone_by_Sentiment!$B$2:$B$37,Phone_by_Sentiment!K$2:K$37,"",0,1),0),$A125-TEXT(DATEVALUE($D125&amp;"-01"), "dd-mm-yyyy")),0),0)</f>
        <v>0</v>
      </c>
      <c r="L125" cm="1">
        <f t="array" ref="L125">IF($Q125&gt;=0,IFERROR(generateSalesData($D125, IF(ISNUMBER(_xlfn.XLOOKUP($C125,Phone_by_Sentiment!$B$2:$B$37,Phone_by_Sentiment!L$2:L$37,"",0,1)),_xlfn.XLOOKUP($C125,Phone_by_Sentiment!$B$2:$B$37,Phone_by_Sentiment!L$2:L$37,"",0,1),0),$A125-TEXT(DATEVALUE($D125&amp;"-01"), "dd-mm-yyyy")),0),0)</f>
        <v>0</v>
      </c>
      <c r="M125" cm="1">
        <f t="array" ref="M125">IF($Q125&gt;=0,IFERROR(generateSalesData($D125, IF(ISNUMBER(_xlfn.XLOOKUP($C125,Phone_by_Sentiment!$B$2:$B$37,Phone_by_Sentiment!M$2:M$37,"",0,1)),_xlfn.XLOOKUP($C125,Phone_by_Sentiment!$B$2:$B$37,Phone_by_Sentiment!M$2:M$37,"",0,1),0),$A125-TEXT(DATEVALUE($D125&amp;"-01"), "dd-mm-yyyy")),0),0)</f>
        <v>0</v>
      </c>
      <c r="N125" cm="1">
        <f t="array" ref="N125">IF($Q125&gt;=0,IFERROR(generateSalesData($D125, IF(ISNUMBER(_xlfn.XLOOKUP($C125,Phone_by_Sentiment!$B$2:$B$37,Phone_by_Sentiment!N$2:N$37,"",0,1)),_xlfn.XLOOKUP($C125,Phone_by_Sentiment!$B$2:$B$37,Phone_by_Sentiment!N$2:N$37,"",0,1),0),$A125-TEXT(DATEVALUE($D125&amp;"-01"), "dd-mm-yyyy")),0),0)</f>
        <v>0</v>
      </c>
      <c r="O125" cm="1">
        <f t="array" ref="O125">IF($Q125&gt;=0,IFERROR(generateSalesData($D125, IF(ISNUMBER(_xlfn.XLOOKUP($C125,Phone_by_Sentiment!$B$2:$B$37,Phone_by_Sentiment!O$2:O$37,"",0,1)),_xlfn.XLOOKUP($C125,Phone_by_Sentiment!$B$2:$B$37,Phone_by_Sentiment!O$2:O$37,"",0,1),0),$A125-TEXT(DATEVALUE($D125&amp;"-01"), "dd-mm-yyyy")),0),0)</f>
        <v>0</v>
      </c>
      <c r="P125" s="1">
        <f t="shared" si="3"/>
        <v>43586</v>
      </c>
      <c r="Q125">
        <f t="shared" si="4"/>
        <v>-30</v>
      </c>
    </row>
    <row r="126" spans="1:17" x14ac:dyDescent="0.25">
      <c r="A126" s="1">
        <f t="shared" si="0"/>
        <v>43556</v>
      </c>
      <c r="B126" t="s">
        <v>166</v>
      </c>
      <c r="C126" t="str">
        <f>_xlfn.XLOOKUP(B126,Phone_by_Price!$A$2:$A$34,Phone_by_Price!$B$2:$B$34,"-",0,1)</f>
        <v>Xiaomi Redmi Note 7</v>
      </c>
      <c r="D126" t="str">
        <f>_xlfn.XLOOKUP(C126,Phone_by_Sentiment!$B$2:$B$37,Phone_by_Sentiment!$A$2:$A$37,"-",0,1)</f>
        <v>2019-08</v>
      </c>
      <c r="E126" cm="1">
        <f t="array" ref="E126">IF($Q126&gt;=0,IFERROR(generateSalesData($D126, IF(ISNUMBER(_xlfn.XLOOKUP($C126,Phone_by_Sentiment!$B$2:$B$37,Phone_by_Sentiment!E$2:E$37,"",0,1)),_xlfn.XLOOKUP($C126,Phone_by_Sentiment!$B$2:$B$37,Phone_by_Sentiment!E$2:E$37,"",0,1),0),$A126-TEXT(DATEVALUE($D126&amp;"-01"), "dd-mm-yyyy")),0),0)</f>
        <v>0</v>
      </c>
      <c r="F126" cm="1">
        <f t="array" ref="F126">IF($Q126&gt;=0,IFERROR(generateSalesData($D126, IF(ISNUMBER(_xlfn.XLOOKUP($C126,Phone_by_Sentiment!$B$2:$B$37,Phone_by_Sentiment!F$2:F$37,"",0,1)),_xlfn.XLOOKUP($C126,Phone_by_Sentiment!$B$2:$B$37,Phone_by_Sentiment!F$2:F$37,"",0,1),0),$A126-TEXT(DATEVALUE($D126&amp;"-01"), "dd-mm-yyyy")),0),0)</f>
        <v>0</v>
      </c>
      <c r="G126" cm="1">
        <f t="array" ref="G126">IF($Q126&gt;=0,IFERROR(generateSalesData($D126, IF(ISNUMBER(_xlfn.XLOOKUP($C126,Phone_by_Sentiment!$B$2:$B$37,Phone_by_Sentiment!G$2:G$37,"",0,1)),_xlfn.XLOOKUP($C126,Phone_by_Sentiment!$B$2:$B$37,Phone_by_Sentiment!G$2:G$37,"",0,1),0),$A126-TEXT(DATEVALUE($D126&amp;"-01"), "dd-mm-yyyy")),0),0)</f>
        <v>0</v>
      </c>
      <c r="H126" cm="1">
        <f t="array" ref="H126">IF($Q126&gt;=0,IFERROR(generateSalesData($D126, IF(ISNUMBER(_xlfn.XLOOKUP($C126,Phone_by_Sentiment!$B$2:$B$37,Phone_by_Sentiment!H$2:H$37,"",0,1)),_xlfn.XLOOKUP($C126,Phone_by_Sentiment!$B$2:$B$37,Phone_by_Sentiment!H$2:H$37,"",0,1),0),$A126-TEXT(DATEVALUE($D126&amp;"-01"), "dd-mm-yyyy")),0),0)</f>
        <v>0</v>
      </c>
      <c r="I126" cm="1">
        <f t="array" ref="I126">IF($Q126&gt;=0,IFERROR(generateSalesData($D126, IF(ISNUMBER(_xlfn.XLOOKUP($C126,Phone_by_Sentiment!$B$2:$B$37,Phone_by_Sentiment!I$2:I$37,"",0,1)),_xlfn.XLOOKUP($C126,Phone_by_Sentiment!$B$2:$B$37,Phone_by_Sentiment!I$2:I$37,"",0,1),0),$A126-TEXT(DATEVALUE($D126&amp;"-01"), "dd-mm-yyyy")),0),0)</f>
        <v>0</v>
      </c>
      <c r="J126" cm="1">
        <f t="array" ref="J126">IF($Q126&gt;=0,IFERROR(generateSalesData($D126, IF(ISNUMBER(_xlfn.XLOOKUP($C126,Phone_by_Sentiment!$B$2:$B$37,Phone_by_Sentiment!J$2:J$37,"",0,1)),_xlfn.XLOOKUP($C126,Phone_by_Sentiment!$B$2:$B$37,Phone_by_Sentiment!J$2:J$37,"",0,1),0),$A126-TEXT(DATEVALUE($D126&amp;"-01"), "dd-mm-yyyy")),0),0)</f>
        <v>0</v>
      </c>
      <c r="K126" cm="1">
        <f t="array" ref="K126">IF($Q126&gt;=0,IFERROR(generateSalesData($D126, IF(ISNUMBER(_xlfn.XLOOKUP($C126,Phone_by_Sentiment!$B$2:$B$37,Phone_by_Sentiment!K$2:K$37,"",0,1)),_xlfn.XLOOKUP($C126,Phone_by_Sentiment!$B$2:$B$37,Phone_by_Sentiment!K$2:K$37,"",0,1),0),$A126-TEXT(DATEVALUE($D126&amp;"-01"), "dd-mm-yyyy")),0),0)</f>
        <v>0</v>
      </c>
      <c r="L126" cm="1">
        <f t="array" ref="L126">IF($Q126&gt;=0,IFERROR(generateSalesData($D126, IF(ISNUMBER(_xlfn.XLOOKUP($C126,Phone_by_Sentiment!$B$2:$B$37,Phone_by_Sentiment!L$2:L$37,"",0,1)),_xlfn.XLOOKUP($C126,Phone_by_Sentiment!$B$2:$B$37,Phone_by_Sentiment!L$2:L$37,"",0,1),0),$A126-TEXT(DATEVALUE($D126&amp;"-01"), "dd-mm-yyyy")),0),0)</f>
        <v>0</v>
      </c>
      <c r="M126" cm="1">
        <f t="array" ref="M126">IF($Q126&gt;=0,IFERROR(generateSalesData($D126, IF(ISNUMBER(_xlfn.XLOOKUP($C126,Phone_by_Sentiment!$B$2:$B$37,Phone_by_Sentiment!M$2:M$37,"",0,1)),_xlfn.XLOOKUP($C126,Phone_by_Sentiment!$B$2:$B$37,Phone_by_Sentiment!M$2:M$37,"",0,1),0),$A126-TEXT(DATEVALUE($D126&amp;"-01"), "dd-mm-yyyy")),0),0)</f>
        <v>0</v>
      </c>
      <c r="N126" cm="1">
        <f t="array" ref="N126">IF($Q126&gt;=0,IFERROR(generateSalesData($D126, IF(ISNUMBER(_xlfn.XLOOKUP($C126,Phone_by_Sentiment!$B$2:$B$37,Phone_by_Sentiment!N$2:N$37,"",0,1)),_xlfn.XLOOKUP($C126,Phone_by_Sentiment!$B$2:$B$37,Phone_by_Sentiment!N$2:N$37,"",0,1),0),$A126-TEXT(DATEVALUE($D126&amp;"-01"), "dd-mm-yyyy")),0),0)</f>
        <v>0</v>
      </c>
      <c r="O126" cm="1">
        <f t="array" ref="O126">IF($Q126&gt;=0,IFERROR(generateSalesData($D126, IF(ISNUMBER(_xlfn.XLOOKUP($C126,Phone_by_Sentiment!$B$2:$B$37,Phone_by_Sentiment!O$2:O$37,"",0,1)),_xlfn.XLOOKUP($C126,Phone_by_Sentiment!$B$2:$B$37,Phone_by_Sentiment!O$2:O$37,"",0,1),0),$A126-TEXT(DATEVALUE($D126&amp;"-01"), "dd-mm-yyyy")),0),0)</f>
        <v>0</v>
      </c>
      <c r="P126" s="1">
        <f t="shared" si="3"/>
        <v>43678</v>
      </c>
      <c r="Q126">
        <f t="shared" si="4"/>
        <v>-122</v>
      </c>
    </row>
    <row r="127" spans="1:17" x14ac:dyDescent="0.25">
      <c r="A127" s="1">
        <f t="shared" si="0"/>
        <v>43556</v>
      </c>
      <c r="B127" t="s">
        <v>167</v>
      </c>
      <c r="C127" t="str">
        <f>_xlfn.XLOOKUP(B127,Phone_by_Price!$A$2:$A$34,Phone_by_Price!$B$2:$B$34,"-",0,1)</f>
        <v>Realme C21</v>
      </c>
      <c r="D127" t="str">
        <f>_xlfn.XLOOKUP(C127,Phone_by_Sentiment!$B$2:$B$37,Phone_by_Sentiment!$A$2:$A$37,"-",0,1)</f>
        <v>2021-04</v>
      </c>
      <c r="E127" cm="1">
        <f t="array" ref="E127">IF($Q127&gt;=0,IFERROR(generateSalesData($D127, IF(ISNUMBER(_xlfn.XLOOKUP($C127,Phone_by_Sentiment!$B$2:$B$37,Phone_by_Sentiment!E$2:E$37,"",0,1)),_xlfn.XLOOKUP($C127,Phone_by_Sentiment!$B$2:$B$37,Phone_by_Sentiment!E$2:E$37,"",0,1),0),$A127-TEXT(DATEVALUE($D127&amp;"-01"), "dd-mm-yyyy")),0),0)</f>
        <v>0</v>
      </c>
      <c r="F127" cm="1">
        <f t="array" ref="F127">IF($Q127&gt;=0,IFERROR(generateSalesData($D127, IF(ISNUMBER(_xlfn.XLOOKUP($C127,Phone_by_Sentiment!$B$2:$B$37,Phone_by_Sentiment!F$2:F$37,"",0,1)),_xlfn.XLOOKUP($C127,Phone_by_Sentiment!$B$2:$B$37,Phone_by_Sentiment!F$2:F$37,"",0,1),0),$A127-TEXT(DATEVALUE($D127&amp;"-01"), "dd-mm-yyyy")),0),0)</f>
        <v>0</v>
      </c>
      <c r="G127" cm="1">
        <f t="array" ref="G127">IF($Q127&gt;=0,IFERROR(generateSalesData($D127, IF(ISNUMBER(_xlfn.XLOOKUP($C127,Phone_by_Sentiment!$B$2:$B$37,Phone_by_Sentiment!G$2:G$37,"",0,1)),_xlfn.XLOOKUP($C127,Phone_by_Sentiment!$B$2:$B$37,Phone_by_Sentiment!G$2:G$37,"",0,1),0),$A127-TEXT(DATEVALUE($D127&amp;"-01"), "dd-mm-yyyy")),0),0)</f>
        <v>0</v>
      </c>
      <c r="H127" cm="1">
        <f t="array" ref="H127">IF($Q127&gt;=0,IFERROR(generateSalesData($D127, IF(ISNUMBER(_xlfn.XLOOKUP($C127,Phone_by_Sentiment!$B$2:$B$37,Phone_by_Sentiment!H$2:H$37,"",0,1)),_xlfn.XLOOKUP($C127,Phone_by_Sentiment!$B$2:$B$37,Phone_by_Sentiment!H$2:H$37,"",0,1),0),$A127-TEXT(DATEVALUE($D127&amp;"-01"), "dd-mm-yyyy")),0),0)</f>
        <v>0</v>
      </c>
      <c r="I127" cm="1">
        <f t="array" ref="I127">IF($Q127&gt;=0,IFERROR(generateSalesData($D127, IF(ISNUMBER(_xlfn.XLOOKUP($C127,Phone_by_Sentiment!$B$2:$B$37,Phone_by_Sentiment!I$2:I$37,"",0,1)),_xlfn.XLOOKUP($C127,Phone_by_Sentiment!$B$2:$B$37,Phone_by_Sentiment!I$2:I$37,"",0,1),0),$A127-TEXT(DATEVALUE($D127&amp;"-01"), "dd-mm-yyyy")),0),0)</f>
        <v>0</v>
      </c>
      <c r="J127" cm="1">
        <f t="array" ref="J127">IF($Q127&gt;=0,IFERROR(generateSalesData($D127, IF(ISNUMBER(_xlfn.XLOOKUP($C127,Phone_by_Sentiment!$B$2:$B$37,Phone_by_Sentiment!J$2:J$37,"",0,1)),_xlfn.XLOOKUP($C127,Phone_by_Sentiment!$B$2:$B$37,Phone_by_Sentiment!J$2:J$37,"",0,1),0),$A127-TEXT(DATEVALUE($D127&amp;"-01"), "dd-mm-yyyy")),0),0)</f>
        <v>0</v>
      </c>
      <c r="K127" cm="1">
        <f t="array" ref="K127">IF($Q127&gt;=0,IFERROR(generateSalesData($D127, IF(ISNUMBER(_xlfn.XLOOKUP($C127,Phone_by_Sentiment!$B$2:$B$37,Phone_by_Sentiment!K$2:K$37,"",0,1)),_xlfn.XLOOKUP($C127,Phone_by_Sentiment!$B$2:$B$37,Phone_by_Sentiment!K$2:K$37,"",0,1),0),$A127-TEXT(DATEVALUE($D127&amp;"-01"), "dd-mm-yyyy")),0),0)</f>
        <v>0</v>
      </c>
      <c r="L127" cm="1">
        <f t="array" ref="L127">IF($Q127&gt;=0,IFERROR(generateSalesData($D127, IF(ISNUMBER(_xlfn.XLOOKUP($C127,Phone_by_Sentiment!$B$2:$B$37,Phone_by_Sentiment!L$2:L$37,"",0,1)),_xlfn.XLOOKUP($C127,Phone_by_Sentiment!$B$2:$B$37,Phone_by_Sentiment!L$2:L$37,"",0,1),0),$A127-TEXT(DATEVALUE($D127&amp;"-01"), "dd-mm-yyyy")),0),0)</f>
        <v>0</v>
      </c>
      <c r="M127" cm="1">
        <f t="array" ref="M127">IF($Q127&gt;=0,IFERROR(generateSalesData($D127, IF(ISNUMBER(_xlfn.XLOOKUP($C127,Phone_by_Sentiment!$B$2:$B$37,Phone_by_Sentiment!M$2:M$37,"",0,1)),_xlfn.XLOOKUP($C127,Phone_by_Sentiment!$B$2:$B$37,Phone_by_Sentiment!M$2:M$37,"",0,1),0),$A127-TEXT(DATEVALUE($D127&amp;"-01"), "dd-mm-yyyy")),0),0)</f>
        <v>0</v>
      </c>
      <c r="N127" cm="1">
        <f t="array" ref="N127">IF($Q127&gt;=0,IFERROR(generateSalesData($D127, IF(ISNUMBER(_xlfn.XLOOKUP($C127,Phone_by_Sentiment!$B$2:$B$37,Phone_by_Sentiment!N$2:N$37,"",0,1)),_xlfn.XLOOKUP($C127,Phone_by_Sentiment!$B$2:$B$37,Phone_by_Sentiment!N$2:N$37,"",0,1),0),$A127-TEXT(DATEVALUE($D127&amp;"-01"), "dd-mm-yyyy")),0),0)</f>
        <v>0</v>
      </c>
      <c r="O127" cm="1">
        <f t="array" ref="O127">IF($Q127&gt;=0,IFERROR(generateSalesData($D127, IF(ISNUMBER(_xlfn.XLOOKUP($C127,Phone_by_Sentiment!$B$2:$B$37,Phone_by_Sentiment!O$2:O$37,"",0,1)),_xlfn.XLOOKUP($C127,Phone_by_Sentiment!$B$2:$B$37,Phone_by_Sentiment!O$2:O$37,"",0,1),0),$A127-TEXT(DATEVALUE($D127&amp;"-01"), "dd-mm-yyyy")),0),0)</f>
        <v>0</v>
      </c>
      <c r="P127" s="1">
        <f t="shared" si="3"/>
        <v>44287</v>
      </c>
      <c r="Q127">
        <f t="shared" si="4"/>
        <v>-731</v>
      </c>
    </row>
    <row r="128" spans="1:17" x14ac:dyDescent="0.25">
      <c r="A128" s="1">
        <f t="shared" si="0"/>
        <v>43556</v>
      </c>
      <c r="B128" t="s">
        <v>168</v>
      </c>
      <c r="C128" t="str">
        <f>_xlfn.XLOOKUP(B128,Phone_by_Price!$A$2:$A$34,Phone_by_Price!$B$2:$B$34,"-",0,1)</f>
        <v>Google Pixel 4</v>
      </c>
      <c r="D128" t="str">
        <f>_xlfn.XLOOKUP(C128,Phone_by_Sentiment!$B$2:$B$37,Phone_by_Sentiment!$A$2:$A$37,"-",0,1)</f>
        <v>2019-09</v>
      </c>
      <c r="E128" cm="1">
        <f t="array" ref="E128">IF($Q128&gt;=0,IFERROR(generateSalesData($D128, IF(ISNUMBER(_xlfn.XLOOKUP($C128,Phone_by_Sentiment!$B$2:$B$37,Phone_by_Sentiment!E$2:E$37,"",0,1)),_xlfn.XLOOKUP($C128,Phone_by_Sentiment!$B$2:$B$37,Phone_by_Sentiment!E$2:E$37,"",0,1),0),$A128-TEXT(DATEVALUE($D128&amp;"-01"), "dd-mm-yyyy")),0),0)</f>
        <v>0</v>
      </c>
      <c r="F128" cm="1">
        <f t="array" ref="F128">IF($Q128&gt;=0,IFERROR(generateSalesData($D128, IF(ISNUMBER(_xlfn.XLOOKUP($C128,Phone_by_Sentiment!$B$2:$B$37,Phone_by_Sentiment!F$2:F$37,"",0,1)),_xlfn.XLOOKUP($C128,Phone_by_Sentiment!$B$2:$B$37,Phone_by_Sentiment!F$2:F$37,"",0,1),0),$A128-TEXT(DATEVALUE($D128&amp;"-01"), "dd-mm-yyyy")),0),0)</f>
        <v>0</v>
      </c>
      <c r="G128" cm="1">
        <f t="array" ref="G128">IF($Q128&gt;=0,IFERROR(generateSalesData($D128, IF(ISNUMBER(_xlfn.XLOOKUP($C128,Phone_by_Sentiment!$B$2:$B$37,Phone_by_Sentiment!G$2:G$37,"",0,1)),_xlfn.XLOOKUP($C128,Phone_by_Sentiment!$B$2:$B$37,Phone_by_Sentiment!G$2:G$37,"",0,1),0),$A128-TEXT(DATEVALUE($D128&amp;"-01"), "dd-mm-yyyy")),0),0)</f>
        <v>0</v>
      </c>
      <c r="H128" cm="1">
        <f t="array" ref="H128">IF($Q128&gt;=0,IFERROR(generateSalesData($D128, IF(ISNUMBER(_xlfn.XLOOKUP($C128,Phone_by_Sentiment!$B$2:$B$37,Phone_by_Sentiment!H$2:H$37,"",0,1)),_xlfn.XLOOKUP($C128,Phone_by_Sentiment!$B$2:$B$37,Phone_by_Sentiment!H$2:H$37,"",0,1),0),$A128-TEXT(DATEVALUE($D128&amp;"-01"), "dd-mm-yyyy")),0),0)</f>
        <v>0</v>
      </c>
      <c r="I128" cm="1">
        <f t="array" ref="I128">IF($Q128&gt;=0,IFERROR(generateSalesData($D128, IF(ISNUMBER(_xlfn.XLOOKUP($C128,Phone_by_Sentiment!$B$2:$B$37,Phone_by_Sentiment!I$2:I$37,"",0,1)),_xlfn.XLOOKUP($C128,Phone_by_Sentiment!$B$2:$B$37,Phone_by_Sentiment!I$2:I$37,"",0,1),0),$A128-TEXT(DATEVALUE($D128&amp;"-01"), "dd-mm-yyyy")),0),0)</f>
        <v>0</v>
      </c>
      <c r="J128" cm="1">
        <f t="array" ref="J128">IF($Q128&gt;=0,IFERROR(generateSalesData($D128, IF(ISNUMBER(_xlfn.XLOOKUP($C128,Phone_by_Sentiment!$B$2:$B$37,Phone_by_Sentiment!J$2:J$37,"",0,1)),_xlfn.XLOOKUP($C128,Phone_by_Sentiment!$B$2:$B$37,Phone_by_Sentiment!J$2:J$37,"",0,1),0),$A128-TEXT(DATEVALUE($D128&amp;"-01"), "dd-mm-yyyy")),0),0)</f>
        <v>0</v>
      </c>
      <c r="K128" cm="1">
        <f t="array" ref="K128">IF($Q128&gt;=0,IFERROR(generateSalesData($D128, IF(ISNUMBER(_xlfn.XLOOKUP($C128,Phone_by_Sentiment!$B$2:$B$37,Phone_by_Sentiment!K$2:K$37,"",0,1)),_xlfn.XLOOKUP($C128,Phone_by_Sentiment!$B$2:$B$37,Phone_by_Sentiment!K$2:K$37,"",0,1),0),$A128-TEXT(DATEVALUE($D128&amp;"-01"), "dd-mm-yyyy")),0),0)</f>
        <v>0</v>
      </c>
      <c r="L128" cm="1">
        <f t="array" ref="L128">IF($Q128&gt;=0,IFERROR(generateSalesData($D128, IF(ISNUMBER(_xlfn.XLOOKUP($C128,Phone_by_Sentiment!$B$2:$B$37,Phone_by_Sentiment!L$2:L$37,"",0,1)),_xlfn.XLOOKUP($C128,Phone_by_Sentiment!$B$2:$B$37,Phone_by_Sentiment!L$2:L$37,"",0,1),0),$A128-TEXT(DATEVALUE($D128&amp;"-01"), "dd-mm-yyyy")),0),0)</f>
        <v>0</v>
      </c>
      <c r="M128" cm="1">
        <f t="array" ref="M128">IF($Q128&gt;=0,IFERROR(generateSalesData($D128, IF(ISNUMBER(_xlfn.XLOOKUP($C128,Phone_by_Sentiment!$B$2:$B$37,Phone_by_Sentiment!M$2:M$37,"",0,1)),_xlfn.XLOOKUP($C128,Phone_by_Sentiment!$B$2:$B$37,Phone_by_Sentiment!M$2:M$37,"",0,1),0),$A128-TEXT(DATEVALUE($D128&amp;"-01"), "dd-mm-yyyy")),0),0)</f>
        <v>0</v>
      </c>
      <c r="N128" cm="1">
        <f t="array" ref="N128">IF($Q128&gt;=0,IFERROR(generateSalesData($D128, IF(ISNUMBER(_xlfn.XLOOKUP($C128,Phone_by_Sentiment!$B$2:$B$37,Phone_by_Sentiment!N$2:N$37,"",0,1)),_xlfn.XLOOKUP($C128,Phone_by_Sentiment!$B$2:$B$37,Phone_by_Sentiment!N$2:N$37,"",0,1),0),$A128-TEXT(DATEVALUE($D128&amp;"-01"), "dd-mm-yyyy")),0),0)</f>
        <v>0</v>
      </c>
      <c r="O128" cm="1">
        <f t="array" ref="O128">IF($Q128&gt;=0,IFERROR(generateSalesData($D128, IF(ISNUMBER(_xlfn.XLOOKUP($C128,Phone_by_Sentiment!$B$2:$B$37,Phone_by_Sentiment!O$2:O$37,"",0,1)),_xlfn.XLOOKUP($C128,Phone_by_Sentiment!$B$2:$B$37,Phone_by_Sentiment!O$2:O$37,"",0,1),0),$A128-TEXT(DATEVALUE($D128&amp;"-01"), "dd-mm-yyyy")),0),0)</f>
        <v>0</v>
      </c>
      <c r="P128" s="1">
        <f t="shared" si="3"/>
        <v>43709</v>
      </c>
      <c r="Q128">
        <f t="shared" si="4"/>
        <v>-153</v>
      </c>
    </row>
    <row r="129" spans="1:17" x14ac:dyDescent="0.25">
      <c r="A129" s="1">
        <f t="shared" si="0"/>
        <v>43556</v>
      </c>
      <c r="B129" t="s">
        <v>169</v>
      </c>
      <c r="C129" t="str">
        <f>_xlfn.XLOOKUP(B129,Phone_by_Price!$A$2:$A$34,Phone_by_Price!$B$2:$B$34,"-",0,1)</f>
        <v>Samsung Galaxy A10s</v>
      </c>
      <c r="D129" t="str">
        <f>_xlfn.XLOOKUP(C129,Phone_by_Sentiment!$B$2:$B$37,Phone_by_Sentiment!$A$2:$A$37,"-",0,1)</f>
        <v>2019-08</v>
      </c>
      <c r="E129" cm="1">
        <f t="array" ref="E129">IF($Q129&gt;=0,IFERROR(generateSalesData($D129, IF(ISNUMBER(_xlfn.XLOOKUP($C129,Phone_by_Sentiment!$B$2:$B$37,Phone_by_Sentiment!E$2:E$37,"",0,1)),_xlfn.XLOOKUP($C129,Phone_by_Sentiment!$B$2:$B$37,Phone_by_Sentiment!E$2:E$37,"",0,1),0),$A129-TEXT(DATEVALUE($D129&amp;"-01"), "dd-mm-yyyy")),0),0)</f>
        <v>0</v>
      </c>
      <c r="F129" cm="1">
        <f t="array" ref="F129">IF($Q129&gt;=0,IFERROR(generateSalesData($D129, IF(ISNUMBER(_xlfn.XLOOKUP($C129,Phone_by_Sentiment!$B$2:$B$37,Phone_by_Sentiment!F$2:F$37,"",0,1)),_xlfn.XLOOKUP($C129,Phone_by_Sentiment!$B$2:$B$37,Phone_by_Sentiment!F$2:F$37,"",0,1),0),$A129-TEXT(DATEVALUE($D129&amp;"-01"), "dd-mm-yyyy")),0),0)</f>
        <v>0</v>
      </c>
      <c r="G129" cm="1">
        <f t="array" ref="G129">IF($Q129&gt;=0,IFERROR(generateSalesData($D129, IF(ISNUMBER(_xlfn.XLOOKUP($C129,Phone_by_Sentiment!$B$2:$B$37,Phone_by_Sentiment!G$2:G$37,"",0,1)),_xlfn.XLOOKUP($C129,Phone_by_Sentiment!$B$2:$B$37,Phone_by_Sentiment!G$2:G$37,"",0,1),0),$A129-TEXT(DATEVALUE($D129&amp;"-01"), "dd-mm-yyyy")),0),0)</f>
        <v>0</v>
      </c>
      <c r="H129" cm="1">
        <f t="array" ref="H129">IF($Q129&gt;=0,IFERROR(generateSalesData($D129, IF(ISNUMBER(_xlfn.XLOOKUP($C129,Phone_by_Sentiment!$B$2:$B$37,Phone_by_Sentiment!H$2:H$37,"",0,1)),_xlfn.XLOOKUP($C129,Phone_by_Sentiment!$B$2:$B$37,Phone_by_Sentiment!H$2:H$37,"",0,1),0),$A129-TEXT(DATEVALUE($D129&amp;"-01"), "dd-mm-yyyy")),0),0)</f>
        <v>0</v>
      </c>
      <c r="I129" cm="1">
        <f t="array" ref="I129">IF($Q129&gt;=0,IFERROR(generateSalesData($D129, IF(ISNUMBER(_xlfn.XLOOKUP($C129,Phone_by_Sentiment!$B$2:$B$37,Phone_by_Sentiment!I$2:I$37,"",0,1)),_xlfn.XLOOKUP($C129,Phone_by_Sentiment!$B$2:$B$37,Phone_by_Sentiment!I$2:I$37,"",0,1),0),$A129-TEXT(DATEVALUE($D129&amp;"-01"), "dd-mm-yyyy")),0),0)</f>
        <v>0</v>
      </c>
      <c r="J129" cm="1">
        <f t="array" ref="J129">IF($Q129&gt;=0,IFERROR(generateSalesData($D129, IF(ISNUMBER(_xlfn.XLOOKUP($C129,Phone_by_Sentiment!$B$2:$B$37,Phone_by_Sentiment!J$2:J$37,"",0,1)),_xlfn.XLOOKUP($C129,Phone_by_Sentiment!$B$2:$B$37,Phone_by_Sentiment!J$2:J$37,"",0,1),0),$A129-TEXT(DATEVALUE($D129&amp;"-01"), "dd-mm-yyyy")),0),0)</f>
        <v>0</v>
      </c>
      <c r="K129" cm="1">
        <f t="array" ref="K129">IF($Q129&gt;=0,IFERROR(generateSalesData($D129, IF(ISNUMBER(_xlfn.XLOOKUP($C129,Phone_by_Sentiment!$B$2:$B$37,Phone_by_Sentiment!K$2:K$37,"",0,1)),_xlfn.XLOOKUP($C129,Phone_by_Sentiment!$B$2:$B$37,Phone_by_Sentiment!K$2:K$37,"",0,1),0),$A129-TEXT(DATEVALUE($D129&amp;"-01"), "dd-mm-yyyy")),0),0)</f>
        <v>0</v>
      </c>
      <c r="L129" cm="1">
        <f t="array" ref="L129">IF($Q129&gt;=0,IFERROR(generateSalesData($D129, IF(ISNUMBER(_xlfn.XLOOKUP($C129,Phone_by_Sentiment!$B$2:$B$37,Phone_by_Sentiment!L$2:L$37,"",0,1)),_xlfn.XLOOKUP($C129,Phone_by_Sentiment!$B$2:$B$37,Phone_by_Sentiment!L$2:L$37,"",0,1),0),$A129-TEXT(DATEVALUE($D129&amp;"-01"), "dd-mm-yyyy")),0),0)</f>
        <v>0</v>
      </c>
      <c r="M129" cm="1">
        <f t="array" ref="M129">IF($Q129&gt;=0,IFERROR(generateSalesData($D129, IF(ISNUMBER(_xlfn.XLOOKUP($C129,Phone_by_Sentiment!$B$2:$B$37,Phone_by_Sentiment!M$2:M$37,"",0,1)),_xlfn.XLOOKUP($C129,Phone_by_Sentiment!$B$2:$B$37,Phone_by_Sentiment!M$2:M$37,"",0,1),0),$A129-TEXT(DATEVALUE($D129&amp;"-01"), "dd-mm-yyyy")),0),0)</f>
        <v>0</v>
      </c>
      <c r="N129" cm="1">
        <f t="array" ref="N129">IF($Q129&gt;=0,IFERROR(generateSalesData($D129, IF(ISNUMBER(_xlfn.XLOOKUP($C129,Phone_by_Sentiment!$B$2:$B$37,Phone_by_Sentiment!N$2:N$37,"",0,1)),_xlfn.XLOOKUP($C129,Phone_by_Sentiment!$B$2:$B$37,Phone_by_Sentiment!N$2:N$37,"",0,1),0),$A129-TEXT(DATEVALUE($D129&amp;"-01"), "dd-mm-yyyy")),0),0)</f>
        <v>0</v>
      </c>
      <c r="O129" cm="1">
        <f t="array" ref="O129">IF($Q129&gt;=0,IFERROR(generateSalesData($D129, IF(ISNUMBER(_xlfn.XLOOKUP($C129,Phone_by_Sentiment!$B$2:$B$37,Phone_by_Sentiment!O$2:O$37,"",0,1)),_xlfn.XLOOKUP($C129,Phone_by_Sentiment!$B$2:$B$37,Phone_by_Sentiment!O$2:O$37,"",0,1),0),$A129-TEXT(DATEVALUE($D129&amp;"-01"), "dd-mm-yyyy")),0),0)</f>
        <v>0</v>
      </c>
      <c r="P129" s="1">
        <f t="shared" si="3"/>
        <v>43678</v>
      </c>
      <c r="Q129">
        <f t="shared" si="4"/>
        <v>-122</v>
      </c>
    </row>
    <row r="130" spans="1:17" x14ac:dyDescent="0.25">
      <c r="A130" s="1">
        <f t="shared" si="0"/>
        <v>43556</v>
      </c>
      <c r="B130" t="s">
        <v>170</v>
      </c>
      <c r="C130" t="str">
        <f>_xlfn.XLOOKUP(B130,Phone_by_Price!$A$2:$A$34,Phone_by_Price!$B$2:$B$34,"-",0,1)</f>
        <v>Realme Narzo 30A</v>
      </c>
      <c r="D130" t="str">
        <f>_xlfn.XLOOKUP(C130,Phone_by_Sentiment!$B$2:$B$37,Phone_by_Sentiment!$A$2:$A$37,"-",0,1)</f>
        <v>2021-02</v>
      </c>
      <c r="E130" cm="1">
        <f t="array" ref="E130">IF($Q130&gt;=0,IFERROR(generateSalesData($D130, IF(ISNUMBER(_xlfn.XLOOKUP($C130,Phone_by_Sentiment!$B$2:$B$37,Phone_by_Sentiment!E$2:E$37,"",0,1)),_xlfn.XLOOKUP($C130,Phone_by_Sentiment!$B$2:$B$37,Phone_by_Sentiment!E$2:E$37,"",0,1),0),$A130-TEXT(DATEVALUE($D130&amp;"-01"), "dd-mm-yyyy")),0),0)</f>
        <v>0</v>
      </c>
      <c r="F130" cm="1">
        <f t="array" ref="F130">IF($Q130&gt;=0,IFERROR(generateSalesData($D130, IF(ISNUMBER(_xlfn.XLOOKUP($C130,Phone_by_Sentiment!$B$2:$B$37,Phone_by_Sentiment!F$2:F$37,"",0,1)),_xlfn.XLOOKUP($C130,Phone_by_Sentiment!$B$2:$B$37,Phone_by_Sentiment!F$2:F$37,"",0,1),0),$A130-TEXT(DATEVALUE($D130&amp;"-01"), "dd-mm-yyyy")),0),0)</f>
        <v>0</v>
      </c>
      <c r="G130" cm="1">
        <f t="array" ref="G130">IF($Q130&gt;=0,IFERROR(generateSalesData($D130, IF(ISNUMBER(_xlfn.XLOOKUP($C130,Phone_by_Sentiment!$B$2:$B$37,Phone_by_Sentiment!G$2:G$37,"",0,1)),_xlfn.XLOOKUP($C130,Phone_by_Sentiment!$B$2:$B$37,Phone_by_Sentiment!G$2:G$37,"",0,1),0),$A130-TEXT(DATEVALUE($D130&amp;"-01"), "dd-mm-yyyy")),0),0)</f>
        <v>0</v>
      </c>
      <c r="H130" cm="1">
        <f t="array" ref="H130">IF($Q130&gt;=0,IFERROR(generateSalesData($D130, IF(ISNUMBER(_xlfn.XLOOKUP($C130,Phone_by_Sentiment!$B$2:$B$37,Phone_by_Sentiment!H$2:H$37,"",0,1)),_xlfn.XLOOKUP($C130,Phone_by_Sentiment!$B$2:$B$37,Phone_by_Sentiment!H$2:H$37,"",0,1),0),$A130-TEXT(DATEVALUE($D130&amp;"-01"), "dd-mm-yyyy")),0),0)</f>
        <v>0</v>
      </c>
      <c r="I130" cm="1">
        <f t="array" ref="I130">IF($Q130&gt;=0,IFERROR(generateSalesData($D130, IF(ISNUMBER(_xlfn.XLOOKUP($C130,Phone_by_Sentiment!$B$2:$B$37,Phone_by_Sentiment!I$2:I$37,"",0,1)),_xlfn.XLOOKUP($C130,Phone_by_Sentiment!$B$2:$B$37,Phone_by_Sentiment!I$2:I$37,"",0,1),0),$A130-TEXT(DATEVALUE($D130&amp;"-01"), "dd-mm-yyyy")),0),0)</f>
        <v>0</v>
      </c>
      <c r="J130" cm="1">
        <f t="array" ref="J130">IF($Q130&gt;=0,IFERROR(generateSalesData($D130, IF(ISNUMBER(_xlfn.XLOOKUP($C130,Phone_by_Sentiment!$B$2:$B$37,Phone_by_Sentiment!J$2:J$37,"",0,1)),_xlfn.XLOOKUP($C130,Phone_by_Sentiment!$B$2:$B$37,Phone_by_Sentiment!J$2:J$37,"",0,1),0),$A130-TEXT(DATEVALUE($D130&amp;"-01"), "dd-mm-yyyy")),0),0)</f>
        <v>0</v>
      </c>
      <c r="K130" cm="1">
        <f t="array" ref="K130">IF($Q130&gt;=0,IFERROR(generateSalesData($D130, IF(ISNUMBER(_xlfn.XLOOKUP($C130,Phone_by_Sentiment!$B$2:$B$37,Phone_by_Sentiment!K$2:K$37,"",0,1)),_xlfn.XLOOKUP($C130,Phone_by_Sentiment!$B$2:$B$37,Phone_by_Sentiment!K$2:K$37,"",0,1),0),$A130-TEXT(DATEVALUE($D130&amp;"-01"), "dd-mm-yyyy")),0),0)</f>
        <v>0</v>
      </c>
      <c r="L130" cm="1">
        <f t="array" ref="L130">IF($Q130&gt;=0,IFERROR(generateSalesData($D130, IF(ISNUMBER(_xlfn.XLOOKUP($C130,Phone_by_Sentiment!$B$2:$B$37,Phone_by_Sentiment!L$2:L$37,"",0,1)),_xlfn.XLOOKUP($C130,Phone_by_Sentiment!$B$2:$B$37,Phone_by_Sentiment!L$2:L$37,"",0,1),0),$A130-TEXT(DATEVALUE($D130&amp;"-01"), "dd-mm-yyyy")),0),0)</f>
        <v>0</v>
      </c>
      <c r="M130" cm="1">
        <f t="array" ref="M130">IF($Q130&gt;=0,IFERROR(generateSalesData($D130, IF(ISNUMBER(_xlfn.XLOOKUP($C130,Phone_by_Sentiment!$B$2:$B$37,Phone_by_Sentiment!M$2:M$37,"",0,1)),_xlfn.XLOOKUP($C130,Phone_by_Sentiment!$B$2:$B$37,Phone_by_Sentiment!M$2:M$37,"",0,1),0),$A130-TEXT(DATEVALUE($D130&amp;"-01"), "dd-mm-yyyy")),0),0)</f>
        <v>0</v>
      </c>
      <c r="N130" cm="1">
        <f t="array" ref="N130">IF($Q130&gt;=0,IFERROR(generateSalesData($D130, IF(ISNUMBER(_xlfn.XLOOKUP($C130,Phone_by_Sentiment!$B$2:$B$37,Phone_by_Sentiment!N$2:N$37,"",0,1)),_xlfn.XLOOKUP($C130,Phone_by_Sentiment!$B$2:$B$37,Phone_by_Sentiment!N$2:N$37,"",0,1),0),$A130-TEXT(DATEVALUE($D130&amp;"-01"), "dd-mm-yyyy")),0),0)</f>
        <v>0</v>
      </c>
      <c r="O130" cm="1">
        <f t="array" ref="O130">IF($Q130&gt;=0,IFERROR(generateSalesData($D130, IF(ISNUMBER(_xlfn.XLOOKUP($C130,Phone_by_Sentiment!$B$2:$B$37,Phone_by_Sentiment!O$2:O$37,"",0,1)),_xlfn.XLOOKUP($C130,Phone_by_Sentiment!$B$2:$B$37,Phone_by_Sentiment!O$2:O$37,"",0,1),0),$A130-TEXT(DATEVALUE($D130&amp;"-01"), "dd-mm-yyyy")),0),0)</f>
        <v>0</v>
      </c>
      <c r="P130" s="1">
        <f t="shared" si="3"/>
        <v>44228</v>
      </c>
      <c r="Q130">
        <f t="shared" si="4"/>
        <v>-672</v>
      </c>
    </row>
    <row r="131" spans="1:17" x14ac:dyDescent="0.25">
      <c r="A131" s="1">
        <f t="shared" si="0"/>
        <v>43556</v>
      </c>
      <c r="B131" t="s">
        <v>171</v>
      </c>
      <c r="C131" t="str">
        <f>_xlfn.XLOOKUP(B131,Phone_by_Price!$A$2:$A$34,Phone_by_Price!$B$2:$B$34,"-",0,1)</f>
        <v>Samsung Galaxy A22 5G</v>
      </c>
      <c r="D131" t="str">
        <f>_xlfn.XLOOKUP(C131,Phone_by_Sentiment!$B$2:$B$37,Phone_by_Sentiment!$A$2:$A$37,"-",0,1)</f>
        <v>2021-05</v>
      </c>
      <c r="E131" cm="1">
        <f t="array" ref="E131">IF($Q131&gt;=0,IFERROR(generateSalesData($D131, IF(ISNUMBER(_xlfn.XLOOKUP($C131,Phone_by_Sentiment!$B$2:$B$37,Phone_by_Sentiment!E$2:E$37,"",0,1)),_xlfn.XLOOKUP($C131,Phone_by_Sentiment!$B$2:$B$37,Phone_by_Sentiment!E$2:E$37,"",0,1),0),$A131-TEXT(DATEVALUE($D131&amp;"-01"), "dd-mm-yyyy")),0),0)</f>
        <v>0</v>
      </c>
      <c r="F131" cm="1">
        <f t="array" ref="F131">IF($Q131&gt;=0,IFERROR(generateSalesData($D131, IF(ISNUMBER(_xlfn.XLOOKUP($C131,Phone_by_Sentiment!$B$2:$B$37,Phone_by_Sentiment!F$2:F$37,"",0,1)),_xlfn.XLOOKUP($C131,Phone_by_Sentiment!$B$2:$B$37,Phone_by_Sentiment!F$2:F$37,"",0,1),0),$A131-TEXT(DATEVALUE($D131&amp;"-01"), "dd-mm-yyyy")),0),0)</f>
        <v>0</v>
      </c>
      <c r="G131" cm="1">
        <f t="array" ref="G131">IF($Q131&gt;=0,IFERROR(generateSalesData($D131, IF(ISNUMBER(_xlfn.XLOOKUP($C131,Phone_by_Sentiment!$B$2:$B$37,Phone_by_Sentiment!G$2:G$37,"",0,1)),_xlfn.XLOOKUP($C131,Phone_by_Sentiment!$B$2:$B$37,Phone_by_Sentiment!G$2:G$37,"",0,1),0),$A131-TEXT(DATEVALUE($D131&amp;"-01"), "dd-mm-yyyy")),0),0)</f>
        <v>0</v>
      </c>
      <c r="H131" cm="1">
        <f t="array" ref="H131">IF($Q131&gt;=0,IFERROR(generateSalesData($D131, IF(ISNUMBER(_xlfn.XLOOKUP($C131,Phone_by_Sentiment!$B$2:$B$37,Phone_by_Sentiment!H$2:H$37,"",0,1)),_xlfn.XLOOKUP($C131,Phone_by_Sentiment!$B$2:$B$37,Phone_by_Sentiment!H$2:H$37,"",0,1),0),$A131-TEXT(DATEVALUE($D131&amp;"-01"), "dd-mm-yyyy")),0),0)</f>
        <v>0</v>
      </c>
      <c r="I131" cm="1">
        <f t="array" ref="I131">IF($Q131&gt;=0,IFERROR(generateSalesData($D131, IF(ISNUMBER(_xlfn.XLOOKUP($C131,Phone_by_Sentiment!$B$2:$B$37,Phone_by_Sentiment!I$2:I$37,"",0,1)),_xlfn.XLOOKUP($C131,Phone_by_Sentiment!$B$2:$B$37,Phone_by_Sentiment!I$2:I$37,"",0,1),0),$A131-TEXT(DATEVALUE($D131&amp;"-01"), "dd-mm-yyyy")),0),0)</f>
        <v>0</v>
      </c>
      <c r="J131" cm="1">
        <f t="array" ref="J131">IF($Q131&gt;=0,IFERROR(generateSalesData($D131, IF(ISNUMBER(_xlfn.XLOOKUP($C131,Phone_by_Sentiment!$B$2:$B$37,Phone_by_Sentiment!J$2:J$37,"",0,1)),_xlfn.XLOOKUP($C131,Phone_by_Sentiment!$B$2:$B$37,Phone_by_Sentiment!J$2:J$37,"",0,1),0),$A131-TEXT(DATEVALUE($D131&amp;"-01"), "dd-mm-yyyy")),0),0)</f>
        <v>0</v>
      </c>
      <c r="K131" cm="1">
        <f t="array" ref="K131">IF($Q131&gt;=0,IFERROR(generateSalesData($D131, IF(ISNUMBER(_xlfn.XLOOKUP($C131,Phone_by_Sentiment!$B$2:$B$37,Phone_by_Sentiment!K$2:K$37,"",0,1)),_xlfn.XLOOKUP($C131,Phone_by_Sentiment!$B$2:$B$37,Phone_by_Sentiment!K$2:K$37,"",0,1),0),$A131-TEXT(DATEVALUE($D131&amp;"-01"), "dd-mm-yyyy")),0),0)</f>
        <v>0</v>
      </c>
      <c r="L131" cm="1">
        <f t="array" ref="L131">IF($Q131&gt;=0,IFERROR(generateSalesData($D131, IF(ISNUMBER(_xlfn.XLOOKUP($C131,Phone_by_Sentiment!$B$2:$B$37,Phone_by_Sentiment!L$2:L$37,"",0,1)),_xlfn.XLOOKUP($C131,Phone_by_Sentiment!$B$2:$B$37,Phone_by_Sentiment!L$2:L$37,"",0,1),0),$A131-TEXT(DATEVALUE($D131&amp;"-01"), "dd-mm-yyyy")),0),0)</f>
        <v>0</v>
      </c>
      <c r="M131" cm="1">
        <f t="array" ref="M131">IF($Q131&gt;=0,IFERROR(generateSalesData($D131, IF(ISNUMBER(_xlfn.XLOOKUP($C131,Phone_by_Sentiment!$B$2:$B$37,Phone_by_Sentiment!M$2:M$37,"",0,1)),_xlfn.XLOOKUP($C131,Phone_by_Sentiment!$B$2:$B$37,Phone_by_Sentiment!M$2:M$37,"",0,1),0),$A131-TEXT(DATEVALUE($D131&amp;"-01"), "dd-mm-yyyy")),0),0)</f>
        <v>0</v>
      </c>
      <c r="N131" cm="1">
        <f t="array" ref="N131">IF($Q131&gt;=0,IFERROR(generateSalesData($D131, IF(ISNUMBER(_xlfn.XLOOKUP($C131,Phone_by_Sentiment!$B$2:$B$37,Phone_by_Sentiment!N$2:N$37,"",0,1)),_xlfn.XLOOKUP($C131,Phone_by_Sentiment!$B$2:$B$37,Phone_by_Sentiment!N$2:N$37,"",0,1),0),$A131-TEXT(DATEVALUE($D131&amp;"-01"), "dd-mm-yyyy")),0),0)</f>
        <v>0</v>
      </c>
      <c r="O131" cm="1">
        <f t="array" ref="O131">IF($Q131&gt;=0,IFERROR(generateSalesData($D131, IF(ISNUMBER(_xlfn.XLOOKUP($C131,Phone_by_Sentiment!$B$2:$B$37,Phone_by_Sentiment!O$2:O$37,"",0,1)),_xlfn.XLOOKUP($C131,Phone_by_Sentiment!$B$2:$B$37,Phone_by_Sentiment!O$2:O$37,"",0,1),0),$A131-TEXT(DATEVALUE($D131&amp;"-01"), "dd-mm-yyyy")),0),0)</f>
        <v>0</v>
      </c>
      <c r="P131" s="1">
        <f t="shared" si="3"/>
        <v>44317</v>
      </c>
      <c r="Q131">
        <f t="shared" si="4"/>
        <v>-761</v>
      </c>
    </row>
    <row r="132" spans="1:17" x14ac:dyDescent="0.25">
      <c r="A132" s="1">
        <f t="shared" si="0"/>
        <v>43556</v>
      </c>
      <c r="B132" t="s">
        <v>172</v>
      </c>
      <c r="C132" t="str">
        <f>_xlfn.XLOOKUP(B132,Phone_by_Price!$A$2:$A$34,Phone_by_Price!$B$2:$B$34,"-",0,1)</f>
        <v>Xiaomi Redmi 9</v>
      </c>
      <c r="D132" t="str">
        <f>_xlfn.XLOOKUP(C132,Phone_by_Sentiment!$B$2:$B$37,Phone_by_Sentiment!$A$2:$A$37,"-",0,1)</f>
        <v>2020-08</v>
      </c>
      <c r="E132" cm="1">
        <f t="array" ref="E132">IF($Q132&gt;=0,IFERROR(generateSalesData($D132, IF(ISNUMBER(_xlfn.XLOOKUP($C132,Phone_by_Sentiment!$B$2:$B$37,Phone_by_Sentiment!E$2:E$37,"",0,1)),_xlfn.XLOOKUP($C132,Phone_by_Sentiment!$B$2:$B$37,Phone_by_Sentiment!E$2:E$37,"",0,1),0),$A132-TEXT(DATEVALUE($D132&amp;"-01"), "dd-mm-yyyy")),0),0)</f>
        <v>0</v>
      </c>
      <c r="F132" cm="1">
        <f t="array" ref="F132">IF($Q132&gt;=0,IFERROR(generateSalesData($D132, IF(ISNUMBER(_xlfn.XLOOKUP($C132,Phone_by_Sentiment!$B$2:$B$37,Phone_by_Sentiment!F$2:F$37,"",0,1)),_xlfn.XLOOKUP($C132,Phone_by_Sentiment!$B$2:$B$37,Phone_by_Sentiment!F$2:F$37,"",0,1),0),$A132-TEXT(DATEVALUE($D132&amp;"-01"), "dd-mm-yyyy")),0),0)</f>
        <v>0</v>
      </c>
      <c r="G132" cm="1">
        <f t="array" ref="G132">IF($Q132&gt;=0,IFERROR(generateSalesData($D132, IF(ISNUMBER(_xlfn.XLOOKUP($C132,Phone_by_Sentiment!$B$2:$B$37,Phone_by_Sentiment!G$2:G$37,"",0,1)),_xlfn.XLOOKUP($C132,Phone_by_Sentiment!$B$2:$B$37,Phone_by_Sentiment!G$2:G$37,"",0,1),0),$A132-TEXT(DATEVALUE($D132&amp;"-01"), "dd-mm-yyyy")),0),0)</f>
        <v>0</v>
      </c>
      <c r="H132" cm="1">
        <f t="array" ref="H132">IF($Q132&gt;=0,IFERROR(generateSalesData($D132, IF(ISNUMBER(_xlfn.XLOOKUP($C132,Phone_by_Sentiment!$B$2:$B$37,Phone_by_Sentiment!H$2:H$37,"",0,1)),_xlfn.XLOOKUP($C132,Phone_by_Sentiment!$B$2:$B$37,Phone_by_Sentiment!H$2:H$37,"",0,1),0),$A132-TEXT(DATEVALUE($D132&amp;"-01"), "dd-mm-yyyy")),0),0)</f>
        <v>0</v>
      </c>
      <c r="I132" cm="1">
        <f t="array" ref="I132">IF($Q132&gt;=0,IFERROR(generateSalesData($D132, IF(ISNUMBER(_xlfn.XLOOKUP($C132,Phone_by_Sentiment!$B$2:$B$37,Phone_by_Sentiment!I$2:I$37,"",0,1)),_xlfn.XLOOKUP($C132,Phone_by_Sentiment!$B$2:$B$37,Phone_by_Sentiment!I$2:I$37,"",0,1),0),$A132-TEXT(DATEVALUE($D132&amp;"-01"), "dd-mm-yyyy")),0),0)</f>
        <v>0</v>
      </c>
      <c r="J132" cm="1">
        <f t="array" ref="J132">IF($Q132&gt;=0,IFERROR(generateSalesData($D132, IF(ISNUMBER(_xlfn.XLOOKUP($C132,Phone_by_Sentiment!$B$2:$B$37,Phone_by_Sentiment!J$2:J$37,"",0,1)),_xlfn.XLOOKUP($C132,Phone_by_Sentiment!$B$2:$B$37,Phone_by_Sentiment!J$2:J$37,"",0,1),0),$A132-TEXT(DATEVALUE($D132&amp;"-01"), "dd-mm-yyyy")),0),0)</f>
        <v>0</v>
      </c>
      <c r="K132" cm="1">
        <f t="array" ref="K132">IF($Q132&gt;=0,IFERROR(generateSalesData($D132, IF(ISNUMBER(_xlfn.XLOOKUP($C132,Phone_by_Sentiment!$B$2:$B$37,Phone_by_Sentiment!K$2:K$37,"",0,1)),_xlfn.XLOOKUP($C132,Phone_by_Sentiment!$B$2:$B$37,Phone_by_Sentiment!K$2:K$37,"",0,1),0),$A132-TEXT(DATEVALUE($D132&amp;"-01"), "dd-mm-yyyy")),0),0)</f>
        <v>0</v>
      </c>
      <c r="L132" cm="1">
        <f t="array" ref="L132">IF($Q132&gt;=0,IFERROR(generateSalesData($D132, IF(ISNUMBER(_xlfn.XLOOKUP($C132,Phone_by_Sentiment!$B$2:$B$37,Phone_by_Sentiment!L$2:L$37,"",0,1)),_xlfn.XLOOKUP($C132,Phone_by_Sentiment!$B$2:$B$37,Phone_by_Sentiment!L$2:L$37,"",0,1),0),$A132-TEXT(DATEVALUE($D132&amp;"-01"), "dd-mm-yyyy")),0),0)</f>
        <v>0</v>
      </c>
      <c r="M132" cm="1">
        <f t="array" ref="M132">IF($Q132&gt;=0,IFERROR(generateSalesData($D132, IF(ISNUMBER(_xlfn.XLOOKUP($C132,Phone_by_Sentiment!$B$2:$B$37,Phone_by_Sentiment!M$2:M$37,"",0,1)),_xlfn.XLOOKUP($C132,Phone_by_Sentiment!$B$2:$B$37,Phone_by_Sentiment!M$2:M$37,"",0,1),0),$A132-TEXT(DATEVALUE($D132&amp;"-01"), "dd-mm-yyyy")),0),0)</f>
        <v>0</v>
      </c>
      <c r="N132" cm="1">
        <f t="array" ref="N132">IF($Q132&gt;=0,IFERROR(generateSalesData($D132, IF(ISNUMBER(_xlfn.XLOOKUP($C132,Phone_by_Sentiment!$B$2:$B$37,Phone_by_Sentiment!N$2:N$37,"",0,1)),_xlfn.XLOOKUP($C132,Phone_by_Sentiment!$B$2:$B$37,Phone_by_Sentiment!N$2:N$37,"",0,1),0),$A132-TEXT(DATEVALUE($D132&amp;"-01"), "dd-mm-yyyy")),0),0)</f>
        <v>0</v>
      </c>
      <c r="O132" cm="1">
        <f t="array" ref="O132">IF($Q132&gt;=0,IFERROR(generateSalesData($D132, IF(ISNUMBER(_xlfn.XLOOKUP($C132,Phone_by_Sentiment!$B$2:$B$37,Phone_by_Sentiment!O$2:O$37,"",0,1)),_xlfn.XLOOKUP($C132,Phone_by_Sentiment!$B$2:$B$37,Phone_by_Sentiment!O$2:O$37,"",0,1),0),$A132-TEXT(DATEVALUE($D132&amp;"-01"), "dd-mm-yyyy")),0),0)</f>
        <v>0</v>
      </c>
      <c r="P132" s="1">
        <f t="shared" ref="P132:P195" si="5">DATEVALUE($D132&amp;"-01")</f>
        <v>44044</v>
      </c>
      <c r="Q132">
        <f t="shared" ref="Q132:Q195" si="6">A132-P132</f>
        <v>-488</v>
      </c>
    </row>
    <row r="133" spans="1:17" x14ac:dyDescent="0.25">
      <c r="A133" s="1">
        <f t="shared" si="0"/>
        <v>43556</v>
      </c>
      <c r="B133" t="s">
        <v>173</v>
      </c>
      <c r="C133" t="str">
        <f>_xlfn.XLOOKUP(B133,Phone_by_Price!$A$2:$A$34,Phone_by_Price!$B$2:$B$34,"-",0,1)</f>
        <v>Realme C3</v>
      </c>
      <c r="D133" t="str">
        <f>_xlfn.XLOOKUP(C133,Phone_by_Sentiment!$B$2:$B$37,Phone_by_Sentiment!$A$2:$A$37,"-",0,1)</f>
        <v>2020-02</v>
      </c>
      <c r="E133" cm="1">
        <f t="array" ref="E133">IF($Q133&gt;=0,IFERROR(generateSalesData($D133, IF(ISNUMBER(_xlfn.XLOOKUP($C133,Phone_by_Sentiment!$B$2:$B$37,Phone_by_Sentiment!E$2:E$37,"",0,1)),_xlfn.XLOOKUP($C133,Phone_by_Sentiment!$B$2:$B$37,Phone_by_Sentiment!E$2:E$37,"",0,1),0),$A133-TEXT(DATEVALUE($D133&amp;"-01"), "dd-mm-yyyy")),0),0)</f>
        <v>0</v>
      </c>
      <c r="F133" cm="1">
        <f t="array" ref="F133">IF($Q133&gt;=0,IFERROR(generateSalesData($D133, IF(ISNUMBER(_xlfn.XLOOKUP($C133,Phone_by_Sentiment!$B$2:$B$37,Phone_by_Sentiment!F$2:F$37,"",0,1)),_xlfn.XLOOKUP($C133,Phone_by_Sentiment!$B$2:$B$37,Phone_by_Sentiment!F$2:F$37,"",0,1),0),$A133-TEXT(DATEVALUE($D133&amp;"-01"), "dd-mm-yyyy")),0),0)</f>
        <v>0</v>
      </c>
      <c r="G133" cm="1">
        <f t="array" ref="G133">IF($Q133&gt;=0,IFERROR(generateSalesData($D133, IF(ISNUMBER(_xlfn.XLOOKUP($C133,Phone_by_Sentiment!$B$2:$B$37,Phone_by_Sentiment!G$2:G$37,"",0,1)),_xlfn.XLOOKUP($C133,Phone_by_Sentiment!$B$2:$B$37,Phone_by_Sentiment!G$2:G$37,"",0,1),0),$A133-TEXT(DATEVALUE($D133&amp;"-01"), "dd-mm-yyyy")),0),0)</f>
        <v>0</v>
      </c>
      <c r="H133" cm="1">
        <f t="array" ref="H133">IF($Q133&gt;=0,IFERROR(generateSalesData($D133, IF(ISNUMBER(_xlfn.XLOOKUP($C133,Phone_by_Sentiment!$B$2:$B$37,Phone_by_Sentiment!H$2:H$37,"",0,1)),_xlfn.XLOOKUP($C133,Phone_by_Sentiment!$B$2:$B$37,Phone_by_Sentiment!H$2:H$37,"",0,1),0),$A133-TEXT(DATEVALUE($D133&amp;"-01"), "dd-mm-yyyy")),0),0)</f>
        <v>0</v>
      </c>
      <c r="I133" cm="1">
        <f t="array" ref="I133">IF($Q133&gt;=0,IFERROR(generateSalesData($D133, IF(ISNUMBER(_xlfn.XLOOKUP($C133,Phone_by_Sentiment!$B$2:$B$37,Phone_by_Sentiment!I$2:I$37,"",0,1)),_xlfn.XLOOKUP($C133,Phone_by_Sentiment!$B$2:$B$37,Phone_by_Sentiment!I$2:I$37,"",0,1),0),$A133-TEXT(DATEVALUE($D133&amp;"-01"), "dd-mm-yyyy")),0),0)</f>
        <v>0</v>
      </c>
      <c r="J133" cm="1">
        <f t="array" ref="J133">IF($Q133&gt;=0,IFERROR(generateSalesData($D133, IF(ISNUMBER(_xlfn.XLOOKUP($C133,Phone_by_Sentiment!$B$2:$B$37,Phone_by_Sentiment!J$2:J$37,"",0,1)),_xlfn.XLOOKUP($C133,Phone_by_Sentiment!$B$2:$B$37,Phone_by_Sentiment!J$2:J$37,"",0,1),0),$A133-TEXT(DATEVALUE($D133&amp;"-01"), "dd-mm-yyyy")),0),0)</f>
        <v>0</v>
      </c>
      <c r="K133" cm="1">
        <f t="array" ref="K133">IF($Q133&gt;=0,IFERROR(generateSalesData($D133, IF(ISNUMBER(_xlfn.XLOOKUP($C133,Phone_by_Sentiment!$B$2:$B$37,Phone_by_Sentiment!K$2:K$37,"",0,1)),_xlfn.XLOOKUP($C133,Phone_by_Sentiment!$B$2:$B$37,Phone_by_Sentiment!K$2:K$37,"",0,1),0),$A133-TEXT(DATEVALUE($D133&amp;"-01"), "dd-mm-yyyy")),0),0)</f>
        <v>0</v>
      </c>
      <c r="L133" cm="1">
        <f t="array" ref="L133">IF($Q133&gt;=0,IFERROR(generateSalesData($D133, IF(ISNUMBER(_xlfn.XLOOKUP($C133,Phone_by_Sentiment!$B$2:$B$37,Phone_by_Sentiment!L$2:L$37,"",0,1)),_xlfn.XLOOKUP($C133,Phone_by_Sentiment!$B$2:$B$37,Phone_by_Sentiment!L$2:L$37,"",0,1),0),$A133-TEXT(DATEVALUE($D133&amp;"-01"), "dd-mm-yyyy")),0),0)</f>
        <v>0</v>
      </c>
      <c r="M133" cm="1">
        <f t="array" ref="M133">IF($Q133&gt;=0,IFERROR(generateSalesData($D133, IF(ISNUMBER(_xlfn.XLOOKUP($C133,Phone_by_Sentiment!$B$2:$B$37,Phone_by_Sentiment!M$2:M$37,"",0,1)),_xlfn.XLOOKUP($C133,Phone_by_Sentiment!$B$2:$B$37,Phone_by_Sentiment!M$2:M$37,"",0,1),0),$A133-TEXT(DATEVALUE($D133&amp;"-01"), "dd-mm-yyyy")),0),0)</f>
        <v>0</v>
      </c>
      <c r="N133" cm="1">
        <f t="array" ref="N133">IF($Q133&gt;=0,IFERROR(generateSalesData($D133, IF(ISNUMBER(_xlfn.XLOOKUP($C133,Phone_by_Sentiment!$B$2:$B$37,Phone_by_Sentiment!N$2:N$37,"",0,1)),_xlfn.XLOOKUP($C133,Phone_by_Sentiment!$B$2:$B$37,Phone_by_Sentiment!N$2:N$37,"",0,1),0),$A133-TEXT(DATEVALUE($D133&amp;"-01"), "dd-mm-yyyy")),0),0)</f>
        <v>0</v>
      </c>
      <c r="O133" cm="1">
        <f t="array" ref="O133">IF($Q133&gt;=0,IFERROR(generateSalesData($D133, IF(ISNUMBER(_xlfn.XLOOKUP($C133,Phone_by_Sentiment!$B$2:$B$37,Phone_by_Sentiment!O$2:O$37,"",0,1)),_xlfn.XLOOKUP($C133,Phone_by_Sentiment!$B$2:$B$37,Phone_by_Sentiment!O$2:O$37,"",0,1),0),$A133-TEXT(DATEVALUE($D133&amp;"-01"), "dd-mm-yyyy")),0),0)</f>
        <v>0</v>
      </c>
      <c r="P133" s="1">
        <f t="shared" si="5"/>
        <v>43862</v>
      </c>
      <c r="Q133">
        <f t="shared" si="6"/>
        <v>-306</v>
      </c>
    </row>
    <row r="134" spans="1:17" x14ac:dyDescent="0.25">
      <c r="A134" s="1">
        <f t="shared" si="0"/>
        <v>43556</v>
      </c>
      <c r="B134" t="s">
        <v>174</v>
      </c>
      <c r="C134" t="str">
        <f>_xlfn.XLOOKUP(B134,Phone_by_Price!$A$2:$A$34,Phone_by_Price!$B$2:$B$34,"-",0,1)</f>
        <v>Samsung Galaxy A7</v>
      </c>
      <c r="D134" t="str">
        <f>_xlfn.XLOOKUP(C134,Phone_by_Sentiment!$B$2:$B$37,Phone_by_Sentiment!$A$2:$A$37,"-",0,1)</f>
        <v>2018-10</v>
      </c>
      <c r="E134" cm="1">
        <f t="array" ref="E134">IF($Q134&gt;=0,IFERROR(generateSalesData($D134, IF(ISNUMBER(_xlfn.XLOOKUP($C134,Phone_by_Sentiment!$B$2:$B$37,Phone_by_Sentiment!E$2:E$37,"",0,1)),_xlfn.XLOOKUP($C134,Phone_by_Sentiment!$B$2:$B$37,Phone_by_Sentiment!E$2:E$37,"",0,1),0),$A134-TEXT(DATEVALUE($D134&amp;"-01"), "dd-mm-yyyy")),0),0)</f>
        <v>498</v>
      </c>
      <c r="F134" cm="1">
        <f t="array" ref="F134">IF($Q134&gt;=0,IFERROR(generateSalesData($D134, IF(ISNUMBER(_xlfn.XLOOKUP($C134,Phone_by_Sentiment!$B$2:$B$37,Phone_by_Sentiment!F$2:F$37,"",0,1)),_xlfn.XLOOKUP($C134,Phone_by_Sentiment!$B$2:$B$37,Phone_by_Sentiment!F$2:F$37,"",0,1),0),$A134-TEXT(DATEVALUE($D134&amp;"-01"), "dd-mm-yyyy")),0),0)</f>
        <v>580</v>
      </c>
      <c r="G134" cm="1">
        <f t="array" ref="G134">IF($Q134&gt;=0,IFERROR(generateSalesData($D134, IF(ISNUMBER(_xlfn.XLOOKUP($C134,Phone_by_Sentiment!$B$2:$B$37,Phone_by_Sentiment!G$2:G$37,"",0,1)),_xlfn.XLOOKUP($C134,Phone_by_Sentiment!$B$2:$B$37,Phone_by_Sentiment!G$2:G$37,"",0,1),0),$A134-TEXT(DATEVALUE($D134&amp;"-01"), "dd-mm-yyyy")),0),0)</f>
        <v>435</v>
      </c>
      <c r="H134" cm="1">
        <f t="array" ref="H134">IF($Q134&gt;=0,IFERROR(generateSalesData($D134, IF(ISNUMBER(_xlfn.XLOOKUP($C134,Phone_by_Sentiment!$B$2:$B$37,Phone_by_Sentiment!H$2:H$37,"",0,1)),_xlfn.XLOOKUP($C134,Phone_by_Sentiment!$B$2:$B$37,Phone_by_Sentiment!H$2:H$37,"",0,1),0),$A134-TEXT(DATEVALUE($D134&amp;"-01"), "dd-mm-yyyy")),0),0)</f>
        <v>2226</v>
      </c>
      <c r="I134" cm="1">
        <f t="array" ref="I134">IF($Q134&gt;=0,IFERROR(generateSalesData($D134, IF(ISNUMBER(_xlfn.XLOOKUP($C134,Phone_by_Sentiment!$B$2:$B$37,Phone_by_Sentiment!I$2:I$37,"",0,1)),_xlfn.XLOOKUP($C134,Phone_by_Sentiment!$B$2:$B$37,Phone_by_Sentiment!I$2:I$37,"",0,1),0),$A134-TEXT(DATEVALUE($D134&amp;"-01"), "dd-mm-yyyy")),0),0)</f>
        <v>649</v>
      </c>
      <c r="J134" cm="1">
        <f t="array" ref="J134">IF($Q134&gt;=0,IFERROR(generateSalesData($D134, IF(ISNUMBER(_xlfn.XLOOKUP($C134,Phone_by_Sentiment!$B$2:$B$37,Phone_by_Sentiment!J$2:J$37,"",0,1)),_xlfn.XLOOKUP($C134,Phone_by_Sentiment!$B$2:$B$37,Phone_by_Sentiment!J$2:J$37,"",0,1),0),$A134-TEXT(DATEVALUE($D134&amp;"-01"), "dd-mm-yyyy")),0),0)</f>
        <v>224</v>
      </c>
      <c r="K134" cm="1">
        <f t="array" ref="K134">IF($Q134&gt;=0,IFERROR(generateSalesData($D134, IF(ISNUMBER(_xlfn.XLOOKUP($C134,Phone_by_Sentiment!$B$2:$B$37,Phone_by_Sentiment!K$2:K$37,"",0,1)),_xlfn.XLOOKUP($C134,Phone_by_Sentiment!$B$2:$B$37,Phone_by_Sentiment!K$2:K$37,"",0,1),0),$A134-TEXT(DATEVALUE($D134&amp;"-01"), "dd-mm-yyyy")),0),0)</f>
        <v>431</v>
      </c>
      <c r="L134" cm="1">
        <f t="array" ref="L134">IF($Q134&gt;=0,IFERROR(generateSalesData($D134, IF(ISNUMBER(_xlfn.XLOOKUP($C134,Phone_by_Sentiment!$B$2:$B$37,Phone_by_Sentiment!L$2:L$37,"",0,1)),_xlfn.XLOOKUP($C134,Phone_by_Sentiment!$B$2:$B$37,Phone_by_Sentiment!L$2:L$37,"",0,1),0),$A134-TEXT(DATEVALUE($D134&amp;"-01"), "dd-mm-yyyy")),0),0)</f>
        <v>535</v>
      </c>
      <c r="M134" cm="1">
        <f t="array" ref="M134">IF($Q134&gt;=0,IFERROR(generateSalesData($D134, IF(ISNUMBER(_xlfn.XLOOKUP($C134,Phone_by_Sentiment!$B$2:$B$37,Phone_by_Sentiment!M$2:M$37,"",0,1)),_xlfn.XLOOKUP($C134,Phone_by_Sentiment!$B$2:$B$37,Phone_by_Sentiment!M$2:M$37,"",0,1),0),$A134-TEXT(DATEVALUE($D134&amp;"-01"), "dd-mm-yyyy")),0),0)</f>
        <v>760</v>
      </c>
      <c r="N134" cm="1">
        <f t="array" ref="N134">IF($Q134&gt;=0,IFERROR(generateSalesData($D134, IF(ISNUMBER(_xlfn.XLOOKUP($C134,Phone_by_Sentiment!$B$2:$B$37,Phone_by_Sentiment!N$2:N$37,"",0,1)),_xlfn.XLOOKUP($C134,Phone_by_Sentiment!$B$2:$B$37,Phone_by_Sentiment!N$2:N$37,"",0,1),0),$A134-TEXT(DATEVALUE($D134&amp;"-01"), "dd-mm-yyyy")),0),0)</f>
        <v>1547</v>
      </c>
      <c r="O134" cm="1">
        <f t="array" ref="O134">IF($Q134&gt;=0,IFERROR(generateSalesData($D134, IF(ISNUMBER(_xlfn.XLOOKUP($C134,Phone_by_Sentiment!$B$2:$B$37,Phone_by_Sentiment!O$2:O$37,"",0,1)),_xlfn.XLOOKUP($C134,Phone_by_Sentiment!$B$2:$B$37,Phone_by_Sentiment!O$2:O$37,"",0,1),0),$A134-TEXT(DATEVALUE($D134&amp;"-01"), "dd-mm-yyyy")),0),0)</f>
        <v>1887</v>
      </c>
      <c r="P134" s="1">
        <f t="shared" si="5"/>
        <v>43374</v>
      </c>
      <c r="Q134">
        <f t="shared" si="6"/>
        <v>182</v>
      </c>
    </row>
    <row r="135" spans="1:17" x14ac:dyDescent="0.25">
      <c r="A135" s="1">
        <f t="shared" si="0"/>
        <v>43556</v>
      </c>
      <c r="B135" t="s">
        <v>142</v>
      </c>
      <c r="C135" t="str">
        <f>_xlfn.XLOOKUP(B135,Phone_by_Price!$A$2:$A$34,Phone_by_Price!$B$2:$B$34,"-",0,1)</f>
        <v>iPhone 11</v>
      </c>
      <c r="D135" t="str">
        <f>_xlfn.XLOOKUP(C135,Phone_by_Sentiment!$B$2:$B$37,Phone_by_Sentiment!$A$2:$A$37,"-",0,1)</f>
        <v>2019-09</v>
      </c>
      <c r="E135" cm="1">
        <f t="array" ref="E135">IF($Q135&gt;=0,IFERROR(generateSalesData($D135, IF(ISNUMBER(_xlfn.XLOOKUP($C135,Phone_by_Sentiment!$B$2:$B$37,Phone_by_Sentiment!E$2:E$37,"",0,1)),_xlfn.XLOOKUP($C135,Phone_by_Sentiment!$B$2:$B$37,Phone_by_Sentiment!E$2:E$37,"",0,1),0),$A135-TEXT(DATEVALUE($D135&amp;"-01"), "dd-mm-yyyy")),0),0)</f>
        <v>0</v>
      </c>
      <c r="F135" cm="1">
        <f t="array" ref="F135">IF($Q135&gt;=0,IFERROR(generateSalesData($D135, IF(ISNUMBER(_xlfn.XLOOKUP($C135,Phone_by_Sentiment!$B$2:$B$37,Phone_by_Sentiment!F$2:F$37,"",0,1)),_xlfn.XLOOKUP($C135,Phone_by_Sentiment!$B$2:$B$37,Phone_by_Sentiment!F$2:F$37,"",0,1),0),$A135-TEXT(DATEVALUE($D135&amp;"-01"), "dd-mm-yyyy")),0),0)</f>
        <v>0</v>
      </c>
      <c r="G135" cm="1">
        <f t="array" ref="G135">IF($Q135&gt;=0,IFERROR(generateSalesData($D135, IF(ISNUMBER(_xlfn.XLOOKUP($C135,Phone_by_Sentiment!$B$2:$B$37,Phone_by_Sentiment!G$2:G$37,"",0,1)),_xlfn.XLOOKUP($C135,Phone_by_Sentiment!$B$2:$B$37,Phone_by_Sentiment!G$2:G$37,"",0,1),0),$A135-TEXT(DATEVALUE($D135&amp;"-01"), "dd-mm-yyyy")),0),0)</f>
        <v>0</v>
      </c>
      <c r="H135" cm="1">
        <f t="array" ref="H135">IF($Q135&gt;=0,IFERROR(generateSalesData($D135, IF(ISNUMBER(_xlfn.XLOOKUP($C135,Phone_by_Sentiment!$B$2:$B$37,Phone_by_Sentiment!H$2:H$37,"",0,1)),_xlfn.XLOOKUP($C135,Phone_by_Sentiment!$B$2:$B$37,Phone_by_Sentiment!H$2:H$37,"",0,1),0),$A135-TEXT(DATEVALUE($D135&amp;"-01"), "dd-mm-yyyy")),0),0)</f>
        <v>0</v>
      </c>
      <c r="I135" cm="1">
        <f t="array" ref="I135">IF($Q135&gt;=0,IFERROR(generateSalesData($D135, IF(ISNUMBER(_xlfn.XLOOKUP($C135,Phone_by_Sentiment!$B$2:$B$37,Phone_by_Sentiment!I$2:I$37,"",0,1)),_xlfn.XLOOKUP($C135,Phone_by_Sentiment!$B$2:$B$37,Phone_by_Sentiment!I$2:I$37,"",0,1),0),$A135-TEXT(DATEVALUE($D135&amp;"-01"), "dd-mm-yyyy")),0),0)</f>
        <v>0</v>
      </c>
      <c r="J135" cm="1">
        <f t="array" ref="J135">IF($Q135&gt;=0,IFERROR(generateSalesData($D135, IF(ISNUMBER(_xlfn.XLOOKUP($C135,Phone_by_Sentiment!$B$2:$B$37,Phone_by_Sentiment!J$2:J$37,"",0,1)),_xlfn.XLOOKUP($C135,Phone_by_Sentiment!$B$2:$B$37,Phone_by_Sentiment!J$2:J$37,"",0,1),0),$A135-TEXT(DATEVALUE($D135&amp;"-01"), "dd-mm-yyyy")),0),0)</f>
        <v>0</v>
      </c>
      <c r="K135" cm="1">
        <f t="array" ref="K135">IF($Q135&gt;=0,IFERROR(generateSalesData($D135, IF(ISNUMBER(_xlfn.XLOOKUP($C135,Phone_by_Sentiment!$B$2:$B$37,Phone_by_Sentiment!K$2:K$37,"",0,1)),_xlfn.XLOOKUP($C135,Phone_by_Sentiment!$B$2:$B$37,Phone_by_Sentiment!K$2:K$37,"",0,1),0),$A135-TEXT(DATEVALUE($D135&amp;"-01"), "dd-mm-yyyy")),0),0)</f>
        <v>0</v>
      </c>
      <c r="L135" cm="1">
        <f t="array" ref="L135">IF($Q135&gt;=0,IFERROR(generateSalesData($D135, IF(ISNUMBER(_xlfn.XLOOKUP($C135,Phone_by_Sentiment!$B$2:$B$37,Phone_by_Sentiment!L$2:L$37,"",0,1)),_xlfn.XLOOKUP($C135,Phone_by_Sentiment!$B$2:$B$37,Phone_by_Sentiment!L$2:L$37,"",0,1),0),$A135-TEXT(DATEVALUE($D135&amp;"-01"), "dd-mm-yyyy")),0),0)</f>
        <v>0</v>
      </c>
      <c r="M135" cm="1">
        <f t="array" ref="M135">IF($Q135&gt;=0,IFERROR(generateSalesData($D135, IF(ISNUMBER(_xlfn.XLOOKUP($C135,Phone_by_Sentiment!$B$2:$B$37,Phone_by_Sentiment!M$2:M$37,"",0,1)),_xlfn.XLOOKUP($C135,Phone_by_Sentiment!$B$2:$B$37,Phone_by_Sentiment!M$2:M$37,"",0,1),0),$A135-TEXT(DATEVALUE($D135&amp;"-01"), "dd-mm-yyyy")),0),0)</f>
        <v>0</v>
      </c>
      <c r="N135" cm="1">
        <f t="array" ref="N135">IF($Q135&gt;=0,IFERROR(generateSalesData($D135, IF(ISNUMBER(_xlfn.XLOOKUP($C135,Phone_by_Sentiment!$B$2:$B$37,Phone_by_Sentiment!N$2:N$37,"",0,1)),_xlfn.XLOOKUP($C135,Phone_by_Sentiment!$B$2:$B$37,Phone_by_Sentiment!N$2:N$37,"",0,1),0),$A135-TEXT(DATEVALUE($D135&amp;"-01"), "dd-mm-yyyy")),0),0)</f>
        <v>0</v>
      </c>
      <c r="O135" cm="1">
        <f t="array" ref="O135">IF($Q135&gt;=0,IFERROR(generateSalesData($D135, IF(ISNUMBER(_xlfn.XLOOKUP($C135,Phone_by_Sentiment!$B$2:$B$37,Phone_by_Sentiment!O$2:O$37,"",0,1)),_xlfn.XLOOKUP($C135,Phone_by_Sentiment!$B$2:$B$37,Phone_by_Sentiment!O$2:O$37,"",0,1),0),$A135-TEXT(DATEVALUE($D135&amp;"-01"), "dd-mm-yyyy")),0),0)</f>
        <v>0</v>
      </c>
      <c r="P135" s="1">
        <f t="shared" si="5"/>
        <v>43709</v>
      </c>
      <c r="Q135">
        <f t="shared" si="6"/>
        <v>-153</v>
      </c>
    </row>
    <row r="136" spans="1:17" x14ac:dyDescent="0.25">
      <c r="A136" s="1">
        <f t="shared" si="0"/>
        <v>43556</v>
      </c>
      <c r="B136" t="s">
        <v>143</v>
      </c>
      <c r="C136" t="str">
        <f>_xlfn.XLOOKUP(B136,Phone_by_Price!$A$2:$A$34,Phone_by_Price!$B$2:$B$34,"-",0,1)</f>
        <v>Samsung Galaxy S20 Ultra</v>
      </c>
      <c r="D136" t="str">
        <f>_xlfn.XLOOKUP(C136,Phone_by_Sentiment!$B$2:$B$37,Phone_by_Sentiment!$A$2:$A$37,"-",0,1)</f>
        <v>2020-02</v>
      </c>
      <c r="E136" cm="1">
        <f t="array" ref="E136">IF($Q136&gt;=0,IFERROR(generateSalesData($D136, IF(ISNUMBER(_xlfn.XLOOKUP($C136,Phone_by_Sentiment!$B$2:$B$37,Phone_by_Sentiment!E$2:E$37,"",0,1)),_xlfn.XLOOKUP($C136,Phone_by_Sentiment!$B$2:$B$37,Phone_by_Sentiment!E$2:E$37,"",0,1),0),$A136-TEXT(DATEVALUE($D136&amp;"-01"), "dd-mm-yyyy")),0),0)</f>
        <v>0</v>
      </c>
      <c r="F136" cm="1">
        <f t="array" ref="F136">IF($Q136&gt;=0,IFERROR(generateSalesData($D136, IF(ISNUMBER(_xlfn.XLOOKUP($C136,Phone_by_Sentiment!$B$2:$B$37,Phone_by_Sentiment!F$2:F$37,"",0,1)),_xlfn.XLOOKUP($C136,Phone_by_Sentiment!$B$2:$B$37,Phone_by_Sentiment!F$2:F$37,"",0,1),0),$A136-TEXT(DATEVALUE($D136&amp;"-01"), "dd-mm-yyyy")),0),0)</f>
        <v>0</v>
      </c>
      <c r="G136" cm="1">
        <f t="array" ref="G136">IF($Q136&gt;=0,IFERROR(generateSalesData($D136, IF(ISNUMBER(_xlfn.XLOOKUP($C136,Phone_by_Sentiment!$B$2:$B$37,Phone_by_Sentiment!G$2:G$37,"",0,1)),_xlfn.XLOOKUP($C136,Phone_by_Sentiment!$B$2:$B$37,Phone_by_Sentiment!G$2:G$37,"",0,1),0),$A136-TEXT(DATEVALUE($D136&amp;"-01"), "dd-mm-yyyy")),0),0)</f>
        <v>0</v>
      </c>
      <c r="H136" cm="1">
        <f t="array" ref="H136">IF($Q136&gt;=0,IFERROR(generateSalesData($D136, IF(ISNUMBER(_xlfn.XLOOKUP($C136,Phone_by_Sentiment!$B$2:$B$37,Phone_by_Sentiment!H$2:H$37,"",0,1)),_xlfn.XLOOKUP($C136,Phone_by_Sentiment!$B$2:$B$37,Phone_by_Sentiment!H$2:H$37,"",0,1),0),$A136-TEXT(DATEVALUE($D136&amp;"-01"), "dd-mm-yyyy")),0),0)</f>
        <v>0</v>
      </c>
      <c r="I136" cm="1">
        <f t="array" ref="I136">IF($Q136&gt;=0,IFERROR(generateSalesData($D136, IF(ISNUMBER(_xlfn.XLOOKUP($C136,Phone_by_Sentiment!$B$2:$B$37,Phone_by_Sentiment!I$2:I$37,"",0,1)),_xlfn.XLOOKUP($C136,Phone_by_Sentiment!$B$2:$B$37,Phone_by_Sentiment!I$2:I$37,"",0,1),0),$A136-TEXT(DATEVALUE($D136&amp;"-01"), "dd-mm-yyyy")),0),0)</f>
        <v>0</v>
      </c>
      <c r="J136" cm="1">
        <f t="array" ref="J136">IF($Q136&gt;=0,IFERROR(generateSalesData($D136, IF(ISNUMBER(_xlfn.XLOOKUP($C136,Phone_by_Sentiment!$B$2:$B$37,Phone_by_Sentiment!J$2:J$37,"",0,1)),_xlfn.XLOOKUP($C136,Phone_by_Sentiment!$B$2:$B$37,Phone_by_Sentiment!J$2:J$37,"",0,1),0),$A136-TEXT(DATEVALUE($D136&amp;"-01"), "dd-mm-yyyy")),0),0)</f>
        <v>0</v>
      </c>
      <c r="K136" cm="1">
        <f t="array" ref="K136">IF($Q136&gt;=0,IFERROR(generateSalesData($D136, IF(ISNUMBER(_xlfn.XLOOKUP($C136,Phone_by_Sentiment!$B$2:$B$37,Phone_by_Sentiment!K$2:K$37,"",0,1)),_xlfn.XLOOKUP($C136,Phone_by_Sentiment!$B$2:$B$37,Phone_by_Sentiment!K$2:K$37,"",0,1),0),$A136-TEXT(DATEVALUE($D136&amp;"-01"), "dd-mm-yyyy")),0),0)</f>
        <v>0</v>
      </c>
      <c r="L136" cm="1">
        <f t="array" ref="L136">IF($Q136&gt;=0,IFERROR(generateSalesData($D136, IF(ISNUMBER(_xlfn.XLOOKUP($C136,Phone_by_Sentiment!$B$2:$B$37,Phone_by_Sentiment!L$2:L$37,"",0,1)),_xlfn.XLOOKUP($C136,Phone_by_Sentiment!$B$2:$B$37,Phone_by_Sentiment!L$2:L$37,"",0,1),0),$A136-TEXT(DATEVALUE($D136&amp;"-01"), "dd-mm-yyyy")),0),0)</f>
        <v>0</v>
      </c>
      <c r="M136" cm="1">
        <f t="array" ref="M136">IF($Q136&gt;=0,IFERROR(generateSalesData($D136, IF(ISNUMBER(_xlfn.XLOOKUP($C136,Phone_by_Sentiment!$B$2:$B$37,Phone_by_Sentiment!M$2:M$37,"",0,1)),_xlfn.XLOOKUP($C136,Phone_by_Sentiment!$B$2:$B$37,Phone_by_Sentiment!M$2:M$37,"",0,1),0),$A136-TEXT(DATEVALUE($D136&amp;"-01"), "dd-mm-yyyy")),0),0)</f>
        <v>0</v>
      </c>
      <c r="N136" cm="1">
        <f t="array" ref="N136">IF($Q136&gt;=0,IFERROR(generateSalesData($D136, IF(ISNUMBER(_xlfn.XLOOKUP($C136,Phone_by_Sentiment!$B$2:$B$37,Phone_by_Sentiment!N$2:N$37,"",0,1)),_xlfn.XLOOKUP($C136,Phone_by_Sentiment!$B$2:$B$37,Phone_by_Sentiment!N$2:N$37,"",0,1),0),$A136-TEXT(DATEVALUE($D136&amp;"-01"), "dd-mm-yyyy")),0),0)</f>
        <v>0</v>
      </c>
      <c r="O136" cm="1">
        <f t="array" ref="O136">IF($Q136&gt;=0,IFERROR(generateSalesData($D136, IF(ISNUMBER(_xlfn.XLOOKUP($C136,Phone_by_Sentiment!$B$2:$B$37,Phone_by_Sentiment!O$2:O$37,"",0,1)),_xlfn.XLOOKUP($C136,Phone_by_Sentiment!$B$2:$B$37,Phone_by_Sentiment!O$2:O$37,"",0,1),0),$A136-TEXT(DATEVALUE($D136&amp;"-01"), "dd-mm-yyyy")),0),0)</f>
        <v>0</v>
      </c>
      <c r="P136" s="1">
        <f t="shared" si="5"/>
        <v>43862</v>
      </c>
      <c r="Q136">
        <f t="shared" si="6"/>
        <v>-306</v>
      </c>
    </row>
    <row r="137" spans="1:17" x14ac:dyDescent="0.25">
      <c r="A137" s="1">
        <f t="shared" si="0"/>
        <v>43556</v>
      </c>
      <c r="B137" t="s">
        <v>144</v>
      </c>
      <c r="C137" t="str">
        <f>_xlfn.XLOOKUP(B137,Phone_by_Price!$A$2:$A$34,Phone_by_Price!$B$2:$B$34,"-",0,1)</f>
        <v>Xiaomi Redmi Note 10</v>
      </c>
      <c r="D137" t="str">
        <f>_xlfn.XLOOKUP(C137,Phone_by_Sentiment!$B$2:$B$37,Phone_by_Sentiment!$A$2:$A$37,"-",0,1)</f>
        <v>2021-03</v>
      </c>
      <c r="E137" cm="1">
        <f t="array" ref="E137">IF($Q137&gt;=0,IFERROR(generateSalesData($D137, IF(ISNUMBER(_xlfn.XLOOKUP($C137,Phone_by_Sentiment!$B$2:$B$37,Phone_by_Sentiment!E$2:E$37,"",0,1)),_xlfn.XLOOKUP($C137,Phone_by_Sentiment!$B$2:$B$37,Phone_by_Sentiment!E$2:E$37,"",0,1),0),$A137-TEXT(DATEVALUE($D137&amp;"-01"), "dd-mm-yyyy")),0),0)</f>
        <v>0</v>
      </c>
      <c r="F137" cm="1">
        <f t="array" ref="F137">IF($Q137&gt;=0,IFERROR(generateSalesData($D137, IF(ISNUMBER(_xlfn.XLOOKUP($C137,Phone_by_Sentiment!$B$2:$B$37,Phone_by_Sentiment!F$2:F$37,"",0,1)),_xlfn.XLOOKUP($C137,Phone_by_Sentiment!$B$2:$B$37,Phone_by_Sentiment!F$2:F$37,"",0,1),0),$A137-TEXT(DATEVALUE($D137&amp;"-01"), "dd-mm-yyyy")),0),0)</f>
        <v>0</v>
      </c>
      <c r="G137" cm="1">
        <f t="array" ref="G137">IF($Q137&gt;=0,IFERROR(generateSalesData($D137, IF(ISNUMBER(_xlfn.XLOOKUP($C137,Phone_by_Sentiment!$B$2:$B$37,Phone_by_Sentiment!G$2:G$37,"",0,1)),_xlfn.XLOOKUP($C137,Phone_by_Sentiment!$B$2:$B$37,Phone_by_Sentiment!G$2:G$37,"",0,1),0),$A137-TEXT(DATEVALUE($D137&amp;"-01"), "dd-mm-yyyy")),0),0)</f>
        <v>0</v>
      </c>
      <c r="H137" cm="1">
        <f t="array" ref="H137">IF($Q137&gt;=0,IFERROR(generateSalesData($D137, IF(ISNUMBER(_xlfn.XLOOKUP($C137,Phone_by_Sentiment!$B$2:$B$37,Phone_by_Sentiment!H$2:H$37,"",0,1)),_xlfn.XLOOKUP($C137,Phone_by_Sentiment!$B$2:$B$37,Phone_by_Sentiment!H$2:H$37,"",0,1),0),$A137-TEXT(DATEVALUE($D137&amp;"-01"), "dd-mm-yyyy")),0),0)</f>
        <v>0</v>
      </c>
      <c r="I137" cm="1">
        <f t="array" ref="I137">IF($Q137&gt;=0,IFERROR(generateSalesData($D137, IF(ISNUMBER(_xlfn.XLOOKUP($C137,Phone_by_Sentiment!$B$2:$B$37,Phone_by_Sentiment!I$2:I$37,"",0,1)),_xlfn.XLOOKUP($C137,Phone_by_Sentiment!$B$2:$B$37,Phone_by_Sentiment!I$2:I$37,"",0,1),0),$A137-TEXT(DATEVALUE($D137&amp;"-01"), "dd-mm-yyyy")),0),0)</f>
        <v>0</v>
      </c>
      <c r="J137" cm="1">
        <f t="array" ref="J137">IF($Q137&gt;=0,IFERROR(generateSalesData($D137, IF(ISNUMBER(_xlfn.XLOOKUP($C137,Phone_by_Sentiment!$B$2:$B$37,Phone_by_Sentiment!J$2:J$37,"",0,1)),_xlfn.XLOOKUP($C137,Phone_by_Sentiment!$B$2:$B$37,Phone_by_Sentiment!J$2:J$37,"",0,1),0),$A137-TEXT(DATEVALUE($D137&amp;"-01"), "dd-mm-yyyy")),0),0)</f>
        <v>0</v>
      </c>
      <c r="K137" cm="1">
        <f t="array" ref="K137">IF($Q137&gt;=0,IFERROR(generateSalesData($D137, IF(ISNUMBER(_xlfn.XLOOKUP($C137,Phone_by_Sentiment!$B$2:$B$37,Phone_by_Sentiment!K$2:K$37,"",0,1)),_xlfn.XLOOKUP($C137,Phone_by_Sentiment!$B$2:$B$37,Phone_by_Sentiment!K$2:K$37,"",0,1),0),$A137-TEXT(DATEVALUE($D137&amp;"-01"), "dd-mm-yyyy")),0),0)</f>
        <v>0</v>
      </c>
      <c r="L137" cm="1">
        <f t="array" ref="L137">IF($Q137&gt;=0,IFERROR(generateSalesData($D137, IF(ISNUMBER(_xlfn.XLOOKUP($C137,Phone_by_Sentiment!$B$2:$B$37,Phone_by_Sentiment!L$2:L$37,"",0,1)),_xlfn.XLOOKUP($C137,Phone_by_Sentiment!$B$2:$B$37,Phone_by_Sentiment!L$2:L$37,"",0,1),0),$A137-TEXT(DATEVALUE($D137&amp;"-01"), "dd-mm-yyyy")),0),0)</f>
        <v>0</v>
      </c>
      <c r="M137" cm="1">
        <f t="array" ref="M137">IF($Q137&gt;=0,IFERROR(generateSalesData($D137, IF(ISNUMBER(_xlfn.XLOOKUP($C137,Phone_by_Sentiment!$B$2:$B$37,Phone_by_Sentiment!M$2:M$37,"",0,1)),_xlfn.XLOOKUP($C137,Phone_by_Sentiment!$B$2:$B$37,Phone_by_Sentiment!M$2:M$37,"",0,1),0),$A137-TEXT(DATEVALUE($D137&amp;"-01"), "dd-mm-yyyy")),0),0)</f>
        <v>0</v>
      </c>
      <c r="N137" cm="1">
        <f t="array" ref="N137">IF($Q137&gt;=0,IFERROR(generateSalesData($D137, IF(ISNUMBER(_xlfn.XLOOKUP($C137,Phone_by_Sentiment!$B$2:$B$37,Phone_by_Sentiment!N$2:N$37,"",0,1)),_xlfn.XLOOKUP($C137,Phone_by_Sentiment!$B$2:$B$37,Phone_by_Sentiment!N$2:N$37,"",0,1),0),$A137-TEXT(DATEVALUE($D137&amp;"-01"), "dd-mm-yyyy")),0),0)</f>
        <v>0</v>
      </c>
      <c r="O137" cm="1">
        <f t="array" ref="O137">IF($Q137&gt;=0,IFERROR(generateSalesData($D137, IF(ISNUMBER(_xlfn.XLOOKUP($C137,Phone_by_Sentiment!$B$2:$B$37,Phone_by_Sentiment!O$2:O$37,"",0,1)),_xlfn.XLOOKUP($C137,Phone_by_Sentiment!$B$2:$B$37,Phone_by_Sentiment!O$2:O$37,"",0,1),0),$A137-TEXT(DATEVALUE($D137&amp;"-01"), "dd-mm-yyyy")),0),0)</f>
        <v>0</v>
      </c>
      <c r="P137" s="1">
        <f t="shared" si="5"/>
        <v>44256</v>
      </c>
      <c r="Q137">
        <f t="shared" si="6"/>
        <v>-700</v>
      </c>
    </row>
    <row r="138" spans="1:17" x14ac:dyDescent="0.25">
      <c r="A138" s="1">
        <f t="shared" si="0"/>
        <v>43556</v>
      </c>
      <c r="B138" t="s">
        <v>145</v>
      </c>
      <c r="C138" t="str">
        <f>_xlfn.XLOOKUP(B138,Phone_by_Price!$A$2:$A$34,Phone_by_Price!$B$2:$B$34,"-",0,1)</f>
        <v>OPPO A54</v>
      </c>
      <c r="D138" t="str">
        <f>_xlfn.XLOOKUP(C138,Phone_by_Sentiment!$B$2:$B$37,Phone_by_Sentiment!$A$2:$A$37,"-",0,1)</f>
        <v>2021-04</v>
      </c>
      <c r="E138" cm="1">
        <f t="array" ref="E138">IF($Q138&gt;=0,IFERROR(generateSalesData($D138, IF(ISNUMBER(_xlfn.XLOOKUP($C138,Phone_by_Sentiment!$B$2:$B$37,Phone_by_Sentiment!E$2:E$37,"",0,1)),_xlfn.XLOOKUP($C138,Phone_by_Sentiment!$B$2:$B$37,Phone_by_Sentiment!E$2:E$37,"",0,1),0),$A138-TEXT(DATEVALUE($D138&amp;"-01"), "dd-mm-yyyy")),0),0)</f>
        <v>0</v>
      </c>
      <c r="F138" cm="1">
        <f t="array" ref="F138">IF($Q138&gt;=0,IFERROR(generateSalesData($D138, IF(ISNUMBER(_xlfn.XLOOKUP($C138,Phone_by_Sentiment!$B$2:$B$37,Phone_by_Sentiment!F$2:F$37,"",0,1)),_xlfn.XLOOKUP($C138,Phone_by_Sentiment!$B$2:$B$37,Phone_by_Sentiment!F$2:F$37,"",0,1),0),$A138-TEXT(DATEVALUE($D138&amp;"-01"), "dd-mm-yyyy")),0),0)</f>
        <v>0</v>
      </c>
      <c r="G138" cm="1">
        <f t="array" ref="G138">IF($Q138&gt;=0,IFERROR(generateSalesData($D138, IF(ISNUMBER(_xlfn.XLOOKUP($C138,Phone_by_Sentiment!$B$2:$B$37,Phone_by_Sentiment!G$2:G$37,"",0,1)),_xlfn.XLOOKUP($C138,Phone_by_Sentiment!$B$2:$B$37,Phone_by_Sentiment!G$2:G$37,"",0,1),0),$A138-TEXT(DATEVALUE($D138&amp;"-01"), "dd-mm-yyyy")),0),0)</f>
        <v>0</v>
      </c>
      <c r="H138" cm="1">
        <f t="array" ref="H138">IF($Q138&gt;=0,IFERROR(generateSalesData($D138, IF(ISNUMBER(_xlfn.XLOOKUP($C138,Phone_by_Sentiment!$B$2:$B$37,Phone_by_Sentiment!H$2:H$37,"",0,1)),_xlfn.XLOOKUP($C138,Phone_by_Sentiment!$B$2:$B$37,Phone_by_Sentiment!H$2:H$37,"",0,1),0),$A138-TEXT(DATEVALUE($D138&amp;"-01"), "dd-mm-yyyy")),0),0)</f>
        <v>0</v>
      </c>
      <c r="I138" cm="1">
        <f t="array" ref="I138">IF($Q138&gt;=0,IFERROR(generateSalesData($D138, IF(ISNUMBER(_xlfn.XLOOKUP($C138,Phone_by_Sentiment!$B$2:$B$37,Phone_by_Sentiment!I$2:I$37,"",0,1)),_xlfn.XLOOKUP($C138,Phone_by_Sentiment!$B$2:$B$37,Phone_by_Sentiment!I$2:I$37,"",0,1),0),$A138-TEXT(DATEVALUE($D138&amp;"-01"), "dd-mm-yyyy")),0),0)</f>
        <v>0</v>
      </c>
      <c r="J138" cm="1">
        <f t="array" ref="J138">IF($Q138&gt;=0,IFERROR(generateSalesData($D138, IF(ISNUMBER(_xlfn.XLOOKUP($C138,Phone_by_Sentiment!$B$2:$B$37,Phone_by_Sentiment!J$2:J$37,"",0,1)),_xlfn.XLOOKUP($C138,Phone_by_Sentiment!$B$2:$B$37,Phone_by_Sentiment!J$2:J$37,"",0,1),0),$A138-TEXT(DATEVALUE($D138&amp;"-01"), "dd-mm-yyyy")),0),0)</f>
        <v>0</v>
      </c>
      <c r="K138" cm="1">
        <f t="array" ref="K138">IF($Q138&gt;=0,IFERROR(generateSalesData($D138, IF(ISNUMBER(_xlfn.XLOOKUP($C138,Phone_by_Sentiment!$B$2:$B$37,Phone_by_Sentiment!K$2:K$37,"",0,1)),_xlfn.XLOOKUP($C138,Phone_by_Sentiment!$B$2:$B$37,Phone_by_Sentiment!K$2:K$37,"",0,1),0),$A138-TEXT(DATEVALUE($D138&amp;"-01"), "dd-mm-yyyy")),0),0)</f>
        <v>0</v>
      </c>
      <c r="L138" cm="1">
        <f t="array" ref="L138">IF($Q138&gt;=0,IFERROR(generateSalesData($D138, IF(ISNUMBER(_xlfn.XLOOKUP($C138,Phone_by_Sentiment!$B$2:$B$37,Phone_by_Sentiment!L$2:L$37,"",0,1)),_xlfn.XLOOKUP($C138,Phone_by_Sentiment!$B$2:$B$37,Phone_by_Sentiment!L$2:L$37,"",0,1),0),$A138-TEXT(DATEVALUE($D138&amp;"-01"), "dd-mm-yyyy")),0),0)</f>
        <v>0</v>
      </c>
      <c r="M138" cm="1">
        <f t="array" ref="M138">IF($Q138&gt;=0,IFERROR(generateSalesData($D138, IF(ISNUMBER(_xlfn.XLOOKUP($C138,Phone_by_Sentiment!$B$2:$B$37,Phone_by_Sentiment!M$2:M$37,"",0,1)),_xlfn.XLOOKUP($C138,Phone_by_Sentiment!$B$2:$B$37,Phone_by_Sentiment!M$2:M$37,"",0,1),0),$A138-TEXT(DATEVALUE($D138&amp;"-01"), "dd-mm-yyyy")),0),0)</f>
        <v>0</v>
      </c>
      <c r="N138" cm="1">
        <f t="array" ref="N138">IF($Q138&gt;=0,IFERROR(generateSalesData($D138, IF(ISNUMBER(_xlfn.XLOOKUP($C138,Phone_by_Sentiment!$B$2:$B$37,Phone_by_Sentiment!N$2:N$37,"",0,1)),_xlfn.XLOOKUP($C138,Phone_by_Sentiment!$B$2:$B$37,Phone_by_Sentiment!N$2:N$37,"",0,1),0),$A138-TEXT(DATEVALUE($D138&amp;"-01"), "dd-mm-yyyy")),0),0)</f>
        <v>0</v>
      </c>
      <c r="O138" cm="1">
        <f t="array" ref="O138">IF($Q138&gt;=0,IFERROR(generateSalesData($D138, IF(ISNUMBER(_xlfn.XLOOKUP($C138,Phone_by_Sentiment!$B$2:$B$37,Phone_by_Sentiment!O$2:O$37,"",0,1)),_xlfn.XLOOKUP($C138,Phone_by_Sentiment!$B$2:$B$37,Phone_by_Sentiment!O$2:O$37,"",0,1),0),$A138-TEXT(DATEVALUE($D138&amp;"-01"), "dd-mm-yyyy")),0),0)</f>
        <v>0</v>
      </c>
      <c r="P138" s="1">
        <f t="shared" si="5"/>
        <v>44287</v>
      </c>
      <c r="Q138">
        <f t="shared" si="6"/>
        <v>-731</v>
      </c>
    </row>
    <row r="139" spans="1:17" x14ac:dyDescent="0.25">
      <c r="A139" s="1">
        <f t="shared" si="0"/>
        <v>43556</v>
      </c>
      <c r="B139" t="s">
        <v>146</v>
      </c>
      <c r="C139" t="str">
        <f>_xlfn.XLOOKUP(B139,Phone_by_Price!$A$2:$A$34,Phone_by_Price!$B$2:$B$34,"-",0,1)</f>
        <v>Vivo Y20</v>
      </c>
      <c r="D139" t="str">
        <f>_xlfn.XLOOKUP(C139,Phone_by_Sentiment!$B$2:$B$37,Phone_by_Sentiment!$A$2:$A$37,"-",0,1)</f>
        <v>2020-09</v>
      </c>
      <c r="E139" cm="1">
        <f t="array" ref="E139">IF($Q139&gt;=0,IFERROR(generateSalesData($D139, IF(ISNUMBER(_xlfn.XLOOKUP($C139,Phone_by_Sentiment!$B$2:$B$37,Phone_by_Sentiment!E$2:E$37,"",0,1)),_xlfn.XLOOKUP($C139,Phone_by_Sentiment!$B$2:$B$37,Phone_by_Sentiment!E$2:E$37,"",0,1),0),$A139-TEXT(DATEVALUE($D139&amp;"-01"), "dd-mm-yyyy")),0),0)</f>
        <v>0</v>
      </c>
      <c r="F139" cm="1">
        <f t="array" ref="F139">IF($Q139&gt;=0,IFERROR(generateSalesData($D139, IF(ISNUMBER(_xlfn.XLOOKUP($C139,Phone_by_Sentiment!$B$2:$B$37,Phone_by_Sentiment!F$2:F$37,"",0,1)),_xlfn.XLOOKUP($C139,Phone_by_Sentiment!$B$2:$B$37,Phone_by_Sentiment!F$2:F$37,"",0,1),0),$A139-TEXT(DATEVALUE($D139&amp;"-01"), "dd-mm-yyyy")),0),0)</f>
        <v>0</v>
      </c>
      <c r="G139" cm="1">
        <f t="array" ref="G139">IF($Q139&gt;=0,IFERROR(generateSalesData($D139, IF(ISNUMBER(_xlfn.XLOOKUP($C139,Phone_by_Sentiment!$B$2:$B$37,Phone_by_Sentiment!G$2:G$37,"",0,1)),_xlfn.XLOOKUP($C139,Phone_by_Sentiment!$B$2:$B$37,Phone_by_Sentiment!G$2:G$37,"",0,1),0),$A139-TEXT(DATEVALUE($D139&amp;"-01"), "dd-mm-yyyy")),0),0)</f>
        <v>0</v>
      </c>
      <c r="H139" cm="1">
        <f t="array" ref="H139">IF($Q139&gt;=0,IFERROR(generateSalesData($D139, IF(ISNUMBER(_xlfn.XLOOKUP($C139,Phone_by_Sentiment!$B$2:$B$37,Phone_by_Sentiment!H$2:H$37,"",0,1)),_xlfn.XLOOKUP($C139,Phone_by_Sentiment!$B$2:$B$37,Phone_by_Sentiment!H$2:H$37,"",0,1),0),$A139-TEXT(DATEVALUE($D139&amp;"-01"), "dd-mm-yyyy")),0),0)</f>
        <v>0</v>
      </c>
      <c r="I139" cm="1">
        <f t="array" ref="I139">IF($Q139&gt;=0,IFERROR(generateSalesData($D139, IF(ISNUMBER(_xlfn.XLOOKUP($C139,Phone_by_Sentiment!$B$2:$B$37,Phone_by_Sentiment!I$2:I$37,"",0,1)),_xlfn.XLOOKUP($C139,Phone_by_Sentiment!$B$2:$B$37,Phone_by_Sentiment!I$2:I$37,"",0,1),0),$A139-TEXT(DATEVALUE($D139&amp;"-01"), "dd-mm-yyyy")),0),0)</f>
        <v>0</v>
      </c>
      <c r="J139" cm="1">
        <f t="array" ref="J139">IF($Q139&gt;=0,IFERROR(generateSalesData($D139, IF(ISNUMBER(_xlfn.XLOOKUP($C139,Phone_by_Sentiment!$B$2:$B$37,Phone_by_Sentiment!J$2:J$37,"",0,1)),_xlfn.XLOOKUP($C139,Phone_by_Sentiment!$B$2:$B$37,Phone_by_Sentiment!J$2:J$37,"",0,1),0),$A139-TEXT(DATEVALUE($D139&amp;"-01"), "dd-mm-yyyy")),0),0)</f>
        <v>0</v>
      </c>
      <c r="K139" cm="1">
        <f t="array" ref="K139">IF($Q139&gt;=0,IFERROR(generateSalesData($D139, IF(ISNUMBER(_xlfn.XLOOKUP($C139,Phone_by_Sentiment!$B$2:$B$37,Phone_by_Sentiment!K$2:K$37,"",0,1)),_xlfn.XLOOKUP($C139,Phone_by_Sentiment!$B$2:$B$37,Phone_by_Sentiment!K$2:K$37,"",0,1),0),$A139-TEXT(DATEVALUE($D139&amp;"-01"), "dd-mm-yyyy")),0),0)</f>
        <v>0</v>
      </c>
      <c r="L139" cm="1">
        <f t="array" ref="L139">IF($Q139&gt;=0,IFERROR(generateSalesData($D139, IF(ISNUMBER(_xlfn.XLOOKUP($C139,Phone_by_Sentiment!$B$2:$B$37,Phone_by_Sentiment!L$2:L$37,"",0,1)),_xlfn.XLOOKUP($C139,Phone_by_Sentiment!$B$2:$B$37,Phone_by_Sentiment!L$2:L$37,"",0,1),0),$A139-TEXT(DATEVALUE($D139&amp;"-01"), "dd-mm-yyyy")),0),0)</f>
        <v>0</v>
      </c>
      <c r="M139" cm="1">
        <f t="array" ref="M139">IF($Q139&gt;=0,IFERROR(generateSalesData($D139, IF(ISNUMBER(_xlfn.XLOOKUP($C139,Phone_by_Sentiment!$B$2:$B$37,Phone_by_Sentiment!M$2:M$37,"",0,1)),_xlfn.XLOOKUP($C139,Phone_by_Sentiment!$B$2:$B$37,Phone_by_Sentiment!M$2:M$37,"",0,1),0),$A139-TEXT(DATEVALUE($D139&amp;"-01"), "dd-mm-yyyy")),0),0)</f>
        <v>0</v>
      </c>
      <c r="N139" cm="1">
        <f t="array" ref="N139">IF($Q139&gt;=0,IFERROR(generateSalesData($D139, IF(ISNUMBER(_xlfn.XLOOKUP($C139,Phone_by_Sentiment!$B$2:$B$37,Phone_by_Sentiment!N$2:N$37,"",0,1)),_xlfn.XLOOKUP($C139,Phone_by_Sentiment!$B$2:$B$37,Phone_by_Sentiment!N$2:N$37,"",0,1),0),$A139-TEXT(DATEVALUE($D139&amp;"-01"), "dd-mm-yyyy")),0),0)</f>
        <v>0</v>
      </c>
      <c r="O139" cm="1">
        <f t="array" ref="O139">IF($Q139&gt;=0,IFERROR(generateSalesData($D139, IF(ISNUMBER(_xlfn.XLOOKUP($C139,Phone_by_Sentiment!$B$2:$B$37,Phone_by_Sentiment!O$2:O$37,"",0,1)),_xlfn.XLOOKUP($C139,Phone_by_Sentiment!$B$2:$B$37,Phone_by_Sentiment!O$2:O$37,"",0,1),0),$A139-TEXT(DATEVALUE($D139&amp;"-01"), "dd-mm-yyyy")),0),0)</f>
        <v>0</v>
      </c>
      <c r="P139" s="1">
        <f t="shared" si="5"/>
        <v>44075</v>
      </c>
      <c r="Q139">
        <f t="shared" si="6"/>
        <v>-519</v>
      </c>
    </row>
    <row r="140" spans="1:17" x14ac:dyDescent="0.25">
      <c r="A140" s="1">
        <f t="shared" si="0"/>
        <v>43556</v>
      </c>
      <c r="B140" t="s">
        <v>147</v>
      </c>
      <c r="C140" t="str">
        <f>_xlfn.XLOOKUP(B140,Phone_by_Price!$A$2:$A$34,Phone_by_Price!$B$2:$B$34,"-",0,1)</f>
        <v>Huawei Y9a</v>
      </c>
      <c r="D140" t="str">
        <f>_xlfn.XLOOKUP(C140,Phone_by_Sentiment!$B$2:$B$37,Phone_by_Sentiment!$A$2:$A$37,"-",0,1)</f>
        <v>2020-02</v>
      </c>
      <c r="E140" cm="1">
        <f t="array" ref="E140">IF($Q140&gt;=0,IFERROR(generateSalesData($D140, IF(ISNUMBER(_xlfn.XLOOKUP($C140,Phone_by_Sentiment!$B$2:$B$37,Phone_by_Sentiment!E$2:E$37,"",0,1)),_xlfn.XLOOKUP($C140,Phone_by_Sentiment!$B$2:$B$37,Phone_by_Sentiment!E$2:E$37,"",0,1),0),$A140-TEXT(DATEVALUE($D140&amp;"-01"), "dd-mm-yyyy")),0),0)</f>
        <v>0</v>
      </c>
      <c r="F140" cm="1">
        <f t="array" ref="F140">IF($Q140&gt;=0,IFERROR(generateSalesData($D140, IF(ISNUMBER(_xlfn.XLOOKUP($C140,Phone_by_Sentiment!$B$2:$B$37,Phone_by_Sentiment!F$2:F$37,"",0,1)),_xlfn.XLOOKUP($C140,Phone_by_Sentiment!$B$2:$B$37,Phone_by_Sentiment!F$2:F$37,"",0,1),0),$A140-TEXT(DATEVALUE($D140&amp;"-01"), "dd-mm-yyyy")),0),0)</f>
        <v>0</v>
      </c>
      <c r="G140" cm="1">
        <f t="array" ref="G140">IF($Q140&gt;=0,IFERROR(generateSalesData($D140, IF(ISNUMBER(_xlfn.XLOOKUP($C140,Phone_by_Sentiment!$B$2:$B$37,Phone_by_Sentiment!G$2:G$37,"",0,1)),_xlfn.XLOOKUP($C140,Phone_by_Sentiment!$B$2:$B$37,Phone_by_Sentiment!G$2:G$37,"",0,1),0),$A140-TEXT(DATEVALUE($D140&amp;"-01"), "dd-mm-yyyy")),0),0)</f>
        <v>0</v>
      </c>
      <c r="H140" cm="1">
        <f t="array" ref="H140">IF($Q140&gt;=0,IFERROR(generateSalesData($D140, IF(ISNUMBER(_xlfn.XLOOKUP($C140,Phone_by_Sentiment!$B$2:$B$37,Phone_by_Sentiment!H$2:H$37,"",0,1)),_xlfn.XLOOKUP($C140,Phone_by_Sentiment!$B$2:$B$37,Phone_by_Sentiment!H$2:H$37,"",0,1),0),$A140-TEXT(DATEVALUE($D140&amp;"-01"), "dd-mm-yyyy")),0),0)</f>
        <v>0</v>
      </c>
      <c r="I140" cm="1">
        <f t="array" ref="I140">IF($Q140&gt;=0,IFERROR(generateSalesData($D140, IF(ISNUMBER(_xlfn.XLOOKUP($C140,Phone_by_Sentiment!$B$2:$B$37,Phone_by_Sentiment!I$2:I$37,"",0,1)),_xlfn.XLOOKUP($C140,Phone_by_Sentiment!$B$2:$B$37,Phone_by_Sentiment!I$2:I$37,"",0,1),0),$A140-TEXT(DATEVALUE($D140&amp;"-01"), "dd-mm-yyyy")),0),0)</f>
        <v>0</v>
      </c>
      <c r="J140" cm="1">
        <f t="array" ref="J140">IF($Q140&gt;=0,IFERROR(generateSalesData($D140, IF(ISNUMBER(_xlfn.XLOOKUP($C140,Phone_by_Sentiment!$B$2:$B$37,Phone_by_Sentiment!J$2:J$37,"",0,1)),_xlfn.XLOOKUP($C140,Phone_by_Sentiment!$B$2:$B$37,Phone_by_Sentiment!J$2:J$37,"",0,1),0),$A140-TEXT(DATEVALUE($D140&amp;"-01"), "dd-mm-yyyy")),0),0)</f>
        <v>0</v>
      </c>
      <c r="K140" cm="1">
        <f t="array" ref="K140">IF($Q140&gt;=0,IFERROR(generateSalesData($D140, IF(ISNUMBER(_xlfn.XLOOKUP($C140,Phone_by_Sentiment!$B$2:$B$37,Phone_by_Sentiment!K$2:K$37,"",0,1)),_xlfn.XLOOKUP($C140,Phone_by_Sentiment!$B$2:$B$37,Phone_by_Sentiment!K$2:K$37,"",0,1),0),$A140-TEXT(DATEVALUE($D140&amp;"-01"), "dd-mm-yyyy")),0),0)</f>
        <v>0</v>
      </c>
      <c r="L140" cm="1">
        <f t="array" ref="L140">IF($Q140&gt;=0,IFERROR(generateSalesData($D140, IF(ISNUMBER(_xlfn.XLOOKUP($C140,Phone_by_Sentiment!$B$2:$B$37,Phone_by_Sentiment!L$2:L$37,"",0,1)),_xlfn.XLOOKUP($C140,Phone_by_Sentiment!$B$2:$B$37,Phone_by_Sentiment!L$2:L$37,"",0,1),0),$A140-TEXT(DATEVALUE($D140&amp;"-01"), "dd-mm-yyyy")),0),0)</f>
        <v>0</v>
      </c>
      <c r="M140" cm="1">
        <f t="array" ref="M140">IF($Q140&gt;=0,IFERROR(generateSalesData($D140, IF(ISNUMBER(_xlfn.XLOOKUP($C140,Phone_by_Sentiment!$B$2:$B$37,Phone_by_Sentiment!M$2:M$37,"",0,1)),_xlfn.XLOOKUP($C140,Phone_by_Sentiment!$B$2:$B$37,Phone_by_Sentiment!M$2:M$37,"",0,1),0),$A140-TEXT(DATEVALUE($D140&amp;"-01"), "dd-mm-yyyy")),0),0)</f>
        <v>0</v>
      </c>
      <c r="N140" cm="1">
        <f t="array" ref="N140">IF($Q140&gt;=0,IFERROR(generateSalesData($D140, IF(ISNUMBER(_xlfn.XLOOKUP($C140,Phone_by_Sentiment!$B$2:$B$37,Phone_by_Sentiment!N$2:N$37,"",0,1)),_xlfn.XLOOKUP($C140,Phone_by_Sentiment!$B$2:$B$37,Phone_by_Sentiment!N$2:N$37,"",0,1),0),$A140-TEXT(DATEVALUE($D140&amp;"-01"), "dd-mm-yyyy")),0),0)</f>
        <v>0</v>
      </c>
      <c r="O140" cm="1">
        <f t="array" ref="O140">IF($Q140&gt;=0,IFERROR(generateSalesData($D140, IF(ISNUMBER(_xlfn.XLOOKUP($C140,Phone_by_Sentiment!$B$2:$B$37,Phone_by_Sentiment!O$2:O$37,"",0,1)),_xlfn.XLOOKUP($C140,Phone_by_Sentiment!$B$2:$B$37,Phone_by_Sentiment!O$2:O$37,"",0,1),0),$A140-TEXT(DATEVALUE($D140&amp;"-01"), "dd-mm-yyyy")),0),0)</f>
        <v>0</v>
      </c>
      <c r="P140" s="1">
        <f t="shared" si="5"/>
        <v>43862</v>
      </c>
      <c r="Q140">
        <f t="shared" si="6"/>
        <v>-306</v>
      </c>
    </row>
    <row r="141" spans="1:17" x14ac:dyDescent="0.25">
      <c r="A141" s="1">
        <f t="shared" si="0"/>
        <v>43586</v>
      </c>
      <c r="B141" t="s">
        <v>148</v>
      </c>
      <c r="C141" t="str">
        <f>_xlfn.XLOOKUP(B141,Phone_by_Price!$A$2:$A$34,Phone_by_Price!$B$2:$B$34,"-",0,1)</f>
        <v>Xiaomi Redmi 10</v>
      </c>
      <c r="D141" t="str">
        <f>_xlfn.XLOOKUP(C141,Phone_by_Sentiment!$B$2:$B$37,Phone_by_Sentiment!$A$2:$A$37,"-",0,1)</f>
        <v>2021-03</v>
      </c>
      <c r="E141" cm="1">
        <f t="array" ref="E141">IF($Q141&gt;=0,IFERROR(generateSalesData($D141, IF(ISNUMBER(_xlfn.XLOOKUP($C141,Phone_by_Sentiment!$B$2:$B$37,Phone_by_Sentiment!E$2:E$37,"",0,1)),_xlfn.XLOOKUP($C141,Phone_by_Sentiment!$B$2:$B$37,Phone_by_Sentiment!E$2:E$37,"",0,1),0),$A141-TEXT(DATEVALUE($D141&amp;"-01"), "dd-mm-yyyy")),0),0)</f>
        <v>0</v>
      </c>
      <c r="F141" cm="1">
        <f t="array" ref="F141">IF($Q141&gt;=0,IFERROR(generateSalesData($D141, IF(ISNUMBER(_xlfn.XLOOKUP($C141,Phone_by_Sentiment!$B$2:$B$37,Phone_by_Sentiment!F$2:F$37,"",0,1)),_xlfn.XLOOKUP($C141,Phone_by_Sentiment!$B$2:$B$37,Phone_by_Sentiment!F$2:F$37,"",0,1),0),$A141-TEXT(DATEVALUE($D141&amp;"-01"), "dd-mm-yyyy")),0),0)</f>
        <v>0</v>
      </c>
      <c r="G141" cm="1">
        <f t="array" ref="G141">IF($Q141&gt;=0,IFERROR(generateSalesData($D141, IF(ISNUMBER(_xlfn.XLOOKUP($C141,Phone_by_Sentiment!$B$2:$B$37,Phone_by_Sentiment!G$2:G$37,"",0,1)),_xlfn.XLOOKUP($C141,Phone_by_Sentiment!$B$2:$B$37,Phone_by_Sentiment!G$2:G$37,"",0,1),0),$A141-TEXT(DATEVALUE($D141&amp;"-01"), "dd-mm-yyyy")),0),0)</f>
        <v>0</v>
      </c>
      <c r="H141" cm="1">
        <f t="array" ref="H141">IF($Q141&gt;=0,IFERROR(generateSalesData($D141, IF(ISNUMBER(_xlfn.XLOOKUP($C141,Phone_by_Sentiment!$B$2:$B$37,Phone_by_Sentiment!H$2:H$37,"",0,1)),_xlfn.XLOOKUP($C141,Phone_by_Sentiment!$B$2:$B$37,Phone_by_Sentiment!H$2:H$37,"",0,1),0),$A141-TEXT(DATEVALUE($D141&amp;"-01"), "dd-mm-yyyy")),0),0)</f>
        <v>0</v>
      </c>
      <c r="I141" cm="1">
        <f t="array" ref="I141">IF($Q141&gt;=0,IFERROR(generateSalesData($D141, IF(ISNUMBER(_xlfn.XLOOKUP($C141,Phone_by_Sentiment!$B$2:$B$37,Phone_by_Sentiment!I$2:I$37,"",0,1)),_xlfn.XLOOKUP($C141,Phone_by_Sentiment!$B$2:$B$37,Phone_by_Sentiment!I$2:I$37,"",0,1),0),$A141-TEXT(DATEVALUE($D141&amp;"-01"), "dd-mm-yyyy")),0),0)</f>
        <v>0</v>
      </c>
      <c r="J141" cm="1">
        <f t="array" ref="J141">IF($Q141&gt;=0,IFERROR(generateSalesData($D141, IF(ISNUMBER(_xlfn.XLOOKUP($C141,Phone_by_Sentiment!$B$2:$B$37,Phone_by_Sentiment!J$2:J$37,"",0,1)),_xlfn.XLOOKUP($C141,Phone_by_Sentiment!$B$2:$B$37,Phone_by_Sentiment!J$2:J$37,"",0,1),0),$A141-TEXT(DATEVALUE($D141&amp;"-01"), "dd-mm-yyyy")),0),0)</f>
        <v>0</v>
      </c>
      <c r="K141" cm="1">
        <f t="array" ref="K141">IF($Q141&gt;=0,IFERROR(generateSalesData($D141, IF(ISNUMBER(_xlfn.XLOOKUP($C141,Phone_by_Sentiment!$B$2:$B$37,Phone_by_Sentiment!K$2:K$37,"",0,1)),_xlfn.XLOOKUP($C141,Phone_by_Sentiment!$B$2:$B$37,Phone_by_Sentiment!K$2:K$37,"",0,1),0),$A141-TEXT(DATEVALUE($D141&amp;"-01"), "dd-mm-yyyy")),0),0)</f>
        <v>0</v>
      </c>
      <c r="L141" cm="1">
        <f t="array" ref="L141">IF($Q141&gt;=0,IFERROR(generateSalesData($D141, IF(ISNUMBER(_xlfn.XLOOKUP($C141,Phone_by_Sentiment!$B$2:$B$37,Phone_by_Sentiment!L$2:L$37,"",0,1)),_xlfn.XLOOKUP($C141,Phone_by_Sentiment!$B$2:$B$37,Phone_by_Sentiment!L$2:L$37,"",0,1),0),$A141-TEXT(DATEVALUE($D141&amp;"-01"), "dd-mm-yyyy")),0),0)</f>
        <v>0</v>
      </c>
      <c r="M141" cm="1">
        <f t="array" ref="M141">IF($Q141&gt;=0,IFERROR(generateSalesData($D141, IF(ISNUMBER(_xlfn.XLOOKUP($C141,Phone_by_Sentiment!$B$2:$B$37,Phone_by_Sentiment!M$2:M$37,"",0,1)),_xlfn.XLOOKUP($C141,Phone_by_Sentiment!$B$2:$B$37,Phone_by_Sentiment!M$2:M$37,"",0,1),0),$A141-TEXT(DATEVALUE($D141&amp;"-01"), "dd-mm-yyyy")),0),0)</f>
        <v>0</v>
      </c>
      <c r="N141" cm="1">
        <f t="array" ref="N141">IF($Q141&gt;=0,IFERROR(generateSalesData($D141, IF(ISNUMBER(_xlfn.XLOOKUP($C141,Phone_by_Sentiment!$B$2:$B$37,Phone_by_Sentiment!N$2:N$37,"",0,1)),_xlfn.XLOOKUP($C141,Phone_by_Sentiment!$B$2:$B$37,Phone_by_Sentiment!N$2:N$37,"",0,1),0),$A141-TEXT(DATEVALUE($D141&amp;"-01"), "dd-mm-yyyy")),0),0)</f>
        <v>0</v>
      </c>
      <c r="O141" cm="1">
        <f t="array" ref="O141">IF($Q141&gt;=0,IFERROR(generateSalesData($D141, IF(ISNUMBER(_xlfn.XLOOKUP($C141,Phone_by_Sentiment!$B$2:$B$37,Phone_by_Sentiment!O$2:O$37,"",0,1)),_xlfn.XLOOKUP($C141,Phone_by_Sentiment!$B$2:$B$37,Phone_by_Sentiment!O$2:O$37,"",0,1),0),$A141-TEXT(DATEVALUE($D141&amp;"-01"), "dd-mm-yyyy")),0),0)</f>
        <v>0</v>
      </c>
      <c r="P141" s="1">
        <f t="shared" si="5"/>
        <v>44256</v>
      </c>
      <c r="Q141">
        <f t="shared" si="6"/>
        <v>-670</v>
      </c>
    </row>
    <row r="142" spans="1:17" x14ac:dyDescent="0.25">
      <c r="A142" s="1">
        <f t="shared" si="0"/>
        <v>43586</v>
      </c>
      <c r="B142" t="s">
        <v>149</v>
      </c>
      <c r="C142" t="str">
        <f>_xlfn.XLOOKUP(B142,Phone_by_Price!$A$2:$A$34,Phone_by_Price!$B$2:$B$34,"-",0,1)</f>
        <v>Samsung Galaxy A52</v>
      </c>
      <c r="D142" t="str">
        <f>_xlfn.XLOOKUP(C142,Phone_by_Sentiment!$B$2:$B$37,Phone_by_Sentiment!$A$2:$A$37,"-",0,1)</f>
        <v>2021-03</v>
      </c>
      <c r="E142" cm="1">
        <f t="array" ref="E142">IF($Q142&gt;=0,IFERROR(generateSalesData($D142, IF(ISNUMBER(_xlfn.XLOOKUP($C142,Phone_by_Sentiment!$B$2:$B$37,Phone_by_Sentiment!E$2:E$37,"",0,1)),_xlfn.XLOOKUP($C142,Phone_by_Sentiment!$B$2:$B$37,Phone_by_Sentiment!E$2:E$37,"",0,1),0),$A142-TEXT(DATEVALUE($D142&amp;"-01"), "dd-mm-yyyy")),0),0)</f>
        <v>0</v>
      </c>
      <c r="F142" cm="1">
        <f t="array" ref="F142">IF($Q142&gt;=0,IFERROR(generateSalesData($D142, IF(ISNUMBER(_xlfn.XLOOKUP($C142,Phone_by_Sentiment!$B$2:$B$37,Phone_by_Sentiment!F$2:F$37,"",0,1)),_xlfn.XLOOKUP($C142,Phone_by_Sentiment!$B$2:$B$37,Phone_by_Sentiment!F$2:F$37,"",0,1),0),$A142-TEXT(DATEVALUE($D142&amp;"-01"), "dd-mm-yyyy")),0),0)</f>
        <v>0</v>
      </c>
      <c r="G142" cm="1">
        <f t="array" ref="G142">IF($Q142&gt;=0,IFERROR(generateSalesData($D142, IF(ISNUMBER(_xlfn.XLOOKUP($C142,Phone_by_Sentiment!$B$2:$B$37,Phone_by_Sentiment!G$2:G$37,"",0,1)),_xlfn.XLOOKUP($C142,Phone_by_Sentiment!$B$2:$B$37,Phone_by_Sentiment!G$2:G$37,"",0,1),0),$A142-TEXT(DATEVALUE($D142&amp;"-01"), "dd-mm-yyyy")),0),0)</f>
        <v>0</v>
      </c>
      <c r="H142" cm="1">
        <f t="array" ref="H142">IF($Q142&gt;=0,IFERROR(generateSalesData($D142, IF(ISNUMBER(_xlfn.XLOOKUP($C142,Phone_by_Sentiment!$B$2:$B$37,Phone_by_Sentiment!H$2:H$37,"",0,1)),_xlfn.XLOOKUP($C142,Phone_by_Sentiment!$B$2:$B$37,Phone_by_Sentiment!H$2:H$37,"",0,1),0),$A142-TEXT(DATEVALUE($D142&amp;"-01"), "dd-mm-yyyy")),0),0)</f>
        <v>0</v>
      </c>
      <c r="I142" cm="1">
        <f t="array" ref="I142">IF($Q142&gt;=0,IFERROR(generateSalesData($D142, IF(ISNUMBER(_xlfn.XLOOKUP($C142,Phone_by_Sentiment!$B$2:$B$37,Phone_by_Sentiment!I$2:I$37,"",0,1)),_xlfn.XLOOKUP($C142,Phone_by_Sentiment!$B$2:$B$37,Phone_by_Sentiment!I$2:I$37,"",0,1),0),$A142-TEXT(DATEVALUE($D142&amp;"-01"), "dd-mm-yyyy")),0),0)</f>
        <v>0</v>
      </c>
      <c r="J142" cm="1">
        <f t="array" ref="J142">IF($Q142&gt;=0,IFERROR(generateSalesData($D142, IF(ISNUMBER(_xlfn.XLOOKUP($C142,Phone_by_Sentiment!$B$2:$B$37,Phone_by_Sentiment!J$2:J$37,"",0,1)),_xlfn.XLOOKUP($C142,Phone_by_Sentiment!$B$2:$B$37,Phone_by_Sentiment!J$2:J$37,"",0,1),0),$A142-TEXT(DATEVALUE($D142&amp;"-01"), "dd-mm-yyyy")),0),0)</f>
        <v>0</v>
      </c>
      <c r="K142" cm="1">
        <f t="array" ref="K142">IF($Q142&gt;=0,IFERROR(generateSalesData($D142, IF(ISNUMBER(_xlfn.XLOOKUP($C142,Phone_by_Sentiment!$B$2:$B$37,Phone_by_Sentiment!K$2:K$37,"",0,1)),_xlfn.XLOOKUP($C142,Phone_by_Sentiment!$B$2:$B$37,Phone_by_Sentiment!K$2:K$37,"",0,1),0),$A142-TEXT(DATEVALUE($D142&amp;"-01"), "dd-mm-yyyy")),0),0)</f>
        <v>0</v>
      </c>
      <c r="L142" cm="1">
        <f t="array" ref="L142">IF($Q142&gt;=0,IFERROR(generateSalesData($D142, IF(ISNUMBER(_xlfn.XLOOKUP($C142,Phone_by_Sentiment!$B$2:$B$37,Phone_by_Sentiment!L$2:L$37,"",0,1)),_xlfn.XLOOKUP($C142,Phone_by_Sentiment!$B$2:$B$37,Phone_by_Sentiment!L$2:L$37,"",0,1),0),$A142-TEXT(DATEVALUE($D142&amp;"-01"), "dd-mm-yyyy")),0),0)</f>
        <v>0</v>
      </c>
      <c r="M142" cm="1">
        <f t="array" ref="M142">IF($Q142&gt;=0,IFERROR(generateSalesData($D142, IF(ISNUMBER(_xlfn.XLOOKUP($C142,Phone_by_Sentiment!$B$2:$B$37,Phone_by_Sentiment!M$2:M$37,"",0,1)),_xlfn.XLOOKUP($C142,Phone_by_Sentiment!$B$2:$B$37,Phone_by_Sentiment!M$2:M$37,"",0,1),0),$A142-TEXT(DATEVALUE($D142&amp;"-01"), "dd-mm-yyyy")),0),0)</f>
        <v>0</v>
      </c>
      <c r="N142" cm="1">
        <f t="array" ref="N142">IF($Q142&gt;=0,IFERROR(generateSalesData($D142, IF(ISNUMBER(_xlfn.XLOOKUP($C142,Phone_by_Sentiment!$B$2:$B$37,Phone_by_Sentiment!N$2:N$37,"",0,1)),_xlfn.XLOOKUP($C142,Phone_by_Sentiment!$B$2:$B$37,Phone_by_Sentiment!N$2:N$37,"",0,1),0),$A142-TEXT(DATEVALUE($D142&amp;"-01"), "dd-mm-yyyy")),0),0)</f>
        <v>0</v>
      </c>
      <c r="O142" cm="1">
        <f t="array" ref="O142">IF($Q142&gt;=0,IFERROR(generateSalesData($D142, IF(ISNUMBER(_xlfn.XLOOKUP($C142,Phone_by_Sentiment!$B$2:$B$37,Phone_by_Sentiment!O$2:O$37,"",0,1)),_xlfn.XLOOKUP($C142,Phone_by_Sentiment!$B$2:$B$37,Phone_by_Sentiment!O$2:O$37,"",0,1),0),$A142-TEXT(DATEVALUE($D142&amp;"-01"), "dd-mm-yyyy")),0),0)</f>
        <v>0</v>
      </c>
      <c r="P142" s="1">
        <f t="shared" si="5"/>
        <v>44256</v>
      </c>
      <c r="Q142">
        <f t="shared" si="6"/>
        <v>-670</v>
      </c>
    </row>
    <row r="143" spans="1:17" x14ac:dyDescent="0.25">
      <c r="A143" s="1">
        <f t="shared" si="0"/>
        <v>43586</v>
      </c>
      <c r="B143" t="s">
        <v>150</v>
      </c>
      <c r="C143" t="str">
        <f>_xlfn.XLOOKUP(B143,Phone_by_Price!$A$2:$A$34,Phone_by_Price!$B$2:$B$34,"-",0,1)</f>
        <v>Vivo Y33s</v>
      </c>
      <c r="D143" t="str">
        <f>_xlfn.XLOOKUP(C143,Phone_by_Sentiment!$B$2:$B$37,Phone_by_Sentiment!$A$2:$A$37,"-",0,1)</f>
        <v>2021-05</v>
      </c>
      <c r="E143" cm="1">
        <f t="array" ref="E143">IF($Q143&gt;=0,IFERROR(generateSalesData($D143, IF(ISNUMBER(_xlfn.XLOOKUP($C143,Phone_by_Sentiment!$B$2:$B$37,Phone_by_Sentiment!E$2:E$37,"",0,1)),_xlfn.XLOOKUP($C143,Phone_by_Sentiment!$B$2:$B$37,Phone_by_Sentiment!E$2:E$37,"",0,1),0),$A143-TEXT(DATEVALUE($D143&amp;"-01"), "dd-mm-yyyy")),0),0)</f>
        <v>0</v>
      </c>
      <c r="F143" cm="1">
        <f t="array" ref="F143">IF($Q143&gt;=0,IFERROR(generateSalesData($D143, IF(ISNUMBER(_xlfn.XLOOKUP($C143,Phone_by_Sentiment!$B$2:$B$37,Phone_by_Sentiment!F$2:F$37,"",0,1)),_xlfn.XLOOKUP($C143,Phone_by_Sentiment!$B$2:$B$37,Phone_by_Sentiment!F$2:F$37,"",0,1),0),$A143-TEXT(DATEVALUE($D143&amp;"-01"), "dd-mm-yyyy")),0),0)</f>
        <v>0</v>
      </c>
      <c r="G143" cm="1">
        <f t="array" ref="G143">IF($Q143&gt;=0,IFERROR(generateSalesData($D143, IF(ISNUMBER(_xlfn.XLOOKUP($C143,Phone_by_Sentiment!$B$2:$B$37,Phone_by_Sentiment!G$2:G$37,"",0,1)),_xlfn.XLOOKUP($C143,Phone_by_Sentiment!$B$2:$B$37,Phone_by_Sentiment!G$2:G$37,"",0,1),0),$A143-TEXT(DATEVALUE($D143&amp;"-01"), "dd-mm-yyyy")),0),0)</f>
        <v>0</v>
      </c>
      <c r="H143" cm="1">
        <f t="array" ref="H143">IF($Q143&gt;=0,IFERROR(generateSalesData($D143, IF(ISNUMBER(_xlfn.XLOOKUP($C143,Phone_by_Sentiment!$B$2:$B$37,Phone_by_Sentiment!H$2:H$37,"",0,1)),_xlfn.XLOOKUP($C143,Phone_by_Sentiment!$B$2:$B$37,Phone_by_Sentiment!H$2:H$37,"",0,1),0),$A143-TEXT(DATEVALUE($D143&amp;"-01"), "dd-mm-yyyy")),0),0)</f>
        <v>0</v>
      </c>
      <c r="I143" cm="1">
        <f t="array" ref="I143">IF($Q143&gt;=0,IFERROR(generateSalesData($D143, IF(ISNUMBER(_xlfn.XLOOKUP($C143,Phone_by_Sentiment!$B$2:$B$37,Phone_by_Sentiment!I$2:I$37,"",0,1)),_xlfn.XLOOKUP($C143,Phone_by_Sentiment!$B$2:$B$37,Phone_by_Sentiment!I$2:I$37,"",0,1),0),$A143-TEXT(DATEVALUE($D143&amp;"-01"), "dd-mm-yyyy")),0),0)</f>
        <v>0</v>
      </c>
      <c r="J143" cm="1">
        <f t="array" ref="J143">IF($Q143&gt;=0,IFERROR(generateSalesData($D143, IF(ISNUMBER(_xlfn.XLOOKUP($C143,Phone_by_Sentiment!$B$2:$B$37,Phone_by_Sentiment!J$2:J$37,"",0,1)),_xlfn.XLOOKUP($C143,Phone_by_Sentiment!$B$2:$B$37,Phone_by_Sentiment!J$2:J$37,"",0,1),0),$A143-TEXT(DATEVALUE($D143&amp;"-01"), "dd-mm-yyyy")),0),0)</f>
        <v>0</v>
      </c>
      <c r="K143" cm="1">
        <f t="array" ref="K143">IF($Q143&gt;=0,IFERROR(generateSalesData($D143, IF(ISNUMBER(_xlfn.XLOOKUP($C143,Phone_by_Sentiment!$B$2:$B$37,Phone_by_Sentiment!K$2:K$37,"",0,1)),_xlfn.XLOOKUP($C143,Phone_by_Sentiment!$B$2:$B$37,Phone_by_Sentiment!K$2:K$37,"",0,1),0),$A143-TEXT(DATEVALUE($D143&amp;"-01"), "dd-mm-yyyy")),0),0)</f>
        <v>0</v>
      </c>
      <c r="L143" cm="1">
        <f t="array" ref="L143">IF($Q143&gt;=0,IFERROR(generateSalesData($D143, IF(ISNUMBER(_xlfn.XLOOKUP($C143,Phone_by_Sentiment!$B$2:$B$37,Phone_by_Sentiment!L$2:L$37,"",0,1)),_xlfn.XLOOKUP($C143,Phone_by_Sentiment!$B$2:$B$37,Phone_by_Sentiment!L$2:L$37,"",0,1),0),$A143-TEXT(DATEVALUE($D143&amp;"-01"), "dd-mm-yyyy")),0),0)</f>
        <v>0</v>
      </c>
      <c r="M143" cm="1">
        <f t="array" ref="M143">IF($Q143&gt;=0,IFERROR(generateSalesData($D143, IF(ISNUMBER(_xlfn.XLOOKUP($C143,Phone_by_Sentiment!$B$2:$B$37,Phone_by_Sentiment!M$2:M$37,"",0,1)),_xlfn.XLOOKUP($C143,Phone_by_Sentiment!$B$2:$B$37,Phone_by_Sentiment!M$2:M$37,"",0,1),0),$A143-TEXT(DATEVALUE($D143&amp;"-01"), "dd-mm-yyyy")),0),0)</f>
        <v>0</v>
      </c>
      <c r="N143" cm="1">
        <f t="array" ref="N143">IF($Q143&gt;=0,IFERROR(generateSalesData($D143, IF(ISNUMBER(_xlfn.XLOOKUP($C143,Phone_by_Sentiment!$B$2:$B$37,Phone_by_Sentiment!N$2:N$37,"",0,1)),_xlfn.XLOOKUP($C143,Phone_by_Sentiment!$B$2:$B$37,Phone_by_Sentiment!N$2:N$37,"",0,1),0),$A143-TEXT(DATEVALUE($D143&amp;"-01"), "dd-mm-yyyy")),0),0)</f>
        <v>0</v>
      </c>
      <c r="O143" cm="1">
        <f t="array" ref="O143">IF($Q143&gt;=0,IFERROR(generateSalesData($D143, IF(ISNUMBER(_xlfn.XLOOKUP($C143,Phone_by_Sentiment!$B$2:$B$37,Phone_by_Sentiment!O$2:O$37,"",0,1)),_xlfn.XLOOKUP($C143,Phone_by_Sentiment!$B$2:$B$37,Phone_by_Sentiment!O$2:O$37,"",0,1),0),$A143-TEXT(DATEVALUE($D143&amp;"-01"), "dd-mm-yyyy")),0),0)</f>
        <v>0</v>
      </c>
      <c r="P143" s="1">
        <f t="shared" si="5"/>
        <v>44317</v>
      </c>
      <c r="Q143">
        <f t="shared" si="6"/>
        <v>-731</v>
      </c>
    </row>
    <row r="144" spans="1:17" x14ac:dyDescent="0.25">
      <c r="A144" s="1">
        <f t="shared" si="0"/>
        <v>43586</v>
      </c>
      <c r="B144" t="s">
        <v>151</v>
      </c>
      <c r="C144" t="str">
        <f>_xlfn.XLOOKUP(B144,Phone_by_Price!$A$2:$A$34,Phone_by_Price!$B$2:$B$34,"-",0,1)</f>
        <v>Vivo Y11s</v>
      </c>
      <c r="D144" t="str">
        <f>_xlfn.XLOOKUP(C144,Phone_by_Sentiment!$B$2:$B$37,Phone_by_Sentiment!$A$2:$A$37,"-",0,1)</f>
        <v>2020-11</v>
      </c>
      <c r="E144" cm="1">
        <f t="array" ref="E144">IF($Q144&gt;=0,IFERROR(generateSalesData($D144, IF(ISNUMBER(_xlfn.XLOOKUP($C144,Phone_by_Sentiment!$B$2:$B$37,Phone_by_Sentiment!E$2:E$37,"",0,1)),_xlfn.XLOOKUP($C144,Phone_by_Sentiment!$B$2:$B$37,Phone_by_Sentiment!E$2:E$37,"",0,1),0),$A144-TEXT(DATEVALUE($D144&amp;"-01"), "dd-mm-yyyy")),0),0)</f>
        <v>0</v>
      </c>
      <c r="F144" cm="1">
        <f t="array" ref="F144">IF($Q144&gt;=0,IFERROR(generateSalesData($D144, IF(ISNUMBER(_xlfn.XLOOKUP($C144,Phone_by_Sentiment!$B$2:$B$37,Phone_by_Sentiment!F$2:F$37,"",0,1)),_xlfn.XLOOKUP($C144,Phone_by_Sentiment!$B$2:$B$37,Phone_by_Sentiment!F$2:F$37,"",0,1),0),$A144-TEXT(DATEVALUE($D144&amp;"-01"), "dd-mm-yyyy")),0),0)</f>
        <v>0</v>
      </c>
      <c r="G144" cm="1">
        <f t="array" ref="G144">IF($Q144&gt;=0,IFERROR(generateSalesData($D144, IF(ISNUMBER(_xlfn.XLOOKUP($C144,Phone_by_Sentiment!$B$2:$B$37,Phone_by_Sentiment!G$2:G$37,"",0,1)),_xlfn.XLOOKUP($C144,Phone_by_Sentiment!$B$2:$B$37,Phone_by_Sentiment!G$2:G$37,"",0,1),0),$A144-TEXT(DATEVALUE($D144&amp;"-01"), "dd-mm-yyyy")),0),0)</f>
        <v>0</v>
      </c>
      <c r="H144" cm="1">
        <f t="array" ref="H144">IF($Q144&gt;=0,IFERROR(generateSalesData($D144, IF(ISNUMBER(_xlfn.XLOOKUP($C144,Phone_by_Sentiment!$B$2:$B$37,Phone_by_Sentiment!H$2:H$37,"",0,1)),_xlfn.XLOOKUP($C144,Phone_by_Sentiment!$B$2:$B$37,Phone_by_Sentiment!H$2:H$37,"",0,1),0),$A144-TEXT(DATEVALUE($D144&amp;"-01"), "dd-mm-yyyy")),0),0)</f>
        <v>0</v>
      </c>
      <c r="I144" cm="1">
        <f t="array" ref="I144">IF($Q144&gt;=0,IFERROR(generateSalesData($D144, IF(ISNUMBER(_xlfn.XLOOKUP($C144,Phone_by_Sentiment!$B$2:$B$37,Phone_by_Sentiment!I$2:I$37,"",0,1)),_xlfn.XLOOKUP($C144,Phone_by_Sentiment!$B$2:$B$37,Phone_by_Sentiment!I$2:I$37,"",0,1),0),$A144-TEXT(DATEVALUE($D144&amp;"-01"), "dd-mm-yyyy")),0),0)</f>
        <v>0</v>
      </c>
      <c r="J144" cm="1">
        <f t="array" ref="J144">IF($Q144&gt;=0,IFERROR(generateSalesData($D144, IF(ISNUMBER(_xlfn.XLOOKUP($C144,Phone_by_Sentiment!$B$2:$B$37,Phone_by_Sentiment!J$2:J$37,"",0,1)),_xlfn.XLOOKUP($C144,Phone_by_Sentiment!$B$2:$B$37,Phone_by_Sentiment!J$2:J$37,"",0,1),0),$A144-TEXT(DATEVALUE($D144&amp;"-01"), "dd-mm-yyyy")),0),0)</f>
        <v>0</v>
      </c>
      <c r="K144" cm="1">
        <f t="array" ref="K144">IF($Q144&gt;=0,IFERROR(generateSalesData($D144, IF(ISNUMBER(_xlfn.XLOOKUP($C144,Phone_by_Sentiment!$B$2:$B$37,Phone_by_Sentiment!K$2:K$37,"",0,1)),_xlfn.XLOOKUP($C144,Phone_by_Sentiment!$B$2:$B$37,Phone_by_Sentiment!K$2:K$37,"",0,1),0),$A144-TEXT(DATEVALUE($D144&amp;"-01"), "dd-mm-yyyy")),0),0)</f>
        <v>0</v>
      </c>
      <c r="L144" cm="1">
        <f t="array" ref="L144">IF($Q144&gt;=0,IFERROR(generateSalesData($D144, IF(ISNUMBER(_xlfn.XLOOKUP($C144,Phone_by_Sentiment!$B$2:$B$37,Phone_by_Sentiment!L$2:L$37,"",0,1)),_xlfn.XLOOKUP($C144,Phone_by_Sentiment!$B$2:$B$37,Phone_by_Sentiment!L$2:L$37,"",0,1),0),$A144-TEXT(DATEVALUE($D144&amp;"-01"), "dd-mm-yyyy")),0),0)</f>
        <v>0</v>
      </c>
      <c r="M144" cm="1">
        <f t="array" ref="M144">IF($Q144&gt;=0,IFERROR(generateSalesData($D144, IF(ISNUMBER(_xlfn.XLOOKUP($C144,Phone_by_Sentiment!$B$2:$B$37,Phone_by_Sentiment!M$2:M$37,"",0,1)),_xlfn.XLOOKUP($C144,Phone_by_Sentiment!$B$2:$B$37,Phone_by_Sentiment!M$2:M$37,"",0,1),0),$A144-TEXT(DATEVALUE($D144&amp;"-01"), "dd-mm-yyyy")),0),0)</f>
        <v>0</v>
      </c>
      <c r="N144" cm="1">
        <f t="array" ref="N144">IF($Q144&gt;=0,IFERROR(generateSalesData($D144, IF(ISNUMBER(_xlfn.XLOOKUP($C144,Phone_by_Sentiment!$B$2:$B$37,Phone_by_Sentiment!N$2:N$37,"",0,1)),_xlfn.XLOOKUP($C144,Phone_by_Sentiment!$B$2:$B$37,Phone_by_Sentiment!N$2:N$37,"",0,1),0),$A144-TEXT(DATEVALUE($D144&amp;"-01"), "dd-mm-yyyy")),0),0)</f>
        <v>0</v>
      </c>
      <c r="O144" cm="1">
        <f t="array" ref="O144">IF($Q144&gt;=0,IFERROR(generateSalesData($D144, IF(ISNUMBER(_xlfn.XLOOKUP($C144,Phone_by_Sentiment!$B$2:$B$37,Phone_by_Sentiment!O$2:O$37,"",0,1)),_xlfn.XLOOKUP($C144,Phone_by_Sentiment!$B$2:$B$37,Phone_by_Sentiment!O$2:O$37,"",0,1),0),$A144-TEXT(DATEVALUE($D144&amp;"-01"), "dd-mm-yyyy")),0),0)</f>
        <v>0</v>
      </c>
      <c r="P144" s="1">
        <f t="shared" si="5"/>
        <v>44136</v>
      </c>
      <c r="Q144">
        <f t="shared" si="6"/>
        <v>-550</v>
      </c>
    </row>
    <row r="145" spans="1:17" x14ac:dyDescent="0.25">
      <c r="A145" s="1">
        <f t="shared" si="0"/>
        <v>43586</v>
      </c>
      <c r="B145" t="s">
        <v>152</v>
      </c>
      <c r="C145" t="str">
        <f>_xlfn.XLOOKUP(B145,Phone_by_Price!$A$2:$A$34,Phone_by_Price!$B$2:$B$34,"-",0,1)</f>
        <v>Huawei Nova 7i</v>
      </c>
      <c r="D145" t="str">
        <f>_xlfn.XLOOKUP(C145,Phone_by_Sentiment!$B$2:$B$37,Phone_by_Sentiment!$A$2:$A$37,"-",0,1)</f>
        <v>2020-02</v>
      </c>
      <c r="E145" cm="1">
        <f t="array" ref="E145">IF($Q145&gt;=0,IFERROR(generateSalesData($D145, IF(ISNUMBER(_xlfn.XLOOKUP($C145,Phone_by_Sentiment!$B$2:$B$37,Phone_by_Sentiment!E$2:E$37,"",0,1)),_xlfn.XLOOKUP($C145,Phone_by_Sentiment!$B$2:$B$37,Phone_by_Sentiment!E$2:E$37,"",0,1),0),$A145-TEXT(DATEVALUE($D145&amp;"-01"), "dd-mm-yyyy")),0),0)</f>
        <v>0</v>
      </c>
      <c r="F145" cm="1">
        <f t="array" ref="F145">IF($Q145&gt;=0,IFERROR(generateSalesData($D145, IF(ISNUMBER(_xlfn.XLOOKUP($C145,Phone_by_Sentiment!$B$2:$B$37,Phone_by_Sentiment!F$2:F$37,"",0,1)),_xlfn.XLOOKUP($C145,Phone_by_Sentiment!$B$2:$B$37,Phone_by_Sentiment!F$2:F$37,"",0,1),0),$A145-TEXT(DATEVALUE($D145&amp;"-01"), "dd-mm-yyyy")),0),0)</f>
        <v>0</v>
      </c>
      <c r="G145" cm="1">
        <f t="array" ref="G145">IF($Q145&gt;=0,IFERROR(generateSalesData($D145, IF(ISNUMBER(_xlfn.XLOOKUP($C145,Phone_by_Sentiment!$B$2:$B$37,Phone_by_Sentiment!G$2:G$37,"",0,1)),_xlfn.XLOOKUP($C145,Phone_by_Sentiment!$B$2:$B$37,Phone_by_Sentiment!G$2:G$37,"",0,1),0),$A145-TEXT(DATEVALUE($D145&amp;"-01"), "dd-mm-yyyy")),0),0)</f>
        <v>0</v>
      </c>
      <c r="H145" cm="1">
        <f t="array" ref="H145">IF($Q145&gt;=0,IFERROR(generateSalesData($D145, IF(ISNUMBER(_xlfn.XLOOKUP($C145,Phone_by_Sentiment!$B$2:$B$37,Phone_by_Sentiment!H$2:H$37,"",0,1)),_xlfn.XLOOKUP($C145,Phone_by_Sentiment!$B$2:$B$37,Phone_by_Sentiment!H$2:H$37,"",0,1),0),$A145-TEXT(DATEVALUE($D145&amp;"-01"), "dd-mm-yyyy")),0),0)</f>
        <v>0</v>
      </c>
      <c r="I145" cm="1">
        <f t="array" ref="I145">IF($Q145&gt;=0,IFERROR(generateSalesData($D145, IF(ISNUMBER(_xlfn.XLOOKUP($C145,Phone_by_Sentiment!$B$2:$B$37,Phone_by_Sentiment!I$2:I$37,"",0,1)),_xlfn.XLOOKUP($C145,Phone_by_Sentiment!$B$2:$B$37,Phone_by_Sentiment!I$2:I$37,"",0,1),0),$A145-TEXT(DATEVALUE($D145&amp;"-01"), "dd-mm-yyyy")),0),0)</f>
        <v>0</v>
      </c>
      <c r="J145" cm="1">
        <f t="array" ref="J145">IF($Q145&gt;=0,IFERROR(generateSalesData($D145, IF(ISNUMBER(_xlfn.XLOOKUP($C145,Phone_by_Sentiment!$B$2:$B$37,Phone_by_Sentiment!J$2:J$37,"",0,1)),_xlfn.XLOOKUP($C145,Phone_by_Sentiment!$B$2:$B$37,Phone_by_Sentiment!J$2:J$37,"",0,1),0),$A145-TEXT(DATEVALUE($D145&amp;"-01"), "dd-mm-yyyy")),0),0)</f>
        <v>0</v>
      </c>
      <c r="K145" cm="1">
        <f t="array" ref="K145">IF($Q145&gt;=0,IFERROR(generateSalesData($D145, IF(ISNUMBER(_xlfn.XLOOKUP($C145,Phone_by_Sentiment!$B$2:$B$37,Phone_by_Sentiment!K$2:K$37,"",0,1)),_xlfn.XLOOKUP($C145,Phone_by_Sentiment!$B$2:$B$37,Phone_by_Sentiment!K$2:K$37,"",0,1),0),$A145-TEXT(DATEVALUE($D145&amp;"-01"), "dd-mm-yyyy")),0),0)</f>
        <v>0</v>
      </c>
      <c r="L145" cm="1">
        <f t="array" ref="L145">IF($Q145&gt;=0,IFERROR(generateSalesData($D145, IF(ISNUMBER(_xlfn.XLOOKUP($C145,Phone_by_Sentiment!$B$2:$B$37,Phone_by_Sentiment!L$2:L$37,"",0,1)),_xlfn.XLOOKUP($C145,Phone_by_Sentiment!$B$2:$B$37,Phone_by_Sentiment!L$2:L$37,"",0,1),0),$A145-TEXT(DATEVALUE($D145&amp;"-01"), "dd-mm-yyyy")),0),0)</f>
        <v>0</v>
      </c>
      <c r="M145" cm="1">
        <f t="array" ref="M145">IF($Q145&gt;=0,IFERROR(generateSalesData($D145, IF(ISNUMBER(_xlfn.XLOOKUP($C145,Phone_by_Sentiment!$B$2:$B$37,Phone_by_Sentiment!M$2:M$37,"",0,1)),_xlfn.XLOOKUP($C145,Phone_by_Sentiment!$B$2:$B$37,Phone_by_Sentiment!M$2:M$37,"",0,1),0),$A145-TEXT(DATEVALUE($D145&amp;"-01"), "dd-mm-yyyy")),0),0)</f>
        <v>0</v>
      </c>
      <c r="N145" cm="1">
        <f t="array" ref="N145">IF($Q145&gt;=0,IFERROR(generateSalesData($D145, IF(ISNUMBER(_xlfn.XLOOKUP($C145,Phone_by_Sentiment!$B$2:$B$37,Phone_by_Sentiment!N$2:N$37,"",0,1)),_xlfn.XLOOKUP($C145,Phone_by_Sentiment!$B$2:$B$37,Phone_by_Sentiment!N$2:N$37,"",0,1),0),$A145-TEXT(DATEVALUE($D145&amp;"-01"), "dd-mm-yyyy")),0),0)</f>
        <v>0</v>
      </c>
      <c r="O145" cm="1">
        <f t="array" ref="O145">IF($Q145&gt;=0,IFERROR(generateSalesData($D145, IF(ISNUMBER(_xlfn.XLOOKUP($C145,Phone_by_Sentiment!$B$2:$B$37,Phone_by_Sentiment!O$2:O$37,"",0,1)),_xlfn.XLOOKUP($C145,Phone_by_Sentiment!$B$2:$B$37,Phone_by_Sentiment!O$2:O$37,"",0,1),0),$A145-TEXT(DATEVALUE($D145&amp;"-01"), "dd-mm-yyyy")),0),0)</f>
        <v>0</v>
      </c>
      <c r="P145" s="1">
        <f t="shared" si="5"/>
        <v>43862</v>
      </c>
      <c r="Q145">
        <f t="shared" si="6"/>
        <v>-276</v>
      </c>
    </row>
    <row r="146" spans="1:17" x14ac:dyDescent="0.25">
      <c r="A146" s="1">
        <f t="shared" si="0"/>
        <v>43586</v>
      </c>
      <c r="B146" t="s">
        <v>153</v>
      </c>
      <c r="C146" t="str">
        <f>_xlfn.XLOOKUP(B146,Phone_by_Price!$A$2:$A$34,Phone_by_Price!$B$2:$B$34,"-",0,1)</f>
        <v>iPhone 13</v>
      </c>
      <c r="D146" t="str">
        <f>_xlfn.XLOOKUP(C146,Phone_by_Sentiment!$B$2:$B$37,Phone_by_Sentiment!$A$2:$A$37,"-",0,1)</f>
        <v>2021-09</v>
      </c>
      <c r="E146" cm="1">
        <f t="array" ref="E146">IF($Q146&gt;=0,IFERROR(generateSalesData($D146, IF(ISNUMBER(_xlfn.XLOOKUP($C146,Phone_by_Sentiment!$B$2:$B$37,Phone_by_Sentiment!E$2:E$37,"",0,1)),_xlfn.XLOOKUP($C146,Phone_by_Sentiment!$B$2:$B$37,Phone_by_Sentiment!E$2:E$37,"",0,1),0),$A146-TEXT(DATEVALUE($D146&amp;"-01"), "dd-mm-yyyy")),0),0)</f>
        <v>0</v>
      </c>
      <c r="F146" cm="1">
        <f t="array" ref="F146">IF($Q146&gt;=0,IFERROR(generateSalesData($D146, IF(ISNUMBER(_xlfn.XLOOKUP($C146,Phone_by_Sentiment!$B$2:$B$37,Phone_by_Sentiment!F$2:F$37,"",0,1)),_xlfn.XLOOKUP($C146,Phone_by_Sentiment!$B$2:$B$37,Phone_by_Sentiment!F$2:F$37,"",0,1),0),$A146-TEXT(DATEVALUE($D146&amp;"-01"), "dd-mm-yyyy")),0),0)</f>
        <v>0</v>
      </c>
      <c r="G146" cm="1">
        <f t="array" ref="G146">IF($Q146&gt;=0,IFERROR(generateSalesData($D146, IF(ISNUMBER(_xlfn.XLOOKUP($C146,Phone_by_Sentiment!$B$2:$B$37,Phone_by_Sentiment!G$2:G$37,"",0,1)),_xlfn.XLOOKUP($C146,Phone_by_Sentiment!$B$2:$B$37,Phone_by_Sentiment!G$2:G$37,"",0,1),0),$A146-TEXT(DATEVALUE($D146&amp;"-01"), "dd-mm-yyyy")),0),0)</f>
        <v>0</v>
      </c>
      <c r="H146" cm="1">
        <f t="array" ref="H146">IF($Q146&gt;=0,IFERROR(generateSalesData($D146, IF(ISNUMBER(_xlfn.XLOOKUP($C146,Phone_by_Sentiment!$B$2:$B$37,Phone_by_Sentiment!H$2:H$37,"",0,1)),_xlfn.XLOOKUP($C146,Phone_by_Sentiment!$B$2:$B$37,Phone_by_Sentiment!H$2:H$37,"",0,1),0),$A146-TEXT(DATEVALUE($D146&amp;"-01"), "dd-mm-yyyy")),0),0)</f>
        <v>0</v>
      </c>
      <c r="I146" cm="1">
        <f t="array" ref="I146">IF($Q146&gt;=0,IFERROR(generateSalesData($D146, IF(ISNUMBER(_xlfn.XLOOKUP($C146,Phone_by_Sentiment!$B$2:$B$37,Phone_by_Sentiment!I$2:I$37,"",0,1)),_xlfn.XLOOKUP($C146,Phone_by_Sentiment!$B$2:$B$37,Phone_by_Sentiment!I$2:I$37,"",0,1),0),$A146-TEXT(DATEVALUE($D146&amp;"-01"), "dd-mm-yyyy")),0),0)</f>
        <v>0</v>
      </c>
      <c r="J146" cm="1">
        <f t="array" ref="J146">IF($Q146&gt;=0,IFERROR(generateSalesData($D146, IF(ISNUMBER(_xlfn.XLOOKUP($C146,Phone_by_Sentiment!$B$2:$B$37,Phone_by_Sentiment!J$2:J$37,"",0,1)),_xlfn.XLOOKUP($C146,Phone_by_Sentiment!$B$2:$B$37,Phone_by_Sentiment!J$2:J$37,"",0,1),0),$A146-TEXT(DATEVALUE($D146&amp;"-01"), "dd-mm-yyyy")),0),0)</f>
        <v>0</v>
      </c>
      <c r="K146" cm="1">
        <f t="array" ref="K146">IF($Q146&gt;=0,IFERROR(generateSalesData($D146, IF(ISNUMBER(_xlfn.XLOOKUP($C146,Phone_by_Sentiment!$B$2:$B$37,Phone_by_Sentiment!K$2:K$37,"",0,1)),_xlfn.XLOOKUP($C146,Phone_by_Sentiment!$B$2:$B$37,Phone_by_Sentiment!K$2:K$37,"",0,1),0),$A146-TEXT(DATEVALUE($D146&amp;"-01"), "dd-mm-yyyy")),0),0)</f>
        <v>0</v>
      </c>
      <c r="L146" cm="1">
        <f t="array" ref="L146">IF($Q146&gt;=0,IFERROR(generateSalesData($D146, IF(ISNUMBER(_xlfn.XLOOKUP($C146,Phone_by_Sentiment!$B$2:$B$37,Phone_by_Sentiment!L$2:L$37,"",0,1)),_xlfn.XLOOKUP($C146,Phone_by_Sentiment!$B$2:$B$37,Phone_by_Sentiment!L$2:L$37,"",0,1),0),$A146-TEXT(DATEVALUE($D146&amp;"-01"), "dd-mm-yyyy")),0),0)</f>
        <v>0</v>
      </c>
      <c r="M146" cm="1">
        <f t="array" ref="M146">IF($Q146&gt;=0,IFERROR(generateSalesData($D146, IF(ISNUMBER(_xlfn.XLOOKUP($C146,Phone_by_Sentiment!$B$2:$B$37,Phone_by_Sentiment!M$2:M$37,"",0,1)),_xlfn.XLOOKUP($C146,Phone_by_Sentiment!$B$2:$B$37,Phone_by_Sentiment!M$2:M$37,"",0,1),0),$A146-TEXT(DATEVALUE($D146&amp;"-01"), "dd-mm-yyyy")),0),0)</f>
        <v>0</v>
      </c>
      <c r="N146" cm="1">
        <f t="array" ref="N146">IF($Q146&gt;=0,IFERROR(generateSalesData($D146, IF(ISNUMBER(_xlfn.XLOOKUP($C146,Phone_by_Sentiment!$B$2:$B$37,Phone_by_Sentiment!N$2:N$37,"",0,1)),_xlfn.XLOOKUP($C146,Phone_by_Sentiment!$B$2:$B$37,Phone_by_Sentiment!N$2:N$37,"",0,1),0),$A146-TEXT(DATEVALUE($D146&amp;"-01"), "dd-mm-yyyy")),0),0)</f>
        <v>0</v>
      </c>
      <c r="O146" cm="1">
        <f t="array" ref="O146">IF($Q146&gt;=0,IFERROR(generateSalesData($D146, IF(ISNUMBER(_xlfn.XLOOKUP($C146,Phone_by_Sentiment!$B$2:$B$37,Phone_by_Sentiment!O$2:O$37,"",0,1)),_xlfn.XLOOKUP($C146,Phone_by_Sentiment!$B$2:$B$37,Phone_by_Sentiment!O$2:O$37,"",0,1),0),$A146-TEXT(DATEVALUE($D146&amp;"-01"), "dd-mm-yyyy")),0),0)</f>
        <v>0</v>
      </c>
      <c r="P146" s="1">
        <f t="shared" si="5"/>
        <v>44440</v>
      </c>
      <c r="Q146">
        <f t="shared" si="6"/>
        <v>-854</v>
      </c>
    </row>
    <row r="147" spans="1:17" x14ac:dyDescent="0.25">
      <c r="A147" s="1">
        <f t="shared" si="0"/>
        <v>43586</v>
      </c>
      <c r="B147" t="s">
        <v>154</v>
      </c>
      <c r="C147" t="str">
        <f>_xlfn.XLOOKUP(B147,Phone_by_Price!$A$2:$A$34,Phone_by_Price!$B$2:$B$34,"-",0,1)</f>
        <v>Samsung Galaxy S21</v>
      </c>
      <c r="D147" t="str">
        <f>_xlfn.XLOOKUP(C147,Phone_by_Sentiment!$B$2:$B$37,Phone_by_Sentiment!$A$2:$A$37,"-",0,1)</f>
        <v>2021-01</v>
      </c>
      <c r="E147" cm="1">
        <f t="array" ref="E147">IF($Q147&gt;=0,IFERROR(generateSalesData($D147, IF(ISNUMBER(_xlfn.XLOOKUP($C147,Phone_by_Sentiment!$B$2:$B$37,Phone_by_Sentiment!E$2:E$37,"",0,1)),_xlfn.XLOOKUP($C147,Phone_by_Sentiment!$B$2:$B$37,Phone_by_Sentiment!E$2:E$37,"",0,1),0),$A147-TEXT(DATEVALUE($D147&amp;"-01"), "dd-mm-yyyy")),0),0)</f>
        <v>0</v>
      </c>
      <c r="F147" cm="1">
        <f t="array" ref="F147">IF($Q147&gt;=0,IFERROR(generateSalesData($D147, IF(ISNUMBER(_xlfn.XLOOKUP($C147,Phone_by_Sentiment!$B$2:$B$37,Phone_by_Sentiment!F$2:F$37,"",0,1)),_xlfn.XLOOKUP($C147,Phone_by_Sentiment!$B$2:$B$37,Phone_by_Sentiment!F$2:F$37,"",0,1),0),$A147-TEXT(DATEVALUE($D147&amp;"-01"), "dd-mm-yyyy")),0),0)</f>
        <v>0</v>
      </c>
      <c r="G147" cm="1">
        <f t="array" ref="G147">IF($Q147&gt;=0,IFERROR(generateSalesData($D147, IF(ISNUMBER(_xlfn.XLOOKUP($C147,Phone_by_Sentiment!$B$2:$B$37,Phone_by_Sentiment!G$2:G$37,"",0,1)),_xlfn.XLOOKUP($C147,Phone_by_Sentiment!$B$2:$B$37,Phone_by_Sentiment!G$2:G$37,"",0,1),0),$A147-TEXT(DATEVALUE($D147&amp;"-01"), "dd-mm-yyyy")),0),0)</f>
        <v>0</v>
      </c>
      <c r="H147" cm="1">
        <f t="array" ref="H147">IF($Q147&gt;=0,IFERROR(generateSalesData($D147, IF(ISNUMBER(_xlfn.XLOOKUP($C147,Phone_by_Sentiment!$B$2:$B$37,Phone_by_Sentiment!H$2:H$37,"",0,1)),_xlfn.XLOOKUP($C147,Phone_by_Sentiment!$B$2:$B$37,Phone_by_Sentiment!H$2:H$37,"",0,1),0),$A147-TEXT(DATEVALUE($D147&amp;"-01"), "dd-mm-yyyy")),0),0)</f>
        <v>0</v>
      </c>
      <c r="I147" cm="1">
        <f t="array" ref="I147">IF($Q147&gt;=0,IFERROR(generateSalesData($D147, IF(ISNUMBER(_xlfn.XLOOKUP($C147,Phone_by_Sentiment!$B$2:$B$37,Phone_by_Sentiment!I$2:I$37,"",0,1)),_xlfn.XLOOKUP($C147,Phone_by_Sentiment!$B$2:$B$37,Phone_by_Sentiment!I$2:I$37,"",0,1),0),$A147-TEXT(DATEVALUE($D147&amp;"-01"), "dd-mm-yyyy")),0),0)</f>
        <v>0</v>
      </c>
      <c r="J147" cm="1">
        <f t="array" ref="J147">IF($Q147&gt;=0,IFERROR(generateSalesData($D147, IF(ISNUMBER(_xlfn.XLOOKUP($C147,Phone_by_Sentiment!$B$2:$B$37,Phone_by_Sentiment!J$2:J$37,"",0,1)),_xlfn.XLOOKUP($C147,Phone_by_Sentiment!$B$2:$B$37,Phone_by_Sentiment!J$2:J$37,"",0,1),0),$A147-TEXT(DATEVALUE($D147&amp;"-01"), "dd-mm-yyyy")),0),0)</f>
        <v>0</v>
      </c>
      <c r="K147" cm="1">
        <f t="array" ref="K147">IF($Q147&gt;=0,IFERROR(generateSalesData($D147, IF(ISNUMBER(_xlfn.XLOOKUP($C147,Phone_by_Sentiment!$B$2:$B$37,Phone_by_Sentiment!K$2:K$37,"",0,1)),_xlfn.XLOOKUP($C147,Phone_by_Sentiment!$B$2:$B$37,Phone_by_Sentiment!K$2:K$37,"",0,1),0),$A147-TEXT(DATEVALUE($D147&amp;"-01"), "dd-mm-yyyy")),0),0)</f>
        <v>0</v>
      </c>
      <c r="L147" cm="1">
        <f t="array" ref="L147">IF($Q147&gt;=0,IFERROR(generateSalesData($D147, IF(ISNUMBER(_xlfn.XLOOKUP($C147,Phone_by_Sentiment!$B$2:$B$37,Phone_by_Sentiment!L$2:L$37,"",0,1)),_xlfn.XLOOKUP($C147,Phone_by_Sentiment!$B$2:$B$37,Phone_by_Sentiment!L$2:L$37,"",0,1),0),$A147-TEXT(DATEVALUE($D147&amp;"-01"), "dd-mm-yyyy")),0),0)</f>
        <v>0</v>
      </c>
      <c r="M147" cm="1">
        <f t="array" ref="M147">IF($Q147&gt;=0,IFERROR(generateSalesData($D147, IF(ISNUMBER(_xlfn.XLOOKUP($C147,Phone_by_Sentiment!$B$2:$B$37,Phone_by_Sentiment!M$2:M$37,"",0,1)),_xlfn.XLOOKUP($C147,Phone_by_Sentiment!$B$2:$B$37,Phone_by_Sentiment!M$2:M$37,"",0,1),0),$A147-TEXT(DATEVALUE($D147&amp;"-01"), "dd-mm-yyyy")),0),0)</f>
        <v>0</v>
      </c>
      <c r="N147" cm="1">
        <f t="array" ref="N147">IF($Q147&gt;=0,IFERROR(generateSalesData($D147, IF(ISNUMBER(_xlfn.XLOOKUP($C147,Phone_by_Sentiment!$B$2:$B$37,Phone_by_Sentiment!N$2:N$37,"",0,1)),_xlfn.XLOOKUP($C147,Phone_by_Sentiment!$B$2:$B$37,Phone_by_Sentiment!N$2:N$37,"",0,1),0),$A147-TEXT(DATEVALUE($D147&amp;"-01"), "dd-mm-yyyy")),0),0)</f>
        <v>0</v>
      </c>
      <c r="O147" cm="1">
        <f t="array" ref="O147">IF($Q147&gt;=0,IFERROR(generateSalesData($D147, IF(ISNUMBER(_xlfn.XLOOKUP($C147,Phone_by_Sentiment!$B$2:$B$37,Phone_by_Sentiment!O$2:O$37,"",0,1)),_xlfn.XLOOKUP($C147,Phone_by_Sentiment!$B$2:$B$37,Phone_by_Sentiment!O$2:O$37,"",0,1),0),$A147-TEXT(DATEVALUE($D147&amp;"-01"), "dd-mm-yyyy")),0),0)</f>
        <v>0</v>
      </c>
      <c r="P147" s="1">
        <f t="shared" si="5"/>
        <v>44197</v>
      </c>
      <c r="Q147">
        <f t="shared" si="6"/>
        <v>-611</v>
      </c>
    </row>
    <row r="148" spans="1:17" x14ac:dyDescent="0.25">
      <c r="A148" s="1">
        <f t="shared" si="0"/>
        <v>43586</v>
      </c>
      <c r="B148" t="s">
        <v>155</v>
      </c>
      <c r="C148" t="str">
        <f>_xlfn.XLOOKUP(B148,Phone_by_Price!$A$2:$A$34,Phone_by_Price!$B$2:$B$34,"-",0,1)</f>
        <v>Google Pixel 6</v>
      </c>
      <c r="D148" t="str">
        <f>_xlfn.XLOOKUP(C148,Phone_by_Sentiment!$B$2:$B$37,Phone_by_Sentiment!$A$2:$A$37,"-",0,1)</f>
        <v>2021-10</v>
      </c>
      <c r="E148" cm="1">
        <f t="array" ref="E148">IF($Q148&gt;=0,IFERROR(generateSalesData($D148, IF(ISNUMBER(_xlfn.XLOOKUP($C148,Phone_by_Sentiment!$B$2:$B$37,Phone_by_Sentiment!E$2:E$37,"",0,1)),_xlfn.XLOOKUP($C148,Phone_by_Sentiment!$B$2:$B$37,Phone_by_Sentiment!E$2:E$37,"",0,1),0),$A148-TEXT(DATEVALUE($D148&amp;"-01"), "dd-mm-yyyy")),0),0)</f>
        <v>0</v>
      </c>
      <c r="F148" cm="1">
        <f t="array" ref="F148">IF($Q148&gt;=0,IFERROR(generateSalesData($D148, IF(ISNUMBER(_xlfn.XLOOKUP($C148,Phone_by_Sentiment!$B$2:$B$37,Phone_by_Sentiment!F$2:F$37,"",0,1)),_xlfn.XLOOKUP($C148,Phone_by_Sentiment!$B$2:$B$37,Phone_by_Sentiment!F$2:F$37,"",0,1),0),$A148-TEXT(DATEVALUE($D148&amp;"-01"), "dd-mm-yyyy")),0),0)</f>
        <v>0</v>
      </c>
      <c r="G148" cm="1">
        <f t="array" ref="G148">IF($Q148&gt;=0,IFERROR(generateSalesData($D148, IF(ISNUMBER(_xlfn.XLOOKUP($C148,Phone_by_Sentiment!$B$2:$B$37,Phone_by_Sentiment!G$2:G$37,"",0,1)),_xlfn.XLOOKUP($C148,Phone_by_Sentiment!$B$2:$B$37,Phone_by_Sentiment!G$2:G$37,"",0,1),0),$A148-TEXT(DATEVALUE($D148&amp;"-01"), "dd-mm-yyyy")),0),0)</f>
        <v>0</v>
      </c>
      <c r="H148" cm="1">
        <f t="array" ref="H148">IF($Q148&gt;=0,IFERROR(generateSalesData($D148, IF(ISNUMBER(_xlfn.XLOOKUP($C148,Phone_by_Sentiment!$B$2:$B$37,Phone_by_Sentiment!H$2:H$37,"",0,1)),_xlfn.XLOOKUP($C148,Phone_by_Sentiment!$B$2:$B$37,Phone_by_Sentiment!H$2:H$37,"",0,1),0),$A148-TEXT(DATEVALUE($D148&amp;"-01"), "dd-mm-yyyy")),0),0)</f>
        <v>0</v>
      </c>
      <c r="I148" cm="1">
        <f t="array" ref="I148">IF($Q148&gt;=0,IFERROR(generateSalesData($D148, IF(ISNUMBER(_xlfn.XLOOKUP($C148,Phone_by_Sentiment!$B$2:$B$37,Phone_by_Sentiment!I$2:I$37,"",0,1)),_xlfn.XLOOKUP($C148,Phone_by_Sentiment!$B$2:$B$37,Phone_by_Sentiment!I$2:I$37,"",0,1),0),$A148-TEXT(DATEVALUE($D148&amp;"-01"), "dd-mm-yyyy")),0),0)</f>
        <v>0</v>
      </c>
      <c r="J148" cm="1">
        <f t="array" ref="J148">IF($Q148&gt;=0,IFERROR(generateSalesData($D148, IF(ISNUMBER(_xlfn.XLOOKUP($C148,Phone_by_Sentiment!$B$2:$B$37,Phone_by_Sentiment!J$2:J$37,"",0,1)),_xlfn.XLOOKUP($C148,Phone_by_Sentiment!$B$2:$B$37,Phone_by_Sentiment!J$2:J$37,"",0,1),0),$A148-TEXT(DATEVALUE($D148&amp;"-01"), "dd-mm-yyyy")),0),0)</f>
        <v>0</v>
      </c>
      <c r="K148" cm="1">
        <f t="array" ref="K148">IF($Q148&gt;=0,IFERROR(generateSalesData($D148, IF(ISNUMBER(_xlfn.XLOOKUP($C148,Phone_by_Sentiment!$B$2:$B$37,Phone_by_Sentiment!K$2:K$37,"",0,1)),_xlfn.XLOOKUP($C148,Phone_by_Sentiment!$B$2:$B$37,Phone_by_Sentiment!K$2:K$37,"",0,1),0),$A148-TEXT(DATEVALUE($D148&amp;"-01"), "dd-mm-yyyy")),0),0)</f>
        <v>0</v>
      </c>
      <c r="L148" cm="1">
        <f t="array" ref="L148">IF($Q148&gt;=0,IFERROR(generateSalesData($D148, IF(ISNUMBER(_xlfn.XLOOKUP($C148,Phone_by_Sentiment!$B$2:$B$37,Phone_by_Sentiment!L$2:L$37,"",0,1)),_xlfn.XLOOKUP($C148,Phone_by_Sentiment!$B$2:$B$37,Phone_by_Sentiment!L$2:L$37,"",0,1),0),$A148-TEXT(DATEVALUE($D148&amp;"-01"), "dd-mm-yyyy")),0),0)</f>
        <v>0</v>
      </c>
      <c r="M148" cm="1">
        <f t="array" ref="M148">IF($Q148&gt;=0,IFERROR(generateSalesData($D148, IF(ISNUMBER(_xlfn.XLOOKUP($C148,Phone_by_Sentiment!$B$2:$B$37,Phone_by_Sentiment!M$2:M$37,"",0,1)),_xlfn.XLOOKUP($C148,Phone_by_Sentiment!$B$2:$B$37,Phone_by_Sentiment!M$2:M$37,"",0,1),0),$A148-TEXT(DATEVALUE($D148&amp;"-01"), "dd-mm-yyyy")),0),0)</f>
        <v>0</v>
      </c>
      <c r="N148" cm="1">
        <f t="array" ref="N148">IF($Q148&gt;=0,IFERROR(generateSalesData($D148, IF(ISNUMBER(_xlfn.XLOOKUP($C148,Phone_by_Sentiment!$B$2:$B$37,Phone_by_Sentiment!N$2:N$37,"",0,1)),_xlfn.XLOOKUP($C148,Phone_by_Sentiment!$B$2:$B$37,Phone_by_Sentiment!N$2:N$37,"",0,1),0),$A148-TEXT(DATEVALUE($D148&amp;"-01"), "dd-mm-yyyy")),0),0)</f>
        <v>0</v>
      </c>
      <c r="O148" cm="1">
        <f t="array" ref="O148">IF($Q148&gt;=0,IFERROR(generateSalesData($D148, IF(ISNUMBER(_xlfn.XLOOKUP($C148,Phone_by_Sentiment!$B$2:$B$37,Phone_by_Sentiment!O$2:O$37,"",0,1)),_xlfn.XLOOKUP($C148,Phone_by_Sentiment!$B$2:$B$37,Phone_by_Sentiment!O$2:O$37,"",0,1),0),$A148-TEXT(DATEVALUE($D148&amp;"-01"), "dd-mm-yyyy")),0),0)</f>
        <v>0</v>
      </c>
      <c r="P148" s="1">
        <f t="shared" si="5"/>
        <v>44470</v>
      </c>
      <c r="Q148">
        <f t="shared" si="6"/>
        <v>-884</v>
      </c>
    </row>
    <row r="149" spans="1:17" x14ac:dyDescent="0.25">
      <c r="A149" s="1">
        <f t="shared" si="0"/>
        <v>43586</v>
      </c>
      <c r="B149" t="s">
        <v>156</v>
      </c>
      <c r="C149" t="str">
        <f>_xlfn.XLOOKUP(B149,Phone_by_Price!$A$2:$A$34,Phone_by_Price!$B$2:$B$34,"-",0,1)</f>
        <v>OnePlus Nord CE</v>
      </c>
      <c r="D149" t="str">
        <f>_xlfn.XLOOKUP(C149,Phone_by_Sentiment!$B$2:$B$37,Phone_by_Sentiment!$A$2:$A$37,"-",0,1)</f>
        <v>2021-06</v>
      </c>
      <c r="E149" cm="1">
        <f t="array" ref="E149">IF($Q149&gt;=0,IFERROR(generateSalesData($D149, IF(ISNUMBER(_xlfn.XLOOKUP($C149,Phone_by_Sentiment!$B$2:$B$37,Phone_by_Sentiment!E$2:E$37,"",0,1)),_xlfn.XLOOKUP($C149,Phone_by_Sentiment!$B$2:$B$37,Phone_by_Sentiment!E$2:E$37,"",0,1),0),$A149-TEXT(DATEVALUE($D149&amp;"-01"), "dd-mm-yyyy")),0),0)</f>
        <v>0</v>
      </c>
      <c r="F149" cm="1">
        <f t="array" ref="F149">IF($Q149&gt;=0,IFERROR(generateSalesData($D149, IF(ISNUMBER(_xlfn.XLOOKUP($C149,Phone_by_Sentiment!$B$2:$B$37,Phone_by_Sentiment!F$2:F$37,"",0,1)),_xlfn.XLOOKUP($C149,Phone_by_Sentiment!$B$2:$B$37,Phone_by_Sentiment!F$2:F$37,"",0,1),0),$A149-TEXT(DATEVALUE($D149&amp;"-01"), "dd-mm-yyyy")),0),0)</f>
        <v>0</v>
      </c>
      <c r="G149" cm="1">
        <f t="array" ref="G149">IF($Q149&gt;=0,IFERROR(generateSalesData($D149, IF(ISNUMBER(_xlfn.XLOOKUP($C149,Phone_by_Sentiment!$B$2:$B$37,Phone_by_Sentiment!G$2:G$37,"",0,1)),_xlfn.XLOOKUP($C149,Phone_by_Sentiment!$B$2:$B$37,Phone_by_Sentiment!G$2:G$37,"",0,1),0),$A149-TEXT(DATEVALUE($D149&amp;"-01"), "dd-mm-yyyy")),0),0)</f>
        <v>0</v>
      </c>
      <c r="H149" cm="1">
        <f t="array" ref="H149">IF($Q149&gt;=0,IFERROR(generateSalesData($D149, IF(ISNUMBER(_xlfn.XLOOKUP($C149,Phone_by_Sentiment!$B$2:$B$37,Phone_by_Sentiment!H$2:H$37,"",0,1)),_xlfn.XLOOKUP($C149,Phone_by_Sentiment!$B$2:$B$37,Phone_by_Sentiment!H$2:H$37,"",0,1),0),$A149-TEXT(DATEVALUE($D149&amp;"-01"), "dd-mm-yyyy")),0),0)</f>
        <v>0</v>
      </c>
      <c r="I149" cm="1">
        <f t="array" ref="I149">IF($Q149&gt;=0,IFERROR(generateSalesData($D149, IF(ISNUMBER(_xlfn.XLOOKUP($C149,Phone_by_Sentiment!$B$2:$B$37,Phone_by_Sentiment!I$2:I$37,"",0,1)),_xlfn.XLOOKUP($C149,Phone_by_Sentiment!$B$2:$B$37,Phone_by_Sentiment!I$2:I$37,"",0,1),0),$A149-TEXT(DATEVALUE($D149&amp;"-01"), "dd-mm-yyyy")),0),0)</f>
        <v>0</v>
      </c>
      <c r="J149" cm="1">
        <f t="array" ref="J149">IF($Q149&gt;=0,IFERROR(generateSalesData($D149, IF(ISNUMBER(_xlfn.XLOOKUP($C149,Phone_by_Sentiment!$B$2:$B$37,Phone_by_Sentiment!J$2:J$37,"",0,1)),_xlfn.XLOOKUP($C149,Phone_by_Sentiment!$B$2:$B$37,Phone_by_Sentiment!J$2:J$37,"",0,1),0),$A149-TEXT(DATEVALUE($D149&amp;"-01"), "dd-mm-yyyy")),0),0)</f>
        <v>0</v>
      </c>
      <c r="K149" cm="1">
        <f t="array" ref="K149">IF($Q149&gt;=0,IFERROR(generateSalesData($D149, IF(ISNUMBER(_xlfn.XLOOKUP($C149,Phone_by_Sentiment!$B$2:$B$37,Phone_by_Sentiment!K$2:K$37,"",0,1)),_xlfn.XLOOKUP($C149,Phone_by_Sentiment!$B$2:$B$37,Phone_by_Sentiment!K$2:K$37,"",0,1),0),$A149-TEXT(DATEVALUE($D149&amp;"-01"), "dd-mm-yyyy")),0),0)</f>
        <v>0</v>
      </c>
      <c r="L149" cm="1">
        <f t="array" ref="L149">IF($Q149&gt;=0,IFERROR(generateSalesData($D149, IF(ISNUMBER(_xlfn.XLOOKUP($C149,Phone_by_Sentiment!$B$2:$B$37,Phone_by_Sentiment!L$2:L$37,"",0,1)),_xlfn.XLOOKUP($C149,Phone_by_Sentiment!$B$2:$B$37,Phone_by_Sentiment!L$2:L$37,"",0,1),0),$A149-TEXT(DATEVALUE($D149&amp;"-01"), "dd-mm-yyyy")),0),0)</f>
        <v>0</v>
      </c>
      <c r="M149" cm="1">
        <f t="array" ref="M149">IF($Q149&gt;=0,IFERROR(generateSalesData($D149, IF(ISNUMBER(_xlfn.XLOOKUP($C149,Phone_by_Sentiment!$B$2:$B$37,Phone_by_Sentiment!M$2:M$37,"",0,1)),_xlfn.XLOOKUP($C149,Phone_by_Sentiment!$B$2:$B$37,Phone_by_Sentiment!M$2:M$37,"",0,1),0),$A149-TEXT(DATEVALUE($D149&amp;"-01"), "dd-mm-yyyy")),0),0)</f>
        <v>0</v>
      </c>
      <c r="N149" cm="1">
        <f t="array" ref="N149">IF($Q149&gt;=0,IFERROR(generateSalesData($D149, IF(ISNUMBER(_xlfn.XLOOKUP($C149,Phone_by_Sentiment!$B$2:$B$37,Phone_by_Sentiment!N$2:N$37,"",0,1)),_xlfn.XLOOKUP($C149,Phone_by_Sentiment!$B$2:$B$37,Phone_by_Sentiment!N$2:N$37,"",0,1),0),$A149-TEXT(DATEVALUE($D149&amp;"-01"), "dd-mm-yyyy")),0),0)</f>
        <v>0</v>
      </c>
      <c r="O149" cm="1">
        <f t="array" ref="O149">IF($Q149&gt;=0,IFERROR(generateSalesData($D149, IF(ISNUMBER(_xlfn.XLOOKUP($C149,Phone_by_Sentiment!$B$2:$B$37,Phone_by_Sentiment!O$2:O$37,"",0,1)),_xlfn.XLOOKUP($C149,Phone_by_Sentiment!$B$2:$B$37,Phone_by_Sentiment!O$2:O$37,"",0,1),0),$A149-TEXT(DATEVALUE($D149&amp;"-01"), "dd-mm-yyyy")),0),0)</f>
        <v>0</v>
      </c>
      <c r="P149" s="1">
        <f t="shared" si="5"/>
        <v>44348</v>
      </c>
      <c r="Q149">
        <f t="shared" si="6"/>
        <v>-762</v>
      </c>
    </row>
    <row r="150" spans="1:17" x14ac:dyDescent="0.25">
      <c r="A150" s="1">
        <f t="shared" si="0"/>
        <v>43586</v>
      </c>
      <c r="B150" t="s">
        <v>157</v>
      </c>
      <c r="C150" t="str">
        <f>_xlfn.XLOOKUP(B150,Phone_by_Price!$A$2:$A$34,Phone_by_Price!$B$2:$B$34,"-",0,1)</f>
        <v>Apple iPhone 13 Pro</v>
      </c>
      <c r="D150" t="str">
        <f>_xlfn.XLOOKUP(C150,Phone_by_Sentiment!$B$2:$B$37,Phone_by_Sentiment!$A$2:$A$37,"-",0,1)</f>
        <v>2021-09</v>
      </c>
      <c r="E150" cm="1">
        <f t="array" ref="E150">IF($Q150&gt;=0,IFERROR(generateSalesData($D150, IF(ISNUMBER(_xlfn.XLOOKUP($C150,Phone_by_Sentiment!$B$2:$B$37,Phone_by_Sentiment!E$2:E$37,"",0,1)),_xlfn.XLOOKUP($C150,Phone_by_Sentiment!$B$2:$B$37,Phone_by_Sentiment!E$2:E$37,"",0,1),0),$A150-TEXT(DATEVALUE($D150&amp;"-01"), "dd-mm-yyyy")),0),0)</f>
        <v>0</v>
      </c>
      <c r="F150" cm="1">
        <f t="array" ref="F150">IF($Q150&gt;=0,IFERROR(generateSalesData($D150, IF(ISNUMBER(_xlfn.XLOOKUP($C150,Phone_by_Sentiment!$B$2:$B$37,Phone_by_Sentiment!F$2:F$37,"",0,1)),_xlfn.XLOOKUP($C150,Phone_by_Sentiment!$B$2:$B$37,Phone_by_Sentiment!F$2:F$37,"",0,1),0),$A150-TEXT(DATEVALUE($D150&amp;"-01"), "dd-mm-yyyy")),0),0)</f>
        <v>0</v>
      </c>
      <c r="G150" cm="1">
        <f t="array" ref="G150">IF($Q150&gt;=0,IFERROR(generateSalesData($D150, IF(ISNUMBER(_xlfn.XLOOKUP($C150,Phone_by_Sentiment!$B$2:$B$37,Phone_by_Sentiment!G$2:G$37,"",0,1)),_xlfn.XLOOKUP($C150,Phone_by_Sentiment!$B$2:$B$37,Phone_by_Sentiment!G$2:G$37,"",0,1),0),$A150-TEXT(DATEVALUE($D150&amp;"-01"), "dd-mm-yyyy")),0),0)</f>
        <v>0</v>
      </c>
      <c r="H150" cm="1">
        <f t="array" ref="H150">IF($Q150&gt;=0,IFERROR(generateSalesData($D150, IF(ISNUMBER(_xlfn.XLOOKUP($C150,Phone_by_Sentiment!$B$2:$B$37,Phone_by_Sentiment!H$2:H$37,"",0,1)),_xlfn.XLOOKUP($C150,Phone_by_Sentiment!$B$2:$B$37,Phone_by_Sentiment!H$2:H$37,"",0,1),0),$A150-TEXT(DATEVALUE($D150&amp;"-01"), "dd-mm-yyyy")),0),0)</f>
        <v>0</v>
      </c>
      <c r="I150" cm="1">
        <f t="array" ref="I150">IF($Q150&gt;=0,IFERROR(generateSalesData($D150, IF(ISNUMBER(_xlfn.XLOOKUP($C150,Phone_by_Sentiment!$B$2:$B$37,Phone_by_Sentiment!I$2:I$37,"",0,1)),_xlfn.XLOOKUP($C150,Phone_by_Sentiment!$B$2:$B$37,Phone_by_Sentiment!I$2:I$37,"",0,1),0),$A150-TEXT(DATEVALUE($D150&amp;"-01"), "dd-mm-yyyy")),0),0)</f>
        <v>0</v>
      </c>
      <c r="J150" cm="1">
        <f t="array" ref="J150">IF($Q150&gt;=0,IFERROR(generateSalesData($D150, IF(ISNUMBER(_xlfn.XLOOKUP($C150,Phone_by_Sentiment!$B$2:$B$37,Phone_by_Sentiment!J$2:J$37,"",0,1)),_xlfn.XLOOKUP($C150,Phone_by_Sentiment!$B$2:$B$37,Phone_by_Sentiment!J$2:J$37,"",0,1),0),$A150-TEXT(DATEVALUE($D150&amp;"-01"), "dd-mm-yyyy")),0),0)</f>
        <v>0</v>
      </c>
      <c r="K150" cm="1">
        <f t="array" ref="K150">IF($Q150&gt;=0,IFERROR(generateSalesData($D150, IF(ISNUMBER(_xlfn.XLOOKUP($C150,Phone_by_Sentiment!$B$2:$B$37,Phone_by_Sentiment!K$2:K$37,"",0,1)),_xlfn.XLOOKUP($C150,Phone_by_Sentiment!$B$2:$B$37,Phone_by_Sentiment!K$2:K$37,"",0,1),0),$A150-TEXT(DATEVALUE($D150&amp;"-01"), "dd-mm-yyyy")),0),0)</f>
        <v>0</v>
      </c>
      <c r="L150" cm="1">
        <f t="array" ref="L150">IF($Q150&gt;=0,IFERROR(generateSalesData($D150, IF(ISNUMBER(_xlfn.XLOOKUP($C150,Phone_by_Sentiment!$B$2:$B$37,Phone_by_Sentiment!L$2:L$37,"",0,1)),_xlfn.XLOOKUP($C150,Phone_by_Sentiment!$B$2:$B$37,Phone_by_Sentiment!L$2:L$37,"",0,1),0),$A150-TEXT(DATEVALUE($D150&amp;"-01"), "dd-mm-yyyy")),0),0)</f>
        <v>0</v>
      </c>
      <c r="M150" cm="1">
        <f t="array" ref="M150">IF($Q150&gt;=0,IFERROR(generateSalesData($D150, IF(ISNUMBER(_xlfn.XLOOKUP($C150,Phone_by_Sentiment!$B$2:$B$37,Phone_by_Sentiment!M$2:M$37,"",0,1)),_xlfn.XLOOKUP($C150,Phone_by_Sentiment!$B$2:$B$37,Phone_by_Sentiment!M$2:M$37,"",0,1),0),$A150-TEXT(DATEVALUE($D150&amp;"-01"), "dd-mm-yyyy")),0),0)</f>
        <v>0</v>
      </c>
      <c r="N150" cm="1">
        <f t="array" ref="N150">IF($Q150&gt;=0,IFERROR(generateSalesData($D150, IF(ISNUMBER(_xlfn.XLOOKUP($C150,Phone_by_Sentiment!$B$2:$B$37,Phone_by_Sentiment!N$2:N$37,"",0,1)),_xlfn.XLOOKUP($C150,Phone_by_Sentiment!$B$2:$B$37,Phone_by_Sentiment!N$2:N$37,"",0,1),0),$A150-TEXT(DATEVALUE($D150&amp;"-01"), "dd-mm-yyyy")),0),0)</f>
        <v>0</v>
      </c>
      <c r="O150" cm="1">
        <f t="array" ref="O150">IF($Q150&gt;=0,IFERROR(generateSalesData($D150, IF(ISNUMBER(_xlfn.XLOOKUP($C150,Phone_by_Sentiment!$B$2:$B$37,Phone_by_Sentiment!O$2:O$37,"",0,1)),_xlfn.XLOOKUP($C150,Phone_by_Sentiment!$B$2:$B$37,Phone_by_Sentiment!O$2:O$37,"",0,1),0),$A150-TEXT(DATEVALUE($D150&amp;"-01"), "dd-mm-yyyy")),0),0)</f>
        <v>0</v>
      </c>
      <c r="P150" s="1">
        <f t="shared" si="5"/>
        <v>44440</v>
      </c>
      <c r="Q150">
        <f t="shared" si="6"/>
        <v>-854</v>
      </c>
    </row>
    <row r="151" spans="1:17" x14ac:dyDescent="0.25">
      <c r="A151" s="1">
        <f t="shared" si="0"/>
        <v>43586</v>
      </c>
      <c r="B151" t="s">
        <v>158</v>
      </c>
      <c r="C151" t="str">
        <f>_xlfn.XLOOKUP(B151,Phone_by_Price!$A$2:$A$34,Phone_by_Price!$B$2:$B$34,"-",0,1)</f>
        <v>Samsung Galaxy A32 5G</v>
      </c>
      <c r="D151" t="str">
        <f>_xlfn.XLOOKUP(C151,Phone_by_Sentiment!$B$2:$B$37,Phone_by_Sentiment!$A$2:$A$37,"-",0,1)</f>
        <v>2021-02</v>
      </c>
      <c r="E151" cm="1">
        <f t="array" ref="E151">IF($Q151&gt;=0,IFERROR(generateSalesData($D151, IF(ISNUMBER(_xlfn.XLOOKUP($C151,Phone_by_Sentiment!$B$2:$B$37,Phone_by_Sentiment!E$2:E$37,"",0,1)),_xlfn.XLOOKUP($C151,Phone_by_Sentiment!$B$2:$B$37,Phone_by_Sentiment!E$2:E$37,"",0,1),0),$A151-TEXT(DATEVALUE($D151&amp;"-01"), "dd-mm-yyyy")),0),0)</f>
        <v>0</v>
      </c>
      <c r="F151" cm="1">
        <f t="array" ref="F151">IF($Q151&gt;=0,IFERROR(generateSalesData($D151, IF(ISNUMBER(_xlfn.XLOOKUP($C151,Phone_by_Sentiment!$B$2:$B$37,Phone_by_Sentiment!F$2:F$37,"",0,1)),_xlfn.XLOOKUP($C151,Phone_by_Sentiment!$B$2:$B$37,Phone_by_Sentiment!F$2:F$37,"",0,1),0),$A151-TEXT(DATEVALUE($D151&amp;"-01"), "dd-mm-yyyy")),0),0)</f>
        <v>0</v>
      </c>
      <c r="G151" cm="1">
        <f t="array" ref="G151">IF($Q151&gt;=0,IFERROR(generateSalesData($D151, IF(ISNUMBER(_xlfn.XLOOKUP($C151,Phone_by_Sentiment!$B$2:$B$37,Phone_by_Sentiment!G$2:G$37,"",0,1)),_xlfn.XLOOKUP($C151,Phone_by_Sentiment!$B$2:$B$37,Phone_by_Sentiment!G$2:G$37,"",0,1),0),$A151-TEXT(DATEVALUE($D151&amp;"-01"), "dd-mm-yyyy")),0),0)</f>
        <v>0</v>
      </c>
      <c r="H151" cm="1">
        <f t="array" ref="H151">IF($Q151&gt;=0,IFERROR(generateSalesData($D151, IF(ISNUMBER(_xlfn.XLOOKUP($C151,Phone_by_Sentiment!$B$2:$B$37,Phone_by_Sentiment!H$2:H$37,"",0,1)),_xlfn.XLOOKUP($C151,Phone_by_Sentiment!$B$2:$B$37,Phone_by_Sentiment!H$2:H$37,"",0,1),0),$A151-TEXT(DATEVALUE($D151&amp;"-01"), "dd-mm-yyyy")),0),0)</f>
        <v>0</v>
      </c>
      <c r="I151" cm="1">
        <f t="array" ref="I151">IF($Q151&gt;=0,IFERROR(generateSalesData($D151, IF(ISNUMBER(_xlfn.XLOOKUP($C151,Phone_by_Sentiment!$B$2:$B$37,Phone_by_Sentiment!I$2:I$37,"",0,1)),_xlfn.XLOOKUP($C151,Phone_by_Sentiment!$B$2:$B$37,Phone_by_Sentiment!I$2:I$37,"",0,1),0),$A151-TEXT(DATEVALUE($D151&amp;"-01"), "dd-mm-yyyy")),0),0)</f>
        <v>0</v>
      </c>
      <c r="J151" cm="1">
        <f t="array" ref="J151">IF($Q151&gt;=0,IFERROR(generateSalesData($D151, IF(ISNUMBER(_xlfn.XLOOKUP($C151,Phone_by_Sentiment!$B$2:$B$37,Phone_by_Sentiment!J$2:J$37,"",0,1)),_xlfn.XLOOKUP($C151,Phone_by_Sentiment!$B$2:$B$37,Phone_by_Sentiment!J$2:J$37,"",0,1),0),$A151-TEXT(DATEVALUE($D151&amp;"-01"), "dd-mm-yyyy")),0),0)</f>
        <v>0</v>
      </c>
      <c r="K151" cm="1">
        <f t="array" ref="K151">IF($Q151&gt;=0,IFERROR(generateSalesData($D151, IF(ISNUMBER(_xlfn.XLOOKUP($C151,Phone_by_Sentiment!$B$2:$B$37,Phone_by_Sentiment!K$2:K$37,"",0,1)),_xlfn.XLOOKUP($C151,Phone_by_Sentiment!$B$2:$B$37,Phone_by_Sentiment!K$2:K$37,"",0,1),0),$A151-TEXT(DATEVALUE($D151&amp;"-01"), "dd-mm-yyyy")),0),0)</f>
        <v>0</v>
      </c>
      <c r="L151" cm="1">
        <f t="array" ref="L151">IF($Q151&gt;=0,IFERROR(generateSalesData($D151, IF(ISNUMBER(_xlfn.XLOOKUP($C151,Phone_by_Sentiment!$B$2:$B$37,Phone_by_Sentiment!L$2:L$37,"",0,1)),_xlfn.XLOOKUP($C151,Phone_by_Sentiment!$B$2:$B$37,Phone_by_Sentiment!L$2:L$37,"",0,1),0),$A151-TEXT(DATEVALUE($D151&amp;"-01"), "dd-mm-yyyy")),0),0)</f>
        <v>0</v>
      </c>
      <c r="M151" cm="1">
        <f t="array" ref="M151">IF($Q151&gt;=0,IFERROR(generateSalesData($D151, IF(ISNUMBER(_xlfn.XLOOKUP($C151,Phone_by_Sentiment!$B$2:$B$37,Phone_by_Sentiment!M$2:M$37,"",0,1)),_xlfn.XLOOKUP($C151,Phone_by_Sentiment!$B$2:$B$37,Phone_by_Sentiment!M$2:M$37,"",0,1),0),$A151-TEXT(DATEVALUE($D151&amp;"-01"), "dd-mm-yyyy")),0),0)</f>
        <v>0</v>
      </c>
      <c r="N151" cm="1">
        <f t="array" ref="N151">IF($Q151&gt;=0,IFERROR(generateSalesData($D151, IF(ISNUMBER(_xlfn.XLOOKUP($C151,Phone_by_Sentiment!$B$2:$B$37,Phone_by_Sentiment!N$2:N$37,"",0,1)),_xlfn.XLOOKUP($C151,Phone_by_Sentiment!$B$2:$B$37,Phone_by_Sentiment!N$2:N$37,"",0,1),0),$A151-TEXT(DATEVALUE($D151&amp;"-01"), "dd-mm-yyyy")),0),0)</f>
        <v>0</v>
      </c>
      <c r="O151" cm="1">
        <f t="array" ref="O151">IF($Q151&gt;=0,IFERROR(generateSalesData($D151, IF(ISNUMBER(_xlfn.XLOOKUP($C151,Phone_by_Sentiment!$B$2:$B$37,Phone_by_Sentiment!O$2:O$37,"",0,1)),_xlfn.XLOOKUP($C151,Phone_by_Sentiment!$B$2:$B$37,Phone_by_Sentiment!O$2:O$37,"",0,1),0),$A151-TEXT(DATEVALUE($D151&amp;"-01"), "dd-mm-yyyy")),0),0)</f>
        <v>0</v>
      </c>
      <c r="P151" s="1">
        <f t="shared" si="5"/>
        <v>44228</v>
      </c>
      <c r="Q151">
        <f t="shared" si="6"/>
        <v>-642</v>
      </c>
    </row>
    <row r="152" spans="1:17" x14ac:dyDescent="0.25">
      <c r="A152" s="1">
        <f t="shared" si="0"/>
        <v>43586</v>
      </c>
      <c r="B152" t="s">
        <v>159</v>
      </c>
      <c r="C152" t="str">
        <f>_xlfn.XLOOKUP(B152,Phone_by_Price!$A$2:$A$34,Phone_by_Price!$B$2:$B$34,"-",0,1)</f>
        <v>Realme C25</v>
      </c>
      <c r="D152" t="str">
        <f>_xlfn.XLOOKUP(C152,Phone_by_Sentiment!$B$2:$B$37,Phone_by_Sentiment!$A$2:$A$37,"-",0,1)</f>
        <v>2021-03</v>
      </c>
      <c r="E152" cm="1">
        <f t="array" ref="E152">IF($Q152&gt;=0,IFERROR(generateSalesData($D152, IF(ISNUMBER(_xlfn.XLOOKUP($C152,Phone_by_Sentiment!$B$2:$B$37,Phone_by_Sentiment!E$2:E$37,"",0,1)),_xlfn.XLOOKUP($C152,Phone_by_Sentiment!$B$2:$B$37,Phone_by_Sentiment!E$2:E$37,"",0,1),0),$A152-TEXT(DATEVALUE($D152&amp;"-01"), "dd-mm-yyyy")),0),0)</f>
        <v>0</v>
      </c>
      <c r="F152" cm="1">
        <f t="array" ref="F152">IF($Q152&gt;=0,IFERROR(generateSalesData($D152, IF(ISNUMBER(_xlfn.XLOOKUP($C152,Phone_by_Sentiment!$B$2:$B$37,Phone_by_Sentiment!F$2:F$37,"",0,1)),_xlfn.XLOOKUP($C152,Phone_by_Sentiment!$B$2:$B$37,Phone_by_Sentiment!F$2:F$37,"",0,1),0),$A152-TEXT(DATEVALUE($D152&amp;"-01"), "dd-mm-yyyy")),0),0)</f>
        <v>0</v>
      </c>
      <c r="G152" cm="1">
        <f t="array" ref="G152">IF($Q152&gt;=0,IFERROR(generateSalesData($D152, IF(ISNUMBER(_xlfn.XLOOKUP($C152,Phone_by_Sentiment!$B$2:$B$37,Phone_by_Sentiment!G$2:G$37,"",0,1)),_xlfn.XLOOKUP($C152,Phone_by_Sentiment!$B$2:$B$37,Phone_by_Sentiment!G$2:G$37,"",0,1),0),$A152-TEXT(DATEVALUE($D152&amp;"-01"), "dd-mm-yyyy")),0),0)</f>
        <v>0</v>
      </c>
      <c r="H152" cm="1">
        <f t="array" ref="H152">IF($Q152&gt;=0,IFERROR(generateSalesData($D152, IF(ISNUMBER(_xlfn.XLOOKUP($C152,Phone_by_Sentiment!$B$2:$B$37,Phone_by_Sentiment!H$2:H$37,"",0,1)),_xlfn.XLOOKUP($C152,Phone_by_Sentiment!$B$2:$B$37,Phone_by_Sentiment!H$2:H$37,"",0,1),0),$A152-TEXT(DATEVALUE($D152&amp;"-01"), "dd-mm-yyyy")),0),0)</f>
        <v>0</v>
      </c>
      <c r="I152" cm="1">
        <f t="array" ref="I152">IF($Q152&gt;=0,IFERROR(generateSalesData($D152, IF(ISNUMBER(_xlfn.XLOOKUP($C152,Phone_by_Sentiment!$B$2:$B$37,Phone_by_Sentiment!I$2:I$37,"",0,1)),_xlfn.XLOOKUP($C152,Phone_by_Sentiment!$B$2:$B$37,Phone_by_Sentiment!I$2:I$37,"",0,1),0),$A152-TEXT(DATEVALUE($D152&amp;"-01"), "dd-mm-yyyy")),0),0)</f>
        <v>0</v>
      </c>
      <c r="J152" cm="1">
        <f t="array" ref="J152">IF($Q152&gt;=0,IFERROR(generateSalesData($D152, IF(ISNUMBER(_xlfn.XLOOKUP($C152,Phone_by_Sentiment!$B$2:$B$37,Phone_by_Sentiment!J$2:J$37,"",0,1)),_xlfn.XLOOKUP($C152,Phone_by_Sentiment!$B$2:$B$37,Phone_by_Sentiment!J$2:J$37,"",0,1),0),$A152-TEXT(DATEVALUE($D152&amp;"-01"), "dd-mm-yyyy")),0),0)</f>
        <v>0</v>
      </c>
      <c r="K152" cm="1">
        <f t="array" ref="K152">IF($Q152&gt;=0,IFERROR(generateSalesData($D152, IF(ISNUMBER(_xlfn.XLOOKUP($C152,Phone_by_Sentiment!$B$2:$B$37,Phone_by_Sentiment!K$2:K$37,"",0,1)),_xlfn.XLOOKUP($C152,Phone_by_Sentiment!$B$2:$B$37,Phone_by_Sentiment!K$2:K$37,"",0,1),0),$A152-TEXT(DATEVALUE($D152&amp;"-01"), "dd-mm-yyyy")),0),0)</f>
        <v>0</v>
      </c>
      <c r="L152" cm="1">
        <f t="array" ref="L152">IF($Q152&gt;=0,IFERROR(generateSalesData($D152, IF(ISNUMBER(_xlfn.XLOOKUP($C152,Phone_by_Sentiment!$B$2:$B$37,Phone_by_Sentiment!L$2:L$37,"",0,1)),_xlfn.XLOOKUP($C152,Phone_by_Sentiment!$B$2:$B$37,Phone_by_Sentiment!L$2:L$37,"",0,1),0),$A152-TEXT(DATEVALUE($D152&amp;"-01"), "dd-mm-yyyy")),0),0)</f>
        <v>0</v>
      </c>
      <c r="M152" cm="1">
        <f t="array" ref="M152">IF($Q152&gt;=0,IFERROR(generateSalesData($D152, IF(ISNUMBER(_xlfn.XLOOKUP($C152,Phone_by_Sentiment!$B$2:$B$37,Phone_by_Sentiment!M$2:M$37,"",0,1)),_xlfn.XLOOKUP($C152,Phone_by_Sentiment!$B$2:$B$37,Phone_by_Sentiment!M$2:M$37,"",0,1),0),$A152-TEXT(DATEVALUE($D152&amp;"-01"), "dd-mm-yyyy")),0),0)</f>
        <v>0</v>
      </c>
      <c r="N152" cm="1">
        <f t="array" ref="N152">IF($Q152&gt;=0,IFERROR(generateSalesData($D152, IF(ISNUMBER(_xlfn.XLOOKUP($C152,Phone_by_Sentiment!$B$2:$B$37,Phone_by_Sentiment!N$2:N$37,"",0,1)),_xlfn.XLOOKUP($C152,Phone_by_Sentiment!$B$2:$B$37,Phone_by_Sentiment!N$2:N$37,"",0,1),0),$A152-TEXT(DATEVALUE($D152&amp;"-01"), "dd-mm-yyyy")),0),0)</f>
        <v>0</v>
      </c>
      <c r="O152" cm="1">
        <f t="array" ref="O152">IF($Q152&gt;=0,IFERROR(generateSalesData($D152, IF(ISNUMBER(_xlfn.XLOOKUP($C152,Phone_by_Sentiment!$B$2:$B$37,Phone_by_Sentiment!O$2:O$37,"",0,1)),_xlfn.XLOOKUP($C152,Phone_by_Sentiment!$B$2:$B$37,Phone_by_Sentiment!O$2:O$37,"",0,1),0),$A152-TEXT(DATEVALUE($D152&amp;"-01"), "dd-mm-yyyy")),0),0)</f>
        <v>0</v>
      </c>
      <c r="P152" s="1">
        <f t="shared" si="5"/>
        <v>44256</v>
      </c>
      <c r="Q152">
        <f t="shared" si="6"/>
        <v>-670</v>
      </c>
    </row>
    <row r="153" spans="1:17" x14ac:dyDescent="0.25">
      <c r="A153" s="1">
        <f t="shared" si="0"/>
        <v>43586</v>
      </c>
      <c r="B153" t="s">
        <v>160</v>
      </c>
      <c r="C153" t="str">
        <f>_xlfn.XLOOKUP(B153,Phone_by_Price!$A$2:$A$34,Phone_by_Price!$B$2:$B$34,"-",0,1)</f>
        <v>Xiaomi Poco X3 Pro</v>
      </c>
      <c r="D153" t="str">
        <f>_xlfn.XLOOKUP(C153,Phone_by_Sentiment!$B$2:$B$37,Phone_by_Sentiment!$A$2:$A$37,"-",0,1)</f>
        <v>2021-05</v>
      </c>
      <c r="E153" cm="1">
        <f t="array" ref="E153">IF($Q153&gt;=0,IFERROR(generateSalesData($D153, IF(ISNUMBER(_xlfn.XLOOKUP($C153,Phone_by_Sentiment!$B$2:$B$37,Phone_by_Sentiment!E$2:E$37,"",0,1)),_xlfn.XLOOKUP($C153,Phone_by_Sentiment!$B$2:$B$37,Phone_by_Sentiment!E$2:E$37,"",0,1),0),$A153-TEXT(DATEVALUE($D153&amp;"-01"), "dd-mm-yyyy")),0),0)</f>
        <v>0</v>
      </c>
      <c r="F153" cm="1">
        <f t="array" ref="F153">IF($Q153&gt;=0,IFERROR(generateSalesData($D153, IF(ISNUMBER(_xlfn.XLOOKUP($C153,Phone_by_Sentiment!$B$2:$B$37,Phone_by_Sentiment!F$2:F$37,"",0,1)),_xlfn.XLOOKUP($C153,Phone_by_Sentiment!$B$2:$B$37,Phone_by_Sentiment!F$2:F$37,"",0,1),0),$A153-TEXT(DATEVALUE($D153&amp;"-01"), "dd-mm-yyyy")),0),0)</f>
        <v>0</v>
      </c>
      <c r="G153" cm="1">
        <f t="array" ref="G153">IF($Q153&gt;=0,IFERROR(generateSalesData($D153, IF(ISNUMBER(_xlfn.XLOOKUP($C153,Phone_by_Sentiment!$B$2:$B$37,Phone_by_Sentiment!G$2:G$37,"",0,1)),_xlfn.XLOOKUP($C153,Phone_by_Sentiment!$B$2:$B$37,Phone_by_Sentiment!G$2:G$37,"",0,1),0),$A153-TEXT(DATEVALUE($D153&amp;"-01"), "dd-mm-yyyy")),0),0)</f>
        <v>0</v>
      </c>
      <c r="H153" cm="1">
        <f t="array" ref="H153">IF($Q153&gt;=0,IFERROR(generateSalesData($D153, IF(ISNUMBER(_xlfn.XLOOKUP($C153,Phone_by_Sentiment!$B$2:$B$37,Phone_by_Sentiment!H$2:H$37,"",0,1)),_xlfn.XLOOKUP($C153,Phone_by_Sentiment!$B$2:$B$37,Phone_by_Sentiment!H$2:H$37,"",0,1),0),$A153-TEXT(DATEVALUE($D153&amp;"-01"), "dd-mm-yyyy")),0),0)</f>
        <v>0</v>
      </c>
      <c r="I153" cm="1">
        <f t="array" ref="I153">IF($Q153&gt;=0,IFERROR(generateSalesData($D153, IF(ISNUMBER(_xlfn.XLOOKUP($C153,Phone_by_Sentiment!$B$2:$B$37,Phone_by_Sentiment!I$2:I$37,"",0,1)),_xlfn.XLOOKUP($C153,Phone_by_Sentiment!$B$2:$B$37,Phone_by_Sentiment!I$2:I$37,"",0,1),0),$A153-TEXT(DATEVALUE($D153&amp;"-01"), "dd-mm-yyyy")),0),0)</f>
        <v>0</v>
      </c>
      <c r="J153" cm="1">
        <f t="array" ref="J153">IF($Q153&gt;=0,IFERROR(generateSalesData($D153, IF(ISNUMBER(_xlfn.XLOOKUP($C153,Phone_by_Sentiment!$B$2:$B$37,Phone_by_Sentiment!J$2:J$37,"",0,1)),_xlfn.XLOOKUP($C153,Phone_by_Sentiment!$B$2:$B$37,Phone_by_Sentiment!J$2:J$37,"",0,1),0),$A153-TEXT(DATEVALUE($D153&amp;"-01"), "dd-mm-yyyy")),0),0)</f>
        <v>0</v>
      </c>
      <c r="K153" cm="1">
        <f t="array" ref="K153">IF($Q153&gt;=0,IFERROR(generateSalesData($D153, IF(ISNUMBER(_xlfn.XLOOKUP($C153,Phone_by_Sentiment!$B$2:$B$37,Phone_by_Sentiment!K$2:K$37,"",0,1)),_xlfn.XLOOKUP($C153,Phone_by_Sentiment!$B$2:$B$37,Phone_by_Sentiment!K$2:K$37,"",0,1),0),$A153-TEXT(DATEVALUE($D153&amp;"-01"), "dd-mm-yyyy")),0),0)</f>
        <v>0</v>
      </c>
      <c r="L153" cm="1">
        <f t="array" ref="L153">IF($Q153&gt;=0,IFERROR(generateSalesData($D153, IF(ISNUMBER(_xlfn.XLOOKUP($C153,Phone_by_Sentiment!$B$2:$B$37,Phone_by_Sentiment!L$2:L$37,"",0,1)),_xlfn.XLOOKUP($C153,Phone_by_Sentiment!$B$2:$B$37,Phone_by_Sentiment!L$2:L$37,"",0,1),0),$A153-TEXT(DATEVALUE($D153&amp;"-01"), "dd-mm-yyyy")),0),0)</f>
        <v>0</v>
      </c>
      <c r="M153" cm="1">
        <f t="array" ref="M153">IF($Q153&gt;=0,IFERROR(generateSalesData($D153, IF(ISNUMBER(_xlfn.XLOOKUP($C153,Phone_by_Sentiment!$B$2:$B$37,Phone_by_Sentiment!M$2:M$37,"",0,1)),_xlfn.XLOOKUP($C153,Phone_by_Sentiment!$B$2:$B$37,Phone_by_Sentiment!M$2:M$37,"",0,1),0),$A153-TEXT(DATEVALUE($D153&amp;"-01"), "dd-mm-yyyy")),0),0)</f>
        <v>0</v>
      </c>
      <c r="N153" cm="1">
        <f t="array" ref="N153">IF($Q153&gt;=0,IFERROR(generateSalesData($D153, IF(ISNUMBER(_xlfn.XLOOKUP($C153,Phone_by_Sentiment!$B$2:$B$37,Phone_by_Sentiment!N$2:N$37,"",0,1)),_xlfn.XLOOKUP($C153,Phone_by_Sentiment!$B$2:$B$37,Phone_by_Sentiment!N$2:N$37,"",0,1),0),$A153-TEXT(DATEVALUE($D153&amp;"-01"), "dd-mm-yyyy")),0),0)</f>
        <v>0</v>
      </c>
      <c r="O153" cm="1">
        <f t="array" ref="O153">IF($Q153&gt;=0,IFERROR(generateSalesData($D153, IF(ISNUMBER(_xlfn.XLOOKUP($C153,Phone_by_Sentiment!$B$2:$B$37,Phone_by_Sentiment!O$2:O$37,"",0,1)),_xlfn.XLOOKUP($C153,Phone_by_Sentiment!$B$2:$B$37,Phone_by_Sentiment!O$2:O$37,"",0,1),0),$A153-TEXT(DATEVALUE($D153&amp;"-01"), "dd-mm-yyyy")),0),0)</f>
        <v>0</v>
      </c>
      <c r="P153" s="1">
        <f t="shared" si="5"/>
        <v>44317</v>
      </c>
      <c r="Q153">
        <f t="shared" si="6"/>
        <v>-731</v>
      </c>
    </row>
    <row r="154" spans="1:17" x14ac:dyDescent="0.25">
      <c r="A154" s="1">
        <f t="shared" si="0"/>
        <v>43586</v>
      </c>
      <c r="B154" t="s">
        <v>161</v>
      </c>
      <c r="C154" t="str">
        <f>_xlfn.XLOOKUP(B154,Phone_by_Price!$A$2:$A$34,Phone_by_Price!$B$2:$B$34,"-",0,1)</f>
        <v>Samsung Galaxy Z Flip 3</v>
      </c>
      <c r="D154" t="str">
        <f>_xlfn.XLOOKUP(C154,Phone_by_Sentiment!$B$2:$B$37,Phone_by_Sentiment!$A$2:$A$37,"-",0,1)</f>
        <v>2021-09</v>
      </c>
      <c r="E154" cm="1">
        <f t="array" ref="E154">IF($Q154&gt;=0,IFERROR(generateSalesData($D154, IF(ISNUMBER(_xlfn.XLOOKUP($C154,Phone_by_Sentiment!$B$2:$B$37,Phone_by_Sentiment!E$2:E$37,"",0,1)),_xlfn.XLOOKUP($C154,Phone_by_Sentiment!$B$2:$B$37,Phone_by_Sentiment!E$2:E$37,"",0,1),0),$A154-TEXT(DATEVALUE($D154&amp;"-01"), "dd-mm-yyyy")),0),0)</f>
        <v>0</v>
      </c>
      <c r="F154" cm="1">
        <f t="array" ref="F154">IF($Q154&gt;=0,IFERROR(generateSalesData($D154, IF(ISNUMBER(_xlfn.XLOOKUP($C154,Phone_by_Sentiment!$B$2:$B$37,Phone_by_Sentiment!F$2:F$37,"",0,1)),_xlfn.XLOOKUP($C154,Phone_by_Sentiment!$B$2:$B$37,Phone_by_Sentiment!F$2:F$37,"",0,1),0),$A154-TEXT(DATEVALUE($D154&amp;"-01"), "dd-mm-yyyy")),0),0)</f>
        <v>0</v>
      </c>
      <c r="G154" cm="1">
        <f t="array" ref="G154">IF($Q154&gt;=0,IFERROR(generateSalesData($D154, IF(ISNUMBER(_xlfn.XLOOKUP($C154,Phone_by_Sentiment!$B$2:$B$37,Phone_by_Sentiment!G$2:G$37,"",0,1)),_xlfn.XLOOKUP($C154,Phone_by_Sentiment!$B$2:$B$37,Phone_by_Sentiment!G$2:G$37,"",0,1),0),$A154-TEXT(DATEVALUE($D154&amp;"-01"), "dd-mm-yyyy")),0),0)</f>
        <v>0</v>
      </c>
      <c r="H154" cm="1">
        <f t="array" ref="H154">IF($Q154&gt;=0,IFERROR(generateSalesData($D154, IF(ISNUMBER(_xlfn.XLOOKUP($C154,Phone_by_Sentiment!$B$2:$B$37,Phone_by_Sentiment!H$2:H$37,"",0,1)),_xlfn.XLOOKUP($C154,Phone_by_Sentiment!$B$2:$B$37,Phone_by_Sentiment!H$2:H$37,"",0,1),0),$A154-TEXT(DATEVALUE($D154&amp;"-01"), "dd-mm-yyyy")),0),0)</f>
        <v>0</v>
      </c>
      <c r="I154" cm="1">
        <f t="array" ref="I154">IF($Q154&gt;=0,IFERROR(generateSalesData($D154, IF(ISNUMBER(_xlfn.XLOOKUP($C154,Phone_by_Sentiment!$B$2:$B$37,Phone_by_Sentiment!I$2:I$37,"",0,1)),_xlfn.XLOOKUP($C154,Phone_by_Sentiment!$B$2:$B$37,Phone_by_Sentiment!I$2:I$37,"",0,1),0),$A154-TEXT(DATEVALUE($D154&amp;"-01"), "dd-mm-yyyy")),0),0)</f>
        <v>0</v>
      </c>
      <c r="J154" cm="1">
        <f t="array" ref="J154">IF($Q154&gt;=0,IFERROR(generateSalesData($D154, IF(ISNUMBER(_xlfn.XLOOKUP($C154,Phone_by_Sentiment!$B$2:$B$37,Phone_by_Sentiment!J$2:J$37,"",0,1)),_xlfn.XLOOKUP($C154,Phone_by_Sentiment!$B$2:$B$37,Phone_by_Sentiment!J$2:J$37,"",0,1),0),$A154-TEXT(DATEVALUE($D154&amp;"-01"), "dd-mm-yyyy")),0),0)</f>
        <v>0</v>
      </c>
      <c r="K154" cm="1">
        <f t="array" ref="K154">IF($Q154&gt;=0,IFERROR(generateSalesData($D154, IF(ISNUMBER(_xlfn.XLOOKUP($C154,Phone_by_Sentiment!$B$2:$B$37,Phone_by_Sentiment!K$2:K$37,"",0,1)),_xlfn.XLOOKUP($C154,Phone_by_Sentiment!$B$2:$B$37,Phone_by_Sentiment!K$2:K$37,"",0,1),0),$A154-TEXT(DATEVALUE($D154&amp;"-01"), "dd-mm-yyyy")),0),0)</f>
        <v>0</v>
      </c>
      <c r="L154" cm="1">
        <f t="array" ref="L154">IF($Q154&gt;=0,IFERROR(generateSalesData($D154, IF(ISNUMBER(_xlfn.XLOOKUP($C154,Phone_by_Sentiment!$B$2:$B$37,Phone_by_Sentiment!L$2:L$37,"",0,1)),_xlfn.XLOOKUP($C154,Phone_by_Sentiment!$B$2:$B$37,Phone_by_Sentiment!L$2:L$37,"",0,1),0),$A154-TEXT(DATEVALUE($D154&amp;"-01"), "dd-mm-yyyy")),0),0)</f>
        <v>0</v>
      </c>
      <c r="M154" cm="1">
        <f t="array" ref="M154">IF($Q154&gt;=0,IFERROR(generateSalesData($D154, IF(ISNUMBER(_xlfn.XLOOKUP($C154,Phone_by_Sentiment!$B$2:$B$37,Phone_by_Sentiment!M$2:M$37,"",0,1)),_xlfn.XLOOKUP($C154,Phone_by_Sentiment!$B$2:$B$37,Phone_by_Sentiment!M$2:M$37,"",0,1),0),$A154-TEXT(DATEVALUE($D154&amp;"-01"), "dd-mm-yyyy")),0),0)</f>
        <v>0</v>
      </c>
      <c r="N154" cm="1">
        <f t="array" ref="N154">IF($Q154&gt;=0,IFERROR(generateSalesData($D154, IF(ISNUMBER(_xlfn.XLOOKUP($C154,Phone_by_Sentiment!$B$2:$B$37,Phone_by_Sentiment!N$2:N$37,"",0,1)),_xlfn.XLOOKUP($C154,Phone_by_Sentiment!$B$2:$B$37,Phone_by_Sentiment!N$2:N$37,"",0,1),0),$A154-TEXT(DATEVALUE($D154&amp;"-01"), "dd-mm-yyyy")),0),0)</f>
        <v>0</v>
      </c>
      <c r="O154" cm="1">
        <f t="array" ref="O154">IF($Q154&gt;=0,IFERROR(generateSalesData($D154, IF(ISNUMBER(_xlfn.XLOOKUP($C154,Phone_by_Sentiment!$B$2:$B$37,Phone_by_Sentiment!O$2:O$37,"",0,1)),_xlfn.XLOOKUP($C154,Phone_by_Sentiment!$B$2:$B$37,Phone_by_Sentiment!O$2:O$37,"",0,1),0),$A154-TEXT(DATEVALUE($D154&amp;"-01"), "dd-mm-yyyy")),0),0)</f>
        <v>0</v>
      </c>
      <c r="P154" s="1">
        <f t="shared" si="5"/>
        <v>44440</v>
      </c>
      <c r="Q154">
        <f t="shared" si="6"/>
        <v>-854</v>
      </c>
    </row>
    <row r="155" spans="1:17" x14ac:dyDescent="0.25">
      <c r="A155" s="1">
        <f t="shared" si="0"/>
        <v>43586</v>
      </c>
      <c r="B155" t="s">
        <v>162</v>
      </c>
      <c r="C155" t="str">
        <f>_xlfn.XLOOKUP(B155,Phone_by_Price!$A$2:$A$34,Phone_by_Price!$B$2:$B$34,"-",0,1)</f>
        <v>Xiaomi Poco X3 NFC</v>
      </c>
      <c r="D155" t="str">
        <f>_xlfn.XLOOKUP(C155,Phone_by_Sentiment!$B$2:$B$37,Phone_by_Sentiment!$A$2:$A$37,"-",0,1)</f>
        <v>2020-08</v>
      </c>
      <c r="E155" cm="1">
        <f t="array" ref="E155">IF($Q155&gt;=0,IFERROR(generateSalesData($D155, IF(ISNUMBER(_xlfn.XLOOKUP($C155,Phone_by_Sentiment!$B$2:$B$37,Phone_by_Sentiment!E$2:E$37,"",0,1)),_xlfn.XLOOKUP($C155,Phone_by_Sentiment!$B$2:$B$37,Phone_by_Sentiment!E$2:E$37,"",0,1),0),$A155-TEXT(DATEVALUE($D155&amp;"-01"), "dd-mm-yyyy")),0),0)</f>
        <v>0</v>
      </c>
      <c r="F155" cm="1">
        <f t="array" ref="F155">IF($Q155&gt;=0,IFERROR(generateSalesData($D155, IF(ISNUMBER(_xlfn.XLOOKUP($C155,Phone_by_Sentiment!$B$2:$B$37,Phone_by_Sentiment!F$2:F$37,"",0,1)),_xlfn.XLOOKUP($C155,Phone_by_Sentiment!$B$2:$B$37,Phone_by_Sentiment!F$2:F$37,"",0,1),0),$A155-TEXT(DATEVALUE($D155&amp;"-01"), "dd-mm-yyyy")),0),0)</f>
        <v>0</v>
      </c>
      <c r="G155" cm="1">
        <f t="array" ref="G155">IF($Q155&gt;=0,IFERROR(generateSalesData($D155, IF(ISNUMBER(_xlfn.XLOOKUP($C155,Phone_by_Sentiment!$B$2:$B$37,Phone_by_Sentiment!G$2:G$37,"",0,1)),_xlfn.XLOOKUP($C155,Phone_by_Sentiment!$B$2:$B$37,Phone_by_Sentiment!G$2:G$37,"",0,1),0),$A155-TEXT(DATEVALUE($D155&amp;"-01"), "dd-mm-yyyy")),0),0)</f>
        <v>0</v>
      </c>
      <c r="H155" cm="1">
        <f t="array" ref="H155">IF($Q155&gt;=0,IFERROR(generateSalesData($D155, IF(ISNUMBER(_xlfn.XLOOKUP($C155,Phone_by_Sentiment!$B$2:$B$37,Phone_by_Sentiment!H$2:H$37,"",0,1)),_xlfn.XLOOKUP($C155,Phone_by_Sentiment!$B$2:$B$37,Phone_by_Sentiment!H$2:H$37,"",0,1),0),$A155-TEXT(DATEVALUE($D155&amp;"-01"), "dd-mm-yyyy")),0),0)</f>
        <v>0</v>
      </c>
      <c r="I155" cm="1">
        <f t="array" ref="I155">IF($Q155&gt;=0,IFERROR(generateSalesData($D155, IF(ISNUMBER(_xlfn.XLOOKUP($C155,Phone_by_Sentiment!$B$2:$B$37,Phone_by_Sentiment!I$2:I$37,"",0,1)),_xlfn.XLOOKUP($C155,Phone_by_Sentiment!$B$2:$B$37,Phone_by_Sentiment!I$2:I$37,"",0,1),0),$A155-TEXT(DATEVALUE($D155&amp;"-01"), "dd-mm-yyyy")),0),0)</f>
        <v>0</v>
      </c>
      <c r="J155" cm="1">
        <f t="array" ref="J155">IF($Q155&gt;=0,IFERROR(generateSalesData($D155, IF(ISNUMBER(_xlfn.XLOOKUP($C155,Phone_by_Sentiment!$B$2:$B$37,Phone_by_Sentiment!J$2:J$37,"",0,1)),_xlfn.XLOOKUP($C155,Phone_by_Sentiment!$B$2:$B$37,Phone_by_Sentiment!J$2:J$37,"",0,1),0),$A155-TEXT(DATEVALUE($D155&amp;"-01"), "dd-mm-yyyy")),0),0)</f>
        <v>0</v>
      </c>
      <c r="K155" cm="1">
        <f t="array" ref="K155">IF($Q155&gt;=0,IFERROR(generateSalesData($D155, IF(ISNUMBER(_xlfn.XLOOKUP($C155,Phone_by_Sentiment!$B$2:$B$37,Phone_by_Sentiment!K$2:K$37,"",0,1)),_xlfn.XLOOKUP($C155,Phone_by_Sentiment!$B$2:$B$37,Phone_by_Sentiment!K$2:K$37,"",0,1),0),$A155-TEXT(DATEVALUE($D155&amp;"-01"), "dd-mm-yyyy")),0),0)</f>
        <v>0</v>
      </c>
      <c r="L155" cm="1">
        <f t="array" ref="L155">IF($Q155&gt;=0,IFERROR(generateSalesData($D155, IF(ISNUMBER(_xlfn.XLOOKUP($C155,Phone_by_Sentiment!$B$2:$B$37,Phone_by_Sentiment!L$2:L$37,"",0,1)),_xlfn.XLOOKUP($C155,Phone_by_Sentiment!$B$2:$B$37,Phone_by_Sentiment!L$2:L$37,"",0,1),0),$A155-TEXT(DATEVALUE($D155&amp;"-01"), "dd-mm-yyyy")),0),0)</f>
        <v>0</v>
      </c>
      <c r="M155" cm="1">
        <f t="array" ref="M155">IF($Q155&gt;=0,IFERROR(generateSalesData($D155, IF(ISNUMBER(_xlfn.XLOOKUP($C155,Phone_by_Sentiment!$B$2:$B$37,Phone_by_Sentiment!M$2:M$37,"",0,1)),_xlfn.XLOOKUP($C155,Phone_by_Sentiment!$B$2:$B$37,Phone_by_Sentiment!M$2:M$37,"",0,1),0),$A155-TEXT(DATEVALUE($D155&amp;"-01"), "dd-mm-yyyy")),0),0)</f>
        <v>0</v>
      </c>
      <c r="N155" cm="1">
        <f t="array" ref="N155">IF($Q155&gt;=0,IFERROR(generateSalesData($D155, IF(ISNUMBER(_xlfn.XLOOKUP($C155,Phone_by_Sentiment!$B$2:$B$37,Phone_by_Sentiment!N$2:N$37,"",0,1)),_xlfn.XLOOKUP($C155,Phone_by_Sentiment!$B$2:$B$37,Phone_by_Sentiment!N$2:N$37,"",0,1),0),$A155-TEXT(DATEVALUE($D155&amp;"-01"), "dd-mm-yyyy")),0),0)</f>
        <v>0</v>
      </c>
      <c r="O155" cm="1">
        <f t="array" ref="O155">IF($Q155&gt;=0,IFERROR(generateSalesData($D155, IF(ISNUMBER(_xlfn.XLOOKUP($C155,Phone_by_Sentiment!$B$2:$B$37,Phone_by_Sentiment!O$2:O$37,"",0,1)),_xlfn.XLOOKUP($C155,Phone_by_Sentiment!$B$2:$B$37,Phone_by_Sentiment!O$2:O$37,"",0,1),0),$A155-TEXT(DATEVALUE($D155&amp;"-01"), "dd-mm-yyyy")),0),0)</f>
        <v>0</v>
      </c>
      <c r="P155" s="1">
        <f t="shared" si="5"/>
        <v>44044</v>
      </c>
      <c r="Q155">
        <f t="shared" si="6"/>
        <v>-458</v>
      </c>
    </row>
    <row r="156" spans="1:17" x14ac:dyDescent="0.25">
      <c r="A156" s="1">
        <f t="shared" si="0"/>
        <v>43586</v>
      </c>
      <c r="B156" t="s">
        <v>163</v>
      </c>
      <c r="C156" t="str">
        <f>_xlfn.XLOOKUP(B156,Phone_by_Price!$A$2:$A$34,Phone_by_Price!$B$2:$B$34,"-",0,1)</f>
        <v>OPPO A93</v>
      </c>
      <c r="D156" t="str">
        <f>_xlfn.XLOOKUP(C156,Phone_by_Sentiment!$B$2:$B$37,Phone_by_Sentiment!$A$2:$A$37,"-",0,1)</f>
        <v>2021-02</v>
      </c>
      <c r="E156" cm="1">
        <f t="array" ref="E156">IF($Q156&gt;=0,IFERROR(generateSalesData($D156, IF(ISNUMBER(_xlfn.XLOOKUP($C156,Phone_by_Sentiment!$B$2:$B$37,Phone_by_Sentiment!E$2:E$37,"",0,1)),_xlfn.XLOOKUP($C156,Phone_by_Sentiment!$B$2:$B$37,Phone_by_Sentiment!E$2:E$37,"",0,1),0),$A156-TEXT(DATEVALUE($D156&amp;"-01"), "dd-mm-yyyy")),0),0)</f>
        <v>0</v>
      </c>
      <c r="F156" cm="1">
        <f t="array" ref="F156">IF($Q156&gt;=0,IFERROR(generateSalesData($D156, IF(ISNUMBER(_xlfn.XLOOKUP($C156,Phone_by_Sentiment!$B$2:$B$37,Phone_by_Sentiment!F$2:F$37,"",0,1)),_xlfn.XLOOKUP($C156,Phone_by_Sentiment!$B$2:$B$37,Phone_by_Sentiment!F$2:F$37,"",0,1),0),$A156-TEXT(DATEVALUE($D156&amp;"-01"), "dd-mm-yyyy")),0),0)</f>
        <v>0</v>
      </c>
      <c r="G156" cm="1">
        <f t="array" ref="G156">IF($Q156&gt;=0,IFERROR(generateSalesData($D156, IF(ISNUMBER(_xlfn.XLOOKUP($C156,Phone_by_Sentiment!$B$2:$B$37,Phone_by_Sentiment!G$2:G$37,"",0,1)),_xlfn.XLOOKUP($C156,Phone_by_Sentiment!$B$2:$B$37,Phone_by_Sentiment!G$2:G$37,"",0,1),0),$A156-TEXT(DATEVALUE($D156&amp;"-01"), "dd-mm-yyyy")),0),0)</f>
        <v>0</v>
      </c>
      <c r="H156" cm="1">
        <f t="array" ref="H156">IF($Q156&gt;=0,IFERROR(generateSalesData($D156, IF(ISNUMBER(_xlfn.XLOOKUP($C156,Phone_by_Sentiment!$B$2:$B$37,Phone_by_Sentiment!H$2:H$37,"",0,1)),_xlfn.XLOOKUP($C156,Phone_by_Sentiment!$B$2:$B$37,Phone_by_Sentiment!H$2:H$37,"",0,1),0),$A156-TEXT(DATEVALUE($D156&amp;"-01"), "dd-mm-yyyy")),0),0)</f>
        <v>0</v>
      </c>
      <c r="I156" cm="1">
        <f t="array" ref="I156">IF($Q156&gt;=0,IFERROR(generateSalesData($D156, IF(ISNUMBER(_xlfn.XLOOKUP($C156,Phone_by_Sentiment!$B$2:$B$37,Phone_by_Sentiment!I$2:I$37,"",0,1)),_xlfn.XLOOKUP($C156,Phone_by_Sentiment!$B$2:$B$37,Phone_by_Sentiment!I$2:I$37,"",0,1),0),$A156-TEXT(DATEVALUE($D156&amp;"-01"), "dd-mm-yyyy")),0),0)</f>
        <v>0</v>
      </c>
      <c r="J156" cm="1">
        <f t="array" ref="J156">IF($Q156&gt;=0,IFERROR(generateSalesData($D156, IF(ISNUMBER(_xlfn.XLOOKUP($C156,Phone_by_Sentiment!$B$2:$B$37,Phone_by_Sentiment!J$2:J$37,"",0,1)),_xlfn.XLOOKUP($C156,Phone_by_Sentiment!$B$2:$B$37,Phone_by_Sentiment!J$2:J$37,"",0,1),0),$A156-TEXT(DATEVALUE($D156&amp;"-01"), "dd-mm-yyyy")),0),0)</f>
        <v>0</v>
      </c>
      <c r="K156" cm="1">
        <f t="array" ref="K156">IF($Q156&gt;=0,IFERROR(generateSalesData($D156, IF(ISNUMBER(_xlfn.XLOOKUP($C156,Phone_by_Sentiment!$B$2:$B$37,Phone_by_Sentiment!K$2:K$37,"",0,1)),_xlfn.XLOOKUP($C156,Phone_by_Sentiment!$B$2:$B$37,Phone_by_Sentiment!K$2:K$37,"",0,1),0),$A156-TEXT(DATEVALUE($D156&amp;"-01"), "dd-mm-yyyy")),0),0)</f>
        <v>0</v>
      </c>
      <c r="L156" cm="1">
        <f t="array" ref="L156">IF($Q156&gt;=0,IFERROR(generateSalesData($D156, IF(ISNUMBER(_xlfn.XLOOKUP($C156,Phone_by_Sentiment!$B$2:$B$37,Phone_by_Sentiment!L$2:L$37,"",0,1)),_xlfn.XLOOKUP($C156,Phone_by_Sentiment!$B$2:$B$37,Phone_by_Sentiment!L$2:L$37,"",0,1),0),$A156-TEXT(DATEVALUE($D156&amp;"-01"), "dd-mm-yyyy")),0),0)</f>
        <v>0</v>
      </c>
      <c r="M156" cm="1">
        <f t="array" ref="M156">IF($Q156&gt;=0,IFERROR(generateSalesData($D156, IF(ISNUMBER(_xlfn.XLOOKUP($C156,Phone_by_Sentiment!$B$2:$B$37,Phone_by_Sentiment!M$2:M$37,"",0,1)),_xlfn.XLOOKUP($C156,Phone_by_Sentiment!$B$2:$B$37,Phone_by_Sentiment!M$2:M$37,"",0,1),0),$A156-TEXT(DATEVALUE($D156&amp;"-01"), "dd-mm-yyyy")),0),0)</f>
        <v>0</v>
      </c>
      <c r="N156" cm="1">
        <f t="array" ref="N156">IF($Q156&gt;=0,IFERROR(generateSalesData($D156, IF(ISNUMBER(_xlfn.XLOOKUP($C156,Phone_by_Sentiment!$B$2:$B$37,Phone_by_Sentiment!N$2:N$37,"",0,1)),_xlfn.XLOOKUP($C156,Phone_by_Sentiment!$B$2:$B$37,Phone_by_Sentiment!N$2:N$37,"",0,1),0),$A156-TEXT(DATEVALUE($D156&amp;"-01"), "dd-mm-yyyy")),0),0)</f>
        <v>0</v>
      </c>
      <c r="O156" cm="1">
        <f t="array" ref="O156">IF($Q156&gt;=0,IFERROR(generateSalesData($D156, IF(ISNUMBER(_xlfn.XLOOKUP($C156,Phone_by_Sentiment!$B$2:$B$37,Phone_by_Sentiment!O$2:O$37,"",0,1)),_xlfn.XLOOKUP($C156,Phone_by_Sentiment!$B$2:$B$37,Phone_by_Sentiment!O$2:O$37,"",0,1),0),$A156-TEXT(DATEVALUE($D156&amp;"-01"), "dd-mm-yyyy")),0),0)</f>
        <v>0</v>
      </c>
      <c r="P156" s="1">
        <f t="shared" si="5"/>
        <v>44228</v>
      </c>
      <c r="Q156">
        <f t="shared" si="6"/>
        <v>-642</v>
      </c>
    </row>
    <row r="157" spans="1:17" x14ac:dyDescent="0.25">
      <c r="A157" s="1">
        <f t="shared" si="0"/>
        <v>43586</v>
      </c>
      <c r="B157" t="s">
        <v>164</v>
      </c>
      <c r="C157" t="str">
        <f>_xlfn.XLOOKUP(B157,Phone_by_Price!$A$2:$A$34,Phone_by_Price!$B$2:$B$34,"-",0,1)</f>
        <v>Vivo V20</v>
      </c>
      <c r="D157" t="str">
        <f>_xlfn.XLOOKUP(C157,Phone_by_Sentiment!$B$2:$B$37,Phone_by_Sentiment!$A$2:$A$37,"-",0,1)</f>
        <v>2020-10</v>
      </c>
      <c r="E157" cm="1">
        <f t="array" ref="E157">IF($Q157&gt;=0,IFERROR(generateSalesData($D157, IF(ISNUMBER(_xlfn.XLOOKUP($C157,Phone_by_Sentiment!$B$2:$B$37,Phone_by_Sentiment!E$2:E$37,"",0,1)),_xlfn.XLOOKUP($C157,Phone_by_Sentiment!$B$2:$B$37,Phone_by_Sentiment!E$2:E$37,"",0,1),0),$A157-TEXT(DATEVALUE($D157&amp;"-01"), "dd-mm-yyyy")),0),0)</f>
        <v>0</v>
      </c>
      <c r="F157" cm="1">
        <f t="array" ref="F157">IF($Q157&gt;=0,IFERROR(generateSalesData($D157, IF(ISNUMBER(_xlfn.XLOOKUP($C157,Phone_by_Sentiment!$B$2:$B$37,Phone_by_Sentiment!F$2:F$37,"",0,1)),_xlfn.XLOOKUP($C157,Phone_by_Sentiment!$B$2:$B$37,Phone_by_Sentiment!F$2:F$37,"",0,1),0),$A157-TEXT(DATEVALUE($D157&amp;"-01"), "dd-mm-yyyy")),0),0)</f>
        <v>0</v>
      </c>
      <c r="G157" cm="1">
        <f t="array" ref="G157">IF($Q157&gt;=0,IFERROR(generateSalesData($D157, IF(ISNUMBER(_xlfn.XLOOKUP($C157,Phone_by_Sentiment!$B$2:$B$37,Phone_by_Sentiment!G$2:G$37,"",0,1)),_xlfn.XLOOKUP($C157,Phone_by_Sentiment!$B$2:$B$37,Phone_by_Sentiment!G$2:G$37,"",0,1),0),$A157-TEXT(DATEVALUE($D157&amp;"-01"), "dd-mm-yyyy")),0),0)</f>
        <v>0</v>
      </c>
      <c r="H157" cm="1">
        <f t="array" ref="H157">IF($Q157&gt;=0,IFERROR(generateSalesData($D157, IF(ISNUMBER(_xlfn.XLOOKUP($C157,Phone_by_Sentiment!$B$2:$B$37,Phone_by_Sentiment!H$2:H$37,"",0,1)),_xlfn.XLOOKUP($C157,Phone_by_Sentiment!$B$2:$B$37,Phone_by_Sentiment!H$2:H$37,"",0,1),0),$A157-TEXT(DATEVALUE($D157&amp;"-01"), "dd-mm-yyyy")),0),0)</f>
        <v>0</v>
      </c>
      <c r="I157" cm="1">
        <f t="array" ref="I157">IF($Q157&gt;=0,IFERROR(generateSalesData($D157, IF(ISNUMBER(_xlfn.XLOOKUP($C157,Phone_by_Sentiment!$B$2:$B$37,Phone_by_Sentiment!I$2:I$37,"",0,1)),_xlfn.XLOOKUP($C157,Phone_by_Sentiment!$B$2:$B$37,Phone_by_Sentiment!I$2:I$37,"",0,1),0),$A157-TEXT(DATEVALUE($D157&amp;"-01"), "dd-mm-yyyy")),0),0)</f>
        <v>0</v>
      </c>
      <c r="J157" cm="1">
        <f t="array" ref="J157">IF($Q157&gt;=0,IFERROR(generateSalesData($D157, IF(ISNUMBER(_xlfn.XLOOKUP($C157,Phone_by_Sentiment!$B$2:$B$37,Phone_by_Sentiment!J$2:J$37,"",0,1)),_xlfn.XLOOKUP($C157,Phone_by_Sentiment!$B$2:$B$37,Phone_by_Sentiment!J$2:J$37,"",0,1),0),$A157-TEXT(DATEVALUE($D157&amp;"-01"), "dd-mm-yyyy")),0),0)</f>
        <v>0</v>
      </c>
      <c r="K157" cm="1">
        <f t="array" ref="K157">IF($Q157&gt;=0,IFERROR(generateSalesData($D157, IF(ISNUMBER(_xlfn.XLOOKUP($C157,Phone_by_Sentiment!$B$2:$B$37,Phone_by_Sentiment!K$2:K$37,"",0,1)),_xlfn.XLOOKUP($C157,Phone_by_Sentiment!$B$2:$B$37,Phone_by_Sentiment!K$2:K$37,"",0,1),0),$A157-TEXT(DATEVALUE($D157&amp;"-01"), "dd-mm-yyyy")),0),0)</f>
        <v>0</v>
      </c>
      <c r="L157" cm="1">
        <f t="array" ref="L157">IF($Q157&gt;=0,IFERROR(generateSalesData($D157, IF(ISNUMBER(_xlfn.XLOOKUP($C157,Phone_by_Sentiment!$B$2:$B$37,Phone_by_Sentiment!L$2:L$37,"",0,1)),_xlfn.XLOOKUP($C157,Phone_by_Sentiment!$B$2:$B$37,Phone_by_Sentiment!L$2:L$37,"",0,1),0),$A157-TEXT(DATEVALUE($D157&amp;"-01"), "dd-mm-yyyy")),0),0)</f>
        <v>0</v>
      </c>
      <c r="M157" cm="1">
        <f t="array" ref="M157">IF($Q157&gt;=0,IFERROR(generateSalesData($D157, IF(ISNUMBER(_xlfn.XLOOKUP($C157,Phone_by_Sentiment!$B$2:$B$37,Phone_by_Sentiment!M$2:M$37,"",0,1)),_xlfn.XLOOKUP($C157,Phone_by_Sentiment!$B$2:$B$37,Phone_by_Sentiment!M$2:M$37,"",0,1),0),$A157-TEXT(DATEVALUE($D157&amp;"-01"), "dd-mm-yyyy")),0),0)</f>
        <v>0</v>
      </c>
      <c r="N157" cm="1">
        <f t="array" ref="N157">IF($Q157&gt;=0,IFERROR(generateSalesData($D157, IF(ISNUMBER(_xlfn.XLOOKUP($C157,Phone_by_Sentiment!$B$2:$B$37,Phone_by_Sentiment!N$2:N$37,"",0,1)),_xlfn.XLOOKUP($C157,Phone_by_Sentiment!$B$2:$B$37,Phone_by_Sentiment!N$2:N$37,"",0,1),0),$A157-TEXT(DATEVALUE($D157&amp;"-01"), "dd-mm-yyyy")),0),0)</f>
        <v>0</v>
      </c>
      <c r="O157" cm="1">
        <f t="array" ref="O157">IF($Q157&gt;=0,IFERROR(generateSalesData($D157, IF(ISNUMBER(_xlfn.XLOOKUP($C157,Phone_by_Sentiment!$B$2:$B$37,Phone_by_Sentiment!O$2:O$37,"",0,1)),_xlfn.XLOOKUP($C157,Phone_by_Sentiment!$B$2:$B$37,Phone_by_Sentiment!O$2:O$37,"",0,1),0),$A157-TEXT(DATEVALUE($D157&amp;"-01"), "dd-mm-yyyy")),0),0)</f>
        <v>0</v>
      </c>
      <c r="P157" s="1">
        <f t="shared" si="5"/>
        <v>44105</v>
      </c>
      <c r="Q157">
        <f t="shared" si="6"/>
        <v>-519</v>
      </c>
    </row>
    <row r="158" spans="1:17" x14ac:dyDescent="0.25">
      <c r="A158" s="1">
        <f t="shared" si="0"/>
        <v>43586</v>
      </c>
      <c r="B158" t="s">
        <v>165</v>
      </c>
      <c r="C158" t="str">
        <f>_xlfn.XLOOKUP(B158,Phone_by_Price!$A$2:$A$34,Phone_by_Price!$B$2:$B$34,"-",0,1)</f>
        <v>Samsung Galaxy A50</v>
      </c>
      <c r="D158" t="str">
        <f>_xlfn.XLOOKUP(C158,Phone_by_Sentiment!$B$2:$B$37,Phone_by_Sentiment!$A$2:$A$37,"-",0,1)</f>
        <v>2019-05</v>
      </c>
      <c r="E158" cm="1">
        <f t="array" ref="E158">IF($Q158&gt;=0,IFERROR(generateSalesData($D158, IF(ISNUMBER(_xlfn.XLOOKUP($C158,Phone_by_Sentiment!$B$2:$B$37,Phone_by_Sentiment!E$2:E$37,"",0,1)),_xlfn.XLOOKUP($C158,Phone_by_Sentiment!$B$2:$B$37,Phone_by_Sentiment!E$2:E$37,"",0,1),0),$A158-TEXT(DATEVALUE($D158&amp;"-01"), "dd-mm-yyyy")),0),0)</f>
        <v>7477</v>
      </c>
      <c r="F158" cm="1">
        <f t="array" ref="F158">IF($Q158&gt;=0,IFERROR(generateSalesData($D158, IF(ISNUMBER(_xlfn.XLOOKUP($C158,Phone_by_Sentiment!$B$2:$B$37,Phone_by_Sentiment!F$2:F$37,"",0,1)),_xlfn.XLOOKUP($C158,Phone_by_Sentiment!$B$2:$B$37,Phone_by_Sentiment!F$2:F$37,"",0,1),0),$A158-TEXT(DATEVALUE($D158&amp;"-01"), "dd-mm-yyyy")),0),0)</f>
        <v>2161</v>
      </c>
      <c r="G158" cm="1">
        <f t="array" ref="G158">IF($Q158&gt;=0,IFERROR(generateSalesData($D158, IF(ISNUMBER(_xlfn.XLOOKUP($C158,Phone_by_Sentiment!$B$2:$B$37,Phone_by_Sentiment!G$2:G$37,"",0,1)),_xlfn.XLOOKUP($C158,Phone_by_Sentiment!$B$2:$B$37,Phone_by_Sentiment!G$2:G$37,"",0,1),0),$A158-TEXT(DATEVALUE($D158&amp;"-01"), "dd-mm-yyyy")),0),0)</f>
        <v>1273</v>
      </c>
      <c r="H158" cm="1">
        <f t="array" ref="H158">IF($Q158&gt;=0,IFERROR(generateSalesData($D158, IF(ISNUMBER(_xlfn.XLOOKUP($C158,Phone_by_Sentiment!$B$2:$B$37,Phone_by_Sentiment!H$2:H$37,"",0,1)),_xlfn.XLOOKUP($C158,Phone_by_Sentiment!$B$2:$B$37,Phone_by_Sentiment!H$2:H$37,"",0,1),0),$A158-TEXT(DATEVALUE($D158&amp;"-01"), "dd-mm-yyyy")),0),0)</f>
        <v>10231</v>
      </c>
      <c r="I158" cm="1">
        <f t="array" ref="I158">IF($Q158&gt;=0,IFERROR(generateSalesData($D158, IF(ISNUMBER(_xlfn.XLOOKUP($C158,Phone_by_Sentiment!$B$2:$B$37,Phone_by_Sentiment!I$2:I$37,"",0,1)),_xlfn.XLOOKUP($C158,Phone_by_Sentiment!$B$2:$B$37,Phone_by_Sentiment!I$2:I$37,"",0,1),0),$A158-TEXT(DATEVALUE($D158&amp;"-01"), "dd-mm-yyyy")),0),0)</f>
        <v>4496</v>
      </c>
      <c r="J158" cm="1">
        <f t="array" ref="J158">IF($Q158&gt;=0,IFERROR(generateSalesData($D158, IF(ISNUMBER(_xlfn.XLOOKUP($C158,Phone_by_Sentiment!$B$2:$B$37,Phone_by_Sentiment!J$2:J$37,"",0,1)),_xlfn.XLOOKUP($C158,Phone_by_Sentiment!$B$2:$B$37,Phone_by_Sentiment!J$2:J$37,"",0,1),0),$A158-TEXT(DATEVALUE($D158&amp;"-01"), "dd-mm-yyyy")),0),0)</f>
        <v>149</v>
      </c>
      <c r="K158" cm="1">
        <f t="array" ref="K158">IF($Q158&gt;=0,IFERROR(generateSalesData($D158, IF(ISNUMBER(_xlfn.XLOOKUP($C158,Phone_by_Sentiment!$B$2:$B$37,Phone_by_Sentiment!K$2:K$37,"",0,1)),_xlfn.XLOOKUP($C158,Phone_by_Sentiment!$B$2:$B$37,Phone_by_Sentiment!K$2:K$37,"",0,1),0),$A158-TEXT(DATEVALUE($D158&amp;"-01"), "dd-mm-yyyy")),0),0)</f>
        <v>3403</v>
      </c>
      <c r="L158" cm="1">
        <f t="array" ref="L158">IF($Q158&gt;=0,IFERROR(generateSalesData($D158, IF(ISNUMBER(_xlfn.XLOOKUP($C158,Phone_by_Sentiment!$B$2:$B$37,Phone_by_Sentiment!L$2:L$37,"",0,1)),_xlfn.XLOOKUP($C158,Phone_by_Sentiment!$B$2:$B$37,Phone_by_Sentiment!L$2:L$37,"",0,1),0),$A158-TEXT(DATEVALUE($D158&amp;"-01"), "dd-mm-yyyy")),0),0)</f>
        <v>3861</v>
      </c>
      <c r="M158" cm="1">
        <f t="array" ref="M158">IF($Q158&gt;=0,IFERROR(generateSalesData($D158, IF(ISNUMBER(_xlfn.XLOOKUP($C158,Phone_by_Sentiment!$B$2:$B$37,Phone_by_Sentiment!M$2:M$37,"",0,1)),_xlfn.XLOOKUP($C158,Phone_by_Sentiment!$B$2:$B$37,Phone_by_Sentiment!M$2:M$37,"",0,1),0),$A158-TEXT(DATEVALUE($D158&amp;"-01"), "dd-mm-yyyy")),0),0)</f>
        <v>2524</v>
      </c>
      <c r="N158" cm="1">
        <f t="array" ref="N158">IF($Q158&gt;=0,IFERROR(generateSalesData($D158, IF(ISNUMBER(_xlfn.XLOOKUP($C158,Phone_by_Sentiment!$B$2:$B$37,Phone_by_Sentiment!N$2:N$37,"",0,1)),_xlfn.XLOOKUP($C158,Phone_by_Sentiment!$B$2:$B$37,Phone_by_Sentiment!N$2:N$37,"",0,1),0),$A158-TEXT(DATEVALUE($D158&amp;"-01"), "dd-mm-yyyy")),0),0)</f>
        <v>7021</v>
      </c>
      <c r="O158" cm="1">
        <f t="array" ref="O158">IF($Q158&gt;=0,IFERROR(generateSalesData($D158, IF(ISNUMBER(_xlfn.XLOOKUP($C158,Phone_by_Sentiment!$B$2:$B$37,Phone_by_Sentiment!O$2:O$37,"",0,1)),_xlfn.XLOOKUP($C158,Phone_by_Sentiment!$B$2:$B$37,Phone_by_Sentiment!O$2:O$37,"",0,1),0),$A158-TEXT(DATEVALUE($D158&amp;"-01"), "dd-mm-yyyy")),0),0)</f>
        <v>7179</v>
      </c>
      <c r="P158" s="1">
        <f t="shared" si="5"/>
        <v>43586</v>
      </c>
      <c r="Q158">
        <f t="shared" si="6"/>
        <v>0</v>
      </c>
    </row>
    <row r="159" spans="1:17" x14ac:dyDescent="0.25">
      <c r="A159" s="1">
        <f t="shared" si="0"/>
        <v>43586</v>
      </c>
      <c r="B159" t="s">
        <v>166</v>
      </c>
      <c r="C159" t="str">
        <f>_xlfn.XLOOKUP(B159,Phone_by_Price!$A$2:$A$34,Phone_by_Price!$B$2:$B$34,"-",0,1)</f>
        <v>Xiaomi Redmi Note 7</v>
      </c>
      <c r="D159" t="str">
        <f>_xlfn.XLOOKUP(C159,Phone_by_Sentiment!$B$2:$B$37,Phone_by_Sentiment!$A$2:$A$37,"-",0,1)</f>
        <v>2019-08</v>
      </c>
      <c r="E159" cm="1">
        <f t="array" ref="E159">IF($Q159&gt;=0,IFERROR(generateSalesData($D159, IF(ISNUMBER(_xlfn.XLOOKUP($C159,Phone_by_Sentiment!$B$2:$B$37,Phone_by_Sentiment!E$2:E$37,"",0,1)),_xlfn.XLOOKUP($C159,Phone_by_Sentiment!$B$2:$B$37,Phone_by_Sentiment!E$2:E$37,"",0,1),0),$A159-TEXT(DATEVALUE($D159&amp;"-01"), "dd-mm-yyyy")),0),0)</f>
        <v>0</v>
      </c>
      <c r="F159" cm="1">
        <f t="array" ref="F159">IF($Q159&gt;=0,IFERROR(generateSalesData($D159, IF(ISNUMBER(_xlfn.XLOOKUP($C159,Phone_by_Sentiment!$B$2:$B$37,Phone_by_Sentiment!F$2:F$37,"",0,1)),_xlfn.XLOOKUP($C159,Phone_by_Sentiment!$B$2:$B$37,Phone_by_Sentiment!F$2:F$37,"",0,1),0),$A159-TEXT(DATEVALUE($D159&amp;"-01"), "dd-mm-yyyy")),0),0)</f>
        <v>0</v>
      </c>
      <c r="G159" cm="1">
        <f t="array" ref="G159">IF($Q159&gt;=0,IFERROR(generateSalesData($D159, IF(ISNUMBER(_xlfn.XLOOKUP($C159,Phone_by_Sentiment!$B$2:$B$37,Phone_by_Sentiment!G$2:G$37,"",0,1)),_xlfn.XLOOKUP($C159,Phone_by_Sentiment!$B$2:$B$37,Phone_by_Sentiment!G$2:G$37,"",0,1),0),$A159-TEXT(DATEVALUE($D159&amp;"-01"), "dd-mm-yyyy")),0),0)</f>
        <v>0</v>
      </c>
      <c r="H159" cm="1">
        <f t="array" ref="H159">IF($Q159&gt;=0,IFERROR(generateSalesData($D159, IF(ISNUMBER(_xlfn.XLOOKUP($C159,Phone_by_Sentiment!$B$2:$B$37,Phone_by_Sentiment!H$2:H$37,"",0,1)),_xlfn.XLOOKUP($C159,Phone_by_Sentiment!$B$2:$B$37,Phone_by_Sentiment!H$2:H$37,"",0,1),0),$A159-TEXT(DATEVALUE($D159&amp;"-01"), "dd-mm-yyyy")),0),0)</f>
        <v>0</v>
      </c>
      <c r="I159" cm="1">
        <f t="array" ref="I159">IF($Q159&gt;=0,IFERROR(generateSalesData($D159, IF(ISNUMBER(_xlfn.XLOOKUP($C159,Phone_by_Sentiment!$B$2:$B$37,Phone_by_Sentiment!I$2:I$37,"",0,1)),_xlfn.XLOOKUP($C159,Phone_by_Sentiment!$B$2:$B$37,Phone_by_Sentiment!I$2:I$37,"",0,1),0),$A159-TEXT(DATEVALUE($D159&amp;"-01"), "dd-mm-yyyy")),0),0)</f>
        <v>0</v>
      </c>
      <c r="J159" cm="1">
        <f t="array" ref="J159">IF($Q159&gt;=0,IFERROR(generateSalesData($D159, IF(ISNUMBER(_xlfn.XLOOKUP($C159,Phone_by_Sentiment!$B$2:$B$37,Phone_by_Sentiment!J$2:J$37,"",0,1)),_xlfn.XLOOKUP($C159,Phone_by_Sentiment!$B$2:$B$37,Phone_by_Sentiment!J$2:J$37,"",0,1),0),$A159-TEXT(DATEVALUE($D159&amp;"-01"), "dd-mm-yyyy")),0),0)</f>
        <v>0</v>
      </c>
      <c r="K159" cm="1">
        <f t="array" ref="K159">IF($Q159&gt;=0,IFERROR(generateSalesData($D159, IF(ISNUMBER(_xlfn.XLOOKUP($C159,Phone_by_Sentiment!$B$2:$B$37,Phone_by_Sentiment!K$2:K$37,"",0,1)),_xlfn.XLOOKUP($C159,Phone_by_Sentiment!$B$2:$B$37,Phone_by_Sentiment!K$2:K$37,"",0,1),0),$A159-TEXT(DATEVALUE($D159&amp;"-01"), "dd-mm-yyyy")),0),0)</f>
        <v>0</v>
      </c>
      <c r="L159" cm="1">
        <f t="array" ref="L159">IF($Q159&gt;=0,IFERROR(generateSalesData($D159, IF(ISNUMBER(_xlfn.XLOOKUP($C159,Phone_by_Sentiment!$B$2:$B$37,Phone_by_Sentiment!L$2:L$37,"",0,1)),_xlfn.XLOOKUP($C159,Phone_by_Sentiment!$B$2:$B$37,Phone_by_Sentiment!L$2:L$37,"",0,1),0),$A159-TEXT(DATEVALUE($D159&amp;"-01"), "dd-mm-yyyy")),0),0)</f>
        <v>0</v>
      </c>
      <c r="M159" cm="1">
        <f t="array" ref="M159">IF($Q159&gt;=0,IFERROR(generateSalesData($D159, IF(ISNUMBER(_xlfn.XLOOKUP($C159,Phone_by_Sentiment!$B$2:$B$37,Phone_by_Sentiment!M$2:M$37,"",0,1)),_xlfn.XLOOKUP($C159,Phone_by_Sentiment!$B$2:$B$37,Phone_by_Sentiment!M$2:M$37,"",0,1),0),$A159-TEXT(DATEVALUE($D159&amp;"-01"), "dd-mm-yyyy")),0),0)</f>
        <v>0</v>
      </c>
      <c r="N159" cm="1">
        <f t="array" ref="N159">IF($Q159&gt;=0,IFERROR(generateSalesData($D159, IF(ISNUMBER(_xlfn.XLOOKUP($C159,Phone_by_Sentiment!$B$2:$B$37,Phone_by_Sentiment!N$2:N$37,"",0,1)),_xlfn.XLOOKUP($C159,Phone_by_Sentiment!$B$2:$B$37,Phone_by_Sentiment!N$2:N$37,"",0,1),0),$A159-TEXT(DATEVALUE($D159&amp;"-01"), "dd-mm-yyyy")),0),0)</f>
        <v>0</v>
      </c>
      <c r="O159" cm="1">
        <f t="array" ref="O159">IF($Q159&gt;=0,IFERROR(generateSalesData($D159, IF(ISNUMBER(_xlfn.XLOOKUP($C159,Phone_by_Sentiment!$B$2:$B$37,Phone_by_Sentiment!O$2:O$37,"",0,1)),_xlfn.XLOOKUP($C159,Phone_by_Sentiment!$B$2:$B$37,Phone_by_Sentiment!O$2:O$37,"",0,1),0),$A159-TEXT(DATEVALUE($D159&amp;"-01"), "dd-mm-yyyy")),0),0)</f>
        <v>0</v>
      </c>
      <c r="P159" s="1">
        <f t="shared" si="5"/>
        <v>43678</v>
      </c>
      <c r="Q159">
        <f t="shared" si="6"/>
        <v>-92</v>
      </c>
    </row>
    <row r="160" spans="1:17" x14ac:dyDescent="0.25">
      <c r="A160" s="1">
        <f t="shared" si="0"/>
        <v>43586</v>
      </c>
      <c r="B160" t="s">
        <v>167</v>
      </c>
      <c r="C160" t="str">
        <f>_xlfn.XLOOKUP(B160,Phone_by_Price!$A$2:$A$34,Phone_by_Price!$B$2:$B$34,"-",0,1)</f>
        <v>Realme C21</v>
      </c>
      <c r="D160" t="str">
        <f>_xlfn.XLOOKUP(C160,Phone_by_Sentiment!$B$2:$B$37,Phone_by_Sentiment!$A$2:$A$37,"-",0,1)</f>
        <v>2021-04</v>
      </c>
      <c r="E160" cm="1">
        <f t="array" ref="E160">IF($Q160&gt;=0,IFERROR(generateSalesData($D160, IF(ISNUMBER(_xlfn.XLOOKUP($C160,Phone_by_Sentiment!$B$2:$B$37,Phone_by_Sentiment!E$2:E$37,"",0,1)),_xlfn.XLOOKUP($C160,Phone_by_Sentiment!$B$2:$B$37,Phone_by_Sentiment!E$2:E$37,"",0,1),0),$A160-TEXT(DATEVALUE($D160&amp;"-01"), "dd-mm-yyyy")),0),0)</f>
        <v>0</v>
      </c>
      <c r="F160" cm="1">
        <f t="array" ref="F160">IF($Q160&gt;=0,IFERROR(generateSalesData($D160, IF(ISNUMBER(_xlfn.XLOOKUP($C160,Phone_by_Sentiment!$B$2:$B$37,Phone_by_Sentiment!F$2:F$37,"",0,1)),_xlfn.XLOOKUP($C160,Phone_by_Sentiment!$B$2:$B$37,Phone_by_Sentiment!F$2:F$37,"",0,1),0),$A160-TEXT(DATEVALUE($D160&amp;"-01"), "dd-mm-yyyy")),0),0)</f>
        <v>0</v>
      </c>
      <c r="G160" cm="1">
        <f t="array" ref="G160">IF($Q160&gt;=0,IFERROR(generateSalesData($D160, IF(ISNUMBER(_xlfn.XLOOKUP($C160,Phone_by_Sentiment!$B$2:$B$37,Phone_by_Sentiment!G$2:G$37,"",0,1)),_xlfn.XLOOKUP($C160,Phone_by_Sentiment!$B$2:$B$37,Phone_by_Sentiment!G$2:G$37,"",0,1),0),$A160-TEXT(DATEVALUE($D160&amp;"-01"), "dd-mm-yyyy")),0),0)</f>
        <v>0</v>
      </c>
      <c r="H160" cm="1">
        <f t="array" ref="H160">IF($Q160&gt;=0,IFERROR(generateSalesData($D160, IF(ISNUMBER(_xlfn.XLOOKUP($C160,Phone_by_Sentiment!$B$2:$B$37,Phone_by_Sentiment!H$2:H$37,"",0,1)),_xlfn.XLOOKUP($C160,Phone_by_Sentiment!$B$2:$B$37,Phone_by_Sentiment!H$2:H$37,"",0,1),0),$A160-TEXT(DATEVALUE($D160&amp;"-01"), "dd-mm-yyyy")),0),0)</f>
        <v>0</v>
      </c>
      <c r="I160" cm="1">
        <f t="array" ref="I160">IF($Q160&gt;=0,IFERROR(generateSalesData($D160, IF(ISNUMBER(_xlfn.XLOOKUP($C160,Phone_by_Sentiment!$B$2:$B$37,Phone_by_Sentiment!I$2:I$37,"",0,1)),_xlfn.XLOOKUP($C160,Phone_by_Sentiment!$B$2:$B$37,Phone_by_Sentiment!I$2:I$37,"",0,1),0),$A160-TEXT(DATEVALUE($D160&amp;"-01"), "dd-mm-yyyy")),0),0)</f>
        <v>0</v>
      </c>
      <c r="J160" cm="1">
        <f t="array" ref="J160">IF($Q160&gt;=0,IFERROR(generateSalesData($D160, IF(ISNUMBER(_xlfn.XLOOKUP($C160,Phone_by_Sentiment!$B$2:$B$37,Phone_by_Sentiment!J$2:J$37,"",0,1)),_xlfn.XLOOKUP($C160,Phone_by_Sentiment!$B$2:$B$37,Phone_by_Sentiment!J$2:J$37,"",0,1),0),$A160-TEXT(DATEVALUE($D160&amp;"-01"), "dd-mm-yyyy")),0),0)</f>
        <v>0</v>
      </c>
      <c r="K160" cm="1">
        <f t="array" ref="K160">IF($Q160&gt;=0,IFERROR(generateSalesData($D160, IF(ISNUMBER(_xlfn.XLOOKUP($C160,Phone_by_Sentiment!$B$2:$B$37,Phone_by_Sentiment!K$2:K$37,"",0,1)),_xlfn.XLOOKUP($C160,Phone_by_Sentiment!$B$2:$B$37,Phone_by_Sentiment!K$2:K$37,"",0,1),0),$A160-TEXT(DATEVALUE($D160&amp;"-01"), "dd-mm-yyyy")),0),0)</f>
        <v>0</v>
      </c>
      <c r="L160" cm="1">
        <f t="array" ref="L160">IF($Q160&gt;=0,IFERROR(generateSalesData($D160, IF(ISNUMBER(_xlfn.XLOOKUP($C160,Phone_by_Sentiment!$B$2:$B$37,Phone_by_Sentiment!L$2:L$37,"",0,1)),_xlfn.XLOOKUP($C160,Phone_by_Sentiment!$B$2:$B$37,Phone_by_Sentiment!L$2:L$37,"",0,1),0),$A160-TEXT(DATEVALUE($D160&amp;"-01"), "dd-mm-yyyy")),0),0)</f>
        <v>0</v>
      </c>
      <c r="M160" cm="1">
        <f t="array" ref="M160">IF($Q160&gt;=0,IFERROR(generateSalesData($D160, IF(ISNUMBER(_xlfn.XLOOKUP($C160,Phone_by_Sentiment!$B$2:$B$37,Phone_by_Sentiment!M$2:M$37,"",0,1)),_xlfn.XLOOKUP($C160,Phone_by_Sentiment!$B$2:$B$37,Phone_by_Sentiment!M$2:M$37,"",0,1),0),$A160-TEXT(DATEVALUE($D160&amp;"-01"), "dd-mm-yyyy")),0),0)</f>
        <v>0</v>
      </c>
      <c r="N160" cm="1">
        <f t="array" ref="N160">IF($Q160&gt;=0,IFERROR(generateSalesData($D160, IF(ISNUMBER(_xlfn.XLOOKUP($C160,Phone_by_Sentiment!$B$2:$B$37,Phone_by_Sentiment!N$2:N$37,"",0,1)),_xlfn.XLOOKUP($C160,Phone_by_Sentiment!$B$2:$B$37,Phone_by_Sentiment!N$2:N$37,"",0,1),0),$A160-TEXT(DATEVALUE($D160&amp;"-01"), "dd-mm-yyyy")),0),0)</f>
        <v>0</v>
      </c>
      <c r="O160" cm="1">
        <f t="array" ref="O160">IF($Q160&gt;=0,IFERROR(generateSalesData($D160, IF(ISNUMBER(_xlfn.XLOOKUP($C160,Phone_by_Sentiment!$B$2:$B$37,Phone_by_Sentiment!O$2:O$37,"",0,1)),_xlfn.XLOOKUP($C160,Phone_by_Sentiment!$B$2:$B$37,Phone_by_Sentiment!O$2:O$37,"",0,1),0),$A160-TEXT(DATEVALUE($D160&amp;"-01"), "dd-mm-yyyy")),0),0)</f>
        <v>0</v>
      </c>
      <c r="P160" s="1">
        <f t="shared" si="5"/>
        <v>44287</v>
      </c>
      <c r="Q160">
        <f t="shared" si="6"/>
        <v>-701</v>
      </c>
    </row>
    <row r="161" spans="1:17" x14ac:dyDescent="0.25">
      <c r="A161" s="1">
        <f t="shared" si="0"/>
        <v>43586</v>
      </c>
      <c r="B161" t="s">
        <v>168</v>
      </c>
      <c r="C161" t="str">
        <f>_xlfn.XLOOKUP(B161,Phone_by_Price!$A$2:$A$34,Phone_by_Price!$B$2:$B$34,"-",0,1)</f>
        <v>Google Pixel 4</v>
      </c>
      <c r="D161" t="str">
        <f>_xlfn.XLOOKUP(C161,Phone_by_Sentiment!$B$2:$B$37,Phone_by_Sentiment!$A$2:$A$37,"-",0,1)</f>
        <v>2019-09</v>
      </c>
      <c r="E161" cm="1">
        <f t="array" ref="E161">IF($Q161&gt;=0,IFERROR(generateSalesData($D161, IF(ISNUMBER(_xlfn.XLOOKUP($C161,Phone_by_Sentiment!$B$2:$B$37,Phone_by_Sentiment!E$2:E$37,"",0,1)),_xlfn.XLOOKUP($C161,Phone_by_Sentiment!$B$2:$B$37,Phone_by_Sentiment!E$2:E$37,"",0,1),0),$A161-TEXT(DATEVALUE($D161&amp;"-01"), "dd-mm-yyyy")),0),0)</f>
        <v>0</v>
      </c>
      <c r="F161" cm="1">
        <f t="array" ref="F161">IF($Q161&gt;=0,IFERROR(generateSalesData($D161, IF(ISNUMBER(_xlfn.XLOOKUP($C161,Phone_by_Sentiment!$B$2:$B$37,Phone_by_Sentiment!F$2:F$37,"",0,1)),_xlfn.XLOOKUP($C161,Phone_by_Sentiment!$B$2:$B$37,Phone_by_Sentiment!F$2:F$37,"",0,1),0),$A161-TEXT(DATEVALUE($D161&amp;"-01"), "dd-mm-yyyy")),0),0)</f>
        <v>0</v>
      </c>
      <c r="G161" cm="1">
        <f t="array" ref="G161">IF($Q161&gt;=0,IFERROR(generateSalesData($D161, IF(ISNUMBER(_xlfn.XLOOKUP($C161,Phone_by_Sentiment!$B$2:$B$37,Phone_by_Sentiment!G$2:G$37,"",0,1)),_xlfn.XLOOKUP($C161,Phone_by_Sentiment!$B$2:$B$37,Phone_by_Sentiment!G$2:G$37,"",0,1),0),$A161-TEXT(DATEVALUE($D161&amp;"-01"), "dd-mm-yyyy")),0),0)</f>
        <v>0</v>
      </c>
      <c r="H161" cm="1">
        <f t="array" ref="H161">IF($Q161&gt;=0,IFERROR(generateSalesData($D161, IF(ISNUMBER(_xlfn.XLOOKUP($C161,Phone_by_Sentiment!$B$2:$B$37,Phone_by_Sentiment!H$2:H$37,"",0,1)),_xlfn.XLOOKUP($C161,Phone_by_Sentiment!$B$2:$B$37,Phone_by_Sentiment!H$2:H$37,"",0,1),0),$A161-TEXT(DATEVALUE($D161&amp;"-01"), "dd-mm-yyyy")),0),0)</f>
        <v>0</v>
      </c>
      <c r="I161" cm="1">
        <f t="array" ref="I161">IF($Q161&gt;=0,IFERROR(generateSalesData($D161, IF(ISNUMBER(_xlfn.XLOOKUP($C161,Phone_by_Sentiment!$B$2:$B$37,Phone_by_Sentiment!I$2:I$37,"",0,1)),_xlfn.XLOOKUP($C161,Phone_by_Sentiment!$B$2:$B$37,Phone_by_Sentiment!I$2:I$37,"",0,1),0),$A161-TEXT(DATEVALUE($D161&amp;"-01"), "dd-mm-yyyy")),0),0)</f>
        <v>0</v>
      </c>
      <c r="J161" cm="1">
        <f t="array" ref="J161">IF($Q161&gt;=0,IFERROR(generateSalesData($D161, IF(ISNUMBER(_xlfn.XLOOKUP($C161,Phone_by_Sentiment!$B$2:$B$37,Phone_by_Sentiment!J$2:J$37,"",0,1)),_xlfn.XLOOKUP($C161,Phone_by_Sentiment!$B$2:$B$37,Phone_by_Sentiment!J$2:J$37,"",0,1),0),$A161-TEXT(DATEVALUE($D161&amp;"-01"), "dd-mm-yyyy")),0),0)</f>
        <v>0</v>
      </c>
      <c r="K161" cm="1">
        <f t="array" ref="K161">IF($Q161&gt;=0,IFERROR(generateSalesData($D161, IF(ISNUMBER(_xlfn.XLOOKUP($C161,Phone_by_Sentiment!$B$2:$B$37,Phone_by_Sentiment!K$2:K$37,"",0,1)),_xlfn.XLOOKUP($C161,Phone_by_Sentiment!$B$2:$B$37,Phone_by_Sentiment!K$2:K$37,"",0,1),0),$A161-TEXT(DATEVALUE($D161&amp;"-01"), "dd-mm-yyyy")),0),0)</f>
        <v>0</v>
      </c>
      <c r="L161" cm="1">
        <f t="array" ref="L161">IF($Q161&gt;=0,IFERROR(generateSalesData($D161, IF(ISNUMBER(_xlfn.XLOOKUP($C161,Phone_by_Sentiment!$B$2:$B$37,Phone_by_Sentiment!L$2:L$37,"",0,1)),_xlfn.XLOOKUP($C161,Phone_by_Sentiment!$B$2:$B$37,Phone_by_Sentiment!L$2:L$37,"",0,1),0),$A161-TEXT(DATEVALUE($D161&amp;"-01"), "dd-mm-yyyy")),0),0)</f>
        <v>0</v>
      </c>
      <c r="M161" cm="1">
        <f t="array" ref="M161">IF($Q161&gt;=0,IFERROR(generateSalesData($D161, IF(ISNUMBER(_xlfn.XLOOKUP($C161,Phone_by_Sentiment!$B$2:$B$37,Phone_by_Sentiment!M$2:M$37,"",0,1)),_xlfn.XLOOKUP($C161,Phone_by_Sentiment!$B$2:$B$37,Phone_by_Sentiment!M$2:M$37,"",0,1),0),$A161-TEXT(DATEVALUE($D161&amp;"-01"), "dd-mm-yyyy")),0),0)</f>
        <v>0</v>
      </c>
      <c r="N161" cm="1">
        <f t="array" ref="N161">IF($Q161&gt;=0,IFERROR(generateSalesData($D161, IF(ISNUMBER(_xlfn.XLOOKUP($C161,Phone_by_Sentiment!$B$2:$B$37,Phone_by_Sentiment!N$2:N$37,"",0,1)),_xlfn.XLOOKUP($C161,Phone_by_Sentiment!$B$2:$B$37,Phone_by_Sentiment!N$2:N$37,"",0,1),0),$A161-TEXT(DATEVALUE($D161&amp;"-01"), "dd-mm-yyyy")),0),0)</f>
        <v>0</v>
      </c>
      <c r="O161" cm="1">
        <f t="array" ref="O161">IF($Q161&gt;=0,IFERROR(generateSalesData($D161, IF(ISNUMBER(_xlfn.XLOOKUP($C161,Phone_by_Sentiment!$B$2:$B$37,Phone_by_Sentiment!O$2:O$37,"",0,1)),_xlfn.XLOOKUP($C161,Phone_by_Sentiment!$B$2:$B$37,Phone_by_Sentiment!O$2:O$37,"",0,1),0),$A161-TEXT(DATEVALUE($D161&amp;"-01"), "dd-mm-yyyy")),0),0)</f>
        <v>0</v>
      </c>
      <c r="P161" s="1">
        <f t="shared" si="5"/>
        <v>43709</v>
      </c>
      <c r="Q161">
        <f t="shared" si="6"/>
        <v>-123</v>
      </c>
    </row>
    <row r="162" spans="1:17" x14ac:dyDescent="0.25">
      <c r="A162" s="1">
        <f t="shared" si="0"/>
        <v>43586</v>
      </c>
      <c r="B162" t="s">
        <v>169</v>
      </c>
      <c r="C162" t="str">
        <f>_xlfn.XLOOKUP(B162,Phone_by_Price!$A$2:$A$34,Phone_by_Price!$B$2:$B$34,"-",0,1)</f>
        <v>Samsung Galaxy A10s</v>
      </c>
      <c r="D162" t="str">
        <f>_xlfn.XLOOKUP(C162,Phone_by_Sentiment!$B$2:$B$37,Phone_by_Sentiment!$A$2:$A$37,"-",0,1)</f>
        <v>2019-08</v>
      </c>
      <c r="E162" cm="1">
        <f t="array" ref="E162">IF($Q162&gt;=0,IFERROR(generateSalesData($D162, IF(ISNUMBER(_xlfn.XLOOKUP($C162,Phone_by_Sentiment!$B$2:$B$37,Phone_by_Sentiment!E$2:E$37,"",0,1)),_xlfn.XLOOKUP($C162,Phone_by_Sentiment!$B$2:$B$37,Phone_by_Sentiment!E$2:E$37,"",0,1),0),$A162-TEXT(DATEVALUE($D162&amp;"-01"), "dd-mm-yyyy")),0),0)</f>
        <v>0</v>
      </c>
      <c r="F162" cm="1">
        <f t="array" ref="F162">IF($Q162&gt;=0,IFERROR(generateSalesData($D162, IF(ISNUMBER(_xlfn.XLOOKUP($C162,Phone_by_Sentiment!$B$2:$B$37,Phone_by_Sentiment!F$2:F$37,"",0,1)),_xlfn.XLOOKUP($C162,Phone_by_Sentiment!$B$2:$B$37,Phone_by_Sentiment!F$2:F$37,"",0,1),0),$A162-TEXT(DATEVALUE($D162&amp;"-01"), "dd-mm-yyyy")),0),0)</f>
        <v>0</v>
      </c>
      <c r="G162" cm="1">
        <f t="array" ref="G162">IF($Q162&gt;=0,IFERROR(generateSalesData($D162, IF(ISNUMBER(_xlfn.XLOOKUP($C162,Phone_by_Sentiment!$B$2:$B$37,Phone_by_Sentiment!G$2:G$37,"",0,1)),_xlfn.XLOOKUP($C162,Phone_by_Sentiment!$B$2:$B$37,Phone_by_Sentiment!G$2:G$37,"",0,1),0),$A162-TEXT(DATEVALUE($D162&amp;"-01"), "dd-mm-yyyy")),0),0)</f>
        <v>0</v>
      </c>
      <c r="H162" cm="1">
        <f t="array" ref="H162">IF($Q162&gt;=0,IFERROR(generateSalesData($D162, IF(ISNUMBER(_xlfn.XLOOKUP($C162,Phone_by_Sentiment!$B$2:$B$37,Phone_by_Sentiment!H$2:H$37,"",0,1)),_xlfn.XLOOKUP($C162,Phone_by_Sentiment!$B$2:$B$37,Phone_by_Sentiment!H$2:H$37,"",0,1),0),$A162-TEXT(DATEVALUE($D162&amp;"-01"), "dd-mm-yyyy")),0),0)</f>
        <v>0</v>
      </c>
      <c r="I162" cm="1">
        <f t="array" ref="I162">IF($Q162&gt;=0,IFERROR(generateSalesData($D162, IF(ISNUMBER(_xlfn.XLOOKUP($C162,Phone_by_Sentiment!$B$2:$B$37,Phone_by_Sentiment!I$2:I$37,"",0,1)),_xlfn.XLOOKUP($C162,Phone_by_Sentiment!$B$2:$B$37,Phone_by_Sentiment!I$2:I$37,"",0,1),0),$A162-TEXT(DATEVALUE($D162&amp;"-01"), "dd-mm-yyyy")),0),0)</f>
        <v>0</v>
      </c>
      <c r="J162" cm="1">
        <f t="array" ref="J162">IF($Q162&gt;=0,IFERROR(generateSalesData($D162, IF(ISNUMBER(_xlfn.XLOOKUP($C162,Phone_by_Sentiment!$B$2:$B$37,Phone_by_Sentiment!J$2:J$37,"",0,1)),_xlfn.XLOOKUP($C162,Phone_by_Sentiment!$B$2:$B$37,Phone_by_Sentiment!J$2:J$37,"",0,1),0),$A162-TEXT(DATEVALUE($D162&amp;"-01"), "dd-mm-yyyy")),0),0)</f>
        <v>0</v>
      </c>
      <c r="K162" cm="1">
        <f t="array" ref="K162">IF($Q162&gt;=0,IFERROR(generateSalesData($D162, IF(ISNUMBER(_xlfn.XLOOKUP($C162,Phone_by_Sentiment!$B$2:$B$37,Phone_by_Sentiment!K$2:K$37,"",0,1)),_xlfn.XLOOKUP($C162,Phone_by_Sentiment!$B$2:$B$37,Phone_by_Sentiment!K$2:K$37,"",0,1),0),$A162-TEXT(DATEVALUE($D162&amp;"-01"), "dd-mm-yyyy")),0),0)</f>
        <v>0</v>
      </c>
      <c r="L162" cm="1">
        <f t="array" ref="L162">IF($Q162&gt;=0,IFERROR(generateSalesData($D162, IF(ISNUMBER(_xlfn.XLOOKUP($C162,Phone_by_Sentiment!$B$2:$B$37,Phone_by_Sentiment!L$2:L$37,"",0,1)),_xlfn.XLOOKUP($C162,Phone_by_Sentiment!$B$2:$B$37,Phone_by_Sentiment!L$2:L$37,"",0,1),0),$A162-TEXT(DATEVALUE($D162&amp;"-01"), "dd-mm-yyyy")),0),0)</f>
        <v>0</v>
      </c>
      <c r="M162" cm="1">
        <f t="array" ref="M162">IF($Q162&gt;=0,IFERROR(generateSalesData($D162, IF(ISNUMBER(_xlfn.XLOOKUP($C162,Phone_by_Sentiment!$B$2:$B$37,Phone_by_Sentiment!M$2:M$37,"",0,1)),_xlfn.XLOOKUP($C162,Phone_by_Sentiment!$B$2:$B$37,Phone_by_Sentiment!M$2:M$37,"",0,1),0),$A162-TEXT(DATEVALUE($D162&amp;"-01"), "dd-mm-yyyy")),0),0)</f>
        <v>0</v>
      </c>
      <c r="N162" cm="1">
        <f t="array" ref="N162">IF($Q162&gt;=0,IFERROR(generateSalesData($D162, IF(ISNUMBER(_xlfn.XLOOKUP($C162,Phone_by_Sentiment!$B$2:$B$37,Phone_by_Sentiment!N$2:N$37,"",0,1)),_xlfn.XLOOKUP($C162,Phone_by_Sentiment!$B$2:$B$37,Phone_by_Sentiment!N$2:N$37,"",0,1),0),$A162-TEXT(DATEVALUE($D162&amp;"-01"), "dd-mm-yyyy")),0),0)</f>
        <v>0</v>
      </c>
      <c r="O162" cm="1">
        <f t="array" ref="O162">IF($Q162&gt;=0,IFERROR(generateSalesData($D162, IF(ISNUMBER(_xlfn.XLOOKUP($C162,Phone_by_Sentiment!$B$2:$B$37,Phone_by_Sentiment!O$2:O$37,"",0,1)),_xlfn.XLOOKUP($C162,Phone_by_Sentiment!$B$2:$B$37,Phone_by_Sentiment!O$2:O$37,"",0,1),0),$A162-TEXT(DATEVALUE($D162&amp;"-01"), "dd-mm-yyyy")),0),0)</f>
        <v>0</v>
      </c>
      <c r="P162" s="1">
        <f t="shared" si="5"/>
        <v>43678</v>
      </c>
      <c r="Q162">
        <f t="shared" si="6"/>
        <v>-92</v>
      </c>
    </row>
    <row r="163" spans="1:17" x14ac:dyDescent="0.25">
      <c r="A163" s="1">
        <f t="shared" si="0"/>
        <v>43586</v>
      </c>
      <c r="B163" t="s">
        <v>170</v>
      </c>
      <c r="C163" t="str">
        <f>_xlfn.XLOOKUP(B163,Phone_by_Price!$A$2:$A$34,Phone_by_Price!$B$2:$B$34,"-",0,1)</f>
        <v>Realme Narzo 30A</v>
      </c>
      <c r="D163" t="str">
        <f>_xlfn.XLOOKUP(C163,Phone_by_Sentiment!$B$2:$B$37,Phone_by_Sentiment!$A$2:$A$37,"-",0,1)</f>
        <v>2021-02</v>
      </c>
      <c r="E163" cm="1">
        <f t="array" ref="E163">IF($Q163&gt;=0,IFERROR(generateSalesData($D163, IF(ISNUMBER(_xlfn.XLOOKUP($C163,Phone_by_Sentiment!$B$2:$B$37,Phone_by_Sentiment!E$2:E$37,"",0,1)),_xlfn.XLOOKUP($C163,Phone_by_Sentiment!$B$2:$B$37,Phone_by_Sentiment!E$2:E$37,"",0,1),0),$A163-TEXT(DATEVALUE($D163&amp;"-01"), "dd-mm-yyyy")),0),0)</f>
        <v>0</v>
      </c>
      <c r="F163" cm="1">
        <f t="array" ref="F163">IF($Q163&gt;=0,IFERROR(generateSalesData($D163, IF(ISNUMBER(_xlfn.XLOOKUP($C163,Phone_by_Sentiment!$B$2:$B$37,Phone_by_Sentiment!F$2:F$37,"",0,1)),_xlfn.XLOOKUP($C163,Phone_by_Sentiment!$B$2:$B$37,Phone_by_Sentiment!F$2:F$37,"",0,1),0),$A163-TEXT(DATEVALUE($D163&amp;"-01"), "dd-mm-yyyy")),0),0)</f>
        <v>0</v>
      </c>
      <c r="G163" cm="1">
        <f t="array" ref="G163">IF($Q163&gt;=0,IFERROR(generateSalesData($D163, IF(ISNUMBER(_xlfn.XLOOKUP($C163,Phone_by_Sentiment!$B$2:$B$37,Phone_by_Sentiment!G$2:G$37,"",0,1)),_xlfn.XLOOKUP($C163,Phone_by_Sentiment!$B$2:$B$37,Phone_by_Sentiment!G$2:G$37,"",0,1),0),$A163-TEXT(DATEVALUE($D163&amp;"-01"), "dd-mm-yyyy")),0),0)</f>
        <v>0</v>
      </c>
      <c r="H163" cm="1">
        <f t="array" ref="H163">IF($Q163&gt;=0,IFERROR(generateSalesData($D163, IF(ISNUMBER(_xlfn.XLOOKUP($C163,Phone_by_Sentiment!$B$2:$B$37,Phone_by_Sentiment!H$2:H$37,"",0,1)),_xlfn.XLOOKUP($C163,Phone_by_Sentiment!$B$2:$B$37,Phone_by_Sentiment!H$2:H$37,"",0,1),0),$A163-TEXT(DATEVALUE($D163&amp;"-01"), "dd-mm-yyyy")),0),0)</f>
        <v>0</v>
      </c>
      <c r="I163" cm="1">
        <f t="array" ref="I163">IF($Q163&gt;=0,IFERROR(generateSalesData($D163, IF(ISNUMBER(_xlfn.XLOOKUP($C163,Phone_by_Sentiment!$B$2:$B$37,Phone_by_Sentiment!I$2:I$37,"",0,1)),_xlfn.XLOOKUP($C163,Phone_by_Sentiment!$B$2:$B$37,Phone_by_Sentiment!I$2:I$37,"",0,1),0),$A163-TEXT(DATEVALUE($D163&amp;"-01"), "dd-mm-yyyy")),0),0)</f>
        <v>0</v>
      </c>
      <c r="J163" cm="1">
        <f t="array" ref="J163">IF($Q163&gt;=0,IFERROR(generateSalesData($D163, IF(ISNUMBER(_xlfn.XLOOKUP($C163,Phone_by_Sentiment!$B$2:$B$37,Phone_by_Sentiment!J$2:J$37,"",0,1)),_xlfn.XLOOKUP($C163,Phone_by_Sentiment!$B$2:$B$37,Phone_by_Sentiment!J$2:J$37,"",0,1),0),$A163-TEXT(DATEVALUE($D163&amp;"-01"), "dd-mm-yyyy")),0),0)</f>
        <v>0</v>
      </c>
      <c r="K163" cm="1">
        <f t="array" ref="K163">IF($Q163&gt;=0,IFERROR(generateSalesData($D163, IF(ISNUMBER(_xlfn.XLOOKUP($C163,Phone_by_Sentiment!$B$2:$B$37,Phone_by_Sentiment!K$2:K$37,"",0,1)),_xlfn.XLOOKUP($C163,Phone_by_Sentiment!$B$2:$B$37,Phone_by_Sentiment!K$2:K$37,"",0,1),0),$A163-TEXT(DATEVALUE($D163&amp;"-01"), "dd-mm-yyyy")),0),0)</f>
        <v>0</v>
      </c>
      <c r="L163" cm="1">
        <f t="array" ref="L163">IF($Q163&gt;=0,IFERROR(generateSalesData($D163, IF(ISNUMBER(_xlfn.XLOOKUP($C163,Phone_by_Sentiment!$B$2:$B$37,Phone_by_Sentiment!L$2:L$37,"",0,1)),_xlfn.XLOOKUP($C163,Phone_by_Sentiment!$B$2:$B$37,Phone_by_Sentiment!L$2:L$37,"",0,1),0),$A163-TEXT(DATEVALUE($D163&amp;"-01"), "dd-mm-yyyy")),0),0)</f>
        <v>0</v>
      </c>
      <c r="M163" cm="1">
        <f t="array" ref="M163">IF($Q163&gt;=0,IFERROR(generateSalesData($D163, IF(ISNUMBER(_xlfn.XLOOKUP($C163,Phone_by_Sentiment!$B$2:$B$37,Phone_by_Sentiment!M$2:M$37,"",0,1)),_xlfn.XLOOKUP($C163,Phone_by_Sentiment!$B$2:$B$37,Phone_by_Sentiment!M$2:M$37,"",0,1),0),$A163-TEXT(DATEVALUE($D163&amp;"-01"), "dd-mm-yyyy")),0),0)</f>
        <v>0</v>
      </c>
      <c r="N163" cm="1">
        <f t="array" ref="N163">IF($Q163&gt;=0,IFERROR(generateSalesData($D163, IF(ISNUMBER(_xlfn.XLOOKUP($C163,Phone_by_Sentiment!$B$2:$B$37,Phone_by_Sentiment!N$2:N$37,"",0,1)),_xlfn.XLOOKUP($C163,Phone_by_Sentiment!$B$2:$B$37,Phone_by_Sentiment!N$2:N$37,"",0,1),0),$A163-TEXT(DATEVALUE($D163&amp;"-01"), "dd-mm-yyyy")),0),0)</f>
        <v>0</v>
      </c>
      <c r="O163" cm="1">
        <f t="array" ref="O163">IF($Q163&gt;=0,IFERROR(generateSalesData($D163, IF(ISNUMBER(_xlfn.XLOOKUP($C163,Phone_by_Sentiment!$B$2:$B$37,Phone_by_Sentiment!O$2:O$37,"",0,1)),_xlfn.XLOOKUP($C163,Phone_by_Sentiment!$B$2:$B$37,Phone_by_Sentiment!O$2:O$37,"",0,1),0),$A163-TEXT(DATEVALUE($D163&amp;"-01"), "dd-mm-yyyy")),0),0)</f>
        <v>0</v>
      </c>
      <c r="P163" s="1">
        <f t="shared" si="5"/>
        <v>44228</v>
      </c>
      <c r="Q163">
        <f t="shared" si="6"/>
        <v>-642</v>
      </c>
    </row>
    <row r="164" spans="1:17" x14ac:dyDescent="0.25">
      <c r="A164" s="1">
        <f t="shared" si="0"/>
        <v>43586</v>
      </c>
      <c r="B164" t="s">
        <v>171</v>
      </c>
      <c r="C164" t="str">
        <f>_xlfn.XLOOKUP(B164,Phone_by_Price!$A$2:$A$34,Phone_by_Price!$B$2:$B$34,"-",0,1)</f>
        <v>Samsung Galaxy A22 5G</v>
      </c>
      <c r="D164" t="str">
        <f>_xlfn.XLOOKUP(C164,Phone_by_Sentiment!$B$2:$B$37,Phone_by_Sentiment!$A$2:$A$37,"-",0,1)</f>
        <v>2021-05</v>
      </c>
      <c r="E164" cm="1">
        <f t="array" ref="E164">IF($Q164&gt;=0,IFERROR(generateSalesData($D164, IF(ISNUMBER(_xlfn.XLOOKUP($C164,Phone_by_Sentiment!$B$2:$B$37,Phone_by_Sentiment!E$2:E$37,"",0,1)),_xlfn.XLOOKUP($C164,Phone_by_Sentiment!$B$2:$B$37,Phone_by_Sentiment!E$2:E$37,"",0,1),0),$A164-TEXT(DATEVALUE($D164&amp;"-01"), "dd-mm-yyyy")),0),0)</f>
        <v>0</v>
      </c>
      <c r="F164" cm="1">
        <f t="array" ref="F164">IF($Q164&gt;=0,IFERROR(generateSalesData($D164, IF(ISNUMBER(_xlfn.XLOOKUP($C164,Phone_by_Sentiment!$B$2:$B$37,Phone_by_Sentiment!F$2:F$37,"",0,1)),_xlfn.XLOOKUP($C164,Phone_by_Sentiment!$B$2:$B$37,Phone_by_Sentiment!F$2:F$37,"",0,1),0),$A164-TEXT(DATEVALUE($D164&amp;"-01"), "dd-mm-yyyy")),0),0)</f>
        <v>0</v>
      </c>
      <c r="G164" cm="1">
        <f t="array" ref="G164">IF($Q164&gt;=0,IFERROR(generateSalesData($D164, IF(ISNUMBER(_xlfn.XLOOKUP($C164,Phone_by_Sentiment!$B$2:$B$37,Phone_by_Sentiment!G$2:G$37,"",0,1)),_xlfn.XLOOKUP($C164,Phone_by_Sentiment!$B$2:$B$37,Phone_by_Sentiment!G$2:G$37,"",0,1),0),$A164-TEXT(DATEVALUE($D164&amp;"-01"), "dd-mm-yyyy")),0),0)</f>
        <v>0</v>
      </c>
      <c r="H164" cm="1">
        <f t="array" ref="H164">IF($Q164&gt;=0,IFERROR(generateSalesData($D164, IF(ISNUMBER(_xlfn.XLOOKUP($C164,Phone_by_Sentiment!$B$2:$B$37,Phone_by_Sentiment!H$2:H$37,"",0,1)),_xlfn.XLOOKUP($C164,Phone_by_Sentiment!$B$2:$B$37,Phone_by_Sentiment!H$2:H$37,"",0,1),0),$A164-TEXT(DATEVALUE($D164&amp;"-01"), "dd-mm-yyyy")),0),0)</f>
        <v>0</v>
      </c>
      <c r="I164" cm="1">
        <f t="array" ref="I164">IF($Q164&gt;=0,IFERROR(generateSalesData($D164, IF(ISNUMBER(_xlfn.XLOOKUP($C164,Phone_by_Sentiment!$B$2:$B$37,Phone_by_Sentiment!I$2:I$37,"",0,1)),_xlfn.XLOOKUP($C164,Phone_by_Sentiment!$B$2:$B$37,Phone_by_Sentiment!I$2:I$37,"",0,1),0),$A164-TEXT(DATEVALUE($D164&amp;"-01"), "dd-mm-yyyy")),0),0)</f>
        <v>0</v>
      </c>
      <c r="J164" cm="1">
        <f t="array" ref="J164">IF($Q164&gt;=0,IFERROR(generateSalesData($D164, IF(ISNUMBER(_xlfn.XLOOKUP($C164,Phone_by_Sentiment!$B$2:$B$37,Phone_by_Sentiment!J$2:J$37,"",0,1)),_xlfn.XLOOKUP($C164,Phone_by_Sentiment!$B$2:$B$37,Phone_by_Sentiment!J$2:J$37,"",0,1),0),$A164-TEXT(DATEVALUE($D164&amp;"-01"), "dd-mm-yyyy")),0),0)</f>
        <v>0</v>
      </c>
      <c r="K164" cm="1">
        <f t="array" ref="K164">IF($Q164&gt;=0,IFERROR(generateSalesData($D164, IF(ISNUMBER(_xlfn.XLOOKUP($C164,Phone_by_Sentiment!$B$2:$B$37,Phone_by_Sentiment!K$2:K$37,"",0,1)),_xlfn.XLOOKUP($C164,Phone_by_Sentiment!$B$2:$B$37,Phone_by_Sentiment!K$2:K$37,"",0,1),0),$A164-TEXT(DATEVALUE($D164&amp;"-01"), "dd-mm-yyyy")),0),0)</f>
        <v>0</v>
      </c>
      <c r="L164" cm="1">
        <f t="array" ref="L164">IF($Q164&gt;=0,IFERROR(generateSalesData($D164, IF(ISNUMBER(_xlfn.XLOOKUP($C164,Phone_by_Sentiment!$B$2:$B$37,Phone_by_Sentiment!L$2:L$37,"",0,1)),_xlfn.XLOOKUP($C164,Phone_by_Sentiment!$B$2:$B$37,Phone_by_Sentiment!L$2:L$37,"",0,1),0),$A164-TEXT(DATEVALUE($D164&amp;"-01"), "dd-mm-yyyy")),0),0)</f>
        <v>0</v>
      </c>
      <c r="M164" cm="1">
        <f t="array" ref="M164">IF($Q164&gt;=0,IFERROR(generateSalesData($D164, IF(ISNUMBER(_xlfn.XLOOKUP($C164,Phone_by_Sentiment!$B$2:$B$37,Phone_by_Sentiment!M$2:M$37,"",0,1)),_xlfn.XLOOKUP($C164,Phone_by_Sentiment!$B$2:$B$37,Phone_by_Sentiment!M$2:M$37,"",0,1),0),$A164-TEXT(DATEVALUE($D164&amp;"-01"), "dd-mm-yyyy")),0),0)</f>
        <v>0</v>
      </c>
      <c r="N164" cm="1">
        <f t="array" ref="N164">IF($Q164&gt;=0,IFERROR(generateSalesData($D164, IF(ISNUMBER(_xlfn.XLOOKUP($C164,Phone_by_Sentiment!$B$2:$B$37,Phone_by_Sentiment!N$2:N$37,"",0,1)),_xlfn.XLOOKUP($C164,Phone_by_Sentiment!$B$2:$B$37,Phone_by_Sentiment!N$2:N$37,"",0,1),0),$A164-TEXT(DATEVALUE($D164&amp;"-01"), "dd-mm-yyyy")),0),0)</f>
        <v>0</v>
      </c>
      <c r="O164" cm="1">
        <f t="array" ref="O164">IF($Q164&gt;=0,IFERROR(generateSalesData($D164, IF(ISNUMBER(_xlfn.XLOOKUP($C164,Phone_by_Sentiment!$B$2:$B$37,Phone_by_Sentiment!O$2:O$37,"",0,1)),_xlfn.XLOOKUP($C164,Phone_by_Sentiment!$B$2:$B$37,Phone_by_Sentiment!O$2:O$37,"",0,1),0),$A164-TEXT(DATEVALUE($D164&amp;"-01"), "dd-mm-yyyy")),0),0)</f>
        <v>0</v>
      </c>
      <c r="P164" s="1">
        <f t="shared" si="5"/>
        <v>44317</v>
      </c>
      <c r="Q164">
        <f t="shared" si="6"/>
        <v>-731</v>
      </c>
    </row>
    <row r="165" spans="1:17" x14ac:dyDescent="0.25">
      <c r="A165" s="1">
        <f t="shared" si="0"/>
        <v>43586</v>
      </c>
      <c r="B165" t="s">
        <v>172</v>
      </c>
      <c r="C165" t="str">
        <f>_xlfn.XLOOKUP(B165,Phone_by_Price!$A$2:$A$34,Phone_by_Price!$B$2:$B$34,"-",0,1)</f>
        <v>Xiaomi Redmi 9</v>
      </c>
      <c r="D165" t="str">
        <f>_xlfn.XLOOKUP(C165,Phone_by_Sentiment!$B$2:$B$37,Phone_by_Sentiment!$A$2:$A$37,"-",0,1)</f>
        <v>2020-08</v>
      </c>
      <c r="E165" cm="1">
        <f t="array" ref="E165">IF($Q165&gt;=0,IFERROR(generateSalesData($D165, IF(ISNUMBER(_xlfn.XLOOKUP($C165,Phone_by_Sentiment!$B$2:$B$37,Phone_by_Sentiment!E$2:E$37,"",0,1)),_xlfn.XLOOKUP($C165,Phone_by_Sentiment!$B$2:$B$37,Phone_by_Sentiment!E$2:E$37,"",0,1),0),$A165-TEXT(DATEVALUE($D165&amp;"-01"), "dd-mm-yyyy")),0),0)</f>
        <v>0</v>
      </c>
      <c r="F165" cm="1">
        <f t="array" ref="F165">IF($Q165&gt;=0,IFERROR(generateSalesData($D165, IF(ISNUMBER(_xlfn.XLOOKUP($C165,Phone_by_Sentiment!$B$2:$B$37,Phone_by_Sentiment!F$2:F$37,"",0,1)),_xlfn.XLOOKUP($C165,Phone_by_Sentiment!$B$2:$B$37,Phone_by_Sentiment!F$2:F$37,"",0,1),0),$A165-TEXT(DATEVALUE($D165&amp;"-01"), "dd-mm-yyyy")),0),0)</f>
        <v>0</v>
      </c>
      <c r="G165" cm="1">
        <f t="array" ref="G165">IF($Q165&gt;=0,IFERROR(generateSalesData($D165, IF(ISNUMBER(_xlfn.XLOOKUP($C165,Phone_by_Sentiment!$B$2:$B$37,Phone_by_Sentiment!G$2:G$37,"",0,1)),_xlfn.XLOOKUP($C165,Phone_by_Sentiment!$B$2:$B$37,Phone_by_Sentiment!G$2:G$37,"",0,1),0),$A165-TEXT(DATEVALUE($D165&amp;"-01"), "dd-mm-yyyy")),0),0)</f>
        <v>0</v>
      </c>
      <c r="H165" cm="1">
        <f t="array" ref="H165">IF($Q165&gt;=0,IFERROR(generateSalesData($D165, IF(ISNUMBER(_xlfn.XLOOKUP($C165,Phone_by_Sentiment!$B$2:$B$37,Phone_by_Sentiment!H$2:H$37,"",0,1)),_xlfn.XLOOKUP($C165,Phone_by_Sentiment!$B$2:$B$37,Phone_by_Sentiment!H$2:H$37,"",0,1),0),$A165-TEXT(DATEVALUE($D165&amp;"-01"), "dd-mm-yyyy")),0),0)</f>
        <v>0</v>
      </c>
      <c r="I165" cm="1">
        <f t="array" ref="I165">IF($Q165&gt;=0,IFERROR(generateSalesData($D165, IF(ISNUMBER(_xlfn.XLOOKUP($C165,Phone_by_Sentiment!$B$2:$B$37,Phone_by_Sentiment!I$2:I$37,"",0,1)),_xlfn.XLOOKUP($C165,Phone_by_Sentiment!$B$2:$B$37,Phone_by_Sentiment!I$2:I$37,"",0,1),0),$A165-TEXT(DATEVALUE($D165&amp;"-01"), "dd-mm-yyyy")),0),0)</f>
        <v>0</v>
      </c>
      <c r="J165" cm="1">
        <f t="array" ref="J165">IF($Q165&gt;=0,IFERROR(generateSalesData($D165, IF(ISNUMBER(_xlfn.XLOOKUP($C165,Phone_by_Sentiment!$B$2:$B$37,Phone_by_Sentiment!J$2:J$37,"",0,1)),_xlfn.XLOOKUP($C165,Phone_by_Sentiment!$B$2:$B$37,Phone_by_Sentiment!J$2:J$37,"",0,1),0),$A165-TEXT(DATEVALUE($D165&amp;"-01"), "dd-mm-yyyy")),0),0)</f>
        <v>0</v>
      </c>
      <c r="K165" cm="1">
        <f t="array" ref="K165">IF($Q165&gt;=0,IFERROR(generateSalesData($D165, IF(ISNUMBER(_xlfn.XLOOKUP($C165,Phone_by_Sentiment!$B$2:$B$37,Phone_by_Sentiment!K$2:K$37,"",0,1)),_xlfn.XLOOKUP($C165,Phone_by_Sentiment!$B$2:$B$37,Phone_by_Sentiment!K$2:K$37,"",0,1),0),$A165-TEXT(DATEVALUE($D165&amp;"-01"), "dd-mm-yyyy")),0),0)</f>
        <v>0</v>
      </c>
      <c r="L165" cm="1">
        <f t="array" ref="L165">IF($Q165&gt;=0,IFERROR(generateSalesData($D165, IF(ISNUMBER(_xlfn.XLOOKUP($C165,Phone_by_Sentiment!$B$2:$B$37,Phone_by_Sentiment!L$2:L$37,"",0,1)),_xlfn.XLOOKUP($C165,Phone_by_Sentiment!$B$2:$B$37,Phone_by_Sentiment!L$2:L$37,"",0,1),0),$A165-TEXT(DATEVALUE($D165&amp;"-01"), "dd-mm-yyyy")),0),0)</f>
        <v>0</v>
      </c>
      <c r="M165" cm="1">
        <f t="array" ref="M165">IF($Q165&gt;=0,IFERROR(generateSalesData($D165, IF(ISNUMBER(_xlfn.XLOOKUP($C165,Phone_by_Sentiment!$B$2:$B$37,Phone_by_Sentiment!M$2:M$37,"",0,1)),_xlfn.XLOOKUP($C165,Phone_by_Sentiment!$B$2:$B$37,Phone_by_Sentiment!M$2:M$37,"",0,1),0),$A165-TEXT(DATEVALUE($D165&amp;"-01"), "dd-mm-yyyy")),0),0)</f>
        <v>0</v>
      </c>
      <c r="N165" cm="1">
        <f t="array" ref="N165">IF($Q165&gt;=0,IFERROR(generateSalesData($D165, IF(ISNUMBER(_xlfn.XLOOKUP($C165,Phone_by_Sentiment!$B$2:$B$37,Phone_by_Sentiment!N$2:N$37,"",0,1)),_xlfn.XLOOKUP($C165,Phone_by_Sentiment!$B$2:$B$37,Phone_by_Sentiment!N$2:N$37,"",0,1),0),$A165-TEXT(DATEVALUE($D165&amp;"-01"), "dd-mm-yyyy")),0),0)</f>
        <v>0</v>
      </c>
      <c r="O165" cm="1">
        <f t="array" ref="O165">IF($Q165&gt;=0,IFERROR(generateSalesData($D165, IF(ISNUMBER(_xlfn.XLOOKUP($C165,Phone_by_Sentiment!$B$2:$B$37,Phone_by_Sentiment!O$2:O$37,"",0,1)),_xlfn.XLOOKUP($C165,Phone_by_Sentiment!$B$2:$B$37,Phone_by_Sentiment!O$2:O$37,"",0,1),0),$A165-TEXT(DATEVALUE($D165&amp;"-01"), "dd-mm-yyyy")),0),0)</f>
        <v>0</v>
      </c>
      <c r="P165" s="1">
        <f t="shared" si="5"/>
        <v>44044</v>
      </c>
      <c r="Q165">
        <f t="shared" si="6"/>
        <v>-458</v>
      </c>
    </row>
    <row r="166" spans="1:17" x14ac:dyDescent="0.25">
      <c r="A166" s="1">
        <f t="shared" si="0"/>
        <v>43586</v>
      </c>
      <c r="B166" t="s">
        <v>173</v>
      </c>
      <c r="C166" t="str">
        <f>_xlfn.XLOOKUP(B166,Phone_by_Price!$A$2:$A$34,Phone_by_Price!$B$2:$B$34,"-",0,1)</f>
        <v>Realme C3</v>
      </c>
      <c r="D166" t="str">
        <f>_xlfn.XLOOKUP(C166,Phone_by_Sentiment!$B$2:$B$37,Phone_by_Sentiment!$A$2:$A$37,"-",0,1)</f>
        <v>2020-02</v>
      </c>
      <c r="E166" cm="1">
        <f t="array" ref="E166">IF($Q166&gt;=0,IFERROR(generateSalesData($D166, IF(ISNUMBER(_xlfn.XLOOKUP($C166,Phone_by_Sentiment!$B$2:$B$37,Phone_by_Sentiment!E$2:E$37,"",0,1)),_xlfn.XLOOKUP($C166,Phone_by_Sentiment!$B$2:$B$37,Phone_by_Sentiment!E$2:E$37,"",0,1),0),$A166-TEXT(DATEVALUE($D166&amp;"-01"), "dd-mm-yyyy")),0),0)</f>
        <v>0</v>
      </c>
      <c r="F166" cm="1">
        <f t="array" ref="F166">IF($Q166&gt;=0,IFERROR(generateSalesData($D166, IF(ISNUMBER(_xlfn.XLOOKUP($C166,Phone_by_Sentiment!$B$2:$B$37,Phone_by_Sentiment!F$2:F$37,"",0,1)),_xlfn.XLOOKUP($C166,Phone_by_Sentiment!$B$2:$B$37,Phone_by_Sentiment!F$2:F$37,"",0,1),0),$A166-TEXT(DATEVALUE($D166&amp;"-01"), "dd-mm-yyyy")),0),0)</f>
        <v>0</v>
      </c>
      <c r="G166" cm="1">
        <f t="array" ref="G166">IF($Q166&gt;=0,IFERROR(generateSalesData($D166, IF(ISNUMBER(_xlfn.XLOOKUP($C166,Phone_by_Sentiment!$B$2:$B$37,Phone_by_Sentiment!G$2:G$37,"",0,1)),_xlfn.XLOOKUP($C166,Phone_by_Sentiment!$B$2:$B$37,Phone_by_Sentiment!G$2:G$37,"",0,1),0),$A166-TEXT(DATEVALUE($D166&amp;"-01"), "dd-mm-yyyy")),0),0)</f>
        <v>0</v>
      </c>
      <c r="H166" cm="1">
        <f t="array" ref="H166">IF($Q166&gt;=0,IFERROR(generateSalesData($D166, IF(ISNUMBER(_xlfn.XLOOKUP($C166,Phone_by_Sentiment!$B$2:$B$37,Phone_by_Sentiment!H$2:H$37,"",0,1)),_xlfn.XLOOKUP($C166,Phone_by_Sentiment!$B$2:$B$37,Phone_by_Sentiment!H$2:H$37,"",0,1),0),$A166-TEXT(DATEVALUE($D166&amp;"-01"), "dd-mm-yyyy")),0),0)</f>
        <v>0</v>
      </c>
      <c r="I166" cm="1">
        <f t="array" ref="I166">IF($Q166&gt;=0,IFERROR(generateSalesData($D166, IF(ISNUMBER(_xlfn.XLOOKUP($C166,Phone_by_Sentiment!$B$2:$B$37,Phone_by_Sentiment!I$2:I$37,"",0,1)),_xlfn.XLOOKUP($C166,Phone_by_Sentiment!$B$2:$B$37,Phone_by_Sentiment!I$2:I$37,"",0,1),0),$A166-TEXT(DATEVALUE($D166&amp;"-01"), "dd-mm-yyyy")),0),0)</f>
        <v>0</v>
      </c>
      <c r="J166" cm="1">
        <f t="array" ref="J166">IF($Q166&gt;=0,IFERROR(generateSalesData($D166, IF(ISNUMBER(_xlfn.XLOOKUP($C166,Phone_by_Sentiment!$B$2:$B$37,Phone_by_Sentiment!J$2:J$37,"",0,1)),_xlfn.XLOOKUP($C166,Phone_by_Sentiment!$B$2:$B$37,Phone_by_Sentiment!J$2:J$37,"",0,1),0),$A166-TEXT(DATEVALUE($D166&amp;"-01"), "dd-mm-yyyy")),0),0)</f>
        <v>0</v>
      </c>
      <c r="K166" cm="1">
        <f t="array" ref="K166">IF($Q166&gt;=0,IFERROR(generateSalesData($D166, IF(ISNUMBER(_xlfn.XLOOKUP($C166,Phone_by_Sentiment!$B$2:$B$37,Phone_by_Sentiment!K$2:K$37,"",0,1)),_xlfn.XLOOKUP($C166,Phone_by_Sentiment!$B$2:$B$37,Phone_by_Sentiment!K$2:K$37,"",0,1),0),$A166-TEXT(DATEVALUE($D166&amp;"-01"), "dd-mm-yyyy")),0),0)</f>
        <v>0</v>
      </c>
      <c r="L166" cm="1">
        <f t="array" ref="L166">IF($Q166&gt;=0,IFERROR(generateSalesData($D166, IF(ISNUMBER(_xlfn.XLOOKUP($C166,Phone_by_Sentiment!$B$2:$B$37,Phone_by_Sentiment!L$2:L$37,"",0,1)),_xlfn.XLOOKUP($C166,Phone_by_Sentiment!$B$2:$B$37,Phone_by_Sentiment!L$2:L$37,"",0,1),0),$A166-TEXT(DATEVALUE($D166&amp;"-01"), "dd-mm-yyyy")),0),0)</f>
        <v>0</v>
      </c>
      <c r="M166" cm="1">
        <f t="array" ref="M166">IF($Q166&gt;=0,IFERROR(generateSalesData($D166, IF(ISNUMBER(_xlfn.XLOOKUP($C166,Phone_by_Sentiment!$B$2:$B$37,Phone_by_Sentiment!M$2:M$37,"",0,1)),_xlfn.XLOOKUP($C166,Phone_by_Sentiment!$B$2:$B$37,Phone_by_Sentiment!M$2:M$37,"",0,1),0),$A166-TEXT(DATEVALUE($D166&amp;"-01"), "dd-mm-yyyy")),0),0)</f>
        <v>0</v>
      </c>
      <c r="N166" cm="1">
        <f t="array" ref="N166">IF($Q166&gt;=0,IFERROR(generateSalesData($D166, IF(ISNUMBER(_xlfn.XLOOKUP($C166,Phone_by_Sentiment!$B$2:$B$37,Phone_by_Sentiment!N$2:N$37,"",0,1)),_xlfn.XLOOKUP($C166,Phone_by_Sentiment!$B$2:$B$37,Phone_by_Sentiment!N$2:N$37,"",0,1),0),$A166-TEXT(DATEVALUE($D166&amp;"-01"), "dd-mm-yyyy")),0),0)</f>
        <v>0</v>
      </c>
      <c r="O166" cm="1">
        <f t="array" ref="O166">IF($Q166&gt;=0,IFERROR(generateSalesData($D166, IF(ISNUMBER(_xlfn.XLOOKUP($C166,Phone_by_Sentiment!$B$2:$B$37,Phone_by_Sentiment!O$2:O$37,"",0,1)),_xlfn.XLOOKUP($C166,Phone_by_Sentiment!$B$2:$B$37,Phone_by_Sentiment!O$2:O$37,"",0,1),0),$A166-TEXT(DATEVALUE($D166&amp;"-01"), "dd-mm-yyyy")),0),0)</f>
        <v>0</v>
      </c>
      <c r="P166" s="1">
        <f t="shared" si="5"/>
        <v>43862</v>
      </c>
      <c r="Q166">
        <f t="shared" si="6"/>
        <v>-276</v>
      </c>
    </row>
    <row r="167" spans="1:17" x14ac:dyDescent="0.25">
      <c r="A167" s="1">
        <f t="shared" si="0"/>
        <v>43586</v>
      </c>
      <c r="B167" t="s">
        <v>174</v>
      </c>
      <c r="C167" t="str">
        <f>_xlfn.XLOOKUP(B167,Phone_by_Price!$A$2:$A$34,Phone_by_Price!$B$2:$B$34,"-",0,1)</f>
        <v>Samsung Galaxy A7</v>
      </c>
      <c r="D167" t="str">
        <f>_xlfn.XLOOKUP(C167,Phone_by_Sentiment!$B$2:$B$37,Phone_by_Sentiment!$A$2:$A$37,"-",0,1)</f>
        <v>2018-10</v>
      </c>
      <c r="E167" cm="1">
        <f t="array" ref="E167">IF($Q167&gt;=0,IFERROR(generateSalesData($D167, IF(ISNUMBER(_xlfn.XLOOKUP($C167,Phone_by_Sentiment!$B$2:$B$37,Phone_by_Sentiment!E$2:E$37,"",0,1)),_xlfn.XLOOKUP($C167,Phone_by_Sentiment!$B$2:$B$37,Phone_by_Sentiment!E$2:E$37,"",0,1),0),$A167-TEXT(DATEVALUE($D167&amp;"-01"), "dd-mm-yyyy")),0),0)</f>
        <v>446</v>
      </c>
      <c r="F167" cm="1">
        <f t="array" ref="F167">IF($Q167&gt;=0,IFERROR(generateSalesData($D167, IF(ISNUMBER(_xlfn.XLOOKUP($C167,Phone_by_Sentiment!$B$2:$B$37,Phone_by_Sentiment!F$2:F$37,"",0,1)),_xlfn.XLOOKUP($C167,Phone_by_Sentiment!$B$2:$B$37,Phone_by_Sentiment!F$2:F$37,"",0,1),0),$A167-TEXT(DATEVALUE($D167&amp;"-01"), "dd-mm-yyyy")),0),0)</f>
        <v>361</v>
      </c>
      <c r="G167" cm="1">
        <f t="array" ref="G167">IF($Q167&gt;=0,IFERROR(generateSalesData($D167, IF(ISNUMBER(_xlfn.XLOOKUP($C167,Phone_by_Sentiment!$B$2:$B$37,Phone_by_Sentiment!G$2:G$37,"",0,1)),_xlfn.XLOOKUP($C167,Phone_by_Sentiment!$B$2:$B$37,Phone_by_Sentiment!G$2:G$37,"",0,1),0),$A167-TEXT(DATEVALUE($D167&amp;"-01"), "dd-mm-yyyy")),0),0)</f>
        <v>277</v>
      </c>
      <c r="H167" cm="1">
        <f t="array" ref="H167">IF($Q167&gt;=0,IFERROR(generateSalesData($D167, IF(ISNUMBER(_xlfn.XLOOKUP($C167,Phone_by_Sentiment!$B$2:$B$37,Phone_by_Sentiment!H$2:H$37,"",0,1)),_xlfn.XLOOKUP($C167,Phone_by_Sentiment!$B$2:$B$37,Phone_by_Sentiment!H$2:H$37,"",0,1),0),$A167-TEXT(DATEVALUE($D167&amp;"-01"), "dd-mm-yyyy")),0),0)</f>
        <v>882</v>
      </c>
      <c r="I167" cm="1">
        <f t="array" ref="I167">IF($Q167&gt;=0,IFERROR(generateSalesData($D167, IF(ISNUMBER(_xlfn.XLOOKUP($C167,Phone_by_Sentiment!$B$2:$B$37,Phone_by_Sentiment!I$2:I$37,"",0,1)),_xlfn.XLOOKUP($C167,Phone_by_Sentiment!$B$2:$B$37,Phone_by_Sentiment!I$2:I$37,"",0,1),0),$A167-TEXT(DATEVALUE($D167&amp;"-01"), "dd-mm-yyyy")),0),0)</f>
        <v>1364</v>
      </c>
      <c r="J167" cm="1">
        <f t="array" ref="J167">IF($Q167&gt;=0,IFERROR(generateSalesData($D167, IF(ISNUMBER(_xlfn.XLOOKUP($C167,Phone_by_Sentiment!$B$2:$B$37,Phone_by_Sentiment!J$2:J$37,"",0,1)),_xlfn.XLOOKUP($C167,Phone_by_Sentiment!$B$2:$B$37,Phone_by_Sentiment!J$2:J$37,"",0,1),0),$A167-TEXT(DATEVALUE($D167&amp;"-01"), "dd-mm-yyyy")),0),0)</f>
        <v>267</v>
      </c>
      <c r="K167" cm="1">
        <f t="array" ref="K167">IF($Q167&gt;=0,IFERROR(generateSalesData($D167, IF(ISNUMBER(_xlfn.XLOOKUP($C167,Phone_by_Sentiment!$B$2:$B$37,Phone_by_Sentiment!K$2:K$37,"",0,1)),_xlfn.XLOOKUP($C167,Phone_by_Sentiment!$B$2:$B$37,Phone_by_Sentiment!K$2:K$37,"",0,1),0),$A167-TEXT(DATEVALUE($D167&amp;"-01"), "dd-mm-yyyy")),0),0)</f>
        <v>274</v>
      </c>
      <c r="L167" cm="1">
        <f t="array" ref="L167">IF($Q167&gt;=0,IFERROR(generateSalesData($D167, IF(ISNUMBER(_xlfn.XLOOKUP($C167,Phone_by_Sentiment!$B$2:$B$37,Phone_by_Sentiment!L$2:L$37,"",0,1)),_xlfn.XLOOKUP($C167,Phone_by_Sentiment!$B$2:$B$37,Phone_by_Sentiment!L$2:L$37,"",0,1),0),$A167-TEXT(DATEVALUE($D167&amp;"-01"), "dd-mm-yyyy")),0),0)</f>
        <v>506</v>
      </c>
      <c r="M167" cm="1">
        <f t="array" ref="M167">IF($Q167&gt;=0,IFERROR(generateSalesData($D167, IF(ISNUMBER(_xlfn.XLOOKUP($C167,Phone_by_Sentiment!$B$2:$B$37,Phone_by_Sentiment!M$2:M$37,"",0,1)),_xlfn.XLOOKUP($C167,Phone_by_Sentiment!$B$2:$B$37,Phone_by_Sentiment!M$2:M$37,"",0,1),0),$A167-TEXT(DATEVALUE($D167&amp;"-01"), "dd-mm-yyyy")),0),0)</f>
        <v>588</v>
      </c>
      <c r="N167" cm="1">
        <f t="array" ref="N167">IF($Q167&gt;=0,IFERROR(generateSalesData($D167, IF(ISNUMBER(_xlfn.XLOOKUP($C167,Phone_by_Sentiment!$B$2:$B$37,Phone_by_Sentiment!N$2:N$37,"",0,1)),_xlfn.XLOOKUP($C167,Phone_by_Sentiment!$B$2:$B$37,Phone_by_Sentiment!N$2:N$37,"",0,1),0),$A167-TEXT(DATEVALUE($D167&amp;"-01"), "dd-mm-yyyy")),0),0)</f>
        <v>1112</v>
      </c>
      <c r="O167" cm="1">
        <f t="array" ref="O167">IF($Q167&gt;=0,IFERROR(generateSalesData($D167, IF(ISNUMBER(_xlfn.XLOOKUP($C167,Phone_by_Sentiment!$B$2:$B$37,Phone_by_Sentiment!O$2:O$37,"",0,1)),_xlfn.XLOOKUP($C167,Phone_by_Sentiment!$B$2:$B$37,Phone_by_Sentiment!O$2:O$37,"",0,1),0),$A167-TEXT(DATEVALUE($D167&amp;"-01"), "dd-mm-yyyy")),0),0)</f>
        <v>801</v>
      </c>
      <c r="P167" s="1">
        <f t="shared" si="5"/>
        <v>43374</v>
      </c>
      <c r="Q167">
        <f t="shared" si="6"/>
        <v>212</v>
      </c>
    </row>
    <row r="168" spans="1:17" x14ac:dyDescent="0.25">
      <c r="A168" s="1">
        <f t="shared" si="0"/>
        <v>43586</v>
      </c>
      <c r="B168" t="s">
        <v>142</v>
      </c>
      <c r="C168" t="str">
        <f>_xlfn.XLOOKUP(B168,Phone_by_Price!$A$2:$A$34,Phone_by_Price!$B$2:$B$34,"-",0,1)</f>
        <v>iPhone 11</v>
      </c>
      <c r="D168" t="str">
        <f>_xlfn.XLOOKUP(C168,Phone_by_Sentiment!$B$2:$B$37,Phone_by_Sentiment!$A$2:$A$37,"-",0,1)</f>
        <v>2019-09</v>
      </c>
      <c r="E168" cm="1">
        <f t="array" ref="E168">IF($Q168&gt;=0,IFERROR(generateSalesData($D168, IF(ISNUMBER(_xlfn.XLOOKUP($C168,Phone_by_Sentiment!$B$2:$B$37,Phone_by_Sentiment!E$2:E$37,"",0,1)),_xlfn.XLOOKUP($C168,Phone_by_Sentiment!$B$2:$B$37,Phone_by_Sentiment!E$2:E$37,"",0,1),0),$A168-TEXT(DATEVALUE($D168&amp;"-01"), "dd-mm-yyyy")),0),0)</f>
        <v>0</v>
      </c>
      <c r="F168" cm="1">
        <f t="array" ref="F168">IF($Q168&gt;=0,IFERROR(generateSalesData($D168, IF(ISNUMBER(_xlfn.XLOOKUP($C168,Phone_by_Sentiment!$B$2:$B$37,Phone_by_Sentiment!F$2:F$37,"",0,1)),_xlfn.XLOOKUP($C168,Phone_by_Sentiment!$B$2:$B$37,Phone_by_Sentiment!F$2:F$37,"",0,1),0),$A168-TEXT(DATEVALUE($D168&amp;"-01"), "dd-mm-yyyy")),0),0)</f>
        <v>0</v>
      </c>
      <c r="G168" cm="1">
        <f t="array" ref="G168">IF($Q168&gt;=0,IFERROR(generateSalesData($D168, IF(ISNUMBER(_xlfn.XLOOKUP($C168,Phone_by_Sentiment!$B$2:$B$37,Phone_by_Sentiment!G$2:G$37,"",0,1)),_xlfn.XLOOKUP($C168,Phone_by_Sentiment!$B$2:$B$37,Phone_by_Sentiment!G$2:G$37,"",0,1),0),$A168-TEXT(DATEVALUE($D168&amp;"-01"), "dd-mm-yyyy")),0),0)</f>
        <v>0</v>
      </c>
      <c r="H168" cm="1">
        <f t="array" ref="H168">IF($Q168&gt;=0,IFERROR(generateSalesData($D168, IF(ISNUMBER(_xlfn.XLOOKUP($C168,Phone_by_Sentiment!$B$2:$B$37,Phone_by_Sentiment!H$2:H$37,"",0,1)),_xlfn.XLOOKUP($C168,Phone_by_Sentiment!$B$2:$B$37,Phone_by_Sentiment!H$2:H$37,"",0,1),0),$A168-TEXT(DATEVALUE($D168&amp;"-01"), "dd-mm-yyyy")),0),0)</f>
        <v>0</v>
      </c>
      <c r="I168" cm="1">
        <f t="array" ref="I168">IF($Q168&gt;=0,IFERROR(generateSalesData($D168, IF(ISNUMBER(_xlfn.XLOOKUP($C168,Phone_by_Sentiment!$B$2:$B$37,Phone_by_Sentiment!I$2:I$37,"",0,1)),_xlfn.XLOOKUP($C168,Phone_by_Sentiment!$B$2:$B$37,Phone_by_Sentiment!I$2:I$37,"",0,1),0),$A168-TEXT(DATEVALUE($D168&amp;"-01"), "dd-mm-yyyy")),0),0)</f>
        <v>0</v>
      </c>
      <c r="J168" cm="1">
        <f t="array" ref="J168">IF($Q168&gt;=0,IFERROR(generateSalesData($D168, IF(ISNUMBER(_xlfn.XLOOKUP($C168,Phone_by_Sentiment!$B$2:$B$37,Phone_by_Sentiment!J$2:J$37,"",0,1)),_xlfn.XLOOKUP($C168,Phone_by_Sentiment!$B$2:$B$37,Phone_by_Sentiment!J$2:J$37,"",0,1),0),$A168-TEXT(DATEVALUE($D168&amp;"-01"), "dd-mm-yyyy")),0),0)</f>
        <v>0</v>
      </c>
      <c r="K168" cm="1">
        <f t="array" ref="K168">IF($Q168&gt;=0,IFERROR(generateSalesData($D168, IF(ISNUMBER(_xlfn.XLOOKUP($C168,Phone_by_Sentiment!$B$2:$B$37,Phone_by_Sentiment!K$2:K$37,"",0,1)),_xlfn.XLOOKUP($C168,Phone_by_Sentiment!$B$2:$B$37,Phone_by_Sentiment!K$2:K$37,"",0,1),0),$A168-TEXT(DATEVALUE($D168&amp;"-01"), "dd-mm-yyyy")),0),0)</f>
        <v>0</v>
      </c>
      <c r="L168" cm="1">
        <f t="array" ref="L168">IF($Q168&gt;=0,IFERROR(generateSalesData($D168, IF(ISNUMBER(_xlfn.XLOOKUP($C168,Phone_by_Sentiment!$B$2:$B$37,Phone_by_Sentiment!L$2:L$37,"",0,1)),_xlfn.XLOOKUP($C168,Phone_by_Sentiment!$B$2:$B$37,Phone_by_Sentiment!L$2:L$37,"",0,1),0),$A168-TEXT(DATEVALUE($D168&amp;"-01"), "dd-mm-yyyy")),0),0)</f>
        <v>0</v>
      </c>
      <c r="M168" cm="1">
        <f t="array" ref="M168">IF($Q168&gt;=0,IFERROR(generateSalesData($D168, IF(ISNUMBER(_xlfn.XLOOKUP($C168,Phone_by_Sentiment!$B$2:$B$37,Phone_by_Sentiment!M$2:M$37,"",0,1)),_xlfn.XLOOKUP($C168,Phone_by_Sentiment!$B$2:$B$37,Phone_by_Sentiment!M$2:M$37,"",0,1),0),$A168-TEXT(DATEVALUE($D168&amp;"-01"), "dd-mm-yyyy")),0),0)</f>
        <v>0</v>
      </c>
      <c r="N168" cm="1">
        <f t="array" ref="N168">IF($Q168&gt;=0,IFERROR(generateSalesData($D168, IF(ISNUMBER(_xlfn.XLOOKUP($C168,Phone_by_Sentiment!$B$2:$B$37,Phone_by_Sentiment!N$2:N$37,"",0,1)),_xlfn.XLOOKUP($C168,Phone_by_Sentiment!$B$2:$B$37,Phone_by_Sentiment!N$2:N$37,"",0,1),0),$A168-TEXT(DATEVALUE($D168&amp;"-01"), "dd-mm-yyyy")),0),0)</f>
        <v>0</v>
      </c>
      <c r="O168" cm="1">
        <f t="array" ref="O168">IF($Q168&gt;=0,IFERROR(generateSalesData($D168, IF(ISNUMBER(_xlfn.XLOOKUP($C168,Phone_by_Sentiment!$B$2:$B$37,Phone_by_Sentiment!O$2:O$37,"",0,1)),_xlfn.XLOOKUP($C168,Phone_by_Sentiment!$B$2:$B$37,Phone_by_Sentiment!O$2:O$37,"",0,1),0),$A168-TEXT(DATEVALUE($D168&amp;"-01"), "dd-mm-yyyy")),0),0)</f>
        <v>0</v>
      </c>
      <c r="P168" s="1">
        <f t="shared" si="5"/>
        <v>43709</v>
      </c>
      <c r="Q168">
        <f t="shared" si="6"/>
        <v>-123</v>
      </c>
    </row>
    <row r="169" spans="1:17" x14ac:dyDescent="0.25">
      <c r="A169" s="1">
        <f t="shared" si="0"/>
        <v>43586</v>
      </c>
      <c r="B169" t="s">
        <v>143</v>
      </c>
      <c r="C169" t="str">
        <f>_xlfn.XLOOKUP(B169,Phone_by_Price!$A$2:$A$34,Phone_by_Price!$B$2:$B$34,"-",0,1)</f>
        <v>Samsung Galaxy S20 Ultra</v>
      </c>
      <c r="D169" t="str">
        <f>_xlfn.XLOOKUP(C169,Phone_by_Sentiment!$B$2:$B$37,Phone_by_Sentiment!$A$2:$A$37,"-",0,1)</f>
        <v>2020-02</v>
      </c>
      <c r="E169" cm="1">
        <f t="array" ref="E169">IF($Q169&gt;=0,IFERROR(generateSalesData($D169, IF(ISNUMBER(_xlfn.XLOOKUP($C169,Phone_by_Sentiment!$B$2:$B$37,Phone_by_Sentiment!E$2:E$37,"",0,1)),_xlfn.XLOOKUP($C169,Phone_by_Sentiment!$B$2:$B$37,Phone_by_Sentiment!E$2:E$37,"",0,1),0),$A169-TEXT(DATEVALUE($D169&amp;"-01"), "dd-mm-yyyy")),0),0)</f>
        <v>0</v>
      </c>
      <c r="F169" cm="1">
        <f t="array" ref="F169">IF($Q169&gt;=0,IFERROR(generateSalesData($D169, IF(ISNUMBER(_xlfn.XLOOKUP($C169,Phone_by_Sentiment!$B$2:$B$37,Phone_by_Sentiment!F$2:F$37,"",0,1)),_xlfn.XLOOKUP($C169,Phone_by_Sentiment!$B$2:$B$37,Phone_by_Sentiment!F$2:F$37,"",0,1),0),$A169-TEXT(DATEVALUE($D169&amp;"-01"), "dd-mm-yyyy")),0),0)</f>
        <v>0</v>
      </c>
      <c r="G169" cm="1">
        <f t="array" ref="G169">IF($Q169&gt;=0,IFERROR(generateSalesData($D169, IF(ISNUMBER(_xlfn.XLOOKUP($C169,Phone_by_Sentiment!$B$2:$B$37,Phone_by_Sentiment!G$2:G$37,"",0,1)),_xlfn.XLOOKUP($C169,Phone_by_Sentiment!$B$2:$B$37,Phone_by_Sentiment!G$2:G$37,"",0,1),0),$A169-TEXT(DATEVALUE($D169&amp;"-01"), "dd-mm-yyyy")),0),0)</f>
        <v>0</v>
      </c>
      <c r="H169" cm="1">
        <f t="array" ref="H169">IF($Q169&gt;=0,IFERROR(generateSalesData($D169, IF(ISNUMBER(_xlfn.XLOOKUP($C169,Phone_by_Sentiment!$B$2:$B$37,Phone_by_Sentiment!H$2:H$37,"",0,1)),_xlfn.XLOOKUP($C169,Phone_by_Sentiment!$B$2:$B$37,Phone_by_Sentiment!H$2:H$37,"",0,1),0),$A169-TEXT(DATEVALUE($D169&amp;"-01"), "dd-mm-yyyy")),0),0)</f>
        <v>0</v>
      </c>
      <c r="I169" cm="1">
        <f t="array" ref="I169">IF($Q169&gt;=0,IFERROR(generateSalesData($D169, IF(ISNUMBER(_xlfn.XLOOKUP($C169,Phone_by_Sentiment!$B$2:$B$37,Phone_by_Sentiment!I$2:I$37,"",0,1)),_xlfn.XLOOKUP($C169,Phone_by_Sentiment!$B$2:$B$37,Phone_by_Sentiment!I$2:I$37,"",0,1),0),$A169-TEXT(DATEVALUE($D169&amp;"-01"), "dd-mm-yyyy")),0),0)</f>
        <v>0</v>
      </c>
      <c r="J169" cm="1">
        <f t="array" ref="J169">IF($Q169&gt;=0,IFERROR(generateSalesData($D169, IF(ISNUMBER(_xlfn.XLOOKUP($C169,Phone_by_Sentiment!$B$2:$B$37,Phone_by_Sentiment!J$2:J$37,"",0,1)),_xlfn.XLOOKUP($C169,Phone_by_Sentiment!$B$2:$B$37,Phone_by_Sentiment!J$2:J$37,"",0,1),0),$A169-TEXT(DATEVALUE($D169&amp;"-01"), "dd-mm-yyyy")),0),0)</f>
        <v>0</v>
      </c>
      <c r="K169" cm="1">
        <f t="array" ref="K169">IF($Q169&gt;=0,IFERROR(generateSalesData($D169, IF(ISNUMBER(_xlfn.XLOOKUP($C169,Phone_by_Sentiment!$B$2:$B$37,Phone_by_Sentiment!K$2:K$37,"",0,1)),_xlfn.XLOOKUP($C169,Phone_by_Sentiment!$B$2:$B$37,Phone_by_Sentiment!K$2:K$37,"",0,1),0),$A169-TEXT(DATEVALUE($D169&amp;"-01"), "dd-mm-yyyy")),0),0)</f>
        <v>0</v>
      </c>
      <c r="L169" cm="1">
        <f t="array" ref="L169">IF($Q169&gt;=0,IFERROR(generateSalesData($D169, IF(ISNUMBER(_xlfn.XLOOKUP($C169,Phone_by_Sentiment!$B$2:$B$37,Phone_by_Sentiment!L$2:L$37,"",0,1)),_xlfn.XLOOKUP($C169,Phone_by_Sentiment!$B$2:$B$37,Phone_by_Sentiment!L$2:L$37,"",0,1),0),$A169-TEXT(DATEVALUE($D169&amp;"-01"), "dd-mm-yyyy")),0),0)</f>
        <v>0</v>
      </c>
      <c r="M169" cm="1">
        <f t="array" ref="M169">IF($Q169&gt;=0,IFERROR(generateSalesData($D169, IF(ISNUMBER(_xlfn.XLOOKUP($C169,Phone_by_Sentiment!$B$2:$B$37,Phone_by_Sentiment!M$2:M$37,"",0,1)),_xlfn.XLOOKUP($C169,Phone_by_Sentiment!$B$2:$B$37,Phone_by_Sentiment!M$2:M$37,"",0,1),0),$A169-TEXT(DATEVALUE($D169&amp;"-01"), "dd-mm-yyyy")),0),0)</f>
        <v>0</v>
      </c>
      <c r="N169" cm="1">
        <f t="array" ref="N169">IF($Q169&gt;=0,IFERROR(generateSalesData($D169, IF(ISNUMBER(_xlfn.XLOOKUP($C169,Phone_by_Sentiment!$B$2:$B$37,Phone_by_Sentiment!N$2:N$37,"",0,1)),_xlfn.XLOOKUP($C169,Phone_by_Sentiment!$B$2:$B$37,Phone_by_Sentiment!N$2:N$37,"",0,1),0),$A169-TEXT(DATEVALUE($D169&amp;"-01"), "dd-mm-yyyy")),0),0)</f>
        <v>0</v>
      </c>
      <c r="O169" cm="1">
        <f t="array" ref="O169">IF($Q169&gt;=0,IFERROR(generateSalesData($D169, IF(ISNUMBER(_xlfn.XLOOKUP($C169,Phone_by_Sentiment!$B$2:$B$37,Phone_by_Sentiment!O$2:O$37,"",0,1)),_xlfn.XLOOKUP($C169,Phone_by_Sentiment!$B$2:$B$37,Phone_by_Sentiment!O$2:O$37,"",0,1),0),$A169-TEXT(DATEVALUE($D169&amp;"-01"), "dd-mm-yyyy")),0),0)</f>
        <v>0</v>
      </c>
      <c r="P169" s="1">
        <f t="shared" si="5"/>
        <v>43862</v>
      </c>
      <c r="Q169">
        <f t="shared" si="6"/>
        <v>-276</v>
      </c>
    </row>
    <row r="170" spans="1:17" x14ac:dyDescent="0.25">
      <c r="A170" s="1">
        <f t="shared" si="0"/>
        <v>43586</v>
      </c>
      <c r="B170" t="s">
        <v>144</v>
      </c>
      <c r="C170" t="str">
        <f>_xlfn.XLOOKUP(B170,Phone_by_Price!$A$2:$A$34,Phone_by_Price!$B$2:$B$34,"-",0,1)</f>
        <v>Xiaomi Redmi Note 10</v>
      </c>
      <c r="D170" t="str">
        <f>_xlfn.XLOOKUP(C170,Phone_by_Sentiment!$B$2:$B$37,Phone_by_Sentiment!$A$2:$A$37,"-",0,1)</f>
        <v>2021-03</v>
      </c>
      <c r="E170" cm="1">
        <f t="array" ref="E170">IF($Q170&gt;=0,IFERROR(generateSalesData($D170, IF(ISNUMBER(_xlfn.XLOOKUP($C170,Phone_by_Sentiment!$B$2:$B$37,Phone_by_Sentiment!E$2:E$37,"",0,1)),_xlfn.XLOOKUP($C170,Phone_by_Sentiment!$B$2:$B$37,Phone_by_Sentiment!E$2:E$37,"",0,1),0),$A170-TEXT(DATEVALUE($D170&amp;"-01"), "dd-mm-yyyy")),0),0)</f>
        <v>0</v>
      </c>
      <c r="F170" cm="1">
        <f t="array" ref="F170">IF($Q170&gt;=0,IFERROR(generateSalesData($D170, IF(ISNUMBER(_xlfn.XLOOKUP($C170,Phone_by_Sentiment!$B$2:$B$37,Phone_by_Sentiment!F$2:F$37,"",0,1)),_xlfn.XLOOKUP($C170,Phone_by_Sentiment!$B$2:$B$37,Phone_by_Sentiment!F$2:F$37,"",0,1),0),$A170-TEXT(DATEVALUE($D170&amp;"-01"), "dd-mm-yyyy")),0),0)</f>
        <v>0</v>
      </c>
      <c r="G170" cm="1">
        <f t="array" ref="G170">IF($Q170&gt;=0,IFERROR(generateSalesData($D170, IF(ISNUMBER(_xlfn.XLOOKUP($C170,Phone_by_Sentiment!$B$2:$B$37,Phone_by_Sentiment!G$2:G$37,"",0,1)),_xlfn.XLOOKUP($C170,Phone_by_Sentiment!$B$2:$B$37,Phone_by_Sentiment!G$2:G$37,"",0,1),0),$A170-TEXT(DATEVALUE($D170&amp;"-01"), "dd-mm-yyyy")),0),0)</f>
        <v>0</v>
      </c>
      <c r="H170" cm="1">
        <f t="array" ref="H170">IF($Q170&gt;=0,IFERROR(generateSalesData($D170, IF(ISNUMBER(_xlfn.XLOOKUP($C170,Phone_by_Sentiment!$B$2:$B$37,Phone_by_Sentiment!H$2:H$37,"",0,1)),_xlfn.XLOOKUP($C170,Phone_by_Sentiment!$B$2:$B$37,Phone_by_Sentiment!H$2:H$37,"",0,1),0),$A170-TEXT(DATEVALUE($D170&amp;"-01"), "dd-mm-yyyy")),0),0)</f>
        <v>0</v>
      </c>
      <c r="I170" cm="1">
        <f t="array" ref="I170">IF($Q170&gt;=0,IFERROR(generateSalesData($D170, IF(ISNUMBER(_xlfn.XLOOKUP($C170,Phone_by_Sentiment!$B$2:$B$37,Phone_by_Sentiment!I$2:I$37,"",0,1)),_xlfn.XLOOKUP($C170,Phone_by_Sentiment!$B$2:$B$37,Phone_by_Sentiment!I$2:I$37,"",0,1),0),$A170-TEXT(DATEVALUE($D170&amp;"-01"), "dd-mm-yyyy")),0),0)</f>
        <v>0</v>
      </c>
      <c r="J170" cm="1">
        <f t="array" ref="J170">IF($Q170&gt;=0,IFERROR(generateSalesData($D170, IF(ISNUMBER(_xlfn.XLOOKUP($C170,Phone_by_Sentiment!$B$2:$B$37,Phone_by_Sentiment!J$2:J$37,"",0,1)),_xlfn.XLOOKUP($C170,Phone_by_Sentiment!$B$2:$B$37,Phone_by_Sentiment!J$2:J$37,"",0,1),0),$A170-TEXT(DATEVALUE($D170&amp;"-01"), "dd-mm-yyyy")),0),0)</f>
        <v>0</v>
      </c>
      <c r="K170" cm="1">
        <f t="array" ref="K170">IF($Q170&gt;=0,IFERROR(generateSalesData($D170, IF(ISNUMBER(_xlfn.XLOOKUP($C170,Phone_by_Sentiment!$B$2:$B$37,Phone_by_Sentiment!K$2:K$37,"",0,1)),_xlfn.XLOOKUP($C170,Phone_by_Sentiment!$B$2:$B$37,Phone_by_Sentiment!K$2:K$37,"",0,1),0),$A170-TEXT(DATEVALUE($D170&amp;"-01"), "dd-mm-yyyy")),0),0)</f>
        <v>0</v>
      </c>
      <c r="L170" cm="1">
        <f t="array" ref="L170">IF($Q170&gt;=0,IFERROR(generateSalesData($D170, IF(ISNUMBER(_xlfn.XLOOKUP($C170,Phone_by_Sentiment!$B$2:$B$37,Phone_by_Sentiment!L$2:L$37,"",0,1)),_xlfn.XLOOKUP($C170,Phone_by_Sentiment!$B$2:$B$37,Phone_by_Sentiment!L$2:L$37,"",0,1),0),$A170-TEXT(DATEVALUE($D170&amp;"-01"), "dd-mm-yyyy")),0),0)</f>
        <v>0</v>
      </c>
      <c r="M170" cm="1">
        <f t="array" ref="M170">IF($Q170&gt;=0,IFERROR(generateSalesData($D170, IF(ISNUMBER(_xlfn.XLOOKUP($C170,Phone_by_Sentiment!$B$2:$B$37,Phone_by_Sentiment!M$2:M$37,"",0,1)),_xlfn.XLOOKUP($C170,Phone_by_Sentiment!$B$2:$B$37,Phone_by_Sentiment!M$2:M$37,"",0,1),0),$A170-TEXT(DATEVALUE($D170&amp;"-01"), "dd-mm-yyyy")),0),0)</f>
        <v>0</v>
      </c>
      <c r="N170" cm="1">
        <f t="array" ref="N170">IF($Q170&gt;=0,IFERROR(generateSalesData($D170, IF(ISNUMBER(_xlfn.XLOOKUP($C170,Phone_by_Sentiment!$B$2:$B$37,Phone_by_Sentiment!N$2:N$37,"",0,1)),_xlfn.XLOOKUP($C170,Phone_by_Sentiment!$B$2:$B$37,Phone_by_Sentiment!N$2:N$37,"",0,1),0),$A170-TEXT(DATEVALUE($D170&amp;"-01"), "dd-mm-yyyy")),0),0)</f>
        <v>0</v>
      </c>
      <c r="O170" cm="1">
        <f t="array" ref="O170">IF($Q170&gt;=0,IFERROR(generateSalesData($D170, IF(ISNUMBER(_xlfn.XLOOKUP($C170,Phone_by_Sentiment!$B$2:$B$37,Phone_by_Sentiment!O$2:O$37,"",0,1)),_xlfn.XLOOKUP($C170,Phone_by_Sentiment!$B$2:$B$37,Phone_by_Sentiment!O$2:O$37,"",0,1),0),$A170-TEXT(DATEVALUE($D170&amp;"-01"), "dd-mm-yyyy")),0),0)</f>
        <v>0</v>
      </c>
      <c r="P170" s="1">
        <f t="shared" si="5"/>
        <v>44256</v>
      </c>
      <c r="Q170">
        <f t="shared" si="6"/>
        <v>-670</v>
      </c>
    </row>
    <row r="171" spans="1:17" x14ac:dyDescent="0.25">
      <c r="A171" s="1">
        <f t="shared" si="0"/>
        <v>43586</v>
      </c>
      <c r="B171" t="s">
        <v>145</v>
      </c>
      <c r="C171" t="str">
        <f>_xlfn.XLOOKUP(B171,Phone_by_Price!$A$2:$A$34,Phone_by_Price!$B$2:$B$34,"-",0,1)</f>
        <v>OPPO A54</v>
      </c>
      <c r="D171" t="str">
        <f>_xlfn.XLOOKUP(C171,Phone_by_Sentiment!$B$2:$B$37,Phone_by_Sentiment!$A$2:$A$37,"-",0,1)</f>
        <v>2021-04</v>
      </c>
      <c r="E171" cm="1">
        <f t="array" ref="E171">IF($Q171&gt;=0,IFERROR(generateSalesData($D171, IF(ISNUMBER(_xlfn.XLOOKUP($C171,Phone_by_Sentiment!$B$2:$B$37,Phone_by_Sentiment!E$2:E$37,"",0,1)),_xlfn.XLOOKUP($C171,Phone_by_Sentiment!$B$2:$B$37,Phone_by_Sentiment!E$2:E$37,"",0,1),0),$A171-TEXT(DATEVALUE($D171&amp;"-01"), "dd-mm-yyyy")),0),0)</f>
        <v>0</v>
      </c>
      <c r="F171" cm="1">
        <f t="array" ref="F171">IF($Q171&gt;=0,IFERROR(generateSalesData($D171, IF(ISNUMBER(_xlfn.XLOOKUP($C171,Phone_by_Sentiment!$B$2:$B$37,Phone_by_Sentiment!F$2:F$37,"",0,1)),_xlfn.XLOOKUP($C171,Phone_by_Sentiment!$B$2:$B$37,Phone_by_Sentiment!F$2:F$37,"",0,1),0),$A171-TEXT(DATEVALUE($D171&amp;"-01"), "dd-mm-yyyy")),0),0)</f>
        <v>0</v>
      </c>
      <c r="G171" cm="1">
        <f t="array" ref="G171">IF($Q171&gt;=0,IFERROR(generateSalesData($D171, IF(ISNUMBER(_xlfn.XLOOKUP($C171,Phone_by_Sentiment!$B$2:$B$37,Phone_by_Sentiment!G$2:G$37,"",0,1)),_xlfn.XLOOKUP($C171,Phone_by_Sentiment!$B$2:$B$37,Phone_by_Sentiment!G$2:G$37,"",0,1),0),$A171-TEXT(DATEVALUE($D171&amp;"-01"), "dd-mm-yyyy")),0),0)</f>
        <v>0</v>
      </c>
      <c r="H171" cm="1">
        <f t="array" ref="H171">IF($Q171&gt;=0,IFERROR(generateSalesData($D171, IF(ISNUMBER(_xlfn.XLOOKUP($C171,Phone_by_Sentiment!$B$2:$B$37,Phone_by_Sentiment!H$2:H$37,"",0,1)),_xlfn.XLOOKUP($C171,Phone_by_Sentiment!$B$2:$B$37,Phone_by_Sentiment!H$2:H$37,"",0,1),0),$A171-TEXT(DATEVALUE($D171&amp;"-01"), "dd-mm-yyyy")),0),0)</f>
        <v>0</v>
      </c>
      <c r="I171" cm="1">
        <f t="array" ref="I171">IF($Q171&gt;=0,IFERROR(generateSalesData($D171, IF(ISNUMBER(_xlfn.XLOOKUP($C171,Phone_by_Sentiment!$B$2:$B$37,Phone_by_Sentiment!I$2:I$37,"",0,1)),_xlfn.XLOOKUP($C171,Phone_by_Sentiment!$B$2:$B$37,Phone_by_Sentiment!I$2:I$37,"",0,1),0),$A171-TEXT(DATEVALUE($D171&amp;"-01"), "dd-mm-yyyy")),0),0)</f>
        <v>0</v>
      </c>
      <c r="J171" cm="1">
        <f t="array" ref="J171">IF($Q171&gt;=0,IFERROR(generateSalesData($D171, IF(ISNUMBER(_xlfn.XLOOKUP($C171,Phone_by_Sentiment!$B$2:$B$37,Phone_by_Sentiment!J$2:J$37,"",0,1)),_xlfn.XLOOKUP($C171,Phone_by_Sentiment!$B$2:$B$37,Phone_by_Sentiment!J$2:J$37,"",0,1),0),$A171-TEXT(DATEVALUE($D171&amp;"-01"), "dd-mm-yyyy")),0),0)</f>
        <v>0</v>
      </c>
      <c r="K171" cm="1">
        <f t="array" ref="K171">IF($Q171&gt;=0,IFERROR(generateSalesData($D171, IF(ISNUMBER(_xlfn.XLOOKUP($C171,Phone_by_Sentiment!$B$2:$B$37,Phone_by_Sentiment!K$2:K$37,"",0,1)),_xlfn.XLOOKUP($C171,Phone_by_Sentiment!$B$2:$B$37,Phone_by_Sentiment!K$2:K$37,"",0,1),0),$A171-TEXT(DATEVALUE($D171&amp;"-01"), "dd-mm-yyyy")),0),0)</f>
        <v>0</v>
      </c>
      <c r="L171" cm="1">
        <f t="array" ref="L171">IF($Q171&gt;=0,IFERROR(generateSalesData($D171, IF(ISNUMBER(_xlfn.XLOOKUP($C171,Phone_by_Sentiment!$B$2:$B$37,Phone_by_Sentiment!L$2:L$37,"",0,1)),_xlfn.XLOOKUP($C171,Phone_by_Sentiment!$B$2:$B$37,Phone_by_Sentiment!L$2:L$37,"",0,1),0),$A171-TEXT(DATEVALUE($D171&amp;"-01"), "dd-mm-yyyy")),0),0)</f>
        <v>0</v>
      </c>
      <c r="M171" cm="1">
        <f t="array" ref="M171">IF($Q171&gt;=0,IFERROR(generateSalesData($D171, IF(ISNUMBER(_xlfn.XLOOKUP($C171,Phone_by_Sentiment!$B$2:$B$37,Phone_by_Sentiment!M$2:M$37,"",0,1)),_xlfn.XLOOKUP($C171,Phone_by_Sentiment!$B$2:$B$37,Phone_by_Sentiment!M$2:M$37,"",0,1),0),$A171-TEXT(DATEVALUE($D171&amp;"-01"), "dd-mm-yyyy")),0),0)</f>
        <v>0</v>
      </c>
      <c r="N171" cm="1">
        <f t="array" ref="N171">IF($Q171&gt;=0,IFERROR(generateSalesData($D171, IF(ISNUMBER(_xlfn.XLOOKUP($C171,Phone_by_Sentiment!$B$2:$B$37,Phone_by_Sentiment!N$2:N$37,"",0,1)),_xlfn.XLOOKUP($C171,Phone_by_Sentiment!$B$2:$B$37,Phone_by_Sentiment!N$2:N$37,"",0,1),0),$A171-TEXT(DATEVALUE($D171&amp;"-01"), "dd-mm-yyyy")),0),0)</f>
        <v>0</v>
      </c>
      <c r="O171" cm="1">
        <f t="array" ref="O171">IF($Q171&gt;=0,IFERROR(generateSalesData($D171, IF(ISNUMBER(_xlfn.XLOOKUP($C171,Phone_by_Sentiment!$B$2:$B$37,Phone_by_Sentiment!O$2:O$37,"",0,1)),_xlfn.XLOOKUP($C171,Phone_by_Sentiment!$B$2:$B$37,Phone_by_Sentiment!O$2:O$37,"",0,1),0),$A171-TEXT(DATEVALUE($D171&amp;"-01"), "dd-mm-yyyy")),0),0)</f>
        <v>0</v>
      </c>
      <c r="P171" s="1">
        <f t="shared" si="5"/>
        <v>44287</v>
      </c>
      <c r="Q171">
        <f t="shared" si="6"/>
        <v>-701</v>
      </c>
    </row>
    <row r="172" spans="1:17" x14ac:dyDescent="0.25">
      <c r="A172" s="1">
        <f t="shared" si="0"/>
        <v>43586</v>
      </c>
      <c r="B172" t="s">
        <v>146</v>
      </c>
      <c r="C172" t="str">
        <f>_xlfn.XLOOKUP(B172,Phone_by_Price!$A$2:$A$34,Phone_by_Price!$B$2:$B$34,"-",0,1)</f>
        <v>Vivo Y20</v>
      </c>
      <c r="D172" t="str">
        <f>_xlfn.XLOOKUP(C172,Phone_by_Sentiment!$B$2:$B$37,Phone_by_Sentiment!$A$2:$A$37,"-",0,1)</f>
        <v>2020-09</v>
      </c>
      <c r="E172" cm="1">
        <f t="array" ref="E172">IF($Q172&gt;=0,IFERROR(generateSalesData($D172, IF(ISNUMBER(_xlfn.XLOOKUP($C172,Phone_by_Sentiment!$B$2:$B$37,Phone_by_Sentiment!E$2:E$37,"",0,1)),_xlfn.XLOOKUP($C172,Phone_by_Sentiment!$B$2:$B$37,Phone_by_Sentiment!E$2:E$37,"",0,1),0),$A172-TEXT(DATEVALUE($D172&amp;"-01"), "dd-mm-yyyy")),0),0)</f>
        <v>0</v>
      </c>
      <c r="F172" cm="1">
        <f t="array" ref="F172">IF($Q172&gt;=0,IFERROR(generateSalesData($D172, IF(ISNUMBER(_xlfn.XLOOKUP($C172,Phone_by_Sentiment!$B$2:$B$37,Phone_by_Sentiment!F$2:F$37,"",0,1)),_xlfn.XLOOKUP($C172,Phone_by_Sentiment!$B$2:$B$37,Phone_by_Sentiment!F$2:F$37,"",0,1),0),$A172-TEXT(DATEVALUE($D172&amp;"-01"), "dd-mm-yyyy")),0),0)</f>
        <v>0</v>
      </c>
      <c r="G172" cm="1">
        <f t="array" ref="G172">IF($Q172&gt;=0,IFERROR(generateSalesData($D172, IF(ISNUMBER(_xlfn.XLOOKUP($C172,Phone_by_Sentiment!$B$2:$B$37,Phone_by_Sentiment!G$2:G$37,"",0,1)),_xlfn.XLOOKUP($C172,Phone_by_Sentiment!$B$2:$B$37,Phone_by_Sentiment!G$2:G$37,"",0,1),0),$A172-TEXT(DATEVALUE($D172&amp;"-01"), "dd-mm-yyyy")),0),0)</f>
        <v>0</v>
      </c>
      <c r="H172" cm="1">
        <f t="array" ref="H172">IF($Q172&gt;=0,IFERROR(generateSalesData($D172, IF(ISNUMBER(_xlfn.XLOOKUP($C172,Phone_by_Sentiment!$B$2:$B$37,Phone_by_Sentiment!H$2:H$37,"",0,1)),_xlfn.XLOOKUP($C172,Phone_by_Sentiment!$B$2:$B$37,Phone_by_Sentiment!H$2:H$37,"",0,1),0),$A172-TEXT(DATEVALUE($D172&amp;"-01"), "dd-mm-yyyy")),0),0)</f>
        <v>0</v>
      </c>
      <c r="I172" cm="1">
        <f t="array" ref="I172">IF($Q172&gt;=0,IFERROR(generateSalesData($D172, IF(ISNUMBER(_xlfn.XLOOKUP($C172,Phone_by_Sentiment!$B$2:$B$37,Phone_by_Sentiment!I$2:I$37,"",0,1)),_xlfn.XLOOKUP($C172,Phone_by_Sentiment!$B$2:$B$37,Phone_by_Sentiment!I$2:I$37,"",0,1),0),$A172-TEXT(DATEVALUE($D172&amp;"-01"), "dd-mm-yyyy")),0),0)</f>
        <v>0</v>
      </c>
      <c r="J172" cm="1">
        <f t="array" ref="J172">IF($Q172&gt;=0,IFERROR(generateSalesData($D172, IF(ISNUMBER(_xlfn.XLOOKUP($C172,Phone_by_Sentiment!$B$2:$B$37,Phone_by_Sentiment!J$2:J$37,"",0,1)),_xlfn.XLOOKUP($C172,Phone_by_Sentiment!$B$2:$B$37,Phone_by_Sentiment!J$2:J$37,"",0,1),0),$A172-TEXT(DATEVALUE($D172&amp;"-01"), "dd-mm-yyyy")),0),0)</f>
        <v>0</v>
      </c>
      <c r="K172" cm="1">
        <f t="array" ref="K172">IF($Q172&gt;=0,IFERROR(generateSalesData($D172, IF(ISNUMBER(_xlfn.XLOOKUP($C172,Phone_by_Sentiment!$B$2:$B$37,Phone_by_Sentiment!K$2:K$37,"",0,1)),_xlfn.XLOOKUP($C172,Phone_by_Sentiment!$B$2:$B$37,Phone_by_Sentiment!K$2:K$37,"",0,1),0),$A172-TEXT(DATEVALUE($D172&amp;"-01"), "dd-mm-yyyy")),0),0)</f>
        <v>0</v>
      </c>
      <c r="L172" cm="1">
        <f t="array" ref="L172">IF($Q172&gt;=0,IFERROR(generateSalesData($D172, IF(ISNUMBER(_xlfn.XLOOKUP($C172,Phone_by_Sentiment!$B$2:$B$37,Phone_by_Sentiment!L$2:L$37,"",0,1)),_xlfn.XLOOKUP($C172,Phone_by_Sentiment!$B$2:$B$37,Phone_by_Sentiment!L$2:L$37,"",0,1),0),$A172-TEXT(DATEVALUE($D172&amp;"-01"), "dd-mm-yyyy")),0),0)</f>
        <v>0</v>
      </c>
      <c r="M172" cm="1">
        <f t="array" ref="M172">IF($Q172&gt;=0,IFERROR(generateSalesData($D172, IF(ISNUMBER(_xlfn.XLOOKUP($C172,Phone_by_Sentiment!$B$2:$B$37,Phone_by_Sentiment!M$2:M$37,"",0,1)),_xlfn.XLOOKUP($C172,Phone_by_Sentiment!$B$2:$B$37,Phone_by_Sentiment!M$2:M$37,"",0,1),0),$A172-TEXT(DATEVALUE($D172&amp;"-01"), "dd-mm-yyyy")),0),0)</f>
        <v>0</v>
      </c>
      <c r="N172" cm="1">
        <f t="array" ref="N172">IF($Q172&gt;=0,IFERROR(generateSalesData($D172, IF(ISNUMBER(_xlfn.XLOOKUP($C172,Phone_by_Sentiment!$B$2:$B$37,Phone_by_Sentiment!N$2:N$37,"",0,1)),_xlfn.XLOOKUP($C172,Phone_by_Sentiment!$B$2:$B$37,Phone_by_Sentiment!N$2:N$37,"",0,1),0),$A172-TEXT(DATEVALUE($D172&amp;"-01"), "dd-mm-yyyy")),0),0)</f>
        <v>0</v>
      </c>
      <c r="O172" cm="1">
        <f t="array" ref="O172">IF($Q172&gt;=0,IFERROR(generateSalesData($D172, IF(ISNUMBER(_xlfn.XLOOKUP($C172,Phone_by_Sentiment!$B$2:$B$37,Phone_by_Sentiment!O$2:O$37,"",0,1)),_xlfn.XLOOKUP($C172,Phone_by_Sentiment!$B$2:$B$37,Phone_by_Sentiment!O$2:O$37,"",0,1),0),$A172-TEXT(DATEVALUE($D172&amp;"-01"), "dd-mm-yyyy")),0),0)</f>
        <v>0</v>
      </c>
      <c r="P172" s="1">
        <f t="shared" si="5"/>
        <v>44075</v>
      </c>
      <c r="Q172">
        <f t="shared" si="6"/>
        <v>-489</v>
      </c>
    </row>
    <row r="173" spans="1:17" x14ac:dyDescent="0.25">
      <c r="A173" s="1">
        <f t="shared" si="0"/>
        <v>43586</v>
      </c>
      <c r="B173" t="s">
        <v>147</v>
      </c>
      <c r="C173" t="str">
        <f>_xlfn.XLOOKUP(B173,Phone_by_Price!$A$2:$A$34,Phone_by_Price!$B$2:$B$34,"-",0,1)</f>
        <v>Huawei Y9a</v>
      </c>
      <c r="D173" t="str">
        <f>_xlfn.XLOOKUP(C173,Phone_by_Sentiment!$B$2:$B$37,Phone_by_Sentiment!$A$2:$A$37,"-",0,1)</f>
        <v>2020-02</v>
      </c>
      <c r="E173" cm="1">
        <f t="array" ref="E173">IF($Q173&gt;=0,IFERROR(generateSalesData($D173, IF(ISNUMBER(_xlfn.XLOOKUP($C173,Phone_by_Sentiment!$B$2:$B$37,Phone_by_Sentiment!E$2:E$37,"",0,1)),_xlfn.XLOOKUP($C173,Phone_by_Sentiment!$B$2:$B$37,Phone_by_Sentiment!E$2:E$37,"",0,1),0),$A173-TEXT(DATEVALUE($D173&amp;"-01"), "dd-mm-yyyy")),0),0)</f>
        <v>0</v>
      </c>
      <c r="F173" cm="1">
        <f t="array" ref="F173">IF($Q173&gt;=0,IFERROR(generateSalesData($D173, IF(ISNUMBER(_xlfn.XLOOKUP($C173,Phone_by_Sentiment!$B$2:$B$37,Phone_by_Sentiment!F$2:F$37,"",0,1)),_xlfn.XLOOKUP($C173,Phone_by_Sentiment!$B$2:$B$37,Phone_by_Sentiment!F$2:F$37,"",0,1),0),$A173-TEXT(DATEVALUE($D173&amp;"-01"), "dd-mm-yyyy")),0),0)</f>
        <v>0</v>
      </c>
      <c r="G173" cm="1">
        <f t="array" ref="G173">IF($Q173&gt;=0,IFERROR(generateSalesData($D173, IF(ISNUMBER(_xlfn.XLOOKUP($C173,Phone_by_Sentiment!$B$2:$B$37,Phone_by_Sentiment!G$2:G$37,"",0,1)),_xlfn.XLOOKUP($C173,Phone_by_Sentiment!$B$2:$B$37,Phone_by_Sentiment!G$2:G$37,"",0,1),0),$A173-TEXT(DATEVALUE($D173&amp;"-01"), "dd-mm-yyyy")),0),0)</f>
        <v>0</v>
      </c>
      <c r="H173" cm="1">
        <f t="array" ref="H173">IF($Q173&gt;=0,IFERROR(generateSalesData($D173, IF(ISNUMBER(_xlfn.XLOOKUP($C173,Phone_by_Sentiment!$B$2:$B$37,Phone_by_Sentiment!H$2:H$37,"",0,1)),_xlfn.XLOOKUP($C173,Phone_by_Sentiment!$B$2:$B$37,Phone_by_Sentiment!H$2:H$37,"",0,1),0),$A173-TEXT(DATEVALUE($D173&amp;"-01"), "dd-mm-yyyy")),0),0)</f>
        <v>0</v>
      </c>
      <c r="I173" cm="1">
        <f t="array" ref="I173">IF($Q173&gt;=0,IFERROR(generateSalesData($D173, IF(ISNUMBER(_xlfn.XLOOKUP($C173,Phone_by_Sentiment!$B$2:$B$37,Phone_by_Sentiment!I$2:I$37,"",0,1)),_xlfn.XLOOKUP($C173,Phone_by_Sentiment!$B$2:$B$37,Phone_by_Sentiment!I$2:I$37,"",0,1),0),$A173-TEXT(DATEVALUE($D173&amp;"-01"), "dd-mm-yyyy")),0),0)</f>
        <v>0</v>
      </c>
      <c r="J173" cm="1">
        <f t="array" ref="J173">IF($Q173&gt;=0,IFERROR(generateSalesData($D173, IF(ISNUMBER(_xlfn.XLOOKUP($C173,Phone_by_Sentiment!$B$2:$B$37,Phone_by_Sentiment!J$2:J$37,"",0,1)),_xlfn.XLOOKUP($C173,Phone_by_Sentiment!$B$2:$B$37,Phone_by_Sentiment!J$2:J$37,"",0,1),0),$A173-TEXT(DATEVALUE($D173&amp;"-01"), "dd-mm-yyyy")),0),0)</f>
        <v>0</v>
      </c>
      <c r="K173" cm="1">
        <f t="array" ref="K173">IF($Q173&gt;=0,IFERROR(generateSalesData($D173, IF(ISNUMBER(_xlfn.XLOOKUP($C173,Phone_by_Sentiment!$B$2:$B$37,Phone_by_Sentiment!K$2:K$37,"",0,1)),_xlfn.XLOOKUP($C173,Phone_by_Sentiment!$B$2:$B$37,Phone_by_Sentiment!K$2:K$37,"",0,1),0),$A173-TEXT(DATEVALUE($D173&amp;"-01"), "dd-mm-yyyy")),0),0)</f>
        <v>0</v>
      </c>
      <c r="L173" cm="1">
        <f t="array" ref="L173">IF($Q173&gt;=0,IFERROR(generateSalesData($D173, IF(ISNUMBER(_xlfn.XLOOKUP($C173,Phone_by_Sentiment!$B$2:$B$37,Phone_by_Sentiment!L$2:L$37,"",0,1)),_xlfn.XLOOKUP($C173,Phone_by_Sentiment!$B$2:$B$37,Phone_by_Sentiment!L$2:L$37,"",0,1),0),$A173-TEXT(DATEVALUE($D173&amp;"-01"), "dd-mm-yyyy")),0),0)</f>
        <v>0</v>
      </c>
      <c r="M173" cm="1">
        <f t="array" ref="M173">IF($Q173&gt;=0,IFERROR(generateSalesData($D173, IF(ISNUMBER(_xlfn.XLOOKUP($C173,Phone_by_Sentiment!$B$2:$B$37,Phone_by_Sentiment!M$2:M$37,"",0,1)),_xlfn.XLOOKUP($C173,Phone_by_Sentiment!$B$2:$B$37,Phone_by_Sentiment!M$2:M$37,"",0,1),0),$A173-TEXT(DATEVALUE($D173&amp;"-01"), "dd-mm-yyyy")),0),0)</f>
        <v>0</v>
      </c>
      <c r="N173" cm="1">
        <f t="array" ref="N173">IF($Q173&gt;=0,IFERROR(generateSalesData($D173, IF(ISNUMBER(_xlfn.XLOOKUP($C173,Phone_by_Sentiment!$B$2:$B$37,Phone_by_Sentiment!N$2:N$37,"",0,1)),_xlfn.XLOOKUP($C173,Phone_by_Sentiment!$B$2:$B$37,Phone_by_Sentiment!N$2:N$37,"",0,1),0),$A173-TEXT(DATEVALUE($D173&amp;"-01"), "dd-mm-yyyy")),0),0)</f>
        <v>0</v>
      </c>
      <c r="O173" cm="1">
        <f t="array" ref="O173">IF($Q173&gt;=0,IFERROR(generateSalesData($D173, IF(ISNUMBER(_xlfn.XLOOKUP($C173,Phone_by_Sentiment!$B$2:$B$37,Phone_by_Sentiment!O$2:O$37,"",0,1)),_xlfn.XLOOKUP($C173,Phone_by_Sentiment!$B$2:$B$37,Phone_by_Sentiment!O$2:O$37,"",0,1),0),$A173-TEXT(DATEVALUE($D173&amp;"-01"), "dd-mm-yyyy")),0),0)</f>
        <v>0</v>
      </c>
      <c r="P173" s="1">
        <f t="shared" si="5"/>
        <v>43862</v>
      </c>
      <c r="Q173">
        <f t="shared" si="6"/>
        <v>-276</v>
      </c>
    </row>
    <row r="174" spans="1:17" x14ac:dyDescent="0.25">
      <c r="A174" s="1">
        <f t="shared" si="0"/>
        <v>43586</v>
      </c>
      <c r="B174" t="s">
        <v>148</v>
      </c>
      <c r="C174" t="str">
        <f>_xlfn.XLOOKUP(B174,Phone_by_Price!$A$2:$A$34,Phone_by_Price!$B$2:$B$34,"-",0,1)</f>
        <v>Xiaomi Redmi 10</v>
      </c>
      <c r="D174" t="str">
        <f>_xlfn.XLOOKUP(C174,Phone_by_Sentiment!$B$2:$B$37,Phone_by_Sentiment!$A$2:$A$37,"-",0,1)</f>
        <v>2021-03</v>
      </c>
      <c r="E174" cm="1">
        <f t="array" ref="E174">IF($Q174&gt;=0,IFERROR(generateSalesData($D174, IF(ISNUMBER(_xlfn.XLOOKUP($C174,Phone_by_Sentiment!$B$2:$B$37,Phone_by_Sentiment!E$2:E$37,"",0,1)),_xlfn.XLOOKUP($C174,Phone_by_Sentiment!$B$2:$B$37,Phone_by_Sentiment!E$2:E$37,"",0,1),0),$A174-TEXT(DATEVALUE($D174&amp;"-01"), "dd-mm-yyyy")),0),0)</f>
        <v>0</v>
      </c>
      <c r="F174" cm="1">
        <f t="array" ref="F174">IF($Q174&gt;=0,IFERROR(generateSalesData($D174, IF(ISNUMBER(_xlfn.XLOOKUP($C174,Phone_by_Sentiment!$B$2:$B$37,Phone_by_Sentiment!F$2:F$37,"",0,1)),_xlfn.XLOOKUP($C174,Phone_by_Sentiment!$B$2:$B$37,Phone_by_Sentiment!F$2:F$37,"",0,1),0),$A174-TEXT(DATEVALUE($D174&amp;"-01"), "dd-mm-yyyy")),0),0)</f>
        <v>0</v>
      </c>
      <c r="G174" cm="1">
        <f t="array" ref="G174">IF($Q174&gt;=0,IFERROR(generateSalesData($D174, IF(ISNUMBER(_xlfn.XLOOKUP($C174,Phone_by_Sentiment!$B$2:$B$37,Phone_by_Sentiment!G$2:G$37,"",0,1)),_xlfn.XLOOKUP($C174,Phone_by_Sentiment!$B$2:$B$37,Phone_by_Sentiment!G$2:G$37,"",0,1),0),$A174-TEXT(DATEVALUE($D174&amp;"-01"), "dd-mm-yyyy")),0),0)</f>
        <v>0</v>
      </c>
      <c r="H174" cm="1">
        <f t="array" ref="H174">IF($Q174&gt;=0,IFERROR(generateSalesData($D174, IF(ISNUMBER(_xlfn.XLOOKUP($C174,Phone_by_Sentiment!$B$2:$B$37,Phone_by_Sentiment!H$2:H$37,"",0,1)),_xlfn.XLOOKUP($C174,Phone_by_Sentiment!$B$2:$B$37,Phone_by_Sentiment!H$2:H$37,"",0,1),0),$A174-TEXT(DATEVALUE($D174&amp;"-01"), "dd-mm-yyyy")),0),0)</f>
        <v>0</v>
      </c>
      <c r="I174" cm="1">
        <f t="array" ref="I174">IF($Q174&gt;=0,IFERROR(generateSalesData($D174, IF(ISNUMBER(_xlfn.XLOOKUP($C174,Phone_by_Sentiment!$B$2:$B$37,Phone_by_Sentiment!I$2:I$37,"",0,1)),_xlfn.XLOOKUP($C174,Phone_by_Sentiment!$B$2:$B$37,Phone_by_Sentiment!I$2:I$37,"",0,1),0),$A174-TEXT(DATEVALUE($D174&amp;"-01"), "dd-mm-yyyy")),0),0)</f>
        <v>0</v>
      </c>
      <c r="J174" cm="1">
        <f t="array" ref="J174">IF($Q174&gt;=0,IFERROR(generateSalesData($D174, IF(ISNUMBER(_xlfn.XLOOKUP($C174,Phone_by_Sentiment!$B$2:$B$37,Phone_by_Sentiment!J$2:J$37,"",0,1)),_xlfn.XLOOKUP($C174,Phone_by_Sentiment!$B$2:$B$37,Phone_by_Sentiment!J$2:J$37,"",0,1),0),$A174-TEXT(DATEVALUE($D174&amp;"-01"), "dd-mm-yyyy")),0),0)</f>
        <v>0</v>
      </c>
      <c r="K174" cm="1">
        <f t="array" ref="K174">IF($Q174&gt;=0,IFERROR(generateSalesData($D174, IF(ISNUMBER(_xlfn.XLOOKUP($C174,Phone_by_Sentiment!$B$2:$B$37,Phone_by_Sentiment!K$2:K$37,"",0,1)),_xlfn.XLOOKUP($C174,Phone_by_Sentiment!$B$2:$B$37,Phone_by_Sentiment!K$2:K$37,"",0,1),0),$A174-TEXT(DATEVALUE($D174&amp;"-01"), "dd-mm-yyyy")),0),0)</f>
        <v>0</v>
      </c>
      <c r="L174" cm="1">
        <f t="array" ref="L174">IF($Q174&gt;=0,IFERROR(generateSalesData($D174, IF(ISNUMBER(_xlfn.XLOOKUP($C174,Phone_by_Sentiment!$B$2:$B$37,Phone_by_Sentiment!L$2:L$37,"",0,1)),_xlfn.XLOOKUP($C174,Phone_by_Sentiment!$B$2:$B$37,Phone_by_Sentiment!L$2:L$37,"",0,1),0),$A174-TEXT(DATEVALUE($D174&amp;"-01"), "dd-mm-yyyy")),0),0)</f>
        <v>0</v>
      </c>
      <c r="M174" cm="1">
        <f t="array" ref="M174">IF($Q174&gt;=0,IFERROR(generateSalesData($D174, IF(ISNUMBER(_xlfn.XLOOKUP($C174,Phone_by_Sentiment!$B$2:$B$37,Phone_by_Sentiment!M$2:M$37,"",0,1)),_xlfn.XLOOKUP($C174,Phone_by_Sentiment!$B$2:$B$37,Phone_by_Sentiment!M$2:M$37,"",0,1),0),$A174-TEXT(DATEVALUE($D174&amp;"-01"), "dd-mm-yyyy")),0),0)</f>
        <v>0</v>
      </c>
      <c r="N174" cm="1">
        <f t="array" ref="N174">IF($Q174&gt;=0,IFERROR(generateSalesData($D174, IF(ISNUMBER(_xlfn.XLOOKUP($C174,Phone_by_Sentiment!$B$2:$B$37,Phone_by_Sentiment!N$2:N$37,"",0,1)),_xlfn.XLOOKUP($C174,Phone_by_Sentiment!$B$2:$B$37,Phone_by_Sentiment!N$2:N$37,"",0,1),0),$A174-TEXT(DATEVALUE($D174&amp;"-01"), "dd-mm-yyyy")),0),0)</f>
        <v>0</v>
      </c>
      <c r="O174" cm="1">
        <f t="array" ref="O174">IF($Q174&gt;=0,IFERROR(generateSalesData($D174, IF(ISNUMBER(_xlfn.XLOOKUP($C174,Phone_by_Sentiment!$B$2:$B$37,Phone_by_Sentiment!O$2:O$37,"",0,1)),_xlfn.XLOOKUP($C174,Phone_by_Sentiment!$B$2:$B$37,Phone_by_Sentiment!O$2:O$37,"",0,1),0),$A174-TEXT(DATEVALUE($D174&amp;"-01"), "dd-mm-yyyy")),0),0)</f>
        <v>0</v>
      </c>
      <c r="P174" s="1">
        <f t="shared" si="5"/>
        <v>44256</v>
      </c>
      <c r="Q174">
        <f t="shared" si="6"/>
        <v>-670</v>
      </c>
    </row>
    <row r="175" spans="1:17" x14ac:dyDescent="0.25">
      <c r="A175" s="1">
        <f t="shared" si="0"/>
        <v>43586</v>
      </c>
      <c r="B175" t="s">
        <v>149</v>
      </c>
      <c r="C175" t="str">
        <f>_xlfn.XLOOKUP(B175,Phone_by_Price!$A$2:$A$34,Phone_by_Price!$B$2:$B$34,"-",0,1)</f>
        <v>Samsung Galaxy A52</v>
      </c>
      <c r="D175" t="str">
        <f>_xlfn.XLOOKUP(C175,Phone_by_Sentiment!$B$2:$B$37,Phone_by_Sentiment!$A$2:$A$37,"-",0,1)</f>
        <v>2021-03</v>
      </c>
      <c r="E175" cm="1">
        <f t="array" ref="E175">IF($Q175&gt;=0,IFERROR(generateSalesData($D175, IF(ISNUMBER(_xlfn.XLOOKUP($C175,Phone_by_Sentiment!$B$2:$B$37,Phone_by_Sentiment!E$2:E$37,"",0,1)),_xlfn.XLOOKUP($C175,Phone_by_Sentiment!$B$2:$B$37,Phone_by_Sentiment!E$2:E$37,"",0,1),0),$A175-TEXT(DATEVALUE($D175&amp;"-01"), "dd-mm-yyyy")),0),0)</f>
        <v>0</v>
      </c>
      <c r="F175" cm="1">
        <f t="array" ref="F175">IF($Q175&gt;=0,IFERROR(generateSalesData($D175, IF(ISNUMBER(_xlfn.XLOOKUP($C175,Phone_by_Sentiment!$B$2:$B$37,Phone_by_Sentiment!F$2:F$37,"",0,1)),_xlfn.XLOOKUP($C175,Phone_by_Sentiment!$B$2:$B$37,Phone_by_Sentiment!F$2:F$37,"",0,1),0),$A175-TEXT(DATEVALUE($D175&amp;"-01"), "dd-mm-yyyy")),0),0)</f>
        <v>0</v>
      </c>
      <c r="G175" cm="1">
        <f t="array" ref="G175">IF($Q175&gt;=0,IFERROR(generateSalesData($D175, IF(ISNUMBER(_xlfn.XLOOKUP($C175,Phone_by_Sentiment!$B$2:$B$37,Phone_by_Sentiment!G$2:G$37,"",0,1)),_xlfn.XLOOKUP($C175,Phone_by_Sentiment!$B$2:$B$37,Phone_by_Sentiment!G$2:G$37,"",0,1),0),$A175-TEXT(DATEVALUE($D175&amp;"-01"), "dd-mm-yyyy")),0),0)</f>
        <v>0</v>
      </c>
      <c r="H175" cm="1">
        <f t="array" ref="H175">IF($Q175&gt;=0,IFERROR(generateSalesData($D175, IF(ISNUMBER(_xlfn.XLOOKUP($C175,Phone_by_Sentiment!$B$2:$B$37,Phone_by_Sentiment!H$2:H$37,"",0,1)),_xlfn.XLOOKUP($C175,Phone_by_Sentiment!$B$2:$B$37,Phone_by_Sentiment!H$2:H$37,"",0,1),0),$A175-TEXT(DATEVALUE($D175&amp;"-01"), "dd-mm-yyyy")),0),0)</f>
        <v>0</v>
      </c>
      <c r="I175" cm="1">
        <f t="array" ref="I175">IF($Q175&gt;=0,IFERROR(generateSalesData($D175, IF(ISNUMBER(_xlfn.XLOOKUP($C175,Phone_by_Sentiment!$B$2:$B$37,Phone_by_Sentiment!I$2:I$37,"",0,1)),_xlfn.XLOOKUP($C175,Phone_by_Sentiment!$B$2:$B$37,Phone_by_Sentiment!I$2:I$37,"",0,1),0),$A175-TEXT(DATEVALUE($D175&amp;"-01"), "dd-mm-yyyy")),0),0)</f>
        <v>0</v>
      </c>
      <c r="J175" cm="1">
        <f t="array" ref="J175">IF($Q175&gt;=0,IFERROR(generateSalesData($D175, IF(ISNUMBER(_xlfn.XLOOKUP($C175,Phone_by_Sentiment!$B$2:$B$37,Phone_by_Sentiment!J$2:J$37,"",0,1)),_xlfn.XLOOKUP($C175,Phone_by_Sentiment!$B$2:$B$37,Phone_by_Sentiment!J$2:J$37,"",0,1),0),$A175-TEXT(DATEVALUE($D175&amp;"-01"), "dd-mm-yyyy")),0),0)</f>
        <v>0</v>
      </c>
      <c r="K175" cm="1">
        <f t="array" ref="K175">IF($Q175&gt;=0,IFERROR(generateSalesData($D175, IF(ISNUMBER(_xlfn.XLOOKUP($C175,Phone_by_Sentiment!$B$2:$B$37,Phone_by_Sentiment!K$2:K$37,"",0,1)),_xlfn.XLOOKUP($C175,Phone_by_Sentiment!$B$2:$B$37,Phone_by_Sentiment!K$2:K$37,"",0,1),0),$A175-TEXT(DATEVALUE($D175&amp;"-01"), "dd-mm-yyyy")),0),0)</f>
        <v>0</v>
      </c>
      <c r="L175" cm="1">
        <f t="array" ref="L175">IF($Q175&gt;=0,IFERROR(generateSalesData($D175, IF(ISNUMBER(_xlfn.XLOOKUP($C175,Phone_by_Sentiment!$B$2:$B$37,Phone_by_Sentiment!L$2:L$37,"",0,1)),_xlfn.XLOOKUP($C175,Phone_by_Sentiment!$B$2:$B$37,Phone_by_Sentiment!L$2:L$37,"",0,1),0),$A175-TEXT(DATEVALUE($D175&amp;"-01"), "dd-mm-yyyy")),0),0)</f>
        <v>0</v>
      </c>
      <c r="M175" cm="1">
        <f t="array" ref="M175">IF($Q175&gt;=0,IFERROR(generateSalesData($D175, IF(ISNUMBER(_xlfn.XLOOKUP($C175,Phone_by_Sentiment!$B$2:$B$37,Phone_by_Sentiment!M$2:M$37,"",0,1)),_xlfn.XLOOKUP($C175,Phone_by_Sentiment!$B$2:$B$37,Phone_by_Sentiment!M$2:M$37,"",0,1),0),$A175-TEXT(DATEVALUE($D175&amp;"-01"), "dd-mm-yyyy")),0),0)</f>
        <v>0</v>
      </c>
      <c r="N175" cm="1">
        <f t="array" ref="N175">IF($Q175&gt;=0,IFERROR(generateSalesData($D175, IF(ISNUMBER(_xlfn.XLOOKUP($C175,Phone_by_Sentiment!$B$2:$B$37,Phone_by_Sentiment!N$2:N$37,"",0,1)),_xlfn.XLOOKUP($C175,Phone_by_Sentiment!$B$2:$B$37,Phone_by_Sentiment!N$2:N$37,"",0,1),0),$A175-TEXT(DATEVALUE($D175&amp;"-01"), "dd-mm-yyyy")),0),0)</f>
        <v>0</v>
      </c>
      <c r="O175" cm="1">
        <f t="array" ref="O175">IF($Q175&gt;=0,IFERROR(generateSalesData($D175, IF(ISNUMBER(_xlfn.XLOOKUP($C175,Phone_by_Sentiment!$B$2:$B$37,Phone_by_Sentiment!O$2:O$37,"",0,1)),_xlfn.XLOOKUP($C175,Phone_by_Sentiment!$B$2:$B$37,Phone_by_Sentiment!O$2:O$37,"",0,1),0),$A175-TEXT(DATEVALUE($D175&amp;"-01"), "dd-mm-yyyy")),0),0)</f>
        <v>0</v>
      </c>
      <c r="P175" s="1">
        <f t="shared" si="5"/>
        <v>44256</v>
      </c>
      <c r="Q175">
        <f t="shared" si="6"/>
        <v>-670</v>
      </c>
    </row>
    <row r="176" spans="1:17" x14ac:dyDescent="0.25">
      <c r="A176" s="1">
        <f t="shared" si="0"/>
        <v>43617</v>
      </c>
      <c r="B176" t="s">
        <v>150</v>
      </c>
      <c r="C176" t="str">
        <f>_xlfn.XLOOKUP(B176,Phone_by_Price!$A$2:$A$34,Phone_by_Price!$B$2:$B$34,"-",0,1)</f>
        <v>Vivo Y33s</v>
      </c>
      <c r="D176" t="str">
        <f>_xlfn.XLOOKUP(C176,Phone_by_Sentiment!$B$2:$B$37,Phone_by_Sentiment!$A$2:$A$37,"-",0,1)</f>
        <v>2021-05</v>
      </c>
      <c r="E176" cm="1">
        <f t="array" ref="E176">IF($Q176&gt;=0,IFERROR(generateSalesData($D176, IF(ISNUMBER(_xlfn.XLOOKUP($C176,Phone_by_Sentiment!$B$2:$B$37,Phone_by_Sentiment!E$2:E$37,"",0,1)),_xlfn.XLOOKUP($C176,Phone_by_Sentiment!$B$2:$B$37,Phone_by_Sentiment!E$2:E$37,"",0,1),0),$A176-TEXT(DATEVALUE($D176&amp;"-01"), "dd-mm-yyyy")),0),0)</f>
        <v>0</v>
      </c>
      <c r="F176" cm="1">
        <f t="array" ref="F176">IF($Q176&gt;=0,IFERROR(generateSalesData($D176, IF(ISNUMBER(_xlfn.XLOOKUP($C176,Phone_by_Sentiment!$B$2:$B$37,Phone_by_Sentiment!F$2:F$37,"",0,1)),_xlfn.XLOOKUP($C176,Phone_by_Sentiment!$B$2:$B$37,Phone_by_Sentiment!F$2:F$37,"",0,1),0),$A176-TEXT(DATEVALUE($D176&amp;"-01"), "dd-mm-yyyy")),0),0)</f>
        <v>0</v>
      </c>
      <c r="G176" cm="1">
        <f t="array" ref="G176">IF($Q176&gt;=0,IFERROR(generateSalesData($D176, IF(ISNUMBER(_xlfn.XLOOKUP($C176,Phone_by_Sentiment!$B$2:$B$37,Phone_by_Sentiment!G$2:G$37,"",0,1)),_xlfn.XLOOKUP($C176,Phone_by_Sentiment!$B$2:$B$37,Phone_by_Sentiment!G$2:G$37,"",0,1),0),$A176-TEXT(DATEVALUE($D176&amp;"-01"), "dd-mm-yyyy")),0),0)</f>
        <v>0</v>
      </c>
      <c r="H176" cm="1">
        <f t="array" ref="H176">IF($Q176&gt;=0,IFERROR(generateSalesData($D176, IF(ISNUMBER(_xlfn.XLOOKUP($C176,Phone_by_Sentiment!$B$2:$B$37,Phone_by_Sentiment!H$2:H$37,"",0,1)),_xlfn.XLOOKUP($C176,Phone_by_Sentiment!$B$2:$B$37,Phone_by_Sentiment!H$2:H$37,"",0,1),0),$A176-TEXT(DATEVALUE($D176&amp;"-01"), "dd-mm-yyyy")),0),0)</f>
        <v>0</v>
      </c>
      <c r="I176" cm="1">
        <f t="array" ref="I176">IF($Q176&gt;=0,IFERROR(generateSalesData($D176, IF(ISNUMBER(_xlfn.XLOOKUP($C176,Phone_by_Sentiment!$B$2:$B$37,Phone_by_Sentiment!I$2:I$37,"",0,1)),_xlfn.XLOOKUP($C176,Phone_by_Sentiment!$B$2:$B$37,Phone_by_Sentiment!I$2:I$37,"",0,1),0),$A176-TEXT(DATEVALUE($D176&amp;"-01"), "dd-mm-yyyy")),0),0)</f>
        <v>0</v>
      </c>
      <c r="J176" cm="1">
        <f t="array" ref="J176">IF($Q176&gt;=0,IFERROR(generateSalesData($D176, IF(ISNUMBER(_xlfn.XLOOKUP($C176,Phone_by_Sentiment!$B$2:$B$37,Phone_by_Sentiment!J$2:J$37,"",0,1)),_xlfn.XLOOKUP($C176,Phone_by_Sentiment!$B$2:$B$37,Phone_by_Sentiment!J$2:J$37,"",0,1),0),$A176-TEXT(DATEVALUE($D176&amp;"-01"), "dd-mm-yyyy")),0),0)</f>
        <v>0</v>
      </c>
      <c r="K176" cm="1">
        <f t="array" ref="K176">IF($Q176&gt;=0,IFERROR(generateSalesData($D176, IF(ISNUMBER(_xlfn.XLOOKUP($C176,Phone_by_Sentiment!$B$2:$B$37,Phone_by_Sentiment!K$2:K$37,"",0,1)),_xlfn.XLOOKUP($C176,Phone_by_Sentiment!$B$2:$B$37,Phone_by_Sentiment!K$2:K$37,"",0,1),0),$A176-TEXT(DATEVALUE($D176&amp;"-01"), "dd-mm-yyyy")),0),0)</f>
        <v>0</v>
      </c>
      <c r="L176" cm="1">
        <f t="array" ref="L176">IF($Q176&gt;=0,IFERROR(generateSalesData($D176, IF(ISNUMBER(_xlfn.XLOOKUP($C176,Phone_by_Sentiment!$B$2:$B$37,Phone_by_Sentiment!L$2:L$37,"",0,1)),_xlfn.XLOOKUP($C176,Phone_by_Sentiment!$B$2:$B$37,Phone_by_Sentiment!L$2:L$37,"",0,1),0),$A176-TEXT(DATEVALUE($D176&amp;"-01"), "dd-mm-yyyy")),0),0)</f>
        <v>0</v>
      </c>
      <c r="M176" cm="1">
        <f t="array" ref="M176">IF($Q176&gt;=0,IFERROR(generateSalesData($D176, IF(ISNUMBER(_xlfn.XLOOKUP($C176,Phone_by_Sentiment!$B$2:$B$37,Phone_by_Sentiment!M$2:M$37,"",0,1)),_xlfn.XLOOKUP($C176,Phone_by_Sentiment!$B$2:$B$37,Phone_by_Sentiment!M$2:M$37,"",0,1),0),$A176-TEXT(DATEVALUE($D176&amp;"-01"), "dd-mm-yyyy")),0),0)</f>
        <v>0</v>
      </c>
      <c r="N176" cm="1">
        <f t="array" ref="N176">IF($Q176&gt;=0,IFERROR(generateSalesData($D176, IF(ISNUMBER(_xlfn.XLOOKUP($C176,Phone_by_Sentiment!$B$2:$B$37,Phone_by_Sentiment!N$2:N$37,"",0,1)),_xlfn.XLOOKUP($C176,Phone_by_Sentiment!$B$2:$B$37,Phone_by_Sentiment!N$2:N$37,"",0,1),0),$A176-TEXT(DATEVALUE($D176&amp;"-01"), "dd-mm-yyyy")),0),0)</f>
        <v>0</v>
      </c>
      <c r="O176" cm="1">
        <f t="array" ref="O176">IF($Q176&gt;=0,IFERROR(generateSalesData($D176, IF(ISNUMBER(_xlfn.XLOOKUP($C176,Phone_by_Sentiment!$B$2:$B$37,Phone_by_Sentiment!O$2:O$37,"",0,1)),_xlfn.XLOOKUP($C176,Phone_by_Sentiment!$B$2:$B$37,Phone_by_Sentiment!O$2:O$37,"",0,1),0),$A176-TEXT(DATEVALUE($D176&amp;"-01"), "dd-mm-yyyy")),0),0)</f>
        <v>0</v>
      </c>
      <c r="P176" s="1">
        <f t="shared" si="5"/>
        <v>44317</v>
      </c>
      <c r="Q176">
        <f t="shared" si="6"/>
        <v>-700</v>
      </c>
    </row>
    <row r="177" spans="1:17" x14ac:dyDescent="0.25">
      <c r="A177" s="1">
        <f t="shared" si="0"/>
        <v>43617</v>
      </c>
      <c r="B177" t="s">
        <v>151</v>
      </c>
      <c r="C177" t="str">
        <f>_xlfn.XLOOKUP(B177,Phone_by_Price!$A$2:$A$34,Phone_by_Price!$B$2:$B$34,"-",0,1)</f>
        <v>Vivo Y11s</v>
      </c>
      <c r="D177" t="str">
        <f>_xlfn.XLOOKUP(C177,Phone_by_Sentiment!$B$2:$B$37,Phone_by_Sentiment!$A$2:$A$37,"-",0,1)</f>
        <v>2020-11</v>
      </c>
      <c r="E177" cm="1">
        <f t="array" ref="E177">IF($Q177&gt;=0,IFERROR(generateSalesData($D177, IF(ISNUMBER(_xlfn.XLOOKUP($C177,Phone_by_Sentiment!$B$2:$B$37,Phone_by_Sentiment!E$2:E$37,"",0,1)),_xlfn.XLOOKUP($C177,Phone_by_Sentiment!$B$2:$B$37,Phone_by_Sentiment!E$2:E$37,"",0,1),0),$A177-TEXT(DATEVALUE($D177&amp;"-01"), "dd-mm-yyyy")),0),0)</f>
        <v>0</v>
      </c>
      <c r="F177" cm="1">
        <f t="array" ref="F177">IF($Q177&gt;=0,IFERROR(generateSalesData($D177, IF(ISNUMBER(_xlfn.XLOOKUP($C177,Phone_by_Sentiment!$B$2:$B$37,Phone_by_Sentiment!F$2:F$37,"",0,1)),_xlfn.XLOOKUP($C177,Phone_by_Sentiment!$B$2:$B$37,Phone_by_Sentiment!F$2:F$37,"",0,1),0),$A177-TEXT(DATEVALUE($D177&amp;"-01"), "dd-mm-yyyy")),0),0)</f>
        <v>0</v>
      </c>
      <c r="G177" cm="1">
        <f t="array" ref="G177">IF($Q177&gt;=0,IFERROR(generateSalesData($D177, IF(ISNUMBER(_xlfn.XLOOKUP($C177,Phone_by_Sentiment!$B$2:$B$37,Phone_by_Sentiment!G$2:G$37,"",0,1)),_xlfn.XLOOKUP($C177,Phone_by_Sentiment!$B$2:$B$37,Phone_by_Sentiment!G$2:G$37,"",0,1),0),$A177-TEXT(DATEVALUE($D177&amp;"-01"), "dd-mm-yyyy")),0),0)</f>
        <v>0</v>
      </c>
      <c r="H177" cm="1">
        <f t="array" ref="H177">IF($Q177&gt;=0,IFERROR(generateSalesData($D177, IF(ISNUMBER(_xlfn.XLOOKUP($C177,Phone_by_Sentiment!$B$2:$B$37,Phone_by_Sentiment!H$2:H$37,"",0,1)),_xlfn.XLOOKUP($C177,Phone_by_Sentiment!$B$2:$B$37,Phone_by_Sentiment!H$2:H$37,"",0,1),0),$A177-TEXT(DATEVALUE($D177&amp;"-01"), "dd-mm-yyyy")),0),0)</f>
        <v>0</v>
      </c>
      <c r="I177" cm="1">
        <f t="array" ref="I177">IF($Q177&gt;=0,IFERROR(generateSalesData($D177, IF(ISNUMBER(_xlfn.XLOOKUP($C177,Phone_by_Sentiment!$B$2:$B$37,Phone_by_Sentiment!I$2:I$37,"",0,1)),_xlfn.XLOOKUP($C177,Phone_by_Sentiment!$B$2:$B$37,Phone_by_Sentiment!I$2:I$37,"",0,1),0),$A177-TEXT(DATEVALUE($D177&amp;"-01"), "dd-mm-yyyy")),0),0)</f>
        <v>0</v>
      </c>
      <c r="J177" cm="1">
        <f t="array" ref="J177">IF($Q177&gt;=0,IFERROR(generateSalesData($D177, IF(ISNUMBER(_xlfn.XLOOKUP($C177,Phone_by_Sentiment!$B$2:$B$37,Phone_by_Sentiment!J$2:J$37,"",0,1)),_xlfn.XLOOKUP($C177,Phone_by_Sentiment!$B$2:$B$37,Phone_by_Sentiment!J$2:J$37,"",0,1),0),$A177-TEXT(DATEVALUE($D177&amp;"-01"), "dd-mm-yyyy")),0),0)</f>
        <v>0</v>
      </c>
      <c r="K177" cm="1">
        <f t="array" ref="K177">IF($Q177&gt;=0,IFERROR(generateSalesData($D177, IF(ISNUMBER(_xlfn.XLOOKUP($C177,Phone_by_Sentiment!$B$2:$B$37,Phone_by_Sentiment!K$2:K$37,"",0,1)),_xlfn.XLOOKUP($C177,Phone_by_Sentiment!$B$2:$B$37,Phone_by_Sentiment!K$2:K$37,"",0,1),0),$A177-TEXT(DATEVALUE($D177&amp;"-01"), "dd-mm-yyyy")),0),0)</f>
        <v>0</v>
      </c>
      <c r="L177" cm="1">
        <f t="array" ref="L177">IF($Q177&gt;=0,IFERROR(generateSalesData($D177, IF(ISNUMBER(_xlfn.XLOOKUP($C177,Phone_by_Sentiment!$B$2:$B$37,Phone_by_Sentiment!L$2:L$37,"",0,1)),_xlfn.XLOOKUP($C177,Phone_by_Sentiment!$B$2:$B$37,Phone_by_Sentiment!L$2:L$37,"",0,1),0),$A177-TEXT(DATEVALUE($D177&amp;"-01"), "dd-mm-yyyy")),0),0)</f>
        <v>0</v>
      </c>
      <c r="M177" cm="1">
        <f t="array" ref="M177">IF($Q177&gt;=0,IFERROR(generateSalesData($D177, IF(ISNUMBER(_xlfn.XLOOKUP($C177,Phone_by_Sentiment!$B$2:$B$37,Phone_by_Sentiment!M$2:M$37,"",0,1)),_xlfn.XLOOKUP($C177,Phone_by_Sentiment!$B$2:$B$37,Phone_by_Sentiment!M$2:M$37,"",0,1),0),$A177-TEXT(DATEVALUE($D177&amp;"-01"), "dd-mm-yyyy")),0),0)</f>
        <v>0</v>
      </c>
      <c r="N177" cm="1">
        <f t="array" ref="N177">IF($Q177&gt;=0,IFERROR(generateSalesData($D177, IF(ISNUMBER(_xlfn.XLOOKUP($C177,Phone_by_Sentiment!$B$2:$B$37,Phone_by_Sentiment!N$2:N$37,"",0,1)),_xlfn.XLOOKUP($C177,Phone_by_Sentiment!$B$2:$B$37,Phone_by_Sentiment!N$2:N$37,"",0,1),0),$A177-TEXT(DATEVALUE($D177&amp;"-01"), "dd-mm-yyyy")),0),0)</f>
        <v>0</v>
      </c>
      <c r="O177" cm="1">
        <f t="array" ref="O177">IF($Q177&gt;=0,IFERROR(generateSalesData($D177, IF(ISNUMBER(_xlfn.XLOOKUP($C177,Phone_by_Sentiment!$B$2:$B$37,Phone_by_Sentiment!O$2:O$37,"",0,1)),_xlfn.XLOOKUP($C177,Phone_by_Sentiment!$B$2:$B$37,Phone_by_Sentiment!O$2:O$37,"",0,1),0),$A177-TEXT(DATEVALUE($D177&amp;"-01"), "dd-mm-yyyy")),0),0)</f>
        <v>0</v>
      </c>
      <c r="P177" s="1">
        <f t="shared" si="5"/>
        <v>44136</v>
      </c>
      <c r="Q177">
        <f t="shared" si="6"/>
        <v>-519</v>
      </c>
    </row>
    <row r="178" spans="1:17" x14ac:dyDescent="0.25">
      <c r="A178" s="1">
        <f t="shared" si="0"/>
        <v>43617</v>
      </c>
      <c r="B178" t="s">
        <v>152</v>
      </c>
      <c r="C178" t="str">
        <f>_xlfn.XLOOKUP(B178,Phone_by_Price!$A$2:$A$34,Phone_by_Price!$B$2:$B$34,"-",0,1)</f>
        <v>Huawei Nova 7i</v>
      </c>
      <c r="D178" t="str">
        <f>_xlfn.XLOOKUP(C178,Phone_by_Sentiment!$B$2:$B$37,Phone_by_Sentiment!$A$2:$A$37,"-",0,1)</f>
        <v>2020-02</v>
      </c>
      <c r="E178" cm="1">
        <f t="array" ref="E178">IF($Q178&gt;=0,IFERROR(generateSalesData($D178, IF(ISNUMBER(_xlfn.XLOOKUP($C178,Phone_by_Sentiment!$B$2:$B$37,Phone_by_Sentiment!E$2:E$37,"",0,1)),_xlfn.XLOOKUP($C178,Phone_by_Sentiment!$B$2:$B$37,Phone_by_Sentiment!E$2:E$37,"",0,1),0),$A178-TEXT(DATEVALUE($D178&amp;"-01"), "dd-mm-yyyy")),0),0)</f>
        <v>0</v>
      </c>
      <c r="F178" cm="1">
        <f t="array" ref="F178">IF($Q178&gt;=0,IFERROR(generateSalesData($D178, IF(ISNUMBER(_xlfn.XLOOKUP($C178,Phone_by_Sentiment!$B$2:$B$37,Phone_by_Sentiment!F$2:F$37,"",0,1)),_xlfn.XLOOKUP($C178,Phone_by_Sentiment!$B$2:$B$37,Phone_by_Sentiment!F$2:F$37,"",0,1),0),$A178-TEXT(DATEVALUE($D178&amp;"-01"), "dd-mm-yyyy")),0),0)</f>
        <v>0</v>
      </c>
      <c r="G178" cm="1">
        <f t="array" ref="G178">IF($Q178&gt;=0,IFERROR(generateSalesData($D178, IF(ISNUMBER(_xlfn.XLOOKUP($C178,Phone_by_Sentiment!$B$2:$B$37,Phone_by_Sentiment!G$2:G$37,"",0,1)),_xlfn.XLOOKUP($C178,Phone_by_Sentiment!$B$2:$B$37,Phone_by_Sentiment!G$2:G$37,"",0,1),0),$A178-TEXT(DATEVALUE($D178&amp;"-01"), "dd-mm-yyyy")),0),0)</f>
        <v>0</v>
      </c>
      <c r="H178" cm="1">
        <f t="array" ref="H178">IF($Q178&gt;=0,IFERROR(generateSalesData($D178, IF(ISNUMBER(_xlfn.XLOOKUP($C178,Phone_by_Sentiment!$B$2:$B$37,Phone_by_Sentiment!H$2:H$37,"",0,1)),_xlfn.XLOOKUP($C178,Phone_by_Sentiment!$B$2:$B$37,Phone_by_Sentiment!H$2:H$37,"",0,1),0),$A178-TEXT(DATEVALUE($D178&amp;"-01"), "dd-mm-yyyy")),0),0)</f>
        <v>0</v>
      </c>
      <c r="I178" cm="1">
        <f t="array" ref="I178">IF($Q178&gt;=0,IFERROR(generateSalesData($D178, IF(ISNUMBER(_xlfn.XLOOKUP($C178,Phone_by_Sentiment!$B$2:$B$37,Phone_by_Sentiment!I$2:I$37,"",0,1)),_xlfn.XLOOKUP($C178,Phone_by_Sentiment!$B$2:$B$37,Phone_by_Sentiment!I$2:I$37,"",0,1),0),$A178-TEXT(DATEVALUE($D178&amp;"-01"), "dd-mm-yyyy")),0),0)</f>
        <v>0</v>
      </c>
      <c r="J178" cm="1">
        <f t="array" ref="J178">IF($Q178&gt;=0,IFERROR(generateSalesData($D178, IF(ISNUMBER(_xlfn.XLOOKUP($C178,Phone_by_Sentiment!$B$2:$B$37,Phone_by_Sentiment!J$2:J$37,"",0,1)),_xlfn.XLOOKUP($C178,Phone_by_Sentiment!$B$2:$B$37,Phone_by_Sentiment!J$2:J$37,"",0,1),0),$A178-TEXT(DATEVALUE($D178&amp;"-01"), "dd-mm-yyyy")),0),0)</f>
        <v>0</v>
      </c>
      <c r="K178" cm="1">
        <f t="array" ref="K178">IF($Q178&gt;=0,IFERROR(generateSalesData($D178, IF(ISNUMBER(_xlfn.XLOOKUP($C178,Phone_by_Sentiment!$B$2:$B$37,Phone_by_Sentiment!K$2:K$37,"",0,1)),_xlfn.XLOOKUP($C178,Phone_by_Sentiment!$B$2:$B$37,Phone_by_Sentiment!K$2:K$37,"",0,1),0),$A178-TEXT(DATEVALUE($D178&amp;"-01"), "dd-mm-yyyy")),0),0)</f>
        <v>0</v>
      </c>
      <c r="L178" cm="1">
        <f t="array" ref="L178">IF($Q178&gt;=0,IFERROR(generateSalesData($D178, IF(ISNUMBER(_xlfn.XLOOKUP($C178,Phone_by_Sentiment!$B$2:$B$37,Phone_by_Sentiment!L$2:L$37,"",0,1)),_xlfn.XLOOKUP($C178,Phone_by_Sentiment!$B$2:$B$37,Phone_by_Sentiment!L$2:L$37,"",0,1),0),$A178-TEXT(DATEVALUE($D178&amp;"-01"), "dd-mm-yyyy")),0),0)</f>
        <v>0</v>
      </c>
      <c r="M178" cm="1">
        <f t="array" ref="M178">IF($Q178&gt;=0,IFERROR(generateSalesData($D178, IF(ISNUMBER(_xlfn.XLOOKUP($C178,Phone_by_Sentiment!$B$2:$B$37,Phone_by_Sentiment!M$2:M$37,"",0,1)),_xlfn.XLOOKUP($C178,Phone_by_Sentiment!$B$2:$B$37,Phone_by_Sentiment!M$2:M$37,"",0,1),0),$A178-TEXT(DATEVALUE($D178&amp;"-01"), "dd-mm-yyyy")),0),0)</f>
        <v>0</v>
      </c>
      <c r="N178" cm="1">
        <f t="array" ref="N178">IF($Q178&gt;=0,IFERROR(generateSalesData($D178, IF(ISNUMBER(_xlfn.XLOOKUP($C178,Phone_by_Sentiment!$B$2:$B$37,Phone_by_Sentiment!N$2:N$37,"",0,1)),_xlfn.XLOOKUP($C178,Phone_by_Sentiment!$B$2:$B$37,Phone_by_Sentiment!N$2:N$37,"",0,1),0),$A178-TEXT(DATEVALUE($D178&amp;"-01"), "dd-mm-yyyy")),0),0)</f>
        <v>0</v>
      </c>
      <c r="O178" cm="1">
        <f t="array" ref="O178">IF($Q178&gt;=0,IFERROR(generateSalesData($D178, IF(ISNUMBER(_xlfn.XLOOKUP($C178,Phone_by_Sentiment!$B$2:$B$37,Phone_by_Sentiment!O$2:O$37,"",0,1)),_xlfn.XLOOKUP($C178,Phone_by_Sentiment!$B$2:$B$37,Phone_by_Sentiment!O$2:O$37,"",0,1),0),$A178-TEXT(DATEVALUE($D178&amp;"-01"), "dd-mm-yyyy")),0),0)</f>
        <v>0</v>
      </c>
      <c r="P178" s="1">
        <f t="shared" si="5"/>
        <v>43862</v>
      </c>
      <c r="Q178">
        <f t="shared" si="6"/>
        <v>-245</v>
      </c>
    </row>
    <row r="179" spans="1:17" x14ac:dyDescent="0.25">
      <c r="A179" s="1">
        <f t="shared" si="0"/>
        <v>43617</v>
      </c>
      <c r="B179" t="s">
        <v>153</v>
      </c>
      <c r="C179" t="str">
        <f>_xlfn.XLOOKUP(B179,Phone_by_Price!$A$2:$A$34,Phone_by_Price!$B$2:$B$34,"-",0,1)</f>
        <v>iPhone 13</v>
      </c>
      <c r="D179" t="str">
        <f>_xlfn.XLOOKUP(C179,Phone_by_Sentiment!$B$2:$B$37,Phone_by_Sentiment!$A$2:$A$37,"-",0,1)</f>
        <v>2021-09</v>
      </c>
      <c r="E179" cm="1">
        <f t="array" ref="E179">IF($Q179&gt;=0,IFERROR(generateSalesData($D179, IF(ISNUMBER(_xlfn.XLOOKUP($C179,Phone_by_Sentiment!$B$2:$B$37,Phone_by_Sentiment!E$2:E$37,"",0,1)),_xlfn.XLOOKUP($C179,Phone_by_Sentiment!$B$2:$B$37,Phone_by_Sentiment!E$2:E$37,"",0,1),0),$A179-TEXT(DATEVALUE($D179&amp;"-01"), "dd-mm-yyyy")),0),0)</f>
        <v>0</v>
      </c>
      <c r="F179" cm="1">
        <f t="array" ref="F179">IF($Q179&gt;=0,IFERROR(generateSalesData($D179, IF(ISNUMBER(_xlfn.XLOOKUP($C179,Phone_by_Sentiment!$B$2:$B$37,Phone_by_Sentiment!F$2:F$37,"",0,1)),_xlfn.XLOOKUP($C179,Phone_by_Sentiment!$B$2:$B$37,Phone_by_Sentiment!F$2:F$37,"",0,1),0),$A179-TEXT(DATEVALUE($D179&amp;"-01"), "dd-mm-yyyy")),0),0)</f>
        <v>0</v>
      </c>
      <c r="G179" cm="1">
        <f t="array" ref="G179">IF($Q179&gt;=0,IFERROR(generateSalesData($D179, IF(ISNUMBER(_xlfn.XLOOKUP($C179,Phone_by_Sentiment!$B$2:$B$37,Phone_by_Sentiment!G$2:G$37,"",0,1)),_xlfn.XLOOKUP($C179,Phone_by_Sentiment!$B$2:$B$37,Phone_by_Sentiment!G$2:G$37,"",0,1),0),$A179-TEXT(DATEVALUE($D179&amp;"-01"), "dd-mm-yyyy")),0),0)</f>
        <v>0</v>
      </c>
      <c r="H179" cm="1">
        <f t="array" ref="H179">IF($Q179&gt;=0,IFERROR(generateSalesData($D179, IF(ISNUMBER(_xlfn.XLOOKUP($C179,Phone_by_Sentiment!$B$2:$B$37,Phone_by_Sentiment!H$2:H$37,"",0,1)),_xlfn.XLOOKUP($C179,Phone_by_Sentiment!$B$2:$B$37,Phone_by_Sentiment!H$2:H$37,"",0,1),0),$A179-TEXT(DATEVALUE($D179&amp;"-01"), "dd-mm-yyyy")),0),0)</f>
        <v>0</v>
      </c>
      <c r="I179" cm="1">
        <f t="array" ref="I179">IF($Q179&gt;=0,IFERROR(generateSalesData($D179, IF(ISNUMBER(_xlfn.XLOOKUP($C179,Phone_by_Sentiment!$B$2:$B$37,Phone_by_Sentiment!I$2:I$37,"",0,1)),_xlfn.XLOOKUP($C179,Phone_by_Sentiment!$B$2:$B$37,Phone_by_Sentiment!I$2:I$37,"",0,1),0),$A179-TEXT(DATEVALUE($D179&amp;"-01"), "dd-mm-yyyy")),0),0)</f>
        <v>0</v>
      </c>
      <c r="J179" cm="1">
        <f t="array" ref="J179">IF($Q179&gt;=0,IFERROR(generateSalesData($D179, IF(ISNUMBER(_xlfn.XLOOKUP($C179,Phone_by_Sentiment!$B$2:$B$37,Phone_by_Sentiment!J$2:J$37,"",0,1)),_xlfn.XLOOKUP($C179,Phone_by_Sentiment!$B$2:$B$37,Phone_by_Sentiment!J$2:J$37,"",0,1),0),$A179-TEXT(DATEVALUE($D179&amp;"-01"), "dd-mm-yyyy")),0),0)</f>
        <v>0</v>
      </c>
      <c r="K179" cm="1">
        <f t="array" ref="K179">IF($Q179&gt;=0,IFERROR(generateSalesData($D179, IF(ISNUMBER(_xlfn.XLOOKUP($C179,Phone_by_Sentiment!$B$2:$B$37,Phone_by_Sentiment!K$2:K$37,"",0,1)),_xlfn.XLOOKUP($C179,Phone_by_Sentiment!$B$2:$B$37,Phone_by_Sentiment!K$2:K$37,"",0,1),0),$A179-TEXT(DATEVALUE($D179&amp;"-01"), "dd-mm-yyyy")),0),0)</f>
        <v>0</v>
      </c>
      <c r="L179" cm="1">
        <f t="array" ref="L179">IF($Q179&gt;=0,IFERROR(generateSalesData($D179, IF(ISNUMBER(_xlfn.XLOOKUP($C179,Phone_by_Sentiment!$B$2:$B$37,Phone_by_Sentiment!L$2:L$37,"",0,1)),_xlfn.XLOOKUP($C179,Phone_by_Sentiment!$B$2:$B$37,Phone_by_Sentiment!L$2:L$37,"",0,1),0),$A179-TEXT(DATEVALUE($D179&amp;"-01"), "dd-mm-yyyy")),0),0)</f>
        <v>0</v>
      </c>
      <c r="M179" cm="1">
        <f t="array" ref="M179">IF($Q179&gt;=0,IFERROR(generateSalesData($D179, IF(ISNUMBER(_xlfn.XLOOKUP($C179,Phone_by_Sentiment!$B$2:$B$37,Phone_by_Sentiment!M$2:M$37,"",0,1)),_xlfn.XLOOKUP($C179,Phone_by_Sentiment!$B$2:$B$37,Phone_by_Sentiment!M$2:M$37,"",0,1),0),$A179-TEXT(DATEVALUE($D179&amp;"-01"), "dd-mm-yyyy")),0),0)</f>
        <v>0</v>
      </c>
      <c r="N179" cm="1">
        <f t="array" ref="N179">IF($Q179&gt;=0,IFERROR(generateSalesData($D179, IF(ISNUMBER(_xlfn.XLOOKUP($C179,Phone_by_Sentiment!$B$2:$B$37,Phone_by_Sentiment!N$2:N$37,"",0,1)),_xlfn.XLOOKUP($C179,Phone_by_Sentiment!$B$2:$B$37,Phone_by_Sentiment!N$2:N$37,"",0,1),0),$A179-TEXT(DATEVALUE($D179&amp;"-01"), "dd-mm-yyyy")),0),0)</f>
        <v>0</v>
      </c>
      <c r="O179" cm="1">
        <f t="array" ref="O179">IF($Q179&gt;=0,IFERROR(generateSalesData($D179, IF(ISNUMBER(_xlfn.XLOOKUP($C179,Phone_by_Sentiment!$B$2:$B$37,Phone_by_Sentiment!O$2:O$37,"",0,1)),_xlfn.XLOOKUP($C179,Phone_by_Sentiment!$B$2:$B$37,Phone_by_Sentiment!O$2:O$37,"",0,1),0),$A179-TEXT(DATEVALUE($D179&amp;"-01"), "dd-mm-yyyy")),0),0)</f>
        <v>0</v>
      </c>
      <c r="P179" s="1">
        <f t="shared" si="5"/>
        <v>44440</v>
      </c>
      <c r="Q179">
        <f t="shared" si="6"/>
        <v>-823</v>
      </c>
    </row>
    <row r="180" spans="1:17" x14ac:dyDescent="0.25">
      <c r="A180" s="1">
        <f t="shared" si="0"/>
        <v>43617</v>
      </c>
      <c r="B180" t="s">
        <v>154</v>
      </c>
      <c r="C180" t="str">
        <f>_xlfn.XLOOKUP(B180,Phone_by_Price!$A$2:$A$34,Phone_by_Price!$B$2:$B$34,"-",0,1)</f>
        <v>Samsung Galaxy S21</v>
      </c>
      <c r="D180" t="str">
        <f>_xlfn.XLOOKUP(C180,Phone_by_Sentiment!$B$2:$B$37,Phone_by_Sentiment!$A$2:$A$37,"-",0,1)</f>
        <v>2021-01</v>
      </c>
      <c r="E180" cm="1">
        <f t="array" ref="E180">IF($Q180&gt;=0,IFERROR(generateSalesData($D180, IF(ISNUMBER(_xlfn.XLOOKUP($C180,Phone_by_Sentiment!$B$2:$B$37,Phone_by_Sentiment!E$2:E$37,"",0,1)),_xlfn.XLOOKUP($C180,Phone_by_Sentiment!$B$2:$B$37,Phone_by_Sentiment!E$2:E$37,"",0,1),0),$A180-TEXT(DATEVALUE($D180&amp;"-01"), "dd-mm-yyyy")),0),0)</f>
        <v>0</v>
      </c>
      <c r="F180" cm="1">
        <f t="array" ref="F180">IF($Q180&gt;=0,IFERROR(generateSalesData($D180, IF(ISNUMBER(_xlfn.XLOOKUP($C180,Phone_by_Sentiment!$B$2:$B$37,Phone_by_Sentiment!F$2:F$37,"",0,1)),_xlfn.XLOOKUP($C180,Phone_by_Sentiment!$B$2:$B$37,Phone_by_Sentiment!F$2:F$37,"",0,1),0),$A180-TEXT(DATEVALUE($D180&amp;"-01"), "dd-mm-yyyy")),0),0)</f>
        <v>0</v>
      </c>
      <c r="G180" cm="1">
        <f t="array" ref="G180">IF($Q180&gt;=0,IFERROR(generateSalesData($D180, IF(ISNUMBER(_xlfn.XLOOKUP($C180,Phone_by_Sentiment!$B$2:$B$37,Phone_by_Sentiment!G$2:G$37,"",0,1)),_xlfn.XLOOKUP($C180,Phone_by_Sentiment!$B$2:$B$37,Phone_by_Sentiment!G$2:G$37,"",0,1),0),$A180-TEXT(DATEVALUE($D180&amp;"-01"), "dd-mm-yyyy")),0),0)</f>
        <v>0</v>
      </c>
      <c r="H180" cm="1">
        <f t="array" ref="H180">IF($Q180&gt;=0,IFERROR(generateSalesData($D180, IF(ISNUMBER(_xlfn.XLOOKUP($C180,Phone_by_Sentiment!$B$2:$B$37,Phone_by_Sentiment!H$2:H$37,"",0,1)),_xlfn.XLOOKUP($C180,Phone_by_Sentiment!$B$2:$B$37,Phone_by_Sentiment!H$2:H$37,"",0,1),0),$A180-TEXT(DATEVALUE($D180&amp;"-01"), "dd-mm-yyyy")),0),0)</f>
        <v>0</v>
      </c>
      <c r="I180" cm="1">
        <f t="array" ref="I180">IF($Q180&gt;=0,IFERROR(generateSalesData($D180, IF(ISNUMBER(_xlfn.XLOOKUP($C180,Phone_by_Sentiment!$B$2:$B$37,Phone_by_Sentiment!I$2:I$37,"",0,1)),_xlfn.XLOOKUP($C180,Phone_by_Sentiment!$B$2:$B$37,Phone_by_Sentiment!I$2:I$37,"",0,1),0),$A180-TEXT(DATEVALUE($D180&amp;"-01"), "dd-mm-yyyy")),0),0)</f>
        <v>0</v>
      </c>
      <c r="J180" cm="1">
        <f t="array" ref="J180">IF($Q180&gt;=0,IFERROR(generateSalesData($D180, IF(ISNUMBER(_xlfn.XLOOKUP($C180,Phone_by_Sentiment!$B$2:$B$37,Phone_by_Sentiment!J$2:J$37,"",0,1)),_xlfn.XLOOKUP($C180,Phone_by_Sentiment!$B$2:$B$37,Phone_by_Sentiment!J$2:J$37,"",0,1),0),$A180-TEXT(DATEVALUE($D180&amp;"-01"), "dd-mm-yyyy")),0),0)</f>
        <v>0</v>
      </c>
      <c r="K180" cm="1">
        <f t="array" ref="K180">IF($Q180&gt;=0,IFERROR(generateSalesData($D180, IF(ISNUMBER(_xlfn.XLOOKUP($C180,Phone_by_Sentiment!$B$2:$B$37,Phone_by_Sentiment!K$2:K$37,"",0,1)),_xlfn.XLOOKUP($C180,Phone_by_Sentiment!$B$2:$B$37,Phone_by_Sentiment!K$2:K$37,"",0,1),0),$A180-TEXT(DATEVALUE($D180&amp;"-01"), "dd-mm-yyyy")),0),0)</f>
        <v>0</v>
      </c>
      <c r="L180" cm="1">
        <f t="array" ref="L180">IF($Q180&gt;=0,IFERROR(generateSalesData($D180, IF(ISNUMBER(_xlfn.XLOOKUP($C180,Phone_by_Sentiment!$B$2:$B$37,Phone_by_Sentiment!L$2:L$37,"",0,1)),_xlfn.XLOOKUP($C180,Phone_by_Sentiment!$B$2:$B$37,Phone_by_Sentiment!L$2:L$37,"",0,1),0),$A180-TEXT(DATEVALUE($D180&amp;"-01"), "dd-mm-yyyy")),0),0)</f>
        <v>0</v>
      </c>
      <c r="M180" cm="1">
        <f t="array" ref="M180">IF($Q180&gt;=0,IFERROR(generateSalesData($D180, IF(ISNUMBER(_xlfn.XLOOKUP($C180,Phone_by_Sentiment!$B$2:$B$37,Phone_by_Sentiment!M$2:M$37,"",0,1)),_xlfn.XLOOKUP($C180,Phone_by_Sentiment!$B$2:$B$37,Phone_by_Sentiment!M$2:M$37,"",0,1),0),$A180-TEXT(DATEVALUE($D180&amp;"-01"), "dd-mm-yyyy")),0),0)</f>
        <v>0</v>
      </c>
      <c r="N180" cm="1">
        <f t="array" ref="N180">IF($Q180&gt;=0,IFERROR(generateSalesData($D180, IF(ISNUMBER(_xlfn.XLOOKUP($C180,Phone_by_Sentiment!$B$2:$B$37,Phone_by_Sentiment!N$2:N$37,"",0,1)),_xlfn.XLOOKUP($C180,Phone_by_Sentiment!$B$2:$B$37,Phone_by_Sentiment!N$2:N$37,"",0,1),0),$A180-TEXT(DATEVALUE($D180&amp;"-01"), "dd-mm-yyyy")),0),0)</f>
        <v>0</v>
      </c>
      <c r="O180" cm="1">
        <f t="array" ref="O180">IF($Q180&gt;=0,IFERROR(generateSalesData($D180, IF(ISNUMBER(_xlfn.XLOOKUP($C180,Phone_by_Sentiment!$B$2:$B$37,Phone_by_Sentiment!O$2:O$37,"",0,1)),_xlfn.XLOOKUP($C180,Phone_by_Sentiment!$B$2:$B$37,Phone_by_Sentiment!O$2:O$37,"",0,1),0),$A180-TEXT(DATEVALUE($D180&amp;"-01"), "dd-mm-yyyy")),0),0)</f>
        <v>0</v>
      </c>
      <c r="P180" s="1">
        <f t="shared" si="5"/>
        <v>44197</v>
      </c>
      <c r="Q180">
        <f t="shared" si="6"/>
        <v>-580</v>
      </c>
    </row>
    <row r="181" spans="1:17" x14ac:dyDescent="0.25">
      <c r="A181" s="1">
        <f t="shared" si="0"/>
        <v>43617</v>
      </c>
      <c r="B181" t="s">
        <v>155</v>
      </c>
      <c r="C181" t="str">
        <f>_xlfn.XLOOKUP(B181,Phone_by_Price!$A$2:$A$34,Phone_by_Price!$B$2:$B$34,"-",0,1)</f>
        <v>Google Pixel 6</v>
      </c>
      <c r="D181" t="str">
        <f>_xlfn.XLOOKUP(C181,Phone_by_Sentiment!$B$2:$B$37,Phone_by_Sentiment!$A$2:$A$37,"-",0,1)</f>
        <v>2021-10</v>
      </c>
      <c r="E181" cm="1">
        <f t="array" ref="E181">IF($Q181&gt;=0,IFERROR(generateSalesData($D181, IF(ISNUMBER(_xlfn.XLOOKUP($C181,Phone_by_Sentiment!$B$2:$B$37,Phone_by_Sentiment!E$2:E$37,"",0,1)),_xlfn.XLOOKUP($C181,Phone_by_Sentiment!$B$2:$B$37,Phone_by_Sentiment!E$2:E$37,"",0,1),0),$A181-TEXT(DATEVALUE($D181&amp;"-01"), "dd-mm-yyyy")),0),0)</f>
        <v>0</v>
      </c>
      <c r="F181" cm="1">
        <f t="array" ref="F181">IF($Q181&gt;=0,IFERROR(generateSalesData($D181, IF(ISNUMBER(_xlfn.XLOOKUP($C181,Phone_by_Sentiment!$B$2:$B$37,Phone_by_Sentiment!F$2:F$37,"",0,1)),_xlfn.XLOOKUP($C181,Phone_by_Sentiment!$B$2:$B$37,Phone_by_Sentiment!F$2:F$37,"",0,1),0),$A181-TEXT(DATEVALUE($D181&amp;"-01"), "dd-mm-yyyy")),0),0)</f>
        <v>0</v>
      </c>
      <c r="G181" cm="1">
        <f t="array" ref="G181">IF($Q181&gt;=0,IFERROR(generateSalesData($D181, IF(ISNUMBER(_xlfn.XLOOKUP($C181,Phone_by_Sentiment!$B$2:$B$37,Phone_by_Sentiment!G$2:G$37,"",0,1)),_xlfn.XLOOKUP($C181,Phone_by_Sentiment!$B$2:$B$37,Phone_by_Sentiment!G$2:G$37,"",0,1),0),$A181-TEXT(DATEVALUE($D181&amp;"-01"), "dd-mm-yyyy")),0),0)</f>
        <v>0</v>
      </c>
      <c r="H181" cm="1">
        <f t="array" ref="H181">IF($Q181&gt;=0,IFERROR(generateSalesData($D181, IF(ISNUMBER(_xlfn.XLOOKUP($C181,Phone_by_Sentiment!$B$2:$B$37,Phone_by_Sentiment!H$2:H$37,"",0,1)),_xlfn.XLOOKUP($C181,Phone_by_Sentiment!$B$2:$B$37,Phone_by_Sentiment!H$2:H$37,"",0,1),0),$A181-TEXT(DATEVALUE($D181&amp;"-01"), "dd-mm-yyyy")),0),0)</f>
        <v>0</v>
      </c>
      <c r="I181" cm="1">
        <f t="array" ref="I181">IF($Q181&gt;=0,IFERROR(generateSalesData($D181, IF(ISNUMBER(_xlfn.XLOOKUP($C181,Phone_by_Sentiment!$B$2:$B$37,Phone_by_Sentiment!I$2:I$37,"",0,1)),_xlfn.XLOOKUP($C181,Phone_by_Sentiment!$B$2:$B$37,Phone_by_Sentiment!I$2:I$37,"",0,1),0),$A181-TEXT(DATEVALUE($D181&amp;"-01"), "dd-mm-yyyy")),0),0)</f>
        <v>0</v>
      </c>
      <c r="J181" cm="1">
        <f t="array" ref="J181">IF($Q181&gt;=0,IFERROR(generateSalesData($D181, IF(ISNUMBER(_xlfn.XLOOKUP($C181,Phone_by_Sentiment!$B$2:$B$37,Phone_by_Sentiment!J$2:J$37,"",0,1)),_xlfn.XLOOKUP($C181,Phone_by_Sentiment!$B$2:$B$37,Phone_by_Sentiment!J$2:J$37,"",0,1),0),$A181-TEXT(DATEVALUE($D181&amp;"-01"), "dd-mm-yyyy")),0),0)</f>
        <v>0</v>
      </c>
      <c r="K181" cm="1">
        <f t="array" ref="K181">IF($Q181&gt;=0,IFERROR(generateSalesData($D181, IF(ISNUMBER(_xlfn.XLOOKUP($C181,Phone_by_Sentiment!$B$2:$B$37,Phone_by_Sentiment!K$2:K$37,"",0,1)),_xlfn.XLOOKUP($C181,Phone_by_Sentiment!$B$2:$B$37,Phone_by_Sentiment!K$2:K$37,"",0,1),0),$A181-TEXT(DATEVALUE($D181&amp;"-01"), "dd-mm-yyyy")),0),0)</f>
        <v>0</v>
      </c>
      <c r="L181" cm="1">
        <f t="array" ref="L181">IF($Q181&gt;=0,IFERROR(generateSalesData($D181, IF(ISNUMBER(_xlfn.XLOOKUP($C181,Phone_by_Sentiment!$B$2:$B$37,Phone_by_Sentiment!L$2:L$37,"",0,1)),_xlfn.XLOOKUP($C181,Phone_by_Sentiment!$B$2:$B$37,Phone_by_Sentiment!L$2:L$37,"",0,1),0),$A181-TEXT(DATEVALUE($D181&amp;"-01"), "dd-mm-yyyy")),0),0)</f>
        <v>0</v>
      </c>
      <c r="M181" cm="1">
        <f t="array" ref="M181">IF($Q181&gt;=0,IFERROR(generateSalesData($D181, IF(ISNUMBER(_xlfn.XLOOKUP($C181,Phone_by_Sentiment!$B$2:$B$37,Phone_by_Sentiment!M$2:M$37,"",0,1)),_xlfn.XLOOKUP($C181,Phone_by_Sentiment!$B$2:$B$37,Phone_by_Sentiment!M$2:M$37,"",0,1),0),$A181-TEXT(DATEVALUE($D181&amp;"-01"), "dd-mm-yyyy")),0),0)</f>
        <v>0</v>
      </c>
      <c r="N181" cm="1">
        <f t="array" ref="N181">IF($Q181&gt;=0,IFERROR(generateSalesData($D181, IF(ISNUMBER(_xlfn.XLOOKUP($C181,Phone_by_Sentiment!$B$2:$B$37,Phone_by_Sentiment!N$2:N$37,"",0,1)),_xlfn.XLOOKUP($C181,Phone_by_Sentiment!$B$2:$B$37,Phone_by_Sentiment!N$2:N$37,"",0,1),0),$A181-TEXT(DATEVALUE($D181&amp;"-01"), "dd-mm-yyyy")),0),0)</f>
        <v>0</v>
      </c>
      <c r="O181" cm="1">
        <f t="array" ref="O181">IF($Q181&gt;=0,IFERROR(generateSalesData($D181, IF(ISNUMBER(_xlfn.XLOOKUP($C181,Phone_by_Sentiment!$B$2:$B$37,Phone_by_Sentiment!O$2:O$37,"",0,1)),_xlfn.XLOOKUP($C181,Phone_by_Sentiment!$B$2:$B$37,Phone_by_Sentiment!O$2:O$37,"",0,1),0),$A181-TEXT(DATEVALUE($D181&amp;"-01"), "dd-mm-yyyy")),0),0)</f>
        <v>0</v>
      </c>
      <c r="P181" s="1">
        <f t="shared" si="5"/>
        <v>44470</v>
      </c>
      <c r="Q181">
        <f t="shared" si="6"/>
        <v>-853</v>
      </c>
    </row>
    <row r="182" spans="1:17" x14ac:dyDescent="0.25">
      <c r="A182" s="1">
        <f t="shared" si="0"/>
        <v>43617</v>
      </c>
      <c r="B182" t="s">
        <v>156</v>
      </c>
      <c r="C182" t="str">
        <f>_xlfn.XLOOKUP(B182,Phone_by_Price!$A$2:$A$34,Phone_by_Price!$B$2:$B$34,"-",0,1)</f>
        <v>OnePlus Nord CE</v>
      </c>
      <c r="D182" t="str">
        <f>_xlfn.XLOOKUP(C182,Phone_by_Sentiment!$B$2:$B$37,Phone_by_Sentiment!$A$2:$A$37,"-",0,1)</f>
        <v>2021-06</v>
      </c>
      <c r="E182" cm="1">
        <f t="array" ref="E182">IF($Q182&gt;=0,IFERROR(generateSalesData($D182, IF(ISNUMBER(_xlfn.XLOOKUP($C182,Phone_by_Sentiment!$B$2:$B$37,Phone_by_Sentiment!E$2:E$37,"",0,1)),_xlfn.XLOOKUP($C182,Phone_by_Sentiment!$B$2:$B$37,Phone_by_Sentiment!E$2:E$37,"",0,1),0),$A182-TEXT(DATEVALUE($D182&amp;"-01"), "dd-mm-yyyy")),0),0)</f>
        <v>0</v>
      </c>
      <c r="F182" cm="1">
        <f t="array" ref="F182">IF($Q182&gt;=0,IFERROR(generateSalesData($D182, IF(ISNUMBER(_xlfn.XLOOKUP($C182,Phone_by_Sentiment!$B$2:$B$37,Phone_by_Sentiment!F$2:F$37,"",0,1)),_xlfn.XLOOKUP($C182,Phone_by_Sentiment!$B$2:$B$37,Phone_by_Sentiment!F$2:F$37,"",0,1),0),$A182-TEXT(DATEVALUE($D182&amp;"-01"), "dd-mm-yyyy")),0),0)</f>
        <v>0</v>
      </c>
      <c r="G182" cm="1">
        <f t="array" ref="G182">IF($Q182&gt;=0,IFERROR(generateSalesData($D182, IF(ISNUMBER(_xlfn.XLOOKUP($C182,Phone_by_Sentiment!$B$2:$B$37,Phone_by_Sentiment!G$2:G$37,"",0,1)),_xlfn.XLOOKUP($C182,Phone_by_Sentiment!$B$2:$B$37,Phone_by_Sentiment!G$2:G$37,"",0,1),0),$A182-TEXT(DATEVALUE($D182&amp;"-01"), "dd-mm-yyyy")),0),0)</f>
        <v>0</v>
      </c>
      <c r="H182" cm="1">
        <f t="array" ref="H182">IF($Q182&gt;=0,IFERROR(generateSalesData($D182, IF(ISNUMBER(_xlfn.XLOOKUP($C182,Phone_by_Sentiment!$B$2:$B$37,Phone_by_Sentiment!H$2:H$37,"",0,1)),_xlfn.XLOOKUP($C182,Phone_by_Sentiment!$B$2:$B$37,Phone_by_Sentiment!H$2:H$37,"",0,1),0),$A182-TEXT(DATEVALUE($D182&amp;"-01"), "dd-mm-yyyy")),0),0)</f>
        <v>0</v>
      </c>
      <c r="I182" cm="1">
        <f t="array" ref="I182">IF($Q182&gt;=0,IFERROR(generateSalesData($D182, IF(ISNUMBER(_xlfn.XLOOKUP($C182,Phone_by_Sentiment!$B$2:$B$37,Phone_by_Sentiment!I$2:I$37,"",0,1)),_xlfn.XLOOKUP($C182,Phone_by_Sentiment!$B$2:$B$37,Phone_by_Sentiment!I$2:I$37,"",0,1),0),$A182-TEXT(DATEVALUE($D182&amp;"-01"), "dd-mm-yyyy")),0),0)</f>
        <v>0</v>
      </c>
      <c r="J182" cm="1">
        <f t="array" ref="J182">IF($Q182&gt;=0,IFERROR(generateSalesData($D182, IF(ISNUMBER(_xlfn.XLOOKUP($C182,Phone_by_Sentiment!$B$2:$B$37,Phone_by_Sentiment!J$2:J$37,"",0,1)),_xlfn.XLOOKUP($C182,Phone_by_Sentiment!$B$2:$B$37,Phone_by_Sentiment!J$2:J$37,"",0,1),0),$A182-TEXT(DATEVALUE($D182&amp;"-01"), "dd-mm-yyyy")),0),0)</f>
        <v>0</v>
      </c>
      <c r="K182" cm="1">
        <f t="array" ref="K182">IF($Q182&gt;=0,IFERROR(generateSalesData($D182, IF(ISNUMBER(_xlfn.XLOOKUP($C182,Phone_by_Sentiment!$B$2:$B$37,Phone_by_Sentiment!K$2:K$37,"",0,1)),_xlfn.XLOOKUP($C182,Phone_by_Sentiment!$B$2:$B$37,Phone_by_Sentiment!K$2:K$37,"",0,1),0),$A182-TEXT(DATEVALUE($D182&amp;"-01"), "dd-mm-yyyy")),0),0)</f>
        <v>0</v>
      </c>
      <c r="L182" cm="1">
        <f t="array" ref="L182">IF($Q182&gt;=0,IFERROR(generateSalesData($D182, IF(ISNUMBER(_xlfn.XLOOKUP($C182,Phone_by_Sentiment!$B$2:$B$37,Phone_by_Sentiment!L$2:L$37,"",0,1)),_xlfn.XLOOKUP($C182,Phone_by_Sentiment!$B$2:$B$37,Phone_by_Sentiment!L$2:L$37,"",0,1),0),$A182-TEXT(DATEVALUE($D182&amp;"-01"), "dd-mm-yyyy")),0),0)</f>
        <v>0</v>
      </c>
      <c r="M182" cm="1">
        <f t="array" ref="M182">IF($Q182&gt;=0,IFERROR(generateSalesData($D182, IF(ISNUMBER(_xlfn.XLOOKUP($C182,Phone_by_Sentiment!$B$2:$B$37,Phone_by_Sentiment!M$2:M$37,"",0,1)),_xlfn.XLOOKUP($C182,Phone_by_Sentiment!$B$2:$B$37,Phone_by_Sentiment!M$2:M$37,"",0,1),0),$A182-TEXT(DATEVALUE($D182&amp;"-01"), "dd-mm-yyyy")),0),0)</f>
        <v>0</v>
      </c>
      <c r="N182" cm="1">
        <f t="array" ref="N182">IF($Q182&gt;=0,IFERROR(generateSalesData($D182, IF(ISNUMBER(_xlfn.XLOOKUP($C182,Phone_by_Sentiment!$B$2:$B$37,Phone_by_Sentiment!N$2:N$37,"",0,1)),_xlfn.XLOOKUP($C182,Phone_by_Sentiment!$B$2:$B$37,Phone_by_Sentiment!N$2:N$37,"",0,1),0),$A182-TEXT(DATEVALUE($D182&amp;"-01"), "dd-mm-yyyy")),0),0)</f>
        <v>0</v>
      </c>
      <c r="O182" cm="1">
        <f t="array" ref="O182">IF($Q182&gt;=0,IFERROR(generateSalesData($D182, IF(ISNUMBER(_xlfn.XLOOKUP($C182,Phone_by_Sentiment!$B$2:$B$37,Phone_by_Sentiment!O$2:O$37,"",0,1)),_xlfn.XLOOKUP($C182,Phone_by_Sentiment!$B$2:$B$37,Phone_by_Sentiment!O$2:O$37,"",0,1),0),$A182-TEXT(DATEVALUE($D182&amp;"-01"), "dd-mm-yyyy")),0),0)</f>
        <v>0</v>
      </c>
      <c r="P182" s="1">
        <f t="shared" si="5"/>
        <v>44348</v>
      </c>
      <c r="Q182">
        <f t="shared" si="6"/>
        <v>-731</v>
      </c>
    </row>
    <row r="183" spans="1:17" x14ac:dyDescent="0.25">
      <c r="A183" s="1">
        <f t="shared" si="0"/>
        <v>43617</v>
      </c>
      <c r="B183" t="s">
        <v>157</v>
      </c>
      <c r="C183" t="str">
        <f>_xlfn.XLOOKUP(B183,Phone_by_Price!$A$2:$A$34,Phone_by_Price!$B$2:$B$34,"-",0,1)</f>
        <v>Apple iPhone 13 Pro</v>
      </c>
      <c r="D183" t="str">
        <f>_xlfn.XLOOKUP(C183,Phone_by_Sentiment!$B$2:$B$37,Phone_by_Sentiment!$A$2:$A$37,"-",0,1)</f>
        <v>2021-09</v>
      </c>
      <c r="E183" cm="1">
        <f t="array" ref="E183">IF($Q183&gt;=0,IFERROR(generateSalesData($D183, IF(ISNUMBER(_xlfn.XLOOKUP($C183,Phone_by_Sentiment!$B$2:$B$37,Phone_by_Sentiment!E$2:E$37,"",0,1)),_xlfn.XLOOKUP($C183,Phone_by_Sentiment!$B$2:$B$37,Phone_by_Sentiment!E$2:E$37,"",0,1),0),$A183-TEXT(DATEVALUE($D183&amp;"-01"), "dd-mm-yyyy")),0),0)</f>
        <v>0</v>
      </c>
      <c r="F183" cm="1">
        <f t="array" ref="F183">IF($Q183&gt;=0,IFERROR(generateSalesData($D183, IF(ISNUMBER(_xlfn.XLOOKUP($C183,Phone_by_Sentiment!$B$2:$B$37,Phone_by_Sentiment!F$2:F$37,"",0,1)),_xlfn.XLOOKUP($C183,Phone_by_Sentiment!$B$2:$B$37,Phone_by_Sentiment!F$2:F$37,"",0,1),0),$A183-TEXT(DATEVALUE($D183&amp;"-01"), "dd-mm-yyyy")),0),0)</f>
        <v>0</v>
      </c>
      <c r="G183" cm="1">
        <f t="array" ref="G183">IF($Q183&gt;=0,IFERROR(generateSalesData($D183, IF(ISNUMBER(_xlfn.XLOOKUP($C183,Phone_by_Sentiment!$B$2:$B$37,Phone_by_Sentiment!G$2:G$37,"",0,1)),_xlfn.XLOOKUP($C183,Phone_by_Sentiment!$B$2:$B$37,Phone_by_Sentiment!G$2:G$37,"",0,1),0),$A183-TEXT(DATEVALUE($D183&amp;"-01"), "dd-mm-yyyy")),0),0)</f>
        <v>0</v>
      </c>
      <c r="H183" cm="1">
        <f t="array" ref="H183">IF($Q183&gt;=0,IFERROR(generateSalesData($D183, IF(ISNUMBER(_xlfn.XLOOKUP($C183,Phone_by_Sentiment!$B$2:$B$37,Phone_by_Sentiment!H$2:H$37,"",0,1)),_xlfn.XLOOKUP($C183,Phone_by_Sentiment!$B$2:$B$37,Phone_by_Sentiment!H$2:H$37,"",0,1),0),$A183-TEXT(DATEVALUE($D183&amp;"-01"), "dd-mm-yyyy")),0),0)</f>
        <v>0</v>
      </c>
      <c r="I183" cm="1">
        <f t="array" ref="I183">IF($Q183&gt;=0,IFERROR(generateSalesData($D183, IF(ISNUMBER(_xlfn.XLOOKUP($C183,Phone_by_Sentiment!$B$2:$B$37,Phone_by_Sentiment!I$2:I$37,"",0,1)),_xlfn.XLOOKUP($C183,Phone_by_Sentiment!$B$2:$B$37,Phone_by_Sentiment!I$2:I$37,"",0,1),0),$A183-TEXT(DATEVALUE($D183&amp;"-01"), "dd-mm-yyyy")),0),0)</f>
        <v>0</v>
      </c>
      <c r="J183" cm="1">
        <f t="array" ref="J183">IF($Q183&gt;=0,IFERROR(generateSalesData($D183, IF(ISNUMBER(_xlfn.XLOOKUP($C183,Phone_by_Sentiment!$B$2:$B$37,Phone_by_Sentiment!J$2:J$37,"",0,1)),_xlfn.XLOOKUP($C183,Phone_by_Sentiment!$B$2:$B$37,Phone_by_Sentiment!J$2:J$37,"",0,1),0),$A183-TEXT(DATEVALUE($D183&amp;"-01"), "dd-mm-yyyy")),0),0)</f>
        <v>0</v>
      </c>
      <c r="K183" cm="1">
        <f t="array" ref="K183">IF($Q183&gt;=0,IFERROR(generateSalesData($D183, IF(ISNUMBER(_xlfn.XLOOKUP($C183,Phone_by_Sentiment!$B$2:$B$37,Phone_by_Sentiment!K$2:K$37,"",0,1)),_xlfn.XLOOKUP($C183,Phone_by_Sentiment!$B$2:$B$37,Phone_by_Sentiment!K$2:K$37,"",0,1),0),$A183-TEXT(DATEVALUE($D183&amp;"-01"), "dd-mm-yyyy")),0),0)</f>
        <v>0</v>
      </c>
      <c r="L183" cm="1">
        <f t="array" ref="L183">IF($Q183&gt;=0,IFERROR(generateSalesData($D183, IF(ISNUMBER(_xlfn.XLOOKUP($C183,Phone_by_Sentiment!$B$2:$B$37,Phone_by_Sentiment!L$2:L$37,"",0,1)),_xlfn.XLOOKUP($C183,Phone_by_Sentiment!$B$2:$B$37,Phone_by_Sentiment!L$2:L$37,"",0,1),0),$A183-TEXT(DATEVALUE($D183&amp;"-01"), "dd-mm-yyyy")),0),0)</f>
        <v>0</v>
      </c>
      <c r="M183" cm="1">
        <f t="array" ref="M183">IF($Q183&gt;=0,IFERROR(generateSalesData($D183, IF(ISNUMBER(_xlfn.XLOOKUP($C183,Phone_by_Sentiment!$B$2:$B$37,Phone_by_Sentiment!M$2:M$37,"",0,1)),_xlfn.XLOOKUP($C183,Phone_by_Sentiment!$B$2:$B$37,Phone_by_Sentiment!M$2:M$37,"",0,1),0),$A183-TEXT(DATEVALUE($D183&amp;"-01"), "dd-mm-yyyy")),0),0)</f>
        <v>0</v>
      </c>
      <c r="N183" cm="1">
        <f t="array" ref="N183">IF($Q183&gt;=0,IFERROR(generateSalesData($D183, IF(ISNUMBER(_xlfn.XLOOKUP($C183,Phone_by_Sentiment!$B$2:$B$37,Phone_by_Sentiment!N$2:N$37,"",0,1)),_xlfn.XLOOKUP($C183,Phone_by_Sentiment!$B$2:$B$37,Phone_by_Sentiment!N$2:N$37,"",0,1),0),$A183-TEXT(DATEVALUE($D183&amp;"-01"), "dd-mm-yyyy")),0),0)</f>
        <v>0</v>
      </c>
      <c r="O183" cm="1">
        <f t="array" ref="O183">IF($Q183&gt;=0,IFERROR(generateSalesData($D183, IF(ISNUMBER(_xlfn.XLOOKUP($C183,Phone_by_Sentiment!$B$2:$B$37,Phone_by_Sentiment!O$2:O$37,"",0,1)),_xlfn.XLOOKUP($C183,Phone_by_Sentiment!$B$2:$B$37,Phone_by_Sentiment!O$2:O$37,"",0,1),0),$A183-TEXT(DATEVALUE($D183&amp;"-01"), "dd-mm-yyyy")),0),0)</f>
        <v>0</v>
      </c>
      <c r="P183" s="1">
        <f t="shared" si="5"/>
        <v>44440</v>
      </c>
      <c r="Q183">
        <f t="shared" si="6"/>
        <v>-823</v>
      </c>
    </row>
    <row r="184" spans="1:17" x14ac:dyDescent="0.25">
      <c r="A184" s="1">
        <f t="shared" si="0"/>
        <v>43617</v>
      </c>
      <c r="B184" t="s">
        <v>158</v>
      </c>
      <c r="C184" t="str">
        <f>_xlfn.XLOOKUP(B184,Phone_by_Price!$A$2:$A$34,Phone_by_Price!$B$2:$B$34,"-",0,1)</f>
        <v>Samsung Galaxy A32 5G</v>
      </c>
      <c r="D184" t="str">
        <f>_xlfn.XLOOKUP(C184,Phone_by_Sentiment!$B$2:$B$37,Phone_by_Sentiment!$A$2:$A$37,"-",0,1)</f>
        <v>2021-02</v>
      </c>
      <c r="E184" cm="1">
        <f t="array" ref="E184">IF($Q184&gt;=0,IFERROR(generateSalesData($D184, IF(ISNUMBER(_xlfn.XLOOKUP($C184,Phone_by_Sentiment!$B$2:$B$37,Phone_by_Sentiment!E$2:E$37,"",0,1)),_xlfn.XLOOKUP($C184,Phone_by_Sentiment!$B$2:$B$37,Phone_by_Sentiment!E$2:E$37,"",0,1),0),$A184-TEXT(DATEVALUE($D184&amp;"-01"), "dd-mm-yyyy")),0),0)</f>
        <v>0</v>
      </c>
      <c r="F184" cm="1">
        <f t="array" ref="F184">IF($Q184&gt;=0,IFERROR(generateSalesData($D184, IF(ISNUMBER(_xlfn.XLOOKUP($C184,Phone_by_Sentiment!$B$2:$B$37,Phone_by_Sentiment!F$2:F$37,"",0,1)),_xlfn.XLOOKUP($C184,Phone_by_Sentiment!$B$2:$B$37,Phone_by_Sentiment!F$2:F$37,"",0,1),0),$A184-TEXT(DATEVALUE($D184&amp;"-01"), "dd-mm-yyyy")),0),0)</f>
        <v>0</v>
      </c>
      <c r="G184" cm="1">
        <f t="array" ref="G184">IF($Q184&gt;=0,IFERROR(generateSalesData($D184, IF(ISNUMBER(_xlfn.XLOOKUP($C184,Phone_by_Sentiment!$B$2:$B$37,Phone_by_Sentiment!G$2:G$37,"",0,1)),_xlfn.XLOOKUP($C184,Phone_by_Sentiment!$B$2:$B$37,Phone_by_Sentiment!G$2:G$37,"",0,1),0),$A184-TEXT(DATEVALUE($D184&amp;"-01"), "dd-mm-yyyy")),0),0)</f>
        <v>0</v>
      </c>
      <c r="H184" cm="1">
        <f t="array" ref="H184">IF($Q184&gt;=0,IFERROR(generateSalesData($D184, IF(ISNUMBER(_xlfn.XLOOKUP($C184,Phone_by_Sentiment!$B$2:$B$37,Phone_by_Sentiment!H$2:H$37,"",0,1)),_xlfn.XLOOKUP($C184,Phone_by_Sentiment!$B$2:$B$37,Phone_by_Sentiment!H$2:H$37,"",0,1),0),$A184-TEXT(DATEVALUE($D184&amp;"-01"), "dd-mm-yyyy")),0),0)</f>
        <v>0</v>
      </c>
      <c r="I184" cm="1">
        <f t="array" ref="I184">IF($Q184&gt;=0,IFERROR(generateSalesData($D184, IF(ISNUMBER(_xlfn.XLOOKUP($C184,Phone_by_Sentiment!$B$2:$B$37,Phone_by_Sentiment!I$2:I$37,"",0,1)),_xlfn.XLOOKUP($C184,Phone_by_Sentiment!$B$2:$B$37,Phone_by_Sentiment!I$2:I$37,"",0,1),0),$A184-TEXT(DATEVALUE($D184&amp;"-01"), "dd-mm-yyyy")),0),0)</f>
        <v>0</v>
      </c>
      <c r="J184" cm="1">
        <f t="array" ref="J184">IF($Q184&gt;=0,IFERROR(generateSalesData($D184, IF(ISNUMBER(_xlfn.XLOOKUP($C184,Phone_by_Sentiment!$B$2:$B$37,Phone_by_Sentiment!J$2:J$37,"",0,1)),_xlfn.XLOOKUP($C184,Phone_by_Sentiment!$B$2:$B$37,Phone_by_Sentiment!J$2:J$37,"",0,1),0),$A184-TEXT(DATEVALUE($D184&amp;"-01"), "dd-mm-yyyy")),0),0)</f>
        <v>0</v>
      </c>
      <c r="K184" cm="1">
        <f t="array" ref="K184">IF($Q184&gt;=0,IFERROR(generateSalesData($D184, IF(ISNUMBER(_xlfn.XLOOKUP($C184,Phone_by_Sentiment!$B$2:$B$37,Phone_by_Sentiment!K$2:K$37,"",0,1)),_xlfn.XLOOKUP($C184,Phone_by_Sentiment!$B$2:$B$37,Phone_by_Sentiment!K$2:K$37,"",0,1),0),$A184-TEXT(DATEVALUE($D184&amp;"-01"), "dd-mm-yyyy")),0),0)</f>
        <v>0</v>
      </c>
      <c r="L184" cm="1">
        <f t="array" ref="L184">IF($Q184&gt;=0,IFERROR(generateSalesData($D184, IF(ISNUMBER(_xlfn.XLOOKUP($C184,Phone_by_Sentiment!$B$2:$B$37,Phone_by_Sentiment!L$2:L$37,"",0,1)),_xlfn.XLOOKUP($C184,Phone_by_Sentiment!$B$2:$B$37,Phone_by_Sentiment!L$2:L$37,"",0,1),0),$A184-TEXT(DATEVALUE($D184&amp;"-01"), "dd-mm-yyyy")),0),0)</f>
        <v>0</v>
      </c>
      <c r="M184" cm="1">
        <f t="array" ref="M184">IF($Q184&gt;=0,IFERROR(generateSalesData($D184, IF(ISNUMBER(_xlfn.XLOOKUP($C184,Phone_by_Sentiment!$B$2:$B$37,Phone_by_Sentiment!M$2:M$37,"",0,1)),_xlfn.XLOOKUP($C184,Phone_by_Sentiment!$B$2:$B$37,Phone_by_Sentiment!M$2:M$37,"",0,1),0),$A184-TEXT(DATEVALUE($D184&amp;"-01"), "dd-mm-yyyy")),0),0)</f>
        <v>0</v>
      </c>
      <c r="N184" cm="1">
        <f t="array" ref="N184">IF($Q184&gt;=0,IFERROR(generateSalesData($D184, IF(ISNUMBER(_xlfn.XLOOKUP($C184,Phone_by_Sentiment!$B$2:$B$37,Phone_by_Sentiment!N$2:N$37,"",0,1)),_xlfn.XLOOKUP($C184,Phone_by_Sentiment!$B$2:$B$37,Phone_by_Sentiment!N$2:N$37,"",0,1),0),$A184-TEXT(DATEVALUE($D184&amp;"-01"), "dd-mm-yyyy")),0),0)</f>
        <v>0</v>
      </c>
      <c r="O184" cm="1">
        <f t="array" ref="O184">IF($Q184&gt;=0,IFERROR(generateSalesData($D184, IF(ISNUMBER(_xlfn.XLOOKUP($C184,Phone_by_Sentiment!$B$2:$B$37,Phone_by_Sentiment!O$2:O$37,"",0,1)),_xlfn.XLOOKUP($C184,Phone_by_Sentiment!$B$2:$B$37,Phone_by_Sentiment!O$2:O$37,"",0,1),0),$A184-TEXT(DATEVALUE($D184&amp;"-01"), "dd-mm-yyyy")),0),0)</f>
        <v>0</v>
      </c>
      <c r="P184" s="1">
        <f t="shared" si="5"/>
        <v>44228</v>
      </c>
      <c r="Q184">
        <f t="shared" si="6"/>
        <v>-611</v>
      </c>
    </row>
    <row r="185" spans="1:17" x14ac:dyDescent="0.25">
      <c r="A185" s="1">
        <f t="shared" si="0"/>
        <v>43617</v>
      </c>
      <c r="B185" t="s">
        <v>159</v>
      </c>
      <c r="C185" t="str">
        <f>_xlfn.XLOOKUP(B185,Phone_by_Price!$A$2:$A$34,Phone_by_Price!$B$2:$B$34,"-",0,1)</f>
        <v>Realme C25</v>
      </c>
      <c r="D185" t="str">
        <f>_xlfn.XLOOKUP(C185,Phone_by_Sentiment!$B$2:$B$37,Phone_by_Sentiment!$A$2:$A$37,"-",0,1)</f>
        <v>2021-03</v>
      </c>
      <c r="E185" cm="1">
        <f t="array" ref="E185">IF($Q185&gt;=0,IFERROR(generateSalesData($D185, IF(ISNUMBER(_xlfn.XLOOKUP($C185,Phone_by_Sentiment!$B$2:$B$37,Phone_by_Sentiment!E$2:E$37,"",0,1)),_xlfn.XLOOKUP($C185,Phone_by_Sentiment!$B$2:$B$37,Phone_by_Sentiment!E$2:E$37,"",0,1),0),$A185-TEXT(DATEVALUE($D185&amp;"-01"), "dd-mm-yyyy")),0),0)</f>
        <v>0</v>
      </c>
      <c r="F185" cm="1">
        <f t="array" ref="F185">IF($Q185&gt;=0,IFERROR(generateSalesData($D185, IF(ISNUMBER(_xlfn.XLOOKUP($C185,Phone_by_Sentiment!$B$2:$B$37,Phone_by_Sentiment!F$2:F$37,"",0,1)),_xlfn.XLOOKUP($C185,Phone_by_Sentiment!$B$2:$B$37,Phone_by_Sentiment!F$2:F$37,"",0,1),0),$A185-TEXT(DATEVALUE($D185&amp;"-01"), "dd-mm-yyyy")),0),0)</f>
        <v>0</v>
      </c>
      <c r="G185" cm="1">
        <f t="array" ref="G185">IF($Q185&gt;=0,IFERROR(generateSalesData($D185, IF(ISNUMBER(_xlfn.XLOOKUP($C185,Phone_by_Sentiment!$B$2:$B$37,Phone_by_Sentiment!G$2:G$37,"",0,1)),_xlfn.XLOOKUP($C185,Phone_by_Sentiment!$B$2:$B$37,Phone_by_Sentiment!G$2:G$37,"",0,1),0),$A185-TEXT(DATEVALUE($D185&amp;"-01"), "dd-mm-yyyy")),0),0)</f>
        <v>0</v>
      </c>
      <c r="H185" cm="1">
        <f t="array" ref="H185">IF($Q185&gt;=0,IFERROR(generateSalesData($D185, IF(ISNUMBER(_xlfn.XLOOKUP($C185,Phone_by_Sentiment!$B$2:$B$37,Phone_by_Sentiment!H$2:H$37,"",0,1)),_xlfn.XLOOKUP($C185,Phone_by_Sentiment!$B$2:$B$37,Phone_by_Sentiment!H$2:H$37,"",0,1),0),$A185-TEXT(DATEVALUE($D185&amp;"-01"), "dd-mm-yyyy")),0),0)</f>
        <v>0</v>
      </c>
      <c r="I185" cm="1">
        <f t="array" ref="I185">IF($Q185&gt;=0,IFERROR(generateSalesData($D185, IF(ISNUMBER(_xlfn.XLOOKUP($C185,Phone_by_Sentiment!$B$2:$B$37,Phone_by_Sentiment!I$2:I$37,"",0,1)),_xlfn.XLOOKUP($C185,Phone_by_Sentiment!$B$2:$B$37,Phone_by_Sentiment!I$2:I$37,"",0,1),0),$A185-TEXT(DATEVALUE($D185&amp;"-01"), "dd-mm-yyyy")),0),0)</f>
        <v>0</v>
      </c>
      <c r="J185" cm="1">
        <f t="array" ref="J185">IF($Q185&gt;=0,IFERROR(generateSalesData($D185, IF(ISNUMBER(_xlfn.XLOOKUP($C185,Phone_by_Sentiment!$B$2:$B$37,Phone_by_Sentiment!J$2:J$37,"",0,1)),_xlfn.XLOOKUP($C185,Phone_by_Sentiment!$B$2:$B$37,Phone_by_Sentiment!J$2:J$37,"",0,1),0),$A185-TEXT(DATEVALUE($D185&amp;"-01"), "dd-mm-yyyy")),0),0)</f>
        <v>0</v>
      </c>
      <c r="K185" cm="1">
        <f t="array" ref="K185">IF($Q185&gt;=0,IFERROR(generateSalesData($D185, IF(ISNUMBER(_xlfn.XLOOKUP($C185,Phone_by_Sentiment!$B$2:$B$37,Phone_by_Sentiment!K$2:K$37,"",0,1)),_xlfn.XLOOKUP($C185,Phone_by_Sentiment!$B$2:$B$37,Phone_by_Sentiment!K$2:K$37,"",0,1),0),$A185-TEXT(DATEVALUE($D185&amp;"-01"), "dd-mm-yyyy")),0),0)</f>
        <v>0</v>
      </c>
      <c r="L185" cm="1">
        <f t="array" ref="L185">IF($Q185&gt;=0,IFERROR(generateSalesData($D185, IF(ISNUMBER(_xlfn.XLOOKUP($C185,Phone_by_Sentiment!$B$2:$B$37,Phone_by_Sentiment!L$2:L$37,"",0,1)),_xlfn.XLOOKUP($C185,Phone_by_Sentiment!$B$2:$B$37,Phone_by_Sentiment!L$2:L$37,"",0,1),0),$A185-TEXT(DATEVALUE($D185&amp;"-01"), "dd-mm-yyyy")),0),0)</f>
        <v>0</v>
      </c>
      <c r="M185" cm="1">
        <f t="array" ref="M185">IF($Q185&gt;=0,IFERROR(generateSalesData($D185, IF(ISNUMBER(_xlfn.XLOOKUP($C185,Phone_by_Sentiment!$B$2:$B$37,Phone_by_Sentiment!M$2:M$37,"",0,1)),_xlfn.XLOOKUP($C185,Phone_by_Sentiment!$B$2:$B$37,Phone_by_Sentiment!M$2:M$37,"",0,1),0),$A185-TEXT(DATEVALUE($D185&amp;"-01"), "dd-mm-yyyy")),0),0)</f>
        <v>0</v>
      </c>
      <c r="N185" cm="1">
        <f t="array" ref="N185">IF($Q185&gt;=0,IFERROR(generateSalesData($D185, IF(ISNUMBER(_xlfn.XLOOKUP($C185,Phone_by_Sentiment!$B$2:$B$37,Phone_by_Sentiment!N$2:N$37,"",0,1)),_xlfn.XLOOKUP($C185,Phone_by_Sentiment!$B$2:$B$37,Phone_by_Sentiment!N$2:N$37,"",0,1),0),$A185-TEXT(DATEVALUE($D185&amp;"-01"), "dd-mm-yyyy")),0),0)</f>
        <v>0</v>
      </c>
      <c r="O185" cm="1">
        <f t="array" ref="O185">IF($Q185&gt;=0,IFERROR(generateSalesData($D185, IF(ISNUMBER(_xlfn.XLOOKUP($C185,Phone_by_Sentiment!$B$2:$B$37,Phone_by_Sentiment!O$2:O$37,"",0,1)),_xlfn.XLOOKUP($C185,Phone_by_Sentiment!$B$2:$B$37,Phone_by_Sentiment!O$2:O$37,"",0,1),0),$A185-TEXT(DATEVALUE($D185&amp;"-01"), "dd-mm-yyyy")),0),0)</f>
        <v>0</v>
      </c>
      <c r="P185" s="1">
        <f t="shared" si="5"/>
        <v>44256</v>
      </c>
      <c r="Q185">
        <f t="shared" si="6"/>
        <v>-639</v>
      </c>
    </row>
    <row r="186" spans="1:17" x14ac:dyDescent="0.25">
      <c r="A186" s="1">
        <f t="shared" si="0"/>
        <v>43617</v>
      </c>
      <c r="B186" t="s">
        <v>160</v>
      </c>
      <c r="C186" t="str">
        <f>_xlfn.XLOOKUP(B186,Phone_by_Price!$A$2:$A$34,Phone_by_Price!$B$2:$B$34,"-",0,1)</f>
        <v>Xiaomi Poco X3 Pro</v>
      </c>
      <c r="D186" t="str">
        <f>_xlfn.XLOOKUP(C186,Phone_by_Sentiment!$B$2:$B$37,Phone_by_Sentiment!$A$2:$A$37,"-",0,1)</f>
        <v>2021-05</v>
      </c>
      <c r="E186" cm="1">
        <f t="array" ref="E186">IF($Q186&gt;=0,IFERROR(generateSalesData($D186, IF(ISNUMBER(_xlfn.XLOOKUP($C186,Phone_by_Sentiment!$B$2:$B$37,Phone_by_Sentiment!E$2:E$37,"",0,1)),_xlfn.XLOOKUP($C186,Phone_by_Sentiment!$B$2:$B$37,Phone_by_Sentiment!E$2:E$37,"",0,1),0),$A186-TEXT(DATEVALUE($D186&amp;"-01"), "dd-mm-yyyy")),0),0)</f>
        <v>0</v>
      </c>
      <c r="F186" cm="1">
        <f t="array" ref="F186">IF($Q186&gt;=0,IFERROR(generateSalesData($D186, IF(ISNUMBER(_xlfn.XLOOKUP($C186,Phone_by_Sentiment!$B$2:$B$37,Phone_by_Sentiment!F$2:F$37,"",0,1)),_xlfn.XLOOKUP($C186,Phone_by_Sentiment!$B$2:$B$37,Phone_by_Sentiment!F$2:F$37,"",0,1),0),$A186-TEXT(DATEVALUE($D186&amp;"-01"), "dd-mm-yyyy")),0),0)</f>
        <v>0</v>
      </c>
      <c r="G186" cm="1">
        <f t="array" ref="G186">IF($Q186&gt;=0,IFERROR(generateSalesData($D186, IF(ISNUMBER(_xlfn.XLOOKUP($C186,Phone_by_Sentiment!$B$2:$B$37,Phone_by_Sentiment!G$2:G$37,"",0,1)),_xlfn.XLOOKUP($C186,Phone_by_Sentiment!$B$2:$B$37,Phone_by_Sentiment!G$2:G$37,"",0,1),0),$A186-TEXT(DATEVALUE($D186&amp;"-01"), "dd-mm-yyyy")),0),0)</f>
        <v>0</v>
      </c>
      <c r="H186" cm="1">
        <f t="array" ref="H186">IF($Q186&gt;=0,IFERROR(generateSalesData($D186, IF(ISNUMBER(_xlfn.XLOOKUP($C186,Phone_by_Sentiment!$B$2:$B$37,Phone_by_Sentiment!H$2:H$37,"",0,1)),_xlfn.XLOOKUP($C186,Phone_by_Sentiment!$B$2:$B$37,Phone_by_Sentiment!H$2:H$37,"",0,1),0),$A186-TEXT(DATEVALUE($D186&amp;"-01"), "dd-mm-yyyy")),0),0)</f>
        <v>0</v>
      </c>
      <c r="I186" cm="1">
        <f t="array" ref="I186">IF($Q186&gt;=0,IFERROR(generateSalesData($D186, IF(ISNUMBER(_xlfn.XLOOKUP($C186,Phone_by_Sentiment!$B$2:$B$37,Phone_by_Sentiment!I$2:I$37,"",0,1)),_xlfn.XLOOKUP($C186,Phone_by_Sentiment!$B$2:$B$37,Phone_by_Sentiment!I$2:I$37,"",0,1),0),$A186-TEXT(DATEVALUE($D186&amp;"-01"), "dd-mm-yyyy")),0),0)</f>
        <v>0</v>
      </c>
      <c r="J186" cm="1">
        <f t="array" ref="J186">IF($Q186&gt;=0,IFERROR(generateSalesData($D186, IF(ISNUMBER(_xlfn.XLOOKUP($C186,Phone_by_Sentiment!$B$2:$B$37,Phone_by_Sentiment!J$2:J$37,"",0,1)),_xlfn.XLOOKUP($C186,Phone_by_Sentiment!$B$2:$B$37,Phone_by_Sentiment!J$2:J$37,"",0,1),0),$A186-TEXT(DATEVALUE($D186&amp;"-01"), "dd-mm-yyyy")),0),0)</f>
        <v>0</v>
      </c>
      <c r="K186" cm="1">
        <f t="array" ref="K186">IF($Q186&gt;=0,IFERROR(generateSalesData($D186, IF(ISNUMBER(_xlfn.XLOOKUP($C186,Phone_by_Sentiment!$B$2:$B$37,Phone_by_Sentiment!K$2:K$37,"",0,1)),_xlfn.XLOOKUP($C186,Phone_by_Sentiment!$B$2:$B$37,Phone_by_Sentiment!K$2:K$37,"",0,1),0),$A186-TEXT(DATEVALUE($D186&amp;"-01"), "dd-mm-yyyy")),0),0)</f>
        <v>0</v>
      </c>
      <c r="L186" cm="1">
        <f t="array" ref="L186">IF($Q186&gt;=0,IFERROR(generateSalesData($D186, IF(ISNUMBER(_xlfn.XLOOKUP($C186,Phone_by_Sentiment!$B$2:$B$37,Phone_by_Sentiment!L$2:L$37,"",0,1)),_xlfn.XLOOKUP($C186,Phone_by_Sentiment!$B$2:$B$37,Phone_by_Sentiment!L$2:L$37,"",0,1),0),$A186-TEXT(DATEVALUE($D186&amp;"-01"), "dd-mm-yyyy")),0),0)</f>
        <v>0</v>
      </c>
      <c r="M186" cm="1">
        <f t="array" ref="M186">IF($Q186&gt;=0,IFERROR(generateSalesData($D186, IF(ISNUMBER(_xlfn.XLOOKUP($C186,Phone_by_Sentiment!$B$2:$B$37,Phone_by_Sentiment!M$2:M$37,"",0,1)),_xlfn.XLOOKUP($C186,Phone_by_Sentiment!$B$2:$B$37,Phone_by_Sentiment!M$2:M$37,"",0,1),0),$A186-TEXT(DATEVALUE($D186&amp;"-01"), "dd-mm-yyyy")),0),0)</f>
        <v>0</v>
      </c>
      <c r="N186" cm="1">
        <f t="array" ref="N186">IF($Q186&gt;=0,IFERROR(generateSalesData($D186, IF(ISNUMBER(_xlfn.XLOOKUP($C186,Phone_by_Sentiment!$B$2:$B$37,Phone_by_Sentiment!N$2:N$37,"",0,1)),_xlfn.XLOOKUP($C186,Phone_by_Sentiment!$B$2:$B$37,Phone_by_Sentiment!N$2:N$37,"",0,1),0),$A186-TEXT(DATEVALUE($D186&amp;"-01"), "dd-mm-yyyy")),0),0)</f>
        <v>0</v>
      </c>
      <c r="O186" cm="1">
        <f t="array" ref="O186">IF($Q186&gt;=0,IFERROR(generateSalesData($D186, IF(ISNUMBER(_xlfn.XLOOKUP($C186,Phone_by_Sentiment!$B$2:$B$37,Phone_by_Sentiment!O$2:O$37,"",0,1)),_xlfn.XLOOKUP($C186,Phone_by_Sentiment!$B$2:$B$37,Phone_by_Sentiment!O$2:O$37,"",0,1),0),$A186-TEXT(DATEVALUE($D186&amp;"-01"), "dd-mm-yyyy")),0),0)</f>
        <v>0</v>
      </c>
      <c r="P186" s="1">
        <f t="shared" si="5"/>
        <v>44317</v>
      </c>
      <c r="Q186">
        <f t="shared" si="6"/>
        <v>-700</v>
      </c>
    </row>
    <row r="187" spans="1:17" x14ac:dyDescent="0.25">
      <c r="A187" s="1">
        <f t="shared" si="0"/>
        <v>43617</v>
      </c>
      <c r="B187" t="s">
        <v>161</v>
      </c>
      <c r="C187" t="str">
        <f>_xlfn.XLOOKUP(B187,Phone_by_Price!$A$2:$A$34,Phone_by_Price!$B$2:$B$34,"-",0,1)</f>
        <v>Samsung Galaxy Z Flip 3</v>
      </c>
      <c r="D187" t="str">
        <f>_xlfn.XLOOKUP(C187,Phone_by_Sentiment!$B$2:$B$37,Phone_by_Sentiment!$A$2:$A$37,"-",0,1)</f>
        <v>2021-09</v>
      </c>
      <c r="E187" cm="1">
        <f t="array" ref="E187">IF($Q187&gt;=0,IFERROR(generateSalesData($D187, IF(ISNUMBER(_xlfn.XLOOKUP($C187,Phone_by_Sentiment!$B$2:$B$37,Phone_by_Sentiment!E$2:E$37,"",0,1)),_xlfn.XLOOKUP($C187,Phone_by_Sentiment!$B$2:$B$37,Phone_by_Sentiment!E$2:E$37,"",0,1),0),$A187-TEXT(DATEVALUE($D187&amp;"-01"), "dd-mm-yyyy")),0),0)</f>
        <v>0</v>
      </c>
      <c r="F187" cm="1">
        <f t="array" ref="F187">IF($Q187&gt;=0,IFERROR(generateSalesData($D187, IF(ISNUMBER(_xlfn.XLOOKUP($C187,Phone_by_Sentiment!$B$2:$B$37,Phone_by_Sentiment!F$2:F$37,"",0,1)),_xlfn.XLOOKUP($C187,Phone_by_Sentiment!$B$2:$B$37,Phone_by_Sentiment!F$2:F$37,"",0,1),0),$A187-TEXT(DATEVALUE($D187&amp;"-01"), "dd-mm-yyyy")),0),0)</f>
        <v>0</v>
      </c>
      <c r="G187" cm="1">
        <f t="array" ref="G187">IF($Q187&gt;=0,IFERROR(generateSalesData($D187, IF(ISNUMBER(_xlfn.XLOOKUP($C187,Phone_by_Sentiment!$B$2:$B$37,Phone_by_Sentiment!G$2:G$37,"",0,1)),_xlfn.XLOOKUP($C187,Phone_by_Sentiment!$B$2:$B$37,Phone_by_Sentiment!G$2:G$37,"",0,1),0),$A187-TEXT(DATEVALUE($D187&amp;"-01"), "dd-mm-yyyy")),0),0)</f>
        <v>0</v>
      </c>
      <c r="H187" cm="1">
        <f t="array" ref="H187">IF($Q187&gt;=0,IFERROR(generateSalesData($D187, IF(ISNUMBER(_xlfn.XLOOKUP($C187,Phone_by_Sentiment!$B$2:$B$37,Phone_by_Sentiment!H$2:H$37,"",0,1)),_xlfn.XLOOKUP($C187,Phone_by_Sentiment!$B$2:$B$37,Phone_by_Sentiment!H$2:H$37,"",0,1),0),$A187-TEXT(DATEVALUE($D187&amp;"-01"), "dd-mm-yyyy")),0),0)</f>
        <v>0</v>
      </c>
      <c r="I187" cm="1">
        <f t="array" ref="I187">IF($Q187&gt;=0,IFERROR(generateSalesData($D187, IF(ISNUMBER(_xlfn.XLOOKUP($C187,Phone_by_Sentiment!$B$2:$B$37,Phone_by_Sentiment!I$2:I$37,"",0,1)),_xlfn.XLOOKUP($C187,Phone_by_Sentiment!$B$2:$B$37,Phone_by_Sentiment!I$2:I$37,"",0,1),0),$A187-TEXT(DATEVALUE($D187&amp;"-01"), "dd-mm-yyyy")),0),0)</f>
        <v>0</v>
      </c>
      <c r="J187" cm="1">
        <f t="array" ref="J187">IF($Q187&gt;=0,IFERROR(generateSalesData($D187, IF(ISNUMBER(_xlfn.XLOOKUP($C187,Phone_by_Sentiment!$B$2:$B$37,Phone_by_Sentiment!J$2:J$37,"",0,1)),_xlfn.XLOOKUP($C187,Phone_by_Sentiment!$B$2:$B$37,Phone_by_Sentiment!J$2:J$37,"",0,1),0),$A187-TEXT(DATEVALUE($D187&amp;"-01"), "dd-mm-yyyy")),0),0)</f>
        <v>0</v>
      </c>
      <c r="K187" cm="1">
        <f t="array" ref="K187">IF($Q187&gt;=0,IFERROR(generateSalesData($D187, IF(ISNUMBER(_xlfn.XLOOKUP($C187,Phone_by_Sentiment!$B$2:$B$37,Phone_by_Sentiment!K$2:K$37,"",0,1)),_xlfn.XLOOKUP($C187,Phone_by_Sentiment!$B$2:$B$37,Phone_by_Sentiment!K$2:K$37,"",0,1),0),$A187-TEXT(DATEVALUE($D187&amp;"-01"), "dd-mm-yyyy")),0),0)</f>
        <v>0</v>
      </c>
      <c r="L187" cm="1">
        <f t="array" ref="L187">IF($Q187&gt;=0,IFERROR(generateSalesData($D187, IF(ISNUMBER(_xlfn.XLOOKUP($C187,Phone_by_Sentiment!$B$2:$B$37,Phone_by_Sentiment!L$2:L$37,"",0,1)),_xlfn.XLOOKUP($C187,Phone_by_Sentiment!$B$2:$B$37,Phone_by_Sentiment!L$2:L$37,"",0,1),0),$A187-TEXT(DATEVALUE($D187&amp;"-01"), "dd-mm-yyyy")),0),0)</f>
        <v>0</v>
      </c>
      <c r="M187" cm="1">
        <f t="array" ref="M187">IF($Q187&gt;=0,IFERROR(generateSalesData($D187, IF(ISNUMBER(_xlfn.XLOOKUP($C187,Phone_by_Sentiment!$B$2:$B$37,Phone_by_Sentiment!M$2:M$37,"",0,1)),_xlfn.XLOOKUP($C187,Phone_by_Sentiment!$B$2:$B$37,Phone_by_Sentiment!M$2:M$37,"",0,1),0),$A187-TEXT(DATEVALUE($D187&amp;"-01"), "dd-mm-yyyy")),0),0)</f>
        <v>0</v>
      </c>
      <c r="N187" cm="1">
        <f t="array" ref="N187">IF($Q187&gt;=0,IFERROR(generateSalesData($D187, IF(ISNUMBER(_xlfn.XLOOKUP($C187,Phone_by_Sentiment!$B$2:$B$37,Phone_by_Sentiment!N$2:N$37,"",0,1)),_xlfn.XLOOKUP($C187,Phone_by_Sentiment!$B$2:$B$37,Phone_by_Sentiment!N$2:N$37,"",0,1),0),$A187-TEXT(DATEVALUE($D187&amp;"-01"), "dd-mm-yyyy")),0),0)</f>
        <v>0</v>
      </c>
      <c r="O187" cm="1">
        <f t="array" ref="O187">IF($Q187&gt;=0,IFERROR(generateSalesData($D187, IF(ISNUMBER(_xlfn.XLOOKUP($C187,Phone_by_Sentiment!$B$2:$B$37,Phone_by_Sentiment!O$2:O$37,"",0,1)),_xlfn.XLOOKUP($C187,Phone_by_Sentiment!$B$2:$B$37,Phone_by_Sentiment!O$2:O$37,"",0,1),0),$A187-TEXT(DATEVALUE($D187&amp;"-01"), "dd-mm-yyyy")),0),0)</f>
        <v>0</v>
      </c>
      <c r="P187" s="1">
        <f t="shared" si="5"/>
        <v>44440</v>
      </c>
      <c r="Q187">
        <f t="shared" si="6"/>
        <v>-823</v>
      </c>
    </row>
    <row r="188" spans="1:17" x14ac:dyDescent="0.25">
      <c r="A188" s="1">
        <f t="shared" si="0"/>
        <v>43617</v>
      </c>
      <c r="B188" t="s">
        <v>162</v>
      </c>
      <c r="C188" t="str">
        <f>_xlfn.XLOOKUP(B188,Phone_by_Price!$A$2:$A$34,Phone_by_Price!$B$2:$B$34,"-",0,1)</f>
        <v>Xiaomi Poco X3 NFC</v>
      </c>
      <c r="D188" t="str">
        <f>_xlfn.XLOOKUP(C188,Phone_by_Sentiment!$B$2:$B$37,Phone_by_Sentiment!$A$2:$A$37,"-",0,1)</f>
        <v>2020-08</v>
      </c>
      <c r="E188" cm="1">
        <f t="array" ref="E188">IF($Q188&gt;=0,IFERROR(generateSalesData($D188, IF(ISNUMBER(_xlfn.XLOOKUP($C188,Phone_by_Sentiment!$B$2:$B$37,Phone_by_Sentiment!E$2:E$37,"",0,1)),_xlfn.XLOOKUP($C188,Phone_by_Sentiment!$B$2:$B$37,Phone_by_Sentiment!E$2:E$37,"",0,1),0),$A188-TEXT(DATEVALUE($D188&amp;"-01"), "dd-mm-yyyy")),0),0)</f>
        <v>0</v>
      </c>
      <c r="F188" cm="1">
        <f t="array" ref="F188">IF($Q188&gt;=0,IFERROR(generateSalesData($D188, IF(ISNUMBER(_xlfn.XLOOKUP($C188,Phone_by_Sentiment!$B$2:$B$37,Phone_by_Sentiment!F$2:F$37,"",0,1)),_xlfn.XLOOKUP($C188,Phone_by_Sentiment!$B$2:$B$37,Phone_by_Sentiment!F$2:F$37,"",0,1),0),$A188-TEXT(DATEVALUE($D188&amp;"-01"), "dd-mm-yyyy")),0),0)</f>
        <v>0</v>
      </c>
      <c r="G188" cm="1">
        <f t="array" ref="G188">IF($Q188&gt;=0,IFERROR(generateSalesData($D188, IF(ISNUMBER(_xlfn.XLOOKUP($C188,Phone_by_Sentiment!$B$2:$B$37,Phone_by_Sentiment!G$2:G$37,"",0,1)),_xlfn.XLOOKUP($C188,Phone_by_Sentiment!$B$2:$B$37,Phone_by_Sentiment!G$2:G$37,"",0,1),0),$A188-TEXT(DATEVALUE($D188&amp;"-01"), "dd-mm-yyyy")),0),0)</f>
        <v>0</v>
      </c>
      <c r="H188" cm="1">
        <f t="array" ref="H188">IF($Q188&gt;=0,IFERROR(generateSalesData($D188, IF(ISNUMBER(_xlfn.XLOOKUP($C188,Phone_by_Sentiment!$B$2:$B$37,Phone_by_Sentiment!H$2:H$37,"",0,1)),_xlfn.XLOOKUP($C188,Phone_by_Sentiment!$B$2:$B$37,Phone_by_Sentiment!H$2:H$37,"",0,1),0),$A188-TEXT(DATEVALUE($D188&amp;"-01"), "dd-mm-yyyy")),0),0)</f>
        <v>0</v>
      </c>
      <c r="I188" cm="1">
        <f t="array" ref="I188">IF($Q188&gt;=0,IFERROR(generateSalesData($D188, IF(ISNUMBER(_xlfn.XLOOKUP($C188,Phone_by_Sentiment!$B$2:$B$37,Phone_by_Sentiment!I$2:I$37,"",0,1)),_xlfn.XLOOKUP($C188,Phone_by_Sentiment!$B$2:$B$37,Phone_by_Sentiment!I$2:I$37,"",0,1),0),$A188-TEXT(DATEVALUE($D188&amp;"-01"), "dd-mm-yyyy")),0),0)</f>
        <v>0</v>
      </c>
      <c r="J188" cm="1">
        <f t="array" ref="J188">IF($Q188&gt;=0,IFERROR(generateSalesData($D188, IF(ISNUMBER(_xlfn.XLOOKUP($C188,Phone_by_Sentiment!$B$2:$B$37,Phone_by_Sentiment!J$2:J$37,"",0,1)),_xlfn.XLOOKUP($C188,Phone_by_Sentiment!$B$2:$B$37,Phone_by_Sentiment!J$2:J$37,"",0,1),0),$A188-TEXT(DATEVALUE($D188&amp;"-01"), "dd-mm-yyyy")),0),0)</f>
        <v>0</v>
      </c>
      <c r="K188" cm="1">
        <f t="array" ref="K188">IF($Q188&gt;=0,IFERROR(generateSalesData($D188, IF(ISNUMBER(_xlfn.XLOOKUP($C188,Phone_by_Sentiment!$B$2:$B$37,Phone_by_Sentiment!K$2:K$37,"",0,1)),_xlfn.XLOOKUP($C188,Phone_by_Sentiment!$B$2:$B$37,Phone_by_Sentiment!K$2:K$37,"",0,1),0),$A188-TEXT(DATEVALUE($D188&amp;"-01"), "dd-mm-yyyy")),0),0)</f>
        <v>0</v>
      </c>
      <c r="L188" cm="1">
        <f t="array" ref="L188">IF($Q188&gt;=0,IFERROR(generateSalesData($D188, IF(ISNUMBER(_xlfn.XLOOKUP($C188,Phone_by_Sentiment!$B$2:$B$37,Phone_by_Sentiment!L$2:L$37,"",0,1)),_xlfn.XLOOKUP($C188,Phone_by_Sentiment!$B$2:$B$37,Phone_by_Sentiment!L$2:L$37,"",0,1),0),$A188-TEXT(DATEVALUE($D188&amp;"-01"), "dd-mm-yyyy")),0),0)</f>
        <v>0</v>
      </c>
      <c r="M188" cm="1">
        <f t="array" ref="M188">IF($Q188&gt;=0,IFERROR(generateSalesData($D188, IF(ISNUMBER(_xlfn.XLOOKUP($C188,Phone_by_Sentiment!$B$2:$B$37,Phone_by_Sentiment!M$2:M$37,"",0,1)),_xlfn.XLOOKUP($C188,Phone_by_Sentiment!$B$2:$B$37,Phone_by_Sentiment!M$2:M$37,"",0,1),0),$A188-TEXT(DATEVALUE($D188&amp;"-01"), "dd-mm-yyyy")),0),0)</f>
        <v>0</v>
      </c>
      <c r="N188" cm="1">
        <f t="array" ref="N188">IF($Q188&gt;=0,IFERROR(generateSalesData($D188, IF(ISNUMBER(_xlfn.XLOOKUP($C188,Phone_by_Sentiment!$B$2:$B$37,Phone_by_Sentiment!N$2:N$37,"",0,1)),_xlfn.XLOOKUP($C188,Phone_by_Sentiment!$B$2:$B$37,Phone_by_Sentiment!N$2:N$37,"",0,1),0),$A188-TEXT(DATEVALUE($D188&amp;"-01"), "dd-mm-yyyy")),0),0)</f>
        <v>0</v>
      </c>
      <c r="O188" cm="1">
        <f t="array" ref="O188">IF($Q188&gt;=0,IFERROR(generateSalesData($D188, IF(ISNUMBER(_xlfn.XLOOKUP($C188,Phone_by_Sentiment!$B$2:$B$37,Phone_by_Sentiment!O$2:O$37,"",0,1)),_xlfn.XLOOKUP($C188,Phone_by_Sentiment!$B$2:$B$37,Phone_by_Sentiment!O$2:O$37,"",0,1),0),$A188-TEXT(DATEVALUE($D188&amp;"-01"), "dd-mm-yyyy")),0),0)</f>
        <v>0</v>
      </c>
      <c r="P188" s="1">
        <f t="shared" si="5"/>
        <v>44044</v>
      </c>
      <c r="Q188">
        <f t="shared" si="6"/>
        <v>-427</v>
      </c>
    </row>
    <row r="189" spans="1:17" x14ac:dyDescent="0.25">
      <c r="A189" s="1">
        <f t="shared" si="0"/>
        <v>43617</v>
      </c>
      <c r="B189" t="s">
        <v>163</v>
      </c>
      <c r="C189" t="str">
        <f>_xlfn.XLOOKUP(B189,Phone_by_Price!$A$2:$A$34,Phone_by_Price!$B$2:$B$34,"-",0,1)</f>
        <v>OPPO A93</v>
      </c>
      <c r="D189" t="str">
        <f>_xlfn.XLOOKUP(C189,Phone_by_Sentiment!$B$2:$B$37,Phone_by_Sentiment!$A$2:$A$37,"-",0,1)</f>
        <v>2021-02</v>
      </c>
      <c r="E189" cm="1">
        <f t="array" ref="E189">IF($Q189&gt;=0,IFERROR(generateSalesData($D189, IF(ISNUMBER(_xlfn.XLOOKUP($C189,Phone_by_Sentiment!$B$2:$B$37,Phone_by_Sentiment!E$2:E$37,"",0,1)),_xlfn.XLOOKUP($C189,Phone_by_Sentiment!$B$2:$B$37,Phone_by_Sentiment!E$2:E$37,"",0,1),0),$A189-TEXT(DATEVALUE($D189&amp;"-01"), "dd-mm-yyyy")),0),0)</f>
        <v>0</v>
      </c>
      <c r="F189" cm="1">
        <f t="array" ref="F189">IF($Q189&gt;=0,IFERROR(generateSalesData($D189, IF(ISNUMBER(_xlfn.XLOOKUP($C189,Phone_by_Sentiment!$B$2:$B$37,Phone_by_Sentiment!F$2:F$37,"",0,1)),_xlfn.XLOOKUP($C189,Phone_by_Sentiment!$B$2:$B$37,Phone_by_Sentiment!F$2:F$37,"",0,1),0),$A189-TEXT(DATEVALUE($D189&amp;"-01"), "dd-mm-yyyy")),0),0)</f>
        <v>0</v>
      </c>
      <c r="G189" cm="1">
        <f t="array" ref="G189">IF($Q189&gt;=0,IFERROR(generateSalesData($D189, IF(ISNUMBER(_xlfn.XLOOKUP($C189,Phone_by_Sentiment!$B$2:$B$37,Phone_by_Sentiment!G$2:G$37,"",0,1)),_xlfn.XLOOKUP($C189,Phone_by_Sentiment!$B$2:$B$37,Phone_by_Sentiment!G$2:G$37,"",0,1),0),$A189-TEXT(DATEVALUE($D189&amp;"-01"), "dd-mm-yyyy")),0),0)</f>
        <v>0</v>
      </c>
      <c r="H189" cm="1">
        <f t="array" ref="H189">IF($Q189&gt;=0,IFERROR(generateSalesData($D189, IF(ISNUMBER(_xlfn.XLOOKUP($C189,Phone_by_Sentiment!$B$2:$B$37,Phone_by_Sentiment!H$2:H$37,"",0,1)),_xlfn.XLOOKUP($C189,Phone_by_Sentiment!$B$2:$B$37,Phone_by_Sentiment!H$2:H$37,"",0,1),0),$A189-TEXT(DATEVALUE($D189&amp;"-01"), "dd-mm-yyyy")),0),0)</f>
        <v>0</v>
      </c>
      <c r="I189" cm="1">
        <f t="array" ref="I189">IF($Q189&gt;=0,IFERROR(generateSalesData($D189, IF(ISNUMBER(_xlfn.XLOOKUP($C189,Phone_by_Sentiment!$B$2:$B$37,Phone_by_Sentiment!I$2:I$37,"",0,1)),_xlfn.XLOOKUP($C189,Phone_by_Sentiment!$B$2:$B$37,Phone_by_Sentiment!I$2:I$37,"",0,1),0),$A189-TEXT(DATEVALUE($D189&amp;"-01"), "dd-mm-yyyy")),0),0)</f>
        <v>0</v>
      </c>
      <c r="J189" cm="1">
        <f t="array" ref="J189">IF($Q189&gt;=0,IFERROR(generateSalesData($D189, IF(ISNUMBER(_xlfn.XLOOKUP($C189,Phone_by_Sentiment!$B$2:$B$37,Phone_by_Sentiment!J$2:J$37,"",0,1)),_xlfn.XLOOKUP($C189,Phone_by_Sentiment!$B$2:$B$37,Phone_by_Sentiment!J$2:J$37,"",0,1),0),$A189-TEXT(DATEVALUE($D189&amp;"-01"), "dd-mm-yyyy")),0),0)</f>
        <v>0</v>
      </c>
      <c r="K189" cm="1">
        <f t="array" ref="K189">IF($Q189&gt;=0,IFERROR(generateSalesData($D189, IF(ISNUMBER(_xlfn.XLOOKUP($C189,Phone_by_Sentiment!$B$2:$B$37,Phone_by_Sentiment!K$2:K$37,"",0,1)),_xlfn.XLOOKUP($C189,Phone_by_Sentiment!$B$2:$B$37,Phone_by_Sentiment!K$2:K$37,"",0,1),0),$A189-TEXT(DATEVALUE($D189&amp;"-01"), "dd-mm-yyyy")),0),0)</f>
        <v>0</v>
      </c>
      <c r="L189" cm="1">
        <f t="array" ref="L189">IF($Q189&gt;=0,IFERROR(generateSalesData($D189, IF(ISNUMBER(_xlfn.XLOOKUP($C189,Phone_by_Sentiment!$B$2:$B$37,Phone_by_Sentiment!L$2:L$37,"",0,1)),_xlfn.XLOOKUP($C189,Phone_by_Sentiment!$B$2:$B$37,Phone_by_Sentiment!L$2:L$37,"",0,1),0),$A189-TEXT(DATEVALUE($D189&amp;"-01"), "dd-mm-yyyy")),0),0)</f>
        <v>0</v>
      </c>
      <c r="M189" cm="1">
        <f t="array" ref="M189">IF($Q189&gt;=0,IFERROR(generateSalesData($D189, IF(ISNUMBER(_xlfn.XLOOKUP($C189,Phone_by_Sentiment!$B$2:$B$37,Phone_by_Sentiment!M$2:M$37,"",0,1)),_xlfn.XLOOKUP($C189,Phone_by_Sentiment!$B$2:$B$37,Phone_by_Sentiment!M$2:M$37,"",0,1),0),$A189-TEXT(DATEVALUE($D189&amp;"-01"), "dd-mm-yyyy")),0),0)</f>
        <v>0</v>
      </c>
      <c r="N189" cm="1">
        <f t="array" ref="N189">IF($Q189&gt;=0,IFERROR(generateSalesData($D189, IF(ISNUMBER(_xlfn.XLOOKUP($C189,Phone_by_Sentiment!$B$2:$B$37,Phone_by_Sentiment!N$2:N$37,"",0,1)),_xlfn.XLOOKUP($C189,Phone_by_Sentiment!$B$2:$B$37,Phone_by_Sentiment!N$2:N$37,"",0,1),0),$A189-TEXT(DATEVALUE($D189&amp;"-01"), "dd-mm-yyyy")),0),0)</f>
        <v>0</v>
      </c>
      <c r="O189" cm="1">
        <f t="array" ref="O189">IF($Q189&gt;=0,IFERROR(generateSalesData($D189, IF(ISNUMBER(_xlfn.XLOOKUP($C189,Phone_by_Sentiment!$B$2:$B$37,Phone_by_Sentiment!O$2:O$37,"",0,1)),_xlfn.XLOOKUP($C189,Phone_by_Sentiment!$B$2:$B$37,Phone_by_Sentiment!O$2:O$37,"",0,1),0),$A189-TEXT(DATEVALUE($D189&amp;"-01"), "dd-mm-yyyy")),0),0)</f>
        <v>0</v>
      </c>
      <c r="P189" s="1">
        <f t="shared" si="5"/>
        <v>44228</v>
      </c>
      <c r="Q189">
        <f t="shared" si="6"/>
        <v>-611</v>
      </c>
    </row>
    <row r="190" spans="1:17" x14ac:dyDescent="0.25">
      <c r="A190" s="1">
        <f t="shared" si="0"/>
        <v>43617</v>
      </c>
      <c r="B190" t="s">
        <v>164</v>
      </c>
      <c r="C190" t="str">
        <f>_xlfn.XLOOKUP(B190,Phone_by_Price!$A$2:$A$34,Phone_by_Price!$B$2:$B$34,"-",0,1)</f>
        <v>Vivo V20</v>
      </c>
      <c r="D190" t="str">
        <f>_xlfn.XLOOKUP(C190,Phone_by_Sentiment!$B$2:$B$37,Phone_by_Sentiment!$A$2:$A$37,"-",0,1)</f>
        <v>2020-10</v>
      </c>
      <c r="E190" cm="1">
        <f t="array" ref="E190">IF($Q190&gt;=0,IFERROR(generateSalesData($D190, IF(ISNUMBER(_xlfn.XLOOKUP($C190,Phone_by_Sentiment!$B$2:$B$37,Phone_by_Sentiment!E$2:E$37,"",0,1)),_xlfn.XLOOKUP($C190,Phone_by_Sentiment!$B$2:$B$37,Phone_by_Sentiment!E$2:E$37,"",0,1),0),$A190-TEXT(DATEVALUE($D190&amp;"-01"), "dd-mm-yyyy")),0),0)</f>
        <v>0</v>
      </c>
      <c r="F190" cm="1">
        <f t="array" ref="F190">IF($Q190&gt;=0,IFERROR(generateSalesData($D190, IF(ISNUMBER(_xlfn.XLOOKUP($C190,Phone_by_Sentiment!$B$2:$B$37,Phone_by_Sentiment!F$2:F$37,"",0,1)),_xlfn.XLOOKUP($C190,Phone_by_Sentiment!$B$2:$B$37,Phone_by_Sentiment!F$2:F$37,"",0,1),0),$A190-TEXT(DATEVALUE($D190&amp;"-01"), "dd-mm-yyyy")),0),0)</f>
        <v>0</v>
      </c>
      <c r="G190" cm="1">
        <f t="array" ref="G190">IF($Q190&gt;=0,IFERROR(generateSalesData($D190, IF(ISNUMBER(_xlfn.XLOOKUP($C190,Phone_by_Sentiment!$B$2:$B$37,Phone_by_Sentiment!G$2:G$37,"",0,1)),_xlfn.XLOOKUP($C190,Phone_by_Sentiment!$B$2:$B$37,Phone_by_Sentiment!G$2:G$37,"",0,1),0),$A190-TEXT(DATEVALUE($D190&amp;"-01"), "dd-mm-yyyy")),0),0)</f>
        <v>0</v>
      </c>
      <c r="H190" cm="1">
        <f t="array" ref="H190">IF($Q190&gt;=0,IFERROR(generateSalesData($D190, IF(ISNUMBER(_xlfn.XLOOKUP($C190,Phone_by_Sentiment!$B$2:$B$37,Phone_by_Sentiment!H$2:H$37,"",0,1)),_xlfn.XLOOKUP($C190,Phone_by_Sentiment!$B$2:$B$37,Phone_by_Sentiment!H$2:H$37,"",0,1),0),$A190-TEXT(DATEVALUE($D190&amp;"-01"), "dd-mm-yyyy")),0),0)</f>
        <v>0</v>
      </c>
      <c r="I190" cm="1">
        <f t="array" ref="I190">IF($Q190&gt;=0,IFERROR(generateSalesData($D190, IF(ISNUMBER(_xlfn.XLOOKUP($C190,Phone_by_Sentiment!$B$2:$B$37,Phone_by_Sentiment!I$2:I$37,"",0,1)),_xlfn.XLOOKUP($C190,Phone_by_Sentiment!$B$2:$B$37,Phone_by_Sentiment!I$2:I$37,"",0,1),0),$A190-TEXT(DATEVALUE($D190&amp;"-01"), "dd-mm-yyyy")),0),0)</f>
        <v>0</v>
      </c>
      <c r="J190" cm="1">
        <f t="array" ref="J190">IF($Q190&gt;=0,IFERROR(generateSalesData($D190, IF(ISNUMBER(_xlfn.XLOOKUP($C190,Phone_by_Sentiment!$B$2:$B$37,Phone_by_Sentiment!J$2:J$37,"",0,1)),_xlfn.XLOOKUP($C190,Phone_by_Sentiment!$B$2:$B$37,Phone_by_Sentiment!J$2:J$37,"",0,1),0),$A190-TEXT(DATEVALUE($D190&amp;"-01"), "dd-mm-yyyy")),0),0)</f>
        <v>0</v>
      </c>
      <c r="K190" cm="1">
        <f t="array" ref="K190">IF($Q190&gt;=0,IFERROR(generateSalesData($D190, IF(ISNUMBER(_xlfn.XLOOKUP($C190,Phone_by_Sentiment!$B$2:$B$37,Phone_by_Sentiment!K$2:K$37,"",0,1)),_xlfn.XLOOKUP($C190,Phone_by_Sentiment!$B$2:$B$37,Phone_by_Sentiment!K$2:K$37,"",0,1),0),$A190-TEXT(DATEVALUE($D190&amp;"-01"), "dd-mm-yyyy")),0),0)</f>
        <v>0</v>
      </c>
      <c r="L190" cm="1">
        <f t="array" ref="L190">IF($Q190&gt;=0,IFERROR(generateSalesData($D190, IF(ISNUMBER(_xlfn.XLOOKUP($C190,Phone_by_Sentiment!$B$2:$B$37,Phone_by_Sentiment!L$2:L$37,"",0,1)),_xlfn.XLOOKUP($C190,Phone_by_Sentiment!$B$2:$B$37,Phone_by_Sentiment!L$2:L$37,"",0,1),0),$A190-TEXT(DATEVALUE($D190&amp;"-01"), "dd-mm-yyyy")),0),0)</f>
        <v>0</v>
      </c>
      <c r="M190" cm="1">
        <f t="array" ref="M190">IF($Q190&gt;=0,IFERROR(generateSalesData($D190, IF(ISNUMBER(_xlfn.XLOOKUP($C190,Phone_by_Sentiment!$B$2:$B$37,Phone_by_Sentiment!M$2:M$37,"",0,1)),_xlfn.XLOOKUP($C190,Phone_by_Sentiment!$B$2:$B$37,Phone_by_Sentiment!M$2:M$37,"",0,1),0),$A190-TEXT(DATEVALUE($D190&amp;"-01"), "dd-mm-yyyy")),0),0)</f>
        <v>0</v>
      </c>
      <c r="N190" cm="1">
        <f t="array" ref="N190">IF($Q190&gt;=0,IFERROR(generateSalesData($D190, IF(ISNUMBER(_xlfn.XLOOKUP($C190,Phone_by_Sentiment!$B$2:$B$37,Phone_by_Sentiment!N$2:N$37,"",0,1)),_xlfn.XLOOKUP($C190,Phone_by_Sentiment!$B$2:$B$37,Phone_by_Sentiment!N$2:N$37,"",0,1),0),$A190-TEXT(DATEVALUE($D190&amp;"-01"), "dd-mm-yyyy")),0),0)</f>
        <v>0</v>
      </c>
      <c r="O190" cm="1">
        <f t="array" ref="O190">IF($Q190&gt;=0,IFERROR(generateSalesData($D190, IF(ISNUMBER(_xlfn.XLOOKUP($C190,Phone_by_Sentiment!$B$2:$B$37,Phone_by_Sentiment!O$2:O$37,"",0,1)),_xlfn.XLOOKUP($C190,Phone_by_Sentiment!$B$2:$B$37,Phone_by_Sentiment!O$2:O$37,"",0,1),0),$A190-TEXT(DATEVALUE($D190&amp;"-01"), "dd-mm-yyyy")),0),0)</f>
        <v>0</v>
      </c>
      <c r="P190" s="1">
        <f t="shared" si="5"/>
        <v>44105</v>
      </c>
      <c r="Q190">
        <f t="shared" si="6"/>
        <v>-488</v>
      </c>
    </row>
    <row r="191" spans="1:17" x14ac:dyDescent="0.25">
      <c r="A191" s="1">
        <f t="shared" si="0"/>
        <v>43617</v>
      </c>
      <c r="B191" t="s">
        <v>165</v>
      </c>
      <c r="C191" t="str">
        <f>_xlfn.XLOOKUP(B191,Phone_by_Price!$A$2:$A$34,Phone_by_Price!$B$2:$B$34,"-",0,1)</f>
        <v>Samsung Galaxy A50</v>
      </c>
      <c r="D191" t="str">
        <f>_xlfn.XLOOKUP(C191,Phone_by_Sentiment!$B$2:$B$37,Phone_by_Sentiment!$A$2:$A$37,"-",0,1)</f>
        <v>2019-05</v>
      </c>
      <c r="E191" cm="1">
        <f t="array" ref="E191">IF($Q191&gt;=0,IFERROR(generateSalesData($D191, IF(ISNUMBER(_xlfn.XLOOKUP($C191,Phone_by_Sentiment!$B$2:$B$37,Phone_by_Sentiment!E$2:E$37,"",0,1)),_xlfn.XLOOKUP($C191,Phone_by_Sentiment!$B$2:$B$37,Phone_by_Sentiment!E$2:E$37,"",0,1),0),$A191-TEXT(DATEVALUE($D191&amp;"-01"), "dd-mm-yyyy")),0),0)</f>
        <v>5336</v>
      </c>
      <c r="F191" cm="1">
        <f t="array" ref="F191">IF($Q191&gt;=0,IFERROR(generateSalesData($D191, IF(ISNUMBER(_xlfn.XLOOKUP($C191,Phone_by_Sentiment!$B$2:$B$37,Phone_by_Sentiment!F$2:F$37,"",0,1)),_xlfn.XLOOKUP($C191,Phone_by_Sentiment!$B$2:$B$37,Phone_by_Sentiment!F$2:F$37,"",0,1),0),$A191-TEXT(DATEVALUE($D191&amp;"-01"), "dd-mm-yyyy")),0),0)</f>
        <v>2219</v>
      </c>
      <c r="G191" cm="1">
        <f t="array" ref="G191">IF($Q191&gt;=0,IFERROR(generateSalesData($D191, IF(ISNUMBER(_xlfn.XLOOKUP($C191,Phone_by_Sentiment!$B$2:$B$37,Phone_by_Sentiment!G$2:G$37,"",0,1)),_xlfn.XLOOKUP($C191,Phone_by_Sentiment!$B$2:$B$37,Phone_by_Sentiment!G$2:G$37,"",0,1),0),$A191-TEXT(DATEVALUE($D191&amp;"-01"), "dd-mm-yyyy")),0),0)</f>
        <v>2497</v>
      </c>
      <c r="H191" cm="1">
        <f t="array" ref="H191">IF($Q191&gt;=0,IFERROR(generateSalesData($D191, IF(ISNUMBER(_xlfn.XLOOKUP($C191,Phone_by_Sentiment!$B$2:$B$37,Phone_by_Sentiment!H$2:H$37,"",0,1)),_xlfn.XLOOKUP($C191,Phone_by_Sentiment!$B$2:$B$37,Phone_by_Sentiment!H$2:H$37,"",0,1),0),$A191-TEXT(DATEVALUE($D191&amp;"-01"), "dd-mm-yyyy")),0),0)</f>
        <v>3632</v>
      </c>
      <c r="I191" cm="1">
        <f t="array" ref="I191">IF($Q191&gt;=0,IFERROR(generateSalesData($D191, IF(ISNUMBER(_xlfn.XLOOKUP($C191,Phone_by_Sentiment!$B$2:$B$37,Phone_by_Sentiment!I$2:I$37,"",0,1)),_xlfn.XLOOKUP($C191,Phone_by_Sentiment!$B$2:$B$37,Phone_by_Sentiment!I$2:I$37,"",0,1),0),$A191-TEXT(DATEVALUE($D191&amp;"-01"), "dd-mm-yyyy")),0),0)</f>
        <v>1684</v>
      </c>
      <c r="J191" cm="1">
        <f t="array" ref="J191">IF($Q191&gt;=0,IFERROR(generateSalesData($D191, IF(ISNUMBER(_xlfn.XLOOKUP($C191,Phone_by_Sentiment!$B$2:$B$37,Phone_by_Sentiment!J$2:J$37,"",0,1)),_xlfn.XLOOKUP($C191,Phone_by_Sentiment!$B$2:$B$37,Phone_by_Sentiment!J$2:J$37,"",0,1),0),$A191-TEXT(DATEVALUE($D191&amp;"-01"), "dd-mm-yyyy")),0),0)</f>
        <v>1454</v>
      </c>
      <c r="K191" cm="1">
        <f t="array" ref="K191">IF($Q191&gt;=0,IFERROR(generateSalesData($D191, IF(ISNUMBER(_xlfn.XLOOKUP($C191,Phone_by_Sentiment!$B$2:$B$37,Phone_by_Sentiment!K$2:K$37,"",0,1)),_xlfn.XLOOKUP($C191,Phone_by_Sentiment!$B$2:$B$37,Phone_by_Sentiment!K$2:K$37,"",0,1),0),$A191-TEXT(DATEVALUE($D191&amp;"-01"), "dd-mm-yyyy")),0),0)</f>
        <v>3336</v>
      </c>
      <c r="L191" cm="1">
        <f t="array" ref="L191">IF($Q191&gt;=0,IFERROR(generateSalesData($D191, IF(ISNUMBER(_xlfn.XLOOKUP($C191,Phone_by_Sentiment!$B$2:$B$37,Phone_by_Sentiment!L$2:L$37,"",0,1)),_xlfn.XLOOKUP($C191,Phone_by_Sentiment!$B$2:$B$37,Phone_by_Sentiment!L$2:L$37,"",0,1),0),$A191-TEXT(DATEVALUE($D191&amp;"-01"), "dd-mm-yyyy")),0),0)</f>
        <v>8696</v>
      </c>
      <c r="M191" cm="1">
        <f t="array" ref="M191">IF($Q191&gt;=0,IFERROR(generateSalesData($D191, IF(ISNUMBER(_xlfn.XLOOKUP($C191,Phone_by_Sentiment!$B$2:$B$37,Phone_by_Sentiment!M$2:M$37,"",0,1)),_xlfn.XLOOKUP($C191,Phone_by_Sentiment!$B$2:$B$37,Phone_by_Sentiment!M$2:M$37,"",0,1),0),$A191-TEXT(DATEVALUE($D191&amp;"-01"), "dd-mm-yyyy")),0),0)</f>
        <v>1781</v>
      </c>
      <c r="N191" cm="1">
        <f t="array" ref="N191">IF($Q191&gt;=0,IFERROR(generateSalesData($D191, IF(ISNUMBER(_xlfn.XLOOKUP($C191,Phone_by_Sentiment!$B$2:$B$37,Phone_by_Sentiment!N$2:N$37,"",0,1)),_xlfn.XLOOKUP($C191,Phone_by_Sentiment!$B$2:$B$37,Phone_by_Sentiment!N$2:N$37,"",0,1),0),$A191-TEXT(DATEVALUE($D191&amp;"-01"), "dd-mm-yyyy")),0),0)</f>
        <v>4859</v>
      </c>
      <c r="O191" cm="1">
        <f t="array" ref="O191">IF($Q191&gt;=0,IFERROR(generateSalesData($D191, IF(ISNUMBER(_xlfn.XLOOKUP($C191,Phone_by_Sentiment!$B$2:$B$37,Phone_by_Sentiment!O$2:O$37,"",0,1)),_xlfn.XLOOKUP($C191,Phone_by_Sentiment!$B$2:$B$37,Phone_by_Sentiment!O$2:O$37,"",0,1),0),$A191-TEXT(DATEVALUE($D191&amp;"-01"), "dd-mm-yyyy")),0),0)</f>
        <v>9671</v>
      </c>
      <c r="P191" s="1">
        <f t="shared" si="5"/>
        <v>43586</v>
      </c>
      <c r="Q191">
        <f t="shared" si="6"/>
        <v>31</v>
      </c>
    </row>
    <row r="192" spans="1:17" x14ac:dyDescent="0.25">
      <c r="A192" s="1">
        <f t="shared" si="0"/>
        <v>43617</v>
      </c>
      <c r="B192" t="s">
        <v>166</v>
      </c>
      <c r="C192" t="str">
        <f>_xlfn.XLOOKUP(B192,Phone_by_Price!$A$2:$A$34,Phone_by_Price!$B$2:$B$34,"-",0,1)</f>
        <v>Xiaomi Redmi Note 7</v>
      </c>
      <c r="D192" t="str">
        <f>_xlfn.XLOOKUP(C192,Phone_by_Sentiment!$B$2:$B$37,Phone_by_Sentiment!$A$2:$A$37,"-",0,1)</f>
        <v>2019-08</v>
      </c>
      <c r="E192" cm="1">
        <f t="array" ref="E192">IF($Q192&gt;=0,IFERROR(generateSalesData($D192, IF(ISNUMBER(_xlfn.XLOOKUP($C192,Phone_by_Sentiment!$B$2:$B$37,Phone_by_Sentiment!E$2:E$37,"",0,1)),_xlfn.XLOOKUP($C192,Phone_by_Sentiment!$B$2:$B$37,Phone_by_Sentiment!E$2:E$37,"",0,1),0),$A192-TEXT(DATEVALUE($D192&amp;"-01"), "dd-mm-yyyy")),0),0)</f>
        <v>0</v>
      </c>
      <c r="F192" cm="1">
        <f t="array" ref="F192">IF($Q192&gt;=0,IFERROR(generateSalesData($D192, IF(ISNUMBER(_xlfn.XLOOKUP($C192,Phone_by_Sentiment!$B$2:$B$37,Phone_by_Sentiment!F$2:F$37,"",0,1)),_xlfn.XLOOKUP($C192,Phone_by_Sentiment!$B$2:$B$37,Phone_by_Sentiment!F$2:F$37,"",0,1),0),$A192-TEXT(DATEVALUE($D192&amp;"-01"), "dd-mm-yyyy")),0),0)</f>
        <v>0</v>
      </c>
      <c r="G192" cm="1">
        <f t="array" ref="G192">IF($Q192&gt;=0,IFERROR(generateSalesData($D192, IF(ISNUMBER(_xlfn.XLOOKUP($C192,Phone_by_Sentiment!$B$2:$B$37,Phone_by_Sentiment!G$2:G$37,"",0,1)),_xlfn.XLOOKUP($C192,Phone_by_Sentiment!$B$2:$B$37,Phone_by_Sentiment!G$2:G$37,"",0,1),0),$A192-TEXT(DATEVALUE($D192&amp;"-01"), "dd-mm-yyyy")),0),0)</f>
        <v>0</v>
      </c>
      <c r="H192" cm="1">
        <f t="array" ref="H192">IF($Q192&gt;=0,IFERROR(generateSalesData($D192, IF(ISNUMBER(_xlfn.XLOOKUP($C192,Phone_by_Sentiment!$B$2:$B$37,Phone_by_Sentiment!H$2:H$37,"",0,1)),_xlfn.XLOOKUP($C192,Phone_by_Sentiment!$B$2:$B$37,Phone_by_Sentiment!H$2:H$37,"",0,1),0),$A192-TEXT(DATEVALUE($D192&amp;"-01"), "dd-mm-yyyy")),0),0)</f>
        <v>0</v>
      </c>
      <c r="I192" cm="1">
        <f t="array" ref="I192">IF($Q192&gt;=0,IFERROR(generateSalesData($D192, IF(ISNUMBER(_xlfn.XLOOKUP($C192,Phone_by_Sentiment!$B$2:$B$37,Phone_by_Sentiment!I$2:I$37,"",0,1)),_xlfn.XLOOKUP($C192,Phone_by_Sentiment!$B$2:$B$37,Phone_by_Sentiment!I$2:I$37,"",0,1),0),$A192-TEXT(DATEVALUE($D192&amp;"-01"), "dd-mm-yyyy")),0),0)</f>
        <v>0</v>
      </c>
      <c r="J192" cm="1">
        <f t="array" ref="J192">IF($Q192&gt;=0,IFERROR(generateSalesData($D192, IF(ISNUMBER(_xlfn.XLOOKUP($C192,Phone_by_Sentiment!$B$2:$B$37,Phone_by_Sentiment!J$2:J$37,"",0,1)),_xlfn.XLOOKUP($C192,Phone_by_Sentiment!$B$2:$B$37,Phone_by_Sentiment!J$2:J$37,"",0,1),0),$A192-TEXT(DATEVALUE($D192&amp;"-01"), "dd-mm-yyyy")),0),0)</f>
        <v>0</v>
      </c>
      <c r="K192" cm="1">
        <f t="array" ref="K192">IF($Q192&gt;=0,IFERROR(generateSalesData($D192, IF(ISNUMBER(_xlfn.XLOOKUP($C192,Phone_by_Sentiment!$B$2:$B$37,Phone_by_Sentiment!K$2:K$37,"",0,1)),_xlfn.XLOOKUP($C192,Phone_by_Sentiment!$B$2:$B$37,Phone_by_Sentiment!K$2:K$37,"",0,1),0),$A192-TEXT(DATEVALUE($D192&amp;"-01"), "dd-mm-yyyy")),0),0)</f>
        <v>0</v>
      </c>
      <c r="L192" cm="1">
        <f t="array" ref="L192">IF($Q192&gt;=0,IFERROR(generateSalesData($D192, IF(ISNUMBER(_xlfn.XLOOKUP($C192,Phone_by_Sentiment!$B$2:$B$37,Phone_by_Sentiment!L$2:L$37,"",0,1)),_xlfn.XLOOKUP($C192,Phone_by_Sentiment!$B$2:$B$37,Phone_by_Sentiment!L$2:L$37,"",0,1),0),$A192-TEXT(DATEVALUE($D192&amp;"-01"), "dd-mm-yyyy")),0),0)</f>
        <v>0</v>
      </c>
      <c r="M192" cm="1">
        <f t="array" ref="M192">IF($Q192&gt;=0,IFERROR(generateSalesData($D192, IF(ISNUMBER(_xlfn.XLOOKUP($C192,Phone_by_Sentiment!$B$2:$B$37,Phone_by_Sentiment!M$2:M$37,"",0,1)),_xlfn.XLOOKUP($C192,Phone_by_Sentiment!$B$2:$B$37,Phone_by_Sentiment!M$2:M$37,"",0,1),0),$A192-TEXT(DATEVALUE($D192&amp;"-01"), "dd-mm-yyyy")),0),0)</f>
        <v>0</v>
      </c>
      <c r="N192" cm="1">
        <f t="array" ref="N192">IF($Q192&gt;=0,IFERROR(generateSalesData($D192, IF(ISNUMBER(_xlfn.XLOOKUP($C192,Phone_by_Sentiment!$B$2:$B$37,Phone_by_Sentiment!N$2:N$37,"",0,1)),_xlfn.XLOOKUP($C192,Phone_by_Sentiment!$B$2:$B$37,Phone_by_Sentiment!N$2:N$37,"",0,1),0),$A192-TEXT(DATEVALUE($D192&amp;"-01"), "dd-mm-yyyy")),0),0)</f>
        <v>0</v>
      </c>
      <c r="O192" cm="1">
        <f t="array" ref="O192">IF($Q192&gt;=0,IFERROR(generateSalesData($D192, IF(ISNUMBER(_xlfn.XLOOKUP($C192,Phone_by_Sentiment!$B$2:$B$37,Phone_by_Sentiment!O$2:O$37,"",0,1)),_xlfn.XLOOKUP($C192,Phone_by_Sentiment!$B$2:$B$37,Phone_by_Sentiment!O$2:O$37,"",0,1),0),$A192-TEXT(DATEVALUE($D192&amp;"-01"), "dd-mm-yyyy")),0),0)</f>
        <v>0</v>
      </c>
      <c r="P192" s="1">
        <f t="shared" si="5"/>
        <v>43678</v>
      </c>
      <c r="Q192">
        <f t="shared" si="6"/>
        <v>-61</v>
      </c>
    </row>
    <row r="193" spans="1:17" x14ac:dyDescent="0.25">
      <c r="A193" s="1">
        <f t="shared" si="0"/>
        <v>43617</v>
      </c>
      <c r="B193" t="s">
        <v>167</v>
      </c>
      <c r="C193" t="str">
        <f>_xlfn.XLOOKUP(B193,Phone_by_Price!$A$2:$A$34,Phone_by_Price!$B$2:$B$34,"-",0,1)</f>
        <v>Realme C21</v>
      </c>
      <c r="D193" t="str">
        <f>_xlfn.XLOOKUP(C193,Phone_by_Sentiment!$B$2:$B$37,Phone_by_Sentiment!$A$2:$A$37,"-",0,1)</f>
        <v>2021-04</v>
      </c>
      <c r="E193" cm="1">
        <f t="array" ref="E193">IF($Q193&gt;=0,IFERROR(generateSalesData($D193, IF(ISNUMBER(_xlfn.XLOOKUP($C193,Phone_by_Sentiment!$B$2:$B$37,Phone_by_Sentiment!E$2:E$37,"",0,1)),_xlfn.XLOOKUP($C193,Phone_by_Sentiment!$B$2:$B$37,Phone_by_Sentiment!E$2:E$37,"",0,1),0),$A193-TEXT(DATEVALUE($D193&amp;"-01"), "dd-mm-yyyy")),0),0)</f>
        <v>0</v>
      </c>
      <c r="F193" cm="1">
        <f t="array" ref="F193">IF($Q193&gt;=0,IFERROR(generateSalesData($D193, IF(ISNUMBER(_xlfn.XLOOKUP($C193,Phone_by_Sentiment!$B$2:$B$37,Phone_by_Sentiment!F$2:F$37,"",0,1)),_xlfn.XLOOKUP($C193,Phone_by_Sentiment!$B$2:$B$37,Phone_by_Sentiment!F$2:F$37,"",0,1),0),$A193-TEXT(DATEVALUE($D193&amp;"-01"), "dd-mm-yyyy")),0),0)</f>
        <v>0</v>
      </c>
      <c r="G193" cm="1">
        <f t="array" ref="G193">IF($Q193&gt;=0,IFERROR(generateSalesData($D193, IF(ISNUMBER(_xlfn.XLOOKUP($C193,Phone_by_Sentiment!$B$2:$B$37,Phone_by_Sentiment!G$2:G$37,"",0,1)),_xlfn.XLOOKUP($C193,Phone_by_Sentiment!$B$2:$B$37,Phone_by_Sentiment!G$2:G$37,"",0,1),0),$A193-TEXT(DATEVALUE($D193&amp;"-01"), "dd-mm-yyyy")),0),0)</f>
        <v>0</v>
      </c>
      <c r="H193" cm="1">
        <f t="array" ref="H193">IF($Q193&gt;=0,IFERROR(generateSalesData($D193, IF(ISNUMBER(_xlfn.XLOOKUP($C193,Phone_by_Sentiment!$B$2:$B$37,Phone_by_Sentiment!H$2:H$37,"",0,1)),_xlfn.XLOOKUP($C193,Phone_by_Sentiment!$B$2:$B$37,Phone_by_Sentiment!H$2:H$37,"",0,1),0),$A193-TEXT(DATEVALUE($D193&amp;"-01"), "dd-mm-yyyy")),0),0)</f>
        <v>0</v>
      </c>
      <c r="I193" cm="1">
        <f t="array" ref="I193">IF($Q193&gt;=0,IFERROR(generateSalesData($D193, IF(ISNUMBER(_xlfn.XLOOKUP($C193,Phone_by_Sentiment!$B$2:$B$37,Phone_by_Sentiment!I$2:I$37,"",0,1)),_xlfn.XLOOKUP($C193,Phone_by_Sentiment!$B$2:$B$37,Phone_by_Sentiment!I$2:I$37,"",0,1),0),$A193-TEXT(DATEVALUE($D193&amp;"-01"), "dd-mm-yyyy")),0),0)</f>
        <v>0</v>
      </c>
      <c r="J193" cm="1">
        <f t="array" ref="J193">IF($Q193&gt;=0,IFERROR(generateSalesData($D193, IF(ISNUMBER(_xlfn.XLOOKUP($C193,Phone_by_Sentiment!$B$2:$B$37,Phone_by_Sentiment!J$2:J$37,"",0,1)),_xlfn.XLOOKUP($C193,Phone_by_Sentiment!$B$2:$B$37,Phone_by_Sentiment!J$2:J$37,"",0,1),0),$A193-TEXT(DATEVALUE($D193&amp;"-01"), "dd-mm-yyyy")),0),0)</f>
        <v>0</v>
      </c>
      <c r="K193" cm="1">
        <f t="array" ref="K193">IF($Q193&gt;=0,IFERROR(generateSalesData($D193, IF(ISNUMBER(_xlfn.XLOOKUP($C193,Phone_by_Sentiment!$B$2:$B$37,Phone_by_Sentiment!K$2:K$37,"",0,1)),_xlfn.XLOOKUP($C193,Phone_by_Sentiment!$B$2:$B$37,Phone_by_Sentiment!K$2:K$37,"",0,1),0),$A193-TEXT(DATEVALUE($D193&amp;"-01"), "dd-mm-yyyy")),0),0)</f>
        <v>0</v>
      </c>
      <c r="L193" cm="1">
        <f t="array" ref="L193">IF($Q193&gt;=0,IFERROR(generateSalesData($D193, IF(ISNUMBER(_xlfn.XLOOKUP($C193,Phone_by_Sentiment!$B$2:$B$37,Phone_by_Sentiment!L$2:L$37,"",0,1)),_xlfn.XLOOKUP($C193,Phone_by_Sentiment!$B$2:$B$37,Phone_by_Sentiment!L$2:L$37,"",0,1),0),$A193-TEXT(DATEVALUE($D193&amp;"-01"), "dd-mm-yyyy")),0),0)</f>
        <v>0</v>
      </c>
      <c r="M193" cm="1">
        <f t="array" ref="M193">IF($Q193&gt;=0,IFERROR(generateSalesData($D193, IF(ISNUMBER(_xlfn.XLOOKUP($C193,Phone_by_Sentiment!$B$2:$B$37,Phone_by_Sentiment!M$2:M$37,"",0,1)),_xlfn.XLOOKUP($C193,Phone_by_Sentiment!$B$2:$B$37,Phone_by_Sentiment!M$2:M$37,"",0,1),0),$A193-TEXT(DATEVALUE($D193&amp;"-01"), "dd-mm-yyyy")),0),0)</f>
        <v>0</v>
      </c>
      <c r="N193" cm="1">
        <f t="array" ref="N193">IF($Q193&gt;=0,IFERROR(generateSalesData($D193, IF(ISNUMBER(_xlfn.XLOOKUP($C193,Phone_by_Sentiment!$B$2:$B$37,Phone_by_Sentiment!N$2:N$37,"",0,1)),_xlfn.XLOOKUP($C193,Phone_by_Sentiment!$B$2:$B$37,Phone_by_Sentiment!N$2:N$37,"",0,1),0),$A193-TEXT(DATEVALUE($D193&amp;"-01"), "dd-mm-yyyy")),0),0)</f>
        <v>0</v>
      </c>
      <c r="O193" cm="1">
        <f t="array" ref="O193">IF($Q193&gt;=0,IFERROR(generateSalesData($D193, IF(ISNUMBER(_xlfn.XLOOKUP($C193,Phone_by_Sentiment!$B$2:$B$37,Phone_by_Sentiment!O$2:O$37,"",0,1)),_xlfn.XLOOKUP($C193,Phone_by_Sentiment!$B$2:$B$37,Phone_by_Sentiment!O$2:O$37,"",0,1),0),$A193-TEXT(DATEVALUE($D193&amp;"-01"), "dd-mm-yyyy")),0),0)</f>
        <v>0</v>
      </c>
      <c r="P193" s="1">
        <f t="shared" si="5"/>
        <v>44287</v>
      </c>
      <c r="Q193">
        <f t="shared" si="6"/>
        <v>-670</v>
      </c>
    </row>
    <row r="194" spans="1:17" x14ac:dyDescent="0.25">
      <c r="A194" s="1">
        <f t="shared" si="0"/>
        <v>43617</v>
      </c>
      <c r="B194" t="s">
        <v>168</v>
      </c>
      <c r="C194" t="str">
        <f>_xlfn.XLOOKUP(B194,Phone_by_Price!$A$2:$A$34,Phone_by_Price!$B$2:$B$34,"-",0,1)</f>
        <v>Google Pixel 4</v>
      </c>
      <c r="D194" t="str">
        <f>_xlfn.XLOOKUP(C194,Phone_by_Sentiment!$B$2:$B$37,Phone_by_Sentiment!$A$2:$A$37,"-",0,1)</f>
        <v>2019-09</v>
      </c>
      <c r="E194" cm="1">
        <f t="array" ref="E194">IF($Q194&gt;=0,IFERROR(generateSalesData($D194, IF(ISNUMBER(_xlfn.XLOOKUP($C194,Phone_by_Sentiment!$B$2:$B$37,Phone_by_Sentiment!E$2:E$37,"",0,1)),_xlfn.XLOOKUP($C194,Phone_by_Sentiment!$B$2:$B$37,Phone_by_Sentiment!E$2:E$37,"",0,1),0),$A194-TEXT(DATEVALUE($D194&amp;"-01"), "dd-mm-yyyy")),0),0)</f>
        <v>0</v>
      </c>
      <c r="F194" cm="1">
        <f t="array" ref="F194">IF($Q194&gt;=0,IFERROR(generateSalesData($D194, IF(ISNUMBER(_xlfn.XLOOKUP($C194,Phone_by_Sentiment!$B$2:$B$37,Phone_by_Sentiment!F$2:F$37,"",0,1)),_xlfn.XLOOKUP($C194,Phone_by_Sentiment!$B$2:$B$37,Phone_by_Sentiment!F$2:F$37,"",0,1),0),$A194-TEXT(DATEVALUE($D194&amp;"-01"), "dd-mm-yyyy")),0),0)</f>
        <v>0</v>
      </c>
      <c r="G194" cm="1">
        <f t="array" ref="G194">IF($Q194&gt;=0,IFERROR(generateSalesData($D194, IF(ISNUMBER(_xlfn.XLOOKUP($C194,Phone_by_Sentiment!$B$2:$B$37,Phone_by_Sentiment!G$2:G$37,"",0,1)),_xlfn.XLOOKUP($C194,Phone_by_Sentiment!$B$2:$B$37,Phone_by_Sentiment!G$2:G$37,"",0,1),0),$A194-TEXT(DATEVALUE($D194&amp;"-01"), "dd-mm-yyyy")),0),0)</f>
        <v>0</v>
      </c>
      <c r="H194" cm="1">
        <f t="array" ref="H194">IF($Q194&gt;=0,IFERROR(generateSalesData($D194, IF(ISNUMBER(_xlfn.XLOOKUP($C194,Phone_by_Sentiment!$B$2:$B$37,Phone_by_Sentiment!H$2:H$37,"",0,1)),_xlfn.XLOOKUP($C194,Phone_by_Sentiment!$B$2:$B$37,Phone_by_Sentiment!H$2:H$37,"",0,1),0),$A194-TEXT(DATEVALUE($D194&amp;"-01"), "dd-mm-yyyy")),0),0)</f>
        <v>0</v>
      </c>
      <c r="I194" cm="1">
        <f t="array" ref="I194">IF($Q194&gt;=0,IFERROR(generateSalesData($D194, IF(ISNUMBER(_xlfn.XLOOKUP($C194,Phone_by_Sentiment!$B$2:$B$37,Phone_by_Sentiment!I$2:I$37,"",0,1)),_xlfn.XLOOKUP($C194,Phone_by_Sentiment!$B$2:$B$37,Phone_by_Sentiment!I$2:I$37,"",0,1),0),$A194-TEXT(DATEVALUE($D194&amp;"-01"), "dd-mm-yyyy")),0),0)</f>
        <v>0</v>
      </c>
      <c r="J194" cm="1">
        <f t="array" ref="J194">IF($Q194&gt;=0,IFERROR(generateSalesData($D194, IF(ISNUMBER(_xlfn.XLOOKUP($C194,Phone_by_Sentiment!$B$2:$B$37,Phone_by_Sentiment!J$2:J$37,"",0,1)),_xlfn.XLOOKUP($C194,Phone_by_Sentiment!$B$2:$B$37,Phone_by_Sentiment!J$2:J$37,"",0,1),0),$A194-TEXT(DATEVALUE($D194&amp;"-01"), "dd-mm-yyyy")),0),0)</f>
        <v>0</v>
      </c>
      <c r="K194" cm="1">
        <f t="array" ref="K194">IF($Q194&gt;=0,IFERROR(generateSalesData($D194, IF(ISNUMBER(_xlfn.XLOOKUP($C194,Phone_by_Sentiment!$B$2:$B$37,Phone_by_Sentiment!K$2:K$37,"",0,1)),_xlfn.XLOOKUP($C194,Phone_by_Sentiment!$B$2:$B$37,Phone_by_Sentiment!K$2:K$37,"",0,1),0),$A194-TEXT(DATEVALUE($D194&amp;"-01"), "dd-mm-yyyy")),0),0)</f>
        <v>0</v>
      </c>
      <c r="L194" cm="1">
        <f t="array" ref="L194">IF($Q194&gt;=0,IFERROR(generateSalesData($D194, IF(ISNUMBER(_xlfn.XLOOKUP($C194,Phone_by_Sentiment!$B$2:$B$37,Phone_by_Sentiment!L$2:L$37,"",0,1)),_xlfn.XLOOKUP($C194,Phone_by_Sentiment!$B$2:$B$37,Phone_by_Sentiment!L$2:L$37,"",0,1),0),$A194-TEXT(DATEVALUE($D194&amp;"-01"), "dd-mm-yyyy")),0),0)</f>
        <v>0</v>
      </c>
      <c r="M194" cm="1">
        <f t="array" ref="M194">IF($Q194&gt;=0,IFERROR(generateSalesData($D194, IF(ISNUMBER(_xlfn.XLOOKUP($C194,Phone_by_Sentiment!$B$2:$B$37,Phone_by_Sentiment!M$2:M$37,"",0,1)),_xlfn.XLOOKUP($C194,Phone_by_Sentiment!$B$2:$B$37,Phone_by_Sentiment!M$2:M$37,"",0,1),0),$A194-TEXT(DATEVALUE($D194&amp;"-01"), "dd-mm-yyyy")),0),0)</f>
        <v>0</v>
      </c>
      <c r="N194" cm="1">
        <f t="array" ref="N194">IF($Q194&gt;=0,IFERROR(generateSalesData($D194, IF(ISNUMBER(_xlfn.XLOOKUP($C194,Phone_by_Sentiment!$B$2:$B$37,Phone_by_Sentiment!N$2:N$37,"",0,1)),_xlfn.XLOOKUP($C194,Phone_by_Sentiment!$B$2:$B$37,Phone_by_Sentiment!N$2:N$37,"",0,1),0),$A194-TEXT(DATEVALUE($D194&amp;"-01"), "dd-mm-yyyy")),0),0)</f>
        <v>0</v>
      </c>
      <c r="O194" cm="1">
        <f t="array" ref="O194">IF($Q194&gt;=0,IFERROR(generateSalesData($D194, IF(ISNUMBER(_xlfn.XLOOKUP($C194,Phone_by_Sentiment!$B$2:$B$37,Phone_by_Sentiment!O$2:O$37,"",0,1)),_xlfn.XLOOKUP($C194,Phone_by_Sentiment!$B$2:$B$37,Phone_by_Sentiment!O$2:O$37,"",0,1),0),$A194-TEXT(DATEVALUE($D194&amp;"-01"), "dd-mm-yyyy")),0),0)</f>
        <v>0</v>
      </c>
      <c r="P194" s="1">
        <f t="shared" si="5"/>
        <v>43709</v>
      </c>
      <c r="Q194">
        <f t="shared" si="6"/>
        <v>-92</v>
      </c>
    </row>
    <row r="195" spans="1:17" x14ac:dyDescent="0.25">
      <c r="A195" s="1">
        <f t="shared" si="0"/>
        <v>43617</v>
      </c>
      <c r="B195" t="s">
        <v>169</v>
      </c>
      <c r="C195" t="str">
        <f>_xlfn.XLOOKUP(B195,Phone_by_Price!$A$2:$A$34,Phone_by_Price!$B$2:$B$34,"-",0,1)</f>
        <v>Samsung Galaxy A10s</v>
      </c>
      <c r="D195" t="str">
        <f>_xlfn.XLOOKUP(C195,Phone_by_Sentiment!$B$2:$B$37,Phone_by_Sentiment!$A$2:$A$37,"-",0,1)</f>
        <v>2019-08</v>
      </c>
      <c r="E195" cm="1">
        <f t="array" ref="E195">IF($Q195&gt;=0,IFERROR(generateSalesData($D195, IF(ISNUMBER(_xlfn.XLOOKUP($C195,Phone_by_Sentiment!$B$2:$B$37,Phone_by_Sentiment!E$2:E$37,"",0,1)),_xlfn.XLOOKUP($C195,Phone_by_Sentiment!$B$2:$B$37,Phone_by_Sentiment!E$2:E$37,"",0,1),0),$A195-TEXT(DATEVALUE($D195&amp;"-01"), "dd-mm-yyyy")),0),0)</f>
        <v>0</v>
      </c>
      <c r="F195" cm="1">
        <f t="array" ref="F195">IF($Q195&gt;=0,IFERROR(generateSalesData($D195, IF(ISNUMBER(_xlfn.XLOOKUP($C195,Phone_by_Sentiment!$B$2:$B$37,Phone_by_Sentiment!F$2:F$37,"",0,1)),_xlfn.XLOOKUP($C195,Phone_by_Sentiment!$B$2:$B$37,Phone_by_Sentiment!F$2:F$37,"",0,1),0),$A195-TEXT(DATEVALUE($D195&amp;"-01"), "dd-mm-yyyy")),0),0)</f>
        <v>0</v>
      </c>
      <c r="G195" cm="1">
        <f t="array" ref="G195">IF($Q195&gt;=0,IFERROR(generateSalesData($D195, IF(ISNUMBER(_xlfn.XLOOKUP($C195,Phone_by_Sentiment!$B$2:$B$37,Phone_by_Sentiment!G$2:G$37,"",0,1)),_xlfn.XLOOKUP($C195,Phone_by_Sentiment!$B$2:$B$37,Phone_by_Sentiment!G$2:G$37,"",0,1),0),$A195-TEXT(DATEVALUE($D195&amp;"-01"), "dd-mm-yyyy")),0),0)</f>
        <v>0</v>
      </c>
      <c r="H195" cm="1">
        <f t="array" ref="H195">IF($Q195&gt;=0,IFERROR(generateSalesData($D195, IF(ISNUMBER(_xlfn.XLOOKUP($C195,Phone_by_Sentiment!$B$2:$B$37,Phone_by_Sentiment!H$2:H$37,"",0,1)),_xlfn.XLOOKUP($C195,Phone_by_Sentiment!$B$2:$B$37,Phone_by_Sentiment!H$2:H$37,"",0,1),0),$A195-TEXT(DATEVALUE($D195&amp;"-01"), "dd-mm-yyyy")),0),0)</f>
        <v>0</v>
      </c>
      <c r="I195" cm="1">
        <f t="array" ref="I195">IF($Q195&gt;=0,IFERROR(generateSalesData($D195, IF(ISNUMBER(_xlfn.XLOOKUP($C195,Phone_by_Sentiment!$B$2:$B$37,Phone_by_Sentiment!I$2:I$37,"",0,1)),_xlfn.XLOOKUP($C195,Phone_by_Sentiment!$B$2:$B$37,Phone_by_Sentiment!I$2:I$37,"",0,1),0),$A195-TEXT(DATEVALUE($D195&amp;"-01"), "dd-mm-yyyy")),0),0)</f>
        <v>0</v>
      </c>
      <c r="J195" cm="1">
        <f t="array" ref="J195">IF($Q195&gt;=0,IFERROR(generateSalesData($D195, IF(ISNUMBER(_xlfn.XLOOKUP($C195,Phone_by_Sentiment!$B$2:$B$37,Phone_by_Sentiment!J$2:J$37,"",0,1)),_xlfn.XLOOKUP($C195,Phone_by_Sentiment!$B$2:$B$37,Phone_by_Sentiment!J$2:J$37,"",0,1),0),$A195-TEXT(DATEVALUE($D195&amp;"-01"), "dd-mm-yyyy")),0),0)</f>
        <v>0</v>
      </c>
      <c r="K195" cm="1">
        <f t="array" ref="K195">IF($Q195&gt;=0,IFERROR(generateSalesData($D195, IF(ISNUMBER(_xlfn.XLOOKUP($C195,Phone_by_Sentiment!$B$2:$B$37,Phone_by_Sentiment!K$2:K$37,"",0,1)),_xlfn.XLOOKUP($C195,Phone_by_Sentiment!$B$2:$B$37,Phone_by_Sentiment!K$2:K$37,"",0,1),0),$A195-TEXT(DATEVALUE($D195&amp;"-01"), "dd-mm-yyyy")),0),0)</f>
        <v>0</v>
      </c>
      <c r="L195" cm="1">
        <f t="array" ref="L195">IF($Q195&gt;=0,IFERROR(generateSalesData($D195, IF(ISNUMBER(_xlfn.XLOOKUP($C195,Phone_by_Sentiment!$B$2:$B$37,Phone_by_Sentiment!L$2:L$37,"",0,1)),_xlfn.XLOOKUP($C195,Phone_by_Sentiment!$B$2:$B$37,Phone_by_Sentiment!L$2:L$37,"",0,1),0),$A195-TEXT(DATEVALUE($D195&amp;"-01"), "dd-mm-yyyy")),0),0)</f>
        <v>0</v>
      </c>
      <c r="M195" cm="1">
        <f t="array" ref="M195">IF($Q195&gt;=0,IFERROR(generateSalesData($D195, IF(ISNUMBER(_xlfn.XLOOKUP($C195,Phone_by_Sentiment!$B$2:$B$37,Phone_by_Sentiment!M$2:M$37,"",0,1)),_xlfn.XLOOKUP($C195,Phone_by_Sentiment!$B$2:$B$37,Phone_by_Sentiment!M$2:M$37,"",0,1),0),$A195-TEXT(DATEVALUE($D195&amp;"-01"), "dd-mm-yyyy")),0),0)</f>
        <v>0</v>
      </c>
      <c r="N195" cm="1">
        <f t="array" ref="N195">IF($Q195&gt;=0,IFERROR(generateSalesData($D195, IF(ISNUMBER(_xlfn.XLOOKUP($C195,Phone_by_Sentiment!$B$2:$B$37,Phone_by_Sentiment!N$2:N$37,"",0,1)),_xlfn.XLOOKUP($C195,Phone_by_Sentiment!$B$2:$B$37,Phone_by_Sentiment!N$2:N$37,"",0,1),0),$A195-TEXT(DATEVALUE($D195&amp;"-01"), "dd-mm-yyyy")),0),0)</f>
        <v>0</v>
      </c>
      <c r="O195" cm="1">
        <f t="array" ref="O195">IF($Q195&gt;=0,IFERROR(generateSalesData($D195, IF(ISNUMBER(_xlfn.XLOOKUP($C195,Phone_by_Sentiment!$B$2:$B$37,Phone_by_Sentiment!O$2:O$37,"",0,1)),_xlfn.XLOOKUP($C195,Phone_by_Sentiment!$B$2:$B$37,Phone_by_Sentiment!O$2:O$37,"",0,1),0),$A195-TEXT(DATEVALUE($D195&amp;"-01"), "dd-mm-yyyy")),0),0)</f>
        <v>0</v>
      </c>
      <c r="P195" s="1">
        <f t="shared" si="5"/>
        <v>43678</v>
      </c>
      <c r="Q195">
        <f t="shared" si="6"/>
        <v>-61</v>
      </c>
    </row>
    <row r="196" spans="1:17" x14ac:dyDescent="0.25">
      <c r="A196" s="1">
        <f t="shared" si="0"/>
        <v>43617</v>
      </c>
      <c r="B196" t="s">
        <v>170</v>
      </c>
      <c r="C196" t="str">
        <f>_xlfn.XLOOKUP(B196,Phone_by_Price!$A$2:$A$34,Phone_by_Price!$B$2:$B$34,"-",0,1)</f>
        <v>Realme Narzo 30A</v>
      </c>
      <c r="D196" t="str">
        <f>_xlfn.XLOOKUP(C196,Phone_by_Sentiment!$B$2:$B$37,Phone_by_Sentiment!$A$2:$A$37,"-",0,1)</f>
        <v>2021-02</v>
      </c>
      <c r="E196" cm="1">
        <f t="array" ref="E196">IF($Q196&gt;=0,IFERROR(generateSalesData($D196, IF(ISNUMBER(_xlfn.XLOOKUP($C196,Phone_by_Sentiment!$B$2:$B$37,Phone_by_Sentiment!E$2:E$37,"",0,1)),_xlfn.XLOOKUP($C196,Phone_by_Sentiment!$B$2:$B$37,Phone_by_Sentiment!E$2:E$37,"",0,1),0),$A196-TEXT(DATEVALUE($D196&amp;"-01"), "dd-mm-yyyy")),0),0)</f>
        <v>0</v>
      </c>
      <c r="F196" cm="1">
        <f t="array" ref="F196">IF($Q196&gt;=0,IFERROR(generateSalesData($D196, IF(ISNUMBER(_xlfn.XLOOKUP($C196,Phone_by_Sentiment!$B$2:$B$37,Phone_by_Sentiment!F$2:F$37,"",0,1)),_xlfn.XLOOKUP($C196,Phone_by_Sentiment!$B$2:$B$37,Phone_by_Sentiment!F$2:F$37,"",0,1),0),$A196-TEXT(DATEVALUE($D196&amp;"-01"), "dd-mm-yyyy")),0),0)</f>
        <v>0</v>
      </c>
      <c r="G196" cm="1">
        <f t="array" ref="G196">IF($Q196&gt;=0,IFERROR(generateSalesData($D196, IF(ISNUMBER(_xlfn.XLOOKUP($C196,Phone_by_Sentiment!$B$2:$B$37,Phone_by_Sentiment!G$2:G$37,"",0,1)),_xlfn.XLOOKUP($C196,Phone_by_Sentiment!$B$2:$B$37,Phone_by_Sentiment!G$2:G$37,"",0,1),0),$A196-TEXT(DATEVALUE($D196&amp;"-01"), "dd-mm-yyyy")),0),0)</f>
        <v>0</v>
      </c>
      <c r="H196" cm="1">
        <f t="array" ref="H196">IF($Q196&gt;=0,IFERROR(generateSalesData($D196, IF(ISNUMBER(_xlfn.XLOOKUP($C196,Phone_by_Sentiment!$B$2:$B$37,Phone_by_Sentiment!H$2:H$37,"",0,1)),_xlfn.XLOOKUP($C196,Phone_by_Sentiment!$B$2:$B$37,Phone_by_Sentiment!H$2:H$37,"",0,1),0),$A196-TEXT(DATEVALUE($D196&amp;"-01"), "dd-mm-yyyy")),0),0)</f>
        <v>0</v>
      </c>
      <c r="I196" cm="1">
        <f t="array" ref="I196">IF($Q196&gt;=0,IFERROR(generateSalesData($D196, IF(ISNUMBER(_xlfn.XLOOKUP($C196,Phone_by_Sentiment!$B$2:$B$37,Phone_by_Sentiment!I$2:I$37,"",0,1)),_xlfn.XLOOKUP($C196,Phone_by_Sentiment!$B$2:$B$37,Phone_by_Sentiment!I$2:I$37,"",0,1),0),$A196-TEXT(DATEVALUE($D196&amp;"-01"), "dd-mm-yyyy")),0),0)</f>
        <v>0</v>
      </c>
      <c r="J196" cm="1">
        <f t="array" ref="J196">IF($Q196&gt;=0,IFERROR(generateSalesData($D196, IF(ISNUMBER(_xlfn.XLOOKUP($C196,Phone_by_Sentiment!$B$2:$B$37,Phone_by_Sentiment!J$2:J$37,"",0,1)),_xlfn.XLOOKUP($C196,Phone_by_Sentiment!$B$2:$B$37,Phone_by_Sentiment!J$2:J$37,"",0,1),0),$A196-TEXT(DATEVALUE($D196&amp;"-01"), "dd-mm-yyyy")),0),0)</f>
        <v>0</v>
      </c>
      <c r="K196" cm="1">
        <f t="array" ref="K196">IF($Q196&gt;=0,IFERROR(generateSalesData($D196, IF(ISNUMBER(_xlfn.XLOOKUP($C196,Phone_by_Sentiment!$B$2:$B$37,Phone_by_Sentiment!K$2:K$37,"",0,1)),_xlfn.XLOOKUP($C196,Phone_by_Sentiment!$B$2:$B$37,Phone_by_Sentiment!K$2:K$37,"",0,1),0),$A196-TEXT(DATEVALUE($D196&amp;"-01"), "dd-mm-yyyy")),0),0)</f>
        <v>0</v>
      </c>
      <c r="L196" cm="1">
        <f t="array" ref="L196">IF($Q196&gt;=0,IFERROR(generateSalesData($D196, IF(ISNUMBER(_xlfn.XLOOKUP($C196,Phone_by_Sentiment!$B$2:$B$37,Phone_by_Sentiment!L$2:L$37,"",0,1)),_xlfn.XLOOKUP($C196,Phone_by_Sentiment!$B$2:$B$37,Phone_by_Sentiment!L$2:L$37,"",0,1),0),$A196-TEXT(DATEVALUE($D196&amp;"-01"), "dd-mm-yyyy")),0),0)</f>
        <v>0</v>
      </c>
      <c r="M196" cm="1">
        <f t="array" ref="M196">IF($Q196&gt;=0,IFERROR(generateSalesData($D196, IF(ISNUMBER(_xlfn.XLOOKUP($C196,Phone_by_Sentiment!$B$2:$B$37,Phone_by_Sentiment!M$2:M$37,"",0,1)),_xlfn.XLOOKUP($C196,Phone_by_Sentiment!$B$2:$B$37,Phone_by_Sentiment!M$2:M$37,"",0,1),0),$A196-TEXT(DATEVALUE($D196&amp;"-01"), "dd-mm-yyyy")),0),0)</f>
        <v>0</v>
      </c>
      <c r="N196" cm="1">
        <f t="array" ref="N196">IF($Q196&gt;=0,IFERROR(generateSalesData($D196, IF(ISNUMBER(_xlfn.XLOOKUP($C196,Phone_by_Sentiment!$B$2:$B$37,Phone_by_Sentiment!N$2:N$37,"",0,1)),_xlfn.XLOOKUP($C196,Phone_by_Sentiment!$B$2:$B$37,Phone_by_Sentiment!N$2:N$37,"",0,1),0),$A196-TEXT(DATEVALUE($D196&amp;"-01"), "dd-mm-yyyy")),0),0)</f>
        <v>0</v>
      </c>
      <c r="O196" cm="1">
        <f t="array" ref="O196">IF($Q196&gt;=0,IFERROR(generateSalesData($D196, IF(ISNUMBER(_xlfn.XLOOKUP($C196,Phone_by_Sentiment!$B$2:$B$37,Phone_by_Sentiment!O$2:O$37,"",0,1)),_xlfn.XLOOKUP($C196,Phone_by_Sentiment!$B$2:$B$37,Phone_by_Sentiment!O$2:O$37,"",0,1),0),$A196-TEXT(DATEVALUE($D196&amp;"-01"), "dd-mm-yyyy")),0),0)</f>
        <v>0</v>
      </c>
      <c r="P196" s="1">
        <f t="shared" ref="P196:P259" si="7">DATEVALUE($D196&amp;"-01")</f>
        <v>44228</v>
      </c>
      <c r="Q196">
        <f t="shared" ref="Q196:Q259" si="8">A196-P196</f>
        <v>-611</v>
      </c>
    </row>
    <row r="197" spans="1:17" x14ac:dyDescent="0.25">
      <c r="A197" s="1">
        <f t="shared" si="0"/>
        <v>43617</v>
      </c>
      <c r="B197" t="s">
        <v>171</v>
      </c>
      <c r="C197" t="str">
        <f>_xlfn.XLOOKUP(B197,Phone_by_Price!$A$2:$A$34,Phone_by_Price!$B$2:$B$34,"-",0,1)</f>
        <v>Samsung Galaxy A22 5G</v>
      </c>
      <c r="D197" t="str">
        <f>_xlfn.XLOOKUP(C197,Phone_by_Sentiment!$B$2:$B$37,Phone_by_Sentiment!$A$2:$A$37,"-",0,1)</f>
        <v>2021-05</v>
      </c>
      <c r="E197" cm="1">
        <f t="array" ref="E197">IF($Q197&gt;=0,IFERROR(generateSalesData($D197, IF(ISNUMBER(_xlfn.XLOOKUP($C197,Phone_by_Sentiment!$B$2:$B$37,Phone_by_Sentiment!E$2:E$37,"",0,1)),_xlfn.XLOOKUP($C197,Phone_by_Sentiment!$B$2:$B$37,Phone_by_Sentiment!E$2:E$37,"",0,1),0),$A197-TEXT(DATEVALUE($D197&amp;"-01"), "dd-mm-yyyy")),0),0)</f>
        <v>0</v>
      </c>
      <c r="F197" cm="1">
        <f t="array" ref="F197">IF($Q197&gt;=0,IFERROR(generateSalesData($D197, IF(ISNUMBER(_xlfn.XLOOKUP($C197,Phone_by_Sentiment!$B$2:$B$37,Phone_by_Sentiment!F$2:F$37,"",0,1)),_xlfn.XLOOKUP($C197,Phone_by_Sentiment!$B$2:$B$37,Phone_by_Sentiment!F$2:F$37,"",0,1),0),$A197-TEXT(DATEVALUE($D197&amp;"-01"), "dd-mm-yyyy")),0),0)</f>
        <v>0</v>
      </c>
      <c r="G197" cm="1">
        <f t="array" ref="G197">IF($Q197&gt;=0,IFERROR(generateSalesData($D197, IF(ISNUMBER(_xlfn.XLOOKUP($C197,Phone_by_Sentiment!$B$2:$B$37,Phone_by_Sentiment!G$2:G$37,"",0,1)),_xlfn.XLOOKUP($C197,Phone_by_Sentiment!$B$2:$B$37,Phone_by_Sentiment!G$2:G$37,"",0,1),0),$A197-TEXT(DATEVALUE($D197&amp;"-01"), "dd-mm-yyyy")),0),0)</f>
        <v>0</v>
      </c>
      <c r="H197" cm="1">
        <f t="array" ref="H197">IF($Q197&gt;=0,IFERROR(generateSalesData($D197, IF(ISNUMBER(_xlfn.XLOOKUP($C197,Phone_by_Sentiment!$B$2:$B$37,Phone_by_Sentiment!H$2:H$37,"",0,1)),_xlfn.XLOOKUP($C197,Phone_by_Sentiment!$B$2:$B$37,Phone_by_Sentiment!H$2:H$37,"",0,1),0),$A197-TEXT(DATEVALUE($D197&amp;"-01"), "dd-mm-yyyy")),0),0)</f>
        <v>0</v>
      </c>
      <c r="I197" cm="1">
        <f t="array" ref="I197">IF($Q197&gt;=0,IFERROR(generateSalesData($D197, IF(ISNUMBER(_xlfn.XLOOKUP($C197,Phone_by_Sentiment!$B$2:$B$37,Phone_by_Sentiment!I$2:I$37,"",0,1)),_xlfn.XLOOKUP($C197,Phone_by_Sentiment!$B$2:$B$37,Phone_by_Sentiment!I$2:I$37,"",0,1),0),$A197-TEXT(DATEVALUE($D197&amp;"-01"), "dd-mm-yyyy")),0),0)</f>
        <v>0</v>
      </c>
      <c r="J197" cm="1">
        <f t="array" ref="J197">IF($Q197&gt;=0,IFERROR(generateSalesData($D197, IF(ISNUMBER(_xlfn.XLOOKUP($C197,Phone_by_Sentiment!$B$2:$B$37,Phone_by_Sentiment!J$2:J$37,"",0,1)),_xlfn.XLOOKUP($C197,Phone_by_Sentiment!$B$2:$B$37,Phone_by_Sentiment!J$2:J$37,"",0,1),0),$A197-TEXT(DATEVALUE($D197&amp;"-01"), "dd-mm-yyyy")),0),0)</f>
        <v>0</v>
      </c>
      <c r="K197" cm="1">
        <f t="array" ref="K197">IF($Q197&gt;=0,IFERROR(generateSalesData($D197, IF(ISNUMBER(_xlfn.XLOOKUP($C197,Phone_by_Sentiment!$B$2:$B$37,Phone_by_Sentiment!K$2:K$37,"",0,1)),_xlfn.XLOOKUP($C197,Phone_by_Sentiment!$B$2:$B$37,Phone_by_Sentiment!K$2:K$37,"",0,1),0),$A197-TEXT(DATEVALUE($D197&amp;"-01"), "dd-mm-yyyy")),0),0)</f>
        <v>0</v>
      </c>
      <c r="L197" cm="1">
        <f t="array" ref="L197">IF($Q197&gt;=0,IFERROR(generateSalesData($D197, IF(ISNUMBER(_xlfn.XLOOKUP($C197,Phone_by_Sentiment!$B$2:$B$37,Phone_by_Sentiment!L$2:L$37,"",0,1)),_xlfn.XLOOKUP($C197,Phone_by_Sentiment!$B$2:$B$37,Phone_by_Sentiment!L$2:L$37,"",0,1),0),$A197-TEXT(DATEVALUE($D197&amp;"-01"), "dd-mm-yyyy")),0),0)</f>
        <v>0</v>
      </c>
      <c r="M197" cm="1">
        <f t="array" ref="M197">IF($Q197&gt;=0,IFERROR(generateSalesData($D197, IF(ISNUMBER(_xlfn.XLOOKUP($C197,Phone_by_Sentiment!$B$2:$B$37,Phone_by_Sentiment!M$2:M$37,"",0,1)),_xlfn.XLOOKUP($C197,Phone_by_Sentiment!$B$2:$B$37,Phone_by_Sentiment!M$2:M$37,"",0,1),0),$A197-TEXT(DATEVALUE($D197&amp;"-01"), "dd-mm-yyyy")),0),0)</f>
        <v>0</v>
      </c>
      <c r="N197" cm="1">
        <f t="array" ref="N197">IF($Q197&gt;=0,IFERROR(generateSalesData($D197, IF(ISNUMBER(_xlfn.XLOOKUP($C197,Phone_by_Sentiment!$B$2:$B$37,Phone_by_Sentiment!N$2:N$37,"",0,1)),_xlfn.XLOOKUP($C197,Phone_by_Sentiment!$B$2:$B$37,Phone_by_Sentiment!N$2:N$37,"",0,1),0),$A197-TEXT(DATEVALUE($D197&amp;"-01"), "dd-mm-yyyy")),0),0)</f>
        <v>0</v>
      </c>
      <c r="O197" cm="1">
        <f t="array" ref="O197">IF($Q197&gt;=0,IFERROR(generateSalesData($D197, IF(ISNUMBER(_xlfn.XLOOKUP($C197,Phone_by_Sentiment!$B$2:$B$37,Phone_by_Sentiment!O$2:O$37,"",0,1)),_xlfn.XLOOKUP($C197,Phone_by_Sentiment!$B$2:$B$37,Phone_by_Sentiment!O$2:O$37,"",0,1),0),$A197-TEXT(DATEVALUE($D197&amp;"-01"), "dd-mm-yyyy")),0),0)</f>
        <v>0</v>
      </c>
      <c r="P197" s="1">
        <f t="shared" si="7"/>
        <v>44317</v>
      </c>
      <c r="Q197">
        <f t="shared" si="8"/>
        <v>-700</v>
      </c>
    </row>
    <row r="198" spans="1:17" x14ac:dyDescent="0.25">
      <c r="A198" s="1">
        <f t="shared" si="0"/>
        <v>43617</v>
      </c>
      <c r="B198" t="s">
        <v>172</v>
      </c>
      <c r="C198" t="str">
        <f>_xlfn.XLOOKUP(B198,Phone_by_Price!$A$2:$A$34,Phone_by_Price!$B$2:$B$34,"-",0,1)</f>
        <v>Xiaomi Redmi 9</v>
      </c>
      <c r="D198" t="str">
        <f>_xlfn.XLOOKUP(C198,Phone_by_Sentiment!$B$2:$B$37,Phone_by_Sentiment!$A$2:$A$37,"-",0,1)</f>
        <v>2020-08</v>
      </c>
      <c r="E198" cm="1">
        <f t="array" ref="E198">IF($Q198&gt;=0,IFERROR(generateSalesData($D198, IF(ISNUMBER(_xlfn.XLOOKUP($C198,Phone_by_Sentiment!$B$2:$B$37,Phone_by_Sentiment!E$2:E$37,"",0,1)),_xlfn.XLOOKUP($C198,Phone_by_Sentiment!$B$2:$B$37,Phone_by_Sentiment!E$2:E$37,"",0,1),0),$A198-TEXT(DATEVALUE($D198&amp;"-01"), "dd-mm-yyyy")),0),0)</f>
        <v>0</v>
      </c>
      <c r="F198" cm="1">
        <f t="array" ref="F198">IF($Q198&gt;=0,IFERROR(generateSalesData($D198, IF(ISNUMBER(_xlfn.XLOOKUP($C198,Phone_by_Sentiment!$B$2:$B$37,Phone_by_Sentiment!F$2:F$37,"",0,1)),_xlfn.XLOOKUP($C198,Phone_by_Sentiment!$B$2:$B$37,Phone_by_Sentiment!F$2:F$37,"",0,1),0),$A198-TEXT(DATEVALUE($D198&amp;"-01"), "dd-mm-yyyy")),0),0)</f>
        <v>0</v>
      </c>
      <c r="G198" cm="1">
        <f t="array" ref="G198">IF($Q198&gt;=0,IFERROR(generateSalesData($D198, IF(ISNUMBER(_xlfn.XLOOKUP($C198,Phone_by_Sentiment!$B$2:$B$37,Phone_by_Sentiment!G$2:G$37,"",0,1)),_xlfn.XLOOKUP($C198,Phone_by_Sentiment!$B$2:$B$37,Phone_by_Sentiment!G$2:G$37,"",0,1),0),$A198-TEXT(DATEVALUE($D198&amp;"-01"), "dd-mm-yyyy")),0),0)</f>
        <v>0</v>
      </c>
      <c r="H198" cm="1">
        <f t="array" ref="H198">IF($Q198&gt;=0,IFERROR(generateSalesData($D198, IF(ISNUMBER(_xlfn.XLOOKUP($C198,Phone_by_Sentiment!$B$2:$B$37,Phone_by_Sentiment!H$2:H$37,"",0,1)),_xlfn.XLOOKUP($C198,Phone_by_Sentiment!$B$2:$B$37,Phone_by_Sentiment!H$2:H$37,"",0,1),0),$A198-TEXT(DATEVALUE($D198&amp;"-01"), "dd-mm-yyyy")),0),0)</f>
        <v>0</v>
      </c>
      <c r="I198" cm="1">
        <f t="array" ref="I198">IF($Q198&gt;=0,IFERROR(generateSalesData($D198, IF(ISNUMBER(_xlfn.XLOOKUP($C198,Phone_by_Sentiment!$B$2:$B$37,Phone_by_Sentiment!I$2:I$37,"",0,1)),_xlfn.XLOOKUP($C198,Phone_by_Sentiment!$B$2:$B$37,Phone_by_Sentiment!I$2:I$37,"",0,1),0),$A198-TEXT(DATEVALUE($D198&amp;"-01"), "dd-mm-yyyy")),0),0)</f>
        <v>0</v>
      </c>
      <c r="J198" cm="1">
        <f t="array" ref="J198">IF($Q198&gt;=0,IFERROR(generateSalesData($D198, IF(ISNUMBER(_xlfn.XLOOKUP($C198,Phone_by_Sentiment!$B$2:$B$37,Phone_by_Sentiment!J$2:J$37,"",0,1)),_xlfn.XLOOKUP($C198,Phone_by_Sentiment!$B$2:$B$37,Phone_by_Sentiment!J$2:J$37,"",0,1),0),$A198-TEXT(DATEVALUE($D198&amp;"-01"), "dd-mm-yyyy")),0),0)</f>
        <v>0</v>
      </c>
      <c r="K198" cm="1">
        <f t="array" ref="K198">IF($Q198&gt;=0,IFERROR(generateSalesData($D198, IF(ISNUMBER(_xlfn.XLOOKUP($C198,Phone_by_Sentiment!$B$2:$B$37,Phone_by_Sentiment!K$2:K$37,"",0,1)),_xlfn.XLOOKUP($C198,Phone_by_Sentiment!$B$2:$B$37,Phone_by_Sentiment!K$2:K$37,"",0,1),0),$A198-TEXT(DATEVALUE($D198&amp;"-01"), "dd-mm-yyyy")),0),0)</f>
        <v>0</v>
      </c>
      <c r="L198" cm="1">
        <f t="array" ref="L198">IF($Q198&gt;=0,IFERROR(generateSalesData($D198, IF(ISNUMBER(_xlfn.XLOOKUP($C198,Phone_by_Sentiment!$B$2:$B$37,Phone_by_Sentiment!L$2:L$37,"",0,1)),_xlfn.XLOOKUP($C198,Phone_by_Sentiment!$B$2:$B$37,Phone_by_Sentiment!L$2:L$37,"",0,1),0),$A198-TEXT(DATEVALUE($D198&amp;"-01"), "dd-mm-yyyy")),0),0)</f>
        <v>0</v>
      </c>
      <c r="M198" cm="1">
        <f t="array" ref="M198">IF($Q198&gt;=0,IFERROR(generateSalesData($D198, IF(ISNUMBER(_xlfn.XLOOKUP($C198,Phone_by_Sentiment!$B$2:$B$37,Phone_by_Sentiment!M$2:M$37,"",0,1)),_xlfn.XLOOKUP($C198,Phone_by_Sentiment!$B$2:$B$37,Phone_by_Sentiment!M$2:M$37,"",0,1),0),$A198-TEXT(DATEVALUE($D198&amp;"-01"), "dd-mm-yyyy")),0),0)</f>
        <v>0</v>
      </c>
      <c r="N198" cm="1">
        <f t="array" ref="N198">IF($Q198&gt;=0,IFERROR(generateSalesData($D198, IF(ISNUMBER(_xlfn.XLOOKUP($C198,Phone_by_Sentiment!$B$2:$B$37,Phone_by_Sentiment!N$2:N$37,"",0,1)),_xlfn.XLOOKUP($C198,Phone_by_Sentiment!$B$2:$B$37,Phone_by_Sentiment!N$2:N$37,"",0,1),0),$A198-TEXT(DATEVALUE($D198&amp;"-01"), "dd-mm-yyyy")),0),0)</f>
        <v>0</v>
      </c>
      <c r="O198" cm="1">
        <f t="array" ref="O198">IF($Q198&gt;=0,IFERROR(generateSalesData($D198, IF(ISNUMBER(_xlfn.XLOOKUP($C198,Phone_by_Sentiment!$B$2:$B$37,Phone_by_Sentiment!O$2:O$37,"",0,1)),_xlfn.XLOOKUP($C198,Phone_by_Sentiment!$B$2:$B$37,Phone_by_Sentiment!O$2:O$37,"",0,1),0),$A198-TEXT(DATEVALUE($D198&amp;"-01"), "dd-mm-yyyy")),0),0)</f>
        <v>0</v>
      </c>
      <c r="P198" s="1">
        <f t="shared" si="7"/>
        <v>44044</v>
      </c>
      <c r="Q198">
        <f t="shared" si="8"/>
        <v>-427</v>
      </c>
    </row>
    <row r="199" spans="1:17" x14ac:dyDescent="0.25">
      <c r="A199" s="1">
        <f t="shared" si="0"/>
        <v>43617</v>
      </c>
      <c r="B199" t="s">
        <v>173</v>
      </c>
      <c r="C199" t="str">
        <f>_xlfn.XLOOKUP(B199,Phone_by_Price!$A$2:$A$34,Phone_by_Price!$B$2:$B$34,"-",0,1)</f>
        <v>Realme C3</v>
      </c>
      <c r="D199" t="str">
        <f>_xlfn.XLOOKUP(C199,Phone_by_Sentiment!$B$2:$B$37,Phone_by_Sentiment!$A$2:$A$37,"-",0,1)</f>
        <v>2020-02</v>
      </c>
      <c r="E199" cm="1">
        <f t="array" ref="E199">IF($Q199&gt;=0,IFERROR(generateSalesData($D199, IF(ISNUMBER(_xlfn.XLOOKUP($C199,Phone_by_Sentiment!$B$2:$B$37,Phone_by_Sentiment!E$2:E$37,"",0,1)),_xlfn.XLOOKUP($C199,Phone_by_Sentiment!$B$2:$B$37,Phone_by_Sentiment!E$2:E$37,"",0,1),0),$A199-TEXT(DATEVALUE($D199&amp;"-01"), "dd-mm-yyyy")),0),0)</f>
        <v>0</v>
      </c>
      <c r="F199" cm="1">
        <f t="array" ref="F199">IF($Q199&gt;=0,IFERROR(generateSalesData($D199, IF(ISNUMBER(_xlfn.XLOOKUP($C199,Phone_by_Sentiment!$B$2:$B$37,Phone_by_Sentiment!F$2:F$37,"",0,1)),_xlfn.XLOOKUP($C199,Phone_by_Sentiment!$B$2:$B$37,Phone_by_Sentiment!F$2:F$37,"",0,1),0),$A199-TEXT(DATEVALUE($D199&amp;"-01"), "dd-mm-yyyy")),0),0)</f>
        <v>0</v>
      </c>
      <c r="G199" cm="1">
        <f t="array" ref="G199">IF($Q199&gt;=0,IFERROR(generateSalesData($D199, IF(ISNUMBER(_xlfn.XLOOKUP($C199,Phone_by_Sentiment!$B$2:$B$37,Phone_by_Sentiment!G$2:G$37,"",0,1)),_xlfn.XLOOKUP($C199,Phone_by_Sentiment!$B$2:$B$37,Phone_by_Sentiment!G$2:G$37,"",0,1),0),$A199-TEXT(DATEVALUE($D199&amp;"-01"), "dd-mm-yyyy")),0),0)</f>
        <v>0</v>
      </c>
      <c r="H199" cm="1">
        <f t="array" ref="H199">IF($Q199&gt;=0,IFERROR(generateSalesData($D199, IF(ISNUMBER(_xlfn.XLOOKUP($C199,Phone_by_Sentiment!$B$2:$B$37,Phone_by_Sentiment!H$2:H$37,"",0,1)),_xlfn.XLOOKUP($C199,Phone_by_Sentiment!$B$2:$B$37,Phone_by_Sentiment!H$2:H$37,"",0,1),0),$A199-TEXT(DATEVALUE($D199&amp;"-01"), "dd-mm-yyyy")),0),0)</f>
        <v>0</v>
      </c>
      <c r="I199" cm="1">
        <f t="array" ref="I199">IF($Q199&gt;=0,IFERROR(generateSalesData($D199, IF(ISNUMBER(_xlfn.XLOOKUP($C199,Phone_by_Sentiment!$B$2:$B$37,Phone_by_Sentiment!I$2:I$37,"",0,1)),_xlfn.XLOOKUP($C199,Phone_by_Sentiment!$B$2:$B$37,Phone_by_Sentiment!I$2:I$37,"",0,1),0),$A199-TEXT(DATEVALUE($D199&amp;"-01"), "dd-mm-yyyy")),0),0)</f>
        <v>0</v>
      </c>
      <c r="J199" cm="1">
        <f t="array" ref="J199">IF($Q199&gt;=0,IFERROR(generateSalesData($D199, IF(ISNUMBER(_xlfn.XLOOKUP($C199,Phone_by_Sentiment!$B$2:$B$37,Phone_by_Sentiment!J$2:J$37,"",0,1)),_xlfn.XLOOKUP($C199,Phone_by_Sentiment!$B$2:$B$37,Phone_by_Sentiment!J$2:J$37,"",0,1),0),$A199-TEXT(DATEVALUE($D199&amp;"-01"), "dd-mm-yyyy")),0),0)</f>
        <v>0</v>
      </c>
      <c r="K199" cm="1">
        <f t="array" ref="K199">IF($Q199&gt;=0,IFERROR(generateSalesData($D199, IF(ISNUMBER(_xlfn.XLOOKUP($C199,Phone_by_Sentiment!$B$2:$B$37,Phone_by_Sentiment!K$2:K$37,"",0,1)),_xlfn.XLOOKUP($C199,Phone_by_Sentiment!$B$2:$B$37,Phone_by_Sentiment!K$2:K$37,"",0,1),0),$A199-TEXT(DATEVALUE($D199&amp;"-01"), "dd-mm-yyyy")),0),0)</f>
        <v>0</v>
      </c>
      <c r="L199" cm="1">
        <f t="array" ref="L199">IF($Q199&gt;=0,IFERROR(generateSalesData($D199, IF(ISNUMBER(_xlfn.XLOOKUP($C199,Phone_by_Sentiment!$B$2:$B$37,Phone_by_Sentiment!L$2:L$37,"",0,1)),_xlfn.XLOOKUP($C199,Phone_by_Sentiment!$B$2:$B$37,Phone_by_Sentiment!L$2:L$37,"",0,1),0),$A199-TEXT(DATEVALUE($D199&amp;"-01"), "dd-mm-yyyy")),0),0)</f>
        <v>0</v>
      </c>
      <c r="M199" cm="1">
        <f t="array" ref="M199">IF($Q199&gt;=0,IFERROR(generateSalesData($D199, IF(ISNUMBER(_xlfn.XLOOKUP($C199,Phone_by_Sentiment!$B$2:$B$37,Phone_by_Sentiment!M$2:M$37,"",0,1)),_xlfn.XLOOKUP($C199,Phone_by_Sentiment!$B$2:$B$37,Phone_by_Sentiment!M$2:M$37,"",0,1),0),$A199-TEXT(DATEVALUE($D199&amp;"-01"), "dd-mm-yyyy")),0),0)</f>
        <v>0</v>
      </c>
      <c r="N199" cm="1">
        <f t="array" ref="N199">IF($Q199&gt;=0,IFERROR(generateSalesData($D199, IF(ISNUMBER(_xlfn.XLOOKUP($C199,Phone_by_Sentiment!$B$2:$B$37,Phone_by_Sentiment!N$2:N$37,"",0,1)),_xlfn.XLOOKUP($C199,Phone_by_Sentiment!$B$2:$B$37,Phone_by_Sentiment!N$2:N$37,"",0,1),0),$A199-TEXT(DATEVALUE($D199&amp;"-01"), "dd-mm-yyyy")),0),0)</f>
        <v>0</v>
      </c>
      <c r="O199" cm="1">
        <f t="array" ref="O199">IF($Q199&gt;=0,IFERROR(generateSalesData($D199, IF(ISNUMBER(_xlfn.XLOOKUP($C199,Phone_by_Sentiment!$B$2:$B$37,Phone_by_Sentiment!O$2:O$37,"",0,1)),_xlfn.XLOOKUP($C199,Phone_by_Sentiment!$B$2:$B$37,Phone_by_Sentiment!O$2:O$37,"",0,1),0),$A199-TEXT(DATEVALUE($D199&amp;"-01"), "dd-mm-yyyy")),0),0)</f>
        <v>0</v>
      </c>
      <c r="P199" s="1">
        <f t="shared" si="7"/>
        <v>43862</v>
      </c>
      <c r="Q199">
        <f t="shared" si="8"/>
        <v>-245</v>
      </c>
    </row>
    <row r="200" spans="1:17" x14ac:dyDescent="0.25">
      <c r="A200" s="1">
        <f t="shared" si="0"/>
        <v>43617</v>
      </c>
      <c r="B200" t="s">
        <v>174</v>
      </c>
      <c r="C200" t="str">
        <f>_xlfn.XLOOKUP(B200,Phone_by_Price!$A$2:$A$34,Phone_by_Price!$B$2:$B$34,"-",0,1)</f>
        <v>Samsung Galaxy A7</v>
      </c>
      <c r="D200" t="str">
        <f>_xlfn.XLOOKUP(C200,Phone_by_Sentiment!$B$2:$B$37,Phone_by_Sentiment!$A$2:$A$37,"-",0,1)</f>
        <v>2018-10</v>
      </c>
      <c r="E200" cm="1">
        <f t="array" ref="E200">IF($Q200&gt;=0,IFERROR(generateSalesData($D200, IF(ISNUMBER(_xlfn.XLOOKUP($C200,Phone_by_Sentiment!$B$2:$B$37,Phone_by_Sentiment!E$2:E$37,"",0,1)),_xlfn.XLOOKUP($C200,Phone_by_Sentiment!$B$2:$B$37,Phone_by_Sentiment!E$2:E$37,"",0,1),0),$A200-TEXT(DATEVALUE($D200&amp;"-01"), "dd-mm-yyyy")),0),0)</f>
        <v>339</v>
      </c>
      <c r="F200" cm="1">
        <f t="array" ref="F200">IF($Q200&gt;=0,IFERROR(generateSalesData($D200, IF(ISNUMBER(_xlfn.XLOOKUP($C200,Phone_by_Sentiment!$B$2:$B$37,Phone_by_Sentiment!F$2:F$37,"",0,1)),_xlfn.XLOOKUP($C200,Phone_by_Sentiment!$B$2:$B$37,Phone_by_Sentiment!F$2:F$37,"",0,1),0),$A200-TEXT(DATEVALUE($D200&amp;"-01"), "dd-mm-yyyy")),0),0)</f>
        <v>307</v>
      </c>
      <c r="G200" cm="1">
        <f t="array" ref="G200">IF($Q200&gt;=0,IFERROR(generateSalesData($D200, IF(ISNUMBER(_xlfn.XLOOKUP($C200,Phone_by_Sentiment!$B$2:$B$37,Phone_by_Sentiment!G$2:G$37,"",0,1)),_xlfn.XLOOKUP($C200,Phone_by_Sentiment!$B$2:$B$37,Phone_by_Sentiment!G$2:G$37,"",0,1),0),$A200-TEXT(DATEVALUE($D200&amp;"-01"), "dd-mm-yyyy")),0),0)</f>
        <v>381</v>
      </c>
      <c r="H200" cm="1">
        <f t="array" ref="H200">IF($Q200&gt;=0,IFERROR(generateSalesData($D200, IF(ISNUMBER(_xlfn.XLOOKUP($C200,Phone_by_Sentiment!$B$2:$B$37,Phone_by_Sentiment!H$2:H$37,"",0,1)),_xlfn.XLOOKUP($C200,Phone_by_Sentiment!$B$2:$B$37,Phone_by_Sentiment!H$2:H$37,"",0,1),0),$A200-TEXT(DATEVALUE($D200&amp;"-01"), "dd-mm-yyyy")),0),0)</f>
        <v>1252</v>
      </c>
      <c r="I200" cm="1">
        <f t="array" ref="I200">IF($Q200&gt;=0,IFERROR(generateSalesData($D200, IF(ISNUMBER(_xlfn.XLOOKUP($C200,Phone_by_Sentiment!$B$2:$B$37,Phone_by_Sentiment!I$2:I$37,"",0,1)),_xlfn.XLOOKUP($C200,Phone_by_Sentiment!$B$2:$B$37,Phone_by_Sentiment!I$2:I$37,"",0,1),0),$A200-TEXT(DATEVALUE($D200&amp;"-01"), "dd-mm-yyyy")),0),0)</f>
        <v>1293</v>
      </c>
      <c r="J200" cm="1">
        <f t="array" ref="J200">IF($Q200&gt;=0,IFERROR(generateSalesData($D200, IF(ISNUMBER(_xlfn.XLOOKUP($C200,Phone_by_Sentiment!$B$2:$B$37,Phone_by_Sentiment!J$2:J$37,"",0,1)),_xlfn.XLOOKUP($C200,Phone_by_Sentiment!$B$2:$B$37,Phone_by_Sentiment!J$2:J$37,"",0,1),0),$A200-TEXT(DATEVALUE($D200&amp;"-01"), "dd-mm-yyyy")),0),0)</f>
        <v>209</v>
      </c>
      <c r="K200" cm="1">
        <f t="array" ref="K200">IF($Q200&gt;=0,IFERROR(generateSalesData($D200, IF(ISNUMBER(_xlfn.XLOOKUP($C200,Phone_by_Sentiment!$B$2:$B$37,Phone_by_Sentiment!K$2:K$37,"",0,1)),_xlfn.XLOOKUP($C200,Phone_by_Sentiment!$B$2:$B$37,Phone_by_Sentiment!K$2:K$37,"",0,1),0),$A200-TEXT(DATEVALUE($D200&amp;"-01"), "dd-mm-yyyy")),0),0)</f>
        <v>217</v>
      </c>
      <c r="L200" cm="1">
        <f t="array" ref="L200">IF($Q200&gt;=0,IFERROR(generateSalesData($D200, IF(ISNUMBER(_xlfn.XLOOKUP($C200,Phone_by_Sentiment!$B$2:$B$37,Phone_by_Sentiment!L$2:L$37,"",0,1)),_xlfn.XLOOKUP($C200,Phone_by_Sentiment!$B$2:$B$37,Phone_by_Sentiment!L$2:L$37,"",0,1),0),$A200-TEXT(DATEVALUE($D200&amp;"-01"), "dd-mm-yyyy")),0),0)</f>
        <v>435</v>
      </c>
      <c r="M200" cm="1">
        <f t="array" ref="M200">IF($Q200&gt;=0,IFERROR(generateSalesData($D200, IF(ISNUMBER(_xlfn.XLOOKUP($C200,Phone_by_Sentiment!$B$2:$B$37,Phone_by_Sentiment!M$2:M$37,"",0,1)),_xlfn.XLOOKUP($C200,Phone_by_Sentiment!$B$2:$B$37,Phone_by_Sentiment!M$2:M$37,"",0,1),0),$A200-TEXT(DATEVALUE($D200&amp;"-01"), "dd-mm-yyyy")),0),0)</f>
        <v>1731</v>
      </c>
      <c r="N200" cm="1">
        <f t="array" ref="N200">IF($Q200&gt;=0,IFERROR(generateSalesData($D200, IF(ISNUMBER(_xlfn.XLOOKUP($C200,Phone_by_Sentiment!$B$2:$B$37,Phone_by_Sentiment!N$2:N$37,"",0,1)),_xlfn.XLOOKUP($C200,Phone_by_Sentiment!$B$2:$B$37,Phone_by_Sentiment!N$2:N$37,"",0,1),0),$A200-TEXT(DATEVALUE($D200&amp;"-01"), "dd-mm-yyyy")),0),0)</f>
        <v>892</v>
      </c>
      <c r="O200" cm="1">
        <f t="array" ref="O200">IF($Q200&gt;=0,IFERROR(generateSalesData($D200, IF(ISNUMBER(_xlfn.XLOOKUP($C200,Phone_by_Sentiment!$B$2:$B$37,Phone_by_Sentiment!O$2:O$37,"",0,1)),_xlfn.XLOOKUP($C200,Phone_by_Sentiment!$B$2:$B$37,Phone_by_Sentiment!O$2:O$37,"",0,1),0),$A200-TEXT(DATEVALUE($D200&amp;"-01"), "dd-mm-yyyy")),0),0)</f>
        <v>1459</v>
      </c>
      <c r="P200" s="1">
        <f t="shared" si="7"/>
        <v>43374</v>
      </c>
      <c r="Q200">
        <f t="shared" si="8"/>
        <v>243</v>
      </c>
    </row>
    <row r="201" spans="1:17" x14ac:dyDescent="0.25">
      <c r="A201" s="1">
        <f t="shared" si="0"/>
        <v>43617</v>
      </c>
      <c r="B201" t="s">
        <v>142</v>
      </c>
      <c r="C201" t="str">
        <f>_xlfn.XLOOKUP(B201,Phone_by_Price!$A$2:$A$34,Phone_by_Price!$B$2:$B$34,"-",0,1)</f>
        <v>iPhone 11</v>
      </c>
      <c r="D201" t="str">
        <f>_xlfn.XLOOKUP(C201,Phone_by_Sentiment!$B$2:$B$37,Phone_by_Sentiment!$A$2:$A$37,"-",0,1)</f>
        <v>2019-09</v>
      </c>
      <c r="E201" cm="1">
        <f t="array" ref="E201">IF($Q201&gt;=0,IFERROR(generateSalesData($D201, IF(ISNUMBER(_xlfn.XLOOKUP($C201,Phone_by_Sentiment!$B$2:$B$37,Phone_by_Sentiment!E$2:E$37,"",0,1)),_xlfn.XLOOKUP($C201,Phone_by_Sentiment!$B$2:$B$37,Phone_by_Sentiment!E$2:E$37,"",0,1),0),$A201-TEXT(DATEVALUE($D201&amp;"-01"), "dd-mm-yyyy")),0),0)</f>
        <v>0</v>
      </c>
      <c r="F201" cm="1">
        <f t="array" ref="F201">IF($Q201&gt;=0,IFERROR(generateSalesData($D201, IF(ISNUMBER(_xlfn.XLOOKUP($C201,Phone_by_Sentiment!$B$2:$B$37,Phone_by_Sentiment!F$2:F$37,"",0,1)),_xlfn.XLOOKUP($C201,Phone_by_Sentiment!$B$2:$B$37,Phone_by_Sentiment!F$2:F$37,"",0,1),0),$A201-TEXT(DATEVALUE($D201&amp;"-01"), "dd-mm-yyyy")),0),0)</f>
        <v>0</v>
      </c>
      <c r="G201" cm="1">
        <f t="array" ref="G201">IF($Q201&gt;=0,IFERROR(generateSalesData($D201, IF(ISNUMBER(_xlfn.XLOOKUP($C201,Phone_by_Sentiment!$B$2:$B$37,Phone_by_Sentiment!G$2:G$37,"",0,1)),_xlfn.XLOOKUP($C201,Phone_by_Sentiment!$B$2:$B$37,Phone_by_Sentiment!G$2:G$37,"",0,1),0),$A201-TEXT(DATEVALUE($D201&amp;"-01"), "dd-mm-yyyy")),0),0)</f>
        <v>0</v>
      </c>
      <c r="H201" cm="1">
        <f t="array" ref="H201">IF($Q201&gt;=0,IFERROR(generateSalesData($D201, IF(ISNUMBER(_xlfn.XLOOKUP($C201,Phone_by_Sentiment!$B$2:$B$37,Phone_by_Sentiment!H$2:H$37,"",0,1)),_xlfn.XLOOKUP($C201,Phone_by_Sentiment!$B$2:$B$37,Phone_by_Sentiment!H$2:H$37,"",0,1),0),$A201-TEXT(DATEVALUE($D201&amp;"-01"), "dd-mm-yyyy")),0),0)</f>
        <v>0</v>
      </c>
      <c r="I201" cm="1">
        <f t="array" ref="I201">IF($Q201&gt;=0,IFERROR(generateSalesData($D201, IF(ISNUMBER(_xlfn.XLOOKUP($C201,Phone_by_Sentiment!$B$2:$B$37,Phone_by_Sentiment!I$2:I$37,"",0,1)),_xlfn.XLOOKUP($C201,Phone_by_Sentiment!$B$2:$B$37,Phone_by_Sentiment!I$2:I$37,"",0,1),0),$A201-TEXT(DATEVALUE($D201&amp;"-01"), "dd-mm-yyyy")),0),0)</f>
        <v>0</v>
      </c>
      <c r="J201" cm="1">
        <f t="array" ref="J201">IF($Q201&gt;=0,IFERROR(generateSalesData($D201, IF(ISNUMBER(_xlfn.XLOOKUP($C201,Phone_by_Sentiment!$B$2:$B$37,Phone_by_Sentiment!J$2:J$37,"",0,1)),_xlfn.XLOOKUP($C201,Phone_by_Sentiment!$B$2:$B$37,Phone_by_Sentiment!J$2:J$37,"",0,1),0),$A201-TEXT(DATEVALUE($D201&amp;"-01"), "dd-mm-yyyy")),0),0)</f>
        <v>0</v>
      </c>
      <c r="K201" cm="1">
        <f t="array" ref="K201">IF($Q201&gt;=0,IFERROR(generateSalesData($D201, IF(ISNUMBER(_xlfn.XLOOKUP($C201,Phone_by_Sentiment!$B$2:$B$37,Phone_by_Sentiment!K$2:K$37,"",0,1)),_xlfn.XLOOKUP($C201,Phone_by_Sentiment!$B$2:$B$37,Phone_by_Sentiment!K$2:K$37,"",0,1),0),$A201-TEXT(DATEVALUE($D201&amp;"-01"), "dd-mm-yyyy")),0),0)</f>
        <v>0</v>
      </c>
      <c r="L201" cm="1">
        <f t="array" ref="L201">IF($Q201&gt;=0,IFERROR(generateSalesData($D201, IF(ISNUMBER(_xlfn.XLOOKUP($C201,Phone_by_Sentiment!$B$2:$B$37,Phone_by_Sentiment!L$2:L$37,"",0,1)),_xlfn.XLOOKUP($C201,Phone_by_Sentiment!$B$2:$B$37,Phone_by_Sentiment!L$2:L$37,"",0,1),0),$A201-TEXT(DATEVALUE($D201&amp;"-01"), "dd-mm-yyyy")),0),0)</f>
        <v>0</v>
      </c>
      <c r="M201" cm="1">
        <f t="array" ref="M201">IF($Q201&gt;=0,IFERROR(generateSalesData($D201, IF(ISNUMBER(_xlfn.XLOOKUP($C201,Phone_by_Sentiment!$B$2:$B$37,Phone_by_Sentiment!M$2:M$37,"",0,1)),_xlfn.XLOOKUP($C201,Phone_by_Sentiment!$B$2:$B$37,Phone_by_Sentiment!M$2:M$37,"",0,1),0),$A201-TEXT(DATEVALUE($D201&amp;"-01"), "dd-mm-yyyy")),0),0)</f>
        <v>0</v>
      </c>
      <c r="N201" cm="1">
        <f t="array" ref="N201">IF($Q201&gt;=0,IFERROR(generateSalesData($D201, IF(ISNUMBER(_xlfn.XLOOKUP($C201,Phone_by_Sentiment!$B$2:$B$37,Phone_by_Sentiment!N$2:N$37,"",0,1)),_xlfn.XLOOKUP($C201,Phone_by_Sentiment!$B$2:$B$37,Phone_by_Sentiment!N$2:N$37,"",0,1),0),$A201-TEXT(DATEVALUE($D201&amp;"-01"), "dd-mm-yyyy")),0),0)</f>
        <v>0</v>
      </c>
      <c r="O201" cm="1">
        <f t="array" ref="O201">IF($Q201&gt;=0,IFERROR(generateSalesData($D201, IF(ISNUMBER(_xlfn.XLOOKUP($C201,Phone_by_Sentiment!$B$2:$B$37,Phone_by_Sentiment!O$2:O$37,"",0,1)),_xlfn.XLOOKUP($C201,Phone_by_Sentiment!$B$2:$B$37,Phone_by_Sentiment!O$2:O$37,"",0,1),0),$A201-TEXT(DATEVALUE($D201&amp;"-01"), "dd-mm-yyyy")),0),0)</f>
        <v>0</v>
      </c>
      <c r="P201" s="1">
        <f t="shared" si="7"/>
        <v>43709</v>
      </c>
      <c r="Q201">
        <f t="shared" si="8"/>
        <v>-92</v>
      </c>
    </row>
    <row r="202" spans="1:17" x14ac:dyDescent="0.25">
      <c r="A202" s="1">
        <f t="shared" si="0"/>
        <v>43617</v>
      </c>
      <c r="B202" t="s">
        <v>143</v>
      </c>
      <c r="C202" t="str">
        <f>_xlfn.XLOOKUP(B202,Phone_by_Price!$A$2:$A$34,Phone_by_Price!$B$2:$B$34,"-",0,1)</f>
        <v>Samsung Galaxy S20 Ultra</v>
      </c>
      <c r="D202" t="str">
        <f>_xlfn.XLOOKUP(C202,Phone_by_Sentiment!$B$2:$B$37,Phone_by_Sentiment!$A$2:$A$37,"-",0,1)</f>
        <v>2020-02</v>
      </c>
      <c r="E202" cm="1">
        <f t="array" ref="E202">IF($Q202&gt;=0,IFERROR(generateSalesData($D202, IF(ISNUMBER(_xlfn.XLOOKUP($C202,Phone_by_Sentiment!$B$2:$B$37,Phone_by_Sentiment!E$2:E$37,"",0,1)),_xlfn.XLOOKUP($C202,Phone_by_Sentiment!$B$2:$B$37,Phone_by_Sentiment!E$2:E$37,"",0,1),0),$A202-TEXT(DATEVALUE($D202&amp;"-01"), "dd-mm-yyyy")),0),0)</f>
        <v>0</v>
      </c>
      <c r="F202" cm="1">
        <f t="array" ref="F202">IF($Q202&gt;=0,IFERROR(generateSalesData($D202, IF(ISNUMBER(_xlfn.XLOOKUP($C202,Phone_by_Sentiment!$B$2:$B$37,Phone_by_Sentiment!F$2:F$37,"",0,1)),_xlfn.XLOOKUP($C202,Phone_by_Sentiment!$B$2:$B$37,Phone_by_Sentiment!F$2:F$37,"",0,1),0),$A202-TEXT(DATEVALUE($D202&amp;"-01"), "dd-mm-yyyy")),0),0)</f>
        <v>0</v>
      </c>
      <c r="G202" cm="1">
        <f t="array" ref="G202">IF($Q202&gt;=0,IFERROR(generateSalesData($D202, IF(ISNUMBER(_xlfn.XLOOKUP($C202,Phone_by_Sentiment!$B$2:$B$37,Phone_by_Sentiment!G$2:G$37,"",0,1)),_xlfn.XLOOKUP($C202,Phone_by_Sentiment!$B$2:$B$37,Phone_by_Sentiment!G$2:G$37,"",0,1),0),$A202-TEXT(DATEVALUE($D202&amp;"-01"), "dd-mm-yyyy")),0),0)</f>
        <v>0</v>
      </c>
      <c r="H202" cm="1">
        <f t="array" ref="H202">IF($Q202&gt;=0,IFERROR(generateSalesData($D202, IF(ISNUMBER(_xlfn.XLOOKUP($C202,Phone_by_Sentiment!$B$2:$B$37,Phone_by_Sentiment!H$2:H$37,"",0,1)),_xlfn.XLOOKUP($C202,Phone_by_Sentiment!$B$2:$B$37,Phone_by_Sentiment!H$2:H$37,"",0,1),0),$A202-TEXT(DATEVALUE($D202&amp;"-01"), "dd-mm-yyyy")),0),0)</f>
        <v>0</v>
      </c>
      <c r="I202" cm="1">
        <f t="array" ref="I202">IF($Q202&gt;=0,IFERROR(generateSalesData($D202, IF(ISNUMBER(_xlfn.XLOOKUP($C202,Phone_by_Sentiment!$B$2:$B$37,Phone_by_Sentiment!I$2:I$37,"",0,1)),_xlfn.XLOOKUP($C202,Phone_by_Sentiment!$B$2:$B$37,Phone_by_Sentiment!I$2:I$37,"",0,1),0),$A202-TEXT(DATEVALUE($D202&amp;"-01"), "dd-mm-yyyy")),0),0)</f>
        <v>0</v>
      </c>
      <c r="J202" cm="1">
        <f t="array" ref="J202">IF($Q202&gt;=0,IFERROR(generateSalesData($D202, IF(ISNUMBER(_xlfn.XLOOKUP($C202,Phone_by_Sentiment!$B$2:$B$37,Phone_by_Sentiment!J$2:J$37,"",0,1)),_xlfn.XLOOKUP($C202,Phone_by_Sentiment!$B$2:$B$37,Phone_by_Sentiment!J$2:J$37,"",0,1),0),$A202-TEXT(DATEVALUE($D202&amp;"-01"), "dd-mm-yyyy")),0),0)</f>
        <v>0</v>
      </c>
      <c r="K202" cm="1">
        <f t="array" ref="K202">IF($Q202&gt;=0,IFERROR(generateSalesData($D202, IF(ISNUMBER(_xlfn.XLOOKUP($C202,Phone_by_Sentiment!$B$2:$B$37,Phone_by_Sentiment!K$2:K$37,"",0,1)),_xlfn.XLOOKUP($C202,Phone_by_Sentiment!$B$2:$B$37,Phone_by_Sentiment!K$2:K$37,"",0,1),0),$A202-TEXT(DATEVALUE($D202&amp;"-01"), "dd-mm-yyyy")),0),0)</f>
        <v>0</v>
      </c>
      <c r="L202" cm="1">
        <f t="array" ref="L202">IF($Q202&gt;=0,IFERROR(generateSalesData($D202, IF(ISNUMBER(_xlfn.XLOOKUP($C202,Phone_by_Sentiment!$B$2:$B$37,Phone_by_Sentiment!L$2:L$37,"",0,1)),_xlfn.XLOOKUP($C202,Phone_by_Sentiment!$B$2:$B$37,Phone_by_Sentiment!L$2:L$37,"",0,1),0),$A202-TEXT(DATEVALUE($D202&amp;"-01"), "dd-mm-yyyy")),0),0)</f>
        <v>0</v>
      </c>
      <c r="M202" cm="1">
        <f t="array" ref="M202">IF($Q202&gt;=0,IFERROR(generateSalesData($D202, IF(ISNUMBER(_xlfn.XLOOKUP($C202,Phone_by_Sentiment!$B$2:$B$37,Phone_by_Sentiment!M$2:M$37,"",0,1)),_xlfn.XLOOKUP($C202,Phone_by_Sentiment!$B$2:$B$37,Phone_by_Sentiment!M$2:M$37,"",0,1),0),$A202-TEXT(DATEVALUE($D202&amp;"-01"), "dd-mm-yyyy")),0),0)</f>
        <v>0</v>
      </c>
      <c r="N202" cm="1">
        <f t="array" ref="N202">IF($Q202&gt;=0,IFERROR(generateSalesData($D202, IF(ISNUMBER(_xlfn.XLOOKUP($C202,Phone_by_Sentiment!$B$2:$B$37,Phone_by_Sentiment!N$2:N$37,"",0,1)),_xlfn.XLOOKUP($C202,Phone_by_Sentiment!$B$2:$B$37,Phone_by_Sentiment!N$2:N$37,"",0,1),0),$A202-TEXT(DATEVALUE($D202&amp;"-01"), "dd-mm-yyyy")),0),0)</f>
        <v>0</v>
      </c>
      <c r="O202" cm="1">
        <f t="array" ref="O202">IF($Q202&gt;=0,IFERROR(generateSalesData($D202, IF(ISNUMBER(_xlfn.XLOOKUP($C202,Phone_by_Sentiment!$B$2:$B$37,Phone_by_Sentiment!O$2:O$37,"",0,1)),_xlfn.XLOOKUP($C202,Phone_by_Sentiment!$B$2:$B$37,Phone_by_Sentiment!O$2:O$37,"",0,1),0),$A202-TEXT(DATEVALUE($D202&amp;"-01"), "dd-mm-yyyy")),0),0)</f>
        <v>0</v>
      </c>
      <c r="P202" s="1">
        <f t="shared" si="7"/>
        <v>43862</v>
      </c>
      <c r="Q202">
        <f t="shared" si="8"/>
        <v>-245</v>
      </c>
    </row>
    <row r="203" spans="1:17" x14ac:dyDescent="0.25">
      <c r="A203" s="1">
        <f t="shared" si="0"/>
        <v>43617</v>
      </c>
      <c r="B203" t="s">
        <v>144</v>
      </c>
      <c r="C203" t="str">
        <f>_xlfn.XLOOKUP(B203,Phone_by_Price!$A$2:$A$34,Phone_by_Price!$B$2:$B$34,"-",0,1)</f>
        <v>Xiaomi Redmi Note 10</v>
      </c>
      <c r="D203" t="str">
        <f>_xlfn.XLOOKUP(C203,Phone_by_Sentiment!$B$2:$B$37,Phone_by_Sentiment!$A$2:$A$37,"-",0,1)</f>
        <v>2021-03</v>
      </c>
      <c r="E203" cm="1">
        <f t="array" ref="E203">IF($Q203&gt;=0,IFERROR(generateSalesData($D203, IF(ISNUMBER(_xlfn.XLOOKUP($C203,Phone_by_Sentiment!$B$2:$B$37,Phone_by_Sentiment!E$2:E$37,"",0,1)),_xlfn.XLOOKUP($C203,Phone_by_Sentiment!$B$2:$B$37,Phone_by_Sentiment!E$2:E$37,"",0,1),0),$A203-TEXT(DATEVALUE($D203&amp;"-01"), "dd-mm-yyyy")),0),0)</f>
        <v>0</v>
      </c>
      <c r="F203" cm="1">
        <f t="array" ref="F203">IF($Q203&gt;=0,IFERROR(generateSalesData($D203, IF(ISNUMBER(_xlfn.XLOOKUP($C203,Phone_by_Sentiment!$B$2:$B$37,Phone_by_Sentiment!F$2:F$37,"",0,1)),_xlfn.XLOOKUP($C203,Phone_by_Sentiment!$B$2:$B$37,Phone_by_Sentiment!F$2:F$37,"",0,1),0),$A203-TEXT(DATEVALUE($D203&amp;"-01"), "dd-mm-yyyy")),0),0)</f>
        <v>0</v>
      </c>
      <c r="G203" cm="1">
        <f t="array" ref="G203">IF($Q203&gt;=0,IFERROR(generateSalesData($D203, IF(ISNUMBER(_xlfn.XLOOKUP($C203,Phone_by_Sentiment!$B$2:$B$37,Phone_by_Sentiment!G$2:G$37,"",0,1)),_xlfn.XLOOKUP($C203,Phone_by_Sentiment!$B$2:$B$37,Phone_by_Sentiment!G$2:G$37,"",0,1),0),$A203-TEXT(DATEVALUE($D203&amp;"-01"), "dd-mm-yyyy")),0),0)</f>
        <v>0</v>
      </c>
      <c r="H203" cm="1">
        <f t="array" ref="H203">IF($Q203&gt;=0,IFERROR(generateSalesData($D203, IF(ISNUMBER(_xlfn.XLOOKUP($C203,Phone_by_Sentiment!$B$2:$B$37,Phone_by_Sentiment!H$2:H$37,"",0,1)),_xlfn.XLOOKUP($C203,Phone_by_Sentiment!$B$2:$B$37,Phone_by_Sentiment!H$2:H$37,"",0,1),0),$A203-TEXT(DATEVALUE($D203&amp;"-01"), "dd-mm-yyyy")),0),0)</f>
        <v>0</v>
      </c>
      <c r="I203" cm="1">
        <f t="array" ref="I203">IF($Q203&gt;=0,IFERROR(generateSalesData($D203, IF(ISNUMBER(_xlfn.XLOOKUP($C203,Phone_by_Sentiment!$B$2:$B$37,Phone_by_Sentiment!I$2:I$37,"",0,1)),_xlfn.XLOOKUP($C203,Phone_by_Sentiment!$B$2:$B$37,Phone_by_Sentiment!I$2:I$37,"",0,1),0),$A203-TEXT(DATEVALUE($D203&amp;"-01"), "dd-mm-yyyy")),0),0)</f>
        <v>0</v>
      </c>
      <c r="J203" cm="1">
        <f t="array" ref="J203">IF($Q203&gt;=0,IFERROR(generateSalesData($D203, IF(ISNUMBER(_xlfn.XLOOKUP($C203,Phone_by_Sentiment!$B$2:$B$37,Phone_by_Sentiment!J$2:J$37,"",0,1)),_xlfn.XLOOKUP($C203,Phone_by_Sentiment!$B$2:$B$37,Phone_by_Sentiment!J$2:J$37,"",0,1),0),$A203-TEXT(DATEVALUE($D203&amp;"-01"), "dd-mm-yyyy")),0),0)</f>
        <v>0</v>
      </c>
      <c r="K203" cm="1">
        <f t="array" ref="K203">IF($Q203&gt;=0,IFERROR(generateSalesData($D203, IF(ISNUMBER(_xlfn.XLOOKUP($C203,Phone_by_Sentiment!$B$2:$B$37,Phone_by_Sentiment!K$2:K$37,"",0,1)),_xlfn.XLOOKUP($C203,Phone_by_Sentiment!$B$2:$B$37,Phone_by_Sentiment!K$2:K$37,"",0,1),0),$A203-TEXT(DATEVALUE($D203&amp;"-01"), "dd-mm-yyyy")),0),0)</f>
        <v>0</v>
      </c>
      <c r="L203" cm="1">
        <f t="array" ref="L203">IF($Q203&gt;=0,IFERROR(generateSalesData($D203, IF(ISNUMBER(_xlfn.XLOOKUP($C203,Phone_by_Sentiment!$B$2:$B$37,Phone_by_Sentiment!L$2:L$37,"",0,1)),_xlfn.XLOOKUP($C203,Phone_by_Sentiment!$B$2:$B$37,Phone_by_Sentiment!L$2:L$37,"",0,1),0),$A203-TEXT(DATEVALUE($D203&amp;"-01"), "dd-mm-yyyy")),0),0)</f>
        <v>0</v>
      </c>
      <c r="M203" cm="1">
        <f t="array" ref="M203">IF($Q203&gt;=0,IFERROR(generateSalesData($D203, IF(ISNUMBER(_xlfn.XLOOKUP($C203,Phone_by_Sentiment!$B$2:$B$37,Phone_by_Sentiment!M$2:M$37,"",0,1)),_xlfn.XLOOKUP($C203,Phone_by_Sentiment!$B$2:$B$37,Phone_by_Sentiment!M$2:M$37,"",0,1),0),$A203-TEXT(DATEVALUE($D203&amp;"-01"), "dd-mm-yyyy")),0),0)</f>
        <v>0</v>
      </c>
      <c r="N203" cm="1">
        <f t="array" ref="N203">IF($Q203&gt;=0,IFERROR(generateSalesData($D203, IF(ISNUMBER(_xlfn.XLOOKUP($C203,Phone_by_Sentiment!$B$2:$B$37,Phone_by_Sentiment!N$2:N$37,"",0,1)),_xlfn.XLOOKUP($C203,Phone_by_Sentiment!$B$2:$B$37,Phone_by_Sentiment!N$2:N$37,"",0,1),0),$A203-TEXT(DATEVALUE($D203&amp;"-01"), "dd-mm-yyyy")),0),0)</f>
        <v>0</v>
      </c>
      <c r="O203" cm="1">
        <f t="array" ref="O203">IF($Q203&gt;=0,IFERROR(generateSalesData($D203, IF(ISNUMBER(_xlfn.XLOOKUP($C203,Phone_by_Sentiment!$B$2:$B$37,Phone_by_Sentiment!O$2:O$37,"",0,1)),_xlfn.XLOOKUP($C203,Phone_by_Sentiment!$B$2:$B$37,Phone_by_Sentiment!O$2:O$37,"",0,1),0),$A203-TEXT(DATEVALUE($D203&amp;"-01"), "dd-mm-yyyy")),0),0)</f>
        <v>0</v>
      </c>
      <c r="P203" s="1">
        <f t="shared" si="7"/>
        <v>44256</v>
      </c>
      <c r="Q203">
        <f t="shared" si="8"/>
        <v>-639</v>
      </c>
    </row>
    <row r="204" spans="1:17" x14ac:dyDescent="0.25">
      <c r="A204" s="1">
        <f t="shared" si="0"/>
        <v>43617</v>
      </c>
      <c r="B204" t="s">
        <v>145</v>
      </c>
      <c r="C204" t="str">
        <f>_xlfn.XLOOKUP(B204,Phone_by_Price!$A$2:$A$34,Phone_by_Price!$B$2:$B$34,"-",0,1)</f>
        <v>OPPO A54</v>
      </c>
      <c r="D204" t="str">
        <f>_xlfn.XLOOKUP(C204,Phone_by_Sentiment!$B$2:$B$37,Phone_by_Sentiment!$A$2:$A$37,"-",0,1)</f>
        <v>2021-04</v>
      </c>
      <c r="E204" cm="1">
        <f t="array" ref="E204">IF($Q204&gt;=0,IFERROR(generateSalesData($D204, IF(ISNUMBER(_xlfn.XLOOKUP($C204,Phone_by_Sentiment!$B$2:$B$37,Phone_by_Sentiment!E$2:E$37,"",0,1)),_xlfn.XLOOKUP($C204,Phone_by_Sentiment!$B$2:$B$37,Phone_by_Sentiment!E$2:E$37,"",0,1),0),$A204-TEXT(DATEVALUE($D204&amp;"-01"), "dd-mm-yyyy")),0),0)</f>
        <v>0</v>
      </c>
      <c r="F204" cm="1">
        <f t="array" ref="F204">IF($Q204&gt;=0,IFERROR(generateSalesData($D204, IF(ISNUMBER(_xlfn.XLOOKUP($C204,Phone_by_Sentiment!$B$2:$B$37,Phone_by_Sentiment!F$2:F$37,"",0,1)),_xlfn.XLOOKUP($C204,Phone_by_Sentiment!$B$2:$B$37,Phone_by_Sentiment!F$2:F$37,"",0,1),0),$A204-TEXT(DATEVALUE($D204&amp;"-01"), "dd-mm-yyyy")),0),0)</f>
        <v>0</v>
      </c>
      <c r="G204" cm="1">
        <f t="array" ref="G204">IF($Q204&gt;=0,IFERROR(generateSalesData($D204, IF(ISNUMBER(_xlfn.XLOOKUP($C204,Phone_by_Sentiment!$B$2:$B$37,Phone_by_Sentiment!G$2:G$37,"",0,1)),_xlfn.XLOOKUP($C204,Phone_by_Sentiment!$B$2:$B$37,Phone_by_Sentiment!G$2:G$37,"",0,1),0),$A204-TEXT(DATEVALUE($D204&amp;"-01"), "dd-mm-yyyy")),0),0)</f>
        <v>0</v>
      </c>
      <c r="H204" cm="1">
        <f t="array" ref="H204">IF($Q204&gt;=0,IFERROR(generateSalesData($D204, IF(ISNUMBER(_xlfn.XLOOKUP($C204,Phone_by_Sentiment!$B$2:$B$37,Phone_by_Sentiment!H$2:H$37,"",0,1)),_xlfn.XLOOKUP($C204,Phone_by_Sentiment!$B$2:$B$37,Phone_by_Sentiment!H$2:H$37,"",0,1),0),$A204-TEXT(DATEVALUE($D204&amp;"-01"), "dd-mm-yyyy")),0),0)</f>
        <v>0</v>
      </c>
      <c r="I204" cm="1">
        <f t="array" ref="I204">IF($Q204&gt;=0,IFERROR(generateSalesData($D204, IF(ISNUMBER(_xlfn.XLOOKUP($C204,Phone_by_Sentiment!$B$2:$B$37,Phone_by_Sentiment!I$2:I$37,"",0,1)),_xlfn.XLOOKUP($C204,Phone_by_Sentiment!$B$2:$B$37,Phone_by_Sentiment!I$2:I$37,"",0,1),0),$A204-TEXT(DATEVALUE($D204&amp;"-01"), "dd-mm-yyyy")),0),0)</f>
        <v>0</v>
      </c>
      <c r="J204" cm="1">
        <f t="array" ref="J204">IF($Q204&gt;=0,IFERROR(generateSalesData($D204, IF(ISNUMBER(_xlfn.XLOOKUP($C204,Phone_by_Sentiment!$B$2:$B$37,Phone_by_Sentiment!J$2:J$37,"",0,1)),_xlfn.XLOOKUP($C204,Phone_by_Sentiment!$B$2:$B$37,Phone_by_Sentiment!J$2:J$37,"",0,1),0),$A204-TEXT(DATEVALUE($D204&amp;"-01"), "dd-mm-yyyy")),0),0)</f>
        <v>0</v>
      </c>
      <c r="K204" cm="1">
        <f t="array" ref="K204">IF($Q204&gt;=0,IFERROR(generateSalesData($D204, IF(ISNUMBER(_xlfn.XLOOKUP($C204,Phone_by_Sentiment!$B$2:$B$37,Phone_by_Sentiment!K$2:K$37,"",0,1)),_xlfn.XLOOKUP($C204,Phone_by_Sentiment!$B$2:$B$37,Phone_by_Sentiment!K$2:K$37,"",0,1),0),$A204-TEXT(DATEVALUE($D204&amp;"-01"), "dd-mm-yyyy")),0),0)</f>
        <v>0</v>
      </c>
      <c r="L204" cm="1">
        <f t="array" ref="L204">IF($Q204&gt;=0,IFERROR(generateSalesData($D204, IF(ISNUMBER(_xlfn.XLOOKUP($C204,Phone_by_Sentiment!$B$2:$B$37,Phone_by_Sentiment!L$2:L$37,"",0,1)),_xlfn.XLOOKUP($C204,Phone_by_Sentiment!$B$2:$B$37,Phone_by_Sentiment!L$2:L$37,"",0,1),0),$A204-TEXT(DATEVALUE($D204&amp;"-01"), "dd-mm-yyyy")),0),0)</f>
        <v>0</v>
      </c>
      <c r="M204" cm="1">
        <f t="array" ref="M204">IF($Q204&gt;=0,IFERROR(generateSalesData($D204, IF(ISNUMBER(_xlfn.XLOOKUP($C204,Phone_by_Sentiment!$B$2:$B$37,Phone_by_Sentiment!M$2:M$37,"",0,1)),_xlfn.XLOOKUP($C204,Phone_by_Sentiment!$B$2:$B$37,Phone_by_Sentiment!M$2:M$37,"",0,1),0),$A204-TEXT(DATEVALUE($D204&amp;"-01"), "dd-mm-yyyy")),0),0)</f>
        <v>0</v>
      </c>
      <c r="N204" cm="1">
        <f t="array" ref="N204">IF($Q204&gt;=0,IFERROR(generateSalesData($D204, IF(ISNUMBER(_xlfn.XLOOKUP($C204,Phone_by_Sentiment!$B$2:$B$37,Phone_by_Sentiment!N$2:N$37,"",0,1)),_xlfn.XLOOKUP($C204,Phone_by_Sentiment!$B$2:$B$37,Phone_by_Sentiment!N$2:N$37,"",0,1),0),$A204-TEXT(DATEVALUE($D204&amp;"-01"), "dd-mm-yyyy")),0),0)</f>
        <v>0</v>
      </c>
      <c r="O204" cm="1">
        <f t="array" ref="O204">IF($Q204&gt;=0,IFERROR(generateSalesData($D204, IF(ISNUMBER(_xlfn.XLOOKUP($C204,Phone_by_Sentiment!$B$2:$B$37,Phone_by_Sentiment!O$2:O$37,"",0,1)),_xlfn.XLOOKUP($C204,Phone_by_Sentiment!$B$2:$B$37,Phone_by_Sentiment!O$2:O$37,"",0,1),0),$A204-TEXT(DATEVALUE($D204&amp;"-01"), "dd-mm-yyyy")),0),0)</f>
        <v>0</v>
      </c>
      <c r="P204" s="1">
        <f t="shared" si="7"/>
        <v>44287</v>
      </c>
      <c r="Q204">
        <f t="shared" si="8"/>
        <v>-670</v>
      </c>
    </row>
    <row r="205" spans="1:17" x14ac:dyDescent="0.25">
      <c r="A205" s="1">
        <f t="shared" si="0"/>
        <v>43617</v>
      </c>
      <c r="B205" t="s">
        <v>146</v>
      </c>
      <c r="C205" t="str">
        <f>_xlfn.XLOOKUP(B205,Phone_by_Price!$A$2:$A$34,Phone_by_Price!$B$2:$B$34,"-",0,1)</f>
        <v>Vivo Y20</v>
      </c>
      <c r="D205" t="str">
        <f>_xlfn.XLOOKUP(C205,Phone_by_Sentiment!$B$2:$B$37,Phone_by_Sentiment!$A$2:$A$37,"-",0,1)</f>
        <v>2020-09</v>
      </c>
      <c r="E205" cm="1">
        <f t="array" ref="E205">IF($Q205&gt;=0,IFERROR(generateSalesData($D205, IF(ISNUMBER(_xlfn.XLOOKUP($C205,Phone_by_Sentiment!$B$2:$B$37,Phone_by_Sentiment!E$2:E$37,"",0,1)),_xlfn.XLOOKUP($C205,Phone_by_Sentiment!$B$2:$B$37,Phone_by_Sentiment!E$2:E$37,"",0,1),0),$A205-TEXT(DATEVALUE($D205&amp;"-01"), "dd-mm-yyyy")),0),0)</f>
        <v>0</v>
      </c>
      <c r="F205" cm="1">
        <f t="array" ref="F205">IF($Q205&gt;=0,IFERROR(generateSalesData($D205, IF(ISNUMBER(_xlfn.XLOOKUP($C205,Phone_by_Sentiment!$B$2:$B$37,Phone_by_Sentiment!F$2:F$37,"",0,1)),_xlfn.XLOOKUP($C205,Phone_by_Sentiment!$B$2:$B$37,Phone_by_Sentiment!F$2:F$37,"",0,1),0),$A205-TEXT(DATEVALUE($D205&amp;"-01"), "dd-mm-yyyy")),0),0)</f>
        <v>0</v>
      </c>
      <c r="G205" cm="1">
        <f t="array" ref="G205">IF($Q205&gt;=0,IFERROR(generateSalesData($D205, IF(ISNUMBER(_xlfn.XLOOKUP($C205,Phone_by_Sentiment!$B$2:$B$37,Phone_by_Sentiment!G$2:G$37,"",0,1)),_xlfn.XLOOKUP($C205,Phone_by_Sentiment!$B$2:$B$37,Phone_by_Sentiment!G$2:G$37,"",0,1),0),$A205-TEXT(DATEVALUE($D205&amp;"-01"), "dd-mm-yyyy")),0),0)</f>
        <v>0</v>
      </c>
      <c r="H205" cm="1">
        <f t="array" ref="H205">IF($Q205&gt;=0,IFERROR(generateSalesData($D205, IF(ISNUMBER(_xlfn.XLOOKUP($C205,Phone_by_Sentiment!$B$2:$B$37,Phone_by_Sentiment!H$2:H$37,"",0,1)),_xlfn.XLOOKUP($C205,Phone_by_Sentiment!$B$2:$B$37,Phone_by_Sentiment!H$2:H$37,"",0,1),0),$A205-TEXT(DATEVALUE($D205&amp;"-01"), "dd-mm-yyyy")),0),0)</f>
        <v>0</v>
      </c>
      <c r="I205" cm="1">
        <f t="array" ref="I205">IF($Q205&gt;=0,IFERROR(generateSalesData($D205, IF(ISNUMBER(_xlfn.XLOOKUP($C205,Phone_by_Sentiment!$B$2:$B$37,Phone_by_Sentiment!I$2:I$37,"",0,1)),_xlfn.XLOOKUP($C205,Phone_by_Sentiment!$B$2:$B$37,Phone_by_Sentiment!I$2:I$37,"",0,1),0),$A205-TEXT(DATEVALUE($D205&amp;"-01"), "dd-mm-yyyy")),0),0)</f>
        <v>0</v>
      </c>
      <c r="J205" cm="1">
        <f t="array" ref="J205">IF($Q205&gt;=0,IFERROR(generateSalesData($D205, IF(ISNUMBER(_xlfn.XLOOKUP($C205,Phone_by_Sentiment!$B$2:$B$37,Phone_by_Sentiment!J$2:J$37,"",0,1)),_xlfn.XLOOKUP($C205,Phone_by_Sentiment!$B$2:$B$37,Phone_by_Sentiment!J$2:J$37,"",0,1),0),$A205-TEXT(DATEVALUE($D205&amp;"-01"), "dd-mm-yyyy")),0),0)</f>
        <v>0</v>
      </c>
      <c r="K205" cm="1">
        <f t="array" ref="K205">IF($Q205&gt;=0,IFERROR(generateSalesData($D205, IF(ISNUMBER(_xlfn.XLOOKUP($C205,Phone_by_Sentiment!$B$2:$B$37,Phone_by_Sentiment!K$2:K$37,"",0,1)),_xlfn.XLOOKUP($C205,Phone_by_Sentiment!$B$2:$B$37,Phone_by_Sentiment!K$2:K$37,"",0,1),0),$A205-TEXT(DATEVALUE($D205&amp;"-01"), "dd-mm-yyyy")),0),0)</f>
        <v>0</v>
      </c>
      <c r="L205" cm="1">
        <f t="array" ref="L205">IF($Q205&gt;=0,IFERROR(generateSalesData($D205, IF(ISNUMBER(_xlfn.XLOOKUP($C205,Phone_by_Sentiment!$B$2:$B$37,Phone_by_Sentiment!L$2:L$37,"",0,1)),_xlfn.XLOOKUP($C205,Phone_by_Sentiment!$B$2:$B$37,Phone_by_Sentiment!L$2:L$37,"",0,1),0),$A205-TEXT(DATEVALUE($D205&amp;"-01"), "dd-mm-yyyy")),0),0)</f>
        <v>0</v>
      </c>
      <c r="M205" cm="1">
        <f t="array" ref="M205">IF($Q205&gt;=0,IFERROR(generateSalesData($D205, IF(ISNUMBER(_xlfn.XLOOKUP($C205,Phone_by_Sentiment!$B$2:$B$37,Phone_by_Sentiment!M$2:M$37,"",0,1)),_xlfn.XLOOKUP($C205,Phone_by_Sentiment!$B$2:$B$37,Phone_by_Sentiment!M$2:M$37,"",0,1),0),$A205-TEXT(DATEVALUE($D205&amp;"-01"), "dd-mm-yyyy")),0),0)</f>
        <v>0</v>
      </c>
      <c r="N205" cm="1">
        <f t="array" ref="N205">IF($Q205&gt;=0,IFERROR(generateSalesData($D205, IF(ISNUMBER(_xlfn.XLOOKUP($C205,Phone_by_Sentiment!$B$2:$B$37,Phone_by_Sentiment!N$2:N$37,"",0,1)),_xlfn.XLOOKUP($C205,Phone_by_Sentiment!$B$2:$B$37,Phone_by_Sentiment!N$2:N$37,"",0,1),0),$A205-TEXT(DATEVALUE($D205&amp;"-01"), "dd-mm-yyyy")),0),0)</f>
        <v>0</v>
      </c>
      <c r="O205" cm="1">
        <f t="array" ref="O205">IF($Q205&gt;=0,IFERROR(generateSalesData($D205, IF(ISNUMBER(_xlfn.XLOOKUP($C205,Phone_by_Sentiment!$B$2:$B$37,Phone_by_Sentiment!O$2:O$37,"",0,1)),_xlfn.XLOOKUP($C205,Phone_by_Sentiment!$B$2:$B$37,Phone_by_Sentiment!O$2:O$37,"",0,1),0),$A205-TEXT(DATEVALUE($D205&amp;"-01"), "dd-mm-yyyy")),0),0)</f>
        <v>0</v>
      </c>
      <c r="P205" s="1">
        <f t="shared" si="7"/>
        <v>44075</v>
      </c>
      <c r="Q205">
        <f t="shared" si="8"/>
        <v>-458</v>
      </c>
    </row>
    <row r="206" spans="1:17" x14ac:dyDescent="0.25">
      <c r="A206" s="1">
        <f t="shared" si="0"/>
        <v>43617</v>
      </c>
      <c r="B206" t="s">
        <v>147</v>
      </c>
      <c r="C206" t="str">
        <f>_xlfn.XLOOKUP(B206,Phone_by_Price!$A$2:$A$34,Phone_by_Price!$B$2:$B$34,"-",0,1)</f>
        <v>Huawei Y9a</v>
      </c>
      <c r="D206" t="str">
        <f>_xlfn.XLOOKUP(C206,Phone_by_Sentiment!$B$2:$B$37,Phone_by_Sentiment!$A$2:$A$37,"-",0,1)</f>
        <v>2020-02</v>
      </c>
      <c r="E206" cm="1">
        <f t="array" ref="E206">IF($Q206&gt;=0,IFERROR(generateSalesData($D206, IF(ISNUMBER(_xlfn.XLOOKUP($C206,Phone_by_Sentiment!$B$2:$B$37,Phone_by_Sentiment!E$2:E$37,"",0,1)),_xlfn.XLOOKUP($C206,Phone_by_Sentiment!$B$2:$B$37,Phone_by_Sentiment!E$2:E$37,"",0,1),0),$A206-TEXT(DATEVALUE($D206&amp;"-01"), "dd-mm-yyyy")),0),0)</f>
        <v>0</v>
      </c>
      <c r="F206" cm="1">
        <f t="array" ref="F206">IF($Q206&gt;=0,IFERROR(generateSalesData($D206, IF(ISNUMBER(_xlfn.XLOOKUP($C206,Phone_by_Sentiment!$B$2:$B$37,Phone_by_Sentiment!F$2:F$37,"",0,1)),_xlfn.XLOOKUP($C206,Phone_by_Sentiment!$B$2:$B$37,Phone_by_Sentiment!F$2:F$37,"",0,1),0),$A206-TEXT(DATEVALUE($D206&amp;"-01"), "dd-mm-yyyy")),0),0)</f>
        <v>0</v>
      </c>
      <c r="G206" cm="1">
        <f t="array" ref="G206">IF($Q206&gt;=0,IFERROR(generateSalesData($D206, IF(ISNUMBER(_xlfn.XLOOKUP($C206,Phone_by_Sentiment!$B$2:$B$37,Phone_by_Sentiment!G$2:G$37,"",0,1)),_xlfn.XLOOKUP($C206,Phone_by_Sentiment!$B$2:$B$37,Phone_by_Sentiment!G$2:G$37,"",0,1),0),$A206-TEXT(DATEVALUE($D206&amp;"-01"), "dd-mm-yyyy")),0),0)</f>
        <v>0</v>
      </c>
      <c r="H206" cm="1">
        <f t="array" ref="H206">IF($Q206&gt;=0,IFERROR(generateSalesData($D206, IF(ISNUMBER(_xlfn.XLOOKUP($C206,Phone_by_Sentiment!$B$2:$B$37,Phone_by_Sentiment!H$2:H$37,"",0,1)),_xlfn.XLOOKUP($C206,Phone_by_Sentiment!$B$2:$B$37,Phone_by_Sentiment!H$2:H$37,"",0,1),0),$A206-TEXT(DATEVALUE($D206&amp;"-01"), "dd-mm-yyyy")),0),0)</f>
        <v>0</v>
      </c>
      <c r="I206" cm="1">
        <f t="array" ref="I206">IF($Q206&gt;=0,IFERROR(generateSalesData($D206, IF(ISNUMBER(_xlfn.XLOOKUP($C206,Phone_by_Sentiment!$B$2:$B$37,Phone_by_Sentiment!I$2:I$37,"",0,1)),_xlfn.XLOOKUP($C206,Phone_by_Sentiment!$B$2:$B$37,Phone_by_Sentiment!I$2:I$37,"",0,1),0),$A206-TEXT(DATEVALUE($D206&amp;"-01"), "dd-mm-yyyy")),0),0)</f>
        <v>0</v>
      </c>
      <c r="J206" cm="1">
        <f t="array" ref="J206">IF($Q206&gt;=0,IFERROR(generateSalesData($D206, IF(ISNUMBER(_xlfn.XLOOKUP($C206,Phone_by_Sentiment!$B$2:$B$37,Phone_by_Sentiment!J$2:J$37,"",0,1)),_xlfn.XLOOKUP($C206,Phone_by_Sentiment!$B$2:$B$37,Phone_by_Sentiment!J$2:J$37,"",0,1),0),$A206-TEXT(DATEVALUE($D206&amp;"-01"), "dd-mm-yyyy")),0),0)</f>
        <v>0</v>
      </c>
      <c r="K206" cm="1">
        <f t="array" ref="K206">IF($Q206&gt;=0,IFERROR(generateSalesData($D206, IF(ISNUMBER(_xlfn.XLOOKUP($C206,Phone_by_Sentiment!$B$2:$B$37,Phone_by_Sentiment!K$2:K$37,"",0,1)),_xlfn.XLOOKUP($C206,Phone_by_Sentiment!$B$2:$B$37,Phone_by_Sentiment!K$2:K$37,"",0,1),0),$A206-TEXT(DATEVALUE($D206&amp;"-01"), "dd-mm-yyyy")),0),0)</f>
        <v>0</v>
      </c>
      <c r="L206" cm="1">
        <f t="array" ref="L206">IF($Q206&gt;=0,IFERROR(generateSalesData($D206, IF(ISNUMBER(_xlfn.XLOOKUP($C206,Phone_by_Sentiment!$B$2:$B$37,Phone_by_Sentiment!L$2:L$37,"",0,1)),_xlfn.XLOOKUP($C206,Phone_by_Sentiment!$B$2:$B$37,Phone_by_Sentiment!L$2:L$37,"",0,1),0),$A206-TEXT(DATEVALUE($D206&amp;"-01"), "dd-mm-yyyy")),0),0)</f>
        <v>0</v>
      </c>
      <c r="M206" cm="1">
        <f t="array" ref="M206">IF($Q206&gt;=0,IFERROR(generateSalesData($D206, IF(ISNUMBER(_xlfn.XLOOKUP($C206,Phone_by_Sentiment!$B$2:$B$37,Phone_by_Sentiment!M$2:M$37,"",0,1)),_xlfn.XLOOKUP($C206,Phone_by_Sentiment!$B$2:$B$37,Phone_by_Sentiment!M$2:M$37,"",0,1),0),$A206-TEXT(DATEVALUE($D206&amp;"-01"), "dd-mm-yyyy")),0),0)</f>
        <v>0</v>
      </c>
      <c r="N206" cm="1">
        <f t="array" ref="N206">IF($Q206&gt;=0,IFERROR(generateSalesData($D206, IF(ISNUMBER(_xlfn.XLOOKUP($C206,Phone_by_Sentiment!$B$2:$B$37,Phone_by_Sentiment!N$2:N$37,"",0,1)),_xlfn.XLOOKUP($C206,Phone_by_Sentiment!$B$2:$B$37,Phone_by_Sentiment!N$2:N$37,"",0,1),0),$A206-TEXT(DATEVALUE($D206&amp;"-01"), "dd-mm-yyyy")),0),0)</f>
        <v>0</v>
      </c>
      <c r="O206" cm="1">
        <f t="array" ref="O206">IF($Q206&gt;=0,IFERROR(generateSalesData($D206, IF(ISNUMBER(_xlfn.XLOOKUP($C206,Phone_by_Sentiment!$B$2:$B$37,Phone_by_Sentiment!O$2:O$37,"",0,1)),_xlfn.XLOOKUP($C206,Phone_by_Sentiment!$B$2:$B$37,Phone_by_Sentiment!O$2:O$37,"",0,1),0),$A206-TEXT(DATEVALUE($D206&amp;"-01"), "dd-mm-yyyy")),0),0)</f>
        <v>0</v>
      </c>
      <c r="P206" s="1">
        <f t="shared" si="7"/>
        <v>43862</v>
      </c>
      <c r="Q206">
        <f t="shared" si="8"/>
        <v>-245</v>
      </c>
    </row>
    <row r="207" spans="1:17" x14ac:dyDescent="0.25">
      <c r="A207" s="1">
        <f t="shared" si="0"/>
        <v>43617</v>
      </c>
      <c r="B207" t="s">
        <v>148</v>
      </c>
      <c r="C207" t="str">
        <f>_xlfn.XLOOKUP(B207,Phone_by_Price!$A$2:$A$34,Phone_by_Price!$B$2:$B$34,"-",0,1)</f>
        <v>Xiaomi Redmi 10</v>
      </c>
      <c r="D207" t="str">
        <f>_xlfn.XLOOKUP(C207,Phone_by_Sentiment!$B$2:$B$37,Phone_by_Sentiment!$A$2:$A$37,"-",0,1)</f>
        <v>2021-03</v>
      </c>
      <c r="E207" cm="1">
        <f t="array" ref="E207">IF($Q207&gt;=0,IFERROR(generateSalesData($D207, IF(ISNUMBER(_xlfn.XLOOKUP($C207,Phone_by_Sentiment!$B$2:$B$37,Phone_by_Sentiment!E$2:E$37,"",0,1)),_xlfn.XLOOKUP($C207,Phone_by_Sentiment!$B$2:$B$37,Phone_by_Sentiment!E$2:E$37,"",0,1),0),$A207-TEXT(DATEVALUE($D207&amp;"-01"), "dd-mm-yyyy")),0),0)</f>
        <v>0</v>
      </c>
      <c r="F207" cm="1">
        <f t="array" ref="F207">IF($Q207&gt;=0,IFERROR(generateSalesData($D207, IF(ISNUMBER(_xlfn.XLOOKUP($C207,Phone_by_Sentiment!$B$2:$B$37,Phone_by_Sentiment!F$2:F$37,"",0,1)),_xlfn.XLOOKUP($C207,Phone_by_Sentiment!$B$2:$B$37,Phone_by_Sentiment!F$2:F$37,"",0,1),0),$A207-TEXT(DATEVALUE($D207&amp;"-01"), "dd-mm-yyyy")),0),0)</f>
        <v>0</v>
      </c>
      <c r="G207" cm="1">
        <f t="array" ref="G207">IF($Q207&gt;=0,IFERROR(generateSalesData($D207, IF(ISNUMBER(_xlfn.XLOOKUP($C207,Phone_by_Sentiment!$B$2:$B$37,Phone_by_Sentiment!G$2:G$37,"",0,1)),_xlfn.XLOOKUP($C207,Phone_by_Sentiment!$B$2:$B$37,Phone_by_Sentiment!G$2:G$37,"",0,1),0),$A207-TEXT(DATEVALUE($D207&amp;"-01"), "dd-mm-yyyy")),0),0)</f>
        <v>0</v>
      </c>
      <c r="H207" cm="1">
        <f t="array" ref="H207">IF($Q207&gt;=0,IFERROR(generateSalesData($D207, IF(ISNUMBER(_xlfn.XLOOKUP($C207,Phone_by_Sentiment!$B$2:$B$37,Phone_by_Sentiment!H$2:H$37,"",0,1)),_xlfn.XLOOKUP($C207,Phone_by_Sentiment!$B$2:$B$37,Phone_by_Sentiment!H$2:H$37,"",0,1),0),$A207-TEXT(DATEVALUE($D207&amp;"-01"), "dd-mm-yyyy")),0),0)</f>
        <v>0</v>
      </c>
      <c r="I207" cm="1">
        <f t="array" ref="I207">IF($Q207&gt;=0,IFERROR(generateSalesData($D207, IF(ISNUMBER(_xlfn.XLOOKUP($C207,Phone_by_Sentiment!$B$2:$B$37,Phone_by_Sentiment!I$2:I$37,"",0,1)),_xlfn.XLOOKUP($C207,Phone_by_Sentiment!$B$2:$B$37,Phone_by_Sentiment!I$2:I$37,"",0,1),0),$A207-TEXT(DATEVALUE($D207&amp;"-01"), "dd-mm-yyyy")),0),0)</f>
        <v>0</v>
      </c>
      <c r="J207" cm="1">
        <f t="array" ref="J207">IF($Q207&gt;=0,IFERROR(generateSalesData($D207, IF(ISNUMBER(_xlfn.XLOOKUP($C207,Phone_by_Sentiment!$B$2:$B$37,Phone_by_Sentiment!J$2:J$37,"",0,1)),_xlfn.XLOOKUP($C207,Phone_by_Sentiment!$B$2:$B$37,Phone_by_Sentiment!J$2:J$37,"",0,1),0),$A207-TEXT(DATEVALUE($D207&amp;"-01"), "dd-mm-yyyy")),0),0)</f>
        <v>0</v>
      </c>
      <c r="K207" cm="1">
        <f t="array" ref="K207">IF($Q207&gt;=0,IFERROR(generateSalesData($D207, IF(ISNUMBER(_xlfn.XLOOKUP($C207,Phone_by_Sentiment!$B$2:$B$37,Phone_by_Sentiment!K$2:K$37,"",0,1)),_xlfn.XLOOKUP($C207,Phone_by_Sentiment!$B$2:$B$37,Phone_by_Sentiment!K$2:K$37,"",0,1),0),$A207-TEXT(DATEVALUE($D207&amp;"-01"), "dd-mm-yyyy")),0),0)</f>
        <v>0</v>
      </c>
      <c r="L207" cm="1">
        <f t="array" ref="L207">IF($Q207&gt;=0,IFERROR(generateSalesData($D207, IF(ISNUMBER(_xlfn.XLOOKUP($C207,Phone_by_Sentiment!$B$2:$B$37,Phone_by_Sentiment!L$2:L$37,"",0,1)),_xlfn.XLOOKUP($C207,Phone_by_Sentiment!$B$2:$B$37,Phone_by_Sentiment!L$2:L$37,"",0,1),0),$A207-TEXT(DATEVALUE($D207&amp;"-01"), "dd-mm-yyyy")),0),0)</f>
        <v>0</v>
      </c>
      <c r="M207" cm="1">
        <f t="array" ref="M207">IF($Q207&gt;=0,IFERROR(generateSalesData($D207, IF(ISNUMBER(_xlfn.XLOOKUP($C207,Phone_by_Sentiment!$B$2:$B$37,Phone_by_Sentiment!M$2:M$37,"",0,1)),_xlfn.XLOOKUP($C207,Phone_by_Sentiment!$B$2:$B$37,Phone_by_Sentiment!M$2:M$37,"",0,1),0),$A207-TEXT(DATEVALUE($D207&amp;"-01"), "dd-mm-yyyy")),0),0)</f>
        <v>0</v>
      </c>
      <c r="N207" cm="1">
        <f t="array" ref="N207">IF($Q207&gt;=0,IFERROR(generateSalesData($D207, IF(ISNUMBER(_xlfn.XLOOKUP($C207,Phone_by_Sentiment!$B$2:$B$37,Phone_by_Sentiment!N$2:N$37,"",0,1)),_xlfn.XLOOKUP($C207,Phone_by_Sentiment!$B$2:$B$37,Phone_by_Sentiment!N$2:N$37,"",0,1),0),$A207-TEXT(DATEVALUE($D207&amp;"-01"), "dd-mm-yyyy")),0),0)</f>
        <v>0</v>
      </c>
      <c r="O207" cm="1">
        <f t="array" ref="O207">IF($Q207&gt;=0,IFERROR(generateSalesData($D207, IF(ISNUMBER(_xlfn.XLOOKUP($C207,Phone_by_Sentiment!$B$2:$B$37,Phone_by_Sentiment!O$2:O$37,"",0,1)),_xlfn.XLOOKUP($C207,Phone_by_Sentiment!$B$2:$B$37,Phone_by_Sentiment!O$2:O$37,"",0,1),0),$A207-TEXT(DATEVALUE($D207&amp;"-01"), "dd-mm-yyyy")),0),0)</f>
        <v>0</v>
      </c>
      <c r="P207" s="1">
        <f t="shared" si="7"/>
        <v>44256</v>
      </c>
      <c r="Q207">
        <f t="shared" si="8"/>
        <v>-639</v>
      </c>
    </row>
    <row r="208" spans="1:17" x14ac:dyDescent="0.25">
      <c r="A208" s="1">
        <f t="shared" si="0"/>
        <v>43617</v>
      </c>
      <c r="B208" t="s">
        <v>149</v>
      </c>
      <c r="C208" t="str">
        <f>_xlfn.XLOOKUP(B208,Phone_by_Price!$A$2:$A$34,Phone_by_Price!$B$2:$B$34,"-",0,1)</f>
        <v>Samsung Galaxy A52</v>
      </c>
      <c r="D208" t="str">
        <f>_xlfn.XLOOKUP(C208,Phone_by_Sentiment!$B$2:$B$37,Phone_by_Sentiment!$A$2:$A$37,"-",0,1)</f>
        <v>2021-03</v>
      </c>
      <c r="E208" cm="1">
        <f t="array" ref="E208">IF($Q208&gt;=0,IFERROR(generateSalesData($D208, IF(ISNUMBER(_xlfn.XLOOKUP($C208,Phone_by_Sentiment!$B$2:$B$37,Phone_by_Sentiment!E$2:E$37,"",0,1)),_xlfn.XLOOKUP($C208,Phone_by_Sentiment!$B$2:$B$37,Phone_by_Sentiment!E$2:E$37,"",0,1),0),$A208-TEXT(DATEVALUE($D208&amp;"-01"), "dd-mm-yyyy")),0),0)</f>
        <v>0</v>
      </c>
      <c r="F208" cm="1">
        <f t="array" ref="F208">IF($Q208&gt;=0,IFERROR(generateSalesData($D208, IF(ISNUMBER(_xlfn.XLOOKUP($C208,Phone_by_Sentiment!$B$2:$B$37,Phone_by_Sentiment!F$2:F$37,"",0,1)),_xlfn.XLOOKUP($C208,Phone_by_Sentiment!$B$2:$B$37,Phone_by_Sentiment!F$2:F$37,"",0,1),0),$A208-TEXT(DATEVALUE($D208&amp;"-01"), "dd-mm-yyyy")),0),0)</f>
        <v>0</v>
      </c>
      <c r="G208" cm="1">
        <f t="array" ref="G208">IF($Q208&gt;=0,IFERROR(generateSalesData($D208, IF(ISNUMBER(_xlfn.XLOOKUP($C208,Phone_by_Sentiment!$B$2:$B$37,Phone_by_Sentiment!G$2:G$37,"",0,1)),_xlfn.XLOOKUP($C208,Phone_by_Sentiment!$B$2:$B$37,Phone_by_Sentiment!G$2:G$37,"",0,1),0),$A208-TEXT(DATEVALUE($D208&amp;"-01"), "dd-mm-yyyy")),0),0)</f>
        <v>0</v>
      </c>
      <c r="H208" cm="1">
        <f t="array" ref="H208">IF($Q208&gt;=0,IFERROR(generateSalesData($D208, IF(ISNUMBER(_xlfn.XLOOKUP($C208,Phone_by_Sentiment!$B$2:$B$37,Phone_by_Sentiment!H$2:H$37,"",0,1)),_xlfn.XLOOKUP($C208,Phone_by_Sentiment!$B$2:$B$37,Phone_by_Sentiment!H$2:H$37,"",0,1),0),$A208-TEXT(DATEVALUE($D208&amp;"-01"), "dd-mm-yyyy")),0),0)</f>
        <v>0</v>
      </c>
      <c r="I208" cm="1">
        <f t="array" ref="I208">IF($Q208&gt;=0,IFERROR(generateSalesData($D208, IF(ISNUMBER(_xlfn.XLOOKUP($C208,Phone_by_Sentiment!$B$2:$B$37,Phone_by_Sentiment!I$2:I$37,"",0,1)),_xlfn.XLOOKUP($C208,Phone_by_Sentiment!$B$2:$B$37,Phone_by_Sentiment!I$2:I$37,"",0,1),0),$A208-TEXT(DATEVALUE($D208&amp;"-01"), "dd-mm-yyyy")),0),0)</f>
        <v>0</v>
      </c>
      <c r="J208" cm="1">
        <f t="array" ref="J208">IF($Q208&gt;=0,IFERROR(generateSalesData($D208, IF(ISNUMBER(_xlfn.XLOOKUP($C208,Phone_by_Sentiment!$B$2:$B$37,Phone_by_Sentiment!J$2:J$37,"",0,1)),_xlfn.XLOOKUP($C208,Phone_by_Sentiment!$B$2:$B$37,Phone_by_Sentiment!J$2:J$37,"",0,1),0),$A208-TEXT(DATEVALUE($D208&amp;"-01"), "dd-mm-yyyy")),0),0)</f>
        <v>0</v>
      </c>
      <c r="K208" cm="1">
        <f t="array" ref="K208">IF($Q208&gt;=0,IFERROR(generateSalesData($D208, IF(ISNUMBER(_xlfn.XLOOKUP($C208,Phone_by_Sentiment!$B$2:$B$37,Phone_by_Sentiment!K$2:K$37,"",0,1)),_xlfn.XLOOKUP($C208,Phone_by_Sentiment!$B$2:$B$37,Phone_by_Sentiment!K$2:K$37,"",0,1),0),$A208-TEXT(DATEVALUE($D208&amp;"-01"), "dd-mm-yyyy")),0),0)</f>
        <v>0</v>
      </c>
      <c r="L208" cm="1">
        <f t="array" ref="L208">IF($Q208&gt;=0,IFERROR(generateSalesData($D208, IF(ISNUMBER(_xlfn.XLOOKUP($C208,Phone_by_Sentiment!$B$2:$B$37,Phone_by_Sentiment!L$2:L$37,"",0,1)),_xlfn.XLOOKUP($C208,Phone_by_Sentiment!$B$2:$B$37,Phone_by_Sentiment!L$2:L$37,"",0,1),0),$A208-TEXT(DATEVALUE($D208&amp;"-01"), "dd-mm-yyyy")),0),0)</f>
        <v>0</v>
      </c>
      <c r="M208" cm="1">
        <f t="array" ref="M208">IF($Q208&gt;=0,IFERROR(generateSalesData($D208, IF(ISNUMBER(_xlfn.XLOOKUP($C208,Phone_by_Sentiment!$B$2:$B$37,Phone_by_Sentiment!M$2:M$37,"",0,1)),_xlfn.XLOOKUP($C208,Phone_by_Sentiment!$B$2:$B$37,Phone_by_Sentiment!M$2:M$37,"",0,1),0),$A208-TEXT(DATEVALUE($D208&amp;"-01"), "dd-mm-yyyy")),0),0)</f>
        <v>0</v>
      </c>
      <c r="N208" cm="1">
        <f t="array" ref="N208">IF($Q208&gt;=0,IFERROR(generateSalesData($D208, IF(ISNUMBER(_xlfn.XLOOKUP($C208,Phone_by_Sentiment!$B$2:$B$37,Phone_by_Sentiment!N$2:N$37,"",0,1)),_xlfn.XLOOKUP($C208,Phone_by_Sentiment!$B$2:$B$37,Phone_by_Sentiment!N$2:N$37,"",0,1),0),$A208-TEXT(DATEVALUE($D208&amp;"-01"), "dd-mm-yyyy")),0),0)</f>
        <v>0</v>
      </c>
      <c r="O208" cm="1">
        <f t="array" ref="O208">IF($Q208&gt;=0,IFERROR(generateSalesData($D208, IF(ISNUMBER(_xlfn.XLOOKUP($C208,Phone_by_Sentiment!$B$2:$B$37,Phone_by_Sentiment!O$2:O$37,"",0,1)),_xlfn.XLOOKUP($C208,Phone_by_Sentiment!$B$2:$B$37,Phone_by_Sentiment!O$2:O$37,"",0,1),0),$A208-TEXT(DATEVALUE($D208&amp;"-01"), "dd-mm-yyyy")),0),0)</f>
        <v>0</v>
      </c>
      <c r="P208" s="1">
        <f t="shared" si="7"/>
        <v>44256</v>
      </c>
      <c r="Q208">
        <f t="shared" si="8"/>
        <v>-639</v>
      </c>
    </row>
    <row r="209" spans="1:17" x14ac:dyDescent="0.25">
      <c r="A209" s="1">
        <f t="shared" si="0"/>
        <v>43617</v>
      </c>
      <c r="B209" t="s">
        <v>150</v>
      </c>
      <c r="C209" t="str">
        <f>_xlfn.XLOOKUP(B209,Phone_by_Price!$A$2:$A$34,Phone_by_Price!$B$2:$B$34,"-",0,1)</f>
        <v>Vivo Y33s</v>
      </c>
      <c r="D209" t="str">
        <f>_xlfn.XLOOKUP(C209,Phone_by_Sentiment!$B$2:$B$37,Phone_by_Sentiment!$A$2:$A$37,"-",0,1)</f>
        <v>2021-05</v>
      </c>
      <c r="E209" cm="1">
        <f t="array" ref="E209">IF($Q209&gt;=0,IFERROR(generateSalesData($D209, IF(ISNUMBER(_xlfn.XLOOKUP($C209,Phone_by_Sentiment!$B$2:$B$37,Phone_by_Sentiment!E$2:E$37,"",0,1)),_xlfn.XLOOKUP($C209,Phone_by_Sentiment!$B$2:$B$37,Phone_by_Sentiment!E$2:E$37,"",0,1),0),$A209-TEXT(DATEVALUE($D209&amp;"-01"), "dd-mm-yyyy")),0),0)</f>
        <v>0</v>
      </c>
      <c r="F209" cm="1">
        <f t="array" ref="F209">IF($Q209&gt;=0,IFERROR(generateSalesData($D209, IF(ISNUMBER(_xlfn.XLOOKUP($C209,Phone_by_Sentiment!$B$2:$B$37,Phone_by_Sentiment!F$2:F$37,"",0,1)),_xlfn.XLOOKUP($C209,Phone_by_Sentiment!$B$2:$B$37,Phone_by_Sentiment!F$2:F$37,"",0,1),0),$A209-TEXT(DATEVALUE($D209&amp;"-01"), "dd-mm-yyyy")),0),0)</f>
        <v>0</v>
      </c>
      <c r="G209" cm="1">
        <f t="array" ref="G209">IF($Q209&gt;=0,IFERROR(generateSalesData($D209, IF(ISNUMBER(_xlfn.XLOOKUP($C209,Phone_by_Sentiment!$B$2:$B$37,Phone_by_Sentiment!G$2:G$37,"",0,1)),_xlfn.XLOOKUP($C209,Phone_by_Sentiment!$B$2:$B$37,Phone_by_Sentiment!G$2:G$37,"",0,1),0),$A209-TEXT(DATEVALUE($D209&amp;"-01"), "dd-mm-yyyy")),0),0)</f>
        <v>0</v>
      </c>
      <c r="H209" cm="1">
        <f t="array" ref="H209">IF($Q209&gt;=0,IFERROR(generateSalesData($D209, IF(ISNUMBER(_xlfn.XLOOKUP($C209,Phone_by_Sentiment!$B$2:$B$37,Phone_by_Sentiment!H$2:H$37,"",0,1)),_xlfn.XLOOKUP($C209,Phone_by_Sentiment!$B$2:$B$37,Phone_by_Sentiment!H$2:H$37,"",0,1),0),$A209-TEXT(DATEVALUE($D209&amp;"-01"), "dd-mm-yyyy")),0),0)</f>
        <v>0</v>
      </c>
      <c r="I209" cm="1">
        <f t="array" ref="I209">IF($Q209&gt;=0,IFERROR(generateSalesData($D209, IF(ISNUMBER(_xlfn.XLOOKUP($C209,Phone_by_Sentiment!$B$2:$B$37,Phone_by_Sentiment!I$2:I$37,"",0,1)),_xlfn.XLOOKUP($C209,Phone_by_Sentiment!$B$2:$B$37,Phone_by_Sentiment!I$2:I$37,"",0,1),0),$A209-TEXT(DATEVALUE($D209&amp;"-01"), "dd-mm-yyyy")),0),0)</f>
        <v>0</v>
      </c>
      <c r="J209" cm="1">
        <f t="array" ref="J209">IF($Q209&gt;=0,IFERROR(generateSalesData($D209, IF(ISNUMBER(_xlfn.XLOOKUP($C209,Phone_by_Sentiment!$B$2:$B$37,Phone_by_Sentiment!J$2:J$37,"",0,1)),_xlfn.XLOOKUP($C209,Phone_by_Sentiment!$B$2:$B$37,Phone_by_Sentiment!J$2:J$37,"",0,1),0),$A209-TEXT(DATEVALUE($D209&amp;"-01"), "dd-mm-yyyy")),0),0)</f>
        <v>0</v>
      </c>
      <c r="K209" cm="1">
        <f t="array" ref="K209">IF($Q209&gt;=0,IFERROR(generateSalesData($D209, IF(ISNUMBER(_xlfn.XLOOKUP($C209,Phone_by_Sentiment!$B$2:$B$37,Phone_by_Sentiment!K$2:K$37,"",0,1)),_xlfn.XLOOKUP($C209,Phone_by_Sentiment!$B$2:$B$37,Phone_by_Sentiment!K$2:K$37,"",0,1),0),$A209-TEXT(DATEVALUE($D209&amp;"-01"), "dd-mm-yyyy")),0),0)</f>
        <v>0</v>
      </c>
      <c r="L209" cm="1">
        <f t="array" ref="L209">IF($Q209&gt;=0,IFERROR(generateSalesData($D209, IF(ISNUMBER(_xlfn.XLOOKUP($C209,Phone_by_Sentiment!$B$2:$B$37,Phone_by_Sentiment!L$2:L$37,"",0,1)),_xlfn.XLOOKUP($C209,Phone_by_Sentiment!$B$2:$B$37,Phone_by_Sentiment!L$2:L$37,"",0,1),0),$A209-TEXT(DATEVALUE($D209&amp;"-01"), "dd-mm-yyyy")),0),0)</f>
        <v>0</v>
      </c>
      <c r="M209" cm="1">
        <f t="array" ref="M209">IF($Q209&gt;=0,IFERROR(generateSalesData($D209, IF(ISNUMBER(_xlfn.XLOOKUP($C209,Phone_by_Sentiment!$B$2:$B$37,Phone_by_Sentiment!M$2:M$37,"",0,1)),_xlfn.XLOOKUP($C209,Phone_by_Sentiment!$B$2:$B$37,Phone_by_Sentiment!M$2:M$37,"",0,1),0),$A209-TEXT(DATEVALUE($D209&amp;"-01"), "dd-mm-yyyy")),0),0)</f>
        <v>0</v>
      </c>
      <c r="N209" cm="1">
        <f t="array" ref="N209">IF($Q209&gt;=0,IFERROR(generateSalesData($D209, IF(ISNUMBER(_xlfn.XLOOKUP($C209,Phone_by_Sentiment!$B$2:$B$37,Phone_by_Sentiment!N$2:N$37,"",0,1)),_xlfn.XLOOKUP($C209,Phone_by_Sentiment!$B$2:$B$37,Phone_by_Sentiment!N$2:N$37,"",0,1),0),$A209-TEXT(DATEVALUE($D209&amp;"-01"), "dd-mm-yyyy")),0),0)</f>
        <v>0</v>
      </c>
      <c r="O209" cm="1">
        <f t="array" ref="O209">IF($Q209&gt;=0,IFERROR(generateSalesData($D209, IF(ISNUMBER(_xlfn.XLOOKUP($C209,Phone_by_Sentiment!$B$2:$B$37,Phone_by_Sentiment!O$2:O$37,"",0,1)),_xlfn.XLOOKUP($C209,Phone_by_Sentiment!$B$2:$B$37,Phone_by_Sentiment!O$2:O$37,"",0,1),0),$A209-TEXT(DATEVALUE($D209&amp;"-01"), "dd-mm-yyyy")),0),0)</f>
        <v>0</v>
      </c>
      <c r="P209" s="1">
        <f t="shared" si="7"/>
        <v>44317</v>
      </c>
      <c r="Q209">
        <f t="shared" si="8"/>
        <v>-700</v>
      </c>
    </row>
    <row r="210" spans="1:17" x14ac:dyDescent="0.25">
      <c r="A210" s="1">
        <f t="shared" si="0"/>
        <v>43617</v>
      </c>
      <c r="B210" t="s">
        <v>151</v>
      </c>
      <c r="C210" t="str">
        <f>_xlfn.XLOOKUP(B210,Phone_by_Price!$A$2:$A$34,Phone_by_Price!$B$2:$B$34,"-",0,1)</f>
        <v>Vivo Y11s</v>
      </c>
      <c r="D210" t="str">
        <f>_xlfn.XLOOKUP(C210,Phone_by_Sentiment!$B$2:$B$37,Phone_by_Sentiment!$A$2:$A$37,"-",0,1)</f>
        <v>2020-11</v>
      </c>
      <c r="E210" cm="1">
        <f t="array" ref="E210">IF($Q210&gt;=0,IFERROR(generateSalesData($D210, IF(ISNUMBER(_xlfn.XLOOKUP($C210,Phone_by_Sentiment!$B$2:$B$37,Phone_by_Sentiment!E$2:E$37,"",0,1)),_xlfn.XLOOKUP($C210,Phone_by_Sentiment!$B$2:$B$37,Phone_by_Sentiment!E$2:E$37,"",0,1),0),$A210-TEXT(DATEVALUE($D210&amp;"-01"), "dd-mm-yyyy")),0),0)</f>
        <v>0</v>
      </c>
      <c r="F210" cm="1">
        <f t="array" ref="F210">IF($Q210&gt;=0,IFERROR(generateSalesData($D210, IF(ISNUMBER(_xlfn.XLOOKUP($C210,Phone_by_Sentiment!$B$2:$B$37,Phone_by_Sentiment!F$2:F$37,"",0,1)),_xlfn.XLOOKUP($C210,Phone_by_Sentiment!$B$2:$B$37,Phone_by_Sentiment!F$2:F$37,"",0,1),0),$A210-TEXT(DATEVALUE($D210&amp;"-01"), "dd-mm-yyyy")),0),0)</f>
        <v>0</v>
      </c>
      <c r="G210" cm="1">
        <f t="array" ref="G210">IF($Q210&gt;=0,IFERROR(generateSalesData($D210, IF(ISNUMBER(_xlfn.XLOOKUP($C210,Phone_by_Sentiment!$B$2:$B$37,Phone_by_Sentiment!G$2:G$37,"",0,1)),_xlfn.XLOOKUP($C210,Phone_by_Sentiment!$B$2:$B$37,Phone_by_Sentiment!G$2:G$37,"",0,1),0),$A210-TEXT(DATEVALUE($D210&amp;"-01"), "dd-mm-yyyy")),0),0)</f>
        <v>0</v>
      </c>
      <c r="H210" cm="1">
        <f t="array" ref="H210">IF($Q210&gt;=0,IFERROR(generateSalesData($D210, IF(ISNUMBER(_xlfn.XLOOKUP($C210,Phone_by_Sentiment!$B$2:$B$37,Phone_by_Sentiment!H$2:H$37,"",0,1)),_xlfn.XLOOKUP($C210,Phone_by_Sentiment!$B$2:$B$37,Phone_by_Sentiment!H$2:H$37,"",0,1),0),$A210-TEXT(DATEVALUE($D210&amp;"-01"), "dd-mm-yyyy")),0),0)</f>
        <v>0</v>
      </c>
      <c r="I210" cm="1">
        <f t="array" ref="I210">IF($Q210&gt;=0,IFERROR(generateSalesData($D210, IF(ISNUMBER(_xlfn.XLOOKUP($C210,Phone_by_Sentiment!$B$2:$B$37,Phone_by_Sentiment!I$2:I$37,"",0,1)),_xlfn.XLOOKUP($C210,Phone_by_Sentiment!$B$2:$B$37,Phone_by_Sentiment!I$2:I$37,"",0,1),0),$A210-TEXT(DATEVALUE($D210&amp;"-01"), "dd-mm-yyyy")),0),0)</f>
        <v>0</v>
      </c>
      <c r="J210" cm="1">
        <f t="array" ref="J210">IF($Q210&gt;=0,IFERROR(generateSalesData($D210, IF(ISNUMBER(_xlfn.XLOOKUP($C210,Phone_by_Sentiment!$B$2:$B$37,Phone_by_Sentiment!J$2:J$37,"",0,1)),_xlfn.XLOOKUP($C210,Phone_by_Sentiment!$B$2:$B$37,Phone_by_Sentiment!J$2:J$37,"",0,1),0),$A210-TEXT(DATEVALUE($D210&amp;"-01"), "dd-mm-yyyy")),0),0)</f>
        <v>0</v>
      </c>
      <c r="K210" cm="1">
        <f t="array" ref="K210">IF($Q210&gt;=0,IFERROR(generateSalesData($D210, IF(ISNUMBER(_xlfn.XLOOKUP($C210,Phone_by_Sentiment!$B$2:$B$37,Phone_by_Sentiment!K$2:K$37,"",0,1)),_xlfn.XLOOKUP($C210,Phone_by_Sentiment!$B$2:$B$37,Phone_by_Sentiment!K$2:K$37,"",0,1),0),$A210-TEXT(DATEVALUE($D210&amp;"-01"), "dd-mm-yyyy")),0),0)</f>
        <v>0</v>
      </c>
      <c r="L210" cm="1">
        <f t="array" ref="L210">IF($Q210&gt;=0,IFERROR(generateSalesData($D210, IF(ISNUMBER(_xlfn.XLOOKUP($C210,Phone_by_Sentiment!$B$2:$B$37,Phone_by_Sentiment!L$2:L$37,"",0,1)),_xlfn.XLOOKUP($C210,Phone_by_Sentiment!$B$2:$B$37,Phone_by_Sentiment!L$2:L$37,"",0,1),0),$A210-TEXT(DATEVALUE($D210&amp;"-01"), "dd-mm-yyyy")),0),0)</f>
        <v>0</v>
      </c>
      <c r="M210" cm="1">
        <f t="array" ref="M210">IF($Q210&gt;=0,IFERROR(generateSalesData($D210, IF(ISNUMBER(_xlfn.XLOOKUP($C210,Phone_by_Sentiment!$B$2:$B$37,Phone_by_Sentiment!M$2:M$37,"",0,1)),_xlfn.XLOOKUP($C210,Phone_by_Sentiment!$B$2:$B$37,Phone_by_Sentiment!M$2:M$37,"",0,1),0),$A210-TEXT(DATEVALUE($D210&amp;"-01"), "dd-mm-yyyy")),0),0)</f>
        <v>0</v>
      </c>
      <c r="N210" cm="1">
        <f t="array" ref="N210">IF($Q210&gt;=0,IFERROR(generateSalesData($D210, IF(ISNUMBER(_xlfn.XLOOKUP($C210,Phone_by_Sentiment!$B$2:$B$37,Phone_by_Sentiment!N$2:N$37,"",0,1)),_xlfn.XLOOKUP($C210,Phone_by_Sentiment!$B$2:$B$37,Phone_by_Sentiment!N$2:N$37,"",0,1),0),$A210-TEXT(DATEVALUE($D210&amp;"-01"), "dd-mm-yyyy")),0),0)</f>
        <v>0</v>
      </c>
      <c r="O210" cm="1">
        <f t="array" ref="O210">IF($Q210&gt;=0,IFERROR(generateSalesData($D210, IF(ISNUMBER(_xlfn.XLOOKUP($C210,Phone_by_Sentiment!$B$2:$B$37,Phone_by_Sentiment!O$2:O$37,"",0,1)),_xlfn.XLOOKUP($C210,Phone_by_Sentiment!$B$2:$B$37,Phone_by_Sentiment!O$2:O$37,"",0,1),0),$A210-TEXT(DATEVALUE($D210&amp;"-01"), "dd-mm-yyyy")),0),0)</f>
        <v>0</v>
      </c>
      <c r="P210" s="1">
        <f t="shared" si="7"/>
        <v>44136</v>
      </c>
      <c r="Q210">
        <f t="shared" si="8"/>
        <v>-519</v>
      </c>
    </row>
    <row r="211" spans="1:17" x14ac:dyDescent="0.25">
      <c r="A211" s="1">
        <f t="shared" si="0"/>
        <v>43647</v>
      </c>
      <c r="B211" t="s">
        <v>152</v>
      </c>
      <c r="C211" t="str">
        <f>_xlfn.XLOOKUP(B211,Phone_by_Price!$A$2:$A$34,Phone_by_Price!$B$2:$B$34,"-",0,1)</f>
        <v>Huawei Nova 7i</v>
      </c>
      <c r="D211" t="str">
        <f>_xlfn.XLOOKUP(C211,Phone_by_Sentiment!$B$2:$B$37,Phone_by_Sentiment!$A$2:$A$37,"-",0,1)</f>
        <v>2020-02</v>
      </c>
      <c r="E211" cm="1">
        <f t="array" ref="E211">IF($Q211&gt;=0,IFERROR(generateSalesData($D211, IF(ISNUMBER(_xlfn.XLOOKUP($C211,Phone_by_Sentiment!$B$2:$B$37,Phone_by_Sentiment!E$2:E$37,"",0,1)),_xlfn.XLOOKUP($C211,Phone_by_Sentiment!$B$2:$B$37,Phone_by_Sentiment!E$2:E$37,"",0,1),0),$A211-TEXT(DATEVALUE($D211&amp;"-01"), "dd-mm-yyyy")),0),0)</f>
        <v>0</v>
      </c>
      <c r="F211" cm="1">
        <f t="array" ref="F211">IF($Q211&gt;=0,IFERROR(generateSalesData($D211, IF(ISNUMBER(_xlfn.XLOOKUP($C211,Phone_by_Sentiment!$B$2:$B$37,Phone_by_Sentiment!F$2:F$37,"",0,1)),_xlfn.XLOOKUP($C211,Phone_by_Sentiment!$B$2:$B$37,Phone_by_Sentiment!F$2:F$37,"",0,1),0),$A211-TEXT(DATEVALUE($D211&amp;"-01"), "dd-mm-yyyy")),0),0)</f>
        <v>0</v>
      </c>
      <c r="G211" cm="1">
        <f t="array" ref="G211">IF($Q211&gt;=0,IFERROR(generateSalesData($D211, IF(ISNUMBER(_xlfn.XLOOKUP($C211,Phone_by_Sentiment!$B$2:$B$37,Phone_by_Sentiment!G$2:G$37,"",0,1)),_xlfn.XLOOKUP($C211,Phone_by_Sentiment!$B$2:$B$37,Phone_by_Sentiment!G$2:G$37,"",0,1),0),$A211-TEXT(DATEVALUE($D211&amp;"-01"), "dd-mm-yyyy")),0),0)</f>
        <v>0</v>
      </c>
      <c r="H211" cm="1">
        <f t="array" ref="H211">IF($Q211&gt;=0,IFERROR(generateSalesData($D211, IF(ISNUMBER(_xlfn.XLOOKUP($C211,Phone_by_Sentiment!$B$2:$B$37,Phone_by_Sentiment!H$2:H$37,"",0,1)),_xlfn.XLOOKUP($C211,Phone_by_Sentiment!$B$2:$B$37,Phone_by_Sentiment!H$2:H$37,"",0,1),0),$A211-TEXT(DATEVALUE($D211&amp;"-01"), "dd-mm-yyyy")),0),0)</f>
        <v>0</v>
      </c>
      <c r="I211" cm="1">
        <f t="array" ref="I211">IF($Q211&gt;=0,IFERROR(generateSalesData($D211, IF(ISNUMBER(_xlfn.XLOOKUP($C211,Phone_by_Sentiment!$B$2:$B$37,Phone_by_Sentiment!I$2:I$37,"",0,1)),_xlfn.XLOOKUP($C211,Phone_by_Sentiment!$B$2:$B$37,Phone_by_Sentiment!I$2:I$37,"",0,1),0),$A211-TEXT(DATEVALUE($D211&amp;"-01"), "dd-mm-yyyy")),0),0)</f>
        <v>0</v>
      </c>
      <c r="J211" cm="1">
        <f t="array" ref="J211">IF($Q211&gt;=0,IFERROR(generateSalesData($D211, IF(ISNUMBER(_xlfn.XLOOKUP($C211,Phone_by_Sentiment!$B$2:$B$37,Phone_by_Sentiment!J$2:J$37,"",0,1)),_xlfn.XLOOKUP($C211,Phone_by_Sentiment!$B$2:$B$37,Phone_by_Sentiment!J$2:J$37,"",0,1),0),$A211-TEXT(DATEVALUE($D211&amp;"-01"), "dd-mm-yyyy")),0),0)</f>
        <v>0</v>
      </c>
      <c r="K211" cm="1">
        <f t="array" ref="K211">IF($Q211&gt;=0,IFERROR(generateSalesData($D211, IF(ISNUMBER(_xlfn.XLOOKUP($C211,Phone_by_Sentiment!$B$2:$B$37,Phone_by_Sentiment!K$2:K$37,"",0,1)),_xlfn.XLOOKUP($C211,Phone_by_Sentiment!$B$2:$B$37,Phone_by_Sentiment!K$2:K$37,"",0,1),0),$A211-TEXT(DATEVALUE($D211&amp;"-01"), "dd-mm-yyyy")),0),0)</f>
        <v>0</v>
      </c>
      <c r="L211" cm="1">
        <f t="array" ref="L211">IF($Q211&gt;=0,IFERROR(generateSalesData($D211, IF(ISNUMBER(_xlfn.XLOOKUP($C211,Phone_by_Sentiment!$B$2:$B$37,Phone_by_Sentiment!L$2:L$37,"",0,1)),_xlfn.XLOOKUP($C211,Phone_by_Sentiment!$B$2:$B$37,Phone_by_Sentiment!L$2:L$37,"",0,1),0),$A211-TEXT(DATEVALUE($D211&amp;"-01"), "dd-mm-yyyy")),0),0)</f>
        <v>0</v>
      </c>
      <c r="M211" cm="1">
        <f t="array" ref="M211">IF($Q211&gt;=0,IFERROR(generateSalesData($D211, IF(ISNUMBER(_xlfn.XLOOKUP($C211,Phone_by_Sentiment!$B$2:$B$37,Phone_by_Sentiment!M$2:M$37,"",0,1)),_xlfn.XLOOKUP($C211,Phone_by_Sentiment!$B$2:$B$37,Phone_by_Sentiment!M$2:M$37,"",0,1),0),$A211-TEXT(DATEVALUE($D211&amp;"-01"), "dd-mm-yyyy")),0),0)</f>
        <v>0</v>
      </c>
      <c r="N211" cm="1">
        <f t="array" ref="N211">IF($Q211&gt;=0,IFERROR(generateSalesData($D211, IF(ISNUMBER(_xlfn.XLOOKUP($C211,Phone_by_Sentiment!$B$2:$B$37,Phone_by_Sentiment!N$2:N$37,"",0,1)),_xlfn.XLOOKUP($C211,Phone_by_Sentiment!$B$2:$B$37,Phone_by_Sentiment!N$2:N$37,"",0,1),0),$A211-TEXT(DATEVALUE($D211&amp;"-01"), "dd-mm-yyyy")),0),0)</f>
        <v>0</v>
      </c>
      <c r="O211" cm="1">
        <f t="array" ref="O211">IF($Q211&gt;=0,IFERROR(generateSalesData($D211, IF(ISNUMBER(_xlfn.XLOOKUP($C211,Phone_by_Sentiment!$B$2:$B$37,Phone_by_Sentiment!O$2:O$37,"",0,1)),_xlfn.XLOOKUP($C211,Phone_by_Sentiment!$B$2:$B$37,Phone_by_Sentiment!O$2:O$37,"",0,1),0),$A211-TEXT(DATEVALUE($D211&amp;"-01"), "dd-mm-yyyy")),0),0)</f>
        <v>0</v>
      </c>
      <c r="P211" s="1">
        <f t="shared" si="7"/>
        <v>43862</v>
      </c>
      <c r="Q211">
        <f t="shared" si="8"/>
        <v>-215</v>
      </c>
    </row>
    <row r="212" spans="1:17" x14ac:dyDescent="0.25">
      <c r="A212" s="1">
        <f t="shared" si="0"/>
        <v>43647</v>
      </c>
      <c r="B212" t="s">
        <v>153</v>
      </c>
      <c r="C212" t="str">
        <f>_xlfn.XLOOKUP(B212,Phone_by_Price!$A$2:$A$34,Phone_by_Price!$B$2:$B$34,"-",0,1)</f>
        <v>iPhone 13</v>
      </c>
      <c r="D212" t="str">
        <f>_xlfn.XLOOKUP(C212,Phone_by_Sentiment!$B$2:$B$37,Phone_by_Sentiment!$A$2:$A$37,"-",0,1)</f>
        <v>2021-09</v>
      </c>
      <c r="E212" cm="1">
        <f t="array" ref="E212">IF($Q212&gt;=0,IFERROR(generateSalesData($D212, IF(ISNUMBER(_xlfn.XLOOKUP($C212,Phone_by_Sentiment!$B$2:$B$37,Phone_by_Sentiment!E$2:E$37,"",0,1)),_xlfn.XLOOKUP($C212,Phone_by_Sentiment!$B$2:$B$37,Phone_by_Sentiment!E$2:E$37,"",0,1),0),$A212-TEXT(DATEVALUE($D212&amp;"-01"), "dd-mm-yyyy")),0),0)</f>
        <v>0</v>
      </c>
      <c r="F212" cm="1">
        <f t="array" ref="F212">IF($Q212&gt;=0,IFERROR(generateSalesData($D212, IF(ISNUMBER(_xlfn.XLOOKUP($C212,Phone_by_Sentiment!$B$2:$B$37,Phone_by_Sentiment!F$2:F$37,"",0,1)),_xlfn.XLOOKUP($C212,Phone_by_Sentiment!$B$2:$B$37,Phone_by_Sentiment!F$2:F$37,"",0,1),0),$A212-TEXT(DATEVALUE($D212&amp;"-01"), "dd-mm-yyyy")),0),0)</f>
        <v>0</v>
      </c>
      <c r="G212" cm="1">
        <f t="array" ref="G212">IF($Q212&gt;=0,IFERROR(generateSalesData($D212, IF(ISNUMBER(_xlfn.XLOOKUP($C212,Phone_by_Sentiment!$B$2:$B$37,Phone_by_Sentiment!G$2:G$37,"",0,1)),_xlfn.XLOOKUP($C212,Phone_by_Sentiment!$B$2:$B$37,Phone_by_Sentiment!G$2:G$37,"",0,1),0),$A212-TEXT(DATEVALUE($D212&amp;"-01"), "dd-mm-yyyy")),0),0)</f>
        <v>0</v>
      </c>
      <c r="H212" cm="1">
        <f t="array" ref="H212">IF($Q212&gt;=0,IFERROR(generateSalesData($D212, IF(ISNUMBER(_xlfn.XLOOKUP($C212,Phone_by_Sentiment!$B$2:$B$37,Phone_by_Sentiment!H$2:H$37,"",0,1)),_xlfn.XLOOKUP($C212,Phone_by_Sentiment!$B$2:$B$37,Phone_by_Sentiment!H$2:H$37,"",0,1),0),$A212-TEXT(DATEVALUE($D212&amp;"-01"), "dd-mm-yyyy")),0),0)</f>
        <v>0</v>
      </c>
      <c r="I212" cm="1">
        <f t="array" ref="I212">IF($Q212&gt;=0,IFERROR(generateSalesData($D212, IF(ISNUMBER(_xlfn.XLOOKUP($C212,Phone_by_Sentiment!$B$2:$B$37,Phone_by_Sentiment!I$2:I$37,"",0,1)),_xlfn.XLOOKUP($C212,Phone_by_Sentiment!$B$2:$B$37,Phone_by_Sentiment!I$2:I$37,"",0,1),0),$A212-TEXT(DATEVALUE($D212&amp;"-01"), "dd-mm-yyyy")),0),0)</f>
        <v>0</v>
      </c>
      <c r="J212" cm="1">
        <f t="array" ref="J212">IF($Q212&gt;=0,IFERROR(generateSalesData($D212, IF(ISNUMBER(_xlfn.XLOOKUP($C212,Phone_by_Sentiment!$B$2:$B$37,Phone_by_Sentiment!J$2:J$37,"",0,1)),_xlfn.XLOOKUP($C212,Phone_by_Sentiment!$B$2:$B$37,Phone_by_Sentiment!J$2:J$37,"",0,1),0),$A212-TEXT(DATEVALUE($D212&amp;"-01"), "dd-mm-yyyy")),0),0)</f>
        <v>0</v>
      </c>
      <c r="K212" cm="1">
        <f t="array" ref="K212">IF($Q212&gt;=0,IFERROR(generateSalesData($D212, IF(ISNUMBER(_xlfn.XLOOKUP($C212,Phone_by_Sentiment!$B$2:$B$37,Phone_by_Sentiment!K$2:K$37,"",0,1)),_xlfn.XLOOKUP($C212,Phone_by_Sentiment!$B$2:$B$37,Phone_by_Sentiment!K$2:K$37,"",0,1),0),$A212-TEXT(DATEVALUE($D212&amp;"-01"), "dd-mm-yyyy")),0),0)</f>
        <v>0</v>
      </c>
      <c r="L212" cm="1">
        <f t="array" ref="L212">IF($Q212&gt;=0,IFERROR(generateSalesData($D212, IF(ISNUMBER(_xlfn.XLOOKUP($C212,Phone_by_Sentiment!$B$2:$B$37,Phone_by_Sentiment!L$2:L$37,"",0,1)),_xlfn.XLOOKUP($C212,Phone_by_Sentiment!$B$2:$B$37,Phone_by_Sentiment!L$2:L$37,"",0,1),0),$A212-TEXT(DATEVALUE($D212&amp;"-01"), "dd-mm-yyyy")),0),0)</f>
        <v>0</v>
      </c>
      <c r="M212" cm="1">
        <f t="array" ref="M212">IF($Q212&gt;=0,IFERROR(generateSalesData($D212, IF(ISNUMBER(_xlfn.XLOOKUP($C212,Phone_by_Sentiment!$B$2:$B$37,Phone_by_Sentiment!M$2:M$37,"",0,1)),_xlfn.XLOOKUP($C212,Phone_by_Sentiment!$B$2:$B$37,Phone_by_Sentiment!M$2:M$37,"",0,1),0),$A212-TEXT(DATEVALUE($D212&amp;"-01"), "dd-mm-yyyy")),0),0)</f>
        <v>0</v>
      </c>
      <c r="N212" cm="1">
        <f t="array" ref="N212">IF($Q212&gt;=0,IFERROR(generateSalesData($D212, IF(ISNUMBER(_xlfn.XLOOKUP($C212,Phone_by_Sentiment!$B$2:$B$37,Phone_by_Sentiment!N$2:N$37,"",0,1)),_xlfn.XLOOKUP($C212,Phone_by_Sentiment!$B$2:$B$37,Phone_by_Sentiment!N$2:N$37,"",0,1),0),$A212-TEXT(DATEVALUE($D212&amp;"-01"), "dd-mm-yyyy")),0),0)</f>
        <v>0</v>
      </c>
      <c r="O212" cm="1">
        <f t="array" ref="O212">IF($Q212&gt;=0,IFERROR(generateSalesData($D212, IF(ISNUMBER(_xlfn.XLOOKUP($C212,Phone_by_Sentiment!$B$2:$B$37,Phone_by_Sentiment!O$2:O$37,"",0,1)),_xlfn.XLOOKUP($C212,Phone_by_Sentiment!$B$2:$B$37,Phone_by_Sentiment!O$2:O$37,"",0,1),0),$A212-TEXT(DATEVALUE($D212&amp;"-01"), "dd-mm-yyyy")),0),0)</f>
        <v>0</v>
      </c>
      <c r="P212" s="1">
        <f t="shared" si="7"/>
        <v>44440</v>
      </c>
      <c r="Q212">
        <f t="shared" si="8"/>
        <v>-793</v>
      </c>
    </row>
    <row r="213" spans="1:17" x14ac:dyDescent="0.25">
      <c r="A213" s="1">
        <f t="shared" si="0"/>
        <v>43647</v>
      </c>
      <c r="B213" t="s">
        <v>154</v>
      </c>
      <c r="C213" t="str">
        <f>_xlfn.XLOOKUP(B213,Phone_by_Price!$A$2:$A$34,Phone_by_Price!$B$2:$B$34,"-",0,1)</f>
        <v>Samsung Galaxy S21</v>
      </c>
      <c r="D213" t="str">
        <f>_xlfn.XLOOKUP(C213,Phone_by_Sentiment!$B$2:$B$37,Phone_by_Sentiment!$A$2:$A$37,"-",0,1)</f>
        <v>2021-01</v>
      </c>
      <c r="E213" cm="1">
        <f t="array" ref="E213">IF($Q213&gt;=0,IFERROR(generateSalesData($D213, IF(ISNUMBER(_xlfn.XLOOKUP($C213,Phone_by_Sentiment!$B$2:$B$37,Phone_by_Sentiment!E$2:E$37,"",0,1)),_xlfn.XLOOKUP($C213,Phone_by_Sentiment!$B$2:$B$37,Phone_by_Sentiment!E$2:E$37,"",0,1),0),$A213-TEXT(DATEVALUE($D213&amp;"-01"), "dd-mm-yyyy")),0),0)</f>
        <v>0</v>
      </c>
      <c r="F213" cm="1">
        <f t="array" ref="F213">IF($Q213&gt;=0,IFERROR(generateSalesData($D213, IF(ISNUMBER(_xlfn.XLOOKUP($C213,Phone_by_Sentiment!$B$2:$B$37,Phone_by_Sentiment!F$2:F$37,"",0,1)),_xlfn.XLOOKUP($C213,Phone_by_Sentiment!$B$2:$B$37,Phone_by_Sentiment!F$2:F$37,"",0,1),0),$A213-TEXT(DATEVALUE($D213&amp;"-01"), "dd-mm-yyyy")),0),0)</f>
        <v>0</v>
      </c>
      <c r="G213" cm="1">
        <f t="array" ref="G213">IF($Q213&gt;=0,IFERROR(generateSalesData($D213, IF(ISNUMBER(_xlfn.XLOOKUP($C213,Phone_by_Sentiment!$B$2:$B$37,Phone_by_Sentiment!G$2:G$37,"",0,1)),_xlfn.XLOOKUP($C213,Phone_by_Sentiment!$B$2:$B$37,Phone_by_Sentiment!G$2:G$37,"",0,1),0),$A213-TEXT(DATEVALUE($D213&amp;"-01"), "dd-mm-yyyy")),0),0)</f>
        <v>0</v>
      </c>
      <c r="H213" cm="1">
        <f t="array" ref="H213">IF($Q213&gt;=0,IFERROR(generateSalesData($D213, IF(ISNUMBER(_xlfn.XLOOKUP($C213,Phone_by_Sentiment!$B$2:$B$37,Phone_by_Sentiment!H$2:H$37,"",0,1)),_xlfn.XLOOKUP($C213,Phone_by_Sentiment!$B$2:$B$37,Phone_by_Sentiment!H$2:H$37,"",0,1),0),$A213-TEXT(DATEVALUE($D213&amp;"-01"), "dd-mm-yyyy")),0),0)</f>
        <v>0</v>
      </c>
      <c r="I213" cm="1">
        <f t="array" ref="I213">IF($Q213&gt;=0,IFERROR(generateSalesData($D213, IF(ISNUMBER(_xlfn.XLOOKUP($C213,Phone_by_Sentiment!$B$2:$B$37,Phone_by_Sentiment!I$2:I$37,"",0,1)),_xlfn.XLOOKUP($C213,Phone_by_Sentiment!$B$2:$B$37,Phone_by_Sentiment!I$2:I$37,"",0,1),0),$A213-TEXT(DATEVALUE($D213&amp;"-01"), "dd-mm-yyyy")),0),0)</f>
        <v>0</v>
      </c>
      <c r="J213" cm="1">
        <f t="array" ref="J213">IF($Q213&gt;=0,IFERROR(generateSalesData($D213, IF(ISNUMBER(_xlfn.XLOOKUP($C213,Phone_by_Sentiment!$B$2:$B$37,Phone_by_Sentiment!J$2:J$37,"",0,1)),_xlfn.XLOOKUP($C213,Phone_by_Sentiment!$B$2:$B$37,Phone_by_Sentiment!J$2:J$37,"",0,1),0),$A213-TEXT(DATEVALUE($D213&amp;"-01"), "dd-mm-yyyy")),0),0)</f>
        <v>0</v>
      </c>
      <c r="K213" cm="1">
        <f t="array" ref="K213">IF($Q213&gt;=0,IFERROR(generateSalesData($D213, IF(ISNUMBER(_xlfn.XLOOKUP($C213,Phone_by_Sentiment!$B$2:$B$37,Phone_by_Sentiment!K$2:K$37,"",0,1)),_xlfn.XLOOKUP($C213,Phone_by_Sentiment!$B$2:$B$37,Phone_by_Sentiment!K$2:K$37,"",0,1),0),$A213-TEXT(DATEVALUE($D213&amp;"-01"), "dd-mm-yyyy")),0),0)</f>
        <v>0</v>
      </c>
      <c r="L213" cm="1">
        <f t="array" ref="L213">IF($Q213&gt;=0,IFERROR(generateSalesData($D213, IF(ISNUMBER(_xlfn.XLOOKUP($C213,Phone_by_Sentiment!$B$2:$B$37,Phone_by_Sentiment!L$2:L$37,"",0,1)),_xlfn.XLOOKUP($C213,Phone_by_Sentiment!$B$2:$B$37,Phone_by_Sentiment!L$2:L$37,"",0,1),0),$A213-TEXT(DATEVALUE($D213&amp;"-01"), "dd-mm-yyyy")),0),0)</f>
        <v>0</v>
      </c>
      <c r="M213" cm="1">
        <f t="array" ref="M213">IF($Q213&gt;=0,IFERROR(generateSalesData($D213, IF(ISNUMBER(_xlfn.XLOOKUP($C213,Phone_by_Sentiment!$B$2:$B$37,Phone_by_Sentiment!M$2:M$37,"",0,1)),_xlfn.XLOOKUP($C213,Phone_by_Sentiment!$B$2:$B$37,Phone_by_Sentiment!M$2:M$37,"",0,1),0),$A213-TEXT(DATEVALUE($D213&amp;"-01"), "dd-mm-yyyy")),0),0)</f>
        <v>0</v>
      </c>
      <c r="N213" cm="1">
        <f t="array" ref="N213">IF($Q213&gt;=0,IFERROR(generateSalesData($D213, IF(ISNUMBER(_xlfn.XLOOKUP($C213,Phone_by_Sentiment!$B$2:$B$37,Phone_by_Sentiment!N$2:N$37,"",0,1)),_xlfn.XLOOKUP($C213,Phone_by_Sentiment!$B$2:$B$37,Phone_by_Sentiment!N$2:N$37,"",0,1),0),$A213-TEXT(DATEVALUE($D213&amp;"-01"), "dd-mm-yyyy")),0),0)</f>
        <v>0</v>
      </c>
      <c r="O213" cm="1">
        <f t="array" ref="O213">IF($Q213&gt;=0,IFERROR(generateSalesData($D213, IF(ISNUMBER(_xlfn.XLOOKUP($C213,Phone_by_Sentiment!$B$2:$B$37,Phone_by_Sentiment!O$2:O$37,"",0,1)),_xlfn.XLOOKUP($C213,Phone_by_Sentiment!$B$2:$B$37,Phone_by_Sentiment!O$2:O$37,"",0,1),0),$A213-TEXT(DATEVALUE($D213&amp;"-01"), "dd-mm-yyyy")),0),0)</f>
        <v>0</v>
      </c>
      <c r="P213" s="1">
        <f t="shared" si="7"/>
        <v>44197</v>
      </c>
      <c r="Q213">
        <f t="shared" si="8"/>
        <v>-550</v>
      </c>
    </row>
    <row r="214" spans="1:17" x14ac:dyDescent="0.25">
      <c r="A214" s="1">
        <f t="shared" si="0"/>
        <v>43647</v>
      </c>
      <c r="B214" t="s">
        <v>155</v>
      </c>
      <c r="C214" t="str">
        <f>_xlfn.XLOOKUP(B214,Phone_by_Price!$A$2:$A$34,Phone_by_Price!$B$2:$B$34,"-",0,1)</f>
        <v>Google Pixel 6</v>
      </c>
      <c r="D214" t="str">
        <f>_xlfn.XLOOKUP(C214,Phone_by_Sentiment!$B$2:$B$37,Phone_by_Sentiment!$A$2:$A$37,"-",0,1)</f>
        <v>2021-10</v>
      </c>
      <c r="E214" cm="1">
        <f t="array" ref="E214">IF($Q214&gt;=0,IFERROR(generateSalesData($D214, IF(ISNUMBER(_xlfn.XLOOKUP($C214,Phone_by_Sentiment!$B$2:$B$37,Phone_by_Sentiment!E$2:E$37,"",0,1)),_xlfn.XLOOKUP($C214,Phone_by_Sentiment!$B$2:$B$37,Phone_by_Sentiment!E$2:E$37,"",0,1),0),$A214-TEXT(DATEVALUE($D214&amp;"-01"), "dd-mm-yyyy")),0),0)</f>
        <v>0</v>
      </c>
      <c r="F214" cm="1">
        <f t="array" ref="F214">IF($Q214&gt;=0,IFERROR(generateSalesData($D214, IF(ISNUMBER(_xlfn.XLOOKUP($C214,Phone_by_Sentiment!$B$2:$B$37,Phone_by_Sentiment!F$2:F$37,"",0,1)),_xlfn.XLOOKUP($C214,Phone_by_Sentiment!$B$2:$B$37,Phone_by_Sentiment!F$2:F$37,"",0,1),0),$A214-TEXT(DATEVALUE($D214&amp;"-01"), "dd-mm-yyyy")),0),0)</f>
        <v>0</v>
      </c>
      <c r="G214" cm="1">
        <f t="array" ref="G214">IF($Q214&gt;=0,IFERROR(generateSalesData($D214, IF(ISNUMBER(_xlfn.XLOOKUP($C214,Phone_by_Sentiment!$B$2:$B$37,Phone_by_Sentiment!G$2:G$37,"",0,1)),_xlfn.XLOOKUP($C214,Phone_by_Sentiment!$B$2:$B$37,Phone_by_Sentiment!G$2:G$37,"",0,1),0),$A214-TEXT(DATEVALUE($D214&amp;"-01"), "dd-mm-yyyy")),0),0)</f>
        <v>0</v>
      </c>
      <c r="H214" cm="1">
        <f t="array" ref="H214">IF($Q214&gt;=0,IFERROR(generateSalesData($D214, IF(ISNUMBER(_xlfn.XLOOKUP($C214,Phone_by_Sentiment!$B$2:$B$37,Phone_by_Sentiment!H$2:H$37,"",0,1)),_xlfn.XLOOKUP($C214,Phone_by_Sentiment!$B$2:$B$37,Phone_by_Sentiment!H$2:H$37,"",0,1),0),$A214-TEXT(DATEVALUE($D214&amp;"-01"), "dd-mm-yyyy")),0),0)</f>
        <v>0</v>
      </c>
      <c r="I214" cm="1">
        <f t="array" ref="I214">IF($Q214&gt;=0,IFERROR(generateSalesData($D214, IF(ISNUMBER(_xlfn.XLOOKUP($C214,Phone_by_Sentiment!$B$2:$B$37,Phone_by_Sentiment!I$2:I$37,"",0,1)),_xlfn.XLOOKUP($C214,Phone_by_Sentiment!$B$2:$B$37,Phone_by_Sentiment!I$2:I$37,"",0,1),0),$A214-TEXT(DATEVALUE($D214&amp;"-01"), "dd-mm-yyyy")),0),0)</f>
        <v>0</v>
      </c>
      <c r="J214" cm="1">
        <f t="array" ref="J214">IF($Q214&gt;=0,IFERROR(generateSalesData($D214, IF(ISNUMBER(_xlfn.XLOOKUP($C214,Phone_by_Sentiment!$B$2:$B$37,Phone_by_Sentiment!J$2:J$37,"",0,1)),_xlfn.XLOOKUP($C214,Phone_by_Sentiment!$B$2:$B$37,Phone_by_Sentiment!J$2:J$37,"",0,1),0),$A214-TEXT(DATEVALUE($D214&amp;"-01"), "dd-mm-yyyy")),0),0)</f>
        <v>0</v>
      </c>
      <c r="K214" cm="1">
        <f t="array" ref="K214">IF($Q214&gt;=0,IFERROR(generateSalesData($D214, IF(ISNUMBER(_xlfn.XLOOKUP($C214,Phone_by_Sentiment!$B$2:$B$37,Phone_by_Sentiment!K$2:K$37,"",0,1)),_xlfn.XLOOKUP($C214,Phone_by_Sentiment!$B$2:$B$37,Phone_by_Sentiment!K$2:K$37,"",0,1),0),$A214-TEXT(DATEVALUE($D214&amp;"-01"), "dd-mm-yyyy")),0),0)</f>
        <v>0</v>
      </c>
      <c r="L214" cm="1">
        <f t="array" ref="L214">IF($Q214&gt;=0,IFERROR(generateSalesData($D214, IF(ISNUMBER(_xlfn.XLOOKUP($C214,Phone_by_Sentiment!$B$2:$B$37,Phone_by_Sentiment!L$2:L$37,"",0,1)),_xlfn.XLOOKUP($C214,Phone_by_Sentiment!$B$2:$B$37,Phone_by_Sentiment!L$2:L$37,"",0,1),0),$A214-TEXT(DATEVALUE($D214&amp;"-01"), "dd-mm-yyyy")),0),0)</f>
        <v>0</v>
      </c>
      <c r="M214" cm="1">
        <f t="array" ref="M214">IF($Q214&gt;=0,IFERROR(generateSalesData($D214, IF(ISNUMBER(_xlfn.XLOOKUP($C214,Phone_by_Sentiment!$B$2:$B$37,Phone_by_Sentiment!M$2:M$37,"",0,1)),_xlfn.XLOOKUP($C214,Phone_by_Sentiment!$B$2:$B$37,Phone_by_Sentiment!M$2:M$37,"",0,1),0),$A214-TEXT(DATEVALUE($D214&amp;"-01"), "dd-mm-yyyy")),0),0)</f>
        <v>0</v>
      </c>
      <c r="N214" cm="1">
        <f t="array" ref="N214">IF($Q214&gt;=0,IFERROR(generateSalesData($D214, IF(ISNUMBER(_xlfn.XLOOKUP($C214,Phone_by_Sentiment!$B$2:$B$37,Phone_by_Sentiment!N$2:N$37,"",0,1)),_xlfn.XLOOKUP($C214,Phone_by_Sentiment!$B$2:$B$37,Phone_by_Sentiment!N$2:N$37,"",0,1),0),$A214-TEXT(DATEVALUE($D214&amp;"-01"), "dd-mm-yyyy")),0),0)</f>
        <v>0</v>
      </c>
      <c r="O214" cm="1">
        <f t="array" ref="O214">IF($Q214&gt;=0,IFERROR(generateSalesData($D214, IF(ISNUMBER(_xlfn.XLOOKUP($C214,Phone_by_Sentiment!$B$2:$B$37,Phone_by_Sentiment!O$2:O$37,"",0,1)),_xlfn.XLOOKUP($C214,Phone_by_Sentiment!$B$2:$B$37,Phone_by_Sentiment!O$2:O$37,"",0,1),0),$A214-TEXT(DATEVALUE($D214&amp;"-01"), "dd-mm-yyyy")),0),0)</f>
        <v>0</v>
      </c>
      <c r="P214" s="1">
        <f t="shared" si="7"/>
        <v>44470</v>
      </c>
      <c r="Q214">
        <f t="shared" si="8"/>
        <v>-823</v>
      </c>
    </row>
    <row r="215" spans="1:17" x14ac:dyDescent="0.25">
      <c r="A215" s="1">
        <f t="shared" si="0"/>
        <v>43647</v>
      </c>
      <c r="B215" t="s">
        <v>156</v>
      </c>
      <c r="C215" t="str">
        <f>_xlfn.XLOOKUP(B215,Phone_by_Price!$A$2:$A$34,Phone_by_Price!$B$2:$B$34,"-",0,1)</f>
        <v>OnePlus Nord CE</v>
      </c>
      <c r="D215" t="str">
        <f>_xlfn.XLOOKUP(C215,Phone_by_Sentiment!$B$2:$B$37,Phone_by_Sentiment!$A$2:$A$37,"-",0,1)</f>
        <v>2021-06</v>
      </c>
      <c r="E215" cm="1">
        <f t="array" ref="E215">IF($Q215&gt;=0,IFERROR(generateSalesData($D215, IF(ISNUMBER(_xlfn.XLOOKUP($C215,Phone_by_Sentiment!$B$2:$B$37,Phone_by_Sentiment!E$2:E$37,"",0,1)),_xlfn.XLOOKUP($C215,Phone_by_Sentiment!$B$2:$B$37,Phone_by_Sentiment!E$2:E$37,"",0,1),0),$A215-TEXT(DATEVALUE($D215&amp;"-01"), "dd-mm-yyyy")),0),0)</f>
        <v>0</v>
      </c>
      <c r="F215" cm="1">
        <f t="array" ref="F215">IF($Q215&gt;=0,IFERROR(generateSalesData($D215, IF(ISNUMBER(_xlfn.XLOOKUP($C215,Phone_by_Sentiment!$B$2:$B$37,Phone_by_Sentiment!F$2:F$37,"",0,1)),_xlfn.XLOOKUP($C215,Phone_by_Sentiment!$B$2:$B$37,Phone_by_Sentiment!F$2:F$37,"",0,1),0),$A215-TEXT(DATEVALUE($D215&amp;"-01"), "dd-mm-yyyy")),0),0)</f>
        <v>0</v>
      </c>
      <c r="G215" cm="1">
        <f t="array" ref="G215">IF($Q215&gt;=0,IFERROR(generateSalesData($D215, IF(ISNUMBER(_xlfn.XLOOKUP($C215,Phone_by_Sentiment!$B$2:$B$37,Phone_by_Sentiment!G$2:G$37,"",0,1)),_xlfn.XLOOKUP($C215,Phone_by_Sentiment!$B$2:$B$37,Phone_by_Sentiment!G$2:G$37,"",0,1),0),$A215-TEXT(DATEVALUE($D215&amp;"-01"), "dd-mm-yyyy")),0),0)</f>
        <v>0</v>
      </c>
      <c r="H215" cm="1">
        <f t="array" ref="H215">IF($Q215&gt;=0,IFERROR(generateSalesData($D215, IF(ISNUMBER(_xlfn.XLOOKUP($C215,Phone_by_Sentiment!$B$2:$B$37,Phone_by_Sentiment!H$2:H$37,"",0,1)),_xlfn.XLOOKUP($C215,Phone_by_Sentiment!$B$2:$B$37,Phone_by_Sentiment!H$2:H$37,"",0,1),0),$A215-TEXT(DATEVALUE($D215&amp;"-01"), "dd-mm-yyyy")),0),0)</f>
        <v>0</v>
      </c>
      <c r="I215" cm="1">
        <f t="array" ref="I215">IF($Q215&gt;=0,IFERROR(generateSalesData($D215, IF(ISNUMBER(_xlfn.XLOOKUP($C215,Phone_by_Sentiment!$B$2:$B$37,Phone_by_Sentiment!I$2:I$37,"",0,1)),_xlfn.XLOOKUP($C215,Phone_by_Sentiment!$B$2:$B$37,Phone_by_Sentiment!I$2:I$37,"",0,1),0),$A215-TEXT(DATEVALUE($D215&amp;"-01"), "dd-mm-yyyy")),0),0)</f>
        <v>0</v>
      </c>
      <c r="J215" cm="1">
        <f t="array" ref="J215">IF($Q215&gt;=0,IFERROR(generateSalesData($D215, IF(ISNUMBER(_xlfn.XLOOKUP($C215,Phone_by_Sentiment!$B$2:$B$37,Phone_by_Sentiment!J$2:J$37,"",0,1)),_xlfn.XLOOKUP($C215,Phone_by_Sentiment!$B$2:$B$37,Phone_by_Sentiment!J$2:J$37,"",0,1),0),$A215-TEXT(DATEVALUE($D215&amp;"-01"), "dd-mm-yyyy")),0),0)</f>
        <v>0</v>
      </c>
      <c r="K215" cm="1">
        <f t="array" ref="K215">IF($Q215&gt;=0,IFERROR(generateSalesData($D215, IF(ISNUMBER(_xlfn.XLOOKUP($C215,Phone_by_Sentiment!$B$2:$B$37,Phone_by_Sentiment!K$2:K$37,"",0,1)),_xlfn.XLOOKUP($C215,Phone_by_Sentiment!$B$2:$B$37,Phone_by_Sentiment!K$2:K$37,"",0,1),0),$A215-TEXT(DATEVALUE($D215&amp;"-01"), "dd-mm-yyyy")),0),0)</f>
        <v>0</v>
      </c>
      <c r="L215" cm="1">
        <f t="array" ref="L215">IF($Q215&gt;=0,IFERROR(generateSalesData($D215, IF(ISNUMBER(_xlfn.XLOOKUP($C215,Phone_by_Sentiment!$B$2:$B$37,Phone_by_Sentiment!L$2:L$37,"",0,1)),_xlfn.XLOOKUP($C215,Phone_by_Sentiment!$B$2:$B$37,Phone_by_Sentiment!L$2:L$37,"",0,1),0),$A215-TEXT(DATEVALUE($D215&amp;"-01"), "dd-mm-yyyy")),0),0)</f>
        <v>0</v>
      </c>
      <c r="M215" cm="1">
        <f t="array" ref="M215">IF($Q215&gt;=0,IFERROR(generateSalesData($D215, IF(ISNUMBER(_xlfn.XLOOKUP($C215,Phone_by_Sentiment!$B$2:$B$37,Phone_by_Sentiment!M$2:M$37,"",0,1)),_xlfn.XLOOKUP($C215,Phone_by_Sentiment!$B$2:$B$37,Phone_by_Sentiment!M$2:M$37,"",0,1),0),$A215-TEXT(DATEVALUE($D215&amp;"-01"), "dd-mm-yyyy")),0),0)</f>
        <v>0</v>
      </c>
      <c r="N215" cm="1">
        <f t="array" ref="N215">IF($Q215&gt;=0,IFERROR(generateSalesData($D215, IF(ISNUMBER(_xlfn.XLOOKUP($C215,Phone_by_Sentiment!$B$2:$B$37,Phone_by_Sentiment!N$2:N$37,"",0,1)),_xlfn.XLOOKUP($C215,Phone_by_Sentiment!$B$2:$B$37,Phone_by_Sentiment!N$2:N$37,"",0,1),0),$A215-TEXT(DATEVALUE($D215&amp;"-01"), "dd-mm-yyyy")),0),0)</f>
        <v>0</v>
      </c>
      <c r="O215" cm="1">
        <f t="array" ref="O215">IF($Q215&gt;=0,IFERROR(generateSalesData($D215, IF(ISNUMBER(_xlfn.XLOOKUP($C215,Phone_by_Sentiment!$B$2:$B$37,Phone_by_Sentiment!O$2:O$37,"",0,1)),_xlfn.XLOOKUP($C215,Phone_by_Sentiment!$B$2:$B$37,Phone_by_Sentiment!O$2:O$37,"",0,1),0),$A215-TEXT(DATEVALUE($D215&amp;"-01"), "dd-mm-yyyy")),0),0)</f>
        <v>0</v>
      </c>
      <c r="P215" s="1">
        <f t="shared" si="7"/>
        <v>44348</v>
      </c>
      <c r="Q215">
        <f t="shared" si="8"/>
        <v>-701</v>
      </c>
    </row>
    <row r="216" spans="1:17" x14ac:dyDescent="0.25">
      <c r="A216" s="1">
        <f t="shared" si="0"/>
        <v>43647</v>
      </c>
      <c r="B216" t="s">
        <v>157</v>
      </c>
      <c r="C216" t="str">
        <f>_xlfn.XLOOKUP(B216,Phone_by_Price!$A$2:$A$34,Phone_by_Price!$B$2:$B$34,"-",0,1)</f>
        <v>Apple iPhone 13 Pro</v>
      </c>
      <c r="D216" t="str">
        <f>_xlfn.XLOOKUP(C216,Phone_by_Sentiment!$B$2:$B$37,Phone_by_Sentiment!$A$2:$A$37,"-",0,1)</f>
        <v>2021-09</v>
      </c>
      <c r="E216" cm="1">
        <f t="array" ref="E216">IF($Q216&gt;=0,IFERROR(generateSalesData($D216, IF(ISNUMBER(_xlfn.XLOOKUP($C216,Phone_by_Sentiment!$B$2:$B$37,Phone_by_Sentiment!E$2:E$37,"",0,1)),_xlfn.XLOOKUP($C216,Phone_by_Sentiment!$B$2:$B$37,Phone_by_Sentiment!E$2:E$37,"",0,1),0),$A216-TEXT(DATEVALUE($D216&amp;"-01"), "dd-mm-yyyy")),0),0)</f>
        <v>0</v>
      </c>
      <c r="F216" cm="1">
        <f t="array" ref="F216">IF($Q216&gt;=0,IFERROR(generateSalesData($D216, IF(ISNUMBER(_xlfn.XLOOKUP($C216,Phone_by_Sentiment!$B$2:$B$37,Phone_by_Sentiment!F$2:F$37,"",0,1)),_xlfn.XLOOKUP($C216,Phone_by_Sentiment!$B$2:$B$37,Phone_by_Sentiment!F$2:F$37,"",0,1),0),$A216-TEXT(DATEVALUE($D216&amp;"-01"), "dd-mm-yyyy")),0),0)</f>
        <v>0</v>
      </c>
      <c r="G216" cm="1">
        <f t="array" ref="G216">IF($Q216&gt;=0,IFERROR(generateSalesData($D216, IF(ISNUMBER(_xlfn.XLOOKUP($C216,Phone_by_Sentiment!$B$2:$B$37,Phone_by_Sentiment!G$2:G$37,"",0,1)),_xlfn.XLOOKUP($C216,Phone_by_Sentiment!$B$2:$B$37,Phone_by_Sentiment!G$2:G$37,"",0,1),0),$A216-TEXT(DATEVALUE($D216&amp;"-01"), "dd-mm-yyyy")),0),0)</f>
        <v>0</v>
      </c>
      <c r="H216" cm="1">
        <f t="array" ref="H216">IF($Q216&gt;=0,IFERROR(generateSalesData($D216, IF(ISNUMBER(_xlfn.XLOOKUP($C216,Phone_by_Sentiment!$B$2:$B$37,Phone_by_Sentiment!H$2:H$37,"",0,1)),_xlfn.XLOOKUP($C216,Phone_by_Sentiment!$B$2:$B$37,Phone_by_Sentiment!H$2:H$37,"",0,1),0),$A216-TEXT(DATEVALUE($D216&amp;"-01"), "dd-mm-yyyy")),0),0)</f>
        <v>0</v>
      </c>
      <c r="I216" cm="1">
        <f t="array" ref="I216">IF($Q216&gt;=0,IFERROR(generateSalesData($D216, IF(ISNUMBER(_xlfn.XLOOKUP($C216,Phone_by_Sentiment!$B$2:$B$37,Phone_by_Sentiment!I$2:I$37,"",0,1)),_xlfn.XLOOKUP($C216,Phone_by_Sentiment!$B$2:$B$37,Phone_by_Sentiment!I$2:I$37,"",0,1),0),$A216-TEXT(DATEVALUE($D216&amp;"-01"), "dd-mm-yyyy")),0),0)</f>
        <v>0</v>
      </c>
      <c r="J216" cm="1">
        <f t="array" ref="J216">IF($Q216&gt;=0,IFERROR(generateSalesData($D216, IF(ISNUMBER(_xlfn.XLOOKUP($C216,Phone_by_Sentiment!$B$2:$B$37,Phone_by_Sentiment!J$2:J$37,"",0,1)),_xlfn.XLOOKUP($C216,Phone_by_Sentiment!$B$2:$B$37,Phone_by_Sentiment!J$2:J$37,"",0,1),0),$A216-TEXT(DATEVALUE($D216&amp;"-01"), "dd-mm-yyyy")),0),0)</f>
        <v>0</v>
      </c>
      <c r="K216" cm="1">
        <f t="array" ref="K216">IF($Q216&gt;=0,IFERROR(generateSalesData($D216, IF(ISNUMBER(_xlfn.XLOOKUP($C216,Phone_by_Sentiment!$B$2:$B$37,Phone_by_Sentiment!K$2:K$37,"",0,1)),_xlfn.XLOOKUP($C216,Phone_by_Sentiment!$B$2:$B$37,Phone_by_Sentiment!K$2:K$37,"",0,1),0),$A216-TEXT(DATEVALUE($D216&amp;"-01"), "dd-mm-yyyy")),0),0)</f>
        <v>0</v>
      </c>
      <c r="L216" cm="1">
        <f t="array" ref="L216">IF($Q216&gt;=0,IFERROR(generateSalesData($D216, IF(ISNUMBER(_xlfn.XLOOKUP($C216,Phone_by_Sentiment!$B$2:$B$37,Phone_by_Sentiment!L$2:L$37,"",0,1)),_xlfn.XLOOKUP($C216,Phone_by_Sentiment!$B$2:$B$37,Phone_by_Sentiment!L$2:L$37,"",0,1),0),$A216-TEXT(DATEVALUE($D216&amp;"-01"), "dd-mm-yyyy")),0),0)</f>
        <v>0</v>
      </c>
      <c r="M216" cm="1">
        <f t="array" ref="M216">IF($Q216&gt;=0,IFERROR(generateSalesData($D216, IF(ISNUMBER(_xlfn.XLOOKUP($C216,Phone_by_Sentiment!$B$2:$B$37,Phone_by_Sentiment!M$2:M$37,"",0,1)),_xlfn.XLOOKUP($C216,Phone_by_Sentiment!$B$2:$B$37,Phone_by_Sentiment!M$2:M$37,"",0,1),0),$A216-TEXT(DATEVALUE($D216&amp;"-01"), "dd-mm-yyyy")),0),0)</f>
        <v>0</v>
      </c>
      <c r="N216" cm="1">
        <f t="array" ref="N216">IF($Q216&gt;=0,IFERROR(generateSalesData($D216, IF(ISNUMBER(_xlfn.XLOOKUP($C216,Phone_by_Sentiment!$B$2:$B$37,Phone_by_Sentiment!N$2:N$37,"",0,1)),_xlfn.XLOOKUP($C216,Phone_by_Sentiment!$B$2:$B$37,Phone_by_Sentiment!N$2:N$37,"",0,1),0),$A216-TEXT(DATEVALUE($D216&amp;"-01"), "dd-mm-yyyy")),0),0)</f>
        <v>0</v>
      </c>
      <c r="O216" cm="1">
        <f t="array" ref="O216">IF($Q216&gt;=0,IFERROR(generateSalesData($D216, IF(ISNUMBER(_xlfn.XLOOKUP($C216,Phone_by_Sentiment!$B$2:$B$37,Phone_by_Sentiment!O$2:O$37,"",0,1)),_xlfn.XLOOKUP($C216,Phone_by_Sentiment!$B$2:$B$37,Phone_by_Sentiment!O$2:O$37,"",0,1),0),$A216-TEXT(DATEVALUE($D216&amp;"-01"), "dd-mm-yyyy")),0),0)</f>
        <v>0</v>
      </c>
      <c r="P216" s="1">
        <f t="shared" si="7"/>
        <v>44440</v>
      </c>
      <c r="Q216">
        <f t="shared" si="8"/>
        <v>-793</v>
      </c>
    </row>
    <row r="217" spans="1:17" x14ac:dyDescent="0.25">
      <c r="A217" s="1">
        <f t="shared" si="0"/>
        <v>43647</v>
      </c>
      <c r="B217" t="s">
        <v>158</v>
      </c>
      <c r="C217" t="str">
        <f>_xlfn.XLOOKUP(B217,Phone_by_Price!$A$2:$A$34,Phone_by_Price!$B$2:$B$34,"-",0,1)</f>
        <v>Samsung Galaxy A32 5G</v>
      </c>
      <c r="D217" t="str">
        <f>_xlfn.XLOOKUP(C217,Phone_by_Sentiment!$B$2:$B$37,Phone_by_Sentiment!$A$2:$A$37,"-",0,1)</f>
        <v>2021-02</v>
      </c>
      <c r="E217" cm="1">
        <f t="array" ref="E217">IF($Q217&gt;=0,IFERROR(generateSalesData($D217, IF(ISNUMBER(_xlfn.XLOOKUP($C217,Phone_by_Sentiment!$B$2:$B$37,Phone_by_Sentiment!E$2:E$37,"",0,1)),_xlfn.XLOOKUP($C217,Phone_by_Sentiment!$B$2:$B$37,Phone_by_Sentiment!E$2:E$37,"",0,1),0),$A217-TEXT(DATEVALUE($D217&amp;"-01"), "dd-mm-yyyy")),0),0)</f>
        <v>0</v>
      </c>
      <c r="F217" cm="1">
        <f t="array" ref="F217">IF($Q217&gt;=0,IFERROR(generateSalesData($D217, IF(ISNUMBER(_xlfn.XLOOKUP($C217,Phone_by_Sentiment!$B$2:$B$37,Phone_by_Sentiment!F$2:F$37,"",0,1)),_xlfn.XLOOKUP($C217,Phone_by_Sentiment!$B$2:$B$37,Phone_by_Sentiment!F$2:F$37,"",0,1),0),$A217-TEXT(DATEVALUE($D217&amp;"-01"), "dd-mm-yyyy")),0),0)</f>
        <v>0</v>
      </c>
      <c r="G217" cm="1">
        <f t="array" ref="G217">IF($Q217&gt;=0,IFERROR(generateSalesData($D217, IF(ISNUMBER(_xlfn.XLOOKUP($C217,Phone_by_Sentiment!$B$2:$B$37,Phone_by_Sentiment!G$2:G$37,"",0,1)),_xlfn.XLOOKUP($C217,Phone_by_Sentiment!$B$2:$B$37,Phone_by_Sentiment!G$2:G$37,"",0,1),0),$A217-TEXT(DATEVALUE($D217&amp;"-01"), "dd-mm-yyyy")),0),0)</f>
        <v>0</v>
      </c>
      <c r="H217" cm="1">
        <f t="array" ref="H217">IF($Q217&gt;=0,IFERROR(generateSalesData($D217, IF(ISNUMBER(_xlfn.XLOOKUP($C217,Phone_by_Sentiment!$B$2:$B$37,Phone_by_Sentiment!H$2:H$37,"",0,1)),_xlfn.XLOOKUP($C217,Phone_by_Sentiment!$B$2:$B$37,Phone_by_Sentiment!H$2:H$37,"",0,1),0),$A217-TEXT(DATEVALUE($D217&amp;"-01"), "dd-mm-yyyy")),0),0)</f>
        <v>0</v>
      </c>
      <c r="I217" cm="1">
        <f t="array" ref="I217">IF($Q217&gt;=0,IFERROR(generateSalesData($D217, IF(ISNUMBER(_xlfn.XLOOKUP($C217,Phone_by_Sentiment!$B$2:$B$37,Phone_by_Sentiment!I$2:I$37,"",0,1)),_xlfn.XLOOKUP($C217,Phone_by_Sentiment!$B$2:$B$37,Phone_by_Sentiment!I$2:I$37,"",0,1),0),$A217-TEXT(DATEVALUE($D217&amp;"-01"), "dd-mm-yyyy")),0),0)</f>
        <v>0</v>
      </c>
      <c r="J217" cm="1">
        <f t="array" ref="J217">IF($Q217&gt;=0,IFERROR(generateSalesData($D217, IF(ISNUMBER(_xlfn.XLOOKUP($C217,Phone_by_Sentiment!$B$2:$B$37,Phone_by_Sentiment!J$2:J$37,"",0,1)),_xlfn.XLOOKUP($C217,Phone_by_Sentiment!$B$2:$B$37,Phone_by_Sentiment!J$2:J$37,"",0,1),0),$A217-TEXT(DATEVALUE($D217&amp;"-01"), "dd-mm-yyyy")),0),0)</f>
        <v>0</v>
      </c>
      <c r="K217" cm="1">
        <f t="array" ref="K217">IF($Q217&gt;=0,IFERROR(generateSalesData($D217, IF(ISNUMBER(_xlfn.XLOOKUP($C217,Phone_by_Sentiment!$B$2:$B$37,Phone_by_Sentiment!K$2:K$37,"",0,1)),_xlfn.XLOOKUP($C217,Phone_by_Sentiment!$B$2:$B$37,Phone_by_Sentiment!K$2:K$37,"",0,1),0),$A217-TEXT(DATEVALUE($D217&amp;"-01"), "dd-mm-yyyy")),0),0)</f>
        <v>0</v>
      </c>
      <c r="L217" cm="1">
        <f t="array" ref="L217">IF($Q217&gt;=0,IFERROR(generateSalesData($D217, IF(ISNUMBER(_xlfn.XLOOKUP($C217,Phone_by_Sentiment!$B$2:$B$37,Phone_by_Sentiment!L$2:L$37,"",0,1)),_xlfn.XLOOKUP($C217,Phone_by_Sentiment!$B$2:$B$37,Phone_by_Sentiment!L$2:L$37,"",0,1),0),$A217-TEXT(DATEVALUE($D217&amp;"-01"), "dd-mm-yyyy")),0),0)</f>
        <v>0</v>
      </c>
      <c r="M217" cm="1">
        <f t="array" ref="M217">IF($Q217&gt;=0,IFERROR(generateSalesData($D217, IF(ISNUMBER(_xlfn.XLOOKUP($C217,Phone_by_Sentiment!$B$2:$B$37,Phone_by_Sentiment!M$2:M$37,"",0,1)),_xlfn.XLOOKUP($C217,Phone_by_Sentiment!$B$2:$B$37,Phone_by_Sentiment!M$2:M$37,"",0,1),0),$A217-TEXT(DATEVALUE($D217&amp;"-01"), "dd-mm-yyyy")),0),0)</f>
        <v>0</v>
      </c>
      <c r="N217" cm="1">
        <f t="array" ref="N217">IF($Q217&gt;=0,IFERROR(generateSalesData($D217, IF(ISNUMBER(_xlfn.XLOOKUP($C217,Phone_by_Sentiment!$B$2:$B$37,Phone_by_Sentiment!N$2:N$37,"",0,1)),_xlfn.XLOOKUP($C217,Phone_by_Sentiment!$B$2:$B$37,Phone_by_Sentiment!N$2:N$37,"",0,1),0),$A217-TEXT(DATEVALUE($D217&amp;"-01"), "dd-mm-yyyy")),0),0)</f>
        <v>0</v>
      </c>
      <c r="O217" cm="1">
        <f t="array" ref="O217">IF($Q217&gt;=0,IFERROR(generateSalesData($D217, IF(ISNUMBER(_xlfn.XLOOKUP($C217,Phone_by_Sentiment!$B$2:$B$37,Phone_by_Sentiment!O$2:O$37,"",0,1)),_xlfn.XLOOKUP($C217,Phone_by_Sentiment!$B$2:$B$37,Phone_by_Sentiment!O$2:O$37,"",0,1),0),$A217-TEXT(DATEVALUE($D217&amp;"-01"), "dd-mm-yyyy")),0),0)</f>
        <v>0</v>
      </c>
      <c r="P217" s="1">
        <f t="shared" si="7"/>
        <v>44228</v>
      </c>
      <c r="Q217">
        <f t="shared" si="8"/>
        <v>-581</v>
      </c>
    </row>
    <row r="218" spans="1:17" x14ac:dyDescent="0.25">
      <c r="A218" s="1">
        <f t="shared" si="0"/>
        <v>43647</v>
      </c>
      <c r="B218" t="s">
        <v>159</v>
      </c>
      <c r="C218" t="str">
        <f>_xlfn.XLOOKUP(B218,Phone_by_Price!$A$2:$A$34,Phone_by_Price!$B$2:$B$34,"-",0,1)</f>
        <v>Realme C25</v>
      </c>
      <c r="D218" t="str">
        <f>_xlfn.XLOOKUP(C218,Phone_by_Sentiment!$B$2:$B$37,Phone_by_Sentiment!$A$2:$A$37,"-",0,1)</f>
        <v>2021-03</v>
      </c>
      <c r="E218" cm="1">
        <f t="array" ref="E218">IF($Q218&gt;=0,IFERROR(generateSalesData($D218, IF(ISNUMBER(_xlfn.XLOOKUP($C218,Phone_by_Sentiment!$B$2:$B$37,Phone_by_Sentiment!E$2:E$37,"",0,1)),_xlfn.XLOOKUP($C218,Phone_by_Sentiment!$B$2:$B$37,Phone_by_Sentiment!E$2:E$37,"",0,1),0),$A218-TEXT(DATEVALUE($D218&amp;"-01"), "dd-mm-yyyy")),0),0)</f>
        <v>0</v>
      </c>
      <c r="F218" cm="1">
        <f t="array" ref="F218">IF($Q218&gt;=0,IFERROR(generateSalesData($D218, IF(ISNUMBER(_xlfn.XLOOKUP($C218,Phone_by_Sentiment!$B$2:$B$37,Phone_by_Sentiment!F$2:F$37,"",0,1)),_xlfn.XLOOKUP($C218,Phone_by_Sentiment!$B$2:$B$37,Phone_by_Sentiment!F$2:F$37,"",0,1),0),$A218-TEXT(DATEVALUE($D218&amp;"-01"), "dd-mm-yyyy")),0),0)</f>
        <v>0</v>
      </c>
      <c r="G218" cm="1">
        <f t="array" ref="G218">IF($Q218&gt;=0,IFERROR(generateSalesData($D218, IF(ISNUMBER(_xlfn.XLOOKUP($C218,Phone_by_Sentiment!$B$2:$B$37,Phone_by_Sentiment!G$2:G$37,"",0,1)),_xlfn.XLOOKUP($C218,Phone_by_Sentiment!$B$2:$B$37,Phone_by_Sentiment!G$2:G$37,"",0,1),0),$A218-TEXT(DATEVALUE($D218&amp;"-01"), "dd-mm-yyyy")),0),0)</f>
        <v>0</v>
      </c>
      <c r="H218" cm="1">
        <f t="array" ref="H218">IF($Q218&gt;=0,IFERROR(generateSalesData($D218, IF(ISNUMBER(_xlfn.XLOOKUP($C218,Phone_by_Sentiment!$B$2:$B$37,Phone_by_Sentiment!H$2:H$37,"",0,1)),_xlfn.XLOOKUP($C218,Phone_by_Sentiment!$B$2:$B$37,Phone_by_Sentiment!H$2:H$37,"",0,1),0),$A218-TEXT(DATEVALUE($D218&amp;"-01"), "dd-mm-yyyy")),0),0)</f>
        <v>0</v>
      </c>
      <c r="I218" cm="1">
        <f t="array" ref="I218">IF($Q218&gt;=0,IFERROR(generateSalesData($D218, IF(ISNUMBER(_xlfn.XLOOKUP($C218,Phone_by_Sentiment!$B$2:$B$37,Phone_by_Sentiment!I$2:I$37,"",0,1)),_xlfn.XLOOKUP($C218,Phone_by_Sentiment!$B$2:$B$37,Phone_by_Sentiment!I$2:I$37,"",0,1),0),$A218-TEXT(DATEVALUE($D218&amp;"-01"), "dd-mm-yyyy")),0),0)</f>
        <v>0</v>
      </c>
      <c r="J218" cm="1">
        <f t="array" ref="J218">IF($Q218&gt;=0,IFERROR(generateSalesData($D218, IF(ISNUMBER(_xlfn.XLOOKUP($C218,Phone_by_Sentiment!$B$2:$B$37,Phone_by_Sentiment!J$2:J$37,"",0,1)),_xlfn.XLOOKUP($C218,Phone_by_Sentiment!$B$2:$B$37,Phone_by_Sentiment!J$2:J$37,"",0,1),0),$A218-TEXT(DATEVALUE($D218&amp;"-01"), "dd-mm-yyyy")),0),0)</f>
        <v>0</v>
      </c>
      <c r="K218" cm="1">
        <f t="array" ref="K218">IF($Q218&gt;=0,IFERROR(generateSalesData($D218, IF(ISNUMBER(_xlfn.XLOOKUP($C218,Phone_by_Sentiment!$B$2:$B$37,Phone_by_Sentiment!K$2:K$37,"",0,1)),_xlfn.XLOOKUP($C218,Phone_by_Sentiment!$B$2:$B$37,Phone_by_Sentiment!K$2:K$37,"",0,1),0),$A218-TEXT(DATEVALUE($D218&amp;"-01"), "dd-mm-yyyy")),0),0)</f>
        <v>0</v>
      </c>
      <c r="L218" cm="1">
        <f t="array" ref="L218">IF($Q218&gt;=0,IFERROR(generateSalesData($D218, IF(ISNUMBER(_xlfn.XLOOKUP($C218,Phone_by_Sentiment!$B$2:$B$37,Phone_by_Sentiment!L$2:L$37,"",0,1)),_xlfn.XLOOKUP($C218,Phone_by_Sentiment!$B$2:$B$37,Phone_by_Sentiment!L$2:L$37,"",0,1),0),$A218-TEXT(DATEVALUE($D218&amp;"-01"), "dd-mm-yyyy")),0),0)</f>
        <v>0</v>
      </c>
      <c r="M218" cm="1">
        <f t="array" ref="M218">IF($Q218&gt;=0,IFERROR(generateSalesData($D218, IF(ISNUMBER(_xlfn.XLOOKUP($C218,Phone_by_Sentiment!$B$2:$B$37,Phone_by_Sentiment!M$2:M$37,"",0,1)),_xlfn.XLOOKUP($C218,Phone_by_Sentiment!$B$2:$B$37,Phone_by_Sentiment!M$2:M$37,"",0,1),0),$A218-TEXT(DATEVALUE($D218&amp;"-01"), "dd-mm-yyyy")),0),0)</f>
        <v>0</v>
      </c>
      <c r="N218" cm="1">
        <f t="array" ref="N218">IF($Q218&gt;=0,IFERROR(generateSalesData($D218, IF(ISNUMBER(_xlfn.XLOOKUP($C218,Phone_by_Sentiment!$B$2:$B$37,Phone_by_Sentiment!N$2:N$37,"",0,1)),_xlfn.XLOOKUP($C218,Phone_by_Sentiment!$B$2:$B$37,Phone_by_Sentiment!N$2:N$37,"",0,1),0),$A218-TEXT(DATEVALUE($D218&amp;"-01"), "dd-mm-yyyy")),0),0)</f>
        <v>0</v>
      </c>
      <c r="O218" cm="1">
        <f t="array" ref="O218">IF($Q218&gt;=0,IFERROR(generateSalesData($D218, IF(ISNUMBER(_xlfn.XLOOKUP($C218,Phone_by_Sentiment!$B$2:$B$37,Phone_by_Sentiment!O$2:O$37,"",0,1)),_xlfn.XLOOKUP($C218,Phone_by_Sentiment!$B$2:$B$37,Phone_by_Sentiment!O$2:O$37,"",0,1),0),$A218-TEXT(DATEVALUE($D218&amp;"-01"), "dd-mm-yyyy")),0),0)</f>
        <v>0</v>
      </c>
      <c r="P218" s="1">
        <f t="shared" si="7"/>
        <v>44256</v>
      </c>
      <c r="Q218">
        <f t="shared" si="8"/>
        <v>-609</v>
      </c>
    </row>
    <row r="219" spans="1:17" x14ac:dyDescent="0.25">
      <c r="A219" s="1">
        <f t="shared" si="0"/>
        <v>43647</v>
      </c>
      <c r="B219" t="s">
        <v>160</v>
      </c>
      <c r="C219" t="str">
        <f>_xlfn.XLOOKUP(B219,Phone_by_Price!$A$2:$A$34,Phone_by_Price!$B$2:$B$34,"-",0,1)</f>
        <v>Xiaomi Poco X3 Pro</v>
      </c>
      <c r="D219" t="str">
        <f>_xlfn.XLOOKUP(C219,Phone_by_Sentiment!$B$2:$B$37,Phone_by_Sentiment!$A$2:$A$37,"-",0,1)</f>
        <v>2021-05</v>
      </c>
      <c r="E219" cm="1">
        <f t="array" ref="E219">IF($Q219&gt;=0,IFERROR(generateSalesData($D219, IF(ISNUMBER(_xlfn.XLOOKUP($C219,Phone_by_Sentiment!$B$2:$B$37,Phone_by_Sentiment!E$2:E$37,"",0,1)),_xlfn.XLOOKUP($C219,Phone_by_Sentiment!$B$2:$B$37,Phone_by_Sentiment!E$2:E$37,"",0,1),0),$A219-TEXT(DATEVALUE($D219&amp;"-01"), "dd-mm-yyyy")),0),0)</f>
        <v>0</v>
      </c>
      <c r="F219" cm="1">
        <f t="array" ref="F219">IF($Q219&gt;=0,IFERROR(generateSalesData($D219, IF(ISNUMBER(_xlfn.XLOOKUP($C219,Phone_by_Sentiment!$B$2:$B$37,Phone_by_Sentiment!F$2:F$37,"",0,1)),_xlfn.XLOOKUP($C219,Phone_by_Sentiment!$B$2:$B$37,Phone_by_Sentiment!F$2:F$37,"",0,1),0),$A219-TEXT(DATEVALUE($D219&amp;"-01"), "dd-mm-yyyy")),0),0)</f>
        <v>0</v>
      </c>
      <c r="G219" cm="1">
        <f t="array" ref="G219">IF($Q219&gt;=0,IFERROR(generateSalesData($D219, IF(ISNUMBER(_xlfn.XLOOKUP($C219,Phone_by_Sentiment!$B$2:$B$37,Phone_by_Sentiment!G$2:G$37,"",0,1)),_xlfn.XLOOKUP($C219,Phone_by_Sentiment!$B$2:$B$37,Phone_by_Sentiment!G$2:G$37,"",0,1),0),$A219-TEXT(DATEVALUE($D219&amp;"-01"), "dd-mm-yyyy")),0),0)</f>
        <v>0</v>
      </c>
      <c r="H219" cm="1">
        <f t="array" ref="H219">IF($Q219&gt;=0,IFERROR(generateSalesData($D219, IF(ISNUMBER(_xlfn.XLOOKUP($C219,Phone_by_Sentiment!$B$2:$B$37,Phone_by_Sentiment!H$2:H$37,"",0,1)),_xlfn.XLOOKUP($C219,Phone_by_Sentiment!$B$2:$B$37,Phone_by_Sentiment!H$2:H$37,"",0,1),0),$A219-TEXT(DATEVALUE($D219&amp;"-01"), "dd-mm-yyyy")),0),0)</f>
        <v>0</v>
      </c>
      <c r="I219" cm="1">
        <f t="array" ref="I219">IF($Q219&gt;=0,IFERROR(generateSalesData($D219, IF(ISNUMBER(_xlfn.XLOOKUP($C219,Phone_by_Sentiment!$B$2:$B$37,Phone_by_Sentiment!I$2:I$37,"",0,1)),_xlfn.XLOOKUP($C219,Phone_by_Sentiment!$B$2:$B$37,Phone_by_Sentiment!I$2:I$37,"",0,1),0),$A219-TEXT(DATEVALUE($D219&amp;"-01"), "dd-mm-yyyy")),0),0)</f>
        <v>0</v>
      </c>
      <c r="J219" cm="1">
        <f t="array" ref="J219">IF($Q219&gt;=0,IFERROR(generateSalesData($D219, IF(ISNUMBER(_xlfn.XLOOKUP($C219,Phone_by_Sentiment!$B$2:$B$37,Phone_by_Sentiment!J$2:J$37,"",0,1)),_xlfn.XLOOKUP($C219,Phone_by_Sentiment!$B$2:$B$37,Phone_by_Sentiment!J$2:J$37,"",0,1),0),$A219-TEXT(DATEVALUE($D219&amp;"-01"), "dd-mm-yyyy")),0),0)</f>
        <v>0</v>
      </c>
      <c r="K219" cm="1">
        <f t="array" ref="K219">IF($Q219&gt;=0,IFERROR(generateSalesData($D219, IF(ISNUMBER(_xlfn.XLOOKUP($C219,Phone_by_Sentiment!$B$2:$B$37,Phone_by_Sentiment!K$2:K$37,"",0,1)),_xlfn.XLOOKUP($C219,Phone_by_Sentiment!$B$2:$B$37,Phone_by_Sentiment!K$2:K$37,"",0,1),0),$A219-TEXT(DATEVALUE($D219&amp;"-01"), "dd-mm-yyyy")),0),0)</f>
        <v>0</v>
      </c>
      <c r="L219" cm="1">
        <f t="array" ref="L219">IF($Q219&gt;=0,IFERROR(generateSalesData($D219, IF(ISNUMBER(_xlfn.XLOOKUP($C219,Phone_by_Sentiment!$B$2:$B$37,Phone_by_Sentiment!L$2:L$37,"",0,1)),_xlfn.XLOOKUP($C219,Phone_by_Sentiment!$B$2:$B$37,Phone_by_Sentiment!L$2:L$37,"",0,1),0),$A219-TEXT(DATEVALUE($D219&amp;"-01"), "dd-mm-yyyy")),0),0)</f>
        <v>0</v>
      </c>
      <c r="M219" cm="1">
        <f t="array" ref="M219">IF($Q219&gt;=0,IFERROR(generateSalesData($D219, IF(ISNUMBER(_xlfn.XLOOKUP($C219,Phone_by_Sentiment!$B$2:$B$37,Phone_by_Sentiment!M$2:M$37,"",0,1)),_xlfn.XLOOKUP($C219,Phone_by_Sentiment!$B$2:$B$37,Phone_by_Sentiment!M$2:M$37,"",0,1),0),$A219-TEXT(DATEVALUE($D219&amp;"-01"), "dd-mm-yyyy")),0),0)</f>
        <v>0</v>
      </c>
      <c r="N219" cm="1">
        <f t="array" ref="N219">IF($Q219&gt;=0,IFERROR(generateSalesData($D219, IF(ISNUMBER(_xlfn.XLOOKUP($C219,Phone_by_Sentiment!$B$2:$B$37,Phone_by_Sentiment!N$2:N$37,"",0,1)),_xlfn.XLOOKUP($C219,Phone_by_Sentiment!$B$2:$B$37,Phone_by_Sentiment!N$2:N$37,"",0,1),0),$A219-TEXT(DATEVALUE($D219&amp;"-01"), "dd-mm-yyyy")),0),0)</f>
        <v>0</v>
      </c>
      <c r="O219" cm="1">
        <f t="array" ref="O219">IF($Q219&gt;=0,IFERROR(generateSalesData($D219, IF(ISNUMBER(_xlfn.XLOOKUP($C219,Phone_by_Sentiment!$B$2:$B$37,Phone_by_Sentiment!O$2:O$37,"",0,1)),_xlfn.XLOOKUP($C219,Phone_by_Sentiment!$B$2:$B$37,Phone_by_Sentiment!O$2:O$37,"",0,1),0),$A219-TEXT(DATEVALUE($D219&amp;"-01"), "dd-mm-yyyy")),0),0)</f>
        <v>0</v>
      </c>
      <c r="P219" s="1">
        <f t="shared" si="7"/>
        <v>44317</v>
      </c>
      <c r="Q219">
        <f t="shared" si="8"/>
        <v>-670</v>
      </c>
    </row>
    <row r="220" spans="1:17" x14ac:dyDescent="0.25">
      <c r="A220" s="1">
        <f t="shared" si="0"/>
        <v>43647</v>
      </c>
      <c r="B220" t="s">
        <v>161</v>
      </c>
      <c r="C220" t="str">
        <f>_xlfn.XLOOKUP(B220,Phone_by_Price!$A$2:$A$34,Phone_by_Price!$B$2:$B$34,"-",0,1)</f>
        <v>Samsung Galaxy Z Flip 3</v>
      </c>
      <c r="D220" t="str">
        <f>_xlfn.XLOOKUP(C220,Phone_by_Sentiment!$B$2:$B$37,Phone_by_Sentiment!$A$2:$A$37,"-",0,1)</f>
        <v>2021-09</v>
      </c>
      <c r="E220" cm="1">
        <f t="array" ref="E220">IF($Q220&gt;=0,IFERROR(generateSalesData($D220, IF(ISNUMBER(_xlfn.XLOOKUP($C220,Phone_by_Sentiment!$B$2:$B$37,Phone_by_Sentiment!E$2:E$37,"",0,1)),_xlfn.XLOOKUP($C220,Phone_by_Sentiment!$B$2:$B$37,Phone_by_Sentiment!E$2:E$37,"",0,1),0),$A220-TEXT(DATEVALUE($D220&amp;"-01"), "dd-mm-yyyy")),0),0)</f>
        <v>0</v>
      </c>
      <c r="F220" cm="1">
        <f t="array" ref="F220">IF($Q220&gt;=0,IFERROR(generateSalesData($D220, IF(ISNUMBER(_xlfn.XLOOKUP($C220,Phone_by_Sentiment!$B$2:$B$37,Phone_by_Sentiment!F$2:F$37,"",0,1)),_xlfn.XLOOKUP($C220,Phone_by_Sentiment!$B$2:$B$37,Phone_by_Sentiment!F$2:F$37,"",0,1),0),$A220-TEXT(DATEVALUE($D220&amp;"-01"), "dd-mm-yyyy")),0),0)</f>
        <v>0</v>
      </c>
      <c r="G220" cm="1">
        <f t="array" ref="G220">IF($Q220&gt;=0,IFERROR(generateSalesData($D220, IF(ISNUMBER(_xlfn.XLOOKUP($C220,Phone_by_Sentiment!$B$2:$B$37,Phone_by_Sentiment!G$2:G$37,"",0,1)),_xlfn.XLOOKUP($C220,Phone_by_Sentiment!$B$2:$B$37,Phone_by_Sentiment!G$2:G$37,"",0,1),0),$A220-TEXT(DATEVALUE($D220&amp;"-01"), "dd-mm-yyyy")),0),0)</f>
        <v>0</v>
      </c>
      <c r="H220" cm="1">
        <f t="array" ref="H220">IF($Q220&gt;=0,IFERROR(generateSalesData($D220, IF(ISNUMBER(_xlfn.XLOOKUP($C220,Phone_by_Sentiment!$B$2:$B$37,Phone_by_Sentiment!H$2:H$37,"",0,1)),_xlfn.XLOOKUP($C220,Phone_by_Sentiment!$B$2:$B$37,Phone_by_Sentiment!H$2:H$37,"",0,1),0),$A220-TEXT(DATEVALUE($D220&amp;"-01"), "dd-mm-yyyy")),0),0)</f>
        <v>0</v>
      </c>
      <c r="I220" cm="1">
        <f t="array" ref="I220">IF($Q220&gt;=0,IFERROR(generateSalesData($D220, IF(ISNUMBER(_xlfn.XLOOKUP($C220,Phone_by_Sentiment!$B$2:$B$37,Phone_by_Sentiment!I$2:I$37,"",0,1)),_xlfn.XLOOKUP($C220,Phone_by_Sentiment!$B$2:$B$37,Phone_by_Sentiment!I$2:I$37,"",0,1),0),$A220-TEXT(DATEVALUE($D220&amp;"-01"), "dd-mm-yyyy")),0),0)</f>
        <v>0</v>
      </c>
      <c r="J220" cm="1">
        <f t="array" ref="J220">IF($Q220&gt;=0,IFERROR(generateSalesData($D220, IF(ISNUMBER(_xlfn.XLOOKUP($C220,Phone_by_Sentiment!$B$2:$B$37,Phone_by_Sentiment!J$2:J$37,"",0,1)),_xlfn.XLOOKUP($C220,Phone_by_Sentiment!$B$2:$B$37,Phone_by_Sentiment!J$2:J$37,"",0,1),0),$A220-TEXT(DATEVALUE($D220&amp;"-01"), "dd-mm-yyyy")),0),0)</f>
        <v>0</v>
      </c>
      <c r="K220" cm="1">
        <f t="array" ref="K220">IF($Q220&gt;=0,IFERROR(generateSalesData($D220, IF(ISNUMBER(_xlfn.XLOOKUP($C220,Phone_by_Sentiment!$B$2:$B$37,Phone_by_Sentiment!K$2:K$37,"",0,1)),_xlfn.XLOOKUP($C220,Phone_by_Sentiment!$B$2:$B$37,Phone_by_Sentiment!K$2:K$37,"",0,1),0),$A220-TEXT(DATEVALUE($D220&amp;"-01"), "dd-mm-yyyy")),0),0)</f>
        <v>0</v>
      </c>
      <c r="L220" cm="1">
        <f t="array" ref="L220">IF($Q220&gt;=0,IFERROR(generateSalesData($D220, IF(ISNUMBER(_xlfn.XLOOKUP($C220,Phone_by_Sentiment!$B$2:$B$37,Phone_by_Sentiment!L$2:L$37,"",0,1)),_xlfn.XLOOKUP($C220,Phone_by_Sentiment!$B$2:$B$37,Phone_by_Sentiment!L$2:L$37,"",0,1),0),$A220-TEXT(DATEVALUE($D220&amp;"-01"), "dd-mm-yyyy")),0),0)</f>
        <v>0</v>
      </c>
      <c r="M220" cm="1">
        <f t="array" ref="M220">IF($Q220&gt;=0,IFERROR(generateSalesData($D220, IF(ISNUMBER(_xlfn.XLOOKUP($C220,Phone_by_Sentiment!$B$2:$B$37,Phone_by_Sentiment!M$2:M$37,"",0,1)),_xlfn.XLOOKUP($C220,Phone_by_Sentiment!$B$2:$B$37,Phone_by_Sentiment!M$2:M$37,"",0,1),0),$A220-TEXT(DATEVALUE($D220&amp;"-01"), "dd-mm-yyyy")),0),0)</f>
        <v>0</v>
      </c>
      <c r="N220" cm="1">
        <f t="array" ref="N220">IF($Q220&gt;=0,IFERROR(generateSalesData($D220, IF(ISNUMBER(_xlfn.XLOOKUP($C220,Phone_by_Sentiment!$B$2:$B$37,Phone_by_Sentiment!N$2:N$37,"",0,1)),_xlfn.XLOOKUP($C220,Phone_by_Sentiment!$B$2:$B$37,Phone_by_Sentiment!N$2:N$37,"",0,1),0),$A220-TEXT(DATEVALUE($D220&amp;"-01"), "dd-mm-yyyy")),0),0)</f>
        <v>0</v>
      </c>
      <c r="O220" cm="1">
        <f t="array" ref="O220">IF($Q220&gt;=0,IFERROR(generateSalesData($D220, IF(ISNUMBER(_xlfn.XLOOKUP($C220,Phone_by_Sentiment!$B$2:$B$37,Phone_by_Sentiment!O$2:O$37,"",0,1)),_xlfn.XLOOKUP($C220,Phone_by_Sentiment!$B$2:$B$37,Phone_by_Sentiment!O$2:O$37,"",0,1),0),$A220-TEXT(DATEVALUE($D220&amp;"-01"), "dd-mm-yyyy")),0),0)</f>
        <v>0</v>
      </c>
      <c r="P220" s="1">
        <f t="shared" si="7"/>
        <v>44440</v>
      </c>
      <c r="Q220">
        <f t="shared" si="8"/>
        <v>-793</v>
      </c>
    </row>
    <row r="221" spans="1:17" x14ac:dyDescent="0.25">
      <c r="A221" s="1">
        <f t="shared" si="0"/>
        <v>43647</v>
      </c>
      <c r="B221" t="s">
        <v>162</v>
      </c>
      <c r="C221" t="str">
        <f>_xlfn.XLOOKUP(B221,Phone_by_Price!$A$2:$A$34,Phone_by_Price!$B$2:$B$34,"-",0,1)</f>
        <v>Xiaomi Poco X3 NFC</v>
      </c>
      <c r="D221" t="str">
        <f>_xlfn.XLOOKUP(C221,Phone_by_Sentiment!$B$2:$B$37,Phone_by_Sentiment!$A$2:$A$37,"-",0,1)</f>
        <v>2020-08</v>
      </c>
      <c r="E221" cm="1">
        <f t="array" ref="E221">IF($Q221&gt;=0,IFERROR(generateSalesData($D221, IF(ISNUMBER(_xlfn.XLOOKUP($C221,Phone_by_Sentiment!$B$2:$B$37,Phone_by_Sentiment!E$2:E$37,"",0,1)),_xlfn.XLOOKUP($C221,Phone_by_Sentiment!$B$2:$B$37,Phone_by_Sentiment!E$2:E$37,"",0,1),0),$A221-TEXT(DATEVALUE($D221&amp;"-01"), "dd-mm-yyyy")),0),0)</f>
        <v>0</v>
      </c>
      <c r="F221" cm="1">
        <f t="array" ref="F221">IF($Q221&gt;=0,IFERROR(generateSalesData($D221, IF(ISNUMBER(_xlfn.XLOOKUP($C221,Phone_by_Sentiment!$B$2:$B$37,Phone_by_Sentiment!F$2:F$37,"",0,1)),_xlfn.XLOOKUP($C221,Phone_by_Sentiment!$B$2:$B$37,Phone_by_Sentiment!F$2:F$37,"",0,1),0),$A221-TEXT(DATEVALUE($D221&amp;"-01"), "dd-mm-yyyy")),0),0)</f>
        <v>0</v>
      </c>
      <c r="G221" cm="1">
        <f t="array" ref="G221">IF($Q221&gt;=0,IFERROR(generateSalesData($D221, IF(ISNUMBER(_xlfn.XLOOKUP($C221,Phone_by_Sentiment!$B$2:$B$37,Phone_by_Sentiment!G$2:G$37,"",0,1)),_xlfn.XLOOKUP($C221,Phone_by_Sentiment!$B$2:$B$37,Phone_by_Sentiment!G$2:G$37,"",0,1),0),$A221-TEXT(DATEVALUE($D221&amp;"-01"), "dd-mm-yyyy")),0),0)</f>
        <v>0</v>
      </c>
      <c r="H221" cm="1">
        <f t="array" ref="H221">IF($Q221&gt;=0,IFERROR(generateSalesData($D221, IF(ISNUMBER(_xlfn.XLOOKUP($C221,Phone_by_Sentiment!$B$2:$B$37,Phone_by_Sentiment!H$2:H$37,"",0,1)),_xlfn.XLOOKUP($C221,Phone_by_Sentiment!$B$2:$B$37,Phone_by_Sentiment!H$2:H$37,"",0,1),0),$A221-TEXT(DATEVALUE($D221&amp;"-01"), "dd-mm-yyyy")),0),0)</f>
        <v>0</v>
      </c>
      <c r="I221" cm="1">
        <f t="array" ref="I221">IF($Q221&gt;=0,IFERROR(generateSalesData($D221, IF(ISNUMBER(_xlfn.XLOOKUP($C221,Phone_by_Sentiment!$B$2:$B$37,Phone_by_Sentiment!I$2:I$37,"",0,1)),_xlfn.XLOOKUP($C221,Phone_by_Sentiment!$B$2:$B$37,Phone_by_Sentiment!I$2:I$37,"",0,1),0),$A221-TEXT(DATEVALUE($D221&amp;"-01"), "dd-mm-yyyy")),0),0)</f>
        <v>0</v>
      </c>
      <c r="J221" cm="1">
        <f t="array" ref="J221">IF($Q221&gt;=0,IFERROR(generateSalesData($D221, IF(ISNUMBER(_xlfn.XLOOKUP($C221,Phone_by_Sentiment!$B$2:$B$37,Phone_by_Sentiment!J$2:J$37,"",0,1)),_xlfn.XLOOKUP($C221,Phone_by_Sentiment!$B$2:$B$37,Phone_by_Sentiment!J$2:J$37,"",0,1),0),$A221-TEXT(DATEVALUE($D221&amp;"-01"), "dd-mm-yyyy")),0),0)</f>
        <v>0</v>
      </c>
      <c r="K221" cm="1">
        <f t="array" ref="K221">IF($Q221&gt;=0,IFERROR(generateSalesData($D221, IF(ISNUMBER(_xlfn.XLOOKUP($C221,Phone_by_Sentiment!$B$2:$B$37,Phone_by_Sentiment!K$2:K$37,"",0,1)),_xlfn.XLOOKUP($C221,Phone_by_Sentiment!$B$2:$B$37,Phone_by_Sentiment!K$2:K$37,"",0,1),0),$A221-TEXT(DATEVALUE($D221&amp;"-01"), "dd-mm-yyyy")),0),0)</f>
        <v>0</v>
      </c>
      <c r="L221" cm="1">
        <f t="array" ref="L221">IF($Q221&gt;=0,IFERROR(generateSalesData($D221, IF(ISNUMBER(_xlfn.XLOOKUP($C221,Phone_by_Sentiment!$B$2:$B$37,Phone_by_Sentiment!L$2:L$37,"",0,1)),_xlfn.XLOOKUP($C221,Phone_by_Sentiment!$B$2:$B$37,Phone_by_Sentiment!L$2:L$37,"",0,1),0),$A221-TEXT(DATEVALUE($D221&amp;"-01"), "dd-mm-yyyy")),0),0)</f>
        <v>0</v>
      </c>
      <c r="M221" cm="1">
        <f t="array" ref="M221">IF($Q221&gt;=0,IFERROR(generateSalesData($D221, IF(ISNUMBER(_xlfn.XLOOKUP($C221,Phone_by_Sentiment!$B$2:$B$37,Phone_by_Sentiment!M$2:M$37,"",0,1)),_xlfn.XLOOKUP($C221,Phone_by_Sentiment!$B$2:$B$37,Phone_by_Sentiment!M$2:M$37,"",0,1),0),$A221-TEXT(DATEVALUE($D221&amp;"-01"), "dd-mm-yyyy")),0),0)</f>
        <v>0</v>
      </c>
      <c r="N221" cm="1">
        <f t="array" ref="N221">IF($Q221&gt;=0,IFERROR(generateSalesData($D221, IF(ISNUMBER(_xlfn.XLOOKUP($C221,Phone_by_Sentiment!$B$2:$B$37,Phone_by_Sentiment!N$2:N$37,"",0,1)),_xlfn.XLOOKUP($C221,Phone_by_Sentiment!$B$2:$B$37,Phone_by_Sentiment!N$2:N$37,"",0,1),0),$A221-TEXT(DATEVALUE($D221&amp;"-01"), "dd-mm-yyyy")),0),0)</f>
        <v>0</v>
      </c>
      <c r="O221" cm="1">
        <f t="array" ref="O221">IF($Q221&gt;=0,IFERROR(generateSalesData($D221, IF(ISNUMBER(_xlfn.XLOOKUP($C221,Phone_by_Sentiment!$B$2:$B$37,Phone_by_Sentiment!O$2:O$37,"",0,1)),_xlfn.XLOOKUP($C221,Phone_by_Sentiment!$B$2:$B$37,Phone_by_Sentiment!O$2:O$37,"",0,1),0),$A221-TEXT(DATEVALUE($D221&amp;"-01"), "dd-mm-yyyy")),0),0)</f>
        <v>0</v>
      </c>
      <c r="P221" s="1">
        <f t="shared" si="7"/>
        <v>44044</v>
      </c>
      <c r="Q221">
        <f t="shared" si="8"/>
        <v>-397</v>
      </c>
    </row>
    <row r="222" spans="1:17" x14ac:dyDescent="0.25">
      <c r="A222" s="1">
        <f t="shared" si="0"/>
        <v>43647</v>
      </c>
      <c r="B222" t="s">
        <v>163</v>
      </c>
      <c r="C222" t="str">
        <f>_xlfn.XLOOKUP(B222,Phone_by_Price!$A$2:$A$34,Phone_by_Price!$B$2:$B$34,"-",0,1)</f>
        <v>OPPO A93</v>
      </c>
      <c r="D222" t="str">
        <f>_xlfn.XLOOKUP(C222,Phone_by_Sentiment!$B$2:$B$37,Phone_by_Sentiment!$A$2:$A$37,"-",0,1)</f>
        <v>2021-02</v>
      </c>
      <c r="E222" cm="1">
        <f t="array" ref="E222">IF($Q222&gt;=0,IFERROR(generateSalesData($D222, IF(ISNUMBER(_xlfn.XLOOKUP($C222,Phone_by_Sentiment!$B$2:$B$37,Phone_by_Sentiment!E$2:E$37,"",0,1)),_xlfn.XLOOKUP($C222,Phone_by_Sentiment!$B$2:$B$37,Phone_by_Sentiment!E$2:E$37,"",0,1),0),$A222-TEXT(DATEVALUE($D222&amp;"-01"), "dd-mm-yyyy")),0),0)</f>
        <v>0</v>
      </c>
      <c r="F222" cm="1">
        <f t="array" ref="F222">IF($Q222&gt;=0,IFERROR(generateSalesData($D222, IF(ISNUMBER(_xlfn.XLOOKUP($C222,Phone_by_Sentiment!$B$2:$B$37,Phone_by_Sentiment!F$2:F$37,"",0,1)),_xlfn.XLOOKUP($C222,Phone_by_Sentiment!$B$2:$B$37,Phone_by_Sentiment!F$2:F$37,"",0,1),0),$A222-TEXT(DATEVALUE($D222&amp;"-01"), "dd-mm-yyyy")),0),0)</f>
        <v>0</v>
      </c>
      <c r="G222" cm="1">
        <f t="array" ref="G222">IF($Q222&gt;=0,IFERROR(generateSalesData($D222, IF(ISNUMBER(_xlfn.XLOOKUP($C222,Phone_by_Sentiment!$B$2:$B$37,Phone_by_Sentiment!G$2:G$37,"",0,1)),_xlfn.XLOOKUP($C222,Phone_by_Sentiment!$B$2:$B$37,Phone_by_Sentiment!G$2:G$37,"",0,1),0),$A222-TEXT(DATEVALUE($D222&amp;"-01"), "dd-mm-yyyy")),0),0)</f>
        <v>0</v>
      </c>
      <c r="H222" cm="1">
        <f t="array" ref="H222">IF($Q222&gt;=0,IFERROR(generateSalesData($D222, IF(ISNUMBER(_xlfn.XLOOKUP($C222,Phone_by_Sentiment!$B$2:$B$37,Phone_by_Sentiment!H$2:H$37,"",0,1)),_xlfn.XLOOKUP($C222,Phone_by_Sentiment!$B$2:$B$37,Phone_by_Sentiment!H$2:H$37,"",0,1),0),$A222-TEXT(DATEVALUE($D222&amp;"-01"), "dd-mm-yyyy")),0),0)</f>
        <v>0</v>
      </c>
      <c r="I222" cm="1">
        <f t="array" ref="I222">IF($Q222&gt;=0,IFERROR(generateSalesData($D222, IF(ISNUMBER(_xlfn.XLOOKUP($C222,Phone_by_Sentiment!$B$2:$B$37,Phone_by_Sentiment!I$2:I$37,"",0,1)),_xlfn.XLOOKUP($C222,Phone_by_Sentiment!$B$2:$B$37,Phone_by_Sentiment!I$2:I$37,"",0,1),0),$A222-TEXT(DATEVALUE($D222&amp;"-01"), "dd-mm-yyyy")),0),0)</f>
        <v>0</v>
      </c>
      <c r="J222" cm="1">
        <f t="array" ref="J222">IF($Q222&gt;=0,IFERROR(generateSalesData($D222, IF(ISNUMBER(_xlfn.XLOOKUP($C222,Phone_by_Sentiment!$B$2:$B$37,Phone_by_Sentiment!J$2:J$37,"",0,1)),_xlfn.XLOOKUP($C222,Phone_by_Sentiment!$B$2:$B$37,Phone_by_Sentiment!J$2:J$37,"",0,1),0),$A222-TEXT(DATEVALUE($D222&amp;"-01"), "dd-mm-yyyy")),0),0)</f>
        <v>0</v>
      </c>
      <c r="K222" cm="1">
        <f t="array" ref="K222">IF($Q222&gt;=0,IFERROR(generateSalesData($D222, IF(ISNUMBER(_xlfn.XLOOKUP($C222,Phone_by_Sentiment!$B$2:$B$37,Phone_by_Sentiment!K$2:K$37,"",0,1)),_xlfn.XLOOKUP($C222,Phone_by_Sentiment!$B$2:$B$37,Phone_by_Sentiment!K$2:K$37,"",0,1),0),$A222-TEXT(DATEVALUE($D222&amp;"-01"), "dd-mm-yyyy")),0),0)</f>
        <v>0</v>
      </c>
      <c r="L222" cm="1">
        <f t="array" ref="L222">IF($Q222&gt;=0,IFERROR(generateSalesData($D222, IF(ISNUMBER(_xlfn.XLOOKUP($C222,Phone_by_Sentiment!$B$2:$B$37,Phone_by_Sentiment!L$2:L$37,"",0,1)),_xlfn.XLOOKUP($C222,Phone_by_Sentiment!$B$2:$B$37,Phone_by_Sentiment!L$2:L$37,"",0,1),0),$A222-TEXT(DATEVALUE($D222&amp;"-01"), "dd-mm-yyyy")),0),0)</f>
        <v>0</v>
      </c>
      <c r="M222" cm="1">
        <f t="array" ref="M222">IF($Q222&gt;=0,IFERROR(generateSalesData($D222, IF(ISNUMBER(_xlfn.XLOOKUP($C222,Phone_by_Sentiment!$B$2:$B$37,Phone_by_Sentiment!M$2:M$37,"",0,1)),_xlfn.XLOOKUP($C222,Phone_by_Sentiment!$B$2:$B$37,Phone_by_Sentiment!M$2:M$37,"",0,1),0),$A222-TEXT(DATEVALUE($D222&amp;"-01"), "dd-mm-yyyy")),0),0)</f>
        <v>0</v>
      </c>
      <c r="N222" cm="1">
        <f t="array" ref="N222">IF($Q222&gt;=0,IFERROR(generateSalesData($D222, IF(ISNUMBER(_xlfn.XLOOKUP($C222,Phone_by_Sentiment!$B$2:$B$37,Phone_by_Sentiment!N$2:N$37,"",0,1)),_xlfn.XLOOKUP($C222,Phone_by_Sentiment!$B$2:$B$37,Phone_by_Sentiment!N$2:N$37,"",0,1),0),$A222-TEXT(DATEVALUE($D222&amp;"-01"), "dd-mm-yyyy")),0),0)</f>
        <v>0</v>
      </c>
      <c r="O222" cm="1">
        <f t="array" ref="O222">IF($Q222&gt;=0,IFERROR(generateSalesData($D222, IF(ISNUMBER(_xlfn.XLOOKUP($C222,Phone_by_Sentiment!$B$2:$B$37,Phone_by_Sentiment!O$2:O$37,"",0,1)),_xlfn.XLOOKUP($C222,Phone_by_Sentiment!$B$2:$B$37,Phone_by_Sentiment!O$2:O$37,"",0,1),0),$A222-TEXT(DATEVALUE($D222&amp;"-01"), "dd-mm-yyyy")),0),0)</f>
        <v>0</v>
      </c>
      <c r="P222" s="1">
        <f t="shared" si="7"/>
        <v>44228</v>
      </c>
      <c r="Q222">
        <f t="shared" si="8"/>
        <v>-581</v>
      </c>
    </row>
    <row r="223" spans="1:17" x14ac:dyDescent="0.25">
      <c r="A223" s="1">
        <f t="shared" si="0"/>
        <v>43647</v>
      </c>
      <c r="B223" t="s">
        <v>164</v>
      </c>
      <c r="C223" t="str">
        <f>_xlfn.XLOOKUP(B223,Phone_by_Price!$A$2:$A$34,Phone_by_Price!$B$2:$B$34,"-",0,1)</f>
        <v>Vivo V20</v>
      </c>
      <c r="D223" t="str">
        <f>_xlfn.XLOOKUP(C223,Phone_by_Sentiment!$B$2:$B$37,Phone_by_Sentiment!$A$2:$A$37,"-",0,1)</f>
        <v>2020-10</v>
      </c>
      <c r="E223" cm="1">
        <f t="array" ref="E223">IF($Q223&gt;=0,IFERROR(generateSalesData($D223, IF(ISNUMBER(_xlfn.XLOOKUP($C223,Phone_by_Sentiment!$B$2:$B$37,Phone_by_Sentiment!E$2:E$37,"",0,1)),_xlfn.XLOOKUP($C223,Phone_by_Sentiment!$B$2:$B$37,Phone_by_Sentiment!E$2:E$37,"",0,1),0),$A223-TEXT(DATEVALUE($D223&amp;"-01"), "dd-mm-yyyy")),0),0)</f>
        <v>0</v>
      </c>
      <c r="F223" cm="1">
        <f t="array" ref="F223">IF($Q223&gt;=0,IFERROR(generateSalesData($D223, IF(ISNUMBER(_xlfn.XLOOKUP($C223,Phone_by_Sentiment!$B$2:$B$37,Phone_by_Sentiment!F$2:F$37,"",0,1)),_xlfn.XLOOKUP($C223,Phone_by_Sentiment!$B$2:$B$37,Phone_by_Sentiment!F$2:F$37,"",0,1),0),$A223-TEXT(DATEVALUE($D223&amp;"-01"), "dd-mm-yyyy")),0),0)</f>
        <v>0</v>
      </c>
      <c r="G223" cm="1">
        <f t="array" ref="G223">IF($Q223&gt;=0,IFERROR(generateSalesData($D223, IF(ISNUMBER(_xlfn.XLOOKUP($C223,Phone_by_Sentiment!$B$2:$B$37,Phone_by_Sentiment!G$2:G$37,"",0,1)),_xlfn.XLOOKUP($C223,Phone_by_Sentiment!$B$2:$B$37,Phone_by_Sentiment!G$2:G$37,"",0,1),0),$A223-TEXT(DATEVALUE($D223&amp;"-01"), "dd-mm-yyyy")),0),0)</f>
        <v>0</v>
      </c>
      <c r="H223" cm="1">
        <f t="array" ref="H223">IF($Q223&gt;=0,IFERROR(generateSalesData($D223, IF(ISNUMBER(_xlfn.XLOOKUP($C223,Phone_by_Sentiment!$B$2:$B$37,Phone_by_Sentiment!H$2:H$37,"",0,1)),_xlfn.XLOOKUP($C223,Phone_by_Sentiment!$B$2:$B$37,Phone_by_Sentiment!H$2:H$37,"",0,1),0),$A223-TEXT(DATEVALUE($D223&amp;"-01"), "dd-mm-yyyy")),0),0)</f>
        <v>0</v>
      </c>
      <c r="I223" cm="1">
        <f t="array" ref="I223">IF($Q223&gt;=0,IFERROR(generateSalesData($D223, IF(ISNUMBER(_xlfn.XLOOKUP($C223,Phone_by_Sentiment!$B$2:$B$37,Phone_by_Sentiment!I$2:I$37,"",0,1)),_xlfn.XLOOKUP($C223,Phone_by_Sentiment!$B$2:$B$37,Phone_by_Sentiment!I$2:I$37,"",0,1),0),$A223-TEXT(DATEVALUE($D223&amp;"-01"), "dd-mm-yyyy")),0),0)</f>
        <v>0</v>
      </c>
      <c r="J223" cm="1">
        <f t="array" ref="J223">IF($Q223&gt;=0,IFERROR(generateSalesData($D223, IF(ISNUMBER(_xlfn.XLOOKUP($C223,Phone_by_Sentiment!$B$2:$B$37,Phone_by_Sentiment!J$2:J$37,"",0,1)),_xlfn.XLOOKUP($C223,Phone_by_Sentiment!$B$2:$B$37,Phone_by_Sentiment!J$2:J$37,"",0,1),0),$A223-TEXT(DATEVALUE($D223&amp;"-01"), "dd-mm-yyyy")),0),0)</f>
        <v>0</v>
      </c>
      <c r="K223" cm="1">
        <f t="array" ref="K223">IF($Q223&gt;=0,IFERROR(generateSalesData($D223, IF(ISNUMBER(_xlfn.XLOOKUP($C223,Phone_by_Sentiment!$B$2:$B$37,Phone_by_Sentiment!K$2:K$37,"",0,1)),_xlfn.XLOOKUP($C223,Phone_by_Sentiment!$B$2:$B$37,Phone_by_Sentiment!K$2:K$37,"",0,1),0),$A223-TEXT(DATEVALUE($D223&amp;"-01"), "dd-mm-yyyy")),0),0)</f>
        <v>0</v>
      </c>
      <c r="L223" cm="1">
        <f t="array" ref="L223">IF($Q223&gt;=0,IFERROR(generateSalesData($D223, IF(ISNUMBER(_xlfn.XLOOKUP($C223,Phone_by_Sentiment!$B$2:$B$37,Phone_by_Sentiment!L$2:L$37,"",0,1)),_xlfn.XLOOKUP($C223,Phone_by_Sentiment!$B$2:$B$37,Phone_by_Sentiment!L$2:L$37,"",0,1),0),$A223-TEXT(DATEVALUE($D223&amp;"-01"), "dd-mm-yyyy")),0),0)</f>
        <v>0</v>
      </c>
      <c r="M223" cm="1">
        <f t="array" ref="M223">IF($Q223&gt;=0,IFERROR(generateSalesData($D223, IF(ISNUMBER(_xlfn.XLOOKUP($C223,Phone_by_Sentiment!$B$2:$B$37,Phone_by_Sentiment!M$2:M$37,"",0,1)),_xlfn.XLOOKUP($C223,Phone_by_Sentiment!$B$2:$B$37,Phone_by_Sentiment!M$2:M$37,"",0,1),0),$A223-TEXT(DATEVALUE($D223&amp;"-01"), "dd-mm-yyyy")),0),0)</f>
        <v>0</v>
      </c>
      <c r="N223" cm="1">
        <f t="array" ref="N223">IF($Q223&gt;=0,IFERROR(generateSalesData($D223, IF(ISNUMBER(_xlfn.XLOOKUP($C223,Phone_by_Sentiment!$B$2:$B$37,Phone_by_Sentiment!N$2:N$37,"",0,1)),_xlfn.XLOOKUP($C223,Phone_by_Sentiment!$B$2:$B$37,Phone_by_Sentiment!N$2:N$37,"",0,1),0),$A223-TEXT(DATEVALUE($D223&amp;"-01"), "dd-mm-yyyy")),0),0)</f>
        <v>0</v>
      </c>
      <c r="O223" cm="1">
        <f t="array" ref="O223">IF($Q223&gt;=0,IFERROR(generateSalesData($D223, IF(ISNUMBER(_xlfn.XLOOKUP($C223,Phone_by_Sentiment!$B$2:$B$37,Phone_by_Sentiment!O$2:O$37,"",0,1)),_xlfn.XLOOKUP($C223,Phone_by_Sentiment!$B$2:$B$37,Phone_by_Sentiment!O$2:O$37,"",0,1),0),$A223-TEXT(DATEVALUE($D223&amp;"-01"), "dd-mm-yyyy")),0),0)</f>
        <v>0</v>
      </c>
      <c r="P223" s="1">
        <f t="shared" si="7"/>
        <v>44105</v>
      </c>
      <c r="Q223">
        <f t="shared" si="8"/>
        <v>-458</v>
      </c>
    </row>
    <row r="224" spans="1:17" x14ac:dyDescent="0.25">
      <c r="A224" s="1">
        <f t="shared" si="0"/>
        <v>43647</v>
      </c>
      <c r="B224" t="s">
        <v>165</v>
      </c>
      <c r="C224" t="str">
        <f>_xlfn.XLOOKUP(B224,Phone_by_Price!$A$2:$A$34,Phone_by_Price!$B$2:$B$34,"-",0,1)</f>
        <v>Samsung Galaxy A50</v>
      </c>
      <c r="D224" t="str">
        <f>_xlfn.XLOOKUP(C224,Phone_by_Sentiment!$B$2:$B$37,Phone_by_Sentiment!$A$2:$A$37,"-",0,1)</f>
        <v>2019-05</v>
      </c>
      <c r="E224" cm="1">
        <f t="array" ref="E224">IF($Q224&gt;=0,IFERROR(generateSalesData($D224, IF(ISNUMBER(_xlfn.XLOOKUP($C224,Phone_by_Sentiment!$B$2:$B$37,Phone_by_Sentiment!E$2:E$37,"",0,1)),_xlfn.XLOOKUP($C224,Phone_by_Sentiment!$B$2:$B$37,Phone_by_Sentiment!E$2:E$37,"",0,1),0),$A224-TEXT(DATEVALUE($D224&amp;"-01"), "dd-mm-yyyy")),0),0)</f>
        <v>5537</v>
      </c>
      <c r="F224" cm="1">
        <f t="array" ref="F224">IF($Q224&gt;=0,IFERROR(generateSalesData($D224, IF(ISNUMBER(_xlfn.XLOOKUP($C224,Phone_by_Sentiment!$B$2:$B$37,Phone_by_Sentiment!F$2:F$37,"",0,1)),_xlfn.XLOOKUP($C224,Phone_by_Sentiment!$B$2:$B$37,Phone_by_Sentiment!F$2:F$37,"",0,1),0),$A224-TEXT(DATEVALUE($D224&amp;"-01"), "dd-mm-yyyy")),0),0)</f>
        <v>941</v>
      </c>
      <c r="G224" cm="1">
        <f t="array" ref="G224">IF($Q224&gt;=0,IFERROR(generateSalesData($D224, IF(ISNUMBER(_xlfn.XLOOKUP($C224,Phone_by_Sentiment!$B$2:$B$37,Phone_by_Sentiment!G$2:G$37,"",0,1)),_xlfn.XLOOKUP($C224,Phone_by_Sentiment!$B$2:$B$37,Phone_by_Sentiment!G$2:G$37,"",0,1),0),$A224-TEXT(DATEVALUE($D224&amp;"-01"), "dd-mm-yyyy")),0),0)</f>
        <v>1282</v>
      </c>
      <c r="H224" cm="1">
        <f t="array" ref="H224">IF($Q224&gt;=0,IFERROR(generateSalesData($D224, IF(ISNUMBER(_xlfn.XLOOKUP($C224,Phone_by_Sentiment!$B$2:$B$37,Phone_by_Sentiment!H$2:H$37,"",0,1)),_xlfn.XLOOKUP($C224,Phone_by_Sentiment!$B$2:$B$37,Phone_by_Sentiment!H$2:H$37,"",0,1),0),$A224-TEXT(DATEVALUE($D224&amp;"-01"), "dd-mm-yyyy")),0),0)</f>
        <v>2041</v>
      </c>
      <c r="I224" cm="1">
        <f t="array" ref="I224">IF($Q224&gt;=0,IFERROR(generateSalesData($D224, IF(ISNUMBER(_xlfn.XLOOKUP($C224,Phone_by_Sentiment!$B$2:$B$37,Phone_by_Sentiment!I$2:I$37,"",0,1)),_xlfn.XLOOKUP($C224,Phone_by_Sentiment!$B$2:$B$37,Phone_by_Sentiment!I$2:I$37,"",0,1),0),$A224-TEXT(DATEVALUE($D224&amp;"-01"), "dd-mm-yyyy")),0),0)</f>
        <v>2979</v>
      </c>
      <c r="J224" cm="1">
        <f t="array" ref="J224">IF($Q224&gt;=0,IFERROR(generateSalesData($D224, IF(ISNUMBER(_xlfn.XLOOKUP($C224,Phone_by_Sentiment!$B$2:$B$37,Phone_by_Sentiment!J$2:J$37,"",0,1)),_xlfn.XLOOKUP($C224,Phone_by_Sentiment!$B$2:$B$37,Phone_by_Sentiment!J$2:J$37,"",0,1),0),$A224-TEXT(DATEVALUE($D224&amp;"-01"), "dd-mm-yyyy")),0),0)</f>
        <v>1747</v>
      </c>
      <c r="K224" cm="1">
        <f t="array" ref="K224">IF($Q224&gt;=0,IFERROR(generateSalesData($D224, IF(ISNUMBER(_xlfn.XLOOKUP($C224,Phone_by_Sentiment!$B$2:$B$37,Phone_by_Sentiment!K$2:K$37,"",0,1)),_xlfn.XLOOKUP($C224,Phone_by_Sentiment!$B$2:$B$37,Phone_by_Sentiment!K$2:K$37,"",0,1),0),$A224-TEXT(DATEVALUE($D224&amp;"-01"), "dd-mm-yyyy")),0),0)</f>
        <v>844</v>
      </c>
      <c r="L224" cm="1">
        <f t="array" ref="L224">IF($Q224&gt;=0,IFERROR(generateSalesData($D224, IF(ISNUMBER(_xlfn.XLOOKUP($C224,Phone_by_Sentiment!$B$2:$B$37,Phone_by_Sentiment!L$2:L$37,"",0,1)),_xlfn.XLOOKUP($C224,Phone_by_Sentiment!$B$2:$B$37,Phone_by_Sentiment!L$2:L$37,"",0,1),0),$A224-TEXT(DATEVALUE($D224&amp;"-01"), "dd-mm-yyyy")),0),0)</f>
        <v>4436</v>
      </c>
      <c r="M224" cm="1">
        <f t="array" ref="M224">IF($Q224&gt;=0,IFERROR(generateSalesData($D224, IF(ISNUMBER(_xlfn.XLOOKUP($C224,Phone_by_Sentiment!$B$2:$B$37,Phone_by_Sentiment!M$2:M$37,"",0,1)),_xlfn.XLOOKUP($C224,Phone_by_Sentiment!$B$2:$B$37,Phone_by_Sentiment!M$2:M$37,"",0,1),0),$A224-TEXT(DATEVALUE($D224&amp;"-01"), "dd-mm-yyyy")),0),0)</f>
        <v>1363</v>
      </c>
      <c r="N224" cm="1">
        <f t="array" ref="N224">IF($Q224&gt;=0,IFERROR(generateSalesData($D224, IF(ISNUMBER(_xlfn.XLOOKUP($C224,Phone_by_Sentiment!$B$2:$B$37,Phone_by_Sentiment!N$2:N$37,"",0,1)),_xlfn.XLOOKUP($C224,Phone_by_Sentiment!$B$2:$B$37,Phone_by_Sentiment!N$2:N$37,"",0,1),0),$A224-TEXT(DATEVALUE($D224&amp;"-01"), "dd-mm-yyyy")),0),0)</f>
        <v>2349</v>
      </c>
      <c r="O224" cm="1">
        <f t="array" ref="O224">IF($Q224&gt;=0,IFERROR(generateSalesData($D224, IF(ISNUMBER(_xlfn.XLOOKUP($C224,Phone_by_Sentiment!$B$2:$B$37,Phone_by_Sentiment!O$2:O$37,"",0,1)),_xlfn.XLOOKUP($C224,Phone_by_Sentiment!$B$2:$B$37,Phone_by_Sentiment!O$2:O$37,"",0,1),0),$A224-TEXT(DATEVALUE($D224&amp;"-01"), "dd-mm-yyyy")),0),0)</f>
        <v>4587</v>
      </c>
      <c r="P224" s="1">
        <f t="shared" si="7"/>
        <v>43586</v>
      </c>
      <c r="Q224">
        <f t="shared" si="8"/>
        <v>61</v>
      </c>
    </row>
    <row r="225" spans="1:17" x14ac:dyDescent="0.25">
      <c r="A225" s="1">
        <f t="shared" si="0"/>
        <v>43647</v>
      </c>
      <c r="B225" t="s">
        <v>166</v>
      </c>
      <c r="C225" t="str">
        <f>_xlfn.XLOOKUP(B225,Phone_by_Price!$A$2:$A$34,Phone_by_Price!$B$2:$B$34,"-",0,1)</f>
        <v>Xiaomi Redmi Note 7</v>
      </c>
      <c r="D225" t="str">
        <f>_xlfn.XLOOKUP(C225,Phone_by_Sentiment!$B$2:$B$37,Phone_by_Sentiment!$A$2:$A$37,"-",0,1)</f>
        <v>2019-08</v>
      </c>
      <c r="E225" cm="1">
        <f t="array" ref="E225">IF($Q225&gt;=0,IFERROR(generateSalesData($D225, IF(ISNUMBER(_xlfn.XLOOKUP($C225,Phone_by_Sentiment!$B$2:$B$37,Phone_by_Sentiment!E$2:E$37,"",0,1)),_xlfn.XLOOKUP($C225,Phone_by_Sentiment!$B$2:$B$37,Phone_by_Sentiment!E$2:E$37,"",0,1),0),$A225-TEXT(DATEVALUE($D225&amp;"-01"), "dd-mm-yyyy")),0),0)</f>
        <v>0</v>
      </c>
      <c r="F225" cm="1">
        <f t="array" ref="F225">IF($Q225&gt;=0,IFERROR(generateSalesData($D225, IF(ISNUMBER(_xlfn.XLOOKUP($C225,Phone_by_Sentiment!$B$2:$B$37,Phone_by_Sentiment!F$2:F$37,"",0,1)),_xlfn.XLOOKUP($C225,Phone_by_Sentiment!$B$2:$B$37,Phone_by_Sentiment!F$2:F$37,"",0,1),0),$A225-TEXT(DATEVALUE($D225&amp;"-01"), "dd-mm-yyyy")),0),0)</f>
        <v>0</v>
      </c>
      <c r="G225" cm="1">
        <f t="array" ref="G225">IF($Q225&gt;=0,IFERROR(generateSalesData($D225, IF(ISNUMBER(_xlfn.XLOOKUP($C225,Phone_by_Sentiment!$B$2:$B$37,Phone_by_Sentiment!G$2:G$37,"",0,1)),_xlfn.XLOOKUP($C225,Phone_by_Sentiment!$B$2:$B$37,Phone_by_Sentiment!G$2:G$37,"",0,1),0),$A225-TEXT(DATEVALUE($D225&amp;"-01"), "dd-mm-yyyy")),0),0)</f>
        <v>0</v>
      </c>
      <c r="H225" cm="1">
        <f t="array" ref="H225">IF($Q225&gt;=0,IFERROR(generateSalesData($D225, IF(ISNUMBER(_xlfn.XLOOKUP($C225,Phone_by_Sentiment!$B$2:$B$37,Phone_by_Sentiment!H$2:H$37,"",0,1)),_xlfn.XLOOKUP($C225,Phone_by_Sentiment!$B$2:$B$37,Phone_by_Sentiment!H$2:H$37,"",0,1),0),$A225-TEXT(DATEVALUE($D225&amp;"-01"), "dd-mm-yyyy")),0),0)</f>
        <v>0</v>
      </c>
      <c r="I225" cm="1">
        <f t="array" ref="I225">IF($Q225&gt;=0,IFERROR(generateSalesData($D225, IF(ISNUMBER(_xlfn.XLOOKUP($C225,Phone_by_Sentiment!$B$2:$B$37,Phone_by_Sentiment!I$2:I$37,"",0,1)),_xlfn.XLOOKUP($C225,Phone_by_Sentiment!$B$2:$B$37,Phone_by_Sentiment!I$2:I$37,"",0,1),0),$A225-TEXT(DATEVALUE($D225&amp;"-01"), "dd-mm-yyyy")),0),0)</f>
        <v>0</v>
      </c>
      <c r="J225" cm="1">
        <f t="array" ref="J225">IF($Q225&gt;=0,IFERROR(generateSalesData($D225, IF(ISNUMBER(_xlfn.XLOOKUP($C225,Phone_by_Sentiment!$B$2:$B$37,Phone_by_Sentiment!J$2:J$37,"",0,1)),_xlfn.XLOOKUP($C225,Phone_by_Sentiment!$B$2:$B$37,Phone_by_Sentiment!J$2:J$37,"",0,1),0),$A225-TEXT(DATEVALUE($D225&amp;"-01"), "dd-mm-yyyy")),0),0)</f>
        <v>0</v>
      </c>
      <c r="K225" cm="1">
        <f t="array" ref="K225">IF($Q225&gt;=0,IFERROR(generateSalesData($D225, IF(ISNUMBER(_xlfn.XLOOKUP($C225,Phone_by_Sentiment!$B$2:$B$37,Phone_by_Sentiment!K$2:K$37,"",0,1)),_xlfn.XLOOKUP($C225,Phone_by_Sentiment!$B$2:$B$37,Phone_by_Sentiment!K$2:K$37,"",0,1),0),$A225-TEXT(DATEVALUE($D225&amp;"-01"), "dd-mm-yyyy")),0),0)</f>
        <v>0</v>
      </c>
      <c r="L225" cm="1">
        <f t="array" ref="L225">IF($Q225&gt;=0,IFERROR(generateSalesData($D225, IF(ISNUMBER(_xlfn.XLOOKUP($C225,Phone_by_Sentiment!$B$2:$B$37,Phone_by_Sentiment!L$2:L$37,"",0,1)),_xlfn.XLOOKUP($C225,Phone_by_Sentiment!$B$2:$B$37,Phone_by_Sentiment!L$2:L$37,"",0,1),0),$A225-TEXT(DATEVALUE($D225&amp;"-01"), "dd-mm-yyyy")),0),0)</f>
        <v>0</v>
      </c>
      <c r="M225" cm="1">
        <f t="array" ref="M225">IF($Q225&gt;=0,IFERROR(generateSalesData($D225, IF(ISNUMBER(_xlfn.XLOOKUP($C225,Phone_by_Sentiment!$B$2:$B$37,Phone_by_Sentiment!M$2:M$37,"",0,1)),_xlfn.XLOOKUP($C225,Phone_by_Sentiment!$B$2:$B$37,Phone_by_Sentiment!M$2:M$37,"",0,1),0),$A225-TEXT(DATEVALUE($D225&amp;"-01"), "dd-mm-yyyy")),0),0)</f>
        <v>0</v>
      </c>
      <c r="N225" cm="1">
        <f t="array" ref="N225">IF($Q225&gt;=0,IFERROR(generateSalesData($D225, IF(ISNUMBER(_xlfn.XLOOKUP($C225,Phone_by_Sentiment!$B$2:$B$37,Phone_by_Sentiment!N$2:N$37,"",0,1)),_xlfn.XLOOKUP($C225,Phone_by_Sentiment!$B$2:$B$37,Phone_by_Sentiment!N$2:N$37,"",0,1),0),$A225-TEXT(DATEVALUE($D225&amp;"-01"), "dd-mm-yyyy")),0),0)</f>
        <v>0</v>
      </c>
      <c r="O225" cm="1">
        <f t="array" ref="O225">IF($Q225&gt;=0,IFERROR(generateSalesData($D225, IF(ISNUMBER(_xlfn.XLOOKUP($C225,Phone_by_Sentiment!$B$2:$B$37,Phone_by_Sentiment!O$2:O$37,"",0,1)),_xlfn.XLOOKUP($C225,Phone_by_Sentiment!$B$2:$B$37,Phone_by_Sentiment!O$2:O$37,"",0,1),0),$A225-TEXT(DATEVALUE($D225&amp;"-01"), "dd-mm-yyyy")),0),0)</f>
        <v>0</v>
      </c>
      <c r="P225" s="1">
        <f t="shared" si="7"/>
        <v>43678</v>
      </c>
      <c r="Q225">
        <f t="shared" si="8"/>
        <v>-31</v>
      </c>
    </row>
    <row r="226" spans="1:17" x14ac:dyDescent="0.25">
      <c r="A226" s="1">
        <f t="shared" si="0"/>
        <v>43647</v>
      </c>
      <c r="B226" t="s">
        <v>167</v>
      </c>
      <c r="C226" t="str">
        <f>_xlfn.XLOOKUP(B226,Phone_by_Price!$A$2:$A$34,Phone_by_Price!$B$2:$B$34,"-",0,1)</f>
        <v>Realme C21</v>
      </c>
      <c r="D226" t="str">
        <f>_xlfn.XLOOKUP(C226,Phone_by_Sentiment!$B$2:$B$37,Phone_by_Sentiment!$A$2:$A$37,"-",0,1)</f>
        <v>2021-04</v>
      </c>
      <c r="E226" cm="1">
        <f t="array" ref="E226">IF($Q226&gt;=0,IFERROR(generateSalesData($D226, IF(ISNUMBER(_xlfn.XLOOKUP($C226,Phone_by_Sentiment!$B$2:$B$37,Phone_by_Sentiment!E$2:E$37,"",0,1)),_xlfn.XLOOKUP($C226,Phone_by_Sentiment!$B$2:$B$37,Phone_by_Sentiment!E$2:E$37,"",0,1),0),$A226-TEXT(DATEVALUE($D226&amp;"-01"), "dd-mm-yyyy")),0),0)</f>
        <v>0</v>
      </c>
      <c r="F226" cm="1">
        <f t="array" ref="F226">IF($Q226&gt;=0,IFERROR(generateSalesData($D226, IF(ISNUMBER(_xlfn.XLOOKUP($C226,Phone_by_Sentiment!$B$2:$B$37,Phone_by_Sentiment!F$2:F$37,"",0,1)),_xlfn.XLOOKUP($C226,Phone_by_Sentiment!$B$2:$B$37,Phone_by_Sentiment!F$2:F$37,"",0,1),0),$A226-TEXT(DATEVALUE($D226&amp;"-01"), "dd-mm-yyyy")),0),0)</f>
        <v>0</v>
      </c>
      <c r="G226" cm="1">
        <f t="array" ref="G226">IF($Q226&gt;=0,IFERROR(generateSalesData($D226, IF(ISNUMBER(_xlfn.XLOOKUP($C226,Phone_by_Sentiment!$B$2:$B$37,Phone_by_Sentiment!G$2:G$37,"",0,1)),_xlfn.XLOOKUP($C226,Phone_by_Sentiment!$B$2:$B$37,Phone_by_Sentiment!G$2:G$37,"",0,1),0),$A226-TEXT(DATEVALUE($D226&amp;"-01"), "dd-mm-yyyy")),0),0)</f>
        <v>0</v>
      </c>
      <c r="H226" cm="1">
        <f t="array" ref="H226">IF($Q226&gt;=0,IFERROR(generateSalesData($D226, IF(ISNUMBER(_xlfn.XLOOKUP($C226,Phone_by_Sentiment!$B$2:$B$37,Phone_by_Sentiment!H$2:H$37,"",0,1)),_xlfn.XLOOKUP($C226,Phone_by_Sentiment!$B$2:$B$37,Phone_by_Sentiment!H$2:H$37,"",0,1),0),$A226-TEXT(DATEVALUE($D226&amp;"-01"), "dd-mm-yyyy")),0),0)</f>
        <v>0</v>
      </c>
      <c r="I226" cm="1">
        <f t="array" ref="I226">IF($Q226&gt;=0,IFERROR(generateSalesData($D226, IF(ISNUMBER(_xlfn.XLOOKUP($C226,Phone_by_Sentiment!$B$2:$B$37,Phone_by_Sentiment!I$2:I$37,"",0,1)),_xlfn.XLOOKUP($C226,Phone_by_Sentiment!$B$2:$B$37,Phone_by_Sentiment!I$2:I$37,"",0,1),0),$A226-TEXT(DATEVALUE($D226&amp;"-01"), "dd-mm-yyyy")),0),0)</f>
        <v>0</v>
      </c>
      <c r="J226" cm="1">
        <f t="array" ref="J226">IF($Q226&gt;=0,IFERROR(generateSalesData($D226, IF(ISNUMBER(_xlfn.XLOOKUP($C226,Phone_by_Sentiment!$B$2:$B$37,Phone_by_Sentiment!J$2:J$37,"",0,1)),_xlfn.XLOOKUP($C226,Phone_by_Sentiment!$B$2:$B$37,Phone_by_Sentiment!J$2:J$37,"",0,1),0),$A226-TEXT(DATEVALUE($D226&amp;"-01"), "dd-mm-yyyy")),0),0)</f>
        <v>0</v>
      </c>
      <c r="K226" cm="1">
        <f t="array" ref="K226">IF($Q226&gt;=0,IFERROR(generateSalesData($D226, IF(ISNUMBER(_xlfn.XLOOKUP($C226,Phone_by_Sentiment!$B$2:$B$37,Phone_by_Sentiment!K$2:K$37,"",0,1)),_xlfn.XLOOKUP($C226,Phone_by_Sentiment!$B$2:$B$37,Phone_by_Sentiment!K$2:K$37,"",0,1),0),$A226-TEXT(DATEVALUE($D226&amp;"-01"), "dd-mm-yyyy")),0),0)</f>
        <v>0</v>
      </c>
      <c r="L226" cm="1">
        <f t="array" ref="L226">IF($Q226&gt;=0,IFERROR(generateSalesData($D226, IF(ISNUMBER(_xlfn.XLOOKUP($C226,Phone_by_Sentiment!$B$2:$B$37,Phone_by_Sentiment!L$2:L$37,"",0,1)),_xlfn.XLOOKUP($C226,Phone_by_Sentiment!$B$2:$B$37,Phone_by_Sentiment!L$2:L$37,"",0,1),0),$A226-TEXT(DATEVALUE($D226&amp;"-01"), "dd-mm-yyyy")),0),0)</f>
        <v>0</v>
      </c>
      <c r="M226" cm="1">
        <f t="array" ref="M226">IF($Q226&gt;=0,IFERROR(generateSalesData($D226, IF(ISNUMBER(_xlfn.XLOOKUP($C226,Phone_by_Sentiment!$B$2:$B$37,Phone_by_Sentiment!M$2:M$37,"",0,1)),_xlfn.XLOOKUP($C226,Phone_by_Sentiment!$B$2:$B$37,Phone_by_Sentiment!M$2:M$37,"",0,1),0),$A226-TEXT(DATEVALUE($D226&amp;"-01"), "dd-mm-yyyy")),0),0)</f>
        <v>0</v>
      </c>
      <c r="N226" cm="1">
        <f t="array" ref="N226">IF($Q226&gt;=0,IFERROR(generateSalesData($D226, IF(ISNUMBER(_xlfn.XLOOKUP($C226,Phone_by_Sentiment!$B$2:$B$37,Phone_by_Sentiment!N$2:N$37,"",0,1)),_xlfn.XLOOKUP($C226,Phone_by_Sentiment!$B$2:$B$37,Phone_by_Sentiment!N$2:N$37,"",0,1),0),$A226-TEXT(DATEVALUE($D226&amp;"-01"), "dd-mm-yyyy")),0),0)</f>
        <v>0</v>
      </c>
      <c r="O226" cm="1">
        <f t="array" ref="O226">IF($Q226&gt;=0,IFERROR(generateSalesData($D226, IF(ISNUMBER(_xlfn.XLOOKUP($C226,Phone_by_Sentiment!$B$2:$B$37,Phone_by_Sentiment!O$2:O$37,"",0,1)),_xlfn.XLOOKUP($C226,Phone_by_Sentiment!$B$2:$B$37,Phone_by_Sentiment!O$2:O$37,"",0,1),0),$A226-TEXT(DATEVALUE($D226&amp;"-01"), "dd-mm-yyyy")),0),0)</f>
        <v>0</v>
      </c>
      <c r="P226" s="1">
        <f t="shared" si="7"/>
        <v>44287</v>
      </c>
      <c r="Q226">
        <f t="shared" si="8"/>
        <v>-640</v>
      </c>
    </row>
    <row r="227" spans="1:17" x14ac:dyDescent="0.25">
      <c r="A227" s="1">
        <f t="shared" si="0"/>
        <v>43647</v>
      </c>
      <c r="B227" t="s">
        <v>168</v>
      </c>
      <c r="C227" t="str">
        <f>_xlfn.XLOOKUP(B227,Phone_by_Price!$A$2:$A$34,Phone_by_Price!$B$2:$B$34,"-",0,1)</f>
        <v>Google Pixel 4</v>
      </c>
      <c r="D227" t="str">
        <f>_xlfn.XLOOKUP(C227,Phone_by_Sentiment!$B$2:$B$37,Phone_by_Sentiment!$A$2:$A$37,"-",0,1)</f>
        <v>2019-09</v>
      </c>
      <c r="E227" cm="1">
        <f t="array" ref="E227">IF($Q227&gt;=0,IFERROR(generateSalesData($D227, IF(ISNUMBER(_xlfn.XLOOKUP($C227,Phone_by_Sentiment!$B$2:$B$37,Phone_by_Sentiment!E$2:E$37,"",0,1)),_xlfn.XLOOKUP($C227,Phone_by_Sentiment!$B$2:$B$37,Phone_by_Sentiment!E$2:E$37,"",0,1),0),$A227-TEXT(DATEVALUE($D227&amp;"-01"), "dd-mm-yyyy")),0),0)</f>
        <v>0</v>
      </c>
      <c r="F227" cm="1">
        <f t="array" ref="F227">IF($Q227&gt;=0,IFERROR(generateSalesData($D227, IF(ISNUMBER(_xlfn.XLOOKUP($C227,Phone_by_Sentiment!$B$2:$B$37,Phone_by_Sentiment!F$2:F$37,"",0,1)),_xlfn.XLOOKUP($C227,Phone_by_Sentiment!$B$2:$B$37,Phone_by_Sentiment!F$2:F$37,"",0,1),0),$A227-TEXT(DATEVALUE($D227&amp;"-01"), "dd-mm-yyyy")),0),0)</f>
        <v>0</v>
      </c>
      <c r="G227" cm="1">
        <f t="array" ref="G227">IF($Q227&gt;=0,IFERROR(generateSalesData($D227, IF(ISNUMBER(_xlfn.XLOOKUP($C227,Phone_by_Sentiment!$B$2:$B$37,Phone_by_Sentiment!G$2:G$37,"",0,1)),_xlfn.XLOOKUP($C227,Phone_by_Sentiment!$B$2:$B$37,Phone_by_Sentiment!G$2:G$37,"",0,1),0),$A227-TEXT(DATEVALUE($D227&amp;"-01"), "dd-mm-yyyy")),0),0)</f>
        <v>0</v>
      </c>
      <c r="H227" cm="1">
        <f t="array" ref="H227">IF($Q227&gt;=0,IFERROR(generateSalesData($D227, IF(ISNUMBER(_xlfn.XLOOKUP($C227,Phone_by_Sentiment!$B$2:$B$37,Phone_by_Sentiment!H$2:H$37,"",0,1)),_xlfn.XLOOKUP($C227,Phone_by_Sentiment!$B$2:$B$37,Phone_by_Sentiment!H$2:H$37,"",0,1),0),$A227-TEXT(DATEVALUE($D227&amp;"-01"), "dd-mm-yyyy")),0),0)</f>
        <v>0</v>
      </c>
      <c r="I227" cm="1">
        <f t="array" ref="I227">IF($Q227&gt;=0,IFERROR(generateSalesData($D227, IF(ISNUMBER(_xlfn.XLOOKUP($C227,Phone_by_Sentiment!$B$2:$B$37,Phone_by_Sentiment!I$2:I$37,"",0,1)),_xlfn.XLOOKUP($C227,Phone_by_Sentiment!$B$2:$B$37,Phone_by_Sentiment!I$2:I$37,"",0,1),0),$A227-TEXT(DATEVALUE($D227&amp;"-01"), "dd-mm-yyyy")),0),0)</f>
        <v>0</v>
      </c>
      <c r="J227" cm="1">
        <f t="array" ref="J227">IF($Q227&gt;=0,IFERROR(generateSalesData($D227, IF(ISNUMBER(_xlfn.XLOOKUP($C227,Phone_by_Sentiment!$B$2:$B$37,Phone_by_Sentiment!J$2:J$37,"",0,1)),_xlfn.XLOOKUP($C227,Phone_by_Sentiment!$B$2:$B$37,Phone_by_Sentiment!J$2:J$37,"",0,1),0),$A227-TEXT(DATEVALUE($D227&amp;"-01"), "dd-mm-yyyy")),0),0)</f>
        <v>0</v>
      </c>
      <c r="K227" cm="1">
        <f t="array" ref="K227">IF($Q227&gt;=0,IFERROR(generateSalesData($D227, IF(ISNUMBER(_xlfn.XLOOKUP($C227,Phone_by_Sentiment!$B$2:$B$37,Phone_by_Sentiment!K$2:K$37,"",0,1)),_xlfn.XLOOKUP($C227,Phone_by_Sentiment!$B$2:$B$37,Phone_by_Sentiment!K$2:K$37,"",0,1),0),$A227-TEXT(DATEVALUE($D227&amp;"-01"), "dd-mm-yyyy")),0),0)</f>
        <v>0</v>
      </c>
      <c r="L227" cm="1">
        <f t="array" ref="L227">IF($Q227&gt;=0,IFERROR(generateSalesData($D227, IF(ISNUMBER(_xlfn.XLOOKUP($C227,Phone_by_Sentiment!$B$2:$B$37,Phone_by_Sentiment!L$2:L$37,"",0,1)),_xlfn.XLOOKUP($C227,Phone_by_Sentiment!$B$2:$B$37,Phone_by_Sentiment!L$2:L$37,"",0,1),0),$A227-TEXT(DATEVALUE($D227&amp;"-01"), "dd-mm-yyyy")),0),0)</f>
        <v>0</v>
      </c>
      <c r="M227" cm="1">
        <f t="array" ref="M227">IF($Q227&gt;=0,IFERROR(generateSalesData($D227, IF(ISNUMBER(_xlfn.XLOOKUP($C227,Phone_by_Sentiment!$B$2:$B$37,Phone_by_Sentiment!M$2:M$37,"",0,1)),_xlfn.XLOOKUP($C227,Phone_by_Sentiment!$B$2:$B$37,Phone_by_Sentiment!M$2:M$37,"",0,1),0),$A227-TEXT(DATEVALUE($D227&amp;"-01"), "dd-mm-yyyy")),0),0)</f>
        <v>0</v>
      </c>
      <c r="N227" cm="1">
        <f t="array" ref="N227">IF($Q227&gt;=0,IFERROR(generateSalesData($D227, IF(ISNUMBER(_xlfn.XLOOKUP($C227,Phone_by_Sentiment!$B$2:$B$37,Phone_by_Sentiment!N$2:N$37,"",0,1)),_xlfn.XLOOKUP($C227,Phone_by_Sentiment!$B$2:$B$37,Phone_by_Sentiment!N$2:N$37,"",0,1),0),$A227-TEXT(DATEVALUE($D227&amp;"-01"), "dd-mm-yyyy")),0),0)</f>
        <v>0</v>
      </c>
      <c r="O227" cm="1">
        <f t="array" ref="O227">IF($Q227&gt;=0,IFERROR(generateSalesData($D227, IF(ISNUMBER(_xlfn.XLOOKUP($C227,Phone_by_Sentiment!$B$2:$B$37,Phone_by_Sentiment!O$2:O$37,"",0,1)),_xlfn.XLOOKUP($C227,Phone_by_Sentiment!$B$2:$B$37,Phone_by_Sentiment!O$2:O$37,"",0,1),0),$A227-TEXT(DATEVALUE($D227&amp;"-01"), "dd-mm-yyyy")),0),0)</f>
        <v>0</v>
      </c>
      <c r="P227" s="1">
        <f t="shared" si="7"/>
        <v>43709</v>
      </c>
      <c r="Q227">
        <f t="shared" si="8"/>
        <v>-62</v>
      </c>
    </row>
    <row r="228" spans="1:17" x14ac:dyDescent="0.25">
      <c r="A228" s="1">
        <f t="shared" si="0"/>
        <v>43647</v>
      </c>
      <c r="B228" t="s">
        <v>169</v>
      </c>
      <c r="C228" t="str">
        <f>_xlfn.XLOOKUP(B228,Phone_by_Price!$A$2:$A$34,Phone_by_Price!$B$2:$B$34,"-",0,1)</f>
        <v>Samsung Galaxy A10s</v>
      </c>
      <c r="D228" t="str">
        <f>_xlfn.XLOOKUP(C228,Phone_by_Sentiment!$B$2:$B$37,Phone_by_Sentiment!$A$2:$A$37,"-",0,1)</f>
        <v>2019-08</v>
      </c>
      <c r="E228" cm="1">
        <f t="array" ref="E228">IF($Q228&gt;=0,IFERROR(generateSalesData($D228, IF(ISNUMBER(_xlfn.XLOOKUP($C228,Phone_by_Sentiment!$B$2:$B$37,Phone_by_Sentiment!E$2:E$37,"",0,1)),_xlfn.XLOOKUP($C228,Phone_by_Sentiment!$B$2:$B$37,Phone_by_Sentiment!E$2:E$37,"",0,1),0),$A228-TEXT(DATEVALUE($D228&amp;"-01"), "dd-mm-yyyy")),0),0)</f>
        <v>0</v>
      </c>
      <c r="F228" cm="1">
        <f t="array" ref="F228">IF($Q228&gt;=0,IFERROR(generateSalesData($D228, IF(ISNUMBER(_xlfn.XLOOKUP($C228,Phone_by_Sentiment!$B$2:$B$37,Phone_by_Sentiment!F$2:F$37,"",0,1)),_xlfn.XLOOKUP($C228,Phone_by_Sentiment!$B$2:$B$37,Phone_by_Sentiment!F$2:F$37,"",0,1),0),$A228-TEXT(DATEVALUE($D228&amp;"-01"), "dd-mm-yyyy")),0),0)</f>
        <v>0</v>
      </c>
      <c r="G228" cm="1">
        <f t="array" ref="G228">IF($Q228&gt;=0,IFERROR(generateSalesData($D228, IF(ISNUMBER(_xlfn.XLOOKUP($C228,Phone_by_Sentiment!$B$2:$B$37,Phone_by_Sentiment!G$2:G$37,"",0,1)),_xlfn.XLOOKUP($C228,Phone_by_Sentiment!$B$2:$B$37,Phone_by_Sentiment!G$2:G$37,"",0,1),0),$A228-TEXT(DATEVALUE($D228&amp;"-01"), "dd-mm-yyyy")),0),0)</f>
        <v>0</v>
      </c>
      <c r="H228" cm="1">
        <f t="array" ref="H228">IF($Q228&gt;=0,IFERROR(generateSalesData($D228, IF(ISNUMBER(_xlfn.XLOOKUP($C228,Phone_by_Sentiment!$B$2:$B$37,Phone_by_Sentiment!H$2:H$37,"",0,1)),_xlfn.XLOOKUP($C228,Phone_by_Sentiment!$B$2:$B$37,Phone_by_Sentiment!H$2:H$37,"",0,1),0),$A228-TEXT(DATEVALUE($D228&amp;"-01"), "dd-mm-yyyy")),0),0)</f>
        <v>0</v>
      </c>
      <c r="I228" cm="1">
        <f t="array" ref="I228">IF($Q228&gt;=0,IFERROR(generateSalesData($D228, IF(ISNUMBER(_xlfn.XLOOKUP($C228,Phone_by_Sentiment!$B$2:$B$37,Phone_by_Sentiment!I$2:I$37,"",0,1)),_xlfn.XLOOKUP($C228,Phone_by_Sentiment!$B$2:$B$37,Phone_by_Sentiment!I$2:I$37,"",0,1),0),$A228-TEXT(DATEVALUE($D228&amp;"-01"), "dd-mm-yyyy")),0),0)</f>
        <v>0</v>
      </c>
      <c r="J228" cm="1">
        <f t="array" ref="J228">IF($Q228&gt;=0,IFERROR(generateSalesData($D228, IF(ISNUMBER(_xlfn.XLOOKUP($C228,Phone_by_Sentiment!$B$2:$B$37,Phone_by_Sentiment!J$2:J$37,"",0,1)),_xlfn.XLOOKUP($C228,Phone_by_Sentiment!$B$2:$B$37,Phone_by_Sentiment!J$2:J$37,"",0,1),0),$A228-TEXT(DATEVALUE($D228&amp;"-01"), "dd-mm-yyyy")),0),0)</f>
        <v>0</v>
      </c>
      <c r="K228" cm="1">
        <f t="array" ref="K228">IF($Q228&gt;=0,IFERROR(generateSalesData($D228, IF(ISNUMBER(_xlfn.XLOOKUP($C228,Phone_by_Sentiment!$B$2:$B$37,Phone_by_Sentiment!K$2:K$37,"",0,1)),_xlfn.XLOOKUP($C228,Phone_by_Sentiment!$B$2:$B$37,Phone_by_Sentiment!K$2:K$37,"",0,1),0),$A228-TEXT(DATEVALUE($D228&amp;"-01"), "dd-mm-yyyy")),0),0)</f>
        <v>0</v>
      </c>
      <c r="L228" cm="1">
        <f t="array" ref="L228">IF($Q228&gt;=0,IFERROR(generateSalesData($D228, IF(ISNUMBER(_xlfn.XLOOKUP($C228,Phone_by_Sentiment!$B$2:$B$37,Phone_by_Sentiment!L$2:L$37,"",0,1)),_xlfn.XLOOKUP($C228,Phone_by_Sentiment!$B$2:$B$37,Phone_by_Sentiment!L$2:L$37,"",0,1),0),$A228-TEXT(DATEVALUE($D228&amp;"-01"), "dd-mm-yyyy")),0),0)</f>
        <v>0</v>
      </c>
      <c r="M228" cm="1">
        <f t="array" ref="M228">IF($Q228&gt;=0,IFERROR(generateSalesData($D228, IF(ISNUMBER(_xlfn.XLOOKUP($C228,Phone_by_Sentiment!$B$2:$B$37,Phone_by_Sentiment!M$2:M$37,"",0,1)),_xlfn.XLOOKUP($C228,Phone_by_Sentiment!$B$2:$B$37,Phone_by_Sentiment!M$2:M$37,"",0,1),0),$A228-TEXT(DATEVALUE($D228&amp;"-01"), "dd-mm-yyyy")),0),0)</f>
        <v>0</v>
      </c>
      <c r="N228" cm="1">
        <f t="array" ref="N228">IF($Q228&gt;=0,IFERROR(generateSalesData($D228, IF(ISNUMBER(_xlfn.XLOOKUP($C228,Phone_by_Sentiment!$B$2:$B$37,Phone_by_Sentiment!N$2:N$37,"",0,1)),_xlfn.XLOOKUP($C228,Phone_by_Sentiment!$B$2:$B$37,Phone_by_Sentiment!N$2:N$37,"",0,1),0),$A228-TEXT(DATEVALUE($D228&amp;"-01"), "dd-mm-yyyy")),0),0)</f>
        <v>0</v>
      </c>
      <c r="O228" cm="1">
        <f t="array" ref="O228">IF($Q228&gt;=0,IFERROR(generateSalesData($D228, IF(ISNUMBER(_xlfn.XLOOKUP($C228,Phone_by_Sentiment!$B$2:$B$37,Phone_by_Sentiment!O$2:O$37,"",0,1)),_xlfn.XLOOKUP($C228,Phone_by_Sentiment!$B$2:$B$37,Phone_by_Sentiment!O$2:O$37,"",0,1),0),$A228-TEXT(DATEVALUE($D228&amp;"-01"), "dd-mm-yyyy")),0),0)</f>
        <v>0</v>
      </c>
      <c r="P228" s="1">
        <f t="shared" si="7"/>
        <v>43678</v>
      </c>
      <c r="Q228">
        <f t="shared" si="8"/>
        <v>-31</v>
      </c>
    </row>
    <row r="229" spans="1:17" x14ac:dyDescent="0.25">
      <c r="A229" s="1">
        <f t="shared" si="0"/>
        <v>43647</v>
      </c>
      <c r="B229" t="s">
        <v>170</v>
      </c>
      <c r="C229" t="str">
        <f>_xlfn.XLOOKUP(B229,Phone_by_Price!$A$2:$A$34,Phone_by_Price!$B$2:$B$34,"-",0,1)</f>
        <v>Realme Narzo 30A</v>
      </c>
      <c r="D229" t="str">
        <f>_xlfn.XLOOKUP(C229,Phone_by_Sentiment!$B$2:$B$37,Phone_by_Sentiment!$A$2:$A$37,"-",0,1)</f>
        <v>2021-02</v>
      </c>
      <c r="E229" cm="1">
        <f t="array" ref="E229">IF($Q229&gt;=0,IFERROR(generateSalesData($D229, IF(ISNUMBER(_xlfn.XLOOKUP($C229,Phone_by_Sentiment!$B$2:$B$37,Phone_by_Sentiment!E$2:E$37,"",0,1)),_xlfn.XLOOKUP($C229,Phone_by_Sentiment!$B$2:$B$37,Phone_by_Sentiment!E$2:E$37,"",0,1),0),$A229-TEXT(DATEVALUE($D229&amp;"-01"), "dd-mm-yyyy")),0),0)</f>
        <v>0</v>
      </c>
      <c r="F229" cm="1">
        <f t="array" ref="F229">IF($Q229&gt;=0,IFERROR(generateSalesData($D229, IF(ISNUMBER(_xlfn.XLOOKUP($C229,Phone_by_Sentiment!$B$2:$B$37,Phone_by_Sentiment!F$2:F$37,"",0,1)),_xlfn.XLOOKUP($C229,Phone_by_Sentiment!$B$2:$B$37,Phone_by_Sentiment!F$2:F$37,"",0,1),0),$A229-TEXT(DATEVALUE($D229&amp;"-01"), "dd-mm-yyyy")),0),0)</f>
        <v>0</v>
      </c>
      <c r="G229" cm="1">
        <f t="array" ref="G229">IF($Q229&gt;=0,IFERROR(generateSalesData($D229, IF(ISNUMBER(_xlfn.XLOOKUP($C229,Phone_by_Sentiment!$B$2:$B$37,Phone_by_Sentiment!G$2:G$37,"",0,1)),_xlfn.XLOOKUP($C229,Phone_by_Sentiment!$B$2:$B$37,Phone_by_Sentiment!G$2:G$37,"",0,1),0),$A229-TEXT(DATEVALUE($D229&amp;"-01"), "dd-mm-yyyy")),0),0)</f>
        <v>0</v>
      </c>
      <c r="H229" cm="1">
        <f t="array" ref="H229">IF($Q229&gt;=0,IFERROR(generateSalesData($D229, IF(ISNUMBER(_xlfn.XLOOKUP($C229,Phone_by_Sentiment!$B$2:$B$37,Phone_by_Sentiment!H$2:H$37,"",0,1)),_xlfn.XLOOKUP($C229,Phone_by_Sentiment!$B$2:$B$37,Phone_by_Sentiment!H$2:H$37,"",0,1),0),$A229-TEXT(DATEVALUE($D229&amp;"-01"), "dd-mm-yyyy")),0),0)</f>
        <v>0</v>
      </c>
      <c r="I229" cm="1">
        <f t="array" ref="I229">IF($Q229&gt;=0,IFERROR(generateSalesData($D229, IF(ISNUMBER(_xlfn.XLOOKUP($C229,Phone_by_Sentiment!$B$2:$B$37,Phone_by_Sentiment!I$2:I$37,"",0,1)),_xlfn.XLOOKUP($C229,Phone_by_Sentiment!$B$2:$B$37,Phone_by_Sentiment!I$2:I$37,"",0,1),0),$A229-TEXT(DATEVALUE($D229&amp;"-01"), "dd-mm-yyyy")),0),0)</f>
        <v>0</v>
      </c>
      <c r="J229" cm="1">
        <f t="array" ref="J229">IF($Q229&gt;=0,IFERROR(generateSalesData($D229, IF(ISNUMBER(_xlfn.XLOOKUP($C229,Phone_by_Sentiment!$B$2:$B$37,Phone_by_Sentiment!J$2:J$37,"",0,1)),_xlfn.XLOOKUP($C229,Phone_by_Sentiment!$B$2:$B$37,Phone_by_Sentiment!J$2:J$37,"",0,1),0),$A229-TEXT(DATEVALUE($D229&amp;"-01"), "dd-mm-yyyy")),0),0)</f>
        <v>0</v>
      </c>
      <c r="K229" cm="1">
        <f t="array" ref="K229">IF($Q229&gt;=0,IFERROR(generateSalesData($D229, IF(ISNUMBER(_xlfn.XLOOKUP($C229,Phone_by_Sentiment!$B$2:$B$37,Phone_by_Sentiment!K$2:K$37,"",0,1)),_xlfn.XLOOKUP($C229,Phone_by_Sentiment!$B$2:$B$37,Phone_by_Sentiment!K$2:K$37,"",0,1),0),$A229-TEXT(DATEVALUE($D229&amp;"-01"), "dd-mm-yyyy")),0),0)</f>
        <v>0</v>
      </c>
      <c r="L229" cm="1">
        <f t="array" ref="L229">IF($Q229&gt;=0,IFERROR(generateSalesData($D229, IF(ISNUMBER(_xlfn.XLOOKUP($C229,Phone_by_Sentiment!$B$2:$B$37,Phone_by_Sentiment!L$2:L$37,"",0,1)),_xlfn.XLOOKUP($C229,Phone_by_Sentiment!$B$2:$B$37,Phone_by_Sentiment!L$2:L$37,"",0,1),0),$A229-TEXT(DATEVALUE($D229&amp;"-01"), "dd-mm-yyyy")),0),0)</f>
        <v>0</v>
      </c>
      <c r="M229" cm="1">
        <f t="array" ref="M229">IF($Q229&gt;=0,IFERROR(generateSalesData($D229, IF(ISNUMBER(_xlfn.XLOOKUP($C229,Phone_by_Sentiment!$B$2:$B$37,Phone_by_Sentiment!M$2:M$37,"",0,1)),_xlfn.XLOOKUP($C229,Phone_by_Sentiment!$B$2:$B$37,Phone_by_Sentiment!M$2:M$37,"",0,1),0),$A229-TEXT(DATEVALUE($D229&amp;"-01"), "dd-mm-yyyy")),0),0)</f>
        <v>0</v>
      </c>
      <c r="N229" cm="1">
        <f t="array" ref="N229">IF($Q229&gt;=0,IFERROR(generateSalesData($D229, IF(ISNUMBER(_xlfn.XLOOKUP($C229,Phone_by_Sentiment!$B$2:$B$37,Phone_by_Sentiment!N$2:N$37,"",0,1)),_xlfn.XLOOKUP($C229,Phone_by_Sentiment!$B$2:$B$37,Phone_by_Sentiment!N$2:N$37,"",0,1),0),$A229-TEXT(DATEVALUE($D229&amp;"-01"), "dd-mm-yyyy")),0),0)</f>
        <v>0</v>
      </c>
      <c r="O229" cm="1">
        <f t="array" ref="O229">IF($Q229&gt;=0,IFERROR(generateSalesData($D229, IF(ISNUMBER(_xlfn.XLOOKUP($C229,Phone_by_Sentiment!$B$2:$B$37,Phone_by_Sentiment!O$2:O$37,"",0,1)),_xlfn.XLOOKUP($C229,Phone_by_Sentiment!$B$2:$B$37,Phone_by_Sentiment!O$2:O$37,"",0,1),0),$A229-TEXT(DATEVALUE($D229&amp;"-01"), "dd-mm-yyyy")),0),0)</f>
        <v>0</v>
      </c>
      <c r="P229" s="1">
        <f t="shared" si="7"/>
        <v>44228</v>
      </c>
      <c r="Q229">
        <f t="shared" si="8"/>
        <v>-581</v>
      </c>
    </row>
    <row r="230" spans="1:17" x14ac:dyDescent="0.25">
      <c r="A230" s="1">
        <f t="shared" si="0"/>
        <v>43647</v>
      </c>
      <c r="B230" t="s">
        <v>171</v>
      </c>
      <c r="C230" t="str">
        <f>_xlfn.XLOOKUP(B230,Phone_by_Price!$A$2:$A$34,Phone_by_Price!$B$2:$B$34,"-",0,1)</f>
        <v>Samsung Galaxy A22 5G</v>
      </c>
      <c r="D230" t="str">
        <f>_xlfn.XLOOKUP(C230,Phone_by_Sentiment!$B$2:$B$37,Phone_by_Sentiment!$A$2:$A$37,"-",0,1)</f>
        <v>2021-05</v>
      </c>
      <c r="E230" cm="1">
        <f t="array" ref="E230">IF($Q230&gt;=0,IFERROR(generateSalesData($D230, IF(ISNUMBER(_xlfn.XLOOKUP($C230,Phone_by_Sentiment!$B$2:$B$37,Phone_by_Sentiment!E$2:E$37,"",0,1)),_xlfn.XLOOKUP($C230,Phone_by_Sentiment!$B$2:$B$37,Phone_by_Sentiment!E$2:E$37,"",0,1),0),$A230-TEXT(DATEVALUE($D230&amp;"-01"), "dd-mm-yyyy")),0),0)</f>
        <v>0</v>
      </c>
      <c r="F230" cm="1">
        <f t="array" ref="F230">IF($Q230&gt;=0,IFERROR(generateSalesData($D230, IF(ISNUMBER(_xlfn.XLOOKUP($C230,Phone_by_Sentiment!$B$2:$B$37,Phone_by_Sentiment!F$2:F$37,"",0,1)),_xlfn.XLOOKUP($C230,Phone_by_Sentiment!$B$2:$B$37,Phone_by_Sentiment!F$2:F$37,"",0,1),0),$A230-TEXT(DATEVALUE($D230&amp;"-01"), "dd-mm-yyyy")),0),0)</f>
        <v>0</v>
      </c>
      <c r="G230" cm="1">
        <f t="array" ref="G230">IF($Q230&gt;=0,IFERROR(generateSalesData($D230, IF(ISNUMBER(_xlfn.XLOOKUP($C230,Phone_by_Sentiment!$B$2:$B$37,Phone_by_Sentiment!G$2:G$37,"",0,1)),_xlfn.XLOOKUP($C230,Phone_by_Sentiment!$B$2:$B$37,Phone_by_Sentiment!G$2:G$37,"",0,1),0),$A230-TEXT(DATEVALUE($D230&amp;"-01"), "dd-mm-yyyy")),0),0)</f>
        <v>0</v>
      </c>
      <c r="H230" cm="1">
        <f t="array" ref="H230">IF($Q230&gt;=0,IFERROR(generateSalesData($D230, IF(ISNUMBER(_xlfn.XLOOKUP($C230,Phone_by_Sentiment!$B$2:$B$37,Phone_by_Sentiment!H$2:H$37,"",0,1)),_xlfn.XLOOKUP($C230,Phone_by_Sentiment!$B$2:$B$37,Phone_by_Sentiment!H$2:H$37,"",0,1),0),$A230-TEXT(DATEVALUE($D230&amp;"-01"), "dd-mm-yyyy")),0),0)</f>
        <v>0</v>
      </c>
      <c r="I230" cm="1">
        <f t="array" ref="I230">IF($Q230&gt;=0,IFERROR(generateSalesData($D230, IF(ISNUMBER(_xlfn.XLOOKUP($C230,Phone_by_Sentiment!$B$2:$B$37,Phone_by_Sentiment!I$2:I$37,"",0,1)),_xlfn.XLOOKUP($C230,Phone_by_Sentiment!$B$2:$B$37,Phone_by_Sentiment!I$2:I$37,"",0,1),0),$A230-TEXT(DATEVALUE($D230&amp;"-01"), "dd-mm-yyyy")),0),0)</f>
        <v>0</v>
      </c>
      <c r="J230" cm="1">
        <f t="array" ref="J230">IF($Q230&gt;=0,IFERROR(generateSalesData($D230, IF(ISNUMBER(_xlfn.XLOOKUP($C230,Phone_by_Sentiment!$B$2:$B$37,Phone_by_Sentiment!J$2:J$37,"",0,1)),_xlfn.XLOOKUP($C230,Phone_by_Sentiment!$B$2:$B$37,Phone_by_Sentiment!J$2:J$37,"",0,1),0),$A230-TEXT(DATEVALUE($D230&amp;"-01"), "dd-mm-yyyy")),0),0)</f>
        <v>0</v>
      </c>
      <c r="K230" cm="1">
        <f t="array" ref="K230">IF($Q230&gt;=0,IFERROR(generateSalesData($D230, IF(ISNUMBER(_xlfn.XLOOKUP($C230,Phone_by_Sentiment!$B$2:$B$37,Phone_by_Sentiment!K$2:K$37,"",0,1)),_xlfn.XLOOKUP($C230,Phone_by_Sentiment!$B$2:$B$37,Phone_by_Sentiment!K$2:K$37,"",0,1),0),$A230-TEXT(DATEVALUE($D230&amp;"-01"), "dd-mm-yyyy")),0),0)</f>
        <v>0</v>
      </c>
      <c r="L230" cm="1">
        <f t="array" ref="L230">IF($Q230&gt;=0,IFERROR(generateSalesData($D230, IF(ISNUMBER(_xlfn.XLOOKUP($C230,Phone_by_Sentiment!$B$2:$B$37,Phone_by_Sentiment!L$2:L$37,"",0,1)),_xlfn.XLOOKUP($C230,Phone_by_Sentiment!$B$2:$B$37,Phone_by_Sentiment!L$2:L$37,"",0,1),0),$A230-TEXT(DATEVALUE($D230&amp;"-01"), "dd-mm-yyyy")),0),0)</f>
        <v>0</v>
      </c>
      <c r="M230" cm="1">
        <f t="array" ref="M230">IF($Q230&gt;=0,IFERROR(generateSalesData($D230, IF(ISNUMBER(_xlfn.XLOOKUP($C230,Phone_by_Sentiment!$B$2:$B$37,Phone_by_Sentiment!M$2:M$37,"",0,1)),_xlfn.XLOOKUP($C230,Phone_by_Sentiment!$B$2:$B$37,Phone_by_Sentiment!M$2:M$37,"",0,1),0),$A230-TEXT(DATEVALUE($D230&amp;"-01"), "dd-mm-yyyy")),0),0)</f>
        <v>0</v>
      </c>
      <c r="N230" cm="1">
        <f t="array" ref="N230">IF($Q230&gt;=0,IFERROR(generateSalesData($D230, IF(ISNUMBER(_xlfn.XLOOKUP($C230,Phone_by_Sentiment!$B$2:$B$37,Phone_by_Sentiment!N$2:N$37,"",0,1)),_xlfn.XLOOKUP($C230,Phone_by_Sentiment!$B$2:$B$37,Phone_by_Sentiment!N$2:N$37,"",0,1),0),$A230-TEXT(DATEVALUE($D230&amp;"-01"), "dd-mm-yyyy")),0),0)</f>
        <v>0</v>
      </c>
      <c r="O230" cm="1">
        <f t="array" ref="O230">IF($Q230&gt;=0,IFERROR(generateSalesData($D230, IF(ISNUMBER(_xlfn.XLOOKUP($C230,Phone_by_Sentiment!$B$2:$B$37,Phone_by_Sentiment!O$2:O$37,"",0,1)),_xlfn.XLOOKUP($C230,Phone_by_Sentiment!$B$2:$B$37,Phone_by_Sentiment!O$2:O$37,"",0,1),0),$A230-TEXT(DATEVALUE($D230&amp;"-01"), "dd-mm-yyyy")),0),0)</f>
        <v>0</v>
      </c>
      <c r="P230" s="1">
        <f t="shared" si="7"/>
        <v>44317</v>
      </c>
      <c r="Q230">
        <f t="shared" si="8"/>
        <v>-670</v>
      </c>
    </row>
    <row r="231" spans="1:17" x14ac:dyDescent="0.25">
      <c r="A231" s="1">
        <f t="shared" si="0"/>
        <v>43647</v>
      </c>
      <c r="B231" t="s">
        <v>172</v>
      </c>
      <c r="C231" t="str">
        <f>_xlfn.XLOOKUP(B231,Phone_by_Price!$A$2:$A$34,Phone_by_Price!$B$2:$B$34,"-",0,1)</f>
        <v>Xiaomi Redmi 9</v>
      </c>
      <c r="D231" t="str">
        <f>_xlfn.XLOOKUP(C231,Phone_by_Sentiment!$B$2:$B$37,Phone_by_Sentiment!$A$2:$A$37,"-",0,1)</f>
        <v>2020-08</v>
      </c>
      <c r="E231" cm="1">
        <f t="array" ref="E231">IF($Q231&gt;=0,IFERROR(generateSalesData($D231, IF(ISNUMBER(_xlfn.XLOOKUP($C231,Phone_by_Sentiment!$B$2:$B$37,Phone_by_Sentiment!E$2:E$37,"",0,1)),_xlfn.XLOOKUP($C231,Phone_by_Sentiment!$B$2:$B$37,Phone_by_Sentiment!E$2:E$37,"",0,1),0),$A231-TEXT(DATEVALUE($D231&amp;"-01"), "dd-mm-yyyy")),0),0)</f>
        <v>0</v>
      </c>
      <c r="F231" cm="1">
        <f t="array" ref="F231">IF($Q231&gt;=0,IFERROR(generateSalesData($D231, IF(ISNUMBER(_xlfn.XLOOKUP($C231,Phone_by_Sentiment!$B$2:$B$37,Phone_by_Sentiment!F$2:F$37,"",0,1)),_xlfn.XLOOKUP($C231,Phone_by_Sentiment!$B$2:$B$37,Phone_by_Sentiment!F$2:F$37,"",0,1),0),$A231-TEXT(DATEVALUE($D231&amp;"-01"), "dd-mm-yyyy")),0),0)</f>
        <v>0</v>
      </c>
      <c r="G231" cm="1">
        <f t="array" ref="G231">IF($Q231&gt;=0,IFERROR(generateSalesData($D231, IF(ISNUMBER(_xlfn.XLOOKUP($C231,Phone_by_Sentiment!$B$2:$B$37,Phone_by_Sentiment!G$2:G$37,"",0,1)),_xlfn.XLOOKUP($C231,Phone_by_Sentiment!$B$2:$B$37,Phone_by_Sentiment!G$2:G$37,"",0,1),0),$A231-TEXT(DATEVALUE($D231&amp;"-01"), "dd-mm-yyyy")),0),0)</f>
        <v>0</v>
      </c>
      <c r="H231" cm="1">
        <f t="array" ref="H231">IF($Q231&gt;=0,IFERROR(generateSalesData($D231, IF(ISNUMBER(_xlfn.XLOOKUP($C231,Phone_by_Sentiment!$B$2:$B$37,Phone_by_Sentiment!H$2:H$37,"",0,1)),_xlfn.XLOOKUP($C231,Phone_by_Sentiment!$B$2:$B$37,Phone_by_Sentiment!H$2:H$37,"",0,1),0),$A231-TEXT(DATEVALUE($D231&amp;"-01"), "dd-mm-yyyy")),0),0)</f>
        <v>0</v>
      </c>
      <c r="I231" cm="1">
        <f t="array" ref="I231">IF($Q231&gt;=0,IFERROR(generateSalesData($D231, IF(ISNUMBER(_xlfn.XLOOKUP($C231,Phone_by_Sentiment!$B$2:$B$37,Phone_by_Sentiment!I$2:I$37,"",0,1)),_xlfn.XLOOKUP($C231,Phone_by_Sentiment!$B$2:$B$37,Phone_by_Sentiment!I$2:I$37,"",0,1),0),$A231-TEXT(DATEVALUE($D231&amp;"-01"), "dd-mm-yyyy")),0),0)</f>
        <v>0</v>
      </c>
      <c r="J231" cm="1">
        <f t="array" ref="J231">IF($Q231&gt;=0,IFERROR(generateSalesData($D231, IF(ISNUMBER(_xlfn.XLOOKUP($C231,Phone_by_Sentiment!$B$2:$B$37,Phone_by_Sentiment!J$2:J$37,"",0,1)),_xlfn.XLOOKUP($C231,Phone_by_Sentiment!$B$2:$B$37,Phone_by_Sentiment!J$2:J$37,"",0,1),0),$A231-TEXT(DATEVALUE($D231&amp;"-01"), "dd-mm-yyyy")),0),0)</f>
        <v>0</v>
      </c>
      <c r="K231" cm="1">
        <f t="array" ref="K231">IF($Q231&gt;=0,IFERROR(generateSalesData($D231, IF(ISNUMBER(_xlfn.XLOOKUP($C231,Phone_by_Sentiment!$B$2:$B$37,Phone_by_Sentiment!K$2:K$37,"",0,1)),_xlfn.XLOOKUP($C231,Phone_by_Sentiment!$B$2:$B$37,Phone_by_Sentiment!K$2:K$37,"",0,1),0),$A231-TEXT(DATEVALUE($D231&amp;"-01"), "dd-mm-yyyy")),0),0)</f>
        <v>0</v>
      </c>
      <c r="L231" cm="1">
        <f t="array" ref="L231">IF($Q231&gt;=0,IFERROR(generateSalesData($D231, IF(ISNUMBER(_xlfn.XLOOKUP($C231,Phone_by_Sentiment!$B$2:$B$37,Phone_by_Sentiment!L$2:L$37,"",0,1)),_xlfn.XLOOKUP($C231,Phone_by_Sentiment!$B$2:$B$37,Phone_by_Sentiment!L$2:L$37,"",0,1),0),$A231-TEXT(DATEVALUE($D231&amp;"-01"), "dd-mm-yyyy")),0),0)</f>
        <v>0</v>
      </c>
      <c r="M231" cm="1">
        <f t="array" ref="M231">IF($Q231&gt;=0,IFERROR(generateSalesData($D231, IF(ISNUMBER(_xlfn.XLOOKUP($C231,Phone_by_Sentiment!$B$2:$B$37,Phone_by_Sentiment!M$2:M$37,"",0,1)),_xlfn.XLOOKUP($C231,Phone_by_Sentiment!$B$2:$B$37,Phone_by_Sentiment!M$2:M$37,"",0,1),0),$A231-TEXT(DATEVALUE($D231&amp;"-01"), "dd-mm-yyyy")),0),0)</f>
        <v>0</v>
      </c>
      <c r="N231" cm="1">
        <f t="array" ref="N231">IF($Q231&gt;=0,IFERROR(generateSalesData($D231, IF(ISNUMBER(_xlfn.XLOOKUP($C231,Phone_by_Sentiment!$B$2:$B$37,Phone_by_Sentiment!N$2:N$37,"",0,1)),_xlfn.XLOOKUP($C231,Phone_by_Sentiment!$B$2:$B$37,Phone_by_Sentiment!N$2:N$37,"",0,1),0),$A231-TEXT(DATEVALUE($D231&amp;"-01"), "dd-mm-yyyy")),0),0)</f>
        <v>0</v>
      </c>
      <c r="O231" cm="1">
        <f t="array" ref="O231">IF($Q231&gt;=0,IFERROR(generateSalesData($D231, IF(ISNUMBER(_xlfn.XLOOKUP($C231,Phone_by_Sentiment!$B$2:$B$37,Phone_by_Sentiment!O$2:O$37,"",0,1)),_xlfn.XLOOKUP($C231,Phone_by_Sentiment!$B$2:$B$37,Phone_by_Sentiment!O$2:O$37,"",0,1),0),$A231-TEXT(DATEVALUE($D231&amp;"-01"), "dd-mm-yyyy")),0),0)</f>
        <v>0</v>
      </c>
      <c r="P231" s="1">
        <f t="shared" si="7"/>
        <v>44044</v>
      </c>
      <c r="Q231">
        <f t="shared" si="8"/>
        <v>-397</v>
      </c>
    </row>
    <row r="232" spans="1:17" x14ac:dyDescent="0.25">
      <c r="A232" s="1">
        <f t="shared" si="0"/>
        <v>43647</v>
      </c>
      <c r="B232" t="s">
        <v>173</v>
      </c>
      <c r="C232" t="str">
        <f>_xlfn.XLOOKUP(B232,Phone_by_Price!$A$2:$A$34,Phone_by_Price!$B$2:$B$34,"-",0,1)</f>
        <v>Realme C3</v>
      </c>
      <c r="D232" t="str">
        <f>_xlfn.XLOOKUP(C232,Phone_by_Sentiment!$B$2:$B$37,Phone_by_Sentiment!$A$2:$A$37,"-",0,1)</f>
        <v>2020-02</v>
      </c>
      <c r="E232" cm="1">
        <f t="array" ref="E232">IF($Q232&gt;=0,IFERROR(generateSalesData($D232, IF(ISNUMBER(_xlfn.XLOOKUP($C232,Phone_by_Sentiment!$B$2:$B$37,Phone_by_Sentiment!E$2:E$37,"",0,1)),_xlfn.XLOOKUP($C232,Phone_by_Sentiment!$B$2:$B$37,Phone_by_Sentiment!E$2:E$37,"",0,1),0),$A232-TEXT(DATEVALUE($D232&amp;"-01"), "dd-mm-yyyy")),0),0)</f>
        <v>0</v>
      </c>
      <c r="F232" cm="1">
        <f t="array" ref="F232">IF($Q232&gt;=0,IFERROR(generateSalesData($D232, IF(ISNUMBER(_xlfn.XLOOKUP($C232,Phone_by_Sentiment!$B$2:$B$37,Phone_by_Sentiment!F$2:F$37,"",0,1)),_xlfn.XLOOKUP($C232,Phone_by_Sentiment!$B$2:$B$37,Phone_by_Sentiment!F$2:F$37,"",0,1),0),$A232-TEXT(DATEVALUE($D232&amp;"-01"), "dd-mm-yyyy")),0),0)</f>
        <v>0</v>
      </c>
      <c r="G232" cm="1">
        <f t="array" ref="G232">IF($Q232&gt;=0,IFERROR(generateSalesData($D232, IF(ISNUMBER(_xlfn.XLOOKUP($C232,Phone_by_Sentiment!$B$2:$B$37,Phone_by_Sentiment!G$2:G$37,"",0,1)),_xlfn.XLOOKUP($C232,Phone_by_Sentiment!$B$2:$B$37,Phone_by_Sentiment!G$2:G$37,"",0,1),0),$A232-TEXT(DATEVALUE($D232&amp;"-01"), "dd-mm-yyyy")),0),0)</f>
        <v>0</v>
      </c>
      <c r="H232" cm="1">
        <f t="array" ref="H232">IF($Q232&gt;=0,IFERROR(generateSalesData($D232, IF(ISNUMBER(_xlfn.XLOOKUP($C232,Phone_by_Sentiment!$B$2:$B$37,Phone_by_Sentiment!H$2:H$37,"",0,1)),_xlfn.XLOOKUP($C232,Phone_by_Sentiment!$B$2:$B$37,Phone_by_Sentiment!H$2:H$37,"",0,1),0),$A232-TEXT(DATEVALUE($D232&amp;"-01"), "dd-mm-yyyy")),0),0)</f>
        <v>0</v>
      </c>
      <c r="I232" cm="1">
        <f t="array" ref="I232">IF($Q232&gt;=0,IFERROR(generateSalesData($D232, IF(ISNUMBER(_xlfn.XLOOKUP($C232,Phone_by_Sentiment!$B$2:$B$37,Phone_by_Sentiment!I$2:I$37,"",0,1)),_xlfn.XLOOKUP($C232,Phone_by_Sentiment!$B$2:$B$37,Phone_by_Sentiment!I$2:I$37,"",0,1),0),$A232-TEXT(DATEVALUE($D232&amp;"-01"), "dd-mm-yyyy")),0),0)</f>
        <v>0</v>
      </c>
      <c r="J232" cm="1">
        <f t="array" ref="J232">IF($Q232&gt;=0,IFERROR(generateSalesData($D232, IF(ISNUMBER(_xlfn.XLOOKUP($C232,Phone_by_Sentiment!$B$2:$B$37,Phone_by_Sentiment!J$2:J$37,"",0,1)),_xlfn.XLOOKUP($C232,Phone_by_Sentiment!$B$2:$B$37,Phone_by_Sentiment!J$2:J$37,"",0,1),0),$A232-TEXT(DATEVALUE($D232&amp;"-01"), "dd-mm-yyyy")),0),0)</f>
        <v>0</v>
      </c>
      <c r="K232" cm="1">
        <f t="array" ref="K232">IF($Q232&gt;=0,IFERROR(generateSalesData($D232, IF(ISNUMBER(_xlfn.XLOOKUP($C232,Phone_by_Sentiment!$B$2:$B$37,Phone_by_Sentiment!K$2:K$37,"",0,1)),_xlfn.XLOOKUP($C232,Phone_by_Sentiment!$B$2:$B$37,Phone_by_Sentiment!K$2:K$37,"",0,1),0),$A232-TEXT(DATEVALUE($D232&amp;"-01"), "dd-mm-yyyy")),0),0)</f>
        <v>0</v>
      </c>
      <c r="L232" cm="1">
        <f t="array" ref="L232">IF($Q232&gt;=0,IFERROR(generateSalesData($D232, IF(ISNUMBER(_xlfn.XLOOKUP($C232,Phone_by_Sentiment!$B$2:$B$37,Phone_by_Sentiment!L$2:L$37,"",0,1)),_xlfn.XLOOKUP($C232,Phone_by_Sentiment!$B$2:$B$37,Phone_by_Sentiment!L$2:L$37,"",0,1),0),$A232-TEXT(DATEVALUE($D232&amp;"-01"), "dd-mm-yyyy")),0),0)</f>
        <v>0</v>
      </c>
      <c r="M232" cm="1">
        <f t="array" ref="M232">IF($Q232&gt;=0,IFERROR(generateSalesData($D232, IF(ISNUMBER(_xlfn.XLOOKUP($C232,Phone_by_Sentiment!$B$2:$B$37,Phone_by_Sentiment!M$2:M$37,"",0,1)),_xlfn.XLOOKUP($C232,Phone_by_Sentiment!$B$2:$B$37,Phone_by_Sentiment!M$2:M$37,"",0,1),0),$A232-TEXT(DATEVALUE($D232&amp;"-01"), "dd-mm-yyyy")),0),0)</f>
        <v>0</v>
      </c>
      <c r="N232" cm="1">
        <f t="array" ref="N232">IF($Q232&gt;=0,IFERROR(generateSalesData($D232, IF(ISNUMBER(_xlfn.XLOOKUP($C232,Phone_by_Sentiment!$B$2:$B$37,Phone_by_Sentiment!N$2:N$37,"",0,1)),_xlfn.XLOOKUP($C232,Phone_by_Sentiment!$B$2:$B$37,Phone_by_Sentiment!N$2:N$37,"",0,1),0),$A232-TEXT(DATEVALUE($D232&amp;"-01"), "dd-mm-yyyy")),0),0)</f>
        <v>0</v>
      </c>
      <c r="O232" cm="1">
        <f t="array" ref="O232">IF($Q232&gt;=0,IFERROR(generateSalesData($D232, IF(ISNUMBER(_xlfn.XLOOKUP($C232,Phone_by_Sentiment!$B$2:$B$37,Phone_by_Sentiment!O$2:O$37,"",0,1)),_xlfn.XLOOKUP($C232,Phone_by_Sentiment!$B$2:$B$37,Phone_by_Sentiment!O$2:O$37,"",0,1),0),$A232-TEXT(DATEVALUE($D232&amp;"-01"), "dd-mm-yyyy")),0),0)</f>
        <v>0</v>
      </c>
      <c r="P232" s="1">
        <f t="shared" si="7"/>
        <v>43862</v>
      </c>
      <c r="Q232">
        <f t="shared" si="8"/>
        <v>-215</v>
      </c>
    </row>
    <row r="233" spans="1:17" x14ac:dyDescent="0.25">
      <c r="A233" s="1">
        <f t="shared" si="0"/>
        <v>43647</v>
      </c>
      <c r="B233" t="s">
        <v>174</v>
      </c>
      <c r="C233" t="str">
        <f>_xlfn.XLOOKUP(B233,Phone_by_Price!$A$2:$A$34,Phone_by_Price!$B$2:$B$34,"-",0,1)</f>
        <v>Samsung Galaxy A7</v>
      </c>
      <c r="D233" t="str">
        <f>_xlfn.XLOOKUP(C233,Phone_by_Sentiment!$B$2:$B$37,Phone_by_Sentiment!$A$2:$A$37,"-",0,1)</f>
        <v>2018-10</v>
      </c>
      <c r="E233" cm="1">
        <f t="array" ref="E233">IF($Q233&gt;=0,IFERROR(generateSalesData($D233, IF(ISNUMBER(_xlfn.XLOOKUP($C233,Phone_by_Sentiment!$B$2:$B$37,Phone_by_Sentiment!E$2:E$37,"",0,1)),_xlfn.XLOOKUP($C233,Phone_by_Sentiment!$B$2:$B$37,Phone_by_Sentiment!E$2:E$37,"",0,1),0),$A233-TEXT(DATEVALUE($D233&amp;"-01"), "dd-mm-yyyy")),0),0)</f>
        <v>150</v>
      </c>
      <c r="F233" cm="1">
        <f t="array" ref="F233">IF($Q233&gt;=0,IFERROR(generateSalesData($D233, IF(ISNUMBER(_xlfn.XLOOKUP($C233,Phone_by_Sentiment!$B$2:$B$37,Phone_by_Sentiment!F$2:F$37,"",0,1)),_xlfn.XLOOKUP($C233,Phone_by_Sentiment!$B$2:$B$37,Phone_by_Sentiment!F$2:F$37,"",0,1),0),$A233-TEXT(DATEVALUE($D233&amp;"-01"), "dd-mm-yyyy")),0),0)</f>
        <v>236</v>
      </c>
      <c r="G233" cm="1">
        <f t="array" ref="G233">IF($Q233&gt;=0,IFERROR(generateSalesData($D233, IF(ISNUMBER(_xlfn.XLOOKUP($C233,Phone_by_Sentiment!$B$2:$B$37,Phone_by_Sentiment!G$2:G$37,"",0,1)),_xlfn.XLOOKUP($C233,Phone_by_Sentiment!$B$2:$B$37,Phone_by_Sentiment!G$2:G$37,"",0,1),0),$A233-TEXT(DATEVALUE($D233&amp;"-01"), "dd-mm-yyyy")),0),0)</f>
        <v>212</v>
      </c>
      <c r="H233" cm="1">
        <f t="array" ref="H233">IF($Q233&gt;=0,IFERROR(generateSalesData($D233, IF(ISNUMBER(_xlfn.XLOOKUP($C233,Phone_by_Sentiment!$B$2:$B$37,Phone_by_Sentiment!H$2:H$37,"",0,1)),_xlfn.XLOOKUP($C233,Phone_by_Sentiment!$B$2:$B$37,Phone_by_Sentiment!H$2:H$37,"",0,1),0),$A233-TEXT(DATEVALUE($D233&amp;"-01"), "dd-mm-yyyy")),0),0)</f>
        <v>589</v>
      </c>
      <c r="I233" cm="1">
        <f t="array" ref="I233">IF($Q233&gt;=0,IFERROR(generateSalesData($D233, IF(ISNUMBER(_xlfn.XLOOKUP($C233,Phone_by_Sentiment!$B$2:$B$37,Phone_by_Sentiment!I$2:I$37,"",0,1)),_xlfn.XLOOKUP($C233,Phone_by_Sentiment!$B$2:$B$37,Phone_by_Sentiment!I$2:I$37,"",0,1),0),$A233-TEXT(DATEVALUE($D233&amp;"-01"), "dd-mm-yyyy")),0),0)</f>
        <v>387</v>
      </c>
      <c r="J233" cm="1">
        <f t="array" ref="J233">IF($Q233&gt;=0,IFERROR(generateSalesData($D233, IF(ISNUMBER(_xlfn.XLOOKUP($C233,Phone_by_Sentiment!$B$2:$B$37,Phone_by_Sentiment!J$2:J$37,"",0,1)),_xlfn.XLOOKUP($C233,Phone_by_Sentiment!$B$2:$B$37,Phone_by_Sentiment!J$2:J$37,"",0,1),0),$A233-TEXT(DATEVALUE($D233&amp;"-01"), "dd-mm-yyyy")),0),0)</f>
        <v>245</v>
      </c>
      <c r="K233" cm="1">
        <f t="array" ref="K233">IF($Q233&gt;=0,IFERROR(generateSalesData($D233, IF(ISNUMBER(_xlfn.XLOOKUP($C233,Phone_by_Sentiment!$B$2:$B$37,Phone_by_Sentiment!K$2:K$37,"",0,1)),_xlfn.XLOOKUP($C233,Phone_by_Sentiment!$B$2:$B$37,Phone_by_Sentiment!K$2:K$37,"",0,1),0),$A233-TEXT(DATEVALUE($D233&amp;"-01"), "dd-mm-yyyy")),0),0)</f>
        <v>113</v>
      </c>
      <c r="L233" cm="1">
        <f t="array" ref="L233">IF($Q233&gt;=0,IFERROR(generateSalesData($D233, IF(ISNUMBER(_xlfn.XLOOKUP($C233,Phone_by_Sentiment!$B$2:$B$37,Phone_by_Sentiment!L$2:L$37,"",0,1)),_xlfn.XLOOKUP($C233,Phone_by_Sentiment!$B$2:$B$37,Phone_by_Sentiment!L$2:L$37,"",0,1),0),$A233-TEXT(DATEVALUE($D233&amp;"-01"), "dd-mm-yyyy")),0),0)</f>
        <v>158</v>
      </c>
      <c r="M233" cm="1">
        <f t="array" ref="M233">IF($Q233&gt;=0,IFERROR(generateSalesData($D233, IF(ISNUMBER(_xlfn.XLOOKUP($C233,Phone_by_Sentiment!$B$2:$B$37,Phone_by_Sentiment!M$2:M$37,"",0,1)),_xlfn.XLOOKUP($C233,Phone_by_Sentiment!$B$2:$B$37,Phone_by_Sentiment!M$2:M$37,"",0,1),0),$A233-TEXT(DATEVALUE($D233&amp;"-01"), "dd-mm-yyyy")),0),0)</f>
        <v>632</v>
      </c>
      <c r="N233" cm="1">
        <f t="array" ref="N233">IF($Q233&gt;=0,IFERROR(generateSalesData($D233, IF(ISNUMBER(_xlfn.XLOOKUP($C233,Phone_by_Sentiment!$B$2:$B$37,Phone_by_Sentiment!N$2:N$37,"",0,1)),_xlfn.XLOOKUP($C233,Phone_by_Sentiment!$B$2:$B$37,Phone_by_Sentiment!N$2:N$37,"",0,1),0),$A233-TEXT(DATEVALUE($D233&amp;"-01"), "dd-mm-yyyy")),0),0)</f>
        <v>514</v>
      </c>
      <c r="O233" cm="1">
        <f t="array" ref="O233">IF($Q233&gt;=0,IFERROR(generateSalesData($D233, IF(ISNUMBER(_xlfn.XLOOKUP($C233,Phone_by_Sentiment!$B$2:$B$37,Phone_by_Sentiment!O$2:O$37,"",0,1)),_xlfn.XLOOKUP($C233,Phone_by_Sentiment!$B$2:$B$37,Phone_by_Sentiment!O$2:O$37,"",0,1),0),$A233-TEXT(DATEVALUE($D233&amp;"-01"), "dd-mm-yyyy")),0),0)</f>
        <v>319</v>
      </c>
      <c r="P233" s="1">
        <f t="shared" si="7"/>
        <v>43374</v>
      </c>
      <c r="Q233">
        <f t="shared" si="8"/>
        <v>273</v>
      </c>
    </row>
    <row r="234" spans="1:17" x14ac:dyDescent="0.25">
      <c r="A234" s="1">
        <f t="shared" si="0"/>
        <v>43647</v>
      </c>
      <c r="B234" t="s">
        <v>142</v>
      </c>
      <c r="C234" t="str">
        <f>_xlfn.XLOOKUP(B234,Phone_by_Price!$A$2:$A$34,Phone_by_Price!$B$2:$B$34,"-",0,1)</f>
        <v>iPhone 11</v>
      </c>
      <c r="D234" t="str">
        <f>_xlfn.XLOOKUP(C234,Phone_by_Sentiment!$B$2:$B$37,Phone_by_Sentiment!$A$2:$A$37,"-",0,1)</f>
        <v>2019-09</v>
      </c>
      <c r="E234" cm="1">
        <f t="array" ref="E234">IF($Q234&gt;=0,IFERROR(generateSalesData($D234, IF(ISNUMBER(_xlfn.XLOOKUP($C234,Phone_by_Sentiment!$B$2:$B$37,Phone_by_Sentiment!E$2:E$37,"",0,1)),_xlfn.XLOOKUP($C234,Phone_by_Sentiment!$B$2:$B$37,Phone_by_Sentiment!E$2:E$37,"",0,1),0),$A234-TEXT(DATEVALUE($D234&amp;"-01"), "dd-mm-yyyy")),0),0)</f>
        <v>0</v>
      </c>
      <c r="F234" cm="1">
        <f t="array" ref="F234">IF($Q234&gt;=0,IFERROR(generateSalesData($D234, IF(ISNUMBER(_xlfn.XLOOKUP($C234,Phone_by_Sentiment!$B$2:$B$37,Phone_by_Sentiment!F$2:F$37,"",0,1)),_xlfn.XLOOKUP($C234,Phone_by_Sentiment!$B$2:$B$37,Phone_by_Sentiment!F$2:F$37,"",0,1),0),$A234-TEXT(DATEVALUE($D234&amp;"-01"), "dd-mm-yyyy")),0),0)</f>
        <v>0</v>
      </c>
      <c r="G234" cm="1">
        <f t="array" ref="G234">IF($Q234&gt;=0,IFERROR(generateSalesData($D234, IF(ISNUMBER(_xlfn.XLOOKUP($C234,Phone_by_Sentiment!$B$2:$B$37,Phone_by_Sentiment!G$2:G$37,"",0,1)),_xlfn.XLOOKUP($C234,Phone_by_Sentiment!$B$2:$B$37,Phone_by_Sentiment!G$2:G$37,"",0,1),0),$A234-TEXT(DATEVALUE($D234&amp;"-01"), "dd-mm-yyyy")),0),0)</f>
        <v>0</v>
      </c>
      <c r="H234" cm="1">
        <f t="array" ref="H234">IF($Q234&gt;=0,IFERROR(generateSalesData($D234, IF(ISNUMBER(_xlfn.XLOOKUP($C234,Phone_by_Sentiment!$B$2:$B$37,Phone_by_Sentiment!H$2:H$37,"",0,1)),_xlfn.XLOOKUP($C234,Phone_by_Sentiment!$B$2:$B$37,Phone_by_Sentiment!H$2:H$37,"",0,1),0),$A234-TEXT(DATEVALUE($D234&amp;"-01"), "dd-mm-yyyy")),0),0)</f>
        <v>0</v>
      </c>
      <c r="I234" cm="1">
        <f t="array" ref="I234">IF($Q234&gt;=0,IFERROR(generateSalesData($D234, IF(ISNUMBER(_xlfn.XLOOKUP($C234,Phone_by_Sentiment!$B$2:$B$37,Phone_by_Sentiment!I$2:I$37,"",0,1)),_xlfn.XLOOKUP($C234,Phone_by_Sentiment!$B$2:$B$37,Phone_by_Sentiment!I$2:I$37,"",0,1),0),$A234-TEXT(DATEVALUE($D234&amp;"-01"), "dd-mm-yyyy")),0),0)</f>
        <v>0</v>
      </c>
      <c r="J234" cm="1">
        <f t="array" ref="J234">IF($Q234&gt;=0,IFERROR(generateSalesData($D234, IF(ISNUMBER(_xlfn.XLOOKUP($C234,Phone_by_Sentiment!$B$2:$B$37,Phone_by_Sentiment!J$2:J$37,"",0,1)),_xlfn.XLOOKUP($C234,Phone_by_Sentiment!$B$2:$B$37,Phone_by_Sentiment!J$2:J$37,"",0,1),0),$A234-TEXT(DATEVALUE($D234&amp;"-01"), "dd-mm-yyyy")),0),0)</f>
        <v>0</v>
      </c>
      <c r="K234" cm="1">
        <f t="array" ref="K234">IF($Q234&gt;=0,IFERROR(generateSalesData($D234, IF(ISNUMBER(_xlfn.XLOOKUP($C234,Phone_by_Sentiment!$B$2:$B$37,Phone_by_Sentiment!K$2:K$37,"",0,1)),_xlfn.XLOOKUP($C234,Phone_by_Sentiment!$B$2:$B$37,Phone_by_Sentiment!K$2:K$37,"",0,1),0),$A234-TEXT(DATEVALUE($D234&amp;"-01"), "dd-mm-yyyy")),0),0)</f>
        <v>0</v>
      </c>
      <c r="L234" cm="1">
        <f t="array" ref="L234">IF($Q234&gt;=0,IFERROR(generateSalesData($D234, IF(ISNUMBER(_xlfn.XLOOKUP($C234,Phone_by_Sentiment!$B$2:$B$37,Phone_by_Sentiment!L$2:L$37,"",0,1)),_xlfn.XLOOKUP($C234,Phone_by_Sentiment!$B$2:$B$37,Phone_by_Sentiment!L$2:L$37,"",0,1),0),$A234-TEXT(DATEVALUE($D234&amp;"-01"), "dd-mm-yyyy")),0),0)</f>
        <v>0</v>
      </c>
      <c r="M234" cm="1">
        <f t="array" ref="M234">IF($Q234&gt;=0,IFERROR(generateSalesData($D234, IF(ISNUMBER(_xlfn.XLOOKUP($C234,Phone_by_Sentiment!$B$2:$B$37,Phone_by_Sentiment!M$2:M$37,"",0,1)),_xlfn.XLOOKUP($C234,Phone_by_Sentiment!$B$2:$B$37,Phone_by_Sentiment!M$2:M$37,"",0,1),0),$A234-TEXT(DATEVALUE($D234&amp;"-01"), "dd-mm-yyyy")),0),0)</f>
        <v>0</v>
      </c>
      <c r="N234" cm="1">
        <f t="array" ref="N234">IF($Q234&gt;=0,IFERROR(generateSalesData($D234, IF(ISNUMBER(_xlfn.XLOOKUP($C234,Phone_by_Sentiment!$B$2:$B$37,Phone_by_Sentiment!N$2:N$37,"",0,1)),_xlfn.XLOOKUP($C234,Phone_by_Sentiment!$B$2:$B$37,Phone_by_Sentiment!N$2:N$37,"",0,1),0),$A234-TEXT(DATEVALUE($D234&amp;"-01"), "dd-mm-yyyy")),0),0)</f>
        <v>0</v>
      </c>
      <c r="O234" cm="1">
        <f t="array" ref="O234">IF($Q234&gt;=0,IFERROR(generateSalesData($D234, IF(ISNUMBER(_xlfn.XLOOKUP($C234,Phone_by_Sentiment!$B$2:$B$37,Phone_by_Sentiment!O$2:O$37,"",0,1)),_xlfn.XLOOKUP($C234,Phone_by_Sentiment!$B$2:$B$37,Phone_by_Sentiment!O$2:O$37,"",0,1),0),$A234-TEXT(DATEVALUE($D234&amp;"-01"), "dd-mm-yyyy")),0),0)</f>
        <v>0</v>
      </c>
      <c r="P234" s="1">
        <f t="shared" si="7"/>
        <v>43709</v>
      </c>
      <c r="Q234">
        <f t="shared" si="8"/>
        <v>-62</v>
      </c>
    </row>
    <row r="235" spans="1:17" x14ac:dyDescent="0.25">
      <c r="A235" s="1">
        <f t="shared" si="0"/>
        <v>43647</v>
      </c>
      <c r="B235" t="s">
        <v>143</v>
      </c>
      <c r="C235" t="str">
        <f>_xlfn.XLOOKUP(B235,Phone_by_Price!$A$2:$A$34,Phone_by_Price!$B$2:$B$34,"-",0,1)</f>
        <v>Samsung Galaxy S20 Ultra</v>
      </c>
      <c r="D235" t="str">
        <f>_xlfn.XLOOKUP(C235,Phone_by_Sentiment!$B$2:$B$37,Phone_by_Sentiment!$A$2:$A$37,"-",0,1)</f>
        <v>2020-02</v>
      </c>
      <c r="E235" cm="1">
        <f t="array" ref="E235">IF($Q235&gt;=0,IFERROR(generateSalesData($D235, IF(ISNUMBER(_xlfn.XLOOKUP($C235,Phone_by_Sentiment!$B$2:$B$37,Phone_by_Sentiment!E$2:E$37,"",0,1)),_xlfn.XLOOKUP($C235,Phone_by_Sentiment!$B$2:$B$37,Phone_by_Sentiment!E$2:E$37,"",0,1),0),$A235-TEXT(DATEVALUE($D235&amp;"-01"), "dd-mm-yyyy")),0),0)</f>
        <v>0</v>
      </c>
      <c r="F235" cm="1">
        <f t="array" ref="F235">IF($Q235&gt;=0,IFERROR(generateSalesData($D235, IF(ISNUMBER(_xlfn.XLOOKUP($C235,Phone_by_Sentiment!$B$2:$B$37,Phone_by_Sentiment!F$2:F$37,"",0,1)),_xlfn.XLOOKUP($C235,Phone_by_Sentiment!$B$2:$B$37,Phone_by_Sentiment!F$2:F$37,"",0,1),0),$A235-TEXT(DATEVALUE($D235&amp;"-01"), "dd-mm-yyyy")),0),0)</f>
        <v>0</v>
      </c>
      <c r="G235" cm="1">
        <f t="array" ref="G235">IF($Q235&gt;=0,IFERROR(generateSalesData($D235, IF(ISNUMBER(_xlfn.XLOOKUP($C235,Phone_by_Sentiment!$B$2:$B$37,Phone_by_Sentiment!G$2:G$37,"",0,1)),_xlfn.XLOOKUP($C235,Phone_by_Sentiment!$B$2:$B$37,Phone_by_Sentiment!G$2:G$37,"",0,1),0),$A235-TEXT(DATEVALUE($D235&amp;"-01"), "dd-mm-yyyy")),0),0)</f>
        <v>0</v>
      </c>
      <c r="H235" cm="1">
        <f t="array" ref="H235">IF($Q235&gt;=0,IFERROR(generateSalesData($D235, IF(ISNUMBER(_xlfn.XLOOKUP($C235,Phone_by_Sentiment!$B$2:$B$37,Phone_by_Sentiment!H$2:H$37,"",0,1)),_xlfn.XLOOKUP($C235,Phone_by_Sentiment!$B$2:$B$37,Phone_by_Sentiment!H$2:H$37,"",0,1),0),$A235-TEXT(DATEVALUE($D235&amp;"-01"), "dd-mm-yyyy")),0),0)</f>
        <v>0</v>
      </c>
      <c r="I235" cm="1">
        <f t="array" ref="I235">IF($Q235&gt;=0,IFERROR(generateSalesData($D235, IF(ISNUMBER(_xlfn.XLOOKUP($C235,Phone_by_Sentiment!$B$2:$B$37,Phone_by_Sentiment!I$2:I$37,"",0,1)),_xlfn.XLOOKUP($C235,Phone_by_Sentiment!$B$2:$B$37,Phone_by_Sentiment!I$2:I$37,"",0,1),0),$A235-TEXT(DATEVALUE($D235&amp;"-01"), "dd-mm-yyyy")),0),0)</f>
        <v>0</v>
      </c>
      <c r="J235" cm="1">
        <f t="array" ref="J235">IF($Q235&gt;=0,IFERROR(generateSalesData($D235, IF(ISNUMBER(_xlfn.XLOOKUP($C235,Phone_by_Sentiment!$B$2:$B$37,Phone_by_Sentiment!J$2:J$37,"",0,1)),_xlfn.XLOOKUP($C235,Phone_by_Sentiment!$B$2:$B$37,Phone_by_Sentiment!J$2:J$37,"",0,1),0),$A235-TEXT(DATEVALUE($D235&amp;"-01"), "dd-mm-yyyy")),0),0)</f>
        <v>0</v>
      </c>
      <c r="K235" cm="1">
        <f t="array" ref="K235">IF($Q235&gt;=0,IFERROR(generateSalesData($D235, IF(ISNUMBER(_xlfn.XLOOKUP($C235,Phone_by_Sentiment!$B$2:$B$37,Phone_by_Sentiment!K$2:K$37,"",0,1)),_xlfn.XLOOKUP($C235,Phone_by_Sentiment!$B$2:$B$37,Phone_by_Sentiment!K$2:K$37,"",0,1),0),$A235-TEXT(DATEVALUE($D235&amp;"-01"), "dd-mm-yyyy")),0),0)</f>
        <v>0</v>
      </c>
      <c r="L235" cm="1">
        <f t="array" ref="L235">IF($Q235&gt;=0,IFERROR(generateSalesData($D235, IF(ISNUMBER(_xlfn.XLOOKUP($C235,Phone_by_Sentiment!$B$2:$B$37,Phone_by_Sentiment!L$2:L$37,"",0,1)),_xlfn.XLOOKUP($C235,Phone_by_Sentiment!$B$2:$B$37,Phone_by_Sentiment!L$2:L$37,"",0,1),0),$A235-TEXT(DATEVALUE($D235&amp;"-01"), "dd-mm-yyyy")),0),0)</f>
        <v>0</v>
      </c>
      <c r="M235" cm="1">
        <f t="array" ref="M235">IF($Q235&gt;=0,IFERROR(generateSalesData($D235, IF(ISNUMBER(_xlfn.XLOOKUP($C235,Phone_by_Sentiment!$B$2:$B$37,Phone_by_Sentiment!M$2:M$37,"",0,1)),_xlfn.XLOOKUP($C235,Phone_by_Sentiment!$B$2:$B$37,Phone_by_Sentiment!M$2:M$37,"",0,1),0),$A235-TEXT(DATEVALUE($D235&amp;"-01"), "dd-mm-yyyy")),0),0)</f>
        <v>0</v>
      </c>
      <c r="N235" cm="1">
        <f t="array" ref="N235">IF($Q235&gt;=0,IFERROR(generateSalesData($D235, IF(ISNUMBER(_xlfn.XLOOKUP($C235,Phone_by_Sentiment!$B$2:$B$37,Phone_by_Sentiment!N$2:N$37,"",0,1)),_xlfn.XLOOKUP($C235,Phone_by_Sentiment!$B$2:$B$37,Phone_by_Sentiment!N$2:N$37,"",0,1),0),$A235-TEXT(DATEVALUE($D235&amp;"-01"), "dd-mm-yyyy")),0),0)</f>
        <v>0</v>
      </c>
      <c r="O235" cm="1">
        <f t="array" ref="O235">IF($Q235&gt;=0,IFERROR(generateSalesData($D235, IF(ISNUMBER(_xlfn.XLOOKUP($C235,Phone_by_Sentiment!$B$2:$B$37,Phone_by_Sentiment!O$2:O$37,"",0,1)),_xlfn.XLOOKUP($C235,Phone_by_Sentiment!$B$2:$B$37,Phone_by_Sentiment!O$2:O$37,"",0,1),0),$A235-TEXT(DATEVALUE($D235&amp;"-01"), "dd-mm-yyyy")),0),0)</f>
        <v>0</v>
      </c>
      <c r="P235" s="1">
        <f t="shared" si="7"/>
        <v>43862</v>
      </c>
      <c r="Q235">
        <f t="shared" si="8"/>
        <v>-215</v>
      </c>
    </row>
    <row r="236" spans="1:17" x14ac:dyDescent="0.25">
      <c r="A236" s="1">
        <f t="shared" si="0"/>
        <v>43647</v>
      </c>
      <c r="B236" t="s">
        <v>144</v>
      </c>
      <c r="C236" t="str">
        <f>_xlfn.XLOOKUP(B236,Phone_by_Price!$A$2:$A$34,Phone_by_Price!$B$2:$B$34,"-",0,1)</f>
        <v>Xiaomi Redmi Note 10</v>
      </c>
      <c r="D236" t="str">
        <f>_xlfn.XLOOKUP(C236,Phone_by_Sentiment!$B$2:$B$37,Phone_by_Sentiment!$A$2:$A$37,"-",0,1)</f>
        <v>2021-03</v>
      </c>
      <c r="E236" cm="1">
        <f t="array" ref="E236">IF($Q236&gt;=0,IFERROR(generateSalesData($D236, IF(ISNUMBER(_xlfn.XLOOKUP($C236,Phone_by_Sentiment!$B$2:$B$37,Phone_by_Sentiment!E$2:E$37,"",0,1)),_xlfn.XLOOKUP($C236,Phone_by_Sentiment!$B$2:$B$37,Phone_by_Sentiment!E$2:E$37,"",0,1),0),$A236-TEXT(DATEVALUE($D236&amp;"-01"), "dd-mm-yyyy")),0),0)</f>
        <v>0</v>
      </c>
      <c r="F236" cm="1">
        <f t="array" ref="F236">IF($Q236&gt;=0,IFERROR(generateSalesData($D236, IF(ISNUMBER(_xlfn.XLOOKUP($C236,Phone_by_Sentiment!$B$2:$B$37,Phone_by_Sentiment!F$2:F$37,"",0,1)),_xlfn.XLOOKUP($C236,Phone_by_Sentiment!$B$2:$B$37,Phone_by_Sentiment!F$2:F$37,"",0,1),0),$A236-TEXT(DATEVALUE($D236&amp;"-01"), "dd-mm-yyyy")),0),0)</f>
        <v>0</v>
      </c>
      <c r="G236" cm="1">
        <f t="array" ref="G236">IF($Q236&gt;=0,IFERROR(generateSalesData($D236, IF(ISNUMBER(_xlfn.XLOOKUP($C236,Phone_by_Sentiment!$B$2:$B$37,Phone_by_Sentiment!G$2:G$37,"",0,1)),_xlfn.XLOOKUP($C236,Phone_by_Sentiment!$B$2:$B$37,Phone_by_Sentiment!G$2:G$37,"",0,1),0),$A236-TEXT(DATEVALUE($D236&amp;"-01"), "dd-mm-yyyy")),0),0)</f>
        <v>0</v>
      </c>
      <c r="H236" cm="1">
        <f t="array" ref="H236">IF($Q236&gt;=0,IFERROR(generateSalesData($D236, IF(ISNUMBER(_xlfn.XLOOKUP($C236,Phone_by_Sentiment!$B$2:$B$37,Phone_by_Sentiment!H$2:H$37,"",0,1)),_xlfn.XLOOKUP($C236,Phone_by_Sentiment!$B$2:$B$37,Phone_by_Sentiment!H$2:H$37,"",0,1),0),$A236-TEXT(DATEVALUE($D236&amp;"-01"), "dd-mm-yyyy")),0),0)</f>
        <v>0</v>
      </c>
      <c r="I236" cm="1">
        <f t="array" ref="I236">IF($Q236&gt;=0,IFERROR(generateSalesData($D236, IF(ISNUMBER(_xlfn.XLOOKUP($C236,Phone_by_Sentiment!$B$2:$B$37,Phone_by_Sentiment!I$2:I$37,"",0,1)),_xlfn.XLOOKUP($C236,Phone_by_Sentiment!$B$2:$B$37,Phone_by_Sentiment!I$2:I$37,"",0,1),0),$A236-TEXT(DATEVALUE($D236&amp;"-01"), "dd-mm-yyyy")),0),0)</f>
        <v>0</v>
      </c>
      <c r="J236" cm="1">
        <f t="array" ref="J236">IF($Q236&gt;=0,IFERROR(generateSalesData($D236, IF(ISNUMBER(_xlfn.XLOOKUP($C236,Phone_by_Sentiment!$B$2:$B$37,Phone_by_Sentiment!J$2:J$37,"",0,1)),_xlfn.XLOOKUP($C236,Phone_by_Sentiment!$B$2:$B$37,Phone_by_Sentiment!J$2:J$37,"",0,1),0),$A236-TEXT(DATEVALUE($D236&amp;"-01"), "dd-mm-yyyy")),0),0)</f>
        <v>0</v>
      </c>
      <c r="K236" cm="1">
        <f t="array" ref="K236">IF($Q236&gt;=0,IFERROR(generateSalesData($D236, IF(ISNUMBER(_xlfn.XLOOKUP($C236,Phone_by_Sentiment!$B$2:$B$37,Phone_by_Sentiment!K$2:K$37,"",0,1)),_xlfn.XLOOKUP($C236,Phone_by_Sentiment!$B$2:$B$37,Phone_by_Sentiment!K$2:K$37,"",0,1),0),$A236-TEXT(DATEVALUE($D236&amp;"-01"), "dd-mm-yyyy")),0),0)</f>
        <v>0</v>
      </c>
      <c r="L236" cm="1">
        <f t="array" ref="L236">IF($Q236&gt;=0,IFERROR(generateSalesData($D236, IF(ISNUMBER(_xlfn.XLOOKUP($C236,Phone_by_Sentiment!$B$2:$B$37,Phone_by_Sentiment!L$2:L$37,"",0,1)),_xlfn.XLOOKUP($C236,Phone_by_Sentiment!$B$2:$B$37,Phone_by_Sentiment!L$2:L$37,"",0,1),0),$A236-TEXT(DATEVALUE($D236&amp;"-01"), "dd-mm-yyyy")),0),0)</f>
        <v>0</v>
      </c>
      <c r="M236" cm="1">
        <f t="array" ref="M236">IF($Q236&gt;=0,IFERROR(generateSalesData($D236, IF(ISNUMBER(_xlfn.XLOOKUP($C236,Phone_by_Sentiment!$B$2:$B$37,Phone_by_Sentiment!M$2:M$37,"",0,1)),_xlfn.XLOOKUP($C236,Phone_by_Sentiment!$B$2:$B$37,Phone_by_Sentiment!M$2:M$37,"",0,1),0),$A236-TEXT(DATEVALUE($D236&amp;"-01"), "dd-mm-yyyy")),0),0)</f>
        <v>0</v>
      </c>
      <c r="N236" cm="1">
        <f t="array" ref="N236">IF($Q236&gt;=0,IFERROR(generateSalesData($D236, IF(ISNUMBER(_xlfn.XLOOKUP($C236,Phone_by_Sentiment!$B$2:$B$37,Phone_by_Sentiment!N$2:N$37,"",0,1)),_xlfn.XLOOKUP($C236,Phone_by_Sentiment!$B$2:$B$37,Phone_by_Sentiment!N$2:N$37,"",0,1),0),$A236-TEXT(DATEVALUE($D236&amp;"-01"), "dd-mm-yyyy")),0),0)</f>
        <v>0</v>
      </c>
      <c r="O236" cm="1">
        <f t="array" ref="O236">IF($Q236&gt;=0,IFERROR(generateSalesData($D236, IF(ISNUMBER(_xlfn.XLOOKUP($C236,Phone_by_Sentiment!$B$2:$B$37,Phone_by_Sentiment!O$2:O$37,"",0,1)),_xlfn.XLOOKUP($C236,Phone_by_Sentiment!$B$2:$B$37,Phone_by_Sentiment!O$2:O$37,"",0,1),0),$A236-TEXT(DATEVALUE($D236&amp;"-01"), "dd-mm-yyyy")),0),0)</f>
        <v>0</v>
      </c>
      <c r="P236" s="1">
        <f t="shared" si="7"/>
        <v>44256</v>
      </c>
      <c r="Q236">
        <f t="shared" si="8"/>
        <v>-609</v>
      </c>
    </row>
    <row r="237" spans="1:17" x14ac:dyDescent="0.25">
      <c r="A237" s="1">
        <f t="shared" si="0"/>
        <v>43647</v>
      </c>
      <c r="B237" t="s">
        <v>145</v>
      </c>
      <c r="C237" t="str">
        <f>_xlfn.XLOOKUP(B237,Phone_by_Price!$A$2:$A$34,Phone_by_Price!$B$2:$B$34,"-",0,1)</f>
        <v>OPPO A54</v>
      </c>
      <c r="D237" t="str">
        <f>_xlfn.XLOOKUP(C237,Phone_by_Sentiment!$B$2:$B$37,Phone_by_Sentiment!$A$2:$A$37,"-",0,1)</f>
        <v>2021-04</v>
      </c>
      <c r="E237" cm="1">
        <f t="array" ref="E237">IF($Q237&gt;=0,IFERROR(generateSalesData($D237, IF(ISNUMBER(_xlfn.XLOOKUP($C237,Phone_by_Sentiment!$B$2:$B$37,Phone_by_Sentiment!E$2:E$37,"",0,1)),_xlfn.XLOOKUP($C237,Phone_by_Sentiment!$B$2:$B$37,Phone_by_Sentiment!E$2:E$37,"",0,1),0),$A237-TEXT(DATEVALUE($D237&amp;"-01"), "dd-mm-yyyy")),0),0)</f>
        <v>0</v>
      </c>
      <c r="F237" cm="1">
        <f t="array" ref="F237">IF($Q237&gt;=0,IFERROR(generateSalesData($D237, IF(ISNUMBER(_xlfn.XLOOKUP($C237,Phone_by_Sentiment!$B$2:$B$37,Phone_by_Sentiment!F$2:F$37,"",0,1)),_xlfn.XLOOKUP($C237,Phone_by_Sentiment!$B$2:$B$37,Phone_by_Sentiment!F$2:F$37,"",0,1),0),$A237-TEXT(DATEVALUE($D237&amp;"-01"), "dd-mm-yyyy")),0),0)</f>
        <v>0</v>
      </c>
      <c r="G237" cm="1">
        <f t="array" ref="G237">IF($Q237&gt;=0,IFERROR(generateSalesData($D237, IF(ISNUMBER(_xlfn.XLOOKUP($C237,Phone_by_Sentiment!$B$2:$B$37,Phone_by_Sentiment!G$2:G$37,"",0,1)),_xlfn.XLOOKUP($C237,Phone_by_Sentiment!$B$2:$B$37,Phone_by_Sentiment!G$2:G$37,"",0,1),0),$A237-TEXT(DATEVALUE($D237&amp;"-01"), "dd-mm-yyyy")),0),0)</f>
        <v>0</v>
      </c>
      <c r="H237" cm="1">
        <f t="array" ref="H237">IF($Q237&gt;=0,IFERROR(generateSalesData($D237, IF(ISNUMBER(_xlfn.XLOOKUP($C237,Phone_by_Sentiment!$B$2:$B$37,Phone_by_Sentiment!H$2:H$37,"",0,1)),_xlfn.XLOOKUP($C237,Phone_by_Sentiment!$B$2:$B$37,Phone_by_Sentiment!H$2:H$37,"",0,1),0),$A237-TEXT(DATEVALUE($D237&amp;"-01"), "dd-mm-yyyy")),0),0)</f>
        <v>0</v>
      </c>
      <c r="I237" cm="1">
        <f t="array" ref="I237">IF($Q237&gt;=0,IFERROR(generateSalesData($D237, IF(ISNUMBER(_xlfn.XLOOKUP($C237,Phone_by_Sentiment!$B$2:$B$37,Phone_by_Sentiment!I$2:I$37,"",0,1)),_xlfn.XLOOKUP($C237,Phone_by_Sentiment!$B$2:$B$37,Phone_by_Sentiment!I$2:I$37,"",0,1),0),$A237-TEXT(DATEVALUE($D237&amp;"-01"), "dd-mm-yyyy")),0),0)</f>
        <v>0</v>
      </c>
      <c r="J237" cm="1">
        <f t="array" ref="J237">IF($Q237&gt;=0,IFERROR(generateSalesData($D237, IF(ISNUMBER(_xlfn.XLOOKUP($C237,Phone_by_Sentiment!$B$2:$B$37,Phone_by_Sentiment!J$2:J$37,"",0,1)),_xlfn.XLOOKUP($C237,Phone_by_Sentiment!$B$2:$B$37,Phone_by_Sentiment!J$2:J$37,"",0,1),0),$A237-TEXT(DATEVALUE($D237&amp;"-01"), "dd-mm-yyyy")),0),0)</f>
        <v>0</v>
      </c>
      <c r="K237" cm="1">
        <f t="array" ref="K237">IF($Q237&gt;=0,IFERROR(generateSalesData($D237, IF(ISNUMBER(_xlfn.XLOOKUP($C237,Phone_by_Sentiment!$B$2:$B$37,Phone_by_Sentiment!K$2:K$37,"",0,1)),_xlfn.XLOOKUP($C237,Phone_by_Sentiment!$B$2:$B$37,Phone_by_Sentiment!K$2:K$37,"",0,1),0),$A237-TEXT(DATEVALUE($D237&amp;"-01"), "dd-mm-yyyy")),0),0)</f>
        <v>0</v>
      </c>
      <c r="L237" cm="1">
        <f t="array" ref="L237">IF($Q237&gt;=0,IFERROR(generateSalesData($D237, IF(ISNUMBER(_xlfn.XLOOKUP($C237,Phone_by_Sentiment!$B$2:$B$37,Phone_by_Sentiment!L$2:L$37,"",0,1)),_xlfn.XLOOKUP($C237,Phone_by_Sentiment!$B$2:$B$37,Phone_by_Sentiment!L$2:L$37,"",0,1),0),$A237-TEXT(DATEVALUE($D237&amp;"-01"), "dd-mm-yyyy")),0),0)</f>
        <v>0</v>
      </c>
      <c r="M237" cm="1">
        <f t="array" ref="M237">IF($Q237&gt;=0,IFERROR(generateSalesData($D237, IF(ISNUMBER(_xlfn.XLOOKUP($C237,Phone_by_Sentiment!$B$2:$B$37,Phone_by_Sentiment!M$2:M$37,"",0,1)),_xlfn.XLOOKUP($C237,Phone_by_Sentiment!$B$2:$B$37,Phone_by_Sentiment!M$2:M$37,"",0,1),0),$A237-TEXT(DATEVALUE($D237&amp;"-01"), "dd-mm-yyyy")),0),0)</f>
        <v>0</v>
      </c>
      <c r="N237" cm="1">
        <f t="array" ref="N237">IF($Q237&gt;=0,IFERROR(generateSalesData($D237, IF(ISNUMBER(_xlfn.XLOOKUP($C237,Phone_by_Sentiment!$B$2:$B$37,Phone_by_Sentiment!N$2:N$37,"",0,1)),_xlfn.XLOOKUP($C237,Phone_by_Sentiment!$B$2:$B$37,Phone_by_Sentiment!N$2:N$37,"",0,1),0),$A237-TEXT(DATEVALUE($D237&amp;"-01"), "dd-mm-yyyy")),0),0)</f>
        <v>0</v>
      </c>
      <c r="O237" cm="1">
        <f t="array" ref="O237">IF($Q237&gt;=0,IFERROR(generateSalesData($D237, IF(ISNUMBER(_xlfn.XLOOKUP($C237,Phone_by_Sentiment!$B$2:$B$37,Phone_by_Sentiment!O$2:O$37,"",0,1)),_xlfn.XLOOKUP($C237,Phone_by_Sentiment!$B$2:$B$37,Phone_by_Sentiment!O$2:O$37,"",0,1),0),$A237-TEXT(DATEVALUE($D237&amp;"-01"), "dd-mm-yyyy")),0),0)</f>
        <v>0</v>
      </c>
      <c r="P237" s="1">
        <f t="shared" si="7"/>
        <v>44287</v>
      </c>
      <c r="Q237">
        <f t="shared" si="8"/>
        <v>-640</v>
      </c>
    </row>
    <row r="238" spans="1:17" x14ac:dyDescent="0.25">
      <c r="A238" s="1">
        <f t="shared" si="0"/>
        <v>43647</v>
      </c>
      <c r="B238" t="s">
        <v>146</v>
      </c>
      <c r="C238" t="str">
        <f>_xlfn.XLOOKUP(B238,Phone_by_Price!$A$2:$A$34,Phone_by_Price!$B$2:$B$34,"-",0,1)</f>
        <v>Vivo Y20</v>
      </c>
      <c r="D238" t="str">
        <f>_xlfn.XLOOKUP(C238,Phone_by_Sentiment!$B$2:$B$37,Phone_by_Sentiment!$A$2:$A$37,"-",0,1)</f>
        <v>2020-09</v>
      </c>
      <c r="E238" cm="1">
        <f t="array" ref="E238">IF($Q238&gt;=0,IFERROR(generateSalesData($D238, IF(ISNUMBER(_xlfn.XLOOKUP($C238,Phone_by_Sentiment!$B$2:$B$37,Phone_by_Sentiment!E$2:E$37,"",0,1)),_xlfn.XLOOKUP($C238,Phone_by_Sentiment!$B$2:$B$37,Phone_by_Sentiment!E$2:E$37,"",0,1),0),$A238-TEXT(DATEVALUE($D238&amp;"-01"), "dd-mm-yyyy")),0),0)</f>
        <v>0</v>
      </c>
      <c r="F238" cm="1">
        <f t="array" ref="F238">IF($Q238&gt;=0,IFERROR(generateSalesData($D238, IF(ISNUMBER(_xlfn.XLOOKUP($C238,Phone_by_Sentiment!$B$2:$B$37,Phone_by_Sentiment!F$2:F$37,"",0,1)),_xlfn.XLOOKUP($C238,Phone_by_Sentiment!$B$2:$B$37,Phone_by_Sentiment!F$2:F$37,"",0,1),0),$A238-TEXT(DATEVALUE($D238&amp;"-01"), "dd-mm-yyyy")),0),0)</f>
        <v>0</v>
      </c>
      <c r="G238" cm="1">
        <f t="array" ref="G238">IF($Q238&gt;=0,IFERROR(generateSalesData($D238, IF(ISNUMBER(_xlfn.XLOOKUP($C238,Phone_by_Sentiment!$B$2:$B$37,Phone_by_Sentiment!G$2:G$37,"",0,1)),_xlfn.XLOOKUP($C238,Phone_by_Sentiment!$B$2:$B$37,Phone_by_Sentiment!G$2:G$37,"",0,1),0),$A238-TEXT(DATEVALUE($D238&amp;"-01"), "dd-mm-yyyy")),0),0)</f>
        <v>0</v>
      </c>
      <c r="H238" cm="1">
        <f t="array" ref="H238">IF($Q238&gt;=0,IFERROR(generateSalesData($D238, IF(ISNUMBER(_xlfn.XLOOKUP($C238,Phone_by_Sentiment!$B$2:$B$37,Phone_by_Sentiment!H$2:H$37,"",0,1)),_xlfn.XLOOKUP($C238,Phone_by_Sentiment!$B$2:$B$37,Phone_by_Sentiment!H$2:H$37,"",0,1),0),$A238-TEXT(DATEVALUE($D238&amp;"-01"), "dd-mm-yyyy")),0),0)</f>
        <v>0</v>
      </c>
      <c r="I238" cm="1">
        <f t="array" ref="I238">IF($Q238&gt;=0,IFERROR(generateSalesData($D238, IF(ISNUMBER(_xlfn.XLOOKUP($C238,Phone_by_Sentiment!$B$2:$B$37,Phone_by_Sentiment!I$2:I$37,"",0,1)),_xlfn.XLOOKUP($C238,Phone_by_Sentiment!$B$2:$B$37,Phone_by_Sentiment!I$2:I$37,"",0,1),0),$A238-TEXT(DATEVALUE($D238&amp;"-01"), "dd-mm-yyyy")),0),0)</f>
        <v>0</v>
      </c>
      <c r="J238" cm="1">
        <f t="array" ref="J238">IF($Q238&gt;=0,IFERROR(generateSalesData($D238, IF(ISNUMBER(_xlfn.XLOOKUP($C238,Phone_by_Sentiment!$B$2:$B$37,Phone_by_Sentiment!J$2:J$37,"",0,1)),_xlfn.XLOOKUP($C238,Phone_by_Sentiment!$B$2:$B$37,Phone_by_Sentiment!J$2:J$37,"",0,1),0),$A238-TEXT(DATEVALUE($D238&amp;"-01"), "dd-mm-yyyy")),0),0)</f>
        <v>0</v>
      </c>
      <c r="K238" cm="1">
        <f t="array" ref="K238">IF($Q238&gt;=0,IFERROR(generateSalesData($D238, IF(ISNUMBER(_xlfn.XLOOKUP($C238,Phone_by_Sentiment!$B$2:$B$37,Phone_by_Sentiment!K$2:K$37,"",0,1)),_xlfn.XLOOKUP($C238,Phone_by_Sentiment!$B$2:$B$37,Phone_by_Sentiment!K$2:K$37,"",0,1),0),$A238-TEXT(DATEVALUE($D238&amp;"-01"), "dd-mm-yyyy")),0),0)</f>
        <v>0</v>
      </c>
      <c r="L238" cm="1">
        <f t="array" ref="L238">IF($Q238&gt;=0,IFERROR(generateSalesData($D238, IF(ISNUMBER(_xlfn.XLOOKUP($C238,Phone_by_Sentiment!$B$2:$B$37,Phone_by_Sentiment!L$2:L$37,"",0,1)),_xlfn.XLOOKUP($C238,Phone_by_Sentiment!$B$2:$B$37,Phone_by_Sentiment!L$2:L$37,"",0,1),0),$A238-TEXT(DATEVALUE($D238&amp;"-01"), "dd-mm-yyyy")),0),0)</f>
        <v>0</v>
      </c>
      <c r="M238" cm="1">
        <f t="array" ref="M238">IF($Q238&gt;=0,IFERROR(generateSalesData($D238, IF(ISNUMBER(_xlfn.XLOOKUP($C238,Phone_by_Sentiment!$B$2:$B$37,Phone_by_Sentiment!M$2:M$37,"",0,1)),_xlfn.XLOOKUP($C238,Phone_by_Sentiment!$B$2:$B$37,Phone_by_Sentiment!M$2:M$37,"",0,1),0),$A238-TEXT(DATEVALUE($D238&amp;"-01"), "dd-mm-yyyy")),0),0)</f>
        <v>0</v>
      </c>
      <c r="N238" cm="1">
        <f t="array" ref="N238">IF($Q238&gt;=0,IFERROR(generateSalesData($D238, IF(ISNUMBER(_xlfn.XLOOKUP($C238,Phone_by_Sentiment!$B$2:$B$37,Phone_by_Sentiment!N$2:N$37,"",0,1)),_xlfn.XLOOKUP($C238,Phone_by_Sentiment!$B$2:$B$37,Phone_by_Sentiment!N$2:N$37,"",0,1),0),$A238-TEXT(DATEVALUE($D238&amp;"-01"), "dd-mm-yyyy")),0),0)</f>
        <v>0</v>
      </c>
      <c r="O238" cm="1">
        <f t="array" ref="O238">IF($Q238&gt;=0,IFERROR(generateSalesData($D238, IF(ISNUMBER(_xlfn.XLOOKUP($C238,Phone_by_Sentiment!$B$2:$B$37,Phone_by_Sentiment!O$2:O$37,"",0,1)),_xlfn.XLOOKUP($C238,Phone_by_Sentiment!$B$2:$B$37,Phone_by_Sentiment!O$2:O$37,"",0,1),0),$A238-TEXT(DATEVALUE($D238&amp;"-01"), "dd-mm-yyyy")),0),0)</f>
        <v>0</v>
      </c>
      <c r="P238" s="1">
        <f t="shared" si="7"/>
        <v>44075</v>
      </c>
      <c r="Q238">
        <f t="shared" si="8"/>
        <v>-428</v>
      </c>
    </row>
    <row r="239" spans="1:17" x14ac:dyDescent="0.25">
      <c r="A239" s="1">
        <f t="shared" si="0"/>
        <v>43647</v>
      </c>
      <c r="B239" t="s">
        <v>147</v>
      </c>
      <c r="C239" t="str">
        <f>_xlfn.XLOOKUP(B239,Phone_by_Price!$A$2:$A$34,Phone_by_Price!$B$2:$B$34,"-",0,1)</f>
        <v>Huawei Y9a</v>
      </c>
      <c r="D239" t="str">
        <f>_xlfn.XLOOKUP(C239,Phone_by_Sentiment!$B$2:$B$37,Phone_by_Sentiment!$A$2:$A$37,"-",0,1)</f>
        <v>2020-02</v>
      </c>
      <c r="E239" cm="1">
        <f t="array" ref="E239">IF($Q239&gt;=0,IFERROR(generateSalesData($D239, IF(ISNUMBER(_xlfn.XLOOKUP($C239,Phone_by_Sentiment!$B$2:$B$37,Phone_by_Sentiment!E$2:E$37,"",0,1)),_xlfn.XLOOKUP($C239,Phone_by_Sentiment!$B$2:$B$37,Phone_by_Sentiment!E$2:E$37,"",0,1),0),$A239-TEXT(DATEVALUE($D239&amp;"-01"), "dd-mm-yyyy")),0),0)</f>
        <v>0</v>
      </c>
      <c r="F239" cm="1">
        <f t="array" ref="F239">IF($Q239&gt;=0,IFERROR(generateSalesData($D239, IF(ISNUMBER(_xlfn.XLOOKUP($C239,Phone_by_Sentiment!$B$2:$B$37,Phone_by_Sentiment!F$2:F$37,"",0,1)),_xlfn.XLOOKUP($C239,Phone_by_Sentiment!$B$2:$B$37,Phone_by_Sentiment!F$2:F$37,"",0,1),0),$A239-TEXT(DATEVALUE($D239&amp;"-01"), "dd-mm-yyyy")),0),0)</f>
        <v>0</v>
      </c>
      <c r="G239" cm="1">
        <f t="array" ref="G239">IF($Q239&gt;=0,IFERROR(generateSalesData($D239, IF(ISNUMBER(_xlfn.XLOOKUP($C239,Phone_by_Sentiment!$B$2:$B$37,Phone_by_Sentiment!G$2:G$37,"",0,1)),_xlfn.XLOOKUP($C239,Phone_by_Sentiment!$B$2:$B$37,Phone_by_Sentiment!G$2:G$37,"",0,1),0),$A239-TEXT(DATEVALUE($D239&amp;"-01"), "dd-mm-yyyy")),0),0)</f>
        <v>0</v>
      </c>
      <c r="H239" cm="1">
        <f t="array" ref="H239">IF($Q239&gt;=0,IFERROR(generateSalesData($D239, IF(ISNUMBER(_xlfn.XLOOKUP($C239,Phone_by_Sentiment!$B$2:$B$37,Phone_by_Sentiment!H$2:H$37,"",0,1)),_xlfn.XLOOKUP($C239,Phone_by_Sentiment!$B$2:$B$37,Phone_by_Sentiment!H$2:H$37,"",0,1),0),$A239-TEXT(DATEVALUE($D239&amp;"-01"), "dd-mm-yyyy")),0),0)</f>
        <v>0</v>
      </c>
      <c r="I239" cm="1">
        <f t="array" ref="I239">IF($Q239&gt;=0,IFERROR(generateSalesData($D239, IF(ISNUMBER(_xlfn.XLOOKUP($C239,Phone_by_Sentiment!$B$2:$B$37,Phone_by_Sentiment!I$2:I$37,"",0,1)),_xlfn.XLOOKUP($C239,Phone_by_Sentiment!$B$2:$B$37,Phone_by_Sentiment!I$2:I$37,"",0,1),0),$A239-TEXT(DATEVALUE($D239&amp;"-01"), "dd-mm-yyyy")),0),0)</f>
        <v>0</v>
      </c>
      <c r="J239" cm="1">
        <f t="array" ref="J239">IF($Q239&gt;=0,IFERROR(generateSalesData($D239, IF(ISNUMBER(_xlfn.XLOOKUP($C239,Phone_by_Sentiment!$B$2:$B$37,Phone_by_Sentiment!J$2:J$37,"",0,1)),_xlfn.XLOOKUP($C239,Phone_by_Sentiment!$B$2:$B$37,Phone_by_Sentiment!J$2:J$37,"",0,1),0),$A239-TEXT(DATEVALUE($D239&amp;"-01"), "dd-mm-yyyy")),0),0)</f>
        <v>0</v>
      </c>
      <c r="K239" cm="1">
        <f t="array" ref="K239">IF($Q239&gt;=0,IFERROR(generateSalesData($D239, IF(ISNUMBER(_xlfn.XLOOKUP($C239,Phone_by_Sentiment!$B$2:$B$37,Phone_by_Sentiment!K$2:K$37,"",0,1)),_xlfn.XLOOKUP($C239,Phone_by_Sentiment!$B$2:$B$37,Phone_by_Sentiment!K$2:K$37,"",0,1),0),$A239-TEXT(DATEVALUE($D239&amp;"-01"), "dd-mm-yyyy")),0),0)</f>
        <v>0</v>
      </c>
      <c r="L239" cm="1">
        <f t="array" ref="L239">IF($Q239&gt;=0,IFERROR(generateSalesData($D239, IF(ISNUMBER(_xlfn.XLOOKUP($C239,Phone_by_Sentiment!$B$2:$B$37,Phone_by_Sentiment!L$2:L$37,"",0,1)),_xlfn.XLOOKUP($C239,Phone_by_Sentiment!$B$2:$B$37,Phone_by_Sentiment!L$2:L$37,"",0,1),0),$A239-TEXT(DATEVALUE($D239&amp;"-01"), "dd-mm-yyyy")),0),0)</f>
        <v>0</v>
      </c>
      <c r="M239" cm="1">
        <f t="array" ref="M239">IF($Q239&gt;=0,IFERROR(generateSalesData($D239, IF(ISNUMBER(_xlfn.XLOOKUP($C239,Phone_by_Sentiment!$B$2:$B$37,Phone_by_Sentiment!M$2:M$37,"",0,1)),_xlfn.XLOOKUP($C239,Phone_by_Sentiment!$B$2:$B$37,Phone_by_Sentiment!M$2:M$37,"",0,1),0),$A239-TEXT(DATEVALUE($D239&amp;"-01"), "dd-mm-yyyy")),0),0)</f>
        <v>0</v>
      </c>
      <c r="N239" cm="1">
        <f t="array" ref="N239">IF($Q239&gt;=0,IFERROR(generateSalesData($D239, IF(ISNUMBER(_xlfn.XLOOKUP($C239,Phone_by_Sentiment!$B$2:$B$37,Phone_by_Sentiment!N$2:N$37,"",0,1)),_xlfn.XLOOKUP($C239,Phone_by_Sentiment!$B$2:$B$37,Phone_by_Sentiment!N$2:N$37,"",0,1),0),$A239-TEXT(DATEVALUE($D239&amp;"-01"), "dd-mm-yyyy")),0),0)</f>
        <v>0</v>
      </c>
      <c r="O239" cm="1">
        <f t="array" ref="O239">IF($Q239&gt;=0,IFERROR(generateSalesData($D239, IF(ISNUMBER(_xlfn.XLOOKUP($C239,Phone_by_Sentiment!$B$2:$B$37,Phone_by_Sentiment!O$2:O$37,"",0,1)),_xlfn.XLOOKUP($C239,Phone_by_Sentiment!$B$2:$B$37,Phone_by_Sentiment!O$2:O$37,"",0,1),0),$A239-TEXT(DATEVALUE($D239&amp;"-01"), "dd-mm-yyyy")),0),0)</f>
        <v>0</v>
      </c>
      <c r="P239" s="1">
        <f t="shared" si="7"/>
        <v>43862</v>
      </c>
      <c r="Q239">
        <f t="shared" si="8"/>
        <v>-215</v>
      </c>
    </row>
    <row r="240" spans="1:17" x14ac:dyDescent="0.25">
      <c r="A240" s="1">
        <f t="shared" si="0"/>
        <v>43647</v>
      </c>
      <c r="B240" t="s">
        <v>148</v>
      </c>
      <c r="C240" t="str">
        <f>_xlfn.XLOOKUP(B240,Phone_by_Price!$A$2:$A$34,Phone_by_Price!$B$2:$B$34,"-",0,1)</f>
        <v>Xiaomi Redmi 10</v>
      </c>
      <c r="D240" t="str">
        <f>_xlfn.XLOOKUP(C240,Phone_by_Sentiment!$B$2:$B$37,Phone_by_Sentiment!$A$2:$A$37,"-",0,1)</f>
        <v>2021-03</v>
      </c>
      <c r="E240" cm="1">
        <f t="array" ref="E240">IF($Q240&gt;=0,IFERROR(generateSalesData($D240, IF(ISNUMBER(_xlfn.XLOOKUP($C240,Phone_by_Sentiment!$B$2:$B$37,Phone_by_Sentiment!E$2:E$37,"",0,1)),_xlfn.XLOOKUP($C240,Phone_by_Sentiment!$B$2:$B$37,Phone_by_Sentiment!E$2:E$37,"",0,1),0),$A240-TEXT(DATEVALUE($D240&amp;"-01"), "dd-mm-yyyy")),0),0)</f>
        <v>0</v>
      </c>
      <c r="F240" cm="1">
        <f t="array" ref="F240">IF($Q240&gt;=0,IFERROR(generateSalesData($D240, IF(ISNUMBER(_xlfn.XLOOKUP($C240,Phone_by_Sentiment!$B$2:$B$37,Phone_by_Sentiment!F$2:F$37,"",0,1)),_xlfn.XLOOKUP($C240,Phone_by_Sentiment!$B$2:$B$37,Phone_by_Sentiment!F$2:F$37,"",0,1),0),$A240-TEXT(DATEVALUE($D240&amp;"-01"), "dd-mm-yyyy")),0),0)</f>
        <v>0</v>
      </c>
      <c r="G240" cm="1">
        <f t="array" ref="G240">IF($Q240&gt;=0,IFERROR(generateSalesData($D240, IF(ISNUMBER(_xlfn.XLOOKUP($C240,Phone_by_Sentiment!$B$2:$B$37,Phone_by_Sentiment!G$2:G$37,"",0,1)),_xlfn.XLOOKUP($C240,Phone_by_Sentiment!$B$2:$B$37,Phone_by_Sentiment!G$2:G$37,"",0,1),0),$A240-TEXT(DATEVALUE($D240&amp;"-01"), "dd-mm-yyyy")),0),0)</f>
        <v>0</v>
      </c>
      <c r="H240" cm="1">
        <f t="array" ref="H240">IF($Q240&gt;=0,IFERROR(generateSalesData($D240, IF(ISNUMBER(_xlfn.XLOOKUP($C240,Phone_by_Sentiment!$B$2:$B$37,Phone_by_Sentiment!H$2:H$37,"",0,1)),_xlfn.XLOOKUP($C240,Phone_by_Sentiment!$B$2:$B$37,Phone_by_Sentiment!H$2:H$37,"",0,1),0),$A240-TEXT(DATEVALUE($D240&amp;"-01"), "dd-mm-yyyy")),0),0)</f>
        <v>0</v>
      </c>
      <c r="I240" cm="1">
        <f t="array" ref="I240">IF($Q240&gt;=0,IFERROR(generateSalesData($D240, IF(ISNUMBER(_xlfn.XLOOKUP($C240,Phone_by_Sentiment!$B$2:$B$37,Phone_by_Sentiment!I$2:I$37,"",0,1)),_xlfn.XLOOKUP($C240,Phone_by_Sentiment!$B$2:$B$37,Phone_by_Sentiment!I$2:I$37,"",0,1),0),$A240-TEXT(DATEVALUE($D240&amp;"-01"), "dd-mm-yyyy")),0),0)</f>
        <v>0</v>
      </c>
      <c r="J240" cm="1">
        <f t="array" ref="J240">IF($Q240&gt;=0,IFERROR(generateSalesData($D240, IF(ISNUMBER(_xlfn.XLOOKUP($C240,Phone_by_Sentiment!$B$2:$B$37,Phone_by_Sentiment!J$2:J$37,"",0,1)),_xlfn.XLOOKUP($C240,Phone_by_Sentiment!$B$2:$B$37,Phone_by_Sentiment!J$2:J$37,"",0,1),0),$A240-TEXT(DATEVALUE($D240&amp;"-01"), "dd-mm-yyyy")),0),0)</f>
        <v>0</v>
      </c>
      <c r="K240" cm="1">
        <f t="array" ref="K240">IF($Q240&gt;=0,IFERROR(generateSalesData($D240, IF(ISNUMBER(_xlfn.XLOOKUP($C240,Phone_by_Sentiment!$B$2:$B$37,Phone_by_Sentiment!K$2:K$37,"",0,1)),_xlfn.XLOOKUP($C240,Phone_by_Sentiment!$B$2:$B$37,Phone_by_Sentiment!K$2:K$37,"",0,1),0),$A240-TEXT(DATEVALUE($D240&amp;"-01"), "dd-mm-yyyy")),0),0)</f>
        <v>0</v>
      </c>
      <c r="L240" cm="1">
        <f t="array" ref="L240">IF($Q240&gt;=0,IFERROR(generateSalesData($D240, IF(ISNUMBER(_xlfn.XLOOKUP($C240,Phone_by_Sentiment!$B$2:$B$37,Phone_by_Sentiment!L$2:L$37,"",0,1)),_xlfn.XLOOKUP($C240,Phone_by_Sentiment!$B$2:$B$37,Phone_by_Sentiment!L$2:L$37,"",0,1),0),$A240-TEXT(DATEVALUE($D240&amp;"-01"), "dd-mm-yyyy")),0),0)</f>
        <v>0</v>
      </c>
      <c r="M240" cm="1">
        <f t="array" ref="M240">IF($Q240&gt;=0,IFERROR(generateSalesData($D240, IF(ISNUMBER(_xlfn.XLOOKUP($C240,Phone_by_Sentiment!$B$2:$B$37,Phone_by_Sentiment!M$2:M$37,"",0,1)),_xlfn.XLOOKUP($C240,Phone_by_Sentiment!$B$2:$B$37,Phone_by_Sentiment!M$2:M$37,"",0,1),0),$A240-TEXT(DATEVALUE($D240&amp;"-01"), "dd-mm-yyyy")),0),0)</f>
        <v>0</v>
      </c>
      <c r="N240" cm="1">
        <f t="array" ref="N240">IF($Q240&gt;=0,IFERROR(generateSalesData($D240, IF(ISNUMBER(_xlfn.XLOOKUP($C240,Phone_by_Sentiment!$B$2:$B$37,Phone_by_Sentiment!N$2:N$37,"",0,1)),_xlfn.XLOOKUP($C240,Phone_by_Sentiment!$B$2:$B$37,Phone_by_Sentiment!N$2:N$37,"",0,1),0),$A240-TEXT(DATEVALUE($D240&amp;"-01"), "dd-mm-yyyy")),0),0)</f>
        <v>0</v>
      </c>
      <c r="O240" cm="1">
        <f t="array" ref="O240">IF($Q240&gt;=0,IFERROR(generateSalesData($D240, IF(ISNUMBER(_xlfn.XLOOKUP($C240,Phone_by_Sentiment!$B$2:$B$37,Phone_by_Sentiment!O$2:O$37,"",0,1)),_xlfn.XLOOKUP($C240,Phone_by_Sentiment!$B$2:$B$37,Phone_by_Sentiment!O$2:O$37,"",0,1),0),$A240-TEXT(DATEVALUE($D240&amp;"-01"), "dd-mm-yyyy")),0),0)</f>
        <v>0</v>
      </c>
      <c r="P240" s="1">
        <f t="shared" si="7"/>
        <v>44256</v>
      </c>
      <c r="Q240">
        <f t="shared" si="8"/>
        <v>-609</v>
      </c>
    </row>
    <row r="241" spans="1:17" x14ac:dyDescent="0.25">
      <c r="A241" s="1">
        <f t="shared" si="0"/>
        <v>43647</v>
      </c>
      <c r="B241" t="s">
        <v>149</v>
      </c>
      <c r="C241" t="str">
        <f>_xlfn.XLOOKUP(B241,Phone_by_Price!$A$2:$A$34,Phone_by_Price!$B$2:$B$34,"-",0,1)</f>
        <v>Samsung Galaxy A52</v>
      </c>
      <c r="D241" t="str">
        <f>_xlfn.XLOOKUP(C241,Phone_by_Sentiment!$B$2:$B$37,Phone_by_Sentiment!$A$2:$A$37,"-",0,1)</f>
        <v>2021-03</v>
      </c>
      <c r="E241" cm="1">
        <f t="array" ref="E241">IF($Q241&gt;=0,IFERROR(generateSalesData($D241, IF(ISNUMBER(_xlfn.XLOOKUP($C241,Phone_by_Sentiment!$B$2:$B$37,Phone_by_Sentiment!E$2:E$37,"",0,1)),_xlfn.XLOOKUP($C241,Phone_by_Sentiment!$B$2:$B$37,Phone_by_Sentiment!E$2:E$37,"",0,1),0),$A241-TEXT(DATEVALUE($D241&amp;"-01"), "dd-mm-yyyy")),0),0)</f>
        <v>0</v>
      </c>
      <c r="F241" cm="1">
        <f t="array" ref="F241">IF($Q241&gt;=0,IFERROR(generateSalesData($D241, IF(ISNUMBER(_xlfn.XLOOKUP($C241,Phone_by_Sentiment!$B$2:$B$37,Phone_by_Sentiment!F$2:F$37,"",0,1)),_xlfn.XLOOKUP($C241,Phone_by_Sentiment!$B$2:$B$37,Phone_by_Sentiment!F$2:F$37,"",0,1),0),$A241-TEXT(DATEVALUE($D241&amp;"-01"), "dd-mm-yyyy")),0),0)</f>
        <v>0</v>
      </c>
      <c r="G241" cm="1">
        <f t="array" ref="G241">IF($Q241&gt;=0,IFERROR(generateSalesData($D241, IF(ISNUMBER(_xlfn.XLOOKUP($C241,Phone_by_Sentiment!$B$2:$B$37,Phone_by_Sentiment!G$2:G$37,"",0,1)),_xlfn.XLOOKUP($C241,Phone_by_Sentiment!$B$2:$B$37,Phone_by_Sentiment!G$2:G$37,"",0,1),0),$A241-TEXT(DATEVALUE($D241&amp;"-01"), "dd-mm-yyyy")),0),0)</f>
        <v>0</v>
      </c>
      <c r="H241" cm="1">
        <f t="array" ref="H241">IF($Q241&gt;=0,IFERROR(generateSalesData($D241, IF(ISNUMBER(_xlfn.XLOOKUP($C241,Phone_by_Sentiment!$B$2:$B$37,Phone_by_Sentiment!H$2:H$37,"",0,1)),_xlfn.XLOOKUP($C241,Phone_by_Sentiment!$B$2:$B$37,Phone_by_Sentiment!H$2:H$37,"",0,1),0),$A241-TEXT(DATEVALUE($D241&amp;"-01"), "dd-mm-yyyy")),0),0)</f>
        <v>0</v>
      </c>
      <c r="I241" cm="1">
        <f t="array" ref="I241">IF($Q241&gt;=0,IFERROR(generateSalesData($D241, IF(ISNUMBER(_xlfn.XLOOKUP($C241,Phone_by_Sentiment!$B$2:$B$37,Phone_by_Sentiment!I$2:I$37,"",0,1)),_xlfn.XLOOKUP($C241,Phone_by_Sentiment!$B$2:$B$37,Phone_by_Sentiment!I$2:I$37,"",0,1),0),$A241-TEXT(DATEVALUE($D241&amp;"-01"), "dd-mm-yyyy")),0),0)</f>
        <v>0</v>
      </c>
      <c r="J241" cm="1">
        <f t="array" ref="J241">IF($Q241&gt;=0,IFERROR(generateSalesData($D241, IF(ISNUMBER(_xlfn.XLOOKUP($C241,Phone_by_Sentiment!$B$2:$B$37,Phone_by_Sentiment!J$2:J$37,"",0,1)),_xlfn.XLOOKUP($C241,Phone_by_Sentiment!$B$2:$B$37,Phone_by_Sentiment!J$2:J$37,"",0,1),0),$A241-TEXT(DATEVALUE($D241&amp;"-01"), "dd-mm-yyyy")),0),0)</f>
        <v>0</v>
      </c>
      <c r="K241" cm="1">
        <f t="array" ref="K241">IF($Q241&gt;=0,IFERROR(generateSalesData($D241, IF(ISNUMBER(_xlfn.XLOOKUP($C241,Phone_by_Sentiment!$B$2:$B$37,Phone_by_Sentiment!K$2:K$37,"",0,1)),_xlfn.XLOOKUP($C241,Phone_by_Sentiment!$B$2:$B$37,Phone_by_Sentiment!K$2:K$37,"",0,1),0),$A241-TEXT(DATEVALUE($D241&amp;"-01"), "dd-mm-yyyy")),0),0)</f>
        <v>0</v>
      </c>
      <c r="L241" cm="1">
        <f t="array" ref="L241">IF($Q241&gt;=0,IFERROR(generateSalesData($D241, IF(ISNUMBER(_xlfn.XLOOKUP($C241,Phone_by_Sentiment!$B$2:$B$37,Phone_by_Sentiment!L$2:L$37,"",0,1)),_xlfn.XLOOKUP($C241,Phone_by_Sentiment!$B$2:$B$37,Phone_by_Sentiment!L$2:L$37,"",0,1),0),$A241-TEXT(DATEVALUE($D241&amp;"-01"), "dd-mm-yyyy")),0),0)</f>
        <v>0</v>
      </c>
      <c r="M241" cm="1">
        <f t="array" ref="M241">IF($Q241&gt;=0,IFERROR(generateSalesData($D241, IF(ISNUMBER(_xlfn.XLOOKUP($C241,Phone_by_Sentiment!$B$2:$B$37,Phone_by_Sentiment!M$2:M$37,"",0,1)),_xlfn.XLOOKUP($C241,Phone_by_Sentiment!$B$2:$B$37,Phone_by_Sentiment!M$2:M$37,"",0,1),0),$A241-TEXT(DATEVALUE($D241&amp;"-01"), "dd-mm-yyyy")),0),0)</f>
        <v>0</v>
      </c>
      <c r="N241" cm="1">
        <f t="array" ref="N241">IF($Q241&gt;=0,IFERROR(generateSalesData($D241, IF(ISNUMBER(_xlfn.XLOOKUP($C241,Phone_by_Sentiment!$B$2:$B$37,Phone_by_Sentiment!N$2:N$37,"",0,1)),_xlfn.XLOOKUP($C241,Phone_by_Sentiment!$B$2:$B$37,Phone_by_Sentiment!N$2:N$37,"",0,1),0),$A241-TEXT(DATEVALUE($D241&amp;"-01"), "dd-mm-yyyy")),0),0)</f>
        <v>0</v>
      </c>
      <c r="O241" cm="1">
        <f t="array" ref="O241">IF($Q241&gt;=0,IFERROR(generateSalesData($D241, IF(ISNUMBER(_xlfn.XLOOKUP($C241,Phone_by_Sentiment!$B$2:$B$37,Phone_by_Sentiment!O$2:O$37,"",0,1)),_xlfn.XLOOKUP($C241,Phone_by_Sentiment!$B$2:$B$37,Phone_by_Sentiment!O$2:O$37,"",0,1),0),$A241-TEXT(DATEVALUE($D241&amp;"-01"), "dd-mm-yyyy")),0),0)</f>
        <v>0</v>
      </c>
      <c r="P241" s="1">
        <f t="shared" si="7"/>
        <v>44256</v>
      </c>
      <c r="Q241">
        <f t="shared" si="8"/>
        <v>-609</v>
      </c>
    </row>
    <row r="242" spans="1:17" x14ac:dyDescent="0.25">
      <c r="A242" s="1">
        <f t="shared" si="0"/>
        <v>43647</v>
      </c>
      <c r="B242" t="s">
        <v>150</v>
      </c>
      <c r="C242" t="str">
        <f>_xlfn.XLOOKUP(B242,Phone_by_Price!$A$2:$A$34,Phone_by_Price!$B$2:$B$34,"-",0,1)</f>
        <v>Vivo Y33s</v>
      </c>
      <c r="D242" t="str">
        <f>_xlfn.XLOOKUP(C242,Phone_by_Sentiment!$B$2:$B$37,Phone_by_Sentiment!$A$2:$A$37,"-",0,1)</f>
        <v>2021-05</v>
      </c>
      <c r="E242" cm="1">
        <f t="array" ref="E242">IF($Q242&gt;=0,IFERROR(generateSalesData($D242, IF(ISNUMBER(_xlfn.XLOOKUP($C242,Phone_by_Sentiment!$B$2:$B$37,Phone_by_Sentiment!E$2:E$37,"",0,1)),_xlfn.XLOOKUP($C242,Phone_by_Sentiment!$B$2:$B$37,Phone_by_Sentiment!E$2:E$37,"",0,1),0),$A242-TEXT(DATEVALUE($D242&amp;"-01"), "dd-mm-yyyy")),0),0)</f>
        <v>0</v>
      </c>
      <c r="F242" cm="1">
        <f t="array" ref="F242">IF($Q242&gt;=0,IFERROR(generateSalesData($D242, IF(ISNUMBER(_xlfn.XLOOKUP($C242,Phone_by_Sentiment!$B$2:$B$37,Phone_by_Sentiment!F$2:F$37,"",0,1)),_xlfn.XLOOKUP($C242,Phone_by_Sentiment!$B$2:$B$37,Phone_by_Sentiment!F$2:F$37,"",0,1),0),$A242-TEXT(DATEVALUE($D242&amp;"-01"), "dd-mm-yyyy")),0),0)</f>
        <v>0</v>
      </c>
      <c r="G242" cm="1">
        <f t="array" ref="G242">IF($Q242&gt;=0,IFERROR(generateSalesData($D242, IF(ISNUMBER(_xlfn.XLOOKUP($C242,Phone_by_Sentiment!$B$2:$B$37,Phone_by_Sentiment!G$2:G$37,"",0,1)),_xlfn.XLOOKUP($C242,Phone_by_Sentiment!$B$2:$B$37,Phone_by_Sentiment!G$2:G$37,"",0,1),0),$A242-TEXT(DATEVALUE($D242&amp;"-01"), "dd-mm-yyyy")),0),0)</f>
        <v>0</v>
      </c>
      <c r="H242" cm="1">
        <f t="array" ref="H242">IF($Q242&gt;=0,IFERROR(generateSalesData($D242, IF(ISNUMBER(_xlfn.XLOOKUP($C242,Phone_by_Sentiment!$B$2:$B$37,Phone_by_Sentiment!H$2:H$37,"",0,1)),_xlfn.XLOOKUP($C242,Phone_by_Sentiment!$B$2:$B$37,Phone_by_Sentiment!H$2:H$37,"",0,1),0),$A242-TEXT(DATEVALUE($D242&amp;"-01"), "dd-mm-yyyy")),0),0)</f>
        <v>0</v>
      </c>
      <c r="I242" cm="1">
        <f t="array" ref="I242">IF($Q242&gt;=0,IFERROR(generateSalesData($D242, IF(ISNUMBER(_xlfn.XLOOKUP($C242,Phone_by_Sentiment!$B$2:$B$37,Phone_by_Sentiment!I$2:I$37,"",0,1)),_xlfn.XLOOKUP($C242,Phone_by_Sentiment!$B$2:$B$37,Phone_by_Sentiment!I$2:I$37,"",0,1),0),$A242-TEXT(DATEVALUE($D242&amp;"-01"), "dd-mm-yyyy")),0),0)</f>
        <v>0</v>
      </c>
      <c r="J242" cm="1">
        <f t="array" ref="J242">IF($Q242&gt;=0,IFERROR(generateSalesData($D242, IF(ISNUMBER(_xlfn.XLOOKUP($C242,Phone_by_Sentiment!$B$2:$B$37,Phone_by_Sentiment!J$2:J$37,"",0,1)),_xlfn.XLOOKUP($C242,Phone_by_Sentiment!$B$2:$B$37,Phone_by_Sentiment!J$2:J$37,"",0,1),0),$A242-TEXT(DATEVALUE($D242&amp;"-01"), "dd-mm-yyyy")),0),0)</f>
        <v>0</v>
      </c>
      <c r="K242" cm="1">
        <f t="array" ref="K242">IF($Q242&gt;=0,IFERROR(generateSalesData($D242, IF(ISNUMBER(_xlfn.XLOOKUP($C242,Phone_by_Sentiment!$B$2:$B$37,Phone_by_Sentiment!K$2:K$37,"",0,1)),_xlfn.XLOOKUP($C242,Phone_by_Sentiment!$B$2:$B$37,Phone_by_Sentiment!K$2:K$37,"",0,1),0),$A242-TEXT(DATEVALUE($D242&amp;"-01"), "dd-mm-yyyy")),0),0)</f>
        <v>0</v>
      </c>
      <c r="L242" cm="1">
        <f t="array" ref="L242">IF($Q242&gt;=0,IFERROR(generateSalesData($D242, IF(ISNUMBER(_xlfn.XLOOKUP($C242,Phone_by_Sentiment!$B$2:$B$37,Phone_by_Sentiment!L$2:L$37,"",0,1)),_xlfn.XLOOKUP($C242,Phone_by_Sentiment!$B$2:$B$37,Phone_by_Sentiment!L$2:L$37,"",0,1),0),$A242-TEXT(DATEVALUE($D242&amp;"-01"), "dd-mm-yyyy")),0),0)</f>
        <v>0</v>
      </c>
      <c r="M242" cm="1">
        <f t="array" ref="M242">IF($Q242&gt;=0,IFERROR(generateSalesData($D242, IF(ISNUMBER(_xlfn.XLOOKUP($C242,Phone_by_Sentiment!$B$2:$B$37,Phone_by_Sentiment!M$2:M$37,"",0,1)),_xlfn.XLOOKUP($C242,Phone_by_Sentiment!$B$2:$B$37,Phone_by_Sentiment!M$2:M$37,"",0,1),0),$A242-TEXT(DATEVALUE($D242&amp;"-01"), "dd-mm-yyyy")),0),0)</f>
        <v>0</v>
      </c>
      <c r="N242" cm="1">
        <f t="array" ref="N242">IF($Q242&gt;=0,IFERROR(generateSalesData($D242, IF(ISNUMBER(_xlfn.XLOOKUP($C242,Phone_by_Sentiment!$B$2:$B$37,Phone_by_Sentiment!N$2:N$37,"",0,1)),_xlfn.XLOOKUP($C242,Phone_by_Sentiment!$B$2:$B$37,Phone_by_Sentiment!N$2:N$37,"",0,1),0),$A242-TEXT(DATEVALUE($D242&amp;"-01"), "dd-mm-yyyy")),0),0)</f>
        <v>0</v>
      </c>
      <c r="O242" cm="1">
        <f t="array" ref="O242">IF($Q242&gt;=0,IFERROR(generateSalesData($D242, IF(ISNUMBER(_xlfn.XLOOKUP($C242,Phone_by_Sentiment!$B$2:$B$37,Phone_by_Sentiment!O$2:O$37,"",0,1)),_xlfn.XLOOKUP($C242,Phone_by_Sentiment!$B$2:$B$37,Phone_by_Sentiment!O$2:O$37,"",0,1),0),$A242-TEXT(DATEVALUE($D242&amp;"-01"), "dd-mm-yyyy")),0),0)</f>
        <v>0</v>
      </c>
      <c r="P242" s="1">
        <f t="shared" si="7"/>
        <v>44317</v>
      </c>
      <c r="Q242">
        <f t="shared" si="8"/>
        <v>-670</v>
      </c>
    </row>
    <row r="243" spans="1:17" x14ac:dyDescent="0.25">
      <c r="A243" s="1">
        <f t="shared" si="0"/>
        <v>43647</v>
      </c>
      <c r="B243" t="s">
        <v>151</v>
      </c>
      <c r="C243" t="str">
        <f>_xlfn.XLOOKUP(B243,Phone_by_Price!$A$2:$A$34,Phone_by_Price!$B$2:$B$34,"-",0,1)</f>
        <v>Vivo Y11s</v>
      </c>
      <c r="D243" t="str">
        <f>_xlfn.XLOOKUP(C243,Phone_by_Sentiment!$B$2:$B$37,Phone_by_Sentiment!$A$2:$A$37,"-",0,1)</f>
        <v>2020-11</v>
      </c>
      <c r="E243" cm="1">
        <f t="array" ref="E243">IF($Q243&gt;=0,IFERROR(generateSalesData($D243, IF(ISNUMBER(_xlfn.XLOOKUP($C243,Phone_by_Sentiment!$B$2:$B$37,Phone_by_Sentiment!E$2:E$37,"",0,1)),_xlfn.XLOOKUP($C243,Phone_by_Sentiment!$B$2:$B$37,Phone_by_Sentiment!E$2:E$37,"",0,1),0),$A243-TEXT(DATEVALUE($D243&amp;"-01"), "dd-mm-yyyy")),0),0)</f>
        <v>0</v>
      </c>
      <c r="F243" cm="1">
        <f t="array" ref="F243">IF($Q243&gt;=0,IFERROR(generateSalesData($D243, IF(ISNUMBER(_xlfn.XLOOKUP($C243,Phone_by_Sentiment!$B$2:$B$37,Phone_by_Sentiment!F$2:F$37,"",0,1)),_xlfn.XLOOKUP($C243,Phone_by_Sentiment!$B$2:$B$37,Phone_by_Sentiment!F$2:F$37,"",0,1),0),$A243-TEXT(DATEVALUE($D243&amp;"-01"), "dd-mm-yyyy")),0),0)</f>
        <v>0</v>
      </c>
      <c r="G243" cm="1">
        <f t="array" ref="G243">IF($Q243&gt;=0,IFERROR(generateSalesData($D243, IF(ISNUMBER(_xlfn.XLOOKUP($C243,Phone_by_Sentiment!$B$2:$B$37,Phone_by_Sentiment!G$2:G$37,"",0,1)),_xlfn.XLOOKUP($C243,Phone_by_Sentiment!$B$2:$B$37,Phone_by_Sentiment!G$2:G$37,"",0,1),0),$A243-TEXT(DATEVALUE($D243&amp;"-01"), "dd-mm-yyyy")),0),0)</f>
        <v>0</v>
      </c>
      <c r="H243" cm="1">
        <f t="array" ref="H243">IF($Q243&gt;=0,IFERROR(generateSalesData($D243, IF(ISNUMBER(_xlfn.XLOOKUP($C243,Phone_by_Sentiment!$B$2:$B$37,Phone_by_Sentiment!H$2:H$37,"",0,1)),_xlfn.XLOOKUP($C243,Phone_by_Sentiment!$B$2:$B$37,Phone_by_Sentiment!H$2:H$37,"",0,1),0),$A243-TEXT(DATEVALUE($D243&amp;"-01"), "dd-mm-yyyy")),0),0)</f>
        <v>0</v>
      </c>
      <c r="I243" cm="1">
        <f t="array" ref="I243">IF($Q243&gt;=0,IFERROR(generateSalesData($D243, IF(ISNUMBER(_xlfn.XLOOKUP($C243,Phone_by_Sentiment!$B$2:$B$37,Phone_by_Sentiment!I$2:I$37,"",0,1)),_xlfn.XLOOKUP($C243,Phone_by_Sentiment!$B$2:$B$37,Phone_by_Sentiment!I$2:I$37,"",0,1),0),$A243-TEXT(DATEVALUE($D243&amp;"-01"), "dd-mm-yyyy")),0),0)</f>
        <v>0</v>
      </c>
      <c r="J243" cm="1">
        <f t="array" ref="J243">IF($Q243&gt;=0,IFERROR(generateSalesData($D243, IF(ISNUMBER(_xlfn.XLOOKUP($C243,Phone_by_Sentiment!$B$2:$B$37,Phone_by_Sentiment!J$2:J$37,"",0,1)),_xlfn.XLOOKUP($C243,Phone_by_Sentiment!$B$2:$B$37,Phone_by_Sentiment!J$2:J$37,"",0,1),0),$A243-TEXT(DATEVALUE($D243&amp;"-01"), "dd-mm-yyyy")),0),0)</f>
        <v>0</v>
      </c>
      <c r="K243" cm="1">
        <f t="array" ref="K243">IF($Q243&gt;=0,IFERROR(generateSalesData($D243, IF(ISNUMBER(_xlfn.XLOOKUP($C243,Phone_by_Sentiment!$B$2:$B$37,Phone_by_Sentiment!K$2:K$37,"",0,1)),_xlfn.XLOOKUP($C243,Phone_by_Sentiment!$B$2:$B$37,Phone_by_Sentiment!K$2:K$37,"",0,1),0),$A243-TEXT(DATEVALUE($D243&amp;"-01"), "dd-mm-yyyy")),0),0)</f>
        <v>0</v>
      </c>
      <c r="L243" cm="1">
        <f t="array" ref="L243">IF($Q243&gt;=0,IFERROR(generateSalesData($D243, IF(ISNUMBER(_xlfn.XLOOKUP($C243,Phone_by_Sentiment!$B$2:$B$37,Phone_by_Sentiment!L$2:L$37,"",0,1)),_xlfn.XLOOKUP($C243,Phone_by_Sentiment!$B$2:$B$37,Phone_by_Sentiment!L$2:L$37,"",0,1),0),$A243-TEXT(DATEVALUE($D243&amp;"-01"), "dd-mm-yyyy")),0),0)</f>
        <v>0</v>
      </c>
      <c r="M243" cm="1">
        <f t="array" ref="M243">IF($Q243&gt;=0,IFERROR(generateSalesData($D243, IF(ISNUMBER(_xlfn.XLOOKUP($C243,Phone_by_Sentiment!$B$2:$B$37,Phone_by_Sentiment!M$2:M$37,"",0,1)),_xlfn.XLOOKUP($C243,Phone_by_Sentiment!$B$2:$B$37,Phone_by_Sentiment!M$2:M$37,"",0,1),0),$A243-TEXT(DATEVALUE($D243&amp;"-01"), "dd-mm-yyyy")),0),0)</f>
        <v>0</v>
      </c>
      <c r="N243" cm="1">
        <f t="array" ref="N243">IF($Q243&gt;=0,IFERROR(generateSalesData($D243, IF(ISNUMBER(_xlfn.XLOOKUP($C243,Phone_by_Sentiment!$B$2:$B$37,Phone_by_Sentiment!N$2:N$37,"",0,1)),_xlfn.XLOOKUP($C243,Phone_by_Sentiment!$B$2:$B$37,Phone_by_Sentiment!N$2:N$37,"",0,1),0),$A243-TEXT(DATEVALUE($D243&amp;"-01"), "dd-mm-yyyy")),0),0)</f>
        <v>0</v>
      </c>
      <c r="O243" cm="1">
        <f t="array" ref="O243">IF($Q243&gt;=0,IFERROR(generateSalesData($D243, IF(ISNUMBER(_xlfn.XLOOKUP($C243,Phone_by_Sentiment!$B$2:$B$37,Phone_by_Sentiment!O$2:O$37,"",0,1)),_xlfn.XLOOKUP($C243,Phone_by_Sentiment!$B$2:$B$37,Phone_by_Sentiment!O$2:O$37,"",0,1),0),$A243-TEXT(DATEVALUE($D243&amp;"-01"), "dd-mm-yyyy")),0),0)</f>
        <v>0</v>
      </c>
      <c r="P243" s="1">
        <f t="shared" si="7"/>
        <v>44136</v>
      </c>
      <c r="Q243">
        <f t="shared" si="8"/>
        <v>-489</v>
      </c>
    </row>
    <row r="244" spans="1:17" x14ac:dyDescent="0.25">
      <c r="A244" s="1">
        <f t="shared" si="0"/>
        <v>43647</v>
      </c>
      <c r="B244" t="s">
        <v>152</v>
      </c>
      <c r="C244" t="str">
        <f>_xlfn.XLOOKUP(B244,Phone_by_Price!$A$2:$A$34,Phone_by_Price!$B$2:$B$34,"-",0,1)</f>
        <v>Huawei Nova 7i</v>
      </c>
      <c r="D244" t="str">
        <f>_xlfn.XLOOKUP(C244,Phone_by_Sentiment!$B$2:$B$37,Phone_by_Sentiment!$A$2:$A$37,"-",0,1)</f>
        <v>2020-02</v>
      </c>
      <c r="E244" cm="1">
        <f t="array" ref="E244">IF($Q244&gt;=0,IFERROR(generateSalesData($D244, IF(ISNUMBER(_xlfn.XLOOKUP($C244,Phone_by_Sentiment!$B$2:$B$37,Phone_by_Sentiment!E$2:E$37,"",0,1)),_xlfn.XLOOKUP($C244,Phone_by_Sentiment!$B$2:$B$37,Phone_by_Sentiment!E$2:E$37,"",0,1),0),$A244-TEXT(DATEVALUE($D244&amp;"-01"), "dd-mm-yyyy")),0),0)</f>
        <v>0</v>
      </c>
      <c r="F244" cm="1">
        <f t="array" ref="F244">IF($Q244&gt;=0,IFERROR(generateSalesData($D244, IF(ISNUMBER(_xlfn.XLOOKUP($C244,Phone_by_Sentiment!$B$2:$B$37,Phone_by_Sentiment!F$2:F$37,"",0,1)),_xlfn.XLOOKUP($C244,Phone_by_Sentiment!$B$2:$B$37,Phone_by_Sentiment!F$2:F$37,"",0,1),0),$A244-TEXT(DATEVALUE($D244&amp;"-01"), "dd-mm-yyyy")),0),0)</f>
        <v>0</v>
      </c>
      <c r="G244" cm="1">
        <f t="array" ref="G244">IF($Q244&gt;=0,IFERROR(generateSalesData($D244, IF(ISNUMBER(_xlfn.XLOOKUP($C244,Phone_by_Sentiment!$B$2:$B$37,Phone_by_Sentiment!G$2:G$37,"",0,1)),_xlfn.XLOOKUP($C244,Phone_by_Sentiment!$B$2:$B$37,Phone_by_Sentiment!G$2:G$37,"",0,1),0),$A244-TEXT(DATEVALUE($D244&amp;"-01"), "dd-mm-yyyy")),0),0)</f>
        <v>0</v>
      </c>
      <c r="H244" cm="1">
        <f t="array" ref="H244">IF($Q244&gt;=0,IFERROR(generateSalesData($D244, IF(ISNUMBER(_xlfn.XLOOKUP($C244,Phone_by_Sentiment!$B$2:$B$37,Phone_by_Sentiment!H$2:H$37,"",0,1)),_xlfn.XLOOKUP($C244,Phone_by_Sentiment!$B$2:$B$37,Phone_by_Sentiment!H$2:H$37,"",0,1),0),$A244-TEXT(DATEVALUE($D244&amp;"-01"), "dd-mm-yyyy")),0),0)</f>
        <v>0</v>
      </c>
      <c r="I244" cm="1">
        <f t="array" ref="I244">IF($Q244&gt;=0,IFERROR(generateSalesData($D244, IF(ISNUMBER(_xlfn.XLOOKUP($C244,Phone_by_Sentiment!$B$2:$B$37,Phone_by_Sentiment!I$2:I$37,"",0,1)),_xlfn.XLOOKUP($C244,Phone_by_Sentiment!$B$2:$B$37,Phone_by_Sentiment!I$2:I$37,"",0,1),0),$A244-TEXT(DATEVALUE($D244&amp;"-01"), "dd-mm-yyyy")),0),0)</f>
        <v>0</v>
      </c>
      <c r="J244" cm="1">
        <f t="array" ref="J244">IF($Q244&gt;=0,IFERROR(generateSalesData($D244, IF(ISNUMBER(_xlfn.XLOOKUP($C244,Phone_by_Sentiment!$B$2:$B$37,Phone_by_Sentiment!J$2:J$37,"",0,1)),_xlfn.XLOOKUP($C244,Phone_by_Sentiment!$B$2:$B$37,Phone_by_Sentiment!J$2:J$37,"",0,1),0),$A244-TEXT(DATEVALUE($D244&amp;"-01"), "dd-mm-yyyy")),0),0)</f>
        <v>0</v>
      </c>
      <c r="K244" cm="1">
        <f t="array" ref="K244">IF($Q244&gt;=0,IFERROR(generateSalesData($D244, IF(ISNUMBER(_xlfn.XLOOKUP($C244,Phone_by_Sentiment!$B$2:$B$37,Phone_by_Sentiment!K$2:K$37,"",0,1)),_xlfn.XLOOKUP($C244,Phone_by_Sentiment!$B$2:$B$37,Phone_by_Sentiment!K$2:K$37,"",0,1),0),$A244-TEXT(DATEVALUE($D244&amp;"-01"), "dd-mm-yyyy")),0),0)</f>
        <v>0</v>
      </c>
      <c r="L244" cm="1">
        <f t="array" ref="L244">IF($Q244&gt;=0,IFERROR(generateSalesData($D244, IF(ISNUMBER(_xlfn.XLOOKUP($C244,Phone_by_Sentiment!$B$2:$B$37,Phone_by_Sentiment!L$2:L$37,"",0,1)),_xlfn.XLOOKUP($C244,Phone_by_Sentiment!$B$2:$B$37,Phone_by_Sentiment!L$2:L$37,"",0,1),0),$A244-TEXT(DATEVALUE($D244&amp;"-01"), "dd-mm-yyyy")),0),0)</f>
        <v>0</v>
      </c>
      <c r="M244" cm="1">
        <f t="array" ref="M244">IF($Q244&gt;=0,IFERROR(generateSalesData($D244, IF(ISNUMBER(_xlfn.XLOOKUP($C244,Phone_by_Sentiment!$B$2:$B$37,Phone_by_Sentiment!M$2:M$37,"",0,1)),_xlfn.XLOOKUP($C244,Phone_by_Sentiment!$B$2:$B$37,Phone_by_Sentiment!M$2:M$37,"",0,1),0),$A244-TEXT(DATEVALUE($D244&amp;"-01"), "dd-mm-yyyy")),0),0)</f>
        <v>0</v>
      </c>
      <c r="N244" cm="1">
        <f t="array" ref="N244">IF($Q244&gt;=0,IFERROR(generateSalesData($D244, IF(ISNUMBER(_xlfn.XLOOKUP($C244,Phone_by_Sentiment!$B$2:$B$37,Phone_by_Sentiment!N$2:N$37,"",0,1)),_xlfn.XLOOKUP($C244,Phone_by_Sentiment!$B$2:$B$37,Phone_by_Sentiment!N$2:N$37,"",0,1),0),$A244-TEXT(DATEVALUE($D244&amp;"-01"), "dd-mm-yyyy")),0),0)</f>
        <v>0</v>
      </c>
      <c r="O244" cm="1">
        <f t="array" ref="O244">IF($Q244&gt;=0,IFERROR(generateSalesData($D244, IF(ISNUMBER(_xlfn.XLOOKUP($C244,Phone_by_Sentiment!$B$2:$B$37,Phone_by_Sentiment!O$2:O$37,"",0,1)),_xlfn.XLOOKUP($C244,Phone_by_Sentiment!$B$2:$B$37,Phone_by_Sentiment!O$2:O$37,"",0,1),0),$A244-TEXT(DATEVALUE($D244&amp;"-01"), "dd-mm-yyyy")),0),0)</f>
        <v>0</v>
      </c>
      <c r="P244" s="1">
        <f t="shared" si="7"/>
        <v>43862</v>
      </c>
      <c r="Q244">
        <f t="shared" si="8"/>
        <v>-215</v>
      </c>
    </row>
    <row r="245" spans="1:17" x14ac:dyDescent="0.25">
      <c r="A245" s="1">
        <f t="shared" si="0"/>
        <v>43647</v>
      </c>
      <c r="B245" t="s">
        <v>153</v>
      </c>
      <c r="C245" t="str">
        <f>_xlfn.XLOOKUP(B245,Phone_by_Price!$A$2:$A$34,Phone_by_Price!$B$2:$B$34,"-",0,1)</f>
        <v>iPhone 13</v>
      </c>
      <c r="D245" t="str">
        <f>_xlfn.XLOOKUP(C245,Phone_by_Sentiment!$B$2:$B$37,Phone_by_Sentiment!$A$2:$A$37,"-",0,1)</f>
        <v>2021-09</v>
      </c>
      <c r="E245" cm="1">
        <f t="array" ref="E245">IF($Q245&gt;=0,IFERROR(generateSalesData($D245, IF(ISNUMBER(_xlfn.XLOOKUP($C245,Phone_by_Sentiment!$B$2:$B$37,Phone_by_Sentiment!E$2:E$37,"",0,1)),_xlfn.XLOOKUP($C245,Phone_by_Sentiment!$B$2:$B$37,Phone_by_Sentiment!E$2:E$37,"",0,1),0),$A245-TEXT(DATEVALUE($D245&amp;"-01"), "dd-mm-yyyy")),0),0)</f>
        <v>0</v>
      </c>
      <c r="F245" cm="1">
        <f t="array" ref="F245">IF($Q245&gt;=0,IFERROR(generateSalesData($D245, IF(ISNUMBER(_xlfn.XLOOKUP($C245,Phone_by_Sentiment!$B$2:$B$37,Phone_by_Sentiment!F$2:F$37,"",0,1)),_xlfn.XLOOKUP($C245,Phone_by_Sentiment!$B$2:$B$37,Phone_by_Sentiment!F$2:F$37,"",0,1),0),$A245-TEXT(DATEVALUE($D245&amp;"-01"), "dd-mm-yyyy")),0),0)</f>
        <v>0</v>
      </c>
      <c r="G245" cm="1">
        <f t="array" ref="G245">IF($Q245&gt;=0,IFERROR(generateSalesData($D245, IF(ISNUMBER(_xlfn.XLOOKUP($C245,Phone_by_Sentiment!$B$2:$B$37,Phone_by_Sentiment!G$2:G$37,"",0,1)),_xlfn.XLOOKUP($C245,Phone_by_Sentiment!$B$2:$B$37,Phone_by_Sentiment!G$2:G$37,"",0,1),0),$A245-TEXT(DATEVALUE($D245&amp;"-01"), "dd-mm-yyyy")),0),0)</f>
        <v>0</v>
      </c>
      <c r="H245" cm="1">
        <f t="array" ref="H245">IF($Q245&gt;=0,IFERROR(generateSalesData($D245, IF(ISNUMBER(_xlfn.XLOOKUP($C245,Phone_by_Sentiment!$B$2:$B$37,Phone_by_Sentiment!H$2:H$37,"",0,1)),_xlfn.XLOOKUP($C245,Phone_by_Sentiment!$B$2:$B$37,Phone_by_Sentiment!H$2:H$37,"",0,1),0),$A245-TEXT(DATEVALUE($D245&amp;"-01"), "dd-mm-yyyy")),0),0)</f>
        <v>0</v>
      </c>
      <c r="I245" cm="1">
        <f t="array" ref="I245">IF($Q245&gt;=0,IFERROR(generateSalesData($D245, IF(ISNUMBER(_xlfn.XLOOKUP($C245,Phone_by_Sentiment!$B$2:$B$37,Phone_by_Sentiment!I$2:I$37,"",0,1)),_xlfn.XLOOKUP($C245,Phone_by_Sentiment!$B$2:$B$37,Phone_by_Sentiment!I$2:I$37,"",0,1),0),$A245-TEXT(DATEVALUE($D245&amp;"-01"), "dd-mm-yyyy")),0),0)</f>
        <v>0</v>
      </c>
      <c r="J245" cm="1">
        <f t="array" ref="J245">IF($Q245&gt;=0,IFERROR(generateSalesData($D245, IF(ISNUMBER(_xlfn.XLOOKUP($C245,Phone_by_Sentiment!$B$2:$B$37,Phone_by_Sentiment!J$2:J$37,"",0,1)),_xlfn.XLOOKUP($C245,Phone_by_Sentiment!$B$2:$B$37,Phone_by_Sentiment!J$2:J$37,"",0,1),0),$A245-TEXT(DATEVALUE($D245&amp;"-01"), "dd-mm-yyyy")),0),0)</f>
        <v>0</v>
      </c>
      <c r="K245" cm="1">
        <f t="array" ref="K245">IF($Q245&gt;=0,IFERROR(generateSalesData($D245, IF(ISNUMBER(_xlfn.XLOOKUP($C245,Phone_by_Sentiment!$B$2:$B$37,Phone_by_Sentiment!K$2:K$37,"",0,1)),_xlfn.XLOOKUP($C245,Phone_by_Sentiment!$B$2:$B$37,Phone_by_Sentiment!K$2:K$37,"",0,1),0),$A245-TEXT(DATEVALUE($D245&amp;"-01"), "dd-mm-yyyy")),0),0)</f>
        <v>0</v>
      </c>
      <c r="L245" cm="1">
        <f t="array" ref="L245">IF($Q245&gt;=0,IFERROR(generateSalesData($D245, IF(ISNUMBER(_xlfn.XLOOKUP($C245,Phone_by_Sentiment!$B$2:$B$37,Phone_by_Sentiment!L$2:L$37,"",0,1)),_xlfn.XLOOKUP($C245,Phone_by_Sentiment!$B$2:$B$37,Phone_by_Sentiment!L$2:L$37,"",0,1),0),$A245-TEXT(DATEVALUE($D245&amp;"-01"), "dd-mm-yyyy")),0),0)</f>
        <v>0</v>
      </c>
      <c r="M245" cm="1">
        <f t="array" ref="M245">IF($Q245&gt;=0,IFERROR(generateSalesData($D245, IF(ISNUMBER(_xlfn.XLOOKUP($C245,Phone_by_Sentiment!$B$2:$B$37,Phone_by_Sentiment!M$2:M$37,"",0,1)),_xlfn.XLOOKUP($C245,Phone_by_Sentiment!$B$2:$B$37,Phone_by_Sentiment!M$2:M$37,"",0,1),0),$A245-TEXT(DATEVALUE($D245&amp;"-01"), "dd-mm-yyyy")),0),0)</f>
        <v>0</v>
      </c>
      <c r="N245" cm="1">
        <f t="array" ref="N245">IF($Q245&gt;=0,IFERROR(generateSalesData($D245, IF(ISNUMBER(_xlfn.XLOOKUP($C245,Phone_by_Sentiment!$B$2:$B$37,Phone_by_Sentiment!N$2:N$37,"",0,1)),_xlfn.XLOOKUP($C245,Phone_by_Sentiment!$B$2:$B$37,Phone_by_Sentiment!N$2:N$37,"",0,1),0),$A245-TEXT(DATEVALUE($D245&amp;"-01"), "dd-mm-yyyy")),0),0)</f>
        <v>0</v>
      </c>
      <c r="O245" cm="1">
        <f t="array" ref="O245">IF($Q245&gt;=0,IFERROR(generateSalesData($D245, IF(ISNUMBER(_xlfn.XLOOKUP($C245,Phone_by_Sentiment!$B$2:$B$37,Phone_by_Sentiment!O$2:O$37,"",0,1)),_xlfn.XLOOKUP($C245,Phone_by_Sentiment!$B$2:$B$37,Phone_by_Sentiment!O$2:O$37,"",0,1),0),$A245-TEXT(DATEVALUE($D245&amp;"-01"), "dd-mm-yyyy")),0),0)</f>
        <v>0</v>
      </c>
      <c r="P245" s="1">
        <f t="shared" si="7"/>
        <v>44440</v>
      </c>
      <c r="Q245">
        <f t="shared" si="8"/>
        <v>-793</v>
      </c>
    </row>
    <row r="246" spans="1:17" x14ac:dyDescent="0.25">
      <c r="A246" s="1">
        <f t="shared" si="0"/>
        <v>43678</v>
      </c>
      <c r="B246" t="s">
        <v>154</v>
      </c>
      <c r="C246" t="str">
        <f>_xlfn.XLOOKUP(B246,Phone_by_Price!$A$2:$A$34,Phone_by_Price!$B$2:$B$34,"-",0,1)</f>
        <v>Samsung Galaxy S21</v>
      </c>
      <c r="D246" t="str">
        <f>_xlfn.XLOOKUP(C246,Phone_by_Sentiment!$B$2:$B$37,Phone_by_Sentiment!$A$2:$A$37,"-",0,1)</f>
        <v>2021-01</v>
      </c>
      <c r="E246" cm="1">
        <f t="array" ref="E246">IF($Q246&gt;=0,IFERROR(generateSalesData($D246, IF(ISNUMBER(_xlfn.XLOOKUP($C246,Phone_by_Sentiment!$B$2:$B$37,Phone_by_Sentiment!E$2:E$37,"",0,1)),_xlfn.XLOOKUP($C246,Phone_by_Sentiment!$B$2:$B$37,Phone_by_Sentiment!E$2:E$37,"",0,1),0),$A246-TEXT(DATEVALUE($D246&amp;"-01"), "dd-mm-yyyy")),0),0)</f>
        <v>0</v>
      </c>
      <c r="F246" cm="1">
        <f t="array" ref="F246">IF($Q246&gt;=0,IFERROR(generateSalesData($D246, IF(ISNUMBER(_xlfn.XLOOKUP($C246,Phone_by_Sentiment!$B$2:$B$37,Phone_by_Sentiment!F$2:F$37,"",0,1)),_xlfn.XLOOKUP($C246,Phone_by_Sentiment!$B$2:$B$37,Phone_by_Sentiment!F$2:F$37,"",0,1),0),$A246-TEXT(DATEVALUE($D246&amp;"-01"), "dd-mm-yyyy")),0),0)</f>
        <v>0</v>
      </c>
      <c r="G246" cm="1">
        <f t="array" ref="G246">IF($Q246&gt;=0,IFERROR(generateSalesData($D246, IF(ISNUMBER(_xlfn.XLOOKUP($C246,Phone_by_Sentiment!$B$2:$B$37,Phone_by_Sentiment!G$2:G$37,"",0,1)),_xlfn.XLOOKUP($C246,Phone_by_Sentiment!$B$2:$B$37,Phone_by_Sentiment!G$2:G$37,"",0,1),0),$A246-TEXT(DATEVALUE($D246&amp;"-01"), "dd-mm-yyyy")),0),0)</f>
        <v>0</v>
      </c>
      <c r="H246" cm="1">
        <f t="array" ref="H246">IF($Q246&gt;=0,IFERROR(generateSalesData($D246, IF(ISNUMBER(_xlfn.XLOOKUP($C246,Phone_by_Sentiment!$B$2:$B$37,Phone_by_Sentiment!H$2:H$37,"",0,1)),_xlfn.XLOOKUP($C246,Phone_by_Sentiment!$B$2:$B$37,Phone_by_Sentiment!H$2:H$37,"",0,1),0),$A246-TEXT(DATEVALUE($D246&amp;"-01"), "dd-mm-yyyy")),0),0)</f>
        <v>0</v>
      </c>
      <c r="I246" cm="1">
        <f t="array" ref="I246">IF($Q246&gt;=0,IFERROR(generateSalesData($D246, IF(ISNUMBER(_xlfn.XLOOKUP($C246,Phone_by_Sentiment!$B$2:$B$37,Phone_by_Sentiment!I$2:I$37,"",0,1)),_xlfn.XLOOKUP($C246,Phone_by_Sentiment!$B$2:$B$37,Phone_by_Sentiment!I$2:I$37,"",0,1),0),$A246-TEXT(DATEVALUE($D246&amp;"-01"), "dd-mm-yyyy")),0),0)</f>
        <v>0</v>
      </c>
      <c r="J246" cm="1">
        <f t="array" ref="J246">IF($Q246&gt;=0,IFERROR(generateSalesData($D246, IF(ISNUMBER(_xlfn.XLOOKUP($C246,Phone_by_Sentiment!$B$2:$B$37,Phone_by_Sentiment!J$2:J$37,"",0,1)),_xlfn.XLOOKUP($C246,Phone_by_Sentiment!$B$2:$B$37,Phone_by_Sentiment!J$2:J$37,"",0,1),0),$A246-TEXT(DATEVALUE($D246&amp;"-01"), "dd-mm-yyyy")),0),0)</f>
        <v>0</v>
      </c>
      <c r="K246" cm="1">
        <f t="array" ref="K246">IF($Q246&gt;=0,IFERROR(generateSalesData($D246, IF(ISNUMBER(_xlfn.XLOOKUP($C246,Phone_by_Sentiment!$B$2:$B$37,Phone_by_Sentiment!K$2:K$37,"",0,1)),_xlfn.XLOOKUP($C246,Phone_by_Sentiment!$B$2:$B$37,Phone_by_Sentiment!K$2:K$37,"",0,1),0),$A246-TEXT(DATEVALUE($D246&amp;"-01"), "dd-mm-yyyy")),0),0)</f>
        <v>0</v>
      </c>
      <c r="L246" cm="1">
        <f t="array" ref="L246">IF($Q246&gt;=0,IFERROR(generateSalesData($D246, IF(ISNUMBER(_xlfn.XLOOKUP($C246,Phone_by_Sentiment!$B$2:$B$37,Phone_by_Sentiment!L$2:L$37,"",0,1)),_xlfn.XLOOKUP($C246,Phone_by_Sentiment!$B$2:$B$37,Phone_by_Sentiment!L$2:L$37,"",0,1),0),$A246-TEXT(DATEVALUE($D246&amp;"-01"), "dd-mm-yyyy")),0),0)</f>
        <v>0</v>
      </c>
      <c r="M246" cm="1">
        <f t="array" ref="M246">IF($Q246&gt;=0,IFERROR(generateSalesData($D246, IF(ISNUMBER(_xlfn.XLOOKUP($C246,Phone_by_Sentiment!$B$2:$B$37,Phone_by_Sentiment!M$2:M$37,"",0,1)),_xlfn.XLOOKUP($C246,Phone_by_Sentiment!$B$2:$B$37,Phone_by_Sentiment!M$2:M$37,"",0,1),0),$A246-TEXT(DATEVALUE($D246&amp;"-01"), "dd-mm-yyyy")),0),0)</f>
        <v>0</v>
      </c>
      <c r="N246" cm="1">
        <f t="array" ref="N246">IF($Q246&gt;=0,IFERROR(generateSalesData($D246, IF(ISNUMBER(_xlfn.XLOOKUP($C246,Phone_by_Sentiment!$B$2:$B$37,Phone_by_Sentiment!N$2:N$37,"",0,1)),_xlfn.XLOOKUP($C246,Phone_by_Sentiment!$B$2:$B$37,Phone_by_Sentiment!N$2:N$37,"",0,1),0),$A246-TEXT(DATEVALUE($D246&amp;"-01"), "dd-mm-yyyy")),0),0)</f>
        <v>0</v>
      </c>
      <c r="O246" cm="1">
        <f t="array" ref="O246">IF($Q246&gt;=0,IFERROR(generateSalesData($D246, IF(ISNUMBER(_xlfn.XLOOKUP($C246,Phone_by_Sentiment!$B$2:$B$37,Phone_by_Sentiment!O$2:O$37,"",0,1)),_xlfn.XLOOKUP($C246,Phone_by_Sentiment!$B$2:$B$37,Phone_by_Sentiment!O$2:O$37,"",0,1),0),$A246-TEXT(DATEVALUE($D246&amp;"-01"), "dd-mm-yyyy")),0),0)</f>
        <v>0</v>
      </c>
      <c r="P246" s="1">
        <f t="shared" si="7"/>
        <v>44197</v>
      </c>
      <c r="Q246">
        <f t="shared" si="8"/>
        <v>-519</v>
      </c>
    </row>
    <row r="247" spans="1:17" x14ac:dyDescent="0.25">
      <c r="A247" s="1">
        <f t="shared" si="0"/>
        <v>43678</v>
      </c>
      <c r="B247" t="s">
        <v>155</v>
      </c>
      <c r="C247" t="str">
        <f>_xlfn.XLOOKUP(B247,Phone_by_Price!$A$2:$A$34,Phone_by_Price!$B$2:$B$34,"-",0,1)</f>
        <v>Google Pixel 6</v>
      </c>
      <c r="D247" t="str">
        <f>_xlfn.XLOOKUP(C247,Phone_by_Sentiment!$B$2:$B$37,Phone_by_Sentiment!$A$2:$A$37,"-",0,1)</f>
        <v>2021-10</v>
      </c>
      <c r="E247" cm="1">
        <f t="array" ref="E247">IF($Q247&gt;=0,IFERROR(generateSalesData($D247, IF(ISNUMBER(_xlfn.XLOOKUP($C247,Phone_by_Sentiment!$B$2:$B$37,Phone_by_Sentiment!E$2:E$37,"",0,1)),_xlfn.XLOOKUP($C247,Phone_by_Sentiment!$B$2:$B$37,Phone_by_Sentiment!E$2:E$37,"",0,1),0),$A247-TEXT(DATEVALUE($D247&amp;"-01"), "dd-mm-yyyy")),0),0)</f>
        <v>0</v>
      </c>
      <c r="F247" cm="1">
        <f t="array" ref="F247">IF($Q247&gt;=0,IFERROR(generateSalesData($D247, IF(ISNUMBER(_xlfn.XLOOKUP($C247,Phone_by_Sentiment!$B$2:$B$37,Phone_by_Sentiment!F$2:F$37,"",0,1)),_xlfn.XLOOKUP($C247,Phone_by_Sentiment!$B$2:$B$37,Phone_by_Sentiment!F$2:F$37,"",0,1),0),$A247-TEXT(DATEVALUE($D247&amp;"-01"), "dd-mm-yyyy")),0),0)</f>
        <v>0</v>
      </c>
      <c r="G247" cm="1">
        <f t="array" ref="G247">IF($Q247&gt;=0,IFERROR(generateSalesData($D247, IF(ISNUMBER(_xlfn.XLOOKUP($C247,Phone_by_Sentiment!$B$2:$B$37,Phone_by_Sentiment!G$2:G$37,"",0,1)),_xlfn.XLOOKUP($C247,Phone_by_Sentiment!$B$2:$B$37,Phone_by_Sentiment!G$2:G$37,"",0,1),0),$A247-TEXT(DATEVALUE($D247&amp;"-01"), "dd-mm-yyyy")),0),0)</f>
        <v>0</v>
      </c>
      <c r="H247" cm="1">
        <f t="array" ref="H247">IF($Q247&gt;=0,IFERROR(generateSalesData($D247, IF(ISNUMBER(_xlfn.XLOOKUP($C247,Phone_by_Sentiment!$B$2:$B$37,Phone_by_Sentiment!H$2:H$37,"",0,1)),_xlfn.XLOOKUP($C247,Phone_by_Sentiment!$B$2:$B$37,Phone_by_Sentiment!H$2:H$37,"",0,1),0),$A247-TEXT(DATEVALUE($D247&amp;"-01"), "dd-mm-yyyy")),0),0)</f>
        <v>0</v>
      </c>
      <c r="I247" cm="1">
        <f t="array" ref="I247">IF($Q247&gt;=0,IFERROR(generateSalesData($D247, IF(ISNUMBER(_xlfn.XLOOKUP($C247,Phone_by_Sentiment!$B$2:$B$37,Phone_by_Sentiment!I$2:I$37,"",0,1)),_xlfn.XLOOKUP($C247,Phone_by_Sentiment!$B$2:$B$37,Phone_by_Sentiment!I$2:I$37,"",0,1),0),$A247-TEXT(DATEVALUE($D247&amp;"-01"), "dd-mm-yyyy")),0),0)</f>
        <v>0</v>
      </c>
      <c r="J247" cm="1">
        <f t="array" ref="J247">IF($Q247&gt;=0,IFERROR(generateSalesData($D247, IF(ISNUMBER(_xlfn.XLOOKUP($C247,Phone_by_Sentiment!$B$2:$B$37,Phone_by_Sentiment!J$2:J$37,"",0,1)),_xlfn.XLOOKUP($C247,Phone_by_Sentiment!$B$2:$B$37,Phone_by_Sentiment!J$2:J$37,"",0,1),0),$A247-TEXT(DATEVALUE($D247&amp;"-01"), "dd-mm-yyyy")),0),0)</f>
        <v>0</v>
      </c>
      <c r="K247" cm="1">
        <f t="array" ref="K247">IF($Q247&gt;=0,IFERROR(generateSalesData($D247, IF(ISNUMBER(_xlfn.XLOOKUP($C247,Phone_by_Sentiment!$B$2:$B$37,Phone_by_Sentiment!K$2:K$37,"",0,1)),_xlfn.XLOOKUP($C247,Phone_by_Sentiment!$B$2:$B$37,Phone_by_Sentiment!K$2:K$37,"",0,1),0),$A247-TEXT(DATEVALUE($D247&amp;"-01"), "dd-mm-yyyy")),0),0)</f>
        <v>0</v>
      </c>
      <c r="L247" cm="1">
        <f t="array" ref="L247">IF($Q247&gt;=0,IFERROR(generateSalesData($D247, IF(ISNUMBER(_xlfn.XLOOKUP($C247,Phone_by_Sentiment!$B$2:$B$37,Phone_by_Sentiment!L$2:L$37,"",0,1)),_xlfn.XLOOKUP($C247,Phone_by_Sentiment!$B$2:$B$37,Phone_by_Sentiment!L$2:L$37,"",0,1),0),$A247-TEXT(DATEVALUE($D247&amp;"-01"), "dd-mm-yyyy")),0),0)</f>
        <v>0</v>
      </c>
      <c r="M247" cm="1">
        <f t="array" ref="M247">IF($Q247&gt;=0,IFERROR(generateSalesData($D247, IF(ISNUMBER(_xlfn.XLOOKUP($C247,Phone_by_Sentiment!$B$2:$B$37,Phone_by_Sentiment!M$2:M$37,"",0,1)),_xlfn.XLOOKUP($C247,Phone_by_Sentiment!$B$2:$B$37,Phone_by_Sentiment!M$2:M$37,"",0,1),0),$A247-TEXT(DATEVALUE($D247&amp;"-01"), "dd-mm-yyyy")),0),0)</f>
        <v>0</v>
      </c>
      <c r="N247" cm="1">
        <f t="array" ref="N247">IF($Q247&gt;=0,IFERROR(generateSalesData($D247, IF(ISNUMBER(_xlfn.XLOOKUP($C247,Phone_by_Sentiment!$B$2:$B$37,Phone_by_Sentiment!N$2:N$37,"",0,1)),_xlfn.XLOOKUP($C247,Phone_by_Sentiment!$B$2:$B$37,Phone_by_Sentiment!N$2:N$37,"",0,1),0),$A247-TEXT(DATEVALUE($D247&amp;"-01"), "dd-mm-yyyy")),0),0)</f>
        <v>0</v>
      </c>
      <c r="O247" cm="1">
        <f t="array" ref="O247">IF($Q247&gt;=0,IFERROR(generateSalesData($D247, IF(ISNUMBER(_xlfn.XLOOKUP($C247,Phone_by_Sentiment!$B$2:$B$37,Phone_by_Sentiment!O$2:O$37,"",0,1)),_xlfn.XLOOKUP($C247,Phone_by_Sentiment!$B$2:$B$37,Phone_by_Sentiment!O$2:O$37,"",0,1),0),$A247-TEXT(DATEVALUE($D247&amp;"-01"), "dd-mm-yyyy")),0),0)</f>
        <v>0</v>
      </c>
      <c r="P247" s="1">
        <f t="shared" si="7"/>
        <v>44470</v>
      </c>
      <c r="Q247">
        <f t="shared" si="8"/>
        <v>-792</v>
      </c>
    </row>
    <row r="248" spans="1:17" x14ac:dyDescent="0.25">
      <c r="A248" s="1">
        <f t="shared" si="0"/>
        <v>43678</v>
      </c>
      <c r="B248" t="s">
        <v>156</v>
      </c>
      <c r="C248" t="str">
        <f>_xlfn.XLOOKUP(B248,Phone_by_Price!$A$2:$A$34,Phone_by_Price!$B$2:$B$34,"-",0,1)</f>
        <v>OnePlus Nord CE</v>
      </c>
      <c r="D248" t="str">
        <f>_xlfn.XLOOKUP(C248,Phone_by_Sentiment!$B$2:$B$37,Phone_by_Sentiment!$A$2:$A$37,"-",0,1)</f>
        <v>2021-06</v>
      </c>
      <c r="E248" cm="1">
        <f t="array" ref="E248">IF($Q248&gt;=0,IFERROR(generateSalesData($D248, IF(ISNUMBER(_xlfn.XLOOKUP($C248,Phone_by_Sentiment!$B$2:$B$37,Phone_by_Sentiment!E$2:E$37,"",0,1)),_xlfn.XLOOKUP($C248,Phone_by_Sentiment!$B$2:$B$37,Phone_by_Sentiment!E$2:E$37,"",0,1),0),$A248-TEXT(DATEVALUE($D248&amp;"-01"), "dd-mm-yyyy")),0),0)</f>
        <v>0</v>
      </c>
      <c r="F248" cm="1">
        <f t="array" ref="F248">IF($Q248&gt;=0,IFERROR(generateSalesData($D248, IF(ISNUMBER(_xlfn.XLOOKUP($C248,Phone_by_Sentiment!$B$2:$B$37,Phone_by_Sentiment!F$2:F$37,"",0,1)),_xlfn.XLOOKUP($C248,Phone_by_Sentiment!$B$2:$B$37,Phone_by_Sentiment!F$2:F$37,"",0,1),0),$A248-TEXT(DATEVALUE($D248&amp;"-01"), "dd-mm-yyyy")),0),0)</f>
        <v>0</v>
      </c>
      <c r="G248" cm="1">
        <f t="array" ref="G248">IF($Q248&gt;=0,IFERROR(generateSalesData($D248, IF(ISNUMBER(_xlfn.XLOOKUP($C248,Phone_by_Sentiment!$B$2:$B$37,Phone_by_Sentiment!G$2:G$37,"",0,1)),_xlfn.XLOOKUP($C248,Phone_by_Sentiment!$B$2:$B$37,Phone_by_Sentiment!G$2:G$37,"",0,1),0),$A248-TEXT(DATEVALUE($D248&amp;"-01"), "dd-mm-yyyy")),0),0)</f>
        <v>0</v>
      </c>
      <c r="H248" cm="1">
        <f t="array" ref="H248">IF($Q248&gt;=0,IFERROR(generateSalesData($D248, IF(ISNUMBER(_xlfn.XLOOKUP($C248,Phone_by_Sentiment!$B$2:$B$37,Phone_by_Sentiment!H$2:H$37,"",0,1)),_xlfn.XLOOKUP($C248,Phone_by_Sentiment!$B$2:$B$37,Phone_by_Sentiment!H$2:H$37,"",0,1),0),$A248-TEXT(DATEVALUE($D248&amp;"-01"), "dd-mm-yyyy")),0),0)</f>
        <v>0</v>
      </c>
      <c r="I248" cm="1">
        <f t="array" ref="I248">IF($Q248&gt;=0,IFERROR(generateSalesData($D248, IF(ISNUMBER(_xlfn.XLOOKUP($C248,Phone_by_Sentiment!$B$2:$B$37,Phone_by_Sentiment!I$2:I$37,"",0,1)),_xlfn.XLOOKUP($C248,Phone_by_Sentiment!$B$2:$B$37,Phone_by_Sentiment!I$2:I$37,"",0,1),0),$A248-TEXT(DATEVALUE($D248&amp;"-01"), "dd-mm-yyyy")),0),0)</f>
        <v>0</v>
      </c>
      <c r="J248" cm="1">
        <f t="array" ref="J248">IF($Q248&gt;=0,IFERROR(generateSalesData($D248, IF(ISNUMBER(_xlfn.XLOOKUP($C248,Phone_by_Sentiment!$B$2:$B$37,Phone_by_Sentiment!J$2:J$37,"",0,1)),_xlfn.XLOOKUP($C248,Phone_by_Sentiment!$B$2:$B$37,Phone_by_Sentiment!J$2:J$37,"",0,1),0),$A248-TEXT(DATEVALUE($D248&amp;"-01"), "dd-mm-yyyy")),0),0)</f>
        <v>0</v>
      </c>
      <c r="K248" cm="1">
        <f t="array" ref="K248">IF($Q248&gt;=0,IFERROR(generateSalesData($D248, IF(ISNUMBER(_xlfn.XLOOKUP($C248,Phone_by_Sentiment!$B$2:$B$37,Phone_by_Sentiment!K$2:K$37,"",0,1)),_xlfn.XLOOKUP($C248,Phone_by_Sentiment!$B$2:$B$37,Phone_by_Sentiment!K$2:K$37,"",0,1),0),$A248-TEXT(DATEVALUE($D248&amp;"-01"), "dd-mm-yyyy")),0),0)</f>
        <v>0</v>
      </c>
      <c r="L248" cm="1">
        <f t="array" ref="L248">IF($Q248&gt;=0,IFERROR(generateSalesData($D248, IF(ISNUMBER(_xlfn.XLOOKUP($C248,Phone_by_Sentiment!$B$2:$B$37,Phone_by_Sentiment!L$2:L$37,"",0,1)),_xlfn.XLOOKUP($C248,Phone_by_Sentiment!$B$2:$B$37,Phone_by_Sentiment!L$2:L$37,"",0,1),0),$A248-TEXT(DATEVALUE($D248&amp;"-01"), "dd-mm-yyyy")),0),0)</f>
        <v>0</v>
      </c>
      <c r="M248" cm="1">
        <f t="array" ref="M248">IF($Q248&gt;=0,IFERROR(generateSalesData($D248, IF(ISNUMBER(_xlfn.XLOOKUP($C248,Phone_by_Sentiment!$B$2:$B$37,Phone_by_Sentiment!M$2:M$37,"",0,1)),_xlfn.XLOOKUP($C248,Phone_by_Sentiment!$B$2:$B$37,Phone_by_Sentiment!M$2:M$37,"",0,1),0),$A248-TEXT(DATEVALUE($D248&amp;"-01"), "dd-mm-yyyy")),0),0)</f>
        <v>0</v>
      </c>
      <c r="N248" cm="1">
        <f t="array" ref="N248">IF($Q248&gt;=0,IFERROR(generateSalesData($D248, IF(ISNUMBER(_xlfn.XLOOKUP($C248,Phone_by_Sentiment!$B$2:$B$37,Phone_by_Sentiment!N$2:N$37,"",0,1)),_xlfn.XLOOKUP($C248,Phone_by_Sentiment!$B$2:$B$37,Phone_by_Sentiment!N$2:N$37,"",0,1),0),$A248-TEXT(DATEVALUE($D248&amp;"-01"), "dd-mm-yyyy")),0),0)</f>
        <v>0</v>
      </c>
      <c r="O248" cm="1">
        <f t="array" ref="O248">IF($Q248&gt;=0,IFERROR(generateSalesData($D248, IF(ISNUMBER(_xlfn.XLOOKUP($C248,Phone_by_Sentiment!$B$2:$B$37,Phone_by_Sentiment!O$2:O$37,"",0,1)),_xlfn.XLOOKUP($C248,Phone_by_Sentiment!$B$2:$B$37,Phone_by_Sentiment!O$2:O$37,"",0,1),0),$A248-TEXT(DATEVALUE($D248&amp;"-01"), "dd-mm-yyyy")),0),0)</f>
        <v>0</v>
      </c>
      <c r="P248" s="1">
        <f t="shared" si="7"/>
        <v>44348</v>
      </c>
      <c r="Q248">
        <f t="shared" si="8"/>
        <v>-670</v>
      </c>
    </row>
    <row r="249" spans="1:17" x14ac:dyDescent="0.25">
      <c r="A249" s="1">
        <f t="shared" si="0"/>
        <v>43678</v>
      </c>
      <c r="B249" t="s">
        <v>157</v>
      </c>
      <c r="C249" t="str">
        <f>_xlfn.XLOOKUP(B249,Phone_by_Price!$A$2:$A$34,Phone_by_Price!$B$2:$B$34,"-",0,1)</f>
        <v>Apple iPhone 13 Pro</v>
      </c>
      <c r="D249" t="str">
        <f>_xlfn.XLOOKUP(C249,Phone_by_Sentiment!$B$2:$B$37,Phone_by_Sentiment!$A$2:$A$37,"-",0,1)</f>
        <v>2021-09</v>
      </c>
      <c r="E249" cm="1">
        <f t="array" ref="E249">IF($Q249&gt;=0,IFERROR(generateSalesData($D249, IF(ISNUMBER(_xlfn.XLOOKUP($C249,Phone_by_Sentiment!$B$2:$B$37,Phone_by_Sentiment!E$2:E$37,"",0,1)),_xlfn.XLOOKUP($C249,Phone_by_Sentiment!$B$2:$B$37,Phone_by_Sentiment!E$2:E$37,"",0,1),0),$A249-TEXT(DATEVALUE($D249&amp;"-01"), "dd-mm-yyyy")),0),0)</f>
        <v>0</v>
      </c>
      <c r="F249" cm="1">
        <f t="array" ref="F249">IF($Q249&gt;=0,IFERROR(generateSalesData($D249, IF(ISNUMBER(_xlfn.XLOOKUP($C249,Phone_by_Sentiment!$B$2:$B$37,Phone_by_Sentiment!F$2:F$37,"",0,1)),_xlfn.XLOOKUP($C249,Phone_by_Sentiment!$B$2:$B$37,Phone_by_Sentiment!F$2:F$37,"",0,1),0),$A249-TEXT(DATEVALUE($D249&amp;"-01"), "dd-mm-yyyy")),0),0)</f>
        <v>0</v>
      </c>
      <c r="G249" cm="1">
        <f t="array" ref="G249">IF($Q249&gt;=0,IFERROR(generateSalesData($D249, IF(ISNUMBER(_xlfn.XLOOKUP($C249,Phone_by_Sentiment!$B$2:$B$37,Phone_by_Sentiment!G$2:G$37,"",0,1)),_xlfn.XLOOKUP($C249,Phone_by_Sentiment!$B$2:$B$37,Phone_by_Sentiment!G$2:G$37,"",0,1),0),$A249-TEXT(DATEVALUE($D249&amp;"-01"), "dd-mm-yyyy")),0),0)</f>
        <v>0</v>
      </c>
      <c r="H249" cm="1">
        <f t="array" ref="H249">IF($Q249&gt;=0,IFERROR(generateSalesData($D249, IF(ISNUMBER(_xlfn.XLOOKUP($C249,Phone_by_Sentiment!$B$2:$B$37,Phone_by_Sentiment!H$2:H$37,"",0,1)),_xlfn.XLOOKUP($C249,Phone_by_Sentiment!$B$2:$B$37,Phone_by_Sentiment!H$2:H$37,"",0,1),0),$A249-TEXT(DATEVALUE($D249&amp;"-01"), "dd-mm-yyyy")),0),0)</f>
        <v>0</v>
      </c>
      <c r="I249" cm="1">
        <f t="array" ref="I249">IF($Q249&gt;=0,IFERROR(generateSalesData($D249, IF(ISNUMBER(_xlfn.XLOOKUP($C249,Phone_by_Sentiment!$B$2:$B$37,Phone_by_Sentiment!I$2:I$37,"",0,1)),_xlfn.XLOOKUP($C249,Phone_by_Sentiment!$B$2:$B$37,Phone_by_Sentiment!I$2:I$37,"",0,1),0),$A249-TEXT(DATEVALUE($D249&amp;"-01"), "dd-mm-yyyy")),0),0)</f>
        <v>0</v>
      </c>
      <c r="J249" cm="1">
        <f t="array" ref="J249">IF($Q249&gt;=0,IFERROR(generateSalesData($D249, IF(ISNUMBER(_xlfn.XLOOKUP($C249,Phone_by_Sentiment!$B$2:$B$37,Phone_by_Sentiment!J$2:J$37,"",0,1)),_xlfn.XLOOKUP($C249,Phone_by_Sentiment!$B$2:$B$37,Phone_by_Sentiment!J$2:J$37,"",0,1),0),$A249-TEXT(DATEVALUE($D249&amp;"-01"), "dd-mm-yyyy")),0),0)</f>
        <v>0</v>
      </c>
      <c r="K249" cm="1">
        <f t="array" ref="K249">IF($Q249&gt;=0,IFERROR(generateSalesData($D249, IF(ISNUMBER(_xlfn.XLOOKUP($C249,Phone_by_Sentiment!$B$2:$B$37,Phone_by_Sentiment!K$2:K$37,"",0,1)),_xlfn.XLOOKUP($C249,Phone_by_Sentiment!$B$2:$B$37,Phone_by_Sentiment!K$2:K$37,"",0,1),0),$A249-TEXT(DATEVALUE($D249&amp;"-01"), "dd-mm-yyyy")),0),0)</f>
        <v>0</v>
      </c>
      <c r="L249" cm="1">
        <f t="array" ref="L249">IF($Q249&gt;=0,IFERROR(generateSalesData($D249, IF(ISNUMBER(_xlfn.XLOOKUP($C249,Phone_by_Sentiment!$B$2:$B$37,Phone_by_Sentiment!L$2:L$37,"",0,1)),_xlfn.XLOOKUP($C249,Phone_by_Sentiment!$B$2:$B$37,Phone_by_Sentiment!L$2:L$37,"",0,1),0),$A249-TEXT(DATEVALUE($D249&amp;"-01"), "dd-mm-yyyy")),0),0)</f>
        <v>0</v>
      </c>
      <c r="M249" cm="1">
        <f t="array" ref="M249">IF($Q249&gt;=0,IFERROR(generateSalesData($D249, IF(ISNUMBER(_xlfn.XLOOKUP($C249,Phone_by_Sentiment!$B$2:$B$37,Phone_by_Sentiment!M$2:M$37,"",0,1)),_xlfn.XLOOKUP($C249,Phone_by_Sentiment!$B$2:$B$37,Phone_by_Sentiment!M$2:M$37,"",0,1),0),$A249-TEXT(DATEVALUE($D249&amp;"-01"), "dd-mm-yyyy")),0),0)</f>
        <v>0</v>
      </c>
      <c r="N249" cm="1">
        <f t="array" ref="N249">IF($Q249&gt;=0,IFERROR(generateSalesData($D249, IF(ISNUMBER(_xlfn.XLOOKUP($C249,Phone_by_Sentiment!$B$2:$B$37,Phone_by_Sentiment!N$2:N$37,"",0,1)),_xlfn.XLOOKUP($C249,Phone_by_Sentiment!$B$2:$B$37,Phone_by_Sentiment!N$2:N$37,"",0,1),0),$A249-TEXT(DATEVALUE($D249&amp;"-01"), "dd-mm-yyyy")),0),0)</f>
        <v>0</v>
      </c>
      <c r="O249" cm="1">
        <f t="array" ref="O249">IF($Q249&gt;=0,IFERROR(generateSalesData($D249, IF(ISNUMBER(_xlfn.XLOOKUP($C249,Phone_by_Sentiment!$B$2:$B$37,Phone_by_Sentiment!O$2:O$37,"",0,1)),_xlfn.XLOOKUP($C249,Phone_by_Sentiment!$B$2:$B$37,Phone_by_Sentiment!O$2:O$37,"",0,1),0),$A249-TEXT(DATEVALUE($D249&amp;"-01"), "dd-mm-yyyy")),0),0)</f>
        <v>0</v>
      </c>
      <c r="P249" s="1">
        <f t="shared" si="7"/>
        <v>44440</v>
      </c>
      <c r="Q249">
        <f t="shared" si="8"/>
        <v>-762</v>
      </c>
    </row>
    <row r="250" spans="1:17" x14ac:dyDescent="0.25">
      <c r="A250" s="1">
        <f t="shared" si="0"/>
        <v>43678</v>
      </c>
      <c r="B250" t="s">
        <v>158</v>
      </c>
      <c r="C250" t="str">
        <f>_xlfn.XLOOKUP(B250,Phone_by_Price!$A$2:$A$34,Phone_by_Price!$B$2:$B$34,"-",0,1)</f>
        <v>Samsung Galaxy A32 5G</v>
      </c>
      <c r="D250" t="str">
        <f>_xlfn.XLOOKUP(C250,Phone_by_Sentiment!$B$2:$B$37,Phone_by_Sentiment!$A$2:$A$37,"-",0,1)</f>
        <v>2021-02</v>
      </c>
      <c r="E250" cm="1">
        <f t="array" ref="E250">IF($Q250&gt;=0,IFERROR(generateSalesData($D250, IF(ISNUMBER(_xlfn.XLOOKUP($C250,Phone_by_Sentiment!$B$2:$B$37,Phone_by_Sentiment!E$2:E$37,"",0,1)),_xlfn.XLOOKUP($C250,Phone_by_Sentiment!$B$2:$B$37,Phone_by_Sentiment!E$2:E$37,"",0,1),0),$A250-TEXT(DATEVALUE($D250&amp;"-01"), "dd-mm-yyyy")),0),0)</f>
        <v>0</v>
      </c>
      <c r="F250" cm="1">
        <f t="array" ref="F250">IF($Q250&gt;=0,IFERROR(generateSalesData($D250, IF(ISNUMBER(_xlfn.XLOOKUP($C250,Phone_by_Sentiment!$B$2:$B$37,Phone_by_Sentiment!F$2:F$37,"",0,1)),_xlfn.XLOOKUP($C250,Phone_by_Sentiment!$B$2:$B$37,Phone_by_Sentiment!F$2:F$37,"",0,1),0),$A250-TEXT(DATEVALUE($D250&amp;"-01"), "dd-mm-yyyy")),0),0)</f>
        <v>0</v>
      </c>
      <c r="G250" cm="1">
        <f t="array" ref="G250">IF($Q250&gt;=0,IFERROR(generateSalesData($D250, IF(ISNUMBER(_xlfn.XLOOKUP($C250,Phone_by_Sentiment!$B$2:$B$37,Phone_by_Sentiment!G$2:G$37,"",0,1)),_xlfn.XLOOKUP($C250,Phone_by_Sentiment!$B$2:$B$37,Phone_by_Sentiment!G$2:G$37,"",0,1),0),$A250-TEXT(DATEVALUE($D250&amp;"-01"), "dd-mm-yyyy")),0),0)</f>
        <v>0</v>
      </c>
      <c r="H250" cm="1">
        <f t="array" ref="H250">IF($Q250&gt;=0,IFERROR(generateSalesData($D250, IF(ISNUMBER(_xlfn.XLOOKUP($C250,Phone_by_Sentiment!$B$2:$B$37,Phone_by_Sentiment!H$2:H$37,"",0,1)),_xlfn.XLOOKUP($C250,Phone_by_Sentiment!$B$2:$B$37,Phone_by_Sentiment!H$2:H$37,"",0,1),0),$A250-TEXT(DATEVALUE($D250&amp;"-01"), "dd-mm-yyyy")),0),0)</f>
        <v>0</v>
      </c>
      <c r="I250" cm="1">
        <f t="array" ref="I250">IF($Q250&gt;=0,IFERROR(generateSalesData($D250, IF(ISNUMBER(_xlfn.XLOOKUP($C250,Phone_by_Sentiment!$B$2:$B$37,Phone_by_Sentiment!I$2:I$37,"",0,1)),_xlfn.XLOOKUP($C250,Phone_by_Sentiment!$B$2:$B$37,Phone_by_Sentiment!I$2:I$37,"",0,1),0),$A250-TEXT(DATEVALUE($D250&amp;"-01"), "dd-mm-yyyy")),0),0)</f>
        <v>0</v>
      </c>
      <c r="J250" cm="1">
        <f t="array" ref="J250">IF($Q250&gt;=0,IFERROR(generateSalesData($D250, IF(ISNUMBER(_xlfn.XLOOKUP($C250,Phone_by_Sentiment!$B$2:$B$37,Phone_by_Sentiment!J$2:J$37,"",0,1)),_xlfn.XLOOKUP($C250,Phone_by_Sentiment!$B$2:$B$37,Phone_by_Sentiment!J$2:J$37,"",0,1),0),$A250-TEXT(DATEVALUE($D250&amp;"-01"), "dd-mm-yyyy")),0),0)</f>
        <v>0</v>
      </c>
      <c r="K250" cm="1">
        <f t="array" ref="K250">IF($Q250&gt;=0,IFERROR(generateSalesData($D250, IF(ISNUMBER(_xlfn.XLOOKUP($C250,Phone_by_Sentiment!$B$2:$B$37,Phone_by_Sentiment!K$2:K$37,"",0,1)),_xlfn.XLOOKUP($C250,Phone_by_Sentiment!$B$2:$B$37,Phone_by_Sentiment!K$2:K$37,"",0,1),0),$A250-TEXT(DATEVALUE($D250&amp;"-01"), "dd-mm-yyyy")),0),0)</f>
        <v>0</v>
      </c>
      <c r="L250" cm="1">
        <f t="array" ref="L250">IF($Q250&gt;=0,IFERROR(generateSalesData($D250, IF(ISNUMBER(_xlfn.XLOOKUP($C250,Phone_by_Sentiment!$B$2:$B$37,Phone_by_Sentiment!L$2:L$37,"",0,1)),_xlfn.XLOOKUP($C250,Phone_by_Sentiment!$B$2:$B$37,Phone_by_Sentiment!L$2:L$37,"",0,1),0),$A250-TEXT(DATEVALUE($D250&amp;"-01"), "dd-mm-yyyy")),0),0)</f>
        <v>0</v>
      </c>
      <c r="M250" cm="1">
        <f t="array" ref="M250">IF($Q250&gt;=0,IFERROR(generateSalesData($D250, IF(ISNUMBER(_xlfn.XLOOKUP($C250,Phone_by_Sentiment!$B$2:$B$37,Phone_by_Sentiment!M$2:M$37,"",0,1)),_xlfn.XLOOKUP($C250,Phone_by_Sentiment!$B$2:$B$37,Phone_by_Sentiment!M$2:M$37,"",0,1),0),$A250-TEXT(DATEVALUE($D250&amp;"-01"), "dd-mm-yyyy")),0),0)</f>
        <v>0</v>
      </c>
      <c r="N250" cm="1">
        <f t="array" ref="N250">IF($Q250&gt;=0,IFERROR(generateSalesData($D250, IF(ISNUMBER(_xlfn.XLOOKUP($C250,Phone_by_Sentiment!$B$2:$B$37,Phone_by_Sentiment!N$2:N$37,"",0,1)),_xlfn.XLOOKUP($C250,Phone_by_Sentiment!$B$2:$B$37,Phone_by_Sentiment!N$2:N$37,"",0,1),0),$A250-TEXT(DATEVALUE($D250&amp;"-01"), "dd-mm-yyyy")),0),0)</f>
        <v>0</v>
      </c>
      <c r="O250" cm="1">
        <f t="array" ref="O250">IF($Q250&gt;=0,IFERROR(generateSalesData($D250, IF(ISNUMBER(_xlfn.XLOOKUP($C250,Phone_by_Sentiment!$B$2:$B$37,Phone_by_Sentiment!O$2:O$37,"",0,1)),_xlfn.XLOOKUP($C250,Phone_by_Sentiment!$B$2:$B$37,Phone_by_Sentiment!O$2:O$37,"",0,1),0),$A250-TEXT(DATEVALUE($D250&amp;"-01"), "dd-mm-yyyy")),0),0)</f>
        <v>0</v>
      </c>
      <c r="P250" s="1">
        <f t="shared" si="7"/>
        <v>44228</v>
      </c>
      <c r="Q250">
        <f t="shared" si="8"/>
        <v>-550</v>
      </c>
    </row>
    <row r="251" spans="1:17" x14ac:dyDescent="0.25">
      <c r="A251" s="1">
        <f t="shared" si="0"/>
        <v>43678</v>
      </c>
      <c r="B251" t="s">
        <v>159</v>
      </c>
      <c r="C251" t="str">
        <f>_xlfn.XLOOKUP(B251,Phone_by_Price!$A$2:$A$34,Phone_by_Price!$B$2:$B$34,"-",0,1)</f>
        <v>Realme C25</v>
      </c>
      <c r="D251" t="str">
        <f>_xlfn.XLOOKUP(C251,Phone_by_Sentiment!$B$2:$B$37,Phone_by_Sentiment!$A$2:$A$37,"-",0,1)</f>
        <v>2021-03</v>
      </c>
      <c r="E251" cm="1">
        <f t="array" ref="E251">IF($Q251&gt;=0,IFERROR(generateSalesData($D251, IF(ISNUMBER(_xlfn.XLOOKUP($C251,Phone_by_Sentiment!$B$2:$B$37,Phone_by_Sentiment!E$2:E$37,"",0,1)),_xlfn.XLOOKUP($C251,Phone_by_Sentiment!$B$2:$B$37,Phone_by_Sentiment!E$2:E$37,"",0,1),0),$A251-TEXT(DATEVALUE($D251&amp;"-01"), "dd-mm-yyyy")),0),0)</f>
        <v>0</v>
      </c>
      <c r="F251" cm="1">
        <f t="array" ref="F251">IF($Q251&gt;=0,IFERROR(generateSalesData($D251, IF(ISNUMBER(_xlfn.XLOOKUP($C251,Phone_by_Sentiment!$B$2:$B$37,Phone_by_Sentiment!F$2:F$37,"",0,1)),_xlfn.XLOOKUP($C251,Phone_by_Sentiment!$B$2:$B$37,Phone_by_Sentiment!F$2:F$37,"",0,1),0),$A251-TEXT(DATEVALUE($D251&amp;"-01"), "dd-mm-yyyy")),0),0)</f>
        <v>0</v>
      </c>
      <c r="G251" cm="1">
        <f t="array" ref="G251">IF($Q251&gt;=0,IFERROR(generateSalesData($D251, IF(ISNUMBER(_xlfn.XLOOKUP($C251,Phone_by_Sentiment!$B$2:$B$37,Phone_by_Sentiment!G$2:G$37,"",0,1)),_xlfn.XLOOKUP($C251,Phone_by_Sentiment!$B$2:$B$37,Phone_by_Sentiment!G$2:G$37,"",0,1),0),$A251-TEXT(DATEVALUE($D251&amp;"-01"), "dd-mm-yyyy")),0),0)</f>
        <v>0</v>
      </c>
      <c r="H251" cm="1">
        <f t="array" ref="H251">IF($Q251&gt;=0,IFERROR(generateSalesData($D251, IF(ISNUMBER(_xlfn.XLOOKUP($C251,Phone_by_Sentiment!$B$2:$B$37,Phone_by_Sentiment!H$2:H$37,"",0,1)),_xlfn.XLOOKUP($C251,Phone_by_Sentiment!$B$2:$B$37,Phone_by_Sentiment!H$2:H$37,"",0,1),0),$A251-TEXT(DATEVALUE($D251&amp;"-01"), "dd-mm-yyyy")),0),0)</f>
        <v>0</v>
      </c>
      <c r="I251" cm="1">
        <f t="array" ref="I251">IF($Q251&gt;=0,IFERROR(generateSalesData($D251, IF(ISNUMBER(_xlfn.XLOOKUP($C251,Phone_by_Sentiment!$B$2:$B$37,Phone_by_Sentiment!I$2:I$37,"",0,1)),_xlfn.XLOOKUP($C251,Phone_by_Sentiment!$B$2:$B$37,Phone_by_Sentiment!I$2:I$37,"",0,1),0),$A251-TEXT(DATEVALUE($D251&amp;"-01"), "dd-mm-yyyy")),0),0)</f>
        <v>0</v>
      </c>
      <c r="J251" cm="1">
        <f t="array" ref="J251">IF($Q251&gt;=0,IFERROR(generateSalesData($D251, IF(ISNUMBER(_xlfn.XLOOKUP($C251,Phone_by_Sentiment!$B$2:$B$37,Phone_by_Sentiment!J$2:J$37,"",0,1)),_xlfn.XLOOKUP($C251,Phone_by_Sentiment!$B$2:$B$37,Phone_by_Sentiment!J$2:J$37,"",0,1),0),$A251-TEXT(DATEVALUE($D251&amp;"-01"), "dd-mm-yyyy")),0),0)</f>
        <v>0</v>
      </c>
      <c r="K251" cm="1">
        <f t="array" ref="K251">IF($Q251&gt;=0,IFERROR(generateSalesData($D251, IF(ISNUMBER(_xlfn.XLOOKUP($C251,Phone_by_Sentiment!$B$2:$B$37,Phone_by_Sentiment!K$2:K$37,"",0,1)),_xlfn.XLOOKUP($C251,Phone_by_Sentiment!$B$2:$B$37,Phone_by_Sentiment!K$2:K$37,"",0,1),0),$A251-TEXT(DATEVALUE($D251&amp;"-01"), "dd-mm-yyyy")),0),0)</f>
        <v>0</v>
      </c>
      <c r="L251" cm="1">
        <f t="array" ref="L251">IF($Q251&gt;=0,IFERROR(generateSalesData($D251, IF(ISNUMBER(_xlfn.XLOOKUP($C251,Phone_by_Sentiment!$B$2:$B$37,Phone_by_Sentiment!L$2:L$37,"",0,1)),_xlfn.XLOOKUP($C251,Phone_by_Sentiment!$B$2:$B$37,Phone_by_Sentiment!L$2:L$37,"",0,1),0),$A251-TEXT(DATEVALUE($D251&amp;"-01"), "dd-mm-yyyy")),0),0)</f>
        <v>0</v>
      </c>
      <c r="M251" cm="1">
        <f t="array" ref="M251">IF($Q251&gt;=0,IFERROR(generateSalesData($D251, IF(ISNUMBER(_xlfn.XLOOKUP($C251,Phone_by_Sentiment!$B$2:$B$37,Phone_by_Sentiment!M$2:M$37,"",0,1)),_xlfn.XLOOKUP($C251,Phone_by_Sentiment!$B$2:$B$37,Phone_by_Sentiment!M$2:M$37,"",0,1),0),$A251-TEXT(DATEVALUE($D251&amp;"-01"), "dd-mm-yyyy")),0),0)</f>
        <v>0</v>
      </c>
      <c r="N251" cm="1">
        <f t="array" ref="N251">IF($Q251&gt;=0,IFERROR(generateSalesData($D251, IF(ISNUMBER(_xlfn.XLOOKUP($C251,Phone_by_Sentiment!$B$2:$B$37,Phone_by_Sentiment!N$2:N$37,"",0,1)),_xlfn.XLOOKUP($C251,Phone_by_Sentiment!$B$2:$B$37,Phone_by_Sentiment!N$2:N$37,"",0,1),0),$A251-TEXT(DATEVALUE($D251&amp;"-01"), "dd-mm-yyyy")),0),0)</f>
        <v>0</v>
      </c>
      <c r="O251" cm="1">
        <f t="array" ref="O251">IF($Q251&gt;=0,IFERROR(generateSalesData($D251, IF(ISNUMBER(_xlfn.XLOOKUP($C251,Phone_by_Sentiment!$B$2:$B$37,Phone_by_Sentiment!O$2:O$37,"",0,1)),_xlfn.XLOOKUP($C251,Phone_by_Sentiment!$B$2:$B$37,Phone_by_Sentiment!O$2:O$37,"",0,1),0),$A251-TEXT(DATEVALUE($D251&amp;"-01"), "dd-mm-yyyy")),0),0)</f>
        <v>0</v>
      </c>
      <c r="P251" s="1">
        <f t="shared" si="7"/>
        <v>44256</v>
      </c>
      <c r="Q251">
        <f t="shared" si="8"/>
        <v>-578</v>
      </c>
    </row>
    <row r="252" spans="1:17" x14ac:dyDescent="0.25">
      <c r="A252" s="1">
        <f t="shared" si="0"/>
        <v>43678</v>
      </c>
      <c r="B252" t="s">
        <v>160</v>
      </c>
      <c r="C252" t="str">
        <f>_xlfn.XLOOKUP(B252,Phone_by_Price!$A$2:$A$34,Phone_by_Price!$B$2:$B$34,"-",0,1)</f>
        <v>Xiaomi Poco X3 Pro</v>
      </c>
      <c r="D252" t="str">
        <f>_xlfn.XLOOKUP(C252,Phone_by_Sentiment!$B$2:$B$37,Phone_by_Sentiment!$A$2:$A$37,"-",0,1)</f>
        <v>2021-05</v>
      </c>
      <c r="E252" cm="1">
        <f t="array" ref="E252">IF($Q252&gt;=0,IFERROR(generateSalesData($D252, IF(ISNUMBER(_xlfn.XLOOKUP($C252,Phone_by_Sentiment!$B$2:$B$37,Phone_by_Sentiment!E$2:E$37,"",0,1)),_xlfn.XLOOKUP($C252,Phone_by_Sentiment!$B$2:$B$37,Phone_by_Sentiment!E$2:E$37,"",0,1),0),$A252-TEXT(DATEVALUE($D252&amp;"-01"), "dd-mm-yyyy")),0),0)</f>
        <v>0</v>
      </c>
      <c r="F252" cm="1">
        <f t="array" ref="F252">IF($Q252&gt;=0,IFERROR(generateSalesData($D252, IF(ISNUMBER(_xlfn.XLOOKUP($C252,Phone_by_Sentiment!$B$2:$B$37,Phone_by_Sentiment!F$2:F$37,"",0,1)),_xlfn.XLOOKUP($C252,Phone_by_Sentiment!$B$2:$B$37,Phone_by_Sentiment!F$2:F$37,"",0,1),0),$A252-TEXT(DATEVALUE($D252&amp;"-01"), "dd-mm-yyyy")),0),0)</f>
        <v>0</v>
      </c>
      <c r="G252" cm="1">
        <f t="array" ref="G252">IF($Q252&gt;=0,IFERROR(generateSalesData($D252, IF(ISNUMBER(_xlfn.XLOOKUP($C252,Phone_by_Sentiment!$B$2:$B$37,Phone_by_Sentiment!G$2:G$37,"",0,1)),_xlfn.XLOOKUP($C252,Phone_by_Sentiment!$B$2:$B$37,Phone_by_Sentiment!G$2:G$37,"",0,1),0),$A252-TEXT(DATEVALUE($D252&amp;"-01"), "dd-mm-yyyy")),0),0)</f>
        <v>0</v>
      </c>
      <c r="H252" cm="1">
        <f t="array" ref="H252">IF($Q252&gt;=0,IFERROR(generateSalesData($D252, IF(ISNUMBER(_xlfn.XLOOKUP($C252,Phone_by_Sentiment!$B$2:$B$37,Phone_by_Sentiment!H$2:H$37,"",0,1)),_xlfn.XLOOKUP($C252,Phone_by_Sentiment!$B$2:$B$37,Phone_by_Sentiment!H$2:H$37,"",0,1),0),$A252-TEXT(DATEVALUE($D252&amp;"-01"), "dd-mm-yyyy")),0),0)</f>
        <v>0</v>
      </c>
      <c r="I252" cm="1">
        <f t="array" ref="I252">IF($Q252&gt;=0,IFERROR(generateSalesData($D252, IF(ISNUMBER(_xlfn.XLOOKUP($C252,Phone_by_Sentiment!$B$2:$B$37,Phone_by_Sentiment!I$2:I$37,"",0,1)),_xlfn.XLOOKUP($C252,Phone_by_Sentiment!$B$2:$B$37,Phone_by_Sentiment!I$2:I$37,"",0,1),0),$A252-TEXT(DATEVALUE($D252&amp;"-01"), "dd-mm-yyyy")),0),0)</f>
        <v>0</v>
      </c>
      <c r="J252" cm="1">
        <f t="array" ref="J252">IF($Q252&gt;=0,IFERROR(generateSalesData($D252, IF(ISNUMBER(_xlfn.XLOOKUP($C252,Phone_by_Sentiment!$B$2:$B$37,Phone_by_Sentiment!J$2:J$37,"",0,1)),_xlfn.XLOOKUP($C252,Phone_by_Sentiment!$B$2:$B$37,Phone_by_Sentiment!J$2:J$37,"",0,1),0),$A252-TEXT(DATEVALUE($D252&amp;"-01"), "dd-mm-yyyy")),0),0)</f>
        <v>0</v>
      </c>
      <c r="K252" cm="1">
        <f t="array" ref="K252">IF($Q252&gt;=0,IFERROR(generateSalesData($D252, IF(ISNUMBER(_xlfn.XLOOKUP($C252,Phone_by_Sentiment!$B$2:$B$37,Phone_by_Sentiment!K$2:K$37,"",0,1)),_xlfn.XLOOKUP($C252,Phone_by_Sentiment!$B$2:$B$37,Phone_by_Sentiment!K$2:K$37,"",0,1),0),$A252-TEXT(DATEVALUE($D252&amp;"-01"), "dd-mm-yyyy")),0),0)</f>
        <v>0</v>
      </c>
      <c r="L252" cm="1">
        <f t="array" ref="L252">IF($Q252&gt;=0,IFERROR(generateSalesData($D252, IF(ISNUMBER(_xlfn.XLOOKUP($C252,Phone_by_Sentiment!$B$2:$B$37,Phone_by_Sentiment!L$2:L$37,"",0,1)),_xlfn.XLOOKUP($C252,Phone_by_Sentiment!$B$2:$B$37,Phone_by_Sentiment!L$2:L$37,"",0,1),0),$A252-TEXT(DATEVALUE($D252&amp;"-01"), "dd-mm-yyyy")),0),0)</f>
        <v>0</v>
      </c>
      <c r="M252" cm="1">
        <f t="array" ref="M252">IF($Q252&gt;=0,IFERROR(generateSalesData($D252, IF(ISNUMBER(_xlfn.XLOOKUP($C252,Phone_by_Sentiment!$B$2:$B$37,Phone_by_Sentiment!M$2:M$37,"",0,1)),_xlfn.XLOOKUP($C252,Phone_by_Sentiment!$B$2:$B$37,Phone_by_Sentiment!M$2:M$37,"",0,1),0),$A252-TEXT(DATEVALUE($D252&amp;"-01"), "dd-mm-yyyy")),0),0)</f>
        <v>0</v>
      </c>
      <c r="N252" cm="1">
        <f t="array" ref="N252">IF($Q252&gt;=0,IFERROR(generateSalesData($D252, IF(ISNUMBER(_xlfn.XLOOKUP($C252,Phone_by_Sentiment!$B$2:$B$37,Phone_by_Sentiment!N$2:N$37,"",0,1)),_xlfn.XLOOKUP($C252,Phone_by_Sentiment!$B$2:$B$37,Phone_by_Sentiment!N$2:N$37,"",0,1),0),$A252-TEXT(DATEVALUE($D252&amp;"-01"), "dd-mm-yyyy")),0),0)</f>
        <v>0</v>
      </c>
      <c r="O252" cm="1">
        <f t="array" ref="O252">IF($Q252&gt;=0,IFERROR(generateSalesData($D252, IF(ISNUMBER(_xlfn.XLOOKUP($C252,Phone_by_Sentiment!$B$2:$B$37,Phone_by_Sentiment!O$2:O$37,"",0,1)),_xlfn.XLOOKUP($C252,Phone_by_Sentiment!$B$2:$B$37,Phone_by_Sentiment!O$2:O$37,"",0,1),0),$A252-TEXT(DATEVALUE($D252&amp;"-01"), "dd-mm-yyyy")),0),0)</f>
        <v>0</v>
      </c>
      <c r="P252" s="1">
        <f t="shared" si="7"/>
        <v>44317</v>
      </c>
      <c r="Q252">
        <f t="shared" si="8"/>
        <v>-639</v>
      </c>
    </row>
    <row r="253" spans="1:17" x14ac:dyDescent="0.25">
      <c r="A253" s="1">
        <f t="shared" si="0"/>
        <v>43678</v>
      </c>
      <c r="B253" t="s">
        <v>161</v>
      </c>
      <c r="C253" t="str">
        <f>_xlfn.XLOOKUP(B253,Phone_by_Price!$A$2:$A$34,Phone_by_Price!$B$2:$B$34,"-",0,1)</f>
        <v>Samsung Galaxy Z Flip 3</v>
      </c>
      <c r="D253" t="str">
        <f>_xlfn.XLOOKUP(C253,Phone_by_Sentiment!$B$2:$B$37,Phone_by_Sentiment!$A$2:$A$37,"-",0,1)</f>
        <v>2021-09</v>
      </c>
      <c r="E253" cm="1">
        <f t="array" ref="E253">IF($Q253&gt;=0,IFERROR(generateSalesData($D253, IF(ISNUMBER(_xlfn.XLOOKUP($C253,Phone_by_Sentiment!$B$2:$B$37,Phone_by_Sentiment!E$2:E$37,"",0,1)),_xlfn.XLOOKUP($C253,Phone_by_Sentiment!$B$2:$B$37,Phone_by_Sentiment!E$2:E$37,"",0,1),0),$A253-TEXT(DATEVALUE($D253&amp;"-01"), "dd-mm-yyyy")),0),0)</f>
        <v>0</v>
      </c>
      <c r="F253" cm="1">
        <f t="array" ref="F253">IF($Q253&gt;=0,IFERROR(generateSalesData($D253, IF(ISNUMBER(_xlfn.XLOOKUP($C253,Phone_by_Sentiment!$B$2:$B$37,Phone_by_Sentiment!F$2:F$37,"",0,1)),_xlfn.XLOOKUP($C253,Phone_by_Sentiment!$B$2:$B$37,Phone_by_Sentiment!F$2:F$37,"",0,1),0),$A253-TEXT(DATEVALUE($D253&amp;"-01"), "dd-mm-yyyy")),0),0)</f>
        <v>0</v>
      </c>
      <c r="G253" cm="1">
        <f t="array" ref="G253">IF($Q253&gt;=0,IFERROR(generateSalesData($D253, IF(ISNUMBER(_xlfn.XLOOKUP($C253,Phone_by_Sentiment!$B$2:$B$37,Phone_by_Sentiment!G$2:G$37,"",0,1)),_xlfn.XLOOKUP($C253,Phone_by_Sentiment!$B$2:$B$37,Phone_by_Sentiment!G$2:G$37,"",0,1),0),$A253-TEXT(DATEVALUE($D253&amp;"-01"), "dd-mm-yyyy")),0),0)</f>
        <v>0</v>
      </c>
      <c r="H253" cm="1">
        <f t="array" ref="H253">IF($Q253&gt;=0,IFERROR(generateSalesData($D253, IF(ISNUMBER(_xlfn.XLOOKUP($C253,Phone_by_Sentiment!$B$2:$B$37,Phone_by_Sentiment!H$2:H$37,"",0,1)),_xlfn.XLOOKUP($C253,Phone_by_Sentiment!$B$2:$B$37,Phone_by_Sentiment!H$2:H$37,"",0,1),0),$A253-TEXT(DATEVALUE($D253&amp;"-01"), "dd-mm-yyyy")),0),0)</f>
        <v>0</v>
      </c>
      <c r="I253" cm="1">
        <f t="array" ref="I253">IF($Q253&gt;=0,IFERROR(generateSalesData($D253, IF(ISNUMBER(_xlfn.XLOOKUP($C253,Phone_by_Sentiment!$B$2:$B$37,Phone_by_Sentiment!I$2:I$37,"",0,1)),_xlfn.XLOOKUP($C253,Phone_by_Sentiment!$B$2:$B$37,Phone_by_Sentiment!I$2:I$37,"",0,1),0),$A253-TEXT(DATEVALUE($D253&amp;"-01"), "dd-mm-yyyy")),0),0)</f>
        <v>0</v>
      </c>
      <c r="J253" cm="1">
        <f t="array" ref="J253">IF($Q253&gt;=0,IFERROR(generateSalesData($D253, IF(ISNUMBER(_xlfn.XLOOKUP($C253,Phone_by_Sentiment!$B$2:$B$37,Phone_by_Sentiment!J$2:J$37,"",0,1)),_xlfn.XLOOKUP($C253,Phone_by_Sentiment!$B$2:$B$37,Phone_by_Sentiment!J$2:J$37,"",0,1),0),$A253-TEXT(DATEVALUE($D253&amp;"-01"), "dd-mm-yyyy")),0),0)</f>
        <v>0</v>
      </c>
      <c r="K253" cm="1">
        <f t="array" ref="K253">IF($Q253&gt;=0,IFERROR(generateSalesData($D253, IF(ISNUMBER(_xlfn.XLOOKUP($C253,Phone_by_Sentiment!$B$2:$B$37,Phone_by_Sentiment!K$2:K$37,"",0,1)),_xlfn.XLOOKUP($C253,Phone_by_Sentiment!$B$2:$B$37,Phone_by_Sentiment!K$2:K$37,"",0,1),0),$A253-TEXT(DATEVALUE($D253&amp;"-01"), "dd-mm-yyyy")),0),0)</f>
        <v>0</v>
      </c>
      <c r="L253" cm="1">
        <f t="array" ref="L253">IF($Q253&gt;=0,IFERROR(generateSalesData($D253, IF(ISNUMBER(_xlfn.XLOOKUP($C253,Phone_by_Sentiment!$B$2:$B$37,Phone_by_Sentiment!L$2:L$37,"",0,1)),_xlfn.XLOOKUP($C253,Phone_by_Sentiment!$B$2:$B$37,Phone_by_Sentiment!L$2:L$37,"",0,1),0),$A253-TEXT(DATEVALUE($D253&amp;"-01"), "dd-mm-yyyy")),0),0)</f>
        <v>0</v>
      </c>
      <c r="M253" cm="1">
        <f t="array" ref="M253">IF($Q253&gt;=0,IFERROR(generateSalesData($D253, IF(ISNUMBER(_xlfn.XLOOKUP($C253,Phone_by_Sentiment!$B$2:$B$37,Phone_by_Sentiment!M$2:M$37,"",0,1)),_xlfn.XLOOKUP($C253,Phone_by_Sentiment!$B$2:$B$37,Phone_by_Sentiment!M$2:M$37,"",0,1),0),$A253-TEXT(DATEVALUE($D253&amp;"-01"), "dd-mm-yyyy")),0),0)</f>
        <v>0</v>
      </c>
      <c r="N253" cm="1">
        <f t="array" ref="N253">IF($Q253&gt;=0,IFERROR(generateSalesData($D253, IF(ISNUMBER(_xlfn.XLOOKUP($C253,Phone_by_Sentiment!$B$2:$B$37,Phone_by_Sentiment!N$2:N$37,"",0,1)),_xlfn.XLOOKUP($C253,Phone_by_Sentiment!$B$2:$B$37,Phone_by_Sentiment!N$2:N$37,"",0,1),0),$A253-TEXT(DATEVALUE($D253&amp;"-01"), "dd-mm-yyyy")),0),0)</f>
        <v>0</v>
      </c>
      <c r="O253" cm="1">
        <f t="array" ref="O253">IF($Q253&gt;=0,IFERROR(generateSalesData($D253, IF(ISNUMBER(_xlfn.XLOOKUP($C253,Phone_by_Sentiment!$B$2:$B$37,Phone_by_Sentiment!O$2:O$37,"",0,1)),_xlfn.XLOOKUP($C253,Phone_by_Sentiment!$B$2:$B$37,Phone_by_Sentiment!O$2:O$37,"",0,1),0),$A253-TEXT(DATEVALUE($D253&amp;"-01"), "dd-mm-yyyy")),0),0)</f>
        <v>0</v>
      </c>
      <c r="P253" s="1">
        <f t="shared" si="7"/>
        <v>44440</v>
      </c>
      <c r="Q253">
        <f t="shared" si="8"/>
        <v>-762</v>
      </c>
    </row>
    <row r="254" spans="1:17" x14ac:dyDescent="0.25">
      <c r="A254" s="1">
        <f t="shared" si="0"/>
        <v>43678</v>
      </c>
      <c r="B254" t="s">
        <v>162</v>
      </c>
      <c r="C254" t="str">
        <f>_xlfn.XLOOKUP(B254,Phone_by_Price!$A$2:$A$34,Phone_by_Price!$B$2:$B$34,"-",0,1)</f>
        <v>Xiaomi Poco X3 NFC</v>
      </c>
      <c r="D254" t="str">
        <f>_xlfn.XLOOKUP(C254,Phone_by_Sentiment!$B$2:$B$37,Phone_by_Sentiment!$A$2:$A$37,"-",0,1)</f>
        <v>2020-08</v>
      </c>
      <c r="E254" cm="1">
        <f t="array" ref="E254">IF($Q254&gt;=0,IFERROR(generateSalesData($D254, IF(ISNUMBER(_xlfn.XLOOKUP($C254,Phone_by_Sentiment!$B$2:$B$37,Phone_by_Sentiment!E$2:E$37,"",0,1)),_xlfn.XLOOKUP($C254,Phone_by_Sentiment!$B$2:$B$37,Phone_by_Sentiment!E$2:E$37,"",0,1),0),$A254-TEXT(DATEVALUE($D254&amp;"-01"), "dd-mm-yyyy")),0),0)</f>
        <v>0</v>
      </c>
      <c r="F254" cm="1">
        <f t="array" ref="F254">IF($Q254&gt;=0,IFERROR(generateSalesData($D254, IF(ISNUMBER(_xlfn.XLOOKUP($C254,Phone_by_Sentiment!$B$2:$B$37,Phone_by_Sentiment!F$2:F$37,"",0,1)),_xlfn.XLOOKUP($C254,Phone_by_Sentiment!$B$2:$B$37,Phone_by_Sentiment!F$2:F$37,"",0,1),0),$A254-TEXT(DATEVALUE($D254&amp;"-01"), "dd-mm-yyyy")),0),0)</f>
        <v>0</v>
      </c>
      <c r="G254" cm="1">
        <f t="array" ref="G254">IF($Q254&gt;=0,IFERROR(generateSalesData($D254, IF(ISNUMBER(_xlfn.XLOOKUP($C254,Phone_by_Sentiment!$B$2:$B$37,Phone_by_Sentiment!G$2:G$37,"",0,1)),_xlfn.XLOOKUP($C254,Phone_by_Sentiment!$B$2:$B$37,Phone_by_Sentiment!G$2:G$37,"",0,1),0),$A254-TEXT(DATEVALUE($D254&amp;"-01"), "dd-mm-yyyy")),0),0)</f>
        <v>0</v>
      </c>
      <c r="H254" cm="1">
        <f t="array" ref="H254">IF($Q254&gt;=0,IFERROR(generateSalesData($D254, IF(ISNUMBER(_xlfn.XLOOKUP($C254,Phone_by_Sentiment!$B$2:$B$37,Phone_by_Sentiment!H$2:H$37,"",0,1)),_xlfn.XLOOKUP($C254,Phone_by_Sentiment!$B$2:$B$37,Phone_by_Sentiment!H$2:H$37,"",0,1),0),$A254-TEXT(DATEVALUE($D254&amp;"-01"), "dd-mm-yyyy")),0),0)</f>
        <v>0</v>
      </c>
      <c r="I254" cm="1">
        <f t="array" ref="I254">IF($Q254&gt;=0,IFERROR(generateSalesData($D254, IF(ISNUMBER(_xlfn.XLOOKUP($C254,Phone_by_Sentiment!$B$2:$B$37,Phone_by_Sentiment!I$2:I$37,"",0,1)),_xlfn.XLOOKUP($C254,Phone_by_Sentiment!$B$2:$B$37,Phone_by_Sentiment!I$2:I$37,"",0,1),0),$A254-TEXT(DATEVALUE($D254&amp;"-01"), "dd-mm-yyyy")),0),0)</f>
        <v>0</v>
      </c>
      <c r="J254" cm="1">
        <f t="array" ref="J254">IF($Q254&gt;=0,IFERROR(generateSalesData($D254, IF(ISNUMBER(_xlfn.XLOOKUP($C254,Phone_by_Sentiment!$B$2:$B$37,Phone_by_Sentiment!J$2:J$37,"",0,1)),_xlfn.XLOOKUP($C254,Phone_by_Sentiment!$B$2:$B$37,Phone_by_Sentiment!J$2:J$37,"",0,1),0),$A254-TEXT(DATEVALUE($D254&amp;"-01"), "dd-mm-yyyy")),0),0)</f>
        <v>0</v>
      </c>
      <c r="K254" cm="1">
        <f t="array" ref="K254">IF($Q254&gt;=0,IFERROR(generateSalesData($D254, IF(ISNUMBER(_xlfn.XLOOKUP($C254,Phone_by_Sentiment!$B$2:$B$37,Phone_by_Sentiment!K$2:K$37,"",0,1)),_xlfn.XLOOKUP($C254,Phone_by_Sentiment!$B$2:$B$37,Phone_by_Sentiment!K$2:K$37,"",0,1),0),$A254-TEXT(DATEVALUE($D254&amp;"-01"), "dd-mm-yyyy")),0),0)</f>
        <v>0</v>
      </c>
      <c r="L254" cm="1">
        <f t="array" ref="L254">IF($Q254&gt;=0,IFERROR(generateSalesData($D254, IF(ISNUMBER(_xlfn.XLOOKUP($C254,Phone_by_Sentiment!$B$2:$B$37,Phone_by_Sentiment!L$2:L$37,"",0,1)),_xlfn.XLOOKUP($C254,Phone_by_Sentiment!$B$2:$B$37,Phone_by_Sentiment!L$2:L$37,"",0,1),0),$A254-TEXT(DATEVALUE($D254&amp;"-01"), "dd-mm-yyyy")),0),0)</f>
        <v>0</v>
      </c>
      <c r="M254" cm="1">
        <f t="array" ref="M254">IF($Q254&gt;=0,IFERROR(generateSalesData($D254, IF(ISNUMBER(_xlfn.XLOOKUP($C254,Phone_by_Sentiment!$B$2:$B$37,Phone_by_Sentiment!M$2:M$37,"",0,1)),_xlfn.XLOOKUP($C254,Phone_by_Sentiment!$B$2:$B$37,Phone_by_Sentiment!M$2:M$37,"",0,1),0),$A254-TEXT(DATEVALUE($D254&amp;"-01"), "dd-mm-yyyy")),0),0)</f>
        <v>0</v>
      </c>
      <c r="N254" cm="1">
        <f t="array" ref="N254">IF($Q254&gt;=0,IFERROR(generateSalesData($D254, IF(ISNUMBER(_xlfn.XLOOKUP($C254,Phone_by_Sentiment!$B$2:$B$37,Phone_by_Sentiment!N$2:N$37,"",0,1)),_xlfn.XLOOKUP($C254,Phone_by_Sentiment!$B$2:$B$37,Phone_by_Sentiment!N$2:N$37,"",0,1),0),$A254-TEXT(DATEVALUE($D254&amp;"-01"), "dd-mm-yyyy")),0),0)</f>
        <v>0</v>
      </c>
      <c r="O254" cm="1">
        <f t="array" ref="O254">IF($Q254&gt;=0,IFERROR(generateSalesData($D254, IF(ISNUMBER(_xlfn.XLOOKUP($C254,Phone_by_Sentiment!$B$2:$B$37,Phone_by_Sentiment!O$2:O$37,"",0,1)),_xlfn.XLOOKUP($C254,Phone_by_Sentiment!$B$2:$B$37,Phone_by_Sentiment!O$2:O$37,"",0,1),0),$A254-TEXT(DATEVALUE($D254&amp;"-01"), "dd-mm-yyyy")),0),0)</f>
        <v>0</v>
      </c>
      <c r="P254" s="1">
        <f t="shared" si="7"/>
        <v>44044</v>
      </c>
      <c r="Q254">
        <f t="shared" si="8"/>
        <v>-366</v>
      </c>
    </row>
    <row r="255" spans="1:17" x14ac:dyDescent="0.25">
      <c r="A255" s="1">
        <f t="shared" si="0"/>
        <v>43678</v>
      </c>
      <c r="B255" t="s">
        <v>163</v>
      </c>
      <c r="C255" t="str">
        <f>_xlfn.XLOOKUP(B255,Phone_by_Price!$A$2:$A$34,Phone_by_Price!$B$2:$B$34,"-",0,1)</f>
        <v>OPPO A93</v>
      </c>
      <c r="D255" t="str">
        <f>_xlfn.XLOOKUP(C255,Phone_by_Sentiment!$B$2:$B$37,Phone_by_Sentiment!$A$2:$A$37,"-",0,1)</f>
        <v>2021-02</v>
      </c>
      <c r="E255" cm="1">
        <f t="array" ref="E255">IF($Q255&gt;=0,IFERROR(generateSalesData($D255, IF(ISNUMBER(_xlfn.XLOOKUP($C255,Phone_by_Sentiment!$B$2:$B$37,Phone_by_Sentiment!E$2:E$37,"",0,1)),_xlfn.XLOOKUP($C255,Phone_by_Sentiment!$B$2:$B$37,Phone_by_Sentiment!E$2:E$37,"",0,1),0),$A255-TEXT(DATEVALUE($D255&amp;"-01"), "dd-mm-yyyy")),0),0)</f>
        <v>0</v>
      </c>
      <c r="F255" cm="1">
        <f t="array" ref="F255">IF($Q255&gt;=0,IFERROR(generateSalesData($D255, IF(ISNUMBER(_xlfn.XLOOKUP($C255,Phone_by_Sentiment!$B$2:$B$37,Phone_by_Sentiment!F$2:F$37,"",0,1)),_xlfn.XLOOKUP($C255,Phone_by_Sentiment!$B$2:$B$37,Phone_by_Sentiment!F$2:F$37,"",0,1),0),$A255-TEXT(DATEVALUE($D255&amp;"-01"), "dd-mm-yyyy")),0),0)</f>
        <v>0</v>
      </c>
      <c r="G255" cm="1">
        <f t="array" ref="G255">IF($Q255&gt;=0,IFERROR(generateSalesData($D255, IF(ISNUMBER(_xlfn.XLOOKUP($C255,Phone_by_Sentiment!$B$2:$B$37,Phone_by_Sentiment!G$2:G$37,"",0,1)),_xlfn.XLOOKUP($C255,Phone_by_Sentiment!$B$2:$B$37,Phone_by_Sentiment!G$2:G$37,"",0,1),0),$A255-TEXT(DATEVALUE($D255&amp;"-01"), "dd-mm-yyyy")),0),0)</f>
        <v>0</v>
      </c>
      <c r="H255" cm="1">
        <f t="array" ref="H255">IF($Q255&gt;=0,IFERROR(generateSalesData($D255, IF(ISNUMBER(_xlfn.XLOOKUP($C255,Phone_by_Sentiment!$B$2:$B$37,Phone_by_Sentiment!H$2:H$37,"",0,1)),_xlfn.XLOOKUP($C255,Phone_by_Sentiment!$B$2:$B$37,Phone_by_Sentiment!H$2:H$37,"",0,1),0),$A255-TEXT(DATEVALUE($D255&amp;"-01"), "dd-mm-yyyy")),0),0)</f>
        <v>0</v>
      </c>
      <c r="I255" cm="1">
        <f t="array" ref="I255">IF($Q255&gt;=0,IFERROR(generateSalesData($D255, IF(ISNUMBER(_xlfn.XLOOKUP($C255,Phone_by_Sentiment!$B$2:$B$37,Phone_by_Sentiment!I$2:I$37,"",0,1)),_xlfn.XLOOKUP($C255,Phone_by_Sentiment!$B$2:$B$37,Phone_by_Sentiment!I$2:I$37,"",0,1),0),$A255-TEXT(DATEVALUE($D255&amp;"-01"), "dd-mm-yyyy")),0),0)</f>
        <v>0</v>
      </c>
      <c r="J255" cm="1">
        <f t="array" ref="J255">IF($Q255&gt;=0,IFERROR(generateSalesData($D255, IF(ISNUMBER(_xlfn.XLOOKUP($C255,Phone_by_Sentiment!$B$2:$B$37,Phone_by_Sentiment!J$2:J$37,"",0,1)),_xlfn.XLOOKUP($C255,Phone_by_Sentiment!$B$2:$B$37,Phone_by_Sentiment!J$2:J$37,"",0,1),0),$A255-TEXT(DATEVALUE($D255&amp;"-01"), "dd-mm-yyyy")),0),0)</f>
        <v>0</v>
      </c>
      <c r="K255" cm="1">
        <f t="array" ref="K255">IF($Q255&gt;=0,IFERROR(generateSalesData($D255, IF(ISNUMBER(_xlfn.XLOOKUP($C255,Phone_by_Sentiment!$B$2:$B$37,Phone_by_Sentiment!K$2:K$37,"",0,1)),_xlfn.XLOOKUP($C255,Phone_by_Sentiment!$B$2:$B$37,Phone_by_Sentiment!K$2:K$37,"",0,1),0),$A255-TEXT(DATEVALUE($D255&amp;"-01"), "dd-mm-yyyy")),0),0)</f>
        <v>0</v>
      </c>
      <c r="L255" cm="1">
        <f t="array" ref="L255">IF($Q255&gt;=0,IFERROR(generateSalesData($D255, IF(ISNUMBER(_xlfn.XLOOKUP($C255,Phone_by_Sentiment!$B$2:$B$37,Phone_by_Sentiment!L$2:L$37,"",0,1)),_xlfn.XLOOKUP($C255,Phone_by_Sentiment!$B$2:$B$37,Phone_by_Sentiment!L$2:L$37,"",0,1),0),$A255-TEXT(DATEVALUE($D255&amp;"-01"), "dd-mm-yyyy")),0),0)</f>
        <v>0</v>
      </c>
      <c r="M255" cm="1">
        <f t="array" ref="M255">IF($Q255&gt;=0,IFERROR(generateSalesData($D255, IF(ISNUMBER(_xlfn.XLOOKUP($C255,Phone_by_Sentiment!$B$2:$B$37,Phone_by_Sentiment!M$2:M$37,"",0,1)),_xlfn.XLOOKUP($C255,Phone_by_Sentiment!$B$2:$B$37,Phone_by_Sentiment!M$2:M$37,"",0,1),0),$A255-TEXT(DATEVALUE($D255&amp;"-01"), "dd-mm-yyyy")),0),0)</f>
        <v>0</v>
      </c>
      <c r="N255" cm="1">
        <f t="array" ref="N255">IF($Q255&gt;=0,IFERROR(generateSalesData($D255, IF(ISNUMBER(_xlfn.XLOOKUP($C255,Phone_by_Sentiment!$B$2:$B$37,Phone_by_Sentiment!N$2:N$37,"",0,1)),_xlfn.XLOOKUP($C255,Phone_by_Sentiment!$B$2:$B$37,Phone_by_Sentiment!N$2:N$37,"",0,1),0),$A255-TEXT(DATEVALUE($D255&amp;"-01"), "dd-mm-yyyy")),0),0)</f>
        <v>0</v>
      </c>
      <c r="O255" cm="1">
        <f t="array" ref="O255">IF($Q255&gt;=0,IFERROR(generateSalesData($D255, IF(ISNUMBER(_xlfn.XLOOKUP($C255,Phone_by_Sentiment!$B$2:$B$37,Phone_by_Sentiment!O$2:O$37,"",0,1)),_xlfn.XLOOKUP($C255,Phone_by_Sentiment!$B$2:$B$37,Phone_by_Sentiment!O$2:O$37,"",0,1),0),$A255-TEXT(DATEVALUE($D255&amp;"-01"), "dd-mm-yyyy")),0),0)</f>
        <v>0</v>
      </c>
      <c r="P255" s="1">
        <f t="shared" si="7"/>
        <v>44228</v>
      </c>
      <c r="Q255">
        <f t="shared" si="8"/>
        <v>-550</v>
      </c>
    </row>
    <row r="256" spans="1:17" x14ac:dyDescent="0.25">
      <c r="A256" s="1">
        <f t="shared" si="0"/>
        <v>43678</v>
      </c>
      <c r="B256" t="s">
        <v>164</v>
      </c>
      <c r="C256" t="str">
        <f>_xlfn.XLOOKUP(B256,Phone_by_Price!$A$2:$A$34,Phone_by_Price!$B$2:$B$34,"-",0,1)</f>
        <v>Vivo V20</v>
      </c>
      <c r="D256" t="str">
        <f>_xlfn.XLOOKUP(C256,Phone_by_Sentiment!$B$2:$B$37,Phone_by_Sentiment!$A$2:$A$37,"-",0,1)</f>
        <v>2020-10</v>
      </c>
      <c r="E256" cm="1">
        <f t="array" ref="E256">IF($Q256&gt;=0,IFERROR(generateSalesData($D256, IF(ISNUMBER(_xlfn.XLOOKUP($C256,Phone_by_Sentiment!$B$2:$B$37,Phone_by_Sentiment!E$2:E$37,"",0,1)),_xlfn.XLOOKUP($C256,Phone_by_Sentiment!$B$2:$B$37,Phone_by_Sentiment!E$2:E$37,"",0,1),0),$A256-TEXT(DATEVALUE($D256&amp;"-01"), "dd-mm-yyyy")),0),0)</f>
        <v>0</v>
      </c>
      <c r="F256" cm="1">
        <f t="array" ref="F256">IF($Q256&gt;=0,IFERROR(generateSalesData($D256, IF(ISNUMBER(_xlfn.XLOOKUP($C256,Phone_by_Sentiment!$B$2:$B$37,Phone_by_Sentiment!F$2:F$37,"",0,1)),_xlfn.XLOOKUP($C256,Phone_by_Sentiment!$B$2:$B$37,Phone_by_Sentiment!F$2:F$37,"",0,1),0),$A256-TEXT(DATEVALUE($D256&amp;"-01"), "dd-mm-yyyy")),0),0)</f>
        <v>0</v>
      </c>
      <c r="G256" cm="1">
        <f t="array" ref="G256">IF($Q256&gt;=0,IFERROR(generateSalesData($D256, IF(ISNUMBER(_xlfn.XLOOKUP($C256,Phone_by_Sentiment!$B$2:$B$37,Phone_by_Sentiment!G$2:G$37,"",0,1)),_xlfn.XLOOKUP($C256,Phone_by_Sentiment!$B$2:$B$37,Phone_by_Sentiment!G$2:G$37,"",0,1),0),$A256-TEXT(DATEVALUE($D256&amp;"-01"), "dd-mm-yyyy")),0),0)</f>
        <v>0</v>
      </c>
      <c r="H256" cm="1">
        <f t="array" ref="H256">IF($Q256&gt;=0,IFERROR(generateSalesData($D256, IF(ISNUMBER(_xlfn.XLOOKUP($C256,Phone_by_Sentiment!$B$2:$B$37,Phone_by_Sentiment!H$2:H$37,"",0,1)),_xlfn.XLOOKUP($C256,Phone_by_Sentiment!$B$2:$B$37,Phone_by_Sentiment!H$2:H$37,"",0,1),0),$A256-TEXT(DATEVALUE($D256&amp;"-01"), "dd-mm-yyyy")),0),0)</f>
        <v>0</v>
      </c>
      <c r="I256" cm="1">
        <f t="array" ref="I256">IF($Q256&gt;=0,IFERROR(generateSalesData($D256, IF(ISNUMBER(_xlfn.XLOOKUP($C256,Phone_by_Sentiment!$B$2:$B$37,Phone_by_Sentiment!I$2:I$37,"",0,1)),_xlfn.XLOOKUP($C256,Phone_by_Sentiment!$B$2:$B$37,Phone_by_Sentiment!I$2:I$37,"",0,1),0),$A256-TEXT(DATEVALUE($D256&amp;"-01"), "dd-mm-yyyy")),0),0)</f>
        <v>0</v>
      </c>
      <c r="J256" cm="1">
        <f t="array" ref="J256">IF($Q256&gt;=0,IFERROR(generateSalesData($D256, IF(ISNUMBER(_xlfn.XLOOKUP($C256,Phone_by_Sentiment!$B$2:$B$37,Phone_by_Sentiment!J$2:J$37,"",0,1)),_xlfn.XLOOKUP($C256,Phone_by_Sentiment!$B$2:$B$37,Phone_by_Sentiment!J$2:J$37,"",0,1),0),$A256-TEXT(DATEVALUE($D256&amp;"-01"), "dd-mm-yyyy")),0),0)</f>
        <v>0</v>
      </c>
      <c r="K256" cm="1">
        <f t="array" ref="K256">IF($Q256&gt;=0,IFERROR(generateSalesData($D256, IF(ISNUMBER(_xlfn.XLOOKUP($C256,Phone_by_Sentiment!$B$2:$B$37,Phone_by_Sentiment!K$2:K$37,"",0,1)),_xlfn.XLOOKUP($C256,Phone_by_Sentiment!$B$2:$B$37,Phone_by_Sentiment!K$2:K$37,"",0,1),0),$A256-TEXT(DATEVALUE($D256&amp;"-01"), "dd-mm-yyyy")),0),0)</f>
        <v>0</v>
      </c>
      <c r="L256" cm="1">
        <f t="array" ref="L256">IF($Q256&gt;=0,IFERROR(generateSalesData($D256, IF(ISNUMBER(_xlfn.XLOOKUP($C256,Phone_by_Sentiment!$B$2:$B$37,Phone_by_Sentiment!L$2:L$37,"",0,1)),_xlfn.XLOOKUP($C256,Phone_by_Sentiment!$B$2:$B$37,Phone_by_Sentiment!L$2:L$37,"",0,1),0),$A256-TEXT(DATEVALUE($D256&amp;"-01"), "dd-mm-yyyy")),0),0)</f>
        <v>0</v>
      </c>
      <c r="M256" cm="1">
        <f t="array" ref="M256">IF($Q256&gt;=0,IFERROR(generateSalesData($D256, IF(ISNUMBER(_xlfn.XLOOKUP($C256,Phone_by_Sentiment!$B$2:$B$37,Phone_by_Sentiment!M$2:M$37,"",0,1)),_xlfn.XLOOKUP($C256,Phone_by_Sentiment!$B$2:$B$37,Phone_by_Sentiment!M$2:M$37,"",0,1),0),$A256-TEXT(DATEVALUE($D256&amp;"-01"), "dd-mm-yyyy")),0),0)</f>
        <v>0</v>
      </c>
      <c r="N256" cm="1">
        <f t="array" ref="N256">IF($Q256&gt;=0,IFERROR(generateSalesData($D256, IF(ISNUMBER(_xlfn.XLOOKUP($C256,Phone_by_Sentiment!$B$2:$B$37,Phone_by_Sentiment!N$2:N$37,"",0,1)),_xlfn.XLOOKUP($C256,Phone_by_Sentiment!$B$2:$B$37,Phone_by_Sentiment!N$2:N$37,"",0,1),0),$A256-TEXT(DATEVALUE($D256&amp;"-01"), "dd-mm-yyyy")),0),0)</f>
        <v>0</v>
      </c>
      <c r="O256" cm="1">
        <f t="array" ref="O256">IF($Q256&gt;=0,IFERROR(generateSalesData($D256, IF(ISNUMBER(_xlfn.XLOOKUP($C256,Phone_by_Sentiment!$B$2:$B$37,Phone_by_Sentiment!O$2:O$37,"",0,1)),_xlfn.XLOOKUP($C256,Phone_by_Sentiment!$B$2:$B$37,Phone_by_Sentiment!O$2:O$37,"",0,1),0),$A256-TEXT(DATEVALUE($D256&amp;"-01"), "dd-mm-yyyy")),0),0)</f>
        <v>0</v>
      </c>
      <c r="P256" s="1">
        <f t="shared" si="7"/>
        <v>44105</v>
      </c>
      <c r="Q256">
        <f t="shared" si="8"/>
        <v>-427</v>
      </c>
    </row>
    <row r="257" spans="1:17" x14ac:dyDescent="0.25">
      <c r="A257" s="1">
        <f t="shared" si="0"/>
        <v>43678</v>
      </c>
      <c r="B257" t="s">
        <v>165</v>
      </c>
      <c r="C257" t="str">
        <f>_xlfn.XLOOKUP(B257,Phone_by_Price!$A$2:$A$34,Phone_by_Price!$B$2:$B$34,"-",0,1)</f>
        <v>Samsung Galaxy A50</v>
      </c>
      <c r="D257" t="str">
        <f>_xlfn.XLOOKUP(C257,Phone_by_Sentiment!$B$2:$B$37,Phone_by_Sentiment!$A$2:$A$37,"-",0,1)</f>
        <v>2019-05</v>
      </c>
      <c r="E257" cm="1">
        <f t="array" ref="E257">IF($Q257&gt;=0,IFERROR(generateSalesData($D257, IF(ISNUMBER(_xlfn.XLOOKUP($C257,Phone_by_Sentiment!$B$2:$B$37,Phone_by_Sentiment!E$2:E$37,"",0,1)),_xlfn.XLOOKUP($C257,Phone_by_Sentiment!$B$2:$B$37,Phone_by_Sentiment!E$2:E$37,"",0,1),0),$A257-TEXT(DATEVALUE($D257&amp;"-01"), "dd-mm-yyyy")),0),0)</f>
        <v>1688</v>
      </c>
      <c r="F257" cm="1">
        <f t="array" ref="F257">IF($Q257&gt;=0,IFERROR(generateSalesData($D257, IF(ISNUMBER(_xlfn.XLOOKUP($C257,Phone_by_Sentiment!$B$2:$B$37,Phone_by_Sentiment!F$2:F$37,"",0,1)),_xlfn.XLOOKUP($C257,Phone_by_Sentiment!$B$2:$B$37,Phone_by_Sentiment!F$2:F$37,"",0,1),0),$A257-TEXT(DATEVALUE($D257&amp;"-01"), "dd-mm-yyyy")),0),0)</f>
        <v>522</v>
      </c>
      <c r="G257" cm="1">
        <f t="array" ref="G257">IF($Q257&gt;=0,IFERROR(generateSalesData($D257, IF(ISNUMBER(_xlfn.XLOOKUP($C257,Phone_by_Sentiment!$B$2:$B$37,Phone_by_Sentiment!G$2:G$37,"",0,1)),_xlfn.XLOOKUP($C257,Phone_by_Sentiment!$B$2:$B$37,Phone_by_Sentiment!G$2:G$37,"",0,1),0),$A257-TEXT(DATEVALUE($D257&amp;"-01"), "dd-mm-yyyy")),0),0)</f>
        <v>1347</v>
      </c>
      <c r="H257" cm="1">
        <f t="array" ref="H257">IF($Q257&gt;=0,IFERROR(generateSalesData($D257, IF(ISNUMBER(_xlfn.XLOOKUP($C257,Phone_by_Sentiment!$B$2:$B$37,Phone_by_Sentiment!H$2:H$37,"",0,1)),_xlfn.XLOOKUP($C257,Phone_by_Sentiment!$B$2:$B$37,Phone_by_Sentiment!H$2:H$37,"",0,1),0),$A257-TEXT(DATEVALUE($D257&amp;"-01"), "dd-mm-yyyy")),0),0)</f>
        <v>819</v>
      </c>
      <c r="I257" cm="1">
        <f t="array" ref="I257">IF($Q257&gt;=0,IFERROR(generateSalesData($D257, IF(ISNUMBER(_xlfn.XLOOKUP($C257,Phone_by_Sentiment!$B$2:$B$37,Phone_by_Sentiment!I$2:I$37,"",0,1)),_xlfn.XLOOKUP($C257,Phone_by_Sentiment!$B$2:$B$37,Phone_by_Sentiment!I$2:I$37,"",0,1),0),$A257-TEXT(DATEVALUE($D257&amp;"-01"), "dd-mm-yyyy")),0),0)</f>
        <v>4787</v>
      </c>
      <c r="J257" cm="1">
        <f t="array" ref="J257">IF($Q257&gt;=0,IFERROR(generateSalesData($D257, IF(ISNUMBER(_xlfn.XLOOKUP($C257,Phone_by_Sentiment!$B$2:$B$37,Phone_by_Sentiment!J$2:J$37,"",0,1)),_xlfn.XLOOKUP($C257,Phone_by_Sentiment!$B$2:$B$37,Phone_by_Sentiment!J$2:J$37,"",0,1),0),$A257-TEXT(DATEVALUE($D257&amp;"-01"), "dd-mm-yyyy")),0),0)</f>
        <v>89</v>
      </c>
      <c r="K257" cm="1">
        <f t="array" ref="K257">IF($Q257&gt;=0,IFERROR(generateSalesData($D257, IF(ISNUMBER(_xlfn.XLOOKUP($C257,Phone_by_Sentiment!$B$2:$B$37,Phone_by_Sentiment!K$2:K$37,"",0,1)),_xlfn.XLOOKUP($C257,Phone_by_Sentiment!$B$2:$B$37,Phone_by_Sentiment!K$2:K$37,"",0,1),0),$A257-TEXT(DATEVALUE($D257&amp;"-01"), "dd-mm-yyyy")),0),0)</f>
        <v>1172</v>
      </c>
      <c r="L257" cm="1">
        <f t="array" ref="L257">IF($Q257&gt;=0,IFERROR(generateSalesData($D257, IF(ISNUMBER(_xlfn.XLOOKUP($C257,Phone_by_Sentiment!$B$2:$B$37,Phone_by_Sentiment!L$2:L$37,"",0,1)),_xlfn.XLOOKUP($C257,Phone_by_Sentiment!$B$2:$B$37,Phone_by_Sentiment!L$2:L$37,"",0,1),0),$A257-TEXT(DATEVALUE($D257&amp;"-01"), "dd-mm-yyyy")),0),0)</f>
        <v>2244</v>
      </c>
      <c r="M257" cm="1">
        <f t="array" ref="M257">IF($Q257&gt;=0,IFERROR(generateSalesData($D257, IF(ISNUMBER(_xlfn.XLOOKUP($C257,Phone_by_Sentiment!$B$2:$B$37,Phone_by_Sentiment!M$2:M$37,"",0,1)),_xlfn.XLOOKUP($C257,Phone_by_Sentiment!$B$2:$B$37,Phone_by_Sentiment!M$2:M$37,"",0,1),0),$A257-TEXT(DATEVALUE($D257&amp;"-01"), "dd-mm-yyyy")),0),0)</f>
        <v>84</v>
      </c>
      <c r="N257" cm="1">
        <f t="array" ref="N257">IF($Q257&gt;=0,IFERROR(generateSalesData($D257, IF(ISNUMBER(_xlfn.XLOOKUP($C257,Phone_by_Sentiment!$B$2:$B$37,Phone_by_Sentiment!N$2:N$37,"",0,1)),_xlfn.XLOOKUP($C257,Phone_by_Sentiment!$B$2:$B$37,Phone_by_Sentiment!N$2:N$37,"",0,1),0),$A257-TEXT(DATEVALUE($D257&amp;"-01"), "dd-mm-yyyy")),0),0)</f>
        <v>2035</v>
      </c>
      <c r="O257" cm="1">
        <f t="array" ref="O257">IF($Q257&gt;=0,IFERROR(generateSalesData($D257, IF(ISNUMBER(_xlfn.XLOOKUP($C257,Phone_by_Sentiment!$B$2:$B$37,Phone_by_Sentiment!O$2:O$37,"",0,1)),_xlfn.XLOOKUP($C257,Phone_by_Sentiment!$B$2:$B$37,Phone_by_Sentiment!O$2:O$37,"",0,1),0),$A257-TEXT(DATEVALUE($D257&amp;"-01"), "dd-mm-yyyy")),0),0)</f>
        <v>2347</v>
      </c>
      <c r="P257" s="1">
        <f t="shared" si="7"/>
        <v>43586</v>
      </c>
      <c r="Q257">
        <f t="shared" si="8"/>
        <v>92</v>
      </c>
    </row>
    <row r="258" spans="1:17" x14ac:dyDescent="0.25">
      <c r="A258" s="1">
        <f t="shared" si="0"/>
        <v>43678</v>
      </c>
      <c r="B258" t="s">
        <v>166</v>
      </c>
      <c r="C258" t="str">
        <f>_xlfn.XLOOKUP(B258,Phone_by_Price!$A$2:$A$34,Phone_by_Price!$B$2:$B$34,"-",0,1)</f>
        <v>Xiaomi Redmi Note 7</v>
      </c>
      <c r="D258" t="str">
        <f>_xlfn.XLOOKUP(C258,Phone_by_Sentiment!$B$2:$B$37,Phone_by_Sentiment!$A$2:$A$37,"-",0,1)</f>
        <v>2019-08</v>
      </c>
      <c r="E258" cm="1">
        <f t="array" ref="E258">IF($Q258&gt;=0,IFERROR(generateSalesData($D258, IF(ISNUMBER(_xlfn.XLOOKUP($C258,Phone_by_Sentiment!$B$2:$B$37,Phone_by_Sentiment!E$2:E$37,"",0,1)),_xlfn.XLOOKUP($C258,Phone_by_Sentiment!$B$2:$B$37,Phone_by_Sentiment!E$2:E$37,"",0,1),0),$A258-TEXT(DATEVALUE($D258&amp;"-01"), "dd-mm-yyyy")),0),0)</f>
        <v>2392</v>
      </c>
      <c r="F258" cm="1">
        <f t="array" ref="F258">IF($Q258&gt;=0,IFERROR(generateSalesData($D258, IF(ISNUMBER(_xlfn.XLOOKUP($C258,Phone_by_Sentiment!$B$2:$B$37,Phone_by_Sentiment!F$2:F$37,"",0,1)),_xlfn.XLOOKUP($C258,Phone_by_Sentiment!$B$2:$B$37,Phone_by_Sentiment!F$2:F$37,"",0,1),0),$A258-TEXT(DATEVALUE($D258&amp;"-01"), "dd-mm-yyyy")),0),0)</f>
        <v>2474</v>
      </c>
      <c r="G258" cm="1">
        <f t="array" ref="G258">IF($Q258&gt;=0,IFERROR(generateSalesData($D258, IF(ISNUMBER(_xlfn.XLOOKUP($C258,Phone_by_Sentiment!$B$2:$B$37,Phone_by_Sentiment!G$2:G$37,"",0,1)),_xlfn.XLOOKUP($C258,Phone_by_Sentiment!$B$2:$B$37,Phone_by_Sentiment!G$2:G$37,"",0,1),0),$A258-TEXT(DATEVALUE($D258&amp;"-01"), "dd-mm-yyyy")),0),0)</f>
        <v>1628</v>
      </c>
      <c r="H258" cm="1">
        <f t="array" ref="H258">IF($Q258&gt;=0,IFERROR(generateSalesData($D258, IF(ISNUMBER(_xlfn.XLOOKUP($C258,Phone_by_Sentiment!$B$2:$B$37,Phone_by_Sentiment!H$2:H$37,"",0,1)),_xlfn.XLOOKUP($C258,Phone_by_Sentiment!$B$2:$B$37,Phone_by_Sentiment!H$2:H$37,"",0,1),0),$A258-TEXT(DATEVALUE($D258&amp;"-01"), "dd-mm-yyyy")),0),0)</f>
        <v>17157</v>
      </c>
      <c r="I258" cm="1">
        <f t="array" ref="I258">IF($Q258&gt;=0,IFERROR(generateSalesData($D258, IF(ISNUMBER(_xlfn.XLOOKUP($C258,Phone_by_Sentiment!$B$2:$B$37,Phone_by_Sentiment!I$2:I$37,"",0,1)),_xlfn.XLOOKUP($C258,Phone_by_Sentiment!$B$2:$B$37,Phone_by_Sentiment!I$2:I$37,"",0,1),0),$A258-TEXT(DATEVALUE($D258&amp;"-01"), "dd-mm-yyyy")),0),0)</f>
        <v>2947</v>
      </c>
      <c r="J258" cm="1">
        <f t="array" ref="J258">IF($Q258&gt;=0,IFERROR(generateSalesData($D258, IF(ISNUMBER(_xlfn.XLOOKUP($C258,Phone_by_Sentiment!$B$2:$B$37,Phone_by_Sentiment!J$2:J$37,"",0,1)),_xlfn.XLOOKUP($C258,Phone_by_Sentiment!$B$2:$B$37,Phone_by_Sentiment!J$2:J$37,"",0,1),0),$A258-TEXT(DATEVALUE($D258&amp;"-01"), "dd-mm-yyyy")),0),0)</f>
        <v>3630</v>
      </c>
      <c r="K258" cm="1">
        <f t="array" ref="K258">IF($Q258&gt;=0,IFERROR(generateSalesData($D258, IF(ISNUMBER(_xlfn.XLOOKUP($C258,Phone_by_Sentiment!$B$2:$B$37,Phone_by_Sentiment!K$2:K$37,"",0,1)),_xlfn.XLOOKUP($C258,Phone_by_Sentiment!$B$2:$B$37,Phone_by_Sentiment!K$2:K$37,"",0,1),0),$A258-TEXT(DATEVALUE($D258&amp;"-01"), "dd-mm-yyyy")),0),0)</f>
        <v>2745</v>
      </c>
      <c r="L258" cm="1">
        <f t="array" ref="L258">IF($Q258&gt;=0,IFERROR(generateSalesData($D258, IF(ISNUMBER(_xlfn.XLOOKUP($C258,Phone_by_Sentiment!$B$2:$B$37,Phone_by_Sentiment!L$2:L$37,"",0,1)),_xlfn.XLOOKUP($C258,Phone_by_Sentiment!$B$2:$B$37,Phone_by_Sentiment!L$2:L$37,"",0,1),0),$A258-TEXT(DATEVALUE($D258&amp;"-01"), "dd-mm-yyyy")),0),0)</f>
        <v>3899</v>
      </c>
      <c r="M258" cm="1">
        <f t="array" ref="M258">IF($Q258&gt;=0,IFERROR(generateSalesData($D258, IF(ISNUMBER(_xlfn.XLOOKUP($C258,Phone_by_Sentiment!$B$2:$B$37,Phone_by_Sentiment!M$2:M$37,"",0,1)),_xlfn.XLOOKUP($C258,Phone_by_Sentiment!$B$2:$B$37,Phone_by_Sentiment!M$2:M$37,"",0,1),0),$A258-TEXT(DATEVALUE($D258&amp;"-01"), "dd-mm-yyyy")),0),0)</f>
        <v>6299</v>
      </c>
      <c r="N258" cm="1">
        <f t="array" ref="N258">IF($Q258&gt;=0,IFERROR(generateSalesData($D258, IF(ISNUMBER(_xlfn.XLOOKUP($C258,Phone_by_Sentiment!$B$2:$B$37,Phone_by_Sentiment!N$2:N$37,"",0,1)),_xlfn.XLOOKUP($C258,Phone_by_Sentiment!$B$2:$B$37,Phone_by_Sentiment!N$2:N$37,"",0,1),0),$A258-TEXT(DATEVALUE($D258&amp;"-01"), "dd-mm-yyyy")),0),0)</f>
        <v>1089</v>
      </c>
      <c r="O258" cm="1">
        <f t="array" ref="O258">IF($Q258&gt;=0,IFERROR(generateSalesData($D258, IF(ISNUMBER(_xlfn.XLOOKUP($C258,Phone_by_Sentiment!$B$2:$B$37,Phone_by_Sentiment!O$2:O$37,"",0,1)),_xlfn.XLOOKUP($C258,Phone_by_Sentiment!$B$2:$B$37,Phone_by_Sentiment!O$2:O$37,"",0,1),0),$A258-TEXT(DATEVALUE($D258&amp;"-01"), "dd-mm-yyyy")),0),0)</f>
        <v>11796</v>
      </c>
      <c r="P258" s="1">
        <f t="shared" si="7"/>
        <v>43678</v>
      </c>
      <c r="Q258">
        <f t="shared" si="8"/>
        <v>0</v>
      </c>
    </row>
    <row r="259" spans="1:17" x14ac:dyDescent="0.25">
      <c r="A259" s="1">
        <f t="shared" ref="A259:A322" si="9">DATE(YEAR($A$1), MONTH($A$1) + INT((ROW()-1)/35), DAY($A$1))</f>
        <v>43678</v>
      </c>
      <c r="B259" t="s">
        <v>167</v>
      </c>
      <c r="C259" t="str">
        <f>_xlfn.XLOOKUP(B259,Phone_by_Price!$A$2:$A$34,Phone_by_Price!$B$2:$B$34,"-",0,1)</f>
        <v>Realme C21</v>
      </c>
      <c r="D259" t="str">
        <f>_xlfn.XLOOKUP(C259,Phone_by_Sentiment!$B$2:$B$37,Phone_by_Sentiment!$A$2:$A$37,"-",0,1)</f>
        <v>2021-04</v>
      </c>
      <c r="E259" cm="1">
        <f t="array" ref="E259">IF($Q259&gt;=0,IFERROR(generateSalesData($D259, IF(ISNUMBER(_xlfn.XLOOKUP($C259,Phone_by_Sentiment!$B$2:$B$37,Phone_by_Sentiment!E$2:E$37,"",0,1)),_xlfn.XLOOKUP($C259,Phone_by_Sentiment!$B$2:$B$37,Phone_by_Sentiment!E$2:E$37,"",0,1),0),$A259-TEXT(DATEVALUE($D259&amp;"-01"), "dd-mm-yyyy")),0),0)</f>
        <v>0</v>
      </c>
      <c r="F259" cm="1">
        <f t="array" ref="F259">IF($Q259&gt;=0,IFERROR(generateSalesData($D259, IF(ISNUMBER(_xlfn.XLOOKUP($C259,Phone_by_Sentiment!$B$2:$B$37,Phone_by_Sentiment!F$2:F$37,"",0,1)),_xlfn.XLOOKUP($C259,Phone_by_Sentiment!$B$2:$B$37,Phone_by_Sentiment!F$2:F$37,"",0,1),0),$A259-TEXT(DATEVALUE($D259&amp;"-01"), "dd-mm-yyyy")),0),0)</f>
        <v>0</v>
      </c>
      <c r="G259" cm="1">
        <f t="array" ref="G259">IF($Q259&gt;=0,IFERROR(generateSalesData($D259, IF(ISNUMBER(_xlfn.XLOOKUP($C259,Phone_by_Sentiment!$B$2:$B$37,Phone_by_Sentiment!G$2:G$37,"",0,1)),_xlfn.XLOOKUP($C259,Phone_by_Sentiment!$B$2:$B$37,Phone_by_Sentiment!G$2:G$37,"",0,1),0),$A259-TEXT(DATEVALUE($D259&amp;"-01"), "dd-mm-yyyy")),0),0)</f>
        <v>0</v>
      </c>
      <c r="H259" cm="1">
        <f t="array" ref="H259">IF($Q259&gt;=0,IFERROR(generateSalesData($D259, IF(ISNUMBER(_xlfn.XLOOKUP($C259,Phone_by_Sentiment!$B$2:$B$37,Phone_by_Sentiment!H$2:H$37,"",0,1)),_xlfn.XLOOKUP($C259,Phone_by_Sentiment!$B$2:$B$37,Phone_by_Sentiment!H$2:H$37,"",0,1),0),$A259-TEXT(DATEVALUE($D259&amp;"-01"), "dd-mm-yyyy")),0),0)</f>
        <v>0</v>
      </c>
      <c r="I259" cm="1">
        <f t="array" ref="I259">IF($Q259&gt;=0,IFERROR(generateSalesData($D259, IF(ISNUMBER(_xlfn.XLOOKUP($C259,Phone_by_Sentiment!$B$2:$B$37,Phone_by_Sentiment!I$2:I$37,"",0,1)),_xlfn.XLOOKUP($C259,Phone_by_Sentiment!$B$2:$B$37,Phone_by_Sentiment!I$2:I$37,"",0,1),0),$A259-TEXT(DATEVALUE($D259&amp;"-01"), "dd-mm-yyyy")),0),0)</f>
        <v>0</v>
      </c>
      <c r="J259" cm="1">
        <f t="array" ref="J259">IF($Q259&gt;=0,IFERROR(generateSalesData($D259, IF(ISNUMBER(_xlfn.XLOOKUP($C259,Phone_by_Sentiment!$B$2:$B$37,Phone_by_Sentiment!J$2:J$37,"",0,1)),_xlfn.XLOOKUP($C259,Phone_by_Sentiment!$B$2:$B$37,Phone_by_Sentiment!J$2:J$37,"",0,1),0),$A259-TEXT(DATEVALUE($D259&amp;"-01"), "dd-mm-yyyy")),0),0)</f>
        <v>0</v>
      </c>
      <c r="K259" cm="1">
        <f t="array" ref="K259">IF($Q259&gt;=0,IFERROR(generateSalesData($D259, IF(ISNUMBER(_xlfn.XLOOKUP($C259,Phone_by_Sentiment!$B$2:$B$37,Phone_by_Sentiment!K$2:K$37,"",0,1)),_xlfn.XLOOKUP($C259,Phone_by_Sentiment!$B$2:$B$37,Phone_by_Sentiment!K$2:K$37,"",0,1),0),$A259-TEXT(DATEVALUE($D259&amp;"-01"), "dd-mm-yyyy")),0),0)</f>
        <v>0</v>
      </c>
      <c r="L259" cm="1">
        <f t="array" ref="L259">IF($Q259&gt;=0,IFERROR(generateSalesData($D259, IF(ISNUMBER(_xlfn.XLOOKUP($C259,Phone_by_Sentiment!$B$2:$B$37,Phone_by_Sentiment!L$2:L$37,"",0,1)),_xlfn.XLOOKUP($C259,Phone_by_Sentiment!$B$2:$B$37,Phone_by_Sentiment!L$2:L$37,"",0,1),0),$A259-TEXT(DATEVALUE($D259&amp;"-01"), "dd-mm-yyyy")),0),0)</f>
        <v>0</v>
      </c>
      <c r="M259" cm="1">
        <f t="array" ref="M259">IF($Q259&gt;=0,IFERROR(generateSalesData($D259, IF(ISNUMBER(_xlfn.XLOOKUP($C259,Phone_by_Sentiment!$B$2:$B$37,Phone_by_Sentiment!M$2:M$37,"",0,1)),_xlfn.XLOOKUP($C259,Phone_by_Sentiment!$B$2:$B$37,Phone_by_Sentiment!M$2:M$37,"",0,1),0),$A259-TEXT(DATEVALUE($D259&amp;"-01"), "dd-mm-yyyy")),0),0)</f>
        <v>0</v>
      </c>
      <c r="N259" cm="1">
        <f t="array" ref="N259">IF($Q259&gt;=0,IFERROR(generateSalesData($D259, IF(ISNUMBER(_xlfn.XLOOKUP($C259,Phone_by_Sentiment!$B$2:$B$37,Phone_by_Sentiment!N$2:N$37,"",0,1)),_xlfn.XLOOKUP($C259,Phone_by_Sentiment!$B$2:$B$37,Phone_by_Sentiment!N$2:N$37,"",0,1),0),$A259-TEXT(DATEVALUE($D259&amp;"-01"), "dd-mm-yyyy")),0),0)</f>
        <v>0</v>
      </c>
      <c r="O259" cm="1">
        <f t="array" ref="O259">IF($Q259&gt;=0,IFERROR(generateSalesData($D259, IF(ISNUMBER(_xlfn.XLOOKUP($C259,Phone_by_Sentiment!$B$2:$B$37,Phone_by_Sentiment!O$2:O$37,"",0,1)),_xlfn.XLOOKUP($C259,Phone_by_Sentiment!$B$2:$B$37,Phone_by_Sentiment!O$2:O$37,"",0,1),0),$A259-TEXT(DATEVALUE($D259&amp;"-01"), "dd-mm-yyyy")),0),0)</f>
        <v>0</v>
      </c>
      <c r="P259" s="1">
        <f t="shared" si="7"/>
        <v>44287</v>
      </c>
      <c r="Q259">
        <f t="shared" si="8"/>
        <v>-609</v>
      </c>
    </row>
    <row r="260" spans="1:17" x14ac:dyDescent="0.25">
      <c r="A260" s="1">
        <f t="shared" si="9"/>
        <v>43678</v>
      </c>
      <c r="B260" t="s">
        <v>168</v>
      </c>
      <c r="C260" t="str">
        <f>_xlfn.XLOOKUP(B260,Phone_by_Price!$A$2:$A$34,Phone_by_Price!$B$2:$B$34,"-",0,1)</f>
        <v>Google Pixel 4</v>
      </c>
      <c r="D260" t="str">
        <f>_xlfn.XLOOKUP(C260,Phone_by_Sentiment!$B$2:$B$37,Phone_by_Sentiment!$A$2:$A$37,"-",0,1)</f>
        <v>2019-09</v>
      </c>
      <c r="E260" cm="1">
        <f t="array" ref="E260">IF($Q260&gt;=0,IFERROR(generateSalesData($D260, IF(ISNUMBER(_xlfn.XLOOKUP($C260,Phone_by_Sentiment!$B$2:$B$37,Phone_by_Sentiment!E$2:E$37,"",0,1)),_xlfn.XLOOKUP($C260,Phone_by_Sentiment!$B$2:$B$37,Phone_by_Sentiment!E$2:E$37,"",0,1),0),$A260-TEXT(DATEVALUE($D260&amp;"-01"), "dd-mm-yyyy")),0),0)</f>
        <v>0</v>
      </c>
      <c r="F260" cm="1">
        <f t="array" ref="F260">IF($Q260&gt;=0,IFERROR(generateSalesData($D260, IF(ISNUMBER(_xlfn.XLOOKUP($C260,Phone_by_Sentiment!$B$2:$B$37,Phone_by_Sentiment!F$2:F$37,"",0,1)),_xlfn.XLOOKUP($C260,Phone_by_Sentiment!$B$2:$B$37,Phone_by_Sentiment!F$2:F$37,"",0,1),0),$A260-TEXT(DATEVALUE($D260&amp;"-01"), "dd-mm-yyyy")),0),0)</f>
        <v>0</v>
      </c>
      <c r="G260" cm="1">
        <f t="array" ref="G260">IF($Q260&gt;=0,IFERROR(generateSalesData($D260, IF(ISNUMBER(_xlfn.XLOOKUP($C260,Phone_by_Sentiment!$B$2:$B$37,Phone_by_Sentiment!G$2:G$37,"",0,1)),_xlfn.XLOOKUP($C260,Phone_by_Sentiment!$B$2:$B$37,Phone_by_Sentiment!G$2:G$37,"",0,1),0),$A260-TEXT(DATEVALUE($D260&amp;"-01"), "dd-mm-yyyy")),0),0)</f>
        <v>0</v>
      </c>
      <c r="H260" cm="1">
        <f t="array" ref="H260">IF($Q260&gt;=0,IFERROR(generateSalesData($D260, IF(ISNUMBER(_xlfn.XLOOKUP($C260,Phone_by_Sentiment!$B$2:$B$37,Phone_by_Sentiment!H$2:H$37,"",0,1)),_xlfn.XLOOKUP($C260,Phone_by_Sentiment!$B$2:$B$37,Phone_by_Sentiment!H$2:H$37,"",0,1),0),$A260-TEXT(DATEVALUE($D260&amp;"-01"), "dd-mm-yyyy")),0),0)</f>
        <v>0</v>
      </c>
      <c r="I260" cm="1">
        <f t="array" ref="I260">IF($Q260&gt;=0,IFERROR(generateSalesData($D260, IF(ISNUMBER(_xlfn.XLOOKUP($C260,Phone_by_Sentiment!$B$2:$B$37,Phone_by_Sentiment!I$2:I$37,"",0,1)),_xlfn.XLOOKUP($C260,Phone_by_Sentiment!$B$2:$B$37,Phone_by_Sentiment!I$2:I$37,"",0,1),0),$A260-TEXT(DATEVALUE($D260&amp;"-01"), "dd-mm-yyyy")),0),0)</f>
        <v>0</v>
      </c>
      <c r="J260" cm="1">
        <f t="array" ref="J260">IF($Q260&gt;=0,IFERROR(generateSalesData($D260, IF(ISNUMBER(_xlfn.XLOOKUP($C260,Phone_by_Sentiment!$B$2:$B$37,Phone_by_Sentiment!J$2:J$37,"",0,1)),_xlfn.XLOOKUP($C260,Phone_by_Sentiment!$B$2:$B$37,Phone_by_Sentiment!J$2:J$37,"",0,1),0),$A260-TEXT(DATEVALUE($D260&amp;"-01"), "dd-mm-yyyy")),0),0)</f>
        <v>0</v>
      </c>
      <c r="K260" cm="1">
        <f t="array" ref="K260">IF($Q260&gt;=0,IFERROR(generateSalesData($D260, IF(ISNUMBER(_xlfn.XLOOKUP($C260,Phone_by_Sentiment!$B$2:$B$37,Phone_by_Sentiment!K$2:K$37,"",0,1)),_xlfn.XLOOKUP($C260,Phone_by_Sentiment!$B$2:$B$37,Phone_by_Sentiment!K$2:K$37,"",0,1),0),$A260-TEXT(DATEVALUE($D260&amp;"-01"), "dd-mm-yyyy")),0),0)</f>
        <v>0</v>
      </c>
      <c r="L260" cm="1">
        <f t="array" ref="L260">IF($Q260&gt;=0,IFERROR(generateSalesData($D260, IF(ISNUMBER(_xlfn.XLOOKUP($C260,Phone_by_Sentiment!$B$2:$B$37,Phone_by_Sentiment!L$2:L$37,"",0,1)),_xlfn.XLOOKUP($C260,Phone_by_Sentiment!$B$2:$B$37,Phone_by_Sentiment!L$2:L$37,"",0,1),0),$A260-TEXT(DATEVALUE($D260&amp;"-01"), "dd-mm-yyyy")),0),0)</f>
        <v>0</v>
      </c>
      <c r="M260" cm="1">
        <f t="array" ref="M260">IF($Q260&gt;=0,IFERROR(generateSalesData($D260, IF(ISNUMBER(_xlfn.XLOOKUP($C260,Phone_by_Sentiment!$B$2:$B$37,Phone_by_Sentiment!M$2:M$37,"",0,1)),_xlfn.XLOOKUP($C260,Phone_by_Sentiment!$B$2:$B$37,Phone_by_Sentiment!M$2:M$37,"",0,1),0),$A260-TEXT(DATEVALUE($D260&amp;"-01"), "dd-mm-yyyy")),0),0)</f>
        <v>0</v>
      </c>
      <c r="N260" cm="1">
        <f t="array" ref="N260">IF($Q260&gt;=0,IFERROR(generateSalesData($D260, IF(ISNUMBER(_xlfn.XLOOKUP($C260,Phone_by_Sentiment!$B$2:$B$37,Phone_by_Sentiment!N$2:N$37,"",0,1)),_xlfn.XLOOKUP($C260,Phone_by_Sentiment!$B$2:$B$37,Phone_by_Sentiment!N$2:N$37,"",0,1),0),$A260-TEXT(DATEVALUE($D260&amp;"-01"), "dd-mm-yyyy")),0),0)</f>
        <v>0</v>
      </c>
      <c r="O260" cm="1">
        <f t="array" ref="O260">IF($Q260&gt;=0,IFERROR(generateSalesData($D260, IF(ISNUMBER(_xlfn.XLOOKUP($C260,Phone_by_Sentiment!$B$2:$B$37,Phone_by_Sentiment!O$2:O$37,"",0,1)),_xlfn.XLOOKUP($C260,Phone_by_Sentiment!$B$2:$B$37,Phone_by_Sentiment!O$2:O$37,"",0,1),0),$A260-TEXT(DATEVALUE($D260&amp;"-01"), "dd-mm-yyyy")),0),0)</f>
        <v>0</v>
      </c>
      <c r="P260" s="1">
        <f t="shared" ref="P260:P323" si="10">DATEVALUE($D260&amp;"-01")</f>
        <v>43709</v>
      </c>
      <c r="Q260">
        <f t="shared" ref="Q260:Q323" si="11">A260-P260</f>
        <v>-31</v>
      </c>
    </row>
    <row r="261" spans="1:17" x14ac:dyDescent="0.25">
      <c r="A261" s="1">
        <f t="shared" si="9"/>
        <v>43678</v>
      </c>
      <c r="B261" t="s">
        <v>169</v>
      </c>
      <c r="C261" t="str">
        <f>_xlfn.XLOOKUP(B261,Phone_by_Price!$A$2:$A$34,Phone_by_Price!$B$2:$B$34,"-",0,1)</f>
        <v>Samsung Galaxy A10s</v>
      </c>
      <c r="D261" t="str">
        <f>_xlfn.XLOOKUP(C261,Phone_by_Sentiment!$B$2:$B$37,Phone_by_Sentiment!$A$2:$A$37,"-",0,1)</f>
        <v>2019-08</v>
      </c>
      <c r="E261" cm="1">
        <f t="array" ref="E261">IF($Q261&gt;=0,IFERROR(generateSalesData($D261, IF(ISNUMBER(_xlfn.XLOOKUP($C261,Phone_by_Sentiment!$B$2:$B$37,Phone_by_Sentiment!E$2:E$37,"",0,1)),_xlfn.XLOOKUP($C261,Phone_by_Sentiment!$B$2:$B$37,Phone_by_Sentiment!E$2:E$37,"",0,1),0),$A261-TEXT(DATEVALUE($D261&amp;"-01"), "dd-mm-yyyy")),0),0)</f>
        <v>73</v>
      </c>
      <c r="F261" cm="1">
        <f t="array" ref="F261">IF($Q261&gt;=0,IFERROR(generateSalesData($D261, IF(ISNUMBER(_xlfn.XLOOKUP($C261,Phone_by_Sentiment!$B$2:$B$37,Phone_by_Sentiment!F$2:F$37,"",0,1)),_xlfn.XLOOKUP($C261,Phone_by_Sentiment!$B$2:$B$37,Phone_by_Sentiment!F$2:F$37,"",0,1),0),$A261-TEXT(DATEVALUE($D261&amp;"-01"), "dd-mm-yyyy")),0),0)</f>
        <v>6383</v>
      </c>
      <c r="G261" cm="1">
        <f t="array" ref="G261">IF($Q261&gt;=0,IFERROR(generateSalesData($D261, IF(ISNUMBER(_xlfn.XLOOKUP($C261,Phone_by_Sentiment!$B$2:$B$37,Phone_by_Sentiment!G$2:G$37,"",0,1)),_xlfn.XLOOKUP($C261,Phone_by_Sentiment!$B$2:$B$37,Phone_by_Sentiment!G$2:G$37,"",0,1),0),$A261-TEXT(DATEVALUE($D261&amp;"-01"), "dd-mm-yyyy")),0),0)</f>
        <v>4051</v>
      </c>
      <c r="H261" cm="1">
        <f t="array" ref="H261">IF($Q261&gt;=0,IFERROR(generateSalesData($D261, IF(ISNUMBER(_xlfn.XLOOKUP($C261,Phone_by_Sentiment!$B$2:$B$37,Phone_by_Sentiment!H$2:H$37,"",0,1)),_xlfn.XLOOKUP($C261,Phone_by_Sentiment!$B$2:$B$37,Phone_by_Sentiment!H$2:H$37,"",0,1),0),$A261-TEXT(DATEVALUE($D261&amp;"-01"), "dd-mm-yyyy")),0),0)</f>
        <v>5846</v>
      </c>
      <c r="I261" cm="1">
        <f t="array" ref="I261">IF($Q261&gt;=0,IFERROR(generateSalesData($D261, IF(ISNUMBER(_xlfn.XLOOKUP($C261,Phone_by_Sentiment!$B$2:$B$37,Phone_by_Sentiment!I$2:I$37,"",0,1)),_xlfn.XLOOKUP($C261,Phone_by_Sentiment!$B$2:$B$37,Phone_by_Sentiment!I$2:I$37,"",0,1),0),$A261-TEXT(DATEVALUE($D261&amp;"-01"), "dd-mm-yyyy")),0),0)</f>
        <v>4873</v>
      </c>
      <c r="J261" cm="1">
        <f t="array" ref="J261">IF($Q261&gt;=0,IFERROR(generateSalesData($D261, IF(ISNUMBER(_xlfn.XLOOKUP($C261,Phone_by_Sentiment!$B$2:$B$37,Phone_by_Sentiment!J$2:J$37,"",0,1)),_xlfn.XLOOKUP($C261,Phone_by_Sentiment!$B$2:$B$37,Phone_by_Sentiment!J$2:J$37,"",0,1),0),$A261-TEXT(DATEVALUE($D261&amp;"-01"), "dd-mm-yyyy")),0),0)</f>
        <v>2183</v>
      </c>
      <c r="K261" cm="1">
        <f t="array" ref="K261">IF($Q261&gt;=0,IFERROR(generateSalesData($D261, IF(ISNUMBER(_xlfn.XLOOKUP($C261,Phone_by_Sentiment!$B$2:$B$37,Phone_by_Sentiment!K$2:K$37,"",0,1)),_xlfn.XLOOKUP($C261,Phone_by_Sentiment!$B$2:$B$37,Phone_by_Sentiment!K$2:K$37,"",0,1),0),$A261-TEXT(DATEVALUE($D261&amp;"-01"), "dd-mm-yyyy")),0),0)</f>
        <v>7720</v>
      </c>
      <c r="L261" cm="1">
        <f t="array" ref="L261">IF($Q261&gt;=0,IFERROR(generateSalesData($D261, IF(ISNUMBER(_xlfn.XLOOKUP($C261,Phone_by_Sentiment!$B$2:$B$37,Phone_by_Sentiment!L$2:L$37,"",0,1)),_xlfn.XLOOKUP($C261,Phone_by_Sentiment!$B$2:$B$37,Phone_by_Sentiment!L$2:L$37,"",0,1),0),$A261-TEXT(DATEVALUE($D261&amp;"-01"), "dd-mm-yyyy")),0),0)</f>
        <v>1717</v>
      </c>
      <c r="M261" cm="1">
        <f t="array" ref="M261">IF($Q261&gt;=0,IFERROR(generateSalesData($D261, IF(ISNUMBER(_xlfn.XLOOKUP($C261,Phone_by_Sentiment!$B$2:$B$37,Phone_by_Sentiment!M$2:M$37,"",0,1)),_xlfn.XLOOKUP($C261,Phone_by_Sentiment!$B$2:$B$37,Phone_by_Sentiment!M$2:M$37,"",0,1),0),$A261-TEXT(DATEVALUE($D261&amp;"-01"), "dd-mm-yyyy")),0),0)</f>
        <v>6273</v>
      </c>
      <c r="N261" cm="1">
        <f t="array" ref="N261">IF($Q261&gt;=0,IFERROR(generateSalesData($D261, IF(ISNUMBER(_xlfn.XLOOKUP($C261,Phone_by_Sentiment!$B$2:$B$37,Phone_by_Sentiment!N$2:N$37,"",0,1)),_xlfn.XLOOKUP($C261,Phone_by_Sentiment!$B$2:$B$37,Phone_by_Sentiment!N$2:N$37,"",0,1),0),$A261-TEXT(DATEVALUE($D261&amp;"-01"), "dd-mm-yyyy")),0),0)</f>
        <v>5048</v>
      </c>
      <c r="O261" cm="1">
        <f t="array" ref="O261">IF($Q261&gt;=0,IFERROR(generateSalesData($D261, IF(ISNUMBER(_xlfn.XLOOKUP($C261,Phone_by_Sentiment!$B$2:$B$37,Phone_by_Sentiment!O$2:O$37,"",0,1)),_xlfn.XLOOKUP($C261,Phone_by_Sentiment!$B$2:$B$37,Phone_by_Sentiment!O$2:O$37,"",0,1),0),$A261-TEXT(DATEVALUE($D261&amp;"-01"), "dd-mm-yyyy")),0),0)</f>
        <v>8292</v>
      </c>
      <c r="P261" s="1">
        <f t="shared" si="10"/>
        <v>43678</v>
      </c>
      <c r="Q261">
        <f t="shared" si="11"/>
        <v>0</v>
      </c>
    </row>
    <row r="262" spans="1:17" x14ac:dyDescent="0.25">
      <c r="A262" s="1">
        <f t="shared" si="9"/>
        <v>43678</v>
      </c>
      <c r="B262" t="s">
        <v>170</v>
      </c>
      <c r="C262" t="str">
        <f>_xlfn.XLOOKUP(B262,Phone_by_Price!$A$2:$A$34,Phone_by_Price!$B$2:$B$34,"-",0,1)</f>
        <v>Realme Narzo 30A</v>
      </c>
      <c r="D262" t="str">
        <f>_xlfn.XLOOKUP(C262,Phone_by_Sentiment!$B$2:$B$37,Phone_by_Sentiment!$A$2:$A$37,"-",0,1)</f>
        <v>2021-02</v>
      </c>
      <c r="E262" cm="1">
        <f t="array" ref="E262">IF($Q262&gt;=0,IFERROR(generateSalesData($D262, IF(ISNUMBER(_xlfn.XLOOKUP($C262,Phone_by_Sentiment!$B$2:$B$37,Phone_by_Sentiment!E$2:E$37,"",0,1)),_xlfn.XLOOKUP($C262,Phone_by_Sentiment!$B$2:$B$37,Phone_by_Sentiment!E$2:E$37,"",0,1),0),$A262-TEXT(DATEVALUE($D262&amp;"-01"), "dd-mm-yyyy")),0),0)</f>
        <v>0</v>
      </c>
      <c r="F262" cm="1">
        <f t="array" ref="F262">IF($Q262&gt;=0,IFERROR(generateSalesData($D262, IF(ISNUMBER(_xlfn.XLOOKUP($C262,Phone_by_Sentiment!$B$2:$B$37,Phone_by_Sentiment!F$2:F$37,"",0,1)),_xlfn.XLOOKUP($C262,Phone_by_Sentiment!$B$2:$B$37,Phone_by_Sentiment!F$2:F$37,"",0,1),0),$A262-TEXT(DATEVALUE($D262&amp;"-01"), "dd-mm-yyyy")),0),0)</f>
        <v>0</v>
      </c>
      <c r="G262" cm="1">
        <f t="array" ref="G262">IF($Q262&gt;=0,IFERROR(generateSalesData($D262, IF(ISNUMBER(_xlfn.XLOOKUP($C262,Phone_by_Sentiment!$B$2:$B$37,Phone_by_Sentiment!G$2:G$37,"",0,1)),_xlfn.XLOOKUP($C262,Phone_by_Sentiment!$B$2:$B$37,Phone_by_Sentiment!G$2:G$37,"",0,1),0),$A262-TEXT(DATEVALUE($D262&amp;"-01"), "dd-mm-yyyy")),0),0)</f>
        <v>0</v>
      </c>
      <c r="H262" cm="1">
        <f t="array" ref="H262">IF($Q262&gt;=0,IFERROR(generateSalesData($D262, IF(ISNUMBER(_xlfn.XLOOKUP($C262,Phone_by_Sentiment!$B$2:$B$37,Phone_by_Sentiment!H$2:H$37,"",0,1)),_xlfn.XLOOKUP($C262,Phone_by_Sentiment!$B$2:$B$37,Phone_by_Sentiment!H$2:H$37,"",0,1),0),$A262-TEXT(DATEVALUE($D262&amp;"-01"), "dd-mm-yyyy")),0),0)</f>
        <v>0</v>
      </c>
      <c r="I262" cm="1">
        <f t="array" ref="I262">IF($Q262&gt;=0,IFERROR(generateSalesData($D262, IF(ISNUMBER(_xlfn.XLOOKUP($C262,Phone_by_Sentiment!$B$2:$B$37,Phone_by_Sentiment!I$2:I$37,"",0,1)),_xlfn.XLOOKUP($C262,Phone_by_Sentiment!$B$2:$B$37,Phone_by_Sentiment!I$2:I$37,"",0,1),0),$A262-TEXT(DATEVALUE($D262&amp;"-01"), "dd-mm-yyyy")),0),0)</f>
        <v>0</v>
      </c>
      <c r="J262" cm="1">
        <f t="array" ref="J262">IF($Q262&gt;=0,IFERROR(generateSalesData($D262, IF(ISNUMBER(_xlfn.XLOOKUP($C262,Phone_by_Sentiment!$B$2:$B$37,Phone_by_Sentiment!J$2:J$37,"",0,1)),_xlfn.XLOOKUP($C262,Phone_by_Sentiment!$B$2:$B$37,Phone_by_Sentiment!J$2:J$37,"",0,1),0),$A262-TEXT(DATEVALUE($D262&amp;"-01"), "dd-mm-yyyy")),0),0)</f>
        <v>0</v>
      </c>
      <c r="K262" cm="1">
        <f t="array" ref="K262">IF($Q262&gt;=0,IFERROR(generateSalesData($D262, IF(ISNUMBER(_xlfn.XLOOKUP($C262,Phone_by_Sentiment!$B$2:$B$37,Phone_by_Sentiment!K$2:K$37,"",0,1)),_xlfn.XLOOKUP($C262,Phone_by_Sentiment!$B$2:$B$37,Phone_by_Sentiment!K$2:K$37,"",0,1),0),$A262-TEXT(DATEVALUE($D262&amp;"-01"), "dd-mm-yyyy")),0),0)</f>
        <v>0</v>
      </c>
      <c r="L262" cm="1">
        <f t="array" ref="L262">IF($Q262&gt;=0,IFERROR(generateSalesData($D262, IF(ISNUMBER(_xlfn.XLOOKUP($C262,Phone_by_Sentiment!$B$2:$B$37,Phone_by_Sentiment!L$2:L$37,"",0,1)),_xlfn.XLOOKUP($C262,Phone_by_Sentiment!$B$2:$B$37,Phone_by_Sentiment!L$2:L$37,"",0,1),0),$A262-TEXT(DATEVALUE($D262&amp;"-01"), "dd-mm-yyyy")),0),0)</f>
        <v>0</v>
      </c>
      <c r="M262" cm="1">
        <f t="array" ref="M262">IF($Q262&gt;=0,IFERROR(generateSalesData($D262, IF(ISNUMBER(_xlfn.XLOOKUP($C262,Phone_by_Sentiment!$B$2:$B$37,Phone_by_Sentiment!M$2:M$37,"",0,1)),_xlfn.XLOOKUP($C262,Phone_by_Sentiment!$B$2:$B$37,Phone_by_Sentiment!M$2:M$37,"",0,1),0),$A262-TEXT(DATEVALUE($D262&amp;"-01"), "dd-mm-yyyy")),0),0)</f>
        <v>0</v>
      </c>
      <c r="N262" cm="1">
        <f t="array" ref="N262">IF($Q262&gt;=0,IFERROR(generateSalesData($D262, IF(ISNUMBER(_xlfn.XLOOKUP($C262,Phone_by_Sentiment!$B$2:$B$37,Phone_by_Sentiment!N$2:N$37,"",0,1)),_xlfn.XLOOKUP($C262,Phone_by_Sentiment!$B$2:$B$37,Phone_by_Sentiment!N$2:N$37,"",0,1),0),$A262-TEXT(DATEVALUE($D262&amp;"-01"), "dd-mm-yyyy")),0),0)</f>
        <v>0</v>
      </c>
      <c r="O262" cm="1">
        <f t="array" ref="O262">IF($Q262&gt;=0,IFERROR(generateSalesData($D262, IF(ISNUMBER(_xlfn.XLOOKUP($C262,Phone_by_Sentiment!$B$2:$B$37,Phone_by_Sentiment!O$2:O$37,"",0,1)),_xlfn.XLOOKUP($C262,Phone_by_Sentiment!$B$2:$B$37,Phone_by_Sentiment!O$2:O$37,"",0,1),0),$A262-TEXT(DATEVALUE($D262&amp;"-01"), "dd-mm-yyyy")),0),0)</f>
        <v>0</v>
      </c>
      <c r="P262" s="1">
        <f t="shared" si="10"/>
        <v>44228</v>
      </c>
      <c r="Q262">
        <f t="shared" si="11"/>
        <v>-550</v>
      </c>
    </row>
    <row r="263" spans="1:17" x14ac:dyDescent="0.25">
      <c r="A263" s="1">
        <f t="shared" si="9"/>
        <v>43678</v>
      </c>
      <c r="B263" t="s">
        <v>171</v>
      </c>
      <c r="C263" t="str">
        <f>_xlfn.XLOOKUP(B263,Phone_by_Price!$A$2:$A$34,Phone_by_Price!$B$2:$B$34,"-",0,1)</f>
        <v>Samsung Galaxy A22 5G</v>
      </c>
      <c r="D263" t="str">
        <f>_xlfn.XLOOKUP(C263,Phone_by_Sentiment!$B$2:$B$37,Phone_by_Sentiment!$A$2:$A$37,"-",0,1)</f>
        <v>2021-05</v>
      </c>
      <c r="E263" cm="1">
        <f t="array" ref="E263">IF($Q263&gt;=0,IFERROR(generateSalesData($D263, IF(ISNUMBER(_xlfn.XLOOKUP($C263,Phone_by_Sentiment!$B$2:$B$37,Phone_by_Sentiment!E$2:E$37,"",0,1)),_xlfn.XLOOKUP($C263,Phone_by_Sentiment!$B$2:$B$37,Phone_by_Sentiment!E$2:E$37,"",0,1),0),$A263-TEXT(DATEVALUE($D263&amp;"-01"), "dd-mm-yyyy")),0),0)</f>
        <v>0</v>
      </c>
      <c r="F263" cm="1">
        <f t="array" ref="F263">IF($Q263&gt;=0,IFERROR(generateSalesData($D263, IF(ISNUMBER(_xlfn.XLOOKUP($C263,Phone_by_Sentiment!$B$2:$B$37,Phone_by_Sentiment!F$2:F$37,"",0,1)),_xlfn.XLOOKUP($C263,Phone_by_Sentiment!$B$2:$B$37,Phone_by_Sentiment!F$2:F$37,"",0,1),0),$A263-TEXT(DATEVALUE($D263&amp;"-01"), "dd-mm-yyyy")),0),0)</f>
        <v>0</v>
      </c>
      <c r="G263" cm="1">
        <f t="array" ref="G263">IF($Q263&gt;=0,IFERROR(generateSalesData($D263, IF(ISNUMBER(_xlfn.XLOOKUP($C263,Phone_by_Sentiment!$B$2:$B$37,Phone_by_Sentiment!G$2:G$37,"",0,1)),_xlfn.XLOOKUP($C263,Phone_by_Sentiment!$B$2:$B$37,Phone_by_Sentiment!G$2:G$37,"",0,1),0),$A263-TEXT(DATEVALUE($D263&amp;"-01"), "dd-mm-yyyy")),0),0)</f>
        <v>0</v>
      </c>
      <c r="H263" cm="1">
        <f t="array" ref="H263">IF($Q263&gt;=0,IFERROR(generateSalesData($D263, IF(ISNUMBER(_xlfn.XLOOKUP($C263,Phone_by_Sentiment!$B$2:$B$37,Phone_by_Sentiment!H$2:H$37,"",0,1)),_xlfn.XLOOKUP($C263,Phone_by_Sentiment!$B$2:$B$37,Phone_by_Sentiment!H$2:H$37,"",0,1),0),$A263-TEXT(DATEVALUE($D263&amp;"-01"), "dd-mm-yyyy")),0),0)</f>
        <v>0</v>
      </c>
      <c r="I263" cm="1">
        <f t="array" ref="I263">IF($Q263&gt;=0,IFERROR(generateSalesData($D263, IF(ISNUMBER(_xlfn.XLOOKUP($C263,Phone_by_Sentiment!$B$2:$B$37,Phone_by_Sentiment!I$2:I$37,"",0,1)),_xlfn.XLOOKUP($C263,Phone_by_Sentiment!$B$2:$B$37,Phone_by_Sentiment!I$2:I$37,"",0,1),0),$A263-TEXT(DATEVALUE($D263&amp;"-01"), "dd-mm-yyyy")),0),0)</f>
        <v>0</v>
      </c>
      <c r="J263" cm="1">
        <f t="array" ref="J263">IF($Q263&gt;=0,IFERROR(generateSalesData($D263, IF(ISNUMBER(_xlfn.XLOOKUP($C263,Phone_by_Sentiment!$B$2:$B$37,Phone_by_Sentiment!J$2:J$37,"",0,1)),_xlfn.XLOOKUP($C263,Phone_by_Sentiment!$B$2:$B$37,Phone_by_Sentiment!J$2:J$37,"",0,1),0),$A263-TEXT(DATEVALUE($D263&amp;"-01"), "dd-mm-yyyy")),0),0)</f>
        <v>0</v>
      </c>
      <c r="K263" cm="1">
        <f t="array" ref="K263">IF($Q263&gt;=0,IFERROR(generateSalesData($D263, IF(ISNUMBER(_xlfn.XLOOKUP($C263,Phone_by_Sentiment!$B$2:$B$37,Phone_by_Sentiment!K$2:K$37,"",0,1)),_xlfn.XLOOKUP($C263,Phone_by_Sentiment!$B$2:$B$37,Phone_by_Sentiment!K$2:K$37,"",0,1),0),$A263-TEXT(DATEVALUE($D263&amp;"-01"), "dd-mm-yyyy")),0),0)</f>
        <v>0</v>
      </c>
      <c r="L263" cm="1">
        <f t="array" ref="L263">IF($Q263&gt;=0,IFERROR(generateSalesData($D263, IF(ISNUMBER(_xlfn.XLOOKUP($C263,Phone_by_Sentiment!$B$2:$B$37,Phone_by_Sentiment!L$2:L$37,"",0,1)),_xlfn.XLOOKUP($C263,Phone_by_Sentiment!$B$2:$B$37,Phone_by_Sentiment!L$2:L$37,"",0,1),0),$A263-TEXT(DATEVALUE($D263&amp;"-01"), "dd-mm-yyyy")),0),0)</f>
        <v>0</v>
      </c>
      <c r="M263" cm="1">
        <f t="array" ref="M263">IF($Q263&gt;=0,IFERROR(generateSalesData($D263, IF(ISNUMBER(_xlfn.XLOOKUP($C263,Phone_by_Sentiment!$B$2:$B$37,Phone_by_Sentiment!M$2:M$37,"",0,1)),_xlfn.XLOOKUP($C263,Phone_by_Sentiment!$B$2:$B$37,Phone_by_Sentiment!M$2:M$37,"",0,1),0),$A263-TEXT(DATEVALUE($D263&amp;"-01"), "dd-mm-yyyy")),0),0)</f>
        <v>0</v>
      </c>
      <c r="N263" cm="1">
        <f t="array" ref="N263">IF($Q263&gt;=0,IFERROR(generateSalesData($D263, IF(ISNUMBER(_xlfn.XLOOKUP($C263,Phone_by_Sentiment!$B$2:$B$37,Phone_by_Sentiment!N$2:N$37,"",0,1)),_xlfn.XLOOKUP($C263,Phone_by_Sentiment!$B$2:$B$37,Phone_by_Sentiment!N$2:N$37,"",0,1),0),$A263-TEXT(DATEVALUE($D263&amp;"-01"), "dd-mm-yyyy")),0),0)</f>
        <v>0</v>
      </c>
      <c r="O263" cm="1">
        <f t="array" ref="O263">IF($Q263&gt;=0,IFERROR(generateSalesData($D263, IF(ISNUMBER(_xlfn.XLOOKUP($C263,Phone_by_Sentiment!$B$2:$B$37,Phone_by_Sentiment!O$2:O$37,"",0,1)),_xlfn.XLOOKUP($C263,Phone_by_Sentiment!$B$2:$B$37,Phone_by_Sentiment!O$2:O$37,"",0,1),0),$A263-TEXT(DATEVALUE($D263&amp;"-01"), "dd-mm-yyyy")),0),0)</f>
        <v>0</v>
      </c>
      <c r="P263" s="1">
        <f t="shared" si="10"/>
        <v>44317</v>
      </c>
      <c r="Q263">
        <f t="shared" si="11"/>
        <v>-639</v>
      </c>
    </row>
    <row r="264" spans="1:17" x14ac:dyDescent="0.25">
      <c r="A264" s="1">
        <f t="shared" si="9"/>
        <v>43678</v>
      </c>
      <c r="B264" t="s">
        <v>172</v>
      </c>
      <c r="C264" t="str">
        <f>_xlfn.XLOOKUP(B264,Phone_by_Price!$A$2:$A$34,Phone_by_Price!$B$2:$B$34,"-",0,1)</f>
        <v>Xiaomi Redmi 9</v>
      </c>
      <c r="D264" t="str">
        <f>_xlfn.XLOOKUP(C264,Phone_by_Sentiment!$B$2:$B$37,Phone_by_Sentiment!$A$2:$A$37,"-",0,1)</f>
        <v>2020-08</v>
      </c>
      <c r="E264" cm="1">
        <f t="array" ref="E264">IF($Q264&gt;=0,IFERROR(generateSalesData($D264, IF(ISNUMBER(_xlfn.XLOOKUP($C264,Phone_by_Sentiment!$B$2:$B$37,Phone_by_Sentiment!E$2:E$37,"",0,1)),_xlfn.XLOOKUP($C264,Phone_by_Sentiment!$B$2:$B$37,Phone_by_Sentiment!E$2:E$37,"",0,1),0),$A264-TEXT(DATEVALUE($D264&amp;"-01"), "dd-mm-yyyy")),0),0)</f>
        <v>0</v>
      </c>
      <c r="F264" cm="1">
        <f t="array" ref="F264">IF($Q264&gt;=0,IFERROR(generateSalesData($D264, IF(ISNUMBER(_xlfn.XLOOKUP($C264,Phone_by_Sentiment!$B$2:$B$37,Phone_by_Sentiment!F$2:F$37,"",0,1)),_xlfn.XLOOKUP($C264,Phone_by_Sentiment!$B$2:$B$37,Phone_by_Sentiment!F$2:F$37,"",0,1),0),$A264-TEXT(DATEVALUE($D264&amp;"-01"), "dd-mm-yyyy")),0),0)</f>
        <v>0</v>
      </c>
      <c r="G264" cm="1">
        <f t="array" ref="G264">IF($Q264&gt;=0,IFERROR(generateSalesData($D264, IF(ISNUMBER(_xlfn.XLOOKUP($C264,Phone_by_Sentiment!$B$2:$B$37,Phone_by_Sentiment!G$2:G$37,"",0,1)),_xlfn.XLOOKUP($C264,Phone_by_Sentiment!$B$2:$B$37,Phone_by_Sentiment!G$2:G$37,"",0,1),0),$A264-TEXT(DATEVALUE($D264&amp;"-01"), "dd-mm-yyyy")),0),0)</f>
        <v>0</v>
      </c>
      <c r="H264" cm="1">
        <f t="array" ref="H264">IF($Q264&gt;=0,IFERROR(generateSalesData($D264, IF(ISNUMBER(_xlfn.XLOOKUP($C264,Phone_by_Sentiment!$B$2:$B$37,Phone_by_Sentiment!H$2:H$37,"",0,1)),_xlfn.XLOOKUP($C264,Phone_by_Sentiment!$B$2:$B$37,Phone_by_Sentiment!H$2:H$37,"",0,1),0),$A264-TEXT(DATEVALUE($D264&amp;"-01"), "dd-mm-yyyy")),0),0)</f>
        <v>0</v>
      </c>
      <c r="I264" cm="1">
        <f t="array" ref="I264">IF($Q264&gt;=0,IFERROR(generateSalesData($D264, IF(ISNUMBER(_xlfn.XLOOKUP($C264,Phone_by_Sentiment!$B$2:$B$37,Phone_by_Sentiment!I$2:I$37,"",0,1)),_xlfn.XLOOKUP($C264,Phone_by_Sentiment!$B$2:$B$37,Phone_by_Sentiment!I$2:I$37,"",0,1),0),$A264-TEXT(DATEVALUE($D264&amp;"-01"), "dd-mm-yyyy")),0),0)</f>
        <v>0</v>
      </c>
      <c r="J264" cm="1">
        <f t="array" ref="J264">IF($Q264&gt;=0,IFERROR(generateSalesData($D264, IF(ISNUMBER(_xlfn.XLOOKUP($C264,Phone_by_Sentiment!$B$2:$B$37,Phone_by_Sentiment!J$2:J$37,"",0,1)),_xlfn.XLOOKUP($C264,Phone_by_Sentiment!$B$2:$B$37,Phone_by_Sentiment!J$2:J$37,"",0,1),0),$A264-TEXT(DATEVALUE($D264&amp;"-01"), "dd-mm-yyyy")),0),0)</f>
        <v>0</v>
      </c>
      <c r="K264" cm="1">
        <f t="array" ref="K264">IF($Q264&gt;=0,IFERROR(generateSalesData($D264, IF(ISNUMBER(_xlfn.XLOOKUP($C264,Phone_by_Sentiment!$B$2:$B$37,Phone_by_Sentiment!K$2:K$37,"",0,1)),_xlfn.XLOOKUP($C264,Phone_by_Sentiment!$B$2:$B$37,Phone_by_Sentiment!K$2:K$37,"",0,1),0),$A264-TEXT(DATEVALUE($D264&amp;"-01"), "dd-mm-yyyy")),0),0)</f>
        <v>0</v>
      </c>
      <c r="L264" cm="1">
        <f t="array" ref="L264">IF($Q264&gt;=0,IFERROR(generateSalesData($D264, IF(ISNUMBER(_xlfn.XLOOKUP($C264,Phone_by_Sentiment!$B$2:$B$37,Phone_by_Sentiment!L$2:L$37,"",0,1)),_xlfn.XLOOKUP($C264,Phone_by_Sentiment!$B$2:$B$37,Phone_by_Sentiment!L$2:L$37,"",0,1),0),$A264-TEXT(DATEVALUE($D264&amp;"-01"), "dd-mm-yyyy")),0),0)</f>
        <v>0</v>
      </c>
      <c r="M264" cm="1">
        <f t="array" ref="M264">IF($Q264&gt;=0,IFERROR(generateSalesData($D264, IF(ISNUMBER(_xlfn.XLOOKUP($C264,Phone_by_Sentiment!$B$2:$B$37,Phone_by_Sentiment!M$2:M$37,"",0,1)),_xlfn.XLOOKUP($C264,Phone_by_Sentiment!$B$2:$B$37,Phone_by_Sentiment!M$2:M$37,"",0,1),0),$A264-TEXT(DATEVALUE($D264&amp;"-01"), "dd-mm-yyyy")),0),0)</f>
        <v>0</v>
      </c>
      <c r="N264" cm="1">
        <f t="array" ref="N264">IF($Q264&gt;=0,IFERROR(generateSalesData($D264, IF(ISNUMBER(_xlfn.XLOOKUP($C264,Phone_by_Sentiment!$B$2:$B$37,Phone_by_Sentiment!N$2:N$37,"",0,1)),_xlfn.XLOOKUP($C264,Phone_by_Sentiment!$B$2:$B$37,Phone_by_Sentiment!N$2:N$37,"",0,1),0),$A264-TEXT(DATEVALUE($D264&amp;"-01"), "dd-mm-yyyy")),0),0)</f>
        <v>0</v>
      </c>
      <c r="O264" cm="1">
        <f t="array" ref="O264">IF($Q264&gt;=0,IFERROR(generateSalesData($D264, IF(ISNUMBER(_xlfn.XLOOKUP($C264,Phone_by_Sentiment!$B$2:$B$37,Phone_by_Sentiment!O$2:O$37,"",0,1)),_xlfn.XLOOKUP($C264,Phone_by_Sentiment!$B$2:$B$37,Phone_by_Sentiment!O$2:O$37,"",0,1),0),$A264-TEXT(DATEVALUE($D264&amp;"-01"), "dd-mm-yyyy")),0),0)</f>
        <v>0</v>
      </c>
      <c r="P264" s="1">
        <f t="shared" si="10"/>
        <v>44044</v>
      </c>
      <c r="Q264">
        <f t="shared" si="11"/>
        <v>-366</v>
      </c>
    </row>
    <row r="265" spans="1:17" x14ac:dyDescent="0.25">
      <c r="A265" s="1">
        <f t="shared" si="9"/>
        <v>43678</v>
      </c>
      <c r="B265" t="s">
        <v>173</v>
      </c>
      <c r="C265" t="str">
        <f>_xlfn.XLOOKUP(B265,Phone_by_Price!$A$2:$A$34,Phone_by_Price!$B$2:$B$34,"-",0,1)</f>
        <v>Realme C3</v>
      </c>
      <c r="D265" t="str">
        <f>_xlfn.XLOOKUP(C265,Phone_by_Sentiment!$B$2:$B$37,Phone_by_Sentiment!$A$2:$A$37,"-",0,1)</f>
        <v>2020-02</v>
      </c>
      <c r="E265" cm="1">
        <f t="array" ref="E265">IF($Q265&gt;=0,IFERROR(generateSalesData($D265, IF(ISNUMBER(_xlfn.XLOOKUP($C265,Phone_by_Sentiment!$B$2:$B$37,Phone_by_Sentiment!E$2:E$37,"",0,1)),_xlfn.XLOOKUP($C265,Phone_by_Sentiment!$B$2:$B$37,Phone_by_Sentiment!E$2:E$37,"",0,1),0),$A265-TEXT(DATEVALUE($D265&amp;"-01"), "dd-mm-yyyy")),0),0)</f>
        <v>0</v>
      </c>
      <c r="F265" cm="1">
        <f t="array" ref="F265">IF($Q265&gt;=0,IFERROR(generateSalesData($D265, IF(ISNUMBER(_xlfn.XLOOKUP($C265,Phone_by_Sentiment!$B$2:$B$37,Phone_by_Sentiment!F$2:F$37,"",0,1)),_xlfn.XLOOKUP($C265,Phone_by_Sentiment!$B$2:$B$37,Phone_by_Sentiment!F$2:F$37,"",0,1),0),$A265-TEXT(DATEVALUE($D265&amp;"-01"), "dd-mm-yyyy")),0),0)</f>
        <v>0</v>
      </c>
      <c r="G265" cm="1">
        <f t="array" ref="G265">IF($Q265&gt;=0,IFERROR(generateSalesData($D265, IF(ISNUMBER(_xlfn.XLOOKUP($C265,Phone_by_Sentiment!$B$2:$B$37,Phone_by_Sentiment!G$2:G$37,"",0,1)),_xlfn.XLOOKUP($C265,Phone_by_Sentiment!$B$2:$B$37,Phone_by_Sentiment!G$2:G$37,"",0,1),0),$A265-TEXT(DATEVALUE($D265&amp;"-01"), "dd-mm-yyyy")),0),0)</f>
        <v>0</v>
      </c>
      <c r="H265" cm="1">
        <f t="array" ref="H265">IF($Q265&gt;=0,IFERROR(generateSalesData($D265, IF(ISNUMBER(_xlfn.XLOOKUP($C265,Phone_by_Sentiment!$B$2:$B$37,Phone_by_Sentiment!H$2:H$37,"",0,1)),_xlfn.XLOOKUP($C265,Phone_by_Sentiment!$B$2:$B$37,Phone_by_Sentiment!H$2:H$37,"",0,1),0),$A265-TEXT(DATEVALUE($D265&amp;"-01"), "dd-mm-yyyy")),0),0)</f>
        <v>0</v>
      </c>
      <c r="I265" cm="1">
        <f t="array" ref="I265">IF($Q265&gt;=0,IFERROR(generateSalesData($D265, IF(ISNUMBER(_xlfn.XLOOKUP($C265,Phone_by_Sentiment!$B$2:$B$37,Phone_by_Sentiment!I$2:I$37,"",0,1)),_xlfn.XLOOKUP($C265,Phone_by_Sentiment!$B$2:$B$37,Phone_by_Sentiment!I$2:I$37,"",0,1),0),$A265-TEXT(DATEVALUE($D265&amp;"-01"), "dd-mm-yyyy")),0),0)</f>
        <v>0</v>
      </c>
      <c r="J265" cm="1">
        <f t="array" ref="J265">IF($Q265&gt;=0,IFERROR(generateSalesData($D265, IF(ISNUMBER(_xlfn.XLOOKUP($C265,Phone_by_Sentiment!$B$2:$B$37,Phone_by_Sentiment!J$2:J$37,"",0,1)),_xlfn.XLOOKUP($C265,Phone_by_Sentiment!$B$2:$B$37,Phone_by_Sentiment!J$2:J$37,"",0,1),0),$A265-TEXT(DATEVALUE($D265&amp;"-01"), "dd-mm-yyyy")),0),0)</f>
        <v>0</v>
      </c>
      <c r="K265" cm="1">
        <f t="array" ref="K265">IF($Q265&gt;=0,IFERROR(generateSalesData($D265, IF(ISNUMBER(_xlfn.XLOOKUP($C265,Phone_by_Sentiment!$B$2:$B$37,Phone_by_Sentiment!K$2:K$37,"",0,1)),_xlfn.XLOOKUP($C265,Phone_by_Sentiment!$B$2:$B$37,Phone_by_Sentiment!K$2:K$37,"",0,1),0),$A265-TEXT(DATEVALUE($D265&amp;"-01"), "dd-mm-yyyy")),0),0)</f>
        <v>0</v>
      </c>
      <c r="L265" cm="1">
        <f t="array" ref="L265">IF($Q265&gt;=0,IFERROR(generateSalesData($D265, IF(ISNUMBER(_xlfn.XLOOKUP($C265,Phone_by_Sentiment!$B$2:$B$37,Phone_by_Sentiment!L$2:L$37,"",0,1)),_xlfn.XLOOKUP($C265,Phone_by_Sentiment!$B$2:$B$37,Phone_by_Sentiment!L$2:L$37,"",0,1),0),$A265-TEXT(DATEVALUE($D265&amp;"-01"), "dd-mm-yyyy")),0),0)</f>
        <v>0</v>
      </c>
      <c r="M265" cm="1">
        <f t="array" ref="M265">IF($Q265&gt;=0,IFERROR(generateSalesData($D265, IF(ISNUMBER(_xlfn.XLOOKUP($C265,Phone_by_Sentiment!$B$2:$B$37,Phone_by_Sentiment!M$2:M$37,"",0,1)),_xlfn.XLOOKUP($C265,Phone_by_Sentiment!$B$2:$B$37,Phone_by_Sentiment!M$2:M$37,"",0,1),0),$A265-TEXT(DATEVALUE($D265&amp;"-01"), "dd-mm-yyyy")),0),0)</f>
        <v>0</v>
      </c>
      <c r="N265" cm="1">
        <f t="array" ref="N265">IF($Q265&gt;=0,IFERROR(generateSalesData($D265, IF(ISNUMBER(_xlfn.XLOOKUP($C265,Phone_by_Sentiment!$B$2:$B$37,Phone_by_Sentiment!N$2:N$37,"",0,1)),_xlfn.XLOOKUP($C265,Phone_by_Sentiment!$B$2:$B$37,Phone_by_Sentiment!N$2:N$37,"",0,1),0),$A265-TEXT(DATEVALUE($D265&amp;"-01"), "dd-mm-yyyy")),0),0)</f>
        <v>0</v>
      </c>
      <c r="O265" cm="1">
        <f t="array" ref="O265">IF($Q265&gt;=0,IFERROR(generateSalesData($D265, IF(ISNUMBER(_xlfn.XLOOKUP($C265,Phone_by_Sentiment!$B$2:$B$37,Phone_by_Sentiment!O$2:O$37,"",0,1)),_xlfn.XLOOKUP($C265,Phone_by_Sentiment!$B$2:$B$37,Phone_by_Sentiment!O$2:O$37,"",0,1),0),$A265-TEXT(DATEVALUE($D265&amp;"-01"), "dd-mm-yyyy")),0),0)</f>
        <v>0</v>
      </c>
      <c r="P265" s="1">
        <f t="shared" si="10"/>
        <v>43862</v>
      </c>
      <c r="Q265">
        <f t="shared" si="11"/>
        <v>-184</v>
      </c>
    </row>
    <row r="266" spans="1:17" x14ac:dyDescent="0.25">
      <c r="A266" s="1">
        <f t="shared" si="9"/>
        <v>43678</v>
      </c>
      <c r="B266" t="s">
        <v>174</v>
      </c>
      <c r="C266" t="str">
        <f>_xlfn.XLOOKUP(B266,Phone_by_Price!$A$2:$A$34,Phone_by_Price!$B$2:$B$34,"-",0,1)</f>
        <v>Samsung Galaxy A7</v>
      </c>
      <c r="D266" t="str">
        <f>_xlfn.XLOOKUP(C266,Phone_by_Sentiment!$B$2:$B$37,Phone_by_Sentiment!$A$2:$A$37,"-",0,1)</f>
        <v>2018-10</v>
      </c>
      <c r="E266" cm="1">
        <f t="array" ref="E266">IF($Q266&gt;=0,IFERROR(generateSalesData($D266, IF(ISNUMBER(_xlfn.XLOOKUP($C266,Phone_by_Sentiment!$B$2:$B$37,Phone_by_Sentiment!E$2:E$37,"",0,1)),_xlfn.XLOOKUP($C266,Phone_by_Sentiment!$B$2:$B$37,Phone_by_Sentiment!E$2:E$37,"",0,1),0),$A266-TEXT(DATEVALUE($D266&amp;"-01"), "dd-mm-yyyy")),0),0)</f>
        <v>88</v>
      </c>
      <c r="F266" cm="1">
        <f t="array" ref="F266">IF($Q266&gt;=0,IFERROR(generateSalesData($D266, IF(ISNUMBER(_xlfn.XLOOKUP($C266,Phone_by_Sentiment!$B$2:$B$37,Phone_by_Sentiment!F$2:F$37,"",0,1)),_xlfn.XLOOKUP($C266,Phone_by_Sentiment!$B$2:$B$37,Phone_by_Sentiment!F$2:F$37,"",0,1),0),$A266-TEXT(DATEVALUE($D266&amp;"-01"), "dd-mm-yyyy")),0),0)</f>
        <v>103</v>
      </c>
      <c r="G266" cm="1">
        <f t="array" ref="G266">IF($Q266&gt;=0,IFERROR(generateSalesData($D266, IF(ISNUMBER(_xlfn.XLOOKUP($C266,Phone_by_Sentiment!$B$2:$B$37,Phone_by_Sentiment!G$2:G$37,"",0,1)),_xlfn.XLOOKUP($C266,Phone_by_Sentiment!$B$2:$B$37,Phone_by_Sentiment!G$2:G$37,"",0,1),0),$A266-TEXT(DATEVALUE($D266&amp;"-01"), "dd-mm-yyyy")),0),0)</f>
        <v>26</v>
      </c>
      <c r="H266" cm="1">
        <f t="array" ref="H266">IF($Q266&gt;=0,IFERROR(generateSalesData($D266, IF(ISNUMBER(_xlfn.XLOOKUP($C266,Phone_by_Sentiment!$B$2:$B$37,Phone_by_Sentiment!H$2:H$37,"",0,1)),_xlfn.XLOOKUP($C266,Phone_by_Sentiment!$B$2:$B$37,Phone_by_Sentiment!H$2:H$37,"",0,1),0),$A266-TEXT(DATEVALUE($D266&amp;"-01"), "dd-mm-yyyy")),0),0)</f>
        <v>802</v>
      </c>
      <c r="I266" cm="1">
        <f t="array" ref="I266">IF($Q266&gt;=0,IFERROR(generateSalesData($D266, IF(ISNUMBER(_xlfn.XLOOKUP($C266,Phone_by_Sentiment!$B$2:$B$37,Phone_by_Sentiment!I$2:I$37,"",0,1)),_xlfn.XLOOKUP($C266,Phone_by_Sentiment!$B$2:$B$37,Phone_by_Sentiment!I$2:I$37,"",0,1),0),$A266-TEXT(DATEVALUE($D266&amp;"-01"), "dd-mm-yyyy")),0),0)</f>
        <v>288</v>
      </c>
      <c r="J266" cm="1">
        <f t="array" ref="J266">IF($Q266&gt;=0,IFERROR(generateSalesData($D266, IF(ISNUMBER(_xlfn.XLOOKUP($C266,Phone_by_Sentiment!$B$2:$B$37,Phone_by_Sentiment!J$2:J$37,"",0,1)),_xlfn.XLOOKUP($C266,Phone_by_Sentiment!$B$2:$B$37,Phone_by_Sentiment!J$2:J$37,"",0,1),0),$A266-TEXT(DATEVALUE($D266&amp;"-01"), "dd-mm-yyyy")),0),0)</f>
        <v>277</v>
      </c>
      <c r="K266" cm="1">
        <f t="array" ref="K266">IF($Q266&gt;=0,IFERROR(generateSalesData($D266, IF(ISNUMBER(_xlfn.XLOOKUP($C266,Phone_by_Sentiment!$B$2:$B$37,Phone_by_Sentiment!K$2:K$37,"",0,1)),_xlfn.XLOOKUP($C266,Phone_by_Sentiment!$B$2:$B$37,Phone_by_Sentiment!K$2:K$37,"",0,1),0),$A266-TEXT(DATEVALUE($D266&amp;"-01"), "dd-mm-yyyy")),0),0)</f>
        <v>168</v>
      </c>
      <c r="L266" cm="1">
        <f t="array" ref="L266">IF($Q266&gt;=0,IFERROR(generateSalesData($D266, IF(ISNUMBER(_xlfn.XLOOKUP($C266,Phone_by_Sentiment!$B$2:$B$37,Phone_by_Sentiment!L$2:L$37,"",0,1)),_xlfn.XLOOKUP($C266,Phone_by_Sentiment!$B$2:$B$37,Phone_by_Sentiment!L$2:L$37,"",0,1),0),$A266-TEXT(DATEVALUE($D266&amp;"-01"), "dd-mm-yyyy")),0),0)</f>
        <v>156</v>
      </c>
      <c r="M266" cm="1">
        <f t="array" ref="M266">IF($Q266&gt;=0,IFERROR(generateSalesData($D266, IF(ISNUMBER(_xlfn.XLOOKUP($C266,Phone_by_Sentiment!$B$2:$B$37,Phone_by_Sentiment!M$2:M$37,"",0,1)),_xlfn.XLOOKUP($C266,Phone_by_Sentiment!$B$2:$B$37,Phone_by_Sentiment!M$2:M$37,"",0,1),0),$A266-TEXT(DATEVALUE($D266&amp;"-01"), "dd-mm-yyyy")),0),0)</f>
        <v>1142</v>
      </c>
      <c r="N266" cm="1">
        <f t="array" ref="N266">IF($Q266&gt;=0,IFERROR(generateSalesData($D266, IF(ISNUMBER(_xlfn.XLOOKUP($C266,Phone_by_Sentiment!$B$2:$B$37,Phone_by_Sentiment!N$2:N$37,"",0,1)),_xlfn.XLOOKUP($C266,Phone_by_Sentiment!$B$2:$B$37,Phone_by_Sentiment!N$2:N$37,"",0,1),0),$A266-TEXT(DATEVALUE($D266&amp;"-01"), "dd-mm-yyyy")),0),0)</f>
        <v>704</v>
      </c>
      <c r="O266" cm="1">
        <f t="array" ref="O266">IF($Q266&gt;=0,IFERROR(generateSalesData($D266, IF(ISNUMBER(_xlfn.XLOOKUP($C266,Phone_by_Sentiment!$B$2:$B$37,Phone_by_Sentiment!O$2:O$37,"",0,1)),_xlfn.XLOOKUP($C266,Phone_by_Sentiment!$B$2:$B$37,Phone_by_Sentiment!O$2:O$37,"",0,1),0),$A266-TEXT(DATEVALUE($D266&amp;"-01"), "dd-mm-yyyy")),0),0)</f>
        <v>868</v>
      </c>
      <c r="P266" s="1">
        <f t="shared" si="10"/>
        <v>43374</v>
      </c>
      <c r="Q266">
        <f t="shared" si="11"/>
        <v>304</v>
      </c>
    </row>
    <row r="267" spans="1:17" x14ac:dyDescent="0.25">
      <c r="A267" s="1">
        <f t="shared" si="9"/>
        <v>43678</v>
      </c>
      <c r="B267" t="s">
        <v>142</v>
      </c>
      <c r="C267" t="str">
        <f>_xlfn.XLOOKUP(B267,Phone_by_Price!$A$2:$A$34,Phone_by_Price!$B$2:$B$34,"-",0,1)</f>
        <v>iPhone 11</v>
      </c>
      <c r="D267" t="str">
        <f>_xlfn.XLOOKUP(C267,Phone_by_Sentiment!$B$2:$B$37,Phone_by_Sentiment!$A$2:$A$37,"-",0,1)</f>
        <v>2019-09</v>
      </c>
      <c r="E267" cm="1">
        <f t="array" ref="E267">IF($Q267&gt;=0,IFERROR(generateSalesData($D267, IF(ISNUMBER(_xlfn.XLOOKUP($C267,Phone_by_Sentiment!$B$2:$B$37,Phone_by_Sentiment!E$2:E$37,"",0,1)),_xlfn.XLOOKUP($C267,Phone_by_Sentiment!$B$2:$B$37,Phone_by_Sentiment!E$2:E$37,"",0,1),0),$A267-TEXT(DATEVALUE($D267&amp;"-01"), "dd-mm-yyyy")),0),0)</f>
        <v>0</v>
      </c>
      <c r="F267" cm="1">
        <f t="array" ref="F267">IF($Q267&gt;=0,IFERROR(generateSalesData($D267, IF(ISNUMBER(_xlfn.XLOOKUP($C267,Phone_by_Sentiment!$B$2:$B$37,Phone_by_Sentiment!F$2:F$37,"",0,1)),_xlfn.XLOOKUP($C267,Phone_by_Sentiment!$B$2:$B$37,Phone_by_Sentiment!F$2:F$37,"",0,1),0),$A267-TEXT(DATEVALUE($D267&amp;"-01"), "dd-mm-yyyy")),0),0)</f>
        <v>0</v>
      </c>
      <c r="G267" cm="1">
        <f t="array" ref="G267">IF($Q267&gt;=0,IFERROR(generateSalesData($D267, IF(ISNUMBER(_xlfn.XLOOKUP($C267,Phone_by_Sentiment!$B$2:$B$37,Phone_by_Sentiment!G$2:G$37,"",0,1)),_xlfn.XLOOKUP($C267,Phone_by_Sentiment!$B$2:$B$37,Phone_by_Sentiment!G$2:G$37,"",0,1),0),$A267-TEXT(DATEVALUE($D267&amp;"-01"), "dd-mm-yyyy")),0),0)</f>
        <v>0</v>
      </c>
      <c r="H267" cm="1">
        <f t="array" ref="H267">IF($Q267&gt;=0,IFERROR(generateSalesData($D267, IF(ISNUMBER(_xlfn.XLOOKUP($C267,Phone_by_Sentiment!$B$2:$B$37,Phone_by_Sentiment!H$2:H$37,"",0,1)),_xlfn.XLOOKUP($C267,Phone_by_Sentiment!$B$2:$B$37,Phone_by_Sentiment!H$2:H$37,"",0,1),0),$A267-TEXT(DATEVALUE($D267&amp;"-01"), "dd-mm-yyyy")),0),0)</f>
        <v>0</v>
      </c>
      <c r="I267" cm="1">
        <f t="array" ref="I267">IF($Q267&gt;=0,IFERROR(generateSalesData($D267, IF(ISNUMBER(_xlfn.XLOOKUP($C267,Phone_by_Sentiment!$B$2:$B$37,Phone_by_Sentiment!I$2:I$37,"",0,1)),_xlfn.XLOOKUP($C267,Phone_by_Sentiment!$B$2:$B$37,Phone_by_Sentiment!I$2:I$37,"",0,1),0),$A267-TEXT(DATEVALUE($D267&amp;"-01"), "dd-mm-yyyy")),0),0)</f>
        <v>0</v>
      </c>
      <c r="J267" cm="1">
        <f t="array" ref="J267">IF($Q267&gt;=0,IFERROR(generateSalesData($D267, IF(ISNUMBER(_xlfn.XLOOKUP($C267,Phone_by_Sentiment!$B$2:$B$37,Phone_by_Sentiment!J$2:J$37,"",0,1)),_xlfn.XLOOKUP($C267,Phone_by_Sentiment!$B$2:$B$37,Phone_by_Sentiment!J$2:J$37,"",0,1),0),$A267-TEXT(DATEVALUE($D267&amp;"-01"), "dd-mm-yyyy")),0),0)</f>
        <v>0</v>
      </c>
      <c r="K267" cm="1">
        <f t="array" ref="K267">IF($Q267&gt;=0,IFERROR(generateSalesData($D267, IF(ISNUMBER(_xlfn.XLOOKUP($C267,Phone_by_Sentiment!$B$2:$B$37,Phone_by_Sentiment!K$2:K$37,"",0,1)),_xlfn.XLOOKUP($C267,Phone_by_Sentiment!$B$2:$B$37,Phone_by_Sentiment!K$2:K$37,"",0,1),0),$A267-TEXT(DATEVALUE($D267&amp;"-01"), "dd-mm-yyyy")),0),0)</f>
        <v>0</v>
      </c>
      <c r="L267" cm="1">
        <f t="array" ref="L267">IF($Q267&gt;=0,IFERROR(generateSalesData($D267, IF(ISNUMBER(_xlfn.XLOOKUP($C267,Phone_by_Sentiment!$B$2:$B$37,Phone_by_Sentiment!L$2:L$37,"",0,1)),_xlfn.XLOOKUP($C267,Phone_by_Sentiment!$B$2:$B$37,Phone_by_Sentiment!L$2:L$37,"",0,1),0),$A267-TEXT(DATEVALUE($D267&amp;"-01"), "dd-mm-yyyy")),0),0)</f>
        <v>0</v>
      </c>
      <c r="M267" cm="1">
        <f t="array" ref="M267">IF($Q267&gt;=0,IFERROR(generateSalesData($D267, IF(ISNUMBER(_xlfn.XLOOKUP($C267,Phone_by_Sentiment!$B$2:$B$37,Phone_by_Sentiment!M$2:M$37,"",0,1)),_xlfn.XLOOKUP($C267,Phone_by_Sentiment!$B$2:$B$37,Phone_by_Sentiment!M$2:M$37,"",0,1),0),$A267-TEXT(DATEVALUE($D267&amp;"-01"), "dd-mm-yyyy")),0),0)</f>
        <v>0</v>
      </c>
      <c r="N267" cm="1">
        <f t="array" ref="N267">IF($Q267&gt;=0,IFERROR(generateSalesData($D267, IF(ISNUMBER(_xlfn.XLOOKUP($C267,Phone_by_Sentiment!$B$2:$B$37,Phone_by_Sentiment!N$2:N$37,"",0,1)),_xlfn.XLOOKUP($C267,Phone_by_Sentiment!$B$2:$B$37,Phone_by_Sentiment!N$2:N$37,"",0,1),0),$A267-TEXT(DATEVALUE($D267&amp;"-01"), "dd-mm-yyyy")),0),0)</f>
        <v>0</v>
      </c>
      <c r="O267" cm="1">
        <f t="array" ref="O267">IF($Q267&gt;=0,IFERROR(generateSalesData($D267, IF(ISNUMBER(_xlfn.XLOOKUP($C267,Phone_by_Sentiment!$B$2:$B$37,Phone_by_Sentiment!O$2:O$37,"",0,1)),_xlfn.XLOOKUP($C267,Phone_by_Sentiment!$B$2:$B$37,Phone_by_Sentiment!O$2:O$37,"",0,1),0),$A267-TEXT(DATEVALUE($D267&amp;"-01"), "dd-mm-yyyy")),0),0)</f>
        <v>0</v>
      </c>
      <c r="P267" s="1">
        <f t="shared" si="10"/>
        <v>43709</v>
      </c>
      <c r="Q267">
        <f t="shared" si="11"/>
        <v>-31</v>
      </c>
    </row>
    <row r="268" spans="1:17" x14ac:dyDescent="0.25">
      <c r="A268" s="1">
        <f t="shared" si="9"/>
        <v>43678</v>
      </c>
      <c r="B268" t="s">
        <v>143</v>
      </c>
      <c r="C268" t="str">
        <f>_xlfn.XLOOKUP(B268,Phone_by_Price!$A$2:$A$34,Phone_by_Price!$B$2:$B$34,"-",0,1)</f>
        <v>Samsung Galaxy S20 Ultra</v>
      </c>
      <c r="D268" t="str">
        <f>_xlfn.XLOOKUP(C268,Phone_by_Sentiment!$B$2:$B$37,Phone_by_Sentiment!$A$2:$A$37,"-",0,1)</f>
        <v>2020-02</v>
      </c>
      <c r="E268" cm="1">
        <f t="array" ref="E268">IF($Q268&gt;=0,IFERROR(generateSalesData($D268, IF(ISNUMBER(_xlfn.XLOOKUP($C268,Phone_by_Sentiment!$B$2:$B$37,Phone_by_Sentiment!E$2:E$37,"",0,1)),_xlfn.XLOOKUP($C268,Phone_by_Sentiment!$B$2:$B$37,Phone_by_Sentiment!E$2:E$37,"",0,1),0),$A268-TEXT(DATEVALUE($D268&amp;"-01"), "dd-mm-yyyy")),0),0)</f>
        <v>0</v>
      </c>
      <c r="F268" cm="1">
        <f t="array" ref="F268">IF($Q268&gt;=0,IFERROR(generateSalesData($D268, IF(ISNUMBER(_xlfn.XLOOKUP($C268,Phone_by_Sentiment!$B$2:$B$37,Phone_by_Sentiment!F$2:F$37,"",0,1)),_xlfn.XLOOKUP($C268,Phone_by_Sentiment!$B$2:$B$37,Phone_by_Sentiment!F$2:F$37,"",0,1),0),$A268-TEXT(DATEVALUE($D268&amp;"-01"), "dd-mm-yyyy")),0),0)</f>
        <v>0</v>
      </c>
      <c r="G268" cm="1">
        <f t="array" ref="G268">IF($Q268&gt;=0,IFERROR(generateSalesData($D268, IF(ISNUMBER(_xlfn.XLOOKUP($C268,Phone_by_Sentiment!$B$2:$B$37,Phone_by_Sentiment!G$2:G$37,"",0,1)),_xlfn.XLOOKUP($C268,Phone_by_Sentiment!$B$2:$B$37,Phone_by_Sentiment!G$2:G$37,"",0,1),0),$A268-TEXT(DATEVALUE($D268&amp;"-01"), "dd-mm-yyyy")),0),0)</f>
        <v>0</v>
      </c>
      <c r="H268" cm="1">
        <f t="array" ref="H268">IF($Q268&gt;=0,IFERROR(generateSalesData($D268, IF(ISNUMBER(_xlfn.XLOOKUP($C268,Phone_by_Sentiment!$B$2:$B$37,Phone_by_Sentiment!H$2:H$37,"",0,1)),_xlfn.XLOOKUP($C268,Phone_by_Sentiment!$B$2:$B$37,Phone_by_Sentiment!H$2:H$37,"",0,1),0),$A268-TEXT(DATEVALUE($D268&amp;"-01"), "dd-mm-yyyy")),0),0)</f>
        <v>0</v>
      </c>
      <c r="I268" cm="1">
        <f t="array" ref="I268">IF($Q268&gt;=0,IFERROR(generateSalesData($D268, IF(ISNUMBER(_xlfn.XLOOKUP($C268,Phone_by_Sentiment!$B$2:$B$37,Phone_by_Sentiment!I$2:I$37,"",0,1)),_xlfn.XLOOKUP($C268,Phone_by_Sentiment!$B$2:$B$37,Phone_by_Sentiment!I$2:I$37,"",0,1),0),$A268-TEXT(DATEVALUE($D268&amp;"-01"), "dd-mm-yyyy")),0),0)</f>
        <v>0</v>
      </c>
      <c r="J268" cm="1">
        <f t="array" ref="J268">IF($Q268&gt;=0,IFERROR(generateSalesData($D268, IF(ISNUMBER(_xlfn.XLOOKUP($C268,Phone_by_Sentiment!$B$2:$B$37,Phone_by_Sentiment!J$2:J$37,"",0,1)),_xlfn.XLOOKUP($C268,Phone_by_Sentiment!$B$2:$B$37,Phone_by_Sentiment!J$2:J$37,"",0,1),0),$A268-TEXT(DATEVALUE($D268&amp;"-01"), "dd-mm-yyyy")),0),0)</f>
        <v>0</v>
      </c>
      <c r="K268" cm="1">
        <f t="array" ref="K268">IF($Q268&gt;=0,IFERROR(generateSalesData($D268, IF(ISNUMBER(_xlfn.XLOOKUP($C268,Phone_by_Sentiment!$B$2:$B$37,Phone_by_Sentiment!K$2:K$37,"",0,1)),_xlfn.XLOOKUP($C268,Phone_by_Sentiment!$B$2:$B$37,Phone_by_Sentiment!K$2:K$37,"",0,1),0),$A268-TEXT(DATEVALUE($D268&amp;"-01"), "dd-mm-yyyy")),0),0)</f>
        <v>0</v>
      </c>
      <c r="L268" cm="1">
        <f t="array" ref="L268">IF($Q268&gt;=0,IFERROR(generateSalesData($D268, IF(ISNUMBER(_xlfn.XLOOKUP($C268,Phone_by_Sentiment!$B$2:$B$37,Phone_by_Sentiment!L$2:L$37,"",0,1)),_xlfn.XLOOKUP($C268,Phone_by_Sentiment!$B$2:$B$37,Phone_by_Sentiment!L$2:L$37,"",0,1),0),$A268-TEXT(DATEVALUE($D268&amp;"-01"), "dd-mm-yyyy")),0),0)</f>
        <v>0</v>
      </c>
      <c r="M268" cm="1">
        <f t="array" ref="M268">IF($Q268&gt;=0,IFERROR(generateSalesData($D268, IF(ISNUMBER(_xlfn.XLOOKUP($C268,Phone_by_Sentiment!$B$2:$B$37,Phone_by_Sentiment!M$2:M$37,"",0,1)),_xlfn.XLOOKUP($C268,Phone_by_Sentiment!$B$2:$B$37,Phone_by_Sentiment!M$2:M$37,"",0,1),0),$A268-TEXT(DATEVALUE($D268&amp;"-01"), "dd-mm-yyyy")),0),0)</f>
        <v>0</v>
      </c>
      <c r="N268" cm="1">
        <f t="array" ref="N268">IF($Q268&gt;=0,IFERROR(generateSalesData($D268, IF(ISNUMBER(_xlfn.XLOOKUP($C268,Phone_by_Sentiment!$B$2:$B$37,Phone_by_Sentiment!N$2:N$37,"",0,1)),_xlfn.XLOOKUP($C268,Phone_by_Sentiment!$B$2:$B$37,Phone_by_Sentiment!N$2:N$37,"",0,1),0),$A268-TEXT(DATEVALUE($D268&amp;"-01"), "dd-mm-yyyy")),0),0)</f>
        <v>0</v>
      </c>
      <c r="O268" cm="1">
        <f t="array" ref="O268">IF($Q268&gt;=0,IFERROR(generateSalesData($D268, IF(ISNUMBER(_xlfn.XLOOKUP($C268,Phone_by_Sentiment!$B$2:$B$37,Phone_by_Sentiment!O$2:O$37,"",0,1)),_xlfn.XLOOKUP($C268,Phone_by_Sentiment!$B$2:$B$37,Phone_by_Sentiment!O$2:O$37,"",0,1),0),$A268-TEXT(DATEVALUE($D268&amp;"-01"), "dd-mm-yyyy")),0),0)</f>
        <v>0</v>
      </c>
      <c r="P268" s="1">
        <f t="shared" si="10"/>
        <v>43862</v>
      </c>
      <c r="Q268">
        <f t="shared" si="11"/>
        <v>-184</v>
      </c>
    </row>
    <row r="269" spans="1:17" x14ac:dyDescent="0.25">
      <c r="A269" s="1">
        <f t="shared" si="9"/>
        <v>43678</v>
      </c>
      <c r="B269" t="s">
        <v>144</v>
      </c>
      <c r="C269" t="str">
        <f>_xlfn.XLOOKUP(B269,Phone_by_Price!$A$2:$A$34,Phone_by_Price!$B$2:$B$34,"-",0,1)</f>
        <v>Xiaomi Redmi Note 10</v>
      </c>
      <c r="D269" t="str">
        <f>_xlfn.XLOOKUP(C269,Phone_by_Sentiment!$B$2:$B$37,Phone_by_Sentiment!$A$2:$A$37,"-",0,1)</f>
        <v>2021-03</v>
      </c>
      <c r="E269" cm="1">
        <f t="array" ref="E269">IF($Q269&gt;=0,IFERROR(generateSalesData($D269, IF(ISNUMBER(_xlfn.XLOOKUP($C269,Phone_by_Sentiment!$B$2:$B$37,Phone_by_Sentiment!E$2:E$37,"",0,1)),_xlfn.XLOOKUP($C269,Phone_by_Sentiment!$B$2:$B$37,Phone_by_Sentiment!E$2:E$37,"",0,1),0),$A269-TEXT(DATEVALUE($D269&amp;"-01"), "dd-mm-yyyy")),0),0)</f>
        <v>0</v>
      </c>
      <c r="F269" cm="1">
        <f t="array" ref="F269">IF($Q269&gt;=0,IFERROR(generateSalesData($D269, IF(ISNUMBER(_xlfn.XLOOKUP($C269,Phone_by_Sentiment!$B$2:$B$37,Phone_by_Sentiment!F$2:F$37,"",0,1)),_xlfn.XLOOKUP($C269,Phone_by_Sentiment!$B$2:$B$37,Phone_by_Sentiment!F$2:F$37,"",0,1),0),$A269-TEXT(DATEVALUE($D269&amp;"-01"), "dd-mm-yyyy")),0),0)</f>
        <v>0</v>
      </c>
      <c r="G269" cm="1">
        <f t="array" ref="G269">IF($Q269&gt;=0,IFERROR(generateSalesData($D269, IF(ISNUMBER(_xlfn.XLOOKUP($C269,Phone_by_Sentiment!$B$2:$B$37,Phone_by_Sentiment!G$2:G$37,"",0,1)),_xlfn.XLOOKUP($C269,Phone_by_Sentiment!$B$2:$B$37,Phone_by_Sentiment!G$2:G$37,"",0,1),0),$A269-TEXT(DATEVALUE($D269&amp;"-01"), "dd-mm-yyyy")),0),0)</f>
        <v>0</v>
      </c>
      <c r="H269" cm="1">
        <f t="array" ref="H269">IF($Q269&gt;=0,IFERROR(generateSalesData($D269, IF(ISNUMBER(_xlfn.XLOOKUP($C269,Phone_by_Sentiment!$B$2:$B$37,Phone_by_Sentiment!H$2:H$37,"",0,1)),_xlfn.XLOOKUP($C269,Phone_by_Sentiment!$B$2:$B$37,Phone_by_Sentiment!H$2:H$37,"",0,1),0),$A269-TEXT(DATEVALUE($D269&amp;"-01"), "dd-mm-yyyy")),0),0)</f>
        <v>0</v>
      </c>
      <c r="I269" cm="1">
        <f t="array" ref="I269">IF($Q269&gt;=0,IFERROR(generateSalesData($D269, IF(ISNUMBER(_xlfn.XLOOKUP($C269,Phone_by_Sentiment!$B$2:$B$37,Phone_by_Sentiment!I$2:I$37,"",0,1)),_xlfn.XLOOKUP($C269,Phone_by_Sentiment!$B$2:$B$37,Phone_by_Sentiment!I$2:I$37,"",0,1),0),$A269-TEXT(DATEVALUE($D269&amp;"-01"), "dd-mm-yyyy")),0),0)</f>
        <v>0</v>
      </c>
      <c r="J269" cm="1">
        <f t="array" ref="J269">IF($Q269&gt;=0,IFERROR(generateSalesData($D269, IF(ISNUMBER(_xlfn.XLOOKUP($C269,Phone_by_Sentiment!$B$2:$B$37,Phone_by_Sentiment!J$2:J$37,"",0,1)),_xlfn.XLOOKUP($C269,Phone_by_Sentiment!$B$2:$B$37,Phone_by_Sentiment!J$2:J$37,"",0,1),0),$A269-TEXT(DATEVALUE($D269&amp;"-01"), "dd-mm-yyyy")),0),0)</f>
        <v>0</v>
      </c>
      <c r="K269" cm="1">
        <f t="array" ref="K269">IF($Q269&gt;=0,IFERROR(generateSalesData($D269, IF(ISNUMBER(_xlfn.XLOOKUP($C269,Phone_by_Sentiment!$B$2:$B$37,Phone_by_Sentiment!K$2:K$37,"",0,1)),_xlfn.XLOOKUP($C269,Phone_by_Sentiment!$B$2:$B$37,Phone_by_Sentiment!K$2:K$37,"",0,1),0),$A269-TEXT(DATEVALUE($D269&amp;"-01"), "dd-mm-yyyy")),0),0)</f>
        <v>0</v>
      </c>
      <c r="L269" cm="1">
        <f t="array" ref="L269">IF($Q269&gt;=0,IFERROR(generateSalesData($D269, IF(ISNUMBER(_xlfn.XLOOKUP($C269,Phone_by_Sentiment!$B$2:$B$37,Phone_by_Sentiment!L$2:L$37,"",0,1)),_xlfn.XLOOKUP($C269,Phone_by_Sentiment!$B$2:$B$37,Phone_by_Sentiment!L$2:L$37,"",0,1),0),$A269-TEXT(DATEVALUE($D269&amp;"-01"), "dd-mm-yyyy")),0),0)</f>
        <v>0</v>
      </c>
      <c r="M269" cm="1">
        <f t="array" ref="M269">IF($Q269&gt;=0,IFERROR(generateSalesData($D269, IF(ISNUMBER(_xlfn.XLOOKUP($C269,Phone_by_Sentiment!$B$2:$B$37,Phone_by_Sentiment!M$2:M$37,"",0,1)),_xlfn.XLOOKUP($C269,Phone_by_Sentiment!$B$2:$B$37,Phone_by_Sentiment!M$2:M$37,"",0,1),0),$A269-TEXT(DATEVALUE($D269&amp;"-01"), "dd-mm-yyyy")),0),0)</f>
        <v>0</v>
      </c>
      <c r="N269" cm="1">
        <f t="array" ref="N269">IF($Q269&gt;=0,IFERROR(generateSalesData($D269, IF(ISNUMBER(_xlfn.XLOOKUP($C269,Phone_by_Sentiment!$B$2:$B$37,Phone_by_Sentiment!N$2:N$37,"",0,1)),_xlfn.XLOOKUP($C269,Phone_by_Sentiment!$B$2:$B$37,Phone_by_Sentiment!N$2:N$37,"",0,1),0),$A269-TEXT(DATEVALUE($D269&amp;"-01"), "dd-mm-yyyy")),0),0)</f>
        <v>0</v>
      </c>
      <c r="O269" cm="1">
        <f t="array" ref="O269">IF($Q269&gt;=0,IFERROR(generateSalesData($D269, IF(ISNUMBER(_xlfn.XLOOKUP($C269,Phone_by_Sentiment!$B$2:$B$37,Phone_by_Sentiment!O$2:O$37,"",0,1)),_xlfn.XLOOKUP($C269,Phone_by_Sentiment!$B$2:$B$37,Phone_by_Sentiment!O$2:O$37,"",0,1),0),$A269-TEXT(DATEVALUE($D269&amp;"-01"), "dd-mm-yyyy")),0),0)</f>
        <v>0</v>
      </c>
      <c r="P269" s="1">
        <f t="shared" si="10"/>
        <v>44256</v>
      </c>
      <c r="Q269">
        <f t="shared" si="11"/>
        <v>-578</v>
      </c>
    </row>
    <row r="270" spans="1:17" x14ac:dyDescent="0.25">
      <c r="A270" s="1">
        <f t="shared" si="9"/>
        <v>43678</v>
      </c>
      <c r="B270" t="s">
        <v>145</v>
      </c>
      <c r="C270" t="str">
        <f>_xlfn.XLOOKUP(B270,Phone_by_Price!$A$2:$A$34,Phone_by_Price!$B$2:$B$34,"-",0,1)</f>
        <v>OPPO A54</v>
      </c>
      <c r="D270" t="str">
        <f>_xlfn.XLOOKUP(C270,Phone_by_Sentiment!$B$2:$B$37,Phone_by_Sentiment!$A$2:$A$37,"-",0,1)</f>
        <v>2021-04</v>
      </c>
      <c r="E270" cm="1">
        <f t="array" ref="E270">IF($Q270&gt;=0,IFERROR(generateSalesData($D270, IF(ISNUMBER(_xlfn.XLOOKUP($C270,Phone_by_Sentiment!$B$2:$B$37,Phone_by_Sentiment!E$2:E$37,"",0,1)),_xlfn.XLOOKUP($C270,Phone_by_Sentiment!$B$2:$B$37,Phone_by_Sentiment!E$2:E$37,"",0,1),0),$A270-TEXT(DATEVALUE($D270&amp;"-01"), "dd-mm-yyyy")),0),0)</f>
        <v>0</v>
      </c>
      <c r="F270" cm="1">
        <f t="array" ref="F270">IF($Q270&gt;=0,IFERROR(generateSalesData($D270, IF(ISNUMBER(_xlfn.XLOOKUP($C270,Phone_by_Sentiment!$B$2:$B$37,Phone_by_Sentiment!F$2:F$37,"",0,1)),_xlfn.XLOOKUP($C270,Phone_by_Sentiment!$B$2:$B$37,Phone_by_Sentiment!F$2:F$37,"",0,1),0),$A270-TEXT(DATEVALUE($D270&amp;"-01"), "dd-mm-yyyy")),0),0)</f>
        <v>0</v>
      </c>
      <c r="G270" cm="1">
        <f t="array" ref="G270">IF($Q270&gt;=0,IFERROR(generateSalesData($D270, IF(ISNUMBER(_xlfn.XLOOKUP($C270,Phone_by_Sentiment!$B$2:$B$37,Phone_by_Sentiment!G$2:G$37,"",0,1)),_xlfn.XLOOKUP($C270,Phone_by_Sentiment!$B$2:$B$37,Phone_by_Sentiment!G$2:G$37,"",0,1),0),$A270-TEXT(DATEVALUE($D270&amp;"-01"), "dd-mm-yyyy")),0),0)</f>
        <v>0</v>
      </c>
      <c r="H270" cm="1">
        <f t="array" ref="H270">IF($Q270&gt;=0,IFERROR(generateSalesData($D270, IF(ISNUMBER(_xlfn.XLOOKUP($C270,Phone_by_Sentiment!$B$2:$B$37,Phone_by_Sentiment!H$2:H$37,"",0,1)),_xlfn.XLOOKUP($C270,Phone_by_Sentiment!$B$2:$B$37,Phone_by_Sentiment!H$2:H$37,"",0,1),0),$A270-TEXT(DATEVALUE($D270&amp;"-01"), "dd-mm-yyyy")),0),0)</f>
        <v>0</v>
      </c>
      <c r="I270" cm="1">
        <f t="array" ref="I270">IF($Q270&gt;=0,IFERROR(generateSalesData($D270, IF(ISNUMBER(_xlfn.XLOOKUP($C270,Phone_by_Sentiment!$B$2:$B$37,Phone_by_Sentiment!I$2:I$37,"",0,1)),_xlfn.XLOOKUP($C270,Phone_by_Sentiment!$B$2:$B$37,Phone_by_Sentiment!I$2:I$37,"",0,1),0),$A270-TEXT(DATEVALUE($D270&amp;"-01"), "dd-mm-yyyy")),0),0)</f>
        <v>0</v>
      </c>
      <c r="J270" cm="1">
        <f t="array" ref="J270">IF($Q270&gt;=0,IFERROR(generateSalesData($D270, IF(ISNUMBER(_xlfn.XLOOKUP($C270,Phone_by_Sentiment!$B$2:$B$37,Phone_by_Sentiment!J$2:J$37,"",0,1)),_xlfn.XLOOKUP($C270,Phone_by_Sentiment!$B$2:$B$37,Phone_by_Sentiment!J$2:J$37,"",0,1),0),$A270-TEXT(DATEVALUE($D270&amp;"-01"), "dd-mm-yyyy")),0),0)</f>
        <v>0</v>
      </c>
      <c r="K270" cm="1">
        <f t="array" ref="K270">IF($Q270&gt;=0,IFERROR(generateSalesData($D270, IF(ISNUMBER(_xlfn.XLOOKUP($C270,Phone_by_Sentiment!$B$2:$B$37,Phone_by_Sentiment!K$2:K$37,"",0,1)),_xlfn.XLOOKUP($C270,Phone_by_Sentiment!$B$2:$B$37,Phone_by_Sentiment!K$2:K$37,"",0,1),0),$A270-TEXT(DATEVALUE($D270&amp;"-01"), "dd-mm-yyyy")),0),0)</f>
        <v>0</v>
      </c>
      <c r="L270" cm="1">
        <f t="array" ref="L270">IF($Q270&gt;=0,IFERROR(generateSalesData($D270, IF(ISNUMBER(_xlfn.XLOOKUP($C270,Phone_by_Sentiment!$B$2:$B$37,Phone_by_Sentiment!L$2:L$37,"",0,1)),_xlfn.XLOOKUP($C270,Phone_by_Sentiment!$B$2:$B$37,Phone_by_Sentiment!L$2:L$37,"",0,1),0),$A270-TEXT(DATEVALUE($D270&amp;"-01"), "dd-mm-yyyy")),0),0)</f>
        <v>0</v>
      </c>
      <c r="M270" cm="1">
        <f t="array" ref="M270">IF($Q270&gt;=0,IFERROR(generateSalesData($D270, IF(ISNUMBER(_xlfn.XLOOKUP($C270,Phone_by_Sentiment!$B$2:$B$37,Phone_by_Sentiment!M$2:M$37,"",0,1)),_xlfn.XLOOKUP($C270,Phone_by_Sentiment!$B$2:$B$37,Phone_by_Sentiment!M$2:M$37,"",0,1),0),$A270-TEXT(DATEVALUE($D270&amp;"-01"), "dd-mm-yyyy")),0),0)</f>
        <v>0</v>
      </c>
      <c r="N270" cm="1">
        <f t="array" ref="N270">IF($Q270&gt;=0,IFERROR(generateSalesData($D270, IF(ISNUMBER(_xlfn.XLOOKUP($C270,Phone_by_Sentiment!$B$2:$B$37,Phone_by_Sentiment!N$2:N$37,"",0,1)),_xlfn.XLOOKUP($C270,Phone_by_Sentiment!$B$2:$B$37,Phone_by_Sentiment!N$2:N$37,"",0,1),0),$A270-TEXT(DATEVALUE($D270&amp;"-01"), "dd-mm-yyyy")),0),0)</f>
        <v>0</v>
      </c>
      <c r="O270" cm="1">
        <f t="array" ref="O270">IF($Q270&gt;=0,IFERROR(generateSalesData($D270, IF(ISNUMBER(_xlfn.XLOOKUP($C270,Phone_by_Sentiment!$B$2:$B$37,Phone_by_Sentiment!O$2:O$37,"",0,1)),_xlfn.XLOOKUP($C270,Phone_by_Sentiment!$B$2:$B$37,Phone_by_Sentiment!O$2:O$37,"",0,1),0),$A270-TEXT(DATEVALUE($D270&amp;"-01"), "dd-mm-yyyy")),0),0)</f>
        <v>0</v>
      </c>
      <c r="P270" s="1">
        <f t="shared" si="10"/>
        <v>44287</v>
      </c>
      <c r="Q270">
        <f t="shared" si="11"/>
        <v>-609</v>
      </c>
    </row>
    <row r="271" spans="1:17" x14ac:dyDescent="0.25">
      <c r="A271" s="1">
        <f t="shared" si="9"/>
        <v>43678</v>
      </c>
      <c r="B271" t="s">
        <v>146</v>
      </c>
      <c r="C271" t="str">
        <f>_xlfn.XLOOKUP(B271,Phone_by_Price!$A$2:$A$34,Phone_by_Price!$B$2:$B$34,"-",0,1)</f>
        <v>Vivo Y20</v>
      </c>
      <c r="D271" t="str">
        <f>_xlfn.XLOOKUP(C271,Phone_by_Sentiment!$B$2:$B$37,Phone_by_Sentiment!$A$2:$A$37,"-",0,1)</f>
        <v>2020-09</v>
      </c>
      <c r="E271" cm="1">
        <f t="array" ref="E271">IF($Q271&gt;=0,IFERROR(generateSalesData($D271, IF(ISNUMBER(_xlfn.XLOOKUP($C271,Phone_by_Sentiment!$B$2:$B$37,Phone_by_Sentiment!E$2:E$37,"",0,1)),_xlfn.XLOOKUP($C271,Phone_by_Sentiment!$B$2:$B$37,Phone_by_Sentiment!E$2:E$37,"",0,1),0),$A271-TEXT(DATEVALUE($D271&amp;"-01"), "dd-mm-yyyy")),0),0)</f>
        <v>0</v>
      </c>
      <c r="F271" cm="1">
        <f t="array" ref="F271">IF($Q271&gt;=0,IFERROR(generateSalesData($D271, IF(ISNUMBER(_xlfn.XLOOKUP($C271,Phone_by_Sentiment!$B$2:$B$37,Phone_by_Sentiment!F$2:F$37,"",0,1)),_xlfn.XLOOKUP($C271,Phone_by_Sentiment!$B$2:$B$37,Phone_by_Sentiment!F$2:F$37,"",0,1),0),$A271-TEXT(DATEVALUE($D271&amp;"-01"), "dd-mm-yyyy")),0),0)</f>
        <v>0</v>
      </c>
      <c r="G271" cm="1">
        <f t="array" ref="G271">IF($Q271&gt;=0,IFERROR(generateSalesData($D271, IF(ISNUMBER(_xlfn.XLOOKUP($C271,Phone_by_Sentiment!$B$2:$B$37,Phone_by_Sentiment!G$2:G$37,"",0,1)),_xlfn.XLOOKUP($C271,Phone_by_Sentiment!$B$2:$B$37,Phone_by_Sentiment!G$2:G$37,"",0,1),0),$A271-TEXT(DATEVALUE($D271&amp;"-01"), "dd-mm-yyyy")),0),0)</f>
        <v>0</v>
      </c>
      <c r="H271" cm="1">
        <f t="array" ref="H271">IF($Q271&gt;=0,IFERROR(generateSalesData($D271, IF(ISNUMBER(_xlfn.XLOOKUP($C271,Phone_by_Sentiment!$B$2:$B$37,Phone_by_Sentiment!H$2:H$37,"",0,1)),_xlfn.XLOOKUP($C271,Phone_by_Sentiment!$B$2:$B$37,Phone_by_Sentiment!H$2:H$37,"",0,1),0),$A271-TEXT(DATEVALUE($D271&amp;"-01"), "dd-mm-yyyy")),0),0)</f>
        <v>0</v>
      </c>
      <c r="I271" cm="1">
        <f t="array" ref="I271">IF($Q271&gt;=0,IFERROR(generateSalesData($D271, IF(ISNUMBER(_xlfn.XLOOKUP($C271,Phone_by_Sentiment!$B$2:$B$37,Phone_by_Sentiment!I$2:I$37,"",0,1)),_xlfn.XLOOKUP($C271,Phone_by_Sentiment!$B$2:$B$37,Phone_by_Sentiment!I$2:I$37,"",0,1),0),$A271-TEXT(DATEVALUE($D271&amp;"-01"), "dd-mm-yyyy")),0),0)</f>
        <v>0</v>
      </c>
      <c r="J271" cm="1">
        <f t="array" ref="J271">IF($Q271&gt;=0,IFERROR(generateSalesData($D271, IF(ISNUMBER(_xlfn.XLOOKUP($C271,Phone_by_Sentiment!$B$2:$B$37,Phone_by_Sentiment!J$2:J$37,"",0,1)),_xlfn.XLOOKUP($C271,Phone_by_Sentiment!$B$2:$B$37,Phone_by_Sentiment!J$2:J$37,"",0,1),0),$A271-TEXT(DATEVALUE($D271&amp;"-01"), "dd-mm-yyyy")),0),0)</f>
        <v>0</v>
      </c>
      <c r="K271" cm="1">
        <f t="array" ref="K271">IF($Q271&gt;=0,IFERROR(generateSalesData($D271, IF(ISNUMBER(_xlfn.XLOOKUP($C271,Phone_by_Sentiment!$B$2:$B$37,Phone_by_Sentiment!K$2:K$37,"",0,1)),_xlfn.XLOOKUP($C271,Phone_by_Sentiment!$B$2:$B$37,Phone_by_Sentiment!K$2:K$37,"",0,1),0),$A271-TEXT(DATEVALUE($D271&amp;"-01"), "dd-mm-yyyy")),0),0)</f>
        <v>0</v>
      </c>
      <c r="L271" cm="1">
        <f t="array" ref="L271">IF($Q271&gt;=0,IFERROR(generateSalesData($D271, IF(ISNUMBER(_xlfn.XLOOKUP($C271,Phone_by_Sentiment!$B$2:$B$37,Phone_by_Sentiment!L$2:L$37,"",0,1)),_xlfn.XLOOKUP($C271,Phone_by_Sentiment!$B$2:$B$37,Phone_by_Sentiment!L$2:L$37,"",0,1),0),$A271-TEXT(DATEVALUE($D271&amp;"-01"), "dd-mm-yyyy")),0),0)</f>
        <v>0</v>
      </c>
      <c r="M271" cm="1">
        <f t="array" ref="M271">IF($Q271&gt;=0,IFERROR(generateSalesData($D271, IF(ISNUMBER(_xlfn.XLOOKUP($C271,Phone_by_Sentiment!$B$2:$B$37,Phone_by_Sentiment!M$2:M$37,"",0,1)),_xlfn.XLOOKUP($C271,Phone_by_Sentiment!$B$2:$B$37,Phone_by_Sentiment!M$2:M$37,"",0,1),0),$A271-TEXT(DATEVALUE($D271&amp;"-01"), "dd-mm-yyyy")),0),0)</f>
        <v>0</v>
      </c>
      <c r="N271" cm="1">
        <f t="array" ref="N271">IF($Q271&gt;=0,IFERROR(generateSalesData($D271, IF(ISNUMBER(_xlfn.XLOOKUP($C271,Phone_by_Sentiment!$B$2:$B$37,Phone_by_Sentiment!N$2:N$37,"",0,1)),_xlfn.XLOOKUP($C271,Phone_by_Sentiment!$B$2:$B$37,Phone_by_Sentiment!N$2:N$37,"",0,1),0),$A271-TEXT(DATEVALUE($D271&amp;"-01"), "dd-mm-yyyy")),0),0)</f>
        <v>0</v>
      </c>
      <c r="O271" cm="1">
        <f t="array" ref="O271">IF($Q271&gt;=0,IFERROR(generateSalesData($D271, IF(ISNUMBER(_xlfn.XLOOKUP($C271,Phone_by_Sentiment!$B$2:$B$37,Phone_by_Sentiment!O$2:O$37,"",0,1)),_xlfn.XLOOKUP($C271,Phone_by_Sentiment!$B$2:$B$37,Phone_by_Sentiment!O$2:O$37,"",0,1),0),$A271-TEXT(DATEVALUE($D271&amp;"-01"), "dd-mm-yyyy")),0),0)</f>
        <v>0</v>
      </c>
      <c r="P271" s="1">
        <f t="shared" si="10"/>
        <v>44075</v>
      </c>
      <c r="Q271">
        <f t="shared" si="11"/>
        <v>-397</v>
      </c>
    </row>
    <row r="272" spans="1:17" x14ac:dyDescent="0.25">
      <c r="A272" s="1">
        <f t="shared" si="9"/>
        <v>43678</v>
      </c>
      <c r="B272" t="s">
        <v>147</v>
      </c>
      <c r="C272" t="str">
        <f>_xlfn.XLOOKUP(B272,Phone_by_Price!$A$2:$A$34,Phone_by_Price!$B$2:$B$34,"-",0,1)</f>
        <v>Huawei Y9a</v>
      </c>
      <c r="D272" t="str">
        <f>_xlfn.XLOOKUP(C272,Phone_by_Sentiment!$B$2:$B$37,Phone_by_Sentiment!$A$2:$A$37,"-",0,1)</f>
        <v>2020-02</v>
      </c>
      <c r="E272" cm="1">
        <f t="array" ref="E272">IF($Q272&gt;=0,IFERROR(generateSalesData($D272, IF(ISNUMBER(_xlfn.XLOOKUP($C272,Phone_by_Sentiment!$B$2:$B$37,Phone_by_Sentiment!E$2:E$37,"",0,1)),_xlfn.XLOOKUP($C272,Phone_by_Sentiment!$B$2:$B$37,Phone_by_Sentiment!E$2:E$37,"",0,1),0),$A272-TEXT(DATEVALUE($D272&amp;"-01"), "dd-mm-yyyy")),0),0)</f>
        <v>0</v>
      </c>
      <c r="F272" cm="1">
        <f t="array" ref="F272">IF($Q272&gt;=0,IFERROR(generateSalesData($D272, IF(ISNUMBER(_xlfn.XLOOKUP($C272,Phone_by_Sentiment!$B$2:$B$37,Phone_by_Sentiment!F$2:F$37,"",0,1)),_xlfn.XLOOKUP($C272,Phone_by_Sentiment!$B$2:$B$37,Phone_by_Sentiment!F$2:F$37,"",0,1),0),$A272-TEXT(DATEVALUE($D272&amp;"-01"), "dd-mm-yyyy")),0),0)</f>
        <v>0</v>
      </c>
      <c r="G272" cm="1">
        <f t="array" ref="G272">IF($Q272&gt;=0,IFERROR(generateSalesData($D272, IF(ISNUMBER(_xlfn.XLOOKUP($C272,Phone_by_Sentiment!$B$2:$B$37,Phone_by_Sentiment!G$2:G$37,"",0,1)),_xlfn.XLOOKUP($C272,Phone_by_Sentiment!$B$2:$B$37,Phone_by_Sentiment!G$2:G$37,"",0,1),0),$A272-TEXT(DATEVALUE($D272&amp;"-01"), "dd-mm-yyyy")),0),0)</f>
        <v>0</v>
      </c>
      <c r="H272" cm="1">
        <f t="array" ref="H272">IF($Q272&gt;=0,IFERROR(generateSalesData($D272, IF(ISNUMBER(_xlfn.XLOOKUP($C272,Phone_by_Sentiment!$B$2:$B$37,Phone_by_Sentiment!H$2:H$37,"",0,1)),_xlfn.XLOOKUP($C272,Phone_by_Sentiment!$B$2:$B$37,Phone_by_Sentiment!H$2:H$37,"",0,1),0),$A272-TEXT(DATEVALUE($D272&amp;"-01"), "dd-mm-yyyy")),0),0)</f>
        <v>0</v>
      </c>
      <c r="I272" cm="1">
        <f t="array" ref="I272">IF($Q272&gt;=0,IFERROR(generateSalesData($D272, IF(ISNUMBER(_xlfn.XLOOKUP($C272,Phone_by_Sentiment!$B$2:$B$37,Phone_by_Sentiment!I$2:I$37,"",0,1)),_xlfn.XLOOKUP($C272,Phone_by_Sentiment!$B$2:$B$37,Phone_by_Sentiment!I$2:I$37,"",0,1),0),$A272-TEXT(DATEVALUE($D272&amp;"-01"), "dd-mm-yyyy")),0),0)</f>
        <v>0</v>
      </c>
      <c r="J272" cm="1">
        <f t="array" ref="J272">IF($Q272&gt;=0,IFERROR(generateSalesData($D272, IF(ISNUMBER(_xlfn.XLOOKUP($C272,Phone_by_Sentiment!$B$2:$B$37,Phone_by_Sentiment!J$2:J$37,"",0,1)),_xlfn.XLOOKUP($C272,Phone_by_Sentiment!$B$2:$B$37,Phone_by_Sentiment!J$2:J$37,"",0,1),0),$A272-TEXT(DATEVALUE($D272&amp;"-01"), "dd-mm-yyyy")),0),0)</f>
        <v>0</v>
      </c>
      <c r="K272" cm="1">
        <f t="array" ref="K272">IF($Q272&gt;=0,IFERROR(generateSalesData($D272, IF(ISNUMBER(_xlfn.XLOOKUP($C272,Phone_by_Sentiment!$B$2:$B$37,Phone_by_Sentiment!K$2:K$37,"",0,1)),_xlfn.XLOOKUP($C272,Phone_by_Sentiment!$B$2:$B$37,Phone_by_Sentiment!K$2:K$37,"",0,1),0),$A272-TEXT(DATEVALUE($D272&amp;"-01"), "dd-mm-yyyy")),0),0)</f>
        <v>0</v>
      </c>
      <c r="L272" cm="1">
        <f t="array" ref="L272">IF($Q272&gt;=0,IFERROR(generateSalesData($D272, IF(ISNUMBER(_xlfn.XLOOKUP($C272,Phone_by_Sentiment!$B$2:$B$37,Phone_by_Sentiment!L$2:L$37,"",0,1)),_xlfn.XLOOKUP($C272,Phone_by_Sentiment!$B$2:$B$37,Phone_by_Sentiment!L$2:L$37,"",0,1),0),$A272-TEXT(DATEVALUE($D272&amp;"-01"), "dd-mm-yyyy")),0),0)</f>
        <v>0</v>
      </c>
      <c r="M272" cm="1">
        <f t="array" ref="M272">IF($Q272&gt;=0,IFERROR(generateSalesData($D272, IF(ISNUMBER(_xlfn.XLOOKUP($C272,Phone_by_Sentiment!$B$2:$B$37,Phone_by_Sentiment!M$2:M$37,"",0,1)),_xlfn.XLOOKUP($C272,Phone_by_Sentiment!$B$2:$B$37,Phone_by_Sentiment!M$2:M$37,"",0,1),0),$A272-TEXT(DATEVALUE($D272&amp;"-01"), "dd-mm-yyyy")),0),0)</f>
        <v>0</v>
      </c>
      <c r="N272" cm="1">
        <f t="array" ref="N272">IF($Q272&gt;=0,IFERROR(generateSalesData($D272, IF(ISNUMBER(_xlfn.XLOOKUP($C272,Phone_by_Sentiment!$B$2:$B$37,Phone_by_Sentiment!N$2:N$37,"",0,1)),_xlfn.XLOOKUP($C272,Phone_by_Sentiment!$B$2:$B$37,Phone_by_Sentiment!N$2:N$37,"",0,1),0),$A272-TEXT(DATEVALUE($D272&amp;"-01"), "dd-mm-yyyy")),0),0)</f>
        <v>0</v>
      </c>
      <c r="O272" cm="1">
        <f t="array" ref="O272">IF($Q272&gt;=0,IFERROR(generateSalesData($D272, IF(ISNUMBER(_xlfn.XLOOKUP($C272,Phone_by_Sentiment!$B$2:$B$37,Phone_by_Sentiment!O$2:O$37,"",0,1)),_xlfn.XLOOKUP($C272,Phone_by_Sentiment!$B$2:$B$37,Phone_by_Sentiment!O$2:O$37,"",0,1),0),$A272-TEXT(DATEVALUE($D272&amp;"-01"), "dd-mm-yyyy")),0),0)</f>
        <v>0</v>
      </c>
      <c r="P272" s="1">
        <f t="shared" si="10"/>
        <v>43862</v>
      </c>
      <c r="Q272">
        <f t="shared" si="11"/>
        <v>-184</v>
      </c>
    </row>
    <row r="273" spans="1:17" x14ac:dyDescent="0.25">
      <c r="A273" s="1">
        <f t="shared" si="9"/>
        <v>43678</v>
      </c>
      <c r="B273" t="s">
        <v>148</v>
      </c>
      <c r="C273" t="str">
        <f>_xlfn.XLOOKUP(B273,Phone_by_Price!$A$2:$A$34,Phone_by_Price!$B$2:$B$34,"-",0,1)</f>
        <v>Xiaomi Redmi 10</v>
      </c>
      <c r="D273" t="str">
        <f>_xlfn.XLOOKUP(C273,Phone_by_Sentiment!$B$2:$B$37,Phone_by_Sentiment!$A$2:$A$37,"-",0,1)</f>
        <v>2021-03</v>
      </c>
      <c r="E273" cm="1">
        <f t="array" ref="E273">IF($Q273&gt;=0,IFERROR(generateSalesData($D273, IF(ISNUMBER(_xlfn.XLOOKUP($C273,Phone_by_Sentiment!$B$2:$B$37,Phone_by_Sentiment!E$2:E$37,"",0,1)),_xlfn.XLOOKUP($C273,Phone_by_Sentiment!$B$2:$B$37,Phone_by_Sentiment!E$2:E$37,"",0,1),0),$A273-TEXT(DATEVALUE($D273&amp;"-01"), "dd-mm-yyyy")),0),0)</f>
        <v>0</v>
      </c>
      <c r="F273" cm="1">
        <f t="array" ref="F273">IF($Q273&gt;=0,IFERROR(generateSalesData($D273, IF(ISNUMBER(_xlfn.XLOOKUP($C273,Phone_by_Sentiment!$B$2:$B$37,Phone_by_Sentiment!F$2:F$37,"",0,1)),_xlfn.XLOOKUP($C273,Phone_by_Sentiment!$B$2:$B$37,Phone_by_Sentiment!F$2:F$37,"",0,1),0),$A273-TEXT(DATEVALUE($D273&amp;"-01"), "dd-mm-yyyy")),0),0)</f>
        <v>0</v>
      </c>
      <c r="G273" cm="1">
        <f t="array" ref="G273">IF($Q273&gt;=0,IFERROR(generateSalesData($D273, IF(ISNUMBER(_xlfn.XLOOKUP($C273,Phone_by_Sentiment!$B$2:$B$37,Phone_by_Sentiment!G$2:G$37,"",0,1)),_xlfn.XLOOKUP($C273,Phone_by_Sentiment!$B$2:$B$37,Phone_by_Sentiment!G$2:G$37,"",0,1),0),$A273-TEXT(DATEVALUE($D273&amp;"-01"), "dd-mm-yyyy")),0),0)</f>
        <v>0</v>
      </c>
      <c r="H273" cm="1">
        <f t="array" ref="H273">IF($Q273&gt;=0,IFERROR(generateSalesData($D273, IF(ISNUMBER(_xlfn.XLOOKUP($C273,Phone_by_Sentiment!$B$2:$B$37,Phone_by_Sentiment!H$2:H$37,"",0,1)),_xlfn.XLOOKUP($C273,Phone_by_Sentiment!$B$2:$B$37,Phone_by_Sentiment!H$2:H$37,"",0,1),0),$A273-TEXT(DATEVALUE($D273&amp;"-01"), "dd-mm-yyyy")),0),0)</f>
        <v>0</v>
      </c>
      <c r="I273" cm="1">
        <f t="array" ref="I273">IF($Q273&gt;=0,IFERROR(generateSalesData($D273, IF(ISNUMBER(_xlfn.XLOOKUP($C273,Phone_by_Sentiment!$B$2:$B$37,Phone_by_Sentiment!I$2:I$37,"",0,1)),_xlfn.XLOOKUP($C273,Phone_by_Sentiment!$B$2:$B$37,Phone_by_Sentiment!I$2:I$37,"",0,1),0),$A273-TEXT(DATEVALUE($D273&amp;"-01"), "dd-mm-yyyy")),0),0)</f>
        <v>0</v>
      </c>
      <c r="J273" cm="1">
        <f t="array" ref="J273">IF($Q273&gt;=0,IFERROR(generateSalesData($D273, IF(ISNUMBER(_xlfn.XLOOKUP($C273,Phone_by_Sentiment!$B$2:$B$37,Phone_by_Sentiment!J$2:J$37,"",0,1)),_xlfn.XLOOKUP($C273,Phone_by_Sentiment!$B$2:$B$37,Phone_by_Sentiment!J$2:J$37,"",0,1),0),$A273-TEXT(DATEVALUE($D273&amp;"-01"), "dd-mm-yyyy")),0),0)</f>
        <v>0</v>
      </c>
      <c r="K273" cm="1">
        <f t="array" ref="K273">IF($Q273&gt;=0,IFERROR(generateSalesData($D273, IF(ISNUMBER(_xlfn.XLOOKUP($C273,Phone_by_Sentiment!$B$2:$B$37,Phone_by_Sentiment!K$2:K$37,"",0,1)),_xlfn.XLOOKUP($C273,Phone_by_Sentiment!$B$2:$B$37,Phone_by_Sentiment!K$2:K$37,"",0,1),0),$A273-TEXT(DATEVALUE($D273&amp;"-01"), "dd-mm-yyyy")),0),0)</f>
        <v>0</v>
      </c>
      <c r="L273" cm="1">
        <f t="array" ref="L273">IF($Q273&gt;=0,IFERROR(generateSalesData($D273, IF(ISNUMBER(_xlfn.XLOOKUP($C273,Phone_by_Sentiment!$B$2:$B$37,Phone_by_Sentiment!L$2:L$37,"",0,1)),_xlfn.XLOOKUP($C273,Phone_by_Sentiment!$B$2:$B$37,Phone_by_Sentiment!L$2:L$37,"",0,1),0),$A273-TEXT(DATEVALUE($D273&amp;"-01"), "dd-mm-yyyy")),0),0)</f>
        <v>0</v>
      </c>
      <c r="M273" cm="1">
        <f t="array" ref="M273">IF($Q273&gt;=0,IFERROR(generateSalesData($D273, IF(ISNUMBER(_xlfn.XLOOKUP($C273,Phone_by_Sentiment!$B$2:$B$37,Phone_by_Sentiment!M$2:M$37,"",0,1)),_xlfn.XLOOKUP($C273,Phone_by_Sentiment!$B$2:$B$37,Phone_by_Sentiment!M$2:M$37,"",0,1),0),$A273-TEXT(DATEVALUE($D273&amp;"-01"), "dd-mm-yyyy")),0),0)</f>
        <v>0</v>
      </c>
      <c r="N273" cm="1">
        <f t="array" ref="N273">IF($Q273&gt;=0,IFERROR(generateSalesData($D273, IF(ISNUMBER(_xlfn.XLOOKUP($C273,Phone_by_Sentiment!$B$2:$B$37,Phone_by_Sentiment!N$2:N$37,"",0,1)),_xlfn.XLOOKUP($C273,Phone_by_Sentiment!$B$2:$B$37,Phone_by_Sentiment!N$2:N$37,"",0,1),0),$A273-TEXT(DATEVALUE($D273&amp;"-01"), "dd-mm-yyyy")),0),0)</f>
        <v>0</v>
      </c>
      <c r="O273" cm="1">
        <f t="array" ref="O273">IF($Q273&gt;=0,IFERROR(generateSalesData($D273, IF(ISNUMBER(_xlfn.XLOOKUP($C273,Phone_by_Sentiment!$B$2:$B$37,Phone_by_Sentiment!O$2:O$37,"",0,1)),_xlfn.XLOOKUP($C273,Phone_by_Sentiment!$B$2:$B$37,Phone_by_Sentiment!O$2:O$37,"",0,1),0),$A273-TEXT(DATEVALUE($D273&amp;"-01"), "dd-mm-yyyy")),0),0)</f>
        <v>0</v>
      </c>
      <c r="P273" s="1">
        <f t="shared" si="10"/>
        <v>44256</v>
      </c>
      <c r="Q273">
        <f t="shared" si="11"/>
        <v>-578</v>
      </c>
    </row>
    <row r="274" spans="1:17" x14ac:dyDescent="0.25">
      <c r="A274" s="1">
        <f t="shared" si="9"/>
        <v>43678</v>
      </c>
      <c r="B274" t="s">
        <v>149</v>
      </c>
      <c r="C274" t="str">
        <f>_xlfn.XLOOKUP(B274,Phone_by_Price!$A$2:$A$34,Phone_by_Price!$B$2:$B$34,"-",0,1)</f>
        <v>Samsung Galaxy A52</v>
      </c>
      <c r="D274" t="str">
        <f>_xlfn.XLOOKUP(C274,Phone_by_Sentiment!$B$2:$B$37,Phone_by_Sentiment!$A$2:$A$37,"-",0,1)</f>
        <v>2021-03</v>
      </c>
      <c r="E274" cm="1">
        <f t="array" ref="E274">IF($Q274&gt;=0,IFERROR(generateSalesData($D274, IF(ISNUMBER(_xlfn.XLOOKUP($C274,Phone_by_Sentiment!$B$2:$B$37,Phone_by_Sentiment!E$2:E$37,"",0,1)),_xlfn.XLOOKUP($C274,Phone_by_Sentiment!$B$2:$B$37,Phone_by_Sentiment!E$2:E$37,"",0,1),0),$A274-TEXT(DATEVALUE($D274&amp;"-01"), "dd-mm-yyyy")),0),0)</f>
        <v>0</v>
      </c>
      <c r="F274" cm="1">
        <f t="array" ref="F274">IF($Q274&gt;=0,IFERROR(generateSalesData($D274, IF(ISNUMBER(_xlfn.XLOOKUP($C274,Phone_by_Sentiment!$B$2:$B$37,Phone_by_Sentiment!F$2:F$37,"",0,1)),_xlfn.XLOOKUP($C274,Phone_by_Sentiment!$B$2:$B$37,Phone_by_Sentiment!F$2:F$37,"",0,1),0),$A274-TEXT(DATEVALUE($D274&amp;"-01"), "dd-mm-yyyy")),0),0)</f>
        <v>0</v>
      </c>
      <c r="G274" cm="1">
        <f t="array" ref="G274">IF($Q274&gt;=0,IFERROR(generateSalesData($D274, IF(ISNUMBER(_xlfn.XLOOKUP($C274,Phone_by_Sentiment!$B$2:$B$37,Phone_by_Sentiment!G$2:G$37,"",0,1)),_xlfn.XLOOKUP($C274,Phone_by_Sentiment!$B$2:$B$37,Phone_by_Sentiment!G$2:G$37,"",0,1),0),$A274-TEXT(DATEVALUE($D274&amp;"-01"), "dd-mm-yyyy")),0),0)</f>
        <v>0</v>
      </c>
      <c r="H274" cm="1">
        <f t="array" ref="H274">IF($Q274&gt;=0,IFERROR(generateSalesData($D274, IF(ISNUMBER(_xlfn.XLOOKUP($C274,Phone_by_Sentiment!$B$2:$B$37,Phone_by_Sentiment!H$2:H$37,"",0,1)),_xlfn.XLOOKUP($C274,Phone_by_Sentiment!$B$2:$B$37,Phone_by_Sentiment!H$2:H$37,"",0,1),0),$A274-TEXT(DATEVALUE($D274&amp;"-01"), "dd-mm-yyyy")),0),0)</f>
        <v>0</v>
      </c>
      <c r="I274" cm="1">
        <f t="array" ref="I274">IF($Q274&gt;=0,IFERROR(generateSalesData($D274, IF(ISNUMBER(_xlfn.XLOOKUP($C274,Phone_by_Sentiment!$B$2:$B$37,Phone_by_Sentiment!I$2:I$37,"",0,1)),_xlfn.XLOOKUP($C274,Phone_by_Sentiment!$B$2:$B$37,Phone_by_Sentiment!I$2:I$37,"",0,1),0),$A274-TEXT(DATEVALUE($D274&amp;"-01"), "dd-mm-yyyy")),0),0)</f>
        <v>0</v>
      </c>
      <c r="J274" cm="1">
        <f t="array" ref="J274">IF($Q274&gt;=0,IFERROR(generateSalesData($D274, IF(ISNUMBER(_xlfn.XLOOKUP($C274,Phone_by_Sentiment!$B$2:$B$37,Phone_by_Sentiment!J$2:J$37,"",0,1)),_xlfn.XLOOKUP($C274,Phone_by_Sentiment!$B$2:$B$37,Phone_by_Sentiment!J$2:J$37,"",0,1),0),$A274-TEXT(DATEVALUE($D274&amp;"-01"), "dd-mm-yyyy")),0),0)</f>
        <v>0</v>
      </c>
      <c r="K274" cm="1">
        <f t="array" ref="K274">IF($Q274&gt;=0,IFERROR(generateSalesData($D274, IF(ISNUMBER(_xlfn.XLOOKUP($C274,Phone_by_Sentiment!$B$2:$B$37,Phone_by_Sentiment!K$2:K$37,"",0,1)),_xlfn.XLOOKUP($C274,Phone_by_Sentiment!$B$2:$B$37,Phone_by_Sentiment!K$2:K$37,"",0,1),0),$A274-TEXT(DATEVALUE($D274&amp;"-01"), "dd-mm-yyyy")),0),0)</f>
        <v>0</v>
      </c>
      <c r="L274" cm="1">
        <f t="array" ref="L274">IF($Q274&gt;=0,IFERROR(generateSalesData($D274, IF(ISNUMBER(_xlfn.XLOOKUP($C274,Phone_by_Sentiment!$B$2:$B$37,Phone_by_Sentiment!L$2:L$37,"",0,1)),_xlfn.XLOOKUP($C274,Phone_by_Sentiment!$B$2:$B$37,Phone_by_Sentiment!L$2:L$37,"",0,1),0),$A274-TEXT(DATEVALUE($D274&amp;"-01"), "dd-mm-yyyy")),0),0)</f>
        <v>0</v>
      </c>
      <c r="M274" cm="1">
        <f t="array" ref="M274">IF($Q274&gt;=0,IFERROR(generateSalesData($D274, IF(ISNUMBER(_xlfn.XLOOKUP($C274,Phone_by_Sentiment!$B$2:$B$37,Phone_by_Sentiment!M$2:M$37,"",0,1)),_xlfn.XLOOKUP($C274,Phone_by_Sentiment!$B$2:$B$37,Phone_by_Sentiment!M$2:M$37,"",0,1),0),$A274-TEXT(DATEVALUE($D274&amp;"-01"), "dd-mm-yyyy")),0),0)</f>
        <v>0</v>
      </c>
      <c r="N274" cm="1">
        <f t="array" ref="N274">IF($Q274&gt;=0,IFERROR(generateSalesData($D274, IF(ISNUMBER(_xlfn.XLOOKUP($C274,Phone_by_Sentiment!$B$2:$B$37,Phone_by_Sentiment!N$2:N$37,"",0,1)),_xlfn.XLOOKUP($C274,Phone_by_Sentiment!$B$2:$B$37,Phone_by_Sentiment!N$2:N$37,"",0,1),0),$A274-TEXT(DATEVALUE($D274&amp;"-01"), "dd-mm-yyyy")),0),0)</f>
        <v>0</v>
      </c>
      <c r="O274" cm="1">
        <f t="array" ref="O274">IF($Q274&gt;=0,IFERROR(generateSalesData($D274, IF(ISNUMBER(_xlfn.XLOOKUP($C274,Phone_by_Sentiment!$B$2:$B$37,Phone_by_Sentiment!O$2:O$37,"",0,1)),_xlfn.XLOOKUP($C274,Phone_by_Sentiment!$B$2:$B$37,Phone_by_Sentiment!O$2:O$37,"",0,1),0),$A274-TEXT(DATEVALUE($D274&amp;"-01"), "dd-mm-yyyy")),0),0)</f>
        <v>0</v>
      </c>
      <c r="P274" s="1">
        <f t="shared" si="10"/>
        <v>44256</v>
      </c>
      <c r="Q274">
        <f t="shared" si="11"/>
        <v>-578</v>
      </c>
    </row>
    <row r="275" spans="1:17" x14ac:dyDescent="0.25">
      <c r="A275" s="1">
        <f t="shared" si="9"/>
        <v>43678</v>
      </c>
      <c r="B275" t="s">
        <v>150</v>
      </c>
      <c r="C275" t="str">
        <f>_xlfn.XLOOKUP(B275,Phone_by_Price!$A$2:$A$34,Phone_by_Price!$B$2:$B$34,"-",0,1)</f>
        <v>Vivo Y33s</v>
      </c>
      <c r="D275" t="str">
        <f>_xlfn.XLOOKUP(C275,Phone_by_Sentiment!$B$2:$B$37,Phone_by_Sentiment!$A$2:$A$37,"-",0,1)</f>
        <v>2021-05</v>
      </c>
      <c r="E275" cm="1">
        <f t="array" ref="E275">IF($Q275&gt;=0,IFERROR(generateSalesData($D275, IF(ISNUMBER(_xlfn.XLOOKUP($C275,Phone_by_Sentiment!$B$2:$B$37,Phone_by_Sentiment!E$2:E$37,"",0,1)),_xlfn.XLOOKUP($C275,Phone_by_Sentiment!$B$2:$B$37,Phone_by_Sentiment!E$2:E$37,"",0,1),0),$A275-TEXT(DATEVALUE($D275&amp;"-01"), "dd-mm-yyyy")),0),0)</f>
        <v>0</v>
      </c>
      <c r="F275" cm="1">
        <f t="array" ref="F275">IF($Q275&gt;=0,IFERROR(generateSalesData($D275, IF(ISNUMBER(_xlfn.XLOOKUP($C275,Phone_by_Sentiment!$B$2:$B$37,Phone_by_Sentiment!F$2:F$37,"",0,1)),_xlfn.XLOOKUP($C275,Phone_by_Sentiment!$B$2:$B$37,Phone_by_Sentiment!F$2:F$37,"",0,1),0),$A275-TEXT(DATEVALUE($D275&amp;"-01"), "dd-mm-yyyy")),0),0)</f>
        <v>0</v>
      </c>
      <c r="G275" cm="1">
        <f t="array" ref="G275">IF($Q275&gt;=0,IFERROR(generateSalesData($D275, IF(ISNUMBER(_xlfn.XLOOKUP($C275,Phone_by_Sentiment!$B$2:$B$37,Phone_by_Sentiment!G$2:G$37,"",0,1)),_xlfn.XLOOKUP($C275,Phone_by_Sentiment!$B$2:$B$37,Phone_by_Sentiment!G$2:G$37,"",0,1),0),$A275-TEXT(DATEVALUE($D275&amp;"-01"), "dd-mm-yyyy")),0),0)</f>
        <v>0</v>
      </c>
      <c r="H275" cm="1">
        <f t="array" ref="H275">IF($Q275&gt;=0,IFERROR(generateSalesData($D275, IF(ISNUMBER(_xlfn.XLOOKUP($C275,Phone_by_Sentiment!$B$2:$B$37,Phone_by_Sentiment!H$2:H$37,"",0,1)),_xlfn.XLOOKUP($C275,Phone_by_Sentiment!$B$2:$B$37,Phone_by_Sentiment!H$2:H$37,"",0,1),0),$A275-TEXT(DATEVALUE($D275&amp;"-01"), "dd-mm-yyyy")),0),0)</f>
        <v>0</v>
      </c>
      <c r="I275" cm="1">
        <f t="array" ref="I275">IF($Q275&gt;=0,IFERROR(generateSalesData($D275, IF(ISNUMBER(_xlfn.XLOOKUP($C275,Phone_by_Sentiment!$B$2:$B$37,Phone_by_Sentiment!I$2:I$37,"",0,1)),_xlfn.XLOOKUP($C275,Phone_by_Sentiment!$B$2:$B$37,Phone_by_Sentiment!I$2:I$37,"",0,1),0),$A275-TEXT(DATEVALUE($D275&amp;"-01"), "dd-mm-yyyy")),0),0)</f>
        <v>0</v>
      </c>
      <c r="J275" cm="1">
        <f t="array" ref="J275">IF($Q275&gt;=0,IFERROR(generateSalesData($D275, IF(ISNUMBER(_xlfn.XLOOKUP($C275,Phone_by_Sentiment!$B$2:$B$37,Phone_by_Sentiment!J$2:J$37,"",0,1)),_xlfn.XLOOKUP($C275,Phone_by_Sentiment!$B$2:$B$37,Phone_by_Sentiment!J$2:J$37,"",0,1),0),$A275-TEXT(DATEVALUE($D275&amp;"-01"), "dd-mm-yyyy")),0),0)</f>
        <v>0</v>
      </c>
      <c r="K275" cm="1">
        <f t="array" ref="K275">IF($Q275&gt;=0,IFERROR(generateSalesData($D275, IF(ISNUMBER(_xlfn.XLOOKUP($C275,Phone_by_Sentiment!$B$2:$B$37,Phone_by_Sentiment!K$2:K$37,"",0,1)),_xlfn.XLOOKUP($C275,Phone_by_Sentiment!$B$2:$B$37,Phone_by_Sentiment!K$2:K$37,"",0,1),0),$A275-TEXT(DATEVALUE($D275&amp;"-01"), "dd-mm-yyyy")),0),0)</f>
        <v>0</v>
      </c>
      <c r="L275" cm="1">
        <f t="array" ref="L275">IF($Q275&gt;=0,IFERROR(generateSalesData($D275, IF(ISNUMBER(_xlfn.XLOOKUP($C275,Phone_by_Sentiment!$B$2:$B$37,Phone_by_Sentiment!L$2:L$37,"",0,1)),_xlfn.XLOOKUP($C275,Phone_by_Sentiment!$B$2:$B$37,Phone_by_Sentiment!L$2:L$37,"",0,1),0),$A275-TEXT(DATEVALUE($D275&amp;"-01"), "dd-mm-yyyy")),0),0)</f>
        <v>0</v>
      </c>
      <c r="M275" cm="1">
        <f t="array" ref="M275">IF($Q275&gt;=0,IFERROR(generateSalesData($D275, IF(ISNUMBER(_xlfn.XLOOKUP($C275,Phone_by_Sentiment!$B$2:$B$37,Phone_by_Sentiment!M$2:M$37,"",0,1)),_xlfn.XLOOKUP($C275,Phone_by_Sentiment!$B$2:$B$37,Phone_by_Sentiment!M$2:M$37,"",0,1),0),$A275-TEXT(DATEVALUE($D275&amp;"-01"), "dd-mm-yyyy")),0),0)</f>
        <v>0</v>
      </c>
      <c r="N275" cm="1">
        <f t="array" ref="N275">IF($Q275&gt;=0,IFERROR(generateSalesData($D275, IF(ISNUMBER(_xlfn.XLOOKUP($C275,Phone_by_Sentiment!$B$2:$B$37,Phone_by_Sentiment!N$2:N$37,"",0,1)),_xlfn.XLOOKUP($C275,Phone_by_Sentiment!$B$2:$B$37,Phone_by_Sentiment!N$2:N$37,"",0,1),0),$A275-TEXT(DATEVALUE($D275&amp;"-01"), "dd-mm-yyyy")),0),0)</f>
        <v>0</v>
      </c>
      <c r="O275" cm="1">
        <f t="array" ref="O275">IF($Q275&gt;=0,IFERROR(generateSalesData($D275, IF(ISNUMBER(_xlfn.XLOOKUP($C275,Phone_by_Sentiment!$B$2:$B$37,Phone_by_Sentiment!O$2:O$37,"",0,1)),_xlfn.XLOOKUP($C275,Phone_by_Sentiment!$B$2:$B$37,Phone_by_Sentiment!O$2:O$37,"",0,1),0),$A275-TEXT(DATEVALUE($D275&amp;"-01"), "dd-mm-yyyy")),0),0)</f>
        <v>0</v>
      </c>
      <c r="P275" s="1">
        <f t="shared" si="10"/>
        <v>44317</v>
      </c>
      <c r="Q275">
        <f t="shared" si="11"/>
        <v>-639</v>
      </c>
    </row>
    <row r="276" spans="1:17" x14ac:dyDescent="0.25">
      <c r="A276" s="1">
        <f t="shared" si="9"/>
        <v>43678</v>
      </c>
      <c r="B276" t="s">
        <v>151</v>
      </c>
      <c r="C276" t="str">
        <f>_xlfn.XLOOKUP(B276,Phone_by_Price!$A$2:$A$34,Phone_by_Price!$B$2:$B$34,"-",0,1)</f>
        <v>Vivo Y11s</v>
      </c>
      <c r="D276" t="str">
        <f>_xlfn.XLOOKUP(C276,Phone_by_Sentiment!$B$2:$B$37,Phone_by_Sentiment!$A$2:$A$37,"-",0,1)</f>
        <v>2020-11</v>
      </c>
      <c r="E276" cm="1">
        <f t="array" ref="E276">IF($Q276&gt;=0,IFERROR(generateSalesData($D276, IF(ISNUMBER(_xlfn.XLOOKUP($C276,Phone_by_Sentiment!$B$2:$B$37,Phone_by_Sentiment!E$2:E$37,"",0,1)),_xlfn.XLOOKUP($C276,Phone_by_Sentiment!$B$2:$B$37,Phone_by_Sentiment!E$2:E$37,"",0,1),0),$A276-TEXT(DATEVALUE($D276&amp;"-01"), "dd-mm-yyyy")),0),0)</f>
        <v>0</v>
      </c>
      <c r="F276" cm="1">
        <f t="array" ref="F276">IF($Q276&gt;=0,IFERROR(generateSalesData($D276, IF(ISNUMBER(_xlfn.XLOOKUP($C276,Phone_by_Sentiment!$B$2:$B$37,Phone_by_Sentiment!F$2:F$37,"",0,1)),_xlfn.XLOOKUP($C276,Phone_by_Sentiment!$B$2:$B$37,Phone_by_Sentiment!F$2:F$37,"",0,1),0),$A276-TEXT(DATEVALUE($D276&amp;"-01"), "dd-mm-yyyy")),0),0)</f>
        <v>0</v>
      </c>
      <c r="G276" cm="1">
        <f t="array" ref="G276">IF($Q276&gt;=0,IFERROR(generateSalesData($D276, IF(ISNUMBER(_xlfn.XLOOKUP($C276,Phone_by_Sentiment!$B$2:$B$37,Phone_by_Sentiment!G$2:G$37,"",0,1)),_xlfn.XLOOKUP($C276,Phone_by_Sentiment!$B$2:$B$37,Phone_by_Sentiment!G$2:G$37,"",0,1),0),$A276-TEXT(DATEVALUE($D276&amp;"-01"), "dd-mm-yyyy")),0),0)</f>
        <v>0</v>
      </c>
      <c r="H276" cm="1">
        <f t="array" ref="H276">IF($Q276&gt;=0,IFERROR(generateSalesData($D276, IF(ISNUMBER(_xlfn.XLOOKUP($C276,Phone_by_Sentiment!$B$2:$B$37,Phone_by_Sentiment!H$2:H$37,"",0,1)),_xlfn.XLOOKUP($C276,Phone_by_Sentiment!$B$2:$B$37,Phone_by_Sentiment!H$2:H$37,"",0,1),0),$A276-TEXT(DATEVALUE($D276&amp;"-01"), "dd-mm-yyyy")),0),0)</f>
        <v>0</v>
      </c>
      <c r="I276" cm="1">
        <f t="array" ref="I276">IF($Q276&gt;=0,IFERROR(generateSalesData($D276, IF(ISNUMBER(_xlfn.XLOOKUP($C276,Phone_by_Sentiment!$B$2:$B$37,Phone_by_Sentiment!I$2:I$37,"",0,1)),_xlfn.XLOOKUP($C276,Phone_by_Sentiment!$B$2:$B$37,Phone_by_Sentiment!I$2:I$37,"",0,1),0),$A276-TEXT(DATEVALUE($D276&amp;"-01"), "dd-mm-yyyy")),0),0)</f>
        <v>0</v>
      </c>
      <c r="J276" cm="1">
        <f t="array" ref="J276">IF($Q276&gt;=0,IFERROR(generateSalesData($D276, IF(ISNUMBER(_xlfn.XLOOKUP($C276,Phone_by_Sentiment!$B$2:$B$37,Phone_by_Sentiment!J$2:J$37,"",0,1)),_xlfn.XLOOKUP($C276,Phone_by_Sentiment!$B$2:$B$37,Phone_by_Sentiment!J$2:J$37,"",0,1),0),$A276-TEXT(DATEVALUE($D276&amp;"-01"), "dd-mm-yyyy")),0),0)</f>
        <v>0</v>
      </c>
      <c r="K276" cm="1">
        <f t="array" ref="K276">IF($Q276&gt;=0,IFERROR(generateSalesData($D276, IF(ISNUMBER(_xlfn.XLOOKUP($C276,Phone_by_Sentiment!$B$2:$B$37,Phone_by_Sentiment!K$2:K$37,"",0,1)),_xlfn.XLOOKUP($C276,Phone_by_Sentiment!$B$2:$B$37,Phone_by_Sentiment!K$2:K$37,"",0,1),0),$A276-TEXT(DATEVALUE($D276&amp;"-01"), "dd-mm-yyyy")),0),0)</f>
        <v>0</v>
      </c>
      <c r="L276" cm="1">
        <f t="array" ref="L276">IF($Q276&gt;=0,IFERROR(generateSalesData($D276, IF(ISNUMBER(_xlfn.XLOOKUP($C276,Phone_by_Sentiment!$B$2:$B$37,Phone_by_Sentiment!L$2:L$37,"",0,1)),_xlfn.XLOOKUP($C276,Phone_by_Sentiment!$B$2:$B$37,Phone_by_Sentiment!L$2:L$37,"",0,1),0),$A276-TEXT(DATEVALUE($D276&amp;"-01"), "dd-mm-yyyy")),0),0)</f>
        <v>0</v>
      </c>
      <c r="M276" cm="1">
        <f t="array" ref="M276">IF($Q276&gt;=0,IFERROR(generateSalesData($D276, IF(ISNUMBER(_xlfn.XLOOKUP($C276,Phone_by_Sentiment!$B$2:$B$37,Phone_by_Sentiment!M$2:M$37,"",0,1)),_xlfn.XLOOKUP($C276,Phone_by_Sentiment!$B$2:$B$37,Phone_by_Sentiment!M$2:M$37,"",0,1),0),$A276-TEXT(DATEVALUE($D276&amp;"-01"), "dd-mm-yyyy")),0),0)</f>
        <v>0</v>
      </c>
      <c r="N276" cm="1">
        <f t="array" ref="N276">IF($Q276&gt;=0,IFERROR(generateSalesData($D276, IF(ISNUMBER(_xlfn.XLOOKUP($C276,Phone_by_Sentiment!$B$2:$B$37,Phone_by_Sentiment!N$2:N$37,"",0,1)),_xlfn.XLOOKUP($C276,Phone_by_Sentiment!$B$2:$B$37,Phone_by_Sentiment!N$2:N$37,"",0,1),0),$A276-TEXT(DATEVALUE($D276&amp;"-01"), "dd-mm-yyyy")),0),0)</f>
        <v>0</v>
      </c>
      <c r="O276" cm="1">
        <f t="array" ref="O276">IF($Q276&gt;=0,IFERROR(generateSalesData($D276, IF(ISNUMBER(_xlfn.XLOOKUP($C276,Phone_by_Sentiment!$B$2:$B$37,Phone_by_Sentiment!O$2:O$37,"",0,1)),_xlfn.XLOOKUP($C276,Phone_by_Sentiment!$B$2:$B$37,Phone_by_Sentiment!O$2:O$37,"",0,1),0),$A276-TEXT(DATEVALUE($D276&amp;"-01"), "dd-mm-yyyy")),0),0)</f>
        <v>0</v>
      </c>
      <c r="P276" s="1">
        <f t="shared" si="10"/>
        <v>44136</v>
      </c>
      <c r="Q276">
        <f t="shared" si="11"/>
        <v>-458</v>
      </c>
    </row>
    <row r="277" spans="1:17" x14ac:dyDescent="0.25">
      <c r="A277" s="1">
        <f t="shared" si="9"/>
        <v>43678</v>
      </c>
      <c r="B277" t="s">
        <v>152</v>
      </c>
      <c r="C277" t="str">
        <f>_xlfn.XLOOKUP(B277,Phone_by_Price!$A$2:$A$34,Phone_by_Price!$B$2:$B$34,"-",0,1)</f>
        <v>Huawei Nova 7i</v>
      </c>
      <c r="D277" t="str">
        <f>_xlfn.XLOOKUP(C277,Phone_by_Sentiment!$B$2:$B$37,Phone_by_Sentiment!$A$2:$A$37,"-",0,1)</f>
        <v>2020-02</v>
      </c>
      <c r="E277" cm="1">
        <f t="array" ref="E277">IF($Q277&gt;=0,IFERROR(generateSalesData($D277, IF(ISNUMBER(_xlfn.XLOOKUP($C277,Phone_by_Sentiment!$B$2:$B$37,Phone_by_Sentiment!E$2:E$37,"",0,1)),_xlfn.XLOOKUP($C277,Phone_by_Sentiment!$B$2:$B$37,Phone_by_Sentiment!E$2:E$37,"",0,1),0),$A277-TEXT(DATEVALUE($D277&amp;"-01"), "dd-mm-yyyy")),0),0)</f>
        <v>0</v>
      </c>
      <c r="F277" cm="1">
        <f t="array" ref="F277">IF($Q277&gt;=0,IFERROR(generateSalesData($D277, IF(ISNUMBER(_xlfn.XLOOKUP($C277,Phone_by_Sentiment!$B$2:$B$37,Phone_by_Sentiment!F$2:F$37,"",0,1)),_xlfn.XLOOKUP($C277,Phone_by_Sentiment!$B$2:$B$37,Phone_by_Sentiment!F$2:F$37,"",0,1),0),$A277-TEXT(DATEVALUE($D277&amp;"-01"), "dd-mm-yyyy")),0),0)</f>
        <v>0</v>
      </c>
      <c r="G277" cm="1">
        <f t="array" ref="G277">IF($Q277&gt;=0,IFERROR(generateSalesData($D277, IF(ISNUMBER(_xlfn.XLOOKUP($C277,Phone_by_Sentiment!$B$2:$B$37,Phone_by_Sentiment!G$2:G$37,"",0,1)),_xlfn.XLOOKUP($C277,Phone_by_Sentiment!$B$2:$B$37,Phone_by_Sentiment!G$2:G$37,"",0,1),0),$A277-TEXT(DATEVALUE($D277&amp;"-01"), "dd-mm-yyyy")),0),0)</f>
        <v>0</v>
      </c>
      <c r="H277" cm="1">
        <f t="array" ref="H277">IF($Q277&gt;=0,IFERROR(generateSalesData($D277, IF(ISNUMBER(_xlfn.XLOOKUP($C277,Phone_by_Sentiment!$B$2:$B$37,Phone_by_Sentiment!H$2:H$37,"",0,1)),_xlfn.XLOOKUP($C277,Phone_by_Sentiment!$B$2:$B$37,Phone_by_Sentiment!H$2:H$37,"",0,1),0),$A277-TEXT(DATEVALUE($D277&amp;"-01"), "dd-mm-yyyy")),0),0)</f>
        <v>0</v>
      </c>
      <c r="I277" cm="1">
        <f t="array" ref="I277">IF($Q277&gt;=0,IFERROR(generateSalesData($D277, IF(ISNUMBER(_xlfn.XLOOKUP($C277,Phone_by_Sentiment!$B$2:$B$37,Phone_by_Sentiment!I$2:I$37,"",0,1)),_xlfn.XLOOKUP($C277,Phone_by_Sentiment!$B$2:$B$37,Phone_by_Sentiment!I$2:I$37,"",0,1),0),$A277-TEXT(DATEVALUE($D277&amp;"-01"), "dd-mm-yyyy")),0),0)</f>
        <v>0</v>
      </c>
      <c r="J277" cm="1">
        <f t="array" ref="J277">IF($Q277&gt;=0,IFERROR(generateSalesData($D277, IF(ISNUMBER(_xlfn.XLOOKUP($C277,Phone_by_Sentiment!$B$2:$B$37,Phone_by_Sentiment!J$2:J$37,"",0,1)),_xlfn.XLOOKUP($C277,Phone_by_Sentiment!$B$2:$B$37,Phone_by_Sentiment!J$2:J$37,"",0,1),0),$A277-TEXT(DATEVALUE($D277&amp;"-01"), "dd-mm-yyyy")),0),0)</f>
        <v>0</v>
      </c>
      <c r="K277" cm="1">
        <f t="array" ref="K277">IF($Q277&gt;=0,IFERROR(generateSalesData($D277, IF(ISNUMBER(_xlfn.XLOOKUP($C277,Phone_by_Sentiment!$B$2:$B$37,Phone_by_Sentiment!K$2:K$37,"",0,1)),_xlfn.XLOOKUP($C277,Phone_by_Sentiment!$B$2:$B$37,Phone_by_Sentiment!K$2:K$37,"",0,1),0),$A277-TEXT(DATEVALUE($D277&amp;"-01"), "dd-mm-yyyy")),0),0)</f>
        <v>0</v>
      </c>
      <c r="L277" cm="1">
        <f t="array" ref="L277">IF($Q277&gt;=0,IFERROR(generateSalesData($D277, IF(ISNUMBER(_xlfn.XLOOKUP($C277,Phone_by_Sentiment!$B$2:$B$37,Phone_by_Sentiment!L$2:L$37,"",0,1)),_xlfn.XLOOKUP($C277,Phone_by_Sentiment!$B$2:$B$37,Phone_by_Sentiment!L$2:L$37,"",0,1),0),$A277-TEXT(DATEVALUE($D277&amp;"-01"), "dd-mm-yyyy")),0),0)</f>
        <v>0</v>
      </c>
      <c r="M277" cm="1">
        <f t="array" ref="M277">IF($Q277&gt;=0,IFERROR(generateSalesData($D277, IF(ISNUMBER(_xlfn.XLOOKUP($C277,Phone_by_Sentiment!$B$2:$B$37,Phone_by_Sentiment!M$2:M$37,"",0,1)),_xlfn.XLOOKUP($C277,Phone_by_Sentiment!$B$2:$B$37,Phone_by_Sentiment!M$2:M$37,"",0,1),0),$A277-TEXT(DATEVALUE($D277&amp;"-01"), "dd-mm-yyyy")),0),0)</f>
        <v>0</v>
      </c>
      <c r="N277" cm="1">
        <f t="array" ref="N277">IF($Q277&gt;=0,IFERROR(generateSalesData($D277, IF(ISNUMBER(_xlfn.XLOOKUP($C277,Phone_by_Sentiment!$B$2:$B$37,Phone_by_Sentiment!N$2:N$37,"",0,1)),_xlfn.XLOOKUP($C277,Phone_by_Sentiment!$B$2:$B$37,Phone_by_Sentiment!N$2:N$37,"",0,1),0),$A277-TEXT(DATEVALUE($D277&amp;"-01"), "dd-mm-yyyy")),0),0)</f>
        <v>0</v>
      </c>
      <c r="O277" cm="1">
        <f t="array" ref="O277">IF($Q277&gt;=0,IFERROR(generateSalesData($D277, IF(ISNUMBER(_xlfn.XLOOKUP($C277,Phone_by_Sentiment!$B$2:$B$37,Phone_by_Sentiment!O$2:O$37,"",0,1)),_xlfn.XLOOKUP($C277,Phone_by_Sentiment!$B$2:$B$37,Phone_by_Sentiment!O$2:O$37,"",0,1),0),$A277-TEXT(DATEVALUE($D277&amp;"-01"), "dd-mm-yyyy")),0),0)</f>
        <v>0</v>
      </c>
      <c r="P277" s="1">
        <f t="shared" si="10"/>
        <v>43862</v>
      </c>
      <c r="Q277">
        <f t="shared" si="11"/>
        <v>-184</v>
      </c>
    </row>
    <row r="278" spans="1:17" x14ac:dyDescent="0.25">
      <c r="A278" s="1">
        <f t="shared" si="9"/>
        <v>43678</v>
      </c>
      <c r="B278" t="s">
        <v>153</v>
      </c>
      <c r="C278" t="str">
        <f>_xlfn.XLOOKUP(B278,Phone_by_Price!$A$2:$A$34,Phone_by_Price!$B$2:$B$34,"-",0,1)</f>
        <v>iPhone 13</v>
      </c>
      <c r="D278" t="str">
        <f>_xlfn.XLOOKUP(C278,Phone_by_Sentiment!$B$2:$B$37,Phone_by_Sentiment!$A$2:$A$37,"-",0,1)</f>
        <v>2021-09</v>
      </c>
      <c r="E278" cm="1">
        <f t="array" ref="E278">IF($Q278&gt;=0,IFERROR(generateSalesData($D278, IF(ISNUMBER(_xlfn.XLOOKUP($C278,Phone_by_Sentiment!$B$2:$B$37,Phone_by_Sentiment!E$2:E$37,"",0,1)),_xlfn.XLOOKUP($C278,Phone_by_Sentiment!$B$2:$B$37,Phone_by_Sentiment!E$2:E$37,"",0,1),0),$A278-TEXT(DATEVALUE($D278&amp;"-01"), "dd-mm-yyyy")),0),0)</f>
        <v>0</v>
      </c>
      <c r="F278" cm="1">
        <f t="array" ref="F278">IF($Q278&gt;=0,IFERROR(generateSalesData($D278, IF(ISNUMBER(_xlfn.XLOOKUP($C278,Phone_by_Sentiment!$B$2:$B$37,Phone_by_Sentiment!F$2:F$37,"",0,1)),_xlfn.XLOOKUP($C278,Phone_by_Sentiment!$B$2:$B$37,Phone_by_Sentiment!F$2:F$37,"",0,1),0),$A278-TEXT(DATEVALUE($D278&amp;"-01"), "dd-mm-yyyy")),0),0)</f>
        <v>0</v>
      </c>
      <c r="G278" cm="1">
        <f t="array" ref="G278">IF($Q278&gt;=0,IFERROR(generateSalesData($D278, IF(ISNUMBER(_xlfn.XLOOKUP($C278,Phone_by_Sentiment!$B$2:$B$37,Phone_by_Sentiment!G$2:G$37,"",0,1)),_xlfn.XLOOKUP($C278,Phone_by_Sentiment!$B$2:$B$37,Phone_by_Sentiment!G$2:G$37,"",0,1),0),$A278-TEXT(DATEVALUE($D278&amp;"-01"), "dd-mm-yyyy")),0),0)</f>
        <v>0</v>
      </c>
      <c r="H278" cm="1">
        <f t="array" ref="H278">IF($Q278&gt;=0,IFERROR(generateSalesData($D278, IF(ISNUMBER(_xlfn.XLOOKUP($C278,Phone_by_Sentiment!$B$2:$B$37,Phone_by_Sentiment!H$2:H$37,"",0,1)),_xlfn.XLOOKUP($C278,Phone_by_Sentiment!$B$2:$B$37,Phone_by_Sentiment!H$2:H$37,"",0,1),0),$A278-TEXT(DATEVALUE($D278&amp;"-01"), "dd-mm-yyyy")),0),0)</f>
        <v>0</v>
      </c>
      <c r="I278" cm="1">
        <f t="array" ref="I278">IF($Q278&gt;=0,IFERROR(generateSalesData($D278, IF(ISNUMBER(_xlfn.XLOOKUP($C278,Phone_by_Sentiment!$B$2:$B$37,Phone_by_Sentiment!I$2:I$37,"",0,1)),_xlfn.XLOOKUP($C278,Phone_by_Sentiment!$B$2:$B$37,Phone_by_Sentiment!I$2:I$37,"",0,1),0),$A278-TEXT(DATEVALUE($D278&amp;"-01"), "dd-mm-yyyy")),0),0)</f>
        <v>0</v>
      </c>
      <c r="J278" cm="1">
        <f t="array" ref="J278">IF($Q278&gt;=0,IFERROR(generateSalesData($D278, IF(ISNUMBER(_xlfn.XLOOKUP($C278,Phone_by_Sentiment!$B$2:$B$37,Phone_by_Sentiment!J$2:J$37,"",0,1)),_xlfn.XLOOKUP($C278,Phone_by_Sentiment!$B$2:$B$37,Phone_by_Sentiment!J$2:J$37,"",0,1),0),$A278-TEXT(DATEVALUE($D278&amp;"-01"), "dd-mm-yyyy")),0),0)</f>
        <v>0</v>
      </c>
      <c r="K278" cm="1">
        <f t="array" ref="K278">IF($Q278&gt;=0,IFERROR(generateSalesData($D278, IF(ISNUMBER(_xlfn.XLOOKUP($C278,Phone_by_Sentiment!$B$2:$B$37,Phone_by_Sentiment!K$2:K$37,"",0,1)),_xlfn.XLOOKUP($C278,Phone_by_Sentiment!$B$2:$B$37,Phone_by_Sentiment!K$2:K$37,"",0,1),0),$A278-TEXT(DATEVALUE($D278&amp;"-01"), "dd-mm-yyyy")),0),0)</f>
        <v>0</v>
      </c>
      <c r="L278" cm="1">
        <f t="array" ref="L278">IF($Q278&gt;=0,IFERROR(generateSalesData($D278, IF(ISNUMBER(_xlfn.XLOOKUP($C278,Phone_by_Sentiment!$B$2:$B$37,Phone_by_Sentiment!L$2:L$37,"",0,1)),_xlfn.XLOOKUP($C278,Phone_by_Sentiment!$B$2:$B$37,Phone_by_Sentiment!L$2:L$37,"",0,1),0),$A278-TEXT(DATEVALUE($D278&amp;"-01"), "dd-mm-yyyy")),0),0)</f>
        <v>0</v>
      </c>
      <c r="M278" cm="1">
        <f t="array" ref="M278">IF($Q278&gt;=0,IFERROR(generateSalesData($D278, IF(ISNUMBER(_xlfn.XLOOKUP($C278,Phone_by_Sentiment!$B$2:$B$37,Phone_by_Sentiment!M$2:M$37,"",0,1)),_xlfn.XLOOKUP($C278,Phone_by_Sentiment!$B$2:$B$37,Phone_by_Sentiment!M$2:M$37,"",0,1),0),$A278-TEXT(DATEVALUE($D278&amp;"-01"), "dd-mm-yyyy")),0),0)</f>
        <v>0</v>
      </c>
      <c r="N278" cm="1">
        <f t="array" ref="N278">IF($Q278&gt;=0,IFERROR(generateSalesData($D278, IF(ISNUMBER(_xlfn.XLOOKUP($C278,Phone_by_Sentiment!$B$2:$B$37,Phone_by_Sentiment!N$2:N$37,"",0,1)),_xlfn.XLOOKUP($C278,Phone_by_Sentiment!$B$2:$B$37,Phone_by_Sentiment!N$2:N$37,"",0,1),0),$A278-TEXT(DATEVALUE($D278&amp;"-01"), "dd-mm-yyyy")),0),0)</f>
        <v>0</v>
      </c>
      <c r="O278" cm="1">
        <f t="array" ref="O278">IF($Q278&gt;=0,IFERROR(generateSalesData($D278, IF(ISNUMBER(_xlfn.XLOOKUP($C278,Phone_by_Sentiment!$B$2:$B$37,Phone_by_Sentiment!O$2:O$37,"",0,1)),_xlfn.XLOOKUP($C278,Phone_by_Sentiment!$B$2:$B$37,Phone_by_Sentiment!O$2:O$37,"",0,1),0),$A278-TEXT(DATEVALUE($D278&amp;"-01"), "dd-mm-yyyy")),0),0)</f>
        <v>0</v>
      </c>
      <c r="P278" s="1">
        <f t="shared" si="10"/>
        <v>44440</v>
      </c>
      <c r="Q278">
        <f t="shared" si="11"/>
        <v>-762</v>
      </c>
    </row>
    <row r="279" spans="1:17" x14ac:dyDescent="0.25">
      <c r="A279" s="1">
        <f t="shared" si="9"/>
        <v>43678</v>
      </c>
      <c r="B279" t="s">
        <v>154</v>
      </c>
      <c r="C279" t="str">
        <f>_xlfn.XLOOKUP(B279,Phone_by_Price!$A$2:$A$34,Phone_by_Price!$B$2:$B$34,"-",0,1)</f>
        <v>Samsung Galaxy S21</v>
      </c>
      <c r="D279" t="str">
        <f>_xlfn.XLOOKUP(C279,Phone_by_Sentiment!$B$2:$B$37,Phone_by_Sentiment!$A$2:$A$37,"-",0,1)</f>
        <v>2021-01</v>
      </c>
      <c r="E279" cm="1">
        <f t="array" ref="E279">IF($Q279&gt;=0,IFERROR(generateSalesData($D279, IF(ISNUMBER(_xlfn.XLOOKUP($C279,Phone_by_Sentiment!$B$2:$B$37,Phone_by_Sentiment!E$2:E$37,"",0,1)),_xlfn.XLOOKUP($C279,Phone_by_Sentiment!$B$2:$B$37,Phone_by_Sentiment!E$2:E$37,"",0,1),0),$A279-TEXT(DATEVALUE($D279&amp;"-01"), "dd-mm-yyyy")),0),0)</f>
        <v>0</v>
      </c>
      <c r="F279" cm="1">
        <f t="array" ref="F279">IF($Q279&gt;=0,IFERROR(generateSalesData($D279, IF(ISNUMBER(_xlfn.XLOOKUP($C279,Phone_by_Sentiment!$B$2:$B$37,Phone_by_Sentiment!F$2:F$37,"",0,1)),_xlfn.XLOOKUP($C279,Phone_by_Sentiment!$B$2:$B$37,Phone_by_Sentiment!F$2:F$37,"",0,1),0),$A279-TEXT(DATEVALUE($D279&amp;"-01"), "dd-mm-yyyy")),0),0)</f>
        <v>0</v>
      </c>
      <c r="G279" cm="1">
        <f t="array" ref="G279">IF($Q279&gt;=0,IFERROR(generateSalesData($D279, IF(ISNUMBER(_xlfn.XLOOKUP($C279,Phone_by_Sentiment!$B$2:$B$37,Phone_by_Sentiment!G$2:G$37,"",0,1)),_xlfn.XLOOKUP($C279,Phone_by_Sentiment!$B$2:$B$37,Phone_by_Sentiment!G$2:G$37,"",0,1),0),$A279-TEXT(DATEVALUE($D279&amp;"-01"), "dd-mm-yyyy")),0),0)</f>
        <v>0</v>
      </c>
      <c r="H279" cm="1">
        <f t="array" ref="H279">IF($Q279&gt;=0,IFERROR(generateSalesData($D279, IF(ISNUMBER(_xlfn.XLOOKUP($C279,Phone_by_Sentiment!$B$2:$B$37,Phone_by_Sentiment!H$2:H$37,"",0,1)),_xlfn.XLOOKUP($C279,Phone_by_Sentiment!$B$2:$B$37,Phone_by_Sentiment!H$2:H$37,"",0,1),0),$A279-TEXT(DATEVALUE($D279&amp;"-01"), "dd-mm-yyyy")),0),0)</f>
        <v>0</v>
      </c>
      <c r="I279" cm="1">
        <f t="array" ref="I279">IF($Q279&gt;=0,IFERROR(generateSalesData($D279, IF(ISNUMBER(_xlfn.XLOOKUP($C279,Phone_by_Sentiment!$B$2:$B$37,Phone_by_Sentiment!I$2:I$37,"",0,1)),_xlfn.XLOOKUP($C279,Phone_by_Sentiment!$B$2:$B$37,Phone_by_Sentiment!I$2:I$37,"",0,1),0),$A279-TEXT(DATEVALUE($D279&amp;"-01"), "dd-mm-yyyy")),0),0)</f>
        <v>0</v>
      </c>
      <c r="J279" cm="1">
        <f t="array" ref="J279">IF($Q279&gt;=0,IFERROR(generateSalesData($D279, IF(ISNUMBER(_xlfn.XLOOKUP($C279,Phone_by_Sentiment!$B$2:$B$37,Phone_by_Sentiment!J$2:J$37,"",0,1)),_xlfn.XLOOKUP($C279,Phone_by_Sentiment!$B$2:$B$37,Phone_by_Sentiment!J$2:J$37,"",0,1),0),$A279-TEXT(DATEVALUE($D279&amp;"-01"), "dd-mm-yyyy")),0),0)</f>
        <v>0</v>
      </c>
      <c r="K279" cm="1">
        <f t="array" ref="K279">IF($Q279&gt;=0,IFERROR(generateSalesData($D279, IF(ISNUMBER(_xlfn.XLOOKUP($C279,Phone_by_Sentiment!$B$2:$B$37,Phone_by_Sentiment!K$2:K$37,"",0,1)),_xlfn.XLOOKUP($C279,Phone_by_Sentiment!$B$2:$B$37,Phone_by_Sentiment!K$2:K$37,"",0,1),0),$A279-TEXT(DATEVALUE($D279&amp;"-01"), "dd-mm-yyyy")),0),0)</f>
        <v>0</v>
      </c>
      <c r="L279" cm="1">
        <f t="array" ref="L279">IF($Q279&gt;=0,IFERROR(generateSalesData($D279, IF(ISNUMBER(_xlfn.XLOOKUP($C279,Phone_by_Sentiment!$B$2:$B$37,Phone_by_Sentiment!L$2:L$37,"",0,1)),_xlfn.XLOOKUP($C279,Phone_by_Sentiment!$B$2:$B$37,Phone_by_Sentiment!L$2:L$37,"",0,1),0),$A279-TEXT(DATEVALUE($D279&amp;"-01"), "dd-mm-yyyy")),0),0)</f>
        <v>0</v>
      </c>
      <c r="M279" cm="1">
        <f t="array" ref="M279">IF($Q279&gt;=0,IFERROR(generateSalesData($D279, IF(ISNUMBER(_xlfn.XLOOKUP($C279,Phone_by_Sentiment!$B$2:$B$37,Phone_by_Sentiment!M$2:M$37,"",0,1)),_xlfn.XLOOKUP($C279,Phone_by_Sentiment!$B$2:$B$37,Phone_by_Sentiment!M$2:M$37,"",0,1),0),$A279-TEXT(DATEVALUE($D279&amp;"-01"), "dd-mm-yyyy")),0),0)</f>
        <v>0</v>
      </c>
      <c r="N279" cm="1">
        <f t="array" ref="N279">IF($Q279&gt;=0,IFERROR(generateSalesData($D279, IF(ISNUMBER(_xlfn.XLOOKUP($C279,Phone_by_Sentiment!$B$2:$B$37,Phone_by_Sentiment!N$2:N$37,"",0,1)),_xlfn.XLOOKUP($C279,Phone_by_Sentiment!$B$2:$B$37,Phone_by_Sentiment!N$2:N$37,"",0,1),0),$A279-TEXT(DATEVALUE($D279&amp;"-01"), "dd-mm-yyyy")),0),0)</f>
        <v>0</v>
      </c>
      <c r="O279" cm="1">
        <f t="array" ref="O279">IF($Q279&gt;=0,IFERROR(generateSalesData($D279, IF(ISNUMBER(_xlfn.XLOOKUP($C279,Phone_by_Sentiment!$B$2:$B$37,Phone_by_Sentiment!O$2:O$37,"",0,1)),_xlfn.XLOOKUP($C279,Phone_by_Sentiment!$B$2:$B$37,Phone_by_Sentiment!O$2:O$37,"",0,1),0),$A279-TEXT(DATEVALUE($D279&amp;"-01"), "dd-mm-yyyy")),0),0)</f>
        <v>0</v>
      </c>
      <c r="P279" s="1">
        <f t="shared" si="10"/>
        <v>44197</v>
      </c>
      <c r="Q279">
        <f t="shared" si="11"/>
        <v>-519</v>
      </c>
    </row>
    <row r="280" spans="1:17" x14ac:dyDescent="0.25">
      <c r="A280" s="1">
        <f t="shared" si="9"/>
        <v>43678</v>
      </c>
      <c r="B280" t="s">
        <v>155</v>
      </c>
      <c r="C280" t="str">
        <f>_xlfn.XLOOKUP(B280,Phone_by_Price!$A$2:$A$34,Phone_by_Price!$B$2:$B$34,"-",0,1)</f>
        <v>Google Pixel 6</v>
      </c>
      <c r="D280" t="str">
        <f>_xlfn.XLOOKUP(C280,Phone_by_Sentiment!$B$2:$B$37,Phone_by_Sentiment!$A$2:$A$37,"-",0,1)</f>
        <v>2021-10</v>
      </c>
      <c r="E280" cm="1">
        <f t="array" ref="E280">IF($Q280&gt;=0,IFERROR(generateSalesData($D280, IF(ISNUMBER(_xlfn.XLOOKUP($C280,Phone_by_Sentiment!$B$2:$B$37,Phone_by_Sentiment!E$2:E$37,"",0,1)),_xlfn.XLOOKUP($C280,Phone_by_Sentiment!$B$2:$B$37,Phone_by_Sentiment!E$2:E$37,"",0,1),0),$A280-TEXT(DATEVALUE($D280&amp;"-01"), "dd-mm-yyyy")),0),0)</f>
        <v>0</v>
      </c>
      <c r="F280" cm="1">
        <f t="array" ref="F280">IF($Q280&gt;=0,IFERROR(generateSalesData($D280, IF(ISNUMBER(_xlfn.XLOOKUP($C280,Phone_by_Sentiment!$B$2:$B$37,Phone_by_Sentiment!F$2:F$37,"",0,1)),_xlfn.XLOOKUP($C280,Phone_by_Sentiment!$B$2:$B$37,Phone_by_Sentiment!F$2:F$37,"",0,1),0),$A280-TEXT(DATEVALUE($D280&amp;"-01"), "dd-mm-yyyy")),0),0)</f>
        <v>0</v>
      </c>
      <c r="G280" cm="1">
        <f t="array" ref="G280">IF($Q280&gt;=0,IFERROR(generateSalesData($D280, IF(ISNUMBER(_xlfn.XLOOKUP($C280,Phone_by_Sentiment!$B$2:$B$37,Phone_by_Sentiment!G$2:G$37,"",0,1)),_xlfn.XLOOKUP($C280,Phone_by_Sentiment!$B$2:$B$37,Phone_by_Sentiment!G$2:G$37,"",0,1),0),$A280-TEXT(DATEVALUE($D280&amp;"-01"), "dd-mm-yyyy")),0),0)</f>
        <v>0</v>
      </c>
      <c r="H280" cm="1">
        <f t="array" ref="H280">IF($Q280&gt;=0,IFERROR(generateSalesData($D280, IF(ISNUMBER(_xlfn.XLOOKUP($C280,Phone_by_Sentiment!$B$2:$B$37,Phone_by_Sentiment!H$2:H$37,"",0,1)),_xlfn.XLOOKUP($C280,Phone_by_Sentiment!$B$2:$B$37,Phone_by_Sentiment!H$2:H$37,"",0,1),0),$A280-TEXT(DATEVALUE($D280&amp;"-01"), "dd-mm-yyyy")),0),0)</f>
        <v>0</v>
      </c>
      <c r="I280" cm="1">
        <f t="array" ref="I280">IF($Q280&gt;=0,IFERROR(generateSalesData($D280, IF(ISNUMBER(_xlfn.XLOOKUP($C280,Phone_by_Sentiment!$B$2:$B$37,Phone_by_Sentiment!I$2:I$37,"",0,1)),_xlfn.XLOOKUP($C280,Phone_by_Sentiment!$B$2:$B$37,Phone_by_Sentiment!I$2:I$37,"",0,1),0),$A280-TEXT(DATEVALUE($D280&amp;"-01"), "dd-mm-yyyy")),0),0)</f>
        <v>0</v>
      </c>
      <c r="J280" cm="1">
        <f t="array" ref="J280">IF($Q280&gt;=0,IFERROR(generateSalesData($D280, IF(ISNUMBER(_xlfn.XLOOKUP($C280,Phone_by_Sentiment!$B$2:$B$37,Phone_by_Sentiment!J$2:J$37,"",0,1)),_xlfn.XLOOKUP($C280,Phone_by_Sentiment!$B$2:$B$37,Phone_by_Sentiment!J$2:J$37,"",0,1),0),$A280-TEXT(DATEVALUE($D280&amp;"-01"), "dd-mm-yyyy")),0),0)</f>
        <v>0</v>
      </c>
      <c r="K280" cm="1">
        <f t="array" ref="K280">IF($Q280&gt;=0,IFERROR(generateSalesData($D280, IF(ISNUMBER(_xlfn.XLOOKUP($C280,Phone_by_Sentiment!$B$2:$B$37,Phone_by_Sentiment!K$2:K$37,"",0,1)),_xlfn.XLOOKUP($C280,Phone_by_Sentiment!$B$2:$B$37,Phone_by_Sentiment!K$2:K$37,"",0,1),0),$A280-TEXT(DATEVALUE($D280&amp;"-01"), "dd-mm-yyyy")),0),0)</f>
        <v>0</v>
      </c>
      <c r="L280" cm="1">
        <f t="array" ref="L280">IF($Q280&gt;=0,IFERROR(generateSalesData($D280, IF(ISNUMBER(_xlfn.XLOOKUP($C280,Phone_by_Sentiment!$B$2:$B$37,Phone_by_Sentiment!L$2:L$37,"",0,1)),_xlfn.XLOOKUP($C280,Phone_by_Sentiment!$B$2:$B$37,Phone_by_Sentiment!L$2:L$37,"",0,1),0),$A280-TEXT(DATEVALUE($D280&amp;"-01"), "dd-mm-yyyy")),0),0)</f>
        <v>0</v>
      </c>
      <c r="M280" cm="1">
        <f t="array" ref="M280">IF($Q280&gt;=0,IFERROR(generateSalesData($D280, IF(ISNUMBER(_xlfn.XLOOKUP($C280,Phone_by_Sentiment!$B$2:$B$37,Phone_by_Sentiment!M$2:M$37,"",0,1)),_xlfn.XLOOKUP($C280,Phone_by_Sentiment!$B$2:$B$37,Phone_by_Sentiment!M$2:M$37,"",0,1),0),$A280-TEXT(DATEVALUE($D280&amp;"-01"), "dd-mm-yyyy")),0),0)</f>
        <v>0</v>
      </c>
      <c r="N280" cm="1">
        <f t="array" ref="N280">IF($Q280&gt;=0,IFERROR(generateSalesData($D280, IF(ISNUMBER(_xlfn.XLOOKUP($C280,Phone_by_Sentiment!$B$2:$B$37,Phone_by_Sentiment!N$2:N$37,"",0,1)),_xlfn.XLOOKUP($C280,Phone_by_Sentiment!$B$2:$B$37,Phone_by_Sentiment!N$2:N$37,"",0,1),0),$A280-TEXT(DATEVALUE($D280&amp;"-01"), "dd-mm-yyyy")),0),0)</f>
        <v>0</v>
      </c>
      <c r="O280" cm="1">
        <f t="array" ref="O280">IF($Q280&gt;=0,IFERROR(generateSalesData($D280, IF(ISNUMBER(_xlfn.XLOOKUP($C280,Phone_by_Sentiment!$B$2:$B$37,Phone_by_Sentiment!O$2:O$37,"",0,1)),_xlfn.XLOOKUP($C280,Phone_by_Sentiment!$B$2:$B$37,Phone_by_Sentiment!O$2:O$37,"",0,1),0),$A280-TEXT(DATEVALUE($D280&amp;"-01"), "dd-mm-yyyy")),0),0)</f>
        <v>0</v>
      </c>
      <c r="P280" s="1">
        <f t="shared" si="10"/>
        <v>44470</v>
      </c>
      <c r="Q280">
        <f t="shared" si="11"/>
        <v>-792</v>
      </c>
    </row>
    <row r="281" spans="1:17" x14ac:dyDescent="0.25">
      <c r="A281" s="1">
        <f t="shared" si="9"/>
        <v>43709</v>
      </c>
      <c r="B281" t="s">
        <v>156</v>
      </c>
      <c r="C281" t="str">
        <f>_xlfn.XLOOKUP(B281,Phone_by_Price!$A$2:$A$34,Phone_by_Price!$B$2:$B$34,"-",0,1)</f>
        <v>OnePlus Nord CE</v>
      </c>
      <c r="D281" t="str">
        <f>_xlfn.XLOOKUP(C281,Phone_by_Sentiment!$B$2:$B$37,Phone_by_Sentiment!$A$2:$A$37,"-",0,1)</f>
        <v>2021-06</v>
      </c>
      <c r="E281" cm="1">
        <f t="array" ref="E281">IF($Q281&gt;=0,IFERROR(generateSalesData($D281, IF(ISNUMBER(_xlfn.XLOOKUP($C281,Phone_by_Sentiment!$B$2:$B$37,Phone_by_Sentiment!E$2:E$37,"",0,1)),_xlfn.XLOOKUP($C281,Phone_by_Sentiment!$B$2:$B$37,Phone_by_Sentiment!E$2:E$37,"",0,1),0),$A281-TEXT(DATEVALUE($D281&amp;"-01"), "dd-mm-yyyy")),0),0)</f>
        <v>0</v>
      </c>
      <c r="F281" cm="1">
        <f t="array" ref="F281">IF($Q281&gt;=0,IFERROR(generateSalesData($D281, IF(ISNUMBER(_xlfn.XLOOKUP($C281,Phone_by_Sentiment!$B$2:$B$37,Phone_by_Sentiment!F$2:F$37,"",0,1)),_xlfn.XLOOKUP($C281,Phone_by_Sentiment!$B$2:$B$37,Phone_by_Sentiment!F$2:F$37,"",0,1),0),$A281-TEXT(DATEVALUE($D281&amp;"-01"), "dd-mm-yyyy")),0),0)</f>
        <v>0</v>
      </c>
      <c r="G281" cm="1">
        <f t="array" ref="G281">IF($Q281&gt;=0,IFERROR(generateSalesData($D281, IF(ISNUMBER(_xlfn.XLOOKUP($C281,Phone_by_Sentiment!$B$2:$B$37,Phone_by_Sentiment!G$2:G$37,"",0,1)),_xlfn.XLOOKUP($C281,Phone_by_Sentiment!$B$2:$B$37,Phone_by_Sentiment!G$2:G$37,"",0,1),0),$A281-TEXT(DATEVALUE($D281&amp;"-01"), "dd-mm-yyyy")),0),0)</f>
        <v>0</v>
      </c>
      <c r="H281" cm="1">
        <f t="array" ref="H281">IF($Q281&gt;=0,IFERROR(generateSalesData($D281, IF(ISNUMBER(_xlfn.XLOOKUP($C281,Phone_by_Sentiment!$B$2:$B$37,Phone_by_Sentiment!H$2:H$37,"",0,1)),_xlfn.XLOOKUP($C281,Phone_by_Sentiment!$B$2:$B$37,Phone_by_Sentiment!H$2:H$37,"",0,1),0),$A281-TEXT(DATEVALUE($D281&amp;"-01"), "dd-mm-yyyy")),0),0)</f>
        <v>0</v>
      </c>
      <c r="I281" cm="1">
        <f t="array" ref="I281">IF($Q281&gt;=0,IFERROR(generateSalesData($D281, IF(ISNUMBER(_xlfn.XLOOKUP($C281,Phone_by_Sentiment!$B$2:$B$37,Phone_by_Sentiment!I$2:I$37,"",0,1)),_xlfn.XLOOKUP($C281,Phone_by_Sentiment!$B$2:$B$37,Phone_by_Sentiment!I$2:I$37,"",0,1),0),$A281-TEXT(DATEVALUE($D281&amp;"-01"), "dd-mm-yyyy")),0),0)</f>
        <v>0</v>
      </c>
      <c r="J281" cm="1">
        <f t="array" ref="J281">IF($Q281&gt;=0,IFERROR(generateSalesData($D281, IF(ISNUMBER(_xlfn.XLOOKUP($C281,Phone_by_Sentiment!$B$2:$B$37,Phone_by_Sentiment!J$2:J$37,"",0,1)),_xlfn.XLOOKUP($C281,Phone_by_Sentiment!$B$2:$B$37,Phone_by_Sentiment!J$2:J$37,"",0,1),0),$A281-TEXT(DATEVALUE($D281&amp;"-01"), "dd-mm-yyyy")),0),0)</f>
        <v>0</v>
      </c>
      <c r="K281" cm="1">
        <f t="array" ref="K281">IF($Q281&gt;=0,IFERROR(generateSalesData($D281, IF(ISNUMBER(_xlfn.XLOOKUP($C281,Phone_by_Sentiment!$B$2:$B$37,Phone_by_Sentiment!K$2:K$37,"",0,1)),_xlfn.XLOOKUP($C281,Phone_by_Sentiment!$B$2:$B$37,Phone_by_Sentiment!K$2:K$37,"",0,1),0),$A281-TEXT(DATEVALUE($D281&amp;"-01"), "dd-mm-yyyy")),0),0)</f>
        <v>0</v>
      </c>
      <c r="L281" cm="1">
        <f t="array" ref="L281">IF($Q281&gt;=0,IFERROR(generateSalesData($D281, IF(ISNUMBER(_xlfn.XLOOKUP($C281,Phone_by_Sentiment!$B$2:$B$37,Phone_by_Sentiment!L$2:L$37,"",0,1)),_xlfn.XLOOKUP($C281,Phone_by_Sentiment!$B$2:$B$37,Phone_by_Sentiment!L$2:L$37,"",0,1),0),$A281-TEXT(DATEVALUE($D281&amp;"-01"), "dd-mm-yyyy")),0),0)</f>
        <v>0</v>
      </c>
      <c r="M281" cm="1">
        <f t="array" ref="M281">IF($Q281&gt;=0,IFERROR(generateSalesData($D281, IF(ISNUMBER(_xlfn.XLOOKUP($C281,Phone_by_Sentiment!$B$2:$B$37,Phone_by_Sentiment!M$2:M$37,"",0,1)),_xlfn.XLOOKUP($C281,Phone_by_Sentiment!$B$2:$B$37,Phone_by_Sentiment!M$2:M$37,"",0,1),0),$A281-TEXT(DATEVALUE($D281&amp;"-01"), "dd-mm-yyyy")),0),0)</f>
        <v>0</v>
      </c>
      <c r="N281" cm="1">
        <f t="array" ref="N281">IF($Q281&gt;=0,IFERROR(generateSalesData($D281, IF(ISNUMBER(_xlfn.XLOOKUP($C281,Phone_by_Sentiment!$B$2:$B$37,Phone_by_Sentiment!N$2:N$37,"",0,1)),_xlfn.XLOOKUP($C281,Phone_by_Sentiment!$B$2:$B$37,Phone_by_Sentiment!N$2:N$37,"",0,1),0),$A281-TEXT(DATEVALUE($D281&amp;"-01"), "dd-mm-yyyy")),0),0)</f>
        <v>0</v>
      </c>
      <c r="O281" cm="1">
        <f t="array" ref="O281">IF($Q281&gt;=0,IFERROR(generateSalesData($D281, IF(ISNUMBER(_xlfn.XLOOKUP($C281,Phone_by_Sentiment!$B$2:$B$37,Phone_by_Sentiment!O$2:O$37,"",0,1)),_xlfn.XLOOKUP($C281,Phone_by_Sentiment!$B$2:$B$37,Phone_by_Sentiment!O$2:O$37,"",0,1),0),$A281-TEXT(DATEVALUE($D281&amp;"-01"), "dd-mm-yyyy")),0),0)</f>
        <v>0</v>
      </c>
      <c r="P281" s="1">
        <f t="shared" si="10"/>
        <v>44348</v>
      </c>
      <c r="Q281">
        <f t="shared" si="11"/>
        <v>-639</v>
      </c>
    </row>
    <row r="282" spans="1:17" x14ac:dyDescent="0.25">
      <c r="A282" s="1">
        <f t="shared" si="9"/>
        <v>43709</v>
      </c>
      <c r="B282" t="s">
        <v>157</v>
      </c>
      <c r="C282" t="str">
        <f>_xlfn.XLOOKUP(B282,Phone_by_Price!$A$2:$A$34,Phone_by_Price!$B$2:$B$34,"-",0,1)</f>
        <v>Apple iPhone 13 Pro</v>
      </c>
      <c r="D282" t="str">
        <f>_xlfn.XLOOKUP(C282,Phone_by_Sentiment!$B$2:$B$37,Phone_by_Sentiment!$A$2:$A$37,"-",0,1)</f>
        <v>2021-09</v>
      </c>
      <c r="E282" cm="1">
        <f t="array" ref="E282">IF($Q282&gt;=0,IFERROR(generateSalesData($D282, IF(ISNUMBER(_xlfn.XLOOKUP($C282,Phone_by_Sentiment!$B$2:$B$37,Phone_by_Sentiment!E$2:E$37,"",0,1)),_xlfn.XLOOKUP($C282,Phone_by_Sentiment!$B$2:$B$37,Phone_by_Sentiment!E$2:E$37,"",0,1),0),$A282-TEXT(DATEVALUE($D282&amp;"-01"), "dd-mm-yyyy")),0),0)</f>
        <v>0</v>
      </c>
      <c r="F282" cm="1">
        <f t="array" ref="F282">IF($Q282&gt;=0,IFERROR(generateSalesData($D282, IF(ISNUMBER(_xlfn.XLOOKUP($C282,Phone_by_Sentiment!$B$2:$B$37,Phone_by_Sentiment!F$2:F$37,"",0,1)),_xlfn.XLOOKUP($C282,Phone_by_Sentiment!$B$2:$B$37,Phone_by_Sentiment!F$2:F$37,"",0,1),0),$A282-TEXT(DATEVALUE($D282&amp;"-01"), "dd-mm-yyyy")),0),0)</f>
        <v>0</v>
      </c>
      <c r="G282" cm="1">
        <f t="array" ref="G282">IF($Q282&gt;=0,IFERROR(generateSalesData($D282, IF(ISNUMBER(_xlfn.XLOOKUP($C282,Phone_by_Sentiment!$B$2:$B$37,Phone_by_Sentiment!G$2:G$37,"",0,1)),_xlfn.XLOOKUP($C282,Phone_by_Sentiment!$B$2:$B$37,Phone_by_Sentiment!G$2:G$37,"",0,1),0),$A282-TEXT(DATEVALUE($D282&amp;"-01"), "dd-mm-yyyy")),0),0)</f>
        <v>0</v>
      </c>
      <c r="H282" cm="1">
        <f t="array" ref="H282">IF($Q282&gt;=0,IFERROR(generateSalesData($D282, IF(ISNUMBER(_xlfn.XLOOKUP($C282,Phone_by_Sentiment!$B$2:$B$37,Phone_by_Sentiment!H$2:H$37,"",0,1)),_xlfn.XLOOKUP($C282,Phone_by_Sentiment!$B$2:$B$37,Phone_by_Sentiment!H$2:H$37,"",0,1),0),$A282-TEXT(DATEVALUE($D282&amp;"-01"), "dd-mm-yyyy")),0),0)</f>
        <v>0</v>
      </c>
      <c r="I282" cm="1">
        <f t="array" ref="I282">IF($Q282&gt;=0,IFERROR(generateSalesData($D282, IF(ISNUMBER(_xlfn.XLOOKUP($C282,Phone_by_Sentiment!$B$2:$B$37,Phone_by_Sentiment!I$2:I$37,"",0,1)),_xlfn.XLOOKUP($C282,Phone_by_Sentiment!$B$2:$B$37,Phone_by_Sentiment!I$2:I$37,"",0,1),0),$A282-TEXT(DATEVALUE($D282&amp;"-01"), "dd-mm-yyyy")),0),0)</f>
        <v>0</v>
      </c>
      <c r="J282" cm="1">
        <f t="array" ref="J282">IF($Q282&gt;=0,IFERROR(generateSalesData($D282, IF(ISNUMBER(_xlfn.XLOOKUP($C282,Phone_by_Sentiment!$B$2:$B$37,Phone_by_Sentiment!J$2:J$37,"",0,1)),_xlfn.XLOOKUP($C282,Phone_by_Sentiment!$B$2:$B$37,Phone_by_Sentiment!J$2:J$37,"",0,1),0),$A282-TEXT(DATEVALUE($D282&amp;"-01"), "dd-mm-yyyy")),0),0)</f>
        <v>0</v>
      </c>
      <c r="K282" cm="1">
        <f t="array" ref="K282">IF($Q282&gt;=0,IFERROR(generateSalesData($D282, IF(ISNUMBER(_xlfn.XLOOKUP($C282,Phone_by_Sentiment!$B$2:$B$37,Phone_by_Sentiment!K$2:K$37,"",0,1)),_xlfn.XLOOKUP($C282,Phone_by_Sentiment!$B$2:$B$37,Phone_by_Sentiment!K$2:K$37,"",0,1),0),$A282-TEXT(DATEVALUE($D282&amp;"-01"), "dd-mm-yyyy")),0),0)</f>
        <v>0</v>
      </c>
      <c r="L282" cm="1">
        <f t="array" ref="L282">IF($Q282&gt;=0,IFERROR(generateSalesData($D282, IF(ISNUMBER(_xlfn.XLOOKUP($C282,Phone_by_Sentiment!$B$2:$B$37,Phone_by_Sentiment!L$2:L$37,"",0,1)),_xlfn.XLOOKUP($C282,Phone_by_Sentiment!$B$2:$B$37,Phone_by_Sentiment!L$2:L$37,"",0,1),0),$A282-TEXT(DATEVALUE($D282&amp;"-01"), "dd-mm-yyyy")),0),0)</f>
        <v>0</v>
      </c>
      <c r="M282" cm="1">
        <f t="array" ref="M282">IF($Q282&gt;=0,IFERROR(generateSalesData($D282, IF(ISNUMBER(_xlfn.XLOOKUP($C282,Phone_by_Sentiment!$B$2:$B$37,Phone_by_Sentiment!M$2:M$37,"",0,1)),_xlfn.XLOOKUP($C282,Phone_by_Sentiment!$B$2:$B$37,Phone_by_Sentiment!M$2:M$37,"",0,1),0),$A282-TEXT(DATEVALUE($D282&amp;"-01"), "dd-mm-yyyy")),0),0)</f>
        <v>0</v>
      </c>
      <c r="N282" cm="1">
        <f t="array" ref="N282">IF($Q282&gt;=0,IFERROR(generateSalesData($D282, IF(ISNUMBER(_xlfn.XLOOKUP($C282,Phone_by_Sentiment!$B$2:$B$37,Phone_by_Sentiment!N$2:N$37,"",0,1)),_xlfn.XLOOKUP($C282,Phone_by_Sentiment!$B$2:$B$37,Phone_by_Sentiment!N$2:N$37,"",0,1),0),$A282-TEXT(DATEVALUE($D282&amp;"-01"), "dd-mm-yyyy")),0),0)</f>
        <v>0</v>
      </c>
      <c r="O282" cm="1">
        <f t="array" ref="O282">IF($Q282&gt;=0,IFERROR(generateSalesData($D282, IF(ISNUMBER(_xlfn.XLOOKUP($C282,Phone_by_Sentiment!$B$2:$B$37,Phone_by_Sentiment!O$2:O$37,"",0,1)),_xlfn.XLOOKUP($C282,Phone_by_Sentiment!$B$2:$B$37,Phone_by_Sentiment!O$2:O$37,"",0,1),0),$A282-TEXT(DATEVALUE($D282&amp;"-01"), "dd-mm-yyyy")),0),0)</f>
        <v>0</v>
      </c>
      <c r="P282" s="1">
        <f t="shared" si="10"/>
        <v>44440</v>
      </c>
      <c r="Q282">
        <f t="shared" si="11"/>
        <v>-731</v>
      </c>
    </row>
    <row r="283" spans="1:17" x14ac:dyDescent="0.25">
      <c r="A283" s="1">
        <f t="shared" si="9"/>
        <v>43709</v>
      </c>
      <c r="B283" t="s">
        <v>158</v>
      </c>
      <c r="C283" t="str">
        <f>_xlfn.XLOOKUP(B283,Phone_by_Price!$A$2:$A$34,Phone_by_Price!$B$2:$B$34,"-",0,1)</f>
        <v>Samsung Galaxy A32 5G</v>
      </c>
      <c r="D283" t="str">
        <f>_xlfn.XLOOKUP(C283,Phone_by_Sentiment!$B$2:$B$37,Phone_by_Sentiment!$A$2:$A$37,"-",0,1)</f>
        <v>2021-02</v>
      </c>
      <c r="E283" cm="1">
        <f t="array" ref="E283">IF($Q283&gt;=0,IFERROR(generateSalesData($D283, IF(ISNUMBER(_xlfn.XLOOKUP($C283,Phone_by_Sentiment!$B$2:$B$37,Phone_by_Sentiment!E$2:E$37,"",0,1)),_xlfn.XLOOKUP($C283,Phone_by_Sentiment!$B$2:$B$37,Phone_by_Sentiment!E$2:E$37,"",0,1),0),$A283-TEXT(DATEVALUE($D283&amp;"-01"), "dd-mm-yyyy")),0),0)</f>
        <v>0</v>
      </c>
      <c r="F283" cm="1">
        <f t="array" ref="F283">IF($Q283&gt;=0,IFERROR(generateSalesData($D283, IF(ISNUMBER(_xlfn.XLOOKUP($C283,Phone_by_Sentiment!$B$2:$B$37,Phone_by_Sentiment!F$2:F$37,"",0,1)),_xlfn.XLOOKUP($C283,Phone_by_Sentiment!$B$2:$B$37,Phone_by_Sentiment!F$2:F$37,"",0,1),0),$A283-TEXT(DATEVALUE($D283&amp;"-01"), "dd-mm-yyyy")),0),0)</f>
        <v>0</v>
      </c>
      <c r="G283" cm="1">
        <f t="array" ref="G283">IF($Q283&gt;=0,IFERROR(generateSalesData($D283, IF(ISNUMBER(_xlfn.XLOOKUP($C283,Phone_by_Sentiment!$B$2:$B$37,Phone_by_Sentiment!G$2:G$37,"",0,1)),_xlfn.XLOOKUP($C283,Phone_by_Sentiment!$B$2:$B$37,Phone_by_Sentiment!G$2:G$37,"",0,1),0),$A283-TEXT(DATEVALUE($D283&amp;"-01"), "dd-mm-yyyy")),0),0)</f>
        <v>0</v>
      </c>
      <c r="H283" cm="1">
        <f t="array" ref="H283">IF($Q283&gt;=0,IFERROR(generateSalesData($D283, IF(ISNUMBER(_xlfn.XLOOKUP($C283,Phone_by_Sentiment!$B$2:$B$37,Phone_by_Sentiment!H$2:H$37,"",0,1)),_xlfn.XLOOKUP($C283,Phone_by_Sentiment!$B$2:$B$37,Phone_by_Sentiment!H$2:H$37,"",0,1),0),$A283-TEXT(DATEVALUE($D283&amp;"-01"), "dd-mm-yyyy")),0),0)</f>
        <v>0</v>
      </c>
      <c r="I283" cm="1">
        <f t="array" ref="I283">IF($Q283&gt;=0,IFERROR(generateSalesData($D283, IF(ISNUMBER(_xlfn.XLOOKUP($C283,Phone_by_Sentiment!$B$2:$B$37,Phone_by_Sentiment!I$2:I$37,"",0,1)),_xlfn.XLOOKUP($C283,Phone_by_Sentiment!$B$2:$B$37,Phone_by_Sentiment!I$2:I$37,"",0,1),0),$A283-TEXT(DATEVALUE($D283&amp;"-01"), "dd-mm-yyyy")),0),0)</f>
        <v>0</v>
      </c>
      <c r="J283" cm="1">
        <f t="array" ref="J283">IF($Q283&gt;=0,IFERROR(generateSalesData($D283, IF(ISNUMBER(_xlfn.XLOOKUP($C283,Phone_by_Sentiment!$B$2:$B$37,Phone_by_Sentiment!J$2:J$37,"",0,1)),_xlfn.XLOOKUP($C283,Phone_by_Sentiment!$B$2:$B$37,Phone_by_Sentiment!J$2:J$37,"",0,1),0),$A283-TEXT(DATEVALUE($D283&amp;"-01"), "dd-mm-yyyy")),0),0)</f>
        <v>0</v>
      </c>
      <c r="K283" cm="1">
        <f t="array" ref="K283">IF($Q283&gt;=0,IFERROR(generateSalesData($D283, IF(ISNUMBER(_xlfn.XLOOKUP($C283,Phone_by_Sentiment!$B$2:$B$37,Phone_by_Sentiment!K$2:K$37,"",0,1)),_xlfn.XLOOKUP($C283,Phone_by_Sentiment!$B$2:$B$37,Phone_by_Sentiment!K$2:K$37,"",0,1),0),$A283-TEXT(DATEVALUE($D283&amp;"-01"), "dd-mm-yyyy")),0),0)</f>
        <v>0</v>
      </c>
      <c r="L283" cm="1">
        <f t="array" ref="L283">IF($Q283&gt;=0,IFERROR(generateSalesData($D283, IF(ISNUMBER(_xlfn.XLOOKUP($C283,Phone_by_Sentiment!$B$2:$B$37,Phone_by_Sentiment!L$2:L$37,"",0,1)),_xlfn.XLOOKUP($C283,Phone_by_Sentiment!$B$2:$B$37,Phone_by_Sentiment!L$2:L$37,"",0,1),0),$A283-TEXT(DATEVALUE($D283&amp;"-01"), "dd-mm-yyyy")),0),0)</f>
        <v>0</v>
      </c>
      <c r="M283" cm="1">
        <f t="array" ref="M283">IF($Q283&gt;=0,IFERROR(generateSalesData($D283, IF(ISNUMBER(_xlfn.XLOOKUP($C283,Phone_by_Sentiment!$B$2:$B$37,Phone_by_Sentiment!M$2:M$37,"",0,1)),_xlfn.XLOOKUP($C283,Phone_by_Sentiment!$B$2:$B$37,Phone_by_Sentiment!M$2:M$37,"",0,1),0),$A283-TEXT(DATEVALUE($D283&amp;"-01"), "dd-mm-yyyy")),0),0)</f>
        <v>0</v>
      </c>
      <c r="N283" cm="1">
        <f t="array" ref="N283">IF($Q283&gt;=0,IFERROR(generateSalesData($D283, IF(ISNUMBER(_xlfn.XLOOKUP($C283,Phone_by_Sentiment!$B$2:$B$37,Phone_by_Sentiment!N$2:N$37,"",0,1)),_xlfn.XLOOKUP($C283,Phone_by_Sentiment!$B$2:$B$37,Phone_by_Sentiment!N$2:N$37,"",0,1),0),$A283-TEXT(DATEVALUE($D283&amp;"-01"), "dd-mm-yyyy")),0),0)</f>
        <v>0</v>
      </c>
      <c r="O283" cm="1">
        <f t="array" ref="O283">IF($Q283&gt;=0,IFERROR(generateSalesData($D283, IF(ISNUMBER(_xlfn.XLOOKUP($C283,Phone_by_Sentiment!$B$2:$B$37,Phone_by_Sentiment!O$2:O$37,"",0,1)),_xlfn.XLOOKUP($C283,Phone_by_Sentiment!$B$2:$B$37,Phone_by_Sentiment!O$2:O$37,"",0,1),0),$A283-TEXT(DATEVALUE($D283&amp;"-01"), "dd-mm-yyyy")),0),0)</f>
        <v>0</v>
      </c>
      <c r="P283" s="1">
        <f t="shared" si="10"/>
        <v>44228</v>
      </c>
      <c r="Q283">
        <f t="shared" si="11"/>
        <v>-519</v>
      </c>
    </row>
    <row r="284" spans="1:17" x14ac:dyDescent="0.25">
      <c r="A284" s="1">
        <f t="shared" si="9"/>
        <v>43709</v>
      </c>
      <c r="B284" t="s">
        <v>159</v>
      </c>
      <c r="C284" t="str">
        <f>_xlfn.XLOOKUP(B284,Phone_by_Price!$A$2:$A$34,Phone_by_Price!$B$2:$B$34,"-",0,1)</f>
        <v>Realme C25</v>
      </c>
      <c r="D284" t="str">
        <f>_xlfn.XLOOKUP(C284,Phone_by_Sentiment!$B$2:$B$37,Phone_by_Sentiment!$A$2:$A$37,"-",0,1)</f>
        <v>2021-03</v>
      </c>
      <c r="E284" cm="1">
        <f t="array" ref="E284">IF($Q284&gt;=0,IFERROR(generateSalesData($D284, IF(ISNUMBER(_xlfn.XLOOKUP($C284,Phone_by_Sentiment!$B$2:$B$37,Phone_by_Sentiment!E$2:E$37,"",0,1)),_xlfn.XLOOKUP($C284,Phone_by_Sentiment!$B$2:$B$37,Phone_by_Sentiment!E$2:E$37,"",0,1),0),$A284-TEXT(DATEVALUE($D284&amp;"-01"), "dd-mm-yyyy")),0),0)</f>
        <v>0</v>
      </c>
      <c r="F284" cm="1">
        <f t="array" ref="F284">IF($Q284&gt;=0,IFERROR(generateSalesData($D284, IF(ISNUMBER(_xlfn.XLOOKUP($C284,Phone_by_Sentiment!$B$2:$B$37,Phone_by_Sentiment!F$2:F$37,"",0,1)),_xlfn.XLOOKUP($C284,Phone_by_Sentiment!$B$2:$B$37,Phone_by_Sentiment!F$2:F$37,"",0,1),0),$A284-TEXT(DATEVALUE($D284&amp;"-01"), "dd-mm-yyyy")),0),0)</f>
        <v>0</v>
      </c>
      <c r="G284" cm="1">
        <f t="array" ref="G284">IF($Q284&gt;=0,IFERROR(generateSalesData($D284, IF(ISNUMBER(_xlfn.XLOOKUP($C284,Phone_by_Sentiment!$B$2:$B$37,Phone_by_Sentiment!G$2:G$37,"",0,1)),_xlfn.XLOOKUP($C284,Phone_by_Sentiment!$B$2:$B$37,Phone_by_Sentiment!G$2:G$37,"",0,1),0),$A284-TEXT(DATEVALUE($D284&amp;"-01"), "dd-mm-yyyy")),0),0)</f>
        <v>0</v>
      </c>
      <c r="H284" cm="1">
        <f t="array" ref="H284">IF($Q284&gt;=0,IFERROR(generateSalesData($D284, IF(ISNUMBER(_xlfn.XLOOKUP($C284,Phone_by_Sentiment!$B$2:$B$37,Phone_by_Sentiment!H$2:H$37,"",0,1)),_xlfn.XLOOKUP($C284,Phone_by_Sentiment!$B$2:$B$37,Phone_by_Sentiment!H$2:H$37,"",0,1),0),$A284-TEXT(DATEVALUE($D284&amp;"-01"), "dd-mm-yyyy")),0),0)</f>
        <v>0</v>
      </c>
      <c r="I284" cm="1">
        <f t="array" ref="I284">IF($Q284&gt;=0,IFERROR(generateSalesData($D284, IF(ISNUMBER(_xlfn.XLOOKUP($C284,Phone_by_Sentiment!$B$2:$B$37,Phone_by_Sentiment!I$2:I$37,"",0,1)),_xlfn.XLOOKUP($C284,Phone_by_Sentiment!$B$2:$B$37,Phone_by_Sentiment!I$2:I$37,"",0,1),0),$A284-TEXT(DATEVALUE($D284&amp;"-01"), "dd-mm-yyyy")),0),0)</f>
        <v>0</v>
      </c>
      <c r="J284" cm="1">
        <f t="array" ref="J284">IF($Q284&gt;=0,IFERROR(generateSalesData($D284, IF(ISNUMBER(_xlfn.XLOOKUP($C284,Phone_by_Sentiment!$B$2:$B$37,Phone_by_Sentiment!J$2:J$37,"",0,1)),_xlfn.XLOOKUP($C284,Phone_by_Sentiment!$B$2:$B$37,Phone_by_Sentiment!J$2:J$37,"",0,1),0),$A284-TEXT(DATEVALUE($D284&amp;"-01"), "dd-mm-yyyy")),0),0)</f>
        <v>0</v>
      </c>
      <c r="K284" cm="1">
        <f t="array" ref="K284">IF($Q284&gt;=0,IFERROR(generateSalesData($D284, IF(ISNUMBER(_xlfn.XLOOKUP($C284,Phone_by_Sentiment!$B$2:$B$37,Phone_by_Sentiment!K$2:K$37,"",0,1)),_xlfn.XLOOKUP($C284,Phone_by_Sentiment!$B$2:$B$37,Phone_by_Sentiment!K$2:K$37,"",0,1),0),$A284-TEXT(DATEVALUE($D284&amp;"-01"), "dd-mm-yyyy")),0),0)</f>
        <v>0</v>
      </c>
      <c r="L284" cm="1">
        <f t="array" ref="L284">IF($Q284&gt;=0,IFERROR(generateSalesData($D284, IF(ISNUMBER(_xlfn.XLOOKUP($C284,Phone_by_Sentiment!$B$2:$B$37,Phone_by_Sentiment!L$2:L$37,"",0,1)),_xlfn.XLOOKUP($C284,Phone_by_Sentiment!$B$2:$B$37,Phone_by_Sentiment!L$2:L$37,"",0,1),0),$A284-TEXT(DATEVALUE($D284&amp;"-01"), "dd-mm-yyyy")),0),0)</f>
        <v>0</v>
      </c>
      <c r="M284" cm="1">
        <f t="array" ref="M284">IF($Q284&gt;=0,IFERROR(generateSalesData($D284, IF(ISNUMBER(_xlfn.XLOOKUP($C284,Phone_by_Sentiment!$B$2:$B$37,Phone_by_Sentiment!M$2:M$37,"",0,1)),_xlfn.XLOOKUP($C284,Phone_by_Sentiment!$B$2:$B$37,Phone_by_Sentiment!M$2:M$37,"",0,1),0),$A284-TEXT(DATEVALUE($D284&amp;"-01"), "dd-mm-yyyy")),0),0)</f>
        <v>0</v>
      </c>
      <c r="N284" cm="1">
        <f t="array" ref="N284">IF($Q284&gt;=0,IFERROR(generateSalesData($D284, IF(ISNUMBER(_xlfn.XLOOKUP($C284,Phone_by_Sentiment!$B$2:$B$37,Phone_by_Sentiment!N$2:N$37,"",0,1)),_xlfn.XLOOKUP($C284,Phone_by_Sentiment!$B$2:$B$37,Phone_by_Sentiment!N$2:N$37,"",0,1),0),$A284-TEXT(DATEVALUE($D284&amp;"-01"), "dd-mm-yyyy")),0),0)</f>
        <v>0</v>
      </c>
      <c r="O284" cm="1">
        <f t="array" ref="O284">IF($Q284&gt;=0,IFERROR(generateSalesData($D284, IF(ISNUMBER(_xlfn.XLOOKUP($C284,Phone_by_Sentiment!$B$2:$B$37,Phone_by_Sentiment!O$2:O$37,"",0,1)),_xlfn.XLOOKUP($C284,Phone_by_Sentiment!$B$2:$B$37,Phone_by_Sentiment!O$2:O$37,"",0,1),0),$A284-TEXT(DATEVALUE($D284&amp;"-01"), "dd-mm-yyyy")),0),0)</f>
        <v>0</v>
      </c>
      <c r="P284" s="1">
        <f t="shared" si="10"/>
        <v>44256</v>
      </c>
      <c r="Q284">
        <f t="shared" si="11"/>
        <v>-547</v>
      </c>
    </row>
    <row r="285" spans="1:17" x14ac:dyDescent="0.25">
      <c r="A285" s="1">
        <f t="shared" si="9"/>
        <v>43709</v>
      </c>
      <c r="B285" t="s">
        <v>160</v>
      </c>
      <c r="C285" t="str">
        <f>_xlfn.XLOOKUP(B285,Phone_by_Price!$A$2:$A$34,Phone_by_Price!$B$2:$B$34,"-",0,1)</f>
        <v>Xiaomi Poco X3 Pro</v>
      </c>
      <c r="D285" t="str">
        <f>_xlfn.XLOOKUP(C285,Phone_by_Sentiment!$B$2:$B$37,Phone_by_Sentiment!$A$2:$A$37,"-",0,1)</f>
        <v>2021-05</v>
      </c>
      <c r="E285" cm="1">
        <f t="array" ref="E285">IF($Q285&gt;=0,IFERROR(generateSalesData($D285, IF(ISNUMBER(_xlfn.XLOOKUP($C285,Phone_by_Sentiment!$B$2:$B$37,Phone_by_Sentiment!E$2:E$37,"",0,1)),_xlfn.XLOOKUP($C285,Phone_by_Sentiment!$B$2:$B$37,Phone_by_Sentiment!E$2:E$37,"",0,1),0),$A285-TEXT(DATEVALUE($D285&amp;"-01"), "dd-mm-yyyy")),0),0)</f>
        <v>0</v>
      </c>
      <c r="F285" cm="1">
        <f t="array" ref="F285">IF($Q285&gt;=0,IFERROR(generateSalesData($D285, IF(ISNUMBER(_xlfn.XLOOKUP($C285,Phone_by_Sentiment!$B$2:$B$37,Phone_by_Sentiment!F$2:F$37,"",0,1)),_xlfn.XLOOKUP($C285,Phone_by_Sentiment!$B$2:$B$37,Phone_by_Sentiment!F$2:F$37,"",0,1),0),$A285-TEXT(DATEVALUE($D285&amp;"-01"), "dd-mm-yyyy")),0),0)</f>
        <v>0</v>
      </c>
      <c r="G285" cm="1">
        <f t="array" ref="G285">IF($Q285&gt;=0,IFERROR(generateSalesData($D285, IF(ISNUMBER(_xlfn.XLOOKUP($C285,Phone_by_Sentiment!$B$2:$B$37,Phone_by_Sentiment!G$2:G$37,"",0,1)),_xlfn.XLOOKUP($C285,Phone_by_Sentiment!$B$2:$B$37,Phone_by_Sentiment!G$2:G$37,"",0,1),0),$A285-TEXT(DATEVALUE($D285&amp;"-01"), "dd-mm-yyyy")),0),0)</f>
        <v>0</v>
      </c>
      <c r="H285" cm="1">
        <f t="array" ref="H285">IF($Q285&gt;=0,IFERROR(generateSalesData($D285, IF(ISNUMBER(_xlfn.XLOOKUP($C285,Phone_by_Sentiment!$B$2:$B$37,Phone_by_Sentiment!H$2:H$37,"",0,1)),_xlfn.XLOOKUP($C285,Phone_by_Sentiment!$B$2:$B$37,Phone_by_Sentiment!H$2:H$37,"",0,1),0),$A285-TEXT(DATEVALUE($D285&amp;"-01"), "dd-mm-yyyy")),0),0)</f>
        <v>0</v>
      </c>
      <c r="I285" cm="1">
        <f t="array" ref="I285">IF($Q285&gt;=0,IFERROR(generateSalesData($D285, IF(ISNUMBER(_xlfn.XLOOKUP($C285,Phone_by_Sentiment!$B$2:$B$37,Phone_by_Sentiment!I$2:I$37,"",0,1)),_xlfn.XLOOKUP($C285,Phone_by_Sentiment!$B$2:$B$37,Phone_by_Sentiment!I$2:I$37,"",0,1),0),$A285-TEXT(DATEVALUE($D285&amp;"-01"), "dd-mm-yyyy")),0),0)</f>
        <v>0</v>
      </c>
      <c r="J285" cm="1">
        <f t="array" ref="J285">IF($Q285&gt;=0,IFERROR(generateSalesData($D285, IF(ISNUMBER(_xlfn.XLOOKUP($C285,Phone_by_Sentiment!$B$2:$B$37,Phone_by_Sentiment!J$2:J$37,"",0,1)),_xlfn.XLOOKUP($C285,Phone_by_Sentiment!$B$2:$B$37,Phone_by_Sentiment!J$2:J$37,"",0,1),0),$A285-TEXT(DATEVALUE($D285&amp;"-01"), "dd-mm-yyyy")),0),0)</f>
        <v>0</v>
      </c>
      <c r="K285" cm="1">
        <f t="array" ref="K285">IF($Q285&gt;=0,IFERROR(generateSalesData($D285, IF(ISNUMBER(_xlfn.XLOOKUP($C285,Phone_by_Sentiment!$B$2:$B$37,Phone_by_Sentiment!K$2:K$37,"",0,1)),_xlfn.XLOOKUP($C285,Phone_by_Sentiment!$B$2:$B$37,Phone_by_Sentiment!K$2:K$37,"",0,1),0),$A285-TEXT(DATEVALUE($D285&amp;"-01"), "dd-mm-yyyy")),0),0)</f>
        <v>0</v>
      </c>
      <c r="L285" cm="1">
        <f t="array" ref="L285">IF($Q285&gt;=0,IFERROR(generateSalesData($D285, IF(ISNUMBER(_xlfn.XLOOKUP($C285,Phone_by_Sentiment!$B$2:$B$37,Phone_by_Sentiment!L$2:L$37,"",0,1)),_xlfn.XLOOKUP($C285,Phone_by_Sentiment!$B$2:$B$37,Phone_by_Sentiment!L$2:L$37,"",0,1),0),$A285-TEXT(DATEVALUE($D285&amp;"-01"), "dd-mm-yyyy")),0),0)</f>
        <v>0</v>
      </c>
      <c r="M285" cm="1">
        <f t="array" ref="M285">IF($Q285&gt;=0,IFERROR(generateSalesData($D285, IF(ISNUMBER(_xlfn.XLOOKUP($C285,Phone_by_Sentiment!$B$2:$B$37,Phone_by_Sentiment!M$2:M$37,"",0,1)),_xlfn.XLOOKUP($C285,Phone_by_Sentiment!$B$2:$B$37,Phone_by_Sentiment!M$2:M$37,"",0,1),0),$A285-TEXT(DATEVALUE($D285&amp;"-01"), "dd-mm-yyyy")),0),0)</f>
        <v>0</v>
      </c>
      <c r="N285" cm="1">
        <f t="array" ref="N285">IF($Q285&gt;=0,IFERROR(generateSalesData($D285, IF(ISNUMBER(_xlfn.XLOOKUP($C285,Phone_by_Sentiment!$B$2:$B$37,Phone_by_Sentiment!N$2:N$37,"",0,1)),_xlfn.XLOOKUP($C285,Phone_by_Sentiment!$B$2:$B$37,Phone_by_Sentiment!N$2:N$37,"",0,1),0),$A285-TEXT(DATEVALUE($D285&amp;"-01"), "dd-mm-yyyy")),0),0)</f>
        <v>0</v>
      </c>
      <c r="O285" cm="1">
        <f t="array" ref="O285">IF($Q285&gt;=0,IFERROR(generateSalesData($D285, IF(ISNUMBER(_xlfn.XLOOKUP($C285,Phone_by_Sentiment!$B$2:$B$37,Phone_by_Sentiment!O$2:O$37,"",0,1)),_xlfn.XLOOKUP($C285,Phone_by_Sentiment!$B$2:$B$37,Phone_by_Sentiment!O$2:O$37,"",0,1),0),$A285-TEXT(DATEVALUE($D285&amp;"-01"), "dd-mm-yyyy")),0),0)</f>
        <v>0</v>
      </c>
      <c r="P285" s="1">
        <f t="shared" si="10"/>
        <v>44317</v>
      </c>
      <c r="Q285">
        <f t="shared" si="11"/>
        <v>-608</v>
      </c>
    </row>
    <row r="286" spans="1:17" x14ac:dyDescent="0.25">
      <c r="A286" s="1">
        <f t="shared" si="9"/>
        <v>43709</v>
      </c>
      <c r="B286" t="s">
        <v>161</v>
      </c>
      <c r="C286" t="str">
        <f>_xlfn.XLOOKUP(B286,Phone_by_Price!$A$2:$A$34,Phone_by_Price!$B$2:$B$34,"-",0,1)</f>
        <v>Samsung Galaxy Z Flip 3</v>
      </c>
      <c r="D286" t="str">
        <f>_xlfn.XLOOKUP(C286,Phone_by_Sentiment!$B$2:$B$37,Phone_by_Sentiment!$A$2:$A$37,"-",0,1)</f>
        <v>2021-09</v>
      </c>
      <c r="E286" cm="1">
        <f t="array" ref="E286">IF($Q286&gt;=0,IFERROR(generateSalesData($D286, IF(ISNUMBER(_xlfn.XLOOKUP($C286,Phone_by_Sentiment!$B$2:$B$37,Phone_by_Sentiment!E$2:E$37,"",0,1)),_xlfn.XLOOKUP($C286,Phone_by_Sentiment!$B$2:$B$37,Phone_by_Sentiment!E$2:E$37,"",0,1),0),$A286-TEXT(DATEVALUE($D286&amp;"-01"), "dd-mm-yyyy")),0),0)</f>
        <v>0</v>
      </c>
      <c r="F286" cm="1">
        <f t="array" ref="F286">IF($Q286&gt;=0,IFERROR(generateSalesData($D286, IF(ISNUMBER(_xlfn.XLOOKUP($C286,Phone_by_Sentiment!$B$2:$B$37,Phone_by_Sentiment!F$2:F$37,"",0,1)),_xlfn.XLOOKUP($C286,Phone_by_Sentiment!$B$2:$B$37,Phone_by_Sentiment!F$2:F$37,"",0,1),0),$A286-TEXT(DATEVALUE($D286&amp;"-01"), "dd-mm-yyyy")),0),0)</f>
        <v>0</v>
      </c>
      <c r="G286" cm="1">
        <f t="array" ref="G286">IF($Q286&gt;=0,IFERROR(generateSalesData($D286, IF(ISNUMBER(_xlfn.XLOOKUP($C286,Phone_by_Sentiment!$B$2:$B$37,Phone_by_Sentiment!G$2:G$37,"",0,1)),_xlfn.XLOOKUP($C286,Phone_by_Sentiment!$B$2:$B$37,Phone_by_Sentiment!G$2:G$37,"",0,1),0),$A286-TEXT(DATEVALUE($D286&amp;"-01"), "dd-mm-yyyy")),0),0)</f>
        <v>0</v>
      </c>
      <c r="H286" cm="1">
        <f t="array" ref="H286">IF($Q286&gt;=0,IFERROR(generateSalesData($D286, IF(ISNUMBER(_xlfn.XLOOKUP($C286,Phone_by_Sentiment!$B$2:$B$37,Phone_by_Sentiment!H$2:H$37,"",0,1)),_xlfn.XLOOKUP($C286,Phone_by_Sentiment!$B$2:$B$37,Phone_by_Sentiment!H$2:H$37,"",0,1),0),$A286-TEXT(DATEVALUE($D286&amp;"-01"), "dd-mm-yyyy")),0),0)</f>
        <v>0</v>
      </c>
      <c r="I286" cm="1">
        <f t="array" ref="I286">IF($Q286&gt;=0,IFERROR(generateSalesData($D286, IF(ISNUMBER(_xlfn.XLOOKUP($C286,Phone_by_Sentiment!$B$2:$B$37,Phone_by_Sentiment!I$2:I$37,"",0,1)),_xlfn.XLOOKUP($C286,Phone_by_Sentiment!$B$2:$B$37,Phone_by_Sentiment!I$2:I$37,"",0,1),0),$A286-TEXT(DATEVALUE($D286&amp;"-01"), "dd-mm-yyyy")),0),0)</f>
        <v>0</v>
      </c>
      <c r="J286" cm="1">
        <f t="array" ref="J286">IF($Q286&gt;=0,IFERROR(generateSalesData($D286, IF(ISNUMBER(_xlfn.XLOOKUP($C286,Phone_by_Sentiment!$B$2:$B$37,Phone_by_Sentiment!J$2:J$37,"",0,1)),_xlfn.XLOOKUP($C286,Phone_by_Sentiment!$B$2:$B$37,Phone_by_Sentiment!J$2:J$37,"",0,1),0),$A286-TEXT(DATEVALUE($D286&amp;"-01"), "dd-mm-yyyy")),0),0)</f>
        <v>0</v>
      </c>
      <c r="K286" cm="1">
        <f t="array" ref="K286">IF($Q286&gt;=0,IFERROR(generateSalesData($D286, IF(ISNUMBER(_xlfn.XLOOKUP($C286,Phone_by_Sentiment!$B$2:$B$37,Phone_by_Sentiment!K$2:K$37,"",0,1)),_xlfn.XLOOKUP($C286,Phone_by_Sentiment!$B$2:$B$37,Phone_by_Sentiment!K$2:K$37,"",0,1),0),$A286-TEXT(DATEVALUE($D286&amp;"-01"), "dd-mm-yyyy")),0),0)</f>
        <v>0</v>
      </c>
      <c r="L286" cm="1">
        <f t="array" ref="L286">IF($Q286&gt;=0,IFERROR(generateSalesData($D286, IF(ISNUMBER(_xlfn.XLOOKUP($C286,Phone_by_Sentiment!$B$2:$B$37,Phone_by_Sentiment!L$2:L$37,"",0,1)),_xlfn.XLOOKUP($C286,Phone_by_Sentiment!$B$2:$B$37,Phone_by_Sentiment!L$2:L$37,"",0,1),0),$A286-TEXT(DATEVALUE($D286&amp;"-01"), "dd-mm-yyyy")),0),0)</f>
        <v>0</v>
      </c>
      <c r="M286" cm="1">
        <f t="array" ref="M286">IF($Q286&gt;=0,IFERROR(generateSalesData($D286, IF(ISNUMBER(_xlfn.XLOOKUP($C286,Phone_by_Sentiment!$B$2:$B$37,Phone_by_Sentiment!M$2:M$37,"",0,1)),_xlfn.XLOOKUP($C286,Phone_by_Sentiment!$B$2:$B$37,Phone_by_Sentiment!M$2:M$37,"",0,1),0),$A286-TEXT(DATEVALUE($D286&amp;"-01"), "dd-mm-yyyy")),0),0)</f>
        <v>0</v>
      </c>
      <c r="N286" cm="1">
        <f t="array" ref="N286">IF($Q286&gt;=0,IFERROR(generateSalesData($D286, IF(ISNUMBER(_xlfn.XLOOKUP($C286,Phone_by_Sentiment!$B$2:$B$37,Phone_by_Sentiment!N$2:N$37,"",0,1)),_xlfn.XLOOKUP($C286,Phone_by_Sentiment!$B$2:$B$37,Phone_by_Sentiment!N$2:N$37,"",0,1),0),$A286-TEXT(DATEVALUE($D286&amp;"-01"), "dd-mm-yyyy")),0),0)</f>
        <v>0</v>
      </c>
      <c r="O286" cm="1">
        <f t="array" ref="O286">IF($Q286&gt;=0,IFERROR(generateSalesData($D286, IF(ISNUMBER(_xlfn.XLOOKUP($C286,Phone_by_Sentiment!$B$2:$B$37,Phone_by_Sentiment!O$2:O$37,"",0,1)),_xlfn.XLOOKUP($C286,Phone_by_Sentiment!$B$2:$B$37,Phone_by_Sentiment!O$2:O$37,"",0,1),0),$A286-TEXT(DATEVALUE($D286&amp;"-01"), "dd-mm-yyyy")),0),0)</f>
        <v>0</v>
      </c>
      <c r="P286" s="1">
        <f t="shared" si="10"/>
        <v>44440</v>
      </c>
      <c r="Q286">
        <f t="shared" si="11"/>
        <v>-731</v>
      </c>
    </row>
    <row r="287" spans="1:17" x14ac:dyDescent="0.25">
      <c r="A287" s="1">
        <f t="shared" si="9"/>
        <v>43709</v>
      </c>
      <c r="B287" t="s">
        <v>162</v>
      </c>
      <c r="C287" t="str">
        <f>_xlfn.XLOOKUP(B287,Phone_by_Price!$A$2:$A$34,Phone_by_Price!$B$2:$B$34,"-",0,1)</f>
        <v>Xiaomi Poco X3 NFC</v>
      </c>
      <c r="D287" t="str">
        <f>_xlfn.XLOOKUP(C287,Phone_by_Sentiment!$B$2:$B$37,Phone_by_Sentiment!$A$2:$A$37,"-",0,1)</f>
        <v>2020-08</v>
      </c>
      <c r="E287" cm="1">
        <f t="array" ref="E287">IF($Q287&gt;=0,IFERROR(generateSalesData($D287, IF(ISNUMBER(_xlfn.XLOOKUP($C287,Phone_by_Sentiment!$B$2:$B$37,Phone_by_Sentiment!E$2:E$37,"",0,1)),_xlfn.XLOOKUP($C287,Phone_by_Sentiment!$B$2:$B$37,Phone_by_Sentiment!E$2:E$37,"",0,1),0),$A287-TEXT(DATEVALUE($D287&amp;"-01"), "dd-mm-yyyy")),0),0)</f>
        <v>0</v>
      </c>
      <c r="F287" cm="1">
        <f t="array" ref="F287">IF($Q287&gt;=0,IFERROR(generateSalesData($D287, IF(ISNUMBER(_xlfn.XLOOKUP($C287,Phone_by_Sentiment!$B$2:$B$37,Phone_by_Sentiment!F$2:F$37,"",0,1)),_xlfn.XLOOKUP($C287,Phone_by_Sentiment!$B$2:$B$37,Phone_by_Sentiment!F$2:F$37,"",0,1),0),$A287-TEXT(DATEVALUE($D287&amp;"-01"), "dd-mm-yyyy")),0),0)</f>
        <v>0</v>
      </c>
      <c r="G287" cm="1">
        <f t="array" ref="G287">IF($Q287&gt;=0,IFERROR(generateSalesData($D287, IF(ISNUMBER(_xlfn.XLOOKUP($C287,Phone_by_Sentiment!$B$2:$B$37,Phone_by_Sentiment!G$2:G$37,"",0,1)),_xlfn.XLOOKUP($C287,Phone_by_Sentiment!$B$2:$B$37,Phone_by_Sentiment!G$2:G$37,"",0,1),0),$A287-TEXT(DATEVALUE($D287&amp;"-01"), "dd-mm-yyyy")),0),0)</f>
        <v>0</v>
      </c>
      <c r="H287" cm="1">
        <f t="array" ref="H287">IF($Q287&gt;=0,IFERROR(generateSalesData($D287, IF(ISNUMBER(_xlfn.XLOOKUP($C287,Phone_by_Sentiment!$B$2:$B$37,Phone_by_Sentiment!H$2:H$37,"",0,1)),_xlfn.XLOOKUP($C287,Phone_by_Sentiment!$B$2:$B$37,Phone_by_Sentiment!H$2:H$37,"",0,1),0),$A287-TEXT(DATEVALUE($D287&amp;"-01"), "dd-mm-yyyy")),0),0)</f>
        <v>0</v>
      </c>
      <c r="I287" cm="1">
        <f t="array" ref="I287">IF($Q287&gt;=0,IFERROR(generateSalesData($D287, IF(ISNUMBER(_xlfn.XLOOKUP($C287,Phone_by_Sentiment!$B$2:$B$37,Phone_by_Sentiment!I$2:I$37,"",0,1)),_xlfn.XLOOKUP($C287,Phone_by_Sentiment!$B$2:$B$37,Phone_by_Sentiment!I$2:I$37,"",0,1),0),$A287-TEXT(DATEVALUE($D287&amp;"-01"), "dd-mm-yyyy")),0),0)</f>
        <v>0</v>
      </c>
      <c r="J287" cm="1">
        <f t="array" ref="J287">IF($Q287&gt;=0,IFERROR(generateSalesData($D287, IF(ISNUMBER(_xlfn.XLOOKUP($C287,Phone_by_Sentiment!$B$2:$B$37,Phone_by_Sentiment!J$2:J$37,"",0,1)),_xlfn.XLOOKUP($C287,Phone_by_Sentiment!$B$2:$B$37,Phone_by_Sentiment!J$2:J$37,"",0,1),0),$A287-TEXT(DATEVALUE($D287&amp;"-01"), "dd-mm-yyyy")),0),0)</f>
        <v>0</v>
      </c>
      <c r="K287" cm="1">
        <f t="array" ref="K287">IF($Q287&gt;=0,IFERROR(generateSalesData($D287, IF(ISNUMBER(_xlfn.XLOOKUP($C287,Phone_by_Sentiment!$B$2:$B$37,Phone_by_Sentiment!K$2:K$37,"",0,1)),_xlfn.XLOOKUP($C287,Phone_by_Sentiment!$B$2:$B$37,Phone_by_Sentiment!K$2:K$37,"",0,1),0),$A287-TEXT(DATEVALUE($D287&amp;"-01"), "dd-mm-yyyy")),0),0)</f>
        <v>0</v>
      </c>
      <c r="L287" cm="1">
        <f t="array" ref="L287">IF($Q287&gt;=0,IFERROR(generateSalesData($D287, IF(ISNUMBER(_xlfn.XLOOKUP($C287,Phone_by_Sentiment!$B$2:$B$37,Phone_by_Sentiment!L$2:L$37,"",0,1)),_xlfn.XLOOKUP($C287,Phone_by_Sentiment!$B$2:$B$37,Phone_by_Sentiment!L$2:L$37,"",0,1),0),$A287-TEXT(DATEVALUE($D287&amp;"-01"), "dd-mm-yyyy")),0),0)</f>
        <v>0</v>
      </c>
      <c r="M287" cm="1">
        <f t="array" ref="M287">IF($Q287&gt;=0,IFERROR(generateSalesData($D287, IF(ISNUMBER(_xlfn.XLOOKUP($C287,Phone_by_Sentiment!$B$2:$B$37,Phone_by_Sentiment!M$2:M$37,"",0,1)),_xlfn.XLOOKUP($C287,Phone_by_Sentiment!$B$2:$B$37,Phone_by_Sentiment!M$2:M$37,"",0,1),0),$A287-TEXT(DATEVALUE($D287&amp;"-01"), "dd-mm-yyyy")),0),0)</f>
        <v>0</v>
      </c>
      <c r="N287" cm="1">
        <f t="array" ref="N287">IF($Q287&gt;=0,IFERROR(generateSalesData($D287, IF(ISNUMBER(_xlfn.XLOOKUP($C287,Phone_by_Sentiment!$B$2:$B$37,Phone_by_Sentiment!N$2:N$37,"",0,1)),_xlfn.XLOOKUP($C287,Phone_by_Sentiment!$B$2:$B$37,Phone_by_Sentiment!N$2:N$37,"",0,1),0),$A287-TEXT(DATEVALUE($D287&amp;"-01"), "dd-mm-yyyy")),0),0)</f>
        <v>0</v>
      </c>
      <c r="O287" cm="1">
        <f t="array" ref="O287">IF($Q287&gt;=0,IFERROR(generateSalesData($D287, IF(ISNUMBER(_xlfn.XLOOKUP($C287,Phone_by_Sentiment!$B$2:$B$37,Phone_by_Sentiment!O$2:O$37,"",0,1)),_xlfn.XLOOKUP($C287,Phone_by_Sentiment!$B$2:$B$37,Phone_by_Sentiment!O$2:O$37,"",0,1),0),$A287-TEXT(DATEVALUE($D287&amp;"-01"), "dd-mm-yyyy")),0),0)</f>
        <v>0</v>
      </c>
      <c r="P287" s="1">
        <f t="shared" si="10"/>
        <v>44044</v>
      </c>
      <c r="Q287">
        <f t="shared" si="11"/>
        <v>-335</v>
      </c>
    </row>
    <row r="288" spans="1:17" x14ac:dyDescent="0.25">
      <c r="A288" s="1">
        <f t="shared" si="9"/>
        <v>43709</v>
      </c>
      <c r="B288" t="s">
        <v>163</v>
      </c>
      <c r="C288" t="str">
        <f>_xlfn.XLOOKUP(B288,Phone_by_Price!$A$2:$A$34,Phone_by_Price!$B$2:$B$34,"-",0,1)</f>
        <v>OPPO A93</v>
      </c>
      <c r="D288" t="str">
        <f>_xlfn.XLOOKUP(C288,Phone_by_Sentiment!$B$2:$B$37,Phone_by_Sentiment!$A$2:$A$37,"-",0,1)</f>
        <v>2021-02</v>
      </c>
      <c r="E288" cm="1">
        <f t="array" ref="E288">IF($Q288&gt;=0,IFERROR(generateSalesData($D288, IF(ISNUMBER(_xlfn.XLOOKUP($C288,Phone_by_Sentiment!$B$2:$B$37,Phone_by_Sentiment!E$2:E$37,"",0,1)),_xlfn.XLOOKUP($C288,Phone_by_Sentiment!$B$2:$B$37,Phone_by_Sentiment!E$2:E$37,"",0,1),0),$A288-TEXT(DATEVALUE($D288&amp;"-01"), "dd-mm-yyyy")),0),0)</f>
        <v>0</v>
      </c>
      <c r="F288" cm="1">
        <f t="array" ref="F288">IF($Q288&gt;=0,IFERROR(generateSalesData($D288, IF(ISNUMBER(_xlfn.XLOOKUP($C288,Phone_by_Sentiment!$B$2:$B$37,Phone_by_Sentiment!F$2:F$37,"",0,1)),_xlfn.XLOOKUP($C288,Phone_by_Sentiment!$B$2:$B$37,Phone_by_Sentiment!F$2:F$37,"",0,1),0),$A288-TEXT(DATEVALUE($D288&amp;"-01"), "dd-mm-yyyy")),0),0)</f>
        <v>0</v>
      </c>
      <c r="G288" cm="1">
        <f t="array" ref="G288">IF($Q288&gt;=0,IFERROR(generateSalesData($D288, IF(ISNUMBER(_xlfn.XLOOKUP($C288,Phone_by_Sentiment!$B$2:$B$37,Phone_by_Sentiment!G$2:G$37,"",0,1)),_xlfn.XLOOKUP($C288,Phone_by_Sentiment!$B$2:$B$37,Phone_by_Sentiment!G$2:G$37,"",0,1),0),$A288-TEXT(DATEVALUE($D288&amp;"-01"), "dd-mm-yyyy")),0),0)</f>
        <v>0</v>
      </c>
      <c r="H288" cm="1">
        <f t="array" ref="H288">IF($Q288&gt;=0,IFERROR(generateSalesData($D288, IF(ISNUMBER(_xlfn.XLOOKUP($C288,Phone_by_Sentiment!$B$2:$B$37,Phone_by_Sentiment!H$2:H$37,"",0,1)),_xlfn.XLOOKUP($C288,Phone_by_Sentiment!$B$2:$B$37,Phone_by_Sentiment!H$2:H$37,"",0,1),0),$A288-TEXT(DATEVALUE($D288&amp;"-01"), "dd-mm-yyyy")),0),0)</f>
        <v>0</v>
      </c>
      <c r="I288" cm="1">
        <f t="array" ref="I288">IF($Q288&gt;=0,IFERROR(generateSalesData($D288, IF(ISNUMBER(_xlfn.XLOOKUP($C288,Phone_by_Sentiment!$B$2:$B$37,Phone_by_Sentiment!I$2:I$37,"",0,1)),_xlfn.XLOOKUP($C288,Phone_by_Sentiment!$B$2:$B$37,Phone_by_Sentiment!I$2:I$37,"",0,1),0),$A288-TEXT(DATEVALUE($D288&amp;"-01"), "dd-mm-yyyy")),0),0)</f>
        <v>0</v>
      </c>
      <c r="J288" cm="1">
        <f t="array" ref="J288">IF($Q288&gt;=0,IFERROR(generateSalesData($D288, IF(ISNUMBER(_xlfn.XLOOKUP($C288,Phone_by_Sentiment!$B$2:$B$37,Phone_by_Sentiment!J$2:J$37,"",0,1)),_xlfn.XLOOKUP($C288,Phone_by_Sentiment!$B$2:$B$37,Phone_by_Sentiment!J$2:J$37,"",0,1),0),$A288-TEXT(DATEVALUE($D288&amp;"-01"), "dd-mm-yyyy")),0),0)</f>
        <v>0</v>
      </c>
      <c r="K288" cm="1">
        <f t="array" ref="K288">IF($Q288&gt;=0,IFERROR(generateSalesData($D288, IF(ISNUMBER(_xlfn.XLOOKUP($C288,Phone_by_Sentiment!$B$2:$B$37,Phone_by_Sentiment!K$2:K$37,"",0,1)),_xlfn.XLOOKUP($C288,Phone_by_Sentiment!$B$2:$B$37,Phone_by_Sentiment!K$2:K$37,"",0,1),0),$A288-TEXT(DATEVALUE($D288&amp;"-01"), "dd-mm-yyyy")),0),0)</f>
        <v>0</v>
      </c>
      <c r="L288" cm="1">
        <f t="array" ref="L288">IF($Q288&gt;=0,IFERROR(generateSalesData($D288, IF(ISNUMBER(_xlfn.XLOOKUP($C288,Phone_by_Sentiment!$B$2:$B$37,Phone_by_Sentiment!L$2:L$37,"",0,1)),_xlfn.XLOOKUP($C288,Phone_by_Sentiment!$B$2:$B$37,Phone_by_Sentiment!L$2:L$37,"",0,1),0),$A288-TEXT(DATEVALUE($D288&amp;"-01"), "dd-mm-yyyy")),0),0)</f>
        <v>0</v>
      </c>
      <c r="M288" cm="1">
        <f t="array" ref="M288">IF($Q288&gt;=0,IFERROR(generateSalesData($D288, IF(ISNUMBER(_xlfn.XLOOKUP($C288,Phone_by_Sentiment!$B$2:$B$37,Phone_by_Sentiment!M$2:M$37,"",0,1)),_xlfn.XLOOKUP($C288,Phone_by_Sentiment!$B$2:$B$37,Phone_by_Sentiment!M$2:M$37,"",0,1),0),$A288-TEXT(DATEVALUE($D288&amp;"-01"), "dd-mm-yyyy")),0),0)</f>
        <v>0</v>
      </c>
      <c r="N288" cm="1">
        <f t="array" ref="N288">IF($Q288&gt;=0,IFERROR(generateSalesData($D288, IF(ISNUMBER(_xlfn.XLOOKUP($C288,Phone_by_Sentiment!$B$2:$B$37,Phone_by_Sentiment!N$2:N$37,"",0,1)),_xlfn.XLOOKUP($C288,Phone_by_Sentiment!$B$2:$B$37,Phone_by_Sentiment!N$2:N$37,"",0,1),0),$A288-TEXT(DATEVALUE($D288&amp;"-01"), "dd-mm-yyyy")),0),0)</f>
        <v>0</v>
      </c>
      <c r="O288" cm="1">
        <f t="array" ref="O288">IF($Q288&gt;=0,IFERROR(generateSalesData($D288, IF(ISNUMBER(_xlfn.XLOOKUP($C288,Phone_by_Sentiment!$B$2:$B$37,Phone_by_Sentiment!O$2:O$37,"",0,1)),_xlfn.XLOOKUP($C288,Phone_by_Sentiment!$B$2:$B$37,Phone_by_Sentiment!O$2:O$37,"",0,1),0),$A288-TEXT(DATEVALUE($D288&amp;"-01"), "dd-mm-yyyy")),0),0)</f>
        <v>0</v>
      </c>
      <c r="P288" s="1">
        <f t="shared" si="10"/>
        <v>44228</v>
      </c>
      <c r="Q288">
        <f t="shared" si="11"/>
        <v>-519</v>
      </c>
    </row>
    <row r="289" spans="1:17" x14ac:dyDescent="0.25">
      <c r="A289" s="1">
        <f t="shared" si="9"/>
        <v>43709</v>
      </c>
      <c r="B289" t="s">
        <v>164</v>
      </c>
      <c r="C289" t="str">
        <f>_xlfn.XLOOKUP(B289,Phone_by_Price!$A$2:$A$34,Phone_by_Price!$B$2:$B$34,"-",0,1)</f>
        <v>Vivo V20</v>
      </c>
      <c r="D289" t="str">
        <f>_xlfn.XLOOKUP(C289,Phone_by_Sentiment!$B$2:$B$37,Phone_by_Sentiment!$A$2:$A$37,"-",0,1)</f>
        <v>2020-10</v>
      </c>
      <c r="E289" cm="1">
        <f t="array" ref="E289">IF($Q289&gt;=0,IFERROR(generateSalesData($D289, IF(ISNUMBER(_xlfn.XLOOKUP($C289,Phone_by_Sentiment!$B$2:$B$37,Phone_by_Sentiment!E$2:E$37,"",0,1)),_xlfn.XLOOKUP($C289,Phone_by_Sentiment!$B$2:$B$37,Phone_by_Sentiment!E$2:E$37,"",0,1),0),$A289-TEXT(DATEVALUE($D289&amp;"-01"), "dd-mm-yyyy")),0),0)</f>
        <v>0</v>
      </c>
      <c r="F289" cm="1">
        <f t="array" ref="F289">IF($Q289&gt;=0,IFERROR(generateSalesData($D289, IF(ISNUMBER(_xlfn.XLOOKUP($C289,Phone_by_Sentiment!$B$2:$B$37,Phone_by_Sentiment!F$2:F$37,"",0,1)),_xlfn.XLOOKUP($C289,Phone_by_Sentiment!$B$2:$B$37,Phone_by_Sentiment!F$2:F$37,"",0,1),0),$A289-TEXT(DATEVALUE($D289&amp;"-01"), "dd-mm-yyyy")),0),0)</f>
        <v>0</v>
      </c>
      <c r="G289" cm="1">
        <f t="array" ref="G289">IF($Q289&gt;=0,IFERROR(generateSalesData($D289, IF(ISNUMBER(_xlfn.XLOOKUP($C289,Phone_by_Sentiment!$B$2:$B$37,Phone_by_Sentiment!G$2:G$37,"",0,1)),_xlfn.XLOOKUP($C289,Phone_by_Sentiment!$B$2:$B$37,Phone_by_Sentiment!G$2:G$37,"",0,1),0),$A289-TEXT(DATEVALUE($D289&amp;"-01"), "dd-mm-yyyy")),0),0)</f>
        <v>0</v>
      </c>
      <c r="H289" cm="1">
        <f t="array" ref="H289">IF($Q289&gt;=0,IFERROR(generateSalesData($D289, IF(ISNUMBER(_xlfn.XLOOKUP($C289,Phone_by_Sentiment!$B$2:$B$37,Phone_by_Sentiment!H$2:H$37,"",0,1)),_xlfn.XLOOKUP($C289,Phone_by_Sentiment!$B$2:$B$37,Phone_by_Sentiment!H$2:H$37,"",0,1),0),$A289-TEXT(DATEVALUE($D289&amp;"-01"), "dd-mm-yyyy")),0),0)</f>
        <v>0</v>
      </c>
      <c r="I289" cm="1">
        <f t="array" ref="I289">IF($Q289&gt;=0,IFERROR(generateSalesData($D289, IF(ISNUMBER(_xlfn.XLOOKUP($C289,Phone_by_Sentiment!$B$2:$B$37,Phone_by_Sentiment!I$2:I$37,"",0,1)),_xlfn.XLOOKUP($C289,Phone_by_Sentiment!$B$2:$B$37,Phone_by_Sentiment!I$2:I$37,"",0,1),0),$A289-TEXT(DATEVALUE($D289&amp;"-01"), "dd-mm-yyyy")),0),0)</f>
        <v>0</v>
      </c>
      <c r="J289" cm="1">
        <f t="array" ref="J289">IF($Q289&gt;=0,IFERROR(generateSalesData($D289, IF(ISNUMBER(_xlfn.XLOOKUP($C289,Phone_by_Sentiment!$B$2:$B$37,Phone_by_Sentiment!J$2:J$37,"",0,1)),_xlfn.XLOOKUP($C289,Phone_by_Sentiment!$B$2:$B$37,Phone_by_Sentiment!J$2:J$37,"",0,1),0),$A289-TEXT(DATEVALUE($D289&amp;"-01"), "dd-mm-yyyy")),0),0)</f>
        <v>0</v>
      </c>
      <c r="K289" cm="1">
        <f t="array" ref="K289">IF($Q289&gt;=0,IFERROR(generateSalesData($D289, IF(ISNUMBER(_xlfn.XLOOKUP($C289,Phone_by_Sentiment!$B$2:$B$37,Phone_by_Sentiment!K$2:K$37,"",0,1)),_xlfn.XLOOKUP($C289,Phone_by_Sentiment!$B$2:$B$37,Phone_by_Sentiment!K$2:K$37,"",0,1),0),$A289-TEXT(DATEVALUE($D289&amp;"-01"), "dd-mm-yyyy")),0),0)</f>
        <v>0</v>
      </c>
      <c r="L289" cm="1">
        <f t="array" ref="L289">IF($Q289&gt;=0,IFERROR(generateSalesData($D289, IF(ISNUMBER(_xlfn.XLOOKUP($C289,Phone_by_Sentiment!$B$2:$B$37,Phone_by_Sentiment!L$2:L$37,"",0,1)),_xlfn.XLOOKUP($C289,Phone_by_Sentiment!$B$2:$B$37,Phone_by_Sentiment!L$2:L$37,"",0,1),0),$A289-TEXT(DATEVALUE($D289&amp;"-01"), "dd-mm-yyyy")),0),0)</f>
        <v>0</v>
      </c>
      <c r="M289" cm="1">
        <f t="array" ref="M289">IF($Q289&gt;=0,IFERROR(generateSalesData($D289, IF(ISNUMBER(_xlfn.XLOOKUP($C289,Phone_by_Sentiment!$B$2:$B$37,Phone_by_Sentiment!M$2:M$37,"",0,1)),_xlfn.XLOOKUP($C289,Phone_by_Sentiment!$B$2:$B$37,Phone_by_Sentiment!M$2:M$37,"",0,1),0),$A289-TEXT(DATEVALUE($D289&amp;"-01"), "dd-mm-yyyy")),0),0)</f>
        <v>0</v>
      </c>
      <c r="N289" cm="1">
        <f t="array" ref="N289">IF($Q289&gt;=0,IFERROR(generateSalesData($D289, IF(ISNUMBER(_xlfn.XLOOKUP($C289,Phone_by_Sentiment!$B$2:$B$37,Phone_by_Sentiment!N$2:N$37,"",0,1)),_xlfn.XLOOKUP($C289,Phone_by_Sentiment!$B$2:$B$37,Phone_by_Sentiment!N$2:N$37,"",0,1),0),$A289-TEXT(DATEVALUE($D289&amp;"-01"), "dd-mm-yyyy")),0),0)</f>
        <v>0</v>
      </c>
      <c r="O289" cm="1">
        <f t="array" ref="O289">IF($Q289&gt;=0,IFERROR(generateSalesData($D289, IF(ISNUMBER(_xlfn.XLOOKUP($C289,Phone_by_Sentiment!$B$2:$B$37,Phone_by_Sentiment!O$2:O$37,"",0,1)),_xlfn.XLOOKUP($C289,Phone_by_Sentiment!$B$2:$B$37,Phone_by_Sentiment!O$2:O$37,"",0,1),0),$A289-TEXT(DATEVALUE($D289&amp;"-01"), "dd-mm-yyyy")),0),0)</f>
        <v>0</v>
      </c>
      <c r="P289" s="1">
        <f t="shared" si="10"/>
        <v>44105</v>
      </c>
      <c r="Q289">
        <f t="shared" si="11"/>
        <v>-396</v>
      </c>
    </row>
    <row r="290" spans="1:17" x14ac:dyDescent="0.25">
      <c r="A290" s="1">
        <f t="shared" si="9"/>
        <v>43709</v>
      </c>
      <c r="B290" t="s">
        <v>165</v>
      </c>
      <c r="C290" t="str">
        <f>_xlfn.XLOOKUP(B290,Phone_by_Price!$A$2:$A$34,Phone_by_Price!$B$2:$B$34,"-",0,1)</f>
        <v>Samsung Galaxy A50</v>
      </c>
      <c r="D290" t="str">
        <f>_xlfn.XLOOKUP(C290,Phone_by_Sentiment!$B$2:$B$37,Phone_by_Sentiment!$A$2:$A$37,"-",0,1)</f>
        <v>2019-05</v>
      </c>
      <c r="E290" cm="1">
        <f t="array" ref="E290">IF($Q290&gt;=0,IFERROR(generateSalesData($D290, IF(ISNUMBER(_xlfn.XLOOKUP($C290,Phone_by_Sentiment!$B$2:$B$37,Phone_by_Sentiment!E$2:E$37,"",0,1)),_xlfn.XLOOKUP($C290,Phone_by_Sentiment!$B$2:$B$37,Phone_by_Sentiment!E$2:E$37,"",0,1),0),$A290-TEXT(DATEVALUE($D290&amp;"-01"), "dd-mm-yyyy")),0),0)</f>
        <v>3600</v>
      </c>
      <c r="F290" cm="1">
        <f t="array" ref="F290">IF($Q290&gt;=0,IFERROR(generateSalesData($D290, IF(ISNUMBER(_xlfn.XLOOKUP($C290,Phone_by_Sentiment!$B$2:$B$37,Phone_by_Sentiment!F$2:F$37,"",0,1)),_xlfn.XLOOKUP($C290,Phone_by_Sentiment!$B$2:$B$37,Phone_by_Sentiment!F$2:F$37,"",0,1),0),$A290-TEXT(DATEVALUE($D290&amp;"-01"), "dd-mm-yyyy")),0),0)</f>
        <v>221</v>
      </c>
      <c r="G290" cm="1">
        <f t="array" ref="G290">IF($Q290&gt;=0,IFERROR(generateSalesData($D290, IF(ISNUMBER(_xlfn.XLOOKUP($C290,Phone_by_Sentiment!$B$2:$B$37,Phone_by_Sentiment!G$2:G$37,"",0,1)),_xlfn.XLOOKUP($C290,Phone_by_Sentiment!$B$2:$B$37,Phone_by_Sentiment!G$2:G$37,"",0,1),0),$A290-TEXT(DATEVALUE($D290&amp;"-01"), "dd-mm-yyyy")),0),0)</f>
        <v>362</v>
      </c>
      <c r="H290" cm="1">
        <f t="array" ref="H290">IF($Q290&gt;=0,IFERROR(generateSalesData($D290, IF(ISNUMBER(_xlfn.XLOOKUP($C290,Phone_by_Sentiment!$B$2:$B$37,Phone_by_Sentiment!H$2:H$37,"",0,1)),_xlfn.XLOOKUP($C290,Phone_by_Sentiment!$B$2:$B$37,Phone_by_Sentiment!H$2:H$37,"",0,1),0),$A290-TEXT(DATEVALUE($D290&amp;"-01"), "dd-mm-yyyy")),0),0)</f>
        <v>2004</v>
      </c>
      <c r="I290" cm="1">
        <f t="array" ref="I290">IF($Q290&gt;=0,IFERROR(generateSalesData($D290, IF(ISNUMBER(_xlfn.XLOOKUP($C290,Phone_by_Sentiment!$B$2:$B$37,Phone_by_Sentiment!I$2:I$37,"",0,1)),_xlfn.XLOOKUP($C290,Phone_by_Sentiment!$B$2:$B$37,Phone_by_Sentiment!I$2:I$37,"",0,1),0),$A290-TEXT(DATEVALUE($D290&amp;"-01"), "dd-mm-yyyy")),0),0)</f>
        <v>970</v>
      </c>
      <c r="J290" cm="1">
        <f t="array" ref="J290">IF($Q290&gt;=0,IFERROR(generateSalesData($D290, IF(ISNUMBER(_xlfn.XLOOKUP($C290,Phone_by_Sentiment!$B$2:$B$37,Phone_by_Sentiment!J$2:J$37,"",0,1)),_xlfn.XLOOKUP($C290,Phone_by_Sentiment!$B$2:$B$37,Phone_by_Sentiment!J$2:J$37,"",0,1),0),$A290-TEXT(DATEVALUE($D290&amp;"-01"), "dd-mm-yyyy")),0),0)</f>
        <v>367</v>
      </c>
      <c r="K290" cm="1">
        <f t="array" ref="K290">IF($Q290&gt;=0,IFERROR(generateSalesData($D290, IF(ISNUMBER(_xlfn.XLOOKUP($C290,Phone_by_Sentiment!$B$2:$B$37,Phone_by_Sentiment!K$2:K$37,"",0,1)),_xlfn.XLOOKUP($C290,Phone_by_Sentiment!$B$2:$B$37,Phone_by_Sentiment!K$2:K$37,"",0,1),0),$A290-TEXT(DATEVALUE($D290&amp;"-01"), "dd-mm-yyyy")),0),0)</f>
        <v>681</v>
      </c>
      <c r="L290" cm="1">
        <f t="array" ref="L290">IF($Q290&gt;=0,IFERROR(generateSalesData($D290, IF(ISNUMBER(_xlfn.XLOOKUP($C290,Phone_by_Sentiment!$B$2:$B$37,Phone_by_Sentiment!L$2:L$37,"",0,1)),_xlfn.XLOOKUP($C290,Phone_by_Sentiment!$B$2:$B$37,Phone_by_Sentiment!L$2:L$37,"",0,1),0),$A290-TEXT(DATEVALUE($D290&amp;"-01"), "dd-mm-yyyy")),0),0)</f>
        <v>2619</v>
      </c>
      <c r="M290" cm="1">
        <f t="array" ref="M290">IF($Q290&gt;=0,IFERROR(generateSalesData($D290, IF(ISNUMBER(_xlfn.XLOOKUP($C290,Phone_by_Sentiment!$B$2:$B$37,Phone_by_Sentiment!M$2:M$37,"",0,1)),_xlfn.XLOOKUP($C290,Phone_by_Sentiment!$B$2:$B$37,Phone_by_Sentiment!M$2:M$37,"",0,1),0),$A290-TEXT(DATEVALUE($D290&amp;"-01"), "dd-mm-yyyy")),0),0)</f>
        <v>308</v>
      </c>
      <c r="N290" cm="1">
        <f t="array" ref="N290">IF($Q290&gt;=0,IFERROR(generateSalesData($D290, IF(ISNUMBER(_xlfn.XLOOKUP($C290,Phone_by_Sentiment!$B$2:$B$37,Phone_by_Sentiment!N$2:N$37,"",0,1)),_xlfn.XLOOKUP($C290,Phone_by_Sentiment!$B$2:$B$37,Phone_by_Sentiment!N$2:N$37,"",0,1),0),$A290-TEXT(DATEVALUE($D290&amp;"-01"), "dd-mm-yyyy")),0),0)</f>
        <v>2140</v>
      </c>
      <c r="O290" cm="1">
        <f t="array" ref="O290">IF($Q290&gt;=0,IFERROR(generateSalesData($D290, IF(ISNUMBER(_xlfn.XLOOKUP($C290,Phone_by_Sentiment!$B$2:$B$37,Phone_by_Sentiment!O$2:O$37,"",0,1)),_xlfn.XLOOKUP($C290,Phone_by_Sentiment!$B$2:$B$37,Phone_by_Sentiment!O$2:O$37,"",0,1),0),$A290-TEXT(DATEVALUE($D290&amp;"-01"), "dd-mm-yyyy")),0),0)</f>
        <v>1768</v>
      </c>
      <c r="P290" s="1">
        <f t="shared" si="10"/>
        <v>43586</v>
      </c>
      <c r="Q290">
        <f t="shared" si="11"/>
        <v>123</v>
      </c>
    </row>
    <row r="291" spans="1:17" x14ac:dyDescent="0.25">
      <c r="A291" s="1">
        <f t="shared" si="9"/>
        <v>43709</v>
      </c>
      <c r="B291" t="s">
        <v>166</v>
      </c>
      <c r="C291" t="str">
        <f>_xlfn.XLOOKUP(B291,Phone_by_Price!$A$2:$A$34,Phone_by_Price!$B$2:$B$34,"-",0,1)</f>
        <v>Xiaomi Redmi Note 7</v>
      </c>
      <c r="D291" t="str">
        <f>_xlfn.XLOOKUP(C291,Phone_by_Sentiment!$B$2:$B$37,Phone_by_Sentiment!$A$2:$A$37,"-",0,1)</f>
        <v>2019-08</v>
      </c>
      <c r="E291" cm="1">
        <f t="array" ref="E291">IF($Q291&gt;=0,IFERROR(generateSalesData($D291, IF(ISNUMBER(_xlfn.XLOOKUP($C291,Phone_by_Sentiment!$B$2:$B$37,Phone_by_Sentiment!E$2:E$37,"",0,1)),_xlfn.XLOOKUP($C291,Phone_by_Sentiment!$B$2:$B$37,Phone_by_Sentiment!E$2:E$37,"",0,1),0),$A291-TEXT(DATEVALUE($D291&amp;"-01"), "dd-mm-yyyy")),0),0)</f>
        <v>2827</v>
      </c>
      <c r="F291" cm="1">
        <f t="array" ref="F291">IF($Q291&gt;=0,IFERROR(generateSalesData($D291, IF(ISNUMBER(_xlfn.XLOOKUP($C291,Phone_by_Sentiment!$B$2:$B$37,Phone_by_Sentiment!F$2:F$37,"",0,1)),_xlfn.XLOOKUP($C291,Phone_by_Sentiment!$B$2:$B$37,Phone_by_Sentiment!F$2:F$37,"",0,1),0),$A291-TEXT(DATEVALUE($D291&amp;"-01"), "dd-mm-yyyy")),0),0)</f>
        <v>1453</v>
      </c>
      <c r="G291" cm="1">
        <f t="array" ref="G291">IF($Q291&gt;=0,IFERROR(generateSalesData($D291, IF(ISNUMBER(_xlfn.XLOOKUP($C291,Phone_by_Sentiment!$B$2:$B$37,Phone_by_Sentiment!G$2:G$37,"",0,1)),_xlfn.XLOOKUP($C291,Phone_by_Sentiment!$B$2:$B$37,Phone_by_Sentiment!G$2:G$37,"",0,1),0),$A291-TEXT(DATEVALUE($D291&amp;"-01"), "dd-mm-yyyy")),0),0)</f>
        <v>3154</v>
      </c>
      <c r="H291" cm="1">
        <f t="array" ref="H291">IF($Q291&gt;=0,IFERROR(generateSalesData($D291, IF(ISNUMBER(_xlfn.XLOOKUP($C291,Phone_by_Sentiment!$B$2:$B$37,Phone_by_Sentiment!H$2:H$37,"",0,1)),_xlfn.XLOOKUP($C291,Phone_by_Sentiment!$B$2:$B$37,Phone_by_Sentiment!H$2:H$37,"",0,1),0),$A291-TEXT(DATEVALUE($D291&amp;"-01"), "dd-mm-yyyy")),0),0)</f>
        <v>9664</v>
      </c>
      <c r="I291" cm="1">
        <f t="array" ref="I291">IF($Q291&gt;=0,IFERROR(generateSalesData($D291, IF(ISNUMBER(_xlfn.XLOOKUP($C291,Phone_by_Sentiment!$B$2:$B$37,Phone_by_Sentiment!I$2:I$37,"",0,1)),_xlfn.XLOOKUP($C291,Phone_by_Sentiment!$B$2:$B$37,Phone_by_Sentiment!I$2:I$37,"",0,1),0),$A291-TEXT(DATEVALUE($D291&amp;"-01"), "dd-mm-yyyy")),0),0)</f>
        <v>764</v>
      </c>
      <c r="J291" cm="1">
        <f t="array" ref="J291">IF($Q291&gt;=0,IFERROR(generateSalesData($D291, IF(ISNUMBER(_xlfn.XLOOKUP($C291,Phone_by_Sentiment!$B$2:$B$37,Phone_by_Sentiment!J$2:J$37,"",0,1)),_xlfn.XLOOKUP($C291,Phone_by_Sentiment!$B$2:$B$37,Phone_by_Sentiment!J$2:J$37,"",0,1),0),$A291-TEXT(DATEVALUE($D291&amp;"-01"), "dd-mm-yyyy")),0),0)</f>
        <v>1312</v>
      </c>
      <c r="K291" cm="1">
        <f t="array" ref="K291">IF($Q291&gt;=0,IFERROR(generateSalesData($D291, IF(ISNUMBER(_xlfn.XLOOKUP($C291,Phone_by_Sentiment!$B$2:$B$37,Phone_by_Sentiment!K$2:K$37,"",0,1)),_xlfn.XLOOKUP($C291,Phone_by_Sentiment!$B$2:$B$37,Phone_by_Sentiment!K$2:K$37,"",0,1),0),$A291-TEXT(DATEVALUE($D291&amp;"-01"), "dd-mm-yyyy")),0),0)</f>
        <v>7532</v>
      </c>
      <c r="L291" cm="1">
        <f t="array" ref="L291">IF($Q291&gt;=0,IFERROR(generateSalesData($D291, IF(ISNUMBER(_xlfn.XLOOKUP($C291,Phone_by_Sentiment!$B$2:$B$37,Phone_by_Sentiment!L$2:L$37,"",0,1)),_xlfn.XLOOKUP($C291,Phone_by_Sentiment!$B$2:$B$37,Phone_by_Sentiment!L$2:L$37,"",0,1),0),$A291-TEXT(DATEVALUE($D291&amp;"-01"), "dd-mm-yyyy")),0),0)</f>
        <v>926</v>
      </c>
      <c r="M291" cm="1">
        <f t="array" ref="M291">IF($Q291&gt;=0,IFERROR(generateSalesData($D291, IF(ISNUMBER(_xlfn.XLOOKUP($C291,Phone_by_Sentiment!$B$2:$B$37,Phone_by_Sentiment!M$2:M$37,"",0,1)),_xlfn.XLOOKUP($C291,Phone_by_Sentiment!$B$2:$B$37,Phone_by_Sentiment!M$2:M$37,"",0,1),0),$A291-TEXT(DATEVALUE($D291&amp;"-01"), "dd-mm-yyyy")),0),0)</f>
        <v>9632</v>
      </c>
      <c r="N291" cm="1">
        <f t="array" ref="N291">IF($Q291&gt;=0,IFERROR(generateSalesData($D291, IF(ISNUMBER(_xlfn.XLOOKUP($C291,Phone_by_Sentiment!$B$2:$B$37,Phone_by_Sentiment!N$2:N$37,"",0,1)),_xlfn.XLOOKUP($C291,Phone_by_Sentiment!$B$2:$B$37,Phone_by_Sentiment!N$2:N$37,"",0,1),0),$A291-TEXT(DATEVALUE($D291&amp;"-01"), "dd-mm-yyyy")),0),0)</f>
        <v>1663</v>
      </c>
      <c r="O291" cm="1">
        <f t="array" ref="O291">IF($Q291&gt;=0,IFERROR(generateSalesData($D291, IF(ISNUMBER(_xlfn.XLOOKUP($C291,Phone_by_Sentiment!$B$2:$B$37,Phone_by_Sentiment!O$2:O$37,"",0,1)),_xlfn.XLOOKUP($C291,Phone_by_Sentiment!$B$2:$B$37,Phone_by_Sentiment!O$2:O$37,"",0,1),0),$A291-TEXT(DATEVALUE($D291&amp;"-01"), "dd-mm-yyyy")),0),0)</f>
        <v>-595</v>
      </c>
      <c r="P291" s="1">
        <f t="shared" si="10"/>
        <v>43678</v>
      </c>
      <c r="Q291">
        <f t="shared" si="11"/>
        <v>31</v>
      </c>
    </row>
    <row r="292" spans="1:17" x14ac:dyDescent="0.25">
      <c r="A292" s="1">
        <f t="shared" si="9"/>
        <v>43709</v>
      </c>
      <c r="B292" t="s">
        <v>167</v>
      </c>
      <c r="C292" t="str">
        <f>_xlfn.XLOOKUP(B292,Phone_by_Price!$A$2:$A$34,Phone_by_Price!$B$2:$B$34,"-",0,1)</f>
        <v>Realme C21</v>
      </c>
      <c r="D292" t="str">
        <f>_xlfn.XLOOKUP(C292,Phone_by_Sentiment!$B$2:$B$37,Phone_by_Sentiment!$A$2:$A$37,"-",0,1)</f>
        <v>2021-04</v>
      </c>
      <c r="E292" cm="1">
        <f t="array" ref="E292">IF($Q292&gt;=0,IFERROR(generateSalesData($D292, IF(ISNUMBER(_xlfn.XLOOKUP($C292,Phone_by_Sentiment!$B$2:$B$37,Phone_by_Sentiment!E$2:E$37,"",0,1)),_xlfn.XLOOKUP($C292,Phone_by_Sentiment!$B$2:$B$37,Phone_by_Sentiment!E$2:E$37,"",0,1),0),$A292-TEXT(DATEVALUE($D292&amp;"-01"), "dd-mm-yyyy")),0),0)</f>
        <v>0</v>
      </c>
      <c r="F292" cm="1">
        <f t="array" ref="F292">IF($Q292&gt;=0,IFERROR(generateSalesData($D292, IF(ISNUMBER(_xlfn.XLOOKUP($C292,Phone_by_Sentiment!$B$2:$B$37,Phone_by_Sentiment!F$2:F$37,"",0,1)),_xlfn.XLOOKUP($C292,Phone_by_Sentiment!$B$2:$B$37,Phone_by_Sentiment!F$2:F$37,"",0,1),0),$A292-TEXT(DATEVALUE($D292&amp;"-01"), "dd-mm-yyyy")),0),0)</f>
        <v>0</v>
      </c>
      <c r="G292" cm="1">
        <f t="array" ref="G292">IF($Q292&gt;=0,IFERROR(generateSalesData($D292, IF(ISNUMBER(_xlfn.XLOOKUP($C292,Phone_by_Sentiment!$B$2:$B$37,Phone_by_Sentiment!G$2:G$37,"",0,1)),_xlfn.XLOOKUP($C292,Phone_by_Sentiment!$B$2:$B$37,Phone_by_Sentiment!G$2:G$37,"",0,1),0),$A292-TEXT(DATEVALUE($D292&amp;"-01"), "dd-mm-yyyy")),0),0)</f>
        <v>0</v>
      </c>
      <c r="H292" cm="1">
        <f t="array" ref="H292">IF($Q292&gt;=0,IFERROR(generateSalesData($D292, IF(ISNUMBER(_xlfn.XLOOKUP($C292,Phone_by_Sentiment!$B$2:$B$37,Phone_by_Sentiment!H$2:H$37,"",0,1)),_xlfn.XLOOKUP($C292,Phone_by_Sentiment!$B$2:$B$37,Phone_by_Sentiment!H$2:H$37,"",0,1),0),$A292-TEXT(DATEVALUE($D292&amp;"-01"), "dd-mm-yyyy")),0),0)</f>
        <v>0</v>
      </c>
      <c r="I292" cm="1">
        <f t="array" ref="I292">IF($Q292&gt;=0,IFERROR(generateSalesData($D292, IF(ISNUMBER(_xlfn.XLOOKUP($C292,Phone_by_Sentiment!$B$2:$B$37,Phone_by_Sentiment!I$2:I$37,"",0,1)),_xlfn.XLOOKUP($C292,Phone_by_Sentiment!$B$2:$B$37,Phone_by_Sentiment!I$2:I$37,"",0,1),0),$A292-TEXT(DATEVALUE($D292&amp;"-01"), "dd-mm-yyyy")),0),0)</f>
        <v>0</v>
      </c>
      <c r="J292" cm="1">
        <f t="array" ref="J292">IF($Q292&gt;=0,IFERROR(generateSalesData($D292, IF(ISNUMBER(_xlfn.XLOOKUP($C292,Phone_by_Sentiment!$B$2:$B$37,Phone_by_Sentiment!J$2:J$37,"",0,1)),_xlfn.XLOOKUP($C292,Phone_by_Sentiment!$B$2:$B$37,Phone_by_Sentiment!J$2:J$37,"",0,1),0),$A292-TEXT(DATEVALUE($D292&amp;"-01"), "dd-mm-yyyy")),0),0)</f>
        <v>0</v>
      </c>
      <c r="K292" cm="1">
        <f t="array" ref="K292">IF($Q292&gt;=0,IFERROR(generateSalesData($D292, IF(ISNUMBER(_xlfn.XLOOKUP($C292,Phone_by_Sentiment!$B$2:$B$37,Phone_by_Sentiment!K$2:K$37,"",0,1)),_xlfn.XLOOKUP($C292,Phone_by_Sentiment!$B$2:$B$37,Phone_by_Sentiment!K$2:K$37,"",0,1),0),$A292-TEXT(DATEVALUE($D292&amp;"-01"), "dd-mm-yyyy")),0),0)</f>
        <v>0</v>
      </c>
      <c r="L292" cm="1">
        <f t="array" ref="L292">IF($Q292&gt;=0,IFERROR(generateSalesData($D292, IF(ISNUMBER(_xlfn.XLOOKUP($C292,Phone_by_Sentiment!$B$2:$B$37,Phone_by_Sentiment!L$2:L$37,"",0,1)),_xlfn.XLOOKUP($C292,Phone_by_Sentiment!$B$2:$B$37,Phone_by_Sentiment!L$2:L$37,"",0,1),0),$A292-TEXT(DATEVALUE($D292&amp;"-01"), "dd-mm-yyyy")),0),0)</f>
        <v>0</v>
      </c>
      <c r="M292" cm="1">
        <f t="array" ref="M292">IF($Q292&gt;=0,IFERROR(generateSalesData($D292, IF(ISNUMBER(_xlfn.XLOOKUP($C292,Phone_by_Sentiment!$B$2:$B$37,Phone_by_Sentiment!M$2:M$37,"",0,1)),_xlfn.XLOOKUP($C292,Phone_by_Sentiment!$B$2:$B$37,Phone_by_Sentiment!M$2:M$37,"",0,1),0),$A292-TEXT(DATEVALUE($D292&amp;"-01"), "dd-mm-yyyy")),0),0)</f>
        <v>0</v>
      </c>
      <c r="N292" cm="1">
        <f t="array" ref="N292">IF($Q292&gt;=0,IFERROR(generateSalesData($D292, IF(ISNUMBER(_xlfn.XLOOKUP($C292,Phone_by_Sentiment!$B$2:$B$37,Phone_by_Sentiment!N$2:N$37,"",0,1)),_xlfn.XLOOKUP($C292,Phone_by_Sentiment!$B$2:$B$37,Phone_by_Sentiment!N$2:N$37,"",0,1),0),$A292-TEXT(DATEVALUE($D292&amp;"-01"), "dd-mm-yyyy")),0),0)</f>
        <v>0</v>
      </c>
      <c r="O292" cm="1">
        <f t="array" ref="O292">IF($Q292&gt;=0,IFERROR(generateSalesData($D292, IF(ISNUMBER(_xlfn.XLOOKUP($C292,Phone_by_Sentiment!$B$2:$B$37,Phone_by_Sentiment!O$2:O$37,"",0,1)),_xlfn.XLOOKUP($C292,Phone_by_Sentiment!$B$2:$B$37,Phone_by_Sentiment!O$2:O$37,"",0,1),0),$A292-TEXT(DATEVALUE($D292&amp;"-01"), "dd-mm-yyyy")),0),0)</f>
        <v>0</v>
      </c>
      <c r="P292" s="1">
        <f t="shared" si="10"/>
        <v>44287</v>
      </c>
      <c r="Q292">
        <f t="shared" si="11"/>
        <v>-578</v>
      </c>
    </row>
    <row r="293" spans="1:17" x14ac:dyDescent="0.25">
      <c r="A293" s="1">
        <f t="shared" si="9"/>
        <v>43709</v>
      </c>
      <c r="B293" t="s">
        <v>168</v>
      </c>
      <c r="C293" t="str">
        <f>_xlfn.XLOOKUP(B293,Phone_by_Price!$A$2:$A$34,Phone_by_Price!$B$2:$B$34,"-",0,1)</f>
        <v>Google Pixel 4</v>
      </c>
      <c r="D293" t="str">
        <f>_xlfn.XLOOKUP(C293,Phone_by_Sentiment!$B$2:$B$37,Phone_by_Sentiment!$A$2:$A$37,"-",0,1)</f>
        <v>2019-09</v>
      </c>
      <c r="E293" cm="1">
        <f t="array" ref="E293">IF($Q293&gt;=0,IFERROR(generateSalesData($D293, IF(ISNUMBER(_xlfn.XLOOKUP($C293,Phone_by_Sentiment!$B$2:$B$37,Phone_by_Sentiment!E$2:E$37,"",0,1)),_xlfn.XLOOKUP($C293,Phone_by_Sentiment!$B$2:$B$37,Phone_by_Sentiment!E$2:E$37,"",0,1),0),$A293-TEXT(DATEVALUE($D293&amp;"-01"), "dd-mm-yyyy")),0),0)</f>
        <v>9013</v>
      </c>
      <c r="F293" cm="1">
        <f t="array" ref="F293">IF($Q293&gt;=0,IFERROR(generateSalesData($D293, IF(ISNUMBER(_xlfn.XLOOKUP($C293,Phone_by_Sentiment!$B$2:$B$37,Phone_by_Sentiment!F$2:F$37,"",0,1)),_xlfn.XLOOKUP($C293,Phone_by_Sentiment!$B$2:$B$37,Phone_by_Sentiment!F$2:F$37,"",0,1),0),$A293-TEXT(DATEVALUE($D293&amp;"-01"), "dd-mm-yyyy")),0),0)</f>
        <v>-518</v>
      </c>
      <c r="G293" cm="1">
        <f t="array" ref="G293">IF($Q293&gt;=0,IFERROR(generateSalesData($D293, IF(ISNUMBER(_xlfn.XLOOKUP($C293,Phone_by_Sentiment!$B$2:$B$37,Phone_by_Sentiment!G$2:G$37,"",0,1)),_xlfn.XLOOKUP($C293,Phone_by_Sentiment!$B$2:$B$37,Phone_by_Sentiment!G$2:G$37,"",0,1),0),$A293-TEXT(DATEVALUE($D293&amp;"-01"), "dd-mm-yyyy")),0),0)</f>
        <v>1486</v>
      </c>
      <c r="H293" cm="1">
        <f t="array" ref="H293">IF($Q293&gt;=0,IFERROR(generateSalesData($D293, IF(ISNUMBER(_xlfn.XLOOKUP($C293,Phone_by_Sentiment!$B$2:$B$37,Phone_by_Sentiment!H$2:H$37,"",0,1)),_xlfn.XLOOKUP($C293,Phone_by_Sentiment!$B$2:$B$37,Phone_by_Sentiment!H$2:H$37,"",0,1),0),$A293-TEXT(DATEVALUE($D293&amp;"-01"), "dd-mm-yyyy")),0),0)</f>
        <v>1507</v>
      </c>
      <c r="I293" cm="1">
        <f t="array" ref="I293">IF($Q293&gt;=0,IFERROR(generateSalesData($D293, IF(ISNUMBER(_xlfn.XLOOKUP($C293,Phone_by_Sentiment!$B$2:$B$37,Phone_by_Sentiment!I$2:I$37,"",0,1)),_xlfn.XLOOKUP($C293,Phone_by_Sentiment!$B$2:$B$37,Phone_by_Sentiment!I$2:I$37,"",0,1),0),$A293-TEXT(DATEVALUE($D293&amp;"-01"), "dd-mm-yyyy")),0),0)</f>
        <v>2340</v>
      </c>
      <c r="J293" cm="1">
        <f t="array" ref="J293">IF($Q293&gt;=0,IFERROR(generateSalesData($D293, IF(ISNUMBER(_xlfn.XLOOKUP($C293,Phone_by_Sentiment!$B$2:$B$37,Phone_by_Sentiment!J$2:J$37,"",0,1)),_xlfn.XLOOKUP($C293,Phone_by_Sentiment!$B$2:$B$37,Phone_by_Sentiment!J$2:J$37,"",0,1),0),$A293-TEXT(DATEVALUE($D293&amp;"-01"), "dd-mm-yyyy")),0),0)</f>
        <v>2134</v>
      </c>
      <c r="K293" cm="1">
        <f t="array" ref="K293">IF($Q293&gt;=0,IFERROR(generateSalesData($D293, IF(ISNUMBER(_xlfn.XLOOKUP($C293,Phone_by_Sentiment!$B$2:$B$37,Phone_by_Sentiment!K$2:K$37,"",0,1)),_xlfn.XLOOKUP($C293,Phone_by_Sentiment!$B$2:$B$37,Phone_by_Sentiment!K$2:K$37,"",0,1),0),$A293-TEXT(DATEVALUE($D293&amp;"-01"), "dd-mm-yyyy")),0),0)</f>
        <v>3362</v>
      </c>
      <c r="L293" cm="1">
        <f t="array" ref="L293">IF($Q293&gt;=0,IFERROR(generateSalesData($D293, IF(ISNUMBER(_xlfn.XLOOKUP($C293,Phone_by_Sentiment!$B$2:$B$37,Phone_by_Sentiment!L$2:L$37,"",0,1)),_xlfn.XLOOKUP($C293,Phone_by_Sentiment!$B$2:$B$37,Phone_by_Sentiment!L$2:L$37,"",0,1),0),$A293-TEXT(DATEVALUE($D293&amp;"-01"), "dd-mm-yyyy")),0),0)</f>
        <v>8170</v>
      </c>
      <c r="M293" cm="1">
        <f t="array" ref="M293">IF($Q293&gt;=0,IFERROR(generateSalesData($D293, IF(ISNUMBER(_xlfn.XLOOKUP($C293,Phone_by_Sentiment!$B$2:$B$37,Phone_by_Sentiment!M$2:M$37,"",0,1)),_xlfn.XLOOKUP($C293,Phone_by_Sentiment!$B$2:$B$37,Phone_by_Sentiment!M$2:M$37,"",0,1),0),$A293-TEXT(DATEVALUE($D293&amp;"-01"), "dd-mm-yyyy")),0),0)</f>
        <v>1379</v>
      </c>
      <c r="N293" cm="1">
        <f t="array" ref="N293">IF($Q293&gt;=0,IFERROR(generateSalesData($D293, IF(ISNUMBER(_xlfn.XLOOKUP($C293,Phone_by_Sentiment!$B$2:$B$37,Phone_by_Sentiment!N$2:N$37,"",0,1)),_xlfn.XLOOKUP($C293,Phone_by_Sentiment!$B$2:$B$37,Phone_by_Sentiment!N$2:N$37,"",0,1),0),$A293-TEXT(DATEVALUE($D293&amp;"-01"), "dd-mm-yyyy")),0),0)</f>
        <v>12095</v>
      </c>
      <c r="O293" cm="1">
        <f t="array" ref="O293">IF($Q293&gt;=0,IFERROR(generateSalesData($D293, IF(ISNUMBER(_xlfn.XLOOKUP($C293,Phone_by_Sentiment!$B$2:$B$37,Phone_by_Sentiment!O$2:O$37,"",0,1)),_xlfn.XLOOKUP($C293,Phone_by_Sentiment!$B$2:$B$37,Phone_by_Sentiment!O$2:O$37,"",0,1),0),$A293-TEXT(DATEVALUE($D293&amp;"-01"), "dd-mm-yyyy")),0),0)</f>
        <v>2522</v>
      </c>
      <c r="P293" s="1">
        <f t="shared" si="10"/>
        <v>43709</v>
      </c>
      <c r="Q293">
        <f t="shared" si="11"/>
        <v>0</v>
      </c>
    </row>
    <row r="294" spans="1:17" x14ac:dyDescent="0.25">
      <c r="A294" s="1">
        <f t="shared" si="9"/>
        <v>43709</v>
      </c>
      <c r="B294" t="s">
        <v>169</v>
      </c>
      <c r="C294" t="str">
        <f>_xlfn.XLOOKUP(B294,Phone_by_Price!$A$2:$A$34,Phone_by_Price!$B$2:$B$34,"-",0,1)</f>
        <v>Samsung Galaxy A10s</v>
      </c>
      <c r="D294" t="str">
        <f>_xlfn.XLOOKUP(C294,Phone_by_Sentiment!$B$2:$B$37,Phone_by_Sentiment!$A$2:$A$37,"-",0,1)</f>
        <v>2019-08</v>
      </c>
      <c r="E294" cm="1">
        <f t="array" ref="E294">IF($Q294&gt;=0,IFERROR(generateSalesData($D294, IF(ISNUMBER(_xlfn.XLOOKUP($C294,Phone_by_Sentiment!$B$2:$B$37,Phone_by_Sentiment!E$2:E$37,"",0,1)),_xlfn.XLOOKUP($C294,Phone_by_Sentiment!$B$2:$B$37,Phone_by_Sentiment!E$2:E$37,"",0,1),0),$A294-TEXT(DATEVALUE($D294&amp;"-01"), "dd-mm-yyyy")),0),0)</f>
        <v>2284</v>
      </c>
      <c r="F294" cm="1">
        <f t="array" ref="F294">IF($Q294&gt;=0,IFERROR(generateSalesData($D294, IF(ISNUMBER(_xlfn.XLOOKUP($C294,Phone_by_Sentiment!$B$2:$B$37,Phone_by_Sentiment!F$2:F$37,"",0,1)),_xlfn.XLOOKUP($C294,Phone_by_Sentiment!$B$2:$B$37,Phone_by_Sentiment!F$2:F$37,"",0,1),0),$A294-TEXT(DATEVALUE($D294&amp;"-01"), "dd-mm-yyyy")),0),0)</f>
        <v>7025</v>
      </c>
      <c r="G294" cm="1">
        <f t="array" ref="G294">IF($Q294&gt;=0,IFERROR(generateSalesData($D294, IF(ISNUMBER(_xlfn.XLOOKUP($C294,Phone_by_Sentiment!$B$2:$B$37,Phone_by_Sentiment!G$2:G$37,"",0,1)),_xlfn.XLOOKUP($C294,Phone_by_Sentiment!$B$2:$B$37,Phone_by_Sentiment!G$2:G$37,"",0,1),0),$A294-TEXT(DATEVALUE($D294&amp;"-01"), "dd-mm-yyyy")),0),0)</f>
        <v>79</v>
      </c>
      <c r="H294" cm="1">
        <f t="array" ref="H294">IF($Q294&gt;=0,IFERROR(generateSalesData($D294, IF(ISNUMBER(_xlfn.XLOOKUP($C294,Phone_by_Sentiment!$B$2:$B$37,Phone_by_Sentiment!H$2:H$37,"",0,1)),_xlfn.XLOOKUP($C294,Phone_by_Sentiment!$B$2:$B$37,Phone_by_Sentiment!H$2:H$37,"",0,1),0),$A294-TEXT(DATEVALUE($D294&amp;"-01"), "dd-mm-yyyy")),0),0)</f>
        <v>1632</v>
      </c>
      <c r="I294" cm="1">
        <f t="array" ref="I294">IF($Q294&gt;=0,IFERROR(generateSalesData($D294, IF(ISNUMBER(_xlfn.XLOOKUP($C294,Phone_by_Sentiment!$B$2:$B$37,Phone_by_Sentiment!I$2:I$37,"",0,1)),_xlfn.XLOOKUP($C294,Phone_by_Sentiment!$B$2:$B$37,Phone_by_Sentiment!I$2:I$37,"",0,1),0),$A294-TEXT(DATEVALUE($D294&amp;"-01"), "dd-mm-yyyy")),0),0)</f>
        <v>-136</v>
      </c>
      <c r="J294" cm="1">
        <f t="array" ref="J294">IF($Q294&gt;=0,IFERROR(generateSalesData($D294, IF(ISNUMBER(_xlfn.XLOOKUP($C294,Phone_by_Sentiment!$B$2:$B$37,Phone_by_Sentiment!J$2:J$37,"",0,1)),_xlfn.XLOOKUP($C294,Phone_by_Sentiment!$B$2:$B$37,Phone_by_Sentiment!J$2:J$37,"",0,1),0),$A294-TEXT(DATEVALUE($D294&amp;"-01"), "dd-mm-yyyy")),0),0)</f>
        <v>3104</v>
      </c>
      <c r="K294" cm="1">
        <f t="array" ref="K294">IF($Q294&gt;=0,IFERROR(generateSalesData($D294, IF(ISNUMBER(_xlfn.XLOOKUP($C294,Phone_by_Sentiment!$B$2:$B$37,Phone_by_Sentiment!K$2:K$37,"",0,1)),_xlfn.XLOOKUP($C294,Phone_by_Sentiment!$B$2:$B$37,Phone_by_Sentiment!K$2:K$37,"",0,1),0),$A294-TEXT(DATEVALUE($D294&amp;"-01"), "dd-mm-yyyy")),0),0)</f>
        <v>6417</v>
      </c>
      <c r="L294" cm="1">
        <f t="array" ref="L294">IF($Q294&gt;=0,IFERROR(generateSalesData($D294, IF(ISNUMBER(_xlfn.XLOOKUP($C294,Phone_by_Sentiment!$B$2:$B$37,Phone_by_Sentiment!L$2:L$37,"",0,1)),_xlfn.XLOOKUP($C294,Phone_by_Sentiment!$B$2:$B$37,Phone_by_Sentiment!L$2:L$37,"",0,1),0),$A294-TEXT(DATEVALUE($D294&amp;"-01"), "dd-mm-yyyy")),0),0)</f>
        <v>-636</v>
      </c>
      <c r="M294" cm="1">
        <f t="array" ref="M294">IF($Q294&gt;=0,IFERROR(generateSalesData($D294, IF(ISNUMBER(_xlfn.XLOOKUP($C294,Phone_by_Sentiment!$B$2:$B$37,Phone_by_Sentiment!M$2:M$37,"",0,1)),_xlfn.XLOOKUP($C294,Phone_by_Sentiment!$B$2:$B$37,Phone_by_Sentiment!M$2:M$37,"",0,1),0),$A294-TEXT(DATEVALUE($D294&amp;"-01"), "dd-mm-yyyy")),0),0)</f>
        <v>4527</v>
      </c>
      <c r="N294" cm="1">
        <f t="array" ref="N294">IF($Q294&gt;=0,IFERROR(generateSalesData($D294, IF(ISNUMBER(_xlfn.XLOOKUP($C294,Phone_by_Sentiment!$B$2:$B$37,Phone_by_Sentiment!N$2:N$37,"",0,1)),_xlfn.XLOOKUP($C294,Phone_by_Sentiment!$B$2:$B$37,Phone_by_Sentiment!N$2:N$37,"",0,1),0),$A294-TEXT(DATEVALUE($D294&amp;"-01"), "dd-mm-yyyy")),0),0)</f>
        <v>1510</v>
      </c>
      <c r="O294" cm="1">
        <f t="array" ref="O294">IF($Q294&gt;=0,IFERROR(generateSalesData($D294, IF(ISNUMBER(_xlfn.XLOOKUP($C294,Phone_by_Sentiment!$B$2:$B$37,Phone_by_Sentiment!O$2:O$37,"",0,1)),_xlfn.XLOOKUP($C294,Phone_by_Sentiment!$B$2:$B$37,Phone_by_Sentiment!O$2:O$37,"",0,1),0),$A294-TEXT(DATEVALUE($D294&amp;"-01"), "dd-mm-yyyy")),0),0)</f>
        <v>3650</v>
      </c>
      <c r="P294" s="1">
        <f t="shared" si="10"/>
        <v>43678</v>
      </c>
      <c r="Q294">
        <f t="shared" si="11"/>
        <v>31</v>
      </c>
    </row>
    <row r="295" spans="1:17" x14ac:dyDescent="0.25">
      <c r="A295" s="1">
        <f t="shared" si="9"/>
        <v>43709</v>
      </c>
      <c r="B295" t="s">
        <v>170</v>
      </c>
      <c r="C295" t="str">
        <f>_xlfn.XLOOKUP(B295,Phone_by_Price!$A$2:$A$34,Phone_by_Price!$B$2:$B$34,"-",0,1)</f>
        <v>Realme Narzo 30A</v>
      </c>
      <c r="D295" t="str">
        <f>_xlfn.XLOOKUP(C295,Phone_by_Sentiment!$B$2:$B$37,Phone_by_Sentiment!$A$2:$A$37,"-",0,1)</f>
        <v>2021-02</v>
      </c>
      <c r="E295" cm="1">
        <f t="array" ref="E295">IF($Q295&gt;=0,IFERROR(generateSalesData($D295, IF(ISNUMBER(_xlfn.XLOOKUP($C295,Phone_by_Sentiment!$B$2:$B$37,Phone_by_Sentiment!E$2:E$37,"",0,1)),_xlfn.XLOOKUP($C295,Phone_by_Sentiment!$B$2:$B$37,Phone_by_Sentiment!E$2:E$37,"",0,1),0),$A295-TEXT(DATEVALUE($D295&amp;"-01"), "dd-mm-yyyy")),0),0)</f>
        <v>0</v>
      </c>
      <c r="F295" cm="1">
        <f t="array" ref="F295">IF($Q295&gt;=0,IFERROR(generateSalesData($D295, IF(ISNUMBER(_xlfn.XLOOKUP($C295,Phone_by_Sentiment!$B$2:$B$37,Phone_by_Sentiment!F$2:F$37,"",0,1)),_xlfn.XLOOKUP($C295,Phone_by_Sentiment!$B$2:$B$37,Phone_by_Sentiment!F$2:F$37,"",0,1),0),$A295-TEXT(DATEVALUE($D295&amp;"-01"), "dd-mm-yyyy")),0),0)</f>
        <v>0</v>
      </c>
      <c r="G295" cm="1">
        <f t="array" ref="G295">IF($Q295&gt;=0,IFERROR(generateSalesData($D295, IF(ISNUMBER(_xlfn.XLOOKUP($C295,Phone_by_Sentiment!$B$2:$B$37,Phone_by_Sentiment!G$2:G$37,"",0,1)),_xlfn.XLOOKUP($C295,Phone_by_Sentiment!$B$2:$B$37,Phone_by_Sentiment!G$2:G$37,"",0,1),0),$A295-TEXT(DATEVALUE($D295&amp;"-01"), "dd-mm-yyyy")),0),0)</f>
        <v>0</v>
      </c>
      <c r="H295" cm="1">
        <f t="array" ref="H295">IF($Q295&gt;=0,IFERROR(generateSalesData($D295, IF(ISNUMBER(_xlfn.XLOOKUP($C295,Phone_by_Sentiment!$B$2:$B$37,Phone_by_Sentiment!H$2:H$37,"",0,1)),_xlfn.XLOOKUP($C295,Phone_by_Sentiment!$B$2:$B$37,Phone_by_Sentiment!H$2:H$37,"",0,1),0),$A295-TEXT(DATEVALUE($D295&amp;"-01"), "dd-mm-yyyy")),0),0)</f>
        <v>0</v>
      </c>
      <c r="I295" cm="1">
        <f t="array" ref="I295">IF($Q295&gt;=0,IFERROR(generateSalesData($D295, IF(ISNUMBER(_xlfn.XLOOKUP($C295,Phone_by_Sentiment!$B$2:$B$37,Phone_by_Sentiment!I$2:I$37,"",0,1)),_xlfn.XLOOKUP($C295,Phone_by_Sentiment!$B$2:$B$37,Phone_by_Sentiment!I$2:I$37,"",0,1),0),$A295-TEXT(DATEVALUE($D295&amp;"-01"), "dd-mm-yyyy")),0),0)</f>
        <v>0</v>
      </c>
      <c r="J295" cm="1">
        <f t="array" ref="J295">IF($Q295&gt;=0,IFERROR(generateSalesData($D295, IF(ISNUMBER(_xlfn.XLOOKUP($C295,Phone_by_Sentiment!$B$2:$B$37,Phone_by_Sentiment!J$2:J$37,"",0,1)),_xlfn.XLOOKUP($C295,Phone_by_Sentiment!$B$2:$B$37,Phone_by_Sentiment!J$2:J$37,"",0,1),0),$A295-TEXT(DATEVALUE($D295&amp;"-01"), "dd-mm-yyyy")),0),0)</f>
        <v>0</v>
      </c>
      <c r="K295" cm="1">
        <f t="array" ref="K295">IF($Q295&gt;=0,IFERROR(generateSalesData($D295, IF(ISNUMBER(_xlfn.XLOOKUP($C295,Phone_by_Sentiment!$B$2:$B$37,Phone_by_Sentiment!K$2:K$37,"",0,1)),_xlfn.XLOOKUP($C295,Phone_by_Sentiment!$B$2:$B$37,Phone_by_Sentiment!K$2:K$37,"",0,1),0),$A295-TEXT(DATEVALUE($D295&amp;"-01"), "dd-mm-yyyy")),0),0)</f>
        <v>0</v>
      </c>
      <c r="L295" cm="1">
        <f t="array" ref="L295">IF($Q295&gt;=0,IFERROR(generateSalesData($D295, IF(ISNUMBER(_xlfn.XLOOKUP($C295,Phone_by_Sentiment!$B$2:$B$37,Phone_by_Sentiment!L$2:L$37,"",0,1)),_xlfn.XLOOKUP($C295,Phone_by_Sentiment!$B$2:$B$37,Phone_by_Sentiment!L$2:L$37,"",0,1),0),$A295-TEXT(DATEVALUE($D295&amp;"-01"), "dd-mm-yyyy")),0),0)</f>
        <v>0</v>
      </c>
      <c r="M295" cm="1">
        <f t="array" ref="M295">IF($Q295&gt;=0,IFERROR(generateSalesData($D295, IF(ISNUMBER(_xlfn.XLOOKUP($C295,Phone_by_Sentiment!$B$2:$B$37,Phone_by_Sentiment!M$2:M$37,"",0,1)),_xlfn.XLOOKUP($C295,Phone_by_Sentiment!$B$2:$B$37,Phone_by_Sentiment!M$2:M$37,"",0,1),0),$A295-TEXT(DATEVALUE($D295&amp;"-01"), "dd-mm-yyyy")),0),0)</f>
        <v>0</v>
      </c>
      <c r="N295" cm="1">
        <f t="array" ref="N295">IF($Q295&gt;=0,IFERROR(generateSalesData($D295, IF(ISNUMBER(_xlfn.XLOOKUP($C295,Phone_by_Sentiment!$B$2:$B$37,Phone_by_Sentiment!N$2:N$37,"",0,1)),_xlfn.XLOOKUP($C295,Phone_by_Sentiment!$B$2:$B$37,Phone_by_Sentiment!N$2:N$37,"",0,1),0),$A295-TEXT(DATEVALUE($D295&amp;"-01"), "dd-mm-yyyy")),0),0)</f>
        <v>0</v>
      </c>
      <c r="O295" cm="1">
        <f t="array" ref="O295">IF($Q295&gt;=0,IFERROR(generateSalesData($D295, IF(ISNUMBER(_xlfn.XLOOKUP($C295,Phone_by_Sentiment!$B$2:$B$37,Phone_by_Sentiment!O$2:O$37,"",0,1)),_xlfn.XLOOKUP($C295,Phone_by_Sentiment!$B$2:$B$37,Phone_by_Sentiment!O$2:O$37,"",0,1),0),$A295-TEXT(DATEVALUE($D295&amp;"-01"), "dd-mm-yyyy")),0),0)</f>
        <v>0</v>
      </c>
      <c r="P295" s="1">
        <f t="shared" si="10"/>
        <v>44228</v>
      </c>
      <c r="Q295">
        <f t="shared" si="11"/>
        <v>-519</v>
      </c>
    </row>
    <row r="296" spans="1:17" x14ac:dyDescent="0.25">
      <c r="A296" s="1">
        <f t="shared" si="9"/>
        <v>43709</v>
      </c>
      <c r="B296" t="s">
        <v>171</v>
      </c>
      <c r="C296" t="str">
        <f>_xlfn.XLOOKUP(B296,Phone_by_Price!$A$2:$A$34,Phone_by_Price!$B$2:$B$34,"-",0,1)</f>
        <v>Samsung Galaxy A22 5G</v>
      </c>
      <c r="D296" t="str">
        <f>_xlfn.XLOOKUP(C296,Phone_by_Sentiment!$B$2:$B$37,Phone_by_Sentiment!$A$2:$A$37,"-",0,1)</f>
        <v>2021-05</v>
      </c>
      <c r="E296" cm="1">
        <f t="array" ref="E296">IF($Q296&gt;=0,IFERROR(generateSalesData($D296, IF(ISNUMBER(_xlfn.XLOOKUP($C296,Phone_by_Sentiment!$B$2:$B$37,Phone_by_Sentiment!E$2:E$37,"",0,1)),_xlfn.XLOOKUP($C296,Phone_by_Sentiment!$B$2:$B$37,Phone_by_Sentiment!E$2:E$37,"",0,1),0),$A296-TEXT(DATEVALUE($D296&amp;"-01"), "dd-mm-yyyy")),0),0)</f>
        <v>0</v>
      </c>
      <c r="F296" cm="1">
        <f t="array" ref="F296">IF($Q296&gt;=0,IFERROR(generateSalesData($D296, IF(ISNUMBER(_xlfn.XLOOKUP($C296,Phone_by_Sentiment!$B$2:$B$37,Phone_by_Sentiment!F$2:F$37,"",0,1)),_xlfn.XLOOKUP($C296,Phone_by_Sentiment!$B$2:$B$37,Phone_by_Sentiment!F$2:F$37,"",0,1),0),$A296-TEXT(DATEVALUE($D296&amp;"-01"), "dd-mm-yyyy")),0),0)</f>
        <v>0</v>
      </c>
      <c r="G296" cm="1">
        <f t="array" ref="G296">IF($Q296&gt;=0,IFERROR(generateSalesData($D296, IF(ISNUMBER(_xlfn.XLOOKUP($C296,Phone_by_Sentiment!$B$2:$B$37,Phone_by_Sentiment!G$2:G$37,"",0,1)),_xlfn.XLOOKUP($C296,Phone_by_Sentiment!$B$2:$B$37,Phone_by_Sentiment!G$2:G$37,"",0,1),0),$A296-TEXT(DATEVALUE($D296&amp;"-01"), "dd-mm-yyyy")),0),0)</f>
        <v>0</v>
      </c>
      <c r="H296" cm="1">
        <f t="array" ref="H296">IF($Q296&gt;=0,IFERROR(generateSalesData($D296, IF(ISNUMBER(_xlfn.XLOOKUP($C296,Phone_by_Sentiment!$B$2:$B$37,Phone_by_Sentiment!H$2:H$37,"",0,1)),_xlfn.XLOOKUP($C296,Phone_by_Sentiment!$B$2:$B$37,Phone_by_Sentiment!H$2:H$37,"",0,1),0),$A296-TEXT(DATEVALUE($D296&amp;"-01"), "dd-mm-yyyy")),0),0)</f>
        <v>0</v>
      </c>
      <c r="I296" cm="1">
        <f t="array" ref="I296">IF($Q296&gt;=0,IFERROR(generateSalesData($D296, IF(ISNUMBER(_xlfn.XLOOKUP($C296,Phone_by_Sentiment!$B$2:$B$37,Phone_by_Sentiment!I$2:I$37,"",0,1)),_xlfn.XLOOKUP($C296,Phone_by_Sentiment!$B$2:$B$37,Phone_by_Sentiment!I$2:I$37,"",0,1),0),$A296-TEXT(DATEVALUE($D296&amp;"-01"), "dd-mm-yyyy")),0),0)</f>
        <v>0</v>
      </c>
      <c r="J296" cm="1">
        <f t="array" ref="J296">IF($Q296&gt;=0,IFERROR(generateSalesData($D296, IF(ISNUMBER(_xlfn.XLOOKUP($C296,Phone_by_Sentiment!$B$2:$B$37,Phone_by_Sentiment!J$2:J$37,"",0,1)),_xlfn.XLOOKUP($C296,Phone_by_Sentiment!$B$2:$B$37,Phone_by_Sentiment!J$2:J$37,"",0,1),0),$A296-TEXT(DATEVALUE($D296&amp;"-01"), "dd-mm-yyyy")),0),0)</f>
        <v>0</v>
      </c>
      <c r="K296" cm="1">
        <f t="array" ref="K296">IF($Q296&gt;=0,IFERROR(generateSalesData($D296, IF(ISNUMBER(_xlfn.XLOOKUP($C296,Phone_by_Sentiment!$B$2:$B$37,Phone_by_Sentiment!K$2:K$37,"",0,1)),_xlfn.XLOOKUP($C296,Phone_by_Sentiment!$B$2:$B$37,Phone_by_Sentiment!K$2:K$37,"",0,1),0),$A296-TEXT(DATEVALUE($D296&amp;"-01"), "dd-mm-yyyy")),0),0)</f>
        <v>0</v>
      </c>
      <c r="L296" cm="1">
        <f t="array" ref="L296">IF($Q296&gt;=0,IFERROR(generateSalesData($D296, IF(ISNUMBER(_xlfn.XLOOKUP($C296,Phone_by_Sentiment!$B$2:$B$37,Phone_by_Sentiment!L$2:L$37,"",0,1)),_xlfn.XLOOKUP($C296,Phone_by_Sentiment!$B$2:$B$37,Phone_by_Sentiment!L$2:L$37,"",0,1),0),$A296-TEXT(DATEVALUE($D296&amp;"-01"), "dd-mm-yyyy")),0),0)</f>
        <v>0</v>
      </c>
      <c r="M296" cm="1">
        <f t="array" ref="M296">IF($Q296&gt;=0,IFERROR(generateSalesData($D296, IF(ISNUMBER(_xlfn.XLOOKUP($C296,Phone_by_Sentiment!$B$2:$B$37,Phone_by_Sentiment!M$2:M$37,"",0,1)),_xlfn.XLOOKUP($C296,Phone_by_Sentiment!$B$2:$B$37,Phone_by_Sentiment!M$2:M$37,"",0,1),0),$A296-TEXT(DATEVALUE($D296&amp;"-01"), "dd-mm-yyyy")),0),0)</f>
        <v>0</v>
      </c>
      <c r="N296" cm="1">
        <f t="array" ref="N296">IF($Q296&gt;=0,IFERROR(generateSalesData($D296, IF(ISNUMBER(_xlfn.XLOOKUP($C296,Phone_by_Sentiment!$B$2:$B$37,Phone_by_Sentiment!N$2:N$37,"",0,1)),_xlfn.XLOOKUP($C296,Phone_by_Sentiment!$B$2:$B$37,Phone_by_Sentiment!N$2:N$37,"",0,1),0),$A296-TEXT(DATEVALUE($D296&amp;"-01"), "dd-mm-yyyy")),0),0)</f>
        <v>0</v>
      </c>
      <c r="O296" cm="1">
        <f t="array" ref="O296">IF($Q296&gt;=0,IFERROR(generateSalesData($D296, IF(ISNUMBER(_xlfn.XLOOKUP($C296,Phone_by_Sentiment!$B$2:$B$37,Phone_by_Sentiment!O$2:O$37,"",0,1)),_xlfn.XLOOKUP($C296,Phone_by_Sentiment!$B$2:$B$37,Phone_by_Sentiment!O$2:O$37,"",0,1),0),$A296-TEXT(DATEVALUE($D296&amp;"-01"), "dd-mm-yyyy")),0),0)</f>
        <v>0</v>
      </c>
      <c r="P296" s="1">
        <f t="shared" si="10"/>
        <v>44317</v>
      </c>
      <c r="Q296">
        <f t="shared" si="11"/>
        <v>-608</v>
      </c>
    </row>
    <row r="297" spans="1:17" x14ac:dyDescent="0.25">
      <c r="A297" s="1">
        <f t="shared" si="9"/>
        <v>43709</v>
      </c>
      <c r="B297" t="s">
        <v>172</v>
      </c>
      <c r="C297" t="str">
        <f>_xlfn.XLOOKUP(B297,Phone_by_Price!$A$2:$A$34,Phone_by_Price!$B$2:$B$34,"-",0,1)</f>
        <v>Xiaomi Redmi 9</v>
      </c>
      <c r="D297" t="str">
        <f>_xlfn.XLOOKUP(C297,Phone_by_Sentiment!$B$2:$B$37,Phone_by_Sentiment!$A$2:$A$37,"-",0,1)</f>
        <v>2020-08</v>
      </c>
      <c r="E297" cm="1">
        <f t="array" ref="E297">IF($Q297&gt;=0,IFERROR(generateSalesData($D297, IF(ISNUMBER(_xlfn.XLOOKUP($C297,Phone_by_Sentiment!$B$2:$B$37,Phone_by_Sentiment!E$2:E$37,"",0,1)),_xlfn.XLOOKUP($C297,Phone_by_Sentiment!$B$2:$B$37,Phone_by_Sentiment!E$2:E$37,"",0,1),0),$A297-TEXT(DATEVALUE($D297&amp;"-01"), "dd-mm-yyyy")),0),0)</f>
        <v>0</v>
      </c>
      <c r="F297" cm="1">
        <f t="array" ref="F297">IF($Q297&gt;=0,IFERROR(generateSalesData($D297, IF(ISNUMBER(_xlfn.XLOOKUP($C297,Phone_by_Sentiment!$B$2:$B$37,Phone_by_Sentiment!F$2:F$37,"",0,1)),_xlfn.XLOOKUP($C297,Phone_by_Sentiment!$B$2:$B$37,Phone_by_Sentiment!F$2:F$37,"",0,1),0),$A297-TEXT(DATEVALUE($D297&amp;"-01"), "dd-mm-yyyy")),0),0)</f>
        <v>0</v>
      </c>
      <c r="G297" cm="1">
        <f t="array" ref="G297">IF($Q297&gt;=0,IFERROR(generateSalesData($D297, IF(ISNUMBER(_xlfn.XLOOKUP($C297,Phone_by_Sentiment!$B$2:$B$37,Phone_by_Sentiment!G$2:G$37,"",0,1)),_xlfn.XLOOKUP($C297,Phone_by_Sentiment!$B$2:$B$37,Phone_by_Sentiment!G$2:G$37,"",0,1),0),$A297-TEXT(DATEVALUE($D297&amp;"-01"), "dd-mm-yyyy")),0),0)</f>
        <v>0</v>
      </c>
      <c r="H297" cm="1">
        <f t="array" ref="H297">IF($Q297&gt;=0,IFERROR(generateSalesData($D297, IF(ISNUMBER(_xlfn.XLOOKUP($C297,Phone_by_Sentiment!$B$2:$B$37,Phone_by_Sentiment!H$2:H$37,"",0,1)),_xlfn.XLOOKUP($C297,Phone_by_Sentiment!$B$2:$B$37,Phone_by_Sentiment!H$2:H$37,"",0,1),0),$A297-TEXT(DATEVALUE($D297&amp;"-01"), "dd-mm-yyyy")),0),0)</f>
        <v>0</v>
      </c>
      <c r="I297" cm="1">
        <f t="array" ref="I297">IF($Q297&gt;=0,IFERROR(generateSalesData($D297, IF(ISNUMBER(_xlfn.XLOOKUP($C297,Phone_by_Sentiment!$B$2:$B$37,Phone_by_Sentiment!I$2:I$37,"",0,1)),_xlfn.XLOOKUP($C297,Phone_by_Sentiment!$B$2:$B$37,Phone_by_Sentiment!I$2:I$37,"",0,1),0),$A297-TEXT(DATEVALUE($D297&amp;"-01"), "dd-mm-yyyy")),0),0)</f>
        <v>0</v>
      </c>
      <c r="J297" cm="1">
        <f t="array" ref="J297">IF($Q297&gt;=0,IFERROR(generateSalesData($D297, IF(ISNUMBER(_xlfn.XLOOKUP($C297,Phone_by_Sentiment!$B$2:$B$37,Phone_by_Sentiment!J$2:J$37,"",0,1)),_xlfn.XLOOKUP($C297,Phone_by_Sentiment!$B$2:$B$37,Phone_by_Sentiment!J$2:J$37,"",0,1),0),$A297-TEXT(DATEVALUE($D297&amp;"-01"), "dd-mm-yyyy")),0),0)</f>
        <v>0</v>
      </c>
      <c r="K297" cm="1">
        <f t="array" ref="K297">IF($Q297&gt;=0,IFERROR(generateSalesData($D297, IF(ISNUMBER(_xlfn.XLOOKUP($C297,Phone_by_Sentiment!$B$2:$B$37,Phone_by_Sentiment!K$2:K$37,"",0,1)),_xlfn.XLOOKUP($C297,Phone_by_Sentiment!$B$2:$B$37,Phone_by_Sentiment!K$2:K$37,"",0,1),0),$A297-TEXT(DATEVALUE($D297&amp;"-01"), "dd-mm-yyyy")),0),0)</f>
        <v>0</v>
      </c>
      <c r="L297" cm="1">
        <f t="array" ref="L297">IF($Q297&gt;=0,IFERROR(generateSalesData($D297, IF(ISNUMBER(_xlfn.XLOOKUP($C297,Phone_by_Sentiment!$B$2:$B$37,Phone_by_Sentiment!L$2:L$37,"",0,1)),_xlfn.XLOOKUP($C297,Phone_by_Sentiment!$B$2:$B$37,Phone_by_Sentiment!L$2:L$37,"",0,1),0),$A297-TEXT(DATEVALUE($D297&amp;"-01"), "dd-mm-yyyy")),0),0)</f>
        <v>0</v>
      </c>
      <c r="M297" cm="1">
        <f t="array" ref="M297">IF($Q297&gt;=0,IFERROR(generateSalesData($D297, IF(ISNUMBER(_xlfn.XLOOKUP($C297,Phone_by_Sentiment!$B$2:$B$37,Phone_by_Sentiment!M$2:M$37,"",0,1)),_xlfn.XLOOKUP($C297,Phone_by_Sentiment!$B$2:$B$37,Phone_by_Sentiment!M$2:M$37,"",0,1),0),$A297-TEXT(DATEVALUE($D297&amp;"-01"), "dd-mm-yyyy")),0),0)</f>
        <v>0</v>
      </c>
      <c r="N297" cm="1">
        <f t="array" ref="N297">IF($Q297&gt;=0,IFERROR(generateSalesData($D297, IF(ISNUMBER(_xlfn.XLOOKUP($C297,Phone_by_Sentiment!$B$2:$B$37,Phone_by_Sentiment!N$2:N$37,"",0,1)),_xlfn.XLOOKUP($C297,Phone_by_Sentiment!$B$2:$B$37,Phone_by_Sentiment!N$2:N$37,"",0,1),0),$A297-TEXT(DATEVALUE($D297&amp;"-01"), "dd-mm-yyyy")),0),0)</f>
        <v>0</v>
      </c>
      <c r="O297" cm="1">
        <f t="array" ref="O297">IF($Q297&gt;=0,IFERROR(generateSalesData($D297, IF(ISNUMBER(_xlfn.XLOOKUP($C297,Phone_by_Sentiment!$B$2:$B$37,Phone_by_Sentiment!O$2:O$37,"",0,1)),_xlfn.XLOOKUP($C297,Phone_by_Sentiment!$B$2:$B$37,Phone_by_Sentiment!O$2:O$37,"",0,1),0),$A297-TEXT(DATEVALUE($D297&amp;"-01"), "dd-mm-yyyy")),0),0)</f>
        <v>0</v>
      </c>
      <c r="P297" s="1">
        <f t="shared" si="10"/>
        <v>44044</v>
      </c>
      <c r="Q297">
        <f t="shared" si="11"/>
        <v>-335</v>
      </c>
    </row>
    <row r="298" spans="1:17" x14ac:dyDescent="0.25">
      <c r="A298" s="1">
        <f t="shared" si="9"/>
        <v>43709</v>
      </c>
      <c r="B298" t="s">
        <v>173</v>
      </c>
      <c r="C298" t="str">
        <f>_xlfn.XLOOKUP(B298,Phone_by_Price!$A$2:$A$34,Phone_by_Price!$B$2:$B$34,"-",0,1)</f>
        <v>Realme C3</v>
      </c>
      <c r="D298" t="str">
        <f>_xlfn.XLOOKUP(C298,Phone_by_Sentiment!$B$2:$B$37,Phone_by_Sentiment!$A$2:$A$37,"-",0,1)</f>
        <v>2020-02</v>
      </c>
      <c r="E298" cm="1">
        <f t="array" ref="E298">IF($Q298&gt;=0,IFERROR(generateSalesData($D298, IF(ISNUMBER(_xlfn.XLOOKUP($C298,Phone_by_Sentiment!$B$2:$B$37,Phone_by_Sentiment!E$2:E$37,"",0,1)),_xlfn.XLOOKUP($C298,Phone_by_Sentiment!$B$2:$B$37,Phone_by_Sentiment!E$2:E$37,"",0,1),0),$A298-TEXT(DATEVALUE($D298&amp;"-01"), "dd-mm-yyyy")),0),0)</f>
        <v>0</v>
      </c>
      <c r="F298" cm="1">
        <f t="array" ref="F298">IF($Q298&gt;=0,IFERROR(generateSalesData($D298, IF(ISNUMBER(_xlfn.XLOOKUP($C298,Phone_by_Sentiment!$B$2:$B$37,Phone_by_Sentiment!F$2:F$37,"",0,1)),_xlfn.XLOOKUP($C298,Phone_by_Sentiment!$B$2:$B$37,Phone_by_Sentiment!F$2:F$37,"",0,1),0),$A298-TEXT(DATEVALUE($D298&amp;"-01"), "dd-mm-yyyy")),0),0)</f>
        <v>0</v>
      </c>
      <c r="G298" cm="1">
        <f t="array" ref="G298">IF($Q298&gt;=0,IFERROR(generateSalesData($D298, IF(ISNUMBER(_xlfn.XLOOKUP($C298,Phone_by_Sentiment!$B$2:$B$37,Phone_by_Sentiment!G$2:G$37,"",0,1)),_xlfn.XLOOKUP($C298,Phone_by_Sentiment!$B$2:$B$37,Phone_by_Sentiment!G$2:G$37,"",0,1),0),$A298-TEXT(DATEVALUE($D298&amp;"-01"), "dd-mm-yyyy")),0),0)</f>
        <v>0</v>
      </c>
      <c r="H298" cm="1">
        <f t="array" ref="H298">IF($Q298&gt;=0,IFERROR(generateSalesData($D298, IF(ISNUMBER(_xlfn.XLOOKUP($C298,Phone_by_Sentiment!$B$2:$B$37,Phone_by_Sentiment!H$2:H$37,"",0,1)),_xlfn.XLOOKUP($C298,Phone_by_Sentiment!$B$2:$B$37,Phone_by_Sentiment!H$2:H$37,"",0,1),0),$A298-TEXT(DATEVALUE($D298&amp;"-01"), "dd-mm-yyyy")),0),0)</f>
        <v>0</v>
      </c>
      <c r="I298" cm="1">
        <f t="array" ref="I298">IF($Q298&gt;=0,IFERROR(generateSalesData($D298, IF(ISNUMBER(_xlfn.XLOOKUP($C298,Phone_by_Sentiment!$B$2:$B$37,Phone_by_Sentiment!I$2:I$37,"",0,1)),_xlfn.XLOOKUP($C298,Phone_by_Sentiment!$B$2:$B$37,Phone_by_Sentiment!I$2:I$37,"",0,1),0),$A298-TEXT(DATEVALUE($D298&amp;"-01"), "dd-mm-yyyy")),0),0)</f>
        <v>0</v>
      </c>
      <c r="J298" cm="1">
        <f t="array" ref="J298">IF($Q298&gt;=0,IFERROR(generateSalesData($D298, IF(ISNUMBER(_xlfn.XLOOKUP($C298,Phone_by_Sentiment!$B$2:$B$37,Phone_by_Sentiment!J$2:J$37,"",0,1)),_xlfn.XLOOKUP($C298,Phone_by_Sentiment!$B$2:$B$37,Phone_by_Sentiment!J$2:J$37,"",0,1),0),$A298-TEXT(DATEVALUE($D298&amp;"-01"), "dd-mm-yyyy")),0),0)</f>
        <v>0</v>
      </c>
      <c r="K298" cm="1">
        <f t="array" ref="K298">IF($Q298&gt;=0,IFERROR(generateSalesData($D298, IF(ISNUMBER(_xlfn.XLOOKUP($C298,Phone_by_Sentiment!$B$2:$B$37,Phone_by_Sentiment!K$2:K$37,"",0,1)),_xlfn.XLOOKUP($C298,Phone_by_Sentiment!$B$2:$B$37,Phone_by_Sentiment!K$2:K$37,"",0,1),0),$A298-TEXT(DATEVALUE($D298&amp;"-01"), "dd-mm-yyyy")),0),0)</f>
        <v>0</v>
      </c>
      <c r="L298" cm="1">
        <f t="array" ref="L298">IF($Q298&gt;=0,IFERROR(generateSalesData($D298, IF(ISNUMBER(_xlfn.XLOOKUP($C298,Phone_by_Sentiment!$B$2:$B$37,Phone_by_Sentiment!L$2:L$37,"",0,1)),_xlfn.XLOOKUP($C298,Phone_by_Sentiment!$B$2:$B$37,Phone_by_Sentiment!L$2:L$37,"",0,1),0),$A298-TEXT(DATEVALUE($D298&amp;"-01"), "dd-mm-yyyy")),0),0)</f>
        <v>0</v>
      </c>
      <c r="M298" cm="1">
        <f t="array" ref="M298">IF($Q298&gt;=0,IFERROR(generateSalesData($D298, IF(ISNUMBER(_xlfn.XLOOKUP($C298,Phone_by_Sentiment!$B$2:$B$37,Phone_by_Sentiment!M$2:M$37,"",0,1)),_xlfn.XLOOKUP($C298,Phone_by_Sentiment!$B$2:$B$37,Phone_by_Sentiment!M$2:M$37,"",0,1),0),$A298-TEXT(DATEVALUE($D298&amp;"-01"), "dd-mm-yyyy")),0),0)</f>
        <v>0</v>
      </c>
      <c r="N298" cm="1">
        <f t="array" ref="N298">IF($Q298&gt;=0,IFERROR(generateSalesData($D298, IF(ISNUMBER(_xlfn.XLOOKUP($C298,Phone_by_Sentiment!$B$2:$B$37,Phone_by_Sentiment!N$2:N$37,"",0,1)),_xlfn.XLOOKUP($C298,Phone_by_Sentiment!$B$2:$B$37,Phone_by_Sentiment!N$2:N$37,"",0,1),0),$A298-TEXT(DATEVALUE($D298&amp;"-01"), "dd-mm-yyyy")),0),0)</f>
        <v>0</v>
      </c>
      <c r="O298" cm="1">
        <f t="array" ref="O298">IF($Q298&gt;=0,IFERROR(generateSalesData($D298, IF(ISNUMBER(_xlfn.XLOOKUP($C298,Phone_by_Sentiment!$B$2:$B$37,Phone_by_Sentiment!O$2:O$37,"",0,1)),_xlfn.XLOOKUP($C298,Phone_by_Sentiment!$B$2:$B$37,Phone_by_Sentiment!O$2:O$37,"",0,1),0),$A298-TEXT(DATEVALUE($D298&amp;"-01"), "dd-mm-yyyy")),0),0)</f>
        <v>0</v>
      </c>
      <c r="P298" s="1">
        <f t="shared" si="10"/>
        <v>43862</v>
      </c>
      <c r="Q298">
        <f t="shared" si="11"/>
        <v>-153</v>
      </c>
    </row>
    <row r="299" spans="1:17" x14ac:dyDescent="0.25">
      <c r="A299" s="1">
        <f t="shared" si="9"/>
        <v>43709</v>
      </c>
      <c r="B299" t="s">
        <v>174</v>
      </c>
      <c r="C299" t="str">
        <f>_xlfn.XLOOKUP(B299,Phone_by_Price!$A$2:$A$34,Phone_by_Price!$B$2:$B$34,"-",0,1)</f>
        <v>Samsung Galaxy A7</v>
      </c>
      <c r="D299" t="str">
        <f>_xlfn.XLOOKUP(C299,Phone_by_Sentiment!$B$2:$B$37,Phone_by_Sentiment!$A$2:$A$37,"-",0,1)</f>
        <v>2018-10</v>
      </c>
      <c r="E299" cm="1">
        <f t="array" ref="E299">IF($Q299&gt;=0,IFERROR(generateSalesData($D299, IF(ISNUMBER(_xlfn.XLOOKUP($C299,Phone_by_Sentiment!$B$2:$B$37,Phone_by_Sentiment!E$2:E$37,"",0,1)),_xlfn.XLOOKUP($C299,Phone_by_Sentiment!$B$2:$B$37,Phone_by_Sentiment!E$2:E$37,"",0,1),0),$A299-TEXT(DATEVALUE($D299&amp;"-01"), "dd-mm-yyyy")),0),0)</f>
        <v>209</v>
      </c>
      <c r="F299" cm="1">
        <f t="array" ref="F299">IF($Q299&gt;=0,IFERROR(generateSalesData($D299, IF(ISNUMBER(_xlfn.XLOOKUP($C299,Phone_by_Sentiment!$B$2:$B$37,Phone_by_Sentiment!F$2:F$37,"",0,1)),_xlfn.XLOOKUP($C299,Phone_by_Sentiment!$B$2:$B$37,Phone_by_Sentiment!F$2:F$37,"",0,1),0),$A299-TEXT(DATEVALUE($D299&amp;"-01"), "dd-mm-yyyy")),0),0)</f>
        <v>134</v>
      </c>
      <c r="G299" cm="1">
        <f t="array" ref="G299">IF($Q299&gt;=0,IFERROR(generateSalesData($D299, IF(ISNUMBER(_xlfn.XLOOKUP($C299,Phone_by_Sentiment!$B$2:$B$37,Phone_by_Sentiment!G$2:G$37,"",0,1)),_xlfn.XLOOKUP($C299,Phone_by_Sentiment!$B$2:$B$37,Phone_by_Sentiment!G$2:G$37,"",0,1),0),$A299-TEXT(DATEVALUE($D299&amp;"-01"), "dd-mm-yyyy")),0),0)</f>
        <v>187</v>
      </c>
      <c r="H299" cm="1">
        <f t="array" ref="H299">IF($Q299&gt;=0,IFERROR(generateSalesData($D299, IF(ISNUMBER(_xlfn.XLOOKUP($C299,Phone_by_Sentiment!$B$2:$B$37,Phone_by_Sentiment!H$2:H$37,"",0,1)),_xlfn.XLOOKUP($C299,Phone_by_Sentiment!$B$2:$B$37,Phone_by_Sentiment!H$2:H$37,"",0,1),0),$A299-TEXT(DATEVALUE($D299&amp;"-01"), "dd-mm-yyyy")),0),0)</f>
        <v>139</v>
      </c>
      <c r="I299" cm="1">
        <f t="array" ref="I299">IF($Q299&gt;=0,IFERROR(generateSalesData($D299, IF(ISNUMBER(_xlfn.XLOOKUP($C299,Phone_by_Sentiment!$B$2:$B$37,Phone_by_Sentiment!I$2:I$37,"",0,1)),_xlfn.XLOOKUP($C299,Phone_by_Sentiment!$B$2:$B$37,Phone_by_Sentiment!I$2:I$37,"",0,1),0),$A299-TEXT(DATEVALUE($D299&amp;"-01"), "dd-mm-yyyy")),0),0)</f>
        <v>293</v>
      </c>
      <c r="J299" cm="1">
        <f t="array" ref="J299">IF($Q299&gt;=0,IFERROR(generateSalesData($D299, IF(ISNUMBER(_xlfn.XLOOKUP($C299,Phone_by_Sentiment!$B$2:$B$37,Phone_by_Sentiment!J$2:J$37,"",0,1)),_xlfn.XLOOKUP($C299,Phone_by_Sentiment!$B$2:$B$37,Phone_by_Sentiment!J$2:J$37,"",0,1),0),$A299-TEXT(DATEVALUE($D299&amp;"-01"), "dd-mm-yyyy")),0),0)</f>
        <v>119</v>
      </c>
      <c r="K299" cm="1">
        <f t="array" ref="K299">IF($Q299&gt;=0,IFERROR(generateSalesData($D299, IF(ISNUMBER(_xlfn.XLOOKUP($C299,Phone_by_Sentiment!$B$2:$B$37,Phone_by_Sentiment!K$2:K$37,"",0,1)),_xlfn.XLOOKUP($C299,Phone_by_Sentiment!$B$2:$B$37,Phone_by_Sentiment!K$2:K$37,"",0,1),0),$A299-TEXT(DATEVALUE($D299&amp;"-01"), "dd-mm-yyyy")),0),0)</f>
        <v>173</v>
      </c>
      <c r="L299" cm="1">
        <f t="array" ref="L299">IF($Q299&gt;=0,IFERROR(generateSalesData($D299, IF(ISNUMBER(_xlfn.XLOOKUP($C299,Phone_by_Sentiment!$B$2:$B$37,Phone_by_Sentiment!L$2:L$37,"",0,1)),_xlfn.XLOOKUP($C299,Phone_by_Sentiment!$B$2:$B$37,Phone_by_Sentiment!L$2:L$37,"",0,1),0),$A299-TEXT(DATEVALUE($D299&amp;"-01"), "dd-mm-yyyy")),0),0)</f>
        <v>176</v>
      </c>
      <c r="M299" cm="1">
        <f t="array" ref="M299">IF($Q299&gt;=0,IFERROR(generateSalesData($D299, IF(ISNUMBER(_xlfn.XLOOKUP($C299,Phone_by_Sentiment!$B$2:$B$37,Phone_by_Sentiment!M$2:M$37,"",0,1)),_xlfn.XLOOKUP($C299,Phone_by_Sentiment!$B$2:$B$37,Phone_by_Sentiment!M$2:M$37,"",0,1),0),$A299-TEXT(DATEVALUE($D299&amp;"-01"), "dd-mm-yyyy")),0),0)</f>
        <v>705</v>
      </c>
      <c r="N299" cm="1">
        <f t="array" ref="N299">IF($Q299&gt;=0,IFERROR(generateSalesData($D299, IF(ISNUMBER(_xlfn.XLOOKUP($C299,Phone_by_Sentiment!$B$2:$B$37,Phone_by_Sentiment!N$2:N$37,"",0,1)),_xlfn.XLOOKUP($C299,Phone_by_Sentiment!$B$2:$B$37,Phone_by_Sentiment!N$2:N$37,"",0,1),0),$A299-TEXT(DATEVALUE($D299&amp;"-01"), "dd-mm-yyyy")),0),0)</f>
        <v>1046</v>
      </c>
      <c r="O299" cm="1">
        <f t="array" ref="O299">IF($Q299&gt;=0,IFERROR(generateSalesData($D299, IF(ISNUMBER(_xlfn.XLOOKUP($C299,Phone_by_Sentiment!$B$2:$B$37,Phone_by_Sentiment!O$2:O$37,"",0,1)),_xlfn.XLOOKUP($C299,Phone_by_Sentiment!$B$2:$B$37,Phone_by_Sentiment!O$2:O$37,"",0,1),0),$A299-TEXT(DATEVALUE($D299&amp;"-01"), "dd-mm-yyyy")),0),0)</f>
        <v>691</v>
      </c>
      <c r="P299" s="1">
        <f t="shared" si="10"/>
        <v>43374</v>
      </c>
      <c r="Q299">
        <f t="shared" si="11"/>
        <v>335</v>
      </c>
    </row>
    <row r="300" spans="1:17" x14ac:dyDescent="0.25">
      <c r="A300" s="1">
        <f t="shared" si="9"/>
        <v>43709</v>
      </c>
      <c r="B300" t="s">
        <v>142</v>
      </c>
      <c r="C300" t="str">
        <f>_xlfn.XLOOKUP(B300,Phone_by_Price!$A$2:$A$34,Phone_by_Price!$B$2:$B$34,"-",0,1)</f>
        <v>iPhone 11</v>
      </c>
      <c r="D300" t="str">
        <f>_xlfn.XLOOKUP(C300,Phone_by_Sentiment!$B$2:$B$37,Phone_by_Sentiment!$A$2:$A$37,"-",0,1)</f>
        <v>2019-09</v>
      </c>
      <c r="E300" cm="1">
        <f t="array" ref="E300">IF($Q300&gt;=0,IFERROR(generateSalesData($D300, IF(ISNUMBER(_xlfn.XLOOKUP($C300,Phone_by_Sentiment!$B$2:$B$37,Phone_by_Sentiment!E$2:E$37,"",0,1)),_xlfn.XLOOKUP($C300,Phone_by_Sentiment!$B$2:$B$37,Phone_by_Sentiment!E$2:E$37,"",0,1),0),$A300-TEXT(DATEVALUE($D300&amp;"-01"), "dd-mm-yyyy")),0),0)</f>
        <v>778</v>
      </c>
      <c r="F300" cm="1">
        <f t="array" ref="F300">IF($Q300&gt;=0,IFERROR(generateSalesData($D300, IF(ISNUMBER(_xlfn.XLOOKUP($C300,Phone_by_Sentiment!$B$2:$B$37,Phone_by_Sentiment!F$2:F$37,"",0,1)),_xlfn.XLOOKUP($C300,Phone_by_Sentiment!$B$2:$B$37,Phone_by_Sentiment!F$2:F$37,"",0,1),0),$A300-TEXT(DATEVALUE($D300&amp;"-01"), "dd-mm-yyyy")),0),0)</f>
        <v>4506</v>
      </c>
      <c r="G300" cm="1">
        <f t="array" ref="G300">IF($Q300&gt;=0,IFERROR(generateSalesData($D300, IF(ISNUMBER(_xlfn.XLOOKUP($C300,Phone_by_Sentiment!$B$2:$B$37,Phone_by_Sentiment!G$2:G$37,"",0,1)),_xlfn.XLOOKUP($C300,Phone_by_Sentiment!$B$2:$B$37,Phone_by_Sentiment!G$2:G$37,"",0,1),0),$A300-TEXT(DATEVALUE($D300&amp;"-01"), "dd-mm-yyyy")),0),0)</f>
        <v>2455</v>
      </c>
      <c r="H300" cm="1">
        <f t="array" ref="H300">IF($Q300&gt;=0,IFERROR(generateSalesData($D300, IF(ISNUMBER(_xlfn.XLOOKUP($C300,Phone_by_Sentiment!$B$2:$B$37,Phone_by_Sentiment!H$2:H$37,"",0,1)),_xlfn.XLOOKUP($C300,Phone_by_Sentiment!$B$2:$B$37,Phone_by_Sentiment!H$2:H$37,"",0,1),0),$A300-TEXT(DATEVALUE($D300&amp;"-01"), "dd-mm-yyyy")),0),0)</f>
        <v>13200</v>
      </c>
      <c r="I300" cm="1">
        <f t="array" ref="I300">IF($Q300&gt;=0,IFERROR(generateSalesData($D300, IF(ISNUMBER(_xlfn.XLOOKUP($C300,Phone_by_Sentiment!$B$2:$B$37,Phone_by_Sentiment!I$2:I$37,"",0,1)),_xlfn.XLOOKUP($C300,Phone_by_Sentiment!$B$2:$B$37,Phone_by_Sentiment!I$2:I$37,"",0,1),0),$A300-TEXT(DATEVALUE($D300&amp;"-01"), "dd-mm-yyyy")),0),0)</f>
        <v>3586</v>
      </c>
      <c r="J300" cm="1">
        <f t="array" ref="J300">IF($Q300&gt;=0,IFERROR(generateSalesData($D300, IF(ISNUMBER(_xlfn.XLOOKUP($C300,Phone_by_Sentiment!$B$2:$B$37,Phone_by_Sentiment!J$2:J$37,"",0,1)),_xlfn.XLOOKUP($C300,Phone_by_Sentiment!$B$2:$B$37,Phone_by_Sentiment!J$2:J$37,"",0,1),0),$A300-TEXT(DATEVALUE($D300&amp;"-01"), "dd-mm-yyyy")),0),0)</f>
        <v>10912</v>
      </c>
      <c r="K300" cm="1">
        <f t="array" ref="K300">IF($Q300&gt;=0,IFERROR(generateSalesData($D300, IF(ISNUMBER(_xlfn.XLOOKUP($C300,Phone_by_Sentiment!$B$2:$B$37,Phone_by_Sentiment!K$2:K$37,"",0,1)),_xlfn.XLOOKUP($C300,Phone_by_Sentiment!$B$2:$B$37,Phone_by_Sentiment!K$2:K$37,"",0,1),0),$A300-TEXT(DATEVALUE($D300&amp;"-01"), "dd-mm-yyyy")),0),0)</f>
        <v>1616</v>
      </c>
      <c r="L300" cm="1">
        <f t="array" ref="L300">IF($Q300&gt;=0,IFERROR(generateSalesData($D300, IF(ISNUMBER(_xlfn.XLOOKUP($C300,Phone_by_Sentiment!$B$2:$B$37,Phone_by_Sentiment!L$2:L$37,"",0,1)),_xlfn.XLOOKUP($C300,Phone_by_Sentiment!$B$2:$B$37,Phone_by_Sentiment!L$2:L$37,"",0,1),0),$A300-TEXT(DATEVALUE($D300&amp;"-01"), "dd-mm-yyyy")),0),0)</f>
        <v>6574</v>
      </c>
      <c r="M300" cm="1">
        <f t="array" ref="M300">IF($Q300&gt;=0,IFERROR(generateSalesData($D300, IF(ISNUMBER(_xlfn.XLOOKUP($C300,Phone_by_Sentiment!$B$2:$B$37,Phone_by_Sentiment!M$2:M$37,"",0,1)),_xlfn.XLOOKUP($C300,Phone_by_Sentiment!$B$2:$B$37,Phone_by_Sentiment!M$2:M$37,"",0,1),0),$A300-TEXT(DATEVALUE($D300&amp;"-01"), "dd-mm-yyyy")),0),0)</f>
        <v>276</v>
      </c>
      <c r="N300" cm="1">
        <f t="array" ref="N300">IF($Q300&gt;=0,IFERROR(generateSalesData($D300, IF(ISNUMBER(_xlfn.XLOOKUP($C300,Phone_by_Sentiment!$B$2:$B$37,Phone_by_Sentiment!N$2:N$37,"",0,1)),_xlfn.XLOOKUP($C300,Phone_by_Sentiment!$B$2:$B$37,Phone_by_Sentiment!N$2:N$37,"",0,1),0),$A300-TEXT(DATEVALUE($D300&amp;"-01"), "dd-mm-yyyy")),0),0)</f>
        <v>8649</v>
      </c>
      <c r="O300" cm="1">
        <f t="array" ref="O300">IF($Q300&gt;=0,IFERROR(generateSalesData($D300, IF(ISNUMBER(_xlfn.XLOOKUP($C300,Phone_by_Sentiment!$B$2:$B$37,Phone_by_Sentiment!O$2:O$37,"",0,1)),_xlfn.XLOOKUP($C300,Phone_by_Sentiment!$B$2:$B$37,Phone_by_Sentiment!O$2:O$37,"",0,1),0),$A300-TEXT(DATEVALUE($D300&amp;"-01"), "dd-mm-yyyy")),0),0)</f>
        <v>2392</v>
      </c>
      <c r="P300" s="1">
        <f t="shared" si="10"/>
        <v>43709</v>
      </c>
      <c r="Q300">
        <f t="shared" si="11"/>
        <v>0</v>
      </c>
    </row>
    <row r="301" spans="1:17" x14ac:dyDescent="0.25">
      <c r="A301" s="1">
        <f t="shared" si="9"/>
        <v>43709</v>
      </c>
      <c r="B301" t="s">
        <v>143</v>
      </c>
      <c r="C301" t="str">
        <f>_xlfn.XLOOKUP(B301,Phone_by_Price!$A$2:$A$34,Phone_by_Price!$B$2:$B$34,"-",0,1)</f>
        <v>Samsung Galaxy S20 Ultra</v>
      </c>
      <c r="D301" t="str">
        <f>_xlfn.XLOOKUP(C301,Phone_by_Sentiment!$B$2:$B$37,Phone_by_Sentiment!$A$2:$A$37,"-",0,1)</f>
        <v>2020-02</v>
      </c>
      <c r="E301" cm="1">
        <f t="array" ref="E301">IF($Q301&gt;=0,IFERROR(generateSalesData($D301, IF(ISNUMBER(_xlfn.XLOOKUP($C301,Phone_by_Sentiment!$B$2:$B$37,Phone_by_Sentiment!E$2:E$37,"",0,1)),_xlfn.XLOOKUP($C301,Phone_by_Sentiment!$B$2:$B$37,Phone_by_Sentiment!E$2:E$37,"",0,1),0),$A301-TEXT(DATEVALUE($D301&amp;"-01"), "dd-mm-yyyy")),0),0)</f>
        <v>0</v>
      </c>
      <c r="F301" cm="1">
        <f t="array" ref="F301">IF($Q301&gt;=0,IFERROR(generateSalesData($D301, IF(ISNUMBER(_xlfn.XLOOKUP($C301,Phone_by_Sentiment!$B$2:$B$37,Phone_by_Sentiment!F$2:F$37,"",0,1)),_xlfn.XLOOKUP($C301,Phone_by_Sentiment!$B$2:$B$37,Phone_by_Sentiment!F$2:F$37,"",0,1),0),$A301-TEXT(DATEVALUE($D301&amp;"-01"), "dd-mm-yyyy")),0),0)</f>
        <v>0</v>
      </c>
      <c r="G301" cm="1">
        <f t="array" ref="G301">IF($Q301&gt;=0,IFERROR(generateSalesData($D301, IF(ISNUMBER(_xlfn.XLOOKUP($C301,Phone_by_Sentiment!$B$2:$B$37,Phone_by_Sentiment!G$2:G$37,"",0,1)),_xlfn.XLOOKUP($C301,Phone_by_Sentiment!$B$2:$B$37,Phone_by_Sentiment!G$2:G$37,"",0,1),0),$A301-TEXT(DATEVALUE($D301&amp;"-01"), "dd-mm-yyyy")),0),0)</f>
        <v>0</v>
      </c>
      <c r="H301" cm="1">
        <f t="array" ref="H301">IF($Q301&gt;=0,IFERROR(generateSalesData($D301, IF(ISNUMBER(_xlfn.XLOOKUP($C301,Phone_by_Sentiment!$B$2:$B$37,Phone_by_Sentiment!H$2:H$37,"",0,1)),_xlfn.XLOOKUP($C301,Phone_by_Sentiment!$B$2:$B$37,Phone_by_Sentiment!H$2:H$37,"",0,1),0),$A301-TEXT(DATEVALUE($D301&amp;"-01"), "dd-mm-yyyy")),0),0)</f>
        <v>0</v>
      </c>
      <c r="I301" cm="1">
        <f t="array" ref="I301">IF($Q301&gt;=0,IFERROR(generateSalesData($D301, IF(ISNUMBER(_xlfn.XLOOKUP($C301,Phone_by_Sentiment!$B$2:$B$37,Phone_by_Sentiment!I$2:I$37,"",0,1)),_xlfn.XLOOKUP($C301,Phone_by_Sentiment!$B$2:$B$37,Phone_by_Sentiment!I$2:I$37,"",0,1),0),$A301-TEXT(DATEVALUE($D301&amp;"-01"), "dd-mm-yyyy")),0),0)</f>
        <v>0</v>
      </c>
      <c r="J301" cm="1">
        <f t="array" ref="J301">IF($Q301&gt;=0,IFERROR(generateSalesData($D301, IF(ISNUMBER(_xlfn.XLOOKUP($C301,Phone_by_Sentiment!$B$2:$B$37,Phone_by_Sentiment!J$2:J$37,"",0,1)),_xlfn.XLOOKUP($C301,Phone_by_Sentiment!$B$2:$B$37,Phone_by_Sentiment!J$2:J$37,"",0,1),0),$A301-TEXT(DATEVALUE($D301&amp;"-01"), "dd-mm-yyyy")),0),0)</f>
        <v>0</v>
      </c>
      <c r="K301" cm="1">
        <f t="array" ref="K301">IF($Q301&gt;=0,IFERROR(generateSalesData($D301, IF(ISNUMBER(_xlfn.XLOOKUP($C301,Phone_by_Sentiment!$B$2:$B$37,Phone_by_Sentiment!K$2:K$37,"",0,1)),_xlfn.XLOOKUP($C301,Phone_by_Sentiment!$B$2:$B$37,Phone_by_Sentiment!K$2:K$37,"",0,1),0),$A301-TEXT(DATEVALUE($D301&amp;"-01"), "dd-mm-yyyy")),0),0)</f>
        <v>0</v>
      </c>
      <c r="L301" cm="1">
        <f t="array" ref="L301">IF($Q301&gt;=0,IFERROR(generateSalesData($D301, IF(ISNUMBER(_xlfn.XLOOKUP($C301,Phone_by_Sentiment!$B$2:$B$37,Phone_by_Sentiment!L$2:L$37,"",0,1)),_xlfn.XLOOKUP($C301,Phone_by_Sentiment!$B$2:$B$37,Phone_by_Sentiment!L$2:L$37,"",0,1),0),$A301-TEXT(DATEVALUE($D301&amp;"-01"), "dd-mm-yyyy")),0),0)</f>
        <v>0</v>
      </c>
      <c r="M301" cm="1">
        <f t="array" ref="M301">IF($Q301&gt;=0,IFERROR(generateSalesData($D301, IF(ISNUMBER(_xlfn.XLOOKUP($C301,Phone_by_Sentiment!$B$2:$B$37,Phone_by_Sentiment!M$2:M$37,"",0,1)),_xlfn.XLOOKUP($C301,Phone_by_Sentiment!$B$2:$B$37,Phone_by_Sentiment!M$2:M$37,"",0,1),0),$A301-TEXT(DATEVALUE($D301&amp;"-01"), "dd-mm-yyyy")),0),0)</f>
        <v>0</v>
      </c>
      <c r="N301" cm="1">
        <f t="array" ref="N301">IF($Q301&gt;=0,IFERROR(generateSalesData($D301, IF(ISNUMBER(_xlfn.XLOOKUP($C301,Phone_by_Sentiment!$B$2:$B$37,Phone_by_Sentiment!N$2:N$37,"",0,1)),_xlfn.XLOOKUP($C301,Phone_by_Sentiment!$B$2:$B$37,Phone_by_Sentiment!N$2:N$37,"",0,1),0),$A301-TEXT(DATEVALUE($D301&amp;"-01"), "dd-mm-yyyy")),0),0)</f>
        <v>0</v>
      </c>
      <c r="O301" cm="1">
        <f t="array" ref="O301">IF($Q301&gt;=0,IFERROR(generateSalesData($D301, IF(ISNUMBER(_xlfn.XLOOKUP($C301,Phone_by_Sentiment!$B$2:$B$37,Phone_by_Sentiment!O$2:O$37,"",0,1)),_xlfn.XLOOKUP($C301,Phone_by_Sentiment!$B$2:$B$37,Phone_by_Sentiment!O$2:O$37,"",0,1),0),$A301-TEXT(DATEVALUE($D301&amp;"-01"), "dd-mm-yyyy")),0),0)</f>
        <v>0</v>
      </c>
      <c r="P301" s="1">
        <f t="shared" si="10"/>
        <v>43862</v>
      </c>
      <c r="Q301">
        <f t="shared" si="11"/>
        <v>-153</v>
      </c>
    </row>
    <row r="302" spans="1:17" x14ac:dyDescent="0.25">
      <c r="A302" s="1">
        <f t="shared" si="9"/>
        <v>43709</v>
      </c>
      <c r="B302" t="s">
        <v>144</v>
      </c>
      <c r="C302" t="str">
        <f>_xlfn.XLOOKUP(B302,Phone_by_Price!$A$2:$A$34,Phone_by_Price!$B$2:$B$34,"-",0,1)</f>
        <v>Xiaomi Redmi Note 10</v>
      </c>
      <c r="D302" t="str">
        <f>_xlfn.XLOOKUP(C302,Phone_by_Sentiment!$B$2:$B$37,Phone_by_Sentiment!$A$2:$A$37,"-",0,1)</f>
        <v>2021-03</v>
      </c>
      <c r="E302" cm="1">
        <f t="array" ref="E302">IF($Q302&gt;=0,IFERROR(generateSalesData($D302, IF(ISNUMBER(_xlfn.XLOOKUP($C302,Phone_by_Sentiment!$B$2:$B$37,Phone_by_Sentiment!E$2:E$37,"",0,1)),_xlfn.XLOOKUP($C302,Phone_by_Sentiment!$B$2:$B$37,Phone_by_Sentiment!E$2:E$37,"",0,1),0),$A302-TEXT(DATEVALUE($D302&amp;"-01"), "dd-mm-yyyy")),0),0)</f>
        <v>0</v>
      </c>
      <c r="F302" cm="1">
        <f t="array" ref="F302">IF($Q302&gt;=0,IFERROR(generateSalesData($D302, IF(ISNUMBER(_xlfn.XLOOKUP($C302,Phone_by_Sentiment!$B$2:$B$37,Phone_by_Sentiment!F$2:F$37,"",0,1)),_xlfn.XLOOKUP($C302,Phone_by_Sentiment!$B$2:$B$37,Phone_by_Sentiment!F$2:F$37,"",0,1),0),$A302-TEXT(DATEVALUE($D302&amp;"-01"), "dd-mm-yyyy")),0),0)</f>
        <v>0</v>
      </c>
      <c r="G302" cm="1">
        <f t="array" ref="G302">IF($Q302&gt;=0,IFERROR(generateSalesData($D302, IF(ISNUMBER(_xlfn.XLOOKUP($C302,Phone_by_Sentiment!$B$2:$B$37,Phone_by_Sentiment!G$2:G$37,"",0,1)),_xlfn.XLOOKUP($C302,Phone_by_Sentiment!$B$2:$B$37,Phone_by_Sentiment!G$2:G$37,"",0,1),0),$A302-TEXT(DATEVALUE($D302&amp;"-01"), "dd-mm-yyyy")),0),0)</f>
        <v>0</v>
      </c>
      <c r="H302" cm="1">
        <f t="array" ref="H302">IF($Q302&gt;=0,IFERROR(generateSalesData($D302, IF(ISNUMBER(_xlfn.XLOOKUP($C302,Phone_by_Sentiment!$B$2:$B$37,Phone_by_Sentiment!H$2:H$37,"",0,1)),_xlfn.XLOOKUP($C302,Phone_by_Sentiment!$B$2:$B$37,Phone_by_Sentiment!H$2:H$37,"",0,1),0),$A302-TEXT(DATEVALUE($D302&amp;"-01"), "dd-mm-yyyy")),0),0)</f>
        <v>0</v>
      </c>
      <c r="I302" cm="1">
        <f t="array" ref="I302">IF($Q302&gt;=0,IFERROR(generateSalesData($D302, IF(ISNUMBER(_xlfn.XLOOKUP($C302,Phone_by_Sentiment!$B$2:$B$37,Phone_by_Sentiment!I$2:I$37,"",0,1)),_xlfn.XLOOKUP($C302,Phone_by_Sentiment!$B$2:$B$37,Phone_by_Sentiment!I$2:I$37,"",0,1),0),$A302-TEXT(DATEVALUE($D302&amp;"-01"), "dd-mm-yyyy")),0),0)</f>
        <v>0</v>
      </c>
      <c r="J302" cm="1">
        <f t="array" ref="J302">IF($Q302&gt;=0,IFERROR(generateSalesData($D302, IF(ISNUMBER(_xlfn.XLOOKUP($C302,Phone_by_Sentiment!$B$2:$B$37,Phone_by_Sentiment!J$2:J$37,"",0,1)),_xlfn.XLOOKUP($C302,Phone_by_Sentiment!$B$2:$B$37,Phone_by_Sentiment!J$2:J$37,"",0,1),0),$A302-TEXT(DATEVALUE($D302&amp;"-01"), "dd-mm-yyyy")),0),0)</f>
        <v>0</v>
      </c>
      <c r="K302" cm="1">
        <f t="array" ref="K302">IF($Q302&gt;=0,IFERROR(generateSalesData($D302, IF(ISNUMBER(_xlfn.XLOOKUP($C302,Phone_by_Sentiment!$B$2:$B$37,Phone_by_Sentiment!K$2:K$37,"",0,1)),_xlfn.XLOOKUP($C302,Phone_by_Sentiment!$B$2:$B$37,Phone_by_Sentiment!K$2:K$37,"",0,1),0),$A302-TEXT(DATEVALUE($D302&amp;"-01"), "dd-mm-yyyy")),0),0)</f>
        <v>0</v>
      </c>
      <c r="L302" cm="1">
        <f t="array" ref="L302">IF($Q302&gt;=0,IFERROR(generateSalesData($D302, IF(ISNUMBER(_xlfn.XLOOKUP($C302,Phone_by_Sentiment!$B$2:$B$37,Phone_by_Sentiment!L$2:L$37,"",0,1)),_xlfn.XLOOKUP($C302,Phone_by_Sentiment!$B$2:$B$37,Phone_by_Sentiment!L$2:L$37,"",0,1),0),$A302-TEXT(DATEVALUE($D302&amp;"-01"), "dd-mm-yyyy")),0),0)</f>
        <v>0</v>
      </c>
      <c r="M302" cm="1">
        <f t="array" ref="M302">IF($Q302&gt;=0,IFERROR(generateSalesData($D302, IF(ISNUMBER(_xlfn.XLOOKUP($C302,Phone_by_Sentiment!$B$2:$B$37,Phone_by_Sentiment!M$2:M$37,"",0,1)),_xlfn.XLOOKUP($C302,Phone_by_Sentiment!$B$2:$B$37,Phone_by_Sentiment!M$2:M$37,"",0,1),0),$A302-TEXT(DATEVALUE($D302&amp;"-01"), "dd-mm-yyyy")),0),0)</f>
        <v>0</v>
      </c>
      <c r="N302" cm="1">
        <f t="array" ref="N302">IF($Q302&gt;=0,IFERROR(generateSalesData($D302, IF(ISNUMBER(_xlfn.XLOOKUP($C302,Phone_by_Sentiment!$B$2:$B$37,Phone_by_Sentiment!N$2:N$37,"",0,1)),_xlfn.XLOOKUP($C302,Phone_by_Sentiment!$B$2:$B$37,Phone_by_Sentiment!N$2:N$37,"",0,1),0),$A302-TEXT(DATEVALUE($D302&amp;"-01"), "dd-mm-yyyy")),0),0)</f>
        <v>0</v>
      </c>
      <c r="O302" cm="1">
        <f t="array" ref="O302">IF($Q302&gt;=0,IFERROR(generateSalesData($D302, IF(ISNUMBER(_xlfn.XLOOKUP($C302,Phone_by_Sentiment!$B$2:$B$37,Phone_by_Sentiment!O$2:O$37,"",0,1)),_xlfn.XLOOKUP($C302,Phone_by_Sentiment!$B$2:$B$37,Phone_by_Sentiment!O$2:O$37,"",0,1),0),$A302-TEXT(DATEVALUE($D302&amp;"-01"), "dd-mm-yyyy")),0),0)</f>
        <v>0</v>
      </c>
      <c r="P302" s="1">
        <f t="shared" si="10"/>
        <v>44256</v>
      </c>
      <c r="Q302">
        <f t="shared" si="11"/>
        <v>-547</v>
      </c>
    </row>
    <row r="303" spans="1:17" x14ac:dyDescent="0.25">
      <c r="A303" s="1">
        <f t="shared" si="9"/>
        <v>43709</v>
      </c>
      <c r="B303" t="s">
        <v>145</v>
      </c>
      <c r="C303" t="str">
        <f>_xlfn.XLOOKUP(B303,Phone_by_Price!$A$2:$A$34,Phone_by_Price!$B$2:$B$34,"-",0,1)</f>
        <v>OPPO A54</v>
      </c>
      <c r="D303" t="str">
        <f>_xlfn.XLOOKUP(C303,Phone_by_Sentiment!$B$2:$B$37,Phone_by_Sentiment!$A$2:$A$37,"-",0,1)</f>
        <v>2021-04</v>
      </c>
      <c r="E303" cm="1">
        <f t="array" ref="E303">IF($Q303&gt;=0,IFERROR(generateSalesData($D303, IF(ISNUMBER(_xlfn.XLOOKUP($C303,Phone_by_Sentiment!$B$2:$B$37,Phone_by_Sentiment!E$2:E$37,"",0,1)),_xlfn.XLOOKUP($C303,Phone_by_Sentiment!$B$2:$B$37,Phone_by_Sentiment!E$2:E$37,"",0,1),0),$A303-TEXT(DATEVALUE($D303&amp;"-01"), "dd-mm-yyyy")),0),0)</f>
        <v>0</v>
      </c>
      <c r="F303" cm="1">
        <f t="array" ref="F303">IF($Q303&gt;=0,IFERROR(generateSalesData($D303, IF(ISNUMBER(_xlfn.XLOOKUP($C303,Phone_by_Sentiment!$B$2:$B$37,Phone_by_Sentiment!F$2:F$37,"",0,1)),_xlfn.XLOOKUP($C303,Phone_by_Sentiment!$B$2:$B$37,Phone_by_Sentiment!F$2:F$37,"",0,1),0),$A303-TEXT(DATEVALUE($D303&amp;"-01"), "dd-mm-yyyy")),0),0)</f>
        <v>0</v>
      </c>
      <c r="G303" cm="1">
        <f t="array" ref="G303">IF($Q303&gt;=0,IFERROR(generateSalesData($D303, IF(ISNUMBER(_xlfn.XLOOKUP($C303,Phone_by_Sentiment!$B$2:$B$37,Phone_by_Sentiment!G$2:G$37,"",0,1)),_xlfn.XLOOKUP($C303,Phone_by_Sentiment!$B$2:$B$37,Phone_by_Sentiment!G$2:G$37,"",0,1),0),$A303-TEXT(DATEVALUE($D303&amp;"-01"), "dd-mm-yyyy")),0),0)</f>
        <v>0</v>
      </c>
      <c r="H303" cm="1">
        <f t="array" ref="H303">IF($Q303&gt;=0,IFERROR(generateSalesData($D303, IF(ISNUMBER(_xlfn.XLOOKUP($C303,Phone_by_Sentiment!$B$2:$B$37,Phone_by_Sentiment!H$2:H$37,"",0,1)),_xlfn.XLOOKUP($C303,Phone_by_Sentiment!$B$2:$B$37,Phone_by_Sentiment!H$2:H$37,"",0,1),0),$A303-TEXT(DATEVALUE($D303&amp;"-01"), "dd-mm-yyyy")),0),0)</f>
        <v>0</v>
      </c>
      <c r="I303" cm="1">
        <f t="array" ref="I303">IF($Q303&gt;=0,IFERROR(generateSalesData($D303, IF(ISNUMBER(_xlfn.XLOOKUP($C303,Phone_by_Sentiment!$B$2:$B$37,Phone_by_Sentiment!I$2:I$37,"",0,1)),_xlfn.XLOOKUP($C303,Phone_by_Sentiment!$B$2:$B$37,Phone_by_Sentiment!I$2:I$37,"",0,1),0),$A303-TEXT(DATEVALUE($D303&amp;"-01"), "dd-mm-yyyy")),0),0)</f>
        <v>0</v>
      </c>
      <c r="J303" cm="1">
        <f t="array" ref="J303">IF($Q303&gt;=0,IFERROR(generateSalesData($D303, IF(ISNUMBER(_xlfn.XLOOKUP($C303,Phone_by_Sentiment!$B$2:$B$37,Phone_by_Sentiment!J$2:J$37,"",0,1)),_xlfn.XLOOKUP($C303,Phone_by_Sentiment!$B$2:$B$37,Phone_by_Sentiment!J$2:J$37,"",0,1),0),$A303-TEXT(DATEVALUE($D303&amp;"-01"), "dd-mm-yyyy")),0),0)</f>
        <v>0</v>
      </c>
      <c r="K303" cm="1">
        <f t="array" ref="K303">IF($Q303&gt;=0,IFERROR(generateSalesData($D303, IF(ISNUMBER(_xlfn.XLOOKUP($C303,Phone_by_Sentiment!$B$2:$B$37,Phone_by_Sentiment!K$2:K$37,"",0,1)),_xlfn.XLOOKUP($C303,Phone_by_Sentiment!$B$2:$B$37,Phone_by_Sentiment!K$2:K$37,"",0,1),0),$A303-TEXT(DATEVALUE($D303&amp;"-01"), "dd-mm-yyyy")),0),0)</f>
        <v>0</v>
      </c>
      <c r="L303" cm="1">
        <f t="array" ref="L303">IF($Q303&gt;=0,IFERROR(generateSalesData($D303, IF(ISNUMBER(_xlfn.XLOOKUP($C303,Phone_by_Sentiment!$B$2:$B$37,Phone_by_Sentiment!L$2:L$37,"",0,1)),_xlfn.XLOOKUP($C303,Phone_by_Sentiment!$B$2:$B$37,Phone_by_Sentiment!L$2:L$37,"",0,1),0),$A303-TEXT(DATEVALUE($D303&amp;"-01"), "dd-mm-yyyy")),0),0)</f>
        <v>0</v>
      </c>
      <c r="M303" cm="1">
        <f t="array" ref="M303">IF($Q303&gt;=0,IFERROR(generateSalesData($D303, IF(ISNUMBER(_xlfn.XLOOKUP($C303,Phone_by_Sentiment!$B$2:$B$37,Phone_by_Sentiment!M$2:M$37,"",0,1)),_xlfn.XLOOKUP($C303,Phone_by_Sentiment!$B$2:$B$37,Phone_by_Sentiment!M$2:M$37,"",0,1),0),$A303-TEXT(DATEVALUE($D303&amp;"-01"), "dd-mm-yyyy")),0),0)</f>
        <v>0</v>
      </c>
      <c r="N303" cm="1">
        <f t="array" ref="N303">IF($Q303&gt;=0,IFERROR(generateSalesData($D303, IF(ISNUMBER(_xlfn.XLOOKUP($C303,Phone_by_Sentiment!$B$2:$B$37,Phone_by_Sentiment!N$2:N$37,"",0,1)),_xlfn.XLOOKUP($C303,Phone_by_Sentiment!$B$2:$B$37,Phone_by_Sentiment!N$2:N$37,"",0,1),0),$A303-TEXT(DATEVALUE($D303&amp;"-01"), "dd-mm-yyyy")),0),0)</f>
        <v>0</v>
      </c>
      <c r="O303" cm="1">
        <f t="array" ref="O303">IF($Q303&gt;=0,IFERROR(generateSalesData($D303, IF(ISNUMBER(_xlfn.XLOOKUP($C303,Phone_by_Sentiment!$B$2:$B$37,Phone_by_Sentiment!O$2:O$37,"",0,1)),_xlfn.XLOOKUP($C303,Phone_by_Sentiment!$B$2:$B$37,Phone_by_Sentiment!O$2:O$37,"",0,1),0),$A303-TEXT(DATEVALUE($D303&amp;"-01"), "dd-mm-yyyy")),0),0)</f>
        <v>0</v>
      </c>
      <c r="P303" s="1">
        <f t="shared" si="10"/>
        <v>44287</v>
      </c>
      <c r="Q303">
        <f t="shared" si="11"/>
        <v>-578</v>
      </c>
    </row>
    <row r="304" spans="1:17" x14ac:dyDescent="0.25">
      <c r="A304" s="1">
        <f t="shared" si="9"/>
        <v>43709</v>
      </c>
      <c r="B304" t="s">
        <v>146</v>
      </c>
      <c r="C304" t="str">
        <f>_xlfn.XLOOKUP(B304,Phone_by_Price!$A$2:$A$34,Phone_by_Price!$B$2:$B$34,"-",0,1)</f>
        <v>Vivo Y20</v>
      </c>
      <c r="D304" t="str">
        <f>_xlfn.XLOOKUP(C304,Phone_by_Sentiment!$B$2:$B$37,Phone_by_Sentiment!$A$2:$A$37,"-",0,1)</f>
        <v>2020-09</v>
      </c>
      <c r="E304" cm="1">
        <f t="array" ref="E304">IF($Q304&gt;=0,IFERROR(generateSalesData($D304, IF(ISNUMBER(_xlfn.XLOOKUP($C304,Phone_by_Sentiment!$B$2:$B$37,Phone_by_Sentiment!E$2:E$37,"",0,1)),_xlfn.XLOOKUP($C304,Phone_by_Sentiment!$B$2:$B$37,Phone_by_Sentiment!E$2:E$37,"",0,1),0),$A304-TEXT(DATEVALUE($D304&amp;"-01"), "dd-mm-yyyy")),0),0)</f>
        <v>0</v>
      </c>
      <c r="F304" cm="1">
        <f t="array" ref="F304">IF($Q304&gt;=0,IFERROR(generateSalesData($D304, IF(ISNUMBER(_xlfn.XLOOKUP($C304,Phone_by_Sentiment!$B$2:$B$37,Phone_by_Sentiment!F$2:F$37,"",0,1)),_xlfn.XLOOKUP($C304,Phone_by_Sentiment!$B$2:$B$37,Phone_by_Sentiment!F$2:F$37,"",0,1),0),$A304-TEXT(DATEVALUE($D304&amp;"-01"), "dd-mm-yyyy")),0),0)</f>
        <v>0</v>
      </c>
      <c r="G304" cm="1">
        <f t="array" ref="G304">IF($Q304&gt;=0,IFERROR(generateSalesData($D304, IF(ISNUMBER(_xlfn.XLOOKUP($C304,Phone_by_Sentiment!$B$2:$B$37,Phone_by_Sentiment!G$2:G$37,"",0,1)),_xlfn.XLOOKUP($C304,Phone_by_Sentiment!$B$2:$B$37,Phone_by_Sentiment!G$2:G$37,"",0,1),0),$A304-TEXT(DATEVALUE($D304&amp;"-01"), "dd-mm-yyyy")),0),0)</f>
        <v>0</v>
      </c>
      <c r="H304" cm="1">
        <f t="array" ref="H304">IF($Q304&gt;=0,IFERROR(generateSalesData($D304, IF(ISNUMBER(_xlfn.XLOOKUP($C304,Phone_by_Sentiment!$B$2:$B$37,Phone_by_Sentiment!H$2:H$37,"",0,1)),_xlfn.XLOOKUP($C304,Phone_by_Sentiment!$B$2:$B$37,Phone_by_Sentiment!H$2:H$37,"",0,1),0),$A304-TEXT(DATEVALUE($D304&amp;"-01"), "dd-mm-yyyy")),0),0)</f>
        <v>0</v>
      </c>
      <c r="I304" cm="1">
        <f t="array" ref="I304">IF($Q304&gt;=0,IFERROR(generateSalesData($D304, IF(ISNUMBER(_xlfn.XLOOKUP($C304,Phone_by_Sentiment!$B$2:$B$37,Phone_by_Sentiment!I$2:I$37,"",0,1)),_xlfn.XLOOKUP($C304,Phone_by_Sentiment!$B$2:$B$37,Phone_by_Sentiment!I$2:I$37,"",0,1),0),$A304-TEXT(DATEVALUE($D304&amp;"-01"), "dd-mm-yyyy")),0),0)</f>
        <v>0</v>
      </c>
      <c r="J304" cm="1">
        <f t="array" ref="J304">IF($Q304&gt;=0,IFERROR(generateSalesData($D304, IF(ISNUMBER(_xlfn.XLOOKUP($C304,Phone_by_Sentiment!$B$2:$B$37,Phone_by_Sentiment!J$2:J$37,"",0,1)),_xlfn.XLOOKUP($C304,Phone_by_Sentiment!$B$2:$B$37,Phone_by_Sentiment!J$2:J$37,"",0,1),0),$A304-TEXT(DATEVALUE($D304&amp;"-01"), "dd-mm-yyyy")),0),0)</f>
        <v>0</v>
      </c>
      <c r="K304" cm="1">
        <f t="array" ref="K304">IF($Q304&gt;=0,IFERROR(generateSalesData($D304, IF(ISNUMBER(_xlfn.XLOOKUP($C304,Phone_by_Sentiment!$B$2:$B$37,Phone_by_Sentiment!K$2:K$37,"",0,1)),_xlfn.XLOOKUP($C304,Phone_by_Sentiment!$B$2:$B$37,Phone_by_Sentiment!K$2:K$37,"",0,1),0),$A304-TEXT(DATEVALUE($D304&amp;"-01"), "dd-mm-yyyy")),0),0)</f>
        <v>0</v>
      </c>
      <c r="L304" cm="1">
        <f t="array" ref="L304">IF($Q304&gt;=0,IFERROR(generateSalesData($D304, IF(ISNUMBER(_xlfn.XLOOKUP($C304,Phone_by_Sentiment!$B$2:$B$37,Phone_by_Sentiment!L$2:L$37,"",0,1)),_xlfn.XLOOKUP($C304,Phone_by_Sentiment!$B$2:$B$37,Phone_by_Sentiment!L$2:L$37,"",0,1),0),$A304-TEXT(DATEVALUE($D304&amp;"-01"), "dd-mm-yyyy")),0),0)</f>
        <v>0</v>
      </c>
      <c r="M304" cm="1">
        <f t="array" ref="M304">IF($Q304&gt;=0,IFERROR(generateSalesData($D304, IF(ISNUMBER(_xlfn.XLOOKUP($C304,Phone_by_Sentiment!$B$2:$B$37,Phone_by_Sentiment!M$2:M$37,"",0,1)),_xlfn.XLOOKUP($C304,Phone_by_Sentiment!$B$2:$B$37,Phone_by_Sentiment!M$2:M$37,"",0,1),0),$A304-TEXT(DATEVALUE($D304&amp;"-01"), "dd-mm-yyyy")),0),0)</f>
        <v>0</v>
      </c>
      <c r="N304" cm="1">
        <f t="array" ref="N304">IF($Q304&gt;=0,IFERROR(generateSalesData($D304, IF(ISNUMBER(_xlfn.XLOOKUP($C304,Phone_by_Sentiment!$B$2:$B$37,Phone_by_Sentiment!N$2:N$37,"",0,1)),_xlfn.XLOOKUP($C304,Phone_by_Sentiment!$B$2:$B$37,Phone_by_Sentiment!N$2:N$37,"",0,1),0),$A304-TEXT(DATEVALUE($D304&amp;"-01"), "dd-mm-yyyy")),0),0)</f>
        <v>0</v>
      </c>
      <c r="O304" cm="1">
        <f t="array" ref="O304">IF($Q304&gt;=0,IFERROR(generateSalesData($D304, IF(ISNUMBER(_xlfn.XLOOKUP($C304,Phone_by_Sentiment!$B$2:$B$37,Phone_by_Sentiment!O$2:O$37,"",0,1)),_xlfn.XLOOKUP($C304,Phone_by_Sentiment!$B$2:$B$37,Phone_by_Sentiment!O$2:O$37,"",0,1),0),$A304-TEXT(DATEVALUE($D304&amp;"-01"), "dd-mm-yyyy")),0),0)</f>
        <v>0</v>
      </c>
      <c r="P304" s="1">
        <f t="shared" si="10"/>
        <v>44075</v>
      </c>
      <c r="Q304">
        <f t="shared" si="11"/>
        <v>-366</v>
      </c>
    </row>
    <row r="305" spans="1:17" x14ac:dyDescent="0.25">
      <c r="A305" s="1">
        <f t="shared" si="9"/>
        <v>43709</v>
      </c>
      <c r="B305" t="s">
        <v>147</v>
      </c>
      <c r="C305" t="str">
        <f>_xlfn.XLOOKUP(B305,Phone_by_Price!$A$2:$A$34,Phone_by_Price!$B$2:$B$34,"-",0,1)</f>
        <v>Huawei Y9a</v>
      </c>
      <c r="D305" t="str">
        <f>_xlfn.XLOOKUP(C305,Phone_by_Sentiment!$B$2:$B$37,Phone_by_Sentiment!$A$2:$A$37,"-",0,1)</f>
        <v>2020-02</v>
      </c>
      <c r="E305" cm="1">
        <f t="array" ref="E305">IF($Q305&gt;=0,IFERROR(generateSalesData($D305, IF(ISNUMBER(_xlfn.XLOOKUP($C305,Phone_by_Sentiment!$B$2:$B$37,Phone_by_Sentiment!E$2:E$37,"",0,1)),_xlfn.XLOOKUP($C305,Phone_by_Sentiment!$B$2:$B$37,Phone_by_Sentiment!E$2:E$37,"",0,1),0),$A305-TEXT(DATEVALUE($D305&amp;"-01"), "dd-mm-yyyy")),0),0)</f>
        <v>0</v>
      </c>
      <c r="F305" cm="1">
        <f t="array" ref="F305">IF($Q305&gt;=0,IFERROR(generateSalesData($D305, IF(ISNUMBER(_xlfn.XLOOKUP($C305,Phone_by_Sentiment!$B$2:$B$37,Phone_by_Sentiment!F$2:F$37,"",0,1)),_xlfn.XLOOKUP($C305,Phone_by_Sentiment!$B$2:$B$37,Phone_by_Sentiment!F$2:F$37,"",0,1),0),$A305-TEXT(DATEVALUE($D305&amp;"-01"), "dd-mm-yyyy")),0),0)</f>
        <v>0</v>
      </c>
      <c r="G305" cm="1">
        <f t="array" ref="G305">IF($Q305&gt;=0,IFERROR(generateSalesData($D305, IF(ISNUMBER(_xlfn.XLOOKUP($C305,Phone_by_Sentiment!$B$2:$B$37,Phone_by_Sentiment!G$2:G$37,"",0,1)),_xlfn.XLOOKUP($C305,Phone_by_Sentiment!$B$2:$B$37,Phone_by_Sentiment!G$2:G$37,"",0,1),0),$A305-TEXT(DATEVALUE($D305&amp;"-01"), "dd-mm-yyyy")),0),0)</f>
        <v>0</v>
      </c>
      <c r="H305" cm="1">
        <f t="array" ref="H305">IF($Q305&gt;=0,IFERROR(generateSalesData($D305, IF(ISNUMBER(_xlfn.XLOOKUP($C305,Phone_by_Sentiment!$B$2:$B$37,Phone_by_Sentiment!H$2:H$37,"",0,1)),_xlfn.XLOOKUP($C305,Phone_by_Sentiment!$B$2:$B$37,Phone_by_Sentiment!H$2:H$37,"",0,1),0),$A305-TEXT(DATEVALUE($D305&amp;"-01"), "dd-mm-yyyy")),0),0)</f>
        <v>0</v>
      </c>
      <c r="I305" cm="1">
        <f t="array" ref="I305">IF($Q305&gt;=0,IFERROR(generateSalesData($D305, IF(ISNUMBER(_xlfn.XLOOKUP($C305,Phone_by_Sentiment!$B$2:$B$37,Phone_by_Sentiment!I$2:I$37,"",0,1)),_xlfn.XLOOKUP($C305,Phone_by_Sentiment!$B$2:$B$37,Phone_by_Sentiment!I$2:I$37,"",0,1),0),$A305-TEXT(DATEVALUE($D305&amp;"-01"), "dd-mm-yyyy")),0),0)</f>
        <v>0</v>
      </c>
      <c r="J305" cm="1">
        <f t="array" ref="J305">IF($Q305&gt;=0,IFERROR(generateSalesData($D305, IF(ISNUMBER(_xlfn.XLOOKUP($C305,Phone_by_Sentiment!$B$2:$B$37,Phone_by_Sentiment!J$2:J$37,"",0,1)),_xlfn.XLOOKUP($C305,Phone_by_Sentiment!$B$2:$B$37,Phone_by_Sentiment!J$2:J$37,"",0,1),0),$A305-TEXT(DATEVALUE($D305&amp;"-01"), "dd-mm-yyyy")),0),0)</f>
        <v>0</v>
      </c>
      <c r="K305" cm="1">
        <f t="array" ref="K305">IF($Q305&gt;=0,IFERROR(generateSalesData($D305, IF(ISNUMBER(_xlfn.XLOOKUP($C305,Phone_by_Sentiment!$B$2:$B$37,Phone_by_Sentiment!K$2:K$37,"",0,1)),_xlfn.XLOOKUP($C305,Phone_by_Sentiment!$B$2:$B$37,Phone_by_Sentiment!K$2:K$37,"",0,1),0),$A305-TEXT(DATEVALUE($D305&amp;"-01"), "dd-mm-yyyy")),0),0)</f>
        <v>0</v>
      </c>
      <c r="L305" cm="1">
        <f t="array" ref="L305">IF($Q305&gt;=0,IFERROR(generateSalesData($D305, IF(ISNUMBER(_xlfn.XLOOKUP($C305,Phone_by_Sentiment!$B$2:$B$37,Phone_by_Sentiment!L$2:L$37,"",0,1)),_xlfn.XLOOKUP($C305,Phone_by_Sentiment!$B$2:$B$37,Phone_by_Sentiment!L$2:L$37,"",0,1),0),$A305-TEXT(DATEVALUE($D305&amp;"-01"), "dd-mm-yyyy")),0),0)</f>
        <v>0</v>
      </c>
      <c r="M305" cm="1">
        <f t="array" ref="M305">IF($Q305&gt;=0,IFERROR(generateSalesData($D305, IF(ISNUMBER(_xlfn.XLOOKUP($C305,Phone_by_Sentiment!$B$2:$B$37,Phone_by_Sentiment!M$2:M$37,"",0,1)),_xlfn.XLOOKUP($C305,Phone_by_Sentiment!$B$2:$B$37,Phone_by_Sentiment!M$2:M$37,"",0,1),0),$A305-TEXT(DATEVALUE($D305&amp;"-01"), "dd-mm-yyyy")),0),0)</f>
        <v>0</v>
      </c>
      <c r="N305" cm="1">
        <f t="array" ref="N305">IF($Q305&gt;=0,IFERROR(generateSalesData($D305, IF(ISNUMBER(_xlfn.XLOOKUP($C305,Phone_by_Sentiment!$B$2:$B$37,Phone_by_Sentiment!N$2:N$37,"",0,1)),_xlfn.XLOOKUP($C305,Phone_by_Sentiment!$B$2:$B$37,Phone_by_Sentiment!N$2:N$37,"",0,1),0),$A305-TEXT(DATEVALUE($D305&amp;"-01"), "dd-mm-yyyy")),0),0)</f>
        <v>0</v>
      </c>
      <c r="O305" cm="1">
        <f t="array" ref="O305">IF($Q305&gt;=0,IFERROR(generateSalesData($D305, IF(ISNUMBER(_xlfn.XLOOKUP($C305,Phone_by_Sentiment!$B$2:$B$37,Phone_by_Sentiment!O$2:O$37,"",0,1)),_xlfn.XLOOKUP($C305,Phone_by_Sentiment!$B$2:$B$37,Phone_by_Sentiment!O$2:O$37,"",0,1),0),$A305-TEXT(DATEVALUE($D305&amp;"-01"), "dd-mm-yyyy")),0),0)</f>
        <v>0</v>
      </c>
      <c r="P305" s="1">
        <f t="shared" si="10"/>
        <v>43862</v>
      </c>
      <c r="Q305">
        <f t="shared" si="11"/>
        <v>-153</v>
      </c>
    </row>
    <row r="306" spans="1:17" x14ac:dyDescent="0.25">
      <c r="A306" s="1">
        <f t="shared" si="9"/>
        <v>43709</v>
      </c>
      <c r="B306" t="s">
        <v>148</v>
      </c>
      <c r="C306" t="str">
        <f>_xlfn.XLOOKUP(B306,Phone_by_Price!$A$2:$A$34,Phone_by_Price!$B$2:$B$34,"-",0,1)</f>
        <v>Xiaomi Redmi 10</v>
      </c>
      <c r="D306" t="str">
        <f>_xlfn.XLOOKUP(C306,Phone_by_Sentiment!$B$2:$B$37,Phone_by_Sentiment!$A$2:$A$37,"-",0,1)</f>
        <v>2021-03</v>
      </c>
      <c r="E306" cm="1">
        <f t="array" ref="E306">IF($Q306&gt;=0,IFERROR(generateSalesData($D306, IF(ISNUMBER(_xlfn.XLOOKUP($C306,Phone_by_Sentiment!$B$2:$B$37,Phone_by_Sentiment!E$2:E$37,"",0,1)),_xlfn.XLOOKUP($C306,Phone_by_Sentiment!$B$2:$B$37,Phone_by_Sentiment!E$2:E$37,"",0,1),0),$A306-TEXT(DATEVALUE($D306&amp;"-01"), "dd-mm-yyyy")),0),0)</f>
        <v>0</v>
      </c>
      <c r="F306" cm="1">
        <f t="array" ref="F306">IF($Q306&gt;=0,IFERROR(generateSalesData($D306, IF(ISNUMBER(_xlfn.XLOOKUP($C306,Phone_by_Sentiment!$B$2:$B$37,Phone_by_Sentiment!F$2:F$37,"",0,1)),_xlfn.XLOOKUP($C306,Phone_by_Sentiment!$B$2:$B$37,Phone_by_Sentiment!F$2:F$37,"",0,1),0),$A306-TEXT(DATEVALUE($D306&amp;"-01"), "dd-mm-yyyy")),0),0)</f>
        <v>0</v>
      </c>
      <c r="G306" cm="1">
        <f t="array" ref="G306">IF($Q306&gt;=0,IFERROR(generateSalesData($D306, IF(ISNUMBER(_xlfn.XLOOKUP($C306,Phone_by_Sentiment!$B$2:$B$37,Phone_by_Sentiment!G$2:G$37,"",0,1)),_xlfn.XLOOKUP($C306,Phone_by_Sentiment!$B$2:$B$37,Phone_by_Sentiment!G$2:G$37,"",0,1),0),$A306-TEXT(DATEVALUE($D306&amp;"-01"), "dd-mm-yyyy")),0),0)</f>
        <v>0</v>
      </c>
      <c r="H306" cm="1">
        <f t="array" ref="H306">IF($Q306&gt;=0,IFERROR(generateSalesData($D306, IF(ISNUMBER(_xlfn.XLOOKUP($C306,Phone_by_Sentiment!$B$2:$B$37,Phone_by_Sentiment!H$2:H$37,"",0,1)),_xlfn.XLOOKUP($C306,Phone_by_Sentiment!$B$2:$B$37,Phone_by_Sentiment!H$2:H$37,"",0,1),0),$A306-TEXT(DATEVALUE($D306&amp;"-01"), "dd-mm-yyyy")),0),0)</f>
        <v>0</v>
      </c>
      <c r="I306" cm="1">
        <f t="array" ref="I306">IF($Q306&gt;=0,IFERROR(generateSalesData($D306, IF(ISNUMBER(_xlfn.XLOOKUP($C306,Phone_by_Sentiment!$B$2:$B$37,Phone_by_Sentiment!I$2:I$37,"",0,1)),_xlfn.XLOOKUP($C306,Phone_by_Sentiment!$B$2:$B$37,Phone_by_Sentiment!I$2:I$37,"",0,1),0),$A306-TEXT(DATEVALUE($D306&amp;"-01"), "dd-mm-yyyy")),0),0)</f>
        <v>0</v>
      </c>
      <c r="J306" cm="1">
        <f t="array" ref="J306">IF($Q306&gt;=0,IFERROR(generateSalesData($D306, IF(ISNUMBER(_xlfn.XLOOKUP($C306,Phone_by_Sentiment!$B$2:$B$37,Phone_by_Sentiment!J$2:J$37,"",0,1)),_xlfn.XLOOKUP($C306,Phone_by_Sentiment!$B$2:$B$37,Phone_by_Sentiment!J$2:J$37,"",0,1),0),$A306-TEXT(DATEVALUE($D306&amp;"-01"), "dd-mm-yyyy")),0),0)</f>
        <v>0</v>
      </c>
      <c r="K306" cm="1">
        <f t="array" ref="K306">IF($Q306&gt;=0,IFERROR(generateSalesData($D306, IF(ISNUMBER(_xlfn.XLOOKUP($C306,Phone_by_Sentiment!$B$2:$B$37,Phone_by_Sentiment!K$2:K$37,"",0,1)),_xlfn.XLOOKUP($C306,Phone_by_Sentiment!$B$2:$B$37,Phone_by_Sentiment!K$2:K$37,"",0,1),0),$A306-TEXT(DATEVALUE($D306&amp;"-01"), "dd-mm-yyyy")),0),0)</f>
        <v>0</v>
      </c>
      <c r="L306" cm="1">
        <f t="array" ref="L306">IF($Q306&gt;=0,IFERROR(generateSalesData($D306, IF(ISNUMBER(_xlfn.XLOOKUP($C306,Phone_by_Sentiment!$B$2:$B$37,Phone_by_Sentiment!L$2:L$37,"",0,1)),_xlfn.XLOOKUP($C306,Phone_by_Sentiment!$B$2:$B$37,Phone_by_Sentiment!L$2:L$37,"",0,1),0),$A306-TEXT(DATEVALUE($D306&amp;"-01"), "dd-mm-yyyy")),0),0)</f>
        <v>0</v>
      </c>
      <c r="M306" cm="1">
        <f t="array" ref="M306">IF($Q306&gt;=0,IFERROR(generateSalesData($D306, IF(ISNUMBER(_xlfn.XLOOKUP($C306,Phone_by_Sentiment!$B$2:$B$37,Phone_by_Sentiment!M$2:M$37,"",0,1)),_xlfn.XLOOKUP($C306,Phone_by_Sentiment!$B$2:$B$37,Phone_by_Sentiment!M$2:M$37,"",0,1),0),$A306-TEXT(DATEVALUE($D306&amp;"-01"), "dd-mm-yyyy")),0),0)</f>
        <v>0</v>
      </c>
      <c r="N306" cm="1">
        <f t="array" ref="N306">IF($Q306&gt;=0,IFERROR(generateSalesData($D306, IF(ISNUMBER(_xlfn.XLOOKUP($C306,Phone_by_Sentiment!$B$2:$B$37,Phone_by_Sentiment!N$2:N$37,"",0,1)),_xlfn.XLOOKUP($C306,Phone_by_Sentiment!$B$2:$B$37,Phone_by_Sentiment!N$2:N$37,"",0,1),0),$A306-TEXT(DATEVALUE($D306&amp;"-01"), "dd-mm-yyyy")),0),0)</f>
        <v>0</v>
      </c>
      <c r="O306" cm="1">
        <f t="array" ref="O306">IF($Q306&gt;=0,IFERROR(generateSalesData($D306, IF(ISNUMBER(_xlfn.XLOOKUP($C306,Phone_by_Sentiment!$B$2:$B$37,Phone_by_Sentiment!O$2:O$37,"",0,1)),_xlfn.XLOOKUP($C306,Phone_by_Sentiment!$B$2:$B$37,Phone_by_Sentiment!O$2:O$37,"",0,1),0),$A306-TEXT(DATEVALUE($D306&amp;"-01"), "dd-mm-yyyy")),0),0)</f>
        <v>0</v>
      </c>
      <c r="P306" s="1">
        <f t="shared" si="10"/>
        <v>44256</v>
      </c>
      <c r="Q306">
        <f t="shared" si="11"/>
        <v>-547</v>
      </c>
    </row>
    <row r="307" spans="1:17" x14ac:dyDescent="0.25">
      <c r="A307" s="1">
        <f t="shared" si="9"/>
        <v>43709</v>
      </c>
      <c r="B307" t="s">
        <v>149</v>
      </c>
      <c r="C307" t="str">
        <f>_xlfn.XLOOKUP(B307,Phone_by_Price!$A$2:$A$34,Phone_by_Price!$B$2:$B$34,"-",0,1)</f>
        <v>Samsung Galaxy A52</v>
      </c>
      <c r="D307" t="str">
        <f>_xlfn.XLOOKUP(C307,Phone_by_Sentiment!$B$2:$B$37,Phone_by_Sentiment!$A$2:$A$37,"-",0,1)</f>
        <v>2021-03</v>
      </c>
      <c r="E307" cm="1">
        <f t="array" ref="E307">IF($Q307&gt;=0,IFERROR(generateSalesData($D307, IF(ISNUMBER(_xlfn.XLOOKUP($C307,Phone_by_Sentiment!$B$2:$B$37,Phone_by_Sentiment!E$2:E$37,"",0,1)),_xlfn.XLOOKUP($C307,Phone_by_Sentiment!$B$2:$B$37,Phone_by_Sentiment!E$2:E$37,"",0,1),0),$A307-TEXT(DATEVALUE($D307&amp;"-01"), "dd-mm-yyyy")),0),0)</f>
        <v>0</v>
      </c>
      <c r="F307" cm="1">
        <f t="array" ref="F307">IF($Q307&gt;=0,IFERROR(generateSalesData($D307, IF(ISNUMBER(_xlfn.XLOOKUP($C307,Phone_by_Sentiment!$B$2:$B$37,Phone_by_Sentiment!F$2:F$37,"",0,1)),_xlfn.XLOOKUP($C307,Phone_by_Sentiment!$B$2:$B$37,Phone_by_Sentiment!F$2:F$37,"",0,1),0),$A307-TEXT(DATEVALUE($D307&amp;"-01"), "dd-mm-yyyy")),0),0)</f>
        <v>0</v>
      </c>
      <c r="G307" cm="1">
        <f t="array" ref="G307">IF($Q307&gt;=0,IFERROR(generateSalesData($D307, IF(ISNUMBER(_xlfn.XLOOKUP($C307,Phone_by_Sentiment!$B$2:$B$37,Phone_by_Sentiment!G$2:G$37,"",0,1)),_xlfn.XLOOKUP($C307,Phone_by_Sentiment!$B$2:$B$37,Phone_by_Sentiment!G$2:G$37,"",0,1),0),$A307-TEXT(DATEVALUE($D307&amp;"-01"), "dd-mm-yyyy")),0),0)</f>
        <v>0</v>
      </c>
      <c r="H307" cm="1">
        <f t="array" ref="H307">IF($Q307&gt;=0,IFERROR(generateSalesData($D307, IF(ISNUMBER(_xlfn.XLOOKUP($C307,Phone_by_Sentiment!$B$2:$B$37,Phone_by_Sentiment!H$2:H$37,"",0,1)),_xlfn.XLOOKUP($C307,Phone_by_Sentiment!$B$2:$B$37,Phone_by_Sentiment!H$2:H$37,"",0,1),0),$A307-TEXT(DATEVALUE($D307&amp;"-01"), "dd-mm-yyyy")),0),0)</f>
        <v>0</v>
      </c>
      <c r="I307" cm="1">
        <f t="array" ref="I307">IF($Q307&gt;=0,IFERROR(generateSalesData($D307, IF(ISNUMBER(_xlfn.XLOOKUP($C307,Phone_by_Sentiment!$B$2:$B$37,Phone_by_Sentiment!I$2:I$37,"",0,1)),_xlfn.XLOOKUP($C307,Phone_by_Sentiment!$B$2:$B$37,Phone_by_Sentiment!I$2:I$37,"",0,1),0),$A307-TEXT(DATEVALUE($D307&amp;"-01"), "dd-mm-yyyy")),0),0)</f>
        <v>0</v>
      </c>
      <c r="J307" cm="1">
        <f t="array" ref="J307">IF($Q307&gt;=0,IFERROR(generateSalesData($D307, IF(ISNUMBER(_xlfn.XLOOKUP($C307,Phone_by_Sentiment!$B$2:$B$37,Phone_by_Sentiment!J$2:J$37,"",0,1)),_xlfn.XLOOKUP($C307,Phone_by_Sentiment!$B$2:$B$37,Phone_by_Sentiment!J$2:J$37,"",0,1),0),$A307-TEXT(DATEVALUE($D307&amp;"-01"), "dd-mm-yyyy")),0),0)</f>
        <v>0</v>
      </c>
      <c r="K307" cm="1">
        <f t="array" ref="K307">IF($Q307&gt;=0,IFERROR(generateSalesData($D307, IF(ISNUMBER(_xlfn.XLOOKUP($C307,Phone_by_Sentiment!$B$2:$B$37,Phone_by_Sentiment!K$2:K$37,"",0,1)),_xlfn.XLOOKUP($C307,Phone_by_Sentiment!$B$2:$B$37,Phone_by_Sentiment!K$2:K$37,"",0,1),0),$A307-TEXT(DATEVALUE($D307&amp;"-01"), "dd-mm-yyyy")),0),0)</f>
        <v>0</v>
      </c>
      <c r="L307" cm="1">
        <f t="array" ref="L307">IF($Q307&gt;=0,IFERROR(generateSalesData($D307, IF(ISNUMBER(_xlfn.XLOOKUP($C307,Phone_by_Sentiment!$B$2:$B$37,Phone_by_Sentiment!L$2:L$37,"",0,1)),_xlfn.XLOOKUP($C307,Phone_by_Sentiment!$B$2:$B$37,Phone_by_Sentiment!L$2:L$37,"",0,1),0),$A307-TEXT(DATEVALUE($D307&amp;"-01"), "dd-mm-yyyy")),0),0)</f>
        <v>0</v>
      </c>
      <c r="M307" cm="1">
        <f t="array" ref="M307">IF($Q307&gt;=0,IFERROR(generateSalesData($D307, IF(ISNUMBER(_xlfn.XLOOKUP($C307,Phone_by_Sentiment!$B$2:$B$37,Phone_by_Sentiment!M$2:M$37,"",0,1)),_xlfn.XLOOKUP($C307,Phone_by_Sentiment!$B$2:$B$37,Phone_by_Sentiment!M$2:M$37,"",0,1),0),$A307-TEXT(DATEVALUE($D307&amp;"-01"), "dd-mm-yyyy")),0),0)</f>
        <v>0</v>
      </c>
      <c r="N307" cm="1">
        <f t="array" ref="N307">IF($Q307&gt;=0,IFERROR(generateSalesData($D307, IF(ISNUMBER(_xlfn.XLOOKUP($C307,Phone_by_Sentiment!$B$2:$B$37,Phone_by_Sentiment!N$2:N$37,"",0,1)),_xlfn.XLOOKUP($C307,Phone_by_Sentiment!$B$2:$B$37,Phone_by_Sentiment!N$2:N$37,"",0,1),0),$A307-TEXT(DATEVALUE($D307&amp;"-01"), "dd-mm-yyyy")),0),0)</f>
        <v>0</v>
      </c>
      <c r="O307" cm="1">
        <f t="array" ref="O307">IF($Q307&gt;=0,IFERROR(generateSalesData($D307, IF(ISNUMBER(_xlfn.XLOOKUP($C307,Phone_by_Sentiment!$B$2:$B$37,Phone_by_Sentiment!O$2:O$37,"",0,1)),_xlfn.XLOOKUP($C307,Phone_by_Sentiment!$B$2:$B$37,Phone_by_Sentiment!O$2:O$37,"",0,1),0),$A307-TEXT(DATEVALUE($D307&amp;"-01"), "dd-mm-yyyy")),0),0)</f>
        <v>0</v>
      </c>
      <c r="P307" s="1">
        <f t="shared" si="10"/>
        <v>44256</v>
      </c>
      <c r="Q307">
        <f t="shared" si="11"/>
        <v>-547</v>
      </c>
    </row>
    <row r="308" spans="1:17" x14ac:dyDescent="0.25">
      <c r="A308" s="1">
        <f t="shared" si="9"/>
        <v>43709</v>
      </c>
      <c r="B308" t="s">
        <v>150</v>
      </c>
      <c r="C308" t="str">
        <f>_xlfn.XLOOKUP(B308,Phone_by_Price!$A$2:$A$34,Phone_by_Price!$B$2:$B$34,"-",0,1)</f>
        <v>Vivo Y33s</v>
      </c>
      <c r="D308" t="str">
        <f>_xlfn.XLOOKUP(C308,Phone_by_Sentiment!$B$2:$B$37,Phone_by_Sentiment!$A$2:$A$37,"-",0,1)</f>
        <v>2021-05</v>
      </c>
      <c r="E308" cm="1">
        <f t="array" ref="E308">IF($Q308&gt;=0,IFERROR(generateSalesData($D308, IF(ISNUMBER(_xlfn.XLOOKUP($C308,Phone_by_Sentiment!$B$2:$B$37,Phone_by_Sentiment!E$2:E$37,"",0,1)),_xlfn.XLOOKUP($C308,Phone_by_Sentiment!$B$2:$B$37,Phone_by_Sentiment!E$2:E$37,"",0,1),0),$A308-TEXT(DATEVALUE($D308&amp;"-01"), "dd-mm-yyyy")),0),0)</f>
        <v>0</v>
      </c>
      <c r="F308" cm="1">
        <f t="array" ref="F308">IF($Q308&gt;=0,IFERROR(generateSalesData($D308, IF(ISNUMBER(_xlfn.XLOOKUP($C308,Phone_by_Sentiment!$B$2:$B$37,Phone_by_Sentiment!F$2:F$37,"",0,1)),_xlfn.XLOOKUP($C308,Phone_by_Sentiment!$B$2:$B$37,Phone_by_Sentiment!F$2:F$37,"",0,1),0),$A308-TEXT(DATEVALUE($D308&amp;"-01"), "dd-mm-yyyy")),0),0)</f>
        <v>0</v>
      </c>
      <c r="G308" cm="1">
        <f t="array" ref="G308">IF($Q308&gt;=0,IFERROR(generateSalesData($D308, IF(ISNUMBER(_xlfn.XLOOKUP($C308,Phone_by_Sentiment!$B$2:$B$37,Phone_by_Sentiment!G$2:G$37,"",0,1)),_xlfn.XLOOKUP($C308,Phone_by_Sentiment!$B$2:$B$37,Phone_by_Sentiment!G$2:G$37,"",0,1),0),$A308-TEXT(DATEVALUE($D308&amp;"-01"), "dd-mm-yyyy")),0),0)</f>
        <v>0</v>
      </c>
      <c r="H308" cm="1">
        <f t="array" ref="H308">IF($Q308&gt;=0,IFERROR(generateSalesData($D308, IF(ISNUMBER(_xlfn.XLOOKUP($C308,Phone_by_Sentiment!$B$2:$B$37,Phone_by_Sentiment!H$2:H$37,"",0,1)),_xlfn.XLOOKUP($C308,Phone_by_Sentiment!$B$2:$B$37,Phone_by_Sentiment!H$2:H$37,"",0,1),0),$A308-TEXT(DATEVALUE($D308&amp;"-01"), "dd-mm-yyyy")),0),0)</f>
        <v>0</v>
      </c>
      <c r="I308" cm="1">
        <f t="array" ref="I308">IF($Q308&gt;=0,IFERROR(generateSalesData($D308, IF(ISNUMBER(_xlfn.XLOOKUP($C308,Phone_by_Sentiment!$B$2:$B$37,Phone_by_Sentiment!I$2:I$37,"",0,1)),_xlfn.XLOOKUP($C308,Phone_by_Sentiment!$B$2:$B$37,Phone_by_Sentiment!I$2:I$37,"",0,1),0),$A308-TEXT(DATEVALUE($D308&amp;"-01"), "dd-mm-yyyy")),0),0)</f>
        <v>0</v>
      </c>
      <c r="J308" cm="1">
        <f t="array" ref="J308">IF($Q308&gt;=0,IFERROR(generateSalesData($D308, IF(ISNUMBER(_xlfn.XLOOKUP($C308,Phone_by_Sentiment!$B$2:$B$37,Phone_by_Sentiment!J$2:J$37,"",0,1)),_xlfn.XLOOKUP($C308,Phone_by_Sentiment!$B$2:$B$37,Phone_by_Sentiment!J$2:J$37,"",0,1),0),$A308-TEXT(DATEVALUE($D308&amp;"-01"), "dd-mm-yyyy")),0),0)</f>
        <v>0</v>
      </c>
      <c r="K308" cm="1">
        <f t="array" ref="K308">IF($Q308&gt;=0,IFERROR(generateSalesData($D308, IF(ISNUMBER(_xlfn.XLOOKUP($C308,Phone_by_Sentiment!$B$2:$B$37,Phone_by_Sentiment!K$2:K$37,"",0,1)),_xlfn.XLOOKUP($C308,Phone_by_Sentiment!$B$2:$B$37,Phone_by_Sentiment!K$2:K$37,"",0,1),0),$A308-TEXT(DATEVALUE($D308&amp;"-01"), "dd-mm-yyyy")),0),0)</f>
        <v>0</v>
      </c>
      <c r="L308" cm="1">
        <f t="array" ref="L308">IF($Q308&gt;=0,IFERROR(generateSalesData($D308, IF(ISNUMBER(_xlfn.XLOOKUP($C308,Phone_by_Sentiment!$B$2:$B$37,Phone_by_Sentiment!L$2:L$37,"",0,1)),_xlfn.XLOOKUP($C308,Phone_by_Sentiment!$B$2:$B$37,Phone_by_Sentiment!L$2:L$37,"",0,1),0),$A308-TEXT(DATEVALUE($D308&amp;"-01"), "dd-mm-yyyy")),0),0)</f>
        <v>0</v>
      </c>
      <c r="M308" cm="1">
        <f t="array" ref="M308">IF($Q308&gt;=0,IFERROR(generateSalesData($D308, IF(ISNUMBER(_xlfn.XLOOKUP($C308,Phone_by_Sentiment!$B$2:$B$37,Phone_by_Sentiment!M$2:M$37,"",0,1)),_xlfn.XLOOKUP($C308,Phone_by_Sentiment!$B$2:$B$37,Phone_by_Sentiment!M$2:M$37,"",0,1),0),$A308-TEXT(DATEVALUE($D308&amp;"-01"), "dd-mm-yyyy")),0),0)</f>
        <v>0</v>
      </c>
      <c r="N308" cm="1">
        <f t="array" ref="N308">IF($Q308&gt;=0,IFERROR(generateSalesData($D308, IF(ISNUMBER(_xlfn.XLOOKUP($C308,Phone_by_Sentiment!$B$2:$B$37,Phone_by_Sentiment!N$2:N$37,"",0,1)),_xlfn.XLOOKUP($C308,Phone_by_Sentiment!$B$2:$B$37,Phone_by_Sentiment!N$2:N$37,"",0,1),0),$A308-TEXT(DATEVALUE($D308&amp;"-01"), "dd-mm-yyyy")),0),0)</f>
        <v>0</v>
      </c>
      <c r="O308" cm="1">
        <f t="array" ref="O308">IF($Q308&gt;=0,IFERROR(generateSalesData($D308, IF(ISNUMBER(_xlfn.XLOOKUP($C308,Phone_by_Sentiment!$B$2:$B$37,Phone_by_Sentiment!O$2:O$37,"",0,1)),_xlfn.XLOOKUP($C308,Phone_by_Sentiment!$B$2:$B$37,Phone_by_Sentiment!O$2:O$37,"",0,1),0),$A308-TEXT(DATEVALUE($D308&amp;"-01"), "dd-mm-yyyy")),0),0)</f>
        <v>0</v>
      </c>
      <c r="P308" s="1">
        <f t="shared" si="10"/>
        <v>44317</v>
      </c>
      <c r="Q308">
        <f t="shared" si="11"/>
        <v>-608</v>
      </c>
    </row>
    <row r="309" spans="1:17" x14ac:dyDescent="0.25">
      <c r="A309" s="1">
        <f t="shared" si="9"/>
        <v>43709</v>
      </c>
      <c r="B309" t="s">
        <v>151</v>
      </c>
      <c r="C309" t="str">
        <f>_xlfn.XLOOKUP(B309,Phone_by_Price!$A$2:$A$34,Phone_by_Price!$B$2:$B$34,"-",0,1)</f>
        <v>Vivo Y11s</v>
      </c>
      <c r="D309" t="str">
        <f>_xlfn.XLOOKUP(C309,Phone_by_Sentiment!$B$2:$B$37,Phone_by_Sentiment!$A$2:$A$37,"-",0,1)</f>
        <v>2020-11</v>
      </c>
      <c r="E309" cm="1">
        <f t="array" ref="E309">IF($Q309&gt;=0,IFERROR(generateSalesData($D309, IF(ISNUMBER(_xlfn.XLOOKUP($C309,Phone_by_Sentiment!$B$2:$B$37,Phone_by_Sentiment!E$2:E$37,"",0,1)),_xlfn.XLOOKUP($C309,Phone_by_Sentiment!$B$2:$B$37,Phone_by_Sentiment!E$2:E$37,"",0,1),0),$A309-TEXT(DATEVALUE($D309&amp;"-01"), "dd-mm-yyyy")),0),0)</f>
        <v>0</v>
      </c>
      <c r="F309" cm="1">
        <f t="array" ref="F309">IF($Q309&gt;=0,IFERROR(generateSalesData($D309, IF(ISNUMBER(_xlfn.XLOOKUP($C309,Phone_by_Sentiment!$B$2:$B$37,Phone_by_Sentiment!F$2:F$37,"",0,1)),_xlfn.XLOOKUP($C309,Phone_by_Sentiment!$B$2:$B$37,Phone_by_Sentiment!F$2:F$37,"",0,1),0),$A309-TEXT(DATEVALUE($D309&amp;"-01"), "dd-mm-yyyy")),0),0)</f>
        <v>0</v>
      </c>
      <c r="G309" cm="1">
        <f t="array" ref="G309">IF($Q309&gt;=0,IFERROR(generateSalesData($D309, IF(ISNUMBER(_xlfn.XLOOKUP($C309,Phone_by_Sentiment!$B$2:$B$37,Phone_by_Sentiment!G$2:G$37,"",0,1)),_xlfn.XLOOKUP($C309,Phone_by_Sentiment!$B$2:$B$37,Phone_by_Sentiment!G$2:G$37,"",0,1),0),$A309-TEXT(DATEVALUE($D309&amp;"-01"), "dd-mm-yyyy")),0),0)</f>
        <v>0</v>
      </c>
      <c r="H309" cm="1">
        <f t="array" ref="H309">IF($Q309&gt;=0,IFERROR(generateSalesData($D309, IF(ISNUMBER(_xlfn.XLOOKUP($C309,Phone_by_Sentiment!$B$2:$B$37,Phone_by_Sentiment!H$2:H$37,"",0,1)),_xlfn.XLOOKUP($C309,Phone_by_Sentiment!$B$2:$B$37,Phone_by_Sentiment!H$2:H$37,"",0,1),0),$A309-TEXT(DATEVALUE($D309&amp;"-01"), "dd-mm-yyyy")),0),0)</f>
        <v>0</v>
      </c>
      <c r="I309" cm="1">
        <f t="array" ref="I309">IF($Q309&gt;=0,IFERROR(generateSalesData($D309, IF(ISNUMBER(_xlfn.XLOOKUP($C309,Phone_by_Sentiment!$B$2:$B$37,Phone_by_Sentiment!I$2:I$37,"",0,1)),_xlfn.XLOOKUP($C309,Phone_by_Sentiment!$B$2:$B$37,Phone_by_Sentiment!I$2:I$37,"",0,1),0),$A309-TEXT(DATEVALUE($D309&amp;"-01"), "dd-mm-yyyy")),0),0)</f>
        <v>0</v>
      </c>
      <c r="J309" cm="1">
        <f t="array" ref="J309">IF($Q309&gt;=0,IFERROR(generateSalesData($D309, IF(ISNUMBER(_xlfn.XLOOKUP($C309,Phone_by_Sentiment!$B$2:$B$37,Phone_by_Sentiment!J$2:J$37,"",0,1)),_xlfn.XLOOKUP($C309,Phone_by_Sentiment!$B$2:$B$37,Phone_by_Sentiment!J$2:J$37,"",0,1),0),$A309-TEXT(DATEVALUE($D309&amp;"-01"), "dd-mm-yyyy")),0),0)</f>
        <v>0</v>
      </c>
      <c r="K309" cm="1">
        <f t="array" ref="K309">IF($Q309&gt;=0,IFERROR(generateSalesData($D309, IF(ISNUMBER(_xlfn.XLOOKUP($C309,Phone_by_Sentiment!$B$2:$B$37,Phone_by_Sentiment!K$2:K$37,"",0,1)),_xlfn.XLOOKUP($C309,Phone_by_Sentiment!$B$2:$B$37,Phone_by_Sentiment!K$2:K$37,"",0,1),0),$A309-TEXT(DATEVALUE($D309&amp;"-01"), "dd-mm-yyyy")),0),0)</f>
        <v>0</v>
      </c>
      <c r="L309" cm="1">
        <f t="array" ref="L309">IF($Q309&gt;=0,IFERROR(generateSalesData($D309, IF(ISNUMBER(_xlfn.XLOOKUP($C309,Phone_by_Sentiment!$B$2:$B$37,Phone_by_Sentiment!L$2:L$37,"",0,1)),_xlfn.XLOOKUP($C309,Phone_by_Sentiment!$B$2:$B$37,Phone_by_Sentiment!L$2:L$37,"",0,1),0),$A309-TEXT(DATEVALUE($D309&amp;"-01"), "dd-mm-yyyy")),0),0)</f>
        <v>0</v>
      </c>
      <c r="M309" cm="1">
        <f t="array" ref="M309">IF($Q309&gt;=0,IFERROR(generateSalesData($D309, IF(ISNUMBER(_xlfn.XLOOKUP($C309,Phone_by_Sentiment!$B$2:$B$37,Phone_by_Sentiment!M$2:M$37,"",0,1)),_xlfn.XLOOKUP($C309,Phone_by_Sentiment!$B$2:$B$37,Phone_by_Sentiment!M$2:M$37,"",0,1),0),$A309-TEXT(DATEVALUE($D309&amp;"-01"), "dd-mm-yyyy")),0),0)</f>
        <v>0</v>
      </c>
      <c r="N309" cm="1">
        <f t="array" ref="N309">IF($Q309&gt;=0,IFERROR(generateSalesData($D309, IF(ISNUMBER(_xlfn.XLOOKUP($C309,Phone_by_Sentiment!$B$2:$B$37,Phone_by_Sentiment!N$2:N$37,"",0,1)),_xlfn.XLOOKUP($C309,Phone_by_Sentiment!$B$2:$B$37,Phone_by_Sentiment!N$2:N$37,"",0,1),0),$A309-TEXT(DATEVALUE($D309&amp;"-01"), "dd-mm-yyyy")),0),0)</f>
        <v>0</v>
      </c>
      <c r="O309" cm="1">
        <f t="array" ref="O309">IF($Q309&gt;=0,IFERROR(generateSalesData($D309, IF(ISNUMBER(_xlfn.XLOOKUP($C309,Phone_by_Sentiment!$B$2:$B$37,Phone_by_Sentiment!O$2:O$37,"",0,1)),_xlfn.XLOOKUP($C309,Phone_by_Sentiment!$B$2:$B$37,Phone_by_Sentiment!O$2:O$37,"",0,1),0),$A309-TEXT(DATEVALUE($D309&amp;"-01"), "dd-mm-yyyy")),0),0)</f>
        <v>0</v>
      </c>
      <c r="P309" s="1">
        <f t="shared" si="10"/>
        <v>44136</v>
      </c>
      <c r="Q309">
        <f t="shared" si="11"/>
        <v>-427</v>
      </c>
    </row>
    <row r="310" spans="1:17" x14ac:dyDescent="0.25">
      <c r="A310" s="1">
        <f t="shared" si="9"/>
        <v>43709</v>
      </c>
      <c r="B310" t="s">
        <v>152</v>
      </c>
      <c r="C310" t="str">
        <f>_xlfn.XLOOKUP(B310,Phone_by_Price!$A$2:$A$34,Phone_by_Price!$B$2:$B$34,"-",0,1)</f>
        <v>Huawei Nova 7i</v>
      </c>
      <c r="D310" t="str">
        <f>_xlfn.XLOOKUP(C310,Phone_by_Sentiment!$B$2:$B$37,Phone_by_Sentiment!$A$2:$A$37,"-",0,1)</f>
        <v>2020-02</v>
      </c>
      <c r="E310" cm="1">
        <f t="array" ref="E310">IF($Q310&gt;=0,IFERROR(generateSalesData($D310, IF(ISNUMBER(_xlfn.XLOOKUP($C310,Phone_by_Sentiment!$B$2:$B$37,Phone_by_Sentiment!E$2:E$37,"",0,1)),_xlfn.XLOOKUP($C310,Phone_by_Sentiment!$B$2:$B$37,Phone_by_Sentiment!E$2:E$37,"",0,1),0),$A310-TEXT(DATEVALUE($D310&amp;"-01"), "dd-mm-yyyy")),0),0)</f>
        <v>0</v>
      </c>
      <c r="F310" cm="1">
        <f t="array" ref="F310">IF($Q310&gt;=0,IFERROR(generateSalesData($D310, IF(ISNUMBER(_xlfn.XLOOKUP($C310,Phone_by_Sentiment!$B$2:$B$37,Phone_by_Sentiment!F$2:F$37,"",0,1)),_xlfn.XLOOKUP($C310,Phone_by_Sentiment!$B$2:$B$37,Phone_by_Sentiment!F$2:F$37,"",0,1),0),$A310-TEXT(DATEVALUE($D310&amp;"-01"), "dd-mm-yyyy")),0),0)</f>
        <v>0</v>
      </c>
      <c r="G310" cm="1">
        <f t="array" ref="G310">IF($Q310&gt;=0,IFERROR(generateSalesData($D310, IF(ISNUMBER(_xlfn.XLOOKUP($C310,Phone_by_Sentiment!$B$2:$B$37,Phone_by_Sentiment!G$2:G$37,"",0,1)),_xlfn.XLOOKUP($C310,Phone_by_Sentiment!$B$2:$B$37,Phone_by_Sentiment!G$2:G$37,"",0,1),0),$A310-TEXT(DATEVALUE($D310&amp;"-01"), "dd-mm-yyyy")),0),0)</f>
        <v>0</v>
      </c>
      <c r="H310" cm="1">
        <f t="array" ref="H310">IF($Q310&gt;=0,IFERROR(generateSalesData($D310, IF(ISNUMBER(_xlfn.XLOOKUP($C310,Phone_by_Sentiment!$B$2:$B$37,Phone_by_Sentiment!H$2:H$37,"",0,1)),_xlfn.XLOOKUP($C310,Phone_by_Sentiment!$B$2:$B$37,Phone_by_Sentiment!H$2:H$37,"",0,1),0),$A310-TEXT(DATEVALUE($D310&amp;"-01"), "dd-mm-yyyy")),0),0)</f>
        <v>0</v>
      </c>
      <c r="I310" cm="1">
        <f t="array" ref="I310">IF($Q310&gt;=0,IFERROR(generateSalesData($D310, IF(ISNUMBER(_xlfn.XLOOKUP($C310,Phone_by_Sentiment!$B$2:$B$37,Phone_by_Sentiment!I$2:I$37,"",0,1)),_xlfn.XLOOKUP($C310,Phone_by_Sentiment!$B$2:$B$37,Phone_by_Sentiment!I$2:I$37,"",0,1),0),$A310-TEXT(DATEVALUE($D310&amp;"-01"), "dd-mm-yyyy")),0),0)</f>
        <v>0</v>
      </c>
      <c r="J310" cm="1">
        <f t="array" ref="J310">IF($Q310&gt;=0,IFERROR(generateSalesData($D310, IF(ISNUMBER(_xlfn.XLOOKUP($C310,Phone_by_Sentiment!$B$2:$B$37,Phone_by_Sentiment!J$2:J$37,"",0,1)),_xlfn.XLOOKUP($C310,Phone_by_Sentiment!$B$2:$B$37,Phone_by_Sentiment!J$2:J$37,"",0,1),0),$A310-TEXT(DATEVALUE($D310&amp;"-01"), "dd-mm-yyyy")),0),0)</f>
        <v>0</v>
      </c>
      <c r="K310" cm="1">
        <f t="array" ref="K310">IF($Q310&gt;=0,IFERROR(generateSalesData($D310, IF(ISNUMBER(_xlfn.XLOOKUP($C310,Phone_by_Sentiment!$B$2:$B$37,Phone_by_Sentiment!K$2:K$37,"",0,1)),_xlfn.XLOOKUP($C310,Phone_by_Sentiment!$B$2:$B$37,Phone_by_Sentiment!K$2:K$37,"",0,1),0),$A310-TEXT(DATEVALUE($D310&amp;"-01"), "dd-mm-yyyy")),0),0)</f>
        <v>0</v>
      </c>
      <c r="L310" cm="1">
        <f t="array" ref="L310">IF($Q310&gt;=0,IFERROR(generateSalesData($D310, IF(ISNUMBER(_xlfn.XLOOKUP($C310,Phone_by_Sentiment!$B$2:$B$37,Phone_by_Sentiment!L$2:L$37,"",0,1)),_xlfn.XLOOKUP($C310,Phone_by_Sentiment!$B$2:$B$37,Phone_by_Sentiment!L$2:L$37,"",0,1),0),$A310-TEXT(DATEVALUE($D310&amp;"-01"), "dd-mm-yyyy")),0),0)</f>
        <v>0</v>
      </c>
      <c r="M310" cm="1">
        <f t="array" ref="M310">IF($Q310&gt;=0,IFERROR(generateSalesData($D310, IF(ISNUMBER(_xlfn.XLOOKUP($C310,Phone_by_Sentiment!$B$2:$B$37,Phone_by_Sentiment!M$2:M$37,"",0,1)),_xlfn.XLOOKUP($C310,Phone_by_Sentiment!$B$2:$B$37,Phone_by_Sentiment!M$2:M$37,"",0,1),0),$A310-TEXT(DATEVALUE($D310&amp;"-01"), "dd-mm-yyyy")),0),0)</f>
        <v>0</v>
      </c>
      <c r="N310" cm="1">
        <f t="array" ref="N310">IF($Q310&gt;=0,IFERROR(generateSalesData($D310, IF(ISNUMBER(_xlfn.XLOOKUP($C310,Phone_by_Sentiment!$B$2:$B$37,Phone_by_Sentiment!N$2:N$37,"",0,1)),_xlfn.XLOOKUP($C310,Phone_by_Sentiment!$B$2:$B$37,Phone_by_Sentiment!N$2:N$37,"",0,1),0),$A310-TEXT(DATEVALUE($D310&amp;"-01"), "dd-mm-yyyy")),0),0)</f>
        <v>0</v>
      </c>
      <c r="O310" cm="1">
        <f t="array" ref="O310">IF($Q310&gt;=0,IFERROR(generateSalesData($D310, IF(ISNUMBER(_xlfn.XLOOKUP($C310,Phone_by_Sentiment!$B$2:$B$37,Phone_by_Sentiment!O$2:O$37,"",0,1)),_xlfn.XLOOKUP($C310,Phone_by_Sentiment!$B$2:$B$37,Phone_by_Sentiment!O$2:O$37,"",0,1),0),$A310-TEXT(DATEVALUE($D310&amp;"-01"), "dd-mm-yyyy")),0),0)</f>
        <v>0</v>
      </c>
      <c r="P310" s="1">
        <f t="shared" si="10"/>
        <v>43862</v>
      </c>
      <c r="Q310">
        <f t="shared" si="11"/>
        <v>-153</v>
      </c>
    </row>
    <row r="311" spans="1:17" x14ac:dyDescent="0.25">
      <c r="A311" s="1">
        <f t="shared" si="9"/>
        <v>43709</v>
      </c>
      <c r="B311" t="s">
        <v>153</v>
      </c>
      <c r="C311" t="str">
        <f>_xlfn.XLOOKUP(B311,Phone_by_Price!$A$2:$A$34,Phone_by_Price!$B$2:$B$34,"-",0,1)</f>
        <v>iPhone 13</v>
      </c>
      <c r="D311" t="str">
        <f>_xlfn.XLOOKUP(C311,Phone_by_Sentiment!$B$2:$B$37,Phone_by_Sentiment!$A$2:$A$37,"-",0,1)</f>
        <v>2021-09</v>
      </c>
      <c r="E311" cm="1">
        <f t="array" ref="E311">IF($Q311&gt;=0,IFERROR(generateSalesData($D311, IF(ISNUMBER(_xlfn.XLOOKUP($C311,Phone_by_Sentiment!$B$2:$B$37,Phone_by_Sentiment!E$2:E$37,"",0,1)),_xlfn.XLOOKUP($C311,Phone_by_Sentiment!$B$2:$B$37,Phone_by_Sentiment!E$2:E$37,"",0,1),0),$A311-TEXT(DATEVALUE($D311&amp;"-01"), "dd-mm-yyyy")),0),0)</f>
        <v>0</v>
      </c>
      <c r="F311" cm="1">
        <f t="array" ref="F311">IF($Q311&gt;=0,IFERROR(generateSalesData($D311, IF(ISNUMBER(_xlfn.XLOOKUP($C311,Phone_by_Sentiment!$B$2:$B$37,Phone_by_Sentiment!F$2:F$37,"",0,1)),_xlfn.XLOOKUP($C311,Phone_by_Sentiment!$B$2:$B$37,Phone_by_Sentiment!F$2:F$37,"",0,1),0),$A311-TEXT(DATEVALUE($D311&amp;"-01"), "dd-mm-yyyy")),0),0)</f>
        <v>0</v>
      </c>
      <c r="G311" cm="1">
        <f t="array" ref="G311">IF($Q311&gt;=0,IFERROR(generateSalesData($D311, IF(ISNUMBER(_xlfn.XLOOKUP($C311,Phone_by_Sentiment!$B$2:$B$37,Phone_by_Sentiment!G$2:G$37,"",0,1)),_xlfn.XLOOKUP($C311,Phone_by_Sentiment!$B$2:$B$37,Phone_by_Sentiment!G$2:G$37,"",0,1),0),$A311-TEXT(DATEVALUE($D311&amp;"-01"), "dd-mm-yyyy")),0),0)</f>
        <v>0</v>
      </c>
      <c r="H311" cm="1">
        <f t="array" ref="H311">IF($Q311&gt;=0,IFERROR(generateSalesData($D311, IF(ISNUMBER(_xlfn.XLOOKUP($C311,Phone_by_Sentiment!$B$2:$B$37,Phone_by_Sentiment!H$2:H$37,"",0,1)),_xlfn.XLOOKUP($C311,Phone_by_Sentiment!$B$2:$B$37,Phone_by_Sentiment!H$2:H$37,"",0,1),0),$A311-TEXT(DATEVALUE($D311&amp;"-01"), "dd-mm-yyyy")),0),0)</f>
        <v>0</v>
      </c>
      <c r="I311" cm="1">
        <f t="array" ref="I311">IF($Q311&gt;=0,IFERROR(generateSalesData($D311, IF(ISNUMBER(_xlfn.XLOOKUP($C311,Phone_by_Sentiment!$B$2:$B$37,Phone_by_Sentiment!I$2:I$37,"",0,1)),_xlfn.XLOOKUP($C311,Phone_by_Sentiment!$B$2:$B$37,Phone_by_Sentiment!I$2:I$37,"",0,1),0),$A311-TEXT(DATEVALUE($D311&amp;"-01"), "dd-mm-yyyy")),0),0)</f>
        <v>0</v>
      </c>
      <c r="J311" cm="1">
        <f t="array" ref="J311">IF($Q311&gt;=0,IFERROR(generateSalesData($D311, IF(ISNUMBER(_xlfn.XLOOKUP($C311,Phone_by_Sentiment!$B$2:$B$37,Phone_by_Sentiment!J$2:J$37,"",0,1)),_xlfn.XLOOKUP($C311,Phone_by_Sentiment!$B$2:$B$37,Phone_by_Sentiment!J$2:J$37,"",0,1),0),$A311-TEXT(DATEVALUE($D311&amp;"-01"), "dd-mm-yyyy")),0),0)</f>
        <v>0</v>
      </c>
      <c r="K311" cm="1">
        <f t="array" ref="K311">IF($Q311&gt;=0,IFERROR(generateSalesData($D311, IF(ISNUMBER(_xlfn.XLOOKUP($C311,Phone_by_Sentiment!$B$2:$B$37,Phone_by_Sentiment!K$2:K$37,"",0,1)),_xlfn.XLOOKUP($C311,Phone_by_Sentiment!$B$2:$B$37,Phone_by_Sentiment!K$2:K$37,"",0,1),0),$A311-TEXT(DATEVALUE($D311&amp;"-01"), "dd-mm-yyyy")),0),0)</f>
        <v>0</v>
      </c>
      <c r="L311" cm="1">
        <f t="array" ref="L311">IF($Q311&gt;=0,IFERROR(generateSalesData($D311, IF(ISNUMBER(_xlfn.XLOOKUP($C311,Phone_by_Sentiment!$B$2:$B$37,Phone_by_Sentiment!L$2:L$37,"",0,1)),_xlfn.XLOOKUP($C311,Phone_by_Sentiment!$B$2:$B$37,Phone_by_Sentiment!L$2:L$37,"",0,1),0),$A311-TEXT(DATEVALUE($D311&amp;"-01"), "dd-mm-yyyy")),0),0)</f>
        <v>0</v>
      </c>
      <c r="M311" cm="1">
        <f t="array" ref="M311">IF($Q311&gt;=0,IFERROR(generateSalesData($D311, IF(ISNUMBER(_xlfn.XLOOKUP($C311,Phone_by_Sentiment!$B$2:$B$37,Phone_by_Sentiment!M$2:M$37,"",0,1)),_xlfn.XLOOKUP($C311,Phone_by_Sentiment!$B$2:$B$37,Phone_by_Sentiment!M$2:M$37,"",0,1),0),$A311-TEXT(DATEVALUE($D311&amp;"-01"), "dd-mm-yyyy")),0),0)</f>
        <v>0</v>
      </c>
      <c r="N311" cm="1">
        <f t="array" ref="N311">IF($Q311&gt;=0,IFERROR(generateSalesData($D311, IF(ISNUMBER(_xlfn.XLOOKUP($C311,Phone_by_Sentiment!$B$2:$B$37,Phone_by_Sentiment!N$2:N$37,"",0,1)),_xlfn.XLOOKUP($C311,Phone_by_Sentiment!$B$2:$B$37,Phone_by_Sentiment!N$2:N$37,"",0,1),0),$A311-TEXT(DATEVALUE($D311&amp;"-01"), "dd-mm-yyyy")),0),0)</f>
        <v>0</v>
      </c>
      <c r="O311" cm="1">
        <f t="array" ref="O311">IF($Q311&gt;=0,IFERROR(generateSalesData($D311, IF(ISNUMBER(_xlfn.XLOOKUP($C311,Phone_by_Sentiment!$B$2:$B$37,Phone_by_Sentiment!O$2:O$37,"",0,1)),_xlfn.XLOOKUP($C311,Phone_by_Sentiment!$B$2:$B$37,Phone_by_Sentiment!O$2:O$37,"",0,1),0),$A311-TEXT(DATEVALUE($D311&amp;"-01"), "dd-mm-yyyy")),0),0)</f>
        <v>0</v>
      </c>
      <c r="P311" s="1">
        <f t="shared" si="10"/>
        <v>44440</v>
      </c>
      <c r="Q311">
        <f t="shared" si="11"/>
        <v>-731</v>
      </c>
    </row>
    <row r="312" spans="1:17" x14ac:dyDescent="0.25">
      <c r="A312" s="1">
        <f t="shared" si="9"/>
        <v>43709</v>
      </c>
      <c r="B312" t="s">
        <v>154</v>
      </c>
      <c r="C312" t="str">
        <f>_xlfn.XLOOKUP(B312,Phone_by_Price!$A$2:$A$34,Phone_by_Price!$B$2:$B$34,"-",0,1)</f>
        <v>Samsung Galaxy S21</v>
      </c>
      <c r="D312" t="str">
        <f>_xlfn.XLOOKUP(C312,Phone_by_Sentiment!$B$2:$B$37,Phone_by_Sentiment!$A$2:$A$37,"-",0,1)</f>
        <v>2021-01</v>
      </c>
      <c r="E312" cm="1">
        <f t="array" ref="E312">IF($Q312&gt;=0,IFERROR(generateSalesData($D312, IF(ISNUMBER(_xlfn.XLOOKUP($C312,Phone_by_Sentiment!$B$2:$B$37,Phone_by_Sentiment!E$2:E$37,"",0,1)),_xlfn.XLOOKUP($C312,Phone_by_Sentiment!$B$2:$B$37,Phone_by_Sentiment!E$2:E$37,"",0,1),0),$A312-TEXT(DATEVALUE($D312&amp;"-01"), "dd-mm-yyyy")),0),0)</f>
        <v>0</v>
      </c>
      <c r="F312" cm="1">
        <f t="array" ref="F312">IF($Q312&gt;=0,IFERROR(generateSalesData($D312, IF(ISNUMBER(_xlfn.XLOOKUP($C312,Phone_by_Sentiment!$B$2:$B$37,Phone_by_Sentiment!F$2:F$37,"",0,1)),_xlfn.XLOOKUP($C312,Phone_by_Sentiment!$B$2:$B$37,Phone_by_Sentiment!F$2:F$37,"",0,1),0),$A312-TEXT(DATEVALUE($D312&amp;"-01"), "dd-mm-yyyy")),0),0)</f>
        <v>0</v>
      </c>
      <c r="G312" cm="1">
        <f t="array" ref="G312">IF($Q312&gt;=0,IFERROR(generateSalesData($D312, IF(ISNUMBER(_xlfn.XLOOKUP($C312,Phone_by_Sentiment!$B$2:$B$37,Phone_by_Sentiment!G$2:G$37,"",0,1)),_xlfn.XLOOKUP($C312,Phone_by_Sentiment!$B$2:$B$37,Phone_by_Sentiment!G$2:G$37,"",0,1),0),$A312-TEXT(DATEVALUE($D312&amp;"-01"), "dd-mm-yyyy")),0),0)</f>
        <v>0</v>
      </c>
      <c r="H312" cm="1">
        <f t="array" ref="H312">IF($Q312&gt;=0,IFERROR(generateSalesData($D312, IF(ISNUMBER(_xlfn.XLOOKUP($C312,Phone_by_Sentiment!$B$2:$B$37,Phone_by_Sentiment!H$2:H$37,"",0,1)),_xlfn.XLOOKUP($C312,Phone_by_Sentiment!$B$2:$B$37,Phone_by_Sentiment!H$2:H$37,"",0,1),0),$A312-TEXT(DATEVALUE($D312&amp;"-01"), "dd-mm-yyyy")),0),0)</f>
        <v>0</v>
      </c>
      <c r="I312" cm="1">
        <f t="array" ref="I312">IF($Q312&gt;=0,IFERROR(generateSalesData($D312, IF(ISNUMBER(_xlfn.XLOOKUP($C312,Phone_by_Sentiment!$B$2:$B$37,Phone_by_Sentiment!I$2:I$37,"",0,1)),_xlfn.XLOOKUP($C312,Phone_by_Sentiment!$B$2:$B$37,Phone_by_Sentiment!I$2:I$37,"",0,1),0),$A312-TEXT(DATEVALUE($D312&amp;"-01"), "dd-mm-yyyy")),0),0)</f>
        <v>0</v>
      </c>
      <c r="J312" cm="1">
        <f t="array" ref="J312">IF($Q312&gt;=0,IFERROR(generateSalesData($D312, IF(ISNUMBER(_xlfn.XLOOKUP($C312,Phone_by_Sentiment!$B$2:$B$37,Phone_by_Sentiment!J$2:J$37,"",0,1)),_xlfn.XLOOKUP($C312,Phone_by_Sentiment!$B$2:$B$37,Phone_by_Sentiment!J$2:J$37,"",0,1),0),$A312-TEXT(DATEVALUE($D312&amp;"-01"), "dd-mm-yyyy")),0),0)</f>
        <v>0</v>
      </c>
      <c r="K312" cm="1">
        <f t="array" ref="K312">IF($Q312&gt;=0,IFERROR(generateSalesData($D312, IF(ISNUMBER(_xlfn.XLOOKUP($C312,Phone_by_Sentiment!$B$2:$B$37,Phone_by_Sentiment!K$2:K$37,"",0,1)),_xlfn.XLOOKUP($C312,Phone_by_Sentiment!$B$2:$B$37,Phone_by_Sentiment!K$2:K$37,"",0,1),0),$A312-TEXT(DATEVALUE($D312&amp;"-01"), "dd-mm-yyyy")),0),0)</f>
        <v>0</v>
      </c>
      <c r="L312" cm="1">
        <f t="array" ref="L312">IF($Q312&gt;=0,IFERROR(generateSalesData($D312, IF(ISNUMBER(_xlfn.XLOOKUP($C312,Phone_by_Sentiment!$B$2:$B$37,Phone_by_Sentiment!L$2:L$37,"",0,1)),_xlfn.XLOOKUP($C312,Phone_by_Sentiment!$B$2:$B$37,Phone_by_Sentiment!L$2:L$37,"",0,1),0),$A312-TEXT(DATEVALUE($D312&amp;"-01"), "dd-mm-yyyy")),0),0)</f>
        <v>0</v>
      </c>
      <c r="M312" cm="1">
        <f t="array" ref="M312">IF($Q312&gt;=0,IFERROR(generateSalesData($D312, IF(ISNUMBER(_xlfn.XLOOKUP($C312,Phone_by_Sentiment!$B$2:$B$37,Phone_by_Sentiment!M$2:M$37,"",0,1)),_xlfn.XLOOKUP($C312,Phone_by_Sentiment!$B$2:$B$37,Phone_by_Sentiment!M$2:M$37,"",0,1),0),$A312-TEXT(DATEVALUE($D312&amp;"-01"), "dd-mm-yyyy")),0),0)</f>
        <v>0</v>
      </c>
      <c r="N312" cm="1">
        <f t="array" ref="N312">IF($Q312&gt;=0,IFERROR(generateSalesData($D312, IF(ISNUMBER(_xlfn.XLOOKUP($C312,Phone_by_Sentiment!$B$2:$B$37,Phone_by_Sentiment!N$2:N$37,"",0,1)),_xlfn.XLOOKUP($C312,Phone_by_Sentiment!$B$2:$B$37,Phone_by_Sentiment!N$2:N$37,"",0,1),0),$A312-TEXT(DATEVALUE($D312&amp;"-01"), "dd-mm-yyyy")),0),0)</f>
        <v>0</v>
      </c>
      <c r="O312" cm="1">
        <f t="array" ref="O312">IF($Q312&gt;=0,IFERROR(generateSalesData($D312, IF(ISNUMBER(_xlfn.XLOOKUP($C312,Phone_by_Sentiment!$B$2:$B$37,Phone_by_Sentiment!O$2:O$37,"",0,1)),_xlfn.XLOOKUP($C312,Phone_by_Sentiment!$B$2:$B$37,Phone_by_Sentiment!O$2:O$37,"",0,1),0),$A312-TEXT(DATEVALUE($D312&amp;"-01"), "dd-mm-yyyy")),0),0)</f>
        <v>0</v>
      </c>
      <c r="P312" s="1">
        <f t="shared" si="10"/>
        <v>44197</v>
      </c>
      <c r="Q312">
        <f t="shared" si="11"/>
        <v>-488</v>
      </c>
    </row>
    <row r="313" spans="1:17" x14ac:dyDescent="0.25">
      <c r="A313" s="1">
        <f t="shared" si="9"/>
        <v>43709</v>
      </c>
      <c r="B313" t="s">
        <v>155</v>
      </c>
      <c r="C313" t="str">
        <f>_xlfn.XLOOKUP(B313,Phone_by_Price!$A$2:$A$34,Phone_by_Price!$B$2:$B$34,"-",0,1)</f>
        <v>Google Pixel 6</v>
      </c>
      <c r="D313" t="str">
        <f>_xlfn.XLOOKUP(C313,Phone_by_Sentiment!$B$2:$B$37,Phone_by_Sentiment!$A$2:$A$37,"-",0,1)</f>
        <v>2021-10</v>
      </c>
      <c r="E313" cm="1">
        <f t="array" ref="E313">IF($Q313&gt;=0,IFERROR(generateSalesData($D313, IF(ISNUMBER(_xlfn.XLOOKUP($C313,Phone_by_Sentiment!$B$2:$B$37,Phone_by_Sentiment!E$2:E$37,"",0,1)),_xlfn.XLOOKUP($C313,Phone_by_Sentiment!$B$2:$B$37,Phone_by_Sentiment!E$2:E$37,"",0,1),0),$A313-TEXT(DATEVALUE($D313&amp;"-01"), "dd-mm-yyyy")),0),0)</f>
        <v>0</v>
      </c>
      <c r="F313" cm="1">
        <f t="array" ref="F313">IF($Q313&gt;=0,IFERROR(generateSalesData($D313, IF(ISNUMBER(_xlfn.XLOOKUP($C313,Phone_by_Sentiment!$B$2:$B$37,Phone_by_Sentiment!F$2:F$37,"",0,1)),_xlfn.XLOOKUP($C313,Phone_by_Sentiment!$B$2:$B$37,Phone_by_Sentiment!F$2:F$37,"",0,1),0),$A313-TEXT(DATEVALUE($D313&amp;"-01"), "dd-mm-yyyy")),0),0)</f>
        <v>0</v>
      </c>
      <c r="G313" cm="1">
        <f t="array" ref="G313">IF($Q313&gt;=0,IFERROR(generateSalesData($D313, IF(ISNUMBER(_xlfn.XLOOKUP($C313,Phone_by_Sentiment!$B$2:$B$37,Phone_by_Sentiment!G$2:G$37,"",0,1)),_xlfn.XLOOKUP($C313,Phone_by_Sentiment!$B$2:$B$37,Phone_by_Sentiment!G$2:G$37,"",0,1),0),$A313-TEXT(DATEVALUE($D313&amp;"-01"), "dd-mm-yyyy")),0),0)</f>
        <v>0</v>
      </c>
      <c r="H313" cm="1">
        <f t="array" ref="H313">IF($Q313&gt;=0,IFERROR(generateSalesData($D313, IF(ISNUMBER(_xlfn.XLOOKUP($C313,Phone_by_Sentiment!$B$2:$B$37,Phone_by_Sentiment!H$2:H$37,"",0,1)),_xlfn.XLOOKUP($C313,Phone_by_Sentiment!$B$2:$B$37,Phone_by_Sentiment!H$2:H$37,"",0,1),0),$A313-TEXT(DATEVALUE($D313&amp;"-01"), "dd-mm-yyyy")),0),0)</f>
        <v>0</v>
      </c>
      <c r="I313" cm="1">
        <f t="array" ref="I313">IF($Q313&gt;=0,IFERROR(generateSalesData($D313, IF(ISNUMBER(_xlfn.XLOOKUP($C313,Phone_by_Sentiment!$B$2:$B$37,Phone_by_Sentiment!I$2:I$37,"",0,1)),_xlfn.XLOOKUP($C313,Phone_by_Sentiment!$B$2:$B$37,Phone_by_Sentiment!I$2:I$37,"",0,1),0),$A313-TEXT(DATEVALUE($D313&amp;"-01"), "dd-mm-yyyy")),0),0)</f>
        <v>0</v>
      </c>
      <c r="J313" cm="1">
        <f t="array" ref="J313">IF($Q313&gt;=0,IFERROR(generateSalesData($D313, IF(ISNUMBER(_xlfn.XLOOKUP($C313,Phone_by_Sentiment!$B$2:$B$37,Phone_by_Sentiment!J$2:J$37,"",0,1)),_xlfn.XLOOKUP($C313,Phone_by_Sentiment!$B$2:$B$37,Phone_by_Sentiment!J$2:J$37,"",0,1),0),$A313-TEXT(DATEVALUE($D313&amp;"-01"), "dd-mm-yyyy")),0),0)</f>
        <v>0</v>
      </c>
      <c r="K313" cm="1">
        <f t="array" ref="K313">IF($Q313&gt;=0,IFERROR(generateSalesData($D313, IF(ISNUMBER(_xlfn.XLOOKUP($C313,Phone_by_Sentiment!$B$2:$B$37,Phone_by_Sentiment!K$2:K$37,"",0,1)),_xlfn.XLOOKUP($C313,Phone_by_Sentiment!$B$2:$B$37,Phone_by_Sentiment!K$2:K$37,"",0,1),0),$A313-TEXT(DATEVALUE($D313&amp;"-01"), "dd-mm-yyyy")),0),0)</f>
        <v>0</v>
      </c>
      <c r="L313" cm="1">
        <f t="array" ref="L313">IF($Q313&gt;=0,IFERROR(generateSalesData($D313, IF(ISNUMBER(_xlfn.XLOOKUP($C313,Phone_by_Sentiment!$B$2:$B$37,Phone_by_Sentiment!L$2:L$37,"",0,1)),_xlfn.XLOOKUP($C313,Phone_by_Sentiment!$B$2:$B$37,Phone_by_Sentiment!L$2:L$37,"",0,1),0),$A313-TEXT(DATEVALUE($D313&amp;"-01"), "dd-mm-yyyy")),0),0)</f>
        <v>0</v>
      </c>
      <c r="M313" cm="1">
        <f t="array" ref="M313">IF($Q313&gt;=0,IFERROR(generateSalesData($D313, IF(ISNUMBER(_xlfn.XLOOKUP($C313,Phone_by_Sentiment!$B$2:$B$37,Phone_by_Sentiment!M$2:M$37,"",0,1)),_xlfn.XLOOKUP($C313,Phone_by_Sentiment!$B$2:$B$37,Phone_by_Sentiment!M$2:M$37,"",0,1),0),$A313-TEXT(DATEVALUE($D313&amp;"-01"), "dd-mm-yyyy")),0),0)</f>
        <v>0</v>
      </c>
      <c r="N313" cm="1">
        <f t="array" ref="N313">IF($Q313&gt;=0,IFERROR(generateSalesData($D313, IF(ISNUMBER(_xlfn.XLOOKUP($C313,Phone_by_Sentiment!$B$2:$B$37,Phone_by_Sentiment!N$2:N$37,"",0,1)),_xlfn.XLOOKUP($C313,Phone_by_Sentiment!$B$2:$B$37,Phone_by_Sentiment!N$2:N$37,"",0,1),0),$A313-TEXT(DATEVALUE($D313&amp;"-01"), "dd-mm-yyyy")),0),0)</f>
        <v>0</v>
      </c>
      <c r="O313" cm="1">
        <f t="array" ref="O313">IF($Q313&gt;=0,IFERROR(generateSalesData($D313, IF(ISNUMBER(_xlfn.XLOOKUP($C313,Phone_by_Sentiment!$B$2:$B$37,Phone_by_Sentiment!O$2:O$37,"",0,1)),_xlfn.XLOOKUP($C313,Phone_by_Sentiment!$B$2:$B$37,Phone_by_Sentiment!O$2:O$37,"",0,1),0),$A313-TEXT(DATEVALUE($D313&amp;"-01"), "dd-mm-yyyy")),0),0)</f>
        <v>0</v>
      </c>
      <c r="P313" s="1">
        <f t="shared" si="10"/>
        <v>44470</v>
      </c>
      <c r="Q313">
        <f t="shared" si="11"/>
        <v>-761</v>
      </c>
    </row>
    <row r="314" spans="1:17" x14ac:dyDescent="0.25">
      <c r="A314" s="1">
        <f t="shared" si="9"/>
        <v>43709</v>
      </c>
      <c r="B314" t="s">
        <v>156</v>
      </c>
      <c r="C314" t="str">
        <f>_xlfn.XLOOKUP(B314,Phone_by_Price!$A$2:$A$34,Phone_by_Price!$B$2:$B$34,"-",0,1)</f>
        <v>OnePlus Nord CE</v>
      </c>
      <c r="D314" t="str">
        <f>_xlfn.XLOOKUP(C314,Phone_by_Sentiment!$B$2:$B$37,Phone_by_Sentiment!$A$2:$A$37,"-",0,1)</f>
        <v>2021-06</v>
      </c>
      <c r="E314" cm="1">
        <f t="array" ref="E314">IF($Q314&gt;=0,IFERROR(generateSalesData($D314, IF(ISNUMBER(_xlfn.XLOOKUP($C314,Phone_by_Sentiment!$B$2:$B$37,Phone_by_Sentiment!E$2:E$37,"",0,1)),_xlfn.XLOOKUP($C314,Phone_by_Sentiment!$B$2:$B$37,Phone_by_Sentiment!E$2:E$37,"",0,1),0),$A314-TEXT(DATEVALUE($D314&amp;"-01"), "dd-mm-yyyy")),0),0)</f>
        <v>0</v>
      </c>
      <c r="F314" cm="1">
        <f t="array" ref="F314">IF($Q314&gt;=0,IFERROR(generateSalesData($D314, IF(ISNUMBER(_xlfn.XLOOKUP($C314,Phone_by_Sentiment!$B$2:$B$37,Phone_by_Sentiment!F$2:F$37,"",0,1)),_xlfn.XLOOKUP($C314,Phone_by_Sentiment!$B$2:$B$37,Phone_by_Sentiment!F$2:F$37,"",0,1),0),$A314-TEXT(DATEVALUE($D314&amp;"-01"), "dd-mm-yyyy")),0),0)</f>
        <v>0</v>
      </c>
      <c r="G314" cm="1">
        <f t="array" ref="G314">IF($Q314&gt;=0,IFERROR(generateSalesData($D314, IF(ISNUMBER(_xlfn.XLOOKUP($C314,Phone_by_Sentiment!$B$2:$B$37,Phone_by_Sentiment!G$2:G$37,"",0,1)),_xlfn.XLOOKUP($C314,Phone_by_Sentiment!$B$2:$B$37,Phone_by_Sentiment!G$2:G$37,"",0,1),0),$A314-TEXT(DATEVALUE($D314&amp;"-01"), "dd-mm-yyyy")),0),0)</f>
        <v>0</v>
      </c>
      <c r="H314" cm="1">
        <f t="array" ref="H314">IF($Q314&gt;=0,IFERROR(generateSalesData($D314, IF(ISNUMBER(_xlfn.XLOOKUP($C314,Phone_by_Sentiment!$B$2:$B$37,Phone_by_Sentiment!H$2:H$37,"",0,1)),_xlfn.XLOOKUP($C314,Phone_by_Sentiment!$B$2:$B$37,Phone_by_Sentiment!H$2:H$37,"",0,1),0),$A314-TEXT(DATEVALUE($D314&amp;"-01"), "dd-mm-yyyy")),0),0)</f>
        <v>0</v>
      </c>
      <c r="I314" cm="1">
        <f t="array" ref="I314">IF($Q314&gt;=0,IFERROR(generateSalesData($D314, IF(ISNUMBER(_xlfn.XLOOKUP($C314,Phone_by_Sentiment!$B$2:$B$37,Phone_by_Sentiment!I$2:I$37,"",0,1)),_xlfn.XLOOKUP($C314,Phone_by_Sentiment!$B$2:$B$37,Phone_by_Sentiment!I$2:I$37,"",0,1),0),$A314-TEXT(DATEVALUE($D314&amp;"-01"), "dd-mm-yyyy")),0),0)</f>
        <v>0</v>
      </c>
      <c r="J314" cm="1">
        <f t="array" ref="J314">IF($Q314&gt;=0,IFERROR(generateSalesData($D314, IF(ISNUMBER(_xlfn.XLOOKUP($C314,Phone_by_Sentiment!$B$2:$B$37,Phone_by_Sentiment!J$2:J$37,"",0,1)),_xlfn.XLOOKUP($C314,Phone_by_Sentiment!$B$2:$B$37,Phone_by_Sentiment!J$2:J$37,"",0,1),0),$A314-TEXT(DATEVALUE($D314&amp;"-01"), "dd-mm-yyyy")),0),0)</f>
        <v>0</v>
      </c>
      <c r="K314" cm="1">
        <f t="array" ref="K314">IF($Q314&gt;=0,IFERROR(generateSalesData($D314, IF(ISNUMBER(_xlfn.XLOOKUP($C314,Phone_by_Sentiment!$B$2:$B$37,Phone_by_Sentiment!K$2:K$37,"",0,1)),_xlfn.XLOOKUP($C314,Phone_by_Sentiment!$B$2:$B$37,Phone_by_Sentiment!K$2:K$37,"",0,1),0),$A314-TEXT(DATEVALUE($D314&amp;"-01"), "dd-mm-yyyy")),0),0)</f>
        <v>0</v>
      </c>
      <c r="L314" cm="1">
        <f t="array" ref="L314">IF($Q314&gt;=0,IFERROR(generateSalesData($D314, IF(ISNUMBER(_xlfn.XLOOKUP($C314,Phone_by_Sentiment!$B$2:$B$37,Phone_by_Sentiment!L$2:L$37,"",0,1)),_xlfn.XLOOKUP($C314,Phone_by_Sentiment!$B$2:$B$37,Phone_by_Sentiment!L$2:L$37,"",0,1),0),$A314-TEXT(DATEVALUE($D314&amp;"-01"), "dd-mm-yyyy")),0),0)</f>
        <v>0</v>
      </c>
      <c r="M314" cm="1">
        <f t="array" ref="M314">IF($Q314&gt;=0,IFERROR(generateSalesData($D314, IF(ISNUMBER(_xlfn.XLOOKUP($C314,Phone_by_Sentiment!$B$2:$B$37,Phone_by_Sentiment!M$2:M$37,"",0,1)),_xlfn.XLOOKUP($C314,Phone_by_Sentiment!$B$2:$B$37,Phone_by_Sentiment!M$2:M$37,"",0,1),0),$A314-TEXT(DATEVALUE($D314&amp;"-01"), "dd-mm-yyyy")),0),0)</f>
        <v>0</v>
      </c>
      <c r="N314" cm="1">
        <f t="array" ref="N314">IF($Q314&gt;=0,IFERROR(generateSalesData($D314, IF(ISNUMBER(_xlfn.XLOOKUP($C314,Phone_by_Sentiment!$B$2:$B$37,Phone_by_Sentiment!N$2:N$37,"",0,1)),_xlfn.XLOOKUP($C314,Phone_by_Sentiment!$B$2:$B$37,Phone_by_Sentiment!N$2:N$37,"",0,1),0),$A314-TEXT(DATEVALUE($D314&amp;"-01"), "dd-mm-yyyy")),0),0)</f>
        <v>0</v>
      </c>
      <c r="O314" cm="1">
        <f t="array" ref="O314">IF($Q314&gt;=0,IFERROR(generateSalesData($D314, IF(ISNUMBER(_xlfn.XLOOKUP($C314,Phone_by_Sentiment!$B$2:$B$37,Phone_by_Sentiment!O$2:O$37,"",0,1)),_xlfn.XLOOKUP($C314,Phone_by_Sentiment!$B$2:$B$37,Phone_by_Sentiment!O$2:O$37,"",0,1),0),$A314-TEXT(DATEVALUE($D314&amp;"-01"), "dd-mm-yyyy")),0),0)</f>
        <v>0</v>
      </c>
      <c r="P314" s="1">
        <f t="shared" si="10"/>
        <v>44348</v>
      </c>
      <c r="Q314">
        <f t="shared" si="11"/>
        <v>-639</v>
      </c>
    </row>
    <row r="315" spans="1:17" x14ac:dyDescent="0.25">
      <c r="A315" s="1">
        <f t="shared" si="9"/>
        <v>43709</v>
      </c>
      <c r="B315" t="s">
        <v>157</v>
      </c>
      <c r="C315" t="str">
        <f>_xlfn.XLOOKUP(B315,Phone_by_Price!$A$2:$A$34,Phone_by_Price!$B$2:$B$34,"-",0,1)</f>
        <v>Apple iPhone 13 Pro</v>
      </c>
      <c r="D315" t="str">
        <f>_xlfn.XLOOKUP(C315,Phone_by_Sentiment!$B$2:$B$37,Phone_by_Sentiment!$A$2:$A$37,"-",0,1)</f>
        <v>2021-09</v>
      </c>
      <c r="E315" cm="1">
        <f t="array" ref="E315">IF($Q315&gt;=0,IFERROR(generateSalesData($D315, IF(ISNUMBER(_xlfn.XLOOKUP($C315,Phone_by_Sentiment!$B$2:$B$37,Phone_by_Sentiment!E$2:E$37,"",0,1)),_xlfn.XLOOKUP($C315,Phone_by_Sentiment!$B$2:$B$37,Phone_by_Sentiment!E$2:E$37,"",0,1),0),$A315-TEXT(DATEVALUE($D315&amp;"-01"), "dd-mm-yyyy")),0),0)</f>
        <v>0</v>
      </c>
      <c r="F315" cm="1">
        <f t="array" ref="F315">IF($Q315&gt;=0,IFERROR(generateSalesData($D315, IF(ISNUMBER(_xlfn.XLOOKUP($C315,Phone_by_Sentiment!$B$2:$B$37,Phone_by_Sentiment!F$2:F$37,"",0,1)),_xlfn.XLOOKUP($C315,Phone_by_Sentiment!$B$2:$B$37,Phone_by_Sentiment!F$2:F$37,"",0,1),0),$A315-TEXT(DATEVALUE($D315&amp;"-01"), "dd-mm-yyyy")),0),0)</f>
        <v>0</v>
      </c>
      <c r="G315" cm="1">
        <f t="array" ref="G315">IF($Q315&gt;=0,IFERROR(generateSalesData($D315, IF(ISNUMBER(_xlfn.XLOOKUP($C315,Phone_by_Sentiment!$B$2:$B$37,Phone_by_Sentiment!G$2:G$37,"",0,1)),_xlfn.XLOOKUP($C315,Phone_by_Sentiment!$B$2:$B$37,Phone_by_Sentiment!G$2:G$37,"",0,1),0),$A315-TEXT(DATEVALUE($D315&amp;"-01"), "dd-mm-yyyy")),0),0)</f>
        <v>0</v>
      </c>
      <c r="H315" cm="1">
        <f t="array" ref="H315">IF($Q315&gt;=0,IFERROR(generateSalesData($D315, IF(ISNUMBER(_xlfn.XLOOKUP($C315,Phone_by_Sentiment!$B$2:$B$37,Phone_by_Sentiment!H$2:H$37,"",0,1)),_xlfn.XLOOKUP($C315,Phone_by_Sentiment!$B$2:$B$37,Phone_by_Sentiment!H$2:H$37,"",0,1),0),$A315-TEXT(DATEVALUE($D315&amp;"-01"), "dd-mm-yyyy")),0),0)</f>
        <v>0</v>
      </c>
      <c r="I315" cm="1">
        <f t="array" ref="I315">IF($Q315&gt;=0,IFERROR(generateSalesData($D315, IF(ISNUMBER(_xlfn.XLOOKUP($C315,Phone_by_Sentiment!$B$2:$B$37,Phone_by_Sentiment!I$2:I$37,"",0,1)),_xlfn.XLOOKUP($C315,Phone_by_Sentiment!$B$2:$B$37,Phone_by_Sentiment!I$2:I$37,"",0,1),0),$A315-TEXT(DATEVALUE($D315&amp;"-01"), "dd-mm-yyyy")),0),0)</f>
        <v>0</v>
      </c>
      <c r="J315" cm="1">
        <f t="array" ref="J315">IF($Q315&gt;=0,IFERROR(generateSalesData($D315, IF(ISNUMBER(_xlfn.XLOOKUP($C315,Phone_by_Sentiment!$B$2:$B$37,Phone_by_Sentiment!J$2:J$37,"",0,1)),_xlfn.XLOOKUP($C315,Phone_by_Sentiment!$B$2:$B$37,Phone_by_Sentiment!J$2:J$37,"",0,1),0),$A315-TEXT(DATEVALUE($D315&amp;"-01"), "dd-mm-yyyy")),0),0)</f>
        <v>0</v>
      </c>
      <c r="K315" cm="1">
        <f t="array" ref="K315">IF($Q315&gt;=0,IFERROR(generateSalesData($D315, IF(ISNUMBER(_xlfn.XLOOKUP($C315,Phone_by_Sentiment!$B$2:$B$37,Phone_by_Sentiment!K$2:K$37,"",0,1)),_xlfn.XLOOKUP($C315,Phone_by_Sentiment!$B$2:$B$37,Phone_by_Sentiment!K$2:K$37,"",0,1),0),$A315-TEXT(DATEVALUE($D315&amp;"-01"), "dd-mm-yyyy")),0),0)</f>
        <v>0</v>
      </c>
      <c r="L315" cm="1">
        <f t="array" ref="L315">IF($Q315&gt;=0,IFERROR(generateSalesData($D315, IF(ISNUMBER(_xlfn.XLOOKUP($C315,Phone_by_Sentiment!$B$2:$B$37,Phone_by_Sentiment!L$2:L$37,"",0,1)),_xlfn.XLOOKUP($C315,Phone_by_Sentiment!$B$2:$B$37,Phone_by_Sentiment!L$2:L$37,"",0,1),0),$A315-TEXT(DATEVALUE($D315&amp;"-01"), "dd-mm-yyyy")),0),0)</f>
        <v>0</v>
      </c>
      <c r="M315" cm="1">
        <f t="array" ref="M315">IF($Q315&gt;=0,IFERROR(generateSalesData($D315, IF(ISNUMBER(_xlfn.XLOOKUP($C315,Phone_by_Sentiment!$B$2:$B$37,Phone_by_Sentiment!M$2:M$37,"",0,1)),_xlfn.XLOOKUP($C315,Phone_by_Sentiment!$B$2:$B$37,Phone_by_Sentiment!M$2:M$37,"",0,1),0),$A315-TEXT(DATEVALUE($D315&amp;"-01"), "dd-mm-yyyy")),0),0)</f>
        <v>0</v>
      </c>
      <c r="N315" cm="1">
        <f t="array" ref="N315">IF($Q315&gt;=0,IFERROR(generateSalesData($D315, IF(ISNUMBER(_xlfn.XLOOKUP($C315,Phone_by_Sentiment!$B$2:$B$37,Phone_by_Sentiment!N$2:N$37,"",0,1)),_xlfn.XLOOKUP($C315,Phone_by_Sentiment!$B$2:$B$37,Phone_by_Sentiment!N$2:N$37,"",0,1),0),$A315-TEXT(DATEVALUE($D315&amp;"-01"), "dd-mm-yyyy")),0),0)</f>
        <v>0</v>
      </c>
      <c r="O315" cm="1">
        <f t="array" ref="O315">IF($Q315&gt;=0,IFERROR(generateSalesData($D315, IF(ISNUMBER(_xlfn.XLOOKUP($C315,Phone_by_Sentiment!$B$2:$B$37,Phone_by_Sentiment!O$2:O$37,"",0,1)),_xlfn.XLOOKUP($C315,Phone_by_Sentiment!$B$2:$B$37,Phone_by_Sentiment!O$2:O$37,"",0,1),0),$A315-TEXT(DATEVALUE($D315&amp;"-01"), "dd-mm-yyyy")),0),0)</f>
        <v>0</v>
      </c>
      <c r="P315" s="1">
        <f t="shared" si="10"/>
        <v>44440</v>
      </c>
      <c r="Q315">
        <f t="shared" si="11"/>
        <v>-731</v>
      </c>
    </row>
    <row r="316" spans="1:17" x14ac:dyDescent="0.25">
      <c r="A316" s="1">
        <f t="shared" si="9"/>
        <v>43739</v>
      </c>
      <c r="B316" t="s">
        <v>158</v>
      </c>
      <c r="C316" t="str">
        <f>_xlfn.XLOOKUP(B316,Phone_by_Price!$A$2:$A$34,Phone_by_Price!$B$2:$B$34,"-",0,1)</f>
        <v>Samsung Galaxy A32 5G</v>
      </c>
      <c r="D316" t="str">
        <f>_xlfn.XLOOKUP(C316,Phone_by_Sentiment!$B$2:$B$37,Phone_by_Sentiment!$A$2:$A$37,"-",0,1)</f>
        <v>2021-02</v>
      </c>
      <c r="E316" cm="1">
        <f t="array" ref="E316">IF($Q316&gt;=0,IFERROR(generateSalesData($D316, IF(ISNUMBER(_xlfn.XLOOKUP($C316,Phone_by_Sentiment!$B$2:$B$37,Phone_by_Sentiment!E$2:E$37,"",0,1)),_xlfn.XLOOKUP($C316,Phone_by_Sentiment!$B$2:$B$37,Phone_by_Sentiment!E$2:E$37,"",0,1),0),$A316-TEXT(DATEVALUE($D316&amp;"-01"), "dd-mm-yyyy")),0),0)</f>
        <v>0</v>
      </c>
      <c r="F316" cm="1">
        <f t="array" ref="F316">IF($Q316&gt;=0,IFERROR(generateSalesData($D316, IF(ISNUMBER(_xlfn.XLOOKUP($C316,Phone_by_Sentiment!$B$2:$B$37,Phone_by_Sentiment!F$2:F$37,"",0,1)),_xlfn.XLOOKUP($C316,Phone_by_Sentiment!$B$2:$B$37,Phone_by_Sentiment!F$2:F$37,"",0,1),0),$A316-TEXT(DATEVALUE($D316&amp;"-01"), "dd-mm-yyyy")),0),0)</f>
        <v>0</v>
      </c>
      <c r="G316" cm="1">
        <f t="array" ref="G316">IF($Q316&gt;=0,IFERROR(generateSalesData($D316, IF(ISNUMBER(_xlfn.XLOOKUP($C316,Phone_by_Sentiment!$B$2:$B$37,Phone_by_Sentiment!G$2:G$37,"",0,1)),_xlfn.XLOOKUP($C316,Phone_by_Sentiment!$B$2:$B$37,Phone_by_Sentiment!G$2:G$37,"",0,1),0),$A316-TEXT(DATEVALUE($D316&amp;"-01"), "dd-mm-yyyy")),0),0)</f>
        <v>0</v>
      </c>
      <c r="H316" cm="1">
        <f t="array" ref="H316">IF($Q316&gt;=0,IFERROR(generateSalesData($D316, IF(ISNUMBER(_xlfn.XLOOKUP($C316,Phone_by_Sentiment!$B$2:$B$37,Phone_by_Sentiment!H$2:H$37,"",0,1)),_xlfn.XLOOKUP($C316,Phone_by_Sentiment!$B$2:$B$37,Phone_by_Sentiment!H$2:H$37,"",0,1),0),$A316-TEXT(DATEVALUE($D316&amp;"-01"), "dd-mm-yyyy")),0),0)</f>
        <v>0</v>
      </c>
      <c r="I316" cm="1">
        <f t="array" ref="I316">IF($Q316&gt;=0,IFERROR(generateSalesData($D316, IF(ISNUMBER(_xlfn.XLOOKUP($C316,Phone_by_Sentiment!$B$2:$B$37,Phone_by_Sentiment!I$2:I$37,"",0,1)),_xlfn.XLOOKUP($C316,Phone_by_Sentiment!$B$2:$B$37,Phone_by_Sentiment!I$2:I$37,"",0,1),0),$A316-TEXT(DATEVALUE($D316&amp;"-01"), "dd-mm-yyyy")),0),0)</f>
        <v>0</v>
      </c>
      <c r="J316" cm="1">
        <f t="array" ref="J316">IF($Q316&gt;=0,IFERROR(generateSalesData($D316, IF(ISNUMBER(_xlfn.XLOOKUP($C316,Phone_by_Sentiment!$B$2:$B$37,Phone_by_Sentiment!J$2:J$37,"",0,1)),_xlfn.XLOOKUP($C316,Phone_by_Sentiment!$B$2:$B$37,Phone_by_Sentiment!J$2:J$37,"",0,1),0),$A316-TEXT(DATEVALUE($D316&amp;"-01"), "dd-mm-yyyy")),0),0)</f>
        <v>0</v>
      </c>
      <c r="K316" cm="1">
        <f t="array" ref="K316">IF($Q316&gt;=0,IFERROR(generateSalesData($D316, IF(ISNUMBER(_xlfn.XLOOKUP($C316,Phone_by_Sentiment!$B$2:$B$37,Phone_by_Sentiment!K$2:K$37,"",0,1)),_xlfn.XLOOKUP($C316,Phone_by_Sentiment!$B$2:$B$37,Phone_by_Sentiment!K$2:K$37,"",0,1),0),$A316-TEXT(DATEVALUE($D316&amp;"-01"), "dd-mm-yyyy")),0),0)</f>
        <v>0</v>
      </c>
      <c r="L316" cm="1">
        <f t="array" ref="L316">IF($Q316&gt;=0,IFERROR(generateSalesData($D316, IF(ISNUMBER(_xlfn.XLOOKUP($C316,Phone_by_Sentiment!$B$2:$B$37,Phone_by_Sentiment!L$2:L$37,"",0,1)),_xlfn.XLOOKUP($C316,Phone_by_Sentiment!$B$2:$B$37,Phone_by_Sentiment!L$2:L$37,"",0,1),0),$A316-TEXT(DATEVALUE($D316&amp;"-01"), "dd-mm-yyyy")),0),0)</f>
        <v>0</v>
      </c>
      <c r="M316" cm="1">
        <f t="array" ref="M316">IF($Q316&gt;=0,IFERROR(generateSalesData($D316, IF(ISNUMBER(_xlfn.XLOOKUP($C316,Phone_by_Sentiment!$B$2:$B$37,Phone_by_Sentiment!M$2:M$37,"",0,1)),_xlfn.XLOOKUP($C316,Phone_by_Sentiment!$B$2:$B$37,Phone_by_Sentiment!M$2:M$37,"",0,1),0),$A316-TEXT(DATEVALUE($D316&amp;"-01"), "dd-mm-yyyy")),0),0)</f>
        <v>0</v>
      </c>
      <c r="N316" cm="1">
        <f t="array" ref="N316">IF($Q316&gt;=0,IFERROR(generateSalesData($D316, IF(ISNUMBER(_xlfn.XLOOKUP($C316,Phone_by_Sentiment!$B$2:$B$37,Phone_by_Sentiment!N$2:N$37,"",0,1)),_xlfn.XLOOKUP($C316,Phone_by_Sentiment!$B$2:$B$37,Phone_by_Sentiment!N$2:N$37,"",0,1),0),$A316-TEXT(DATEVALUE($D316&amp;"-01"), "dd-mm-yyyy")),0),0)</f>
        <v>0</v>
      </c>
      <c r="O316" cm="1">
        <f t="array" ref="O316">IF($Q316&gt;=0,IFERROR(generateSalesData($D316, IF(ISNUMBER(_xlfn.XLOOKUP($C316,Phone_by_Sentiment!$B$2:$B$37,Phone_by_Sentiment!O$2:O$37,"",0,1)),_xlfn.XLOOKUP($C316,Phone_by_Sentiment!$B$2:$B$37,Phone_by_Sentiment!O$2:O$37,"",0,1),0),$A316-TEXT(DATEVALUE($D316&amp;"-01"), "dd-mm-yyyy")),0),0)</f>
        <v>0</v>
      </c>
      <c r="P316" s="1">
        <f t="shared" si="10"/>
        <v>44228</v>
      </c>
      <c r="Q316">
        <f t="shared" si="11"/>
        <v>-489</v>
      </c>
    </row>
    <row r="317" spans="1:17" x14ac:dyDescent="0.25">
      <c r="A317" s="1">
        <f t="shared" si="9"/>
        <v>43739</v>
      </c>
      <c r="B317" t="s">
        <v>159</v>
      </c>
      <c r="C317" t="str">
        <f>_xlfn.XLOOKUP(B317,Phone_by_Price!$A$2:$A$34,Phone_by_Price!$B$2:$B$34,"-",0,1)</f>
        <v>Realme C25</v>
      </c>
      <c r="D317" t="str">
        <f>_xlfn.XLOOKUP(C317,Phone_by_Sentiment!$B$2:$B$37,Phone_by_Sentiment!$A$2:$A$37,"-",0,1)</f>
        <v>2021-03</v>
      </c>
      <c r="E317" cm="1">
        <f t="array" ref="E317">IF($Q317&gt;=0,IFERROR(generateSalesData($D317, IF(ISNUMBER(_xlfn.XLOOKUP($C317,Phone_by_Sentiment!$B$2:$B$37,Phone_by_Sentiment!E$2:E$37,"",0,1)),_xlfn.XLOOKUP($C317,Phone_by_Sentiment!$B$2:$B$37,Phone_by_Sentiment!E$2:E$37,"",0,1),0),$A317-TEXT(DATEVALUE($D317&amp;"-01"), "dd-mm-yyyy")),0),0)</f>
        <v>0</v>
      </c>
      <c r="F317" cm="1">
        <f t="array" ref="F317">IF($Q317&gt;=0,IFERROR(generateSalesData($D317, IF(ISNUMBER(_xlfn.XLOOKUP($C317,Phone_by_Sentiment!$B$2:$B$37,Phone_by_Sentiment!F$2:F$37,"",0,1)),_xlfn.XLOOKUP($C317,Phone_by_Sentiment!$B$2:$B$37,Phone_by_Sentiment!F$2:F$37,"",0,1),0),$A317-TEXT(DATEVALUE($D317&amp;"-01"), "dd-mm-yyyy")),0),0)</f>
        <v>0</v>
      </c>
      <c r="G317" cm="1">
        <f t="array" ref="G317">IF($Q317&gt;=0,IFERROR(generateSalesData($D317, IF(ISNUMBER(_xlfn.XLOOKUP($C317,Phone_by_Sentiment!$B$2:$B$37,Phone_by_Sentiment!G$2:G$37,"",0,1)),_xlfn.XLOOKUP($C317,Phone_by_Sentiment!$B$2:$B$37,Phone_by_Sentiment!G$2:G$37,"",0,1),0),$A317-TEXT(DATEVALUE($D317&amp;"-01"), "dd-mm-yyyy")),0),0)</f>
        <v>0</v>
      </c>
      <c r="H317" cm="1">
        <f t="array" ref="H317">IF($Q317&gt;=0,IFERROR(generateSalesData($D317, IF(ISNUMBER(_xlfn.XLOOKUP($C317,Phone_by_Sentiment!$B$2:$B$37,Phone_by_Sentiment!H$2:H$37,"",0,1)),_xlfn.XLOOKUP($C317,Phone_by_Sentiment!$B$2:$B$37,Phone_by_Sentiment!H$2:H$37,"",0,1),0),$A317-TEXT(DATEVALUE($D317&amp;"-01"), "dd-mm-yyyy")),0),0)</f>
        <v>0</v>
      </c>
      <c r="I317" cm="1">
        <f t="array" ref="I317">IF($Q317&gt;=0,IFERROR(generateSalesData($D317, IF(ISNUMBER(_xlfn.XLOOKUP($C317,Phone_by_Sentiment!$B$2:$B$37,Phone_by_Sentiment!I$2:I$37,"",0,1)),_xlfn.XLOOKUP($C317,Phone_by_Sentiment!$B$2:$B$37,Phone_by_Sentiment!I$2:I$37,"",0,1),0),$A317-TEXT(DATEVALUE($D317&amp;"-01"), "dd-mm-yyyy")),0),0)</f>
        <v>0</v>
      </c>
      <c r="J317" cm="1">
        <f t="array" ref="J317">IF($Q317&gt;=0,IFERROR(generateSalesData($D317, IF(ISNUMBER(_xlfn.XLOOKUP($C317,Phone_by_Sentiment!$B$2:$B$37,Phone_by_Sentiment!J$2:J$37,"",0,1)),_xlfn.XLOOKUP($C317,Phone_by_Sentiment!$B$2:$B$37,Phone_by_Sentiment!J$2:J$37,"",0,1),0),$A317-TEXT(DATEVALUE($D317&amp;"-01"), "dd-mm-yyyy")),0),0)</f>
        <v>0</v>
      </c>
      <c r="K317" cm="1">
        <f t="array" ref="K317">IF($Q317&gt;=0,IFERROR(generateSalesData($D317, IF(ISNUMBER(_xlfn.XLOOKUP($C317,Phone_by_Sentiment!$B$2:$B$37,Phone_by_Sentiment!K$2:K$37,"",0,1)),_xlfn.XLOOKUP($C317,Phone_by_Sentiment!$B$2:$B$37,Phone_by_Sentiment!K$2:K$37,"",0,1),0),$A317-TEXT(DATEVALUE($D317&amp;"-01"), "dd-mm-yyyy")),0),0)</f>
        <v>0</v>
      </c>
      <c r="L317" cm="1">
        <f t="array" ref="L317">IF($Q317&gt;=0,IFERROR(generateSalesData($D317, IF(ISNUMBER(_xlfn.XLOOKUP($C317,Phone_by_Sentiment!$B$2:$B$37,Phone_by_Sentiment!L$2:L$37,"",0,1)),_xlfn.XLOOKUP($C317,Phone_by_Sentiment!$B$2:$B$37,Phone_by_Sentiment!L$2:L$37,"",0,1),0),$A317-TEXT(DATEVALUE($D317&amp;"-01"), "dd-mm-yyyy")),0),0)</f>
        <v>0</v>
      </c>
      <c r="M317" cm="1">
        <f t="array" ref="M317">IF($Q317&gt;=0,IFERROR(generateSalesData($D317, IF(ISNUMBER(_xlfn.XLOOKUP($C317,Phone_by_Sentiment!$B$2:$B$37,Phone_by_Sentiment!M$2:M$37,"",0,1)),_xlfn.XLOOKUP($C317,Phone_by_Sentiment!$B$2:$B$37,Phone_by_Sentiment!M$2:M$37,"",0,1),0),$A317-TEXT(DATEVALUE($D317&amp;"-01"), "dd-mm-yyyy")),0),0)</f>
        <v>0</v>
      </c>
      <c r="N317" cm="1">
        <f t="array" ref="N317">IF($Q317&gt;=0,IFERROR(generateSalesData($D317, IF(ISNUMBER(_xlfn.XLOOKUP($C317,Phone_by_Sentiment!$B$2:$B$37,Phone_by_Sentiment!N$2:N$37,"",0,1)),_xlfn.XLOOKUP($C317,Phone_by_Sentiment!$B$2:$B$37,Phone_by_Sentiment!N$2:N$37,"",0,1),0),$A317-TEXT(DATEVALUE($D317&amp;"-01"), "dd-mm-yyyy")),0),0)</f>
        <v>0</v>
      </c>
      <c r="O317" cm="1">
        <f t="array" ref="O317">IF($Q317&gt;=0,IFERROR(generateSalesData($D317, IF(ISNUMBER(_xlfn.XLOOKUP($C317,Phone_by_Sentiment!$B$2:$B$37,Phone_by_Sentiment!O$2:O$37,"",0,1)),_xlfn.XLOOKUP($C317,Phone_by_Sentiment!$B$2:$B$37,Phone_by_Sentiment!O$2:O$37,"",0,1),0),$A317-TEXT(DATEVALUE($D317&amp;"-01"), "dd-mm-yyyy")),0),0)</f>
        <v>0</v>
      </c>
      <c r="P317" s="1">
        <f t="shared" si="10"/>
        <v>44256</v>
      </c>
      <c r="Q317">
        <f t="shared" si="11"/>
        <v>-517</v>
      </c>
    </row>
    <row r="318" spans="1:17" x14ac:dyDescent="0.25">
      <c r="A318" s="1">
        <f t="shared" si="9"/>
        <v>43739</v>
      </c>
      <c r="B318" t="s">
        <v>160</v>
      </c>
      <c r="C318" t="str">
        <f>_xlfn.XLOOKUP(B318,Phone_by_Price!$A$2:$A$34,Phone_by_Price!$B$2:$B$34,"-",0,1)</f>
        <v>Xiaomi Poco X3 Pro</v>
      </c>
      <c r="D318" t="str">
        <f>_xlfn.XLOOKUP(C318,Phone_by_Sentiment!$B$2:$B$37,Phone_by_Sentiment!$A$2:$A$37,"-",0,1)</f>
        <v>2021-05</v>
      </c>
      <c r="E318" cm="1">
        <f t="array" ref="E318">IF($Q318&gt;=0,IFERROR(generateSalesData($D318, IF(ISNUMBER(_xlfn.XLOOKUP($C318,Phone_by_Sentiment!$B$2:$B$37,Phone_by_Sentiment!E$2:E$37,"",0,1)),_xlfn.XLOOKUP($C318,Phone_by_Sentiment!$B$2:$B$37,Phone_by_Sentiment!E$2:E$37,"",0,1),0),$A318-TEXT(DATEVALUE($D318&amp;"-01"), "dd-mm-yyyy")),0),0)</f>
        <v>0</v>
      </c>
      <c r="F318" cm="1">
        <f t="array" ref="F318">IF($Q318&gt;=0,IFERROR(generateSalesData($D318, IF(ISNUMBER(_xlfn.XLOOKUP($C318,Phone_by_Sentiment!$B$2:$B$37,Phone_by_Sentiment!F$2:F$37,"",0,1)),_xlfn.XLOOKUP($C318,Phone_by_Sentiment!$B$2:$B$37,Phone_by_Sentiment!F$2:F$37,"",0,1),0),$A318-TEXT(DATEVALUE($D318&amp;"-01"), "dd-mm-yyyy")),0),0)</f>
        <v>0</v>
      </c>
      <c r="G318" cm="1">
        <f t="array" ref="G318">IF($Q318&gt;=0,IFERROR(generateSalesData($D318, IF(ISNUMBER(_xlfn.XLOOKUP($C318,Phone_by_Sentiment!$B$2:$B$37,Phone_by_Sentiment!G$2:G$37,"",0,1)),_xlfn.XLOOKUP($C318,Phone_by_Sentiment!$B$2:$B$37,Phone_by_Sentiment!G$2:G$37,"",0,1),0),$A318-TEXT(DATEVALUE($D318&amp;"-01"), "dd-mm-yyyy")),0),0)</f>
        <v>0</v>
      </c>
      <c r="H318" cm="1">
        <f t="array" ref="H318">IF($Q318&gt;=0,IFERROR(generateSalesData($D318, IF(ISNUMBER(_xlfn.XLOOKUP($C318,Phone_by_Sentiment!$B$2:$B$37,Phone_by_Sentiment!H$2:H$37,"",0,1)),_xlfn.XLOOKUP($C318,Phone_by_Sentiment!$B$2:$B$37,Phone_by_Sentiment!H$2:H$37,"",0,1),0),$A318-TEXT(DATEVALUE($D318&amp;"-01"), "dd-mm-yyyy")),0),0)</f>
        <v>0</v>
      </c>
      <c r="I318" cm="1">
        <f t="array" ref="I318">IF($Q318&gt;=0,IFERROR(generateSalesData($D318, IF(ISNUMBER(_xlfn.XLOOKUP($C318,Phone_by_Sentiment!$B$2:$B$37,Phone_by_Sentiment!I$2:I$37,"",0,1)),_xlfn.XLOOKUP($C318,Phone_by_Sentiment!$B$2:$B$37,Phone_by_Sentiment!I$2:I$37,"",0,1),0),$A318-TEXT(DATEVALUE($D318&amp;"-01"), "dd-mm-yyyy")),0),0)</f>
        <v>0</v>
      </c>
      <c r="J318" cm="1">
        <f t="array" ref="J318">IF($Q318&gt;=0,IFERROR(generateSalesData($D318, IF(ISNUMBER(_xlfn.XLOOKUP($C318,Phone_by_Sentiment!$B$2:$B$37,Phone_by_Sentiment!J$2:J$37,"",0,1)),_xlfn.XLOOKUP($C318,Phone_by_Sentiment!$B$2:$B$37,Phone_by_Sentiment!J$2:J$37,"",0,1),0),$A318-TEXT(DATEVALUE($D318&amp;"-01"), "dd-mm-yyyy")),0),0)</f>
        <v>0</v>
      </c>
      <c r="K318" cm="1">
        <f t="array" ref="K318">IF($Q318&gt;=0,IFERROR(generateSalesData($D318, IF(ISNUMBER(_xlfn.XLOOKUP($C318,Phone_by_Sentiment!$B$2:$B$37,Phone_by_Sentiment!K$2:K$37,"",0,1)),_xlfn.XLOOKUP($C318,Phone_by_Sentiment!$B$2:$B$37,Phone_by_Sentiment!K$2:K$37,"",0,1),0),$A318-TEXT(DATEVALUE($D318&amp;"-01"), "dd-mm-yyyy")),0),0)</f>
        <v>0</v>
      </c>
      <c r="L318" cm="1">
        <f t="array" ref="L318">IF($Q318&gt;=0,IFERROR(generateSalesData($D318, IF(ISNUMBER(_xlfn.XLOOKUP($C318,Phone_by_Sentiment!$B$2:$B$37,Phone_by_Sentiment!L$2:L$37,"",0,1)),_xlfn.XLOOKUP($C318,Phone_by_Sentiment!$B$2:$B$37,Phone_by_Sentiment!L$2:L$37,"",0,1),0),$A318-TEXT(DATEVALUE($D318&amp;"-01"), "dd-mm-yyyy")),0),0)</f>
        <v>0</v>
      </c>
      <c r="M318" cm="1">
        <f t="array" ref="M318">IF($Q318&gt;=0,IFERROR(generateSalesData($D318, IF(ISNUMBER(_xlfn.XLOOKUP($C318,Phone_by_Sentiment!$B$2:$B$37,Phone_by_Sentiment!M$2:M$37,"",0,1)),_xlfn.XLOOKUP($C318,Phone_by_Sentiment!$B$2:$B$37,Phone_by_Sentiment!M$2:M$37,"",0,1),0),$A318-TEXT(DATEVALUE($D318&amp;"-01"), "dd-mm-yyyy")),0),0)</f>
        <v>0</v>
      </c>
      <c r="N318" cm="1">
        <f t="array" ref="N318">IF($Q318&gt;=0,IFERROR(generateSalesData($D318, IF(ISNUMBER(_xlfn.XLOOKUP($C318,Phone_by_Sentiment!$B$2:$B$37,Phone_by_Sentiment!N$2:N$37,"",0,1)),_xlfn.XLOOKUP($C318,Phone_by_Sentiment!$B$2:$B$37,Phone_by_Sentiment!N$2:N$37,"",0,1),0),$A318-TEXT(DATEVALUE($D318&amp;"-01"), "dd-mm-yyyy")),0),0)</f>
        <v>0</v>
      </c>
      <c r="O318" cm="1">
        <f t="array" ref="O318">IF($Q318&gt;=0,IFERROR(generateSalesData($D318, IF(ISNUMBER(_xlfn.XLOOKUP($C318,Phone_by_Sentiment!$B$2:$B$37,Phone_by_Sentiment!O$2:O$37,"",0,1)),_xlfn.XLOOKUP($C318,Phone_by_Sentiment!$B$2:$B$37,Phone_by_Sentiment!O$2:O$37,"",0,1),0),$A318-TEXT(DATEVALUE($D318&amp;"-01"), "dd-mm-yyyy")),0),0)</f>
        <v>0</v>
      </c>
      <c r="P318" s="1">
        <f t="shared" si="10"/>
        <v>44317</v>
      </c>
      <c r="Q318">
        <f t="shared" si="11"/>
        <v>-578</v>
      </c>
    </row>
    <row r="319" spans="1:17" x14ac:dyDescent="0.25">
      <c r="A319" s="1">
        <f t="shared" si="9"/>
        <v>43739</v>
      </c>
      <c r="B319" t="s">
        <v>161</v>
      </c>
      <c r="C319" t="str">
        <f>_xlfn.XLOOKUP(B319,Phone_by_Price!$A$2:$A$34,Phone_by_Price!$B$2:$B$34,"-",0,1)</f>
        <v>Samsung Galaxy Z Flip 3</v>
      </c>
      <c r="D319" t="str">
        <f>_xlfn.XLOOKUP(C319,Phone_by_Sentiment!$B$2:$B$37,Phone_by_Sentiment!$A$2:$A$37,"-",0,1)</f>
        <v>2021-09</v>
      </c>
      <c r="E319" cm="1">
        <f t="array" ref="E319">IF($Q319&gt;=0,IFERROR(generateSalesData($D319, IF(ISNUMBER(_xlfn.XLOOKUP($C319,Phone_by_Sentiment!$B$2:$B$37,Phone_by_Sentiment!E$2:E$37,"",0,1)),_xlfn.XLOOKUP($C319,Phone_by_Sentiment!$B$2:$B$37,Phone_by_Sentiment!E$2:E$37,"",0,1),0),$A319-TEXT(DATEVALUE($D319&amp;"-01"), "dd-mm-yyyy")),0),0)</f>
        <v>0</v>
      </c>
      <c r="F319" cm="1">
        <f t="array" ref="F319">IF($Q319&gt;=0,IFERROR(generateSalesData($D319, IF(ISNUMBER(_xlfn.XLOOKUP($C319,Phone_by_Sentiment!$B$2:$B$37,Phone_by_Sentiment!F$2:F$37,"",0,1)),_xlfn.XLOOKUP($C319,Phone_by_Sentiment!$B$2:$B$37,Phone_by_Sentiment!F$2:F$37,"",0,1),0),$A319-TEXT(DATEVALUE($D319&amp;"-01"), "dd-mm-yyyy")),0),0)</f>
        <v>0</v>
      </c>
      <c r="G319" cm="1">
        <f t="array" ref="G319">IF($Q319&gt;=0,IFERROR(generateSalesData($D319, IF(ISNUMBER(_xlfn.XLOOKUP($C319,Phone_by_Sentiment!$B$2:$B$37,Phone_by_Sentiment!G$2:G$37,"",0,1)),_xlfn.XLOOKUP($C319,Phone_by_Sentiment!$B$2:$B$37,Phone_by_Sentiment!G$2:G$37,"",0,1),0),$A319-TEXT(DATEVALUE($D319&amp;"-01"), "dd-mm-yyyy")),0),0)</f>
        <v>0</v>
      </c>
      <c r="H319" cm="1">
        <f t="array" ref="H319">IF($Q319&gt;=0,IFERROR(generateSalesData($D319, IF(ISNUMBER(_xlfn.XLOOKUP($C319,Phone_by_Sentiment!$B$2:$B$37,Phone_by_Sentiment!H$2:H$37,"",0,1)),_xlfn.XLOOKUP($C319,Phone_by_Sentiment!$B$2:$B$37,Phone_by_Sentiment!H$2:H$37,"",0,1),0),$A319-TEXT(DATEVALUE($D319&amp;"-01"), "dd-mm-yyyy")),0),0)</f>
        <v>0</v>
      </c>
      <c r="I319" cm="1">
        <f t="array" ref="I319">IF($Q319&gt;=0,IFERROR(generateSalesData($D319, IF(ISNUMBER(_xlfn.XLOOKUP($C319,Phone_by_Sentiment!$B$2:$B$37,Phone_by_Sentiment!I$2:I$37,"",0,1)),_xlfn.XLOOKUP($C319,Phone_by_Sentiment!$B$2:$B$37,Phone_by_Sentiment!I$2:I$37,"",0,1),0),$A319-TEXT(DATEVALUE($D319&amp;"-01"), "dd-mm-yyyy")),0),0)</f>
        <v>0</v>
      </c>
      <c r="J319" cm="1">
        <f t="array" ref="J319">IF($Q319&gt;=0,IFERROR(generateSalesData($D319, IF(ISNUMBER(_xlfn.XLOOKUP($C319,Phone_by_Sentiment!$B$2:$B$37,Phone_by_Sentiment!J$2:J$37,"",0,1)),_xlfn.XLOOKUP($C319,Phone_by_Sentiment!$B$2:$B$37,Phone_by_Sentiment!J$2:J$37,"",0,1),0),$A319-TEXT(DATEVALUE($D319&amp;"-01"), "dd-mm-yyyy")),0),0)</f>
        <v>0</v>
      </c>
      <c r="K319" cm="1">
        <f t="array" ref="K319">IF($Q319&gt;=0,IFERROR(generateSalesData($D319, IF(ISNUMBER(_xlfn.XLOOKUP($C319,Phone_by_Sentiment!$B$2:$B$37,Phone_by_Sentiment!K$2:K$37,"",0,1)),_xlfn.XLOOKUP($C319,Phone_by_Sentiment!$B$2:$B$37,Phone_by_Sentiment!K$2:K$37,"",0,1),0),$A319-TEXT(DATEVALUE($D319&amp;"-01"), "dd-mm-yyyy")),0),0)</f>
        <v>0</v>
      </c>
      <c r="L319" cm="1">
        <f t="array" ref="L319">IF($Q319&gt;=0,IFERROR(generateSalesData($D319, IF(ISNUMBER(_xlfn.XLOOKUP($C319,Phone_by_Sentiment!$B$2:$B$37,Phone_by_Sentiment!L$2:L$37,"",0,1)),_xlfn.XLOOKUP($C319,Phone_by_Sentiment!$B$2:$B$37,Phone_by_Sentiment!L$2:L$37,"",0,1),0),$A319-TEXT(DATEVALUE($D319&amp;"-01"), "dd-mm-yyyy")),0),0)</f>
        <v>0</v>
      </c>
      <c r="M319" cm="1">
        <f t="array" ref="M319">IF($Q319&gt;=0,IFERROR(generateSalesData($D319, IF(ISNUMBER(_xlfn.XLOOKUP($C319,Phone_by_Sentiment!$B$2:$B$37,Phone_by_Sentiment!M$2:M$37,"",0,1)),_xlfn.XLOOKUP($C319,Phone_by_Sentiment!$B$2:$B$37,Phone_by_Sentiment!M$2:M$37,"",0,1),0),$A319-TEXT(DATEVALUE($D319&amp;"-01"), "dd-mm-yyyy")),0),0)</f>
        <v>0</v>
      </c>
      <c r="N319" cm="1">
        <f t="array" ref="N319">IF($Q319&gt;=0,IFERROR(generateSalesData($D319, IF(ISNUMBER(_xlfn.XLOOKUP($C319,Phone_by_Sentiment!$B$2:$B$37,Phone_by_Sentiment!N$2:N$37,"",0,1)),_xlfn.XLOOKUP($C319,Phone_by_Sentiment!$B$2:$B$37,Phone_by_Sentiment!N$2:N$37,"",0,1),0),$A319-TEXT(DATEVALUE($D319&amp;"-01"), "dd-mm-yyyy")),0),0)</f>
        <v>0</v>
      </c>
      <c r="O319" cm="1">
        <f t="array" ref="O319">IF($Q319&gt;=0,IFERROR(generateSalesData($D319, IF(ISNUMBER(_xlfn.XLOOKUP($C319,Phone_by_Sentiment!$B$2:$B$37,Phone_by_Sentiment!O$2:O$37,"",0,1)),_xlfn.XLOOKUP($C319,Phone_by_Sentiment!$B$2:$B$37,Phone_by_Sentiment!O$2:O$37,"",0,1),0),$A319-TEXT(DATEVALUE($D319&amp;"-01"), "dd-mm-yyyy")),0),0)</f>
        <v>0</v>
      </c>
      <c r="P319" s="1">
        <f t="shared" si="10"/>
        <v>44440</v>
      </c>
      <c r="Q319">
        <f t="shared" si="11"/>
        <v>-701</v>
      </c>
    </row>
    <row r="320" spans="1:17" x14ac:dyDescent="0.25">
      <c r="A320" s="1">
        <f t="shared" si="9"/>
        <v>43739</v>
      </c>
      <c r="B320" t="s">
        <v>162</v>
      </c>
      <c r="C320" t="str">
        <f>_xlfn.XLOOKUP(B320,Phone_by_Price!$A$2:$A$34,Phone_by_Price!$B$2:$B$34,"-",0,1)</f>
        <v>Xiaomi Poco X3 NFC</v>
      </c>
      <c r="D320" t="str">
        <f>_xlfn.XLOOKUP(C320,Phone_by_Sentiment!$B$2:$B$37,Phone_by_Sentiment!$A$2:$A$37,"-",0,1)</f>
        <v>2020-08</v>
      </c>
      <c r="E320" cm="1">
        <f t="array" ref="E320">IF($Q320&gt;=0,IFERROR(generateSalesData($D320, IF(ISNUMBER(_xlfn.XLOOKUP($C320,Phone_by_Sentiment!$B$2:$B$37,Phone_by_Sentiment!E$2:E$37,"",0,1)),_xlfn.XLOOKUP($C320,Phone_by_Sentiment!$B$2:$B$37,Phone_by_Sentiment!E$2:E$37,"",0,1),0),$A320-TEXT(DATEVALUE($D320&amp;"-01"), "dd-mm-yyyy")),0),0)</f>
        <v>0</v>
      </c>
      <c r="F320" cm="1">
        <f t="array" ref="F320">IF($Q320&gt;=0,IFERROR(generateSalesData($D320, IF(ISNUMBER(_xlfn.XLOOKUP($C320,Phone_by_Sentiment!$B$2:$B$37,Phone_by_Sentiment!F$2:F$37,"",0,1)),_xlfn.XLOOKUP($C320,Phone_by_Sentiment!$B$2:$B$37,Phone_by_Sentiment!F$2:F$37,"",0,1),0),$A320-TEXT(DATEVALUE($D320&amp;"-01"), "dd-mm-yyyy")),0),0)</f>
        <v>0</v>
      </c>
      <c r="G320" cm="1">
        <f t="array" ref="G320">IF($Q320&gt;=0,IFERROR(generateSalesData($D320, IF(ISNUMBER(_xlfn.XLOOKUP($C320,Phone_by_Sentiment!$B$2:$B$37,Phone_by_Sentiment!G$2:G$37,"",0,1)),_xlfn.XLOOKUP($C320,Phone_by_Sentiment!$B$2:$B$37,Phone_by_Sentiment!G$2:G$37,"",0,1),0),$A320-TEXT(DATEVALUE($D320&amp;"-01"), "dd-mm-yyyy")),0),0)</f>
        <v>0</v>
      </c>
      <c r="H320" cm="1">
        <f t="array" ref="H320">IF($Q320&gt;=0,IFERROR(generateSalesData($D320, IF(ISNUMBER(_xlfn.XLOOKUP($C320,Phone_by_Sentiment!$B$2:$B$37,Phone_by_Sentiment!H$2:H$37,"",0,1)),_xlfn.XLOOKUP($C320,Phone_by_Sentiment!$B$2:$B$37,Phone_by_Sentiment!H$2:H$37,"",0,1),0),$A320-TEXT(DATEVALUE($D320&amp;"-01"), "dd-mm-yyyy")),0),0)</f>
        <v>0</v>
      </c>
      <c r="I320" cm="1">
        <f t="array" ref="I320">IF($Q320&gt;=0,IFERROR(generateSalesData($D320, IF(ISNUMBER(_xlfn.XLOOKUP($C320,Phone_by_Sentiment!$B$2:$B$37,Phone_by_Sentiment!I$2:I$37,"",0,1)),_xlfn.XLOOKUP($C320,Phone_by_Sentiment!$B$2:$B$37,Phone_by_Sentiment!I$2:I$37,"",0,1),0),$A320-TEXT(DATEVALUE($D320&amp;"-01"), "dd-mm-yyyy")),0),0)</f>
        <v>0</v>
      </c>
      <c r="J320" cm="1">
        <f t="array" ref="J320">IF($Q320&gt;=0,IFERROR(generateSalesData($D320, IF(ISNUMBER(_xlfn.XLOOKUP($C320,Phone_by_Sentiment!$B$2:$B$37,Phone_by_Sentiment!J$2:J$37,"",0,1)),_xlfn.XLOOKUP($C320,Phone_by_Sentiment!$B$2:$B$37,Phone_by_Sentiment!J$2:J$37,"",0,1),0),$A320-TEXT(DATEVALUE($D320&amp;"-01"), "dd-mm-yyyy")),0),0)</f>
        <v>0</v>
      </c>
      <c r="K320" cm="1">
        <f t="array" ref="K320">IF($Q320&gt;=0,IFERROR(generateSalesData($D320, IF(ISNUMBER(_xlfn.XLOOKUP($C320,Phone_by_Sentiment!$B$2:$B$37,Phone_by_Sentiment!K$2:K$37,"",0,1)),_xlfn.XLOOKUP($C320,Phone_by_Sentiment!$B$2:$B$37,Phone_by_Sentiment!K$2:K$37,"",0,1),0),$A320-TEXT(DATEVALUE($D320&amp;"-01"), "dd-mm-yyyy")),0),0)</f>
        <v>0</v>
      </c>
      <c r="L320" cm="1">
        <f t="array" ref="L320">IF($Q320&gt;=0,IFERROR(generateSalesData($D320, IF(ISNUMBER(_xlfn.XLOOKUP($C320,Phone_by_Sentiment!$B$2:$B$37,Phone_by_Sentiment!L$2:L$37,"",0,1)),_xlfn.XLOOKUP($C320,Phone_by_Sentiment!$B$2:$B$37,Phone_by_Sentiment!L$2:L$37,"",0,1),0),$A320-TEXT(DATEVALUE($D320&amp;"-01"), "dd-mm-yyyy")),0),0)</f>
        <v>0</v>
      </c>
      <c r="M320" cm="1">
        <f t="array" ref="M320">IF($Q320&gt;=0,IFERROR(generateSalesData($D320, IF(ISNUMBER(_xlfn.XLOOKUP($C320,Phone_by_Sentiment!$B$2:$B$37,Phone_by_Sentiment!M$2:M$37,"",0,1)),_xlfn.XLOOKUP($C320,Phone_by_Sentiment!$B$2:$B$37,Phone_by_Sentiment!M$2:M$37,"",0,1),0),$A320-TEXT(DATEVALUE($D320&amp;"-01"), "dd-mm-yyyy")),0),0)</f>
        <v>0</v>
      </c>
      <c r="N320" cm="1">
        <f t="array" ref="N320">IF($Q320&gt;=0,IFERROR(generateSalesData($D320, IF(ISNUMBER(_xlfn.XLOOKUP($C320,Phone_by_Sentiment!$B$2:$B$37,Phone_by_Sentiment!N$2:N$37,"",0,1)),_xlfn.XLOOKUP($C320,Phone_by_Sentiment!$B$2:$B$37,Phone_by_Sentiment!N$2:N$37,"",0,1),0),$A320-TEXT(DATEVALUE($D320&amp;"-01"), "dd-mm-yyyy")),0),0)</f>
        <v>0</v>
      </c>
      <c r="O320" cm="1">
        <f t="array" ref="O320">IF($Q320&gt;=0,IFERROR(generateSalesData($D320, IF(ISNUMBER(_xlfn.XLOOKUP($C320,Phone_by_Sentiment!$B$2:$B$37,Phone_by_Sentiment!O$2:O$37,"",0,1)),_xlfn.XLOOKUP($C320,Phone_by_Sentiment!$B$2:$B$37,Phone_by_Sentiment!O$2:O$37,"",0,1),0),$A320-TEXT(DATEVALUE($D320&amp;"-01"), "dd-mm-yyyy")),0),0)</f>
        <v>0</v>
      </c>
      <c r="P320" s="1">
        <f t="shared" si="10"/>
        <v>44044</v>
      </c>
      <c r="Q320">
        <f t="shared" si="11"/>
        <v>-305</v>
      </c>
    </row>
    <row r="321" spans="1:17" x14ac:dyDescent="0.25">
      <c r="A321" s="1">
        <f t="shared" si="9"/>
        <v>43739</v>
      </c>
      <c r="B321" t="s">
        <v>163</v>
      </c>
      <c r="C321" t="str">
        <f>_xlfn.XLOOKUP(B321,Phone_by_Price!$A$2:$A$34,Phone_by_Price!$B$2:$B$34,"-",0,1)</f>
        <v>OPPO A93</v>
      </c>
      <c r="D321" t="str">
        <f>_xlfn.XLOOKUP(C321,Phone_by_Sentiment!$B$2:$B$37,Phone_by_Sentiment!$A$2:$A$37,"-",0,1)</f>
        <v>2021-02</v>
      </c>
      <c r="E321" cm="1">
        <f t="array" ref="E321">IF($Q321&gt;=0,IFERROR(generateSalesData($D321, IF(ISNUMBER(_xlfn.XLOOKUP($C321,Phone_by_Sentiment!$B$2:$B$37,Phone_by_Sentiment!E$2:E$37,"",0,1)),_xlfn.XLOOKUP($C321,Phone_by_Sentiment!$B$2:$B$37,Phone_by_Sentiment!E$2:E$37,"",0,1),0),$A321-TEXT(DATEVALUE($D321&amp;"-01"), "dd-mm-yyyy")),0),0)</f>
        <v>0</v>
      </c>
      <c r="F321" cm="1">
        <f t="array" ref="F321">IF($Q321&gt;=0,IFERROR(generateSalesData($D321, IF(ISNUMBER(_xlfn.XLOOKUP($C321,Phone_by_Sentiment!$B$2:$B$37,Phone_by_Sentiment!F$2:F$37,"",0,1)),_xlfn.XLOOKUP($C321,Phone_by_Sentiment!$B$2:$B$37,Phone_by_Sentiment!F$2:F$37,"",0,1),0),$A321-TEXT(DATEVALUE($D321&amp;"-01"), "dd-mm-yyyy")),0),0)</f>
        <v>0</v>
      </c>
      <c r="G321" cm="1">
        <f t="array" ref="G321">IF($Q321&gt;=0,IFERROR(generateSalesData($D321, IF(ISNUMBER(_xlfn.XLOOKUP($C321,Phone_by_Sentiment!$B$2:$B$37,Phone_by_Sentiment!G$2:G$37,"",0,1)),_xlfn.XLOOKUP($C321,Phone_by_Sentiment!$B$2:$B$37,Phone_by_Sentiment!G$2:G$37,"",0,1),0),$A321-TEXT(DATEVALUE($D321&amp;"-01"), "dd-mm-yyyy")),0),0)</f>
        <v>0</v>
      </c>
      <c r="H321" cm="1">
        <f t="array" ref="H321">IF($Q321&gt;=0,IFERROR(generateSalesData($D321, IF(ISNUMBER(_xlfn.XLOOKUP($C321,Phone_by_Sentiment!$B$2:$B$37,Phone_by_Sentiment!H$2:H$37,"",0,1)),_xlfn.XLOOKUP($C321,Phone_by_Sentiment!$B$2:$B$37,Phone_by_Sentiment!H$2:H$37,"",0,1),0),$A321-TEXT(DATEVALUE($D321&amp;"-01"), "dd-mm-yyyy")),0),0)</f>
        <v>0</v>
      </c>
      <c r="I321" cm="1">
        <f t="array" ref="I321">IF($Q321&gt;=0,IFERROR(generateSalesData($D321, IF(ISNUMBER(_xlfn.XLOOKUP($C321,Phone_by_Sentiment!$B$2:$B$37,Phone_by_Sentiment!I$2:I$37,"",0,1)),_xlfn.XLOOKUP($C321,Phone_by_Sentiment!$B$2:$B$37,Phone_by_Sentiment!I$2:I$37,"",0,1),0),$A321-TEXT(DATEVALUE($D321&amp;"-01"), "dd-mm-yyyy")),0),0)</f>
        <v>0</v>
      </c>
      <c r="J321" cm="1">
        <f t="array" ref="J321">IF($Q321&gt;=0,IFERROR(generateSalesData($D321, IF(ISNUMBER(_xlfn.XLOOKUP($C321,Phone_by_Sentiment!$B$2:$B$37,Phone_by_Sentiment!J$2:J$37,"",0,1)),_xlfn.XLOOKUP($C321,Phone_by_Sentiment!$B$2:$B$37,Phone_by_Sentiment!J$2:J$37,"",0,1),0),$A321-TEXT(DATEVALUE($D321&amp;"-01"), "dd-mm-yyyy")),0),0)</f>
        <v>0</v>
      </c>
      <c r="K321" cm="1">
        <f t="array" ref="K321">IF($Q321&gt;=0,IFERROR(generateSalesData($D321, IF(ISNUMBER(_xlfn.XLOOKUP($C321,Phone_by_Sentiment!$B$2:$B$37,Phone_by_Sentiment!K$2:K$37,"",0,1)),_xlfn.XLOOKUP($C321,Phone_by_Sentiment!$B$2:$B$37,Phone_by_Sentiment!K$2:K$37,"",0,1),0),$A321-TEXT(DATEVALUE($D321&amp;"-01"), "dd-mm-yyyy")),0),0)</f>
        <v>0</v>
      </c>
      <c r="L321" cm="1">
        <f t="array" ref="L321">IF($Q321&gt;=0,IFERROR(generateSalesData($D321, IF(ISNUMBER(_xlfn.XLOOKUP($C321,Phone_by_Sentiment!$B$2:$B$37,Phone_by_Sentiment!L$2:L$37,"",0,1)),_xlfn.XLOOKUP($C321,Phone_by_Sentiment!$B$2:$B$37,Phone_by_Sentiment!L$2:L$37,"",0,1),0),$A321-TEXT(DATEVALUE($D321&amp;"-01"), "dd-mm-yyyy")),0),0)</f>
        <v>0</v>
      </c>
      <c r="M321" cm="1">
        <f t="array" ref="M321">IF($Q321&gt;=0,IFERROR(generateSalesData($D321, IF(ISNUMBER(_xlfn.XLOOKUP($C321,Phone_by_Sentiment!$B$2:$B$37,Phone_by_Sentiment!M$2:M$37,"",0,1)),_xlfn.XLOOKUP($C321,Phone_by_Sentiment!$B$2:$B$37,Phone_by_Sentiment!M$2:M$37,"",0,1),0),$A321-TEXT(DATEVALUE($D321&amp;"-01"), "dd-mm-yyyy")),0),0)</f>
        <v>0</v>
      </c>
      <c r="N321" cm="1">
        <f t="array" ref="N321">IF($Q321&gt;=0,IFERROR(generateSalesData($D321, IF(ISNUMBER(_xlfn.XLOOKUP($C321,Phone_by_Sentiment!$B$2:$B$37,Phone_by_Sentiment!N$2:N$37,"",0,1)),_xlfn.XLOOKUP($C321,Phone_by_Sentiment!$B$2:$B$37,Phone_by_Sentiment!N$2:N$37,"",0,1),0),$A321-TEXT(DATEVALUE($D321&amp;"-01"), "dd-mm-yyyy")),0),0)</f>
        <v>0</v>
      </c>
      <c r="O321" cm="1">
        <f t="array" ref="O321">IF($Q321&gt;=0,IFERROR(generateSalesData($D321, IF(ISNUMBER(_xlfn.XLOOKUP($C321,Phone_by_Sentiment!$B$2:$B$37,Phone_by_Sentiment!O$2:O$37,"",0,1)),_xlfn.XLOOKUP($C321,Phone_by_Sentiment!$B$2:$B$37,Phone_by_Sentiment!O$2:O$37,"",0,1),0),$A321-TEXT(DATEVALUE($D321&amp;"-01"), "dd-mm-yyyy")),0),0)</f>
        <v>0</v>
      </c>
      <c r="P321" s="1">
        <f t="shared" si="10"/>
        <v>44228</v>
      </c>
      <c r="Q321">
        <f t="shared" si="11"/>
        <v>-489</v>
      </c>
    </row>
    <row r="322" spans="1:17" x14ac:dyDescent="0.25">
      <c r="A322" s="1">
        <f t="shared" si="9"/>
        <v>43739</v>
      </c>
      <c r="B322" t="s">
        <v>164</v>
      </c>
      <c r="C322" t="str">
        <f>_xlfn.XLOOKUP(B322,Phone_by_Price!$A$2:$A$34,Phone_by_Price!$B$2:$B$34,"-",0,1)</f>
        <v>Vivo V20</v>
      </c>
      <c r="D322" t="str">
        <f>_xlfn.XLOOKUP(C322,Phone_by_Sentiment!$B$2:$B$37,Phone_by_Sentiment!$A$2:$A$37,"-",0,1)</f>
        <v>2020-10</v>
      </c>
      <c r="E322" cm="1">
        <f t="array" ref="E322">IF($Q322&gt;=0,IFERROR(generateSalesData($D322, IF(ISNUMBER(_xlfn.XLOOKUP($C322,Phone_by_Sentiment!$B$2:$B$37,Phone_by_Sentiment!E$2:E$37,"",0,1)),_xlfn.XLOOKUP($C322,Phone_by_Sentiment!$B$2:$B$37,Phone_by_Sentiment!E$2:E$37,"",0,1),0),$A322-TEXT(DATEVALUE($D322&amp;"-01"), "dd-mm-yyyy")),0),0)</f>
        <v>0</v>
      </c>
      <c r="F322" cm="1">
        <f t="array" ref="F322">IF($Q322&gt;=0,IFERROR(generateSalesData($D322, IF(ISNUMBER(_xlfn.XLOOKUP($C322,Phone_by_Sentiment!$B$2:$B$37,Phone_by_Sentiment!F$2:F$37,"",0,1)),_xlfn.XLOOKUP($C322,Phone_by_Sentiment!$B$2:$B$37,Phone_by_Sentiment!F$2:F$37,"",0,1),0),$A322-TEXT(DATEVALUE($D322&amp;"-01"), "dd-mm-yyyy")),0),0)</f>
        <v>0</v>
      </c>
      <c r="G322" cm="1">
        <f t="array" ref="G322">IF($Q322&gt;=0,IFERROR(generateSalesData($D322, IF(ISNUMBER(_xlfn.XLOOKUP($C322,Phone_by_Sentiment!$B$2:$B$37,Phone_by_Sentiment!G$2:G$37,"",0,1)),_xlfn.XLOOKUP($C322,Phone_by_Sentiment!$B$2:$B$37,Phone_by_Sentiment!G$2:G$37,"",0,1),0),$A322-TEXT(DATEVALUE($D322&amp;"-01"), "dd-mm-yyyy")),0),0)</f>
        <v>0</v>
      </c>
      <c r="H322" cm="1">
        <f t="array" ref="H322">IF($Q322&gt;=0,IFERROR(generateSalesData($D322, IF(ISNUMBER(_xlfn.XLOOKUP($C322,Phone_by_Sentiment!$B$2:$B$37,Phone_by_Sentiment!H$2:H$37,"",0,1)),_xlfn.XLOOKUP($C322,Phone_by_Sentiment!$B$2:$B$37,Phone_by_Sentiment!H$2:H$37,"",0,1),0),$A322-TEXT(DATEVALUE($D322&amp;"-01"), "dd-mm-yyyy")),0),0)</f>
        <v>0</v>
      </c>
      <c r="I322" cm="1">
        <f t="array" ref="I322">IF($Q322&gt;=0,IFERROR(generateSalesData($D322, IF(ISNUMBER(_xlfn.XLOOKUP($C322,Phone_by_Sentiment!$B$2:$B$37,Phone_by_Sentiment!I$2:I$37,"",0,1)),_xlfn.XLOOKUP($C322,Phone_by_Sentiment!$B$2:$B$37,Phone_by_Sentiment!I$2:I$37,"",0,1),0),$A322-TEXT(DATEVALUE($D322&amp;"-01"), "dd-mm-yyyy")),0),0)</f>
        <v>0</v>
      </c>
      <c r="J322" cm="1">
        <f t="array" ref="J322">IF($Q322&gt;=0,IFERROR(generateSalesData($D322, IF(ISNUMBER(_xlfn.XLOOKUP($C322,Phone_by_Sentiment!$B$2:$B$37,Phone_by_Sentiment!J$2:J$37,"",0,1)),_xlfn.XLOOKUP($C322,Phone_by_Sentiment!$B$2:$B$37,Phone_by_Sentiment!J$2:J$37,"",0,1),0),$A322-TEXT(DATEVALUE($D322&amp;"-01"), "dd-mm-yyyy")),0),0)</f>
        <v>0</v>
      </c>
      <c r="K322" cm="1">
        <f t="array" ref="K322">IF($Q322&gt;=0,IFERROR(generateSalesData($D322, IF(ISNUMBER(_xlfn.XLOOKUP($C322,Phone_by_Sentiment!$B$2:$B$37,Phone_by_Sentiment!K$2:K$37,"",0,1)),_xlfn.XLOOKUP($C322,Phone_by_Sentiment!$B$2:$B$37,Phone_by_Sentiment!K$2:K$37,"",0,1),0),$A322-TEXT(DATEVALUE($D322&amp;"-01"), "dd-mm-yyyy")),0),0)</f>
        <v>0</v>
      </c>
      <c r="L322" cm="1">
        <f t="array" ref="L322">IF($Q322&gt;=0,IFERROR(generateSalesData($D322, IF(ISNUMBER(_xlfn.XLOOKUP($C322,Phone_by_Sentiment!$B$2:$B$37,Phone_by_Sentiment!L$2:L$37,"",0,1)),_xlfn.XLOOKUP($C322,Phone_by_Sentiment!$B$2:$B$37,Phone_by_Sentiment!L$2:L$37,"",0,1),0),$A322-TEXT(DATEVALUE($D322&amp;"-01"), "dd-mm-yyyy")),0),0)</f>
        <v>0</v>
      </c>
      <c r="M322" cm="1">
        <f t="array" ref="M322">IF($Q322&gt;=0,IFERROR(generateSalesData($D322, IF(ISNUMBER(_xlfn.XLOOKUP($C322,Phone_by_Sentiment!$B$2:$B$37,Phone_by_Sentiment!M$2:M$37,"",0,1)),_xlfn.XLOOKUP($C322,Phone_by_Sentiment!$B$2:$B$37,Phone_by_Sentiment!M$2:M$37,"",0,1),0),$A322-TEXT(DATEVALUE($D322&amp;"-01"), "dd-mm-yyyy")),0),0)</f>
        <v>0</v>
      </c>
      <c r="N322" cm="1">
        <f t="array" ref="N322">IF($Q322&gt;=0,IFERROR(generateSalesData($D322, IF(ISNUMBER(_xlfn.XLOOKUP($C322,Phone_by_Sentiment!$B$2:$B$37,Phone_by_Sentiment!N$2:N$37,"",0,1)),_xlfn.XLOOKUP($C322,Phone_by_Sentiment!$B$2:$B$37,Phone_by_Sentiment!N$2:N$37,"",0,1),0),$A322-TEXT(DATEVALUE($D322&amp;"-01"), "dd-mm-yyyy")),0),0)</f>
        <v>0</v>
      </c>
      <c r="O322" cm="1">
        <f t="array" ref="O322">IF($Q322&gt;=0,IFERROR(generateSalesData($D322, IF(ISNUMBER(_xlfn.XLOOKUP($C322,Phone_by_Sentiment!$B$2:$B$37,Phone_by_Sentiment!O$2:O$37,"",0,1)),_xlfn.XLOOKUP($C322,Phone_by_Sentiment!$B$2:$B$37,Phone_by_Sentiment!O$2:O$37,"",0,1),0),$A322-TEXT(DATEVALUE($D322&amp;"-01"), "dd-mm-yyyy")),0),0)</f>
        <v>0</v>
      </c>
      <c r="P322" s="1">
        <f t="shared" si="10"/>
        <v>44105</v>
      </c>
      <c r="Q322">
        <f t="shared" si="11"/>
        <v>-366</v>
      </c>
    </row>
    <row r="323" spans="1:17" x14ac:dyDescent="0.25">
      <c r="A323" s="1">
        <f t="shared" ref="A323:A386" si="12">DATE(YEAR($A$1), MONTH($A$1) + INT((ROW()-1)/35), DAY($A$1))</f>
        <v>43739</v>
      </c>
      <c r="B323" t="s">
        <v>165</v>
      </c>
      <c r="C323" t="str">
        <f>_xlfn.XLOOKUP(B323,Phone_by_Price!$A$2:$A$34,Phone_by_Price!$B$2:$B$34,"-",0,1)</f>
        <v>Samsung Galaxy A50</v>
      </c>
      <c r="D323" t="str">
        <f>_xlfn.XLOOKUP(C323,Phone_by_Sentiment!$B$2:$B$37,Phone_by_Sentiment!$A$2:$A$37,"-",0,1)</f>
        <v>2019-05</v>
      </c>
      <c r="E323" cm="1">
        <f t="array" ref="E323">IF($Q323&gt;=0,IFERROR(generateSalesData($D323, IF(ISNUMBER(_xlfn.XLOOKUP($C323,Phone_by_Sentiment!$B$2:$B$37,Phone_by_Sentiment!E$2:E$37,"",0,1)),_xlfn.XLOOKUP($C323,Phone_by_Sentiment!$B$2:$B$37,Phone_by_Sentiment!E$2:E$37,"",0,1),0),$A323-TEXT(DATEVALUE($D323&amp;"-01"), "dd-mm-yyyy")),0),0)</f>
        <v>1559</v>
      </c>
      <c r="F323" cm="1">
        <f t="array" ref="F323">IF($Q323&gt;=0,IFERROR(generateSalesData($D323, IF(ISNUMBER(_xlfn.XLOOKUP($C323,Phone_by_Sentiment!$B$2:$B$37,Phone_by_Sentiment!F$2:F$37,"",0,1)),_xlfn.XLOOKUP($C323,Phone_by_Sentiment!$B$2:$B$37,Phone_by_Sentiment!F$2:F$37,"",0,1),0),$A323-TEXT(DATEVALUE($D323&amp;"-01"), "dd-mm-yyyy")),0),0)</f>
        <v>493</v>
      </c>
      <c r="G323" cm="1">
        <f t="array" ref="G323">IF($Q323&gt;=0,IFERROR(generateSalesData($D323, IF(ISNUMBER(_xlfn.XLOOKUP($C323,Phone_by_Sentiment!$B$2:$B$37,Phone_by_Sentiment!G$2:G$37,"",0,1)),_xlfn.XLOOKUP($C323,Phone_by_Sentiment!$B$2:$B$37,Phone_by_Sentiment!G$2:G$37,"",0,1),0),$A323-TEXT(DATEVALUE($D323&amp;"-01"), "dd-mm-yyyy")),0),0)</f>
        <v>524</v>
      </c>
      <c r="H323" cm="1">
        <f t="array" ref="H323">IF($Q323&gt;=0,IFERROR(generateSalesData($D323, IF(ISNUMBER(_xlfn.XLOOKUP($C323,Phone_by_Sentiment!$B$2:$B$37,Phone_by_Sentiment!H$2:H$37,"",0,1)),_xlfn.XLOOKUP($C323,Phone_by_Sentiment!$B$2:$B$37,Phone_by_Sentiment!H$2:H$37,"",0,1),0),$A323-TEXT(DATEVALUE($D323&amp;"-01"), "dd-mm-yyyy")),0),0)</f>
        <v>1405</v>
      </c>
      <c r="I323" cm="1">
        <f t="array" ref="I323">IF($Q323&gt;=0,IFERROR(generateSalesData($D323, IF(ISNUMBER(_xlfn.XLOOKUP($C323,Phone_by_Sentiment!$B$2:$B$37,Phone_by_Sentiment!I$2:I$37,"",0,1)),_xlfn.XLOOKUP($C323,Phone_by_Sentiment!$B$2:$B$37,Phone_by_Sentiment!I$2:I$37,"",0,1),0),$A323-TEXT(DATEVALUE($D323&amp;"-01"), "dd-mm-yyyy")),0),0)</f>
        <v>918</v>
      </c>
      <c r="J323" cm="1">
        <f t="array" ref="J323">IF($Q323&gt;=0,IFERROR(generateSalesData($D323, IF(ISNUMBER(_xlfn.XLOOKUP($C323,Phone_by_Sentiment!$B$2:$B$37,Phone_by_Sentiment!J$2:J$37,"",0,1)),_xlfn.XLOOKUP($C323,Phone_by_Sentiment!$B$2:$B$37,Phone_by_Sentiment!J$2:J$37,"",0,1),0),$A323-TEXT(DATEVALUE($D323&amp;"-01"), "dd-mm-yyyy")),0),0)</f>
        <v>316</v>
      </c>
      <c r="K323" cm="1">
        <f t="array" ref="K323">IF($Q323&gt;=0,IFERROR(generateSalesData($D323, IF(ISNUMBER(_xlfn.XLOOKUP($C323,Phone_by_Sentiment!$B$2:$B$37,Phone_by_Sentiment!K$2:K$37,"",0,1)),_xlfn.XLOOKUP($C323,Phone_by_Sentiment!$B$2:$B$37,Phone_by_Sentiment!K$2:K$37,"",0,1),0),$A323-TEXT(DATEVALUE($D323&amp;"-01"), "dd-mm-yyyy")),0),0)</f>
        <v>55</v>
      </c>
      <c r="L323" cm="1">
        <f t="array" ref="L323">IF($Q323&gt;=0,IFERROR(generateSalesData($D323, IF(ISNUMBER(_xlfn.XLOOKUP($C323,Phone_by_Sentiment!$B$2:$B$37,Phone_by_Sentiment!L$2:L$37,"",0,1)),_xlfn.XLOOKUP($C323,Phone_by_Sentiment!$B$2:$B$37,Phone_by_Sentiment!L$2:L$37,"",0,1),0),$A323-TEXT(DATEVALUE($D323&amp;"-01"), "dd-mm-yyyy")),0),0)</f>
        <v>82</v>
      </c>
      <c r="M323" cm="1">
        <f t="array" ref="M323">IF($Q323&gt;=0,IFERROR(generateSalesData($D323, IF(ISNUMBER(_xlfn.XLOOKUP($C323,Phone_by_Sentiment!$B$2:$B$37,Phone_by_Sentiment!M$2:M$37,"",0,1)),_xlfn.XLOOKUP($C323,Phone_by_Sentiment!$B$2:$B$37,Phone_by_Sentiment!M$2:M$37,"",0,1),0),$A323-TEXT(DATEVALUE($D323&amp;"-01"), "dd-mm-yyyy")),0),0)</f>
        <v>728</v>
      </c>
      <c r="N323" cm="1">
        <f t="array" ref="N323">IF($Q323&gt;=0,IFERROR(generateSalesData($D323, IF(ISNUMBER(_xlfn.XLOOKUP($C323,Phone_by_Sentiment!$B$2:$B$37,Phone_by_Sentiment!N$2:N$37,"",0,1)),_xlfn.XLOOKUP($C323,Phone_by_Sentiment!$B$2:$B$37,Phone_by_Sentiment!N$2:N$37,"",0,1),0),$A323-TEXT(DATEVALUE($D323&amp;"-01"), "dd-mm-yyyy")),0),0)</f>
        <v>535</v>
      </c>
      <c r="O323" cm="1">
        <f t="array" ref="O323">IF($Q323&gt;=0,IFERROR(generateSalesData($D323, IF(ISNUMBER(_xlfn.XLOOKUP($C323,Phone_by_Sentiment!$B$2:$B$37,Phone_by_Sentiment!O$2:O$37,"",0,1)),_xlfn.XLOOKUP($C323,Phone_by_Sentiment!$B$2:$B$37,Phone_by_Sentiment!O$2:O$37,"",0,1),0),$A323-TEXT(DATEVALUE($D323&amp;"-01"), "dd-mm-yyyy")),0),0)</f>
        <v>-575</v>
      </c>
      <c r="P323" s="1">
        <f t="shared" si="10"/>
        <v>43586</v>
      </c>
      <c r="Q323">
        <f t="shared" si="11"/>
        <v>153</v>
      </c>
    </row>
    <row r="324" spans="1:17" x14ac:dyDescent="0.25">
      <c r="A324" s="1">
        <f t="shared" si="12"/>
        <v>43739</v>
      </c>
      <c r="B324" t="s">
        <v>166</v>
      </c>
      <c r="C324" t="str">
        <f>_xlfn.XLOOKUP(B324,Phone_by_Price!$A$2:$A$34,Phone_by_Price!$B$2:$B$34,"-",0,1)</f>
        <v>Xiaomi Redmi Note 7</v>
      </c>
      <c r="D324" t="str">
        <f>_xlfn.XLOOKUP(C324,Phone_by_Sentiment!$B$2:$B$37,Phone_by_Sentiment!$A$2:$A$37,"-",0,1)</f>
        <v>2019-08</v>
      </c>
      <c r="E324" cm="1">
        <f t="array" ref="E324">IF($Q324&gt;=0,IFERROR(generateSalesData($D324, IF(ISNUMBER(_xlfn.XLOOKUP($C324,Phone_by_Sentiment!$B$2:$B$37,Phone_by_Sentiment!E$2:E$37,"",0,1)),_xlfn.XLOOKUP($C324,Phone_by_Sentiment!$B$2:$B$37,Phone_by_Sentiment!E$2:E$37,"",0,1),0),$A324-TEXT(DATEVALUE($D324&amp;"-01"), "dd-mm-yyyy")),0),0)</f>
        <v>1379</v>
      </c>
      <c r="F324" cm="1">
        <f t="array" ref="F324">IF($Q324&gt;=0,IFERROR(generateSalesData($D324, IF(ISNUMBER(_xlfn.XLOOKUP($C324,Phone_by_Sentiment!$B$2:$B$37,Phone_by_Sentiment!F$2:F$37,"",0,1)),_xlfn.XLOOKUP($C324,Phone_by_Sentiment!$B$2:$B$37,Phone_by_Sentiment!F$2:F$37,"",0,1),0),$A324-TEXT(DATEVALUE($D324&amp;"-01"), "dd-mm-yyyy")),0),0)</f>
        <v>1164</v>
      </c>
      <c r="G324" cm="1">
        <f t="array" ref="G324">IF($Q324&gt;=0,IFERROR(generateSalesData($D324, IF(ISNUMBER(_xlfn.XLOOKUP($C324,Phone_by_Sentiment!$B$2:$B$37,Phone_by_Sentiment!G$2:G$37,"",0,1)),_xlfn.XLOOKUP($C324,Phone_by_Sentiment!$B$2:$B$37,Phone_by_Sentiment!G$2:G$37,"",0,1),0),$A324-TEXT(DATEVALUE($D324&amp;"-01"), "dd-mm-yyyy")),0),0)</f>
        <v>1829</v>
      </c>
      <c r="H324" cm="1">
        <f t="array" ref="H324">IF($Q324&gt;=0,IFERROR(generateSalesData($D324, IF(ISNUMBER(_xlfn.XLOOKUP($C324,Phone_by_Sentiment!$B$2:$B$37,Phone_by_Sentiment!H$2:H$37,"",0,1)),_xlfn.XLOOKUP($C324,Phone_by_Sentiment!$B$2:$B$37,Phone_by_Sentiment!H$2:H$37,"",0,1),0),$A324-TEXT(DATEVALUE($D324&amp;"-01"), "dd-mm-yyyy")),0),0)</f>
        <v>5760</v>
      </c>
      <c r="I324" cm="1">
        <f t="array" ref="I324">IF($Q324&gt;=0,IFERROR(generateSalesData($D324, IF(ISNUMBER(_xlfn.XLOOKUP($C324,Phone_by_Sentiment!$B$2:$B$37,Phone_by_Sentiment!I$2:I$37,"",0,1)),_xlfn.XLOOKUP($C324,Phone_by_Sentiment!$B$2:$B$37,Phone_by_Sentiment!I$2:I$37,"",0,1),0),$A324-TEXT(DATEVALUE($D324&amp;"-01"), "dd-mm-yyyy")),0),0)</f>
        <v>247</v>
      </c>
      <c r="J324" cm="1">
        <f t="array" ref="J324">IF($Q324&gt;=0,IFERROR(generateSalesData($D324, IF(ISNUMBER(_xlfn.XLOOKUP($C324,Phone_by_Sentiment!$B$2:$B$37,Phone_by_Sentiment!J$2:J$37,"",0,1)),_xlfn.XLOOKUP($C324,Phone_by_Sentiment!$B$2:$B$37,Phone_by_Sentiment!J$2:J$37,"",0,1),0),$A324-TEXT(DATEVALUE($D324&amp;"-01"), "dd-mm-yyyy")),0),0)</f>
        <v>1209</v>
      </c>
      <c r="K324" cm="1">
        <f t="array" ref="K324">IF($Q324&gt;=0,IFERROR(generateSalesData($D324, IF(ISNUMBER(_xlfn.XLOOKUP($C324,Phone_by_Sentiment!$B$2:$B$37,Phone_by_Sentiment!K$2:K$37,"",0,1)),_xlfn.XLOOKUP($C324,Phone_by_Sentiment!$B$2:$B$37,Phone_by_Sentiment!K$2:K$37,"",0,1),0),$A324-TEXT(DATEVALUE($D324&amp;"-01"), "dd-mm-yyyy")),0),0)</f>
        <v>6003</v>
      </c>
      <c r="L324" cm="1">
        <f t="array" ref="L324">IF($Q324&gt;=0,IFERROR(generateSalesData($D324, IF(ISNUMBER(_xlfn.XLOOKUP($C324,Phone_by_Sentiment!$B$2:$B$37,Phone_by_Sentiment!L$2:L$37,"",0,1)),_xlfn.XLOOKUP($C324,Phone_by_Sentiment!$B$2:$B$37,Phone_by_Sentiment!L$2:L$37,"",0,1),0),$A324-TEXT(DATEVALUE($D324&amp;"-01"), "dd-mm-yyyy")),0),0)</f>
        <v>651</v>
      </c>
      <c r="M324" cm="1">
        <f t="array" ref="M324">IF($Q324&gt;=0,IFERROR(generateSalesData($D324, IF(ISNUMBER(_xlfn.XLOOKUP($C324,Phone_by_Sentiment!$B$2:$B$37,Phone_by_Sentiment!M$2:M$37,"",0,1)),_xlfn.XLOOKUP($C324,Phone_by_Sentiment!$B$2:$B$37,Phone_by_Sentiment!M$2:M$37,"",0,1),0),$A324-TEXT(DATEVALUE($D324&amp;"-01"), "dd-mm-yyyy")),0),0)</f>
        <v>2830</v>
      </c>
      <c r="N324" cm="1">
        <f t="array" ref="N324">IF($Q324&gt;=0,IFERROR(generateSalesData($D324, IF(ISNUMBER(_xlfn.XLOOKUP($C324,Phone_by_Sentiment!$B$2:$B$37,Phone_by_Sentiment!N$2:N$37,"",0,1)),_xlfn.XLOOKUP($C324,Phone_by_Sentiment!$B$2:$B$37,Phone_by_Sentiment!N$2:N$37,"",0,1),0),$A324-TEXT(DATEVALUE($D324&amp;"-01"), "dd-mm-yyyy")),0),0)</f>
        <v>1368</v>
      </c>
      <c r="O324" cm="1">
        <f t="array" ref="O324">IF($Q324&gt;=0,IFERROR(generateSalesData($D324, IF(ISNUMBER(_xlfn.XLOOKUP($C324,Phone_by_Sentiment!$B$2:$B$37,Phone_by_Sentiment!O$2:O$37,"",0,1)),_xlfn.XLOOKUP($C324,Phone_by_Sentiment!$B$2:$B$37,Phone_by_Sentiment!O$2:O$37,"",0,1),0),$A324-TEXT(DATEVALUE($D324&amp;"-01"), "dd-mm-yyyy")),0),0)</f>
        <v>6243</v>
      </c>
      <c r="P324" s="1">
        <f t="shared" ref="P324:P387" si="13">DATEVALUE($D324&amp;"-01")</f>
        <v>43678</v>
      </c>
      <c r="Q324">
        <f t="shared" ref="Q324:Q387" si="14">A324-P324</f>
        <v>61</v>
      </c>
    </row>
    <row r="325" spans="1:17" x14ac:dyDescent="0.25">
      <c r="A325" s="1">
        <f t="shared" si="12"/>
        <v>43739</v>
      </c>
      <c r="B325" t="s">
        <v>167</v>
      </c>
      <c r="C325" t="str">
        <f>_xlfn.XLOOKUP(B325,Phone_by_Price!$A$2:$A$34,Phone_by_Price!$B$2:$B$34,"-",0,1)</f>
        <v>Realme C21</v>
      </c>
      <c r="D325" t="str">
        <f>_xlfn.XLOOKUP(C325,Phone_by_Sentiment!$B$2:$B$37,Phone_by_Sentiment!$A$2:$A$37,"-",0,1)</f>
        <v>2021-04</v>
      </c>
      <c r="E325" cm="1">
        <f t="array" ref="E325">IF($Q325&gt;=0,IFERROR(generateSalesData($D325, IF(ISNUMBER(_xlfn.XLOOKUP($C325,Phone_by_Sentiment!$B$2:$B$37,Phone_by_Sentiment!E$2:E$37,"",0,1)),_xlfn.XLOOKUP($C325,Phone_by_Sentiment!$B$2:$B$37,Phone_by_Sentiment!E$2:E$37,"",0,1),0),$A325-TEXT(DATEVALUE($D325&amp;"-01"), "dd-mm-yyyy")),0),0)</f>
        <v>0</v>
      </c>
      <c r="F325" cm="1">
        <f t="array" ref="F325">IF($Q325&gt;=0,IFERROR(generateSalesData($D325, IF(ISNUMBER(_xlfn.XLOOKUP($C325,Phone_by_Sentiment!$B$2:$B$37,Phone_by_Sentiment!F$2:F$37,"",0,1)),_xlfn.XLOOKUP($C325,Phone_by_Sentiment!$B$2:$B$37,Phone_by_Sentiment!F$2:F$37,"",0,1),0),$A325-TEXT(DATEVALUE($D325&amp;"-01"), "dd-mm-yyyy")),0),0)</f>
        <v>0</v>
      </c>
      <c r="G325" cm="1">
        <f t="array" ref="G325">IF($Q325&gt;=0,IFERROR(generateSalesData($D325, IF(ISNUMBER(_xlfn.XLOOKUP($C325,Phone_by_Sentiment!$B$2:$B$37,Phone_by_Sentiment!G$2:G$37,"",0,1)),_xlfn.XLOOKUP($C325,Phone_by_Sentiment!$B$2:$B$37,Phone_by_Sentiment!G$2:G$37,"",0,1),0),$A325-TEXT(DATEVALUE($D325&amp;"-01"), "dd-mm-yyyy")),0),0)</f>
        <v>0</v>
      </c>
      <c r="H325" cm="1">
        <f t="array" ref="H325">IF($Q325&gt;=0,IFERROR(generateSalesData($D325, IF(ISNUMBER(_xlfn.XLOOKUP($C325,Phone_by_Sentiment!$B$2:$B$37,Phone_by_Sentiment!H$2:H$37,"",0,1)),_xlfn.XLOOKUP($C325,Phone_by_Sentiment!$B$2:$B$37,Phone_by_Sentiment!H$2:H$37,"",0,1),0),$A325-TEXT(DATEVALUE($D325&amp;"-01"), "dd-mm-yyyy")),0),0)</f>
        <v>0</v>
      </c>
      <c r="I325" cm="1">
        <f t="array" ref="I325">IF($Q325&gt;=0,IFERROR(generateSalesData($D325, IF(ISNUMBER(_xlfn.XLOOKUP($C325,Phone_by_Sentiment!$B$2:$B$37,Phone_by_Sentiment!I$2:I$37,"",0,1)),_xlfn.XLOOKUP($C325,Phone_by_Sentiment!$B$2:$B$37,Phone_by_Sentiment!I$2:I$37,"",0,1),0),$A325-TEXT(DATEVALUE($D325&amp;"-01"), "dd-mm-yyyy")),0),0)</f>
        <v>0</v>
      </c>
      <c r="J325" cm="1">
        <f t="array" ref="J325">IF($Q325&gt;=0,IFERROR(generateSalesData($D325, IF(ISNUMBER(_xlfn.XLOOKUP($C325,Phone_by_Sentiment!$B$2:$B$37,Phone_by_Sentiment!J$2:J$37,"",0,1)),_xlfn.XLOOKUP($C325,Phone_by_Sentiment!$B$2:$B$37,Phone_by_Sentiment!J$2:J$37,"",0,1),0),$A325-TEXT(DATEVALUE($D325&amp;"-01"), "dd-mm-yyyy")),0),0)</f>
        <v>0</v>
      </c>
      <c r="K325" cm="1">
        <f t="array" ref="K325">IF($Q325&gt;=0,IFERROR(generateSalesData($D325, IF(ISNUMBER(_xlfn.XLOOKUP($C325,Phone_by_Sentiment!$B$2:$B$37,Phone_by_Sentiment!K$2:K$37,"",0,1)),_xlfn.XLOOKUP($C325,Phone_by_Sentiment!$B$2:$B$37,Phone_by_Sentiment!K$2:K$37,"",0,1),0),$A325-TEXT(DATEVALUE($D325&amp;"-01"), "dd-mm-yyyy")),0),0)</f>
        <v>0</v>
      </c>
      <c r="L325" cm="1">
        <f t="array" ref="L325">IF($Q325&gt;=0,IFERROR(generateSalesData($D325, IF(ISNUMBER(_xlfn.XLOOKUP($C325,Phone_by_Sentiment!$B$2:$B$37,Phone_by_Sentiment!L$2:L$37,"",0,1)),_xlfn.XLOOKUP($C325,Phone_by_Sentiment!$B$2:$B$37,Phone_by_Sentiment!L$2:L$37,"",0,1),0),$A325-TEXT(DATEVALUE($D325&amp;"-01"), "dd-mm-yyyy")),0),0)</f>
        <v>0</v>
      </c>
      <c r="M325" cm="1">
        <f t="array" ref="M325">IF($Q325&gt;=0,IFERROR(generateSalesData($D325, IF(ISNUMBER(_xlfn.XLOOKUP($C325,Phone_by_Sentiment!$B$2:$B$37,Phone_by_Sentiment!M$2:M$37,"",0,1)),_xlfn.XLOOKUP($C325,Phone_by_Sentiment!$B$2:$B$37,Phone_by_Sentiment!M$2:M$37,"",0,1),0),$A325-TEXT(DATEVALUE($D325&amp;"-01"), "dd-mm-yyyy")),0),0)</f>
        <v>0</v>
      </c>
      <c r="N325" cm="1">
        <f t="array" ref="N325">IF($Q325&gt;=0,IFERROR(generateSalesData($D325, IF(ISNUMBER(_xlfn.XLOOKUP($C325,Phone_by_Sentiment!$B$2:$B$37,Phone_by_Sentiment!N$2:N$37,"",0,1)),_xlfn.XLOOKUP($C325,Phone_by_Sentiment!$B$2:$B$37,Phone_by_Sentiment!N$2:N$37,"",0,1),0),$A325-TEXT(DATEVALUE($D325&amp;"-01"), "dd-mm-yyyy")),0),0)</f>
        <v>0</v>
      </c>
      <c r="O325" cm="1">
        <f t="array" ref="O325">IF($Q325&gt;=0,IFERROR(generateSalesData($D325, IF(ISNUMBER(_xlfn.XLOOKUP($C325,Phone_by_Sentiment!$B$2:$B$37,Phone_by_Sentiment!O$2:O$37,"",0,1)),_xlfn.XLOOKUP($C325,Phone_by_Sentiment!$B$2:$B$37,Phone_by_Sentiment!O$2:O$37,"",0,1),0),$A325-TEXT(DATEVALUE($D325&amp;"-01"), "dd-mm-yyyy")),0),0)</f>
        <v>0</v>
      </c>
      <c r="P325" s="1">
        <f t="shared" si="13"/>
        <v>44287</v>
      </c>
      <c r="Q325">
        <f t="shared" si="14"/>
        <v>-548</v>
      </c>
    </row>
    <row r="326" spans="1:17" x14ac:dyDescent="0.25">
      <c r="A326" s="1">
        <f t="shared" si="12"/>
        <v>43739</v>
      </c>
      <c r="B326" t="s">
        <v>168</v>
      </c>
      <c r="C326" t="str">
        <f>_xlfn.XLOOKUP(B326,Phone_by_Price!$A$2:$A$34,Phone_by_Price!$B$2:$B$34,"-",0,1)</f>
        <v>Google Pixel 4</v>
      </c>
      <c r="D326" t="str">
        <f>_xlfn.XLOOKUP(C326,Phone_by_Sentiment!$B$2:$B$37,Phone_by_Sentiment!$A$2:$A$37,"-",0,1)</f>
        <v>2019-09</v>
      </c>
      <c r="E326" cm="1">
        <f t="array" ref="E326">IF($Q326&gt;=0,IFERROR(generateSalesData($D326, IF(ISNUMBER(_xlfn.XLOOKUP($C326,Phone_by_Sentiment!$B$2:$B$37,Phone_by_Sentiment!E$2:E$37,"",0,1)),_xlfn.XLOOKUP($C326,Phone_by_Sentiment!$B$2:$B$37,Phone_by_Sentiment!E$2:E$37,"",0,1),0),$A326-TEXT(DATEVALUE($D326&amp;"-01"), "dd-mm-yyyy")),0),0)</f>
        <v>13270</v>
      </c>
      <c r="F326" cm="1">
        <f t="array" ref="F326">IF($Q326&gt;=0,IFERROR(generateSalesData($D326, IF(ISNUMBER(_xlfn.XLOOKUP($C326,Phone_by_Sentiment!$B$2:$B$37,Phone_by_Sentiment!F$2:F$37,"",0,1)),_xlfn.XLOOKUP($C326,Phone_by_Sentiment!$B$2:$B$37,Phone_by_Sentiment!F$2:F$37,"",0,1),0),$A326-TEXT(DATEVALUE($D326&amp;"-01"), "dd-mm-yyyy")),0),0)</f>
        <v>2074</v>
      </c>
      <c r="G326" cm="1">
        <f t="array" ref="G326">IF($Q326&gt;=0,IFERROR(generateSalesData($D326, IF(ISNUMBER(_xlfn.XLOOKUP($C326,Phone_by_Sentiment!$B$2:$B$37,Phone_by_Sentiment!G$2:G$37,"",0,1)),_xlfn.XLOOKUP($C326,Phone_by_Sentiment!$B$2:$B$37,Phone_by_Sentiment!G$2:G$37,"",0,1),0),$A326-TEXT(DATEVALUE($D326&amp;"-01"), "dd-mm-yyyy")),0),0)</f>
        <v>3493</v>
      </c>
      <c r="H326" cm="1">
        <f t="array" ref="H326">IF($Q326&gt;=0,IFERROR(generateSalesData($D326, IF(ISNUMBER(_xlfn.XLOOKUP($C326,Phone_by_Sentiment!$B$2:$B$37,Phone_by_Sentiment!H$2:H$37,"",0,1)),_xlfn.XLOOKUP($C326,Phone_by_Sentiment!$B$2:$B$37,Phone_by_Sentiment!H$2:H$37,"",0,1),0),$A326-TEXT(DATEVALUE($D326&amp;"-01"), "dd-mm-yyyy")),0),0)</f>
        <v>3103</v>
      </c>
      <c r="I326" cm="1">
        <f t="array" ref="I326">IF($Q326&gt;=0,IFERROR(generateSalesData($D326, IF(ISNUMBER(_xlfn.XLOOKUP($C326,Phone_by_Sentiment!$B$2:$B$37,Phone_by_Sentiment!I$2:I$37,"",0,1)),_xlfn.XLOOKUP($C326,Phone_by_Sentiment!$B$2:$B$37,Phone_by_Sentiment!I$2:I$37,"",0,1),0),$A326-TEXT(DATEVALUE($D326&amp;"-01"), "dd-mm-yyyy")),0),0)</f>
        <v>1010</v>
      </c>
      <c r="J326" cm="1">
        <f t="array" ref="J326">IF($Q326&gt;=0,IFERROR(generateSalesData($D326, IF(ISNUMBER(_xlfn.XLOOKUP($C326,Phone_by_Sentiment!$B$2:$B$37,Phone_by_Sentiment!J$2:J$37,"",0,1)),_xlfn.XLOOKUP($C326,Phone_by_Sentiment!$B$2:$B$37,Phone_by_Sentiment!J$2:J$37,"",0,1),0),$A326-TEXT(DATEVALUE($D326&amp;"-01"), "dd-mm-yyyy")),0),0)</f>
        <v>2346</v>
      </c>
      <c r="K326" cm="1">
        <f t="array" ref="K326">IF($Q326&gt;=0,IFERROR(generateSalesData($D326, IF(ISNUMBER(_xlfn.XLOOKUP($C326,Phone_by_Sentiment!$B$2:$B$37,Phone_by_Sentiment!K$2:K$37,"",0,1)),_xlfn.XLOOKUP($C326,Phone_by_Sentiment!$B$2:$B$37,Phone_by_Sentiment!K$2:K$37,"",0,1),0),$A326-TEXT(DATEVALUE($D326&amp;"-01"), "dd-mm-yyyy")),0),0)</f>
        <v>3149</v>
      </c>
      <c r="L326" cm="1">
        <f t="array" ref="L326">IF($Q326&gt;=0,IFERROR(generateSalesData($D326, IF(ISNUMBER(_xlfn.XLOOKUP($C326,Phone_by_Sentiment!$B$2:$B$37,Phone_by_Sentiment!L$2:L$37,"",0,1)),_xlfn.XLOOKUP($C326,Phone_by_Sentiment!$B$2:$B$37,Phone_by_Sentiment!L$2:L$37,"",0,1),0),$A326-TEXT(DATEVALUE($D326&amp;"-01"), "dd-mm-yyyy")),0),0)</f>
        <v>4199</v>
      </c>
      <c r="M326" cm="1">
        <f t="array" ref="M326">IF($Q326&gt;=0,IFERROR(generateSalesData($D326, IF(ISNUMBER(_xlfn.XLOOKUP($C326,Phone_by_Sentiment!$B$2:$B$37,Phone_by_Sentiment!M$2:M$37,"",0,1)),_xlfn.XLOOKUP($C326,Phone_by_Sentiment!$B$2:$B$37,Phone_by_Sentiment!M$2:M$37,"",0,1),0),$A326-TEXT(DATEVALUE($D326&amp;"-01"), "dd-mm-yyyy")),0),0)</f>
        <v>2449</v>
      </c>
      <c r="N326" cm="1">
        <f t="array" ref="N326">IF($Q326&gt;=0,IFERROR(generateSalesData($D326, IF(ISNUMBER(_xlfn.XLOOKUP($C326,Phone_by_Sentiment!$B$2:$B$37,Phone_by_Sentiment!N$2:N$37,"",0,1)),_xlfn.XLOOKUP($C326,Phone_by_Sentiment!$B$2:$B$37,Phone_by_Sentiment!N$2:N$37,"",0,1),0),$A326-TEXT(DATEVALUE($D326&amp;"-01"), "dd-mm-yyyy")),0),0)</f>
        <v>16073</v>
      </c>
      <c r="O326" cm="1">
        <f t="array" ref="O326">IF($Q326&gt;=0,IFERROR(generateSalesData($D326, IF(ISNUMBER(_xlfn.XLOOKUP($C326,Phone_by_Sentiment!$B$2:$B$37,Phone_by_Sentiment!O$2:O$37,"",0,1)),_xlfn.XLOOKUP($C326,Phone_by_Sentiment!$B$2:$B$37,Phone_by_Sentiment!O$2:O$37,"",0,1),0),$A326-TEXT(DATEVALUE($D326&amp;"-01"), "dd-mm-yyyy")),0),0)</f>
        <v>544</v>
      </c>
      <c r="P326" s="1">
        <f t="shared" si="13"/>
        <v>43709</v>
      </c>
      <c r="Q326">
        <f t="shared" si="14"/>
        <v>30</v>
      </c>
    </row>
    <row r="327" spans="1:17" x14ac:dyDescent="0.25">
      <c r="A327" s="1">
        <f t="shared" si="12"/>
        <v>43739</v>
      </c>
      <c r="B327" t="s">
        <v>169</v>
      </c>
      <c r="C327" t="str">
        <f>_xlfn.XLOOKUP(B327,Phone_by_Price!$A$2:$A$34,Phone_by_Price!$B$2:$B$34,"-",0,1)</f>
        <v>Samsung Galaxy A10s</v>
      </c>
      <c r="D327" t="str">
        <f>_xlfn.XLOOKUP(C327,Phone_by_Sentiment!$B$2:$B$37,Phone_by_Sentiment!$A$2:$A$37,"-",0,1)</f>
        <v>2019-08</v>
      </c>
      <c r="E327" cm="1">
        <f t="array" ref="E327">IF($Q327&gt;=0,IFERROR(generateSalesData($D327, IF(ISNUMBER(_xlfn.XLOOKUP($C327,Phone_by_Sentiment!$B$2:$B$37,Phone_by_Sentiment!E$2:E$37,"",0,1)),_xlfn.XLOOKUP($C327,Phone_by_Sentiment!$B$2:$B$37,Phone_by_Sentiment!E$2:E$37,"",0,1),0),$A327-TEXT(DATEVALUE($D327&amp;"-01"), "dd-mm-yyyy")),0),0)</f>
        <v>618</v>
      </c>
      <c r="F327" cm="1">
        <f t="array" ref="F327">IF($Q327&gt;=0,IFERROR(generateSalesData($D327, IF(ISNUMBER(_xlfn.XLOOKUP($C327,Phone_by_Sentiment!$B$2:$B$37,Phone_by_Sentiment!F$2:F$37,"",0,1)),_xlfn.XLOOKUP($C327,Phone_by_Sentiment!$B$2:$B$37,Phone_by_Sentiment!F$2:F$37,"",0,1),0),$A327-TEXT(DATEVALUE($D327&amp;"-01"), "dd-mm-yyyy")),0),0)</f>
        <v>3247</v>
      </c>
      <c r="G327" cm="1">
        <f t="array" ref="G327">IF($Q327&gt;=0,IFERROR(generateSalesData($D327, IF(ISNUMBER(_xlfn.XLOOKUP($C327,Phone_by_Sentiment!$B$2:$B$37,Phone_by_Sentiment!G$2:G$37,"",0,1)),_xlfn.XLOOKUP($C327,Phone_by_Sentiment!$B$2:$B$37,Phone_by_Sentiment!G$2:G$37,"",0,1),0),$A327-TEXT(DATEVALUE($D327&amp;"-01"), "dd-mm-yyyy")),0),0)</f>
        <v>850</v>
      </c>
      <c r="H327" cm="1">
        <f t="array" ref="H327">IF($Q327&gt;=0,IFERROR(generateSalesData($D327, IF(ISNUMBER(_xlfn.XLOOKUP($C327,Phone_by_Sentiment!$B$2:$B$37,Phone_by_Sentiment!H$2:H$37,"",0,1)),_xlfn.XLOOKUP($C327,Phone_by_Sentiment!$B$2:$B$37,Phone_by_Sentiment!H$2:H$37,"",0,1),0),$A327-TEXT(DATEVALUE($D327&amp;"-01"), "dd-mm-yyyy")),0),0)</f>
        <v>4219</v>
      </c>
      <c r="I327" cm="1">
        <f t="array" ref="I327">IF($Q327&gt;=0,IFERROR(generateSalesData($D327, IF(ISNUMBER(_xlfn.XLOOKUP($C327,Phone_by_Sentiment!$B$2:$B$37,Phone_by_Sentiment!I$2:I$37,"",0,1)),_xlfn.XLOOKUP($C327,Phone_by_Sentiment!$B$2:$B$37,Phone_by_Sentiment!I$2:I$37,"",0,1),0),$A327-TEXT(DATEVALUE($D327&amp;"-01"), "dd-mm-yyyy")),0),0)</f>
        <v>3912</v>
      </c>
      <c r="J327" cm="1">
        <f t="array" ref="J327">IF($Q327&gt;=0,IFERROR(generateSalesData($D327, IF(ISNUMBER(_xlfn.XLOOKUP($C327,Phone_by_Sentiment!$B$2:$B$37,Phone_by_Sentiment!J$2:J$37,"",0,1)),_xlfn.XLOOKUP($C327,Phone_by_Sentiment!$B$2:$B$37,Phone_by_Sentiment!J$2:J$37,"",0,1),0),$A327-TEXT(DATEVALUE($D327&amp;"-01"), "dd-mm-yyyy")),0),0)</f>
        <v>4666</v>
      </c>
      <c r="K327" cm="1">
        <f t="array" ref="K327">IF($Q327&gt;=0,IFERROR(generateSalesData($D327, IF(ISNUMBER(_xlfn.XLOOKUP($C327,Phone_by_Sentiment!$B$2:$B$37,Phone_by_Sentiment!K$2:K$37,"",0,1)),_xlfn.XLOOKUP($C327,Phone_by_Sentiment!$B$2:$B$37,Phone_by_Sentiment!K$2:K$37,"",0,1),0),$A327-TEXT(DATEVALUE($D327&amp;"-01"), "dd-mm-yyyy")),0),0)</f>
        <v>2145</v>
      </c>
      <c r="L327" cm="1">
        <f t="array" ref="L327">IF($Q327&gt;=0,IFERROR(generateSalesData($D327, IF(ISNUMBER(_xlfn.XLOOKUP($C327,Phone_by_Sentiment!$B$2:$B$37,Phone_by_Sentiment!L$2:L$37,"",0,1)),_xlfn.XLOOKUP($C327,Phone_by_Sentiment!$B$2:$B$37,Phone_by_Sentiment!L$2:L$37,"",0,1),0),$A327-TEXT(DATEVALUE($D327&amp;"-01"), "dd-mm-yyyy")),0),0)</f>
        <v>-4</v>
      </c>
      <c r="M327" cm="1">
        <f t="array" ref="M327">IF($Q327&gt;=0,IFERROR(generateSalesData($D327, IF(ISNUMBER(_xlfn.XLOOKUP($C327,Phone_by_Sentiment!$B$2:$B$37,Phone_by_Sentiment!M$2:M$37,"",0,1)),_xlfn.XLOOKUP($C327,Phone_by_Sentiment!$B$2:$B$37,Phone_by_Sentiment!M$2:M$37,"",0,1),0),$A327-TEXT(DATEVALUE($D327&amp;"-01"), "dd-mm-yyyy")),0),0)</f>
        <v>3987</v>
      </c>
      <c r="N327" cm="1">
        <f t="array" ref="N327">IF($Q327&gt;=0,IFERROR(generateSalesData($D327, IF(ISNUMBER(_xlfn.XLOOKUP($C327,Phone_by_Sentiment!$B$2:$B$37,Phone_by_Sentiment!N$2:N$37,"",0,1)),_xlfn.XLOOKUP($C327,Phone_by_Sentiment!$B$2:$B$37,Phone_by_Sentiment!N$2:N$37,"",0,1),0),$A327-TEXT(DATEVALUE($D327&amp;"-01"), "dd-mm-yyyy")),0),0)</f>
        <v>1706</v>
      </c>
      <c r="O327" cm="1">
        <f t="array" ref="O327">IF($Q327&gt;=0,IFERROR(generateSalesData($D327, IF(ISNUMBER(_xlfn.XLOOKUP($C327,Phone_by_Sentiment!$B$2:$B$37,Phone_by_Sentiment!O$2:O$37,"",0,1)),_xlfn.XLOOKUP($C327,Phone_by_Sentiment!$B$2:$B$37,Phone_by_Sentiment!O$2:O$37,"",0,1),0),$A327-TEXT(DATEVALUE($D327&amp;"-01"), "dd-mm-yyyy")),0),0)</f>
        <v>1926</v>
      </c>
      <c r="P327" s="1">
        <f t="shared" si="13"/>
        <v>43678</v>
      </c>
      <c r="Q327">
        <f t="shared" si="14"/>
        <v>61</v>
      </c>
    </row>
    <row r="328" spans="1:17" x14ac:dyDescent="0.25">
      <c r="A328" s="1">
        <f t="shared" si="12"/>
        <v>43739</v>
      </c>
      <c r="B328" t="s">
        <v>170</v>
      </c>
      <c r="C328" t="str">
        <f>_xlfn.XLOOKUP(B328,Phone_by_Price!$A$2:$A$34,Phone_by_Price!$B$2:$B$34,"-",0,1)</f>
        <v>Realme Narzo 30A</v>
      </c>
      <c r="D328" t="str">
        <f>_xlfn.XLOOKUP(C328,Phone_by_Sentiment!$B$2:$B$37,Phone_by_Sentiment!$A$2:$A$37,"-",0,1)</f>
        <v>2021-02</v>
      </c>
      <c r="E328" cm="1">
        <f t="array" ref="E328">IF($Q328&gt;=0,IFERROR(generateSalesData($D328, IF(ISNUMBER(_xlfn.XLOOKUP($C328,Phone_by_Sentiment!$B$2:$B$37,Phone_by_Sentiment!E$2:E$37,"",0,1)),_xlfn.XLOOKUP($C328,Phone_by_Sentiment!$B$2:$B$37,Phone_by_Sentiment!E$2:E$37,"",0,1),0),$A328-TEXT(DATEVALUE($D328&amp;"-01"), "dd-mm-yyyy")),0),0)</f>
        <v>0</v>
      </c>
      <c r="F328" cm="1">
        <f t="array" ref="F328">IF($Q328&gt;=0,IFERROR(generateSalesData($D328, IF(ISNUMBER(_xlfn.XLOOKUP($C328,Phone_by_Sentiment!$B$2:$B$37,Phone_by_Sentiment!F$2:F$37,"",0,1)),_xlfn.XLOOKUP($C328,Phone_by_Sentiment!$B$2:$B$37,Phone_by_Sentiment!F$2:F$37,"",0,1),0),$A328-TEXT(DATEVALUE($D328&amp;"-01"), "dd-mm-yyyy")),0),0)</f>
        <v>0</v>
      </c>
      <c r="G328" cm="1">
        <f t="array" ref="G328">IF($Q328&gt;=0,IFERROR(generateSalesData($D328, IF(ISNUMBER(_xlfn.XLOOKUP($C328,Phone_by_Sentiment!$B$2:$B$37,Phone_by_Sentiment!G$2:G$37,"",0,1)),_xlfn.XLOOKUP($C328,Phone_by_Sentiment!$B$2:$B$37,Phone_by_Sentiment!G$2:G$37,"",0,1),0),$A328-TEXT(DATEVALUE($D328&amp;"-01"), "dd-mm-yyyy")),0),0)</f>
        <v>0</v>
      </c>
      <c r="H328" cm="1">
        <f t="array" ref="H328">IF($Q328&gt;=0,IFERROR(generateSalesData($D328, IF(ISNUMBER(_xlfn.XLOOKUP($C328,Phone_by_Sentiment!$B$2:$B$37,Phone_by_Sentiment!H$2:H$37,"",0,1)),_xlfn.XLOOKUP($C328,Phone_by_Sentiment!$B$2:$B$37,Phone_by_Sentiment!H$2:H$37,"",0,1),0),$A328-TEXT(DATEVALUE($D328&amp;"-01"), "dd-mm-yyyy")),0),0)</f>
        <v>0</v>
      </c>
      <c r="I328" cm="1">
        <f t="array" ref="I328">IF($Q328&gt;=0,IFERROR(generateSalesData($D328, IF(ISNUMBER(_xlfn.XLOOKUP($C328,Phone_by_Sentiment!$B$2:$B$37,Phone_by_Sentiment!I$2:I$37,"",0,1)),_xlfn.XLOOKUP($C328,Phone_by_Sentiment!$B$2:$B$37,Phone_by_Sentiment!I$2:I$37,"",0,1),0),$A328-TEXT(DATEVALUE($D328&amp;"-01"), "dd-mm-yyyy")),0),0)</f>
        <v>0</v>
      </c>
      <c r="J328" cm="1">
        <f t="array" ref="J328">IF($Q328&gt;=0,IFERROR(generateSalesData($D328, IF(ISNUMBER(_xlfn.XLOOKUP($C328,Phone_by_Sentiment!$B$2:$B$37,Phone_by_Sentiment!J$2:J$37,"",0,1)),_xlfn.XLOOKUP($C328,Phone_by_Sentiment!$B$2:$B$37,Phone_by_Sentiment!J$2:J$37,"",0,1),0),$A328-TEXT(DATEVALUE($D328&amp;"-01"), "dd-mm-yyyy")),0),0)</f>
        <v>0</v>
      </c>
      <c r="K328" cm="1">
        <f t="array" ref="K328">IF($Q328&gt;=0,IFERROR(generateSalesData($D328, IF(ISNUMBER(_xlfn.XLOOKUP($C328,Phone_by_Sentiment!$B$2:$B$37,Phone_by_Sentiment!K$2:K$37,"",0,1)),_xlfn.XLOOKUP($C328,Phone_by_Sentiment!$B$2:$B$37,Phone_by_Sentiment!K$2:K$37,"",0,1),0),$A328-TEXT(DATEVALUE($D328&amp;"-01"), "dd-mm-yyyy")),0),0)</f>
        <v>0</v>
      </c>
      <c r="L328" cm="1">
        <f t="array" ref="L328">IF($Q328&gt;=0,IFERROR(generateSalesData($D328, IF(ISNUMBER(_xlfn.XLOOKUP($C328,Phone_by_Sentiment!$B$2:$B$37,Phone_by_Sentiment!L$2:L$37,"",0,1)),_xlfn.XLOOKUP($C328,Phone_by_Sentiment!$B$2:$B$37,Phone_by_Sentiment!L$2:L$37,"",0,1),0),$A328-TEXT(DATEVALUE($D328&amp;"-01"), "dd-mm-yyyy")),0),0)</f>
        <v>0</v>
      </c>
      <c r="M328" cm="1">
        <f t="array" ref="M328">IF($Q328&gt;=0,IFERROR(generateSalesData($D328, IF(ISNUMBER(_xlfn.XLOOKUP($C328,Phone_by_Sentiment!$B$2:$B$37,Phone_by_Sentiment!M$2:M$37,"",0,1)),_xlfn.XLOOKUP($C328,Phone_by_Sentiment!$B$2:$B$37,Phone_by_Sentiment!M$2:M$37,"",0,1),0),$A328-TEXT(DATEVALUE($D328&amp;"-01"), "dd-mm-yyyy")),0),0)</f>
        <v>0</v>
      </c>
      <c r="N328" cm="1">
        <f t="array" ref="N328">IF($Q328&gt;=0,IFERROR(generateSalesData($D328, IF(ISNUMBER(_xlfn.XLOOKUP($C328,Phone_by_Sentiment!$B$2:$B$37,Phone_by_Sentiment!N$2:N$37,"",0,1)),_xlfn.XLOOKUP($C328,Phone_by_Sentiment!$B$2:$B$37,Phone_by_Sentiment!N$2:N$37,"",0,1),0),$A328-TEXT(DATEVALUE($D328&amp;"-01"), "dd-mm-yyyy")),0),0)</f>
        <v>0</v>
      </c>
      <c r="O328" cm="1">
        <f t="array" ref="O328">IF($Q328&gt;=0,IFERROR(generateSalesData($D328, IF(ISNUMBER(_xlfn.XLOOKUP($C328,Phone_by_Sentiment!$B$2:$B$37,Phone_by_Sentiment!O$2:O$37,"",0,1)),_xlfn.XLOOKUP($C328,Phone_by_Sentiment!$B$2:$B$37,Phone_by_Sentiment!O$2:O$37,"",0,1),0),$A328-TEXT(DATEVALUE($D328&amp;"-01"), "dd-mm-yyyy")),0),0)</f>
        <v>0</v>
      </c>
      <c r="P328" s="1">
        <f t="shared" si="13"/>
        <v>44228</v>
      </c>
      <c r="Q328">
        <f t="shared" si="14"/>
        <v>-489</v>
      </c>
    </row>
    <row r="329" spans="1:17" x14ac:dyDescent="0.25">
      <c r="A329" s="1">
        <f t="shared" si="12"/>
        <v>43739</v>
      </c>
      <c r="B329" t="s">
        <v>171</v>
      </c>
      <c r="C329" t="str">
        <f>_xlfn.XLOOKUP(B329,Phone_by_Price!$A$2:$A$34,Phone_by_Price!$B$2:$B$34,"-",0,1)</f>
        <v>Samsung Galaxy A22 5G</v>
      </c>
      <c r="D329" t="str">
        <f>_xlfn.XLOOKUP(C329,Phone_by_Sentiment!$B$2:$B$37,Phone_by_Sentiment!$A$2:$A$37,"-",0,1)</f>
        <v>2021-05</v>
      </c>
      <c r="E329" cm="1">
        <f t="array" ref="E329">IF($Q329&gt;=0,IFERROR(generateSalesData($D329, IF(ISNUMBER(_xlfn.XLOOKUP($C329,Phone_by_Sentiment!$B$2:$B$37,Phone_by_Sentiment!E$2:E$37,"",0,1)),_xlfn.XLOOKUP($C329,Phone_by_Sentiment!$B$2:$B$37,Phone_by_Sentiment!E$2:E$37,"",0,1),0),$A329-TEXT(DATEVALUE($D329&amp;"-01"), "dd-mm-yyyy")),0),0)</f>
        <v>0</v>
      </c>
      <c r="F329" cm="1">
        <f t="array" ref="F329">IF($Q329&gt;=0,IFERROR(generateSalesData($D329, IF(ISNUMBER(_xlfn.XLOOKUP($C329,Phone_by_Sentiment!$B$2:$B$37,Phone_by_Sentiment!F$2:F$37,"",0,1)),_xlfn.XLOOKUP($C329,Phone_by_Sentiment!$B$2:$B$37,Phone_by_Sentiment!F$2:F$37,"",0,1),0),$A329-TEXT(DATEVALUE($D329&amp;"-01"), "dd-mm-yyyy")),0),0)</f>
        <v>0</v>
      </c>
      <c r="G329" cm="1">
        <f t="array" ref="G329">IF($Q329&gt;=0,IFERROR(generateSalesData($D329, IF(ISNUMBER(_xlfn.XLOOKUP($C329,Phone_by_Sentiment!$B$2:$B$37,Phone_by_Sentiment!G$2:G$37,"",0,1)),_xlfn.XLOOKUP($C329,Phone_by_Sentiment!$B$2:$B$37,Phone_by_Sentiment!G$2:G$37,"",0,1),0),$A329-TEXT(DATEVALUE($D329&amp;"-01"), "dd-mm-yyyy")),0),0)</f>
        <v>0</v>
      </c>
      <c r="H329" cm="1">
        <f t="array" ref="H329">IF($Q329&gt;=0,IFERROR(generateSalesData($D329, IF(ISNUMBER(_xlfn.XLOOKUP($C329,Phone_by_Sentiment!$B$2:$B$37,Phone_by_Sentiment!H$2:H$37,"",0,1)),_xlfn.XLOOKUP($C329,Phone_by_Sentiment!$B$2:$B$37,Phone_by_Sentiment!H$2:H$37,"",0,1),0),$A329-TEXT(DATEVALUE($D329&amp;"-01"), "dd-mm-yyyy")),0),0)</f>
        <v>0</v>
      </c>
      <c r="I329" cm="1">
        <f t="array" ref="I329">IF($Q329&gt;=0,IFERROR(generateSalesData($D329, IF(ISNUMBER(_xlfn.XLOOKUP($C329,Phone_by_Sentiment!$B$2:$B$37,Phone_by_Sentiment!I$2:I$37,"",0,1)),_xlfn.XLOOKUP($C329,Phone_by_Sentiment!$B$2:$B$37,Phone_by_Sentiment!I$2:I$37,"",0,1),0),$A329-TEXT(DATEVALUE($D329&amp;"-01"), "dd-mm-yyyy")),0),0)</f>
        <v>0</v>
      </c>
      <c r="J329" cm="1">
        <f t="array" ref="J329">IF($Q329&gt;=0,IFERROR(generateSalesData($D329, IF(ISNUMBER(_xlfn.XLOOKUP($C329,Phone_by_Sentiment!$B$2:$B$37,Phone_by_Sentiment!J$2:J$37,"",0,1)),_xlfn.XLOOKUP($C329,Phone_by_Sentiment!$B$2:$B$37,Phone_by_Sentiment!J$2:J$37,"",0,1),0),$A329-TEXT(DATEVALUE($D329&amp;"-01"), "dd-mm-yyyy")),0),0)</f>
        <v>0</v>
      </c>
      <c r="K329" cm="1">
        <f t="array" ref="K329">IF($Q329&gt;=0,IFERROR(generateSalesData($D329, IF(ISNUMBER(_xlfn.XLOOKUP($C329,Phone_by_Sentiment!$B$2:$B$37,Phone_by_Sentiment!K$2:K$37,"",0,1)),_xlfn.XLOOKUP($C329,Phone_by_Sentiment!$B$2:$B$37,Phone_by_Sentiment!K$2:K$37,"",0,1),0),$A329-TEXT(DATEVALUE($D329&amp;"-01"), "dd-mm-yyyy")),0),0)</f>
        <v>0</v>
      </c>
      <c r="L329" cm="1">
        <f t="array" ref="L329">IF($Q329&gt;=0,IFERROR(generateSalesData($D329, IF(ISNUMBER(_xlfn.XLOOKUP($C329,Phone_by_Sentiment!$B$2:$B$37,Phone_by_Sentiment!L$2:L$37,"",0,1)),_xlfn.XLOOKUP($C329,Phone_by_Sentiment!$B$2:$B$37,Phone_by_Sentiment!L$2:L$37,"",0,1),0),$A329-TEXT(DATEVALUE($D329&amp;"-01"), "dd-mm-yyyy")),0),0)</f>
        <v>0</v>
      </c>
      <c r="M329" cm="1">
        <f t="array" ref="M329">IF($Q329&gt;=0,IFERROR(generateSalesData($D329, IF(ISNUMBER(_xlfn.XLOOKUP($C329,Phone_by_Sentiment!$B$2:$B$37,Phone_by_Sentiment!M$2:M$37,"",0,1)),_xlfn.XLOOKUP($C329,Phone_by_Sentiment!$B$2:$B$37,Phone_by_Sentiment!M$2:M$37,"",0,1),0),$A329-TEXT(DATEVALUE($D329&amp;"-01"), "dd-mm-yyyy")),0),0)</f>
        <v>0</v>
      </c>
      <c r="N329" cm="1">
        <f t="array" ref="N329">IF($Q329&gt;=0,IFERROR(generateSalesData($D329, IF(ISNUMBER(_xlfn.XLOOKUP($C329,Phone_by_Sentiment!$B$2:$B$37,Phone_by_Sentiment!N$2:N$37,"",0,1)),_xlfn.XLOOKUP($C329,Phone_by_Sentiment!$B$2:$B$37,Phone_by_Sentiment!N$2:N$37,"",0,1),0),$A329-TEXT(DATEVALUE($D329&amp;"-01"), "dd-mm-yyyy")),0),0)</f>
        <v>0</v>
      </c>
      <c r="O329" cm="1">
        <f t="array" ref="O329">IF($Q329&gt;=0,IFERROR(generateSalesData($D329, IF(ISNUMBER(_xlfn.XLOOKUP($C329,Phone_by_Sentiment!$B$2:$B$37,Phone_by_Sentiment!O$2:O$37,"",0,1)),_xlfn.XLOOKUP($C329,Phone_by_Sentiment!$B$2:$B$37,Phone_by_Sentiment!O$2:O$37,"",0,1),0),$A329-TEXT(DATEVALUE($D329&amp;"-01"), "dd-mm-yyyy")),0),0)</f>
        <v>0</v>
      </c>
      <c r="P329" s="1">
        <f t="shared" si="13"/>
        <v>44317</v>
      </c>
      <c r="Q329">
        <f t="shared" si="14"/>
        <v>-578</v>
      </c>
    </row>
    <row r="330" spans="1:17" x14ac:dyDescent="0.25">
      <c r="A330" s="1">
        <f t="shared" si="12"/>
        <v>43739</v>
      </c>
      <c r="B330" t="s">
        <v>172</v>
      </c>
      <c r="C330" t="str">
        <f>_xlfn.XLOOKUP(B330,Phone_by_Price!$A$2:$A$34,Phone_by_Price!$B$2:$B$34,"-",0,1)</f>
        <v>Xiaomi Redmi 9</v>
      </c>
      <c r="D330" t="str">
        <f>_xlfn.XLOOKUP(C330,Phone_by_Sentiment!$B$2:$B$37,Phone_by_Sentiment!$A$2:$A$37,"-",0,1)</f>
        <v>2020-08</v>
      </c>
      <c r="E330" cm="1">
        <f t="array" ref="E330">IF($Q330&gt;=0,IFERROR(generateSalesData($D330, IF(ISNUMBER(_xlfn.XLOOKUP($C330,Phone_by_Sentiment!$B$2:$B$37,Phone_by_Sentiment!E$2:E$37,"",0,1)),_xlfn.XLOOKUP($C330,Phone_by_Sentiment!$B$2:$B$37,Phone_by_Sentiment!E$2:E$37,"",0,1),0),$A330-TEXT(DATEVALUE($D330&amp;"-01"), "dd-mm-yyyy")),0),0)</f>
        <v>0</v>
      </c>
      <c r="F330" cm="1">
        <f t="array" ref="F330">IF($Q330&gt;=0,IFERROR(generateSalesData($D330, IF(ISNUMBER(_xlfn.XLOOKUP($C330,Phone_by_Sentiment!$B$2:$B$37,Phone_by_Sentiment!F$2:F$37,"",0,1)),_xlfn.XLOOKUP($C330,Phone_by_Sentiment!$B$2:$B$37,Phone_by_Sentiment!F$2:F$37,"",0,1),0),$A330-TEXT(DATEVALUE($D330&amp;"-01"), "dd-mm-yyyy")),0),0)</f>
        <v>0</v>
      </c>
      <c r="G330" cm="1">
        <f t="array" ref="G330">IF($Q330&gt;=0,IFERROR(generateSalesData($D330, IF(ISNUMBER(_xlfn.XLOOKUP($C330,Phone_by_Sentiment!$B$2:$B$37,Phone_by_Sentiment!G$2:G$37,"",0,1)),_xlfn.XLOOKUP($C330,Phone_by_Sentiment!$B$2:$B$37,Phone_by_Sentiment!G$2:G$37,"",0,1),0),$A330-TEXT(DATEVALUE($D330&amp;"-01"), "dd-mm-yyyy")),0),0)</f>
        <v>0</v>
      </c>
      <c r="H330" cm="1">
        <f t="array" ref="H330">IF($Q330&gt;=0,IFERROR(generateSalesData($D330, IF(ISNUMBER(_xlfn.XLOOKUP($C330,Phone_by_Sentiment!$B$2:$B$37,Phone_by_Sentiment!H$2:H$37,"",0,1)),_xlfn.XLOOKUP($C330,Phone_by_Sentiment!$B$2:$B$37,Phone_by_Sentiment!H$2:H$37,"",0,1),0),$A330-TEXT(DATEVALUE($D330&amp;"-01"), "dd-mm-yyyy")),0),0)</f>
        <v>0</v>
      </c>
      <c r="I330" cm="1">
        <f t="array" ref="I330">IF($Q330&gt;=0,IFERROR(generateSalesData($D330, IF(ISNUMBER(_xlfn.XLOOKUP($C330,Phone_by_Sentiment!$B$2:$B$37,Phone_by_Sentiment!I$2:I$37,"",0,1)),_xlfn.XLOOKUP($C330,Phone_by_Sentiment!$B$2:$B$37,Phone_by_Sentiment!I$2:I$37,"",0,1),0),$A330-TEXT(DATEVALUE($D330&amp;"-01"), "dd-mm-yyyy")),0),0)</f>
        <v>0</v>
      </c>
      <c r="J330" cm="1">
        <f t="array" ref="J330">IF($Q330&gt;=0,IFERROR(generateSalesData($D330, IF(ISNUMBER(_xlfn.XLOOKUP($C330,Phone_by_Sentiment!$B$2:$B$37,Phone_by_Sentiment!J$2:J$37,"",0,1)),_xlfn.XLOOKUP($C330,Phone_by_Sentiment!$B$2:$B$37,Phone_by_Sentiment!J$2:J$37,"",0,1),0),$A330-TEXT(DATEVALUE($D330&amp;"-01"), "dd-mm-yyyy")),0),0)</f>
        <v>0</v>
      </c>
      <c r="K330" cm="1">
        <f t="array" ref="K330">IF($Q330&gt;=0,IFERROR(generateSalesData($D330, IF(ISNUMBER(_xlfn.XLOOKUP($C330,Phone_by_Sentiment!$B$2:$B$37,Phone_by_Sentiment!K$2:K$37,"",0,1)),_xlfn.XLOOKUP($C330,Phone_by_Sentiment!$B$2:$B$37,Phone_by_Sentiment!K$2:K$37,"",0,1),0),$A330-TEXT(DATEVALUE($D330&amp;"-01"), "dd-mm-yyyy")),0),0)</f>
        <v>0</v>
      </c>
      <c r="L330" cm="1">
        <f t="array" ref="L330">IF($Q330&gt;=0,IFERROR(generateSalesData($D330, IF(ISNUMBER(_xlfn.XLOOKUP($C330,Phone_by_Sentiment!$B$2:$B$37,Phone_by_Sentiment!L$2:L$37,"",0,1)),_xlfn.XLOOKUP($C330,Phone_by_Sentiment!$B$2:$B$37,Phone_by_Sentiment!L$2:L$37,"",0,1),0),$A330-TEXT(DATEVALUE($D330&amp;"-01"), "dd-mm-yyyy")),0),0)</f>
        <v>0</v>
      </c>
      <c r="M330" cm="1">
        <f t="array" ref="M330">IF($Q330&gt;=0,IFERROR(generateSalesData($D330, IF(ISNUMBER(_xlfn.XLOOKUP($C330,Phone_by_Sentiment!$B$2:$B$37,Phone_by_Sentiment!M$2:M$37,"",0,1)),_xlfn.XLOOKUP($C330,Phone_by_Sentiment!$B$2:$B$37,Phone_by_Sentiment!M$2:M$37,"",0,1),0),$A330-TEXT(DATEVALUE($D330&amp;"-01"), "dd-mm-yyyy")),0),0)</f>
        <v>0</v>
      </c>
      <c r="N330" cm="1">
        <f t="array" ref="N330">IF($Q330&gt;=0,IFERROR(generateSalesData($D330, IF(ISNUMBER(_xlfn.XLOOKUP($C330,Phone_by_Sentiment!$B$2:$B$37,Phone_by_Sentiment!N$2:N$37,"",0,1)),_xlfn.XLOOKUP($C330,Phone_by_Sentiment!$B$2:$B$37,Phone_by_Sentiment!N$2:N$37,"",0,1),0),$A330-TEXT(DATEVALUE($D330&amp;"-01"), "dd-mm-yyyy")),0),0)</f>
        <v>0</v>
      </c>
      <c r="O330" cm="1">
        <f t="array" ref="O330">IF($Q330&gt;=0,IFERROR(generateSalesData($D330, IF(ISNUMBER(_xlfn.XLOOKUP($C330,Phone_by_Sentiment!$B$2:$B$37,Phone_by_Sentiment!O$2:O$37,"",0,1)),_xlfn.XLOOKUP($C330,Phone_by_Sentiment!$B$2:$B$37,Phone_by_Sentiment!O$2:O$37,"",0,1),0),$A330-TEXT(DATEVALUE($D330&amp;"-01"), "dd-mm-yyyy")),0),0)</f>
        <v>0</v>
      </c>
      <c r="P330" s="1">
        <f t="shared" si="13"/>
        <v>44044</v>
      </c>
      <c r="Q330">
        <f t="shared" si="14"/>
        <v>-305</v>
      </c>
    </row>
    <row r="331" spans="1:17" x14ac:dyDescent="0.25">
      <c r="A331" s="1">
        <f t="shared" si="12"/>
        <v>43739</v>
      </c>
      <c r="B331" t="s">
        <v>173</v>
      </c>
      <c r="C331" t="str">
        <f>_xlfn.XLOOKUP(B331,Phone_by_Price!$A$2:$A$34,Phone_by_Price!$B$2:$B$34,"-",0,1)</f>
        <v>Realme C3</v>
      </c>
      <c r="D331" t="str">
        <f>_xlfn.XLOOKUP(C331,Phone_by_Sentiment!$B$2:$B$37,Phone_by_Sentiment!$A$2:$A$37,"-",0,1)</f>
        <v>2020-02</v>
      </c>
      <c r="E331" cm="1">
        <f t="array" ref="E331">IF($Q331&gt;=0,IFERROR(generateSalesData($D331, IF(ISNUMBER(_xlfn.XLOOKUP($C331,Phone_by_Sentiment!$B$2:$B$37,Phone_by_Sentiment!E$2:E$37,"",0,1)),_xlfn.XLOOKUP($C331,Phone_by_Sentiment!$B$2:$B$37,Phone_by_Sentiment!E$2:E$37,"",0,1),0),$A331-TEXT(DATEVALUE($D331&amp;"-01"), "dd-mm-yyyy")),0),0)</f>
        <v>0</v>
      </c>
      <c r="F331" cm="1">
        <f t="array" ref="F331">IF($Q331&gt;=0,IFERROR(generateSalesData($D331, IF(ISNUMBER(_xlfn.XLOOKUP($C331,Phone_by_Sentiment!$B$2:$B$37,Phone_by_Sentiment!F$2:F$37,"",0,1)),_xlfn.XLOOKUP($C331,Phone_by_Sentiment!$B$2:$B$37,Phone_by_Sentiment!F$2:F$37,"",0,1),0),$A331-TEXT(DATEVALUE($D331&amp;"-01"), "dd-mm-yyyy")),0),0)</f>
        <v>0</v>
      </c>
      <c r="G331" cm="1">
        <f t="array" ref="G331">IF($Q331&gt;=0,IFERROR(generateSalesData($D331, IF(ISNUMBER(_xlfn.XLOOKUP($C331,Phone_by_Sentiment!$B$2:$B$37,Phone_by_Sentiment!G$2:G$37,"",0,1)),_xlfn.XLOOKUP($C331,Phone_by_Sentiment!$B$2:$B$37,Phone_by_Sentiment!G$2:G$37,"",0,1),0),$A331-TEXT(DATEVALUE($D331&amp;"-01"), "dd-mm-yyyy")),0),0)</f>
        <v>0</v>
      </c>
      <c r="H331" cm="1">
        <f t="array" ref="H331">IF($Q331&gt;=0,IFERROR(generateSalesData($D331, IF(ISNUMBER(_xlfn.XLOOKUP($C331,Phone_by_Sentiment!$B$2:$B$37,Phone_by_Sentiment!H$2:H$37,"",0,1)),_xlfn.XLOOKUP($C331,Phone_by_Sentiment!$B$2:$B$37,Phone_by_Sentiment!H$2:H$37,"",0,1),0),$A331-TEXT(DATEVALUE($D331&amp;"-01"), "dd-mm-yyyy")),0),0)</f>
        <v>0</v>
      </c>
      <c r="I331" cm="1">
        <f t="array" ref="I331">IF($Q331&gt;=0,IFERROR(generateSalesData($D331, IF(ISNUMBER(_xlfn.XLOOKUP($C331,Phone_by_Sentiment!$B$2:$B$37,Phone_by_Sentiment!I$2:I$37,"",0,1)),_xlfn.XLOOKUP($C331,Phone_by_Sentiment!$B$2:$B$37,Phone_by_Sentiment!I$2:I$37,"",0,1),0),$A331-TEXT(DATEVALUE($D331&amp;"-01"), "dd-mm-yyyy")),0),0)</f>
        <v>0</v>
      </c>
      <c r="J331" cm="1">
        <f t="array" ref="J331">IF($Q331&gt;=0,IFERROR(generateSalesData($D331, IF(ISNUMBER(_xlfn.XLOOKUP($C331,Phone_by_Sentiment!$B$2:$B$37,Phone_by_Sentiment!J$2:J$37,"",0,1)),_xlfn.XLOOKUP($C331,Phone_by_Sentiment!$B$2:$B$37,Phone_by_Sentiment!J$2:J$37,"",0,1),0),$A331-TEXT(DATEVALUE($D331&amp;"-01"), "dd-mm-yyyy")),0),0)</f>
        <v>0</v>
      </c>
      <c r="K331" cm="1">
        <f t="array" ref="K331">IF($Q331&gt;=0,IFERROR(generateSalesData($D331, IF(ISNUMBER(_xlfn.XLOOKUP($C331,Phone_by_Sentiment!$B$2:$B$37,Phone_by_Sentiment!K$2:K$37,"",0,1)),_xlfn.XLOOKUP($C331,Phone_by_Sentiment!$B$2:$B$37,Phone_by_Sentiment!K$2:K$37,"",0,1),0),$A331-TEXT(DATEVALUE($D331&amp;"-01"), "dd-mm-yyyy")),0),0)</f>
        <v>0</v>
      </c>
      <c r="L331" cm="1">
        <f t="array" ref="L331">IF($Q331&gt;=0,IFERROR(generateSalesData($D331, IF(ISNUMBER(_xlfn.XLOOKUP($C331,Phone_by_Sentiment!$B$2:$B$37,Phone_by_Sentiment!L$2:L$37,"",0,1)),_xlfn.XLOOKUP($C331,Phone_by_Sentiment!$B$2:$B$37,Phone_by_Sentiment!L$2:L$37,"",0,1),0),$A331-TEXT(DATEVALUE($D331&amp;"-01"), "dd-mm-yyyy")),0),0)</f>
        <v>0</v>
      </c>
      <c r="M331" cm="1">
        <f t="array" ref="M331">IF($Q331&gt;=0,IFERROR(generateSalesData($D331, IF(ISNUMBER(_xlfn.XLOOKUP($C331,Phone_by_Sentiment!$B$2:$B$37,Phone_by_Sentiment!M$2:M$37,"",0,1)),_xlfn.XLOOKUP($C331,Phone_by_Sentiment!$B$2:$B$37,Phone_by_Sentiment!M$2:M$37,"",0,1),0),$A331-TEXT(DATEVALUE($D331&amp;"-01"), "dd-mm-yyyy")),0),0)</f>
        <v>0</v>
      </c>
      <c r="N331" cm="1">
        <f t="array" ref="N331">IF($Q331&gt;=0,IFERROR(generateSalesData($D331, IF(ISNUMBER(_xlfn.XLOOKUP($C331,Phone_by_Sentiment!$B$2:$B$37,Phone_by_Sentiment!N$2:N$37,"",0,1)),_xlfn.XLOOKUP($C331,Phone_by_Sentiment!$B$2:$B$37,Phone_by_Sentiment!N$2:N$37,"",0,1),0),$A331-TEXT(DATEVALUE($D331&amp;"-01"), "dd-mm-yyyy")),0),0)</f>
        <v>0</v>
      </c>
      <c r="O331" cm="1">
        <f t="array" ref="O331">IF($Q331&gt;=0,IFERROR(generateSalesData($D331, IF(ISNUMBER(_xlfn.XLOOKUP($C331,Phone_by_Sentiment!$B$2:$B$37,Phone_by_Sentiment!O$2:O$37,"",0,1)),_xlfn.XLOOKUP($C331,Phone_by_Sentiment!$B$2:$B$37,Phone_by_Sentiment!O$2:O$37,"",0,1),0),$A331-TEXT(DATEVALUE($D331&amp;"-01"), "dd-mm-yyyy")),0),0)</f>
        <v>0</v>
      </c>
      <c r="P331" s="1">
        <f t="shared" si="13"/>
        <v>43862</v>
      </c>
      <c r="Q331">
        <f t="shared" si="14"/>
        <v>-123</v>
      </c>
    </row>
    <row r="332" spans="1:17" x14ac:dyDescent="0.25">
      <c r="A332" s="1">
        <f t="shared" si="12"/>
        <v>43739</v>
      </c>
      <c r="B332" t="s">
        <v>174</v>
      </c>
      <c r="C332" t="str">
        <f>_xlfn.XLOOKUP(B332,Phone_by_Price!$A$2:$A$34,Phone_by_Price!$B$2:$B$34,"-",0,1)</f>
        <v>Samsung Galaxy A7</v>
      </c>
      <c r="D332" t="str">
        <f>_xlfn.XLOOKUP(C332,Phone_by_Sentiment!$B$2:$B$37,Phone_by_Sentiment!$A$2:$A$37,"-",0,1)</f>
        <v>2018-10</v>
      </c>
      <c r="E332" cm="1">
        <f t="array" ref="E332">IF($Q332&gt;=0,IFERROR(generateSalesData($D332, IF(ISNUMBER(_xlfn.XLOOKUP($C332,Phone_by_Sentiment!$B$2:$B$37,Phone_by_Sentiment!E$2:E$37,"",0,1)),_xlfn.XLOOKUP($C332,Phone_by_Sentiment!$B$2:$B$37,Phone_by_Sentiment!E$2:E$37,"",0,1),0),$A332-TEXT(DATEVALUE($D332&amp;"-01"), "dd-mm-yyyy")),0),0)</f>
        <v>325</v>
      </c>
      <c r="F332" cm="1">
        <f t="array" ref="F332">IF($Q332&gt;=0,IFERROR(generateSalesData($D332, IF(ISNUMBER(_xlfn.XLOOKUP($C332,Phone_by_Sentiment!$B$2:$B$37,Phone_by_Sentiment!F$2:F$37,"",0,1)),_xlfn.XLOOKUP($C332,Phone_by_Sentiment!$B$2:$B$37,Phone_by_Sentiment!F$2:F$37,"",0,1),0),$A332-TEXT(DATEVALUE($D332&amp;"-01"), "dd-mm-yyyy")),0),0)</f>
        <v>32</v>
      </c>
      <c r="G332" cm="1">
        <f t="array" ref="G332">IF($Q332&gt;=0,IFERROR(generateSalesData($D332, IF(ISNUMBER(_xlfn.XLOOKUP($C332,Phone_by_Sentiment!$B$2:$B$37,Phone_by_Sentiment!G$2:G$37,"",0,1)),_xlfn.XLOOKUP($C332,Phone_by_Sentiment!$B$2:$B$37,Phone_by_Sentiment!G$2:G$37,"",0,1),0),$A332-TEXT(DATEVALUE($D332&amp;"-01"), "dd-mm-yyyy")),0),0)</f>
        <v>68</v>
      </c>
      <c r="H332" cm="1">
        <f t="array" ref="H332">IF($Q332&gt;=0,IFERROR(generateSalesData($D332, IF(ISNUMBER(_xlfn.XLOOKUP($C332,Phone_by_Sentiment!$B$2:$B$37,Phone_by_Sentiment!H$2:H$37,"",0,1)),_xlfn.XLOOKUP($C332,Phone_by_Sentiment!$B$2:$B$37,Phone_by_Sentiment!H$2:H$37,"",0,1),0),$A332-TEXT(DATEVALUE($D332&amp;"-01"), "dd-mm-yyyy")),0),0)</f>
        <v>-42</v>
      </c>
      <c r="I332" cm="1">
        <f t="array" ref="I332">IF($Q332&gt;=0,IFERROR(generateSalesData($D332, IF(ISNUMBER(_xlfn.XLOOKUP($C332,Phone_by_Sentiment!$B$2:$B$37,Phone_by_Sentiment!I$2:I$37,"",0,1)),_xlfn.XLOOKUP($C332,Phone_by_Sentiment!$B$2:$B$37,Phone_by_Sentiment!I$2:I$37,"",0,1),0),$A332-TEXT(DATEVALUE($D332&amp;"-01"), "dd-mm-yyyy")),0),0)</f>
        <v>596</v>
      </c>
      <c r="J332" cm="1">
        <f t="array" ref="J332">IF($Q332&gt;=0,IFERROR(generateSalesData($D332, IF(ISNUMBER(_xlfn.XLOOKUP($C332,Phone_by_Sentiment!$B$2:$B$37,Phone_by_Sentiment!J$2:J$37,"",0,1)),_xlfn.XLOOKUP($C332,Phone_by_Sentiment!$B$2:$B$37,Phone_by_Sentiment!J$2:J$37,"",0,1),0),$A332-TEXT(DATEVALUE($D332&amp;"-01"), "dd-mm-yyyy")),0),0)</f>
        <v>231</v>
      </c>
      <c r="K332" cm="1">
        <f t="array" ref="K332">IF($Q332&gt;=0,IFERROR(generateSalesData($D332, IF(ISNUMBER(_xlfn.XLOOKUP($C332,Phone_by_Sentiment!$B$2:$B$37,Phone_by_Sentiment!K$2:K$37,"",0,1)),_xlfn.XLOOKUP($C332,Phone_by_Sentiment!$B$2:$B$37,Phone_by_Sentiment!K$2:K$37,"",0,1),0),$A332-TEXT(DATEVALUE($D332&amp;"-01"), "dd-mm-yyyy")),0),0)</f>
        <v>155</v>
      </c>
      <c r="L332" cm="1">
        <f t="array" ref="L332">IF($Q332&gt;=0,IFERROR(generateSalesData($D332, IF(ISNUMBER(_xlfn.XLOOKUP($C332,Phone_by_Sentiment!$B$2:$B$37,Phone_by_Sentiment!L$2:L$37,"",0,1)),_xlfn.XLOOKUP($C332,Phone_by_Sentiment!$B$2:$B$37,Phone_by_Sentiment!L$2:L$37,"",0,1),0),$A332-TEXT(DATEVALUE($D332&amp;"-01"), "dd-mm-yyyy")),0),0)</f>
        <v>146</v>
      </c>
      <c r="M332" cm="1">
        <f t="array" ref="M332">IF($Q332&gt;=0,IFERROR(generateSalesData($D332, IF(ISNUMBER(_xlfn.XLOOKUP($C332,Phone_by_Sentiment!$B$2:$B$37,Phone_by_Sentiment!M$2:M$37,"",0,1)),_xlfn.XLOOKUP($C332,Phone_by_Sentiment!$B$2:$B$37,Phone_by_Sentiment!M$2:M$37,"",0,1),0),$A332-TEXT(DATEVALUE($D332&amp;"-01"), "dd-mm-yyyy")),0),0)</f>
        <v>309</v>
      </c>
      <c r="N332" cm="1">
        <f t="array" ref="N332">IF($Q332&gt;=0,IFERROR(generateSalesData($D332, IF(ISNUMBER(_xlfn.XLOOKUP($C332,Phone_by_Sentiment!$B$2:$B$37,Phone_by_Sentiment!N$2:N$37,"",0,1)),_xlfn.XLOOKUP($C332,Phone_by_Sentiment!$B$2:$B$37,Phone_by_Sentiment!N$2:N$37,"",0,1),0),$A332-TEXT(DATEVALUE($D332&amp;"-01"), "dd-mm-yyyy")),0),0)</f>
        <v>371</v>
      </c>
      <c r="O332" cm="1">
        <f t="array" ref="O332">IF($Q332&gt;=0,IFERROR(generateSalesData($D332, IF(ISNUMBER(_xlfn.XLOOKUP($C332,Phone_by_Sentiment!$B$2:$B$37,Phone_by_Sentiment!O$2:O$37,"",0,1)),_xlfn.XLOOKUP($C332,Phone_by_Sentiment!$B$2:$B$37,Phone_by_Sentiment!O$2:O$37,"",0,1),0),$A332-TEXT(DATEVALUE($D332&amp;"-01"), "dd-mm-yyyy")),0),0)</f>
        <v>737</v>
      </c>
      <c r="P332" s="1">
        <f t="shared" si="13"/>
        <v>43374</v>
      </c>
      <c r="Q332">
        <f t="shared" si="14"/>
        <v>365</v>
      </c>
    </row>
    <row r="333" spans="1:17" x14ac:dyDescent="0.25">
      <c r="A333" s="1">
        <f t="shared" si="12"/>
        <v>43739</v>
      </c>
      <c r="B333" t="s">
        <v>142</v>
      </c>
      <c r="C333" t="str">
        <f>_xlfn.XLOOKUP(B333,Phone_by_Price!$A$2:$A$34,Phone_by_Price!$B$2:$B$34,"-",0,1)</f>
        <v>iPhone 11</v>
      </c>
      <c r="D333" t="str">
        <f>_xlfn.XLOOKUP(C333,Phone_by_Sentiment!$B$2:$B$37,Phone_by_Sentiment!$A$2:$A$37,"-",0,1)</f>
        <v>2019-09</v>
      </c>
      <c r="E333" cm="1">
        <f t="array" ref="E333">IF($Q333&gt;=0,IFERROR(generateSalesData($D333, IF(ISNUMBER(_xlfn.XLOOKUP($C333,Phone_by_Sentiment!$B$2:$B$37,Phone_by_Sentiment!E$2:E$37,"",0,1)),_xlfn.XLOOKUP($C333,Phone_by_Sentiment!$B$2:$B$37,Phone_by_Sentiment!E$2:E$37,"",0,1),0),$A333-TEXT(DATEVALUE($D333&amp;"-01"), "dd-mm-yyyy")),0),0)</f>
        <v>12868</v>
      </c>
      <c r="F333" cm="1">
        <f t="array" ref="F333">IF($Q333&gt;=0,IFERROR(generateSalesData($D333, IF(ISNUMBER(_xlfn.XLOOKUP($C333,Phone_by_Sentiment!$B$2:$B$37,Phone_by_Sentiment!F$2:F$37,"",0,1)),_xlfn.XLOOKUP($C333,Phone_by_Sentiment!$B$2:$B$37,Phone_by_Sentiment!F$2:F$37,"",0,1),0),$A333-TEXT(DATEVALUE($D333&amp;"-01"), "dd-mm-yyyy")),0),0)</f>
        <v>8897</v>
      </c>
      <c r="G333" cm="1">
        <f t="array" ref="G333">IF($Q333&gt;=0,IFERROR(generateSalesData($D333, IF(ISNUMBER(_xlfn.XLOOKUP($C333,Phone_by_Sentiment!$B$2:$B$37,Phone_by_Sentiment!G$2:G$37,"",0,1)),_xlfn.XLOOKUP($C333,Phone_by_Sentiment!$B$2:$B$37,Phone_by_Sentiment!G$2:G$37,"",0,1),0),$A333-TEXT(DATEVALUE($D333&amp;"-01"), "dd-mm-yyyy")),0),0)</f>
        <v>-1742</v>
      </c>
      <c r="H333" cm="1">
        <f t="array" ref="H333">IF($Q333&gt;=0,IFERROR(generateSalesData($D333, IF(ISNUMBER(_xlfn.XLOOKUP($C333,Phone_by_Sentiment!$B$2:$B$37,Phone_by_Sentiment!H$2:H$37,"",0,1)),_xlfn.XLOOKUP($C333,Phone_by_Sentiment!$B$2:$B$37,Phone_by_Sentiment!H$2:H$37,"",0,1),0),$A333-TEXT(DATEVALUE($D333&amp;"-01"), "dd-mm-yyyy")),0),0)</f>
        <v>10434</v>
      </c>
      <c r="I333" cm="1">
        <f t="array" ref="I333">IF($Q333&gt;=0,IFERROR(generateSalesData($D333, IF(ISNUMBER(_xlfn.XLOOKUP($C333,Phone_by_Sentiment!$B$2:$B$37,Phone_by_Sentiment!I$2:I$37,"",0,1)),_xlfn.XLOOKUP($C333,Phone_by_Sentiment!$B$2:$B$37,Phone_by_Sentiment!I$2:I$37,"",0,1),0),$A333-TEXT(DATEVALUE($D333&amp;"-01"), "dd-mm-yyyy")),0),0)</f>
        <v>12176</v>
      </c>
      <c r="J333" cm="1">
        <f t="array" ref="J333">IF($Q333&gt;=0,IFERROR(generateSalesData($D333, IF(ISNUMBER(_xlfn.XLOOKUP($C333,Phone_by_Sentiment!$B$2:$B$37,Phone_by_Sentiment!J$2:J$37,"",0,1)),_xlfn.XLOOKUP($C333,Phone_by_Sentiment!$B$2:$B$37,Phone_by_Sentiment!J$2:J$37,"",0,1),0),$A333-TEXT(DATEVALUE($D333&amp;"-01"), "dd-mm-yyyy")),0),0)</f>
        <v>1807</v>
      </c>
      <c r="K333" cm="1">
        <f t="array" ref="K333">IF($Q333&gt;=0,IFERROR(generateSalesData($D333, IF(ISNUMBER(_xlfn.XLOOKUP($C333,Phone_by_Sentiment!$B$2:$B$37,Phone_by_Sentiment!K$2:K$37,"",0,1)),_xlfn.XLOOKUP($C333,Phone_by_Sentiment!$B$2:$B$37,Phone_by_Sentiment!K$2:K$37,"",0,1),0),$A333-TEXT(DATEVALUE($D333&amp;"-01"), "dd-mm-yyyy")),0),0)</f>
        <v>2834</v>
      </c>
      <c r="L333" cm="1">
        <f t="array" ref="L333">IF($Q333&gt;=0,IFERROR(generateSalesData($D333, IF(ISNUMBER(_xlfn.XLOOKUP($C333,Phone_by_Sentiment!$B$2:$B$37,Phone_by_Sentiment!L$2:L$37,"",0,1)),_xlfn.XLOOKUP($C333,Phone_by_Sentiment!$B$2:$B$37,Phone_by_Sentiment!L$2:L$37,"",0,1),0),$A333-TEXT(DATEVALUE($D333&amp;"-01"), "dd-mm-yyyy")),0),0)</f>
        <v>8440</v>
      </c>
      <c r="M333" cm="1">
        <f t="array" ref="M333">IF($Q333&gt;=0,IFERROR(generateSalesData($D333, IF(ISNUMBER(_xlfn.XLOOKUP($C333,Phone_by_Sentiment!$B$2:$B$37,Phone_by_Sentiment!M$2:M$37,"",0,1)),_xlfn.XLOOKUP($C333,Phone_by_Sentiment!$B$2:$B$37,Phone_by_Sentiment!M$2:M$37,"",0,1),0),$A333-TEXT(DATEVALUE($D333&amp;"-01"), "dd-mm-yyyy")),0),0)</f>
        <v>6140</v>
      </c>
      <c r="N333" cm="1">
        <f t="array" ref="N333">IF($Q333&gt;=0,IFERROR(generateSalesData($D333, IF(ISNUMBER(_xlfn.XLOOKUP($C333,Phone_by_Sentiment!$B$2:$B$37,Phone_by_Sentiment!N$2:N$37,"",0,1)),_xlfn.XLOOKUP($C333,Phone_by_Sentiment!$B$2:$B$37,Phone_by_Sentiment!N$2:N$37,"",0,1),0),$A333-TEXT(DATEVALUE($D333&amp;"-01"), "dd-mm-yyyy")),0),0)</f>
        <v>15122</v>
      </c>
      <c r="O333" cm="1">
        <f t="array" ref="O333">IF($Q333&gt;=0,IFERROR(generateSalesData($D333, IF(ISNUMBER(_xlfn.XLOOKUP($C333,Phone_by_Sentiment!$B$2:$B$37,Phone_by_Sentiment!O$2:O$37,"",0,1)),_xlfn.XLOOKUP($C333,Phone_by_Sentiment!$B$2:$B$37,Phone_by_Sentiment!O$2:O$37,"",0,1),0),$A333-TEXT(DATEVALUE($D333&amp;"-01"), "dd-mm-yyyy")),0),0)</f>
        <v>6466</v>
      </c>
      <c r="P333" s="1">
        <f t="shared" si="13"/>
        <v>43709</v>
      </c>
      <c r="Q333">
        <f t="shared" si="14"/>
        <v>30</v>
      </c>
    </row>
    <row r="334" spans="1:17" x14ac:dyDescent="0.25">
      <c r="A334" s="1">
        <f t="shared" si="12"/>
        <v>43739</v>
      </c>
      <c r="B334" t="s">
        <v>143</v>
      </c>
      <c r="C334" t="str">
        <f>_xlfn.XLOOKUP(B334,Phone_by_Price!$A$2:$A$34,Phone_by_Price!$B$2:$B$34,"-",0,1)</f>
        <v>Samsung Galaxy S20 Ultra</v>
      </c>
      <c r="D334" t="str">
        <f>_xlfn.XLOOKUP(C334,Phone_by_Sentiment!$B$2:$B$37,Phone_by_Sentiment!$A$2:$A$37,"-",0,1)</f>
        <v>2020-02</v>
      </c>
      <c r="E334" cm="1">
        <f t="array" ref="E334">IF($Q334&gt;=0,IFERROR(generateSalesData($D334, IF(ISNUMBER(_xlfn.XLOOKUP($C334,Phone_by_Sentiment!$B$2:$B$37,Phone_by_Sentiment!E$2:E$37,"",0,1)),_xlfn.XLOOKUP($C334,Phone_by_Sentiment!$B$2:$B$37,Phone_by_Sentiment!E$2:E$37,"",0,1),0),$A334-TEXT(DATEVALUE($D334&amp;"-01"), "dd-mm-yyyy")),0),0)</f>
        <v>0</v>
      </c>
      <c r="F334" cm="1">
        <f t="array" ref="F334">IF($Q334&gt;=0,IFERROR(generateSalesData($D334, IF(ISNUMBER(_xlfn.XLOOKUP($C334,Phone_by_Sentiment!$B$2:$B$37,Phone_by_Sentiment!F$2:F$37,"",0,1)),_xlfn.XLOOKUP($C334,Phone_by_Sentiment!$B$2:$B$37,Phone_by_Sentiment!F$2:F$37,"",0,1),0),$A334-TEXT(DATEVALUE($D334&amp;"-01"), "dd-mm-yyyy")),0),0)</f>
        <v>0</v>
      </c>
      <c r="G334" cm="1">
        <f t="array" ref="G334">IF($Q334&gt;=0,IFERROR(generateSalesData($D334, IF(ISNUMBER(_xlfn.XLOOKUP($C334,Phone_by_Sentiment!$B$2:$B$37,Phone_by_Sentiment!G$2:G$37,"",0,1)),_xlfn.XLOOKUP($C334,Phone_by_Sentiment!$B$2:$B$37,Phone_by_Sentiment!G$2:G$37,"",0,1),0),$A334-TEXT(DATEVALUE($D334&amp;"-01"), "dd-mm-yyyy")),0),0)</f>
        <v>0</v>
      </c>
      <c r="H334" cm="1">
        <f t="array" ref="H334">IF($Q334&gt;=0,IFERROR(generateSalesData($D334, IF(ISNUMBER(_xlfn.XLOOKUP($C334,Phone_by_Sentiment!$B$2:$B$37,Phone_by_Sentiment!H$2:H$37,"",0,1)),_xlfn.XLOOKUP($C334,Phone_by_Sentiment!$B$2:$B$37,Phone_by_Sentiment!H$2:H$37,"",0,1),0),$A334-TEXT(DATEVALUE($D334&amp;"-01"), "dd-mm-yyyy")),0),0)</f>
        <v>0</v>
      </c>
      <c r="I334" cm="1">
        <f t="array" ref="I334">IF($Q334&gt;=0,IFERROR(generateSalesData($D334, IF(ISNUMBER(_xlfn.XLOOKUP($C334,Phone_by_Sentiment!$B$2:$B$37,Phone_by_Sentiment!I$2:I$37,"",0,1)),_xlfn.XLOOKUP($C334,Phone_by_Sentiment!$B$2:$B$37,Phone_by_Sentiment!I$2:I$37,"",0,1),0),$A334-TEXT(DATEVALUE($D334&amp;"-01"), "dd-mm-yyyy")),0),0)</f>
        <v>0</v>
      </c>
      <c r="J334" cm="1">
        <f t="array" ref="J334">IF($Q334&gt;=0,IFERROR(generateSalesData($D334, IF(ISNUMBER(_xlfn.XLOOKUP($C334,Phone_by_Sentiment!$B$2:$B$37,Phone_by_Sentiment!J$2:J$37,"",0,1)),_xlfn.XLOOKUP($C334,Phone_by_Sentiment!$B$2:$B$37,Phone_by_Sentiment!J$2:J$37,"",0,1),0),$A334-TEXT(DATEVALUE($D334&amp;"-01"), "dd-mm-yyyy")),0),0)</f>
        <v>0</v>
      </c>
      <c r="K334" cm="1">
        <f t="array" ref="K334">IF($Q334&gt;=0,IFERROR(generateSalesData($D334, IF(ISNUMBER(_xlfn.XLOOKUP($C334,Phone_by_Sentiment!$B$2:$B$37,Phone_by_Sentiment!K$2:K$37,"",0,1)),_xlfn.XLOOKUP($C334,Phone_by_Sentiment!$B$2:$B$37,Phone_by_Sentiment!K$2:K$37,"",0,1),0),$A334-TEXT(DATEVALUE($D334&amp;"-01"), "dd-mm-yyyy")),0),0)</f>
        <v>0</v>
      </c>
      <c r="L334" cm="1">
        <f t="array" ref="L334">IF($Q334&gt;=0,IFERROR(generateSalesData($D334, IF(ISNUMBER(_xlfn.XLOOKUP($C334,Phone_by_Sentiment!$B$2:$B$37,Phone_by_Sentiment!L$2:L$37,"",0,1)),_xlfn.XLOOKUP($C334,Phone_by_Sentiment!$B$2:$B$37,Phone_by_Sentiment!L$2:L$37,"",0,1),0),$A334-TEXT(DATEVALUE($D334&amp;"-01"), "dd-mm-yyyy")),0),0)</f>
        <v>0</v>
      </c>
      <c r="M334" cm="1">
        <f t="array" ref="M334">IF($Q334&gt;=0,IFERROR(generateSalesData($D334, IF(ISNUMBER(_xlfn.XLOOKUP($C334,Phone_by_Sentiment!$B$2:$B$37,Phone_by_Sentiment!M$2:M$37,"",0,1)),_xlfn.XLOOKUP($C334,Phone_by_Sentiment!$B$2:$B$37,Phone_by_Sentiment!M$2:M$37,"",0,1),0),$A334-TEXT(DATEVALUE($D334&amp;"-01"), "dd-mm-yyyy")),0),0)</f>
        <v>0</v>
      </c>
      <c r="N334" cm="1">
        <f t="array" ref="N334">IF($Q334&gt;=0,IFERROR(generateSalesData($D334, IF(ISNUMBER(_xlfn.XLOOKUP($C334,Phone_by_Sentiment!$B$2:$B$37,Phone_by_Sentiment!N$2:N$37,"",0,1)),_xlfn.XLOOKUP($C334,Phone_by_Sentiment!$B$2:$B$37,Phone_by_Sentiment!N$2:N$37,"",0,1),0),$A334-TEXT(DATEVALUE($D334&amp;"-01"), "dd-mm-yyyy")),0),0)</f>
        <v>0</v>
      </c>
      <c r="O334" cm="1">
        <f t="array" ref="O334">IF($Q334&gt;=0,IFERROR(generateSalesData($D334, IF(ISNUMBER(_xlfn.XLOOKUP($C334,Phone_by_Sentiment!$B$2:$B$37,Phone_by_Sentiment!O$2:O$37,"",0,1)),_xlfn.XLOOKUP($C334,Phone_by_Sentiment!$B$2:$B$37,Phone_by_Sentiment!O$2:O$37,"",0,1),0),$A334-TEXT(DATEVALUE($D334&amp;"-01"), "dd-mm-yyyy")),0),0)</f>
        <v>0</v>
      </c>
      <c r="P334" s="1">
        <f t="shared" si="13"/>
        <v>43862</v>
      </c>
      <c r="Q334">
        <f t="shared" si="14"/>
        <v>-123</v>
      </c>
    </row>
    <row r="335" spans="1:17" x14ac:dyDescent="0.25">
      <c r="A335" s="1">
        <f t="shared" si="12"/>
        <v>43739</v>
      </c>
      <c r="B335" t="s">
        <v>144</v>
      </c>
      <c r="C335" t="str">
        <f>_xlfn.XLOOKUP(B335,Phone_by_Price!$A$2:$A$34,Phone_by_Price!$B$2:$B$34,"-",0,1)</f>
        <v>Xiaomi Redmi Note 10</v>
      </c>
      <c r="D335" t="str">
        <f>_xlfn.XLOOKUP(C335,Phone_by_Sentiment!$B$2:$B$37,Phone_by_Sentiment!$A$2:$A$37,"-",0,1)</f>
        <v>2021-03</v>
      </c>
      <c r="E335" cm="1">
        <f t="array" ref="E335">IF($Q335&gt;=0,IFERROR(generateSalesData($D335, IF(ISNUMBER(_xlfn.XLOOKUP($C335,Phone_by_Sentiment!$B$2:$B$37,Phone_by_Sentiment!E$2:E$37,"",0,1)),_xlfn.XLOOKUP($C335,Phone_by_Sentiment!$B$2:$B$37,Phone_by_Sentiment!E$2:E$37,"",0,1),0),$A335-TEXT(DATEVALUE($D335&amp;"-01"), "dd-mm-yyyy")),0),0)</f>
        <v>0</v>
      </c>
      <c r="F335" cm="1">
        <f t="array" ref="F335">IF($Q335&gt;=0,IFERROR(generateSalesData($D335, IF(ISNUMBER(_xlfn.XLOOKUP($C335,Phone_by_Sentiment!$B$2:$B$37,Phone_by_Sentiment!F$2:F$37,"",0,1)),_xlfn.XLOOKUP($C335,Phone_by_Sentiment!$B$2:$B$37,Phone_by_Sentiment!F$2:F$37,"",0,1),0),$A335-TEXT(DATEVALUE($D335&amp;"-01"), "dd-mm-yyyy")),0),0)</f>
        <v>0</v>
      </c>
      <c r="G335" cm="1">
        <f t="array" ref="G335">IF($Q335&gt;=0,IFERROR(generateSalesData($D335, IF(ISNUMBER(_xlfn.XLOOKUP($C335,Phone_by_Sentiment!$B$2:$B$37,Phone_by_Sentiment!G$2:G$37,"",0,1)),_xlfn.XLOOKUP($C335,Phone_by_Sentiment!$B$2:$B$37,Phone_by_Sentiment!G$2:G$37,"",0,1),0),$A335-TEXT(DATEVALUE($D335&amp;"-01"), "dd-mm-yyyy")),0),0)</f>
        <v>0</v>
      </c>
      <c r="H335" cm="1">
        <f t="array" ref="H335">IF($Q335&gt;=0,IFERROR(generateSalesData($D335, IF(ISNUMBER(_xlfn.XLOOKUP($C335,Phone_by_Sentiment!$B$2:$B$37,Phone_by_Sentiment!H$2:H$37,"",0,1)),_xlfn.XLOOKUP($C335,Phone_by_Sentiment!$B$2:$B$37,Phone_by_Sentiment!H$2:H$37,"",0,1),0),$A335-TEXT(DATEVALUE($D335&amp;"-01"), "dd-mm-yyyy")),0),0)</f>
        <v>0</v>
      </c>
      <c r="I335" cm="1">
        <f t="array" ref="I335">IF($Q335&gt;=0,IFERROR(generateSalesData($D335, IF(ISNUMBER(_xlfn.XLOOKUP($C335,Phone_by_Sentiment!$B$2:$B$37,Phone_by_Sentiment!I$2:I$37,"",0,1)),_xlfn.XLOOKUP($C335,Phone_by_Sentiment!$B$2:$B$37,Phone_by_Sentiment!I$2:I$37,"",0,1),0),$A335-TEXT(DATEVALUE($D335&amp;"-01"), "dd-mm-yyyy")),0),0)</f>
        <v>0</v>
      </c>
      <c r="J335" cm="1">
        <f t="array" ref="J335">IF($Q335&gt;=0,IFERROR(generateSalesData($D335, IF(ISNUMBER(_xlfn.XLOOKUP($C335,Phone_by_Sentiment!$B$2:$B$37,Phone_by_Sentiment!J$2:J$37,"",0,1)),_xlfn.XLOOKUP($C335,Phone_by_Sentiment!$B$2:$B$37,Phone_by_Sentiment!J$2:J$37,"",0,1),0),$A335-TEXT(DATEVALUE($D335&amp;"-01"), "dd-mm-yyyy")),0),0)</f>
        <v>0</v>
      </c>
      <c r="K335" cm="1">
        <f t="array" ref="K335">IF($Q335&gt;=0,IFERROR(generateSalesData($D335, IF(ISNUMBER(_xlfn.XLOOKUP($C335,Phone_by_Sentiment!$B$2:$B$37,Phone_by_Sentiment!K$2:K$37,"",0,1)),_xlfn.XLOOKUP($C335,Phone_by_Sentiment!$B$2:$B$37,Phone_by_Sentiment!K$2:K$37,"",0,1),0),$A335-TEXT(DATEVALUE($D335&amp;"-01"), "dd-mm-yyyy")),0),0)</f>
        <v>0</v>
      </c>
      <c r="L335" cm="1">
        <f t="array" ref="L335">IF($Q335&gt;=0,IFERROR(generateSalesData($D335, IF(ISNUMBER(_xlfn.XLOOKUP($C335,Phone_by_Sentiment!$B$2:$B$37,Phone_by_Sentiment!L$2:L$37,"",0,1)),_xlfn.XLOOKUP($C335,Phone_by_Sentiment!$B$2:$B$37,Phone_by_Sentiment!L$2:L$37,"",0,1),0),$A335-TEXT(DATEVALUE($D335&amp;"-01"), "dd-mm-yyyy")),0),0)</f>
        <v>0</v>
      </c>
      <c r="M335" cm="1">
        <f t="array" ref="M335">IF($Q335&gt;=0,IFERROR(generateSalesData($D335, IF(ISNUMBER(_xlfn.XLOOKUP($C335,Phone_by_Sentiment!$B$2:$B$37,Phone_by_Sentiment!M$2:M$37,"",0,1)),_xlfn.XLOOKUP($C335,Phone_by_Sentiment!$B$2:$B$37,Phone_by_Sentiment!M$2:M$37,"",0,1),0),$A335-TEXT(DATEVALUE($D335&amp;"-01"), "dd-mm-yyyy")),0),0)</f>
        <v>0</v>
      </c>
      <c r="N335" cm="1">
        <f t="array" ref="N335">IF($Q335&gt;=0,IFERROR(generateSalesData($D335, IF(ISNUMBER(_xlfn.XLOOKUP($C335,Phone_by_Sentiment!$B$2:$B$37,Phone_by_Sentiment!N$2:N$37,"",0,1)),_xlfn.XLOOKUP($C335,Phone_by_Sentiment!$B$2:$B$37,Phone_by_Sentiment!N$2:N$37,"",0,1),0),$A335-TEXT(DATEVALUE($D335&amp;"-01"), "dd-mm-yyyy")),0),0)</f>
        <v>0</v>
      </c>
      <c r="O335" cm="1">
        <f t="array" ref="O335">IF($Q335&gt;=0,IFERROR(generateSalesData($D335, IF(ISNUMBER(_xlfn.XLOOKUP($C335,Phone_by_Sentiment!$B$2:$B$37,Phone_by_Sentiment!O$2:O$37,"",0,1)),_xlfn.XLOOKUP($C335,Phone_by_Sentiment!$B$2:$B$37,Phone_by_Sentiment!O$2:O$37,"",0,1),0),$A335-TEXT(DATEVALUE($D335&amp;"-01"), "dd-mm-yyyy")),0),0)</f>
        <v>0</v>
      </c>
      <c r="P335" s="1">
        <f t="shared" si="13"/>
        <v>44256</v>
      </c>
      <c r="Q335">
        <f t="shared" si="14"/>
        <v>-517</v>
      </c>
    </row>
    <row r="336" spans="1:17" x14ac:dyDescent="0.25">
      <c r="A336" s="1">
        <f t="shared" si="12"/>
        <v>43739</v>
      </c>
      <c r="B336" t="s">
        <v>145</v>
      </c>
      <c r="C336" t="str">
        <f>_xlfn.XLOOKUP(B336,Phone_by_Price!$A$2:$A$34,Phone_by_Price!$B$2:$B$34,"-",0,1)</f>
        <v>OPPO A54</v>
      </c>
      <c r="D336" t="str">
        <f>_xlfn.XLOOKUP(C336,Phone_by_Sentiment!$B$2:$B$37,Phone_by_Sentiment!$A$2:$A$37,"-",0,1)</f>
        <v>2021-04</v>
      </c>
      <c r="E336" cm="1">
        <f t="array" ref="E336">IF($Q336&gt;=0,IFERROR(generateSalesData($D336, IF(ISNUMBER(_xlfn.XLOOKUP($C336,Phone_by_Sentiment!$B$2:$B$37,Phone_by_Sentiment!E$2:E$37,"",0,1)),_xlfn.XLOOKUP($C336,Phone_by_Sentiment!$B$2:$B$37,Phone_by_Sentiment!E$2:E$37,"",0,1),0),$A336-TEXT(DATEVALUE($D336&amp;"-01"), "dd-mm-yyyy")),0),0)</f>
        <v>0</v>
      </c>
      <c r="F336" cm="1">
        <f t="array" ref="F336">IF($Q336&gt;=0,IFERROR(generateSalesData($D336, IF(ISNUMBER(_xlfn.XLOOKUP($C336,Phone_by_Sentiment!$B$2:$B$37,Phone_by_Sentiment!F$2:F$37,"",0,1)),_xlfn.XLOOKUP($C336,Phone_by_Sentiment!$B$2:$B$37,Phone_by_Sentiment!F$2:F$37,"",0,1),0),$A336-TEXT(DATEVALUE($D336&amp;"-01"), "dd-mm-yyyy")),0),0)</f>
        <v>0</v>
      </c>
      <c r="G336" cm="1">
        <f t="array" ref="G336">IF($Q336&gt;=0,IFERROR(generateSalesData($D336, IF(ISNUMBER(_xlfn.XLOOKUP($C336,Phone_by_Sentiment!$B$2:$B$37,Phone_by_Sentiment!G$2:G$37,"",0,1)),_xlfn.XLOOKUP($C336,Phone_by_Sentiment!$B$2:$B$37,Phone_by_Sentiment!G$2:G$37,"",0,1),0),$A336-TEXT(DATEVALUE($D336&amp;"-01"), "dd-mm-yyyy")),0),0)</f>
        <v>0</v>
      </c>
      <c r="H336" cm="1">
        <f t="array" ref="H336">IF($Q336&gt;=0,IFERROR(generateSalesData($D336, IF(ISNUMBER(_xlfn.XLOOKUP($C336,Phone_by_Sentiment!$B$2:$B$37,Phone_by_Sentiment!H$2:H$37,"",0,1)),_xlfn.XLOOKUP($C336,Phone_by_Sentiment!$B$2:$B$37,Phone_by_Sentiment!H$2:H$37,"",0,1),0),$A336-TEXT(DATEVALUE($D336&amp;"-01"), "dd-mm-yyyy")),0),0)</f>
        <v>0</v>
      </c>
      <c r="I336" cm="1">
        <f t="array" ref="I336">IF($Q336&gt;=0,IFERROR(generateSalesData($D336, IF(ISNUMBER(_xlfn.XLOOKUP($C336,Phone_by_Sentiment!$B$2:$B$37,Phone_by_Sentiment!I$2:I$37,"",0,1)),_xlfn.XLOOKUP($C336,Phone_by_Sentiment!$B$2:$B$37,Phone_by_Sentiment!I$2:I$37,"",0,1),0),$A336-TEXT(DATEVALUE($D336&amp;"-01"), "dd-mm-yyyy")),0),0)</f>
        <v>0</v>
      </c>
      <c r="J336" cm="1">
        <f t="array" ref="J336">IF($Q336&gt;=0,IFERROR(generateSalesData($D336, IF(ISNUMBER(_xlfn.XLOOKUP($C336,Phone_by_Sentiment!$B$2:$B$37,Phone_by_Sentiment!J$2:J$37,"",0,1)),_xlfn.XLOOKUP($C336,Phone_by_Sentiment!$B$2:$B$37,Phone_by_Sentiment!J$2:J$37,"",0,1),0),$A336-TEXT(DATEVALUE($D336&amp;"-01"), "dd-mm-yyyy")),0),0)</f>
        <v>0</v>
      </c>
      <c r="K336" cm="1">
        <f t="array" ref="K336">IF($Q336&gt;=0,IFERROR(generateSalesData($D336, IF(ISNUMBER(_xlfn.XLOOKUP($C336,Phone_by_Sentiment!$B$2:$B$37,Phone_by_Sentiment!K$2:K$37,"",0,1)),_xlfn.XLOOKUP($C336,Phone_by_Sentiment!$B$2:$B$37,Phone_by_Sentiment!K$2:K$37,"",0,1),0),$A336-TEXT(DATEVALUE($D336&amp;"-01"), "dd-mm-yyyy")),0),0)</f>
        <v>0</v>
      </c>
      <c r="L336" cm="1">
        <f t="array" ref="L336">IF($Q336&gt;=0,IFERROR(generateSalesData($D336, IF(ISNUMBER(_xlfn.XLOOKUP($C336,Phone_by_Sentiment!$B$2:$B$37,Phone_by_Sentiment!L$2:L$37,"",0,1)),_xlfn.XLOOKUP($C336,Phone_by_Sentiment!$B$2:$B$37,Phone_by_Sentiment!L$2:L$37,"",0,1),0),$A336-TEXT(DATEVALUE($D336&amp;"-01"), "dd-mm-yyyy")),0),0)</f>
        <v>0</v>
      </c>
      <c r="M336" cm="1">
        <f t="array" ref="M336">IF($Q336&gt;=0,IFERROR(generateSalesData($D336, IF(ISNUMBER(_xlfn.XLOOKUP($C336,Phone_by_Sentiment!$B$2:$B$37,Phone_by_Sentiment!M$2:M$37,"",0,1)),_xlfn.XLOOKUP($C336,Phone_by_Sentiment!$B$2:$B$37,Phone_by_Sentiment!M$2:M$37,"",0,1),0),$A336-TEXT(DATEVALUE($D336&amp;"-01"), "dd-mm-yyyy")),0),0)</f>
        <v>0</v>
      </c>
      <c r="N336" cm="1">
        <f t="array" ref="N336">IF($Q336&gt;=0,IFERROR(generateSalesData($D336, IF(ISNUMBER(_xlfn.XLOOKUP($C336,Phone_by_Sentiment!$B$2:$B$37,Phone_by_Sentiment!N$2:N$37,"",0,1)),_xlfn.XLOOKUP($C336,Phone_by_Sentiment!$B$2:$B$37,Phone_by_Sentiment!N$2:N$37,"",0,1),0),$A336-TEXT(DATEVALUE($D336&amp;"-01"), "dd-mm-yyyy")),0),0)</f>
        <v>0</v>
      </c>
      <c r="O336" cm="1">
        <f t="array" ref="O336">IF($Q336&gt;=0,IFERROR(generateSalesData($D336, IF(ISNUMBER(_xlfn.XLOOKUP($C336,Phone_by_Sentiment!$B$2:$B$37,Phone_by_Sentiment!O$2:O$37,"",0,1)),_xlfn.XLOOKUP($C336,Phone_by_Sentiment!$B$2:$B$37,Phone_by_Sentiment!O$2:O$37,"",0,1),0),$A336-TEXT(DATEVALUE($D336&amp;"-01"), "dd-mm-yyyy")),0),0)</f>
        <v>0</v>
      </c>
      <c r="P336" s="1">
        <f t="shared" si="13"/>
        <v>44287</v>
      </c>
      <c r="Q336">
        <f t="shared" si="14"/>
        <v>-548</v>
      </c>
    </row>
    <row r="337" spans="1:17" x14ac:dyDescent="0.25">
      <c r="A337" s="1">
        <f t="shared" si="12"/>
        <v>43739</v>
      </c>
      <c r="B337" t="s">
        <v>146</v>
      </c>
      <c r="C337" t="str">
        <f>_xlfn.XLOOKUP(B337,Phone_by_Price!$A$2:$A$34,Phone_by_Price!$B$2:$B$34,"-",0,1)</f>
        <v>Vivo Y20</v>
      </c>
      <c r="D337" t="str">
        <f>_xlfn.XLOOKUP(C337,Phone_by_Sentiment!$B$2:$B$37,Phone_by_Sentiment!$A$2:$A$37,"-",0,1)</f>
        <v>2020-09</v>
      </c>
      <c r="E337" cm="1">
        <f t="array" ref="E337">IF($Q337&gt;=0,IFERROR(generateSalesData($D337, IF(ISNUMBER(_xlfn.XLOOKUP($C337,Phone_by_Sentiment!$B$2:$B$37,Phone_by_Sentiment!E$2:E$37,"",0,1)),_xlfn.XLOOKUP($C337,Phone_by_Sentiment!$B$2:$B$37,Phone_by_Sentiment!E$2:E$37,"",0,1),0),$A337-TEXT(DATEVALUE($D337&amp;"-01"), "dd-mm-yyyy")),0),0)</f>
        <v>0</v>
      </c>
      <c r="F337" cm="1">
        <f t="array" ref="F337">IF($Q337&gt;=0,IFERROR(generateSalesData($D337, IF(ISNUMBER(_xlfn.XLOOKUP($C337,Phone_by_Sentiment!$B$2:$B$37,Phone_by_Sentiment!F$2:F$37,"",0,1)),_xlfn.XLOOKUP($C337,Phone_by_Sentiment!$B$2:$B$37,Phone_by_Sentiment!F$2:F$37,"",0,1),0),$A337-TEXT(DATEVALUE($D337&amp;"-01"), "dd-mm-yyyy")),0),0)</f>
        <v>0</v>
      </c>
      <c r="G337" cm="1">
        <f t="array" ref="G337">IF($Q337&gt;=0,IFERROR(generateSalesData($D337, IF(ISNUMBER(_xlfn.XLOOKUP($C337,Phone_by_Sentiment!$B$2:$B$37,Phone_by_Sentiment!G$2:G$37,"",0,1)),_xlfn.XLOOKUP($C337,Phone_by_Sentiment!$B$2:$B$37,Phone_by_Sentiment!G$2:G$37,"",0,1),0),$A337-TEXT(DATEVALUE($D337&amp;"-01"), "dd-mm-yyyy")),0),0)</f>
        <v>0</v>
      </c>
      <c r="H337" cm="1">
        <f t="array" ref="H337">IF($Q337&gt;=0,IFERROR(generateSalesData($D337, IF(ISNUMBER(_xlfn.XLOOKUP($C337,Phone_by_Sentiment!$B$2:$B$37,Phone_by_Sentiment!H$2:H$37,"",0,1)),_xlfn.XLOOKUP($C337,Phone_by_Sentiment!$B$2:$B$37,Phone_by_Sentiment!H$2:H$37,"",0,1),0),$A337-TEXT(DATEVALUE($D337&amp;"-01"), "dd-mm-yyyy")),0),0)</f>
        <v>0</v>
      </c>
      <c r="I337" cm="1">
        <f t="array" ref="I337">IF($Q337&gt;=0,IFERROR(generateSalesData($D337, IF(ISNUMBER(_xlfn.XLOOKUP($C337,Phone_by_Sentiment!$B$2:$B$37,Phone_by_Sentiment!I$2:I$37,"",0,1)),_xlfn.XLOOKUP($C337,Phone_by_Sentiment!$B$2:$B$37,Phone_by_Sentiment!I$2:I$37,"",0,1),0),$A337-TEXT(DATEVALUE($D337&amp;"-01"), "dd-mm-yyyy")),0),0)</f>
        <v>0</v>
      </c>
      <c r="J337" cm="1">
        <f t="array" ref="J337">IF($Q337&gt;=0,IFERROR(generateSalesData($D337, IF(ISNUMBER(_xlfn.XLOOKUP($C337,Phone_by_Sentiment!$B$2:$B$37,Phone_by_Sentiment!J$2:J$37,"",0,1)),_xlfn.XLOOKUP($C337,Phone_by_Sentiment!$B$2:$B$37,Phone_by_Sentiment!J$2:J$37,"",0,1),0),$A337-TEXT(DATEVALUE($D337&amp;"-01"), "dd-mm-yyyy")),0),0)</f>
        <v>0</v>
      </c>
      <c r="K337" cm="1">
        <f t="array" ref="K337">IF($Q337&gt;=0,IFERROR(generateSalesData($D337, IF(ISNUMBER(_xlfn.XLOOKUP($C337,Phone_by_Sentiment!$B$2:$B$37,Phone_by_Sentiment!K$2:K$37,"",0,1)),_xlfn.XLOOKUP($C337,Phone_by_Sentiment!$B$2:$B$37,Phone_by_Sentiment!K$2:K$37,"",0,1),0),$A337-TEXT(DATEVALUE($D337&amp;"-01"), "dd-mm-yyyy")),0),0)</f>
        <v>0</v>
      </c>
      <c r="L337" cm="1">
        <f t="array" ref="L337">IF($Q337&gt;=0,IFERROR(generateSalesData($D337, IF(ISNUMBER(_xlfn.XLOOKUP($C337,Phone_by_Sentiment!$B$2:$B$37,Phone_by_Sentiment!L$2:L$37,"",0,1)),_xlfn.XLOOKUP($C337,Phone_by_Sentiment!$B$2:$B$37,Phone_by_Sentiment!L$2:L$37,"",0,1),0),$A337-TEXT(DATEVALUE($D337&amp;"-01"), "dd-mm-yyyy")),0),0)</f>
        <v>0</v>
      </c>
      <c r="M337" cm="1">
        <f t="array" ref="M337">IF($Q337&gt;=0,IFERROR(generateSalesData($D337, IF(ISNUMBER(_xlfn.XLOOKUP($C337,Phone_by_Sentiment!$B$2:$B$37,Phone_by_Sentiment!M$2:M$37,"",0,1)),_xlfn.XLOOKUP($C337,Phone_by_Sentiment!$B$2:$B$37,Phone_by_Sentiment!M$2:M$37,"",0,1),0),$A337-TEXT(DATEVALUE($D337&amp;"-01"), "dd-mm-yyyy")),0),0)</f>
        <v>0</v>
      </c>
      <c r="N337" cm="1">
        <f t="array" ref="N337">IF($Q337&gt;=0,IFERROR(generateSalesData($D337, IF(ISNUMBER(_xlfn.XLOOKUP($C337,Phone_by_Sentiment!$B$2:$B$37,Phone_by_Sentiment!N$2:N$37,"",0,1)),_xlfn.XLOOKUP($C337,Phone_by_Sentiment!$B$2:$B$37,Phone_by_Sentiment!N$2:N$37,"",0,1),0),$A337-TEXT(DATEVALUE($D337&amp;"-01"), "dd-mm-yyyy")),0),0)</f>
        <v>0</v>
      </c>
      <c r="O337" cm="1">
        <f t="array" ref="O337">IF($Q337&gt;=0,IFERROR(generateSalesData($D337, IF(ISNUMBER(_xlfn.XLOOKUP($C337,Phone_by_Sentiment!$B$2:$B$37,Phone_by_Sentiment!O$2:O$37,"",0,1)),_xlfn.XLOOKUP($C337,Phone_by_Sentiment!$B$2:$B$37,Phone_by_Sentiment!O$2:O$37,"",0,1),0),$A337-TEXT(DATEVALUE($D337&amp;"-01"), "dd-mm-yyyy")),0),0)</f>
        <v>0</v>
      </c>
      <c r="P337" s="1">
        <f t="shared" si="13"/>
        <v>44075</v>
      </c>
      <c r="Q337">
        <f t="shared" si="14"/>
        <v>-336</v>
      </c>
    </row>
    <row r="338" spans="1:17" x14ac:dyDescent="0.25">
      <c r="A338" s="1">
        <f t="shared" si="12"/>
        <v>43739</v>
      </c>
      <c r="B338" t="s">
        <v>147</v>
      </c>
      <c r="C338" t="str">
        <f>_xlfn.XLOOKUP(B338,Phone_by_Price!$A$2:$A$34,Phone_by_Price!$B$2:$B$34,"-",0,1)</f>
        <v>Huawei Y9a</v>
      </c>
      <c r="D338" t="str">
        <f>_xlfn.XLOOKUP(C338,Phone_by_Sentiment!$B$2:$B$37,Phone_by_Sentiment!$A$2:$A$37,"-",0,1)</f>
        <v>2020-02</v>
      </c>
      <c r="E338" cm="1">
        <f t="array" ref="E338">IF($Q338&gt;=0,IFERROR(generateSalesData($D338, IF(ISNUMBER(_xlfn.XLOOKUP($C338,Phone_by_Sentiment!$B$2:$B$37,Phone_by_Sentiment!E$2:E$37,"",0,1)),_xlfn.XLOOKUP($C338,Phone_by_Sentiment!$B$2:$B$37,Phone_by_Sentiment!E$2:E$37,"",0,1),0),$A338-TEXT(DATEVALUE($D338&amp;"-01"), "dd-mm-yyyy")),0),0)</f>
        <v>0</v>
      </c>
      <c r="F338" cm="1">
        <f t="array" ref="F338">IF($Q338&gt;=0,IFERROR(generateSalesData($D338, IF(ISNUMBER(_xlfn.XLOOKUP($C338,Phone_by_Sentiment!$B$2:$B$37,Phone_by_Sentiment!F$2:F$37,"",0,1)),_xlfn.XLOOKUP($C338,Phone_by_Sentiment!$B$2:$B$37,Phone_by_Sentiment!F$2:F$37,"",0,1),0),$A338-TEXT(DATEVALUE($D338&amp;"-01"), "dd-mm-yyyy")),0),0)</f>
        <v>0</v>
      </c>
      <c r="G338" cm="1">
        <f t="array" ref="G338">IF($Q338&gt;=0,IFERROR(generateSalesData($D338, IF(ISNUMBER(_xlfn.XLOOKUP($C338,Phone_by_Sentiment!$B$2:$B$37,Phone_by_Sentiment!G$2:G$37,"",0,1)),_xlfn.XLOOKUP($C338,Phone_by_Sentiment!$B$2:$B$37,Phone_by_Sentiment!G$2:G$37,"",0,1),0),$A338-TEXT(DATEVALUE($D338&amp;"-01"), "dd-mm-yyyy")),0),0)</f>
        <v>0</v>
      </c>
      <c r="H338" cm="1">
        <f t="array" ref="H338">IF($Q338&gt;=0,IFERROR(generateSalesData($D338, IF(ISNUMBER(_xlfn.XLOOKUP($C338,Phone_by_Sentiment!$B$2:$B$37,Phone_by_Sentiment!H$2:H$37,"",0,1)),_xlfn.XLOOKUP($C338,Phone_by_Sentiment!$B$2:$B$37,Phone_by_Sentiment!H$2:H$37,"",0,1),0),$A338-TEXT(DATEVALUE($D338&amp;"-01"), "dd-mm-yyyy")),0),0)</f>
        <v>0</v>
      </c>
      <c r="I338" cm="1">
        <f t="array" ref="I338">IF($Q338&gt;=0,IFERROR(generateSalesData($D338, IF(ISNUMBER(_xlfn.XLOOKUP($C338,Phone_by_Sentiment!$B$2:$B$37,Phone_by_Sentiment!I$2:I$37,"",0,1)),_xlfn.XLOOKUP($C338,Phone_by_Sentiment!$B$2:$B$37,Phone_by_Sentiment!I$2:I$37,"",0,1),0),$A338-TEXT(DATEVALUE($D338&amp;"-01"), "dd-mm-yyyy")),0),0)</f>
        <v>0</v>
      </c>
      <c r="J338" cm="1">
        <f t="array" ref="J338">IF($Q338&gt;=0,IFERROR(generateSalesData($D338, IF(ISNUMBER(_xlfn.XLOOKUP($C338,Phone_by_Sentiment!$B$2:$B$37,Phone_by_Sentiment!J$2:J$37,"",0,1)),_xlfn.XLOOKUP($C338,Phone_by_Sentiment!$B$2:$B$37,Phone_by_Sentiment!J$2:J$37,"",0,1),0),$A338-TEXT(DATEVALUE($D338&amp;"-01"), "dd-mm-yyyy")),0),0)</f>
        <v>0</v>
      </c>
      <c r="K338" cm="1">
        <f t="array" ref="K338">IF($Q338&gt;=0,IFERROR(generateSalesData($D338, IF(ISNUMBER(_xlfn.XLOOKUP($C338,Phone_by_Sentiment!$B$2:$B$37,Phone_by_Sentiment!K$2:K$37,"",0,1)),_xlfn.XLOOKUP($C338,Phone_by_Sentiment!$B$2:$B$37,Phone_by_Sentiment!K$2:K$37,"",0,1),0),$A338-TEXT(DATEVALUE($D338&amp;"-01"), "dd-mm-yyyy")),0),0)</f>
        <v>0</v>
      </c>
      <c r="L338" cm="1">
        <f t="array" ref="L338">IF($Q338&gt;=0,IFERROR(generateSalesData($D338, IF(ISNUMBER(_xlfn.XLOOKUP($C338,Phone_by_Sentiment!$B$2:$B$37,Phone_by_Sentiment!L$2:L$37,"",0,1)),_xlfn.XLOOKUP($C338,Phone_by_Sentiment!$B$2:$B$37,Phone_by_Sentiment!L$2:L$37,"",0,1),0),$A338-TEXT(DATEVALUE($D338&amp;"-01"), "dd-mm-yyyy")),0),0)</f>
        <v>0</v>
      </c>
      <c r="M338" cm="1">
        <f t="array" ref="M338">IF($Q338&gt;=0,IFERROR(generateSalesData($D338, IF(ISNUMBER(_xlfn.XLOOKUP($C338,Phone_by_Sentiment!$B$2:$B$37,Phone_by_Sentiment!M$2:M$37,"",0,1)),_xlfn.XLOOKUP($C338,Phone_by_Sentiment!$B$2:$B$37,Phone_by_Sentiment!M$2:M$37,"",0,1),0),$A338-TEXT(DATEVALUE($D338&amp;"-01"), "dd-mm-yyyy")),0),0)</f>
        <v>0</v>
      </c>
      <c r="N338" cm="1">
        <f t="array" ref="N338">IF($Q338&gt;=0,IFERROR(generateSalesData($D338, IF(ISNUMBER(_xlfn.XLOOKUP($C338,Phone_by_Sentiment!$B$2:$B$37,Phone_by_Sentiment!N$2:N$37,"",0,1)),_xlfn.XLOOKUP($C338,Phone_by_Sentiment!$B$2:$B$37,Phone_by_Sentiment!N$2:N$37,"",0,1),0),$A338-TEXT(DATEVALUE($D338&amp;"-01"), "dd-mm-yyyy")),0),0)</f>
        <v>0</v>
      </c>
      <c r="O338" cm="1">
        <f t="array" ref="O338">IF($Q338&gt;=0,IFERROR(generateSalesData($D338, IF(ISNUMBER(_xlfn.XLOOKUP($C338,Phone_by_Sentiment!$B$2:$B$37,Phone_by_Sentiment!O$2:O$37,"",0,1)),_xlfn.XLOOKUP($C338,Phone_by_Sentiment!$B$2:$B$37,Phone_by_Sentiment!O$2:O$37,"",0,1),0),$A338-TEXT(DATEVALUE($D338&amp;"-01"), "dd-mm-yyyy")),0),0)</f>
        <v>0</v>
      </c>
      <c r="P338" s="1">
        <f t="shared" si="13"/>
        <v>43862</v>
      </c>
      <c r="Q338">
        <f t="shared" si="14"/>
        <v>-123</v>
      </c>
    </row>
    <row r="339" spans="1:17" x14ac:dyDescent="0.25">
      <c r="A339" s="1">
        <f t="shared" si="12"/>
        <v>43739</v>
      </c>
      <c r="B339" t="s">
        <v>148</v>
      </c>
      <c r="C339" t="str">
        <f>_xlfn.XLOOKUP(B339,Phone_by_Price!$A$2:$A$34,Phone_by_Price!$B$2:$B$34,"-",0,1)</f>
        <v>Xiaomi Redmi 10</v>
      </c>
      <c r="D339" t="str">
        <f>_xlfn.XLOOKUP(C339,Phone_by_Sentiment!$B$2:$B$37,Phone_by_Sentiment!$A$2:$A$37,"-",0,1)</f>
        <v>2021-03</v>
      </c>
      <c r="E339" cm="1">
        <f t="array" ref="E339">IF($Q339&gt;=0,IFERROR(generateSalesData($D339, IF(ISNUMBER(_xlfn.XLOOKUP($C339,Phone_by_Sentiment!$B$2:$B$37,Phone_by_Sentiment!E$2:E$37,"",0,1)),_xlfn.XLOOKUP($C339,Phone_by_Sentiment!$B$2:$B$37,Phone_by_Sentiment!E$2:E$37,"",0,1),0),$A339-TEXT(DATEVALUE($D339&amp;"-01"), "dd-mm-yyyy")),0),0)</f>
        <v>0</v>
      </c>
      <c r="F339" cm="1">
        <f t="array" ref="F339">IF($Q339&gt;=0,IFERROR(generateSalesData($D339, IF(ISNUMBER(_xlfn.XLOOKUP($C339,Phone_by_Sentiment!$B$2:$B$37,Phone_by_Sentiment!F$2:F$37,"",0,1)),_xlfn.XLOOKUP($C339,Phone_by_Sentiment!$B$2:$B$37,Phone_by_Sentiment!F$2:F$37,"",0,1),0),$A339-TEXT(DATEVALUE($D339&amp;"-01"), "dd-mm-yyyy")),0),0)</f>
        <v>0</v>
      </c>
      <c r="G339" cm="1">
        <f t="array" ref="G339">IF($Q339&gt;=0,IFERROR(generateSalesData($D339, IF(ISNUMBER(_xlfn.XLOOKUP($C339,Phone_by_Sentiment!$B$2:$B$37,Phone_by_Sentiment!G$2:G$37,"",0,1)),_xlfn.XLOOKUP($C339,Phone_by_Sentiment!$B$2:$B$37,Phone_by_Sentiment!G$2:G$37,"",0,1),0),$A339-TEXT(DATEVALUE($D339&amp;"-01"), "dd-mm-yyyy")),0),0)</f>
        <v>0</v>
      </c>
      <c r="H339" cm="1">
        <f t="array" ref="H339">IF($Q339&gt;=0,IFERROR(generateSalesData($D339, IF(ISNUMBER(_xlfn.XLOOKUP($C339,Phone_by_Sentiment!$B$2:$B$37,Phone_by_Sentiment!H$2:H$37,"",0,1)),_xlfn.XLOOKUP($C339,Phone_by_Sentiment!$B$2:$B$37,Phone_by_Sentiment!H$2:H$37,"",0,1),0),$A339-TEXT(DATEVALUE($D339&amp;"-01"), "dd-mm-yyyy")),0),0)</f>
        <v>0</v>
      </c>
      <c r="I339" cm="1">
        <f t="array" ref="I339">IF($Q339&gt;=0,IFERROR(generateSalesData($D339, IF(ISNUMBER(_xlfn.XLOOKUP($C339,Phone_by_Sentiment!$B$2:$B$37,Phone_by_Sentiment!I$2:I$37,"",0,1)),_xlfn.XLOOKUP($C339,Phone_by_Sentiment!$B$2:$B$37,Phone_by_Sentiment!I$2:I$37,"",0,1),0),$A339-TEXT(DATEVALUE($D339&amp;"-01"), "dd-mm-yyyy")),0),0)</f>
        <v>0</v>
      </c>
      <c r="J339" cm="1">
        <f t="array" ref="J339">IF($Q339&gt;=0,IFERROR(generateSalesData($D339, IF(ISNUMBER(_xlfn.XLOOKUP($C339,Phone_by_Sentiment!$B$2:$B$37,Phone_by_Sentiment!J$2:J$37,"",0,1)),_xlfn.XLOOKUP($C339,Phone_by_Sentiment!$B$2:$B$37,Phone_by_Sentiment!J$2:J$37,"",0,1),0),$A339-TEXT(DATEVALUE($D339&amp;"-01"), "dd-mm-yyyy")),0),0)</f>
        <v>0</v>
      </c>
      <c r="K339" cm="1">
        <f t="array" ref="K339">IF($Q339&gt;=0,IFERROR(generateSalesData($D339, IF(ISNUMBER(_xlfn.XLOOKUP($C339,Phone_by_Sentiment!$B$2:$B$37,Phone_by_Sentiment!K$2:K$37,"",0,1)),_xlfn.XLOOKUP($C339,Phone_by_Sentiment!$B$2:$B$37,Phone_by_Sentiment!K$2:K$37,"",0,1),0),$A339-TEXT(DATEVALUE($D339&amp;"-01"), "dd-mm-yyyy")),0),0)</f>
        <v>0</v>
      </c>
      <c r="L339" cm="1">
        <f t="array" ref="L339">IF($Q339&gt;=0,IFERROR(generateSalesData($D339, IF(ISNUMBER(_xlfn.XLOOKUP($C339,Phone_by_Sentiment!$B$2:$B$37,Phone_by_Sentiment!L$2:L$37,"",0,1)),_xlfn.XLOOKUP($C339,Phone_by_Sentiment!$B$2:$B$37,Phone_by_Sentiment!L$2:L$37,"",0,1),0),$A339-TEXT(DATEVALUE($D339&amp;"-01"), "dd-mm-yyyy")),0),0)</f>
        <v>0</v>
      </c>
      <c r="M339" cm="1">
        <f t="array" ref="M339">IF($Q339&gt;=0,IFERROR(generateSalesData($D339, IF(ISNUMBER(_xlfn.XLOOKUP($C339,Phone_by_Sentiment!$B$2:$B$37,Phone_by_Sentiment!M$2:M$37,"",0,1)),_xlfn.XLOOKUP($C339,Phone_by_Sentiment!$B$2:$B$37,Phone_by_Sentiment!M$2:M$37,"",0,1),0),$A339-TEXT(DATEVALUE($D339&amp;"-01"), "dd-mm-yyyy")),0),0)</f>
        <v>0</v>
      </c>
      <c r="N339" cm="1">
        <f t="array" ref="N339">IF($Q339&gt;=0,IFERROR(generateSalesData($D339, IF(ISNUMBER(_xlfn.XLOOKUP($C339,Phone_by_Sentiment!$B$2:$B$37,Phone_by_Sentiment!N$2:N$37,"",0,1)),_xlfn.XLOOKUP($C339,Phone_by_Sentiment!$B$2:$B$37,Phone_by_Sentiment!N$2:N$37,"",0,1),0),$A339-TEXT(DATEVALUE($D339&amp;"-01"), "dd-mm-yyyy")),0),0)</f>
        <v>0</v>
      </c>
      <c r="O339" cm="1">
        <f t="array" ref="O339">IF($Q339&gt;=0,IFERROR(generateSalesData($D339, IF(ISNUMBER(_xlfn.XLOOKUP($C339,Phone_by_Sentiment!$B$2:$B$37,Phone_by_Sentiment!O$2:O$37,"",0,1)),_xlfn.XLOOKUP($C339,Phone_by_Sentiment!$B$2:$B$37,Phone_by_Sentiment!O$2:O$37,"",0,1),0),$A339-TEXT(DATEVALUE($D339&amp;"-01"), "dd-mm-yyyy")),0),0)</f>
        <v>0</v>
      </c>
      <c r="P339" s="1">
        <f t="shared" si="13"/>
        <v>44256</v>
      </c>
      <c r="Q339">
        <f t="shared" si="14"/>
        <v>-517</v>
      </c>
    </row>
    <row r="340" spans="1:17" x14ac:dyDescent="0.25">
      <c r="A340" s="1">
        <f t="shared" si="12"/>
        <v>43739</v>
      </c>
      <c r="B340" t="s">
        <v>149</v>
      </c>
      <c r="C340" t="str">
        <f>_xlfn.XLOOKUP(B340,Phone_by_Price!$A$2:$A$34,Phone_by_Price!$B$2:$B$34,"-",0,1)</f>
        <v>Samsung Galaxy A52</v>
      </c>
      <c r="D340" t="str">
        <f>_xlfn.XLOOKUP(C340,Phone_by_Sentiment!$B$2:$B$37,Phone_by_Sentiment!$A$2:$A$37,"-",0,1)</f>
        <v>2021-03</v>
      </c>
      <c r="E340" cm="1">
        <f t="array" ref="E340">IF($Q340&gt;=0,IFERROR(generateSalesData($D340, IF(ISNUMBER(_xlfn.XLOOKUP($C340,Phone_by_Sentiment!$B$2:$B$37,Phone_by_Sentiment!E$2:E$37,"",0,1)),_xlfn.XLOOKUP($C340,Phone_by_Sentiment!$B$2:$B$37,Phone_by_Sentiment!E$2:E$37,"",0,1),0),$A340-TEXT(DATEVALUE($D340&amp;"-01"), "dd-mm-yyyy")),0),0)</f>
        <v>0</v>
      </c>
      <c r="F340" cm="1">
        <f t="array" ref="F340">IF($Q340&gt;=0,IFERROR(generateSalesData($D340, IF(ISNUMBER(_xlfn.XLOOKUP($C340,Phone_by_Sentiment!$B$2:$B$37,Phone_by_Sentiment!F$2:F$37,"",0,1)),_xlfn.XLOOKUP($C340,Phone_by_Sentiment!$B$2:$B$37,Phone_by_Sentiment!F$2:F$37,"",0,1),0),$A340-TEXT(DATEVALUE($D340&amp;"-01"), "dd-mm-yyyy")),0),0)</f>
        <v>0</v>
      </c>
      <c r="G340" cm="1">
        <f t="array" ref="G340">IF($Q340&gt;=0,IFERROR(generateSalesData($D340, IF(ISNUMBER(_xlfn.XLOOKUP($C340,Phone_by_Sentiment!$B$2:$B$37,Phone_by_Sentiment!G$2:G$37,"",0,1)),_xlfn.XLOOKUP($C340,Phone_by_Sentiment!$B$2:$B$37,Phone_by_Sentiment!G$2:G$37,"",0,1),0),$A340-TEXT(DATEVALUE($D340&amp;"-01"), "dd-mm-yyyy")),0),0)</f>
        <v>0</v>
      </c>
      <c r="H340" cm="1">
        <f t="array" ref="H340">IF($Q340&gt;=0,IFERROR(generateSalesData($D340, IF(ISNUMBER(_xlfn.XLOOKUP($C340,Phone_by_Sentiment!$B$2:$B$37,Phone_by_Sentiment!H$2:H$37,"",0,1)),_xlfn.XLOOKUP($C340,Phone_by_Sentiment!$B$2:$B$37,Phone_by_Sentiment!H$2:H$37,"",0,1),0),$A340-TEXT(DATEVALUE($D340&amp;"-01"), "dd-mm-yyyy")),0),0)</f>
        <v>0</v>
      </c>
      <c r="I340" cm="1">
        <f t="array" ref="I340">IF($Q340&gt;=0,IFERROR(generateSalesData($D340, IF(ISNUMBER(_xlfn.XLOOKUP($C340,Phone_by_Sentiment!$B$2:$B$37,Phone_by_Sentiment!I$2:I$37,"",0,1)),_xlfn.XLOOKUP($C340,Phone_by_Sentiment!$B$2:$B$37,Phone_by_Sentiment!I$2:I$37,"",0,1),0),$A340-TEXT(DATEVALUE($D340&amp;"-01"), "dd-mm-yyyy")),0),0)</f>
        <v>0</v>
      </c>
      <c r="J340" cm="1">
        <f t="array" ref="J340">IF($Q340&gt;=0,IFERROR(generateSalesData($D340, IF(ISNUMBER(_xlfn.XLOOKUP($C340,Phone_by_Sentiment!$B$2:$B$37,Phone_by_Sentiment!J$2:J$37,"",0,1)),_xlfn.XLOOKUP($C340,Phone_by_Sentiment!$B$2:$B$37,Phone_by_Sentiment!J$2:J$37,"",0,1),0),$A340-TEXT(DATEVALUE($D340&amp;"-01"), "dd-mm-yyyy")),0),0)</f>
        <v>0</v>
      </c>
      <c r="K340" cm="1">
        <f t="array" ref="K340">IF($Q340&gt;=0,IFERROR(generateSalesData($D340, IF(ISNUMBER(_xlfn.XLOOKUP($C340,Phone_by_Sentiment!$B$2:$B$37,Phone_by_Sentiment!K$2:K$37,"",0,1)),_xlfn.XLOOKUP($C340,Phone_by_Sentiment!$B$2:$B$37,Phone_by_Sentiment!K$2:K$37,"",0,1),0),$A340-TEXT(DATEVALUE($D340&amp;"-01"), "dd-mm-yyyy")),0),0)</f>
        <v>0</v>
      </c>
      <c r="L340" cm="1">
        <f t="array" ref="L340">IF($Q340&gt;=0,IFERROR(generateSalesData($D340, IF(ISNUMBER(_xlfn.XLOOKUP($C340,Phone_by_Sentiment!$B$2:$B$37,Phone_by_Sentiment!L$2:L$37,"",0,1)),_xlfn.XLOOKUP($C340,Phone_by_Sentiment!$B$2:$B$37,Phone_by_Sentiment!L$2:L$37,"",0,1),0),$A340-TEXT(DATEVALUE($D340&amp;"-01"), "dd-mm-yyyy")),0),0)</f>
        <v>0</v>
      </c>
      <c r="M340" cm="1">
        <f t="array" ref="M340">IF($Q340&gt;=0,IFERROR(generateSalesData($D340, IF(ISNUMBER(_xlfn.XLOOKUP($C340,Phone_by_Sentiment!$B$2:$B$37,Phone_by_Sentiment!M$2:M$37,"",0,1)),_xlfn.XLOOKUP($C340,Phone_by_Sentiment!$B$2:$B$37,Phone_by_Sentiment!M$2:M$37,"",0,1),0),$A340-TEXT(DATEVALUE($D340&amp;"-01"), "dd-mm-yyyy")),0),0)</f>
        <v>0</v>
      </c>
      <c r="N340" cm="1">
        <f t="array" ref="N340">IF($Q340&gt;=0,IFERROR(generateSalesData($D340, IF(ISNUMBER(_xlfn.XLOOKUP($C340,Phone_by_Sentiment!$B$2:$B$37,Phone_by_Sentiment!N$2:N$37,"",0,1)),_xlfn.XLOOKUP($C340,Phone_by_Sentiment!$B$2:$B$37,Phone_by_Sentiment!N$2:N$37,"",0,1),0),$A340-TEXT(DATEVALUE($D340&amp;"-01"), "dd-mm-yyyy")),0),0)</f>
        <v>0</v>
      </c>
      <c r="O340" cm="1">
        <f t="array" ref="O340">IF($Q340&gt;=0,IFERROR(generateSalesData($D340, IF(ISNUMBER(_xlfn.XLOOKUP($C340,Phone_by_Sentiment!$B$2:$B$37,Phone_by_Sentiment!O$2:O$37,"",0,1)),_xlfn.XLOOKUP($C340,Phone_by_Sentiment!$B$2:$B$37,Phone_by_Sentiment!O$2:O$37,"",0,1),0),$A340-TEXT(DATEVALUE($D340&amp;"-01"), "dd-mm-yyyy")),0),0)</f>
        <v>0</v>
      </c>
      <c r="P340" s="1">
        <f t="shared" si="13"/>
        <v>44256</v>
      </c>
      <c r="Q340">
        <f t="shared" si="14"/>
        <v>-517</v>
      </c>
    </row>
    <row r="341" spans="1:17" x14ac:dyDescent="0.25">
      <c r="A341" s="1">
        <f t="shared" si="12"/>
        <v>43739</v>
      </c>
      <c r="B341" t="s">
        <v>150</v>
      </c>
      <c r="C341" t="str">
        <f>_xlfn.XLOOKUP(B341,Phone_by_Price!$A$2:$A$34,Phone_by_Price!$B$2:$B$34,"-",0,1)</f>
        <v>Vivo Y33s</v>
      </c>
      <c r="D341" t="str">
        <f>_xlfn.XLOOKUP(C341,Phone_by_Sentiment!$B$2:$B$37,Phone_by_Sentiment!$A$2:$A$37,"-",0,1)</f>
        <v>2021-05</v>
      </c>
      <c r="E341" cm="1">
        <f t="array" ref="E341">IF($Q341&gt;=0,IFERROR(generateSalesData($D341, IF(ISNUMBER(_xlfn.XLOOKUP($C341,Phone_by_Sentiment!$B$2:$B$37,Phone_by_Sentiment!E$2:E$37,"",0,1)),_xlfn.XLOOKUP($C341,Phone_by_Sentiment!$B$2:$B$37,Phone_by_Sentiment!E$2:E$37,"",0,1),0),$A341-TEXT(DATEVALUE($D341&amp;"-01"), "dd-mm-yyyy")),0),0)</f>
        <v>0</v>
      </c>
      <c r="F341" cm="1">
        <f t="array" ref="F341">IF($Q341&gt;=0,IFERROR(generateSalesData($D341, IF(ISNUMBER(_xlfn.XLOOKUP($C341,Phone_by_Sentiment!$B$2:$B$37,Phone_by_Sentiment!F$2:F$37,"",0,1)),_xlfn.XLOOKUP($C341,Phone_by_Sentiment!$B$2:$B$37,Phone_by_Sentiment!F$2:F$37,"",0,1),0),$A341-TEXT(DATEVALUE($D341&amp;"-01"), "dd-mm-yyyy")),0),0)</f>
        <v>0</v>
      </c>
      <c r="G341" cm="1">
        <f t="array" ref="G341">IF($Q341&gt;=0,IFERROR(generateSalesData($D341, IF(ISNUMBER(_xlfn.XLOOKUP($C341,Phone_by_Sentiment!$B$2:$B$37,Phone_by_Sentiment!G$2:G$37,"",0,1)),_xlfn.XLOOKUP($C341,Phone_by_Sentiment!$B$2:$B$37,Phone_by_Sentiment!G$2:G$37,"",0,1),0),$A341-TEXT(DATEVALUE($D341&amp;"-01"), "dd-mm-yyyy")),0),0)</f>
        <v>0</v>
      </c>
      <c r="H341" cm="1">
        <f t="array" ref="H341">IF($Q341&gt;=0,IFERROR(generateSalesData($D341, IF(ISNUMBER(_xlfn.XLOOKUP($C341,Phone_by_Sentiment!$B$2:$B$37,Phone_by_Sentiment!H$2:H$37,"",0,1)),_xlfn.XLOOKUP($C341,Phone_by_Sentiment!$B$2:$B$37,Phone_by_Sentiment!H$2:H$37,"",0,1),0),$A341-TEXT(DATEVALUE($D341&amp;"-01"), "dd-mm-yyyy")),0),0)</f>
        <v>0</v>
      </c>
      <c r="I341" cm="1">
        <f t="array" ref="I341">IF($Q341&gt;=0,IFERROR(generateSalesData($D341, IF(ISNUMBER(_xlfn.XLOOKUP($C341,Phone_by_Sentiment!$B$2:$B$37,Phone_by_Sentiment!I$2:I$37,"",0,1)),_xlfn.XLOOKUP($C341,Phone_by_Sentiment!$B$2:$B$37,Phone_by_Sentiment!I$2:I$37,"",0,1),0),$A341-TEXT(DATEVALUE($D341&amp;"-01"), "dd-mm-yyyy")),0),0)</f>
        <v>0</v>
      </c>
      <c r="J341" cm="1">
        <f t="array" ref="J341">IF($Q341&gt;=0,IFERROR(generateSalesData($D341, IF(ISNUMBER(_xlfn.XLOOKUP($C341,Phone_by_Sentiment!$B$2:$B$37,Phone_by_Sentiment!J$2:J$37,"",0,1)),_xlfn.XLOOKUP($C341,Phone_by_Sentiment!$B$2:$B$37,Phone_by_Sentiment!J$2:J$37,"",0,1),0),$A341-TEXT(DATEVALUE($D341&amp;"-01"), "dd-mm-yyyy")),0),0)</f>
        <v>0</v>
      </c>
      <c r="K341" cm="1">
        <f t="array" ref="K341">IF($Q341&gt;=0,IFERROR(generateSalesData($D341, IF(ISNUMBER(_xlfn.XLOOKUP($C341,Phone_by_Sentiment!$B$2:$B$37,Phone_by_Sentiment!K$2:K$37,"",0,1)),_xlfn.XLOOKUP($C341,Phone_by_Sentiment!$B$2:$B$37,Phone_by_Sentiment!K$2:K$37,"",0,1),0),$A341-TEXT(DATEVALUE($D341&amp;"-01"), "dd-mm-yyyy")),0),0)</f>
        <v>0</v>
      </c>
      <c r="L341" cm="1">
        <f t="array" ref="L341">IF($Q341&gt;=0,IFERROR(generateSalesData($D341, IF(ISNUMBER(_xlfn.XLOOKUP($C341,Phone_by_Sentiment!$B$2:$B$37,Phone_by_Sentiment!L$2:L$37,"",0,1)),_xlfn.XLOOKUP($C341,Phone_by_Sentiment!$B$2:$B$37,Phone_by_Sentiment!L$2:L$37,"",0,1),0),$A341-TEXT(DATEVALUE($D341&amp;"-01"), "dd-mm-yyyy")),0),0)</f>
        <v>0</v>
      </c>
      <c r="M341" cm="1">
        <f t="array" ref="M341">IF($Q341&gt;=0,IFERROR(generateSalesData($D341, IF(ISNUMBER(_xlfn.XLOOKUP($C341,Phone_by_Sentiment!$B$2:$B$37,Phone_by_Sentiment!M$2:M$37,"",0,1)),_xlfn.XLOOKUP($C341,Phone_by_Sentiment!$B$2:$B$37,Phone_by_Sentiment!M$2:M$37,"",0,1),0),$A341-TEXT(DATEVALUE($D341&amp;"-01"), "dd-mm-yyyy")),0),0)</f>
        <v>0</v>
      </c>
      <c r="N341" cm="1">
        <f t="array" ref="N341">IF($Q341&gt;=0,IFERROR(generateSalesData($D341, IF(ISNUMBER(_xlfn.XLOOKUP($C341,Phone_by_Sentiment!$B$2:$B$37,Phone_by_Sentiment!N$2:N$37,"",0,1)),_xlfn.XLOOKUP($C341,Phone_by_Sentiment!$B$2:$B$37,Phone_by_Sentiment!N$2:N$37,"",0,1),0),$A341-TEXT(DATEVALUE($D341&amp;"-01"), "dd-mm-yyyy")),0),0)</f>
        <v>0</v>
      </c>
      <c r="O341" cm="1">
        <f t="array" ref="O341">IF($Q341&gt;=0,IFERROR(generateSalesData($D341, IF(ISNUMBER(_xlfn.XLOOKUP($C341,Phone_by_Sentiment!$B$2:$B$37,Phone_by_Sentiment!O$2:O$37,"",0,1)),_xlfn.XLOOKUP($C341,Phone_by_Sentiment!$B$2:$B$37,Phone_by_Sentiment!O$2:O$37,"",0,1),0),$A341-TEXT(DATEVALUE($D341&amp;"-01"), "dd-mm-yyyy")),0),0)</f>
        <v>0</v>
      </c>
      <c r="P341" s="1">
        <f t="shared" si="13"/>
        <v>44317</v>
      </c>
      <c r="Q341">
        <f t="shared" si="14"/>
        <v>-578</v>
      </c>
    </row>
    <row r="342" spans="1:17" x14ac:dyDescent="0.25">
      <c r="A342" s="1">
        <f t="shared" si="12"/>
        <v>43739</v>
      </c>
      <c r="B342" t="s">
        <v>151</v>
      </c>
      <c r="C342" t="str">
        <f>_xlfn.XLOOKUP(B342,Phone_by_Price!$A$2:$A$34,Phone_by_Price!$B$2:$B$34,"-",0,1)</f>
        <v>Vivo Y11s</v>
      </c>
      <c r="D342" t="str">
        <f>_xlfn.XLOOKUP(C342,Phone_by_Sentiment!$B$2:$B$37,Phone_by_Sentiment!$A$2:$A$37,"-",0,1)</f>
        <v>2020-11</v>
      </c>
      <c r="E342" cm="1">
        <f t="array" ref="E342">IF($Q342&gt;=0,IFERROR(generateSalesData($D342, IF(ISNUMBER(_xlfn.XLOOKUP($C342,Phone_by_Sentiment!$B$2:$B$37,Phone_by_Sentiment!E$2:E$37,"",0,1)),_xlfn.XLOOKUP($C342,Phone_by_Sentiment!$B$2:$B$37,Phone_by_Sentiment!E$2:E$37,"",0,1),0),$A342-TEXT(DATEVALUE($D342&amp;"-01"), "dd-mm-yyyy")),0),0)</f>
        <v>0</v>
      </c>
      <c r="F342" cm="1">
        <f t="array" ref="F342">IF($Q342&gt;=0,IFERROR(generateSalesData($D342, IF(ISNUMBER(_xlfn.XLOOKUP($C342,Phone_by_Sentiment!$B$2:$B$37,Phone_by_Sentiment!F$2:F$37,"",0,1)),_xlfn.XLOOKUP($C342,Phone_by_Sentiment!$B$2:$B$37,Phone_by_Sentiment!F$2:F$37,"",0,1),0),$A342-TEXT(DATEVALUE($D342&amp;"-01"), "dd-mm-yyyy")),0),0)</f>
        <v>0</v>
      </c>
      <c r="G342" cm="1">
        <f t="array" ref="G342">IF($Q342&gt;=0,IFERROR(generateSalesData($D342, IF(ISNUMBER(_xlfn.XLOOKUP($C342,Phone_by_Sentiment!$B$2:$B$37,Phone_by_Sentiment!G$2:G$37,"",0,1)),_xlfn.XLOOKUP($C342,Phone_by_Sentiment!$B$2:$B$37,Phone_by_Sentiment!G$2:G$37,"",0,1),0),$A342-TEXT(DATEVALUE($D342&amp;"-01"), "dd-mm-yyyy")),0),0)</f>
        <v>0</v>
      </c>
      <c r="H342" cm="1">
        <f t="array" ref="H342">IF($Q342&gt;=0,IFERROR(generateSalesData($D342, IF(ISNUMBER(_xlfn.XLOOKUP($C342,Phone_by_Sentiment!$B$2:$B$37,Phone_by_Sentiment!H$2:H$37,"",0,1)),_xlfn.XLOOKUP($C342,Phone_by_Sentiment!$B$2:$B$37,Phone_by_Sentiment!H$2:H$37,"",0,1),0),$A342-TEXT(DATEVALUE($D342&amp;"-01"), "dd-mm-yyyy")),0),0)</f>
        <v>0</v>
      </c>
      <c r="I342" cm="1">
        <f t="array" ref="I342">IF($Q342&gt;=0,IFERROR(generateSalesData($D342, IF(ISNUMBER(_xlfn.XLOOKUP($C342,Phone_by_Sentiment!$B$2:$B$37,Phone_by_Sentiment!I$2:I$37,"",0,1)),_xlfn.XLOOKUP($C342,Phone_by_Sentiment!$B$2:$B$37,Phone_by_Sentiment!I$2:I$37,"",0,1),0),$A342-TEXT(DATEVALUE($D342&amp;"-01"), "dd-mm-yyyy")),0),0)</f>
        <v>0</v>
      </c>
      <c r="J342" cm="1">
        <f t="array" ref="J342">IF($Q342&gt;=0,IFERROR(generateSalesData($D342, IF(ISNUMBER(_xlfn.XLOOKUP($C342,Phone_by_Sentiment!$B$2:$B$37,Phone_by_Sentiment!J$2:J$37,"",0,1)),_xlfn.XLOOKUP($C342,Phone_by_Sentiment!$B$2:$B$37,Phone_by_Sentiment!J$2:J$37,"",0,1),0),$A342-TEXT(DATEVALUE($D342&amp;"-01"), "dd-mm-yyyy")),0),0)</f>
        <v>0</v>
      </c>
      <c r="K342" cm="1">
        <f t="array" ref="K342">IF($Q342&gt;=0,IFERROR(generateSalesData($D342, IF(ISNUMBER(_xlfn.XLOOKUP($C342,Phone_by_Sentiment!$B$2:$B$37,Phone_by_Sentiment!K$2:K$37,"",0,1)),_xlfn.XLOOKUP($C342,Phone_by_Sentiment!$B$2:$B$37,Phone_by_Sentiment!K$2:K$37,"",0,1),0),$A342-TEXT(DATEVALUE($D342&amp;"-01"), "dd-mm-yyyy")),0),0)</f>
        <v>0</v>
      </c>
      <c r="L342" cm="1">
        <f t="array" ref="L342">IF($Q342&gt;=0,IFERROR(generateSalesData($D342, IF(ISNUMBER(_xlfn.XLOOKUP($C342,Phone_by_Sentiment!$B$2:$B$37,Phone_by_Sentiment!L$2:L$37,"",0,1)),_xlfn.XLOOKUP($C342,Phone_by_Sentiment!$B$2:$B$37,Phone_by_Sentiment!L$2:L$37,"",0,1),0),$A342-TEXT(DATEVALUE($D342&amp;"-01"), "dd-mm-yyyy")),0),0)</f>
        <v>0</v>
      </c>
      <c r="M342" cm="1">
        <f t="array" ref="M342">IF($Q342&gt;=0,IFERROR(generateSalesData($D342, IF(ISNUMBER(_xlfn.XLOOKUP($C342,Phone_by_Sentiment!$B$2:$B$37,Phone_by_Sentiment!M$2:M$37,"",0,1)),_xlfn.XLOOKUP($C342,Phone_by_Sentiment!$B$2:$B$37,Phone_by_Sentiment!M$2:M$37,"",0,1),0),$A342-TEXT(DATEVALUE($D342&amp;"-01"), "dd-mm-yyyy")),0),0)</f>
        <v>0</v>
      </c>
      <c r="N342" cm="1">
        <f t="array" ref="N342">IF($Q342&gt;=0,IFERROR(generateSalesData($D342, IF(ISNUMBER(_xlfn.XLOOKUP($C342,Phone_by_Sentiment!$B$2:$B$37,Phone_by_Sentiment!N$2:N$37,"",0,1)),_xlfn.XLOOKUP($C342,Phone_by_Sentiment!$B$2:$B$37,Phone_by_Sentiment!N$2:N$37,"",0,1),0),$A342-TEXT(DATEVALUE($D342&amp;"-01"), "dd-mm-yyyy")),0),0)</f>
        <v>0</v>
      </c>
      <c r="O342" cm="1">
        <f t="array" ref="O342">IF($Q342&gt;=0,IFERROR(generateSalesData($D342, IF(ISNUMBER(_xlfn.XLOOKUP($C342,Phone_by_Sentiment!$B$2:$B$37,Phone_by_Sentiment!O$2:O$37,"",0,1)),_xlfn.XLOOKUP($C342,Phone_by_Sentiment!$B$2:$B$37,Phone_by_Sentiment!O$2:O$37,"",0,1),0),$A342-TEXT(DATEVALUE($D342&amp;"-01"), "dd-mm-yyyy")),0),0)</f>
        <v>0</v>
      </c>
      <c r="P342" s="1">
        <f t="shared" si="13"/>
        <v>44136</v>
      </c>
      <c r="Q342">
        <f t="shared" si="14"/>
        <v>-397</v>
      </c>
    </row>
    <row r="343" spans="1:17" x14ac:dyDescent="0.25">
      <c r="A343" s="1">
        <f t="shared" si="12"/>
        <v>43739</v>
      </c>
      <c r="B343" t="s">
        <v>152</v>
      </c>
      <c r="C343" t="str">
        <f>_xlfn.XLOOKUP(B343,Phone_by_Price!$A$2:$A$34,Phone_by_Price!$B$2:$B$34,"-",0,1)</f>
        <v>Huawei Nova 7i</v>
      </c>
      <c r="D343" t="str">
        <f>_xlfn.XLOOKUP(C343,Phone_by_Sentiment!$B$2:$B$37,Phone_by_Sentiment!$A$2:$A$37,"-",0,1)</f>
        <v>2020-02</v>
      </c>
      <c r="E343" cm="1">
        <f t="array" ref="E343">IF($Q343&gt;=0,IFERROR(generateSalesData($D343, IF(ISNUMBER(_xlfn.XLOOKUP($C343,Phone_by_Sentiment!$B$2:$B$37,Phone_by_Sentiment!E$2:E$37,"",0,1)),_xlfn.XLOOKUP($C343,Phone_by_Sentiment!$B$2:$B$37,Phone_by_Sentiment!E$2:E$37,"",0,1),0),$A343-TEXT(DATEVALUE($D343&amp;"-01"), "dd-mm-yyyy")),0),0)</f>
        <v>0</v>
      </c>
      <c r="F343" cm="1">
        <f t="array" ref="F343">IF($Q343&gt;=0,IFERROR(generateSalesData($D343, IF(ISNUMBER(_xlfn.XLOOKUP($C343,Phone_by_Sentiment!$B$2:$B$37,Phone_by_Sentiment!F$2:F$37,"",0,1)),_xlfn.XLOOKUP($C343,Phone_by_Sentiment!$B$2:$B$37,Phone_by_Sentiment!F$2:F$37,"",0,1),0),$A343-TEXT(DATEVALUE($D343&amp;"-01"), "dd-mm-yyyy")),0),0)</f>
        <v>0</v>
      </c>
      <c r="G343" cm="1">
        <f t="array" ref="G343">IF($Q343&gt;=0,IFERROR(generateSalesData($D343, IF(ISNUMBER(_xlfn.XLOOKUP($C343,Phone_by_Sentiment!$B$2:$B$37,Phone_by_Sentiment!G$2:G$37,"",0,1)),_xlfn.XLOOKUP($C343,Phone_by_Sentiment!$B$2:$B$37,Phone_by_Sentiment!G$2:G$37,"",0,1),0),$A343-TEXT(DATEVALUE($D343&amp;"-01"), "dd-mm-yyyy")),0),0)</f>
        <v>0</v>
      </c>
      <c r="H343" cm="1">
        <f t="array" ref="H343">IF($Q343&gt;=0,IFERROR(generateSalesData($D343, IF(ISNUMBER(_xlfn.XLOOKUP($C343,Phone_by_Sentiment!$B$2:$B$37,Phone_by_Sentiment!H$2:H$37,"",0,1)),_xlfn.XLOOKUP($C343,Phone_by_Sentiment!$B$2:$B$37,Phone_by_Sentiment!H$2:H$37,"",0,1),0),$A343-TEXT(DATEVALUE($D343&amp;"-01"), "dd-mm-yyyy")),0),0)</f>
        <v>0</v>
      </c>
      <c r="I343" cm="1">
        <f t="array" ref="I343">IF($Q343&gt;=0,IFERROR(generateSalesData($D343, IF(ISNUMBER(_xlfn.XLOOKUP($C343,Phone_by_Sentiment!$B$2:$B$37,Phone_by_Sentiment!I$2:I$37,"",0,1)),_xlfn.XLOOKUP($C343,Phone_by_Sentiment!$B$2:$B$37,Phone_by_Sentiment!I$2:I$37,"",0,1),0),$A343-TEXT(DATEVALUE($D343&amp;"-01"), "dd-mm-yyyy")),0),0)</f>
        <v>0</v>
      </c>
      <c r="J343" cm="1">
        <f t="array" ref="J343">IF($Q343&gt;=0,IFERROR(generateSalesData($D343, IF(ISNUMBER(_xlfn.XLOOKUP($C343,Phone_by_Sentiment!$B$2:$B$37,Phone_by_Sentiment!J$2:J$37,"",0,1)),_xlfn.XLOOKUP($C343,Phone_by_Sentiment!$B$2:$B$37,Phone_by_Sentiment!J$2:J$37,"",0,1),0),$A343-TEXT(DATEVALUE($D343&amp;"-01"), "dd-mm-yyyy")),0),0)</f>
        <v>0</v>
      </c>
      <c r="K343" cm="1">
        <f t="array" ref="K343">IF($Q343&gt;=0,IFERROR(generateSalesData($D343, IF(ISNUMBER(_xlfn.XLOOKUP($C343,Phone_by_Sentiment!$B$2:$B$37,Phone_by_Sentiment!K$2:K$37,"",0,1)),_xlfn.XLOOKUP($C343,Phone_by_Sentiment!$B$2:$B$37,Phone_by_Sentiment!K$2:K$37,"",0,1),0),$A343-TEXT(DATEVALUE($D343&amp;"-01"), "dd-mm-yyyy")),0),0)</f>
        <v>0</v>
      </c>
      <c r="L343" cm="1">
        <f t="array" ref="L343">IF($Q343&gt;=0,IFERROR(generateSalesData($D343, IF(ISNUMBER(_xlfn.XLOOKUP($C343,Phone_by_Sentiment!$B$2:$B$37,Phone_by_Sentiment!L$2:L$37,"",0,1)),_xlfn.XLOOKUP($C343,Phone_by_Sentiment!$B$2:$B$37,Phone_by_Sentiment!L$2:L$37,"",0,1),0),$A343-TEXT(DATEVALUE($D343&amp;"-01"), "dd-mm-yyyy")),0),0)</f>
        <v>0</v>
      </c>
      <c r="M343" cm="1">
        <f t="array" ref="M343">IF($Q343&gt;=0,IFERROR(generateSalesData($D343, IF(ISNUMBER(_xlfn.XLOOKUP($C343,Phone_by_Sentiment!$B$2:$B$37,Phone_by_Sentiment!M$2:M$37,"",0,1)),_xlfn.XLOOKUP($C343,Phone_by_Sentiment!$B$2:$B$37,Phone_by_Sentiment!M$2:M$37,"",0,1),0),$A343-TEXT(DATEVALUE($D343&amp;"-01"), "dd-mm-yyyy")),0),0)</f>
        <v>0</v>
      </c>
      <c r="N343" cm="1">
        <f t="array" ref="N343">IF($Q343&gt;=0,IFERROR(generateSalesData($D343, IF(ISNUMBER(_xlfn.XLOOKUP($C343,Phone_by_Sentiment!$B$2:$B$37,Phone_by_Sentiment!N$2:N$37,"",0,1)),_xlfn.XLOOKUP($C343,Phone_by_Sentiment!$B$2:$B$37,Phone_by_Sentiment!N$2:N$37,"",0,1),0),$A343-TEXT(DATEVALUE($D343&amp;"-01"), "dd-mm-yyyy")),0),0)</f>
        <v>0</v>
      </c>
      <c r="O343" cm="1">
        <f t="array" ref="O343">IF($Q343&gt;=0,IFERROR(generateSalesData($D343, IF(ISNUMBER(_xlfn.XLOOKUP($C343,Phone_by_Sentiment!$B$2:$B$37,Phone_by_Sentiment!O$2:O$37,"",0,1)),_xlfn.XLOOKUP($C343,Phone_by_Sentiment!$B$2:$B$37,Phone_by_Sentiment!O$2:O$37,"",0,1),0),$A343-TEXT(DATEVALUE($D343&amp;"-01"), "dd-mm-yyyy")),0),0)</f>
        <v>0</v>
      </c>
      <c r="P343" s="1">
        <f t="shared" si="13"/>
        <v>43862</v>
      </c>
      <c r="Q343">
        <f t="shared" si="14"/>
        <v>-123</v>
      </c>
    </row>
    <row r="344" spans="1:17" x14ac:dyDescent="0.25">
      <c r="A344" s="1">
        <f t="shared" si="12"/>
        <v>43739</v>
      </c>
      <c r="B344" t="s">
        <v>153</v>
      </c>
      <c r="C344" t="str">
        <f>_xlfn.XLOOKUP(B344,Phone_by_Price!$A$2:$A$34,Phone_by_Price!$B$2:$B$34,"-",0,1)</f>
        <v>iPhone 13</v>
      </c>
      <c r="D344" t="str">
        <f>_xlfn.XLOOKUP(C344,Phone_by_Sentiment!$B$2:$B$37,Phone_by_Sentiment!$A$2:$A$37,"-",0,1)</f>
        <v>2021-09</v>
      </c>
      <c r="E344" cm="1">
        <f t="array" ref="E344">IF($Q344&gt;=0,IFERROR(generateSalesData($D344, IF(ISNUMBER(_xlfn.XLOOKUP($C344,Phone_by_Sentiment!$B$2:$B$37,Phone_by_Sentiment!E$2:E$37,"",0,1)),_xlfn.XLOOKUP($C344,Phone_by_Sentiment!$B$2:$B$37,Phone_by_Sentiment!E$2:E$37,"",0,1),0),$A344-TEXT(DATEVALUE($D344&amp;"-01"), "dd-mm-yyyy")),0),0)</f>
        <v>0</v>
      </c>
      <c r="F344" cm="1">
        <f t="array" ref="F344">IF($Q344&gt;=0,IFERROR(generateSalesData($D344, IF(ISNUMBER(_xlfn.XLOOKUP($C344,Phone_by_Sentiment!$B$2:$B$37,Phone_by_Sentiment!F$2:F$37,"",0,1)),_xlfn.XLOOKUP($C344,Phone_by_Sentiment!$B$2:$B$37,Phone_by_Sentiment!F$2:F$37,"",0,1),0),$A344-TEXT(DATEVALUE($D344&amp;"-01"), "dd-mm-yyyy")),0),0)</f>
        <v>0</v>
      </c>
      <c r="G344" cm="1">
        <f t="array" ref="G344">IF($Q344&gt;=0,IFERROR(generateSalesData($D344, IF(ISNUMBER(_xlfn.XLOOKUP($C344,Phone_by_Sentiment!$B$2:$B$37,Phone_by_Sentiment!G$2:G$37,"",0,1)),_xlfn.XLOOKUP($C344,Phone_by_Sentiment!$B$2:$B$37,Phone_by_Sentiment!G$2:G$37,"",0,1),0),$A344-TEXT(DATEVALUE($D344&amp;"-01"), "dd-mm-yyyy")),0),0)</f>
        <v>0</v>
      </c>
      <c r="H344" cm="1">
        <f t="array" ref="H344">IF($Q344&gt;=0,IFERROR(generateSalesData($D344, IF(ISNUMBER(_xlfn.XLOOKUP($C344,Phone_by_Sentiment!$B$2:$B$37,Phone_by_Sentiment!H$2:H$37,"",0,1)),_xlfn.XLOOKUP($C344,Phone_by_Sentiment!$B$2:$B$37,Phone_by_Sentiment!H$2:H$37,"",0,1),0),$A344-TEXT(DATEVALUE($D344&amp;"-01"), "dd-mm-yyyy")),0),0)</f>
        <v>0</v>
      </c>
      <c r="I344" cm="1">
        <f t="array" ref="I344">IF($Q344&gt;=0,IFERROR(generateSalesData($D344, IF(ISNUMBER(_xlfn.XLOOKUP($C344,Phone_by_Sentiment!$B$2:$B$37,Phone_by_Sentiment!I$2:I$37,"",0,1)),_xlfn.XLOOKUP($C344,Phone_by_Sentiment!$B$2:$B$37,Phone_by_Sentiment!I$2:I$37,"",0,1),0),$A344-TEXT(DATEVALUE($D344&amp;"-01"), "dd-mm-yyyy")),0),0)</f>
        <v>0</v>
      </c>
      <c r="J344" cm="1">
        <f t="array" ref="J344">IF($Q344&gt;=0,IFERROR(generateSalesData($D344, IF(ISNUMBER(_xlfn.XLOOKUP($C344,Phone_by_Sentiment!$B$2:$B$37,Phone_by_Sentiment!J$2:J$37,"",0,1)),_xlfn.XLOOKUP($C344,Phone_by_Sentiment!$B$2:$B$37,Phone_by_Sentiment!J$2:J$37,"",0,1),0),$A344-TEXT(DATEVALUE($D344&amp;"-01"), "dd-mm-yyyy")),0),0)</f>
        <v>0</v>
      </c>
      <c r="K344" cm="1">
        <f t="array" ref="K344">IF($Q344&gt;=0,IFERROR(generateSalesData($D344, IF(ISNUMBER(_xlfn.XLOOKUP($C344,Phone_by_Sentiment!$B$2:$B$37,Phone_by_Sentiment!K$2:K$37,"",0,1)),_xlfn.XLOOKUP($C344,Phone_by_Sentiment!$B$2:$B$37,Phone_by_Sentiment!K$2:K$37,"",0,1),0),$A344-TEXT(DATEVALUE($D344&amp;"-01"), "dd-mm-yyyy")),0),0)</f>
        <v>0</v>
      </c>
      <c r="L344" cm="1">
        <f t="array" ref="L344">IF($Q344&gt;=0,IFERROR(generateSalesData($D344, IF(ISNUMBER(_xlfn.XLOOKUP($C344,Phone_by_Sentiment!$B$2:$B$37,Phone_by_Sentiment!L$2:L$37,"",0,1)),_xlfn.XLOOKUP($C344,Phone_by_Sentiment!$B$2:$B$37,Phone_by_Sentiment!L$2:L$37,"",0,1),0),$A344-TEXT(DATEVALUE($D344&amp;"-01"), "dd-mm-yyyy")),0),0)</f>
        <v>0</v>
      </c>
      <c r="M344" cm="1">
        <f t="array" ref="M344">IF($Q344&gt;=0,IFERROR(generateSalesData($D344, IF(ISNUMBER(_xlfn.XLOOKUP($C344,Phone_by_Sentiment!$B$2:$B$37,Phone_by_Sentiment!M$2:M$37,"",0,1)),_xlfn.XLOOKUP($C344,Phone_by_Sentiment!$B$2:$B$37,Phone_by_Sentiment!M$2:M$37,"",0,1),0),$A344-TEXT(DATEVALUE($D344&amp;"-01"), "dd-mm-yyyy")),0),0)</f>
        <v>0</v>
      </c>
      <c r="N344" cm="1">
        <f t="array" ref="N344">IF($Q344&gt;=0,IFERROR(generateSalesData($D344, IF(ISNUMBER(_xlfn.XLOOKUP($C344,Phone_by_Sentiment!$B$2:$B$37,Phone_by_Sentiment!N$2:N$37,"",0,1)),_xlfn.XLOOKUP($C344,Phone_by_Sentiment!$B$2:$B$37,Phone_by_Sentiment!N$2:N$37,"",0,1),0),$A344-TEXT(DATEVALUE($D344&amp;"-01"), "dd-mm-yyyy")),0),0)</f>
        <v>0</v>
      </c>
      <c r="O344" cm="1">
        <f t="array" ref="O344">IF($Q344&gt;=0,IFERROR(generateSalesData($D344, IF(ISNUMBER(_xlfn.XLOOKUP($C344,Phone_by_Sentiment!$B$2:$B$37,Phone_by_Sentiment!O$2:O$37,"",0,1)),_xlfn.XLOOKUP($C344,Phone_by_Sentiment!$B$2:$B$37,Phone_by_Sentiment!O$2:O$37,"",0,1),0),$A344-TEXT(DATEVALUE($D344&amp;"-01"), "dd-mm-yyyy")),0),0)</f>
        <v>0</v>
      </c>
      <c r="P344" s="1">
        <f t="shared" si="13"/>
        <v>44440</v>
      </c>
      <c r="Q344">
        <f t="shared" si="14"/>
        <v>-701</v>
      </c>
    </row>
    <row r="345" spans="1:17" x14ac:dyDescent="0.25">
      <c r="A345" s="1">
        <f t="shared" si="12"/>
        <v>43739</v>
      </c>
      <c r="B345" t="s">
        <v>154</v>
      </c>
      <c r="C345" t="str">
        <f>_xlfn.XLOOKUP(B345,Phone_by_Price!$A$2:$A$34,Phone_by_Price!$B$2:$B$34,"-",0,1)</f>
        <v>Samsung Galaxy S21</v>
      </c>
      <c r="D345" t="str">
        <f>_xlfn.XLOOKUP(C345,Phone_by_Sentiment!$B$2:$B$37,Phone_by_Sentiment!$A$2:$A$37,"-",0,1)</f>
        <v>2021-01</v>
      </c>
      <c r="E345" cm="1">
        <f t="array" ref="E345">IF($Q345&gt;=0,IFERROR(generateSalesData($D345, IF(ISNUMBER(_xlfn.XLOOKUP($C345,Phone_by_Sentiment!$B$2:$B$37,Phone_by_Sentiment!E$2:E$37,"",0,1)),_xlfn.XLOOKUP($C345,Phone_by_Sentiment!$B$2:$B$37,Phone_by_Sentiment!E$2:E$37,"",0,1),0),$A345-TEXT(DATEVALUE($D345&amp;"-01"), "dd-mm-yyyy")),0),0)</f>
        <v>0</v>
      </c>
      <c r="F345" cm="1">
        <f t="array" ref="F345">IF($Q345&gt;=0,IFERROR(generateSalesData($D345, IF(ISNUMBER(_xlfn.XLOOKUP($C345,Phone_by_Sentiment!$B$2:$B$37,Phone_by_Sentiment!F$2:F$37,"",0,1)),_xlfn.XLOOKUP($C345,Phone_by_Sentiment!$B$2:$B$37,Phone_by_Sentiment!F$2:F$37,"",0,1),0),$A345-TEXT(DATEVALUE($D345&amp;"-01"), "dd-mm-yyyy")),0),0)</f>
        <v>0</v>
      </c>
      <c r="G345" cm="1">
        <f t="array" ref="G345">IF($Q345&gt;=0,IFERROR(generateSalesData($D345, IF(ISNUMBER(_xlfn.XLOOKUP($C345,Phone_by_Sentiment!$B$2:$B$37,Phone_by_Sentiment!G$2:G$37,"",0,1)),_xlfn.XLOOKUP($C345,Phone_by_Sentiment!$B$2:$B$37,Phone_by_Sentiment!G$2:G$37,"",0,1),0),$A345-TEXT(DATEVALUE($D345&amp;"-01"), "dd-mm-yyyy")),0),0)</f>
        <v>0</v>
      </c>
      <c r="H345" cm="1">
        <f t="array" ref="H345">IF($Q345&gt;=0,IFERROR(generateSalesData($D345, IF(ISNUMBER(_xlfn.XLOOKUP($C345,Phone_by_Sentiment!$B$2:$B$37,Phone_by_Sentiment!H$2:H$37,"",0,1)),_xlfn.XLOOKUP($C345,Phone_by_Sentiment!$B$2:$B$37,Phone_by_Sentiment!H$2:H$37,"",0,1),0),$A345-TEXT(DATEVALUE($D345&amp;"-01"), "dd-mm-yyyy")),0),0)</f>
        <v>0</v>
      </c>
      <c r="I345" cm="1">
        <f t="array" ref="I345">IF($Q345&gt;=0,IFERROR(generateSalesData($D345, IF(ISNUMBER(_xlfn.XLOOKUP($C345,Phone_by_Sentiment!$B$2:$B$37,Phone_by_Sentiment!I$2:I$37,"",0,1)),_xlfn.XLOOKUP($C345,Phone_by_Sentiment!$B$2:$B$37,Phone_by_Sentiment!I$2:I$37,"",0,1),0),$A345-TEXT(DATEVALUE($D345&amp;"-01"), "dd-mm-yyyy")),0),0)</f>
        <v>0</v>
      </c>
      <c r="J345" cm="1">
        <f t="array" ref="J345">IF($Q345&gt;=0,IFERROR(generateSalesData($D345, IF(ISNUMBER(_xlfn.XLOOKUP($C345,Phone_by_Sentiment!$B$2:$B$37,Phone_by_Sentiment!J$2:J$37,"",0,1)),_xlfn.XLOOKUP($C345,Phone_by_Sentiment!$B$2:$B$37,Phone_by_Sentiment!J$2:J$37,"",0,1),0),$A345-TEXT(DATEVALUE($D345&amp;"-01"), "dd-mm-yyyy")),0),0)</f>
        <v>0</v>
      </c>
      <c r="K345" cm="1">
        <f t="array" ref="K345">IF($Q345&gt;=0,IFERROR(generateSalesData($D345, IF(ISNUMBER(_xlfn.XLOOKUP($C345,Phone_by_Sentiment!$B$2:$B$37,Phone_by_Sentiment!K$2:K$37,"",0,1)),_xlfn.XLOOKUP($C345,Phone_by_Sentiment!$B$2:$B$37,Phone_by_Sentiment!K$2:K$37,"",0,1),0),$A345-TEXT(DATEVALUE($D345&amp;"-01"), "dd-mm-yyyy")),0),0)</f>
        <v>0</v>
      </c>
      <c r="L345" cm="1">
        <f t="array" ref="L345">IF($Q345&gt;=0,IFERROR(generateSalesData($D345, IF(ISNUMBER(_xlfn.XLOOKUP($C345,Phone_by_Sentiment!$B$2:$B$37,Phone_by_Sentiment!L$2:L$37,"",0,1)),_xlfn.XLOOKUP($C345,Phone_by_Sentiment!$B$2:$B$37,Phone_by_Sentiment!L$2:L$37,"",0,1),0),$A345-TEXT(DATEVALUE($D345&amp;"-01"), "dd-mm-yyyy")),0),0)</f>
        <v>0</v>
      </c>
      <c r="M345" cm="1">
        <f t="array" ref="M345">IF($Q345&gt;=0,IFERROR(generateSalesData($D345, IF(ISNUMBER(_xlfn.XLOOKUP($C345,Phone_by_Sentiment!$B$2:$B$37,Phone_by_Sentiment!M$2:M$37,"",0,1)),_xlfn.XLOOKUP($C345,Phone_by_Sentiment!$B$2:$B$37,Phone_by_Sentiment!M$2:M$37,"",0,1),0),$A345-TEXT(DATEVALUE($D345&amp;"-01"), "dd-mm-yyyy")),0),0)</f>
        <v>0</v>
      </c>
      <c r="N345" cm="1">
        <f t="array" ref="N345">IF($Q345&gt;=0,IFERROR(generateSalesData($D345, IF(ISNUMBER(_xlfn.XLOOKUP($C345,Phone_by_Sentiment!$B$2:$B$37,Phone_by_Sentiment!N$2:N$37,"",0,1)),_xlfn.XLOOKUP($C345,Phone_by_Sentiment!$B$2:$B$37,Phone_by_Sentiment!N$2:N$37,"",0,1),0),$A345-TEXT(DATEVALUE($D345&amp;"-01"), "dd-mm-yyyy")),0),0)</f>
        <v>0</v>
      </c>
      <c r="O345" cm="1">
        <f t="array" ref="O345">IF($Q345&gt;=0,IFERROR(generateSalesData($D345, IF(ISNUMBER(_xlfn.XLOOKUP($C345,Phone_by_Sentiment!$B$2:$B$37,Phone_by_Sentiment!O$2:O$37,"",0,1)),_xlfn.XLOOKUP($C345,Phone_by_Sentiment!$B$2:$B$37,Phone_by_Sentiment!O$2:O$37,"",0,1),0),$A345-TEXT(DATEVALUE($D345&amp;"-01"), "dd-mm-yyyy")),0),0)</f>
        <v>0</v>
      </c>
      <c r="P345" s="1">
        <f t="shared" si="13"/>
        <v>44197</v>
      </c>
      <c r="Q345">
        <f t="shared" si="14"/>
        <v>-458</v>
      </c>
    </row>
    <row r="346" spans="1:17" x14ac:dyDescent="0.25">
      <c r="A346" s="1">
        <f t="shared" si="12"/>
        <v>43739</v>
      </c>
      <c r="B346" t="s">
        <v>155</v>
      </c>
      <c r="C346" t="str">
        <f>_xlfn.XLOOKUP(B346,Phone_by_Price!$A$2:$A$34,Phone_by_Price!$B$2:$B$34,"-",0,1)</f>
        <v>Google Pixel 6</v>
      </c>
      <c r="D346" t="str">
        <f>_xlfn.XLOOKUP(C346,Phone_by_Sentiment!$B$2:$B$37,Phone_by_Sentiment!$A$2:$A$37,"-",0,1)</f>
        <v>2021-10</v>
      </c>
      <c r="E346" cm="1">
        <f t="array" ref="E346">IF($Q346&gt;=0,IFERROR(generateSalesData($D346, IF(ISNUMBER(_xlfn.XLOOKUP($C346,Phone_by_Sentiment!$B$2:$B$37,Phone_by_Sentiment!E$2:E$37,"",0,1)),_xlfn.XLOOKUP($C346,Phone_by_Sentiment!$B$2:$B$37,Phone_by_Sentiment!E$2:E$37,"",0,1),0),$A346-TEXT(DATEVALUE($D346&amp;"-01"), "dd-mm-yyyy")),0),0)</f>
        <v>0</v>
      </c>
      <c r="F346" cm="1">
        <f t="array" ref="F346">IF($Q346&gt;=0,IFERROR(generateSalesData($D346, IF(ISNUMBER(_xlfn.XLOOKUP($C346,Phone_by_Sentiment!$B$2:$B$37,Phone_by_Sentiment!F$2:F$37,"",0,1)),_xlfn.XLOOKUP($C346,Phone_by_Sentiment!$B$2:$B$37,Phone_by_Sentiment!F$2:F$37,"",0,1),0),$A346-TEXT(DATEVALUE($D346&amp;"-01"), "dd-mm-yyyy")),0),0)</f>
        <v>0</v>
      </c>
      <c r="G346" cm="1">
        <f t="array" ref="G346">IF($Q346&gt;=0,IFERROR(generateSalesData($D346, IF(ISNUMBER(_xlfn.XLOOKUP($C346,Phone_by_Sentiment!$B$2:$B$37,Phone_by_Sentiment!G$2:G$37,"",0,1)),_xlfn.XLOOKUP($C346,Phone_by_Sentiment!$B$2:$B$37,Phone_by_Sentiment!G$2:G$37,"",0,1),0),$A346-TEXT(DATEVALUE($D346&amp;"-01"), "dd-mm-yyyy")),0),0)</f>
        <v>0</v>
      </c>
      <c r="H346" cm="1">
        <f t="array" ref="H346">IF($Q346&gt;=0,IFERROR(generateSalesData($D346, IF(ISNUMBER(_xlfn.XLOOKUP($C346,Phone_by_Sentiment!$B$2:$B$37,Phone_by_Sentiment!H$2:H$37,"",0,1)),_xlfn.XLOOKUP($C346,Phone_by_Sentiment!$B$2:$B$37,Phone_by_Sentiment!H$2:H$37,"",0,1),0),$A346-TEXT(DATEVALUE($D346&amp;"-01"), "dd-mm-yyyy")),0),0)</f>
        <v>0</v>
      </c>
      <c r="I346" cm="1">
        <f t="array" ref="I346">IF($Q346&gt;=0,IFERROR(generateSalesData($D346, IF(ISNUMBER(_xlfn.XLOOKUP($C346,Phone_by_Sentiment!$B$2:$B$37,Phone_by_Sentiment!I$2:I$37,"",0,1)),_xlfn.XLOOKUP($C346,Phone_by_Sentiment!$B$2:$B$37,Phone_by_Sentiment!I$2:I$37,"",0,1),0),$A346-TEXT(DATEVALUE($D346&amp;"-01"), "dd-mm-yyyy")),0),0)</f>
        <v>0</v>
      </c>
      <c r="J346" cm="1">
        <f t="array" ref="J346">IF($Q346&gt;=0,IFERROR(generateSalesData($D346, IF(ISNUMBER(_xlfn.XLOOKUP($C346,Phone_by_Sentiment!$B$2:$B$37,Phone_by_Sentiment!J$2:J$37,"",0,1)),_xlfn.XLOOKUP($C346,Phone_by_Sentiment!$B$2:$B$37,Phone_by_Sentiment!J$2:J$37,"",0,1),0),$A346-TEXT(DATEVALUE($D346&amp;"-01"), "dd-mm-yyyy")),0),0)</f>
        <v>0</v>
      </c>
      <c r="K346" cm="1">
        <f t="array" ref="K346">IF($Q346&gt;=0,IFERROR(generateSalesData($D346, IF(ISNUMBER(_xlfn.XLOOKUP($C346,Phone_by_Sentiment!$B$2:$B$37,Phone_by_Sentiment!K$2:K$37,"",0,1)),_xlfn.XLOOKUP($C346,Phone_by_Sentiment!$B$2:$B$37,Phone_by_Sentiment!K$2:K$37,"",0,1),0),$A346-TEXT(DATEVALUE($D346&amp;"-01"), "dd-mm-yyyy")),0),0)</f>
        <v>0</v>
      </c>
      <c r="L346" cm="1">
        <f t="array" ref="L346">IF($Q346&gt;=0,IFERROR(generateSalesData($D346, IF(ISNUMBER(_xlfn.XLOOKUP($C346,Phone_by_Sentiment!$B$2:$B$37,Phone_by_Sentiment!L$2:L$37,"",0,1)),_xlfn.XLOOKUP($C346,Phone_by_Sentiment!$B$2:$B$37,Phone_by_Sentiment!L$2:L$37,"",0,1),0),$A346-TEXT(DATEVALUE($D346&amp;"-01"), "dd-mm-yyyy")),0),0)</f>
        <v>0</v>
      </c>
      <c r="M346" cm="1">
        <f t="array" ref="M346">IF($Q346&gt;=0,IFERROR(generateSalesData($D346, IF(ISNUMBER(_xlfn.XLOOKUP($C346,Phone_by_Sentiment!$B$2:$B$37,Phone_by_Sentiment!M$2:M$37,"",0,1)),_xlfn.XLOOKUP($C346,Phone_by_Sentiment!$B$2:$B$37,Phone_by_Sentiment!M$2:M$37,"",0,1),0),$A346-TEXT(DATEVALUE($D346&amp;"-01"), "dd-mm-yyyy")),0),0)</f>
        <v>0</v>
      </c>
      <c r="N346" cm="1">
        <f t="array" ref="N346">IF($Q346&gt;=0,IFERROR(generateSalesData($D346, IF(ISNUMBER(_xlfn.XLOOKUP($C346,Phone_by_Sentiment!$B$2:$B$37,Phone_by_Sentiment!N$2:N$37,"",0,1)),_xlfn.XLOOKUP($C346,Phone_by_Sentiment!$B$2:$B$37,Phone_by_Sentiment!N$2:N$37,"",0,1),0),$A346-TEXT(DATEVALUE($D346&amp;"-01"), "dd-mm-yyyy")),0),0)</f>
        <v>0</v>
      </c>
      <c r="O346" cm="1">
        <f t="array" ref="O346">IF($Q346&gt;=0,IFERROR(generateSalesData($D346, IF(ISNUMBER(_xlfn.XLOOKUP($C346,Phone_by_Sentiment!$B$2:$B$37,Phone_by_Sentiment!O$2:O$37,"",0,1)),_xlfn.XLOOKUP($C346,Phone_by_Sentiment!$B$2:$B$37,Phone_by_Sentiment!O$2:O$37,"",0,1),0),$A346-TEXT(DATEVALUE($D346&amp;"-01"), "dd-mm-yyyy")),0),0)</f>
        <v>0</v>
      </c>
      <c r="P346" s="1">
        <f t="shared" si="13"/>
        <v>44470</v>
      </c>
      <c r="Q346">
        <f t="shared" si="14"/>
        <v>-731</v>
      </c>
    </row>
    <row r="347" spans="1:17" x14ac:dyDescent="0.25">
      <c r="A347" s="1">
        <f t="shared" si="12"/>
        <v>43739</v>
      </c>
      <c r="B347" t="s">
        <v>156</v>
      </c>
      <c r="C347" t="str">
        <f>_xlfn.XLOOKUP(B347,Phone_by_Price!$A$2:$A$34,Phone_by_Price!$B$2:$B$34,"-",0,1)</f>
        <v>OnePlus Nord CE</v>
      </c>
      <c r="D347" t="str">
        <f>_xlfn.XLOOKUP(C347,Phone_by_Sentiment!$B$2:$B$37,Phone_by_Sentiment!$A$2:$A$37,"-",0,1)</f>
        <v>2021-06</v>
      </c>
      <c r="E347" cm="1">
        <f t="array" ref="E347">IF($Q347&gt;=0,IFERROR(generateSalesData($D347, IF(ISNUMBER(_xlfn.XLOOKUP($C347,Phone_by_Sentiment!$B$2:$B$37,Phone_by_Sentiment!E$2:E$37,"",0,1)),_xlfn.XLOOKUP($C347,Phone_by_Sentiment!$B$2:$B$37,Phone_by_Sentiment!E$2:E$37,"",0,1),0),$A347-TEXT(DATEVALUE($D347&amp;"-01"), "dd-mm-yyyy")),0),0)</f>
        <v>0</v>
      </c>
      <c r="F347" cm="1">
        <f t="array" ref="F347">IF($Q347&gt;=0,IFERROR(generateSalesData($D347, IF(ISNUMBER(_xlfn.XLOOKUP($C347,Phone_by_Sentiment!$B$2:$B$37,Phone_by_Sentiment!F$2:F$37,"",0,1)),_xlfn.XLOOKUP($C347,Phone_by_Sentiment!$B$2:$B$37,Phone_by_Sentiment!F$2:F$37,"",0,1),0),$A347-TEXT(DATEVALUE($D347&amp;"-01"), "dd-mm-yyyy")),0),0)</f>
        <v>0</v>
      </c>
      <c r="G347" cm="1">
        <f t="array" ref="G347">IF($Q347&gt;=0,IFERROR(generateSalesData($D347, IF(ISNUMBER(_xlfn.XLOOKUP($C347,Phone_by_Sentiment!$B$2:$B$37,Phone_by_Sentiment!G$2:G$37,"",0,1)),_xlfn.XLOOKUP($C347,Phone_by_Sentiment!$B$2:$B$37,Phone_by_Sentiment!G$2:G$37,"",0,1),0),$A347-TEXT(DATEVALUE($D347&amp;"-01"), "dd-mm-yyyy")),0),0)</f>
        <v>0</v>
      </c>
      <c r="H347" cm="1">
        <f t="array" ref="H347">IF($Q347&gt;=0,IFERROR(generateSalesData($D347, IF(ISNUMBER(_xlfn.XLOOKUP($C347,Phone_by_Sentiment!$B$2:$B$37,Phone_by_Sentiment!H$2:H$37,"",0,1)),_xlfn.XLOOKUP($C347,Phone_by_Sentiment!$B$2:$B$37,Phone_by_Sentiment!H$2:H$37,"",0,1),0),$A347-TEXT(DATEVALUE($D347&amp;"-01"), "dd-mm-yyyy")),0),0)</f>
        <v>0</v>
      </c>
      <c r="I347" cm="1">
        <f t="array" ref="I347">IF($Q347&gt;=0,IFERROR(generateSalesData($D347, IF(ISNUMBER(_xlfn.XLOOKUP($C347,Phone_by_Sentiment!$B$2:$B$37,Phone_by_Sentiment!I$2:I$37,"",0,1)),_xlfn.XLOOKUP($C347,Phone_by_Sentiment!$B$2:$B$37,Phone_by_Sentiment!I$2:I$37,"",0,1),0),$A347-TEXT(DATEVALUE($D347&amp;"-01"), "dd-mm-yyyy")),0),0)</f>
        <v>0</v>
      </c>
      <c r="J347" cm="1">
        <f t="array" ref="J347">IF($Q347&gt;=0,IFERROR(generateSalesData($D347, IF(ISNUMBER(_xlfn.XLOOKUP($C347,Phone_by_Sentiment!$B$2:$B$37,Phone_by_Sentiment!J$2:J$37,"",0,1)),_xlfn.XLOOKUP($C347,Phone_by_Sentiment!$B$2:$B$37,Phone_by_Sentiment!J$2:J$37,"",0,1),0),$A347-TEXT(DATEVALUE($D347&amp;"-01"), "dd-mm-yyyy")),0),0)</f>
        <v>0</v>
      </c>
      <c r="K347" cm="1">
        <f t="array" ref="K347">IF($Q347&gt;=0,IFERROR(generateSalesData($D347, IF(ISNUMBER(_xlfn.XLOOKUP($C347,Phone_by_Sentiment!$B$2:$B$37,Phone_by_Sentiment!K$2:K$37,"",0,1)),_xlfn.XLOOKUP($C347,Phone_by_Sentiment!$B$2:$B$37,Phone_by_Sentiment!K$2:K$37,"",0,1),0),$A347-TEXT(DATEVALUE($D347&amp;"-01"), "dd-mm-yyyy")),0),0)</f>
        <v>0</v>
      </c>
      <c r="L347" cm="1">
        <f t="array" ref="L347">IF($Q347&gt;=0,IFERROR(generateSalesData($D347, IF(ISNUMBER(_xlfn.XLOOKUP($C347,Phone_by_Sentiment!$B$2:$B$37,Phone_by_Sentiment!L$2:L$37,"",0,1)),_xlfn.XLOOKUP($C347,Phone_by_Sentiment!$B$2:$B$37,Phone_by_Sentiment!L$2:L$37,"",0,1),0),$A347-TEXT(DATEVALUE($D347&amp;"-01"), "dd-mm-yyyy")),0),0)</f>
        <v>0</v>
      </c>
      <c r="M347" cm="1">
        <f t="array" ref="M347">IF($Q347&gt;=0,IFERROR(generateSalesData($D347, IF(ISNUMBER(_xlfn.XLOOKUP($C347,Phone_by_Sentiment!$B$2:$B$37,Phone_by_Sentiment!M$2:M$37,"",0,1)),_xlfn.XLOOKUP($C347,Phone_by_Sentiment!$B$2:$B$37,Phone_by_Sentiment!M$2:M$37,"",0,1),0),$A347-TEXT(DATEVALUE($D347&amp;"-01"), "dd-mm-yyyy")),0),0)</f>
        <v>0</v>
      </c>
      <c r="N347" cm="1">
        <f t="array" ref="N347">IF($Q347&gt;=0,IFERROR(generateSalesData($D347, IF(ISNUMBER(_xlfn.XLOOKUP($C347,Phone_by_Sentiment!$B$2:$B$37,Phone_by_Sentiment!N$2:N$37,"",0,1)),_xlfn.XLOOKUP($C347,Phone_by_Sentiment!$B$2:$B$37,Phone_by_Sentiment!N$2:N$37,"",0,1),0),$A347-TEXT(DATEVALUE($D347&amp;"-01"), "dd-mm-yyyy")),0),0)</f>
        <v>0</v>
      </c>
      <c r="O347" cm="1">
        <f t="array" ref="O347">IF($Q347&gt;=0,IFERROR(generateSalesData($D347, IF(ISNUMBER(_xlfn.XLOOKUP($C347,Phone_by_Sentiment!$B$2:$B$37,Phone_by_Sentiment!O$2:O$37,"",0,1)),_xlfn.XLOOKUP($C347,Phone_by_Sentiment!$B$2:$B$37,Phone_by_Sentiment!O$2:O$37,"",0,1),0),$A347-TEXT(DATEVALUE($D347&amp;"-01"), "dd-mm-yyyy")),0),0)</f>
        <v>0</v>
      </c>
      <c r="P347" s="1">
        <f t="shared" si="13"/>
        <v>44348</v>
      </c>
      <c r="Q347">
        <f t="shared" si="14"/>
        <v>-609</v>
      </c>
    </row>
    <row r="348" spans="1:17" x14ac:dyDescent="0.25">
      <c r="A348" s="1">
        <f t="shared" si="12"/>
        <v>43739</v>
      </c>
      <c r="B348" t="s">
        <v>157</v>
      </c>
      <c r="C348" t="str">
        <f>_xlfn.XLOOKUP(B348,Phone_by_Price!$A$2:$A$34,Phone_by_Price!$B$2:$B$34,"-",0,1)</f>
        <v>Apple iPhone 13 Pro</v>
      </c>
      <c r="D348" t="str">
        <f>_xlfn.XLOOKUP(C348,Phone_by_Sentiment!$B$2:$B$37,Phone_by_Sentiment!$A$2:$A$37,"-",0,1)</f>
        <v>2021-09</v>
      </c>
      <c r="E348" cm="1">
        <f t="array" ref="E348">IF($Q348&gt;=0,IFERROR(generateSalesData($D348, IF(ISNUMBER(_xlfn.XLOOKUP($C348,Phone_by_Sentiment!$B$2:$B$37,Phone_by_Sentiment!E$2:E$37,"",0,1)),_xlfn.XLOOKUP($C348,Phone_by_Sentiment!$B$2:$B$37,Phone_by_Sentiment!E$2:E$37,"",0,1),0),$A348-TEXT(DATEVALUE($D348&amp;"-01"), "dd-mm-yyyy")),0),0)</f>
        <v>0</v>
      </c>
      <c r="F348" cm="1">
        <f t="array" ref="F348">IF($Q348&gt;=0,IFERROR(generateSalesData($D348, IF(ISNUMBER(_xlfn.XLOOKUP($C348,Phone_by_Sentiment!$B$2:$B$37,Phone_by_Sentiment!F$2:F$37,"",0,1)),_xlfn.XLOOKUP($C348,Phone_by_Sentiment!$B$2:$B$37,Phone_by_Sentiment!F$2:F$37,"",0,1),0),$A348-TEXT(DATEVALUE($D348&amp;"-01"), "dd-mm-yyyy")),0),0)</f>
        <v>0</v>
      </c>
      <c r="G348" cm="1">
        <f t="array" ref="G348">IF($Q348&gt;=0,IFERROR(generateSalesData($D348, IF(ISNUMBER(_xlfn.XLOOKUP($C348,Phone_by_Sentiment!$B$2:$B$37,Phone_by_Sentiment!G$2:G$37,"",0,1)),_xlfn.XLOOKUP($C348,Phone_by_Sentiment!$B$2:$B$37,Phone_by_Sentiment!G$2:G$37,"",0,1),0),$A348-TEXT(DATEVALUE($D348&amp;"-01"), "dd-mm-yyyy")),0),0)</f>
        <v>0</v>
      </c>
      <c r="H348" cm="1">
        <f t="array" ref="H348">IF($Q348&gt;=0,IFERROR(generateSalesData($D348, IF(ISNUMBER(_xlfn.XLOOKUP($C348,Phone_by_Sentiment!$B$2:$B$37,Phone_by_Sentiment!H$2:H$37,"",0,1)),_xlfn.XLOOKUP($C348,Phone_by_Sentiment!$B$2:$B$37,Phone_by_Sentiment!H$2:H$37,"",0,1),0),$A348-TEXT(DATEVALUE($D348&amp;"-01"), "dd-mm-yyyy")),0),0)</f>
        <v>0</v>
      </c>
      <c r="I348" cm="1">
        <f t="array" ref="I348">IF($Q348&gt;=0,IFERROR(generateSalesData($D348, IF(ISNUMBER(_xlfn.XLOOKUP($C348,Phone_by_Sentiment!$B$2:$B$37,Phone_by_Sentiment!I$2:I$37,"",0,1)),_xlfn.XLOOKUP($C348,Phone_by_Sentiment!$B$2:$B$37,Phone_by_Sentiment!I$2:I$37,"",0,1),0),$A348-TEXT(DATEVALUE($D348&amp;"-01"), "dd-mm-yyyy")),0),0)</f>
        <v>0</v>
      </c>
      <c r="J348" cm="1">
        <f t="array" ref="J348">IF($Q348&gt;=0,IFERROR(generateSalesData($D348, IF(ISNUMBER(_xlfn.XLOOKUP($C348,Phone_by_Sentiment!$B$2:$B$37,Phone_by_Sentiment!J$2:J$37,"",0,1)),_xlfn.XLOOKUP($C348,Phone_by_Sentiment!$B$2:$B$37,Phone_by_Sentiment!J$2:J$37,"",0,1),0),$A348-TEXT(DATEVALUE($D348&amp;"-01"), "dd-mm-yyyy")),0),0)</f>
        <v>0</v>
      </c>
      <c r="K348" cm="1">
        <f t="array" ref="K348">IF($Q348&gt;=0,IFERROR(generateSalesData($D348, IF(ISNUMBER(_xlfn.XLOOKUP($C348,Phone_by_Sentiment!$B$2:$B$37,Phone_by_Sentiment!K$2:K$37,"",0,1)),_xlfn.XLOOKUP($C348,Phone_by_Sentiment!$B$2:$B$37,Phone_by_Sentiment!K$2:K$37,"",0,1),0),$A348-TEXT(DATEVALUE($D348&amp;"-01"), "dd-mm-yyyy")),0),0)</f>
        <v>0</v>
      </c>
      <c r="L348" cm="1">
        <f t="array" ref="L348">IF($Q348&gt;=0,IFERROR(generateSalesData($D348, IF(ISNUMBER(_xlfn.XLOOKUP($C348,Phone_by_Sentiment!$B$2:$B$37,Phone_by_Sentiment!L$2:L$37,"",0,1)),_xlfn.XLOOKUP($C348,Phone_by_Sentiment!$B$2:$B$37,Phone_by_Sentiment!L$2:L$37,"",0,1),0),$A348-TEXT(DATEVALUE($D348&amp;"-01"), "dd-mm-yyyy")),0),0)</f>
        <v>0</v>
      </c>
      <c r="M348" cm="1">
        <f t="array" ref="M348">IF($Q348&gt;=0,IFERROR(generateSalesData($D348, IF(ISNUMBER(_xlfn.XLOOKUP($C348,Phone_by_Sentiment!$B$2:$B$37,Phone_by_Sentiment!M$2:M$37,"",0,1)),_xlfn.XLOOKUP($C348,Phone_by_Sentiment!$B$2:$B$37,Phone_by_Sentiment!M$2:M$37,"",0,1),0),$A348-TEXT(DATEVALUE($D348&amp;"-01"), "dd-mm-yyyy")),0),0)</f>
        <v>0</v>
      </c>
      <c r="N348" cm="1">
        <f t="array" ref="N348">IF($Q348&gt;=0,IFERROR(generateSalesData($D348, IF(ISNUMBER(_xlfn.XLOOKUP($C348,Phone_by_Sentiment!$B$2:$B$37,Phone_by_Sentiment!N$2:N$37,"",0,1)),_xlfn.XLOOKUP($C348,Phone_by_Sentiment!$B$2:$B$37,Phone_by_Sentiment!N$2:N$37,"",0,1),0),$A348-TEXT(DATEVALUE($D348&amp;"-01"), "dd-mm-yyyy")),0),0)</f>
        <v>0</v>
      </c>
      <c r="O348" cm="1">
        <f t="array" ref="O348">IF($Q348&gt;=0,IFERROR(generateSalesData($D348, IF(ISNUMBER(_xlfn.XLOOKUP($C348,Phone_by_Sentiment!$B$2:$B$37,Phone_by_Sentiment!O$2:O$37,"",0,1)),_xlfn.XLOOKUP($C348,Phone_by_Sentiment!$B$2:$B$37,Phone_by_Sentiment!O$2:O$37,"",0,1),0),$A348-TEXT(DATEVALUE($D348&amp;"-01"), "dd-mm-yyyy")),0),0)</f>
        <v>0</v>
      </c>
      <c r="P348" s="1">
        <f t="shared" si="13"/>
        <v>44440</v>
      </c>
      <c r="Q348">
        <f t="shared" si="14"/>
        <v>-701</v>
      </c>
    </row>
    <row r="349" spans="1:17" x14ac:dyDescent="0.25">
      <c r="A349" s="1">
        <f t="shared" si="12"/>
        <v>43739</v>
      </c>
      <c r="B349" t="s">
        <v>158</v>
      </c>
      <c r="C349" t="str">
        <f>_xlfn.XLOOKUP(B349,Phone_by_Price!$A$2:$A$34,Phone_by_Price!$B$2:$B$34,"-",0,1)</f>
        <v>Samsung Galaxy A32 5G</v>
      </c>
      <c r="D349" t="str">
        <f>_xlfn.XLOOKUP(C349,Phone_by_Sentiment!$B$2:$B$37,Phone_by_Sentiment!$A$2:$A$37,"-",0,1)</f>
        <v>2021-02</v>
      </c>
      <c r="E349" cm="1">
        <f t="array" ref="E349">IF($Q349&gt;=0,IFERROR(generateSalesData($D349, IF(ISNUMBER(_xlfn.XLOOKUP($C349,Phone_by_Sentiment!$B$2:$B$37,Phone_by_Sentiment!E$2:E$37,"",0,1)),_xlfn.XLOOKUP($C349,Phone_by_Sentiment!$B$2:$B$37,Phone_by_Sentiment!E$2:E$37,"",0,1),0),$A349-TEXT(DATEVALUE($D349&amp;"-01"), "dd-mm-yyyy")),0),0)</f>
        <v>0</v>
      </c>
      <c r="F349" cm="1">
        <f t="array" ref="F349">IF($Q349&gt;=0,IFERROR(generateSalesData($D349, IF(ISNUMBER(_xlfn.XLOOKUP($C349,Phone_by_Sentiment!$B$2:$B$37,Phone_by_Sentiment!F$2:F$37,"",0,1)),_xlfn.XLOOKUP($C349,Phone_by_Sentiment!$B$2:$B$37,Phone_by_Sentiment!F$2:F$37,"",0,1),0),$A349-TEXT(DATEVALUE($D349&amp;"-01"), "dd-mm-yyyy")),0),0)</f>
        <v>0</v>
      </c>
      <c r="G349" cm="1">
        <f t="array" ref="G349">IF($Q349&gt;=0,IFERROR(generateSalesData($D349, IF(ISNUMBER(_xlfn.XLOOKUP($C349,Phone_by_Sentiment!$B$2:$B$37,Phone_by_Sentiment!G$2:G$37,"",0,1)),_xlfn.XLOOKUP($C349,Phone_by_Sentiment!$B$2:$B$37,Phone_by_Sentiment!G$2:G$37,"",0,1),0),$A349-TEXT(DATEVALUE($D349&amp;"-01"), "dd-mm-yyyy")),0),0)</f>
        <v>0</v>
      </c>
      <c r="H349" cm="1">
        <f t="array" ref="H349">IF($Q349&gt;=0,IFERROR(generateSalesData($D349, IF(ISNUMBER(_xlfn.XLOOKUP($C349,Phone_by_Sentiment!$B$2:$B$37,Phone_by_Sentiment!H$2:H$37,"",0,1)),_xlfn.XLOOKUP($C349,Phone_by_Sentiment!$B$2:$B$37,Phone_by_Sentiment!H$2:H$37,"",0,1),0),$A349-TEXT(DATEVALUE($D349&amp;"-01"), "dd-mm-yyyy")),0),0)</f>
        <v>0</v>
      </c>
      <c r="I349" cm="1">
        <f t="array" ref="I349">IF($Q349&gt;=0,IFERROR(generateSalesData($D349, IF(ISNUMBER(_xlfn.XLOOKUP($C349,Phone_by_Sentiment!$B$2:$B$37,Phone_by_Sentiment!I$2:I$37,"",0,1)),_xlfn.XLOOKUP($C349,Phone_by_Sentiment!$B$2:$B$37,Phone_by_Sentiment!I$2:I$37,"",0,1),0),$A349-TEXT(DATEVALUE($D349&amp;"-01"), "dd-mm-yyyy")),0),0)</f>
        <v>0</v>
      </c>
      <c r="J349" cm="1">
        <f t="array" ref="J349">IF($Q349&gt;=0,IFERROR(generateSalesData($D349, IF(ISNUMBER(_xlfn.XLOOKUP($C349,Phone_by_Sentiment!$B$2:$B$37,Phone_by_Sentiment!J$2:J$37,"",0,1)),_xlfn.XLOOKUP($C349,Phone_by_Sentiment!$B$2:$B$37,Phone_by_Sentiment!J$2:J$37,"",0,1),0),$A349-TEXT(DATEVALUE($D349&amp;"-01"), "dd-mm-yyyy")),0),0)</f>
        <v>0</v>
      </c>
      <c r="K349" cm="1">
        <f t="array" ref="K349">IF($Q349&gt;=0,IFERROR(generateSalesData($D349, IF(ISNUMBER(_xlfn.XLOOKUP($C349,Phone_by_Sentiment!$B$2:$B$37,Phone_by_Sentiment!K$2:K$37,"",0,1)),_xlfn.XLOOKUP($C349,Phone_by_Sentiment!$B$2:$B$37,Phone_by_Sentiment!K$2:K$37,"",0,1),0),$A349-TEXT(DATEVALUE($D349&amp;"-01"), "dd-mm-yyyy")),0),0)</f>
        <v>0</v>
      </c>
      <c r="L349" cm="1">
        <f t="array" ref="L349">IF($Q349&gt;=0,IFERROR(generateSalesData($D349, IF(ISNUMBER(_xlfn.XLOOKUP($C349,Phone_by_Sentiment!$B$2:$B$37,Phone_by_Sentiment!L$2:L$37,"",0,1)),_xlfn.XLOOKUP($C349,Phone_by_Sentiment!$B$2:$B$37,Phone_by_Sentiment!L$2:L$37,"",0,1),0),$A349-TEXT(DATEVALUE($D349&amp;"-01"), "dd-mm-yyyy")),0),0)</f>
        <v>0</v>
      </c>
      <c r="M349" cm="1">
        <f t="array" ref="M349">IF($Q349&gt;=0,IFERROR(generateSalesData($D349, IF(ISNUMBER(_xlfn.XLOOKUP($C349,Phone_by_Sentiment!$B$2:$B$37,Phone_by_Sentiment!M$2:M$37,"",0,1)),_xlfn.XLOOKUP($C349,Phone_by_Sentiment!$B$2:$B$37,Phone_by_Sentiment!M$2:M$37,"",0,1),0),$A349-TEXT(DATEVALUE($D349&amp;"-01"), "dd-mm-yyyy")),0),0)</f>
        <v>0</v>
      </c>
      <c r="N349" cm="1">
        <f t="array" ref="N349">IF($Q349&gt;=0,IFERROR(generateSalesData($D349, IF(ISNUMBER(_xlfn.XLOOKUP($C349,Phone_by_Sentiment!$B$2:$B$37,Phone_by_Sentiment!N$2:N$37,"",0,1)),_xlfn.XLOOKUP($C349,Phone_by_Sentiment!$B$2:$B$37,Phone_by_Sentiment!N$2:N$37,"",0,1),0),$A349-TEXT(DATEVALUE($D349&amp;"-01"), "dd-mm-yyyy")),0),0)</f>
        <v>0</v>
      </c>
      <c r="O349" cm="1">
        <f t="array" ref="O349">IF($Q349&gt;=0,IFERROR(generateSalesData($D349, IF(ISNUMBER(_xlfn.XLOOKUP($C349,Phone_by_Sentiment!$B$2:$B$37,Phone_by_Sentiment!O$2:O$37,"",0,1)),_xlfn.XLOOKUP($C349,Phone_by_Sentiment!$B$2:$B$37,Phone_by_Sentiment!O$2:O$37,"",0,1),0),$A349-TEXT(DATEVALUE($D349&amp;"-01"), "dd-mm-yyyy")),0),0)</f>
        <v>0</v>
      </c>
      <c r="P349" s="1">
        <f t="shared" si="13"/>
        <v>44228</v>
      </c>
      <c r="Q349">
        <f t="shared" si="14"/>
        <v>-489</v>
      </c>
    </row>
    <row r="350" spans="1:17" x14ac:dyDescent="0.25">
      <c r="A350" s="1">
        <f t="shared" si="12"/>
        <v>43739</v>
      </c>
      <c r="B350" t="s">
        <v>159</v>
      </c>
      <c r="C350" t="str">
        <f>_xlfn.XLOOKUP(B350,Phone_by_Price!$A$2:$A$34,Phone_by_Price!$B$2:$B$34,"-",0,1)</f>
        <v>Realme C25</v>
      </c>
      <c r="D350" t="str">
        <f>_xlfn.XLOOKUP(C350,Phone_by_Sentiment!$B$2:$B$37,Phone_by_Sentiment!$A$2:$A$37,"-",0,1)</f>
        <v>2021-03</v>
      </c>
      <c r="E350" cm="1">
        <f t="array" ref="E350">IF($Q350&gt;=0,IFERROR(generateSalesData($D350, IF(ISNUMBER(_xlfn.XLOOKUP($C350,Phone_by_Sentiment!$B$2:$B$37,Phone_by_Sentiment!E$2:E$37,"",0,1)),_xlfn.XLOOKUP($C350,Phone_by_Sentiment!$B$2:$B$37,Phone_by_Sentiment!E$2:E$37,"",0,1),0),$A350-TEXT(DATEVALUE($D350&amp;"-01"), "dd-mm-yyyy")),0),0)</f>
        <v>0</v>
      </c>
      <c r="F350" cm="1">
        <f t="array" ref="F350">IF($Q350&gt;=0,IFERROR(generateSalesData($D350, IF(ISNUMBER(_xlfn.XLOOKUP($C350,Phone_by_Sentiment!$B$2:$B$37,Phone_by_Sentiment!F$2:F$37,"",0,1)),_xlfn.XLOOKUP($C350,Phone_by_Sentiment!$B$2:$B$37,Phone_by_Sentiment!F$2:F$37,"",0,1),0),$A350-TEXT(DATEVALUE($D350&amp;"-01"), "dd-mm-yyyy")),0),0)</f>
        <v>0</v>
      </c>
      <c r="G350" cm="1">
        <f t="array" ref="G350">IF($Q350&gt;=0,IFERROR(generateSalesData($D350, IF(ISNUMBER(_xlfn.XLOOKUP($C350,Phone_by_Sentiment!$B$2:$B$37,Phone_by_Sentiment!G$2:G$37,"",0,1)),_xlfn.XLOOKUP($C350,Phone_by_Sentiment!$B$2:$B$37,Phone_by_Sentiment!G$2:G$37,"",0,1),0),$A350-TEXT(DATEVALUE($D350&amp;"-01"), "dd-mm-yyyy")),0),0)</f>
        <v>0</v>
      </c>
      <c r="H350" cm="1">
        <f t="array" ref="H350">IF($Q350&gt;=0,IFERROR(generateSalesData($D350, IF(ISNUMBER(_xlfn.XLOOKUP($C350,Phone_by_Sentiment!$B$2:$B$37,Phone_by_Sentiment!H$2:H$37,"",0,1)),_xlfn.XLOOKUP($C350,Phone_by_Sentiment!$B$2:$B$37,Phone_by_Sentiment!H$2:H$37,"",0,1),0),$A350-TEXT(DATEVALUE($D350&amp;"-01"), "dd-mm-yyyy")),0),0)</f>
        <v>0</v>
      </c>
      <c r="I350" cm="1">
        <f t="array" ref="I350">IF($Q350&gt;=0,IFERROR(generateSalesData($D350, IF(ISNUMBER(_xlfn.XLOOKUP($C350,Phone_by_Sentiment!$B$2:$B$37,Phone_by_Sentiment!I$2:I$37,"",0,1)),_xlfn.XLOOKUP($C350,Phone_by_Sentiment!$B$2:$B$37,Phone_by_Sentiment!I$2:I$37,"",0,1),0),$A350-TEXT(DATEVALUE($D350&amp;"-01"), "dd-mm-yyyy")),0),0)</f>
        <v>0</v>
      </c>
      <c r="J350" cm="1">
        <f t="array" ref="J350">IF($Q350&gt;=0,IFERROR(generateSalesData($D350, IF(ISNUMBER(_xlfn.XLOOKUP($C350,Phone_by_Sentiment!$B$2:$B$37,Phone_by_Sentiment!J$2:J$37,"",0,1)),_xlfn.XLOOKUP($C350,Phone_by_Sentiment!$B$2:$B$37,Phone_by_Sentiment!J$2:J$37,"",0,1),0),$A350-TEXT(DATEVALUE($D350&amp;"-01"), "dd-mm-yyyy")),0),0)</f>
        <v>0</v>
      </c>
      <c r="K350" cm="1">
        <f t="array" ref="K350">IF($Q350&gt;=0,IFERROR(generateSalesData($D350, IF(ISNUMBER(_xlfn.XLOOKUP($C350,Phone_by_Sentiment!$B$2:$B$37,Phone_by_Sentiment!K$2:K$37,"",0,1)),_xlfn.XLOOKUP($C350,Phone_by_Sentiment!$B$2:$B$37,Phone_by_Sentiment!K$2:K$37,"",0,1),0),$A350-TEXT(DATEVALUE($D350&amp;"-01"), "dd-mm-yyyy")),0),0)</f>
        <v>0</v>
      </c>
      <c r="L350" cm="1">
        <f t="array" ref="L350">IF($Q350&gt;=0,IFERROR(generateSalesData($D350, IF(ISNUMBER(_xlfn.XLOOKUP($C350,Phone_by_Sentiment!$B$2:$B$37,Phone_by_Sentiment!L$2:L$37,"",0,1)),_xlfn.XLOOKUP($C350,Phone_by_Sentiment!$B$2:$B$37,Phone_by_Sentiment!L$2:L$37,"",0,1),0),$A350-TEXT(DATEVALUE($D350&amp;"-01"), "dd-mm-yyyy")),0),0)</f>
        <v>0</v>
      </c>
      <c r="M350" cm="1">
        <f t="array" ref="M350">IF($Q350&gt;=0,IFERROR(generateSalesData($D350, IF(ISNUMBER(_xlfn.XLOOKUP($C350,Phone_by_Sentiment!$B$2:$B$37,Phone_by_Sentiment!M$2:M$37,"",0,1)),_xlfn.XLOOKUP($C350,Phone_by_Sentiment!$B$2:$B$37,Phone_by_Sentiment!M$2:M$37,"",0,1),0),$A350-TEXT(DATEVALUE($D350&amp;"-01"), "dd-mm-yyyy")),0),0)</f>
        <v>0</v>
      </c>
      <c r="N350" cm="1">
        <f t="array" ref="N350">IF($Q350&gt;=0,IFERROR(generateSalesData($D350, IF(ISNUMBER(_xlfn.XLOOKUP($C350,Phone_by_Sentiment!$B$2:$B$37,Phone_by_Sentiment!N$2:N$37,"",0,1)),_xlfn.XLOOKUP($C350,Phone_by_Sentiment!$B$2:$B$37,Phone_by_Sentiment!N$2:N$37,"",0,1),0),$A350-TEXT(DATEVALUE($D350&amp;"-01"), "dd-mm-yyyy")),0),0)</f>
        <v>0</v>
      </c>
      <c r="O350" cm="1">
        <f t="array" ref="O350">IF($Q350&gt;=0,IFERROR(generateSalesData($D350, IF(ISNUMBER(_xlfn.XLOOKUP($C350,Phone_by_Sentiment!$B$2:$B$37,Phone_by_Sentiment!O$2:O$37,"",0,1)),_xlfn.XLOOKUP($C350,Phone_by_Sentiment!$B$2:$B$37,Phone_by_Sentiment!O$2:O$37,"",0,1),0),$A350-TEXT(DATEVALUE($D350&amp;"-01"), "dd-mm-yyyy")),0),0)</f>
        <v>0</v>
      </c>
      <c r="P350" s="1">
        <f t="shared" si="13"/>
        <v>44256</v>
      </c>
      <c r="Q350">
        <f t="shared" si="14"/>
        <v>-517</v>
      </c>
    </row>
    <row r="351" spans="1:17" x14ac:dyDescent="0.25">
      <c r="A351" s="1">
        <f t="shared" si="12"/>
        <v>43770</v>
      </c>
      <c r="B351" t="s">
        <v>160</v>
      </c>
      <c r="C351" t="str">
        <f>_xlfn.XLOOKUP(B351,Phone_by_Price!$A$2:$A$34,Phone_by_Price!$B$2:$B$34,"-",0,1)</f>
        <v>Xiaomi Poco X3 Pro</v>
      </c>
      <c r="D351" t="str">
        <f>_xlfn.XLOOKUP(C351,Phone_by_Sentiment!$B$2:$B$37,Phone_by_Sentiment!$A$2:$A$37,"-",0,1)</f>
        <v>2021-05</v>
      </c>
      <c r="E351" cm="1">
        <f t="array" ref="E351">IF($Q351&gt;=0,IFERROR(generateSalesData($D351, IF(ISNUMBER(_xlfn.XLOOKUP($C351,Phone_by_Sentiment!$B$2:$B$37,Phone_by_Sentiment!E$2:E$37,"",0,1)),_xlfn.XLOOKUP($C351,Phone_by_Sentiment!$B$2:$B$37,Phone_by_Sentiment!E$2:E$37,"",0,1),0),$A351-TEXT(DATEVALUE($D351&amp;"-01"), "dd-mm-yyyy")),0),0)</f>
        <v>0</v>
      </c>
      <c r="F351" cm="1">
        <f t="array" ref="F351">IF($Q351&gt;=0,IFERROR(generateSalesData($D351, IF(ISNUMBER(_xlfn.XLOOKUP($C351,Phone_by_Sentiment!$B$2:$B$37,Phone_by_Sentiment!F$2:F$37,"",0,1)),_xlfn.XLOOKUP($C351,Phone_by_Sentiment!$B$2:$B$37,Phone_by_Sentiment!F$2:F$37,"",0,1),0),$A351-TEXT(DATEVALUE($D351&amp;"-01"), "dd-mm-yyyy")),0),0)</f>
        <v>0</v>
      </c>
      <c r="G351" cm="1">
        <f t="array" ref="G351">IF($Q351&gt;=0,IFERROR(generateSalesData($D351, IF(ISNUMBER(_xlfn.XLOOKUP($C351,Phone_by_Sentiment!$B$2:$B$37,Phone_by_Sentiment!G$2:G$37,"",0,1)),_xlfn.XLOOKUP($C351,Phone_by_Sentiment!$B$2:$B$37,Phone_by_Sentiment!G$2:G$37,"",0,1),0),$A351-TEXT(DATEVALUE($D351&amp;"-01"), "dd-mm-yyyy")),0),0)</f>
        <v>0</v>
      </c>
      <c r="H351" cm="1">
        <f t="array" ref="H351">IF($Q351&gt;=0,IFERROR(generateSalesData($D351, IF(ISNUMBER(_xlfn.XLOOKUP($C351,Phone_by_Sentiment!$B$2:$B$37,Phone_by_Sentiment!H$2:H$37,"",0,1)),_xlfn.XLOOKUP($C351,Phone_by_Sentiment!$B$2:$B$37,Phone_by_Sentiment!H$2:H$37,"",0,1),0),$A351-TEXT(DATEVALUE($D351&amp;"-01"), "dd-mm-yyyy")),0),0)</f>
        <v>0</v>
      </c>
      <c r="I351" cm="1">
        <f t="array" ref="I351">IF($Q351&gt;=0,IFERROR(generateSalesData($D351, IF(ISNUMBER(_xlfn.XLOOKUP($C351,Phone_by_Sentiment!$B$2:$B$37,Phone_by_Sentiment!I$2:I$37,"",0,1)),_xlfn.XLOOKUP($C351,Phone_by_Sentiment!$B$2:$B$37,Phone_by_Sentiment!I$2:I$37,"",0,1),0),$A351-TEXT(DATEVALUE($D351&amp;"-01"), "dd-mm-yyyy")),0),0)</f>
        <v>0</v>
      </c>
      <c r="J351" cm="1">
        <f t="array" ref="J351">IF($Q351&gt;=0,IFERROR(generateSalesData($D351, IF(ISNUMBER(_xlfn.XLOOKUP($C351,Phone_by_Sentiment!$B$2:$B$37,Phone_by_Sentiment!J$2:J$37,"",0,1)),_xlfn.XLOOKUP($C351,Phone_by_Sentiment!$B$2:$B$37,Phone_by_Sentiment!J$2:J$37,"",0,1),0),$A351-TEXT(DATEVALUE($D351&amp;"-01"), "dd-mm-yyyy")),0),0)</f>
        <v>0</v>
      </c>
      <c r="K351" cm="1">
        <f t="array" ref="K351">IF($Q351&gt;=0,IFERROR(generateSalesData($D351, IF(ISNUMBER(_xlfn.XLOOKUP($C351,Phone_by_Sentiment!$B$2:$B$37,Phone_by_Sentiment!K$2:K$37,"",0,1)),_xlfn.XLOOKUP($C351,Phone_by_Sentiment!$B$2:$B$37,Phone_by_Sentiment!K$2:K$37,"",0,1),0),$A351-TEXT(DATEVALUE($D351&amp;"-01"), "dd-mm-yyyy")),0),0)</f>
        <v>0</v>
      </c>
      <c r="L351" cm="1">
        <f t="array" ref="L351">IF($Q351&gt;=0,IFERROR(generateSalesData($D351, IF(ISNUMBER(_xlfn.XLOOKUP($C351,Phone_by_Sentiment!$B$2:$B$37,Phone_by_Sentiment!L$2:L$37,"",0,1)),_xlfn.XLOOKUP($C351,Phone_by_Sentiment!$B$2:$B$37,Phone_by_Sentiment!L$2:L$37,"",0,1),0),$A351-TEXT(DATEVALUE($D351&amp;"-01"), "dd-mm-yyyy")),0),0)</f>
        <v>0</v>
      </c>
      <c r="M351" cm="1">
        <f t="array" ref="M351">IF($Q351&gt;=0,IFERROR(generateSalesData($D351, IF(ISNUMBER(_xlfn.XLOOKUP($C351,Phone_by_Sentiment!$B$2:$B$37,Phone_by_Sentiment!M$2:M$37,"",0,1)),_xlfn.XLOOKUP($C351,Phone_by_Sentiment!$B$2:$B$37,Phone_by_Sentiment!M$2:M$37,"",0,1),0),$A351-TEXT(DATEVALUE($D351&amp;"-01"), "dd-mm-yyyy")),0),0)</f>
        <v>0</v>
      </c>
      <c r="N351" cm="1">
        <f t="array" ref="N351">IF($Q351&gt;=0,IFERROR(generateSalesData($D351, IF(ISNUMBER(_xlfn.XLOOKUP($C351,Phone_by_Sentiment!$B$2:$B$37,Phone_by_Sentiment!N$2:N$37,"",0,1)),_xlfn.XLOOKUP($C351,Phone_by_Sentiment!$B$2:$B$37,Phone_by_Sentiment!N$2:N$37,"",0,1),0),$A351-TEXT(DATEVALUE($D351&amp;"-01"), "dd-mm-yyyy")),0),0)</f>
        <v>0</v>
      </c>
      <c r="O351" cm="1">
        <f t="array" ref="O351">IF($Q351&gt;=0,IFERROR(generateSalesData($D351, IF(ISNUMBER(_xlfn.XLOOKUP($C351,Phone_by_Sentiment!$B$2:$B$37,Phone_by_Sentiment!O$2:O$37,"",0,1)),_xlfn.XLOOKUP($C351,Phone_by_Sentiment!$B$2:$B$37,Phone_by_Sentiment!O$2:O$37,"",0,1),0),$A351-TEXT(DATEVALUE($D351&amp;"-01"), "dd-mm-yyyy")),0),0)</f>
        <v>0</v>
      </c>
      <c r="P351" s="1">
        <f t="shared" si="13"/>
        <v>44317</v>
      </c>
      <c r="Q351">
        <f t="shared" si="14"/>
        <v>-547</v>
      </c>
    </row>
    <row r="352" spans="1:17" x14ac:dyDescent="0.25">
      <c r="A352" s="1">
        <f t="shared" si="12"/>
        <v>43770</v>
      </c>
      <c r="B352" t="s">
        <v>161</v>
      </c>
      <c r="C352" t="str">
        <f>_xlfn.XLOOKUP(B352,Phone_by_Price!$A$2:$A$34,Phone_by_Price!$B$2:$B$34,"-",0,1)</f>
        <v>Samsung Galaxy Z Flip 3</v>
      </c>
      <c r="D352" t="str">
        <f>_xlfn.XLOOKUP(C352,Phone_by_Sentiment!$B$2:$B$37,Phone_by_Sentiment!$A$2:$A$37,"-",0,1)</f>
        <v>2021-09</v>
      </c>
      <c r="E352" cm="1">
        <f t="array" ref="E352">IF($Q352&gt;=0,IFERROR(generateSalesData($D352, IF(ISNUMBER(_xlfn.XLOOKUP($C352,Phone_by_Sentiment!$B$2:$B$37,Phone_by_Sentiment!E$2:E$37,"",0,1)),_xlfn.XLOOKUP($C352,Phone_by_Sentiment!$B$2:$B$37,Phone_by_Sentiment!E$2:E$37,"",0,1),0),$A352-TEXT(DATEVALUE($D352&amp;"-01"), "dd-mm-yyyy")),0),0)</f>
        <v>0</v>
      </c>
      <c r="F352" cm="1">
        <f t="array" ref="F352">IF($Q352&gt;=0,IFERROR(generateSalesData($D352, IF(ISNUMBER(_xlfn.XLOOKUP($C352,Phone_by_Sentiment!$B$2:$B$37,Phone_by_Sentiment!F$2:F$37,"",0,1)),_xlfn.XLOOKUP($C352,Phone_by_Sentiment!$B$2:$B$37,Phone_by_Sentiment!F$2:F$37,"",0,1),0),$A352-TEXT(DATEVALUE($D352&amp;"-01"), "dd-mm-yyyy")),0),0)</f>
        <v>0</v>
      </c>
      <c r="G352" cm="1">
        <f t="array" ref="G352">IF($Q352&gt;=0,IFERROR(generateSalesData($D352, IF(ISNUMBER(_xlfn.XLOOKUP($C352,Phone_by_Sentiment!$B$2:$B$37,Phone_by_Sentiment!G$2:G$37,"",0,1)),_xlfn.XLOOKUP($C352,Phone_by_Sentiment!$B$2:$B$37,Phone_by_Sentiment!G$2:G$37,"",0,1),0),$A352-TEXT(DATEVALUE($D352&amp;"-01"), "dd-mm-yyyy")),0),0)</f>
        <v>0</v>
      </c>
      <c r="H352" cm="1">
        <f t="array" ref="H352">IF($Q352&gt;=0,IFERROR(generateSalesData($D352, IF(ISNUMBER(_xlfn.XLOOKUP($C352,Phone_by_Sentiment!$B$2:$B$37,Phone_by_Sentiment!H$2:H$37,"",0,1)),_xlfn.XLOOKUP($C352,Phone_by_Sentiment!$B$2:$B$37,Phone_by_Sentiment!H$2:H$37,"",0,1),0),$A352-TEXT(DATEVALUE($D352&amp;"-01"), "dd-mm-yyyy")),0),0)</f>
        <v>0</v>
      </c>
      <c r="I352" cm="1">
        <f t="array" ref="I352">IF($Q352&gt;=0,IFERROR(generateSalesData($D352, IF(ISNUMBER(_xlfn.XLOOKUP($C352,Phone_by_Sentiment!$B$2:$B$37,Phone_by_Sentiment!I$2:I$37,"",0,1)),_xlfn.XLOOKUP($C352,Phone_by_Sentiment!$B$2:$B$37,Phone_by_Sentiment!I$2:I$37,"",0,1),0),$A352-TEXT(DATEVALUE($D352&amp;"-01"), "dd-mm-yyyy")),0),0)</f>
        <v>0</v>
      </c>
      <c r="J352" cm="1">
        <f t="array" ref="J352">IF($Q352&gt;=0,IFERROR(generateSalesData($D352, IF(ISNUMBER(_xlfn.XLOOKUP($C352,Phone_by_Sentiment!$B$2:$B$37,Phone_by_Sentiment!J$2:J$37,"",0,1)),_xlfn.XLOOKUP($C352,Phone_by_Sentiment!$B$2:$B$37,Phone_by_Sentiment!J$2:J$37,"",0,1),0),$A352-TEXT(DATEVALUE($D352&amp;"-01"), "dd-mm-yyyy")),0),0)</f>
        <v>0</v>
      </c>
      <c r="K352" cm="1">
        <f t="array" ref="K352">IF($Q352&gt;=0,IFERROR(generateSalesData($D352, IF(ISNUMBER(_xlfn.XLOOKUP($C352,Phone_by_Sentiment!$B$2:$B$37,Phone_by_Sentiment!K$2:K$37,"",0,1)),_xlfn.XLOOKUP($C352,Phone_by_Sentiment!$B$2:$B$37,Phone_by_Sentiment!K$2:K$37,"",0,1),0),$A352-TEXT(DATEVALUE($D352&amp;"-01"), "dd-mm-yyyy")),0),0)</f>
        <v>0</v>
      </c>
      <c r="L352" cm="1">
        <f t="array" ref="L352">IF($Q352&gt;=0,IFERROR(generateSalesData($D352, IF(ISNUMBER(_xlfn.XLOOKUP($C352,Phone_by_Sentiment!$B$2:$B$37,Phone_by_Sentiment!L$2:L$37,"",0,1)),_xlfn.XLOOKUP($C352,Phone_by_Sentiment!$B$2:$B$37,Phone_by_Sentiment!L$2:L$37,"",0,1),0),$A352-TEXT(DATEVALUE($D352&amp;"-01"), "dd-mm-yyyy")),0),0)</f>
        <v>0</v>
      </c>
      <c r="M352" cm="1">
        <f t="array" ref="M352">IF($Q352&gt;=0,IFERROR(generateSalesData($D352, IF(ISNUMBER(_xlfn.XLOOKUP($C352,Phone_by_Sentiment!$B$2:$B$37,Phone_by_Sentiment!M$2:M$37,"",0,1)),_xlfn.XLOOKUP($C352,Phone_by_Sentiment!$B$2:$B$37,Phone_by_Sentiment!M$2:M$37,"",0,1),0),$A352-TEXT(DATEVALUE($D352&amp;"-01"), "dd-mm-yyyy")),0),0)</f>
        <v>0</v>
      </c>
      <c r="N352" cm="1">
        <f t="array" ref="N352">IF($Q352&gt;=0,IFERROR(generateSalesData($D352, IF(ISNUMBER(_xlfn.XLOOKUP($C352,Phone_by_Sentiment!$B$2:$B$37,Phone_by_Sentiment!N$2:N$37,"",0,1)),_xlfn.XLOOKUP($C352,Phone_by_Sentiment!$B$2:$B$37,Phone_by_Sentiment!N$2:N$37,"",0,1),0),$A352-TEXT(DATEVALUE($D352&amp;"-01"), "dd-mm-yyyy")),0),0)</f>
        <v>0</v>
      </c>
      <c r="O352" cm="1">
        <f t="array" ref="O352">IF($Q352&gt;=0,IFERROR(generateSalesData($D352, IF(ISNUMBER(_xlfn.XLOOKUP($C352,Phone_by_Sentiment!$B$2:$B$37,Phone_by_Sentiment!O$2:O$37,"",0,1)),_xlfn.XLOOKUP($C352,Phone_by_Sentiment!$B$2:$B$37,Phone_by_Sentiment!O$2:O$37,"",0,1),0),$A352-TEXT(DATEVALUE($D352&amp;"-01"), "dd-mm-yyyy")),0),0)</f>
        <v>0</v>
      </c>
      <c r="P352" s="1">
        <f t="shared" si="13"/>
        <v>44440</v>
      </c>
      <c r="Q352">
        <f t="shared" si="14"/>
        <v>-670</v>
      </c>
    </row>
    <row r="353" spans="1:17" x14ac:dyDescent="0.25">
      <c r="A353" s="1">
        <f t="shared" si="12"/>
        <v>43770</v>
      </c>
      <c r="B353" t="s">
        <v>162</v>
      </c>
      <c r="C353" t="str">
        <f>_xlfn.XLOOKUP(B353,Phone_by_Price!$A$2:$A$34,Phone_by_Price!$B$2:$B$34,"-",0,1)</f>
        <v>Xiaomi Poco X3 NFC</v>
      </c>
      <c r="D353" t="str">
        <f>_xlfn.XLOOKUP(C353,Phone_by_Sentiment!$B$2:$B$37,Phone_by_Sentiment!$A$2:$A$37,"-",0,1)</f>
        <v>2020-08</v>
      </c>
      <c r="E353" cm="1">
        <f t="array" ref="E353">IF($Q353&gt;=0,IFERROR(generateSalesData($D353, IF(ISNUMBER(_xlfn.XLOOKUP($C353,Phone_by_Sentiment!$B$2:$B$37,Phone_by_Sentiment!E$2:E$37,"",0,1)),_xlfn.XLOOKUP($C353,Phone_by_Sentiment!$B$2:$B$37,Phone_by_Sentiment!E$2:E$37,"",0,1),0),$A353-TEXT(DATEVALUE($D353&amp;"-01"), "dd-mm-yyyy")),0),0)</f>
        <v>0</v>
      </c>
      <c r="F353" cm="1">
        <f t="array" ref="F353">IF($Q353&gt;=0,IFERROR(generateSalesData($D353, IF(ISNUMBER(_xlfn.XLOOKUP($C353,Phone_by_Sentiment!$B$2:$B$37,Phone_by_Sentiment!F$2:F$37,"",0,1)),_xlfn.XLOOKUP($C353,Phone_by_Sentiment!$B$2:$B$37,Phone_by_Sentiment!F$2:F$37,"",0,1),0),$A353-TEXT(DATEVALUE($D353&amp;"-01"), "dd-mm-yyyy")),0),0)</f>
        <v>0</v>
      </c>
      <c r="G353" cm="1">
        <f t="array" ref="G353">IF($Q353&gt;=0,IFERROR(generateSalesData($D353, IF(ISNUMBER(_xlfn.XLOOKUP($C353,Phone_by_Sentiment!$B$2:$B$37,Phone_by_Sentiment!G$2:G$37,"",0,1)),_xlfn.XLOOKUP($C353,Phone_by_Sentiment!$B$2:$B$37,Phone_by_Sentiment!G$2:G$37,"",0,1),0),$A353-TEXT(DATEVALUE($D353&amp;"-01"), "dd-mm-yyyy")),0),0)</f>
        <v>0</v>
      </c>
      <c r="H353" cm="1">
        <f t="array" ref="H353">IF($Q353&gt;=0,IFERROR(generateSalesData($D353, IF(ISNUMBER(_xlfn.XLOOKUP($C353,Phone_by_Sentiment!$B$2:$B$37,Phone_by_Sentiment!H$2:H$37,"",0,1)),_xlfn.XLOOKUP($C353,Phone_by_Sentiment!$B$2:$B$37,Phone_by_Sentiment!H$2:H$37,"",0,1),0),$A353-TEXT(DATEVALUE($D353&amp;"-01"), "dd-mm-yyyy")),0),0)</f>
        <v>0</v>
      </c>
      <c r="I353" cm="1">
        <f t="array" ref="I353">IF($Q353&gt;=0,IFERROR(generateSalesData($D353, IF(ISNUMBER(_xlfn.XLOOKUP($C353,Phone_by_Sentiment!$B$2:$B$37,Phone_by_Sentiment!I$2:I$37,"",0,1)),_xlfn.XLOOKUP($C353,Phone_by_Sentiment!$B$2:$B$37,Phone_by_Sentiment!I$2:I$37,"",0,1),0),$A353-TEXT(DATEVALUE($D353&amp;"-01"), "dd-mm-yyyy")),0),0)</f>
        <v>0</v>
      </c>
      <c r="J353" cm="1">
        <f t="array" ref="J353">IF($Q353&gt;=0,IFERROR(generateSalesData($D353, IF(ISNUMBER(_xlfn.XLOOKUP($C353,Phone_by_Sentiment!$B$2:$B$37,Phone_by_Sentiment!J$2:J$37,"",0,1)),_xlfn.XLOOKUP($C353,Phone_by_Sentiment!$B$2:$B$37,Phone_by_Sentiment!J$2:J$37,"",0,1),0),$A353-TEXT(DATEVALUE($D353&amp;"-01"), "dd-mm-yyyy")),0),0)</f>
        <v>0</v>
      </c>
      <c r="K353" cm="1">
        <f t="array" ref="K353">IF($Q353&gt;=0,IFERROR(generateSalesData($D353, IF(ISNUMBER(_xlfn.XLOOKUP($C353,Phone_by_Sentiment!$B$2:$B$37,Phone_by_Sentiment!K$2:K$37,"",0,1)),_xlfn.XLOOKUP($C353,Phone_by_Sentiment!$B$2:$B$37,Phone_by_Sentiment!K$2:K$37,"",0,1),0),$A353-TEXT(DATEVALUE($D353&amp;"-01"), "dd-mm-yyyy")),0),0)</f>
        <v>0</v>
      </c>
      <c r="L353" cm="1">
        <f t="array" ref="L353">IF($Q353&gt;=0,IFERROR(generateSalesData($D353, IF(ISNUMBER(_xlfn.XLOOKUP($C353,Phone_by_Sentiment!$B$2:$B$37,Phone_by_Sentiment!L$2:L$37,"",0,1)),_xlfn.XLOOKUP($C353,Phone_by_Sentiment!$B$2:$B$37,Phone_by_Sentiment!L$2:L$37,"",0,1),0),$A353-TEXT(DATEVALUE($D353&amp;"-01"), "dd-mm-yyyy")),0),0)</f>
        <v>0</v>
      </c>
      <c r="M353" cm="1">
        <f t="array" ref="M353">IF($Q353&gt;=0,IFERROR(generateSalesData($D353, IF(ISNUMBER(_xlfn.XLOOKUP($C353,Phone_by_Sentiment!$B$2:$B$37,Phone_by_Sentiment!M$2:M$37,"",0,1)),_xlfn.XLOOKUP($C353,Phone_by_Sentiment!$B$2:$B$37,Phone_by_Sentiment!M$2:M$37,"",0,1),0),$A353-TEXT(DATEVALUE($D353&amp;"-01"), "dd-mm-yyyy")),0),0)</f>
        <v>0</v>
      </c>
      <c r="N353" cm="1">
        <f t="array" ref="N353">IF($Q353&gt;=0,IFERROR(generateSalesData($D353, IF(ISNUMBER(_xlfn.XLOOKUP($C353,Phone_by_Sentiment!$B$2:$B$37,Phone_by_Sentiment!N$2:N$37,"",0,1)),_xlfn.XLOOKUP($C353,Phone_by_Sentiment!$B$2:$B$37,Phone_by_Sentiment!N$2:N$37,"",0,1),0),$A353-TEXT(DATEVALUE($D353&amp;"-01"), "dd-mm-yyyy")),0),0)</f>
        <v>0</v>
      </c>
      <c r="O353" cm="1">
        <f t="array" ref="O353">IF($Q353&gt;=0,IFERROR(generateSalesData($D353, IF(ISNUMBER(_xlfn.XLOOKUP($C353,Phone_by_Sentiment!$B$2:$B$37,Phone_by_Sentiment!O$2:O$37,"",0,1)),_xlfn.XLOOKUP($C353,Phone_by_Sentiment!$B$2:$B$37,Phone_by_Sentiment!O$2:O$37,"",0,1),0),$A353-TEXT(DATEVALUE($D353&amp;"-01"), "dd-mm-yyyy")),0),0)</f>
        <v>0</v>
      </c>
      <c r="P353" s="1">
        <f t="shared" si="13"/>
        <v>44044</v>
      </c>
      <c r="Q353">
        <f t="shared" si="14"/>
        <v>-274</v>
      </c>
    </row>
    <row r="354" spans="1:17" x14ac:dyDescent="0.25">
      <c r="A354" s="1">
        <f t="shared" si="12"/>
        <v>43770</v>
      </c>
      <c r="B354" t="s">
        <v>163</v>
      </c>
      <c r="C354" t="str">
        <f>_xlfn.XLOOKUP(B354,Phone_by_Price!$A$2:$A$34,Phone_by_Price!$B$2:$B$34,"-",0,1)</f>
        <v>OPPO A93</v>
      </c>
      <c r="D354" t="str">
        <f>_xlfn.XLOOKUP(C354,Phone_by_Sentiment!$B$2:$B$37,Phone_by_Sentiment!$A$2:$A$37,"-",0,1)</f>
        <v>2021-02</v>
      </c>
      <c r="E354" cm="1">
        <f t="array" ref="E354">IF($Q354&gt;=0,IFERROR(generateSalesData($D354, IF(ISNUMBER(_xlfn.XLOOKUP($C354,Phone_by_Sentiment!$B$2:$B$37,Phone_by_Sentiment!E$2:E$37,"",0,1)),_xlfn.XLOOKUP($C354,Phone_by_Sentiment!$B$2:$B$37,Phone_by_Sentiment!E$2:E$37,"",0,1),0),$A354-TEXT(DATEVALUE($D354&amp;"-01"), "dd-mm-yyyy")),0),0)</f>
        <v>0</v>
      </c>
      <c r="F354" cm="1">
        <f t="array" ref="F354">IF($Q354&gt;=0,IFERROR(generateSalesData($D354, IF(ISNUMBER(_xlfn.XLOOKUP($C354,Phone_by_Sentiment!$B$2:$B$37,Phone_by_Sentiment!F$2:F$37,"",0,1)),_xlfn.XLOOKUP($C354,Phone_by_Sentiment!$B$2:$B$37,Phone_by_Sentiment!F$2:F$37,"",0,1),0),$A354-TEXT(DATEVALUE($D354&amp;"-01"), "dd-mm-yyyy")),0),0)</f>
        <v>0</v>
      </c>
      <c r="G354" cm="1">
        <f t="array" ref="G354">IF($Q354&gt;=0,IFERROR(generateSalesData($D354, IF(ISNUMBER(_xlfn.XLOOKUP($C354,Phone_by_Sentiment!$B$2:$B$37,Phone_by_Sentiment!G$2:G$37,"",0,1)),_xlfn.XLOOKUP($C354,Phone_by_Sentiment!$B$2:$B$37,Phone_by_Sentiment!G$2:G$37,"",0,1),0),$A354-TEXT(DATEVALUE($D354&amp;"-01"), "dd-mm-yyyy")),0),0)</f>
        <v>0</v>
      </c>
      <c r="H354" cm="1">
        <f t="array" ref="H354">IF($Q354&gt;=0,IFERROR(generateSalesData($D354, IF(ISNUMBER(_xlfn.XLOOKUP($C354,Phone_by_Sentiment!$B$2:$B$37,Phone_by_Sentiment!H$2:H$37,"",0,1)),_xlfn.XLOOKUP($C354,Phone_by_Sentiment!$B$2:$B$37,Phone_by_Sentiment!H$2:H$37,"",0,1),0),$A354-TEXT(DATEVALUE($D354&amp;"-01"), "dd-mm-yyyy")),0),0)</f>
        <v>0</v>
      </c>
      <c r="I354" cm="1">
        <f t="array" ref="I354">IF($Q354&gt;=0,IFERROR(generateSalesData($D354, IF(ISNUMBER(_xlfn.XLOOKUP($C354,Phone_by_Sentiment!$B$2:$B$37,Phone_by_Sentiment!I$2:I$37,"",0,1)),_xlfn.XLOOKUP($C354,Phone_by_Sentiment!$B$2:$B$37,Phone_by_Sentiment!I$2:I$37,"",0,1),0),$A354-TEXT(DATEVALUE($D354&amp;"-01"), "dd-mm-yyyy")),0),0)</f>
        <v>0</v>
      </c>
      <c r="J354" cm="1">
        <f t="array" ref="J354">IF($Q354&gt;=0,IFERROR(generateSalesData($D354, IF(ISNUMBER(_xlfn.XLOOKUP($C354,Phone_by_Sentiment!$B$2:$B$37,Phone_by_Sentiment!J$2:J$37,"",0,1)),_xlfn.XLOOKUP($C354,Phone_by_Sentiment!$B$2:$B$37,Phone_by_Sentiment!J$2:J$37,"",0,1),0),$A354-TEXT(DATEVALUE($D354&amp;"-01"), "dd-mm-yyyy")),0),0)</f>
        <v>0</v>
      </c>
      <c r="K354" cm="1">
        <f t="array" ref="K354">IF($Q354&gt;=0,IFERROR(generateSalesData($D354, IF(ISNUMBER(_xlfn.XLOOKUP($C354,Phone_by_Sentiment!$B$2:$B$37,Phone_by_Sentiment!K$2:K$37,"",0,1)),_xlfn.XLOOKUP($C354,Phone_by_Sentiment!$B$2:$B$37,Phone_by_Sentiment!K$2:K$37,"",0,1),0),$A354-TEXT(DATEVALUE($D354&amp;"-01"), "dd-mm-yyyy")),0),0)</f>
        <v>0</v>
      </c>
      <c r="L354" cm="1">
        <f t="array" ref="L354">IF($Q354&gt;=0,IFERROR(generateSalesData($D354, IF(ISNUMBER(_xlfn.XLOOKUP($C354,Phone_by_Sentiment!$B$2:$B$37,Phone_by_Sentiment!L$2:L$37,"",0,1)),_xlfn.XLOOKUP($C354,Phone_by_Sentiment!$B$2:$B$37,Phone_by_Sentiment!L$2:L$37,"",0,1),0),$A354-TEXT(DATEVALUE($D354&amp;"-01"), "dd-mm-yyyy")),0),0)</f>
        <v>0</v>
      </c>
      <c r="M354" cm="1">
        <f t="array" ref="M354">IF($Q354&gt;=0,IFERROR(generateSalesData($D354, IF(ISNUMBER(_xlfn.XLOOKUP($C354,Phone_by_Sentiment!$B$2:$B$37,Phone_by_Sentiment!M$2:M$37,"",0,1)),_xlfn.XLOOKUP($C354,Phone_by_Sentiment!$B$2:$B$37,Phone_by_Sentiment!M$2:M$37,"",0,1),0),$A354-TEXT(DATEVALUE($D354&amp;"-01"), "dd-mm-yyyy")),0),0)</f>
        <v>0</v>
      </c>
      <c r="N354" cm="1">
        <f t="array" ref="N354">IF($Q354&gt;=0,IFERROR(generateSalesData($D354, IF(ISNUMBER(_xlfn.XLOOKUP($C354,Phone_by_Sentiment!$B$2:$B$37,Phone_by_Sentiment!N$2:N$37,"",0,1)),_xlfn.XLOOKUP($C354,Phone_by_Sentiment!$B$2:$B$37,Phone_by_Sentiment!N$2:N$37,"",0,1),0),$A354-TEXT(DATEVALUE($D354&amp;"-01"), "dd-mm-yyyy")),0),0)</f>
        <v>0</v>
      </c>
      <c r="O354" cm="1">
        <f t="array" ref="O354">IF($Q354&gt;=0,IFERROR(generateSalesData($D354, IF(ISNUMBER(_xlfn.XLOOKUP($C354,Phone_by_Sentiment!$B$2:$B$37,Phone_by_Sentiment!O$2:O$37,"",0,1)),_xlfn.XLOOKUP($C354,Phone_by_Sentiment!$B$2:$B$37,Phone_by_Sentiment!O$2:O$37,"",0,1),0),$A354-TEXT(DATEVALUE($D354&amp;"-01"), "dd-mm-yyyy")),0),0)</f>
        <v>0</v>
      </c>
      <c r="P354" s="1">
        <f t="shared" si="13"/>
        <v>44228</v>
      </c>
      <c r="Q354">
        <f t="shared" si="14"/>
        <v>-458</v>
      </c>
    </row>
    <row r="355" spans="1:17" x14ac:dyDescent="0.25">
      <c r="A355" s="1">
        <f t="shared" si="12"/>
        <v>43770</v>
      </c>
      <c r="B355" t="s">
        <v>164</v>
      </c>
      <c r="C355" t="str">
        <f>_xlfn.XLOOKUP(B355,Phone_by_Price!$A$2:$A$34,Phone_by_Price!$B$2:$B$34,"-",0,1)</f>
        <v>Vivo V20</v>
      </c>
      <c r="D355" t="str">
        <f>_xlfn.XLOOKUP(C355,Phone_by_Sentiment!$B$2:$B$37,Phone_by_Sentiment!$A$2:$A$37,"-",0,1)</f>
        <v>2020-10</v>
      </c>
      <c r="E355" cm="1">
        <f t="array" ref="E355">IF($Q355&gt;=0,IFERROR(generateSalesData($D355, IF(ISNUMBER(_xlfn.XLOOKUP($C355,Phone_by_Sentiment!$B$2:$B$37,Phone_by_Sentiment!E$2:E$37,"",0,1)),_xlfn.XLOOKUP($C355,Phone_by_Sentiment!$B$2:$B$37,Phone_by_Sentiment!E$2:E$37,"",0,1),0),$A355-TEXT(DATEVALUE($D355&amp;"-01"), "dd-mm-yyyy")),0),0)</f>
        <v>0</v>
      </c>
      <c r="F355" cm="1">
        <f t="array" ref="F355">IF($Q355&gt;=0,IFERROR(generateSalesData($D355, IF(ISNUMBER(_xlfn.XLOOKUP($C355,Phone_by_Sentiment!$B$2:$B$37,Phone_by_Sentiment!F$2:F$37,"",0,1)),_xlfn.XLOOKUP($C355,Phone_by_Sentiment!$B$2:$B$37,Phone_by_Sentiment!F$2:F$37,"",0,1),0),$A355-TEXT(DATEVALUE($D355&amp;"-01"), "dd-mm-yyyy")),0),0)</f>
        <v>0</v>
      </c>
      <c r="G355" cm="1">
        <f t="array" ref="G355">IF($Q355&gt;=0,IFERROR(generateSalesData($D355, IF(ISNUMBER(_xlfn.XLOOKUP($C355,Phone_by_Sentiment!$B$2:$B$37,Phone_by_Sentiment!G$2:G$37,"",0,1)),_xlfn.XLOOKUP($C355,Phone_by_Sentiment!$B$2:$B$37,Phone_by_Sentiment!G$2:G$37,"",0,1),0),$A355-TEXT(DATEVALUE($D355&amp;"-01"), "dd-mm-yyyy")),0),0)</f>
        <v>0</v>
      </c>
      <c r="H355" cm="1">
        <f t="array" ref="H355">IF($Q355&gt;=0,IFERROR(generateSalesData($D355, IF(ISNUMBER(_xlfn.XLOOKUP($C355,Phone_by_Sentiment!$B$2:$B$37,Phone_by_Sentiment!H$2:H$37,"",0,1)),_xlfn.XLOOKUP($C355,Phone_by_Sentiment!$B$2:$B$37,Phone_by_Sentiment!H$2:H$37,"",0,1),0),$A355-TEXT(DATEVALUE($D355&amp;"-01"), "dd-mm-yyyy")),0),0)</f>
        <v>0</v>
      </c>
      <c r="I355" cm="1">
        <f t="array" ref="I355">IF($Q355&gt;=0,IFERROR(generateSalesData($D355, IF(ISNUMBER(_xlfn.XLOOKUP($C355,Phone_by_Sentiment!$B$2:$B$37,Phone_by_Sentiment!I$2:I$37,"",0,1)),_xlfn.XLOOKUP($C355,Phone_by_Sentiment!$B$2:$B$37,Phone_by_Sentiment!I$2:I$37,"",0,1),0),$A355-TEXT(DATEVALUE($D355&amp;"-01"), "dd-mm-yyyy")),0),0)</f>
        <v>0</v>
      </c>
      <c r="J355" cm="1">
        <f t="array" ref="J355">IF($Q355&gt;=0,IFERROR(generateSalesData($D355, IF(ISNUMBER(_xlfn.XLOOKUP($C355,Phone_by_Sentiment!$B$2:$B$37,Phone_by_Sentiment!J$2:J$37,"",0,1)),_xlfn.XLOOKUP($C355,Phone_by_Sentiment!$B$2:$B$37,Phone_by_Sentiment!J$2:J$37,"",0,1),0),$A355-TEXT(DATEVALUE($D355&amp;"-01"), "dd-mm-yyyy")),0),0)</f>
        <v>0</v>
      </c>
      <c r="K355" cm="1">
        <f t="array" ref="K355">IF($Q355&gt;=0,IFERROR(generateSalesData($D355, IF(ISNUMBER(_xlfn.XLOOKUP($C355,Phone_by_Sentiment!$B$2:$B$37,Phone_by_Sentiment!K$2:K$37,"",0,1)),_xlfn.XLOOKUP($C355,Phone_by_Sentiment!$B$2:$B$37,Phone_by_Sentiment!K$2:K$37,"",0,1),0),$A355-TEXT(DATEVALUE($D355&amp;"-01"), "dd-mm-yyyy")),0),0)</f>
        <v>0</v>
      </c>
      <c r="L355" cm="1">
        <f t="array" ref="L355">IF($Q355&gt;=0,IFERROR(generateSalesData($D355, IF(ISNUMBER(_xlfn.XLOOKUP($C355,Phone_by_Sentiment!$B$2:$B$37,Phone_by_Sentiment!L$2:L$37,"",0,1)),_xlfn.XLOOKUP($C355,Phone_by_Sentiment!$B$2:$B$37,Phone_by_Sentiment!L$2:L$37,"",0,1),0),$A355-TEXT(DATEVALUE($D355&amp;"-01"), "dd-mm-yyyy")),0),0)</f>
        <v>0</v>
      </c>
      <c r="M355" cm="1">
        <f t="array" ref="M355">IF($Q355&gt;=0,IFERROR(generateSalesData($D355, IF(ISNUMBER(_xlfn.XLOOKUP($C355,Phone_by_Sentiment!$B$2:$B$37,Phone_by_Sentiment!M$2:M$37,"",0,1)),_xlfn.XLOOKUP($C355,Phone_by_Sentiment!$B$2:$B$37,Phone_by_Sentiment!M$2:M$37,"",0,1),0),$A355-TEXT(DATEVALUE($D355&amp;"-01"), "dd-mm-yyyy")),0),0)</f>
        <v>0</v>
      </c>
      <c r="N355" cm="1">
        <f t="array" ref="N355">IF($Q355&gt;=0,IFERROR(generateSalesData($D355, IF(ISNUMBER(_xlfn.XLOOKUP($C355,Phone_by_Sentiment!$B$2:$B$37,Phone_by_Sentiment!N$2:N$37,"",0,1)),_xlfn.XLOOKUP($C355,Phone_by_Sentiment!$B$2:$B$37,Phone_by_Sentiment!N$2:N$37,"",0,1),0),$A355-TEXT(DATEVALUE($D355&amp;"-01"), "dd-mm-yyyy")),0),0)</f>
        <v>0</v>
      </c>
      <c r="O355" cm="1">
        <f t="array" ref="O355">IF($Q355&gt;=0,IFERROR(generateSalesData($D355, IF(ISNUMBER(_xlfn.XLOOKUP($C355,Phone_by_Sentiment!$B$2:$B$37,Phone_by_Sentiment!O$2:O$37,"",0,1)),_xlfn.XLOOKUP($C355,Phone_by_Sentiment!$B$2:$B$37,Phone_by_Sentiment!O$2:O$37,"",0,1),0),$A355-TEXT(DATEVALUE($D355&amp;"-01"), "dd-mm-yyyy")),0),0)</f>
        <v>0</v>
      </c>
      <c r="P355" s="1">
        <f t="shared" si="13"/>
        <v>44105</v>
      </c>
      <c r="Q355">
        <f t="shared" si="14"/>
        <v>-335</v>
      </c>
    </row>
    <row r="356" spans="1:17" x14ac:dyDescent="0.25">
      <c r="A356" s="1">
        <f t="shared" si="12"/>
        <v>43770</v>
      </c>
      <c r="B356" t="s">
        <v>165</v>
      </c>
      <c r="C356" t="str">
        <f>_xlfn.XLOOKUP(B356,Phone_by_Price!$A$2:$A$34,Phone_by_Price!$B$2:$B$34,"-",0,1)</f>
        <v>Samsung Galaxy A50</v>
      </c>
      <c r="D356" t="str">
        <f>_xlfn.XLOOKUP(C356,Phone_by_Sentiment!$B$2:$B$37,Phone_by_Sentiment!$A$2:$A$37,"-",0,1)</f>
        <v>2019-05</v>
      </c>
      <c r="E356" cm="1">
        <f t="array" ref="E356">IF($Q356&gt;=0,IFERROR(generateSalesData($D356, IF(ISNUMBER(_xlfn.XLOOKUP($C356,Phone_by_Sentiment!$B$2:$B$37,Phone_by_Sentiment!E$2:E$37,"",0,1)),_xlfn.XLOOKUP($C356,Phone_by_Sentiment!$B$2:$B$37,Phone_by_Sentiment!E$2:E$37,"",0,1),0),$A356-TEXT(DATEVALUE($D356&amp;"-01"), "dd-mm-yyyy")),0),0)</f>
        <v>1024</v>
      </c>
      <c r="F356" cm="1">
        <f t="array" ref="F356">IF($Q356&gt;=0,IFERROR(generateSalesData($D356, IF(ISNUMBER(_xlfn.XLOOKUP($C356,Phone_by_Sentiment!$B$2:$B$37,Phone_by_Sentiment!F$2:F$37,"",0,1)),_xlfn.XLOOKUP($C356,Phone_by_Sentiment!$B$2:$B$37,Phone_by_Sentiment!F$2:F$37,"",0,1),0),$A356-TEXT(DATEVALUE($D356&amp;"-01"), "dd-mm-yyyy")),0),0)</f>
        <v>167</v>
      </c>
      <c r="G356" cm="1">
        <f t="array" ref="G356">IF($Q356&gt;=0,IFERROR(generateSalesData($D356, IF(ISNUMBER(_xlfn.XLOOKUP($C356,Phone_by_Sentiment!$B$2:$B$37,Phone_by_Sentiment!G$2:G$37,"",0,1)),_xlfn.XLOOKUP($C356,Phone_by_Sentiment!$B$2:$B$37,Phone_by_Sentiment!G$2:G$37,"",0,1),0),$A356-TEXT(DATEVALUE($D356&amp;"-01"), "dd-mm-yyyy")),0),0)</f>
        <v>663</v>
      </c>
      <c r="H356" cm="1">
        <f t="array" ref="H356">IF($Q356&gt;=0,IFERROR(generateSalesData($D356, IF(ISNUMBER(_xlfn.XLOOKUP($C356,Phone_by_Sentiment!$B$2:$B$37,Phone_by_Sentiment!H$2:H$37,"",0,1)),_xlfn.XLOOKUP($C356,Phone_by_Sentiment!$B$2:$B$37,Phone_by_Sentiment!H$2:H$37,"",0,1),0),$A356-TEXT(DATEVALUE($D356&amp;"-01"), "dd-mm-yyyy")),0),0)</f>
        <v>2104</v>
      </c>
      <c r="I356" cm="1">
        <f t="array" ref="I356">IF($Q356&gt;=0,IFERROR(generateSalesData($D356, IF(ISNUMBER(_xlfn.XLOOKUP($C356,Phone_by_Sentiment!$B$2:$B$37,Phone_by_Sentiment!I$2:I$37,"",0,1)),_xlfn.XLOOKUP($C356,Phone_by_Sentiment!$B$2:$B$37,Phone_by_Sentiment!I$2:I$37,"",0,1),0),$A356-TEXT(DATEVALUE($D356&amp;"-01"), "dd-mm-yyyy")),0),0)</f>
        <v>453</v>
      </c>
      <c r="J356" cm="1">
        <f t="array" ref="J356">IF($Q356&gt;=0,IFERROR(generateSalesData($D356, IF(ISNUMBER(_xlfn.XLOOKUP($C356,Phone_by_Sentiment!$B$2:$B$37,Phone_by_Sentiment!J$2:J$37,"",0,1)),_xlfn.XLOOKUP($C356,Phone_by_Sentiment!$B$2:$B$37,Phone_by_Sentiment!J$2:J$37,"",0,1),0),$A356-TEXT(DATEVALUE($D356&amp;"-01"), "dd-mm-yyyy")),0),0)</f>
        <v>646</v>
      </c>
      <c r="K356" cm="1">
        <f t="array" ref="K356">IF($Q356&gt;=0,IFERROR(generateSalesData($D356, IF(ISNUMBER(_xlfn.XLOOKUP($C356,Phone_by_Sentiment!$B$2:$B$37,Phone_by_Sentiment!K$2:K$37,"",0,1)),_xlfn.XLOOKUP($C356,Phone_by_Sentiment!$B$2:$B$37,Phone_by_Sentiment!K$2:K$37,"",0,1),0),$A356-TEXT(DATEVALUE($D356&amp;"-01"), "dd-mm-yyyy")),0),0)</f>
        <v>429</v>
      </c>
      <c r="L356" cm="1">
        <f t="array" ref="L356">IF($Q356&gt;=0,IFERROR(generateSalesData($D356, IF(ISNUMBER(_xlfn.XLOOKUP($C356,Phone_by_Sentiment!$B$2:$B$37,Phone_by_Sentiment!L$2:L$37,"",0,1)),_xlfn.XLOOKUP($C356,Phone_by_Sentiment!$B$2:$B$37,Phone_by_Sentiment!L$2:L$37,"",0,1),0),$A356-TEXT(DATEVALUE($D356&amp;"-01"), "dd-mm-yyyy")),0),0)</f>
        <v>1441</v>
      </c>
      <c r="M356" cm="1">
        <f t="array" ref="M356">IF($Q356&gt;=0,IFERROR(generateSalesData($D356, IF(ISNUMBER(_xlfn.XLOOKUP($C356,Phone_by_Sentiment!$B$2:$B$37,Phone_by_Sentiment!M$2:M$37,"",0,1)),_xlfn.XLOOKUP($C356,Phone_by_Sentiment!$B$2:$B$37,Phone_by_Sentiment!M$2:M$37,"",0,1),0),$A356-TEXT(DATEVALUE($D356&amp;"-01"), "dd-mm-yyyy")),0),0)</f>
        <v>223</v>
      </c>
      <c r="N356" cm="1">
        <f t="array" ref="N356">IF($Q356&gt;=0,IFERROR(generateSalesData($D356, IF(ISNUMBER(_xlfn.XLOOKUP($C356,Phone_by_Sentiment!$B$2:$B$37,Phone_by_Sentiment!N$2:N$37,"",0,1)),_xlfn.XLOOKUP($C356,Phone_by_Sentiment!$B$2:$B$37,Phone_by_Sentiment!N$2:N$37,"",0,1),0),$A356-TEXT(DATEVALUE($D356&amp;"-01"), "dd-mm-yyyy")),0),0)</f>
        <v>240</v>
      </c>
      <c r="O356" cm="1">
        <f t="array" ref="O356">IF($Q356&gt;=0,IFERROR(generateSalesData($D356, IF(ISNUMBER(_xlfn.XLOOKUP($C356,Phone_by_Sentiment!$B$2:$B$37,Phone_by_Sentiment!O$2:O$37,"",0,1)),_xlfn.XLOOKUP($C356,Phone_by_Sentiment!$B$2:$B$37,Phone_by_Sentiment!O$2:O$37,"",0,1),0),$A356-TEXT(DATEVALUE($D356&amp;"-01"), "dd-mm-yyyy")),0),0)</f>
        <v>507</v>
      </c>
      <c r="P356" s="1">
        <f t="shared" si="13"/>
        <v>43586</v>
      </c>
      <c r="Q356">
        <f t="shared" si="14"/>
        <v>184</v>
      </c>
    </row>
    <row r="357" spans="1:17" x14ac:dyDescent="0.25">
      <c r="A357" s="1">
        <f t="shared" si="12"/>
        <v>43770</v>
      </c>
      <c r="B357" t="s">
        <v>166</v>
      </c>
      <c r="C357" t="str">
        <f>_xlfn.XLOOKUP(B357,Phone_by_Price!$A$2:$A$34,Phone_by_Price!$B$2:$B$34,"-",0,1)</f>
        <v>Xiaomi Redmi Note 7</v>
      </c>
      <c r="D357" t="str">
        <f>_xlfn.XLOOKUP(C357,Phone_by_Sentiment!$B$2:$B$37,Phone_by_Sentiment!$A$2:$A$37,"-",0,1)</f>
        <v>2019-08</v>
      </c>
      <c r="E357" cm="1">
        <f t="array" ref="E357">IF($Q357&gt;=0,IFERROR(generateSalesData($D357, IF(ISNUMBER(_xlfn.XLOOKUP($C357,Phone_by_Sentiment!$B$2:$B$37,Phone_by_Sentiment!E$2:E$37,"",0,1)),_xlfn.XLOOKUP($C357,Phone_by_Sentiment!$B$2:$B$37,Phone_by_Sentiment!E$2:E$37,"",0,1),0),$A357-TEXT(DATEVALUE($D357&amp;"-01"), "dd-mm-yyyy")),0),0)</f>
        <v>1021</v>
      </c>
      <c r="F357" cm="1">
        <f t="array" ref="F357">IF($Q357&gt;=0,IFERROR(generateSalesData($D357, IF(ISNUMBER(_xlfn.XLOOKUP($C357,Phone_by_Sentiment!$B$2:$B$37,Phone_by_Sentiment!F$2:F$37,"",0,1)),_xlfn.XLOOKUP($C357,Phone_by_Sentiment!$B$2:$B$37,Phone_by_Sentiment!F$2:F$37,"",0,1),0),$A357-TEXT(DATEVALUE($D357&amp;"-01"), "dd-mm-yyyy")),0),0)</f>
        <v>742</v>
      </c>
      <c r="G357" cm="1">
        <f t="array" ref="G357">IF($Q357&gt;=0,IFERROR(generateSalesData($D357, IF(ISNUMBER(_xlfn.XLOOKUP($C357,Phone_by_Sentiment!$B$2:$B$37,Phone_by_Sentiment!G$2:G$37,"",0,1)),_xlfn.XLOOKUP($C357,Phone_by_Sentiment!$B$2:$B$37,Phone_by_Sentiment!G$2:G$37,"",0,1),0),$A357-TEXT(DATEVALUE($D357&amp;"-01"), "dd-mm-yyyy")),0),0)</f>
        <v>619</v>
      </c>
      <c r="H357" cm="1">
        <f t="array" ref="H357">IF($Q357&gt;=0,IFERROR(generateSalesData($D357, IF(ISNUMBER(_xlfn.XLOOKUP($C357,Phone_by_Sentiment!$B$2:$B$37,Phone_by_Sentiment!H$2:H$37,"",0,1)),_xlfn.XLOOKUP($C357,Phone_by_Sentiment!$B$2:$B$37,Phone_by_Sentiment!H$2:H$37,"",0,1),0),$A357-TEXT(DATEVALUE($D357&amp;"-01"), "dd-mm-yyyy")),0),0)</f>
        <v>2132</v>
      </c>
      <c r="I357" cm="1">
        <f t="array" ref="I357">IF($Q357&gt;=0,IFERROR(generateSalesData($D357, IF(ISNUMBER(_xlfn.XLOOKUP($C357,Phone_by_Sentiment!$B$2:$B$37,Phone_by_Sentiment!I$2:I$37,"",0,1)),_xlfn.XLOOKUP($C357,Phone_by_Sentiment!$B$2:$B$37,Phone_by_Sentiment!I$2:I$37,"",0,1),0),$A357-TEXT(DATEVALUE($D357&amp;"-01"), "dd-mm-yyyy")),0),0)</f>
        <v>266</v>
      </c>
      <c r="J357" cm="1">
        <f t="array" ref="J357">IF($Q357&gt;=0,IFERROR(generateSalesData($D357, IF(ISNUMBER(_xlfn.XLOOKUP($C357,Phone_by_Sentiment!$B$2:$B$37,Phone_by_Sentiment!J$2:J$37,"",0,1)),_xlfn.XLOOKUP($C357,Phone_by_Sentiment!$B$2:$B$37,Phone_by_Sentiment!J$2:J$37,"",0,1),0),$A357-TEXT(DATEVALUE($D357&amp;"-01"), "dd-mm-yyyy")),0),0)</f>
        <v>1127</v>
      </c>
      <c r="K357" cm="1">
        <f t="array" ref="K357">IF($Q357&gt;=0,IFERROR(generateSalesData($D357, IF(ISNUMBER(_xlfn.XLOOKUP($C357,Phone_by_Sentiment!$B$2:$B$37,Phone_by_Sentiment!K$2:K$37,"",0,1)),_xlfn.XLOOKUP($C357,Phone_by_Sentiment!$B$2:$B$37,Phone_by_Sentiment!K$2:K$37,"",0,1),0),$A357-TEXT(DATEVALUE($D357&amp;"-01"), "dd-mm-yyyy")),0),0)</f>
        <v>2644</v>
      </c>
      <c r="L357" cm="1">
        <f t="array" ref="L357">IF($Q357&gt;=0,IFERROR(generateSalesData($D357, IF(ISNUMBER(_xlfn.XLOOKUP($C357,Phone_by_Sentiment!$B$2:$B$37,Phone_by_Sentiment!L$2:L$37,"",0,1)),_xlfn.XLOOKUP($C357,Phone_by_Sentiment!$B$2:$B$37,Phone_by_Sentiment!L$2:L$37,"",0,1),0),$A357-TEXT(DATEVALUE($D357&amp;"-01"), "dd-mm-yyyy")),0),0)</f>
        <v>630</v>
      </c>
      <c r="M357" cm="1">
        <f t="array" ref="M357">IF($Q357&gt;=0,IFERROR(generateSalesData($D357, IF(ISNUMBER(_xlfn.XLOOKUP($C357,Phone_by_Sentiment!$B$2:$B$37,Phone_by_Sentiment!M$2:M$37,"",0,1)),_xlfn.XLOOKUP($C357,Phone_by_Sentiment!$B$2:$B$37,Phone_by_Sentiment!M$2:M$37,"",0,1),0),$A357-TEXT(DATEVALUE($D357&amp;"-01"), "dd-mm-yyyy")),0),0)</f>
        <v>278</v>
      </c>
      <c r="N357" cm="1">
        <f t="array" ref="N357">IF($Q357&gt;=0,IFERROR(generateSalesData($D357, IF(ISNUMBER(_xlfn.XLOOKUP($C357,Phone_by_Sentiment!$B$2:$B$37,Phone_by_Sentiment!N$2:N$37,"",0,1)),_xlfn.XLOOKUP($C357,Phone_by_Sentiment!$B$2:$B$37,Phone_by_Sentiment!N$2:N$37,"",0,1),0),$A357-TEXT(DATEVALUE($D357&amp;"-01"), "dd-mm-yyyy")),0),0)</f>
        <v>682</v>
      </c>
      <c r="O357" cm="1">
        <f t="array" ref="O357">IF($Q357&gt;=0,IFERROR(generateSalesData($D357, IF(ISNUMBER(_xlfn.XLOOKUP($C357,Phone_by_Sentiment!$B$2:$B$37,Phone_by_Sentiment!O$2:O$37,"",0,1)),_xlfn.XLOOKUP($C357,Phone_by_Sentiment!$B$2:$B$37,Phone_by_Sentiment!O$2:O$37,"",0,1),0),$A357-TEXT(DATEVALUE($D357&amp;"-01"), "dd-mm-yyyy")),0),0)</f>
        <v>2020</v>
      </c>
      <c r="P357" s="1">
        <f t="shared" si="13"/>
        <v>43678</v>
      </c>
      <c r="Q357">
        <f t="shared" si="14"/>
        <v>92</v>
      </c>
    </row>
    <row r="358" spans="1:17" x14ac:dyDescent="0.25">
      <c r="A358" s="1">
        <f t="shared" si="12"/>
        <v>43770</v>
      </c>
      <c r="B358" t="s">
        <v>167</v>
      </c>
      <c r="C358" t="str">
        <f>_xlfn.XLOOKUP(B358,Phone_by_Price!$A$2:$A$34,Phone_by_Price!$B$2:$B$34,"-",0,1)</f>
        <v>Realme C21</v>
      </c>
      <c r="D358" t="str">
        <f>_xlfn.XLOOKUP(C358,Phone_by_Sentiment!$B$2:$B$37,Phone_by_Sentiment!$A$2:$A$37,"-",0,1)</f>
        <v>2021-04</v>
      </c>
      <c r="E358" cm="1">
        <f t="array" ref="E358">IF($Q358&gt;=0,IFERROR(generateSalesData($D358, IF(ISNUMBER(_xlfn.XLOOKUP($C358,Phone_by_Sentiment!$B$2:$B$37,Phone_by_Sentiment!E$2:E$37,"",0,1)),_xlfn.XLOOKUP($C358,Phone_by_Sentiment!$B$2:$B$37,Phone_by_Sentiment!E$2:E$37,"",0,1),0),$A358-TEXT(DATEVALUE($D358&amp;"-01"), "dd-mm-yyyy")),0),0)</f>
        <v>0</v>
      </c>
      <c r="F358" cm="1">
        <f t="array" ref="F358">IF($Q358&gt;=0,IFERROR(generateSalesData($D358, IF(ISNUMBER(_xlfn.XLOOKUP($C358,Phone_by_Sentiment!$B$2:$B$37,Phone_by_Sentiment!F$2:F$37,"",0,1)),_xlfn.XLOOKUP($C358,Phone_by_Sentiment!$B$2:$B$37,Phone_by_Sentiment!F$2:F$37,"",0,1),0),$A358-TEXT(DATEVALUE($D358&amp;"-01"), "dd-mm-yyyy")),0),0)</f>
        <v>0</v>
      </c>
      <c r="G358" cm="1">
        <f t="array" ref="G358">IF($Q358&gt;=0,IFERROR(generateSalesData($D358, IF(ISNUMBER(_xlfn.XLOOKUP($C358,Phone_by_Sentiment!$B$2:$B$37,Phone_by_Sentiment!G$2:G$37,"",0,1)),_xlfn.XLOOKUP($C358,Phone_by_Sentiment!$B$2:$B$37,Phone_by_Sentiment!G$2:G$37,"",0,1),0),$A358-TEXT(DATEVALUE($D358&amp;"-01"), "dd-mm-yyyy")),0),0)</f>
        <v>0</v>
      </c>
      <c r="H358" cm="1">
        <f t="array" ref="H358">IF($Q358&gt;=0,IFERROR(generateSalesData($D358, IF(ISNUMBER(_xlfn.XLOOKUP($C358,Phone_by_Sentiment!$B$2:$B$37,Phone_by_Sentiment!H$2:H$37,"",0,1)),_xlfn.XLOOKUP($C358,Phone_by_Sentiment!$B$2:$B$37,Phone_by_Sentiment!H$2:H$37,"",0,1),0),$A358-TEXT(DATEVALUE($D358&amp;"-01"), "dd-mm-yyyy")),0),0)</f>
        <v>0</v>
      </c>
      <c r="I358" cm="1">
        <f t="array" ref="I358">IF($Q358&gt;=0,IFERROR(generateSalesData($D358, IF(ISNUMBER(_xlfn.XLOOKUP($C358,Phone_by_Sentiment!$B$2:$B$37,Phone_by_Sentiment!I$2:I$37,"",0,1)),_xlfn.XLOOKUP($C358,Phone_by_Sentiment!$B$2:$B$37,Phone_by_Sentiment!I$2:I$37,"",0,1),0),$A358-TEXT(DATEVALUE($D358&amp;"-01"), "dd-mm-yyyy")),0),0)</f>
        <v>0</v>
      </c>
      <c r="J358" cm="1">
        <f t="array" ref="J358">IF($Q358&gt;=0,IFERROR(generateSalesData($D358, IF(ISNUMBER(_xlfn.XLOOKUP($C358,Phone_by_Sentiment!$B$2:$B$37,Phone_by_Sentiment!J$2:J$37,"",0,1)),_xlfn.XLOOKUP($C358,Phone_by_Sentiment!$B$2:$B$37,Phone_by_Sentiment!J$2:J$37,"",0,1),0),$A358-TEXT(DATEVALUE($D358&amp;"-01"), "dd-mm-yyyy")),0),0)</f>
        <v>0</v>
      </c>
      <c r="K358" cm="1">
        <f t="array" ref="K358">IF($Q358&gt;=0,IFERROR(generateSalesData($D358, IF(ISNUMBER(_xlfn.XLOOKUP($C358,Phone_by_Sentiment!$B$2:$B$37,Phone_by_Sentiment!K$2:K$37,"",0,1)),_xlfn.XLOOKUP($C358,Phone_by_Sentiment!$B$2:$B$37,Phone_by_Sentiment!K$2:K$37,"",0,1),0),$A358-TEXT(DATEVALUE($D358&amp;"-01"), "dd-mm-yyyy")),0),0)</f>
        <v>0</v>
      </c>
      <c r="L358" cm="1">
        <f t="array" ref="L358">IF($Q358&gt;=0,IFERROR(generateSalesData($D358, IF(ISNUMBER(_xlfn.XLOOKUP($C358,Phone_by_Sentiment!$B$2:$B$37,Phone_by_Sentiment!L$2:L$37,"",0,1)),_xlfn.XLOOKUP($C358,Phone_by_Sentiment!$B$2:$B$37,Phone_by_Sentiment!L$2:L$37,"",0,1),0),$A358-TEXT(DATEVALUE($D358&amp;"-01"), "dd-mm-yyyy")),0),0)</f>
        <v>0</v>
      </c>
      <c r="M358" cm="1">
        <f t="array" ref="M358">IF($Q358&gt;=0,IFERROR(generateSalesData($D358, IF(ISNUMBER(_xlfn.XLOOKUP($C358,Phone_by_Sentiment!$B$2:$B$37,Phone_by_Sentiment!M$2:M$37,"",0,1)),_xlfn.XLOOKUP($C358,Phone_by_Sentiment!$B$2:$B$37,Phone_by_Sentiment!M$2:M$37,"",0,1),0),$A358-TEXT(DATEVALUE($D358&amp;"-01"), "dd-mm-yyyy")),0),0)</f>
        <v>0</v>
      </c>
      <c r="N358" cm="1">
        <f t="array" ref="N358">IF($Q358&gt;=0,IFERROR(generateSalesData($D358, IF(ISNUMBER(_xlfn.XLOOKUP($C358,Phone_by_Sentiment!$B$2:$B$37,Phone_by_Sentiment!N$2:N$37,"",0,1)),_xlfn.XLOOKUP($C358,Phone_by_Sentiment!$B$2:$B$37,Phone_by_Sentiment!N$2:N$37,"",0,1),0),$A358-TEXT(DATEVALUE($D358&amp;"-01"), "dd-mm-yyyy")),0),0)</f>
        <v>0</v>
      </c>
      <c r="O358" cm="1">
        <f t="array" ref="O358">IF($Q358&gt;=0,IFERROR(generateSalesData($D358, IF(ISNUMBER(_xlfn.XLOOKUP($C358,Phone_by_Sentiment!$B$2:$B$37,Phone_by_Sentiment!O$2:O$37,"",0,1)),_xlfn.XLOOKUP($C358,Phone_by_Sentiment!$B$2:$B$37,Phone_by_Sentiment!O$2:O$37,"",0,1),0),$A358-TEXT(DATEVALUE($D358&amp;"-01"), "dd-mm-yyyy")),0),0)</f>
        <v>0</v>
      </c>
      <c r="P358" s="1">
        <f t="shared" si="13"/>
        <v>44287</v>
      </c>
      <c r="Q358">
        <f t="shared" si="14"/>
        <v>-517</v>
      </c>
    </row>
    <row r="359" spans="1:17" x14ac:dyDescent="0.25">
      <c r="A359" s="1">
        <f t="shared" si="12"/>
        <v>43770</v>
      </c>
      <c r="B359" t="s">
        <v>168</v>
      </c>
      <c r="C359" t="str">
        <f>_xlfn.XLOOKUP(B359,Phone_by_Price!$A$2:$A$34,Phone_by_Price!$B$2:$B$34,"-",0,1)</f>
        <v>Google Pixel 4</v>
      </c>
      <c r="D359" t="str">
        <f>_xlfn.XLOOKUP(C359,Phone_by_Sentiment!$B$2:$B$37,Phone_by_Sentiment!$A$2:$A$37,"-",0,1)</f>
        <v>2019-09</v>
      </c>
      <c r="E359" cm="1">
        <f t="array" ref="E359">IF($Q359&gt;=0,IFERROR(generateSalesData($D359, IF(ISNUMBER(_xlfn.XLOOKUP($C359,Phone_by_Sentiment!$B$2:$B$37,Phone_by_Sentiment!E$2:E$37,"",0,1)),_xlfn.XLOOKUP($C359,Phone_by_Sentiment!$B$2:$B$37,Phone_by_Sentiment!E$2:E$37,"",0,1),0),$A359-TEXT(DATEVALUE($D359&amp;"-01"), "dd-mm-yyyy")),0),0)</f>
        <v>4220</v>
      </c>
      <c r="F359" cm="1">
        <f t="array" ref="F359">IF($Q359&gt;=0,IFERROR(generateSalesData($D359, IF(ISNUMBER(_xlfn.XLOOKUP($C359,Phone_by_Sentiment!$B$2:$B$37,Phone_by_Sentiment!F$2:F$37,"",0,1)),_xlfn.XLOOKUP($C359,Phone_by_Sentiment!$B$2:$B$37,Phone_by_Sentiment!F$2:F$37,"",0,1),0),$A359-TEXT(DATEVALUE($D359&amp;"-01"), "dd-mm-yyyy")),0),0)</f>
        <v>1057</v>
      </c>
      <c r="G359" cm="1">
        <f t="array" ref="G359">IF($Q359&gt;=0,IFERROR(generateSalesData($D359, IF(ISNUMBER(_xlfn.XLOOKUP($C359,Phone_by_Sentiment!$B$2:$B$37,Phone_by_Sentiment!G$2:G$37,"",0,1)),_xlfn.XLOOKUP($C359,Phone_by_Sentiment!$B$2:$B$37,Phone_by_Sentiment!G$2:G$37,"",0,1),0),$A359-TEXT(DATEVALUE($D359&amp;"-01"), "dd-mm-yyyy")),0),0)</f>
        <v>851</v>
      </c>
      <c r="H359" cm="1">
        <f t="array" ref="H359">IF($Q359&gt;=0,IFERROR(generateSalesData($D359, IF(ISNUMBER(_xlfn.XLOOKUP($C359,Phone_by_Sentiment!$B$2:$B$37,Phone_by_Sentiment!H$2:H$37,"",0,1)),_xlfn.XLOOKUP($C359,Phone_by_Sentiment!$B$2:$B$37,Phone_by_Sentiment!H$2:H$37,"",0,1),0),$A359-TEXT(DATEVALUE($D359&amp;"-01"), "dd-mm-yyyy")),0),0)</f>
        <v>780</v>
      </c>
      <c r="I359" cm="1">
        <f t="array" ref="I359">IF($Q359&gt;=0,IFERROR(generateSalesData($D359, IF(ISNUMBER(_xlfn.XLOOKUP($C359,Phone_by_Sentiment!$B$2:$B$37,Phone_by_Sentiment!I$2:I$37,"",0,1)),_xlfn.XLOOKUP($C359,Phone_by_Sentiment!$B$2:$B$37,Phone_by_Sentiment!I$2:I$37,"",0,1),0),$A359-TEXT(DATEVALUE($D359&amp;"-01"), "dd-mm-yyyy")),0),0)</f>
        <v>986</v>
      </c>
      <c r="J359" cm="1">
        <f t="array" ref="J359">IF($Q359&gt;=0,IFERROR(generateSalesData($D359, IF(ISNUMBER(_xlfn.XLOOKUP($C359,Phone_by_Sentiment!$B$2:$B$37,Phone_by_Sentiment!J$2:J$37,"",0,1)),_xlfn.XLOOKUP($C359,Phone_by_Sentiment!$B$2:$B$37,Phone_by_Sentiment!J$2:J$37,"",0,1),0),$A359-TEXT(DATEVALUE($D359&amp;"-01"), "dd-mm-yyyy")),0),0)</f>
        <v>976</v>
      </c>
      <c r="K359" cm="1">
        <f t="array" ref="K359">IF($Q359&gt;=0,IFERROR(generateSalesData($D359, IF(ISNUMBER(_xlfn.XLOOKUP($C359,Phone_by_Sentiment!$B$2:$B$37,Phone_by_Sentiment!K$2:K$37,"",0,1)),_xlfn.XLOOKUP($C359,Phone_by_Sentiment!$B$2:$B$37,Phone_by_Sentiment!K$2:K$37,"",0,1),0),$A359-TEXT(DATEVALUE($D359&amp;"-01"), "dd-mm-yyyy")),0),0)</f>
        <v>1077</v>
      </c>
      <c r="L359" cm="1">
        <f t="array" ref="L359">IF($Q359&gt;=0,IFERROR(generateSalesData($D359, IF(ISNUMBER(_xlfn.XLOOKUP($C359,Phone_by_Sentiment!$B$2:$B$37,Phone_by_Sentiment!L$2:L$37,"",0,1)),_xlfn.XLOOKUP($C359,Phone_by_Sentiment!$B$2:$B$37,Phone_by_Sentiment!L$2:L$37,"",0,1),0),$A359-TEXT(DATEVALUE($D359&amp;"-01"), "dd-mm-yyyy")),0),0)</f>
        <v>1921</v>
      </c>
      <c r="M359" cm="1">
        <f t="array" ref="M359">IF($Q359&gt;=0,IFERROR(generateSalesData($D359, IF(ISNUMBER(_xlfn.XLOOKUP($C359,Phone_by_Sentiment!$B$2:$B$37,Phone_by_Sentiment!M$2:M$37,"",0,1)),_xlfn.XLOOKUP($C359,Phone_by_Sentiment!$B$2:$B$37,Phone_by_Sentiment!M$2:M$37,"",0,1),0),$A359-TEXT(DATEVALUE($D359&amp;"-01"), "dd-mm-yyyy")),0),0)</f>
        <v>1370</v>
      </c>
      <c r="N359" cm="1">
        <f t="array" ref="N359">IF($Q359&gt;=0,IFERROR(generateSalesData($D359, IF(ISNUMBER(_xlfn.XLOOKUP($C359,Phone_by_Sentiment!$B$2:$B$37,Phone_by_Sentiment!N$2:N$37,"",0,1)),_xlfn.XLOOKUP($C359,Phone_by_Sentiment!$B$2:$B$37,Phone_by_Sentiment!N$2:N$37,"",0,1),0),$A359-TEXT(DATEVALUE($D359&amp;"-01"), "dd-mm-yyyy")),0),0)</f>
        <v>4876</v>
      </c>
      <c r="O359" cm="1">
        <f t="array" ref="O359">IF($Q359&gt;=0,IFERROR(generateSalesData($D359, IF(ISNUMBER(_xlfn.XLOOKUP($C359,Phone_by_Sentiment!$B$2:$B$37,Phone_by_Sentiment!O$2:O$37,"",0,1)),_xlfn.XLOOKUP($C359,Phone_by_Sentiment!$B$2:$B$37,Phone_by_Sentiment!O$2:O$37,"",0,1),0),$A359-TEXT(DATEVALUE($D359&amp;"-01"), "dd-mm-yyyy")),0),0)</f>
        <v>851</v>
      </c>
      <c r="P359" s="1">
        <f t="shared" si="13"/>
        <v>43709</v>
      </c>
      <c r="Q359">
        <f t="shared" si="14"/>
        <v>61</v>
      </c>
    </row>
    <row r="360" spans="1:17" x14ac:dyDescent="0.25">
      <c r="A360" s="1">
        <f t="shared" si="12"/>
        <v>43770</v>
      </c>
      <c r="B360" t="s">
        <v>169</v>
      </c>
      <c r="C360" t="str">
        <f>_xlfn.XLOOKUP(B360,Phone_by_Price!$A$2:$A$34,Phone_by_Price!$B$2:$B$34,"-",0,1)</f>
        <v>Samsung Galaxy A10s</v>
      </c>
      <c r="D360" t="str">
        <f>_xlfn.XLOOKUP(C360,Phone_by_Sentiment!$B$2:$B$37,Phone_by_Sentiment!$A$2:$A$37,"-",0,1)</f>
        <v>2019-08</v>
      </c>
      <c r="E360" cm="1">
        <f t="array" ref="E360">IF($Q360&gt;=0,IFERROR(generateSalesData($D360, IF(ISNUMBER(_xlfn.XLOOKUP($C360,Phone_by_Sentiment!$B$2:$B$37,Phone_by_Sentiment!E$2:E$37,"",0,1)),_xlfn.XLOOKUP($C360,Phone_by_Sentiment!$B$2:$B$37,Phone_by_Sentiment!E$2:E$37,"",0,1),0),$A360-TEXT(DATEVALUE($D360&amp;"-01"), "dd-mm-yyyy")),0),0)</f>
        <v>934</v>
      </c>
      <c r="F360" cm="1">
        <f t="array" ref="F360">IF($Q360&gt;=0,IFERROR(generateSalesData($D360, IF(ISNUMBER(_xlfn.XLOOKUP($C360,Phone_by_Sentiment!$B$2:$B$37,Phone_by_Sentiment!F$2:F$37,"",0,1)),_xlfn.XLOOKUP($C360,Phone_by_Sentiment!$B$2:$B$37,Phone_by_Sentiment!F$2:F$37,"",0,1),0),$A360-TEXT(DATEVALUE($D360&amp;"-01"), "dd-mm-yyyy")),0),0)</f>
        <v>1233</v>
      </c>
      <c r="G360" cm="1">
        <f t="array" ref="G360">IF($Q360&gt;=0,IFERROR(generateSalesData($D360, IF(ISNUMBER(_xlfn.XLOOKUP($C360,Phone_by_Sentiment!$B$2:$B$37,Phone_by_Sentiment!G$2:G$37,"",0,1)),_xlfn.XLOOKUP($C360,Phone_by_Sentiment!$B$2:$B$37,Phone_by_Sentiment!G$2:G$37,"",0,1),0),$A360-TEXT(DATEVALUE($D360&amp;"-01"), "dd-mm-yyyy")),0),0)</f>
        <v>632</v>
      </c>
      <c r="H360" cm="1">
        <f t="array" ref="H360">IF($Q360&gt;=0,IFERROR(generateSalesData($D360, IF(ISNUMBER(_xlfn.XLOOKUP($C360,Phone_by_Sentiment!$B$2:$B$37,Phone_by_Sentiment!H$2:H$37,"",0,1)),_xlfn.XLOOKUP($C360,Phone_by_Sentiment!$B$2:$B$37,Phone_by_Sentiment!H$2:H$37,"",0,1),0),$A360-TEXT(DATEVALUE($D360&amp;"-01"), "dd-mm-yyyy")),0),0)</f>
        <v>3711</v>
      </c>
      <c r="I360" cm="1">
        <f t="array" ref="I360">IF($Q360&gt;=0,IFERROR(generateSalesData($D360, IF(ISNUMBER(_xlfn.XLOOKUP($C360,Phone_by_Sentiment!$B$2:$B$37,Phone_by_Sentiment!I$2:I$37,"",0,1)),_xlfn.XLOOKUP($C360,Phone_by_Sentiment!$B$2:$B$37,Phone_by_Sentiment!I$2:I$37,"",0,1),0),$A360-TEXT(DATEVALUE($D360&amp;"-01"), "dd-mm-yyyy")),0),0)</f>
        <v>1445</v>
      </c>
      <c r="J360" cm="1">
        <f t="array" ref="J360">IF($Q360&gt;=0,IFERROR(generateSalesData($D360, IF(ISNUMBER(_xlfn.XLOOKUP($C360,Phone_by_Sentiment!$B$2:$B$37,Phone_by_Sentiment!J$2:J$37,"",0,1)),_xlfn.XLOOKUP($C360,Phone_by_Sentiment!$B$2:$B$37,Phone_by_Sentiment!J$2:J$37,"",0,1),0),$A360-TEXT(DATEVALUE($D360&amp;"-01"), "dd-mm-yyyy")),0),0)</f>
        <v>1208</v>
      </c>
      <c r="K360" cm="1">
        <f t="array" ref="K360">IF($Q360&gt;=0,IFERROR(generateSalesData($D360, IF(ISNUMBER(_xlfn.XLOOKUP($C360,Phone_by_Sentiment!$B$2:$B$37,Phone_by_Sentiment!K$2:K$37,"",0,1)),_xlfn.XLOOKUP($C360,Phone_by_Sentiment!$B$2:$B$37,Phone_by_Sentiment!K$2:K$37,"",0,1),0),$A360-TEXT(DATEVALUE($D360&amp;"-01"), "dd-mm-yyyy")),0),0)</f>
        <v>2269</v>
      </c>
      <c r="L360" cm="1">
        <f t="array" ref="L360">IF($Q360&gt;=0,IFERROR(generateSalesData($D360, IF(ISNUMBER(_xlfn.XLOOKUP($C360,Phone_by_Sentiment!$B$2:$B$37,Phone_by_Sentiment!L$2:L$37,"",0,1)),_xlfn.XLOOKUP($C360,Phone_by_Sentiment!$B$2:$B$37,Phone_by_Sentiment!L$2:L$37,"",0,1),0),$A360-TEXT(DATEVALUE($D360&amp;"-01"), "dd-mm-yyyy")),0),0)</f>
        <v>600</v>
      </c>
      <c r="M360" cm="1">
        <f t="array" ref="M360">IF($Q360&gt;=0,IFERROR(generateSalesData($D360, IF(ISNUMBER(_xlfn.XLOOKUP($C360,Phone_by_Sentiment!$B$2:$B$37,Phone_by_Sentiment!M$2:M$37,"",0,1)),_xlfn.XLOOKUP($C360,Phone_by_Sentiment!$B$2:$B$37,Phone_by_Sentiment!M$2:M$37,"",0,1),0),$A360-TEXT(DATEVALUE($D360&amp;"-01"), "dd-mm-yyyy")),0),0)</f>
        <v>1416</v>
      </c>
      <c r="N360" cm="1">
        <f t="array" ref="N360">IF($Q360&gt;=0,IFERROR(generateSalesData($D360, IF(ISNUMBER(_xlfn.XLOOKUP($C360,Phone_by_Sentiment!$B$2:$B$37,Phone_by_Sentiment!N$2:N$37,"",0,1)),_xlfn.XLOOKUP($C360,Phone_by_Sentiment!$B$2:$B$37,Phone_by_Sentiment!N$2:N$37,"",0,1),0),$A360-TEXT(DATEVALUE($D360&amp;"-01"), "dd-mm-yyyy")),0),0)</f>
        <v>391</v>
      </c>
      <c r="O360" cm="1">
        <f t="array" ref="O360">IF($Q360&gt;=0,IFERROR(generateSalesData($D360, IF(ISNUMBER(_xlfn.XLOOKUP($C360,Phone_by_Sentiment!$B$2:$B$37,Phone_by_Sentiment!O$2:O$37,"",0,1)),_xlfn.XLOOKUP($C360,Phone_by_Sentiment!$B$2:$B$37,Phone_by_Sentiment!O$2:O$37,"",0,1),0),$A360-TEXT(DATEVALUE($D360&amp;"-01"), "dd-mm-yyyy")),0),0)</f>
        <v>757</v>
      </c>
      <c r="P360" s="1">
        <f t="shared" si="13"/>
        <v>43678</v>
      </c>
      <c r="Q360">
        <f t="shared" si="14"/>
        <v>92</v>
      </c>
    </row>
    <row r="361" spans="1:17" x14ac:dyDescent="0.25">
      <c r="A361" s="1">
        <f t="shared" si="12"/>
        <v>43770</v>
      </c>
      <c r="B361" t="s">
        <v>170</v>
      </c>
      <c r="C361" t="str">
        <f>_xlfn.XLOOKUP(B361,Phone_by_Price!$A$2:$A$34,Phone_by_Price!$B$2:$B$34,"-",0,1)</f>
        <v>Realme Narzo 30A</v>
      </c>
      <c r="D361" t="str">
        <f>_xlfn.XLOOKUP(C361,Phone_by_Sentiment!$B$2:$B$37,Phone_by_Sentiment!$A$2:$A$37,"-",0,1)</f>
        <v>2021-02</v>
      </c>
      <c r="E361" cm="1">
        <f t="array" ref="E361">IF($Q361&gt;=0,IFERROR(generateSalesData($D361, IF(ISNUMBER(_xlfn.XLOOKUP($C361,Phone_by_Sentiment!$B$2:$B$37,Phone_by_Sentiment!E$2:E$37,"",0,1)),_xlfn.XLOOKUP($C361,Phone_by_Sentiment!$B$2:$B$37,Phone_by_Sentiment!E$2:E$37,"",0,1),0),$A361-TEXT(DATEVALUE($D361&amp;"-01"), "dd-mm-yyyy")),0),0)</f>
        <v>0</v>
      </c>
      <c r="F361" cm="1">
        <f t="array" ref="F361">IF($Q361&gt;=0,IFERROR(generateSalesData($D361, IF(ISNUMBER(_xlfn.XLOOKUP($C361,Phone_by_Sentiment!$B$2:$B$37,Phone_by_Sentiment!F$2:F$37,"",0,1)),_xlfn.XLOOKUP($C361,Phone_by_Sentiment!$B$2:$B$37,Phone_by_Sentiment!F$2:F$37,"",0,1),0),$A361-TEXT(DATEVALUE($D361&amp;"-01"), "dd-mm-yyyy")),0),0)</f>
        <v>0</v>
      </c>
      <c r="G361" cm="1">
        <f t="array" ref="G361">IF($Q361&gt;=0,IFERROR(generateSalesData($D361, IF(ISNUMBER(_xlfn.XLOOKUP($C361,Phone_by_Sentiment!$B$2:$B$37,Phone_by_Sentiment!G$2:G$37,"",0,1)),_xlfn.XLOOKUP($C361,Phone_by_Sentiment!$B$2:$B$37,Phone_by_Sentiment!G$2:G$37,"",0,1),0),$A361-TEXT(DATEVALUE($D361&amp;"-01"), "dd-mm-yyyy")),0),0)</f>
        <v>0</v>
      </c>
      <c r="H361" cm="1">
        <f t="array" ref="H361">IF($Q361&gt;=0,IFERROR(generateSalesData($D361, IF(ISNUMBER(_xlfn.XLOOKUP($C361,Phone_by_Sentiment!$B$2:$B$37,Phone_by_Sentiment!H$2:H$37,"",0,1)),_xlfn.XLOOKUP($C361,Phone_by_Sentiment!$B$2:$B$37,Phone_by_Sentiment!H$2:H$37,"",0,1),0),$A361-TEXT(DATEVALUE($D361&amp;"-01"), "dd-mm-yyyy")),0),0)</f>
        <v>0</v>
      </c>
      <c r="I361" cm="1">
        <f t="array" ref="I361">IF($Q361&gt;=0,IFERROR(generateSalesData($D361, IF(ISNUMBER(_xlfn.XLOOKUP($C361,Phone_by_Sentiment!$B$2:$B$37,Phone_by_Sentiment!I$2:I$37,"",0,1)),_xlfn.XLOOKUP($C361,Phone_by_Sentiment!$B$2:$B$37,Phone_by_Sentiment!I$2:I$37,"",0,1),0),$A361-TEXT(DATEVALUE($D361&amp;"-01"), "dd-mm-yyyy")),0),0)</f>
        <v>0</v>
      </c>
      <c r="J361" cm="1">
        <f t="array" ref="J361">IF($Q361&gt;=0,IFERROR(generateSalesData($D361, IF(ISNUMBER(_xlfn.XLOOKUP($C361,Phone_by_Sentiment!$B$2:$B$37,Phone_by_Sentiment!J$2:J$37,"",0,1)),_xlfn.XLOOKUP($C361,Phone_by_Sentiment!$B$2:$B$37,Phone_by_Sentiment!J$2:J$37,"",0,1),0),$A361-TEXT(DATEVALUE($D361&amp;"-01"), "dd-mm-yyyy")),0),0)</f>
        <v>0</v>
      </c>
      <c r="K361" cm="1">
        <f t="array" ref="K361">IF($Q361&gt;=0,IFERROR(generateSalesData($D361, IF(ISNUMBER(_xlfn.XLOOKUP($C361,Phone_by_Sentiment!$B$2:$B$37,Phone_by_Sentiment!K$2:K$37,"",0,1)),_xlfn.XLOOKUP($C361,Phone_by_Sentiment!$B$2:$B$37,Phone_by_Sentiment!K$2:K$37,"",0,1),0),$A361-TEXT(DATEVALUE($D361&amp;"-01"), "dd-mm-yyyy")),0),0)</f>
        <v>0</v>
      </c>
      <c r="L361" cm="1">
        <f t="array" ref="L361">IF($Q361&gt;=0,IFERROR(generateSalesData($D361, IF(ISNUMBER(_xlfn.XLOOKUP($C361,Phone_by_Sentiment!$B$2:$B$37,Phone_by_Sentiment!L$2:L$37,"",0,1)),_xlfn.XLOOKUP($C361,Phone_by_Sentiment!$B$2:$B$37,Phone_by_Sentiment!L$2:L$37,"",0,1),0),$A361-TEXT(DATEVALUE($D361&amp;"-01"), "dd-mm-yyyy")),0),0)</f>
        <v>0</v>
      </c>
      <c r="M361" cm="1">
        <f t="array" ref="M361">IF($Q361&gt;=0,IFERROR(generateSalesData($D361, IF(ISNUMBER(_xlfn.XLOOKUP($C361,Phone_by_Sentiment!$B$2:$B$37,Phone_by_Sentiment!M$2:M$37,"",0,1)),_xlfn.XLOOKUP($C361,Phone_by_Sentiment!$B$2:$B$37,Phone_by_Sentiment!M$2:M$37,"",0,1),0),$A361-TEXT(DATEVALUE($D361&amp;"-01"), "dd-mm-yyyy")),0),0)</f>
        <v>0</v>
      </c>
      <c r="N361" cm="1">
        <f t="array" ref="N361">IF($Q361&gt;=0,IFERROR(generateSalesData($D361, IF(ISNUMBER(_xlfn.XLOOKUP($C361,Phone_by_Sentiment!$B$2:$B$37,Phone_by_Sentiment!N$2:N$37,"",0,1)),_xlfn.XLOOKUP($C361,Phone_by_Sentiment!$B$2:$B$37,Phone_by_Sentiment!N$2:N$37,"",0,1),0),$A361-TEXT(DATEVALUE($D361&amp;"-01"), "dd-mm-yyyy")),0),0)</f>
        <v>0</v>
      </c>
      <c r="O361" cm="1">
        <f t="array" ref="O361">IF($Q361&gt;=0,IFERROR(generateSalesData($D361, IF(ISNUMBER(_xlfn.XLOOKUP($C361,Phone_by_Sentiment!$B$2:$B$37,Phone_by_Sentiment!O$2:O$37,"",0,1)),_xlfn.XLOOKUP($C361,Phone_by_Sentiment!$B$2:$B$37,Phone_by_Sentiment!O$2:O$37,"",0,1),0),$A361-TEXT(DATEVALUE($D361&amp;"-01"), "dd-mm-yyyy")),0),0)</f>
        <v>0</v>
      </c>
      <c r="P361" s="1">
        <f t="shared" si="13"/>
        <v>44228</v>
      </c>
      <c r="Q361">
        <f t="shared" si="14"/>
        <v>-458</v>
      </c>
    </row>
    <row r="362" spans="1:17" x14ac:dyDescent="0.25">
      <c r="A362" s="1">
        <f t="shared" si="12"/>
        <v>43770</v>
      </c>
      <c r="B362" t="s">
        <v>171</v>
      </c>
      <c r="C362" t="str">
        <f>_xlfn.XLOOKUP(B362,Phone_by_Price!$A$2:$A$34,Phone_by_Price!$B$2:$B$34,"-",0,1)</f>
        <v>Samsung Galaxy A22 5G</v>
      </c>
      <c r="D362" t="str">
        <f>_xlfn.XLOOKUP(C362,Phone_by_Sentiment!$B$2:$B$37,Phone_by_Sentiment!$A$2:$A$37,"-",0,1)</f>
        <v>2021-05</v>
      </c>
      <c r="E362" cm="1">
        <f t="array" ref="E362">IF($Q362&gt;=0,IFERROR(generateSalesData($D362, IF(ISNUMBER(_xlfn.XLOOKUP($C362,Phone_by_Sentiment!$B$2:$B$37,Phone_by_Sentiment!E$2:E$37,"",0,1)),_xlfn.XLOOKUP($C362,Phone_by_Sentiment!$B$2:$B$37,Phone_by_Sentiment!E$2:E$37,"",0,1),0),$A362-TEXT(DATEVALUE($D362&amp;"-01"), "dd-mm-yyyy")),0),0)</f>
        <v>0</v>
      </c>
      <c r="F362" cm="1">
        <f t="array" ref="F362">IF($Q362&gt;=0,IFERROR(generateSalesData($D362, IF(ISNUMBER(_xlfn.XLOOKUP($C362,Phone_by_Sentiment!$B$2:$B$37,Phone_by_Sentiment!F$2:F$37,"",0,1)),_xlfn.XLOOKUP($C362,Phone_by_Sentiment!$B$2:$B$37,Phone_by_Sentiment!F$2:F$37,"",0,1),0),$A362-TEXT(DATEVALUE($D362&amp;"-01"), "dd-mm-yyyy")),0),0)</f>
        <v>0</v>
      </c>
      <c r="G362" cm="1">
        <f t="array" ref="G362">IF($Q362&gt;=0,IFERROR(generateSalesData($D362, IF(ISNUMBER(_xlfn.XLOOKUP($C362,Phone_by_Sentiment!$B$2:$B$37,Phone_by_Sentiment!G$2:G$37,"",0,1)),_xlfn.XLOOKUP($C362,Phone_by_Sentiment!$B$2:$B$37,Phone_by_Sentiment!G$2:G$37,"",0,1),0),$A362-TEXT(DATEVALUE($D362&amp;"-01"), "dd-mm-yyyy")),0),0)</f>
        <v>0</v>
      </c>
      <c r="H362" cm="1">
        <f t="array" ref="H362">IF($Q362&gt;=0,IFERROR(generateSalesData($D362, IF(ISNUMBER(_xlfn.XLOOKUP($C362,Phone_by_Sentiment!$B$2:$B$37,Phone_by_Sentiment!H$2:H$37,"",0,1)),_xlfn.XLOOKUP($C362,Phone_by_Sentiment!$B$2:$B$37,Phone_by_Sentiment!H$2:H$37,"",0,1),0),$A362-TEXT(DATEVALUE($D362&amp;"-01"), "dd-mm-yyyy")),0),0)</f>
        <v>0</v>
      </c>
      <c r="I362" cm="1">
        <f t="array" ref="I362">IF($Q362&gt;=0,IFERROR(generateSalesData($D362, IF(ISNUMBER(_xlfn.XLOOKUP($C362,Phone_by_Sentiment!$B$2:$B$37,Phone_by_Sentiment!I$2:I$37,"",0,1)),_xlfn.XLOOKUP($C362,Phone_by_Sentiment!$B$2:$B$37,Phone_by_Sentiment!I$2:I$37,"",0,1),0),$A362-TEXT(DATEVALUE($D362&amp;"-01"), "dd-mm-yyyy")),0),0)</f>
        <v>0</v>
      </c>
      <c r="J362" cm="1">
        <f t="array" ref="J362">IF($Q362&gt;=0,IFERROR(generateSalesData($D362, IF(ISNUMBER(_xlfn.XLOOKUP($C362,Phone_by_Sentiment!$B$2:$B$37,Phone_by_Sentiment!J$2:J$37,"",0,1)),_xlfn.XLOOKUP($C362,Phone_by_Sentiment!$B$2:$B$37,Phone_by_Sentiment!J$2:J$37,"",0,1),0),$A362-TEXT(DATEVALUE($D362&amp;"-01"), "dd-mm-yyyy")),0),0)</f>
        <v>0</v>
      </c>
      <c r="K362" cm="1">
        <f t="array" ref="K362">IF($Q362&gt;=0,IFERROR(generateSalesData($D362, IF(ISNUMBER(_xlfn.XLOOKUP($C362,Phone_by_Sentiment!$B$2:$B$37,Phone_by_Sentiment!K$2:K$37,"",0,1)),_xlfn.XLOOKUP($C362,Phone_by_Sentiment!$B$2:$B$37,Phone_by_Sentiment!K$2:K$37,"",0,1),0),$A362-TEXT(DATEVALUE($D362&amp;"-01"), "dd-mm-yyyy")),0),0)</f>
        <v>0</v>
      </c>
      <c r="L362" cm="1">
        <f t="array" ref="L362">IF($Q362&gt;=0,IFERROR(generateSalesData($D362, IF(ISNUMBER(_xlfn.XLOOKUP($C362,Phone_by_Sentiment!$B$2:$B$37,Phone_by_Sentiment!L$2:L$37,"",0,1)),_xlfn.XLOOKUP($C362,Phone_by_Sentiment!$B$2:$B$37,Phone_by_Sentiment!L$2:L$37,"",0,1),0),$A362-TEXT(DATEVALUE($D362&amp;"-01"), "dd-mm-yyyy")),0),0)</f>
        <v>0</v>
      </c>
      <c r="M362" cm="1">
        <f t="array" ref="M362">IF($Q362&gt;=0,IFERROR(generateSalesData($D362, IF(ISNUMBER(_xlfn.XLOOKUP($C362,Phone_by_Sentiment!$B$2:$B$37,Phone_by_Sentiment!M$2:M$37,"",0,1)),_xlfn.XLOOKUP($C362,Phone_by_Sentiment!$B$2:$B$37,Phone_by_Sentiment!M$2:M$37,"",0,1),0),$A362-TEXT(DATEVALUE($D362&amp;"-01"), "dd-mm-yyyy")),0),0)</f>
        <v>0</v>
      </c>
      <c r="N362" cm="1">
        <f t="array" ref="N362">IF($Q362&gt;=0,IFERROR(generateSalesData($D362, IF(ISNUMBER(_xlfn.XLOOKUP($C362,Phone_by_Sentiment!$B$2:$B$37,Phone_by_Sentiment!N$2:N$37,"",0,1)),_xlfn.XLOOKUP($C362,Phone_by_Sentiment!$B$2:$B$37,Phone_by_Sentiment!N$2:N$37,"",0,1),0),$A362-TEXT(DATEVALUE($D362&amp;"-01"), "dd-mm-yyyy")),0),0)</f>
        <v>0</v>
      </c>
      <c r="O362" cm="1">
        <f t="array" ref="O362">IF($Q362&gt;=0,IFERROR(generateSalesData($D362, IF(ISNUMBER(_xlfn.XLOOKUP($C362,Phone_by_Sentiment!$B$2:$B$37,Phone_by_Sentiment!O$2:O$37,"",0,1)),_xlfn.XLOOKUP($C362,Phone_by_Sentiment!$B$2:$B$37,Phone_by_Sentiment!O$2:O$37,"",0,1),0),$A362-TEXT(DATEVALUE($D362&amp;"-01"), "dd-mm-yyyy")),0),0)</f>
        <v>0</v>
      </c>
      <c r="P362" s="1">
        <f t="shared" si="13"/>
        <v>44317</v>
      </c>
      <c r="Q362">
        <f t="shared" si="14"/>
        <v>-547</v>
      </c>
    </row>
    <row r="363" spans="1:17" x14ac:dyDescent="0.25">
      <c r="A363" s="1">
        <f t="shared" si="12"/>
        <v>43770</v>
      </c>
      <c r="B363" t="s">
        <v>172</v>
      </c>
      <c r="C363" t="str">
        <f>_xlfn.XLOOKUP(B363,Phone_by_Price!$A$2:$A$34,Phone_by_Price!$B$2:$B$34,"-",0,1)</f>
        <v>Xiaomi Redmi 9</v>
      </c>
      <c r="D363" t="str">
        <f>_xlfn.XLOOKUP(C363,Phone_by_Sentiment!$B$2:$B$37,Phone_by_Sentiment!$A$2:$A$37,"-",0,1)</f>
        <v>2020-08</v>
      </c>
      <c r="E363" cm="1">
        <f t="array" ref="E363">IF($Q363&gt;=0,IFERROR(generateSalesData($D363, IF(ISNUMBER(_xlfn.XLOOKUP($C363,Phone_by_Sentiment!$B$2:$B$37,Phone_by_Sentiment!E$2:E$37,"",0,1)),_xlfn.XLOOKUP($C363,Phone_by_Sentiment!$B$2:$B$37,Phone_by_Sentiment!E$2:E$37,"",0,1),0),$A363-TEXT(DATEVALUE($D363&amp;"-01"), "dd-mm-yyyy")),0),0)</f>
        <v>0</v>
      </c>
      <c r="F363" cm="1">
        <f t="array" ref="F363">IF($Q363&gt;=0,IFERROR(generateSalesData($D363, IF(ISNUMBER(_xlfn.XLOOKUP($C363,Phone_by_Sentiment!$B$2:$B$37,Phone_by_Sentiment!F$2:F$37,"",0,1)),_xlfn.XLOOKUP($C363,Phone_by_Sentiment!$B$2:$B$37,Phone_by_Sentiment!F$2:F$37,"",0,1),0),$A363-TEXT(DATEVALUE($D363&amp;"-01"), "dd-mm-yyyy")),0),0)</f>
        <v>0</v>
      </c>
      <c r="G363" cm="1">
        <f t="array" ref="G363">IF($Q363&gt;=0,IFERROR(generateSalesData($D363, IF(ISNUMBER(_xlfn.XLOOKUP($C363,Phone_by_Sentiment!$B$2:$B$37,Phone_by_Sentiment!G$2:G$37,"",0,1)),_xlfn.XLOOKUP($C363,Phone_by_Sentiment!$B$2:$B$37,Phone_by_Sentiment!G$2:G$37,"",0,1),0),$A363-TEXT(DATEVALUE($D363&amp;"-01"), "dd-mm-yyyy")),0),0)</f>
        <v>0</v>
      </c>
      <c r="H363" cm="1">
        <f t="array" ref="H363">IF($Q363&gt;=0,IFERROR(generateSalesData($D363, IF(ISNUMBER(_xlfn.XLOOKUP($C363,Phone_by_Sentiment!$B$2:$B$37,Phone_by_Sentiment!H$2:H$37,"",0,1)),_xlfn.XLOOKUP($C363,Phone_by_Sentiment!$B$2:$B$37,Phone_by_Sentiment!H$2:H$37,"",0,1),0),$A363-TEXT(DATEVALUE($D363&amp;"-01"), "dd-mm-yyyy")),0),0)</f>
        <v>0</v>
      </c>
      <c r="I363" cm="1">
        <f t="array" ref="I363">IF($Q363&gt;=0,IFERROR(generateSalesData($D363, IF(ISNUMBER(_xlfn.XLOOKUP($C363,Phone_by_Sentiment!$B$2:$B$37,Phone_by_Sentiment!I$2:I$37,"",0,1)),_xlfn.XLOOKUP($C363,Phone_by_Sentiment!$B$2:$B$37,Phone_by_Sentiment!I$2:I$37,"",0,1),0),$A363-TEXT(DATEVALUE($D363&amp;"-01"), "dd-mm-yyyy")),0),0)</f>
        <v>0</v>
      </c>
      <c r="J363" cm="1">
        <f t="array" ref="J363">IF($Q363&gt;=0,IFERROR(generateSalesData($D363, IF(ISNUMBER(_xlfn.XLOOKUP($C363,Phone_by_Sentiment!$B$2:$B$37,Phone_by_Sentiment!J$2:J$37,"",0,1)),_xlfn.XLOOKUP($C363,Phone_by_Sentiment!$B$2:$B$37,Phone_by_Sentiment!J$2:J$37,"",0,1),0),$A363-TEXT(DATEVALUE($D363&amp;"-01"), "dd-mm-yyyy")),0),0)</f>
        <v>0</v>
      </c>
      <c r="K363" cm="1">
        <f t="array" ref="K363">IF($Q363&gt;=0,IFERROR(generateSalesData($D363, IF(ISNUMBER(_xlfn.XLOOKUP($C363,Phone_by_Sentiment!$B$2:$B$37,Phone_by_Sentiment!K$2:K$37,"",0,1)),_xlfn.XLOOKUP($C363,Phone_by_Sentiment!$B$2:$B$37,Phone_by_Sentiment!K$2:K$37,"",0,1),0),$A363-TEXT(DATEVALUE($D363&amp;"-01"), "dd-mm-yyyy")),0),0)</f>
        <v>0</v>
      </c>
      <c r="L363" cm="1">
        <f t="array" ref="L363">IF($Q363&gt;=0,IFERROR(generateSalesData($D363, IF(ISNUMBER(_xlfn.XLOOKUP($C363,Phone_by_Sentiment!$B$2:$B$37,Phone_by_Sentiment!L$2:L$37,"",0,1)),_xlfn.XLOOKUP($C363,Phone_by_Sentiment!$B$2:$B$37,Phone_by_Sentiment!L$2:L$37,"",0,1),0),$A363-TEXT(DATEVALUE($D363&amp;"-01"), "dd-mm-yyyy")),0),0)</f>
        <v>0</v>
      </c>
      <c r="M363" cm="1">
        <f t="array" ref="M363">IF($Q363&gt;=0,IFERROR(generateSalesData($D363, IF(ISNUMBER(_xlfn.XLOOKUP($C363,Phone_by_Sentiment!$B$2:$B$37,Phone_by_Sentiment!M$2:M$37,"",0,1)),_xlfn.XLOOKUP($C363,Phone_by_Sentiment!$B$2:$B$37,Phone_by_Sentiment!M$2:M$37,"",0,1),0),$A363-TEXT(DATEVALUE($D363&amp;"-01"), "dd-mm-yyyy")),0),0)</f>
        <v>0</v>
      </c>
      <c r="N363" cm="1">
        <f t="array" ref="N363">IF($Q363&gt;=0,IFERROR(generateSalesData($D363, IF(ISNUMBER(_xlfn.XLOOKUP($C363,Phone_by_Sentiment!$B$2:$B$37,Phone_by_Sentiment!N$2:N$37,"",0,1)),_xlfn.XLOOKUP($C363,Phone_by_Sentiment!$B$2:$B$37,Phone_by_Sentiment!N$2:N$37,"",0,1),0),$A363-TEXT(DATEVALUE($D363&amp;"-01"), "dd-mm-yyyy")),0),0)</f>
        <v>0</v>
      </c>
      <c r="O363" cm="1">
        <f t="array" ref="O363">IF($Q363&gt;=0,IFERROR(generateSalesData($D363, IF(ISNUMBER(_xlfn.XLOOKUP($C363,Phone_by_Sentiment!$B$2:$B$37,Phone_by_Sentiment!O$2:O$37,"",0,1)),_xlfn.XLOOKUP($C363,Phone_by_Sentiment!$B$2:$B$37,Phone_by_Sentiment!O$2:O$37,"",0,1),0),$A363-TEXT(DATEVALUE($D363&amp;"-01"), "dd-mm-yyyy")),0),0)</f>
        <v>0</v>
      </c>
      <c r="P363" s="1">
        <f t="shared" si="13"/>
        <v>44044</v>
      </c>
      <c r="Q363">
        <f t="shared" si="14"/>
        <v>-274</v>
      </c>
    </row>
    <row r="364" spans="1:17" x14ac:dyDescent="0.25">
      <c r="A364" s="1">
        <f t="shared" si="12"/>
        <v>43770</v>
      </c>
      <c r="B364" t="s">
        <v>173</v>
      </c>
      <c r="C364" t="str">
        <f>_xlfn.XLOOKUP(B364,Phone_by_Price!$A$2:$A$34,Phone_by_Price!$B$2:$B$34,"-",0,1)</f>
        <v>Realme C3</v>
      </c>
      <c r="D364" t="str">
        <f>_xlfn.XLOOKUP(C364,Phone_by_Sentiment!$B$2:$B$37,Phone_by_Sentiment!$A$2:$A$37,"-",0,1)</f>
        <v>2020-02</v>
      </c>
      <c r="E364" cm="1">
        <f t="array" ref="E364">IF($Q364&gt;=0,IFERROR(generateSalesData($D364, IF(ISNUMBER(_xlfn.XLOOKUP($C364,Phone_by_Sentiment!$B$2:$B$37,Phone_by_Sentiment!E$2:E$37,"",0,1)),_xlfn.XLOOKUP($C364,Phone_by_Sentiment!$B$2:$B$37,Phone_by_Sentiment!E$2:E$37,"",0,1),0),$A364-TEXT(DATEVALUE($D364&amp;"-01"), "dd-mm-yyyy")),0),0)</f>
        <v>0</v>
      </c>
      <c r="F364" cm="1">
        <f t="array" ref="F364">IF($Q364&gt;=0,IFERROR(generateSalesData($D364, IF(ISNUMBER(_xlfn.XLOOKUP($C364,Phone_by_Sentiment!$B$2:$B$37,Phone_by_Sentiment!F$2:F$37,"",0,1)),_xlfn.XLOOKUP($C364,Phone_by_Sentiment!$B$2:$B$37,Phone_by_Sentiment!F$2:F$37,"",0,1),0),$A364-TEXT(DATEVALUE($D364&amp;"-01"), "dd-mm-yyyy")),0),0)</f>
        <v>0</v>
      </c>
      <c r="G364" cm="1">
        <f t="array" ref="G364">IF($Q364&gt;=0,IFERROR(generateSalesData($D364, IF(ISNUMBER(_xlfn.XLOOKUP($C364,Phone_by_Sentiment!$B$2:$B$37,Phone_by_Sentiment!G$2:G$37,"",0,1)),_xlfn.XLOOKUP($C364,Phone_by_Sentiment!$B$2:$B$37,Phone_by_Sentiment!G$2:G$37,"",0,1),0),$A364-TEXT(DATEVALUE($D364&amp;"-01"), "dd-mm-yyyy")),0),0)</f>
        <v>0</v>
      </c>
      <c r="H364" cm="1">
        <f t="array" ref="H364">IF($Q364&gt;=0,IFERROR(generateSalesData($D364, IF(ISNUMBER(_xlfn.XLOOKUP($C364,Phone_by_Sentiment!$B$2:$B$37,Phone_by_Sentiment!H$2:H$37,"",0,1)),_xlfn.XLOOKUP($C364,Phone_by_Sentiment!$B$2:$B$37,Phone_by_Sentiment!H$2:H$37,"",0,1),0),$A364-TEXT(DATEVALUE($D364&amp;"-01"), "dd-mm-yyyy")),0),0)</f>
        <v>0</v>
      </c>
      <c r="I364" cm="1">
        <f t="array" ref="I364">IF($Q364&gt;=0,IFERROR(generateSalesData($D364, IF(ISNUMBER(_xlfn.XLOOKUP($C364,Phone_by_Sentiment!$B$2:$B$37,Phone_by_Sentiment!I$2:I$37,"",0,1)),_xlfn.XLOOKUP($C364,Phone_by_Sentiment!$B$2:$B$37,Phone_by_Sentiment!I$2:I$37,"",0,1),0),$A364-TEXT(DATEVALUE($D364&amp;"-01"), "dd-mm-yyyy")),0),0)</f>
        <v>0</v>
      </c>
      <c r="J364" cm="1">
        <f t="array" ref="J364">IF($Q364&gt;=0,IFERROR(generateSalesData($D364, IF(ISNUMBER(_xlfn.XLOOKUP($C364,Phone_by_Sentiment!$B$2:$B$37,Phone_by_Sentiment!J$2:J$37,"",0,1)),_xlfn.XLOOKUP($C364,Phone_by_Sentiment!$B$2:$B$37,Phone_by_Sentiment!J$2:J$37,"",0,1),0),$A364-TEXT(DATEVALUE($D364&amp;"-01"), "dd-mm-yyyy")),0),0)</f>
        <v>0</v>
      </c>
      <c r="K364" cm="1">
        <f t="array" ref="K364">IF($Q364&gt;=0,IFERROR(generateSalesData($D364, IF(ISNUMBER(_xlfn.XLOOKUP($C364,Phone_by_Sentiment!$B$2:$B$37,Phone_by_Sentiment!K$2:K$37,"",0,1)),_xlfn.XLOOKUP($C364,Phone_by_Sentiment!$B$2:$B$37,Phone_by_Sentiment!K$2:K$37,"",0,1),0),$A364-TEXT(DATEVALUE($D364&amp;"-01"), "dd-mm-yyyy")),0),0)</f>
        <v>0</v>
      </c>
      <c r="L364" cm="1">
        <f t="array" ref="L364">IF($Q364&gt;=0,IFERROR(generateSalesData($D364, IF(ISNUMBER(_xlfn.XLOOKUP($C364,Phone_by_Sentiment!$B$2:$B$37,Phone_by_Sentiment!L$2:L$37,"",0,1)),_xlfn.XLOOKUP($C364,Phone_by_Sentiment!$B$2:$B$37,Phone_by_Sentiment!L$2:L$37,"",0,1),0),$A364-TEXT(DATEVALUE($D364&amp;"-01"), "dd-mm-yyyy")),0),0)</f>
        <v>0</v>
      </c>
      <c r="M364" cm="1">
        <f t="array" ref="M364">IF($Q364&gt;=0,IFERROR(generateSalesData($D364, IF(ISNUMBER(_xlfn.XLOOKUP($C364,Phone_by_Sentiment!$B$2:$B$37,Phone_by_Sentiment!M$2:M$37,"",0,1)),_xlfn.XLOOKUP($C364,Phone_by_Sentiment!$B$2:$B$37,Phone_by_Sentiment!M$2:M$37,"",0,1),0),$A364-TEXT(DATEVALUE($D364&amp;"-01"), "dd-mm-yyyy")),0),0)</f>
        <v>0</v>
      </c>
      <c r="N364" cm="1">
        <f t="array" ref="N364">IF($Q364&gt;=0,IFERROR(generateSalesData($D364, IF(ISNUMBER(_xlfn.XLOOKUP($C364,Phone_by_Sentiment!$B$2:$B$37,Phone_by_Sentiment!N$2:N$37,"",0,1)),_xlfn.XLOOKUP($C364,Phone_by_Sentiment!$B$2:$B$37,Phone_by_Sentiment!N$2:N$37,"",0,1),0),$A364-TEXT(DATEVALUE($D364&amp;"-01"), "dd-mm-yyyy")),0),0)</f>
        <v>0</v>
      </c>
      <c r="O364" cm="1">
        <f t="array" ref="O364">IF($Q364&gt;=0,IFERROR(generateSalesData($D364, IF(ISNUMBER(_xlfn.XLOOKUP($C364,Phone_by_Sentiment!$B$2:$B$37,Phone_by_Sentiment!O$2:O$37,"",0,1)),_xlfn.XLOOKUP($C364,Phone_by_Sentiment!$B$2:$B$37,Phone_by_Sentiment!O$2:O$37,"",0,1),0),$A364-TEXT(DATEVALUE($D364&amp;"-01"), "dd-mm-yyyy")),0),0)</f>
        <v>0</v>
      </c>
      <c r="P364" s="1">
        <f t="shared" si="13"/>
        <v>43862</v>
      </c>
      <c r="Q364">
        <f t="shared" si="14"/>
        <v>-92</v>
      </c>
    </row>
    <row r="365" spans="1:17" x14ac:dyDescent="0.25">
      <c r="A365" s="1">
        <f t="shared" si="12"/>
        <v>43770</v>
      </c>
      <c r="B365" t="s">
        <v>174</v>
      </c>
      <c r="C365" t="str">
        <f>_xlfn.XLOOKUP(B365,Phone_by_Price!$A$2:$A$34,Phone_by_Price!$B$2:$B$34,"-",0,1)</f>
        <v>Samsung Galaxy A7</v>
      </c>
      <c r="D365" t="str">
        <f>_xlfn.XLOOKUP(C365,Phone_by_Sentiment!$B$2:$B$37,Phone_by_Sentiment!$A$2:$A$37,"-",0,1)</f>
        <v>2018-10</v>
      </c>
      <c r="E365" cm="1">
        <f t="array" ref="E365">IF($Q365&gt;=0,IFERROR(generateSalesData($D365, IF(ISNUMBER(_xlfn.XLOOKUP($C365,Phone_by_Sentiment!$B$2:$B$37,Phone_by_Sentiment!E$2:E$37,"",0,1)),_xlfn.XLOOKUP($C365,Phone_by_Sentiment!$B$2:$B$37,Phone_by_Sentiment!E$2:E$37,"",0,1),0),$A365-TEXT(DATEVALUE($D365&amp;"-01"), "dd-mm-yyyy")),0),0)</f>
        <v>68</v>
      </c>
      <c r="F365" cm="1">
        <f t="array" ref="F365">IF($Q365&gt;=0,IFERROR(generateSalesData($D365, IF(ISNUMBER(_xlfn.XLOOKUP($C365,Phone_by_Sentiment!$B$2:$B$37,Phone_by_Sentiment!F$2:F$37,"",0,1)),_xlfn.XLOOKUP($C365,Phone_by_Sentiment!$B$2:$B$37,Phone_by_Sentiment!F$2:F$37,"",0,1),0),$A365-TEXT(DATEVALUE($D365&amp;"-01"), "dd-mm-yyyy")),0),0)</f>
        <v>223</v>
      </c>
      <c r="G365" cm="1">
        <f t="array" ref="G365">IF($Q365&gt;=0,IFERROR(generateSalesData($D365, IF(ISNUMBER(_xlfn.XLOOKUP($C365,Phone_by_Sentiment!$B$2:$B$37,Phone_by_Sentiment!G$2:G$37,"",0,1)),_xlfn.XLOOKUP($C365,Phone_by_Sentiment!$B$2:$B$37,Phone_by_Sentiment!G$2:G$37,"",0,1),0),$A365-TEXT(DATEVALUE($D365&amp;"-01"), "dd-mm-yyyy")),0),0)</f>
        <v>35</v>
      </c>
      <c r="H365" cm="1">
        <f t="array" ref="H365">IF($Q365&gt;=0,IFERROR(generateSalesData($D365, IF(ISNUMBER(_xlfn.XLOOKUP($C365,Phone_by_Sentiment!$B$2:$B$37,Phone_by_Sentiment!H$2:H$37,"",0,1)),_xlfn.XLOOKUP($C365,Phone_by_Sentiment!$B$2:$B$37,Phone_by_Sentiment!H$2:H$37,"",0,1),0),$A365-TEXT(DATEVALUE($D365&amp;"-01"), "dd-mm-yyyy")),0),0)</f>
        <v>103</v>
      </c>
      <c r="I365" cm="1">
        <f t="array" ref="I365">IF($Q365&gt;=0,IFERROR(generateSalesData($D365, IF(ISNUMBER(_xlfn.XLOOKUP($C365,Phone_by_Sentiment!$B$2:$B$37,Phone_by_Sentiment!I$2:I$37,"",0,1)),_xlfn.XLOOKUP($C365,Phone_by_Sentiment!$B$2:$B$37,Phone_by_Sentiment!I$2:I$37,"",0,1),0),$A365-TEXT(DATEVALUE($D365&amp;"-01"), "dd-mm-yyyy")),0),0)</f>
        <v>670</v>
      </c>
      <c r="J365" cm="1">
        <f t="array" ref="J365">IF($Q365&gt;=0,IFERROR(generateSalesData($D365, IF(ISNUMBER(_xlfn.XLOOKUP($C365,Phone_by_Sentiment!$B$2:$B$37,Phone_by_Sentiment!J$2:J$37,"",0,1)),_xlfn.XLOOKUP($C365,Phone_by_Sentiment!$B$2:$B$37,Phone_by_Sentiment!J$2:J$37,"",0,1),0),$A365-TEXT(DATEVALUE($D365&amp;"-01"), "dd-mm-yyyy")),0),0)</f>
        <v>283</v>
      </c>
      <c r="K365" cm="1">
        <f t="array" ref="K365">IF($Q365&gt;=0,IFERROR(generateSalesData($D365, IF(ISNUMBER(_xlfn.XLOOKUP($C365,Phone_by_Sentiment!$B$2:$B$37,Phone_by_Sentiment!K$2:K$37,"",0,1)),_xlfn.XLOOKUP($C365,Phone_by_Sentiment!$B$2:$B$37,Phone_by_Sentiment!K$2:K$37,"",0,1),0),$A365-TEXT(DATEVALUE($D365&amp;"-01"), "dd-mm-yyyy")),0),0)</f>
        <v>219</v>
      </c>
      <c r="L365" cm="1">
        <f t="array" ref="L365">IF($Q365&gt;=0,IFERROR(generateSalesData($D365, IF(ISNUMBER(_xlfn.XLOOKUP($C365,Phone_by_Sentiment!$B$2:$B$37,Phone_by_Sentiment!L$2:L$37,"",0,1)),_xlfn.XLOOKUP($C365,Phone_by_Sentiment!$B$2:$B$37,Phone_by_Sentiment!L$2:L$37,"",0,1),0),$A365-TEXT(DATEVALUE($D365&amp;"-01"), "dd-mm-yyyy")),0),0)</f>
        <v>221</v>
      </c>
      <c r="M365" cm="1">
        <f t="array" ref="M365">IF($Q365&gt;=0,IFERROR(generateSalesData($D365, IF(ISNUMBER(_xlfn.XLOOKUP($C365,Phone_by_Sentiment!$B$2:$B$37,Phone_by_Sentiment!M$2:M$37,"",0,1)),_xlfn.XLOOKUP($C365,Phone_by_Sentiment!$B$2:$B$37,Phone_by_Sentiment!M$2:M$37,"",0,1),0),$A365-TEXT(DATEVALUE($D365&amp;"-01"), "dd-mm-yyyy")),0),0)</f>
        <v>557</v>
      </c>
      <c r="N365" cm="1">
        <f t="array" ref="N365">IF($Q365&gt;=0,IFERROR(generateSalesData($D365, IF(ISNUMBER(_xlfn.XLOOKUP($C365,Phone_by_Sentiment!$B$2:$B$37,Phone_by_Sentiment!N$2:N$37,"",0,1)),_xlfn.XLOOKUP($C365,Phone_by_Sentiment!$B$2:$B$37,Phone_by_Sentiment!N$2:N$37,"",0,1),0),$A365-TEXT(DATEVALUE($D365&amp;"-01"), "dd-mm-yyyy")),0),0)</f>
        <v>406</v>
      </c>
      <c r="O365" cm="1">
        <f t="array" ref="O365">IF($Q365&gt;=0,IFERROR(generateSalesData($D365, IF(ISNUMBER(_xlfn.XLOOKUP($C365,Phone_by_Sentiment!$B$2:$B$37,Phone_by_Sentiment!O$2:O$37,"",0,1)),_xlfn.XLOOKUP($C365,Phone_by_Sentiment!$B$2:$B$37,Phone_by_Sentiment!O$2:O$37,"",0,1),0),$A365-TEXT(DATEVALUE($D365&amp;"-01"), "dd-mm-yyyy")),0),0)</f>
        <v>44</v>
      </c>
      <c r="P365" s="1">
        <f t="shared" si="13"/>
        <v>43374</v>
      </c>
      <c r="Q365">
        <f t="shared" si="14"/>
        <v>396</v>
      </c>
    </row>
    <row r="366" spans="1:17" x14ac:dyDescent="0.25">
      <c r="A366" s="1">
        <f t="shared" si="12"/>
        <v>43770</v>
      </c>
      <c r="B366" t="s">
        <v>142</v>
      </c>
      <c r="C366" t="str">
        <f>_xlfn.XLOOKUP(B366,Phone_by_Price!$A$2:$A$34,Phone_by_Price!$B$2:$B$34,"-",0,1)</f>
        <v>iPhone 11</v>
      </c>
      <c r="D366" t="str">
        <f>_xlfn.XLOOKUP(C366,Phone_by_Sentiment!$B$2:$B$37,Phone_by_Sentiment!$A$2:$A$37,"-",0,1)</f>
        <v>2019-09</v>
      </c>
      <c r="E366" cm="1">
        <f t="array" ref="E366">IF($Q366&gt;=0,IFERROR(generateSalesData($D366, IF(ISNUMBER(_xlfn.XLOOKUP($C366,Phone_by_Sentiment!$B$2:$B$37,Phone_by_Sentiment!E$2:E$37,"",0,1)),_xlfn.XLOOKUP($C366,Phone_by_Sentiment!$B$2:$B$37,Phone_by_Sentiment!E$2:E$37,"",0,1),0),$A366-TEXT(DATEVALUE($D366&amp;"-01"), "dd-mm-yyyy")),0),0)</f>
        <v>5765</v>
      </c>
      <c r="F366" cm="1">
        <f t="array" ref="F366">IF($Q366&gt;=0,IFERROR(generateSalesData($D366, IF(ISNUMBER(_xlfn.XLOOKUP($C366,Phone_by_Sentiment!$B$2:$B$37,Phone_by_Sentiment!F$2:F$37,"",0,1)),_xlfn.XLOOKUP($C366,Phone_by_Sentiment!$B$2:$B$37,Phone_by_Sentiment!F$2:F$37,"",0,1),0),$A366-TEXT(DATEVALUE($D366&amp;"-01"), "dd-mm-yyyy")),0),0)</f>
        <v>4576</v>
      </c>
      <c r="G366" cm="1">
        <f t="array" ref="G366">IF($Q366&gt;=0,IFERROR(generateSalesData($D366, IF(ISNUMBER(_xlfn.XLOOKUP($C366,Phone_by_Sentiment!$B$2:$B$37,Phone_by_Sentiment!G$2:G$37,"",0,1)),_xlfn.XLOOKUP($C366,Phone_by_Sentiment!$B$2:$B$37,Phone_by_Sentiment!G$2:G$37,"",0,1),0),$A366-TEXT(DATEVALUE($D366&amp;"-01"), "dd-mm-yyyy")),0),0)</f>
        <v>706</v>
      </c>
      <c r="H366" cm="1">
        <f t="array" ref="H366">IF($Q366&gt;=0,IFERROR(generateSalesData($D366, IF(ISNUMBER(_xlfn.XLOOKUP($C366,Phone_by_Sentiment!$B$2:$B$37,Phone_by_Sentiment!H$2:H$37,"",0,1)),_xlfn.XLOOKUP($C366,Phone_by_Sentiment!$B$2:$B$37,Phone_by_Sentiment!H$2:H$37,"",0,1),0),$A366-TEXT(DATEVALUE($D366&amp;"-01"), "dd-mm-yyyy")),0),0)</f>
        <v>6465</v>
      </c>
      <c r="I366" cm="1">
        <f t="array" ref="I366">IF($Q366&gt;=0,IFERROR(generateSalesData($D366, IF(ISNUMBER(_xlfn.XLOOKUP($C366,Phone_by_Sentiment!$B$2:$B$37,Phone_by_Sentiment!I$2:I$37,"",0,1)),_xlfn.XLOOKUP($C366,Phone_by_Sentiment!$B$2:$B$37,Phone_by_Sentiment!I$2:I$37,"",0,1),0),$A366-TEXT(DATEVALUE($D366&amp;"-01"), "dd-mm-yyyy")),0),0)</f>
        <v>2720</v>
      </c>
      <c r="J366" cm="1">
        <f t="array" ref="J366">IF($Q366&gt;=0,IFERROR(generateSalesData($D366, IF(ISNUMBER(_xlfn.XLOOKUP($C366,Phone_by_Sentiment!$B$2:$B$37,Phone_by_Sentiment!J$2:J$37,"",0,1)),_xlfn.XLOOKUP($C366,Phone_by_Sentiment!$B$2:$B$37,Phone_by_Sentiment!J$2:J$37,"",0,1),0),$A366-TEXT(DATEVALUE($D366&amp;"-01"), "dd-mm-yyyy")),0),0)</f>
        <v>8595</v>
      </c>
      <c r="K366" cm="1">
        <f t="array" ref="K366">IF($Q366&gt;=0,IFERROR(generateSalesData($D366, IF(ISNUMBER(_xlfn.XLOOKUP($C366,Phone_by_Sentiment!$B$2:$B$37,Phone_by_Sentiment!K$2:K$37,"",0,1)),_xlfn.XLOOKUP($C366,Phone_by_Sentiment!$B$2:$B$37,Phone_by_Sentiment!K$2:K$37,"",0,1),0),$A366-TEXT(DATEVALUE($D366&amp;"-01"), "dd-mm-yyyy")),0),0)</f>
        <v>1163</v>
      </c>
      <c r="L366" cm="1">
        <f t="array" ref="L366">IF($Q366&gt;=0,IFERROR(generateSalesData($D366, IF(ISNUMBER(_xlfn.XLOOKUP($C366,Phone_by_Sentiment!$B$2:$B$37,Phone_by_Sentiment!L$2:L$37,"",0,1)),_xlfn.XLOOKUP($C366,Phone_by_Sentiment!$B$2:$B$37,Phone_by_Sentiment!L$2:L$37,"",0,1),0),$A366-TEXT(DATEVALUE($D366&amp;"-01"), "dd-mm-yyyy")),0),0)</f>
        <v>5644</v>
      </c>
      <c r="M366" cm="1">
        <f t="array" ref="M366">IF($Q366&gt;=0,IFERROR(generateSalesData($D366, IF(ISNUMBER(_xlfn.XLOOKUP($C366,Phone_by_Sentiment!$B$2:$B$37,Phone_by_Sentiment!M$2:M$37,"",0,1)),_xlfn.XLOOKUP($C366,Phone_by_Sentiment!$B$2:$B$37,Phone_by_Sentiment!M$2:M$37,"",0,1),0),$A366-TEXT(DATEVALUE($D366&amp;"-01"), "dd-mm-yyyy")),0),0)</f>
        <v>2374</v>
      </c>
      <c r="N366" cm="1">
        <f t="array" ref="N366">IF($Q366&gt;=0,IFERROR(generateSalesData($D366, IF(ISNUMBER(_xlfn.XLOOKUP($C366,Phone_by_Sentiment!$B$2:$B$37,Phone_by_Sentiment!N$2:N$37,"",0,1)),_xlfn.XLOOKUP($C366,Phone_by_Sentiment!$B$2:$B$37,Phone_by_Sentiment!N$2:N$37,"",0,1),0),$A366-TEXT(DATEVALUE($D366&amp;"-01"), "dd-mm-yyyy")),0),0)</f>
        <v>4925</v>
      </c>
      <c r="O366" cm="1">
        <f t="array" ref="O366">IF($Q366&gt;=0,IFERROR(generateSalesData($D366, IF(ISNUMBER(_xlfn.XLOOKUP($C366,Phone_by_Sentiment!$B$2:$B$37,Phone_by_Sentiment!O$2:O$37,"",0,1)),_xlfn.XLOOKUP($C366,Phone_by_Sentiment!$B$2:$B$37,Phone_by_Sentiment!O$2:O$37,"",0,1),0),$A366-TEXT(DATEVALUE($D366&amp;"-01"), "dd-mm-yyyy")),0),0)</f>
        <v>-469</v>
      </c>
      <c r="P366" s="1">
        <f t="shared" si="13"/>
        <v>43709</v>
      </c>
      <c r="Q366">
        <f t="shared" si="14"/>
        <v>61</v>
      </c>
    </row>
    <row r="367" spans="1:17" x14ac:dyDescent="0.25">
      <c r="A367" s="1">
        <f t="shared" si="12"/>
        <v>43770</v>
      </c>
      <c r="B367" t="s">
        <v>143</v>
      </c>
      <c r="C367" t="str">
        <f>_xlfn.XLOOKUP(B367,Phone_by_Price!$A$2:$A$34,Phone_by_Price!$B$2:$B$34,"-",0,1)</f>
        <v>Samsung Galaxy S20 Ultra</v>
      </c>
      <c r="D367" t="str">
        <f>_xlfn.XLOOKUP(C367,Phone_by_Sentiment!$B$2:$B$37,Phone_by_Sentiment!$A$2:$A$37,"-",0,1)</f>
        <v>2020-02</v>
      </c>
      <c r="E367" cm="1">
        <f t="array" ref="E367">IF($Q367&gt;=0,IFERROR(generateSalesData($D367, IF(ISNUMBER(_xlfn.XLOOKUP($C367,Phone_by_Sentiment!$B$2:$B$37,Phone_by_Sentiment!E$2:E$37,"",0,1)),_xlfn.XLOOKUP($C367,Phone_by_Sentiment!$B$2:$B$37,Phone_by_Sentiment!E$2:E$37,"",0,1),0),$A367-TEXT(DATEVALUE($D367&amp;"-01"), "dd-mm-yyyy")),0),0)</f>
        <v>0</v>
      </c>
      <c r="F367" cm="1">
        <f t="array" ref="F367">IF($Q367&gt;=0,IFERROR(generateSalesData($D367, IF(ISNUMBER(_xlfn.XLOOKUP($C367,Phone_by_Sentiment!$B$2:$B$37,Phone_by_Sentiment!F$2:F$37,"",0,1)),_xlfn.XLOOKUP($C367,Phone_by_Sentiment!$B$2:$B$37,Phone_by_Sentiment!F$2:F$37,"",0,1),0),$A367-TEXT(DATEVALUE($D367&amp;"-01"), "dd-mm-yyyy")),0),0)</f>
        <v>0</v>
      </c>
      <c r="G367" cm="1">
        <f t="array" ref="G367">IF($Q367&gt;=0,IFERROR(generateSalesData($D367, IF(ISNUMBER(_xlfn.XLOOKUP($C367,Phone_by_Sentiment!$B$2:$B$37,Phone_by_Sentiment!G$2:G$37,"",0,1)),_xlfn.XLOOKUP($C367,Phone_by_Sentiment!$B$2:$B$37,Phone_by_Sentiment!G$2:G$37,"",0,1),0),$A367-TEXT(DATEVALUE($D367&amp;"-01"), "dd-mm-yyyy")),0),0)</f>
        <v>0</v>
      </c>
      <c r="H367" cm="1">
        <f t="array" ref="H367">IF($Q367&gt;=0,IFERROR(generateSalesData($D367, IF(ISNUMBER(_xlfn.XLOOKUP($C367,Phone_by_Sentiment!$B$2:$B$37,Phone_by_Sentiment!H$2:H$37,"",0,1)),_xlfn.XLOOKUP($C367,Phone_by_Sentiment!$B$2:$B$37,Phone_by_Sentiment!H$2:H$37,"",0,1),0),$A367-TEXT(DATEVALUE($D367&amp;"-01"), "dd-mm-yyyy")),0),0)</f>
        <v>0</v>
      </c>
      <c r="I367" cm="1">
        <f t="array" ref="I367">IF($Q367&gt;=0,IFERROR(generateSalesData($D367, IF(ISNUMBER(_xlfn.XLOOKUP($C367,Phone_by_Sentiment!$B$2:$B$37,Phone_by_Sentiment!I$2:I$37,"",0,1)),_xlfn.XLOOKUP($C367,Phone_by_Sentiment!$B$2:$B$37,Phone_by_Sentiment!I$2:I$37,"",0,1),0),$A367-TEXT(DATEVALUE($D367&amp;"-01"), "dd-mm-yyyy")),0),0)</f>
        <v>0</v>
      </c>
      <c r="J367" cm="1">
        <f t="array" ref="J367">IF($Q367&gt;=0,IFERROR(generateSalesData($D367, IF(ISNUMBER(_xlfn.XLOOKUP($C367,Phone_by_Sentiment!$B$2:$B$37,Phone_by_Sentiment!J$2:J$37,"",0,1)),_xlfn.XLOOKUP($C367,Phone_by_Sentiment!$B$2:$B$37,Phone_by_Sentiment!J$2:J$37,"",0,1),0),$A367-TEXT(DATEVALUE($D367&amp;"-01"), "dd-mm-yyyy")),0),0)</f>
        <v>0</v>
      </c>
      <c r="K367" cm="1">
        <f t="array" ref="K367">IF($Q367&gt;=0,IFERROR(generateSalesData($D367, IF(ISNUMBER(_xlfn.XLOOKUP($C367,Phone_by_Sentiment!$B$2:$B$37,Phone_by_Sentiment!K$2:K$37,"",0,1)),_xlfn.XLOOKUP($C367,Phone_by_Sentiment!$B$2:$B$37,Phone_by_Sentiment!K$2:K$37,"",0,1),0),$A367-TEXT(DATEVALUE($D367&amp;"-01"), "dd-mm-yyyy")),0),0)</f>
        <v>0</v>
      </c>
      <c r="L367" cm="1">
        <f t="array" ref="L367">IF($Q367&gt;=0,IFERROR(generateSalesData($D367, IF(ISNUMBER(_xlfn.XLOOKUP($C367,Phone_by_Sentiment!$B$2:$B$37,Phone_by_Sentiment!L$2:L$37,"",0,1)),_xlfn.XLOOKUP($C367,Phone_by_Sentiment!$B$2:$B$37,Phone_by_Sentiment!L$2:L$37,"",0,1),0),$A367-TEXT(DATEVALUE($D367&amp;"-01"), "dd-mm-yyyy")),0),0)</f>
        <v>0</v>
      </c>
      <c r="M367" cm="1">
        <f t="array" ref="M367">IF($Q367&gt;=0,IFERROR(generateSalesData($D367, IF(ISNUMBER(_xlfn.XLOOKUP($C367,Phone_by_Sentiment!$B$2:$B$37,Phone_by_Sentiment!M$2:M$37,"",0,1)),_xlfn.XLOOKUP($C367,Phone_by_Sentiment!$B$2:$B$37,Phone_by_Sentiment!M$2:M$37,"",0,1),0),$A367-TEXT(DATEVALUE($D367&amp;"-01"), "dd-mm-yyyy")),0),0)</f>
        <v>0</v>
      </c>
      <c r="N367" cm="1">
        <f t="array" ref="N367">IF($Q367&gt;=0,IFERROR(generateSalesData($D367, IF(ISNUMBER(_xlfn.XLOOKUP($C367,Phone_by_Sentiment!$B$2:$B$37,Phone_by_Sentiment!N$2:N$37,"",0,1)),_xlfn.XLOOKUP($C367,Phone_by_Sentiment!$B$2:$B$37,Phone_by_Sentiment!N$2:N$37,"",0,1),0),$A367-TEXT(DATEVALUE($D367&amp;"-01"), "dd-mm-yyyy")),0),0)</f>
        <v>0</v>
      </c>
      <c r="O367" cm="1">
        <f t="array" ref="O367">IF($Q367&gt;=0,IFERROR(generateSalesData($D367, IF(ISNUMBER(_xlfn.XLOOKUP($C367,Phone_by_Sentiment!$B$2:$B$37,Phone_by_Sentiment!O$2:O$37,"",0,1)),_xlfn.XLOOKUP($C367,Phone_by_Sentiment!$B$2:$B$37,Phone_by_Sentiment!O$2:O$37,"",0,1),0),$A367-TEXT(DATEVALUE($D367&amp;"-01"), "dd-mm-yyyy")),0),0)</f>
        <v>0</v>
      </c>
      <c r="P367" s="1">
        <f t="shared" si="13"/>
        <v>43862</v>
      </c>
      <c r="Q367">
        <f t="shared" si="14"/>
        <v>-92</v>
      </c>
    </row>
    <row r="368" spans="1:17" x14ac:dyDescent="0.25">
      <c r="A368" s="1">
        <f t="shared" si="12"/>
        <v>43770</v>
      </c>
      <c r="B368" t="s">
        <v>144</v>
      </c>
      <c r="C368" t="str">
        <f>_xlfn.XLOOKUP(B368,Phone_by_Price!$A$2:$A$34,Phone_by_Price!$B$2:$B$34,"-",0,1)</f>
        <v>Xiaomi Redmi Note 10</v>
      </c>
      <c r="D368" t="str">
        <f>_xlfn.XLOOKUP(C368,Phone_by_Sentiment!$B$2:$B$37,Phone_by_Sentiment!$A$2:$A$37,"-",0,1)</f>
        <v>2021-03</v>
      </c>
      <c r="E368" cm="1">
        <f t="array" ref="E368">IF($Q368&gt;=0,IFERROR(generateSalesData($D368, IF(ISNUMBER(_xlfn.XLOOKUP($C368,Phone_by_Sentiment!$B$2:$B$37,Phone_by_Sentiment!E$2:E$37,"",0,1)),_xlfn.XLOOKUP($C368,Phone_by_Sentiment!$B$2:$B$37,Phone_by_Sentiment!E$2:E$37,"",0,1),0),$A368-TEXT(DATEVALUE($D368&amp;"-01"), "dd-mm-yyyy")),0),0)</f>
        <v>0</v>
      </c>
      <c r="F368" cm="1">
        <f t="array" ref="F368">IF($Q368&gt;=0,IFERROR(generateSalesData($D368, IF(ISNUMBER(_xlfn.XLOOKUP($C368,Phone_by_Sentiment!$B$2:$B$37,Phone_by_Sentiment!F$2:F$37,"",0,1)),_xlfn.XLOOKUP($C368,Phone_by_Sentiment!$B$2:$B$37,Phone_by_Sentiment!F$2:F$37,"",0,1),0),$A368-TEXT(DATEVALUE($D368&amp;"-01"), "dd-mm-yyyy")),0),0)</f>
        <v>0</v>
      </c>
      <c r="G368" cm="1">
        <f t="array" ref="G368">IF($Q368&gt;=0,IFERROR(generateSalesData($D368, IF(ISNUMBER(_xlfn.XLOOKUP($C368,Phone_by_Sentiment!$B$2:$B$37,Phone_by_Sentiment!G$2:G$37,"",0,1)),_xlfn.XLOOKUP($C368,Phone_by_Sentiment!$B$2:$B$37,Phone_by_Sentiment!G$2:G$37,"",0,1),0),$A368-TEXT(DATEVALUE($D368&amp;"-01"), "dd-mm-yyyy")),0),0)</f>
        <v>0</v>
      </c>
      <c r="H368" cm="1">
        <f t="array" ref="H368">IF($Q368&gt;=0,IFERROR(generateSalesData($D368, IF(ISNUMBER(_xlfn.XLOOKUP($C368,Phone_by_Sentiment!$B$2:$B$37,Phone_by_Sentiment!H$2:H$37,"",0,1)),_xlfn.XLOOKUP($C368,Phone_by_Sentiment!$B$2:$B$37,Phone_by_Sentiment!H$2:H$37,"",0,1),0),$A368-TEXT(DATEVALUE($D368&amp;"-01"), "dd-mm-yyyy")),0),0)</f>
        <v>0</v>
      </c>
      <c r="I368" cm="1">
        <f t="array" ref="I368">IF($Q368&gt;=0,IFERROR(generateSalesData($D368, IF(ISNUMBER(_xlfn.XLOOKUP($C368,Phone_by_Sentiment!$B$2:$B$37,Phone_by_Sentiment!I$2:I$37,"",0,1)),_xlfn.XLOOKUP($C368,Phone_by_Sentiment!$B$2:$B$37,Phone_by_Sentiment!I$2:I$37,"",0,1),0),$A368-TEXT(DATEVALUE($D368&amp;"-01"), "dd-mm-yyyy")),0),0)</f>
        <v>0</v>
      </c>
      <c r="J368" cm="1">
        <f t="array" ref="J368">IF($Q368&gt;=0,IFERROR(generateSalesData($D368, IF(ISNUMBER(_xlfn.XLOOKUP($C368,Phone_by_Sentiment!$B$2:$B$37,Phone_by_Sentiment!J$2:J$37,"",0,1)),_xlfn.XLOOKUP($C368,Phone_by_Sentiment!$B$2:$B$37,Phone_by_Sentiment!J$2:J$37,"",0,1),0),$A368-TEXT(DATEVALUE($D368&amp;"-01"), "dd-mm-yyyy")),0),0)</f>
        <v>0</v>
      </c>
      <c r="K368" cm="1">
        <f t="array" ref="K368">IF($Q368&gt;=0,IFERROR(generateSalesData($D368, IF(ISNUMBER(_xlfn.XLOOKUP($C368,Phone_by_Sentiment!$B$2:$B$37,Phone_by_Sentiment!K$2:K$37,"",0,1)),_xlfn.XLOOKUP($C368,Phone_by_Sentiment!$B$2:$B$37,Phone_by_Sentiment!K$2:K$37,"",0,1),0),$A368-TEXT(DATEVALUE($D368&amp;"-01"), "dd-mm-yyyy")),0),0)</f>
        <v>0</v>
      </c>
      <c r="L368" cm="1">
        <f t="array" ref="L368">IF($Q368&gt;=0,IFERROR(generateSalesData($D368, IF(ISNUMBER(_xlfn.XLOOKUP($C368,Phone_by_Sentiment!$B$2:$B$37,Phone_by_Sentiment!L$2:L$37,"",0,1)),_xlfn.XLOOKUP($C368,Phone_by_Sentiment!$B$2:$B$37,Phone_by_Sentiment!L$2:L$37,"",0,1),0),$A368-TEXT(DATEVALUE($D368&amp;"-01"), "dd-mm-yyyy")),0),0)</f>
        <v>0</v>
      </c>
      <c r="M368" cm="1">
        <f t="array" ref="M368">IF($Q368&gt;=0,IFERROR(generateSalesData($D368, IF(ISNUMBER(_xlfn.XLOOKUP($C368,Phone_by_Sentiment!$B$2:$B$37,Phone_by_Sentiment!M$2:M$37,"",0,1)),_xlfn.XLOOKUP($C368,Phone_by_Sentiment!$B$2:$B$37,Phone_by_Sentiment!M$2:M$37,"",0,1),0),$A368-TEXT(DATEVALUE($D368&amp;"-01"), "dd-mm-yyyy")),0),0)</f>
        <v>0</v>
      </c>
      <c r="N368" cm="1">
        <f t="array" ref="N368">IF($Q368&gt;=0,IFERROR(generateSalesData($D368, IF(ISNUMBER(_xlfn.XLOOKUP($C368,Phone_by_Sentiment!$B$2:$B$37,Phone_by_Sentiment!N$2:N$37,"",0,1)),_xlfn.XLOOKUP($C368,Phone_by_Sentiment!$B$2:$B$37,Phone_by_Sentiment!N$2:N$37,"",0,1),0),$A368-TEXT(DATEVALUE($D368&amp;"-01"), "dd-mm-yyyy")),0),0)</f>
        <v>0</v>
      </c>
      <c r="O368" cm="1">
        <f t="array" ref="O368">IF($Q368&gt;=0,IFERROR(generateSalesData($D368, IF(ISNUMBER(_xlfn.XLOOKUP($C368,Phone_by_Sentiment!$B$2:$B$37,Phone_by_Sentiment!O$2:O$37,"",0,1)),_xlfn.XLOOKUP($C368,Phone_by_Sentiment!$B$2:$B$37,Phone_by_Sentiment!O$2:O$37,"",0,1),0),$A368-TEXT(DATEVALUE($D368&amp;"-01"), "dd-mm-yyyy")),0),0)</f>
        <v>0</v>
      </c>
      <c r="P368" s="1">
        <f t="shared" si="13"/>
        <v>44256</v>
      </c>
      <c r="Q368">
        <f t="shared" si="14"/>
        <v>-486</v>
      </c>
    </row>
    <row r="369" spans="1:17" x14ac:dyDescent="0.25">
      <c r="A369" s="1">
        <f t="shared" si="12"/>
        <v>43770</v>
      </c>
      <c r="B369" t="s">
        <v>145</v>
      </c>
      <c r="C369" t="str">
        <f>_xlfn.XLOOKUP(B369,Phone_by_Price!$A$2:$A$34,Phone_by_Price!$B$2:$B$34,"-",0,1)</f>
        <v>OPPO A54</v>
      </c>
      <c r="D369" t="str">
        <f>_xlfn.XLOOKUP(C369,Phone_by_Sentiment!$B$2:$B$37,Phone_by_Sentiment!$A$2:$A$37,"-",0,1)</f>
        <v>2021-04</v>
      </c>
      <c r="E369" cm="1">
        <f t="array" ref="E369">IF($Q369&gt;=0,IFERROR(generateSalesData($D369, IF(ISNUMBER(_xlfn.XLOOKUP($C369,Phone_by_Sentiment!$B$2:$B$37,Phone_by_Sentiment!E$2:E$37,"",0,1)),_xlfn.XLOOKUP($C369,Phone_by_Sentiment!$B$2:$B$37,Phone_by_Sentiment!E$2:E$37,"",0,1),0),$A369-TEXT(DATEVALUE($D369&amp;"-01"), "dd-mm-yyyy")),0),0)</f>
        <v>0</v>
      </c>
      <c r="F369" cm="1">
        <f t="array" ref="F369">IF($Q369&gt;=0,IFERROR(generateSalesData($D369, IF(ISNUMBER(_xlfn.XLOOKUP($C369,Phone_by_Sentiment!$B$2:$B$37,Phone_by_Sentiment!F$2:F$37,"",0,1)),_xlfn.XLOOKUP($C369,Phone_by_Sentiment!$B$2:$B$37,Phone_by_Sentiment!F$2:F$37,"",0,1),0),$A369-TEXT(DATEVALUE($D369&amp;"-01"), "dd-mm-yyyy")),0),0)</f>
        <v>0</v>
      </c>
      <c r="G369" cm="1">
        <f t="array" ref="G369">IF($Q369&gt;=0,IFERROR(generateSalesData($D369, IF(ISNUMBER(_xlfn.XLOOKUP($C369,Phone_by_Sentiment!$B$2:$B$37,Phone_by_Sentiment!G$2:G$37,"",0,1)),_xlfn.XLOOKUP($C369,Phone_by_Sentiment!$B$2:$B$37,Phone_by_Sentiment!G$2:G$37,"",0,1),0),$A369-TEXT(DATEVALUE($D369&amp;"-01"), "dd-mm-yyyy")),0),0)</f>
        <v>0</v>
      </c>
      <c r="H369" cm="1">
        <f t="array" ref="H369">IF($Q369&gt;=0,IFERROR(generateSalesData($D369, IF(ISNUMBER(_xlfn.XLOOKUP($C369,Phone_by_Sentiment!$B$2:$B$37,Phone_by_Sentiment!H$2:H$37,"",0,1)),_xlfn.XLOOKUP($C369,Phone_by_Sentiment!$B$2:$B$37,Phone_by_Sentiment!H$2:H$37,"",0,1),0),$A369-TEXT(DATEVALUE($D369&amp;"-01"), "dd-mm-yyyy")),0),0)</f>
        <v>0</v>
      </c>
      <c r="I369" cm="1">
        <f t="array" ref="I369">IF($Q369&gt;=0,IFERROR(generateSalesData($D369, IF(ISNUMBER(_xlfn.XLOOKUP($C369,Phone_by_Sentiment!$B$2:$B$37,Phone_by_Sentiment!I$2:I$37,"",0,1)),_xlfn.XLOOKUP($C369,Phone_by_Sentiment!$B$2:$B$37,Phone_by_Sentiment!I$2:I$37,"",0,1),0),$A369-TEXT(DATEVALUE($D369&amp;"-01"), "dd-mm-yyyy")),0),0)</f>
        <v>0</v>
      </c>
      <c r="J369" cm="1">
        <f t="array" ref="J369">IF($Q369&gt;=0,IFERROR(generateSalesData($D369, IF(ISNUMBER(_xlfn.XLOOKUP($C369,Phone_by_Sentiment!$B$2:$B$37,Phone_by_Sentiment!J$2:J$37,"",0,1)),_xlfn.XLOOKUP($C369,Phone_by_Sentiment!$B$2:$B$37,Phone_by_Sentiment!J$2:J$37,"",0,1),0),$A369-TEXT(DATEVALUE($D369&amp;"-01"), "dd-mm-yyyy")),0),0)</f>
        <v>0</v>
      </c>
      <c r="K369" cm="1">
        <f t="array" ref="K369">IF($Q369&gt;=0,IFERROR(generateSalesData($D369, IF(ISNUMBER(_xlfn.XLOOKUP($C369,Phone_by_Sentiment!$B$2:$B$37,Phone_by_Sentiment!K$2:K$37,"",0,1)),_xlfn.XLOOKUP($C369,Phone_by_Sentiment!$B$2:$B$37,Phone_by_Sentiment!K$2:K$37,"",0,1),0),$A369-TEXT(DATEVALUE($D369&amp;"-01"), "dd-mm-yyyy")),0),0)</f>
        <v>0</v>
      </c>
      <c r="L369" cm="1">
        <f t="array" ref="L369">IF($Q369&gt;=0,IFERROR(generateSalesData($D369, IF(ISNUMBER(_xlfn.XLOOKUP($C369,Phone_by_Sentiment!$B$2:$B$37,Phone_by_Sentiment!L$2:L$37,"",0,1)),_xlfn.XLOOKUP($C369,Phone_by_Sentiment!$B$2:$B$37,Phone_by_Sentiment!L$2:L$37,"",0,1),0),$A369-TEXT(DATEVALUE($D369&amp;"-01"), "dd-mm-yyyy")),0),0)</f>
        <v>0</v>
      </c>
      <c r="M369" cm="1">
        <f t="array" ref="M369">IF($Q369&gt;=0,IFERROR(generateSalesData($D369, IF(ISNUMBER(_xlfn.XLOOKUP($C369,Phone_by_Sentiment!$B$2:$B$37,Phone_by_Sentiment!M$2:M$37,"",0,1)),_xlfn.XLOOKUP($C369,Phone_by_Sentiment!$B$2:$B$37,Phone_by_Sentiment!M$2:M$37,"",0,1),0),$A369-TEXT(DATEVALUE($D369&amp;"-01"), "dd-mm-yyyy")),0),0)</f>
        <v>0</v>
      </c>
      <c r="N369" cm="1">
        <f t="array" ref="N369">IF($Q369&gt;=0,IFERROR(generateSalesData($D369, IF(ISNUMBER(_xlfn.XLOOKUP($C369,Phone_by_Sentiment!$B$2:$B$37,Phone_by_Sentiment!N$2:N$37,"",0,1)),_xlfn.XLOOKUP($C369,Phone_by_Sentiment!$B$2:$B$37,Phone_by_Sentiment!N$2:N$37,"",0,1),0),$A369-TEXT(DATEVALUE($D369&amp;"-01"), "dd-mm-yyyy")),0),0)</f>
        <v>0</v>
      </c>
      <c r="O369" cm="1">
        <f t="array" ref="O369">IF($Q369&gt;=0,IFERROR(generateSalesData($D369, IF(ISNUMBER(_xlfn.XLOOKUP($C369,Phone_by_Sentiment!$B$2:$B$37,Phone_by_Sentiment!O$2:O$37,"",0,1)),_xlfn.XLOOKUP($C369,Phone_by_Sentiment!$B$2:$B$37,Phone_by_Sentiment!O$2:O$37,"",0,1),0),$A369-TEXT(DATEVALUE($D369&amp;"-01"), "dd-mm-yyyy")),0),0)</f>
        <v>0</v>
      </c>
      <c r="P369" s="1">
        <f t="shared" si="13"/>
        <v>44287</v>
      </c>
      <c r="Q369">
        <f t="shared" si="14"/>
        <v>-517</v>
      </c>
    </row>
    <row r="370" spans="1:17" x14ac:dyDescent="0.25">
      <c r="A370" s="1">
        <f t="shared" si="12"/>
        <v>43770</v>
      </c>
      <c r="B370" t="s">
        <v>146</v>
      </c>
      <c r="C370" t="str">
        <f>_xlfn.XLOOKUP(B370,Phone_by_Price!$A$2:$A$34,Phone_by_Price!$B$2:$B$34,"-",0,1)</f>
        <v>Vivo Y20</v>
      </c>
      <c r="D370" t="str">
        <f>_xlfn.XLOOKUP(C370,Phone_by_Sentiment!$B$2:$B$37,Phone_by_Sentiment!$A$2:$A$37,"-",0,1)</f>
        <v>2020-09</v>
      </c>
      <c r="E370" cm="1">
        <f t="array" ref="E370">IF($Q370&gt;=0,IFERROR(generateSalesData($D370, IF(ISNUMBER(_xlfn.XLOOKUP($C370,Phone_by_Sentiment!$B$2:$B$37,Phone_by_Sentiment!E$2:E$37,"",0,1)),_xlfn.XLOOKUP($C370,Phone_by_Sentiment!$B$2:$B$37,Phone_by_Sentiment!E$2:E$37,"",0,1),0),$A370-TEXT(DATEVALUE($D370&amp;"-01"), "dd-mm-yyyy")),0),0)</f>
        <v>0</v>
      </c>
      <c r="F370" cm="1">
        <f t="array" ref="F370">IF($Q370&gt;=0,IFERROR(generateSalesData($D370, IF(ISNUMBER(_xlfn.XLOOKUP($C370,Phone_by_Sentiment!$B$2:$B$37,Phone_by_Sentiment!F$2:F$37,"",0,1)),_xlfn.XLOOKUP($C370,Phone_by_Sentiment!$B$2:$B$37,Phone_by_Sentiment!F$2:F$37,"",0,1),0),$A370-TEXT(DATEVALUE($D370&amp;"-01"), "dd-mm-yyyy")),0),0)</f>
        <v>0</v>
      </c>
      <c r="G370" cm="1">
        <f t="array" ref="G370">IF($Q370&gt;=0,IFERROR(generateSalesData($D370, IF(ISNUMBER(_xlfn.XLOOKUP($C370,Phone_by_Sentiment!$B$2:$B$37,Phone_by_Sentiment!G$2:G$37,"",0,1)),_xlfn.XLOOKUP($C370,Phone_by_Sentiment!$B$2:$B$37,Phone_by_Sentiment!G$2:G$37,"",0,1),0),$A370-TEXT(DATEVALUE($D370&amp;"-01"), "dd-mm-yyyy")),0),0)</f>
        <v>0</v>
      </c>
      <c r="H370" cm="1">
        <f t="array" ref="H370">IF($Q370&gt;=0,IFERROR(generateSalesData($D370, IF(ISNUMBER(_xlfn.XLOOKUP($C370,Phone_by_Sentiment!$B$2:$B$37,Phone_by_Sentiment!H$2:H$37,"",0,1)),_xlfn.XLOOKUP($C370,Phone_by_Sentiment!$B$2:$B$37,Phone_by_Sentiment!H$2:H$37,"",0,1),0),$A370-TEXT(DATEVALUE($D370&amp;"-01"), "dd-mm-yyyy")),0),0)</f>
        <v>0</v>
      </c>
      <c r="I370" cm="1">
        <f t="array" ref="I370">IF($Q370&gt;=0,IFERROR(generateSalesData($D370, IF(ISNUMBER(_xlfn.XLOOKUP($C370,Phone_by_Sentiment!$B$2:$B$37,Phone_by_Sentiment!I$2:I$37,"",0,1)),_xlfn.XLOOKUP($C370,Phone_by_Sentiment!$B$2:$B$37,Phone_by_Sentiment!I$2:I$37,"",0,1),0),$A370-TEXT(DATEVALUE($D370&amp;"-01"), "dd-mm-yyyy")),0),0)</f>
        <v>0</v>
      </c>
      <c r="J370" cm="1">
        <f t="array" ref="J370">IF($Q370&gt;=0,IFERROR(generateSalesData($D370, IF(ISNUMBER(_xlfn.XLOOKUP($C370,Phone_by_Sentiment!$B$2:$B$37,Phone_by_Sentiment!J$2:J$37,"",0,1)),_xlfn.XLOOKUP($C370,Phone_by_Sentiment!$B$2:$B$37,Phone_by_Sentiment!J$2:J$37,"",0,1),0),$A370-TEXT(DATEVALUE($D370&amp;"-01"), "dd-mm-yyyy")),0),0)</f>
        <v>0</v>
      </c>
      <c r="K370" cm="1">
        <f t="array" ref="K370">IF($Q370&gt;=0,IFERROR(generateSalesData($D370, IF(ISNUMBER(_xlfn.XLOOKUP($C370,Phone_by_Sentiment!$B$2:$B$37,Phone_by_Sentiment!K$2:K$37,"",0,1)),_xlfn.XLOOKUP($C370,Phone_by_Sentiment!$B$2:$B$37,Phone_by_Sentiment!K$2:K$37,"",0,1),0),$A370-TEXT(DATEVALUE($D370&amp;"-01"), "dd-mm-yyyy")),0),0)</f>
        <v>0</v>
      </c>
      <c r="L370" cm="1">
        <f t="array" ref="L370">IF($Q370&gt;=0,IFERROR(generateSalesData($D370, IF(ISNUMBER(_xlfn.XLOOKUP($C370,Phone_by_Sentiment!$B$2:$B$37,Phone_by_Sentiment!L$2:L$37,"",0,1)),_xlfn.XLOOKUP($C370,Phone_by_Sentiment!$B$2:$B$37,Phone_by_Sentiment!L$2:L$37,"",0,1),0),$A370-TEXT(DATEVALUE($D370&amp;"-01"), "dd-mm-yyyy")),0),0)</f>
        <v>0</v>
      </c>
      <c r="M370" cm="1">
        <f t="array" ref="M370">IF($Q370&gt;=0,IFERROR(generateSalesData($D370, IF(ISNUMBER(_xlfn.XLOOKUP($C370,Phone_by_Sentiment!$B$2:$B$37,Phone_by_Sentiment!M$2:M$37,"",0,1)),_xlfn.XLOOKUP($C370,Phone_by_Sentiment!$B$2:$B$37,Phone_by_Sentiment!M$2:M$37,"",0,1),0),$A370-TEXT(DATEVALUE($D370&amp;"-01"), "dd-mm-yyyy")),0),0)</f>
        <v>0</v>
      </c>
      <c r="N370" cm="1">
        <f t="array" ref="N370">IF($Q370&gt;=0,IFERROR(generateSalesData($D370, IF(ISNUMBER(_xlfn.XLOOKUP($C370,Phone_by_Sentiment!$B$2:$B$37,Phone_by_Sentiment!N$2:N$37,"",0,1)),_xlfn.XLOOKUP($C370,Phone_by_Sentiment!$B$2:$B$37,Phone_by_Sentiment!N$2:N$37,"",0,1),0),$A370-TEXT(DATEVALUE($D370&amp;"-01"), "dd-mm-yyyy")),0),0)</f>
        <v>0</v>
      </c>
      <c r="O370" cm="1">
        <f t="array" ref="O370">IF($Q370&gt;=0,IFERROR(generateSalesData($D370, IF(ISNUMBER(_xlfn.XLOOKUP($C370,Phone_by_Sentiment!$B$2:$B$37,Phone_by_Sentiment!O$2:O$37,"",0,1)),_xlfn.XLOOKUP($C370,Phone_by_Sentiment!$B$2:$B$37,Phone_by_Sentiment!O$2:O$37,"",0,1),0),$A370-TEXT(DATEVALUE($D370&amp;"-01"), "dd-mm-yyyy")),0),0)</f>
        <v>0</v>
      </c>
      <c r="P370" s="1">
        <f t="shared" si="13"/>
        <v>44075</v>
      </c>
      <c r="Q370">
        <f t="shared" si="14"/>
        <v>-305</v>
      </c>
    </row>
    <row r="371" spans="1:17" x14ac:dyDescent="0.25">
      <c r="A371" s="1">
        <f t="shared" si="12"/>
        <v>43770</v>
      </c>
      <c r="B371" t="s">
        <v>147</v>
      </c>
      <c r="C371" t="str">
        <f>_xlfn.XLOOKUP(B371,Phone_by_Price!$A$2:$A$34,Phone_by_Price!$B$2:$B$34,"-",0,1)</f>
        <v>Huawei Y9a</v>
      </c>
      <c r="D371" t="str">
        <f>_xlfn.XLOOKUP(C371,Phone_by_Sentiment!$B$2:$B$37,Phone_by_Sentiment!$A$2:$A$37,"-",0,1)</f>
        <v>2020-02</v>
      </c>
      <c r="E371" cm="1">
        <f t="array" ref="E371">IF($Q371&gt;=0,IFERROR(generateSalesData($D371, IF(ISNUMBER(_xlfn.XLOOKUP($C371,Phone_by_Sentiment!$B$2:$B$37,Phone_by_Sentiment!E$2:E$37,"",0,1)),_xlfn.XLOOKUP($C371,Phone_by_Sentiment!$B$2:$B$37,Phone_by_Sentiment!E$2:E$37,"",0,1),0),$A371-TEXT(DATEVALUE($D371&amp;"-01"), "dd-mm-yyyy")),0),0)</f>
        <v>0</v>
      </c>
      <c r="F371" cm="1">
        <f t="array" ref="F371">IF($Q371&gt;=0,IFERROR(generateSalesData($D371, IF(ISNUMBER(_xlfn.XLOOKUP($C371,Phone_by_Sentiment!$B$2:$B$37,Phone_by_Sentiment!F$2:F$37,"",0,1)),_xlfn.XLOOKUP($C371,Phone_by_Sentiment!$B$2:$B$37,Phone_by_Sentiment!F$2:F$37,"",0,1),0),$A371-TEXT(DATEVALUE($D371&amp;"-01"), "dd-mm-yyyy")),0),0)</f>
        <v>0</v>
      </c>
      <c r="G371" cm="1">
        <f t="array" ref="G371">IF($Q371&gt;=0,IFERROR(generateSalesData($D371, IF(ISNUMBER(_xlfn.XLOOKUP($C371,Phone_by_Sentiment!$B$2:$B$37,Phone_by_Sentiment!G$2:G$37,"",0,1)),_xlfn.XLOOKUP($C371,Phone_by_Sentiment!$B$2:$B$37,Phone_by_Sentiment!G$2:G$37,"",0,1),0),$A371-TEXT(DATEVALUE($D371&amp;"-01"), "dd-mm-yyyy")),0),0)</f>
        <v>0</v>
      </c>
      <c r="H371" cm="1">
        <f t="array" ref="H371">IF($Q371&gt;=0,IFERROR(generateSalesData($D371, IF(ISNUMBER(_xlfn.XLOOKUP($C371,Phone_by_Sentiment!$B$2:$B$37,Phone_by_Sentiment!H$2:H$37,"",0,1)),_xlfn.XLOOKUP($C371,Phone_by_Sentiment!$B$2:$B$37,Phone_by_Sentiment!H$2:H$37,"",0,1),0),$A371-TEXT(DATEVALUE($D371&amp;"-01"), "dd-mm-yyyy")),0),0)</f>
        <v>0</v>
      </c>
      <c r="I371" cm="1">
        <f t="array" ref="I371">IF($Q371&gt;=0,IFERROR(generateSalesData($D371, IF(ISNUMBER(_xlfn.XLOOKUP($C371,Phone_by_Sentiment!$B$2:$B$37,Phone_by_Sentiment!I$2:I$37,"",0,1)),_xlfn.XLOOKUP($C371,Phone_by_Sentiment!$B$2:$B$37,Phone_by_Sentiment!I$2:I$37,"",0,1),0),$A371-TEXT(DATEVALUE($D371&amp;"-01"), "dd-mm-yyyy")),0),0)</f>
        <v>0</v>
      </c>
      <c r="J371" cm="1">
        <f t="array" ref="J371">IF($Q371&gt;=0,IFERROR(generateSalesData($D371, IF(ISNUMBER(_xlfn.XLOOKUP($C371,Phone_by_Sentiment!$B$2:$B$37,Phone_by_Sentiment!J$2:J$37,"",0,1)),_xlfn.XLOOKUP($C371,Phone_by_Sentiment!$B$2:$B$37,Phone_by_Sentiment!J$2:J$37,"",0,1),0),$A371-TEXT(DATEVALUE($D371&amp;"-01"), "dd-mm-yyyy")),0),0)</f>
        <v>0</v>
      </c>
      <c r="K371" cm="1">
        <f t="array" ref="K371">IF($Q371&gt;=0,IFERROR(generateSalesData($D371, IF(ISNUMBER(_xlfn.XLOOKUP($C371,Phone_by_Sentiment!$B$2:$B$37,Phone_by_Sentiment!K$2:K$37,"",0,1)),_xlfn.XLOOKUP($C371,Phone_by_Sentiment!$B$2:$B$37,Phone_by_Sentiment!K$2:K$37,"",0,1),0),$A371-TEXT(DATEVALUE($D371&amp;"-01"), "dd-mm-yyyy")),0),0)</f>
        <v>0</v>
      </c>
      <c r="L371" cm="1">
        <f t="array" ref="L371">IF($Q371&gt;=0,IFERROR(generateSalesData($D371, IF(ISNUMBER(_xlfn.XLOOKUP($C371,Phone_by_Sentiment!$B$2:$B$37,Phone_by_Sentiment!L$2:L$37,"",0,1)),_xlfn.XLOOKUP($C371,Phone_by_Sentiment!$B$2:$B$37,Phone_by_Sentiment!L$2:L$37,"",0,1),0),$A371-TEXT(DATEVALUE($D371&amp;"-01"), "dd-mm-yyyy")),0),0)</f>
        <v>0</v>
      </c>
      <c r="M371" cm="1">
        <f t="array" ref="M371">IF($Q371&gt;=0,IFERROR(generateSalesData($D371, IF(ISNUMBER(_xlfn.XLOOKUP($C371,Phone_by_Sentiment!$B$2:$B$37,Phone_by_Sentiment!M$2:M$37,"",0,1)),_xlfn.XLOOKUP($C371,Phone_by_Sentiment!$B$2:$B$37,Phone_by_Sentiment!M$2:M$37,"",0,1),0),$A371-TEXT(DATEVALUE($D371&amp;"-01"), "dd-mm-yyyy")),0),0)</f>
        <v>0</v>
      </c>
      <c r="N371" cm="1">
        <f t="array" ref="N371">IF($Q371&gt;=0,IFERROR(generateSalesData($D371, IF(ISNUMBER(_xlfn.XLOOKUP($C371,Phone_by_Sentiment!$B$2:$B$37,Phone_by_Sentiment!N$2:N$37,"",0,1)),_xlfn.XLOOKUP($C371,Phone_by_Sentiment!$B$2:$B$37,Phone_by_Sentiment!N$2:N$37,"",0,1),0),$A371-TEXT(DATEVALUE($D371&amp;"-01"), "dd-mm-yyyy")),0),0)</f>
        <v>0</v>
      </c>
      <c r="O371" cm="1">
        <f t="array" ref="O371">IF($Q371&gt;=0,IFERROR(generateSalesData($D371, IF(ISNUMBER(_xlfn.XLOOKUP($C371,Phone_by_Sentiment!$B$2:$B$37,Phone_by_Sentiment!O$2:O$37,"",0,1)),_xlfn.XLOOKUP($C371,Phone_by_Sentiment!$B$2:$B$37,Phone_by_Sentiment!O$2:O$37,"",0,1),0),$A371-TEXT(DATEVALUE($D371&amp;"-01"), "dd-mm-yyyy")),0),0)</f>
        <v>0</v>
      </c>
      <c r="P371" s="1">
        <f t="shared" si="13"/>
        <v>43862</v>
      </c>
      <c r="Q371">
        <f t="shared" si="14"/>
        <v>-92</v>
      </c>
    </row>
    <row r="372" spans="1:17" x14ac:dyDescent="0.25">
      <c r="A372" s="1">
        <f t="shared" si="12"/>
        <v>43770</v>
      </c>
      <c r="B372" t="s">
        <v>148</v>
      </c>
      <c r="C372" t="str">
        <f>_xlfn.XLOOKUP(B372,Phone_by_Price!$A$2:$A$34,Phone_by_Price!$B$2:$B$34,"-",0,1)</f>
        <v>Xiaomi Redmi 10</v>
      </c>
      <c r="D372" t="str">
        <f>_xlfn.XLOOKUP(C372,Phone_by_Sentiment!$B$2:$B$37,Phone_by_Sentiment!$A$2:$A$37,"-",0,1)</f>
        <v>2021-03</v>
      </c>
      <c r="E372" cm="1">
        <f t="array" ref="E372">IF($Q372&gt;=0,IFERROR(generateSalesData($D372, IF(ISNUMBER(_xlfn.XLOOKUP($C372,Phone_by_Sentiment!$B$2:$B$37,Phone_by_Sentiment!E$2:E$37,"",0,1)),_xlfn.XLOOKUP($C372,Phone_by_Sentiment!$B$2:$B$37,Phone_by_Sentiment!E$2:E$37,"",0,1),0),$A372-TEXT(DATEVALUE($D372&amp;"-01"), "dd-mm-yyyy")),0),0)</f>
        <v>0</v>
      </c>
      <c r="F372" cm="1">
        <f t="array" ref="F372">IF($Q372&gt;=0,IFERROR(generateSalesData($D372, IF(ISNUMBER(_xlfn.XLOOKUP($C372,Phone_by_Sentiment!$B$2:$B$37,Phone_by_Sentiment!F$2:F$37,"",0,1)),_xlfn.XLOOKUP($C372,Phone_by_Sentiment!$B$2:$B$37,Phone_by_Sentiment!F$2:F$37,"",0,1),0),$A372-TEXT(DATEVALUE($D372&amp;"-01"), "dd-mm-yyyy")),0),0)</f>
        <v>0</v>
      </c>
      <c r="G372" cm="1">
        <f t="array" ref="G372">IF($Q372&gt;=0,IFERROR(generateSalesData($D372, IF(ISNUMBER(_xlfn.XLOOKUP($C372,Phone_by_Sentiment!$B$2:$B$37,Phone_by_Sentiment!G$2:G$37,"",0,1)),_xlfn.XLOOKUP($C372,Phone_by_Sentiment!$B$2:$B$37,Phone_by_Sentiment!G$2:G$37,"",0,1),0),$A372-TEXT(DATEVALUE($D372&amp;"-01"), "dd-mm-yyyy")),0),0)</f>
        <v>0</v>
      </c>
      <c r="H372" cm="1">
        <f t="array" ref="H372">IF($Q372&gt;=0,IFERROR(generateSalesData($D372, IF(ISNUMBER(_xlfn.XLOOKUP($C372,Phone_by_Sentiment!$B$2:$B$37,Phone_by_Sentiment!H$2:H$37,"",0,1)),_xlfn.XLOOKUP($C372,Phone_by_Sentiment!$B$2:$B$37,Phone_by_Sentiment!H$2:H$37,"",0,1),0),$A372-TEXT(DATEVALUE($D372&amp;"-01"), "dd-mm-yyyy")),0),0)</f>
        <v>0</v>
      </c>
      <c r="I372" cm="1">
        <f t="array" ref="I372">IF($Q372&gt;=0,IFERROR(generateSalesData($D372, IF(ISNUMBER(_xlfn.XLOOKUP($C372,Phone_by_Sentiment!$B$2:$B$37,Phone_by_Sentiment!I$2:I$37,"",0,1)),_xlfn.XLOOKUP($C372,Phone_by_Sentiment!$B$2:$B$37,Phone_by_Sentiment!I$2:I$37,"",0,1),0),$A372-TEXT(DATEVALUE($D372&amp;"-01"), "dd-mm-yyyy")),0),0)</f>
        <v>0</v>
      </c>
      <c r="J372" cm="1">
        <f t="array" ref="J372">IF($Q372&gt;=0,IFERROR(generateSalesData($D372, IF(ISNUMBER(_xlfn.XLOOKUP($C372,Phone_by_Sentiment!$B$2:$B$37,Phone_by_Sentiment!J$2:J$37,"",0,1)),_xlfn.XLOOKUP($C372,Phone_by_Sentiment!$B$2:$B$37,Phone_by_Sentiment!J$2:J$37,"",0,1),0),$A372-TEXT(DATEVALUE($D372&amp;"-01"), "dd-mm-yyyy")),0),0)</f>
        <v>0</v>
      </c>
      <c r="K372" cm="1">
        <f t="array" ref="K372">IF($Q372&gt;=0,IFERROR(generateSalesData($D372, IF(ISNUMBER(_xlfn.XLOOKUP($C372,Phone_by_Sentiment!$B$2:$B$37,Phone_by_Sentiment!K$2:K$37,"",0,1)),_xlfn.XLOOKUP($C372,Phone_by_Sentiment!$B$2:$B$37,Phone_by_Sentiment!K$2:K$37,"",0,1),0),$A372-TEXT(DATEVALUE($D372&amp;"-01"), "dd-mm-yyyy")),0),0)</f>
        <v>0</v>
      </c>
      <c r="L372" cm="1">
        <f t="array" ref="L372">IF($Q372&gt;=0,IFERROR(generateSalesData($D372, IF(ISNUMBER(_xlfn.XLOOKUP($C372,Phone_by_Sentiment!$B$2:$B$37,Phone_by_Sentiment!L$2:L$37,"",0,1)),_xlfn.XLOOKUP($C372,Phone_by_Sentiment!$B$2:$B$37,Phone_by_Sentiment!L$2:L$37,"",0,1),0),$A372-TEXT(DATEVALUE($D372&amp;"-01"), "dd-mm-yyyy")),0),0)</f>
        <v>0</v>
      </c>
      <c r="M372" cm="1">
        <f t="array" ref="M372">IF($Q372&gt;=0,IFERROR(generateSalesData($D372, IF(ISNUMBER(_xlfn.XLOOKUP($C372,Phone_by_Sentiment!$B$2:$B$37,Phone_by_Sentiment!M$2:M$37,"",0,1)),_xlfn.XLOOKUP($C372,Phone_by_Sentiment!$B$2:$B$37,Phone_by_Sentiment!M$2:M$37,"",0,1),0),$A372-TEXT(DATEVALUE($D372&amp;"-01"), "dd-mm-yyyy")),0),0)</f>
        <v>0</v>
      </c>
      <c r="N372" cm="1">
        <f t="array" ref="N372">IF($Q372&gt;=0,IFERROR(generateSalesData($D372, IF(ISNUMBER(_xlfn.XLOOKUP($C372,Phone_by_Sentiment!$B$2:$B$37,Phone_by_Sentiment!N$2:N$37,"",0,1)),_xlfn.XLOOKUP($C372,Phone_by_Sentiment!$B$2:$B$37,Phone_by_Sentiment!N$2:N$37,"",0,1),0),$A372-TEXT(DATEVALUE($D372&amp;"-01"), "dd-mm-yyyy")),0),0)</f>
        <v>0</v>
      </c>
      <c r="O372" cm="1">
        <f t="array" ref="O372">IF($Q372&gt;=0,IFERROR(generateSalesData($D372, IF(ISNUMBER(_xlfn.XLOOKUP($C372,Phone_by_Sentiment!$B$2:$B$37,Phone_by_Sentiment!O$2:O$37,"",0,1)),_xlfn.XLOOKUP($C372,Phone_by_Sentiment!$B$2:$B$37,Phone_by_Sentiment!O$2:O$37,"",0,1),0),$A372-TEXT(DATEVALUE($D372&amp;"-01"), "dd-mm-yyyy")),0),0)</f>
        <v>0</v>
      </c>
      <c r="P372" s="1">
        <f t="shared" si="13"/>
        <v>44256</v>
      </c>
      <c r="Q372">
        <f t="shared" si="14"/>
        <v>-486</v>
      </c>
    </row>
    <row r="373" spans="1:17" x14ac:dyDescent="0.25">
      <c r="A373" s="1">
        <f t="shared" si="12"/>
        <v>43770</v>
      </c>
      <c r="B373" t="s">
        <v>149</v>
      </c>
      <c r="C373" t="str">
        <f>_xlfn.XLOOKUP(B373,Phone_by_Price!$A$2:$A$34,Phone_by_Price!$B$2:$B$34,"-",0,1)</f>
        <v>Samsung Galaxy A52</v>
      </c>
      <c r="D373" t="str">
        <f>_xlfn.XLOOKUP(C373,Phone_by_Sentiment!$B$2:$B$37,Phone_by_Sentiment!$A$2:$A$37,"-",0,1)</f>
        <v>2021-03</v>
      </c>
      <c r="E373" cm="1">
        <f t="array" ref="E373">IF($Q373&gt;=0,IFERROR(generateSalesData($D373, IF(ISNUMBER(_xlfn.XLOOKUP($C373,Phone_by_Sentiment!$B$2:$B$37,Phone_by_Sentiment!E$2:E$37,"",0,1)),_xlfn.XLOOKUP($C373,Phone_by_Sentiment!$B$2:$B$37,Phone_by_Sentiment!E$2:E$37,"",0,1),0),$A373-TEXT(DATEVALUE($D373&amp;"-01"), "dd-mm-yyyy")),0),0)</f>
        <v>0</v>
      </c>
      <c r="F373" cm="1">
        <f t="array" ref="F373">IF($Q373&gt;=0,IFERROR(generateSalesData($D373, IF(ISNUMBER(_xlfn.XLOOKUP($C373,Phone_by_Sentiment!$B$2:$B$37,Phone_by_Sentiment!F$2:F$37,"",0,1)),_xlfn.XLOOKUP($C373,Phone_by_Sentiment!$B$2:$B$37,Phone_by_Sentiment!F$2:F$37,"",0,1),0),$A373-TEXT(DATEVALUE($D373&amp;"-01"), "dd-mm-yyyy")),0),0)</f>
        <v>0</v>
      </c>
      <c r="G373" cm="1">
        <f t="array" ref="G373">IF($Q373&gt;=0,IFERROR(generateSalesData($D373, IF(ISNUMBER(_xlfn.XLOOKUP($C373,Phone_by_Sentiment!$B$2:$B$37,Phone_by_Sentiment!G$2:G$37,"",0,1)),_xlfn.XLOOKUP($C373,Phone_by_Sentiment!$B$2:$B$37,Phone_by_Sentiment!G$2:G$37,"",0,1),0),$A373-TEXT(DATEVALUE($D373&amp;"-01"), "dd-mm-yyyy")),0),0)</f>
        <v>0</v>
      </c>
      <c r="H373" cm="1">
        <f t="array" ref="H373">IF($Q373&gt;=0,IFERROR(generateSalesData($D373, IF(ISNUMBER(_xlfn.XLOOKUP($C373,Phone_by_Sentiment!$B$2:$B$37,Phone_by_Sentiment!H$2:H$37,"",0,1)),_xlfn.XLOOKUP($C373,Phone_by_Sentiment!$B$2:$B$37,Phone_by_Sentiment!H$2:H$37,"",0,1),0),$A373-TEXT(DATEVALUE($D373&amp;"-01"), "dd-mm-yyyy")),0),0)</f>
        <v>0</v>
      </c>
      <c r="I373" cm="1">
        <f t="array" ref="I373">IF($Q373&gt;=0,IFERROR(generateSalesData($D373, IF(ISNUMBER(_xlfn.XLOOKUP($C373,Phone_by_Sentiment!$B$2:$B$37,Phone_by_Sentiment!I$2:I$37,"",0,1)),_xlfn.XLOOKUP($C373,Phone_by_Sentiment!$B$2:$B$37,Phone_by_Sentiment!I$2:I$37,"",0,1),0),$A373-TEXT(DATEVALUE($D373&amp;"-01"), "dd-mm-yyyy")),0),0)</f>
        <v>0</v>
      </c>
      <c r="J373" cm="1">
        <f t="array" ref="J373">IF($Q373&gt;=0,IFERROR(generateSalesData($D373, IF(ISNUMBER(_xlfn.XLOOKUP($C373,Phone_by_Sentiment!$B$2:$B$37,Phone_by_Sentiment!J$2:J$37,"",0,1)),_xlfn.XLOOKUP($C373,Phone_by_Sentiment!$B$2:$B$37,Phone_by_Sentiment!J$2:J$37,"",0,1),0),$A373-TEXT(DATEVALUE($D373&amp;"-01"), "dd-mm-yyyy")),0),0)</f>
        <v>0</v>
      </c>
      <c r="K373" cm="1">
        <f t="array" ref="K373">IF($Q373&gt;=0,IFERROR(generateSalesData($D373, IF(ISNUMBER(_xlfn.XLOOKUP($C373,Phone_by_Sentiment!$B$2:$B$37,Phone_by_Sentiment!K$2:K$37,"",0,1)),_xlfn.XLOOKUP($C373,Phone_by_Sentiment!$B$2:$B$37,Phone_by_Sentiment!K$2:K$37,"",0,1),0),$A373-TEXT(DATEVALUE($D373&amp;"-01"), "dd-mm-yyyy")),0),0)</f>
        <v>0</v>
      </c>
      <c r="L373" cm="1">
        <f t="array" ref="L373">IF($Q373&gt;=0,IFERROR(generateSalesData($D373, IF(ISNUMBER(_xlfn.XLOOKUP($C373,Phone_by_Sentiment!$B$2:$B$37,Phone_by_Sentiment!L$2:L$37,"",0,1)),_xlfn.XLOOKUP($C373,Phone_by_Sentiment!$B$2:$B$37,Phone_by_Sentiment!L$2:L$37,"",0,1),0),$A373-TEXT(DATEVALUE($D373&amp;"-01"), "dd-mm-yyyy")),0),0)</f>
        <v>0</v>
      </c>
      <c r="M373" cm="1">
        <f t="array" ref="M373">IF($Q373&gt;=0,IFERROR(generateSalesData($D373, IF(ISNUMBER(_xlfn.XLOOKUP($C373,Phone_by_Sentiment!$B$2:$B$37,Phone_by_Sentiment!M$2:M$37,"",0,1)),_xlfn.XLOOKUP($C373,Phone_by_Sentiment!$B$2:$B$37,Phone_by_Sentiment!M$2:M$37,"",0,1),0),$A373-TEXT(DATEVALUE($D373&amp;"-01"), "dd-mm-yyyy")),0),0)</f>
        <v>0</v>
      </c>
      <c r="N373" cm="1">
        <f t="array" ref="N373">IF($Q373&gt;=0,IFERROR(generateSalesData($D373, IF(ISNUMBER(_xlfn.XLOOKUP($C373,Phone_by_Sentiment!$B$2:$B$37,Phone_by_Sentiment!N$2:N$37,"",0,1)),_xlfn.XLOOKUP($C373,Phone_by_Sentiment!$B$2:$B$37,Phone_by_Sentiment!N$2:N$37,"",0,1),0),$A373-TEXT(DATEVALUE($D373&amp;"-01"), "dd-mm-yyyy")),0),0)</f>
        <v>0</v>
      </c>
      <c r="O373" cm="1">
        <f t="array" ref="O373">IF($Q373&gt;=0,IFERROR(generateSalesData($D373, IF(ISNUMBER(_xlfn.XLOOKUP($C373,Phone_by_Sentiment!$B$2:$B$37,Phone_by_Sentiment!O$2:O$37,"",0,1)),_xlfn.XLOOKUP($C373,Phone_by_Sentiment!$B$2:$B$37,Phone_by_Sentiment!O$2:O$37,"",0,1),0),$A373-TEXT(DATEVALUE($D373&amp;"-01"), "dd-mm-yyyy")),0),0)</f>
        <v>0</v>
      </c>
      <c r="P373" s="1">
        <f t="shared" si="13"/>
        <v>44256</v>
      </c>
      <c r="Q373">
        <f t="shared" si="14"/>
        <v>-486</v>
      </c>
    </row>
    <row r="374" spans="1:17" x14ac:dyDescent="0.25">
      <c r="A374" s="1">
        <f t="shared" si="12"/>
        <v>43770</v>
      </c>
      <c r="B374" t="s">
        <v>150</v>
      </c>
      <c r="C374" t="str">
        <f>_xlfn.XLOOKUP(B374,Phone_by_Price!$A$2:$A$34,Phone_by_Price!$B$2:$B$34,"-",0,1)</f>
        <v>Vivo Y33s</v>
      </c>
      <c r="D374" t="str">
        <f>_xlfn.XLOOKUP(C374,Phone_by_Sentiment!$B$2:$B$37,Phone_by_Sentiment!$A$2:$A$37,"-",0,1)</f>
        <v>2021-05</v>
      </c>
      <c r="E374" cm="1">
        <f t="array" ref="E374">IF($Q374&gt;=0,IFERROR(generateSalesData($D374, IF(ISNUMBER(_xlfn.XLOOKUP($C374,Phone_by_Sentiment!$B$2:$B$37,Phone_by_Sentiment!E$2:E$37,"",0,1)),_xlfn.XLOOKUP($C374,Phone_by_Sentiment!$B$2:$B$37,Phone_by_Sentiment!E$2:E$37,"",0,1),0),$A374-TEXT(DATEVALUE($D374&amp;"-01"), "dd-mm-yyyy")),0),0)</f>
        <v>0</v>
      </c>
      <c r="F374" cm="1">
        <f t="array" ref="F374">IF($Q374&gt;=0,IFERROR(generateSalesData($D374, IF(ISNUMBER(_xlfn.XLOOKUP($C374,Phone_by_Sentiment!$B$2:$B$37,Phone_by_Sentiment!F$2:F$37,"",0,1)),_xlfn.XLOOKUP($C374,Phone_by_Sentiment!$B$2:$B$37,Phone_by_Sentiment!F$2:F$37,"",0,1),0),$A374-TEXT(DATEVALUE($D374&amp;"-01"), "dd-mm-yyyy")),0),0)</f>
        <v>0</v>
      </c>
      <c r="G374" cm="1">
        <f t="array" ref="G374">IF($Q374&gt;=0,IFERROR(generateSalesData($D374, IF(ISNUMBER(_xlfn.XLOOKUP($C374,Phone_by_Sentiment!$B$2:$B$37,Phone_by_Sentiment!G$2:G$37,"",0,1)),_xlfn.XLOOKUP($C374,Phone_by_Sentiment!$B$2:$B$37,Phone_by_Sentiment!G$2:G$37,"",0,1),0),$A374-TEXT(DATEVALUE($D374&amp;"-01"), "dd-mm-yyyy")),0),0)</f>
        <v>0</v>
      </c>
      <c r="H374" cm="1">
        <f t="array" ref="H374">IF($Q374&gt;=0,IFERROR(generateSalesData($D374, IF(ISNUMBER(_xlfn.XLOOKUP($C374,Phone_by_Sentiment!$B$2:$B$37,Phone_by_Sentiment!H$2:H$37,"",0,1)),_xlfn.XLOOKUP($C374,Phone_by_Sentiment!$B$2:$B$37,Phone_by_Sentiment!H$2:H$37,"",0,1),0),$A374-TEXT(DATEVALUE($D374&amp;"-01"), "dd-mm-yyyy")),0),0)</f>
        <v>0</v>
      </c>
      <c r="I374" cm="1">
        <f t="array" ref="I374">IF($Q374&gt;=0,IFERROR(generateSalesData($D374, IF(ISNUMBER(_xlfn.XLOOKUP($C374,Phone_by_Sentiment!$B$2:$B$37,Phone_by_Sentiment!I$2:I$37,"",0,1)),_xlfn.XLOOKUP($C374,Phone_by_Sentiment!$B$2:$B$37,Phone_by_Sentiment!I$2:I$37,"",0,1),0),$A374-TEXT(DATEVALUE($D374&amp;"-01"), "dd-mm-yyyy")),0),0)</f>
        <v>0</v>
      </c>
      <c r="J374" cm="1">
        <f t="array" ref="J374">IF($Q374&gt;=0,IFERROR(generateSalesData($D374, IF(ISNUMBER(_xlfn.XLOOKUP($C374,Phone_by_Sentiment!$B$2:$B$37,Phone_by_Sentiment!J$2:J$37,"",0,1)),_xlfn.XLOOKUP($C374,Phone_by_Sentiment!$B$2:$B$37,Phone_by_Sentiment!J$2:J$37,"",0,1),0),$A374-TEXT(DATEVALUE($D374&amp;"-01"), "dd-mm-yyyy")),0),0)</f>
        <v>0</v>
      </c>
      <c r="K374" cm="1">
        <f t="array" ref="K374">IF($Q374&gt;=0,IFERROR(generateSalesData($D374, IF(ISNUMBER(_xlfn.XLOOKUP($C374,Phone_by_Sentiment!$B$2:$B$37,Phone_by_Sentiment!K$2:K$37,"",0,1)),_xlfn.XLOOKUP($C374,Phone_by_Sentiment!$B$2:$B$37,Phone_by_Sentiment!K$2:K$37,"",0,1),0),$A374-TEXT(DATEVALUE($D374&amp;"-01"), "dd-mm-yyyy")),0),0)</f>
        <v>0</v>
      </c>
      <c r="L374" cm="1">
        <f t="array" ref="L374">IF($Q374&gt;=0,IFERROR(generateSalesData($D374, IF(ISNUMBER(_xlfn.XLOOKUP($C374,Phone_by_Sentiment!$B$2:$B$37,Phone_by_Sentiment!L$2:L$37,"",0,1)),_xlfn.XLOOKUP($C374,Phone_by_Sentiment!$B$2:$B$37,Phone_by_Sentiment!L$2:L$37,"",0,1),0),$A374-TEXT(DATEVALUE($D374&amp;"-01"), "dd-mm-yyyy")),0),0)</f>
        <v>0</v>
      </c>
      <c r="M374" cm="1">
        <f t="array" ref="M374">IF($Q374&gt;=0,IFERROR(generateSalesData($D374, IF(ISNUMBER(_xlfn.XLOOKUP($C374,Phone_by_Sentiment!$B$2:$B$37,Phone_by_Sentiment!M$2:M$37,"",0,1)),_xlfn.XLOOKUP($C374,Phone_by_Sentiment!$B$2:$B$37,Phone_by_Sentiment!M$2:M$37,"",0,1),0),$A374-TEXT(DATEVALUE($D374&amp;"-01"), "dd-mm-yyyy")),0),0)</f>
        <v>0</v>
      </c>
      <c r="N374" cm="1">
        <f t="array" ref="N374">IF($Q374&gt;=0,IFERROR(generateSalesData($D374, IF(ISNUMBER(_xlfn.XLOOKUP($C374,Phone_by_Sentiment!$B$2:$B$37,Phone_by_Sentiment!N$2:N$37,"",0,1)),_xlfn.XLOOKUP($C374,Phone_by_Sentiment!$B$2:$B$37,Phone_by_Sentiment!N$2:N$37,"",0,1),0),$A374-TEXT(DATEVALUE($D374&amp;"-01"), "dd-mm-yyyy")),0),0)</f>
        <v>0</v>
      </c>
      <c r="O374" cm="1">
        <f t="array" ref="O374">IF($Q374&gt;=0,IFERROR(generateSalesData($D374, IF(ISNUMBER(_xlfn.XLOOKUP($C374,Phone_by_Sentiment!$B$2:$B$37,Phone_by_Sentiment!O$2:O$37,"",0,1)),_xlfn.XLOOKUP($C374,Phone_by_Sentiment!$B$2:$B$37,Phone_by_Sentiment!O$2:O$37,"",0,1),0),$A374-TEXT(DATEVALUE($D374&amp;"-01"), "dd-mm-yyyy")),0),0)</f>
        <v>0</v>
      </c>
      <c r="P374" s="1">
        <f t="shared" si="13"/>
        <v>44317</v>
      </c>
      <c r="Q374">
        <f t="shared" si="14"/>
        <v>-547</v>
      </c>
    </row>
    <row r="375" spans="1:17" x14ac:dyDescent="0.25">
      <c r="A375" s="1">
        <f t="shared" si="12"/>
        <v>43770</v>
      </c>
      <c r="B375" t="s">
        <v>151</v>
      </c>
      <c r="C375" t="str">
        <f>_xlfn.XLOOKUP(B375,Phone_by_Price!$A$2:$A$34,Phone_by_Price!$B$2:$B$34,"-",0,1)</f>
        <v>Vivo Y11s</v>
      </c>
      <c r="D375" t="str">
        <f>_xlfn.XLOOKUP(C375,Phone_by_Sentiment!$B$2:$B$37,Phone_by_Sentiment!$A$2:$A$37,"-",0,1)</f>
        <v>2020-11</v>
      </c>
      <c r="E375" cm="1">
        <f t="array" ref="E375">IF($Q375&gt;=0,IFERROR(generateSalesData($D375, IF(ISNUMBER(_xlfn.XLOOKUP($C375,Phone_by_Sentiment!$B$2:$B$37,Phone_by_Sentiment!E$2:E$37,"",0,1)),_xlfn.XLOOKUP($C375,Phone_by_Sentiment!$B$2:$B$37,Phone_by_Sentiment!E$2:E$37,"",0,1),0),$A375-TEXT(DATEVALUE($D375&amp;"-01"), "dd-mm-yyyy")),0),0)</f>
        <v>0</v>
      </c>
      <c r="F375" cm="1">
        <f t="array" ref="F375">IF($Q375&gt;=0,IFERROR(generateSalesData($D375, IF(ISNUMBER(_xlfn.XLOOKUP($C375,Phone_by_Sentiment!$B$2:$B$37,Phone_by_Sentiment!F$2:F$37,"",0,1)),_xlfn.XLOOKUP($C375,Phone_by_Sentiment!$B$2:$B$37,Phone_by_Sentiment!F$2:F$37,"",0,1),0),$A375-TEXT(DATEVALUE($D375&amp;"-01"), "dd-mm-yyyy")),0),0)</f>
        <v>0</v>
      </c>
      <c r="G375" cm="1">
        <f t="array" ref="G375">IF($Q375&gt;=0,IFERROR(generateSalesData($D375, IF(ISNUMBER(_xlfn.XLOOKUP($C375,Phone_by_Sentiment!$B$2:$B$37,Phone_by_Sentiment!G$2:G$37,"",0,1)),_xlfn.XLOOKUP($C375,Phone_by_Sentiment!$B$2:$B$37,Phone_by_Sentiment!G$2:G$37,"",0,1),0),$A375-TEXT(DATEVALUE($D375&amp;"-01"), "dd-mm-yyyy")),0),0)</f>
        <v>0</v>
      </c>
      <c r="H375" cm="1">
        <f t="array" ref="H375">IF($Q375&gt;=0,IFERROR(generateSalesData($D375, IF(ISNUMBER(_xlfn.XLOOKUP($C375,Phone_by_Sentiment!$B$2:$B$37,Phone_by_Sentiment!H$2:H$37,"",0,1)),_xlfn.XLOOKUP($C375,Phone_by_Sentiment!$B$2:$B$37,Phone_by_Sentiment!H$2:H$37,"",0,1),0),$A375-TEXT(DATEVALUE($D375&amp;"-01"), "dd-mm-yyyy")),0),0)</f>
        <v>0</v>
      </c>
      <c r="I375" cm="1">
        <f t="array" ref="I375">IF($Q375&gt;=0,IFERROR(generateSalesData($D375, IF(ISNUMBER(_xlfn.XLOOKUP($C375,Phone_by_Sentiment!$B$2:$B$37,Phone_by_Sentiment!I$2:I$37,"",0,1)),_xlfn.XLOOKUP($C375,Phone_by_Sentiment!$B$2:$B$37,Phone_by_Sentiment!I$2:I$37,"",0,1),0),$A375-TEXT(DATEVALUE($D375&amp;"-01"), "dd-mm-yyyy")),0),0)</f>
        <v>0</v>
      </c>
      <c r="J375" cm="1">
        <f t="array" ref="J375">IF($Q375&gt;=0,IFERROR(generateSalesData($D375, IF(ISNUMBER(_xlfn.XLOOKUP($C375,Phone_by_Sentiment!$B$2:$B$37,Phone_by_Sentiment!J$2:J$37,"",0,1)),_xlfn.XLOOKUP($C375,Phone_by_Sentiment!$B$2:$B$37,Phone_by_Sentiment!J$2:J$37,"",0,1),0),$A375-TEXT(DATEVALUE($D375&amp;"-01"), "dd-mm-yyyy")),0),0)</f>
        <v>0</v>
      </c>
      <c r="K375" cm="1">
        <f t="array" ref="K375">IF($Q375&gt;=0,IFERROR(generateSalesData($D375, IF(ISNUMBER(_xlfn.XLOOKUP($C375,Phone_by_Sentiment!$B$2:$B$37,Phone_by_Sentiment!K$2:K$37,"",0,1)),_xlfn.XLOOKUP($C375,Phone_by_Sentiment!$B$2:$B$37,Phone_by_Sentiment!K$2:K$37,"",0,1),0),$A375-TEXT(DATEVALUE($D375&amp;"-01"), "dd-mm-yyyy")),0),0)</f>
        <v>0</v>
      </c>
      <c r="L375" cm="1">
        <f t="array" ref="L375">IF($Q375&gt;=0,IFERROR(generateSalesData($D375, IF(ISNUMBER(_xlfn.XLOOKUP($C375,Phone_by_Sentiment!$B$2:$B$37,Phone_by_Sentiment!L$2:L$37,"",0,1)),_xlfn.XLOOKUP($C375,Phone_by_Sentiment!$B$2:$B$37,Phone_by_Sentiment!L$2:L$37,"",0,1),0),$A375-TEXT(DATEVALUE($D375&amp;"-01"), "dd-mm-yyyy")),0),0)</f>
        <v>0</v>
      </c>
      <c r="M375" cm="1">
        <f t="array" ref="M375">IF($Q375&gt;=0,IFERROR(generateSalesData($D375, IF(ISNUMBER(_xlfn.XLOOKUP($C375,Phone_by_Sentiment!$B$2:$B$37,Phone_by_Sentiment!M$2:M$37,"",0,1)),_xlfn.XLOOKUP($C375,Phone_by_Sentiment!$B$2:$B$37,Phone_by_Sentiment!M$2:M$37,"",0,1),0),$A375-TEXT(DATEVALUE($D375&amp;"-01"), "dd-mm-yyyy")),0),0)</f>
        <v>0</v>
      </c>
      <c r="N375" cm="1">
        <f t="array" ref="N375">IF($Q375&gt;=0,IFERROR(generateSalesData($D375, IF(ISNUMBER(_xlfn.XLOOKUP($C375,Phone_by_Sentiment!$B$2:$B$37,Phone_by_Sentiment!N$2:N$37,"",0,1)),_xlfn.XLOOKUP($C375,Phone_by_Sentiment!$B$2:$B$37,Phone_by_Sentiment!N$2:N$37,"",0,1),0),$A375-TEXT(DATEVALUE($D375&amp;"-01"), "dd-mm-yyyy")),0),0)</f>
        <v>0</v>
      </c>
      <c r="O375" cm="1">
        <f t="array" ref="O375">IF($Q375&gt;=0,IFERROR(generateSalesData($D375, IF(ISNUMBER(_xlfn.XLOOKUP($C375,Phone_by_Sentiment!$B$2:$B$37,Phone_by_Sentiment!O$2:O$37,"",0,1)),_xlfn.XLOOKUP($C375,Phone_by_Sentiment!$B$2:$B$37,Phone_by_Sentiment!O$2:O$37,"",0,1),0),$A375-TEXT(DATEVALUE($D375&amp;"-01"), "dd-mm-yyyy")),0),0)</f>
        <v>0</v>
      </c>
      <c r="P375" s="1">
        <f t="shared" si="13"/>
        <v>44136</v>
      </c>
      <c r="Q375">
        <f t="shared" si="14"/>
        <v>-366</v>
      </c>
    </row>
    <row r="376" spans="1:17" x14ac:dyDescent="0.25">
      <c r="A376" s="1">
        <f t="shared" si="12"/>
        <v>43770</v>
      </c>
      <c r="B376" t="s">
        <v>152</v>
      </c>
      <c r="C376" t="str">
        <f>_xlfn.XLOOKUP(B376,Phone_by_Price!$A$2:$A$34,Phone_by_Price!$B$2:$B$34,"-",0,1)</f>
        <v>Huawei Nova 7i</v>
      </c>
      <c r="D376" t="str">
        <f>_xlfn.XLOOKUP(C376,Phone_by_Sentiment!$B$2:$B$37,Phone_by_Sentiment!$A$2:$A$37,"-",0,1)</f>
        <v>2020-02</v>
      </c>
      <c r="E376" cm="1">
        <f t="array" ref="E376">IF($Q376&gt;=0,IFERROR(generateSalesData($D376, IF(ISNUMBER(_xlfn.XLOOKUP($C376,Phone_by_Sentiment!$B$2:$B$37,Phone_by_Sentiment!E$2:E$37,"",0,1)),_xlfn.XLOOKUP($C376,Phone_by_Sentiment!$B$2:$B$37,Phone_by_Sentiment!E$2:E$37,"",0,1),0),$A376-TEXT(DATEVALUE($D376&amp;"-01"), "dd-mm-yyyy")),0),0)</f>
        <v>0</v>
      </c>
      <c r="F376" cm="1">
        <f t="array" ref="F376">IF($Q376&gt;=0,IFERROR(generateSalesData($D376, IF(ISNUMBER(_xlfn.XLOOKUP($C376,Phone_by_Sentiment!$B$2:$B$37,Phone_by_Sentiment!F$2:F$37,"",0,1)),_xlfn.XLOOKUP($C376,Phone_by_Sentiment!$B$2:$B$37,Phone_by_Sentiment!F$2:F$37,"",0,1),0),$A376-TEXT(DATEVALUE($D376&amp;"-01"), "dd-mm-yyyy")),0),0)</f>
        <v>0</v>
      </c>
      <c r="G376" cm="1">
        <f t="array" ref="G376">IF($Q376&gt;=0,IFERROR(generateSalesData($D376, IF(ISNUMBER(_xlfn.XLOOKUP($C376,Phone_by_Sentiment!$B$2:$B$37,Phone_by_Sentiment!G$2:G$37,"",0,1)),_xlfn.XLOOKUP($C376,Phone_by_Sentiment!$B$2:$B$37,Phone_by_Sentiment!G$2:G$37,"",0,1),0),$A376-TEXT(DATEVALUE($D376&amp;"-01"), "dd-mm-yyyy")),0),0)</f>
        <v>0</v>
      </c>
      <c r="H376" cm="1">
        <f t="array" ref="H376">IF($Q376&gt;=0,IFERROR(generateSalesData($D376, IF(ISNUMBER(_xlfn.XLOOKUP($C376,Phone_by_Sentiment!$B$2:$B$37,Phone_by_Sentiment!H$2:H$37,"",0,1)),_xlfn.XLOOKUP($C376,Phone_by_Sentiment!$B$2:$B$37,Phone_by_Sentiment!H$2:H$37,"",0,1),0),$A376-TEXT(DATEVALUE($D376&amp;"-01"), "dd-mm-yyyy")),0),0)</f>
        <v>0</v>
      </c>
      <c r="I376" cm="1">
        <f t="array" ref="I376">IF($Q376&gt;=0,IFERROR(generateSalesData($D376, IF(ISNUMBER(_xlfn.XLOOKUP($C376,Phone_by_Sentiment!$B$2:$B$37,Phone_by_Sentiment!I$2:I$37,"",0,1)),_xlfn.XLOOKUP($C376,Phone_by_Sentiment!$B$2:$B$37,Phone_by_Sentiment!I$2:I$37,"",0,1),0),$A376-TEXT(DATEVALUE($D376&amp;"-01"), "dd-mm-yyyy")),0),0)</f>
        <v>0</v>
      </c>
      <c r="J376" cm="1">
        <f t="array" ref="J376">IF($Q376&gt;=0,IFERROR(generateSalesData($D376, IF(ISNUMBER(_xlfn.XLOOKUP($C376,Phone_by_Sentiment!$B$2:$B$37,Phone_by_Sentiment!J$2:J$37,"",0,1)),_xlfn.XLOOKUP($C376,Phone_by_Sentiment!$B$2:$B$37,Phone_by_Sentiment!J$2:J$37,"",0,1),0),$A376-TEXT(DATEVALUE($D376&amp;"-01"), "dd-mm-yyyy")),0),0)</f>
        <v>0</v>
      </c>
      <c r="K376" cm="1">
        <f t="array" ref="K376">IF($Q376&gt;=0,IFERROR(generateSalesData($D376, IF(ISNUMBER(_xlfn.XLOOKUP($C376,Phone_by_Sentiment!$B$2:$B$37,Phone_by_Sentiment!K$2:K$37,"",0,1)),_xlfn.XLOOKUP($C376,Phone_by_Sentiment!$B$2:$B$37,Phone_by_Sentiment!K$2:K$37,"",0,1),0),$A376-TEXT(DATEVALUE($D376&amp;"-01"), "dd-mm-yyyy")),0),0)</f>
        <v>0</v>
      </c>
      <c r="L376" cm="1">
        <f t="array" ref="L376">IF($Q376&gt;=0,IFERROR(generateSalesData($D376, IF(ISNUMBER(_xlfn.XLOOKUP($C376,Phone_by_Sentiment!$B$2:$B$37,Phone_by_Sentiment!L$2:L$37,"",0,1)),_xlfn.XLOOKUP($C376,Phone_by_Sentiment!$B$2:$B$37,Phone_by_Sentiment!L$2:L$37,"",0,1),0),$A376-TEXT(DATEVALUE($D376&amp;"-01"), "dd-mm-yyyy")),0),0)</f>
        <v>0</v>
      </c>
      <c r="M376" cm="1">
        <f t="array" ref="M376">IF($Q376&gt;=0,IFERROR(generateSalesData($D376, IF(ISNUMBER(_xlfn.XLOOKUP($C376,Phone_by_Sentiment!$B$2:$B$37,Phone_by_Sentiment!M$2:M$37,"",0,1)),_xlfn.XLOOKUP($C376,Phone_by_Sentiment!$B$2:$B$37,Phone_by_Sentiment!M$2:M$37,"",0,1),0),$A376-TEXT(DATEVALUE($D376&amp;"-01"), "dd-mm-yyyy")),0),0)</f>
        <v>0</v>
      </c>
      <c r="N376" cm="1">
        <f t="array" ref="N376">IF($Q376&gt;=0,IFERROR(generateSalesData($D376, IF(ISNUMBER(_xlfn.XLOOKUP($C376,Phone_by_Sentiment!$B$2:$B$37,Phone_by_Sentiment!N$2:N$37,"",0,1)),_xlfn.XLOOKUP($C376,Phone_by_Sentiment!$B$2:$B$37,Phone_by_Sentiment!N$2:N$37,"",0,1),0),$A376-TEXT(DATEVALUE($D376&amp;"-01"), "dd-mm-yyyy")),0),0)</f>
        <v>0</v>
      </c>
      <c r="O376" cm="1">
        <f t="array" ref="O376">IF($Q376&gt;=0,IFERROR(generateSalesData($D376, IF(ISNUMBER(_xlfn.XLOOKUP($C376,Phone_by_Sentiment!$B$2:$B$37,Phone_by_Sentiment!O$2:O$37,"",0,1)),_xlfn.XLOOKUP($C376,Phone_by_Sentiment!$B$2:$B$37,Phone_by_Sentiment!O$2:O$37,"",0,1),0),$A376-TEXT(DATEVALUE($D376&amp;"-01"), "dd-mm-yyyy")),0),0)</f>
        <v>0</v>
      </c>
      <c r="P376" s="1">
        <f t="shared" si="13"/>
        <v>43862</v>
      </c>
      <c r="Q376">
        <f t="shared" si="14"/>
        <v>-92</v>
      </c>
    </row>
    <row r="377" spans="1:17" x14ac:dyDescent="0.25">
      <c r="A377" s="1">
        <f t="shared" si="12"/>
        <v>43770</v>
      </c>
      <c r="B377" t="s">
        <v>153</v>
      </c>
      <c r="C377" t="str">
        <f>_xlfn.XLOOKUP(B377,Phone_by_Price!$A$2:$A$34,Phone_by_Price!$B$2:$B$34,"-",0,1)</f>
        <v>iPhone 13</v>
      </c>
      <c r="D377" t="str">
        <f>_xlfn.XLOOKUP(C377,Phone_by_Sentiment!$B$2:$B$37,Phone_by_Sentiment!$A$2:$A$37,"-",0,1)</f>
        <v>2021-09</v>
      </c>
      <c r="E377" cm="1">
        <f t="array" ref="E377">IF($Q377&gt;=0,IFERROR(generateSalesData($D377, IF(ISNUMBER(_xlfn.XLOOKUP($C377,Phone_by_Sentiment!$B$2:$B$37,Phone_by_Sentiment!E$2:E$37,"",0,1)),_xlfn.XLOOKUP($C377,Phone_by_Sentiment!$B$2:$B$37,Phone_by_Sentiment!E$2:E$37,"",0,1),0),$A377-TEXT(DATEVALUE($D377&amp;"-01"), "dd-mm-yyyy")),0),0)</f>
        <v>0</v>
      </c>
      <c r="F377" cm="1">
        <f t="array" ref="F377">IF($Q377&gt;=0,IFERROR(generateSalesData($D377, IF(ISNUMBER(_xlfn.XLOOKUP($C377,Phone_by_Sentiment!$B$2:$B$37,Phone_by_Sentiment!F$2:F$37,"",0,1)),_xlfn.XLOOKUP($C377,Phone_by_Sentiment!$B$2:$B$37,Phone_by_Sentiment!F$2:F$37,"",0,1),0),$A377-TEXT(DATEVALUE($D377&amp;"-01"), "dd-mm-yyyy")),0),0)</f>
        <v>0</v>
      </c>
      <c r="G377" cm="1">
        <f t="array" ref="G377">IF($Q377&gt;=0,IFERROR(generateSalesData($D377, IF(ISNUMBER(_xlfn.XLOOKUP($C377,Phone_by_Sentiment!$B$2:$B$37,Phone_by_Sentiment!G$2:G$37,"",0,1)),_xlfn.XLOOKUP($C377,Phone_by_Sentiment!$B$2:$B$37,Phone_by_Sentiment!G$2:G$37,"",0,1),0),$A377-TEXT(DATEVALUE($D377&amp;"-01"), "dd-mm-yyyy")),0),0)</f>
        <v>0</v>
      </c>
      <c r="H377" cm="1">
        <f t="array" ref="H377">IF($Q377&gt;=0,IFERROR(generateSalesData($D377, IF(ISNUMBER(_xlfn.XLOOKUP($C377,Phone_by_Sentiment!$B$2:$B$37,Phone_by_Sentiment!H$2:H$37,"",0,1)),_xlfn.XLOOKUP($C377,Phone_by_Sentiment!$B$2:$B$37,Phone_by_Sentiment!H$2:H$37,"",0,1),0),$A377-TEXT(DATEVALUE($D377&amp;"-01"), "dd-mm-yyyy")),0),0)</f>
        <v>0</v>
      </c>
      <c r="I377" cm="1">
        <f t="array" ref="I377">IF($Q377&gt;=0,IFERROR(generateSalesData($D377, IF(ISNUMBER(_xlfn.XLOOKUP($C377,Phone_by_Sentiment!$B$2:$B$37,Phone_by_Sentiment!I$2:I$37,"",0,1)),_xlfn.XLOOKUP($C377,Phone_by_Sentiment!$B$2:$B$37,Phone_by_Sentiment!I$2:I$37,"",0,1),0),$A377-TEXT(DATEVALUE($D377&amp;"-01"), "dd-mm-yyyy")),0),0)</f>
        <v>0</v>
      </c>
      <c r="J377" cm="1">
        <f t="array" ref="J377">IF($Q377&gt;=0,IFERROR(generateSalesData($D377, IF(ISNUMBER(_xlfn.XLOOKUP($C377,Phone_by_Sentiment!$B$2:$B$37,Phone_by_Sentiment!J$2:J$37,"",0,1)),_xlfn.XLOOKUP($C377,Phone_by_Sentiment!$B$2:$B$37,Phone_by_Sentiment!J$2:J$37,"",0,1),0),$A377-TEXT(DATEVALUE($D377&amp;"-01"), "dd-mm-yyyy")),0),0)</f>
        <v>0</v>
      </c>
      <c r="K377" cm="1">
        <f t="array" ref="K377">IF($Q377&gt;=0,IFERROR(generateSalesData($D377, IF(ISNUMBER(_xlfn.XLOOKUP($C377,Phone_by_Sentiment!$B$2:$B$37,Phone_by_Sentiment!K$2:K$37,"",0,1)),_xlfn.XLOOKUP($C377,Phone_by_Sentiment!$B$2:$B$37,Phone_by_Sentiment!K$2:K$37,"",0,1),0),$A377-TEXT(DATEVALUE($D377&amp;"-01"), "dd-mm-yyyy")),0),0)</f>
        <v>0</v>
      </c>
      <c r="L377" cm="1">
        <f t="array" ref="L377">IF($Q377&gt;=0,IFERROR(generateSalesData($D377, IF(ISNUMBER(_xlfn.XLOOKUP($C377,Phone_by_Sentiment!$B$2:$B$37,Phone_by_Sentiment!L$2:L$37,"",0,1)),_xlfn.XLOOKUP($C377,Phone_by_Sentiment!$B$2:$B$37,Phone_by_Sentiment!L$2:L$37,"",0,1),0),$A377-TEXT(DATEVALUE($D377&amp;"-01"), "dd-mm-yyyy")),0),0)</f>
        <v>0</v>
      </c>
      <c r="M377" cm="1">
        <f t="array" ref="M377">IF($Q377&gt;=0,IFERROR(generateSalesData($D377, IF(ISNUMBER(_xlfn.XLOOKUP($C377,Phone_by_Sentiment!$B$2:$B$37,Phone_by_Sentiment!M$2:M$37,"",0,1)),_xlfn.XLOOKUP($C377,Phone_by_Sentiment!$B$2:$B$37,Phone_by_Sentiment!M$2:M$37,"",0,1),0),$A377-TEXT(DATEVALUE($D377&amp;"-01"), "dd-mm-yyyy")),0),0)</f>
        <v>0</v>
      </c>
      <c r="N377" cm="1">
        <f t="array" ref="N377">IF($Q377&gt;=0,IFERROR(generateSalesData($D377, IF(ISNUMBER(_xlfn.XLOOKUP($C377,Phone_by_Sentiment!$B$2:$B$37,Phone_by_Sentiment!N$2:N$37,"",0,1)),_xlfn.XLOOKUP($C377,Phone_by_Sentiment!$B$2:$B$37,Phone_by_Sentiment!N$2:N$37,"",0,1),0),$A377-TEXT(DATEVALUE($D377&amp;"-01"), "dd-mm-yyyy")),0),0)</f>
        <v>0</v>
      </c>
      <c r="O377" cm="1">
        <f t="array" ref="O377">IF($Q377&gt;=0,IFERROR(generateSalesData($D377, IF(ISNUMBER(_xlfn.XLOOKUP($C377,Phone_by_Sentiment!$B$2:$B$37,Phone_by_Sentiment!O$2:O$37,"",0,1)),_xlfn.XLOOKUP($C377,Phone_by_Sentiment!$B$2:$B$37,Phone_by_Sentiment!O$2:O$37,"",0,1),0),$A377-TEXT(DATEVALUE($D377&amp;"-01"), "dd-mm-yyyy")),0),0)</f>
        <v>0</v>
      </c>
      <c r="P377" s="1">
        <f t="shared" si="13"/>
        <v>44440</v>
      </c>
      <c r="Q377">
        <f t="shared" si="14"/>
        <v>-670</v>
      </c>
    </row>
    <row r="378" spans="1:17" x14ac:dyDescent="0.25">
      <c r="A378" s="1">
        <f t="shared" si="12"/>
        <v>43770</v>
      </c>
      <c r="B378" t="s">
        <v>154</v>
      </c>
      <c r="C378" t="str">
        <f>_xlfn.XLOOKUP(B378,Phone_by_Price!$A$2:$A$34,Phone_by_Price!$B$2:$B$34,"-",0,1)</f>
        <v>Samsung Galaxy S21</v>
      </c>
      <c r="D378" t="str">
        <f>_xlfn.XLOOKUP(C378,Phone_by_Sentiment!$B$2:$B$37,Phone_by_Sentiment!$A$2:$A$37,"-",0,1)</f>
        <v>2021-01</v>
      </c>
      <c r="E378" cm="1">
        <f t="array" ref="E378">IF($Q378&gt;=0,IFERROR(generateSalesData($D378, IF(ISNUMBER(_xlfn.XLOOKUP($C378,Phone_by_Sentiment!$B$2:$B$37,Phone_by_Sentiment!E$2:E$37,"",0,1)),_xlfn.XLOOKUP($C378,Phone_by_Sentiment!$B$2:$B$37,Phone_by_Sentiment!E$2:E$37,"",0,1),0),$A378-TEXT(DATEVALUE($D378&amp;"-01"), "dd-mm-yyyy")),0),0)</f>
        <v>0</v>
      </c>
      <c r="F378" cm="1">
        <f t="array" ref="F378">IF($Q378&gt;=0,IFERROR(generateSalesData($D378, IF(ISNUMBER(_xlfn.XLOOKUP($C378,Phone_by_Sentiment!$B$2:$B$37,Phone_by_Sentiment!F$2:F$37,"",0,1)),_xlfn.XLOOKUP($C378,Phone_by_Sentiment!$B$2:$B$37,Phone_by_Sentiment!F$2:F$37,"",0,1),0),$A378-TEXT(DATEVALUE($D378&amp;"-01"), "dd-mm-yyyy")),0),0)</f>
        <v>0</v>
      </c>
      <c r="G378" cm="1">
        <f t="array" ref="G378">IF($Q378&gt;=0,IFERROR(generateSalesData($D378, IF(ISNUMBER(_xlfn.XLOOKUP($C378,Phone_by_Sentiment!$B$2:$B$37,Phone_by_Sentiment!G$2:G$37,"",0,1)),_xlfn.XLOOKUP($C378,Phone_by_Sentiment!$B$2:$B$37,Phone_by_Sentiment!G$2:G$37,"",0,1),0),$A378-TEXT(DATEVALUE($D378&amp;"-01"), "dd-mm-yyyy")),0),0)</f>
        <v>0</v>
      </c>
      <c r="H378" cm="1">
        <f t="array" ref="H378">IF($Q378&gt;=0,IFERROR(generateSalesData($D378, IF(ISNUMBER(_xlfn.XLOOKUP($C378,Phone_by_Sentiment!$B$2:$B$37,Phone_by_Sentiment!H$2:H$37,"",0,1)),_xlfn.XLOOKUP($C378,Phone_by_Sentiment!$B$2:$B$37,Phone_by_Sentiment!H$2:H$37,"",0,1),0),$A378-TEXT(DATEVALUE($D378&amp;"-01"), "dd-mm-yyyy")),0),0)</f>
        <v>0</v>
      </c>
      <c r="I378" cm="1">
        <f t="array" ref="I378">IF($Q378&gt;=0,IFERROR(generateSalesData($D378, IF(ISNUMBER(_xlfn.XLOOKUP($C378,Phone_by_Sentiment!$B$2:$B$37,Phone_by_Sentiment!I$2:I$37,"",0,1)),_xlfn.XLOOKUP($C378,Phone_by_Sentiment!$B$2:$B$37,Phone_by_Sentiment!I$2:I$37,"",0,1),0),$A378-TEXT(DATEVALUE($D378&amp;"-01"), "dd-mm-yyyy")),0),0)</f>
        <v>0</v>
      </c>
      <c r="J378" cm="1">
        <f t="array" ref="J378">IF($Q378&gt;=0,IFERROR(generateSalesData($D378, IF(ISNUMBER(_xlfn.XLOOKUP($C378,Phone_by_Sentiment!$B$2:$B$37,Phone_by_Sentiment!J$2:J$37,"",0,1)),_xlfn.XLOOKUP($C378,Phone_by_Sentiment!$B$2:$B$37,Phone_by_Sentiment!J$2:J$37,"",0,1),0),$A378-TEXT(DATEVALUE($D378&amp;"-01"), "dd-mm-yyyy")),0),0)</f>
        <v>0</v>
      </c>
      <c r="K378" cm="1">
        <f t="array" ref="K378">IF($Q378&gt;=0,IFERROR(generateSalesData($D378, IF(ISNUMBER(_xlfn.XLOOKUP($C378,Phone_by_Sentiment!$B$2:$B$37,Phone_by_Sentiment!K$2:K$37,"",0,1)),_xlfn.XLOOKUP($C378,Phone_by_Sentiment!$B$2:$B$37,Phone_by_Sentiment!K$2:K$37,"",0,1),0),$A378-TEXT(DATEVALUE($D378&amp;"-01"), "dd-mm-yyyy")),0),0)</f>
        <v>0</v>
      </c>
      <c r="L378" cm="1">
        <f t="array" ref="L378">IF($Q378&gt;=0,IFERROR(generateSalesData($D378, IF(ISNUMBER(_xlfn.XLOOKUP($C378,Phone_by_Sentiment!$B$2:$B$37,Phone_by_Sentiment!L$2:L$37,"",0,1)),_xlfn.XLOOKUP($C378,Phone_by_Sentiment!$B$2:$B$37,Phone_by_Sentiment!L$2:L$37,"",0,1),0),$A378-TEXT(DATEVALUE($D378&amp;"-01"), "dd-mm-yyyy")),0),0)</f>
        <v>0</v>
      </c>
      <c r="M378" cm="1">
        <f t="array" ref="M378">IF($Q378&gt;=0,IFERROR(generateSalesData($D378, IF(ISNUMBER(_xlfn.XLOOKUP($C378,Phone_by_Sentiment!$B$2:$B$37,Phone_by_Sentiment!M$2:M$37,"",0,1)),_xlfn.XLOOKUP($C378,Phone_by_Sentiment!$B$2:$B$37,Phone_by_Sentiment!M$2:M$37,"",0,1),0),$A378-TEXT(DATEVALUE($D378&amp;"-01"), "dd-mm-yyyy")),0),0)</f>
        <v>0</v>
      </c>
      <c r="N378" cm="1">
        <f t="array" ref="N378">IF($Q378&gt;=0,IFERROR(generateSalesData($D378, IF(ISNUMBER(_xlfn.XLOOKUP($C378,Phone_by_Sentiment!$B$2:$B$37,Phone_by_Sentiment!N$2:N$37,"",0,1)),_xlfn.XLOOKUP($C378,Phone_by_Sentiment!$B$2:$B$37,Phone_by_Sentiment!N$2:N$37,"",0,1),0),$A378-TEXT(DATEVALUE($D378&amp;"-01"), "dd-mm-yyyy")),0),0)</f>
        <v>0</v>
      </c>
      <c r="O378" cm="1">
        <f t="array" ref="O378">IF($Q378&gt;=0,IFERROR(generateSalesData($D378, IF(ISNUMBER(_xlfn.XLOOKUP($C378,Phone_by_Sentiment!$B$2:$B$37,Phone_by_Sentiment!O$2:O$37,"",0,1)),_xlfn.XLOOKUP($C378,Phone_by_Sentiment!$B$2:$B$37,Phone_by_Sentiment!O$2:O$37,"",0,1),0),$A378-TEXT(DATEVALUE($D378&amp;"-01"), "dd-mm-yyyy")),0),0)</f>
        <v>0</v>
      </c>
      <c r="P378" s="1">
        <f t="shared" si="13"/>
        <v>44197</v>
      </c>
      <c r="Q378">
        <f t="shared" si="14"/>
        <v>-427</v>
      </c>
    </row>
    <row r="379" spans="1:17" x14ac:dyDescent="0.25">
      <c r="A379" s="1">
        <f t="shared" si="12"/>
        <v>43770</v>
      </c>
      <c r="B379" t="s">
        <v>155</v>
      </c>
      <c r="C379" t="str">
        <f>_xlfn.XLOOKUP(B379,Phone_by_Price!$A$2:$A$34,Phone_by_Price!$B$2:$B$34,"-",0,1)</f>
        <v>Google Pixel 6</v>
      </c>
      <c r="D379" t="str">
        <f>_xlfn.XLOOKUP(C379,Phone_by_Sentiment!$B$2:$B$37,Phone_by_Sentiment!$A$2:$A$37,"-",0,1)</f>
        <v>2021-10</v>
      </c>
      <c r="E379" cm="1">
        <f t="array" ref="E379">IF($Q379&gt;=0,IFERROR(generateSalesData($D379, IF(ISNUMBER(_xlfn.XLOOKUP($C379,Phone_by_Sentiment!$B$2:$B$37,Phone_by_Sentiment!E$2:E$37,"",0,1)),_xlfn.XLOOKUP($C379,Phone_by_Sentiment!$B$2:$B$37,Phone_by_Sentiment!E$2:E$37,"",0,1),0),$A379-TEXT(DATEVALUE($D379&amp;"-01"), "dd-mm-yyyy")),0),0)</f>
        <v>0</v>
      </c>
      <c r="F379" cm="1">
        <f t="array" ref="F379">IF($Q379&gt;=0,IFERROR(generateSalesData($D379, IF(ISNUMBER(_xlfn.XLOOKUP($C379,Phone_by_Sentiment!$B$2:$B$37,Phone_by_Sentiment!F$2:F$37,"",0,1)),_xlfn.XLOOKUP($C379,Phone_by_Sentiment!$B$2:$B$37,Phone_by_Sentiment!F$2:F$37,"",0,1),0),$A379-TEXT(DATEVALUE($D379&amp;"-01"), "dd-mm-yyyy")),0),0)</f>
        <v>0</v>
      </c>
      <c r="G379" cm="1">
        <f t="array" ref="G379">IF($Q379&gt;=0,IFERROR(generateSalesData($D379, IF(ISNUMBER(_xlfn.XLOOKUP($C379,Phone_by_Sentiment!$B$2:$B$37,Phone_by_Sentiment!G$2:G$37,"",0,1)),_xlfn.XLOOKUP($C379,Phone_by_Sentiment!$B$2:$B$37,Phone_by_Sentiment!G$2:G$37,"",0,1),0),$A379-TEXT(DATEVALUE($D379&amp;"-01"), "dd-mm-yyyy")),0),0)</f>
        <v>0</v>
      </c>
      <c r="H379" cm="1">
        <f t="array" ref="H379">IF($Q379&gt;=0,IFERROR(generateSalesData($D379, IF(ISNUMBER(_xlfn.XLOOKUP($C379,Phone_by_Sentiment!$B$2:$B$37,Phone_by_Sentiment!H$2:H$37,"",0,1)),_xlfn.XLOOKUP($C379,Phone_by_Sentiment!$B$2:$B$37,Phone_by_Sentiment!H$2:H$37,"",0,1),0),$A379-TEXT(DATEVALUE($D379&amp;"-01"), "dd-mm-yyyy")),0),0)</f>
        <v>0</v>
      </c>
      <c r="I379" cm="1">
        <f t="array" ref="I379">IF($Q379&gt;=0,IFERROR(generateSalesData($D379, IF(ISNUMBER(_xlfn.XLOOKUP($C379,Phone_by_Sentiment!$B$2:$B$37,Phone_by_Sentiment!I$2:I$37,"",0,1)),_xlfn.XLOOKUP($C379,Phone_by_Sentiment!$B$2:$B$37,Phone_by_Sentiment!I$2:I$37,"",0,1),0),$A379-TEXT(DATEVALUE($D379&amp;"-01"), "dd-mm-yyyy")),0),0)</f>
        <v>0</v>
      </c>
      <c r="J379" cm="1">
        <f t="array" ref="J379">IF($Q379&gt;=0,IFERROR(generateSalesData($D379, IF(ISNUMBER(_xlfn.XLOOKUP($C379,Phone_by_Sentiment!$B$2:$B$37,Phone_by_Sentiment!J$2:J$37,"",0,1)),_xlfn.XLOOKUP($C379,Phone_by_Sentiment!$B$2:$B$37,Phone_by_Sentiment!J$2:J$37,"",0,1),0),$A379-TEXT(DATEVALUE($D379&amp;"-01"), "dd-mm-yyyy")),0),0)</f>
        <v>0</v>
      </c>
      <c r="K379" cm="1">
        <f t="array" ref="K379">IF($Q379&gt;=0,IFERROR(generateSalesData($D379, IF(ISNUMBER(_xlfn.XLOOKUP($C379,Phone_by_Sentiment!$B$2:$B$37,Phone_by_Sentiment!K$2:K$37,"",0,1)),_xlfn.XLOOKUP($C379,Phone_by_Sentiment!$B$2:$B$37,Phone_by_Sentiment!K$2:K$37,"",0,1),0),$A379-TEXT(DATEVALUE($D379&amp;"-01"), "dd-mm-yyyy")),0),0)</f>
        <v>0</v>
      </c>
      <c r="L379" cm="1">
        <f t="array" ref="L379">IF($Q379&gt;=0,IFERROR(generateSalesData($D379, IF(ISNUMBER(_xlfn.XLOOKUP($C379,Phone_by_Sentiment!$B$2:$B$37,Phone_by_Sentiment!L$2:L$37,"",0,1)),_xlfn.XLOOKUP($C379,Phone_by_Sentiment!$B$2:$B$37,Phone_by_Sentiment!L$2:L$37,"",0,1),0),$A379-TEXT(DATEVALUE($D379&amp;"-01"), "dd-mm-yyyy")),0),0)</f>
        <v>0</v>
      </c>
      <c r="M379" cm="1">
        <f t="array" ref="M379">IF($Q379&gt;=0,IFERROR(generateSalesData($D379, IF(ISNUMBER(_xlfn.XLOOKUP($C379,Phone_by_Sentiment!$B$2:$B$37,Phone_by_Sentiment!M$2:M$37,"",0,1)),_xlfn.XLOOKUP($C379,Phone_by_Sentiment!$B$2:$B$37,Phone_by_Sentiment!M$2:M$37,"",0,1),0),$A379-TEXT(DATEVALUE($D379&amp;"-01"), "dd-mm-yyyy")),0),0)</f>
        <v>0</v>
      </c>
      <c r="N379" cm="1">
        <f t="array" ref="N379">IF($Q379&gt;=0,IFERROR(generateSalesData($D379, IF(ISNUMBER(_xlfn.XLOOKUP($C379,Phone_by_Sentiment!$B$2:$B$37,Phone_by_Sentiment!N$2:N$37,"",0,1)),_xlfn.XLOOKUP($C379,Phone_by_Sentiment!$B$2:$B$37,Phone_by_Sentiment!N$2:N$37,"",0,1),0),$A379-TEXT(DATEVALUE($D379&amp;"-01"), "dd-mm-yyyy")),0),0)</f>
        <v>0</v>
      </c>
      <c r="O379" cm="1">
        <f t="array" ref="O379">IF($Q379&gt;=0,IFERROR(generateSalesData($D379, IF(ISNUMBER(_xlfn.XLOOKUP($C379,Phone_by_Sentiment!$B$2:$B$37,Phone_by_Sentiment!O$2:O$37,"",0,1)),_xlfn.XLOOKUP($C379,Phone_by_Sentiment!$B$2:$B$37,Phone_by_Sentiment!O$2:O$37,"",0,1),0),$A379-TEXT(DATEVALUE($D379&amp;"-01"), "dd-mm-yyyy")),0),0)</f>
        <v>0</v>
      </c>
      <c r="P379" s="1">
        <f t="shared" si="13"/>
        <v>44470</v>
      </c>
      <c r="Q379">
        <f t="shared" si="14"/>
        <v>-700</v>
      </c>
    </row>
    <row r="380" spans="1:17" x14ac:dyDescent="0.25">
      <c r="A380" s="1">
        <f t="shared" si="12"/>
        <v>43770</v>
      </c>
      <c r="B380" t="s">
        <v>156</v>
      </c>
      <c r="C380" t="str">
        <f>_xlfn.XLOOKUP(B380,Phone_by_Price!$A$2:$A$34,Phone_by_Price!$B$2:$B$34,"-",0,1)</f>
        <v>OnePlus Nord CE</v>
      </c>
      <c r="D380" t="str">
        <f>_xlfn.XLOOKUP(C380,Phone_by_Sentiment!$B$2:$B$37,Phone_by_Sentiment!$A$2:$A$37,"-",0,1)</f>
        <v>2021-06</v>
      </c>
      <c r="E380" cm="1">
        <f t="array" ref="E380">IF($Q380&gt;=0,IFERROR(generateSalesData($D380, IF(ISNUMBER(_xlfn.XLOOKUP($C380,Phone_by_Sentiment!$B$2:$B$37,Phone_by_Sentiment!E$2:E$37,"",0,1)),_xlfn.XLOOKUP($C380,Phone_by_Sentiment!$B$2:$B$37,Phone_by_Sentiment!E$2:E$37,"",0,1),0),$A380-TEXT(DATEVALUE($D380&amp;"-01"), "dd-mm-yyyy")),0),0)</f>
        <v>0</v>
      </c>
      <c r="F380" cm="1">
        <f t="array" ref="F380">IF($Q380&gt;=0,IFERROR(generateSalesData($D380, IF(ISNUMBER(_xlfn.XLOOKUP($C380,Phone_by_Sentiment!$B$2:$B$37,Phone_by_Sentiment!F$2:F$37,"",0,1)),_xlfn.XLOOKUP($C380,Phone_by_Sentiment!$B$2:$B$37,Phone_by_Sentiment!F$2:F$37,"",0,1),0),$A380-TEXT(DATEVALUE($D380&amp;"-01"), "dd-mm-yyyy")),0),0)</f>
        <v>0</v>
      </c>
      <c r="G380" cm="1">
        <f t="array" ref="G380">IF($Q380&gt;=0,IFERROR(generateSalesData($D380, IF(ISNUMBER(_xlfn.XLOOKUP($C380,Phone_by_Sentiment!$B$2:$B$37,Phone_by_Sentiment!G$2:G$37,"",0,1)),_xlfn.XLOOKUP($C380,Phone_by_Sentiment!$B$2:$B$37,Phone_by_Sentiment!G$2:G$37,"",0,1),0),$A380-TEXT(DATEVALUE($D380&amp;"-01"), "dd-mm-yyyy")),0),0)</f>
        <v>0</v>
      </c>
      <c r="H380" cm="1">
        <f t="array" ref="H380">IF($Q380&gt;=0,IFERROR(generateSalesData($D380, IF(ISNUMBER(_xlfn.XLOOKUP($C380,Phone_by_Sentiment!$B$2:$B$37,Phone_by_Sentiment!H$2:H$37,"",0,1)),_xlfn.XLOOKUP($C380,Phone_by_Sentiment!$B$2:$B$37,Phone_by_Sentiment!H$2:H$37,"",0,1),0),$A380-TEXT(DATEVALUE($D380&amp;"-01"), "dd-mm-yyyy")),0),0)</f>
        <v>0</v>
      </c>
      <c r="I380" cm="1">
        <f t="array" ref="I380">IF($Q380&gt;=0,IFERROR(generateSalesData($D380, IF(ISNUMBER(_xlfn.XLOOKUP($C380,Phone_by_Sentiment!$B$2:$B$37,Phone_by_Sentiment!I$2:I$37,"",0,1)),_xlfn.XLOOKUP($C380,Phone_by_Sentiment!$B$2:$B$37,Phone_by_Sentiment!I$2:I$37,"",0,1),0),$A380-TEXT(DATEVALUE($D380&amp;"-01"), "dd-mm-yyyy")),0),0)</f>
        <v>0</v>
      </c>
      <c r="J380" cm="1">
        <f t="array" ref="J380">IF($Q380&gt;=0,IFERROR(generateSalesData($D380, IF(ISNUMBER(_xlfn.XLOOKUP($C380,Phone_by_Sentiment!$B$2:$B$37,Phone_by_Sentiment!J$2:J$37,"",0,1)),_xlfn.XLOOKUP($C380,Phone_by_Sentiment!$B$2:$B$37,Phone_by_Sentiment!J$2:J$37,"",0,1),0),$A380-TEXT(DATEVALUE($D380&amp;"-01"), "dd-mm-yyyy")),0),0)</f>
        <v>0</v>
      </c>
      <c r="K380" cm="1">
        <f t="array" ref="K380">IF($Q380&gt;=0,IFERROR(generateSalesData($D380, IF(ISNUMBER(_xlfn.XLOOKUP($C380,Phone_by_Sentiment!$B$2:$B$37,Phone_by_Sentiment!K$2:K$37,"",0,1)),_xlfn.XLOOKUP($C380,Phone_by_Sentiment!$B$2:$B$37,Phone_by_Sentiment!K$2:K$37,"",0,1),0),$A380-TEXT(DATEVALUE($D380&amp;"-01"), "dd-mm-yyyy")),0),0)</f>
        <v>0</v>
      </c>
      <c r="L380" cm="1">
        <f t="array" ref="L380">IF($Q380&gt;=0,IFERROR(generateSalesData($D380, IF(ISNUMBER(_xlfn.XLOOKUP($C380,Phone_by_Sentiment!$B$2:$B$37,Phone_by_Sentiment!L$2:L$37,"",0,1)),_xlfn.XLOOKUP($C380,Phone_by_Sentiment!$B$2:$B$37,Phone_by_Sentiment!L$2:L$37,"",0,1),0),$A380-TEXT(DATEVALUE($D380&amp;"-01"), "dd-mm-yyyy")),0),0)</f>
        <v>0</v>
      </c>
      <c r="M380" cm="1">
        <f t="array" ref="M380">IF($Q380&gt;=0,IFERROR(generateSalesData($D380, IF(ISNUMBER(_xlfn.XLOOKUP($C380,Phone_by_Sentiment!$B$2:$B$37,Phone_by_Sentiment!M$2:M$37,"",0,1)),_xlfn.XLOOKUP($C380,Phone_by_Sentiment!$B$2:$B$37,Phone_by_Sentiment!M$2:M$37,"",0,1),0),$A380-TEXT(DATEVALUE($D380&amp;"-01"), "dd-mm-yyyy")),0),0)</f>
        <v>0</v>
      </c>
      <c r="N380" cm="1">
        <f t="array" ref="N380">IF($Q380&gt;=0,IFERROR(generateSalesData($D380, IF(ISNUMBER(_xlfn.XLOOKUP($C380,Phone_by_Sentiment!$B$2:$B$37,Phone_by_Sentiment!N$2:N$37,"",0,1)),_xlfn.XLOOKUP($C380,Phone_by_Sentiment!$B$2:$B$37,Phone_by_Sentiment!N$2:N$37,"",0,1),0),$A380-TEXT(DATEVALUE($D380&amp;"-01"), "dd-mm-yyyy")),0),0)</f>
        <v>0</v>
      </c>
      <c r="O380" cm="1">
        <f t="array" ref="O380">IF($Q380&gt;=0,IFERROR(generateSalesData($D380, IF(ISNUMBER(_xlfn.XLOOKUP($C380,Phone_by_Sentiment!$B$2:$B$37,Phone_by_Sentiment!O$2:O$37,"",0,1)),_xlfn.XLOOKUP($C380,Phone_by_Sentiment!$B$2:$B$37,Phone_by_Sentiment!O$2:O$37,"",0,1),0),$A380-TEXT(DATEVALUE($D380&amp;"-01"), "dd-mm-yyyy")),0),0)</f>
        <v>0</v>
      </c>
      <c r="P380" s="1">
        <f t="shared" si="13"/>
        <v>44348</v>
      </c>
      <c r="Q380">
        <f t="shared" si="14"/>
        <v>-578</v>
      </c>
    </row>
    <row r="381" spans="1:17" x14ac:dyDescent="0.25">
      <c r="A381" s="1">
        <f t="shared" si="12"/>
        <v>43770</v>
      </c>
      <c r="B381" t="s">
        <v>157</v>
      </c>
      <c r="C381" t="str">
        <f>_xlfn.XLOOKUP(B381,Phone_by_Price!$A$2:$A$34,Phone_by_Price!$B$2:$B$34,"-",0,1)</f>
        <v>Apple iPhone 13 Pro</v>
      </c>
      <c r="D381" t="str">
        <f>_xlfn.XLOOKUP(C381,Phone_by_Sentiment!$B$2:$B$37,Phone_by_Sentiment!$A$2:$A$37,"-",0,1)</f>
        <v>2021-09</v>
      </c>
      <c r="E381" cm="1">
        <f t="array" ref="E381">IF($Q381&gt;=0,IFERROR(generateSalesData($D381, IF(ISNUMBER(_xlfn.XLOOKUP($C381,Phone_by_Sentiment!$B$2:$B$37,Phone_by_Sentiment!E$2:E$37,"",0,1)),_xlfn.XLOOKUP($C381,Phone_by_Sentiment!$B$2:$B$37,Phone_by_Sentiment!E$2:E$37,"",0,1),0),$A381-TEXT(DATEVALUE($D381&amp;"-01"), "dd-mm-yyyy")),0),0)</f>
        <v>0</v>
      </c>
      <c r="F381" cm="1">
        <f t="array" ref="F381">IF($Q381&gt;=0,IFERROR(generateSalesData($D381, IF(ISNUMBER(_xlfn.XLOOKUP($C381,Phone_by_Sentiment!$B$2:$B$37,Phone_by_Sentiment!F$2:F$37,"",0,1)),_xlfn.XLOOKUP($C381,Phone_by_Sentiment!$B$2:$B$37,Phone_by_Sentiment!F$2:F$37,"",0,1),0),$A381-TEXT(DATEVALUE($D381&amp;"-01"), "dd-mm-yyyy")),0),0)</f>
        <v>0</v>
      </c>
      <c r="G381" cm="1">
        <f t="array" ref="G381">IF($Q381&gt;=0,IFERROR(generateSalesData($D381, IF(ISNUMBER(_xlfn.XLOOKUP($C381,Phone_by_Sentiment!$B$2:$B$37,Phone_by_Sentiment!G$2:G$37,"",0,1)),_xlfn.XLOOKUP($C381,Phone_by_Sentiment!$B$2:$B$37,Phone_by_Sentiment!G$2:G$37,"",0,1),0),$A381-TEXT(DATEVALUE($D381&amp;"-01"), "dd-mm-yyyy")),0),0)</f>
        <v>0</v>
      </c>
      <c r="H381" cm="1">
        <f t="array" ref="H381">IF($Q381&gt;=0,IFERROR(generateSalesData($D381, IF(ISNUMBER(_xlfn.XLOOKUP($C381,Phone_by_Sentiment!$B$2:$B$37,Phone_by_Sentiment!H$2:H$37,"",0,1)),_xlfn.XLOOKUP($C381,Phone_by_Sentiment!$B$2:$B$37,Phone_by_Sentiment!H$2:H$37,"",0,1),0),$A381-TEXT(DATEVALUE($D381&amp;"-01"), "dd-mm-yyyy")),0),0)</f>
        <v>0</v>
      </c>
      <c r="I381" cm="1">
        <f t="array" ref="I381">IF($Q381&gt;=0,IFERROR(generateSalesData($D381, IF(ISNUMBER(_xlfn.XLOOKUP($C381,Phone_by_Sentiment!$B$2:$B$37,Phone_by_Sentiment!I$2:I$37,"",0,1)),_xlfn.XLOOKUP($C381,Phone_by_Sentiment!$B$2:$B$37,Phone_by_Sentiment!I$2:I$37,"",0,1),0),$A381-TEXT(DATEVALUE($D381&amp;"-01"), "dd-mm-yyyy")),0),0)</f>
        <v>0</v>
      </c>
      <c r="J381" cm="1">
        <f t="array" ref="J381">IF($Q381&gt;=0,IFERROR(generateSalesData($D381, IF(ISNUMBER(_xlfn.XLOOKUP($C381,Phone_by_Sentiment!$B$2:$B$37,Phone_by_Sentiment!J$2:J$37,"",0,1)),_xlfn.XLOOKUP($C381,Phone_by_Sentiment!$B$2:$B$37,Phone_by_Sentiment!J$2:J$37,"",0,1),0),$A381-TEXT(DATEVALUE($D381&amp;"-01"), "dd-mm-yyyy")),0),0)</f>
        <v>0</v>
      </c>
      <c r="K381" cm="1">
        <f t="array" ref="K381">IF($Q381&gt;=0,IFERROR(generateSalesData($D381, IF(ISNUMBER(_xlfn.XLOOKUP($C381,Phone_by_Sentiment!$B$2:$B$37,Phone_by_Sentiment!K$2:K$37,"",0,1)),_xlfn.XLOOKUP($C381,Phone_by_Sentiment!$B$2:$B$37,Phone_by_Sentiment!K$2:K$37,"",0,1),0),$A381-TEXT(DATEVALUE($D381&amp;"-01"), "dd-mm-yyyy")),0),0)</f>
        <v>0</v>
      </c>
      <c r="L381" cm="1">
        <f t="array" ref="L381">IF($Q381&gt;=0,IFERROR(generateSalesData($D381, IF(ISNUMBER(_xlfn.XLOOKUP($C381,Phone_by_Sentiment!$B$2:$B$37,Phone_by_Sentiment!L$2:L$37,"",0,1)),_xlfn.XLOOKUP($C381,Phone_by_Sentiment!$B$2:$B$37,Phone_by_Sentiment!L$2:L$37,"",0,1),0),$A381-TEXT(DATEVALUE($D381&amp;"-01"), "dd-mm-yyyy")),0),0)</f>
        <v>0</v>
      </c>
      <c r="M381" cm="1">
        <f t="array" ref="M381">IF($Q381&gt;=0,IFERROR(generateSalesData($D381, IF(ISNUMBER(_xlfn.XLOOKUP($C381,Phone_by_Sentiment!$B$2:$B$37,Phone_by_Sentiment!M$2:M$37,"",0,1)),_xlfn.XLOOKUP($C381,Phone_by_Sentiment!$B$2:$B$37,Phone_by_Sentiment!M$2:M$37,"",0,1),0),$A381-TEXT(DATEVALUE($D381&amp;"-01"), "dd-mm-yyyy")),0),0)</f>
        <v>0</v>
      </c>
      <c r="N381" cm="1">
        <f t="array" ref="N381">IF($Q381&gt;=0,IFERROR(generateSalesData($D381, IF(ISNUMBER(_xlfn.XLOOKUP($C381,Phone_by_Sentiment!$B$2:$B$37,Phone_by_Sentiment!N$2:N$37,"",0,1)),_xlfn.XLOOKUP($C381,Phone_by_Sentiment!$B$2:$B$37,Phone_by_Sentiment!N$2:N$37,"",0,1),0),$A381-TEXT(DATEVALUE($D381&amp;"-01"), "dd-mm-yyyy")),0),0)</f>
        <v>0</v>
      </c>
      <c r="O381" cm="1">
        <f t="array" ref="O381">IF($Q381&gt;=0,IFERROR(generateSalesData($D381, IF(ISNUMBER(_xlfn.XLOOKUP($C381,Phone_by_Sentiment!$B$2:$B$37,Phone_by_Sentiment!O$2:O$37,"",0,1)),_xlfn.XLOOKUP($C381,Phone_by_Sentiment!$B$2:$B$37,Phone_by_Sentiment!O$2:O$37,"",0,1),0),$A381-TEXT(DATEVALUE($D381&amp;"-01"), "dd-mm-yyyy")),0),0)</f>
        <v>0</v>
      </c>
      <c r="P381" s="1">
        <f t="shared" si="13"/>
        <v>44440</v>
      </c>
      <c r="Q381">
        <f t="shared" si="14"/>
        <v>-670</v>
      </c>
    </row>
    <row r="382" spans="1:17" x14ac:dyDescent="0.25">
      <c r="A382" s="1">
        <f t="shared" si="12"/>
        <v>43770</v>
      </c>
      <c r="B382" t="s">
        <v>158</v>
      </c>
      <c r="C382" t="str">
        <f>_xlfn.XLOOKUP(B382,Phone_by_Price!$A$2:$A$34,Phone_by_Price!$B$2:$B$34,"-",0,1)</f>
        <v>Samsung Galaxy A32 5G</v>
      </c>
      <c r="D382" t="str">
        <f>_xlfn.XLOOKUP(C382,Phone_by_Sentiment!$B$2:$B$37,Phone_by_Sentiment!$A$2:$A$37,"-",0,1)</f>
        <v>2021-02</v>
      </c>
      <c r="E382" cm="1">
        <f t="array" ref="E382">IF($Q382&gt;=0,IFERROR(generateSalesData($D382, IF(ISNUMBER(_xlfn.XLOOKUP($C382,Phone_by_Sentiment!$B$2:$B$37,Phone_by_Sentiment!E$2:E$37,"",0,1)),_xlfn.XLOOKUP($C382,Phone_by_Sentiment!$B$2:$B$37,Phone_by_Sentiment!E$2:E$37,"",0,1),0),$A382-TEXT(DATEVALUE($D382&amp;"-01"), "dd-mm-yyyy")),0),0)</f>
        <v>0</v>
      </c>
      <c r="F382" cm="1">
        <f t="array" ref="F382">IF($Q382&gt;=0,IFERROR(generateSalesData($D382, IF(ISNUMBER(_xlfn.XLOOKUP($C382,Phone_by_Sentiment!$B$2:$B$37,Phone_by_Sentiment!F$2:F$37,"",0,1)),_xlfn.XLOOKUP($C382,Phone_by_Sentiment!$B$2:$B$37,Phone_by_Sentiment!F$2:F$37,"",0,1),0),$A382-TEXT(DATEVALUE($D382&amp;"-01"), "dd-mm-yyyy")),0),0)</f>
        <v>0</v>
      </c>
      <c r="G382" cm="1">
        <f t="array" ref="G382">IF($Q382&gt;=0,IFERROR(generateSalesData($D382, IF(ISNUMBER(_xlfn.XLOOKUP($C382,Phone_by_Sentiment!$B$2:$B$37,Phone_by_Sentiment!G$2:G$37,"",0,1)),_xlfn.XLOOKUP($C382,Phone_by_Sentiment!$B$2:$B$37,Phone_by_Sentiment!G$2:G$37,"",0,1),0),$A382-TEXT(DATEVALUE($D382&amp;"-01"), "dd-mm-yyyy")),0),0)</f>
        <v>0</v>
      </c>
      <c r="H382" cm="1">
        <f t="array" ref="H382">IF($Q382&gt;=0,IFERROR(generateSalesData($D382, IF(ISNUMBER(_xlfn.XLOOKUP($C382,Phone_by_Sentiment!$B$2:$B$37,Phone_by_Sentiment!H$2:H$37,"",0,1)),_xlfn.XLOOKUP($C382,Phone_by_Sentiment!$B$2:$B$37,Phone_by_Sentiment!H$2:H$37,"",0,1),0),$A382-TEXT(DATEVALUE($D382&amp;"-01"), "dd-mm-yyyy")),0),0)</f>
        <v>0</v>
      </c>
      <c r="I382" cm="1">
        <f t="array" ref="I382">IF($Q382&gt;=0,IFERROR(generateSalesData($D382, IF(ISNUMBER(_xlfn.XLOOKUP($C382,Phone_by_Sentiment!$B$2:$B$37,Phone_by_Sentiment!I$2:I$37,"",0,1)),_xlfn.XLOOKUP($C382,Phone_by_Sentiment!$B$2:$B$37,Phone_by_Sentiment!I$2:I$37,"",0,1),0),$A382-TEXT(DATEVALUE($D382&amp;"-01"), "dd-mm-yyyy")),0),0)</f>
        <v>0</v>
      </c>
      <c r="J382" cm="1">
        <f t="array" ref="J382">IF($Q382&gt;=0,IFERROR(generateSalesData($D382, IF(ISNUMBER(_xlfn.XLOOKUP($C382,Phone_by_Sentiment!$B$2:$B$37,Phone_by_Sentiment!J$2:J$37,"",0,1)),_xlfn.XLOOKUP($C382,Phone_by_Sentiment!$B$2:$B$37,Phone_by_Sentiment!J$2:J$37,"",0,1),0),$A382-TEXT(DATEVALUE($D382&amp;"-01"), "dd-mm-yyyy")),0),0)</f>
        <v>0</v>
      </c>
      <c r="K382" cm="1">
        <f t="array" ref="K382">IF($Q382&gt;=0,IFERROR(generateSalesData($D382, IF(ISNUMBER(_xlfn.XLOOKUP($C382,Phone_by_Sentiment!$B$2:$B$37,Phone_by_Sentiment!K$2:K$37,"",0,1)),_xlfn.XLOOKUP($C382,Phone_by_Sentiment!$B$2:$B$37,Phone_by_Sentiment!K$2:K$37,"",0,1),0),$A382-TEXT(DATEVALUE($D382&amp;"-01"), "dd-mm-yyyy")),0),0)</f>
        <v>0</v>
      </c>
      <c r="L382" cm="1">
        <f t="array" ref="L382">IF($Q382&gt;=0,IFERROR(generateSalesData($D382, IF(ISNUMBER(_xlfn.XLOOKUP($C382,Phone_by_Sentiment!$B$2:$B$37,Phone_by_Sentiment!L$2:L$37,"",0,1)),_xlfn.XLOOKUP($C382,Phone_by_Sentiment!$B$2:$B$37,Phone_by_Sentiment!L$2:L$37,"",0,1),0),$A382-TEXT(DATEVALUE($D382&amp;"-01"), "dd-mm-yyyy")),0),0)</f>
        <v>0</v>
      </c>
      <c r="M382" cm="1">
        <f t="array" ref="M382">IF($Q382&gt;=0,IFERROR(generateSalesData($D382, IF(ISNUMBER(_xlfn.XLOOKUP($C382,Phone_by_Sentiment!$B$2:$B$37,Phone_by_Sentiment!M$2:M$37,"",0,1)),_xlfn.XLOOKUP($C382,Phone_by_Sentiment!$B$2:$B$37,Phone_by_Sentiment!M$2:M$37,"",0,1),0),$A382-TEXT(DATEVALUE($D382&amp;"-01"), "dd-mm-yyyy")),0),0)</f>
        <v>0</v>
      </c>
      <c r="N382" cm="1">
        <f t="array" ref="N382">IF($Q382&gt;=0,IFERROR(generateSalesData($D382, IF(ISNUMBER(_xlfn.XLOOKUP($C382,Phone_by_Sentiment!$B$2:$B$37,Phone_by_Sentiment!N$2:N$37,"",0,1)),_xlfn.XLOOKUP($C382,Phone_by_Sentiment!$B$2:$B$37,Phone_by_Sentiment!N$2:N$37,"",0,1),0),$A382-TEXT(DATEVALUE($D382&amp;"-01"), "dd-mm-yyyy")),0),0)</f>
        <v>0</v>
      </c>
      <c r="O382" cm="1">
        <f t="array" ref="O382">IF($Q382&gt;=0,IFERROR(generateSalesData($D382, IF(ISNUMBER(_xlfn.XLOOKUP($C382,Phone_by_Sentiment!$B$2:$B$37,Phone_by_Sentiment!O$2:O$37,"",0,1)),_xlfn.XLOOKUP($C382,Phone_by_Sentiment!$B$2:$B$37,Phone_by_Sentiment!O$2:O$37,"",0,1),0),$A382-TEXT(DATEVALUE($D382&amp;"-01"), "dd-mm-yyyy")),0),0)</f>
        <v>0</v>
      </c>
      <c r="P382" s="1">
        <f t="shared" si="13"/>
        <v>44228</v>
      </c>
      <c r="Q382">
        <f t="shared" si="14"/>
        <v>-458</v>
      </c>
    </row>
    <row r="383" spans="1:17" x14ac:dyDescent="0.25">
      <c r="A383" s="1">
        <f t="shared" si="12"/>
        <v>43770</v>
      </c>
      <c r="B383" t="s">
        <v>159</v>
      </c>
      <c r="C383" t="str">
        <f>_xlfn.XLOOKUP(B383,Phone_by_Price!$A$2:$A$34,Phone_by_Price!$B$2:$B$34,"-",0,1)</f>
        <v>Realme C25</v>
      </c>
      <c r="D383" t="str">
        <f>_xlfn.XLOOKUP(C383,Phone_by_Sentiment!$B$2:$B$37,Phone_by_Sentiment!$A$2:$A$37,"-",0,1)</f>
        <v>2021-03</v>
      </c>
      <c r="E383" cm="1">
        <f t="array" ref="E383">IF($Q383&gt;=0,IFERROR(generateSalesData($D383, IF(ISNUMBER(_xlfn.XLOOKUP($C383,Phone_by_Sentiment!$B$2:$B$37,Phone_by_Sentiment!E$2:E$37,"",0,1)),_xlfn.XLOOKUP($C383,Phone_by_Sentiment!$B$2:$B$37,Phone_by_Sentiment!E$2:E$37,"",0,1),0),$A383-TEXT(DATEVALUE($D383&amp;"-01"), "dd-mm-yyyy")),0),0)</f>
        <v>0</v>
      </c>
      <c r="F383" cm="1">
        <f t="array" ref="F383">IF($Q383&gt;=0,IFERROR(generateSalesData($D383, IF(ISNUMBER(_xlfn.XLOOKUP($C383,Phone_by_Sentiment!$B$2:$B$37,Phone_by_Sentiment!F$2:F$37,"",0,1)),_xlfn.XLOOKUP($C383,Phone_by_Sentiment!$B$2:$B$37,Phone_by_Sentiment!F$2:F$37,"",0,1),0),$A383-TEXT(DATEVALUE($D383&amp;"-01"), "dd-mm-yyyy")),0),0)</f>
        <v>0</v>
      </c>
      <c r="G383" cm="1">
        <f t="array" ref="G383">IF($Q383&gt;=0,IFERROR(generateSalesData($D383, IF(ISNUMBER(_xlfn.XLOOKUP($C383,Phone_by_Sentiment!$B$2:$B$37,Phone_by_Sentiment!G$2:G$37,"",0,1)),_xlfn.XLOOKUP($C383,Phone_by_Sentiment!$B$2:$B$37,Phone_by_Sentiment!G$2:G$37,"",0,1),0),$A383-TEXT(DATEVALUE($D383&amp;"-01"), "dd-mm-yyyy")),0),0)</f>
        <v>0</v>
      </c>
      <c r="H383" cm="1">
        <f t="array" ref="H383">IF($Q383&gt;=0,IFERROR(generateSalesData($D383, IF(ISNUMBER(_xlfn.XLOOKUP($C383,Phone_by_Sentiment!$B$2:$B$37,Phone_by_Sentiment!H$2:H$37,"",0,1)),_xlfn.XLOOKUP($C383,Phone_by_Sentiment!$B$2:$B$37,Phone_by_Sentiment!H$2:H$37,"",0,1),0),$A383-TEXT(DATEVALUE($D383&amp;"-01"), "dd-mm-yyyy")),0),0)</f>
        <v>0</v>
      </c>
      <c r="I383" cm="1">
        <f t="array" ref="I383">IF($Q383&gt;=0,IFERROR(generateSalesData($D383, IF(ISNUMBER(_xlfn.XLOOKUP($C383,Phone_by_Sentiment!$B$2:$B$37,Phone_by_Sentiment!I$2:I$37,"",0,1)),_xlfn.XLOOKUP($C383,Phone_by_Sentiment!$B$2:$B$37,Phone_by_Sentiment!I$2:I$37,"",0,1),0),$A383-TEXT(DATEVALUE($D383&amp;"-01"), "dd-mm-yyyy")),0),0)</f>
        <v>0</v>
      </c>
      <c r="J383" cm="1">
        <f t="array" ref="J383">IF($Q383&gt;=0,IFERROR(generateSalesData($D383, IF(ISNUMBER(_xlfn.XLOOKUP($C383,Phone_by_Sentiment!$B$2:$B$37,Phone_by_Sentiment!J$2:J$37,"",0,1)),_xlfn.XLOOKUP($C383,Phone_by_Sentiment!$B$2:$B$37,Phone_by_Sentiment!J$2:J$37,"",0,1),0),$A383-TEXT(DATEVALUE($D383&amp;"-01"), "dd-mm-yyyy")),0),0)</f>
        <v>0</v>
      </c>
      <c r="K383" cm="1">
        <f t="array" ref="K383">IF($Q383&gt;=0,IFERROR(generateSalesData($D383, IF(ISNUMBER(_xlfn.XLOOKUP($C383,Phone_by_Sentiment!$B$2:$B$37,Phone_by_Sentiment!K$2:K$37,"",0,1)),_xlfn.XLOOKUP($C383,Phone_by_Sentiment!$B$2:$B$37,Phone_by_Sentiment!K$2:K$37,"",0,1),0),$A383-TEXT(DATEVALUE($D383&amp;"-01"), "dd-mm-yyyy")),0),0)</f>
        <v>0</v>
      </c>
      <c r="L383" cm="1">
        <f t="array" ref="L383">IF($Q383&gt;=0,IFERROR(generateSalesData($D383, IF(ISNUMBER(_xlfn.XLOOKUP($C383,Phone_by_Sentiment!$B$2:$B$37,Phone_by_Sentiment!L$2:L$37,"",0,1)),_xlfn.XLOOKUP($C383,Phone_by_Sentiment!$B$2:$B$37,Phone_by_Sentiment!L$2:L$37,"",0,1),0),$A383-TEXT(DATEVALUE($D383&amp;"-01"), "dd-mm-yyyy")),0),0)</f>
        <v>0</v>
      </c>
      <c r="M383" cm="1">
        <f t="array" ref="M383">IF($Q383&gt;=0,IFERROR(generateSalesData($D383, IF(ISNUMBER(_xlfn.XLOOKUP($C383,Phone_by_Sentiment!$B$2:$B$37,Phone_by_Sentiment!M$2:M$37,"",0,1)),_xlfn.XLOOKUP($C383,Phone_by_Sentiment!$B$2:$B$37,Phone_by_Sentiment!M$2:M$37,"",0,1),0),$A383-TEXT(DATEVALUE($D383&amp;"-01"), "dd-mm-yyyy")),0),0)</f>
        <v>0</v>
      </c>
      <c r="N383" cm="1">
        <f t="array" ref="N383">IF($Q383&gt;=0,IFERROR(generateSalesData($D383, IF(ISNUMBER(_xlfn.XLOOKUP($C383,Phone_by_Sentiment!$B$2:$B$37,Phone_by_Sentiment!N$2:N$37,"",0,1)),_xlfn.XLOOKUP($C383,Phone_by_Sentiment!$B$2:$B$37,Phone_by_Sentiment!N$2:N$37,"",0,1),0),$A383-TEXT(DATEVALUE($D383&amp;"-01"), "dd-mm-yyyy")),0),0)</f>
        <v>0</v>
      </c>
      <c r="O383" cm="1">
        <f t="array" ref="O383">IF($Q383&gt;=0,IFERROR(generateSalesData($D383, IF(ISNUMBER(_xlfn.XLOOKUP($C383,Phone_by_Sentiment!$B$2:$B$37,Phone_by_Sentiment!O$2:O$37,"",0,1)),_xlfn.XLOOKUP($C383,Phone_by_Sentiment!$B$2:$B$37,Phone_by_Sentiment!O$2:O$37,"",0,1),0),$A383-TEXT(DATEVALUE($D383&amp;"-01"), "dd-mm-yyyy")),0),0)</f>
        <v>0</v>
      </c>
      <c r="P383" s="1">
        <f t="shared" si="13"/>
        <v>44256</v>
      </c>
      <c r="Q383">
        <f t="shared" si="14"/>
        <v>-486</v>
      </c>
    </row>
    <row r="384" spans="1:17" x14ac:dyDescent="0.25">
      <c r="A384" s="1">
        <f t="shared" si="12"/>
        <v>43770</v>
      </c>
      <c r="B384" t="s">
        <v>160</v>
      </c>
      <c r="C384" t="str">
        <f>_xlfn.XLOOKUP(B384,Phone_by_Price!$A$2:$A$34,Phone_by_Price!$B$2:$B$34,"-",0,1)</f>
        <v>Xiaomi Poco X3 Pro</v>
      </c>
      <c r="D384" t="str">
        <f>_xlfn.XLOOKUP(C384,Phone_by_Sentiment!$B$2:$B$37,Phone_by_Sentiment!$A$2:$A$37,"-",0,1)</f>
        <v>2021-05</v>
      </c>
      <c r="E384" cm="1">
        <f t="array" ref="E384">IF($Q384&gt;=0,IFERROR(generateSalesData($D384, IF(ISNUMBER(_xlfn.XLOOKUP($C384,Phone_by_Sentiment!$B$2:$B$37,Phone_by_Sentiment!E$2:E$37,"",0,1)),_xlfn.XLOOKUP($C384,Phone_by_Sentiment!$B$2:$B$37,Phone_by_Sentiment!E$2:E$37,"",0,1),0),$A384-TEXT(DATEVALUE($D384&amp;"-01"), "dd-mm-yyyy")),0),0)</f>
        <v>0</v>
      </c>
      <c r="F384" cm="1">
        <f t="array" ref="F384">IF($Q384&gt;=0,IFERROR(generateSalesData($D384, IF(ISNUMBER(_xlfn.XLOOKUP($C384,Phone_by_Sentiment!$B$2:$B$37,Phone_by_Sentiment!F$2:F$37,"",0,1)),_xlfn.XLOOKUP($C384,Phone_by_Sentiment!$B$2:$B$37,Phone_by_Sentiment!F$2:F$37,"",0,1),0),$A384-TEXT(DATEVALUE($D384&amp;"-01"), "dd-mm-yyyy")),0),0)</f>
        <v>0</v>
      </c>
      <c r="G384" cm="1">
        <f t="array" ref="G384">IF($Q384&gt;=0,IFERROR(generateSalesData($D384, IF(ISNUMBER(_xlfn.XLOOKUP($C384,Phone_by_Sentiment!$B$2:$B$37,Phone_by_Sentiment!G$2:G$37,"",0,1)),_xlfn.XLOOKUP($C384,Phone_by_Sentiment!$B$2:$B$37,Phone_by_Sentiment!G$2:G$37,"",0,1),0),$A384-TEXT(DATEVALUE($D384&amp;"-01"), "dd-mm-yyyy")),0),0)</f>
        <v>0</v>
      </c>
      <c r="H384" cm="1">
        <f t="array" ref="H384">IF($Q384&gt;=0,IFERROR(generateSalesData($D384, IF(ISNUMBER(_xlfn.XLOOKUP($C384,Phone_by_Sentiment!$B$2:$B$37,Phone_by_Sentiment!H$2:H$37,"",0,1)),_xlfn.XLOOKUP($C384,Phone_by_Sentiment!$B$2:$B$37,Phone_by_Sentiment!H$2:H$37,"",0,1),0),$A384-TEXT(DATEVALUE($D384&amp;"-01"), "dd-mm-yyyy")),0),0)</f>
        <v>0</v>
      </c>
      <c r="I384" cm="1">
        <f t="array" ref="I384">IF($Q384&gt;=0,IFERROR(generateSalesData($D384, IF(ISNUMBER(_xlfn.XLOOKUP($C384,Phone_by_Sentiment!$B$2:$B$37,Phone_by_Sentiment!I$2:I$37,"",0,1)),_xlfn.XLOOKUP($C384,Phone_by_Sentiment!$B$2:$B$37,Phone_by_Sentiment!I$2:I$37,"",0,1),0),$A384-TEXT(DATEVALUE($D384&amp;"-01"), "dd-mm-yyyy")),0),0)</f>
        <v>0</v>
      </c>
      <c r="J384" cm="1">
        <f t="array" ref="J384">IF($Q384&gt;=0,IFERROR(generateSalesData($D384, IF(ISNUMBER(_xlfn.XLOOKUP($C384,Phone_by_Sentiment!$B$2:$B$37,Phone_by_Sentiment!J$2:J$37,"",0,1)),_xlfn.XLOOKUP($C384,Phone_by_Sentiment!$B$2:$B$37,Phone_by_Sentiment!J$2:J$37,"",0,1),0),$A384-TEXT(DATEVALUE($D384&amp;"-01"), "dd-mm-yyyy")),0),0)</f>
        <v>0</v>
      </c>
      <c r="K384" cm="1">
        <f t="array" ref="K384">IF($Q384&gt;=0,IFERROR(generateSalesData($D384, IF(ISNUMBER(_xlfn.XLOOKUP($C384,Phone_by_Sentiment!$B$2:$B$37,Phone_by_Sentiment!K$2:K$37,"",0,1)),_xlfn.XLOOKUP($C384,Phone_by_Sentiment!$B$2:$B$37,Phone_by_Sentiment!K$2:K$37,"",0,1),0),$A384-TEXT(DATEVALUE($D384&amp;"-01"), "dd-mm-yyyy")),0),0)</f>
        <v>0</v>
      </c>
      <c r="L384" cm="1">
        <f t="array" ref="L384">IF($Q384&gt;=0,IFERROR(generateSalesData($D384, IF(ISNUMBER(_xlfn.XLOOKUP($C384,Phone_by_Sentiment!$B$2:$B$37,Phone_by_Sentiment!L$2:L$37,"",0,1)),_xlfn.XLOOKUP($C384,Phone_by_Sentiment!$B$2:$B$37,Phone_by_Sentiment!L$2:L$37,"",0,1),0),$A384-TEXT(DATEVALUE($D384&amp;"-01"), "dd-mm-yyyy")),0),0)</f>
        <v>0</v>
      </c>
      <c r="M384" cm="1">
        <f t="array" ref="M384">IF($Q384&gt;=0,IFERROR(generateSalesData($D384, IF(ISNUMBER(_xlfn.XLOOKUP($C384,Phone_by_Sentiment!$B$2:$B$37,Phone_by_Sentiment!M$2:M$37,"",0,1)),_xlfn.XLOOKUP($C384,Phone_by_Sentiment!$B$2:$B$37,Phone_by_Sentiment!M$2:M$37,"",0,1),0),$A384-TEXT(DATEVALUE($D384&amp;"-01"), "dd-mm-yyyy")),0),0)</f>
        <v>0</v>
      </c>
      <c r="N384" cm="1">
        <f t="array" ref="N384">IF($Q384&gt;=0,IFERROR(generateSalesData($D384, IF(ISNUMBER(_xlfn.XLOOKUP($C384,Phone_by_Sentiment!$B$2:$B$37,Phone_by_Sentiment!N$2:N$37,"",0,1)),_xlfn.XLOOKUP($C384,Phone_by_Sentiment!$B$2:$B$37,Phone_by_Sentiment!N$2:N$37,"",0,1),0),$A384-TEXT(DATEVALUE($D384&amp;"-01"), "dd-mm-yyyy")),0),0)</f>
        <v>0</v>
      </c>
      <c r="O384" cm="1">
        <f t="array" ref="O384">IF($Q384&gt;=0,IFERROR(generateSalesData($D384, IF(ISNUMBER(_xlfn.XLOOKUP($C384,Phone_by_Sentiment!$B$2:$B$37,Phone_by_Sentiment!O$2:O$37,"",0,1)),_xlfn.XLOOKUP($C384,Phone_by_Sentiment!$B$2:$B$37,Phone_by_Sentiment!O$2:O$37,"",0,1),0),$A384-TEXT(DATEVALUE($D384&amp;"-01"), "dd-mm-yyyy")),0),0)</f>
        <v>0</v>
      </c>
      <c r="P384" s="1">
        <f t="shared" si="13"/>
        <v>44317</v>
      </c>
      <c r="Q384">
        <f t="shared" si="14"/>
        <v>-547</v>
      </c>
    </row>
    <row r="385" spans="1:17" x14ac:dyDescent="0.25">
      <c r="A385" s="1">
        <f t="shared" si="12"/>
        <v>43770</v>
      </c>
      <c r="B385" t="s">
        <v>161</v>
      </c>
      <c r="C385" t="str">
        <f>_xlfn.XLOOKUP(B385,Phone_by_Price!$A$2:$A$34,Phone_by_Price!$B$2:$B$34,"-",0,1)</f>
        <v>Samsung Galaxy Z Flip 3</v>
      </c>
      <c r="D385" t="str">
        <f>_xlfn.XLOOKUP(C385,Phone_by_Sentiment!$B$2:$B$37,Phone_by_Sentiment!$A$2:$A$37,"-",0,1)</f>
        <v>2021-09</v>
      </c>
      <c r="E385" cm="1">
        <f t="array" ref="E385">IF($Q385&gt;=0,IFERROR(generateSalesData($D385, IF(ISNUMBER(_xlfn.XLOOKUP($C385,Phone_by_Sentiment!$B$2:$B$37,Phone_by_Sentiment!E$2:E$37,"",0,1)),_xlfn.XLOOKUP($C385,Phone_by_Sentiment!$B$2:$B$37,Phone_by_Sentiment!E$2:E$37,"",0,1),0),$A385-TEXT(DATEVALUE($D385&amp;"-01"), "dd-mm-yyyy")),0),0)</f>
        <v>0</v>
      </c>
      <c r="F385" cm="1">
        <f t="array" ref="F385">IF($Q385&gt;=0,IFERROR(generateSalesData($D385, IF(ISNUMBER(_xlfn.XLOOKUP($C385,Phone_by_Sentiment!$B$2:$B$37,Phone_by_Sentiment!F$2:F$37,"",0,1)),_xlfn.XLOOKUP($C385,Phone_by_Sentiment!$B$2:$B$37,Phone_by_Sentiment!F$2:F$37,"",0,1),0),$A385-TEXT(DATEVALUE($D385&amp;"-01"), "dd-mm-yyyy")),0),0)</f>
        <v>0</v>
      </c>
      <c r="G385" cm="1">
        <f t="array" ref="G385">IF($Q385&gt;=0,IFERROR(generateSalesData($D385, IF(ISNUMBER(_xlfn.XLOOKUP($C385,Phone_by_Sentiment!$B$2:$B$37,Phone_by_Sentiment!G$2:G$37,"",0,1)),_xlfn.XLOOKUP($C385,Phone_by_Sentiment!$B$2:$B$37,Phone_by_Sentiment!G$2:G$37,"",0,1),0),$A385-TEXT(DATEVALUE($D385&amp;"-01"), "dd-mm-yyyy")),0),0)</f>
        <v>0</v>
      </c>
      <c r="H385" cm="1">
        <f t="array" ref="H385">IF($Q385&gt;=0,IFERROR(generateSalesData($D385, IF(ISNUMBER(_xlfn.XLOOKUP($C385,Phone_by_Sentiment!$B$2:$B$37,Phone_by_Sentiment!H$2:H$37,"",0,1)),_xlfn.XLOOKUP($C385,Phone_by_Sentiment!$B$2:$B$37,Phone_by_Sentiment!H$2:H$37,"",0,1),0),$A385-TEXT(DATEVALUE($D385&amp;"-01"), "dd-mm-yyyy")),0),0)</f>
        <v>0</v>
      </c>
      <c r="I385" cm="1">
        <f t="array" ref="I385">IF($Q385&gt;=0,IFERROR(generateSalesData($D385, IF(ISNUMBER(_xlfn.XLOOKUP($C385,Phone_by_Sentiment!$B$2:$B$37,Phone_by_Sentiment!I$2:I$37,"",0,1)),_xlfn.XLOOKUP($C385,Phone_by_Sentiment!$B$2:$B$37,Phone_by_Sentiment!I$2:I$37,"",0,1),0),$A385-TEXT(DATEVALUE($D385&amp;"-01"), "dd-mm-yyyy")),0),0)</f>
        <v>0</v>
      </c>
      <c r="J385" cm="1">
        <f t="array" ref="J385">IF($Q385&gt;=0,IFERROR(generateSalesData($D385, IF(ISNUMBER(_xlfn.XLOOKUP($C385,Phone_by_Sentiment!$B$2:$B$37,Phone_by_Sentiment!J$2:J$37,"",0,1)),_xlfn.XLOOKUP($C385,Phone_by_Sentiment!$B$2:$B$37,Phone_by_Sentiment!J$2:J$37,"",0,1),0),$A385-TEXT(DATEVALUE($D385&amp;"-01"), "dd-mm-yyyy")),0),0)</f>
        <v>0</v>
      </c>
      <c r="K385" cm="1">
        <f t="array" ref="K385">IF($Q385&gt;=0,IFERROR(generateSalesData($D385, IF(ISNUMBER(_xlfn.XLOOKUP($C385,Phone_by_Sentiment!$B$2:$B$37,Phone_by_Sentiment!K$2:K$37,"",0,1)),_xlfn.XLOOKUP($C385,Phone_by_Sentiment!$B$2:$B$37,Phone_by_Sentiment!K$2:K$37,"",0,1),0),$A385-TEXT(DATEVALUE($D385&amp;"-01"), "dd-mm-yyyy")),0),0)</f>
        <v>0</v>
      </c>
      <c r="L385" cm="1">
        <f t="array" ref="L385">IF($Q385&gt;=0,IFERROR(generateSalesData($D385, IF(ISNUMBER(_xlfn.XLOOKUP($C385,Phone_by_Sentiment!$B$2:$B$37,Phone_by_Sentiment!L$2:L$37,"",0,1)),_xlfn.XLOOKUP($C385,Phone_by_Sentiment!$B$2:$B$37,Phone_by_Sentiment!L$2:L$37,"",0,1),0),$A385-TEXT(DATEVALUE($D385&amp;"-01"), "dd-mm-yyyy")),0),0)</f>
        <v>0</v>
      </c>
      <c r="M385" cm="1">
        <f t="array" ref="M385">IF($Q385&gt;=0,IFERROR(generateSalesData($D385, IF(ISNUMBER(_xlfn.XLOOKUP($C385,Phone_by_Sentiment!$B$2:$B$37,Phone_by_Sentiment!M$2:M$37,"",0,1)),_xlfn.XLOOKUP($C385,Phone_by_Sentiment!$B$2:$B$37,Phone_by_Sentiment!M$2:M$37,"",0,1),0),$A385-TEXT(DATEVALUE($D385&amp;"-01"), "dd-mm-yyyy")),0),0)</f>
        <v>0</v>
      </c>
      <c r="N385" cm="1">
        <f t="array" ref="N385">IF($Q385&gt;=0,IFERROR(generateSalesData($D385, IF(ISNUMBER(_xlfn.XLOOKUP($C385,Phone_by_Sentiment!$B$2:$B$37,Phone_by_Sentiment!N$2:N$37,"",0,1)),_xlfn.XLOOKUP($C385,Phone_by_Sentiment!$B$2:$B$37,Phone_by_Sentiment!N$2:N$37,"",0,1),0),$A385-TEXT(DATEVALUE($D385&amp;"-01"), "dd-mm-yyyy")),0),0)</f>
        <v>0</v>
      </c>
      <c r="O385" cm="1">
        <f t="array" ref="O385">IF($Q385&gt;=0,IFERROR(generateSalesData($D385, IF(ISNUMBER(_xlfn.XLOOKUP($C385,Phone_by_Sentiment!$B$2:$B$37,Phone_by_Sentiment!O$2:O$37,"",0,1)),_xlfn.XLOOKUP($C385,Phone_by_Sentiment!$B$2:$B$37,Phone_by_Sentiment!O$2:O$37,"",0,1),0),$A385-TEXT(DATEVALUE($D385&amp;"-01"), "dd-mm-yyyy")),0),0)</f>
        <v>0</v>
      </c>
      <c r="P385" s="1">
        <f t="shared" si="13"/>
        <v>44440</v>
      </c>
      <c r="Q385">
        <f t="shared" si="14"/>
        <v>-670</v>
      </c>
    </row>
    <row r="386" spans="1:17" x14ac:dyDescent="0.25">
      <c r="A386" s="1">
        <f t="shared" si="12"/>
        <v>43800</v>
      </c>
      <c r="B386" t="s">
        <v>162</v>
      </c>
      <c r="C386" t="str">
        <f>_xlfn.XLOOKUP(B386,Phone_by_Price!$A$2:$A$34,Phone_by_Price!$B$2:$B$34,"-",0,1)</f>
        <v>Xiaomi Poco X3 NFC</v>
      </c>
      <c r="D386" t="str">
        <f>_xlfn.XLOOKUP(C386,Phone_by_Sentiment!$B$2:$B$37,Phone_by_Sentiment!$A$2:$A$37,"-",0,1)</f>
        <v>2020-08</v>
      </c>
      <c r="E386" cm="1">
        <f t="array" ref="E386">IF($Q386&gt;=0,IFERROR(generateSalesData($D386, IF(ISNUMBER(_xlfn.XLOOKUP($C386,Phone_by_Sentiment!$B$2:$B$37,Phone_by_Sentiment!E$2:E$37,"",0,1)),_xlfn.XLOOKUP($C386,Phone_by_Sentiment!$B$2:$B$37,Phone_by_Sentiment!E$2:E$37,"",0,1),0),$A386-TEXT(DATEVALUE($D386&amp;"-01"), "dd-mm-yyyy")),0),0)</f>
        <v>0</v>
      </c>
      <c r="F386" cm="1">
        <f t="array" ref="F386">IF($Q386&gt;=0,IFERROR(generateSalesData($D386, IF(ISNUMBER(_xlfn.XLOOKUP($C386,Phone_by_Sentiment!$B$2:$B$37,Phone_by_Sentiment!F$2:F$37,"",0,1)),_xlfn.XLOOKUP($C386,Phone_by_Sentiment!$B$2:$B$37,Phone_by_Sentiment!F$2:F$37,"",0,1),0),$A386-TEXT(DATEVALUE($D386&amp;"-01"), "dd-mm-yyyy")),0),0)</f>
        <v>0</v>
      </c>
      <c r="G386" cm="1">
        <f t="array" ref="G386">IF($Q386&gt;=0,IFERROR(generateSalesData($D386, IF(ISNUMBER(_xlfn.XLOOKUP($C386,Phone_by_Sentiment!$B$2:$B$37,Phone_by_Sentiment!G$2:G$37,"",0,1)),_xlfn.XLOOKUP($C386,Phone_by_Sentiment!$B$2:$B$37,Phone_by_Sentiment!G$2:G$37,"",0,1),0),$A386-TEXT(DATEVALUE($D386&amp;"-01"), "dd-mm-yyyy")),0),0)</f>
        <v>0</v>
      </c>
      <c r="H386" cm="1">
        <f t="array" ref="H386">IF($Q386&gt;=0,IFERROR(generateSalesData($D386, IF(ISNUMBER(_xlfn.XLOOKUP($C386,Phone_by_Sentiment!$B$2:$B$37,Phone_by_Sentiment!H$2:H$37,"",0,1)),_xlfn.XLOOKUP($C386,Phone_by_Sentiment!$B$2:$B$37,Phone_by_Sentiment!H$2:H$37,"",0,1),0),$A386-TEXT(DATEVALUE($D386&amp;"-01"), "dd-mm-yyyy")),0),0)</f>
        <v>0</v>
      </c>
      <c r="I386" cm="1">
        <f t="array" ref="I386">IF($Q386&gt;=0,IFERROR(generateSalesData($D386, IF(ISNUMBER(_xlfn.XLOOKUP($C386,Phone_by_Sentiment!$B$2:$B$37,Phone_by_Sentiment!I$2:I$37,"",0,1)),_xlfn.XLOOKUP($C386,Phone_by_Sentiment!$B$2:$B$37,Phone_by_Sentiment!I$2:I$37,"",0,1),0),$A386-TEXT(DATEVALUE($D386&amp;"-01"), "dd-mm-yyyy")),0),0)</f>
        <v>0</v>
      </c>
      <c r="J386" cm="1">
        <f t="array" ref="J386">IF($Q386&gt;=0,IFERROR(generateSalesData($D386, IF(ISNUMBER(_xlfn.XLOOKUP($C386,Phone_by_Sentiment!$B$2:$B$37,Phone_by_Sentiment!J$2:J$37,"",0,1)),_xlfn.XLOOKUP($C386,Phone_by_Sentiment!$B$2:$B$37,Phone_by_Sentiment!J$2:J$37,"",0,1),0),$A386-TEXT(DATEVALUE($D386&amp;"-01"), "dd-mm-yyyy")),0),0)</f>
        <v>0</v>
      </c>
      <c r="K386" cm="1">
        <f t="array" ref="K386">IF($Q386&gt;=0,IFERROR(generateSalesData($D386, IF(ISNUMBER(_xlfn.XLOOKUP($C386,Phone_by_Sentiment!$B$2:$B$37,Phone_by_Sentiment!K$2:K$37,"",0,1)),_xlfn.XLOOKUP($C386,Phone_by_Sentiment!$B$2:$B$37,Phone_by_Sentiment!K$2:K$37,"",0,1),0),$A386-TEXT(DATEVALUE($D386&amp;"-01"), "dd-mm-yyyy")),0),0)</f>
        <v>0</v>
      </c>
      <c r="L386" cm="1">
        <f t="array" ref="L386">IF($Q386&gt;=0,IFERROR(generateSalesData($D386, IF(ISNUMBER(_xlfn.XLOOKUP($C386,Phone_by_Sentiment!$B$2:$B$37,Phone_by_Sentiment!L$2:L$37,"",0,1)),_xlfn.XLOOKUP($C386,Phone_by_Sentiment!$B$2:$B$37,Phone_by_Sentiment!L$2:L$37,"",0,1),0),$A386-TEXT(DATEVALUE($D386&amp;"-01"), "dd-mm-yyyy")),0),0)</f>
        <v>0</v>
      </c>
      <c r="M386" cm="1">
        <f t="array" ref="M386">IF($Q386&gt;=0,IFERROR(generateSalesData($D386, IF(ISNUMBER(_xlfn.XLOOKUP($C386,Phone_by_Sentiment!$B$2:$B$37,Phone_by_Sentiment!M$2:M$37,"",0,1)),_xlfn.XLOOKUP($C386,Phone_by_Sentiment!$B$2:$B$37,Phone_by_Sentiment!M$2:M$37,"",0,1),0),$A386-TEXT(DATEVALUE($D386&amp;"-01"), "dd-mm-yyyy")),0),0)</f>
        <v>0</v>
      </c>
      <c r="N386" cm="1">
        <f t="array" ref="N386">IF($Q386&gt;=0,IFERROR(generateSalesData($D386, IF(ISNUMBER(_xlfn.XLOOKUP($C386,Phone_by_Sentiment!$B$2:$B$37,Phone_by_Sentiment!N$2:N$37,"",0,1)),_xlfn.XLOOKUP($C386,Phone_by_Sentiment!$B$2:$B$37,Phone_by_Sentiment!N$2:N$37,"",0,1),0),$A386-TEXT(DATEVALUE($D386&amp;"-01"), "dd-mm-yyyy")),0),0)</f>
        <v>0</v>
      </c>
      <c r="O386" cm="1">
        <f t="array" ref="O386">IF($Q386&gt;=0,IFERROR(generateSalesData($D386, IF(ISNUMBER(_xlfn.XLOOKUP($C386,Phone_by_Sentiment!$B$2:$B$37,Phone_by_Sentiment!O$2:O$37,"",0,1)),_xlfn.XLOOKUP($C386,Phone_by_Sentiment!$B$2:$B$37,Phone_by_Sentiment!O$2:O$37,"",0,1),0),$A386-TEXT(DATEVALUE($D386&amp;"-01"), "dd-mm-yyyy")),0),0)</f>
        <v>0</v>
      </c>
      <c r="P386" s="1">
        <f t="shared" si="13"/>
        <v>44044</v>
      </c>
      <c r="Q386">
        <f t="shared" si="14"/>
        <v>-244</v>
      </c>
    </row>
    <row r="387" spans="1:17" x14ac:dyDescent="0.25">
      <c r="A387" s="1">
        <f t="shared" ref="A387:A450" si="15">DATE(YEAR($A$1), MONTH($A$1) + INT((ROW()-1)/35), DAY($A$1))</f>
        <v>43800</v>
      </c>
      <c r="B387" t="s">
        <v>163</v>
      </c>
      <c r="C387" t="str">
        <f>_xlfn.XLOOKUP(B387,Phone_by_Price!$A$2:$A$34,Phone_by_Price!$B$2:$B$34,"-",0,1)</f>
        <v>OPPO A93</v>
      </c>
      <c r="D387" t="str">
        <f>_xlfn.XLOOKUP(C387,Phone_by_Sentiment!$B$2:$B$37,Phone_by_Sentiment!$A$2:$A$37,"-",0,1)</f>
        <v>2021-02</v>
      </c>
      <c r="E387" cm="1">
        <f t="array" ref="E387">IF($Q387&gt;=0,IFERROR(generateSalesData($D387, IF(ISNUMBER(_xlfn.XLOOKUP($C387,Phone_by_Sentiment!$B$2:$B$37,Phone_by_Sentiment!E$2:E$37,"",0,1)),_xlfn.XLOOKUP($C387,Phone_by_Sentiment!$B$2:$B$37,Phone_by_Sentiment!E$2:E$37,"",0,1),0),$A387-TEXT(DATEVALUE($D387&amp;"-01"), "dd-mm-yyyy")),0),0)</f>
        <v>0</v>
      </c>
      <c r="F387" cm="1">
        <f t="array" ref="F387">IF($Q387&gt;=0,IFERROR(generateSalesData($D387, IF(ISNUMBER(_xlfn.XLOOKUP($C387,Phone_by_Sentiment!$B$2:$B$37,Phone_by_Sentiment!F$2:F$37,"",0,1)),_xlfn.XLOOKUP($C387,Phone_by_Sentiment!$B$2:$B$37,Phone_by_Sentiment!F$2:F$37,"",0,1),0),$A387-TEXT(DATEVALUE($D387&amp;"-01"), "dd-mm-yyyy")),0),0)</f>
        <v>0</v>
      </c>
      <c r="G387" cm="1">
        <f t="array" ref="G387">IF($Q387&gt;=0,IFERROR(generateSalesData($D387, IF(ISNUMBER(_xlfn.XLOOKUP($C387,Phone_by_Sentiment!$B$2:$B$37,Phone_by_Sentiment!G$2:G$37,"",0,1)),_xlfn.XLOOKUP($C387,Phone_by_Sentiment!$B$2:$B$37,Phone_by_Sentiment!G$2:G$37,"",0,1),0),$A387-TEXT(DATEVALUE($D387&amp;"-01"), "dd-mm-yyyy")),0),0)</f>
        <v>0</v>
      </c>
      <c r="H387" cm="1">
        <f t="array" ref="H387">IF($Q387&gt;=0,IFERROR(generateSalesData($D387, IF(ISNUMBER(_xlfn.XLOOKUP($C387,Phone_by_Sentiment!$B$2:$B$37,Phone_by_Sentiment!H$2:H$37,"",0,1)),_xlfn.XLOOKUP($C387,Phone_by_Sentiment!$B$2:$B$37,Phone_by_Sentiment!H$2:H$37,"",0,1),0),$A387-TEXT(DATEVALUE($D387&amp;"-01"), "dd-mm-yyyy")),0),0)</f>
        <v>0</v>
      </c>
      <c r="I387" cm="1">
        <f t="array" ref="I387">IF($Q387&gt;=0,IFERROR(generateSalesData($D387, IF(ISNUMBER(_xlfn.XLOOKUP($C387,Phone_by_Sentiment!$B$2:$B$37,Phone_by_Sentiment!I$2:I$37,"",0,1)),_xlfn.XLOOKUP($C387,Phone_by_Sentiment!$B$2:$B$37,Phone_by_Sentiment!I$2:I$37,"",0,1),0),$A387-TEXT(DATEVALUE($D387&amp;"-01"), "dd-mm-yyyy")),0),0)</f>
        <v>0</v>
      </c>
      <c r="J387" cm="1">
        <f t="array" ref="J387">IF($Q387&gt;=0,IFERROR(generateSalesData($D387, IF(ISNUMBER(_xlfn.XLOOKUP($C387,Phone_by_Sentiment!$B$2:$B$37,Phone_by_Sentiment!J$2:J$37,"",0,1)),_xlfn.XLOOKUP($C387,Phone_by_Sentiment!$B$2:$B$37,Phone_by_Sentiment!J$2:J$37,"",0,1),0),$A387-TEXT(DATEVALUE($D387&amp;"-01"), "dd-mm-yyyy")),0),0)</f>
        <v>0</v>
      </c>
      <c r="K387" cm="1">
        <f t="array" ref="K387">IF($Q387&gt;=0,IFERROR(generateSalesData($D387, IF(ISNUMBER(_xlfn.XLOOKUP($C387,Phone_by_Sentiment!$B$2:$B$37,Phone_by_Sentiment!K$2:K$37,"",0,1)),_xlfn.XLOOKUP($C387,Phone_by_Sentiment!$B$2:$B$37,Phone_by_Sentiment!K$2:K$37,"",0,1),0),$A387-TEXT(DATEVALUE($D387&amp;"-01"), "dd-mm-yyyy")),0),0)</f>
        <v>0</v>
      </c>
      <c r="L387" cm="1">
        <f t="array" ref="L387">IF($Q387&gt;=0,IFERROR(generateSalesData($D387, IF(ISNUMBER(_xlfn.XLOOKUP($C387,Phone_by_Sentiment!$B$2:$B$37,Phone_by_Sentiment!L$2:L$37,"",0,1)),_xlfn.XLOOKUP($C387,Phone_by_Sentiment!$B$2:$B$37,Phone_by_Sentiment!L$2:L$37,"",0,1),0),$A387-TEXT(DATEVALUE($D387&amp;"-01"), "dd-mm-yyyy")),0),0)</f>
        <v>0</v>
      </c>
      <c r="M387" cm="1">
        <f t="array" ref="M387">IF($Q387&gt;=0,IFERROR(generateSalesData($D387, IF(ISNUMBER(_xlfn.XLOOKUP($C387,Phone_by_Sentiment!$B$2:$B$37,Phone_by_Sentiment!M$2:M$37,"",0,1)),_xlfn.XLOOKUP($C387,Phone_by_Sentiment!$B$2:$B$37,Phone_by_Sentiment!M$2:M$37,"",0,1),0),$A387-TEXT(DATEVALUE($D387&amp;"-01"), "dd-mm-yyyy")),0),0)</f>
        <v>0</v>
      </c>
      <c r="N387" cm="1">
        <f t="array" ref="N387">IF($Q387&gt;=0,IFERROR(generateSalesData($D387, IF(ISNUMBER(_xlfn.XLOOKUP($C387,Phone_by_Sentiment!$B$2:$B$37,Phone_by_Sentiment!N$2:N$37,"",0,1)),_xlfn.XLOOKUP($C387,Phone_by_Sentiment!$B$2:$B$37,Phone_by_Sentiment!N$2:N$37,"",0,1),0),$A387-TEXT(DATEVALUE($D387&amp;"-01"), "dd-mm-yyyy")),0),0)</f>
        <v>0</v>
      </c>
      <c r="O387" cm="1">
        <f t="array" ref="O387">IF($Q387&gt;=0,IFERROR(generateSalesData($D387, IF(ISNUMBER(_xlfn.XLOOKUP($C387,Phone_by_Sentiment!$B$2:$B$37,Phone_by_Sentiment!O$2:O$37,"",0,1)),_xlfn.XLOOKUP($C387,Phone_by_Sentiment!$B$2:$B$37,Phone_by_Sentiment!O$2:O$37,"",0,1),0),$A387-TEXT(DATEVALUE($D387&amp;"-01"), "dd-mm-yyyy")),0),0)</f>
        <v>0</v>
      </c>
      <c r="P387" s="1">
        <f t="shared" si="13"/>
        <v>44228</v>
      </c>
      <c r="Q387">
        <f t="shared" si="14"/>
        <v>-428</v>
      </c>
    </row>
    <row r="388" spans="1:17" x14ac:dyDescent="0.25">
      <c r="A388" s="1">
        <f t="shared" si="15"/>
        <v>43800</v>
      </c>
      <c r="B388" t="s">
        <v>164</v>
      </c>
      <c r="C388" t="str">
        <f>_xlfn.XLOOKUP(B388,Phone_by_Price!$A$2:$A$34,Phone_by_Price!$B$2:$B$34,"-",0,1)</f>
        <v>Vivo V20</v>
      </c>
      <c r="D388" t="str">
        <f>_xlfn.XLOOKUP(C388,Phone_by_Sentiment!$B$2:$B$37,Phone_by_Sentiment!$A$2:$A$37,"-",0,1)</f>
        <v>2020-10</v>
      </c>
      <c r="E388" cm="1">
        <f t="array" ref="E388">IF($Q388&gt;=0,IFERROR(generateSalesData($D388, IF(ISNUMBER(_xlfn.XLOOKUP($C388,Phone_by_Sentiment!$B$2:$B$37,Phone_by_Sentiment!E$2:E$37,"",0,1)),_xlfn.XLOOKUP($C388,Phone_by_Sentiment!$B$2:$B$37,Phone_by_Sentiment!E$2:E$37,"",0,1),0),$A388-TEXT(DATEVALUE($D388&amp;"-01"), "dd-mm-yyyy")),0),0)</f>
        <v>0</v>
      </c>
      <c r="F388" cm="1">
        <f t="array" ref="F388">IF($Q388&gt;=0,IFERROR(generateSalesData($D388, IF(ISNUMBER(_xlfn.XLOOKUP($C388,Phone_by_Sentiment!$B$2:$B$37,Phone_by_Sentiment!F$2:F$37,"",0,1)),_xlfn.XLOOKUP($C388,Phone_by_Sentiment!$B$2:$B$37,Phone_by_Sentiment!F$2:F$37,"",0,1),0),$A388-TEXT(DATEVALUE($D388&amp;"-01"), "dd-mm-yyyy")),0),0)</f>
        <v>0</v>
      </c>
      <c r="G388" cm="1">
        <f t="array" ref="G388">IF($Q388&gt;=0,IFERROR(generateSalesData($D388, IF(ISNUMBER(_xlfn.XLOOKUP($C388,Phone_by_Sentiment!$B$2:$B$37,Phone_by_Sentiment!G$2:G$37,"",0,1)),_xlfn.XLOOKUP($C388,Phone_by_Sentiment!$B$2:$B$37,Phone_by_Sentiment!G$2:G$37,"",0,1),0),$A388-TEXT(DATEVALUE($D388&amp;"-01"), "dd-mm-yyyy")),0),0)</f>
        <v>0</v>
      </c>
      <c r="H388" cm="1">
        <f t="array" ref="H388">IF($Q388&gt;=0,IFERROR(generateSalesData($D388, IF(ISNUMBER(_xlfn.XLOOKUP($C388,Phone_by_Sentiment!$B$2:$B$37,Phone_by_Sentiment!H$2:H$37,"",0,1)),_xlfn.XLOOKUP($C388,Phone_by_Sentiment!$B$2:$B$37,Phone_by_Sentiment!H$2:H$37,"",0,1),0),$A388-TEXT(DATEVALUE($D388&amp;"-01"), "dd-mm-yyyy")),0),0)</f>
        <v>0</v>
      </c>
      <c r="I388" cm="1">
        <f t="array" ref="I388">IF($Q388&gt;=0,IFERROR(generateSalesData($D388, IF(ISNUMBER(_xlfn.XLOOKUP($C388,Phone_by_Sentiment!$B$2:$B$37,Phone_by_Sentiment!I$2:I$37,"",0,1)),_xlfn.XLOOKUP($C388,Phone_by_Sentiment!$B$2:$B$37,Phone_by_Sentiment!I$2:I$37,"",0,1),0),$A388-TEXT(DATEVALUE($D388&amp;"-01"), "dd-mm-yyyy")),0),0)</f>
        <v>0</v>
      </c>
      <c r="J388" cm="1">
        <f t="array" ref="J388">IF($Q388&gt;=0,IFERROR(generateSalesData($D388, IF(ISNUMBER(_xlfn.XLOOKUP($C388,Phone_by_Sentiment!$B$2:$B$37,Phone_by_Sentiment!J$2:J$37,"",0,1)),_xlfn.XLOOKUP($C388,Phone_by_Sentiment!$B$2:$B$37,Phone_by_Sentiment!J$2:J$37,"",0,1),0),$A388-TEXT(DATEVALUE($D388&amp;"-01"), "dd-mm-yyyy")),0),0)</f>
        <v>0</v>
      </c>
      <c r="K388" cm="1">
        <f t="array" ref="K388">IF($Q388&gt;=0,IFERROR(generateSalesData($D388, IF(ISNUMBER(_xlfn.XLOOKUP($C388,Phone_by_Sentiment!$B$2:$B$37,Phone_by_Sentiment!K$2:K$37,"",0,1)),_xlfn.XLOOKUP($C388,Phone_by_Sentiment!$B$2:$B$37,Phone_by_Sentiment!K$2:K$37,"",0,1),0),$A388-TEXT(DATEVALUE($D388&amp;"-01"), "dd-mm-yyyy")),0),0)</f>
        <v>0</v>
      </c>
      <c r="L388" cm="1">
        <f t="array" ref="L388">IF($Q388&gt;=0,IFERROR(generateSalesData($D388, IF(ISNUMBER(_xlfn.XLOOKUP($C388,Phone_by_Sentiment!$B$2:$B$37,Phone_by_Sentiment!L$2:L$37,"",0,1)),_xlfn.XLOOKUP($C388,Phone_by_Sentiment!$B$2:$B$37,Phone_by_Sentiment!L$2:L$37,"",0,1),0),$A388-TEXT(DATEVALUE($D388&amp;"-01"), "dd-mm-yyyy")),0),0)</f>
        <v>0</v>
      </c>
      <c r="M388" cm="1">
        <f t="array" ref="M388">IF($Q388&gt;=0,IFERROR(generateSalesData($D388, IF(ISNUMBER(_xlfn.XLOOKUP($C388,Phone_by_Sentiment!$B$2:$B$37,Phone_by_Sentiment!M$2:M$37,"",0,1)),_xlfn.XLOOKUP($C388,Phone_by_Sentiment!$B$2:$B$37,Phone_by_Sentiment!M$2:M$37,"",0,1),0),$A388-TEXT(DATEVALUE($D388&amp;"-01"), "dd-mm-yyyy")),0),0)</f>
        <v>0</v>
      </c>
      <c r="N388" cm="1">
        <f t="array" ref="N388">IF($Q388&gt;=0,IFERROR(generateSalesData($D388, IF(ISNUMBER(_xlfn.XLOOKUP($C388,Phone_by_Sentiment!$B$2:$B$37,Phone_by_Sentiment!N$2:N$37,"",0,1)),_xlfn.XLOOKUP($C388,Phone_by_Sentiment!$B$2:$B$37,Phone_by_Sentiment!N$2:N$37,"",0,1),0),$A388-TEXT(DATEVALUE($D388&amp;"-01"), "dd-mm-yyyy")),0),0)</f>
        <v>0</v>
      </c>
      <c r="O388" cm="1">
        <f t="array" ref="O388">IF($Q388&gt;=0,IFERROR(generateSalesData($D388, IF(ISNUMBER(_xlfn.XLOOKUP($C388,Phone_by_Sentiment!$B$2:$B$37,Phone_by_Sentiment!O$2:O$37,"",0,1)),_xlfn.XLOOKUP($C388,Phone_by_Sentiment!$B$2:$B$37,Phone_by_Sentiment!O$2:O$37,"",0,1),0),$A388-TEXT(DATEVALUE($D388&amp;"-01"), "dd-mm-yyyy")),0),0)</f>
        <v>0</v>
      </c>
      <c r="P388" s="1">
        <f t="shared" ref="P388:P451" si="16">DATEVALUE($D388&amp;"-01")</f>
        <v>44105</v>
      </c>
      <c r="Q388">
        <f t="shared" ref="Q388:Q451" si="17">A388-P388</f>
        <v>-305</v>
      </c>
    </row>
    <row r="389" spans="1:17" x14ac:dyDescent="0.25">
      <c r="A389" s="1">
        <f t="shared" si="15"/>
        <v>43800</v>
      </c>
      <c r="B389" t="s">
        <v>165</v>
      </c>
      <c r="C389" t="str">
        <f>_xlfn.XLOOKUP(B389,Phone_by_Price!$A$2:$A$34,Phone_by_Price!$B$2:$B$34,"-",0,1)</f>
        <v>Samsung Galaxy A50</v>
      </c>
      <c r="D389" t="str">
        <f>_xlfn.XLOOKUP(C389,Phone_by_Sentiment!$B$2:$B$37,Phone_by_Sentiment!$A$2:$A$37,"-",0,1)</f>
        <v>2019-05</v>
      </c>
      <c r="E389" cm="1">
        <f t="array" ref="E389">IF($Q389&gt;=0,IFERROR(generateSalesData($D389, IF(ISNUMBER(_xlfn.XLOOKUP($C389,Phone_by_Sentiment!$B$2:$B$37,Phone_by_Sentiment!E$2:E$37,"",0,1)),_xlfn.XLOOKUP($C389,Phone_by_Sentiment!$B$2:$B$37,Phone_by_Sentiment!E$2:E$37,"",0,1),0),$A389-TEXT(DATEVALUE($D389&amp;"-01"), "dd-mm-yyyy")),0),0)</f>
        <v>1045</v>
      </c>
      <c r="F389" cm="1">
        <f t="array" ref="F389">IF($Q389&gt;=0,IFERROR(generateSalesData($D389, IF(ISNUMBER(_xlfn.XLOOKUP($C389,Phone_by_Sentiment!$B$2:$B$37,Phone_by_Sentiment!F$2:F$37,"",0,1)),_xlfn.XLOOKUP($C389,Phone_by_Sentiment!$B$2:$B$37,Phone_by_Sentiment!F$2:F$37,"",0,1),0),$A389-TEXT(DATEVALUE($D389&amp;"-01"), "dd-mm-yyyy")),0),0)</f>
        <v>217</v>
      </c>
      <c r="G389" cm="1">
        <f t="array" ref="G389">IF($Q389&gt;=0,IFERROR(generateSalesData($D389, IF(ISNUMBER(_xlfn.XLOOKUP($C389,Phone_by_Sentiment!$B$2:$B$37,Phone_by_Sentiment!G$2:G$37,"",0,1)),_xlfn.XLOOKUP($C389,Phone_by_Sentiment!$B$2:$B$37,Phone_by_Sentiment!G$2:G$37,"",0,1),0),$A389-TEXT(DATEVALUE($D389&amp;"-01"), "dd-mm-yyyy")),0),0)</f>
        <v>327</v>
      </c>
      <c r="H389" cm="1">
        <f t="array" ref="H389">IF($Q389&gt;=0,IFERROR(generateSalesData($D389, IF(ISNUMBER(_xlfn.XLOOKUP($C389,Phone_by_Sentiment!$B$2:$B$37,Phone_by_Sentiment!H$2:H$37,"",0,1)),_xlfn.XLOOKUP($C389,Phone_by_Sentiment!$B$2:$B$37,Phone_by_Sentiment!H$2:H$37,"",0,1),0),$A389-TEXT(DATEVALUE($D389&amp;"-01"), "dd-mm-yyyy")),0),0)</f>
        <v>793</v>
      </c>
      <c r="I389" cm="1">
        <f t="array" ref="I389">IF($Q389&gt;=0,IFERROR(generateSalesData($D389, IF(ISNUMBER(_xlfn.XLOOKUP($C389,Phone_by_Sentiment!$B$2:$B$37,Phone_by_Sentiment!I$2:I$37,"",0,1)),_xlfn.XLOOKUP($C389,Phone_by_Sentiment!$B$2:$B$37,Phone_by_Sentiment!I$2:I$37,"",0,1),0),$A389-TEXT(DATEVALUE($D389&amp;"-01"), "dd-mm-yyyy")),0),0)</f>
        <v>722</v>
      </c>
      <c r="J389" cm="1">
        <f t="array" ref="J389">IF($Q389&gt;=0,IFERROR(generateSalesData($D389, IF(ISNUMBER(_xlfn.XLOOKUP($C389,Phone_by_Sentiment!$B$2:$B$37,Phone_by_Sentiment!J$2:J$37,"",0,1)),_xlfn.XLOOKUP($C389,Phone_by_Sentiment!$B$2:$B$37,Phone_by_Sentiment!J$2:J$37,"",0,1),0),$A389-TEXT(DATEVALUE($D389&amp;"-01"), "dd-mm-yyyy")),0),0)</f>
        <v>164</v>
      </c>
      <c r="K389" cm="1">
        <f t="array" ref="K389">IF($Q389&gt;=0,IFERROR(generateSalesData($D389, IF(ISNUMBER(_xlfn.XLOOKUP($C389,Phone_by_Sentiment!$B$2:$B$37,Phone_by_Sentiment!K$2:K$37,"",0,1)),_xlfn.XLOOKUP($C389,Phone_by_Sentiment!$B$2:$B$37,Phone_by_Sentiment!K$2:K$37,"",0,1),0),$A389-TEXT(DATEVALUE($D389&amp;"-01"), "dd-mm-yyyy")),0),0)</f>
        <v>478</v>
      </c>
      <c r="L389" cm="1">
        <f t="array" ref="L389">IF($Q389&gt;=0,IFERROR(generateSalesData($D389, IF(ISNUMBER(_xlfn.XLOOKUP($C389,Phone_by_Sentiment!$B$2:$B$37,Phone_by_Sentiment!L$2:L$37,"",0,1)),_xlfn.XLOOKUP($C389,Phone_by_Sentiment!$B$2:$B$37,Phone_by_Sentiment!L$2:L$37,"",0,1),0),$A389-TEXT(DATEVALUE($D389&amp;"-01"), "dd-mm-yyyy")),0),0)</f>
        <v>544</v>
      </c>
      <c r="M389" cm="1">
        <f t="array" ref="M389">IF($Q389&gt;=0,IFERROR(generateSalesData($D389, IF(ISNUMBER(_xlfn.XLOOKUP($C389,Phone_by_Sentiment!$B$2:$B$37,Phone_by_Sentiment!M$2:M$37,"",0,1)),_xlfn.XLOOKUP($C389,Phone_by_Sentiment!$B$2:$B$37,Phone_by_Sentiment!M$2:M$37,"",0,1),0),$A389-TEXT(DATEVALUE($D389&amp;"-01"), "dd-mm-yyyy")),0),0)</f>
        <v>-4</v>
      </c>
      <c r="N389" cm="1">
        <f t="array" ref="N389">IF($Q389&gt;=0,IFERROR(generateSalesData($D389, IF(ISNUMBER(_xlfn.XLOOKUP($C389,Phone_by_Sentiment!$B$2:$B$37,Phone_by_Sentiment!N$2:N$37,"",0,1)),_xlfn.XLOOKUP($C389,Phone_by_Sentiment!$B$2:$B$37,Phone_by_Sentiment!N$2:N$37,"",0,1),0),$A389-TEXT(DATEVALUE($D389&amp;"-01"), "dd-mm-yyyy")),0),0)</f>
        <v>1650</v>
      </c>
      <c r="O389" cm="1">
        <f t="array" ref="O389">IF($Q389&gt;=0,IFERROR(generateSalesData($D389, IF(ISNUMBER(_xlfn.XLOOKUP($C389,Phone_by_Sentiment!$B$2:$B$37,Phone_by_Sentiment!O$2:O$37,"",0,1)),_xlfn.XLOOKUP($C389,Phone_by_Sentiment!$B$2:$B$37,Phone_by_Sentiment!O$2:O$37,"",0,1),0),$A389-TEXT(DATEVALUE($D389&amp;"-01"), "dd-mm-yyyy")),0),0)</f>
        <v>670</v>
      </c>
      <c r="P389" s="1">
        <f t="shared" si="16"/>
        <v>43586</v>
      </c>
      <c r="Q389">
        <f t="shared" si="17"/>
        <v>214</v>
      </c>
    </row>
    <row r="390" spans="1:17" x14ac:dyDescent="0.25">
      <c r="A390" s="1">
        <f t="shared" si="15"/>
        <v>43800</v>
      </c>
      <c r="B390" t="s">
        <v>166</v>
      </c>
      <c r="C390" t="str">
        <f>_xlfn.XLOOKUP(B390,Phone_by_Price!$A$2:$A$34,Phone_by_Price!$B$2:$B$34,"-",0,1)</f>
        <v>Xiaomi Redmi Note 7</v>
      </c>
      <c r="D390" t="str">
        <f>_xlfn.XLOOKUP(C390,Phone_by_Sentiment!$B$2:$B$37,Phone_by_Sentiment!$A$2:$A$37,"-",0,1)</f>
        <v>2019-08</v>
      </c>
      <c r="E390" cm="1">
        <f t="array" ref="E390">IF($Q390&gt;=0,IFERROR(generateSalesData($D390, IF(ISNUMBER(_xlfn.XLOOKUP($C390,Phone_by_Sentiment!$B$2:$B$37,Phone_by_Sentiment!E$2:E$37,"",0,1)),_xlfn.XLOOKUP($C390,Phone_by_Sentiment!$B$2:$B$37,Phone_by_Sentiment!E$2:E$37,"",0,1),0),$A390-TEXT(DATEVALUE($D390&amp;"-01"), "dd-mm-yyyy")),0),0)</f>
        <v>474</v>
      </c>
      <c r="F390" cm="1">
        <f t="array" ref="F390">IF($Q390&gt;=0,IFERROR(generateSalesData($D390, IF(ISNUMBER(_xlfn.XLOOKUP($C390,Phone_by_Sentiment!$B$2:$B$37,Phone_by_Sentiment!F$2:F$37,"",0,1)),_xlfn.XLOOKUP($C390,Phone_by_Sentiment!$B$2:$B$37,Phone_by_Sentiment!F$2:F$37,"",0,1),0),$A390-TEXT(DATEVALUE($D390&amp;"-01"), "dd-mm-yyyy")),0),0)</f>
        <v>563</v>
      </c>
      <c r="G390" cm="1">
        <f t="array" ref="G390">IF($Q390&gt;=0,IFERROR(generateSalesData($D390, IF(ISNUMBER(_xlfn.XLOOKUP($C390,Phone_by_Sentiment!$B$2:$B$37,Phone_by_Sentiment!G$2:G$37,"",0,1)),_xlfn.XLOOKUP($C390,Phone_by_Sentiment!$B$2:$B$37,Phone_by_Sentiment!G$2:G$37,"",0,1),0),$A390-TEXT(DATEVALUE($D390&amp;"-01"), "dd-mm-yyyy")),0),0)</f>
        <v>406</v>
      </c>
      <c r="H390" cm="1">
        <f t="array" ref="H390">IF($Q390&gt;=0,IFERROR(generateSalesData($D390, IF(ISNUMBER(_xlfn.XLOOKUP($C390,Phone_by_Sentiment!$B$2:$B$37,Phone_by_Sentiment!H$2:H$37,"",0,1)),_xlfn.XLOOKUP($C390,Phone_by_Sentiment!$B$2:$B$37,Phone_by_Sentiment!H$2:H$37,"",0,1),0),$A390-TEXT(DATEVALUE($D390&amp;"-01"), "dd-mm-yyyy")),0),0)</f>
        <v>1657</v>
      </c>
      <c r="I390" cm="1">
        <f t="array" ref="I390">IF($Q390&gt;=0,IFERROR(generateSalesData($D390, IF(ISNUMBER(_xlfn.XLOOKUP($C390,Phone_by_Sentiment!$B$2:$B$37,Phone_by_Sentiment!I$2:I$37,"",0,1)),_xlfn.XLOOKUP($C390,Phone_by_Sentiment!$B$2:$B$37,Phone_by_Sentiment!I$2:I$37,"",0,1),0),$A390-TEXT(DATEVALUE($D390&amp;"-01"), "dd-mm-yyyy")),0),0)</f>
        <v>90</v>
      </c>
      <c r="J390" cm="1">
        <f t="array" ref="J390">IF($Q390&gt;=0,IFERROR(generateSalesData($D390, IF(ISNUMBER(_xlfn.XLOOKUP($C390,Phone_by_Sentiment!$B$2:$B$37,Phone_by_Sentiment!J$2:J$37,"",0,1)),_xlfn.XLOOKUP($C390,Phone_by_Sentiment!$B$2:$B$37,Phone_by_Sentiment!J$2:J$37,"",0,1),0),$A390-TEXT(DATEVALUE($D390&amp;"-01"), "dd-mm-yyyy")),0),0)</f>
        <v>345</v>
      </c>
      <c r="K390" cm="1">
        <f t="array" ref="K390">IF($Q390&gt;=0,IFERROR(generateSalesData($D390, IF(ISNUMBER(_xlfn.XLOOKUP($C390,Phone_by_Sentiment!$B$2:$B$37,Phone_by_Sentiment!K$2:K$37,"",0,1)),_xlfn.XLOOKUP($C390,Phone_by_Sentiment!$B$2:$B$37,Phone_by_Sentiment!K$2:K$37,"",0,1),0),$A390-TEXT(DATEVALUE($D390&amp;"-01"), "dd-mm-yyyy")),0),0)</f>
        <v>1168</v>
      </c>
      <c r="L390" cm="1">
        <f t="array" ref="L390">IF($Q390&gt;=0,IFERROR(generateSalesData($D390, IF(ISNUMBER(_xlfn.XLOOKUP($C390,Phone_by_Sentiment!$B$2:$B$37,Phone_by_Sentiment!L$2:L$37,"",0,1)),_xlfn.XLOOKUP($C390,Phone_by_Sentiment!$B$2:$B$37,Phone_by_Sentiment!L$2:L$37,"",0,1),0),$A390-TEXT(DATEVALUE($D390&amp;"-01"), "dd-mm-yyyy")),0),0)</f>
        <v>178</v>
      </c>
      <c r="M390" cm="1">
        <f t="array" ref="M390">IF($Q390&gt;=0,IFERROR(generateSalesData($D390, IF(ISNUMBER(_xlfn.XLOOKUP($C390,Phone_by_Sentiment!$B$2:$B$37,Phone_by_Sentiment!M$2:M$37,"",0,1)),_xlfn.XLOOKUP($C390,Phone_by_Sentiment!$B$2:$B$37,Phone_by_Sentiment!M$2:M$37,"",0,1),0),$A390-TEXT(DATEVALUE($D390&amp;"-01"), "dd-mm-yyyy")),0),0)</f>
        <v>2940</v>
      </c>
      <c r="N390" cm="1">
        <f t="array" ref="N390">IF($Q390&gt;=0,IFERROR(generateSalesData($D390, IF(ISNUMBER(_xlfn.XLOOKUP($C390,Phone_by_Sentiment!$B$2:$B$37,Phone_by_Sentiment!N$2:N$37,"",0,1)),_xlfn.XLOOKUP($C390,Phone_by_Sentiment!$B$2:$B$37,Phone_by_Sentiment!N$2:N$37,"",0,1),0),$A390-TEXT(DATEVALUE($D390&amp;"-01"), "dd-mm-yyyy")),0),0)</f>
        <v>757</v>
      </c>
      <c r="O390" cm="1">
        <f t="array" ref="O390">IF($Q390&gt;=0,IFERROR(generateSalesData($D390, IF(ISNUMBER(_xlfn.XLOOKUP($C390,Phone_by_Sentiment!$B$2:$B$37,Phone_by_Sentiment!O$2:O$37,"",0,1)),_xlfn.XLOOKUP($C390,Phone_by_Sentiment!$B$2:$B$37,Phone_by_Sentiment!O$2:O$37,"",0,1),0),$A390-TEXT(DATEVALUE($D390&amp;"-01"), "dd-mm-yyyy")),0),0)</f>
        <v>2533</v>
      </c>
      <c r="P390" s="1">
        <f t="shared" si="16"/>
        <v>43678</v>
      </c>
      <c r="Q390">
        <f t="shared" si="17"/>
        <v>122</v>
      </c>
    </row>
    <row r="391" spans="1:17" x14ac:dyDescent="0.25">
      <c r="A391" s="1">
        <f t="shared" si="15"/>
        <v>43800</v>
      </c>
      <c r="B391" t="s">
        <v>167</v>
      </c>
      <c r="C391" t="str">
        <f>_xlfn.XLOOKUP(B391,Phone_by_Price!$A$2:$A$34,Phone_by_Price!$B$2:$B$34,"-",0,1)</f>
        <v>Realme C21</v>
      </c>
      <c r="D391" t="str">
        <f>_xlfn.XLOOKUP(C391,Phone_by_Sentiment!$B$2:$B$37,Phone_by_Sentiment!$A$2:$A$37,"-",0,1)</f>
        <v>2021-04</v>
      </c>
      <c r="E391" cm="1">
        <f t="array" ref="E391">IF($Q391&gt;=0,IFERROR(generateSalesData($D391, IF(ISNUMBER(_xlfn.XLOOKUP($C391,Phone_by_Sentiment!$B$2:$B$37,Phone_by_Sentiment!E$2:E$37,"",0,1)),_xlfn.XLOOKUP($C391,Phone_by_Sentiment!$B$2:$B$37,Phone_by_Sentiment!E$2:E$37,"",0,1),0),$A391-TEXT(DATEVALUE($D391&amp;"-01"), "dd-mm-yyyy")),0),0)</f>
        <v>0</v>
      </c>
      <c r="F391" cm="1">
        <f t="array" ref="F391">IF($Q391&gt;=0,IFERROR(generateSalesData($D391, IF(ISNUMBER(_xlfn.XLOOKUP($C391,Phone_by_Sentiment!$B$2:$B$37,Phone_by_Sentiment!F$2:F$37,"",0,1)),_xlfn.XLOOKUP($C391,Phone_by_Sentiment!$B$2:$B$37,Phone_by_Sentiment!F$2:F$37,"",0,1),0),$A391-TEXT(DATEVALUE($D391&amp;"-01"), "dd-mm-yyyy")),0),0)</f>
        <v>0</v>
      </c>
      <c r="G391" cm="1">
        <f t="array" ref="G391">IF($Q391&gt;=0,IFERROR(generateSalesData($D391, IF(ISNUMBER(_xlfn.XLOOKUP($C391,Phone_by_Sentiment!$B$2:$B$37,Phone_by_Sentiment!G$2:G$37,"",0,1)),_xlfn.XLOOKUP($C391,Phone_by_Sentiment!$B$2:$B$37,Phone_by_Sentiment!G$2:G$37,"",0,1),0),$A391-TEXT(DATEVALUE($D391&amp;"-01"), "dd-mm-yyyy")),0),0)</f>
        <v>0</v>
      </c>
      <c r="H391" cm="1">
        <f t="array" ref="H391">IF($Q391&gt;=0,IFERROR(generateSalesData($D391, IF(ISNUMBER(_xlfn.XLOOKUP($C391,Phone_by_Sentiment!$B$2:$B$37,Phone_by_Sentiment!H$2:H$37,"",0,1)),_xlfn.XLOOKUP($C391,Phone_by_Sentiment!$B$2:$B$37,Phone_by_Sentiment!H$2:H$37,"",0,1),0),$A391-TEXT(DATEVALUE($D391&amp;"-01"), "dd-mm-yyyy")),0),0)</f>
        <v>0</v>
      </c>
      <c r="I391" cm="1">
        <f t="array" ref="I391">IF($Q391&gt;=0,IFERROR(generateSalesData($D391, IF(ISNUMBER(_xlfn.XLOOKUP($C391,Phone_by_Sentiment!$B$2:$B$37,Phone_by_Sentiment!I$2:I$37,"",0,1)),_xlfn.XLOOKUP($C391,Phone_by_Sentiment!$B$2:$B$37,Phone_by_Sentiment!I$2:I$37,"",0,1),0),$A391-TEXT(DATEVALUE($D391&amp;"-01"), "dd-mm-yyyy")),0),0)</f>
        <v>0</v>
      </c>
      <c r="J391" cm="1">
        <f t="array" ref="J391">IF($Q391&gt;=0,IFERROR(generateSalesData($D391, IF(ISNUMBER(_xlfn.XLOOKUP($C391,Phone_by_Sentiment!$B$2:$B$37,Phone_by_Sentiment!J$2:J$37,"",0,1)),_xlfn.XLOOKUP($C391,Phone_by_Sentiment!$B$2:$B$37,Phone_by_Sentiment!J$2:J$37,"",0,1),0),$A391-TEXT(DATEVALUE($D391&amp;"-01"), "dd-mm-yyyy")),0),0)</f>
        <v>0</v>
      </c>
      <c r="K391" cm="1">
        <f t="array" ref="K391">IF($Q391&gt;=0,IFERROR(generateSalesData($D391, IF(ISNUMBER(_xlfn.XLOOKUP($C391,Phone_by_Sentiment!$B$2:$B$37,Phone_by_Sentiment!K$2:K$37,"",0,1)),_xlfn.XLOOKUP($C391,Phone_by_Sentiment!$B$2:$B$37,Phone_by_Sentiment!K$2:K$37,"",0,1),0),$A391-TEXT(DATEVALUE($D391&amp;"-01"), "dd-mm-yyyy")),0),0)</f>
        <v>0</v>
      </c>
      <c r="L391" cm="1">
        <f t="array" ref="L391">IF($Q391&gt;=0,IFERROR(generateSalesData($D391, IF(ISNUMBER(_xlfn.XLOOKUP($C391,Phone_by_Sentiment!$B$2:$B$37,Phone_by_Sentiment!L$2:L$37,"",0,1)),_xlfn.XLOOKUP($C391,Phone_by_Sentiment!$B$2:$B$37,Phone_by_Sentiment!L$2:L$37,"",0,1),0),$A391-TEXT(DATEVALUE($D391&amp;"-01"), "dd-mm-yyyy")),0),0)</f>
        <v>0</v>
      </c>
      <c r="M391" cm="1">
        <f t="array" ref="M391">IF($Q391&gt;=0,IFERROR(generateSalesData($D391, IF(ISNUMBER(_xlfn.XLOOKUP($C391,Phone_by_Sentiment!$B$2:$B$37,Phone_by_Sentiment!M$2:M$37,"",0,1)),_xlfn.XLOOKUP($C391,Phone_by_Sentiment!$B$2:$B$37,Phone_by_Sentiment!M$2:M$37,"",0,1),0),$A391-TEXT(DATEVALUE($D391&amp;"-01"), "dd-mm-yyyy")),0),0)</f>
        <v>0</v>
      </c>
      <c r="N391" cm="1">
        <f t="array" ref="N391">IF($Q391&gt;=0,IFERROR(generateSalesData($D391, IF(ISNUMBER(_xlfn.XLOOKUP($C391,Phone_by_Sentiment!$B$2:$B$37,Phone_by_Sentiment!N$2:N$37,"",0,1)),_xlfn.XLOOKUP($C391,Phone_by_Sentiment!$B$2:$B$37,Phone_by_Sentiment!N$2:N$37,"",0,1),0),$A391-TEXT(DATEVALUE($D391&amp;"-01"), "dd-mm-yyyy")),0),0)</f>
        <v>0</v>
      </c>
      <c r="O391" cm="1">
        <f t="array" ref="O391">IF($Q391&gt;=0,IFERROR(generateSalesData($D391, IF(ISNUMBER(_xlfn.XLOOKUP($C391,Phone_by_Sentiment!$B$2:$B$37,Phone_by_Sentiment!O$2:O$37,"",0,1)),_xlfn.XLOOKUP($C391,Phone_by_Sentiment!$B$2:$B$37,Phone_by_Sentiment!O$2:O$37,"",0,1),0),$A391-TEXT(DATEVALUE($D391&amp;"-01"), "dd-mm-yyyy")),0),0)</f>
        <v>0</v>
      </c>
      <c r="P391" s="1">
        <f t="shared" si="16"/>
        <v>44287</v>
      </c>
      <c r="Q391">
        <f t="shared" si="17"/>
        <v>-487</v>
      </c>
    </row>
    <row r="392" spans="1:17" x14ac:dyDescent="0.25">
      <c r="A392" s="1">
        <f t="shared" si="15"/>
        <v>43800</v>
      </c>
      <c r="B392" t="s">
        <v>168</v>
      </c>
      <c r="C392" t="str">
        <f>_xlfn.XLOOKUP(B392,Phone_by_Price!$A$2:$A$34,Phone_by_Price!$B$2:$B$34,"-",0,1)</f>
        <v>Google Pixel 4</v>
      </c>
      <c r="D392" t="str">
        <f>_xlfn.XLOOKUP(C392,Phone_by_Sentiment!$B$2:$B$37,Phone_by_Sentiment!$A$2:$A$37,"-",0,1)</f>
        <v>2019-09</v>
      </c>
      <c r="E392" cm="1">
        <f t="array" ref="E392">IF($Q392&gt;=0,IFERROR(generateSalesData($D392, IF(ISNUMBER(_xlfn.XLOOKUP($C392,Phone_by_Sentiment!$B$2:$B$37,Phone_by_Sentiment!E$2:E$37,"",0,1)),_xlfn.XLOOKUP($C392,Phone_by_Sentiment!$B$2:$B$37,Phone_by_Sentiment!E$2:E$37,"",0,1),0),$A392-TEXT(DATEVALUE($D392&amp;"-01"), "dd-mm-yyyy")),0),0)</f>
        <v>1064</v>
      </c>
      <c r="F392" cm="1">
        <f t="array" ref="F392">IF($Q392&gt;=0,IFERROR(generateSalesData($D392, IF(ISNUMBER(_xlfn.XLOOKUP($C392,Phone_by_Sentiment!$B$2:$B$37,Phone_by_Sentiment!F$2:F$37,"",0,1)),_xlfn.XLOOKUP($C392,Phone_by_Sentiment!$B$2:$B$37,Phone_by_Sentiment!F$2:F$37,"",0,1),0),$A392-TEXT(DATEVALUE($D392&amp;"-01"), "dd-mm-yyyy")),0),0)</f>
        <v>1132</v>
      </c>
      <c r="G392" cm="1">
        <f t="array" ref="G392">IF($Q392&gt;=0,IFERROR(generateSalesData($D392, IF(ISNUMBER(_xlfn.XLOOKUP($C392,Phone_by_Sentiment!$B$2:$B$37,Phone_by_Sentiment!G$2:G$37,"",0,1)),_xlfn.XLOOKUP($C392,Phone_by_Sentiment!$B$2:$B$37,Phone_by_Sentiment!G$2:G$37,"",0,1),0),$A392-TEXT(DATEVALUE($D392&amp;"-01"), "dd-mm-yyyy")),0),0)</f>
        <v>368</v>
      </c>
      <c r="H392" cm="1">
        <f t="array" ref="H392">IF($Q392&gt;=0,IFERROR(generateSalesData($D392, IF(ISNUMBER(_xlfn.XLOOKUP($C392,Phone_by_Sentiment!$B$2:$B$37,Phone_by_Sentiment!H$2:H$37,"",0,1)),_xlfn.XLOOKUP($C392,Phone_by_Sentiment!$B$2:$B$37,Phone_by_Sentiment!H$2:H$37,"",0,1),0),$A392-TEXT(DATEVALUE($D392&amp;"-01"), "dd-mm-yyyy")),0),0)</f>
        <v>739</v>
      </c>
      <c r="I392" cm="1">
        <f t="array" ref="I392">IF($Q392&gt;=0,IFERROR(generateSalesData($D392, IF(ISNUMBER(_xlfn.XLOOKUP($C392,Phone_by_Sentiment!$B$2:$B$37,Phone_by_Sentiment!I$2:I$37,"",0,1)),_xlfn.XLOOKUP($C392,Phone_by_Sentiment!$B$2:$B$37,Phone_by_Sentiment!I$2:I$37,"",0,1),0),$A392-TEXT(DATEVALUE($D392&amp;"-01"), "dd-mm-yyyy")),0),0)</f>
        <v>975</v>
      </c>
      <c r="J392" cm="1">
        <f t="array" ref="J392">IF($Q392&gt;=0,IFERROR(generateSalesData($D392, IF(ISNUMBER(_xlfn.XLOOKUP($C392,Phone_by_Sentiment!$B$2:$B$37,Phone_by_Sentiment!J$2:J$37,"",0,1)),_xlfn.XLOOKUP($C392,Phone_by_Sentiment!$B$2:$B$37,Phone_by_Sentiment!J$2:J$37,"",0,1),0),$A392-TEXT(DATEVALUE($D392&amp;"-01"), "dd-mm-yyyy")),0),0)</f>
        <v>828</v>
      </c>
      <c r="K392" cm="1">
        <f t="array" ref="K392">IF($Q392&gt;=0,IFERROR(generateSalesData($D392, IF(ISNUMBER(_xlfn.XLOOKUP($C392,Phone_by_Sentiment!$B$2:$B$37,Phone_by_Sentiment!K$2:K$37,"",0,1)),_xlfn.XLOOKUP($C392,Phone_by_Sentiment!$B$2:$B$37,Phone_by_Sentiment!K$2:K$37,"",0,1),0),$A392-TEXT(DATEVALUE($D392&amp;"-01"), "dd-mm-yyyy")),0),0)</f>
        <v>527</v>
      </c>
      <c r="L392" cm="1">
        <f t="array" ref="L392">IF($Q392&gt;=0,IFERROR(generateSalesData($D392, IF(ISNUMBER(_xlfn.XLOOKUP($C392,Phone_by_Sentiment!$B$2:$B$37,Phone_by_Sentiment!L$2:L$37,"",0,1)),_xlfn.XLOOKUP($C392,Phone_by_Sentiment!$B$2:$B$37,Phone_by_Sentiment!L$2:L$37,"",0,1),0),$A392-TEXT(DATEVALUE($D392&amp;"-01"), "dd-mm-yyyy")),0),0)</f>
        <v>2419</v>
      </c>
      <c r="M392" cm="1">
        <f t="array" ref="M392">IF($Q392&gt;=0,IFERROR(generateSalesData($D392, IF(ISNUMBER(_xlfn.XLOOKUP($C392,Phone_by_Sentiment!$B$2:$B$37,Phone_by_Sentiment!M$2:M$37,"",0,1)),_xlfn.XLOOKUP($C392,Phone_by_Sentiment!$B$2:$B$37,Phone_by_Sentiment!M$2:M$37,"",0,1),0),$A392-TEXT(DATEVALUE($D392&amp;"-01"), "dd-mm-yyyy")),0),0)</f>
        <v>645</v>
      </c>
      <c r="N392" cm="1">
        <f t="array" ref="N392">IF($Q392&gt;=0,IFERROR(generateSalesData($D392, IF(ISNUMBER(_xlfn.XLOOKUP($C392,Phone_by_Sentiment!$B$2:$B$37,Phone_by_Sentiment!N$2:N$37,"",0,1)),_xlfn.XLOOKUP($C392,Phone_by_Sentiment!$B$2:$B$37,Phone_by_Sentiment!N$2:N$37,"",0,1),0),$A392-TEXT(DATEVALUE($D392&amp;"-01"), "dd-mm-yyyy")),0),0)</f>
        <v>3486</v>
      </c>
      <c r="O392" cm="1">
        <f t="array" ref="O392">IF($Q392&gt;=0,IFERROR(generateSalesData($D392, IF(ISNUMBER(_xlfn.XLOOKUP($C392,Phone_by_Sentiment!$B$2:$B$37,Phone_by_Sentiment!O$2:O$37,"",0,1)),_xlfn.XLOOKUP($C392,Phone_by_Sentiment!$B$2:$B$37,Phone_by_Sentiment!O$2:O$37,"",0,1),0),$A392-TEXT(DATEVALUE($D392&amp;"-01"), "dd-mm-yyyy")),0),0)</f>
        <v>640</v>
      </c>
      <c r="P392" s="1">
        <f t="shared" si="16"/>
        <v>43709</v>
      </c>
      <c r="Q392">
        <f t="shared" si="17"/>
        <v>91</v>
      </c>
    </row>
    <row r="393" spans="1:17" x14ac:dyDescent="0.25">
      <c r="A393" s="1">
        <f t="shared" si="15"/>
        <v>43800</v>
      </c>
      <c r="B393" t="s">
        <v>169</v>
      </c>
      <c r="C393" t="str">
        <f>_xlfn.XLOOKUP(B393,Phone_by_Price!$A$2:$A$34,Phone_by_Price!$B$2:$B$34,"-",0,1)</f>
        <v>Samsung Galaxy A10s</v>
      </c>
      <c r="D393" t="str">
        <f>_xlfn.XLOOKUP(C393,Phone_by_Sentiment!$B$2:$B$37,Phone_by_Sentiment!$A$2:$A$37,"-",0,1)</f>
        <v>2019-08</v>
      </c>
      <c r="E393" cm="1">
        <f t="array" ref="E393">IF($Q393&gt;=0,IFERROR(generateSalesData($D393, IF(ISNUMBER(_xlfn.XLOOKUP($C393,Phone_by_Sentiment!$B$2:$B$37,Phone_by_Sentiment!E$2:E$37,"",0,1)),_xlfn.XLOOKUP($C393,Phone_by_Sentiment!$B$2:$B$37,Phone_by_Sentiment!E$2:E$37,"",0,1),0),$A393-TEXT(DATEVALUE($D393&amp;"-01"), "dd-mm-yyyy")),0),0)</f>
        <v>637</v>
      </c>
      <c r="F393" cm="1">
        <f t="array" ref="F393">IF($Q393&gt;=0,IFERROR(generateSalesData($D393, IF(ISNUMBER(_xlfn.XLOOKUP($C393,Phone_by_Sentiment!$B$2:$B$37,Phone_by_Sentiment!F$2:F$37,"",0,1)),_xlfn.XLOOKUP($C393,Phone_by_Sentiment!$B$2:$B$37,Phone_by_Sentiment!F$2:F$37,"",0,1),0),$A393-TEXT(DATEVALUE($D393&amp;"-01"), "dd-mm-yyyy")),0),0)</f>
        <v>1862</v>
      </c>
      <c r="G393" cm="1">
        <f t="array" ref="G393">IF($Q393&gt;=0,IFERROR(generateSalesData($D393, IF(ISNUMBER(_xlfn.XLOOKUP($C393,Phone_by_Sentiment!$B$2:$B$37,Phone_by_Sentiment!G$2:G$37,"",0,1)),_xlfn.XLOOKUP($C393,Phone_by_Sentiment!$B$2:$B$37,Phone_by_Sentiment!G$2:G$37,"",0,1),0),$A393-TEXT(DATEVALUE($D393&amp;"-01"), "dd-mm-yyyy")),0),0)</f>
        <v>472</v>
      </c>
      <c r="H393" cm="1">
        <f t="array" ref="H393">IF($Q393&gt;=0,IFERROR(generateSalesData($D393, IF(ISNUMBER(_xlfn.XLOOKUP($C393,Phone_by_Sentiment!$B$2:$B$37,Phone_by_Sentiment!H$2:H$37,"",0,1)),_xlfn.XLOOKUP($C393,Phone_by_Sentiment!$B$2:$B$37,Phone_by_Sentiment!H$2:H$37,"",0,1),0),$A393-TEXT(DATEVALUE($D393&amp;"-01"), "dd-mm-yyyy")),0),0)</f>
        <v>1192</v>
      </c>
      <c r="I393" cm="1">
        <f t="array" ref="I393">IF($Q393&gt;=0,IFERROR(generateSalesData($D393, IF(ISNUMBER(_xlfn.XLOOKUP($C393,Phone_by_Sentiment!$B$2:$B$37,Phone_by_Sentiment!I$2:I$37,"",0,1)),_xlfn.XLOOKUP($C393,Phone_by_Sentiment!$B$2:$B$37,Phone_by_Sentiment!I$2:I$37,"",0,1),0),$A393-TEXT(DATEVALUE($D393&amp;"-01"), "dd-mm-yyyy")),0),0)</f>
        <v>2085</v>
      </c>
      <c r="J393" cm="1">
        <f t="array" ref="J393">IF($Q393&gt;=0,IFERROR(generateSalesData($D393, IF(ISNUMBER(_xlfn.XLOOKUP($C393,Phone_by_Sentiment!$B$2:$B$37,Phone_by_Sentiment!J$2:J$37,"",0,1)),_xlfn.XLOOKUP($C393,Phone_by_Sentiment!$B$2:$B$37,Phone_by_Sentiment!J$2:J$37,"",0,1),0),$A393-TEXT(DATEVALUE($D393&amp;"-01"), "dd-mm-yyyy")),0),0)</f>
        <v>2529</v>
      </c>
      <c r="K393" cm="1">
        <f t="array" ref="K393">IF($Q393&gt;=0,IFERROR(generateSalesData($D393, IF(ISNUMBER(_xlfn.XLOOKUP($C393,Phone_by_Sentiment!$B$2:$B$37,Phone_by_Sentiment!K$2:K$37,"",0,1)),_xlfn.XLOOKUP($C393,Phone_by_Sentiment!$B$2:$B$37,Phone_by_Sentiment!K$2:K$37,"",0,1),0),$A393-TEXT(DATEVALUE($D393&amp;"-01"), "dd-mm-yyyy")),0),0)</f>
        <v>2228</v>
      </c>
      <c r="L393" cm="1">
        <f t="array" ref="L393">IF($Q393&gt;=0,IFERROR(generateSalesData($D393, IF(ISNUMBER(_xlfn.XLOOKUP($C393,Phone_by_Sentiment!$B$2:$B$37,Phone_by_Sentiment!L$2:L$37,"",0,1)),_xlfn.XLOOKUP($C393,Phone_by_Sentiment!$B$2:$B$37,Phone_by_Sentiment!L$2:L$37,"",0,1),0),$A393-TEXT(DATEVALUE($D393&amp;"-01"), "dd-mm-yyyy")),0),0)</f>
        <v>522</v>
      </c>
      <c r="M393" cm="1">
        <f t="array" ref="M393">IF($Q393&gt;=0,IFERROR(generateSalesData($D393, IF(ISNUMBER(_xlfn.XLOOKUP($C393,Phone_by_Sentiment!$B$2:$B$37,Phone_by_Sentiment!M$2:M$37,"",0,1)),_xlfn.XLOOKUP($C393,Phone_by_Sentiment!$B$2:$B$37,Phone_by_Sentiment!M$2:M$37,"",0,1),0),$A393-TEXT(DATEVALUE($D393&amp;"-01"), "dd-mm-yyyy")),0),0)</f>
        <v>2009</v>
      </c>
      <c r="N393" cm="1">
        <f t="array" ref="N393">IF($Q393&gt;=0,IFERROR(generateSalesData($D393, IF(ISNUMBER(_xlfn.XLOOKUP($C393,Phone_by_Sentiment!$B$2:$B$37,Phone_by_Sentiment!N$2:N$37,"",0,1)),_xlfn.XLOOKUP($C393,Phone_by_Sentiment!$B$2:$B$37,Phone_by_Sentiment!N$2:N$37,"",0,1),0),$A393-TEXT(DATEVALUE($D393&amp;"-01"), "dd-mm-yyyy")),0),0)</f>
        <v>461</v>
      </c>
      <c r="O393" cm="1">
        <f t="array" ref="O393">IF($Q393&gt;=0,IFERROR(generateSalesData($D393, IF(ISNUMBER(_xlfn.XLOOKUP($C393,Phone_by_Sentiment!$B$2:$B$37,Phone_by_Sentiment!O$2:O$37,"",0,1)),_xlfn.XLOOKUP($C393,Phone_by_Sentiment!$B$2:$B$37,Phone_by_Sentiment!O$2:O$37,"",0,1),0),$A393-TEXT(DATEVALUE($D393&amp;"-01"), "dd-mm-yyyy")),0),0)</f>
        <v>1384</v>
      </c>
      <c r="P393" s="1">
        <f t="shared" si="16"/>
        <v>43678</v>
      </c>
      <c r="Q393">
        <f t="shared" si="17"/>
        <v>122</v>
      </c>
    </row>
    <row r="394" spans="1:17" x14ac:dyDescent="0.25">
      <c r="A394" s="1">
        <f t="shared" si="15"/>
        <v>43800</v>
      </c>
      <c r="B394" t="s">
        <v>170</v>
      </c>
      <c r="C394" t="str">
        <f>_xlfn.XLOOKUP(B394,Phone_by_Price!$A$2:$A$34,Phone_by_Price!$B$2:$B$34,"-",0,1)</f>
        <v>Realme Narzo 30A</v>
      </c>
      <c r="D394" t="str">
        <f>_xlfn.XLOOKUP(C394,Phone_by_Sentiment!$B$2:$B$37,Phone_by_Sentiment!$A$2:$A$37,"-",0,1)</f>
        <v>2021-02</v>
      </c>
      <c r="E394" cm="1">
        <f t="array" ref="E394">IF($Q394&gt;=0,IFERROR(generateSalesData($D394, IF(ISNUMBER(_xlfn.XLOOKUP($C394,Phone_by_Sentiment!$B$2:$B$37,Phone_by_Sentiment!E$2:E$37,"",0,1)),_xlfn.XLOOKUP($C394,Phone_by_Sentiment!$B$2:$B$37,Phone_by_Sentiment!E$2:E$37,"",0,1),0),$A394-TEXT(DATEVALUE($D394&amp;"-01"), "dd-mm-yyyy")),0),0)</f>
        <v>0</v>
      </c>
      <c r="F394" cm="1">
        <f t="array" ref="F394">IF($Q394&gt;=0,IFERROR(generateSalesData($D394, IF(ISNUMBER(_xlfn.XLOOKUP($C394,Phone_by_Sentiment!$B$2:$B$37,Phone_by_Sentiment!F$2:F$37,"",0,1)),_xlfn.XLOOKUP($C394,Phone_by_Sentiment!$B$2:$B$37,Phone_by_Sentiment!F$2:F$37,"",0,1),0),$A394-TEXT(DATEVALUE($D394&amp;"-01"), "dd-mm-yyyy")),0),0)</f>
        <v>0</v>
      </c>
      <c r="G394" cm="1">
        <f t="array" ref="G394">IF($Q394&gt;=0,IFERROR(generateSalesData($D394, IF(ISNUMBER(_xlfn.XLOOKUP($C394,Phone_by_Sentiment!$B$2:$B$37,Phone_by_Sentiment!G$2:G$37,"",0,1)),_xlfn.XLOOKUP($C394,Phone_by_Sentiment!$B$2:$B$37,Phone_by_Sentiment!G$2:G$37,"",0,1),0),$A394-TEXT(DATEVALUE($D394&amp;"-01"), "dd-mm-yyyy")),0),0)</f>
        <v>0</v>
      </c>
      <c r="H394" cm="1">
        <f t="array" ref="H394">IF($Q394&gt;=0,IFERROR(generateSalesData($D394, IF(ISNUMBER(_xlfn.XLOOKUP($C394,Phone_by_Sentiment!$B$2:$B$37,Phone_by_Sentiment!H$2:H$37,"",0,1)),_xlfn.XLOOKUP($C394,Phone_by_Sentiment!$B$2:$B$37,Phone_by_Sentiment!H$2:H$37,"",0,1),0),$A394-TEXT(DATEVALUE($D394&amp;"-01"), "dd-mm-yyyy")),0),0)</f>
        <v>0</v>
      </c>
      <c r="I394" cm="1">
        <f t="array" ref="I394">IF($Q394&gt;=0,IFERROR(generateSalesData($D394, IF(ISNUMBER(_xlfn.XLOOKUP($C394,Phone_by_Sentiment!$B$2:$B$37,Phone_by_Sentiment!I$2:I$37,"",0,1)),_xlfn.XLOOKUP($C394,Phone_by_Sentiment!$B$2:$B$37,Phone_by_Sentiment!I$2:I$37,"",0,1),0),$A394-TEXT(DATEVALUE($D394&amp;"-01"), "dd-mm-yyyy")),0),0)</f>
        <v>0</v>
      </c>
      <c r="J394" cm="1">
        <f t="array" ref="J394">IF($Q394&gt;=0,IFERROR(generateSalesData($D394, IF(ISNUMBER(_xlfn.XLOOKUP($C394,Phone_by_Sentiment!$B$2:$B$37,Phone_by_Sentiment!J$2:J$37,"",0,1)),_xlfn.XLOOKUP($C394,Phone_by_Sentiment!$B$2:$B$37,Phone_by_Sentiment!J$2:J$37,"",0,1),0),$A394-TEXT(DATEVALUE($D394&amp;"-01"), "dd-mm-yyyy")),0),0)</f>
        <v>0</v>
      </c>
      <c r="K394" cm="1">
        <f t="array" ref="K394">IF($Q394&gt;=0,IFERROR(generateSalesData($D394, IF(ISNUMBER(_xlfn.XLOOKUP($C394,Phone_by_Sentiment!$B$2:$B$37,Phone_by_Sentiment!K$2:K$37,"",0,1)),_xlfn.XLOOKUP($C394,Phone_by_Sentiment!$B$2:$B$37,Phone_by_Sentiment!K$2:K$37,"",0,1),0),$A394-TEXT(DATEVALUE($D394&amp;"-01"), "dd-mm-yyyy")),0),0)</f>
        <v>0</v>
      </c>
      <c r="L394" cm="1">
        <f t="array" ref="L394">IF($Q394&gt;=0,IFERROR(generateSalesData($D394, IF(ISNUMBER(_xlfn.XLOOKUP($C394,Phone_by_Sentiment!$B$2:$B$37,Phone_by_Sentiment!L$2:L$37,"",0,1)),_xlfn.XLOOKUP($C394,Phone_by_Sentiment!$B$2:$B$37,Phone_by_Sentiment!L$2:L$37,"",0,1),0),$A394-TEXT(DATEVALUE($D394&amp;"-01"), "dd-mm-yyyy")),0),0)</f>
        <v>0</v>
      </c>
      <c r="M394" cm="1">
        <f t="array" ref="M394">IF($Q394&gt;=0,IFERROR(generateSalesData($D394, IF(ISNUMBER(_xlfn.XLOOKUP($C394,Phone_by_Sentiment!$B$2:$B$37,Phone_by_Sentiment!M$2:M$37,"",0,1)),_xlfn.XLOOKUP($C394,Phone_by_Sentiment!$B$2:$B$37,Phone_by_Sentiment!M$2:M$37,"",0,1),0),$A394-TEXT(DATEVALUE($D394&amp;"-01"), "dd-mm-yyyy")),0),0)</f>
        <v>0</v>
      </c>
      <c r="N394" cm="1">
        <f t="array" ref="N394">IF($Q394&gt;=0,IFERROR(generateSalesData($D394, IF(ISNUMBER(_xlfn.XLOOKUP($C394,Phone_by_Sentiment!$B$2:$B$37,Phone_by_Sentiment!N$2:N$37,"",0,1)),_xlfn.XLOOKUP($C394,Phone_by_Sentiment!$B$2:$B$37,Phone_by_Sentiment!N$2:N$37,"",0,1),0),$A394-TEXT(DATEVALUE($D394&amp;"-01"), "dd-mm-yyyy")),0),0)</f>
        <v>0</v>
      </c>
      <c r="O394" cm="1">
        <f t="array" ref="O394">IF($Q394&gt;=0,IFERROR(generateSalesData($D394, IF(ISNUMBER(_xlfn.XLOOKUP($C394,Phone_by_Sentiment!$B$2:$B$37,Phone_by_Sentiment!O$2:O$37,"",0,1)),_xlfn.XLOOKUP($C394,Phone_by_Sentiment!$B$2:$B$37,Phone_by_Sentiment!O$2:O$37,"",0,1),0),$A394-TEXT(DATEVALUE($D394&amp;"-01"), "dd-mm-yyyy")),0),0)</f>
        <v>0</v>
      </c>
      <c r="P394" s="1">
        <f t="shared" si="16"/>
        <v>44228</v>
      </c>
      <c r="Q394">
        <f t="shared" si="17"/>
        <v>-428</v>
      </c>
    </row>
    <row r="395" spans="1:17" x14ac:dyDescent="0.25">
      <c r="A395" s="1">
        <f t="shared" si="15"/>
        <v>43800</v>
      </c>
      <c r="B395" t="s">
        <v>171</v>
      </c>
      <c r="C395" t="str">
        <f>_xlfn.XLOOKUP(B395,Phone_by_Price!$A$2:$A$34,Phone_by_Price!$B$2:$B$34,"-",0,1)</f>
        <v>Samsung Galaxy A22 5G</v>
      </c>
      <c r="D395" t="str">
        <f>_xlfn.XLOOKUP(C395,Phone_by_Sentiment!$B$2:$B$37,Phone_by_Sentiment!$A$2:$A$37,"-",0,1)</f>
        <v>2021-05</v>
      </c>
      <c r="E395" cm="1">
        <f t="array" ref="E395">IF($Q395&gt;=0,IFERROR(generateSalesData($D395, IF(ISNUMBER(_xlfn.XLOOKUP($C395,Phone_by_Sentiment!$B$2:$B$37,Phone_by_Sentiment!E$2:E$37,"",0,1)),_xlfn.XLOOKUP($C395,Phone_by_Sentiment!$B$2:$B$37,Phone_by_Sentiment!E$2:E$37,"",0,1),0),$A395-TEXT(DATEVALUE($D395&amp;"-01"), "dd-mm-yyyy")),0),0)</f>
        <v>0</v>
      </c>
      <c r="F395" cm="1">
        <f t="array" ref="F395">IF($Q395&gt;=0,IFERROR(generateSalesData($D395, IF(ISNUMBER(_xlfn.XLOOKUP($C395,Phone_by_Sentiment!$B$2:$B$37,Phone_by_Sentiment!F$2:F$37,"",0,1)),_xlfn.XLOOKUP($C395,Phone_by_Sentiment!$B$2:$B$37,Phone_by_Sentiment!F$2:F$37,"",0,1),0),$A395-TEXT(DATEVALUE($D395&amp;"-01"), "dd-mm-yyyy")),0),0)</f>
        <v>0</v>
      </c>
      <c r="G395" cm="1">
        <f t="array" ref="G395">IF($Q395&gt;=0,IFERROR(generateSalesData($D395, IF(ISNUMBER(_xlfn.XLOOKUP($C395,Phone_by_Sentiment!$B$2:$B$37,Phone_by_Sentiment!G$2:G$37,"",0,1)),_xlfn.XLOOKUP($C395,Phone_by_Sentiment!$B$2:$B$37,Phone_by_Sentiment!G$2:G$37,"",0,1),0),$A395-TEXT(DATEVALUE($D395&amp;"-01"), "dd-mm-yyyy")),0),0)</f>
        <v>0</v>
      </c>
      <c r="H395" cm="1">
        <f t="array" ref="H395">IF($Q395&gt;=0,IFERROR(generateSalesData($D395, IF(ISNUMBER(_xlfn.XLOOKUP($C395,Phone_by_Sentiment!$B$2:$B$37,Phone_by_Sentiment!H$2:H$37,"",0,1)),_xlfn.XLOOKUP($C395,Phone_by_Sentiment!$B$2:$B$37,Phone_by_Sentiment!H$2:H$37,"",0,1),0),$A395-TEXT(DATEVALUE($D395&amp;"-01"), "dd-mm-yyyy")),0),0)</f>
        <v>0</v>
      </c>
      <c r="I395" cm="1">
        <f t="array" ref="I395">IF($Q395&gt;=0,IFERROR(generateSalesData($D395, IF(ISNUMBER(_xlfn.XLOOKUP($C395,Phone_by_Sentiment!$B$2:$B$37,Phone_by_Sentiment!I$2:I$37,"",0,1)),_xlfn.XLOOKUP($C395,Phone_by_Sentiment!$B$2:$B$37,Phone_by_Sentiment!I$2:I$37,"",0,1),0),$A395-TEXT(DATEVALUE($D395&amp;"-01"), "dd-mm-yyyy")),0),0)</f>
        <v>0</v>
      </c>
      <c r="J395" cm="1">
        <f t="array" ref="J395">IF($Q395&gt;=0,IFERROR(generateSalesData($D395, IF(ISNUMBER(_xlfn.XLOOKUP($C395,Phone_by_Sentiment!$B$2:$B$37,Phone_by_Sentiment!J$2:J$37,"",0,1)),_xlfn.XLOOKUP($C395,Phone_by_Sentiment!$B$2:$B$37,Phone_by_Sentiment!J$2:J$37,"",0,1),0),$A395-TEXT(DATEVALUE($D395&amp;"-01"), "dd-mm-yyyy")),0),0)</f>
        <v>0</v>
      </c>
      <c r="K395" cm="1">
        <f t="array" ref="K395">IF($Q395&gt;=0,IFERROR(generateSalesData($D395, IF(ISNUMBER(_xlfn.XLOOKUP($C395,Phone_by_Sentiment!$B$2:$B$37,Phone_by_Sentiment!K$2:K$37,"",0,1)),_xlfn.XLOOKUP($C395,Phone_by_Sentiment!$B$2:$B$37,Phone_by_Sentiment!K$2:K$37,"",0,1),0),$A395-TEXT(DATEVALUE($D395&amp;"-01"), "dd-mm-yyyy")),0),0)</f>
        <v>0</v>
      </c>
      <c r="L395" cm="1">
        <f t="array" ref="L395">IF($Q395&gt;=0,IFERROR(generateSalesData($D395, IF(ISNUMBER(_xlfn.XLOOKUP($C395,Phone_by_Sentiment!$B$2:$B$37,Phone_by_Sentiment!L$2:L$37,"",0,1)),_xlfn.XLOOKUP($C395,Phone_by_Sentiment!$B$2:$B$37,Phone_by_Sentiment!L$2:L$37,"",0,1),0),$A395-TEXT(DATEVALUE($D395&amp;"-01"), "dd-mm-yyyy")),0),0)</f>
        <v>0</v>
      </c>
      <c r="M395" cm="1">
        <f t="array" ref="M395">IF($Q395&gt;=0,IFERROR(generateSalesData($D395, IF(ISNUMBER(_xlfn.XLOOKUP($C395,Phone_by_Sentiment!$B$2:$B$37,Phone_by_Sentiment!M$2:M$37,"",0,1)),_xlfn.XLOOKUP($C395,Phone_by_Sentiment!$B$2:$B$37,Phone_by_Sentiment!M$2:M$37,"",0,1),0),$A395-TEXT(DATEVALUE($D395&amp;"-01"), "dd-mm-yyyy")),0),0)</f>
        <v>0</v>
      </c>
      <c r="N395" cm="1">
        <f t="array" ref="N395">IF($Q395&gt;=0,IFERROR(generateSalesData($D395, IF(ISNUMBER(_xlfn.XLOOKUP($C395,Phone_by_Sentiment!$B$2:$B$37,Phone_by_Sentiment!N$2:N$37,"",0,1)),_xlfn.XLOOKUP($C395,Phone_by_Sentiment!$B$2:$B$37,Phone_by_Sentiment!N$2:N$37,"",0,1),0),$A395-TEXT(DATEVALUE($D395&amp;"-01"), "dd-mm-yyyy")),0),0)</f>
        <v>0</v>
      </c>
      <c r="O395" cm="1">
        <f t="array" ref="O395">IF($Q395&gt;=0,IFERROR(generateSalesData($D395, IF(ISNUMBER(_xlfn.XLOOKUP($C395,Phone_by_Sentiment!$B$2:$B$37,Phone_by_Sentiment!O$2:O$37,"",0,1)),_xlfn.XLOOKUP($C395,Phone_by_Sentiment!$B$2:$B$37,Phone_by_Sentiment!O$2:O$37,"",0,1),0),$A395-TEXT(DATEVALUE($D395&amp;"-01"), "dd-mm-yyyy")),0),0)</f>
        <v>0</v>
      </c>
      <c r="P395" s="1">
        <f t="shared" si="16"/>
        <v>44317</v>
      </c>
      <c r="Q395">
        <f t="shared" si="17"/>
        <v>-517</v>
      </c>
    </row>
    <row r="396" spans="1:17" x14ac:dyDescent="0.25">
      <c r="A396" s="1">
        <f t="shared" si="15"/>
        <v>43800</v>
      </c>
      <c r="B396" t="s">
        <v>172</v>
      </c>
      <c r="C396" t="str">
        <f>_xlfn.XLOOKUP(B396,Phone_by_Price!$A$2:$A$34,Phone_by_Price!$B$2:$B$34,"-",0,1)</f>
        <v>Xiaomi Redmi 9</v>
      </c>
      <c r="D396" t="str">
        <f>_xlfn.XLOOKUP(C396,Phone_by_Sentiment!$B$2:$B$37,Phone_by_Sentiment!$A$2:$A$37,"-",0,1)</f>
        <v>2020-08</v>
      </c>
      <c r="E396" cm="1">
        <f t="array" ref="E396">IF($Q396&gt;=0,IFERROR(generateSalesData($D396, IF(ISNUMBER(_xlfn.XLOOKUP($C396,Phone_by_Sentiment!$B$2:$B$37,Phone_by_Sentiment!E$2:E$37,"",0,1)),_xlfn.XLOOKUP($C396,Phone_by_Sentiment!$B$2:$B$37,Phone_by_Sentiment!E$2:E$37,"",0,1),0),$A396-TEXT(DATEVALUE($D396&amp;"-01"), "dd-mm-yyyy")),0),0)</f>
        <v>0</v>
      </c>
      <c r="F396" cm="1">
        <f t="array" ref="F396">IF($Q396&gt;=0,IFERROR(generateSalesData($D396, IF(ISNUMBER(_xlfn.XLOOKUP($C396,Phone_by_Sentiment!$B$2:$B$37,Phone_by_Sentiment!F$2:F$37,"",0,1)),_xlfn.XLOOKUP($C396,Phone_by_Sentiment!$B$2:$B$37,Phone_by_Sentiment!F$2:F$37,"",0,1),0),$A396-TEXT(DATEVALUE($D396&amp;"-01"), "dd-mm-yyyy")),0),0)</f>
        <v>0</v>
      </c>
      <c r="G396" cm="1">
        <f t="array" ref="G396">IF($Q396&gt;=0,IFERROR(generateSalesData($D396, IF(ISNUMBER(_xlfn.XLOOKUP($C396,Phone_by_Sentiment!$B$2:$B$37,Phone_by_Sentiment!G$2:G$37,"",0,1)),_xlfn.XLOOKUP($C396,Phone_by_Sentiment!$B$2:$B$37,Phone_by_Sentiment!G$2:G$37,"",0,1),0),$A396-TEXT(DATEVALUE($D396&amp;"-01"), "dd-mm-yyyy")),0),0)</f>
        <v>0</v>
      </c>
      <c r="H396" cm="1">
        <f t="array" ref="H396">IF($Q396&gt;=0,IFERROR(generateSalesData($D396, IF(ISNUMBER(_xlfn.XLOOKUP($C396,Phone_by_Sentiment!$B$2:$B$37,Phone_by_Sentiment!H$2:H$37,"",0,1)),_xlfn.XLOOKUP($C396,Phone_by_Sentiment!$B$2:$B$37,Phone_by_Sentiment!H$2:H$37,"",0,1),0),$A396-TEXT(DATEVALUE($D396&amp;"-01"), "dd-mm-yyyy")),0),0)</f>
        <v>0</v>
      </c>
      <c r="I396" cm="1">
        <f t="array" ref="I396">IF($Q396&gt;=0,IFERROR(generateSalesData($D396, IF(ISNUMBER(_xlfn.XLOOKUP($C396,Phone_by_Sentiment!$B$2:$B$37,Phone_by_Sentiment!I$2:I$37,"",0,1)),_xlfn.XLOOKUP($C396,Phone_by_Sentiment!$B$2:$B$37,Phone_by_Sentiment!I$2:I$37,"",0,1),0),$A396-TEXT(DATEVALUE($D396&amp;"-01"), "dd-mm-yyyy")),0),0)</f>
        <v>0</v>
      </c>
      <c r="J396" cm="1">
        <f t="array" ref="J396">IF($Q396&gt;=0,IFERROR(generateSalesData($D396, IF(ISNUMBER(_xlfn.XLOOKUP($C396,Phone_by_Sentiment!$B$2:$B$37,Phone_by_Sentiment!J$2:J$37,"",0,1)),_xlfn.XLOOKUP($C396,Phone_by_Sentiment!$B$2:$B$37,Phone_by_Sentiment!J$2:J$37,"",0,1),0),$A396-TEXT(DATEVALUE($D396&amp;"-01"), "dd-mm-yyyy")),0),0)</f>
        <v>0</v>
      </c>
      <c r="K396" cm="1">
        <f t="array" ref="K396">IF($Q396&gt;=0,IFERROR(generateSalesData($D396, IF(ISNUMBER(_xlfn.XLOOKUP($C396,Phone_by_Sentiment!$B$2:$B$37,Phone_by_Sentiment!K$2:K$37,"",0,1)),_xlfn.XLOOKUP($C396,Phone_by_Sentiment!$B$2:$B$37,Phone_by_Sentiment!K$2:K$37,"",0,1),0),$A396-TEXT(DATEVALUE($D396&amp;"-01"), "dd-mm-yyyy")),0),0)</f>
        <v>0</v>
      </c>
      <c r="L396" cm="1">
        <f t="array" ref="L396">IF($Q396&gt;=0,IFERROR(generateSalesData($D396, IF(ISNUMBER(_xlfn.XLOOKUP($C396,Phone_by_Sentiment!$B$2:$B$37,Phone_by_Sentiment!L$2:L$37,"",0,1)),_xlfn.XLOOKUP($C396,Phone_by_Sentiment!$B$2:$B$37,Phone_by_Sentiment!L$2:L$37,"",0,1),0),$A396-TEXT(DATEVALUE($D396&amp;"-01"), "dd-mm-yyyy")),0),0)</f>
        <v>0</v>
      </c>
      <c r="M396" cm="1">
        <f t="array" ref="M396">IF($Q396&gt;=0,IFERROR(generateSalesData($D396, IF(ISNUMBER(_xlfn.XLOOKUP($C396,Phone_by_Sentiment!$B$2:$B$37,Phone_by_Sentiment!M$2:M$37,"",0,1)),_xlfn.XLOOKUP($C396,Phone_by_Sentiment!$B$2:$B$37,Phone_by_Sentiment!M$2:M$37,"",0,1),0),$A396-TEXT(DATEVALUE($D396&amp;"-01"), "dd-mm-yyyy")),0),0)</f>
        <v>0</v>
      </c>
      <c r="N396" cm="1">
        <f t="array" ref="N396">IF($Q396&gt;=0,IFERROR(generateSalesData($D396, IF(ISNUMBER(_xlfn.XLOOKUP($C396,Phone_by_Sentiment!$B$2:$B$37,Phone_by_Sentiment!N$2:N$37,"",0,1)),_xlfn.XLOOKUP($C396,Phone_by_Sentiment!$B$2:$B$37,Phone_by_Sentiment!N$2:N$37,"",0,1),0),$A396-TEXT(DATEVALUE($D396&amp;"-01"), "dd-mm-yyyy")),0),0)</f>
        <v>0</v>
      </c>
      <c r="O396" cm="1">
        <f t="array" ref="O396">IF($Q396&gt;=0,IFERROR(generateSalesData($D396, IF(ISNUMBER(_xlfn.XLOOKUP($C396,Phone_by_Sentiment!$B$2:$B$37,Phone_by_Sentiment!O$2:O$37,"",0,1)),_xlfn.XLOOKUP($C396,Phone_by_Sentiment!$B$2:$B$37,Phone_by_Sentiment!O$2:O$37,"",0,1),0),$A396-TEXT(DATEVALUE($D396&amp;"-01"), "dd-mm-yyyy")),0),0)</f>
        <v>0</v>
      </c>
      <c r="P396" s="1">
        <f t="shared" si="16"/>
        <v>44044</v>
      </c>
      <c r="Q396">
        <f t="shared" si="17"/>
        <v>-244</v>
      </c>
    </row>
    <row r="397" spans="1:17" x14ac:dyDescent="0.25">
      <c r="A397" s="1">
        <f t="shared" si="15"/>
        <v>43800</v>
      </c>
      <c r="B397" t="s">
        <v>173</v>
      </c>
      <c r="C397" t="str">
        <f>_xlfn.XLOOKUP(B397,Phone_by_Price!$A$2:$A$34,Phone_by_Price!$B$2:$B$34,"-",0,1)</f>
        <v>Realme C3</v>
      </c>
      <c r="D397" t="str">
        <f>_xlfn.XLOOKUP(C397,Phone_by_Sentiment!$B$2:$B$37,Phone_by_Sentiment!$A$2:$A$37,"-",0,1)</f>
        <v>2020-02</v>
      </c>
      <c r="E397" cm="1">
        <f t="array" ref="E397">IF($Q397&gt;=0,IFERROR(generateSalesData($D397, IF(ISNUMBER(_xlfn.XLOOKUP($C397,Phone_by_Sentiment!$B$2:$B$37,Phone_by_Sentiment!E$2:E$37,"",0,1)),_xlfn.XLOOKUP($C397,Phone_by_Sentiment!$B$2:$B$37,Phone_by_Sentiment!E$2:E$37,"",0,1),0),$A397-TEXT(DATEVALUE($D397&amp;"-01"), "dd-mm-yyyy")),0),0)</f>
        <v>0</v>
      </c>
      <c r="F397" cm="1">
        <f t="array" ref="F397">IF($Q397&gt;=0,IFERROR(generateSalesData($D397, IF(ISNUMBER(_xlfn.XLOOKUP($C397,Phone_by_Sentiment!$B$2:$B$37,Phone_by_Sentiment!F$2:F$37,"",0,1)),_xlfn.XLOOKUP($C397,Phone_by_Sentiment!$B$2:$B$37,Phone_by_Sentiment!F$2:F$37,"",0,1),0),$A397-TEXT(DATEVALUE($D397&amp;"-01"), "dd-mm-yyyy")),0),0)</f>
        <v>0</v>
      </c>
      <c r="G397" cm="1">
        <f t="array" ref="G397">IF($Q397&gt;=0,IFERROR(generateSalesData($D397, IF(ISNUMBER(_xlfn.XLOOKUP($C397,Phone_by_Sentiment!$B$2:$B$37,Phone_by_Sentiment!G$2:G$37,"",0,1)),_xlfn.XLOOKUP($C397,Phone_by_Sentiment!$B$2:$B$37,Phone_by_Sentiment!G$2:G$37,"",0,1),0),$A397-TEXT(DATEVALUE($D397&amp;"-01"), "dd-mm-yyyy")),0),0)</f>
        <v>0</v>
      </c>
      <c r="H397" cm="1">
        <f t="array" ref="H397">IF($Q397&gt;=0,IFERROR(generateSalesData($D397, IF(ISNUMBER(_xlfn.XLOOKUP($C397,Phone_by_Sentiment!$B$2:$B$37,Phone_by_Sentiment!H$2:H$37,"",0,1)),_xlfn.XLOOKUP($C397,Phone_by_Sentiment!$B$2:$B$37,Phone_by_Sentiment!H$2:H$37,"",0,1),0),$A397-TEXT(DATEVALUE($D397&amp;"-01"), "dd-mm-yyyy")),0),0)</f>
        <v>0</v>
      </c>
      <c r="I397" cm="1">
        <f t="array" ref="I397">IF($Q397&gt;=0,IFERROR(generateSalesData($D397, IF(ISNUMBER(_xlfn.XLOOKUP($C397,Phone_by_Sentiment!$B$2:$B$37,Phone_by_Sentiment!I$2:I$37,"",0,1)),_xlfn.XLOOKUP($C397,Phone_by_Sentiment!$B$2:$B$37,Phone_by_Sentiment!I$2:I$37,"",0,1),0),$A397-TEXT(DATEVALUE($D397&amp;"-01"), "dd-mm-yyyy")),0),0)</f>
        <v>0</v>
      </c>
      <c r="J397" cm="1">
        <f t="array" ref="J397">IF($Q397&gt;=0,IFERROR(generateSalesData($D397, IF(ISNUMBER(_xlfn.XLOOKUP($C397,Phone_by_Sentiment!$B$2:$B$37,Phone_by_Sentiment!J$2:J$37,"",0,1)),_xlfn.XLOOKUP($C397,Phone_by_Sentiment!$B$2:$B$37,Phone_by_Sentiment!J$2:J$37,"",0,1),0),$A397-TEXT(DATEVALUE($D397&amp;"-01"), "dd-mm-yyyy")),0),0)</f>
        <v>0</v>
      </c>
      <c r="K397" cm="1">
        <f t="array" ref="K397">IF($Q397&gt;=0,IFERROR(generateSalesData($D397, IF(ISNUMBER(_xlfn.XLOOKUP($C397,Phone_by_Sentiment!$B$2:$B$37,Phone_by_Sentiment!K$2:K$37,"",0,1)),_xlfn.XLOOKUP($C397,Phone_by_Sentiment!$B$2:$B$37,Phone_by_Sentiment!K$2:K$37,"",0,1),0),$A397-TEXT(DATEVALUE($D397&amp;"-01"), "dd-mm-yyyy")),0),0)</f>
        <v>0</v>
      </c>
      <c r="L397" cm="1">
        <f t="array" ref="L397">IF($Q397&gt;=0,IFERROR(generateSalesData($D397, IF(ISNUMBER(_xlfn.XLOOKUP($C397,Phone_by_Sentiment!$B$2:$B$37,Phone_by_Sentiment!L$2:L$37,"",0,1)),_xlfn.XLOOKUP($C397,Phone_by_Sentiment!$B$2:$B$37,Phone_by_Sentiment!L$2:L$37,"",0,1),0),$A397-TEXT(DATEVALUE($D397&amp;"-01"), "dd-mm-yyyy")),0),0)</f>
        <v>0</v>
      </c>
      <c r="M397" cm="1">
        <f t="array" ref="M397">IF($Q397&gt;=0,IFERROR(generateSalesData($D397, IF(ISNUMBER(_xlfn.XLOOKUP($C397,Phone_by_Sentiment!$B$2:$B$37,Phone_by_Sentiment!M$2:M$37,"",0,1)),_xlfn.XLOOKUP($C397,Phone_by_Sentiment!$B$2:$B$37,Phone_by_Sentiment!M$2:M$37,"",0,1),0),$A397-TEXT(DATEVALUE($D397&amp;"-01"), "dd-mm-yyyy")),0),0)</f>
        <v>0</v>
      </c>
      <c r="N397" cm="1">
        <f t="array" ref="N397">IF($Q397&gt;=0,IFERROR(generateSalesData($D397, IF(ISNUMBER(_xlfn.XLOOKUP($C397,Phone_by_Sentiment!$B$2:$B$37,Phone_by_Sentiment!N$2:N$37,"",0,1)),_xlfn.XLOOKUP($C397,Phone_by_Sentiment!$B$2:$B$37,Phone_by_Sentiment!N$2:N$37,"",0,1),0),$A397-TEXT(DATEVALUE($D397&amp;"-01"), "dd-mm-yyyy")),0),0)</f>
        <v>0</v>
      </c>
      <c r="O397" cm="1">
        <f t="array" ref="O397">IF($Q397&gt;=0,IFERROR(generateSalesData($D397, IF(ISNUMBER(_xlfn.XLOOKUP($C397,Phone_by_Sentiment!$B$2:$B$37,Phone_by_Sentiment!O$2:O$37,"",0,1)),_xlfn.XLOOKUP($C397,Phone_by_Sentiment!$B$2:$B$37,Phone_by_Sentiment!O$2:O$37,"",0,1),0),$A397-TEXT(DATEVALUE($D397&amp;"-01"), "dd-mm-yyyy")),0),0)</f>
        <v>0</v>
      </c>
      <c r="P397" s="1">
        <f t="shared" si="16"/>
        <v>43862</v>
      </c>
      <c r="Q397">
        <f t="shared" si="17"/>
        <v>-62</v>
      </c>
    </row>
    <row r="398" spans="1:17" x14ac:dyDescent="0.25">
      <c r="A398" s="1">
        <f t="shared" si="15"/>
        <v>43800</v>
      </c>
      <c r="B398" t="s">
        <v>174</v>
      </c>
      <c r="C398" t="str">
        <f>_xlfn.XLOOKUP(B398,Phone_by_Price!$A$2:$A$34,Phone_by_Price!$B$2:$B$34,"-",0,1)</f>
        <v>Samsung Galaxy A7</v>
      </c>
      <c r="D398" t="str">
        <f>_xlfn.XLOOKUP(C398,Phone_by_Sentiment!$B$2:$B$37,Phone_by_Sentiment!$A$2:$A$37,"-",0,1)</f>
        <v>2018-10</v>
      </c>
      <c r="E398" cm="1">
        <f t="array" ref="E398">IF($Q398&gt;=0,IFERROR(generateSalesData($D398, IF(ISNUMBER(_xlfn.XLOOKUP($C398,Phone_by_Sentiment!$B$2:$B$37,Phone_by_Sentiment!E$2:E$37,"",0,1)),_xlfn.XLOOKUP($C398,Phone_by_Sentiment!$B$2:$B$37,Phone_by_Sentiment!E$2:E$37,"",0,1),0),$A398-TEXT(DATEVALUE($D398&amp;"-01"), "dd-mm-yyyy")),0),0)</f>
        <v>169</v>
      </c>
      <c r="F398" cm="1">
        <f t="array" ref="F398">IF($Q398&gt;=0,IFERROR(generateSalesData($D398, IF(ISNUMBER(_xlfn.XLOOKUP($C398,Phone_by_Sentiment!$B$2:$B$37,Phone_by_Sentiment!F$2:F$37,"",0,1)),_xlfn.XLOOKUP($C398,Phone_by_Sentiment!$B$2:$B$37,Phone_by_Sentiment!F$2:F$37,"",0,1),0),$A398-TEXT(DATEVALUE($D398&amp;"-01"), "dd-mm-yyyy")),0),0)</f>
        <v>120</v>
      </c>
      <c r="G398" cm="1">
        <f t="array" ref="G398">IF($Q398&gt;=0,IFERROR(generateSalesData($D398, IF(ISNUMBER(_xlfn.XLOOKUP($C398,Phone_by_Sentiment!$B$2:$B$37,Phone_by_Sentiment!G$2:G$37,"",0,1)),_xlfn.XLOOKUP($C398,Phone_by_Sentiment!$B$2:$B$37,Phone_by_Sentiment!G$2:G$37,"",0,1),0),$A398-TEXT(DATEVALUE($D398&amp;"-01"), "dd-mm-yyyy")),0),0)</f>
        <v>158</v>
      </c>
      <c r="H398" cm="1">
        <f t="array" ref="H398">IF($Q398&gt;=0,IFERROR(generateSalesData($D398, IF(ISNUMBER(_xlfn.XLOOKUP($C398,Phone_by_Sentiment!$B$2:$B$37,Phone_by_Sentiment!H$2:H$37,"",0,1)),_xlfn.XLOOKUP($C398,Phone_by_Sentiment!$B$2:$B$37,Phone_by_Sentiment!H$2:H$37,"",0,1),0),$A398-TEXT(DATEVALUE($D398&amp;"-01"), "dd-mm-yyyy")),0),0)</f>
        <v>836</v>
      </c>
      <c r="I398" cm="1">
        <f t="array" ref="I398">IF($Q398&gt;=0,IFERROR(generateSalesData($D398, IF(ISNUMBER(_xlfn.XLOOKUP($C398,Phone_by_Sentiment!$B$2:$B$37,Phone_by_Sentiment!I$2:I$37,"",0,1)),_xlfn.XLOOKUP($C398,Phone_by_Sentiment!$B$2:$B$37,Phone_by_Sentiment!I$2:I$37,"",0,1),0),$A398-TEXT(DATEVALUE($D398&amp;"-01"), "dd-mm-yyyy")),0),0)</f>
        <v>444</v>
      </c>
      <c r="J398" cm="1">
        <f t="array" ref="J398">IF($Q398&gt;=0,IFERROR(generateSalesData($D398, IF(ISNUMBER(_xlfn.XLOOKUP($C398,Phone_by_Sentiment!$B$2:$B$37,Phone_by_Sentiment!J$2:J$37,"",0,1)),_xlfn.XLOOKUP($C398,Phone_by_Sentiment!$B$2:$B$37,Phone_by_Sentiment!J$2:J$37,"",0,1),0),$A398-TEXT(DATEVALUE($D398&amp;"-01"), "dd-mm-yyyy")),0),0)</f>
        <v>109</v>
      </c>
      <c r="K398" cm="1">
        <f t="array" ref="K398">IF($Q398&gt;=0,IFERROR(generateSalesData($D398, IF(ISNUMBER(_xlfn.XLOOKUP($C398,Phone_by_Sentiment!$B$2:$B$37,Phone_by_Sentiment!K$2:K$37,"",0,1)),_xlfn.XLOOKUP($C398,Phone_by_Sentiment!$B$2:$B$37,Phone_by_Sentiment!K$2:K$37,"",0,1),0),$A398-TEXT(DATEVALUE($D398&amp;"-01"), "dd-mm-yyyy")),0),0)</f>
        <v>133</v>
      </c>
      <c r="L398" cm="1">
        <f t="array" ref="L398">IF($Q398&gt;=0,IFERROR(generateSalesData($D398, IF(ISNUMBER(_xlfn.XLOOKUP($C398,Phone_by_Sentiment!$B$2:$B$37,Phone_by_Sentiment!L$2:L$37,"",0,1)),_xlfn.XLOOKUP($C398,Phone_by_Sentiment!$B$2:$B$37,Phone_by_Sentiment!L$2:L$37,"",0,1),0),$A398-TEXT(DATEVALUE($D398&amp;"-01"), "dd-mm-yyyy")),0),0)</f>
        <v>57</v>
      </c>
      <c r="M398" cm="1">
        <f t="array" ref="M398">IF($Q398&gt;=0,IFERROR(generateSalesData($D398, IF(ISNUMBER(_xlfn.XLOOKUP($C398,Phone_by_Sentiment!$B$2:$B$37,Phone_by_Sentiment!M$2:M$37,"",0,1)),_xlfn.XLOOKUP($C398,Phone_by_Sentiment!$B$2:$B$37,Phone_by_Sentiment!M$2:M$37,"",0,1),0),$A398-TEXT(DATEVALUE($D398&amp;"-01"), "dd-mm-yyyy")),0),0)</f>
        <v>641</v>
      </c>
      <c r="N398" cm="1">
        <f t="array" ref="N398">IF($Q398&gt;=0,IFERROR(generateSalesData($D398, IF(ISNUMBER(_xlfn.XLOOKUP($C398,Phone_by_Sentiment!$B$2:$B$37,Phone_by_Sentiment!N$2:N$37,"",0,1)),_xlfn.XLOOKUP($C398,Phone_by_Sentiment!$B$2:$B$37,Phone_by_Sentiment!N$2:N$37,"",0,1),0),$A398-TEXT(DATEVALUE($D398&amp;"-01"), "dd-mm-yyyy")),0),0)</f>
        <v>178</v>
      </c>
      <c r="O398" cm="1">
        <f t="array" ref="O398">IF($Q398&gt;=0,IFERROR(generateSalesData($D398, IF(ISNUMBER(_xlfn.XLOOKUP($C398,Phone_by_Sentiment!$B$2:$B$37,Phone_by_Sentiment!O$2:O$37,"",0,1)),_xlfn.XLOOKUP($C398,Phone_by_Sentiment!$B$2:$B$37,Phone_by_Sentiment!O$2:O$37,"",0,1),0),$A398-TEXT(DATEVALUE($D398&amp;"-01"), "dd-mm-yyyy")),0),0)</f>
        <v>590</v>
      </c>
      <c r="P398" s="1">
        <f t="shared" si="16"/>
        <v>43374</v>
      </c>
      <c r="Q398">
        <f t="shared" si="17"/>
        <v>426</v>
      </c>
    </row>
    <row r="399" spans="1:17" x14ac:dyDescent="0.25">
      <c r="A399" s="1">
        <f t="shared" si="15"/>
        <v>43800</v>
      </c>
      <c r="B399" t="s">
        <v>142</v>
      </c>
      <c r="C399" t="str">
        <f>_xlfn.XLOOKUP(B399,Phone_by_Price!$A$2:$A$34,Phone_by_Price!$B$2:$B$34,"-",0,1)</f>
        <v>iPhone 11</v>
      </c>
      <c r="D399" t="str">
        <f>_xlfn.XLOOKUP(C399,Phone_by_Sentiment!$B$2:$B$37,Phone_by_Sentiment!$A$2:$A$37,"-",0,1)</f>
        <v>2019-09</v>
      </c>
      <c r="E399" cm="1">
        <f t="array" ref="E399">IF($Q399&gt;=0,IFERROR(generateSalesData($D399, IF(ISNUMBER(_xlfn.XLOOKUP($C399,Phone_by_Sentiment!$B$2:$B$37,Phone_by_Sentiment!E$2:E$37,"",0,1)),_xlfn.XLOOKUP($C399,Phone_by_Sentiment!$B$2:$B$37,Phone_by_Sentiment!E$2:E$37,"",0,1),0),$A399-TEXT(DATEVALUE($D399&amp;"-01"), "dd-mm-yyyy")),0),0)</f>
        <v>2378</v>
      </c>
      <c r="F399" cm="1">
        <f t="array" ref="F399">IF($Q399&gt;=0,IFERROR(generateSalesData($D399, IF(ISNUMBER(_xlfn.XLOOKUP($C399,Phone_by_Sentiment!$B$2:$B$37,Phone_by_Sentiment!F$2:F$37,"",0,1)),_xlfn.XLOOKUP($C399,Phone_by_Sentiment!$B$2:$B$37,Phone_by_Sentiment!F$2:F$37,"",0,1),0),$A399-TEXT(DATEVALUE($D399&amp;"-01"), "dd-mm-yyyy")),0),0)</f>
        <v>4717</v>
      </c>
      <c r="G399" cm="1">
        <f t="array" ref="G399">IF($Q399&gt;=0,IFERROR(generateSalesData($D399, IF(ISNUMBER(_xlfn.XLOOKUP($C399,Phone_by_Sentiment!$B$2:$B$37,Phone_by_Sentiment!G$2:G$37,"",0,1)),_xlfn.XLOOKUP($C399,Phone_by_Sentiment!$B$2:$B$37,Phone_by_Sentiment!G$2:G$37,"",0,1),0),$A399-TEXT(DATEVALUE($D399&amp;"-01"), "dd-mm-yyyy")),0),0)</f>
        <v>863</v>
      </c>
      <c r="H399" cm="1">
        <f t="array" ref="H399">IF($Q399&gt;=0,IFERROR(generateSalesData($D399, IF(ISNUMBER(_xlfn.XLOOKUP($C399,Phone_by_Sentiment!$B$2:$B$37,Phone_by_Sentiment!H$2:H$37,"",0,1)),_xlfn.XLOOKUP($C399,Phone_by_Sentiment!$B$2:$B$37,Phone_by_Sentiment!H$2:H$37,"",0,1),0),$A399-TEXT(DATEVALUE($D399&amp;"-01"), "dd-mm-yyyy")),0),0)</f>
        <v>1424</v>
      </c>
      <c r="I399" cm="1">
        <f t="array" ref="I399">IF($Q399&gt;=0,IFERROR(generateSalesData($D399, IF(ISNUMBER(_xlfn.XLOOKUP($C399,Phone_by_Sentiment!$B$2:$B$37,Phone_by_Sentiment!I$2:I$37,"",0,1)),_xlfn.XLOOKUP($C399,Phone_by_Sentiment!$B$2:$B$37,Phone_by_Sentiment!I$2:I$37,"",0,1),0),$A399-TEXT(DATEVALUE($D399&amp;"-01"), "dd-mm-yyyy")),0),0)</f>
        <v>4341</v>
      </c>
      <c r="J399" cm="1">
        <f t="array" ref="J399">IF($Q399&gt;=0,IFERROR(generateSalesData($D399, IF(ISNUMBER(_xlfn.XLOOKUP($C399,Phone_by_Sentiment!$B$2:$B$37,Phone_by_Sentiment!J$2:J$37,"",0,1)),_xlfn.XLOOKUP($C399,Phone_by_Sentiment!$B$2:$B$37,Phone_by_Sentiment!J$2:J$37,"",0,1),0),$A399-TEXT(DATEVALUE($D399&amp;"-01"), "dd-mm-yyyy")),0),0)</f>
        <v>2201</v>
      </c>
      <c r="K399" cm="1">
        <f t="array" ref="K399">IF($Q399&gt;=0,IFERROR(generateSalesData($D399, IF(ISNUMBER(_xlfn.XLOOKUP($C399,Phone_by_Sentiment!$B$2:$B$37,Phone_by_Sentiment!K$2:K$37,"",0,1)),_xlfn.XLOOKUP($C399,Phone_by_Sentiment!$B$2:$B$37,Phone_by_Sentiment!K$2:K$37,"",0,1),0),$A399-TEXT(DATEVALUE($D399&amp;"-01"), "dd-mm-yyyy")),0),0)</f>
        <v>235</v>
      </c>
      <c r="L399" cm="1">
        <f t="array" ref="L399">IF($Q399&gt;=0,IFERROR(generateSalesData($D399, IF(ISNUMBER(_xlfn.XLOOKUP($C399,Phone_by_Sentiment!$B$2:$B$37,Phone_by_Sentiment!L$2:L$37,"",0,1)),_xlfn.XLOOKUP($C399,Phone_by_Sentiment!$B$2:$B$37,Phone_by_Sentiment!L$2:L$37,"",0,1),0),$A399-TEXT(DATEVALUE($D399&amp;"-01"), "dd-mm-yyyy")),0),0)</f>
        <v>3038</v>
      </c>
      <c r="M399" cm="1">
        <f t="array" ref="M399">IF($Q399&gt;=0,IFERROR(generateSalesData($D399, IF(ISNUMBER(_xlfn.XLOOKUP($C399,Phone_by_Sentiment!$B$2:$B$37,Phone_by_Sentiment!M$2:M$37,"",0,1)),_xlfn.XLOOKUP($C399,Phone_by_Sentiment!$B$2:$B$37,Phone_by_Sentiment!M$2:M$37,"",0,1),0),$A399-TEXT(DATEVALUE($D399&amp;"-01"), "dd-mm-yyyy")),0),0)</f>
        <v>5055</v>
      </c>
      <c r="N399" cm="1">
        <f t="array" ref="N399">IF($Q399&gt;=0,IFERROR(generateSalesData($D399, IF(ISNUMBER(_xlfn.XLOOKUP($C399,Phone_by_Sentiment!$B$2:$B$37,Phone_by_Sentiment!N$2:N$37,"",0,1)),_xlfn.XLOOKUP($C399,Phone_by_Sentiment!$B$2:$B$37,Phone_by_Sentiment!N$2:N$37,"",0,1),0),$A399-TEXT(DATEVALUE($D399&amp;"-01"), "dd-mm-yyyy")),0),0)</f>
        <v>3686</v>
      </c>
      <c r="O399" cm="1">
        <f t="array" ref="O399">IF($Q399&gt;=0,IFERROR(generateSalesData($D399, IF(ISNUMBER(_xlfn.XLOOKUP($C399,Phone_by_Sentiment!$B$2:$B$37,Phone_by_Sentiment!O$2:O$37,"",0,1)),_xlfn.XLOOKUP($C399,Phone_by_Sentiment!$B$2:$B$37,Phone_by_Sentiment!O$2:O$37,"",0,1),0),$A399-TEXT(DATEVALUE($D399&amp;"-01"), "dd-mm-yyyy")),0),0)</f>
        <v>2874</v>
      </c>
      <c r="P399" s="1">
        <f t="shared" si="16"/>
        <v>43709</v>
      </c>
      <c r="Q399">
        <f t="shared" si="17"/>
        <v>91</v>
      </c>
    </row>
    <row r="400" spans="1:17" x14ac:dyDescent="0.25">
      <c r="A400" s="1">
        <f t="shared" si="15"/>
        <v>43800</v>
      </c>
      <c r="B400" t="s">
        <v>143</v>
      </c>
      <c r="C400" t="str">
        <f>_xlfn.XLOOKUP(B400,Phone_by_Price!$A$2:$A$34,Phone_by_Price!$B$2:$B$34,"-",0,1)</f>
        <v>Samsung Galaxy S20 Ultra</v>
      </c>
      <c r="D400" t="str">
        <f>_xlfn.XLOOKUP(C400,Phone_by_Sentiment!$B$2:$B$37,Phone_by_Sentiment!$A$2:$A$37,"-",0,1)</f>
        <v>2020-02</v>
      </c>
      <c r="E400" cm="1">
        <f t="array" ref="E400">IF($Q400&gt;=0,IFERROR(generateSalesData($D400, IF(ISNUMBER(_xlfn.XLOOKUP($C400,Phone_by_Sentiment!$B$2:$B$37,Phone_by_Sentiment!E$2:E$37,"",0,1)),_xlfn.XLOOKUP($C400,Phone_by_Sentiment!$B$2:$B$37,Phone_by_Sentiment!E$2:E$37,"",0,1),0),$A400-TEXT(DATEVALUE($D400&amp;"-01"), "dd-mm-yyyy")),0),0)</f>
        <v>0</v>
      </c>
      <c r="F400" cm="1">
        <f t="array" ref="F400">IF($Q400&gt;=0,IFERROR(generateSalesData($D400, IF(ISNUMBER(_xlfn.XLOOKUP($C400,Phone_by_Sentiment!$B$2:$B$37,Phone_by_Sentiment!F$2:F$37,"",0,1)),_xlfn.XLOOKUP($C400,Phone_by_Sentiment!$B$2:$B$37,Phone_by_Sentiment!F$2:F$37,"",0,1),0),$A400-TEXT(DATEVALUE($D400&amp;"-01"), "dd-mm-yyyy")),0),0)</f>
        <v>0</v>
      </c>
      <c r="G400" cm="1">
        <f t="array" ref="G400">IF($Q400&gt;=0,IFERROR(generateSalesData($D400, IF(ISNUMBER(_xlfn.XLOOKUP($C400,Phone_by_Sentiment!$B$2:$B$37,Phone_by_Sentiment!G$2:G$37,"",0,1)),_xlfn.XLOOKUP($C400,Phone_by_Sentiment!$B$2:$B$37,Phone_by_Sentiment!G$2:G$37,"",0,1),0),$A400-TEXT(DATEVALUE($D400&amp;"-01"), "dd-mm-yyyy")),0),0)</f>
        <v>0</v>
      </c>
      <c r="H400" cm="1">
        <f t="array" ref="H400">IF($Q400&gt;=0,IFERROR(generateSalesData($D400, IF(ISNUMBER(_xlfn.XLOOKUP($C400,Phone_by_Sentiment!$B$2:$B$37,Phone_by_Sentiment!H$2:H$37,"",0,1)),_xlfn.XLOOKUP($C400,Phone_by_Sentiment!$B$2:$B$37,Phone_by_Sentiment!H$2:H$37,"",0,1),0),$A400-TEXT(DATEVALUE($D400&amp;"-01"), "dd-mm-yyyy")),0),0)</f>
        <v>0</v>
      </c>
      <c r="I400" cm="1">
        <f t="array" ref="I400">IF($Q400&gt;=0,IFERROR(generateSalesData($D400, IF(ISNUMBER(_xlfn.XLOOKUP($C400,Phone_by_Sentiment!$B$2:$B$37,Phone_by_Sentiment!I$2:I$37,"",0,1)),_xlfn.XLOOKUP($C400,Phone_by_Sentiment!$B$2:$B$37,Phone_by_Sentiment!I$2:I$37,"",0,1),0),$A400-TEXT(DATEVALUE($D400&amp;"-01"), "dd-mm-yyyy")),0),0)</f>
        <v>0</v>
      </c>
      <c r="J400" cm="1">
        <f t="array" ref="J400">IF($Q400&gt;=0,IFERROR(generateSalesData($D400, IF(ISNUMBER(_xlfn.XLOOKUP($C400,Phone_by_Sentiment!$B$2:$B$37,Phone_by_Sentiment!J$2:J$37,"",0,1)),_xlfn.XLOOKUP($C400,Phone_by_Sentiment!$B$2:$B$37,Phone_by_Sentiment!J$2:J$37,"",0,1),0),$A400-TEXT(DATEVALUE($D400&amp;"-01"), "dd-mm-yyyy")),0),0)</f>
        <v>0</v>
      </c>
      <c r="K400" cm="1">
        <f t="array" ref="K400">IF($Q400&gt;=0,IFERROR(generateSalesData($D400, IF(ISNUMBER(_xlfn.XLOOKUP($C400,Phone_by_Sentiment!$B$2:$B$37,Phone_by_Sentiment!K$2:K$37,"",0,1)),_xlfn.XLOOKUP($C400,Phone_by_Sentiment!$B$2:$B$37,Phone_by_Sentiment!K$2:K$37,"",0,1),0),$A400-TEXT(DATEVALUE($D400&amp;"-01"), "dd-mm-yyyy")),0),0)</f>
        <v>0</v>
      </c>
      <c r="L400" cm="1">
        <f t="array" ref="L400">IF($Q400&gt;=0,IFERROR(generateSalesData($D400, IF(ISNUMBER(_xlfn.XLOOKUP($C400,Phone_by_Sentiment!$B$2:$B$37,Phone_by_Sentiment!L$2:L$37,"",0,1)),_xlfn.XLOOKUP($C400,Phone_by_Sentiment!$B$2:$B$37,Phone_by_Sentiment!L$2:L$37,"",0,1),0),$A400-TEXT(DATEVALUE($D400&amp;"-01"), "dd-mm-yyyy")),0),0)</f>
        <v>0</v>
      </c>
      <c r="M400" cm="1">
        <f t="array" ref="M400">IF($Q400&gt;=0,IFERROR(generateSalesData($D400, IF(ISNUMBER(_xlfn.XLOOKUP($C400,Phone_by_Sentiment!$B$2:$B$37,Phone_by_Sentiment!M$2:M$37,"",0,1)),_xlfn.XLOOKUP($C400,Phone_by_Sentiment!$B$2:$B$37,Phone_by_Sentiment!M$2:M$37,"",0,1),0),$A400-TEXT(DATEVALUE($D400&amp;"-01"), "dd-mm-yyyy")),0),0)</f>
        <v>0</v>
      </c>
      <c r="N400" cm="1">
        <f t="array" ref="N400">IF($Q400&gt;=0,IFERROR(generateSalesData($D400, IF(ISNUMBER(_xlfn.XLOOKUP($C400,Phone_by_Sentiment!$B$2:$B$37,Phone_by_Sentiment!N$2:N$37,"",0,1)),_xlfn.XLOOKUP($C400,Phone_by_Sentiment!$B$2:$B$37,Phone_by_Sentiment!N$2:N$37,"",0,1),0),$A400-TEXT(DATEVALUE($D400&amp;"-01"), "dd-mm-yyyy")),0),0)</f>
        <v>0</v>
      </c>
      <c r="O400" cm="1">
        <f t="array" ref="O400">IF($Q400&gt;=0,IFERROR(generateSalesData($D400, IF(ISNUMBER(_xlfn.XLOOKUP($C400,Phone_by_Sentiment!$B$2:$B$37,Phone_by_Sentiment!O$2:O$37,"",0,1)),_xlfn.XLOOKUP($C400,Phone_by_Sentiment!$B$2:$B$37,Phone_by_Sentiment!O$2:O$37,"",0,1),0),$A400-TEXT(DATEVALUE($D400&amp;"-01"), "dd-mm-yyyy")),0),0)</f>
        <v>0</v>
      </c>
      <c r="P400" s="1">
        <f t="shared" si="16"/>
        <v>43862</v>
      </c>
      <c r="Q400">
        <f t="shared" si="17"/>
        <v>-62</v>
      </c>
    </row>
    <row r="401" spans="1:17" x14ac:dyDescent="0.25">
      <c r="A401" s="1">
        <f t="shared" si="15"/>
        <v>43800</v>
      </c>
      <c r="B401" t="s">
        <v>144</v>
      </c>
      <c r="C401" t="str">
        <f>_xlfn.XLOOKUP(B401,Phone_by_Price!$A$2:$A$34,Phone_by_Price!$B$2:$B$34,"-",0,1)</f>
        <v>Xiaomi Redmi Note 10</v>
      </c>
      <c r="D401" t="str">
        <f>_xlfn.XLOOKUP(C401,Phone_by_Sentiment!$B$2:$B$37,Phone_by_Sentiment!$A$2:$A$37,"-",0,1)</f>
        <v>2021-03</v>
      </c>
      <c r="E401" cm="1">
        <f t="array" ref="E401">IF($Q401&gt;=0,IFERROR(generateSalesData($D401, IF(ISNUMBER(_xlfn.XLOOKUP($C401,Phone_by_Sentiment!$B$2:$B$37,Phone_by_Sentiment!E$2:E$37,"",0,1)),_xlfn.XLOOKUP($C401,Phone_by_Sentiment!$B$2:$B$37,Phone_by_Sentiment!E$2:E$37,"",0,1),0),$A401-TEXT(DATEVALUE($D401&amp;"-01"), "dd-mm-yyyy")),0),0)</f>
        <v>0</v>
      </c>
      <c r="F401" cm="1">
        <f t="array" ref="F401">IF($Q401&gt;=0,IFERROR(generateSalesData($D401, IF(ISNUMBER(_xlfn.XLOOKUP($C401,Phone_by_Sentiment!$B$2:$B$37,Phone_by_Sentiment!F$2:F$37,"",0,1)),_xlfn.XLOOKUP($C401,Phone_by_Sentiment!$B$2:$B$37,Phone_by_Sentiment!F$2:F$37,"",0,1),0),$A401-TEXT(DATEVALUE($D401&amp;"-01"), "dd-mm-yyyy")),0),0)</f>
        <v>0</v>
      </c>
      <c r="G401" cm="1">
        <f t="array" ref="G401">IF($Q401&gt;=0,IFERROR(generateSalesData($D401, IF(ISNUMBER(_xlfn.XLOOKUP($C401,Phone_by_Sentiment!$B$2:$B$37,Phone_by_Sentiment!G$2:G$37,"",0,1)),_xlfn.XLOOKUP($C401,Phone_by_Sentiment!$B$2:$B$37,Phone_by_Sentiment!G$2:G$37,"",0,1),0),$A401-TEXT(DATEVALUE($D401&amp;"-01"), "dd-mm-yyyy")),0),0)</f>
        <v>0</v>
      </c>
      <c r="H401" cm="1">
        <f t="array" ref="H401">IF($Q401&gt;=0,IFERROR(generateSalesData($D401, IF(ISNUMBER(_xlfn.XLOOKUP($C401,Phone_by_Sentiment!$B$2:$B$37,Phone_by_Sentiment!H$2:H$37,"",0,1)),_xlfn.XLOOKUP($C401,Phone_by_Sentiment!$B$2:$B$37,Phone_by_Sentiment!H$2:H$37,"",0,1),0),$A401-TEXT(DATEVALUE($D401&amp;"-01"), "dd-mm-yyyy")),0),0)</f>
        <v>0</v>
      </c>
      <c r="I401" cm="1">
        <f t="array" ref="I401">IF($Q401&gt;=0,IFERROR(generateSalesData($D401, IF(ISNUMBER(_xlfn.XLOOKUP($C401,Phone_by_Sentiment!$B$2:$B$37,Phone_by_Sentiment!I$2:I$37,"",0,1)),_xlfn.XLOOKUP($C401,Phone_by_Sentiment!$B$2:$B$37,Phone_by_Sentiment!I$2:I$37,"",0,1),0),$A401-TEXT(DATEVALUE($D401&amp;"-01"), "dd-mm-yyyy")),0),0)</f>
        <v>0</v>
      </c>
      <c r="J401" cm="1">
        <f t="array" ref="J401">IF($Q401&gt;=0,IFERROR(generateSalesData($D401, IF(ISNUMBER(_xlfn.XLOOKUP($C401,Phone_by_Sentiment!$B$2:$B$37,Phone_by_Sentiment!J$2:J$37,"",0,1)),_xlfn.XLOOKUP($C401,Phone_by_Sentiment!$B$2:$B$37,Phone_by_Sentiment!J$2:J$37,"",0,1),0),$A401-TEXT(DATEVALUE($D401&amp;"-01"), "dd-mm-yyyy")),0),0)</f>
        <v>0</v>
      </c>
      <c r="K401" cm="1">
        <f t="array" ref="K401">IF($Q401&gt;=0,IFERROR(generateSalesData($D401, IF(ISNUMBER(_xlfn.XLOOKUP($C401,Phone_by_Sentiment!$B$2:$B$37,Phone_by_Sentiment!K$2:K$37,"",0,1)),_xlfn.XLOOKUP($C401,Phone_by_Sentiment!$B$2:$B$37,Phone_by_Sentiment!K$2:K$37,"",0,1),0),$A401-TEXT(DATEVALUE($D401&amp;"-01"), "dd-mm-yyyy")),0),0)</f>
        <v>0</v>
      </c>
      <c r="L401" cm="1">
        <f t="array" ref="L401">IF($Q401&gt;=0,IFERROR(generateSalesData($D401, IF(ISNUMBER(_xlfn.XLOOKUP($C401,Phone_by_Sentiment!$B$2:$B$37,Phone_by_Sentiment!L$2:L$37,"",0,1)),_xlfn.XLOOKUP($C401,Phone_by_Sentiment!$B$2:$B$37,Phone_by_Sentiment!L$2:L$37,"",0,1),0),$A401-TEXT(DATEVALUE($D401&amp;"-01"), "dd-mm-yyyy")),0),0)</f>
        <v>0</v>
      </c>
      <c r="M401" cm="1">
        <f t="array" ref="M401">IF($Q401&gt;=0,IFERROR(generateSalesData($D401, IF(ISNUMBER(_xlfn.XLOOKUP($C401,Phone_by_Sentiment!$B$2:$B$37,Phone_by_Sentiment!M$2:M$37,"",0,1)),_xlfn.XLOOKUP($C401,Phone_by_Sentiment!$B$2:$B$37,Phone_by_Sentiment!M$2:M$37,"",0,1),0),$A401-TEXT(DATEVALUE($D401&amp;"-01"), "dd-mm-yyyy")),0),0)</f>
        <v>0</v>
      </c>
      <c r="N401" cm="1">
        <f t="array" ref="N401">IF($Q401&gt;=0,IFERROR(generateSalesData($D401, IF(ISNUMBER(_xlfn.XLOOKUP($C401,Phone_by_Sentiment!$B$2:$B$37,Phone_by_Sentiment!N$2:N$37,"",0,1)),_xlfn.XLOOKUP($C401,Phone_by_Sentiment!$B$2:$B$37,Phone_by_Sentiment!N$2:N$37,"",0,1),0),$A401-TEXT(DATEVALUE($D401&amp;"-01"), "dd-mm-yyyy")),0),0)</f>
        <v>0</v>
      </c>
      <c r="O401" cm="1">
        <f t="array" ref="O401">IF($Q401&gt;=0,IFERROR(generateSalesData($D401, IF(ISNUMBER(_xlfn.XLOOKUP($C401,Phone_by_Sentiment!$B$2:$B$37,Phone_by_Sentiment!O$2:O$37,"",0,1)),_xlfn.XLOOKUP($C401,Phone_by_Sentiment!$B$2:$B$37,Phone_by_Sentiment!O$2:O$37,"",0,1),0),$A401-TEXT(DATEVALUE($D401&amp;"-01"), "dd-mm-yyyy")),0),0)</f>
        <v>0</v>
      </c>
      <c r="P401" s="1">
        <f t="shared" si="16"/>
        <v>44256</v>
      </c>
      <c r="Q401">
        <f t="shared" si="17"/>
        <v>-456</v>
      </c>
    </row>
    <row r="402" spans="1:17" x14ac:dyDescent="0.25">
      <c r="A402" s="1">
        <f t="shared" si="15"/>
        <v>43800</v>
      </c>
      <c r="B402" t="s">
        <v>145</v>
      </c>
      <c r="C402" t="str">
        <f>_xlfn.XLOOKUP(B402,Phone_by_Price!$A$2:$A$34,Phone_by_Price!$B$2:$B$34,"-",0,1)</f>
        <v>OPPO A54</v>
      </c>
      <c r="D402" t="str">
        <f>_xlfn.XLOOKUP(C402,Phone_by_Sentiment!$B$2:$B$37,Phone_by_Sentiment!$A$2:$A$37,"-",0,1)</f>
        <v>2021-04</v>
      </c>
      <c r="E402" cm="1">
        <f t="array" ref="E402">IF($Q402&gt;=0,IFERROR(generateSalesData($D402, IF(ISNUMBER(_xlfn.XLOOKUP($C402,Phone_by_Sentiment!$B$2:$B$37,Phone_by_Sentiment!E$2:E$37,"",0,1)),_xlfn.XLOOKUP($C402,Phone_by_Sentiment!$B$2:$B$37,Phone_by_Sentiment!E$2:E$37,"",0,1),0),$A402-TEXT(DATEVALUE($D402&amp;"-01"), "dd-mm-yyyy")),0),0)</f>
        <v>0</v>
      </c>
      <c r="F402" cm="1">
        <f t="array" ref="F402">IF($Q402&gt;=0,IFERROR(generateSalesData($D402, IF(ISNUMBER(_xlfn.XLOOKUP($C402,Phone_by_Sentiment!$B$2:$B$37,Phone_by_Sentiment!F$2:F$37,"",0,1)),_xlfn.XLOOKUP($C402,Phone_by_Sentiment!$B$2:$B$37,Phone_by_Sentiment!F$2:F$37,"",0,1),0),$A402-TEXT(DATEVALUE($D402&amp;"-01"), "dd-mm-yyyy")),0),0)</f>
        <v>0</v>
      </c>
      <c r="G402" cm="1">
        <f t="array" ref="G402">IF($Q402&gt;=0,IFERROR(generateSalesData($D402, IF(ISNUMBER(_xlfn.XLOOKUP($C402,Phone_by_Sentiment!$B$2:$B$37,Phone_by_Sentiment!G$2:G$37,"",0,1)),_xlfn.XLOOKUP($C402,Phone_by_Sentiment!$B$2:$B$37,Phone_by_Sentiment!G$2:G$37,"",0,1),0),$A402-TEXT(DATEVALUE($D402&amp;"-01"), "dd-mm-yyyy")),0),0)</f>
        <v>0</v>
      </c>
      <c r="H402" cm="1">
        <f t="array" ref="H402">IF($Q402&gt;=0,IFERROR(generateSalesData($D402, IF(ISNUMBER(_xlfn.XLOOKUP($C402,Phone_by_Sentiment!$B$2:$B$37,Phone_by_Sentiment!H$2:H$37,"",0,1)),_xlfn.XLOOKUP($C402,Phone_by_Sentiment!$B$2:$B$37,Phone_by_Sentiment!H$2:H$37,"",0,1),0),$A402-TEXT(DATEVALUE($D402&amp;"-01"), "dd-mm-yyyy")),0),0)</f>
        <v>0</v>
      </c>
      <c r="I402" cm="1">
        <f t="array" ref="I402">IF($Q402&gt;=0,IFERROR(generateSalesData($D402, IF(ISNUMBER(_xlfn.XLOOKUP($C402,Phone_by_Sentiment!$B$2:$B$37,Phone_by_Sentiment!I$2:I$37,"",0,1)),_xlfn.XLOOKUP($C402,Phone_by_Sentiment!$B$2:$B$37,Phone_by_Sentiment!I$2:I$37,"",0,1),0),$A402-TEXT(DATEVALUE($D402&amp;"-01"), "dd-mm-yyyy")),0),0)</f>
        <v>0</v>
      </c>
      <c r="J402" cm="1">
        <f t="array" ref="J402">IF($Q402&gt;=0,IFERROR(generateSalesData($D402, IF(ISNUMBER(_xlfn.XLOOKUP($C402,Phone_by_Sentiment!$B$2:$B$37,Phone_by_Sentiment!J$2:J$37,"",0,1)),_xlfn.XLOOKUP($C402,Phone_by_Sentiment!$B$2:$B$37,Phone_by_Sentiment!J$2:J$37,"",0,1),0),$A402-TEXT(DATEVALUE($D402&amp;"-01"), "dd-mm-yyyy")),0),0)</f>
        <v>0</v>
      </c>
      <c r="K402" cm="1">
        <f t="array" ref="K402">IF($Q402&gt;=0,IFERROR(generateSalesData($D402, IF(ISNUMBER(_xlfn.XLOOKUP($C402,Phone_by_Sentiment!$B$2:$B$37,Phone_by_Sentiment!K$2:K$37,"",0,1)),_xlfn.XLOOKUP($C402,Phone_by_Sentiment!$B$2:$B$37,Phone_by_Sentiment!K$2:K$37,"",0,1),0),$A402-TEXT(DATEVALUE($D402&amp;"-01"), "dd-mm-yyyy")),0),0)</f>
        <v>0</v>
      </c>
      <c r="L402" cm="1">
        <f t="array" ref="L402">IF($Q402&gt;=0,IFERROR(generateSalesData($D402, IF(ISNUMBER(_xlfn.XLOOKUP($C402,Phone_by_Sentiment!$B$2:$B$37,Phone_by_Sentiment!L$2:L$37,"",0,1)),_xlfn.XLOOKUP($C402,Phone_by_Sentiment!$B$2:$B$37,Phone_by_Sentiment!L$2:L$37,"",0,1),0),$A402-TEXT(DATEVALUE($D402&amp;"-01"), "dd-mm-yyyy")),0),0)</f>
        <v>0</v>
      </c>
      <c r="M402" cm="1">
        <f t="array" ref="M402">IF($Q402&gt;=0,IFERROR(generateSalesData($D402, IF(ISNUMBER(_xlfn.XLOOKUP($C402,Phone_by_Sentiment!$B$2:$B$37,Phone_by_Sentiment!M$2:M$37,"",0,1)),_xlfn.XLOOKUP($C402,Phone_by_Sentiment!$B$2:$B$37,Phone_by_Sentiment!M$2:M$37,"",0,1),0),$A402-TEXT(DATEVALUE($D402&amp;"-01"), "dd-mm-yyyy")),0),0)</f>
        <v>0</v>
      </c>
      <c r="N402" cm="1">
        <f t="array" ref="N402">IF($Q402&gt;=0,IFERROR(generateSalesData($D402, IF(ISNUMBER(_xlfn.XLOOKUP($C402,Phone_by_Sentiment!$B$2:$B$37,Phone_by_Sentiment!N$2:N$37,"",0,1)),_xlfn.XLOOKUP($C402,Phone_by_Sentiment!$B$2:$B$37,Phone_by_Sentiment!N$2:N$37,"",0,1),0),$A402-TEXT(DATEVALUE($D402&amp;"-01"), "dd-mm-yyyy")),0),0)</f>
        <v>0</v>
      </c>
      <c r="O402" cm="1">
        <f t="array" ref="O402">IF($Q402&gt;=0,IFERROR(generateSalesData($D402, IF(ISNUMBER(_xlfn.XLOOKUP($C402,Phone_by_Sentiment!$B$2:$B$37,Phone_by_Sentiment!O$2:O$37,"",0,1)),_xlfn.XLOOKUP($C402,Phone_by_Sentiment!$B$2:$B$37,Phone_by_Sentiment!O$2:O$37,"",0,1),0),$A402-TEXT(DATEVALUE($D402&amp;"-01"), "dd-mm-yyyy")),0),0)</f>
        <v>0</v>
      </c>
      <c r="P402" s="1">
        <f t="shared" si="16"/>
        <v>44287</v>
      </c>
      <c r="Q402">
        <f t="shared" si="17"/>
        <v>-487</v>
      </c>
    </row>
    <row r="403" spans="1:17" x14ac:dyDescent="0.25">
      <c r="A403" s="1">
        <f t="shared" si="15"/>
        <v>43800</v>
      </c>
      <c r="B403" t="s">
        <v>146</v>
      </c>
      <c r="C403" t="str">
        <f>_xlfn.XLOOKUP(B403,Phone_by_Price!$A$2:$A$34,Phone_by_Price!$B$2:$B$34,"-",0,1)</f>
        <v>Vivo Y20</v>
      </c>
      <c r="D403" t="str">
        <f>_xlfn.XLOOKUP(C403,Phone_by_Sentiment!$B$2:$B$37,Phone_by_Sentiment!$A$2:$A$37,"-",0,1)</f>
        <v>2020-09</v>
      </c>
      <c r="E403" cm="1">
        <f t="array" ref="E403">IF($Q403&gt;=0,IFERROR(generateSalesData($D403, IF(ISNUMBER(_xlfn.XLOOKUP($C403,Phone_by_Sentiment!$B$2:$B$37,Phone_by_Sentiment!E$2:E$37,"",0,1)),_xlfn.XLOOKUP($C403,Phone_by_Sentiment!$B$2:$B$37,Phone_by_Sentiment!E$2:E$37,"",0,1),0),$A403-TEXT(DATEVALUE($D403&amp;"-01"), "dd-mm-yyyy")),0),0)</f>
        <v>0</v>
      </c>
      <c r="F403" cm="1">
        <f t="array" ref="F403">IF($Q403&gt;=0,IFERROR(generateSalesData($D403, IF(ISNUMBER(_xlfn.XLOOKUP($C403,Phone_by_Sentiment!$B$2:$B$37,Phone_by_Sentiment!F$2:F$37,"",0,1)),_xlfn.XLOOKUP($C403,Phone_by_Sentiment!$B$2:$B$37,Phone_by_Sentiment!F$2:F$37,"",0,1),0),$A403-TEXT(DATEVALUE($D403&amp;"-01"), "dd-mm-yyyy")),0),0)</f>
        <v>0</v>
      </c>
      <c r="G403" cm="1">
        <f t="array" ref="G403">IF($Q403&gt;=0,IFERROR(generateSalesData($D403, IF(ISNUMBER(_xlfn.XLOOKUP($C403,Phone_by_Sentiment!$B$2:$B$37,Phone_by_Sentiment!G$2:G$37,"",0,1)),_xlfn.XLOOKUP($C403,Phone_by_Sentiment!$B$2:$B$37,Phone_by_Sentiment!G$2:G$37,"",0,1),0),$A403-TEXT(DATEVALUE($D403&amp;"-01"), "dd-mm-yyyy")),0),0)</f>
        <v>0</v>
      </c>
      <c r="H403" cm="1">
        <f t="array" ref="H403">IF($Q403&gt;=0,IFERROR(generateSalesData($D403, IF(ISNUMBER(_xlfn.XLOOKUP($C403,Phone_by_Sentiment!$B$2:$B$37,Phone_by_Sentiment!H$2:H$37,"",0,1)),_xlfn.XLOOKUP($C403,Phone_by_Sentiment!$B$2:$B$37,Phone_by_Sentiment!H$2:H$37,"",0,1),0),$A403-TEXT(DATEVALUE($D403&amp;"-01"), "dd-mm-yyyy")),0),0)</f>
        <v>0</v>
      </c>
      <c r="I403" cm="1">
        <f t="array" ref="I403">IF($Q403&gt;=0,IFERROR(generateSalesData($D403, IF(ISNUMBER(_xlfn.XLOOKUP($C403,Phone_by_Sentiment!$B$2:$B$37,Phone_by_Sentiment!I$2:I$37,"",0,1)),_xlfn.XLOOKUP($C403,Phone_by_Sentiment!$B$2:$B$37,Phone_by_Sentiment!I$2:I$37,"",0,1),0),$A403-TEXT(DATEVALUE($D403&amp;"-01"), "dd-mm-yyyy")),0),0)</f>
        <v>0</v>
      </c>
      <c r="J403" cm="1">
        <f t="array" ref="J403">IF($Q403&gt;=0,IFERROR(generateSalesData($D403, IF(ISNUMBER(_xlfn.XLOOKUP($C403,Phone_by_Sentiment!$B$2:$B$37,Phone_by_Sentiment!J$2:J$37,"",0,1)),_xlfn.XLOOKUP($C403,Phone_by_Sentiment!$B$2:$B$37,Phone_by_Sentiment!J$2:J$37,"",0,1),0),$A403-TEXT(DATEVALUE($D403&amp;"-01"), "dd-mm-yyyy")),0),0)</f>
        <v>0</v>
      </c>
      <c r="K403" cm="1">
        <f t="array" ref="K403">IF($Q403&gt;=0,IFERROR(generateSalesData($D403, IF(ISNUMBER(_xlfn.XLOOKUP($C403,Phone_by_Sentiment!$B$2:$B$37,Phone_by_Sentiment!K$2:K$37,"",0,1)),_xlfn.XLOOKUP($C403,Phone_by_Sentiment!$B$2:$B$37,Phone_by_Sentiment!K$2:K$37,"",0,1),0),$A403-TEXT(DATEVALUE($D403&amp;"-01"), "dd-mm-yyyy")),0),0)</f>
        <v>0</v>
      </c>
      <c r="L403" cm="1">
        <f t="array" ref="L403">IF($Q403&gt;=0,IFERROR(generateSalesData($D403, IF(ISNUMBER(_xlfn.XLOOKUP($C403,Phone_by_Sentiment!$B$2:$B$37,Phone_by_Sentiment!L$2:L$37,"",0,1)),_xlfn.XLOOKUP($C403,Phone_by_Sentiment!$B$2:$B$37,Phone_by_Sentiment!L$2:L$37,"",0,1),0),$A403-TEXT(DATEVALUE($D403&amp;"-01"), "dd-mm-yyyy")),0),0)</f>
        <v>0</v>
      </c>
      <c r="M403" cm="1">
        <f t="array" ref="M403">IF($Q403&gt;=0,IFERROR(generateSalesData($D403, IF(ISNUMBER(_xlfn.XLOOKUP($C403,Phone_by_Sentiment!$B$2:$B$37,Phone_by_Sentiment!M$2:M$37,"",0,1)),_xlfn.XLOOKUP($C403,Phone_by_Sentiment!$B$2:$B$37,Phone_by_Sentiment!M$2:M$37,"",0,1),0),$A403-TEXT(DATEVALUE($D403&amp;"-01"), "dd-mm-yyyy")),0),0)</f>
        <v>0</v>
      </c>
      <c r="N403" cm="1">
        <f t="array" ref="N403">IF($Q403&gt;=0,IFERROR(generateSalesData($D403, IF(ISNUMBER(_xlfn.XLOOKUP($C403,Phone_by_Sentiment!$B$2:$B$37,Phone_by_Sentiment!N$2:N$37,"",0,1)),_xlfn.XLOOKUP($C403,Phone_by_Sentiment!$B$2:$B$37,Phone_by_Sentiment!N$2:N$37,"",0,1),0),$A403-TEXT(DATEVALUE($D403&amp;"-01"), "dd-mm-yyyy")),0),0)</f>
        <v>0</v>
      </c>
      <c r="O403" cm="1">
        <f t="array" ref="O403">IF($Q403&gt;=0,IFERROR(generateSalesData($D403, IF(ISNUMBER(_xlfn.XLOOKUP($C403,Phone_by_Sentiment!$B$2:$B$37,Phone_by_Sentiment!O$2:O$37,"",0,1)),_xlfn.XLOOKUP($C403,Phone_by_Sentiment!$B$2:$B$37,Phone_by_Sentiment!O$2:O$37,"",0,1),0),$A403-TEXT(DATEVALUE($D403&amp;"-01"), "dd-mm-yyyy")),0),0)</f>
        <v>0</v>
      </c>
      <c r="P403" s="1">
        <f t="shared" si="16"/>
        <v>44075</v>
      </c>
      <c r="Q403">
        <f t="shared" si="17"/>
        <v>-275</v>
      </c>
    </row>
    <row r="404" spans="1:17" x14ac:dyDescent="0.25">
      <c r="A404" s="1">
        <f t="shared" si="15"/>
        <v>43800</v>
      </c>
      <c r="B404" t="s">
        <v>147</v>
      </c>
      <c r="C404" t="str">
        <f>_xlfn.XLOOKUP(B404,Phone_by_Price!$A$2:$A$34,Phone_by_Price!$B$2:$B$34,"-",0,1)</f>
        <v>Huawei Y9a</v>
      </c>
      <c r="D404" t="str">
        <f>_xlfn.XLOOKUP(C404,Phone_by_Sentiment!$B$2:$B$37,Phone_by_Sentiment!$A$2:$A$37,"-",0,1)</f>
        <v>2020-02</v>
      </c>
      <c r="E404" cm="1">
        <f t="array" ref="E404">IF($Q404&gt;=0,IFERROR(generateSalesData($D404, IF(ISNUMBER(_xlfn.XLOOKUP($C404,Phone_by_Sentiment!$B$2:$B$37,Phone_by_Sentiment!E$2:E$37,"",0,1)),_xlfn.XLOOKUP($C404,Phone_by_Sentiment!$B$2:$B$37,Phone_by_Sentiment!E$2:E$37,"",0,1),0),$A404-TEXT(DATEVALUE($D404&amp;"-01"), "dd-mm-yyyy")),0),0)</f>
        <v>0</v>
      </c>
      <c r="F404" cm="1">
        <f t="array" ref="F404">IF($Q404&gt;=0,IFERROR(generateSalesData($D404, IF(ISNUMBER(_xlfn.XLOOKUP($C404,Phone_by_Sentiment!$B$2:$B$37,Phone_by_Sentiment!F$2:F$37,"",0,1)),_xlfn.XLOOKUP($C404,Phone_by_Sentiment!$B$2:$B$37,Phone_by_Sentiment!F$2:F$37,"",0,1),0),$A404-TEXT(DATEVALUE($D404&amp;"-01"), "dd-mm-yyyy")),0),0)</f>
        <v>0</v>
      </c>
      <c r="G404" cm="1">
        <f t="array" ref="G404">IF($Q404&gt;=0,IFERROR(generateSalesData($D404, IF(ISNUMBER(_xlfn.XLOOKUP($C404,Phone_by_Sentiment!$B$2:$B$37,Phone_by_Sentiment!G$2:G$37,"",0,1)),_xlfn.XLOOKUP($C404,Phone_by_Sentiment!$B$2:$B$37,Phone_by_Sentiment!G$2:G$37,"",0,1),0),$A404-TEXT(DATEVALUE($D404&amp;"-01"), "dd-mm-yyyy")),0),0)</f>
        <v>0</v>
      </c>
      <c r="H404" cm="1">
        <f t="array" ref="H404">IF($Q404&gt;=0,IFERROR(generateSalesData($D404, IF(ISNUMBER(_xlfn.XLOOKUP($C404,Phone_by_Sentiment!$B$2:$B$37,Phone_by_Sentiment!H$2:H$37,"",0,1)),_xlfn.XLOOKUP($C404,Phone_by_Sentiment!$B$2:$B$37,Phone_by_Sentiment!H$2:H$37,"",0,1),0),$A404-TEXT(DATEVALUE($D404&amp;"-01"), "dd-mm-yyyy")),0),0)</f>
        <v>0</v>
      </c>
      <c r="I404" cm="1">
        <f t="array" ref="I404">IF($Q404&gt;=0,IFERROR(generateSalesData($D404, IF(ISNUMBER(_xlfn.XLOOKUP($C404,Phone_by_Sentiment!$B$2:$B$37,Phone_by_Sentiment!I$2:I$37,"",0,1)),_xlfn.XLOOKUP($C404,Phone_by_Sentiment!$B$2:$B$37,Phone_by_Sentiment!I$2:I$37,"",0,1),0),$A404-TEXT(DATEVALUE($D404&amp;"-01"), "dd-mm-yyyy")),0),0)</f>
        <v>0</v>
      </c>
      <c r="J404" cm="1">
        <f t="array" ref="J404">IF($Q404&gt;=0,IFERROR(generateSalesData($D404, IF(ISNUMBER(_xlfn.XLOOKUP($C404,Phone_by_Sentiment!$B$2:$B$37,Phone_by_Sentiment!J$2:J$37,"",0,1)),_xlfn.XLOOKUP($C404,Phone_by_Sentiment!$B$2:$B$37,Phone_by_Sentiment!J$2:J$37,"",0,1),0),$A404-TEXT(DATEVALUE($D404&amp;"-01"), "dd-mm-yyyy")),0),0)</f>
        <v>0</v>
      </c>
      <c r="K404" cm="1">
        <f t="array" ref="K404">IF($Q404&gt;=0,IFERROR(generateSalesData($D404, IF(ISNUMBER(_xlfn.XLOOKUP($C404,Phone_by_Sentiment!$B$2:$B$37,Phone_by_Sentiment!K$2:K$37,"",0,1)),_xlfn.XLOOKUP($C404,Phone_by_Sentiment!$B$2:$B$37,Phone_by_Sentiment!K$2:K$37,"",0,1),0),$A404-TEXT(DATEVALUE($D404&amp;"-01"), "dd-mm-yyyy")),0),0)</f>
        <v>0</v>
      </c>
      <c r="L404" cm="1">
        <f t="array" ref="L404">IF($Q404&gt;=0,IFERROR(generateSalesData($D404, IF(ISNUMBER(_xlfn.XLOOKUP($C404,Phone_by_Sentiment!$B$2:$B$37,Phone_by_Sentiment!L$2:L$37,"",0,1)),_xlfn.XLOOKUP($C404,Phone_by_Sentiment!$B$2:$B$37,Phone_by_Sentiment!L$2:L$37,"",0,1),0),$A404-TEXT(DATEVALUE($D404&amp;"-01"), "dd-mm-yyyy")),0),0)</f>
        <v>0</v>
      </c>
      <c r="M404" cm="1">
        <f t="array" ref="M404">IF($Q404&gt;=0,IFERROR(generateSalesData($D404, IF(ISNUMBER(_xlfn.XLOOKUP($C404,Phone_by_Sentiment!$B$2:$B$37,Phone_by_Sentiment!M$2:M$37,"",0,1)),_xlfn.XLOOKUP($C404,Phone_by_Sentiment!$B$2:$B$37,Phone_by_Sentiment!M$2:M$37,"",0,1),0),$A404-TEXT(DATEVALUE($D404&amp;"-01"), "dd-mm-yyyy")),0),0)</f>
        <v>0</v>
      </c>
      <c r="N404" cm="1">
        <f t="array" ref="N404">IF($Q404&gt;=0,IFERROR(generateSalesData($D404, IF(ISNUMBER(_xlfn.XLOOKUP($C404,Phone_by_Sentiment!$B$2:$B$37,Phone_by_Sentiment!N$2:N$37,"",0,1)),_xlfn.XLOOKUP($C404,Phone_by_Sentiment!$B$2:$B$37,Phone_by_Sentiment!N$2:N$37,"",0,1),0),$A404-TEXT(DATEVALUE($D404&amp;"-01"), "dd-mm-yyyy")),0),0)</f>
        <v>0</v>
      </c>
      <c r="O404" cm="1">
        <f t="array" ref="O404">IF($Q404&gt;=0,IFERROR(generateSalesData($D404, IF(ISNUMBER(_xlfn.XLOOKUP($C404,Phone_by_Sentiment!$B$2:$B$37,Phone_by_Sentiment!O$2:O$37,"",0,1)),_xlfn.XLOOKUP($C404,Phone_by_Sentiment!$B$2:$B$37,Phone_by_Sentiment!O$2:O$37,"",0,1),0),$A404-TEXT(DATEVALUE($D404&amp;"-01"), "dd-mm-yyyy")),0),0)</f>
        <v>0</v>
      </c>
      <c r="P404" s="1">
        <f t="shared" si="16"/>
        <v>43862</v>
      </c>
      <c r="Q404">
        <f t="shared" si="17"/>
        <v>-62</v>
      </c>
    </row>
    <row r="405" spans="1:17" x14ac:dyDescent="0.25">
      <c r="A405" s="1">
        <f t="shared" si="15"/>
        <v>43800</v>
      </c>
      <c r="B405" t="s">
        <v>148</v>
      </c>
      <c r="C405" t="str">
        <f>_xlfn.XLOOKUP(B405,Phone_by_Price!$A$2:$A$34,Phone_by_Price!$B$2:$B$34,"-",0,1)</f>
        <v>Xiaomi Redmi 10</v>
      </c>
      <c r="D405" t="str">
        <f>_xlfn.XLOOKUP(C405,Phone_by_Sentiment!$B$2:$B$37,Phone_by_Sentiment!$A$2:$A$37,"-",0,1)</f>
        <v>2021-03</v>
      </c>
      <c r="E405" cm="1">
        <f t="array" ref="E405">IF($Q405&gt;=0,IFERROR(generateSalesData($D405, IF(ISNUMBER(_xlfn.XLOOKUP($C405,Phone_by_Sentiment!$B$2:$B$37,Phone_by_Sentiment!E$2:E$37,"",0,1)),_xlfn.XLOOKUP($C405,Phone_by_Sentiment!$B$2:$B$37,Phone_by_Sentiment!E$2:E$37,"",0,1),0),$A405-TEXT(DATEVALUE($D405&amp;"-01"), "dd-mm-yyyy")),0),0)</f>
        <v>0</v>
      </c>
      <c r="F405" cm="1">
        <f t="array" ref="F405">IF($Q405&gt;=0,IFERROR(generateSalesData($D405, IF(ISNUMBER(_xlfn.XLOOKUP($C405,Phone_by_Sentiment!$B$2:$B$37,Phone_by_Sentiment!F$2:F$37,"",0,1)),_xlfn.XLOOKUP($C405,Phone_by_Sentiment!$B$2:$B$37,Phone_by_Sentiment!F$2:F$37,"",0,1),0),$A405-TEXT(DATEVALUE($D405&amp;"-01"), "dd-mm-yyyy")),0),0)</f>
        <v>0</v>
      </c>
      <c r="G405" cm="1">
        <f t="array" ref="G405">IF($Q405&gt;=0,IFERROR(generateSalesData($D405, IF(ISNUMBER(_xlfn.XLOOKUP($C405,Phone_by_Sentiment!$B$2:$B$37,Phone_by_Sentiment!G$2:G$37,"",0,1)),_xlfn.XLOOKUP($C405,Phone_by_Sentiment!$B$2:$B$37,Phone_by_Sentiment!G$2:G$37,"",0,1),0),$A405-TEXT(DATEVALUE($D405&amp;"-01"), "dd-mm-yyyy")),0),0)</f>
        <v>0</v>
      </c>
      <c r="H405" cm="1">
        <f t="array" ref="H405">IF($Q405&gt;=0,IFERROR(generateSalesData($D405, IF(ISNUMBER(_xlfn.XLOOKUP($C405,Phone_by_Sentiment!$B$2:$B$37,Phone_by_Sentiment!H$2:H$37,"",0,1)),_xlfn.XLOOKUP($C405,Phone_by_Sentiment!$B$2:$B$37,Phone_by_Sentiment!H$2:H$37,"",0,1),0),$A405-TEXT(DATEVALUE($D405&amp;"-01"), "dd-mm-yyyy")),0),0)</f>
        <v>0</v>
      </c>
      <c r="I405" cm="1">
        <f t="array" ref="I405">IF($Q405&gt;=0,IFERROR(generateSalesData($D405, IF(ISNUMBER(_xlfn.XLOOKUP($C405,Phone_by_Sentiment!$B$2:$B$37,Phone_by_Sentiment!I$2:I$37,"",0,1)),_xlfn.XLOOKUP($C405,Phone_by_Sentiment!$B$2:$B$37,Phone_by_Sentiment!I$2:I$37,"",0,1),0),$A405-TEXT(DATEVALUE($D405&amp;"-01"), "dd-mm-yyyy")),0),0)</f>
        <v>0</v>
      </c>
      <c r="J405" cm="1">
        <f t="array" ref="J405">IF($Q405&gt;=0,IFERROR(generateSalesData($D405, IF(ISNUMBER(_xlfn.XLOOKUP($C405,Phone_by_Sentiment!$B$2:$B$37,Phone_by_Sentiment!J$2:J$37,"",0,1)),_xlfn.XLOOKUP($C405,Phone_by_Sentiment!$B$2:$B$37,Phone_by_Sentiment!J$2:J$37,"",0,1),0),$A405-TEXT(DATEVALUE($D405&amp;"-01"), "dd-mm-yyyy")),0),0)</f>
        <v>0</v>
      </c>
      <c r="K405" cm="1">
        <f t="array" ref="K405">IF($Q405&gt;=0,IFERROR(generateSalesData($D405, IF(ISNUMBER(_xlfn.XLOOKUP($C405,Phone_by_Sentiment!$B$2:$B$37,Phone_by_Sentiment!K$2:K$37,"",0,1)),_xlfn.XLOOKUP($C405,Phone_by_Sentiment!$B$2:$B$37,Phone_by_Sentiment!K$2:K$37,"",0,1),0),$A405-TEXT(DATEVALUE($D405&amp;"-01"), "dd-mm-yyyy")),0),0)</f>
        <v>0</v>
      </c>
      <c r="L405" cm="1">
        <f t="array" ref="L405">IF($Q405&gt;=0,IFERROR(generateSalesData($D405, IF(ISNUMBER(_xlfn.XLOOKUP($C405,Phone_by_Sentiment!$B$2:$B$37,Phone_by_Sentiment!L$2:L$37,"",0,1)),_xlfn.XLOOKUP($C405,Phone_by_Sentiment!$B$2:$B$37,Phone_by_Sentiment!L$2:L$37,"",0,1),0),$A405-TEXT(DATEVALUE($D405&amp;"-01"), "dd-mm-yyyy")),0),0)</f>
        <v>0</v>
      </c>
      <c r="M405" cm="1">
        <f t="array" ref="M405">IF($Q405&gt;=0,IFERROR(generateSalesData($D405, IF(ISNUMBER(_xlfn.XLOOKUP($C405,Phone_by_Sentiment!$B$2:$B$37,Phone_by_Sentiment!M$2:M$37,"",0,1)),_xlfn.XLOOKUP($C405,Phone_by_Sentiment!$B$2:$B$37,Phone_by_Sentiment!M$2:M$37,"",0,1),0),$A405-TEXT(DATEVALUE($D405&amp;"-01"), "dd-mm-yyyy")),0),0)</f>
        <v>0</v>
      </c>
      <c r="N405" cm="1">
        <f t="array" ref="N405">IF($Q405&gt;=0,IFERROR(generateSalesData($D405, IF(ISNUMBER(_xlfn.XLOOKUP($C405,Phone_by_Sentiment!$B$2:$B$37,Phone_by_Sentiment!N$2:N$37,"",0,1)),_xlfn.XLOOKUP($C405,Phone_by_Sentiment!$B$2:$B$37,Phone_by_Sentiment!N$2:N$37,"",0,1),0),$A405-TEXT(DATEVALUE($D405&amp;"-01"), "dd-mm-yyyy")),0),0)</f>
        <v>0</v>
      </c>
      <c r="O405" cm="1">
        <f t="array" ref="O405">IF($Q405&gt;=0,IFERROR(generateSalesData($D405, IF(ISNUMBER(_xlfn.XLOOKUP($C405,Phone_by_Sentiment!$B$2:$B$37,Phone_by_Sentiment!O$2:O$37,"",0,1)),_xlfn.XLOOKUP($C405,Phone_by_Sentiment!$B$2:$B$37,Phone_by_Sentiment!O$2:O$37,"",0,1),0),$A405-TEXT(DATEVALUE($D405&amp;"-01"), "dd-mm-yyyy")),0),0)</f>
        <v>0</v>
      </c>
      <c r="P405" s="1">
        <f t="shared" si="16"/>
        <v>44256</v>
      </c>
      <c r="Q405">
        <f t="shared" si="17"/>
        <v>-456</v>
      </c>
    </row>
    <row r="406" spans="1:17" x14ac:dyDescent="0.25">
      <c r="A406" s="1">
        <f t="shared" si="15"/>
        <v>43800</v>
      </c>
      <c r="B406" t="s">
        <v>149</v>
      </c>
      <c r="C406" t="str">
        <f>_xlfn.XLOOKUP(B406,Phone_by_Price!$A$2:$A$34,Phone_by_Price!$B$2:$B$34,"-",0,1)</f>
        <v>Samsung Galaxy A52</v>
      </c>
      <c r="D406" t="str">
        <f>_xlfn.XLOOKUP(C406,Phone_by_Sentiment!$B$2:$B$37,Phone_by_Sentiment!$A$2:$A$37,"-",0,1)</f>
        <v>2021-03</v>
      </c>
      <c r="E406" cm="1">
        <f t="array" ref="E406">IF($Q406&gt;=0,IFERROR(generateSalesData($D406, IF(ISNUMBER(_xlfn.XLOOKUP($C406,Phone_by_Sentiment!$B$2:$B$37,Phone_by_Sentiment!E$2:E$37,"",0,1)),_xlfn.XLOOKUP($C406,Phone_by_Sentiment!$B$2:$B$37,Phone_by_Sentiment!E$2:E$37,"",0,1),0),$A406-TEXT(DATEVALUE($D406&amp;"-01"), "dd-mm-yyyy")),0),0)</f>
        <v>0</v>
      </c>
      <c r="F406" cm="1">
        <f t="array" ref="F406">IF($Q406&gt;=0,IFERROR(generateSalesData($D406, IF(ISNUMBER(_xlfn.XLOOKUP($C406,Phone_by_Sentiment!$B$2:$B$37,Phone_by_Sentiment!F$2:F$37,"",0,1)),_xlfn.XLOOKUP($C406,Phone_by_Sentiment!$B$2:$B$37,Phone_by_Sentiment!F$2:F$37,"",0,1),0),$A406-TEXT(DATEVALUE($D406&amp;"-01"), "dd-mm-yyyy")),0),0)</f>
        <v>0</v>
      </c>
      <c r="G406" cm="1">
        <f t="array" ref="G406">IF($Q406&gt;=0,IFERROR(generateSalesData($D406, IF(ISNUMBER(_xlfn.XLOOKUP($C406,Phone_by_Sentiment!$B$2:$B$37,Phone_by_Sentiment!G$2:G$37,"",0,1)),_xlfn.XLOOKUP($C406,Phone_by_Sentiment!$B$2:$B$37,Phone_by_Sentiment!G$2:G$37,"",0,1),0),$A406-TEXT(DATEVALUE($D406&amp;"-01"), "dd-mm-yyyy")),0),0)</f>
        <v>0</v>
      </c>
      <c r="H406" cm="1">
        <f t="array" ref="H406">IF($Q406&gt;=0,IFERROR(generateSalesData($D406, IF(ISNUMBER(_xlfn.XLOOKUP($C406,Phone_by_Sentiment!$B$2:$B$37,Phone_by_Sentiment!H$2:H$37,"",0,1)),_xlfn.XLOOKUP($C406,Phone_by_Sentiment!$B$2:$B$37,Phone_by_Sentiment!H$2:H$37,"",0,1),0),$A406-TEXT(DATEVALUE($D406&amp;"-01"), "dd-mm-yyyy")),0),0)</f>
        <v>0</v>
      </c>
      <c r="I406" cm="1">
        <f t="array" ref="I406">IF($Q406&gt;=0,IFERROR(generateSalesData($D406, IF(ISNUMBER(_xlfn.XLOOKUP($C406,Phone_by_Sentiment!$B$2:$B$37,Phone_by_Sentiment!I$2:I$37,"",0,1)),_xlfn.XLOOKUP($C406,Phone_by_Sentiment!$B$2:$B$37,Phone_by_Sentiment!I$2:I$37,"",0,1),0),$A406-TEXT(DATEVALUE($D406&amp;"-01"), "dd-mm-yyyy")),0),0)</f>
        <v>0</v>
      </c>
      <c r="J406" cm="1">
        <f t="array" ref="J406">IF($Q406&gt;=0,IFERROR(generateSalesData($D406, IF(ISNUMBER(_xlfn.XLOOKUP($C406,Phone_by_Sentiment!$B$2:$B$37,Phone_by_Sentiment!J$2:J$37,"",0,1)),_xlfn.XLOOKUP($C406,Phone_by_Sentiment!$B$2:$B$37,Phone_by_Sentiment!J$2:J$37,"",0,1),0),$A406-TEXT(DATEVALUE($D406&amp;"-01"), "dd-mm-yyyy")),0),0)</f>
        <v>0</v>
      </c>
      <c r="K406" cm="1">
        <f t="array" ref="K406">IF($Q406&gt;=0,IFERROR(generateSalesData($D406, IF(ISNUMBER(_xlfn.XLOOKUP($C406,Phone_by_Sentiment!$B$2:$B$37,Phone_by_Sentiment!K$2:K$37,"",0,1)),_xlfn.XLOOKUP($C406,Phone_by_Sentiment!$B$2:$B$37,Phone_by_Sentiment!K$2:K$37,"",0,1),0),$A406-TEXT(DATEVALUE($D406&amp;"-01"), "dd-mm-yyyy")),0),0)</f>
        <v>0</v>
      </c>
      <c r="L406" cm="1">
        <f t="array" ref="L406">IF($Q406&gt;=0,IFERROR(generateSalesData($D406, IF(ISNUMBER(_xlfn.XLOOKUP($C406,Phone_by_Sentiment!$B$2:$B$37,Phone_by_Sentiment!L$2:L$37,"",0,1)),_xlfn.XLOOKUP($C406,Phone_by_Sentiment!$B$2:$B$37,Phone_by_Sentiment!L$2:L$37,"",0,1),0),$A406-TEXT(DATEVALUE($D406&amp;"-01"), "dd-mm-yyyy")),0),0)</f>
        <v>0</v>
      </c>
      <c r="M406" cm="1">
        <f t="array" ref="M406">IF($Q406&gt;=0,IFERROR(generateSalesData($D406, IF(ISNUMBER(_xlfn.XLOOKUP($C406,Phone_by_Sentiment!$B$2:$B$37,Phone_by_Sentiment!M$2:M$37,"",0,1)),_xlfn.XLOOKUP($C406,Phone_by_Sentiment!$B$2:$B$37,Phone_by_Sentiment!M$2:M$37,"",0,1),0),$A406-TEXT(DATEVALUE($D406&amp;"-01"), "dd-mm-yyyy")),0),0)</f>
        <v>0</v>
      </c>
      <c r="N406" cm="1">
        <f t="array" ref="N406">IF($Q406&gt;=0,IFERROR(generateSalesData($D406, IF(ISNUMBER(_xlfn.XLOOKUP($C406,Phone_by_Sentiment!$B$2:$B$37,Phone_by_Sentiment!N$2:N$37,"",0,1)),_xlfn.XLOOKUP($C406,Phone_by_Sentiment!$B$2:$B$37,Phone_by_Sentiment!N$2:N$37,"",0,1),0),$A406-TEXT(DATEVALUE($D406&amp;"-01"), "dd-mm-yyyy")),0),0)</f>
        <v>0</v>
      </c>
      <c r="O406" cm="1">
        <f t="array" ref="O406">IF($Q406&gt;=0,IFERROR(generateSalesData($D406, IF(ISNUMBER(_xlfn.XLOOKUP($C406,Phone_by_Sentiment!$B$2:$B$37,Phone_by_Sentiment!O$2:O$37,"",0,1)),_xlfn.XLOOKUP($C406,Phone_by_Sentiment!$B$2:$B$37,Phone_by_Sentiment!O$2:O$37,"",0,1),0),$A406-TEXT(DATEVALUE($D406&amp;"-01"), "dd-mm-yyyy")),0),0)</f>
        <v>0</v>
      </c>
      <c r="P406" s="1">
        <f t="shared" si="16"/>
        <v>44256</v>
      </c>
      <c r="Q406">
        <f t="shared" si="17"/>
        <v>-456</v>
      </c>
    </row>
    <row r="407" spans="1:17" x14ac:dyDescent="0.25">
      <c r="A407" s="1">
        <f t="shared" si="15"/>
        <v>43800</v>
      </c>
      <c r="B407" t="s">
        <v>150</v>
      </c>
      <c r="C407" t="str">
        <f>_xlfn.XLOOKUP(B407,Phone_by_Price!$A$2:$A$34,Phone_by_Price!$B$2:$B$34,"-",0,1)</f>
        <v>Vivo Y33s</v>
      </c>
      <c r="D407" t="str">
        <f>_xlfn.XLOOKUP(C407,Phone_by_Sentiment!$B$2:$B$37,Phone_by_Sentiment!$A$2:$A$37,"-",0,1)</f>
        <v>2021-05</v>
      </c>
      <c r="E407" cm="1">
        <f t="array" ref="E407">IF($Q407&gt;=0,IFERROR(generateSalesData($D407, IF(ISNUMBER(_xlfn.XLOOKUP($C407,Phone_by_Sentiment!$B$2:$B$37,Phone_by_Sentiment!E$2:E$37,"",0,1)),_xlfn.XLOOKUP($C407,Phone_by_Sentiment!$B$2:$B$37,Phone_by_Sentiment!E$2:E$37,"",0,1),0),$A407-TEXT(DATEVALUE($D407&amp;"-01"), "dd-mm-yyyy")),0),0)</f>
        <v>0</v>
      </c>
      <c r="F407" cm="1">
        <f t="array" ref="F407">IF($Q407&gt;=0,IFERROR(generateSalesData($D407, IF(ISNUMBER(_xlfn.XLOOKUP($C407,Phone_by_Sentiment!$B$2:$B$37,Phone_by_Sentiment!F$2:F$37,"",0,1)),_xlfn.XLOOKUP($C407,Phone_by_Sentiment!$B$2:$B$37,Phone_by_Sentiment!F$2:F$37,"",0,1),0),$A407-TEXT(DATEVALUE($D407&amp;"-01"), "dd-mm-yyyy")),0),0)</f>
        <v>0</v>
      </c>
      <c r="G407" cm="1">
        <f t="array" ref="G407">IF($Q407&gt;=0,IFERROR(generateSalesData($D407, IF(ISNUMBER(_xlfn.XLOOKUP($C407,Phone_by_Sentiment!$B$2:$B$37,Phone_by_Sentiment!G$2:G$37,"",0,1)),_xlfn.XLOOKUP($C407,Phone_by_Sentiment!$B$2:$B$37,Phone_by_Sentiment!G$2:G$37,"",0,1),0),$A407-TEXT(DATEVALUE($D407&amp;"-01"), "dd-mm-yyyy")),0),0)</f>
        <v>0</v>
      </c>
      <c r="H407" cm="1">
        <f t="array" ref="H407">IF($Q407&gt;=0,IFERROR(generateSalesData($D407, IF(ISNUMBER(_xlfn.XLOOKUP($C407,Phone_by_Sentiment!$B$2:$B$37,Phone_by_Sentiment!H$2:H$37,"",0,1)),_xlfn.XLOOKUP($C407,Phone_by_Sentiment!$B$2:$B$37,Phone_by_Sentiment!H$2:H$37,"",0,1),0),$A407-TEXT(DATEVALUE($D407&amp;"-01"), "dd-mm-yyyy")),0),0)</f>
        <v>0</v>
      </c>
      <c r="I407" cm="1">
        <f t="array" ref="I407">IF($Q407&gt;=0,IFERROR(generateSalesData($D407, IF(ISNUMBER(_xlfn.XLOOKUP($C407,Phone_by_Sentiment!$B$2:$B$37,Phone_by_Sentiment!I$2:I$37,"",0,1)),_xlfn.XLOOKUP($C407,Phone_by_Sentiment!$B$2:$B$37,Phone_by_Sentiment!I$2:I$37,"",0,1),0),$A407-TEXT(DATEVALUE($D407&amp;"-01"), "dd-mm-yyyy")),0),0)</f>
        <v>0</v>
      </c>
      <c r="J407" cm="1">
        <f t="array" ref="J407">IF($Q407&gt;=0,IFERROR(generateSalesData($D407, IF(ISNUMBER(_xlfn.XLOOKUP($C407,Phone_by_Sentiment!$B$2:$B$37,Phone_by_Sentiment!J$2:J$37,"",0,1)),_xlfn.XLOOKUP($C407,Phone_by_Sentiment!$B$2:$B$37,Phone_by_Sentiment!J$2:J$37,"",0,1),0),$A407-TEXT(DATEVALUE($D407&amp;"-01"), "dd-mm-yyyy")),0),0)</f>
        <v>0</v>
      </c>
      <c r="K407" cm="1">
        <f t="array" ref="K407">IF($Q407&gt;=0,IFERROR(generateSalesData($D407, IF(ISNUMBER(_xlfn.XLOOKUP($C407,Phone_by_Sentiment!$B$2:$B$37,Phone_by_Sentiment!K$2:K$37,"",0,1)),_xlfn.XLOOKUP($C407,Phone_by_Sentiment!$B$2:$B$37,Phone_by_Sentiment!K$2:K$37,"",0,1),0),$A407-TEXT(DATEVALUE($D407&amp;"-01"), "dd-mm-yyyy")),0),0)</f>
        <v>0</v>
      </c>
      <c r="L407" cm="1">
        <f t="array" ref="L407">IF($Q407&gt;=0,IFERROR(generateSalesData($D407, IF(ISNUMBER(_xlfn.XLOOKUP($C407,Phone_by_Sentiment!$B$2:$B$37,Phone_by_Sentiment!L$2:L$37,"",0,1)),_xlfn.XLOOKUP($C407,Phone_by_Sentiment!$B$2:$B$37,Phone_by_Sentiment!L$2:L$37,"",0,1),0),$A407-TEXT(DATEVALUE($D407&amp;"-01"), "dd-mm-yyyy")),0),0)</f>
        <v>0</v>
      </c>
      <c r="M407" cm="1">
        <f t="array" ref="M407">IF($Q407&gt;=0,IFERROR(generateSalesData($D407, IF(ISNUMBER(_xlfn.XLOOKUP($C407,Phone_by_Sentiment!$B$2:$B$37,Phone_by_Sentiment!M$2:M$37,"",0,1)),_xlfn.XLOOKUP($C407,Phone_by_Sentiment!$B$2:$B$37,Phone_by_Sentiment!M$2:M$37,"",0,1),0),$A407-TEXT(DATEVALUE($D407&amp;"-01"), "dd-mm-yyyy")),0),0)</f>
        <v>0</v>
      </c>
      <c r="N407" cm="1">
        <f t="array" ref="N407">IF($Q407&gt;=0,IFERROR(generateSalesData($D407, IF(ISNUMBER(_xlfn.XLOOKUP($C407,Phone_by_Sentiment!$B$2:$B$37,Phone_by_Sentiment!N$2:N$37,"",0,1)),_xlfn.XLOOKUP($C407,Phone_by_Sentiment!$B$2:$B$37,Phone_by_Sentiment!N$2:N$37,"",0,1),0),$A407-TEXT(DATEVALUE($D407&amp;"-01"), "dd-mm-yyyy")),0),0)</f>
        <v>0</v>
      </c>
      <c r="O407" cm="1">
        <f t="array" ref="O407">IF($Q407&gt;=0,IFERROR(generateSalesData($D407, IF(ISNUMBER(_xlfn.XLOOKUP($C407,Phone_by_Sentiment!$B$2:$B$37,Phone_by_Sentiment!O$2:O$37,"",0,1)),_xlfn.XLOOKUP($C407,Phone_by_Sentiment!$B$2:$B$37,Phone_by_Sentiment!O$2:O$37,"",0,1),0),$A407-TEXT(DATEVALUE($D407&amp;"-01"), "dd-mm-yyyy")),0),0)</f>
        <v>0</v>
      </c>
      <c r="P407" s="1">
        <f t="shared" si="16"/>
        <v>44317</v>
      </c>
      <c r="Q407">
        <f t="shared" si="17"/>
        <v>-517</v>
      </c>
    </row>
    <row r="408" spans="1:17" x14ac:dyDescent="0.25">
      <c r="A408" s="1">
        <f t="shared" si="15"/>
        <v>43800</v>
      </c>
      <c r="B408" t="s">
        <v>151</v>
      </c>
      <c r="C408" t="str">
        <f>_xlfn.XLOOKUP(B408,Phone_by_Price!$A$2:$A$34,Phone_by_Price!$B$2:$B$34,"-",0,1)</f>
        <v>Vivo Y11s</v>
      </c>
      <c r="D408" t="str">
        <f>_xlfn.XLOOKUP(C408,Phone_by_Sentiment!$B$2:$B$37,Phone_by_Sentiment!$A$2:$A$37,"-",0,1)</f>
        <v>2020-11</v>
      </c>
      <c r="E408" cm="1">
        <f t="array" ref="E408">IF($Q408&gt;=0,IFERROR(generateSalesData($D408, IF(ISNUMBER(_xlfn.XLOOKUP($C408,Phone_by_Sentiment!$B$2:$B$37,Phone_by_Sentiment!E$2:E$37,"",0,1)),_xlfn.XLOOKUP($C408,Phone_by_Sentiment!$B$2:$B$37,Phone_by_Sentiment!E$2:E$37,"",0,1),0),$A408-TEXT(DATEVALUE($D408&amp;"-01"), "dd-mm-yyyy")),0),0)</f>
        <v>0</v>
      </c>
      <c r="F408" cm="1">
        <f t="array" ref="F408">IF($Q408&gt;=0,IFERROR(generateSalesData($D408, IF(ISNUMBER(_xlfn.XLOOKUP($C408,Phone_by_Sentiment!$B$2:$B$37,Phone_by_Sentiment!F$2:F$37,"",0,1)),_xlfn.XLOOKUP($C408,Phone_by_Sentiment!$B$2:$B$37,Phone_by_Sentiment!F$2:F$37,"",0,1),0),$A408-TEXT(DATEVALUE($D408&amp;"-01"), "dd-mm-yyyy")),0),0)</f>
        <v>0</v>
      </c>
      <c r="G408" cm="1">
        <f t="array" ref="G408">IF($Q408&gt;=0,IFERROR(generateSalesData($D408, IF(ISNUMBER(_xlfn.XLOOKUP($C408,Phone_by_Sentiment!$B$2:$B$37,Phone_by_Sentiment!G$2:G$37,"",0,1)),_xlfn.XLOOKUP($C408,Phone_by_Sentiment!$B$2:$B$37,Phone_by_Sentiment!G$2:G$37,"",0,1),0),$A408-TEXT(DATEVALUE($D408&amp;"-01"), "dd-mm-yyyy")),0),0)</f>
        <v>0</v>
      </c>
      <c r="H408" cm="1">
        <f t="array" ref="H408">IF($Q408&gt;=0,IFERROR(generateSalesData($D408, IF(ISNUMBER(_xlfn.XLOOKUP($C408,Phone_by_Sentiment!$B$2:$B$37,Phone_by_Sentiment!H$2:H$37,"",0,1)),_xlfn.XLOOKUP($C408,Phone_by_Sentiment!$B$2:$B$37,Phone_by_Sentiment!H$2:H$37,"",0,1),0),$A408-TEXT(DATEVALUE($D408&amp;"-01"), "dd-mm-yyyy")),0),0)</f>
        <v>0</v>
      </c>
      <c r="I408" cm="1">
        <f t="array" ref="I408">IF($Q408&gt;=0,IFERROR(generateSalesData($D408, IF(ISNUMBER(_xlfn.XLOOKUP($C408,Phone_by_Sentiment!$B$2:$B$37,Phone_by_Sentiment!I$2:I$37,"",0,1)),_xlfn.XLOOKUP($C408,Phone_by_Sentiment!$B$2:$B$37,Phone_by_Sentiment!I$2:I$37,"",0,1),0),$A408-TEXT(DATEVALUE($D408&amp;"-01"), "dd-mm-yyyy")),0),0)</f>
        <v>0</v>
      </c>
      <c r="J408" cm="1">
        <f t="array" ref="J408">IF($Q408&gt;=0,IFERROR(generateSalesData($D408, IF(ISNUMBER(_xlfn.XLOOKUP($C408,Phone_by_Sentiment!$B$2:$B$37,Phone_by_Sentiment!J$2:J$37,"",0,1)),_xlfn.XLOOKUP($C408,Phone_by_Sentiment!$B$2:$B$37,Phone_by_Sentiment!J$2:J$37,"",0,1),0),$A408-TEXT(DATEVALUE($D408&amp;"-01"), "dd-mm-yyyy")),0),0)</f>
        <v>0</v>
      </c>
      <c r="K408" cm="1">
        <f t="array" ref="K408">IF($Q408&gt;=0,IFERROR(generateSalesData($D408, IF(ISNUMBER(_xlfn.XLOOKUP($C408,Phone_by_Sentiment!$B$2:$B$37,Phone_by_Sentiment!K$2:K$37,"",0,1)),_xlfn.XLOOKUP($C408,Phone_by_Sentiment!$B$2:$B$37,Phone_by_Sentiment!K$2:K$37,"",0,1),0),$A408-TEXT(DATEVALUE($D408&amp;"-01"), "dd-mm-yyyy")),0),0)</f>
        <v>0</v>
      </c>
      <c r="L408" cm="1">
        <f t="array" ref="L408">IF($Q408&gt;=0,IFERROR(generateSalesData($D408, IF(ISNUMBER(_xlfn.XLOOKUP($C408,Phone_by_Sentiment!$B$2:$B$37,Phone_by_Sentiment!L$2:L$37,"",0,1)),_xlfn.XLOOKUP($C408,Phone_by_Sentiment!$B$2:$B$37,Phone_by_Sentiment!L$2:L$37,"",0,1),0),$A408-TEXT(DATEVALUE($D408&amp;"-01"), "dd-mm-yyyy")),0),0)</f>
        <v>0</v>
      </c>
      <c r="M408" cm="1">
        <f t="array" ref="M408">IF($Q408&gt;=0,IFERROR(generateSalesData($D408, IF(ISNUMBER(_xlfn.XLOOKUP($C408,Phone_by_Sentiment!$B$2:$B$37,Phone_by_Sentiment!M$2:M$37,"",0,1)),_xlfn.XLOOKUP($C408,Phone_by_Sentiment!$B$2:$B$37,Phone_by_Sentiment!M$2:M$37,"",0,1),0),$A408-TEXT(DATEVALUE($D408&amp;"-01"), "dd-mm-yyyy")),0),0)</f>
        <v>0</v>
      </c>
      <c r="N408" cm="1">
        <f t="array" ref="N408">IF($Q408&gt;=0,IFERROR(generateSalesData($D408, IF(ISNUMBER(_xlfn.XLOOKUP($C408,Phone_by_Sentiment!$B$2:$B$37,Phone_by_Sentiment!N$2:N$37,"",0,1)),_xlfn.XLOOKUP($C408,Phone_by_Sentiment!$B$2:$B$37,Phone_by_Sentiment!N$2:N$37,"",0,1),0),$A408-TEXT(DATEVALUE($D408&amp;"-01"), "dd-mm-yyyy")),0),0)</f>
        <v>0</v>
      </c>
      <c r="O408" cm="1">
        <f t="array" ref="O408">IF($Q408&gt;=0,IFERROR(generateSalesData($D408, IF(ISNUMBER(_xlfn.XLOOKUP($C408,Phone_by_Sentiment!$B$2:$B$37,Phone_by_Sentiment!O$2:O$37,"",0,1)),_xlfn.XLOOKUP($C408,Phone_by_Sentiment!$B$2:$B$37,Phone_by_Sentiment!O$2:O$37,"",0,1),0),$A408-TEXT(DATEVALUE($D408&amp;"-01"), "dd-mm-yyyy")),0),0)</f>
        <v>0</v>
      </c>
      <c r="P408" s="1">
        <f t="shared" si="16"/>
        <v>44136</v>
      </c>
      <c r="Q408">
        <f t="shared" si="17"/>
        <v>-336</v>
      </c>
    </row>
    <row r="409" spans="1:17" x14ac:dyDescent="0.25">
      <c r="A409" s="1">
        <f t="shared" si="15"/>
        <v>43800</v>
      </c>
      <c r="B409" t="s">
        <v>152</v>
      </c>
      <c r="C409" t="str">
        <f>_xlfn.XLOOKUP(B409,Phone_by_Price!$A$2:$A$34,Phone_by_Price!$B$2:$B$34,"-",0,1)</f>
        <v>Huawei Nova 7i</v>
      </c>
      <c r="D409" t="str">
        <f>_xlfn.XLOOKUP(C409,Phone_by_Sentiment!$B$2:$B$37,Phone_by_Sentiment!$A$2:$A$37,"-",0,1)</f>
        <v>2020-02</v>
      </c>
      <c r="E409" cm="1">
        <f t="array" ref="E409">IF($Q409&gt;=0,IFERROR(generateSalesData($D409, IF(ISNUMBER(_xlfn.XLOOKUP($C409,Phone_by_Sentiment!$B$2:$B$37,Phone_by_Sentiment!E$2:E$37,"",0,1)),_xlfn.XLOOKUP($C409,Phone_by_Sentiment!$B$2:$B$37,Phone_by_Sentiment!E$2:E$37,"",0,1),0),$A409-TEXT(DATEVALUE($D409&amp;"-01"), "dd-mm-yyyy")),0),0)</f>
        <v>0</v>
      </c>
      <c r="F409" cm="1">
        <f t="array" ref="F409">IF($Q409&gt;=0,IFERROR(generateSalesData($D409, IF(ISNUMBER(_xlfn.XLOOKUP($C409,Phone_by_Sentiment!$B$2:$B$37,Phone_by_Sentiment!F$2:F$37,"",0,1)),_xlfn.XLOOKUP($C409,Phone_by_Sentiment!$B$2:$B$37,Phone_by_Sentiment!F$2:F$37,"",0,1),0),$A409-TEXT(DATEVALUE($D409&amp;"-01"), "dd-mm-yyyy")),0),0)</f>
        <v>0</v>
      </c>
      <c r="G409" cm="1">
        <f t="array" ref="G409">IF($Q409&gt;=0,IFERROR(generateSalesData($D409, IF(ISNUMBER(_xlfn.XLOOKUP($C409,Phone_by_Sentiment!$B$2:$B$37,Phone_by_Sentiment!G$2:G$37,"",0,1)),_xlfn.XLOOKUP($C409,Phone_by_Sentiment!$B$2:$B$37,Phone_by_Sentiment!G$2:G$37,"",0,1),0),$A409-TEXT(DATEVALUE($D409&amp;"-01"), "dd-mm-yyyy")),0),0)</f>
        <v>0</v>
      </c>
      <c r="H409" cm="1">
        <f t="array" ref="H409">IF($Q409&gt;=0,IFERROR(generateSalesData($D409, IF(ISNUMBER(_xlfn.XLOOKUP($C409,Phone_by_Sentiment!$B$2:$B$37,Phone_by_Sentiment!H$2:H$37,"",0,1)),_xlfn.XLOOKUP($C409,Phone_by_Sentiment!$B$2:$B$37,Phone_by_Sentiment!H$2:H$37,"",0,1),0),$A409-TEXT(DATEVALUE($D409&amp;"-01"), "dd-mm-yyyy")),0),0)</f>
        <v>0</v>
      </c>
      <c r="I409" cm="1">
        <f t="array" ref="I409">IF($Q409&gt;=0,IFERROR(generateSalesData($D409, IF(ISNUMBER(_xlfn.XLOOKUP($C409,Phone_by_Sentiment!$B$2:$B$37,Phone_by_Sentiment!I$2:I$37,"",0,1)),_xlfn.XLOOKUP($C409,Phone_by_Sentiment!$B$2:$B$37,Phone_by_Sentiment!I$2:I$37,"",0,1),0),$A409-TEXT(DATEVALUE($D409&amp;"-01"), "dd-mm-yyyy")),0),0)</f>
        <v>0</v>
      </c>
      <c r="J409" cm="1">
        <f t="array" ref="J409">IF($Q409&gt;=0,IFERROR(generateSalesData($D409, IF(ISNUMBER(_xlfn.XLOOKUP($C409,Phone_by_Sentiment!$B$2:$B$37,Phone_by_Sentiment!J$2:J$37,"",0,1)),_xlfn.XLOOKUP($C409,Phone_by_Sentiment!$B$2:$B$37,Phone_by_Sentiment!J$2:J$37,"",0,1),0),$A409-TEXT(DATEVALUE($D409&amp;"-01"), "dd-mm-yyyy")),0),0)</f>
        <v>0</v>
      </c>
      <c r="K409" cm="1">
        <f t="array" ref="K409">IF($Q409&gt;=0,IFERROR(generateSalesData($D409, IF(ISNUMBER(_xlfn.XLOOKUP($C409,Phone_by_Sentiment!$B$2:$B$37,Phone_by_Sentiment!K$2:K$37,"",0,1)),_xlfn.XLOOKUP($C409,Phone_by_Sentiment!$B$2:$B$37,Phone_by_Sentiment!K$2:K$37,"",0,1),0),$A409-TEXT(DATEVALUE($D409&amp;"-01"), "dd-mm-yyyy")),0),0)</f>
        <v>0</v>
      </c>
      <c r="L409" cm="1">
        <f t="array" ref="L409">IF($Q409&gt;=0,IFERROR(generateSalesData($D409, IF(ISNUMBER(_xlfn.XLOOKUP($C409,Phone_by_Sentiment!$B$2:$B$37,Phone_by_Sentiment!L$2:L$37,"",0,1)),_xlfn.XLOOKUP($C409,Phone_by_Sentiment!$B$2:$B$37,Phone_by_Sentiment!L$2:L$37,"",0,1),0),$A409-TEXT(DATEVALUE($D409&amp;"-01"), "dd-mm-yyyy")),0),0)</f>
        <v>0</v>
      </c>
      <c r="M409" cm="1">
        <f t="array" ref="M409">IF($Q409&gt;=0,IFERROR(generateSalesData($D409, IF(ISNUMBER(_xlfn.XLOOKUP($C409,Phone_by_Sentiment!$B$2:$B$37,Phone_by_Sentiment!M$2:M$37,"",0,1)),_xlfn.XLOOKUP($C409,Phone_by_Sentiment!$B$2:$B$37,Phone_by_Sentiment!M$2:M$37,"",0,1),0),$A409-TEXT(DATEVALUE($D409&amp;"-01"), "dd-mm-yyyy")),0),0)</f>
        <v>0</v>
      </c>
      <c r="N409" cm="1">
        <f t="array" ref="N409">IF($Q409&gt;=0,IFERROR(generateSalesData($D409, IF(ISNUMBER(_xlfn.XLOOKUP($C409,Phone_by_Sentiment!$B$2:$B$37,Phone_by_Sentiment!N$2:N$37,"",0,1)),_xlfn.XLOOKUP($C409,Phone_by_Sentiment!$B$2:$B$37,Phone_by_Sentiment!N$2:N$37,"",0,1),0),$A409-TEXT(DATEVALUE($D409&amp;"-01"), "dd-mm-yyyy")),0),0)</f>
        <v>0</v>
      </c>
      <c r="O409" cm="1">
        <f t="array" ref="O409">IF($Q409&gt;=0,IFERROR(generateSalesData($D409, IF(ISNUMBER(_xlfn.XLOOKUP($C409,Phone_by_Sentiment!$B$2:$B$37,Phone_by_Sentiment!O$2:O$37,"",0,1)),_xlfn.XLOOKUP($C409,Phone_by_Sentiment!$B$2:$B$37,Phone_by_Sentiment!O$2:O$37,"",0,1),0),$A409-TEXT(DATEVALUE($D409&amp;"-01"), "dd-mm-yyyy")),0),0)</f>
        <v>0</v>
      </c>
      <c r="P409" s="1">
        <f t="shared" si="16"/>
        <v>43862</v>
      </c>
      <c r="Q409">
        <f t="shared" si="17"/>
        <v>-62</v>
      </c>
    </row>
    <row r="410" spans="1:17" x14ac:dyDescent="0.25">
      <c r="A410" s="1">
        <f t="shared" si="15"/>
        <v>43800</v>
      </c>
      <c r="B410" t="s">
        <v>153</v>
      </c>
      <c r="C410" t="str">
        <f>_xlfn.XLOOKUP(B410,Phone_by_Price!$A$2:$A$34,Phone_by_Price!$B$2:$B$34,"-",0,1)</f>
        <v>iPhone 13</v>
      </c>
      <c r="D410" t="str">
        <f>_xlfn.XLOOKUP(C410,Phone_by_Sentiment!$B$2:$B$37,Phone_by_Sentiment!$A$2:$A$37,"-",0,1)</f>
        <v>2021-09</v>
      </c>
      <c r="E410" cm="1">
        <f t="array" ref="E410">IF($Q410&gt;=0,IFERROR(generateSalesData($D410, IF(ISNUMBER(_xlfn.XLOOKUP($C410,Phone_by_Sentiment!$B$2:$B$37,Phone_by_Sentiment!E$2:E$37,"",0,1)),_xlfn.XLOOKUP($C410,Phone_by_Sentiment!$B$2:$B$37,Phone_by_Sentiment!E$2:E$37,"",0,1),0),$A410-TEXT(DATEVALUE($D410&amp;"-01"), "dd-mm-yyyy")),0),0)</f>
        <v>0</v>
      </c>
      <c r="F410" cm="1">
        <f t="array" ref="F410">IF($Q410&gt;=0,IFERROR(generateSalesData($D410, IF(ISNUMBER(_xlfn.XLOOKUP($C410,Phone_by_Sentiment!$B$2:$B$37,Phone_by_Sentiment!F$2:F$37,"",0,1)),_xlfn.XLOOKUP($C410,Phone_by_Sentiment!$B$2:$B$37,Phone_by_Sentiment!F$2:F$37,"",0,1),0),$A410-TEXT(DATEVALUE($D410&amp;"-01"), "dd-mm-yyyy")),0),0)</f>
        <v>0</v>
      </c>
      <c r="G410" cm="1">
        <f t="array" ref="G410">IF($Q410&gt;=0,IFERROR(generateSalesData($D410, IF(ISNUMBER(_xlfn.XLOOKUP($C410,Phone_by_Sentiment!$B$2:$B$37,Phone_by_Sentiment!G$2:G$37,"",0,1)),_xlfn.XLOOKUP($C410,Phone_by_Sentiment!$B$2:$B$37,Phone_by_Sentiment!G$2:G$37,"",0,1),0),$A410-TEXT(DATEVALUE($D410&amp;"-01"), "dd-mm-yyyy")),0),0)</f>
        <v>0</v>
      </c>
      <c r="H410" cm="1">
        <f t="array" ref="H410">IF($Q410&gt;=0,IFERROR(generateSalesData($D410, IF(ISNUMBER(_xlfn.XLOOKUP($C410,Phone_by_Sentiment!$B$2:$B$37,Phone_by_Sentiment!H$2:H$37,"",0,1)),_xlfn.XLOOKUP($C410,Phone_by_Sentiment!$B$2:$B$37,Phone_by_Sentiment!H$2:H$37,"",0,1),0),$A410-TEXT(DATEVALUE($D410&amp;"-01"), "dd-mm-yyyy")),0),0)</f>
        <v>0</v>
      </c>
      <c r="I410" cm="1">
        <f t="array" ref="I410">IF($Q410&gt;=0,IFERROR(generateSalesData($D410, IF(ISNUMBER(_xlfn.XLOOKUP($C410,Phone_by_Sentiment!$B$2:$B$37,Phone_by_Sentiment!I$2:I$37,"",0,1)),_xlfn.XLOOKUP($C410,Phone_by_Sentiment!$B$2:$B$37,Phone_by_Sentiment!I$2:I$37,"",0,1),0),$A410-TEXT(DATEVALUE($D410&amp;"-01"), "dd-mm-yyyy")),0),0)</f>
        <v>0</v>
      </c>
      <c r="J410" cm="1">
        <f t="array" ref="J410">IF($Q410&gt;=0,IFERROR(generateSalesData($D410, IF(ISNUMBER(_xlfn.XLOOKUP($C410,Phone_by_Sentiment!$B$2:$B$37,Phone_by_Sentiment!J$2:J$37,"",0,1)),_xlfn.XLOOKUP($C410,Phone_by_Sentiment!$B$2:$B$37,Phone_by_Sentiment!J$2:J$37,"",0,1),0),$A410-TEXT(DATEVALUE($D410&amp;"-01"), "dd-mm-yyyy")),0),0)</f>
        <v>0</v>
      </c>
      <c r="K410" cm="1">
        <f t="array" ref="K410">IF($Q410&gt;=0,IFERROR(generateSalesData($D410, IF(ISNUMBER(_xlfn.XLOOKUP($C410,Phone_by_Sentiment!$B$2:$B$37,Phone_by_Sentiment!K$2:K$37,"",0,1)),_xlfn.XLOOKUP($C410,Phone_by_Sentiment!$B$2:$B$37,Phone_by_Sentiment!K$2:K$37,"",0,1),0),$A410-TEXT(DATEVALUE($D410&amp;"-01"), "dd-mm-yyyy")),0),0)</f>
        <v>0</v>
      </c>
      <c r="L410" cm="1">
        <f t="array" ref="L410">IF($Q410&gt;=0,IFERROR(generateSalesData($D410, IF(ISNUMBER(_xlfn.XLOOKUP($C410,Phone_by_Sentiment!$B$2:$B$37,Phone_by_Sentiment!L$2:L$37,"",0,1)),_xlfn.XLOOKUP($C410,Phone_by_Sentiment!$B$2:$B$37,Phone_by_Sentiment!L$2:L$37,"",0,1),0),$A410-TEXT(DATEVALUE($D410&amp;"-01"), "dd-mm-yyyy")),0),0)</f>
        <v>0</v>
      </c>
      <c r="M410" cm="1">
        <f t="array" ref="M410">IF($Q410&gt;=0,IFERROR(generateSalesData($D410, IF(ISNUMBER(_xlfn.XLOOKUP($C410,Phone_by_Sentiment!$B$2:$B$37,Phone_by_Sentiment!M$2:M$37,"",0,1)),_xlfn.XLOOKUP($C410,Phone_by_Sentiment!$B$2:$B$37,Phone_by_Sentiment!M$2:M$37,"",0,1),0),$A410-TEXT(DATEVALUE($D410&amp;"-01"), "dd-mm-yyyy")),0),0)</f>
        <v>0</v>
      </c>
      <c r="N410" cm="1">
        <f t="array" ref="N410">IF($Q410&gt;=0,IFERROR(generateSalesData($D410, IF(ISNUMBER(_xlfn.XLOOKUP($C410,Phone_by_Sentiment!$B$2:$B$37,Phone_by_Sentiment!N$2:N$37,"",0,1)),_xlfn.XLOOKUP($C410,Phone_by_Sentiment!$B$2:$B$37,Phone_by_Sentiment!N$2:N$37,"",0,1),0),$A410-TEXT(DATEVALUE($D410&amp;"-01"), "dd-mm-yyyy")),0),0)</f>
        <v>0</v>
      </c>
      <c r="O410" cm="1">
        <f t="array" ref="O410">IF($Q410&gt;=0,IFERROR(generateSalesData($D410, IF(ISNUMBER(_xlfn.XLOOKUP($C410,Phone_by_Sentiment!$B$2:$B$37,Phone_by_Sentiment!O$2:O$37,"",0,1)),_xlfn.XLOOKUP($C410,Phone_by_Sentiment!$B$2:$B$37,Phone_by_Sentiment!O$2:O$37,"",0,1),0),$A410-TEXT(DATEVALUE($D410&amp;"-01"), "dd-mm-yyyy")),0),0)</f>
        <v>0</v>
      </c>
      <c r="P410" s="1">
        <f t="shared" si="16"/>
        <v>44440</v>
      </c>
      <c r="Q410">
        <f t="shared" si="17"/>
        <v>-640</v>
      </c>
    </row>
    <row r="411" spans="1:17" x14ac:dyDescent="0.25">
      <c r="A411" s="1">
        <f t="shared" si="15"/>
        <v>43800</v>
      </c>
      <c r="B411" t="s">
        <v>154</v>
      </c>
      <c r="C411" t="str">
        <f>_xlfn.XLOOKUP(B411,Phone_by_Price!$A$2:$A$34,Phone_by_Price!$B$2:$B$34,"-",0,1)</f>
        <v>Samsung Galaxy S21</v>
      </c>
      <c r="D411" t="str">
        <f>_xlfn.XLOOKUP(C411,Phone_by_Sentiment!$B$2:$B$37,Phone_by_Sentiment!$A$2:$A$37,"-",0,1)</f>
        <v>2021-01</v>
      </c>
      <c r="E411" cm="1">
        <f t="array" ref="E411">IF($Q411&gt;=0,IFERROR(generateSalesData($D411, IF(ISNUMBER(_xlfn.XLOOKUP($C411,Phone_by_Sentiment!$B$2:$B$37,Phone_by_Sentiment!E$2:E$37,"",0,1)),_xlfn.XLOOKUP($C411,Phone_by_Sentiment!$B$2:$B$37,Phone_by_Sentiment!E$2:E$37,"",0,1),0),$A411-TEXT(DATEVALUE($D411&amp;"-01"), "dd-mm-yyyy")),0),0)</f>
        <v>0</v>
      </c>
      <c r="F411" cm="1">
        <f t="array" ref="F411">IF($Q411&gt;=0,IFERROR(generateSalesData($D411, IF(ISNUMBER(_xlfn.XLOOKUP($C411,Phone_by_Sentiment!$B$2:$B$37,Phone_by_Sentiment!F$2:F$37,"",0,1)),_xlfn.XLOOKUP($C411,Phone_by_Sentiment!$B$2:$B$37,Phone_by_Sentiment!F$2:F$37,"",0,1),0),$A411-TEXT(DATEVALUE($D411&amp;"-01"), "dd-mm-yyyy")),0),0)</f>
        <v>0</v>
      </c>
      <c r="G411" cm="1">
        <f t="array" ref="G411">IF($Q411&gt;=0,IFERROR(generateSalesData($D411, IF(ISNUMBER(_xlfn.XLOOKUP($C411,Phone_by_Sentiment!$B$2:$B$37,Phone_by_Sentiment!G$2:G$37,"",0,1)),_xlfn.XLOOKUP($C411,Phone_by_Sentiment!$B$2:$B$37,Phone_by_Sentiment!G$2:G$37,"",0,1),0),$A411-TEXT(DATEVALUE($D411&amp;"-01"), "dd-mm-yyyy")),0),0)</f>
        <v>0</v>
      </c>
      <c r="H411" cm="1">
        <f t="array" ref="H411">IF($Q411&gt;=0,IFERROR(generateSalesData($D411, IF(ISNUMBER(_xlfn.XLOOKUP($C411,Phone_by_Sentiment!$B$2:$B$37,Phone_by_Sentiment!H$2:H$37,"",0,1)),_xlfn.XLOOKUP($C411,Phone_by_Sentiment!$B$2:$B$37,Phone_by_Sentiment!H$2:H$37,"",0,1),0),$A411-TEXT(DATEVALUE($D411&amp;"-01"), "dd-mm-yyyy")),0),0)</f>
        <v>0</v>
      </c>
      <c r="I411" cm="1">
        <f t="array" ref="I411">IF($Q411&gt;=0,IFERROR(generateSalesData($D411, IF(ISNUMBER(_xlfn.XLOOKUP($C411,Phone_by_Sentiment!$B$2:$B$37,Phone_by_Sentiment!I$2:I$37,"",0,1)),_xlfn.XLOOKUP($C411,Phone_by_Sentiment!$B$2:$B$37,Phone_by_Sentiment!I$2:I$37,"",0,1),0),$A411-TEXT(DATEVALUE($D411&amp;"-01"), "dd-mm-yyyy")),0),0)</f>
        <v>0</v>
      </c>
      <c r="J411" cm="1">
        <f t="array" ref="J411">IF($Q411&gt;=0,IFERROR(generateSalesData($D411, IF(ISNUMBER(_xlfn.XLOOKUP($C411,Phone_by_Sentiment!$B$2:$B$37,Phone_by_Sentiment!J$2:J$37,"",0,1)),_xlfn.XLOOKUP($C411,Phone_by_Sentiment!$B$2:$B$37,Phone_by_Sentiment!J$2:J$37,"",0,1),0),$A411-TEXT(DATEVALUE($D411&amp;"-01"), "dd-mm-yyyy")),0),0)</f>
        <v>0</v>
      </c>
      <c r="K411" cm="1">
        <f t="array" ref="K411">IF($Q411&gt;=0,IFERROR(generateSalesData($D411, IF(ISNUMBER(_xlfn.XLOOKUP($C411,Phone_by_Sentiment!$B$2:$B$37,Phone_by_Sentiment!K$2:K$37,"",0,1)),_xlfn.XLOOKUP($C411,Phone_by_Sentiment!$B$2:$B$37,Phone_by_Sentiment!K$2:K$37,"",0,1),0),$A411-TEXT(DATEVALUE($D411&amp;"-01"), "dd-mm-yyyy")),0),0)</f>
        <v>0</v>
      </c>
      <c r="L411" cm="1">
        <f t="array" ref="L411">IF($Q411&gt;=0,IFERROR(generateSalesData($D411, IF(ISNUMBER(_xlfn.XLOOKUP($C411,Phone_by_Sentiment!$B$2:$B$37,Phone_by_Sentiment!L$2:L$37,"",0,1)),_xlfn.XLOOKUP($C411,Phone_by_Sentiment!$B$2:$B$37,Phone_by_Sentiment!L$2:L$37,"",0,1),0),$A411-TEXT(DATEVALUE($D411&amp;"-01"), "dd-mm-yyyy")),0),0)</f>
        <v>0</v>
      </c>
      <c r="M411" cm="1">
        <f t="array" ref="M411">IF($Q411&gt;=0,IFERROR(generateSalesData($D411, IF(ISNUMBER(_xlfn.XLOOKUP($C411,Phone_by_Sentiment!$B$2:$B$37,Phone_by_Sentiment!M$2:M$37,"",0,1)),_xlfn.XLOOKUP($C411,Phone_by_Sentiment!$B$2:$B$37,Phone_by_Sentiment!M$2:M$37,"",0,1),0),$A411-TEXT(DATEVALUE($D411&amp;"-01"), "dd-mm-yyyy")),0),0)</f>
        <v>0</v>
      </c>
      <c r="N411" cm="1">
        <f t="array" ref="N411">IF($Q411&gt;=0,IFERROR(generateSalesData($D411, IF(ISNUMBER(_xlfn.XLOOKUP($C411,Phone_by_Sentiment!$B$2:$B$37,Phone_by_Sentiment!N$2:N$37,"",0,1)),_xlfn.XLOOKUP($C411,Phone_by_Sentiment!$B$2:$B$37,Phone_by_Sentiment!N$2:N$37,"",0,1),0),$A411-TEXT(DATEVALUE($D411&amp;"-01"), "dd-mm-yyyy")),0),0)</f>
        <v>0</v>
      </c>
      <c r="O411" cm="1">
        <f t="array" ref="O411">IF($Q411&gt;=0,IFERROR(generateSalesData($D411, IF(ISNUMBER(_xlfn.XLOOKUP($C411,Phone_by_Sentiment!$B$2:$B$37,Phone_by_Sentiment!O$2:O$37,"",0,1)),_xlfn.XLOOKUP($C411,Phone_by_Sentiment!$B$2:$B$37,Phone_by_Sentiment!O$2:O$37,"",0,1),0),$A411-TEXT(DATEVALUE($D411&amp;"-01"), "dd-mm-yyyy")),0),0)</f>
        <v>0</v>
      </c>
      <c r="P411" s="1">
        <f t="shared" si="16"/>
        <v>44197</v>
      </c>
      <c r="Q411">
        <f t="shared" si="17"/>
        <v>-397</v>
      </c>
    </row>
    <row r="412" spans="1:17" x14ac:dyDescent="0.25">
      <c r="A412" s="1">
        <f t="shared" si="15"/>
        <v>43800</v>
      </c>
      <c r="B412" t="s">
        <v>155</v>
      </c>
      <c r="C412" t="str">
        <f>_xlfn.XLOOKUP(B412,Phone_by_Price!$A$2:$A$34,Phone_by_Price!$B$2:$B$34,"-",0,1)</f>
        <v>Google Pixel 6</v>
      </c>
      <c r="D412" t="str">
        <f>_xlfn.XLOOKUP(C412,Phone_by_Sentiment!$B$2:$B$37,Phone_by_Sentiment!$A$2:$A$37,"-",0,1)</f>
        <v>2021-10</v>
      </c>
      <c r="E412" cm="1">
        <f t="array" ref="E412">IF($Q412&gt;=0,IFERROR(generateSalesData($D412, IF(ISNUMBER(_xlfn.XLOOKUP($C412,Phone_by_Sentiment!$B$2:$B$37,Phone_by_Sentiment!E$2:E$37,"",0,1)),_xlfn.XLOOKUP($C412,Phone_by_Sentiment!$B$2:$B$37,Phone_by_Sentiment!E$2:E$37,"",0,1),0),$A412-TEXT(DATEVALUE($D412&amp;"-01"), "dd-mm-yyyy")),0),0)</f>
        <v>0</v>
      </c>
      <c r="F412" cm="1">
        <f t="array" ref="F412">IF($Q412&gt;=0,IFERROR(generateSalesData($D412, IF(ISNUMBER(_xlfn.XLOOKUP($C412,Phone_by_Sentiment!$B$2:$B$37,Phone_by_Sentiment!F$2:F$37,"",0,1)),_xlfn.XLOOKUP($C412,Phone_by_Sentiment!$B$2:$B$37,Phone_by_Sentiment!F$2:F$37,"",0,1),0),$A412-TEXT(DATEVALUE($D412&amp;"-01"), "dd-mm-yyyy")),0),0)</f>
        <v>0</v>
      </c>
      <c r="G412" cm="1">
        <f t="array" ref="G412">IF($Q412&gt;=0,IFERROR(generateSalesData($D412, IF(ISNUMBER(_xlfn.XLOOKUP($C412,Phone_by_Sentiment!$B$2:$B$37,Phone_by_Sentiment!G$2:G$37,"",0,1)),_xlfn.XLOOKUP($C412,Phone_by_Sentiment!$B$2:$B$37,Phone_by_Sentiment!G$2:G$37,"",0,1),0),$A412-TEXT(DATEVALUE($D412&amp;"-01"), "dd-mm-yyyy")),0),0)</f>
        <v>0</v>
      </c>
      <c r="H412" cm="1">
        <f t="array" ref="H412">IF($Q412&gt;=0,IFERROR(generateSalesData($D412, IF(ISNUMBER(_xlfn.XLOOKUP($C412,Phone_by_Sentiment!$B$2:$B$37,Phone_by_Sentiment!H$2:H$37,"",0,1)),_xlfn.XLOOKUP($C412,Phone_by_Sentiment!$B$2:$B$37,Phone_by_Sentiment!H$2:H$37,"",0,1),0),$A412-TEXT(DATEVALUE($D412&amp;"-01"), "dd-mm-yyyy")),0),0)</f>
        <v>0</v>
      </c>
      <c r="I412" cm="1">
        <f t="array" ref="I412">IF($Q412&gt;=0,IFERROR(generateSalesData($D412, IF(ISNUMBER(_xlfn.XLOOKUP($C412,Phone_by_Sentiment!$B$2:$B$37,Phone_by_Sentiment!I$2:I$37,"",0,1)),_xlfn.XLOOKUP($C412,Phone_by_Sentiment!$B$2:$B$37,Phone_by_Sentiment!I$2:I$37,"",0,1),0),$A412-TEXT(DATEVALUE($D412&amp;"-01"), "dd-mm-yyyy")),0),0)</f>
        <v>0</v>
      </c>
      <c r="J412" cm="1">
        <f t="array" ref="J412">IF($Q412&gt;=0,IFERROR(generateSalesData($D412, IF(ISNUMBER(_xlfn.XLOOKUP($C412,Phone_by_Sentiment!$B$2:$B$37,Phone_by_Sentiment!J$2:J$37,"",0,1)),_xlfn.XLOOKUP($C412,Phone_by_Sentiment!$B$2:$B$37,Phone_by_Sentiment!J$2:J$37,"",0,1),0),$A412-TEXT(DATEVALUE($D412&amp;"-01"), "dd-mm-yyyy")),0),0)</f>
        <v>0</v>
      </c>
      <c r="K412" cm="1">
        <f t="array" ref="K412">IF($Q412&gt;=0,IFERROR(generateSalesData($D412, IF(ISNUMBER(_xlfn.XLOOKUP($C412,Phone_by_Sentiment!$B$2:$B$37,Phone_by_Sentiment!K$2:K$37,"",0,1)),_xlfn.XLOOKUP($C412,Phone_by_Sentiment!$B$2:$B$37,Phone_by_Sentiment!K$2:K$37,"",0,1),0),$A412-TEXT(DATEVALUE($D412&amp;"-01"), "dd-mm-yyyy")),0),0)</f>
        <v>0</v>
      </c>
      <c r="L412" cm="1">
        <f t="array" ref="L412">IF($Q412&gt;=0,IFERROR(generateSalesData($D412, IF(ISNUMBER(_xlfn.XLOOKUP($C412,Phone_by_Sentiment!$B$2:$B$37,Phone_by_Sentiment!L$2:L$37,"",0,1)),_xlfn.XLOOKUP($C412,Phone_by_Sentiment!$B$2:$B$37,Phone_by_Sentiment!L$2:L$37,"",0,1),0),$A412-TEXT(DATEVALUE($D412&amp;"-01"), "dd-mm-yyyy")),0),0)</f>
        <v>0</v>
      </c>
      <c r="M412" cm="1">
        <f t="array" ref="M412">IF($Q412&gt;=0,IFERROR(generateSalesData($D412, IF(ISNUMBER(_xlfn.XLOOKUP($C412,Phone_by_Sentiment!$B$2:$B$37,Phone_by_Sentiment!M$2:M$37,"",0,1)),_xlfn.XLOOKUP($C412,Phone_by_Sentiment!$B$2:$B$37,Phone_by_Sentiment!M$2:M$37,"",0,1),0),$A412-TEXT(DATEVALUE($D412&amp;"-01"), "dd-mm-yyyy")),0),0)</f>
        <v>0</v>
      </c>
      <c r="N412" cm="1">
        <f t="array" ref="N412">IF($Q412&gt;=0,IFERROR(generateSalesData($D412, IF(ISNUMBER(_xlfn.XLOOKUP($C412,Phone_by_Sentiment!$B$2:$B$37,Phone_by_Sentiment!N$2:N$37,"",0,1)),_xlfn.XLOOKUP($C412,Phone_by_Sentiment!$B$2:$B$37,Phone_by_Sentiment!N$2:N$37,"",0,1),0),$A412-TEXT(DATEVALUE($D412&amp;"-01"), "dd-mm-yyyy")),0),0)</f>
        <v>0</v>
      </c>
      <c r="O412" cm="1">
        <f t="array" ref="O412">IF($Q412&gt;=0,IFERROR(generateSalesData($D412, IF(ISNUMBER(_xlfn.XLOOKUP($C412,Phone_by_Sentiment!$B$2:$B$37,Phone_by_Sentiment!O$2:O$37,"",0,1)),_xlfn.XLOOKUP($C412,Phone_by_Sentiment!$B$2:$B$37,Phone_by_Sentiment!O$2:O$37,"",0,1),0),$A412-TEXT(DATEVALUE($D412&amp;"-01"), "dd-mm-yyyy")),0),0)</f>
        <v>0</v>
      </c>
      <c r="P412" s="1">
        <f t="shared" si="16"/>
        <v>44470</v>
      </c>
      <c r="Q412">
        <f t="shared" si="17"/>
        <v>-670</v>
      </c>
    </row>
    <row r="413" spans="1:17" x14ac:dyDescent="0.25">
      <c r="A413" s="1">
        <f t="shared" si="15"/>
        <v>43800</v>
      </c>
      <c r="B413" t="s">
        <v>156</v>
      </c>
      <c r="C413" t="str">
        <f>_xlfn.XLOOKUP(B413,Phone_by_Price!$A$2:$A$34,Phone_by_Price!$B$2:$B$34,"-",0,1)</f>
        <v>OnePlus Nord CE</v>
      </c>
      <c r="D413" t="str">
        <f>_xlfn.XLOOKUP(C413,Phone_by_Sentiment!$B$2:$B$37,Phone_by_Sentiment!$A$2:$A$37,"-",0,1)</f>
        <v>2021-06</v>
      </c>
      <c r="E413" cm="1">
        <f t="array" ref="E413">IF($Q413&gt;=0,IFERROR(generateSalesData($D413, IF(ISNUMBER(_xlfn.XLOOKUP($C413,Phone_by_Sentiment!$B$2:$B$37,Phone_by_Sentiment!E$2:E$37,"",0,1)),_xlfn.XLOOKUP($C413,Phone_by_Sentiment!$B$2:$B$37,Phone_by_Sentiment!E$2:E$37,"",0,1),0),$A413-TEXT(DATEVALUE($D413&amp;"-01"), "dd-mm-yyyy")),0),0)</f>
        <v>0</v>
      </c>
      <c r="F413" cm="1">
        <f t="array" ref="F413">IF($Q413&gt;=0,IFERROR(generateSalesData($D413, IF(ISNUMBER(_xlfn.XLOOKUP($C413,Phone_by_Sentiment!$B$2:$B$37,Phone_by_Sentiment!F$2:F$37,"",0,1)),_xlfn.XLOOKUP($C413,Phone_by_Sentiment!$B$2:$B$37,Phone_by_Sentiment!F$2:F$37,"",0,1),0),$A413-TEXT(DATEVALUE($D413&amp;"-01"), "dd-mm-yyyy")),0),0)</f>
        <v>0</v>
      </c>
      <c r="G413" cm="1">
        <f t="array" ref="G413">IF($Q413&gt;=0,IFERROR(generateSalesData($D413, IF(ISNUMBER(_xlfn.XLOOKUP($C413,Phone_by_Sentiment!$B$2:$B$37,Phone_by_Sentiment!G$2:G$37,"",0,1)),_xlfn.XLOOKUP($C413,Phone_by_Sentiment!$B$2:$B$37,Phone_by_Sentiment!G$2:G$37,"",0,1),0),$A413-TEXT(DATEVALUE($D413&amp;"-01"), "dd-mm-yyyy")),0),0)</f>
        <v>0</v>
      </c>
      <c r="H413" cm="1">
        <f t="array" ref="H413">IF($Q413&gt;=0,IFERROR(generateSalesData($D413, IF(ISNUMBER(_xlfn.XLOOKUP($C413,Phone_by_Sentiment!$B$2:$B$37,Phone_by_Sentiment!H$2:H$37,"",0,1)),_xlfn.XLOOKUP($C413,Phone_by_Sentiment!$B$2:$B$37,Phone_by_Sentiment!H$2:H$37,"",0,1),0),$A413-TEXT(DATEVALUE($D413&amp;"-01"), "dd-mm-yyyy")),0),0)</f>
        <v>0</v>
      </c>
      <c r="I413" cm="1">
        <f t="array" ref="I413">IF($Q413&gt;=0,IFERROR(generateSalesData($D413, IF(ISNUMBER(_xlfn.XLOOKUP($C413,Phone_by_Sentiment!$B$2:$B$37,Phone_by_Sentiment!I$2:I$37,"",0,1)),_xlfn.XLOOKUP($C413,Phone_by_Sentiment!$B$2:$B$37,Phone_by_Sentiment!I$2:I$37,"",0,1),0),$A413-TEXT(DATEVALUE($D413&amp;"-01"), "dd-mm-yyyy")),0),0)</f>
        <v>0</v>
      </c>
      <c r="J413" cm="1">
        <f t="array" ref="J413">IF($Q413&gt;=0,IFERROR(generateSalesData($D413, IF(ISNUMBER(_xlfn.XLOOKUP($C413,Phone_by_Sentiment!$B$2:$B$37,Phone_by_Sentiment!J$2:J$37,"",0,1)),_xlfn.XLOOKUP($C413,Phone_by_Sentiment!$B$2:$B$37,Phone_by_Sentiment!J$2:J$37,"",0,1),0),$A413-TEXT(DATEVALUE($D413&amp;"-01"), "dd-mm-yyyy")),0),0)</f>
        <v>0</v>
      </c>
      <c r="K413" cm="1">
        <f t="array" ref="K413">IF($Q413&gt;=0,IFERROR(generateSalesData($D413, IF(ISNUMBER(_xlfn.XLOOKUP($C413,Phone_by_Sentiment!$B$2:$B$37,Phone_by_Sentiment!K$2:K$37,"",0,1)),_xlfn.XLOOKUP($C413,Phone_by_Sentiment!$B$2:$B$37,Phone_by_Sentiment!K$2:K$37,"",0,1),0),$A413-TEXT(DATEVALUE($D413&amp;"-01"), "dd-mm-yyyy")),0),0)</f>
        <v>0</v>
      </c>
      <c r="L413" cm="1">
        <f t="array" ref="L413">IF($Q413&gt;=0,IFERROR(generateSalesData($D413, IF(ISNUMBER(_xlfn.XLOOKUP($C413,Phone_by_Sentiment!$B$2:$B$37,Phone_by_Sentiment!L$2:L$37,"",0,1)),_xlfn.XLOOKUP($C413,Phone_by_Sentiment!$B$2:$B$37,Phone_by_Sentiment!L$2:L$37,"",0,1),0),$A413-TEXT(DATEVALUE($D413&amp;"-01"), "dd-mm-yyyy")),0),0)</f>
        <v>0</v>
      </c>
      <c r="M413" cm="1">
        <f t="array" ref="M413">IF($Q413&gt;=0,IFERROR(generateSalesData($D413, IF(ISNUMBER(_xlfn.XLOOKUP($C413,Phone_by_Sentiment!$B$2:$B$37,Phone_by_Sentiment!M$2:M$37,"",0,1)),_xlfn.XLOOKUP($C413,Phone_by_Sentiment!$B$2:$B$37,Phone_by_Sentiment!M$2:M$37,"",0,1),0),$A413-TEXT(DATEVALUE($D413&amp;"-01"), "dd-mm-yyyy")),0),0)</f>
        <v>0</v>
      </c>
      <c r="N413" cm="1">
        <f t="array" ref="N413">IF($Q413&gt;=0,IFERROR(generateSalesData($D413, IF(ISNUMBER(_xlfn.XLOOKUP($C413,Phone_by_Sentiment!$B$2:$B$37,Phone_by_Sentiment!N$2:N$37,"",0,1)),_xlfn.XLOOKUP($C413,Phone_by_Sentiment!$B$2:$B$37,Phone_by_Sentiment!N$2:N$37,"",0,1),0),$A413-TEXT(DATEVALUE($D413&amp;"-01"), "dd-mm-yyyy")),0),0)</f>
        <v>0</v>
      </c>
      <c r="O413" cm="1">
        <f t="array" ref="O413">IF($Q413&gt;=0,IFERROR(generateSalesData($D413, IF(ISNUMBER(_xlfn.XLOOKUP($C413,Phone_by_Sentiment!$B$2:$B$37,Phone_by_Sentiment!O$2:O$37,"",0,1)),_xlfn.XLOOKUP($C413,Phone_by_Sentiment!$B$2:$B$37,Phone_by_Sentiment!O$2:O$37,"",0,1),0),$A413-TEXT(DATEVALUE($D413&amp;"-01"), "dd-mm-yyyy")),0),0)</f>
        <v>0</v>
      </c>
      <c r="P413" s="1">
        <f t="shared" si="16"/>
        <v>44348</v>
      </c>
      <c r="Q413">
        <f t="shared" si="17"/>
        <v>-548</v>
      </c>
    </row>
    <row r="414" spans="1:17" x14ac:dyDescent="0.25">
      <c r="A414" s="1">
        <f t="shared" si="15"/>
        <v>43800</v>
      </c>
      <c r="B414" t="s">
        <v>157</v>
      </c>
      <c r="C414" t="str">
        <f>_xlfn.XLOOKUP(B414,Phone_by_Price!$A$2:$A$34,Phone_by_Price!$B$2:$B$34,"-",0,1)</f>
        <v>Apple iPhone 13 Pro</v>
      </c>
      <c r="D414" t="str">
        <f>_xlfn.XLOOKUP(C414,Phone_by_Sentiment!$B$2:$B$37,Phone_by_Sentiment!$A$2:$A$37,"-",0,1)</f>
        <v>2021-09</v>
      </c>
      <c r="E414" cm="1">
        <f t="array" ref="E414">IF($Q414&gt;=0,IFERROR(generateSalesData($D414, IF(ISNUMBER(_xlfn.XLOOKUP($C414,Phone_by_Sentiment!$B$2:$B$37,Phone_by_Sentiment!E$2:E$37,"",0,1)),_xlfn.XLOOKUP($C414,Phone_by_Sentiment!$B$2:$B$37,Phone_by_Sentiment!E$2:E$37,"",0,1),0),$A414-TEXT(DATEVALUE($D414&amp;"-01"), "dd-mm-yyyy")),0),0)</f>
        <v>0</v>
      </c>
      <c r="F414" cm="1">
        <f t="array" ref="F414">IF($Q414&gt;=0,IFERROR(generateSalesData($D414, IF(ISNUMBER(_xlfn.XLOOKUP($C414,Phone_by_Sentiment!$B$2:$B$37,Phone_by_Sentiment!F$2:F$37,"",0,1)),_xlfn.XLOOKUP($C414,Phone_by_Sentiment!$B$2:$B$37,Phone_by_Sentiment!F$2:F$37,"",0,1),0),$A414-TEXT(DATEVALUE($D414&amp;"-01"), "dd-mm-yyyy")),0),0)</f>
        <v>0</v>
      </c>
      <c r="G414" cm="1">
        <f t="array" ref="G414">IF($Q414&gt;=0,IFERROR(generateSalesData($D414, IF(ISNUMBER(_xlfn.XLOOKUP($C414,Phone_by_Sentiment!$B$2:$B$37,Phone_by_Sentiment!G$2:G$37,"",0,1)),_xlfn.XLOOKUP($C414,Phone_by_Sentiment!$B$2:$B$37,Phone_by_Sentiment!G$2:G$37,"",0,1),0),$A414-TEXT(DATEVALUE($D414&amp;"-01"), "dd-mm-yyyy")),0),0)</f>
        <v>0</v>
      </c>
      <c r="H414" cm="1">
        <f t="array" ref="H414">IF($Q414&gt;=0,IFERROR(generateSalesData($D414, IF(ISNUMBER(_xlfn.XLOOKUP($C414,Phone_by_Sentiment!$B$2:$B$37,Phone_by_Sentiment!H$2:H$37,"",0,1)),_xlfn.XLOOKUP($C414,Phone_by_Sentiment!$B$2:$B$37,Phone_by_Sentiment!H$2:H$37,"",0,1),0),$A414-TEXT(DATEVALUE($D414&amp;"-01"), "dd-mm-yyyy")),0),0)</f>
        <v>0</v>
      </c>
      <c r="I414" cm="1">
        <f t="array" ref="I414">IF($Q414&gt;=0,IFERROR(generateSalesData($D414, IF(ISNUMBER(_xlfn.XLOOKUP($C414,Phone_by_Sentiment!$B$2:$B$37,Phone_by_Sentiment!I$2:I$37,"",0,1)),_xlfn.XLOOKUP($C414,Phone_by_Sentiment!$B$2:$B$37,Phone_by_Sentiment!I$2:I$37,"",0,1),0),$A414-TEXT(DATEVALUE($D414&amp;"-01"), "dd-mm-yyyy")),0),0)</f>
        <v>0</v>
      </c>
      <c r="J414" cm="1">
        <f t="array" ref="J414">IF($Q414&gt;=0,IFERROR(generateSalesData($D414, IF(ISNUMBER(_xlfn.XLOOKUP($C414,Phone_by_Sentiment!$B$2:$B$37,Phone_by_Sentiment!J$2:J$37,"",0,1)),_xlfn.XLOOKUP($C414,Phone_by_Sentiment!$B$2:$B$37,Phone_by_Sentiment!J$2:J$37,"",0,1),0),$A414-TEXT(DATEVALUE($D414&amp;"-01"), "dd-mm-yyyy")),0),0)</f>
        <v>0</v>
      </c>
      <c r="K414" cm="1">
        <f t="array" ref="K414">IF($Q414&gt;=0,IFERROR(generateSalesData($D414, IF(ISNUMBER(_xlfn.XLOOKUP($C414,Phone_by_Sentiment!$B$2:$B$37,Phone_by_Sentiment!K$2:K$37,"",0,1)),_xlfn.XLOOKUP($C414,Phone_by_Sentiment!$B$2:$B$37,Phone_by_Sentiment!K$2:K$37,"",0,1),0),$A414-TEXT(DATEVALUE($D414&amp;"-01"), "dd-mm-yyyy")),0),0)</f>
        <v>0</v>
      </c>
      <c r="L414" cm="1">
        <f t="array" ref="L414">IF($Q414&gt;=0,IFERROR(generateSalesData($D414, IF(ISNUMBER(_xlfn.XLOOKUP($C414,Phone_by_Sentiment!$B$2:$B$37,Phone_by_Sentiment!L$2:L$37,"",0,1)),_xlfn.XLOOKUP($C414,Phone_by_Sentiment!$B$2:$B$37,Phone_by_Sentiment!L$2:L$37,"",0,1),0),$A414-TEXT(DATEVALUE($D414&amp;"-01"), "dd-mm-yyyy")),0),0)</f>
        <v>0</v>
      </c>
      <c r="M414" cm="1">
        <f t="array" ref="M414">IF($Q414&gt;=0,IFERROR(generateSalesData($D414, IF(ISNUMBER(_xlfn.XLOOKUP($C414,Phone_by_Sentiment!$B$2:$B$37,Phone_by_Sentiment!M$2:M$37,"",0,1)),_xlfn.XLOOKUP($C414,Phone_by_Sentiment!$B$2:$B$37,Phone_by_Sentiment!M$2:M$37,"",0,1),0),$A414-TEXT(DATEVALUE($D414&amp;"-01"), "dd-mm-yyyy")),0),0)</f>
        <v>0</v>
      </c>
      <c r="N414" cm="1">
        <f t="array" ref="N414">IF($Q414&gt;=0,IFERROR(generateSalesData($D414, IF(ISNUMBER(_xlfn.XLOOKUP($C414,Phone_by_Sentiment!$B$2:$B$37,Phone_by_Sentiment!N$2:N$37,"",0,1)),_xlfn.XLOOKUP($C414,Phone_by_Sentiment!$B$2:$B$37,Phone_by_Sentiment!N$2:N$37,"",0,1),0),$A414-TEXT(DATEVALUE($D414&amp;"-01"), "dd-mm-yyyy")),0),0)</f>
        <v>0</v>
      </c>
      <c r="O414" cm="1">
        <f t="array" ref="O414">IF($Q414&gt;=0,IFERROR(generateSalesData($D414, IF(ISNUMBER(_xlfn.XLOOKUP($C414,Phone_by_Sentiment!$B$2:$B$37,Phone_by_Sentiment!O$2:O$37,"",0,1)),_xlfn.XLOOKUP($C414,Phone_by_Sentiment!$B$2:$B$37,Phone_by_Sentiment!O$2:O$37,"",0,1),0),$A414-TEXT(DATEVALUE($D414&amp;"-01"), "dd-mm-yyyy")),0),0)</f>
        <v>0</v>
      </c>
      <c r="P414" s="1">
        <f t="shared" si="16"/>
        <v>44440</v>
      </c>
      <c r="Q414">
        <f t="shared" si="17"/>
        <v>-640</v>
      </c>
    </row>
    <row r="415" spans="1:17" x14ac:dyDescent="0.25">
      <c r="A415" s="1">
        <f t="shared" si="15"/>
        <v>43800</v>
      </c>
      <c r="B415" t="s">
        <v>158</v>
      </c>
      <c r="C415" t="str">
        <f>_xlfn.XLOOKUP(B415,Phone_by_Price!$A$2:$A$34,Phone_by_Price!$B$2:$B$34,"-",0,1)</f>
        <v>Samsung Galaxy A32 5G</v>
      </c>
      <c r="D415" t="str">
        <f>_xlfn.XLOOKUP(C415,Phone_by_Sentiment!$B$2:$B$37,Phone_by_Sentiment!$A$2:$A$37,"-",0,1)</f>
        <v>2021-02</v>
      </c>
      <c r="E415" cm="1">
        <f t="array" ref="E415">IF($Q415&gt;=0,IFERROR(generateSalesData($D415, IF(ISNUMBER(_xlfn.XLOOKUP($C415,Phone_by_Sentiment!$B$2:$B$37,Phone_by_Sentiment!E$2:E$37,"",0,1)),_xlfn.XLOOKUP($C415,Phone_by_Sentiment!$B$2:$B$37,Phone_by_Sentiment!E$2:E$37,"",0,1),0),$A415-TEXT(DATEVALUE($D415&amp;"-01"), "dd-mm-yyyy")),0),0)</f>
        <v>0</v>
      </c>
      <c r="F415" cm="1">
        <f t="array" ref="F415">IF($Q415&gt;=0,IFERROR(generateSalesData($D415, IF(ISNUMBER(_xlfn.XLOOKUP($C415,Phone_by_Sentiment!$B$2:$B$37,Phone_by_Sentiment!F$2:F$37,"",0,1)),_xlfn.XLOOKUP($C415,Phone_by_Sentiment!$B$2:$B$37,Phone_by_Sentiment!F$2:F$37,"",0,1),0),$A415-TEXT(DATEVALUE($D415&amp;"-01"), "dd-mm-yyyy")),0),0)</f>
        <v>0</v>
      </c>
      <c r="G415" cm="1">
        <f t="array" ref="G415">IF($Q415&gt;=0,IFERROR(generateSalesData($D415, IF(ISNUMBER(_xlfn.XLOOKUP($C415,Phone_by_Sentiment!$B$2:$B$37,Phone_by_Sentiment!G$2:G$37,"",0,1)),_xlfn.XLOOKUP($C415,Phone_by_Sentiment!$B$2:$B$37,Phone_by_Sentiment!G$2:G$37,"",0,1),0),$A415-TEXT(DATEVALUE($D415&amp;"-01"), "dd-mm-yyyy")),0),0)</f>
        <v>0</v>
      </c>
      <c r="H415" cm="1">
        <f t="array" ref="H415">IF($Q415&gt;=0,IFERROR(generateSalesData($D415, IF(ISNUMBER(_xlfn.XLOOKUP($C415,Phone_by_Sentiment!$B$2:$B$37,Phone_by_Sentiment!H$2:H$37,"",0,1)),_xlfn.XLOOKUP($C415,Phone_by_Sentiment!$B$2:$B$37,Phone_by_Sentiment!H$2:H$37,"",0,1),0),$A415-TEXT(DATEVALUE($D415&amp;"-01"), "dd-mm-yyyy")),0),0)</f>
        <v>0</v>
      </c>
      <c r="I415" cm="1">
        <f t="array" ref="I415">IF($Q415&gt;=0,IFERROR(generateSalesData($D415, IF(ISNUMBER(_xlfn.XLOOKUP($C415,Phone_by_Sentiment!$B$2:$B$37,Phone_by_Sentiment!I$2:I$37,"",0,1)),_xlfn.XLOOKUP($C415,Phone_by_Sentiment!$B$2:$B$37,Phone_by_Sentiment!I$2:I$37,"",0,1),0),$A415-TEXT(DATEVALUE($D415&amp;"-01"), "dd-mm-yyyy")),0),0)</f>
        <v>0</v>
      </c>
      <c r="J415" cm="1">
        <f t="array" ref="J415">IF($Q415&gt;=0,IFERROR(generateSalesData($D415, IF(ISNUMBER(_xlfn.XLOOKUP($C415,Phone_by_Sentiment!$B$2:$B$37,Phone_by_Sentiment!J$2:J$37,"",0,1)),_xlfn.XLOOKUP($C415,Phone_by_Sentiment!$B$2:$B$37,Phone_by_Sentiment!J$2:J$37,"",0,1),0),$A415-TEXT(DATEVALUE($D415&amp;"-01"), "dd-mm-yyyy")),0),0)</f>
        <v>0</v>
      </c>
      <c r="K415" cm="1">
        <f t="array" ref="K415">IF($Q415&gt;=0,IFERROR(generateSalesData($D415, IF(ISNUMBER(_xlfn.XLOOKUP($C415,Phone_by_Sentiment!$B$2:$B$37,Phone_by_Sentiment!K$2:K$37,"",0,1)),_xlfn.XLOOKUP($C415,Phone_by_Sentiment!$B$2:$B$37,Phone_by_Sentiment!K$2:K$37,"",0,1),0),$A415-TEXT(DATEVALUE($D415&amp;"-01"), "dd-mm-yyyy")),0),0)</f>
        <v>0</v>
      </c>
      <c r="L415" cm="1">
        <f t="array" ref="L415">IF($Q415&gt;=0,IFERROR(generateSalesData($D415, IF(ISNUMBER(_xlfn.XLOOKUP($C415,Phone_by_Sentiment!$B$2:$B$37,Phone_by_Sentiment!L$2:L$37,"",0,1)),_xlfn.XLOOKUP($C415,Phone_by_Sentiment!$B$2:$B$37,Phone_by_Sentiment!L$2:L$37,"",0,1),0),$A415-TEXT(DATEVALUE($D415&amp;"-01"), "dd-mm-yyyy")),0),0)</f>
        <v>0</v>
      </c>
      <c r="M415" cm="1">
        <f t="array" ref="M415">IF($Q415&gt;=0,IFERROR(generateSalesData($D415, IF(ISNUMBER(_xlfn.XLOOKUP($C415,Phone_by_Sentiment!$B$2:$B$37,Phone_by_Sentiment!M$2:M$37,"",0,1)),_xlfn.XLOOKUP($C415,Phone_by_Sentiment!$B$2:$B$37,Phone_by_Sentiment!M$2:M$37,"",0,1),0),$A415-TEXT(DATEVALUE($D415&amp;"-01"), "dd-mm-yyyy")),0),0)</f>
        <v>0</v>
      </c>
      <c r="N415" cm="1">
        <f t="array" ref="N415">IF($Q415&gt;=0,IFERROR(generateSalesData($D415, IF(ISNUMBER(_xlfn.XLOOKUP($C415,Phone_by_Sentiment!$B$2:$B$37,Phone_by_Sentiment!N$2:N$37,"",0,1)),_xlfn.XLOOKUP($C415,Phone_by_Sentiment!$B$2:$B$37,Phone_by_Sentiment!N$2:N$37,"",0,1),0),$A415-TEXT(DATEVALUE($D415&amp;"-01"), "dd-mm-yyyy")),0),0)</f>
        <v>0</v>
      </c>
      <c r="O415" cm="1">
        <f t="array" ref="O415">IF($Q415&gt;=0,IFERROR(generateSalesData($D415, IF(ISNUMBER(_xlfn.XLOOKUP($C415,Phone_by_Sentiment!$B$2:$B$37,Phone_by_Sentiment!O$2:O$37,"",0,1)),_xlfn.XLOOKUP($C415,Phone_by_Sentiment!$B$2:$B$37,Phone_by_Sentiment!O$2:O$37,"",0,1),0),$A415-TEXT(DATEVALUE($D415&amp;"-01"), "dd-mm-yyyy")),0),0)</f>
        <v>0</v>
      </c>
      <c r="P415" s="1">
        <f t="shared" si="16"/>
        <v>44228</v>
      </c>
      <c r="Q415">
        <f t="shared" si="17"/>
        <v>-428</v>
      </c>
    </row>
    <row r="416" spans="1:17" x14ac:dyDescent="0.25">
      <c r="A416" s="1">
        <f t="shared" si="15"/>
        <v>43800</v>
      </c>
      <c r="B416" t="s">
        <v>159</v>
      </c>
      <c r="C416" t="str">
        <f>_xlfn.XLOOKUP(B416,Phone_by_Price!$A$2:$A$34,Phone_by_Price!$B$2:$B$34,"-",0,1)</f>
        <v>Realme C25</v>
      </c>
      <c r="D416" t="str">
        <f>_xlfn.XLOOKUP(C416,Phone_by_Sentiment!$B$2:$B$37,Phone_by_Sentiment!$A$2:$A$37,"-",0,1)</f>
        <v>2021-03</v>
      </c>
      <c r="E416" cm="1">
        <f t="array" ref="E416">IF($Q416&gt;=0,IFERROR(generateSalesData($D416, IF(ISNUMBER(_xlfn.XLOOKUP($C416,Phone_by_Sentiment!$B$2:$B$37,Phone_by_Sentiment!E$2:E$37,"",0,1)),_xlfn.XLOOKUP($C416,Phone_by_Sentiment!$B$2:$B$37,Phone_by_Sentiment!E$2:E$37,"",0,1),0),$A416-TEXT(DATEVALUE($D416&amp;"-01"), "dd-mm-yyyy")),0),0)</f>
        <v>0</v>
      </c>
      <c r="F416" cm="1">
        <f t="array" ref="F416">IF($Q416&gt;=0,IFERROR(generateSalesData($D416, IF(ISNUMBER(_xlfn.XLOOKUP($C416,Phone_by_Sentiment!$B$2:$B$37,Phone_by_Sentiment!F$2:F$37,"",0,1)),_xlfn.XLOOKUP($C416,Phone_by_Sentiment!$B$2:$B$37,Phone_by_Sentiment!F$2:F$37,"",0,1),0),$A416-TEXT(DATEVALUE($D416&amp;"-01"), "dd-mm-yyyy")),0),0)</f>
        <v>0</v>
      </c>
      <c r="G416" cm="1">
        <f t="array" ref="G416">IF($Q416&gt;=0,IFERROR(generateSalesData($D416, IF(ISNUMBER(_xlfn.XLOOKUP($C416,Phone_by_Sentiment!$B$2:$B$37,Phone_by_Sentiment!G$2:G$37,"",0,1)),_xlfn.XLOOKUP($C416,Phone_by_Sentiment!$B$2:$B$37,Phone_by_Sentiment!G$2:G$37,"",0,1),0),$A416-TEXT(DATEVALUE($D416&amp;"-01"), "dd-mm-yyyy")),0),0)</f>
        <v>0</v>
      </c>
      <c r="H416" cm="1">
        <f t="array" ref="H416">IF($Q416&gt;=0,IFERROR(generateSalesData($D416, IF(ISNUMBER(_xlfn.XLOOKUP($C416,Phone_by_Sentiment!$B$2:$B$37,Phone_by_Sentiment!H$2:H$37,"",0,1)),_xlfn.XLOOKUP($C416,Phone_by_Sentiment!$B$2:$B$37,Phone_by_Sentiment!H$2:H$37,"",0,1),0),$A416-TEXT(DATEVALUE($D416&amp;"-01"), "dd-mm-yyyy")),0),0)</f>
        <v>0</v>
      </c>
      <c r="I416" cm="1">
        <f t="array" ref="I416">IF($Q416&gt;=0,IFERROR(generateSalesData($D416, IF(ISNUMBER(_xlfn.XLOOKUP($C416,Phone_by_Sentiment!$B$2:$B$37,Phone_by_Sentiment!I$2:I$37,"",0,1)),_xlfn.XLOOKUP($C416,Phone_by_Sentiment!$B$2:$B$37,Phone_by_Sentiment!I$2:I$37,"",0,1),0),$A416-TEXT(DATEVALUE($D416&amp;"-01"), "dd-mm-yyyy")),0),0)</f>
        <v>0</v>
      </c>
      <c r="J416" cm="1">
        <f t="array" ref="J416">IF($Q416&gt;=0,IFERROR(generateSalesData($D416, IF(ISNUMBER(_xlfn.XLOOKUP($C416,Phone_by_Sentiment!$B$2:$B$37,Phone_by_Sentiment!J$2:J$37,"",0,1)),_xlfn.XLOOKUP($C416,Phone_by_Sentiment!$B$2:$B$37,Phone_by_Sentiment!J$2:J$37,"",0,1),0),$A416-TEXT(DATEVALUE($D416&amp;"-01"), "dd-mm-yyyy")),0),0)</f>
        <v>0</v>
      </c>
      <c r="K416" cm="1">
        <f t="array" ref="K416">IF($Q416&gt;=0,IFERROR(generateSalesData($D416, IF(ISNUMBER(_xlfn.XLOOKUP($C416,Phone_by_Sentiment!$B$2:$B$37,Phone_by_Sentiment!K$2:K$37,"",0,1)),_xlfn.XLOOKUP($C416,Phone_by_Sentiment!$B$2:$B$37,Phone_by_Sentiment!K$2:K$37,"",0,1),0),$A416-TEXT(DATEVALUE($D416&amp;"-01"), "dd-mm-yyyy")),0),0)</f>
        <v>0</v>
      </c>
      <c r="L416" cm="1">
        <f t="array" ref="L416">IF($Q416&gt;=0,IFERROR(generateSalesData($D416, IF(ISNUMBER(_xlfn.XLOOKUP($C416,Phone_by_Sentiment!$B$2:$B$37,Phone_by_Sentiment!L$2:L$37,"",0,1)),_xlfn.XLOOKUP($C416,Phone_by_Sentiment!$B$2:$B$37,Phone_by_Sentiment!L$2:L$37,"",0,1),0),$A416-TEXT(DATEVALUE($D416&amp;"-01"), "dd-mm-yyyy")),0),0)</f>
        <v>0</v>
      </c>
      <c r="M416" cm="1">
        <f t="array" ref="M416">IF($Q416&gt;=0,IFERROR(generateSalesData($D416, IF(ISNUMBER(_xlfn.XLOOKUP($C416,Phone_by_Sentiment!$B$2:$B$37,Phone_by_Sentiment!M$2:M$37,"",0,1)),_xlfn.XLOOKUP($C416,Phone_by_Sentiment!$B$2:$B$37,Phone_by_Sentiment!M$2:M$37,"",0,1),0),$A416-TEXT(DATEVALUE($D416&amp;"-01"), "dd-mm-yyyy")),0),0)</f>
        <v>0</v>
      </c>
      <c r="N416" cm="1">
        <f t="array" ref="N416">IF($Q416&gt;=0,IFERROR(generateSalesData($D416, IF(ISNUMBER(_xlfn.XLOOKUP($C416,Phone_by_Sentiment!$B$2:$B$37,Phone_by_Sentiment!N$2:N$37,"",0,1)),_xlfn.XLOOKUP($C416,Phone_by_Sentiment!$B$2:$B$37,Phone_by_Sentiment!N$2:N$37,"",0,1),0),$A416-TEXT(DATEVALUE($D416&amp;"-01"), "dd-mm-yyyy")),0),0)</f>
        <v>0</v>
      </c>
      <c r="O416" cm="1">
        <f t="array" ref="O416">IF($Q416&gt;=0,IFERROR(generateSalesData($D416, IF(ISNUMBER(_xlfn.XLOOKUP($C416,Phone_by_Sentiment!$B$2:$B$37,Phone_by_Sentiment!O$2:O$37,"",0,1)),_xlfn.XLOOKUP($C416,Phone_by_Sentiment!$B$2:$B$37,Phone_by_Sentiment!O$2:O$37,"",0,1),0),$A416-TEXT(DATEVALUE($D416&amp;"-01"), "dd-mm-yyyy")),0),0)</f>
        <v>0</v>
      </c>
      <c r="P416" s="1">
        <f t="shared" si="16"/>
        <v>44256</v>
      </c>
      <c r="Q416">
        <f t="shared" si="17"/>
        <v>-456</v>
      </c>
    </row>
    <row r="417" spans="1:17" x14ac:dyDescent="0.25">
      <c r="A417" s="1">
        <f t="shared" si="15"/>
        <v>43800</v>
      </c>
      <c r="B417" t="s">
        <v>160</v>
      </c>
      <c r="C417" t="str">
        <f>_xlfn.XLOOKUP(B417,Phone_by_Price!$A$2:$A$34,Phone_by_Price!$B$2:$B$34,"-",0,1)</f>
        <v>Xiaomi Poco X3 Pro</v>
      </c>
      <c r="D417" t="str">
        <f>_xlfn.XLOOKUP(C417,Phone_by_Sentiment!$B$2:$B$37,Phone_by_Sentiment!$A$2:$A$37,"-",0,1)</f>
        <v>2021-05</v>
      </c>
      <c r="E417" cm="1">
        <f t="array" ref="E417">IF($Q417&gt;=0,IFERROR(generateSalesData($D417, IF(ISNUMBER(_xlfn.XLOOKUP($C417,Phone_by_Sentiment!$B$2:$B$37,Phone_by_Sentiment!E$2:E$37,"",0,1)),_xlfn.XLOOKUP($C417,Phone_by_Sentiment!$B$2:$B$37,Phone_by_Sentiment!E$2:E$37,"",0,1),0),$A417-TEXT(DATEVALUE($D417&amp;"-01"), "dd-mm-yyyy")),0),0)</f>
        <v>0</v>
      </c>
      <c r="F417" cm="1">
        <f t="array" ref="F417">IF($Q417&gt;=0,IFERROR(generateSalesData($D417, IF(ISNUMBER(_xlfn.XLOOKUP($C417,Phone_by_Sentiment!$B$2:$B$37,Phone_by_Sentiment!F$2:F$37,"",0,1)),_xlfn.XLOOKUP($C417,Phone_by_Sentiment!$B$2:$B$37,Phone_by_Sentiment!F$2:F$37,"",0,1),0),$A417-TEXT(DATEVALUE($D417&amp;"-01"), "dd-mm-yyyy")),0),0)</f>
        <v>0</v>
      </c>
      <c r="G417" cm="1">
        <f t="array" ref="G417">IF($Q417&gt;=0,IFERROR(generateSalesData($D417, IF(ISNUMBER(_xlfn.XLOOKUP($C417,Phone_by_Sentiment!$B$2:$B$37,Phone_by_Sentiment!G$2:G$37,"",0,1)),_xlfn.XLOOKUP($C417,Phone_by_Sentiment!$B$2:$B$37,Phone_by_Sentiment!G$2:G$37,"",0,1),0),$A417-TEXT(DATEVALUE($D417&amp;"-01"), "dd-mm-yyyy")),0),0)</f>
        <v>0</v>
      </c>
      <c r="H417" cm="1">
        <f t="array" ref="H417">IF($Q417&gt;=0,IFERROR(generateSalesData($D417, IF(ISNUMBER(_xlfn.XLOOKUP($C417,Phone_by_Sentiment!$B$2:$B$37,Phone_by_Sentiment!H$2:H$37,"",0,1)),_xlfn.XLOOKUP($C417,Phone_by_Sentiment!$B$2:$B$37,Phone_by_Sentiment!H$2:H$37,"",0,1),0),$A417-TEXT(DATEVALUE($D417&amp;"-01"), "dd-mm-yyyy")),0),0)</f>
        <v>0</v>
      </c>
      <c r="I417" cm="1">
        <f t="array" ref="I417">IF($Q417&gt;=0,IFERROR(generateSalesData($D417, IF(ISNUMBER(_xlfn.XLOOKUP($C417,Phone_by_Sentiment!$B$2:$B$37,Phone_by_Sentiment!I$2:I$37,"",0,1)),_xlfn.XLOOKUP($C417,Phone_by_Sentiment!$B$2:$B$37,Phone_by_Sentiment!I$2:I$37,"",0,1),0),$A417-TEXT(DATEVALUE($D417&amp;"-01"), "dd-mm-yyyy")),0),0)</f>
        <v>0</v>
      </c>
      <c r="J417" cm="1">
        <f t="array" ref="J417">IF($Q417&gt;=0,IFERROR(generateSalesData($D417, IF(ISNUMBER(_xlfn.XLOOKUP($C417,Phone_by_Sentiment!$B$2:$B$37,Phone_by_Sentiment!J$2:J$37,"",0,1)),_xlfn.XLOOKUP($C417,Phone_by_Sentiment!$B$2:$B$37,Phone_by_Sentiment!J$2:J$37,"",0,1),0),$A417-TEXT(DATEVALUE($D417&amp;"-01"), "dd-mm-yyyy")),0),0)</f>
        <v>0</v>
      </c>
      <c r="K417" cm="1">
        <f t="array" ref="K417">IF($Q417&gt;=0,IFERROR(generateSalesData($D417, IF(ISNUMBER(_xlfn.XLOOKUP($C417,Phone_by_Sentiment!$B$2:$B$37,Phone_by_Sentiment!K$2:K$37,"",0,1)),_xlfn.XLOOKUP($C417,Phone_by_Sentiment!$B$2:$B$37,Phone_by_Sentiment!K$2:K$37,"",0,1),0),$A417-TEXT(DATEVALUE($D417&amp;"-01"), "dd-mm-yyyy")),0),0)</f>
        <v>0</v>
      </c>
      <c r="L417" cm="1">
        <f t="array" ref="L417">IF($Q417&gt;=0,IFERROR(generateSalesData($D417, IF(ISNUMBER(_xlfn.XLOOKUP($C417,Phone_by_Sentiment!$B$2:$B$37,Phone_by_Sentiment!L$2:L$37,"",0,1)),_xlfn.XLOOKUP($C417,Phone_by_Sentiment!$B$2:$B$37,Phone_by_Sentiment!L$2:L$37,"",0,1),0),$A417-TEXT(DATEVALUE($D417&amp;"-01"), "dd-mm-yyyy")),0),0)</f>
        <v>0</v>
      </c>
      <c r="M417" cm="1">
        <f t="array" ref="M417">IF($Q417&gt;=0,IFERROR(generateSalesData($D417, IF(ISNUMBER(_xlfn.XLOOKUP($C417,Phone_by_Sentiment!$B$2:$B$37,Phone_by_Sentiment!M$2:M$37,"",0,1)),_xlfn.XLOOKUP($C417,Phone_by_Sentiment!$B$2:$B$37,Phone_by_Sentiment!M$2:M$37,"",0,1),0),$A417-TEXT(DATEVALUE($D417&amp;"-01"), "dd-mm-yyyy")),0),0)</f>
        <v>0</v>
      </c>
      <c r="N417" cm="1">
        <f t="array" ref="N417">IF($Q417&gt;=0,IFERROR(generateSalesData($D417, IF(ISNUMBER(_xlfn.XLOOKUP($C417,Phone_by_Sentiment!$B$2:$B$37,Phone_by_Sentiment!N$2:N$37,"",0,1)),_xlfn.XLOOKUP($C417,Phone_by_Sentiment!$B$2:$B$37,Phone_by_Sentiment!N$2:N$37,"",0,1),0),$A417-TEXT(DATEVALUE($D417&amp;"-01"), "dd-mm-yyyy")),0),0)</f>
        <v>0</v>
      </c>
      <c r="O417" cm="1">
        <f t="array" ref="O417">IF($Q417&gt;=0,IFERROR(generateSalesData($D417, IF(ISNUMBER(_xlfn.XLOOKUP($C417,Phone_by_Sentiment!$B$2:$B$37,Phone_by_Sentiment!O$2:O$37,"",0,1)),_xlfn.XLOOKUP($C417,Phone_by_Sentiment!$B$2:$B$37,Phone_by_Sentiment!O$2:O$37,"",0,1),0),$A417-TEXT(DATEVALUE($D417&amp;"-01"), "dd-mm-yyyy")),0),0)</f>
        <v>0</v>
      </c>
      <c r="P417" s="1">
        <f t="shared" si="16"/>
        <v>44317</v>
      </c>
      <c r="Q417">
        <f t="shared" si="17"/>
        <v>-517</v>
      </c>
    </row>
    <row r="418" spans="1:17" x14ac:dyDescent="0.25">
      <c r="A418" s="1">
        <f t="shared" si="15"/>
        <v>43800</v>
      </c>
      <c r="B418" t="s">
        <v>161</v>
      </c>
      <c r="C418" t="str">
        <f>_xlfn.XLOOKUP(B418,Phone_by_Price!$A$2:$A$34,Phone_by_Price!$B$2:$B$34,"-",0,1)</f>
        <v>Samsung Galaxy Z Flip 3</v>
      </c>
      <c r="D418" t="str">
        <f>_xlfn.XLOOKUP(C418,Phone_by_Sentiment!$B$2:$B$37,Phone_by_Sentiment!$A$2:$A$37,"-",0,1)</f>
        <v>2021-09</v>
      </c>
      <c r="E418" cm="1">
        <f t="array" ref="E418">IF($Q418&gt;=0,IFERROR(generateSalesData($D418, IF(ISNUMBER(_xlfn.XLOOKUP($C418,Phone_by_Sentiment!$B$2:$B$37,Phone_by_Sentiment!E$2:E$37,"",0,1)),_xlfn.XLOOKUP($C418,Phone_by_Sentiment!$B$2:$B$37,Phone_by_Sentiment!E$2:E$37,"",0,1),0),$A418-TEXT(DATEVALUE($D418&amp;"-01"), "dd-mm-yyyy")),0),0)</f>
        <v>0</v>
      </c>
      <c r="F418" cm="1">
        <f t="array" ref="F418">IF($Q418&gt;=0,IFERROR(generateSalesData($D418, IF(ISNUMBER(_xlfn.XLOOKUP($C418,Phone_by_Sentiment!$B$2:$B$37,Phone_by_Sentiment!F$2:F$37,"",0,1)),_xlfn.XLOOKUP($C418,Phone_by_Sentiment!$B$2:$B$37,Phone_by_Sentiment!F$2:F$37,"",0,1),0),$A418-TEXT(DATEVALUE($D418&amp;"-01"), "dd-mm-yyyy")),0),0)</f>
        <v>0</v>
      </c>
      <c r="G418" cm="1">
        <f t="array" ref="G418">IF($Q418&gt;=0,IFERROR(generateSalesData($D418, IF(ISNUMBER(_xlfn.XLOOKUP($C418,Phone_by_Sentiment!$B$2:$B$37,Phone_by_Sentiment!G$2:G$37,"",0,1)),_xlfn.XLOOKUP($C418,Phone_by_Sentiment!$B$2:$B$37,Phone_by_Sentiment!G$2:G$37,"",0,1),0),$A418-TEXT(DATEVALUE($D418&amp;"-01"), "dd-mm-yyyy")),0),0)</f>
        <v>0</v>
      </c>
      <c r="H418" cm="1">
        <f t="array" ref="H418">IF($Q418&gt;=0,IFERROR(generateSalesData($D418, IF(ISNUMBER(_xlfn.XLOOKUP($C418,Phone_by_Sentiment!$B$2:$B$37,Phone_by_Sentiment!H$2:H$37,"",0,1)),_xlfn.XLOOKUP($C418,Phone_by_Sentiment!$B$2:$B$37,Phone_by_Sentiment!H$2:H$37,"",0,1),0),$A418-TEXT(DATEVALUE($D418&amp;"-01"), "dd-mm-yyyy")),0),0)</f>
        <v>0</v>
      </c>
      <c r="I418" cm="1">
        <f t="array" ref="I418">IF($Q418&gt;=0,IFERROR(generateSalesData($D418, IF(ISNUMBER(_xlfn.XLOOKUP($C418,Phone_by_Sentiment!$B$2:$B$37,Phone_by_Sentiment!I$2:I$37,"",0,1)),_xlfn.XLOOKUP($C418,Phone_by_Sentiment!$B$2:$B$37,Phone_by_Sentiment!I$2:I$37,"",0,1),0),$A418-TEXT(DATEVALUE($D418&amp;"-01"), "dd-mm-yyyy")),0),0)</f>
        <v>0</v>
      </c>
      <c r="J418" cm="1">
        <f t="array" ref="J418">IF($Q418&gt;=0,IFERROR(generateSalesData($D418, IF(ISNUMBER(_xlfn.XLOOKUP($C418,Phone_by_Sentiment!$B$2:$B$37,Phone_by_Sentiment!J$2:J$37,"",0,1)),_xlfn.XLOOKUP($C418,Phone_by_Sentiment!$B$2:$B$37,Phone_by_Sentiment!J$2:J$37,"",0,1),0),$A418-TEXT(DATEVALUE($D418&amp;"-01"), "dd-mm-yyyy")),0),0)</f>
        <v>0</v>
      </c>
      <c r="K418" cm="1">
        <f t="array" ref="K418">IF($Q418&gt;=0,IFERROR(generateSalesData($D418, IF(ISNUMBER(_xlfn.XLOOKUP($C418,Phone_by_Sentiment!$B$2:$B$37,Phone_by_Sentiment!K$2:K$37,"",0,1)),_xlfn.XLOOKUP($C418,Phone_by_Sentiment!$B$2:$B$37,Phone_by_Sentiment!K$2:K$37,"",0,1),0),$A418-TEXT(DATEVALUE($D418&amp;"-01"), "dd-mm-yyyy")),0),0)</f>
        <v>0</v>
      </c>
      <c r="L418" cm="1">
        <f t="array" ref="L418">IF($Q418&gt;=0,IFERROR(generateSalesData($D418, IF(ISNUMBER(_xlfn.XLOOKUP($C418,Phone_by_Sentiment!$B$2:$B$37,Phone_by_Sentiment!L$2:L$37,"",0,1)),_xlfn.XLOOKUP($C418,Phone_by_Sentiment!$B$2:$B$37,Phone_by_Sentiment!L$2:L$37,"",0,1),0),$A418-TEXT(DATEVALUE($D418&amp;"-01"), "dd-mm-yyyy")),0),0)</f>
        <v>0</v>
      </c>
      <c r="M418" cm="1">
        <f t="array" ref="M418">IF($Q418&gt;=0,IFERROR(generateSalesData($D418, IF(ISNUMBER(_xlfn.XLOOKUP($C418,Phone_by_Sentiment!$B$2:$B$37,Phone_by_Sentiment!M$2:M$37,"",0,1)),_xlfn.XLOOKUP($C418,Phone_by_Sentiment!$B$2:$B$37,Phone_by_Sentiment!M$2:M$37,"",0,1),0),$A418-TEXT(DATEVALUE($D418&amp;"-01"), "dd-mm-yyyy")),0),0)</f>
        <v>0</v>
      </c>
      <c r="N418" cm="1">
        <f t="array" ref="N418">IF($Q418&gt;=0,IFERROR(generateSalesData($D418, IF(ISNUMBER(_xlfn.XLOOKUP($C418,Phone_by_Sentiment!$B$2:$B$37,Phone_by_Sentiment!N$2:N$37,"",0,1)),_xlfn.XLOOKUP($C418,Phone_by_Sentiment!$B$2:$B$37,Phone_by_Sentiment!N$2:N$37,"",0,1),0),$A418-TEXT(DATEVALUE($D418&amp;"-01"), "dd-mm-yyyy")),0),0)</f>
        <v>0</v>
      </c>
      <c r="O418" cm="1">
        <f t="array" ref="O418">IF($Q418&gt;=0,IFERROR(generateSalesData($D418, IF(ISNUMBER(_xlfn.XLOOKUP($C418,Phone_by_Sentiment!$B$2:$B$37,Phone_by_Sentiment!O$2:O$37,"",0,1)),_xlfn.XLOOKUP($C418,Phone_by_Sentiment!$B$2:$B$37,Phone_by_Sentiment!O$2:O$37,"",0,1),0),$A418-TEXT(DATEVALUE($D418&amp;"-01"), "dd-mm-yyyy")),0),0)</f>
        <v>0</v>
      </c>
      <c r="P418" s="1">
        <f t="shared" si="16"/>
        <v>44440</v>
      </c>
      <c r="Q418">
        <f t="shared" si="17"/>
        <v>-640</v>
      </c>
    </row>
    <row r="419" spans="1:17" x14ac:dyDescent="0.25">
      <c r="A419" s="1">
        <f t="shared" si="15"/>
        <v>43800</v>
      </c>
      <c r="B419" t="s">
        <v>162</v>
      </c>
      <c r="C419" t="str">
        <f>_xlfn.XLOOKUP(B419,Phone_by_Price!$A$2:$A$34,Phone_by_Price!$B$2:$B$34,"-",0,1)</f>
        <v>Xiaomi Poco X3 NFC</v>
      </c>
      <c r="D419" t="str">
        <f>_xlfn.XLOOKUP(C419,Phone_by_Sentiment!$B$2:$B$37,Phone_by_Sentiment!$A$2:$A$37,"-",0,1)</f>
        <v>2020-08</v>
      </c>
      <c r="E419" cm="1">
        <f t="array" ref="E419">IF($Q419&gt;=0,IFERROR(generateSalesData($D419, IF(ISNUMBER(_xlfn.XLOOKUP($C419,Phone_by_Sentiment!$B$2:$B$37,Phone_by_Sentiment!E$2:E$37,"",0,1)),_xlfn.XLOOKUP($C419,Phone_by_Sentiment!$B$2:$B$37,Phone_by_Sentiment!E$2:E$37,"",0,1),0),$A419-TEXT(DATEVALUE($D419&amp;"-01"), "dd-mm-yyyy")),0),0)</f>
        <v>0</v>
      </c>
      <c r="F419" cm="1">
        <f t="array" ref="F419">IF($Q419&gt;=0,IFERROR(generateSalesData($D419, IF(ISNUMBER(_xlfn.XLOOKUP($C419,Phone_by_Sentiment!$B$2:$B$37,Phone_by_Sentiment!F$2:F$37,"",0,1)),_xlfn.XLOOKUP($C419,Phone_by_Sentiment!$B$2:$B$37,Phone_by_Sentiment!F$2:F$37,"",0,1),0),$A419-TEXT(DATEVALUE($D419&amp;"-01"), "dd-mm-yyyy")),0),0)</f>
        <v>0</v>
      </c>
      <c r="G419" cm="1">
        <f t="array" ref="G419">IF($Q419&gt;=0,IFERROR(generateSalesData($D419, IF(ISNUMBER(_xlfn.XLOOKUP($C419,Phone_by_Sentiment!$B$2:$B$37,Phone_by_Sentiment!G$2:G$37,"",0,1)),_xlfn.XLOOKUP($C419,Phone_by_Sentiment!$B$2:$B$37,Phone_by_Sentiment!G$2:G$37,"",0,1),0),$A419-TEXT(DATEVALUE($D419&amp;"-01"), "dd-mm-yyyy")),0),0)</f>
        <v>0</v>
      </c>
      <c r="H419" cm="1">
        <f t="array" ref="H419">IF($Q419&gt;=0,IFERROR(generateSalesData($D419, IF(ISNUMBER(_xlfn.XLOOKUP($C419,Phone_by_Sentiment!$B$2:$B$37,Phone_by_Sentiment!H$2:H$37,"",0,1)),_xlfn.XLOOKUP($C419,Phone_by_Sentiment!$B$2:$B$37,Phone_by_Sentiment!H$2:H$37,"",0,1),0),$A419-TEXT(DATEVALUE($D419&amp;"-01"), "dd-mm-yyyy")),0),0)</f>
        <v>0</v>
      </c>
      <c r="I419" cm="1">
        <f t="array" ref="I419">IF($Q419&gt;=0,IFERROR(generateSalesData($D419, IF(ISNUMBER(_xlfn.XLOOKUP($C419,Phone_by_Sentiment!$B$2:$B$37,Phone_by_Sentiment!I$2:I$37,"",0,1)),_xlfn.XLOOKUP($C419,Phone_by_Sentiment!$B$2:$B$37,Phone_by_Sentiment!I$2:I$37,"",0,1),0),$A419-TEXT(DATEVALUE($D419&amp;"-01"), "dd-mm-yyyy")),0),0)</f>
        <v>0</v>
      </c>
      <c r="J419" cm="1">
        <f t="array" ref="J419">IF($Q419&gt;=0,IFERROR(generateSalesData($D419, IF(ISNUMBER(_xlfn.XLOOKUP($C419,Phone_by_Sentiment!$B$2:$B$37,Phone_by_Sentiment!J$2:J$37,"",0,1)),_xlfn.XLOOKUP($C419,Phone_by_Sentiment!$B$2:$B$37,Phone_by_Sentiment!J$2:J$37,"",0,1),0),$A419-TEXT(DATEVALUE($D419&amp;"-01"), "dd-mm-yyyy")),0),0)</f>
        <v>0</v>
      </c>
      <c r="K419" cm="1">
        <f t="array" ref="K419">IF($Q419&gt;=0,IFERROR(generateSalesData($D419, IF(ISNUMBER(_xlfn.XLOOKUP($C419,Phone_by_Sentiment!$B$2:$B$37,Phone_by_Sentiment!K$2:K$37,"",0,1)),_xlfn.XLOOKUP($C419,Phone_by_Sentiment!$B$2:$B$37,Phone_by_Sentiment!K$2:K$37,"",0,1),0),$A419-TEXT(DATEVALUE($D419&amp;"-01"), "dd-mm-yyyy")),0),0)</f>
        <v>0</v>
      </c>
      <c r="L419" cm="1">
        <f t="array" ref="L419">IF($Q419&gt;=0,IFERROR(generateSalesData($D419, IF(ISNUMBER(_xlfn.XLOOKUP($C419,Phone_by_Sentiment!$B$2:$B$37,Phone_by_Sentiment!L$2:L$37,"",0,1)),_xlfn.XLOOKUP($C419,Phone_by_Sentiment!$B$2:$B$37,Phone_by_Sentiment!L$2:L$37,"",0,1),0),$A419-TEXT(DATEVALUE($D419&amp;"-01"), "dd-mm-yyyy")),0),0)</f>
        <v>0</v>
      </c>
      <c r="M419" cm="1">
        <f t="array" ref="M419">IF($Q419&gt;=0,IFERROR(generateSalesData($D419, IF(ISNUMBER(_xlfn.XLOOKUP($C419,Phone_by_Sentiment!$B$2:$B$37,Phone_by_Sentiment!M$2:M$37,"",0,1)),_xlfn.XLOOKUP($C419,Phone_by_Sentiment!$B$2:$B$37,Phone_by_Sentiment!M$2:M$37,"",0,1),0),$A419-TEXT(DATEVALUE($D419&amp;"-01"), "dd-mm-yyyy")),0),0)</f>
        <v>0</v>
      </c>
      <c r="N419" cm="1">
        <f t="array" ref="N419">IF($Q419&gt;=0,IFERROR(generateSalesData($D419, IF(ISNUMBER(_xlfn.XLOOKUP($C419,Phone_by_Sentiment!$B$2:$B$37,Phone_by_Sentiment!N$2:N$37,"",0,1)),_xlfn.XLOOKUP($C419,Phone_by_Sentiment!$B$2:$B$37,Phone_by_Sentiment!N$2:N$37,"",0,1),0),$A419-TEXT(DATEVALUE($D419&amp;"-01"), "dd-mm-yyyy")),0),0)</f>
        <v>0</v>
      </c>
      <c r="O419" cm="1">
        <f t="array" ref="O419">IF($Q419&gt;=0,IFERROR(generateSalesData($D419, IF(ISNUMBER(_xlfn.XLOOKUP($C419,Phone_by_Sentiment!$B$2:$B$37,Phone_by_Sentiment!O$2:O$37,"",0,1)),_xlfn.XLOOKUP($C419,Phone_by_Sentiment!$B$2:$B$37,Phone_by_Sentiment!O$2:O$37,"",0,1),0),$A419-TEXT(DATEVALUE($D419&amp;"-01"), "dd-mm-yyyy")),0),0)</f>
        <v>0</v>
      </c>
      <c r="P419" s="1">
        <f t="shared" si="16"/>
        <v>44044</v>
      </c>
      <c r="Q419">
        <f t="shared" si="17"/>
        <v>-244</v>
      </c>
    </row>
    <row r="420" spans="1:17" x14ac:dyDescent="0.25">
      <c r="A420" s="1">
        <f t="shared" si="15"/>
        <v>43800</v>
      </c>
      <c r="B420" t="s">
        <v>163</v>
      </c>
      <c r="C420" t="str">
        <f>_xlfn.XLOOKUP(B420,Phone_by_Price!$A$2:$A$34,Phone_by_Price!$B$2:$B$34,"-",0,1)</f>
        <v>OPPO A93</v>
      </c>
      <c r="D420" t="str">
        <f>_xlfn.XLOOKUP(C420,Phone_by_Sentiment!$B$2:$B$37,Phone_by_Sentiment!$A$2:$A$37,"-",0,1)</f>
        <v>2021-02</v>
      </c>
      <c r="E420" cm="1">
        <f t="array" ref="E420">IF($Q420&gt;=0,IFERROR(generateSalesData($D420, IF(ISNUMBER(_xlfn.XLOOKUP($C420,Phone_by_Sentiment!$B$2:$B$37,Phone_by_Sentiment!E$2:E$37,"",0,1)),_xlfn.XLOOKUP($C420,Phone_by_Sentiment!$B$2:$B$37,Phone_by_Sentiment!E$2:E$37,"",0,1),0),$A420-TEXT(DATEVALUE($D420&amp;"-01"), "dd-mm-yyyy")),0),0)</f>
        <v>0</v>
      </c>
      <c r="F420" cm="1">
        <f t="array" ref="F420">IF($Q420&gt;=0,IFERROR(generateSalesData($D420, IF(ISNUMBER(_xlfn.XLOOKUP($C420,Phone_by_Sentiment!$B$2:$B$37,Phone_by_Sentiment!F$2:F$37,"",0,1)),_xlfn.XLOOKUP($C420,Phone_by_Sentiment!$B$2:$B$37,Phone_by_Sentiment!F$2:F$37,"",0,1),0),$A420-TEXT(DATEVALUE($D420&amp;"-01"), "dd-mm-yyyy")),0),0)</f>
        <v>0</v>
      </c>
      <c r="G420" cm="1">
        <f t="array" ref="G420">IF($Q420&gt;=0,IFERROR(generateSalesData($D420, IF(ISNUMBER(_xlfn.XLOOKUP($C420,Phone_by_Sentiment!$B$2:$B$37,Phone_by_Sentiment!G$2:G$37,"",0,1)),_xlfn.XLOOKUP($C420,Phone_by_Sentiment!$B$2:$B$37,Phone_by_Sentiment!G$2:G$37,"",0,1),0),$A420-TEXT(DATEVALUE($D420&amp;"-01"), "dd-mm-yyyy")),0),0)</f>
        <v>0</v>
      </c>
      <c r="H420" cm="1">
        <f t="array" ref="H420">IF($Q420&gt;=0,IFERROR(generateSalesData($D420, IF(ISNUMBER(_xlfn.XLOOKUP($C420,Phone_by_Sentiment!$B$2:$B$37,Phone_by_Sentiment!H$2:H$37,"",0,1)),_xlfn.XLOOKUP($C420,Phone_by_Sentiment!$B$2:$B$37,Phone_by_Sentiment!H$2:H$37,"",0,1),0),$A420-TEXT(DATEVALUE($D420&amp;"-01"), "dd-mm-yyyy")),0),0)</f>
        <v>0</v>
      </c>
      <c r="I420" cm="1">
        <f t="array" ref="I420">IF($Q420&gt;=0,IFERROR(generateSalesData($D420, IF(ISNUMBER(_xlfn.XLOOKUP($C420,Phone_by_Sentiment!$B$2:$B$37,Phone_by_Sentiment!I$2:I$37,"",0,1)),_xlfn.XLOOKUP($C420,Phone_by_Sentiment!$B$2:$B$37,Phone_by_Sentiment!I$2:I$37,"",0,1),0),$A420-TEXT(DATEVALUE($D420&amp;"-01"), "dd-mm-yyyy")),0),0)</f>
        <v>0</v>
      </c>
      <c r="J420" cm="1">
        <f t="array" ref="J420">IF($Q420&gt;=0,IFERROR(generateSalesData($D420, IF(ISNUMBER(_xlfn.XLOOKUP($C420,Phone_by_Sentiment!$B$2:$B$37,Phone_by_Sentiment!J$2:J$37,"",0,1)),_xlfn.XLOOKUP($C420,Phone_by_Sentiment!$B$2:$B$37,Phone_by_Sentiment!J$2:J$37,"",0,1),0),$A420-TEXT(DATEVALUE($D420&amp;"-01"), "dd-mm-yyyy")),0),0)</f>
        <v>0</v>
      </c>
      <c r="K420" cm="1">
        <f t="array" ref="K420">IF($Q420&gt;=0,IFERROR(generateSalesData($D420, IF(ISNUMBER(_xlfn.XLOOKUP($C420,Phone_by_Sentiment!$B$2:$B$37,Phone_by_Sentiment!K$2:K$37,"",0,1)),_xlfn.XLOOKUP($C420,Phone_by_Sentiment!$B$2:$B$37,Phone_by_Sentiment!K$2:K$37,"",0,1),0),$A420-TEXT(DATEVALUE($D420&amp;"-01"), "dd-mm-yyyy")),0),0)</f>
        <v>0</v>
      </c>
      <c r="L420" cm="1">
        <f t="array" ref="L420">IF($Q420&gt;=0,IFERROR(generateSalesData($D420, IF(ISNUMBER(_xlfn.XLOOKUP($C420,Phone_by_Sentiment!$B$2:$B$37,Phone_by_Sentiment!L$2:L$37,"",0,1)),_xlfn.XLOOKUP($C420,Phone_by_Sentiment!$B$2:$B$37,Phone_by_Sentiment!L$2:L$37,"",0,1),0),$A420-TEXT(DATEVALUE($D420&amp;"-01"), "dd-mm-yyyy")),0),0)</f>
        <v>0</v>
      </c>
      <c r="M420" cm="1">
        <f t="array" ref="M420">IF($Q420&gt;=0,IFERROR(generateSalesData($D420, IF(ISNUMBER(_xlfn.XLOOKUP($C420,Phone_by_Sentiment!$B$2:$B$37,Phone_by_Sentiment!M$2:M$37,"",0,1)),_xlfn.XLOOKUP($C420,Phone_by_Sentiment!$B$2:$B$37,Phone_by_Sentiment!M$2:M$37,"",0,1),0),$A420-TEXT(DATEVALUE($D420&amp;"-01"), "dd-mm-yyyy")),0),0)</f>
        <v>0</v>
      </c>
      <c r="N420" cm="1">
        <f t="array" ref="N420">IF($Q420&gt;=0,IFERROR(generateSalesData($D420, IF(ISNUMBER(_xlfn.XLOOKUP($C420,Phone_by_Sentiment!$B$2:$B$37,Phone_by_Sentiment!N$2:N$37,"",0,1)),_xlfn.XLOOKUP($C420,Phone_by_Sentiment!$B$2:$B$37,Phone_by_Sentiment!N$2:N$37,"",0,1),0),$A420-TEXT(DATEVALUE($D420&amp;"-01"), "dd-mm-yyyy")),0),0)</f>
        <v>0</v>
      </c>
      <c r="O420" cm="1">
        <f t="array" ref="O420">IF($Q420&gt;=0,IFERROR(generateSalesData($D420, IF(ISNUMBER(_xlfn.XLOOKUP($C420,Phone_by_Sentiment!$B$2:$B$37,Phone_by_Sentiment!O$2:O$37,"",0,1)),_xlfn.XLOOKUP($C420,Phone_by_Sentiment!$B$2:$B$37,Phone_by_Sentiment!O$2:O$37,"",0,1),0),$A420-TEXT(DATEVALUE($D420&amp;"-01"), "dd-mm-yyyy")),0),0)</f>
        <v>0</v>
      </c>
      <c r="P420" s="1">
        <f t="shared" si="16"/>
        <v>44228</v>
      </c>
      <c r="Q420">
        <f t="shared" si="17"/>
        <v>-428</v>
      </c>
    </row>
    <row r="421" spans="1:17" x14ac:dyDescent="0.25">
      <c r="A421" s="1">
        <f t="shared" si="15"/>
        <v>43831</v>
      </c>
      <c r="B421" t="s">
        <v>164</v>
      </c>
      <c r="C421" t="str">
        <f>_xlfn.XLOOKUP(B421,Phone_by_Price!$A$2:$A$34,Phone_by_Price!$B$2:$B$34,"-",0,1)</f>
        <v>Vivo V20</v>
      </c>
      <c r="D421" t="str">
        <f>_xlfn.XLOOKUP(C421,Phone_by_Sentiment!$B$2:$B$37,Phone_by_Sentiment!$A$2:$A$37,"-",0,1)</f>
        <v>2020-10</v>
      </c>
      <c r="E421" cm="1">
        <f t="array" ref="E421">IF($Q421&gt;=0,IFERROR(generateSalesData($D421, IF(ISNUMBER(_xlfn.XLOOKUP($C421,Phone_by_Sentiment!$B$2:$B$37,Phone_by_Sentiment!E$2:E$37,"",0,1)),_xlfn.XLOOKUP($C421,Phone_by_Sentiment!$B$2:$B$37,Phone_by_Sentiment!E$2:E$37,"",0,1),0),$A421-TEXT(DATEVALUE($D421&amp;"-01"), "dd-mm-yyyy")),0),0)</f>
        <v>0</v>
      </c>
      <c r="F421" cm="1">
        <f t="array" ref="F421">IF($Q421&gt;=0,IFERROR(generateSalesData($D421, IF(ISNUMBER(_xlfn.XLOOKUP($C421,Phone_by_Sentiment!$B$2:$B$37,Phone_by_Sentiment!F$2:F$37,"",0,1)),_xlfn.XLOOKUP($C421,Phone_by_Sentiment!$B$2:$B$37,Phone_by_Sentiment!F$2:F$37,"",0,1),0),$A421-TEXT(DATEVALUE($D421&amp;"-01"), "dd-mm-yyyy")),0),0)</f>
        <v>0</v>
      </c>
      <c r="G421" cm="1">
        <f t="array" ref="G421">IF($Q421&gt;=0,IFERROR(generateSalesData($D421, IF(ISNUMBER(_xlfn.XLOOKUP($C421,Phone_by_Sentiment!$B$2:$B$37,Phone_by_Sentiment!G$2:G$37,"",0,1)),_xlfn.XLOOKUP($C421,Phone_by_Sentiment!$B$2:$B$37,Phone_by_Sentiment!G$2:G$37,"",0,1),0),$A421-TEXT(DATEVALUE($D421&amp;"-01"), "dd-mm-yyyy")),0),0)</f>
        <v>0</v>
      </c>
      <c r="H421" cm="1">
        <f t="array" ref="H421">IF($Q421&gt;=0,IFERROR(generateSalesData($D421, IF(ISNUMBER(_xlfn.XLOOKUP($C421,Phone_by_Sentiment!$B$2:$B$37,Phone_by_Sentiment!H$2:H$37,"",0,1)),_xlfn.XLOOKUP($C421,Phone_by_Sentiment!$B$2:$B$37,Phone_by_Sentiment!H$2:H$37,"",0,1),0),$A421-TEXT(DATEVALUE($D421&amp;"-01"), "dd-mm-yyyy")),0),0)</f>
        <v>0</v>
      </c>
      <c r="I421" cm="1">
        <f t="array" ref="I421">IF($Q421&gt;=0,IFERROR(generateSalesData($D421, IF(ISNUMBER(_xlfn.XLOOKUP($C421,Phone_by_Sentiment!$B$2:$B$37,Phone_by_Sentiment!I$2:I$37,"",0,1)),_xlfn.XLOOKUP($C421,Phone_by_Sentiment!$B$2:$B$37,Phone_by_Sentiment!I$2:I$37,"",0,1),0),$A421-TEXT(DATEVALUE($D421&amp;"-01"), "dd-mm-yyyy")),0),0)</f>
        <v>0</v>
      </c>
      <c r="J421" cm="1">
        <f t="array" ref="J421">IF($Q421&gt;=0,IFERROR(generateSalesData($D421, IF(ISNUMBER(_xlfn.XLOOKUP($C421,Phone_by_Sentiment!$B$2:$B$37,Phone_by_Sentiment!J$2:J$37,"",0,1)),_xlfn.XLOOKUP($C421,Phone_by_Sentiment!$B$2:$B$37,Phone_by_Sentiment!J$2:J$37,"",0,1),0),$A421-TEXT(DATEVALUE($D421&amp;"-01"), "dd-mm-yyyy")),0),0)</f>
        <v>0</v>
      </c>
      <c r="K421" cm="1">
        <f t="array" ref="K421">IF($Q421&gt;=0,IFERROR(generateSalesData($D421, IF(ISNUMBER(_xlfn.XLOOKUP($C421,Phone_by_Sentiment!$B$2:$B$37,Phone_by_Sentiment!K$2:K$37,"",0,1)),_xlfn.XLOOKUP($C421,Phone_by_Sentiment!$B$2:$B$37,Phone_by_Sentiment!K$2:K$37,"",0,1),0),$A421-TEXT(DATEVALUE($D421&amp;"-01"), "dd-mm-yyyy")),0),0)</f>
        <v>0</v>
      </c>
      <c r="L421" cm="1">
        <f t="array" ref="L421">IF($Q421&gt;=0,IFERROR(generateSalesData($D421, IF(ISNUMBER(_xlfn.XLOOKUP($C421,Phone_by_Sentiment!$B$2:$B$37,Phone_by_Sentiment!L$2:L$37,"",0,1)),_xlfn.XLOOKUP($C421,Phone_by_Sentiment!$B$2:$B$37,Phone_by_Sentiment!L$2:L$37,"",0,1),0),$A421-TEXT(DATEVALUE($D421&amp;"-01"), "dd-mm-yyyy")),0),0)</f>
        <v>0</v>
      </c>
      <c r="M421" cm="1">
        <f t="array" ref="M421">IF($Q421&gt;=0,IFERROR(generateSalesData($D421, IF(ISNUMBER(_xlfn.XLOOKUP($C421,Phone_by_Sentiment!$B$2:$B$37,Phone_by_Sentiment!M$2:M$37,"",0,1)),_xlfn.XLOOKUP($C421,Phone_by_Sentiment!$B$2:$B$37,Phone_by_Sentiment!M$2:M$37,"",0,1),0),$A421-TEXT(DATEVALUE($D421&amp;"-01"), "dd-mm-yyyy")),0),0)</f>
        <v>0</v>
      </c>
      <c r="N421" cm="1">
        <f t="array" ref="N421">IF($Q421&gt;=0,IFERROR(generateSalesData($D421, IF(ISNUMBER(_xlfn.XLOOKUP($C421,Phone_by_Sentiment!$B$2:$B$37,Phone_by_Sentiment!N$2:N$37,"",0,1)),_xlfn.XLOOKUP($C421,Phone_by_Sentiment!$B$2:$B$37,Phone_by_Sentiment!N$2:N$37,"",0,1),0),$A421-TEXT(DATEVALUE($D421&amp;"-01"), "dd-mm-yyyy")),0),0)</f>
        <v>0</v>
      </c>
      <c r="O421" cm="1">
        <f t="array" ref="O421">IF($Q421&gt;=0,IFERROR(generateSalesData($D421, IF(ISNUMBER(_xlfn.XLOOKUP($C421,Phone_by_Sentiment!$B$2:$B$37,Phone_by_Sentiment!O$2:O$37,"",0,1)),_xlfn.XLOOKUP($C421,Phone_by_Sentiment!$B$2:$B$37,Phone_by_Sentiment!O$2:O$37,"",0,1),0),$A421-TEXT(DATEVALUE($D421&amp;"-01"), "dd-mm-yyyy")),0),0)</f>
        <v>0</v>
      </c>
      <c r="P421" s="1">
        <f t="shared" si="16"/>
        <v>44105</v>
      </c>
      <c r="Q421">
        <f t="shared" si="17"/>
        <v>-274</v>
      </c>
    </row>
    <row r="422" spans="1:17" x14ac:dyDescent="0.25">
      <c r="A422" s="1">
        <f t="shared" si="15"/>
        <v>43831</v>
      </c>
      <c r="B422" t="s">
        <v>165</v>
      </c>
      <c r="C422" t="str">
        <f>_xlfn.XLOOKUP(B422,Phone_by_Price!$A$2:$A$34,Phone_by_Price!$B$2:$B$34,"-",0,1)</f>
        <v>Samsung Galaxy A50</v>
      </c>
      <c r="D422" t="str">
        <f>_xlfn.XLOOKUP(C422,Phone_by_Sentiment!$B$2:$B$37,Phone_by_Sentiment!$A$2:$A$37,"-",0,1)</f>
        <v>2019-05</v>
      </c>
      <c r="E422" cm="1">
        <f t="array" ref="E422">IF($Q422&gt;=0,IFERROR(generateSalesData($D422, IF(ISNUMBER(_xlfn.XLOOKUP($C422,Phone_by_Sentiment!$B$2:$B$37,Phone_by_Sentiment!E$2:E$37,"",0,1)),_xlfn.XLOOKUP($C422,Phone_by_Sentiment!$B$2:$B$37,Phone_by_Sentiment!E$2:E$37,"",0,1),0),$A422-TEXT(DATEVALUE($D422&amp;"-01"), "dd-mm-yyyy")),0),0)</f>
        <v>899</v>
      </c>
      <c r="F422" cm="1">
        <f t="array" ref="F422">IF($Q422&gt;=0,IFERROR(generateSalesData($D422, IF(ISNUMBER(_xlfn.XLOOKUP($C422,Phone_by_Sentiment!$B$2:$B$37,Phone_by_Sentiment!F$2:F$37,"",0,1)),_xlfn.XLOOKUP($C422,Phone_by_Sentiment!$B$2:$B$37,Phone_by_Sentiment!F$2:F$37,"",0,1),0),$A422-TEXT(DATEVALUE($D422&amp;"-01"), "dd-mm-yyyy")),0),0)</f>
        <v>373</v>
      </c>
      <c r="G422" cm="1">
        <f t="array" ref="G422">IF($Q422&gt;=0,IFERROR(generateSalesData($D422, IF(ISNUMBER(_xlfn.XLOOKUP($C422,Phone_by_Sentiment!$B$2:$B$37,Phone_by_Sentiment!G$2:G$37,"",0,1)),_xlfn.XLOOKUP($C422,Phone_by_Sentiment!$B$2:$B$37,Phone_by_Sentiment!G$2:G$37,"",0,1),0),$A422-TEXT(DATEVALUE($D422&amp;"-01"), "dd-mm-yyyy")),0),0)</f>
        <v>289</v>
      </c>
      <c r="H422" cm="1">
        <f t="array" ref="H422">IF($Q422&gt;=0,IFERROR(generateSalesData($D422, IF(ISNUMBER(_xlfn.XLOOKUP($C422,Phone_by_Sentiment!$B$2:$B$37,Phone_by_Sentiment!H$2:H$37,"",0,1)),_xlfn.XLOOKUP($C422,Phone_by_Sentiment!$B$2:$B$37,Phone_by_Sentiment!H$2:H$37,"",0,1),0),$A422-TEXT(DATEVALUE($D422&amp;"-01"), "dd-mm-yyyy")),0),0)</f>
        <v>732</v>
      </c>
      <c r="I422" cm="1">
        <f t="array" ref="I422">IF($Q422&gt;=0,IFERROR(generateSalesData($D422, IF(ISNUMBER(_xlfn.XLOOKUP($C422,Phone_by_Sentiment!$B$2:$B$37,Phone_by_Sentiment!I$2:I$37,"",0,1)),_xlfn.XLOOKUP($C422,Phone_by_Sentiment!$B$2:$B$37,Phone_by_Sentiment!I$2:I$37,"",0,1),0),$A422-TEXT(DATEVALUE($D422&amp;"-01"), "dd-mm-yyyy")),0),0)</f>
        <v>878</v>
      </c>
      <c r="J422" cm="1">
        <f t="array" ref="J422">IF($Q422&gt;=0,IFERROR(generateSalesData($D422, IF(ISNUMBER(_xlfn.XLOOKUP($C422,Phone_by_Sentiment!$B$2:$B$37,Phone_by_Sentiment!J$2:J$37,"",0,1)),_xlfn.XLOOKUP($C422,Phone_by_Sentiment!$B$2:$B$37,Phone_by_Sentiment!J$2:J$37,"",0,1),0),$A422-TEXT(DATEVALUE($D422&amp;"-01"), "dd-mm-yyyy")),0),0)</f>
        <v>527</v>
      </c>
      <c r="K422" cm="1">
        <f t="array" ref="K422">IF($Q422&gt;=0,IFERROR(generateSalesData($D422, IF(ISNUMBER(_xlfn.XLOOKUP($C422,Phone_by_Sentiment!$B$2:$B$37,Phone_by_Sentiment!K$2:K$37,"",0,1)),_xlfn.XLOOKUP($C422,Phone_by_Sentiment!$B$2:$B$37,Phone_by_Sentiment!K$2:K$37,"",0,1),0),$A422-TEXT(DATEVALUE($D422&amp;"-01"), "dd-mm-yyyy")),0),0)</f>
        <v>28</v>
      </c>
      <c r="L422" cm="1">
        <f t="array" ref="L422">IF($Q422&gt;=0,IFERROR(generateSalesData($D422, IF(ISNUMBER(_xlfn.XLOOKUP($C422,Phone_by_Sentiment!$B$2:$B$37,Phone_by_Sentiment!L$2:L$37,"",0,1)),_xlfn.XLOOKUP($C422,Phone_by_Sentiment!$B$2:$B$37,Phone_by_Sentiment!L$2:L$37,"",0,1),0),$A422-TEXT(DATEVALUE($D422&amp;"-01"), "dd-mm-yyyy")),0),0)</f>
        <v>1385</v>
      </c>
      <c r="M422" cm="1">
        <f t="array" ref="M422">IF($Q422&gt;=0,IFERROR(generateSalesData($D422, IF(ISNUMBER(_xlfn.XLOOKUP($C422,Phone_by_Sentiment!$B$2:$B$37,Phone_by_Sentiment!M$2:M$37,"",0,1)),_xlfn.XLOOKUP($C422,Phone_by_Sentiment!$B$2:$B$37,Phone_by_Sentiment!M$2:M$37,"",0,1),0),$A422-TEXT(DATEVALUE($D422&amp;"-01"), "dd-mm-yyyy")),0),0)</f>
        <v>428</v>
      </c>
      <c r="N422" cm="1">
        <f t="array" ref="N422">IF($Q422&gt;=0,IFERROR(generateSalesData($D422, IF(ISNUMBER(_xlfn.XLOOKUP($C422,Phone_by_Sentiment!$B$2:$B$37,Phone_by_Sentiment!N$2:N$37,"",0,1)),_xlfn.XLOOKUP($C422,Phone_by_Sentiment!$B$2:$B$37,Phone_by_Sentiment!N$2:N$37,"",0,1),0),$A422-TEXT(DATEVALUE($D422&amp;"-01"), "dd-mm-yyyy")),0),0)</f>
        <v>850</v>
      </c>
      <c r="O422" cm="1">
        <f t="array" ref="O422">IF($Q422&gt;=0,IFERROR(generateSalesData($D422, IF(ISNUMBER(_xlfn.XLOOKUP($C422,Phone_by_Sentiment!$B$2:$B$37,Phone_by_Sentiment!O$2:O$37,"",0,1)),_xlfn.XLOOKUP($C422,Phone_by_Sentiment!$B$2:$B$37,Phone_by_Sentiment!O$2:O$37,"",0,1),0),$A422-TEXT(DATEVALUE($D422&amp;"-01"), "dd-mm-yyyy")),0),0)</f>
        <v>1223</v>
      </c>
      <c r="P422" s="1">
        <f t="shared" si="16"/>
        <v>43586</v>
      </c>
      <c r="Q422">
        <f t="shared" si="17"/>
        <v>245</v>
      </c>
    </row>
    <row r="423" spans="1:17" x14ac:dyDescent="0.25">
      <c r="A423" s="1">
        <f t="shared" si="15"/>
        <v>43831</v>
      </c>
      <c r="B423" t="s">
        <v>166</v>
      </c>
      <c r="C423" t="str">
        <f>_xlfn.XLOOKUP(B423,Phone_by_Price!$A$2:$A$34,Phone_by_Price!$B$2:$B$34,"-",0,1)</f>
        <v>Xiaomi Redmi Note 7</v>
      </c>
      <c r="D423" t="str">
        <f>_xlfn.XLOOKUP(C423,Phone_by_Sentiment!$B$2:$B$37,Phone_by_Sentiment!$A$2:$A$37,"-",0,1)</f>
        <v>2019-08</v>
      </c>
      <c r="E423" cm="1">
        <f t="array" ref="E423">IF($Q423&gt;=0,IFERROR(generateSalesData($D423, IF(ISNUMBER(_xlfn.XLOOKUP($C423,Phone_by_Sentiment!$B$2:$B$37,Phone_by_Sentiment!E$2:E$37,"",0,1)),_xlfn.XLOOKUP($C423,Phone_by_Sentiment!$B$2:$B$37,Phone_by_Sentiment!E$2:E$37,"",0,1),0),$A423-TEXT(DATEVALUE($D423&amp;"-01"), "dd-mm-yyyy")),0),0)</f>
        <v>386</v>
      </c>
      <c r="F423" cm="1">
        <f t="array" ref="F423">IF($Q423&gt;=0,IFERROR(generateSalesData($D423, IF(ISNUMBER(_xlfn.XLOOKUP($C423,Phone_by_Sentiment!$B$2:$B$37,Phone_by_Sentiment!F$2:F$37,"",0,1)),_xlfn.XLOOKUP($C423,Phone_by_Sentiment!$B$2:$B$37,Phone_by_Sentiment!F$2:F$37,"",0,1),0),$A423-TEXT(DATEVALUE($D423&amp;"-01"), "dd-mm-yyyy")),0),0)</f>
        <v>414</v>
      </c>
      <c r="G423" cm="1">
        <f t="array" ref="G423">IF($Q423&gt;=0,IFERROR(generateSalesData($D423, IF(ISNUMBER(_xlfn.XLOOKUP($C423,Phone_by_Sentiment!$B$2:$B$37,Phone_by_Sentiment!G$2:G$37,"",0,1)),_xlfn.XLOOKUP($C423,Phone_by_Sentiment!$B$2:$B$37,Phone_by_Sentiment!G$2:G$37,"",0,1),0),$A423-TEXT(DATEVALUE($D423&amp;"-01"), "dd-mm-yyyy")),0),0)</f>
        <v>107</v>
      </c>
      <c r="H423" cm="1">
        <f t="array" ref="H423">IF($Q423&gt;=0,IFERROR(generateSalesData($D423, IF(ISNUMBER(_xlfn.XLOOKUP($C423,Phone_by_Sentiment!$B$2:$B$37,Phone_by_Sentiment!H$2:H$37,"",0,1)),_xlfn.XLOOKUP($C423,Phone_by_Sentiment!$B$2:$B$37,Phone_by_Sentiment!H$2:H$37,"",0,1),0),$A423-TEXT(DATEVALUE($D423&amp;"-01"), "dd-mm-yyyy")),0),0)</f>
        <v>3438</v>
      </c>
      <c r="I423" cm="1">
        <f t="array" ref="I423">IF($Q423&gt;=0,IFERROR(generateSalesData($D423, IF(ISNUMBER(_xlfn.XLOOKUP($C423,Phone_by_Sentiment!$B$2:$B$37,Phone_by_Sentiment!I$2:I$37,"",0,1)),_xlfn.XLOOKUP($C423,Phone_by_Sentiment!$B$2:$B$37,Phone_by_Sentiment!I$2:I$37,"",0,1),0),$A423-TEXT(DATEVALUE($D423&amp;"-01"), "dd-mm-yyyy")),0),0)</f>
        <v>328</v>
      </c>
      <c r="J423" cm="1">
        <f t="array" ref="J423">IF($Q423&gt;=0,IFERROR(generateSalesData($D423, IF(ISNUMBER(_xlfn.XLOOKUP($C423,Phone_by_Sentiment!$B$2:$B$37,Phone_by_Sentiment!J$2:J$37,"",0,1)),_xlfn.XLOOKUP($C423,Phone_by_Sentiment!$B$2:$B$37,Phone_by_Sentiment!J$2:J$37,"",0,1),0),$A423-TEXT(DATEVALUE($D423&amp;"-01"), "dd-mm-yyyy")),0),0)</f>
        <v>510</v>
      </c>
      <c r="K423" cm="1">
        <f t="array" ref="K423">IF($Q423&gt;=0,IFERROR(generateSalesData($D423, IF(ISNUMBER(_xlfn.XLOOKUP($C423,Phone_by_Sentiment!$B$2:$B$37,Phone_by_Sentiment!K$2:K$37,"",0,1)),_xlfn.XLOOKUP($C423,Phone_by_Sentiment!$B$2:$B$37,Phone_by_Sentiment!K$2:K$37,"",0,1),0),$A423-TEXT(DATEVALUE($D423&amp;"-01"), "dd-mm-yyyy")),0),0)</f>
        <v>1210</v>
      </c>
      <c r="L423" cm="1">
        <f t="array" ref="L423">IF($Q423&gt;=0,IFERROR(generateSalesData($D423, IF(ISNUMBER(_xlfn.XLOOKUP($C423,Phone_by_Sentiment!$B$2:$B$37,Phone_by_Sentiment!L$2:L$37,"",0,1)),_xlfn.XLOOKUP($C423,Phone_by_Sentiment!$B$2:$B$37,Phone_by_Sentiment!L$2:L$37,"",0,1),0),$A423-TEXT(DATEVALUE($D423&amp;"-01"), "dd-mm-yyyy")),0),0)</f>
        <v>523</v>
      </c>
      <c r="M423" cm="1">
        <f t="array" ref="M423">IF($Q423&gt;=0,IFERROR(generateSalesData($D423, IF(ISNUMBER(_xlfn.XLOOKUP($C423,Phone_by_Sentiment!$B$2:$B$37,Phone_by_Sentiment!M$2:M$37,"",0,1)),_xlfn.XLOOKUP($C423,Phone_by_Sentiment!$B$2:$B$37,Phone_by_Sentiment!M$2:M$37,"",0,1),0),$A423-TEXT(DATEVALUE($D423&amp;"-01"), "dd-mm-yyyy")),0),0)</f>
        <v>810</v>
      </c>
      <c r="N423" cm="1">
        <f t="array" ref="N423">IF($Q423&gt;=0,IFERROR(generateSalesData($D423, IF(ISNUMBER(_xlfn.XLOOKUP($C423,Phone_by_Sentiment!$B$2:$B$37,Phone_by_Sentiment!N$2:N$37,"",0,1)),_xlfn.XLOOKUP($C423,Phone_by_Sentiment!$B$2:$B$37,Phone_by_Sentiment!N$2:N$37,"",0,1),0),$A423-TEXT(DATEVALUE($D423&amp;"-01"), "dd-mm-yyyy")),0),0)</f>
        <v>460</v>
      </c>
      <c r="O423" cm="1">
        <f t="array" ref="O423">IF($Q423&gt;=0,IFERROR(generateSalesData($D423, IF(ISNUMBER(_xlfn.XLOOKUP($C423,Phone_by_Sentiment!$B$2:$B$37,Phone_by_Sentiment!O$2:O$37,"",0,1)),_xlfn.XLOOKUP($C423,Phone_by_Sentiment!$B$2:$B$37,Phone_by_Sentiment!O$2:O$37,"",0,1),0),$A423-TEXT(DATEVALUE($D423&amp;"-01"), "dd-mm-yyyy")),0),0)</f>
        <v>935</v>
      </c>
      <c r="P423" s="1">
        <f t="shared" si="16"/>
        <v>43678</v>
      </c>
      <c r="Q423">
        <f t="shared" si="17"/>
        <v>153</v>
      </c>
    </row>
    <row r="424" spans="1:17" x14ac:dyDescent="0.25">
      <c r="A424" s="1">
        <f t="shared" si="15"/>
        <v>43831</v>
      </c>
      <c r="B424" t="s">
        <v>167</v>
      </c>
      <c r="C424" t="str">
        <f>_xlfn.XLOOKUP(B424,Phone_by_Price!$A$2:$A$34,Phone_by_Price!$B$2:$B$34,"-",0,1)</f>
        <v>Realme C21</v>
      </c>
      <c r="D424" t="str">
        <f>_xlfn.XLOOKUP(C424,Phone_by_Sentiment!$B$2:$B$37,Phone_by_Sentiment!$A$2:$A$37,"-",0,1)</f>
        <v>2021-04</v>
      </c>
      <c r="E424" cm="1">
        <f t="array" ref="E424">IF($Q424&gt;=0,IFERROR(generateSalesData($D424, IF(ISNUMBER(_xlfn.XLOOKUP($C424,Phone_by_Sentiment!$B$2:$B$37,Phone_by_Sentiment!E$2:E$37,"",0,1)),_xlfn.XLOOKUP($C424,Phone_by_Sentiment!$B$2:$B$37,Phone_by_Sentiment!E$2:E$37,"",0,1),0),$A424-TEXT(DATEVALUE($D424&amp;"-01"), "dd-mm-yyyy")),0),0)</f>
        <v>0</v>
      </c>
      <c r="F424" cm="1">
        <f t="array" ref="F424">IF($Q424&gt;=0,IFERROR(generateSalesData($D424, IF(ISNUMBER(_xlfn.XLOOKUP($C424,Phone_by_Sentiment!$B$2:$B$37,Phone_by_Sentiment!F$2:F$37,"",0,1)),_xlfn.XLOOKUP($C424,Phone_by_Sentiment!$B$2:$B$37,Phone_by_Sentiment!F$2:F$37,"",0,1),0),$A424-TEXT(DATEVALUE($D424&amp;"-01"), "dd-mm-yyyy")),0),0)</f>
        <v>0</v>
      </c>
      <c r="G424" cm="1">
        <f t="array" ref="G424">IF($Q424&gt;=0,IFERROR(generateSalesData($D424, IF(ISNUMBER(_xlfn.XLOOKUP($C424,Phone_by_Sentiment!$B$2:$B$37,Phone_by_Sentiment!G$2:G$37,"",0,1)),_xlfn.XLOOKUP($C424,Phone_by_Sentiment!$B$2:$B$37,Phone_by_Sentiment!G$2:G$37,"",0,1),0),$A424-TEXT(DATEVALUE($D424&amp;"-01"), "dd-mm-yyyy")),0),0)</f>
        <v>0</v>
      </c>
      <c r="H424" cm="1">
        <f t="array" ref="H424">IF($Q424&gt;=0,IFERROR(generateSalesData($D424, IF(ISNUMBER(_xlfn.XLOOKUP($C424,Phone_by_Sentiment!$B$2:$B$37,Phone_by_Sentiment!H$2:H$37,"",0,1)),_xlfn.XLOOKUP($C424,Phone_by_Sentiment!$B$2:$B$37,Phone_by_Sentiment!H$2:H$37,"",0,1),0),$A424-TEXT(DATEVALUE($D424&amp;"-01"), "dd-mm-yyyy")),0),0)</f>
        <v>0</v>
      </c>
      <c r="I424" cm="1">
        <f t="array" ref="I424">IF($Q424&gt;=0,IFERROR(generateSalesData($D424, IF(ISNUMBER(_xlfn.XLOOKUP($C424,Phone_by_Sentiment!$B$2:$B$37,Phone_by_Sentiment!I$2:I$37,"",0,1)),_xlfn.XLOOKUP($C424,Phone_by_Sentiment!$B$2:$B$37,Phone_by_Sentiment!I$2:I$37,"",0,1),0),$A424-TEXT(DATEVALUE($D424&amp;"-01"), "dd-mm-yyyy")),0),0)</f>
        <v>0</v>
      </c>
      <c r="J424" cm="1">
        <f t="array" ref="J424">IF($Q424&gt;=0,IFERROR(generateSalesData($D424, IF(ISNUMBER(_xlfn.XLOOKUP($C424,Phone_by_Sentiment!$B$2:$B$37,Phone_by_Sentiment!J$2:J$37,"",0,1)),_xlfn.XLOOKUP($C424,Phone_by_Sentiment!$B$2:$B$37,Phone_by_Sentiment!J$2:J$37,"",0,1),0),$A424-TEXT(DATEVALUE($D424&amp;"-01"), "dd-mm-yyyy")),0),0)</f>
        <v>0</v>
      </c>
      <c r="K424" cm="1">
        <f t="array" ref="K424">IF($Q424&gt;=0,IFERROR(generateSalesData($D424, IF(ISNUMBER(_xlfn.XLOOKUP($C424,Phone_by_Sentiment!$B$2:$B$37,Phone_by_Sentiment!K$2:K$37,"",0,1)),_xlfn.XLOOKUP($C424,Phone_by_Sentiment!$B$2:$B$37,Phone_by_Sentiment!K$2:K$37,"",0,1),0),$A424-TEXT(DATEVALUE($D424&amp;"-01"), "dd-mm-yyyy")),0),0)</f>
        <v>0</v>
      </c>
      <c r="L424" cm="1">
        <f t="array" ref="L424">IF($Q424&gt;=0,IFERROR(generateSalesData($D424, IF(ISNUMBER(_xlfn.XLOOKUP($C424,Phone_by_Sentiment!$B$2:$B$37,Phone_by_Sentiment!L$2:L$37,"",0,1)),_xlfn.XLOOKUP($C424,Phone_by_Sentiment!$B$2:$B$37,Phone_by_Sentiment!L$2:L$37,"",0,1),0),$A424-TEXT(DATEVALUE($D424&amp;"-01"), "dd-mm-yyyy")),0),0)</f>
        <v>0</v>
      </c>
      <c r="M424" cm="1">
        <f t="array" ref="M424">IF($Q424&gt;=0,IFERROR(generateSalesData($D424, IF(ISNUMBER(_xlfn.XLOOKUP($C424,Phone_by_Sentiment!$B$2:$B$37,Phone_by_Sentiment!M$2:M$37,"",0,1)),_xlfn.XLOOKUP($C424,Phone_by_Sentiment!$B$2:$B$37,Phone_by_Sentiment!M$2:M$37,"",0,1),0),$A424-TEXT(DATEVALUE($D424&amp;"-01"), "dd-mm-yyyy")),0),0)</f>
        <v>0</v>
      </c>
      <c r="N424" cm="1">
        <f t="array" ref="N424">IF($Q424&gt;=0,IFERROR(generateSalesData($D424, IF(ISNUMBER(_xlfn.XLOOKUP($C424,Phone_by_Sentiment!$B$2:$B$37,Phone_by_Sentiment!N$2:N$37,"",0,1)),_xlfn.XLOOKUP($C424,Phone_by_Sentiment!$B$2:$B$37,Phone_by_Sentiment!N$2:N$37,"",0,1),0),$A424-TEXT(DATEVALUE($D424&amp;"-01"), "dd-mm-yyyy")),0),0)</f>
        <v>0</v>
      </c>
      <c r="O424" cm="1">
        <f t="array" ref="O424">IF($Q424&gt;=0,IFERROR(generateSalesData($D424, IF(ISNUMBER(_xlfn.XLOOKUP($C424,Phone_by_Sentiment!$B$2:$B$37,Phone_by_Sentiment!O$2:O$37,"",0,1)),_xlfn.XLOOKUP($C424,Phone_by_Sentiment!$B$2:$B$37,Phone_by_Sentiment!O$2:O$37,"",0,1),0),$A424-TEXT(DATEVALUE($D424&amp;"-01"), "dd-mm-yyyy")),0),0)</f>
        <v>0</v>
      </c>
      <c r="P424" s="1">
        <f t="shared" si="16"/>
        <v>44287</v>
      </c>
      <c r="Q424">
        <f t="shared" si="17"/>
        <v>-456</v>
      </c>
    </row>
    <row r="425" spans="1:17" x14ac:dyDescent="0.25">
      <c r="A425" s="1">
        <f t="shared" si="15"/>
        <v>43831</v>
      </c>
      <c r="B425" t="s">
        <v>168</v>
      </c>
      <c r="C425" t="str">
        <f>_xlfn.XLOOKUP(B425,Phone_by_Price!$A$2:$A$34,Phone_by_Price!$B$2:$B$34,"-",0,1)</f>
        <v>Google Pixel 4</v>
      </c>
      <c r="D425" t="str">
        <f>_xlfn.XLOOKUP(C425,Phone_by_Sentiment!$B$2:$B$37,Phone_by_Sentiment!$A$2:$A$37,"-",0,1)</f>
        <v>2019-09</v>
      </c>
      <c r="E425" cm="1">
        <f t="array" ref="E425">IF($Q425&gt;=0,IFERROR(generateSalesData($D425, IF(ISNUMBER(_xlfn.XLOOKUP($C425,Phone_by_Sentiment!$B$2:$B$37,Phone_by_Sentiment!E$2:E$37,"",0,1)),_xlfn.XLOOKUP($C425,Phone_by_Sentiment!$B$2:$B$37,Phone_by_Sentiment!E$2:E$37,"",0,1),0),$A425-TEXT(DATEVALUE($D425&amp;"-01"), "dd-mm-yyyy")),0),0)</f>
        <v>1303</v>
      </c>
      <c r="F425" cm="1">
        <f t="array" ref="F425">IF($Q425&gt;=0,IFERROR(generateSalesData($D425, IF(ISNUMBER(_xlfn.XLOOKUP($C425,Phone_by_Sentiment!$B$2:$B$37,Phone_by_Sentiment!F$2:F$37,"",0,1)),_xlfn.XLOOKUP($C425,Phone_by_Sentiment!$B$2:$B$37,Phone_by_Sentiment!F$2:F$37,"",0,1),0),$A425-TEXT(DATEVALUE($D425&amp;"-01"), "dd-mm-yyyy")),0),0)</f>
        <v>384</v>
      </c>
      <c r="G425" cm="1">
        <f t="array" ref="G425">IF($Q425&gt;=0,IFERROR(generateSalesData($D425, IF(ISNUMBER(_xlfn.XLOOKUP($C425,Phone_by_Sentiment!$B$2:$B$37,Phone_by_Sentiment!G$2:G$37,"",0,1)),_xlfn.XLOOKUP($C425,Phone_by_Sentiment!$B$2:$B$37,Phone_by_Sentiment!G$2:G$37,"",0,1),0),$A425-TEXT(DATEVALUE($D425&amp;"-01"), "dd-mm-yyyy")),0),0)</f>
        <v>880</v>
      </c>
      <c r="H425" cm="1">
        <f t="array" ref="H425">IF($Q425&gt;=0,IFERROR(generateSalesData($D425, IF(ISNUMBER(_xlfn.XLOOKUP($C425,Phone_by_Sentiment!$B$2:$B$37,Phone_by_Sentiment!H$2:H$37,"",0,1)),_xlfn.XLOOKUP($C425,Phone_by_Sentiment!$B$2:$B$37,Phone_by_Sentiment!H$2:H$37,"",0,1),0),$A425-TEXT(DATEVALUE($D425&amp;"-01"), "dd-mm-yyyy")),0),0)</f>
        <v>425</v>
      </c>
      <c r="I425" cm="1">
        <f t="array" ref="I425">IF($Q425&gt;=0,IFERROR(generateSalesData($D425, IF(ISNUMBER(_xlfn.XLOOKUP($C425,Phone_by_Sentiment!$B$2:$B$37,Phone_by_Sentiment!I$2:I$37,"",0,1)),_xlfn.XLOOKUP($C425,Phone_by_Sentiment!$B$2:$B$37,Phone_by_Sentiment!I$2:I$37,"",0,1),0),$A425-TEXT(DATEVALUE($D425&amp;"-01"), "dd-mm-yyyy")),0),0)</f>
        <v>453</v>
      </c>
      <c r="J425" cm="1">
        <f t="array" ref="J425">IF($Q425&gt;=0,IFERROR(generateSalesData($D425, IF(ISNUMBER(_xlfn.XLOOKUP($C425,Phone_by_Sentiment!$B$2:$B$37,Phone_by_Sentiment!J$2:J$37,"",0,1)),_xlfn.XLOOKUP($C425,Phone_by_Sentiment!$B$2:$B$37,Phone_by_Sentiment!J$2:J$37,"",0,1),0),$A425-TEXT(DATEVALUE($D425&amp;"-01"), "dd-mm-yyyy")),0),0)</f>
        <v>1036</v>
      </c>
      <c r="K425" cm="1">
        <f t="array" ref="K425">IF($Q425&gt;=0,IFERROR(generateSalesData($D425, IF(ISNUMBER(_xlfn.XLOOKUP($C425,Phone_by_Sentiment!$B$2:$B$37,Phone_by_Sentiment!K$2:K$37,"",0,1)),_xlfn.XLOOKUP($C425,Phone_by_Sentiment!$B$2:$B$37,Phone_by_Sentiment!K$2:K$37,"",0,1),0),$A425-TEXT(DATEVALUE($D425&amp;"-01"), "dd-mm-yyyy")),0),0)</f>
        <v>318</v>
      </c>
      <c r="L425" cm="1">
        <f t="array" ref="L425">IF($Q425&gt;=0,IFERROR(generateSalesData($D425, IF(ISNUMBER(_xlfn.XLOOKUP($C425,Phone_by_Sentiment!$B$2:$B$37,Phone_by_Sentiment!L$2:L$37,"",0,1)),_xlfn.XLOOKUP($C425,Phone_by_Sentiment!$B$2:$B$37,Phone_by_Sentiment!L$2:L$37,"",0,1),0),$A425-TEXT(DATEVALUE($D425&amp;"-01"), "dd-mm-yyyy")),0),0)</f>
        <v>1294</v>
      </c>
      <c r="M425" cm="1">
        <f t="array" ref="M425">IF($Q425&gt;=0,IFERROR(generateSalesData($D425, IF(ISNUMBER(_xlfn.XLOOKUP($C425,Phone_by_Sentiment!$B$2:$B$37,Phone_by_Sentiment!M$2:M$37,"",0,1)),_xlfn.XLOOKUP($C425,Phone_by_Sentiment!$B$2:$B$37,Phone_by_Sentiment!M$2:M$37,"",0,1),0),$A425-TEXT(DATEVALUE($D425&amp;"-01"), "dd-mm-yyyy")),0),0)</f>
        <v>374</v>
      </c>
      <c r="N425" cm="1">
        <f t="array" ref="N425">IF($Q425&gt;=0,IFERROR(generateSalesData($D425, IF(ISNUMBER(_xlfn.XLOOKUP($C425,Phone_by_Sentiment!$B$2:$B$37,Phone_by_Sentiment!N$2:N$37,"",0,1)),_xlfn.XLOOKUP($C425,Phone_by_Sentiment!$B$2:$B$37,Phone_by_Sentiment!N$2:N$37,"",0,1),0),$A425-TEXT(DATEVALUE($D425&amp;"-01"), "dd-mm-yyyy")),0),0)</f>
        <v>1827</v>
      </c>
      <c r="O425" cm="1">
        <f t="array" ref="O425">IF($Q425&gt;=0,IFERROR(generateSalesData($D425, IF(ISNUMBER(_xlfn.XLOOKUP($C425,Phone_by_Sentiment!$B$2:$B$37,Phone_by_Sentiment!O$2:O$37,"",0,1)),_xlfn.XLOOKUP($C425,Phone_by_Sentiment!$B$2:$B$37,Phone_by_Sentiment!O$2:O$37,"",0,1),0),$A425-TEXT(DATEVALUE($D425&amp;"-01"), "dd-mm-yyyy")),0),0)</f>
        <v>311</v>
      </c>
      <c r="P425" s="1">
        <f t="shared" si="16"/>
        <v>43709</v>
      </c>
      <c r="Q425">
        <f t="shared" si="17"/>
        <v>122</v>
      </c>
    </row>
    <row r="426" spans="1:17" x14ac:dyDescent="0.25">
      <c r="A426" s="1">
        <f t="shared" si="15"/>
        <v>43831</v>
      </c>
      <c r="B426" t="s">
        <v>169</v>
      </c>
      <c r="C426" t="str">
        <f>_xlfn.XLOOKUP(B426,Phone_by_Price!$A$2:$A$34,Phone_by_Price!$B$2:$B$34,"-",0,1)</f>
        <v>Samsung Galaxy A10s</v>
      </c>
      <c r="D426" t="str">
        <f>_xlfn.XLOOKUP(C426,Phone_by_Sentiment!$B$2:$B$37,Phone_by_Sentiment!$A$2:$A$37,"-",0,1)</f>
        <v>2019-08</v>
      </c>
      <c r="E426" cm="1">
        <f t="array" ref="E426">IF($Q426&gt;=0,IFERROR(generateSalesData($D426, IF(ISNUMBER(_xlfn.XLOOKUP($C426,Phone_by_Sentiment!$B$2:$B$37,Phone_by_Sentiment!E$2:E$37,"",0,1)),_xlfn.XLOOKUP($C426,Phone_by_Sentiment!$B$2:$B$37,Phone_by_Sentiment!E$2:E$37,"",0,1),0),$A426-TEXT(DATEVALUE($D426&amp;"-01"), "dd-mm-yyyy")),0),0)</f>
        <v>350</v>
      </c>
      <c r="F426" cm="1">
        <f t="array" ref="F426">IF($Q426&gt;=0,IFERROR(generateSalesData($D426, IF(ISNUMBER(_xlfn.XLOOKUP($C426,Phone_by_Sentiment!$B$2:$B$37,Phone_by_Sentiment!F$2:F$37,"",0,1)),_xlfn.XLOOKUP($C426,Phone_by_Sentiment!$B$2:$B$37,Phone_by_Sentiment!F$2:F$37,"",0,1),0),$A426-TEXT(DATEVALUE($D426&amp;"-01"), "dd-mm-yyyy")),0),0)</f>
        <v>634</v>
      </c>
      <c r="G426" cm="1">
        <f t="array" ref="G426">IF($Q426&gt;=0,IFERROR(generateSalesData($D426, IF(ISNUMBER(_xlfn.XLOOKUP($C426,Phone_by_Sentiment!$B$2:$B$37,Phone_by_Sentiment!G$2:G$37,"",0,1)),_xlfn.XLOOKUP($C426,Phone_by_Sentiment!$B$2:$B$37,Phone_by_Sentiment!G$2:G$37,"",0,1),0),$A426-TEXT(DATEVALUE($D426&amp;"-01"), "dd-mm-yyyy")),0),0)</f>
        <v>42</v>
      </c>
      <c r="H426" cm="1">
        <f t="array" ref="H426">IF($Q426&gt;=0,IFERROR(generateSalesData($D426, IF(ISNUMBER(_xlfn.XLOOKUP($C426,Phone_by_Sentiment!$B$2:$B$37,Phone_by_Sentiment!H$2:H$37,"",0,1)),_xlfn.XLOOKUP($C426,Phone_by_Sentiment!$B$2:$B$37,Phone_by_Sentiment!H$2:H$37,"",0,1),0),$A426-TEXT(DATEVALUE($D426&amp;"-01"), "dd-mm-yyyy")),0),0)</f>
        <v>544</v>
      </c>
      <c r="I426" cm="1">
        <f t="array" ref="I426">IF($Q426&gt;=0,IFERROR(generateSalesData($D426, IF(ISNUMBER(_xlfn.XLOOKUP($C426,Phone_by_Sentiment!$B$2:$B$37,Phone_by_Sentiment!I$2:I$37,"",0,1)),_xlfn.XLOOKUP($C426,Phone_by_Sentiment!$B$2:$B$37,Phone_by_Sentiment!I$2:I$37,"",0,1),0),$A426-TEXT(DATEVALUE($D426&amp;"-01"), "dd-mm-yyyy")),0),0)</f>
        <v>1982</v>
      </c>
      <c r="J426" cm="1">
        <f t="array" ref="J426">IF($Q426&gt;=0,IFERROR(generateSalesData($D426, IF(ISNUMBER(_xlfn.XLOOKUP($C426,Phone_by_Sentiment!$B$2:$B$37,Phone_by_Sentiment!J$2:J$37,"",0,1)),_xlfn.XLOOKUP($C426,Phone_by_Sentiment!$B$2:$B$37,Phone_by_Sentiment!J$2:J$37,"",0,1),0),$A426-TEXT(DATEVALUE($D426&amp;"-01"), "dd-mm-yyyy")),0),0)</f>
        <v>848</v>
      </c>
      <c r="K426" cm="1">
        <f t="array" ref="K426">IF($Q426&gt;=0,IFERROR(generateSalesData($D426, IF(ISNUMBER(_xlfn.XLOOKUP($C426,Phone_by_Sentiment!$B$2:$B$37,Phone_by_Sentiment!K$2:K$37,"",0,1)),_xlfn.XLOOKUP($C426,Phone_by_Sentiment!$B$2:$B$37,Phone_by_Sentiment!K$2:K$37,"",0,1),0),$A426-TEXT(DATEVALUE($D426&amp;"-01"), "dd-mm-yyyy")),0),0)</f>
        <v>1030</v>
      </c>
      <c r="L426" cm="1">
        <f t="array" ref="L426">IF($Q426&gt;=0,IFERROR(generateSalesData($D426, IF(ISNUMBER(_xlfn.XLOOKUP($C426,Phone_by_Sentiment!$B$2:$B$37,Phone_by_Sentiment!L$2:L$37,"",0,1)),_xlfn.XLOOKUP($C426,Phone_by_Sentiment!$B$2:$B$37,Phone_by_Sentiment!L$2:L$37,"",0,1),0),$A426-TEXT(DATEVALUE($D426&amp;"-01"), "dd-mm-yyyy")),0),0)</f>
        <v>345</v>
      </c>
      <c r="M426" cm="1">
        <f t="array" ref="M426">IF($Q426&gt;=0,IFERROR(generateSalesData($D426, IF(ISNUMBER(_xlfn.XLOOKUP($C426,Phone_by_Sentiment!$B$2:$B$37,Phone_by_Sentiment!M$2:M$37,"",0,1)),_xlfn.XLOOKUP($C426,Phone_by_Sentiment!$B$2:$B$37,Phone_by_Sentiment!M$2:M$37,"",0,1),0),$A426-TEXT(DATEVALUE($D426&amp;"-01"), "dd-mm-yyyy")),0),0)</f>
        <v>1371</v>
      </c>
      <c r="N426" cm="1">
        <f t="array" ref="N426">IF($Q426&gt;=0,IFERROR(generateSalesData($D426, IF(ISNUMBER(_xlfn.XLOOKUP($C426,Phone_by_Sentiment!$B$2:$B$37,Phone_by_Sentiment!N$2:N$37,"",0,1)),_xlfn.XLOOKUP($C426,Phone_by_Sentiment!$B$2:$B$37,Phone_by_Sentiment!N$2:N$37,"",0,1),0),$A426-TEXT(DATEVALUE($D426&amp;"-01"), "dd-mm-yyyy")),0),0)</f>
        <v>-212</v>
      </c>
      <c r="O426" cm="1">
        <f t="array" ref="O426">IF($Q426&gt;=0,IFERROR(generateSalesData($D426, IF(ISNUMBER(_xlfn.XLOOKUP($C426,Phone_by_Sentiment!$B$2:$B$37,Phone_by_Sentiment!O$2:O$37,"",0,1)),_xlfn.XLOOKUP($C426,Phone_by_Sentiment!$B$2:$B$37,Phone_by_Sentiment!O$2:O$37,"",0,1),0),$A426-TEXT(DATEVALUE($D426&amp;"-01"), "dd-mm-yyyy")),0),0)</f>
        <v>1138</v>
      </c>
      <c r="P426" s="1">
        <f t="shared" si="16"/>
        <v>43678</v>
      </c>
      <c r="Q426">
        <f t="shared" si="17"/>
        <v>153</v>
      </c>
    </row>
    <row r="427" spans="1:17" x14ac:dyDescent="0.25">
      <c r="A427" s="1">
        <f t="shared" si="15"/>
        <v>43831</v>
      </c>
      <c r="B427" t="s">
        <v>170</v>
      </c>
      <c r="C427" t="str">
        <f>_xlfn.XLOOKUP(B427,Phone_by_Price!$A$2:$A$34,Phone_by_Price!$B$2:$B$34,"-",0,1)</f>
        <v>Realme Narzo 30A</v>
      </c>
      <c r="D427" t="str">
        <f>_xlfn.XLOOKUP(C427,Phone_by_Sentiment!$B$2:$B$37,Phone_by_Sentiment!$A$2:$A$37,"-",0,1)</f>
        <v>2021-02</v>
      </c>
      <c r="E427" cm="1">
        <f t="array" ref="E427">IF($Q427&gt;=0,IFERROR(generateSalesData($D427, IF(ISNUMBER(_xlfn.XLOOKUP($C427,Phone_by_Sentiment!$B$2:$B$37,Phone_by_Sentiment!E$2:E$37,"",0,1)),_xlfn.XLOOKUP($C427,Phone_by_Sentiment!$B$2:$B$37,Phone_by_Sentiment!E$2:E$37,"",0,1),0),$A427-TEXT(DATEVALUE($D427&amp;"-01"), "dd-mm-yyyy")),0),0)</f>
        <v>0</v>
      </c>
      <c r="F427" cm="1">
        <f t="array" ref="F427">IF($Q427&gt;=0,IFERROR(generateSalesData($D427, IF(ISNUMBER(_xlfn.XLOOKUP($C427,Phone_by_Sentiment!$B$2:$B$37,Phone_by_Sentiment!F$2:F$37,"",0,1)),_xlfn.XLOOKUP($C427,Phone_by_Sentiment!$B$2:$B$37,Phone_by_Sentiment!F$2:F$37,"",0,1),0),$A427-TEXT(DATEVALUE($D427&amp;"-01"), "dd-mm-yyyy")),0),0)</f>
        <v>0</v>
      </c>
      <c r="G427" cm="1">
        <f t="array" ref="G427">IF($Q427&gt;=0,IFERROR(generateSalesData($D427, IF(ISNUMBER(_xlfn.XLOOKUP($C427,Phone_by_Sentiment!$B$2:$B$37,Phone_by_Sentiment!G$2:G$37,"",0,1)),_xlfn.XLOOKUP($C427,Phone_by_Sentiment!$B$2:$B$37,Phone_by_Sentiment!G$2:G$37,"",0,1),0),$A427-TEXT(DATEVALUE($D427&amp;"-01"), "dd-mm-yyyy")),0),0)</f>
        <v>0</v>
      </c>
      <c r="H427" cm="1">
        <f t="array" ref="H427">IF($Q427&gt;=0,IFERROR(generateSalesData($D427, IF(ISNUMBER(_xlfn.XLOOKUP($C427,Phone_by_Sentiment!$B$2:$B$37,Phone_by_Sentiment!H$2:H$37,"",0,1)),_xlfn.XLOOKUP($C427,Phone_by_Sentiment!$B$2:$B$37,Phone_by_Sentiment!H$2:H$37,"",0,1),0),$A427-TEXT(DATEVALUE($D427&amp;"-01"), "dd-mm-yyyy")),0),0)</f>
        <v>0</v>
      </c>
      <c r="I427" cm="1">
        <f t="array" ref="I427">IF($Q427&gt;=0,IFERROR(generateSalesData($D427, IF(ISNUMBER(_xlfn.XLOOKUP($C427,Phone_by_Sentiment!$B$2:$B$37,Phone_by_Sentiment!I$2:I$37,"",0,1)),_xlfn.XLOOKUP($C427,Phone_by_Sentiment!$B$2:$B$37,Phone_by_Sentiment!I$2:I$37,"",0,1),0),$A427-TEXT(DATEVALUE($D427&amp;"-01"), "dd-mm-yyyy")),0),0)</f>
        <v>0</v>
      </c>
      <c r="J427" cm="1">
        <f t="array" ref="J427">IF($Q427&gt;=0,IFERROR(generateSalesData($D427, IF(ISNUMBER(_xlfn.XLOOKUP($C427,Phone_by_Sentiment!$B$2:$B$37,Phone_by_Sentiment!J$2:J$37,"",0,1)),_xlfn.XLOOKUP($C427,Phone_by_Sentiment!$B$2:$B$37,Phone_by_Sentiment!J$2:J$37,"",0,1),0),$A427-TEXT(DATEVALUE($D427&amp;"-01"), "dd-mm-yyyy")),0),0)</f>
        <v>0</v>
      </c>
      <c r="K427" cm="1">
        <f t="array" ref="K427">IF($Q427&gt;=0,IFERROR(generateSalesData($D427, IF(ISNUMBER(_xlfn.XLOOKUP($C427,Phone_by_Sentiment!$B$2:$B$37,Phone_by_Sentiment!K$2:K$37,"",0,1)),_xlfn.XLOOKUP($C427,Phone_by_Sentiment!$B$2:$B$37,Phone_by_Sentiment!K$2:K$37,"",0,1),0),$A427-TEXT(DATEVALUE($D427&amp;"-01"), "dd-mm-yyyy")),0),0)</f>
        <v>0</v>
      </c>
      <c r="L427" cm="1">
        <f t="array" ref="L427">IF($Q427&gt;=0,IFERROR(generateSalesData($D427, IF(ISNUMBER(_xlfn.XLOOKUP($C427,Phone_by_Sentiment!$B$2:$B$37,Phone_by_Sentiment!L$2:L$37,"",0,1)),_xlfn.XLOOKUP($C427,Phone_by_Sentiment!$B$2:$B$37,Phone_by_Sentiment!L$2:L$37,"",0,1),0),$A427-TEXT(DATEVALUE($D427&amp;"-01"), "dd-mm-yyyy")),0),0)</f>
        <v>0</v>
      </c>
      <c r="M427" cm="1">
        <f t="array" ref="M427">IF($Q427&gt;=0,IFERROR(generateSalesData($D427, IF(ISNUMBER(_xlfn.XLOOKUP($C427,Phone_by_Sentiment!$B$2:$B$37,Phone_by_Sentiment!M$2:M$37,"",0,1)),_xlfn.XLOOKUP($C427,Phone_by_Sentiment!$B$2:$B$37,Phone_by_Sentiment!M$2:M$37,"",0,1),0),$A427-TEXT(DATEVALUE($D427&amp;"-01"), "dd-mm-yyyy")),0),0)</f>
        <v>0</v>
      </c>
      <c r="N427" cm="1">
        <f t="array" ref="N427">IF($Q427&gt;=0,IFERROR(generateSalesData($D427, IF(ISNUMBER(_xlfn.XLOOKUP($C427,Phone_by_Sentiment!$B$2:$B$37,Phone_by_Sentiment!N$2:N$37,"",0,1)),_xlfn.XLOOKUP($C427,Phone_by_Sentiment!$B$2:$B$37,Phone_by_Sentiment!N$2:N$37,"",0,1),0),$A427-TEXT(DATEVALUE($D427&amp;"-01"), "dd-mm-yyyy")),0),0)</f>
        <v>0</v>
      </c>
      <c r="O427" cm="1">
        <f t="array" ref="O427">IF($Q427&gt;=0,IFERROR(generateSalesData($D427, IF(ISNUMBER(_xlfn.XLOOKUP($C427,Phone_by_Sentiment!$B$2:$B$37,Phone_by_Sentiment!O$2:O$37,"",0,1)),_xlfn.XLOOKUP($C427,Phone_by_Sentiment!$B$2:$B$37,Phone_by_Sentiment!O$2:O$37,"",0,1),0),$A427-TEXT(DATEVALUE($D427&amp;"-01"), "dd-mm-yyyy")),0),0)</f>
        <v>0</v>
      </c>
      <c r="P427" s="1">
        <f t="shared" si="16"/>
        <v>44228</v>
      </c>
      <c r="Q427">
        <f t="shared" si="17"/>
        <v>-397</v>
      </c>
    </row>
    <row r="428" spans="1:17" x14ac:dyDescent="0.25">
      <c r="A428" s="1">
        <f t="shared" si="15"/>
        <v>43831</v>
      </c>
      <c r="B428" t="s">
        <v>171</v>
      </c>
      <c r="C428" t="str">
        <f>_xlfn.XLOOKUP(B428,Phone_by_Price!$A$2:$A$34,Phone_by_Price!$B$2:$B$34,"-",0,1)</f>
        <v>Samsung Galaxy A22 5G</v>
      </c>
      <c r="D428" t="str">
        <f>_xlfn.XLOOKUP(C428,Phone_by_Sentiment!$B$2:$B$37,Phone_by_Sentiment!$A$2:$A$37,"-",0,1)</f>
        <v>2021-05</v>
      </c>
      <c r="E428" cm="1">
        <f t="array" ref="E428">IF($Q428&gt;=0,IFERROR(generateSalesData($D428, IF(ISNUMBER(_xlfn.XLOOKUP($C428,Phone_by_Sentiment!$B$2:$B$37,Phone_by_Sentiment!E$2:E$37,"",0,1)),_xlfn.XLOOKUP($C428,Phone_by_Sentiment!$B$2:$B$37,Phone_by_Sentiment!E$2:E$37,"",0,1),0),$A428-TEXT(DATEVALUE($D428&amp;"-01"), "dd-mm-yyyy")),0),0)</f>
        <v>0</v>
      </c>
      <c r="F428" cm="1">
        <f t="array" ref="F428">IF($Q428&gt;=0,IFERROR(generateSalesData($D428, IF(ISNUMBER(_xlfn.XLOOKUP($C428,Phone_by_Sentiment!$B$2:$B$37,Phone_by_Sentiment!F$2:F$37,"",0,1)),_xlfn.XLOOKUP($C428,Phone_by_Sentiment!$B$2:$B$37,Phone_by_Sentiment!F$2:F$37,"",0,1),0),$A428-TEXT(DATEVALUE($D428&amp;"-01"), "dd-mm-yyyy")),0),0)</f>
        <v>0</v>
      </c>
      <c r="G428" cm="1">
        <f t="array" ref="G428">IF($Q428&gt;=0,IFERROR(generateSalesData($D428, IF(ISNUMBER(_xlfn.XLOOKUP($C428,Phone_by_Sentiment!$B$2:$B$37,Phone_by_Sentiment!G$2:G$37,"",0,1)),_xlfn.XLOOKUP($C428,Phone_by_Sentiment!$B$2:$B$37,Phone_by_Sentiment!G$2:G$37,"",0,1),0),$A428-TEXT(DATEVALUE($D428&amp;"-01"), "dd-mm-yyyy")),0),0)</f>
        <v>0</v>
      </c>
      <c r="H428" cm="1">
        <f t="array" ref="H428">IF($Q428&gt;=0,IFERROR(generateSalesData($D428, IF(ISNUMBER(_xlfn.XLOOKUP($C428,Phone_by_Sentiment!$B$2:$B$37,Phone_by_Sentiment!H$2:H$37,"",0,1)),_xlfn.XLOOKUP($C428,Phone_by_Sentiment!$B$2:$B$37,Phone_by_Sentiment!H$2:H$37,"",0,1),0),$A428-TEXT(DATEVALUE($D428&amp;"-01"), "dd-mm-yyyy")),0),0)</f>
        <v>0</v>
      </c>
      <c r="I428" cm="1">
        <f t="array" ref="I428">IF($Q428&gt;=0,IFERROR(generateSalesData($D428, IF(ISNUMBER(_xlfn.XLOOKUP($C428,Phone_by_Sentiment!$B$2:$B$37,Phone_by_Sentiment!I$2:I$37,"",0,1)),_xlfn.XLOOKUP($C428,Phone_by_Sentiment!$B$2:$B$37,Phone_by_Sentiment!I$2:I$37,"",0,1),0),$A428-TEXT(DATEVALUE($D428&amp;"-01"), "dd-mm-yyyy")),0),0)</f>
        <v>0</v>
      </c>
      <c r="J428" cm="1">
        <f t="array" ref="J428">IF($Q428&gt;=0,IFERROR(generateSalesData($D428, IF(ISNUMBER(_xlfn.XLOOKUP($C428,Phone_by_Sentiment!$B$2:$B$37,Phone_by_Sentiment!J$2:J$37,"",0,1)),_xlfn.XLOOKUP($C428,Phone_by_Sentiment!$B$2:$B$37,Phone_by_Sentiment!J$2:J$37,"",0,1),0),$A428-TEXT(DATEVALUE($D428&amp;"-01"), "dd-mm-yyyy")),0),0)</f>
        <v>0</v>
      </c>
      <c r="K428" cm="1">
        <f t="array" ref="K428">IF($Q428&gt;=0,IFERROR(generateSalesData($D428, IF(ISNUMBER(_xlfn.XLOOKUP($C428,Phone_by_Sentiment!$B$2:$B$37,Phone_by_Sentiment!K$2:K$37,"",0,1)),_xlfn.XLOOKUP($C428,Phone_by_Sentiment!$B$2:$B$37,Phone_by_Sentiment!K$2:K$37,"",0,1),0),$A428-TEXT(DATEVALUE($D428&amp;"-01"), "dd-mm-yyyy")),0),0)</f>
        <v>0</v>
      </c>
      <c r="L428" cm="1">
        <f t="array" ref="L428">IF($Q428&gt;=0,IFERROR(generateSalesData($D428, IF(ISNUMBER(_xlfn.XLOOKUP($C428,Phone_by_Sentiment!$B$2:$B$37,Phone_by_Sentiment!L$2:L$37,"",0,1)),_xlfn.XLOOKUP($C428,Phone_by_Sentiment!$B$2:$B$37,Phone_by_Sentiment!L$2:L$37,"",0,1),0),$A428-TEXT(DATEVALUE($D428&amp;"-01"), "dd-mm-yyyy")),0),0)</f>
        <v>0</v>
      </c>
      <c r="M428" cm="1">
        <f t="array" ref="M428">IF($Q428&gt;=0,IFERROR(generateSalesData($D428, IF(ISNUMBER(_xlfn.XLOOKUP($C428,Phone_by_Sentiment!$B$2:$B$37,Phone_by_Sentiment!M$2:M$37,"",0,1)),_xlfn.XLOOKUP($C428,Phone_by_Sentiment!$B$2:$B$37,Phone_by_Sentiment!M$2:M$37,"",0,1),0),$A428-TEXT(DATEVALUE($D428&amp;"-01"), "dd-mm-yyyy")),0),0)</f>
        <v>0</v>
      </c>
      <c r="N428" cm="1">
        <f t="array" ref="N428">IF($Q428&gt;=0,IFERROR(generateSalesData($D428, IF(ISNUMBER(_xlfn.XLOOKUP($C428,Phone_by_Sentiment!$B$2:$B$37,Phone_by_Sentiment!N$2:N$37,"",0,1)),_xlfn.XLOOKUP($C428,Phone_by_Sentiment!$B$2:$B$37,Phone_by_Sentiment!N$2:N$37,"",0,1),0),$A428-TEXT(DATEVALUE($D428&amp;"-01"), "dd-mm-yyyy")),0),0)</f>
        <v>0</v>
      </c>
      <c r="O428" cm="1">
        <f t="array" ref="O428">IF($Q428&gt;=0,IFERROR(generateSalesData($D428, IF(ISNUMBER(_xlfn.XLOOKUP($C428,Phone_by_Sentiment!$B$2:$B$37,Phone_by_Sentiment!O$2:O$37,"",0,1)),_xlfn.XLOOKUP($C428,Phone_by_Sentiment!$B$2:$B$37,Phone_by_Sentiment!O$2:O$37,"",0,1),0),$A428-TEXT(DATEVALUE($D428&amp;"-01"), "dd-mm-yyyy")),0),0)</f>
        <v>0</v>
      </c>
      <c r="P428" s="1">
        <f t="shared" si="16"/>
        <v>44317</v>
      </c>
      <c r="Q428">
        <f t="shared" si="17"/>
        <v>-486</v>
      </c>
    </row>
    <row r="429" spans="1:17" x14ac:dyDescent="0.25">
      <c r="A429" s="1">
        <f t="shared" si="15"/>
        <v>43831</v>
      </c>
      <c r="B429" t="s">
        <v>172</v>
      </c>
      <c r="C429" t="str">
        <f>_xlfn.XLOOKUP(B429,Phone_by_Price!$A$2:$A$34,Phone_by_Price!$B$2:$B$34,"-",0,1)</f>
        <v>Xiaomi Redmi 9</v>
      </c>
      <c r="D429" t="str">
        <f>_xlfn.XLOOKUP(C429,Phone_by_Sentiment!$B$2:$B$37,Phone_by_Sentiment!$A$2:$A$37,"-",0,1)</f>
        <v>2020-08</v>
      </c>
      <c r="E429" cm="1">
        <f t="array" ref="E429">IF($Q429&gt;=0,IFERROR(generateSalesData($D429, IF(ISNUMBER(_xlfn.XLOOKUP($C429,Phone_by_Sentiment!$B$2:$B$37,Phone_by_Sentiment!E$2:E$37,"",0,1)),_xlfn.XLOOKUP($C429,Phone_by_Sentiment!$B$2:$B$37,Phone_by_Sentiment!E$2:E$37,"",0,1),0),$A429-TEXT(DATEVALUE($D429&amp;"-01"), "dd-mm-yyyy")),0),0)</f>
        <v>0</v>
      </c>
      <c r="F429" cm="1">
        <f t="array" ref="F429">IF($Q429&gt;=0,IFERROR(generateSalesData($D429, IF(ISNUMBER(_xlfn.XLOOKUP($C429,Phone_by_Sentiment!$B$2:$B$37,Phone_by_Sentiment!F$2:F$37,"",0,1)),_xlfn.XLOOKUP($C429,Phone_by_Sentiment!$B$2:$B$37,Phone_by_Sentiment!F$2:F$37,"",0,1),0),$A429-TEXT(DATEVALUE($D429&amp;"-01"), "dd-mm-yyyy")),0),0)</f>
        <v>0</v>
      </c>
      <c r="G429" cm="1">
        <f t="array" ref="G429">IF($Q429&gt;=0,IFERROR(generateSalesData($D429, IF(ISNUMBER(_xlfn.XLOOKUP($C429,Phone_by_Sentiment!$B$2:$B$37,Phone_by_Sentiment!G$2:G$37,"",0,1)),_xlfn.XLOOKUP($C429,Phone_by_Sentiment!$B$2:$B$37,Phone_by_Sentiment!G$2:G$37,"",0,1),0),$A429-TEXT(DATEVALUE($D429&amp;"-01"), "dd-mm-yyyy")),0),0)</f>
        <v>0</v>
      </c>
      <c r="H429" cm="1">
        <f t="array" ref="H429">IF($Q429&gt;=0,IFERROR(generateSalesData($D429, IF(ISNUMBER(_xlfn.XLOOKUP($C429,Phone_by_Sentiment!$B$2:$B$37,Phone_by_Sentiment!H$2:H$37,"",0,1)),_xlfn.XLOOKUP($C429,Phone_by_Sentiment!$B$2:$B$37,Phone_by_Sentiment!H$2:H$37,"",0,1),0),$A429-TEXT(DATEVALUE($D429&amp;"-01"), "dd-mm-yyyy")),0),0)</f>
        <v>0</v>
      </c>
      <c r="I429" cm="1">
        <f t="array" ref="I429">IF($Q429&gt;=0,IFERROR(generateSalesData($D429, IF(ISNUMBER(_xlfn.XLOOKUP($C429,Phone_by_Sentiment!$B$2:$B$37,Phone_by_Sentiment!I$2:I$37,"",0,1)),_xlfn.XLOOKUP($C429,Phone_by_Sentiment!$B$2:$B$37,Phone_by_Sentiment!I$2:I$37,"",0,1),0),$A429-TEXT(DATEVALUE($D429&amp;"-01"), "dd-mm-yyyy")),0),0)</f>
        <v>0</v>
      </c>
      <c r="J429" cm="1">
        <f t="array" ref="J429">IF($Q429&gt;=0,IFERROR(generateSalesData($D429, IF(ISNUMBER(_xlfn.XLOOKUP($C429,Phone_by_Sentiment!$B$2:$B$37,Phone_by_Sentiment!J$2:J$37,"",0,1)),_xlfn.XLOOKUP($C429,Phone_by_Sentiment!$B$2:$B$37,Phone_by_Sentiment!J$2:J$37,"",0,1),0),$A429-TEXT(DATEVALUE($D429&amp;"-01"), "dd-mm-yyyy")),0),0)</f>
        <v>0</v>
      </c>
      <c r="K429" cm="1">
        <f t="array" ref="K429">IF($Q429&gt;=0,IFERROR(generateSalesData($D429, IF(ISNUMBER(_xlfn.XLOOKUP($C429,Phone_by_Sentiment!$B$2:$B$37,Phone_by_Sentiment!K$2:K$37,"",0,1)),_xlfn.XLOOKUP($C429,Phone_by_Sentiment!$B$2:$B$37,Phone_by_Sentiment!K$2:K$37,"",0,1),0),$A429-TEXT(DATEVALUE($D429&amp;"-01"), "dd-mm-yyyy")),0),0)</f>
        <v>0</v>
      </c>
      <c r="L429" cm="1">
        <f t="array" ref="L429">IF($Q429&gt;=0,IFERROR(generateSalesData($D429, IF(ISNUMBER(_xlfn.XLOOKUP($C429,Phone_by_Sentiment!$B$2:$B$37,Phone_by_Sentiment!L$2:L$37,"",0,1)),_xlfn.XLOOKUP($C429,Phone_by_Sentiment!$B$2:$B$37,Phone_by_Sentiment!L$2:L$37,"",0,1),0),$A429-TEXT(DATEVALUE($D429&amp;"-01"), "dd-mm-yyyy")),0),0)</f>
        <v>0</v>
      </c>
      <c r="M429" cm="1">
        <f t="array" ref="M429">IF($Q429&gt;=0,IFERROR(generateSalesData($D429, IF(ISNUMBER(_xlfn.XLOOKUP($C429,Phone_by_Sentiment!$B$2:$B$37,Phone_by_Sentiment!M$2:M$37,"",0,1)),_xlfn.XLOOKUP($C429,Phone_by_Sentiment!$B$2:$B$37,Phone_by_Sentiment!M$2:M$37,"",0,1),0),$A429-TEXT(DATEVALUE($D429&amp;"-01"), "dd-mm-yyyy")),0),0)</f>
        <v>0</v>
      </c>
      <c r="N429" cm="1">
        <f t="array" ref="N429">IF($Q429&gt;=0,IFERROR(generateSalesData($D429, IF(ISNUMBER(_xlfn.XLOOKUP($C429,Phone_by_Sentiment!$B$2:$B$37,Phone_by_Sentiment!N$2:N$37,"",0,1)),_xlfn.XLOOKUP($C429,Phone_by_Sentiment!$B$2:$B$37,Phone_by_Sentiment!N$2:N$37,"",0,1),0),$A429-TEXT(DATEVALUE($D429&amp;"-01"), "dd-mm-yyyy")),0),0)</f>
        <v>0</v>
      </c>
      <c r="O429" cm="1">
        <f t="array" ref="O429">IF($Q429&gt;=0,IFERROR(generateSalesData($D429, IF(ISNUMBER(_xlfn.XLOOKUP($C429,Phone_by_Sentiment!$B$2:$B$37,Phone_by_Sentiment!O$2:O$37,"",0,1)),_xlfn.XLOOKUP($C429,Phone_by_Sentiment!$B$2:$B$37,Phone_by_Sentiment!O$2:O$37,"",0,1),0),$A429-TEXT(DATEVALUE($D429&amp;"-01"), "dd-mm-yyyy")),0),0)</f>
        <v>0</v>
      </c>
      <c r="P429" s="1">
        <f t="shared" si="16"/>
        <v>44044</v>
      </c>
      <c r="Q429">
        <f t="shared" si="17"/>
        <v>-213</v>
      </c>
    </row>
    <row r="430" spans="1:17" x14ac:dyDescent="0.25">
      <c r="A430" s="1">
        <f t="shared" si="15"/>
        <v>43831</v>
      </c>
      <c r="B430" t="s">
        <v>173</v>
      </c>
      <c r="C430" t="str">
        <f>_xlfn.XLOOKUP(B430,Phone_by_Price!$A$2:$A$34,Phone_by_Price!$B$2:$B$34,"-",0,1)</f>
        <v>Realme C3</v>
      </c>
      <c r="D430" t="str">
        <f>_xlfn.XLOOKUP(C430,Phone_by_Sentiment!$B$2:$B$37,Phone_by_Sentiment!$A$2:$A$37,"-",0,1)</f>
        <v>2020-02</v>
      </c>
      <c r="E430" cm="1">
        <f t="array" ref="E430">IF($Q430&gt;=0,IFERROR(generateSalesData($D430, IF(ISNUMBER(_xlfn.XLOOKUP($C430,Phone_by_Sentiment!$B$2:$B$37,Phone_by_Sentiment!E$2:E$37,"",0,1)),_xlfn.XLOOKUP($C430,Phone_by_Sentiment!$B$2:$B$37,Phone_by_Sentiment!E$2:E$37,"",0,1),0),$A430-TEXT(DATEVALUE($D430&amp;"-01"), "dd-mm-yyyy")),0),0)</f>
        <v>0</v>
      </c>
      <c r="F430" cm="1">
        <f t="array" ref="F430">IF($Q430&gt;=0,IFERROR(generateSalesData($D430, IF(ISNUMBER(_xlfn.XLOOKUP($C430,Phone_by_Sentiment!$B$2:$B$37,Phone_by_Sentiment!F$2:F$37,"",0,1)),_xlfn.XLOOKUP($C430,Phone_by_Sentiment!$B$2:$B$37,Phone_by_Sentiment!F$2:F$37,"",0,1),0),$A430-TEXT(DATEVALUE($D430&amp;"-01"), "dd-mm-yyyy")),0),0)</f>
        <v>0</v>
      </c>
      <c r="G430" cm="1">
        <f t="array" ref="G430">IF($Q430&gt;=0,IFERROR(generateSalesData($D430, IF(ISNUMBER(_xlfn.XLOOKUP($C430,Phone_by_Sentiment!$B$2:$B$37,Phone_by_Sentiment!G$2:G$37,"",0,1)),_xlfn.XLOOKUP($C430,Phone_by_Sentiment!$B$2:$B$37,Phone_by_Sentiment!G$2:G$37,"",0,1),0),$A430-TEXT(DATEVALUE($D430&amp;"-01"), "dd-mm-yyyy")),0),0)</f>
        <v>0</v>
      </c>
      <c r="H430" cm="1">
        <f t="array" ref="H430">IF($Q430&gt;=0,IFERROR(generateSalesData($D430, IF(ISNUMBER(_xlfn.XLOOKUP($C430,Phone_by_Sentiment!$B$2:$B$37,Phone_by_Sentiment!H$2:H$37,"",0,1)),_xlfn.XLOOKUP($C430,Phone_by_Sentiment!$B$2:$B$37,Phone_by_Sentiment!H$2:H$37,"",0,1),0),$A430-TEXT(DATEVALUE($D430&amp;"-01"), "dd-mm-yyyy")),0),0)</f>
        <v>0</v>
      </c>
      <c r="I430" cm="1">
        <f t="array" ref="I430">IF($Q430&gt;=0,IFERROR(generateSalesData($D430, IF(ISNUMBER(_xlfn.XLOOKUP($C430,Phone_by_Sentiment!$B$2:$B$37,Phone_by_Sentiment!I$2:I$37,"",0,1)),_xlfn.XLOOKUP($C430,Phone_by_Sentiment!$B$2:$B$37,Phone_by_Sentiment!I$2:I$37,"",0,1),0),$A430-TEXT(DATEVALUE($D430&amp;"-01"), "dd-mm-yyyy")),0),0)</f>
        <v>0</v>
      </c>
      <c r="J430" cm="1">
        <f t="array" ref="J430">IF($Q430&gt;=0,IFERROR(generateSalesData($D430, IF(ISNUMBER(_xlfn.XLOOKUP($C430,Phone_by_Sentiment!$B$2:$B$37,Phone_by_Sentiment!J$2:J$37,"",0,1)),_xlfn.XLOOKUP($C430,Phone_by_Sentiment!$B$2:$B$37,Phone_by_Sentiment!J$2:J$37,"",0,1),0),$A430-TEXT(DATEVALUE($D430&amp;"-01"), "dd-mm-yyyy")),0),0)</f>
        <v>0</v>
      </c>
      <c r="K430" cm="1">
        <f t="array" ref="K430">IF($Q430&gt;=0,IFERROR(generateSalesData($D430, IF(ISNUMBER(_xlfn.XLOOKUP($C430,Phone_by_Sentiment!$B$2:$B$37,Phone_by_Sentiment!K$2:K$37,"",0,1)),_xlfn.XLOOKUP($C430,Phone_by_Sentiment!$B$2:$B$37,Phone_by_Sentiment!K$2:K$37,"",0,1),0),$A430-TEXT(DATEVALUE($D430&amp;"-01"), "dd-mm-yyyy")),0),0)</f>
        <v>0</v>
      </c>
      <c r="L430" cm="1">
        <f t="array" ref="L430">IF($Q430&gt;=0,IFERROR(generateSalesData($D430, IF(ISNUMBER(_xlfn.XLOOKUP($C430,Phone_by_Sentiment!$B$2:$B$37,Phone_by_Sentiment!L$2:L$37,"",0,1)),_xlfn.XLOOKUP($C430,Phone_by_Sentiment!$B$2:$B$37,Phone_by_Sentiment!L$2:L$37,"",0,1),0),$A430-TEXT(DATEVALUE($D430&amp;"-01"), "dd-mm-yyyy")),0),0)</f>
        <v>0</v>
      </c>
      <c r="M430" cm="1">
        <f t="array" ref="M430">IF($Q430&gt;=0,IFERROR(generateSalesData($D430, IF(ISNUMBER(_xlfn.XLOOKUP($C430,Phone_by_Sentiment!$B$2:$B$37,Phone_by_Sentiment!M$2:M$37,"",0,1)),_xlfn.XLOOKUP($C430,Phone_by_Sentiment!$B$2:$B$37,Phone_by_Sentiment!M$2:M$37,"",0,1),0),$A430-TEXT(DATEVALUE($D430&amp;"-01"), "dd-mm-yyyy")),0),0)</f>
        <v>0</v>
      </c>
      <c r="N430" cm="1">
        <f t="array" ref="N430">IF($Q430&gt;=0,IFERROR(generateSalesData($D430, IF(ISNUMBER(_xlfn.XLOOKUP($C430,Phone_by_Sentiment!$B$2:$B$37,Phone_by_Sentiment!N$2:N$37,"",0,1)),_xlfn.XLOOKUP($C430,Phone_by_Sentiment!$B$2:$B$37,Phone_by_Sentiment!N$2:N$37,"",0,1),0),$A430-TEXT(DATEVALUE($D430&amp;"-01"), "dd-mm-yyyy")),0),0)</f>
        <v>0</v>
      </c>
      <c r="O430" cm="1">
        <f t="array" ref="O430">IF($Q430&gt;=0,IFERROR(generateSalesData($D430, IF(ISNUMBER(_xlfn.XLOOKUP($C430,Phone_by_Sentiment!$B$2:$B$37,Phone_by_Sentiment!O$2:O$37,"",0,1)),_xlfn.XLOOKUP($C430,Phone_by_Sentiment!$B$2:$B$37,Phone_by_Sentiment!O$2:O$37,"",0,1),0),$A430-TEXT(DATEVALUE($D430&amp;"-01"), "dd-mm-yyyy")),0),0)</f>
        <v>0</v>
      </c>
      <c r="P430" s="1">
        <f t="shared" si="16"/>
        <v>43862</v>
      </c>
      <c r="Q430">
        <f t="shared" si="17"/>
        <v>-31</v>
      </c>
    </row>
    <row r="431" spans="1:17" x14ac:dyDescent="0.25">
      <c r="A431" s="1">
        <f t="shared" si="15"/>
        <v>43831</v>
      </c>
      <c r="B431" t="s">
        <v>174</v>
      </c>
      <c r="C431" t="str">
        <f>_xlfn.XLOOKUP(B431,Phone_by_Price!$A$2:$A$34,Phone_by_Price!$B$2:$B$34,"-",0,1)</f>
        <v>Samsung Galaxy A7</v>
      </c>
      <c r="D431" t="str">
        <f>_xlfn.XLOOKUP(C431,Phone_by_Sentiment!$B$2:$B$37,Phone_by_Sentiment!$A$2:$A$37,"-",0,1)</f>
        <v>2018-10</v>
      </c>
      <c r="E431" cm="1">
        <f t="array" ref="E431">IF($Q431&gt;=0,IFERROR(generateSalesData($D431, IF(ISNUMBER(_xlfn.XLOOKUP($C431,Phone_by_Sentiment!$B$2:$B$37,Phone_by_Sentiment!E$2:E$37,"",0,1)),_xlfn.XLOOKUP($C431,Phone_by_Sentiment!$B$2:$B$37,Phone_by_Sentiment!E$2:E$37,"",0,1),0),$A431-TEXT(DATEVALUE($D431&amp;"-01"), "dd-mm-yyyy")),0),0)</f>
        <v>295</v>
      </c>
      <c r="F431" cm="1">
        <f t="array" ref="F431">IF($Q431&gt;=0,IFERROR(generateSalesData($D431, IF(ISNUMBER(_xlfn.XLOOKUP($C431,Phone_by_Sentiment!$B$2:$B$37,Phone_by_Sentiment!F$2:F$37,"",0,1)),_xlfn.XLOOKUP($C431,Phone_by_Sentiment!$B$2:$B$37,Phone_by_Sentiment!F$2:F$37,"",0,1),0),$A431-TEXT(DATEVALUE($D431&amp;"-01"), "dd-mm-yyyy")),0),0)</f>
        <v>53</v>
      </c>
      <c r="G431" cm="1">
        <f t="array" ref="G431">IF($Q431&gt;=0,IFERROR(generateSalesData($D431, IF(ISNUMBER(_xlfn.XLOOKUP($C431,Phone_by_Sentiment!$B$2:$B$37,Phone_by_Sentiment!G$2:G$37,"",0,1)),_xlfn.XLOOKUP($C431,Phone_by_Sentiment!$B$2:$B$37,Phone_by_Sentiment!G$2:G$37,"",0,1),0),$A431-TEXT(DATEVALUE($D431&amp;"-01"), "dd-mm-yyyy")),0),0)</f>
        <v>74</v>
      </c>
      <c r="H431" cm="1">
        <f t="array" ref="H431">IF($Q431&gt;=0,IFERROR(generateSalesData($D431, IF(ISNUMBER(_xlfn.XLOOKUP($C431,Phone_by_Sentiment!$B$2:$B$37,Phone_by_Sentiment!H$2:H$37,"",0,1)),_xlfn.XLOOKUP($C431,Phone_by_Sentiment!$B$2:$B$37,Phone_by_Sentiment!H$2:H$37,"",0,1),0),$A431-TEXT(DATEVALUE($D431&amp;"-01"), "dd-mm-yyyy")),0),0)</f>
        <v>206</v>
      </c>
      <c r="I431" cm="1">
        <f t="array" ref="I431">IF($Q431&gt;=0,IFERROR(generateSalesData($D431, IF(ISNUMBER(_xlfn.XLOOKUP($C431,Phone_by_Sentiment!$B$2:$B$37,Phone_by_Sentiment!I$2:I$37,"",0,1)),_xlfn.XLOOKUP($C431,Phone_by_Sentiment!$B$2:$B$37,Phone_by_Sentiment!I$2:I$37,"",0,1),0),$A431-TEXT(DATEVALUE($D431&amp;"-01"), "dd-mm-yyyy")),0),0)</f>
        <v>153</v>
      </c>
      <c r="J431" cm="1">
        <f t="array" ref="J431">IF($Q431&gt;=0,IFERROR(generateSalesData($D431, IF(ISNUMBER(_xlfn.XLOOKUP($C431,Phone_by_Sentiment!$B$2:$B$37,Phone_by_Sentiment!J$2:J$37,"",0,1)),_xlfn.XLOOKUP($C431,Phone_by_Sentiment!$B$2:$B$37,Phone_by_Sentiment!J$2:J$37,"",0,1),0),$A431-TEXT(DATEVALUE($D431&amp;"-01"), "dd-mm-yyyy")),0),0)</f>
        <v>196</v>
      </c>
      <c r="K431" cm="1">
        <f t="array" ref="K431">IF($Q431&gt;=0,IFERROR(generateSalesData($D431, IF(ISNUMBER(_xlfn.XLOOKUP($C431,Phone_by_Sentiment!$B$2:$B$37,Phone_by_Sentiment!K$2:K$37,"",0,1)),_xlfn.XLOOKUP($C431,Phone_by_Sentiment!$B$2:$B$37,Phone_by_Sentiment!K$2:K$37,"",0,1),0),$A431-TEXT(DATEVALUE($D431&amp;"-01"), "dd-mm-yyyy")),0),0)</f>
        <v>233</v>
      </c>
      <c r="L431" cm="1">
        <f t="array" ref="L431">IF($Q431&gt;=0,IFERROR(generateSalesData($D431, IF(ISNUMBER(_xlfn.XLOOKUP($C431,Phone_by_Sentiment!$B$2:$B$37,Phone_by_Sentiment!L$2:L$37,"",0,1)),_xlfn.XLOOKUP($C431,Phone_by_Sentiment!$B$2:$B$37,Phone_by_Sentiment!L$2:L$37,"",0,1),0),$A431-TEXT(DATEVALUE($D431&amp;"-01"), "dd-mm-yyyy")),0),0)</f>
        <v>239</v>
      </c>
      <c r="M431" cm="1">
        <f t="array" ref="M431">IF($Q431&gt;=0,IFERROR(generateSalesData($D431, IF(ISNUMBER(_xlfn.XLOOKUP($C431,Phone_by_Sentiment!$B$2:$B$37,Phone_by_Sentiment!M$2:M$37,"",0,1)),_xlfn.XLOOKUP($C431,Phone_by_Sentiment!$B$2:$B$37,Phone_by_Sentiment!M$2:M$37,"",0,1),0),$A431-TEXT(DATEVALUE($D431&amp;"-01"), "dd-mm-yyyy")),0),0)</f>
        <v>539</v>
      </c>
      <c r="N431" cm="1">
        <f t="array" ref="N431">IF($Q431&gt;=0,IFERROR(generateSalesData($D431, IF(ISNUMBER(_xlfn.XLOOKUP($C431,Phone_by_Sentiment!$B$2:$B$37,Phone_by_Sentiment!N$2:N$37,"",0,1)),_xlfn.XLOOKUP($C431,Phone_by_Sentiment!$B$2:$B$37,Phone_by_Sentiment!N$2:N$37,"",0,1),0),$A431-TEXT(DATEVALUE($D431&amp;"-01"), "dd-mm-yyyy")),0),0)</f>
        <v>316</v>
      </c>
      <c r="O431" cm="1">
        <f t="array" ref="O431">IF($Q431&gt;=0,IFERROR(generateSalesData($D431, IF(ISNUMBER(_xlfn.XLOOKUP($C431,Phone_by_Sentiment!$B$2:$B$37,Phone_by_Sentiment!O$2:O$37,"",0,1)),_xlfn.XLOOKUP($C431,Phone_by_Sentiment!$B$2:$B$37,Phone_by_Sentiment!O$2:O$37,"",0,1),0),$A431-TEXT(DATEVALUE($D431&amp;"-01"), "dd-mm-yyyy")),0),0)</f>
        <v>263</v>
      </c>
      <c r="P431" s="1">
        <f t="shared" si="16"/>
        <v>43374</v>
      </c>
      <c r="Q431">
        <f t="shared" si="17"/>
        <v>457</v>
      </c>
    </row>
    <row r="432" spans="1:17" x14ac:dyDescent="0.25">
      <c r="A432" s="1">
        <f t="shared" si="15"/>
        <v>43831</v>
      </c>
      <c r="B432" t="s">
        <v>142</v>
      </c>
      <c r="C432" t="str">
        <f>_xlfn.XLOOKUP(B432,Phone_by_Price!$A$2:$A$34,Phone_by_Price!$B$2:$B$34,"-",0,1)</f>
        <v>iPhone 11</v>
      </c>
      <c r="D432" t="str">
        <f>_xlfn.XLOOKUP(C432,Phone_by_Sentiment!$B$2:$B$37,Phone_by_Sentiment!$A$2:$A$37,"-",0,1)</f>
        <v>2019-09</v>
      </c>
      <c r="E432" cm="1">
        <f t="array" ref="E432">IF($Q432&gt;=0,IFERROR(generateSalesData($D432, IF(ISNUMBER(_xlfn.XLOOKUP($C432,Phone_by_Sentiment!$B$2:$B$37,Phone_by_Sentiment!E$2:E$37,"",0,1)),_xlfn.XLOOKUP($C432,Phone_by_Sentiment!$B$2:$B$37,Phone_by_Sentiment!E$2:E$37,"",0,1),0),$A432-TEXT(DATEVALUE($D432&amp;"-01"), "dd-mm-yyyy")),0),0)</f>
        <v>756</v>
      </c>
      <c r="F432" cm="1">
        <f t="array" ref="F432">IF($Q432&gt;=0,IFERROR(generateSalesData($D432, IF(ISNUMBER(_xlfn.XLOOKUP($C432,Phone_by_Sentiment!$B$2:$B$37,Phone_by_Sentiment!F$2:F$37,"",0,1)),_xlfn.XLOOKUP($C432,Phone_by_Sentiment!$B$2:$B$37,Phone_by_Sentiment!F$2:F$37,"",0,1),0),$A432-TEXT(DATEVALUE($D432&amp;"-01"), "dd-mm-yyyy")),0),0)</f>
        <v>2713</v>
      </c>
      <c r="G432" cm="1">
        <f t="array" ref="G432">IF($Q432&gt;=0,IFERROR(generateSalesData($D432, IF(ISNUMBER(_xlfn.XLOOKUP($C432,Phone_by_Sentiment!$B$2:$B$37,Phone_by_Sentiment!G$2:G$37,"",0,1)),_xlfn.XLOOKUP($C432,Phone_by_Sentiment!$B$2:$B$37,Phone_by_Sentiment!G$2:G$37,"",0,1),0),$A432-TEXT(DATEVALUE($D432&amp;"-01"), "dd-mm-yyyy")),0),0)</f>
        <v>553</v>
      </c>
      <c r="H432" cm="1">
        <f t="array" ref="H432">IF($Q432&gt;=0,IFERROR(generateSalesData($D432, IF(ISNUMBER(_xlfn.XLOOKUP($C432,Phone_by_Sentiment!$B$2:$B$37,Phone_by_Sentiment!H$2:H$37,"",0,1)),_xlfn.XLOOKUP($C432,Phone_by_Sentiment!$B$2:$B$37,Phone_by_Sentiment!H$2:H$37,"",0,1),0),$A432-TEXT(DATEVALUE($D432&amp;"-01"), "dd-mm-yyyy")),0),0)</f>
        <v>1576</v>
      </c>
      <c r="I432" cm="1">
        <f t="array" ref="I432">IF($Q432&gt;=0,IFERROR(generateSalesData($D432, IF(ISNUMBER(_xlfn.XLOOKUP($C432,Phone_by_Sentiment!$B$2:$B$37,Phone_by_Sentiment!I$2:I$37,"",0,1)),_xlfn.XLOOKUP($C432,Phone_by_Sentiment!$B$2:$B$37,Phone_by_Sentiment!I$2:I$37,"",0,1),0),$A432-TEXT(DATEVALUE($D432&amp;"-01"), "dd-mm-yyyy")),0),0)</f>
        <v>1172</v>
      </c>
      <c r="J432" cm="1">
        <f t="array" ref="J432">IF($Q432&gt;=0,IFERROR(generateSalesData($D432, IF(ISNUMBER(_xlfn.XLOOKUP($C432,Phone_by_Sentiment!$B$2:$B$37,Phone_by_Sentiment!J$2:J$37,"",0,1)),_xlfn.XLOOKUP($C432,Phone_by_Sentiment!$B$2:$B$37,Phone_by_Sentiment!J$2:J$37,"",0,1),0),$A432-TEXT(DATEVALUE($D432&amp;"-01"), "dd-mm-yyyy")),0),0)</f>
        <v>2271</v>
      </c>
      <c r="K432" cm="1">
        <f t="array" ref="K432">IF($Q432&gt;=0,IFERROR(generateSalesData($D432, IF(ISNUMBER(_xlfn.XLOOKUP($C432,Phone_by_Sentiment!$B$2:$B$37,Phone_by_Sentiment!K$2:K$37,"",0,1)),_xlfn.XLOOKUP($C432,Phone_by_Sentiment!$B$2:$B$37,Phone_by_Sentiment!K$2:K$37,"",0,1),0),$A432-TEXT(DATEVALUE($D432&amp;"-01"), "dd-mm-yyyy")),0),0)</f>
        <v>476</v>
      </c>
      <c r="L432" cm="1">
        <f t="array" ref="L432">IF($Q432&gt;=0,IFERROR(generateSalesData($D432, IF(ISNUMBER(_xlfn.XLOOKUP($C432,Phone_by_Sentiment!$B$2:$B$37,Phone_by_Sentiment!L$2:L$37,"",0,1)),_xlfn.XLOOKUP($C432,Phone_by_Sentiment!$B$2:$B$37,Phone_by_Sentiment!L$2:L$37,"",0,1),0),$A432-TEXT(DATEVALUE($D432&amp;"-01"), "dd-mm-yyyy")),0),0)</f>
        <v>2271</v>
      </c>
      <c r="M432" cm="1">
        <f t="array" ref="M432">IF($Q432&gt;=0,IFERROR(generateSalesData($D432, IF(ISNUMBER(_xlfn.XLOOKUP($C432,Phone_by_Sentiment!$B$2:$B$37,Phone_by_Sentiment!M$2:M$37,"",0,1)),_xlfn.XLOOKUP($C432,Phone_by_Sentiment!$B$2:$B$37,Phone_by_Sentiment!M$2:M$37,"",0,1),0),$A432-TEXT(DATEVALUE($D432&amp;"-01"), "dd-mm-yyyy")),0),0)</f>
        <v>1800</v>
      </c>
      <c r="N432" cm="1">
        <f t="array" ref="N432">IF($Q432&gt;=0,IFERROR(generateSalesData($D432, IF(ISNUMBER(_xlfn.XLOOKUP($C432,Phone_by_Sentiment!$B$2:$B$37,Phone_by_Sentiment!N$2:N$37,"",0,1)),_xlfn.XLOOKUP($C432,Phone_by_Sentiment!$B$2:$B$37,Phone_by_Sentiment!N$2:N$37,"",0,1),0),$A432-TEXT(DATEVALUE($D432&amp;"-01"), "dd-mm-yyyy")),0),0)</f>
        <v>2630</v>
      </c>
      <c r="O432" cm="1">
        <f t="array" ref="O432">IF($Q432&gt;=0,IFERROR(generateSalesData($D432, IF(ISNUMBER(_xlfn.XLOOKUP($C432,Phone_by_Sentiment!$B$2:$B$37,Phone_by_Sentiment!O$2:O$37,"",0,1)),_xlfn.XLOOKUP($C432,Phone_by_Sentiment!$B$2:$B$37,Phone_by_Sentiment!O$2:O$37,"",0,1),0),$A432-TEXT(DATEVALUE($D432&amp;"-01"), "dd-mm-yyyy")),0),0)</f>
        <v>-1044</v>
      </c>
      <c r="P432" s="1">
        <f t="shared" si="16"/>
        <v>43709</v>
      </c>
      <c r="Q432">
        <f t="shared" si="17"/>
        <v>122</v>
      </c>
    </row>
    <row r="433" spans="1:17" x14ac:dyDescent="0.25">
      <c r="A433" s="1">
        <f t="shared" si="15"/>
        <v>43831</v>
      </c>
      <c r="B433" t="s">
        <v>143</v>
      </c>
      <c r="C433" t="str">
        <f>_xlfn.XLOOKUP(B433,Phone_by_Price!$A$2:$A$34,Phone_by_Price!$B$2:$B$34,"-",0,1)</f>
        <v>Samsung Galaxy S20 Ultra</v>
      </c>
      <c r="D433" t="str">
        <f>_xlfn.XLOOKUP(C433,Phone_by_Sentiment!$B$2:$B$37,Phone_by_Sentiment!$A$2:$A$37,"-",0,1)</f>
        <v>2020-02</v>
      </c>
      <c r="E433" cm="1">
        <f t="array" ref="E433">IF($Q433&gt;=0,IFERROR(generateSalesData($D433, IF(ISNUMBER(_xlfn.XLOOKUP($C433,Phone_by_Sentiment!$B$2:$B$37,Phone_by_Sentiment!E$2:E$37,"",0,1)),_xlfn.XLOOKUP($C433,Phone_by_Sentiment!$B$2:$B$37,Phone_by_Sentiment!E$2:E$37,"",0,1),0),$A433-TEXT(DATEVALUE($D433&amp;"-01"), "dd-mm-yyyy")),0),0)</f>
        <v>0</v>
      </c>
      <c r="F433" cm="1">
        <f t="array" ref="F433">IF($Q433&gt;=0,IFERROR(generateSalesData($D433, IF(ISNUMBER(_xlfn.XLOOKUP($C433,Phone_by_Sentiment!$B$2:$B$37,Phone_by_Sentiment!F$2:F$37,"",0,1)),_xlfn.XLOOKUP($C433,Phone_by_Sentiment!$B$2:$B$37,Phone_by_Sentiment!F$2:F$37,"",0,1),0),$A433-TEXT(DATEVALUE($D433&amp;"-01"), "dd-mm-yyyy")),0),0)</f>
        <v>0</v>
      </c>
      <c r="G433" cm="1">
        <f t="array" ref="G433">IF($Q433&gt;=0,IFERROR(generateSalesData($D433, IF(ISNUMBER(_xlfn.XLOOKUP($C433,Phone_by_Sentiment!$B$2:$B$37,Phone_by_Sentiment!G$2:G$37,"",0,1)),_xlfn.XLOOKUP($C433,Phone_by_Sentiment!$B$2:$B$37,Phone_by_Sentiment!G$2:G$37,"",0,1),0),$A433-TEXT(DATEVALUE($D433&amp;"-01"), "dd-mm-yyyy")),0),0)</f>
        <v>0</v>
      </c>
      <c r="H433" cm="1">
        <f t="array" ref="H433">IF($Q433&gt;=0,IFERROR(generateSalesData($D433, IF(ISNUMBER(_xlfn.XLOOKUP($C433,Phone_by_Sentiment!$B$2:$B$37,Phone_by_Sentiment!H$2:H$37,"",0,1)),_xlfn.XLOOKUP($C433,Phone_by_Sentiment!$B$2:$B$37,Phone_by_Sentiment!H$2:H$37,"",0,1),0),$A433-TEXT(DATEVALUE($D433&amp;"-01"), "dd-mm-yyyy")),0),0)</f>
        <v>0</v>
      </c>
      <c r="I433" cm="1">
        <f t="array" ref="I433">IF($Q433&gt;=0,IFERROR(generateSalesData($D433, IF(ISNUMBER(_xlfn.XLOOKUP($C433,Phone_by_Sentiment!$B$2:$B$37,Phone_by_Sentiment!I$2:I$37,"",0,1)),_xlfn.XLOOKUP($C433,Phone_by_Sentiment!$B$2:$B$37,Phone_by_Sentiment!I$2:I$37,"",0,1),0),$A433-TEXT(DATEVALUE($D433&amp;"-01"), "dd-mm-yyyy")),0),0)</f>
        <v>0</v>
      </c>
      <c r="J433" cm="1">
        <f t="array" ref="J433">IF($Q433&gt;=0,IFERROR(generateSalesData($D433, IF(ISNUMBER(_xlfn.XLOOKUP($C433,Phone_by_Sentiment!$B$2:$B$37,Phone_by_Sentiment!J$2:J$37,"",0,1)),_xlfn.XLOOKUP($C433,Phone_by_Sentiment!$B$2:$B$37,Phone_by_Sentiment!J$2:J$37,"",0,1),0),$A433-TEXT(DATEVALUE($D433&amp;"-01"), "dd-mm-yyyy")),0),0)</f>
        <v>0</v>
      </c>
      <c r="K433" cm="1">
        <f t="array" ref="K433">IF($Q433&gt;=0,IFERROR(generateSalesData($D433, IF(ISNUMBER(_xlfn.XLOOKUP($C433,Phone_by_Sentiment!$B$2:$B$37,Phone_by_Sentiment!K$2:K$37,"",0,1)),_xlfn.XLOOKUP($C433,Phone_by_Sentiment!$B$2:$B$37,Phone_by_Sentiment!K$2:K$37,"",0,1),0),$A433-TEXT(DATEVALUE($D433&amp;"-01"), "dd-mm-yyyy")),0),0)</f>
        <v>0</v>
      </c>
      <c r="L433" cm="1">
        <f t="array" ref="L433">IF($Q433&gt;=0,IFERROR(generateSalesData($D433, IF(ISNUMBER(_xlfn.XLOOKUP($C433,Phone_by_Sentiment!$B$2:$B$37,Phone_by_Sentiment!L$2:L$37,"",0,1)),_xlfn.XLOOKUP($C433,Phone_by_Sentiment!$B$2:$B$37,Phone_by_Sentiment!L$2:L$37,"",0,1),0),$A433-TEXT(DATEVALUE($D433&amp;"-01"), "dd-mm-yyyy")),0),0)</f>
        <v>0</v>
      </c>
      <c r="M433" cm="1">
        <f t="array" ref="M433">IF($Q433&gt;=0,IFERROR(generateSalesData($D433, IF(ISNUMBER(_xlfn.XLOOKUP($C433,Phone_by_Sentiment!$B$2:$B$37,Phone_by_Sentiment!M$2:M$37,"",0,1)),_xlfn.XLOOKUP($C433,Phone_by_Sentiment!$B$2:$B$37,Phone_by_Sentiment!M$2:M$37,"",0,1),0),$A433-TEXT(DATEVALUE($D433&amp;"-01"), "dd-mm-yyyy")),0),0)</f>
        <v>0</v>
      </c>
      <c r="N433" cm="1">
        <f t="array" ref="N433">IF($Q433&gt;=0,IFERROR(generateSalesData($D433, IF(ISNUMBER(_xlfn.XLOOKUP($C433,Phone_by_Sentiment!$B$2:$B$37,Phone_by_Sentiment!N$2:N$37,"",0,1)),_xlfn.XLOOKUP($C433,Phone_by_Sentiment!$B$2:$B$37,Phone_by_Sentiment!N$2:N$37,"",0,1),0),$A433-TEXT(DATEVALUE($D433&amp;"-01"), "dd-mm-yyyy")),0),0)</f>
        <v>0</v>
      </c>
      <c r="O433" cm="1">
        <f t="array" ref="O433">IF($Q433&gt;=0,IFERROR(generateSalesData($D433, IF(ISNUMBER(_xlfn.XLOOKUP($C433,Phone_by_Sentiment!$B$2:$B$37,Phone_by_Sentiment!O$2:O$37,"",0,1)),_xlfn.XLOOKUP($C433,Phone_by_Sentiment!$B$2:$B$37,Phone_by_Sentiment!O$2:O$37,"",0,1),0),$A433-TEXT(DATEVALUE($D433&amp;"-01"), "dd-mm-yyyy")),0),0)</f>
        <v>0</v>
      </c>
      <c r="P433" s="1">
        <f t="shared" si="16"/>
        <v>43862</v>
      </c>
      <c r="Q433">
        <f t="shared" si="17"/>
        <v>-31</v>
      </c>
    </row>
    <row r="434" spans="1:17" x14ac:dyDescent="0.25">
      <c r="A434" s="1">
        <f t="shared" si="15"/>
        <v>43831</v>
      </c>
      <c r="B434" t="s">
        <v>144</v>
      </c>
      <c r="C434" t="str">
        <f>_xlfn.XLOOKUP(B434,Phone_by_Price!$A$2:$A$34,Phone_by_Price!$B$2:$B$34,"-",0,1)</f>
        <v>Xiaomi Redmi Note 10</v>
      </c>
      <c r="D434" t="str">
        <f>_xlfn.XLOOKUP(C434,Phone_by_Sentiment!$B$2:$B$37,Phone_by_Sentiment!$A$2:$A$37,"-",0,1)</f>
        <v>2021-03</v>
      </c>
      <c r="E434" cm="1">
        <f t="array" ref="E434">IF($Q434&gt;=0,IFERROR(generateSalesData($D434, IF(ISNUMBER(_xlfn.XLOOKUP($C434,Phone_by_Sentiment!$B$2:$B$37,Phone_by_Sentiment!E$2:E$37,"",0,1)),_xlfn.XLOOKUP($C434,Phone_by_Sentiment!$B$2:$B$37,Phone_by_Sentiment!E$2:E$37,"",0,1),0),$A434-TEXT(DATEVALUE($D434&amp;"-01"), "dd-mm-yyyy")),0),0)</f>
        <v>0</v>
      </c>
      <c r="F434" cm="1">
        <f t="array" ref="F434">IF($Q434&gt;=0,IFERROR(generateSalesData($D434, IF(ISNUMBER(_xlfn.XLOOKUP($C434,Phone_by_Sentiment!$B$2:$B$37,Phone_by_Sentiment!F$2:F$37,"",0,1)),_xlfn.XLOOKUP($C434,Phone_by_Sentiment!$B$2:$B$37,Phone_by_Sentiment!F$2:F$37,"",0,1),0),$A434-TEXT(DATEVALUE($D434&amp;"-01"), "dd-mm-yyyy")),0),0)</f>
        <v>0</v>
      </c>
      <c r="G434" cm="1">
        <f t="array" ref="G434">IF($Q434&gt;=0,IFERROR(generateSalesData($D434, IF(ISNUMBER(_xlfn.XLOOKUP($C434,Phone_by_Sentiment!$B$2:$B$37,Phone_by_Sentiment!G$2:G$37,"",0,1)),_xlfn.XLOOKUP($C434,Phone_by_Sentiment!$B$2:$B$37,Phone_by_Sentiment!G$2:G$37,"",0,1),0),$A434-TEXT(DATEVALUE($D434&amp;"-01"), "dd-mm-yyyy")),0),0)</f>
        <v>0</v>
      </c>
      <c r="H434" cm="1">
        <f t="array" ref="H434">IF($Q434&gt;=0,IFERROR(generateSalesData($D434, IF(ISNUMBER(_xlfn.XLOOKUP($C434,Phone_by_Sentiment!$B$2:$B$37,Phone_by_Sentiment!H$2:H$37,"",0,1)),_xlfn.XLOOKUP($C434,Phone_by_Sentiment!$B$2:$B$37,Phone_by_Sentiment!H$2:H$37,"",0,1),0),$A434-TEXT(DATEVALUE($D434&amp;"-01"), "dd-mm-yyyy")),0),0)</f>
        <v>0</v>
      </c>
      <c r="I434" cm="1">
        <f t="array" ref="I434">IF($Q434&gt;=0,IFERROR(generateSalesData($D434, IF(ISNUMBER(_xlfn.XLOOKUP($C434,Phone_by_Sentiment!$B$2:$B$37,Phone_by_Sentiment!I$2:I$37,"",0,1)),_xlfn.XLOOKUP($C434,Phone_by_Sentiment!$B$2:$B$37,Phone_by_Sentiment!I$2:I$37,"",0,1),0),$A434-TEXT(DATEVALUE($D434&amp;"-01"), "dd-mm-yyyy")),0),0)</f>
        <v>0</v>
      </c>
      <c r="J434" cm="1">
        <f t="array" ref="J434">IF($Q434&gt;=0,IFERROR(generateSalesData($D434, IF(ISNUMBER(_xlfn.XLOOKUP($C434,Phone_by_Sentiment!$B$2:$B$37,Phone_by_Sentiment!J$2:J$37,"",0,1)),_xlfn.XLOOKUP($C434,Phone_by_Sentiment!$B$2:$B$37,Phone_by_Sentiment!J$2:J$37,"",0,1),0),$A434-TEXT(DATEVALUE($D434&amp;"-01"), "dd-mm-yyyy")),0),0)</f>
        <v>0</v>
      </c>
      <c r="K434" cm="1">
        <f t="array" ref="K434">IF($Q434&gt;=0,IFERROR(generateSalesData($D434, IF(ISNUMBER(_xlfn.XLOOKUP($C434,Phone_by_Sentiment!$B$2:$B$37,Phone_by_Sentiment!K$2:K$37,"",0,1)),_xlfn.XLOOKUP($C434,Phone_by_Sentiment!$B$2:$B$37,Phone_by_Sentiment!K$2:K$37,"",0,1),0),$A434-TEXT(DATEVALUE($D434&amp;"-01"), "dd-mm-yyyy")),0),0)</f>
        <v>0</v>
      </c>
      <c r="L434" cm="1">
        <f t="array" ref="L434">IF($Q434&gt;=0,IFERROR(generateSalesData($D434, IF(ISNUMBER(_xlfn.XLOOKUP($C434,Phone_by_Sentiment!$B$2:$B$37,Phone_by_Sentiment!L$2:L$37,"",0,1)),_xlfn.XLOOKUP($C434,Phone_by_Sentiment!$B$2:$B$37,Phone_by_Sentiment!L$2:L$37,"",0,1),0),$A434-TEXT(DATEVALUE($D434&amp;"-01"), "dd-mm-yyyy")),0),0)</f>
        <v>0</v>
      </c>
      <c r="M434" cm="1">
        <f t="array" ref="M434">IF($Q434&gt;=0,IFERROR(generateSalesData($D434, IF(ISNUMBER(_xlfn.XLOOKUP($C434,Phone_by_Sentiment!$B$2:$B$37,Phone_by_Sentiment!M$2:M$37,"",0,1)),_xlfn.XLOOKUP($C434,Phone_by_Sentiment!$B$2:$B$37,Phone_by_Sentiment!M$2:M$37,"",0,1),0),$A434-TEXT(DATEVALUE($D434&amp;"-01"), "dd-mm-yyyy")),0),0)</f>
        <v>0</v>
      </c>
      <c r="N434" cm="1">
        <f t="array" ref="N434">IF($Q434&gt;=0,IFERROR(generateSalesData($D434, IF(ISNUMBER(_xlfn.XLOOKUP($C434,Phone_by_Sentiment!$B$2:$B$37,Phone_by_Sentiment!N$2:N$37,"",0,1)),_xlfn.XLOOKUP($C434,Phone_by_Sentiment!$B$2:$B$37,Phone_by_Sentiment!N$2:N$37,"",0,1),0),$A434-TEXT(DATEVALUE($D434&amp;"-01"), "dd-mm-yyyy")),0),0)</f>
        <v>0</v>
      </c>
      <c r="O434" cm="1">
        <f t="array" ref="O434">IF($Q434&gt;=0,IFERROR(generateSalesData($D434, IF(ISNUMBER(_xlfn.XLOOKUP($C434,Phone_by_Sentiment!$B$2:$B$37,Phone_by_Sentiment!O$2:O$37,"",0,1)),_xlfn.XLOOKUP($C434,Phone_by_Sentiment!$B$2:$B$37,Phone_by_Sentiment!O$2:O$37,"",0,1),0),$A434-TEXT(DATEVALUE($D434&amp;"-01"), "dd-mm-yyyy")),0),0)</f>
        <v>0</v>
      </c>
      <c r="P434" s="1">
        <f t="shared" si="16"/>
        <v>44256</v>
      </c>
      <c r="Q434">
        <f t="shared" si="17"/>
        <v>-425</v>
      </c>
    </row>
    <row r="435" spans="1:17" x14ac:dyDescent="0.25">
      <c r="A435" s="1">
        <f t="shared" si="15"/>
        <v>43831</v>
      </c>
      <c r="B435" t="s">
        <v>145</v>
      </c>
      <c r="C435" t="str">
        <f>_xlfn.XLOOKUP(B435,Phone_by_Price!$A$2:$A$34,Phone_by_Price!$B$2:$B$34,"-",0,1)</f>
        <v>OPPO A54</v>
      </c>
      <c r="D435" t="str">
        <f>_xlfn.XLOOKUP(C435,Phone_by_Sentiment!$B$2:$B$37,Phone_by_Sentiment!$A$2:$A$37,"-",0,1)</f>
        <v>2021-04</v>
      </c>
      <c r="E435" cm="1">
        <f t="array" ref="E435">IF($Q435&gt;=0,IFERROR(generateSalesData($D435, IF(ISNUMBER(_xlfn.XLOOKUP($C435,Phone_by_Sentiment!$B$2:$B$37,Phone_by_Sentiment!E$2:E$37,"",0,1)),_xlfn.XLOOKUP($C435,Phone_by_Sentiment!$B$2:$B$37,Phone_by_Sentiment!E$2:E$37,"",0,1),0),$A435-TEXT(DATEVALUE($D435&amp;"-01"), "dd-mm-yyyy")),0),0)</f>
        <v>0</v>
      </c>
      <c r="F435" cm="1">
        <f t="array" ref="F435">IF($Q435&gt;=0,IFERROR(generateSalesData($D435, IF(ISNUMBER(_xlfn.XLOOKUP($C435,Phone_by_Sentiment!$B$2:$B$37,Phone_by_Sentiment!F$2:F$37,"",0,1)),_xlfn.XLOOKUP($C435,Phone_by_Sentiment!$B$2:$B$37,Phone_by_Sentiment!F$2:F$37,"",0,1),0),$A435-TEXT(DATEVALUE($D435&amp;"-01"), "dd-mm-yyyy")),0),0)</f>
        <v>0</v>
      </c>
      <c r="G435" cm="1">
        <f t="array" ref="G435">IF($Q435&gt;=0,IFERROR(generateSalesData($D435, IF(ISNUMBER(_xlfn.XLOOKUP($C435,Phone_by_Sentiment!$B$2:$B$37,Phone_by_Sentiment!G$2:G$37,"",0,1)),_xlfn.XLOOKUP($C435,Phone_by_Sentiment!$B$2:$B$37,Phone_by_Sentiment!G$2:G$37,"",0,1),0),$A435-TEXT(DATEVALUE($D435&amp;"-01"), "dd-mm-yyyy")),0),0)</f>
        <v>0</v>
      </c>
      <c r="H435" cm="1">
        <f t="array" ref="H435">IF($Q435&gt;=0,IFERROR(generateSalesData($D435, IF(ISNUMBER(_xlfn.XLOOKUP($C435,Phone_by_Sentiment!$B$2:$B$37,Phone_by_Sentiment!H$2:H$37,"",0,1)),_xlfn.XLOOKUP($C435,Phone_by_Sentiment!$B$2:$B$37,Phone_by_Sentiment!H$2:H$37,"",0,1),0),$A435-TEXT(DATEVALUE($D435&amp;"-01"), "dd-mm-yyyy")),0),0)</f>
        <v>0</v>
      </c>
      <c r="I435" cm="1">
        <f t="array" ref="I435">IF($Q435&gt;=0,IFERROR(generateSalesData($D435, IF(ISNUMBER(_xlfn.XLOOKUP($C435,Phone_by_Sentiment!$B$2:$B$37,Phone_by_Sentiment!I$2:I$37,"",0,1)),_xlfn.XLOOKUP($C435,Phone_by_Sentiment!$B$2:$B$37,Phone_by_Sentiment!I$2:I$37,"",0,1),0),$A435-TEXT(DATEVALUE($D435&amp;"-01"), "dd-mm-yyyy")),0),0)</f>
        <v>0</v>
      </c>
      <c r="J435" cm="1">
        <f t="array" ref="J435">IF($Q435&gt;=0,IFERROR(generateSalesData($D435, IF(ISNUMBER(_xlfn.XLOOKUP($C435,Phone_by_Sentiment!$B$2:$B$37,Phone_by_Sentiment!J$2:J$37,"",0,1)),_xlfn.XLOOKUP($C435,Phone_by_Sentiment!$B$2:$B$37,Phone_by_Sentiment!J$2:J$37,"",0,1),0),$A435-TEXT(DATEVALUE($D435&amp;"-01"), "dd-mm-yyyy")),0),0)</f>
        <v>0</v>
      </c>
      <c r="K435" cm="1">
        <f t="array" ref="K435">IF($Q435&gt;=0,IFERROR(generateSalesData($D435, IF(ISNUMBER(_xlfn.XLOOKUP($C435,Phone_by_Sentiment!$B$2:$B$37,Phone_by_Sentiment!K$2:K$37,"",0,1)),_xlfn.XLOOKUP($C435,Phone_by_Sentiment!$B$2:$B$37,Phone_by_Sentiment!K$2:K$37,"",0,1),0),$A435-TEXT(DATEVALUE($D435&amp;"-01"), "dd-mm-yyyy")),0),0)</f>
        <v>0</v>
      </c>
      <c r="L435" cm="1">
        <f t="array" ref="L435">IF($Q435&gt;=0,IFERROR(generateSalesData($D435, IF(ISNUMBER(_xlfn.XLOOKUP($C435,Phone_by_Sentiment!$B$2:$B$37,Phone_by_Sentiment!L$2:L$37,"",0,1)),_xlfn.XLOOKUP($C435,Phone_by_Sentiment!$B$2:$B$37,Phone_by_Sentiment!L$2:L$37,"",0,1),0),$A435-TEXT(DATEVALUE($D435&amp;"-01"), "dd-mm-yyyy")),0),0)</f>
        <v>0</v>
      </c>
      <c r="M435" cm="1">
        <f t="array" ref="M435">IF($Q435&gt;=0,IFERROR(generateSalesData($D435, IF(ISNUMBER(_xlfn.XLOOKUP($C435,Phone_by_Sentiment!$B$2:$B$37,Phone_by_Sentiment!M$2:M$37,"",0,1)),_xlfn.XLOOKUP($C435,Phone_by_Sentiment!$B$2:$B$37,Phone_by_Sentiment!M$2:M$37,"",0,1),0),$A435-TEXT(DATEVALUE($D435&amp;"-01"), "dd-mm-yyyy")),0),0)</f>
        <v>0</v>
      </c>
      <c r="N435" cm="1">
        <f t="array" ref="N435">IF($Q435&gt;=0,IFERROR(generateSalesData($D435, IF(ISNUMBER(_xlfn.XLOOKUP($C435,Phone_by_Sentiment!$B$2:$B$37,Phone_by_Sentiment!N$2:N$37,"",0,1)),_xlfn.XLOOKUP($C435,Phone_by_Sentiment!$B$2:$B$37,Phone_by_Sentiment!N$2:N$37,"",0,1),0),$A435-TEXT(DATEVALUE($D435&amp;"-01"), "dd-mm-yyyy")),0),0)</f>
        <v>0</v>
      </c>
      <c r="O435" cm="1">
        <f t="array" ref="O435">IF($Q435&gt;=0,IFERROR(generateSalesData($D435, IF(ISNUMBER(_xlfn.XLOOKUP($C435,Phone_by_Sentiment!$B$2:$B$37,Phone_by_Sentiment!O$2:O$37,"",0,1)),_xlfn.XLOOKUP($C435,Phone_by_Sentiment!$B$2:$B$37,Phone_by_Sentiment!O$2:O$37,"",0,1),0),$A435-TEXT(DATEVALUE($D435&amp;"-01"), "dd-mm-yyyy")),0),0)</f>
        <v>0</v>
      </c>
      <c r="P435" s="1">
        <f t="shared" si="16"/>
        <v>44287</v>
      </c>
      <c r="Q435">
        <f t="shared" si="17"/>
        <v>-456</v>
      </c>
    </row>
    <row r="436" spans="1:17" x14ac:dyDescent="0.25">
      <c r="A436" s="1">
        <f t="shared" si="15"/>
        <v>43831</v>
      </c>
      <c r="B436" t="s">
        <v>146</v>
      </c>
      <c r="C436" t="str">
        <f>_xlfn.XLOOKUP(B436,Phone_by_Price!$A$2:$A$34,Phone_by_Price!$B$2:$B$34,"-",0,1)</f>
        <v>Vivo Y20</v>
      </c>
      <c r="D436" t="str">
        <f>_xlfn.XLOOKUP(C436,Phone_by_Sentiment!$B$2:$B$37,Phone_by_Sentiment!$A$2:$A$37,"-",0,1)</f>
        <v>2020-09</v>
      </c>
      <c r="E436" cm="1">
        <f t="array" ref="E436">IF($Q436&gt;=0,IFERROR(generateSalesData($D436, IF(ISNUMBER(_xlfn.XLOOKUP($C436,Phone_by_Sentiment!$B$2:$B$37,Phone_by_Sentiment!E$2:E$37,"",0,1)),_xlfn.XLOOKUP($C436,Phone_by_Sentiment!$B$2:$B$37,Phone_by_Sentiment!E$2:E$37,"",0,1),0),$A436-TEXT(DATEVALUE($D436&amp;"-01"), "dd-mm-yyyy")),0),0)</f>
        <v>0</v>
      </c>
      <c r="F436" cm="1">
        <f t="array" ref="F436">IF($Q436&gt;=0,IFERROR(generateSalesData($D436, IF(ISNUMBER(_xlfn.XLOOKUP($C436,Phone_by_Sentiment!$B$2:$B$37,Phone_by_Sentiment!F$2:F$37,"",0,1)),_xlfn.XLOOKUP($C436,Phone_by_Sentiment!$B$2:$B$37,Phone_by_Sentiment!F$2:F$37,"",0,1),0),$A436-TEXT(DATEVALUE($D436&amp;"-01"), "dd-mm-yyyy")),0),0)</f>
        <v>0</v>
      </c>
      <c r="G436" cm="1">
        <f t="array" ref="G436">IF($Q436&gt;=0,IFERROR(generateSalesData($D436, IF(ISNUMBER(_xlfn.XLOOKUP($C436,Phone_by_Sentiment!$B$2:$B$37,Phone_by_Sentiment!G$2:G$37,"",0,1)),_xlfn.XLOOKUP($C436,Phone_by_Sentiment!$B$2:$B$37,Phone_by_Sentiment!G$2:G$37,"",0,1),0),$A436-TEXT(DATEVALUE($D436&amp;"-01"), "dd-mm-yyyy")),0),0)</f>
        <v>0</v>
      </c>
      <c r="H436" cm="1">
        <f t="array" ref="H436">IF($Q436&gt;=0,IFERROR(generateSalesData($D436, IF(ISNUMBER(_xlfn.XLOOKUP($C436,Phone_by_Sentiment!$B$2:$B$37,Phone_by_Sentiment!H$2:H$37,"",0,1)),_xlfn.XLOOKUP($C436,Phone_by_Sentiment!$B$2:$B$37,Phone_by_Sentiment!H$2:H$37,"",0,1),0),$A436-TEXT(DATEVALUE($D436&amp;"-01"), "dd-mm-yyyy")),0),0)</f>
        <v>0</v>
      </c>
      <c r="I436" cm="1">
        <f t="array" ref="I436">IF($Q436&gt;=0,IFERROR(generateSalesData($D436, IF(ISNUMBER(_xlfn.XLOOKUP($C436,Phone_by_Sentiment!$B$2:$B$37,Phone_by_Sentiment!I$2:I$37,"",0,1)),_xlfn.XLOOKUP($C436,Phone_by_Sentiment!$B$2:$B$37,Phone_by_Sentiment!I$2:I$37,"",0,1),0),$A436-TEXT(DATEVALUE($D436&amp;"-01"), "dd-mm-yyyy")),0),0)</f>
        <v>0</v>
      </c>
      <c r="J436" cm="1">
        <f t="array" ref="J436">IF($Q436&gt;=0,IFERROR(generateSalesData($D436, IF(ISNUMBER(_xlfn.XLOOKUP($C436,Phone_by_Sentiment!$B$2:$B$37,Phone_by_Sentiment!J$2:J$37,"",0,1)),_xlfn.XLOOKUP($C436,Phone_by_Sentiment!$B$2:$B$37,Phone_by_Sentiment!J$2:J$37,"",0,1),0),$A436-TEXT(DATEVALUE($D436&amp;"-01"), "dd-mm-yyyy")),0),0)</f>
        <v>0</v>
      </c>
      <c r="K436" cm="1">
        <f t="array" ref="K436">IF($Q436&gt;=0,IFERROR(generateSalesData($D436, IF(ISNUMBER(_xlfn.XLOOKUP($C436,Phone_by_Sentiment!$B$2:$B$37,Phone_by_Sentiment!K$2:K$37,"",0,1)),_xlfn.XLOOKUP($C436,Phone_by_Sentiment!$B$2:$B$37,Phone_by_Sentiment!K$2:K$37,"",0,1),0),$A436-TEXT(DATEVALUE($D436&amp;"-01"), "dd-mm-yyyy")),0),0)</f>
        <v>0</v>
      </c>
      <c r="L436" cm="1">
        <f t="array" ref="L436">IF($Q436&gt;=0,IFERROR(generateSalesData($D436, IF(ISNUMBER(_xlfn.XLOOKUP($C436,Phone_by_Sentiment!$B$2:$B$37,Phone_by_Sentiment!L$2:L$37,"",0,1)),_xlfn.XLOOKUP($C436,Phone_by_Sentiment!$B$2:$B$37,Phone_by_Sentiment!L$2:L$37,"",0,1),0),$A436-TEXT(DATEVALUE($D436&amp;"-01"), "dd-mm-yyyy")),0),0)</f>
        <v>0</v>
      </c>
      <c r="M436" cm="1">
        <f t="array" ref="M436">IF($Q436&gt;=0,IFERROR(generateSalesData($D436, IF(ISNUMBER(_xlfn.XLOOKUP($C436,Phone_by_Sentiment!$B$2:$B$37,Phone_by_Sentiment!M$2:M$37,"",0,1)),_xlfn.XLOOKUP($C436,Phone_by_Sentiment!$B$2:$B$37,Phone_by_Sentiment!M$2:M$37,"",0,1),0),$A436-TEXT(DATEVALUE($D436&amp;"-01"), "dd-mm-yyyy")),0),0)</f>
        <v>0</v>
      </c>
      <c r="N436" cm="1">
        <f t="array" ref="N436">IF($Q436&gt;=0,IFERROR(generateSalesData($D436, IF(ISNUMBER(_xlfn.XLOOKUP($C436,Phone_by_Sentiment!$B$2:$B$37,Phone_by_Sentiment!N$2:N$37,"",0,1)),_xlfn.XLOOKUP($C436,Phone_by_Sentiment!$B$2:$B$37,Phone_by_Sentiment!N$2:N$37,"",0,1),0),$A436-TEXT(DATEVALUE($D436&amp;"-01"), "dd-mm-yyyy")),0),0)</f>
        <v>0</v>
      </c>
      <c r="O436" cm="1">
        <f t="array" ref="O436">IF($Q436&gt;=0,IFERROR(generateSalesData($D436, IF(ISNUMBER(_xlfn.XLOOKUP($C436,Phone_by_Sentiment!$B$2:$B$37,Phone_by_Sentiment!O$2:O$37,"",0,1)),_xlfn.XLOOKUP($C436,Phone_by_Sentiment!$B$2:$B$37,Phone_by_Sentiment!O$2:O$37,"",0,1),0),$A436-TEXT(DATEVALUE($D436&amp;"-01"), "dd-mm-yyyy")),0),0)</f>
        <v>0</v>
      </c>
      <c r="P436" s="1">
        <f t="shared" si="16"/>
        <v>44075</v>
      </c>
      <c r="Q436">
        <f t="shared" si="17"/>
        <v>-244</v>
      </c>
    </row>
    <row r="437" spans="1:17" x14ac:dyDescent="0.25">
      <c r="A437" s="1">
        <f t="shared" si="15"/>
        <v>43831</v>
      </c>
      <c r="B437" t="s">
        <v>147</v>
      </c>
      <c r="C437" t="str">
        <f>_xlfn.XLOOKUP(B437,Phone_by_Price!$A$2:$A$34,Phone_by_Price!$B$2:$B$34,"-",0,1)</f>
        <v>Huawei Y9a</v>
      </c>
      <c r="D437" t="str">
        <f>_xlfn.XLOOKUP(C437,Phone_by_Sentiment!$B$2:$B$37,Phone_by_Sentiment!$A$2:$A$37,"-",0,1)</f>
        <v>2020-02</v>
      </c>
      <c r="E437" cm="1">
        <f t="array" ref="E437">IF($Q437&gt;=0,IFERROR(generateSalesData($D437, IF(ISNUMBER(_xlfn.XLOOKUP($C437,Phone_by_Sentiment!$B$2:$B$37,Phone_by_Sentiment!E$2:E$37,"",0,1)),_xlfn.XLOOKUP($C437,Phone_by_Sentiment!$B$2:$B$37,Phone_by_Sentiment!E$2:E$37,"",0,1),0),$A437-TEXT(DATEVALUE($D437&amp;"-01"), "dd-mm-yyyy")),0),0)</f>
        <v>0</v>
      </c>
      <c r="F437" cm="1">
        <f t="array" ref="F437">IF($Q437&gt;=0,IFERROR(generateSalesData($D437, IF(ISNUMBER(_xlfn.XLOOKUP($C437,Phone_by_Sentiment!$B$2:$B$37,Phone_by_Sentiment!F$2:F$37,"",0,1)),_xlfn.XLOOKUP($C437,Phone_by_Sentiment!$B$2:$B$37,Phone_by_Sentiment!F$2:F$37,"",0,1),0),$A437-TEXT(DATEVALUE($D437&amp;"-01"), "dd-mm-yyyy")),0),0)</f>
        <v>0</v>
      </c>
      <c r="G437" cm="1">
        <f t="array" ref="G437">IF($Q437&gt;=0,IFERROR(generateSalesData($D437, IF(ISNUMBER(_xlfn.XLOOKUP($C437,Phone_by_Sentiment!$B$2:$B$37,Phone_by_Sentiment!G$2:G$37,"",0,1)),_xlfn.XLOOKUP($C437,Phone_by_Sentiment!$B$2:$B$37,Phone_by_Sentiment!G$2:G$37,"",0,1),0),$A437-TEXT(DATEVALUE($D437&amp;"-01"), "dd-mm-yyyy")),0),0)</f>
        <v>0</v>
      </c>
      <c r="H437" cm="1">
        <f t="array" ref="H437">IF($Q437&gt;=0,IFERROR(generateSalesData($D437, IF(ISNUMBER(_xlfn.XLOOKUP($C437,Phone_by_Sentiment!$B$2:$B$37,Phone_by_Sentiment!H$2:H$37,"",0,1)),_xlfn.XLOOKUP($C437,Phone_by_Sentiment!$B$2:$B$37,Phone_by_Sentiment!H$2:H$37,"",0,1),0),$A437-TEXT(DATEVALUE($D437&amp;"-01"), "dd-mm-yyyy")),0),0)</f>
        <v>0</v>
      </c>
      <c r="I437" cm="1">
        <f t="array" ref="I437">IF($Q437&gt;=0,IFERROR(generateSalesData($D437, IF(ISNUMBER(_xlfn.XLOOKUP($C437,Phone_by_Sentiment!$B$2:$B$37,Phone_by_Sentiment!I$2:I$37,"",0,1)),_xlfn.XLOOKUP($C437,Phone_by_Sentiment!$B$2:$B$37,Phone_by_Sentiment!I$2:I$37,"",0,1),0),$A437-TEXT(DATEVALUE($D437&amp;"-01"), "dd-mm-yyyy")),0),0)</f>
        <v>0</v>
      </c>
      <c r="J437" cm="1">
        <f t="array" ref="J437">IF($Q437&gt;=0,IFERROR(generateSalesData($D437, IF(ISNUMBER(_xlfn.XLOOKUP($C437,Phone_by_Sentiment!$B$2:$B$37,Phone_by_Sentiment!J$2:J$37,"",0,1)),_xlfn.XLOOKUP($C437,Phone_by_Sentiment!$B$2:$B$37,Phone_by_Sentiment!J$2:J$37,"",0,1),0),$A437-TEXT(DATEVALUE($D437&amp;"-01"), "dd-mm-yyyy")),0),0)</f>
        <v>0</v>
      </c>
      <c r="K437" cm="1">
        <f t="array" ref="K437">IF($Q437&gt;=0,IFERROR(generateSalesData($D437, IF(ISNUMBER(_xlfn.XLOOKUP($C437,Phone_by_Sentiment!$B$2:$B$37,Phone_by_Sentiment!K$2:K$37,"",0,1)),_xlfn.XLOOKUP($C437,Phone_by_Sentiment!$B$2:$B$37,Phone_by_Sentiment!K$2:K$37,"",0,1),0),$A437-TEXT(DATEVALUE($D437&amp;"-01"), "dd-mm-yyyy")),0),0)</f>
        <v>0</v>
      </c>
      <c r="L437" cm="1">
        <f t="array" ref="L437">IF($Q437&gt;=0,IFERROR(generateSalesData($D437, IF(ISNUMBER(_xlfn.XLOOKUP($C437,Phone_by_Sentiment!$B$2:$B$37,Phone_by_Sentiment!L$2:L$37,"",0,1)),_xlfn.XLOOKUP($C437,Phone_by_Sentiment!$B$2:$B$37,Phone_by_Sentiment!L$2:L$37,"",0,1),0),$A437-TEXT(DATEVALUE($D437&amp;"-01"), "dd-mm-yyyy")),0),0)</f>
        <v>0</v>
      </c>
      <c r="M437" cm="1">
        <f t="array" ref="M437">IF($Q437&gt;=0,IFERROR(generateSalesData($D437, IF(ISNUMBER(_xlfn.XLOOKUP($C437,Phone_by_Sentiment!$B$2:$B$37,Phone_by_Sentiment!M$2:M$37,"",0,1)),_xlfn.XLOOKUP($C437,Phone_by_Sentiment!$B$2:$B$37,Phone_by_Sentiment!M$2:M$37,"",0,1),0),$A437-TEXT(DATEVALUE($D437&amp;"-01"), "dd-mm-yyyy")),0),0)</f>
        <v>0</v>
      </c>
      <c r="N437" cm="1">
        <f t="array" ref="N437">IF($Q437&gt;=0,IFERROR(generateSalesData($D437, IF(ISNUMBER(_xlfn.XLOOKUP($C437,Phone_by_Sentiment!$B$2:$B$37,Phone_by_Sentiment!N$2:N$37,"",0,1)),_xlfn.XLOOKUP($C437,Phone_by_Sentiment!$B$2:$B$37,Phone_by_Sentiment!N$2:N$37,"",0,1),0),$A437-TEXT(DATEVALUE($D437&amp;"-01"), "dd-mm-yyyy")),0),0)</f>
        <v>0</v>
      </c>
      <c r="O437" cm="1">
        <f t="array" ref="O437">IF($Q437&gt;=0,IFERROR(generateSalesData($D437, IF(ISNUMBER(_xlfn.XLOOKUP($C437,Phone_by_Sentiment!$B$2:$B$37,Phone_by_Sentiment!O$2:O$37,"",0,1)),_xlfn.XLOOKUP($C437,Phone_by_Sentiment!$B$2:$B$37,Phone_by_Sentiment!O$2:O$37,"",0,1),0),$A437-TEXT(DATEVALUE($D437&amp;"-01"), "dd-mm-yyyy")),0),0)</f>
        <v>0</v>
      </c>
      <c r="P437" s="1">
        <f t="shared" si="16"/>
        <v>43862</v>
      </c>
      <c r="Q437">
        <f t="shared" si="17"/>
        <v>-31</v>
      </c>
    </row>
    <row r="438" spans="1:17" x14ac:dyDescent="0.25">
      <c r="A438" s="1">
        <f t="shared" si="15"/>
        <v>43831</v>
      </c>
      <c r="B438" t="s">
        <v>148</v>
      </c>
      <c r="C438" t="str">
        <f>_xlfn.XLOOKUP(B438,Phone_by_Price!$A$2:$A$34,Phone_by_Price!$B$2:$B$34,"-",0,1)</f>
        <v>Xiaomi Redmi 10</v>
      </c>
      <c r="D438" t="str">
        <f>_xlfn.XLOOKUP(C438,Phone_by_Sentiment!$B$2:$B$37,Phone_by_Sentiment!$A$2:$A$37,"-",0,1)</f>
        <v>2021-03</v>
      </c>
      <c r="E438" cm="1">
        <f t="array" ref="E438">IF($Q438&gt;=0,IFERROR(generateSalesData($D438, IF(ISNUMBER(_xlfn.XLOOKUP($C438,Phone_by_Sentiment!$B$2:$B$37,Phone_by_Sentiment!E$2:E$37,"",0,1)),_xlfn.XLOOKUP($C438,Phone_by_Sentiment!$B$2:$B$37,Phone_by_Sentiment!E$2:E$37,"",0,1),0),$A438-TEXT(DATEVALUE($D438&amp;"-01"), "dd-mm-yyyy")),0),0)</f>
        <v>0</v>
      </c>
      <c r="F438" cm="1">
        <f t="array" ref="F438">IF($Q438&gt;=0,IFERROR(generateSalesData($D438, IF(ISNUMBER(_xlfn.XLOOKUP($C438,Phone_by_Sentiment!$B$2:$B$37,Phone_by_Sentiment!F$2:F$37,"",0,1)),_xlfn.XLOOKUP($C438,Phone_by_Sentiment!$B$2:$B$37,Phone_by_Sentiment!F$2:F$37,"",0,1),0),$A438-TEXT(DATEVALUE($D438&amp;"-01"), "dd-mm-yyyy")),0),0)</f>
        <v>0</v>
      </c>
      <c r="G438" cm="1">
        <f t="array" ref="G438">IF($Q438&gt;=0,IFERROR(generateSalesData($D438, IF(ISNUMBER(_xlfn.XLOOKUP($C438,Phone_by_Sentiment!$B$2:$B$37,Phone_by_Sentiment!G$2:G$37,"",0,1)),_xlfn.XLOOKUP($C438,Phone_by_Sentiment!$B$2:$B$37,Phone_by_Sentiment!G$2:G$37,"",0,1),0),$A438-TEXT(DATEVALUE($D438&amp;"-01"), "dd-mm-yyyy")),0),0)</f>
        <v>0</v>
      </c>
      <c r="H438" cm="1">
        <f t="array" ref="H438">IF($Q438&gt;=0,IFERROR(generateSalesData($D438, IF(ISNUMBER(_xlfn.XLOOKUP($C438,Phone_by_Sentiment!$B$2:$B$37,Phone_by_Sentiment!H$2:H$37,"",0,1)),_xlfn.XLOOKUP($C438,Phone_by_Sentiment!$B$2:$B$37,Phone_by_Sentiment!H$2:H$37,"",0,1),0),$A438-TEXT(DATEVALUE($D438&amp;"-01"), "dd-mm-yyyy")),0),0)</f>
        <v>0</v>
      </c>
      <c r="I438" cm="1">
        <f t="array" ref="I438">IF($Q438&gt;=0,IFERROR(generateSalesData($D438, IF(ISNUMBER(_xlfn.XLOOKUP($C438,Phone_by_Sentiment!$B$2:$B$37,Phone_by_Sentiment!I$2:I$37,"",0,1)),_xlfn.XLOOKUP($C438,Phone_by_Sentiment!$B$2:$B$37,Phone_by_Sentiment!I$2:I$37,"",0,1),0),$A438-TEXT(DATEVALUE($D438&amp;"-01"), "dd-mm-yyyy")),0),0)</f>
        <v>0</v>
      </c>
      <c r="J438" cm="1">
        <f t="array" ref="J438">IF($Q438&gt;=0,IFERROR(generateSalesData($D438, IF(ISNUMBER(_xlfn.XLOOKUP($C438,Phone_by_Sentiment!$B$2:$B$37,Phone_by_Sentiment!J$2:J$37,"",0,1)),_xlfn.XLOOKUP($C438,Phone_by_Sentiment!$B$2:$B$37,Phone_by_Sentiment!J$2:J$37,"",0,1),0),$A438-TEXT(DATEVALUE($D438&amp;"-01"), "dd-mm-yyyy")),0),0)</f>
        <v>0</v>
      </c>
      <c r="K438" cm="1">
        <f t="array" ref="K438">IF($Q438&gt;=0,IFERROR(generateSalesData($D438, IF(ISNUMBER(_xlfn.XLOOKUP($C438,Phone_by_Sentiment!$B$2:$B$37,Phone_by_Sentiment!K$2:K$37,"",0,1)),_xlfn.XLOOKUP($C438,Phone_by_Sentiment!$B$2:$B$37,Phone_by_Sentiment!K$2:K$37,"",0,1),0),$A438-TEXT(DATEVALUE($D438&amp;"-01"), "dd-mm-yyyy")),0),0)</f>
        <v>0</v>
      </c>
      <c r="L438" cm="1">
        <f t="array" ref="L438">IF($Q438&gt;=0,IFERROR(generateSalesData($D438, IF(ISNUMBER(_xlfn.XLOOKUP($C438,Phone_by_Sentiment!$B$2:$B$37,Phone_by_Sentiment!L$2:L$37,"",0,1)),_xlfn.XLOOKUP($C438,Phone_by_Sentiment!$B$2:$B$37,Phone_by_Sentiment!L$2:L$37,"",0,1),0),$A438-TEXT(DATEVALUE($D438&amp;"-01"), "dd-mm-yyyy")),0),0)</f>
        <v>0</v>
      </c>
      <c r="M438" cm="1">
        <f t="array" ref="M438">IF($Q438&gt;=0,IFERROR(generateSalesData($D438, IF(ISNUMBER(_xlfn.XLOOKUP($C438,Phone_by_Sentiment!$B$2:$B$37,Phone_by_Sentiment!M$2:M$37,"",0,1)),_xlfn.XLOOKUP($C438,Phone_by_Sentiment!$B$2:$B$37,Phone_by_Sentiment!M$2:M$37,"",0,1),0),$A438-TEXT(DATEVALUE($D438&amp;"-01"), "dd-mm-yyyy")),0),0)</f>
        <v>0</v>
      </c>
      <c r="N438" cm="1">
        <f t="array" ref="N438">IF($Q438&gt;=0,IFERROR(generateSalesData($D438, IF(ISNUMBER(_xlfn.XLOOKUP($C438,Phone_by_Sentiment!$B$2:$B$37,Phone_by_Sentiment!N$2:N$37,"",0,1)),_xlfn.XLOOKUP($C438,Phone_by_Sentiment!$B$2:$B$37,Phone_by_Sentiment!N$2:N$37,"",0,1),0),$A438-TEXT(DATEVALUE($D438&amp;"-01"), "dd-mm-yyyy")),0),0)</f>
        <v>0</v>
      </c>
      <c r="O438" cm="1">
        <f t="array" ref="O438">IF($Q438&gt;=0,IFERROR(generateSalesData($D438, IF(ISNUMBER(_xlfn.XLOOKUP($C438,Phone_by_Sentiment!$B$2:$B$37,Phone_by_Sentiment!O$2:O$37,"",0,1)),_xlfn.XLOOKUP($C438,Phone_by_Sentiment!$B$2:$B$37,Phone_by_Sentiment!O$2:O$37,"",0,1),0),$A438-TEXT(DATEVALUE($D438&amp;"-01"), "dd-mm-yyyy")),0),0)</f>
        <v>0</v>
      </c>
      <c r="P438" s="1">
        <f t="shared" si="16"/>
        <v>44256</v>
      </c>
      <c r="Q438">
        <f t="shared" si="17"/>
        <v>-425</v>
      </c>
    </row>
    <row r="439" spans="1:17" x14ac:dyDescent="0.25">
      <c r="A439" s="1">
        <f t="shared" si="15"/>
        <v>43831</v>
      </c>
      <c r="B439" t="s">
        <v>149</v>
      </c>
      <c r="C439" t="str">
        <f>_xlfn.XLOOKUP(B439,Phone_by_Price!$A$2:$A$34,Phone_by_Price!$B$2:$B$34,"-",0,1)</f>
        <v>Samsung Galaxy A52</v>
      </c>
      <c r="D439" t="str">
        <f>_xlfn.XLOOKUP(C439,Phone_by_Sentiment!$B$2:$B$37,Phone_by_Sentiment!$A$2:$A$37,"-",0,1)</f>
        <v>2021-03</v>
      </c>
      <c r="E439" cm="1">
        <f t="array" ref="E439">IF($Q439&gt;=0,IFERROR(generateSalesData($D439, IF(ISNUMBER(_xlfn.XLOOKUP($C439,Phone_by_Sentiment!$B$2:$B$37,Phone_by_Sentiment!E$2:E$37,"",0,1)),_xlfn.XLOOKUP($C439,Phone_by_Sentiment!$B$2:$B$37,Phone_by_Sentiment!E$2:E$37,"",0,1),0),$A439-TEXT(DATEVALUE($D439&amp;"-01"), "dd-mm-yyyy")),0),0)</f>
        <v>0</v>
      </c>
      <c r="F439" cm="1">
        <f t="array" ref="F439">IF($Q439&gt;=0,IFERROR(generateSalesData($D439, IF(ISNUMBER(_xlfn.XLOOKUP($C439,Phone_by_Sentiment!$B$2:$B$37,Phone_by_Sentiment!F$2:F$37,"",0,1)),_xlfn.XLOOKUP($C439,Phone_by_Sentiment!$B$2:$B$37,Phone_by_Sentiment!F$2:F$37,"",0,1),0),$A439-TEXT(DATEVALUE($D439&amp;"-01"), "dd-mm-yyyy")),0),0)</f>
        <v>0</v>
      </c>
      <c r="G439" cm="1">
        <f t="array" ref="G439">IF($Q439&gt;=0,IFERROR(generateSalesData($D439, IF(ISNUMBER(_xlfn.XLOOKUP($C439,Phone_by_Sentiment!$B$2:$B$37,Phone_by_Sentiment!G$2:G$37,"",0,1)),_xlfn.XLOOKUP($C439,Phone_by_Sentiment!$B$2:$B$37,Phone_by_Sentiment!G$2:G$37,"",0,1),0),$A439-TEXT(DATEVALUE($D439&amp;"-01"), "dd-mm-yyyy")),0),0)</f>
        <v>0</v>
      </c>
      <c r="H439" cm="1">
        <f t="array" ref="H439">IF($Q439&gt;=0,IFERROR(generateSalesData($D439, IF(ISNUMBER(_xlfn.XLOOKUP($C439,Phone_by_Sentiment!$B$2:$B$37,Phone_by_Sentiment!H$2:H$37,"",0,1)),_xlfn.XLOOKUP($C439,Phone_by_Sentiment!$B$2:$B$37,Phone_by_Sentiment!H$2:H$37,"",0,1),0),$A439-TEXT(DATEVALUE($D439&amp;"-01"), "dd-mm-yyyy")),0),0)</f>
        <v>0</v>
      </c>
      <c r="I439" cm="1">
        <f t="array" ref="I439">IF($Q439&gt;=0,IFERROR(generateSalesData($D439, IF(ISNUMBER(_xlfn.XLOOKUP($C439,Phone_by_Sentiment!$B$2:$B$37,Phone_by_Sentiment!I$2:I$37,"",0,1)),_xlfn.XLOOKUP($C439,Phone_by_Sentiment!$B$2:$B$37,Phone_by_Sentiment!I$2:I$37,"",0,1),0),$A439-TEXT(DATEVALUE($D439&amp;"-01"), "dd-mm-yyyy")),0),0)</f>
        <v>0</v>
      </c>
      <c r="J439" cm="1">
        <f t="array" ref="J439">IF($Q439&gt;=0,IFERROR(generateSalesData($D439, IF(ISNUMBER(_xlfn.XLOOKUP($C439,Phone_by_Sentiment!$B$2:$B$37,Phone_by_Sentiment!J$2:J$37,"",0,1)),_xlfn.XLOOKUP($C439,Phone_by_Sentiment!$B$2:$B$37,Phone_by_Sentiment!J$2:J$37,"",0,1),0),$A439-TEXT(DATEVALUE($D439&amp;"-01"), "dd-mm-yyyy")),0),0)</f>
        <v>0</v>
      </c>
      <c r="K439" cm="1">
        <f t="array" ref="K439">IF($Q439&gt;=0,IFERROR(generateSalesData($D439, IF(ISNUMBER(_xlfn.XLOOKUP($C439,Phone_by_Sentiment!$B$2:$B$37,Phone_by_Sentiment!K$2:K$37,"",0,1)),_xlfn.XLOOKUP($C439,Phone_by_Sentiment!$B$2:$B$37,Phone_by_Sentiment!K$2:K$37,"",0,1),0),$A439-TEXT(DATEVALUE($D439&amp;"-01"), "dd-mm-yyyy")),0),0)</f>
        <v>0</v>
      </c>
      <c r="L439" cm="1">
        <f t="array" ref="L439">IF($Q439&gt;=0,IFERROR(generateSalesData($D439, IF(ISNUMBER(_xlfn.XLOOKUP($C439,Phone_by_Sentiment!$B$2:$B$37,Phone_by_Sentiment!L$2:L$37,"",0,1)),_xlfn.XLOOKUP($C439,Phone_by_Sentiment!$B$2:$B$37,Phone_by_Sentiment!L$2:L$37,"",0,1),0),$A439-TEXT(DATEVALUE($D439&amp;"-01"), "dd-mm-yyyy")),0),0)</f>
        <v>0</v>
      </c>
      <c r="M439" cm="1">
        <f t="array" ref="M439">IF($Q439&gt;=0,IFERROR(generateSalesData($D439, IF(ISNUMBER(_xlfn.XLOOKUP($C439,Phone_by_Sentiment!$B$2:$B$37,Phone_by_Sentiment!M$2:M$37,"",0,1)),_xlfn.XLOOKUP($C439,Phone_by_Sentiment!$B$2:$B$37,Phone_by_Sentiment!M$2:M$37,"",0,1),0),$A439-TEXT(DATEVALUE($D439&amp;"-01"), "dd-mm-yyyy")),0),0)</f>
        <v>0</v>
      </c>
      <c r="N439" cm="1">
        <f t="array" ref="N439">IF($Q439&gt;=0,IFERROR(generateSalesData($D439, IF(ISNUMBER(_xlfn.XLOOKUP($C439,Phone_by_Sentiment!$B$2:$B$37,Phone_by_Sentiment!N$2:N$37,"",0,1)),_xlfn.XLOOKUP($C439,Phone_by_Sentiment!$B$2:$B$37,Phone_by_Sentiment!N$2:N$37,"",0,1),0),$A439-TEXT(DATEVALUE($D439&amp;"-01"), "dd-mm-yyyy")),0),0)</f>
        <v>0</v>
      </c>
      <c r="O439" cm="1">
        <f t="array" ref="O439">IF($Q439&gt;=0,IFERROR(generateSalesData($D439, IF(ISNUMBER(_xlfn.XLOOKUP($C439,Phone_by_Sentiment!$B$2:$B$37,Phone_by_Sentiment!O$2:O$37,"",0,1)),_xlfn.XLOOKUP($C439,Phone_by_Sentiment!$B$2:$B$37,Phone_by_Sentiment!O$2:O$37,"",0,1),0),$A439-TEXT(DATEVALUE($D439&amp;"-01"), "dd-mm-yyyy")),0),0)</f>
        <v>0</v>
      </c>
      <c r="P439" s="1">
        <f t="shared" si="16"/>
        <v>44256</v>
      </c>
      <c r="Q439">
        <f t="shared" si="17"/>
        <v>-425</v>
      </c>
    </row>
    <row r="440" spans="1:17" x14ac:dyDescent="0.25">
      <c r="A440" s="1">
        <f t="shared" si="15"/>
        <v>43831</v>
      </c>
      <c r="B440" t="s">
        <v>150</v>
      </c>
      <c r="C440" t="str">
        <f>_xlfn.XLOOKUP(B440,Phone_by_Price!$A$2:$A$34,Phone_by_Price!$B$2:$B$34,"-",0,1)</f>
        <v>Vivo Y33s</v>
      </c>
      <c r="D440" t="str">
        <f>_xlfn.XLOOKUP(C440,Phone_by_Sentiment!$B$2:$B$37,Phone_by_Sentiment!$A$2:$A$37,"-",0,1)</f>
        <v>2021-05</v>
      </c>
      <c r="E440" cm="1">
        <f t="array" ref="E440">IF($Q440&gt;=0,IFERROR(generateSalesData($D440, IF(ISNUMBER(_xlfn.XLOOKUP($C440,Phone_by_Sentiment!$B$2:$B$37,Phone_by_Sentiment!E$2:E$37,"",0,1)),_xlfn.XLOOKUP($C440,Phone_by_Sentiment!$B$2:$B$37,Phone_by_Sentiment!E$2:E$37,"",0,1),0),$A440-TEXT(DATEVALUE($D440&amp;"-01"), "dd-mm-yyyy")),0),0)</f>
        <v>0</v>
      </c>
      <c r="F440" cm="1">
        <f t="array" ref="F440">IF($Q440&gt;=0,IFERROR(generateSalesData($D440, IF(ISNUMBER(_xlfn.XLOOKUP($C440,Phone_by_Sentiment!$B$2:$B$37,Phone_by_Sentiment!F$2:F$37,"",0,1)),_xlfn.XLOOKUP($C440,Phone_by_Sentiment!$B$2:$B$37,Phone_by_Sentiment!F$2:F$37,"",0,1),0),$A440-TEXT(DATEVALUE($D440&amp;"-01"), "dd-mm-yyyy")),0),0)</f>
        <v>0</v>
      </c>
      <c r="G440" cm="1">
        <f t="array" ref="G440">IF($Q440&gt;=0,IFERROR(generateSalesData($D440, IF(ISNUMBER(_xlfn.XLOOKUP($C440,Phone_by_Sentiment!$B$2:$B$37,Phone_by_Sentiment!G$2:G$37,"",0,1)),_xlfn.XLOOKUP($C440,Phone_by_Sentiment!$B$2:$B$37,Phone_by_Sentiment!G$2:G$37,"",0,1),0),$A440-TEXT(DATEVALUE($D440&amp;"-01"), "dd-mm-yyyy")),0),0)</f>
        <v>0</v>
      </c>
      <c r="H440" cm="1">
        <f t="array" ref="H440">IF($Q440&gt;=0,IFERROR(generateSalesData($D440, IF(ISNUMBER(_xlfn.XLOOKUP($C440,Phone_by_Sentiment!$B$2:$B$37,Phone_by_Sentiment!H$2:H$37,"",0,1)),_xlfn.XLOOKUP($C440,Phone_by_Sentiment!$B$2:$B$37,Phone_by_Sentiment!H$2:H$37,"",0,1),0),$A440-TEXT(DATEVALUE($D440&amp;"-01"), "dd-mm-yyyy")),0),0)</f>
        <v>0</v>
      </c>
      <c r="I440" cm="1">
        <f t="array" ref="I440">IF($Q440&gt;=0,IFERROR(generateSalesData($D440, IF(ISNUMBER(_xlfn.XLOOKUP($C440,Phone_by_Sentiment!$B$2:$B$37,Phone_by_Sentiment!I$2:I$37,"",0,1)),_xlfn.XLOOKUP($C440,Phone_by_Sentiment!$B$2:$B$37,Phone_by_Sentiment!I$2:I$37,"",0,1),0),$A440-TEXT(DATEVALUE($D440&amp;"-01"), "dd-mm-yyyy")),0),0)</f>
        <v>0</v>
      </c>
      <c r="J440" cm="1">
        <f t="array" ref="J440">IF($Q440&gt;=0,IFERROR(generateSalesData($D440, IF(ISNUMBER(_xlfn.XLOOKUP($C440,Phone_by_Sentiment!$B$2:$B$37,Phone_by_Sentiment!J$2:J$37,"",0,1)),_xlfn.XLOOKUP($C440,Phone_by_Sentiment!$B$2:$B$37,Phone_by_Sentiment!J$2:J$37,"",0,1),0),$A440-TEXT(DATEVALUE($D440&amp;"-01"), "dd-mm-yyyy")),0),0)</f>
        <v>0</v>
      </c>
      <c r="K440" cm="1">
        <f t="array" ref="K440">IF($Q440&gt;=0,IFERROR(generateSalesData($D440, IF(ISNUMBER(_xlfn.XLOOKUP($C440,Phone_by_Sentiment!$B$2:$B$37,Phone_by_Sentiment!K$2:K$37,"",0,1)),_xlfn.XLOOKUP($C440,Phone_by_Sentiment!$B$2:$B$37,Phone_by_Sentiment!K$2:K$37,"",0,1),0),$A440-TEXT(DATEVALUE($D440&amp;"-01"), "dd-mm-yyyy")),0),0)</f>
        <v>0</v>
      </c>
      <c r="L440" cm="1">
        <f t="array" ref="L440">IF($Q440&gt;=0,IFERROR(generateSalesData($D440, IF(ISNUMBER(_xlfn.XLOOKUP($C440,Phone_by_Sentiment!$B$2:$B$37,Phone_by_Sentiment!L$2:L$37,"",0,1)),_xlfn.XLOOKUP($C440,Phone_by_Sentiment!$B$2:$B$37,Phone_by_Sentiment!L$2:L$37,"",0,1),0),$A440-TEXT(DATEVALUE($D440&amp;"-01"), "dd-mm-yyyy")),0),0)</f>
        <v>0</v>
      </c>
      <c r="M440" cm="1">
        <f t="array" ref="M440">IF($Q440&gt;=0,IFERROR(generateSalesData($D440, IF(ISNUMBER(_xlfn.XLOOKUP($C440,Phone_by_Sentiment!$B$2:$B$37,Phone_by_Sentiment!M$2:M$37,"",0,1)),_xlfn.XLOOKUP($C440,Phone_by_Sentiment!$B$2:$B$37,Phone_by_Sentiment!M$2:M$37,"",0,1),0),$A440-TEXT(DATEVALUE($D440&amp;"-01"), "dd-mm-yyyy")),0),0)</f>
        <v>0</v>
      </c>
      <c r="N440" cm="1">
        <f t="array" ref="N440">IF($Q440&gt;=0,IFERROR(generateSalesData($D440, IF(ISNUMBER(_xlfn.XLOOKUP($C440,Phone_by_Sentiment!$B$2:$B$37,Phone_by_Sentiment!N$2:N$37,"",0,1)),_xlfn.XLOOKUP($C440,Phone_by_Sentiment!$B$2:$B$37,Phone_by_Sentiment!N$2:N$37,"",0,1),0),$A440-TEXT(DATEVALUE($D440&amp;"-01"), "dd-mm-yyyy")),0),0)</f>
        <v>0</v>
      </c>
      <c r="O440" cm="1">
        <f t="array" ref="O440">IF($Q440&gt;=0,IFERROR(generateSalesData($D440, IF(ISNUMBER(_xlfn.XLOOKUP($C440,Phone_by_Sentiment!$B$2:$B$37,Phone_by_Sentiment!O$2:O$37,"",0,1)),_xlfn.XLOOKUP($C440,Phone_by_Sentiment!$B$2:$B$37,Phone_by_Sentiment!O$2:O$37,"",0,1),0),$A440-TEXT(DATEVALUE($D440&amp;"-01"), "dd-mm-yyyy")),0),0)</f>
        <v>0</v>
      </c>
      <c r="P440" s="1">
        <f t="shared" si="16"/>
        <v>44317</v>
      </c>
      <c r="Q440">
        <f t="shared" si="17"/>
        <v>-486</v>
      </c>
    </row>
    <row r="441" spans="1:17" x14ac:dyDescent="0.25">
      <c r="A441" s="1">
        <f t="shared" si="15"/>
        <v>43831</v>
      </c>
      <c r="B441" t="s">
        <v>151</v>
      </c>
      <c r="C441" t="str">
        <f>_xlfn.XLOOKUP(B441,Phone_by_Price!$A$2:$A$34,Phone_by_Price!$B$2:$B$34,"-",0,1)</f>
        <v>Vivo Y11s</v>
      </c>
      <c r="D441" t="str">
        <f>_xlfn.XLOOKUP(C441,Phone_by_Sentiment!$B$2:$B$37,Phone_by_Sentiment!$A$2:$A$37,"-",0,1)</f>
        <v>2020-11</v>
      </c>
      <c r="E441" cm="1">
        <f t="array" ref="E441">IF($Q441&gt;=0,IFERROR(generateSalesData($D441, IF(ISNUMBER(_xlfn.XLOOKUP($C441,Phone_by_Sentiment!$B$2:$B$37,Phone_by_Sentiment!E$2:E$37,"",0,1)),_xlfn.XLOOKUP($C441,Phone_by_Sentiment!$B$2:$B$37,Phone_by_Sentiment!E$2:E$37,"",0,1),0),$A441-TEXT(DATEVALUE($D441&amp;"-01"), "dd-mm-yyyy")),0),0)</f>
        <v>0</v>
      </c>
      <c r="F441" cm="1">
        <f t="array" ref="F441">IF($Q441&gt;=0,IFERROR(generateSalesData($D441, IF(ISNUMBER(_xlfn.XLOOKUP($C441,Phone_by_Sentiment!$B$2:$B$37,Phone_by_Sentiment!F$2:F$37,"",0,1)),_xlfn.XLOOKUP($C441,Phone_by_Sentiment!$B$2:$B$37,Phone_by_Sentiment!F$2:F$37,"",0,1),0),$A441-TEXT(DATEVALUE($D441&amp;"-01"), "dd-mm-yyyy")),0),0)</f>
        <v>0</v>
      </c>
      <c r="G441" cm="1">
        <f t="array" ref="G441">IF($Q441&gt;=0,IFERROR(generateSalesData($D441, IF(ISNUMBER(_xlfn.XLOOKUP($C441,Phone_by_Sentiment!$B$2:$B$37,Phone_by_Sentiment!G$2:G$37,"",0,1)),_xlfn.XLOOKUP($C441,Phone_by_Sentiment!$B$2:$B$37,Phone_by_Sentiment!G$2:G$37,"",0,1),0),$A441-TEXT(DATEVALUE($D441&amp;"-01"), "dd-mm-yyyy")),0),0)</f>
        <v>0</v>
      </c>
      <c r="H441" cm="1">
        <f t="array" ref="H441">IF($Q441&gt;=0,IFERROR(generateSalesData($D441, IF(ISNUMBER(_xlfn.XLOOKUP($C441,Phone_by_Sentiment!$B$2:$B$37,Phone_by_Sentiment!H$2:H$37,"",0,1)),_xlfn.XLOOKUP($C441,Phone_by_Sentiment!$B$2:$B$37,Phone_by_Sentiment!H$2:H$37,"",0,1),0),$A441-TEXT(DATEVALUE($D441&amp;"-01"), "dd-mm-yyyy")),0),0)</f>
        <v>0</v>
      </c>
      <c r="I441" cm="1">
        <f t="array" ref="I441">IF($Q441&gt;=0,IFERROR(generateSalesData($D441, IF(ISNUMBER(_xlfn.XLOOKUP($C441,Phone_by_Sentiment!$B$2:$B$37,Phone_by_Sentiment!I$2:I$37,"",0,1)),_xlfn.XLOOKUP($C441,Phone_by_Sentiment!$B$2:$B$37,Phone_by_Sentiment!I$2:I$37,"",0,1),0),$A441-TEXT(DATEVALUE($D441&amp;"-01"), "dd-mm-yyyy")),0),0)</f>
        <v>0</v>
      </c>
      <c r="J441" cm="1">
        <f t="array" ref="J441">IF($Q441&gt;=0,IFERROR(generateSalesData($D441, IF(ISNUMBER(_xlfn.XLOOKUP($C441,Phone_by_Sentiment!$B$2:$B$37,Phone_by_Sentiment!J$2:J$37,"",0,1)),_xlfn.XLOOKUP($C441,Phone_by_Sentiment!$B$2:$B$37,Phone_by_Sentiment!J$2:J$37,"",0,1),0),$A441-TEXT(DATEVALUE($D441&amp;"-01"), "dd-mm-yyyy")),0),0)</f>
        <v>0</v>
      </c>
      <c r="K441" cm="1">
        <f t="array" ref="K441">IF($Q441&gt;=0,IFERROR(generateSalesData($D441, IF(ISNUMBER(_xlfn.XLOOKUP($C441,Phone_by_Sentiment!$B$2:$B$37,Phone_by_Sentiment!K$2:K$37,"",0,1)),_xlfn.XLOOKUP($C441,Phone_by_Sentiment!$B$2:$B$37,Phone_by_Sentiment!K$2:K$37,"",0,1),0),$A441-TEXT(DATEVALUE($D441&amp;"-01"), "dd-mm-yyyy")),0),0)</f>
        <v>0</v>
      </c>
      <c r="L441" cm="1">
        <f t="array" ref="L441">IF($Q441&gt;=0,IFERROR(generateSalesData($D441, IF(ISNUMBER(_xlfn.XLOOKUP($C441,Phone_by_Sentiment!$B$2:$B$37,Phone_by_Sentiment!L$2:L$37,"",0,1)),_xlfn.XLOOKUP($C441,Phone_by_Sentiment!$B$2:$B$37,Phone_by_Sentiment!L$2:L$37,"",0,1),0),$A441-TEXT(DATEVALUE($D441&amp;"-01"), "dd-mm-yyyy")),0),0)</f>
        <v>0</v>
      </c>
      <c r="M441" cm="1">
        <f t="array" ref="M441">IF($Q441&gt;=0,IFERROR(generateSalesData($D441, IF(ISNUMBER(_xlfn.XLOOKUP($C441,Phone_by_Sentiment!$B$2:$B$37,Phone_by_Sentiment!M$2:M$37,"",0,1)),_xlfn.XLOOKUP($C441,Phone_by_Sentiment!$B$2:$B$37,Phone_by_Sentiment!M$2:M$37,"",0,1),0),$A441-TEXT(DATEVALUE($D441&amp;"-01"), "dd-mm-yyyy")),0),0)</f>
        <v>0</v>
      </c>
      <c r="N441" cm="1">
        <f t="array" ref="N441">IF($Q441&gt;=0,IFERROR(generateSalesData($D441, IF(ISNUMBER(_xlfn.XLOOKUP($C441,Phone_by_Sentiment!$B$2:$B$37,Phone_by_Sentiment!N$2:N$37,"",0,1)),_xlfn.XLOOKUP($C441,Phone_by_Sentiment!$B$2:$B$37,Phone_by_Sentiment!N$2:N$37,"",0,1),0),$A441-TEXT(DATEVALUE($D441&amp;"-01"), "dd-mm-yyyy")),0),0)</f>
        <v>0</v>
      </c>
      <c r="O441" cm="1">
        <f t="array" ref="O441">IF($Q441&gt;=0,IFERROR(generateSalesData($D441, IF(ISNUMBER(_xlfn.XLOOKUP($C441,Phone_by_Sentiment!$B$2:$B$37,Phone_by_Sentiment!O$2:O$37,"",0,1)),_xlfn.XLOOKUP($C441,Phone_by_Sentiment!$B$2:$B$37,Phone_by_Sentiment!O$2:O$37,"",0,1),0),$A441-TEXT(DATEVALUE($D441&amp;"-01"), "dd-mm-yyyy")),0),0)</f>
        <v>0</v>
      </c>
      <c r="P441" s="1">
        <f t="shared" si="16"/>
        <v>44136</v>
      </c>
      <c r="Q441">
        <f t="shared" si="17"/>
        <v>-305</v>
      </c>
    </row>
    <row r="442" spans="1:17" x14ac:dyDescent="0.25">
      <c r="A442" s="1">
        <f t="shared" si="15"/>
        <v>43831</v>
      </c>
      <c r="B442" t="s">
        <v>152</v>
      </c>
      <c r="C442" t="str">
        <f>_xlfn.XLOOKUP(B442,Phone_by_Price!$A$2:$A$34,Phone_by_Price!$B$2:$B$34,"-",0,1)</f>
        <v>Huawei Nova 7i</v>
      </c>
      <c r="D442" t="str">
        <f>_xlfn.XLOOKUP(C442,Phone_by_Sentiment!$B$2:$B$37,Phone_by_Sentiment!$A$2:$A$37,"-",0,1)</f>
        <v>2020-02</v>
      </c>
      <c r="E442" cm="1">
        <f t="array" ref="E442">IF($Q442&gt;=0,IFERROR(generateSalesData($D442, IF(ISNUMBER(_xlfn.XLOOKUP($C442,Phone_by_Sentiment!$B$2:$B$37,Phone_by_Sentiment!E$2:E$37,"",0,1)),_xlfn.XLOOKUP($C442,Phone_by_Sentiment!$B$2:$B$37,Phone_by_Sentiment!E$2:E$37,"",0,1),0),$A442-TEXT(DATEVALUE($D442&amp;"-01"), "dd-mm-yyyy")),0),0)</f>
        <v>0</v>
      </c>
      <c r="F442" cm="1">
        <f t="array" ref="F442">IF($Q442&gt;=0,IFERROR(generateSalesData($D442, IF(ISNUMBER(_xlfn.XLOOKUP($C442,Phone_by_Sentiment!$B$2:$B$37,Phone_by_Sentiment!F$2:F$37,"",0,1)),_xlfn.XLOOKUP($C442,Phone_by_Sentiment!$B$2:$B$37,Phone_by_Sentiment!F$2:F$37,"",0,1),0),$A442-TEXT(DATEVALUE($D442&amp;"-01"), "dd-mm-yyyy")),0),0)</f>
        <v>0</v>
      </c>
      <c r="G442" cm="1">
        <f t="array" ref="G442">IF($Q442&gt;=0,IFERROR(generateSalesData($D442, IF(ISNUMBER(_xlfn.XLOOKUP($C442,Phone_by_Sentiment!$B$2:$B$37,Phone_by_Sentiment!G$2:G$37,"",0,1)),_xlfn.XLOOKUP($C442,Phone_by_Sentiment!$B$2:$B$37,Phone_by_Sentiment!G$2:G$37,"",0,1),0),$A442-TEXT(DATEVALUE($D442&amp;"-01"), "dd-mm-yyyy")),0),0)</f>
        <v>0</v>
      </c>
      <c r="H442" cm="1">
        <f t="array" ref="H442">IF($Q442&gt;=0,IFERROR(generateSalesData($D442, IF(ISNUMBER(_xlfn.XLOOKUP($C442,Phone_by_Sentiment!$B$2:$B$37,Phone_by_Sentiment!H$2:H$37,"",0,1)),_xlfn.XLOOKUP($C442,Phone_by_Sentiment!$B$2:$B$37,Phone_by_Sentiment!H$2:H$37,"",0,1),0),$A442-TEXT(DATEVALUE($D442&amp;"-01"), "dd-mm-yyyy")),0),0)</f>
        <v>0</v>
      </c>
      <c r="I442" cm="1">
        <f t="array" ref="I442">IF($Q442&gt;=0,IFERROR(generateSalesData($D442, IF(ISNUMBER(_xlfn.XLOOKUP($C442,Phone_by_Sentiment!$B$2:$B$37,Phone_by_Sentiment!I$2:I$37,"",0,1)),_xlfn.XLOOKUP($C442,Phone_by_Sentiment!$B$2:$B$37,Phone_by_Sentiment!I$2:I$37,"",0,1),0),$A442-TEXT(DATEVALUE($D442&amp;"-01"), "dd-mm-yyyy")),0),0)</f>
        <v>0</v>
      </c>
      <c r="J442" cm="1">
        <f t="array" ref="J442">IF($Q442&gt;=0,IFERROR(generateSalesData($D442, IF(ISNUMBER(_xlfn.XLOOKUP($C442,Phone_by_Sentiment!$B$2:$B$37,Phone_by_Sentiment!J$2:J$37,"",0,1)),_xlfn.XLOOKUP($C442,Phone_by_Sentiment!$B$2:$B$37,Phone_by_Sentiment!J$2:J$37,"",0,1),0),$A442-TEXT(DATEVALUE($D442&amp;"-01"), "dd-mm-yyyy")),0),0)</f>
        <v>0</v>
      </c>
      <c r="K442" cm="1">
        <f t="array" ref="K442">IF($Q442&gt;=0,IFERROR(generateSalesData($D442, IF(ISNUMBER(_xlfn.XLOOKUP($C442,Phone_by_Sentiment!$B$2:$B$37,Phone_by_Sentiment!K$2:K$37,"",0,1)),_xlfn.XLOOKUP($C442,Phone_by_Sentiment!$B$2:$B$37,Phone_by_Sentiment!K$2:K$37,"",0,1),0),$A442-TEXT(DATEVALUE($D442&amp;"-01"), "dd-mm-yyyy")),0),0)</f>
        <v>0</v>
      </c>
      <c r="L442" cm="1">
        <f t="array" ref="L442">IF($Q442&gt;=0,IFERROR(generateSalesData($D442, IF(ISNUMBER(_xlfn.XLOOKUP($C442,Phone_by_Sentiment!$B$2:$B$37,Phone_by_Sentiment!L$2:L$37,"",0,1)),_xlfn.XLOOKUP($C442,Phone_by_Sentiment!$B$2:$B$37,Phone_by_Sentiment!L$2:L$37,"",0,1),0),$A442-TEXT(DATEVALUE($D442&amp;"-01"), "dd-mm-yyyy")),0),0)</f>
        <v>0</v>
      </c>
      <c r="M442" cm="1">
        <f t="array" ref="M442">IF($Q442&gt;=0,IFERROR(generateSalesData($D442, IF(ISNUMBER(_xlfn.XLOOKUP($C442,Phone_by_Sentiment!$B$2:$B$37,Phone_by_Sentiment!M$2:M$37,"",0,1)),_xlfn.XLOOKUP($C442,Phone_by_Sentiment!$B$2:$B$37,Phone_by_Sentiment!M$2:M$37,"",0,1),0),$A442-TEXT(DATEVALUE($D442&amp;"-01"), "dd-mm-yyyy")),0),0)</f>
        <v>0</v>
      </c>
      <c r="N442" cm="1">
        <f t="array" ref="N442">IF($Q442&gt;=0,IFERROR(generateSalesData($D442, IF(ISNUMBER(_xlfn.XLOOKUP($C442,Phone_by_Sentiment!$B$2:$B$37,Phone_by_Sentiment!N$2:N$37,"",0,1)),_xlfn.XLOOKUP($C442,Phone_by_Sentiment!$B$2:$B$37,Phone_by_Sentiment!N$2:N$37,"",0,1),0),$A442-TEXT(DATEVALUE($D442&amp;"-01"), "dd-mm-yyyy")),0),0)</f>
        <v>0</v>
      </c>
      <c r="O442" cm="1">
        <f t="array" ref="O442">IF($Q442&gt;=0,IFERROR(generateSalesData($D442, IF(ISNUMBER(_xlfn.XLOOKUP($C442,Phone_by_Sentiment!$B$2:$B$37,Phone_by_Sentiment!O$2:O$37,"",0,1)),_xlfn.XLOOKUP($C442,Phone_by_Sentiment!$B$2:$B$37,Phone_by_Sentiment!O$2:O$37,"",0,1),0),$A442-TEXT(DATEVALUE($D442&amp;"-01"), "dd-mm-yyyy")),0),0)</f>
        <v>0</v>
      </c>
      <c r="P442" s="1">
        <f t="shared" si="16"/>
        <v>43862</v>
      </c>
      <c r="Q442">
        <f t="shared" si="17"/>
        <v>-31</v>
      </c>
    </row>
    <row r="443" spans="1:17" x14ac:dyDescent="0.25">
      <c r="A443" s="1">
        <f t="shared" si="15"/>
        <v>43831</v>
      </c>
      <c r="B443" t="s">
        <v>153</v>
      </c>
      <c r="C443" t="str">
        <f>_xlfn.XLOOKUP(B443,Phone_by_Price!$A$2:$A$34,Phone_by_Price!$B$2:$B$34,"-",0,1)</f>
        <v>iPhone 13</v>
      </c>
      <c r="D443" t="str">
        <f>_xlfn.XLOOKUP(C443,Phone_by_Sentiment!$B$2:$B$37,Phone_by_Sentiment!$A$2:$A$37,"-",0,1)</f>
        <v>2021-09</v>
      </c>
      <c r="E443" cm="1">
        <f t="array" ref="E443">IF($Q443&gt;=0,IFERROR(generateSalesData($D443, IF(ISNUMBER(_xlfn.XLOOKUP($C443,Phone_by_Sentiment!$B$2:$B$37,Phone_by_Sentiment!E$2:E$37,"",0,1)),_xlfn.XLOOKUP($C443,Phone_by_Sentiment!$B$2:$B$37,Phone_by_Sentiment!E$2:E$37,"",0,1),0),$A443-TEXT(DATEVALUE($D443&amp;"-01"), "dd-mm-yyyy")),0),0)</f>
        <v>0</v>
      </c>
      <c r="F443" cm="1">
        <f t="array" ref="F443">IF($Q443&gt;=0,IFERROR(generateSalesData($D443, IF(ISNUMBER(_xlfn.XLOOKUP($C443,Phone_by_Sentiment!$B$2:$B$37,Phone_by_Sentiment!F$2:F$37,"",0,1)),_xlfn.XLOOKUP($C443,Phone_by_Sentiment!$B$2:$B$37,Phone_by_Sentiment!F$2:F$37,"",0,1),0),$A443-TEXT(DATEVALUE($D443&amp;"-01"), "dd-mm-yyyy")),0),0)</f>
        <v>0</v>
      </c>
      <c r="G443" cm="1">
        <f t="array" ref="G443">IF($Q443&gt;=0,IFERROR(generateSalesData($D443, IF(ISNUMBER(_xlfn.XLOOKUP($C443,Phone_by_Sentiment!$B$2:$B$37,Phone_by_Sentiment!G$2:G$37,"",0,1)),_xlfn.XLOOKUP($C443,Phone_by_Sentiment!$B$2:$B$37,Phone_by_Sentiment!G$2:G$37,"",0,1),0),$A443-TEXT(DATEVALUE($D443&amp;"-01"), "dd-mm-yyyy")),0),0)</f>
        <v>0</v>
      </c>
      <c r="H443" cm="1">
        <f t="array" ref="H443">IF($Q443&gt;=0,IFERROR(generateSalesData($D443, IF(ISNUMBER(_xlfn.XLOOKUP($C443,Phone_by_Sentiment!$B$2:$B$37,Phone_by_Sentiment!H$2:H$37,"",0,1)),_xlfn.XLOOKUP($C443,Phone_by_Sentiment!$B$2:$B$37,Phone_by_Sentiment!H$2:H$37,"",0,1),0),$A443-TEXT(DATEVALUE($D443&amp;"-01"), "dd-mm-yyyy")),0),0)</f>
        <v>0</v>
      </c>
      <c r="I443" cm="1">
        <f t="array" ref="I443">IF($Q443&gt;=0,IFERROR(generateSalesData($D443, IF(ISNUMBER(_xlfn.XLOOKUP($C443,Phone_by_Sentiment!$B$2:$B$37,Phone_by_Sentiment!I$2:I$37,"",0,1)),_xlfn.XLOOKUP($C443,Phone_by_Sentiment!$B$2:$B$37,Phone_by_Sentiment!I$2:I$37,"",0,1),0),$A443-TEXT(DATEVALUE($D443&amp;"-01"), "dd-mm-yyyy")),0),0)</f>
        <v>0</v>
      </c>
      <c r="J443" cm="1">
        <f t="array" ref="J443">IF($Q443&gt;=0,IFERROR(generateSalesData($D443, IF(ISNUMBER(_xlfn.XLOOKUP($C443,Phone_by_Sentiment!$B$2:$B$37,Phone_by_Sentiment!J$2:J$37,"",0,1)),_xlfn.XLOOKUP($C443,Phone_by_Sentiment!$B$2:$B$37,Phone_by_Sentiment!J$2:J$37,"",0,1),0),$A443-TEXT(DATEVALUE($D443&amp;"-01"), "dd-mm-yyyy")),0),0)</f>
        <v>0</v>
      </c>
      <c r="K443" cm="1">
        <f t="array" ref="K443">IF($Q443&gt;=0,IFERROR(generateSalesData($D443, IF(ISNUMBER(_xlfn.XLOOKUP($C443,Phone_by_Sentiment!$B$2:$B$37,Phone_by_Sentiment!K$2:K$37,"",0,1)),_xlfn.XLOOKUP($C443,Phone_by_Sentiment!$B$2:$B$37,Phone_by_Sentiment!K$2:K$37,"",0,1),0),$A443-TEXT(DATEVALUE($D443&amp;"-01"), "dd-mm-yyyy")),0),0)</f>
        <v>0</v>
      </c>
      <c r="L443" cm="1">
        <f t="array" ref="L443">IF($Q443&gt;=0,IFERROR(generateSalesData($D443, IF(ISNUMBER(_xlfn.XLOOKUP($C443,Phone_by_Sentiment!$B$2:$B$37,Phone_by_Sentiment!L$2:L$37,"",0,1)),_xlfn.XLOOKUP($C443,Phone_by_Sentiment!$B$2:$B$37,Phone_by_Sentiment!L$2:L$37,"",0,1),0),$A443-TEXT(DATEVALUE($D443&amp;"-01"), "dd-mm-yyyy")),0),0)</f>
        <v>0</v>
      </c>
      <c r="M443" cm="1">
        <f t="array" ref="M443">IF($Q443&gt;=0,IFERROR(generateSalesData($D443, IF(ISNUMBER(_xlfn.XLOOKUP($C443,Phone_by_Sentiment!$B$2:$B$37,Phone_by_Sentiment!M$2:M$37,"",0,1)),_xlfn.XLOOKUP($C443,Phone_by_Sentiment!$B$2:$B$37,Phone_by_Sentiment!M$2:M$37,"",0,1),0),$A443-TEXT(DATEVALUE($D443&amp;"-01"), "dd-mm-yyyy")),0),0)</f>
        <v>0</v>
      </c>
      <c r="N443" cm="1">
        <f t="array" ref="N443">IF($Q443&gt;=0,IFERROR(generateSalesData($D443, IF(ISNUMBER(_xlfn.XLOOKUP($C443,Phone_by_Sentiment!$B$2:$B$37,Phone_by_Sentiment!N$2:N$37,"",0,1)),_xlfn.XLOOKUP($C443,Phone_by_Sentiment!$B$2:$B$37,Phone_by_Sentiment!N$2:N$37,"",0,1),0),$A443-TEXT(DATEVALUE($D443&amp;"-01"), "dd-mm-yyyy")),0),0)</f>
        <v>0</v>
      </c>
      <c r="O443" cm="1">
        <f t="array" ref="O443">IF($Q443&gt;=0,IFERROR(generateSalesData($D443, IF(ISNUMBER(_xlfn.XLOOKUP($C443,Phone_by_Sentiment!$B$2:$B$37,Phone_by_Sentiment!O$2:O$37,"",0,1)),_xlfn.XLOOKUP($C443,Phone_by_Sentiment!$B$2:$B$37,Phone_by_Sentiment!O$2:O$37,"",0,1),0),$A443-TEXT(DATEVALUE($D443&amp;"-01"), "dd-mm-yyyy")),0),0)</f>
        <v>0</v>
      </c>
      <c r="P443" s="1">
        <f t="shared" si="16"/>
        <v>44440</v>
      </c>
      <c r="Q443">
        <f t="shared" si="17"/>
        <v>-609</v>
      </c>
    </row>
    <row r="444" spans="1:17" x14ac:dyDescent="0.25">
      <c r="A444" s="1">
        <f t="shared" si="15"/>
        <v>43831</v>
      </c>
      <c r="B444" t="s">
        <v>154</v>
      </c>
      <c r="C444" t="str">
        <f>_xlfn.XLOOKUP(B444,Phone_by_Price!$A$2:$A$34,Phone_by_Price!$B$2:$B$34,"-",0,1)</f>
        <v>Samsung Galaxy S21</v>
      </c>
      <c r="D444" t="str">
        <f>_xlfn.XLOOKUP(C444,Phone_by_Sentiment!$B$2:$B$37,Phone_by_Sentiment!$A$2:$A$37,"-",0,1)</f>
        <v>2021-01</v>
      </c>
      <c r="E444" cm="1">
        <f t="array" ref="E444">IF($Q444&gt;=0,IFERROR(generateSalesData($D444, IF(ISNUMBER(_xlfn.XLOOKUP($C444,Phone_by_Sentiment!$B$2:$B$37,Phone_by_Sentiment!E$2:E$37,"",0,1)),_xlfn.XLOOKUP($C444,Phone_by_Sentiment!$B$2:$B$37,Phone_by_Sentiment!E$2:E$37,"",0,1),0),$A444-TEXT(DATEVALUE($D444&amp;"-01"), "dd-mm-yyyy")),0),0)</f>
        <v>0</v>
      </c>
      <c r="F444" cm="1">
        <f t="array" ref="F444">IF($Q444&gt;=0,IFERROR(generateSalesData($D444, IF(ISNUMBER(_xlfn.XLOOKUP($C444,Phone_by_Sentiment!$B$2:$B$37,Phone_by_Sentiment!F$2:F$37,"",0,1)),_xlfn.XLOOKUP($C444,Phone_by_Sentiment!$B$2:$B$37,Phone_by_Sentiment!F$2:F$37,"",0,1),0),$A444-TEXT(DATEVALUE($D444&amp;"-01"), "dd-mm-yyyy")),0),0)</f>
        <v>0</v>
      </c>
      <c r="G444" cm="1">
        <f t="array" ref="G444">IF($Q444&gt;=0,IFERROR(generateSalesData($D444, IF(ISNUMBER(_xlfn.XLOOKUP($C444,Phone_by_Sentiment!$B$2:$B$37,Phone_by_Sentiment!G$2:G$37,"",0,1)),_xlfn.XLOOKUP($C444,Phone_by_Sentiment!$B$2:$B$37,Phone_by_Sentiment!G$2:G$37,"",0,1),0),$A444-TEXT(DATEVALUE($D444&amp;"-01"), "dd-mm-yyyy")),0),0)</f>
        <v>0</v>
      </c>
      <c r="H444" cm="1">
        <f t="array" ref="H444">IF($Q444&gt;=0,IFERROR(generateSalesData($D444, IF(ISNUMBER(_xlfn.XLOOKUP($C444,Phone_by_Sentiment!$B$2:$B$37,Phone_by_Sentiment!H$2:H$37,"",0,1)),_xlfn.XLOOKUP($C444,Phone_by_Sentiment!$B$2:$B$37,Phone_by_Sentiment!H$2:H$37,"",0,1),0),$A444-TEXT(DATEVALUE($D444&amp;"-01"), "dd-mm-yyyy")),0),0)</f>
        <v>0</v>
      </c>
      <c r="I444" cm="1">
        <f t="array" ref="I444">IF($Q444&gt;=0,IFERROR(generateSalesData($D444, IF(ISNUMBER(_xlfn.XLOOKUP($C444,Phone_by_Sentiment!$B$2:$B$37,Phone_by_Sentiment!I$2:I$37,"",0,1)),_xlfn.XLOOKUP($C444,Phone_by_Sentiment!$B$2:$B$37,Phone_by_Sentiment!I$2:I$37,"",0,1),0),$A444-TEXT(DATEVALUE($D444&amp;"-01"), "dd-mm-yyyy")),0),0)</f>
        <v>0</v>
      </c>
      <c r="J444" cm="1">
        <f t="array" ref="J444">IF($Q444&gt;=0,IFERROR(generateSalesData($D444, IF(ISNUMBER(_xlfn.XLOOKUP($C444,Phone_by_Sentiment!$B$2:$B$37,Phone_by_Sentiment!J$2:J$37,"",0,1)),_xlfn.XLOOKUP($C444,Phone_by_Sentiment!$B$2:$B$37,Phone_by_Sentiment!J$2:J$37,"",0,1),0),$A444-TEXT(DATEVALUE($D444&amp;"-01"), "dd-mm-yyyy")),0),0)</f>
        <v>0</v>
      </c>
      <c r="K444" cm="1">
        <f t="array" ref="K444">IF($Q444&gt;=0,IFERROR(generateSalesData($D444, IF(ISNUMBER(_xlfn.XLOOKUP($C444,Phone_by_Sentiment!$B$2:$B$37,Phone_by_Sentiment!K$2:K$37,"",0,1)),_xlfn.XLOOKUP($C444,Phone_by_Sentiment!$B$2:$B$37,Phone_by_Sentiment!K$2:K$37,"",0,1),0),$A444-TEXT(DATEVALUE($D444&amp;"-01"), "dd-mm-yyyy")),0),0)</f>
        <v>0</v>
      </c>
      <c r="L444" cm="1">
        <f t="array" ref="L444">IF($Q444&gt;=0,IFERROR(generateSalesData($D444, IF(ISNUMBER(_xlfn.XLOOKUP($C444,Phone_by_Sentiment!$B$2:$B$37,Phone_by_Sentiment!L$2:L$37,"",0,1)),_xlfn.XLOOKUP($C444,Phone_by_Sentiment!$B$2:$B$37,Phone_by_Sentiment!L$2:L$37,"",0,1),0),$A444-TEXT(DATEVALUE($D444&amp;"-01"), "dd-mm-yyyy")),0),0)</f>
        <v>0</v>
      </c>
      <c r="M444" cm="1">
        <f t="array" ref="M444">IF($Q444&gt;=0,IFERROR(generateSalesData($D444, IF(ISNUMBER(_xlfn.XLOOKUP($C444,Phone_by_Sentiment!$B$2:$B$37,Phone_by_Sentiment!M$2:M$37,"",0,1)),_xlfn.XLOOKUP($C444,Phone_by_Sentiment!$B$2:$B$37,Phone_by_Sentiment!M$2:M$37,"",0,1),0),$A444-TEXT(DATEVALUE($D444&amp;"-01"), "dd-mm-yyyy")),0),0)</f>
        <v>0</v>
      </c>
      <c r="N444" cm="1">
        <f t="array" ref="N444">IF($Q444&gt;=0,IFERROR(generateSalesData($D444, IF(ISNUMBER(_xlfn.XLOOKUP($C444,Phone_by_Sentiment!$B$2:$B$37,Phone_by_Sentiment!N$2:N$37,"",0,1)),_xlfn.XLOOKUP($C444,Phone_by_Sentiment!$B$2:$B$37,Phone_by_Sentiment!N$2:N$37,"",0,1),0),$A444-TEXT(DATEVALUE($D444&amp;"-01"), "dd-mm-yyyy")),0),0)</f>
        <v>0</v>
      </c>
      <c r="O444" cm="1">
        <f t="array" ref="O444">IF($Q444&gt;=0,IFERROR(generateSalesData($D444, IF(ISNUMBER(_xlfn.XLOOKUP($C444,Phone_by_Sentiment!$B$2:$B$37,Phone_by_Sentiment!O$2:O$37,"",0,1)),_xlfn.XLOOKUP($C444,Phone_by_Sentiment!$B$2:$B$37,Phone_by_Sentiment!O$2:O$37,"",0,1),0),$A444-TEXT(DATEVALUE($D444&amp;"-01"), "dd-mm-yyyy")),0),0)</f>
        <v>0</v>
      </c>
      <c r="P444" s="1">
        <f t="shared" si="16"/>
        <v>44197</v>
      </c>
      <c r="Q444">
        <f t="shared" si="17"/>
        <v>-366</v>
      </c>
    </row>
    <row r="445" spans="1:17" x14ac:dyDescent="0.25">
      <c r="A445" s="1">
        <f t="shared" si="15"/>
        <v>43831</v>
      </c>
      <c r="B445" t="s">
        <v>155</v>
      </c>
      <c r="C445" t="str">
        <f>_xlfn.XLOOKUP(B445,Phone_by_Price!$A$2:$A$34,Phone_by_Price!$B$2:$B$34,"-",0,1)</f>
        <v>Google Pixel 6</v>
      </c>
      <c r="D445" t="str">
        <f>_xlfn.XLOOKUP(C445,Phone_by_Sentiment!$B$2:$B$37,Phone_by_Sentiment!$A$2:$A$37,"-",0,1)</f>
        <v>2021-10</v>
      </c>
      <c r="E445" cm="1">
        <f t="array" ref="E445">IF($Q445&gt;=0,IFERROR(generateSalesData($D445, IF(ISNUMBER(_xlfn.XLOOKUP($C445,Phone_by_Sentiment!$B$2:$B$37,Phone_by_Sentiment!E$2:E$37,"",0,1)),_xlfn.XLOOKUP($C445,Phone_by_Sentiment!$B$2:$B$37,Phone_by_Sentiment!E$2:E$37,"",0,1),0),$A445-TEXT(DATEVALUE($D445&amp;"-01"), "dd-mm-yyyy")),0),0)</f>
        <v>0</v>
      </c>
      <c r="F445" cm="1">
        <f t="array" ref="F445">IF($Q445&gt;=0,IFERROR(generateSalesData($D445, IF(ISNUMBER(_xlfn.XLOOKUP($C445,Phone_by_Sentiment!$B$2:$B$37,Phone_by_Sentiment!F$2:F$37,"",0,1)),_xlfn.XLOOKUP($C445,Phone_by_Sentiment!$B$2:$B$37,Phone_by_Sentiment!F$2:F$37,"",0,1),0),$A445-TEXT(DATEVALUE($D445&amp;"-01"), "dd-mm-yyyy")),0),0)</f>
        <v>0</v>
      </c>
      <c r="G445" cm="1">
        <f t="array" ref="G445">IF($Q445&gt;=0,IFERROR(generateSalesData($D445, IF(ISNUMBER(_xlfn.XLOOKUP($C445,Phone_by_Sentiment!$B$2:$B$37,Phone_by_Sentiment!G$2:G$37,"",0,1)),_xlfn.XLOOKUP($C445,Phone_by_Sentiment!$B$2:$B$37,Phone_by_Sentiment!G$2:G$37,"",0,1),0),$A445-TEXT(DATEVALUE($D445&amp;"-01"), "dd-mm-yyyy")),0),0)</f>
        <v>0</v>
      </c>
      <c r="H445" cm="1">
        <f t="array" ref="H445">IF($Q445&gt;=0,IFERROR(generateSalesData($D445, IF(ISNUMBER(_xlfn.XLOOKUP($C445,Phone_by_Sentiment!$B$2:$B$37,Phone_by_Sentiment!H$2:H$37,"",0,1)),_xlfn.XLOOKUP($C445,Phone_by_Sentiment!$B$2:$B$37,Phone_by_Sentiment!H$2:H$37,"",0,1),0),$A445-TEXT(DATEVALUE($D445&amp;"-01"), "dd-mm-yyyy")),0),0)</f>
        <v>0</v>
      </c>
      <c r="I445" cm="1">
        <f t="array" ref="I445">IF($Q445&gt;=0,IFERROR(generateSalesData($D445, IF(ISNUMBER(_xlfn.XLOOKUP($C445,Phone_by_Sentiment!$B$2:$B$37,Phone_by_Sentiment!I$2:I$37,"",0,1)),_xlfn.XLOOKUP($C445,Phone_by_Sentiment!$B$2:$B$37,Phone_by_Sentiment!I$2:I$37,"",0,1),0),$A445-TEXT(DATEVALUE($D445&amp;"-01"), "dd-mm-yyyy")),0),0)</f>
        <v>0</v>
      </c>
      <c r="J445" cm="1">
        <f t="array" ref="J445">IF($Q445&gt;=0,IFERROR(generateSalesData($D445, IF(ISNUMBER(_xlfn.XLOOKUP($C445,Phone_by_Sentiment!$B$2:$B$37,Phone_by_Sentiment!J$2:J$37,"",0,1)),_xlfn.XLOOKUP($C445,Phone_by_Sentiment!$B$2:$B$37,Phone_by_Sentiment!J$2:J$37,"",0,1),0),$A445-TEXT(DATEVALUE($D445&amp;"-01"), "dd-mm-yyyy")),0),0)</f>
        <v>0</v>
      </c>
      <c r="K445" cm="1">
        <f t="array" ref="K445">IF($Q445&gt;=0,IFERROR(generateSalesData($D445, IF(ISNUMBER(_xlfn.XLOOKUP($C445,Phone_by_Sentiment!$B$2:$B$37,Phone_by_Sentiment!K$2:K$37,"",0,1)),_xlfn.XLOOKUP($C445,Phone_by_Sentiment!$B$2:$B$37,Phone_by_Sentiment!K$2:K$37,"",0,1),0),$A445-TEXT(DATEVALUE($D445&amp;"-01"), "dd-mm-yyyy")),0),0)</f>
        <v>0</v>
      </c>
      <c r="L445" cm="1">
        <f t="array" ref="L445">IF($Q445&gt;=0,IFERROR(generateSalesData($D445, IF(ISNUMBER(_xlfn.XLOOKUP($C445,Phone_by_Sentiment!$B$2:$B$37,Phone_by_Sentiment!L$2:L$37,"",0,1)),_xlfn.XLOOKUP($C445,Phone_by_Sentiment!$B$2:$B$37,Phone_by_Sentiment!L$2:L$37,"",0,1),0),$A445-TEXT(DATEVALUE($D445&amp;"-01"), "dd-mm-yyyy")),0),0)</f>
        <v>0</v>
      </c>
      <c r="M445" cm="1">
        <f t="array" ref="M445">IF($Q445&gt;=0,IFERROR(generateSalesData($D445, IF(ISNUMBER(_xlfn.XLOOKUP($C445,Phone_by_Sentiment!$B$2:$B$37,Phone_by_Sentiment!M$2:M$37,"",0,1)),_xlfn.XLOOKUP($C445,Phone_by_Sentiment!$B$2:$B$37,Phone_by_Sentiment!M$2:M$37,"",0,1),0),$A445-TEXT(DATEVALUE($D445&amp;"-01"), "dd-mm-yyyy")),0),0)</f>
        <v>0</v>
      </c>
      <c r="N445" cm="1">
        <f t="array" ref="N445">IF($Q445&gt;=0,IFERROR(generateSalesData($D445, IF(ISNUMBER(_xlfn.XLOOKUP($C445,Phone_by_Sentiment!$B$2:$B$37,Phone_by_Sentiment!N$2:N$37,"",0,1)),_xlfn.XLOOKUP($C445,Phone_by_Sentiment!$B$2:$B$37,Phone_by_Sentiment!N$2:N$37,"",0,1),0),$A445-TEXT(DATEVALUE($D445&amp;"-01"), "dd-mm-yyyy")),0),0)</f>
        <v>0</v>
      </c>
      <c r="O445" cm="1">
        <f t="array" ref="O445">IF($Q445&gt;=0,IFERROR(generateSalesData($D445, IF(ISNUMBER(_xlfn.XLOOKUP($C445,Phone_by_Sentiment!$B$2:$B$37,Phone_by_Sentiment!O$2:O$37,"",0,1)),_xlfn.XLOOKUP($C445,Phone_by_Sentiment!$B$2:$B$37,Phone_by_Sentiment!O$2:O$37,"",0,1),0),$A445-TEXT(DATEVALUE($D445&amp;"-01"), "dd-mm-yyyy")),0),0)</f>
        <v>0</v>
      </c>
      <c r="P445" s="1">
        <f t="shared" si="16"/>
        <v>44470</v>
      </c>
      <c r="Q445">
        <f t="shared" si="17"/>
        <v>-639</v>
      </c>
    </row>
    <row r="446" spans="1:17" x14ac:dyDescent="0.25">
      <c r="A446" s="1">
        <f t="shared" si="15"/>
        <v>43831</v>
      </c>
      <c r="B446" t="s">
        <v>156</v>
      </c>
      <c r="C446" t="str">
        <f>_xlfn.XLOOKUP(B446,Phone_by_Price!$A$2:$A$34,Phone_by_Price!$B$2:$B$34,"-",0,1)</f>
        <v>OnePlus Nord CE</v>
      </c>
      <c r="D446" t="str">
        <f>_xlfn.XLOOKUP(C446,Phone_by_Sentiment!$B$2:$B$37,Phone_by_Sentiment!$A$2:$A$37,"-",0,1)</f>
        <v>2021-06</v>
      </c>
      <c r="E446" cm="1">
        <f t="array" ref="E446">IF($Q446&gt;=0,IFERROR(generateSalesData($D446, IF(ISNUMBER(_xlfn.XLOOKUP($C446,Phone_by_Sentiment!$B$2:$B$37,Phone_by_Sentiment!E$2:E$37,"",0,1)),_xlfn.XLOOKUP($C446,Phone_by_Sentiment!$B$2:$B$37,Phone_by_Sentiment!E$2:E$37,"",0,1),0),$A446-TEXT(DATEVALUE($D446&amp;"-01"), "dd-mm-yyyy")),0),0)</f>
        <v>0</v>
      </c>
      <c r="F446" cm="1">
        <f t="array" ref="F446">IF($Q446&gt;=0,IFERROR(generateSalesData($D446, IF(ISNUMBER(_xlfn.XLOOKUP($C446,Phone_by_Sentiment!$B$2:$B$37,Phone_by_Sentiment!F$2:F$37,"",0,1)),_xlfn.XLOOKUP($C446,Phone_by_Sentiment!$B$2:$B$37,Phone_by_Sentiment!F$2:F$37,"",0,1),0),$A446-TEXT(DATEVALUE($D446&amp;"-01"), "dd-mm-yyyy")),0),0)</f>
        <v>0</v>
      </c>
      <c r="G446" cm="1">
        <f t="array" ref="G446">IF($Q446&gt;=0,IFERROR(generateSalesData($D446, IF(ISNUMBER(_xlfn.XLOOKUP($C446,Phone_by_Sentiment!$B$2:$B$37,Phone_by_Sentiment!G$2:G$37,"",0,1)),_xlfn.XLOOKUP($C446,Phone_by_Sentiment!$B$2:$B$37,Phone_by_Sentiment!G$2:G$37,"",0,1),0),$A446-TEXT(DATEVALUE($D446&amp;"-01"), "dd-mm-yyyy")),0),0)</f>
        <v>0</v>
      </c>
      <c r="H446" cm="1">
        <f t="array" ref="H446">IF($Q446&gt;=0,IFERROR(generateSalesData($D446, IF(ISNUMBER(_xlfn.XLOOKUP($C446,Phone_by_Sentiment!$B$2:$B$37,Phone_by_Sentiment!H$2:H$37,"",0,1)),_xlfn.XLOOKUP($C446,Phone_by_Sentiment!$B$2:$B$37,Phone_by_Sentiment!H$2:H$37,"",0,1),0),$A446-TEXT(DATEVALUE($D446&amp;"-01"), "dd-mm-yyyy")),0),0)</f>
        <v>0</v>
      </c>
      <c r="I446" cm="1">
        <f t="array" ref="I446">IF($Q446&gt;=0,IFERROR(generateSalesData($D446, IF(ISNUMBER(_xlfn.XLOOKUP($C446,Phone_by_Sentiment!$B$2:$B$37,Phone_by_Sentiment!I$2:I$37,"",0,1)),_xlfn.XLOOKUP($C446,Phone_by_Sentiment!$B$2:$B$37,Phone_by_Sentiment!I$2:I$37,"",0,1),0),$A446-TEXT(DATEVALUE($D446&amp;"-01"), "dd-mm-yyyy")),0),0)</f>
        <v>0</v>
      </c>
      <c r="J446" cm="1">
        <f t="array" ref="J446">IF($Q446&gt;=0,IFERROR(generateSalesData($D446, IF(ISNUMBER(_xlfn.XLOOKUP($C446,Phone_by_Sentiment!$B$2:$B$37,Phone_by_Sentiment!J$2:J$37,"",0,1)),_xlfn.XLOOKUP($C446,Phone_by_Sentiment!$B$2:$B$37,Phone_by_Sentiment!J$2:J$37,"",0,1),0),$A446-TEXT(DATEVALUE($D446&amp;"-01"), "dd-mm-yyyy")),0),0)</f>
        <v>0</v>
      </c>
      <c r="K446" cm="1">
        <f t="array" ref="K446">IF($Q446&gt;=0,IFERROR(generateSalesData($D446, IF(ISNUMBER(_xlfn.XLOOKUP($C446,Phone_by_Sentiment!$B$2:$B$37,Phone_by_Sentiment!K$2:K$37,"",0,1)),_xlfn.XLOOKUP($C446,Phone_by_Sentiment!$B$2:$B$37,Phone_by_Sentiment!K$2:K$37,"",0,1),0),$A446-TEXT(DATEVALUE($D446&amp;"-01"), "dd-mm-yyyy")),0),0)</f>
        <v>0</v>
      </c>
      <c r="L446" cm="1">
        <f t="array" ref="L446">IF($Q446&gt;=0,IFERROR(generateSalesData($D446, IF(ISNUMBER(_xlfn.XLOOKUP($C446,Phone_by_Sentiment!$B$2:$B$37,Phone_by_Sentiment!L$2:L$37,"",0,1)),_xlfn.XLOOKUP($C446,Phone_by_Sentiment!$B$2:$B$37,Phone_by_Sentiment!L$2:L$37,"",0,1),0),$A446-TEXT(DATEVALUE($D446&amp;"-01"), "dd-mm-yyyy")),0),0)</f>
        <v>0</v>
      </c>
      <c r="M446" cm="1">
        <f t="array" ref="M446">IF($Q446&gt;=0,IFERROR(generateSalesData($D446, IF(ISNUMBER(_xlfn.XLOOKUP($C446,Phone_by_Sentiment!$B$2:$B$37,Phone_by_Sentiment!M$2:M$37,"",0,1)),_xlfn.XLOOKUP($C446,Phone_by_Sentiment!$B$2:$B$37,Phone_by_Sentiment!M$2:M$37,"",0,1),0),$A446-TEXT(DATEVALUE($D446&amp;"-01"), "dd-mm-yyyy")),0),0)</f>
        <v>0</v>
      </c>
      <c r="N446" cm="1">
        <f t="array" ref="N446">IF($Q446&gt;=0,IFERROR(generateSalesData($D446, IF(ISNUMBER(_xlfn.XLOOKUP($C446,Phone_by_Sentiment!$B$2:$B$37,Phone_by_Sentiment!N$2:N$37,"",0,1)),_xlfn.XLOOKUP($C446,Phone_by_Sentiment!$B$2:$B$37,Phone_by_Sentiment!N$2:N$37,"",0,1),0),$A446-TEXT(DATEVALUE($D446&amp;"-01"), "dd-mm-yyyy")),0),0)</f>
        <v>0</v>
      </c>
      <c r="O446" cm="1">
        <f t="array" ref="O446">IF($Q446&gt;=0,IFERROR(generateSalesData($D446, IF(ISNUMBER(_xlfn.XLOOKUP($C446,Phone_by_Sentiment!$B$2:$B$37,Phone_by_Sentiment!O$2:O$37,"",0,1)),_xlfn.XLOOKUP($C446,Phone_by_Sentiment!$B$2:$B$37,Phone_by_Sentiment!O$2:O$37,"",0,1),0),$A446-TEXT(DATEVALUE($D446&amp;"-01"), "dd-mm-yyyy")),0),0)</f>
        <v>0</v>
      </c>
      <c r="P446" s="1">
        <f t="shared" si="16"/>
        <v>44348</v>
      </c>
      <c r="Q446">
        <f t="shared" si="17"/>
        <v>-517</v>
      </c>
    </row>
    <row r="447" spans="1:17" x14ac:dyDescent="0.25">
      <c r="A447" s="1">
        <f t="shared" si="15"/>
        <v>43831</v>
      </c>
      <c r="B447" t="s">
        <v>157</v>
      </c>
      <c r="C447" t="str">
        <f>_xlfn.XLOOKUP(B447,Phone_by_Price!$A$2:$A$34,Phone_by_Price!$B$2:$B$34,"-",0,1)</f>
        <v>Apple iPhone 13 Pro</v>
      </c>
      <c r="D447" t="str">
        <f>_xlfn.XLOOKUP(C447,Phone_by_Sentiment!$B$2:$B$37,Phone_by_Sentiment!$A$2:$A$37,"-",0,1)</f>
        <v>2021-09</v>
      </c>
      <c r="E447" cm="1">
        <f t="array" ref="E447">IF($Q447&gt;=0,IFERROR(generateSalesData($D447, IF(ISNUMBER(_xlfn.XLOOKUP($C447,Phone_by_Sentiment!$B$2:$B$37,Phone_by_Sentiment!E$2:E$37,"",0,1)),_xlfn.XLOOKUP($C447,Phone_by_Sentiment!$B$2:$B$37,Phone_by_Sentiment!E$2:E$37,"",0,1),0),$A447-TEXT(DATEVALUE($D447&amp;"-01"), "dd-mm-yyyy")),0),0)</f>
        <v>0</v>
      </c>
      <c r="F447" cm="1">
        <f t="array" ref="F447">IF($Q447&gt;=0,IFERROR(generateSalesData($D447, IF(ISNUMBER(_xlfn.XLOOKUP($C447,Phone_by_Sentiment!$B$2:$B$37,Phone_by_Sentiment!F$2:F$37,"",0,1)),_xlfn.XLOOKUP($C447,Phone_by_Sentiment!$B$2:$B$37,Phone_by_Sentiment!F$2:F$37,"",0,1),0),$A447-TEXT(DATEVALUE($D447&amp;"-01"), "dd-mm-yyyy")),0),0)</f>
        <v>0</v>
      </c>
      <c r="G447" cm="1">
        <f t="array" ref="G447">IF($Q447&gt;=0,IFERROR(generateSalesData($D447, IF(ISNUMBER(_xlfn.XLOOKUP($C447,Phone_by_Sentiment!$B$2:$B$37,Phone_by_Sentiment!G$2:G$37,"",0,1)),_xlfn.XLOOKUP($C447,Phone_by_Sentiment!$B$2:$B$37,Phone_by_Sentiment!G$2:G$37,"",0,1),0),$A447-TEXT(DATEVALUE($D447&amp;"-01"), "dd-mm-yyyy")),0),0)</f>
        <v>0</v>
      </c>
      <c r="H447" cm="1">
        <f t="array" ref="H447">IF($Q447&gt;=0,IFERROR(generateSalesData($D447, IF(ISNUMBER(_xlfn.XLOOKUP($C447,Phone_by_Sentiment!$B$2:$B$37,Phone_by_Sentiment!H$2:H$37,"",0,1)),_xlfn.XLOOKUP($C447,Phone_by_Sentiment!$B$2:$B$37,Phone_by_Sentiment!H$2:H$37,"",0,1),0),$A447-TEXT(DATEVALUE($D447&amp;"-01"), "dd-mm-yyyy")),0),0)</f>
        <v>0</v>
      </c>
      <c r="I447" cm="1">
        <f t="array" ref="I447">IF($Q447&gt;=0,IFERROR(generateSalesData($D447, IF(ISNUMBER(_xlfn.XLOOKUP($C447,Phone_by_Sentiment!$B$2:$B$37,Phone_by_Sentiment!I$2:I$37,"",0,1)),_xlfn.XLOOKUP($C447,Phone_by_Sentiment!$B$2:$B$37,Phone_by_Sentiment!I$2:I$37,"",0,1),0),$A447-TEXT(DATEVALUE($D447&amp;"-01"), "dd-mm-yyyy")),0),0)</f>
        <v>0</v>
      </c>
      <c r="J447" cm="1">
        <f t="array" ref="J447">IF($Q447&gt;=0,IFERROR(generateSalesData($D447, IF(ISNUMBER(_xlfn.XLOOKUP($C447,Phone_by_Sentiment!$B$2:$B$37,Phone_by_Sentiment!J$2:J$37,"",0,1)),_xlfn.XLOOKUP($C447,Phone_by_Sentiment!$B$2:$B$37,Phone_by_Sentiment!J$2:J$37,"",0,1),0),$A447-TEXT(DATEVALUE($D447&amp;"-01"), "dd-mm-yyyy")),0),0)</f>
        <v>0</v>
      </c>
      <c r="K447" cm="1">
        <f t="array" ref="K447">IF($Q447&gt;=0,IFERROR(generateSalesData($D447, IF(ISNUMBER(_xlfn.XLOOKUP($C447,Phone_by_Sentiment!$B$2:$B$37,Phone_by_Sentiment!K$2:K$37,"",0,1)),_xlfn.XLOOKUP($C447,Phone_by_Sentiment!$B$2:$B$37,Phone_by_Sentiment!K$2:K$37,"",0,1),0),$A447-TEXT(DATEVALUE($D447&amp;"-01"), "dd-mm-yyyy")),0),0)</f>
        <v>0</v>
      </c>
      <c r="L447" cm="1">
        <f t="array" ref="L447">IF($Q447&gt;=0,IFERROR(generateSalesData($D447, IF(ISNUMBER(_xlfn.XLOOKUP($C447,Phone_by_Sentiment!$B$2:$B$37,Phone_by_Sentiment!L$2:L$37,"",0,1)),_xlfn.XLOOKUP($C447,Phone_by_Sentiment!$B$2:$B$37,Phone_by_Sentiment!L$2:L$37,"",0,1),0),$A447-TEXT(DATEVALUE($D447&amp;"-01"), "dd-mm-yyyy")),0),0)</f>
        <v>0</v>
      </c>
      <c r="M447" cm="1">
        <f t="array" ref="M447">IF($Q447&gt;=0,IFERROR(generateSalesData($D447, IF(ISNUMBER(_xlfn.XLOOKUP($C447,Phone_by_Sentiment!$B$2:$B$37,Phone_by_Sentiment!M$2:M$37,"",0,1)),_xlfn.XLOOKUP($C447,Phone_by_Sentiment!$B$2:$B$37,Phone_by_Sentiment!M$2:M$37,"",0,1),0),$A447-TEXT(DATEVALUE($D447&amp;"-01"), "dd-mm-yyyy")),0),0)</f>
        <v>0</v>
      </c>
      <c r="N447" cm="1">
        <f t="array" ref="N447">IF($Q447&gt;=0,IFERROR(generateSalesData($D447, IF(ISNUMBER(_xlfn.XLOOKUP($C447,Phone_by_Sentiment!$B$2:$B$37,Phone_by_Sentiment!N$2:N$37,"",0,1)),_xlfn.XLOOKUP($C447,Phone_by_Sentiment!$B$2:$B$37,Phone_by_Sentiment!N$2:N$37,"",0,1),0),$A447-TEXT(DATEVALUE($D447&amp;"-01"), "dd-mm-yyyy")),0),0)</f>
        <v>0</v>
      </c>
      <c r="O447" cm="1">
        <f t="array" ref="O447">IF($Q447&gt;=0,IFERROR(generateSalesData($D447, IF(ISNUMBER(_xlfn.XLOOKUP($C447,Phone_by_Sentiment!$B$2:$B$37,Phone_by_Sentiment!O$2:O$37,"",0,1)),_xlfn.XLOOKUP($C447,Phone_by_Sentiment!$B$2:$B$37,Phone_by_Sentiment!O$2:O$37,"",0,1),0),$A447-TEXT(DATEVALUE($D447&amp;"-01"), "dd-mm-yyyy")),0),0)</f>
        <v>0</v>
      </c>
      <c r="P447" s="1">
        <f t="shared" si="16"/>
        <v>44440</v>
      </c>
      <c r="Q447">
        <f t="shared" si="17"/>
        <v>-609</v>
      </c>
    </row>
    <row r="448" spans="1:17" x14ac:dyDescent="0.25">
      <c r="A448" s="1">
        <f t="shared" si="15"/>
        <v>43831</v>
      </c>
      <c r="B448" t="s">
        <v>158</v>
      </c>
      <c r="C448" t="str">
        <f>_xlfn.XLOOKUP(B448,Phone_by_Price!$A$2:$A$34,Phone_by_Price!$B$2:$B$34,"-",0,1)</f>
        <v>Samsung Galaxy A32 5G</v>
      </c>
      <c r="D448" t="str">
        <f>_xlfn.XLOOKUP(C448,Phone_by_Sentiment!$B$2:$B$37,Phone_by_Sentiment!$A$2:$A$37,"-",0,1)</f>
        <v>2021-02</v>
      </c>
      <c r="E448" cm="1">
        <f t="array" ref="E448">IF($Q448&gt;=0,IFERROR(generateSalesData($D448, IF(ISNUMBER(_xlfn.XLOOKUP($C448,Phone_by_Sentiment!$B$2:$B$37,Phone_by_Sentiment!E$2:E$37,"",0,1)),_xlfn.XLOOKUP($C448,Phone_by_Sentiment!$B$2:$B$37,Phone_by_Sentiment!E$2:E$37,"",0,1),0),$A448-TEXT(DATEVALUE($D448&amp;"-01"), "dd-mm-yyyy")),0),0)</f>
        <v>0</v>
      </c>
      <c r="F448" cm="1">
        <f t="array" ref="F448">IF($Q448&gt;=0,IFERROR(generateSalesData($D448, IF(ISNUMBER(_xlfn.XLOOKUP($C448,Phone_by_Sentiment!$B$2:$B$37,Phone_by_Sentiment!F$2:F$37,"",0,1)),_xlfn.XLOOKUP($C448,Phone_by_Sentiment!$B$2:$B$37,Phone_by_Sentiment!F$2:F$37,"",0,1),0),$A448-TEXT(DATEVALUE($D448&amp;"-01"), "dd-mm-yyyy")),0),0)</f>
        <v>0</v>
      </c>
      <c r="G448" cm="1">
        <f t="array" ref="G448">IF($Q448&gt;=0,IFERROR(generateSalesData($D448, IF(ISNUMBER(_xlfn.XLOOKUP($C448,Phone_by_Sentiment!$B$2:$B$37,Phone_by_Sentiment!G$2:G$37,"",0,1)),_xlfn.XLOOKUP($C448,Phone_by_Sentiment!$B$2:$B$37,Phone_by_Sentiment!G$2:G$37,"",0,1),0),$A448-TEXT(DATEVALUE($D448&amp;"-01"), "dd-mm-yyyy")),0),0)</f>
        <v>0</v>
      </c>
      <c r="H448" cm="1">
        <f t="array" ref="H448">IF($Q448&gt;=0,IFERROR(generateSalesData($D448, IF(ISNUMBER(_xlfn.XLOOKUP($C448,Phone_by_Sentiment!$B$2:$B$37,Phone_by_Sentiment!H$2:H$37,"",0,1)),_xlfn.XLOOKUP($C448,Phone_by_Sentiment!$B$2:$B$37,Phone_by_Sentiment!H$2:H$37,"",0,1),0),$A448-TEXT(DATEVALUE($D448&amp;"-01"), "dd-mm-yyyy")),0),0)</f>
        <v>0</v>
      </c>
      <c r="I448" cm="1">
        <f t="array" ref="I448">IF($Q448&gt;=0,IFERROR(generateSalesData($D448, IF(ISNUMBER(_xlfn.XLOOKUP($C448,Phone_by_Sentiment!$B$2:$B$37,Phone_by_Sentiment!I$2:I$37,"",0,1)),_xlfn.XLOOKUP($C448,Phone_by_Sentiment!$B$2:$B$37,Phone_by_Sentiment!I$2:I$37,"",0,1),0),$A448-TEXT(DATEVALUE($D448&amp;"-01"), "dd-mm-yyyy")),0),0)</f>
        <v>0</v>
      </c>
      <c r="J448" cm="1">
        <f t="array" ref="J448">IF($Q448&gt;=0,IFERROR(generateSalesData($D448, IF(ISNUMBER(_xlfn.XLOOKUP($C448,Phone_by_Sentiment!$B$2:$B$37,Phone_by_Sentiment!J$2:J$37,"",0,1)),_xlfn.XLOOKUP($C448,Phone_by_Sentiment!$B$2:$B$37,Phone_by_Sentiment!J$2:J$37,"",0,1),0),$A448-TEXT(DATEVALUE($D448&amp;"-01"), "dd-mm-yyyy")),0),0)</f>
        <v>0</v>
      </c>
      <c r="K448" cm="1">
        <f t="array" ref="K448">IF($Q448&gt;=0,IFERROR(generateSalesData($D448, IF(ISNUMBER(_xlfn.XLOOKUP($C448,Phone_by_Sentiment!$B$2:$B$37,Phone_by_Sentiment!K$2:K$37,"",0,1)),_xlfn.XLOOKUP($C448,Phone_by_Sentiment!$B$2:$B$37,Phone_by_Sentiment!K$2:K$37,"",0,1),0),$A448-TEXT(DATEVALUE($D448&amp;"-01"), "dd-mm-yyyy")),0),0)</f>
        <v>0</v>
      </c>
      <c r="L448" cm="1">
        <f t="array" ref="L448">IF($Q448&gt;=0,IFERROR(generateSalesData($D448, IF(ISNUMBER(_xlfn.XLOOKUP($C448,Phone_by_Sentiment!$B$2:$B$37,Phone_by_Sentiment!L$2:L$37,"",0,1)),_xlfn.XLOOKUP($C448,Phone_by_Sentiment!$B$2:$B$37,Phone_by_Sentiment!L$2:L$37,"",0,1),0),$A448-TEXT(DATEVALUE($D448&amp;"-01"), "dd-mm-yyyy")),0),0)</f>
        <v>0</v>
      </c>
      <c r="M448" cm="1">
        <f t="array" ref="M448">IF($Q448&gt;=0,IFERROR(generateSalesData($D448, IF(ISNUMBER(_xlfn.XLOOKUP($C448,Phone_by_Sentiment!$B$2:$B$37,Phone_by_Sentiment!M$2:M$37,"",0,1)),_xlfn.XLOOKUP($C448,Phone_by_Sentiment!$B$2:$B$37,Phone_by_Sentiment!M$2:M$37,"",0,1),0),$A448-TEXT(DATEVALUE($D448&amp;"-01"), "dd-mm-yyyy")),0),0)</f>
        <v>0</v>
      </c>
      <c r="N448" cm="1">
        <f t="array" ref="N448">IF($Q448&gt;=0,IFERROR(generateSalesData($D448, IF(ISNUMBER(_xlfn.XLOOKUP($C448,Phone_by_Sentiment!$B$2:$B$37,Phone_by_Sentiment!N$2:N$37,"",0,1)),_xlfn.XLOOKUP($C448,Phone_by_Sentiment!$B$2:$B$37,Phone_by_Sentiment!N$2:N$37,"",0,1),0),$A448-TEXT(DATEVALUE($D448&amp;"-01"), "dd-mm-yyyy")),0),0)</f>
        <v>0</v>
      </c>
      <c r="O448" cm="1">
        <f t="array" ref="O448">IF($Q448&gt;=0,IFERROR(generateSalesData($D448, IF(ISNUMBER(_xlfn.XLOOKUP($C448,Phone_by_Sentiment!$B$2:$B$37,Phone_by_Sentiment!O$2:O$37,"",0,1)),_xlfn.XLOOKUP($C448,Phone_by_Sentiment!$B$2:$B$37,Phone_by_Sentiment!O$2:O$37,"",0,1),0),$A448-TEXT(DATEVALUE($D448&amp;"-01"), "dd-mm-yyyy")),0),0)</f>
        <v>0</v>
      </c>
      <c r="P448" s="1">
        <f t="shared" si="16"/>
        <v>44228</v>
      </c>
      <c r="Q448">
        <f t="shared" si="17"/>
        <v>-397</v>
      </c>
    </row>
    <row r="449" spans="1:17" x14ac:dyDescent="0.25">
      <c r="A449" s="1">
        <f t="shared" si="15"/>
        <v>43831</v>
      </c>
      <c r="B449" t="s">
        <v>159</v>
      </c>
      <c r="C449" t="str">
        <f>_xlfn.XLOOKUP(B449,Phone_by_Price!$A$2:$A$34,Phone_by_Price!$B$2:$B$34,"-",0,1)</f>
        <v>Realme C25</v>
      </c>
      <c r="D449" t="str">
        <f>_xlfn.XLOOKUP(C449,Phone_by_Sentiment!$B$2:$B$37,Phone_by_Sentiment!$A$2:$A$37,"-",0,1)</f>
        <v>2021-03</v>
      </c>
      <c r="E449" cm="1">
        <f t="array" ref="E449">IF($Q449&gt;=0,IFERROR(generateSalesData($D449, IF(ISNUMBER(_xlfn.XLOOKUP($C449,Phone_by_Sentiment!$B$2:$B$37,Phone_by_Sentiment!E$2:E$37,"",0,1)),_xlfn.XLOOKUP($C449,Phone_by_Sentiment!$B$2:$B$37,Phone_by_Sentiment!E$2:E$37,"",0,1),0),$A449-TEXT(DATEVALUE($D449&amp;"-01"), "dd-mm-yyyy")),0),0)</f>
        <v>0</v>
      </c>
      <c r="F449" cm="1">
        <f t="array" ref="F449">IF($Q449&gt;=0,IFERROR(generateSalesData($D449, IF(ISNUMBER(_xlfn.XLOOKUP($C449,Phone_by_Sentiment!$B$2:$B$37,Phone_by_Sentiment!F$2:F$37,"",0,1)),_xlfn.XLOOKUP($C449,Phone_by_Sentiment!$B$2:$B$37,Phone_by_Sentiment!F$2:F$37,"",0,1),0),$A449-TEXT(DATEVALUE($D449&amp;"-01"), "dd-mm-yyyy")),0),0)</f>
        <v>0</v>
      </c>
      <c r="G449" cm="1">
        <f t="array" ref="G449">IF($Q449&gt;=0,IFERROR(generateSalesData($D449, IF(ISNUMBER(_xlfn.XLOOKUP($C449,Phone_by_Sentiment!$B$2:$B$37,Phone_by_Sentiment!G$2:G$37,"",0,1)),_xlfn.XLOOKUP($C449,Phone_by_Sentiment!$B$2:$B$37,Phone_by_Sentiment!G$2:G$37,"",0,1),0),$A449-TEXT(DATEVALUE($D449&amp;"-01"), "dd-mm-yyyy")),0),0)</f>
        <v>0</v>
      </c>
      <c r="H449" cm="1">
        <f t="array" ref="H449">IF($Q449&gt;=0,IFERROR(generateSalesData($D449, IF(ISNUMBER(_xlfn.XLOOKUP($C449,Phone_by_Sentiment!$B$2:$B$37,Phone_by_Sentiment!H$2:H$37,"",0,1)),_xlfn.XLOOKUP($C449,Phone_by_Sentiment!$B$2:$B$37,Phone_by_Sentiment!H$2:H$37,"",0,1),0),$A449-TEXT(DATEVALUE($D449&amp;"-01"), "dd-mm-yyyy")),0),0)</f>
        <v>0</v>
      </c>
      <c r="I449" cm="1">
        <f t="array" ref="I449">IF($Q449&gt;=0,IFERROR(generateSalesData($D449, IF(ISNUMBER(_xlfn.XLOOKUP($C449,Phone_by_Sentiment!$B$2:$B$37,Phone_by_Sentiment!I$2:I$37,"",0,1)),_xlfn.XLOOKUP($C449,Phone_by_Sentiment!$B$2:$B$37,Phone_by_Sentiment!I$2:I$37,"",0,1),0),$A449-TEXT(DATEVALUE($D449&amp;"-01"), "dd-mm-yyyy")),0),0)</f>
        <v>0</v>
      </c>
      <c r="J449" cm="1">
        <f t="array" ref="J449">IF($Q449&gt;=0,IFERROR(generateSalesData($D449, IF(ISNUMBER(_xlfn.XLOOKUP($C449,Phone_by_Sentiment!$B$2:$B$37,Phone_by_Sentiment!J$2:J$37,"",0,1)),_xlfn.XLOOKUP($C449,Phone_by_Sentiment!$B$2:$B$37,Phone_by_Sentiment!J$2:J$37,"",0,1),0),$A449-TEXT(DATEVALUE($D449&amp;"-01"), "dd-mm-yyyy")),0),0)</f>
        <v>0</v>
      </c>
      <c r="K449" cm="1">
        <f t="array" ref="K449">IF($Q449&gt;=0,IFERROR(generateSalesData($D449, IF(ISNUMBER(_xlfn.XLOOKUP($C449,Phone_by_Sentiment!$B$2:$B$37,Phone_by_Sentiment!K$2:K$37,"",0,1)),_xlfn.XLOOKUP($C449,Phone_by_Sentiment!$B$2:$B$37,Phone_by_Sentiment!K$2:K$37,"",0,1),0),$A449-TEXT(DATEVALUE($D449&amp;"-01"), "dd-mm-yyyy")),0),0)</f>
        <v>0</v>
      </c>
      <c r="L449" cm="1">
        <f t="array" ref="L449">IF($Q449&gt;=0,IFERROR(generateSalesData($D449, IF(ISNUMBER(_xlfn.XLOOKUP($C449,Phone_by_Sentiment!$B$2:$B$37,Phone_by_Sentiment!L$2:L$37,"",0,1)),_xlfn.XLOOKUP($C449,Phone_by_Sentiment!$B$2:$B$37,Phone_by_Sentiment!L$2:L$37,"",0,1),0),$A449-TEXT(DATEVALUE($D449&amp;"-01"), "dd-mm-yyyy")),0),0)</f>
        <v>0</v>
      </c>
      <c r="M449" cm="1">
        <f t="array" ref="M449">IF($Q449&gt;=0,IFERROR(generateSalesData($D449, IF(ISNUMBER(_xlfn.XLOOKUP($C449,Phone_by_Sentiment!$B$2:$B$37,Phone_by_Sentiment!M$2:M$37,"",0,1)),_xlfn.XLOOKUP($C449,Phone_by_Sentiment!$B$2:$B$37,Phone_by_Sentiment!M$2:M$37,"",0,1),0),$A449-TEXT(DATEVALUE($D449&amp;"-01"), "dd-mm-yyyy")),0),0)</f>
        <v>0</v>
      </c>
      <c r="N449" cm="1">
        <f t="array" ref="N449">IF($Q449&gt;=0,IFERROR(generateSalesData($D449, IF(ISNUMBER(_xlfn.XLOOKUP($C449,Phone_by_Sentiment!$B$2:$B$37,Phone_by_Sentiment!N$2:N$37,"",0,1)),_xlfn.XLOOKUP($C449,Phone_by_Sentiment!$B$2:$B$37,Phone_by_Sentiment!N$2:N$37,"",0,1),0),$A449-TEXT(DATEVALUE($D449&amp;"-01"), "dd-mm-yyyy")),0),0)</f>
        <v>0</v>
      </c>
      <c r="O449" cm="1">
        <f t="array" ref="O449">IF($Q449&gt;=0,IFERROR(generateSalesData($D449, IF(ISNUMBER(_xlfn.XLOOKUP($C449,Phone_by_Sentiment!$B$2:$B$37,Phone_by_Sentiment!O$2:O$37,"",0,1)),_xlfn.XLOOKUP($C449,Phone_by_Sentiment!$B$2:$B$37,Phone_by_Sentiment!O$2:O$37,"",0,1),0),$A449-TEXT(DATEVALUE($D449&amp;"-01"), "dd-mm-yyyy")),0),0)</f>
        <v>0</v>
      </c>
      <c r="P449" s="1">
        <f t="shared" si="16"/>
        <v>44256</v>
      </c>
      <c r="Q449">
        <f t="shared" si="17"/>
        <v>-425</v>
      </c>
    </row>
    <row r="450" spans="1:17" x14ac:dyDescent="0.25">
      <c r="A450" s="1">
        <f t="shared" si="15"/>
        <v>43831</v>
      </c>
      <c r="B450" t="s">
        <v>160</v>
      </c>
      <c r="C450" t="str">
        <f>_xlfn.XLOOKUP(B450,Phone_by_Price!$A$2:$A$34,Phone_by_Price!$B$2:$B$34,"-",0,1)</f>
        <v>Xiaomi Poco X3 Pro</v>
      </c>
      <c r="D450" t="str">
        <f>_xlfn.XLOOKUP(C450,Phone_by_Sentiment!$B$2:$B$37,Phone_by_Sentiment!$A$2:$A$37,"-",0,1)</f>
        <v>2021-05</v>
      </c>
      <c r="E450" cm="1">
        <f t="array" ref="E450">IF($Q450&gt;=0,IFERROR(generateSalesData($D450, IF(ISNUMBER(_xlfn.XLOOKUP($C450,Phone_by_Sentiment!$B$2:$B$37,Phone_by_Sentiment!E$2:E$37,"",0,1)),_xlfn.XLOOKUP($C450,Phone_by_Sentiment!$B$2:$B$37,Phone_by_Sentiment!E$2:E$37,"",0,1),0),$A450-TEXT(DATEVALUE($D450&amp;"-01"), "dd-mm-yyyy")),0),0)</f>
        <v>0</v>
      </c>
      <c r="F450" cm="1">
        <f t="array" ref="F450">IF($Q450&gt;=0,IFERROR(generateSalesData($D450, IF(ISNUMBER(_xlfn.XLOOKUP($C450,Phone_by_Sentiment!$B$2:$B$37,Phone_by_Sentiment!F$2:F$37,"",0,1)),_xlfn.XLOOKUP($C450,Phone_by_Sentiment!$B$2:$B$37,Phone_by_Sentiment!F$2:F$37,"",0,1),0),$A450-TEXT(DATEVALUE($D450&amp;"-01"), "dd-mm-yyyy")),0),0)</f>
        <v>0</v>
      </c>
      <c r="G450" cm="1">
        <f t="array" ref="G450">IF($Q450&gt;=0,IFERROR(generateSalesData($D450, IF(ISNUMBER(_xlfn.XLOOKUP($C450,Phone_by_Sentiment!$B$2:$B$37,Phone_by_Sentiment!G$2:G$37,"",0,1)),_xlfn.XLOOKUP($C450,Phone_by_Sentiment!$B$2:$B$37,Phone_by_Sentiment!G$2:G$37,"",0,1),0),$A450-TEXT(DATEVALUE($D450&amp;"-01"), "dd-mm-yyyy")),0),0)</f>
        <v>0</v>
      </c>
      <c r="H450" cm="1">
        <f t="array" ref="H450">IF($Q450&gt;=0,IFERROR(generateSalesData($D450, IF(ISNUMBER(_xlfn.XLOOKUP($C450,Phone_by_Sentiment!$B$2:$B$37,Phone_by_Sentiment!H$2:H$37,"",0,1)),_xlfn.XLOOKUP($C450,Phone_by_Sentiment!$B$2:$B$37,Phone_by_Sentiment!H$2:H$37,"",0,1),0),$A450-TEXT(DATEVALUE($D450&amp;"-01"), "dd-mm-yyyy")),0),0)</f>
        <v>0</v>
      </c>
      <c r="I450" cm="1">
        <f t="array" ref="I450">IF($Q450&gt;=0,IFERROR(generateSalesData($D450, IF(ISNUMBER(_xlfn.XLOOKUP($C450,Phone_by_Sentiment!$B$2:$B$37,Phone_by_Sentiment!I$2:I$37,"",0,1)),_xlfn.XLOOKUP($C450,Phone_by_Sentiment!$B$2:$B$37,Phone_by_Sentiment!I$2:I$37,"",0,1),0),$A450-TEXT(DATEVALUE($D450&amp;"-01"), "dd-mm-yyyy")),0),0)</f>
        <v>0</v>
      </c>
      <c r="J450" cm="1">
        <f t="array" ref="J450">IF($Q450&gt;=0,IFERROR(generateSalesData($D450, IF(ISNUMBER(_xlfn.XLOOKUP($C450,Phone_by_Sentiment!$B$2:$B$37,Phone_by_Sentiment!J$2:J$37,"",0,1)),_xlfn.XLOOKUP($C450,Phone_by_Sentiment!$B$2:$B$37,Phone_by_Sentiment!J$2:J$37,"",0,1),0),$A450-TEXT(DATEVALUE($D450&amp;"-01"), "dd-mm-yyyy")),0),0)</f>
        <v>0</v>
      </c>
      <c r="K450" cm="1">
        <f t="array" ref="K450">IF($Q450&gt;=0,IFERROR(generateSalesData($D450, IF(ISNUMBER(_xlfn.XLOOKUP($C450,Phone_by_Sentiment!$B$2:$B$37,Phone_by_Sentiment!K$2:K$37,"",0,1)),_xlfn.XLOOKUP($C450,Phone_by_Sentiment!$B$2:$B$37,Phone_by_Sentiment!K$2:K$37,"",0,1),0),$A450-TEXT(DATEVALUE($D450&amp;"-01"), "dd-mm-yyyy")),0),0)</f>
        <v>0</v>
      </c>
      <c r="L450" cm="1">
        <f t="array" ref="L450">IF($Q450&gt;=0,IFERROR(generateSalesData($D450, IF(ISNUMBER(_xlfn.XLOOKUP($C450,Phone_by_Sentiment!$B$2:$B$37,Phone_by_Sentiment!L$2:L$37,"",0,1)),_xlfn.XLOOKUP($C450,Phone_by_Sentiment!$B$2:$B$37,Phone_by_Sentiment!L$2:L$37,"",0,1),0),$A450-TEXT(DATEVALUE($D450&amp;"-01"), "dd-mm-yyyy")),0),0)</f>
        <v>0</v>
      </c>
      <c r="M450" cm="1">
        <f t="array" ref="M450">IF($Q450&gt;=0,IFERROR(generateSalesData($D450, IF(ISNUMBER(_xlfn.XLOOKUP($C450,Phone_by_Sentiment!$B$2:$B$37,Phone_by_Sentiment!M$2:M$37,"",0,1)),_xlfn.XLOOKUP($C450,Phone_by_Sentiment!$B$2:$B$37,Phone_by_Sentiment!M$2:M$37,"",0,1),0),$A450-TEXT(DATEVALUE($D450&amp;"-01"), "dd-mm-yyyy")),0),0)</f>
        <v>0</v>
      </c>
      <c r="N450" cm="1">
        <f t="array" ref="N450">IF($Q450&gt;=0,IFERROR(generateSalesData($D450, IF(ISNUMBER(_xlfn.XLOOKUP($C450,Phone_by_Sentiment!$B$2:$B$37,Phone_by_Sentiment!N$2:N$37,"",0,1)),_xlfn.XLOOKUP($C450,Phone_by_Sentiment!$B$2:$B$37,Phone_by_Sentiment!N$2:N$37,"",0,1),0),$A450-TEXT(DATEVALUE($D450&amp;"-01"), "dd-mm-yyyy")),0),0)</f>
        <v>0</v>
      </c>
      <c r="O450" cm="1">
        <f t="array" ref="O450">IF($Q450&gt;=0,IFERROR(generateSalesData($D450, IF(ISNUMBER(_xlfn.XLOOKUP($C450,Phone_by_Sentiment!$B$2:$B$37,Phone_by_Sentiment!O$2:O$37,"",0,1)),_xlfn.XLOOKUP($C450,Phone_by_Sentiment!$B$2:$B$37,Phone_by_Sentiment!O$2:O$37,"",0,1),0),$A450-TEXT(DATEVALUE($D450&amp;"-01"), "dd-mm-yyyy")),0),0)</f>
        <v>0</v>
      </c>
      <c r="P450" s="1">
        <f t="shared" si="16"/>
        <v>44317</v>
      </c>
      <c r="Q450">
        <f t="shared" si="17"/>
        <v>-486</v>
      </c>
    </row>
    <row r="451" spans="1:17" x14ac:dyDescent="0.25">
      <c r="A451" s="1">
        <f t="shared" ref="A451:A514" si="18">DATE(YEAR($A$1), MONTH($A$1) + INT((ROW()-1)/35), DAY($A$1))</f>
        <v>43831</v>
      </c>
      <c r="B451" t="s">
        <v>161</v>
      </c>
      <c r="C451" t="str">
        <f>_xlfn.XLOOKUP(B451,Phone_by_Price!$A$2:$A$34,Phone_by_Price!$B$2:$B$34,"-",0,1)</f>
        <v>Samsung Galaxy Z Flip 3</v>
      </c>
      <c r="D451" t="str">
        <f>_xlfn.XLOOKUP(C451,Phone_by_Sentiment!$B$2:$B$37,Phone_by_Sentiment!$A$2:$A$37,"-",0,1)</f>
        <v>2021-09</v>
      </c>
      <c r="E451" cm="1">
        <f t="array" ref="E451">IF($Q451&gt;=0,IFERROR(generateSalesData($D451, IF(ISNUMBER(_xlfn.XLOOKUP($C451,Phone_by_Sentiment!$B$2:$B$37,Phone_by_Sentiment!E$2:E$37,"",0,1)),_xlfn.XLOOKUP($C451,Phone_by_Sentiment!$B$2:$B$37,Phone_by_Sentiment!E$2:E$37,"",0,1),0),$A451-TEXT(DATEVALUE($D451&amp;"-01"), "dd-mm-yyyy")),0),0)</f>
        <v>0</v>
      </c>
      <c r="F451" cm="1">
        <f t="array" ref="F451">IF($Q451&gt;=0,IFERROR(generateSalesData($D451, IF(ISNUMBER(_xlfn.XLOOKUP($C451,Phone_by_Sentiment!$B$2:$B$37,Phone_by_Sentiment!F$2:F$37,"",0,1)),_xlfn.XLOOKUP($C451,Phone_by_Sentiment!$B$2:$B$37,Phone_by_Sentiment!F$2:F$37,"",0,1),0),$A451-TEXT(DATEVALUE($D451&amp;"-01"), "dd-mm-yyyy")),0),0)</f>
        <v>0</v>
      </c>
      <c r="G451" cm="1">
        <f t="array" ref="G451">IF($Q451&gt;=0,IFERROR(generateSalesData($D451, IF(ISNUMBER(_xlfn.XLOOKUP($C451,Phone_by_Sentiment!$B$2:$B$37,Phone_by_Sentiment!G$2:G$37,"",0,1)),_xlfn.XLOOKUP($C451,Phone_by_Sentiment!$B$2:$B$37,Phone_by_Sentiment!G$2:G$37,"",0,1),0),$A451-TEXT(DATEVALUE($D451&amp;"-01"), "dd-mm-yyyy")),0),0)</f>
        <v>0</v>
      </c>
      <c r="H451" cm="1">
        <f t="array" ref="H451">IF($Q451&gt;=0,IFERROR(generateSalesData($D451, IF(ISNUMBER(_xlfn.XLOOKUP($C451,Phone_by_Sentiment!$B$2:$B$37,Phone_by_Sentiment!H$2:H$37,"",0,1)),_xlfn.XLOOKUP($C451,Phone_by_Sentiment!$B$2:$B$37,Phone_by_Sentiment!H$2:H$37,"",0,1),0),$A451-TEXT(DATEVALUE($D451&amp;"-01"), "dd-mm-yyyy")),0),0)</f>
        <v>0</v>
      </c>
      <c r="I451" cm="1">
        <f t="array" ref="I451">IF($Q451&gt;=0,IFERROR(generateSalesData($D451, IF(ISNUMBER(_xlfn.XLOOKUP($C451,Phone_by_Sentiment!$B$2:$B$37,Phone_by_Sentiment!I$2:I$37,"",0,1)),_xlfn.XLOOKUP($C451,Phone_by_Sentiment!$B$2:$B$37,Phone_by_Sentiment!I$2:I$37,"",0,1),0),$A451-TEXT(DATEVALUE($D451&amp;"-01"), "dd-mm-yyyy")),0),0)</f>
        <v>0</v>
      </c>
      <c r="J451" cm="1">
        <f t="array" ref="J451">IF($Q451&gt;=0,IFERROR(generateSalesData($D451, IF(ISNUMBER(_xlfn.XLOOKUP($C451,Phone_by_Sentiment!$B$2:$B$37,Phone_by_Sentiment!J$2:J$37,"",0,1)),_xlfn.XLOOKUP($C451,Phone_by_Sentiment!$B$2:$B$37,Phone_by_Sentiment!J$2:J$37,"",0,1),0),$A451-TEXT(DATEVALUE($D451&amp;"-01"), "dd-mm-yyyy")),0),0)</f>
        <v>0</v>
      </c>
      <c r="K451" cm="1">
        <f t="array" ref="K451">IF($Q451&gt;=0,IFERROR(generateSalesData($D451, IF(ISNUMBER(_xlfn.XLOOKUP($C451,Phone_by_Sentiment!$B$2:$B$37,Phone_by_Sentiment!K$2:K$37,"",0,1)),_xlfn.XLOOKUP($C451,Phone_by_Sentiment!$B$2:$B$37,Phone_by_Sentiment!K$2:K$37,"",0,1),0),$A451-TEXT(DATEVALUE($D451&amp;"-01"), "dd-mm-yyyy")),0),0)</f>
        <v>0</v>
      </c>
      <c r="L451" cm="1">
        <f t="array" ref="L451">IF($Q451&gt;=0,IFERROR(generateSalesData($D451, IF(ISNUMBER(_xlfn.XLOOKUP($C451,Phone_by_Sentiment!$B$2:$B$37,Phone_by_Sentiment!L$2:L$37,"",0,1)),_xlfn.XLOOKUP($C451,Phone_by_Sentiment!$B$2:$B$37,Phone_by_Sentiment!L$2:L$37,"",0,1),0),$A451-TEXT(DATEVALUE($D451&amp;"-01"), "dd-mm-yyyy")),0),0)</f>
        <v>0</v>
      </c>
      <c r="M451" cm="1">
        <f t="array" ref="M451">IF($Q451&gt;=0,IFERROR(generateSalesData($D451, IF(ISNUMBER(_xlfn.XLOOKUP($C451,Phone_by_Sentiment!$B$2:$B$37,Phone_by_Sentiment!M$2:M$37,"",0,1)),_xlfn.XLOOKUP($C451,Phone_by_Sentiment!$B$2:$B$37,Phone_by_Sentiment!M$2:M$37,"",0,1),0),$A451-TEXT(DATEVALUE($D451&amp;"-01"), "dd-mm-yyyy")),0),0)</f>
        <v>0</v>
      </c>
      <c r="N451" cm="1">
        <f t="array" ref="N451">IF($Q451&gt;=0,IFERROR(generateSalesData($D451, IF(ISNUMBER(_xlfn.XLOOKUP($C451,Phone_by_Sentiment!$B$2:$B$37,Phone_by_Sentiment!N$2:N$37,"",0,1)),_xlfn.XLOOKUP($C451,Phone_by_Sentiment!$B$2:$B$37,Phone_by_Sentiment!N$2:N$37,"",0,1),0),$A451-TEXT(DATEVALUE($D451&amp;"-01"), "dd-mm-yyyy")),0),0)</f>
        <v>0</v>
      </c>
      <c r="O451" cm="1">
        <f t="array" ref="O451">IF($Q451&gt;=0,IFERROR(generateSalesData($D451, IF(ISNUMBER(_xlfn.XLOOKUP($C451,Phone_by_Sentiment!$B$2:$B$37,Phone_by_Sentiment!O$2:O$37,"",0,1)),_xlfn.XLOOKUP($C451,Phone_by_Sentiment!$B$2:$B$37,Phone_by_Sentiment!O$2:O$37,"",0,1),0),$A451-TEXT(DATEVALUE($D451&amp;"-01"), "dd-mm-yyyy")),0),0)</f>
        <v>0</v>
      </c>
      <c r="P451" s="1">
        <f t="shared" si="16"/>
        <v>44440</v>
      </c>
      <c r="Q451">
        <f t="shared" si="17"/>
        <v>-609</v>
      </c>
    </row>
    <row r="452" spans="1:17" x14ac:dyDescent="0.25">
      <c r="A452" s="1">
        <f t="shared" si="18"/>
        <v>43831</v>
      </c>
      <c r="B452" t="s">
        <v>162</v>
      </c>
      <c r="C452" t="str">
        <f>_xlfn.XLOOKUP(B452,Phone_by_Price!$A$2:$A$34,Phone_by_Price!$B$2:$B$34,"-",0,1)</f>
        <v>Xiaomi Poco X3 NFC</v>
      </c>
      <c r="D452" t="str">
        <f>_xlfn.XLOOKUP(C452,Phone_by_Sentiment!$B$2:$B$37,Phone_by_Sentiment!$A$2:$A$37,"-",0,1)</f>
        <v>2020-08</v>
      </c>
      <c r="E452" cm="1">
        <f t="array" ref="E452">IF($Q452&gt;=0,IFERROR(generateSalesData($D452, IF(ISNUMBER(_xlfn.XLOOKUP($C452,Phone_by_Sentiment!$B$2:$B$37,Phone_by_Sentiment!E$2:E$37,"",0,1)),_xlfn.XLOOKUP($C452,Phone_by_Sentiment!$B$2:$B$37,Phone_by_Sentiment!E$2:E$37,"",0,1),0),$A452-TEXT(DATEVALUE($D452&amp;"-01"), "dd-mm-yyyy")),0),0)</f>
        <v>0</v>
      </c>
      <c r="F452" cm="1">
        <f t="array" ref="F452">IF($Q452&gt;=0,IFERROR(generateSalesData($D452, IF(ISNUMBER(_xlfn.XLOOKUP($C452,Phone_by_Sentiment!$B$2:$B$37,Phone_by_Sentiment!F$2:F$37,"",0,1)),_xlfn.XLOOKUP($C452,Phone_by_Sentiment!$B$2:$B$37,Phone_by_Sentiment!F$2:F$37,"",0,1),0),$A452-TEXT(DATEVALUE($D452&amp;"-01"), "dd-mm-yyyy")),0),0)</f>
        <v>0</v>
      </c>
      <c r="G452" cm="1">
        <f t="array" ref="G452">IF($Q452&gt;=0,IFERROR(generateSalesData($D452, IF(ISNUMBER(_xlfn.XLOOKUP($C452,Phone_by_Sentiment!$B$2:$B$37,Phone_by_Sentiment!G$2:G$37,"",0,1)),_xlfn.XLOOKUP($C452,Phone_by_Sentiment!$B$2:$B$37,Phone_by_Sentiment!G$2:G$37,"",0,1),0),$A452-TEXT(DATEVALUE($D452&amp;"-01"), "dd-mm-yyyy")),0),0)</f>
        <v>0</v>
      </c>
      <c r="H452" cm="1">
        <f t="array" ref="H452">IF($Q452&gt;=0,IFERROR(generateSalesData($D452, IF(ISNUMBER(_xlfn.XLOOKUP($C452,Phone_by_Sentiment!$B$2:$B$37,Phone_by_Sentiment!H$2:H$37,"",0,1)),_xlfn.XLOOKUP($C452,Phone_by_Sentiment!$B$2:$B$37,Phone_by_Sentiment!H$2:H$37,"",0,1),0),$A452-TEXT(DATEVALUE($D452&amp;"-01"), "dd-mm-yyyy")),0),0)</f>
        <v>0</v>
      </c>
      <c r="I452" cm="1">
        <f t="array" ref="I452">IF($Q452&gt;=0,IFERROR(generateSalesData($D452, IF(ISNUMBER(_xlfn.XLOOKUP($C452,Phone_by_Sentiment!$B$2:$B$37,Phone_by_Sentiment!I$2:I$37,"",0,1)),_xlfn.XLOOKUP($C452,Phone_by_Sentiment!$B$2:$B$37,Phone_by_Sentiment!I$2:I$37,"",0,1),0),$A452-TEXT(DATEVALUE($D452&amp;"-01"), "dd-mm-yyyy")),0),0)</f>
        <v>0</v>
      </c>
      <c r="J452" cm="1">
        <f t="array" ref="J452">IF($Q452&gt;=0,IFERROR(generateSalesData($D452, IF(ISNUMBER(_xlfn.XLOOKUP($C452,Phone_by_Sentiment!$B$2:$B$37,Phone_by_Sentiment!J$2:J$37,"",0,1)),_xlfn.XLOOKUP($C452,Phone_by_Sentiment!$B$2:$B$37,Phone_by_Sentiment!J$2:J$37,"",0,1),0),$A452-TEXT(DATEVALUE($D452&amp;"-01"), "dd-mm-yyyy")),0),0)</f>
        <v>0</v>
      </c>
      <c r="K452" cm="1">
        <f t="array" ref="K452">IF($Q452&gt;=0,IFERROR(generateSalesData($D452, IF(ISNUMBER(_xlfn.XLOOKUP($C452,Phone_by_Sentiment!$B$2:$B$37,Phone_by_Sentiment!K$2:K$37,"",0,1)),_xlfn.XLOOKUP($C452,Phone_by_Sentiment!$B$2:$B$37,Phone_by_Sentiment!K$2:K$37,"",0,1),0),$A452-TEXT(DATEVALUE($D452&amp;"-01"), "dd-mm-yyyy")),0),0)</f>
        <v>0</v>
      </c>
      <c r="L452" cm="1">
        <f t="array" ref="L452">IF($Q452&gt;=0,IFERROR(generateSalesData($D452, IF(ISNUMBER(_xlfn.XLOOKUP($C452,Phone_by_Sentiment!$B$2:$B$37,Phone_by_Sentiment!L$2:L$37,"",0,1)),_xlfn.XLOOKUP($C452,Phone_by_Sentiment!$B$2:$B$37,Phone_by_Sentiment!L$2:L$37,"",0,1),0),$A452-TEXT(DATEVALUE($D452&amp;"-01"), "dd-mm-yyyy")),0),0)</f>
        <v>0</v>
      </c>
      <c r="M452" cm="1">
        <f t="array" ref="M452">IF($Q452&gt;=0,IFERROR(generateSalesData($D452, IF(ISNUMBER(_xlfn.XLOOKUP($C452,Phone_by_Sentiment!$B$2:$B$37,Phone_by_Sentiment!M$2:M$37,"",0,1)),_xlfn.XLOOKUP($C452,Phone_by_Sentiment!$B$2:$B$37,Phone_by_Sentiment!M$2:M$37,"",0,1),0),$A452-TEXT(DATEVALUE($D452&amp;"-01"), "dd-mm-yyyy")),0),0)</f>
        <v>0</v>
      </c>
      <c r="N452" cm="1">
        <f t="array" ref="N452">IF($Q452&gt;=0,IFERROR(generateSalesData($D452, IF(ISNUMBER(_xlfn.XLOOKUP($C452,Phone_by_Sentiment!$B$2:$B$37,Phone_by_Sentiment!N$2:N$37,"",0,1)),_xlfn.XLOOKUP($C452,Phone_by_Sentiment!$B$2:$B$37,Phone_by_Sentiment!N$2:N$37,"",0,1),0),$A452-TEXT(DATEVALUE($D452&amp;"-01"), "dd-mm-yyyy")),0),0)</f>
        <v>0</v>
      </c>
      <c r="O452" cm="1">
        <f t="array" ref="O452">IF($Q452&gt;=0,IFERROR(generateSalesData($D452, IF(ISNUMBER(_xlfn.XLOOKUP($C452,Phone_by_Sentiment!$B$2:$B$37,Phone_by_Sentiment!O$2:O$37,"",0,1)),_xlfn.XLOOKUP($C452,Phone_by_Sentiment!$B$2:$B$37,Phone_by_Sentiment!O$2:O$37,"",0,1),0),$A452-TEXT(DATEVALUE($D452&amp;"-01"), "dd-mm-yyyy")),0),0)</f>
        <v>0</v>
      </c>
      <c r="P452" s="1">
        <f t="shared" ref="P452:P515" si="19">DATEVALUE($D452&amp;"-01")</f>
        <v>44044</v>
      </c>
      <c r="Q452">
        <f t="shared" ref="Q452:Q515" si="20">A452-P452</f>
        <v>-213</v>
      </c>
    </row>
    <row r="453" spans="1:17" x14ac:dyDescent="0.25">
      <c r="A453" s="1">
        <f t="shared" si="18"/>
        <v>43831</v>
      </c>
      <c r="B453" t="s">
        <v>163</v>
      </c>
      <c r="C453" t="str">
        <f>_xlfn.XLOOKUP(B453,Phone_by_Price!$A$2:$A$34,Phone_by_Price!$B$2:$B$34,"-",0,1)</f>
        <v>OPPO A93</v>
      </c>
      <c r="D453" t="str">
        <f>_xlfn.XLOOKUP(C453,Phone_by_Sentiment!$B$2:$B$37,Phone_by_Sentiment!$A$2:$A$37,"-",0,1)</f>
        <v>2021-02</v>
      </c>
      <c r="E453" cm="1">
        <f t="array" ref="E453">IF($Q453&gt;=0,IFERROR(generateSalesData($D453, IF(ISNUMBER(_xlfn.XLOOKUP($C453,Phone_by_Sentiment!$B$2:$B$37,Phone_by_Sentiment!E$2:E$37,"",0,1)),_xlfn.XLOOKUP($C453,Phone_by_Sentiment!$B$2:$B$37,Phone_by_Sentiment!E$2:E$37,"",0,1),0),$A453-TEXT(DATEVALUE($D453&amp;"-01"), "dd-mm-yyyy")),0),0)</f>
        <v>0</v>
      </c>
      <c r="F453" cm="1">
        <f t="array" ref="F453">IF($Q453&gt;=0,IFERROR(generateSalesData($D453, IF(ISNUMBER(_xlfn.XLOOKUP($C453,Phone_by_Sentiment!$B$2:$B$37,Phone_by_Sentiment!F$2:F$37,"",0,1)),_xlfn.XLOOKUP($C453,Phone_by_Sentiment!$B$2:$B$37,Phone_by_Sentiment!F$2:F$37,"",0,1),0),$A453-TEXT(DATEVALUE($D453&amp;"-01"), "dd-mm-yyyy")),0),0)</f>
        <v>0</v>
      </c>
      <c r="G453" cm="1">
        <f t="array" ref="G453">IF($Q453&gt;=0,IFERROR(generateSalesData($D453, IF(ISNUMBER(_xlfn.XLOOKUP($C453,Phone_by_Sentiment!$B$2:$B$37,Phone_by_Sentiment!G$2:G$37,"",0,1)),_xlfn.XLOOKUP($C453,Phone_by_Sentiment!$B$2:$B$37,Phone_by_Sentiment!G$2:G$37,"",0,1),0),$A453-TEXT(DATEVALUE($D453&amp;"-01"), "dd-mm-yyyy")),0),0)</f>
        <v>0</v>
      </c>
      <c r="H453" cm="1">
        <f t="array" ref="H453">IF($Q453&gt;=0,IFERROR(generateSalesData($D453, IF(ISNUMBER(_xlfn.XLOOKUP($C453,Phone_by_Sentiment!$B$2:$B$37,Phone_by_Sentiment!H$2:H$37,"",0,1)),_xlfn.XLOOKUP($C453,Phone_by_Sentiment!$B$2:$B$37,Phone_by_Sentiment!H$2:H$37,"",0,1),0),$A453-TEXT(DATEVALUE($D453&amp;"-01"), "dd-mm-yyyy")),0),0)</f>
        <v>0</v>
      </c>
      <c r="I453" cm="1">
        <f t="array" ref="I453">IF($Q453&gt;=0,IFERROR(generateSalesData($D453, IF(ISNUMBER(_xlfn.XLOOKUP($C453,Phone_by_Sentiment!$B$2:$B$37,Phone_by_Sentiment!I$2:I$37,"",0,1)),_xlfn.XLOOKUP($C453,Phone_by_Sentiment!$B$2:$B$37,Phone_by_Sentiment!I$2:I$37,"",0,1),0),$A453-TEXT(DATEVALUE($D453&amp;"-01"), "dd-mm-yyyy")),0),0)</f>
        <v>0</v>
      </c>
      <c r="J453" cm="1">
        <f t="array" ref="J453">IF($Q453&gt;=0,IFERROR(generateSalesData($D453, IF(ISNUMBER(_xlfn.XLOOKUP($C453,Phone_by_Sentiment!$B$2:$B$37,Phone_by_Sentiment!J$2:J$37,"",0,1)),_xlfn.XLOOKUP($C453,Phone_by_Sentiment!$B$2:$B$37,Phone_by_Sentiment!J$2:J$37,"",0,1),0),$A453-TEXT(DATEVALUE($D453&amp;"-01"), "dd-mm-yyyy")),0),0)</f>
        <v>0</v>
      </c>
      <c r="K453" cm="1">
        <f t="array" ref="K453">IF($Q453&gt;=0,IFERROR(generateSalesData($D453, IF(ISNUMBER(_xlfn.XLOOKUP($C453,Phone_by_Sentiment!$B$2:$B$37,Phone_by_Sentiment!K$2:K$37,"",0,1)),_xlfn.XLOOKUP($C453,Phone_by_Sentiment!$B$2:$B$37,Phone_by_Sentiment!K$2:K$37,"",0,1),0),$A453-TEXT(DATEVALUE($D453&amp;"-01"), "dd-mm-yyyy")),0),0)</f>
        <v>0</v>
      </c>
      <c r="L453" cm="1">
        <f t="array" ref="L453">IF($Q453&gt;=0,IFERROR(generateSalesData($D453, IF(ISNUMBER(_xlfn.XLOOKUP($C453,Phone_by_Sentiment!$B$2:$B$37,Phone_by_Sentiment!L$2:L$37,"",0,1)),_xlfn.XLOOKUP($C453,Phone_by_Sentiment!$B$2:$B$37,Phone_by_Sentiment!L$2:L$37,"",0,1),0),$A453-TEXT(DATEVALUE($D453&amp;"-01"), "dd-mm-yyyy")),0),0)</f>
        <v>0</v>
      </c>
      <c r="M453" cm="1">
        <f t="array" ref="M453">IF($Q453&gt;=0,IFERROR(generateSalesData($D453, IF(ISNUMBER(_xlfn.XLOOKUP($C453,Phone_by_Sentiment!$B$2:$B$37,Phone_by_Sentiment!M$2:M$37,"",0,1)),_xlfn.XLOOKUP($C453,Phone_by_Sentiment!$B$2:$B$37,Phone_by_Sentiment!M$2:M$37,"",0,1),0),$A453-TEXT(DATEVALUE($D453&amp;"-01"), "dd-mm-yyyy")),0),0)</f>
        <v>0</v>
      </c>
      <c r="N453" cm="1">
        <f t="array" ref="N453">IF($Q453&gt;=0,IFERROR(generateSalesData($D453, IF(ISNUMBER(_xlfn.XLOOKUP($C453,Phone_by_Sentiment!$B$2:$B$37,Phone_by_Sentiment!N$2:N$37,"",0,1)),_xlfn.XLOOKUP($C453,Phone_by_Sentiment!$B$2:$B$37,Phone_by_Sentiment!N$2:N$37,"",0,1),0),$A453-TEXT(DATEVALUE($D453&amp;"-01"), "dd-mm-yyyy")),0),0)</f>
        <v>0</v>
      </c>
      <c r="O453" cm="1">
        <f t="array" ref="O453">IF($Q453&gt;=0,IFERROR(generateSalesData($D453, IF(ISNUMBER(_xlfn.XLOOKUP($C453,Phone_by_Sentiment!$B$2:$B$37,Phone_by_Sentiment!O$2:O$37,"",0,1)),_xlfn.XLOOKUP($C453,Phone_by_Sentiment!$B$2:$B$37,Phone_by_Sentiment!O$2:O$37,"",0,1),0),$A453-TEXT(DATEVALUE($D453&amp;"-01"), "dd-mm-yyyy")),0),0)</f>
        <v>0</v>
      </c>
      <c r="P453" s="1">
        <f t="shared" si="19"/>
        <v>44228</v>
      </c>
      <c r="Q453">
        <f t="shared" si="20"/>
        <v>-397</v>
      </c>
    </row>
    <row r="454" spans="1:17" x14ac:dyDescent="0.25">
      <c r="A454" s="1">
        <f t="shared" si="18"/>
        <v>43831</v>
      </c>
      <c r="B454" t="s">
        <v>164</v>
      </c>
      <c r="C454" t="str">
        <f>_xlfn.XLOOKUP(B454,Phone_by_Price!$A$2:$A$34,Phone_by_Price!$B$2:$B$34,"-",0,1)</f>
        <v>Vivo V20</v>
      </c>
      <c r="D454" t="str">
        <f>_xlfn.XLOOKUP(C454,Phone_by_Sentiment!$B$2:$B$37,Phone_by_Sentiment!$A$2:$A$37,"-",0,1)</f>
        <v>2020-10</v>
      </c>
      <c r="E454" cm="1">
        <f t="array" ref="E454">IF($Q454&gt;=0,IFERROR(generateSalesData($D454, IF(ISNUMBER(_xlfn.XLOOKUP($C454,Phone_by_Sentiment!$B$2:$B$37,Phone_by_Sentiment!E$2:E$37,"",0,1)),_xlfn.XLOOKUP($C454,Phone_by_Sentiment!$B$2:$B$37,Phone_by_Sentiment!E$2:E$37,"",0,1),0),$A454-TEXT(DATEVALUE($D454&amp;"-01"), "dd-mm-yyyy")),0),0)</f>
        <v>0</v>
      </c>
      <c r="F454" cm="1">
        <f t="array" ref="F454">IF($Q454&gt;=0,IFERROR(generateSalesData($D454, IF(ISNUMBER(_xlfn.XLOOKUP($C454,Phone_by_Sentiment!$B$2:$B$37,Phone_by_Sentiment!F$2:F$37,"",0,1)),_xlfn.XLOOKUP($C454,Phone_by_Sentiment!$B$2:$B$37,Phone_by_Sentiment!F$2:F$37,"",0,1),0),$A454-TEXT(DATEVALUE($D454&amp;"-01"), "dd-mm-yyyy")),0),0)</f>
        <v>0</v>
      </c>
      <c r="G454" cm="1">
        <f t="array" ref="G454">IF($Q454&gt;=0,IFERROR(generateSalesData($D454, IF(ISNUMBER(_xlfn.XLOOKUP($C454,Phone_by_Sentiment!$B$2:$B$37,Phone_by_Sentiment!G$2:G$37,"",0,1)),_xlfn.XLOOKUP($C454,Phone_by_Sentiment!$B$2:$B$37,Phone_by_Sentiment!G$2:G$37,"",0,1),0),$A454-TEXT(DATEVALUE($D454&amp;"-01"), "dd-mm-yyyy")),0),0)</f>
        <v>0</v>
      </c>
      <c r="H454" cm="1">
        <f t="array" ref="H454">IF($Q454&gt;=0,IFERROR(generateSalesData($D454, IF(ISNUMBER(_xlfn.XLOOKUP($C454,Phone_by_Sentiment!$B$2:$B$37,Phone_by_Sentiment!H$2:H$37,"",0,1)),_xlfn.XLOOKUP($C454,Phone_by_Sentiment!$B$2:$B$37,Phone_by_Sentiment!H$2:H$37,"",0,1),0),$A454-TEXT(DATEVALUE($D454&amp;"-01"), "dd-mm-yyyy")),0),0)</f>
        <v>0</v>
      </c>
      <c r="I454" cm="1">
        <f t="array" ref="I454">IF($Q454&gt;=0,IFERROR(generateSalesData($D454, IF(ISNUMBER(_xlfn.XLOOKUP($C454,Phone_by_Sentiment!$B$2:$B$37,Phone_by_Sentiment!I$2:I$37,"",0,1)),_xlfn.XLOOKUP($C454,Phone_by_Sentiment!$B$2:$B$37,Phone_by_Sentiment!I$2:I$37,"",0,1),0),$A454-TEXT(DATEVALUE($D454&amp;"-01"), "dd-mm-yyyy")),0),0)</f>
        <v>0</v>
      </c>
      <c r="J454" cm="1">
        <f t="array" ref="J454">IF($Q454&gt;=0,IFERROR(generateSalesData($D454, IF(ISNUMBER(_xlfn.XLOOKUP($C454,Phone_by_Sentiment!$B$2:$B$37,Phone_by_Sentiment!J$2:J$37,"",0,1)),_xlfn.XLOOKUP($C454,Phone_by_Sentiment!$B$2:$B$37,Phone_by_Sentiment!J$2:J$37,"",0,1),0),$A454-TEXT(DATEVALUE($D454&amp;"-01"), "dd-mm-yyyy")),0),0)</f>
        <v>0</v>
      </c>
      <c r="K454" cm="1">
        <f t="array" ref="K454">IF($Q454&gt;=0,IFERROR(generateSalesData($D454, IF(ISNUMBER(_xlfn.XLOOKUP($C454,Phone_by_Sentiment!$B$2:$B$37,Phone_by_Sentiment!K$2:K$37,"",0,1)),_xlfn.XLOOKUP($C454,Phone_by_Sentiment!$B$2:$B$37,Phone_by_Sentiment!K$2:K$37,"",0,1),0),$A454-TEXT(DATEVALUE($D454&amp;"-01"), "dd-mm-yyyy")),0),0)</f>
        <v>0</v>
      </c>
      <c r="L454" cm="1">
        <f t="array" ref="L454">IF($Q454&gt;=0,IFERROR(generateSalesData($D454, IF(ISNUMBER(_xlfn.XLOOKUP($C454,Phone_by_Sentiment!$B$2:$B$37,Phone_by_Sentiment!L$2:L$37,"",0,1)),_xlfn.XLOOKUP($C454,Phone_by_Sentiment!$B$2:$B$37,Phone_by_Sentiment!L$2:L$37,"",0,1),0),$A454-TEXT(DATEVALUE($D454&amp;"-01"), "dd-mm-yyyy")),0),0)</f>
        <v>0</v>
      </c>
      <c r="M454" cm="1">
        <f t="array" ref="M454">IF($Q454&gt;=0,IFERROR(generateSalesData($D454, IF(ISNUMBER(_xlfn.XLOOKUP($C454,Phone_by_Sentiment!$B$2:$B$37,Phone_by_Sentiment!M$2:M$37,"",0,1)),_xlfn.XLOOKUP($C454,Phone_by_Sentiment!$B$2:$B$37,Phone_by_Sentiment!M$2:M$37,"",0,1),0),$A454-TEXT(DATEVALUE($D454&amp;"-01"), "dd-mm-yyyy")),0),0)</f>
        <v>0</v>
      </c>
      <c r="N454" cm="1">
        <f t="array" ref="N454">IF($Q454&gt;=0,IFERROR(generateSalesData($D454, IF(ISNUMBER(_xlfn.XLOOKUP($C454,Phone_by_Sentiment!$B$2:$B$37,Phone_by_Sentiment!N$2:N$37,"",0,1)),_xlfn.XLOOKUP($C454,Phone_by_Sentiment!$B$2:$B$37,Phone_by_Sentiment!N$2:N$37,"",0,1),0),$A454-TEXT(DATEVALUE($D454&amp;"-01"), "dd-mm-yyyy")),0),0)</f>
        <v>0</v>
      </c>
      <c r="O454" cm="1">
        <f t="array" ref="O454">IF($Q454&gt;=0,IFERROR(generateSalesData($D454, IF(ISNUMBER(_xlfn.XLOOKUP($C454,Phone_by_Sentiment!$B$2:$B$37,Phone_by_Sentiment!O$2:O$37,"",0,1)),_xlfn.XLOOKUP($C454,Phone_by_Sentiment!$B$2:$B$37,Phone_by_Sentiment!O$2:O$37,"",0,1),0),$A454-TEXT(DATEVALUE($D454&amp;"-01"), "dd-mm-yyyy")),0),0)</f>
        <v>0</v>
      </c>
      <c r="P454" s="1">
        <f t="shared" si="19"/>
        <v>44105</v>
      </c>
      <c r="Q454">
        <f t="shared" si="20"/>
        <v>-274</v>
      </c>
    </row>
    <row r="455" spans="1:17" x14ac:dyDescent="0.25">
      <c r="A455" s="1">
        <f t="shared" si="18"/>
        <v>43831</v>
      </c>
      <c r="B455" t="s">
        <v>165</v>
      </c>
      <c r="C455" t="str">
        <f>_xlfn.XLOOKUP(B455,Phone_by_Price!$A$2:$A$34,Phone_by_Price!$B$2:$B$34,"-",0,1)</f>
        <v>Samsung Galaxy A50</v>
      </c>
      <c r="D455" t="str">
        <f>_xlfn.XLOOKUP(C455,Phone_by_Sentiment!$B$2:$B$37,Phone_by_Sentiment!$A$2:$A$37,"-",0,1)</f>
        <v>2019-05</v>
      </c>
      <c r="E455" cm="1">
        <f t="array" ref="E455">IF($Q455&gt;=0,IFERROR(generateSalesData($D455, IF(ISNUMBER(_xlfn.XLOOKUP($C455,Phone_by_Sentiment!$B$2:$B$37,Phone_by_Sentiment!E$2:E$37,"",0,1)),_xlfn.XLOOKUP($C455,Phone_by_Sentiment!$B$2:$B$37,Phone_by_Sentiment!E$2:E$37,"",0,1),0),$A455-TEXT(DATEVALUE($D455&amp;"-01"), "dd-mm-yyyy")),0),0)</f>
        <v>919</v>
      </c>
      <c r="F455" cm="1">
        <f t="array" ref="F455">IF($Q455&gt;=0,IFERROR(generateSalesData($D455, IF(ISNUMBER(_xlfn.XLOOKUP($C455,Phone_by_Sentiment!$B$2:$B$37,Phone_by_Sentiment!F$2:F$37,"",0,1)),_xlfn.XLOOKUP($C455,Phone_by_Sentiment!$B$2:$B$37,Phone_by_Sentiment!F$2:F$37,"",0,1),0),$A455-TEXT(DATEVALUE($D455&amp;"-01"), "dd-mm-yyyy")),0),0)</f>
        <v>306</v>
      </c>
      <c r="G455" cm="1">
        <f t="array" ref="G455">IF($Q455&gt;=0,IFERROR(generateSalesData($D455, IF(ISNUMBER(_xlfn.XLOOKUP($C455,Phone_by_Sentiment!$B$2:$B$37,Phone_by_Sentiment!G$2:G$37,"",0,1)),_xlfn.XLOOKUP($C455,Phone_by_Sentiment!$B$2:$B$37,Phone_by_Sentiment!G$2:G$37,"",0,1),0),$A455-TEXT(DATEVALUE($D455&amp;"-01"), "dd-mm-yyyy")),0),0)</f>
        <v>415</v>
      </c>
      <c r="H455" cm="1">
        <f t="array" ref="H455">IF($Q455&gt;=0,IFERROR(generateSalesData($D455, IF(ISNUMBER(_xlfn.XLOOKUP($C455,Phone_by_Sentiment!$B$2:$B$37,Phone_by_Sentiment!H$2:H$37,"",0,1)),_xlfn.XLOOKUP($C455,Phone_by_Sentiment!$B$2:$B$37,Phone_by_Sentiment!H$2:H$37,"",0,1),0),$A455-TEXT(DATEVALUE($D455&amp;"-01"), "dd-mm-yyyy")),0),0)</f>
        <v>348</v>
      </c>
      <c r="I455" cm="1">
        <f t="array" ref="I455">IF($Q455&gt;=0,IFERROR(generateSalesData($D455, IF(ISNUMBER(_xlfn.XLOOKUP($C455,Phone_by_Sentiment!$B$2:$B$37,Phone_by_Sentiment!I$2:I$37,"",0,1)),_xlfn.XLOOKUP($C455,Phone_by_Sentiment!$B$2:$B$37,Phone_by_Sentiment!I$2:I$37,"",0,1),0),$A455-TEXT(DATEVALUE($D455&amp;"-01"), "dd-mm-yyyy")),0),0)</f>
        <v>1024</v>
      </c>
      <c r="J455" cm="1">
        <f t="array" ref="J455">IF($Q455&gt;=0,IFERROR(generateSalesData($D455, IF(ISNUMBER(_xlfn.XLOOKUP($C455,Phone_by_Sentiment!$B$2:$B$37,Phone_by_Sentiment!J$2:J$37,"",0,1)),_xlfn.XLOOKUP($C455,Phone_by_Sentiment!$B$2:$B$37,Phone_by_Sentiment!J$2:J$37,"",0,1),0),$A455-TEXT(DATEVALUE($D455&amp;"-01"), "dd-mm-yyyy")),0),0)</f>
        <v>220</v>
      </c>
      <c r="K455" cm="1">
        <f t="array" ref="K455">IF($Q455&gt;=0,IFERROR(generateSalesData($D455, IF(ISNUMBER(_xlfn.XLOOKUP($C455,Phone_by_Sentiment!$B$2:$B$37,Phone_by_Sentiment!K$2:K$37,"",0,1)),_xlfn.XLOOKUP($C455,Phone_by_Sentiment!$B$2:$B$37,Phone_by_Sentiment!K$2:K$37,"",0,1),0),$A455-TEXT(DATEVALUE($D455&amp;"-01"), "dd-mm-yyyy")),0),0)</f>
        <v>271</v>
      </c>
      <c r="L455" cm="1">
        <f t="array" ref="L455">IF($Q455&gt;=0,IFERROR(generateSalesData($D455, IF(ISNUMBER(_xlfn.XLOOKUP($C455,Phone_by_Sentiment!$B$2:$B$37,Phone_by_Sentiment!L$2:L$37,"",0,1)),_xlfn.XLOOKUP($C455,Phone_by_Sentiment!$B$2:$B$37,Phone_by_Sentiment!L$2:L$37,"",0,1),0),$A455-TEXT(DATEVALUE($D455&amp;"-01"), "dd-mm-yyyy")),0),0)</f>
        <v>1322</v>
      </c>
      <c r="M455" cm="1">
        <f t="array" ref="M455">IF($Q455&gt;=0,IFERROR(generateSalesData($D455, IF(ISNUMBER(_xlfn.XLOOKUP($C455,Phone_by_Sentiment!$B$2:$B$37,Phone_by_Sentiment!M$2:M$37,"",0,1)),_xlfn.XLOOKUP($C455,Phone_by_Sentiment!$B$2:$B$37,Phone_by_Sentiment!M$2:M$37,"",0,1),0),$A455-TEXT(DATEVALUE($D455&amp;"-01"), "dd-mm-yyyy")),0),0)</f>
        <v>297</v>
      </c>
      <c r="N455" cm="1">
        <f t="array" ref="N455">IF($Q455&gt;=0,IFERROR(generateSalesData($D455, IF(ISNUMBER(_xlfn.XLOOKUP($C455,Phone_by_Sentiment!$B$2:$B$37,Phone_by_Sentiment!N$2:N$37,"",0,1)),_xlfn.XLOOKUP($C455,Phone_by_Sentiment!$B$2:$B$37,Phone_by_Sentiment!N$2:N$37,"",0,1),0),$A455-TEXT(DATEVALUE($D455&amp;"-01"), "dd-mm-yyyy")),0),0)</f>
        <v>1216</v>
      </c>
      <c r="O455" cm="1">
        <f t="array" ref="O455">IF($Q455&gt;=0,IFERROR(generateSalesData($D455, IF(ISNUMBER(_xlfn.XLOOKUP($C455,Phone_by_Sentiment!$B$2:$B$37,Phone_by_Sentiment!O$2:O$37,"",0,1)),_xlfn.XLOOKUP($C455,Phone_by_Sentiment!$B$2:$B$37,Phone_by_Sentiment!O$2:O$37,"",0,1),0),$A455-TEXT(DATEVALUE($D455&amp;"-01"), "dd-mm-yyyy")),0),0)</f>
        <v>1058</v>
      </c>
      <c r="P455" s="1">
        <f t="shared" si="19"/>
        <v>43586</v>
      </c>
      <c r="Q455">
        <f t="shared" si="20"/>
        <v>245</v>
      </c>
    </row>
    <row r="456" spans="1:17" x14ac:dyDescent="0.25">
      <c r="A456" s="1">
        <f t="shared" si="18"/>
        <v>43862</v>
      </c>
      <c r="B456" t="s">
        <v>166</v>
      </c>
      <c r="C456" t="str">
        <f>_xlfn.XLOOKUP(B456,Phone_by_Price!$A$2:$A$34,Phone_by_Price!$B$2:$B$34,"-",0,1)</f>
        <v>Xiaomi Redmi Note 7</v>
      </c>
      <c r="D456" t="str">
        <f>_xlfn.XLOOKUP(C456,Phone_by_Sentiment!$B$2:$B$37,Phone_by_Sentiment!$A$2:$A$37,"-",0,1)</f>
        <v>2019-08</v>
      </c>
      <c r="E456" cm="1">
        <f t="array" ref="E456">IF($Q456&gt;=0,IFERROR(generateSalesData($D456, IF(ISNUMBER(_xlfn.XLOOKUP($C456,Phone_by_Sentiment!$B$2:$B$37,Phone_by_Sentiment!E$2:E$37,"",0,1)),_xlfn.XLOOKUP($C456,Phone_by_Sentiment!$B$2:$B$37,Phone_by_Sentiment!E$2:E$37,"",0,1),0),$A456-TEXT(DATEVALUE($D456&amp;"-01"), "dd-mm-yyyy")),0),0)</f>
        <v>638</v>
      </c>
      <c r="F456" cm="1">
        <f t="array" ref="F456">IF($Q456&gt;=0,IFERROR(generateSalesData($D456, IF(ISNUMBER(_xlfn.XLOOKUP($C456,Phone_by_Sentiment!$B$2:$B$37,Phone_by_Sentiment!F$2:F$37,"",0,1)),_xlfn.XLOOKUP($C456,Phone_by_Sentiment!$B$2:$B$37,Phone_by_Sentiment!F$2:F$37,"",0,1),0),$A456-TEXT(DATEVALUE($D456&amp;"-01"), "dd-mm-yyyy")),0),0)</f>
        <v>191</v>
      </c>
      <c r="G456" cm="1">
        <f t="array" ref="G456">IF($Q456&gt;=0,IFERROR(generateSalesData($D456, IF(ISNUMBER(_xlfn.XLOOKUP($C456,Phone_by_Sentiment!$B$2:$B$37,Phone_by_Sentiment!G$2:G$37,"",0,1)),_xlfn.XLOOKUP($C456,Phone_by_Sentiment!$B$2:$B$37,Phone_by_Sentiment!G$2:G$37,"",0,1),0),$A456-TEXT(DATEVALUE($D456&amp;"-01"), "dd-mm-yyyy")),0),0)</f>
        <v>448</v>
      </c>
      <c r="H456" cm="1">
        <f t="array" ref="H456">IF($Q456&gt;=0,IFERROR(generateSalesData($D456, IF(ISNUMBER(_xlfn.XLOOKUP($C456,Phone_by_Sentiment!$B$2:$B$37,Phone_by_Sentiment!H$2:H$37,"",0,1)),_xlfn.XLOOKUP($C456,Phone_by_Sentiment!$B$2:$B$37,Phone_by_Sentiment!H$2:H$37,"",0,1),0),$A456-TEXT(DATEVALUE($D456&amp;"-01"), "dd-mm-yyyy")),0),0)</f>
        <v>1227</v>
      </c>
      <c r="I456" cm="1">
        <f t="array" ref="I456">IF($Q456&gt;=0,IFERROR(generateSalesData($D456, IF(ISNUMBER(_xlfn.XLOOKUP($C456,Phone_by_Sentiment!$B$2:$B$37,Phone_by_Sentiment!I$2:I$37,"",0,1)),_xlfn.XLOOKUP($C456,Phone_by_Sentiment!$B$2:$B$37,Phone_by_Sentiment!I$2:I$37,"",0,1),0),$A456-TEXT(DATEVALUE($D456&amp;"-01"), "dd-mm-yyyy")),0),0)</f>
        <v>631</v>
      </c>
      <c r="J456" cm="1">
        <f t="array" ref="J456">IF($Q456&gt;=0,IFERROR(generateSalesData($D456, IF(ISNUMBER(_xlfn.XLOOKUP($C456,Phone_by_Sentiment!$B$2:$B$37,Phone_by_Sentiment!J$2:J$37,"",0,1)),_xlfn.XLOOKUP($C456,Phone_by_Sentiment!$B$2:$B$37,Phone_by_Sentiment!J$2:J$37,"",0,1),0),$A456-TEXT(DATEVALUE($D456&amp;"-01"), "dd-mm-yyyy")),0),0)</f>
        <v>372</v>
      </c>
      <c r="K456" cm="1">
        <f t="array" ref="K456">IF($Q456&gt;=0,IFERROR(generateSalesData($D456, IF(ISNUMBER(_xlfn.XLOOKUP($C456,Phone_by_Sentiment!$B$2:$B$37,Phone_by_Sentiment!K$2:K$37,"",0,1)),_xlfn.XLOOKUP($C456,Phone_by_Sentiment!$B$2:$B$37,Phone_by_Sentiment!K$2:K$37,"",0,1),0),$A456-TEXT(DATEVALUE($D456&amp;"-01"), "dd-mm-yyyy")),0),0)</f>
        <v>1213</v>
      </c>
      <c r="L456" cm="1">
        <f t="array" ref="L456">IF($Q456&gt;=0,IFERROR(generateSalesData($D456, IF(ISNUMBER(_xlfn.XLOOKUP($C456,Phone_by_Sentiment!$B$2:$B$37,Phone_by_Sentiment!L$2:L$37,"",0,1)),_xlfn.XLOOKUP($C456,Phone_by_Sentiment!$B$2:$B$37,Phone_by_Sentiment!L$2:L$37,"",0,1),0),$A456-TEXT(DATEVALUE($D456&amp;"-01"), "dd-mm-yyyy")),0),0)</f>
        <v>543</v>
      </c>
      <c r="M456" cm="1">
        <f t="array" ref="M456">IF($Q456&gt;=0,IFERROR(generateSalesData($D456, IF(ISNUMBER(_xlfn.XLOOKUP($C456,Phone_by_Sentiment!$B$2:$B$37,Phone_by_Sentiment!M$2:M$37,"",0,1)),_xlfn.XLOOKUP($C456,Phone_by_Sentiment!$B$2:$B$37,Phone_by_Sentiment!M$2:M$37,"",0,1),0),$A456-TEXT(DATEVALUE($D456&amp;"-01"), "dd-mm-yyyy")),0),0)</f>
        <v>1384</v>
      </c>
      <c r="N456" cm="1">
        <f t="array" ref="N456">IF($Q456&gt;=0,IFERROR(generateSalesData($D456, IF(ISNUMBER(_xlfn.XLOOKUP($C456,Phone_by_Sentiment!$B$2:$B$37,Phone_by_Sentiment!N$2:N$37,"",0,1)),_xlfn.XLOOKUP($C456,Phone_by_Sentiment!$B$2:$B$37,Phone_by_Sentiment!N$2:N$37,"",0,1),0),$A456-TEXT(DATEVALUE($D456&amp;"-01"), "dd-mm-yyyy")),0),0)</f>
        <v>154</v>
      </c>
      <c r="O456" cm="1">
        <f t="array" ref="O456">IF($Q456&gt;=0,IFERROR(generateSalesData($D456, IF(ISNUMBER(_xlfn.XLOOKUP($C456,Phone_by_Sentiment!$B$2:$B$37,Phone_by_Sentiment!O$2:O$37,"",0,1)),_xlfn.XLOOKUP($C456,Phone_by_Sentiment!$B$2:$B$37,Phone_by_Sentiment!O$2:O$37,"",0,1),0),$A456-TEXT(DATEVALUE($D456&amp;"-01"), "dd-mm-yyyy")),0),0)</f>
        <v>809</v>
      </c>
      <c r="P456" s="1">
        <f t="shared" si="19"/>
        <v>43678</v>
      </c>
      <c r="Q456">
        <f t="shared" si="20"/>
        <v>184</v>
      </c>
    </row>
    <row r="457" spans="1:17" x14ac:dyDescent="0.25">
      <c r="A457" s="1">
        <f t="shared" si="18"/>
        <v>43862</v>
      </c>
      <c r="B457" t="s">
        <v>167</v>
      </c>
      <c r="C457" t="str">
        <f>_xlfn.XLOOKUP(B457,Phone_by_Price!$A$2:$A$34,Phone_by_Price!$B$2:$B$34,"-",0,1)</f>
        <v>Realme C21</v>
      </c>
      <c r="D457" t="str">
        <f>_xlfn.XLOOKUP(C457,Phone_by_Sentiment!$B$2:$B$37,Phone_by_Sentiment!$A$2:$A$37,"-",0,1)</f>
        <v>2021-04</v>
      </c>
      <c r="E457" cm="1">
        <f t="array" ref="E457">IF($Q457&gt;=0,IFERROR(generateSalesData($D457, IF(ISNUMBER(_xlfn.XLOOKUP($C457,Phone_by_Sentiment!$B$2:$B$37,Phone_by_Sentiment!E$2:E$37,"",0,1)),_xlfn.XLOOKUP($C457,Phone_by_Sentiment!$B$2:$B$37,Phone_by_Sentiment!E$2:E$37,"",0,1),0),$A457-TEXT(DATEVALUE($D457&amp;"-01"), "dd-mm-yyyy")),0),0)</f>
        <v>0</v>
      </c>
      <c r="F457" cm="1">
        <f t="array" ref="F457">IF($Q457&gt;=0,IFERROR(generateSalesData($D457, IF(ISNUMBER(_xlfn.XLOOKUP($C457,Phone_by_Sentiment!$B$2:$B$37,Phone_by_Sentiment!F$2:F$37,"",0,1)),_xlfn.XLOOKUP($C457,Phone_by_Sentiment!$B$2:$B$37,Phone_by_Sentiment!F$2:F$37,"",0,1),0),$A457-TEXT(DATEVALUE($D457&amp;"-01"), "dd-mm-yyyy")),0),0)</f>
        <v>0</v>
      </c>
      <c r="G457" cm="1">
        <f t="array" ref="G457">IF($Q457&gt;=0,IFERROR(generateSalesData($D457, IF(ISNUMBER(_xlfn.XLOOKUP($C457,Phone_by_Sentiment!$B$2:$B$37,Phone_by_Sentiment!G$2:G$37,"",0,1)),_xlfn.XLOOKUP($C457,Phone_by_Sentiment!$B$2:$B$37,Phone_by_Sentiment!G$2:G$37,"",0,1),0),$A457-TEXT(DATEVALUE($D457&amp;"-01"), "dd-mm-yyyy")),0),0)</f>
        <v>0</v>
      </c>
      <c r="H457" cm="1">
        <f t="array" ref="H457">IF($Q457&gt;=0,IFERROR(generateSalesData($D457, IF(ISNUMBER(_xlfn.XLOOKUP($C457,Phone_by_Sentiment!$B$2:$B$37,Phone_by_Sentiment!H$2:H$37,"",0,1)),_xlfn.XLOOKUP($C457,Phone_by_Sentiment!$B$2:$B$37,Phone_by_Sentiment!H$2:H$37,"",0,1),0),$A457-TEXT(DATEVALUE($D457&amp;"-01"), "dd-mm-yyyy")),0),0)</f>
        <v>0</v>
      </c>
      <c r="I457" cm="1">
        <f t="array" ref="I457">IF($Q457&gt;=0,IFERROR(generateSalesData($D457, IF(ISNUMBER(_xlfn.XLOOKUP($C457,Phone_by_Sentiment!$B$2:$B$37,Phone_by_Sentiment!I$2:I$37,"",0,1)),_xlfn.XLOOKUP($C457,Phone_by_Sentiment!$B$2:$B$37,Phone_by_Sentiment!I$2:I$37,"",0,1),0),$A457-TEXT(DATEVALUE($D457&amp;"-01"), "dd-mm-yyyy")),0),0)</f>
        <v>0</v>
      </c>
      <c r="J457" cm="1">
        <f t="array" ref="J457">IF($Q457&gt;=0,IFERROR(generateSalesData($D457, IF(ISNUMBER(_xlfn.XLOOKUP($C457,Phone_by_Sentiment!$B$2:$B$37,Phone_by_Sentiment!J$2:J$37,"",0,1)),_xlfn.XLOOKUP($C457,Phone_by_Sentiment!$B$2:$B$37,Phone_by_Sentiment!J$2:J$37,"",0,1),0),$A457-TEXT(DATEVALUE($D457&amp;"-01"), "dd-mm-yyyy")),0),0)</f>
        <v>0</v>
      </c>
      <c r="K457" cm="1">
        <f t="array" ref="K457">IF($Q457&gt;=0,IFERROR(generateSalesData($D457, IF(ISNUMBER(_xlfn.XLOOKUP($C457,Phone_by_Sentiment!$B$2:$B$37,Phone_by_Sentiment!K$2:K$37,"",0,1)),_xlfn.XLOOKUP($C457,Phone_by_Sentiment!$B$2:$B$37,Phone_by_Sentiment!K$2:K$37,"",0,1),0),$A457-TEXT(DATEVALUE($D457&amp;"-01"), "dd-mm-yyyy")),0),0)</f>
        <v>0</v>
      </c>
      <c r="L457" cm="1">
        <f t="array" ref="L457">IF($Q457&gt;=0,IFERROR(generateSalesData($D457, IF(ISNUMBER(_xlfn.XLOOKUP($C457,Phone_by_Sentiment!$B$2:$B$37,Phone_by_Sentiment!L$2:L$37,"",0,1)),_xlfn.XLOOKUP($C457,Phone_by_Sentiment!$B$2:$B$37,Phone_by_Sentiment!L$2:L$37,"",0,1),0),$A457-TEXT(DATEVALUE($D457&amp;"-01"), "dd-mm-yyyy")),0),0)</f>
        <v>0</v>
      </c>
      <c r="M457" cm="1">
        <f t="array" ref="M457">IF($Q457&gt;=0,IFERROR(generateSalesData($D457, IF(ISNUMBER(_xlfn.XLOOKUP($C457,Phone_by_Sentiment!$B$2:$B$37,Phone_by_Sentiment!M$2:M$37,"",0,1)),_xlfn.XLOOKUP($C457,Phone_by_Sentiment!$B$2:$B$37,Phone_by_Sentiment!M$2:M$37,"",0,1),0),$A457-TEXT(DATEVALUE($D457&amp;"-01"), "dd-mm-yyyy")),0),0)</f>
        <v>0</v>
      </c>
      <c r="N457" cm="1">
        <f t="array" ref="N457">IF($Q457&gt;=0,IFERROR(generateSalesData($D457, IF(ISNUMBER(_xlfn.XLOOKUP($C457,Phone_by_Sentiment!$B$2:$B$37,Phone_by_Sentiment!N$2:N$37,"",0,1)),_xlfn.XLOOKUP($C457,Phone_by_Sentiment!$B$2:$B$37,Phone_by_Sentiment!N$2:N$37,"",0,1),0),$A457-TEXT(DATEVALUE($D457&amp;"-01"), "dd-mm-yyyy")),0),0)</f>
        <v>0</v>
      </c>
      <c r="O457" cm="1">
        <f t="array" ref="O457">IF($Q457&gt;=0,IFERROR(generateSalesData($D457, IF(ISNUMBER(_xlfn.XLOOKUP($C457,Phone_by_Sentiment!$B$2:$B$37,Phone_by_Sentiment!O$2:O$37,"",0,1)),_xlfn.XLOOKUP($C457,Phone_by_Sentiment!$B$2:$B$37,Phone_by_Sentiment!O$2:O$37,"",0,1),0),$A457-TEXT(DATEVALUE($D457&amp;"-01"), "dd-mm-yyyy")),0),0)</f>
        <v>0</v>
      </c>
      <c r="P457" s="1">
        <f t="shared" si="19"/>
        <v>44287</v>
      </c>
      <c r="Q457">
        <f t="shared" si="20"/>
        <v>-425</v>
      </c>
    </row>
    <row r="458" spans="1:17" x14ac:dyDescent="0.25">
      <c r="A458" s="1">
        <f t="shared" si="18"/>
        <v>43862</v>
      </c>
      <c r="B458" t="s">
        <v>168</v>
      </c>
      <c r="C458" t="str">
        <f>_xlfn.XLOOKUP(B458,Phone_by_Price!$A$2:$A$34,Phone_by_Price!$B$2:$B$34,"-",0,1)</f>
        <v>Google Pixel 4</v>
      </c>
      <c r="D458" t="str">
        <f>_xlfn.XLOOKUP(C458,Phone_by_Sentiment!$B$2:$B$37,Phone_by_Sentiment!$A$2:$A$37,"-",0,1)</f>
        <v>2019-09</v>
      </c>
      <c r="E458" cm="1">
        <f t="array" ref="E458">IF($Q458&gt;=0,IFERROR(generateSalesData($D458, IF(ISNUMBER(_xlfn.XLOOKUP($C458,Phone_by_Sentiment!$B$2:$B$37,Phone_by_Sentiment!E$2:E$37,"",0,1)),_xlfn.XLOOKUP($C458,Phone_by_Sentiment!$B$2:$B$37,Phone_by_Sentiment!E$2:E$37,"",0,1),0),$A458-TEXT(DATEVALUE($D458&amp;"-01"), "dd-mm-yyyy")),0),0)</f>
        <v>1363</v>
      </c>
      <c r="F458" cm="1">
        <f t="array" ref="F458">IF($Q458&gt;=0,IFERROR(generateSalesData($D458, IF(ISNUMBER(_xlfn.XLOOKUP($C458,Phone_by_Sentiment!$B$2:$B$37,Phone_by_Sentiment!F$2:F$37,"",0,1)),_xlfn.XLOOKUP($C458,Phone_by_Sentiment!$B$2:$B$37,Phone_by_Sentiment!F$2:F$37,"",0,1),0),$A458-TEXT(DATEVALUE($D458&amp;"-01"), "dd-mm-yyyy")),0),0)</f>
        <v>254</v>
      </c>
      <c r="G458" cm="1">
        <f t="array" ref="G458">IF($Q458&gt;=0,IFERROR(generateSalesData($D458, IF(ISNUMBER(_xlfn.XLOOKUP($C458,Phone_by_Sentiment!$B$2:$B$37,Phone_by_Sentiment!G$2:G$37,"",0,1)),_xlfn.XLOOKUP($C458,Phone_by_Sentiment!$B$2:$B$37,Phone_by_Sentiment!G$2:G$37,"",0,1),0),$A458-TEXT(DATEVALUE($D458&amp;"-01"), "dd-mm-yyyy")),0),0)</f>
        <v>566</v>
      </c>
      <c r="H458" cm="1">
        <f t="array" ref="H458">IF($Q458&gt;=0,IFERROR(generateSalesData($D458, IF(ISNUMBER(_xlfn.XLOOKUP($C458,Phone_by_Sentiment!$B$2:$B$37,Phone_by_Sentiment!H$2:H$37,"",0,1)),_xlfn.XLOOKUP($C458,Phone_by_Sentiment!$B$2:$B$37,Phone_by_Sentiment!H$2:H$37,"",0,1),0),$A458-TEXT(DATEVALUE($D458&amp;"-01"), "dd-mm-yyyy")),0),0)</f>
        <v>222</v>
      </c>
      <c r="I458" cm="1">
        <f t="array" ref="I458">IF($Q458&gt;=0,IFERROR(generateSalesData($D458, IF(ISNUMBER(_xlfn.XLOOKUP($C458,Phone_by_Sentiment!$B$2:$B$37,Phone_by_Sentiment!I$2:I$37,"",0,1)),_xlfn.XLOOKUP($C458,Phone_by_Sentiment!$B$2:$B$37,Phone_by_Sentiment!I$2:I$37,"",0,1),0),$A458-TEXT(DATEVALUE($D458&amp;"-01"), "dd-mm-yyyy")),0),0)</f>
        <v>822</v>
      </c>
      <c r="J458" cm="1">
        <f t="array" ref="J458">IF($Q458&gt;=0,IFERROR(generateSalesData($D458, IF(ISNUMBER(_xlfn.XLOOKUP($C458,Phone_by_Sentiment!$B$2:$B$37,Phone_by_Sentiment!J$2:J$37,"",0,1)),_xlfn.XLOOKUP($C458,Phone_by_Sentiment!$B$2:$B$37,Phone_by_Sentiment!J$2:J$37,"",0,1),0),$A458-TEXT(DATEVALUE($D458&amp;"-01"), "dd-mm-yyyy")),0),0)</f>
        <v>545</v>
      </c>
      <c r="K458" cm="1">
        <f t="array" ref="K458">IF($Q458&gt;=0,IFERROR(generateSalesData($D458, IF(ISNUMBER(_xlfn.XLOOKUP($C458,Phone_by_Sentiment!$B$2:$B$37,Phone_by_Sentiment!K$2:K$37,"",0,1)),_xlfn.XLOOKUP($C458,Phone_by_Sentiment!$B$2:$B$37,Phone_by_Sentiment!K$2:K$37,"",0,1),0),$A458-TEXT(DATEVALUE($D458&amp;"-01"), "dd-mm-yyyy")),0),0)</f>
        <v>845</v>
      </c>
      <c r="L458" cm="1">
        <f t="array" ref="L458">IF($Q458&gt;=0,IFERROR(generateSalesData($D458, IF(ISNUMBER(_xlfn.XLOOKUP($C458,Phone_by_Sentiment!$B$2:$B$37,Phone_by_Sentiment!L$2:L$37,"",0,1)),_xlfn.XLOOKUP($C458,Phone_by_Sentiment!$B$2:$B$37,Phone_by_Sentiment!L$2:L$37,"",0,1),0),$A458-TEXT(DATEVALUE($D458&amp;"-01"), "dd-mm-yyyy")),0),0)</f>
        <v>2332</v>
      </c>
      <c r="M458" cm="1">
        <f t="array" ref="M458">IF($Q458&gt;=0,IFERROR(generateSalesData($D458, IF(ISNUMBER(_xlfn.XLOOKUP($C458,Phone_by_Sentiment!$B$2:$B$37,Phone_by_Sentiment!M$2:M$37,"",0,1)),_xlfn.XLOOKUP($C458,Phone_by_Sentiment!$B$2:$B$37,Phone_by_Sentiment!M$2:M$37,"",0,1),0),$A458-TEXT(DATEVALUE($D458&amp;"-01"), "dd-mm-yyyy")),0),0)</f>
        <v>276</v>
      </c>
      <c r="N458" cm="1">
        <f t="array" ref="N458">IF($Q458&gt;=0,IFERROR(generateSalesData($D458, IF(ISNUMBER(_xlfn.XLOOKUP($C458,Phone_by_Sentiment!$B$2:$B$37,Phone_by_Sentiment!N$2:N$37,"",0,1)),_xlfn.XLOOKUP($C458,Phone_by_Sentiment!$B$2:$B$37,Phone_by_Sentiment!N$2:N$37,"",0,1),0),$A458-TEXT(DATEVALUE($D458&amp;"-01"), "dd-mm-yyyy")),0),0)</f>
        <v>2808</v>
      </c>
      <c r="O458" cm="1">
        <f t="array" ref="O458">IF($Q458&gt;=0,IFERROR(generateSalesData($D458, IF(ISNUMBER(_xlfn.XLOOKUP($C458,Phone_by_Sentiment!$B$2:$B$37,Phone_by_Sentiment!O$2:O$37,"",0,1)),_xlfn.XLOOKUP($C458,Phone_by_Sentiment!$B$2:$B$37,Phone_by_Sentiment!O$2:O$37,"",0,1),0),$A458-TEXT(DATEVALUE($D458&amp;"-01"), "dd-mm-yyyy")),0),0)</f>
        <v>320</v>
      </c>
      <c r="P458" s="1">
        <f t="shared" si="19"/>
        <v>43709</v>
      </c>
      <c r="Q458">
        <f t="shared" si="20"/>
        <v>153</v>
      </c>
    </row>
    <row r="459" spans="1:17" x14ac:dyDescent="0.25">
      <c r="A459" s="1">
        <f t="shared" si="18"/>
        <v>43862</v>
      </c>
      <c r="B459" t="s">
        <v>169</v>
      </c>
      <c r="C459" t="str">
        <f>_xlfn.XLOOKUP(B459,Phone_by_Price!$A$2:$A$34,Phone_by_Price!$B$2:$B$34,"-",0,1)</f>
        <v>Samsung Galaxy A10s</v>
      </c>
      <c r="D459" t="str">
        <f>_xlfn.XLOOKUP(C459,Phone_by_Sentiment!$B$2:$B$37,Phone_by_Sentiment!$A$2:$A$37,"-",0,1)</f>
        <v>2019-08</v>
      </c>
      <c r="E459" cm="1">
        <f t="array" ref="E459">IF($Q459&gt;=0,IFERROR(generateSalesData($D459, IF(ISNUMBER(_xlfn.XLOOKUP($C459,Phone_by_Sentiment!$B$2:$B$37,Phone_by_Sentiment!E$2:E$37,"",0,1)),_xlfn.XLOOKUP($C459,Phone_by_Sentiment!$B$2:$B$37,Phone_by_Sentiment!E$2:E$37,"",0,1),0),$A459-TEXT(DATEVALUE($D459&amp;"-01"), "dd-mm-yyyy")),0),0)</f>
        <v>231</v>
      </c>
      <c r="F459" cm="1">
        <f t="array" ref="F459">IF($Q459&gt;=0,IFERROR(generateSalesData($D459, IF(ISNUMBER(_xlfn.XLOOKUP($C459,Phone_by_Sentiment!$B$2:$B$37,Phone_by_Sentiment!F$2:F$37,"",0,1)),_xlfn.XLOOKUP($C459,Phone_by_Sentiment!$B$2:$B$37,Phone_by_Sentiment!F$2:F$37,"",0,1),0),$A459-TEXT(DATEVALUE($D459&amp;"-01"), "dd-mm-yyyy")),0),0)</f>
        <v>-95</v>
      </c>
      <c r="G459" cm="1">
        <f t="array" ref="G459">IF($Q459&gt;=0,IFERROR(generateSalesData($D459, IF(ISNUMBER(_xlfn.XLOOKUP($C459,Phone_by_Sentiment!$B$2:$B$37,Phone_by_Sentiment!G$2:G$37,"",0,1)),_xlfn.XLOOKUP($C459,Phone_by_Sentiment!$B$2:$B$37,Phone_by_Sentiment!G$2:G$37,"",0,1),0),$A459-TEXT(DATEVALUE($D459&amp;"-01"), "dd-mm-yyyy")),0),0)</f>
        <v>366</v>
      </c>
      <c r="H459" cm="1">
        <f t="array" ref="H459">IF($Q459&gt;=0,IFERROR(generateSalesData($D459, IF(ISNUMBER(_xlfn.XLOOKUP($C459,Phone_by_Sentiment!$B$2:$B$37,Phone_by_Sentiment!H$2:H$37,"",0,1)),_xlfn.XLOOKUP($C459,Phone_by_Sentiment!$B$2:$B$37,Phone_by_Sentiment!H$2:H$37,"",0,1),0),$A459-TEXT(DATEVALUE($D459&amp;"-01"), "dd-mm-yyyy")),0),0)</f>
        <v>1277</v>
      </c>
      <c r="I459" cm="1">
        <f t="array" ref="I459">IF($Q459&gt;=0,IFERROR(generateSalesData($D459, IF(ISNUMBER(_xlfn.XLOOKUP($C459,Phone_by_Sentiment!$B$2:$B$37,Phone_by_Sentiment!I$2:I$37,"",0,1)),_xlfn.XLOOKUP($C459,Phone_by_Sentiment!$B$2:$B$37,Phone_by_Sentiment!I$2:I$37,"",0,1),0),$A459-TEXT(DATEVALUE($D459&amp;"-01"), "dd-mm-yyyy")),0),0)</f>
        <v>993</v>
      </c>
      <c r="J459" cm="1">
        <f t="array" ref="J459">IF($Q459&gt;=0,IFERROR(generateSalesData($D459, IF(ISNUMBER(_xlfn.XLOOKUP($C459,Phone_by_Sentiment!$B$2:$B$37,Phone_by_Sentiment!J$2:J$37,"",0,1)),_xlfn.XLOOKUP($C459,Phone_by_Sentiment!$B$2:$B$37,Phone_by_Sentiment!J$2:J$37,"",0,1),0),$A459-TEXT(DATEVALUE($D459&amp;"-01"), "dd-mm-yyyy")),0),0)</f>
        <v>1210</v>
      </c>
      <c r="K459" cm="1">
        <f t="array" ref="K459">IF($Q459&gt;=0,IFERROR(generateSalesData($D459, IF(ISNUMBER(_xlfn.XLOOKUP($C459,Phone_by_Sentiment!$B$2:$B$37,Phone_by_Sentiment!K$2:K$37,"",0,1)),_xlfn.XLOOKUP($C459,Phone_by_Sentiment!$B$2:$B$37,Phone_by_Sentiment!K$2:K$37,"",0,1),0),$A459-TEXT(DATEVALUE($D459&amp;"-01"), "dd-mm-yyyy")),0),0)</f>
        <v>1286</v>
      </c>
      <c r="L459" cm="1">
        <f t="array" ref="L459">IF($Q459&gt;=0,IFERROR(generateSalesData($D459, IF(ISNUMBER(_xlfn.XLOOKUP($C459,Phone_by_Sentiment!$B$2:$B$37,Phone_by_Sentiment!L$2:L$37,"",0,1)),_xlfn.XLOOKUP($C459,Phone_by_Sentiment!$B$2:$B$37,Phone_by_Sentiment!L$2:L$37,"",0,1),0),$A459-TEXT(DATEVALUE($D459&amp;"-01"), "dd-mm-yyyy")),0),0)</f>
        <v>400</v>
      </c>
      <c r="M459" cm="1">
        <f t="array" ref="M459">IF($Q459&gt;=0,IFERROR(generateSalesData($D459, IF(ISNUMBER(_xlfn.XLOOKUP($C459,Phone_by_Sentiment!$B$2:$B$37,Phone_by_Sentiment!M$2:M$37,"",0,1)),_xlfn.XLOOKUP($C459,Phone_by_Sentiment!$B$2:$B$37,Phone_by_Sentiment!M$2:M$37,"",0,1),0),$A459-TEXT(DATEVALUE($D459&amp;"-01"), "dd-mm-yyyy")),0),0)</f>
        <v>1120</v>
      </c>
      <c r="N459" cm="1">
        <f t="array" ref="N459">IF($Q459&gt;=0,IFERROR(generateSalesData($D459, IF(ISNUMBER(_xlfn.XLOOKUP($C459,Phone_by_Sentiment!$B$2:$B$37,Phone_by_Sentiment!N$2:N$37,"",0,1)),_xlfn.XLOOKUP($C459,Phone_by_Sentiment!$B$2:$B$37,Phone_by_Sentiment!N$2:N$37,"",0,1),0),$A459-TEXT(DATEVALUE($D459&amp;"-01"), "dd-mm-yyyy")),0),0)</f>
        <v>352</v>
      </c>
      <c r="O459" cm="1">
        <f t="array" ref="O459">IF($Q459&gt;=0,IFERROR(generateSalesData($D459, IF(ISNUMBER(_xlfn.XLOOKUP($C459,Phone_by_Sentiment!$B$2:$B$37,Phone_by_Sentiment!O$2:O$37,"",0,1)),_xlfn.XLOOKUP($C459,Phone_by_Sentiment!$B$2:$B$37,Phone_by_Sentiment!O$2:O$37,"",0,1),0),$A459-TEXT(DATEVALUE($D459&amp;"-01"), "dd-mm-yyyy")),0),0)</f>
        <v>893</v>
      </c>
      <c r="P459" s="1">
        <f t="shared" si="19"/>
        <v>43678</v>
      </c>
      <c r="Q459">
        <f t="shared" si="20"/>
        <v>184</v>
      </c>
    </row>
    <row r="460" spans="1:17" x14ac:dyDescent="0.25">
      <c r="A460" s="1">
        <f t="shared" si="18"/>
        <v>43862</v>
      </c>
      <c r="B460" t="s">
        <v>170</v>
      </c>
      <c r="C460" t="str">
        <f>_xlfn.XLOOKUP(B460,Phone_by_Price!$A$2:$A$34,Phone_by_Price!$B$2:$B$34,"-",0,1)</f>
        <v>Realme Narzo 30A</v>
      </c>
      <c r="D460" t="str">
        <f>_xlfn.XLOOKUP(C460,Phone_by_Sentiment!$B$2:$B$37,Phone_by_Sentiment!$A$2:$A$37,"-",0,1)</f>
        <v>2021-02</v>
      </c>
      <c r="E460" cm="1">
        <f t="array" ref="E460">IF($Q460&gt;=0,IFERROR(generateSalesData($D460, IF(ISNUMBER(_xlfn.XLOOKUP($C460,Phone_by_Sentiment!$B$2:$B$37,Phone_by_Sentiment!E$2:E$37,"",0,1)),_xlfn.XLOOKUP($C460,Phone_by_Sentiment!$B$2:$B$37,Phone_by_Sentiment!E$2:E$37,"",0,1),0),$A460-TEXT(DATEVALUE($D460&amp;"-01"), "dd-mm-yyyy")),0),0)</f>
        <v>0</v>
      </c>
      <c r="F460" cm="1">
        <f t="array" ref="F460">IF($Q460&gt;=0,IFERROR(generateSalesData($D460, IF(ISNUMBER(_xlfn.XLOOKUP($C460,Phone_by_Sentiment!$B$2:$B$37,Phone_by_Sentiment!F$2:F$37,"",0,1)),_xlfn.XLOOKUP($C460,Phone_by_Sentiment!$B$2:$B$37,Phone_by_Sentiment!F$2:F$37,"",0,1),0),$A460-TEXT(DATEVALUE($D460&amp;"-01"), "dd-mm-yyyy")),0),0)</f>
        <v>0</v>
      </c>
      <c r="G460" cm="1">
        <f t="array" ref="G460">IF($Q460&gt;=0,IFERROR(generateSalesData($D460, IF(ISNUMBER(_xlfn.XLOOKUP($C460,Phone_by_Sentiment!$B$2:$B$37,Phone_by_Sentiment!G$2:G$37,"",0,1)),_xlfn.XLOOKUP($C460,Phone_by_Sentiment!$B$2:$B$37,Phone_by_Sentiment!G$2:G$37,"",0,1),0),$A460-TEXT(DATEVALUE($D460&amp;"-01"), "dd-mm-yyyy")),0),0)</f>
        <v>0</v>
      </c>
      <c r="H460" cm="1">
        <f t="array" ref="H460">IF($Q460&gt;=0,IFERROR(generateSalesData($D460, IF(ISNUMBER(_xlfn.XLOOKUP($C460,Phone_by_Sentiment!$B$2:$B$37,Phone_by_Sentiment!H$2:H$37,"",0,1)),_xlfn.XLOOKUP($C460,Phone_by_Sentiment!$B$2:$B$37,Phone_by_Sentiment!H$2:H$37,"",0,1),0),$A460-TEXT(DATEVALUE($D460&amp;"-01"), "dd-mm-yyyy")),0),0)</f>
        <v>0</v>
      </c>
      <c r="I460" cm="1">
        <f t="array" ref="I460">IF($Q460&gt;=0,IFERROR(generateSalesData($D460, IF(ISNUMBER(_xlfn.XLOOKUP($C460,Phone_by_Sentiment!$B$2:$B$37,Phone_by_Sentiment!I$2:I$37,"",0,1)),_xlfn.XLOOKUP($C460,Phone_by_Sentiment!$B$2:$B$37,Phone_by_Sentiment!I$2:I$37,"",0,1),0),$A460-TEXT(DATEVALUE($D460&amp;"-01"), "dd-mm-yyyy")),0),0)</f>
        <v>0</v>
      </c>
      <c r="J460" cm="1">
        <f t="array" ref="J460">IF($Q460&gt;=0,IFERROR(generateSalesData($D460, IF(ISNUMBER(_xlfn.XLOOKUP($C460,Phone_by_Sentiment!$B$2:$B$37,Phone_by_Sentiment!J$2:J$37,"",0,1)),_xlfn.XLOOKUP($C460,Phone_by_Sentiment!$B$2:$B$37,Phone_by_Sentiment!J$2:J$37,"",0,1),0),$A460-TEXT(DATEVALUE($D460&amp;"-01"), "dd-mm-yyyy")),0),0)</f>
        <v>0</v>
      </c>
      <c r="K460" cm="1">
        <f t="array" ref="K460">IF($Q460&gt;=0,IFERROR(generateSalesData($D460, IF(ISNUMBER(_xlfn.XLOOKUP($C460,Phone_by_Sentiment!$B$2:$B$37,Phone_by_Sentiment!K$2:K$37,"",0,1)),_xlfn.XLOOKUP($C460,Phone_by_Sentiment!$B$2:$B$37,Phone_by_Sentiment!K$2:K$37,"",0,1),0),$A460-TEXT(DATEVALUE($D460&amp;"-01"), "dd-mm-yyyy")),0),0)</f>
        <v>0</v>
      </c>
      <c r="L460" cm="1">
        <f t="array" ref="L460">IF($Q460&gt;=0,IFERROR(generateSalesData($D460, IF(ISNUMBER(_xlfn.XLOOKUP($C460,Phone_by_Sentiment!$B$2:$B$37,Phone_by_Sentiment!L$2:L$37,"",0,1)),_xlfn.XLOOKUP($C460,Phone_by_Sentiment!$B$2:$B$37,Phone_by_Sentiment!L$2:L$37,"",0,1),0),$A460-TEXT(DATEVALUE($D460&amp;"-01"), "dd-mm-yyyy")),0),0)</f>
        <v>0</v>
      </c>
      <c r="M460" cm="1">
        <f t="array" ref="M460">IF($Q460&gt;=0,IFERROR(generateSalesData($D460, IF(ISNUMBER(_xlfn.XLOOKUP($C460,Phone_by_Sentiment!$B$2:$B$37,Phone_by_Sentiment!M$2:M$37,"",0,1)),_xlfn.XLOOKUP($C460,Phone_by_Sentiment!$B$2:$B$37,Phone_by_Sentiment!M$2:M$37,"",0,1),0),$A460-TEXT(DATEVALUE($D460&amp;"-01"), "dd-mm-yyyy")),0),0)</f>
        <v>0</v>
      </c>
      <c r="N460" cm="1">
        <f t="array" ref="N460">IF($Q460&gt;=0,IFERROR(generateSalesData($D460, IF(ISNUMBER(_xlfn.XLOOKUP($C460,Phone_by_Sentiment!$B$2:$B$37,Phone_by_Sentiment!N$2:N$37,"",0,1)),_xlfn.XLOOKUP($C460,Phone_by_Sentiment!$B$2:$B$37,Phone_by_Sentiment!N$2:N$37,"",0,1),0),$A460-TEXT(DATEVALUE($D460&amp;"-01"), "dd-mm-yyyy")),0),0)</f>
        <v>0</v>
      </c>
      <c r="O460" cm="1">
        <f t="array" ref="O460">IF($Q460&gt;=0,IFERROR(generateSalesData($D460, IF(ISNUMBER(_xlfn.XLOOKUP($C460,Phone_by_Sentiment!$B$2:$B$37,Phone_by_Sentiment!O$2:O$37,"",0,1)),_xlfn.XLOOKUP($C460,Phone_by_Sentiment!$B$2:$B$37,Phone_by_Sentiment!O$2:O$37,"",0,1),0),$A460-TEXT(DATEVALUE($D460&amp;"-01"), "dd-mm-yyyy")),0),0)</f>
        <v>0</v>
      </c>
      <c r="P460" s="1">
        <f t="shared" si="19"/>
        <v>44228</v>
      </c>
      <c r="Q460">
        <f t="shared" si="20"/>
        <v>-366</v>
      </c>
    </row>
    <row r="461" spans="1:17" x14ac:dyDescent="0.25">
      <c r="A461" s="1">
        <f t="shared" si="18"/>
        <v>43862</v>
      </c>
      <c r="B461" t="s">
        <v>171</v>
      </c>
      <c r="C461" t="str">
        <f>_xlfn.XLOOKUP(B461,Phone_by_Price!$A$2:$A$34,Phone_by_Price!$B$2:$B$34,"-",0,1)</f>
        <v>Samsung Galaxy A22 5G</v>
      </c>
      <c r="D461" t="str">
        <f>_xlfn.XLOOKUP(C461,Phone_by_Sentiment!$B$2:$B$37,Phone_by_Sentiment!$A$2:$A$37,"-",0,1)</f>
        <v>2021-05</v>
      </c>
      <c r="E461" cm="1">
        <f t="array" ref="E461">IF($Q461&gt;=0,IFERROR(generateSalesData($D461, IF(ISNUMBER(_xlfn.XLOOKUP($C461,Phone_by_Sentiment!$B$2:$B$37,Phone_by_Sentiment!E$2:E$37,"",0,1)),_xlfn.XLOOKUP($C461,Phone_by_Sentiment!$B$2:$B$37,Phone_by_Sentiment!E$2:E$37,"",0,1),0),$A461-TEXT(DATEVALUE($D461&amp;"-01"), "dd-mm-yyyy")),0),0)</f>
        <v>0</v>
      </c>
      <c r="F461" cm="1">
        <f t="array" ref="F461">IF($Q461&gt;=0,IFERROR(generateSalesData($D461, IF(ISNUMBER(_xlfn.XLOOKUP($C461,Phone_by_Sentiment!$B$2:$B$37,Phone_by_Sentiment!F$2:F$37,"",0,1)),_xlfn.XLOOKUP($C461,Phone_by_Sentiment!$B$2:$B$37,Phone_by_Sentiment!F$2:F$37,"",0,1),0),$A461-TEXT(DATEVALUE($D461&amp;"-01"), "dd-mm-yyyy")),0),0)</f>
        <v>0</v>
      </c>
      <c r="G461" cm="1">
        <f t="array" ref="G461">IF($Q461&gt;=0,IFERROR(generateSalesData($D461, IF(ISNUMBER(_xlfn.XLOOKUP($C461,Phone_by_Sentiment!$B$2:$B$37,Phone_by_Sentiment!G$2:G$37,"",0,1)),_xlfn.XLOOKUP($C461,Phone_by_Sentiment!$B$2:$B$37,Phone_by_Sentiment!G$2:G$37,"",0,1),0),$A461-TEXT(DATEVALUE($D461&amp;"-01"), "dd-mm-yyyy")),0),0)</f>
        <v>0</v>
      </c>
      <c r="H461" cm="1">
        <f t="array" ref="H461">IF($Q461&gt;=0,IFERROR(generateSalesData($D461, IF(ISNUMBER(_xlfn.XLOOKUP($C461,Phone_by_Sentiment!$B$2:$B$37,Phone_by_Sentiment!H$2:H$37,"",0,1)),_xlfn.XLOOKUP($C461,Phone_by_Sentiment!$B$2:$B$37,Phone_by_Sentiment!H$2:H$37,"",0,1),0),$A461-TEXT(DATEVALUE($D461&amp;"-01"), "dd-mm-yyyy")),0),0)</f>
        <v>0</v>
      </c>
      <c r="I461" cm="1">
        <f t="array" ref="I461">IF($Q461&gt;=0,IFERROR(generateSalesData($D461, IF(ISNUMBER(_xlfn.XLOOKUP($C461,Phone_by_Sentiment!$B$2:$B$37,Phone_by_Sentiment!I$2:I$37,"",0,1)),_xlfn.XLOOKUP($C461,Phone_by_Sentiment!$B$2:$B$37,Phone_by_Sentiment!I$2:I$37,"",0,1),0),$A461-TEXT(DATEVALUE($D461&amp;"-01"), "dd-mm-yyyy")),0),0)</f>
        <v>0</v>
      </c>
      <c r="J461" cm="1">
        <f t="array" ref="J461">IF($Q461&gt;=0,IFERROR(generateSalesData($D461, IF(ISNUMBER(_xlfn.XLOOKUP($C461,Phone_by_Sentiment!$B$2:$B$37,Phone_by_Sentiment!J$2:J$37,"",0,1)),_xlfn.XLOOKUP($C461,Phone_by_Sentiment!$B$2:$B$37,Phone_by_Sentiment!J$2:J$37,"",0,1),0),$A461-TEXT(DATEVALUE($D461&amp;"-01"), "dd-mm-yyyy")),0),0)</f>
        <v>0</v>
      </c>
      <c r="K461" cm="1">
        <f t="array" ref="K461">IF($Q461&gt;=0,IFERROR(generateSalesData($D461, IF(ISNUMBER(_xlfn.XLOOKUP($C461,Phone_by_Sentiment!$B$2:$B$37,Phone_by_Sentiment!K$2:K$37,"",0,1)),_xlfn.XLOOKUP($C461,Phone_by_Sentiment!$B$2:$B$37,Phone_by_Sentiment!K$2:K$37,"",0,1),0),$A461-TEXT(DATEVALUE($D461&amp;"-01"), "dd-mm-yyyy")),0),0)</f>
        <v>0</v>
      </c>
      <c r="L461" cm="1">
        <f t="array" ref="L461">IF($Q461&gt;=0,IFERROR(generateSalesData($D461, IF(ISNUMBER(_xlfn.XLOOKUP($C461,Phone_by_Sentiment!$B$2:$B$37,Phone_by_Sentiment!L$2:L$37,"",0,1)),_xlfn.XLOOKUP($C461,Phone_by_Sentiment!$B$2:$B$37,Phone_by_Sentiment!L$2:L$37,"",0,1),0),$A461-TEXT(DATEVALUE($D461&amp;"-01"), "dd-mm-yyyy")),0),0)</f>
        <v>0</v>
      </c>
      <c r="M461" cm="1">
        <f t="array" ref="M461">IF($Q461&gt;=0,IFERROR(generateSalesData($D461, IF(ISNUMBER(_xlfn.XLOOKUP($C461,Phone_by_Sentiment!$B$2:$B$37,Phone_by_Sentiment!M$2:M$37,"",0,1)),_xlfn.XLOOKUP($C461,Phone_by_Sentiment!$B$2:$B$37,Phone_by_Sentiment!M$2:M$37,"",0,1),0),$A461-TEXT(DATEVALUE($D461&amp;"-01"), "dd-mm-yyyy")),0),0)</f>
        <v>0</v>
      </c>
      <c r="N461" cm="1">
        <f t="array" ref="N461">IF($Q461&gt;=0,IFERROR(generateSalesData($D461, IF(ISNUMBER(_xlfn.XLOOKUP($C461,Phone_by_Sentiment!$B$2:$B$37,Phone_by_Sentiment!N$2:N$37,"",0,1)),_xlfn.XLOOKUP($C461,Phone_by_Sentiment!$B$2:$B$37,Phone_by_Sentiment!N$2:N$37,"",0,1),0),$A461-TEXT(DATEVALUE($D461&amp;"-01"), "dd-mm-yyyy")),0),0)</f>
        <v>0</v>
      </c>
      <c r="O461" cm="1">
        <f t="array" ref="O461">IF($Q461&gt;=0,IFERROR(generateSalesData($D461, IF(ISNUMBER(_xlfn.XLOOKUP($C461,Phone_by_Sentiment!$B$2:$B$37,Phone_by_Sentiment!O$2:O$37,"",0,1)),_xlfn.XLOOKUP($C461,Phone_by_Sentiment!$B$2:$B$37,Phone_by_Sentiment!O$2:O$37,"",0,1),0),$A461-TEXT(DATEVALUE($D461&amp;"-01"), "dd-mm-yyyy")),0),0)</f>
        <v>0</v>
      </c>
      <c r="P461" s="1">
        <f t="shared" si="19"/>
        <v>44317</v>
      </c>
      <c r="Q461">
        <f t="shared" si="20"/>
        <v>-455</v>
      </c>
    </row>
    <row r="462" spans="1:17" x14ac:dyDescent="0.25">
      <c r="A462" s="1">
        <f t="shared" si="18"/>
        <v>43862</v>
      </c>
      <c r="B462" t="s">
        <v>172</v>
      </c>
      <c r="C462" t="str">
        <f>_xlfn.XLOOKUP(B462,Phone_by_Price!$A$2:$A$34,Phone_by_Price!$B$2:$B$34,"-",0,1)</f>
        <v>Xiaomi Redmi 9</v>
      </c>
      <c r="D462" t="str">
        <f>_xlfn.XLOOKUP(C462,Phone_by_Sentiment!$B$2:$B$37,Phone_by_Sentiment!$A$2:$A$37,"-",0,1)</f>
        <v>2020-08</v>
      </c>
      <c r="E462" cm="1">
        <f t="array" ref="E462">IF($Q462&gt;=0,IFERROR(generateSalesData($D462, IF(ISNUMBER(_xlfn.XLOOKUP($C462,Phone_by_Sentiment!$B$2:$B$37,Phone_by_Sentiment!E$2:E$37,"",0,1)),_xlfn.XLOOKUP($C462,Phone_by_Sentiment!$B$2:$B$37,Phone_by_Sentiment!E$2:E$37,"",0,1),0),$A462-TEXT(DATEVALUE($D462&amp;"-01"), "dd-mm-yyyy")),0),0)</f>
        <v>0</v>
      </c>
      <c r="F462" cm="1">
        <f t="array" ref="F462">IF($Q462&gt;=0,IFERROR(generateSalesData($D462, IF(ISNUMBER(_xlfn.XLOOKUP($C462,Phone_by_Sentiment!$B$2:$B$37,Phone_by_Sentiment!F$2:F$37,"",0,1)),_xlfn.XLOOKUP($C462,Phone_by_Sentiment!$B$2:$B$37,Phone_by_Sentiment!F$2:F$37,"",0,1),0),$A462-TEXT(DATEVALUE($D462&amp;"-01"), "dd-mm-yyyy")),0),0)</f>
        <v>0</v>
      </c>
      <c r="G462" cm="1">
        <f t="array" ref="G462">IF($Q462&gt;=0,IFERROR(generateSalesData($D462, IF(ISNUMBER(_xlfn.XLOOKUP($C462,Phone_by_Sentiment!$B$2:$B$37,Phone_by_Sentiment!G$2:G$37,"",0,1)),_xlfn.XLOOKUP($C462,Phone_by_Sentiment!$B$2:$B$37,Phone_by_Sentiment!G$2:G$37,"",0,1),0),$A462-TEXT(DATEVALUE($D462&amp;"-01"), "dd-mm-yyyy")),0),0)</f>
        <v>0</v>
      </c>
      <c r="H462" cm="1">
        <f t="array" ref="H462">IF($Q462&gt;=0,IFERROR(generateSalesData($D462, IF(ISNUMBER(_xlfn.XLOOKUP($C462,Phone_by_Sentiment!$B$2:$B$37,Phone_by_Sentiment!H$2:H$37,"",0,1)),_xlfn.XLOOKUP($C462,Phone_by_Sentiment!$B$2:$B$37,Phone_by_Sentiment!H$2:H$37,"",0,1),0),$A462-TEXT(DATEVALUE($D462&amp;"-01"), "dd-mm-yyyy")),0),0)</f>
        <v>0</v>
      </c>
      <c r="I462" cm="1">
        <f t="array" ref="I462">IF($Q462&gt;=0,IFERROR(generateSalesData($D462, IF(ISNUMBER(_xlfn.XLOOKUP($C462,Phone_by_Sentiment!$B$2:$B$37,Phone_by_Sentiment!I$2:I$37,"",0,1)),_xlfn.XLOOKUP($C462,Phone_by_Sentiment!$B$2:$B$37,Phone_by_Sentiment!I$2:I$37,"",0,1),0),$A462-TEXT(DATEVALUE($D462&amp;"-01"), "dd-mm-yyyy")),0),0)</f>
        <v>0</v>
      </c>
      <c r="J462" cm="1">
        <f t="array" ref="J462">IF($Q462&gt;=0,IFERROR(generateSalesData($D462, IF(ISNUMBER(_xlfn.XLOOKUP($C462,Phone_by_Sentiment!$B$2:$B$37,Phone_by_Sentiment!J$2:J$37,"",0,1)),_xlfn.XLOOKUP($C462,Phone_by_Sentiment!$B$2:$B$37,Phone_by_Sentiment!J$2:J$37,"",0,1),0),$A462-TEXT(DATEVALUE($D462&amp;"-01"), "dd-mm-yyyy")),0),0)</f>
        <v>0</v>
      </c>
      <c r="K462" cm="1">
        <f t="array" ref="K462">IF($Q462&gt;=0,IFERROR(generateSalesData($D462, IF(ISNUMBER(_xlfn.XLOOKUP($C462,Phone_by_Sentiment!$B$2:$B$37,Phone_by_Sentiment!K$2:K$37,"",0,1)),_xlfn.XLOOKUP($C462,Phone_by_Sentiment!$B$2:$B$37,Phone_by_Sentiment!K$2:K$37,"",0,1),0),$A462-TEXT(DATEVALUE($D462&amp;"-01"), "dd-mm-yyyy")),0),0)</f>
        <v>0</v>
      </c>
      <c r="L462" cm="1">
        <f t="array" ref="L462">IF($Q462&gt;=0,IFERROR(generateSalesData($D462, IF(ISNUMBER(_xlfn.XLOOKUP($C462,Phone_by_Sentiment!$B$2:$B$37,Phone_by_Sentiment!L$2:L$37,"",0,1)),_xlfn.XLOOKUP($C462,Phone_by_Sentiment!$B$2:$B$37,Phone_by_Sentiment!L$2:L$37,"",0,1),0),$A462-TEXT(DATEVALUE($D462&amp;"-01"), "dd-mm-yyyy")),0),0)</f>
        <v>0</v>
      </c>
      <c r="M462" cm="1">
        <f t="array" ref="M462">IF($Q462&gt;=0,IFERROR(generateSalesData($D462, IF(ISNUMBER(_xlfn.XLOOKUP($C462,Phone_by_Sentiment!$B$2:$B$37,Phone_by_Sentiment!M$2:M$37,"",0,1)),_xlfn.XLOOKUP($C462,Phone_by_Sentiment!$B$2:$B$37,Phone_by_Sentiment!M$2:M$37,"",0,1),0),$A462-TEXT(DATEVALUE($D462&amp;"-01"), "dd-mm-yyyy")),0),0)</f>
        <v>0</v>
      </c>
      <c r="N462" cm="1">
        <f t="array" ref="N462">IF($Q462&gt;=0,IFERROR(generateSalesData($D462, IF(ISNUMBER(_xlfn.XLOOKUP($C462,Phone_by_Sentiment!$B$2:$B$37,Phone_by_Sentiment!N$2:N$37,"",0,1)),_xlfn.XLOOKUP($C462,Phone_by_Sentiment!$B$2:$B$37,Phone_by_Sentiment!N$2:N$37,"",0,1),0),$A462-TEXT(DATEVALUE($D462&amp;"-01"), "dd-mm-yyyy")),0),0)</f>
        <v>0</v>
      </c>
      <c r="O462" cm="1">
        <f t="array" ref="O462">IF($Q462&gt;=0,IFERROR(generateSalesData($D462, IF(ISNUMBER(_xlfn.XLOOKUP($C462,Phone_by_Sentiment!$B$2:$B$37,Phone_by_Sentiment!O$2:O$37,"",0,1)),_xlfn.XLOOKUP($C462,Phone_by_Sentiment!$B$2:$B$37,Phone_by_Sentiment!O$2:O$37,"",0,1),0),$A462-TEXT(DATEVALUE($D462&amp;"-01"), "dd-mm-yyyy")),0),0)</f>
        <v>0</v>
      </c>
      <c r="P462" s="1">
        <f t="shared" si="19"/>
        <v>44044</v>
      </c>
      <c r="Q462">
        <f t="shared" si="20"/>
        <v>-182</v>
      </c>
    </row>
    <row r="463" spans="1:17" x14ac:dyDescent="0.25">
      <c r="A463" s="1">
        <f t="shared" si="18"/>
        <v>43862</v>
      </c>
      <c r="B463" t="s">
        <v>173</v>
      </c>
      <c r="C463" t="str">
        <f>_xlfn.XLOOKUP(B463,Phone_by_Price!$A$2:$A$34,Phone_by_Price!$B$2:$B$34,"-",0,1)</f>
        <v>Realme C3</v>
      </c>
      <c r="D463" t="str">
        <f>_xlfn.XLOOKUP(C463,Phone_by_Sentiment!$B$2:$B$37,Phone_by_Sentiment!$A$2:$A$37,"-",0,1)</f>
        <v>2020-02</v>
      </c>
      <c r="E463" cm="1">
        <f t="array" ref="E463">IF($Q463&gt;=0,IFERROR(generateSalesData($D463, IF(ISNUMBER(_xlfn.XLOOKUP($C463,Phone_by_Sentiment!$B$2:$B$37,Phone_by_Sentiment!E$2:E$37,"",0,1)),_xlfn.XLOOKUP($C463,Phone_by_Sentiment!$B$2:$B$37,Phone_by_Sentiment!E$2:E$37,"",0,1),0),$A463-TEXT(DATEVALUE($D463&amp;"-01"), "dd-mm-yyyy")),0),0)</f>
        <v>3088</v>
      </c>
      <c r="F463" cm="1">
        <f t="array" ref="F463">IF($Q463&gt;=0,IFERROR(generateSalesData($D463, IF(ISNUMBER(_xlfn.XLOOKUP($C463,Phone_by_Sentiment!$B$2:$B$37,Phone_by_Sentiment!F$2:F$37,"",0,1)),_xlfn.XLOOKUP($C463,Phone_by_Sentiment!$B$2:$B$37,Phone_by_Sentiment!F$2:F$37,"",0,1),0),$A463-TEXT(DATEVALUE($D463&amp;"-01"), "dd-mm-yyyy")),0),0)</f>
        <v>2484</v>
      </c>
      <c r="G463" cm="1">
        <f t="array" ref="G463">IF($Q463&gt;=0,IFERROR(generateSalesData($D463, IF(ISNUMBER(_xlfn.XLOOKUP($C463,Phone_by_Sentiment!$B$2:$B$37,Phone_by_Sentiment!G$2:G$37,"",0,1)),_xlfn.XLOOKUP($C463,Phone_by_Sentiment!$B$2:$B$37,Phone_by_Sentiment!G$2:G$37,"",0,1),0),$A463-TEXT(DATEVALUE($D463&amp;"-01"), "dd-mm-yyyy")),0),0)</f>
        <v>1585</v>
      </c>
      <c r="H463" cm="1">
        <f t="array" ref="H463">IF($Q463&gt;=0,IFERROR(generateSalesData($D463, IF(ISNUMBER(_xlfn.XLOOKUP($C463,Phone_by_Sentiment!$B$2:$B$37,Phone_by_Sentiment!H$2:H$37,"",0,1)),_xlfn.XLOOKUP($C463,Phone_by_Sentiment!$B$2:$B$37,Phone_by_Sentiment!H$2:H$37,"",0,1),0),$A463-TEXT(DATEVALUE($D463&amp;"-01"), "dd-mm-yyyy")),0),0)</f>
        <v>7285</v>
      </c>
      <c r="I463" cm="1">
        <f t="array" ref="I463">IF($Q463&gt;=0,IFERROR(generateSalesData($D463, IF(ISNUMBER(_xlfn.XLOOKUP($C463,Phone_by_Sentiment!$B$2:$B$37,Phone_by_Sentiment!I$2:I$37,"",0,1)),_xlfn.XLOOKUP($C463,Phone_by_Sentiment!$B$2:$B$37,Phone_by_Sentiment!I$2:I$37,"",0,1),0),$A463-TEXT(DATEVALUE($D463&amp;"-01"), "dd-mm-yyyy")),0),0)</f>
        <v>5833</v>
      </c>
      <c r="J463" cm="1">
        <f t="array" ref="J463">IF($Q463&gt;=0,IFERROR(generateSalesData($D463, IF(ISNUMBER(_xlfn.XLOOKUP($C463,Phone_by_Sentiment!$B$2:$B$37,Phone_by_Sentiment!J$2:J$37,"",0,1)),_xlfn.XLOOKUP($C463,Phone_by_Sentiment!$B$2:$B$37,Phone_by_Sentiment!J$2:J$37,"",0,1),0),$A463-TEXT(DATEVALUE($D463&amp;"-01"), "dd-mm-yyyy")),0),0)</f>
        <v>-251</v>
      </c>
      <c r="K463" cm="1">
        <f t="array" ref="K463">IF($Q463&gt;=0,IFERROR(generateSalesData($D463, IF(ISNUMBER(_xlfn.XLOOKUP($C463,Phone_by_Sentiment!$B$2:$B$37,Phone_by_Sentiment!K$2:K$37,"",0,1)),_xlfn.XLOOKUP($C463,Phone_by_Sentiment!$B$2:$B$37,Phone_by_Sentiment!K$2:K$37,"",0,1),0),$A463-TEXT(DATEVALUE($D463&amp;"-01"), "dd-mm-yyyy")),0),0)</f>
        <v>7505</v>
      </c>
      <c r="L463" cm="1">
        <f t="array" ref="L463">IF($Q463&gt;=0,IFERROR(generateSalesData($D463, IF(ISNUMBER(_xlfn.XLOOKUP($C463,Phone_by_Sentiment!$B$2:$B$37,Phone_by_Sentiment!L$2:L$37,"",0,1)),_xlfn.XLOOKUP($C463,Phone_by_Sentiment!$B$2:$B$37,Phone_by_Sentiment!L$2:L$37,"",0,1),0),$A463-TEXT(DATEVALUE($D463&amp;"-01"), "dd-mm-yyyy")),0),0)</f>
        <v>7950</v>
      </c>
      <c r="M463" cm="1">
        <f t="array" ref="M463">IF($Q463&gt;=0,IFERROR(generateSalesData($D463, IF(ISNUMBER(_xlfn.XLOOKUP($C463,Phone_by_Sentiment!$B$2:$B$37,Phone_by_Sentiment!M$2:M$37,"",0,1)),_xlfn.XLOOKUP($C463,Phone_by_Sentiment!$B$2:$B$37,Phone_by_Sentiment!M$2:M$37,"",0,1),0),$A463-TEXT(DATEVALUE($D463&amp;"-01"), "dd-mm-yyyy")),0),0)</f>
        <v>2126</v>
      </c>
      <c r="N463" cm="1">
        <f t="array" ref="N463">IF($Q463&gt;=0,IFERROR(generateSalesData($D463, IF(ISNUMBER(_xlfn.XLOOKUP($C463,Phone_by_Sentiment!$B$2:$B$37,Phone_by_Sentiment!N$2:N$37,"",0,1)),_xlfn.XLOOKUP($C463,Phone_by_Sentiment!$B$2:$B$37,Phone_by_Sentiment!N$2:N$37,"",0,1),0),$A463-TEXT(DATEVALUE($D463&amp;"-01"), "dd-mm-yyyy")),0),0)</f>
        <v>10633</v>
      </c>
      <c r="O463" cm="1">
        <f t="array" ref="O463">IF($Q463&gt;=0,IFERROR(generateSalesData($D463, IF(ISNUMBER(_xlfn.XLOOKUP($C463,Phone_by_Sentiment!$B$2:$B$37,Phone_by_Sentiment!O$2:O$37,"",0,1)),_xlfn.XLOOKUP($C463,Phone_by_Sentiment!$B$2:$B$37,Phone_by_Sentiment!O$2:O$37,"",0,1),0),$A463-TEXT(DATEVALUE($D463&amp;"-01"), "dd-mm-yyyy")),0),0)</f>
        <v>1205</v>
      </c>
      <c r="P463" s="1">
        <f t="shared" si="19"/>
        <v>43862</v>
      </c>
      <c r="Q463">
        <f t="shared" si="20"/>
        <v>0</v>
      </c>
    </row>
    <row r="464" spans="1:17" x14ac:dyDescent="0.25">
      <c r="A464" s="1">
        <f t="shared" si="18"/>
        <v>43862</v>
      </c>
      <c r="B464" t="s">
        <v>174</v>
      </c>
      <c r="C464" t="str">
        <f>_xlfn.XLOOKUP(B464,Phone_by_Price!$A$2:$A$34,Phone_by_Price!$B$2:$B$34,"-",0,1)</f>
        <v>Samsung Galaxy A7</v>
      </c>
      <c r="D464" t="str">
        <f>_xlfn.XLOOKUP(C464,Phone_by_Sentiment!$B$2:$B$37,Phone_by_Sentiment!$A$2:$A$37,"-",0,1)</f>
        <v>2018-10</v>
      </c>
      <c r="E464" cm="1">
        <f t="array" ref="E464">IF($Q464&gt;=0,IFERROR(generateSalesData($D464, IF(ISNUMBER(_xlfn.XLOOKUP($C464,Phone_by_Sentiment!$B$2:$B$37,Phone_by_Sentiment!E$2:E$37,"",0,1)),_xlfn.XLOOKUP($C464,Phone_by_Sentiment!$B$2:$B$37,Phone_by_Sentiment!E$2:E$37,"",0,1),0),$A464-TEXT(DATEVALUE($D464&amp;"-01"), "dd-mm-yyyy")),0),0)</f>
        <v>139</v>
      </c>
      <c r="F464" cm="1">
        <f t="array" ref="F464">IF($Q464&gt;=0,IFERROR(generateSalesData($D464, IF(ISNUMBER(_xlfn.XLOOKUP($C464,Phone_by_Sentiment!$B$2:$B$37,Phone_by_Sentiment!F$2:F$37,"",0,1)),_xlfn.XLOOKUP($C464,Phone_by_Sentiment!$B$2:$B$37,Phone_by_Sentiment!F$2:F$37,"",0,1),0),$A464-TEXT(DATEVALUE($D464&amp;"-01"), "dd-mm-yyyy")),0),0)</f>
        <v>38</v>
      </c>
      <c r="G464" cm="1">
        <f t="array" ref="G464">IF($Q464&gt;=0,IFERROR(generateSalesData($D464, IF(ISNUMBER(_xlfn.XLOOKUP($C464,Phone_by_Sentiment!$B$2:$B$37,Phone_by_Sentiment!G$2:G$37,"",0,1)),_xlfn.XLOOKUP($C464,Phone_by_Sentiment!$B$2:$B$37,Phone_by_Sentiment!G$2:G$37,"",0,1),0),$A464-TEXT(DATEVALUE($D464&amp;"-01"), "dd-mm-yyyy")),0),0)</f>
        <v>122</v>
      </c>
      <c r="H464" cm="1">
        <f t="array" ref="H464">IF($Q464&gt;=0,IFERROR(generateSalesData($D464, IF(ISNUMBER(_xlfn.XLOOKUP($C464,Phone_by_Sentiment!$B$2:$B$37,Phone_by_Sentiment!H$2:H$37,"",0,1)),_xlfn.XLOOKUP($C464,Phone_by_Sentiment!$B$2:$B$37,Phone_by_Sentiment!H$2:H$37,"",0,1),0),$A464-TEXT(DATEVALUE($D464&amp;"-01"), "dd-mm-yyyy")),0),0)</f>
        <v>468</v>
      </c>
      <c r="I464" cm="1">
        <f t="array" ref="I464">IF($Q464&gt;=0,IFERROR(generateSalesData($D464, IF(ISNUMBER(_xlfn.XLOOKUP($C464,Phone_by_Sentiment!$B$2:$B$37,Phone_by_Sentiment!I$2:I$37,"",0,1)),_xlfn.XLOOKUP($C464,Phone_by_Sentiment!$B$2:$B$37,Phone_by_Sentiment!I$2:I$37,"",0,1),0),$A464-TEXT(DATEVALUE($D464&amp;"-01"), "dd-mm-yyyy")),0),0)</f>
        <v>400</v>
      </c>
      <c r="J464" cm="1">
        <f t="array" ref="J464">IF($Q464&gt;=0,IFERROR(generateSalesData($D464, IF(ISNUMBER(_xlfn.XLOOKUP($C464,Phone_by_Sentiment!$B$2:$B$37,Phone_by_Sentiment!J$2:J$37,"",0,1)),_xlfn.XLOOKUP($C464,Phone_by_Sentiment!$B$2:$B$37,Phone_by_Sentiment!J$2:J$37,"",0,1),0),$A464-TEXT(DATEVALUE($D464&amp;"-01"), "dd-mm-yyyy")),0),0)</f>
        <v>154</v>
      </c>
      <c r="K464" cm="1">
        <f t="array" ref="K464">IF($Q464&gt;=0,IFERROR(generateSalesData($D464, IF(ISNUMBER(_xlfn.XLOOKUP($C464,Phone_by_Sentiment!$B$2:$B$37,Phone_by_Sentiment!K$2:K$37,"",0,1)),_xlfn.XLOOKUP($C464,Phone_by_Sentiment!$B$2:$B$37,Phone_by_Sentiment!K$2:K$37,"",0,1),0),$A464-TEXT(DATEVALUE($D464&amp;"-01"), "dd-mm-yyyy")),0),0)</f>
        <v>230</v>
      </c>
      <c r="L464" cm="1">
        <f t="array" ref="L464">IF($Q464&gt;=0,IFERROR(generateSalesData($D464, IF(ISNUMBER(_xlfn.XLOOKUP($C464,Phone_by_Sentiment!$B$2:$B$37,Phone_by_Sentiment!L$2:L$37,"",0,1)),_xlfn.XLOOKUP($C464,Phone_by_Sentiment!$B$2:$B$37,Phone_by_Sentiment!L$2:L$37,"",0,1),0),$A464-TEXT(DATEVALUE($D464&amp;"-01"), "dd-mm-yyyy")),0),0)</f>
        <v>146</v>
      </c>
      <c r="M464" cm="1">
        <f t="array" ref="M464">IF($Q464&gt;=0,IFERROR(generateSalesData($D464, IF(ISNUMBER(_xlfn.XLOOKUP($C464,Phone_by_Sentiment!$B$2:$B$37,Phone_by_Sentiment!M$2:M$37,"",0,1)),_xlfn.XLOOKUP($C464,Phone_by_Sentiment!$B$2:$B$37,Phone_by_Sentiment!M$2:M$37,"",0,1),0),$A464-TEXT(DATEVALUE($D464&amp;"-01"), "dd-mm-yyyy")),0),0)</f>
        <v>184</v>
      </c>
      <c r="N464" cm="1">
        <f t="array" ref="N464">IF($Q464&gt;=0,IFERROR(generateSalesData($D464, IF(ISNUMBER(_xlfn.XLOOKUP($C464,Phone_by_Sentiment!$B$2:$B$37,Phone_by_Sentiment!N$2:N$37,"",0,1)),_xlfn.XLOOKUP($C464,Phone_by_Sentiment!$B$2:$B$37,Phone_by_Sentiment!N$2:N$37,"",0,1),0),$A464-TEXT(DATEVALUE($D464&amp;"-01"), "dd-mm-yyyy")),0),0)</f>
        <v>672</v>
      </c>
      <c r="O464" cm="1">
        <f t="array" ref="O464">IF($Q464&gt;=0,IFERROR(generateSalesData($D464, IF(ISNUMBER(_xlfn.XLOOKUP($C464,Phone_by_Sentiment!$B$2:$B$37,Phone_by_Sentiment!O$2:O$37,"",0,1)),_xlfn.XLOOKUP($C464,Phone_by_Sentiment!$B$2:$B$37,Phone_by_Sentiment!O$2:O$37,"",0,1),0),$A464-TEXT(DATEVALUE($D464&amp;"-01"), "dd-mm-yyyy")),0),0)</f>
        <v>456</v>
      </c>
      <c r="P464" s="1">
        <f t="shared" si="19"/>
        <v>43374</v>
      </c>
      <c r="Q464">
        <f t="shared" si="20"/>
        <v>488</v>
      </c>
    </row>
    <row r="465" spans="1:17" x14ac:dyDescent="0.25">
      <c r="A465" s="1">
        <f t="shared" si="18"/>
        <v>43862</v>
      </c>
      <c r="B465" t="s">
        <v>142</v>
      </c>
      <c r="C465" t="str">
        <f>_xlfn.XLOOKUP(B465,Phone_by_Price!$A$2:$A$34,Phone_by_Price!$B$2:$B$34,"-",0,1)</f>
        <v>iPhone 11</v>
      </c>
      <c r="D465" t="str">
        <f>_xlfn.XLOOKUP(C465,Phone_by_Sentiment!$B$2:$B$37,Phone_by_Sentiment!$A$2:$A$37,"-",0,1)</f>
        <v>2019-09</v>
      </c>
      <c r="E465" cm="1">
        <f t="array" ref="E465">IF($Q465&gt;=0,IFERROR(generateSalesData($D465, IF(ISNUMBER(_xlfn.XLOOKUP($C465,Phone_by_Sentiment!$B$2:$B$37,Phone_by_Sentiment!E$2:E$37,"",0,1)),_xlfn.XLOOKUP($C465,Phone_by_Sentiment!$B$2:$B$37,Phone_by_Sentiment!E$2:E$37,"",0,1),0),$A465-TEXT(DATEVALUE($D465&amp;"-01"), "dd-mm-yyyy")),0),0)</f>
        <v>1612</v>
      </c>
      <c r="F465" cm="1">
        <f t="array" ref="F465">IF($Q465&gt;=0,IFERROR(generateSalesData($D465, IF(ISNUMBER(_xlfn.XLOOKUP($C465,Phone_by_Sentiment!$B$2:$B$37,Phone_by_Sentiment!F$2:F$37,"",0,1)),_xlfn.XLOOKUP($C465,Phone_by_Sentiment!$B$2:$B$37,Phone_by_Sentiment!F$2:F$37,"",0,1),0),$A465-TEXT(DATEVALUE($D465&amp;"-01"), "dd-mm-yyyy")),0),0)</f>
        <v>797</v>
      </c>
      <c r="G465" cm="1">
        <f t="array" ref="G465">IF($Q465&gt;=0,IFERROR(generateSalesData($D465, IF(ISNUMBER(_xlfn.XLOOKUP($C465,Phone_by_Sentiment!$B$2:$B$37,Phone_by_Sentiment!G$2:G$37,"",0,1)),_xlfn.XLOOKUP($C465,Phone_by_Sentiment!$B$2:$B$37,Phone_by_Sentiment!G$2:G$37,"",0,1),0),$A465-TEXT(DATEVALUE($D465&amp;"-01"), "dd-mm-yyyy")),0),0)</f>
        <v>464</v>
      </c>
      <c r="H465" cm="1">
        <f t="array" ref="H465">IF($Q465&gt;=0,IFERROR(generateSalesData($D465, IF(ISNUMBER(_xlfn.XLOOKUP($C465,Phone_by_Sentiment!$B$2:$B$37,Phone_by_Sentiment!H$2:H$37,"",0,1)),_xlfn.XLOOKUP($C465,Phone_by_Sentiment!$B$2:$B$37,Phone_by_Sentiment!H$2:H$37,"",0,1),0),$A465-TEXT(DATEVALUE($D465&amp;"-01"), "dd-mm-yyyy")),0),0)</f>
        <v>888</v>
      </c>
      <c r="I465" cm="1">
        <f t="array" ref="I465">IF($Q465&gt;=0,IFERROR(generateSalesData($D465, IF(ISNUMBER(_xlfn.XLOOKUP($C465,Phone_by_Sentiment!$B$2:$B$37,Phone_by_Sentiment!I$2:I$37,"",0,1)),_xlfn.XLOOKUP($C465,Phone_by_Sentiment!$B$2:$B$37,Phone_by_Sentiment!I$2:I$37,"",0,1),0),$A465-TEXT(DATEVALUE($D465&amp;"-01"), "dd-mm-yyyy")),0),0)</f>
        <v>1932</v>
      </c>
      <c r="J465" cm="1">
        <f t="array" ref="J465">IF($Q465&gt;=0,IFERROR(generateSalesData($D465, IF(ISNUMBER(_xlfn.XLOOKUP($C465,Phone_by_Sentiment!$B$2:$B$37,Phone_by_Sentiment!J$2:J$37,"",0,1)),_xlfn.XLOOKUP($C465,Phone_by_Sentiment!$B$2:$B$37,Phone_by_Sentiment!J$2:J$37,"",0,1),0),$A465-TEXT(DATEVALUE($D465&amp;"-01"), "dd-mm-yyyy")),0),0)</f>
        <v>2244</v>
      </c>
      <c r="K465" cm="1">
        <f t="array" ref="K465">IF($Q465&gt;=0,IFERROR(generateSalesData($D465, IF(ISNUMBER(_xlfn.XLOOKUP($C465,Phone_by_Sentiment!$B$2:$B$37,Phone_by_Sentiment!K$2:K$37,"",0,1)),_xlfn.XLOOKUP($C465,Phone_by_Sentiment!$B$2:$B$37,Phone_by_Sentiment!K$2:K$37,"",0,1),0),$A465-TEXT(DATEVALUE($D465&amp;"-01"), "dd-mm-yyyy")),0),0)</f>
        <v>560</v>
      </c>
      <c r="L465" cm="1">
        <f t="array" ref="L465">IF($Q465&gt;=0,IFERROR(generateSalesData($D465, IF(ISNUMBER(_xlfn.XLOOKUP($C465,Phone_by_Sentiment!$B$2:$B$37,Phone_by_Sentiment!L$2:L$37,"",0,1)),_xlfn.XLOOKUP($C465,Phone_by_Sentiment!$B$2:$B$37,Phone_by_Sentiment!L$2:L$37,"",0,1),0),$A465-TEXT(DATEVALUE($D465&amp;"-01"), "dd-mm-yyyy")),0),0)</f>
        <v>2502</v>
      </c>
      <c r="M465" cm="1">
        <f t="array" ref="M465">IF($Q465&gt;=0,IFERROR(generateSalesData($D465, IF(ISNUMBER(_xlfn.XLOOKUP($C465,Phone_by_Sentiment!$B$2:$B$37,Phone_by_Sentiment!M$2:M$37,"",0,1)),_xlfn.XLOOKUP($C465,Phone_by_Sentiment!$B$2:$B$37,Phone_by_Sentiment!M$2:M$37,"",0,1),0),$A465-TEXT(DATEVALUE($D465&amp;"-01"), "dd-mm-yyyy")),0),0)</f>
        <v>2141</v>
      </c>
      <c r="N465" cm="1">
        <f t="array" ref="N465">IF($Q465&gt;=0,IFERROR(generateSalesData($D465, IF(ISNUMBER(_xlfn.XLOOKUP($C465,Phone_by_Sentiment!$B$2:$B$37,Phone_by_Sentiment!N$2:N$37,"",0,1)),_xlfn.XLOOKUP($C465,Phone_by_Sentiment!$B$2:$B$37,Phone_by_Sentiment!N$2:N$37,"",0,1),0),$A465-TEXT(DATEVALUE($D465&amp;"-01"), "dd-mm-yyyy")),0),0)</f>
        <v>1632</v>
      </c>
      <c r="O465" cm="1">
        <f t="array" ref="O465">IF($Q465&gt;=0,IFERROR(generateSalesData($D465, IF(ISNUMBER(_xlfn.XLOOKUP($C465,Phone_by_Sentiment!$B$2:$B$37,Phone_by_Sentiment!O$2:O$37,"",0,1)),_xlfn.XLOOKUP($C465,Phone_by_Sentiment!$B$2:$B$37,Phone_by_Sentiment!O$2:O$37,"",0,1),0),$A465-TEXT(DATEVALUE($D465&amp;"-01"), "dd-mm-yyyy")),0),0)</f>
        <v>2190</v>
      </c>
      <c r="P465" s="1">
        <f t="shared" si="19"/>
        <v>43709</v>
      </c>
      <c r="Q465">
        <f t="shared" si="20"/>
        <v>153</v>
      </c>
    </row>
    <row r="466" spans="1:17" x14ac:dyDescent="0.25">
      <c r="A466" s="1">
        <f t="shared" si="18"/>
        <v>43862</v>
      </c>
      <c r="B466" t="s">
        <v>143</v>
      </c>
      <c r="C466" t="str">
        <f>_xlfn.XLOOKUP(B466,Phone_by_Price!$A$2:$A$34,Phone_by_Price!$B$2:$B$34,"-",0,1)</f>
        <v>Samsung Galaxy S20 Ultra</v>
      </c>
      <c r="D466" t="str">
        <f>_xlfn.XLOOKUP(C466,Phone_by_Sentiment!$B$2:$B$37,Phone_by_Sentiment!$A$2:$A$37,"-",0,1)</f>
        <v>2020-02</v>
      </c>
      <c r="E466" cm="1">
        <f t="array" ref="E466">IF($Q466&gt;=0,IFERROR(generateSalesData($D466, IF(ISNUMBER(_xlfn.XLOOKUP($C466,Phone_by_Sentiment!$B$2:$B$37,Phone_by_Sentiment!E$2:E$37,"",0,1)),_xlfn.XLOOKUP($C466,Phone_by_Sentiment!$B$2:$B$37,Phone_by_Sentiment!E$2:E$37,"",0,1),0),$A466-TEXT(DATEVALUE($D466&amp;"-01"), "dd-mm-yyyy")),0),0)</f>
        <v>6553</v>
      </c>
      <c r="F466" cm="1">
        <f t="array" ref="F466">IF($Q466&gt;=0,IFERROR(generateSalesData($D466, IF(ISNUMBER(_xlfn.XLOOKUP($C466,Phone_by_Sentiment!$B$2:$B$37,Phone_by_Sentiment!F$2:F$37,"",0,1)),_xlfn.XLOOKUP($C466,Phone_by_Sentiment!$B$2:$B$37,Phone_by_Sentiment!F$2:F$37,"",0,1),0),$A466-TEXT(DATEVALUE($D466&amp;"-01"), "dd-mm-yyyy")),0),0)</f>
        <v>5377</v>
      </c>
      <c r="G466" cm="1">
        <f t="array" ref="G466">IF($Q466&gt;=0,IFERROR(generateSalesData($D466, IF(ISNUMBER(_xlfn.XLOOKUP($C466,Phone_by_Sentiment!$B$2:$B$37,Phone_by_Sentiment!G$2:G$37,"",0,1)),_xlfn.XLOOKUP($C466,Phone_by_Sentiment!$B$2:$B$37,Phone_by_Sentiment!G$2:G$37,"",0,1),0),$A466-TEXT(DATEVALUE($D466&amp;"-01"), "dd-mm-yyyy")),0),0)</f>
        <v>1711</v>
      </c>
      <c r="H466" cm="1">
        <f t="array" ref="H466">IF($Q466&gt;=0,IFERROR(generateSalesData($D466, IF(ISNUMBER(_xlfn.XLOOKUP($C466,Phone_by_Sentiment!$B$2:$B$37,Phone_by_Sentiment!H$2:H$37,"",0,1)),_xlfn.XLOOKUP($C466,Phone_by_Sentiment!$B$2:$B$37,Phone_by_Sentiment!H$2:H$37,"",0,1),0),$A466-TEXT(DATEVALUE($D466&amp;"-01"), "dd-mm-yyyy")),0),0)</f>
        <v>10151</v>
      </c>
      <c r="I466" cm="1">
        <f t="array" ref="I466">IF($Q466&gt;=0,IFERROR(generateSalesData($D466, IF(ISNUMBER(_xlfn.XLOOKUP($C466,Phone_by_Sentiment!$B$2:$B$37,Phone_by_Sentiment!I$2:I$37,"",0,1)),_xlfn.XLOOKUP($C466,Phone_by_Sentiment!$B$2:$B$37,Phone_by_Sentiment!I$2:I$37,"",0,1),0),$A466-TEXT(DATEVALUE($D466&amp;"-01"), "dd-mm-yyyy")),0),0)</f>
        <v>2113</v>
      </c>
      <c r="J466" cm="1">
        <f t="array" ref="J466">IF($Q466&gt;=0,IFERROR(generateSalesData($D466, IF(ISNUMBER(_xlfn.XLOOKUP($C466,Phone_by_Sentiment!$B$2:$B$37,Phone_by_Sentiment!J$2:J$37,"",0,1)),_xlfn.XLOOKUP($C466,Phone_by_Sentiment!$B$2:$B$37,Phone_by_Sentiment!J$2:J$37,"",0,1),0),$A466-TEXT(DATEVALUE($D466&amp;"-01"), "dd-mm-yyyy")),0),0)</f>
        <v>12258</v>
      </c>
      <c r="K466" cm="1">
        <f t="array" ref="K466">IF($Q466&gt;=0,IFERROR(generateSalesData($D466, IF(ISNUMBER(_xlfn.XLOOKUP($C466,Phone_by_Sentiment!$B$2:$B$37,Phone_by_Sentiment!K$2:K$37,"",0,1)),_xlfn.XLOOKUP($C466,Phone_by_Sentiment!$B$2:$B$37,Phone_by_Sentiment!K$2:K$37,"",0,1),0),$A466-TEXT(DATEVALUE($D466&amp;"-01"), "dd-mm-yyyy")),0),0)</f>
        <v>2078</v>
      </c>
      <c r="L466" cm="1">
        <f t="array" ref="L466">IF($Q466&gt;=0,IFERROR(generateSalesData($D466, IF(ISNUMBER(_xlfn.XLOOKUP($C466,Phone_by_Sentiment!$B$2:$B$37,Phone_by_Sentiment!L$2:L$37,"",0,1)),_xlfn.XLOOKUP($C466,Phone_by_Sentiment!$B$2:$B$37,Phone_by_Sentiment!L$2:L$37,"",0,1),0),$A466-TEXT(DATEVALUE($D466&amp;"-01"), "dd-mm-yyyy")),0),0)</f>
        <v>5952</v>
      </c>
      <c r="M466" cm="1">
        <f t="array" ref="M466">IF($Q466&gt;=0,IFERROR(generateSalesData($D466, IF(ISNUMBER(_xlfn.XLOOKUP($C466,Phone_by_Sentiment!$B$2:$B$37,Phone_by_Sentiment!M$2:M$37,"",0,1)),_xlfn.XLOOKUP($C466,Phone_by_Sentiment!$B$2:$B$37,Phone_by_Sentiment!M$2:M$37,"",0,1),0),$A466-TEXT(DATEVALUE($D466&amp;"-01"), "dd-mm-yyyy")),0),0)</f>
        <v>10151</v>
      </c>
      <c r="N466" cm="1">
        <f t="array" ref="N466">IF($Q466&gt;=0,IFERROR(generateSalesData($D466, IF(ISNUMBER(_xlfn.XLOOKUP($C466,Phone_by_Sentiment!$B$2:$B$37,Phone_by_Sentiment!N$2:N$37,"",0,1)),_xlfn.XLOOKUP($C466,Phone_by_Sentiment!$B$2:$B$37,Phone_by_Sentiment!N$2:N$37,"",0,1),0),$A466-TEXT(DATEVALUE($D466&amp;"-01"), "dd-mm-yyyy")),0),0)</f>
        <v>3548</v>
      </c>
      <c r="O466" cm="1">
        <f t="array" ref="O466">IF($Q466&gt;=0,IFERROR(generateSalesData($D466, IF(ISNUMBER(_xlfn.XLOOKUP($C466,Phone_by_Sentiment!$B$2:$B$37,Phone_by_Sentiment!O$2:O$37,"",0,1)),_xlfn.XLOOKUP($C466,Phone_by_Sentiment!$B$2:$B$37,Phone_by_Sentiment!O$2:O$37,"",0,1),0),$A466-TEXT(DATEVALUE($D466&amp;"-01"), "dd-mm-yyyy")),0),0)</f>
        <v>9445</v>
      </c>
      <c r="P466" s="1">
        <f t="shared" si="19"/>
        <v>43862</v>
      </c>
      <c r="Q466">
        <f t="shared" si="20"/>
        <v>0</v>
      </c>
    </row>
    <row r="467" spans="1:17" x14ac:dyDescent="0.25">
      <c r="A467" s="1">
        <f t="shared" si="18"/>
        <v>43862</v>
      </c>
      <c r="B467" t="s">
        <v>144</v>
      </c>
      <c r="C467" t="str">
        <f>_xlfn.XLOOKUP(B467,Phone_by_Price!$A$2:$A$34,Phone_by_Price!$B$2:$B$34,"-",0,1)</f>
        <v>Xiaomi Redmi Note 10</v>
      </c>
      <c r="D467" t="str">
        <f>_xlfn.XLOOKUP(C467,Phone_by_Sentiment!$B$2:$B$37,Phone_by_Sentiment!$A$2:$A$37,"-",0,1)</f>
        <v>2021-03</v>
      </c>
      <c r="E467" cm="1">
        <f t="array" ref="E467">IF($Q467&gt;=0,IFERROR(generateSalesData($D467, IF(ISNUMBER(_xlfn.XLOOKUP($C467,Phone_by_Sentiment!$B$2:$B$37,Phone_by_Sentiment!E$2:E$37,"",0,1)),_xlfn.XLOOKUP($C467,Phone_by_Sentiment!$B$2:$B$37,Phone_by_Sentiment!E$2:E$37,"",0,1),0),$A467-TEXT(DATEVALUE($D467&amp;"-01"), "dd-mm-yyyy")),0),0)</f>
        <v>0</v>
      </c>
      <c r="F467" cm="1">
        <f t="array" ref="F467">IF($Q467&gt;=0,IFERROR(generateSalesData($D467, IF(ISNUMBER(_xlfn.XLOOKUP($C467,Phone_by_Sentiment!$B$2:$B$37,Phone_by_Sentiment!F$2:F$37,"",0,1)),_xlfn.XLOOKUP($C467,Phone_by_Sentiment!$B$2:$B$37,Phone_by_Sentiment!F$2:F$37,"",0,1),0),$A467-TEXT(DATEVALUE($D467&amp;"-01"), "dd-mm-yyyy")),0),0)</f>
        <v>0</v>
      </c>
      <c r="G467" cm="1">
        <f t="array" ref="G467">IF($Q467&gt;=0,IFERROR(generateSalesData($D467, IF(ISNUMBER(_xlfn.XLOOKUP($C467,Phone_by_Sentiment!$B$2:$B$37,Phone_by_Sentiment!G$2:G$37,"",0,1)),_xlfn.XLOOKUP($C467,Phone_by_Sentiment!$B$2:$B$37,Phone_by_Sentiment!G$2:G$37,"",0,1),0),$A467-TEXT(DATEVALUE($D467&amp;"-01"), "dd-mm-yyyy")),0),0)</f>
        <v>0</v>
      </c>
      <c r="H467" cm="1">
        <f t="array" ref="H467">IF($Q467&gt;=0,IFERROR(generateSalesData($D467, IF(ISNUMBER(_xlfn.XLOOKUP($C467,Phone_by_Sentiment!$B$2:$B$37,Phone_by_Sentiment!H$2:H$37,"",0,1)),_xlfn.XLOOKUP($C467,Phone_by_Sentiment!$B$2:$B$37,Phone_by_Sentiment!H$2:H$37,"",0,1),0),$A467-TEXT(DATEVALUE($D467&amp;"-01"), "dd-mm-yyyy")),0),0)</f>
        <v>0</v>
      </c>
      <c r="I467" cm="1">
        <f t="array" ref="I467">IF($Q467&gt;=0,IFERROR(generateSalesData($D467, IF(ISNUMBER(_xlfn.XLOOKUP($C467,Phone_by_Sentiment!$B$2:$B$37,Phone_by_Sentiment!I$2:I$37,"",0,1)),_xlfn.XLOOKUP($C467,Phone_by_Sentiment!$B$2:$B$37,Phone_by_Sentiment!I$2:I$37,"",0,1),0),$A467-TEXT(DATEVALUE($D467&amp;"-01"), "dd-mm-yyyy")),0),0)</f>
        <v>0</v>
      </c>
      <c r="J467" cm="1">
        <f t="array" ref="J467">IF($Q467&gt;=0,IFERROR(generateSalesData($D467, IF(ISNUMBER(_xlfn.XLOOKUP($C467,Phone_by_Sentiment!$B$2:$B$37,Phone_by_Sentiment!J$2:J$37,"",0,1)),_xlfn.XLOOKUP($C467,Phone_by_Sentiment!$B$2:$B$37,Phone_by_Sentiment!J$2:J$37,"",0,1),0),$A467-TEXT(DATEVALUE($D467&amp;"-01"), "dd-mm-yyyy")),0),0)</f>
        <v>0</v>
      </c>
      <c r="K467" cm="1">
        <f t="array" ref="K467">IF($Q467&gt;=0,IFERROR(generateSalesData($D467, IF(ISNUMBER(_xlfn.XLOOKUP($C467,Phone_by_Sentiment!$B$2:$B$37,Phone_by_Sentiment!K$2:K$37,"",0,1)),_xlfn.XLOOKUP($C467,Phone_by_Sentiment!$B$2:$B$37,Phone_by_Sentiment!K$2:K$37,"",0,1),0),$A467-TEXT(DATEVALUE($D467&amp;"-01"), "dd-mm-yyyy")),0),0)</f>
        <v>0</v>
      </c>
      <c r="L467" cm="1">
        <f t="array" ref="L467">IF($Q467&gt;=0,IFERROR(generateSalesData($D467, IF(ISNUMBER(_xlfn.XLOOKUP($C467,Phone_by_Sentiment!$B$2:$B$37,Phone_by_Sentiment!L$2:L$37,"",0,1)),_xlfn.XLOOKUP($C467,Phone_by_Sentiment!$B$2:$B$37,Phone_by_Sentiment!L$2:L$37,"",0,1),0),$A467-TEXT(DATEVALUE($D467&amp;"-01"), "dd-mm-yyyy")),0),0)</f>
        <v>0</v>
      </c>
      <c r="M467" cm="1">
        <f t="array" ref="M467">IF($Q467&gt;=0,IFERROR(generateSalesData($D467, IF(ISNUMBER(_xlfn.XLOOKUP($C467,Phone_by_Sentiment!$B$2:$B$37,Phone_by_Sentiment!M$2:M$37,"",0,1)),_xlfn.XLOOKUP($C467,Phone_by_Sentiment!$B$2:$B$37,Phone_by_Sentiment!M$2:M$37,"",0,1),0),$A467-TEXT(DATEVALUE($D467&amp;"-01"), "dd-mm-yyyy")),0),0)</f>
        <v>0</v>
      </c>
      <c r="N467" cm="1">
        <f t="array" ref="N467">IF($Q467&gt;=0,IFERROR(generateSalesData($D467, IF(ISNUMBER(_xlfn.XLOOKUP($C467,Phone_by_Sentiment!$B$2:$B$37,Phone_by_Sentiment!N$2:N$37,"",0,1)),_xlfn.XLOOKUP($C467,Phone_by_Sentiment!$B$2:$B$37,Phone_by_Sentiment!N$2:N$37,"",0,1),0),$A467-TEXT(DATEVALUE($D467&amp;"-01"), "dd-mm-yyyy")),0),0)</f>
        <v>0</v>
      </c>
      <c r="O467" cm="1">
        <f t="array" ref="O467">IF($Q467&gt;=0,IFERROR(generateSalesData($D467, IF(ISNUMBER(_xlfn.XLOOKUP($C467,Phone_by_Sentiment!$B$2:$B$37,Phone_by_Sentiment!O$2:O$37,"",0,1)),_xlfn.XLOOKUP($C467,Phone_by_Sentiment!$B$2:$B$37,Phone_by_Sentiment!O$2:O$37,"",0,1),0),$A467-TEXT(DATEVALUE($D467&amp;"-01"), "dd-mm-yyyy")),0),0)</f>
        <v>0</v>
      </c>
      <c r="P467" s="1">
        <f t="shared" si="19"/>
        <v>44256</v>
      </c>
      <c r="Q467">
        <f t="shared" si="20"/>
        <v>-394</v>
      </c>
    </row>
    <row r="468" spans="1:17" x14ac:dyDescent="0.25">
      <c r="A468" s="1">
        <f t="shared" si="18"/>
        <v>43862</v>
      </c>
      <c r="B468" t="s">
        <v>145</v>
      </c>
      <c r="C468" t="str">
        <f>_xlfn.XLOOKUP(B468,Phone_by_Price!$A$2:$A$34,Phone_by_Price!$B$2:$B$34,"-",0,1)</f>
        <v>OPPO A54</v>
      </c>
      <c r="D468" t="str">
        <f>_xlfn.XLOOKUP(C468,Phone_by_Sentiment!$B$2:$B$37,Phone_by_Sentiment!$A$2:$A$37,"-",0,1)</f>
        <v>2021-04</v>
      </c>
      <c r="E468" cm="1">
        <f t="array" ref="E468">IF($Q468&gt;=0,IFERROR(generateSalesData($D468, IF(ISNUMBER(_xlfn.XLOOKUP($C468,Phone_by_Sentiment!$B$2:$B$37,Phone_by_Sentiment!E$2:E$37,"",0,1)),_xlfn.XLOOKUP($C468,Phone_by_Sentiment!$B$2:$B$37,Phone_by_Sentiment!E$2:E$37,"",0,1),0),$A468-TEXT(DATEVALUE($D468&amp;"-01"), "dd-mm-yyyy")),0),0)</f>
        <v>0</v>
      </c>
      <c r="F468" cm="1">
        <f t="array" ref="F468">IF($Q468&gt;=0,IFERROR(generateSalesData($D468, IF(ISNUMBER(_xlfn.XLOOKUP($C468,Phone_by_Sentiment!$B$2:$B$37,Phone_by_Sentiment!F$2:F$37,"",0,1)),_xlfn.XLOOKUP($C468,Phone_by_Sentiment!$B$2:$B$37,Phone_by_Sentiment!F$2:F$37,"",0,1),0),$A468-TEXT(DATEVALUE($D468&amp;"-01"), "dd-mm-yyyy")),0),0)</f>
        <v>0</v>
      </c>
      <c r="G468" cm="1">
        <f t="array" ref="G468">IF($Q468&gt;=0,IFERROR(generateSalesData($D468, IF(ISNUMBER(_xlfn.XLOOKUP($C468,Phone_by_Sentiment!$B$2:$B$37,Phone_by_Sentiment!G$2:G$37,"",0,1)),_xlfn.XLOOKUP($C468,Phone_by_Sentiment!$B$2:$B$37,Phone_by_Sentiment!G$2:G$37,"",0,1),0),$A468-TEXT(DATEVALUE($D468&amp;"-01"), "dd-mm-yyyy")),0),0)</f>
        <v>0</v>
      </c>
      <c r="H468" cm="1">
        <f t="array" ref="H468">IF($Q468&gt;=0,IFERROR(generateSalesData($D468, IF(ISNUMBER(_xlfn.XLOOKUP($C468,Phone_by_Sentiment!$B$2:$B$37,Phone_by_Sentiment!H$2:H$37,"",0,1)),_xlfn.XLOOKUP($C468,Phone_by_Sentiment!$B$2:$B$37,Phone_by_Sentiment!H$2:H$37,"",0,1),0),$A468-TEXT(DATEVALUE($D468&amp;"-01"), "dd-mm-yyyy")),0),0)</f>
        <v>0</v>
      </c>
      <c r="I468" cm="1">
        <f t="array" ref="I468">IF($Q468&gt;=0,IFERROR(generateSalesData($D468, IF(ISNUMBER(_xlfn.XLOOKUP($C468,Phone_by_Sentiment!$B$2:$B$37,Phone_by_Sentiment!I$2:I$37,"",0,1)),_xlfn.XLOOKUP($C468,Phone_by_Sentiment!$B$2:$B$37,Phone_by_Sentiment!I$2:I$37,"",0,1),0),$A468-TEXT(DATEVALUE($D468&amp;"-01"), "dd-mm-yyyy")),0),0)</f>
        <v>0</v>
      </c>
      <c r="J468" cm="1">
        <f t="array" ref="J468">IF($Q468&gt;=0,IFERROR(generateSalesData($D468, IF(ISNUMBER(_xlfn.XLOOKUP($C468,Phone_by_Sentiment!$B$2:$B$37,Phone_by_Sentiment!J$2:J$37,"",0,1)),_xlfn.XLOOKUP($C468,Phone_by_Sentiment!$B$2:$B$37,Phone_by_Sentiment!J$2:J$37,"",0,1),0),$A468-TEXT(DATEVALUE($D468&amp;"-01"), "dd-mm-yyyy")),0),0)</f>
        <v>0</v>
      </c>
      <c r="K468" cm="1">
        <f t="array" ref="K468">IF($Q468&gt;=0,IFERROR(generateSalesData($D468, IF(ISNUMBER(_xlfn.XLOOKUP($C468,Phone_by_Sentiment!$B$2:$B$37,Phone_by_Sentiment!K$2:K$37,"",0,1)),_xlfn.XLOOKUP($C468,Phone_by_Sentiment!$B$2:$B$37,Phone_by_Sentiment!K$2:K$37,"",0,1),0),$A468-TEXT(DATEVALUE($D468&amp;"-01"), "dd-mm-yyyy")),0),0)</f>
        <v>0</v>
      </c>
      <c r="L468" cm="1">
        <f t="array" ref="L468">IF($Q468&gt;=0,IFERROR(generateSalesData($D468, IF(ISNUMBER(_xlfn.XLOOKUP($C468,Phone_by_Sentiment!$B$2:$B$37,Phone_by_Sentiment!L$2:L$37,"",0,1)),_xlfn.XLOOKUP($C468,Phone_by_Sentiment!$B$2:$B$37,Phone_by_Sentiment!L$2:L$37,"",0,1),0),$A468-TEXT(DATEVALUE($D468&amp;"-01"), "dd-mm-yyyy")),0),0)</f>
        <v>0</v>
      </c>
      <c r="M468" cm="1">
        <f t="array" ref="M468">IF($Q468&gt;=0,IFERROR(generateSalesData($D468, IF(ISNUMBER(_xlfn.XLOOKUP($C468,Phone_by_Sentiment!$B$2:$B$37,Phone_by_Sentiment!M$2:M$37,"",0,1)),_xlfn.XLOOKUP($C468,Phone_by_Sentiment!$B$2:$B$37,Phone_by_Sentiment!M$2:M$37,"",0,1),0),$A468-TEXT(DATEVALUE($D468&amp;"-01"), "dd-mm-yyyy")),0),0)</f>
        <v>0</v>
      </c>
      <c r="N468" cm="1">
        <f t="array" ref="N468">IF($Q468&gt;=0,IFERROR(generateSalesData($D468, IF(ISNUMBER(_xlfn.XLOOKUP($C468,Phone_by_Sentiment!$B$2:$B$37,Phone_by_Sentiment!N$2:N$37,"",0,1)),_xlfn.XLOOKUP($C468,Phone_by_Sentiment!$B$2:$B$37,Phone_by_Sentiment!N$2:N$37,"",0,1),0),$A468-TEXT(DATEVALUE($D468&amp;"-01"), "dd-mm-yyyy")),0),0)</f>
        <v>0</v>
      </c>
      <c r="O468" cm="1">
        <f t="array" ref="O468">IF($Q468&gt;=0,IFERROR(generateSalesData($D468, IF(ISNUMBER(_xlfn.XLOOKUP($C468,Phone_by_Sentiment!$B$2:$B$37,Phone_by_Sentiment!O$2:O$37,"",0,1)),_xlfn.XLOOKUP($C468,Phone_by_Sentiment!$B$2:$B$37,Phone_by_Sentiment!O$2:O$37,"",0,1),0),$A468-TEXT(DATEVALUE($D468&amp;"-01"), "dd-mm-yyyy")),0),0)</f>
        <v>0</v>
      </c>
      <c r="P468" s="1">
        <f t="shared" si="19"/>
        <v>44287</v>
      </c>
      <c r="Q468">
        <f t="shared" si="20"/>
        <v>-425</v>
      </c>
    </row>
    <row r="469" spans="1:17" x14ac:dyDescent="0.25">
      <c r="A469" s="1">
        <f t="shared" si="18"/>
        <v>43862</v>
      </c>
      <c r="B469" t="s">
        <v>146</v>
      </c>
      <c r="C469" t="str">
        <f>_xlfn.XLOOKUP(B469,Phone_by_Price!$A$2:$A$34,Phone_by_Price!$B$2:$B$34,"-",0,1)</f>
        <v>Vivo Y20</v>
      </c>
      <c r="D469" t="str">
        <f>_xlfn.XLOOKUP(C469,Phone_by_Sentiment!$B$2:$B$37,Phone_by_Sentiment!$A$2:$A$37,"-",0,1)</f>
        <v>2020-09</v>
      </c>
      <c r="E469" cm="1">
        <f t="array" ref="E469">IF($Q469&gt;=0,IFERROR(generateSalesData($D469, IF(ISNUMBER(_xlfn.XLOOKUP($C469,Phone_by_Sentiment!$B$2:$B$37,Phone_by_Sentiment!E$2:E$37,"",0,1)),_xlfn.XLOOKUP($C469,Phone_by_Sentiment!$B$2:$B$37,Phone_by_Sentiment!E$2:E$37,"",0,1),0),$A469-TEXT(DATEVALUE($D469&amp;"-01"), "dd-mm-yyyy")),0),0)</f>
        <v>0</v>
      </c>
      <c r="F469" cm="1">
        <f t="array" ref="F469">IF($Q469&gt;=0,IFERROR(generateSalesData($D469, IF(ISNUMBER(_xlfn.XLOOKUP($C469,Phone_by_Sentiment!$B$2:$B$37,Phone_by_Sentiment!F$2:F$37,"",0,1)),_xlfn.XLOOKUP($C469,Phone_by_Sentiment!$B$2:$B$37,Phone_by_Sentiment!F$2:F$37,"",0,1),0),$A469-TEXT(DATEVALUE($D469&amp;"-01"), "dd-mm-yyyy")),0),0)</f>
        <v>0</v>
      </c>
      <c r="G469" cm="1">
        <f t="array" ref="G469">IF($Q469&gt;=0,IFERROR(generateSalesData($D469, IF(ISNUMBER(_xlfn.XLOOKUP($C469,Phone_by_Sentiment!$B$2:$B$37,Phone_by_Sentiment!G$2:G$37,"",0,1)),_xlfn.XLOOKUP($C469,Phone_by_Sentiment!$B$2:$B$37,Phone_by_Sentiment!G$2:G$37,"",0,1),0),$A469-TEXT(DATEVALUE($D469&amp;"-01"), "dd-mm-yyyy")),0),0)</f>
        <v>0</v>
      </c>
      <c r="H469" cm="1">
        <f t="array" ref="H469">IF($Q469&gt;=0,IFERROR(generateSalesData($D469, IF(ISNUMBER(_xlfn.XLOOKUP($C469,Phone_by_Sentiment!$B$2:$B$37,Phone_by_Sentiment!H$2:H$37,"",0,1)),_xlfn.XLOOKUP($C469,Phone_by_Sentiment!$B$2:$B$37,Phone_by_Sentiment!H$2:H$37,"",0,1),0),$A469-TEXT(DATEVALUE($D469&amp;"-01"), "dd-mm-yyyy")),0),0)</f>
        <v>0</v>
      </c>
      <c r="I469" cm="1">
        <f t="array" ref="I469">IF($Q469&gt;=0,IFERROR(generateSalesData($D469, IF(ISNUMBER(_xlfn.XLOOKUP($C469,Phone_by_Sentiment!$B$2:$B$37,Phone_by_Sentiment!I$2:I$37,"",0,1)),_xlfn.XLOOKUP($C469,Phone_by_Sentiment!$B$2:$B$37,Phone_by_Sentiment!I$2:I$37,"",0,1),0),$A469-TEXT(DATEVALUE($D469&amp;"-01"), "dd-mm-yyyy")),0),0)</f>
        <v>0</v>
      </c>
      <c r="J469" cm="1">
        <f t="array" ref="J469">IF($Q469&gt;=0,IFERROR(generateSalesData($D469, IF(ISNUMBER(_xlfn.XLOOKUP($C469,Phone_by_Sentiment!$B$2:$B$37,Phone_by_Sentiment!J$2:J$37,"",0,1)),_xlfn.XLOOKUP($C469,Phone_by_Sentiment!$B$2:$B$37,Phone_by_Sentiment!J$2:J$37,"",0,1),0),$A469-TEXT(DATEVALUE($D469&amp;"-01"), "dd-mm-yyyy")),0),0)</f>
        <v>0</v>
      </c>
      <c r="K469" cm="1">
        <f t="array" ref="K469">IF($Q469&gt;=0,IFERROR(generateSalesData($D469, IF(ISNUMBER(_xlfn.XLOOKUP($C469,Phone_by_Sentiment!$B$2:$B$37,Phone_by_Sentiment!K$2:K$37,"",0,1)),_xlfn.XLOOKUP($C469,Phone_by_Sentiment!$B$2:$B$37,Phone_by_Sentiment!K$2:K$37,"",0,1),0),$A469-TEXT(DATEVALUE($D469&amp;"-01"), "dd-mm-yyyy")),0),0)</f>
        <v>0</v>
      </c>
      <c r="L469" cm="1">
        <f t="array" ref="L469">IF($Q469&gt;=0,IFERROR(generateSalesData($D469, IF(ISNUMBER(_xlfn.XLOOKUP($C469,Phone_by_Sentiment!$B$2:$B$37,Phone_by_Sentiment!L$2:L$37,"",0,1)),_xlfn.XLOOKUP($C469,Phone_by_Sentiment!$B$2:$B$37,Phone_by_Sentiment!L$2:L$37,"",0,1),0),$A469-TEXT(DATEVALUE($D469&amp;"-01"), "dd-mm-yyyy")),0),0)</f>
        <v>0</v>
      </c>
      <c r="M469" cm="1">
        <f t="array" ref="M469">IF($Q469&gt;=0,IFERROR(generateSalesData($D469, IF(ISNUMBER(_xlfn.XLOOKUP($C469,Phone_by_Sentiment!$B$2:$B$37,Phone_by_Sentiment!M$2:M$37,"",0,1)),_xlfn.XLOOKUP($C469,Phone_by_Sentiment!$B$2:$B$37,Phone_by_Sentiment!M$2:M$37,"",0,1),0),$A469-TEXT(DATEVALUE($D469&amp;"-01"), "dd-mm-yyyy")),0),0)</f>
        <v>0</v>
      </c>
      <c r="N469" cm="1">
        <f t="array" ref="N469">IF($Q469&gt;=0,IFERROR(generateSalesData($D469, IF(ISNUMBER(_xlfn.XLOOKUP($C469,Phone_by_Sentiment!$B$2:$B$37,Phone_by_Sentiment!N$2:N$37,"",0,1)),_xlfn.XLOOKUP($C469,Phone_by_Sentiment!$B$2:$B$37,Phone_by_Sentiment!N$2:N$37,"",0,1),0),$A469-TEXT(DATEVALUE($D469&amp;"-01"), "dd-mm-yyyy")),0),0)</f>
        <v>0</v>
      </c>
      <c r="O469" cm="1">
        <f t="array" ref="O469">IF($Q469&gt;=0,IFERROR(generateSalesData($D469, IF(ISNUMBER(_xlfn.XLOOKUP($C469,Phone_by_Sentiment!$B$2:$B$37,Phone_by_Sentiment!O$2:O$37,"",0,1)),_xlfn.XLOOKUP($C469,Phone_by_Sentiment!$B$2:$B$37,Phone_by_Sentiment!O$2:O$37,"",0,1),0),$A469-TEXT(DATEVALUE($D469&amp;"-01"), "dd-mm-yyyy")),0),0)</f>
        <v>0</v>
      </c>
      <c r="P469" s="1">
        <f t="shared" si="19"/>
        <v>44075</v>
      </c>
      <c r="Q469">
        <f t="shared" si="20"/>
        <v>-213</v>
      </c>
    </row>
    <row r="470" spans="1:17" x14ac:dyDescent="0.25">
      <c r="A470" s="1">
        <f t="shared" si="18"/>
        <v>43862</v>
      </c>
      <c r="B470" t="s">
        <v>147</v>
      </c>
      <c r="C470" t="str">
        <f>_xlfn.XLOOKUP(B470,Phone_by_Price!$A$2:$A$34,Phone_by_Price!$B$2:$B$34,"-",0,1)</f>
        <v>Huawei Y9a</v>
      </c>
      <c r="D470" t="str">
        <f>_xlfn.XLOOKUP(C470,Phone_by_Sentiment!$B$2:$B$37,Phone_by_Sentiment!$A$2:$A$37,"-",0,1)</f>
        <v>2020-02</v>
      </c>
      <c r="E470" cm="1">
        <f t="array" ref="E470">IF($Q470&gt;=0,IFERROR(generateSalesData($D470, IF(ISNUMBER(_xlfn.XLOOKUP($C470,Phone_by_Sentiment!$B$2:$B$37,Phone_by_Sentiment!E$2:E$37,"",0,1)),_xlfn.XLOOKUP($C470,Phone_by_Sentiment!$B$2:$B$37,Phone_by_Sentiment!E$2:E$37,"",0,1),0),$A470-TEXT(DATEVALUE($D470&amp;"-01"), "dd-mm-yyyy")),0),0)</f>
        <v>6591</v>
      </c>
      <c r="F470" cm="1">
        <f t="array" ref="F470">IF($Q470&gt;=0,IFERROR(generateSalesData($D470, IF(ISNUMBER(_xlfn.XLOOKUP($C470,Phone_by_Sentiment!$B$2:$B$37,Phone_by_Sentiment!F$2:F$37,"",0,1)),_xlfn.XLOOKUP($C470,Phone_by_Sentiment!$B$2:$B$37,Phone_by_Sentiment!F$2:F$37,"",0,1),0),$A470-TEXT(DATEVALUE($D470&amp;"-01"), "dd-mm-yyyy")),0),0)</f>
        <v>9137</v>
      </c>
      <c r="G470" cm="1">
        <f t="array" ref="G470">IF($Q470&gt;=0,IFERROR(generateSalesData($D470, IF(ISNUMBER(_xlfn.XLOOKUP($C470,Phone_by_Sentiment!$B$2:$B$37,Phone_by_Sentiment!G$2:G$37,"",0,1)),_xlfn.XLOOKUP($C470,Phone_by_Sentiment!$B$2:$B$37,Phone_by_Sentiment!G$2:G$37,"",0,1),0),$A470-TEXT(DATEVALUE($D470&amp;"-01"), "dd-mm-yyyy")),0),0)</f>
        <v>779</v>
      </c>
      <c r="H470" cm="1">
        <f t="array" ref="H470">IF($Q470&gt;=0,IFERROR(generateSalesData($D470, IF(ISNUMBER(_xlfn.XLOOKUP($C470,Phone_by_Sentiment!$B$2:$B$37,Phone_by_Sentiment!H$2:H$37,"",0,1)),_xlfn.XLOOKUP($C470,Phone_by_Sentiment!$B$2:$B$37,Phone_by_Sentiment!H$2:H$37,"",0,1),0),$A470-TEXT(DATEVALUE($D470&amp;"-01"), "dd-mm-yyyy")),0),0)</f>
        <v>2752</v>
      </c>
      <c r="I470" cm="1">
        <f t="array" ref="I470">IF($Q470&gt;=0,IFERROR(generateSalesData($D470, IF(ISNUMBER(_xlfn.XLOOKUP($C470,Phone_by_Sentiment!$B$2:$B$37,Phone_by_Sentiment!I$2:I$37,"",0,1)),_xlfn.XLOOKUP($C470,Phone_by_Sentiment!$B$2:$B$37,Phone_by_Sentiment!I$2:I$37,"",0,1),0),$A470-TEXT(DATEVALUE($D470&amp;"-01"), "dd-mm-yyyy")),0),0)</f>
        <v>1150</v>
      </c>
      <c r="J470" cm="1">
        <f t="array" ref="J470">IF($Q470&gt;=0,IFERROR(generateSalesData($D470, IF(ISNUMBER(_xlfn.XLOOKUP($C470,Phone_by_Sentiment!$B$2:$B$37,Phone_by_Sentiment!J$2:J$37,"",0,1)),_xlfn.XLOOKUP($C470,Phone_by_Sentiment!$B$2:$B$37,Phone_by_Sentiment!J$2:J$37,"",0,1),0),$A470-TEXT(DATEVALUE($D470&amp;"-01"), "dd-mm-yyyy")),0),0)</f>
        <v>2093</v>
      </c>
      <c r="K470" cm="1">
        <f t="array" ref="K470">IF($Q470&gt;=0,IFERROR(generateSalesData($D470, IF(ISNUMBER(_xlfn.XLOOKUP($C470,Phone_by_Sentiment!$B$2:$B$37,Phone_by_Sentiment!K$2:K$37,"",0,1)),_xlfn.XLOOKUP($C470,Phone_by_Sentiment!$B$2:$B$37,Phone_by_Sentiment!K$2:K$37,"",0,1),0),$A470-TEXT(DATEVALUE($D470&amp;"-01"), "dd-mm-yyyy")),0),0)</f>
        <v>2143</v>
      </c>
      <c r="L470" cm="1">
        <f t="array" ref="L470">IF($Q470&gt;=0,IFERROR(generateSalesData($D470, IF(ISNUMBER(_xlfn.XLOOKUP($C470,Phone_by_Sentiment!$B$2:$B$37,Phone_by_Sentiment!L$2:L$37,"",0,1)),_xlfn.XLOOKUP($C470,Phone_by_Sentiment!$B$2:$B$37,Phone_by_Sentiment!L$2:L$37,"",0,1),0),$A470-TEXT(DATEVALUE($D470&amp;"-01"), "dd-mm-yyyy")),0),0)</f>
        <v>464</v>
      </c>
      <c r="M470" cm="1">
        <f t="array" ref="M470">IF($Q470&gt;=0,IFERROR(generateSalesData($D470, IF(ISNUMBER(_xlfn.XLOOKUP($C470,Phone_by_Sentiment!$B$2:$B$37,Phone_by_Sentiment!M$2:M$37,"",0,1)),_xlfn.XLOOKUP($C470,Phone_by_Sentiment!$B$2:$B$37,Phone_by_Sentiment!M$2:M$37,"",0,1),0),$A470-TEXT(DATEVALUE($D470&amp;"-01"), "dd-mm-yyyy")),0),0)</f>
        <v>1919</v>
      </c>
      <c r="N470" cm="1">
        <f t="array" ref="N470">IF($Q470&gt;=0,IFERROR(generateSalesData($D470, IF(ISNUMBER(_xlfn.XLOOKUP($C470,Phone_by_Sentiment!$B$2:$B$37,Phone_by_Sentiment!N$2:N$37,"",0,1)),_xlfn.XLOOKUP($C470,Phone_by_Sentiment!$B$2:$B$37,Phone_by_Sentiment!N$2:N$37,"",0,1),0),$A470-TEXT(DATEVALUE($D470&amp;"-01"), "dd-mm-yyyy")),0),0)</f>
        <v>2520</v>
      </c>
      <c r="O470" cm="1">
        <f t="array" ref="O470">IF($Q470&gt;=0,IFERROR(generateSalesData($D470, IF(ISNUMBER(_xlfn.XLOOKUP($C470,Phone_by_Sentiment!$B$2:$B$37,Phone_by_Sentiment!O$2:O$37,"",0,1)),_xlfn.XLOOKUP($C470,Phone_by_Sentiment!$B$2:$B$37,Phone_by_Sentiment!O$2:O$37,"",0,1),0),$A470-TEXT(DATEVALUE($D470&amp;"-01"), "dd-mm-yyyy")),0),0)</f>
        <v>1798</v>
      </c>
      <c r="P470" s="1">
        <f t="shared" si="19"/>
        <v>43862</v>
      </c>
      <c r="Q470">
        <f t="shared" si="20"/>
        <v>0</v>
      </c>
    </row>
    <row r="471" spans="1:17" x14ac:dyDescent="0.25">
      <c r="A471" s="1">
        <f t="shared" si="18"/>
        <v>43862</v>
      </c>
      <c r="B471" t="s">
        <v>148</v>
      </c>
      <c r="C471" t="str">
        <f>_xlfn.XLOOKUP(B471,Phone_by_Price!$A$2:$A$34,Phone_by_Price!$B$2:$B$34,"-",0,1)</f>
        <v>Xiaomi Redmi 10</v>
      </c>
      <c r="D471" t="str">
        <f>_xlfn.XLOOKUP(C471,Phone_by_Sentiment!$B$2:$B$37,Phone_by_Sentiment!$A$2:$A$37,"-",0,1)</f>
        <v>2021-03</v>
      </c>
      <c r="E471" cm="1">
        <f t="array" ref="E471">IF($Q471&gt;=0,IFERROR(generateSalesData($D471, IF(ISNUMBER(_xlfn.XLOOKUP($C471,Phone_by_Sentiment!$B$2:$B$37,Phone_by_Sentiment!E$2:E$37,"",0,1)),_xlfn.XLOOKUP($C471,Phone_by_Sentiment!$B$2:$B$37,Phone_by_Sentiment!E$2:E$37,"",0,1),0),$A471-TEXT(DATEVALUE($D471&amp;"-01"), "dd-mm-yyyy")),0),0)</f>
        <v>0</v>
      </c>
      <c r="F471" cm="1">
        <f t="array" ref="F471">IF($Q471&gt;=0,IFERROR(generateSalesData($D471, IF(ISNUMBER(_xlfn.XLOOKUP($C471,Phone_by_Sentiment!$B$2:$B$37,Phone_by_Sentiment!F$2:F$37,"",0,1)),_xlfn.XLOOKUP($C471,Phone_by_Sentiment!$B$2:$B$37,Phone_by_Sentiment!F$2:F$37,"",0,1),0),$A471-TEXT(DATEVALUE($D471&amp;"-01"), "dd-mm-yyyy")),0),0)</f>
        <v>0</v>
      </c>
      <c r="G471" cm="1">
        <f t="array" ref="G471">IF($Q471&gt;=0,IFERROR(generateSalesData($D471, IF(ISNUMBER(_xlfn.XLOOKUP($C471,Phone_by_Sentiment!$B$2:$B$37,Phone_by_Sentiment!G$2:G$37,"",0,1)),_xlfn.XLOOKUP($C471,Phone_by_Sentiment!$B$2:$B$37,Phone_by_Sentiment!G$2:G$37,"",0,1),0),$A471-TEXT(DATEVALUE($D471&amp;"-01"), "dd-mm-yyyy")),0),0)</f>
        <v>0</v>
      </c>
      <c r="H471" cm="1">
        <f t="array" ref="H471">IF($Q471&gt;=0,IFERROR(generateSalesData($D471, IF(ISNUMBER(_xlfn.XLOOKUP($C471,Phone_by_Sentiment!$B$2:$B$37,Phone_by_Sentiment!H$2:H$37,"",0,1)),_xlfn.XLOOKUP($C471,Phone_by_Sentiment!$B$2:$B$37,Phone_by_Sentiment!H$2:H$37,"",0,1),0),$A471-TEXT(DATEVALUE($D471&amp;"-01"), "dd-mm-yyyy")),0),0)</f>
        <v>0</v>
      </c>
      <c r="I471" cm="1">
        <f t="array" ref="I471">IF($Q471&gt;=0,IFERROR(generateSalesData($D471, IF(ISNUMBER(_xlfn.XLOOKUP($C471,Phone_by_Sentiment!$B$2:$B$37,Phone_by_Sentiment!I$2:I$37,"",0,1)),_xlfn.XLOOKUP($C471,Phone_by_Sentiment!$B$2:$B$37,Phone_by_Sentiment!I$2:I$37,"",0,1),0),$A471-TEXT(DATEVALUE($D471&amp;"-01"), "dd-mm-yyyy")),0),0)</f>
        <v>0</v>
      </c>
      <c r="J471" cm="1">
        <f t="array" ref="J471">IF($Q471&gt;=0,IFERROR(generateSalesData($D471, IF(ISNUMBER(_xlfn.XLOOKUP($C471,Phone_by_Sentiment!$B$2:$B$37,Phone_by_Sentiment!J$2:J$37,"",0,1)),_xlfn.XLOOKUP($C471,Phone_by_Sentiment!$B$2:$B$37,Phone_by_Sentiment!J$2:J$37,"",0,1),0),$A471-TEXT(DATEVALUE($D471&amp;"-01"), "dd-mm-yyyy")),0),0)</f>
        <v>0</v>
      </c>
      <c r="K471" cm="1">
        <f t="array" ref="K471">IF($Q471&gt;=0,IFERROR(generateSalesData($D471, IF(ISNUMBER(_xlfn.XLOOKUP($C471,Phone_by_Sentiment!$B$2:$B$37,Phone_by_Sentiment!K$2:K$37,"",0,1)),_xlfn.XLOOKUP($C471,Phone_by_Sentiment!$B$2:$B$37,Phone_by_Sentiment!K$2:K$37,"",0,1),0),$A471-TEXT(DATEVALUE($D471&amp;"-01"), "dd-mm-yyyy")),0),0)</f>
        <v>0</v>
      </c>
      <c r="L471" cm="1">
        <f t="array" ref="L471">IF($Q471&gt;=0,IFERROR(generateSalesData($D471, IF(ISNUMBER(_xlfn.XLOOKUP($C471,Phone_by_Sentiment!$B$2:$B$37,Phone_by_Sentiment!L$2:L$37,"",0,1)),_xlfn.XLOOKUP($C471,Phone_by_Sentiment!$B$2:$B$37,Phone_by_Sentiment!L$2:L$37,"",0,1),0),$A471-TEXT(DATEVALUE($D471&amp;"-01"), "dd-mm-yyyy")),0),0)</f>
        <v>0</v>
      </c>
      <c r="M471" cm="1">
        <f t="array" ref="M471">IF($Q471&gt;=0,IFERROR(generateSalesData($D471, IF(ISNUMBER(_xlfn.XLOOKUP($C471,Phone_by_Sentiment!$B$2:$B$37,Phone_by_Sentiment!M$2:M$37,"",0,1)),_xlfn.XLOOKUP($C471,Phone_by_Sentiment!$B$2:$B$37,Phone_by_Sentiment!M$2:M$37,"",0,1),0),$A471-TEXT(DATEVALUE($D471&amp;"-01"), "dd-mm-yyyy")),0),0)</f>
        <v>0</v>
      </c>
      <c r="N471" cm="1">
        <f t="array" ref="N471">IF($Q471&gt;=0,IFERROR(generateSalesData($D471, IF(ISNUMBER(_xlfn.XLOOKUP($C471,Phone_by_Sentiment!$B$2:$B$37,Phone_by_Sentiment!N$2:N$37,"",0,1)),_xlfn.XLOOKUP($C471,Phone_by_Sentiment!$B$2:$B$37,Phone_by_Sentiment!N$2:N$37,"",0,1),0),$A471-TEXT(DATEVALUE($D471&amp;"-01"), "dd-mm-yyyy")),0),0)</f>
        <v>0</v>
      </c>
      <c r="O471" cm="1">
        <f t="array" ref="O471">IF($Q471&gt;=0,IFERROR(generateSalesData($D471, IF(ISNUMBER(_xlfn.XLOOKUP($C471,Phone_by_Sentiment!$B$2:$B$37,Phone_by_Sentiment!O$2:O$37,"",0,1)),_xlfn.XLOOKUP($C471,Phone_by_Sentiment!$B$2:$B$37,Phone_by_Sentiment!O$2:O$37,"",0,1),0),$A471-TEXT(DATEVALUE($D471&amp;"-01"), "dd-mm-yyyy")),0),0)</f>
        <v>0</v>
      </c>
      <c r="P471" s="1">
        <f t="shared" si="19"/>
        <v>44256</v>
      </c>
      <c r="Q471">
        <f t="shared" si="20"/>
        <v>-394</v>
      </c>
    </row>
    <row r="472" spans="1:17" x14ac:dyDescent="0.25">
      <c r="A472" s="1">
        <f t="shared" si="18"/>
        <v>43862</v>
      </c>
      <c r="B472" t="s">
        <v>149</v>
      </c>
      <c r="C472" t="str">
        <f>_xlfn.XLOOKUP(B472,Phone_by_Price!$A$2:$A$34,Phone_by_Price!$B$2:$B$34,"-",0,1)</f>
        <v>Samsung Galaxy A52</v>
      </c>
      <c r="D472" t="str">
        <f>_xlfn.XLOOKUP(C472,Phone_by_Sentiment!$B$2:$B$37,Phone_by_Sentiment!$A$2:$A$37,"-",0,1)</f>
        <v>2021-03</v>
      </c>
      <c r="E472" cm="1">
        <f t="array" ref="E472">IF($Q472&gt;=0,IFERROR(generateSalesData($D472, IF(ISNUMBER(_xlfn.XLOOKUP($C472,Phone_by_Sentiment!$B$2:$B$37,Phone_by_Sentiment!E$2:E$37,"",0,1)),_xlfn.XLOOKUP($C472,Phone_by_Sentiment!$B$2:$B$37,Phone_by_Sentiment!E$2:E$37,"",0,1),0),$A472-TEXT(DATEVALUE($D472&amp;"-01"), "dd-mm-yyyy")),0),0)</f>
        <v>0</v>
      </c>
      <c r="F472" cm="1">
        <f t="array" ref="F472">IF($Q472&gt;=0,IFERROR(generateSalesData($D472, IF(ISNUMBER(_xlfn.XLOOKUP($C472,Phone_by_Sentiment!$B$2:$B$37,Phone_by_Sentiment!F$2:F$37,"",0,1)),_xlfn.XLOOKUP($C472,Phone_by_Sentiment!$B$2:$B$37,Phone_by_Sentiment!F$2:F$37,"",0,1),0),$A472-TEXT(DATEVALUE($D472&amp;"-01"), "dd-mm-yyyy")),0),0)</f>
        <v>0</v>
      </c>
      <c r="G472" cm="1">
        <f t="array" ref="G472">IF($Q472&gt;=0,IFERROR(generateSalesData($D472, IF(ISNUMBER(_xlfn.XLOOKUP($C472,Phone_by_Sentiment!$B$2:$B$37,Phone_by_Sentiment!G$2:G$37,"",0,1)),_xlfn.XLOOKUP($C472,Phone_by_Sentiment!$B$2:$B$37,Phone_by_Sentiment!G$2:G$37,"",0,1),0),$A472-TEXT(DATEVALUE($D472&amp;"-01"), "dd-mm-yyyy")),0),0)</f>
        <v>0</v>
      </c>
      <c r="H472" cm="1">
        <f t="array" ref="H472">IF($Q472&gt;=0,IFERROR(generateSalesData($D472, IF(ISNUMBER(_xlfn.XLOOKUP($C472,Phone_by_Sentiment!$B$2:$B$37,Phone_by_Sentiment!H$2:H$37,"",0,1)),_xlfn.XLOOKUP($C472,Phone_by_Sentiment!$B$2:$B$37,Phone_by_Sentiment!H$2:H$37,"",0,1),0),$A472-TEXT(DATEVALUE($D472&amp;"-01"), "dd-mm-yyyy")),0),0)</f>
        <v>0</v>
      </c>
      <c r="I472" cm="1">
        <f t="array" ref="I472">IF($Q472&gt;=0,IFERROR(generateSalesData($D472, IF(ISNUMBER(_xlfn.XLOOKUP($C472,Phone_by_Sentiment!$B$2:$B$37,Phone_by_Sentiment!I$2:I$37,"",0,1)),_xlfn.XLOOKUP($C472,Phone_by_Sentiment!$B$2:$B$37,Phone_by_Sentiment!I$2:I$37,"",0,1),0),$A472-TEXT(DATEVALUE($D472&amp;"-01"), "dd-mm-yyyy")),0),0)</f>
        <v>0</v>
      </c>
      <c r="J472" cm="1">
        <f t="array" ref="J472">IF($Q472&gt;=0,IFERROR(generateSalesData($D472, IF(ISNUMBER(_xlfn.XLOOKUP($C472,Phone_by_Sentiment!$B$2:$B$37,Phone_by_Sentiment!J$2:J$37,"",0,1)),_xlfn.XLOOKUP($C472,Phone_by_Sentiment!$B$2:$B$37,Phone_by_Sentiment!J$2:J$37,"",0,1),0),$A472-TEXT(DATEVALUE($D472&amp;"-01"), "dd-mm-yyyy")),0),0)</f>
        <v>0</v>
      </c>
      <c r="K472" cm="1">
        <f t="array" ref="K472">IF($Q472&gt;=0,IFERROR(generateSalesData($D472, IF(ISNUMBER(_xlfn.XLOOKUP($C472,Phone_by_Sentiment!$B$2:$B$37,Phone_by_Sentiment!K$2:K$37,"",0,1)),_xlfn.XLOOKUP($C472,Phone_by_Sentiment!$B$2:$B$37,Phone_by_Sentiment!K$2:K$37,"",0,1),0),$A472-TEXT(DATEVALUE($D472&amp;"-01"), "dd-mm-yyyy")),0),0)</f>
        <v>0</v>
      </c>
      <c r="L472" cm="1">
        <f t="array" ref="L472">IF($Q472&gt;=0,IFERROR(generateSalesData($D472, IF(ISNUMBER(_xlfn.XLOOKUP($C472,Phone_by_Sentiment!$B$2:$B$37,Phone_by_Sentiment!L$2:L$37,"",0,1)),_xlfn.XLOOKUP($C472,Phone_by_Sentiment!$B$2:$B$37,Phone_by_Sentiment!L$2:L$37,"",0,1),0),$A472-TEXT(DATEVALUE($D472&amp;"-01"), "dd-mm-yyyy")),0),0)</f>
        <v>0</v>
      </c>
      <c r="M472" cm="1">
        <f t="array" ref="M472">IF($Q472&gt;=0,IFERROR(generateSalesData($D472, IF(ISNUMBER(_xlfn.XLOOKUP($C472,Phone_by_Sentiment!$B$2:$B$37,Phone_by_Sentiment!M$2:M$37,"",0,1)),_xlfn.XLOOKUP($C472,Phone_by_Sentiment!$B$2:$B$37,Phone_by_Sentiment!M$2:M$37,"",0,1),0),$A472-TEXT(DATEVALUE($D472&amp;"-01"), "dd-mm-yyyy")),0),0)</f>
        <v>0</v>
      </c>
      <c r="N472" cm="1">
        <f t="array" ref="N472">IF($Q472&gt;=0,IFERROR(generateSalesData($D472, IF(ISNUMBER(_xlfn.XLOOKUP($C472,Phone_by_Sentiment!$B$2:$B$37,Phone_by_Sentiment!N$2:N$37,"",0,1)),_xlfn.XLOOKUP($C472,Phone_by_Sentiment!$B$2:$B$37,Phone_by_Sentiment!N$2:N$37,"",0,1),0),$A472-TEXT(DATEVALUE($D472&amp;"-01"), "dd-mm-yyyy")),0),0)</f>
        <v>0</v>
      </c>
      <c r="O472" cm="1">
        <f t="array" ref="O472">IF($Q472&gt;=0,IFERROR(generateSalesData($D472, IF(ISNUMBER(_xlfn.XLOOKUP($C472,Phone_by_Sentiment!$B$2:$B$37,Phone_by_Sentiment!O$2:O$37,"",0,1)),_xlfn.XLOOKUP($C472,Phone_by_Sentiment!$B$2:$B$37,Phone_by_Sentiment!O$2:O$37,"",0,1),0),$A472-TEXT(DATEVALUE($D472&amp;"-01"), "dd-mm-yyyy")),0),0)</f>
        <v>0</v>
      </c>
      <c r="P472" s="1">
        <f t="shared" si="19"/>
        <v>44256</v>
      </c>
      <c r="Q472">
        <f t="shared" si="20"/>
        <v>-394</v>
      </c>
    </row>
    <row r="473" spans="1:17" x14ac:dyDescent="0.25">
      <c r="A473" s="1">
        <f t="shared" si="18"/>
        <v>43862</v>
      </c>
      <c r="B473" t="s">
        <v>150</v>
      </c>
      <c r="C473" t="str">
        <f>_xlfn.XLOOKUP(B473,Phone_by_Price!$A$2:$A$34,Phone_by_Price!$B$2:$B$34,"-",0,1)</f>
        <v>Vivo Y33s</v>
      </c>
      <c r="D473" t="str">
        <f>_xlfn.XLOOKUP(C473,Phone_by_Sentiment!$B$2:$B$37,Phone_by_Sentiment!$A$2:$A$37,"-",0,1)</f>
        <v>2021-05</v>
      </c>
      <c r="E473" cm="1">
        <f t="array" ref="E473">IF($Q473&gt;=0,IFERROR(generateSalesData($D473, IF(ISNUMBER(_xlfn.XLOOKUP($C473,Phone_by_Sentiment!$B$2:$B$37,Phone_by_Sentiment!E$2:E$37,"",0,1)),_xlfn.XLOOKUP($C473,Phone_by_Sentiment!$B$2:$B$37,Phone_by_Sentiment!E$2:E$37,"",0,1),0),$A473-TEXT(DATEVALUE($D473&amp;"-01"), "dd-mm-yyyy")),0),0)</f>
        <v>0</v>
      </c>
      <c r="F473" cm="1">
        <f t="array" ref="F473">IF($Q473&gt;=0,IFERROR(generateSalesData($D473, IF(ISNUMBER(_xlfn.XLOOKUP($C473,Phone_by_Sentiment!$B$2:$B$37,Phone_by_Sentiment!F$2:F$37,"",0,1)),_xlfn.XLOOKUP($C473,Phone_by_Sentiment!$B$2:$B$37,Phone_by_Sentiment!F$2:F$37,"",0,1),0),$A473-TEXT(DATEVALUE($D473&amp;"-01"), "dd-mm-yyyy")),0),0)</f>
        <v>0</v>
      </c>
      <c r="G473" cm="1">
        <f t="array" ref="G473">IF($Q473&gt;=0,IFERROR(generateSalesData($D473, IF(ISNUMBER(_xlfn.XLOOKUP($C473,Phone_by_Sentiment!$B$2:$B$37,Phone_by_Sentiment!G$2:G$37,"",0,1)),_xlfn.XLOOKUP($C473,Phone_by_Sentiment!$B$2:$B$37,Phone_by_Sentiment!G$2:G$37,"",0,1),0),$A473-TEXT(DATEVALUE($D473&amp;"-01"), "dd-mm-yyyy")),0),0)</f>
        <v>0</v>
      </c>
      <c r="H473" cm="1">
        <f t="array" ref="H473">IF($Q473&gt;=0,IFERROR(generateSalesData($D473, IF(ISNUMBER(_xlfn.XLOOKUP($C473,Phone_by_Sentiment!$B$2:$B$37,Phone_by_Sentiment!H$2:H$37,"",0,1)),_xlfn.XLOOKUP($C473,Phone_by_Sentiment!$B$2:$B$37,Phone_by_Sentiment!H$2:H$37,"",0,1),0),$A473-TEXT(DATEVALUE($D473&amp;"-01"), "dd-mm-yyyy")),0),0)</f>
        <v>0</v>
      </c>
      <c r="I473" cm="1">
        <f t="array" ref="I473">IF($Q473&gt;=0,IFERROR(generateSalesData($D473, IF(ISNUMBER(_xlfn.XLOOKUP($C473,Phone_by_Sentiment!$B$2:$B$37,Phone_by_Sentiment!I$2:I$37,"",0,1)),_xlfn.XLOOKUP($C473,Phone_by_Sentiment!$B$2:$B$37,Phone_by_Sentiment!I$2:I$37,"",0,1),0),$A473-TEXT(DATEVALUE($D473&amp;"-01"), "dd-mm-yyyy")),0),0)</f>
        <v>0</v>
      </c>
      <c r="J473" cm="1">
        <f t="array" ref="J473">IF($Q473&gt;=0,IFERROR(generateSalesData($D473, IF(ISNUMBER(_xlfn.XLOOKUP($C473,Phone_by_Sentiment!$B$2:$B$37,Phone_by_Sentiment!J$2:J$37,"",0,1)),_xlfn.XLOOKUP($C473,Phone_by_Sentiment!$B$2:$B$37,Phone_by_Sentiment!J$2:J$37,"",0,1),0),$A473-TEXT(DATEVALUE($D473&amp;"-01"), "dd-mm-yyyy")),0),0)</f>
        <v>0</v>
      </c>
      <c r="K473" cm="1">
        <f t="array" ref="K473">IF($Q473&gt;=0,IFERROR(generateSalesData($D473, IF(ISNUMBER(_xlfn.XLOOKUP($C473,Phone_by_Sentiment!$B$2:$B$37,Phone_by_Sentiment!K$2:K$37,"",0,1)),_xlfn.XLOOKUP($C473,Phone_by_Sentiment!$B$2:$B$37,Phone_by_Sentiment!K$2:K$37,"",0,1),0),$A473-TEXT(DATEVALUE($D473&amp;"-01"), "dd-mm-yyyy")),0),0)</f>
        <v>0</v>
      </c>
      <c r="L473" cm="1">
        <f t="array" ref="L473">IF($Q473&gt;=0,IFERROR(generateSalesData($D473, IF(ISNUMBER(_xlfn.XLOOKUP($C473,Phone_by_Sentiment!$B$2:$B$37,Phone_by_Sentiment!L$2:L$37,"",0,1)),_xlfn.XLOOKUP($C473,Phone_by_Sentiment!$B$2:$B$37,Phone_by_Sentiment!L$2:L$37,"",0,1),0),$A473-TEXT(DATEVALUE($D473&amp;"-01"), "dd-mm-yyyy")),0),0)</f>
        <v>0</v>
      </c>
      <c r="M473" cm="1">
        <f t="array" ref="M473">IF($Q473&gt;=0,IFERROR(generateSalesData($D473, IF(ISNUMBER(_xlfn.XLOOKUP($C473,Phone_by_Sentiment!$B$2:$B$37,Phone_by_Sentiment!M$2:M$37,"",0,1)),_xlfn.XLOOKUP($C473,Phone_by_Sentiment!$B$2:$B$37,Phone_by_Sentiment!M$2:M$37,"",0,1),0),$A473-TEXT(DATEVALUE($D473&amp;"-01"), "dd-mm-yyyy")),0),0)</f>
        <v>0</v>
      </c>
      <c r="N473" cm="1">
        <f t="array" ref="N473">IF($Q473&gt;=0,IFERROR(generateSalesData($D473, IF(ISNUMBER(_xlfn.XLOOKUP($C473,Phone_by_Sentiment!$B$2:$B$37,Phone_by_Sentiment!N$2:N$37,"",0,1)),_xlfn.XLOOKUP($C473,Phone_by_Sentiment!$B$2:$B$37,Phone_by_Sentiment!N$2:N$37,"",0,1),0),$A473-TEXT(DATEVALUE($D473&amp;"-01"), "dd-mm-yyyy")),0),0)</f>
        <v>0</v>
      </c>
      <c r="O473" cm="1">
        <f t="array" ref="O473">IF($Q473&gt;=0,IFERROR(generateSalesData($D473, IF(ISNUMBER(_xlfn.XLOOKUP($C473,Phone_by_Sentiment!$B$2:$B$37,Phone_by_Sentiment!O$2:O$37,"",0,1)),_xlfn.XLOOKUP($C473,Phone_by_Sentiment!$B$2:$B$37,Phone_by_Sentiment!O$2:O$37,"",0,1),0),$A473-TEXT(DATEVALUE($D473&amp;"-01"), "dd-mm-yyyy")),0),0)</f>
        <v>0</v>
      </c>
      <c r="P473" s="1">
        <f t="shared" si="19"/>
        <v>44317</v>
      </c>
      <c r="Q473">
        <f t="shared" si="20"/>
        <v>-455</v>
      </c>
    </row>
    <row r="474" spans="1:17" x14ac:dyDescent="0.25">
      <c r="A474" s="1">
        <f t="shared" si="18"/>
        <v>43862</v>
      </c>
      <c r="B474" t="s">
        <v>151</v>
      </c>
      <c r="C474" t="str">
        <f>_xlfn.XLOOKUP(B474,Phone_by_Price!$A$2:$A$34,Phone_by_Price!$B$2:$B$34,"-",0,1)</f>
        <v>Vivo Y11s</v>
      </c>
      <c r="D474" t="str">
        <f>_xlfn.XLOOKUP(C474,Phone_by_Sentiment!$B$2:$B$37,Phone_by_Sentiment!$A$2:$A$37,"-",0,1)</f>
        <v>2020-11</v>
      </c>
      <c r="E474" cm="1">
        <f t="array" ref="E474">IF($Q474&gt;=0,IFERROR(generateSalesData($D474, IF(ISNUMBER(_xlfn.XLOOKUP($C474,Phone_by_Sentiment!$B$2:$B$37,Phone_by_Sentiment!E$2:E$37,"",0,1)),_xlfn.XLOOKUP($C474,Phone_by_Sentiment!$B$2:$B$37,Phone_by_Sentiment!E$2:E$37,"",0,1),0),$A474-TEXT(DATEVALUE($D474&amp;"-01"), "dd-mm-yyyy")),0),0)</f>
        <v>0</v>
      </c>
      <c r="F474" cm="1">
        <f t="array" ref="F474">IF($Q474&gt;=0,IFERROR(generateSalesData($D474, IF(ISNUMBER(_xlfn.XLOOKUP($C474,Phone_by_Sentiment!$B$2:$B$37,Phone_by_Sentiment!F$2:F$37,"",0,1)),_xlfn.XLOOKUP($C474,Phone_by_Sentiment!$B$2:$B$37,Phone_by_Sentiment!F$2:F$37,"",0,1),0),$A474-TEXT(DATEVALUE($D474&amp;"-01"), "dd-mm-yyyy")),0),0)</f>
        <v>0</v>
      </c>
      <c r="G474" cm="1">
        <f t="array" ref="G474">IF($Q474&gt;=0,IFERROR(generateSalesData($D474, IF(ISNUMBER(_xlfn.XLOOKUP($C474,Phone_by_Sentiment!$B$2:$B$37,Phone_by_Sentiment!G$2:G$37,"",0,1)),_xlfn.XLOOKUP($C474,Phone_by_Sentiment!$B$2:$B$37,Phone_by_Sentiment!G$2:G$37,"",0,1),0),$A474-TEXT(DATEVALUE($D474&amp;"-01"), "dd-mm-yyyy")),0),0)</f>
        <v>0</v>
      </c>
      <c r="H474" cm="1">
        <f t="array" ref="H474">IF($Q474&gt;=0,IFERROR(generateSalesData($D474, IF(ISNUMBER(_xlfn.XLOOKUP($C474,Phone_by_Sentiment!$B$2:$B$37,Phone_by_Sentiment!H$2:H$37,"",0,1)),_xlfn.XLOOKUP($C474,Phone_by_Sentiment!$B$2:$B$37,Phone_by_Sentiment!H$2:H$37,"",0,1),0),$A474-TEXT(DATEVALUE($D474&amp;"-01"), "dd-mm-yyyy")),0),0)</f>
        <v>0</v>
      </c>
      <c r="I474" cm="1">
        <f t="array" ref="I474">IF($Q474&gt;=0,IFERROR(generateSalesData($D474, IF(ISNUMBER(_xlfn.XLOOKUP($C474,Phone_by_Sentiment!$B$2:$B$37,Phone_by_Sentiment!I$2:I$37,"",0,1)),_xlfn.XLOOKUP($C474,Phone_by_Sentiment!$B$2:$B$37,Phone_by_Sentiment!I$2:I$37,"",0,1),0),$A474-TEXT(DATEVALUE($D474&amp;"-01"), "dd-mm-yyyy")),0),0)</f>
        <v>0</v>
      </c>
      <c r="J474" cm="1">
        <f t="array" ref="J474">IF($Q474&gt;=0,IFERROR(generateSalesData($D474, IF(ISNUMBER(_xlfn.XLOOKUP($C474,Phone_by_Sentiment!$B$2:$B$37,Phone_by_Sentiment!J$2:J$37,"",0,1)),_xlfn.XLOOKUP($C474,Phone_by_Sentiment!$B$2:$B$37,Phone_by_Sentiment!J$2:J$37,"",0,1),0),$A474-TEXT(DATEVALUE($D474&amp;"-01"), "dd-mm-yyyy")),0),0)</f>
        <v>0</v>
      </c>
      <c r="K474" cm="1">
        <f t="array" ref="K474">IF($Q474&gt;=0,IFERROR(generateSalesData($D474, IF(ISNUMBER(_xlfn.XLOOKUP($C474,Phone_by_Sentiment!$B$2:$B$37,Phone_by_Sentiment!K$2:K$37,"",0,1)),_xlfn.XLOOKUP($C474,Phone_by_Sentiment!$B$2:$B$37,Phone_by_Sentiment!K$2:K$37,"",0,1),0),$A474-TEXT(DATEVALUE($D474&amp;"-01"), "dd-mm-yyyy")),0),0)</f>
        <v>0</v>
      </c>
      <c r="L474" cm="1">
        <f t="array" ref="L474">IF($Q474&gt;=0,IFERROR(generateSalesData($D474, IF(ISNUMBER(_xlfn.XLOOKUP($C474,Phone_by_Sentiment!$B$2:$B$37,Phone_by_Sentiment!L$2:L$37,"",0,1)),_xlfn.XLOOKUP($C474,Phone_by_Sentiment!$B$2:$B$37,Phone_by_Sentiment!L$2:L$37,"",0,1),0),$A474-TEXT(DATEVALUE($D474&amp;"-01"), "dd-mm-yyyy")),0),0)</f>
        <v>0</v>
      </c>
      <c r="M474" cm="1">
        <f t="array" ref="M474">IF($Q474&gt;=0,IFERROR(generateSalesData($D474, IF(ISNUMBER(_xlfn.XLOOKUP($C474,Phone_by_Sentiment!$B$2:$B$37,Phone_by_Sentiment!M$2:M$37,"",0,1)),_xlfn.XLOOKUP($C474,Phone_by_Sentiment!$B$2:$B$37,Phone_by_Sentiment!M$2:M$37,"",0,1),0),$A474-TEXT(DATEVALUE($D474&amp;"-01"), "dd-mm-yyyy")),0),0)</f>
        <v>0</v>
      </c>
      <c r="N474" cm="1">
        <f t="array" ref="N474">IF($Q474&gt;=0,IFERROR(generateSalesData($D474, IF(ISNUMBER(_xlfn.XLOOKUP($C474,Phone_by_Sentiment!$B$2:$B$37,Phone_by_Sentiment!N$2:N$37,"",0,1)),_xlfn.XLOOKUP($C474,Phone_by_Sentiment!$B$2:$B$37,Phone_by_Sentiment!N$2:N$37,"",0,1),0),$A474-TEXT(DATEVALUE($D474&amp;"-01"), "dd-mm-yyyy")),0),0)</f>
        <v>0</v>
      </c>
      <c r="O474" cm="1">
        <f t="array" ref="O474">IF($Q474&gt;=0,IFERROR(generateSalesData($D474, IF(ISNUMBER(_xlfn.XLOOKUP($C474,Phone_by_Sentiment!$B$2:$B$37,Phone_by_Sentiment!O$2:O$37,"",0,1)),_xlfn.XLOOKUP($C474,Phone_by_Sentiment!$B$2:$B$37,Phone_by_Sentiment!O$2:O$37,"",0,1),0),$A474-TEXT(DATEVALUE($D474&amp;"-01"), "dd-mm-yyyy")),0),0)</f>
        <v>0</v>
      </c>
      <c r="P474" s="1">
        <f t="shared" si="19"/>
        <v>44136</v>
      </c>
      <c r="Q474">
        <f t="shared" si="20"/>
        <v>-274</v>
      </c>
    </row>
    <row r="475" spans="1:17" x14ac:dyDescent="0.25">
      <c r="A475" s="1">
        <f t="shared" si="18"/>
        <v>43862</v>
      </c>
      <c r="B475" t="s">
        <v>152</v>
      </c>
      <c r="C475" t="str">
        <f>_xlfn.XLOOKUP(B475,Phone_by_Price!$A$2:$A$34,Phone_by_Price!$B$2:$B$34,"-",0,1)</f>
        <v>Huawei Nova 7i</v>
      </c>
      <c r="D475" t="str">
        <f>_xlfn.XLOOKUP(C475,Phone_by_Sentiment!$B$2:$B$37,Phone_by_Sentiment!$A$2:$A$37,"-",0,1)</f>
        <v>2020-02</v>
      </c>
      <c r="E475" cm="1">
        <f t="array" ref="E475">IF($Q475&gt;=0,IFERROR(generateSalesData($D475, IF(ISNUMBER(_xlfn.XLOOKUP($C475,Phone_by_Sentiment!$B$2:$B$37,Phone_by_Sentiment!E$2:E$37,"",0,1)),_xlfn.XLOOKUP($C475,Phone_by_Sentiment!$B$2:$B$37,Phone_by_Sentiment!E$2:E$37,"",0,1),0),$A475-TEXT(DATEVALUE($D475&amp;"-01"), "dd-mm-yyyy")),0),0)</f>
        <v>3584</v>
      </c>
      <c r="F475" cm="1">
        <f t="array" ref="F475">IF($Q475&gt;=0,IFERROR(generateSalesData($D475, IF(ISNUMBER(_xlfn.XLOOKUP($C475,Phone_by_Sentiment!$B$2:$B$37,Phone_by_Sentiment!F$2:F$37,"",0,1)),_xlfn.XLOOKUP($C475,Phone_by_Sentiment!$B$2:$B$37,Phone_by_Sentiment!F$2:F$37,"",0,1),0),$A475-TEXT(DATEVALUE($D475&amp;"-01"), "dd-mm-yyyy")),0),0)</f>
        <v>1751</v>
      </c>
      <c r="G475" cm="1">
        <f t="array" ref="G475">IF($Q475&gt;=0,IFERROR(generateSalesData($D475, IF(ISNUMBER(_xlfn.XLOOKUP($C475,Phone_by_Sentiment!$B$2:$B$37,Phone_by_Sentiment!G$2:G$37,"",0,1)),_xlfn.XLOOKUP($C475,Phone_by_Sentiment!$B$2:$B$37,Phone_by_Sentiment!G$2:G$37,"",0,1),0),$A475-TEXT(DATEVALUE($D475&amp;"-01"), "dd-mm-yyyy")),0),0)</f>
        <v>2277</v>
      </c>
      <c r="H475" cm="1">
        <f t="array" ref="H475">IF($Q475&gt;=0,IFERROR(generateSalesData($D475, IF(ISNUMBER(_xlfn.XLOOKUP($C475,Phone_by_Sentiment!$B$2:$B$37,Phone_by_Sentiment!H$2:H$37,"",0,1)),_xlfn.XLOOKUP($C475,Phone_by_Sentiment!$B$2:$B$37,Phone_by_Sentiment!H$2:H$37,"",0,1),0),$A475-TEXT(DATEVALUE($D475&amp;"-01"), "dd-mm-yyyy")),0),0)</f>
        <v>11095</v>
      </c>
      <c r="I475" cm="1">
        <f t="array" ref="I475">IF($Q475&gt;=0,IFERROR(generateSalesData($D475, IF(ISNUMBER(_xlfn.XLOOKUP($C475,Phone_by_Sentiment!$B$2:$B$37,Phone_by_Sentiment!I$2:I$37,"",0,1)),_xlfn.XLOOKUP($C475,Phone_by_Sentiment!$B$2:$B$37,Phone_by_Sentiment!I$2:I$37,"",0,1),0),$A475-TEXT(DATEVALUE($D475&amp;"-01"), "dd-mm-yyyy")),0),0)</f>
        <v>689</v>
      </c>
      <c r="J475" cm="1">
        <f t="array" ref="J475">IF($Q475&gt;=0,IFERROR(generateSalesData($D475, IF(ISNUMBER(_xlfn.XLOOKUP($C475,Phone_by_Sentiment!$B$2:$B$37,Phone_by_Sentiment!J$2:J$37,"",0,1)),_xlfn.XLOOKUP($C475,Phone_by_Sentiment!$B$2:$B$37,Phone_by_Sentiment!J$2:J$37,"",0,1),0),$A475-TEXT(DATEVALUE($D475&amp;"-01"), "dd-mm-yyyy")),0),0)</f>
        <v>3646</v>
      </c>
      <c r="K475" cm="1">
        <f t="array" ref="K475">IF($Q475&gt;=0,IFERROR(generateSalesData($D475, IF(ISNUMBER(_xlfn.XLOOKUP($C475,Phone_by_Sentiment!$B$2:$B$37,Phone_by_Sentiment!K$2:K$37,"",0,1)),_xlfn.XLOOKUP($C475,Phone_by_Sentiment!$B$2:$B$37,Phone_by_Sentiment!K$2:K$37,"",0,1),0),$A475-TEXT(DATEVALUE($D475&amp;"-01"), "dd-mm-yyyy")),0),0)</f>
        <v>2535</v>
      </c>
      <c r="L475" cm="1">
        <f t="array" ref="L475">IF($Q475&gt;=0,IFERROR(generateSalesData($D475, IF(ISNUMBER(_xlfn.XLOOKUP($C475,Phone_by_Sentiment!$B$2:$B$37,Phone_by_Sentiment!L$2:L$37,"",0,1)),_xlfn.XLOOKUP($C475,Phone_by_Sentiment!$B$2:$B$37,Phone_by_Sentiment!L$2:L$37,"",0,1),0),$A475-TEXT(DATEVALUE($D475&amp;"-01"), "dd-mm-yyyy")),0),0)</f>
        <v>3072</v>
      </c>
      <c r="M475" cm="1">
        <f t="array" ref="M475">IF($Q475&gt;=0,IFERROR(generateSalesData($D475, IF(ISNUMBER(_xlfn.XLOOKUP($C475,Phone_by_Sentiment!$B$2:$B$37,Phone_by_Sentiment!M$2:M$37,"",0,1)),_xlfn.XLOOKUP($C475,Phone_by_Sentiment!$B$2:$B$37,Phone_by_Sentiment!M$2:M$37,"",0,1),0),$A475-TEXT(DATEVALUE($D475&amp;"-01"), "dd-mm-yyyy")),0),0)</f>
        <v>3614</v>
      </c>
      <c r="N475" cm="1">
        <f t="array" ref="N475">IF($Q475&gt;=0,IFERROR(generateSalesData($D475, IF(ISNUMBER(_xlfn.XLOOKUP($C475,Phone_by_Sentiment!$B$2:$B$37,Phone_by_Sentiment!N$2:N$37,"",0,1)),_xlfn.XLOOKUP($C475,Phone_by_Sentiment!$B$2:$B$37,Phone_by_Sentiment!N$2:N$37,"",0,1),0),$A475-TEXT(DATEVALUE($D475&amp;"-01"), "dd-mm-yyyy")),0),0)</f>
        <v>2653</v>
      </c>
      <c r="O475" cm="1">
        <f t="array" ref="O475">IF($Q475&gt;=0,IFERROR(generateSalesData($D475, IF(ISNUMBER(_xlfn.XLOOKUP($C475,Phone_by_Sentiment!$B$2:$B$37,Phone_by_Sentiment!O$2:O$37,"",0,1)),_xlfn.XLOOKUP($C475,Phone_by_Sentiment!$B$2:$B$37,Phone_by_Sentiment!O$2:O$37,"",0,1),0),$A475-TEXT(DATEVALUE($D475&amp;"-01"), "dd-mm-yyyy")),0),0)</f>
        <v>1638</v>
      </c>
      <c r="P475" s="1">
        <f t="shared" si="19"/>
        <v>43862</v>
      </c>
      <c r="Q475">
        <f t="shared" si="20"/>
        <v>0</v>
      </c>
    </row>
    <row r="476" spans="1:17" x14ac:dyDescent="0.25">
      <c r="A476" s="1">
        <f t="shared" si="18"/>
        <v>43862</v>
      </c>
      <c r="B476" t="s">
        <v>153</v>
      </c>
      <c r="C476" t="str">
        <f>_xlfn.XLOOKUP(B476,Phone_by_Price!$A$2:$A$34,Phone_by_Price!$B$2:$B$34,"-",0,1)</f>
        <v>iPhone 13</v>
      </c>
      <c r="D476" t="str">
        <f>_xlfn.XLOOKUP(C476,Phone_by_Sentiment!$B$2:$B$37,Phone_by_Sentiment!$A$2:$A$37,"-",0,1)</f>
        <v>2021-09</v>
      </c>
      <c r="E476" cm="1">
        <f t="array" ref="E476">IF($Q476&gt;=0,IFERROR(generateSalesData($D476, IF(ISNUMBER(_xlfn.XLOOKUP($C476,Phone_by_Sentiment!$B$2:$B$37,Phone_by_Sentiment!E$2:E$37,"",0,1)),_xlfn.XLOOKUP($C476,Phone_by_Sentiment!$B$2:$B$37,Phone_by_Sentiment!E$2:E$37,"",0,1),0),$A476-TEXT(DATEVALUE($D476&amp;"-01"), "dd-mm-yyyy")),0),0)</f>
        <v>0</v>
      </c>
      <c r="F476" cm="1">
        <f t="array" ref="F476">IF($Q476&gt;=0,IFERROR(generateSalesData($D476, IF(ISNUMBER(_xlfn.XLOOKUP($C476,Phone_by_Sentiment!$B$2:$B$37,Phone_by_Sentiment!F$2:F$37,"",0,1)),_xlfn.XLOOKUP($C476,Phone_by_Sentiment!$B$2:$B$37,Phone_by_Sentiment!F$2:F$37,"",0,1),0),$A476-TEXT(DATEVALUE($D476&amp;"-01"), "dd-mm-yyyy")),0),0)</f>
        <v>0</v>
      </c>
      <c r="G476" cm="1">
        <f t="array" ref="G476">IF($Q476&gt;=0,IFERROR(generateSalesData($D476, IF(ISNUMBER(_xlfn.XLOOKUP($C476,Phone_by_Sentiment!$B$2:$B$37,Phone_by_Sentiment!G$2:G$37,"",0,1)),_xlfn.XLOOKUP($C476,Phone_by_Sentiment!$B$2:$B$37,Phone_by_Sentiment!G$2:G$37,"",0,1),0),$A476-TEXT(DATEVALUE($D476&amp;"-01"), "dd-mm-yyyy")),0),0)</f>
        <v>0</v>
      </c>
      <c r="H476" cm="1">
        <f t="array" ref="H476">IF($Q476&gt;=0,IFERROR(generateSalesData($D476, IF(ISNUMBER(_xlfn.XLOOKUP($C476,Phone_by_Sentiment!$B$2:$B$37,Phone_by_Sentiment!H$2:H$37,"",0,1)),_xlfn.XLOOKUP($C476,Phone_by_Sentiment!$B$2:$B$37,Phone_by_Sentiment!H$2:H$37,"",0,1),0),$A476-TEXT(DATEVALUE($D476&amp;"-01"), "dd-mm-yyyy")),0),0)</f>
        <v>0</v>
      </c>
      <c r="I476" cm="1">
        <f t="array" ref="I476">IF($Q476&gt;=0,IFERROR(generateSalesData($D476, IF(ISNUMBER(_xlfn.XLOOKUP($C476,Phone_by_Sentiment!$B$2:$B$37,Phone_by_Sentiment!I$2:I$37,"",0,1)),_xlfn.XLOOKUP($C476,Phone_by_Sentiment!$B$2:$B$37,Phone_by_Sentiment!I$2:I$37,"",0,1),0),$A476-TEXT(DATEVALUE($D476&amp;"-01"), "dd-mm-yyyy")),0),0)</f>
        <v>0</v>
      </c>
      <c r="J476" cm="1">
        <f t="array" ref="J476">IF($Q476&gt;=0,IFERROR(generateSalesData($D476, IF(ISNUMBER(_xlfn.XLOOKUP($C476,Phone_by_Sentiment!$B$2:$B$37,Phone_by_Sentiment!J$2:J$37,"",0,1)),_xlfn.XLOOKUP($C476,Phone_by_Sentiment!$B$2:$B$37,Phone_by_Sentiment!J$2:J$37,"",0,1),0),$A476-TEXT(DATEVALUE($D476&amp;"-01"), "dd-mm-yyyy")),0),0)</f>
        <v>0</v>
      </c>
      <c r="K476" cm="1">
        <f t="array" ref="K476">IF($Q476&gt;=0,IFERROR(generateSalesData($D476, IF(ISNUMBER(_xlfn.XLOOKUP($C476,Phone_by_Sentiment!$B$2:$B$37,Phone_by_Sentiment!K$2:K$37,"",0,1)),_xlfn.XLOOKUP($C476,Phone_by_Sentiment!$B$2:$B$37,Phone_by_Sentiment!K$2:K$37,"",0,1),0),$A476-TEXT(DATEVALUE($D476&amp;"-01"), "dd-mm-yyyy")),0),0)</f>
        <v>0</v>
      </c>
      <c r="L476" cm="1">
        <f t="array" ref="L476">IF($Q476&gt;=0,IFERROR(generateSalesData($D476, IF(ISNUMBER(_xlfn.XLOOKUP($C476,Phone_by_Sentiment!$B$2:$B$37,Phone_by_Sentiment!L$2:L$37,"",0,1)),_xlfn.XLOOKUP($C476,Phone_by_Sentiment!$B$2:$B$37,Phone_by_Sentiment!L$2:L$37,"",0,1),0),$A476-TEXT(DATEVALUE($D476&amp;"-01"), "dd-mm-yyyy")),0),0)</f>
        <v>0</v>
      </c>
      <c r="M476" cm="1">
        <f t="array" ref="M476">IF($Q476&gt;=0,IFERROR(generateSalesData($D476, IF(ISNUMBER(_xlfn.XLOOKUP($C476,Phone_by_Sentiment!$B$2:$B$37,Phone_by_Sentiment!M$2:M$37,"",0,1)),_xlfn.XLOOKUP($C476,Phone_by_Sentiment!$B$2:$B$37,Phone_by_Sentiment!M$2:M$37,"",0,1),0),$A476-TEXT(DATEVALUE($D476&amp;"-01"), "dd-mm-yyyy")),0),0)</f>
        <v>0</v>
      </c>
      <c r="N476" cm="1">
        <f t="array" ref="N476">IF($Q476&gt;=0,IFERROR(generateSalesData($D476, IF(ISNUMBER(_xlfn.XLOOKUP($C476,Phone_by_Sentiment!$B$2:$B$37,Phone_by_Sentiment!N$2:N$37,"",0,1)),_xlfn.XLOOKUP($C476,Phone_by_Sentiment!$B$2:$B$37,Phone_by_Sentiment!N$2:N$37,"",0,1),0),$A476-TEXT(DATEVALUE($D476&amp;"-01"), "dd-mm-yyyy")),0),0)</f>
        <v>0</v>
      </c>
      <c r="O476" cm="1">
        <f t="array" ref="O476">IF($Q476&gt;=0,IFERROR(generateSalesData($D476, IF(ISNUMBER(_xlfn.XLOOKUP($C476,Phone_by_Sentiment!$B$2:$B$37,Phone_by_Sentiment!O$2:O$37,"",0,1)),_xlfn.XLOOKUP($C476,Phone_by_Sentiment!$B$2:$B$37,Phone_by_Sentiment!O$2:O$37,"",0,1),0),$A476-TEXT(DATEVALUE($D476&amp;"-01"), "dd-mm-yyyy")),0),0)</f>
        <v>0</v>
      </c>
      <c r="P476" s="1">
        <f t="shared" si="19"/>
        <v>44440</v>
      </c>
      <c r="Q476">
        <f t="shared" si="20"/>
        <v>-578</v>
      </c>
    </row>
    <row r="477" spans="1:17" x14ac:dyDescent="0.25">
      <c r="A477" s="1">
        <f t="shared" si="18"/>
        <v>43862</v>
      </c>
      <c r="B477" t="s">
        <v>154</v>
      </c>
      <c r="C477" t="str">
        <f>_xlfn.XLOOKUP(B477,Phone_by_Price!$A$2:$A$34,Phone_by_Price!$B$2:$B$34,"-",0,1)</f>
        <v>Samsung Galaxy S21</v>
      </c>
      <c r="D477" t="str">
        <f>_xlfn.XLOOKUP(C477,Phone_by_Sentiment!$B$2:$B$37,Phone_by_Sentiment!$A$2:$A$37,"-",0,1)</f>
        <v>2021-01</v>
      </c>
      <c r="E477" cm="1">
        <f t="array" ref="E477">IF($Q477&gt;=0,IFERROR(generateSalesData($D477, IF(ISNUMBER(_xlfn.XLOOKUP($C477,Phone_by_Sentiment!$B$2:$B$37,Phone_by_Sentiment!E$2:E$37,"",0,1)),_xlfn.XLOOKUP($C477,Phone_by_Sentiment!$B$2:$B$37,Phone_by_Sentiment!E$2:E$37,"",0,1),0),$A477-TEXT(DATEVALUE($D477&amp;"-01"), "dd-mm-yyyy")),0),0)</f>
        <v>0</v>
      </c>
      <c r="F477" cm="1">
        <f t="array" ref="F477">IF($Q477&gt;=0,IFERROR(generateSalesData($D477, IF(ISNUMBER(_xlfn.XLOOKUP($C477,Phone_by_Sentiment!$B$2:$B$37,Phone_by_Sentiment!F$2:F$37,"",0,1)),_xlfn.XLOOKUP($C477,Phone_by_Sentiment!$B$2:$B$37,Phone_by_Sentiment!F$2:F$37,"",0,1),0),$A477-TEXT(DATEVALUE($D477&amp;"-01"), "dd-mm-yyyy")),0),0)</f>
        <v>0</v>
      </c>
      <c r="G477" cm="1">
        <f t="array" ref="G477">IF($Q477&gt;=0,IFERROR(generateSalesData($D477, IF(ISNUMBER(_xlfn.XLOOKUP($C477,Phone_by_Sentiment!$B$2:$B$37,Phone_by_Sentiment!G$2:G$37,"",0,1)),_xlfn.XLOOKUP($C477,Phone_by_Sentiment!$B$2:$B$37,Phone_by_Sentiment!G$2:G$37,"",0,1),0),$A477-TEXT(DATEVALUE($D477&amp;"-01"), "dd-mm-yyyy")),0),0)</f>
        <v>0</v>
      </c>
      <c r="H477" cm="1">
        <f t="array" ref="H477">IF($Q477&gt;=0,IFERROR(generateSalesData($D477, IF(ISNUMBER(_xlfn.XLOOKUP($C477,Phone_by_Sentiment!$B$2:$B$37,Phone_by_Sentiment!H$2:H$37,"",0,1)),_xlfn.XLOOKUP($C477,Phone_by_Sentiment!$B$2:$B$37,Phone_by_Sentiment!H$2:H$37,"",0,1),0),$A477-TEXT(DATEVALUE($D477&amp;"-01"), "dd-mm-yyyy")),0),0)</f>
        <v>0</v>
      </c>
      <c r="I477" cm="1">
        <f t="array" ref="I477">IF($Q477&gt;=0,IFERROR(generateSalesData($D477, IF(ISNUMBER(_xlfn.XLOOKUP($C477,Phone_by_Sentiment!$B$2:$B$37,Phone_by_Sentiment!I$2:I$37,"",0,1)),_xlfn.XLOOKUP($C477,Phone_by_Sentiment!$B$2:$B$37,Phone_by_Sentiment!I$2:I$37,"",0,1),0),$A477-TEXT(DATEVALUE($D477&amp;"-01"), "dd-mm-yyyy")),0),0)</f>
        <v>0</v>
      </c>
      <c r="J477" cm="1">
        <f t="array" ref="J477">IF($Q477&gt;=0,IFERROR(generateSalesData($D477, IF(ISNUMBER(_xlfn.XLOOKUP($C477,Phone_by_Sentiment!$B$2:$B$37,Phone_by_Sentiment!J$2:J$37,"",0,1)),_xlfn.XLOOKUP($C477,Phone_by_Sentiment!$B$2:$B$37,Phone_by_Sentiment!J$2:J$37,"",0,1),0),$A477-TEXT(DATEVALUE($D477&amp;"-01"), "dd-mm-yyyy")),0),0)</f>
        <v>0</v>
      </c>
      <c r="K477" cm="1">
        <f t="array" ref="K477">IF($Q477&gt;=0,IFERROR(generateSalesData($D477, IF(ISNUMBER(_xlfn.XLOOKUP($C477,Phone_by_Sentiment!$B$2:$B$37,Phone_by_Sentiment!K$2:K$37,"",0,1)),_xlfn.XLOOKUP($C477,Phone_by_Sentiment!$B$2:$B$37,Phone_by_Sentiment!K$2:K$37,"",0,1),0),$A477-TEXT(DATEVALUE($D477&amp;"-01"), "dd-mm-yyyy")),0),0)</f>
        <v>0</v>
      </c>
      <c r="L477" cm="1">
        <f t="array" ref="L477">IF($Q477&gt;=0,IFERROR(generateSalesData($D477, IF(ISNUMBER(_xlfn.XLOOKUP($C477,Phone_by_Sentiment!$B$2:$B$37,Phone_by_Sentiment!L$2:L$37,"",0,1)),_xlfn.XLOOKUP($C477,Phone_by_Sentiment!$B$2:$B$37,Phone_by_Sentiment!L$2:L$37,"",0,1),0),$A477-TEXT(DATEVALUE($D477&amp;"-01"), "dd-mm-yyyy")),0),0)</f>
        <v>0</v>
      </c>
      <c r="M477" cm="1">
        <f t="array" ref="M477">IF($Q477&gt;=0,IFERROR(generateSalesData($D477, IF(ISNUMBER(_xlfn.XLOOKUP($C477,Phone_by_Sentiment!$B$2:$B$37,Phone_by_Sentiment!M$2:M$37,"",0,1)),_xlfn.XLOOKUP($C477,Phone_by_Sentiment!$B$2:$B$37,Phone_by_Sentiment!M$2:M$37,"",0,1),0),$A477-TEXT(DATEVALUE($D477&amp;"-01"), "dd-mm-yyyy")),0),0)</f>
        <v>0</v>
      </c>
      <c r="N477" cm="1">
        <f t="array" ref="N477">IF($Q477&gt;=0,IFERROR(generateSalesData($D477, IF(ISNUMBER(_xlfn.XLOOKUP($C477,Phone_by_Sentiment!$B$2:$B$37,Phone_by_Sentiment!N$2:N$37,"",0,1)),_xlfn.XLOOKUP($C477,Phone_by_Sentiment!$B$2:$B$37,Phone_by_Sentiment!N$2:N$37,"",0,1),0),$A477-TEXT(DATEVALUE($D477&amp;"-01"), "dd-mm-yyyy")),0),0)</f>
        <v>0</v>
      </c>
      <c r="O477" cm="1">
        <f t="array" ref="O477">IF($Q477&gt;=0,IFERROR(generateSalesData($D477, IF(ISNUMBER(_xlfn.XLOOKUP($C477,Phone_by_Sentiment!$B$2:$B$37,Phone_by_Sentiment!O$2:O$37,"",0,1)),_xlfn.XLOOKUP($C477,Phone_by_Sentiment!$B$2:$B$37,Phone_by_Sentiment!O$2:O$37,"",0,1),0),$A477-TEXT(DATEVALUE($D477&amp;"-01"), "dd-mm-yyyy")),0),0)</f>
        <v>0</v>
      </c>
      <c r="P477" s="1">
        <f t="shared" si="19"/>
        <v>44197</v>
      </c>
      <c r="Q477">
        <f t="shared" si="20"/>
        <v>-335</v>
      </c>
    </row>
    <row r="478" spans="1:17" x14ac:dyDescent="0.25">
      <c r="A478" s="1">
        <f t="shared" si="18"/>
        <v>43862</v>
      </c>
      <c r="B478" t="s">
        <v>155</v>
      </c>
      <c r="C478" t="str">
        <f>_xlfn.XLOOKUP(B478,Phone_by_Price!$A$2:$A$34,Phone_by_Price!$B$2:$B$34,"-",0,1)</f>
        <v>Google Pixel 6</v>
      </c>
      <c r="D478" t="str">
        <f>_xlfn.XLOOKUP(C478,Phone_by_Sentiment!$B$2:$B$37,Phone_by_Sentiment!$A$2:$A$37,"-",0,1)</f>
        <v>2021-10</v>
      </c>
      <c r="E478" cm="1">
        <f t="array" ref="E478">IF($Q478&gt;=0,IFERROR(generateSalesData($D478, IF(ISNUMBER(_xlfn.XLOOKUP($C478,Phone_by_Sentiment!$B$2:$B$37,Phone_by_Sentiment!E$2:E$37,"",0,1)),_xlfn.XLOOKUP($C478,Phone_by_Sentiment!$B$2:$B$37,Phone_by_Sentiment!E$2:E$37,"",0,1),0),$A478-TEXT(DATEVALUE($D478&amp;"-01"), "dd-mm-yyyy")),0),0)</f>
        <v>0</v>
      </c>
      <c r="F478" cm="1">
        <f t="array" ref="F478">IF($Q478&gt;=0,IFERROR(generateSalesData($D478, IF(ISNUMBER(_xlfn.XLOOKUP($C478,Phone_by_Sentiment!$B$2:$B$37,Phone_by_Sentiment!F$2:F$37,"",0,1)),_xlfn.XLOOKUP($C478,Phone_by_Sentiment!$B$2:$B$37,Phone_by_Sentiment!F$2:F$37,"",0,1),0),$A478-TEXT(DATEVALUE($D478&amp;"-01"), "dd-mm-yyyy")),0),0)</f>
        <v>0</v>
      </c>
      <c r="G478" cm="1">
        <f t="array" ref="G478">IF($Q478&gt;=0,IFERROR(generateSalesData($D478, IF(ISNUMBER(_xlfn.XLOOKUP($C478,Phone_by_Sentiment!$B$2:$B$37,Phone_by_Sentiment!G$2:G$37,"",0,1)),_xlfn.XLOOKUP($C478,Phone_by_Sentiment!$B$2:$B$37,Phone_by_Sentiment!G$2:G$37,"",0,1),0),$A478-TEXT(DATEVALUE($D478&amp;"-01"), "dd-mm-yyyy")),0),0)</f>
        <v>0</v>
      </c>
      <c r="H478" cm="1">
        <f t="array" ref="H478">IF($Q478&gt;=0,IFERROR(generateSalesData($D478, IF(ISNUMBER(_xlfn.XLOOKUP($C478,Phone_by_Sentiment!$B$2:$B$37,Phone_by_Sentiment!H$2:H$37,"",0,1)),_xlfn.XLOOKUP($C478,Phone_by_Sentiment!$B$2:$B$37,Phone_by_Sentiment!H$2:H$37,"",0,1),0),$A478-TEXT(DATEVALUE($D478&amp;"-01"), "dd-mm-yyyy")),0),0)</f>
        <v>0</v>
      </c>
      <c r="I478" cm="1">
        <f t="array" ref="I478">IF($Q478&gt;=0,IFERROR(generateSalesData($D478, IF(ISNUMBER(_xlfn.XLOOKUP($C478,Phone_by_Sentiment!$B$2:$B$37,Phone_by_Sentiment!I$2:I$37,"",0,1)),_xlfn.XLOOKUP($C478,Phone_by_Sentiment!$B$2:$B$37,Phone_by_Sentiment!I$2:I$37,"",0,1),0),$A478-TEXT(DATEVALUE($D478&amp;"-01"), "dd-mm-yyyy")),0),0)</f>
        <v>0</v>
      </c>
      <c r="J478" cm="1">
        <f t="array" ref="J478">IF($Q478&gt;=0,IFERROR(generateSalesData($D478, IF(ISNUMBER(_xlfn.XLOOKUP($C478,Phone_by_Sentiment!$B$2:$B$37,Phone_by_Sentiment!J$2:J$37,"",0,1)),_xlfn.XLOOKUP($C478,Phone_by_Sentiment!$B$2:$B$37,Phone_by_Sentiment!J$2:J$37,"",0,1),0),$A478-TEXT(DATEVALUE($D478&amp;"-01"), "dd-mm-yyyy")),0),0)</f>
        <v>0</v>
      </c>
      <c r="K478" cm="1">
        <f t="array" ref="K478">IF($Q478&gt;=0,IFERROR(generateSalesData($D478, IF(ISNUMBER(_xlfn.XLOOKUP($C478,Phone_by_Sentiment!$B$2:$B$37,Phone_by_Sentiment!K$2:K$37,"",0,1)),_xlfn.XLOOKUP($C478,Phone_by_Sentiment!$B$2:$B$37,Phone_by_Sentiment!K$2:K$37,"",0,1),0),$A478-TEXT(DATEVALUE($D478&amp;"-01"), "dd-mm-yyyy")),0),0)</f>
        <v>0</v>
      </c>
      <c r="L478" cm="1">
        <f t="array" ref="L478">IF($Q478&gt;=0,IFERROR(generateSalesData($D478, IF(ISNUMBER(_xlfn.XLOOKUP($C478,Phone_by_Sentiment!$B$2:$B$37,Phone_by_Sentiment!L$2:L$37,"",0,1)),_xlfn.XLOOKUP($C478,Phone_by_Sentiment!$B$2:$B$37,Phone_by_Sentiment!L$2:L$37,"",0,1),0),$A478-TEXT(DATEVALUE($D478&amp;"-01"), "dd-mm-yyyy")),0),0)</f>
        <v>0</v>
      </c>
      <c r="M478" cm="1">
        <f t="array" ref="M478">IF($Q478&gt;=0,IFERROR(generateSalesData($D478, IF(ISNUMBER(_xlfn.XLOOKUP($C478,Phone_by_Sentiment!$B$2:$B$37,Phone_by_Sentiment!M$2:M$37,"",0,1)),_xlfn.XLOOKUP($C478,Phone_by_Sentiment!$B$2:$B$37,Phone_by_Sentiment!M$2:M$37,"",0,1),0),$A478-TEXT(DATEVALUE($D478&amp;"-01"), "dd-mm-yyyy")),0),0)</f>
        <v>0</v>
      </c>
      <c r="N478" cm="1">
        <f t="array" ref="N478">IF($Q478&gt;=0,IFERROR(generateSalesData($D478, IF(ISNUMBER(_xlfn.XLOOKUP($C478,Phone_by_Sentiment!$B$2:$B$37,Phone_by_Sentiment!N$2:N$37,"",0,1)),_xlfn.XLOOKUP($C478,Phone_by_Sentiment!$B$2:$B$37,Phone_by_Sentiment!N$2:N$37,"",0,1),0),$A478-TEXT(DATEVALUE($D478&amp;"-01"), "dd-mm-yyyy")),0),0)</f>
        <v>0</v>
      </c>
      <c r="O478" cm="1">
        <f t="array" ref="O478">IF($Q478&gt;=0,IFERROR(generateSalesData($D478, IF(ISNUMBER(_xlfn.XLOOKUP($C478,Phone_by_Sentiment!$B$2:$B$37,Phone_by_Sentiment!O$2:O$37,"",0,1)),_xlfn.XLOOKUP($C478,Phone_by_Sentiment!$B$2:$B$37,Phone_by_Sentiment!O$2:O$37,"",0,1),0),$A478-TEXT(DATEVALUE($D478&amp;"-01"), "dd-mm-yyyy")),0),0)</f>
        <v>0</v>
      </c>
      <c r="P478" s="1">
        <f t="shared" si="19"/>
        <v>44470</v>
      </c>
      <c r="Q478">
        <f t="shared" si="20"/>
        <v>-608</v>
      </c>
    </row>
    <row r="479" spans="1:17" x14ac:dyDescent="0.25">
      <c r="A479" s="1">
        <f t="shared" si="18"/>
        <v>43862</v>
      </c>
      <c r="B479" t="s">
        <v>156</v>
      </c>
      <c r="C479" t="str">
        <f>_xlfn.XLOOKUP(B479,Phone_by_Price!$A$2:$A$34,Phone_by_Price!$B$2:$B$34,"-",0,1)</f>
        <v>OnePlus Nord CE</v>
      </c>
      <c r="D479" t="str">
        <f>_xlfn.XLOOKUP(C479,Phone_by_Sentiment!$B$2:$B$37,Phone_by_Sentiment!$A$2:$A$37,"-",0,1)</f>
        <v>2021-06</v>
      </c>
      <c r="E479" cm="1">
        <f t="array" ref="E479">IF($Q479&gt;=0,IFERROR(generateSalesData($D479, IF(ISNUMBER(_xlfn.XLOOKUP($C479,Phone_by_Sentiment!$B$2:$B$37,Phone_by_Sentiment!E$2:E$37,"",0,1)),_xlfn.XLOOKUP($C479,Phone_by_Sentiment!$B$2:$B$37,Phone_by_Sentiment!E$2:E$37,"",0,1),0),$A479-TEXT(DATEVALUE($D479&amp;"-01"), "dd-mm-yyyy")),0),0)</f>
        <v>0</v>
      </c>
      <c r="F479" cm="1">
        <f t="array" ref="F479">IF($Q479&gt;=0,IFERROR(generateSalesData($D479, IF(ISNUMBER(_xlfn.XLOOKUP($C479,Phone_by_Sentiment!$B$2:$B$37,Phone_by_Sentiment!F$2:F$37,"",0,1)),_xlfn.XLOOKUP($C479,Phone_by_Sentiment!$B$2:$B$37,Phone_by_Sentiment!F$2:F$37,"",0,1),0),$A479-TEXT(DATEVALUE($D479&amp;"-01"), "dd-mm-yyyy")),0),0)</f>
        <v>0</v>
      </c>
      <c r="G479" cm="1">
        <f t="array" ref="G479">IF($Q479&gt;=0,IFERROR(generateSalesData($D479, IF(ISNUMBER(_xlfn.XLOOKUP($C479,Phone_by_Sentiment!$B$2:$B$37,Phone_by_Sentiment!G$2:G$37,"",0,1)),_xlfn.XLOOKUP($C479,Phone_by_Sentiment!$B$2:$B$37,Phone_by_Sentiment!G$2:G$37,"",0,1),0),$A479-TEXT(DATEVALUE($D479&amp;"-01"), "dd-mm-yyyy")),0),0)</f>
        <v>0</v>
      </c>
      <c r="H479" cm="1">
        <f t="array" ref="H479">IF($Q479&gt;=0,IFERROR(generateSalesData($D479, IF(ISNUMBER(_xlfn.XLOOKUP($C479,Phone_by_Sentiment!$B$2:$B$37,Phone_by_Sentiment!H$2:H$37,"",0,1)),_xlfn.XLOOKUP($C479,Phone_by_Sentiment!$B$2:$B$37,Phone_by_Sentiment!H$2:H$37,"",0,1),0),$A479-TEXT(DATEVALUE($D479&amp;"-01"), "dd-mm-yyyy")),0),0)</f>
        <v>0</v>
      </c>
      <c r="I479" cm="1">
        <f t="array" ref="I479">IF($Q479&gt;=0,IFERROR(generateSalesData($D479, IF(ISNUMBER(_xlfn.XLOOKUP($C479,Phone_by_Sentiment!$B$2:$B$37,Phone_by_Sentiment!I$2:I$37,"",0,1)),_xlfn.XLOOKUP($C479,Phone_by_Sentiment!$B$2:$B$37,Phone_by_Sentiment!I$2:I$37,"",0,1),0),$A479-TEXT(DATEVALUE($D479&amp;"-01"), "dd-mm-yyyy")),0),0)</f>
        <v>0</v>
      </c>
      <c r="J479" cm="1">
        <f t="array" ref="J479">IF($Q479&gt;=0,IFERROR(generateSalesData($D479, IF(ISNUMBER(_xlfn.XLOOKUP($C479,Phone_by_Sentiment!$B$2:$B$37,Phone_by_Sentiment!J$2:J$37,"",0,1)),_xlfn.XLOOKUP($C479,Phone_by_Sentiment!$B$2:$B$37,Phone_by_Sentiment!J$2:J$37,"",0,1),0),$A479-TEXT(DATEVALUE($D479&amp;"-01"), "dd-mm-yyyy")),0),0)</f>
        <v>0</v>
      </c>
      <c r="K479" cm="1">
        <f t="array" ref="K479">IF($Q479&gt;=0,IFERROR(generateSalesData($D479, IF(ISNUMBER(_xlfn.XLOOKUP($C479,Phone_by_Sentiment!$B$2:$B$37,Phone_by_Sentiment!K$2:K$37,"",0,1)),_xlfn.XLOOKUP($C479,Phone_by_Sentiment!$B$2:$B$37,Phone_by_Sentiment!K$2:K$37,"",0,1),0),$A479-TEXT(DATEVALUE($D479&amp;"-01"), "dd-mm-yyyy")),0),0)</f>
        <v>0</v>
      </c>
      <c r="L479" cm="1">
        <f t="array" ref="L479">IF($Q479&gt;=0,IFERROR(generateSalesData($D479, IF(ISNUMBER(_xlfn.XLOOKUP($C479,Phone_by_Sentiment!$B$2:$B$37,Phone_by_Sentiment!L$2:L$37,"",0,1)),_xlfn.XLOOKUP($C479,Phone_by_Sentiment!$B$2:$B$37,Phone_by_Sentiment!L$2:L$37,"",0,1),0),$A479-TEXT(DATEVALUE($D479&amp;"-01"), "dd-mm-yyyy")),0),0)</f>
        <v>0</v>
      </c>
      <c r="M479" cm="1">
        <f t="array" ref="M479">IF($Q479&gt;=0,IFERROR(generateSalesData($D479, IF(ISNUMBER(_xlfn.XLOOKUP($C479,Phone_by_Sentiment!$B$2:$B$37,Phone_by_Sentiment!M$2:M$37,"",0,1)),_xlfn.XLOOKUP($C479,Phone_by_Sentiment!$B$2:$B$37,Phone_by_Sentiment!M$2:M$37,"",0,1),0),$A479-TEXT(DATEVALUE($D479&amp;"-01"), "dd-mm-yyyy")),0),0)</f>
        <v>0</v>
      </c>
      <c r="N479" cm="1">
        <f t="array" ref="N479">IF($Q479&gt;=0,IFERROR(generateSalesData($D479, IF(ISNUMBER(_xlfn.XLOOKUP($C479,Phone_by_Sentiment!$B$2:$B$37,Phone_by_Sentiment!N$2:N$37,"",0,1)),_xlfn.XLOOKUP($C479,Phone_by_Sentiment!$B$2:$B$37,Phone_by_Sentiment!N$2:N$37,"",0,1),0),$A479-TEXT(DATEVALUE($D479&amp;"-01"), "dd-mm-yyyy")),0),0)</f>
        <v>0</v>
      </c>
      <c r="O479" cm="1">
        <f t="array" ref="O479">IF($Q479&gt;=0,IFERROR(generateSalesData($D479, IF(ISNUMBER(_xlfn.XLOOKUP($C479,Phone_by_Sentiment!$B$2:$B$37,Phone_by_Sentiment!O$2:O$37,"",0,1)),_xlfn.XLOOKUP($C479,Phone_by_Sentiment!$B$2:$B$37,Phone_by_Sentiment!O$2:O$37,"",0,1),0),$A479-TEXT(DATEVALUE($D479&amp;"-01"), "dd-mm-yyyy")),0),0)</f>
        <v>0</v>
      </c>
      <c r="P479" s="1">
        <f t="shared" si="19"/>
        <v>44348</v>
      </c>
      <c r="Q479">
        <f t="shared" si="20"/>
        <v>-486</v>
      </c>
    </row>
    <row r="480" spans="1:17" x14ac:dyDescent="0.25">
      <c r="A480" s="1">
        <f t="shared" si="18"/>
        <v>43862</v>
      </c>
      <c r="B480" t="s">
        <v>157</v>
      </c>
      <c r="C480" t="str">
        <f>_xlfn.XLOOKUP(B480,Phone_by_Price!$A$2:$A$34,Phone_by_Price!$B$2:$B$34,"-",0,1)</f>
        <v>Apple iPhone 13 Pro</v>
      </c>
      <c r="D480" t="str">
        <f>_xlfn.XLOOKUP(C480,Phone_by_Sentiment!$B$2:$B$37,Phone_by_Sentiment!$A$2:$A$37,"-",0,1)</f>
        <v>2021-09</v>
      </c>
      <c r="E480" cm="1">
        <f t="array" ref="E480">IF($Q480&gt;=0,IFERROR(generateSalesData($D480, IF(ISNUMBER(_xlfn.XLOOKUP($C480,Phone_by_Sentiment!$B$2:$B$37,Phone_by_Sentiment!E$2:E$37,"",0,1)),_xlfn.XLOOKUP($C480,Phone_by_Sentiment!$B$2:$B$37,Phone_by_Sentiment!E$2:E$37,"",0,1),0),$A480-TEXT(DATEVALUE($D480&amp;"-01"), "dd-mm-yyyy")),0),0)</f>
        <v>0</v>
      </c>
      <c r="F480" cm="1">
        <f t="array" ref="F480">IF($Q480&gt;=0,IFERROR(generateSalesData($D480, IF(ISNUMBER(_xlfn.XLOOKUP($C480,Phone_by_Sentiment!$B$2:$B$37,Phone_by_Sentiment!F$2:F$37,"",0,1)),_xlfn.XLOOKUP($C480,Phone_by_Sentiment!$B$2:$B$37,Phone_by_Sentiment!F$2:F$37,"",0,1),0),$A480-TEXT(DATEVALUE($D480&amp;"-01"), "dd-mm-yyyy")),0),0)</f>
        <v>0</v>
      </c>
      <c r="G480" cm="1">
        <f t="array" ref="G480">IF($Q480&gt;=0,IFERROR(generateSalesData($D480, IF(ISNUMBER(_xlfn.XLOOKUP($C480,Phone_by_Sentiment!$B$2:$B$37,Phone_by_Sentiment!G$2:G$37,"",0,1)),_xlfn.XLOOKUP($C480,Phone_by_Sentiment!$B$2:$B$37,Phone_by_Sentiment!G$2:G$37,"",0,1),0),$A480-TEXT(DATEVALUE($D480&amp;"-01"), "dd-mm-yyyy")),0),0)</f>
        <v>0</v>
      </c>
      <c r="H480" cm="1">
        <f t="array" ref="H480">IF($Q480&gt;=0,IFERROR(generateSalesData($D480, IF(ISNUMBER(_xlfn.XLOOKUP($C480,Phone_by_Sentiment!$B$2:$B$37,Phone_by_Sentiment!H$2:H$37,"",0,1)),_xlfn.XLOOKUP($C480,Phone_by_Sentiment!$B$2:$B$37,Phone_by_Sentiment!H$2:H$37,"",0,1),0),$A480-TEXT(DATEVALUE($D480&amp;"-01"), "dd-mm-yyyy")),0),0)</f>
        <v>0</v>
      </c>
      <c r="I480" cm="1">
        <f t="array" ref="I480">IF($Q480&gt;=0,IFERROR(generateSalesData($D480, IF(ISNUMBER(_xlfn.XLOOKUP($C480,Phone_by_Sentiment!$B$2:$B$37,Phone_by_Sentiment!I$2:I$37,"",0,1)),_xlfn.XLOOKUP($C480,Phone_by_Sentiment!$B$2:$B$37,Phone_by_Sentiment!I$2:I$37,"",0,1),0),$A480-TEXT(DATEVALUE($D480&amp;"-01"), "dd-mm-yyyy")),0),0)</f>
        <v>0</v>
      </c>
      <c r="J480" cm="1">
        <f t="array" ref="J480">IF($Q480&gt;=0,IFERROR(generateSalesData($D480, IF(ISNUMBER(_xlfn.XLOOKUP($C480,Phone_by_Sentiment!$B$2:$B$37,Phone_by_Sentiment!J$2:J$37,"",0,1)),_xlfn.XLOOKUP($C480,Phone_by_Sentiment!$B$2:$B$37,Phone_by_Sentiment!J$2:J$37,"",0,1),0),$A480-TEXT(DATEVALUE($D480&amp;"-01"), "dd-mm-yyyy")),0),0)</f>
        <v>0</v>
      </c>
      <c r="K480" cm="1">
        <f t="array" ref="K480">IF($Q480&gt;=0,IFERROR(generateSalesData($D480, IF(ISNUMBER(_xlfn.XLOOKUP($C480,Phone_by_Sentiment!$B$2:$B$37,Phone_by_Sentiment!K$2:K$37,"",0,1)),_xlfn.XLOOKUP($C480,Phone_by_Sentiment!$B$2:$B$37,Phone_by_Sentiment!K$2:K$37,"",0,1),0),$A480-TEXT(DATEVALUE($D480&amp;"-01"), "dd-mm-yyyy")),0),0)</f>
        <v>0</v>
      </c>
      <c r="L480" cm="1">
        <f t="array" ref="L480">IF($Q480&gt;=0,IFERROR(generateSalesData($D480, IF(ISNUMBER(_xlfn.XLOOKUP($C480,Phone_by_Sentiment!$B$2:$B$37,Phone_by_Sentiment!L$2:L$37,"",0,1)),_xlfn.XLOOKUP($C480,Phone_by_Sentiment!$B$2:$B$37,Phone_by_Sentiment!L$2:L$37,"",0,1),0),$A480-TEXT(DATEVALUE($D480&amp;"-01"), "dd-mm-yyyy")),0),0)</f>
        <v>0</v>
      </c>
      <c r="M480" cm="1">
        <f t="array" ref="M480">IF($Q480&gt;=0,IFERROR(generateSalesData($D480, IF(ISNUMBER(_xlfn.XLOOKUP($C480,Phone_by_Sentiment!$B$2:$B$37,Phone_by_Sentiment!M$2:M$37,"",0,1)),_xlfn.XLOOKUP($C480,Phone_by_Sentiment!$B$2:$B$37,Phone_by_Sentiment!M$2:M$37,"",0,1),0),$A480-TEXT(DATEVALUE($D480&amp;"-01"), "dd-mm-yyyy")),0),0)</f>
        <v>0</v>
      </c>
      <c r="N480" cm="1">
        <f t="array" ref="N480">IF($Q480&gt;=0,IFERROR(generateSalesData($D480, IF(ISNUMBER(_xlfn.XLOOKUP($C480,Phone_by_Sentiment!$B$2:$B$37,Phone_by_Sentiment!N$2:N$37,"",0,1)),_xlfn.XLOOKUP($C480,Phone_by_Sentiment!$B$2:$B$37,Phone_by_Sentiment!N$2:N$37,"",0,1),0),$A480-TEXT(DATEVALUE($D480&amp;"-01"), "dd-mm-yyyy")),0),0)</f>
        <v>0</v>
      </c>
      <c r="O480" cm="1">
        <f t="array" ref="O480">IF($Q480&gt;=0,IFERROR(generateSalesData($D480, IF(ISNUMBER(_xlfn.XLOOKUP($C480,Phone_by_Sentiment!$B$2:$B$37,Phone_by_Sentiment!O$2:O$37,"",0,1)),_xlfn.XLOOKUP($C480,Phone_by_Sentiment!$B$2:$B$37,Phone_by_Sentiment!O$2:O$37,"",0,1),0),$A480-TEXT(DATEVALUE($D480&amp;"-01"), "dd-mm-yyyy")),0),0)</f>
        <v>0</v>
      </c>
      <c r="P480" s="1">
        <f t="shared" si="19"/>
        <v>44440</v>
      </c>
      <c r="Q480">
        <f t="shared" si="20"/>
        <v>-578</v>
      </c>
    </row>
    <row r="481" spans="1:17" x14ac:dyDescent="0.25">
      <c r="A481" s="1">
        <f t="shared" si="18"/>
        <v>43862</v>
      </c>
      <c r="B481" t="s">
        <v>158</v>
      </c>
      <c r="C481" t="str">
        <f>_xlfn.XLOOKUP(B481,Phone_by_Price!$A$2:$A$34,Phone_by_Price!$B$2:$B$34,"-",0,1)</f>
        <v>Samsung Galaxy A32 5G</v>
      </c>
      <c r="D481" t="str">
        <f>_xlfn.XLOOKUP(C481,Phone_by_Sentiment!$B$2:$B$37,Phone_by_Sentiment!$A$2:$A$37,"-",0,1)</f>
        <v>2021-02</v>
      </c>
      <c r="E481" cm="1">
        <f t="array" ref="E481">IF($Q481&gt;=0,IFERROR(generateSalesData($D481, IF(ISNUMBER(_xlfn.XLOOKUP($C481,Phone_by_Sentiment!$B$2:$B$37,Phone_by_Sentiment!E$2:E$37,"",0,1)),_xlfn.XLOOKUP($C481,Phone_by_Sentiment!$B$2:$B$37,Phone_by_Sentiment!E$2:E$37,"",0,1),0),$A481-TEXT(DATEVALUE($D481&amp;"-01"), "dd-mm-yyyy")),0),0)</f>
        <v>0</v>
      </c>
      <c r="F481" cm="1">
        <f t="array" ref="F481">IF($Q481&gt;=0,IFERROR(generateSalesData($D481, IF(ISNUMBER(_xlfn.XLOOKUP($C481,Phone_by_Sentiment!$B$2:$B$37,Phone_by_Sentiment!F$2:F$37,"",0,1)),_xlfn.XLOOKUP($C481,Phone_by_Sentiment!$B$2:$B$37,Phone_by_Sentiment!F$2:F$37,"",0,1),0),$A481-TEXT(DATEVALUE($D481&amp;"-01"), "dd-mm-yyyy")),0),0)</f>
        <v>0</v>
      </c>
      <c r="G481" cm="1">
        <f t="array" ref="G481">IF($Q481&gt;=0,IFERROR(generateSalesData($D481, IF(ISNUMBER(_xlfn.XLOOKUP($C481,Phone_by_Sentiment!$B$2:$B$37,Phone_by_Sentiment!G$2:G$37,"",0,1)),_xlfn.XLOOKUP($C481,Phone_by_Sentiment!$B$2:$B$37,Phone_by_Sentiment!G$2:G$37,"",0,1),0),$A481-TEXT(DATEVALUE($D481&amp;"-01"), "dd-mm-yyyy")),0),0)</f>
        <v>0</v>
      </c>
      <c r="H481" cm="1">
        <f t="array" ref="H481">IF($Q481&gt;=0,IFERROR(generateSalesData($D481, IF(ISNUMBER(_xlfn.XLOOKUP($C481,Phone_by_Sentiment!$B$2:$B$37,Phone_by_Sentiment!H$2:H$37,"",0,1)),_xlfn.XLOOKUP($C481,Phone_by_Sentiment!$B$2:$B$37,Phone_by_Sentiment!H$2:H$37,"",0,1),0),$A481-TEXT(DATEVALUE($D481&amp;"-01"), "dd-mm-yyyy")),0),0)</f>
        <v>0</v>
      </c>
      <c r="I481" cm="1">
        <f t="array" ref="I481">IF($Q481&gt;=0,IFERROR(generateSalesData($D481, IF(ISNUMBER(_xlfn.XLOOKUP($C481,Phone_by_Sentiment!$B$2:$B$37,Phone_by_Sentiment!I$2:I$37,"",0,1)),_xlfn.XLOOKUP($C481,Phone_by_Sentiment!$B$2:$B$37,Phone_by_Sentiment!I$2:I$37,"",0,1),0),$A481-TEXT(DATEVALUE($D481&amp;"-01"), "dd-mm-yyyy")),0),0)</f>
        <v>0</v>
      </c>
      <c r="J481" cm="1">
        <f t="array" ref="J481">IF($Q481&gt;=0,IFERROR(generateSalesData($D481, IF(ISNUMBER(_xlfn.XLOOKUP($C481,Phone_by_Sentiment!$B$2:$B$37,Phone_by_Sentiment!J$2:J$37,"",0,1)),_xlfn.XLOOKUP($C481,Phone_by_Sentiment!$B$2:$B$37,Phone_by_Sentiment!J$2:J$37,"",0,1),0),$A481-TEXT(DATEVALUE($D481&amp;"-01"), "dd-mm-yyyy")),0),0)</f>
        <v>0</v>
      </c>
      <c r="K481" cm="1">
        <f t="array" ref="K481">IF($Q481&gt;=0,IFERROR(generateSalesData($D481, IF(ISNUMBER(_xlfn.XLOOKUP($C481,Phone_by_Sentiment!$B$2:$B$37,Phone_by_Sentiment!K$2:K$37,"",0,1)),_xlfn.XLOOKUP($C481,Phone_by_Sentiment!$B$2:$B$37,Phone_by_Sentiment!K$2:K$37,"",0,1),0),$A481-TEXT(DATEVALUE($D481&amp;"-01"), "dd-mm-yyyy")),0),0)</f>
        <v>0</v>
      </c>
      <c r="L481" cm="1">
        <f t="array" ref="L481">IF($Q481&gt;=0,IFERROR(generateSalesData($D481, IF(ISNUMBER(_xlfn.XLOOKUP($C481,Phone_by_Sentiment!$B$2:$B$37,Phone_by_Sentiment!L$2:L$37,"",0,1)),_xlfn.XLOOKUP($C481,Phone_by_Sentiment!$B$2:$B$37,Phone_by_Sentiment!L$2:L$37,"",0,1),0),$A481-TEXT(DATEVALUE($D481&amp;"-01"), "dd-mm-yyyy")),0),0)</f>
        <v>0</v>
      </c>
      <c r="M481" cm="1">
        <f t="array" ref="M481">IF($Q481&gt;=0,IFERROR(generateSalesData($D481, IF(ISNUMBER(_xlfn.XLOOKUP($C481,Phone_by_Sentiment!$B$2:$B$37,Phone_by_Sentiment!M$2:M$37,"",0,1)),_xlfn.XLOOKUP($C481,Phone_by_Sentiment!$B$2:$B$37,Phone_by_Sentiment!M$2:M$37,"",0,1),0),$A481-TEXT(DATEVALUE($D481&amp;"-01"), "dd-mm-yyyy")),0),0)</f>
        <v>0</v>
      </c>
      <c r="N481" cm="1">
        <f t="array" ref="N481">IF($Q481&gt;=0,IFERROR(generateSalesData($D481, IF(ISNUMBER(_xlfn.XLOOKUP($C481,Phone_by_Sentiment!$B$2:$B$37,Phone_by_Sentiment!N$2:N$37,"",0,1)),_xlfn.XLOOKUP($C481,Phone_by_Sentiment!$B$2:$B$37,Phone_by_Sentiment!N$2:N$37,"",0,1),0),$A481-TEXT(DATEVALUE($D481&amp;"-01"), "dd-mm-yyyy")),0),0)</f>
        <v>0</v>
      </c>
      <c r="O481" cm="1">
        <f t="array" ref="O481">IF($Q481&gt;=0,IFERROR(generateSalesData($D481, IF(ISNUMBER(_xlfn.XLOOKUP($C481,Phone_by_Sentiment!$B$2:$B$37,Phone_by_Sentiment!O$2:O$37,"",0,1)),_xlfn.XLOOKUP($C481,Phone_by_Sentiment!$B$2:$B$37,Phone_by_Sentiment!O$2:O$37,"",0,1),0),$A481-TEXT(DATEVALUE($D481&amp;"-01"), "dd-mm-yyyy")),0),0)</f>
        <v>0</v>
      </c>
      <c r="P481" s="1">
        <f t="shared" si="19"/>
        <v>44228</v>
      </c>
      <c r="Q481">
        <f t="shared" si="20"/>
        <v>-366</v>
      </c>
    </row>
    <row r="482" spans="1:17" x14ac:dyDescent="0.25">
      <c r="A482" s="1">
        <f t="shared" si="18"/>
        <v>43862</v>
      </c>
      <c r="B482" t="s">
        <v>159</v>
      </c>
      <c r="C482" t="str">
        <f>_xlfn.XLOOKUP(B482,Phone_by_Price!$A$2:$A$34,Phone_by_Price!$B$2:$B$34,"-",0,1)</f>
        <v>Realme C25</v>
      </c>
      <c r="D482" t="str">
        <f>_xlfn.XLOOKUP(C482,Phone_by_Sentiment!$B$2:$B$37,Phone_by_Sentiment!$A$2:$A$37,"-",0,1)</f>
        <v>2021-03</v>
      </c>
      <c r="E482" cm="1">
        <f t="array" ref="E482">IF($Q482&gt;=0,IFERROR(generateSalesData($D482, IF(ISNUMBER(_xlfn.XLOOKUP($C482,Phone_by_Sentiment!$B$2:$B$37,Phone_by_Sentiment!E$2:E$37,"",0,1)),_xlfn.XLOOKUP($C482,Phone_by_Sentiment!$B$2:$B$37,Phone_by_Sentiment!E$2:E$37,"",0,1),0),$A482-TEXT(DATEVALUE($D482&amp;"-01"), "dd-mm-yyyy")),0),0)</f>
        <v>0</v>
      </c>
      <c r="F482" cm="1">
        <f t="array" ref="F482">IF($Q482&gt;=0,IFERROR(generateSalesData($D482, IF(ISNUMBER(_xlfn.XLOOKUP($C482,Phone_by_Sentiment!$B$2:$B$37,Phone_by_Sentiment!F$2:F$37,"",0,1)),_xlfn.XLOOKUP($C482,Phone_by_Sentiment!$B$2:$B$37,Phone_by_Sentiment!F$2:F$37,"",0,1),0),$A482-TEXT(DATEVALUE($D482&amp;"-01"), "dd-mm-yyyy")),0),0)</f>
        <v>0</v>
      </c>
      <c r="G482" cm="1">
        <f t="array" ref="G482">IF($Q482&gt;=0,IFERROR(generateSalesData($D482, IF(ISNUMBER(_xlfn.XLOOKUP($C482,Phone_by_Sentiment!$B$2:$B$37,Phone_by_Sentiment!G$2:G$37,"",0,1)),_xlfn.XLOOKUP($C482,Phone_by_Sentiment!$B$2:$B$37,Phone_by_Sentiment!G$2:G$37,"",0,1),0),$A482-TEXT(DATEVALUE($D482&amp;"-01"), "dd-mm-yyyy")),0),0)</f>
        <v>0</v>
      </c>
      <c r="H482" cm="1">
        <f t="array" ref="H482">IF($Q482&gt;=0,IFERROR(generateSalesData($D482, IF(ISNUMBER(_xlfn.XLOOKUP($C482,Phone_by_Sentiment!$B$2:$B$37,Phone_by_Sentiment!H$2:H$37,"",0,1)),_xlfn.XLOOKUP($C482,Phone_by_Sentiment!$B$2:$B$37,Phone_by_Sentiment!H$2:H$37,"",0,1),0),$A482-TEXT(DATEVALUE($D482&amp;"-01"), "dd-mm-yyyy")),0),0)</f>
        <v>0</v>
      </c>
      <c r="I482" cm="1">
        <f t="array" ref="I482">IF($Q482&gt;=0,IFERROR(generateSalesData($D482, IF(ISNUMBER(_xlfn.XLOOKUP($C482,Phone_by_Sentiment!$B$2:$B$37,Phone_by_Sentiment!I$2:I$37,"",0,1)),_xlfn.XLOOKUP($C482,Phone_by_Sentiment!$B$2:$B$37,Phone_by_Sentiment!I$2:I$37,"",0,1),0),$A482-TEXT(DATEVALUE($D482&amp;"-01"), "dd-mm-yyyy")),0),0)</f>
        <v>0</v>
      </c>
      <c r="J482" cm="1">
        <f t="array" ref="J482">IF($Q482&gt;=0,IFERROR(generateSalesData($D482, IF(ISNUMBER(_xlfn.XLOOKUP($C482,Phone_by_Sentiment!$B$2:$B$37,Phone_by_Sentiment!J$2:J$37,"",0,1)),_xlfn.XLOOKUP($C482,Phone_by_Sentiment!$B$2:$B$37,Phone_by_Sentiment!J$2:J$37,"",0,1),0),$A482-TEXT(DATEVALUE($D482&amp;"-01"), "dd-mm-yyyy")),0),0)</f>
        <v>0</v>
      </c>
      <c r="K482" cm="1">
        <f t="array" ref="K482">IF($Q482&gt;=0,IFERROR(generateSalesData($D482, IF(ISNUMBER(_xlfn.XLOOKUP($C482,Phone_by_Sentiment!$B$2:$B$37,Phone_by_Sentiment!K$2:K$37,"",0,1)),_xlfn.XLOOKUP($C482,Phone_by_Sentiment!$B$2:$B$37,Phone_by_Sentiment!K$2:K$37,"",0,1),0),$A482-TEXT(DATEVALUE($D482&amp;"-01"), "dd-mm-yyyy")),0),0)</f>
        <v>0</v>
      </c>
      <c r="L482" cm="1">
        <f t="array" ref="L482">IF($Q482&gt;=0,IFERROR(generateSalesData($D482, IF(ISNUMBER(_xlfn.XLOOKUP($C482,Phone_by_Sentiment!$B$2:$B$37,Phone_by_Sentiment!L$2:L$37,"",0,1)),_xlfn.XLOOKUP($C482,Phone_by_Sentiment!$B$2:$B$37,Phone_by_Sentiment!L$2:L$37,"",0,1),0),$A482-TEXT(DATEVALUE($D482&amp;"-01"), "dd-mm-yyyy")),0),0)</f>
        <v>0</v>
      </c>
      <c r="M482" cm="1">
        <f t="array" ref="M482">IF($Q482&gt;=0,IFERROR(generateSalesData($D482, IF(ISNUMBER(_xlfn.XLOOKUP($C482,Phone_by_Sentiment!$B$2:$B$37,Phone_by_Sentiment!M$2:M$37,"",0,1)),_xlfn.XLOOKUP($C482,Phone_by_Sentiment!$B$2:$B$37,Phone_by_Sentiment!M$2:M$37,"",0,1),0),$A482-TEXT(DATEVALUE($D482&amp;"-01"), "dd-mm-yyyy")),0),0)</f>
        <v>0</v>
      </c>
      <c r="N482" cm="1">
        <f t="array" ref="N482">IF($Q482&gt;=0,IFERROR(generateSalesData($D482, IF(ISNUMBER(_xlfn.XLOOKUP($C482,Phone_by_Sentiment!$B$2:$B$37,Phone_by_Sentiment!N$2:N$37,"",0,1)),_xlfn.XLOOKUP($C482,Phone_by_Sentiment!$B$2:$B$37,Phone_by_Sentiment!N$2:N$37,"",0,1),0),$A482-TEXT(DATEVALUE($D482&amp;"-01"), "dd-mm-yyyy")),0),0)</f>
        <v>0</v>
      </c>
      <c r="O482" cm="1">
        <f t="array" ref="O482">IF($Q482&gt;=0,IFERROR(generateSalesData($D482, IF(ISNUMBER(_xlfn.XLOOKUP($C482,Phone_by_Sentiment!$B$2:$B$37,Phone_by_Sentiment!O$2:O$37,"",0,1)),_xlfn.XLOOKUP($C482,Phone_by_Sentiment!$B$2:$B$37,Phone_by_Sentiment!O$2:O$37,"",0,1),0),$A482-TEXT(DATEVALUE($D482&amp;"-01"), "dd-mm-yyyy")),0),0)</f>
        <v>0</v>
      </c>
      <c r="P482" s="1">
        <f t="shared" si="19"/>
        <v>44256</v>
      </c>
      <c r="Q482">
        <f t="shared" si="20"/>
        <v>-394</v>
      </c>
    </row>
    <row r="483" spans="1:17" x14ac:dyDescent="0.25">
      <c r="A483" s="1">
        <f t="shared" si="18"/>
        <v>43862</v>
      </c>
      <c r="B483" t="s">
        <v>160</v>
      </c>
      <c r="C483" t="str">
        <f>_xlfn.XLOOKUP(B483,Phone_by_Price!$A$2:$A$34,Phone_by_Price!$B$2:$B$34,"-",0,1)</f>
        <v>Xiaomi Poco X3 Pro</v>
      </c>
      <c r="D483" t="str">
        <f>_xlfn.XLOOKUP(C483,Phone_by_Sentiment!$B$2:$B$37,Phone_by_Sentiment!$A$2:$A$37,"-",0,1)</f>
        <v>2021-05</v>
      </c>
      <c r="E483" cm="1">
        <f t="array" ref="E483">IF($Q483&gt;=0,IFERROR(generateSalesData($D483, IF(ISNUMBER(_xlfn.XLOOKUP($C483,Phone_by_Sentiment!$B$2:$B$37,Phone_by_Sentiment!E$2:E$37,"",0,1)),_xlfn.XLOOKUP($C483,Phone_by_Sentiment!$B$2:$B$37,Phone_by_Sentiment!E$2:E$37,"",0,1),0),$A483-TEXT(DATEVALUE($D483&amp;"-01"), "dd-mm-yyyy")),0),0)</f>
        <v>0</v>
      </c>
      <c r="F483" cm="1">
        <f t="array" ref="F483">IF($Q483&gt;=0,IFERROR(generateSalesData($D483, IF(ISNUMBER(_xlfn.XLOOKUP($C483,Phone_by_Sentiment!$B$2:$B$37,Phone_by_Sentiment!F$2:F$37,"",0,1)),_xlfn.XLOOKUP($C483,Phone_by_Sentiment!$B$2:$B$37,Phone_by_Sentiment!F$2:F$37,"",0,1),0),$A483-TEXT(DATEVALUE($D483&amp;"-01"), "dd-mm-yyyy")),0),0)</f>
        <v>0</v>
      </c>
      <c r="G483" cm="1">
        <f t="array" ref="G483">IF($Q483&gt;=0,IFERROR(generateSalesData($D483, IF(ISNUMBER(_xlfn.XLOOKUP($C483,Phone_by_Sentiment!$B$2:$B$37,Phone_by_Sentiment!G$2:G$37,"",0,1)),_xlfn.XLOOKUP($C483,Phone_by_Sentiment!$B$2:$B$37,Phone_by_Sentiment!G$2:G$37,"",0,1),0),$A483-TEXT(DATEVALUE($D483&amp;"-01"), "dd-mm-yyyy")),0),0)</f>
        <v>0</v>
      </c>
      <c r="H483" cm="1">
        <f t="array" ref="H483">IF($Q483&gt;=0,IFERROR(generateSalesData($D483, IF(ISNUMBER(_xlfn.XLOOKUP($C483,Phone_by_Sentiment!$B$2:$B$37,Phone_by_Sentiment!H$2:H$37,"",0,1)),_xlfn.XLOOKUP($C483,Phone_by_Sentiment!$B$2:$B$37,Phone_by_Sentiment!H$2:H$37,"",0,1),0),$A483-TEXT(DATEVALUE($D483&amp;"-01"), "dd-mm-yyyy")),0),0)</f>
        <v>0</v>
      </c>
      <c r="I483" cm="1">
        <f t="array" ref="I483">IF($Q483&gt;=0,IFERROR(generateSalesData($D483, IF(ISNUMBER(_xlfn.XLOOKUP($C483,Phone_by_Sentiment!$B$2:$B$37,Phone_by_Sentiment!I$2:I$37,"",0,1)),_xlfn.XLOOKUP($C483,Phone_by_Sentiment!$B$2:$B$37,Phone_by_Sentiment!I$2:I$37,"",0,1),0),$A483-TEXT(DATEVALUE($D483&amp;"-01"), "dd-mm-yyyy")),0),0)</f>
        <v>0</v>
      </c>
      <c r="J483" cm="1">
        <f t="array" ref="J483">IF($Q483&gt;=0,IFERROR(generateSalesData($D483, IF(ISNUMBER(_xlfn.XLOOKUP($C483,Phone_by_Sentiment!$B$2:$B$37,Phone_by_Sentiment!J$2:J$37,"",0,1)),_xlfn.XLOOKUP($C483,Phone_by_Sentiment!$B$2:$B$37,Phone_by_Sentiment!J$2:J$37,"",0,1),0),$A483-TEXT(DATEVALUE($D483&amp;"-01"), "dd-mm-yyyy")),0),0)</f>
        <v>0</v>
      </c>
      <c r="K483" cm="1">
        <f t="array" ref="K483">IF($Q483&gt;=0,IFERROR(generateSalesData($D483, IF(ISNUMBER(_xlfn.XLOOKUP($C483,Phone_by_Sentiment!$B$2:$B$37,Phone_by_Sentiment!K$2:K$37,"",0,1)),_xlfn.XLOOKUP($C483,Phone_by_Sentiment!$B$2:$B$37,Phone_by_Sentiment!K$2:K$37,"",0,1),0),$A483-TEXT(DATEVALUE($D483&amp;"-01"), "dd-mm-yyyy")),0),0)</f>
        <v>0</v>
      </c>
      <c r="L483" cm="1">
        <f t="array" ref="L483">IF($Q483&gt;=0,IFERROR(generateSalesData($D483, IF(ISNUMBER(_xlfn.XLOOKUP($C483,Phone_by_Sentiment!$B$2:$B$37,Phone_by_Sentiment!L$2:L$37,"",0,1)),_xlfn.XLOOKUP($C483,Phone_by_Sentiment!$B$2:$B$37,Phone_by_Sentiment!L$2:L$37,"",0,1),0),$A483-TEXT(DATEVALUE($D483&amp;"-01"), "dd-mm-yyyy")),0),0)</f>
        <v>0</v>
      </c>
      <c r="M483" cm="1">
        <f t="array" ref="M483">IF($Q483&gt;=0,IFERROR(generateSalesData($D483, IF(ISNUMBER(_xlfn.XLOOKUP($C483,Phone_by_Sentiment!$B$2:$B$37,Phone_by_Sentiment!M$2:M$37,"",0,1)),_xlfn.XLOOKUP($C483,Phone_by_Sentiment!$B$2:$B$37,Phone_by_Sentiment!M$2:M$37,"",0,1),0),$A483-TEXT(DATEVALUE($D483&amp;"-01"), "dd-mm-yyyy")),0),0)</f>
        <v>0</v>
      </c>
      <c r="N483" cm="1">
        <f t="array" ref="N483">IF($Q483&gt;=0,IFERROR(generateSalesData($D483, IF(ISNUMBER(_xlfn.XLOOKUP($C483,Phone_by_Sentiment!$B$2:$B$37,Phone_by_Sentiment!N$2:N$37,"",0,1)),_xlfn.XLOOKUP($C483,Phone_by_Sentiment!$B$2:$B$37,Phone_by_Sentiment!N$2:N$37,"",0,1),0),$A483-TEXT(DATEVALUE($D483&amp;"-01"), "dd-mm-yyyy")),0),0)</f>
        <v>0</v>
      </c>
      <c r="O483" cm="1">
        <f t="array" ref="O483">IF($Q483&gt;=0,IFERROR(generateSalesData($D483, IF(ISNUMBER(_xlfn.XLOOKUP($C483,Phone_by_Sentiment!$B$2:$B$37,Phone_by_Sentiment!O$2:O$37,"",0,1)),_xlfn.XLOOKUP($C483,Phone_by_Sentiment!$B$2:$B$37,Phone_by_Sentiment!O$2:O$37,"",0,1),0),$A483-TEXT(DATEVALUE($D483&amp;"-01"), "dd-mm-yyyy")),0),0)</f>
        <v>0</v>
      </c>
      <c r="P483" s="1">
        <f t="shared" si="19"/>
        <v>44317</v>
      </c>
      <c r="Q483">
        <f t="shared" si="20"/>
        <v>-455</v>
      </c>
    </row>
    <row r="484" spans="1:17" x14ac:dyDescent="0.25">
      <c r="A484" s="1">
        <f t="shared" si="18"/>
        <v>43862</v>
      </c>
      <c r="B484" t="s">
        <v>161</v>
      </c>
      <c r="C484" t="str">
        <f>_xlfn.XLOOKUP(B484,Phone_by_Price!$A$2:$A$34,Phone_by_Price!$B$2:$B$34,"-",0,1)</f>
        <v>Samsung Galaxy Z Flip 3</v>
      </c>
      <c r="D484" t="str">
        <f>_xlfn.XLOOKUP(C484,Phone_by_Sentiment!$B$2:$B$37,Phone_by_Sentiment!$A$2:$A$37,"-",0,1)</f>
        <v>2021-09</v>
      </c>
      <c r="E484" cm="1">
        <f t="array" ref="E484">IF($Q484&gt;=0,IFERROR(generateSalesData($D484, IF(ISNUMBER(_xlfn.XLOOKUP($C484,Phone_by_Sentiment!$B$2:$B$37,Phone_by_Sentiment!E$2:E$37,"",0,1)),_xlfn.XLOOKUP($C484,Phone_by_Sentiment!$B$2:$B$37,Phone_by_Sentiment!E$2:E$37,"",0,1),0),$A484-TEXT(DATEVALUE($D484&amp;"-01"), "dd-mm-yyyy")),0),0)</f>
        <v>0</v>
      </c>
      <c r="F484" cm="1">
        <f t="array" ref="F484">IF($Q484&gt;=0,IFERROR(generateSalesData($D484, IF(ISNUMBER(_xlfn.XLOOKUP($C484,Phone_by_Sentiment!$B$2:$B$37,Phone_by_Sentiment!F$2:F$37,"",0,1)),_xlfn.XLOOKUP($C484,Phone_by_Sentiment!$B$2:$B$37,Phone_by_Sentiment!F$2:F$37,"",0,1),0),$A484-TEXT(DATEVALUE($D484&amp;"-01"), "dd-mm-yyyy")),0),0)</f>
        <v>0</v>
      </c>
      <c r="G484" cm="1">
        <f t="array" ref="G484">IF($Q484&gt;=0,IFERROR(generateSalesData($D484, IF(ISNUMBER(_xlfn.XLOOKUP($C484,Phone_by_Sentiment!$B$2:$B$37,Phone_by_Sentiment!G$2:G$37,"",0,1)),_xlfn.XLOOKUP($C484,Phone_by_Sentiment!$B$2:$B$37,Phone_by_Sentiment!G$2:G$37,"",0,1),0),$A484-TEXT(DATEVALUE($D484&amp;"-01"), "dd-mm-yyyy")),0),0)</f>
        <v>0</v>
      </c>
      <c r="H484" cm="1">
        <f t="array" ref="H484">IF($Q484&gt;=0,IFERROR(generateSalesData($D484, IF(ISNUMBER(_xlfn.XLOOKUP($C484,Phone_by_Sentiment!$B$2:$B$37,Phone_by_Sentiment!H$2:H$37,"",0,1)),_xlfn.XLOOKUP($C484,Phone_by_Sentiment!$B$2:$B$37,Phone_by_Sentiment!H$2:H$37,"",0,1),0),$A484-TEXT(DATEVALUE($D484&amp;"-01"), "dd-mm-yyyy")),0),0)</f>
        <v>0</v>
      </c>
      <c r="I484" cm="1">
        <f t="array" ref="I484">IF($Q484&gt;=0,IFERROR(generateSalesData($D484, IF(ISNUMBER(_xlfn.XLOOKUP($C484,Phone_by_Sentiment!$B$2:$B$37,Phone_by_Sentiment!I$2:I$37,"",0,1)),_xlfn.XLOOKUP($C484,Phone_by_Sentiment!$B$2:$B$37,Phone_by_Sentiment!I$2:I$37,"",0,1),0),$A484-TEXT(DATEVALUE($D484&amp;"-01"), "dd-mm-yyyy")),0),0)</f>
        <v>0</v>
      </c>
      <c r="J484" cm="1">
        <f t="array" ref="J484">IF($Q484&gt;=0,IFERROR(generateSalesData($D484, IF(ISNUMBER(_xlfn.XLOOKUP($C484,Phone_by_Sentiment!$B$2:$B$37,Phone_by_Sentiment!J$2:J$37,"",0,1)),_xlfn.XLOOKUP($C484,Phone_by_Sentiment!$B$2:$B$37,Phone_by_Sentiment!J$2:J$37,"",0,1),0),$A484-TEXT(DATEVALUE($D484&amp;"-01"), "dd-mm-yyyy")),0),0)</f>
        <v>0</v>
      </c>
      <c r="K484" cm="1">
        <f t="array" ref="K484">IF($Q484&gt;=0,IFERROR(generateSalesData($D484, IF(ISNUMBER(_xlfn.XLOOKUP($C484,Phone_by_Sentiment!$B$2:$B$37,Phone_by_Sentiment!K$2:K$37,"",0,1)),_xlfn.XLOOKUP($C484,Phone_by_Sentiment!$B$2:$B$37,Phone_by_Sentiment!K$2:K$37,"",0,1),0),$A484-TEXT(DATEVALUE($D484&amp;"-01"), "dd-mm-yyyy")),0),0)</f>
        <v>0</v>
      </c>
      <c r="L484" cm="1">
        <f t="array" ref="L484">IF($Q484&gt;=0,IFERROR(generateSalesData($D484, IF(ISNUMBER(_xlfn.XLOOKUP($C484,Phone_by_Sentiment!$B$2:$B$37,Phone_by_Sentiment!L$2:L$37,"",0,1)),_xlfn.XLOOKUP($C484,Phone_by_Sentiment!$B$2:$B$37,Phone_by_Sentiment!L$2:L$37,"",0,1),0),$A484-TEXT(DATEVALUE($D484&amp;"-01"), "dd-mm-yyyy")),0),0)</f>
        <v>0</v>
      </c>
      <c r="M484" cm="1">
        <f t="array" ref="M484">IF($Q484&gt;=0,IFERROR(generateSalesData($D484, IF(ISNUMBER(_xlfn.XLOOKUP($C484,Phone_by_Sentiment!$B$2:$B$37,Phone_by_Sentiment!M$2:M$37,"",0,1)),_xlfn.XLOOKUP($C484,Phone_by_Sentiment!$B$2:$B$37,Phone_by_Sentiment!M$2:M$37,"",0,1),0),$A484-TEXT(DATEVALUE($D484&amp;"-01"), "dd-mm-yyyy")),0),0)</f>
        <v>0</v>
      </c>
      <c r="N484" cm="1">
        <f t="array" ref="N484">IF($Q484&gt;=0,IFERROR(generateSalesData($D484, IF(ISNUMBER(_xlfn.XLOOKUP($C484,Phone_by_Sentiment!$B$2:$B$37,Phone_by_Sentiment!N$2:N$37,"",0,1)),_xlfn.XLOOKUP($C484,Phone_by_Sentiment!$B$2:$B$37,Phone_by_Sentiment!N$2:N$37,"",0,1),0),$A484-TEXT(DATEVALUE($D484&amp;"-01"), "dd-mm-yyyy")),0),0)</f>
        <v>0</v>
      </c>
      <c r="O484" cm="1">
        <f t="array" ref="O484">IF($Q484&gt;=0,IFERROR(generateSalesData($D484, IF(ISNUMBER(_xlfn.XLOOKUP($C484,Phone_by_Sentiment!$B$2:$B$37,Phone_by_Sentiment!O$2:O$37,"",0,1)),_xlfn.XLOOKUP($C484,Phone_by_Sentiment!$B$2:$B$37,Phone_by_Sentiment!O$2:O$37,"",0,1),0),$A484-TEXT(DATEVALUE($D484&amp;"-01"), "dd-mm-yyyy")),0),0)</f>
        <v>0</v>
      </c>
      <c r="P484" s="1">
        <f t="shared" si="19"/>
        <v>44440</v>
      </c>
      <c r="Q484">
        <f t="shared" si="20"/>
        <v>-578</v>
      </c>
    </row>
    <row r="485" spans="1:17" x14ac:dyDescent="0.25">
      <c r="A485" s="1">
        <f t="shared" si="18"/>
        <v>43862</v>
      </c>
      <c r="B485" t="s">
        <v>162</v>
      </c>
      <c r="C485" t="str">
        <f>_xlfn.XLOOKUP(B485,Phone_by_Price!$A$2:$A$34,Phone_by_Price!$B$2:$B$34,"-",0,1)</f>
        <v>Xiaomi Poco X3 NFC</v>
      </c>
      <c r="D485" t="str">
        <f>_xlfn.XLOOKUP(C485,Phone_by_Sentiment!$B$2:$B$37,Phone_by_Sentiment!$A$2:$A$37,"-",0,1)</f>
        <v>2020-08</v>
      </c>
      <c r="E485" cm="1">
        <f t="array" ref="E485">IF($Q485&gt;=0,IFERROR(generateSalesData($D485, IF(ISNUMBER(_xlfn.XLOOKUP($C485,Phone_by_Sentiment!$B$2:$B$37,Phone_by_Sentiment!E$2:E$37,"",0,1)),_xlfn.XLOOKUP($C485,Phone_by_Sentiment!$B$2:$B$37,Phone_by_Sentiment!E$2:E$37,"",0,1),0),$A485-TEXT(DATEVALUE($D485&amp;"-01"), "dd-mm-yyyy")),0),0)</f>
        <v>0</v>
      </c>
      <c r="F485" cm="1">
        <f t="array" ref="F485">IF($Q485&gt;=0,IFERROR(generateSalesData($D485, IF(ISNUMBER(_xlfn.XLOOKUP($C485,Phone_by_Sentiment!$B$2:$B$37,Phone_by_Sentiment!F$2:F$37,"",0,1)),_xlfn.XLOOKUP($C485,Phone_by_Sentiment!$B$2:$B$37,Phone_by_Sentiment!F$2:F$37,"",0,1),0),$A485-TEXT(DATEVALUE($D485&amp;"-01"), "dd-mm-yyyy")),0),0)</f>
        <v>0</v>
      </c>
      <c r="G485" cm="1">
        <f t="array" ref="G485">IF($Q485&gt;=0,IFERROR(generateSalesData($D485, IF(ISNUMBER(_xlfn.XLOOKUP($C485,Phone_by_Sentiment!$B$2:$B$37,Phone_by_Sentiment!G$2:G$37,"",0,1)),_xlfn.XLOOKUP($C485,Phone_by_Sentiment!$B$2:$B$37,Phone_by_Sentiment!G$2:G$37,"",0,1),0),$A485-TEXT(DATEVALUE($D485&amp;"-01"), "dd-mm-yyyy")),0),0)</f>
        <v>0</v>
      </c>
      <c r="H485" cm="1">
        <f t="array" ref="H485">IF($Q485&gt;=0,IFERROR(generateSalesData($D485, IF(ISNUMBER(_xlfn.XLOOKUP($C485,Phone_by_Sentiment!$B$2:$B$37,Phone_by_Sentiment!H$2:H$37,"",0,1)),_xlfn.XLOOKUP($C485,Phone_by_Sentiment!$B$2:$B$37,Phone_by_Sentiment!H$2:H$37,"",0,1),0),$A485-TEXT(DATEVALUE($D485&amp;"-01"), "dd-mm-yyyy")),0),0)</f>
        <v>0</v>
      </c>
      <c r="I485" cm="1">
        <f t="array" ref="I485">IF($Q485&gt;=0,IFERROR(generateSalesData($D485, IF(ISNUMBER(_xlfn.XLOOKUP($C485,Phone_by_Sentiment!$B$2:$B$37,Phone_by_Sentiment!I$2:I$37,"",0,1)),_xlfn.XLOOKUP($C485,Phone_by_Sentiment!$B$2:$B$37,Phone_by_Sentiment!I$2:I$37,"",0,1),0),$A485-TEXT(DATEVALUE($D485&amp;"-01"), "dd-mm-yyyy")),0),0)</f>
        <v>0</v>
      </c>
      <c r="J485" cm="1">
        <f t="array" ref="J485">IF($Q485&gt;=0,IFERROR(generateSalesData($D485, IF(ISNUMBER(_xlfn.XLOOKUP($C485,Phone_by_Sentiment!$B$2:$B$37,Phone_by_Sentiment!J$2:J$37,"",0,1)),_xlfn.XLOOKUP($C485,Phone_by_Sentiment!$B$2:$B$37,Phone_by_Sentiment!J$2:J$37,"",0,1),0),$A485-TEXT(DATEVALUE($D485&amp;"-01"), "dd-mm-yyyy")),0),0)</f>
        <v>0</v>
      </c>
      <c r="K485" cm="1">
        <f t="array" ref="K485">IF($Q485&gt;=0,IFERROR(generateSalesData($D485, IF(ISNUMBER(_xlfn.XLOOKUP($C485,Phone_by_Sentiment!$B$2:$B$37,Phone_by_Sentiment!K$2:K$37,"",0,1)),_xlfn.XLOOKUP($C485,Phone_by_Sentiment!$B$2:$B$37,Phone_by_Sentiment!K$2:K$37,"",0,1),0),$A485-TEXT(DATEVALUE($D485&amp;"-01"), "dd-mm-yyyy")),0),0)</f>
        <v>0</v>
      </c>
      <c r="L485" cm="1">
        <f t="array" ref="L485">IF($Q485&gt;=0,IFERROR(generateSalesData($D485, IF(ISNUMBER(_xlfn.XLOOKUP($C485,Phone_by_Sentiment!$B$2:$B$37,Phone_by_Sentiment!L$2:L$37,"",0,1)),_xlfn.XLOOKUP($C485,Phone_by_Sentiment!$B$2:$B$37,Phone_by_Sentiment!L$2:L$37,"",0,1),0),$A485-TEXT(DATEVALUE($D485&amp;"-01"), "dd-mm-yyyy")),0),0)</f>
        <v>0</v>
      </c>
      <c r="M485" cm="1">
        <f t="array" ref="M485">IF($Q485&gt;=0,IFERROR(generateSalesData($D485, IF(ISNUMBER(_xlfn.XLOOKUP($C485,Phone_by_Sentiment!$B$2:$B$37,Phone_by_Sentiment!M$2:M$37,"",0,1)),_xlfn.XLOOKUP($C485,Phone_by_Sentiment!$B$2:$B$37,Phone_by_Sentiment!M$2:M$37,"",0,1),0),$A485-TEXT(DATEVALUE($D485&amp;"-01"), "dd-mm-yyyy")),0),0)</f>
        <v>0</v>
      </c>
      <c r="N485" cm="1">
        <f t="array" ref="N485">IF($Q485&gt;=0,IFERROR(generateSalesData($D485, IF(ISNUMBER(_xlfn.XLOOKUP($C485,Phone_by_Sentiment!$B$2:$B$37,Phone_by_Sentiment!N$2:N$37,"",0,1)),_xlfn.XLOOKUP($C485,Phone_by_Sentiment!$B$2:$B$37,Phone_by_Sentiment!N$2:N$37,"",0,1),0),$A485-TEXT(DATEVALUE($D485&amp;"-01"), "dd-mm-yyyy")),0),0)</f>
        <v>0</v>
      </c>
      <c r="O485" cm="1">
        <f t="array" ref="O485">IF($Q485&gt;=0,IFERROR(generateSalesData($D485, IF(ISNUMBER(_xlfn.XLOOKUP($C485,Phone_by_Sentiment!$B$2:$B$37,Phone_by_Sentiment!O$2:O$37,"",0,1)),_xlfn.XLOOKUP($C485,Phone_by_Sentiment!$B$2:$B$37,Phone_by_Sentiment!O$2:O$37,"",0,1),0),$A485-TEXT(DATEVALUE($D485&amp;"-01"), "dd-mm-yyyy")),0),0)</f>
        <v>0</v>
      </c>
      <c r="P485" s="1">
        <f t="shared" si="19"/>
        <v>44044</v>
      </c>
      <c r="Q485">
        <f t="shared" si="20"/>
        <v>-182</v>
      </c>
    </row>
    <row r="486" spans="1:17" x14ac:dyDescent="0.25">
      <c r="A486" s="1">
        <f t="shared" si="18"/>
        <v>43862</v>
      </c>
      <c r="B486" t="s">
        <v>163</v>
      </c>
      <c r="C486" t="str">
        <f>_xlfn.XLOOKUP(B486,Phone_by_Price!$A$2:$A$34,Phone_by_Price!$B$2:$B$34,"-",0,1)</f>
        <v>OPPO A93</v>
      </c>
      <c r="D486" t="str">
        <f>_xlfn.XLOOKUP(C486,Phone_by_Sentiment!$B$2:$B$37,Phone_by_Sentiment!$A$2:$A$37,"-",0,1)</f>
        <v>2021-02</v>
      </c>
      <c r="E486" cm="1">
        <f t="array" ref="E486">IF($Q486&gt;=0,IFERROR(generateSalesData($D486, IF(ISNUMBER(_xlfn.XLOOKUP($C486,Phone_by_Sentiment!$B$2:$B$37,Phone_by_Sentiment!E$2:E$37,"",0,1)),_xlfn.XLOOKUP($C486,Phone_by_Sentiment!$B$2:$B$37,Phone_by_Sentiment!E$2:E$37,"",0,1),0),$A486-TEXT(DATEVALUE($D486&amp;"-01"), "dd-mm-yyyy")),0),0)</f>
        <v>0</v>
      </c>
      <c r="F486" cm="1">
        <f t="array" ref="F486">IF($Q486&gt;=0,IFERROR(generateSalesData($D486, IF(ISNUMBER(_xlfn.XLOOKUP($C486,Phone_by_Sentiment!$B$2:$B$37,Phone_by_Sentiment!F$2:F$37,"",0,1)),_xlfn.XLOOKUP($C486,Phone_by_Sentiment!$B$2:$B$37,Phone_by_Sentiment!F$2:F$37,"",0,1),0),$A486-TEXT(DATEVALUE($D486&amp;"-01"), "dd-mm-yyyy")),0),0)</f>
        <v>0</v>
      </c>
      <c r="G486" cm="1">
        <f t="array" ref="G486">IF($Q486&gt;=0,IFERROR(generateSalesData($D486, IF(ISNUMBER(_xlfn.XLOOKUP($C486,Phone_by_Sentiment!$B$2:$B$37,Phone_by_Sentiment!G$2:G$37,"",0,1)),_xlfn.XLOOKUP($C486,Phone_by_Sentiment!$B$2:$B$37,Phone_by_Sentiment!G$2:G$37,"",0,1),0),$A486-TEXT(DATEVALUE($D486&amp;"-01"), "dd-mm-yyyy")),0),0)</f>
        <v>0</v>
      </c>
      <c r="H486" cm="1">
        <f t="array" ref="H486">IF($Q486&gt;=0,IFERROR(generateSalesData($D486, IF(ISNUMBER(_xlfn.XLOOKUP($C486,Phone_by_Sentiment!$B$2:$B$37,Phone_by_Sentiment!H$2:H$37,"",0,1)),_xlfn.XLOOKUP($C486,Phone_by_Sentiment!$B$2:$B$37,Phone_by_Sentiment!H$2:H$37,"",0,1),0),$A486-TEXT(DATEVALUE($D486&amp;"-01"), "dd-mm-yyyy")),0),0)</f>
        <v>0</v>
      </c>
      <c r="I486" cm="1">
        <f t="array" ref="I486">IF($Q486&gt;=0,IFERROR(generateSalesData($D486, IF(ISNUMBER(_xlfn.XLOOKUP($C486,Phone_by_Sentiment!$B$2:$B$37,Phone_by_Sentiment!I$2:I$37,"",0,1)),_xlfn.XLOOKUP($C486,Phone_by_Sentiment!$B$2:$B$37,Phone_by_Sentiment!I$2:I$37,"",0,1),0),$A486-TEXT(DATEVALUE($D486&amp;"-01"), "dd-mm-yyyy")),0),0)</f>
        <v>0</v>
      </c>
      <c r="J486" cm="1">
        <f t="array" ref="J486">IF($Q486&gt;=0,IFERROR(generateSalesData($D486, IF(ISNUMBER(_xlfn.XLOOKUP($C486,Phone_by_Sentiment!$B$2:$B$37,Phone_by_Sentiment!J$2:J$37,"",0,1)),_xlfn.XLOOKUP($C486,Phone_by_Sentiment!$B$2:$B$37,Phone_by_Sentiment!J$2:J$37,"",0,1),0),$A486-TEXT(DATEVALUE($D486&amp;"-01"), "dd-mm-yyyy")),0),0)</f>
        <v>0</v>
      </c>
      <c r="K486" cm="1">
        <f t="array" ref="K486">IF($Q486&gt;=0,IFERROR(generateSalesData($D486, IF(ISNUMBER(_xlfn.XLOOKUP($C486,Phone_by_Sentiment!$B$2:$B$37,Phone_by_Sentiment!K$2:K$37,"",0,1)),_xlfn.XLOOKUP($C486,Phone_by_Sentiment!$B$2:$B$37,Phone_by_Sentiment!K$2:K$37,"",0,1),0),$A486-TEXT(DATEVALUE($D486&amp;"-01"), "dd-mm-yyyy")),0),0)</f>
        <v>0</v>
      </c>
      <c r="L486" cm="1">
        <f t="array" ref="L486">IF($Q486&gt;=0,IFERROR(generateSalesData($D486, IF(ISNUMBER(_xlfn.XLOOKUP($C486,Phone_by_Sentiment!$B$2:$B$37,Phone_by_Sentiment!L$2:L$37,"",0,1)),_xlfn.XLOOKUP($C486,Phone_by_Sentiment!$B$2:$B$37,Phone_by_Sentiment!L$2:L$37,"",0,1),0),$A486-TEXT(DATEVALUE($D486&amp;"-01"), "dd-mm-yyyy")),0),0)</f>
        <v>0</v>
      </c>
      <c r="M486" cm="1">
        <f t="array" ref="M486">IF($Q486&gt;=0,IFERROR(generateSalesData($D486, IF(ISNUMBER(_xlfn.XLOOKUP($C486,Phone_by_Sentiment!$B$2:$B$37,Phone_by_Sentiment!M$2:M$37,"",0,1)),_xlfn.XLOOKUP($C486,Phone_by_Sentiment!$B$2:$B$37,Phone_by_Sentiment!M$2:M$37,"",0,1),0),$A486-TEXT(DATEVALUE($D486&amp;"-01"), "dd-mm-yyyy")),0),0)</f>
        <v>0</v>
      </c>
      <c r="N486" cm="1">
        <f t="array" ref="N486">IF($Q486&gt;=0,IFERROR(generateSalesData($D486, IF(ISNUMBER(_xlfn.XLOOKUP($C486,Phone_by_Sentiment!$B$2:$B$37,Phone_by_Sentiment!N$2:N$37,"",0,1)),_xlfn.XLOOKUP($C486,Phone_by_Sentiment!$B$2:$B$37,Phone_by_Sentiment!N$2:N$37,"",0,1),0),$A486-TEXT(DATEVALUE($D486&amp;"-01"), "dd-mm-yyyy")),0),0)</f>
        <v>0</v>
      </c>
      <c r="O486" cm="1">
        <f t="array" ref="O486">IF($Q486&gt;=0,IFERROR(generateSalesData($D486, IF(ISNUMBER(_xlfn.XLOOKUP($C486,Phone_by_Sentiment!$B$2:$B$37,Phone_by_Sentiment!O$2:O$37,"",0,1)),_xlfn.XLOOKUP($C486,Phone_by_Sentiment!$B$2:$B$37,Phone_by_Sentiment!O$2:O$37,"",0,1),0),$A486-TEXT(DATEVALUE($D486&amp;"-01"), "dd-mm-yyyy")),0),0)</f>
        <v>0</v>
      </c>
      <c r="P486" s="1">
        <f t="shared" si="19"/>
        <v>44228</v>
      </c>
      <c r="Q486">
        <f t="shared" si="20"/>
        <v>-366</v>
      </c>
    </row>
    <row r="487" spans="1:17" x14ac:dyDescent="0.25">
      <c r="A487" s="1">
        <f t="shared" si="18"/>
        <v>43862</v>
      </c>
      <c r="B487" t="s">
        <v>164</v>
      </c>
      <c r="C487" t="str">
        <f>_xlfn.XLOOKUP(B487,Phone_by_Price!$A$2:$A$34,Phone_by_Price!$B$2:$B$34,"-",0,1)</f>
        <v>Vivo V20</v>
      </c>
      <c r="D487" t="str">
        <f>_xlfn.XLOOKUP(C487,Phone_by_Sentiment!$B$2:$B$37,Phone_by_Sentiment!$A$2:$A$37,"-",0,1)</f>
        <v>2020-10</v>
      </c>
      <c r="E487" cm="1">
        <f t="array" ref="E487">IF($Q487&gt;=0,IFERROR(generateSalesData($D487, IF(ISNUMBER(_xlfn.XLOOKUP($C487,Phone_by_Sentiment!$B$2:$B$37,Phone_by_Sentiment!E$2:E$37,"",0,1)),_xlfn.XLOOKUP($C487,Phone_by_Sentiment!$B$2:$B$37,Phone_by_Sentiment!E$2:E$37,"",0,1),0),$A487-TEXT(DATEVALUE($D487&amp;"-01"), "dd-mm-yyyy")),0),0)</f>
        <v>0</v>
      </c>
      <c r="F487" cm="1">
        <f t="array" ref="F487">IF($Q487&gt;=0,IFERROR(generateSalesData($D487, IF(ISNUMBER(_xlfn.XLOOKUP($C487,Phone_by_Sentiment!$B$2:$B$37,Phone_by_Sentiment!F$2:F$37,"",0,1)),_xlfn.XLOOKUP($C487,Phone_by_Sentiment!$B$2:$B$37,Phone_by_Sentiment!F$2:F$37,"",0,1),0),$A487-TEXT(DATEVALUE($D487&amp;"-01"), "dd-mm-yyyy")),0),0)</f>
        <v>0</v>
      </c>
      <c r="G487" cm="1">
        <f t="array" ref="G487">IF($Q487&gt;=0,IFERROR(generateSalesData($D487, IF(ISNUMBER(_xlfn.XLOOKUP($C487,Phone_by_Sentiment!$B$2:$B$37,Phone_by_Sentiment!G$2:G$37,"",0,1)),_xlfn.XLOOKUP($C487,Phone_by_Sentiment!$B$2:$B$37,Phone_by_Sentiment!G$2:G$37,"",0,1),0),$A487-TEXT(DATEVALUE($D487&amp;"-01"), "dd-mm-yyyy")),0),0)</f>
        <v>0</v>
      </c>
      <c r="H487" cm="1">
        <f t="array" ref="H487">IF($Q487&gt;=0,IFERROR(generateSalesData($D487, IF(ISNUMBER(_xlfn.XLOOKUP($C487,Phone_by_Sentiment!$B$2:$B$37,Phone_by_Sentiment!H$2:H$37,"",0,1)),_xlfn.XLOOKUP($C487,Phone_by_Sentiment!$B$2:$B$37,Phone_by_Sentiment!H$2:H$37,"",0,1),0),$A487-TEXT(DATEVALUE($D487&amp;"-01"), "dd-mm-yyyy")),0),0)</f>
        <v>0</v>
      </c>
      <c r="I487" cm="1">
        <f t="array" ref="I487">IF($Q487&gt;=0,IFERROR(generateSalesData($D487, IF(ISNUMBER(_xlfn.XLOOKUP($C487,Phone_by_Sentiment!$B$2:$B$37,Phone_by_Sentiment!I$2:I$37,"",0,1)),_xlfn.XLOOKUP($C487,Phone_by_Sentiment!$B$2:$B$37,Phone_by_Sentiment!I$2:I$37,"",0,1),0),$A487-TEXT(DATEVALUE($D487&amp;"-01"), "dd-mm-yyyy")),0),0)</f>
        <v>0</v>
      </c>
      <c r="J487" cm="1">
        <f t="array" ref="J487">IF($Q487&gt;=0,IFERROR(generateSalesData($D487, IF(ISNUMBER(_xlfn.XLOOKUP($C487,Phone_by_Sentiment!$B$2:$B$37,Phone_by_Sentiment!J$2:J$37,"",0,1)),_xlfn.XLOOKUP($C487,Phone_by_Sentiment!$B$2:$B$37,Phone_by_Sentiment!J$2:J$37,"",0,1),0),$A487-TEXT(DATEVALUE($D487&amp;"-01"), "dd-mm-yyyy")),0),0)</f>
        <v>0</v>
      </c>
      <c r="K487" cm="1">
        <f t="array" ref="K487">IF($Q487&gt;=0,IFERROR(generateSalesData($D487, IF(ISNUMBER(_xlfn.XLOOKUP($C487,Phone_by_Sentiment!$B$2:$B$37,Phone_by_Sentiment!K$2:K$37,"",0,1)),_xlfn.XLOOKUP($C487,Phone_by_Sentiment!$B$2:$B$37,Phone_by_Sentiment!K$2:K$37,"",0,1),0),$A487-TEXT(DATEVALUE($D487&amp;"-01"), "dd-mm-yyyy")),0),0)</f>
        <v>0</v>
      </c>
      <c r="L487" cm="1">
        <f t="array" ref="L487">IF($Q487&gt;=0,IFERROR(generateSalesData($D487, IF(ISNUMBER(_xlfn.XLOOKUP($C487,Phone_by_Sentiment!$B$2:$B$37,Phone_by_Sentiment!L$2:L$37,"",0,1)),_xlfn.XLOOKUP($C487,Phone_by_Sentiment!$B$2:$B$37,Phone_by_Sentiment!L$2:L$37,"",0,1),0),$A487-TEXT(DATEVALUE($D487&amp;"-01"), "dd-mm-yyyy")),0),0)</f>
        <v>0</v>
      </c>
      <c r="M487" cm="1">
        <f t="array" ref="M487">IF($Q487&gt;=0,IFERROR(generateSalesData($D487, IF(ISNUMBER(_xlfn.XLOOKUP($C487,Phone_by_Sentiment!$B$2:$B$37,Phone_by_Sentiment!M$2:M$37,"",0,1)),_xlfn.XLOOKUP($C487,Phone_by_Sentiment!$B$2:$B$37,Phone_by_Sentiment!M$2:M$37,"",0,1),0),$A487-TEXT(DATEVALUE($D487&amp;"-01"), "dd-mm-yyyy")),0),0)</f>
        <v>0</v>
      </c>
      <c r="N487" cm="1">
        <f t="array" ref="N487">IF($Q487&gt;=0,IFERROR(generateSalesData($D487, IF(ISNUMBER(_xlfn.XLOOKUP($C487,Phone_by_Sentiment!$B$2:$B$37,Phone_by_Sentiment!N$2:N$37,"",0,1)),_xlfn.XLOOKUP($C487,Phone_by_Sentiment!$B$2:$B$37,Phone_by_Sentiment!N$2:N$37,"",0,1),0),$A487-TEXT(DATEVALUE($D487&amp;"-01"), "dd-mm-yyyy")),0),0)</f>
        <v>0</v>
      </c>
      <c r="O487" cm="1">
        <f t="array" ref="O487">IF($Q487&gt;=0,IFERROR(generateSalesData($D487, IF(ISNUMBER(_xlfn.XLOOKUP($C487,Phone_by_Sentiment!$B$2:$B$37,Phone_by_Sentiment!O$2:O$37,"",0,1)),_xlfn.XLOOKUP($C487,Phone_by_Sentiment!$B$2:$B$37,Phone_by_Sentiment!O$2:O$37,"",0,1),0),$A487-TEXT(DATEVALUE($D487&amp;"-01"), "dd-mm-yyyy")),0),0)</f>
        <v>0</v>
      </c>
      <c r="P487" s="1">
        <f t="shared" si="19"/>
        <v>44105</v>
      </c>
      <c r="Q487">
        <f t="shared" si="20"/>
        <v>-243</v>
      </c>
    </row>
    <row r="488" spans="1:17" x14ac:dyDescent="0.25">
      <c r="A488" s="1">
        <f t="shared" si="18"/>
        <v>43862</v>
      </c>
      <c r="B488" t="s">
        <v>165</v>
      </c>
      <c r="C488" t="str">
        <f>_xlfn.XLOOKUP(B488,Phone_by_Price!$A$2:$A$34,Phone_by_Price!$B$2:$B$34,"-",0,1)</f>
        <v>Samsung Galaxy A50</v>
      </c>
      <c r="D488" t="str">
        <f>_xlfn.XLOOKUP(C488,Phone_by_Sentiment!$B$2:$B$37,Phone_by_Sentiment!$A$2:$A$37,"-",0,1)</f>
        <v>2019-05</v>
      </c>
      <c r="E488" cm="1">
        <f t="array" ref="E488">IF($Q488&gt;=0,IFERROR(generateSalesData($D488, IF(ISNUMBER(_xlfn.XLOOKUP($C488,Phone_by_Sentiment!$B$2:$B$37,Phone_by_Sentiment!E$2:E$37,"",0,1)),_xlfn.XLOOKUP($C488,Phone_by_Sentiment!$B$2:$B$37,Phone_by_Sentiment!E$2:E$37,"",0,1),0),$A488-TEXT(DATEVALUE($D488&amp;"-01"), "dd-mm-yyyy")),0),0)</f>
        <v>745</v>
      </c>
      <c r="F488" cm="1">
        <f t="array" ref="F488">IF($Q488&gt;=0,IFERROR(generateSalesData($D488, IF(ISNUMBER(_xlfn.XLOOKUP($C488,Phone_by_Sentiment!$B$2:$B$37,Phone_by_Sentiment!F$2:F$37,"",0,1)),_xlfn.XLOOKUP($C488,Phone_by_Sentiment!$B$2:$B$37,Phone_by_Sentiment!F$2:F$37,"",0,1),0),$A488-TEXT(DATEVALUE($D488&amp;"-01"), "dd-mm-yyyy")),0),0)</f>
        <v>367</v>
      </c>
      <c r="G488" cm="1">
        <f t="array" ref="G488">IF($Q488&gt;=0,IFERROR(generateSalesData($D488, IF(ISNUMBER(_xlfn.XLOOKUP($C488,Phone_by_Sentiment!$B$2:$B$37,Phone_by_Sentiment!G$2:G$37,"",0,1)),_xlfn.XLOOKUP($C488,Phone_by_Sentiment!$B$2:$B$37,Phone_by_Sentiment!G$2:G$37,"",0,1),0),$A488-TEXT(DATEVALUE($D488&amp;"-01"), "dd-mm-yyyy")),0),0)</f>
        <v>246</v>
      </c>
      <c r="H488" cm="1">
        <f t="array" ref="H488">IF($Q488&gt;=0,IFERROR(generateSalesData($D488, IF(ISNUMBER(_xlfn.XLOOKUP($C488,Phone_by_Sentiment!$B$2:$B$37,Phone_by_Sentiment!H$2:H$37,"",0,1)),_xlfn.XLOOKUP($C488,Phone_by_Sentiment!$B$2:$B$37,Phone_by_Sentiment!H$2:H$37,"",0,1),0),$A488-TEXT(DATEVALUE($D488&amp;"-01"), "dd-mm-yyyy")),0),0)</f>
        <v>1092</v>
      </c>
      <c r="I488" cm="1">
        <f t="array" ref="I488">IF($Q488&gt;=0,IFERROR(generateSalesData($D488, IF(ISNUMBER(_xlfn.XLOOKUP($C488,Phone_by_Sentiment!$B$2:$B$37,Phone_by_Sentiment!I$2:I$37,"",0,1)),_xlfn.XLOOKUP($C488,Phone_by_Sentiment!$B$2:$B$37,Phone_by_Sentiment!I$2:I$37,"",0,1),0),$A488-TEXT(DATEVALUE($D488&amp;"-01"), "dd-mm-yyyy")),0),0)</f>
        <v>506</v>
      </c>
      <c r="J488" cm="1">
        <f t="array" ref="J488">IF($Q488&gt;=0,IFERROR(generateSalesData($D488, IF(ISNUMBER(_xlfn.XLOOKUP($C488,Phone_by_Sentiment!$B$2:$B$37,Phone_by_Sentiment!J$2:J$37,"",0,1)),_xlfn.XLOOKUP($C488,Phone_by_Sentiment!$B$2:$B$37,Phone_by_Sentiment!J$2:J$37,"",0,1),0),$A488-TEXT(DATEVALUE($D488&amp;"-01"), "dd-mm-yyyy")),0),0)</f>
        <v>83</v>
      </c>
      <c r="K488" cm="1">
        <f t="array" ref="K488">IF($Q488&gt;=0,IFERROR(generateSalesData($D488, IF(ISNUMBER(_xlfn.XLOOKUP($C488,Phone_by_Sentiment!$B$2:$B$37,Phone_by_Sentiment!K$2:K$37,"",0,1)),_xlfn.XLOOKUP($C488,Phone_by_Sentiment!$B$2:$B$37,Phone_by_Sentiment!K$2:K$37,"",0,1),0),$A488-TEXT(DATEVALUE($D488&amp;"-01"), "dd-mm-yyyy")),0),0)</f>
        <v>301</v>
      </c>
      <c r="L488" cm="1">
        <f t="array" ref="L488">IF($Q488&gt;=0,IFERROR(generateSalesData($D488, IF(ISNUMBER(_xlfn.XLOOKUP($C488,Phone_by_Sentiment!$B$2:$B$37,Phone_by_Sentiment!L$2:L$37,"",0,1)),_xlfn.XLOOKUP($C488,Phone_by_Sentiment!$B$2:$B$37,Phone_by_Sentiment!L$2:L$37,"",0,1),0),$A488-TEXT(DATEVALUE($D488&amp;"-01"), "dd-mm-yyyy")),0),0)</f>
        <v>806</v>
      </c>
      <c r="M488" cm="1">
        <f t="array" ref="M488">IF($Q488&gt;=0,IFERROR(generateSalesData($D488, IF(ISNUMBER(_xlfn.XLOOKUP($C488,Phone_by_Sentiment!$B$2:$B$37,Phone_by_Sentiment!M$2:M$37,"",0,1)),_xlfn.XLOOKUP($C488,Phone_by_Sentiment!$B$2:$B$37,Phone_by_Sentiment!M$2:M$37,"",0,1),0),$A488-TEXT(DATEVALUE($D488&amp;"-01"), "dd-mm-yyyy")),0),0)</f>
        <v>211</v>
      </c>
      <c r="N488" cm="1">
        <f t="array" ref="N488">IF($Q488&gt;=0,IFERROR(generateSalesData($D488, IF(ISNUMBER(_xlfn.XLOOKUP($C488,Phone_by_Sentiment!$B$2:$B$37,Phone_by_Sentiment!N$2:N$37,"",0,1)),_xlfn.XLOOKUP($C488,Phone_by_Sentiment!$B$2:$B$37,Phone_by_Sentiment!N$2:N$37,"",0,1),0),$A488-TEXT(DATEVALUE($D488&amp;"-01"), "dd-mm-yyyy")),0),0)</f>
        <v>613</v>
      </c>
      <c r="O488" cm="1">
        <f t="array" ref="O488">IF($Q488&gt;=0,IFERROR(generateSalesData($D488, IF(ISNUMBER(_xlfn.XLOOKUP($C488,Phone_by_Sentiment!$B$2:$B$37,Phone_by_Sentiment!O$2:O$37,"",0,1)),_xlfn.XLOOKUP($C488,Phone_by_Sentiment!$B$2:$B$37,Phone_by_Sentiment!O$2:O$37,"",0,1),0),$A488-TEXT(DATEVALUE($D488&amp;"-01"), "dd-mm-yyyy")),0),0)</f>
        <v>770</v>
      </c>
      <c r="P488" s="1">
        <f t="shared" si="19"/>
        <v>43586</v>
      </c>
      <c r="Q488">
        <f t="shared" si="20"/>
        <v>276</v>
      </c>
    </row>
    <row r="489" spans="1:17" x14ac:dyDescent="0.25">
      <c r="A489" s="1">
        <f t="shared" si="18"/>
        <v>43862</v>
      </c>
      <c r="B489" t="s">
        <v>166</v>
      </c>
      <c r="C489" t="str">
        <f>_xlfn.XLOOKUP(B489,Phone_by_Price!$A$2:$A$34,Phone_by_Price!$B$2:$B$34,"-",0,1)</f>
        <v>Xiaomi Redmi Note 7</v>
      </c>
      <c r="D489" t="str">
        <f>_xlfn.XLOOKUP(C489,Phone_by_Sentiment!$B$2:$B$37,Phone_by_Sentiment!$A$2:$A$37,"-",0,1)</f>
        <v>2019-08</v>
      </c>
      <c r="E489" cm="1">
        <f t="array" ref="E489">IF($Q489&gt;=0,IFERROR(generateSalesData($D489, IF(ISNUMBER(_xlfn.XLOOKUP($C489,Phone_by_Sentiment!$B$2:$B$37,Phone_by_Sentiment!E$2:E$37,"",0,1)),_xlfn.XLOOKUP($C489,Phone_by_Sentiment!$B$2:$B$37,Phone_by_Sentiment!E$2:E$37,"",0,1),0),$A489-TEXT(DATEVALUE($D489&amp;"-01"), "dd-mm-yyyy")),0),0)</f>
        <v>495</v>
      </c>
      <c r="F489" cm="1">
        <f t="array" ref="F489">IF($Q489&gt;=0,IFERROR(generateSalesData($D489, IF(ISNUMBER(_xlfn.XLOOKUP($C489,Phone_by_Sentiment!$B$2:$B$37,Phone_by_Sentiment!F$2:F$37,"",0,1)),_xlfn.XLOOKUP($C489,Phone_by_Sentiment!$B$2:$B$37,Phone_by_Sentiment!F$2:F$37,"",0,1),0),$A489-TEXT(DATEVALUE($D489&amp;"-01"), "dd-mm-yyyy")),0),0)</f>
        <v>391</v>
      </c>
      <c r="G489" cm="1">
        <f t="array" ref="G489">IF($Q489&gt;=0,IFERROR(generateSalesData($D489, IF(ISNUMBER(_xlfn.XLOOKUP($C489,Phone_by_Sentiment!$B$2:$B$37,Phone_by_Sentiment!G$2:G$37,"",0,1)),_xlfn.XLOOKUP($C489,Phone_by_Sentiment!$B$2:$B$37,Phone_by_Sentiment!G$2:G$37,"",0,1),0),$A489-TEXT(DATEVALUE($D489&amp;"-01"), "dd-mm-yyyy")),0),0)</f>
        <v>477</v>
      </c>
      <c r="H489" cm="1">
        <f t="array" ref="H489">IF($Q489&gt;=0,IFERROR(generateSalesData($D489, IF(ISNUMBER(_xlfn.XLOOKUP($C489,Phone_by_Sentiment!$B$2:$B$37,Phone_by_Sentiment!H$2:H$37,"",0,1)),_xlfn.XLOOKUP($C489,Phone_by_Sentiment!$B$2:$B$37,Phone_by_Sentiment!H$2:H$37,"",0,1),0),$A489-TEXT(DATEVALUE($D489&amp;"-01"), "dd-mm-yyyy")),0),0)</f>
        <v>1142</v>
      </c>
      <c r="I489" cm="1">
        <f t="array" ref="I489">IF($Q489&gt;=0,IFERROR(generateSalesData($D489, IF(ISNUMBER(_xlfn.XLOOKUP($C489,Phone_by_Sentiment!$B$2:$B$37,Phone_by_Sentiment!I$2:I$37,"",0,1)),_xlfn.XLOOKUP($C489,Phone_by_Sentiment!$B$2:$B$37,Phone_by_Sentiment!I$2:I$37,"",0,1),0),$A489-TEXT(DATEVALUE($D489&amp;"-01"), "dd-mm-yyyy")),0),0)</f>
        <v>346</v>
      </c>
      <c r="J489" cm="1">
        <f t="array" ref="J489">IF($Q489&gt;=0,IFERROR(generateSalesData($D489, IF(ISNUMBER(_xlfn.XLOOKUP($C489,Phone_by_Sentiment!$B$2:$B$37,Phone_by_Sentiment!J$2:J$37,"",0,1)),_xlfn.XLOOKUP($C489,Phone_by_Sentiment!$B$2:$B$37,Phone_by_Sentiment!J$2:J$37,"",0,1),0),$A489-TEXT(DATEVALUE($D489&amp;"-01"), "dd-mm-yyyy")),0),0)</f>
        <v>655</v>
      </c>
      <c r="K489" cm="1">
        <f t="array" ref="K489">IF($Q489&gt;=0,IFERROR(generateSalesData($D489, IF(ISNUMBER(_xlfn.XLOOKUP($C489,Phone_by_Sentiment!$B$2:$B$37,Phone_by_Sentiment!K$2:K$37,"",0,1)),_xlfn.XLOOKUP($C489,Phone_by_Sentiment!$B$2:$B$37,Phone_by_Sentiment!K$2:K$37,"",0,1),0),$A489-TEXT(DATEVALUE($D489&amp;"-01"), "dd-mm-yyyy")),0),0)</f>
        <v>1166</v>
      </c>
      <c r="L489" cm="1">
        <f t="array" ref="L489">IF($Q489&gt;=0,IFERROR(generateSalesData($D489, IF(ISNUMBER(_xlfn.XLOOKUP($C489,Phone_by_Sentiment!$B$2:$B$37,Phone_by_Sentiment!L$2:L$37,"",0,1)),_xlfn.XLOOKUP($C489,Phone_by_Sentiment!$B$2:$B$37,Phone_by_Sentiment!L$2:L$37,"",0,1),0),$A489-TEXT(DATEVALUE($D489&amp;"-01"), "dd-mm-yyyy")),0),0)</f>
        <v>330</v>
      </c>
      <c r="M489" cm="1">
        <f t="array" ref="M489">IF($Q489&gt;=0,IFERROR(generateSalesData($D489, IF(ISNUMBER(_xlfn.XLOOKUP($C489,Phone_by_Sentiment!$B$2:$B$37,Phone_by_Sentiment!M$2:M$37,"",0,1)),_xlfn.XLOOKUP($C489,Phone_by_Sentiment!$B$2:$B$37,Phone_by_Sentiment!M$2:M$37,"",0,1),0),$A489-TEXT(DATEVALUE($D489&amp;"-01"), "dd-mm-yyyy")),0),0)</f>
        <v>1091</v>
      </c>
      <c r="N489" cm="1">
        <f t="array" ref="N489">IF($Q489&gt;=0,IFERROR(generateSalesData($D489, IF(ISNUMBER(_xlfn.XLOOKUP($C489,Phone_by_Sentiment!$B$2:$B$37,Phone_by_Sentiment!N$2:N$37,"",0,1)),_xlfn.XLOOKUP($C489,Phone_by_Sentiment!$B$2:$B$37,Phone_by_Sentiment!N$2:N$37,"",0,1),0),$A489-TEXT(DATEVALUE($D489&amp;"-01"), "dd-mm-yyyy")),0),0)</f>
        <v>249</v>
      </c>
      <c r="O489" cm="1">
        <f t="array" ref="O489">IF($Q489&gt;=0,IFERROR(generateSalesData($D489, IF(ISNUMBER(_xlfn.XLOOKUP($C489,Phone_by_Sentiment!$B$2:$B$37,Phone_by_Sentiment!O$2:O$37,"",0,1)),_xlfn.XLOOKUP($C489,Phone_by_Sentiment!$B$2:$B$37,Phone_by_Sentiment!O$2:O$37,"",0,1),0),$A489-TEXT(DATEVALUE($D489&amp;"-01"), "dd-mm-yyyy")),0),0)</f>
        <v>2010</v>
      </c>
      <c r="P489" s="1">
        <f t="shared" si="19"/>
        <v>43678</v>
      </c>
      <c r="Q489">
        <f t="shared" si="20"/>
        <v>184</v>
      </c>
    </row>
    <row r="490" spans="1:17" x14ac:dyDescent="0.25">
      <c r="A490" s="1">
        <f t="shared" si="18"/>
        <v>43862</v>
      </c>
      <c r="B490" t="s">
        <v>167</v>
      </c>
      <c r="C490" t="str">
        <f>_xlfn.XLOOKUP(B490,Phone_by_Price!$A$2:$A$34,Phone_by_Price!$B$2:$B$34,"-",0,1)</f>
        <v>Realme C21</v>
      </c>
      <c r="D490" t="str">
        <f>_xlfn.XLOOKUP(C490,Phone_by_Sentiment!$B$2:$B$37,Phone_by_Sentiment!$A$2:$A$37,"-",0,1)</f>
        <v>2021-04</v>
      </c>
      <c r="E490" cm="1">
        <f t="array" ref="E490">IF($Q490&gt;=0,IFERROR(generateSalesData($D490, IF(ISNUMBER(_xlfn.XLOOKUP($C490,Phone_by_Sentiment!$B$2:$B$37,Phone_by_Sentiment!E$2:E$37,"",0,1)),_xlfn.XLOOKUP($C490,Phone_by_Sentiment!$B$2:$B$37,Phone_by_Sentiment!E$2:E$37,"",0,1),0),$A490-TEXT(DATEVALUE($D490&amp;"-01"), "dd-mm-yyyy")),0),0)</f>
        <v>0</v>
      </c>
      <c r="F490" cm="1">
        <f t="array" ref="F490">IF($Q490&gt;=0,IFERROR(generateSalesData($D490, IF(ISNUMBER(_xlfn.XLOOKUP($C490,Phone_by_Sentiment!$B$2:$B$37,Phone_by_Sentiment!F$2:F$37,"",0,1)),_xlfn.XLOOKUP($C490,Phone_by_Sentiment!$B$2:$B$37,Phone_by_Sentiment!F$2:F$37,"",0,1),0),$A490-TEXT(DATEVALUE($D490&amp;"-01"), "dd-mm-yyyy")),0),0)</f>
        <v>0</v>
      </c>
      <c r="G490" cm="1">
        <f t="array" ref="G490">IF($Q490&gt;=0,IFERROR(generateSalesData($D490, IF(ISNUMBER(_xlfn.XLOOKUP($C490,Phone_by_Sentiment!$B$2:$B$37,Phone_by_Sentiment!G$2:G$37,"",0,1)),_xlfn.XLOOKUP($C490,Phone_by_Sentiment!$B$2:$B$37,Phone_by_Sentiment!G$2:G$37,"",0,1),0),$A490-TEXT(DATEVALUE($D490&amp;"-01"), "dd-mm-yyyy")),0),0)</f>
        <v>0</v>
      </c>
      <c r="H490" cm="1">
        <f t="array" ref="H490">IF($Q490&gt;=0,IFERROR(generateSalesData($D490, IF(ISNUMBER(_xlfn.XLOOKUP($C490,Phone_by_Sentiment!$B$2:$B$37,Phone_by_Sentiment!H$2:H$37,"",0,1)),_xlfn.XLOOKUP($C490,Phone_by_Sentiment!$B$2:$B$37,Phone_by_Sentiment!H$2:H$37,"",0,1),0),$A490-TEXT(DATEVALUE($D490&amp;"-01"), "dd-mm-yyyy")),0),0)</f>
        <v>0</v>
      </c>
      <c r="I490" cm="1">
        <f t="array" ref="I490">IF($Q490&gt;=0,IFERROR(generateSalesData($D490, IF(ISNUMBER(_xlfn.XLOOKUP($C490,Phone_by_Sentiment!$B$2:$B$37,Phone_by_Sentiment!I$2:I$37,"",0,1)),_xlfn.XLOOKUP($C490,Phone_by_Sentiment!$B$2:$B$37,Phone_by_Sentiment!I$2:I$37,"",0,1),0),$A490-TEXT(DATEVALUE($D490&amp;"-01"), "dd-mm-yyyy")),0),0)</f>
        <v>0</v>
      </c>
      <c r="J490" cm="1">
        <f t="array" ref="J490">IF($Q490&gt;=0,IFERROR(generateSalesData($D490, IF(ISNUMBER(_xlfn.XLOOKUP($C490,Phone_by_Sentiment!$B$2:$B$37,Phone_by_Sentiment!J$2:J$37,"",0,1)),_xlfn.XLOOKUP($C490,Phone_by_Sentiment!$B$2:$B$37,Phone_by_Sentiment!J$2:J$37,"",0,1),0),$A490-TEXT(DATEVALUE($D490&amp;"-01"), "dd-mm-yyyy")),0),0)</f>
        <v>0</v>
      </c>
      <c r="K490" cm="1">
        <f t="array" ref="K490">IF($Q490&gt;=0,IFERROR(generateSalesData($D490, IF(ISNUMBER(_xlfn.XLOOKUP($C490,Phone_by_Sentiment!$B$2:$B$37,Phone_by_Sentiment!K$2:K$37,"",0,1)),_xlfn.XLOOKUP($C490,Phone_by_Sentiment!$B$2:$B$37,Phone_by_Sentiment!K$2:K$37,"",0,1),0),$A490-TEXT(DATEVALUE($D490&amp;"-01"), "dd-mm-yyyy")),0),0)</f>
        <v>0</v>
      </c>
      <c r="L490" cm="1">
        <f t="array" ref="L490">IF($Q490&gt;=0,IFERROR(generateSalesData($D490, IF(ISNUMBER(_xlfn.XLOOKUP($C490,Phone_by_Sentiment!$B$2:$B$37,Phone_by_Sentiment!L$2:L$37,"",0,1)),_xlfn.XLOOKUP($C490,Phone_by_Sentiment!$B$2:$B$37,Phone_by_Sentiment!L$2:L$37,"",0,1),0),$A490-TEXT(DATEVALUE($D490&amp;"-01"), "dd-mm-yyyy")),0),0)</f>
        <v>0</v>
      </c>
      <c r="M490" cm="1">
        <f t="array" ref="M490">IF($Q490&gt;=0,IFERROR(generateSalesData($D490, IF(ISNUMBER(_xlfn.XLOOKUP($C490,Phone_by_Sentiment!$B$2:$B$37,Phone_by_Sentiment!M$2:M$37,"",0,1)),_xlfn.XLOOKUP($C490,Phone_by_Sentiment!$B$2:$B$37,Phone_by_Sentiment!M$2:M$37,"",0,1),0),$A490-TEXT(DATEVALUE($D490&amp;"-01"), "dd-mm-yyyy")),0),0)</f>
        <v>0</v>
      </c>
      <c r="N490" cm="1">
        <f t="array" ref="N490">IF($Q490&gt;=0,IFERROR(generateSalesData($D490, IF(ISNUMBER(_xlfn.XLOOKUP($C490,Phone_by_Sentiment!$B$2:$B$37,Phone_by_Sentiment!N$2:N$37,"",0,1)),_xlfn.XLOOKUP($C490,Phone_by_Sentiment!$B$2:$B$37,Phone_by_Sentiment!N$2:N$37,"",0,1),0),$A490-TEXT(DATEVALUE($D490&amp;"-01"), "dd-mm-yyyy")),0),0)</f>
        <v>0</v>
      </c>
      <c r="O490" cm="1">
        <f t="array" ref="O490">IF($Q490&gt;=0,IFERROR(generateSalesData($D490, IF(ISNUMBER(_xlfn.XLOOKUP($C490,Phone_by_Sentiment!$B$2:$B$37,Phone_by_Sentiment!O$2:O$37,"",0,1)),_xlfn.XLOOKUP($C490,Phone_by_Sentiment!$B$2:$B$37,Phone_by_Sentiment!O$2:O$37,"",0,1),0),$A490-TEXT(DATEVALUE($D490&amp;"-01"), "dd-mm-yyyy")),0),0)</f>
        <v>0</v>
      </c>
      <c r="P490" s="1">
        <f t="shared" si="19"/>
        <v>44287</v>
      </c>
      <c r="Q490">
        <f t="shared" si="20"/>
        <v>-425</v>
      </c>
    </row>
    <row r="491" spans="1:17" x14ac:dyDescent="0.25">
      <c r="A491" s="1">
        <f t="shared" si="18"/>
        <v>43891</v>
      </c>
      <c r="B491" t="s">
        <v>168</v>
      </c>
      <c r="C491" t="str">
        <f>_xlfn.XLOOKUP(B491,Phone_by_Price!$A$2:$A$34,Phone_by_Price!$B$2:$B$34,"-",0,1)</f>
        <v>Google Pixel 4</v>
      </c>
      <c r="D491" t="str">
        <f>_xlfn.XLOOKUP(C491,Phone_by_Sentiment!$B$2:$B$37,Phone_by_Sentiment!$A$2:$A$37,"-",0,1)</f>
        <v>2019-09</v>
      </c>
      <c r="E491" cm="1">
        <f t="array" ref="E491">IF($Q491&gt;=0,IFERROR(generateSalesData($D491, IF(ISNUMBER(_xlfn.XLOOKUP($C491,Phone_by_Sentiment!$B$2:$B$37,Phone_by_Sentiment!E$2:E$37,"",0,1)),_xlfn.XLOOKUP($C491,Phone_by_Sentiment!$B$2:$B$37,Phone_by_Sentiment!E$2:E$37,"",0,1),0),$A491-TEXT(DATEVALUE($D491&amp;"-01"), "dd-mm-yyyy")),0),0)</f>
        <v>-14</v>
      </c>
      <c r="F491" cm="1">
        <f t="array" ref="F491">IF($Q491&gt;=0,IFERROR(generateSalesData($D491, IF(ISNUMBER(_xlfn.XLOOKUP($C491,Phone_by_Sentiment!$B$2:$B$37,Phone_by_Sentiment!F$2:F$37,"",0,1)),_xlfn.XLOOKUP($C491,Phone_by_Sentiment!$B$2:$B$37,Phone_by_Sentiment!F$2:F$37,"",0,1),0),$A491-TEXT(DATEVALUE($D491&amp;"-01"), "dd-mm-yyyy")),0),0)</f>
        <v>176</v>
      </c>
      <c r="G491" cm="1">
        <f t="array" ref="G491">IF($Q491&gt;=0,IFERROR(generateSalesData($D491, IF(ISNUMBER(_xlfn.XLOOKUP($C491,Phone_by_Sentiment!$B$2:$B$37,Phone_by_Sentiment!G$2:G$37,"",0,1)),_xlfn.XLOOKUP($C491,Phone_by_Sentiment!$B$2:$B$37,Phone_by_Sentiment!G$2:G$37,"",0,1),0),$A491-TEXT(DATEVALUE($D491&amp;"-01"), "dd-mm-yyyy")),0),0)</f>
        <v>210</v>
      </c>
      <c r="H491" cm="1">
        <f t="array" ref="H491">IF($Q491&gt;=0,IFERROR(generateSalesData($D491, IF(ISNUMBER(_xlfn.XLOOKUP($C491,Phone_by_Sentiment!$B$2:$B$37,Phone_by_Sentiment!H$2:H$37,"",0,1)),_xlfn.XLOOKUP($C491,Phone_by_Sentiment!$B$2:$B$37,Phone_by_Sentiment!H$2:H$37,"",0,1),0),$A491-TEXT(DATEVALUE($D491&amp;"-01"), "dd-mm-yyyy")),0),0)</f>
        <v>380</v>
      </c>
      <c r="I491" cm="1">
        <f t="array" ref="I491">IF($Q491&gt;=0,IFERROR(generateSalesData($D491, IF(ISNUMBER(_xlfn.XLOOKUP($C491,Phone_by_Sentiment!$B$2:$B$37,Phone_by_Sentiment!I$2:I$37,"",0,1)),_xlfn.XLOOKUP($C491,Phone_by_Sentiment!$B$2:$B$37,Phone_by_Sentiment!I$2:I$37,"",0,1),0),$A491-TEXT(DATEVALUE($D491&amp;"-01"), "dd-mm-yyyy")),0),0)</f>
        <v>250</v>
      </c>
      <c r="J491" cm="1">
        <f t="array" ref="J491">IF($Q491&gt;=0,IFERROR(generateSalesData($D491, IF(ISNUMBER(_xlfn.XLOOKUP($C491,Phone_by_Sentiment!$B$2:$B$37,Phone_by_Sentiment!J$2:J$37,"",0,1)),_xlfn.XLOOKUP($C491,Phone_by_Sentiment!$B$2:$B$37,Phone_by_Sentiment!J$2:J$37,"",0,1),0),$A491-TEXT(DATEVALUE($D491&amp;"-01"), "dd-mm-yyyy")),0),0)</f>
        <v>428</v>
      </c>
      <c r="K491" cm="1">
        <f t="array" ref="K491">IF($Q491&gt;=0,IFERROR(generateSalesData($D491, IF(ISNUMBER(_xlfn.XLOOKUP($C491,Phone_by_Sentiment!$B$2:$B$37,Phone_by_Sentiment!K$2:K$37,"",0,1)),_xlfn.XLOOKUP($C491,Phone_by_Sentiment!$B$2:$B$37,Phone_by_Sentiment!K$2:K$37,"",0,1),0),$A491-TEXT(DATEVALUE($D491&amp;"-01"), "dd-mm-yyyy")),0),0)</f>
        <v>-1</v>
      </c>
      <c r="L491" cm="1">
        <f t="array" ref="L491">IF($Q491&gt;=0,IFERROR(generateSalesData($D491, IF(ISNUMBER(_xlfn.XLOOKUP($C491,Phone_by_Sentiment!$B$2:$B$37,Phone_by_Sentiment!L$2:L$37,"",0,1)),_xlfn.XLOOKUP($C491,Phone_by_Sentiment!$B$2:$B$37,Phone_by_Sentiment!L$2:L$37,"",0,1),0),$A491-TEXT(DATEVALUE($D491&amp;"-01"), "dd-mm-yyyy")),0),0)</f>
        <v>1716</v>
      </c>
      <c r="M491" cm="1">
        <f t="array" ref="M491">IF($Q491&gt;=0,IFERROR(generateSalesData($D491, IF(ISNUMBER(_xlfn.XLOOKUP($C491,Phone_by_Sentiment!$B$2:$B$37,Phone_by_Sentiment!M$2:M$37,"",0,1)),_xlfn.XLOOKUP($C491,Phone_by_Sentiment!$B$2:$B$37,Phone_by_Sentiment!M$2:M$37,"",0,1),0),$A491-TEXT(DATEVALUE($D491&amp;"-01"), "dd-mm-yyyy")),0),0)</f>
        <v>377</v>
      </c>
      <c r="N491" cm="1">
        <f t="array" ref="N491">IF($Q491&gt;=0,IFERROR(generateSalesData($D491, IF(ISNUMBER(_xlfn.XLOOKUP($C491,Phone_by_Sentiment!$B$2:$B$37,Phone_by_Sentiment!N$2:N$37,"",0,1)),_xlfn.XLOOKUP($C491,Phone_by_Sentiment!$B$2:$B$37,Phone_by_Sentiment!N$2:N$37,"",0,1),0),$A491-TEXT(DATEVALUE($D491&amp;"-01"), "dd-mm-yyyy")),0),0)</f>
        <v>1341</v>
      </c>
      <c r="O491" cm="1">
        <f t="array" ref="O491">IF($Q491&gt;=0,IFERROR(generateSalesData($D491, IF(ISNUMBER(_xlfn.XLOOKUP($C491,Phone_by_Sentiment!$B$2:$B$37,Phone_by_Sentiment!O$2:O$37,"",0,1)),_xlfn.XLOOKUP($C491,Phone_by_Sentiment!$B$2:$B$37,Phone_by_Sentiment!O$2:O$37,"",0,1),0),$A491-TEXT(DATEVALUE($D491&amp;"-01"), "dd-mm-yyyy")),0),0)</f>
        <v>543</v>
      </c>
      <c r="P491" s="1">
        <f t="shared" si="19"/>
        <v>43709</v>
      </c>
      <c r="Q491">
        <f t="shared" si="20"/>
        <v>182</v>
      </c>
    </row>
    <row r="492" spans="1:17" x14ac:dyDescent="0.25">
      <c r="A492" s="1">
        <f t="shared" si="18"/>
        <v>43891</v>
      </c>
      <c r="B492" t="s">
        <v>169</v>
      </c>
      <c r="C492" t="str">
        <f>_xlfn.XLOOKUP(B492,Phone_by_Price!$A$2:$A$34,Phone_by_Price!$B$2:$B$34,"-",0,1)</f>
        <v>Samsung Galaxy A10s</v>
      </c>
      <c r="D492" t="str">
        <f>_xlfn.XLOOKUP(C492,Phone_by_Sentiment!$B$2:$B$37,Phone_by_Sentiment!$A$2:$A$37,"-",0,1)</f>
        <v>2019-08</v>
      </c>
      <c r="E492" cm="1">
        <f t="array" ref="E492">IF($Q492&gt;=0,IFERROR(generateSalesData($D492, IF(ISNUMBER(_xlfn.XLOOKUP($C492,Phone_by_Sentiment!$B$2:$B$37,Phone_by_Sentiment!E$2:E$37,"",0,1)),_xlfn.XLOOKUP($C492,Phone_by_Sentiment!$B$2:$B$37,Phone_by_Sentiment!E$2:E$37,"",0,1),0),$A492-TEXT(DATEVALUE($D492&amp;"-01"), "dd-mm-yyyy")),0),0)</f>
        <v>142</v>
      </c>
      <c r="F492" cm="1">
        <f t="array" ref="F492">IF($Q492&gt;=0,IFERROR(generateSalesData($D492, IF(ISNUMBER(_xlfn.XLOOKUP($C492,Phone_by_Sentiment!$B$2:$B$37,Phone_by_Sentiment!F$2:F$37,"",0,1)),_xlfn.XLOOKUP($C492,Phone_by_Sentiment!$B$2:$B$37,Phone_by_Sentiment!F$2:F$37,"",0,1),0),$A492-TEXT(DATEVALUE($D492&amp;"-01"), "dd-mm-yyyy")),0),0)</f>
        <v>932</v>
      </c>
      <c r="G492" cm="1">
        <f t="array" ref="G492">IF($Q492&gt;=0,IFERROR(generateSalesData($D492, IF(ISNUMBER(_xlfn.XLOOKUP($C492,Phone_by_Sentiment!$B$2:$B$37,Phone_by_Sentiment!G$2:G$37,"",0,1)),_xlfn.XLOOKUP($C492,Phone_by_Sentiment!$B$2:$B$37,Phone_by_Sentiment!G$2:G$37,"",0,1),0),$A492-TEXT(DATEVALUE($D492&amp;"-01"), "dd-mm-yyyy")),0),0)</f>
        <v>479</v>
      </c>
      <c r="H492" cm="1">
        <f t="array" ref="H492">IF($Q492&gt;=0,IFERROR(generateSalesData($D492, IF(ISNUMBER(_xlfn.XLOOKUP($C492,Phone_by_Sentiment!$B$2:$B$37,Phone_by_Sentiment!H$2:H$37,"",0,1)),_xlfn.XLOOKUP($C492,Phone_by_Sentiment!$B$2:$B$37,Phone_by_Sentiment!H$2:H$37,"",0,1),0),$A492-TEXT(DATEVALUE($D492&amp;"-01"), "dd-mm-yyyy")),0),0)</f>
        <v>1117</v>
      </c>
      <c r="I492" cm="1">
        <f t="array" ref="I492">IF($Q492&gt;=0,IFERROR(generateSalesData($D492, IF(ISNUMBER(_xlfn.XLOOKUP($C492,Phone_by_Sentiment!$B$2:$B$37,Phone_by_Sentiment!I$2:I$37,"",0,1)),_xlfn.XLOOKUP($C492,Phone_by_Sentiment!$B$2:$B$37,Phone_by_Sentiment!I$2:I$37,"",0,1),0),$A492-TEXT(DATEVALUE($D492&amp;"-01"), "dd-mm-yyyy")),0),0)</f>
        <v>701</v>
      </c>
      <c r="J492" cm="1">
        <f t="array" ref="J492">IF($Q492&gt;=0,IFERROR(generateSalesData($D492, IF(ISNUMBER(_xlfn.XLOOKUP($C492,Phone_by_Sentiment!$B$2:$B$37,Phone_by_Sentiment!J$2:J$37,"",0,1)),_xlfn.XLOOKUP($C492,Phone_by_Sentiment!$B$2:$B$37,Phone_by_Sentiment!J$2:J$37,"",0,1),0),$A492-TEXT(DATEVALUE($D492&amp;"-01"), "dd-mm-yyyy")),0),0)</f>
        <v>727</v>
      </c>
      <c r="K492" cm="1">
        <f t="array" ref="K492">IF($Q492&gt;=0,IFERROR(generateSalesData($D492, IF(ISNUMBER(_xlfn.XLOOKUP($C492,Phone_by_Sentiment!$B$2:$B$37,Phone_by_Sentiment!K$2:K$37,"",0,1)),_xlfn.XLOOKUP($C492,Phone_by_Sentiment!$B$2:$B$37,Phone_by_Sentiment!K$2:K$37,"",0,1),0),$A492-TEXT(DATEVALUE($D492&amp;"-01"), "dd-mm-yyyy")),0),0)</f>
        <v>192</v>
      </c>
      <c r="L492" cm="1">
        <f t="array" ref="L492">IF($Q492&gt;=0,IFERROR(generateSalesData($D492, IF(ISNUMBER(_xlfn.XLOOKUP($C492,Phone_by_Sentiment!$B$2:$B$37,Phone_by_Sentiment!L$2:L$37,"",0,1)),_xlfn.XLOOKUP($C492,Phone_by_Sentiment!$B$2:$B$37,Phone_by_Sentiment!L$2:L$37,"",0,1),0),$A492-TEXT(DATEVALUE($D492&amp;"-01"), "dd-mm-yyyy")),0),0)</f>
        <v>451</v>
      </c>
      <c r="M492" cm="1">
        <f t="array" ref="M492">IF($Q492&gt;=0,IFERROR(generateSalesData($D492, IF(ISNUMBER(_xlfn.XLOOKUP($C492,Phone_by_Sentiment!$B$2:$B$37,Phone_by_Sentiment!M$2:M$37,"",0,1)),_xlfn.XLOOKUP($C492,Phone_by_Sentiment!$B$2:$B$37,Phone_by_Sentiment!M$2:M$37,"",0,1),0),$A492-TEXT(DATEVALUE($D492&amp;"-01"), "dd-mm-yyyy")),0),0)</f>
        <v>430</v>
      </c>
      <c r="N492" cm="1">
        <f t="array" ref="N492">IF($Q492&gt;=0,IFERROR(generateSalesData($D492, IF(ISNUMBER(_xlfn.XLOOKUP($C492,Phone_by_Sentiment!$B$2:$B$37,Phone_by_Sentiment!N$2:N$37,"",0,1)),_xlfn.XLOOKUP($C492,Phone_by_Sentiment!$B$2:$B$37,Phone_by_Sentiment!N$2:N$37,"",0,1),0),$A492-TEXT(DATEVALUE($D492&amp;"-01"), "dd-mm-yyyy")),0),0)</f>
        <v>295</v>
      </c>
      <c r="O492" cm="1">
        <f t="array" ref="O492">IF($Q492&gt;=0,IFERROR(generateSalesData($D492, IF(ISNUMBER(_xlfn.XLOOKUP($C492,Phone_by_Sentiment!$B$2:$B$37,Phone_by_Sentiment!O$2:O$37,"",0,1)),_xlfn.XLOOKUP($C492,Phone_by_Sentiment!$B$2:$B$37,Phone_by_Sentiment!O$2:O$37,"",0,1),0),$A492-TEXT(DATEVALUE($D492&amp;"-01"), "dd-mm-yyyy")),0),0)</f>
        <v>507</v>
      </c>
      <c r="P492" s="1">
        <f t="shared" si="19"/>
        <v>43678</v>
      </c>
      <c r="Q492">
        <f t="shared" si="20"/>
        <v>213</v>
      </c>
    </row>
    <row r="493" spans="1:17" x14ac:dyDescent="0.25">
      <c r="A493" s="1">
        <f t="shared" si="18"/>
        <v>43891</v>
      </c>
      <c r="B493" t="s">
        <v>170</v>
      </c>
      <c r="C493" t="str">
        <f>_xlfn.XLOOKUP(B493,Phone_by_Price!$A$2:$A$34,Phone_by_Price!$B$2:$B$34,"-",0,1)</f>
        <v>Realme Narzo 30A</v>
      </c>
      <c r="D493" t="str">
        <f>_xlfn.XLOOKUP(C493,Phone_by_Sentiment!$B$2:$B$37,Phone_by_Sentiment!$A$2:$A$37,"-",0,1)</f>
        <v>2021-02</v>
      </c>
      <c r="E493" cm="1">
        <f t="array" ref="E493">IF($Q493&gt;=0,IFERROR(generateSalesData($D493, IF(ISNUMBER(_xlfn.XLOOKUP($C493,Phone_by_Sentiment!$B$2:$B$37,Phone_by_Sentiment!E$2:E$37,"",0,1)),_xlfn.XLOOKUP($C493,Phone_by_Sentiment!$B$2:$B$37,Phone_by_Sentiment!E$2:E$37,"",0,1),0),$A493-TEXT(DATEVALUE($D493&amp;"-01"), "dd-mm-yyyy")),0),0)</f>
        <v>0</v>
      </c>
      <c r="F493" cm="1">
        <f t="array" ref="F493">IF($Q493&gt;=0,IFERROR(generateSalesData($D493, IF(ISNUMBER(_xlfn.XLOOKUP($C493,Phone_by_Sentiment!$B$2:$B$37,Phone_by_Sentiment!F$2:F$37,"",0,1)),_xlfn.XLOOKUP($C493,Phone_by_Sentiment!$B$2:$B$37,Phone_by_Sentiment!F$2:F$37,"",0,1),0),$A493-TEXT(DATEVALUE($D493&amp;"-01"), "dd-mm-yyyy")),0),0)</f>
        <v>0</v>
      </c>
      <c r="G493" cm="1">
        <f t="array" ref="G493">IF($Q493&gt;=0,IFERROR(generateSalesData($D493, IF(ISNUMBER(_xlfn.XLOOKUP($C493,Phone_by_Sentiment!$B$2:$B$37,Phone_by_Sentiment!G$2:G$37,"",0,1)),_xlfn.XLOOKUP($C493,Phone_by_Sentiment!$B$2:$B$37,Phone_by_Sentiment!G$2:G$37,"",0,1),0),$A493-TEXT(DATEVALUE($D493&amp;"-01"), "dd-mm-yyyy")),0),0)</f>
        <v>0</v>
      </c>
      <c r="H493" cm="1">
        <f t="array" ref="H493">IF($Q493&gt;=0,IFERROR(generateSalesData($D493, IF(ISNUMBER(_xlfn.XLOOKUP($C493,Phone_by_Sentiment!$B$2:$B$37,Phone_by_Sentiment!H$2:H$37,"",0,1)),_xlfn.XLOOKUP($C493,Phone_by_Sentiment!$B$2:$B$37,Phone_by_Sentiment!H$2:H$37,"",0,1),0),$A493-TEXT(DATEVALUE($D493&amp;"-01"), "dd-mm-yyyy")),0),0)</f>
        <v>0</v>
      </c>
      <c r="I493" cm="1">
        <f t="array" ref="I493">IF($Q493&gt;=0,IFERROR(generateSalesData($D493, IF(ISNUMBER(_xlfn.XLOOKUP($C493,Phone_by_Sentiment!$B$2:$B$37,Phone_by_Sentiment!I$2:I$37,"",0,1)),_xlfn.XLOOKUP($C493,Phone_by_Sentiment!$B$2:$B$37,Phone_by_Sentiment!I$2:I$37,"",0,1),0),$A493-TEXT(DATEVALUE($D493&amp;"-01"), "dd-mm-yyyy")),0),0)</f>
        <v>0</v>
      </c>
      <c r="J493" cm="1">
        <f t="array" ref="J493">IF($Q493&gt;=0,IFERROR(generateSalesData($D493, IF(ISNUMBER(_xlfn.XLOOKUP($C493,Phone_by_Sentiment!$B$2:$B$37,Phone_by_Sentiment!J$2:J$37,"",0,1)),_xlfn.XLOOKUP($C493,Phone_by_Sentiment!$B$2:$B$37,Phone_by_Sentiment!J$2:J$37,"",0,1),0),$A493-TEXT(DATEVALUE($D493&amp;"-01"), "dd-mm-yyyy")),0),0)</f>
        <v>0</v>
      </c>
      <c r="K493" cm="1">
        <f t="array" ref="K493">IF($Q493&gt;=0,IFERROR(generateSalesData($D493, IF(ISNUMBER(_xlfn.XLOOKUP($C493,Phone_by_Sentiment!$B$2:$B$37,Phone_by_Sentiment!K$2:K$37,"",0,1)),_xlfn.XLOOKUP($C493,Phone_by_Sentiment!$B$2:$B$37,Phone_by_Sentiment!K$2:K$37,"",0,1),0),$A493-TEXT(DATEVALUE($D493&amp;"-01"), "dd-mm-yyyy")),0),0)</f>
        <v>0</v>
      </c>
      <c r="L493" cm="1">
        <f t="array" ref="L493">IF($Q493&gt;=0,IFERROR(generateSalesData($D493, IF(ISNUMBER(_xlfn.XLOOKUP($C493,Phone_by_Sentiment!$B$2:$B$37,Phone_by_Sentiment!L$2:L$37,"",0,1)),_xlfn.XLOOKUP($C493,Phone_by_Sentiment!$B$2:$B$37,Phone_by_Sentiment!L$2:L$37,"",0,1),0),$A493-TEXT(DATEVALUE($D493&amp;"-01"), "dd-mm-yyyy")),0),0)</f>
        <v>0</v>
      </c>
      <c r="M493" cm="1">
        <f t="array" ref="M493">IF($Q493&gt;=0,IFERROR(generateSalesData($D493, IF(ISNUMBER(_xlfn.XLOOKUP($C493,Phone_by_Sentiment!$B$2:$B$37,Phone_by_Sentiment!M$2:M$37,"",0,1)),_xlfn.XLOOKUP($C493,Phone_by_Sentiment!$B$2:$B$37,Phone_by_Sentiment!M$2:M$37,"",0,1),0),$A493-TEXT(DATEVALUE($D493&amp;"-01"), "dd-mm-yyyy")),0),0)</f>
        <v>0</v>
      </c>
      <c r="N493" cm="1">
        <f t="array" ref="N493">IF($Q493&gt;=0,IFERROR(generateSalesData($D493, IF(ISNUMBER(_xlfn.XLOOKUP($C493,Phone_by_Sentiment!$B$2:$B$37,Phone_by_Sentiment!N$2:N$37,"",0,1)),_xlfn.XLOOKUP($C493,Phone_by_Sentiment!$B$2:$B$37,Phone_by_Sentiment!N$2:N$37,"",0,1),0),$A493-TEXT(DATEVALUE($D493&amp;"-01"), "dd-mm-yyyy")),0),0)</f>
        <v>0</v>
      </c>
      <c r="O493" cm="1">
        <f t="array" ref="O493">IF($Q493&gt;=0,IFERROR(generateSalesData($D493, IF(ISNUMBER(_xlfn.XLOOKUP($C493,Phone_by_Sentiment!$B$2:$B$37,Phone_by_Sentiment!O$2:O$37,"",0,1)),_xlfn.XLOOKUP($C493,Phone_by_Sentiment!$B$2:$B$37,Phone_by_Sentiment!O$2:O$37,"",0,1),0),$A493-TEXT(DATEVALUE($D493&amp;"-01"), "dd-mm-yyyy")),0),0)</f>
        <v>0</v>
      </c>
      <c r="P493" s="1">
        <f t="shared" si="19"/>
        <v>44228</v>
      </c>
      <c r="Q493">
        <f t="shared" si="20"/>
        <v>-337</v>
      </c>
    </row>
    <row r="494" spans="1:17" x14ac:dyDescent="0.25">
      <c r="A494" s="1">
        <f t="shared" si="18"/>
        <v>43891</v>
      </c>
      <c r="B494" t="s">
        <v>171</v>
      </c>
      <c r="C494" t="str">
        <f>_xlfn.XLOOKUP(B494,Phone_by_Price!$A$2:$A$34,Phone_by_Price!$B$2:$B$34,"-",0,1)</f>
        <v>Samsung Galaxy A22 5G</v>
      </c>
      <c r="D494" t="str">
        <f>_xlfn.XLOOKUP(C494,Phone_by_Sentiment!$B$2:$B$37,Phone_by_Sentiment!$A$2:$A$37,"-",0,1)</f>
        <v>2021-05</v>
      </c>
      <c r="E494" cm="1">
        <f t="array" ref="E494">IF($Q494&gt;=0,IFERROR(generateSalesData($D494, IF(ISNUMBER(_xlfn.XLOOKUP($C494,Phone_by_Sentiment!$B$2:$B$37,Phone_by_Sentiment!E$2:E$37,"",0,1)),_xlfn.XLOOKUP($C494,Phone_by_Sentiment!$B$2:$B$37,Phone_by_Sentiment!E$2:E$37,"",0,1),0),$A494-TEXT(DATEVALUE($D494&amp;"-01"), "dd-mm-yyyy")),0),0)</f>
        <v>0</v>
      </c>
      <c r="F494" cm="1">
        <f t="array" ref="F494">IF($Q494&gt;=0,IFERROR(generateSalesData($D494, IF(ISNUMBER(_xlfn.XLOOKUP($C494,Phone_by_Sentiment!$B$2:$B$37,Phone_by_Sentiment!F$2:F$37,"",0,1)),_xlfn.XLOOKUP($C494,Phone_by_Sentiment!$B$2:$B$37,Phone_by_Sentiment!F$2:F$37,"",0,1),0),$A494-TEXT(DATEVALUE($D494&amp;"-01"), "dd-mm-yyyy")),0),0)</f>
        <v>0</v>
      </c>
      <c r="G494" cm="1">
        <f t="array" ref="G494">IF($Q494&gt;=0,IFERROR(generateSalesData($D494, IF(ISNUMBER(_xlfn.XLOOKUP($C494,Phone_by_Sentiment!$B$2:$B$37,Phone_by_Sentiment!G$2:G$37,"",0,1)),_xlfn.XLOOKUP($C494,Phone_by_Sentiment!$B$2:$B$37,Phone_by_Sentiment!G$2:G$37,"",0,1),0),$A494-TEXT(DATEVALUE($D494&amp;"-01"), "dd-mm-yyyy")),0),0)</f>
        <v>0</v>
      </c>
      <c r="H494" cm="1">
        <f t="array" ref="H494">IF($Q494&gt;=0,IFERROR(generateSalesData($D494, IF(ISNUMBER(_xlfn.XLOOKUP($C494,Phone_by_Sentiment!$B$2:$B$37,Phone_by_Sentiment!H$2:H$37,"",0,1)),_xlfn.XLOOKUP($C494,Phone_by_Sentiment!$B$2:$B$37,Phone_by_Sentiment!H$2:H$37,"",0,1),0),$A494-TEXT(DATEVALUE($D494&amp;"-01"), "dd-mm-yyyy")),0),0)</f>
        <v>0</v>
      </c>
      <c r="I494" cm="1">
        <f t="array" ref="I494">IF($Q494&gt;=0,IFERROR(generateSalesData($D494, IF(ISNUMBER(_xlfn.XLOOKUP($C494,Phone_by_Sentiment!$B$2:$B$37,Phone_by_Sentiment!I$2:I$37,"",0,1)),_xlfn.XLOOKUP($C494,Phone_by_Sentiment!$B$2:$B$37,Phone_by_Sentiment!I$2:I$37,"",0,1),0),$A494-TEXT(DATEVALUE($D494&amp;"-01"), "dd-mm-yyyy")),0),0)</f>
        <v>0</v>
      </c>
      <c r="J494" cm="1">
        <f t="array" ref="J494">IF($Q494&gt;=0,IFERROR(generateSalesData($D494, IF(ISNUMBER(_xlfn.XLOOKUP($C494,Phone_by_Sentiment!$B$2:$B$37,Phone_by_Sentiment!J$2:J$37,"",0,1)),_xlfn.XLOOKUP($C494,Phone_by_Sentiment!$B$2:$B$37,Phone_by_Sentiment!J$2:J$37,"",0,1),0),$A494-TEXT(DATEVALUE($D494&amp;"-01"), "dd-mm-yyyy")),0),0)</f>
        <v>0</v>
      </c>
      <c r="K494" cm="1">
        <f t="array" ref="K494">IF($Q494&gt;=0,IFERROR(generateSalesData($D494, IF(ISNUMBER(_xlfn.XLOOKUP($C494,Phone_by_Sentiment!$B$2:$B$37,Phone_by_Sentiment!K$2:K$37,"",0,1)),_xlfn.XLOOKUP($C494,Phone_by_Sentiment!$B$2:$B$37,Phone_by_Sentiment!K$2:K$37,"",0,1),0),$A494-TEXT(DATEVALUE($D494&amp;"-01"), "dd-mm-yyyy")),0),0)</f>
        <v>0</v>
      </c>
      <c r="L494" cm="1">
        <f t="array" ref="L494">IF($Q494&gt;=0,IFERROR(generateSalesData($D494, IF(ISNUMBER(_xlfn.XLOOKUP($C494,Phone_by_Sentiment!$B$2:$B$37,Phone_by_Sentiment!L$2:L$37,"",0,1)),_xlfn.XLOOKUP($C494,Phone_by_Sentiment!$B$2:$B$37,Phone_by_Sentiment!L$2:L$37,"",0,1),0),$A494-TEXT(DATEVALUE($D494&amp;"-01"), "dd-mm-yyyy")),0),0)</f>
        <v>0</v>
      </c>
      <c r="M494" cm="1">
        <f t="array" ref="M494">IF($Q494&gt;=0,IFERROR(generateSalesData($D494, IF(ISNUMBER(_xlfn.XLOOKUP($C494,Phone_by_Sentiment!$B$2:$B$37,Phone_by_Sentiment!M$2:M$37,"",0,1)),_xlfn.XLOOKUP($C494,Phone_by_Sentiment!$B$2:$B$37,Phone_by_Sentiment!M$2:M$37,"",0,1),0),$A494-TEXT(DATEVALUE($D494&amp;"-01"), "dd-mm-yyyy")),0),0)</f>
        <v>0</v>
      </c>
      <c r="N494" cm="1">
        <f t="array" ref="N494">IF($Q494&gt;=0,IFERROR(generateSalesData($D494, IF(ISNUMBER(_xlfn.XLOOKUP($C494,Phone_by_Sentiment!$B$2:$B$37,Phone_by_Sentiment!N$2:N$37,"",0,1)),_xlfn.XLOOKUP($C494,Phone_by_Sentiment!$B$2:$B$37,Phone_by_Sentiment!N$2:N$37,"",0,1),0),$A494-TEXT(DATEVALUE($D494&amp;"-01"), "dd-mm-yyyy")),0),0)</f>
        <v>0</v>
      </c>
      <c r="O494" cm="1">
        <f t="array" ref="O494">IF($Q494&gt;=0,IFERROR(generateSalesData($D494, IF(ISNUMBER(_xlfn.XLOOKUP($C494,Phone_by_Sentiment!$B$2:$B$37,Phone_by_Sentiment!O$2:O$37,"",0,1)),_xlfn.XLOOKUP($C494,Phone_by_Sentiment!$B$2:$B$37,Phone_by_Sentiment!O$2:O$37,"",0,1),0),$A494-TEXT(DATEVALUE($D494&amp;"-01"), "dd-mm-yyyy")),0),0)</f>
        <v>0</v>
      </c>
      <c r="P494" s="1">
        <f t="shared" si="19"/>
        <v>44317</v>
      </c>
      <c r="Q494">
        <f t="shared" si="20"/>
        <v>-426</v>
      </c>
    </row>
    <row r="495" spans="1:17" x14ac:dyDescent="0.25">
      <c r="A495" s="1">
        <f t="shared" si="18"/>
        <v>43891</v>
      </c>
      <c r="B495" t="s">
        <v>172</v>
      </c>
      <c r="C495" t="str">
        <f>_xlfn.XLOOKUP(B495,Phone_by_Price!$A$2:$A$34,Phone_by_Price!$B$2:$B$34,"-",0,1)</f>
        <v>Xiaomi Redmi 9</v>
      </c>
      <c r="D495" t="str">
        <f>_xlfn.XLOOKUP(C495,Phone_by_Sentiment!$B$2:$B$37,Phone_by_Sentiment!$A$2:$A$37,"-",0,1)</f>
        <v>2020-08</v>
      </c>
      <c r="E495" cm="1">
        <f t="array" ref="E495">IF($Q495&gt;=0,IFERROR(generateSalesData($D495, IF(ISNUMBER(_xlfn.XLOOKUP($C495,Phone_by_Sentiment!$B$2:$B$37,Phone_by_Sentiment!E$2:E$37,"",0,1)),_xlfn.XLOOKUP($C495,Phone_by_Sentiment!$B$2:$B$37,Phone_by_Sentiment!E$2:E$37,"",0,1),0),$A495-TEXT(DATEVALUE($D495&amp;"-01"), "dd-mm-yyyy")),0),0)</f>
        <v>0</v>
      </c>
      <c r="F495" cm="1">
        <f t="array" ref="F495">IF($Q495&gt;=0,IFERROR(generateSalesData($D495, IF(ISNUMBER(_xlfn.XLOOKUP($C495,Phone_by_Sentiment!$B$2:$B$37,Phone_by_Sentiment!F$2:F$37,"",0,1)),_xlfn.XLOOKUP($C495,Phone_by_Sentiment!$B$2:$B$37,Phone_by_Sentiment!F$2:F$37,"",0,1),0),$A495-TEXT(DATEVALUE($D495&amp;"-01"), "dd-mm-yyyy")),0),0)</f>
        <v>0</v>
      </c>
      <c r="G495" cm="1">
        <f t="array" ref="G495">IF($Q495&gt;=0,IFERROR(generateSalesData($D495, IF(ISNUMBER(_xlfn.XLOOKUP($C495,Phone_by_Sentiment!$B$2:$B$37,Phone_by_Sentiment!G$2:G$37,"",0,1)),_xlfn.XLOOKUP($C495,Phone_by_Sentiment!$B$2:$B$37,Phone_by_Sentiment!G$2:G$37,"",0,1),0),$A495-TEXT(DATEVALUE($D495&amp;"-01"), "dd-mm-yyyy")),0),0)</f>
        <v>0</v>
      </c>
      <c r="H495" cm="1">
        <f t="array" ref="H495">IF($Q495&gt;=0,IFERROR(generateSalesData($D495, IF(ISNUMBER(_xlfn.XLOOKUP($C495,Phone_by_Sentiment!$B$2:$B$37,Phone_by_Sentiment!H$2:H$37,"",0,1)),_xlfn.XLOOKUP($C495,Phone_by_Sentiment!$B$2:$B$37,Phone_by_Sentiment!H$2:H$37,"",0,1),0),$A495-TEXT(DATEVALUE($D495&amp;"-01"), "dd-mm-yyyy")),0),0)</f>
        <v>0</v>
      </c>
      <c r="I495" cm="1">
        <f t="array" ref="I495">IF($Q495&gt;=0,IFERROR(generateSalesData($D495, IF(ISNUMBER(_xlfn.XLOOKUP($C495,Phone_by_Sentiment!$B$2:$B$37,Phone_by_Sentiment!I$2:I$37,"",0,1)),_xlfn.XLOOKUP($C495,Phone_by_Sentiment!$B$2:$B$37,Phone_by_Sentiment!I$2:I$37,"",0,1),0),$A495-TEXT(DATEVALUE($D495&amp;"-01"), "dd-mm-yyyy")),0),0)</f>
        <v>0</v>
      </c>
      <c r="J495" cm="1">
        <f t="array" ref="J495">IF($Q495&gt;=0,IFERROR(generateSalesData($D495, IF(ISNUMBER(_xlfn.XLOOKUP($C495,Phone_by_Sentiment!$B$2:$B$37,Phone_by_Sentiment!J$2:J$37,"",0,1)),_xlfn.XLOOKUP($C495,Phone_by_Sentiment!$B$2:$B$37,Phone_by_Sentiment!J$2:J$37,"",0,1),0),$A495-TEXT(DATEVALUE($D495&amp;"-01"), "dd-mm-yyyy")),0),0)</f>
        <v>0</v>
      </c>
      <c r="K495" cm="1">
        <f t="array" ref="K495">IF($Q495&gt;=0,IFERROR(generateSalesData($D495, IF(ISNUMBER(_xlfn.XLOOKUP($C495,Phone_by_Sentiment!$B$2:$B$37,Phone_by_Sentiment!K$2:K$37,"",0,1)),_xlfn.XLOOKUP($C495,Phone_by_Sentiment!$B$2:$B$37,Phone_by_Sentiment!K$2:K$37,"",0,1),0),$A495-TEXT(DATEVALUE($D495&amp;"-01"), "dd-mm-yyyy")),0),0)</f>
        <v>0</v>
      </c>
      <c r="L495" cm="1">
        <f t="array" ref="L495">IF($Q495&gt;=0,IFERROR(generateSalesData($D495, IF(ISNUMBER(_xlfn.XLOOKUP($C495,Phone_by_Sentiment!$B$2:$B$37,Phone_by_Sentiment!L$2:L$37,"",0,1)),_xlfn.XLOOKUP($C495,Phone_by_Sentiment!$B$2:$B$37,Phone_by_Sentiment!L$2:L$37,"",0,1),0),$A495-TEXT(DATEVALUE($D495&amp;"-01"), "dd-mm-yyyy")),0),0)</f>
        <v>0</v>
      </c>
      <c r="M495" cm="1">
        <f t="array" ref="M495">IF($Q495&gt;=0,IFERROR(generateSalesData($D495, IF(ISNUMBER(_xlfn.XLOOKUP($C495,Phone_by_Sentiment!$B$2:$B$37,Phone_by_Sentiment!M$2:M$37,"",0,1)),_xlfn.XLOOKUP($C495,Phone_by_Sentiment!$B$2:$B$37,Phone_by_Sentiment!M$2:M$37,"",0,1),0),$A495-TEXT(DATEVALUE($D495&amp;"-01"), "dd-mm-yyyy")),0),0)</f>
        <v>0</v>
      </c>
      <c r="N495" cm="1">
        <f t="array" ref="N495">IF($Q495&gt;=0,IFERROR(generateSalesData($D495, IF(ISNUMBER(_xlfn.XLOOKUP($C495,Phone_by_Sentiment!$B$2:$B$37,Phone_by_Sentiment!N$2:N$37,"",0,1)),_xlfn.XLOOKUP($C495,Phone_by_Sentiment!$B$2:$B$37,Phone_by_Sentiment!N$2:N$37,"",0,1),0),$A495-TEXT(DATEVALUE($D495&amp;"-01"), "dd-mm-yyyy")),0),0)</f>
        <v>0</v>
      </c>
      <c r="O495" cm="1">
        <f t="array" ref="O495">IF($Q495&gt;=0,IFERROR(generateSalesData($D495, IF(ISNUMBER(_xlfn.XLOOKUP($C495,Phone_by_Sentiment!$B$2:$B$37,Phone_by_Sentiment!O$2:O$37,"",0,1)),_xlfn.XLOOKUP($C495,Phone_by_Sentiment!$B$2:$B$37,Phone_by_Sentiment!O$2:O$37,"",0,1),0),$A495-TEXT(DATEVALUE($D495&amp;"-01"), "dd-mm-yyyy")),0),0)</f>
        <v>0</v>
      </c>
      <c r="P495" s="1">
        <f t="shared" si="19"/>
        <v>44044</v>
      </c>
      <c r="Q495">
        <f t="shared" si="20"/>
        <v>-153</v>
      </c>
    </row>
    <row r="496" spans="1:17" x14ac:dyDescent="0.25">
      <c r="A496" s="1">
        <f t="shared" si="18"/>
        <v>43891</v>
      </c>
      <c r="B496" t="s">
        <v>173</v>
      </c>
      <c r="C496" t="str">
        <f>_xlfn.XLOOKUP(B496,Phone_by_Price!$A$2:$A$34,Phone_by_Price!$B$2:$B$34,"-",0,1)</f>
        <v>Realme C3</v>
      </c>
      <c r="D496" t="str">
        <f>_xlfn.XLOOKUP(C496,Phone_by_Sentiment!$B$2:$B$37,Phone_by_Sentiment!$A$2:$A$37,"-",0,1)</f>
        <v>2020-02</v>
      </c>
      <c r="E496" cm="1">
        <f t="array" ref="E496">IF($Q496&gt;=0,IFERROR(generateSalesData($D496, IF(ISNUMBER(_xlfn.XLOOKUP($C496,Phone_by_Sentiment!$B$2:$B$37,Phone_by_Sentiment!E$2:E$37,"",0,1)),_xlfn.XLOOKUP($C496,Phone_by_Sentiment!$B$2:$B$37,Phone_by_Sentiment!E$2:E$37,"",0,1),0),$A496-TEXT(DATEVALUE($D496&amp;"-01"), "dd-mm-yyyy")),0),0)</f>
        <v>1116</v>
      </c>
      <c r="F496" cm="1">
        <f t="array" ref="F496">IF($Q496&gt;=0,IFERROR(generateSalesData($D496, IF(ISNUMBER(_xlfn.XLOOKUP($C496,Phone_by_Sentiment!$B$2:$B$37,Phone_by_Sentiment!F$2:F$37,"",0,1)),_xlfn.XLOOKUP($C496,Phone_by_Sentiment!$B$2:$B$37,Phone_by_Sentiment!F$2:F$37,"",0,1),0),$A496-TEXT(DATEVALUE($D496&amp;"-01"), "dd-mm-yyyy")),0),0)</f>
        <v>2431</v>
      </c>
      <c r="G496" cm="1">
        <f t="array" ref="G496">IF($Q496&gt;=0,IFERROR(generateSalesData($D496, IF(ISNUMBER(_xlfn.XLOOKUP($C496,Phone_by_Sentiment!$B$2:$B$37,Phone_by_Sentiment!G$2:G$37,"",0,1)),_xlfn.XLOOKUP($C496,Phone_by_Sentiment!$B$2:$B$37,Phone_by_Sentiment!G$2:G$37,"",0,1),0),$A496-TEXT(DATEVALUE($D496&amp;"-01"), "dd-mm-yyyy")),0),0)</f>
        <v>2555</v>
      </c>
      <c r="H496" cm="1">
        <f t="array" ref="H496">IF($Q496&gt;=0,IFERROR(generateSalesData($D496, IF(ISNUMBER(_xlfn.XLOOKUP($C496,Phone_by_Sentiment!$B$2:$B$37,Phone_by_Sentiment!H$2:H$37,"",0,1)),_xlfn.XLOOKUP($C496,Phone_by_Sentiment!$B$2:$B$37,Phone_by_Sentiment!H$2:H$37,"",0,1),0),$A496-TEXT(DATEVALUE($D496&amp;"-01"), "dd-mm-yyyy")),0),0)</f>
        <v>5192</v>
      </c>
      <c r="I496" cm="1">
        <f t="array" ref="I496">IF($Q496&gt;=0,IFERROR(generateSalesData($D496, IF(ISNUMBER(_xlfn.XLOOKUP($C496,Phone_by_Sentiment!$B$2:$B$37,Phone_by_Sentiment!I$2:I$37,"",0,1)),_xlfn.XLOOKUP($C496,Phone_by_Sentiment!$B$2:$B$37,Phone_by_Sentiment!I$2:I$37,"",0,1),0),$A496-TEXT(DATEVALUE($D496&amp;"-01"), "dd-mm-yyyy")),0),0)</f>
        <v>4351</v>
      </c>
      <c r="J496" cm="1">
        <f t="array" ref="J496">IF($Q496&gt;=0,IFERROR(generateSalesData($D496, IF(ISNUMBER(_xlfn.XLOOKUP($C496,Phone_by_Sentiment!$B$2:$B$37,Phone_by_Sentiment!J$2:J$37,"",0,1)),_xlfn.XLOOKUP($C496,Phone_by_Sentiment!$B$2:$B$37,Phone_by_Sentiment!J$2:J$37,"",0,1),0),$A496-TEXT(DATEVALUE($D496&amp;"-01"), "dd-mm-yyyy")),0),0)</f>
        <v>3482</v>
      </c>
      <c r="K496" cm="1">
        <f t="array" ref="K496">IF($Q496&gt;=0,IFERROR(generateSalesData($D496, IF(ISNUMBER(_xlfn.XLOOKUP($C496,Phone_by_Sentiment!$B$2:$B$37,Phone_by_Sentiment!K$2:K$37,"",0,1)),_xlfn.XLOOKUP($C496,Phone_by_Sentiment!$B$2:$B$37,Phone_by_Sentiment!K$2:K$37,"",0,1),0),$A496-TEXT(DATEVALUE($D496&amp;"-01"), "dd-mm-yyyy")),0),0)</f>
        <v>5653</v>
      </c>
      <c r="L496" cm="1">
        <f t="array" ref="L496">IF($Q496&gt;=0,IFERROR(generateSalesData($D496, IF(ISNUMBER(_xlfn.XLOOKUP($C496,Phone_by_Sentiment!$B$2:$B$37,Phone_by_Sentiment!L$2:L$37,"",0,1)),_xlfn.XLOOKUP($C496,Phone_by_Sentiment!$B$2:$B$37,Phone_by_Sentiment!L$2:L$37,"",0,1),0),$A496-TEXT(DATEVALUE($D496&amp;"-01"), "dd-mm-yyyy")),0),0)</f>
        <v>3480</v>
      </c>
      <c r="M496" cm="1">
        <f t="array" ref="M496">IF($Q496&gt;=0,IFERROR(generateSalesData($D496, IF(ISNUMBER(_xlfn.XLOOKUP($C496,Phone_by_Sentiment!$B$2:$B$37,Phone_by_Sentiment!M$2:M$37,"",0,1)),_xlfn.XLOOKUP($C496,Phone_by_Sentiment!$B$2:$B$37,Phone_by_Sentiment!M$2:M$37,"",0,1),0),$A496-TEXT(DATEVALUE($D496&amp;"-01"), "dd-mm-yyyy")),0),0)</f>
        <v>2190</v>
      </c>
      <c r="N496" cm="1">
        <f t="array" ref="N496">IF($Q496&gt;=0,IFERROR(generateSalesData($D496, IF(ISNUMBER(_xlfn.XLOOKUP($C496,Phone_by_Sentiment!$B$2:$B$37,Phone_by_Sentiment!N$2:N$37,"",0,1)),_xlfn.XLOOKUP($C496,Phone_by_Sentiment!$B$2:$B$37,Phone_by_Sentiment!N$2:N$37,"",0,1),0),$A496-TEXT(DATEVALUE($D496&amp;"-01"), "dd-mm-yyyy")),0),0)</f>
        <v>7993</v>
      </c>
      <c r="O496" cm="1">
        <f t="array" ref="O496">IF($Q496&gt;=0,IFERROR(generateSalesData($D496, IF(ISNUMBER(_xlfn.XLOOKUP($C496,Phone_by_Sentiment!$B$2:$B$37,Phone_by_Sentiment!O$2:O$37,"",0,1)),_xlfn.XLOOKUP($C496,Phone_by_Sentiment!$B$2:$B$37,Phone_by_Sentiment!O$2:O$37,"",0,1),0),$A496-TEXT(DATEVALUE($D496&amp;"-01"), "dd-mm-yyyy")),0),0)</f>
        <v>2074</v>
      </c>
      <c r="P496" s="1">
        <f t="shared" si="19"/>
        <v>43862</v>
      </c>
      <c r="Q496">
        <f t="shared" si="20"/>
        <v>29</v>
      </c>
    </row>
    <row r="497" spans="1:17" x14ac:dyDescent="0.25">
      <c r="A497" s="1">
        <f t="shared" si="18"/>
        <v>43891</v>
      </c>
      <c r="B497" t="s">
        <v>174</v>
      </c>
      <c r="C497" t="str">
        <f>_xlfn.XLOOKUP(B497,Phone_by_Price!$A$2:$A$34,Phone_by_Price!$B$2:$B$34,"-",0,1)</f>
        <v>Samsung Galaxy A7</v>
      </c>
      <c r="D497" t="str">
        <f>_xlfn.XLOOKUP(C497,Phone_by_Sentiment!$B$2:$B$37,Phone_by_Sentiment!$A$2:$A$37,"-",0,1)</f>
        <v>2018-10</v>
      </c>
      <c r="E497" cm="1">
        <f t="array" ref="E497">IF($Q497&gt;=0,IFERROR(generateSalesData($D497, IF(ISNUMBER(_xlfn.XLOOKUP($C497,Phone_by_Sentiment!$B$2:$B$37,Phone_by_Sentiment!E$2:E$37,"",0,1)),_xlfn.XLOOKUP($C497,Phone_by_Sentiment!$B$2:$B$37,Phone_by_Sentiment!E$2:E$37,"",0,1),0),$A497-TEXT(DATEVALUE($D497&amp;"-01"), "dd-mm-yyyy")),0),0)</f>
        <v>73</v>
      </c>
      <c r="F497" cm="1">
        <f t="array" ref="F497">IF($Q497&gt;=0,IFERROR(generateSalesData($D497, IF(ISNUMBER(_xlfn.XLOOKUP($C497,Phone_by_Sentiment!$B$2:$B$37,Phone_by_Sentiment!F$2:F$37,"",0,1)),_xlfn.XLOOKUP($C497,Phone_by_Sentiment!$B$2:$B$37,Phone_by_Sentiment!F$2:F$37,"",0,1),0),$A497-TEXT(DATEVALUE($D497&amp;"-01"), "dd-mm-yyyy")),0),0)</f>
        <v>34</v>
      </c>
      <c r="G497" cm="1">
        <f t="array" ref="G497">IF($Q497&gt;=0,IFERROR(generateSalesData($D497, IF(ISNUMBER(_xlfn.XLOOKUP($C497,Phone_by_Sentiment!$B$2:$B$37,Phone_by_Sentiment!G$2:G$37,"",0,1)),_xlfn.XLOOKUP($C497,Phone_by_Sentiment!$B$2:$B$37,Phone_by_Sentiment!G$2:G$37,"",0,1),0),$A497-TEXT(DATEVALUE($D497&amp;"-01"), "dd-mm-yyyy")),0),0)</f>
        <v>106</v>
      </c>
      <c r="H497" cm="1">
        <f t="array" ref="H497">IF($Q497&gt;=0,IFERROR(generateSalesData($D497, IF(ISNUMBER(_xlfn.XLOOKUP($C497,Phone_by_Sentiment!$B$2:$B$37,Phone_by_Sentiment!H$2:H$37,"",0,1)),_xlfn.XLOOKUP($C497,Phone_by_Sentiment!$B$2:$B$37,Phone_by_Sentiment!H$2:H$37,"",0,1),0),$A497-TEXT(DATEVALUE($D497&amp;"-01"), "dd-mm-yyyy")),0),0)</f>
        <v>544</v>
      </c>
      <c r="I497" cm="1">
        <f t="array" ref="I497">IF($Q497&gt;=0,IFERROR(generateSalesData($D497, IF(ISNUMBER(_xlfn.XLOOKUP($C497,Phone_by_Sentiment!$B$2:$B$37,Phone_by_Sentiment!I$2:I$37,"",0,1)),_xlfn.XLOOKUP($C497,Phone_by_Sentiment!$B$2:$B$37,Phone_by_Sentiment!I$2:I$37,"",0,1),0),$A497-TEXT(DATEVALUE($D497&amp;"-01"), "dd-mm-yyyy")),0),0)</f>
        <v>337</v>
      </c>
      <c r="J497" cm="1">
        <f t="array" ref="J497">IF($Q497&gt;=0,IFERROR(generateSalesData($D497, IF(ISNUMBER(_xlfn.XLOOKUP($C497,Phone_by_Sentiment!$B$2:$B$37,Phone_by_Sentiment!J$2:J$37,"",0,1)),_xlfn.XLOOKUP($C497,Phone_by_Sentiment!$B$2:$B$37,Phone_by_Sentiment!J$2:J$37,"",0,1),0),$A497-TEXT(DATEVALUE($D497&amp;"-01"), "dd-mm-yyyy")),0),0)</f>
        <v>127</v>
      </c>
      <c r="K497" cm="1">
        <f t="array" ref="K497">IF($Q497&gt;=0,IFERROR(generateSalesData($D497, IF(ISNUMBER(_xlfn.XLOOKUP($C497,Phone_by_Sentiment!$B$2:$B$37,Phone_by_Sentiment!K$2:K$37,"",0,1)),_xlfn.XLOOKUP($C497,Phone_by_Sentiment!$B$2:$B$37,Phone_by_Sentiment!K$2:K$37,"",0,1),0),$A497-TEXT(DATEVALUE($D497&amp;"-01"), "dd-mm-yyyy")),0),0)</f>
        <v>38</v>
      </c>
      <c r="L497" cm="1">
        <f t="array" ref="L497">IF($Q497&gt;=0,IFERROR(generateSalesData($D497, IF(ISNUMBER(_xlfn.XLOOKUP($C497,Phone_by_Sentiment!$B$2:$B$37,Phone_by_Sentiment!L$2:L$37,"",0,1)),_xlfn.XLOOKUP($C497,Phone_by_Sentiment!$B$2:$B$37,Phone_by_Sentiment!L$2:L$37,"",0,1),0),$A497-TEXT(DATEVALUE($D497&amp;"-01"), "dd-mm-yyyy")),0),0)</f>
        <v>126</v>
      </c>
      <c r="M497" cm="1">
        <f t="array" ref="M497">IF($Q497&gt;=0,IFERROR(generateSalesData($D497, IF(ISNUMBER(_xlfn.XLOOKUP($C497,Phone_by_Sentiment!$B$2:$B$37,Phone_by_Sentiment!M$2:M$37,"",0,1)),_xlfn.XLOOKUP($C497,Phone_by_Sentiment!$B$2:$B$37,Phone_by_Sentiment!M$2:M$37,"",0,1),0),$A497-TEXT(DATEVALUE($D497&amp;"-01"), "dd-mm-yyyy")),0),0)</f>
        <v>635</v>
      </c>
      <c r="N497" cm="1">
        <f t="array" ref="N497">IF($Q497&gt;=0,IFERROR(generateSalesData($D497, IF(ISNUMBER(_xlfn.XLOOKUP($C497,Phone_by_Sentiment!$B$2:$B$37,Phone_by_Sentiment!N$2:N$37,"",0,1)),_xlfn.XLOOKUP($C497,Phone_by_Sentiment!$B$2:$B$37,Phone_by_Sentiment!N$2:N$37,"",0,1),0),$A497-TEXT(DATEVALUE($D497&amp;"-01"), "dd-mm-yyyy")),0),0)</f>
        <v>519</v>
      </c>
      <c r="O497" cm="1">
        <f t="array" ref="O497">IF($Q497&gt;=0,IFERROR(generateSalesData($D497, IF(ISNUMBER(_xlfn.XLOOKUP($C497,Phone_by_Sentiment!$B$2:$B$37,Phone_by_Sentiment!O$2:O$37,"",0,1)),_xlfn.XLOOKUP($C497,Phone_by_Sentiment!$B$2:$B$37,Phone_by_Sentiment!O$2:O$37,"",0,1),0),$A497-TEXT(DATEVALUE($D497&amp;"-01"), "dd-mm-yyyy")),0),0)</f>
        <v>204</v>
      </c>
      <c r="P497" s="1">
        <f t="shared" si="19"/>
        <v>43374</v>
      </c>
      <c r="Q497">
        <f t="shared" si="20"/>
        <v>517</v>
      </c>
    </row>
    <row r="498" spans="1:17" x14ac:dyDescent="0.25">
      <c r="A498" s="1">
        <f t="shared" si="18"/>
        <v>43891</v>
      </c>
      <c r="B498" t="s">
        <v>142</v>
      </c>
      <c r="C498" t="str">
        <f>_xlfn.XLOOKUP(B498,Phone_by_Price!$A$2:$A$34,Phone_by_Price!$B$2:$B$34,"-",0,1)</f>
        <v>iPhone 11</v>
      </c>
      <c r="D498" t="str">
        <f>_xlfn.XLOOKUP(C498,Phone_by_Sentiment!$B$2:$B$37,Phone_by_Sentiment!$A$2:$A$37,"-",0,1)</f>
        <v>2019-09</v>
      </c>
      <c r="E498" cm="1">
        <f t="array" ref="E498">IF($Q498&gt;=0,IFERROR(generateSalesData($D498, IF(ISNUMBER(_xlfn.XLOOKUP($C498,Phone_by_Sentiment!$B$2:$B$37,Phone_by_Sentiment!E$2:E$37,"",0,1)),_xlfn.XLOOKUP($C498,Phone_by_Sentiment!$B$2:$B$37,Phone_by_Sentiment!E$2:E$37,"",0,1),0),$A498-TEXT(DATEVALUE($D498&amp;"-01"), "dd-mm-yyyy")),0),0)</f>
        <v>1755</v>
      </c>
      <c r="F498" cm="1">
        <f t="array" ref="F498">IF($Q498&gt;=0,IFERROR(generateSalesData($D498, IF(ISNUMBER(_xlfn.XLOOKUP($C498,Phone_by_Sentiment!$B$2:$B$37,Phone_by_Sentiment!F$2:F$37,"",0,1)),_xlfn.XLOOKUP($C498,Phone_by_Sentiment!$B$2:$B$37,Phone_by_Sentiment!F$2:F$37,"",0,1),0),$A498-TEXT(DATEVALUE($D498&amp;"-01"), "dd-mm-yyyy")),0),0)</f>
        <v>-226</v>
      </c>
      <c r="G498" cm="1">
        <f t="array" ref="G498">IF($Q498&gt;=0,IFERROR(generateSalesData($D498, IF(ISNUMBER(_xlfn.XLOOKUP($C498,Phone_by_Sentiment!$B$2:$B$37,Phone_by_Sentiment!G$2:G$37,"",0,1)),_xlfn.XLOOKUP($C498,Phone_by_Sentiment!$B$2:$B$37,Phone_by_Sentiment!G$2:G$37,"",0,1),0),$A498-TEXT(DATEVALUE($D498&amp;"-01"), "dd-mm-yyyy")),0),0)</f>
        <v>150</v>
      </c>
      <c r="H498" cm="1">
        <f t="array" ref="H498">IF($Q498&gt;=0,IFERROR(generateSalesData($D498, IF(ISNUMBER(_xlfn.XLOOKUP($C498,Phone_by_Sentiment!$B$2:$B$37,Phone_by_Sentiment!H$2:H$37,"",0,1)),_xlfn.XLOOKUP($C498,Phone_by_Sentiment!$B$2:$B$37,Phone_by_Sentiment!H$2:H$37,"",0,1),0),$A498-TEXT(DATEVALUE($D498&amp;"-01"), "dd-mm-yyyy")),0),0)</f>
        <v>1026</v>
      </c>
      <c r="I498" cm="1">
        <f t="array" ref="I498">IF($Q498&gt;=0,IFERROR(generateSalesData($D498, IF(ISNUMBER(_xlfn.XLOOKUP($C498,Phone_by_Sentiment!$B$2:$B$37,Phone_by_Sentiment!I$2:I$37,"",0,1)),_xlfn.XLOOKUP($C498,Phone_by_Sentiment!$B$2:$B$37,Phone_by_Sentiment!I$2:I$37,"",0,1),0),$A498-TEXT(DATEVALUE($D498&amp;"-01"), "dd-mm-yyyy")),0),0)</f>
        <v>1786</v>
      </c>
      <c r="J498" cm="1">
        <f t="array" ref="J498">IF($Q498&gt;=0,IFERROR(generateSalesData($D498, IF(ISNUMBER(_xlfn.XLOOKUP($C498,Phone_by_Sentiment!$B$2:$B$37,Phone_by_Sentiment!J$2:J$37,"",0,1)),_xlfn.XLOOKUP($C498,Phone_by_Sentiment!$B$2:$B$37,Phone_by_Sentiment!J$2:J$37,"",0,1),0),$A498-TEXT(DATEVALUE($D498&amp;"-01"), "dd-mm-yyyy")),0),0)</f>
        <v>2334</v>
      </c>
      <c r="K498" cm="1">
        <f t="array" ref="K498">IF($Q498&gt;=0,IFERROR(generateSalesData($D498, IF(ISNUMBER(_xlfn.XLOOKUP($C498,Phone_by_Sentiment!$B$2:$B$37,Phone_by_Sentiment!K$2:K$37,"",0,1)),_xlfn.XLOOKUP($C498,Phone_by_Sentiment!$B$2:$B$37,Phone_by_Sentiment!K$2:K$37,"",0,1),0),$A498-TEXT(DATEVALUE($D498&amp;"-01"), "dd-mm-yyyy")),0),0)</f>
        <v>214</v>
      </c>
      <c r="L498" cm="1">
        <f t="array" ref="L498">IF($Q498&gt;=0,IFERROR(generateSalesData($D498, IF(ISNUMBER(_xlfn.XLOOKUP($C498,Phone_by_Sentiment!$B$2:$B$37,Phone_by_Sentiment!L$2:L$37,"",0,1)),_xlfn.XLOOKUP($C498,Phone_by_Sentiment!$B$2:$B$37,Phone_by_Sentiment!L$2:L$37,"",0,1),0),$A498-TEXT(DATEVALUE($D498&amp;"-01"), "dd-mm-yyyy")),0),0)</f>
        <v>1143</v>
      </c>
      <c r="M498" cm="1">
        <f t="array" ref="M498">IF($Q498&gt;=0,IFERROR(generateSalesData($D498, IF(ISNUMBER(_xlfn.XLOOKUP($C498,Phone_by_Sentiment!$B$2:$B$37,Phone_by_Sentiment!M$2:M$37,"",0,1)),_xlfn.XLOOKUP($C498,Phone_by_Sentiment!$B$2:$B$37,Phone_by_Sentiment!M$2:M$37,"",0,1),0),$A498-TEXT(DATEVALUE($D498&amp;"-01"), "dd-mm-yyyy")),0),0)</f>
        <v>503</v>
      </c>
      <c r="N498" cm="1">
        <f t="array" ref="N498">IF($Q498&gt;=0,IFERROR(generateSalesData($D498, IF(ISNUMBER(_xlfn.XLOOKUP($C498,Phone_by_Sentiment!$B$2:$B$37,Phone_by_Sentiment!N$2:N$37,"",0,1)),_xlfn.XLOOKUP($C498,Phone_by_Sentiment!$B$2:$B$37,Phone_by_Sentiment!N$2:N$37,"",0,1),0),$A498-TEXT(DATEVALUE($D498&amp;"-01"), "dd-mm-yyyy")),0),0)</f>
        <v>1625</v>
      </c>
      <c r="O498" cm="1">
        <f t="array" ref="O498">IF($Q498&gt;=0,IFERROR(generateSalesData($D498, IF(ISNUMBER(_xlfn.XLOOKUP($C498,Phone_by_Sentiment!$B$2:$B$37,Phone_by_Sentiment!O$2:O$37,"",0,1)),_xlfn.XLOOKUP($C498,Phone_by_Sentiment!$B$2:$B$37,Phone_by_Sentiment!O$2:O$37,"",0,1),0),$A498-TEXT(DATEVALUE($D498&amp;"-01"), "dd-mm-yyyy")),0),0)</f>
        <v>810</v>
      </c>
      <c r="P498" s="1">
        <f t="shared" si="19"/>
        <v>43709</v>
      </c>
      <c r="Q498">
        <f t="shared" si="20"/>
        <v>182</v>
      </c>
    </row>
    <row r="499" spans="1:17" x14ac:dyDescent="0.25">
      <c r="A499" s="1">
        <f t="shared" si="18"/>
        <v>43891</v>
      </c>
      <c r="B499" t="s">
        <v>143</v>
      </c>
      <c r="C499" t="str">
        <f>_xlfn.XLOOKUP(B499,Phone_by_Price!$A$2:$A$34,Phone_by_Price!$B$2:$B$34,"-",0,1)</f>
        <v>Samsung Galaxy S20 Ultra</v>
      </c>
      <c r="D499" t="str">
        <f>_xlfn.XLOOKUP(C499,Phone_by_Sentiment!$B$2:$B$37,Phone_by_Sentiment!$A$2:$A$37,"-",0,1)</f>
        <v>2020-02</v>
      </c>
      <c r="E499" cm="1">
        <f t="array" ref="E499">IF($Q499&gt;=0,IFERROR(generateSalesData($D499, IF(ISNUMBER(_xlfn.XLOOKUP($C499,Phone_by_Sentiment!$B$2:$B$37,Phone_by_Sentiment!E$2:E$37,"",0,1)),_xlfn.XLOOKUP($C499,Phone_by_Sentiment!$B$2:$B$37,Phone_by_Sentiment!E$2:E$37,"",0,1),0),$A499-TEXT(DATEVALUE($D499&amp;"-01"), "dd-mm-yyyy")),0),0)</f>
        <v>4854</v>
      </c>
      <c r="F499" cm="1">
        <f t="array" ref="F499">IF($Q499&gt;=0,IFERROR(generateSalesData($D499, IF(ISNUMBER(_xlfn.XLOOKUP($C499,Phone_by_Sentiment!$B$2:$B$37,Phone_by_Sentiment!F$2:F$37,"",0,1)),_xlfn.XLOOKUP($C499,Phone_by_Sentiment!$B$2:$B$37,Phone_by_Sentiment!F$2:F$37,"",0,1),0),$A499-TEXT(DATEVALUE($D499&amp;"-01"), "dd-mm-yyyy")),0),0)</f>
        <v>210</v>
      </c>
      <c r="G499" cm="1">
        <f t="array" ref="G499">IF($Q499&gt;=0,IFERROR(generateSalesData($D499, IF(ISNUMBER(_xlfn.XLOOKUP($C499,Phone_by_Sentiment!$B$2:$B$37,Phone_by_Sentiment!G$2:G$37,"",0,1)),_xlfn.XLOOKUP($C499,Phone_by_Sentiment!$B$2:$B$37,Phone_by_Sentiment!G$2:G$37,"",0,1),0),$A499-TEXT(DATEVALUE($D499&amp;"-01"), "dd-mm-yyyy")),0),0)</f>
        <v>377</v>
      </c>
      <c r="H499" cm="1">
        <f t="array" ref="H499">IF($Q499&gt;=0,IFERROR(generateSalesData($D499, IF(ISNUMBER(_xlfn.XLOOKUP($C499,Phone_by_Sentiment!$B$2:$B$37,Phone_by_Sentiment!H$2:H$37,"",0,1)),_xlfn.XLOOKUP($C499,Phone_by_Sentiment!$B$2:$B$37,Phone_by_Sentiment!H$2:H$37,"",0,1),0),$A499-TEXT(DATEVALUE($D499&amp;"-01"), "dd-mm-yyyy")),0),0)</f>
        <v>12374</v>
      </c>
      <c r="I499" cm="1">
        <f t="array" ref="I499">IF($Q499&gt;=0,IFERROR(generateSalesData($D499, IF(ISNUMBER(_xlfn.XLOOKUP($C499,Phone_by_Sentiment!$B$2:$B$37,Phone_by_Sentiment!I$2:I$37,"",0,1)),_xlfn.XLOOKUP($C499,Phone_by_Sentiment!$B$2:$B$37,Phone_by_Sentiment!I$2:I$37,"",0,1),0),$A499-TEXT(DATEVALUE($D499&amp;"-01"), "dd-mm-yyyy")),0),0)</f>
        <v>7139</v>
      </c>
      <c r="J499" cm="1">
        <f t="array" ref="J499">IF($Q499&gt;=0,IFERROR(generateSalesData($D499, IF(ISNUMBER(_xlfn.XLOOKUP($C499,Phone_by_Sentiment!$B$2:$B$37,Phone_by_Sentiment!J$2:J$37,"",0,1)),_xlfn.XLOOKUP($C499,Phone_by_Sentiment!$B$2:$B$37,Phone_by_Sentiment!J$2:J$37,"",0,1),0),$A499-TEXT(DATEVALUE($D499&amp;"-01"), "dd-mm-yyyy")),0),0)</f>
        <v>6821</v>
      </c>
      <c r="K499" cm="1">
        <f t="array" ref="K499">IF($Q499&gt;=0,IFERROR(generateSalesData($D499, IF(ISNUMBER(_xlfn.XLOOKUP($C499,Phone_by_Sentiment!$B$2:$B$37,Phone_by_Sentiment!K$2:K$37,"",0,1)),_xlfn.XLOOKUP($C499,Phone_by_Sentiment!$B$2:$B$37,Phone_by_Sentiment!K$2:K$37,"",0,1),0),$A499-TEXT(DATEVALUE($D499&amp;"-01"), "dd-mm-yyyy")),0),0)</f>
        <v>2335</v>
      </c>
      <c r="L499" cm="1">
        <f t="array" ref="L499">IF($Q499&gt;=0,IFERROR(generateSalesData($D499, IF(ISNUMBER(_xlfn.XLOOKUP($C499,Phone_by_Sentiment!$B$2:$B$37,Phone_by_Sentiment!L$2:L$37,"",0,1)),_xlfn.XLOOKUP($C499,Phone_by_Sentiment!$B$2:$B$37,Phone_by_Sentiment!L$2:L$37,"",0,1),0),$A499-TEXT(DATEVALUE($D499&amp;"-01"), "dd-mm-yyyy")),0),0)</f>
        <v>4960</v>
      </c>
      <c r="M499" cm="1">
        <f t="array" ref="M499">IF($Q499&gt;=0,IFERROR(generateSalesData($D499, IF(ISNUMBER(_xlfn.XLOOKUP($C499,Phone_by_Sentiment!$B$2:$B$37,Phone_by_Sentiment!M$2:M$37,"",0,1)),_xlfn.XLOOKUP($C499,Phone_by_Sentiment!$B$2:$B$37,Phone_by_Sentiment!M$2:M$37,"",0,1),0),$A499-TEXT(DATEVALUE($D499&amp;"-01"), "dd-mm-yyyy")),0),0)</f>
        <v>10715</v>
      </c>
      <c r="N499" cm="1">
        <f t="array" ref="N499">IF($Q499&gt;=0,IFERROR(generateSalesData($D499, IF(ISNUMBER(_xlfn.XLOOKUP($C499,Phone_by_Sentiment!$B$2:$B$37,Phone_by_Sentiment!N$2:N$37,"",0,1)),_xlfn.XLOOKUP($C499,Phone_by_Sentiment!$B$2:$B$37,Phone_by_Sentiment!N$2:N$37,"",0,1),0),$A499-TEXT(DATEVALUE($D499&amp;"-01"), "dd-mm-yyyy")),0),0)</f>
        <v>13265</v>
      </c>
      <c r="O499" cm="1">
        <f t="array" ref="O499">IF($Q499&gt;=0,IFERROR(generateSalesData($D499, IF(ISNUMBER(_xlfn.XLOOKUP($C499,Phone_by_Sentiment!$B$2:$B$37,Phone_by_Sentiment!O$2:O$37,"",0,1)),_xlfn.XLOOKUP($C499,Phone_by_Sentiment!$B$2:$B$37,Phone_by_Sentiment!O$2:O$37,"",0,1),0),$A499-TEXT(DATEVALUE($D499&amp;"-01"), "dd-mm-yyyy")),0),0)</f>
        <v>12358</v>
      </c>
      <c r="P499" s="1">
        <f t="shared" si="19"/>
        <v>43862</v>
      </c>
      <c r="Q499">
        <f t="shared" si="20"/>
        <v>29</v>
      </c>
    </row>
    <row r="500" spans="1:17" x14ac:dyDescent="0.25">
      <c r="A500" s="1">
        <f t="shared" si="18"/>
        <v>43891</v>
      </c>
      <c r="B500" t="s">
        <v>144</v>
      </c>
      <c r="C500" t="str">
        <f>_xlfn.XLOOKUP(B500,Phone_by_Price!$A$2:$A$34,Phone_by_Price!$B$2:$B$34,"-",0,1)</f>
        <v>Xiaomi Redmi Note 10</v>
      </c>
      <c r="D500" t="str">
        <f>_xlfn.XLOOKUP(C500,Phone_by_Sentiment!$B$2:$B$37,Phone_by_Sentiment!$A$2:$A$37,"-",0,1)</f>
        <v>2021-03</v>
      </c>
      <c r="E500" cm="1">
        <f t="array" ref="E500">IF($Q500&gt;=0,IFERROR(generateSalesData($D500, IF(ISNUMBER(_xlfn.XLOOKUP($C500,Phone_by_Sentiment!$B$2:$B$37,Phone_by_Sentiment!E$2:E$37,"",0,1)),_xlfn.XLOOKUP($C500,Phone_by_Sentiment!$B$2:$B$37,Phone_by_Sentiment!E$2:E$37,"",0,1),0),$A500-TEXT(DATEVALUE($D500&amp;"-01"), "dd-mm-yyyy")),0),0)</f>
        <v>0</v>
      </c>
      <c r="F500" cm="1">
        <f t="array" ref="F500">IF($Q500&gt;=0,IFERROR(generateSalesData($D500, IF(ISNUMBER(_xlfn.XLOOKUP($C500,Phone_by_Sentiment!$B$2:$B$37,Phone_by_Sentiment!F$2:F$37,"",0,1)),_xlfn.XLOOKUP($C500,Phone_by_Sentiment!$B$2:$B$37,Phone_by_Sentiment!F$2:F$37,"",0,1),0),$A500-TEXT(DATEVALUE($D500&amp;"-01"), "dd-mm-yyyy")),0),0)</f>
        <v>0</v>
      </c>
      <c r="G500" cm="1">
        <f t="array" ref="G500">IF($Q500&gt;=0,IFERROR(generateSalesData($D500, IF(ISNUMBER(_xlfn.XLOOKUP($C500,Phone_by_Sentiment!$B$2:$B$37,Phone_by_Sentiment!G$2:G$37,"",0,1)),_xlfn.XLOOKUP($C500,Phone_by_Sentiment!$B$2:$B$37,Phone_by_Sentiment!G$2:G$37,"",0,1),0),$A500-TEXT(DATEVALUE($D500&amp;"-01"), "dd-mm-yyyy")),0),0)</f>
        <v>0</v>
      </c>
      <c r="H500" cm="1">
        <f t="array" ref="H500">IF($Q500&gt;=0,IFERROR(generateSalesData($D500, IF(ISNUMBER(_xlfn.XLOOKUP($C500,Phone_by_Sentiment!$B$2:$B$37,Phone_by_Sentiment!H$2:H$37,"",0,1)),_xlfn.XLOOKUP($C500,Phone_by_Sentiment!$B$2:$B$37,Phone_by_Sentiment!H$2:H$37,"",0,1),0),$A500-TEXT(DATEVALUE($D500&amp;"-01"), "dd-mm-yyyy")),0),0)</f>
        <v>0</v>
      </c>
      <c r="I500" cm="1">
        <f t="array" ref="I500">IF($Q500&gt;=0,IFERROR(generateSalesData($D500, IF(ISNUMBER(_xlfn.XLOOKUP($C500,Phone_by_Sentiment!$B$2:$B$37,Phone_by_Sentiment!I$2:I$37,"",0,1)),_xlfn.XLOOKUP($C500,Phone_by_Sentiment!$B$2:$B$37,Phone_by_Sentiment!I$2:I$37,"",0,1),0),$A500-TEXT(DATEVALUE($D500&amp;"-01"), "dd-mm-yyyy")),0),0)</f>
        <v>0</v>
      </c>
      <c r="J500" cm="1">
        <f t="array" ref="J500">IF($Q500&gt;=0,IFERROR(generateSalesData($D500, IF(ISNUMBER(_xlfn.XLOOKUP($C500,Phone_by_Sentiment!$B$2:$B$37,Phone_by_Sentiment!J$2:J$37,"",0,1)),_xlfn.XLOOKUP($C500,Phone_by_Sentiment!$B$2:$B$37,Phone_by_Sentiment!J$2:J$37,"",0,1),0),$A500-TEXT(DATEVALUE($D500&amp;"-01"), "dd-mm-yyyy")),0),0)</f>
        <v>0</v>
      </c>
      <c r="K500" cm="1">
        <f t="array" ref="K500">IF($Q500&gt;=0,IFERROR(generateSalesData($D500, IF(ISNUMBER(_xlfn.XLOOKUP($C500,Phone_by_Sentiment!$B$2:$B$37,Phone_by_Sentiment!K$2:K$37,"",0,1)),_xlfn.XLOOKUP($C500,Phone_by_Sentiment!$B$2:$B$37,Phone_by_Sentiment!K$2:K$37,"",0,1),0),$A500-TEXT(DATEVALUE($D500&amp;"-01"), "dd-mm-yyyy")),0),0)</f>
        <v>0</v>
      </c>
      <c r="L500" cm="1">
        <f t="array" ref="L500">IF($Q500&gt;=0,IFERROR(generateSalesData($D500, IF(ISNUMBER(_xlfn.XLOOKUP($C500,Phone_by_Sentiment!$B$2:$B$37,Phone_by_Sentiment!L$2:L$37,"",0,1)),_xlfn.XLOOKUP($C500,Phone_by_Sentiment!$B$2:$B$37,Phone_by_Sentiment!L$2:L$37,"",0,1),0),$A500-TEXT(DATEVALUE($D500&amp;"-01"), "dd-mm-yyyy")),0),0)</f>
        <v>0</v>
      </c>
      <c r="M500" cm="1">
        <f t="array" ref="M500">IF($Q500&gt;=0,IFERROR(generateSalesData($D500, IF(ISNUMBER(_xlfn.XLOOKUP($C500,Phone_by_Sentiment!$B$2:$B$37,Phone_by_Sentiment!M$2:M$37,"",0,1)),_xlfn.XLOOKUP($C500,Phone_by_Sentiment!$B$2:$B$37,Phone_by_Sentiment!M$2:M$37,"",0,1),0),$A500-TEXT(DATEVALUE($D500&amp;"-01"), "dd-mm-yyyy")),0),0)</f>
        <v>0</v>
      </c>
      <c r="N500" cm="1">
        <f t="array" ref="N500">IF($Q500&gt;=0,IFERROR(generateSalesData($D500, IF(ISNUMBER(_xlfn.XLOOKUP($C500,Phone_by_Sentiment!$B$2:$B$37,Phone_by_Sentiment!N$2:N$37,"",0,1)),_xlfn.XLOOKUP($C500,Phone_by_Sentiment!$B$2:$B$37,Phone_by_Sentiment!N$2:N$37,"",0,1),0),$A500-TEXT(DATEVALUE($D500&amp;"-01"), "dd-mm-yyyy")),0),0)</f>
        <v>0</v>
      </c>
      <c r="O500" cm="1">
        <f t="array" ref="O500">IF($Q500&gt;=0,IFERROR(generateSalesData($D500, IF(ISNUMBER(_xlfn.XLOOKUP($C500,Phone_by_Sentiment!$B$2:$B$37,Phone_by_Sentiment!O$2:O$37,"",0,1)),_xlfn.XLOOKUP($C500,Phone_by_Sentiment!$B$2:$B$37,Phone_by_Sentiment!O$2:O$37,"",0,1),0),$A500-TEXT(DATEVALUE($D500&amp;"-01"), "dd-mm-yyyy")),0),0)</f>
        <v>0</v>
      </c>
      <c r="P500" s="1">
        <f t="shared" si="19"/>
        <v>44256</v>
      </c>
      <c r="Q500">
        <f t="shared" si="20"/>
        <v>-365</v>
      </c>
    </row>
    <row r="501" spans="1:17" x14ac:dyDescent="0.25">
      <c r="A501" s="1">
        <f t="shared" si="18"/>
        <v>43891</v>
      </c>
      <c r="B501" t="s">
        <v>145</v>
      </c>
      <c r="C501" t="str">
        <f>_xlfn.XLOOKUP(B501,Phone_by_Price!$A$2:$A$34,Phone_by_Price!$B$2:$B$34,"-",0,1)</f>
        <v>OPPO A54</v>
      </c>
      <c r="D501" t="str">
        <f>_xlfn.XLOOKUP(C501,Phone_by_Sentiment!$B$2:$B$37,Phone_by_Sentiment!$A$2:$A$37,"-",0,1)</f>
        <v>2021-04</v>
      </c>
      <c r="E501" cm="1">
        <f t="array" ref="E501">IF($Q501&gt;=0,IFERROR(generateSalesData($D501, IF(ISNUMBER(_xlfn.XLOOKUP($C501,Phone_by_Sentiment!$B$2:$B$37,Phone_by_Sentiment!E$2:E$37,"",0,1)),_xlfn.XLOOKUP($C501,Phone_by_Sentiment!$B$2:$B$37,Phone_by_Sentiment!E$2:E$37,"",0,1),0),$A501-TEXT(DATEVALUE($D501&amp;"-01"), "dd-mm-yyyy")),0),0)</f>
        <v>0</v>
      </c>
      <c r="F501" cm="1">
        <f t="array" ref="F501">IF($Q501&gt;=0,IFERROR(generateSalesData($D501, IF(ISNUMBER(_xlfn.XLOOKUP($C501,Phone_by_Sentiment!$B$2:$B$37,Phone_by_Sentiment!F$2:F$37,"",0,1)),_xlfn.XLOOKUP($C501,Phone_by_Sentiment!$B$2:$B$37,Phone_by_Sentiment!F$2:F$37,"",0,1),0),$A501-TEXT(DATEVALUE($D501&amp;"-01"), "dd-mm-yyyy")),0),0)</f>
        <v>0</v>
      </c>
      <c r="G501" cm="1">
        <f t="array" ref="G501">IF($Q501&gt;=0,IFERROR(generateSalesData($D501, IF(ISNUMBER(_xlfn.XLOOKUP($C501,Phone_by_Sentiment!$B$2:$B$37,Phone_by_Sentiment!G$2:G$37,"",0,1)),_xlfn.XLOOKUP($C501,Phone_by_Sentiment!$B$2:$B$37,Phone_by_Sentiment!G$2:G$37,"",0,1),0),$A501-TEXT(DATEVALUE($D501&amp;"-01"), "dd-mm-yyyy")),0),0)</f>
        <v>0</v>
      </c>
      <c r="H501" cm="1">
        <f t="array" ref="H501">IF($Q501&gt;=0,IFERROR(generateSalesData($D501, IF(ISNUMBER(_xlfn.XLOOKUP($C501,Phone_by_Sentiment!$B$2:$B$37,Phone_by_Sentiment!H$2:H$37,"",0,1)),_xlfn.XLOOKUP($C501,Phone_by_Sentiment!$B$2:$B$37,Phone_by_Sentiment!H$2:H$37,"",0,1),0),$A501-TEXT(DATEVALUE($D501&amp;"-01"), "dd-mm-yyyy")),0),0)</f>
        <v>0</v>
      </c>
      <c r="I501" cm="1">
        <f t="array" ref="I501">IF($Q501&gt;=0,IFERROR(generateSalesData($D501, IF(ISNUMBER(_xlfn.XLOOKUP($C501,Phone_by_Sentiment!$B$2:$B$37,Phone_by_Sentiment!I$2:I$37,"",0,1)),_xlfn.XLOOKUP($C501,Phone_by_Sentiment!$B$2:$B$37,Phone_by_Sentiment!I$2:I$37,"",0,1),0),$A501-TEXT(DATEVALUE($D501&amp;"-01"), "dd-mm-yyyy")),0),0)</f>
        <v>0</v>
      </c>
      <c r="J501" cm="1">
        <f t="array" ref="J501">IF($Q501&gt;=0,IFERROR(generateSalesData($D501, IF(ISNUMBER(_xlfn.XLOOKUP($C501,Phone_by_Sentiment!$B$2:$B$37,Phone_by_Sentiment!J$2:J$37,"",0,1)),_xlfn.XLOOKUP($C501,Phone_by_Sentiment!$B$2:$B$37,Phone_by_Sentiment!J$2:J$37,"",0,1),0),$A501-TEXT(DATEVALUE($D501&amp;"-01"), "dd-mm-yyyy")),0),0)</f>
        <v>0</v>
      </c>
      <c r="K501" cm="1">
        <f t="array" ref="K501">IF($Q501&gt;=0,IFERROR(generateSalesData($D501, IF(ISNUMBER(_xlfn.XLOOKUP($C501,Phone_by_Sentiment!$B$2:$B$37,Phone_by_Sentiment!K$2:K$37,"",0,1)),_xlfn.XLOOKUP($C501,Phone_by_Sentiment!$B$2:$B$37,Phone_by_Sentiment!K$2:K$37,"",0,1),0),$A501-TEXT(DATEVALUE($D501&amp;"-01"), "dd-mm-yyyy")),0),0)</f>
        <v>0</v>
      </c>
      <c r="L501" cm="1">
        <f t="array" ref="L501">IF($Q501&gt;=0,IFERROR(generateSalesData($D501, IF(ISNUMBER(_xlfn.XLOOKUP($C501,Phone_by_Sentiment!$B$2:$B$37,Phone_by_Sentiment!L$2:L$37,"",0,1)),_xlfn.XLOOKUP($C501,Phone_by_Sentiment!$B$2:$B$37,Phone_by_Sentiment!L$2:L$37,"",0,1),0),$A501-TEXT(DATEVALUE($D501&amp;"-01"), "dd-mm-yyyy")),0),0)</f>
        <v>0</v>
      </c>
      <c r="M501" cm="1">
        <f t="array" ref="M501">IF($Q501&gt;=0,IFERROR(generateSalesData($D501, IF(ISNUMBER(_xlfn.XLOOKUP($C501,Phone_by_Sentiment!$B$2:$B$37,Phone_by_Sentiment!M$2:M$37,"",0,1)),_xlfn.XLOOKUP($C501,Phone_by_Sentiment!$B$2:$B$37,Phone_by_Sentiment!M$2:M$37,"",0,1),0),$A501-TEXT(DATEVALUE($D501&amp;"-01"), "dd-mm-yyyy")),0),0)</f>
        <v>0</v>
      </c>
      <c r="N501" cm="1">
        <f t="array" ref="N501">IF($Q501&gt;=0,IFERROR(generateSalesData($D501, IF(ISNUMBER(_xlfn.XLOOKUP($C501,Phone_by_Sentiment!$B$2:$B$37,Phone_by_Sentiment!N$2:N$37,"",0,1)),_xlfn.XLOOKUP($C501,Phone_by_Sentiment!$B$2:$B$37,Phone_by_Sentiment!N$2:N$37,"",0,1),0),$A501-TEXT(DATEVALUE($D501&amp;"-01"), "dd-mm-yyyy")),0),0)</f>
        <v>0</v>
      </c>
      <c r="O501" cm="1">
        <f t="array" ref="O501">IF($Q501&gt;=0,IFERROR(generateSalesData($D501, IF(ISNUMBER(_xlfn.XLOOKUP($C501,Phone_by_Sentiment!$B$2:$B$37,Phone_by_Sentiment!O$2:O$37,"",0,1)),_xlfn.XLOOKUP($C501,Phone_by_Sentiment!$B$2:$B$37,Phone_by_Sentiment!O$2:O$37,"",0,1),0),$A501-TEXT(DATEVALUE($D501&amp;"-01"), "dd-mm-yyyy")),0),0)</f>
        <v>0</v>
      </c>
      <c r="P501" s="1">
        <f t="shared" si="19"/>
        <v>44287</v>
      </c>
      <c r="Q501">
        <f t="shared" si="20"/>
        <v>-396</v>
      </c>
    </row>
    <row r="502" spans="1:17" x14ac:dyDescent="0.25">
      <c r="A502" s="1">
        <f t="shared" si="18"/>
        <v>43891</v>
      </c>
      <c r="B502" t="s">
        <v>146</v>
      </c>
      <c r="C502" t="str">
        <f>_xlfn.XLOOKUP(B502,Phone_by_Price!$A$2:$A$34,Phone_by_Price!$B$2:$B$34,"-",0,1)</f>
        <v>Vivo Y20</v>
      </c>
      <c r="D502" t="str">
        <f>_xlfn.XLOOKUP(C502,Phone_by_Sentiment!$B$2:$B$37,Phone_by_Sentiment!$A$2:$A$37,"-",0,1)</f>
        <v>2020-09</v>
      </c>
      <c r="E502" cm="1">
        <f t="array" ref="E502">IF($Q502&gt;=0,IFERROR(generateSalesData($D502, IF(ISNUMBER(_xlfn.XLOOKUP($C502,Phone_by_Sentiment!$B$2:$B$37,Phone_by_Sentiment!E$2:E$37,"",0,1)),_xlfn.XLOOKUP($C502,Phone_by_Sentiment!$B$2:$B$37,Phone_by_Sentiment!E$2:E$37,"",0,1),0),$A502-TEXT(DATEVALUE($D502&amp;"-01"), "dd-mm-yyyy")),0),0)</f>
        <v>0</v>
      </c>
      <c r="F502" cm="1">
        <f t="array" ref="F502">IF($Q502&gt;=0,IFERROR(generateSalesData($D502, IF(ISNUMBER(_xlfn.XLOOKUP($C502,Phone_by_Sentiment!$B$2:$B$37,Phone_by_Sentiment!F$2:F$37,"",0,1)),_xlfn.XLOOKUP($C502,Phone_by_Sentiment!$B$2:$B$37,Phone_by_Sentiment!F$2:F$37,"",0,1),0),$A502-TEXT(DATEVALUE($D502&amp;"-01"), "dd-mm-yyyy")),0),0)</f>
        <v>0</v>
      </c>
      <c r="G502" cm="1">
        <f t="array" ref="G502">IF($Q502&gt;=0,IFERROR(generateSalesData($D502, IF(ISNUMBER(_xlfn.XLOOKUP($C502,Phone_by_Sentiment!$B$2:$B$37,Phone_by_Sentiment!G$2:G$37,"",0,1)),_xlfn.XLOOKUP($C502,Phone_by_Sentiment!$B$2:$B$37,Phone_by_Sentiment!G$2:G$37,"",0,1),0),$A502-TEXT(DATEVALUE($D502&amp;"-01"), "dd-mm-yyyy")),0),0)</f>
        <v>0</v>
      </c>
      <c r="H502" cm="1">
        <f t="array" ref="H502">IF($Q502&gt;=0,IFERROR(generateSalesData($D502, IF(ISNUMBER(_xlfn.XLOOKUP($C502,Phone_by_Sentiment!$B$2:$B$37,Phone_by_Sentiment!H$2:H$37,"",0,1)),_xlfn.XLOOKUP($C502,Phone_by_Sentiment!$B$2:$B$37,Phone_by_Sentiment!H$2:H$37,"",0,1),0),$A502-TEXT(DATEVALUE($D502&amp;"-01"), "dd-mm-yyyy")),0),0)</f>
        <v>0</v>
      </c>
      <c r="I502" cm="1">
        <f t="array" ref="I502">IF($Q502&gt;=0,IFERROR(generateSalesData($D502, IF(ISNUMBER(_xlfn.XLOOKUP($C502,Phone_by_Sentiment!$B$2:$B$37,Phone_by_Sentiment!I$2:I$37,"",0,1)),_xlfn.XLOOKUP($C502,Phone_by_Sentiment!$B$2:$B$37,Phone_by_Sentiment!I$2:I$37,"",0,1),0),$A502-TEXT(DATEVALUE($D502&amp;"-01"), "dd-mm-yyyy")),0),0)</f>
        <v>0</v>
      </c>
      <c r="J502" cm="1">
        <f t="array" ref="J502">IF($Q502&gt;=0,IFERROR(generateSalesData($D502, IF(ISNUMBER(_xlfn.XLOOKUP($C502,Phone_by_Sentiment!$B$2:$B$37,Phone_by_Sentiment!J$2:J$37,"",0,1)),_xlfn.XLOOKUP($C502,Phone_by_Sentiment!$B$2:$B$37,Phone_by_Sentiment!J$2:J$37,"",0,1),0),$A502-TEXT(DATEVALUE($D502&amp;"-01"), "dd-mm-yyyy")),0),0)</f>
        <v>0</v>
      </c>
      <c r="K502" cm="1">
        <f t="array" ref="K502">IF($Q502&gt;=0,IFERROR(generateSalesData($D502, IF(ISNUMBER(_xlfn.XLOOKUP($C502,Phone_by_Sentiment!$B$2:$B$37,Phone_by_Sentiment!K$2:K$37,"",0,1)),_xlfn.XLOOKUP($C502,Phone_by_Sentiment!$B$2:$B$37,Phone_by_Sentiment!K$2:K$37,"",0,1),0),$A502-TEXT(DATEVALUE($D502&amp;"-01"), "dd-mm-yyyy")),0),0)</f>
        <v>0</v>
      </c>
      <c r="L502" cm="1">
        <f t="array" ref="L502">IF($Q502&gt;=0,IFERROR(generateSalesData($D502, IF(ISNUMBER(_xlfn.XLOOKUP($C502,Phone_by_Sentiment!$B$2:$B$37,Phone_by_Sentiment!L$2:L$37,"",0,1)),_xlfn.XLOOKUP($C502,Phone_by_Sentiment!$B$2:$B$37,Phone_by_Sentiment!L$2:L$37,"",0,1),0),$A502-TEXT(DATEVALUE($D502&amp;"-01"), "dd-mm-yyyy")),0),0)</f>
        <v>0</v>
      </c>
      <c r="M502" cm="1">
        <f t="array" ref="M502">IF($Q502&gt;=0,IFERROR(generateSalesData($D502, IF(ISNUMBER(_xlfn.XLOOKUP($C502,Phone_by_Sentiment!$B$2:$B$37,Phone_by_Sentiment!M$2:M$37,"",0,1)),_xlfn.XLOOKUP($C502,Phone_by_Sentiment!$B$2:$B$37,Phone_by_Sentiment!M$2:M$37,"",0,1),0),$A502-TEXT(DATEVALUE($D502&amp;"-01"), "dd-mm-yyyy")),0),0)</f>
        <v>0</v>
      </c>
      <c r="N502" cm="1">
        <f t="array" ref="N502">IF($Q502&gt;=0,IFERROR(generateSalesData($D502, IF(ISNUMBER(_xlfn.XLOOKUP($C502,Phone_by_Sentiment!$B$2:$B$37,Phone_by_Sentiment!N$2:N$37,"",0,1)),_xlfn.XLOOKUP($C502,Phone_by_Sentiment!$B$2:$B$37,Phone_by_Sentiment!N$2:N$37,"",0,1),0),$A502-TEXT(DATEVALUE($D502&amp;"-01"), "dd-mm-yyyy")),0),0)</f>
        <v>0</v>
      </c>
      <c r="O502" cm="1">
        <f t="array" ref="O502">IF($Q502&gt;=0,IFERROR(generateSalesData($D502, IF(ISNUMBER(_xlfn.XLOOKUP($C502,Phone_by_Sentiment!$B$2:$B$37,Phone_by_Sentiment!O$2:O$37,"",0,1)),_xlfn.XLOOKUP($C502,Phone_by_Sentiment!$B$2:$B$37,Phone_by_Sentiment!O$2:O$37,"",0,1),0),$A502-TEXT(DATEVALUE($D502&amp;"-01"), "dd-mm-yyyy")),0),0)</f>
        <v>0</v>
      </c>
      <c r="P502" s="1">
        <f t="shared" si="19"/>
        <v>44075</v>
      </c>
      <c r="Q502">
        <f t="shared" si="20"/>
        <v>-184</v>
      </c>
    </row>
    <row r="503" spans="1:17" x14ac:dyDescent="0.25">
      <c r="A503" s="1">
        <f t="shared" si="18"/>
        <v>43891</v>
      </c>
      <c r="B503" t="s">
        <v>147</v>
      </c>
      <c r="C503" t="str">
        <f>_xlfn.XLOOKUP(B503,Phone_by_Price!$A$2:$A$34,Phone_by_Price!$B$2:$B$34,"-",0,1)</f>
        <v>Huawei Y9a</v>
      </c>
      <c r="D503" t="str">
        <f>_xlfn.XLOOKUP(C503,Phone_by_Sentiment!$B$2:$B$37,Phone_by_Sentiment!$A$2:$A$37,"-",0,1)</f>
        <v>2020-02</v>
      </c>
      <c r="E503" cm="1">
        <f t="array" ref="E503">IF($Q503&gt;=0,IFERROR(generateSalesData($D503, IF(ISNUMBER(_xlfn.XLOOKUP($C503,Phone_by_Sentiment!$B$2:$B$37,Phone_by_Sentiment!E$2:E$37,"",0,1)),_xlfn.XLOOKUP($C503,Phone_by_Sentiment!$B$2:$B$37,Phone_by_Sentiment!E$2:E$37,"",0,1),0),$A503-TEXT(DATEVALUE($D503&amp;"-01"), "dd-mm-yyyy")),0),0)</f>
        <v>9613</v>
      </c>
      <c r="F503" cm="1">
        <f t="array" ref="F503">IF($Q503&gt;=0,IFERROR(generateSalesData($D503, IF(ISNUMBER(_xlfn.XLOOKUP($C503,Phone_by_Sentiment!$B$2:$B$37,Phone_by_Sentiment!F$2:F$37,"",0,1)),_xlfn.XLOOKUP($C503,Phone_by_Sentiment!$B$2:$B$37,Phone_by_Sentiment!F$2:F$37,"",0,1),0),$A503-TEXT(DATEVALUE($D503&amp;"-01"), "dd-mm-yyyy")),0),0)</f>
        <v>4997</v>
      </c>
      <c r="G503" cm="1">
        <f t="array" ref="G503">IF($Q503&gt;=0,IFERROR(generateSalesData($D503, IF(ISNUMBER(_xlfn.XLOOKUP($C503,Phone_by_Sentiment!$B$2:$B$37,Phone_by_Sentiment!G$2:G$37,"",0,1)),_xlfn.XLOOKUP($C503,Phone_by_Sentiment!$B$2:$B$37,Phone_by_Sentiment!G$2:G$37,"",0,1),0),$A503-TEXT(DATEVALUE($D503&amp;"-01"), "dd-mm-yyyy")),0),0)</f>
        <v>3041</v>
      </c>
      <c r="H503" cm="1">
        <f t="array" ref="H503">IF($Q503&gt;=0,IFERROR(generateSalesData($D503, IF(ISNUMBER(_xlfn.XLOOKUP($C503,Phone_by_Sentiment!$B$2:$B$37,Phone_by_Sentiment!H$2:H$37,"",0,1)),_xlfn.XLOOKUP($C503,Phone_by_Sentiment!$B$2:$B$37,Phone_by_Sentiment!H$2:H$37,"",0,1),0),$A503-TEXT(DATEVALUE($D503&amp;"-01"), "dd-mm-yyyy")),0),0)</f>
        <v>3448</v>
      </c>
      <c r="I503" cm="1">
        <f t="array" ref="I503">IF($Q503&gt;=0,IFERROR(generateSalesData($D503, IF(ISNUMBER(_xlfn.XLOOKUP($C503,Phone_by_Sentiment!$B$2:$B$37,Phone_by_Sentiment!I$2:I$37,"",0,1)),_xlfn.XLOOKUP($C503,Phone_by_Sentiment!$B$2:$B$37,Phone_by_Sentiment!I$2:I$37,"",0,1),0),$A503-TEXT(DATEVALUE($D503&amp;"-01"), "dd-mm-yyyy")),0),0)</f>
        <v>2244</v>
      </c>
      <c r="J503" cm="1">
        <f t="array" ref="J503">IF($Q503&gt;=0,IFERROR(generateSalesData($D503, IF(ISNUMBER(_xlfn.XLOOKUP($C503,Phone_by_Sentiment!$B$2:$B$37,Phone_by_Sentiment!J$2:J$37,"",0,1)),_xlfn.XLOOKUP($C503,Phone_by_Sentiment!$B$2:$B$37,Phone_by_Sentiment!J$2:J$37,"",0,1),0),$A503-TEXT(DATEVALUE($D503&amp;"-01"), "dd-mm-yyyy")),0),0)</f>
        <v>1088</v>
      </c>
      <c r="K503" cm="1">
        <f t="array" ref="K503">IF($Q503&gt;=0,IFERROR(generateSalesData($D503, IF(ISNUMBER(_xlfn.XLOOKUP($C503,Phone_by_Sentiment!$B$2:$B$37,Phone_by_Sentiment!K$2:K$37,"",0,1)),_xlfn.XLOOKUP($C503,Phone_by_Sentiment!$B$2:$B$37,Phone_by_Sentiment!K$2:K$37,"",0,1),0),$A503-TEXT(DATEVALUE($D503&amp;"-01"), "dd-mm-yyyy")),0),0)</f>
        <v>2975</v>
      </c>
      <c r="L503" cm="1">
        <f t="array" ref="L503">IF($Q503&gt;=0,IFERROR(generateSalesData($D503, IF(ISNUMBER(_xlfn.XLOOKUP($C503,Phone_by_Sentiment!$B$2:$B$37,Phone_by_Sentiment!L$2:L$37,"",0,1)),_xlfn.XLOOKUP($C503,Phone_by_Sentiment!$B$2:$B$37,Phone_by_Sentiment!L$2:L$37,"",0,1),0),$A503-TEXT(DATEVALUE($D503&amp;"-01"), "dd-mm-yyyy")),0),0)</f>
        <v>2047</v>
      </c>
      <c r="M503" cm="1">
        <f t="array" ref="M503">IF($Q503&gt;=0,IFERROR(generateSalesData($D503, IF(ISNUMBER(_xlfn.XLOOKUP($C503,Phone_by_Sentiment!$B$2:$B$37,Phone_by_Sentiment!M$2:M$37,"",0,1)),_xlfn.XLOOKUP($C503,Phone_by_Sentiment!$B$2:$B$37,Phone_by_Sentiment!M$2:M$37,"",0,1),0),$A503-TEXT(DATEVALUE($D503&amp;"-01"), "dd-mm-yyyy")),0),0)</f>
        <v>3130</v>
      </c>
      <c r="N503" cm="1">
        <f t="array" ref="N503">IF($Q503&gt;=0,IFERROR(generateSalesData($D503, IF(ISNUMBER(_xlfn.XLOOKUP($C503,Phone_by_Sentiment!$B$2:$B$37,Phone_by_Sentiment!N$2:N$37,"",0,1)),_xlfn.XLOOKUP($C503,Phone_by_Sentiment!$B$2:$B$37,Phone_by_Sentiment!N$2:N$37,"",0,1),0),$A503-TEXT(DATEVALUE($D503&amp;"-01"), "dd-mm-yyyy")),0),0)</f>
        <v>2078</v>
      </c>
      <c r="O503" cm="1">
        <f t="array" ref="O503">IF($Q503&gt;=0,IFERROR(generateSalesData($D503, IF(ISNUMBER(_xlfn.XLOOKUP($C503,Phone_by_Sentiment!$B$2:$B$37,Phone_by_Sentiment!O$2:O$37,"",0,1)),_xlfn.XLOOKUP($C503,Phone_by_Sentiment!$B$2:$B$37,Phone_by_Sentiment!O$2:O$37,"",0,1),0),$A503-TEXT(DATEVALUE($D503&amp;"-01"), "dd-mm-yyyy")),0),0)</f>
        <v>3673</v>
      </c>
      <c r="P503" s="1">
        <f t="shared" si="19"/>
        <v>43862</v>
      </c>
      <c r="Q503">
        <f t="shared" si="20"/>
        <v>29</v>
      </c>
    </row>
    <row r="504" spans="1:17" x14ac:dyDescent="0.25">
      <c r="A504" s="1">
        <f t="shared" si="18"/>
        <v>43891</v>
      </c>
      <c r="B504" t="s">
        <v>148</v>
      </c>
      <c r="C504" t="str">
        <f>_xlfn.XLOOKUP(B504,Phone_by_Price!$A$2:$A$34,Phone_by_Price!$B$2:$B$34,"-",0,1)</f>
        <v>Xiaomi Redmi 10</v>
      </c>
      <c r="D504" t="str">
        <f>_xlfn.XLOOKUP(C504,Phone_by_Sentiment!$B$2:$B$37,Phone_by_Sentiment!$A$2:$A$37,"-",0,1)</f>
        <v>2021-03</v>
      </c>
      <c r="E504" cm="1">
        <f t="array" ref="E504">IF($Q504&gt;=0,IFERROR(generateSalesData($D504, IF(ISNUMBER(_xlfn.XLOOKUP($C504,Phone_by_Sentiment!$B$2:$B$37,Phone_by_Sentiment!E$2:E$37,"",0,1)),_xlfn.XLOOKUP($C504,Phone_by_Sentiment!$B$2:$B$37,Phone_by_Sentiment!E$2:E$37,"",0,1),0),$A504-TEXT(DATEVALUE($D504&amp;"-01"), "dd-mm-yyyy")),0),0)</f>
        <v>0</v>
      </c>
      <c r="F504" cm="1">
        <f t="array" ref="F504">IF($Q504&gt;=0,IFERROR(generateSalesData($D504, IF(ISNUMBER(_xlfn.XLOOKUP($C504,Phone_by_Sentiment!$B$2:$B$37,Phone_by_Sentiment!F$2:F$37,"",0,1)),_xlfn.XLOOKUP($C504,Phone_by_Sentiment!$B$2:$B$37,Phone_by_Sentiment!F$2:F$37,"",0,1),0),$A504-TEXT(DATEVALUE($D504&amp;"-01"), "dd-mm-yyyy")),0),0)</f>
        <v>0</v>
      </c>
      <c r="G504" cm="1">
        <f t="array" ref="G504">IF($Q504&gt;=0,IFERROR(generateSalesData($D504, IF(ISNUMBER(_xlfn.XLOOKUP($C504,Phone_by_Sentiment!$B$2:$B$37,Phone_by_Sentiment!G$2:G$37,"",0,1)),_xlfn.XLOOKUP($C504,Phone_by_Sentiment!$B$2:$B$37,Phone_by_Sentiment!G$2:G$37,"",0,1),0),$A504-TEXT(DATEVALUE($D504&amp;"-01"), "dd-mm-yyyy")),0),0)</f>
        <v>0</v>
      </c>
      <c r="H504" cm="1">
        <f t="array" ref="H504">IF($Q504&gt;=0,IFERROR(generateSalesData($D504, IF(ISNUMBER(_xlfn.XLOOKUP($C504,Phone_by_Sentiment!$B$2:$B$37,Phone_by_Sentiment!H$2:H$37,"",0,1)),_xlfn.XLOOKUP($C504,Phone_by_Sentiment!$B$2:$B$37,Phone_by_Sentiment!H$2:H$37,"",0,1),0),$A504-TEXT(DATEVALUE($D504&amp;"-01"), "dd-mm-yyyy")),0),0)</f>
        <v>0</v>
      </c>
      <c r="I504" cm="1">
        <f t="array" ref="I504">IF($Q504&gt;=0,IFERROR(generateSalesData($D504, IF(ISNUMBER(_xlfn.XLOOKUP($C504,Phone_by_Sentiment!$B$2:$B$37,Phone_by_Sentiment!I$2:I$37,"",0,1)),_xlfn.XLOOKUP($C504,Phone_by_Sentiment!$B$2:$B$37,Phone_by_Sentiment!I$2:I$37,"",0,1),0),$A504-TEXT(DATEVALUE($D504&amp;"-01"), "dd-mm-yyyy")),0),0)</f>
        <v>0</v>
      </c>
      <c r="J504" cm="1">
        <f t="array" ref="J504">IF($Q504&gt;=0,IFERROR(generateSalesData($D504, IF(ISNUMBER(_xlfn.XLOOKUP($C504,Phone_by_Sentiment!$B$2:$B$37,Phone_by_Sentiment!J$2:J$37,"",0,1)),_xlfn.XLOOKUP($C504,Phone_by_Sentiment!$B$2:$B$37,Phone_by_Sentiment!J$2:J$37,"",0,1),0),$A504-TEXT(DATEVALUE($D504&amp;"-01"), "dd-mm-yyyy")),0),0)</f>
        <v>0</v>
      </c>
      <c r="K504" cm="1">
        <f t="array" ref="K504">IF($Q504&gt;=0,IFERROR(generateSalesData($D504, IF(ISNUMBER(_xlfn.XLOOKUP($C504,Phone_by_Sentiment!$B$2:$B$37,Phone_by_Sentiment!K$2:K$37,"",0,1)),_xlfn.XLOOKUP($C504,Phone_by_Sentiment!$B$2:$B$37,Phone_by_Sentiment!K$2:K$37,"",0,1),0),$A504-TEXT(DATEVALUE($D504&amp;"-01"), "dd-mm-yyyy")),0),0)</f>
        <v>0</v>
      </c>
      <c r="L504" cm="1">
        <f t="array" ref="L504">IF($Q504&gt;=0,IFERROR(generateSalesData($D504, IF(ISNUMBER(_xlfn.XLOOKUP($C504,Phone_by_Sentiment!$B$2:$B$37,Phone_by_Sentiment!L$2:L$37,"",0,1)),_xlfn.XLOOKUP($C504,Phone_by_Sentiment!$B$2:$B$37,Phone_by_Sentiment!L$2:L$37,"",0,1),0),$A504-TEXT(DATEVALUE($D504&amp;"-01"), "dd-mm-yyyy")),0),0)</f>
        <v>0</v>
      </c>
      <c r="M504" cm="1">
        <f t="array" ref="M504">IF($Q504&gt;=0,IFERROR(generateSalesData($D504, IF(ISNUMBER(_xlfn.XLOOKUP($C504,Phone_by_Sentiment!$B$2:$B$37,Phone_by_Sentiment!M$2:M$37,"",0,1)),_xlfn.XLOOKUP($C504,Phone_by_Sentiment!$B$2:$B$37,Phone_by_Sentiment!M$2:M$37,"",0,1),0),$A504-TEXT(DATEVALUE($D504&amp;"-01"), "dd-mm-yyyy")),0),0)</f>
        <v>0</v>
      </c>
      <c r="N504" cm="1">
        <f t="array" ref="N504">IF($Q504&gt;=0,IFERROR(generateSalesData($D504, IF(ISNUMBER(_xlfn.XLOOKUP($C504,Phone_by_Sentiment!$B$2:$B$37,Phone_by_Sentiment!N$2:N$37,"",0,1)),_xlfn.XLOOKUP($C504,Phone_by_Sentiment!$B$2:$B$37,Phone_by_Sentiment!N$2:N$37,"",0,1),0),$A504-TEXT(DATEVALUE($D504&amp;"-01"), "dd-mm-yyyy")),0),0)</f>
        <v>0</v>
      </c>
      <c r="O504" cm="1">
        <f t="array" ref="O504">IF($Q504&gt;=0,IFERROR(generateSalesData($D504, IF(ISNUMBER(_xlfn.XLOOKUP($C504,Phone_by_Sentiment!$B$2:$B$37,Phone_by_Sentiment!O$2:O$37,"",0,1)),_xlfn.XLOOKUP($C504,Phone_by_Sentiment!$B$2:$B$37,Phone_by_Sentiment!O$2:O$37,"",0,1),0),$A504-TEXT(DATEVALUE($D504&amp;"-01"), "dd-mm-yyyy")),0),0)</f>
        <v>0</v>
      </c>
      <c r="P504" s="1">
        <f t="shared" si="19"/>
        <v>44256</v>
      </c>
      <c r="Q504">
        <f t="shared" si="20"/>
        <v>-365</v>
      </c>
    </row>
    <row r="505" spans="1:17" x14ac:dyDescent="0.25">
      <c r="A505" s="1">
        <f t="shared" si="18"/>
        <v>43891</v>
      </c>
      <c r="B505" t="s">
        <v>149</v>
      </c>
      <c r="C505" t="str">
        <f>_xlfn.XLOOKUP(B505,Phone_by_Price!$A$2:$A$34,Phone_by_Price!$B$2:$B$34,"-",0,1)</f>
        <v>Samsung Galaxy A52</v>
      </c>
      <c r="D505" t="str">
        <f>_xlfn.XLOOKUP(C505,Phone_by_Sentiment!$B$2:$B$37,Phone_by_Sentiment!$A$2:$A$37,"-",0,1)</f>
        <v>2021-03</v>
      </c>
      <c r="E505" cm="1">
        <f t="array" ref="E505">IF($Q505&gt;=0,IFERROR(generateSalesData($D505, IF(ISNUMBER(_xlfn.XLOOKUP($C505,Phone_by_Sentiment!$B$2:$B$37,Phone_by_Sentiment!E$2:E$37,"",0,1)),_xlfn.XLOOKUP($C505,Phone_by_Sentiment!$B$2:$B$37,Phone_by_Sentiment!E$2:E$37,"",0,1),0),$A505-TEXT(DATEVALUE($D505&amp;"-01"), "dd-mm-yyyy")),0),0)</f>
        <v>0</v>
      </c>
      <c r="F505" cm="1">
        <f t="array" ref="F505">IF($Q505&gt;=0,IFERROR(generateSalesData($D505, IF(ISNUMBER(_xlfn.XLOOKUP($C505,Phone_by_Sentiment!$B$2:$B$37,Phone_by_Sentiment!F$2:F$37,"",0,1)),_xlfn.XLOOKUP($C505,Phone_by_Sentiment!$B$2:$B$37,Phone_by_Sentiment!F$2:F$37,"",0,1),0),$A505-TEXT(DATEVALUE($D505&amp;"-01"), "dd-mm-yyyy")),0),0)</f>
        <v>0</v>
      </c>
      <c r="G505" cm="1">
        <f t="array" ref="G505">IF($Q505&gt;=0,IFERROR(generateSalesData($D505, IF(ISNUMBER(_xlfn.XLOOKUP($C505,Phone_by_Sentiment!$B$2:$B$37,Phone_by_Sentiment!G$2:G$37,"",0,1)),_xlfn.XLOOKUP($C505,Phone_by_Sentiment!$B$2:$B$37,Phone_by_Sentiment!G$2:G$37,"",0,1),0),$A505-TEXT(DATEVALUE($D505&amp;"-01"), "dd-mm-yyyy")),0),0)</f>
        <v>0</v>
      </c>
      <c r="H505" cm="1">
        <f t="array" ref="H505">IF($Q505&gt;=0,IFERROR(generateSalesData($D505, IF(ISNUMBER(_xlfn.XLOOKUP($C505,Phone_by_Sentiment!$B$2:$B$37,Phone_by_Sentiment!H$2:H$37,"",0,1)),_xlfn.XLOOKUP($C505,Phone_by_Sentiment!$B$2:$B$37,Phone_by_Sentiment!H$2:H$37,"",0,1),0),$A505-TEXT(DATEVALUE($D505&amp;"-01"), "dd-mm-yyyy")),0),0)</f>
        <v>0</v>
      </c>
      <c r="I505" cm="1">
        <f t="array" ref="I505">IF($Q505&gt;=0,IFERROR(generateSalesData($D505, IF(ISNUMBER(_xlfn.XLOOKUP($C505,Phone_by_Sentiment!$B$2:$B$37,Phone_by_Sentiment!I$2:I$37,"",0,1)),_xlfn.XLOOKUP($C505,Phone_by_Sentiment!$B$2:$B$37,Phone_by_Sentiment!I$2:I$37,"",0,1),0),$A505-TEXT(DATEVALUE($D505&amp;"-01"), "dd-mm-yyyy")),0),0)</f>
        <v>0</v>
      </c>
      <c r="J505" cm="1">
        <f t="array" ref="J505">IF($Q505&gt;=0,IFERROR(generateSalesData($D505, IF(ISNUMBER(_xlfn.XLOOKUP($C505,Phone_by_Sentiment!$B$2:$B$37,Phone_by_Sentiment!J$2:J$37,"",0,1)),_xlfn.XLOOKUP($C505,Phone_by_Sentiment!$B$2:$B$37,Phone_by_Sentiment!J$2:J$37,"",0,1),0),$A505-TEXT(DATEVALUE($D505&amp;"-01"), "dd-mm-yyyy")),0),0)</f>
        <v>0</v>
      </c>
      <c r="K505" cm="1">
        <f t="array" ref="K505">IF($Q505&gt;=0,IFERROR(generateSalesData($D505, IF(ISNUMBER(_xlfn.XLOOKUP($C505,Phone_by_Sentiment!$B$2:$B$37,Phone_by_Sentiment!K$2:K$37,"",0,1)),_xlfn.XLOOKUP($C505,Phone_by_Sentiment!$B$2:$B$37,Phone_by_Sentiment!K$2:K$37,"",0,1),0),$A505-TEXT(DATEVALUE($D505&amp;"-01"), "dd-mm-yyyy")),0),0)</f>
        <v>0</v>
      </c>
      <c r="L505" cm="1">
        <f t="array" ref="L505">IF($Q505&gt;=0,IFERROR(generateSalesData($D505, IF(ISNUMBER(_xlfn.XLOOKUP($C505,Phone_by_Sentiment!$B$2:$B$37,Phone_by_Sentiment!L$2:L$37,"",0,1)),_xlfn.XLOOKUP($C505,Phone_by_Sentiment!$B$2:$B$37,Phone_by_Sentiment!L$2:L$37,"",0,1),0),$A505-TEXT(DATEVALUE($D505&amp;"-01"), "dd-mm-yyyy")),0),0)</f>
        <v>0</v>
      </c>
      <c r="M505" cm="1">
        <f t="array" ref="M505">IF($Q505&gt;=0,IFERROR(generateSalesData($D505, IF(ISNUMBER(_xlfn.XLOOKUP($C505,Phone_by_Sentiment!$B$2:$B$37,Phone_by_Sentiment!M$2:M$37,"",0,1)),_xlfn.XLOOKUP($C505,Phone_by_Sentiment!$B$2:$B$37,Phone_by_Sentiment!M$2:M$37,"",0,1),0),$A505-TEXT(DATEVALUE($D505&amp;"-01"), "dd-mm-yyyy")),0),0)</f>
        <v>0</v>
      </c>
      <c r="N505" cm="1">
        <f t="array" ref="N505">IF($Q505&gt;=0,IFERROR(generateSalesData($D505, IF(ISNUMBER(_xlfn.XLOOKUP($C505,Phone_by_Sentiment!$B$2:$B$37,Phone_by_Sentiment!N$2:N$37,"",0,1)),_xlfn.XLOOKUP($C505,Phone_by_Sentiment!$B$2:$B$37,Phone_by_Sentiment!N$2:N$37,"",0,1),0),$A505-TEXT(DATEVALUE($D505&amp;"-01"), "dd-mm-yyyy")),0),0)</f>
        <v>0</v>
      </c>
      <c r="O505" cm="1">
        <f t="array" ref="O505">IF($Q505&gt;=0,IFERROR(generateSalesData($D505, IF(ISNUMBER(_xlfn.XLOOKUP($C505,Phone_by_Sentiment!$B$2:$B$37,Phone_by_Sentiment!O$2:O$37,"",0,1)),_xlfn.XLOOKUP($C505,Phone_by_Sentiment!$B$2:$B$37,Phone_by_Sentiment!O$2:O$37,"",0,1),0),$A505-TEXT(DATEVALUE($D505&amp;"-01"), "dd-mm-yyyy")),0),0)</f>
        <v>0</v>
      </c>
      <c r="P505" s="1">
        <f t="shared" si="19"/>
        <v>44256</v>
      </c>
      <c r="Q505">
        <f t="shared" si="20"/>
        <v>-365</v>
      </c>
    </row>
    <row r="506" spans="1:17" x14ac:dyDescent="0.25">
      <c r="A506" s="1">
        <f t="shared" si="18"/>
        <v>43891</v>
      </c>
      <c r="B506" t="s">
        <v>150</v>
      </c>
      <c r="C506" t="str">
        <f>_xlfn.XLOOKUP(B506,Phone_by_Price!$A$2:$A$34,Phone_by_Price!$B$2:$B$34,"-",0,1)</f>
        <v>Vivo Y33s</v>
      </c>
      <c r="D506" t="str">
        <f>_xlfn.XLOOKUP(C506,Phone_by_Sentiment!$B$2:$B$37,Phone_by_Sentiment!$A$2:$A$37,"-",0,1)</f>
        <v>2021-05</v>
      </c>
      <c r="E506" cm="1">
        <f t="array" ref="E506">IF($Q506&gt;=0,IFERROR(generateSalesData($D506, IF(ISNUMBER(_xlfn.XLOOKUP($C506,Phone_by_Sentiment!$B$2:$B$37,Phone_by_Sentiment!E$2:E$37,"",0,1)),_xlfn.XLOOKUP($C506,Phone_by_Sentiment!$B$2:$B$37,Phone_by_Sentiment!E$2:E$37,"",0,1),0),$A506-TEXT(DATEVALUE($D506&amp;"-01"), "dd-mm-yyyy")),0),0)</f>
        <v>0</v>
      </c>
      <c r="F506" cm="1">
        <f t="array" ref="F506">IF($Q506&gt;=0,IFERROR(generateSalesData($D506, IF(ISNUMBER(_xlfn.XLOOKUP($C506,Phone_by_Sentiment!$B$2:$B$37,Phone_by_Sentiment!F$2:F$37,"",0,1)),_xlfn.XLOOKUP($C506,Phone_by_Sentiment!$B$2:$B$37,Phone_by_Sentiment!F$2:F$37,"",0,1),0),$A506-TEXT(DATEVALUE($D506&amp;"-01"), "dd-mm-yyyy")),0),0)</f>
        <v>0</v>
      </c>
      <c r="G506" cm="1">
        <f t="array" ref="G506">IF($Q506&gt;=0,IFERROR(generateSalesData($D506, IF(ISNUMBER(_xlfn.XLOOKUP($C506,Phone_by_Sentiment!$B$2:$B$37,Phone_by_Sentiment!G$2:G$37,"",0,1)),_xlfn.XLOOKUP($C506,Phone_by_Sentiment!$B$2:$B$37,Phone_by_Sentiment!G$2:G$37,"",0,1),0),$A506-TEXT(DATEVALUE($D506&amp;"-01"), "dd-mm-yyyy")),0),0)</f>
        <v>0</v>
      </c>
      <c r="H506" cm="1">
        <f t="array" ref="H506">IF($Q506&gt;=0,IFERROR(generateSalesData($D506, IF(ISNUMBER(_xlfn.XLOOKUP($C506,Phone_by_Sentiment!$B$2:$B$37,Phone_by_Sentiment!H$2:H$37,"",0,1)),_xlfn.XLOOKUP($C506,Phone_by_Sentiment!$B$2:$B$37,Phone_by_Sentiment!H$2:H$37,"",0,1),0),$A506-TEXT(DATEVALUE($D506&amp;"-01"), "dd-mm-yyyy")),0),0)</f>
        <v>0</v>
      </c>
      <c r="I506" cm="1">
        <f t="array" ref="I506">IF($Q506&gt;=0,IFERROR(generateSalesData($D506, IF(ISNUMBER(_xlfn.XLOOKUP($C506,Phone_by_Sentiment!$B$2:$B$37,Phone_by_Sentiment!I$2:I$37,"",0,1)),_xlfn.XLOOKUP($C506,Phone_by_Sentiment!$B$2:$B$37,Phone_by_Sentiment!I$2:I$37,"",0,1),0),$A506-TEXT(DATEVALUE($D506&amp;"-01"), "dd-mm-yyyy")),0),0)</f>
        <v>0</v>
      </c>
      <c r="J506" cm="1">
        <f t="array" ref="J506">IF($Q506&gt;=0,IFERROR(generateSalesData($D506, IF(ISNUMBER(_xlfn.XLOOKUP($C506,Phone_by_Sentiment!$B$2:$B$37,Phone_by_Sentiment!J$2:J$37,"",0,1)),_xlfn.XLOOKUP($C506,Phone_by_Sentiment!$B$2:$B$37,Phone_by_Sentiment!J$2:J$37,"",0,1),0),$A506-TEXT(DATEVALUE($D506&amp;"-01"), "dd-mm-yyyy")),0),0)</f>
        <v>0</v>
      </c>
      <c r="K506" cm="1">
        <f t="array" ref="K506">IF($Q506&gt;=0,IFERROR(generateSalesData($D506, IF(ISNUMBER(_xlfn.XLOOKUP($C506,Phone_by_Sentiment!$B$2:$B$37,Phone_by_Sentiment!K$2:K$37,"",0,1)),_xlfn.XLOOKUP($C506,Phone_by_Sentiment!$B$2:$B$37,Phone_by_Sentiment!K$2:K$37,"",0,1),0),$A506-TEXT(DATEVALUE($D506&amp;"-01"), "dd-mm-yyyy")),0),0)</f>
        <v>0</v>
      </c>
      <c r="L506" cm="1">
        <f t="array" ref="L506">IF($Q506&gt;=0,IFERROR(generateSalesData($D506, IF(ISNUMBER(_xlfn.XLOOKUP($C506,Phone_by_Sentiment!$B$2:$B$37,Phone_by_Sentiment!L$2:L$37,"",0,1)),_xlfn.XLOOKUP($C506,Phone_by_Sentiment!$B$2:$B$37,Phone_by_Sentiment!L$2:L$37,"",0,1),0),$A506-TEXT(DATEVALUE($D506&amp;"-01"), "dd-mm-yyyy")),0),0)</f>
        <v>0</v>
      </c>
      <c r="M506" cm="1">
        <f t="array" ref="M506">IF($Q506&gt;=0,IFERROR(generateSalesData($D506, IF(ISNUMBER(_xlfn.XLOOKUP($C506,Phone_by_Sentiment!$B$2:$B$37,Phone_by_Sentiment!M$2:M$37,"",0,1)),_xlfn.XLOOKUP($C506,Phone_by_Sentiment!$B$2:$B$37,Phone_by_Sentiment!M$2:M$37,"",0,1),0),$A506-TEXT(DATEVALUE($D506&amp;"-01"), "dd-mm-yyyy")),0),0)</f>
        <v>0</v>
      </c>
      <c r="N506" cm="1">
        <f t="array" ref="N506">IF($Q506&gt;=0,IFERROR(generateSalesData($D506, IF(ISNUMBER(_xlfn.XLOOKUP($C506,Phone_by_Sentiment!$B$2:$B$37,Phone_by_Sentiment!N$2:N$37,"",0,1)),_xlfn.XLOOKUP($C506,Phone_by_Sentiment!$B$2:$B$37,Phone_by_Sentiment!N$2:N$37,"",0,1),0),$A506-TEXT(DATEVALUE($D506&amp;"-01"), "dd-mm-yyyy")),0),0)</f>
        <v>0</v>
      </c>
      <c r="O506" cm="1">
        <f t="array" ref="O506">IF($Q506&gt;=0,IFERROR(generateSalesData($D506, IF(ISNUMBER(_xlfn.XLOOKUP($C506,Phone_by_Sentiment!$B$2:$B$37,Phone_by_Sentiment!O$2:O$37,"",0,1)),_xlfn.XLOOKUP($C506,Phone_by_Sentiment!$B$2:$B$37,Phone_by_Sentiment!O$2:O$37,"",0,1),0),$A506-TEXT(DATEVALUE($D506&amp;"-01"), "dd-mm-yyyy")),0),0)</f>
        <v>0</v>
      </c>
      <c r="P506" s="1">
        <f t="shared" si="19"/>
        <v>44317</v>
      </c>
      <c r="Q506">
        <f t="shared" si="20"/>
        <v>-426</v>
      </c>
    </row>
    <row r="507" spans="1:17" x14ac:dyDescent="0.25">
      <c r="A507" s="1">
        <f t="shared" si="18"/>
        <v>43891</v>
      </c>
      <c r="B507" t="s">
        <v>151</v>
      </c>
      <c r="C507" t="str">
        <f>_xlfn.XLOOKUP(B507,Phone_by_Price!$A$2:$A$34,Phone_by_Price!$B$2:$B$34,"-",0,1)</f>
        <v>Vivo Y11s</v>
      </c>
      <c r="D507" t="str">
        <f>_xlfn.XLOOKUP(C507,Phone_by_Sentiment!$B$2:$B$37,Phone_by_Sentiment!$A$2:$A$37,"-",0,1)</f>
        <v>2020-11</v>
      </c>
      <c r="E507" cm="1">
        <f t="array" ref="E507">IF($Q507&gt;=0,IFERROR(generateSalesData($D507, IF(ISNUMBER(_xlfn.XLOOKUP($C507,Phone_by_Sentiment!$B$2:$B$37,Phone_by_Sentiment!E$2:E$37,"",0,1)),_xlfn.XLOOKUP($C507,Phone_by_Sentiment!$B$2:$B$37,Phone_by_Sentiment!E$2:E$37,"",0,1),0),$A507-TEXT(DATEVALUE($D507&amp;"-01"), "dd-mm-yyyy")),0),0)</f>
        <v>0</v>
      </c>
      <c r="F507" cm="1">
        <f t="array" ref="F507">IF($Q507&gt;=0,IFERROR(generateSalesData($D507, IF(ISNUMBER(_xlfn.XLOOKUP($C507,Phone_by_Sentiment!$B$2:$B$37,Phone_by_Sentiment!F$2:F$37,"",0,1)),_xlfn.XLOOKUP($C507,Phone_by_Sentiment!$B$2:$B$37,Phone_by_Sentiment!F$2:F$37,"",0,1),0),$A507-TEXT(DATEVALUE($D507&amp;"-01"), "dd-mm-yyyy")),0),0)</f>
        <v>0</v>
      </c>
      <c r="G507" cm="1">
        <f t="array" ref="G507">IF($Q507&gt;=0,IFERROR(generateSalesData($D507, IF(ISNUMBER(_xlfn.XLOOKUP($C507,Phone_by_Sentiment!$B$2:$B$37,Phone_by_Sentiment!G$2:G$37,"",0,1)),_xlfn.XLOOKUP($C507,Phone_by_Sentiment!$B$2:$B$37,Phone_by_Sentiment!G$2:G$37,"",0,1),0),$A507-TEXT(DATEVALUE($D507&amp;"-01"), "dd-mm-yyyy")),0),0)</f>
        <v>0</v>
      </c>
      <c r="H507" cm="1">
        <f t="array" ref="H507">IF($Q507&gt;=0,IFERROR(generateSalesData($D507, IF(ISNUMBER(_xlfn.XLOOKUP($C507,Phone_by_Sentiment!$B$2:$B$37,Phone_by_Sentiment!H$2:H$37,"",0,1)),_xlfn.XLOOKUP($C507,Phone_by_Sentiment!$B$2:$B$37,Phone_by_Sentiment!H$2:H$37,"",0,1),0),$A507-TEXT(DATEVALUE($D507&amp;"-01"), "dd-mm-yyyy")),0),0)</f>
        <v>0</v>
      </c>
      <c r="I507" cm="1">
        <f t="array" ref="I507">IF($Q507&gt;=0,IFERROR(generateSalesData($D507, IF(ISNUMBER(_xlfn.XLOOKUP($C507,Phone_by_Sentiment!$B$2:$B$37,Phone_by_Sentiment!I$2:I$37,"",0,1)),_xlfn.XLOOKUP($C507,Phone_by_Sentiment!$B$2:$B$37,Phone_by_Sentiment!I$2:I$37,"",0,1),0),$A507-TEXT(DATEVALUE($D507&amp;"-01"), "dd-mm-yyyy")),0),0)</f>
        <v>0</v>
      </c>
      <c r="J507" cm="1">
        <f t="array" ref="J507">IF($Q507&gt;=0,IFERROR(generateSalesData($D507, IF(ISNUMBER(_xlfn.XLOOKUP($C507,Phone_by_Sentiment!$B$2:$B$37,Phone_by_Sentiment!J$2:J$37,"",0,1)),_xlfn.XLOOKUP($C507,Phone_by_Sentiment!$B$2:$B$37,Phone_by_Sentiment!J$2:J$37,"",0,1),0),$A507-TEXT(DATEVALUE($D507&amp;"-01"), "dd-mm-yyyy")),0),0)</f>
        <v>0</v>
      </c>
      <c r="K507" cm="1">
        <f t="array" ref="K507">IF($Q507&gt;=0,IFERROR(generateSalesData($D507, IF(ISNUMBER(_xlfn.XLOOKUP($C507,Phone_by_Sentiment!$B$2:$B$37,Phone_by_Sentiment!K$2:K$37,"",0,1)),_xlfn.XLOOKUP($C507,Phone_by_Sentiment!$B$2:$B$37,Phone_by_Sentiment!K$2:K$37,"",0,1),0),$A507-TEXT(DATEVALUE($D507&amp;"-01"), "dd-mm-yyyy")),0),0)</f>
        <v>0</v>
      </c>
      <c r="L507" cm="1">
        <f t="array" ref="L507">IF($Q507&gt;=0,IFERROR(generateSalesData($D507, IF(ISNUMBER(_xlfn.XLOOKUP($C507,Phone_by_Sentiment!$B$2:$B$37,Phone_by_Sentiment!L$2:L$37,"",0,1)),_xlfn.XLOOKUP($C507,Phone_by_Sentiment!$B$2:$B$37,Phone_by_Sentiment!L$2:L$37,"",0,1),0),$A507-TEXT(DATEVALUE($D507&amp;"-01"), "dd-mm-yyyy")),0),0)</f>
        <v>0</v>
      </c>
      <c r="M507" cm="1">
        <f t="array" ref="M507">IF($Q507&gt;=0,IFERROR(generateSalesData($D507, IF(ISNUMBER(_xlfn.XLOOKUP($C507,Phone_by_Sentiment!$B$2:$B$37,Phone_by_Sentiment!M$2:M$37,"",0,1)),_xlfn.XLOOKUP($C507,Phone_by_Sentiment!$B$2:$B$37,Phone_by_Sentiment!M$2:M$37,"",0,1),0),$A507-TEXT(DATEVALUE($D507&amp;"-01"), "dd-mm-yyyy")),0),0)</f>
        <v>0</v>
      </c>
      <c r="N507" cm="1">
        <f t="array" ref="N507">IF($Q507&gt;=0,IFERROR(generateSalesData($D507, IF(ISNUMBER(_xlfn.XLOOKUP($C507,Phone_by_Sentiment!$B$2:$B$37,Phone_by_Sentiment!N$2:N$37,"",0,1)),_xlfn.XLOOKUP($C507,Phone_by_Sentiment!$B$2:$B$37,Phone_by_Sentiment!N$2:N$37,"",0,1),0),$A507-TEXT(DATEVALUE($D507&amp;"-01"), "dd-mm-yyyy")),0),0)</f>
        <v>0</v>
      </c>
      <c r="O507" cm="1">
        <f t="array" ref="O507">IF($Q507&gt;=0,IFERROR(generateSalesData($D507, IF(ISNUMBER(_xlfn.XLOOKUP($C507,Phone_by_Sentiment!$B$2:$B$37,Phone_by_Sentiment!O$2:O$37,"",0,1)),_xlfn.XLOOKUP($C507,Phone_by_Sentiment!$B$2:$B$37,Phone_by_Sentiment!O$2:O$37,"",0,1),0),$A507-TEXT(DATEVALUE($D507&amp;"-01"), "dd-mm-yyyy")),0),0)</f>
        <v>0</v>
      </c>
      <c r="P507" s="1">
        <f t="shared" si="19"/>
        <v>44136</v>
      </c>
      <c r="Q507">
        <f t="shared" si="20"/>
        <v>-245</v>
      </c>
    </row>
    <row r="508" spans="1:17" x14ac:dyDescent="0.25">
      <c r="A508" s="1">
        <f t="shared" si="18"/>
        <v>43891</v>
      </c>
      <c r="B508" t="s">
        <v>152</v>
      </c>
      <c r="C508" t="str">
        <f>_xlfn.XLOOKUP(B508,Phone_by_Price!$A$2:$A$34,Phone_by_Price!$B$2:$B$34,"-",0,1)</f>
        <v>Huawei Nova 7i</v>
      </c>
      <c r="D508" t="str">
        <f>_xlfn.XLOOKUP(C508,Phone_by_Sentiment!$B$2:$B$37,Phone_by_Sentiment!$A$2:$A$37,"-",0,1)</f>
        <v>2020-02</v>
      </c>
      <c r="E508" cm="1">
        <f t="array" ref="E508">IF($Q508&gt;=0,IFERROR(generateSalesData($D508, IF(ISNUMBER(_xlfn.XLOOKUP($C508,Phone_by_Sentiment!$B$2:$B$37,Phone_by_Sentiment!E$2:E$37,"",0,1)),_xlfn.XLOOKUP($C508,Phone_by_Sentiment!$B$2:$B$37,Phone_by_Sentiment!E$2:E$37,"",0,1),0),$A508-TEXT(DATEVALUE($D508&amp;"-01"), "dd-mm-yyyy")),0),0)</f>
        <v>3521</v>
      </c>
      <c r="F508" cm="1">
        <f t="array" ref="F508">IF($Q508&gt;=0,IFERROR(generateSalesData($D508, IF(ISNUMBER(_xlfn.XLOOKUP($C508,Phone_by_Sentiment!$B$2:$B$37,Phone_by_Sentiment!F$2:F$37,"",0,1)),_xlfn.XLOOKUP($C508,Phone_by_Sentiment!$B$2:$B$37,Phone_by_Sentiment!F$2:F$37,"",0,1),0),$A508-TEXT(DATEVALUE($D508&amp;"-01"), "dd-mm-yyyy")),0),0)</f>
        <v>1756</v>
      </c>
      <c r="G508" cm="1">
        <f t="array" ref="G508">IF($Q508&gt;=0,IFERROR(generateSalesData($D508, IF(ISNUMBER(_xlfn.XLOOKUP($C508,Phone_by_Sentiment!$B$2:$B$37,Phone_by_Sentiment!G$2:G$37,"",0,1)),_xlfn.XLOOKUP($C508,Phone_by_Sentiment!$B$2:$B$37,Phone_by_Sentiment!G$2:G$37,"",0,1),0),$A508-TEXT(DATEVALUE($D508&amp;"-01"), "dd-mm-yyyy")),0),0)</f>
        <v>1508</v>
      </c>
      <c r="H508" cm="1">
        <f t="array" ref="H508">IF($Q508&gt;=0,IFERROR(generateSalesData($D508, IF(ISNUMBER(_xlfn.XLOOKUP($C508,Phone_by_Sentiment!$B$2:$B$37,Phone_by_Sentiment!H$2:H$37,"",0,1)),_xlfn.XLOOKUP($C508,Phone_by_Sentiment!$B$2:$B$37,Phone_by_Sentiment!H$2:H$37,"",0,1),0),$A508-TEXT(DATEVALUE($D508&amp;"-01"), "dd-mm-yyyy")),0),0)</f>
        <v>11113</v>
      </c>
      <c r="I508" cm="1">
        <f t="array" ref="I508">IF($Q508&gt;=0,IFERROR(generateSalesData($D508, IF(ISNUMBER(_xlfn.XLOOKUP($C508,Phone_by_Sentiment!$B$2:$B$37,Phone_by_Sentiment!I$2:I$37,"",0,1)),_xlfn.XLOOKUP($C508,Phone_by_Sentiment!$B$2:$B$37,Phone_by_Sentiment!I$2:I$37,"",0,1),0),$A508-TEXT(DATEVALUE($D508&amp;"-01"), "dd-mm-yyyy")),0),0)</f>
        <v>934</v>
      </c>
      <c r="J508" cm="1">
        <f t="array" ref="J508">IF($Q508&gt;=0,IFERROR(generateSalesData($D508, IF(ISNUMBER(_xlfn.XLOOKUP($C508,Phone_by_Sentiment!$B$2:$B$37,Phone_by_Sentiment!J$2:J$37,"",0,1)),_xlfn.XLOOKUP($C508,Phone_by_Sentiment!$B$2:$B$37,Phone_by_Sentiment!J$2:J$37,"",0,1),0),$A508-TEXT(DATEVALUE($D508&amp;"-01"), "dd-mm-yyyy")),0),0)</f>
        <v>2429</v>
      </c>
      <c r="K508" cm="1">
        <f t="array" ref="K508">IF($Q508&gt;=0,IFERROR(generateSalesData($D508, IF(ISNUMBER(_xlfn.XLOOKUP($C508,Phone_by_Sentiment!$B$2:$B$37,Phone_by_Sentiment!K$2:K$37,"",0,1)),_xlfn.XLOOKUP($C508,Phone_by_Sentiment!$B$2:$B$37,Phone_by_Sentiment!K$2:K$37,"",0,1),0),$A508-TEXT(DATEVALUE($D508&amp;"-01"), "dd-mm-yyyy")),0),0)</f>
        <v>3491</v>
      </c>
      <c r="L508" cm="1">
        <f t="array" ref="L508">IF($Q508&gt;=0,IFERROR(generateSalesData($D508, IF(ISNUMBER(_xlfn.XLOOKUP($C508,Phone_by_Sentiment!$B$2:$B$37,Phone_by_Sentiment!L$2:L$37,"",0,1)),_xlfn.XLOOKUP($C508,Phone_by_Sentiment!$B$2:$B$37,Phone_by_Sentiment!L$2:L$37,"",0,1),0),$A508-TEXT(DATEVALUE($D508&amp;"-01"), "dd-mm-yyyy")),0),0)</f>
        <v>1885</v>
      </c>
      <c r="M508" cm="1">
        <f t="array" ref="M508">IF($Q508&gt;=0,IFERROR(generateSalesData($D508, IF(ISNUMBER(_xlfn.XLOOKUP($C508,Phone_by_Sentiment!$B$2:$B$37,Phone_by_Sentiment!M$2:M$37,"",0,1)),_xlfn.XLOOKUP($C508,Phone_by_Sentiment!$B$2:$B$37,Phone_by_Sentiment!M$2:M$37,"",0,1),0),$A508-TEXT(DATEVALUE($D508&amp;"-01"), "dd-mm-yyyy")),0),0)</f>
        <v>4081</v>
      </c>
      <c r="N508" cm="1">
        <f t="array" ref="N508">IF($Q508&gt;=0,IFERROR(generateSalesData($D508, IF(ISNUMBER(_xlfn.XLOOKUP($C508,Phone_by_Sentiment!$B$2:$B$37,Phone_by_Sentiment!N$2:N$37,"",0,1)),_xlfn.XLOOKUP($C508,Phone_by_Sentiment!$B$2:$B$37,Phone_by_Sentiment!N$2:N$37,"",0,1),0),$A508-TEXT(DATEVALUE($D508&amp;"-01"), "dd-mm-yyyy")),0),0)</f>
        <v>1616</v>
      </c>
      <c r="O508" cm="1">
        <f t="array" ref="O508">IF($Q508&gt;=0,IFERROR(generateSalesData($D508, IF(ISNUMBER(_xlfn.XLOOKUP($C508,Phone_by_Sentiment!$B$2:$B$37,Phone_by_Sentiment!O$2:O$37,"",0,1)),_xlfn.XLOOKUP($C508,Phone_by_Sentiment!$B$2:$B$37,Phone_by_Sentiment!O$2:O$37,"",0,1),0),$A508-TEXT(DATEVALUE($D508&amp;"-01"), "dd-mm-yyyy")),0),0)</f>
        <v>2562</v>
      </c>
      <c r="P508" s="1">
        <f t="shared" si="19"/>
        <v>43862</v>
      </c>
      <c r="Q508">
        <f t="shared" si="20"/>
        <v>29</v>
      </c>
    </row>
    <row r="509" spans="1:17" x14ac:dyDescent="0.25">
      <c r="A509" s="1">
        <f t="shared" si="18"/>
        <v>43891</v>
      </c>
      <c r="B509" t="s">
        <v>153</v>
      </c>
      <c r="C509" t="str">
        <f>_xlfn.XLOOKUP(B509,Phone_by_Price!$A$2:$A$34,Phone_by_Price!$B$2:$B$34,"-",0,1)</f>
        <v>iPhone 13</v>
      </c>
      <c r="D509" t="str">
        <f>_xlfn.XLOOKUP(C509,Phone_by_Sentiment!$B$2:$B$37,Phone_by_Sentiment!$A$2:$A$37,"-",0,1)</f>
        <v>2021-09</v>
      </c>
      <c r="E509" cm="1">
        <f t="array" ref="E509">IF($Q509&gt;=0,IFERROR(generateSalesData($D509, IF(ISNUMBER(_xlfn.XLOOKUP($C509,Phone_by_Sentiment!$B$2:$B$37,Phone_by_Sentiment!E$2:E$37,"",0,1)),_xlfn.XLOOKUP($C509,Phone_by_Sentiment!$B$2:$B$37,Phone_by_Sentiment!E$2:E$37,"",0,1),0),$A509-TEXT(DATEVALUE($D509&amp;"-01"), "dd-mm-yyyy")),0),0)</f>
        <v>0</v>
      </c>
      <c r="F509" cm="1">
        <f t="array" ref="F509">IF($Q509&gt;=0,IFERROR(generateSalesData($D509, IF(ISNUMBER(_xlfn.XLOOKUP($C509,Phone_by_Sentiment!$B$2:$B$37,Phone_by_Sentiment!F$2:F$37,"",0,1)),_xlfn.XLOOKUP($C509,Phone_by_Sentiment!$B$2:$B$37,Phone_by_Sentiment!F$2:F$37,"",0,1),0),$A509-TEXT(DATEVALUE($D509&amp;"-01"), "dd-mm-yyyy")),0),0)</f>
        <v>0</v>
      </c>
      <c r="G509" cm="1">
        <f t="array" ref="G509">IF($Q509&gt;=0,IFERROR(generateSalesData($D509, IF(ISNUMBER(_xlfn.XLOOKUP($C509,Phone_by_Sentiment!$B$2:$B$37,Phone_by_Sentiment!G$2:G$37,"",0,1)),_xlfn.XLOOKUP($C509,Phone_by_Sentiment!$B$2:$B$37,Phone_by_Sentiment!G$2:G$37,"",0,1),0),$A509-TEXT(DATEVALUE($D509&amp;"-01"), "dd-mm-yyyy")),0),0)</f>
        <v>0</v>
      </c>
      <c r="H509" cm="1">
        <f t="array" ref="H509">IF($Q509&gt;=0,IFERROR(generateSalesData($D509, IF(ISNUMBER(_xlfn.XLOOKUP($C509,Phone_by_Sentiment!$B$2:$B$37,Phone_by_Sentiment!H$2:H$37,"",0,1)),_xlfn.XLOOKUP($C509,Phone_by_Sentiment!$B$2:$B$37,Phone_by_Sentiment!H$2:H$37,"",0,1),0),$A509-TEXT(DATEVALUE($D509&amp;"-01"), "dd-mm-yyyy")),0),0)</f>
        <v>0</v>
      </c>
      <c r="I509" cm="1">
        <f t="array" ref="I509">IF($Q509&gt;=0,IFERROR(generateSalesData($D509, IF(ISNUMBER(_xlfn.XLOOKUP($C509,Phone_by_Sentiment!$B$2:$B$37,Phone_by_Sentiment!I$2:I$37,"",0,1)),_xlfn.XLOOKUP($C509,Phone_by_Sentiment!$B$2:$B$37,Phone_by_Sentiment!I$2:I$37,"",0,1),0),$A509-TEXT(DATEVALUE($D509&amp;"-01"), "dd-mm-yyyy")),0),0)</f>
        <v>0</v>
      </c>
      <c r="J509" cm="1">
        <f t="array" ref="J509">IF($Q509&gt;=0,IFERROR(generateSalesData($D509, IF(ISNUMBER(_xlfn.XLOOKUP($C509,Phone_by_Sentiment!$B$2:$B$37,Phone_by_Sentiment!J$2:J$37,"",0,1)),_xlfn.XLOOKUP($C509,Phone_by_Sentiment!$B$2:$B$37,Phone_by_Sentiment!J$2:J$37,"",0,1),0),$A509-TEXT(DATEVALUE($D509&amp;"-01"), "dd-mm-yyyy")),0),0)</f>
        <v>0</v>
      </c>
      <c r="K509" cm="1">
        <f t="array" ref="K509">IF($Q509&gt;=0,IFERROR(generateSalesData($D509, IF(ISNUMBER(_xlfn.XLOOKUP($C509,Phone_by_Sentiment!$B$2:$B$37,Phone_by_Sentiment!K$2:K$37,"",0,1)),_xlfn.XLOOKUP($C509,Phone_by_Sentiment!$B$2:$B$37,Phone_by_Sentiment!K$2:K$37,"",0,1),0),$A509-TEXT(DATEVALUE($D509&amp;"-01"), "dd-mm-yyyy")),0),0)</f>
        <v>0</v>
      </c>
      <c r="L509" cm="1">
        <f t="array" ref="L509">IF($Q509&gt;=0,IFERROR(generateSalesData($D509, IF(ISNUMBER(_xlfn.XLOOKUP($C509,Phone_by_Sentiment!$B$2:$B$37,Phone_by_Sentiment!L$2:L$37,"",0,1)),_xlfn.XLOOKUP($C509,Phone_by_Sentiment!$B$2:$B$37,Phone_by_Sentiment!L$2:L$37,"",0,1),0),$A509-TEXT(DATEVALUE($D509&amp;"-01"), "dd-mm-yyyy")),0),0)</f>
        <v>0</v>
      </c>
      <c r="M509" cm="1">
        <f t="array" ref="M509">IF($Q509&gt;=0,IFERROR(generateSalesData($D509, IF(ISNUMBER(_xlfn.XLOOKUP($C509,Phone_by_Sentiment!$B$2:$B$37,Phone_by_Sentiment!M$2:M$37,"",0,1)),_xlfn.XLOOKUP($C509,Phone_by_Sentiment!$B$2:$B$37,Phone_by_Sentiment!M$2:M$37,"",0,1),0),$A509-TEXT(DATEVALUE($D509&amp;"-01"), "dd-mm-yyyy")),0),0)</f>
        <v>0</v>
      </c>
      <c r="N509" cm="1">
        <f t="array" ref="N509">IF($Q509&gt;=0,IFERROR(generateSalesData($D509, IF(ISNUMBER(_xlfn.XLOOKUP($C509,Phone_by_Sentiment!$B$2:$B$37,Phone_by_Sentiment!N$2:N$37,"",0,1)),_xlfn.XLOOKUP($C509,Phone_by_Sentiment!$B$2:$B$37,Phone_by_Sentiment!N$2:N$37,"",0,1),0),$A509-TEXT(DATEVALUE($D509&amp;"-01"), "dd-mm-yyyy")),0),0)</f>
        <v>0</v>
      </c>
      <c r="O509" cm="1">
        <f t="array" ref="O509">IF($Q509&gt;=0,IFERROR(generateSalesData($D509, IF(ISNUMBER(_xlfn.XLOOKUP($C509,Phone_by_Sentiment!$B$2:$B$37,Phone_by_Sentiment!O$2:O$37,"",0,1)),_xlfn.XLOOKUP($C509,Phone_by_Sentiment!$B$2:$B$37,Phone_by_Sentiment!O$2:O$37,"",0,1),0),$A509-TEXT(DATEVALUE($D509&amp;"-01"), "dd-mm-yyyy")),0),0)</f>
        <v>0</v>
      </c>
      <c r="P509" s="1">
        <f t="shared" si="19"/>
        <v>44440</v>
      </c>
      <c r="Q509">
        <f t="shared" si="20"/>
        <v>-549</v>
      </c>
    </row>
    <row r="510" spans="1:17" x14ac:dyDescent="0.25">
      <c r="A510" s="1">
        <f t="shared" si="18"/>
        <v>43891</v>
      </c>
      <c r="B510" t="s">
        <v>154</v>
      </c>
      <c r="C510" t="str">
        <f>_xlfn.XLOOKUP(B510,Phone_by_Price!$A$2:$A$34,Phone_by_Price!$B$2:$B$34,"-",0,1)</f>
        <v>Samsung Galaxy S21</v>
      </c>
      <c r="D510" t="str">
        <f>_xlfn.XLOOKUP(C510,Phone_by_Sentiment!$B$2:$B$37,Phone_by_Sentiment!$A$2:$A$37,"-",0,1)</f>
        <v>2021-01</v>
      </c>
      <c r="E510" cm="1">
        <f t="array" ref="E510">IF($Q510&gt;=0,IFERROR(generateSalesData($D510, IF(ISNUMBER(_xlfn.XLOOKUP($C510,Phone_by_Sentiment!$B$2:$B$37,Phone_by_Sentiment!E$2:E$37,"",0,1)),_xlfn.XLOOKUP($C510,Phone_by_Sentiment!$B$2:$B$37,Phone_by_Sentiment!E$2:E$37,"",0,1),0),$A510-TEXT(DATEVALUE($D510&amp;"-01"), "dd-mm-yyyy")),0),0)</f>
        <v>0</v>
      </c>
      <c r="F510" cm="1">
        <f t="array" ref="F510">IF($Q510&gt;=0,IFERROR(generateSalesData($D510, IF(ISNUMBER(_xlfn.XLOOKUP($C510,Phone_by_Sentiment!$B$2:$B$37,Phone_by_Sentiment!F$2:F$37,"",0,1)),_xlfn.XLOOKUP($C510,Phone_by_Sentiment!$B$2:$B$37,Phone_by_Sentiment!F$2:F$37,"",0,1),0),$A510-TEXT(DATEVALUE($D510&amp;"-01"), "dd-mm-yyyy")),0),0)</f>
        <v>0</v>
      </c>
      <c r="G510" cm="1">
        <f t="array" ref="G510">IF($Q510&gt;=0,IFERROR(generateSalesData($D510, IF(ISNUMBER(_xlfn.XLOOKUP($C510,Phone_by_Sentiment!$B$2:$B$37,Phone_by_Sentiment!G$2:G$37,"",0,1)),_xlfn.XLOOKUP($C510,Phone_by_Sentiment!$B$2:$B$37,Phone_by_Sentiment!G$2:G$37,"",0,1),0),$A510-TEXT(DATEVALUE($D510&amp;"-01"), "dd-mm-yyyy")),0),0)</f>
        <v>0</v>
      </c>
      <c r="H510" cm="1">
        <f t="array" ref="H510">IF($Q510&gt;=0,IFERROR(generateSalesData($D510, IF(ISNUMBER(_xlfn.XLOOKUP($C510,Phone_by_Sentiment!$B$2:$B$37,Phone_by_Sentiment!H$2:H$37,"",0,1)),_xlfn.XLOOKUP($C510,Phone_by_Sentiment!$B$2:$B$37,Phone_by_Sentiment!H$2:H$37,"",0,1),0),$A510-TEXT(DATEVALUE($D510&amp;"-01"), "dd-mm-yyyy")),0),0)</f>
        <v>0</v>
      </c>
      <c r="I510" cm="1">
        <f t="array" ref="I510">IF($Q510&gt;=0,IFERROR(generateSalesData($D510, IF(ISNUMBER(_xlfn.XLOOKUP($C510,Phone_by_Sentiment!$B$2:$B$37,Phone_by_Sentiment!I$2:I$37,"",0,1)),_xlfn.XLOOKUP($C510,Phone_by_Sentiment!$B$2:$B$37,Phone_by_Sentiment!I$2:I$37,"",0,1),0),$A510-TEXT(DATEVALUE($D510&amp;"-01"), "dd-mm-yyyy")),0),0)</f>
        <v>0</v>
      </c>
      <c r="J510" cm="1">
        <f t="array" ref="J510">IF($Q510&gt;=0,IFERROR(generateSalesData($D510, IF(ISNUMBER(_xlfn.XLOOKUP($C510,Phone_by_Sentiment!$B$2:$B$37,Phone_by_Sentiment!J$2:J$37,"",0,1)),_xlfn.XLOOKUP($C510,Phone_by_Sentiment!$B$2:$B$37,Phone_by_Sentiment!J$2:J$37,"",0,1),0),$A510-TEXT(DATEVALUE($D510&amp;"-01"), "dd-mm-yyyy")),0),0)</f>
        <v>0</v>
      </c>
      <c r="K510" cm="1">
        <f t="array" ref="K510">IF($Q510&gt;=0,IFERROR(generateSalesData($D510, IF(ISNUMBER(_xlfn.XLOOKUP($C510,Phone_by_Sentiment!$B$2:$B$37,Phone_by_Sentiment!K$2:K$37,"",0,1)),_xlfn.XLOOKUP($C510,Phone_by_Sentiment!$B$2:$B$37,Phone_by_Sentiment!K$2:K$37,"",0,1),0),$A510-TEXT(DATEVALUE($D510&amp;"-01"), "dd-mm-yyyy")),0),0)</f>
        <v>0</v>
      </c>
      <c r="L510" cm="1">
        <f t="array" ref="L510">IF($Q510&gt;=0,IFERROR(generateSalesData($D510, IF(ISNUMBER(_xlfn.XLOOKUP($C510,Phone_by_Sentiment!$B$2:$B$37,Phone_by_Sentiment!L$2:L$37,"",0,1)),_xlfn.XLOOKUP($C510,Phone_by_Sentiment!$B$2:$B$37,Phone_by_Sentiment!L$2:L$37,"",0,1),0),$A510-TEXT(DATEVALUE($D510&amp;"-01"), "dd-mm-yyyy")),0),0)</f>
        <v>0</v>
      </c>
      <c r="M510" cm="1">
        <f t="array" ref="M510">IF($Q510&gt;=0,IFERROR(generateSalesData($D510, IF(ISNUMBER(_xlfn.XLOOKUP($C510,Phone_by_Sentiment!$B$2:$B$37,Phone_by_Sentiment!M$2:M$37,"",0,1)),_xlfn.XLOOKUP($C510,Phone_by_Sentiment!$B$2:$B$37,Phone_by_Sentiment!M$2:M$37,"",0,1),0),$A510-TEXT(DATEVALUE($D510&amp;"-01"), "dd-mm-yyyy")),0),0)</f>
        <v>0</v>
      </c>
      <c r="N510" cm="1">
        <f t="array" ref="N510">IF($Q510&gt;=0,IFERROR(generateSalesData($D510, IF(ISNUMBER(_xlfn.XLOOKUP($C510,Phone_by_Sentiment!$B$2:$B$37,Phone_by_Sentiment!N$2:N$37,"",0,1)),_xlfn.XLOOKUP($C510,Phone_by_Sentiment!$B$2:$B$37,Phone_by_Sentiment!N$2:N$37,"",0,1),0),$A510-TEXT(DATEVALUE($D510&amp;"-01"), "dd-mm-yyyy")),0),0)</f>
        <v>0</v>
      </c>
      <c r="O510" cm="1">
        <f t="array" ref="O510">IF($Q510&gt;=0,IFERROR(generateSalesData($D510, IF(ISNUMBER(_xlfn.XLOOKUP($C510,Phone_by_Sentiment!$B$2:$B$37,Phone_by_Sentiment!O$2:O$37,"",0,1)),_xlfn.XLOOKUP($C510,Phone_by_Sentiment!$B$2:$B$37,Phone_by_Sentiment!O$2:O$37,"",0,1),0),$A510-TEXT(DATEVALUE($D510&amp;"-01"), "dd-mm-yyyy")),0),0)</f>
        <v>0</v>
      </c>
      <c r="P510" s="1">
        <f t="shared" si="19"/>
        <v>44197</v>
      </c>
      <c r="Q510">
        <f t="shared" si="20"/>
        <v>-306</v>
      </c>
    </row>
    <row r="511" spans="1:17" x14ac:dyDescent="0.25">
      <c r="A511" s="1">
        <f t="shared" si="18"/>
        <v>43891</v>
      </c>
      <c r="B511" t="s">
        <v>155</v>
      </c>
      <c r="C511" t="str">
        <f>_xlfn.XLOOKUP(B511,Phone_by_Price!$A$2:$A$34,Phone_by_Price!$B$2:$B$34,"-",0,1)</f>
        <v>Google Pixel 6</v>
      </c>
      <c r="D511" t="str">
        <f>_xlfn.XLOOKUP(C511,Phone_by_Sentiment!$B$2:$B$37,Phone_by_Sentiment!$A$2:$A$37,"-",0,1)</f>
        <v>2021-10</v>
      </c>
      <c r="E511" cm="1">
        <f t="array" ref="E511">IF($Q511&gt;=0,IFERROR(generateSalesData($D511, IF(ISNUMBER(_xlfn.XLOOKUP($C511,Phone_by_Sentiment!$B$2:$B$37,Phone_by_Sentiment!E$2:E$37,"",0,1)),_xlfn.XLOOKUP($C511,Phone_by_Sentiment!$B$2:$B$37,Phone_by_Sentiment!E$2:E$37,"",0,1),0),$A511-TEXT(DATEVALUE($D511&amp;"-01"), "dd-mm-yyyy")),0),0)</f>
        <v>0</v>
      </c>
      <c r="F511" cm="1">
        <f t="array" ref="F511">IF($Q511&gt;=0,IFERROR(generateSalesData($D511, IF(ISNUMBER(_xlfn.XLOOKUP($C511,Phone_by_Sentiment!$B$2:$B$37,Phone_by_Sentiment!F$2:F$37,"",0,1)),_xlfn.XLOOKUP($C511,Phone_by_Sentiment!$B$2:$B$37,Phone_by_Sentiment!F$2:F$37,"",0,1),0),$A511-TEXT(DATEVALUE($D511&amp;"-01"), "dd-mm-yyyy")),0),0)</f>
        <v>0</v>
      </c>
      <c r="G511" cm="1">
        <f t="array" ref="G511">IF($Q511&gt;=0,IFERROR(generateSalesData($D511, IF(ISNUMBER(_xlfn.XLOOKUP($C511,Phone_by_Sentiment!$B$2:$B$37,Phone_by_Sentiment!G$2:G$37,"",0,1)),_xlfn.XLOOKUP($C511,Phone_by_Sentiment!$B$2:$B$37,Phone_by_Sentiment!G$2:G$37,"",0,1),0),$A511-TEXT(DATEVALUE($D511&amp;"-01"), "dd-mm-yyyy")),0),0)</f>
        <v>0</v>
      </c>
      <c r="H511" cm="1">
        <f t="array" ref="H511">IF($Q511&gt;=0,IFERROR(generateSalesData($D511, IF(ISNUMBER(_xlfn.XLOOKUP($C511,Phone_by_Sentiment!$B$2:$B$37,Phone_by_Sentiment!H$2:H$37,"",0,1)),_xlfn.XLOOKUP($C511,Phone_by_Sentiment!$B$2:$B$37,Phone_by_Sentiment!H$2:H$37,"",0,1),0),$A511-TEXT(DATEVALUE($D511&amp;"-01"), "dd-mm-yyyy")),0),0)</f>
        <v>0</v>
      </c>
      <c r="I511" cm="1">
        <f t="array" ref="I511">IF($Q511&gt;=0,IFERROR(generateSalesData($D511, IF(ISNUMBER(_xlfn.XLOOKUP($C511,Phone_by_Sentiment!$B$2:$B$37,Phone_by_Sentiment!I$2:I$37,"",0,1)),_xlfn.XLOOKUP($C511,Phone_by_Sentiment!$B$2:$B$37,Phone_by_Sentiment!I$2:I$37,"",0,1),0),$A511-TEXT(DATEVALUE($D511&amp;"-01"), "dd-mm-yyyy")),0),0)</f>
        <v>0</v>
      </c>
      <c r="J511" cm="1">
        <f t="array" ref="J511">IF($Q511&gt;=0,IFERROR(generateSalesData($D511, IF(ISNUMBER(_xlfn.XLOOKUP($C511,Phone_by_Sentiment!$B$2:$B$37,Phone_by_Sentiment!J$2:J$37,"",0,1)),_xlfn.XLOOKUP($C511,Phone_by_Sentiment!$B$2:$B$37,Phone_by_Sentiment!J$2:J$37,"",0,1),0),$A511-TEXT(DATEVALUE($D511&amp;"-01"), "dd-mm-yyyy")),0),0)</f>
        <v>0</v>
      </c>
      <c r="K511" cm="1">
        <f t="array" ref="K511">IF($Q511&gt;=0,IFERROR(generateSalesData($D511, IF(ISNUMBER(_xlfn.XLOOKUP($C511,Phone_by_Sentiment!$B$2:$B$37,Phone_by_Sentiment!K$2:K$37,"",0,1)),_xlfn.XLOOKUP($C511,Phone_by_Sentiment!$B$2:$B$37,Phone_by_Sentiment!K$2:K$37,"",0,1),0),$A511-TEXT(DATEVALUE($D511&amp;"-01"), "dd-mm-yyyy")),0),0)</f>
        <v>0</v>
      </c>
      <c r="L511" cm="1">
        <f t="array" ref="L511">IF($Q511&gt;=0,IFERROR(generateSalesData($D511, IF(ISNUMBER(_xlfn.XLOOKUP($C511,Phone_by_Sentiment!$B$2:$B$37,Phone_by_Sentiment!L$2:L$37,"",0,1)),_xlfn.XLOOKUP($C511,Phone_by_Sentiment!$B$2:$B$37,Phone_by_Sentiment!L$2:L$37,"",0,1),0),$A511-TEXT(DATEVALUE($D511&amp;"-01"), "dd-mm-yyyy")),0),0)</f>
        <v>0</v>
      </c>
      <c r="M511" cm="1">
        <f t="array" ref="M511">IF($Q511&gt;=0,IFERROR(generateSalesData($D511, IF(ISNUMBER(_xlfn.XLOOKUP($C511,Phone_by_Sentiment!$B$2:$B$37,Phone_by_Sentiment!M$2:M$37,"",0,1)),_xlfn.XLOOKUP($C511,Phone_by_Sentiment!$B$2:$B$37,Phone_by_Sentiment!M$2:M$37,"",0,1),0),$A511-TEXT(DATEVALUE($D511&amp;"-01"), "dd-mm-yyyy")),0),0)</f>
        <v>0</v>
      </c>
      <c r="N511" cm="1">
        <f t="array" ref="N511">IF($Q511&gt;=0,IFERROR(generateSalesData($D511, IF(ISNUMBER(_xlfn.XLOOKUP($C511,Phone_by_Sentiment!$B$2:$B$37,Phone_by_Sentiment!N$2:N$37,"",0,1)),_xlfn.XLOOKUP($C511,Phone_by_Sentiment!$B$2:$B$37,Phone_by_Sentiment!N$2:N$37,"",0,1),0),$A511-TEXT(DATEVALUE($D511&amp;"-01"), "dd-mm-yyyy")),0),0)</f>
        <v>0</v>
      </c>
      <c r="O511" cm="1">
        <f t="array" ref="O511">IF($Q511&gt;=0,IFERROR(generateSalesData($D511, IF(ISNUMBER(_xlfn.XLOOKUP($C511,Phone_by_Sentiment!$B$2:$B$37,Phone_by_Sentiment!O$2:O$37,"",0,1)),_xlfn.XLOOKUP($C511,Phone_by_Sentiment!$B$2:$B$37,Phone_by_Sentiment!O$2:O$37,"",0,1),0),$A511-TEXT(DATEVALUE($D511&amp;"-01"), "dd-mm-yyyy")),0),0)</f>
        <v>0</v>
      </c>
      <c r="P511" s="1">
        <f t="shared" si="19"/>
        <v>44470</v>
      </c>
      <c r="Q511">
        <f t="shared" si="20"/>
        <v>-579</v>
      </c>
    </row>
    <row r="512" spans="1:17" x14ac:dyDescent="0.25">
      <c r="A512" s="1">
        <f t="shared" si="18"/>
        <v>43891</v>
      </c>
      <c r="B512" t="s">
        <v>156</v>
      </c>
      <c r="C512" t="str">
        <f>_xlfn.XLOOKUP(B512,Phone_by_Price!$A$2:$A$34,Phone_by_Price!$B$2:$B$34,"-",0,1)</f>
        <v>OnePlus Nord CE</v>
      </c>
      <c r="D512" t="str">
        <f>_xlfn.XLOOKUP(C512,Phone_by_Sentiment!$B$2:$B$37,Phone_by_Sentiment!$A$2:$A$37,"-",0,1)</f>
        <v>2021-06</v>
      </c>
      <c r="E512" cm="1">
        <f t="array" ref="E512">IF($Q512&gt;=0,IFERROR(generateSalesData($D512, IF(ISNUMBER(_xlfn.XLOOKUP($C512,Phone_by_Sentiment!$B$2:$B$37,Phone_by_Sentiment!E$2:E$37,"",0,1)),_xlfn.XLOOKUP($C512,Phone_by_Sentiment!$B$2:$B$37,Phone_by_Sentiment!E$2:E$37,"",0,1),0),$A512-TEXT(DATEVALUE($D512&amp;"-01"), "dd-mm-yyyy")),0),0)</f>
        <v>0</v>
      </c>
      <c r="F512" cm="1">
        <f t="array" ref="F512">IF($Q512&gt;=0,IFERROR(generateSalesData($D512, IF(ISNUMBER(_xlfn.XLOOKUP($C512,Phone_by_Sentiment!$B$2:$B$37,Phone_by_Sentiment!F$2:F$37,"",0,1)),_xlfn.XLOOKUP($C512,Phone_by_Sentiment!$B$2:$B$37,Phone_by_Sentiment!F$2:F$37,"",0,1),0),$A512-TEXT(DATEVALUE($D512&amp;"-01"), "dd-mm-yyyy")),0),0)</f>
        <v>0</v>
      </c>
      <c r="G512" cm="1">
        <f t="array" ref="G512">IF($Q512&gt;=0,IFERROR(generateSalesData($D512, IF(ISNUMBER(_xlfn.XLOOKUP($C512,Phone_by_Sentiment!$B$2:$B$37,Phone_by_Sentiment!G$2:G$37,"",0,1)),_xlfn.XLOOKUP($C512,Phone_by_Sentiment!$B$2:$B$37,Phone_by_Sentiment!G$2:G$37,"",0,1),0),$A512-TEXT(DATEVALUE($D512&amp;"-01"), "dd-mm-yyyy")),0),0)</f>
        <v>0</v>
      </c>
      <c r="H512" cm="1">
        <f t="array" ref="H512">IF($Q512&gt;=0,IFERROR(generateSalesData($D512, IF(ISNUMBER(_xlfn.XLOOKUP($C512,Phone_by_Sentiment!$B$2:$B$37,Phone_by_Sentiment!H$2:H$37,"",0,1)),_xlfn.XLOOKUP($C512,Phone_by_Sentiment!$B$2:$B$37,Phone_by_Sentiment!H$2:H$37,"",0,1),0),$A512-TEXT(DATEVALUE($D512&amp;"-01"), "dd-mm-yyyy")),0),0)</f>
        <v>0</v>
      </c>
      <c r="I512" cm="1">
        <f t="array" ref="I512">IF($Q512&gt;=0,IFERROR(generateSalesData($D512, IF(ISNUMBER(_xlfn.XLOOKUP($C512,Phone_by_Sentiment!$B$2:$B$37,Phone_by_Sentiment!I$2:I$37,"",0,1)),_xlfn.XLOOKUP($C512,Phone_by_Sentiment!$B$2:$B$37,Phone_by_Sentiment!I$2:I$37,"",0,1),0),$A512-TEXT(DATEVALUE($D512&amp;"-01"), "dd-mm-yyyy")),0),0)</f>
        <v>0</v>
      </c>
      <c r="J512" cm="1">
        <f t="array" ref="J512">IF($Q512&gt;=0,IFERROR(generateSalesData($D512, IF(ISNUMBER(_xlfn.XLOOKUP($C512,Phone_by_Sentiment!$B$2:$B$37,Phone_by_Sentiment!J$2:J$37,"",0,1)),_xlfn.XLOOKUP($C512,Phone_by_Sentiment!$B$2:$B$37,Phone_by_Sentiment!J$2:J$37,"",0,1),0),$A512-TEXT(DATEVALUE($D512&amp;"-01"), "dd-mm-yyyy")),0),0)</f>
        <v>0</v>
      </c>
      <c r="K512" cm="1">
        <f t="array" ref="K512">IF($Q512&gt;=0,IFERROR(generateSalesData($D512, IF(ISNUMBER(_xlfn.XLOOKUP($C512,Phone_by_Sentiment!$B$2:$B$37,Phone_by_Sentiment!K$2:K$37,"",0,1)),_xlfn.XLOOKUP($C512,Phone_by_Sentiment!$B$2:$B$37,Phone_by_Sentiment!K$2:K$37,"",0,1),0),$A512-TEXT(DATEVALUE($D512&amp;"-01"), "dd-mm-yyyy")),0),0)</f>
        <v>0</v>
      </c>
      <c r="L512" cm="1">
        <f t="array" ref="L512">IF($Q512&gt;=0,IFERROR(generateSalesData($D512, IF(ISNUMBER(_xlfn.XLOOKUP($C512,Phone_by_Sentiment!$B$2:$B$37,Phone_by_Sentiment!L$2:L$37,"",0,1)),_xlfn.XLOOKUP($C512,Phone_by_Sentiment!$B$2:$B$37,Phone_by_Sentiment!L$2:L$37,"",0,1),0),$A512-TEXT(DATEVALUE($D512&amp;"-01"), "dd-mm-yyyy")),0),0)</f>
        <v>0</v>
      </c>
      <c r="M512" cm="1">
        <f t="array" ref="M512">IF($Q512&gt;=0,IFERROR(generateSalesData($D512, IF(ISNUMBER(_xlfn.XLOOKUP($C512,Phone_by_Sentiment!$B$2:$B$37,Phone_by_Sentiment!M$2:M$37,"",0,1)),_xlfn.XLOOKUP($C512,Phone_by_Sentiment!$B$2:$B$37,Phone_by_Sentiment!M$2:M$37,"",0,1),0),$A512-TEXT(DATEVALUE($D512&amp;"-01"), "dd-mm-yyyy")),0),0)</f>
        <v>0</v>
      </c>
      <c r="N512" cm="1">
        <f t="array" ref="N512">IF($Q512&gt;=0,IFERROR(generateSalesData($D512, IF(ISNUMBER(_xlfn.XLOOKUP($C512,Phone_by_Sentiment!$B$2:$B$37,Phone_by_Sentiment!N$2:N$37,"",0,1)),_xlfn.XLOOKUP($C512,Phone_by_Sentiment!$B$2:$B$37,Phone_by_Sentiment!N$2:N$37,"",0,1),0),$A512-TEXT(DATEVALUE($D512&amp;"-01"), "dd-mm-yyyy")),0),0)</f>
        <v>0</v>
      </c>
      <c r="O512" cm="1">
        <f t="array" ref="O512">IF($Q512&gt;=0,IFERROR(generateSalesData($D512, IF(ISNUMBER(_xlfn.XLOOKUP($C512,Phone_by_Sentiment!$B$2:$B$37,Phone_by_Sentiment!O$2:O$37,"",0,1)),_xlfn.XLOOKUP($C512,Phone_by_Sentiment!$B$2:$B$37,Phone_by_Sentiment!O$2:O$37,"",0,1),0),$A512-TEXT(DATEVALUE($D512&amp;"-01"), "dd-mm-yyyy")),0),0)</f>
        <v>0</v>
      </c>
      <c r="P512" s="1">
        <f t="shared" si="19"/>
        <v>44348</v>
      </c>
      <c r="Q512">
        <f t="shared" si="20"/>
        <v>-457</v>
      </c>
    </row>
    <row r="513" spans="1:17" x14ac:dyDescent="0.25">
      <c r="A513" s="1">
        <f t="shared" si="18"/>
        <v>43891</v>
      </c>
      <c r="B513" t="s">
        <v>157</v>
      </c>
      <c r="C513" t="str">
        <f>_xlfn.XLOOKUP(B513,Phone_by_Price!$A$2:$A$34,Phone_by_Price!$B$2:$B$34,"-",0,1)</f>
        <v>Apple iPhone 13 Pro</v>
      </c>
      <c r="D513" t="str">
        <f>_xlfn.XLOOKUP(C513,Phone_by_Sentiment!$B$2:$B$37,Phone_by_Sentiment!$A$2:$A$37,"-",0,1)</f>
        <v>2021-09</v>
      </c>
      <c r="E513" cm="1">
        <f t="array" ref="E513">IF($Q513&gt;=0,IFERROR(generateSalesData($D513, IF(ISNUMBER(_xlfn.XLOOKUP($C513,Phone_by_Sentiment!$B$2:$B$37,Phone_by_Sentiment!E$2:E$37,"",0,1)),_xlfn.XLOOKUP($C513,Phone_by_Sentiment!$B$2:$B$37,Phone_by_Sentiment!E$2:E$37,"",0,1),0),$A513-TEXT(DATEVALUE($D513&amp;"-01"), "dd-mm-yyyy")),0),0)</f>
        <v>0</v>
      </c>
      <c r="F513" cm="1">
        <f t="array" ref="F513">IF($Q513&gt;=0,IFERROR(generateSalesData($D513, IF(ISNUMBER(_xlfn.XLOOKUP($C513,Phone_by_Sentiment!$B$2:$B$37,Phone_by_Sentiment!F$2:F$37,"",0,1)),_xlfn.XLOOKUP($C513,Phone_by_Sentiment!$B$2:$B$37,Phone_by_Sentiment!F$2:F$37,"",0,1),0),$A513-TEXT(DATEVALUE($D513&amp;"-01"), "dd-mm-yyyy")),0),0)</f>
        <v>0</v>
      </c>
      <c r="G513" cm="1">
        <f t="array" ref="G513">IF($Q513&gt;=0,IFERROR(generateSalesData($D513, IF(ISNUMBER(_xlfn.XLOOKUP($C513,Phone_by_Sentiment!$B$2:$B$37,Phone_by_Sentiment!G$2:G$37,"",0,1)),_xlfn.XLOOKUP($C513,Phone_by_Sentiment!$B$2:$B$37,Phone_by_Sentiment!G$2:G$37,"",0,1),0),$A513-TEXT(DATEVALUE($D513&amp;"-01"), "dd-mm-yyyy")),0),0)</f>
        <v>0</v>
      </c>
      <c r="H513" cm="1">
        <f t="array" ref="H513">IF($Q513&gt;=0,IFERROR(generateSalesData($D513, IF(ISNUMBER(_xlfn.XLOOKUP($C513,Phone_by_Sentiment!$B$2:$B$37,Phone_by_Sentiment!H$2:H$37,"",0,1)),_xlfn.XLOOKUP($C513,Phone_by_Sentiment!$B$2:$B$37,Phone_by_Sentiment!H$2:H$37,"",0,1),0),$A513-TEXT(DATEVALUE($D513&amp;"-01"), "dd-mm-yyyy")),0),0)</f>
        <v>0</v>
      </c>
      <c r="I513" cm="1">
        <f t="array" ref="I513">IF($Q513&gt;=0,IFERROR(generateSalesData($D513, IF(ISNUMBER(_xlfn.XLOOKUP($C513,Phone_by_Sentiment!$B$2:$B$37,Phone_by_Sentiment!I$2:I$37,"",0,1)),_xlfn.XLOOKUP($C513,Phone_by_Sentiment!$B$2:$B$37,Phone_by_Sentiment!I$2:I$37,"",0,1),0),$A513-TEXT(DATEVALUE($D513&amp;"-01"), "dd-mm-yyyy")),0),0)</f>
        <v>0</v>
      </c>
      <c r="J513" cm="1">
        <f t="array" ref="J513">IF($Q513&gt;=0,IFERROR(generateSalesData($D513, IF(ISNUMBER(_xlfn.XLOOKUP($C513,Phone_by_Sentiment!$B$2:$B$37,Phone_by_Sentiment!J$2:J$37,"",0,1)),_xlfn.XLOOKUP($C513,Phone_by_Sentiment!$B$2:$B$37,Phone_by_Sentiment!J$2:J$37,"",0,1),0),$A513-TEXT(DATEVALUE($D513&amp;"-01"), "dd-mm-yyyy")),0),0)</f>
        <v>0</v>
      </c>
      <c r="K513" cm="1">
        <f t="array" ref="K513">IF($Q513&gt;=0,IFERROR(generateSalesData($D513, IF(ISNUMBER(_xlfn.XLOOKUP($C513,Phone_by_Sentiment!$B$2:$B$37,Phone_by_Sentiment!K$2:K$37,"",0,1)),_xlfn.XLOOKUP($C513,Phone_by_Sentiment!$B$2:$B$37,Phone_by_Sentiment!K$2:K$37,"",0,1),0),$A513-TEXT(DATEVALUE($D513&amp;"-01"), "dd-mm-yyyy")),0),0)</f>
        <v>0</v>
      </c>
      <c r="L513" cm="1">
        <f t="array" ref="L513">IF($Q513&gt;=0,IFERROR(generateSalesData($D513, IF(ISNUMBER(_xlfn.XLOOKUP($C513,Phone_by_Sentiment!$B$2:$B$37,Phone_by_Sentiment!L$2:L$37,"",0,1)),_xlfn.XLOOKUP($C513,Phone_by_Sentiment!$B$2:$B$37,Phone_by_Sentiment!L$2:L$37,"",0,1),0),$A513-TEXT(DATEVALUE($D513&amp;"-01"), "dd-mm-yyyy")),0),0)</f>
        <v>0</v>
      </c>
      <c r="M513" cm="1">
        <f t="array" ref="M513">IF($Q513&gt;=0,IFERROR(generateSalesData($D513, IF(ISNUMBER(_xlfn.XLOOKUP($C513,Phone_by_Sentiment!$B$2:$B$37,Phone_by_Sentiment!M$2:M$37,"",0,1)),_xlfn.XLOOKUP($C513,Phone_by_Sentiment!$B$2:$B$37,Phone_by_Sentiment!M$2:M$37,"",0,1),0),$A513-TEXT(DATEVALUE($D513&amp;"-01"), "dd-mm-yyyy")),0),0)</f>
        <v>0</v>
      </c>
      <c r="N513" cm="1">
        <f t="array" ref="N513">IF($Q513&gt;=0,IFERROR(generateSalesData($D513, IF(ISNUMBER(_xlfn.XLOOKUP($C513,Phone_by_Sentiment!$B$2:$B$37,Phone_by_Sentiment!N$2:N$37,"",0,1)),_xlfn.XLOOKUP($C513,Phone_by_Sentiment!$B$2:$B$37,Phone_by_Sentiment!N$2:N$37,"",0,1),0),$A513-TEXT(DATEVALUE($D513&amp;"-01"), "dd-mm-yyyy")),0),0)</f>
        <v>0</v>
      </c>
      <c r="O513" cm="1">
        <f t="array" ref="O513">IF($Q513&gt;=0,IFERROR(generateSalesData($D513, IF(ISNUMBER(_xlfn.XLOOKUP($C513,Phone_by_Sentiment!$B$2:$B$37,Phone_by_Sentiment!O$2:O$37,"",0,1)),_xlfn.XLOOKUP($C513,Phone_by_Sentiment!$B$2:$B$37,Phone_by_Sentiment!O$2:O$37,"",0,1),0),$A513-TEXT(DATEVALUE($D513&amp;"-01"), "dd-mm-yyyy")),0),0)</f>
        <v>0</v>
      </c>
      <c r="P513" s="1">
        <f t="shared" si="19"/>
        <v>44440</v>
      </c>
      <c r="Q513">
        <f t="shared" si="20"/>
        <v>-549</v>
      </c>
    </row>
    <row r="514" spans="1:17" x14ac:dyDescent="0.25">
      <c r="A514" s="1">
        <f t="shared" si="18"/>
        <v>43891</v>
      </c>
      <c r="B514" t="s">
        <v>158</v>
      </c>
      <c r="C514" t="str">
        <f>_xlfn.XLOOKUP(B514,Phone_by_Price!$A$2:$A$34,Phone_by_Price!$B$2:$B$34,"-",0,1)</f>
        <v>Samsung Galaxy A32 5G</v>
      </c>
      <c r="D514" t="str">
        <f>_xlfn.XLOOKUP(C514,Phone_by_Sentiment!$B$2:$B$37,Phone_by_Sentiment!$A$2:$A$37,"-",0,1)</f>
        <v>2021-02</v>
      </c>
      <c r="E514" cm="1">
        <f t="array" ref="E514">IF($Q514&gt;=0,IFERROR(generateSalesData($D514, IF(ISNUMBER(_xlfn.XLOOKUP($C514,Phone_by_Sentiment!$B$2:$B$37,Phone_by_Sentiment!E$2:E$37,"",0,1)),_xlfn.XLOOKUP($C514,Phone_by_Sentiment!$B$2:$B$37,Phone_by_Sentiment!E$2:E$37,"",0,1),0),$A514-TEXT(DATEVALUE($D514&amp;"-01"), "dd-mm-yyyy")),0),0)</f>
        <v>0</v>
      </c>
      <c r="F514" cm="1">
        <f t="array" ref="F514">IF($Q514&gt;=0,IFERROR(generateSalesData($D514, IF(ISNUMBER(_xlfn.XLOOKUP($C514,Phone_by_Sentiment!$B$2:$B$37,Phone_by_Sentiment!F$2:F$37,"",0,1)),_xlfn.XLOOKUP($C514,Phone_by_Sentiment!$B$2:$B$37,Phone_by_Sentiment!F$2:F$37,"",0,1),0),$A514-TEXT(DATEVALUE($D514&amp;"-01"), "dd-mm-yyyy")),0),0)</f>
        <v>0</v>
      </c>
      <c r="G514" cm="1">
        <f t="array" ref="G514">IF($Q514&gt;=0,IFERROR(generateSalesData($D514, IF(ISNUMBER(_xlfn.XLOOKUP($C514,Phone_by_Sentiment!$B$2:$B$37,Phone_by_Sentiment!G$2:G$37,"",0,1)),_xlfn.XLOOKUP($C514,Phone_by_Sentiment!$B$2:$B$37,Phone_by_Sentiment!G$2:G$37,"",0,1),0),$A514-TEXT(DATEVALUE($D514&amp;"-01"), "dd-mm-yyyy")),0),0)</f>
        <v>0</v>
      </c>
      <c r="H514" cm="1">
        <f t="array" ref="H514">IF($Q514&gt;=0,IFERROR(generateSalesData($D514, IF(ISNUMBER(_xlfn.XLOOKUP($C514,Phone_by_Sentiment!$B$2:$B$37,Phone_by_Sentiment!H$2:H$37,"",0,1)),_xlfn.XLOOKUP($C514,Phone_by_Sentiment!$B$2:$B$37,Phone_by_Sentiment!H$2:H$37,"",0,1),0),$A514-TEXT(DATEVALUE($D514&amp;"-01"), "dd-mm-yyyy")),0),0)</f>
        <v>0</v>
      </c>
      <c r="I514" cm="1">
        <f t="array" ref="I514">IF($Q514&gt;=0,IFERROR(generateSalesData($D514, IF(ISNUMBER(_xlfn.XLOOKUP($C514,Phone_by_Sentiment!$B$2:$B$37,Phone_by_Sentiment!I$2:I$37,"",0,1)),_xlfn.XLOOKUP($C514,Phone_by_Sentiment!$B$2:$B$37,Phone_by_Sentiment!I$2:I$37,"",0,1),0),$A514-TEXT(DATEVALUE($D514&amp;"-01"), "dd-mm-yyyy")),0),0)</f>
        <v>0</v>
      </c>
      <c r="J514" cm="1">
        <f t="array" ref="J514">IF($Q514&gt;=0,IFERROR(generateSalesData($D514, IF(ISNUMBER(_xlfn.XLOOKUP($C514,Phone_by_Sentiment!$B$2:$B$37,Phone_by_Sentiment!J$2:J$37,"",0,1)),_xlfn.XLOOKUP($C514,Phone_by_Sentiment!$B$2:$B$37,Phone_by_Sentiment!J$2:J$37,"",0,1),0),$A514-TEXT(DATEVALUE($D514&amp;"-01"), "dd-mm-yyyy")),0),0)</f>
        <v>0</v>
      </c>
      <c r="K514" cm="1">
        <f t="array" ref="K514">IF($Q514&gt;=0,IFERROR(generateSalesData($D514, IF(ISNUMBER(_xlfn.XLOOKUP($C514,Phone_by_Sentiment!$B$2:$B$37,Phone_by_Sentiment!K$2:K$37,"",0,1)),_xlfn.XLOOKUP($C514,Phone_by_Sentiment!$B$2:$B$37,Phone_by_Sentiment!K$2:K$37,"",0,1),0),$A514-TEXT(DATEVALUE($D514&amp;"-01"), "dd-mm-yyyy")),0),0)</f>
        <v>0</v>
      </c>
      <c r="L514" cm="1">
        <f t="array" ref="L514">IF($Q514&gt;=0,IFERROR(generateSalesData($D514, IF(ISNUMBER(_xlfn.XLOOKUP($C514,Phone_by_Sentiment!$B$2:$B$37,Phone_by_Sentiment!L$2:L$37,"",0,1)),_xlfn.XLOOKUP($C514,Phone_by_Sentiment!$B$2:$B$37,Phone_by_Sentiment!L$2:L$37,"",0,1),0),$A514-TEXT(DATEVALUE($D514&amp;"-01"), "dd-mm-yyyy")),0),0)</f>
        <v>0</v>
      </c>
      <c r="M514" cm="1">
        <f t="array" ref="M514">IF($Q514&gt;=0,IFERROR(generateSalesData($D514, IF(ISNUMBER(_xlfn.XLOOKUP($C514,Phone_by_Sentiment!$B$2:$B$37,Phone_by_Sentiment!M$2:M$37,"",0,1)),_xlfn.XLOOKUP($C514,Phone_by_Sentiment!$B$2:$B$37,Phone_by_Sentiment!M$2:M$37,"",0,1),0),$A514-TEXT(DATEVALUE($D514&amp;"-01"), "dd-mm-yyyy")),0),0)</f>
        <v>0</v>
      </c>
      <c r="N514" cm="1">
        <f t="array" ref="N514">IF($Q514&gt;=0,IFERROR(generateSalesData($D514, IF(ISNUMBER(_xlfn.XLOOKUP($C514,Phone_by_Sentiment!$B$2:$B$37,Phone_by_Sentiment!N$2:N$37,"",0,1)),_xlfn.XLOOKUP($C514,Phone_by_Sentiment!$B$2:$B$37,Phone_by_Sentiment!N$2:N$37,"",0,1),0),$A514-TEXT(DATEVALUE($D514&amp;"-01"), "dd-mm-yyyy")),0),0)</f>
        <v>0</v>
      </c>
      <c r="O514" cm="1">
        <f t="array" ref="O514">IF($Q514&gt;=0,IFERROR(generateSalesData($D514, IF(ISNUMBER(_xlfn.XLOOKUP($C514,Phone_by_Sentiment!$B$2:$B$37,Phone_by_Sentiment!O$2:O$37,"",0,1)),_xlfn.XLOOKUP($C514,Phone_by_Sentiment!$B$2:$B$37,Phone_by_Sentiment!O$2:O$37,"",0,1),0),$A514-TEXT(DATEVALUE($D514&amp;"-01"), "dd-mm-yyyy")),0),0)</f>
        <v>0</v>
      </c>
      <c r="P514" s="1">
        <f t="shared" si="19"/>
        <v>44228</v>
      </c>
      <c r="Q514">
        <f t="shared" si="20"/>
        <v>-337</v>
      </c>
    </row>
    <row r="515" spans="1:17" x14ac:dyDescent="0.25">
      <c r="A515" s="1">
        <f t="shared" ref="A515:A578" si="21">DATE(YEAR($A$1), MONTH($A$1) + INT((ROW()-1)/35), DAY($A$1))</f>
        <v>43891</v>
      </c>
      <c r="B515" t="s">
        <v>159</v>
      </c>
      <c r="C515" t="str">
        <f>_xlfn.XLOOKUP(B515,Phone_by_Price!$A$2:$A$34,Phone_by_Price!$B$2:$B$34,"-",0,1)</f>
        <v>Realme C25</v>
      </c>
      <c r="D515" t="str">
        <f>_xlfn.XLOOKUP(C515,Phone_by_Sentiment!$B$2:$B$37,Phone_by_Sentiment!$A$2:$A$37,"-",0,1)</f>
        <v>2021-03</v>
      </c>
      <c r="E515" cm="1">
        <f t="array" ref="E515">IF($Q515&gt;=0,IFERROR(generateSalesData($D515, IF(ISNUMBER(_xlfn.XLOOKUP($C515,Phone_by_Sentiment!$B$2:$B$37,Phone_by_Sentiment!E$2:E$37,"",0,1)),_xlfn.XLOOKUP($C515,Phone_by_Sentiment!$B$2:$B$37,Phone_by_Sentiment!E$2:E$37,"",0,1),0),$A515-TEXT(DATEVALUE($D515&amp;"-01"), "dd-mm-yyyy")),0),0)</f>
        <v>0</v>
      </c>
      <c r="F515" cm="1">
        <f t="array" ref="F515">IF($Q515&gt;=0,IFERROR(generateSalesData($D515, IF(ISNUMBER(_xlfn.XLOOKUP($C515,Phone_by_Sentiment!$B$2:$B$37,Phone_by_Sentiment!F$2:F$37,"",0,1)),_xlfn.XLOOKUP($C515,Phone_by_Sentiment!$B$2:$B$37,Phone_by_Sentiment!F$2:F$37,"",0,1),0),$A515-TEXT(DATEVALUE($D515&amp;"-01"), "dd-mm-yyyy")),0),0)</f>
        <v>0</v>
      </c>
      <c r="G515" cm="1">
        <f t="array" ref="G515">IF($Q515&gt;=0,IFERROR(generateSalesData($D515, IF(ISNUMBER(_xlfn.XLOOKUP($C515,Phone_by_Sentiment!$B$2:$B$37,Phone_by_Sentiment!G$2:G$37,"",0,1)),_xlfn.XLOOKUP($C515,Phone_by_Sentiment!$B$2:$B$37,Phone_by_Sentiment!G$2:G$37,"",0,1),0),$A515-TEXT(DATEVALUE($D515&amp;"-01"), "dd-mm-yyyy")),0),0)</f>
        <v>0</v>
      </c>
      <c r="H515" cm="1">
        <f t="array" ref="H515">IF($Q515&gt;=0,IFERROR(generateSalesData($D515, IF(ISNUMBER(_xlfn.XLOOKUP($C515,Phone_by_Sentiment!$B$2:$B$37,Phone_by_Sentiment!H$2:H$37,"",0,1)),_xlfn.XLOOKUP($C515,Phone_by_Sentiment!$B$2:$B$37,Phone_by_Sentiment!H$2:H$37,"",0,1),0),$A515-TEXT(DATEVALUE($D515&amp;"-01"), "dd-mm-yyyy")),0),0)</f>
        <v>0</v>
      </c>
      <c r="I515" cm="1">
        <f t="array" ref="I515">IF($Q515&gt;=0,IFERROR(generateSalesData($D515, IF(ISNUMBER(_xlfn.XLOOKUP($C515,Phone_by_Sentiment!$B$2:$B$37,Phone_by_Sentiment!I$2:I$37,"",0,1)),_xlfn.XLOOKUP($C515,Phone_by_Sentiment!$B$2:$B$37,Phone_by_Sentiment!I$2:I$37,"",0,1),0),$A515-TEXT(DATEVALUE($D515&amp;"-01"), "dd-mm-yyyy")),0),0)</f>
        <v>0</v>
      </c>
      <c r="J515" cm="1">
        <f t="array" ref="J515">IF($Q515&gt;=0,IFERROR(generateSalesData($D515, IF(ISNUMBER(_xlfn.XLOOKUP($C515,Phone_by_Sentiment!$B$2:$B$37,Phone_by_Sentiment!J$2:J$37,"",0,1)),_xlfn.XLOOKUP($C515,Phone_by_Sentiment!$B$2:$B$37,Phone_by_Sentiment!J$2:J$37,"",0,1),0),$A515-TEXT(DATEVALUE($D515&amp;"-01"), "dd-mm-yyyy")),0),0)</f>
        <v>0</v>
      </c>
      <c r="K515" cm="1">
        <f t="array" ref="K515">IF($Q515&gt;=0,IFERROR(generateSalesData($D515, IF(ISNUMBER(_xlfn.XLOOKUP($C515,Phone_by_Sentiment!$B$2:$B$37,Phone_by_Sentiment!K$2:K$37,"",0,1)),_xlfn.XLOOKUP($C515,Phone_by_Sentiment!$B$2:$B$37,Phone_by_Sentiment!K$2:K$37,"",0,1),0),$A515-TEXT(DATEVALUE($D515&amp;"-01"), "dd-mm-yyyy")),0),0)</f>
        <v>0</v>
      </c>
      <c r="L515" cm="1">
        <f t="array" ref="L515">IF($Q515&gt;=0,IFERROR(generateSalesData($D515, IF(ISNUMBER(_xlfn.XLOOKUP($C515,Phone_by_Sentiment!$B$2:$B$37,Phone_by_Sentiment!L$2:L$37,"",0,1)),_xlfn.XLOOKUP($C515,Phone_by_Sentiment!$B$2:$B$37,Phone_by_Sentiment!L$2:L$37,"",0,1),0),$A515-TEXT(DATEVALUE($D515&amp;"-01"), "dd-mm-yyyy")),0),0)</f>
        <v>0</v>
      </c>
      <c r="M515" cm="1">
        <f t="array" ref="M515">IF($Q515&gt;=0,IFERROR(generateSalesData($D515, IF(ISNUMBER(_xlfn.XLOOKUP($C515,Phone_by_Sentiment!$B$2:$B$37,Phone_by_Sentiment!M$2:M$37,"",0,1)),_xlfn.XLOOKUP($C515,Phone_by_Sentiment!$B$2:$B$37,Phone_by_Sentiment!M$2:M$37,"",0,1),0),$A515-TEXT(DATEVALUE($D515&amp;"-01"), "dd-mm-yyyy")),0),0)</f>
        <v>0</v>
      </c>
      <c r="N515" cm="1">
        <f t="array" ref="N515">IF($Q515&gt;=0,IFERROR(generateSalesData($D515, IF(ISNUMBER(_xlfn.XLOOKUP($C515,Phone_by_Sentiment!$B$2:$B$37,Phone_by_Sentiment!N$2:N$37,"",0,1)),_xlfn.XLOOKUP($C515,Phone_by_Sentiment!$B$2:$B$37,Phone_by_Sentiment!N$2:N$37,"",0,1),0),$A515-TEXT(DATEVALUE($D515&amp;"-01"), "dd-mm-yyyy")),0),0)</f>
        <v>0</v>
      </c>
      <c r="O515" cm="1">
        <f t="array" ref="O515">IF($Q515&gt;=0,IFERROR(generateSalesData($D515, IF(ISNUMBER(_xlfn.XLOOKUP($C515,Phone_by_Sentiment!$B$2:$B$37,Phone_by_Sentiment!O$2:O$37,"",0,1)),_xlfn.XLOOKUP($C515,Phone_by_Sentiment!$B$2:$B$37,Phone_by_Sentiment!O$2:O$37,"",0,1),0),$A515-TEXT(DATEVALUE($D515&amp;"-01"), "dd-mm-yyyy")),0),0)</f>
        <v>0</v>
      </c>
      <c r="P515" s="1">
        <f t="shared" si="19"/>
        <v>44256</v>
      </c>
      <c r="Q515">
        <f t="shared" si="20"/>
        <v>-365</v>
      </c>
    </row>
    <row r="516" spans="1:17" x14ac:dyDescent="0.25">
      <c r="A516" s="1">
        <f t="shared" si="21"/>
        <v>43891</v>
      </c>
      <c r="B516" t="s">
        <v>160</v>
      </c>
      <c r="C516" t="str">
        <f>_xlfn.XLOOKUP(B516,Phone_by_Price!$A$2:$A$34,Phone_by_Price!$B$2:$B$34,"-",0,1)</f>
        <v>Xiaomi Poco X3 Pro</v>
      </c>
      <c r="D516" t="str">
        <f>_xlfn.XLOOKUP(C516,Phone_by_Sentiment!$B$2:$B$37,Phone_by_Sentiment!$A$2:$A$37,"-",0,1)</f>
        <v>2021-05</v>
      </c>
      <c r="E516" cm="1">
        <f t="array" ref="E516">IF($Q516&gt;=0,IFERROR(generateSalesData($D516, IF(ISNUMBER(_xlfn.XLOOKUP($C516,Phone_by_Sentiment!$B$2:$B$37,Phone_by_Sentiment!E$2:E$37,"",0,1)),_xlfn.XLOOKUP($C516,Phone_by_Sentiment!$B$2:$B$37,Phone_by_Sentiment!E$2:E$37,"",0,1),0),$A516-TEXT(DATEVALUE($D516&amp;"-01"), "dd-mm-yyyy")),0),0)</f>
        <v>0</v>
      </c>
      <c r="F516" cm="1">
        <f t="array" ref="F516">IF($Q516&gt;=0,IFERROR(generateSalesData($D516, IF(ISNUMBER(_xlfn.XLOOKUP($C516,Phone_by_Sentiment!$B$2:$B$37,Phone_by_Sentiment!F$2:F$37,"",0,1)),_xlfn.XLOOKUP($C516,Phone_by_Sentiment!$B$2:$B$37,Phone_by_Sentiment!F$2:F$37,"",0,1),0),$A516-TEXT(DATEVALUE($D516&amp;"-01"), "dd-mm-yyyy")),0),0)</f>
        <v>0</v>
      </c>
      <c r="G516" cm="1">
        <f t="array" ref="G516">IF($Q516&gt;=0,IFERROR(generateSalesData($D516, IF(ISNUMBER(_xlfn.XLOOKUP($C516,Phone_by_Sentiment!$B$2:$B$37,Phone_by_Sentiment!G$2:G$37,"",0,1)),_xlfn.XLOOKUP($C516,Phone_by_Sentiment!$B$2:$B$37,Phone_by_Sentiment!G$2:G$37,"",0,1),0),$A516-TEXT(DATEVALUE($D516&amp;"-01"), "dd-mm-yyyy")),0),0)</f>
        <v>0</v>
      </c>
      <c r="H516" cm="1">
        <f t="array" ref="H516">IF($Q516&gt;=0,IFERROR(generateSalesData($D516, IF(ISNUMBER(_xlfn.XLOOKUP($C516,Phone_by_Sentiment!$B$2:$B$37,Phone_by_Sentiment!H$2:H$37,"",0,1)),_xlfn.XLOOKUP($C516,Phone_by_Sentiment!$B$2:$B$37,Phone_by_Sentiment!H$2:H$37,"",0,1),0),$A516-TEXT(DATEVALUE($D516&amp;"-01"), "dd-mm-yyyy")),0),0)</f>
        <v>0</v>
      </c>
      <c r="I516" cm="1">
        <f t="array" ref="I516">IF($Q516&gt;=0,IFERROR(generateSalesData($D516, IF(ISNUMBER(_xlfn.XLOOKUP($C516,Phone_by_Sentiment!$B$2:$B$37,Phone_by_Sentiment!I$2:I$37,"",0,1)),_xlfn.XLOOKUP($C516,Phone_by_Sentiment!$B$2:$B$37,Phone_by_Sentiment!I$2:I$37,"",0,1),0),$A516-TEXT(DATEVALUE($D516&amp;"-01"), "dd-mm-yyyy")),0),0)</f>
        <v>0</v>
      </c>
      <c r="J516" cm="1">
        <f t="array" ref="J516">IF($Q516&gt;=0,IFERROR(generateSalesData($D516, IF(ISNUMBER(_xlfn.XLOOKUP($C516,Phone_by_Sentiment!$B$2:$B$37,Phone_by_Sentiment!J$2:J$37,"",0,1)),_xlfn.XLOOKUP($C516,Phone_by_Sentiment!$B$2:$B$37,Phone_by_Sentiment!J$2:J$37,"",0,1),0),$A516-TEXT(DATEVALUE($D516&amp;"-01"), "dd-mm-yyyy")),0),0)</f>
        <v>0</v>
      </c>
      <c r="K516" cm="1">
        <f t="array" ref="K516">IF($Q516&gt;=0,IFERROR(generateSalesData($D516, IF(ISNUMBER(_xlfn.XLOOKUP($C516,Phone_by_Sentiment!$B$2:$B$37,Phone_by_Sentiment!K$2:K$37,"",0,1)),_xlfn.XLOOKUP($C516,Phone_by_Sentiment!$B$2:$B$37,Phone_by_Sentiment!K$2:K$37,"",0,1),0),$A516-TEXT(DATEVALUE($D516&amp;"-01"), "dd-mm-yyyy")),0),0)</f>
        <v>0</v>
      </c>
      <c r="L516" cm="1">
        <f t="array" ref="L516">IF($Q516&gt;=0,IFERROR(generateSalesData($D516, IF(ISNUMBER(_xlfn.XLOOKUP($C516,Phone_by_Sentiment!$B$2:$B$37,Phone_by_Sentiment!L$2:L$37,"",0,1)),_xlfn.XLOOKUP($C516,Phone_by_Sentiment!$B$2:$B$37,Phone_by_Sentiment!L$2:L$37,"",0,1),0),$A516-TEXT(DATEVALUE($D516&amp;"-01"), "dd-mm-yyyy")),0),0)</f>
        <v>0</v>
      </c>
      <c r="M516" cm="1">
        <f t="array" ref="M516">IF($Q516&gt;=0,IFERROR(generateSalesData($D516, IF(ISNUMBER(_xlfn.XLOOKUP($C516,Phone_by_Sentiment!$B$2:$B$37,Phone_by_Sentiment!M$2:M$37,"",0,1)),_xlfn.XLOOKUP($C516,Phone_by_Sentiment!$B$2:$B$37,Phone_by_Sentiment!M$2:M$37,"",0,1),0),$A516-TEXT(DATEVALUE($D516&amp;"-01"), "dd-mm-yyyy")),0),0)</f>
        <v>0</v>
      </c>
      <c r="N516" cm="1">
        <f t="array" ref="N516">IF($Q516&gt;=0,IFERROR(generateSalesData($D516, IF(ISNUMBER(_xlfn.XLOOKUP($C516,Phone_by_Sentiment!$B$2:$B$37,Phone_by_Sentiment!N$2:N$37,"",0,1)),_xlfn.XLOOKUP($C516,Phone_by_Sentiment!$B$2:$B$37,Phone_by_Sentiment!N$2:N$37,"",0,1),0),$A516-TEXT(DATEVALUE($D516&amp;"-01"), "dd-mm-yyyy")),0),0)</f>
        <v>0</v>
      </c>
      <c r="O516" cm="1">
        <f t="array" ref="O516">IF($Q516&gt;=0,IFERROR(generateSalesData($D516, IF(ISNUMBER(_xlfn.XLOOKUP($C516,Phone_by_Sentiment!$B$2:$B$37,Phone_by_Sentiment!O$2:O$37,"",0,1)),_xlfn.XLOOKUP($C516,Phone_by_Sentiment!$B$2:$B$37,Phone_by_Sentiment!O$2:O$37,"",0,1),0),$A516-TEXT(DATEVALUE($D516&amp;"-01"), "dd-mm-yyyy")),0),0)</f>
        <v>0</v>
      </c>
      <c r="P516" s="1">
        <f t="shared" ref="P516:P579" si="22">DATEVALUE($D516&amp;"-01")</f>
        <v>44317</v>
      </c>
      <c r="Q516">
        <f t="shared" ref="Q516:Q579" si="23">A516-P516</f>
        <v>-426</v>
      </c>
    </row>
    <row r="517" spans="1:17" x14ac:dyDescent="0.25">
      <c r="A517" s="1">
        <f t="shared" si="21"/>
        <v>43891</v>
      </c>
      <c r="B517" t="s">
        <v>161</v>
      </c>
      <c r="C517" t="str">
        <f>_xlfn.XLOOKUP(B517,Phone_by_Price!$A$2:$A$34,Phone_by_Price!$B$2:$B$34,"-",0,1)</f>
        <v>Samsung Galaxy Z Flip 3</v>
      </c>
      <c r="D517" t="str">
        <f>_xlfn.XLOOKUP(C517,Phone_by_Sentiment!$B$2:$B$37,Phone_by_Sentiment!$A$2:$A$37,"-",0,1)</f>
        <v>2021-09</v>
      </c>
      <c r="E517" cm="1">
        <f t="array" ref="E517">IF($Q517&gt;=0,IFERROR(generateSalesData($D517, IF(ISNUMBER(_xlfn.XLOOKUP($C517,Phone_by_Sentiment!$B$2:$B$37,Phone_by_Sentiment!E$2:E$37,"",0,1)),_xlfn.XLOOKUP($C517,Phone_by_Sentiment!$B$2:$B$37,Phone_by_Sentiment!E$2:E$37,"",0,1),0),$A517-TEXT(DATEVALUE($D517&amp;"-01"), "dd-mm-yyyy")),0),0)</f>
        <v>0</v>
      </c>
      <c r="F517" cm="1">
        <f t="array" ref="F517">IF($Q517&gt;=0,IFERROR(generateSalesData($D517, IF(ISNUMBER(_xlfn.XLOOKUP($C517,Phone_by_Sentiment!$B$2:$B$37,Phone_by_Sentiment!F$2:F$37,"",0,1)),_xlfn.XLOOKUP($C517,Phone_by_Sentiment!$B$2:$B$37,Phone_by_Sentiment!F$2:F$37,"",0,1),0),$A517-TEXT(DATEVALUE($D517&amp;"-01"), "dd-mm-yyyy")),0),0)</f>
        <v>0</v>
      </c>
      <c r="G517" cm="1">
        <f t="array" ref="G517">IF($Q517&gt;=0,IFERROR(generateSalesData($D517, IF(ISNUMBER(_xlfn.XLOOKUP($C517,Phone_by_Sentiment!$B$2:$B$37,Phone_by_Sentiment!G$2:G$37,"",0,1)),_xlfn.XLOOKUP($C517,Phone_by_Sentiment!$B$2:$B$37,Phone_by_Sentiment!G$2:G$37,"",0,1),0),$A517-TEXT(DATEVALUE($D517&amp;"-01"), "dd-mm-yyyy")),0),0)</f>
        <v>0</v>
      </c>
      <c r="H517" cm="1">
        <f t="array" ref="H517">IF($Q517&gt;=0,IFERROR(generateSalesData($D517, IF(ISNUMBER(_xlfn.XLOOKUP($C517,Phone_by_Sentiment!$B$2:$B$37,Phone_by_Sentiment!H$2:H$37,"",0,1)),_xlfn.XLOOKUP($C517,Phone_by_Sentiment!$B$2:$B$37,Phone_by_Sentiment!H$2:H$37,"",0,1),0),$A517-TEXT(DATEVALUE($D517&amp;"-01"), "dd-mm-yyyy")),0),0)</f>
        <v>0</v>
      </c>
      <c r="I517" cm="1">
        <f t="array" ref="I517">IF($Q517&gt;=0,IFERROR(generateSalesData($D517, IF(ISNUMBER(_xlfn.XLOOKUP($C517,Phone_by_Sentiment!$B$2:$B$37,Phone_by_Sentiment!I$2:I$37,"",0,1)),_xlfn.XLOOKUP($C517,Phone_by_Sentiment!$B$2:$B$37,Phone_by_Sentiment!I$2:I$37,"",0,1),0),$A517-TEXT(DATEVALUE($D517&amp;"-01"), "dd-mm-yyyy")),0),0)</f>
        <v>0</v>
      </c>
      <c r="J517" cm="1">
        <f t="array" ref="J517">IF($Q517&gt;=0,IFERROR(generateSalesData($D517, IF(ISNUMBER(_xlfn.XLOOKUP($C517,Phone_by_Sentiment!$B$2:$B$37,Phone_by_Sentiment!J$2:J$37,"",0,1)),_xlfn.XLOOKUP($C517,Phone_by_Sentiment!$B$2:$B$37,Phone_by_Sentiment!J$2:J$37,"",0,1),0),$A517-TEXT(DATEVALUE($D517&amp;"-01"), "dd-mm-yyyy")),0),0)</f>
        <v>0</v>
      </c>
      <c r="K517" cm="1">
        <f t="array" ref="K517">IF($Q517&gt;=0,IFERROR(generateSalesData($D517, IF(ISNUMBER(_xlfn.XLOOKUP($C517,Phone_by_Sentiment!$B$2:$B$37,Phone_by_Sentiment!K$2:K$37,"",0,1)),_xlfn.XLOOKUP($C517,Phone_by_Sentiment!$B$2:$B$37,Phone_by_Sentiment!K$2:K$37,"",0,1),0),$A517-TEXT(DATEVALUE($D517&amp;"-01"), "dd-mm-yyyy")),0),0)</f>
        <v>0</v>
      </c>
      <c r="L517" cm="1">
        <f t="array" ref="L517">IF($Q517&gt;=0,IFERROR(generateSalesData($D517, IF(ISNUMBER(_xlfn.XLOOKUP($C517,Phone_by_Sentiment!$B$2:$B$37,Phone_by_Sentiment!L$2:L$37,"",0,1)),_xlfn.XLOOKUP($C517,Phone_by_Sentiment!$B$2:$B$37,Phone_by_Sentiment!L$2:L$37,"",0,1),0),$A517-TEXT(DATEVALUE($D517&amp;"-01"), "dd-mm-yyyy")),0),0)</f>
        <v>0</v>
      </c>
      <c r="M517" cm="1">
        <f t="array" ref="M517">IF($Q517&gt;=0,IFERROR(generateSalesData($D517, IF(ISNUMBER(_xlfn.XLOOKUP($C517,Phone_by_Sentiment!$B$2:$B$37,Phone_by_Sentiment!M$2:M$37,"",0,1)),_xlfn.XLOOKUP($C517,Phone_by_Sentiment!$B$2:$B$37,Phone_by_Sentiment!M$2:M$37,"",0,1),0),$A517-TEXT(DATEVALUE($D517&amp;"-01"), "dd-mm-yyyy")),0),0)</f>
        <v>0</v>
      </c>
      <c r="N517" cm="1">
        <f t="array" ref="N517">IF($Q517&gt;=0,IFERROR(generateSalesData($D517, IF(ISNUMBER(_xlfn.XLOOKUP($C517,Phone_by_Sentiment!$B$2:$B$37,Phone_by_Sentiment!N$2:N$37,"",0,1)),_xlfn.XLOOKUP($C517,Phone_by_Sentiment!$B$2:$B$37,Phone_by_Sentiment!N$2:N$37,"",0,1),0),$A517-TEXT(DATEVALUE($D517&amp;"-01"), "dd-mm-yyyy")),0),0)</f>
        <v>0</v>
      </c>
      <c r="O517" cm="1">
        <f t="array" ref="O517">IF($Q517&gt;=0,IFERROR(generateSalesData($D517, IF(ISNUMBER(_xlfn.XLOOKUP($C517,Phone_by_Sentiment!$B$2:$B$37,Phone_by_Sentiment!O$2:O$37,"",0,1)),_xlfn.XLOOKUP($C517,Phone_by_Sentiment!$B$2:$B$37,Phone_by_Sentiment!O$2:O$37,"",0,1),0),$A517-TEXT(DATEVALUE($D517&amp;"-01"), "dd-mm-yyyy")),0),0)</f>
        <v>0</v>
      </c>
      <c r="P517" s="1">
        <f t="shared" si="22"/>
        <v>44440</v>
      </c>
      <c r="Q517">
        <f t="shared" si="23"/>
        <v>-549</v>
      </c>
    </row>
    <row r="518" spans="1:17" x14ac:dyDescent="0.25">
      <c r="A518" s="1">
        <f t="shared" si="21"/>
        <v>43891</v>
      </c>
      <c r="B518" t="s">
        <v>162</v>
      </c>
      <c r="C518" t="str">
        <f>_xlfn.XLOOKUP(B518,Phone_by_Price!$A$2:$A$34,Phone_by_Price!$B$2:$B$34,"-",0,1)</f>
        <v>Xiaomi Poco X3 NFC</v>
      </c>
      <c r="D518" t="str">
        <f>_xlfn.XLOOKUP(C518,Phone_by_Sentiment!$B$2:$B$37,Phone_by_Sentiment!$A$2:$A$37,"-",0,1)</f>
        <v>2020-08</v>
      </c>
      <c r="E518" cm="1">
        <f t="array" ref="E518">IF($Q518&gt;=0,IFERROR(generateSalesData($D518, IF(ISNUMBER(_xlfn.XLOOKUP($C518,Phone_by_Sentiment!$B$2:$B$37,Phone_by_Sentiment!E$2:E$37,"",0,1)),_xlfn.XLOOKUP($C518,Phone_by_Sentiment!$B$2:$B$37,Phone_by_Sentiment!E$2:E$37,"",0,1),0),$A518-TEXT(DATEVALUE($D518&amp;"-01"), "dd-mm-yyyy")),0),0)</f>
        <v>0</v>
      </c>
      <c r="F518" cm="1">
        <f t="array" ref="F518">IF($Q518&gt;=0,IFERROR(generateSalesData($D518, IF(ISNUMBER(_xlfn.XLOOKUP($C518,Phone_by_Sentiment!$B$2:$B$37,Phone_by_Sentiment!F$2:F$37,"",0,1)),_xlfn.XLOOKUP($C518,Phone_by_Sentiment!$B$2:$B$37,Phone_by_Sentiment!F$2:F$37,"",0,1),0),$A518-TEXT(DATEVALUE($D518&amp;"-01"), "dd-mm-yyyy")),0),0)</f>
        <v>0</v>
      </c>
      <c r="G518" cm="1">
        <f t="array" ref="G518">IF($Q518&gt;=0,IFERROR(generateSalesData($D518, IF(ISNUMBER(_xlfn.XLOOKUP($C518,Phone_by_Sentiment!$B$2:$B$37,Phone_by_Sentiment!G$2:G$37,"",0,1)),_xlfn.XLOOKUP($C518,Phone_by_Sentiment!$B$2:$B$37,Phone_by_Sentiment!G$2:G$37,"",0,1),0),$A518-TEXT(DATEVALUE($D518&amp;"-01"), "dd-mm-yyyy")),0),0)</f>
        <v>0</v>
      </c>
      <c r="H518" cm="1">
        <f t="array" ref="H518">IF($Q518&gt;=0,IFERROR(generateSalesData($D518, IF(ISNUMBER(_xlfn.XLOOKUP($C518,Phone_by_Sentiment!$B$2:$B$37,Phone_by_Sentiment!H$2:H$37,"",0,1)),_xlfn.XLOOKUP($C518,Phone_by_Sentiment!$B$2:$B$37,Phone_by_Sentiment!H$2:H$37,"",0,1),0),$A518-TEXT(DATEVALUE($D518&amp;"-01"), "dd-mm-yyyy")),0),0)</f>
        <v>0</v>
      </c>
      <c r="I518" cm="1">
        <f t="array" ref="I518">IF($Q518&gt;=0,IFERROR(generateSalesData($D518, IF(ISNUMBER(_xlfn.XLOOKUP($C518,Phone_by_Sentiment!$B$2:$B$37,Phone_by_Sentiment!I$2:I$37,"",0,1)),_xlfn.XLOOKUP($C518,Phone_by_Sentiment!$B$2:$B$37,Phone_by_Sentiment!I$2:I$37,"",0,1),0),$A518-TEXT(DATEVALUE($D518&amp;"-01"), "dd-mm-yyyy")),0),0)</f>
        <v>0</v>
      </c>
      <c r="J518" cm="1">
        <f t="array" ref="J518">IF($Q518&gt;=0,IFERROR(generateSalesData($D518, IF(ISNUMBER(_xlfn.XLOOKUP($C518,Phone_by_Sentiment!$B$2:$B$37,Phone_by_Sentiment!J$2:J$37,"",0,1)),_xlfn.XLOOKUP($C518,Phone_by_Sentiment!$B$2:$B$37,Phone_by_Sentiment!J$2:J$37,"",0,1),0),$A518-TEXT(DATEVALUE($D518&amp;"-01"), "dd-mm-yyyy")),0),0)</f>
        <v>0</v>
      </c>
      <c r="K518" cm="1">
        <f t="array" ref="K518">IF($Q518&gt;=0,IFERROR(generateSalesData($D518, IF(ISNUMBER(_xlfn.XLOOKUP($C518,Phone_by_Sentiment!$B$2:$B$37,Phone_by_Sentiment!K$2:K$37,"",0,1)),_xlfn.XLOOKUP($C518,Phone_by_Sentiment!$B$2:$B$37,Phone_by_Sentiment!K$2:K$37,"",0,1),0),$A518-TEXT(DATEVALUE($D518&amp;"-01"), "dd-mm-yyyy")),0),0)</f>
        <v>0</v>
      </c>
      <c r="L518" cm="1">
        <f t="array" ref="L518">IF($Q518&gt;=0,IFERROR(generateSalesData($D518, IF(ISNUMBER(_xlfn.XLOOKUP($C518,Phone_by_Sentiment!$B$2:$B$37,Phone_by_Sentiment!L$2:L$37,"",0,1)),_xlfn.XLOOKUP($C518,Phone_by_Sentiment!$B$2:$B$37,Phone_by_Sentiment!L$2:L$37,"",0,1),0),$A518-TEXT(DATEVALUE($D518&amp;"-01"), "dd-mm-yyyy")),0),0)</f>
        <v>0</v>
      </c>
      <c r="M518" cm="1">
        <f t="array" ref="M518">IF($Q518&gt;=0,IFERROR(generateSalesData($D518, IF(ISNUMBER(_xlfn.XLOOKUP($C518,Phone_by_Sentiment!$B$2:$B$37,Phone_by_Sentiment!M$2:M$37,"",0,1)),_xlfn.XLOOKUP($C518,Phone_by_Sentiment!$B$2:$B$37,Phone_by_Sentiment!M$2:M$37,"",0,1),0),$A518-TEXT(DATEVALUE($D518&amp;"-01"), "dd-mm-yyyy")),0),0)</f>
        <v>0</v>
      </c>
      <c r="N518" cm="1">
        <f t="array" ref="N518">IF($Q518&gt;=0,IFERROR(generateSalesData($D518, IF(ISNUMBER(_xlfn.XLOOKUP($C518,Phone_by_Sentiment!$B$2:$B$37,Phone_by_Sentiment!N$2:N$37,"",0,1)),_xlfn.XLOOKUP($C518,Phone_by_Sentiment!$B$2:$B$37,Phone_by_Sentiment!N$2:N$37,"",0,1),0),$A518-TEXT(DATEVALUE($D518&amp;"-01"), "dd-mm-yyyy")),0),0)</f>
        <v>0</v>
      </c>
      <c r="O518" cm="1">
        <f t="array" ref="O518">IF($Q518&gt;=0,IFERROR(generateSalesData($D518, IF(ISNUMBER(_xlfn.XLOOKUP($C518,Phone_by_Sentiment!$B$2:$B$37,Phone_by_Sentiment!O$2:O$37,"",0,1)),_xlfn.XLOOKUP($C518,Phone_by_Sentiment!$B$2:$B$37,Phone_by_Sentiment!O$2:O$37,"",0,1),0),$A518-TEXT(DATEVALUE($D518&amp;"-01"), "dd-mm-yyyy")),0),0)</f>
        <v>0</v>
      </c>
      <c r="P518" s="1">
        <f t="shared" si="22"/>
        <v>44044</v>
      </c>
      <c r="Q518">
        <f t="shared" si="23"/>
        <v>-153</v>
      </c>
    </row>
    <row r="519" spans="1:17" x14ac:dyDescent="0.25">
      <c r="A519" s="1">
        <f t="shared" si="21"/>
        <v>43891</v>
      </c>
      <c r="B519" t="s">
        <v>163</v>
      </c>
      <c r="C519" t="str">
        <f>_xlfn.XLOOKUP(B519,Phone_by_Price!$A$2:$A$34,Phone_by_Price!$B$2:$B$34,"-",0,1)</f>
        <v>OPPO A93</v>
      </c>
      <c r="D519" t="str">
        <f>_xlfn.XLOOKUP(C519,Phone_by_Sentiment!$B$2:$B$37,Phone_by_Sentiment!$A$2:$A$37,"-",0,1)</f>
        <v>2021-02</v>
      </c>
      <c r="E519" cm="1">
        <f t="array" ref="E519">IF($Q519&gt;=0,IFERROR(generateSalesData($D519, IF(ISNUMBER(_xlfn.XLOOKUP($C519,Phone_by_Sentiment!$B$2:$B$37,Phone_by_Sentiment!E$2:E$37,"",0,1)),_xlfn.XLOOKUP($C519,Phone_by_Sentiment!$B$2:$B$37,Phone_by_Sentiment!E$2:E$37,"",0,1),0),$A519-TEXT(DATEVALUE($D519&amp;"-01"), "dd-mm-yyyy")),0),0)</f>
        <v>0</v>
      </c>
      <c r="F519" cm="1">
        <f t="array" ref="F519">IF($Q519&gt;=0,IFERROR(generateSalesData($D519, IF(ISNUMBER(_xlfn.XLOOKUP($C519,Phone_by_Sentiment!$B$2:$B$37,Phone_by_Sentiment!F$2:F$37,"",0,1)),_xlfn.XLOOKUP($C519,Phone_by_Sentiment!$B$2:$B$37,Phone_by_Sentiment!F$2:F$37,"",0,1),0),$A519-TEXT(DATEVALUE($D519&amp;"-01"), "dd-mm-yyyy")),0),0)</f>
        <v>0</v>
      </c>
      <c r="G519" cm="1">
        <f t="array" ref="G519">IF($Q519&gt;=0,IFERROR(generateSalesData($D519, IF(ISNUMBER(_xlfn.XLOOKUP($C519,Phone_by_Sentiment!$B$2:$B$37,Phone_by_Sentiment!G$2:G$37,"",0,1)),_xlfn.XLOOKUP($C519,Phone_by_Sentiment!$B$2:$B$37,Phone_by_Sentiment!G$2:G$37,"",0,1),0),$A519-TEXT(DATEVALUE($D519&amp;"-01"), "dd-mm-yyyy")),0),0)</f>
        <v>0</v>
      </c>
      <c r="H519" cm="1">
        <f t="array" ref="H519">IF($Q519&gt;=0,IFERROR(generateSalesData($D519, IF(ISNUMBER(_xlfn.XLOOKUP($C519,Phone_by_Sentiment!$B$2:$B$37,Phone_by_Sentiment!H$2:H$37,"",0,1)),_xlfn.XLOOKUP($C519,Phone_by_Sentiment!$B$2:$B$37,Phone_by_Sentiment!H$2:H$37,"",0,1),0),$A519-TEXT(DATEVALUE($D519&amp;"-01"), "dd-mm-yyyy")),0),0)</f>
        <v>0</v>
      </c>
      <c r="I519" cm="1">
        <f t="array" ref="I519">IF($Q519&gt;=0,IFERROR(generateSalesData($D519, IF(ISNUMBER(_xlfn.XLOOKUP($C519,Phone_by_Sentiment!$B$2:$B$37,Phone_by_Sentiment!I$2:I$37,"",0,1)),_xlfn.XLOOKUP($C519,Phone_by_Sentiment!$B$2:$B$37,Phone_by_Sentiment!I$2:I$37,"",0,1),0),$A519-TEXT(DATEVALUE($D519&amp;"-01"), "dd-mm-yyyy")),0),0)</f>
        <v>0</v>
      </c>
      <c r="J519" cm="1">
        <f t="array" ref="J519">IF($Q519&gt;=0,IFERROR(generateSalesData($D519, IF(ISNUMBER(_xlfn.XLOOKUP($C519,Phone_by_Sentiment!$B$2:$B$37,Phone_by_Sentiment!J$2:J$37,"",0,1)),_xlfn.XLOOKUP($C519,Phone_by_Sentiment!$B$2:$B$37,Phone_by_Sentiment!J$2:J$37,"",0,1),0),$A519-TEXT(DATEVALUE($D519&amp;"-01"), "dd-mm-yyyy")),0),0)</f>
        <v>0</v>
      </c>
      <c r="K519" cm="1">
        <f t="array" ref="K519">IF($Q519&gt;=0,IFERROR(generateSalesData($D519, IF(ISNUMBER(_xlfn.XLOOKUP($C519,Phone_by_Sentiment!$B$2:$B$37,Phone_by_Sentiment!K$2:K$37,"",0,1)),_xlfn.XLOOKUP($C519,Phone_by_Sentiment!$B$2:$B$37,Phone_by_Sentiment!K$2:K$37,"",0,1),0),$A519-TEXT(DATEVALUE($D519&amp;"-01"), "dd-mm-yyyy")),0),0)</f>
        <v>0</v>
      </c>
      <c r="L519" cm="1">
        <f t="array" ref="L519">IF($Q519&gt;=0,IFERROR(generateSalesData($D519, IF(ISNUMBER(_xlfn.XLOOKUP($C519,Phone_by_Sentiment!$B$2:$B$37,Phone_by_Sentiment!L$2:L$37,"",0,1)),_xlfn.XLOOKUP($C519,Phone_by_Sentiment!$B$2:$B$37,Phone_by_Sentiment!L$2:L$37,"",0,1),0),$A519-TEXT(DATEVALUE($D519&amp;"-01"), "dd-mm-yyyy")),0),0)</f>
        <v>0</v>
      </c>
      <c r="M519" cm="1">
        <f t="array" ref="M519">IF($Q519&gt;=0,IFERROR(generateSalesData($D519, IF(ISNUMBER(_xlfn.XLOOKUP($C519,Phone_by_Sentiment!$B$2:$B$37,Phone_by_Sentiment!M$2:M$37,"",0,1)),_xlfn.XLOOKUP($C519,Phone_by_Sentiment!$B$2:$B$37,Phone_by_Sentiment!M$2:M$37,"",0,1),0),$A519-TEXT(DATEVALUE($D519&amp;"-01"), "dd-mm-yyyy")),0),0)</f>
        <v>0</v>
      </c>
      <c r="N519" cm="1">
        <f t="array" ref="N519">IF($Q519&gt;=0,IFERROR(generateSalesData($D519, IF(ISNUMBER(_xlfn.XLOOKUP($C519,Phone_by_Sentiment!$B$2:$B$37,Phone_by_Sentiment!N$2:N$37,"",0,1)),_xlfn.XLOOKUP($C519,Phone_by_Sentiment!$B$2:$B$37,Phone_by_Sentiment!N$2:N$37,"",0,1),0),$A519-TEXT(DATEVALUE($D519&amp;"-01"), "dd-mm-yyyy")),0),0)</f>
        <v>0</v>
      </c>
      <c r="O519" cm="1">
        <f t="array" ref="O519">IF($Q519&gt;=0,IFERROR(generateSalesData($D519, IF(ISNUMBER(_xlfn.XLOOKUP($C519,Phone_by_Sentiment!$B$2:$B$37,Phone_by_Sentiment!O$2:O$37,"",0,1)),_xlfn.XLOOKUP($C519,Phone_by_Sentiment!$B$2:$B$37,Phone_by_Sentiment!O$2:O$37,"",0,1),0),$A519-TEXT(DATEVALUE($D519&amp;"-01"), "dd-mm-yyyy")),0),0)</f>
        <v>0</v>
      </c>
      <c r="P519" s="1">
        <f t="shared" si="22"/>
        <v>44228</v>
      </c>
      <c r="Q519">
        <f t="shared" si="23"/>
        <v>-337</v>
      </c>
    </row>
    <row r="520" spans="1:17" x14ac:dyDescent="0.25">
      <c r="A520" s="1">
        <f t="shared" si="21"/>
        <v>43891</v>
      </c>
      <c r="B520" t="s">
        <v>164</v>
      </c>
      <c r="C520" t="str">
        <f>_xlfn.XLOOKUP(B520,Phone_by_Price!$A$2:$A$34,Phone_by_Price!$B$2:$B$34,"-",0,1)</f>
        <v>Vivo V20</v>
      </c>
      <c r="D520" t="str">
        <f>_xlfn.XLOOKUP(C520,Phone_by_Sentiment!$B$2:$B$37,Phone_by_Sentiment!$A$2:$A$37,"-",0,1)</f>
        <v>2020-10</v>
      </c>
      <c r="E520" cm="1">
        <f t="array" ref="E520">IF($Q520&gt;=0,IFERROR(generateSalesData($D520, IF(ISNUMBER(_xlfn.XLOOKUP($C520,Phone_by_Sentiment!$B$2:$B$37,Phone_by_Sentiment!E$2:E$37,"",0,1)),_xlfn.XLOOKUP($C520,Phone_by_Sentiment!$B$2:$B$37,Phone_by_Sentiment!E$2:E$37,"",0,1),0),$A520-TEXT(DATEVALUE($D520&amp;"-01"), "dd-mm-yyyy")),0),0)</f>
        <v>0</v>
      </c>
      <c r="F520" cm="1">
        <f t="array" ref="F520">IF($Q520&gt;=0,IFERROR(generateSalesData($D520, IF(ISNUMBER(_xlfn.XLOOKUP($C520,Phone_by_Sentiment!$B$2:$B$37,Phone_by_Sentiment!F$2:F$37,"",0,1)),_xlfn.XLOOKUP($C520,Phone_by_Sentiment!$B$2:$B$37,Phone_by_Sentiment!F$2:F$37,"",0,1),0),$A520-TEXT(DATEVALUE($D520&amp;"-01"), "dd-mm-yyyy")),0),0)</f>
        <v>0</v>
      </c>
      <c r="G520" cm="1">
        <f t="array" ref="G520">IF($Q520&gt;=0,IFERROR(generateSalesData($D520, IF(ISNUMBER(_xlfn.XLOOKUP($C520,Phone_by_Sentiment!$B$2:$B$37,Phone_by_Sentiment!G$2:G$37,"",0,1)),_xlfn.XLOOKUP($C520,Phone_by_Sentiment!$B$2:$B$37,Phone_by_Sentiment!G$2:G$37,"",0,1),0),$A520-TEXT(DATEVALUE($D520&amp;"-01"), "dd-mm-yyyy")),0),0)</f>
        <v>0</v>
      </c>
      <c r="H520" cm="1">
        <f t="array" ref="H520">IF($Q520&gt;=0,IFERROR(generateSalesData($D520, IF(ISNUMBER(_xlfn.XLOOKUP($C520,Phone_by_Sentiment!$B$2:$B$37,Phone_by_Sentiment!H$2:H$37,"",0,1)),_xlfn.XLOOKUP($C520,Phone_by_Sentiment!$B$2:$B$37,Phone_by_Sentiment!H$2:H$37,"",0,1),0),$A520-TEXT(DATEVALUE($D520&amp;"-01"), "dd-mm-yyyy")),0),0)</f>
        <v>0</v>
      </c>
      <c r="I520" cm="1">
        <f t="array" ref="I520">IF($Q520&gt;=0,IFERROR(generateSalesData($D520, IF(ISNUMBER(_xlfn.XLOOKUP($C520,Phone_by_Sentiment!$B$2:$B$37,Phone_by_Sentiment!I$2:I$37,"",0,1)),_xlfn.XLOOKUP($C520,Phone_by_Sentiment!$B$2:$B$37,Phone_by_Sentiment!I$2:I$37,"",0,1),0),$A520-TEXT(DATEVALUE($D520&amp;"-01"), "dd-mm-yyyy")),0),0)</f>
        <v>0</v>
      </c>
      <c r="J520" cm="1">
        <f t="array" ref="J520">IF($Q520&gt;=0,IFERROR(generateSalesData($D520, IF(ISNUMBER(_xlfn.XLOOKUP($C520,Phone_by_Sentiment!$B$2:$B$37,Phone_by_Sentiment!J$2:J$37,"",0,1)),_xlfn.XLOOKUP($C520,Phone_by_Sentiment!$B$2:$B$37,Phone_by_Sentiment!J$2:J$37,"",0,1),0),$A520-TEXT(DATEVALUE($D520&amp;"-01"), "dd-mm-yyyy")),0),0)</f>
        <v>0</v>
      </c>
      <c r="K520" cm="1">
        <f t="array" ref="K520">IF($Q520&gt;=0,IFERROR(generateSalesData($D520, IF(ISNUMBER(_xlfn.XLOOKUP($C520,Phone_by_Sentiment!$B$2:$B$37,Phone_by_Sentiment!K$2:K$37,"",0,1)),_xlfn.XLOOKUP($C520,Phone_by_Sentiment!$B$2:$B$37,Phone_by_Sentiment!K$2:K$37,"",0,1),0),$A520-TEXT(DATEVALUE($D520&amp;"-01"), "dd-mm-yyyy")),0),0)</f>
        <v>0</v>
      </c>
      <c r="L520" cm="1">
        <f t="array" ref="L520">IF($Q520&gt;=0,IFERROR(generateSalesData($D520, IF(ISNUMBER(_xlfn.XLOOKUP($C520,Phone_by_Sentiment!$B$2:$B$37,Phone_by_Sentiment!L$2:L$37,"",0,1)),_xlfn.XLOOKUP($C520,Phone_by_Sentiment!$B$2:$B$37,Phone_by_Sentiment!L$2:L$37,"",0,1),0),$A520-TEXT(DATEVALUE($D520&amp;"-01"), "dd-mm-yyyy")),0),0)</f>
        <v>0</v>
      </c>
      <c r="M520" cm="1">
        <f t="array" ref="M520">IF($Q520&gt;=0,IFERROR(generateSalesData($D520, IF(ISNUMBER(_xlfn.XLOOKUP($C520,Phone_by_Sentiment!$B$2:$B$37,Phone_by_Sentiment!M$2:M$37,"",0,1)),_xlfn.XLOOKUP($C520,Phone_by_Sentiment!$B$2:$B$37,Phone_by_Sentiment!M$2:M$37,"",0,1),0),$A520-TEXT(DATEVALUE($D520&amp;"-01"), "dd-mm-yyyy")),0),0)</f>
        <v>0</v>
      </c>
      <c r="N520" cm="1">
        <f t="array" ref="N520">IF($Q520&gt;=0,IFERROR(generateSalesData($D520, IF(ISNUMBER(_xlfn.XLOOKUP($C520,Phone_by_Sentiment!$B$2:$B$37,Phone_by_Sentiment!N$2:N$37,"",0,1)),_xlfn.XLOOKUP($C520,Phone_by_Sentiment!$B$2:$B$37,Phone_by_Sentiment!N$2:N$37,"",0,1),0),$A520-TEXT(DATEVALUE($D520&amp;"-01"), "dd-mm-yyyy")),0),0)</f>
        <v>0</v>
      </c>
      <c r="O520" cm="1">
        <f t="array" ref="O520">IF($Q520&gt;=0,IFERROR(generateSalesData($D520, IF(ISNUMBER(_xlfn.XLOOKUP($C520,Phone_by_Sentiment!$B$2:$B$37,Phone_by_Sentiment!O$2:O$37,"",0,1)),_xlfn.XLOOKUP($C520,Phone_by_Sentiment!$B$2:$B$37,Phone_by_Sentiment!O$2:O$37,"",0,1),0),$A520-TEXT(DATEVALUE($D520&amp;"-01"), "dd-mm-yyyy")),0),0)</f>
        <v>0</v>
      </c>
      <c r="P520" s="1">
        <f t="shared" si="22"/>
        <v>44105</v>
      </c>
      <c r="Q520">
        <f t="shared" si="23"/>
        <v>-214</v>
      </c>
    </row>
    <row r="521" spans="1:17" x14ac:dyDescent="0.25">
      <c r="A521" s="1">
        <f t="shared" si="21"/>
        <v>43891</v>
      </c>
      <c r="B521" t="s">
        <v>165</v>
      </c>
      <c r="C521" t="str">
        <f>_xlfn.XLOOKUP(B521,Phone_by_Price!$A$2:$A$34,Phone_by_Price!$B$2:$B$34,"-",0,1)</f>
        <v>Samsung Galaxy A50</v>
      </c>
      <c r="D521" t="str">
        <f>_xlfn.XLOOKUP(C521,Phone_by_Sentiment!$B$2:$B$37,Phone_by_Sentiment!$A$2:$A$37,"-",0,1)</f>
        <v>2019-05</v>
      </c>
      <c r="E521" cm="1">
        <f t="array" ref="E521">IF($Q521&gt;=0,IFERROR(generateSalesData($D521, IF(ISNUMBER(_xlfn.XLOOKUP($C521,Phone_by_Sentiment!$B$2:$B$37,Phone_by_Sentiment!E$2:E$37,"",0,1)),_xlfn.XLOOKUP($C521,Phone_by_Sentiment!$B$2:$B$37,Phone_by_Sentiment!E$2:E$37,"",0,1),0),$A521-TEXT(DATEVALUE($D521&amp;"-01"), "dd-mm-yyyy")),0),0)</f>
        <v>609</v>
      </c>
      <c r="F521" cm="1">
        <f t="array" ref="F521">IF($Q521&gt;=0,IFERROR(generateSalesData($D521, IF(ISNUMBER(_xlfn.XLOOKUP($C521,Phone_by_Sentiment!$B$2:$B$37,Phone_by_Sentiment!F$2:F$37,"",0,1)),_xlfn.XLOOKUP($C521,Phone_by_Sentiment!$B$2:$B$37,Phone_by_Sentiment!F$2:F$37,"",0,1),0),$A521-TEXT(DATEVALUE($D521&amp;"-01"), "dd-mm-yyyy")),0),0)</f>
        <v>187</v>
      </c>
      <c r="G521" cm="1">
        <f t="array" ref="G521">IF($Q521&gt;=0,IFERROR(generateSalesData($D521, IF(ISNUMBER(_xlfn.XLOOKUP($C521,Phone_by_Sentiment!$B$2:$B$37,Phone_by_Sentiment!G$2:G$37,"",0,1)),_xlfn.XLOOKUP($C521,Phone_by_Sentiment!$B$2:$B$37,Phone_by_Sentiment!G$2:G$37,"",0,1),0),$A521-TEXT(DATEVALUE($D521&amp;"-01"), "dd-mm-yyyy")),0),0)</f>
        <v>445</v>
      </c>
      <c r="H521" cm="1">
        <f t="array" ref="H521">IF($Q521&gt;=0,IFERROR(generateSalesData($D521, IF(ISNUMBER(_xlfn.XLOOKUP($C521,Phone_by_Sentiment!$B$2:$B$37,Phone_by_Sentiment!H$2:H$37,"",0,1)),_xlfn.XLOOKUP($C521,Phone_by_Sentiment!$B$2:$B$37,Phone_by_Sentiment!H$2:H$37,"",0,1),0),$A521-TEXT(DATEVALUE($D521&amp;"-01"), "dd-mm-yyyy")),0),0)</f>
        <v>546</v>
      </c>
      <c r="I521" cm="1">
        <f t="array" ref="I521">IF($Q521&gt;=0,IFERROR(generateSalesData($D521, IF(ISNUMBER(_xlfn.XLOOKUP($C521,Phone_by_Sentiment!$B$2:$B$37,Phone_by_Sentiment!I$2:I$37,"",0,1)),_xlfn.XLOOKUP($C521,Phone_by_Sentiment!$B$2:$B$37,Phone_by_Sentiment!I$2:I$37,"",0,1),0),$A521-TEXT(DATEVALUE($D521&amp;"-01"), "dd-mm-yyyy")),0),0)</f>
        <v>1161</v>
      </c>
      <c r="J521" cm="1">
        <f t="array" ref="J521">IF($Q521&gt;=0,IFERROR(generateSalesData($D521, IF(ISNUMBER(_xlfn.XLOOKUP($C521,Phone_by_Sentiment!$B$2:$B$37,Phone_by_Sentiment!J$2:J$37,"",0,1)),_xlfn.XLOOKUP($C521,Phone_by_Sentiment!$B$2:$B$37,Phone_by_Sentiment!J$2:J$37,"",0,1),0),$A521-TEXT(DATEVALUE($D521&amp;"-01"), "dd-mm-yyyy")),0),0)</f>
        <v>167</v>
      </c>
      <c r="K521" cm="1">
        <f t="array" ref="K521">IF($Q521&gt;=0,IFERROR(generateSalesData($D521, IF(ISNUMBER(_xlfn.XLOOKUP($C521,Phone_by_Sentiment!$B$2:$B$37,Phone_by_Sentiment!K$2:K$37,"",0,1)),_xlfn.XLOOKUP($C521,Phone_by_Sentiment!$B$2:$B$37,Phone_by_Sentiment!K$2:K$37,"",0,1),0),$A521-TEXT(DATEVALUE($D521&amp;"-01"), "dd-mm-yyyy")),0),0)</f>
        <v>191</v>
      </c>
      <c r="L521" cm="1">
        <f t="array" ref="L521">IF($Q521&gt;=0,IFERROR(generateSalesData($D521, IF(ISNUMBER(_xlfn.XLOOKUP($C521,Phone_by_Sentiment!$B$2:$B$37,Phone_by_Sentiment!L$2:L$37,"",0,1)),_xlfn.XLOOKUP($C521,Phone_by_Sentiment!$B$2:$B$37,Phone_by_Sentiment!L$2:L$37,"",0,1),0),$A521-TEXT(DATEVALUE($D521&amp;"-01"), "dd-mm-yyyy")),0),0)</f>
        <v>1138</v>
      </c>
      <c r="M521" cm="1">
        <f t="array" ref="M521">IF($Q521&gt;=0,IFERROR(generateSalesData($D521, IF(ISNUMBER(_xlfn.XLOOKUP($C521,Phone_by_Sentiment!$B$2:$B$37,Phone_by_Sentiment!M$2:M$37,"",0,1)),_xlfn.XLOOKUP($C521,Phone_by_Sentiment!$B$2:$B$37,Phone_by_Sentiment!M$2:M$37,"",0,1),0),$A521-TEXT(DATEVALUE($D521&amp;"-01"), "dd-mm-yyyy")),0),0)</f>
        <v>163</v>
      </c>
      <c r="N521" cm="1">
        <f t="array" ref="N521">IF($Q521&gt;=0,IFERROR(generateSalesData($D521, IF(ISNUMBER(_xlfn.XLOOKUP($C521,Phone_by_Sentiment!$B$2:$B$37,Phone_by_Sentiment!N$2:N$37,"",0,1)),_xlfn.XLOOKUP($C521,Phone_by_Sentiment!$B$2:$B$37,Phone_by_Sentiment!N$2:N$37,"",0,1),0),$A521-TEXT(DATEVALUE($D521&amp;"-01"), "dd-mm-yyyy")),0),0)</f>
        <v>-150</v>
      </c>
      <c r="O521" cm="1">
        <f t="array" ref="O521">IF($Q521&gt;=0,IFERROR(generateSalesData($D521, IF(ISNUMBER(_xlfn.XLOOKUP($C521,Phone_by_Sentiment!$B$2:$B$37,Phone_by_Sentiment!O$2:O$37,"",0,1)),_xlfn.XLOOKUP($C521,Phone_by_Sentiment!$B$2:$B$37,Phone_by_Sentiment!O$2:O$37,"",0,1),0),$A521-TEXT(DATEVALUE($D521&amp;"-01"), "dd-mm-yyyy")),0),0)</f>
        <v>555</v>
      </c>
      <c r="P521" s="1">
        <f t="shared" si="22"/>
        <v>43586</v>
      </c>
      <c r="Q521">
        <f t="shared" si="23"/>
        <v>305</v>
      </c>
    </row>
    <row r="522" spans="1:17" x14ac:dyDescent="0.25">
      <c r="A522" s="1">
        <f t="shared" si="21"/>
        <v>43891</v>
      </c>
      <c r="B522" t="s">
        <v>166</v>
      </c>
      <c r="C522" t="str">
        <f>_xlfn.XLOOKUP(B522,Phone_by_Price!$A$2:$A$34,Phone_by_Price!$B$2:$B$34,"-",0,1)</f>
        <v>Xiaomi Redmi Note 7</v>
      </c>
      <c r="D522" t="str">
        <f>_xlfn.XLOOKUP(C522,Phone_by_Sentiment!$B$2:$B$37,Phone_by_Sentiment!$A$2:$A$37,"-",0,1)</f>
        <v>2019-08</v>
      </c>
      <c r="E522" cm="1">
        <f t="array" ref="E522">IF($Q522&gt;=0,IFERROR(generateSalesData($D522, IF(ISNUMBER(_xlfn.XLOOKUP($C522,Phone_by_Sentiment!$B$2:$B$37,Phone_by_Sentiment!E$2:E$37,"",0,1)),_xlfn.XLOOKUP($C522,Phone_by_Sentiment!$B$2:$B$37,Phone_by_Sentiment!E$2:E$37,"",0,1),0),$A522-TEXT(DATEVALUE($D522&amp;"-01"), "dd-mm-yyyy")),0),0)</f>
        <v>368</v>
      </c>
      <c r="F522" cm="1">
        <f t="array" ref="F522">IF($Q522&gt;=0,IFERROR(generateSalesData($D522, IF(ISNUMBER(_xlfn.XLOOKUP($C522,Phone_by_Sentiment!$B$2:$B$37,Phone_by_Sentiment!F$2:F$37,"",0,1)),_xlfn.XLOOKUP($C522,Phone_by_Sentiment!$B$2:$B$37,Phone_by_Sentiment!F$2:F$37,"",0,1),0),$A522-TEXT(DATEVALUE($D522&amp;"-01"), "dd-mm-yyyy")),0),0)</f>
        <v>538</v>
      </c>
      <c r="G522" cm="1">
        <f t="array" ref="G522">IF($Q522&gt;=0,IFERROR(generateSalesData($D522, IF(ISNUMBER(_xlfn.XLOOKUP($C522,Phone_by_Sentiment!$B$2:$B$37,Phone_by_Sentiment!G$2:G$37,"",0,1)),_xlfn.XLOOKUP($C522,Phone_by_Sentiment!$B$2:$B$37,Phone_by_Sentiment!G$2:G$37,"",0,1),0),$A522-TEXT(DATEVALUE($D522&amp;"-01"), "dd-mm-yyyy")),0),0)</f>
        <v>209</v>
      </c>
      <c r="H522" cm="1">
        <f t="array" ref="H522">IF($Q522&gt;=0,IFERROR(generateSalesData($D522, IF(ISNUMBER(_xlfn.XLOOKUP($C522,Phone_by_Sentiment!$B$2:$B$37,Phone_by_Sentiment!H$2:H$37,"",0,1)),_xlfn.XLOOKUP($C522,Phone_by_Sentiment!$B$2:$B$37,Phone_by_Sentiment!H$2:H$37,"",0,1),0),$A522-TEXT(DATEVALUE($D522&amp;"-01"), "dd-mm-yyyy")),0),0)</f>
        <v>1231</v>
      </c>
      <c r="I522" cm="1">
        <f t="array" ref="I522">IF($Q522&gt;=0,IFERROR(generateSalesData($D522, IF(ISNUMBER(_xlfn.XLOOKUP($C522,Phone_by_Sentiment!$B$2:$B$37,Phone_by_Sentiment!I$2:I$37,"",0,1)),_xlfn.XLOOKUP($C522,Phone_by_Sentiment!$B$2:$B$37,Phone_by_Sentiment!I$2:I$37,"",0,1),0),$A522-TEXT(DATEVALUE($D522&amp;"-01"), "dd-mm-yyyy")),0),0)</f>
        <v>174</v>
      </c>
      <c r="J522" cm="1">
        <f t="array" ref="J522">IF($Q522&gt;=0,IFERROR(generateSalesData($D522, IF(ISNUMBER(_xlfn.XLOOKUP($C522,Phone_by_Sentiment!$B$2:$B$37,Phone_by_Sentiment!J$2:J$37,"",0,1)),_xlfn.XLOOKUP($C522,Phone_by_Sentiment!$B$2:$B$37,Phone_by_Sentiment!J$2:J$37,"",0,1),0),$A522-TEXT(DATEVALUE($D522&amp;"-01"), "dd-mm-yyyy")),0),0)</f>
        <v>416</v>
      </c>
      <c r="K522" cm="1">
        <f t="array" ref="K522">IF($Q522&gt;=0,IFERROR(generateSalesData($D522, IF(ISNUMBER(_xlfn.XLOOKUP($C522,Phone_by_Sentiment!$B$2:$B$37,Phone_by_Sentiment!K$2:K$37,"",0,1)),_xlfn.XLOOKUP($C522,Phone_by_Sentiment!$B$2:$B$37,Phone_by_Sentiment!K$2:K$37,"",0,1),0),$A522-TEXT(DATEVALUE($D522&amp;"-01"), "dd-mm-yyyy")),0),0)</f>
        <v>1460</v>
      </c>
      <c r="L522" cm="1">
        <f t="array" ref="L522">IF($Q522&gt;=0,IFERROR(generateSalesData($D522, IF(ISNUMBER(_xlfn.XLOOKUP($C522,Phone_by_Sentiment!$B$2:$B$37,Phone_by_Sentiment!L$2:L$37,"",0,1)),_xlfn.XLOOKUP($C522,Phone_by_Sentiment!$B$2:$B$37,Phone_by_Sentiment!L$2:L$37,"",0,1),0),$A522-TEXT(DATEVALUE($D522&amp;"-01"), "dd-mm-yyyy")),0),0)</f>
        <v>388</v>
      </c>
      <c r="M522" cm="1">
        <f t="array" ref="M522">IF($Q522&gt;=0,IFERROR(generateSalesData($D522, IF(ISNUMBER(_xlfn.XLOOKUP($C522,Phone_by_Sentiment!$B$2:$B$37,Phone_by_Sentiment!M$2:M$37,"",0,1)),_xlfn.XLOOKUP($C522,Phone_by_Sentiment!$B$2:$B$37,Phone_by_Sentiment!M$2:M$37,"",0,1),0),$A522-TEXT(DATEVALUE($D522&amp;"-01"), "dd-mm-yyyy")),0),0)</f>
        <v>1014</v>
      </c>
      <c r="N522" cm="1">
        <f t="array" ref="N522">IF($Q522&gt;=0,IFERROR(generateSalesData($D522, IF(ISNUMBER(_xlfn.XLOOKUP($C522,Phone_by_Sentiment!$B$2:$B$37,Phone_by_Sentiment!N$2:N$37,"",0,1)),_xlfn.XLOOKUP($C522,Phone_by_Sentiment!$B$2:$B$37,Phone_by_Sentiment!N$2:N$37,"",0,1),0),$A522-TEXT(DATEVALUE($D522&amp;"-01"), "dd-mm-yyyy")),0),0)</f>
        <v>150</v>
      </c>
      <c r="O522" cm="1">
        <f t="array" ref="O522">IF($Q522&gt;=0,IFERROR(generateSalesData($D522, IF(ISNUMBER(_xlfn.XLOOKUP($C522,Phone_by_Sentiment!$B$2:$B$37,Phone_by_Sentiment!O$2:O$37,"",0,1)),_xlfn.XLOOKUP($C522,Phone_by_Sentiment!$B$2:$B$37,Phone_by_Sentiment!O$2:O$37,"",0,1),0),$A522-TEXT(DATEVALUE($D522&amp;"-01"), "dd-mm-yyyy")),0),0)</f>
        <v>672</v>
      </c>
      <c r="P522" s="1">
        <f t="shared" si="22"/>
        <v>43678</v>
      </c>
      <c r="Q522">
        <f t="shared" si="23"/>
        <v>213</v>
      </c>
    </row>
    <row r="523" spans="1:17" x14ac:dyDescent="0.25">
      <c r="A523" s="1">
        <f t="shared" si="21"/>
        <v>43891</v>
      </c>
      <c r="B523" t="s">
        <v>167</v>
      </c>
      <c r="C523" t="str">
        <f>_xlfn.XLOOKUP(B523,Phone_by_Price!$A$2:$A$34,Phone_by_Price!$B$2:$B$34,"-",0,1)</f>
        <v>Realme C21</v>
      </c>
      <c r="D523" t="str">
        <f>_xlfn.XLOOKUP(C523,Phone_by_Sentiment!$B$2:$B$37,Phone_by_Sentiment!$A$2:$A$37,"-",0,1)</f>
        <v>2021-04</v>
      </c>
      <c r="E523" cm="1">
        <f t="array" ref="E523">IF($Q523&gt;=0,IFERROR(generateSalesData($D523, IF(ISNUMBER(_xlfn.XLOOKUP($C523,Phone_by_Sentiment!$B$2:$B$37,Phone_by_Sentiment!E$2:E$37,"",0,1)),_xlfn.XLOOKUP($C523,Phone_by_Sentiment!$B$2:$B$37,Phone_by_Sentiment!E$2:E$37,"",0,1),0),$A523-TEXT(DATEVALUE($D523&amp;"-01"), "dd-mm-yyyy")),0),0)</f>
        <v>0</v>
      </c>
      <c r="F523" cm="1">
        <f t="array" ref="F523">IF($Q523&gt;=0,IFERROR(generateSalesData($D523, IF(ISNUMBER(_xlfn.XLOOKUP($C523,Phone_by_Sentiment!$B$2:$B$37,Phone_by_Sentiment!F$2:F$37,"",0,1)),_xlfn.XLOOKUP($C523,Phone_by_Sentiment!$B$2:$B$37,Phone_by_Sentiment!F$2:F$37,"",0,1),0),$A523-TEXT(DATEVALUE($D523&amp;"-01"), "dd-mm-yyyy")),0),0)</f>
        <v>0</v>
      </c>
      <c r="G523" cm="1">
        <f t="array" ref="G523">IF($Q523&gt;=0,IFERROR(generateSalesData($D523, IF(ISNUMBER(_xlfn.XLOOKUP($C523,Phone_by_Sentiment!$B$2:$B$37,Phone_by_Sentiment!G$2:G$37,"",0,1)),_xlfn.XLOOKUP($C523,Phone_by_Sentiment!$B$2:$B$37,Phone_by_Sentiment!G$2:G$37,"",0,1),0),$A523-TEXT(DATEVALUE($D523&amp;"-01"), "dd-mm-yyyy")),0),0)</f>
        <v>0</v>
      </c>
      <c r="H523" cm="1">
        <f t="array" ref="H523">IF($Q523&gt;=0,IFERROR(generateSalesData($D523, IF(ISNUMBER(_xlfn.XLOOKUP($C523,Phone_by_Sentiment!$B$2:$B$37,Phone_by_Sentiment!H$2:H$37,"",0,1)),_xlfn.XLOOKUP($C523,Phone_by_Sentiment!$B$2:$B$37,Phone_by_Sentiment!H$2:H$37,"",0,1),0),$A523-TEXT(DATEVALUE($D523&amp;"-01"), "dd-mm-yyyy")),0),0)</f>
        <v>0</v>
      </c>
      <c r="I523" cm="1">
        <f t="array" ref="I523">IF($Q523&gt;=0,IFERROR(generateSalesData($D523, IF(ISNUMBER(_xlfn.XLOOKUP($C523,Phone_by_Sentiment!$B$2:$B$37,Phone_by_Sentiment!I$2:I$37,"",0,1)),_xlfn.XLOOKUP($C523,Phone_by_Sentiment!$B$2:$B$37,Phone_by_Sentiment!I$2:I$37,"",0,1),0),$A523-TEXT(DATEVALUE($D523&amp;"-01"), "dd-mm-yyyy")),0),0)</f>
        <v>0</v>
      </c>
      <c r="J523" cm="1">
        <f t="array" ref="J523">IF($Q523&gt;=0,IFERROR(generateSalesData($D523, IF(ISNUMBER(_xlfn.XLOOKUP($C523,Phone_by_Sentiment!$B$2:$B$37,Phone_by_Sentiment!J$2:J$37,"",0,1)),_xlfn.XLOOKUP($C523,Phone_by_Sentiment!$B$2:$B$37,Phone_by_Sentiment!J$2:J$37,"",0,1),0),$A523-TEXT(DATEVALUE($D523&amp;"-01"), "dd-mm-yyyy")),0),0)</f>
        <v>0</v>
      </c>
      <c r="K523" cm="1">
        <f t="array" ref="K523">IF($Q523&gt;=0,IFERROR(generateSalesData($D523, IF(ISNUMBER(_xlfn.XLOOKUP($C523,Phone_by_Sentiment!$B$2:$B$37,Phone_by_Sentiment!K$2:K$37,"",0,1)),_xlfn.XLOOKUP($C523,Phone_by_Sentiment!$B$2:$B$37,Phone_by_Sentiment!K$2:K$37,"",0,1),0),$A523-TEXT(DATEVALUE($D523&amp;"-01"), "dd-mm-yyyy")),0),0)</f>
        <v>0</v>
      </c>
      <c r="L523" cm="1">
        <f t="array" ref="L523">IF($Q523&gt;=0,IFERROR(generateSalesData($D523, IF(ISNUMBER(_xlfn.XLOOKUP($C523,Phone_by_Sentiment!$B$2:$B$37,Phone_by_Sentiment!L$2:L$37,"",0,1)),_xlfn.XLOOKUP($C523,Phone_by_Sentiment!$B$2:$B$37,Phone_by_Sentiment!L$2:L$37,"",0,1),0),$A523-TEXT(DATEVALUE($D523&amp;"-01"), "dd-mm-yyyy")),0),0)</f>
        <v>0</v>
      </c>
      <c r="M523" cm="1">
        <f t="array" ref="M523">IF($Q523&gt;=0,IFERROR(generateSalesData($D523, IF(ISNUMBER(_xlfn.XLOOKUP($C523,Phone_by_Sentiment!$B$2:$B$37,Phone_by_Sentiment!M$2:M$37,"",0,1)),_xlfn.XLOOKUP($C523,Phone_by_Sentiment!$B$2:$B$37,Phone_by_Sentiment!M$2:M$37,"",0,1),0),$A523-TEXT(DATEVALUE($D523&amp;"-01"), "dd-mm-yyyy")),0),0)</f>
        <v>0</v>
      </c>
      <c r="N523" cm="1">
        <f t="array" ref="N523">IF($Q523&gt;=0,IFERROR(generateSalesData($D523, IF(ISNUMBER(_xlfn.XLOOKUP($C523,Phone_by_Sentiment!$B$2:$B$37,Phone_by_Sentiment!N$2:N$37,"",0,1)),_xlfn.XLOOKUP($C523,Phone_by_Sentiment!$B$2:$B$37,Phone_by_Sentiment!N$2:N$37,"",0,1),0),$A523-TEXT(DATEVALUE($D523&amp;"-01"), "dd-mm-yyyy")),0),0)</f>
        <v>0</v>
      </c>
      <c r="O523" cm="1">
        <f t="array" ref="O523">IF($Q523&gt;=0,IFERROR(generateSalesData($D523, IF(ISNUMBER(_xlfn.XLOOKUP($C523,Phone_by_Sentiment!$B$2:$B$37,Phone_by_Sentiment!O$2:O$37,"",0,1)),_xlfn.XLOOKUP($C523,Phone_by_Sentiment!$B$2:$B$37,Phone_by_Sentiment!O$2:O$37,"",0,1),0),$A523-TEXT(DATEVALUE($D523&amp;"-01"), "dd-mm-yyyy")),0),0)</f>
        <v>0</v>
      </c>
      <c r="P523" s="1">
        <f t="shared" si="22"/>
        <v>44287</v>
      </c>
      <c r="Q523">
        <f t="shared" si="23"/>
        <v>-396</v>
      </c>
    </row>
    <row r="524" spans="1:17" x14ac:dyDescent="0.25">
      <c r="A524" s="1">
        <f t="shared" si="21"/>
        <v>43891</v>
      </c>
      <c r="B524" t="s">
        <v>168</v>
      </c>
      <c r="C524" t="str">
        <f>_xlfn.XLOOKUP(B524,Phone_by_Price!$A$2:$A$34,Phone_by_Price!$B$2:$B$34,"-",0,1)</f>
        <v>Google Pixel 4</v>
      </c>
      <c r="D524" t="str">
        <f>_xlfn.XLOOKUP(C524,Phone_by_Sentiment!$B$2:$B$37,Phone_by_Sentiment!$A$2:$A$37,"-",0,1)</f>
        <v>2019-09</v>
      </c>
      <c r="E524" cm="1">
        <f t="array" ref="E524">IF($Q524&gt;=0,IFERROR(generateSalesData($D524, IF(ISNUMBER(_xlfn.XLOOKUP($C524,Phone_by_Sentiment!$B$2:$B$37,Phone_by_Sentiment!E$2:E$37,"",0,1)),_xlfn.XLOOKUP($C524,Phone_by_Sentiment!$B$2:$B$37,Phone_by_Sentiment!E$2:E$37,"",0,1),0),$A524-TEXT(DATEVALUE($D524&amp;"-01"), "dd-mm-yyyy")),0),0)</f>
        <v>1170</v>
      </c>
      <c r="F524" cm="1">
        <f t="array" ref="F524">IF($Q524&gt;=0,IFERROR(generateSalesData($D524, IF(ISNUMBER(_xlfn.XLOOKUP($C524,Phone_by_Sentiment!$B$2:$B$37,Phone_by_Sentiment!F$2:F$37,"",0,1)),_xlfn.XLOOKUP($C524,Phone_by_Sentiment!$B$2:$B$37,Phone_by_Sentiment!F$2:F$37,"",0,1),0),$A524-TEXT(DATEVALUE($D524&amp;"-01"), "dd-mm-yyyy")),0),0)</f>
        <v>581</v>
      </c>
      <c r="G524" cm="1">
        <f t="array" ref="G524">IF($Q524&gt;=0,IFERROR(generateSalesData($D524, IF(ISNUMBER(_xlfn.XLOOKUP($C524,Phone_by_Sentiment!$B$2:$B$37,Phone_by_Sentiment!G$2:G$37,"",0,1)),_xlfn.XLOOKUP($C524,Phone_by_Sentiment!$B$2:$B$37,Phone_by_Sentiment!G$2:G$37,"",0,1),0),$A524-TEXT(DATEVALUE($D524&amp;"-01"), "dd-mm-yyyy")),0),0)</f>
        <v>347</v>
      </c>
      <c r="H524" cm="1">
        <f t="array" ref="H524">IF($Q524&gt;=0,IFERROR(generateSalesData($D524, IF(ISNUMBER(_xlfn.XLOOKUP($C524,Phone_by_Sentiment!$B$2:$B$37,Phone_by_Sentiment!H$2:H$37,"",0,1)),_xlfn.XLOOKUP($C524,Phone_by_Sentiment!$B$2:$B$37,Phone_by_Sentiment!H$2:H$37,"",0,1),0),$A524-TEXT(DATEVALUE($D524&amp;"-01"), "dd-mm-yyyy")),0),0)</f>
        <v>318</v>
      </c>
      <c r="I524" cm="1">
        <f t="array" ref="I524">IF($Q524&gt;=0,IFERROR(generateSalesData($D524, IF(ISNUMBER(_xlfn.XLOOKUP($C524,Phone_by_Sentiment!$B$2:$B$37,Phone_by_Sentiment!I$2:I$37,"",0,1)),_xlfn.XLOOKUP($C524,Phone_by_Sentiment!$B$2:$B$37,Phone_by_Sentiment!I$2:I$37,"",0,1),0),$A524-TEXT(DATEVALUE($D524&amp;"-01"), "dd-mm-yyyy")),0),0)</f>
        <v>529</v>
      </c>
      <c r="J524" cm="1">
        <f t="array" ref="J524">IF($Q524&gt;=0,IFERROR(generateSalesData($D524, IF(ISNUMBER(_xlfn.XLOOKUP($C524,Phone_by_Sentiment!$B$2:$B$37,Phone_by_Sentiment!J$2:J$37,"",0,1)),_xlfn.XLOOKUP($C524,Phone_by_Sentiment!$B$2:$B$37,Phone_by_Sentiment!J$2:J$37,"",0,1),0),$A524-TEXT(DATEVALUE($D524&amp;"-01"), "dd-mm-yyyy")),0),0)</f>
        <v>311</v>
      </c>
      <c r="K524" cm="1">
        <f t="array" ref="K524">IF($Q524&gt;=0,IFERROR(generateSalesData($D524, IF(ISNUMBER(_xlfn.XLOOKUP($C524,Phone_by_Sentiment!$B$2:$B$37,Phone_by_Sentiment!K$2:K$37,"",0,1)),_xlfn.XLOOKUP($C524,Phone_by_Sentiment!$B$2:$B$37,Phone_by_Sentiment!K$2:K$37,"",0,1),0),$A524-TEXT(DATEVALUE($D524&amp;"-01"), "dd-mm-yyyy")),0),0)</f>
        <v>400</v>
      </c>
      <c r="L524" cm="1">
        <f t="array" ref="L524">IF($Q524&gt;=0,IFERROR(generateSalesData($D524, IF(ISNUMBER(_xlfn.XLOOKUP($C524,Phone_by_Sentiment!$B$2:$B$37,Phone_by_Sentiment!L$2:L$37,"",0,1)),_xlfn.XLOOKUP($C524,Phone_by_Sentiment!$B$2:$B$37,Phone_by_Sentiment!L$2:L$37,"",0,1),0),$A524-TEXT(DATEVALUE($D524&amp;"-01"), "dd-mm-yyyy")),0),0)</f>
        <v>1160</v>
      </c>
      <c r="M524" cm="1">
        <f t="array" ref="M524">IF($Q524&gt;=0,IFERROR(generateSalesData($D524, IF(ISNUMBER(_xlfn.XLOOKUP($C524,Phone_by_Sentiment!$B$2:$B$37,Phone_by_Sentiment!M$2:M$37,"",0,1)),_xlfn.XLOOKUP($C524,Phone_by_Sentiment!$B$2:$B$37,Phone_by_Sentiment!M$2:M$37,"",0,1),0),$A524-TEXT(DATEVALUE($D524&amp;"-01"), "dd-mm-yyyy")),0),0)</f>
        <v>219</v>
      </c>
      <c r="N524" cm="1">
        <f t="array" ref="N524">IF($Q524&gt;=0,IFERROR(generateSalesData($D524, IF(ISNUMBER(_xlfn.XLOOKUP($C524,Phone_by_Sentiment!$B$2:$B$37,Phone_by_Sentiment!N$2:N$37,"",0,1)),_xlfn.XLOOKUP($C524,Phone_by_Sentiment!$B$2:$B$37,Phone_by_Sentiment!N$2:N$37,"",0,1),0),$A524-TEXT(DATEVALUE($D524&amp;"-01"), "dd-mm-yyyy")),0),0)</f>
        <v>1177</v>
      </c>
      <c r="O524" cm="1">
        <f t="array" ref="O524">IF($Q524&gt;=0,IFERROR(generateSalesData($D524, IF(ISNUMBER(_xlfn.XLOOKUP($C524,Phone_by_Sentiment!$B$2:$B$37,Phone_by_Sentiment!O$2:O$37,"",0,1)),_xlfn.XLOOKUP($C524,Phone_by_Sentiment!$B$2:$B$37,Phone_by_Sentiment!O$2:O$37,"",0,1),0),$A524-TEXT(DATEVALUE($D524&amp;"-01"), "dd-mm-yyyy")),0),0)</f>
        <v>287</v>
      </c>
      <c r="P524" s="1">
        <f t="shared" si="22"/>
        <v>43709</v>
      </c>
      <c r="Q524">
        <f t="shared" si="23"/>
        <v>182</v>
      </c>
    </row>
    <row r="525" spans="1:17" x14ac:dyDescent="0.25">
      <c r="A525" s="1">
        <f t="shared" si="21"/>
        <v>43891</v>
      </c>
      <c r="B525" t="s">
        <v>169</v>
      </c>
      <c r="C525" t="str">
        <f>_xlfn.XLOOKUP(B525,Phone_by_Price!$A$2:$A$34,Phone_by_Price!$B$2:$B$34,"-",0,1)</f>
        <v>Samsung Galaxy A10s</v>
      </c>
      <c r="D525" t="str">
        <f>_xlfn.XLOOKUP(C525,Phone_by_Sentiment!$B$2:$B$37,Phone_by_Sentiment!$A$2:$A$37,"-",0,1)</f>
        <v>2019-08</v>
      </c>
      <c r="E525" cm="1">
        <f t="array" ref="E525">IF($Q525&gt;=0,IFERROR(generateSalesData($D525, IF(ISNUMBER(_xlfn.XLOOKUP($C525,Phone_by_Sentiment!$B$2:$B$37,Phone_by_Sentiment!E$2:E$37,"",0,1)),_xlfn.XLOOKUP($C525,Phone_by_Sentiment!$B$2:$B$37,Phone_by_Sentiment!E$2:E$37,"",0,1),0),$A525-TEXT(DATEVALUE($D525&amp;"-01"), "dd-mm-yyyy")),0),0)</f>
        <v>341</v>
      </c>
      <c r="F525" cm="1">
        <f t="array" ref="F525">IF($Q525&gt;=0,IFERROR(generateSalesData($D525, IF(ISNUMBER(_xlfn.XLOOKUP($C525,Phone_by_Sentiment!$B$2:$B$37,Phone_by_Sentiment!F$2:F$37,"",0,1)),_xlfn.XLOOKUP($C525,Phone_by_Sentiment!$B$2:$B$37,Phone_by_Sentiment!F$2:F$37,"",0,1),0),$A525-TEXT(DATEVALUE($D525&amp;"-01"), "dd-mm-yyyy")),0),0)</f>
        <v>869</v>
      </c>
      <c r="G525" cm="1">
        <f t="array" ref="G525">IF($Q525&gt;=0,IFERROR(generateSalesData($D525, IF(ISNUMBER(_xlfn.XLOOKUP($C525,Phone_by_Sentiment!$B$2:$B$37,Phone_by_Sentiment!G$2:G$37,"",0,1)),_xlfn.XLOOKUP($C525,Phone_by_Sentiment!$B$2:$B$37,Phone_by_Sentiment!G$2:G$37,"",0,1),0),$A525-TEXT(DATEVALUE($D525&amp;"-01"), "dd-mm-yyyy")),0),0)</f>
        <v>162</v>
      </c>
      <c r="H525" cm="1">
        <f t="array" ref="H525">IF($Q525&gt;=0,IFERROR(generateSalesData($D525, IF(ISNUMBER(_xlfn.XLOOKUP($C525,Phone_by_Sentiment!$B$2:$B$37,Phone_by_Sentiment!H$2:H$37,"",0,1)),_xlfn.XLOOKUP($C525,Phone_by_Sentiment!$B$2:$B$37,Phone_by_Sentiment!H$2:H$37,"",0,1),0),$A525-TEXT(DATEVALUE($D525&amp;"-01"), "dd-mm-yyyy")),0),0)</f>
        <v>744</v>
      </c>
      <c r="I525" cm="1">
        <f t="array" ref="I525">IF($Q525&gt;=0,IFERROR(generateSalesData($D525, IF(ISNUMBER(_xlfn.XLOOKUP($C525,Phone_by_Sentiment!$B$2:$B$37,Phone_by_Sentiment!I$2:I$37,"",0,1)),_xlfn.XLOOKUP($C525,Phone_by_Sentiment!$B$2:$B$37,Phone_by_Sentiment!I$2:I$37,"",0,1),0),$A525-TEXT(DATEVALUE($D525&amp;"-01"), "dd-mm-yyyy")),0),0)</f>
        <v>1446</v>
      </c>
      <c r="J525" cm="1">
        <f t="array" ref="J525">IF($Q525&gt;=0,IFERROR(generateSalesData($D525, IF(ISNUMBER(_xlfn.XLOOKUP($C525,Phone_by_Sentiment!$B$2:$B$37,Phone_by_Sentiment!J$2:J$37,"",0,1)),_xlfn.XLOOKUP($C525,Phone_by_Sentiment!$B$2:$B$37,Phone_by_Sentiment!J$2:J$37,"",0,1),0),$A525-TEXT(DATEVALUE($D525&amp;"-01"), "dd-mm-yyyy")),0),0)</f>
        <v>886</v>
      </c>
      <c r="K525" cm="1">
        <f t="array" ref="K525">IF($Q525&gt;=0,IFERROR(generateSalesData($D525, IF(ISNUMBER(_xlfn.XLOOKUP($C525,Phone_by_Sentiment!$B$2:$B$37,Phone_by_Sentiment!K$2:K$37,"",0,1)),_xlfn.XLOOKUP($C525,Phone_by_Sentiment!$B$2:$B$37,Phone_by_Sentiment!K$2:K$37,"",0,1),0),$A525-TEXT(DATEVALUE($D525&amp;"-01"), "dd-mm-yyyy")),0),0)</f>
        <v>127</v>
      </c>
      <c r="L525" cm="1">
        <f t="array" ref="L525">IF($Q525&gt;=0,IFERROR(generateSalesData($D525, IF(ISNUMBER(_xlfn.XLOOKUP($C525,Phone_by_Sentiment!$B$2:$B$37,Phone_by_Sentiment!L$2:L$37,"",0,1)),_xlfn.XLOOKUP($C525,Phone_by_Sentiment!$B$2:$B$37,Phone_by_Sentiment!L$2:L$37,"",0,1),0),$A525-TEXT(DATEVALUE($D525&amp;"-01"), "dd-mm-yyyy")),0),0)</f>
        <v>355</v>
      </c>
      <c r="M525" cm="1">
        <f t="array" ref="M525">IF($Q525&gt;=0,IFERROR(generateSalesData($D525, IF(ISNUMBER(_xlfn.XLOOKUP($C525,Phone_by_Sentiment!$B$2:$B$37,Phone_by_Sentiment!M$2:M$37,"",0,1)),_xlfn.XLOOKUP($C525,Phone_by_Sentiment!$B$2:$B$37,Phone_by_Sentiment!M$2:M$37,"",0,1),0),$A525-TEXT(DATEVALUE($D525&amp;"-01"), "dd-mm-yyyy")),0),0)</f>
        <v>705</v>
      </c>
      <c r="N525" cm="1">
        <f t="array" ref="N525">IF($Q525&gt;=0,IFERROR(generateSalesData($D525, IF(ISNUMBER(_xlfn.XLOOKUP($C525,Phone_by_Sentiment!$B$2:$B$37,Phone_by_Sentiment!N$2:N$37,"",0,1)),_xlfn.XLOOKUP($C525,Phone_by_Sentiment!$B$2:$B$37,Phone_by_Sentiment!N$2:N$37,"",0,1),0),$A525-TEXT(DATEVALUE($D525&amp;"-01"), "dd-mm-yyyy")),0),0)</f>
        <v>556</v>
      </c>
      <c r="O525" cm="1">
        <f t="array" ref="O525">IF($Q525&gt;=0,IFERROR(generateSalesData($D525, IF(ISNUMBER(_xlfn.XLOOKUP($C525,Phone_by_Sentiment!$B$2:$B$37,Phone_by_Sentiment!O$2:O$37,"",0,1)),_xlfn.XLOOKUP($C525,Phone_by_Sentiment!$B$2:$B$37,Phone_by_Sentiment!O$2:O$37,"",0,1),0),$A525-TEXT(DATEVALUE($D525&amp;"-01"), "dd-mm-yyyy")),0),0)</f>
        <v>1694</v>
      </c>
      <c r="P525" s="1">
        <f t="shared" si="22"/>
        <v>43678</v>
      </c>
      <c r="Q525">
        <f t="shared" si="23"/>
        <v>213</v>
      </c>
    </row>
    <row r="526" spans="1:17" x14ac:dyDescent="0.25">
      <c r="A526" s="1">
        <f t="shared" si="21"/>
        <v>43922</v>
      </c>
      <c r="B526" t="s">
        <v>170</v>
      </c>
      <c r="C526" t="str">
        <f>_xlfn.XLOOKUP(B526,Phone_by_Price!$A$2:$A$34,Phone_by_Price!$B$2:$B$34,"-",0,1)</f>
        <v>Realme Narzo 30A</v>
      </c>
      <c r="D526" t="str">
        <f>_xlfn.XLOOKUP(C526,Phone_by_Sentiment!$B$2:$B$37,Phone_by_Sentiment!$A$2:$A$37,"-",0,1)</f>
        <v>2021-02</v>
      </c>
      <c r="E526" cm="1">
        <f t="array" ref="E526">IF($Q526&gt;=0,IFERROR(generateSalesData($D526, IF(ISNUMBER(_xlfn.XLOOKUP($C526,Phone_by_Sentiment!$B$2:$B$37,Phone_by_Sentiment!E$2:E$37,"",0,1)),_xlfn.XLOOKUP($C526,Phone_by_Sentiment!$B$2:$B$37,Phone_by_Sentiment!E$2:E$37,"",0,1),0),$A526-TEXT(DATEVALUE($D526&amp;"-01"), "dd-mm-yyyy")),0),0)</f>
        <v>0</v>
      </c>
      <c r="F526" cm="1">
        <f t="array" ref="F526">IF($Q526&gt;=0,IFERROR(generateSalesData($D526, IF(ISNUMBER(_xlfn.XLOOKUP($C526,Phone_by_Sentiment!$B$2:$B$37,Phone_by_Sentiment!F$2:F$37,"",0,1)),_xlfn.XLOOKUP($C526,Phone_by_Sentiment!$B$2:$B$37,Phone_by_Sentiment!F$2:F$37,"",0,1),0),$A526-TEXT(DATEVALUE($D526&amp;"-01"), "dd-mm-yyyy")),0),0)</f>
        <v>0</v>
      </c>
      <c r="G526" cm="1">
        <f t="array" ref="G526">IF($Q526&gt;=0,IFERROR(generateSalesData($D526, IF(ISNUMBER(_xlfn.XLOOKUP($C526,Phone_by_Sentiment!$B$2:$B$37,Phone_by_Sentiment!G$2:G$37,"",0,1)),_xlfn.XLOOKUP($C526,Phone_by_Sentiment!$B$2:$B$37,Phone_by_Sentiment!G$2:G$37,"",0,1),0),$A526-TEXT(DATEVALUE($D526&amp;"-01"), "dd-mm-yyyy")),0),0)</f>
        <v>0</v>
      </c>
      <c r="H526" cm="1">
        <f t="array" ref="H526">IF($Q526&gt;=0,IFERROR(generateSalesData($D526, IF(ISNUMBER(_xlfn.XLOOKUP($C526,Phone_by_Sentiment!$B$2:$B$37,Phone_by_Sentiment!H$2:H$37,"",0,1)),_xlfn.XLOOKUP($C526,Phone_by_Sentiment!$B$2:$B$37,Phone_by_Sentiment!H$2:H$37,"",0,1),0),$A526-TEXT(DATEVALUE($D526&amp;"-01"), "dd-mm-yyyy")),0),0)</f>
        <v>0</v>
      </c>
      <c r="I526" cm="1">
        <f t="array" ref="I526">IF($Q526&gt;=0,IFERROR(generateSalesData($D526, IF(ISNUMBER(_xlfn.XLOOKUP($C526,Phone_by_Sentiment!$B$2:$B$37,Phone_by_Sentiment!I$2:I$37,"",0,1)),_xlfn.XLOOKUP($C526,Phone_by_Sentiment!$B$2:$B$37,Phone_by_Sentiment!I$2:I$37,"",0,1),0),$A526-TEXT(DATEVALUE($D526&amp;"-01"), "dd-mm-yyyy")),0),0)</f>
        <v>0</v>
      </c>
      <c r="J526" cm="1">
        <f t="array" ref="J526">IF($Q526&gt;=0,IFERROR(generateSalesData($D526, IF(ISNUMBER(_xlfn.XLOOKUP($C526,Phone_by_Sentiment!$B$2:$B$37,Phone_by_Sentiment!J$2:J$37,"",0,1)),_xlfn.XLOOKUP($C526,Phone_by_Sentiment!$B$2:$B$37,Phone_by_Sentiment!J$2:J$37,"",0,1),0),$A526-TEXT(DATEVALUE($D526&amp;"-01"), "dd-mm-yyyy")),0),0)</f>
        <v>0</v>
      </c>
      <c r="K526" cm="1">
        <f t="array" ref="K526">IF($Q526&gt;=0,IFERROR(generateSalesData($D526, IF(ISNUMBER(_xlfn.XLOOKUP($C526,Phone_by_Sentiment!$B$2:$B$37,Phone_by_Sentiment!K$2:K$37,"",0,1)),_xlfn.XLOOKUP($C526,Phone_by_Sentiment!$B$2:$B$37,Phone_by_Sentiment!K$2:K$37,"",0,1),0),$A526-TEXT(DATEVALUE($D526&amp;"-01"), "dd-mm-yyyy")),0),0)</f>
        <v>0</v>
      </c>
      <c r="L526" cm="1">
        <f t="array" ref="L526">IF($Q526&gt;=0,IFERROR(generateSalesData($D526, IF(ISNUMBER(_xlfn.XLOOKUP($C526,Phone_by_Sentiment!$B$2:$B$37,Phone_by_Sentiment!L$2:L$37,"",0,1)),_xlfn.XLOOKUP($C526,Phone_by_Sentiment!$B$2:$B$37,Phone_by_Sentiment!L$2:L$37,"",0,1),0),$A526-TEXT(DATEVALUE($D526&amp;"-01"), "dd-mm-yyyy")),0),0)</f>
        <v>0</v>
      </c>
      <c r="M526" cm="1">
        <f t="array" ref="M526">IF($Q526&gt;=0,IFERROR(generateSalesData($D526, IF(ISNUMBER(_xlfn.XLOOKUP($C526,Phone_by_Sentiment!$B$2:$B$37,Phone_by_Sentiment!M$2:M$37,"",0,1)),_xlfn.XLOOKUP($C526,Phone_by_Sentiment!$B$2:$B$37,Phone_by_Sentiment!M$2:M$37,"",0,1),0),$A526-TEXT(DATEVALUE($D526&amp;"-01"), "dd-mm-yyyy")),0),0)</f>
        <v>0</v>
      </c>
      <c r="N526" cm="1">
        <f t="array" ref="N526">IF($Q526&gt;=0,IFERROR(generateSalesData($D526, IF(ISNUMBER(_xlfn.XLOOKUP($C526,Phone_by_Sentiment!$B$2:$B$37,Phone_by_Sentiment!N$2:N$37,"",0,1)),_xlfn.XLOOKUP($C526,Phone_by_Sentiment!$B$2:$B$37,Phone_by_Sentiment!N$2:N$37,"",0,1),0),$A526-TEXT(DATEVALUE($D526&amp;"-01"), "dd-mm-yyyy")),0),0)</f>
        <v>0</v>
      </c>
      <c r="O526" cm="1">
        <f t="array" ref="O526">IF($Q526&gt;=0,IFERROR(generateSalesData($D526, IF(ISNUMBER(_xlfn.XLOOKUP($C526,Phone_by_Sentiment!$B$2:$B$37,Phone_by_Sentiment!O$2:O$37,"",0,1)),_xlfn.XLOOKUP($C526,Phone_by_Sentiment!$B$2:$B$37,Phone_by_Sentiment!O$2:O$37,"",0,1),0),$A526-TEXT(DATEVALUE($D526&amp;"-01"), "dd-mm-yyyy")),0),0)</f>
        <v>0</v>
      </c>
      <c r="P526" s="1">
        <f t="shared" si="22"/>
        <v>44228</v>
      </c>
      <c r="Q526">
        <f t="shared" si="23"/>
        <v>-306</v>
      </c>
    </row>
    <row r="527" spans="1:17" x14ac:dyDescent="0.25">
      <c r="A527" s="1">
        <f t="shared" si="21"/>
        <v>43922</v>
      </c>
      <c r="B527" t="s">
        <v>171</v>
      </c>
      <c r="C527" t="str">
        <f>_xlfn.XLOOKUP(B527,Phone_by_Price!$A$2:$A$34,Phone_by_Price!$B$2:$B$34,"-",0,1)</f>
        <v>Samsung Galaxy A22 5G</v>
      </c>
      <c r="D527" t="str">
        <f>_xlfn.XLOOKUP(C527,Phone_by_Sentiment!$B$2:$B$37,Phone_by_Sentiment!$A$2:$A$37,"-",0,1)</f>
        <v>2021-05</v>
      </c>
      <c r="E527" cm="1">
        <f t="array" ref="E527">IF($Q527&gt;=0,IFERROR(generateSalesData($D527, IF(ISNUMBER(_xlfn.XLOOKUP($C527,Phone_by_Sentiment!$B$2:$B$37,Phone_by_Sentiment!E$2:E$37,"",0,1)),_xlfn.XLOOKUP($C527,Phone_by_Sentiment!$B$2:$B$37,Phone_by_Sentiment!E$2:E$37,"",0,1),0),$A527-TEXT(DATEVALUE($D527&amp;"-01"), "dd-mm-yyyy")),0),0)</f>
        <v>0</v>
      </c>
      <c r="F527" cm="1">
        <f t="array" ref="F527">IF($Q527&gt;=0,IFERROR(generateSalesData($D527, IF(ISNUMBER(_xlfn.XLOOKUP($C527,Phone_by_Sentiment!$B$2:$B$37,Phone_by_Sentiment!F$2:F$37,"",0,1)),_xlfn.XLOOKUP($C527,Phone_by_Sentiment!$B$2:$B$37,Phone_by_Sentiment!F$2:F$37,"",0,1),0),$A527-TEXT(DATEVALUE($D527&amp;"-01"), "dd-mm-yyyy")),0),0)</f>
        <v>0</v>
      </c>
      <c r="G527" cm="1">
        <f t="array" ref="G527">IF($Q527&gt;=0,IFERROR(generateSalesData($D527, IF(ISNUMBER(_xlfn.XLOOKUP($C527,Phone_by_Sentiment!$B$2:$B$37,Phone_by_Sentiment!G$2:G$37,"",0,1)),_xlfn.XLOOKUP($C527,Phone_by_Sentiment!$B$2:$B$37,Phone_by_Sentiment!G$2:G$37,"",0,1),0),$A527-TEXT(DATEVALUE($D527&amp;"-01"), "dd-mm-yyyy")),0),0)</f>
        <v>0</v>
      </c>
      <c r="H527" cm="1">
        <f t="array" ref="H527">IF($Q527&gt;=0,IFERROR(generateSalesData($D527, IF(ISNUMBER(_xlfn.XLOOKUP($C527,Phone_by_Sentiment!$B$2:$B$37,Phone_by_Sentiment!H$2:H$37,"",0,1)),_xlfn.XLOOKUP($C527,Phone_by_Sentiment!$B$2:$B$37,Phone_by_Sentiment!H$2:H$37,"",0,1),0),$A527-TEXT(DATEVALUE($D527&amp;"-01"), "dd-mm-yyyy")),0),0)</f>
        <v>0</v>
      </c>
      <c r="I527" cm="1">
        <f t="array" ref="I527">IF($Q527&gt;=0,IFERROR(generateSalesData($D527, IF(ISNUMBER(_xlfn.XLOOKUP($C527,Phone_by_Sentiment!$B$2:$B$37,Phone_by_Sentiment!I$2:I$37,"",0,1)),_xlfn.XLOOKUP($C527,Phone_by_Sentiment!$B$2:$B$37,Phone_by_Sentiment!I$2:I$37,"",0,1),0),$A527-TEXT(DATEVALUE($D527&amp;"-01"), "dd-mm-yyyy")),0),0)</f>
        <v>0</v>
      </c>
      <c r="J527" cm="1">
        <f t="array" ref="J527">IF($Q527&gt;=0,IFERROR(generateSalesData($D527, IF(ISNUMBER(_xlfn.XLOOKUP($C527,Phone_by_Sentiment!$B$2:$B$37,Phone_by_Sentiment!J$2:J$37,"",0,1)),_xlfn.XLOOKUP($C527,Phone_by_Sentiment!$B$2:$B$37,Phone_by_Sentiment!J$2:J$37,"",0,1),0),$A527-TEXT(DATEVALUE($D527&amp;"-01"), "dd-mm-yyyy")),0),0)</f>
        <v>0</v>
      </c>
      <c r="K527" cm="1">
        <f t="array" ref="K527">IF($Q527&gt;=0,IFERROR(generateSalesData($D527, IF(ISNUMBER(_xlfn.XLOOKUP($C527,Phone_by_Sentiment!$B$2:$B$37,Phone_by_Sentiment!K$2:K$37,"",0,1)),_xlfn.XLOOKUP($C527,Phone_by_Sentiment!$B$2:$B$37,Phone_by_Sentiment!K$2:K$37,"",0,1),0),$A527-TEXT(DATEVALUE($D527&amp;"-01"), "dd-mm-yyyy")),0),0)</f>
        <v>0</v>
      </c>
      <c r="L527" cm="1">
        <f t="array" ref="L527">IF($Q527&gt;=0,IFERROR(generateSalesData($D527, IF(ISNUMBER(_xlfn.XLOOKUP($C527,Phone_by_Sentiment!$B$2:$B$37,Phone_by_Sentiment!L$2:L$37,"",0,1)),_xlfn.XLOOKUP($C527,Phone_by_Sentiment!$B$2:$B$37,Phone_by_Sentiment!L$2:L$37,"",0,1),0),$A527-TEXT(DATEVALUE($D527&amp;"-01"), "dd-mm-yyyy")),0),0)</f>
        <v>0</v>
      </c>
      <c r="M527" cm="1">
        <f t="array" ref="M527">IF($Q527&gt;=0,IFERROR(generateSalesData($D527, IF(ISNUMBER(_xlfn.XLOOKUP($C527,Phone_by_Sentiment!$B$2:$B$37,Phone_by_Sentiment!M$2:M$37,"",0,1)),_xlfn.XLOOKUP($C527,Phone_by_Sentiment!$B$2:$B$37,Phone_by_Sentiment!M$2:M$37,"",0,1),0),$A527-TEXT(DATEVALUE($D527&amp;"-01"), "dd-mm-yyyy")),0),0)</f>
        <v>0</v>
      </c>
      <c r="N527" cm="1">
        <f t="array" ref="N527">IF($Q527&gt;=0,IFERROR(generateSalesData($D527, IF(ISNUMBER(_xlfn.XLOOKUP($C527,Phone_by_Sentiment!$B$2:$B$37,Phone_by_Sentiment!N$2:N$37,"",0,1)),_xlfn.XLOOKUP($C527,Phone_by_Sentiment!$B$2:$B$37,Phone_by_Sentiment!N$2:N$37,"",0,1),0),$A527-TEXT(DATEVALUE($D527&amp;"-01"), "dd-mm-yyyy")),0),0)</f>
        <v>0</v>
      </c>
      <c r="O527" cm="1">
        <f t="array" ref="O527">IF($Q527&gt;=0,IFERROR(generateSalesData($D527, IF(ISNUMBER(_xlfn.XLOOKUP($C527,Phone_by_Sentiment!$B$2:$B$37,Phone_by_Sentiment!O$2:O$37,"",0,1)),_xlfn.XLOOKUP($C527,Phone_by_Sentiment!$B$2:$B$37,Phone_by_Sentiment!O$2:O$37,"",0,1),0),$A527-TEXT(DATEVALUE($D527&amp;"-01"), "dd-mm-yyyy")),0),0)</f>
        <v>0</v>
      </c>
      <c r="P527" s="1">
        <f t="shared" si="22"/>
        <v>44317</v>
      </c>
      <c r="Q527">
        <f t="shared" si="23"/>
        <v>-395</v>
      </c>
    </row>
    <row r="528" spans="1:17" x14ac:dyDescent="0.25">
      <c r="A528" s="1">
        <f t="shared" si="21"/>
        <v>43922</v>
      </c>
      <c r="B528" t="s">
        <v>172</v>
      </c>
      <c r="C528" t="str">
        <f>_xlfn.XLOOKUP(B528,Phone_by_Price!$A$2:$A$34,Phone_by_Price!$B$2:$B$34,"-",0,1)</f>
        <v>Xiaomi Redmi 9</v>
      </c>
      <c r="D528" t="str">
        <f>_xlfn.XLOOKUP(C528,Phone_by_Sentiment!$B$2:$B$37,Phone_by_Sentiment!$A$2:$A$37,"-",0,1)</f>
        <v>2020-08</v>
      </c>
      <c r="E528" cm="1">
        <f t="array" ref="E528">IF($Q528&gt;=0,IFERROR(generateSalesData($D528, IF(ISNUMBER(_xlfn.XLOOKUP($C528,Phone_by_Sentiment!$B$2:$B$37,Phone_by_Sentiment!E$2:E$37,"",0,1)),_xlfn.XLOOKUP($C528,Phone_by_Sentiment!$B$2:$B$37,Phone_by_Sentiment!E$2:E$37,"",0,1),0),$A528-TEXT(DATEVALUE($D528&amp;"-01"), "dd-mm-yyyy")),0),0)</f>
        <v>0</v>
      </c>
      <c r="F528" cm="1">
        <f t="array" ref="F528">IF($Q528&gt;=0,IFERROR(generateSalesData($D528, IF(ISNUMBER(_xlfn.XLOOKUP($C528,Phone_by_Sentiment!$B$2:$B$37,Phone_by_Sentiment!F$2:F$37,"",0,1)),_xlfn.XLOOKUP($C528,Phone_by_Sentiment!$B$2:$B$37,Phone_by_Sentiment!F$2:F$37,"",0,1),0),$A528-TEXT(DATEVALUE($D528&amp;"-01"), "dd-mm-yyyy")),0),0)</f>
        <v>0</v>
      </c>
      <c r="G528" cm="1">
        <f t="array" ref="G528">IF($Q528&gt;=0,IFERROR(generateSalesData($D528, IF(ISNUMBER(_xlfn.XLOOKUP($C528,Phone_by_Sentiment!$B$2:$B$37,Phone_by_Sentiment!G$2:G$37,"",0,1)),_xlfn.XLOOKUP($C528,Phone_by_Sentiment!$B$2:$B$37,Phone_by_Sentiment!G$2:G$37,"",0,1),0),$A528-TEXT(DATEVALUE($D528&amp;"-01"), "dd-mm-yyyy")),0),0)</f>
        <v>0</v>
      </c>
      <c r="H528" cm="1">
        <f t="array" ref="H528">IF($Q528&gt;=0,IFERROR(generateSalesData($D528, IF(ISNUMBER(_xlfn.XLOOKUP($C528,Phone_by_Sentiment!$B$2:$B$37,Phone_by_Sentiment!H$2:H$37,"",0,1)),_xlfn.XLOOKUP($C528,Phone_by_Sentiment!$B$2:$B$37,Phone_by_Sentiment!H$2:H$37,"",0,1),0),$A528-TEXT(DATEVALUE($D528&amp;"-01"), "dd-mm-yyyy")),0),0)</f>
        <v>0</v>
      </c>
      <c r="I528" cm="1">
        <f t="array" ref="I528">IF($Q528&gt;=0,IFERROR(generateSalesData($D528, IF(ISNUMBER(_xlfn.XLOOKUP($C528,Phone_by_Sentiment!$B$2:$B$37,Phone_by_Sentiment!I$2:I$37,"",0,1)),_xlfn.XLOOKUP($C528,Phone_by_Sentiment!$B$2:$B$37,Phone_by_Sentiment!I$2:I$37,"",0,1),0),$A528-TEXT(DATEVALUE($D528&amp;"-01"), "dd-mm-yyyy")),0),0)</f>
        <v>0</v>
      </c>
      <c r="J528" cm="1">
        <f t="array" ref="J528">IF($Q528&gt;=0,IFERROR(generateSalesData($D528, IF(ISNUMBER(_xlfn.XLOOKUP($C528,Phone_by_Sentiment!$B$2:$B$37,Phone_by_Sentiment!J$2:J$37,"",0,1)),_xlfn.XLOOKUP($C528,Phone_by_Sentiment!$B$2:$B$37,Phone_by_Sentiment!J$2:J$37,"",0,1),0),$A528-TEXT(DATEVALUE($D528&amp;"-01"), "dd-mm-yyyy")),0),0)</f>
        <v>0</v>
      </c>
      <c r="K528" cm="1">
        <f t="array" ref="K528">IF($Q528&gt;=0,IFERROR(generateSalesData($D528, IF(ISNUMBER(_xlfn.XLOOKUP($C528,Phone_by_Sentiment!$B$2:$B$37,Phone_by_Sentiment!K$2:K$37,"",0,1)),_xlfn.XLOOKUP($C528,Phone_by_Sentiment!$B$2:$B$37,Phone_by_Sentiment!K$2:K$37,"",0,1),0),$A528-TEXT(DATEVALUE($D528&amp;"-01"), "dd-mm-yyyy")),0),0)</f>
        <v>0</v>
      </c>
      <c r="L528" cm="1">
        <f t="array" ref="L528">IF($Q528&gt;=0,IFERROR(generateSalesData($D528, IF(ISNUMBER(_xlfn.XLOOKUP($C528,Phone_by_Sentiment!$B$2:$B$37,Phone_by_Sentiment!L$2:L$37,"",0,1)),_xlfn.XLOOKUP($C528,Phone_by_Sentiment!$B$2:$B$37,Phone_by_Sentiment!L$2:L$37,"",0,1),0),$A528-TEXT(DATEVALUE($D528&amp;"-01"), "dd-mm-yyyy")),0),0)</f>
        <v>0</v>
      </c>
      <c r="M528" cm="1">
        <f t="array" ref="M528">IF($Q528&gt;=0,IFERROR(generateSalesData($D528, IF(ISNUMBER(_xlfn.XLOOKUP($C528,Phone_by_Sentiment!$B$2:$B$37,Phone_by_Sentiment!M$2:M$37,"",0,1)),_xlfn.XLOOKUP($C528,Phone_by_Sentiment!$B$2:$B$37,Phone_by_Sentiment!M$2:M$37,"",0,1),0),$A528-TEXT(DATEVALUE($D528&amp;"-01"), "dd-mm-yyyy")),0),0)</f>
        <v>0</v>
      </c>
      <c r="N528" cm="1">
        <f t="array" ref="N528">IF($Q528&gt;=0,IFERROR(generateSalesData($D528, IF(ISNUMBER(_xlfn.XLOOKUP($C528,Phone_by_Sentiment!$B$2:$B$37,Phone_by_Sentiment!N$2:N$37,"",0,1)),_xlfn.XLOOKUP($C528,Phone_by_Sentiment!$B$2:$B$37,Phone_by_Sentiment!N$2:N$37,"",0,1),0),$A528-TEXT(DATEVALUE($D528&amp;"-01"), "dd-mm-yyyy")),0),0)</f>
        <v>0</v>
      </c>
      <c r="O528" cm="1">
        <f t="array" ref="O528">IF($Q528&gt;=0,IFERROR(generateSalesData($D528, IF(ISNUMBER(_xlfn.XLOOKUP($C528,Phone_by_Sentiment!$B$2:$B$37,Phone_by_Sentiment!O$2:O$37,"",0,1)),_xlfn.XLOOKUP($C528,Phone_by_Sentiment!$B$2:$B$37,Phone_by_Sentiment!O$2:O$37,"",0,1),0),$A528-TEXT(DATEVALUE($D528&amp;"-01"), "dd-mm-yyyy")),0),0)</f>
        <v>0</v>
      </c>
      <c r="P528" s="1">
        <f t="shared" si="22"/>
        <v>44044</v>
      </c>
      <c r="Q528">
        <f t="shared" si="23"/>
        <v>-122</v>
      </c>
    </row>
    <row r="529" spans="1:17" x14ac:dyDescent="0.25">
      <c r="A529" s="1">
        <f t="shared" si="21"/>
        <v>43922</v>
      </c>
      <c r="B529" t="s">
        <v>173</v>
      </c>
      <c r="C529" t="str">
        <f>_xlfn.XLOOKUP(B529,Phone_by_Price!$A$2:$A$34,Phone_by_Price!$B$2:$B$34,"-",0,1)</f>
        <v>Realme C3</v>
      </c>
      <c r="D529" t="str">
        <f>_xlfn.XLOOKUP(C529,Phone_by_Sentiment!$B$2:$B$37,Phone_by_Sentiment!$A$2:$A$37,"-",0,1)</f>
        <v>2020-02</v>
      </c>
      <c r="E529" cm="1">
        <f t="array" ref="E529">IF($Q529&gt;=0,IFERROR(generateSalesData($D529, IF(ISNUMBER(_xlfn.XLOOKUP($C529,Phone_by_Sentiment!$B$2:$B$37,Phone_by_Sentiment!E$2:E$37,"",0,1)),_xlfn.XLOOKUP($C529,Phone_by_Sentiment!$B$2:$B$37,Phone_by_Sentiment!E$2:E$37,"",0,1),0),$A529-TEXT(DATEVALUE($D529&amp;"-01"), "dd-mm-yyyy")),0),0)</f>
        <v>768</v>
      </c>
      <c r="F529" cm="1">
        <f t="array" ref="F529">IF($Q529&gt;=0,IFERROR(generateSalesData($D529, IF(ISNUMBER(_xlfn.XLOOKUP($C529,Phone_by_Sentiment!$B$2:$B$37,Phone_by_Sentiment!F$2:F$37,"",0,1)),_xlfn.XLOOKUP($C529,Phone_by_Sentiment!$B$2:$B$37,Phone_by_Sentiment!F$2:F$37,"",0,1),0),$A529-TEXT(DATEVALUE($D529&amp;"-01"), "dd-mm-yyyy")),0),0)</f>
        <v>43</v>
      </c>
      <c r="G529" cm="1">
        <f t="array" ref="G529">IF($Q529&gt;=0,IFERROR(generateSalesData($D529, IF(ISNUMBER(_xlfn.XLOOKUP($C529,Phone_by_Sentiment!$B$2:$B$37,Phone_by_Sentiment!G$2:G$37,"",0,1)),_xlfn.XLOOKUP($C529,Phone_by_Sentiment!$B$2:$B$37,Phone_by_Sentiment!G$2:G$37,"",0,1),0),$A529-TEXT(DATEVALUE($D529&amp;"-01"), "dd-mm-yyyy")),0),0)</f>
        <v>1376</v>
      </c>
      <c r="H529" cm="1">
        <f t="array" ref="H529">IF($Q529&gt;=0,IFERROR(generateSalesData($D529, IF(ISNUMBER(_xlfn.XLOOKUP($C529,Phone_by_Sentiment!$B$2:$B$37,Phone_by_Sentiment!H$2:H$37,"",0,1)),_xlfn.XLOOKUP($C529,Phone_by_Sentiment!$B$2:$B$37,Phone_by_Sentiment!H$2:H$37,"",0,1),0),$A529-TEXT(DATEVALUE($D529&amp;"-01"), "dd-mm-yyyy")),0),0)</f>
        <v>6182</v>
      </c>
      <c r="I529" cm="1">
        <f t="array" ref="I529">IF($Q529&gt;=0,IFERROR(generateSalesData($D529, IF(ISNUMBER(_xlfn.XLOOKUP($C529,Phone_by_Sentiment!$B$2:$B$37,Phone_by_Sentiment!I$2:I$37,"",0,1)),_xlfn.XLOOKUP($C529,Phone_by_Sentiment!$B$2:$B$37,Phone_by_Sentiment!I$2:I$37,"",0,1),0),$A529-TEXT(DATEVALUE($D529&amp;"-01"), "dd-mm-yyyy")),0),0)</f>
        <v>4598</v>
      </c>
      <c r="J529" cm="1">
        <f t="array" ref="J529">IF($Q529&gt;=0,IFERROR(generateSalesData($D529, IF(ISNUMBER(_xlfn.XLOOKUP($C529,Phone_by_Sentiment!$B$2:$B$37,Phone_by_Sentiment!J$2:J$37,"",0,1)),_xlfn.XLOOKUP($C529,Phone_by_Sentiment!$B$2:$B$37,Phone_by_Sentiment!J$2:J$37,"",0,1),0),$A529-TEXT(DATEVALUE($D529&amp;"-01"), "dd-mm-yyyy")),0),0)</f>
        <v>1388</v>
      </c>
      <c r="K529" cm="1">
        <f t="array" ref="K529">IF($Q529&gt;=0,IFERROR(generateSalesData($D529, IF(ISNUMBER(_xlfn.XLOOKUP($C529,Phone_by_Sentiment!$B$2:$B$37,Phone_by_Sentiment!K$2:K$37,"",0,1)),_xlfn.XLOOKUP($C529,Phone_by_Sentiment!$B$2:$B$37,Phone_by_Sentiment!K$2:K$37,"",0,1),0),$A529-TEXT(DATEVALUE($D529&amp;"-01"), "dd-mm-yyyy")),0),0)</f>
        <v>3232</v>
      </c>
      <c r="L529" cm="1">
        <f t="array" ref="L529">IF($Q529&gt;=0,IFERROR(generateSalesData($D529, IF(ISNUMBER(_xlfn.XLOOKUP($C529,Phone_by_Sentiment!$B$2:$B$37,Phone_by_Sentiment!L$2:L$37,"",0,1)),_xlfn.XLOOKUP($C529,Phone_by_Sentiment!$B$2:$B$37,Phone_by_Sentiment!L$2:L$37,"",0,1),0),$A529-TEXT(DATEVALUE($D529&amp;"-01"), "dd-mm-yyyy")),0),0)</f>
        <v>3952</v>
      </c>
      <c r="M529" cm="1">
        <f t="array" ref="M529">IF($Q529&gt;=0,IFERROR(generateSalesData($D529, IF(ISNUMBER(_xlfn.XLOOKUP($C529,Phone_by_Sentiment!$B$2:$B$37,Phone_by_Sentiment!M$2:M$37,"",0,1)),_xlfn.XLOOKUP($C529,Phone_by_Sentiment!$B$2:$B$37,Phone_by_Sentiment!M$2:M$37,"",0,1),0),$A529-TEXT(DATEVALUE($D529&amp;"-01"), "dd-mm-yyyy")),0),0)</f>
        <v>763</v>
      </c>
      <c r="N529" cm="1">
        <f t="array" ref="N529">IF($Q529&gt;=0,IFERROR(generateSalesData($D529, IF(ISNUMBER(_xlfn.XLOOKUP($C529,Phone_by_Sentiment!$B$2:$B$37,Phone_by_Sentiment!N$2:N$37,"",0,1)),_xlfn.XLOOKUP($C529,Phone_by_Sentiment!$B$2:$B$37,Phone_by_Sentiment!N$2:N$37,"",0,1),0),$A529-TEXT(DATEVALUE($D529&amp;"-01"), "dd-mm-yyyy")),0),0)</f>
        <v>3051</v>
      </c>
      <c r="O529" cm="1">
        <f t="array" ref="O529">IF($Q529&gt;=0,IFERROR(generateSalesData($D529, IF(ISNUMBER(_xlfn.XLOOKUP($C529,Phone_by_Sentiment!$B$2:$B$37,Phone_by_Sentiment!O$2:O$37,"",0,1)),_xlfn.XLOOKUP($C529,Phone_by_Sentiment!$B$2:$B$37,Phone_by_Sentiment!O$2:O$37,"",0,1),0),$A529-TEXT(DATEVALUE($D529&amp;"-01"), "dd-mm-yyyy")),0),0)</f>
        <v>630</v>
      </c>
      <c r="P529" s="1">
        <f t="shared" si="22"/>
        <v>43862</v>
      </c>
      <c r="Q529">
        <f t="shared" si="23"/>
        <v>60</v>
      </c>
    </row>
    <row r="530" spans="1:17" x14ac:dyDescent="0.25">
      <c r="A530" s="1">
        <f t="shared" si="21"/>
        <v>43922</v>
      </c>
      <c r="B530" t="s">
        <v>174</v>
      </c>
      <c r="C530" t="str">
        <f>_xlfn.XLOOKUP(B530,Phone_by_Price!$A$2:$A$34,Phone_by_Price!$B$2:$B$34,"-",0,1)</f>
        <v>Samsung Galaxy A7</v>
      </c>
      <c r="D530" t="str">
        <f>_xlfn.XLOOKUP(C530,Phone_by_Sentiment!$B$2:$B$37,Phone_by_Sentiment!$A$2:$A$37,"-",0,1)</f>
        <v>2018-10</v>
      </c>
      <c r="E530" cm="1">
        <f t="array" ref="E530">IF($Q530&gt;=0,IFERROR(generateSalesData($D530, IF(ISNUMBER(_xlfn.XLOOKUP($C530,Phone_by_Sentiment!$B$2:$B$37,Phone_by_Sentiment!E$2:E$37,"",0,1)),_xlfn.XLOOKUP($C530,Phone_by_Sentiment!$B$2:$B$37,Phone_by_Sentiment!E$2:E$37,"",0,1),0),$A530-TEXT(DATEVALUE($D530&amp;"-01"), "dd-mm-yyyy")),0),0)</f>
        <v>124</v>
      </c>
      <c r="F530" cm="1">
        <f t="array" ref="F530">IF($Q530&gt;=0,IFERROR(generateSalesData($D530, IF(ISNUMBER(_xlfn.XLOOKUP($C530,Phone_by_Sentiment!$B$2:$B$37,Phone_by_Sentiment!F$2:F$37,"",0,1)),_xlfn.XLOOKUP($C530,Phone_by_Sentiment!$B$2:$B$37,Phone_by_Sentiment!F$2:F$37,"",0,1),0),$A530-TEXT(DATEVALUE($D530&amp;"-01"), "dd-mm-yyyy")),0),0)</f>
        <v>158</v>
      </c>
      <c r="G530" cm="1">
        <f t="array" ref="G530">IF($Q530&gt;=0,IFERROR(generateSalesData($D530, IF(ISNUMBER(_xlfn.XLOOKUP($C530,Phone_by_Sentiment!$B$2:$B$37,Phone_by_Sentiment!G$2:G$37,"",0,1)),_xlfn.XLOOKUP($C530,Phone_by_Sentiment!$B$2:$B$37,Phone_by_Sentiment!G$2:G$37,"",0,1),0),$A530-TEXT(DATEVALUE($D530&amp;"-01"), "dd-mm-yyyy")),0),0)</f>
        <v>111</v>
      </c>
      <c r="H530" cm="1">
        <f t="array" ref="H530">IF($Q530&gt;=0,IFERROR(generateSalesData($D530, IF(ISNUMBER(_xlfn.XLOOKUP($C530,Phone_by_Sentiment!$B$2:$B$37,Phone_by_Sentiment!H$2:H$37,"",0,1)),_xlfn.XLOOKUP($C530,Phone_by_Sentiment!$B$2:$B$37,Phone_by_Sentiment!H$2:H$37,"",0,1),0),$A530-TEXT(DATEVALUE($D530&amp;"-01"), "dd-mm-yyyy")),0),0)</f>
        <v>578</v>
      </c>
      <c r="I530" cm="1">
        <f t="array" ref="I530">IF($Q530&gt;=0,IFERROR(generateSalesData($D530, IF(ISNUMBER(_xlfn.XLOOKUP($C530,Phone_by_Sentiment!$B$2:$B$37,Phone_by_Sentiment!I$2:I$37,"",0,1)),_xlfn.XLOOKUP($C530,Phone_by_Sentiment!$B$2:$B$37,Phone_by_Sentiment!I$2:I$37,"",0,1),0),$A530-TEXT(DATEVALUE($D530&amp;"-01"), "dd-mm-yyyy")),0),0)</f>
        <v>467</v>
      </c>
      <c r="J530" cm="1">
        <f t="array" ref="J530">IF($Q530&gt;=0,IFERROR(generateSalesData($D530, IF(ISNUMBER(_xlfn.XLOOKUP($C530,Phone_by_Sentiment!$B$2:$B$37,Phone_by_Sentiment!J$2:J$37,"",0,1)),_xlfn.XLOOKUP($C530,Phone_by_Sentiment!$B$2:$B$37,Phone_by_Sentiment!J$2:J$37,"",0,1),0),$A530-TEXT(DATEVALUE($D530&amp;"-01"), "dd-mm-yyyy")),0),0)</f>
        <v>157</v>
      </c>
      <c r="K530" cm="1">
        <f t="array" ref="K530">IF($Q530&gt;=0,IFERROR(generateSalesData($D530, IF(ISNUMBER(_xlfn.XLOOKUP($C530,Phone_by_Sentiment!$B$2:$B$37,Phone_by_Sentiment!K$2:K$37,"",0,1)),_xlfn.XLOOKUP($C530,Phone_by_Sentiment!$B$2:$B$37,Phone_by_Sentiment!K$2:K$37,"",0,1),0),$A530-TEXT(DATEVALUE($D530&amp;"-01"), "dd-mm-yyyy")),0),0)</f>
        <v>173</v>
      </c>
      <c r="L530" cm="1">
        <f t="array" ref="L530">IF($Q530&gt;=0,IFERROR(generateSalesData($D530, IF(ISNUMBER(_xlfn.XLOOKUP($C530,Phone_by_Sentiment!$B$2:$B$37,Phone_by_Sentiment!L$2:L$37,"",0,1)),_xlfn.XLOOKUP($C530,Phone_by_Sentiment!$B$2:$B$37,Phone_by_Sentiment!L$2:L$37,"",0,1),0),$A530-TEXT(DATEVALUE($D530&amp;"-01"), "dd-mm-yyyy")),0),0)</f>
        <v>88</v>
      </c>
      <c r="M530" cm="1">
        <f t="array" ref="M530">IF($Q530&gt;=0,IFERROR(generateSalesData($D530, IF(ISNUMBER(_xlfn.XLOOKUP($C530,Phone_by_Sentiment!$B$2:$B$37,Phone_by_Sentiment!M$2:M$37,"",0,1)),_xlfn.XLOOKUP($C530,Phone_by_Sentiment!$B$2:$B$37,Phone_by_Sentiment!M$2:M$37,"",0,1),0),$A530-TEXT(DATEVALUE($D530&amp;"-01"), "dd-mm-yyyy")),0),0)</f>
        <v>374</v>
      </c>
      <c r="N530" cm="1">
        <f t="array" ref="N530">IF($Q530&gt;=0,IFERROR(generateSalesData($D530, IF(ISNUMBER(_xlfn.XLOOKUP($C530,Phone_by_Sentiment!$B$2:$B$37,Phone_by_Sentiment!N$2:N$37,"",0,1)),_xlfn.XLOOKUP($C530,Phone_by_Sentiment!$B$2:$B$37,Phone_by_Sentiment!N$2:N$37,"",0,1),0),$A530-TEXT(DATEVALUE($D530&amp;"-01"), "dd-mm-yyyy")),0),0)</f>
        <v>274</v>
      </c>
      <c r="O530" cm="1">
        <f t="array" ref="O530">IF($Q530&gt;=0,IFERROR(generateSalesData($D530, IF(ISNUMBER(_xlfn.XLOOKUP($C530,Phone_by_Sentiment!$B$2:$B$37,Phone_by_Sentiment!O$2:O$37,"",0,1)),_xlfn.XLOOKUP($C530,Phone_by_Sentiment!$B$2:$B$37,Phone_by_Sentiment!O$2:O$37,"",0,1),0),$A530-TEXT(DATEVALUE($D530&amp;"-01"), "dd-mm-yyyy")),0),0)</f>
        <v>358</v>
      </c>
      <c r="P530" s="1">
        <f t="shared" si="22"/>
        <v>43374</v>
      </c>
      <c r="Q530">
        <f t="shared" si="23"/>
        <v>548</v>
      </c>
    </row>
    <row r="531" spans="1:17" x14ac:dyDescent="0.25">
      <c r="A531" s="1">
        <f t="shared" si="21"/>
        <v>43922</v>
      </c>
      <c r="B531" t="s">
        <v>142</v>
      </c>
      <c r="C531" t="str">
        <f>_xlfn.XLOOKUP(B531,Phone_by_Price!$A$2:$A$34,Phone_by_Price!$B$2:$B$34,"-",0,1)</f>
        <v>iPhone 11</v>
      </c>
      <c r="D531" t="str">
        <f>_xlfn.XLOOKUP(C531,Phone_by_Sentiment!$B$2:$B$37,Phone_by_Sentiment!$A$2:$A$37,"-",0,1)</f>
        <v>2019-09</v>
      </c>
      <c r="E531" cm="1">
        <f t="array" ref="E531">IF($Q531&gt;=0,IFERROR(generateSalesData($D531, IF(ISNUMBER(_xlfn.XLOOKUP($C531,Phone_by_Sentiment!$B$2:$B$37,Phone_by_Sentiment!E$2:E$37,"",0,1)),_xlfn.XLOOKUP($C531,Phone_by_Sentiment!$B$2:$B$37,Phone_by_Sentiment!E$2:E$37,"",0,1),0),$A531-TEXT(DATEVALUE($D531&amp;"-01"), "dd-mm-yyyy")),0),0)</f>
        <v>753</v>
      </c>
      <c r="F531" cm="1">
        <f t="array" ref="F531">IF($Q531&gt;=0,IFERROR(generateSalesData($D531, IF(ISNUMBER(_xlfn.XLOOKUP($C531,Phone_by_Sentiment!$B$2:$B$37,Phone_by_Sentiment!F$2:F$37,"",0,1)),_xlfn.XLOOKUP($C531,Phone_by_Sentiment!$B$2:$B$37,Phone_by_Sentiment!F$2:F$37,"",0,1),0),$A531-TEXT(DATEVALUE($D531&amp;"-01"), "dd-mm-yyyy")),0),0)</f>
        <v>1594</v>
      </c>
      <c r="G531" cm="1">
        <f t="array" ref="G531">IF($Q531&gt;=0,IFERROR(generateSalesData($D531, IF(ISNUMBER(_xlfn.XLOOKUP($C531,Phone_by_Sentiment!$B$2:$B$37,Phone_by_Sentiment!G$2:G$37,"",0,1)),_xlfn.XLOOKUP($C531,Phone_by_Sentiment!$B$2:$B$37,Phone_by_Sentiment!G$2:G$37,"",0,1),0),$A531-TEXT(DATEVALUE($D531&amp;"-01"), "dd-mm-yyyy")),0),0)</f>
        <v>276</v>
      </c>
      <c r="H531" cm="1">
        <f t="array" ref="H531">IF($Q531&gt;=0,IFERROR(generateSalesData($D531, IF(ISNUMBER(_xlfn.XLOOKUP($C531,Phone_by_Sentiment!$B$2:$B$37,Phone_by_Sentiment!H$2:H$37,"",0,1)),_xlfn.XLOOKUP($C531,Phone_by_Sentiment!$B$2:$B$37,Phone_by_Sentiment!H$2:H$37,"",0,1),0),$A531-TEXT(DATEVALUE($D531&amp;"-01"), "dd-mm-yyyy")),0),0)</f>
        <v>1695</v>
      </c>
      <c r="I531" cm="1">
        <f t="array" ref="I531">IF($Q531&gt;=0,IFERROR(generateSalesData($D531, IF(ISNUMBER(_xlfn.XLOOKUP($C531,Phone_by_Sentiment!$B$2:$B$37,Phone_by_Sentiment!I$2:I$37,"",0,1)),_xlfn.XLOOKUP($C531,Phone_by_Sentiment!$B$2:$B$37,Phone_by_Sentiment!I$2:I$37,"",0,1),0),$A531-TEXT(DATEVALUE($D531&amp;"-01"), "dd-mm-yyyy")),0),0)</f>
        <v>842</v>
      </c>
      <c r="J531" cm="1">
        <f t="array" ref="J531">IF($Q531&gt;=0,IFERROR(generateSalesData($D531, IF(ISNUMBER(_xlfn.XLOOKUP($C531,Phone_by_Sentiment!$B$2:$B$37,Phone_by_Sentiment!J$2:J$37,"",0,1)),_xlfn.XLOOKUP($C531,Phone_by_Sentiment!$B$2:$B$37,Phone_by_Sentiment!J$2:J$37,"",0,1),0),$A531-TEXT(DATEVALUE($D531&amp;"-01"), "dd-mm-yyyy")),0),0)</f>
        <v>1433</v>
      </c>
      <c r="K531" cm="1">
        <f t="array" ref="K531">IF($Q531&gt;=0,IFERROR(generateSalesData($D531, IF(ISNUMBER(_xlfn.XLOOKUP($C531,Phone_by_Sentiment!$B$2:$B$37,Phone_by_Sentiment!K$2:K$37,"",0,1)),_xlfn.XLOOKUP($C531,Phone_by_Sentiment!$B$2:$B$37,Phone_by_Sentiment!K$2:K$37,"",0,1),0),$A531-TEXT(DATEVALUE($D531&amp;"-01"), "dd-mm-yyyy")),0),0)</f>
        <v>411</v>
      </c>
      <c r="L531" cm="1">
        <f t="array" ref="L531">IF($Q531&gt;=0,IFERROR(generateSalesData($D531, IF(ISNUMBER(_xlfn.XLOOKUP($C531,Phone_by_Sentiment!$B$2:$B$37,Phone_by_Sentiment!L$2:L$37,"",0,1)),_xlfn.XLOOKUP($C531,Phone_by_Sentiment!$B$2:$B$37,Phone_by_Sentiment!L$2:L$37,"",0,1),0),$A531-TEXT(DATEVALUE($D531&amp;"-01"), "dd-mm-yyyy")),0),0)</f>
        <v>545</v>
      </c>
      <c r="M531" cm="1">
        <f t="array" ref="M531">IF($Q531&gt;=0,IFERROR(generateSalesData($D531, IF(ISNUMBER(_xlfn.XLOOKUP($C531,Phone_by_Sentiment!$B$2:$B$37,Phone_by_Sentiment!M$2:M$37,"",0,1)),_xlfn.XLOOKUP($C531,Phone_by_Sentiment!$B$2:$B$37,Phone_by_Sentiment!M$2:M$37,"",0,1),0),$A531-TEXT(DATEVALUE($D531&amp;"-01"), "dd-mm-yyyy")),0),0)</f>
        <v>975</v>
      </c>
      <c r="N531" cm="1">
        <f t="array" ref="N531">IF($Q531&gt;=0,IFERROR(generateSalesData($D531, IF(ISNUMBER(_xlfn.XLOOKUP($C531,Phone_by_Sentiment!$B$2:$B$37,Phone_by_Sentiment!N$2:N$37,"",0,1)),_xlfn.XLOOKUP($C531,Phone_by_Sentiment!$B$2:$B$37,Phone_by_Sentiment!N$2:N$37,"",0,1),0),$A531-TEXT(DATEVALUE($D531&amp;"-01"), "dd-mm-yyyy")),0),0)</f>
        <v>1817</v>
      </c>
      <c r="O531" cm="1">
        <f t="array" ref="O531">IF($Q531&gt;=0,IFERROR(generateSalesData($D531, IF(ISNUMBER(_xlfn.XLOOKUP($C531,Phone_by_Sentiment!$B$2:$B$37,Phone_by_Sentiment!O$2:O$37,"",0,1)),_xlfn.XLOOKUP($C531,Phone_by_Sentiment!$B$2:$B$37,Phone_by_Sentiment!O$2:O$37,"",0,1),0),$A531-TEXT(DATEVALUE($D531&amp;"-01"), "dd-mm-yyyy")),0),0)</f>
        <v>1371</v>
      </c>
      <c r="P531" s="1">
        <f t="shared" si="22"/>
        <v>43709</v>
      </c>
      <c r="Q531">
        <f t="shared" si="23"/>
        <v>213</v>
      </c>
    </row>
    <row r="532" spans="1:17" x14ac:dyDescent="0.25">
      <c r="A532" s="1">
        <f t="shared" si="21"/>
        <v>43922</v>
      </c>
      <c r="B532" t="s">
        <v>143</v>
      </c>
      <c r="C532" t="str">
        <f>_xlfn.XLOOKUP(B532,Phone_by_Price!$A$2:$A$34,Phone_by_Price!$B$2:$B$34,"-",0,1)</f>
        <v>Samsung Galaxy S20 Ultra</v>
      </c>
      <c r="D532" t="str">
        <f>_xlfn.XLOOKUP(C532,Phone_by_Sentiment!$B$2:$B$37,Phone_by_Sentiment!$A$2:$A$37,"-",0,1)</f>
        <v>2020-02</v>
      </c>
      <c r="E532" cm="1">
        <f t="array" ref="E532">IF($Q532&gt;=0,IFERROR(generateSalesData($D532, IF(ISNUMBER(_xlfn.XLOOKUP($C532,Phone_by_Sentiment!$B$2:$B$37,Phone_by_Sentiment!E$2:E$37,"",0,1)),_xlfn.XLOOKUP($C532,Phone_by_Sentiment!$B$2:$B$37,Phone_by_Sentiment!E$2:E$37,"",0,1),0),$A532-TEXT(DATEVALUE($D532&amp;"-01"), "dd-mm-yyyy")),0),0)</f>
        <v>6530</v>
      </c>
      <c r="F532" cm="1">
        <f t="array" ref="F532">IF($Q532&gt;=0,IFERROR(generateSalesData($D532, IF(ISNUMBER(_xlfn.XLOOKUP($C532,Phone_by_Sentiment!$B$2:$B$37,Phone_by_Sentiment!F$2:F$37,"",0,1)),_xlfn.XLOOKUP($C532,Phone_by_Sentiment!$B$2:$B$37,Phone_by_Sentiment!F$2:F$37,"",0,1),0),$A532-TEXT(DATEVALUE($D532&amp;"-01"), "dd-mm-yyyy")),0),0)</f>
        <v>3095</v>
      </c>
      <c r="G532" cm="1">
        <f t="array" ref="G532">IF($Q532&gt;=0,IFERROR(generateSalesData($D532, IF(ISNUMBER(_xlfn.XLOOKUP($C532,Phone_by_Sentiment!$B$2:$B$37,Phone_by_Sentiment!G$2:G$37,"",0,1)),_xlfn.XLOOKUP($C532,Phone_by_Sentiment!$B$2:$B$37,Phone_by_Sentiment!G$2:G$37,"",0,1),0),$A532-TEXT(DATEVALUE($D532&amp;"-01"), "dd-mm-yyyy")),0),0)</f>
        <v>734</v>
      </c>
      <c r="H532" cm="1">
        <f t="array" ref="H532">IF($Q532&gt;=0,IFERROR(generateSalesData($D532, IF(ISNUMBER(_xlfn.XLOOKUP($C532,Phone_by_Sentiment!$B$2:$B$37,Phone_by_Sentiment!H$2:H$37,"",0,1)),_xlfn.XLOOKUP($C532,Phone_by_Sentiment!$B$2:$B$37,Phone_by_Sentiment!H$2:H$37,"",0,1),0),$A532-TEXT(DATEVALUE($D532&amp;"-01"), "dd-mm-yyyy")),0),0)</f>
        <v>6644</v>
      </c>
      <c r="I532" cm="1">
        <f t="array" ref="I532">IF($Q532&gt;=0,IFERROR(generateSalesData($D532, IF(ISNUMBER(_xlfn.XLOOKUP($C532,Phone_by_Sentiment!$B$2:$B$37,Phone_by_Sentiment!I$2:I$37,"",0,1)),_xlfn.XLOOKUP($C532,Phone_by_Sentiment!$B$2:$B$37,Phone_by_Sentiment!I$2:I$37,"",0,1),0),$A532-TEXT(DATEVALUE($D532&amp;"-01"), "dd-mm-yyyy")),0),0)</f>
        <v>7474</v>
      </c>
      <c r="J532" cm="1">
        <f t="array" ref="J532">IF($Q532&gt;=0,IFERROR(generateSalesData($D532, IF(ISNUMBER(_xlfn.XLOOKUP($C532,Phone_by_Sentiment!$B$2:$B$37,Phone_by_Sentiment!J$2:J$37,"",0,1)),_xlfn.XLOOKUP($C532,Phone_by_Sentiment!$B$2:$B$37,Phone_by_Sentiment!J$2:J$37,"",0,1),0),$A532-TEXT(DATEVALUE($D532&amp;"-01"), "dd-mm-yyyy")),0),0)</f>
        <v>5190</v>
      </c>
      <c r="K532" cm="1">
        <f t="array" ref="K532">IF($Q532&gt;=0,IFERROR(generateSalesData($D532, IF(ISNUMBER(_xlfn.XLOOKUP($C532,Phone_by_Sentiment!$B$2:$B$37,Phone_by_Sentiment!K$2:K$37,"",0,1)),_xlfn.XLOOKUP($C532,Phone_by_Sentiment!$B$2:$B$37,Phone_by_Sentiment!K$2:K$37,"",0,1),0),$A532-TEXT(DATEVALUE($D532&amp;"-01"), "dd-mm-yyyy")),0),0)</f>
        <v>445</v>
      </c>
      <c r="L532" cm="1">
        <f t="array" ref="L532">IF($Q532&gt;=0,IFERROR(generateSalesData($D532, IF(ISNUMBER(_xlfn.XLOOKUP($C532,Phone_by_Sentiment!$B$2:$B$37,Phone_by_Sentiment!L$2:L$37,"",0,1)),_xlfn.XLOOKUP($C532,Phone_by_Sentiment!$B$2:$B$37,Phone_by_Sentiment!L$2:L$37,"",0,1),0),$A532-TEXT(DATEVALUE($D532&amp;"-01"), "dd-mm-yyyy")),0),0)</f>
        <v>6502</v>
      </c>
      <c r="M532" cm="1">
        <f t="array" ref="M532">IF($Q532&gt;=0,IFERROR(generateSalesData($D532, IF(ISNUMBER(_xlfn.XLOOKUP($C532,Phone_by_Sentiment!$B$2:$B$37,Phone_by_Sentiment!M$2:M$37,"",0,1)),_xlfn.XLOOKUP($C532,Phone_by_Sentiment!$B$2:$B$37,Phone_by_Sentiment!M$2:M$37,"",0,1),0),$A532-TEXT(DATEVALUE($D532&amp;"-01"), "dd-mm-yyyy")),0),0)</f>
        <v>5084</v>
      </c>
      <c r="N532" cm="1">
        <f t="array" ref="N532">IF($Q532&gt;=0,IFERROR(generateSalesData($D532, IF(ISNUMBER(_xlfn.XLOOKUP($C532,Phone_by_Sentiment!$B$2:$B$37,Phone_by_Sentiment!N$2:N$37,"",0,1)),_xlfn.XLOOKUP($C532,Phone_by_Sentiment!$B$2:$B$37,Phone_by_Sentiment!N$2:N$37,"",0,1),0),$A532-TEXT(DATEVALUE($D532&amp;"-01"), "dd-mm-yyyy")),0),0)</f>
        <v>5070</v>
      </c>
      <c r="O532" cm="1">
        <f t="array" ref="O532">IF($Q532&gt;=0,IFERROR(generateSalesData($D532, IF(ISNUMBER(_xlfn.XLOOKUP($C532,Phone_by_Sentiment!$B$2:$B$37,Phone_by_Sentiment!O$2:O$37,"",0,1)),_xlfn.XLOOKUP($C532,Phone_by_Sentiment!$B$2:$B$37,Phone_by_Sentiment!O$2:O$37,"",0,1),0),$A532-TEXT(DATEVALUE($D532&amp;"-01"), "dd-mm-yyyy")),0),0)</f>
        <v>3176</v>
      </c>
      <c r="P532" s="1">
        <f t="shared" si="22"/>
        <v>43862</v>
      </c>
      <c r="Q532">
        <f t="shared" si="23"/>
        <v>60</v>
      </c>
    </row>
    <row r="533" spans="1:17" x14ac:dyDescent="0.25">
      <c r="A533" s="1">
        <f t="shared" si="21"/>
        <v>43922</v>
      </c>
      <c r="B533" t="s">
        <v>144</v>
      </c>
      <c r="C533" t="str">
        <f>_xlfn.XLOOKUP(B533,Phone_by_Price!$A$2:$A$34,Phone_by_Price!$B$2:$B$34,"-",0,1)</f>
        <v>Xiaomi Redmi Note 10</v>
      </c>
      <c r="D533" t="str">
        <f>_xlfn.XLOOKUP(C533,Phone_by_Sentiment!$B$2:$B$37,Phone_by_Sentiment!$A$2:$A$37,"-",0,1)</f>
        <v>2021-03</v>
      </c>
      <c r="E533" cm="1">
        <f t="array" ref="E533">IF($Q533&gt;=0,IFERROR(generateSalesData($D533, IF(ISNUMBER(_xlfn.XLOOKUP($C533,Phone_by_Sentiment!$B$2:$B$37,Phone_by_Sentiment!E$2:E$37,"",0,1)),_xlfn.XLOOKUP($C533,Phone_by_Sentiment!$B$2:$B$37,Phone_by_Sentiment!E$2:E$37,"",0,1),0),$A533-TEXT(DATEVALUE($D533&amp;"-01"), "dd-mm-yyyy")),0),0)</f>
        <v>0</v>
      </c>
      <c r="F533" cm="1">
        <f t="array" ref="F533">IF($Q533&gt;=0,IFERROR(generateSalesData($D533, IF(ISNUMBER(_xlfn.XLOOKUP($C533,Phone_by_Sentiment!$B$2:$B$37,Phone_by_Sentiment!F$2:F$37,"",0,1)),_xlfn.XLOOKUP($C533,Phone_by_Sentiment!$B$2:$B$37,Phone_by_Sentiment!F$2:F$37,"",0,1),0),$A533-TEXT(DATEVALUE($D533&amp;"-01"), "dd-mm-yyyy")),0),0)</f>
        <v>0</v>
      </c>
      <c r="G533" cm="1">
        <f t="array" ref="G533">IF($Q533&gt;=0,IFERROR(generateSalesData($D533, IF(ISNUMBER(_xlfn.XLOOKUP($C533,Phone_by_Sentiment!$B$2:$B$37,Phone_by_Sentiment!G$2:G$37,"",0,1)),_xlfn.XLOOKUP($C533,Phone_by_Sentiment!$B$2:$B$37,Phone_by_Sentiment!G$2:G$37,"",0,1),0),$A533-TEXT(DATEVALUE($D533&amp;"-01"), "dd-mm-yyyy")),0),0)</f>
        <v>0</v>
      </c>
      <c r="H533" cm="1">
        <f t="array" ref="H533">IF($Q533&gt;=0,IFERROR(generateSalesData($D533, IF(ISNUMBER(_xlfn.XLOOKUP($C533,Phone_by_Sentiment!$B$2:$B$37,Phone_by_Sentiment!H$2:H$37,"",0,1)),_xlfn.XLOOKUP($C533,Phone_by_Sentiment!$B$2:$B$37,Phone_by_Sentiment!H$2:H$37,"",0,1),0),$A533-TEXT(DATEVALUE($D533&amp;"-01"), "dd-mm-yyyy")),0),0)</f>
        <v>0</v>
      </c>
      <c r="I533" cm="1">
        <f t="array" ref="I533">IF($Q533&gt;=0,IFERROR(generateSalesData($D533, IF(ISNUMBER(_xlfn.XLOOKUP($C533,Phone_by_Sentiment!$B$2:$B$37,Phone_by_Sentiment!I$2:I$37,"",0,1)),_xlfn.XLOOKUP($C533,Phone_by_Sentiment!$B$2:$B$37,Phone_by_Sentiment!I$2:I$37,"",0,1),0),$A533-TEXT(DATEVALUE($D533&amp;"-01"), "dd-mm-yyyy")),0),0)</f>
        <v>0</v>
      </c>
      <c r="J533" cm="1">
        <f t="array" ref="J533">IF($Q533&gt;=0,IFERROR(generateSalesData($D533, IF(ISNUMBER(_xlfn.XLOOKUP($C533,Phone_by_Sentiment!$B$2:$B$37,Phone_by_Sentiment!J$2:J$37,"",0,1)),_xlfn.XLOOKUP($C533,Phone_by_Sentiment!$B$2:$B$37,Phone_by_Sentiment!J$2:J$37,"",0,1),0),$A533-TEXT(DATEVALUE($D533&amp;"-01"), "dd-mm-yyyy")),0),0)</f>
        <v>0</v>
      </c>
      <c r="K533" cm="1">
        <f t="array" ref="K533">IF($Q533&gt;=0,IFERROR(generateSalesData($D533, IF(ISNUMBER(_xlfn.XLOOKUP($C533,Phone_by_Sentiment!$B$2:$B$37,Phone_by_Sentiment!K$2:K$37,"",0,1)),_xlfn.XLOOKUP($C533,Phone_by_Sentiment!$B$2:$B$37,Phone_by_Sentiment!K$2:K$37,"",0,1),0),$A533-TEXT(DATEVALUE($D533&amp;"-01"), "dd-mm-yyyy")),0),0)</f>
        <v>0</v>
      </c>
      <c r="L533" cm="1">
        <f t="array" ref="L533">IF($Q533&gt;=0,IFERROR(generateSalesData($D533, IF(ISNUMBER(_xlfn.XLOOKUP($C533,Phone_by_Sentiment!$B$2:$B$37,Phone_by_Sentiment!L$2:L$37,"",0,1)),_xlfn.XLOOKUP($C533,Phone_by_Sentiment!$B$2:$B$37,Phone_by_Sentiment!L$2:L$37,"",0,1),0),$A533-TEXT(DATEVALUE($D533&amp;"-01"), "dd-mm-yyyy")),0),0)</f>
        <v>0</v>
      </c>
      <c r="M533" cm="1">
        <f t="array" ref="M533">IF($Q533&gt;=0,IFERROR(generateSalesData($D533, IF(ISNUMBER(_xlfn.XLOOKUP($C533,Phone_by_Sentiment!$B$2:$B$37,Phone_by_Sentiment!M$2:M$37,"",0,1)),_xlfn.XLOOKUP($C533,Phone_by_Sentiment!$B$2:$B$37,Phone_by_Sentiment!M$2:M$37,"",0,1),0),$A533-TEXT(DATEVALUE($D533&amp;"-01"), "dd-mm-yyyy")),0),0)</f>
        <v>0</v>
      </c>
      <c r="N533" cm="1">
        <f t="array" ref="N533">IF($Q533&gt;=0,IFERROR(generateSalesData($D533, IF(ISNUMBER(_xlfn.XLOOKUP($C533,Phone_by_Sentiment!$B$2:$B$37,Phone_by_Sentiment!N$2:N$37,"",0,1)),_xlfn.XLOOKUP($C533,Phone_by_Sentiment!$B$2:$B$37,Phone_by_Sentiment!N$2:N$37,"",0,1),0),$A533-TEXT(DATEVALUE($D533&amp;"-01"), "dd-mm-yyyy")),0),0)</f>
        <v>0</v>
      </c>
      <c r="O533" cm="1">
        <f t="array" ref="O533">IF($Q533&gt;=0,IFERROR(generateSalesData($D533, IF(ISNUMBER(_xlfn.XLOOKUP($C533,Phone_by_Sentiment!$B$2:$B$37,Phone_by_Sentiment!O$2:O$37,"",0,1)),_xlfn.XLOOKUP($C533,Phone_by_Sentiment!$B$2:$B$37,Phone_by_Sentiment!O$2:O$37,"",0,1),0),$A533-TEXT(DATEVALUE($D533&amp;"-01"), "dd-mm-yyyy")),0),0)</f>
        <v>0</v>
      </c>
      <c r="P533" s="1">
        <f t="shared" si="22"/>
        <v>44256</v>
      </c>
      <c r="Q533">
        <f t="shared" si="23"/>
        <v>-334</v>
      </c>
    </row>
    <row r="534" spans="1:17" x14ac:dyDescent="0.25">
      <c r="A534" s="1">
        <f t="shared" si="21"/>
        <v>43922</v>
      </c>
      <c r="B534" t="s">
        <v>145</v>
      </c>
      <c r="C534" t="str">
        <f>_xlfn.XLOOKUP(B534,Phone_by_Price!$A$2:$A$34,Phone_by_Price!$B$2:$B$34,"-",0,1)</f>
        <v>OPPO A54</v>
      </c>
      <c r="D534" t="str">
        <f>_xlfn.XLOOKUP(C534,Phone_by_Sentiment!$B$2:$B$37,Phone_by_Sentiment!$A$2:$A$37,"-",0,1)</f>
        <v>2021-04</v>
      </c>
      <c r="E534" cm="1">
        <f t="array" ref="E534">IF($Q534&gt;=0,IFERROR(generateSalesData($D534, IF(ISNUMBER(_xlfn.XLOOKUP($C534,Phone_by_Sentiment!$B$2:$B$37,Phone_by_Sentiment!E$2:E$37,"",0,1)),_xlfn.XLOOKUP($C534,Phone_by_Sentiment!$B$2:$B$37,Phone_by_Sentiment!E$2:E$37,"",0,1),0),$A534-TEXT(DATEVALUE($D534&amp;"-01"), "dd-mm-yyyy")),0),0)</f>
        <v>0</v>
      </c>
      <c r="F534" cm="1">
        <f t="array" ref="F534">IF($Q534&gt;=0,IFERROR(generateSalesData($D534, IF(ISNUMBER(_xlfn.XLOOKUP($C534,Phone_by_Sentiment!$B$2:$B$37,Phone_by_Sentiment!F$2:F$37,"",0,1)),_xlfn.XLOOKUP($C534,Phone_by_Sentiment!$B$2:$B$37,Phone_by_Sentiment!F$2:F$37,"",0,1),0),$A534-TEXT(DATEVALUE($D534&amp;"-01"), "dd-mm-yyyy")),0),0)</f>
        <v>0</v>
      </c>
      <c r="G534" cm="1">
        <f t="array" ref="G534">IF($Q534&gt;=0,IFERROR(generateSalesData($D534, IF(ISNUMBER(_xlfn.XLOOKUP($C534,Phone_by_Sentiment!$B$2:$B$37,Phone_by_Sentiment!G$2:G$37,"",0,1)),_xlfn.XLOOKUP($C534,Phone_by_Sentiment!$B$2:$B$37,Phone_by_Sentiment!G$2:G$37,"",0,1),0),$A534-TEXT(DATEVALUE($D534&amp;"-01"), "dd-mm-yyyy")),0),0)</f>
        <v>0</v>
      </c>
      <c r="H534" cm="1">
        <f t="array" ref="H534">IF($Q534&gt;=0,IFERROR(generateSalesData($D534, IF(ISNUMBER(_xlfn.XLOOKUP($C534,Phone_by_Sentiment!$B$2:$B$37,Phone_by_Sentiment!H$2:H$37,"",0,1)),_xlfn.XLOOKUP($C534,Phone_by_Sentiment!$B$2:$B$37,Phone_by_Sentiment!H$2:H$37,"",0,1),0),$A534-TEXT(DATEVALUE($D534&amp;"-01"), "dd-mm-yyyy")),0),0)</f>
        <v>0</v>
      </c>
      <c r="I534" cm="1">
        <f t="array" ref="I534">IF($Q534&gt;=0,IFERROR(generateSalesData($D534, IF(ISNUMBER(_xlfn.XLOOKUP($C534,Phone_by_Sentiment!$B$2:$B$37,Phone_by_Sentiment!I$2:I$37,"",0,1)),_xlfn.XLOOKUP($C534,Phone_by_Sentiment!$B$2:$B$37,Phone_by_Sentiment!I$2:I$37,"",0,1),0),$A534-TEXT(DATEVALUE($D534&amp;"-01"), "dd-mm-yyyy")),0),0)</f>
        <v>0</v>
      </c>
      <c r="J534" cm="1">
        <f t="array" ref="J534">IF($Q534&gt;=0,IFERROR(generateSalesData($D534, IF(ISNUMBER(_xlfn.XLOOKUP($C534,Phone_by_Sentiment!$B$2:$B$37,Phone_by_Sentiment!J$2:J$37,"",0,1)),_xlfn.XLOOKUP($C534,Phone_by_Sentiment!$B$2:$B$37,Phone_by_Sentiment!J$2:J$37,"",0,1),0),$A534-TEXT(DATEVALUE($D534&amp;"-01"), "dd-mm-yyyy")),0),0)</f>
        <v>0</v>
      </c>
      <c r="K534" cm="1">
        <f t="array" ref="K534">IF($Q534&gt;=0,IFERROR(generateSalesData($D534, IF(ISNUMBER(_xlfn.XLOOKUP($C534,Phone_by_Sentiment!$B$2:$B$37,Phone_by_Sentiment!K$2:K$37,"",0,1)),_xlfn.XLOOKUP($C534,Phone_by_Sentiment!$B$2:$B$37,Phone_by_Sentiment!K$2:K$37,"",0,1),0),$A534-TEXT(DATEVALUE($D534&amp;"-01"), "dd-mm-yyyy")),0),0)</f>
        <v>0</v>
      </c>
      <c r="L534" cm="1">
        <f t="array" ref="L534">IF($Q534&gt;=0,IFERROR(generateSalesData($D534, IF(ISNUMBER(_xlfn.XLOOKUP($C534,Phone_by_Sentiment!$B$2:$B$37,Phone_by_Sentiment!L$2:L$37,"",0,1)),_xlfn.XLOOKUP($C534,Phone_by_Sentiment!$B$2:$B$37,Phone_by_Sentiment!L$2:L$37,"",0,1),0),$A534-TEXT(DATEVALUE($D534&amp;"-01"), "dd-mm-yyyy")),0),0)</f>
        <v>0</v>
      </c>
      <c r="M534" cm="1">
        <f t="array" ref="M534">IF($Q534&gt;=0,IFERROR(generateSalesData($D534, IF(ISNUMBER(_xlfn.XLOOKUP($C534,Phone_by_Sentiment!$B$2:$B$37,Phone_by_Sentiment!M$2:M$37,"",0,1)),_xlfn.XLOOKUP($C534,Phone_by_Sentiment!$B$2:$B$37,Phone_by_Sentiment!M$2:M$37,"",0,1),0),$A534-TEXT(DATEVALUE($D534&amp;"-01"), "dd-mm-yyyy")),0),0)</f>
        <v>0</v>
      </c>
      <c r="N534" cm="1">
        <f t="array" ref="N534">IF($Q534&gt;=0,IFERROR(generateSalesData($D534, IF(ISNUMBER(_xlfn.XLOOKUP($C534,Phone_by_Sentiment!$B$2:$B$37,Phone_by_Sentiment!N$2:N$37,"",0,1)),_xlfn.XLOOKUP($C534,Phone_by_Sentiment!$B$2:$B$37,Phone_by_Sentiment!N$2:N$37,"",0,1),0),$A534-TEXT(DATEVALUE($D534&amp;"-01"), "dd-mm-yyyy")),0),0)</f>
        <v>0</v>
      </c>
      <c r="O534" cm="1">
        <f t="array" ref="O534">IF($Q534&gt;=0,IFERROR(generateSalesData($D534, IF(ISNUMBER(_xlfn.XLOOKUP($C534,Phone_by_Sentiment!$B$2:$B$37,Phone_by_Sentiment!O$2:O$37,"",0,1)),_xlfn.XLOOKUP($C534,Phone_by_Sentiment!$B$2:$B$37,Phone_by_Sentiment!O$2:O$37,"",0,1),0),$A534-TEXT(DATEVALUE($D534&amp;"-01"), "dd-mm-yyyy")),0),0)</f>
        <v>0</v>
      </c>
      <c r="P534" s="1">
        <f t="shared" si="22"/>
        <v>44287</v>
      </c>
      <c r="Q534">
        <f t="shared" si="23"/>
        <v>-365</v>
      </c>
    </row>
    <row r="535" spans="1:17" x14ac:dyDescent="0.25">
      <c r="A535" s="1">
        <f t="shared" si="21"/>
        <v>43922</v>
      </c>
      <c r="B535" t="s">
        <v>146</v>
      </c>
      <c r="C535" t="str">
        <f>_xlfn.XLOOKUP(B535,Phone_by_Price!$A$2:$A$34,Phone_by_Price!$B$2:$B$34,"-",0,1)</f>
        <v>Vivo Y20</v>
      </c>
      <c r="D535" t="str">
        <f>_xlfn.XLOOKUP(C535,Phone_by_Sentiment!$B$2:$B$37,Phone_by_Sentiment!$A$2:$A$37,"-",0,1)</f>
        <v>2020-09</v>
      </c>
      <c r="E535" cm="1">
        <f t="array" ref="E535">IF($Q535&gt;=0,IFERROR(generateSalesData($D535, IF(ISNUMBER(_xlfn.XLOOKUP($C535,Phone_by_Sentiment!$B$2:$B$37,Phone_by_Sentiment!E$2:E$37,"",0,1)),_xlfn.XLOOKUP($C535,Phone_by_Sentiment!$B$2:$B$37,Phone_by_Sentiment!E$2:E$37,"",0,1),0),$A535-TEXT(DATEVALUE($D535&amp;"-01"), "dd-mm-yyyy")),0),0)</f>
        <v>0</v>
      </c>
      <c r="F535" cm="1">
        <f t="array" ref="F535">IF($Q535&gt;=0,IFERROR(generateSalesData($D535, IF(ISNUMBER(_xlfn.XLOOKUP($C535,Phone_by_Sentiment!$B$2:$B$37,Phone_by_Sentiment!F$2:F$37,"",0,1)),_xlfn.XLOOKUP($C535,Phone_by_Sentiment!$B$2:$B$37,Phone_by_Sentiment!F$2:F$37,"",0,1),0),$A535-TEXT(DATEVALUE($D535&amp;"-01"), "dd-mm-yyyy")),0),0)</f>
        <v>0</v>
      </c>
      <c r="G535" cm="1">
        <f t="array" ref="G535">IF($Q535&gt;=0,IFERROR(generateSalesData($D535, IF(ISNUMBER(_xlfn.XLOOKUP($C535,Phone_by_Sentiment!$B$2:$B$37,Phone_by_Sentiment!G$2:G$37,"",0,1)),_xlfn.XLOOKUP($C535,Phone_by_Sentiment!$B$2:$B$37,Phone_by_Sentiment!G$2:G$37,"",0,1),0),$A535-TEXT(DATEVALUE($D535&amp;"-01"), "dd-mm-yyyy")),0),0)</f>
        <v>0</v>
      </c>
      <c r="H535" cm="1">
        <f t="array" ref="H535">IF($Q535&gt;=0,IFERROR(generateSalesData($D535, IF(ISNUMBER(_xlfn.XLOOKUP($C535,Phone_by_Sentiment!$B$2:$B$37,Phone_by_Sentiment!H$2:H$37,"",0,1)),_xlfn.XLOOKUP($C535,Phone_by_Sentiment!$B$2:$B$37,Phone_by_Sentiment!H$2:H$37,"",0,1),0),$A535-TEXT(DATEVALUE($D535&amp;"-01"), "dd-mm-yyyy")),0),0)</f>
        <v>0</v>
      </c>
      <c r="I535" cm="1">
        <f t="array" ref="I535">IF($Q535&gt;=0,IFERROR(generateSalesData($D535, IF(ISNUMBER(_xlfn.XLOOKUP($C535,Phone_by_Sentiment!$B$2:$B$37,Phone_by_Sentiment!I$2:I$37,"",0,1)),_xlfn.XLOOKUP($C535,Phone_by_Sentiment!$B$2:$B$37,Phone_by_Sentiment!I$2:I$37,"",0,1),0),$A535-TEXT(DATEVALUE($D535&amp;"-01"), "dd-mm-yyyy")),0),0)</f>
        <v>0</v>
      </c>
      <c r="J535" cm="1">
        <f t="array" ref="J535">IF($Q535&gt;=0,IFERROR(generateSalesData($D535, IF(ISNUMBER(_xlfn.XLOOKUP($C535,Phone_by_Sentiment!$B$2:$B$37,Phone_by_Sentiment!J$2:J$37,"",0,1)),_xlfn.XLOOKUP($C535,Phone_by_Sentiment!$B$2:$B$37,Phone_by_Sentiment!J$2:J$37,"",0,1),0),$A535-TEXT(DATEVALUE($D535&amp;"-01"), "dd-mm-yyyy")),0),0)</f>
        <v>0</v>
      </c>
      <c r="K535" cm="1">
        <f t="array" ref="K535">IF($Q535&gt;=0,IFERROR(generateSalesData($D535, IF(ISNUMBER(_xlfn.XLOOKUP($C535,Phone_by_Sentiment!$B$2:$B$37,Phone_by_Sentiment!K$2:K$37,"",0,1)),_xlfn.XLOOKUP($C535,Phone_by_Sentiment!$B$2:$B$37,Phone_by_Sentiment!K$2:K$37,"",0,1),0),$A535-TEXT(DATEVALUE($D535&amp;"-01"), "dd-mm-yyyy")),0),0)</f>
        <v>0</v>
      </c>
      <c r="L535" cm="1">
        <f t="array" ref="L535">IF($Q535&gt;=0,IFERROR(generateSalesData($D535, IF(ISNUMBER(_xlfn.XLOOKUP($C535,Phone_by_Sentiment!$B$2:$B$37,Phone_by_Sentiment!L$2:L$37,"",0,1)),_xlfn.XLOOKUP($C535,Phone_by_Sentiment!$B$2:$B$37,Phone_by_Sentiment!L$2:L$37,"",0,1),0),$A535-TEXT(DATEVALUE($D535&amp;"-01"), "dd-mm-yyyy")),0),0)</f>
        <v>0</v>
      </c>
      <c r="M535" cm="1">
        <f t="array" ref="M535">IF($Q535&gt;=0,IFERROR(generateSalesData($D535, IF(ISNUMBER(_xlfn.XLOOKUP($C535,Phone_by_Sentiment!$B$2:$B$37,Phone_by_Sentiment!M$2:M$37,"",0,1)),_xlfn.XLOOKUP($C535,Phone_by_Sentiment!$B$2:$B$37,Phone_by_Sentiment!M$2:M$37,"",0,1),0),$A535-TEXT(DATEVALUE($D535&amp;"-01"), "dd-mm-yyyy")),0),0)</f>
        <v>0</v>
      </c>
      <c r="N535" cm="1">
        <f t="array" ref="N535">IF($Q535&gt;=0,IFERROR(generateSalesData($D535, IF(ISNUMBER(_xlfn.XLOOKUP($C535,Phone_by_Sentiment!$B$2:$B$37,Phone_by_Sentiment!N$2:N$37,"",0,1)),_xlfn.XLOOKUP($C535,Phone_by_Sentiment!$B$2:$B$37,Phone_by_Sentiment!N$2:N$37,"",0,1),0),$A535-TEXT(DATEVALUE($D535&amp;"-01"), "dd-mm-yyyy")),0),0)</f>
        <v>0</v>
      </c>
      <c r="O535" cm="1">
        <f t="array" ref="O535">IF($Q535&gt;=0,IFERROR(generateSalesData($D535, IF(ISNUMBER(_xlfn.XLOOKUP($C535,Phone_by_Sentiment!$B$2:$B$37,Phone_by_Sentiment!O$2:O$37,"",0,1)),_xlfn.XLOOKUP($C535,Phone_by_Sentiment!$B$2:$B$37,Phone_by_Sentiment!O$2:O$37,"",0,1),0),$A535-TEXT(DATEVALUE($D535&amp;"-01"), "dd-mm-yyyy")),0),0)</f>
        <v>0</v>
      </c>
      <c r="P535" s="1">
        <f t="shared" si="22"/>
        <v>44075</v>
      </c>
      <c r="Q535">
        <f t="shared" si="23"/>
        <v>-153</v>
      </c>
    </row>
    <row r="536" spans="1:17" x14ac:dyDescent="0.25">
      <c r="A536" s="1">
        <f t="shared" si="21"/>
        <v>43922</v>
      </c>
      <c r="B536" t="s">
        <v>147</v>
      </c>
      <c r="C536" t="str">
        <f>_xlfn.XLOOKUP(B536,Phone_by_Price!$A$2:$A$34,Phone_by_Price!$B$2:$B$34,"-",0,1)</f>
        <v>Huawei Y9a</v>
      </c>
      <c r="D536" t="str">
        <f>_xlfn.XLOOKUP(C536,Phone_by_Sentiment!$B$2:$B$37,Phone_by_Sentiment!$A$2:$A$37,"-",0,1)</f>
        <v>2020-02</v>
      </c>
      <c r="E536" cm="1">
        <f t="array" ref="E536">IF($Q536&gt;=0,IFERROR(generateSalesData($D536, IF(ISNUMBER(_xlfn.XLOOKUP($C536,Phone_by_Sentiment!$B$2:$B$37,Phone_by_Sentiment!E$2:E$37,"",0,1)),_xlfn.XLOOKUP($C536,Phone_by_Sentiment!$B$2:$B$37,Phone_by_Sentiment!E$2:E$37,"",0,1),0),$A536-TEXT(DATEVALUE($D536&amp;"-01"), "dd-mm-yyyy")),0),0)</f>
        <v>5034</v>
      </c>
      <c r="F536" cm="1">
        <f t="array" ref="F536">IF($Q536&gt;=0,IFERROR(generateSalesData($D536, IF(ISNUMBER(_xlfn.XLOOKUP($C536,Phone_by_Sentiment!$B$2:$B$37,Phone_by_Sentiment!F$2:F$37,"",0,1)),_xlfn.XLOOKUP($C536,Phone_by_Sentiment!$B$2:$B$37,Phone_by_Sentiment!F$2:F$37,"",0,1),0),$A536-TEXT(DATEVALUE($D536&amp;"-01"), "dd-mm-yyyy")),0),0)</f>
        <v>4794</v>
      </c>
      <c r="G536" cm="1">
        <f t="array" ref="G536">IF($Q536&gt;=0,IFERROR(generateSalesData($D536, IF(ISNUMBER(_xlfn.XLOOKUP($C536,Phone_by_Sentiment!$B$2:$B$37,Phone_by_Sentiment!G$2:G$37,"",0,1)),_xlfn.XLOOKUP($C536,Phone_by_Sentiment!$B$2:$B$37,Phone_by_Sentiment!G$2:G$37,"",0,1),0),$A536-TEXT(DATEVALUE($D536&amp;"-01"), "dd-mm-yyyy")),0),0)</f>
        <v>1382</v>
      </c>
      <c r="H536" cm="1">
        <f t="array" ref="H536">IF($Q536&gt;=0,IFERROR(generateSalesData($D536, IF(ISNUMBER(_xlfn.XLOOKUP($C536,Phone_by_Sentiment!$B$2:$B$37,Phone_by_Sentiment!H$2:H$37,"",0,1)),_xlfn.XLOOKUP($C536,Phone_by_Sentiment!$B$2:$B$37,Phone_by_Sentiment!H$2:H$37,"",0,1),0),$A536-TEXT(DATEVALUE($D536&amp;"-01"), "dd-mm-yyyy")),0),0)</f>
        <v>810</v>
      </c>
      <c r="I536" cm="1">
        <f t="array" ref="I536">IF($Q536&gt;=0,IFERROR(generateSalesData($D536, IF(ISNUMBER(_xlfn.XLOOKUP($C536,Phone_by_Sentiment!$B$2:$B$37,Phone_by_Sentiment!I$2:I$37,"",0,1)),_xlfn.XLOOKUP($C536,Phone_by_Sentiment!$B$2:$B$37,Phone_by_Sentiment!I$2:I$37,"",0,1),0),$A536-TEXT(DATEVALUE($D536&amp;"-01"), "dd-mm-yyyy")),0),0)</f>
        <v>2022</v>
      </c>
      <c r="J536" cm="1">
        <f t="array" ref="J536">IF($Q536&gt;=0,IFERROR(generateSalesData($D536, IF(ISNUMBER(_xlfn.XLOOKUP($C536,Phone_by_Sentiment!$B$2:$B$37,Phone_by_Sentiment!J$2:J$37,"",0,1)),_xlfn.XLOOKUP($C536,Phone_by_Sentiment!$B$2:$B$37,Phone_by_Sentiment!J$2:J$37,"",0,1),0),$A536-TEXT(DATEVALUE($D536&amp;"-01"), "dd-mm-yyyy")),0),0)</f>
        <v>1384</v>
      </c>
      <c r="K536" cm="1">
        <f t="array" ref="K536">IF($Q536&gt;=0,IFERROR(generateSalesData($D536, IF(ISNUMBER(_xlfn.XLOOKUP($C536,Phone_by_Sentiment!$B$2:$B$37,Phone_by_Sentiment!K$2:K$37,"",0,1)),_xlfn.XLOOKUP($C536,Phone_by_Sentiment!$B$2:$B$37,Phone_by_Sentiment!K$2:K$37,"",0,1),0),$A536-TEXT(DATEVALUE($D536&amp;"-01"), "dd-mm-yyyy")),0),0)</f>
        <v>1938</v>
      </c>
      <c r="L536" cm="1">
        <f t="array" ref="L536">IF($Q536&gt;=0,IFERROR(generateSalesData($D536, IF(ISNUMBER(_xlfn.XLOOKUP($C536,Phone_by_Sentiment!$B$2:$B$37,Phone_by_Sentiment!L$2:L$37,"",0,1)),_xlfn.XLOOKUP($C536,Phone_by_Sentiment!$B$2:$B$37,Phone_by_Sentiment!L$2:L$37,"",0,1),0),$A536-TEXT(DATEVALUE($D536&amp;"-01"), "dd-mm-yyyy")),0),0)</f>
        <v>1084</v>
      </c>
      <c r="M536" cm="1">
        <f t="array" ref="M536">IF($Q536&gt;=0,IFERROR(generateSalesData($D536, IF(ISNUMBER(_xlfn.XLOOKUP($C536,Phone_by_Sentiment!$B$2:$B$37,Phone_by_Sentiment!M$2:M$37,"",0,1)),_xlfn.XLOOKUP($C536,Phone_by_Sentiment!$B$2:$B$37,Phone_by_Sentiment!M$2:M$37,"",0,1),0),$A536-TEXT(DATEVALUE($D536&amp;"-01"), "dd-mm-yyyy")),0),0)</f>
        <v>2139</v>
      </c>
      <c r="N536" cm="1">
        <f t="array" ref="N536">IF($Q536&gt;=0,IFERROR(generateSalesData($D536, IF(ISNUMBER(_xlfn.XLOOKUP($C536,Phone_by_Sentiment!$B$2:$B$37,Phone_by_Sentiment!N$2:N$37,"",0,1)),_xlfn.XLOOKUP($C536,Phone_by_Sentiment!$B$2:$B$37,Phone_by_Sentiment!N$2:N$37,"",0,1),0),$A536-TEXT(DATEVALUE($D536&amp;"-01"), "dd-mm-yyyy")),0),0)</f>
        <v>596</v>
      </c>
      <c r="O536" cm="1">
        <f t="array" ref="O536">IF($Q536&gt;=0,IFERROR(generateSalesData($D536, IF(ISNUMBER(_xlfn.XLOOKUP($C536,Phone_by_Sentiment!$B$2:$B$37,Phone_by_Sentiment!O$2:O$37,"",0,1)),_xlfn.XLOOKUP($C536,Phone_by_Sentiment!$B$2:$B$37,Phone_by_Sentiment!O$2:O$37,"",0,1),0),$A536-TEXT(DATEVALUE($D536&amp;"-01"), "dd-mm-yyyy")),0),0)</f>
        <v>1274</v>
      </c>
      <c r="P536" s="1">
        <f t="shared" si="22"/>
        <v>43862</v>
      </c>
      <c r="Q536">
        <f t="shared" si="23"/>
        <v>60</v>
      </c>
    </row>
    <row r="537" spans="1:17" x14ac:dyDescent="0.25">
      <c r="A537" s="1">
        <f t="shared" si="21"/>
        <v>43922</v>
      </c>
      <c r="B537" t="s">
        <v>148</v>
      </c>
      <c r="C537" t="str">
        <f>_xlfn.XLOOKUP(B537,Phone_by_Price!$A$2:$A$34,Phone_by_Price!$B$2:$B$34,"-",0,1)</f>
        <v>Xiaomi Redmi 10</v>
      </c>
      <c r="D537" t="str">
        <f>_xlfn.XLOOKUP(C537,Phone_by_Sentiment!$B$2:$B$37,Phone_by_Sentiment!$A$2:$A$37,"-",0,1)</f>
        <v>2021-03</v>
      </c>
      <c r="E537" cm="1">
        <f t="array" ref="E537">IF($Q537&gt;=0,IFERROR(generateSalesData($D537, IF(ISNUMBER(_xlfn.XLOOKUP($C537,Phone_by_Sentiment!$B$2:$B$37,Phone_by_Sentiment!E$2:E$37,"",0,1)),_xlfn.XLOOKUP($C537,Phone_by_Sentiment!$B$2:$B$37,Phone_by_Sentiment!E$2:E$37,"",0,1),0),$A537-TEXT(DATEVALUE($D537&amp;"-01"), "dd-mm-yyyy")),0),0)</f>
        <v>0</v>
      </c>
      <c r="F537" cm="1">
        <f t="array" ref="F537">IF($Q537&gt;=0,IFERROR(generateSalesData($D537, IF(ISNUMBER(_xlfn.XLOOKUP($C537,Phone_by_Sentiment!$B$2:$B$37,Phone_by_Sentiment!F$2:F$37,"",0,1)),_xlfn.XLOOKUP($C537,Phone_by_Sentiment!$B$2:$B$37,Phone_by_Sentiment!F$2:F$37,"",0,1),0),$A537-TEXT(DATEVALUE($D537&amp;"-01"), "dd-mm-yyyy")),0),0)</f>
        <v>0</v>
      </c>
      <c r="G537" cm="1">
        <f t="array" ref="G537">IF($Q537&gt;=0,IFERROR(generateSalesData($D537, IF(ISNUMBER(_xlfn.XLOOKUP($C537,Phone_by_Sentiment!$B$2:$B$37,Phone_by_Sentiment!G$2:G$37,"",0,1)),_xlfn.XLOOKUP($C537,Phone_by_Sentiment!$B$2:$B$37,Phone_by_Sentiment!G$2:G$37,"",0,1),0),$A537-TEXT(DATEVALUE($D537&amp;"-01"), "dd-mm-yyyy")),0),0)</f>
        <v>0</v>
      </c>
      <c r="H537" cm="1">
        <f t="array" ref="H537">IF($Q537&gt;=0,IFERROR(generateSalesData($D537, IF(ISNUMBER(_xlfn.XLOOKUP($C537,Phone_by_Sentiment!$B$2:$B$37,Phone_by_Sentiment!H$2:H$37,"",0,1)),_xlfn.XLOOKUP($C537,Phone_by_Sentiment!$B$2:$B$37,Phone_by_Sentiment!H$2:H$37,"",0,1),0),$A537-TEXT(DATEVALUE($D537&amp;"-01"), "dd-mm-yyyy")),0),0)</f>
        <v>0</v>
      </c>
      <c r="I537" cm="1">
        <f t="array" ref="I537">IF($Q537&gt;=0,IFERROR(generateSalesData($D537, IF(ISNUMBER(_xlfn.XLOOKUP($C537,Phone_by_Sentiment!$B$2:$B$37,Phone_by_Sentiment!I$2:I$37,"",0,1)),_xlfn.XLOOKUP($C537,Phone_by_Sentiment!$B$2:$B$37,Phone_by_Sentiment!I$2:I$37,"",0,1),0),$A537-TEXT(DATEVALUE($D537&amp;"-01"), "dd-mm-yyyy")),0),0)</f>
        <v>0</v>
      </c>
      <c r="J537" cm="1">
        <f t="array" ref="J537">IF($Q537&gt;=0,IFERROR(generateSalesData($D537, IF(ISNUMBER(_xlfn.XLOOKUP($C537,Phone_by_Sentiment!$B$2:$B$37,Phone_by_Sentiment!J$2:J$37,"",0,1)),_xlfn.XLOOKUP($C537,Phone_by_Sentiment!$B$2:$B$37,Phone_by_Sentiment!J$2:J$37,"",0,1),0),$A537-TEXT(DATEVALUE($D537&amp;"-01"), "dd-mm-yyyy")),0),0)</f>
        <v>0</v>
      </c>
      <c r="K537" cm="1">
        <f t="array" ref="K537">IF($Q537&gt;=0,IFERROR(generateSalesData($D537, IF(ISNUMBER(_xlfn.XLOOKUP($C537,Phone_by_Sentiment!$B$2:$B$37,Phone_by_Sentiment!K$2:K$37,"",0,1)),_xlfn.XLOOKUP($C537,Phone_by_Sentiment!$B$2:$B$37,Phone_by_Sentiment!K$2:K$37,"",0,1),0),$A537-TEXT(DATEVALUE($D537&amp;"-01"), "dd-mm-yyyy")),0),0)</f>
        <v>0</v>
      </c>
      <c r="L537" cm="1">
        <f t="array" ref="L537">IF($Q537&gt;=0,IFERROR(generateSalesData($D537, IF(ISNUMBER(_xlfn.XLOOKUP($C537,Phone_by_Sentiment!$B$2:$B$37,Phone_by_Sentiment!L$2:L$37,"",0,1)),_xlfn.XLOOKUP($C537,Phone_by_Sentiment!$B$2:$B$37,Phone_by_Sentiment!L$2:L$37,"",0,1),0),$A537-TEXT(DATEVALUE($D537&amp;"-01"), "dd-mm-yyyy")),0),0)</f>
        <v>0</v>
      </c>
      <c r="M537" cm="1">
        <f t="array" ref="M537">IF($Q537&gt;=0,IFERROR(generateSalesData($D537, IF(ISNUMBER(_xlfn.XLOOKUP($C537,Phone_by_Sentiment!$B$2:$B$37,Phone_by_Sentiment!M$2:M$37,"",0,1)),_xlfn.XLOOKUP($C537,Phone_by_Sentiment!$B$2:$B$37,Phone_by_Sentiment!M$2:M$37,"",0,1),0),$A537-TEXT(DATEVALUE($D537&amp;"-01"), "dd-mm-yyyy")),0),0)</f>
        <v>0</v>
      </c>
      <c r="N537" cm="1">
        <f t="array" ref="N537">IF($Q537&gt;=0,IFERROR(generateSalesData($D537, IF(ISNUMBER(_xlfn.XLOOKUP($C537,Phone_by_Sentiment!$B$2:$B$37,Phone_by_Sentiment!N$2:N$37,"",0,1)),_xlfn.XLOOKUP($C537,Phone_by_Sentiment!$B$2:$B$37,Phone_by_Sentiment!N$2:N$37,"",0,1),0),$A537-TEXT(DATEVALUE($D537&amp;"-01"), "dd-mm-yyyy")),0),0)</f>
        <v>0</v>
      </c>
      <c r="O537" cm="1">
        <f t="array" ref="O537">IF($Q537&gt;=0,IFERROR(generateSalesData($D537, IF(ISNUMBER(_xlfn.XLOOKUP($C537,Phone_by_Sentiment!$B$2:$B$37,Phone_by_Sentiment!O$2:O$37,"",0,1)),_xlfn.XLOOKUP($C537,Phone_by_Sentiment!$B$2:$B$37,Phone_by_Sentiment!O$2:O$37,"",0,1),0),$A537-TEXT(DATEVALUE($D537&amp;"-01"), "dd-mm-yyyy")),0),0)</f>
        <v>0</v>
      </c>
      <c r="P537" s="1">
        <f t="shared" si="22"/>
        <v>44256</v>
      </c>
      <c r="Q537">
        <f t="shared" si="23"/>
        <v>-334</v>
      </c>
    </row>
    <row r="538" spans="1:17" x14ac:dyDescent="0.25">
      <c r="A538" s="1">
        <f t="shared" si="21"/>
        <v>43922</v>
      </c>
      <c r="B538" t="s">
        <v>149</v>
      </c>
      <c r="C538" t="str">
        <f>_xlfn.XLOOKUP(B538,Phone_by_Price!$A$2:$A$34,Phone_by_Price!$B$2:$B$34,"-",0,1)</f>
        <v>Samsung Galaxy A52</v>
      </c>
      <c r="D538" t="str">
        <f>_xlfn.XLOOKUP(C538,Phone_by_Sentiment!$B$2:$B$37,Phone_by_Sentiment!$A$2:$A$37,"-",0,1)</f>
        <v>2021-03</v>
      </c>
      <c r="E538" cm="1">
        <f t="array" ref="E538">IF($Q538&gt;=0,IFERROR(generateSalesData($D538, IF(ISNUMBER(_xlfn.XLOOKUP($C538,Phone_by_Sentiment!$B$2:$B$37,Phone_by_Sentiment!E$2:E$37,"",0,1)),_xlfn.XLOOKUP($C538,Phone_by_Sentiment!$B$2:$B$37,Phone_by_Sentiment!E$2:E$37,"",0,1),0),$A538-TEXT(DATEVALUE($D538&amp;"-01"), "dd-mm-yyyy")),0),0)</f>
        <v>0</v>
      </c>
      <c r="F538" cm="1">
        <f t="array" ref="F538">IF($Q538&gt;=0,IFERROR(generateSalesData($D538, IF(ISNUMBER(_xlfn.XLOOKUP($C538,Phone_by_Sentiment!$B$2:$B$37,Phone_by_Sentiment!F$2:F$37,"",0,1)),_xlfn.XLOOKUP($C538,Phone_by_Sentiment!$B$2:$B$37,Phone_by_Sentiment!F$2:F$37,"",0,1),0),$A538-TEXT(DATEVALUE($D538&amp;"-01"), "dd-mm-yyyy")),0),0)</f>
        <v>0</v>
      </c>
      <c r="G538" cm="1">
        <f t="array" ref="G538">IF($Q538&gt;=0,IFERROR(generateSalesData($D538, IF(ISNUMBER(_xlfn.XLOOKUP($C538,Phone_by_Sentiment!$B$2:$B$37,Phone_by_Sentiment!G$2:G$37,"",0,1)),_xlfn.XLOOKUP($C538,Phone_by_Sentiment!$B$2:$B$37,Phone_by_Sentiment!G$2:G$37,"",0,1),0),$A538-TEXT(DATEVALUE($D538&amp;"-01"), "dd-mm-yyyy")),0),0)</f>
        <v>0</v>
      </c>
      <c r="H538" cm="1">
        <f t="array" ref="H538">IF($Q538&gt;=0,IFERROR(generateSalesData($D538, IF(ISNUMBER(_xlfn.XLOOKUP($C538,Phone_by_Sentiment!$B$2:$B$37,Phone_by_Sentiment!H$2:H$37,"",0,1)),_xlfn.XLOOKUP($C538,Phone_by_Sentiment!$B$2:$B$37,Phone_by_Sentiment!H$2:H$37,"",0,1),0),$A538-TEXT(DATEVALUE($D538&amp;"-01"), "dd-mm-yyyy")),0),0)</f>
        <v>0</v>
      </c>
      <c r="I538" cm="1">
        <f t="array" ref="I538">IF($Q538&gt;=0,IFERROR(generateSalesData($D538, IF(ISNUMBER(_xlfn.XLOOKUP($C538,Phone_by_Sentiment!$B$2:$B$37,Phone_by_Sentiment!I$2:I$37,"",0,1)),_xlfn.XLOOKUP($C538,Phone_by_Sentiment!$B$2:$B$37,Phone_by_Sentiment!I$2:I$37,"",0,1),0),$A538-TEXT(DATEVALUE($D538&amp;"-01"), "dd-mm-yyyy")),0),0)</f>
        <v>0</v>
      </c>
      <c r="J538" cm="1">
        <f t="array" ref="J538">IF($Q538&gt;=0,IFERROR(generateSalesData($D538, IF(ISNUMBER(_xlfn.XLOOKUP($C538,Phone_by_Sentiment!$B$2:$B$37,Phone_by_Sentiment!J$2:J$37,"",0,1)),_xlfn.XLOOKUP($C538,Phone_by_Sentiment!$B$2:$B$37,Phone_by_Sentiment!J$2:J$37,"",0,1),0),$A538-TEXT(DATEVALUE($D538&amp;"-01"), "dd-mm-yyyy")),0),0)</f>
        <v>0</v>
      </c>
      <c r="K538" cm="1">
        <f t="array" ref="K538">IF($Q538&gt;=0,IFERROR(generateSalesData($D538, IF(ISNUMBER(_xlfn.XLOOKUP($C538,Phone_by_Sentiment!$B$2:$B$37,Phone_by_Sentiment!K$2:K$37,"",0,1)),_xlfn.XLOOKUP($C538,Phone_by_Sentiment!$B$2:$B$37,Phone_by_Sentiment!K$2:K$37,"",0,1),0),$A538-TEXT(DATEVALUE($D538&amp;"-01"), "dd-mm-yyyy")),0),0)</f>
        <v>0</v>
      </c>
      <c r="L538" cm="1">
        <f t="array" ref="L538">IF($Q538&gt;=0,IFERROR(generateSalesData($D538, IF(ISNUMBER(_xlfn.XLOOKUP($C538,Phone_by_Sentiment!$B$2:$B$37,Phone_by_Sentiment!L$2:L$37,"",0,1)),_xlfn.XLOOKUP($C538,Phone_by_Sentiment!$B$2:$B$37,Phone_by_Sentiment!L$2:L$37,"",0,1),0),$A538-TEXT(DATEVALUE($D538&amp;"-01"), "dd-mm-yyyy")),0),0)</f>
        <v>0</v>
      </c>
      <c r="M538" cm="1">
        <f t="array" ref="M538">IF($Q538&gt;=0,IFERROR(generateSalesData($D538, IF(ISNUMBER(_xlfn.XLOOKUP($C538,Phone_by_Sentiment!$B$2:$B$37,Phone_by_Sentiment!M$2:M$37,"",0,1)),_xlfn.XLOOKUP($C538,Phone_by_Sentiment!$B$2:$B$37,Phone_by_Sentiment!M$2:M$37,"",0,1),0),$A538-TEXT(DATEVALUE($D538&amp;"-01"), "dd-mm-yyyy")),0),0)</f>
        <v>0</v>
      </c>
      <c r="N538" cm="1">
        <f t="array" ref="N538">IF($Q538&gt;=0,IFERROR(generateSalesData($D538, IF(ISNUMBER(_xlfn.XLOOKUP($C538,Phone_by_Sentiment!$B$2:$B$37,Phone_by_Sentiment!N$2:N$37,"",0,1)),_xlfn.XLOOKUP($C538,Phone_by_Sentiment!$B$2:$B$37,Phone_by_Sentiment!N$2:N$37,"",0,1),0),$A538-TEXT(DATEVALUE($D538&amp;"-01"), "dd-mm-yyyy")),0),0)</f>
        <v>0</v>
      </c>
      <c r="O538" cm="1">
        <f t="array" ref="O538">IF($Q538&gt;=0,IFERROR(generateSalesData($D538, IF(ISNUMBER(_xlfn.XLOOKUP($C538,Phone_by_Sentiment!$B$2:$B$37,Phone_by_Sentiment!O$2:O$37,"",0,1)),_xlfn.XLOOKUP($C538,Phone_by_Sentiment!$B$2:$B$37,Phone_by_Sentiment!O$2:O$37,"",0,1),0),$A538-TEXT(DATEVALUE($D538&amp;"-01"), "dd-mm-yyyy")),0),0)</f>
        <v>0</v>
      </c>
      <c r="P538" s="1">
        <f t="shared" si="22"/>
        <v>44256</v>
      </c>
      <c r="Q538">
        <f t="shared" si="23"/>
        <v>-334</v>
      </c>
    </row>
    <row r="539" spans="1:17" x14ac:dyDescent="0.25">
      <c r="A539" s="1">
        <f t="shared" si="21"/>
        <v>43922</v>
      </c>
      <c r="B539" t="s">
        <v>150</v>
      </c>
      <c r="C539" t="str">
        <f>_xlfn.XLOOKUP(B539,Phone_by_Price!$A$2:$A$34,Phone_by_Price!$B$2:$B$34,"-",0,1)</f>
        <v>Vivo Y33s</v>
      </c>
      <c r="D539" t="str">
        <f>_xlfn.XLOOKUP(C539,Phone_by_Sentiment!$B$2:$B$37,Phone_by_Sentiment!$A$2:$A$37,"-",0,1)</f>
        <v>2021-05</v>
      </c>
      <c r="E539" cm="1">
        <f t="array" ref="E539">IF($Q539&gt;=0,IFERROR(generateSalesData($D539, IF(ISNUMBER(_xlfn.XLOOKUP($C539,Phone_by_Sentiment!$B$2:$B$37,Phone_by_Sentiment!E$2:E$37,"",0,1)),_xlfn.XLOOKUP($C539,Phone_by_Sentiment!$B$2:$B$37,Phone_by_Sentiment!E$2:E$37,"",0,1),0),$A539-TEXT(DATEVALUE($D539&amp;"-01"), "dd-mm-yyyy")),0),0)</f>
        <v>0</v>
      </c>
      <c r="F539" cm="1">
        <f t="array" ref="F539">IF($Q539&gt;=0,IFERROR(generateSalesData($D539, IF(ISNUMBER(_xlfn.XLOOKUP($C539,Phone_by_Sentiment!$B$2:$B$37,Phone_by_Sentiment!F$2:F$37,"",0,1)),_xlfn.XLOOKUP($C539,Phone_by_Sentiment!$B$2:$B$37,Phone_by_Sentiment!F$2:F$37,"",0,1),0),$A539-TEXT(DATEVALUE($D539&amp;"-01"), "dd-mm-yyyy")),0),0)</f>
        <v>0</v>
      </c>
      <c r="G539" cm="1">
        <f t="array" ref="G539">IF($Q539&gt;=0,IFERROR(generateSalesData($D539, IF(ISNUMBER(_xlfn.XLOOKUP($C539,Phone_by_Sentiment!$B$2:$B$37,Phone_by_Sentiment!G$2:G$37,"",0,1)),_xlfn.XLOOKUP($C539,Phone_by_Sentiment!$B$2:$B$37,Phone_by_Sentiment!G$2:G$37,"",0,1),0),$A539-TEXT(DATEVALUE($D539&amp;"-01"), "dd-mm-yyyy")),0),0)</f>
        <v>0</v>
      </c>
      <c r="H539" cm="1">
        <f t="array" ref="H539">IF($Q539&gt;=0,IFERROR(generateSalesData($D539, IF(ISNUMBER(_xlfn.XLOOKUP($C539,Phone_by_Sentiment!$B$2:$B$37,Phone_by_Sentiment!H$2:H$37,"",0,1)),_xlfn.XLOOKUP($C539,Phone_by_Sentiment!$B$2:$B$37,Phone_by_Sentiment!H$2:H$37,"",0,1),0),$A539-TEXT(DATEVALUE($D539&amp;"-01"), "dd-mm-yyyy")),0),0)</f>
        <v>0</v>
      </c>
      <c r="I539" cm="1">
        <f t="array" ref="I539">IF($Q539&gt;=0,IFERROR(generateSalesData($D539, IF(ISNUMBER(_xlfn.XLOOKUP($C539,Phone_by_Sentiment!$B$2:$B$37,Phone_by_Sentiment!I$2:I$37,"",0,1)),_xlfn.XLOOKUP($C539,Phone_by_Sentiment!$B$2:$B$37,Phone_by_Sentiment!I$2:I$37,"",0,1),0),$A539-TEXT(DATEVALUE($D539&amp;"-01"), "dd-mm-yyyy")),0),0)</f>
        <v>0</v>
      </c>
      <c r="J539" cm="1">
        <f t="array" ref="J539">IF($Q539&gt;=0,IFERROR(generateSalesData($D539, IF(ISNUMBER(_xlfn.XLOOKUP($C539,Phone_by_Sentiment!$B$2:$B$37,Phone_by_Sentiment!J$2:J$37,"",0,1)),_xlfn.XLOOKUP($C539,Phone_by_Sentiment!$B$2:$B$37,Phone_by_Sentiment!J$2:J$37,"",0,1),0),$A539-TEXT(DATEVALUE($D539&amp;"-01"), "dd-mm-yyyy")),0),0)</f>
        <v>0</v>
      </c>
      <c r="K539" cm="1">
        <f t="array" ref="K539">IF($Q539&gt;=0,IFERROR(generateSalesData($D539, IF(ISNUMBER(_xlfn.XLOOKUP($C539,Phone_by_Sentiment!$B$2:$B$37,Phone_by_Sentiment!K$2:K$37,"",0,1)),_xlfn.XLOOKUP($C539,Phone_by_Sentiment!$B$2:$B$37,Phone_by_Sentiment!K$2:K$37,"",0,1),0),$A539-TEXT(DATEVALUE($D539&amp;"-01"), "dd-mm-yyyy")),0),0)</f>
        <v>0</v>
      </c>
      <c r="L539" cm="1">
        <f t="array" ref="L539">IF($Q539&gt;=0,IFERROR(generateSalesData($D539, IF(ISNUMBER(_xlfn.XLOOKUP($C539,Phone_by_Sentiment!$B$2:$B$37,Phone_by_Sentiment!L$2:L$37,"",0,1)),_xlfn.XLOOKUP($C539,Phone_by_Sentiment!$B$2:$B$37,Phone_by_Sentiment!L$2:L$37,"",0,1),0),$A539-TEXT(DATEVALUE($D539&amp;"-01"), "dd-mm-yyyy")),0),0)</f>
        <v>0</v>
      </c>
      <c r="M539" cm="1">
        <f t="array" ref="M539">IF($Q539&gt;=0,IFERROR(generateSalesData($D539, IF(ISNUMBER(_xlfn.XLOOKUP($C539,Phone_by_Sentiment!$B$2:$B$37,Phone_by_Sentiment!M$2:M$37,"",0,1)),_xlfn.XLOOKUP($C539,Phone_by_Sentiment!$B$2:$B$37,Phone_by_Sentiment!M$2:M$37,"",0,1),0),$A539-TEXT(DATEVALUE($D539&amp;"-01"), "dd-mm-yyyy")),0),0)</f>
        <v>0</v>
      </c>
      <c r="N539" cm="1">
        <f t="array" ref="N539">IF($Q539&gt;=0,IFERROR(generateSalesData($D539, IF(ISNUMBER(_xlfn.XLOOKUP($C539,Phone_by_Sentiment!$B$2:$B$37,Phone_by_Sentiment!N$2:N$37,"",0,1)),_xlfn.XLOOKUP($C539,Phone_by_Sentiment!$B$2:$B$37,Phone_by_Sentiment!N$2:N$37,"",0,1),0),$A539-TEXT(DATEVALUE($D539&amp;"-01"), "dd-mm-yyyy")),0),0)</f>
        <v>0</v>
      </c>
      <c r="O539" cm="1">
        <f t="array" ref="O539">IF($Q539&gt;=0,IFERROR(generateSalesData($D539, IF(ISNUMBER(_xlfn.XLOOKUP($C539,Phone_by_Sentiment!$B$2:$B$37,Phone_by_Sentiment!O$2:O$37,"",0,1)),_xlfn.XLOOKUP($C539,Phone_by_Sentiment!$B$2:$B$37,Phone_by_Sentiment!O$2:O$37,"",0,1),0),$A539-TEXT(DATEVALUE($D539&amp;"-01"), "dd-mm-yyyy")),0),0)</f>
        <v>0</v>
      </c>
      <c r="P539" s="1">
        <f t="shared" si="22"/>
        <v>44317</v>
      </c>
      <c r="Q539">
        <f t="shared" si="23"/>
        <v>-395</v>
      </c>
    </row>
    <row r="540" spans="1:17" x14ac:dyDescent="0.25">
      <c r="A540" s="1">
        <f t="shared" si="21"/>
        <v>43922</v>
      </c>
      <c r="B540" t="s">
        <v>151</v>
      </c>
      <c r="C540" t="str">
        <f>_xlfn.XLOOKUP(B540,Phone_by_Price!$A$2:$A$34,Phone_by_Price!$B$2:$B$34,"-",0,1)</f>
        <v>Vivo Y11s</v>
      </c>
      <c r="D540" t="str">
        <f>_xlfn.XLOOKUP(C540,Phone_by_Sentiment!$B$2:$B$37,Phone_by_Sentiment!$A$2:$A$37,"-",0,1)</f>
        <v>2020-11</v>
      </c>
      <c r="E540" cm="1">
        <f t="array" ref="E540">IF($Q540&gt;=0,IFERROR(generateSalesData($D540, IF(ISNUMBER(_xlfn.XLOOKUP($C540,Phone_by_Sentiment!$B$2:$B$37,Phone_by_Sentiment!E$2:E$37,"",0,1)),_xlfn.XLOOKUP($C540,Phone_by_Sentiment!$B$2:$B$37,Phone_by_Sentiment!E$2:E$37,"",0,1),0),$A540-TEXT(DATEVALUE($D540&amp;"-01"), "dd-mm-yyyy")),0),0)</f>
        <v>0</v>
      </c>
      <c r="F540" cm="1">
        <f t="array" ref="F540">IF($Q540&gt;=0,IFERROR(generateSalesData($D540, IF(ISNUMBER(_xlfn.XLOOKUP($C540,Phone_by_Sentiment!$B$2:$B$37,Phone_by_Sentiment!F$2:F$37,"",0,1)),_xlfn.XLOOKUP($C540,Phone_by_Sentiment!$B$2:$B$37,Phone_by_Sentiment!F$2:F$37,"",0,1),0),$A540-TEXT(DATEVALUE($D540&amp;"-01"), "dd-mm-yyyy")),0),0)</f>
        <v>0</v>
      </c>
      <c r="G540" cm="1">
        <f t="array" ref="G540">IF($Q540&gt;=0,IFERROR(generateSalesData($D540, IF(ISNUMBER(_xlfn.XLOOKUP($C540,Phone_by_Sentiment!$B$2:$B$37,Phone_by_Sentiment!G$2:G$37,"",0,1)),_xlfn.XLOOKUP($C540,Phone_by_Sentiment!$B$2:$B$37,Phone_by_Sentiment!G$2:G$37,"",0,1),0),$A540-TEXT(DATEVALUE($D540&amp;"-01"), "dd-mm-yyyy")),0),0)</f>
        <v>0</v>
      </c>
      <c r="H540" cm="1">
        <f t="array" ref="H540">IF($Q540&gt;=0,IFERROR(generateSalesData($D540, IF(ISNUMBER(_xlfn.XLOOKUP($C540,Phone_by_Sentiment!$B$2:$B$37,Phone_by_Sentiment!H$2:H$37,"",0,1)),_xlfn.XLOOKUP($C540,Phone_by_Sentiment!$B$2:$B$37,Phone_by_Sentiment!H$2:H$37,"",0,1),0),$A540-TEXT(DATEVALUE($D540&amp;"-01"), "dd-mm-yyyy")),0),0)</f>
        <v>0</v>
      </c>
      <c r="I540" cm="1">
        <f t="array" ref="I540">IF($Q540&gt;=0,IFERROR(generateSalesData($D540, IF(ISNUMBER(_xlfn.XLOOKUP($C540,Phone_by_Sentiment!$B$2:$B$37,Phone_by_Sentiment!I$2:I$37,"",0,1)),_xlfn.XLOOKUP($C540,Phone_by_Sentiment!$B$2:$B$37,Phone_by_Sentiment!I$2:I$37,"",0,1),0),$A540-TEXT(DATEVALUE($D540&amp;"-01"), "dd-mm-yyyy")),0),0)</f>
        <v>0</v>
      </c>
      <c r="J540" cm="1">
        <f t="array" ref="J540">IF($Q540&gt;=0,IFERROR(generateSalesData($D540, IF(ISNUMBER(_xlfn.XLOOKUP($C540,Phone_by_Sentiment!$B$2:$B$37,Phone_by_Sentiment!J$2:J$37,"",0,1)),_xlfn.XLOOKUP($C540,Phone_by_Sentiment!$B$2:$B$37,Phone_by_Sentiment!J$2:J$37,"",0,1),0),$A540-TEXT(DATEVALUE($D540&amp;"-01"), "dd-mm-yyyy")),0),0)</f>
        <v>0</v>
      </c>
      <c r="K540" cm="1">
        <f t="array" ref="K540">IF($Q540&gt;=0,IFERROR(generateSalesData($D540, IF(ISNUMBER(_xlfn.XLOOKUP($C540,Phone_by_Sentiment!$B$2:$B$37,Phone_by_Sentiment!K$2:K$37,"",0,1)),_xlfn.XLOOKUP($C540,Phone_by_Sentiment!$B$2:$B$37,Phone_by_Sentiment!K$2:K$37,"",0,1),0),$A540-TEXT(DATEVALUE($D540&amp;"-01"), "dd-mm-yyyy")),0),0)</f>
        <v>0</v>
      </c>
      <c r="L540" cm="1">
        <f t="array" ref="L540">IF($Q540&gt;=0,IFERROR(generateSalesData($D540, IF(ISNUMBER(_xlfn.XLOOKUP($C540,Phone_by_Sentiment!$B$2:$B$37,Phone_by_Sentiment!L$2:L$37,"",0,1)),_xlfn.XLOOKUP($C540,Phone_by_Sentiment!$B$2:$B$37,Phone_by_Sentiment!L$2:L$37,"",0,1),0),$A540-TEXT(DATEVALUE($D540&amp;"-01"), "dd-mm-yyyy")),0),0)</f>
        <v>0</v>
      </c>
      <c r="M540" cm="1">
        <f t="array" ref="M540">IF($Q540&gt;=0,IFERROR(generateSalesData($D540, IF(ISNUMBER(_xlfn.XLOOKUP($C540,Phone_by_Sentiment!$B$2:$B$37,Phone_by_Sentiment!M$2:M$37,"",0,1)),_xlfn.XLOOKUP($C540,Phone_by_Sentiment!$B$2:$B$37,Phone_by_Sentiment!M$2:M$37,"",0,1),0),$A540-TEXT(DATEVALUE($D540&amp;"-01"), "dd-mm-yyyy")),0),0)</f>
        <v>0</v>
      </c>
      <c r="N540" cm="1">
        <f t="array" ref="N540">IF($Q540&gt;=0,IFERROR(generateSalesData($D540, IF(ISNUMBER(_xlfn.XLOOKUP($C540,Phone_by_Sentiment!$B$2:$B$37,Phone_by_Sentiment!N$2:N$37,"",0,1)),_xlfn.XLOOKUP($C540,Phone_by_Sentiment!$B$2:$B$37,Phone_by_Sentiment!N$2:N$37,"",0,1),0),$A540-TEXT(DATEVALUE($D540&amp;"-01"), "dd-mm-yyyy")),0),0)</f>
        <v>0</v>
      </c>
      <c r="O540" cm="1">
        <f t="array" ref="O540">IF($Q540&gt;=0,IFERROR(generateSalesData($D540, IF(ISNUMBER(_xlfn.XLOOKUP($C540,Phone_by_Sentiment!$B$2:$B$37,Phone_by_Sentiment!O$2:O$37,"",0,1)),_xlfn.XLOOKUP($C540,Phone_by_Sentiment!$B$2:$B$37,Phone_by_Sentiment!O$2:O$37,"",0,1),0),$A540-TEXT(DATEVALUE($D540&amp;"-01"), "dd-mm-yyyy")),0),0)</f>
        <v>0</v>
      </c>
      <c r="P540" s="1">
        <f t="shared" si="22"/>
        <v>44136</v>
      </c>
      <c r="Q540">
        <f t="shared" si="23"/>
        <v>-214</v>
      </c>
    </row>
    <row r="541" spans="1:17" x14ac:dyDescent="0.25">
      <c r="A541" s="1">
        <f t="shared" si="21"/>
        <v>43922</v>
      </c>
      <c r="B541" t="s">
        <v>152</v>
      </c>
      <c r="C541" t="str">
        <f>_xlfn.XLOOKUP(B541,Phone_by_Price!$A$2:$A$34,Phone_by_Price!$B$2:$B$34,"-",0,1)</f>
        <v>Huawei Nova 7i</v>
      </c>
      <c r="D541" t="str">
        <f>_xlfn.XLOOKUP(C541,Phone_by_Sentiment!$B$2:$B$37,Phone_by_Sentiment!$A$2:$A$37,"-",0,1)</f>
        <v>2020-02</v>
      </c>
      <c r="E541" cm="1">
        <f t="array" ref="E541">IF($Q541&gt;=0,IFERROR(generateSalesData($D541, IF(ISNUMBER(_xlfn.XLOOKUP($C541,Phone_by_Sentiment!$B$2:$B$37,Phone_by_Sentiment!E$2:E$37,"",0,1)),_xlfn.XLOOKUP($C541,Phone_by_Sentiment!$B$2:$B$37,Phone_by_Sentiment!E$2:E$37,"",0,1),0),$A541-TEXT(DATEVALUE($D541&amp;"-01"), "dd-mm-yyyy")),0),0)</f>
        <v>970</v>
      </c>
      <c r="F541" cm="1">
        <f t="array" ref="F541">IF($Q541&gt;=0,IFERROR(generateSalesData($D541, IF(ISNUMBER(_xlfn.XLOOKUP($C541,Phone_by_Sentiment!$B$2:$B$37,Phone_by_Sentiment!F$2:F$37,"",0,1)),_xlfn.XLOOKUP($C541,Phone_by_Sentiment!$B$2:$B$37,Phone_by_Sentiment!F$2:F$37,"",0,1),0),$A541-TEXT(DATEVALUE($D541&amp;"-01"), "dd-mm-yyyy")),0),0)</f>
        <v>1028</v>
      </c>
      <c r="G541" cm="1">
        <f t="array" ref="G541">IF($Q541&gt;=0,IFERROR(generateSalesData($D541, IF(ISNUMBER(_xlfn.XLOOKUP($C541,Phone_by_Sentiment!$B$2:$B$37,Phone_by_Sentiment!G$2:G$37,"",0,1)),_xlfn.XLOOKUP($C541,Phone_by_Sentiment!$B$2:$B$37,Phone_by_Sentiment!G$2:G$37,"",0,1),0),$A541-TEXT(DATEVALUE($D541&amp;"-01"), "dd-mm-yyyy")),0),0)</f>
        <v>417</v>
      </c>
      <c r="H541" cm="1">
        <f t="array" ref="H541">IF($Q541&gt;=0,IFERROR(generateSalesData($D541, IF(ISNUMBER(_xlfn.XLOOKUP($C541,Phone_by_Sentiment!$B$2:$B$37,Phone_by_Sentiment!H$2:H$37,"",0,1)),_xlfn.XLOOKUP($C541,Phone_by_Sentiment!$B$2:$B$37,Phone_by_Sentiment!H$2:H$37,"",0,1),0),$A541-TEXT(DATEVALUE($D541&amp;"-01"), "dd-mm-yyyy")),0),0)</f>
        <v>3990</v>
      </c>
      <c r="I541" cm="1">
        <f t="array" ref="I541">IF($Q541&gt;=0,IFERROR(generateSalesData($D541, IF(ISNUMBER(_xlfn.XLOOKUP($C541,Phone_by_Sentiment!$B$2:$B$37,Phone_by_Sentiment!I$2:I$37,"",0,1)),_xlfn.XLOOKUP($C541,Phone_by_Sentiment!$B$2:$B$37,Phone_by_Sentiment!I$2:I$37,"",0,1),0),$A541-TEXT(DATEVALUE($D541&amp;"-01"), "dd-mm-yyyy")),0),0)</f>
        <v>619</v>
      </c>
      <c r="J541" cm="1">
        <f t="array" ref="J541">IF($Q541&gt;=0,IFERROR(generateSalesData($D541, IF(ISNUMBER(_xlfn.XLOOKUP($C541,Phone_by_Sentiment!$B$2:$B$37,Phone_by_Sentiment!J$2:J$37,"",0,1)),_xlfn.XLOOKUP($C541,Phone_by_Sentiment!$B$2:$B$37,Phone_by_Sentiment!J$2:J$37,"",0,1),0),$A541-TEXT(DATEVALUE($D541&amp;"-01"), "dd-mm-yyyy")),0),0)</f>
        <v>1500</v>
      </c>
      <c r="K541" cm="1">
        <f t="array" ref="K541">IF($Q541&gt;=0,IFERROR(generateSalesData($D541, IF(ISNUMBER(_xlfn.XLOOKUP($C541,Phone_by_Sentiment!$B$2:$B$37,Phone_by_Sentiment!K$2:K$37,"",0,1)),_xlfn.XLOOKUP($C541,Phone_by_Sentiment!$B$2:$B$37,Phone_by_Sentiment!K$2:K$37,"",0,1),0),$A541-TEXT(DATEVALUE($D541&amp;"-01"), "dd-mm-yyyy")),0),0)</f>
        <v>1132</v>
      </c>
      <c r="L541" cm="1">
        <f t="array" ref="L541">IF($Q541&gt;=0,IFERROR(generateSalesData($D541, IF(ISNUMBER(_xlfn.XLOOKUP($C541,Phone_by_Sentiment!$B$2:$B$37,Phone_by_Sentiment!L$2:L$37,"",0,1)),_xlfn.XLOOKUP($C541,Phone_by_Sentiment!$B$2:$B$37,Phone_by_Sentiment!L$2:L$37,"",0,1),0),$A541-TEXT(DATEVALUE($D541&amp;"-01"), "dd-mm-yyyy")),0),0)</f>
        <v>544</v>
      </c>
      <c r="M541" cm="1">
        <f t="array" ref="M541">IF($Q541&gt;=0,IFERROR(generateSalesData($D541, IF(ISNUMBER(_xlfn.XLOOKUP($C541,Phone_by_Sentiment!$B$2:$B$37,Phone_by_Sentiment!M$2:M$37,"",0,1)),_xlfn.XLOOKUP($C541,Phone_by_Sentiment!$B$2:$B$37,Phone_by_Sentiment!M$2:M$37,"",0,1),0),$A541-TEXT(DATEVALUE($D541&amp;"-01"), "dd-mm-yyyy")),0),0)</f>
        <v>908</v>
      </c>
      <c r="N541" cm="1">
        <f t="array" ref="N541">IF($Q541&gt;=0,IFERROR(generateSalesData($D541, IF(ISNUMBER(_xlfn.XLOOKUP($C541,Phone_by_Sentiment!$B$2:$B$37,Phone_by_Sentiment!N$2:N$37,"",0,1)),_xlfn.XLOOKUP($C541,Phone_by_Sentiment!$B$2:$B$37,Phone_by_Sentiment!N$2:N$37,"",0,1),0),$A541-TEXT(DATEVALUE($D541&amp;"-01"), "dd-mm-yyyy")),0),0)</f>
        <v>950</v>
      </c>
      <c r="O541" cm="1">
        <f t="array" ref="O541">IF($Q541&gt;=0,IFERROR(generateSalesData($D541, IF(ISNUMBER(_xlfn.XLOOKUP($C541,Phone_by_Sentiment!$B$2:$B$37,Phone_by_Sentiment!O$2:O$37,"",0,1)),_xlfn.XLOOKUP($C541,Phone_by_Sentiment!$B$2:$B$37,Phone_by_Sentiment!O$2:O$37,"",0,1),0),$A541-TEXT(DATEVALUE($D541&amp;"-01"), "dd-mm-yyyy")),0),0)</f>
        <v>1332</v>
      </c>
      <c r="P541" s="1">
        <f t="shared" si="22"/>
        <v>43862</v>
      </c>
      <c r="Q541">
        <f t="shared" si="23"/>
        <v>60</v>
      </c>
    </row>
    <row r="542" spans="1:17" x14ac:dyDescent="0.25">
      <c r="A542" s="1">
        <f t="shared" si="21"/>
        <v>43922</v>
      </c>
      <c r="B542" t="s">
        <v>153</v>
      </c>
      <c r="C542" t="str">
        <f>_xlfn.XLOOKUP(B542,Phone_by_Price!$A$2:$A$34,Phone_by_Price!$B$2:$B$34,"-",0,1)</f>
        <v>iPhone 13</v>
      </c>
      <c r="D542" t="str">
        <f>_xlfn.XLOOKUP(C542,Phone_by_Sentiment!$B$2:$B$37,Phone_by_Sentiment!$A$2:$A$37,"-",0,1)</f>
        <v>2021-09</v>
      </c>
      <c r="E542" cm="1">
        <f t="array" ref="E542">IF($Q542&gt;=0,IFERROR(generateSalesData($D542, IF(ISNUMBER(_xlfn.XLOOKUP($C542,Phone_by_Sentiment!$B$2:$B$37,Phone_by_Sentiment!E$2:E$37,"",0,1)),_xlfn.XLOOKUP($C542,Phone_by_Sentiment!$B$2:$B$37,Phone_by_Sentiment!E$2:E$37,"",0,1),0),$A542-TEXT(DATEVALUE($D542&amp;"-01"), "dd-mm-yyyy")),0),0)</f>
        <v>0</v>
      </c>
      <c r="F542" cm="1">
        <f t="array" ref="F542">IF($Q542&gt;=0,IFERROR(generateSalesData($D542, IF(ISNUMBER(_xlfn.XLOOKUP($C542,Phone_by_Sentiment!$B$2:$B$37,Phone_by_Sentiment!F$2:F$37,"",0,1)),_xlfn.XLOOKUP($C542,Phone_by_Sentiment!$B$2:$B$37,Phone_by_Sentiment!F$2:F$37,"",0,1),0),$A542-TEXT(DATEVALUE($D542&amp;"-01"), "dd-mm-yyyy")),0),0)</f>
        <v>0</v>
      </c>
      <c r="G542" cm="1">
        <f t="array" ref="G542">IF($Q542&gt;=0,IFERROR(generateSalesData($D542, IF(ISNUMBER(_xlfn.XLOOKUP($C542,Phone_by_Sentiment!$B$2:$B$37,Phone_by_Sentiment!G$2:G$37,"",0,1)),_xlfn.XLOOKUP($C542,Phone_by_Sentiment!$B$2:$B$37,Phone_by_Sentiment!G$2:G$37,"",0,1),0),$A542-TEXT(DATEVALUE($D542&amp;"-01"), "dd-mm-yyyy")),0),0)</f>
        <v>0</v>
      </c>
      <c r="H542" cm="1">
        <f t="array" ref="H542">IF($Q542&gt;=0,IFERROR(generateSalesData($D542, IF(ISNUMBER(_xlfn.XLOOKUP($C542,Phone_by_Sentiment!$B$2:$B$37,Phone_by_Sentiment!H$2:H$37,"",0,1)),_xlfn.XLOOKUP($C542,Phone_by_Sentiment!$B$2:$B$37,Phone_by_Sentiment!H$2:H$37,"",0,1),0),$A542-TEXT(DATEVALUE($D542&amp;"-01"), "dd-mm-yyyy")),0),0)</f>
        <v>0</v>
      </c>
      <c r="I542" cm="1">
        <f t="array" ref="I542">IF($Q542&gt;=0,IFERROR(generateSalesData($D542, IF(ISNUMBER(_xlfn.XLOOKUP($C542,Phone_by_Sentiment!$B$2:$B$37,Phone_by_Sentiment!I$2:I$37,"",0,1)),_xlfn.XLOOKUP($C542,Phone_by_Sentiment!$B$2:$B$37,Phone_by_Sentiment!I$2:I$37,"",0,1),0),$A542-TEXT(DATEVALUE($D542&amp;"-01"), "dd-mm-yyyy")),0),0)</f>
        <v>0</v>
      </c>
      <c r="J542" cm="1">
        <f t="array" ref="J542">IF($Q542&gt;=0,IFERROR(generateSalesData($D542, IF(ISNUMBER(_xlfn.XLOOKUP($C542,Phone_by_Sentiment!$B$2:$B$37,Phone_by_Sentiment!J$2:J$37,"",0,1)),_xlfn.XLOOKUP($C542,Phone_by_Sentiment!$B$2:$B$37,Phone_by_Sentiment!J$2:J$37,"",0,1),0),$A542-TEXT(DATEVALUE($D542&amp;"-01"), "dd-mm-yyyy")),0),0)</f>
        <v>0</v>
      </c>
      <c r="K542" cm="1">
        <f t="array" ref="K542">IF($Q542&gt;=0,IFERROR(generateSalesData($D542, IF(ISNUMBER(_xlfn.XLOOKUP($C542,Phone_by_Sentiment!$B$2:$B$37,Phone_by_Sentiment!K$2:K$37,"",0,1)),_xlfn.XLOOKUP($C542,Phone_by_Sentiment!$B$2:$B$37,Phone_by_Sentiment!K$2:K$37,"",0,1),0),$A542-TEXT(DATEVALUE($D542&amp;"-01"), "dd-mm-yyyy")),0),0)</f>
        <v>0</v>
      </c>
      <c r="L542" cm="1">
        <f t="array" ref="L542">IF($Q542&gt;=0,IFERROR(generateSalesData($D542, IF(ISNUMBER(_xlfn.XLOOKUP($C542,Phone_by_Sentiment!$B$2:$B$37,Phone_by_Sentiment!L$2:L$37,"",0,1)),_xlfn.XLOOKUP($C542,Phone_by_Sentiment!$B$2:$B$37,Phone_by_Sentiment!L$2:L$37,"",0,1),0),$A542-TEXT(DATEVALUE($D542&amp;"-01"), "dd-mm-yyyy")),0),0)</f>
        <v>0</v>
      </c>
      <c r="M542" cm="1">
        <f t="array" ref="M542">IF($Q542&gt;=0,IFERROR(generateSalesData($D542, IF(ISNUMBER(_xlfn.XLOOKUP($C542,Phone_by_Sentiment!$B$2:$B$37,Phone_by_Sentiment!M$2:M$37,"",0,1)),_xlfn.XLOOKUP($C542,Phone_by_Sentiment!$B$2:$B$37,Phone_by_Sentiment!M$2:M$37,"",0,1),0),$A542-TEXT(DATEVALUE($D542&amp;"-01"), "dd-mm-yyyy")),0),0)</f>
        <v>0</v>
      </c>
      <c r="N542" cm="1">
        <f t="array" ref="N542">IF($Q542&gt;=0,IFERROR(generateSalesData($D542, IF(ISNUMBER(_xlfn.XLOOKUP($C542,Phone_by_Sentiment!$B$2:$B$37,Phone_by_Sentiment!N$2:N$37,"",0,1)),_xlfn.XLOOKUP($C542,Phone_by_Sentiment!$B$2:$B$37,Phone_by_Sentiment!N$2:N$37,"",0,1),0),$A542-TEXT(DATEVALUE($D542&amp;"-01"), "dd-mm-yyyy")),0),0)</f>
        <v>0</v>
      </c>
      <c r="O542" cm="1">
        <f t="array" ref="O542">IF($Q542&gt;=0,IFERROR(generateSalesData($D542, IF(ISNUMBER(_xlfn.XLOOKUP($C542,Phone_by_Sentiment!$B$2:$B$37,Phone_by_Sentiment!O$2:O$37,"",0,1)),_xlfn.XLOOKUP($C542,Phone_by_Sentiment!$B$2:$B$37,Phone_by_Sentiment!O$2:O$37,"",0,1),0),$A542-TEXT(DATEVALUE($D542&amp;"-01"), "dd-mm-yyyy")),0),0)</f>
        <v>0</v>
      </c>
      <c r="P542" s="1">
        <f t="shared" si="22"/>
        <v>44440</v>
      </c>
      <c r="Q542">
        <f t="shared" si="23"/>
        <v>-518</v>
      </c>
    </row>
    <row r="543" spans="1:17" x14ac:dyDescent="0.25">
      <c r="A543" s="1">
        <f t="shared" si="21"/>
        <v>43922</v>
      </c>
      <c r="B543" t="s">
        <v>154</v>
      </c>
      <c r="C543" t="str">
        <f>_xlfn.XLOOKUP(B543,Phone_by_Price!$A$2:$A$34,Phone_by_Price!$B$2:$B$34,"-",0,1)</f>
        <v>Samsung Galaxy S21</v>
      </c>
      <c r="D543" t="str">
        <f>_xlfn.XLOOKUP(C543,Phone_by_Sentiment!$B$2:$B$37,Phone_by_Sentiment!$A$2:$A$37,"-",0,1)</f>
        <v>2021-01</v>
      </c>
      <c r="E543" cm="1">
        <f t="array" ref="E543">IF($Q543&gt;=0,IFERROR(generateSalesData($D543, IF(ISNUMBER(_xlfn.XLOOKUP($C543,Phone_by_Sentiment!$B$2:$B$37,Phone_by_Sentiment!E$2:E$37,"",0,1)),_xlfn.XLOOKUP($C543,Phone_by_Sentiment!$B$2:$B$37,Phone_by_Sentiment!E$2:E$37,"",0,1),0),$A543-TEXT(DATEVALUE($D543&amp;"-01"), "dd-mm-yyyy")),0),0)</f>
        <v>0</v>
      </c>
      <c r="F543" cm="1">
        <f t="array" ref="F543">IF($Q543&gt;=0,IFERROR(generateSalesData($D543, IF(ISNUMBER(_xlfn.XLOOKUP($C543,Phone_by_Sentiment!$B$2:$B$37,Phone_by_Sentiment!F$2:F$37,"",0,1)),_xlfn.XLOOKUP($C543,Phone_by_Sentiment!$B$2:$B$37,Phone_by_Sentiment!F$2:F$37,"",0,1),0),$A543-TEXT(DATEVALUE($D543&amp;"-01"), "dd-mm-yyyy")),0),0)</f>
        <v>0</v>
      </c>
      <c r="G543" cm="1">
        <f t="array" ref="G543">IF($Q543&gt;=0,IFERROR(generateSalesData($D543, IF(ISNUMBER(_xlfn.XLOOKUP($C543,Phone_by_Sentiment!$B$2:$B$37,Phone_by_Sentiment!G$2:G$37,"",0,1)),_xlfn.XLOOKUP($C543,Phone_by_Sentiment!$B$2:$B$37,Phone_by_Sentiment!G$2:G$37,"",0,1),0),$A543-TEXT(DATEVALUE($D543&amp;"-01"), "dd-mm-yyyy")),0),0)</f>
        <v>0</v>
      </c>
      <c r="H543" cm="1">
        <f t="array" ref="H543">IF($Q543&gt;=0,IFERROR(generateSalesData($D543, IF(ISNUMBER(_xlfn.XLOOKUP($C543,Phone_by_Sentiment!$B$2:$B$37,Phone_by_Sentiment!H$2:H$37,"",0,1)),_xlfn.XLOOKUP($C543,Phone_by_Sentiment!$B$2:$B$37,Phone_by_Sentiment!H$2:H$37,"",0,1),0),$A543-TEXT(DATEVALUE($D543&amp;"-01"), "dd-mm-yyyy")),0),0)</f>
        <v>0</v>
      </c>
      <c r="I543" cm="1">
        <f t="array" ref="I543">IF($Q543&gt;=0,IFERROR(generateSalesData($D543, IF(ISNUMBER(_xlfn.XLOOKUP($C543,Phone_by_Sentiment!$B$2:$B$37,Phone_by_Sentiment!I$2:I$37,"",0,1)),_xlfn.XLOOKUP($C543,Phone_by_Sentiment!$B$2:$B$37,Phone_by_Sentiment!I$2:I$37,"",0,1),0),$A543-TEXT(DATEVALUE($D543&amp;"-01"), "dd-mm-yyyy")),0),0)</f>
        <v>0</v>
      </c>
      <c r="J543" cm="1">
        <f t="array" ref="J543">IF($Q543&gt;=0,IFERROR(generateSalesData($D543, IF(ISNUMBER(_xlfn.XLOOKUP($C543,Phone_by_Sentiment!$B$2:$B$37,Phone_by_Sentiment!J$2:J$37,"",0,1)),_xlfn.XLOOKUP($C543,Phone_by_Sentiment!$B$2:$B$37,Phone_by_Sentiment!J$2:J$37,"",0,1),0),$A543-TEXT(DATEVALUE($D543&amp;"-01"), "dd-mm-yyyy")),0),0)</f>
        <v>0</v>
      </c>
      <c r="K543" cm="1">
        <f t="array" ref="K543">IF($Q543&gt;=0,IFERROR(generateSalesData($D543, IF(ISNUMBER(_xlfn.XLOOKUP($C543,Phone_by_Sentiment!$B$2:$B$37,Phone_by_Sentiment!K$2:K$37,"",0,1)),_xlfn.XLOOKUP($C543,Phone_by_Sentiment!$B$2:$B$37,Phone_by_Sentiment!K$2:K$37,"",0,1),0),$A543-TEXT(DATEVALUE($D543&amp;"-01"), "dd-mm-yyyy")),0),0)</f>
        <v>0</v>
      </c>
      <c r="L543" cm="1">
        <f t="array" ref="L543">IF($Q543&gt;=0,IFERROR(generateSalesData($D543, IF(ISNUMBER(_xlfn.XLOOKUP($C543,Phone_by_Sentiment!$B$2:$B$37,Phone_by_Sentiment!L$2:L$37,"",0,1)),_xlfn.XLOOKUP($C543,Phone_by_Sentiment!$B$2:$B$37,Phone_by_Sentiment!L$2:L$37,"",0,1),0),$A543-TEXT(DATEVALUE($D543&amp;"-01"), "dd-mm-yyyy")),0),0)</f>
        <v>0</v>
      </c>
      <c r="M543" cm="1">
        <f t="array" ref="M543">IF($Q543&gt;=0,IFERROR(generateSalesData($D543, IF(ISNUMBER(_xlfn.XLOOKUP($C543,Phone_by_Sentiment!$B$2:$B$37,Phone_by_Sentiment!M$2:M$37,"",0,1)),_xlfn.XLOOKUP($C543,Phone_by_Sentiment!$B$2:$B$37,Phone_by_Sentiment!M$2:M$37,"",0,1),0),$A543-TEXT(DATEVALUE($D543&amp;"-01"), "dd-mm-yyyy")),0),0)</f>
        <v>0</v>
      </c>
      <c r="N543" cm="1">
        <f t="array" ref="N543">IF($Q543&gt;=0,IFERROR(generateSalesData($D543, IF(ISNUMBER(_xlfn.XLOOKUP($C543,Phone_by_Sentiment!$B$2:$B$37,Phone_by_Sentiment!N$2:N$37,"",0,1)),_xlfn.XLOOKUP($C543,Phone_by_Sentiment!$B$2:$B$37,Phone_by_Sentiment!N$2:N$37,"",0,1),0),$A543-TEXT(DATEVALUE($D543&amp;"-01"), "dd-mm-yyyy")),0),0)</f>
        <v>0</v>
      </c>
      <c r="O543" cm="1">
        <f t="array" ref="O543">IF($Q543&gt;=0,IFERROR(generateSalesData($D543, IF(ISNUMBER(_xlfn.XLOOKUP($C543,Phone_by_Sentiment!$B$2:$B$37,Phone_by_Sentiment!O$2:O$37,"",0,1)),_xlfn.XLOOKUP($C543,Phone_by_Sentiment!$B$2:$B$37,Phone_by_Sentiment!O$2:O$37,"",0,1),0),$A543-TEXT(DATEVALUE($D543&amp;"-01"), "dd-mm-yyyy")),0),0)</f>
        <v>0</v>
      </c>
      <c r="P543" s="1">
        <f t="shared" si="22"/>
        <v>44197</v>
      </c>
      <c r="Q543">
        <f t="shared" si="23"/>
        <v>-275</v>
      </c>
    </row>
    <row r="544" spans="1:17" x14ac:dyDescent="0.25">
      <c r="A544" s="1">
        <f t="shared" si="21"/>
        <v>43922</v>
      </c>
      <c r="B544" t="s">
        <v>155</v>
      </c>
      <c r="C544" t="str">
        <f>_xlfn.XLOOKUP(B544,Phone_by_Price!$A$2:$A$34,Phone_by_Price!$B$2:$B$34,"-",0,1)</f>
        <v>Google Pixel 6</v>
      </c>
      <c r="D544" t="str">
        <f>_xlfn.XLOOKUP(C544,Phone_by_Sentiment!$B$2:$B$37,Phone_by_Sentiment!$A$2:$A$37,"-",0,1)</f>
        <v>2021-10</v>
      </c>
      <c r="E544" cm="1">
        <f t="array" ref="E544">IF($Q544&gt;=0,IFERROR(generateSalesData($D544, IF(ISNUMBER(_xlfn.XLOOKUP($C544,Phone_by_Sentiment!$B$2:$B$37,Phone_by_Sentiment!E$2:E$37,"",0,1)),_xlfn.XLOOKUP($C544,Phone_by_Sentiment!$B$2:$B$37,Phone_by_Sentiment!E$2:E$37,"",0,1),0),$A544-TEXT(DATEVALUE($D544&amp;"-01"), "dd-mm-yyyy")),0),0)</f>
        <v>0</v>
      </c>
      <c r="F544" cm="1">
        <f t="array" ref="F544">IF($Q544&gt;=0,IFERROR(generateSalesData($D544, IF(ISNUMBER(_xlfn.XLOOKUP($C544,Phone_by_Sentiment!$B$2:$B$37,Phone_by_Sentiment!F$2:F$37,"",0,1)),_xlfn.XLOOKUP($C544,Phone_by_Sentiment!$B$2:$B$37,Phone_by_Sentiment!F$2:F$37,"",0,1),0),$A544-TEXT(DATEVALUE($D544&amp;"-01"), "dd-mm-yyyy")),0),0)</f>
        <v>0</v>
      </c>
      <c r="G544" cm="1">
        <f t="array" ref="G544">IF($Q544&gt;=0,IFERROR(generateSalesData($D544, IF(ISNUMBER(_xlfn.XLOOKUP($C544,Phone_by_Sentiment!$B$2:$B$37,Phone_by_Sentiment!G$2:G$37,"",0,1)),_xlfn.XLOOKUP($C544,Phone_by_Sentiment!$B$2:$B$37,Phone_by_Sentiment!G$2:G$37,"",0,1),0),$A544-TEXT(DATEVALUE($D544&amp;"-01"), "dd-mm-yyyy")),0),0)</f>
        <v>0</v>
      </c>
      <c r="H544" cm="1">
        <f t="array" ref="H544">IF($Q544&gt;=0,IFERROR(generateSalesData($D544, IF(ISNUMBER(_xlfn.XLOOKUP($C544,Phone_by_Sentiment!$B$2:$B$37,Phone_by_Sentiment!H$2:H$37,"",0,1)),_xlfn.XLOOKUP($C544,Phone_by_Sentiment!$B$2:$B$37,Phone_by_Sentiment!H$2:H$37,"",0,1),0),$A544-TEXT(DATEVALUE($D544&amp;"-01"), "dd-mm-yyyy")),0),0)</f>
        <v>0</v>
      </c>
      <c r="I544" cm="1">
        <f t="array" ref="I544">IF($Q544&gt;=0,IFERROR(generateSalesData($D544, IF(ISNUMBER(_xlfn.XLOOKUP($C544,Phone_by_Sentiment!$B$2:$B$37,Phone_by_Sentiment!I$2:I$37,"",0,1)),_xlfn.XLOOKUP($C544,Phone_by_Sentiment!$B$2:$B$37,Phone_by_Sentiment!I$2:I$37,"",0,1),0),$A544-TEXT(DATEVALUE($D544&amp;"-01"), "dd-mm-yyyy")),0),0)</f>
        <v>0</v>
      </c>
      <c r="J544" cm="1">
        <f t="array" ref="J544">IF($Q544&gt;=0,IFERROR(generateSalesData($D544, IF(ISNUMBER(_xlfn.XLOOKUP($C544,Phone_by_Sentiment!$B$2:$B$37,Phone_by_Sentiment!J$2:J$37,"",0,1)),_xlfn.XLOOKUP($C544,Phone_by_Sentiment!$B$2:$B$37,Phone_by_Sentiment!J$2:J$37,"",0,1),0),$A544-TEXT(DATEVALUE($D544&amp;"-01"), "dd-mm-yyyy")),0),0)</f>
        <v>0</v>
      </c>
      <c r="K544" cm="1">
        <f t="array" ref="K544">IF($Q544&gt;=0,IFERROR(generateSalesData($D544, IF(ISNUMBER(_xlfn.XLOOKUP($C544,Phone_by_Sentiment!$B$2:$B$37,Phone_by_Sentiment!K$2:K$37,"",0,1)),_xlfn.XLOOKUP($C544,Phone_by_Sentiment!$B$2:$B$37,Phone_by_Sentiment!K$2:K$37,"",0,1),0),$A544-TEXT(DATEVALUE($D544&amp;"-01"), "dd-mm-yyyy")),0),0)</f>
        <v>0</v>
      </c>
      <c r="L544" cm="1">
        <f t="array" ref="L544">IF($Q544&gt;=0,IFERROR(generateSalesData($D544, IF(ISNUMBER(_xlfn.XLOOKUP($C544,Phone_by_Sentiment!$B$2:$B$37,Phone_by_Sentiment!L$2:L$37,"",0,1)),_xlfn.XLOOKUP($C544,Phone_by_Sentiment!$B$2:$B$37,Phone_by_Sentiment!L$2:L$37,"",0,1),0),$A544-TEXT(DATEVALUE($D544&amp;"-01"), "dd-mm-yyyy")),0),0)</f>
        <v>0</v>
      </c>
      <c r="M544" cm="1">
        <f t="array" ref="M544">IF($Q544&gt;=0,IFERROR(generateSalesData($D544, IF(ISNUMBER(_xlfn.XLOOKUP($C544,Phone_by_Sentiment!$B$2:$B$37,Phone_by_Sentiment!M$2:M$37,"",0,1)),_xlfn.XLOOKUP($C544,Phone_by_Sentiment!$B$2:$B$37,Phone_by_Sentiment!M$2:M$37,"",0,1),0),$A544-TEXT(DATEVALUE($D544&amp;"-01"), "dd-mm-yyyy")),0),0)</f>
        <v>0</v>
      </c>
      <c r="N544" cm="1">
        <f t="array" ref="N544">IF($Q544&gt;=0,IFERROR(generateSalesData($D544, IF(ISNUMBER(_xlfn.XLOOKUP($C544,Phone_by_Sentiment!$B$2:$B$37,Phone_by_Sentiment!N$2:N$37,"",0,1)),_xlfn.XLOOKUP($C544,Phone_by_Sentiment!$B$2:$B$37,Phone_by_Sentiment!N$2:N$37,"",0,1),0),$A544-TEXT(DATEVALUE($D544&amp;"-01"), "dd-mm-yyyy")),0),0)</f>
        <v>0</v>
      </c>
      <c r="O544" cm="1">
        <f t="array" ref="O544">IF($Q544&gt;=0,IFERROR(generateSalesData($D544, IF(ISNUMBER(_xlfn.XLOOKUP($C544,Phone_by_Sentiment!$B$2:$B$37,Phone_by_Sentiment!O$2:O$37,"",0,1)),_xlfn.XLOOKUP($C544,Phone_by_Sentiment!$B$2:$B$37,Phone_by_Sentiment!O$2:O$37,"",0,1),0),$A544-TEXT(DATEVALUE($D544&amp;"-01"), "dd-mm-yyyy")),0),0)</f>
        <v>0</v>
      </c>
      <c r="P544" s="1">
        <f t="shared" si="22"/>
        <v>44470</v>
      </c>
      <c r="Q544">
        <f t="shared" si="23"/>
        <v>-548</v>
      </c>
    </row>
    <row r="545" spans="1:17" x14ac:dyDescent="0.25">
      <c r="A545" s="1">
        <f t="shared" si="21"/>
        <v>43922</v>
      </c>
      <c r="B545" t="s">
        <v>156</v>
      </c>
      <c r="C545" t="str">
        <f>_xlfn.XLOOKUP(B545,Phone_by_Price!$A$2:$A$34,Phone_by_Price!$B$2:$B$34,"-",0,1)</f>
        <v>OnePlus Nord CE</v>
      </c>
      <c r="D545" t="str">
        <f>_xlfn.XLOOKUP(C545,Phone_by_Sentiment!$B$2:$B$37,Phone_by_Sentiment!$A$2:$A$37,"-",0,1)</f>
        <v>2021-06</v>
      </c>
      <c r="E545" cm="1">
        <f t="array" ref="E545">IF($Q545&gt;=0,IFERROR(generateSalesData($D545, IF(ISNUMBER(_xlfn.XLOOKUP($C545,Phone_by_Sentiment!$B$2:$B$37,Phone_by_Sentiment!E$2:E$37,"",0,1)),_xlfn.XLOOKUP($C545,Phone_by_Sentiment!$B$2:$B$37,Phone_by_Sentiment!E$2:E$37,"",0,1),0),$A545-TEXT(DATEVALUE($D545&amp;"-01"), "dd-mm-yyyy")),0),0)</f>
        <v>0</v>
      </c>
      <c r="F545" cm="1">
        <f t="array" ref="F545">IF($Q545&gt;=0,IFERROR(generateSalesData($D545, IF(ISNUMBER(_xlfn.XLOOKUP($C545,Phone_by_Sentiment!$B$2:$B$37,Phone_by_Sentiment!F$2:F$37,"",0,1)),_xlfn.XLOOKUP($C545,Phone_by_Sentiment!$B$2:$B$37,Phone_by_Sentiment!F$2:F$37,"",0,1),0),$A545-TEXT(DATEVALUE($D545&amp;"-01"), "dd-mm-yyyy")),0),0)</f>
        <v>0</v>
      </c>
      <c r="G545" cm="1">
        <f t="array" ref="G545">IF($Q545&gt;=0,IFERROR(generateSalesData($D545, IF(ISNUMBER(_xlfn.XLOOKUP($C545,Phone_by_Sentiment!$B$2:$B$37,Phone_by_Sentiment!G$2:G$37,"",0,1)),_xlfn.XLOOKUP($C545,Phone_by_Sentiment!$B$2:$B$37,Phone_by_Sentiment!G$2:G$37,"",0,1),0),$A545-TEXT(DATEVALUE($D545&amp;"-01"), "dd-mm-yyyy")),0),0)</f>
        <v>0</v>
      </c>
      <c r="H545" cm="1">
        <f t="array" ref="H545">IF($Q545&gt;=0,IFERROR(generateSalesData($D545, IF(ISNUMBER(_xlfn.XLOOKUP($C545,Phone_by_Sentiment!$B$2:$B$37,Phone_by_Sentiment!H$2:H$37,"",0,1)),_xlfn.XLOOKUP($C545,Phone_by_Sentiment!$B$2:$B$37,Phone_by_Sentiment!H$2:H$37,"",0,1),0),$A545-TEXT(DATEVALUE($D545&amp;"-01"), "dd-mm-yyyy")),0),0)</f>
        <v>0</v>
      </c>
      <c r="I545" cm="1">
        <f t="array" ref="I545">IF($Q545&gt;=0,IFERROR(generateSalesData($D545, IF(ISNUMBER(_xlfn.XLOOKUP($C545,Phone_by_Sentiment!$B$2:$B$37,Phone_by_Sentiment!I$2:I$37,"",0,1)),_xlfn.XLOOKUP($C545,Phone_by_Sentiment!$B$2:$B$37,Phone_by_Sentiment!I$2:I$37,"",0,1),0),$A545-TEXT(DATEVALUE($D545&amp;"-01"), "dd-mm-yyyy")),0),0)</f>
        <v>0</v>
      </c>
      <c r="J545" cm="1">
        <f t="array" ref="J545">IF($Q545&gt;=0,IFERROR(generateSalesData($D545, IF(ISNUMBER(_xlfn.XLOOKUP($C545,Phone_by_Sentiment!$B$2:$B$37,Phone_by_Sentiment!J$2:J$37,"",0,1)),_xlfn.XLOOKUP($C545,Phone_by_Sentiment!$B$2:$B$37,Phone_by_Sentiment!J$2:J$37,"",0,1),0),$A545-TEXT(DATEVALUE($D545&amp;"-01"), "dd-mm-yyyy")),0),0)</f>
        <v>0</v>
      </c>
      <c r="K545" cm="1">
        <f t="array" ref="K545">IF($Q545&gt;=0,IFERROR(generateSalesData($D545, IF(ISNUMBER(_xlfn.XLOOKUP($C545,Phone_by_Sentiment!$B$2:$B$37,Phone_by_Sentiment!K$2:K$37,"",0,1)),_xlfn.XLOOKUP($C545,Phone_by_Sentiment!$B$2:$B$37,Phone_by_Sentiment!K$2:K$37,"",0,1),0),$A545-TEXT(DATEVALUE($D545&amp;"-01"), "dd-mm-yyyy")),0),0)</f>
        <v>0</v>
      </c>
      <c r="L545" cm="1">
        <f t="array" ref="L545">IF($Q545&gt;=0,IFERROR(generateSalesData($D545, IF(ISNUMBER(_xlfn.XLOOKUP($C545,Phone_by_Sentiment!$B$2:$B$37,Phone_by_Sentiment!L$2:L$37,"",0,1)),_xlfn.XLOOKUP($C545,Phone_by_Sentiment!$B$2:$B$37,Phone_by_Sentiment!L$2:L$37,"",0,1),0),$A545-TEXT(DATEVALUE($D545&amp;"-01"), "dd-mm-yyyy")),0),0)</f>
        <v>0</v>
      </c>
      <c r="M545" cm="1">
        <f t="array" ref="M545">IF($Q545&gt;=0,IFERROR(generateSalesData($D545, IF(ISNUMBER(_xlfn.XLOOKUP($C545,Phone_by_Sentiment!$B$2:$B$37,Phone_by_Sentiment!M$2:M$37,"",0,1)),_xlfn.XLOOKUP($C545,Phone_by_Sentiment!$B$2:$B$37,Phone_by_Sentiment!M$2:M$37,"",0,1),0),$A545-TEXT(DATEVALUE($D545&amp;"-01"), "dd-mm-yyyy")),0),0)</f>
        <v>0</v>
      </c>
      <c r="N545" cm="1">
        <f t="array" ref="N545">IF($Q545&gt;=0,IFERROR(generateSalesData($D545, IF(ISNUMBER(_xlfn.XLOOKUP($C545,Phone_by_Sentiment!$B$2:$B$37,Phone_by_Sentiment!N$2:N$37,"",0,1)),_xlfn.XLOOKUP($C545,Phone_by_Sentiment!$B$2:$B$37,Phone_by_Sentiment!N$2:N$37,"",0,1),0),$A545-TEXT(DATEVALUE($D545&amp;"-01"), "dd-mm-yyyy")),0),0)</f>
        <v>0</v>
      </c>
      <c r="O545" cm="1">
        <f t="array" ref="O545">IF($Q545&gt;=0,IFERROR(generateSalesData($D545, IF(ISNUMBER(_xlfn.XLOOKUP($C545,Phone_by_Sentiment!$B$2:$B$37,Phone_by_Sentiment!O$2:O$37,"",0,1)),_xlfn.XLOOKUP($C545,Phone_by_Sentiment!$B$2:$B$37,Phone_by_Sentiment!O$2:O$37,"",0,1),0),$A545-TEXT(DATEVALUE($D545&amp;"-01"), "dd-mm-yyyy")),0),0)</f>
        <v>0</v>
      </c>
      <c r="P545" s="1">
        <f t="shared" si="22"/>
        <v>44348</v>
      </c>
      <c r="Q545">
        <f t="shared" si="23"/>
        <v>-426</v>
      </c>
    </row>
    <row r="546" spans="1:17" x14ac:dyDescent="0.25">
      <c r="A546" s="1">
        <f t="shared" si="21"/>
        <v>43922</v>
      </c>
      <c r="B546" t="s">
        <v>157</v>
      </c>
      <c r="C546" t="str">
        <f>_xlfn.XLOOKUP(B546,Phone_by_Price!$A$2:$A$34,Phone_by_Price!$B$2:$B$34,"-",0,1)</f>
        <v>Apple iPhone 13 Pro</v>
      </c>
      <c r="D546" t="str">
        <f>_xlfn.XLOOKUP(C546,Phone_by_Sentiment!$B$2:$B$37,Phone_by_Sentiment!$A$2:$A$37,"-",0,1)</f>
        <v>2021-09</v>
      </c>
      <c r="E546" cm="1">
        <f t="array" ref="E546">IF($Q546&gt;=0,IFERROR(generateSalesData($D546, IF(ISNUMBER(_xlfn.XLOOKUP($C546,Phone_by_Sentiment!$B$2:$B$37,Phone_by_Sentiment!E$2:E$37,"",0,1)),_xlfn.XLOOKUP($C546,Phone_by_Sentiment!$B$2:$B$37,Phone_by_Sentiment!E$2:E$37,"",0,1),0),$A546-TEXT(DATEVALUE($D546&amp;"-01"), "dd-mm-yyyy")),0),0)</f>
        <v>0</v>
      </c>
      <c r="F546" cm="1">
        <f t="array" ref="F546">IF($Q546&gt;=0,IFERROR(generateSalesData($D546, IF(ISNUMBER(_xlfn.XLOOKUP($C546,Phone_by_Sentiment!$B$2:$B$37,Phone_by_Sentiment!F$2:F$37,"",0,1)),_xlfn.XLOOKUP($C546,Phone_by_Sentiment!$B$2:$B$37,Phone_by_Sentiment!F$2:F$37,"",0,1),0),$A546-TEXT(DATEVALUE($D546&amp;"-01"), "dd-mm-yyyy")),0),0)</f>
        <v>0</v>
      </c>
      <c r="G546" cm="1">
        <f t="array" ref="G546">IF($Q546&gt;=0,IFERROR(generateSalesData($D546, IF(ISNUMBER(_xlfn.XLOOKUP($C546,Phone_by_Sentiment!$B$2:$B$37,Phone_by_Sentiment!G$2:G$37,"",0,1)),_xlfn.XLOOKUP($C546,Phone_by_Sentiment!$B$2:$B$37,Phone_by_Sentiment!G$2:G$37,"",0,1),0),$A546-TEXT(DATEVALUE($D546&amp;"-01"), "dd-mm-yyyy")),0),0)</f>
        <v>0</v>
      </c>
      <c r="H546" cm="1">
        <f t="array" ref="H546">IF($Q546&gt;=0,IFERROR(generateSalesData($D546, IF(ISNUMBER(_xlfn.XLOOKUP($C546,Phone_by_Sentiment!$B$2:$B$37,Phone_by_Sentiment!H$2:H$37,"",0,1)),_xlfn.XLOOKUP($C546,Phone_by_Sentiment!$B$2:$B$37,Phone_by_Sentiment!H$2:H$37,"",0,1),0),$A546-TEXT(DATEVALUE($D546&amp;"-01"), "dd-mm-yyyy")),0),0)</f>
        <v>0</v>
      </c>
      <c r="I546" cm="1">
        <f t="array" ref="I546">IF($Q546&gt;=0,IFERROR(generateSalesData($D546, IF(ISNUMBER(_xlfn.XLOOKUP($C546,Phone_by_Sentiment!$B$2:$B$37,Phone_by_Sentiment!I$2:I$37,"",0,1)),_xlfn.XLOOKUP($C546,Phone_by_Sentiment!$B$2:$B$37,Phone_by_Sentiment!I$2:I$37,"",0,1),0),$A546-TEXT(DATEVALUE($D546&amp;"-01"), "dd-mm-yyyy")),0),0)</f>
        <v>0</v>
      </c>
      <c r="J546" cm="1">
        <f t="array" ref="J546">IF($Q546&gt;=0,IFERROR(generateSalesData($D546, IF(ISNUMBER(_xlfn.XLOOKUP($C546,Phone_by_Sentiment!$B$2:$B$37,Phone_by_Sentiment!J$2:J$37,"",0,1)),_xlfn.XLOOKUP($C546,Phone_by_Sentiment!$B$2:$B$37,Phone_by_Sentiment!J$2:J$37,"",0,1),0),$A546-TEXT(DATEVALUE($D546&amp;"-01"), "dd-mm-yyyy")),0),0)</f>
        <v>0</v>
      </c>
      <c r="K546" cm="1">
        <f t="array" ref="K546">IF($Q546&gt;=0,IFERROR(generateSalesData($D546, IF(ISNUMBER(_xlfn.XLOOKUP($C546,Phone_by_Sentiment!$B$2:$B$37,Phone_by_Sentiment!K$2:K$37,"",0,1)),_xlfn.XLOOKUP($C546,Phone_by_Sentiment!$B$2:$B$37,Phone_by_Sentiment!K$2:K$37,"",0,1),0),$A546-TEXT(DATEVALUE($D546&amp;"-01"), "dd-mm-yyyy")),0),0)</f>
        <v>0</v>
      </c>
      <c r="L546" cm="1">
        <f t="array" ref="L546">IF($Q546&gt;=0,IFERROR(generateSalesData($D546, IF(ISNUMBER(_xlfn.XLOOKUP($C546,Phone_by_Sentiment!$B$2:$B$37,Phone_by_Sentiment!L$2:L$37,"",0,1)),_xlfn.XLOOKUP($C546,Phone_by_Sentiment!$B$2:$B$37,Phone_by_Sentiment!L$2:L$37,"",0,1),0),$A546-TEXT(DATEVALUE($D546&amp;"-01"), "dd-mm-yyyy")),0),0)</f>
        <v>0</v>
      </c>
      <c r="M546" cm="1">
        <f t="array" ref="M546">IF($Q546&gt;=0,IFERROR(generateSalesData($D546, IF(ISNUMBER(_xlfn.XLOOKUP($C546,Phone_by_Sentiment!$B$2:$B$37,Phone_by_Sentiment!M$2:M$37,"",0,1)),_xlfn.XLOOKUP($C546,Phone_by_Sentiment!$B$2:$B$37,Phone_by_Sentiment!M$2:M$37,"",0,1),0),$A546-TEXT(DATEVALUE($D546&amp;"-01"), "dd-mm-yyyy")),0),0)</f>
        <v>0</v>
      </c>
      <c r="N546" cm="1">
        <f t="array" ref="N546">IF($Q546&gt;=0,IFERROR(generateSalesData($D546, IF(ISNUMBER(_xlfn.XLOOKUP($C546,Phone_by_Sentiment!$B$2:$B$37,Phone_by_Sentiment!N$2:N$37,"",0,1)),_xlfn.XLOOKUP($C546,Phone_by_Sentiment!$B$2:$B$37,Phone_by_Sentiment!N$2:N$37,"",0,1),0),$A546-TEXT(DATEVALUE($D546&amp;"-01"), "dd-mm-yyyy")),0),0)</f>
        <v>0</v>
      </c>
      <c r="O546" cm="1">
        <f t="array" ref="O546">IF($Q546&gt;=0,IFERROR(generateSalesData($D546, IF(ISNUMBER(_xlfn.XLOOKUP($C546,Phone_by_Sentiment!$B$2:$B$37,Phone_by_Sentiment!O$2:O$37,"",0,1)),_xlfn.XLOOKUP($C546,Phone_by_Sentiment!$B$2:$B$37,Phone_by_Sentiment!O$2:O$37,"",0,1),0),$A546-TEXT(DATEVALUE($D546&amp;"-01"), "dd-mm-yyyy")),0),0)</f>
        <v>0</v>
      </c>
      <c r="P546" s="1">
        <f t="shared" si="22"/>
        <v>44440</v>
      </c>
      <c r="Q546">
        <f t="shared" si="23"/>
        <v>-518</v>
      </c>
    </row>
    <row r="547" spans="1:17" x14ac:dyDescent="0.25">
      <c r="A547" s="1">
        <f t="shared" si="21"/>
        <v>43922</v>
      </c>
      <c r="B547" t="s">
        <v>158</v>
      </c>
      <c r="C547" t="str">
        <f>_xlfn.XLOOKUP(B547,Phone_by_Price!$A$2:$A$34,Phone_by_Price!$B$2:$B$34,"-",0,1)</f>
        <v>Samsung Galaxy A32 5G</v>
      </c>
      <c r="D547" t="str">
        <f>_xlfn.XLOOKUP(C547,Phone_by_Sentiment!$B$2:$B$37,Phone_by_Sentiment!$A$2:$A$37,"-",0,1)</f>
        <v>2021-02</v>
      </c>
      <c r="E547" cm="1">
        <f t="array" ref="E547">IF($Q547&gt;=0,IFERROR(generateSalesData($D547, IF(ISNUMBER(_xlfn.XLOOKUP($C547,Phone_by_Sentiment!$B$2:$B$37,Phone_by_Sentiment!E$2:E$37,"",0,1)),_xlfn.XLOOKUP($C547,Phone_by_Sentiment!$B$2:$B$37,Phone_by_Sentiment!E$2:E$37,"",0,1),0),$A547-TEXT(DATEVALUE($D547&amp;"-01"), "dd-mm-yyyy")),0),0)</f>
        <v>0</v>
      </c>
      <c r="F547" cm="1">
        <f t="array" ref="F547">IF($Q547&gt;=0,IFERROR(generateSalesData($D547, IF(ISNUMBER(_xlfn.XLOOKUP($C547,Phone_by_Sentiment!$B$2:$B$37,Phone_by_Sentiment!F$2:F$37,"",0,1)),_xlfn.XLOOKUP($C547,Phone_by_Sentiment!$B$2:$B$37,Phone_by_Sentiment!F$2:F$37,"",0,1),0),$A547-TEXT(DATEVALUE($D547&amp;"-01"), "dd-mm-yyyy")),0),0)</f>
        <v>0</v>
      </c>
      <c r="G547" cm="1">
        <f t="array" ref="G547">IF($Q547&gt;=0,IFERROR(generateSalesData($D547, IF(ISNUMBER(_xlfn.XLOOKUP($C547,Phone_by_Sentiment!$B$2:$B$37,Phone_by_Sentiment!G$2:G$37,"",0,1)),_xlfn.XLOOKUP($C547,Phone_by_Sentiment!$B$2:$B$37,Phone_by_Sentiment!G$2:G$37,"",0,1),0),$A547-TEXT(DATEVALUE($D547&amp;"-01"), "dd-mm-yyyy")),0),0)</f>
        <v>0</v>
      </c>
      <c r="H547" cm="1">
        <f t="array" ref="H547">IF($Q547&gt;=0,IFERROR(generateSalesData($D547, IF(ISNUMBER(_xlfn.XLOOKUP($C547,Phone_by_Sentiment!$B$2:$B$37,Phone_by_Sentiment!H$2:H$37,"",0,1)),_xlfn.XLOOKUP($C547,Phone_by_Sentiment!$B$2:$B$37,Phone_by_Sentiment!H$2:H$37,"",0,1),0),$A547-TEXT(DATEVALUE($D547&amp;"-01"), "dd-mm-yyyy")),0),0)</f>
        <v>0</v>
      </c>
      <c r="I547" cm="1">
        <f t="array" ref="I547">IF($Q547&gt;=0,IFERROR(generateSalesData($D547, IF(ISNUMBER(_xlfn.XLOOKUP($C547,Phone_by_Sentiment!$B$2:$B$37,Phone_by_Sentiment!I$2:I$37,"",0,1)),_xlfn.XLOOKUP($C547,Phone_by_Sentiment!$B$2:$B$37,Phone_by_Sentiment!I$2:I$37,"",0,1),0),$A547-TEXT(DATEVALUE($D547&amp;"-01"), "dd-mm-yyyy")),0),0)</f>
        <v>0</v>
      </c>
      <c r="J547" cm="1">
        <f t="array" ref="J547">IF($Q547&gt;=0,IFERROR(generateSalesData($D547, IF(ISNUMBER(_xlfn.XLOOKUP($C547,Phone_by_Sentiment!$B$2:$B$37,Phone_by_Sentiment!J$2:J$37,"",0,1)),_xlfn.XLOOKUP($C547,Phone_by_Sentiment!$B$2:$B$37,Phone_by_Sentiment!J$2:J$37,"",0,1),0),$A547-TEXT(DATEVALUE($D547&amp;"-01"), "dd-mm-yyyy")),0),0)</f>
        <v>0</v>
      </c>
      <c r="K547" cm="1">
        <f t="array" ref="K547">IF($Q547&gt;=0,IFERROR(generateSalesData($D547, IF(ISNUMBER(_xlfn.XLOOKUP($C547,Phone_by_Sentiment!$B$2:$B$37,Phone_by_Sentiment!K$2:K$37,"",0,1)),_xlfn.XLOOKUP($C547,Phone_by_Sentiment!$B$2:$B$37,Phone_by_Sentiment!K$2:K$37,"",0,1),0),$A547-TEXT(DATEVALUE($D547&amp;"-01"), "dd-mm-yyyy")),0),0)</f>
        <v>0</v>
      </c>
      <c r="L547" cm="1">
        <f t="array" ref="L547">IF($Q547&gt;=0,IFERROR(generateSalesData($D547, IF(ISNUMBER(_xlfn.XLOOKUP($C547,Phone_by_Sentiment!$B$2:$B$37,Phone_by_Sentiment!L$2:L$37,"",0,1)),_xlfn.XLOOKUP($C547,Phone_by_Sentiment!$B$2:$B$37,Phone_by_Sentiment!L$2:L$37,"",0,1),0),$A547-TEXT(DATEVALUE($D547&amp;"-01"), "dd-mm-yyyy")),0),0)</f>
        <v>0</v>
      </c>
      <c r="M547" cm="1">
        <f t="array" ref="M547">IF($Q547&gt;=0,IFERROR(generateSalesData($D547, IF(ISNUMBER(_xlfn.XLOOKUP($C547,Phone_by_Sentiment!$B$2:$B$37,Phone_by_Sentiment!M$2:M$37,"",0,1)),_xlfn.XLOOKUP($C547,Phone_by_Sentiment!$B$2:$B$37,Phone_by_Sentiment!M$2:M$37,"",0,1),0),$A547-TEXT(DATEVALUE($D547&amp;"-01"), "dd-mm-yyyy")),0),0)</f>
        <v>0</v>
      </c>
      <c r="N547" cm="1">
        <f t="array" ref="N547">IF($Q547&gt;=0,IFERROR(generateSalesData($D547, IF(ISNUMBER(_xlfn.XLOOKUP($C547,Phone_by_Sentiment!$B$2:$B$37,Phone_by_Sentiment!N$2:N$37,"",0,1)),_xlfn.XLOOKUP($C547,Phone_by_Sentiment!$B$2:$B$37,Phone_by_Sentiment!N$2:N$37,"",0,1),0),$A547-TEXT(DATEVALUE($D547&amp;"-01"), "dd-mm-yyyy")),0),0)</f>
        <v>0</v>
      </c>
      <c r="O547" cm="1">
        <f t="array" ref="O547">IF($Q547&gt;=0,IFERROR(generateSalesData($D547, IF(ISNUMBER(_xlfn.XLOOKUP($C547,Phone_by_Sentiment!$B$2:$B$37,Phone_by_Sentiment!O$2:O$37,"",0,1)),_xlfn.XLOOKUP($C547,Phone_by_Sentiment!$B$2:$B$37,Phone_by_Sentiment!O$2:O$37,"",0,1),0),$A547-TEXT(DATEVALUE($D547&amp;"-01"), "dd-mm-yyyy")),0),0)</f>
        <v>0</v>
      </c>
      <c r="P547" s="1">
        <f t="shared" si="22"/>
        <v>44228</v>
      </c>
      <c r="Q547">
        <f t="shared" si="23"/>
        <v>-306</v>
      </c>
    </row>
    <row r="548" spans="1:17" x14ac:dyDescent="0.25">
      <c r="A548" s="1">
        <f t="shared" si="21"/>
        <v>43922</v>
      </c>
      <c r="B548" t="s">
        <v>159</v>
      </c>
      <c r="C548" t="str">
        <f>_xlfn.XLOOKUP(B548,Phone_by_Price!$A$2:$A$34,Phone_by_Price!$B$2:$B$34,"-",0,1)</f>
        <v>Realme C25</v>
      </c>
      <c r="D548" t="str">
        <f>_xlfn.XLOOKUP(C548,Phone_by_Sentiment!$B$2:$B$37,Phone_by_Sentiment!$A$2:$A$37,"-",0,1)</f>
        <v>2021-03</v>
      </c>
      <c r="E548" cm="1">
        <f t="array" ref="E548">IF($Q548&gt;=0,IFERROR(generateSalesData($D548, IF(ISNUMBER(_xlfn.XLOOKUP($C548,Phone_by_Sentiment!$B$2:$B$37,Phone_by_Sentiment!E$2:E$37,"",0,1)),_xlfn.XLOOKUP($C548,Phone_by_Sentiment!$B$2:$B$37,Phone_by_Sentiment!E$2:E$37,"",0,1),0),$A548-TEXT(DATEVALUE($D548&amp;"-01"), "dd-mm-yyyy")),0),0)</f>
        <v>0</v>
      </c>
      <c r="F548" cm="1">
        <f t="array" ref="F548">IF($Q548&gt;=0,IFERROR(generateSalesData($D548, IF(ISNUMBER(_xlfn.XLOOKUP($C548,Phone_by_Sentiment!$B$2:$B$37,Phone_by_Sentiment!F$2:F$37,"",0,1)),_xlfn.XLOOKUP($C548,Phone_by_Sentiment!$B$2:$B$37,Phone_by_Sentiment!F$2:F$37,"",0,1),0),$A548-TEXT(DATEVALUE($D548&amp;"-01"), "dd-mm-yyyy")),0),0)</f>
        <v>0</v>
      </c>
      <c r="G548" cm="1">
        <f t="array" ref="G548">IF($Q548&gt;=0,IFERROR(generateSalesData($D548, IF(ISNUMBER(_xlfn.XLOOKUP($C548,Phone_by_Sentiment!$B$2:$B$37,Phone_by_Sentiment!G$2:G$37,"",0,1)),_xlfn.XLOOKUP($C548,Phone_by_Sentiment!$B$2:$B$37,Phone_by_Sentiment!G$2:G$37,"",0,1),0),$A548-TEXT(DATEVALUE($D548&amp;"-01"), "dd-mm-yyyy")),0),0)</f>
        <v>0</v>
      </c>
      <c r="H548" cm="1">
        <f t="array" ref="H548">IF($Q548&gt;=0,IFERROR(generateSalesData($D548, IF(ISNUMBER(_xlfn.XLOOKUP($C548,Phone_by_Sentiment!$B$2:$B$37,Phone_by_Sentiment!H$2:H$37,"",0,1)),_xlfn.XLOOKUP($C548,Phone_by_Sentiment!$B$2:$B$37,Phone_by_Sentiment!H$2:H$37,"",0,1),0),$A548-TEXT(DATEVALUE($D548&amp;"-01"), "dd-mm-yyyy")),0),0)</f>
        <v>0</v>
      </c>
      <c r="I548" cm="1">
        <f t="array" ref="I548">IF($Q548&gt;=0,IFERROR(generateSalesData($D548, IF(ISNUMBER(_xlfn.XLOOKUP($C548,Phone_by_Sentiment!$B$2:$B$37,Phone_by_Sentiment!I$2:I$37,"",0,1)),_xlfn.XLOOKUP($C548,Phone_by_Sentiment!$B$2:$B$37,Phone_by_Sentiment!I$2:I$37,"",0,1),0),$A548-TEXT(DATEVALUE($D548&amp;"-01"), "dd-mm-yyyy")),0),0)</f>
        <v>0</v>
      </c>
      <c r="J548" cm="1">
        <f t="array" ref="J548">IF($Q548&gt;=0,IFERROR(generateSalesData($D548, IF(ISNUMBER(_xlfn.XLOOKUP($C548,Phone_by_Sentiment!$B$2:$B$37,Phone_by_Sentiment!J$2:J$37,"",0,1)),_xlfn.XLOOKUP($C548,Phone_by_Sentiment!$B$2:$B$37,Phone_by_Sentiment!J$2:J$37,"",0,1),0),$A548-TEXT(DATEVALUE($D548&amp;"-01"), "dd-mm-yyyy")),0),0)</f>
        <v>0</v>
      </c>
      <c r="K548" cm="1">
        <f t="array" ref="K548">IF($Q548&gt;=0,IFERROR(generateSalesData($D548, IF(ISNUMBER(_xlfn.XLOOKUP($C548,Phone_by_Sentiment!$B$2:$B$37,Phone_by_Sentiment!K$2:K$37,"",0,1)),_xlfn.XLOOKUP($C548,Phone_by_Sentiment!$B$2:$B$37,Phone_by_Sentiment!K$2:K$37,"",0,1),0),$A548-TEXT(DATEVALUE($D548&amp;"-01"), "dd-mm-yyyy")),0),0)</f>
        <v>0</v>
      </c>
      <c r="L548" cm="1">
        <f t="array" ref="L548">IF($Q548&gt;=0,IFERROR(generateSalesData($D548, IF(ISNUMBER(_xlfn.XLOOKUP($C548,Phone_by_Sentiment!$B$2:$B$37,Phone_by_Sentiment!L$2:L$37,"",0,1)),_xlfn.XLOOKUP($C548,Phone_by_Sentiment!$B$2:$B$37,Phone_by_Sentiment!L$2:L$37,"",0,1),0),$A548-TEXT(DATEVALUE($D548&amp;"-01"), "dd-mm-yyyy")),0),0)</f>
        <v>0</v>
      </c>
      <c r="M548" cm="1">
        <f t="array" ref="M548">IF($Q548&gt;=0,IFERROR(generateSalesData($D548, IF(ISNUMBER(_xlfn.XLOOKUP($C548,Phone_by_Sentiment!$B$2:$B$37,Phone_by_Sentiment!M$2:M$37,"",0,1)),_xlfn.XLOOKUP($C548,Phone_by_Sentiment!$B$2:$B$37,Phone_by_Sentiment!M$2:M$37,"",0,1),0),$A548-TEXT(DATEVALUE($D548&amp;"-01"), "dd-mm-yyyy")),0),0)</f>
        <v>0</v>
      </c>
      <c r="N548" cm="1">
        <f t="array" ref="N548">IF($Q548&gt;=0,IFERROR(generateSalesData($D548, IF(ISNUMBER(_xlfn.XLOOKUP($C548,Phone_by_Sentiment!$B$2:$B$37,Phone_by_Sentiment!N$2:N$37,"",0,1)),_xlfn.XLOOKUP($C548,Phone_by_Sentiment!$B$2:$B$37,Phone_by_Sentiment!N$2:N$37,"",0,1),0),$A548-TEXT(DATEVALUE($D548&amp;"-01"), "dd-mm-yyyy")),0),0)</f>
        <v>0</v>
      </c>
      <c r="O548" cm="1">
        <f t="array" ref="O548">IF($Q548&gt;=0,IFERROR(generateSalesData($D548, IF(ISNUMBER(_xlfn.XLOOKUP($C548,Phone_by_Sentiment!$B$2:$B$37,Phone_by_Sentiment!O$2:O$37,"",0,1)),_xlfn.XLOOKUP($C548,Phone_by_Sentiment!$B$2:$B$37,Phone_by_Sentiment!O$2:O$37,"",0,1),0),$A548-TEXT(DATEVALUE($D548&amp;"-01"), "dd-mm-yyyy")),0),0)</f>
        <v>0</v>
      </c>
      <c r="P548" s="1">
        <f t="shared" si="22"/>
        <v>44256</v>
      </c>
      <c r="Q548">
        <f t="shared" si="23"/>
        <v>-334</v>
      </c>
    </row>
    <row r="549" spans="1:17" x14ac:dyDescent="0.25">
      <c r="A549" s="1">
        <f t="shared" si="21"/>
        <v>43922</v>
      </c>
      <c r="B549" t="s">
        <v>160</v>
      </c>
      <c r="C549" t="str">
        <f>_xlfn.XLOOKUP(B549,Phone_by_Price!$A$2:$A$34,Phone_by_Price!$B$2:$B$34,"-",0,1)</f>
        <v>Xiaomi Poco X3 Pro</v>
      </c>
      <c r="D549" t="str">
        <f>_xlfn.XLOOKUP(C549,Phone_by_Sentiment!$B$2:$B$37,Phone_by_Sentiment!$A$2:$A$37,"-",0,1)</f>
        <v>2021-05</v>
      </c>
      <c r="E549" cm="1">
        <f t="array" ref="E549">IF($Q549&gt;=0,IFERROR(generateSalesData($D549, IF(ISNUMBER(_xlfn.XLOOKUP($C549,Phone_by_Sentiment!$B$2:$B$37,Phone_by_Sentiment!E$2:E$37,"",0,1)),_xlfn.XLOOKUP($C549,Phone_by_Sentiment!$B$2:$B$37,Phone_by_Sentiment!E$2:E$37,"",0,1),0),$A549-TEXT(DATEVALUE($D549&amp;"-01"), "dd-mm-yyyy")),0),0)</f>
        <v>0</v>
      </c>
      <c r="F549" cm="1">
        <f t="array" ref="F549">IF($Q549&gt;=0,IFERROR(generateSalesData($D549, IF(ISNUMBER(_xlfn.XLOOKUP($C549,Phone_by_Sentiment!$B$2:$B$37,Phone_by_Sentiment!F$2:F$37,"",0,1)),_xlfn.XLOOKUP($C549,Phone_by_Sentiment!$B$2:$B$37,Phone_by_Sentiment!F$2:F$37,"",0,1),0),$A549-TEXT(DATEVALUE($D549&amp;"-01"), "dd-mm-yyyy")),0),0)</f>
        <v>0</v>
      </c>
      <c r="G549" cm="1">
        <f t="array" ref="G549">IF($Q549&gt;=0,IFERROR(generateSalesData($D549, IF(ISNUMBER(_xlfn.XLOOKUP($C549,Phone_by_Sentiment!$B$2:$B$37,Phone_by_Sentiment!G$2:G$37,"",0,1)),_xlfn.XLOOKUP($C549,Phone_by_Sentiment!$B$2:$B$37,Phone_by_Sentiment!G$2:G$37,"",0,1),0),$A549-TEXT(DATEVALUE($D549&amp;"-01"), "dd-mm-yyyy")),0),0)</f>
        <v>0</v>
      </c>
      <c r="H549" cm="1">
        <f t="array" ref="H549">IF($Q549&gt;=0,IFERROR(generateSalesData($D549, IF(ISNUMBER(_xlfn.XLOOKUP($C549,Phone_by_Sentiment!$B$2:$B$37,Phone_by_Sentiment!H$2:H$37,"",0,1)),_xlfn.XLOOKUP($C549,Phone_by_Sentiment!$B$2:$B$37,Phone_by_Sentiment!H$2:H$37,"",0,1),0),$A549-TEXT(DATEVALUE($D549&amp;"-01"), "dd-mm-yyyy")),0),0)</f>
        <v>0</v>
      </c>
      <c r="I549" cm="1">
        <f t="array" ref="I549">IF($Q549&gt;=0,IFERROR(generateSalesData($D549, IF(ISNUMBER(_xlfn.XLOOKUP($C549,Phone_by_Sentiment!$B$2:$B$37,Phone_by_Sentiment!I$2:I$37,"",0,1)),_xlfn.XLOOKUP($C549,Phone_by_Sentiment!$B$2:$B$37,Phone_by_Sentiment!I$2:I$37,"",0,1),0),$A549-TEXT(DATEVALUE($D549&amp;"-01"), "dd-mm-yyyy")),0),0)</f>
        <v>0</v>
      </c>
      <c r="J549" cm="1">
        <f t="array" ref="J549">IF($Q549&gt;=0,IFERROR(generateSalesData($D549, IF(ISNUMBER(_xlfn.XLOOKUP($C549,Phone_by_Sentiment!$B$2:$B$37,Phone_by_Sentiment!J$2:J$37,"",0,1)),_xlfn.XLOOKUP($C549,Phone_by_Sentiment!$B$2:$B$37,Phone_by_Sentiment!J$2:J$37,"",0,1),0),$A549-TEXT(DATEVALUE($D549&amp;"-01"), "dd-mm-yyyy")),0),0)</f>
        <v>0</v>
      </c>
      <c r="K549" cm="1">
        <f t="array" ref="K549">IF($Q549&gt;=0,IFERROR(generateSalesData($D549, IF(ISNUMBER(_xlfn.XLOOKUP($C549,Phone_by_Sentiment!$B$2:$B$37,Phone_by_Sentiment!K$2:K$37,"",0,1)),_xlfn.XLOOKUP($C549,Phone_by_Sentiment!$B$2:$B$37,Phone_by_Sentiment!K$2:K$37,"",0,1),0),$A549-TEXT(DATEVALUE($D549&amp;"-01"), "dd-mm-yyyy")),0),0)</f>
        <v>0</v>
      </c>
      <c r="L549" cm="1">
        <f t="array" ref="L549">IF($Q549&gt;=0,IFERROR(generateSalesData($D549, IF(ISNUMBER(_xlfn.XLOOKUP($C549,Phone_by_Sentiment!$B$2:$B$37,Phone_by_Sentiment!L$2:L$37,"",0,1)),_xlfn.XLOOKUP($C549,Phone_by_Sentiment!$B$2:$B$37,Phone_by_Sentiment!L$2:L$37,"",0,1),0),$A549-TEXT(DATEVALUE($D549&amp;"-01"), "dd-mm-yyyy")),0),0)</f>
        <v>0</v>
      </c>
      <c r="M549" cm="1">
        <f t="array" ref="M549">IF($Q549&gt;=0,IFERROR(generateSalesData($D549, IF(ISNUMBER(_xlfn.XLOOKUP($C549,Phone_by_Sentiment!$B$2:$B$37,Phone_by_Sentiment!M$2:M$37,"",0,1)),_xlfn.XLOOKUP($C549,Phone_by_Sentiment!$B$2:$B$37,Phone_by_Sentiment!M$2:M$37,"",0,1),0),$A549-TEXT(DATEVALUE($D549&amp;"-01"), "dd-mm-yyyy")),0),0)</f>
        <v>0</v>
      </c>
      <c r="N549" cm="1">
        <f t="array" ref="N549">IF($Q549&gt;=0,IFERROR(generateSalesData($D549, IF(ISNUMBER(_xlfn.XLOOKUP($C549,Phone_by_Sentiment!$B$2:$B$37,Phone_by_Sentiment!N$2:N$37,"",0,1)),_xlfn.XLOOKUP($C549,Phone_by_Sentiment!$B$2:$B$37,Phone_by_Sentiment!N$2:N$37,"",0,1),0),$A549-TEXT(DATEVALUE($D549&amp;"-01"), "dd-mm-yyyy")),0),0)</f>
        <v>0</v>
      </c>
      <c r="O549" cm="1">
        <f t="array" ref="O549">IF($Q549&gt;=0,IFERROR(generateSalesData($D549, IF(ISNUMBER(_xlfn.XLOOKUP($C549,Phone_by_Sentiment!$B$2:$B$37,Phone_by_Sentiment!O$2:O$37,"",0,1)),_xlfn.XLOOKUP($C549,Phone_by_Sentiment!$B$2:$B$37,Phone_by_Sentiment!O$2:O$37,"",0,1),0),$A549-TEXT(DATEVALUE($D549&amp;"-01"), "dd-mm-yyyy")),0),0)</f>
        <v>0</v>
      </c>
      <c r="P549" s="1">
        <f t="shared" si="22"/>
        <v>44317</v>
      </c>
      <c r="Q549">
        <f t="shared" si="23"/>
        <v>-395</v>
      </c>
    </row>
    <row r="550" spans="1:17" x14ac:dyDescent="0.25">
      <c r="A550" s="1">
        <f t="shared" si="21"/>
        <v>43922</v>
      </c>
      <c r="B550" t="s">
        <v>161</v>
      </c>
      <c r="C550" t="str">
        <f>_xlfn.XLOOKUP(B550,Phone_by_Price!$A$2:$A$34,Phone_by_Price!$B$2:$B$34,"-",0,1)</f>
        <v>Samsung Galaxy Z Flip 3</v>
      </c>
      <c r="D550" t="str">
        <f>_xlfn.XLOOKUP(C550,Phone_by_Sentiment!$B$2:$B$37,Phone_by_Sentiment!$A$2:$A$37,"-",0,1)</f>
        <v>2021-09</v>
      </c>
      <c r="E550" cm="1">
        <f t="array" ref="E550">IF($Q550&gt;=0,IFERROR(generateSalesData($D550, IF(ISNUMBER(_xlfn.XLOOKUP($C550,Phone_by_Sentiment!$B$2:$B$37,Phone_by_Sentiment!E$2:E$37,"",0,1)),_xlfn.XLOOKUP($C550,Phone_by_Sentiment!$B$2:$B$37,Phone_by_Sentiment!E$2:E$37,"",0,1),0),$A550-TEXT(DATEVALUE($D550&amp;"-01"), "dd-mm-yyyy")),0),0)</f>
        <v>0</v>
      </c>
      <c r="F550" cm="1">
        <f t="array" ref="F550">IF($Q550&gt;=0,IFERROR(generateSalesData($D550, IF(ISNUMBER(_xlfn.XLOOKUP($C550,Phone_by_Sentiment!$B$2:$B$37,Phone_by_Sentiment!F$2:F$37,"",0,1)),_xlfn.XLOOKUP($C550,Phone_by_Sentiment!$B$2:$B$37,Phone_by_Sentiment!F$2:F$37,"",0,1),0),$A550-TEXT(DATEVALUE($D550&amp;"-01"), "dd-mm-yyyy")),0),0)</f>
        <v>0</v>
      </c>
      <c r="G550" cm="1">
        <f t="array" ref="G550">IF($Q550&gt;=0,IFERROR(generateSalesData($D550, IF(ISNUMBER(_xlfn.XLOOKUP($C550,Phone_by_Sentiment!$B$2:$B$37,Phone_by_Sentiment!G$2:G$37,"",0,1)),_xlfn.XLOOKUP($C550,Phone_by_Sentiment!$B$2:$B$37,Phone_by_Sentiment!G$2:G$37,"",0,1),0),$A550-TEXT(DATEVALUE($D550&amp;"-01"), "dd-mm-yyyy")),0),0)</f>
        <v>0</v>
      </c>
      <c r="H550" cm="1">
        <f t="array" ref="H550">IF($Q550&gt;=0,IFERROR(generateSalesData($D550, IF(ISNUMBER(_xlfn.XLOOKUP($C550,Phone_by_Sentiment!$B$2:$B$37,Phone_by_Sentiment!H$2:H$37,"",0,1)),_xlfn.XLOOKUP($C550,Phone_by_Sentiment!$B$2:$B$37,Phone_by_Sentiment!H$2:H$37,"",0,1),0),$A550-TEXT(DATEVALUE($D550&amp;"-01"), "dd-mm-yyyy")),0),0)</f>
        <v>0</v>
      </c>
      <c r="I550" cm="1">
        <f t="array" ref="I550">IF($Q550&gt;=0,IFERROR(generateSalesData($D550, IF(ISNUMBER(_xlfn.XLOOKUP($C550,Phone_by_Sentiment!$B$2:$B$37,Phone_by_Sentiment!I$2:I$37,"",0,1)),_xlfn.XLOOKUP($C550,Phone_by_Sentiment!$B$2:$B$37,Phone_by_Sentiment!I$2:I$37,"",0,1),0),$A550-TEXT(DATEVALUE($D550&amp;"-01"), "dd-mm-yyyy")),0),0)</f>
        <v>0</v>
      </c>
      <c r="J550" cm="1">
        <f t="array" ref="J550">IF($Q550&gt;=0,IFERROR(generateSalesData($D550, IF(ISNUMBER(_xlfn.XLOOKUP($C550,Phone_by_Sentiment!$B$2:$B$37,Phone_by_Sentiment!J$2:J$37,"",0,1)),_xlfn.XLOOKUP($C550,Phone_by_Sentiment!$B$2:$B$37,Phone_by_Sentiment!J$2:J$37,"",0,1),0),$A550-TEXT(DATEVALUE($D550&amp;"-01"), "dd-mm-yyyy")),0),0)</f>
        <v>0</v>
      </c>
      <c r="K550" cm="1">
        <f t="array" ref="K550">IF($Q550&gt;=0,IFERROR(generateSalesData($D550, IF(ISNUMBER(_xlfn.XLOOKUP($C550,Phone_by_Sentiment!$B$2:$B$37,Phone_by_Sentiment!K$2:K$37,"",0,1)),_xlfn.XLOOKUP($C550,Phone_by_Sentiment!$B$2:$B$37,Phone_by_Sentiment!K$2:K$37,"",0,1),0),$A550-TEXT(DATEVALUE($D550&amp;"-01"), "dd-mm-yyyy")),0),0)</f>
        <v>0</v>
      </c>
      <c r="L550" cm="1">
        <f t="array" ref="L550">IF($Q550&gt;=0,IFERROR(generateSalesData($D550, IF(ISNUMBER(_xlfn.XLOOKUP($C550,Phone_by_Sentiment!$B$2:$B$37,Phone_by_Sentiment!L$2:L$37,"",0,1)),_xlfn.XLOOKUP($C550,Phone_by_Sentiment!$B$2:$B$37,Phone_by_Sentiment!L$2:L$37,"",0,1),0),$A550-TEXT(DATEVALUE($D550&amp;"-01"), "dd-mm-yyyy")),0),0)</f>
        <v>0</v>
      </c>
      <c r="M550" cm="1">
        <f t="array" ref="M550">IF($Q550&gt;=0,IFERROR(generateSalesData($D550, IF(ISNUMBER(_xlfn.XLOOKUP($C550,Phone_by_Sentiment!$B$2:$B$37,Phone_by_Sentiment!M$2:M$37,"",0,1)),_xlfn.XLOOKUP($C550,Phone_by_Sentiment!$B$2:$B$37,Phone_by_Sentiment!M$2:M$37,"",0,1),0),$A550-TEXT(DATEVALUE($D550&amp;"-01"), "dd-mm-yyyy")),0),0)</f>
        <v>0</v>
      </c>
      <c r="N550" cm="1">
        <f t="array" ref="N550">IF($Q550&gt;=0,IFERROR(generateSalesData($D550, IF(ISNUMBER(_xlfn.XLOOKUP($C550,Phone_by_Sentiment!$B$2:$B$37,Phone_by_Sentiment!N$2:N$37,"",0,1)),_xlfn.XLOOKUP($C550,Phone_by_Sentiment!$B$2:$B$37,Phone_by_Sentiment!N$2:N$37,"",0,1),0),$A550-TEXT(DATEVALUE($D550&amp;"-01"), "dd-mm-yyyy")),0),0)</f>
        <v>0</v>
      </c>
      <c r="O550" cm="1">
        <f t="array" ref="O550">IF($Q550&gt;=0,IFERROR(generateSalesData($D550, IF(ISNUMBER(_xlfn.XLOOKUP($C550,Phone_by_Sentiment!$B$2:$B$37,Phone_by_Sentiment!O$2:O$37,"",0,1)),_xlfn.XLOOKUP($C550,Phone_by_Sentiment!$B$2:$B$37,Phone_by_Sentiment!O$2:O$37,"",0,1),0),$A550-TEXT(DATEVALUE($D550&amp;"-01"), "dd-mm-yyyy")),0),0)</f>
        <v>0</v>
      </c>
      <c r="P550" s="1">
        <f t="shared" si="22"/>
        <v>44440</v>
      </c>
      <c r="Q550">
        <f t="shared" si="23"/>
        <v>-518</v>
      </c>
    </row>
    <row r="551" spans="1:17" x14ac:dyDescent="0.25">
      <c r="A551" s="1">
        <f t="shared" si="21"/>
        <v>43922</v>
      </c>
      <c r="B551" t="s">
        <v>162</v>
      </c>
      <c r="C551" t="str">
        <f>_xlfn.XLOOKUP(B551,Phone_by_Price!$A$2:$A$34,Phone_by_Price!$B$2:$B$34,"-",0,1)</f>
        <v>Xiaomi Poco X3 NFC</v>
      </c>
      <c r="D551" t="str">
        <f>_xlfn.XLOOKUP(C551,Phone_by_Sentiment!$B$2:$B$37,Phone_by_Sentiment!$A$2:$A$37,"-",0,1)</f>
        <v>2020-08</v>
      </c>
      <c r="E551" cm="1">
        <f t="array" ref="E551">IF($Q551&gt;=0,IFERROR(generateSalesData($D551, IF(ISNUMBER(_xlfn.XLOOKUP($C551,Phone_by_Sentiment!$B$2:$B$37,Phone_by_Sentiment!E$2:E$37,"",0,1)),_xlfn.XLOOKUP($C551,Phone_by_Sentiment!$B$2:$B$37,Phone_by_Sentiment!E$2:E$37,"",0,1),0),$A551-TEXT(DATEVALUE($D551&amp;"-01"), "dd-mm-yyyy")),0),0)</f>
        <v>0</v>
      </c>
      <c r="F551" cm="1">
        <f t="array" ref="F551">IF($Q551&gt;=0,IFERROR(generateSalesData($D551, IF(ISNUMBER(_xlfn.XLOOKUP($C551,Phone_by_Sentiment!$B$2:$B$37,Phone_by_Sentiment!F$2:F$37,"",0,1)),_xlfn.XLOOKUP($C551,Phone_by_Sentiment!$B$2:$B$37,Phone_by_Sentiment!F$2:F$37,"",0,1),0),$A551-TEXT(DATEVALUE($D551&amp;"-01"), "dd-mm-yyyy")),0),0)</f>
        <v>0</v>
      </c>
      <c r="G551" cm="1">
        <f t="array" ref="G551">IF($Q551&gt;=0,IFERROR(generateSalesData($D551, IF(ISNUMBER(_xlfn.XLOOKUP($C551,Phone_by_Sentiment!$B$2:$B$37,Phone_by_Sentiment!G$2:G$37,"",0,1)),_xlfn.XLOOKUP($C551,Phone_by_Sentiment!$B$2:$B$37,Phone_by_Sentiment!G$2:G$37,"",0,1),0),$A551-TEXT(DATEVALUE($D551&amp;"-01"), "dd-mm-yyyy")),0),0)</f>
        <v>0</v>
      </c>
      <c r="H551" cm="1">
        <f t="array" ref="H551">IF($Q551&gt;=0,IFERROR(generateSalesData($D551, IF(ISNUMBER(_xlfn.XLOOKUP($C551,Phone_by_Sentiment!$B$2:$B$37,Phone_by_Sentiment!H$2:H$37,"",0,1)),_xlfn.XLOOKUP($C551,Phone_by_Sentiment!$B$2:$B$37,Phone_by_Sentiment!H$2:H$37,"",0,1),0),$A551-TEXT(DATEVALUE($D551&amp;"-01"), "dd-mm-yyyy")),0),0)</f>
        <v>0</v>
      </c>
      <c r="I551" cm="1">
        <f t="array" ref="I551">IF($Q551&gt;=0,IFERROR(generateSalesData($D551, IF(ISNUMBER(_xlfn.XLOOKUP($C551,Phone_by_Sentiment!$B$2:$B$37,Phone_by_Sentiment!I$2:I$37,"",0,1)),_xlfn.XLOOKUP($C551,Phone_by_Sentiment!$B$2:$B$37,Phone_by_Sentiment!I$2:I$37,"",0,1),0),$A551-TEXT(DATEVALUE($D551&amp;"-01"), "dd-mm-yyyy")),0),0)</f>
        <v>0</v>
      </c>
      <c r="J551" cm="1">
        <f t="array" ref="J551">IF($Q551&gt;=0,IFERROR(generateSalesData($D551, IF(ISNUMBER(_xlfn.XLOOKUP($C551,Phone_by_Sentiment!$B$2:$B$37,Phone_by_Sentiment!J$2:J$37,"",0,1)),_xlfn.XLOOKUP($C551,Phone_by_Sentiment!$B$2:$B$37,Phone_by_Sentiment!J$2:J$37,"",0,1),0),$A551-TEXT(DATEVALUE($D551&amp;"-01"), "dd-mm-yyyy")),0),0)</f>
        <v>0</v>
      </c>
      <c r="K551" cm="1">
        <f t="array" ref="K551">IF($Q551&gt;=0,IFERROR(generateSalesData($D551, IF(ISNUMBER(_xlfn.XLOOKUP($C551,Phone_by_Sentiment!$B$2:$B$37,Phone_by_Sentiment!K$2:K$37,"",0,1)),_xlfn.XLOOKUP($C551,Phone_by_Sentiment!$B$2:$B$37,Phone_by_Sentiment!K$2:K$37,"",0,1),0),$A551-TEXT(DATEVALUE($D551&amp;"-01"), "dd-mm-yyyy")),0),0)</f>
        <v>0</v>
      </c>
      <c r="L551" cm="1">
        <f t="array" ref="L551">IF($Q551&gt;=0,IFERROR(generateSalesData($D551, IF(ISNUMBER(_xlfn.XLOOKUP($C551,Phone_by_Sentiment!$B$2:$B$37,Phone_by_Sentiment!L$2:L$37,"",0,1)),_xlfn.XLOOKUP($C551,Phone_by_Sentiment!$B$2:$B$37,Phone_by_Sentiment!L$2:L$37,"",0,1),0),$A551-TEXT(DATEVALUE($D551&amp;"-01"), "dd-mm-yyyy")),0),0)</f>
        <v>0</v>
      </c>
      <c r="M551" cm="1">
        <f t="array" ref="M551">IF($Q551&gt;=0,IFERROR(generateSalesData($D551, IF(ISNUMBER(_xlfn.XLOOKUP($C551,Phone_by_Sentiment!$B$2:$B$37,Phone_by_Sentiment!M$2:M$37,"",0,1)),_xlfn.XLOOKUP($C551,Phone_by_Sentiment!$B$2:$B$37,Phone_by_Sentiment!M$2:M$37,"",0,1),0),$A551-TEXT(DATEVALUE($D551&amp;"-01"), "dd-mm-yyyy")),0),0)</f>
        <v>0</v>
      </c>
      <c r="N551" cm="1">
        <f t="array" ref="N551">IF($Q551&gt;=0,IFERROR(generateSalesData($D551, IF(ISNUMBER(_xlfn.XLOOKUP($C551,Phone_by_Sentiment!$B$2:$B$37,Phone_by_Sentiment!N$2:N$37,"",0,1)),_xlfn.XLOOKUP($C551,Phone_by_Sentiment!$B$2:$B$37,Phone_by_Sentiment!N$2:N$37,"",0,1),0),$A551-TEXT(DATEVALUE($D551&amp;"-01"), "dd-mm-yyyy")),0),0)</f>
        <v>0</v>
      </c>
      <c r="O551" cm="1">
        <f t="array" ref="O551">IF($Q551&gt;=0,IFERROR(generateSalesData($D551, IF(ISNUMBER(_xlfn.XLOOKUP($C551,Phone_by_Sentiment!$B$2:$B$37,Phone_by_Sentiment!O$2:O$37,"",0,1)),_xlfn.XLOOKUP($C551,Phone_by_Sentiment!$B$2:$B$37,Phone_by_Sentiment!O$2:O$37,"",0,1),0),$A551-TEXT(DATEVALUE($D551&amp;"-01"), "dd-mm-yyyy")),0),0)</f>
        <v>0</v>
      </c>
      <c r="P551" s="1">
        <f t="shared" si="22"/>
        <v>44044</v>
      </c>
      <c r="Q551">
        <f t="shared" si="23"/>
        <v>-122</v>
      </c>
    </row>
    <row r="552" spans="1:17" x14ac:dyDescent="0.25">
      <c r="A552" s="1">
        <f t="shared" si="21"/>
        <v>43922</v>
      </c>
      <c r="B552" t="s">
        <v>163</v>
      </c>
      <c r="C552" t="str">
        <f>_xlfn.XLOOKUP(B552,Phone_by_Price!$A$2:$A$34,Phone_by_Price!$B$2:$B$34,"-",0,1)</f>
        <v>OPPO A93</v>
      </c>
      <c r="D552" t="str">
        <f>_xlfn.XLOOKUP(C552,Phone_by_Sentiment!$B$2:$B$37,Phone_by_Sentiment!$A$2:$A$37,"-",0,1)</f>
        <v>2021-02</v>
      </c>
      <c r="E552" cm="1">
        <f t="array" ref="E552">IF($Q552&gt;=0,IFERROR(generateSalesData($D552, IF(ISNUMBER(_xlfn.XLOOKUP($C552,Phone_by_Sentiment!$B$2:$B$37,Phone_by_Sentiment!E$2:E$37,"",0,1)),_xlfn.XLOOKUP($C552,Phone_by_Sentiment!$B$2:$B$37,Phone_by_Sentiment!E$2:E$37,"",0,1),0),$A552-TEXT(DATEVALUE($D552&amp;"-01"), "dd-mm-yyyy")),0),0)</f>
        <v>0</v>
      </c>
      <c r="F552" cm="1">
        <f t="array" ref="F552">IF($Q552&gt;=0,IFERROR(generateSalesData($D552, IF(ISNUMBER(_xlfn.XLOOKUP($C552,Phone_by_Sentiment!$B$2:$B$37,Phone_by_Sentiment!F$2:F$37,"",0,1)),_xlfn.XLOOKUP($C552,Phone_by_Sentiment!$B$2:$B$37,Phone_by_Sentiment!F$2:F$37,"",0,1),0),$A552-TEXT(DATEVALUE($D552&amp;"-01"), "dd-mm-yyyy")),0),0)</f>
        <v>0</v>
      </c>
      <c r="G552" cm="1">
        <f t="array" ref="G552">IF($Q552&gt;=0,IFERROR(generateSalesData($D552, IF(ISNUMBER(_xlfn.XLOOKUP($C552,Phone_by_Sentiment!$B$2:$B$37,Phone_by_Sentiment!G$2:G$37,"",0,1)),_xlfn.XLOOKUP($C552,Phone_by_Sentiment!$B$2:$B$37,Phone_by_Sentiment!G$2:G$37,"",0,1),0),$A552-TEXT(DATEVALUE($D552&amp;"-01"), "dd-mm-yyyy")),0),0)</f>
        <v>0</v>
      </c>
      <c r="H552" cm="1">
        <f t="array" ref="H552">IF($Q552&gt;=0,IFERROR(generateSalesData($D552, IF(ISNUMBER(_xlfn.XLOOKUP($C552,Phone_by_Sentiment!$B$2:$B$37,Phone_by_Sentiment!H$2:H$37,"",0,1)),_xlfn.XLOOKUP($C552,Phone_by_Sentiment!$B$2:$B$37,Phone_by_Sentiment!H$2:H$37,"",0,1),0),$A552-TEXT(DATEVALUE($D552&amp;"-01"), "dd-mm-yyyy")),0),0)</f>
        <v>0</v>
      </c>
      <c r="I552" cm="1">
        <f t="array" ref="I552">IF($Q552&gt;=0,IFERROR(generateSalesData($D552, IF(ISNUMBER(_xlfn.XLOOKUP($C552,Phone_by_Sentiment!$B$2:$B$37,Phone_by_Sentiment!I$2:I$37,"",0,1)),_xlfn.XLOOKUP($C552,Phone_by_Sentiment!$B$2:$B$37,Phone_by_Sentiment!I$2:I$37,"",0,1),0),$A552-TEXT(DATEVALUE($D552&amp;"-01"), "dd-mm-yyyy")),0),0)</f>
        <v>0</v>
      </c>
      <c r="J552" cm="1">
        <f t="array" ref="J552">IF($Q552&gt;=0,IFERROR(generateSalesData($D552, IF(ISNUMBER(_xlfn.XLOOKUP($C552,Phone_by_Sentiment!$B$2:$B$37,Phone_by_Sentiment!J$2:J$37,"",0,1)),_xlfn.XLOOKUP($C552,Phone_by_Sentiment!$B$2:$B$37,Phone_by_Sentiment!J$2:J$37,"",0,1),0),$A552-TEXT(DATEVALUE($D552&amp;"-01"), "dd-mm-yyyy")),0),0)</f>
        <v>0</v>
      </c>
      <c r="K552" cm="1">
        <f t="array" ref="K552">IF($Q552&gt;=0,IFERROR(generateSalesData($D552, IF(ISNUMBER(_xlfn.XLOOKUP($C552,Phone_by_Sentiment!$B$2:$B$37,Phone_by_Sentiment!K$2:K$37,"",0,1)),_xlfn.XLOOKUP($C552,Phone_by_Sentiment!$B$2:$B$37,Phone_by_Sentiment!K$2:K$37,"",0,1),0),$A552-TEXT(DATEVALUE($D552&amp;"-01"), "dd-mm-yyyy")),0),0)</f>
        <v>0</v>
      </c>
      <c r="L552" cm="1">
        <f t="array" ref="L552">IF($Q552&gt;=0,IFERROR(generateSalesData($D552, IF(ISNUMBER(_xlfn.XLOOKUP($C552,Phone_by_Sentiment!$B$2:$B$37,Phone_by_Sentiment!L$2:L$37,"",0,1)),_xlfn.XLOOKUP($C552,Phone_by_Sentiment!$B$2:$B$37,Phone_by_Sentiment!L$2:L$37,"",0,1),0),$A552-TEXT(DATEVALUE($D552&amp;"-01"), "dd-mm-yyyy")),0),0)</f>
        <v>0</v>
      </c>
      <c r="M552" cm="1">
        <f t="array" ref="M552">IF($Q552&gt;=0,IFERROR(generateSalesData($D552, IF(ISNUMBER(_xlfn.XLOOKUP($C552,Phone_by_Sentiment!$B$2:$B$37,Phone_by_Sentiment!M$2:M$37,"",0,1)),_xlfn.XLOOKUP($C552,Phone_by_Sentiment!$B$2:$B$37,Phone_by_Sentiment!M$2:M$37,"",0,1),0),$A552-TEXT(DATEVALUE($D552&amp;"-01"), "dd-mm-yyyy")),0),0)</f>
        <v>0</v>
      </c>
      <c r="N552" cm="1">
        <f t="array" ref="N552">IF($Q552&gt;=0,IFERROR(generateSalesData($D552, IF(ISNUMBER(_xlfn.XLOOKUP($C552,Phone_by_Sentiment!$B$2:$B$37,Phone_by_Sentiment!N$2:N$37,"",0,1)),_xlfn.XLOOKUP($C552,Phone_by_Sentiment!$B$2:$B$37,Phone_by_Sentiment!N$2:N$37,"",0,1),0),$A552-TEXT(DATEVALUE($D552&amp;"-01"), "dd-mm-yyyy")),0),0)</f>
        <v>0</v>
      </c>
      <c r="O552" cm="1">
        <f t="array" ref="O552">IF($Q552&gt;=0,IFERROR(generateSalesData($D552, IF(ISNUMBER(_xlfn.XLOOKUP($C552,Phone_by_Sentiment!$B$2:$B$37,Phone_by_Sentiment!O$2:O$37,"",0,1)),_xlfn.XLOOKUP($C552,Phone_by_Sentiment!$B$2:$B$37,Phone_by_Sentiment!O$2:O$37,"",0,1),0),$A552-TEXT(DATEVALUE($D552&amp;"-01"), "dd-mm-yyyy")),0),0)</f>
        <v>0</v>
      </c>
      <c r="P552" s="1">
        <f t="shared" si="22"/>
        <v>44228</v>
      </c>
      <c r="Q552">
        <f t="shared" si="23"/>
        <v>-306</v>
      </c>
    </row>
    <row r="553" spans="1:17" x14ac:dyDescent="0.25">
      <c r="A553" s="1">
        <f t="shared" si="21"/>
        <v>43922</v>
      </c>
      <c r="B553" t="s">
        <v>164</v>
      </c>
      <c r="C553" t="str">
        <f>_xlfn.XLOOKUP(B553,Phone_by_Price!$A$2:$A$34,Phone_by_Price!$B$2:$B$34,"-",0,1)</f>
        <v>Vivo V20</v>
      </c>
      <c r="D553" t="str">
        <f>_xlfn.XLOOKUP(C553,Phone_by_Sentiment!$B$2:$B$37,Phone_by_Sentiment!$A$2:$A$37,"-",0,1)</f>
        <v>2020-10</v>
      </c>
      <c r="E553" cm="1">
        <f t="array" ref="E553">IF($Q553&gt;=0,IFERROR(generateSalesData($D553, IF(ISNUMBER(_xlfn.XLOOKUP($C553,Phone_by_Sentiment!$B$2:$B$37,Phone_by_Sentiment!E$2:E$37,"",0,1)),_xlfn.XLOOKUP($C553,Phone_by_Sentiment!$B$2:$B$37,Phone_by_Sentiment!E$2:E$37,"",0,1),0),$A553-TEXT(DATEVALUE($D553&amp;"-01"), "dd-mm-yyyy")),0),0)</f>
        <v>0</v>
      </c>
      <c r="F553" cm="1">
        <f t="array" ref="F553">IF($Q553&gt;=0,IFERROR(generateSalesData($D553, IF(ISNUMBER(_xlfn.XLOOKUP($C553,Phone_by_Sentiment!$B$2:$B$37,Phone_by_Sentiment!F$2:F$37,"",0,1)),_xlfn.XLOOKUP($C553,Phone_by_Sentiment!$B$2:$B$37,Phone_by_Sentiment!F$2:F$37,"",0,1),0),$A553-TEXT(DATEVALUE($D553&amp;"-01"), "dd-mm-yyyy")),0),0)</f>
        <v>0</v>
      </c>
      <c r="G553" cm="1">
        <f t="array" ref="G553">IF($Q553&gt;=0,IFERROR(generateSalesData($D553, IF(ISNUMBER(_xlfn.XLOOKUP($C553,Phone_by_Sentiment!$B$2:$B$37,Phone_by_Sentiment!G$2:G$37,"",0,1)),_xlfn.XLOOKUP($C553,Phone_by_Sentiment!$B$2:$B$37,Phone_by_Sentiment!G$2:G$37,"",0,1),0),$A553-TEXT(DATEVALUE($D553&amp;"-01"), "dd-mm-yyyy")),0),0)</f>
        <v>0</v>
      </c>
      <c r="H553" cm="1">
        <f t="array" ref="H553">IF($Q553&gt;=0,IFERROR(generateSalesData($D553, IF(ISNUMBER(_xlfn.XLOOKUP($C553,Phone_by_Sentiment!$B$2:$B$37,Phone_by_Sentiment!H$2:H$37,"",0,1)),_xlfn.XLOOKUP($C553,Phone_by_Sentiment!$B$2:$B$37,Phone_by_Sentiment!H$2:H$37,"",0,1),0),$A553-TEXT(DATEVALUE($D553&amp;"-01"), "dd-mm-yyyy")),0),0)</f>
        <v>0</v>
      </c>
      <c r="I553" cm="1">
        <f t="array" ref="I553">IF($Q553&gt;=0,IFERROR(generateSalesData($D553, IF(ISNUMBER(_xlfn.XLOOKUP($C553,Phone_by_Sentiment!$B$2:$B$37,Phone_by_Sentiment!I$2:I$37,"",0,1)),_xlfn.XLOOKUP($C553,Phone_by_Sentiment!$B$2:$B$37,Phone_by_Sentiment!I$2:I$37,"",0,1),0),$A553-TEXT(DATEVALUE($D553&amp;"-01"), "dd-mm-yyyy")),0),0)</f>
        <v>0</v>
      </c>
      <c r="J553" cm="1">
        <f t="array" ref="J553">IF($Q553&gt;=0,IFERROR(generateSalesData($D553, IF(ISNUMBER(_xlfn.XLOOKUP($C553,Phone_by_Sentiment!$B$2:$B$37,Phone_by_Sentiment!J$2:J$37,"",0,1)),_xlfn.XLOOKUP($C553,Phone_by_Sentiment!$B$2:$B$37,Phone_by_Sentiment!J$2:J$37,"",0,1),0),$A553-TEXT(DATEVALUE($D553&amp;"-01"), "dd-mm-yyyy")),0),0)</f>
        <v>0</v>
      </c>
      <c r="K553" cm="1">
        <f t="array" ref="K553">IF($Q553&gt;=0,IFERROR(generateSalesData($D553, IF(ISNUMBER(_xlfn.XLOOKUP($C553,Phone_by_Sentiment!$B$2:$B$37,Phone_by_Sentiment!K$2:K$37,"",0,1)),_xlfn.XLOOKUP($C553,Phone_by_Sentiment!$B$2:$B$37,Phone_by_Sentiment!K$2:K$37,"",0,1),0),$A553-TEXT(DATEVALUE($D553&amp;"-01"), "dd-mm-yyyy")),0),0)</f>
        <v>0</v>
      </c>
      <c r="L553" cm="1">
        <f t="array" ref="L553">IF($Q553&gt;=0,IFERROR(generateSalesData($D553, IF(ISNUMBER(_xlfn.XLOOKUP($C553,Phone_by_Sentiment!$B$2:$B$37,Phone_by_Sentiment!L$2:L$37,"",0,1)),_xlfn.XLOOKUP($C553,Phone_by_Sentiment!$B$2:$B$37,Phone_by_Sentiment!L$2:L$37,"",0,1),0),$A553-TEXT(DATEVALUE($D553&amp;"-01"), "dd-mm-yyyy")),0),0)</f>
        <v>0</v>
      </c>
      <c r="M553" cm="1">
        <f t="array" ref="M553">IF($Q553&gt;=0,IFERROR(generateSalesData($D553, IF(ISNUMBER(_xlfn.XLOOKUP($C553,Phone_by_Sentiment!$B$2:$B$37,Phone_by_Sentiment!M$2:M$37,"",0,1)),_xlfn.XLOOKUP($C553,Phone_by_Sentiment!$B$2:$B$37,Phone_by_Sentiment!M$2:M$37,"",0,1),0),$A553-TEXT(DATEVALUE($D553&amp;"-01"), "dd-mm-yyyy")),0),0)</f>
        <v>0</v>
      </c>
      <c r="N553" cm="1">
        <f t="array" ref="N553">IF($Q553&gt;=0,IFERROR(generateSalesData($D553, IF(ISNUMBER(_xlfn.XLOOKUP($C553,Phone_by_Sentiment!$B$2:$B$37,Phone_by_Sentiment!N$2:N$37,"",0,1)),_xlfn.XLOOKUP($C553,Phone_by_Sentiment!$B$2:$B$37,Phone_by_Sentiment!N$2:N$37,"",0,1),0),$A553-TEXT(DATEVALUE($D553&amp;"-01"), "dd-mm-yyyy")),0),0)</f>
        <v>0</v>
      </c>
      <c r="O553" cm="1">
        <f t="array" ref="O553">IF($Q553&gt;=0,IFERROR(generateSalesData($D553, IF(ISNUMBER(_xlfn.XLOOKUP($C553,Phone_by_Sentiment!$B$2:$B$37,Phone_by_Sentiment!O$2:O$37,"",0,1)),_xlfn.XLOOKUP($C553,Phone_by_Sentiment!$B$2:$B$37,Phone_by_Sentiment!O$2:O$37,"",0,1),0),$A553-TEXT(DATEVALUE($D553&amp;"-01"), "dd-mm-yyyy")),0),0)</f>
        <v>0</v>
      </c>
      <c r="P553" s="1">
        <f t="shared" si="22"/>
        <v>44105</v>
      </c>
      <c r="Q553">
        <f t="shared" si="23"/>
        <v>-183</v>
      </c>
    </row>
    <row r="554" spans="1:17" x14ac:dyDescent="0.25">
      <c r="A554" s="1">
        <f t="shared" si="21"/>
        <v>43922</v>
      </c>
      <c r="B554" t="s">
        <v>165</v>
      </c>
      <c r="C554" t="str">
        <f>_xlfn.XLOOKUP(B554,Phone_by_Price!$A$2:$A$34,Phone_by_Price!$B$2:$B$34,"-",0,1)</f>
        <v>Samsung Galaxy A50</v>
      </c>
      <c r="D554" t="str">
        <f>_xlfn.XLOOKUP(C554,Phone_by_Sentiment!$B$2:$B$37,Phone_by_Sentiment!$A$2:$A$37,"-",0,1)</f>
        <v>2019-05</v>
      </c>
      <c r="E554" cm="1">
        <f t="array" ref="E554">IF($Q554&gt;=0,IFERROR(generateSalesData($D554, IF(ISNUMBER(_xlfn.XLOOKUP($C554,Phone_by_Sentiment!$B$2:$B$37,Phone_by_Sentiment!E$2:E$37,"",0,1)),_xlfn.XLOOKUP($C554,Phone_by_Sentiment!$B$2:$B$37,Phone_by_Sentiment!E$2:E$37,"",0,1),0),$A554-TEXT(DATEVALUE($D554&amp;"-01"), "dd-mm-yyyy")),0),0)</f>
        <v>574</v>
      </c>
      <c r="F554" cm="1">
        <f t="array" ref="F554">IF($Q554&gt;=0,IFERROR(generateSalesData($D554, IF(ISNUMBER(_xlfn.XLOOKUP($C554,Phone_by_Sentiment!$B$2:$B$37,Phone_by_Sentiment!F$2:F$37,"",0,1)),_xlfn.XLOOKUP($C554,Phone_by_Sentiment!$B$2:$B$37,Phone_by_Sentiment!F$2:F$37,"",0,1),0),$A554-TEXT(DATEVALUE($D554&amp;"-01"), "dd-mm-yyyy")),0),0)</f>
        <v>40</v>
      </c>
      <c r="G554" cm="1">
        <f t="array" ref="G554">IF($Q554&gt;=0,IFERROR(generateSalesData($D554, IF(ISNUMBER(_xlfn.XLOOKUP($C554,Phone_by_Sentiment!$B$2:$B$37,Phone_by_Sentiment!G$2:G$37,"",0,1)),_xlfn.XLOOKUP($C554,Phone_by_Sentiment!$B$2:$B$37,Phone_by_Sentiment!G$2:G$37,"",0,1),0),$A554-TEXT(DATEVALUE($D554&amp;"-01"), "dd-mm-yyyy")),0),0)</f>
        <v>234</v>
      </c>
      <c r="H554" cm="1">
        <f t="array" ref="H554">IF($Q554&gt;=0,IFERROR(generateSalesData($D554, IF(ISNUMBER(_xlfn.XLOOKUP($C554,Phone_by_Sentiment!$B$2:$B$37,Phone_by_Sentiment!H$2:H$37,"",0,1)),_xlfn.XLOOKUP($C554,Phone_by_Sentiment!$B$2:$B$37,Phone_by_Sentiment!H$2:H$37,"",0,1),0),$A554-TEXT(DATEVALUE($D554&amp;"-01"), "dd-mm-yyyy")),0),0)</f>
        <v>829</v>
      </c>
      <c r="I554" cm="1">
        <f t="array" ref="I554">IF($Q554&gt;=0,IFERROR(generateSalesData($D554, IF(ISNUMBER(_xlfn.XLOOKUP($C554,Phone_by_Sentiment!$B$2:$B$37,Phone_by_Sentiment!I$2:I$37,"",0,1)),_xlfn.XLOOKUP($C554,Phone_by_Sentiment!$B$2:$B$37,Phone_by_Sentiment!I$2:I$37,"",0,1),0),$A554-TEXT(DATEVALUE($D554&amp;"-01"), "dd-mm-yyyy")),0),0)</f>
        <v>700</v>
      </c>
      <c r="J554" cm="1">
        <f t="array" ref="J554">IF($Q554&gt;=0,IFERROR(generateSalesData($D554, IF(ISNUMBER(_xlfn.XLOOKUP($C554,Phone_by_Sentiment!$B$2:$B$37,Phone_by_Sentiment!J$2:J$37,"",0,1)),_xlfn.XLOOKUP($C554,Phone_by_Sentiment!$B$2:$B$37,Phone_by_Sentiment!J$2:J$37,"",0,1),0),$A554-TEXT(DATEVALUE($D554&amp;"-01"), "dd-mm-yyyy")),0),0)</f>
        <v>159</v>
      </c>
      <c r="K554" cm="1">
        <f t="array" ref="K554">IF($Q554&gt;=0,IFERROR(generateSalesData($D554, IF(ISNUMBER(_xlfn.XLOOKUP($C554,Phone_by_Sentiment!$B$2:$B$37,Phone_by_Sentiment!K$2:K$37,"",0,1)),_xlfn.XLOOKUP($C554,Phone_by_Sentiment!$B$2:$B$37,Phone_by_Sentiment!K$2:K$37,"",0,1),0),$A554-TEXT(DATEVALUE($D554&amp;"-01"), "dd-mm-yyyy")),0),0)</f>
        <v>543</v>
      </c>
      <c r="L554" cm="1">
        <f t="array" ref="L554">IF($Q554&gt;=0,IFERROR(generateSalesData($D554, IF(ISNUMBER(_xlfn.XLOOKUP($C554,Phone_by_Sentiment!$B$2:$B$37,Phone_by_Sentiment!L$2:L$37,"",0,1)),_xlfn.XLOOKUP($C554,Phone_by_Sentiment!$B$2:$B$37,Phone_by_Sentiment!L$2:L$37,"",0,1),0),$A554-TEXT(DATEVALUE($D554&amp;"-01"), "dd-mm-yyyy")),0),0)</f>
        <v>1132</v>
      </c>
      <c r="M554" cm="1">
        <f t="array" ref="M554">IF($Q554&gt;=0,IFERROR(generateSalesData($D554, IF(ISNUMBER(_xlfn.XLOOKUP($C554,Phone_by_Sentiment!$B$2:$B$37,Phone_by_Sentiment!M$2:M$37,"",0,1)),_xlfn.XLOOKUP($C554,Phone_by_Sentiment!$B$2:$B$37,Phone_by_Sentiment!M$2:M$37,"",0,1),0),$A554-TEXT(DATEVALUE($D554&amp;"-01"), "dd-mm-yyyy")),0),0)</f>
        <v>285</v>
      </c>
      <c r="N554" cm="1">
        <f t="array" ref="N554">IF($Q554&gt;=0,IFERROR(generateSalesData($D554, IF(ISNUMBER(_xlfn.XLOOKUP($C554,Phone_by_Sentiment!$B$2:$B$37,Phone_by_Sentiment!N$2:N$37,"",0,1)),_xlfn.XLOOKUP($C554,Phone_by_Sentiment!$B$2:$B$37,Phone_by_Sentiment!N$2:N$37,"",0,1),0),$A554-TEXT(DATEVALUE($D554&amp;"-01"), "dd-mm-yyyy")),0),0)</f>
        <v>201</v>
      </c>
      <c r="O554" cm="1">
        <f t="array" ref="O554">IF($Q554&gt;=0,IFERROR(generateSalesData($D554, IF(ISNUMBER(_xlfn.XLOOKUP($C554,Phone_by_Sentiment!$B$2:$B$37,Phone_by_Sentiment!O$2:O$37,"",0,1)),_xlfn.XLOOKUP($C554,Phone_by_Sentiment!$B$2:$B$37,Phone_by_Sentiment!O$2:O$37,"",0,1),0),$A554-TEXT(DATEVALUE($D554&amp;"-01"), "dd-mm-yyyy")),0),0)</f>
        <v>478</v>
      </c>
      <c r="P554" s="1">
        <f t="shared" si="22"/>
        <v>43586</v>
      </c>
      <c r="Q554">
        <f t="shared" si="23"/>
        <v>336</v>
      </c>
    </row>
    <row r="555" spans="1:17" x14ac:dyDescent="0.25">
      <c r="A555" s="1">
        <f t="shared" si="21"/>
        <v>43922</v>
      </c>
      <c r="B555" t="s">
        <v>166</v>
      </c>
      <c r="C555" t="str">
        <f>_xlfn.XLOOKUP(B555,Phone_by_Price!$A$2:$A$34,Phone_by_Price!$B$2:$B$34,"-",0,1)</f>
        <v>Xiaomi Redmi Note 7</v>
      </c>
      <c r="D555" t="str">
        <f>_xlfn.XLOOKUP(C555,Phone_by_Sentiment!$B$2:$B$37,Phone_by_Sentiment!$A$2:$A$37,"-",0,1)</f>
        <v>2019-08</v>
      </c>
      <c r="E555" cm="1">
        <f t="array" ref="E555">IF($Q555&gt;=0,IFERROR(generateSalesData($D555, IF(ISNUMBER(_xlfn.XLOOKUP($C555,Phone_by_Sentiment!$B$2:$B$37,Phone_by_Sentiment!E$2:E$37,"",0,1)),_xlfn.XLOOKUP($C555,Phone_by_Sentiment!$B$2:$B$37,Phone_by_Sentiment!E$2:E$37,"",0,1),0),$A555-TEXT(DATEVALUE($D555&amp;"-01"), "dd-mm-yyyy")),0),0)</f>
        <v>194</v>
      </c>
      <c r="F555" cm="1">
        <f t="array" ref="F555">IF($Q555&gt;=0,IFERROR(generateSalesData($D555, IF(ISNUMBER(_xlfn.XLOOKUP($C555,Phone_by_Sentiment!$B$2:$B$37,Phone_by_Sentiment!F$2:F$37,"",0,1)),_xlfn.XLOOKUP($C555,Phone_by_Sentiment!$B$2:$B$37,Phone_by_Sentiment!F$2:F$37,"",0,1),0),$A555-TEXT(DATEVALUE($D555&amp;"-01"), "dd-mm-yyyy")),0),0)</f>
        <v>78</v>
      </c>
      <c r="G555" cm="1">
        <f t="array" ref="G555">IF($Q555&gt;=0,IFERROR(generateSalesData($D555, IF(ISNUMBER(_xlfn.XLOOKUP($C555,Phone_by_Sentiment!$B$2:$B$37,Phone_by_Sentiment!G$2:G$37,"",0,1)),_xlfn.XLOOKUP($C555,Phone_by_Sentiment!$B$2:$B$37,Phone_by_Sentiment!G$2:G$37,"",0,1),0),$A555-TEXT(DATEVALUE($D555&amp;"-01"), "dd-mm-yyyy")),0),0)</f>
        <v>196</v>
      </c>
      <c r="H555" cm="1">
        <f t="array" ref="H555">IF($Q555&gt;=0,IFERROR(generateSalesData($D555, IF(ISNUMBER(_xlfn.XLOOKUP($C555,Phone_by_Sentiment!$B$2:$B$37,Phone_by_Sentiment!H$2:H$37,"",0,1)),_xlfn.XLOOKUP($C555,Phone_by_Sentiment!$B$2:$B$37,Phone_by_Sentiment!H$2:H$37,"",0,1),0),$A555-TEXT(DATEVALUE($D555&amp;"-01"), "dd-mm-yyyy")),0),0)</f>
        <v>563</v>
      </c>
      <c r="I555" cm="1">
        <f t="array" ref="I555">IF($Q555&gt;=0,IFERROR(generateSalesData($D555, IF(ISNUMBER(_xlfn.XLOOKUP($C555,Phone_by_Sentiment!$B$2:$B$37,Phone_by_Sentiment!I$2:I$37,"",0,1)),_xlfn.XLOOKUP($C555,Phone_by_Sentiment!$B$2:$B$37,Phone_by_Sentiment!I$2:I$37,"",0,1),0),$A555-TEXT(DATEVALUE($D555&amp;"-01"), "dd-mm-yyyy")),0),0)</f>
        <v>330</v>
      </c>
      <c r="J555" cm="1">
        <f t="array" ref="J555">IF($Q555&gt;=0,IFERROR(generateSalesData($D555, IF(ISNUMBER(_xlfn.XLOOKUP($C555,Phone_by_Sentiment!$B$2:$B$37,Phone_by_Sentiment!J$2:J$37,"",0,1)),_xlfn.XLOOKUP($C555,Phone_by_Sentiment!$B$2:$B$37,Phone_by_Sentiment!J$2:J$37,"",0,1),0),$A555-TEXT(DATEVALUE($D555&amp;"-01"), "dd-mm-yyyy")),0),0)</f>
        <v>96</v>
      </c>
      <c r="K555" cm="1">
        <f t="array" ref="K555">IF($Q555&gt;=0,IFERROR(generateSalesData($D555, IF(ISNUMBER(_xlfn.XLOOKUP($C555,Phone_by_Sentiment!$B$2:$B$37,Phone_by_Sentiment!K$2:K$37,"",0,1)),_xlfn.XLOOKUP($C555,Phone_by_Sentiment!$B$2:$B$37,Phone_by_Sentiment!K$2:K$37,"",0,1),0),$A555-TEXT(DATEVALUE($D555&amp;"-01"), "dd-mm-yyyy")),0),0)</f>
        <v>1056</v>
      </c>
      <c r="L555" cm="1">
        <f t="array" ref="L555">IF($Q555&gt;=0,IFERROR(generateSalesData($D555, IF(ISNUMBER(_xlfn.XLOOKUP($C555,Phone_by_Sentiment!$B$2:$B$37,Phone_by_Sentiment!L$2:L$37,"",0,1)),_xlfn.XLOOKUP($C555,Phone_by_Sentiment!$B$2:$B$37,Phone_by_Sentiment!L$2:L$37,"",0,1),0),$A555-TEXT(DATEVALUE($D555&amp;"-01"), "dd-mm-yyyy")),0),0)</f>
        <v>395</v>
      </c>
      <c r="M555" cm="1">
        <f t="array" ref="M555">IF($Q555&gt;=0,IFERROR(generateSalesData($D555, IF(ISNUMBER(_xlfn.XLOOKUP($C555,Phone_by_Sentiment!$B$2:$B$37,Phone_by_Sentiment!M$2:M$37,"",0,1)),_xlfn.XLOOKUP($C555,Phone_by_Sentiment!$B$2:$B$37,Phone_by_Sentiment!M$2:M$37,"",0,1),0),$A555-TEXT(DATEVALUE($D555&amp;"-01"), "dd-mm-yyyy")),0),0)</f>
        <v>713</v>
      </c>
      <c r="N555" cm="1">
        <f t="array" ref="N555">IF($Q555&gt;=0,IFERROR(generateSalesData($D555, IF(ISNUMBER(_xlfn.XLOOKUP($C555,Phone_by_Sentiment!$B$2:$B$37,Phone_by_Sentiment!N$2:N$37,"",0,1)),_xlfn.XLOOKUP($C555,Phone_by_Sentiment!$B$2:$B$37,Phone_by_Sentiment!N$2:N$37,"",0,1),0),$A555-TEXT(DATEVALUE($D555&amp;"-01"), "dd-mm-yyyy")),0),0)</f>
        <v>183</v>
      </c>
      <c r="O555" cm="1">
        <f t="array" ref="O555">IF($Q555&gt;=0,IFERROR(generateSalesData($D555, IF(ISNUMBER(_xlfn.XLOOKUP($C555,Phone_by_Sentiment!$B$2:$B$37,Phone_by_Sentiment!O$2:O$37,"",0,1)),_xlfn.XLOOKUP($C555,Phone_by_Sentiment!$B$2:$B$37,Phone_by_Sentiment!O$2:O$37,"",0,1),0),$A555-TEXT(DATEVALUE($D555&amp;"-01"), "dd-mm-yyyy")),0),0)</f>
        <v>626</v>
      </c>
      <c r="P555" s="1">
        <f t="shared" si="22"/>
        <v>43678</v>
      </c>
      <c r="Q555">
        <f t="shared" si="23"/>
        <v>244</v>
      </c>
    </row>
    <row r="556" spans="1:17" x14ac:dyDescent="0.25">
      <c r="A556" s="1">
        <f t="shared" si="21"/>
        <v>43922</v>
      </c>
      <c r="B556" t="s">
        <v>167</v>
      </c>
      <c r="C556" t="str">
        <f>_xlfn.XLOOKUP(B556,Phone_by_Price!$A$2:$A$34,Phone_by_Price!$B$2:$B$34,"-",0,1)</f>
        <v>Realme C21</v>
      </c>
      <c r="D556" t="str">
        <f>_xlfn.XLOOKUP(C556,Phone_by_Sentiment!$B$2:$B$37,Phone_by_Sentiment!$A$2:$A$37,"-",0,1)</f>
        <v>2021-04</v>
      </c>
      <c r="E556" cm="1">
        <f t="array" ref="E556">IF($Q556&gt;=0,IFERROR(generateSalesData($D556, IF(ISNUMBER(_xlfn.XLOOKUP($C556,Phone_by_Sentiment!$B$2:$B$37,Phone_by_Sentiment!E$2:E$37,"",0,1)),_xlfn.XLOOKUP($C556,Phone_by_Sentiment!$B$2:$B$37,Phone_by_Sentiment!E$2:E$37,"",0,1),0),$A556-TEXT(DATEVALUE($D556&amp;"-01"), "dd-mm-yyyy")),0),0)</f>
        <v>0</v>
      </c>
      <c r="F556" cm="1">
        <f t="array" ref="F556">IF($Q556&gt;=0,IFERROR(generateSalesData($D556, IF(ISNUMBER(_xlfn.XLOOKUP($C556,Phone_by_Sentiment!$B$2:$B$37,Phone_by_Sentiment!F$2:F$37,"",0,1)),_xlfn.XLOOKUP($C556,Phone_by_Sentiment!$B$2:$B$37,Phone_by_Sentiment!F$2:F$37,"",0,1),0),$A556-TEXT(DATEVALUE($D556&amp;"-01"), "dd-mm-yyyy")),0),0)</f>
        <v>0</v>
      </c>
      <c r="G556" cm="1">
        <f t="array" ref="G556">IF($Q556&gt;=0,IFERROR(generateSalesData($D556, IF(ISNUMBER(_xlfn.XLOOKUP($C556,Phone_by_Sentiment!$B$2:$B$37,Phone_by_Sentiment!G$2:G$37,"",0,1)),_xlfn.XLOOKUP($C556,Phone_by_Sentiment!$B$2:$B$37,Phone_by_Sentiment!G$2:G$37,"",0,1),0),$A556-TEXT(DATEVALUE($D556&amp;"-01"), "dd-mm-yyyy")),0),0)</f>
        <v>0</v>
      </c>
      <c r="H556" cm="1">
        <f t="array" ref="H556">IF($Q556&gt;=0,IFERROR(generateSalesData($D556, IF(ISNUMBER(_xlfn.XLOOKUP($C556,Phone_by_Sentiment!$B$2:$B$37,Phone_by_Sentiment!H$2:H$37,"",0,1)),_xlfn.XLOOKUP($C556,Phone_by_Sentiment!$B$2:$B$37,Phone_by_Sentiment!H$2:H$37,"",0,1),0),$A556-TEXT(DATEVALUE($D556&amp;"-01"), "dd-mm-yyyy")),0),0)</f>
        <v>0</v>
      </c>
      <c r="I556" cm="1">
        <f t="array" ref="I556">IF($Q556&gt;=0,IFERROR(generateSalesData($D556, IF(ISNUMBER(_xlfn.XLOOKUP($C556,Phone_by_Sentiment!$B$2:$B$37,Phone_by_Sentiment!I$2:I$37,"",0,1)),_xlfn.XLOOKUP($C556,Phone_by_Sentiment!$B$2:$B$37,Phone_by_Sentiment!I$2:I$37,"",0,1),0),$A556-TEXT(DATEVALUE($D556&amp;"-01"), "dd-mm-yyyy")),0),0)</f>
        <v>0</v>
      </c>
      <c r="J556" cm="1">
        <f t="array" ref="J556">IF($Q556&gt;=0,IFERROR(generateSalesData($D556, IF(ISNUMBER(_xlfn.XLOOKUP($C556,Phone_by_Sentiment!$B$2:$B$37,Phone_by_Sentiment!J$2:J$37,"",0,1)),_xlfn.XLOOKUP($C556,Phone_by_Sentiment!$B$2:$B$37,Phone_by_Sentiment!J$2:J$37,"",0,1),0),$A556-TEXT(DATEVALUE($D556&amp;"-01"), "dd-mm-yyyy")),0),0)</f>
        <v>0</v>
      </c>
      <c r="K556" cm="1">
        <f t="array" ref="K556">IF($Q556&gt;=0,IFERROR(generateSalesData($D556, IF(ISNUMBER(_xlfn.XLOOKUP($C556,Phone_by_Sentiment!$B$2:$B$37,Phone_by_Sentiment!K$2:K$37,"",0,1)),_xlfn.XLOOKUP($C556,Phone_by_Sentiment!$B$2:$B$37,Phone_by_Sentiment!K$2:K$37,"",0,1),0),$A556-TEXT(DATEVALUE($D556&amp;"-01"), "dd-mm-yyyy")),0),0)</f>
        <v>0</v>
      </c>
      <c r="L556" cm="1">
        <f t="array" ref="L556">IF($Q556&gt;=0,IFERROR(generateSalesData($D556, IF(ISNUMBER(_xlfn.XLOOKUP($C556,Phone_by_Sentiment!$B$2:$B$37,Phone_by_Sentiment!L$2:L$37,"",0,1)),_xlfn.XLOOKUP($C556,Phone_by_Sentiment!$B$2:$B$37,Phone_by_Sentiment!L$2:L$37,"",0,1),0),$A556-TEXT(DATEVALUE($D556&amp;"-01"), "dd-mm-yyyy")),0),0)</f>
        <v>0</v>
      </c>
      <c r="M556" cm="1">
        <f t="array" ref="M556">IF($Q556&gt;=0,IFERROR(generateSalesData($D556, IF(ISNUMBER(_xlfn.XLOOKUP($C556,Phone_by_Sentiment!$B$2:$B$37,Phone_by_Sentiment!M$2:M$37,"",0,1)),_xlfn.XLOOKUP($C556,Phone_by_Sentiment!$B$2:$B$37,Phone_by_Sentiment!M$2:M$37,"",0,1),0),$A556-TEXT(DATEVALUE($D556&amp;"-01"), "dd-mm-yyyy")),0),0)</f>
        <v>0</v>
      </c>
      <c r="N556" cm="1">
        <f t="array" ref="N556">IF($Q556&gt;=0,IFERROR(generateSalesData($D556, IF(ISNUMBER(_xlfn.XLOOKUP($C556,Phone_by_Sentiment!$B$2:$B$37,Phone_by_Sentiment!N$2:N$37,"",0,1)),_xlfn.XLOOKUP($C556,Phone_by_Sentiment!$B$2:$B$37,Phone_by_Sentiment!N$2:N$37,"",0,1),0),$A556-TEXT(DATEVALUE($D556&amp;"-01"), "dd-mm-yyyy")),0),0)</f>
        <v>0</v>
      </c>
      <c r="O556" cm="1">
        <f t="array" ref="O556">IF($Q556&gt;=0,IFERROR(generateSalesData($D556, IF(ISNUMBER(_xlfn.XLOOKUP($C556,Phone_by_Sentiment!$B$2:$B$37,Phone_by_Sentiment!O$2:O$37,"",0,1)),_xlfn.XLOOKUP($C556,Phone_by_Sentiment!$B$2:$B$37,Phone_by_Sentiment!O$2:O$37,"",0,1),0),$A556-TEXT(DATEVALUE($D556&amp;"-01"), "dd-mm-yyyy")),0),0)</f>
        <v>0</v>
      </c>
      <c r="P556" s="1">
        <f t="shared" si="22"/>
        <v>44287</v>
      </c>
      <c r="Q556">
        <f t="shared" si="23"/>
        <v>-365</v>
      </c>
    </row>
    <row r="557" spans="1:17" x14ac:dyDescent="0.25">
      <c r="A557" s="1">
        <f t="shared" si="21"/>
        <v>43922</v>
      </c>
      <c r="B557" t="s">
        <v>168</v>
      </c>
      <c r="C557" t="str">
        <f>_xlfn.XLOOKUP(B557,Phone_by_Price!$A$2:$A$34,Phone_by_Price!$B$2:$B$34,"-",0,1)</f>
        <v>Google Pixel 4</v>
      </c>
      <c r="D557" t="str">
        <f>_xlfn.XLOOKUP(C557,Phone_by_Sentiment!$B$2:$B$37,Phone_by_Sentiment!$A$2:$A$37,"-",0,1)</f>
        <v>2019-09</v>
      </c>
      <c r="E557" cm="1">
        <f t="array" ref="E557">IF($Q557&gt;=0,IFERROR(generateSalesData($D557, IF(ISNUMBER(_xlfn.XLOOKUP($C557,Phone_by_Sentiment!$B$2:$B$37,Phone_by_Sentiment!E$2:E$37,"",0,1)),_xlfn.XLOOKUP($C557,Phone_by_Sentiment!$B$2:$B$37,Phone_by_Sentiment!E$2:E$37,"",0,1),0),$A557-TEXT(DATEVALUE($D557&amp;"-01"), "dd-mm-yyyy")),0),0)</f>
        <v>1061</v>
      </c>
      <c r="F557" cm="1">
        <f t="array" ref="F557">IF($Q557&gt;=0,IFERROR(generateSalesData($D557, IF(ISNUMBER(_xlfn.XLOOKUP($C557,Phone_by_Sentiment!$B$2:$B$37,Phone_by_Sentiment!F$2:F$37,"",0,1)),_xlfn.XLOOKUP($C557,Phone_by_Sentiment!$B$2:$B$37,Phone_by_Sentiment!F$2:F$37,"",0,1),0),$A557-TEXT(DATEVALUE($D557&amp;"-01"), "dd-mm-yyyy")),0),0)</f>
        <v>118</v>
      </c>
      <c r="G557" cm="1">
        <f t="array" ref="G557">IF($Q557&gt;=0,IFERROR(generateSalesData($D557, IF(ISNUMBER(_xlfn.XLOOKUP($C557,Phone_by_Sentiment!$B$2:$B$37,Phone_by_Sentiment!G$2:G$37,"",0,1)),_xlfn.XLOOKUP($C557,Phone_by_Sentiment!$B$2:$B$37,Phone_by_Sentiment!G$2:G$37,"",0,1),0),$A557-TEXT(DATEVALUE($D557&amp;"-01"), "dd-mm-yyyy")),0),0)</f>
        <v>242</v>
      </c>
      <c r="H557" cm="1">
        <f t="array" ref="H557">IF($Q557&gt;=0,IFERROR(generateSalesData($D557, IF(ISNUMBER(_xlfn.XLOOKUP($C557,Phone_by_Sentiment!$B$2:$B$37,Phone_by_Sentiment!H$2:H$37,"",0,1)),_xlfn.XLOOKUP($C557,Phone_by_Sentiment!$B$2:$B$37,Phone_by_Sentiment!H$2:H$37,"",0,1),0),$A557-TEXT(DATEVALUE($D557&amp;"-01"), "dd-mm-yyyy")),0),0)</f>
        <v>528</v>
      </c>
      <c r="I557" cm="1">
        <f t="array" ref="I557">IF($Q557&gt;=0,IFERROR(generateSalesData($D557, IF(ISNUMBER(_xlfn.XLOOKUP($C557,Phone_by_Sentiment!$B$2:$B$37,Phone_by_Sentiment!I$2:I$37,"",0,1)),_xlfn.XLOOKUP($C557,Phone_by_Sentiment!$B$2:$B$37,Phone_by_Sentiment!I$2:I$37,"",0,1),0),$A557-TEXT(DATEVALUE($D557&amp;"-01"), "dd-mm-yyyy")),0),0)</f>
        <v>257</v>
      </c>
      <c r="J557" cm="1">
        <f t="array" ref="J557">IF($Q557&gt;=0,IFERROR(generateSalesData($D557, IF(ISNUMBER(_xlfn.XLOOKUP($C557,Phone_by_Sentiment!$B$2:$B$37,Phone_by_Sentiment!J$2:J$37,"",0,1)),_xlfn.XLOOKUP($C557,Phone_by_Sentiment!$B$2:$B$37,Phone_by_Sentiment!J$2:J$37,"",0,1),0),$A557-TEXT(DATEVALUE($D557&amp;"-01"), "dd-mm-yyyy")),0),0)</f>
        <v>288</v>
      </c>
      <c r="K557" cm="1">
        <f t="array" ref="K557">IF($Q557&gt;=0,IFERROR(generateSalesData($D557, IF(ISNUMBER(_xlfn.XLOOKUP($C557,Phone_by_Sentiment!$B$2:$B$37,Phone_by_Sentiment!K$2:K$37,"",0,1)),_xlfn.XLOOKUP($C557,Phone_by_Sentiment!$B$2:$B$37,Phone_by_Sentiment!K$2:K$37,"",0,1),0),$A557-TEXT(DATEVALUE($D557&amp;"-01"), "dd-mm-yyyy")),0),0)</f>
        <v>281</v>
      </c>
      <c r="L557" cm="1">
        <f t="array" ref="L557">IF($Q557&gt;=0,IFERROR(generateSalesData($D557, IF(ISNUMBER(_xlfn.XLOOKUP($C557,Phone_by_Sentiment!$B$2:$B$37,Phone_by_Sentiment!L$2:L$37,"",0,1)),_xlfn.XLOOKUP($C557,Phone_by_Sentiment!$B$2:$B$37,Phone_by_Sentiment!L$2:L$37,"",0,1),0),$A557-TEXT(DATEVALUE($D557&amp;"-01"), "dd-mm-yyyy")),0),0)</f>
        <v>-165</v>
      </c>
      <c r="M557" cm="1">
        <f t="array" ref="M557">IF($Q557&gt;=0,IFERROR(generateSalesData($D557, IF(ISNUMBER(_xlfn.XLOOKUP($C557,Phone_by_Sentiment!$B$2:$B$37,Phone_by_Sentiment!M$2:M$37,"",0,1)),_xlfn.XLOOKUP($C557,Phone_by_Sentiment!$B$2:$B$37,Phone_by_Sentiment!M$2:M$37,"",0,1),0),$A557-TEXT(DATEVALUE($D557&amp;"-01"), "dd-mm-yyyy")),0),0)</f>
        <v>43</v>
      </c>
      <c r="N557" cm="1">
        <f t="array" ref="N557">IF($Q557&gt;=0,IFERROR(generateSalesData($D557, IF(ISNUMBER(_xlfn.XLOOKUP($C557,Phone_by_Sentiment!$B$2:$B$37,Phone_by_Sentiment!N$2:N$37,"",0,1)),_xlfn.XLOOKUP($C557,Phone_by_Sentiment!$B$2:$B$37,Phone_by_Sentiment!N$2:N$37,"",0,1),0),$A557-TEXT(DATEVALUE($D557&amp;"-01"), "dd-mm-yyyy")),0),0)</f>
        <v>1564</v>
      </c>
      <c r="O557" cm="1">
        <f t="array" ref="O557">IF($Q557&gt;=0,IFERROR(generateSalesData($D557, IF(ISNUMBER(_xlfn.XLOOKUP($C557,Phone_by_Sentiment!$B$2:$B$37,Phone_by_Sentiment!O$2:O$37,"",0,1)),_xlfn.XLOOKUP($C557,Phone_by_Sentiment!$B$2:$B$37,Phone_by_Sentiment!O$2:O$37,"",0,1),0),$A557-TEXT(DATEVALUE($D557&amp;"-01"), "dd-mm-yyyy")),0),0)</f>
        <v>321</v>
      </c>
      <c r="P557" s="1">
        <f t="shared" si="22"/>
        <v>43709</v>
      </c>
      <c r="Q557">
        <f t="shared" si="23"/>
        <v>213</v>
      </c>
    </row>
    <row r="558" spans="1:17" x14ac:dyDescent="0.25">
      <c r="A558" s="1">
        <f t="shared" si="21"/>
        <v>43922</v>
      </c>
      <c r="B558" t="s">
        <v>169</v>
      </c>
      <c r="C558" t="str">
        <f>_xlfn.XLOOKUP(B558,Phone_by_Price!$A$2:$A$34,Phone_by_Price!$B$2:$B$34,"-",0,1)</f>
        <v>Samsung Galaxy A10s</v>
      </c>
      <c r="D558" t="str">
        <f>_xlfn.XLOOKUP(C558,Phone_by_Sentiment!$B$2:$B$37,Phone_by_Sentiment!$A$2:$A$37,"-",0,1)</f>
        <v>2019-08</v>
      </c>
      <c r="E558" cm="1">
        <f t="array" ref="E558">IF($Q558&gt;=0,IFERROR(generateSalesData($D558, IF(ISNUMBER(_xlfn.XLOOKUP($C558,Phone_by_Sentiment!$B$2:$B$37,Phone_by_Sentiment!E$2:E$37,"",0,1)),_xlfn.XLOOKUP($C558,Phone_by_Sentiment!$B$2:$B$37,Phone_by_Sentiment!E$2:E$37,"",0,1),0),$A558-TEXT(DATEVALUE($D558&amp;"-01"), "dd-mm-yyyy")),0),0)</f>
        <v>582</v>
      </c>
      <c r="F558" cm="1">
        <f t="array" ref="F558">IF($Q558&gt;=0,IFERROR(generateSalesData($D558, IF(ISNUMBER(_xlfn.XLOOKUP($C558,Phone_by_Sentiment!$B$2:$B$37,Phone_by_Sentiment!F$2:F$37,"",0,1)),_xlfn.XLOOKUP($C558,Phone_by_Sentiment!$B$2:$B$37,Phone_by_Sentiment!F$2:F$37,"",0,1),0),$A558-TEXT(DATEVALUE($D558&amp;"-01"), "dd-mm-yyyy")),0),0)</f>
        <v>345</v>
      </c>
      <c r="G558" cm="1">
        <f t="array" ref="G558">IF($Q558&gt;=0,IFERROR(generateSalesData($D558, IF(ISNUMBER(_xlfn.XLOOKUP($C558,Phone_by_Sentiment!$B$2:$B$37,Phone_by_Sentiment!G$2:G$37,"",0,1)),_xlfn.XLOOKUP($C558,Phone_by_Sentiment!$B$2:$B$37,Phone_by_Sentiment!G$2:G$37,"",0,1),0),$A558-TEXT(DATEVALUE($D558&amp;"-01"), "dd-mm-yyyy")),0),0)</f>
        <v>236</v>
      </c>
      <c r="H558" cm="1">
        <f t="array" ref="H558">IF($Q558&gt;=0,IFERROR(generateSalesData($D558, IF(ISNUMBER(_xlfn.XLOOKUP($C558,Phone_by_Sentiment!$B$2:$B$37,Phone_by_Sentiment!H$2:H$37,"",0,1)),_xlfn.XLOOKUP($C558,Phone_by_Sentiment!$B$2:$B$37,Phone_by_Sentiment!H$2:H$37,"",0,1),0),$A558-TEXT(DATEVALUE($D558&amp;"-01"), "dd-mm-yyyy")),0),0)</f>
        <v>-7</v>
      </c>
      <c r="I558" cm="1">
        <f t="array" ref="I558">IF($Q558&gt;=0,IFERROR(generateSalesData($D558, IF(ISNUMBER(_xlfn.XLOOKUP($C558,Phone_by_Sentiment!$B$2:$B$37,Phone_by_Sentiment!I$2:I$37,"",0,1)),_xlfn.XLOOKUP($C558,Phone_by_Sentiment!$B$2:$B$37,Phone_by_Sentiment!I$2:I$37,"",0,1),0),$A558-TEXT(DATEVALUE($D558&amp;"-01"), "dd-mm-yyyy")),0),0)</f>
        <v>872</v>
      </c>
      <c r="J558" cm="1">
        <f t="array" ref="J558">IF($Q558&gt;=0,IFERROR(generateSalesData($D558, IF(ISNUMBER(_xlfn.XLOOKUP($C558,Phone_by_Sentiment!$B$2:$B$37,Phone_by_Sentiment!J$2:J$37,"",0,1)),_xlfn.XLOOKUP($C558,Phone_by_Sentiment!$B$2:$B$37,Phone_by_Sentiment!J$2:J$37,"",0,1),0),$A558-TEXT(DATEVALUE($D558&amp;"-01"), "dd-mm-yyyy")),0),0)</f>
        <v>346</v>
      </c>
      <c r="K558" cm="1">
        <f t="array" ref="K558">IF($Q558&gt;=0,IFERROR(generateSalesData($D558, IF(ISNUMBER(_xlfn.XLOOKUP($C558,Phone_by_Sentiment!$B$2:$B$37,Phone_by_Sentiment!K$2:K$37,"",0,1)),_xlfn.XLOOKUP($C558,Phone_by_Sentiment!$B$2:$B$37,Phone_by_Sentiment!K$2:K$37,"",0,1),0),$A558-TEXT(DATEVALUE($D558&amp;"-01"), "dd-mm-yyyy")),0),0)</f>
        <v>-132</v>
      </c>
      <c r="L558" cm="1">
        <f t="array" ref="L558">IF($Q558&gt;=0,IFERROR(generateSalesData($D558, IF(ISNUMBER(_xlfn.XLOOKUP($C558,Phone_by_Sentiment!$B$2:$B$37,Phone_by_Sentiment!L$2:L$37,"",0,1)),_xlfn.XLOOKUP($C558,Phone_by_Sentiment!$B$2:$B$37,Phone_by_Sentiment!L$2:L$37,"",0,1),0),$A558-TEXT(DATEVALUE($D558&amp;"-01"), "dd-mm-yyyy")),0),0)</f>
        <v>247</v>
      </c>
      <c r="M558" cm="1">
        <f t="array" ref="M558">IF($Q558&gt;=0,IFERROR(generateSalesData($D558, IF(ISNUMBER(_xlfn.XLOOKUP($C558,Phone_by_Sentiment!$B$2:$B$37,Phone_by_Sentiment!M$2:M$37,"",0,1)),_xlfn.XLOOKUP($C558,Phone_by_Sentiment!$B$2:$B$37,Phone_by_Sentiment!M$2:M$37,"",0,1),0),$A558-TEXT(DATEVALUE($D558&amp;"-01"), "dd-mm-yyyy")),0),0)</f>
        <v>688</v>
      </c>
      <c r="N558" cm="1">
        <f t="array" ref="N558">IF($Q558&gt;=0,IFERROR(generateSalesData($D558, IF(ISNUMBER(_xlfn.XLOOKUP($C558,Phone_by_Sentiment!$B$2:$B$37,Phone_by_Sentiment!N$2:N$37,"",0,1)),_xlfn.XLOOKUP($C558,Phone_by_Sentiment!$B$2:$B$37,Phone_by_Sentiment!N$2:N$37,"",0,1),0),$A558-TEXT(DATEVALUE($D558&amp;"-01"), "dd-mm-yyyy")),0),0)</f>
        <v>201</v>
      </c>
      <c r="O558" cm="1">
        <f t="array" ref="O558">IF($Q558&gt;=0,IFERROR(generateSalesData($D558, IF(ISNUMBER(_xlfn.XLOOKUP($C558,Phone_by_Sentiment!$B$2:$B$37,Phone_by_Sentiment!O$2:O$37,"",0,1)),_xlfn.XLOOKUP($C558,Phone_by_Sentiment!$B$2:$B$37,Phone_by_Sentiment!O$2:O$37,"",0,1),0),$A558-TEXT(DATEVALUE($D558&amp;"-01"), "dd-mm-yyyy")),0),0)</f>
        <v>1211</v>
      </c>
      <c r="P558" s="1">
        <f t="shared" si="22"/>
        <v>43678</v>
      </c>
      <c r="Q558">
        <f t="shared" si="23"/>
        <v>244</v>
      </c>
    </row>
    <row r="559" spans="1:17" x14ac:dyDescent="0.25">
      <c r="A559" s="1">
        <f t="shared" si="21"/>
        <v>43922</v>
      </c>
      <c r="B559" t="s">
        <v>170</v>
      </c>
      <c r="C559" t="str">
        <f>_xlfn.XLOOKUP(B559,Phone_by_Price!$A$2:$A$34,Phone_by_Price!$B$2:$B$34,"-",0,1)</f>
        <v>Realme Narzo 30A</v>
      </c>
      <c r="D559" t="str">
        <f>_xlfn.XLOOKUP(C559,Phone_by_Sentiment!$B$2:$B$37,Phone_by_Sentiment!$A$2:$A$37,"-",0,1)</f>
        <v>2021-02</v>
      </c>
      <c r="E559" cm="1">
        <f t="array" ref="E559">IF($Q559&gt;=0,IFERROR(generateSalesData($D559, IF(ISNUMBER(_xlfn.XLOOKUP($C559,Phone_by_Sentiment!$B$2:$B$37,Phone_by_Sentiment!E$2:E$37,"",0,1)),_xlfn.XLOOKUP($C559,Phone_by_Sentiment!$B$2:$B$37,Phone_by_Sentiment!E$2:E$37,"",0,1),0),$A559-TEXT(DATEVALUE($D559&amp;"-01"), "dd-mm-yyyy")),0),0)</f>
        <v>0</v>
      </c>
      <c r="F559" cm="1">
        <f t="array" ref="F559">IF($Q559&gt;=0,IFERROR(generateSalesData($D559, IF(ISNUMBER(_xlfn.XLOOKUP($C559,Phone_by_Sentiment!$B$2:$B$37,Phone_by_Sentiment!F$2:F$37,"",0,1)),_xlfn.XLOOKUP($C559,Phone_by_Sentiment!$B$2:$B$37,Phone_by_Sentiment!F$2:F$37,"",0,1),0),$A559-TEXT(DATEVALUE($D559&amp;"-01"), "dd-mm-yyyy")),0),0)</f>
        <v>0</v>
      </c>
      <c r="G559" cm="1">
        <f t="array" ref="G559">IF($Q559&gt;=0,IFERROR(generateSalesData($D559, IF(ISNUMBER(_xlfn.XLOOKUP($C559,Phone_by_Sentiment!$B$2:$B$37,Phone_by_Sentiment!G$2:G$37,"",0,1)),_xlfn.XLOOKUP($C559,Phone_by_Sentiment!$B$2:$B$37,Phone_by_Sentiment!G$2:G$37,"",0,1),0),$A559-TEXT(DATEVALUE($D559&amp;"-01"), "dd-mm-yyyy")),0),0)</f>
        <v>0</v>
      </c>
      <c r="H559" cm="1">
        <f t="array" ref="H559">IF($Q559&gt;=0,IFERROR(generateSalesData($D559, IF(ISNUMBER(_xlfn.XLOOKUP($C559,Phone_by_Sentiment!$B$2:$B$37,Phone_by_Sentiment!H$2:H$37,"",0,1)),_xlfn.XLOOKUP($C559,Phone_by_Sentiment!$B$2:$B$37,Phone_by_Sentiment!H$2:H$37,"",0,1),0),$A559-TEXT(DATEVALUE($D559&amp;"-01"), "dd-mm-yyyy")),0),0)</f>
        <v>0</v>
      </c>
      <c r="I559" cm="1">
        <f t="array" ref="I559">IF($Q559&gt;=0,IFERROR(generateSalesData($D559, IF(ISNUMBER(_xlfn.XLOOKUP($C559,Phone_by_Sentiment!$B$2:$B$37,Phone_by_Sentiment!I$2:I$37,"",0,1)),_xlfn.XLOOKUP($C559,Phone_by_Sentiment!$B$2:$B$37,Phone_by_Sentiment!I$2:I$37,"",0,1),0),$A559-TEXT(DATEVALUE($D559&amp;"-01"), "dd-mm-yyyy")),0),0)</f>
        <v>0</v>
      </c>
      <c r="J559" cm="1">
        <f t="array" ref="J559">IF($Q559&gt;=0,IFERROR(generateSalesData($D559, IF(ISNUMBER(_xlfn.XLOOKUP($C559,Phone_by_Sentiment!$B$2:$B$37,Phone_by_Sentiment!J$2:J$37,"",0,1)),_xlfn.XLOOKUP($C559,Phone_by_Sentiment!$B$2:$B$37,Phone_by_Sentiment!J$2:J$37,"",0,1),0),$A559-TEXT(DATEVALUE($D559&amp;"-01"), "dd-mm-yyyy")),0),0)</f>
        <v>0</v>
      </c>
      <c r="K559" cm="1">
        <f t="array" ref="K559">IF($Q559&gt;=0,IFERROR(generateSalesData($D559, IF(ISNUMBER(_xlfn.XLOOKUP($C559,Phone_by_Sentiment!$B$2:$B$37,Phone_by_Sentiment!K$2:K$37,"",0,1)),_xlfn.XLOOKUP($C559,Phone_by_Sentiment!$B$2:$B$37,Phone_by_Sentiment!K$2:K$37,"",0,1),0),$A559-TEXT(DATEVALUE($D559&amp;"-01"), "dd-mm-yyyy")),0),0)</f>
        <v>0</v>
      </c>
      <c r="L559" cm="1">
        <f t="array" ref="L559">IF($Q559&gt;=0,IFERROR(generateSalesData($D559, IF(ISNUMBER(_xlfn.XLOOKUP($C559,Phone_by_Sentiment!$B$2:$B$37,Phone_by_Sentiment!L$2:L$37,"",0,1)),_xlfn.XLOOKUP($C559,Phone_by_Sentiment!$B$2:$B$37,Phone_by_Sentiment!L$2:L$37,"",0,1),0),$A559-TEXT(DATEVALUE($D559&amp;"-01"), "dd-mm-yyyy")),0),0)</f>
        <v>0</v>
      </c>
      <c r="M559" cm="1">
        <f t="array" ref="M559">IF($Q559&gt;=0,IFERROR(generateSalesData($D559, IF(ISNUMBER(_xlfn.XLOOKUP($C559,Phone_by_Sentiment!$B$2:$B$37,Phone_by_Sentiment!M$2:M$37,"",0,1)),_xlfn.XLOOKUP($C559,Phone_by_Sentiment!$B$2:$B$37,Phone_by_Sentiment!M$2:M$37,"",0,1),0),$A559-TEXT(DATEVALUE($D559&amp;"-01"), "dd-mm-yyyy")),0),0)</f>
        <v>0</v>
      </c>
      <c r="N559" cm="1">
        <f t="array" ref="N559">IF($Q559&gt;=0,IFERROR(generateSalesData($D559, IF(ISNUMBER(_xlfn.XLOOKUP($C559,Phone_by_Sentiment!$B$2:$B$37,Phone_by_Sentiment!N$2:N$37,"",0,1)),_xlfn.XLOOKUP($C559,Phone_by_Sentiment!$B$2:$B$37,Phone_by_Sentiment!N$2:N$37,"",0,1),0),$A559-TEXT(DATEVALUE($D559&amp;"-01"), "dd-mm-yyyy")),0),0)</f>
        <v>0</v>
      </c>
      <c r="O559" cm="1">
        <f t="array" ref="O559">IF($Q559&gt;=0,IFERROR(generateSalesData($D559, IF(ISNUMBER(_xlfn.XLOOKUP($C559,Phone_by_Sentiment!$B$2:$B$37,Phone_by_Sentiment!O$2:O$37,"",0,1)),_xlfn.XLOOKUP($C559,Phone_by_Sentiment!$B$2:$B$37,Phone_by_Sentiment!O$2:O$37,"",0,1),0),$A559-TEXT(DATEVALUE($D559&amp;"-01"), "dd-mm-yyyy")),0),0)</f>
        <v>0</v>
      </c>
      <c r="P559" s="1">
        <f t="shared" si="22"/>
        <v>44228</v>
      </c>
      <c r="Q559">
        <f t="shared" si="23"/>
        <v>-306</v>
      </c>
    </row>
    <row r="560" spans="1:17" x14ac:dyDescent="0.25">
      <c r="A560" s="1">
        <f t="shared" si="21"/>
        <v>43922</v>
      </c>
      <c r="B560" t="s">
        <v>171</v>
      </c>
      <c r="C560" t="str">
        <f>_xlfn.XLOOKUP(B560,Phone_by_Price!$A$2:$A$34,Phone_by_Price!$B$2:$B$34,"-",0,1)</f>
        <v>Samsung Galaxy A22 5G</v>
      </c>
      <c r="D560" t="str">
        <f>_xlfn.XLOOKUP(C560,Phone_by_Sentiment!$B$2:$B$37,Phone_by_Sentiment!$A$2:$A$37,"-",0,1)</f>
        <v>2021-05</v>
      </c>
      <c r="E560" cm="1">
        <f t="array" ref="E560">IF($Q560&gt;=0,IFERROR(generateSalesData($D560, IF(ISNUMBER(_xlfn.XLOOKUP($C560,Phone_by_Sentiment!$B$2:$B$37,Phone_by_Sentiment!E$2:E$37,"",0,1)),_xlfn.XLOOKUP($C560,Phone_by_Sentiment!$B$2:$B$37,Phone_by_Sentiment!E$2:E$37,"",0,1),0),$A560-TEXT(DATEVALUE($D560&amp;"-01"), "dd-mm-yyyy")),0),0)</f>
        <v>0</v>
      </c>
      <c r="F560" cm="1">
        <f t="array" ref="F560">IF($Q560&gt;=0,IFERROR(generateSalesData($D560, IF(ISNUMBER(_xlfn.XLOOKUP($C560,Phone_by_Sentiment!$B$2:$B$37,Phone_by_Sentiment!F$2:F$37,"",0,1)),_xlfn.XLOOKUP($C560,Phone_by_Sentiment!$B$2:$B$37,Phone_by_Sentiment!F$2:F$37,"",0,1),0),$A560-TEXT(DATEVALUE($D560&amp;"-01"), "dd-mm-yyyy")),0),0)</f>
        <v>0</v>
      </c>
      <c r="G560" cm="1">
        <f t="array" ref="G560">IF($Q560&gt;=0,IFERROR(generateSalesData($D560, IF(ISNUMBER(_xlfn.XLOOKUP($C560,Phone_by_Sentiment!$B$2:$B$37,Phone_by_Sentiment!G$2:G$37,"",0,1)),_xlfn.XLOOKUP($C560,Phone_by_Sentiment!$B$2:$B$37,Phone_by_Sentiment!G$2:G$37,"",0,1),0),$A560-TEXT(DATEVALUE($D560&amp;"-01"), "dd-mm-yyyy")),0),0)</f>
        <v>0</v>
      </c>
      <c r="H560" cm="1">
        <f t="array" ref="H560">IF($Q560&gt;=0,IFERROR(generateSalesData($D560, IF(ISNUMBER(_xlfn.XLOOKUP($C560,Phone_by_Sentiment!$B$2:$B$37,Phone_by_Sentiment!H$2:H$37,"",0,1)),_xlfn.XLOOKUP($C560,Phone_by_Sentiment!$B$2:$B$37,Phone_by_Sentiment!H$2:H$37,"",0,1),0),$A560-TEXT(DATEVALUE($D560&amp;"-01"), "dd-mm-yyyy")),0),0)</f>
        <v>0</v>
      </c>
      <c r="I560" cm="1">
        <f t="array" ref="I560">IF($Q560&gt;=0,IFERROR(generateSalesData($D560, IF(ISNUMBER(_xlfn.XLOOKUP($C560,Phone_by_Sentiment!$B$2:$B$37,Phone_by_Sentiment!I$2:I$37,"",0,1)),_xlfn.XLOOKUP($C560,Phone_by_Sentiment!$B$2:$B$37,Phone_by_Sentiment!I$2:I$37,"",0,1),0),$A560-TEXT(DATEVALUE($D560&amp;"-01"), "dd-mm-yyyy")),0),0)</f>
        <v>0</v>
      </c>
      <c r="J560" cm="1">
        <f t="array" ref="J560">IF($Q560&gt;=0,IFERROR(generateSalesData($D560, IF(ISNUMBER(_xlfn.XLOOKUP($C560,Phone_by_Sentiment!$B$2:$B$37,Phone_by_Sentiment!J$2:J$37,"",0,1)),_xlfn.XLOOKUP($C560,Phone_by_Sentiment!$B$2:$B$37,Phone_by_Sentiment!J$2:J$37,"",0,1),0),$A560-TEXT(DATEVALUE($D560&amp;"-01"), "dd-mm-yyyy")),0),0)</f>
        <v>0</v>
      </c>
      <c r="K560" cm="1">
        <f t="array" ref="K560">IF($Q560&gt;=0,IFERROR(generateSalesData($D560, IF(ISNUMBER(_xlfn.XLOOKUP($C560,Phone_by_Sentiment!$B$2:$B$37,Phone_by_Sentiment!K$2:K$37,"",0,1)),_xlfn.XLOOKUP($C560,Phone_by_Sentiment!$B$2:$B$37,Phone_by_Sentiment!K$2:K$37,"",0,1),0),$A560-TEXT(DATEVALUE($D560&amp;"-01"), "dd-mm-yyyy")),0),0)</f>
        <v>0</v>
      </c>
      <c r="L560" cm="1">
        <f t="array" ref="L560">IF($Q560&gt;=0,IFERROR(generateSalesData($D560, IF(ISNUMBER(_xlfn.XLOOKUP($C560,Phone_by_Sentiment!$B$2:$B$37,Phone_by_Sentiment!L$2:L$37,"",0,1)),_xlfn.XLOOKUP($C560,Phone_by_Sentiment!$B$2:$B$37,Phone_by_Sentiment!L$2:L$37,"",0,1),0),$A560-TEXT(DATEVALUE($D560&amp;"-01"), "dd-mm-yyyy")),0),0)</f>
        <v>0</v>
      </c>
      <c r="M560" cm="1">
        <f t="array" ref="M560">IF($Q560&gt;=0,IFERROR(generateSalesData($D560, IF(ISNUMBER(_xlfn.XLOOKUP($C560,Phone_by_Sentiment!$B$2:$B$37,Phone_by_Sentiment!M$2:M$37,"",0,1)),_xlfn.XLOOKUP($C560,Phone_by_Sentiment!$B$2:$B$37,Phone_by_Sentiment!M$2:M$37,"",0,1),0),$A560-TEXT(DATEVALUE($D560&amp;"-01"), "dd-mm-yyyy")),0),0)</f>
        <v>0</v>
      </c>
      <c r="N560" cm="1">
        <f t="array" ref="N560">IF($Q560&gt;=0,IFERROR(generateSalesData($D560, IF(ISNUMBER(_xlfn.XLOOKUP($C560,Phone_by_Sentiment!$B$2:$B$37,Phone_by_Sentiment!N$2:N$37,"",0,1)),_xlfn.XLOOKUP($C560,Phone_by_Sentiment!$B$2:$B$37,Phone_by_Sentiment!N$2:N$37,"",0,1),0),$A560-TEXT(DATEVALUE($D560&amp;"-01"), "dd-mm-yyyy")),0),0)</f>
        <v>0</v>
      </c>
      <c r="O560" cm="1">
        <f t="array" ref="O560">IF($Q560&gt;=0,IFERROR(generateSalesData($D560, IF(ISNUMBER(_xlfn.XLOOKUP($C560,Phone_by_Sentiment!$B$2:$B$37,Phone_by_Sentiment!O$2:O$37,"",0,1)),_xlfn.XLOOKUP($C560,Phone_by_Sentiment!$B$2:$B$37,Phone_by_Sentiment!O$2:O$37,"",0,1),0),$A560-TEXT(DATEVALUE($D560&amp;"-01"), "dd-mm-yyyy")),0),0)</f>
        <v>0</v>
      </c>
      <c r="P560" s="1">
        <f t="shared" si="22"/>
        <v>44317</v>
      </c>
      <c r="Q560">
        <f t="shared" si="23"/>
        <v>-395</v>
      </c>
    </row>
    <row r="561" spans="1:17" x14ac:dyDescent="0.25">
      <c r="A561" s="1">
        <f t="shared" si="21"/>
        <v>43952</v>
      </c>
      <c r="B561" t="s">
        <v>172</v>
      </c>
      <c r="C561" t="str">
        <f>_xlfn.XLOOKUP(B561,Phone_by_Price!$A$2:$A$34,Phone_by_Price!$B$2:$B$34,"-",0,1)</f>
        <v>Xiaomi Redmi 9</v>
      </c>
      <c r="D561" t="str">
        <f>_xlfn.XLOOKUP(C561,Phone_by_Sentiment!$B$2:$B$37,Phone_by_Sentiment!$A$2:$A$37,"-",0,1)</f>
        <v>2020-08</v>
      </c>
      <c r="E561" cm="1">
        <f t="array" ref="E561">IF($Q561&gt;=0,IFERROR(generateSalesData($D561, IF(ISNUMBER(_xlfn.XLOOKUP($C561,Phone_by_Sentiment!$B$2:$B$37,Phone_by_Sentiment!E$2:E$37,"",0,1)),_xlfn.XLOOKUP($C561,Phone_by_Sentiment!$B$2:$B$37,Phone_by_Sentiment!E$2:E$37,"",0,1),0),$A561-TEXT(DATEVALUE($D561&amp;"-01"), "dd-mm-yyyy")),0),0)</f>
        <v>0</v>
      </c>
      <c r="F561" cm="1">
        <f t="array" ref="F561">IF($Q561&gt;=0,IFERROR(generateSalesData($D561, IF(ISNUMBER(_xlfn.XLOOKUP($C561,Phone_by_Sentiment!$B$2:$B$37,Phone_by_Sentiment!F$2:F$37,"",0,1)),_xlfn.XLOOKUP($C561,Phone_by_Sentiment!$B$2:$B$37,Phone_by_Sentiment!F$2:F$37,"",0,1),0),$A561-TEXT(DATEVALUE($D561&amp;"-01"), "dd-mm-yyyy")),0),0)</f>
        <v>0</v>
      </c>
      <c r="G561" cm="1">
        <f t="array" ref="G561">IF($Q561&gt;=0,IFERROR(generateSalesData($D561, IF(ISNUMBER(_xlfn.XLOOKUP($C561,Phone_by_Sentiment!$B$2:$B$37,Phone_by_Sentiment!G$2:G$37,"",0,1)),_xlfn.XLOOKUP($C561,Phone_by_Sentiment!$B$2:$B$37,Phone_by_Sentiment!G$2:G$37,"",0,1),0),$A561-TEXT(DATEVALUE($D561&amp;"-01"), "dd-mm-yyyy")),0),0)</f>
        <v>0</v>
      </c>
      <c r="H561" cm="1">
        <f t="array" ref="H561">IF($Q561&gt;=0,IFERROR(generateSalesData($D561, IF(ISNUMBER(_xlfn.XLOOKUP($C561,Phone_by_Sentiment!$B$2:$B$37,Phone_by_Sentiment!H$2:H$37,"",0,1)),_xlfn.XLOOKUP($C561,Phone_by_Sentiment!$B$2:$B$37,Phone_by_Sentiment!H$2:H$37,"",0,1),0),$A561-TEXT(DATEVALUE($D561&amp;"-01"), "dd-mm-yyyy")),0),0)</f>
        <v>0</v>
      </c>
      <c r="I561" cm="1">
        <f t="array" ref="I561">IF($Q561&gt;=0,IFERROR(generateSalesData($D561, IF(ISNUMBER(_xlfn.XLOOKUP($C561,Phone_by_Sentiment!$B$2:$B$37,Phone_by_Sentiment!I$2:I$37,"",0,1)),_xlfn.XLOOKUP($C561,Phone_by_Sentiment!$B$2:$B$37,Phone_by_Sentiment!I$2:I$37,"",0,1),0),$A561-TEXT(DATEVALUE($D561&amp;"-01"), "dd-mm-yyyy")),0),0)</f>
        <v>0</v>
      </c>
      <c r="J561" cm="1">
        <f t="array" ref="J561">IF($Q561&gt;=0,IFERROR(generateSalesData($D561, IF(ISNUMBER(_xlfn.XLOOKUP($C561,Phone_by_Sentiment!$B$2:$B$37,Phone_by_Sentiment!J$2:J$37,"",0,1)),_xlfn.XLOOKUP($C561,Phone_by_Sentiment!$B$2:$B$37,Phone_by_Sentiment!J$2:J$37,"",0,1),0),$A561-TEXT(DATEVALUE($D561&amp;"-01"), "dd-mm-yyyy")),0),0)</f>
        <v>0</v>
      </c>
      <c r="K561" cm="1">
        <f t="array" ref="K561">IF($Q561&gt;=0,IFERROR(generateSalesData($D561, IF(ISNUMBER(_xlfn.XLOOKUP($C561,Phone_by_Sentiment!$B$2:$B$37,Phone_by_Sentiment!K$2:K$37,"",0,1)),_xlfn.XLOOKUP($C561,Phone_by_Sentiment!$B$2:$B$37,Phone_by_Sentiment!K$2:K$37,"",0,1),0),$A561-TEXT(DATEVALUE($D561&amp;"-01"), "dd-mm-yyyy")),0),0)</f>
        <v>0</v>
      </c>
      <c r="L561" cm="1">
        <f t="array" ref="L561">IF($Q561&gt;=0,IFERROR(generateSalesData($D561, IF(ISNUMBER(_xlfn.XLOOKUP($C561,Phone_by_Sentiment!$B$2:$B$37,Phone_by_Sentiment!L$2:L$37,"",0,1)),_xlfn.XLOOKUP($C561,Phone_by_Sentiment!$B$2:$B$37,Phone_by_Sentiment!L$2:L$37,"",0,1),0),$A561-TEXT(DATEVALUE($D561&amp;"-01"), "dd-mm-yyyy")),0),0)</f>
        <v>0</v>
      </c>
      <c r="M561" cm="1">
        <f t="array" ref="M561">IF($Q561&gt;=0,IFERROR(generateSalesData($D561, IF(ISNUMBER(_xlfn.XLOOKUP($C561,Phone_by_Sentiment!$B$2:$B$37,Phone_by_Sentiment!M$2:M$37,"",0,1)),_xlfn.XLOOKUP($C561,Phone_by_Sentiment!$B$2:$B$37,Phone_by_Sentiment!M$2:M$37,"",0,1),0),$A561-TEXT(DATEVALUE($D561&amp;"-01"), "dd-mm-yyyy")),0),0)</f>
        <v>0</v>
      </c>
      <c r="N561" cm="1">
        <f t="array" ref="N561">IF($Q561&gt;=0,IFERROR(generateSalesData($D561, IF(ISNUMBER(_xlfn.XLOOKUP($C561,Phone_by_Sentiment!$B$2:$B$37,Phone_by_Sentiment!N$2:N$37,"",0,1)),_xlfn.XLOOKUP($C561,Phone_by_Sentiment!$B$2:$B$37,Phone_by_Sentiment!N$2:N$37,"",0,1),0),$A561-TEXT(DATEVALUE($D561&amp;"-01"), "dd-mm-yyyy")),0),0)</f>
        <v>0</v>
      </c>
      <c r="O561" cm="1">
        <f t="array" ref="O561">IF($Q561&gt;=0,IFERROR(generateSalesData($D561, IF(ISNUMBER(_xlfn.XLOOKUP($C561,Phone_by_Sentiment!$B$2:$B$37,Phone_by_Sentiment!O$2:O$37,"",0,1)),_xlfn.XLOOKUP($C561,Phone_by_Sentiment!$B$2:$B$37,Phone_by_Sentiment!O$2:O$37,"",0,1),0),$A561-TEXT(DATEVALUE($D561&amp;"-01"), "dd-mm-yyyy")),0),0)</f>
        <v>0</v>
      </c>
      <c r="P561" s="1">
        <f t="shared" si="22"/>
        <v>44044</v>
      </c>
      <c r="Q561">
        <f t="shared" si="23"/>
        <v>-92</v>
      </c>
    </row>
    <row r="562" spans="1:17" x14ac:dyDescent="0.25">
      <c r="A562" s="1">
        <f t="shared" si="21"/>
        <v>43952</v>
      </c>
      <c r="B562" t="s">
        <v>173</v>
      </c>
      <c r="C562" t="str">
        <f>_xlfn.XLOOKUP(B562,Phone_by_Price!$A$2:$A$34,Phone_by_Price!$B$2:$B$34,"-",0,1)</f>
        <v>Realme C3</v>
      </c>
      <c r="D562" t="str">
        <f>_xlfn.XLOOKUP(C562,Phone_by_Sentiment!$B$2:$B$37,Phone_by_Sentiment!$A$2:$A$37,"-",0,1)</f>
        <v>2020-02</v>
      </c>
      <c r="E562" cm="1">
        <f t="array" ref="E562">IF($Q562&gt;=0,IFERROR(generateSalesData($D562, IF(ISNUMBER(_xlfn.XLOOKUP($C562,Phone_by_Sentiment!$B$2:$B$37,Phone_by_Sentiment!E$2:E$37,"",0,1)),_xlfn.XLOOKUP($C562,Phone_by_Sentiment!$B$2:$B$37,Phone_by_Sentiment!E$2:E$37,"",0,1),0),$A562-TEXT(DATEVALUE($D562&amp;"-01"), "dd-mm-yyyy")),0),0)</f>
        <v>633</v>
      </c>
      <c r="F562" cm="1">
        <f t="array" ref="F562">IF($Q562&gt;=0,IFERROR(generateSalesData($D562, IF(ISNUMBER(_xlfn.XLOOKUP($C562,Phone_by_Sentiment!$B$2:$B$37,Phone_by_Sentiment!F$2:F$37,"",0,1)),_xlfn.XLOOKUP($C562,Phone_by_Sentiment!$B$2:$B$37,Phone_by_Sentiment!F$2:F$37,"",0,1),0),$A562-TEXT(DATEVALUE($D562&amp;"-01"), "dd-mm-yyyy")),0),0)</f>
        <v>693</v>
      </c>
      <c r="G562" cm="1">
        <f t="array" ref="G562">IF($Q562&gt;=0,IFERROR(generateSalesData($D562, IF(ISNUMBER(_xlfn.XLOOKUP($C562,Phone_by_Sentiment!$B$2:$B$37,Phone_by_Sentiment!G$2:G$37,"",0,1)),_xlfn.XLOOKUP($C562,Phone_by_Sentiment!$B$2:$B$37,Phone_by_Sentiment!G$2:G$37,"",0,1),0),$A562-TEXT(DATEVALUE($D562&amp;"-01"), "dd-mm-yyyy")),0),0)</f>
        <v>820</v>
      </c>
      <c r="H562" cm="1">
        <f t="array" ref="H562">IF($Q562&gt;=0,IFERROR(generateSalesData($D562, IF(ISNUMBER(_xlfn.XLOOKUP($C562,Phone_by_Sentiment!$B$2:$B$37,Phone_by_Sentiment!H$2:H$37,"",0,1)),_xlfn.XLOOKUP($C562,Phone_by_Sentiment!$B$2:$B$37,Phone_by_Sentiment!H$2:H$37,"",0,1),0),$A562-TEXT(DATEVALUE($D562&amp;"-01"), "dd-mm-yyyy")),0),0)</f>
        <v>3944</v>
      </c>
      <c r="I562" cm="1">
        <f t="array" ref="I562">IF($Q562&gt;=0,IFERROR(generateSalesData($D562, IF(ISNUMBER(_xlfn.XLOOKUP($C562,Phone_by_Sentiment!$B$2:$B$37,Phone_by_Sentiment!I$2:I$37,"",0,1)),_xlfn.XLOOKUP($C562,Phone_by_Sentiment!$B$2:$B$37,Phone_by_Sentiment!I$2:I$37,"",0,1),0),$A562-TEXT(DATEVALUE($D562&amp;"-01"), "dd-mm-yyyy")),0),0)</f>
        <v>2684</v>
      </c>
      <c r="J562" cm="1">
        <f t="array" ref="J562">IF($Q562&gt;=0,IFERROR(generateSalesData($D562, IF(ISNUMBER(_xlfn.XLOOKUP($C562,Phone_by_Sentiment!$B$2:$B$37,Phone_by_Sentiment!J$2:J$37,"",0,1)),_xlfn.XLOOKUP($C562,Phone_by_Sentiment!$B$2:$B$37,Phone_by_Sentiment!J$2:J$37,"",0,1),0),$A562-TEXT(DATEVALUE($D562&amp;"-01"), "dd-mm-yyyy")),0),0)</f>
        <v>1328</v>
      </c>
      <c r="K562" cm="1">
        <f t="array" ref="K562">IF($Q562&gt;=0,IFERROR(generateSalesData($D562, IF(ISNUMBER(_xlfn.XLOOKUP($C562,Phone_by_Sentiment!$B$2:$B$37,Phone_by_Sentiment!K$2:K$37,"",0,1)),_xlfn.XLOOKUP($C562,Phone_by_Sentiment!$B$2:$B$37,Phone_by_Sentiment!K$2:K$37,"",0,1),0),$A562-TEXT(DATEVALUE($D562&amp;"-01"), "dd-mm-yyyy")),0),0)</f>
        <v>1555</v>
      </c>
      <c r="L562" cm="1">
        <f t="array" ref="L562">IF($Q562&gt;=0,IFERROR(generateSalesData($D562, IF(ISNUMBER(_xlfn.XLOOKUP($C562,Phone_by_Sentiment!$B$2:$B$37,Phone_by_Sentiment!L$2:L$37,"",0,1)),_xlfn.XLOOKUP($C562,Phone_by_Sentiment!$B$2:$B$37,Phone_by_Sentiment!L$2:L$37,"",0,1),0),$A562-TEXT(DATEVALUE($D562&amp;"-01"), "dd-mm-yyyy")),0),0)</f>
        <v>2705</v>
      </c>
      <c r="M562" cm="1">
        <f t="array" ref="M562">IF($Q562&gt;=0,IFERROR(generateSalesData($D562, IF(ISNUMBER(_xlfn.XLOOKUP($C562,Phone_by_Sentiment!$B$2:$B$37,Phone_by_Sentiment!M$2:M$37,"",0,1)),_xlfn.XLOOKUP($C562,Phone_by_Sentiment!$B$2:$B$37,Phone_by_Sentiment!M$2:M$37,"",0,1),0),$A562-TEXT(DATEVALUE($D562&amp;"-01"), "dd-mm-yyyy")),0),0)</f>
        <v>1206</v>
      </c>
      <c r="N562" cm="1">
        <f t="array" ref="N562">IF($Q562&gt;=0,IFERROR(generateSalesData($D562, IF(ISNUMBER(_xlfn.XLOOKUP($C562,Phone_by_Sentiment!$B$2:$B$37,Phone_by_Sentiment!N$2:N$37,"",0,1)),_xlfn.XLOOKUP($C562,Phone_by_Sentiment!$B$2:$B$37,Phone_by_Sentiment!N$2:N$37,"",0,1),0),$A562-TEXT(DATEVALUE($D562&amp;"-01"), "dd-mm-yyyy")),0),0)</f>
        <v>4620</v>
      </c>
      <c r="O562" cm="1">
        <f t="array" ref="O562">IF($Q562&gt;=0,IFERROR(generateSalesData($D562, IF(ISNUMBER(_xlfn.XLOOKUP($C562,Phone_by_Sentiment!$B$2:$B$37,Phone_by_Sentiment!O$2:O$37,"",0,1)),_xlfn.XLOOKUP($C562,Phone_by_Sentiment!$B$2:$B$37,Phone_by_Sentiment!O$2:O$37,"",0,1),0),$A562-TEXT(DATEVALUE($D562&amp;"-01"), "dd-mm-yyyy")),0),0)</f>
        <v>679</v>
      </c>
      <c r="P562" s="1">
        <f t="shared" si="22"/>
        <v>43862</v>
      </c>
      <c r="Q562">
        <f t="shared" si="23"/>
        <v>90</v>
      </c>
    </row>
    <row r="563" spans="1:17" x14ac:dyDescent="0.25">
      <c r="A563" s="1">
        <f t="shared" si="21"/>
        <v>43952</v>
      </c>
      <c r="B563" t="s">
        <v>174</v>
      </c>
      <c r="C563" t="str">
        <f>_xlfn.XLOOKUP(B563,Phone_by_Price!$A$2:$A$34,Phone_by_Price!$B$2:$B$34,"-",0,1)</f>
        <v>Samsung Galaxy A7</v>
      </c>
      <c r="D563" t="str">
        <f>_xlfn.XLOOKUP(C563,Phone_by_Sentiment!$B$2:$B$37,Phone_by_Sentiment!$A$2:$A$37,"-",0,1)</f>
        <v>2018-10</v>
      </c>
      <c r="E563" cm="1">
        <f t="array" ref="E563">IF($Q563&gt;=0,IFERROR(generateSalesData($D563, IF(ISNUMBER(_xlfn.XLOOKUP($C563,Phone_by_Sentiment!$B$2:$B$37,Phone_by_Sentiment!E$2:E$37,"",0,1)),_xlfn.XLOOKUP($C563,Phone_by_Sentiment!$B$2:$B$37,Phone_by_Sentiment!E$2:E$37,"",0,1),0),$A563-TEXT(DATEVALUE($D563&amp;"-01"), "dd-mm-yyyy")),0),0)</f>
        <v>128</v>
      </c>
      <c r="F563" cm="1">
        <f t="array" ref="F563">IF($Q563&gt;=0,IFERROR(generateSalesData($D563, IF(ISNUMBER(_xlfn.XLOOKUP($C563,Phone_by_Sentiment!$B$2:$B$37,Phone_by_Sentiment!F$2:F$37,"",0,1)),_xlfn.XLOOKUP($C563,Phone_by_Sentiment!$B$2:$B$37,Phone_by_Sentiment!F$2:F$37,"",0,1),0),$A563-TEXT(DATEVALUE($D563&amp;"-01"), "dd-mm-yyyy")),0),0)</f>
        <v>148</v>
      </c>
      <c r="G563" cm="1">
        <f t="array" ref="G563">IF($Q563&gt;=0,IFERROR(generateSalesData($D563, IF(ISNUMBER(_xlfn.XLOOKUP($C563,Phone_by_Sentiment!$B$2:$B$37,Phone_by_Sentiment!G$2:G$37,"",0,1)),_xlfn.XLOOKUP($C563,Phone_by_Sentiment!$B$2:$B$37,Phone_by_Sentiment!G$2:G$37,"",0,1),0),$A563-TEXT(DATEVALUE($D563&amp;"-01"), "dd-mm-yyyy")),0),0)</f>
        <v>131</v>
      </c>
      <c r="H563" cm="1">
        <f t="array" ref="H563">IF($Q563&gt;=0,IFERROR(generateSalesData($D563, IF(ISNUMBER(_xlfn.XLOOKUP($C563,Phone_by_Sentiment!$B$2:$B$37,Phone_by_Sentiment!H$2:H$37,"",0,1)),_xlfn.XLOOKUP($C563,Phone_by_Sentiment!$B$2:$B$37,Phone_by_Sentiment!H$2:H$37,"",0,1),0),$A563-TEXT(DATEVALUE($D563&amp;"-01"), "dd-mm-yyyy")),0),0)</f>
        <v>690</v>
      </c>
      <c r="I563" cm="1">
        <f t="array" ref="I563">IF($Q563&gt;=0,IFERROR(generateSalesData($D563, IF(ISNUMBER(_xlfn.XLOOKUP($C563,Phone_by_Sentiment!$B$2:$B$37,Phone_by_Sentiment!I$2:I$37,"",0,1)),_xlfn.XLOOKUP($C563,Phone_by_Sentiment!$B$2:$B$37,Phone_by_Sentiment!I$2:I$37,"",0,1),0),$A563-TEXT(DATEVALUE($D563&amp;"-01"), "dd-mm-yyyy")),0),0)</f>
        <v>530</v>
      </c>
      <c r="J563" cm="1">
        <f t="array" ref="J563">IF($Q563&gt;=0,IFERROR(generateSalesData($D563, IF(ISNUMBER(_xlfn.XLOOKUP($C563,Phone_by_Sentiment!$B$2:$B$37,Phone_by_Sentiment!J$2:J$37,"",0,1)),_xlfn.XLOOKUP($C563,Phone_by_Sentiment!$B$2:$B$37,Phone_by_Sentiment!J$2:J$37,"",0,1),0),$A563-TEXT(DATEVALUE($D563&amp;"-01"), "dd-mm-yyyy")),0),0)</f>
        <v>70</v>
      </c>
      <c r="K563" cm="1">
        <f t="array" ref="K563">IF($Q563&gt;=0,IFERROR(generateSalesData($D563, IF(ISNUMBER(_xlfn.XLOOKUP($C563,Phone_by_Sentiment!$B$2:$B$37,Phone_by_Sentiment!K$2:K$37,"",0,1)),_xlfn.XLOOKUP($C563,Phone_by_Sentiment!$B$2:$B$37,Phone_by_Sentiment!K$2:K$37,"",0,1),0),$A563-TEXT(DATEVALUE($D563&amp;"-01"), "dd-mm-yyyy")),0),0)</f>
        <v>150</v>
      </c>
      <c r="L563" cm="1">
        <f t="array" ref="L563">IF($Q563&gt;=0,IFERROR(generateSalesData($D563, IF(ISNUMBER(_xlfn.XLOOKUP($C563,Phone_by_Sentiment!$B$2:$B$37,Phone_by_Sentiment!L$2:L$37,"",0,1)),_xlfn.XLOOKUP($C563,Phone_by_Sentiment!$B$2:$B$37,Phone_by_Sentiment!L$2:L$37,"",0,1),0),$A563-TEXT(DATEVALUE($D563&amp;"-01"), "dd-mm-yyyy")),0),0)</f>
        <v>81</v>
      </c>
      <c r="M563" cm="1">
        <f t="array" ref="M563">IF($Q563&gt;=0,IFERROR(generateSalesData($D563, IF(ISNUMBER(_xlfn.XLOOKUP($C563,Phone_by_Sentiment!$B$2:$B$37,Phone_by_Sentiment!M$2:M$37,"",0,1)),_xlfn.XLOOKUP($C563,Phone_by_Sentiment!$B$2:$B$37,Phone_by_Sentiment!M$2:M$37,"",0,1),0),$A563-TEXT(DATEVALUE($D563&amp;"-01"), "dd-mm-yyyy")),0),0)</f>
        <v>354</v>
      </c>
      <c r="N563" cm="1">
        <f t="array" ref="N563">IF($Q563&gt;=0,IFERROR(generateSalesData($D563, IF(ISNUMBER(_xlfn.XLOOKUP($C563,Phone_by_Sentiment!$B$2:$B$37,Phone_by_Sentiment!N$2:N$37,"",0,1)),_xlfn.XLOOKUP($C563,Phone_by_Sentiment!$B$2:$B$37,Phone_by_Sentiment!N$2:N$37,"",0,1),0),$A563-TEXT(DATEVALUE($D563&amp;"-01"), "dd-mm-yyyy")),0),0)</f>
        <v>830</v>
      </c>
      <c r="O563" cm="1">
        <f t="array" ref="O563">IF($Q563&gt;=0,IFERROR(generateSalesData($D563, IF(ISNUMBER(_xlfn.XLOOKUP($C563,Phone_by_Sentiment!$B$2:$B$37,Phone_by_Sentiment!O$2:O$37,"",0,1)),_xlfn.XLOOKUP($C563,Phone_by_Sentiment!$B$2:$B$37,Phone_by_Sentiment!O$2:O$37,"",0,1),0),$A563-TEXT(DATEVALUE($D563&amp;"-01"), "dd-mm-yyyy")),0),0)</f>
        <v>329</v>
      </c>
      <c r="P563" s="1">
        <f t="shared" si="22"/>
        <v>43374</v>
      </c>
      <c r="Q563">
        <f t="shared" si="23"/>
        <v>578</v>
      </c>
    </row>
    <row r="564" spans="1:17" x14ac:dyDescent="0.25">
      <c r="A564" s="1">
        <f t="shared" si="21"/>
        <v>43952</v>
      </c>
      <c r="B564" t="s">
        <v>142</v>
      </c>
      <c r="C564" t="str">
        <f>_xlfn.XLOOKUP(B564,Phone_by_Price!$A$2:$A$34,Phone_by_Price!$B$2:$B$34,"-",0,1)</f>
        <v>iPhone 11</v>
      </c>
      <c r="D564" t="str">
        <f>_xlfn.XLOOKUP(C564,Phone_by_Sentiment!$B$2:$B$37,Phone_by_Sentiment!$A$2:$A$37,"-",0,1)</f>
        <v>2019-09</v>
      </c>
      <c r="E564" cm="1">
        <f t="array" ref="E564">IF($Q564&gt;=0,IFERROR(generateSalesData($D564, IF(ISNUMBER(_xlfn.XLOOKUP($C564,Phone_by_Sentiment!$B$2:$B$37,Phone_by_Sentiment!E$2:E$37,"",0,1)),_xlfn.XLOOKUP($C564,Phone_by_Sentiment!$B$2:$B$37,Phone_by_Sentiment!E$2:E$37,"",0,1),0),$A564-TEXT(DATEVALUE($D564&amp;"-01"), "dd-mm-yyyy")),0),0)</f>
        <v>1036</v>
      </c>
      <c r="F564" cm="1">
        <f t="array" ref="F564">IF($Q564&gt;=0,IFERROR(generateSalesData($D564, IF(ISNUMBER(_xlfn.XLOOKUP($C564,Phone_by_Sentiment!$B$2:$B$37,Phone_by_Sentiment!F$2:F$37,"",0,1)),_xlfn.XLOOKUP($C564,Phone_by_Sentiment!$B$2:$B$37,Phone_by_Sentiment!F$2:F$37,"",0,1),0),$A564-TEXT(DATEVALUE($D564&amp;"-01"), "dd-mm-yyyy")),0),0)</f>
        <v>947</v>
      </c>
      <c r="G564" cm="1">
        <f t="array" ref="G564">IF($Q564&gt;=0,IFERROR(generateSalesData($D564, IF(ISNUMBER(_xlfn.XLOOKUP($C564,Phone_by_Sentiment!$B$2:$B$37,Phone_by_Sentiment!G$2:G$37,"",0,1)),_xlfn.XLOOKUP($C564,Phone_by_Sentiment!$B$2:$B$37,Phone_by_Sentiment!G$2:G$37,"",0,1),0),$A564-TEXT(DATEVALUE($D564&amp;"-01"), "dd-mm-yyyy")),0),0)</f>
        <v>347</v>
      </c>
      <c r="H564" cm="1">
        <f t="array" ref="H564">IF($Q564&gt;=0,IFERROR(generateSalesData($D564, IF(ISNUMBER(_xlfn.XLOOKUP($C564,Phone_by_Sentiment!$B$2:$B$37,Phone_by_Sentiment!H$2:H$37,"",0,1)),_xlfn.XLOOKUP($C564,Phone_by_Sentiment!$B$2:$B$37,Phone_by_Sentiment!H$2:H$37,"",0,1),0),$A564-TEXT(DATEVALUE($D564&amp;"-01"), "dd-mm-yyyy")),0),0)</f>
        <v>236</v>
      </c>
      <c r="I564" cm="1">
        <f t="array" ref="I564">IF($Q564&gt;=0,IFERROR(generateSalesData($D564, IF(ISNUMBER(_xlfn.XLOOKUP($C564,Phone_by_Sentiment!$B$2:$B$37,Phone_by_Sentiment!I$2:I$37,"",0,1)),_xlfn.XLOOKUP($C564,Phone_by_Sentiment!$B$2:$B$37,Phone_by_Sentiment!I$2:I$37,"",0,1),0),$A564-TEXT(DATEVALUE($D564&amp;"-01"), "dd-mm-yyyy")),0),0)</f>
        <v>990</v>
      </c>
      <c r="J564" cm="1">
        <f t="array" ref="J564">IF($Q564&gt;=0,IFERROR(generateSalesData($D564, IF(ISNUMBER(_xlfn.XLOOKUP($C564,Phone_by_Sentiment!$B$2:$B$37,Phone_by_Sentiment!J$2:J$37,"",0,1)),_xlfn.XLOOKUP($C564,Phone_by_Sentiment!$B$2:$B$37,Phone_by_Sentiment!J$2:J$37,"",0,1),0),$A564-TEXT(DATEVALUE($D564&amp;"-01"), "dd-mm-yyyy")),0),0)</f>
        <v>961</v>
      </c>
      <c r="K564" cm="1">
        <f t="array" ref="K564">IF($Q564&gt;=0,IFERROR(generateSalesData($D564, IF(ISNUMBER(_xlfn.XLOOKUP($C564,Phone_by_Sentiment!$B$2:$B$37,Phone_by_Sentiment!K$2:K$37,"",0,1)),_xlfn.XLOOKUP($C564,Phone_by_Sentiment!$B$2:$B$37,Phone_by_Sentiment!K$2:K$37,"",0,1),0),$A564-TEXT(DATEVALUE($D564&amp;"-01"), "dd-mm-yyyy")),0),0)</f>
        <v>98</v>
      </c>
      <c r="L564" cm="1">
        <f t="array" ref="L564">IF($Q564&gt;=0,IFERROR(generateSalesData($D564, IF(ISNUMBER(_xlfn.XLOOKUP($C564,Phone_by_Sentiment!$B$2:$B$37,Phone_by_Sentiment!L$2:L$37,"",0,1)),_xlfn.XLOOKUP($C564,Phone_by_Sentiment!$B$2:$B$37,Phone_by_Sentiment!L$2:L$37,"",0,1),0),$A564-TEXT(DATEVALUE($D564&amp;"-01"), "dd-mm-yyyy")),0),0)</f>
        <v>986</v>
      </c>
      <c r="M564" cm="1">
        <f t="array" ref="M564">IF($Q564&gt;=0,IFERROR(generateSalesData($D564, IF(ISNUMBER(_xlfn.XLOOKUP($C564,Phone_by_Sentiment!$B$2:$B$37,Phone_by_Sentiment!M$2:M$37,"",0,1)),_xlfn.XLOOKUP($C564,Phone_by_Sentiment!$B$2:$B$37,Phone_by_Sentiment!M$2:M$37,"",0,1),0),$A564-TEXT(DATEVALUE($D564&amp;"-01"), "dd-mm-yyyy")),0),0)</f>
        <v>636</v>
      </c>
      <c r="N564" cm="1">
        <f t="array" ref="N564">IF($Q564&gt;=0,IFERROR(generateSalesData($D564, IF(ISNUMBER(_xlfn.XLOOKUP($C564,Phone_by_Sentiment!$B$2:$B$37,Phone_by_Sentiment!N$2:N$37,"",0,1)),_xlfn.XLOOKUP($C564,Phone_by_Sentiment!$B$2:$B$37,Phone_by_Sentiment!N$2:N$37,"",0,1),0),$A564-TEXT(DATEVALUE($D564&amp;"-01"), "dd-mm-yyyy")),0),0)</f>
        <v>1160</v>
      </c>
      <c r="O564" cm="1">
        <f t="array" ref="O564">IF($Q564&gt;=0,IFERROR(generateSalesData($D564, IF(ISNUMBER(_xlfn.XLOOKUP($C564,Phone_by_Sentiment!$B$2:$B$37,Phone_by_Sentiment!O$2:O$37,"",0,1)),_xlfn.XLOOKUP($C564,Phone_by_Sentiment!$B$2:$B$37,Phone_by_Sentiment!O$2:O$37,"",0,1),0),$A564-TEXT(DATEVALUE($D564&amp;"-01"), "dd-mm-yyyy")),0),0)</f>
        <v>524</v>
      </c>
      <c r="P564" s="1">
        <f t="shared" si="22"/>
        <v>43709</v>
      </c>
      <c r="Q564">
        <f t="shared" si="23"/>
        <v>243</v>
      </c>
    </row>
    <row r="565" spans="1:17" x14ac:dyDescent="0.25">
      <c r="A565" s="1">
        <f t="shared" si="21"/>
        <v>43952</v>
      </c>
      <c r="B565" t="s">
        <v>143</v>
      </c>
      <c r="C565" t="str">
        <f>_xlfn.XLOOKUP(B565,Phone_by_Price!$A$2:$A$34,Phone_by_Price!$B$2:$B$34,"-",0,1)</f>
        <v>Samsung Galaxy S20 Ultra</v>
      </c>
      <c r="D565" t="str">
        <f>_xlfn.XLOOKUP(C565,Phone_by_Sentiment!$B$2:$B$37,Phone_by_Sentiment!$A$2:$A$37,"-",0,1)</f>
        <v>2020-02</v>
      </c>
      <c r="E565" cm="1">
        <f t="array" ref="E565">IF($Q565&gt;=0,IFERROR(generateSalesData($D565, IF(ISNUMBER(_xlfn.XLOOKUP($C565,Phone_by_Sentiment!$B$2:$B$37,Phone_by_Sentiment!E$2:E$37,"",0,1)),_xlfn.XLOOKUP($C565,Phone_by_Sentiment!$B$2:$B$37,Phone_by_Sentiment!E$2:E$37,"",0,1),0),$A565-TEXT(DATEVALUE($D565&amp;"-01"), "dd-mm-yyyy")),0),0)</f>
        <v>3466</v>
      </c>
      <c r="F565" cm="1">
        <f t="array" ref="F565">IF($Q565&gt;=0,IFERROR(generateSalesData($D565, IF(ISNUMBER(_xlfn.XLOOKUP($C565,Phone_by_Sentiment!$B$2:$B$37,Phone_by_Sentiment!F$2:F$37,"",0,1)),_xlfn.XLOOKUP($C565,Phone_by_Sentiment!$B$2:$B$37,Phone_by_Sentiment!F$2:F$37,"",0,1),0),$A565-TEXT(DATEVALUE($D565&amp;"-01"), "dd-mm-yyyy")),0),0)</f>
        <v>1210</v>
      </c>
      <c r="G565" cm="1">
        <f t="array" ref="G565">IF($Q565&gt;=0,IFERROR(generateSalesData($D565, IF(ISNUMBER(_xlfn.XLOOKUP($C565,Phone_by_Sentiment!$B$2:$B$37,Phone_by_Sentiment!G$2:G$37,"",0,1)),_xlfn.XLOOKUP($C565,Phone_by_Sentiment!$B$2:$B$37,Phone_by_Sentiment!G$2:G$37,"",0,1),0),$A565-TEXT(DATEVALUE($D565&amp;"-01"), "dd-mm-yyyy")),0),0)</f>
        <v>1006</v>
      </c>
      <c r="H565" cm="1">
        <f t="array" ref="H565">IF($Q565&gt;=0,IFERROR(generateSalesData($D565, IF(ISNUMBER(_xlfn.XLOOKUP($C565,Phone_by_Sentiment!$B$2:$B$37,Phone_by_Sentiment!H$2:H$37,"",0,1)),_xlfn.XLOOKUP($C565,Phone_by_Sentiment!$B$2:$B$37,Phone_by_Sentiment!H$2:H$37,"",0,1),0),$A565-TEXT(DATEVALUE($D565&amp;"-01"), "dd-mm-yyyy")),0),0)</f>
        <v>2351</v>
      </c>
      <c r="I565" cm="1">
        <f t="array" ref="I565">IF($Q565&gt;=0,IFERROR(generateSalesData($D565, IF(ISNUMBER(_xlfn.XLOOKUP($C565,Phone_by_Sentiment!$B$2:$B$37,Phone_by_Sentiment!I$2:I$37,"",0,1)),_xlfn.XLOOKUP($C565,Phone_by_Sentiment!$B$2:$B$37,Phone_by_Sentiment!I$2:I$37,"",0,1),0),$A565-TEXT(DATEVALUE($D565&amp;"-01"), "dd-mm-yyyy")),0),0)</f>
        <v>1353</v>
      </c>
      <c r="J565" cm="1">
        <f t="array" ref="J565">IF($Q565&gt;=0,IFERROR(generateSalesData($D565, IF(ISNUMBER(_xlfn.XLOOKUP($C565,Phone_by_Sentiment!$B$2:$B$37,Phone_by_Sentiment!J$2:J$37,"",0,1)),_xlfn.XLOOKUP($C565,Phone_by_Sentiment!$B$2:$B$37,Phone_by_Sentiment!J$2:J$37,"",0,1),0),$A565-TEXT(DATEVALUE($D565&amp;"-01"), "dd-mm-yyyy")),0),0)</f>
        <v>4406</v>
      </c>
      <c r="K565" cm="1">
        <f t="array" ref="K565">IF($Q565&gt;=0,IFERROR(generateSalesData($D565, IF(ISNUMBER(_xlfn.XLOOKUP($C565,Phone_by_Sentiment!$B$2:$B$37,Phone_by_Sentiment!K$2:K$37,"",0,1)),_xlfn.XLOOKUP($C565,Phone_by_Sentiment!$B$2:$B$37,Phone_by_Sentiment!K$2:K$37,"",0,1),0),$A565-TEXT(DATEVALUE($D565&amp;"-01"), "dd-mm-yyyy")),0),0)</f>
        <v>561</v>
      </c>
      <c r="L565" cm="1">
        <f t="array" ref="L565">IF($Q565&gt;=0,IFERROR(generateSalesData($D565, IF(ISNUMBER(_xlfn.XLOOKUP($C565,Phone_by_Sentiment!$B$2:$B$37,Phone_by_Sentiment!L$2:L$37,"",0,1)),_xlfn.XLOOKUP($C565,Phone_by_Sentiment!$B$2:$B$37,Phone_by_Sentiment!L$2:L$37,"",0,1),0),$A565-TEXT(DATEVALUE($D565&amp;"-01"), "dd-mm-yyyy")),0),0)</f>
        <v>1425</v>
      </c>
      <c r="M565" cm="1">
        <f t="array" ref="M565">IF($Q565&gt;=0,IFERROR(generateSalesData($D565, IF(ISNUMBER(_xlfn.XLOOKUP($C565,Phone_by_Sentiment!$B$2:$B$37,Phone_by_Sentiment!M$2:M$37,"",0,1)),_xlfn.XLOOKUP($C565,Phone_by_Sentiment!$B$2:$B$37,Phone_by_Sentiment!M$2:M$37,"",0,1),0),$A565-TEXT(DATEVALUE($D565&amp;"-01"), "dd-mm-yyyy")),0),0)</f>
        <v>1896</v>
      </c>
      <c r="N565" cm="1">
        <f t="array" ref="N565">IF($Q565&gt;=0,IFERROR(generateSalesData($D565, IF(ISNUMBER(_xlfn.XLOOKUP($C565,Phone_by_Sentiment!$B$2:$B$37,Phone_by_Sentiment!N$2:N$37,"",0,1)),_xlfn.XLOOKUP($C565,Phone_by_Sentiment!$B$2:$B$37,Phone_by_Sentiment!N$2:N$37,"",0,1),0),$A565-TEXT(DATEVALUE($D565&amp;"-01"), "dd-mm-yyyy")),0),0)</f>
        <v>1775</v>
      </c>
      <c r="O565" cm="1">
        <f t="array" ref="O565">IF($Q565&gt;=0,IFERROR(generateSalesData($D565, IF(ISNUMBER(_xlfn.XLOOKUP($C565,Phone_by_Sentiment!$B$2:$B$37,Phone_by_Sentiment!O$2:O$37,"",0,1)),_xlfn.XLOOKUP($C565,Phone_by_Sentiment!$B$2:$B$37,Phone_by_Sentiment!O$2:O$37,"",0,1),0),$A565-TEXT(DATEVALUE($D565&amp;"-01"), "dd-mm-yyyy")),0),0)</f>
        <v>546</v>
      </c>
      <c r="P565" s="1">
        <f t="shared" si="22"/>
        <v>43862</v>
      </c>
      <c r="Q565">
        <f t="shared" si="23"/>
        <v>90</v>
      </c>
    </row>
    <row r="566" spans="1:17" x14ac:dyDescent="0.25">
      <c r="A566" s="1">
        <f t="shared" si="21"/>
        <v>43952</v>
      </c>
      <c r="B566" t="s">
        <v>144</v>
      </c>
      <c r="C566" t="str">
        <f>_xlfn.XLOOKUP(B566,Phone_by_Price!$A$2:$A$34,Phone_by_Price!$B$2:$B$34,"-",0,1)</f>
        <v>Xiaomi Redmi Note 10</v>
      </c>
      <c r="D566" t="str">
        <f>_xlfn.XLOOKUP(C566,Phone_by_Sentiment!$B$2:$B$37,Phone_by_Sentiment!$A$2:$A$37,"-",0,1)</f>
        <v>2021-03</v>
      </c>
      <c r="E566" cm="1">
        <f t="array" ref="E566">IF($Q566&gt;=0,IFERROR(generateSalesData($D566, IF(ISNUMBER(_xlfn.XLOOKUP($C566,Phone_by_Sentiment!$B$2:$B$37,Phone_by_Sentiment!E$2:E$37,"",0,1)),_xlfn.XLOOKUP($C566,Phone_by_Sentiment!$B$2:$B$37,Phone_by_Sentiment!E$2:E$37,"",0,1),0),$A566-TEXT(DATEVALUE($D566&amp;"-01"), "dd-mm-yyyy")),0),0)</f>
        <v>0</v>
      </c>
      <c r="F566" cm="1">
        <f t="array" ref="F566">IF($Q566&gt;=0,IFERROR(generateSalesData($D566, IF(ISNUMBER(_xlfn.XLOOKUP($C566,Phone_by_Sentiment!$B$2:$B$37,Phone_by_Sentiment!F$2:F$37,"",0,1)),_xlfn.XLOOKUP($C566,Phone_by_Sentiment!$B$2:$B$37,Phone_by_Sentiment!F$2:F$37,"",0,1),0),$A566-TEXT(DATEVALUE($D566&amp;"-01"), "dd-mm-yyyy")),0),0)</f>
        <v>0</v>
      </c>
      <c r="G566" cm="1">
        <f t="array" ref="G566">IF($Q566&gt;=0,IFERROR(generateSalesData($D566, IF(ISNUMBER(_xlfn.XLOOKUP($C566,Phone_by_Sentiment!$B$2:$B$37,Phone_by_Sentiment!G$2:G$37,"",0,1)),_xlfn.XLOOKUP($C566,Phone_by_Sentiment!$B$2:$B$37,Phone_by_Sentiment!G$2:G$37,"",0,1),0),$A566-TEXT(DATEVALUE($D566&amp;"-01"), "dd-mm-yyyy")),0),0)</f>
        <v>0</v>
      </c>
      <c r="H566" cm="1">
        <f t="array" ref="H566">IF($Q566&gt;=0,IFERROR(generateSalesData($D566, IF(ISNUMBER(_xlfn.XLOOKUP($C566,Phone_by_Sentiment!$B$2:$B$37,Phone_by_Sentiment!H$2:H$37,"",0,1)),_xlfn.XLOOKUP($C566,Phone_by_Sentiment!$B$2:$B$37,Phone_by_Sentiment!H$2:H$37,"",0,1),0),$A566-TEXT(DATEVALUE($D566&amp;"-01"), "dd-mm-yyyy")),0),0)</f>
        <v>0</v>
      </c>
      <c r="I566" cm="1">
        <f t="array" ref="I566">IF($Q566&gt;=0,IFERROR(generateSalesData($D566, IF(ISNUMBER(_xlfn.XLOOKUP($C566,Phone_by_Sentiment!$B$2:$B$37,Phone_by_Sentiment!I$2:I$37,"",0,1)),_xlfn.XLOOKUP($C566,Phone_by_Sentiment!$B$2:$B$37,Phone_by_Sentiment!I$2:I$37,"",0,1),0),$A566-TEXT(DATEVALUE($D566&amp;"-01"), "dd-mm-yyyy")),0),0)</f>
        <v>0</v>
      </c>
      <c r="J566" cm="1">
        <f t="array" ref="J566">IF($Q566&gt;=0,IFERROR(generateSalesData($D566, IF(ISNUMBER(_xlfn.XLOOKUP($C566,Phone_by_Sentiment!$B$2:$B$37,Phone_by_Sentiment!J$2:J$37,"",0,1)),_xlfn.XLOOKUP($C566,Phone_by_Sentiment!$B$2:$B$37,Phone_by_Sentiment!J$2:J$37,"",0,1),0),$A566-TEXT(DATEVALUE($D566&amp;"-01"), "dd-mm-yyyy")),0),0)</f>
        <v>0</v>
      </c>
      <c r="K566" cm="1">
        <f t="array" ref="K566">IF($Q566&gt;=0,IFERROR(generateSalesData($D566, IF(ISNUMBER(_xlfn.XLOOKUP($C566,Phone_by_Sentiment!$B$2:$B$37,Phone_by_Sentiment!K$2:K$37,"",0,1)),_xlfn.XLOOKUP($C566,Phone_by_Sentiment!$B$2:$B$37,Phone_by_Sentiment!K$2:K$37,"",0,1),0),$A566-TEXT(DATEVALUE($D566&amp;"-01"), "dd-mm-yyyy")),0),0)</f>
        <v>0</v>
      </c>
      <c r="L566" cm="1">
        <f t="array" ref="L566">IF($Q566&gt;=0,IFERROR(generateSalesData($D566, IF(ISNUMBER(_xlfn.XLOOKUP($C566,Phone_by_Sentiment!$B$2:$B$37,Phone_by_Sentiment!L$2:L$37,"",0,1)),_xlfn.XLOOKUP($C566,Phone_by_Sentiment!$B$2:$B$37,Phone_by_Sentiment!L$2:L$37,"",0,1),0),$A566-TEXT(DATEVALUE($D566&amp;"-01"), "dd-mm-yyyy")),0),0)</f>
        <v>0</v>
      </c>
      <c r="M566" cm="1">
        <f t="array" ref="M566">IF($Q566&gt;=0,IFERROR(generateSalesData($D566, IF(ISNUMBER(_xlfn.XLOOKUP($C566,Phone_by_Sentiment!$B$2:$B$37,Phone_by_Sentiment!M$2:M$37,"",0,1)),_xlfn.XLOOKUP($C566,Phone_by_Sentiment!$B$2:$B$37,Phone_by_Sentiment!M$2:M$37,"",0,1),0),$A566-TEXT(DATEVALUE($D566&amp;"-01"), "dd-mm-yyyy")),0),0)</f>
        <v>0</v>
      </c>
      <c r="N566" cm="1">
        <f t="array" ref="N566">IF($Q566&gt;=0,IFERROR(generateSalesData($D566, IF(ISNUMBER(_xlfn.XLOOKUP($C566,Phone_by_Sentiment!$B$2:$B$37,Phone_by_Sentiment!N$2:N$37,"",0,1)),_xlfn.XLOOKUP($C566,Phone_by_Sentiment!$B$2:$B$37,Phone_by_Sentiment!N$2:N$37,"",0,1),0),$A566-TEXT(DATEVALUE($D566&amp;"-01"), "dd-mm-yyyy")),0),0)</f>
        <v>0</v>
      </c>
      <c r="O566" cm="1">
        <f t="array" ref="O566">IF($Q566&gt;=0,IFERROR(generateSalesData($D566, IF(ISNUMBER(_xlfn.XLOOKUP($C566,Phone_by_Sentiment!$B$2:$B$37,Phone_by_Sentiment!O$2:O$37,"",0,1)),_xlfn.XLOOKUP($C566,Phone_by_Sentiment!$B$2:$B$37,Phone_by_Sentiment!O$2:O$37,"",0,1),0),$A566-TEXT(DATEVALUE($D566&amp;"-01"), "dd-mm-yyyy")),0),0)</f>
        <v>0</v>
      </c>
      <c r="P566" s="1">
        <f t="shared" si="22"/>
        <v>44256</v>
      </c>
      <c r="Q566">
        <f t="shared" si="23"/>
        <v>-304</v>
      </c>
    </row>
    <row r="567" spans="1:17" x14ac:dyDescent="0.25">
      <c r="A567" s="1">
        <f t="shared" si="21"/>
        <v>43952</v>
      </c>
      <c r="B567" t="s">
        <v>145</v>
      </c>
      <c r="C567" t="str">
        <f>_xlfn.XLOOKUP(B567,Phone_by_Price!$A$2:$A$34,Phone_by_Price!$B$2:$B$34,"-",0,1)</f>
        <v>OPPO A54</v>
      </c>
      <c r="D567" t="str">
        <f>_xlfn.XLOOKUP(C567,Phone_by_Sentiment!$B$2:$B$37,Phone_by_Sentiment!$A$2:$A$37,"-",0,1)</f>
        <v>2021-04</v>
      </c>
      <c r="E567" cm="1">
        <f t="array" ref="E567">IF($Q567&gt;=0,IFERROR(generateSalesData($D567, IF(ISNUMBER(_xlfn.XLOOKUP($C567,Phone_by_Sentiment!$B$2:$B$37,Phone_by_Sentiment!E$2:E$37,"",0,1)),_xlfn.XLOOKUP($C567,Phone_by_Sentiment!$B$2:$B$37,Phone_by_Sentiment!E$2:E$37,"",0,1),0),$A567-TEXT(DATEVALUE($D567&amp;"-01"), "dd-mm-yyyy")),0),0)</f>
        <v>0</v>
      </c>
      <c r="F567" cm="1">
        <f t="array" ref="F567">IF($Q567&gt;=0,IFERROR(generateSalesData($D567, IF(ISNUMBER(_xlfn.XLOOKUP($C567,Phone_by_Sentiment!$B$2:$B$37,Phone_by_Sentiment!F$2:F$37,"",0,1)),_xlfn.XLOOKUP($C567,Phone_by_Sentiment!$B$2:$B$37,Phone_by_Sentiment!F$2:F$37,"",0,1),0),$A567-TEXT(DATEVALUE($D567&amp;"-01"), "dd-mm-yyyy")),0),0)</f>
        <v>0</v>
      </c>
      <c r="G567" cm="1">
        <f t="array" ref="G567">IF($Q567&gt;=0,IFERROR(generateSalesData($D567, IF(ISNUMBER(_xlfn.XLOOKUP($C567,Phone_by_Sentiment!$B$2:$B$37,Phone_by_Sentiment!G$2:G$37,"",0,1)),_xlfn.XLOOKUP($C567,Phone_by_Sentiment!$B$2:$B$37,Phone_by_Sentiment!G$2:G$37,"",0,1),0),$A567-TEXT(DATEVALUE($D567&amp;"-01"), "dd-mm-yyyy")),0),0)</f>
        <v>0</v>
      </c>
      <c r="H567" cm="1">
        <f t="array" ref="H567">IF($Q567&gt;=0,IFERROR(generateSalesData($D567, IF(ISNUMBER(_xlfn.XLOOKUP($C567,Phone_by_Sentiment!$B$2:$B$37,Phone_by_Sentiment!H$2:H$37,"",0,1)),_xlfn.XLOOKUP($C567,Phone_by_Sentiment!$B$2:$B$37,Phone_by_Sentiment!H$2:H$37,"",0,1),0),$A567-TEXT(DATEVALUE($D567&amp;"-01"), "dd-mm-yyyy")),0),0)</f>
        <v>0</v>
      </c>
      <c r="I567" cm="1">
        <f t="array" ref="I567">IF($Q567&gt;=0,IFERROR(generateSalesData($D567, IF(ISNUMBER(_xlfn.XLOOKUP($C567,Phone_by_Sentiment!$B$2:$B$37,Phone_by_Sentiment!I$2:I$37,"",0,1)),_xlfn.XLOOKUP($C567,Phone_by_Sentiment!$B$2:$B$37,Phone_by_Sentiment!I$2:I$37,"",0,1),0),$A567-TEXT(DATEVALUE($D567&amp;"-01"), "dd-mm-yyyy")),0),0)</f>
        <v>0</v>
      </c>
      <c r="J567" cm="1">
        <f t="array" ref="J567">IF($Q567&gt;=0,IFERROR(generateSalesData($D567, IF(ISNUMBER(_xlfn.XLOOKUP($C567,Phone_by_Sentiment!$B$2:$B$37,Phone_by_Sentiment!J$2:J$37,"",0,1)),_xlfn.XLOOKUP($C567,Phone_by_Sentiment!$B$2:$B$37,Phone_by_Sentiment!J$2:J$37,"",0,1),0),$A567-TEXT(DATEVALUE($D567&amp;"-01"), "dd-mm-yyyy")),0),0)</f>
        <v>0</v>
      </c>
      <c r="K567" cm="1">
        <f t="array" ref="K567">IF($Q567&gt;=0,IFERROR(generateSalesData($D567, IF(ISNUMBER(_xlfn.XLOOKUP($C567,Phone_by_Sentiment!$B$2:$B$37,Phone_by_Sentiment!K$2:K$37,"",0,1)),_xlfn.XLOOKUP($C567,Phone_by_Sentiment!$B$2:$B$37,Phone_by_Sentiment!K$2:K$37,"",0,1),0),$A567-TEXT(DATEVALUE($D567&amp;"-01"), "dd-mm-yyyy")),0),0)</f>
        <v>0</v>
      </c>
      <c r="L567" cm="1">
        <f t="array" ref="L567">IF($Q567&gt;=0,IFERROR(generateSalesData($D567, IF(ISNUMBER(_xlfn.XLOOKUP($C567,Phone_by_Sentiment!$B$2:$B$37,Phone_by_Sentiment!L$2:L$37,"",0,1)),_xlfn.XLOOKUP($C567,Phone_by_Sentiment!$B$2:$B$37,Phone_by_Sentiment!L$2:L$37,"",0,1),0),$A567-TEXT(DATEVALUE($D567&amp;"-01"), "dd-mm-yyyy")),0),0)</f>
        <v>0</v>
      </c>
      <c r="M567" cm="1">
        <f t="array" ref="M567">IF($Q567&gt;=0,IFERROR(generateSalesData($D567, IF(ISNUMBER(_xlfn.XLOOKUP($C567,Phone_by_Sentiment!$B$2:$B$37,Phone_by_Sentiment!M$2:M$37,"",0,1)),_xlfn.XLOOKUP($C567,Phone_by_Sentiment!$B$2:$B$37,Phone_by_Sentiment!M$2:M$37,"",0,1),0),$A567-TEXT(DATEVALUE($D567&amp;"-01"), "dd-mm-yyyy")),0),0)</f>
        <v>0</v>
      </c>
      <c r="N567" cm="1">
        <f t="array" ref="N567">IF($Q567&gt;=0,IFERROR(generateSalesData($D567, IF(ISNUMBER(_xlfn.XLOOKUP($C567,Phone_by_Sentiment!$B$2:$B$37,Phone_by_Sentiment!N$2:N$37,"",0,1)),_xlfn.XLOOKUP($C567,Phone_by_Sentiment!$B$2:$B$37,Phone_by_Sentiment!N$2:N$37,"",0,1),0),$A567-TEXT(DATEVALUE($D567&amp;"-01"), "dd-mm-yyyy")),0),0)</f>
        <v>0</v>
      </c>
      <c r="O567" cm="1">
        <f t="array" ref="O567">IF($Q567&gt;=0,IFERROR(generateSalesData($D567, IF(ISNUMBER(_xlfn.XLOOKUP($C567,Phone_by_Sentiment!$B$2:$B$37,Phone_by_Sentiment!O$2:O$37,"",0,1)),_xlfn.XLOOKUP($C567,Phone_by_Sentiment!$B$2:$B$37,Phone_by_Sentiment!O$2:O$37,"",0,1),0),$A567-TEXT(DATEVALUE($D567&amp;"-01"), "dd-mm-yyyy")),0),0)</f>
        <v>0</v>
      </c>
      <c r="P567" s="1">
        <f t="shared" si="22"/>
        <v>44287</v>
      </c>
      <c r="Q567">
        <f t="shared" si="23"/>
        <v>-335</v>
      </c>
    </row>
    <row r="568" spans="1:17" x14ac:dyDescent="0.25">
      <c r="A568" s="1">
        <f t="shared" si="21"/>
        <v>43952</v>
      </c>
      <c r="B568" t="s">
        <v>146</v>
      </c>
      <c r="C568" t="str">
        <f>_xlfn.XLOOKUP(B568,Phone_by_Price!$A$2:$A$34,Phone_by_Price!$B$2:$B$34,"-",0,1)</f>
        <v>Vivo Y20</v>
      </c>
      <c r="D568" t="str">
        <f>_xlfn.XLOOKUP(C568,Phone_by_Sentiment!$B$2:$B$37,Phone_by_Sentiment!$A$2:$A$37,"-",0,1)</f>
        <v>2020-09</v>
      </c>
      <c r="E568" cm="1">
        <f t="array" ref="E568">IF($Q568&gt;=0,IFERROR(generateSalesData($D568, IF(ISNUMBER(_xlfn.XLOOKUP($C568,Phone_by_Sentiment!$B$2:$B$37,Phone_by_Sentiment!E$2:E$37,"",0,1)),_xlfn.XLOOKUP($C568,Phone_by_Sentiment!$B$2:$B$37,Phone_by_Sentiment!E$2:E$37,"",0,1),0),$A568-TEXT(DATEVALUE($D568&amp;"-01"), "dd-mm-yyyy")),0),0)</f>
        <v>0</v>
      </c>
      <c r="F568" cm="1">
        <f t="array" ref="F568">IF($Q568&gt;=0,IFERROR(generateSalesData($D568, IF(ISNUMBER(_xlfn.XLOOKUP($C568,Phone_by_Sentiment!$B$2:$B$37,Phone_by_Sentiment!F$2:F$37,"",0,1)),_xlfn.XLOOKUP($C568,Phone_by_Sentiment!$B$2:$B$37,Phone_by_Sentiment!F$2:F$37,"",0,1),0),$A568-TEXT(DATEVALUE($D568&amp;"-01"), "dd-mm-yyyy")),0),0)</f>
        <v>0</v>
      </c>
      <c r="G568" cm="1">
        <f t="array" ref="G568">IF($Q568&gt;=0,IFERROR(generateSalesData($D568, IF(ISNUMBER(_xlfn.XLOOKUP($C568,Phone_by_Sentiment!$B$2:$B$37,Phone_by_Sentiment!G$2:G$37,"",0,1)),_xlfn.XLOOKUP($C568,Phone_by_Sentiment!$B$2:$B$37,Phone_by_Sentiment!G$2:G$37,"",0,1),0),$A568-TEXT(DATEVALUE($D568&amp;"-01"), "dd-mm-yyyy")),0),0)</f>
        <v>0</v>
      </c>
      <c r="H568" cm="1">
        <f t="array" ref="H568">IF($Q568&gt;=0,IFERROR(generateSalesData($D568, IF(ISNUMBER(_xlfn.XLOOKUP($C568,Phone_by_Sentiment!$B$2:$B$37,Phone_by_Sentiment!H$2:H$37,"",0,1)),_xlfn.XLOOKUP($C568,Phone_by_Sentiment!$B$2:$B$37,Phone_by_Sentiment!H$2:H$37,"",0,1),0),$A568-TEXT(DATEVALUE($D568&amp;"-01"), "dd-mm-yyyy")),0),0)</f>
        <v>0</v>
      </c>
      <c r="I568" cm="1">
        <f t="array" ref="I568">IF($Q568&gt;=0,IFERROR(generateSalesData($D568, IF(ISNUMBER(_xlfn.XLOOKUP($C568,Phone_by_Sentiment!$B$2:$B$37,Phone_by_Sentiment!I$2:I$37,"",0,1)),_xlfn.XLOOKUP($C568,Phone_by_Sentiment!$B$2:$B$37,Phone_by_Sentiment!I$2:I$37,"",0,1),0),$A568-TEXT(DATEVALUE($D568&amp;"-01"), "dd-mm-yyyy")),0),0)</f>
        <v>0</v>
      </c>
      <c r="J568" cm="1">
        <f t="array" ref="J568">IF($Q568&gt;=0,IFERROR(generateSalesData($D568, IF(ISNUMBER(_xlfn.XLOOKUP($C568,Phone_by_Sentiment!$B$2:$B$37,Phone_by_Sentiment!J$2:J$37,"",0,1)),_xlfn.XLOOKUP($C568,Phone_by_Sentiment!$B$2:$B$37,Phone_by_Sentiment!J$2:J$37,"",0,1),0),$A568-TEXT(DATEVALUE($D568&amp;"-01"), "dd-mm-yyyy")),0),0)</f>
        <v>0</v>
      </c>
      <c r="K568" cm="1">
        <f t="array" ref="K568">IF($Q568&gt;=0,IFERROR(generateSalesData($D568, IF(ISNUMBER(_xlfn.XLOOKUP($C568,Phone_by_Sentiment!$B$2:$B$37,Phone_by_Sentiment!K$2:K$37,"",0,1)),_xlfn.XLOOKUP($C568,Phone_by_Sentiment!$B$2:$B$37,Phone_by_Sentiment!K$2:K$37,"",0,1),0),$A568-TEXT(DATEVALUE($D568&amp;"-01"), "dd-mm-yyyy")),0),0)</f>
        <v>0</v>
      </c>
      <c r="L568" cm="1">
        <f t="array" ref="L568">IF($Q568&gt;=0,IFERROR(generateSalesData($D568, IF(ISNUMBER(_xlfn.XLOOKUP($C568,Phone_by_Sentiment!$B$2:$B$37,Phone_by_Sentiment!L$2:L$37,"",0,1)),_xlfn.XLOOKUP($C568,Phone_by_Sentiment!$B$2:$B$37,Phone_by_Sentiment!L$2:L$37,"",0,1),0),$A568-TEXT(DATEVALUE($D568&amp;"-01"), "dd-mm-yyyy")),0),0)</f>
        <v>0</v>
      </c>
      <c r="M568" cm="1">
        <f t="array" ref="M568">IF($Q568&gt;=0,IFERROR(generateSalesData($D568, IF(ISNUMBER(_xlfn.XLOOKUP($C568,Phone_by_Sentiment!$B$2:$B$37,Phone_by_Sentiment!M$2:M$37,"",0,1)),_xlfn.XLOOKUP($C568,Phone_by_Sentiment!$B$2:$B$37,Phone_by_Sentiment!M$2:M$37,"",0,1),0),$A568-TEXT(DATEVALUE($D568&amp;"-01"), "dd-mm-yyyy")),0),0)</f>
        <v>0</v>
      </c>
      <c r="N568" cm="1">
        <f t="array" ref="N568">IF($Q568&gt;=0,IFERROR(generateSalesData($D568, IF(ISNUMBER(_xlfn.XLOOKUP($C568,Phone_by_Sentiment!$B$2:$B$37,Phone_by_Sentiment!N$2:N$37,"",0,1)),_xlfn.XLOOKUP($C568,Phone_by_Sentiment!$B$2:$B$37,Phone_by_Sentiment!N$2:N$37,"",0,1),0),$A568-TEXT(DATEVALUE($D568&amp;"-01"), "dd-mm-yyyy")),0),0)</f>
        <v>0</v>
      </c>
      <c r="O568" cm="1">
        <f t="array" ref="O568">IF($Q568&gt;=0,IFERROR(generateSalesData($D568, IF(ISNUMBER(_xlfn.XLOOKUP($C568,Phone_by_Sentiment!$B$2:$B$37,Phone_by_Sentiment!O$2:O$37,"",0,1)),_xlfn.XLOOKUP($C568,Phone_by_Sentiment!$B$2:$B$37,Phone_by_Sentiment!O$2:O$37,"",0,1),0),$A568-TEXT(DATEVALUE($D568&amp;"-01"), "dd-mm-yyyy")),0),0)</f>
        <v>0</v>
      </c>
      <c r="P568" s="1">
        <f t="shared" si="22"/>
        <v>44075</v>
      </c>
      <c r="Q568">
        <f t="shared" si="23"/>
        <v>-123</v>
      </c>
    </row>
    <row r="569" spans="1:17" x14ac:dyDescent="0.25">
      <c r="A569" s="1">
        <f t="shared" si="21"/>
        <v>43952</v>
      </c>
      <c r="B569" t="s">
        <v>147</v>
      </c>
      <c r="C569" t="str">
        <f>_xlfn.XLOOKUP(B569,Phone_by_Price!$A$2:$A$34,Phone_by_Price!$B$2:$B$34,"-",0,1)</f>
        <v>Huawei Y9a</v>
      </c>
      <c r="D569" t="str">
        <f>_xlfn.XLOOKUP(C569,Phone_by_Sentiment!$B$2:$B$37,Phone_by_Sentiment!$A$2:$A$37,"-",0,1)</f>
        <v>2020-02</v>
      </c>
      <c r="E569" cm="1">
        <f t="array" ref="E569">IF($Q569&gt;=0,IFERROR(generateSalesData($D569, IF(ISNUMBER(_xlfn.XLOOKUP($C569,Phone_by_Sentiment!$B$2:$B$37,Phone_by_Sentiment!E$2:E$37,"",0,1)),_xlfn.XLOOKUP($C569,Phone_by_Sentiment!$B$2:$B$37,Phone_by_Sentiment!E$2:E$37,"",0,1),0),$A569-TEXT(DATEVALUE($D569&amp;"-01"), "dd-mm-yyyy")),0),0)</f>
        <v>2754</v>
      </c>
      <c r="F569" cm="1">
        <f t="array" ref="F569">IF($Q569&gt;=0,IFERROR(generateSalesData($D569, IF(ISNUMBER(_xlfn.XLOOKUP($C569,Phone_by_Sentiment!$B$2:$B$37,Phone_by_Sentiment!F$2:F$37,"",0,1)),_xlfn.XLOOKUP($C569,Phone_by_Sentiment!$B$2:$B$37,Phone_by_Sentiment!F$2:F$37,"",0,1),0),$A569-TEXT(DATEVALUE($D569&amp;"-01"), "dd-mm-yyyy")),0),0)</f>
        <v>2720</v>
      </c>
      <c r="G569" cm="1">
        <f t="array" ref="G569">IF($Q569&gt;=0,IFERROR(generateSalesData($D569, IF(ISNUMBER(_xlfn.XLOOKUP($C569,Phone_by_Sentiment!$B$2:$B$37,Phone_by_Sentiment!G$2:G$37,"",0,1)),_xlfn.XLOOKUP($C569,Phone_by_Sentiment!$B$2:$B$37,Phone_by_Sentiment!G$2:G$37,"",0,1),0),$A569-TEXT(DATEVALUE($D569&amp;"-01"), "dd-mm-yyyy")),0),0)</f>
        <v>683</v>
      </c>
      <c r="H569" cm="1">
        <f t="array" ref="H569">IF($Q569&gt;=0,IFERROR(generateSalesData($D569, IF(ISNUMBER(_xlfn.XLOOKUP($C569,Phone_by_Sentiment!$B$2:$B$37,Phone_by_Sentiment!H$2:H$37,"",0,1)),_xlfn.XLOOKUP($C569,Phone_by_Sentiment!$B$2:$B$37,Phone_by_Sentiment!H$2:H$37,"",0,1),0),$A569-TEXT(DATEVALUE($D569&amp;"-01"), "dd-mm-yyyy")),0),0)</f>
        <v>402</v>
      </c>
      <c r="I569" cm="1">
        <f t="array" ref="I569">IF($Q569&gt;=0,IFERROR(generateSalesData($D569, IF(ISNUMBER(_xlfn.XLOOKUP($C569,Phone_by_Sentiment!$B$2:$B$37,Phone_by_Sentiment!I$2:I$37,"",0,1)),_xlfn.XLOOKUP($C569,Phone_by_Sentiment!$B$2:$B$37,Phone_by_Sentiment!I$2:I$37,"",0,1),0),$A569-TEXT(DATEVALUE($D569&amp;"-01"), "dd-mm-yyyy")),0),0)</f>
        <v>332</v>
      </c>
      <c r="J569" cm="1">
        <f t="array" ref="J569">IF($Q569&gt;=0,IFERROR(generateSalesData($D569, IF(ISNUMBER(_xlfn.XLOOKUP($C569,Phone_by_Sentiment!$B$2:$B$37,Phone_by_Sentiment!J$2:J$37,"",0,1)),_xlfn.XLOOKUP($C569,Phone_by_Sentiment!$B$2:$B$37,Phone_by_Sentiment!J$2:J$37,"",0,1),0),$A569-TEXT(DATEVALUE($D569&amp;"-01"), "dd-mm-yyyy")),0),0)</f>
        <v>369</v>
      </c>
      <c r="K569" cm="1">
        <f t="array" ref="K569">IF($Q569&gt;=0,IFERROR(generateSalesData($D569, IF(ISNUMBER(_xlfn.XLOOKUP($C569,Phone_by_Sentiment!$B$2:$B$37,Phone_by_Sentiment!K$2:K$37,"",0,1)),_xlfn.XLOOKUP($C569,Phone_by_Sentiment!$B$2:$B$37,Phone_by_Sentiment!K$2:K$37,"",0,1),0),$A569-TEXT(DATEVALUE($D569&amp;"-01"), "dd-mm-yyyy")),0),0)</f>
        <v>476</v>
      </c>
      <c r="L569" cm="1">
        <f t="array" ref="L569">IF($Q569&gt;=0,IFERROR(generateSalesData($D569, IF(ISNUMBER(_xlfn.XLOOKUP($C569,Phone_by_Sentiment!$B$2:$B$37,Phone_by_Sentiment!L$2:L$37,"",0,1)),_xlfn.XLOOKUP($C569,Phone_by_Sentiment!$B$2:$B$37,Phone_by_Sentiment!L$2:L$37,"",0,1),0),$A569-TEXT(DATEVALUE($D569&amp;"-01"), "dd-mm-yyyy")),0),0)</f>
        <v>736</v>
      </c>
      <c r="M569" cm="1">
        <f t="array" ref="M569">IF($Q569&gt;=0,IFERROR(generateSalesData($D569, IF(ISNUMBER(_xlfn.XLOOKUP($C569,Phone_by_Sentiment!$B$2:$B$37,Phone_by_Sentiment!M$2:M$37,"",0,1)),_xlfn.XLOOKUP($C569,Phone_by_Sentiment!$B$2:$B$37,Phone_by_Sentiment!M$2:M$37,"",0,1),0),$A569-TEXT(DATEVALUE($D569&amp;"-01"), "dd-mm-yyyy")),0),0)</f>
        <v>590</v>
      </c>
      <c r="N569" cm="1">
        <f t="array" ref="N569">IF($Q569&gt;=0,IFERROR(generateSalesData($D569, IF(ISNUMBER(_xlfn.XLOOKUP($C569,Phone_by_Sentiment!$B$2:$B$37,Phone_by_Sentiment!N$2:N$37,"",0,1)),_xlfn.XLOOKUP($C569,Phone_by_Sentiment!$B$2:$B$37,Phone_by_Sentiment!N$2:N$37,"",0,1),0),$A569-TEXT(DATEVALUE($D569&amp;"-01"), "dd-mm-yyyy")),0),0)</f>
        <v>723</v>
      </c>
      <c r="O569" cm="1">
        <f t="array" ref="O569">IF($Q569&gt;=0,IFERROR(generateSalesData($D569, IF(ISNUMBER(_xlfn.XLOOKUP($C569,Phone_by_Sentiment!$B$2:$B$37,Phone_by_Sentiment!O$2:O$37,"",0,1)),_xlfn.XLOOKUP($C569,Phone_by_Sentiment!$B$2:$B$37,Phone_by_Sentiment!O$2:O$37,"",0,1),0),$A569-TEXT(DATEVALUE($D569&amp;"-01"), "dd-mm-yyyy")),0),0)</f>
        <v>865</v>
      </c>
      <c r="P569" s="1">
        <f t="shared" si="22"/>
        <v>43862</v>
      </c>
      <c r="Q569">
        <f t="shared" si="23"/>
        <v>90</v>
      </c>
    </row>
    <row r="570" spans="1:17" x14ac:dyDescent="0.25">
      <c r="A570" s="1">
        <f t="shared" si="21"/>
        <v>43952</v>
      </c>
      <c r="B570" t="s">
        <v>148</v>
      </c>
      <c r="C570" t="str">
        <f>_xlfn.XLOOKUP(B570,Phone_by_Price!$A$2:$A$34,Phone_by_Price!$B$2:$B$34,"-",0,1)</f>
        <v>Xiaomi Redmi 10</v>
      </c>
      <c r="D570" t="str">
        <f>_xlfn.XLOOKUP(C570,Phone_by_Sentiment!$B$2:$B$37,Phone_by_Sentiment!$A$2:$A$37,"-",0,1)</f>
        <v>2021-03</v>
      </c>
      <c r="E570" cm="1">
        <f t="array" ref="E570">IF($Q570&gt;=0,IFERROR(generateSalesData($D570, IF(ISNUMBER(_xlfn.XLOOKUP($C570,Phone_by_Sentiment!$B$2:$B$37,Phone_by_Sentiment!E$2:E$37,"",0,1)),_xlfn.XLOOKUP($C570,Phone_by_Sentiment!$B$2:$B$37,Phone_by_Sentiment!E$2:E$37,"",0,1),0),$A570-TEXT(DATEVALUE($D570&amp;"-01"), "dd-mm-yyyy")),0),0)</f>
        <v>0</v>
      </c>
      <c r="F570" cm="1">
        <f t="array" ref="F570">IF($Q570&gt;=0,IFERROR(generateSalesData($D570, IF(ISNUMBER(_xlfn.XLOOKUP($C570,Phone_by_Sentiment!$B$2:$B$37,Phone_by_Sentiment!F$2:F$37,"",0,1)),_xlfn.XLOOKUP($C570,Phone_by_Sentiment!$B$2:$B$37,Phone_by_Sentiment!F$2:F$37,"",0,1),0),$A570-TEXT(DATEVALUE($D570&amp;"-01"), "dd-mm-yyyy")),0),0)</f>
        <v>0</v>
      </c>
      <c r="G570" cm="1">
        <f t="array" ref="G570">IF($Q570&gt;=0,IFERROR(generateSalesData($D570, IF(ISNUMBER(_xlfn.XLOOKUP($C570,Phone_by_Sentiment!$B$2:$B$37,Phone_by_Sentiment!G$2:G$37,"",0,1)),_xlfn.XLOOKUP($C570,Phone_by_Sentiment!$B$2:$B$37,Phone_by_Sentiment!G$2:G$37,"",0,1),0),$A570-TEXT(DATEVALUE($D570&amp;"-01"), "dd-mm-yyyy")),0),0)</f>
        <v>0</v>
      </c>
      <c r="H570" cm="1">
        <f t="array" ref="H570">IF($Q570&gt;=0,IFERROR(generateSalesData($D570, IF(ISNUMBER(_xlfn.XLOOKUP($C570,Phone_by_Sentiment!$B$2:$B$37,Phone_by_Sentiment!H$2:H$37,"",0,1)),_xlfn.XLOOKUP($C570,Phone_by_Sentiment!$B$2:$B$37,Phone_by_Sentiment!H$2:H$37,"",0,1),0),$A570-TEXT(DATEVALUE($D570&amp;"-01"), "dd-mm-yyyy")),0),0)</f>
        <v>0</v>
      </c>
      <c r="I570" cm="1">
        <f t="array" ref="I570">IF($Q570&gt;=0,IFERROR(generateSalesData($D570, IF(ISNUMBER(_xlfn.XLOOKUP($C570,Phone_by_Sentiment!$B$2:$B$37,Phone_by_Sentiment!I$2:I$37,"",0,1)),_xlfn.XLOOKUP($C570,Phone_by_Sentiment!$B$2:$B$37,Phone_by_Sentiment!I$2:I$37,"",0,1),0),$A570-TEXT(DATEVALUE($D570&amp;"-01"), "dd-mm-yyyy")),0),0)</f>
        <v>0</v>
      </c>
      <c r="J570" cm="1">
        <f t="array" ref="J570">IF($Q570&gt;=0,IFERROR(generateSalesData($D570, IF(ISNUMBER(_xlfn.XLOOKUP($C570,Phone_by_Sentiment!$B$2:$B$37,Phone_by_Sentiment!J$2:J$37,"",0,1)),_xlfn.XLOOKUP($C570,Phone_by_Sentiment!$B$2:$B$37,Phone_by_Sentiment!J$2:J$37,"",0,1),0),$A570-TEXT(DATEVALUE($D570&amp;"-01"), "dd-mm-yyyy")),0),0)</f>
        <v>0</v>
      </c>
      <c r="K570" cm="1">
        <f t="array" ref="K570">IF($Q570&gt;=0,IFERROR(generateSalesData($D570, IF(ISNUMBER(_xlfn.XLOOKUP($C570,Phone_by_Sentiment!$B$2:$B$37,Phone_by_Sentiment!K$2:K$37,"",0,1)),_xlfn.XLOOKUP($C570,Phone_by_Sentiment!$B$2:$B$37,Phone_by_Sentiment!K$2:K$37,"",0,1),0),$A570-TEXT(DATEVALUE($D570&amp;"-01"), "dd-mm-yyyy")),0),0)</f>
        <v>0</v>
      </c>
      <c r="L570" cm="1">
        <f t="array" ref="L570">IF($Q570&gt;=0,IFERROR(generateSalesData($D570, IF(ISNUMBER(_xlfn.XLOOKUP($C570,Phone_by_Sentiment!$B$2:$B$37,Phone_by_Sentiment!L$2:L$37,"",0,1)),_xlfn.XLOOKUP($C570,Phone_by_Sentiment!$B$2:$B$37,Phone_by_Sentiment!L$2:L$37,"",0,1),0),$A570-TEXT(DATEVALUE($D570&amp;"-01"), "dd-mm-yyyy")),0),0)</f>
        <v>0</v>
      </c>
      <c r="M570" cm="1">
        <f t="array" ref="M570">IF($Q570&gt;=0,IFERROR(generateSalesData($D570, IF(ISNUMBER(_xlfn.XLOOKUP($C570,Phone_by_Sentiment!$B$2:$B$37,Phone_by_Sentiment!M$2:M$37,"",0,1)),_xlfn.XLOOKUP($C570,Phone_by_Sentiment!$B$2:$B$37,Phone_by_Sentiment!M$2:M$37,"",0,1),0),$A570-TEXT(DATEVALUE($D570&amp;"-01"), "dd-mm-yyyy")),0),0)</f>
        <v>0</v>
      </c>
      <c r="N570" cm="1">
        <f t="array" ref="N570">IF($Q570&gt;=0,IFERROR(generateSalesData($D570, IF(ISNUMBER(_xlfn.XLOOKUP($C570,Phone_by_Sentiment!$B$2:$B$37,Phone_by_Sentiment!N$2:N$37,"",0,1)),_xlfn.XLOOKUP($C570,Phone_by_Sentiment!$B$2:$B$37,Phone_by_Sentiment!N$2:N$37,"",0,1),0),$A570-TEXT(DATEVALUE($D570&amp;"-01"), "dd-mm-yyyy")),0),0)</f>
        <v>0</v>
      </c>
      <c r="O570" cm="1">
        <f t="array" ref="O570">IF($Q570&gt;=0,IFERROR(generateSalesData($D570, IF(ISNUMBER(_xlfn.XLOOKUP($C570,Phone_by_Sentiment!$B$2:$B$37,Phone_by_Sentiment!O$2:O$37,"",0,1)),_xlfn.XLOOKUP($C570,Phone_by_Sentiment!$B$2:$B$37,Phone_by_Sentiment!O$2:O$37,"",0,1),0),$A570-TEXT(DATEVALUE($D570&amp;"-01"), "dd-mm-yyyy")),0),0)</f>
        <v>0</v>
      </c>
      <c r="P570" s="1">
        <f t="shared" si="22"/>
        <v>44256</v>
      </c>
      <c r="Q570">
        <f t="shared" si="23"/>
        <v>-304</v>
      </c>
    </row>
    <row r="571" spans="1:17" x14ac:dyDescent="0.25">
      <c r="A571" s="1">
        <f t="shared" si="21"/>
        <v>43952</v>
      </c>
      <c r="B571" t="s">
        <v>149</v>
      </c>
      <c r="C571" t="str">
        <f>_xlfn.XLOOKUP(B571,Phone_by_Price!$A$2:$A$34,Phone_by_Price!$B$2:$B$34,"-",0,1)</f>
        <v>Samsung Galaxy A52</v>
      </c>
      <c r="D571" t="str">
        <f>_xlfn.XLOOKUP(C571,Phone_by_Sentiment!$B$2:$B$37,Phone_by_Sentiment!$A$2:$A$37,"-",0,1)</f>
        <v>2021-03</v>
      </c>
      <c r="E571" cm="1">
        <f t="array" ref="E571">IF($Q571&gt;=0,IFERROR(generateSalesData($D571, IF(ISNUMBER(_xlfn.XLOOKUP($C571,Phone_by_Sentiment!$B$2:$B$37,Phone_by_Sentiment!E$2:E$37,"",0,1)),_xlfn.XLOOKUP($C571,Phone_by_Sentiment!$B$2:$B$37,Phone_by_Sentiment!E$2:E$37,"",0,1),0),$A571-TEXT(DATEVALUE($D571&amp;"-01"), "dd-mm-yyyy")),0),0)</f>
        <v>0</v>
      </c>
      <c r="F571" cm="1">
        <f t="array" ref="F571">IF($Q571&gt;=0,IFERROR(generateSalesData($D571, IF(ISNUMBER(_xlfn.XLOOKUP($C571,Phone_by_Sentiment!$B$2:$B$37,Phone_by_Sentiment!F$2:F$37,"",0,1)),_xlfn.XLOOKUP($C571,Phone_by_Sentiment!$B$2:$B$37,Phone_by_Sentiment!F$2:F$37,"",0,1),0),$A571-TEXT(DATEVALUE($D571&amp;"-01"), "dd-mm-yyyy")),0),0)</f>
        <v>0</v>
      </c>
      <c r="G571" cm="1">
        <f t="array" ref="G571">IF($Q571&gt;=0,IFERROR(generateSalesData($D571, IF(ISNUMBER(_xlfn.XLOOKUP($C571,Phone_by_Sentiment!$B$2:$B$37,Phone_by_Sentiment!G$2:G$37,"",0,1)),_xlfn.XLOOKUP($C571,Phone_by_Sentiment!$B$2:$B$37,Phone_by_Sentiment!G$2:G$37,"",0,1),0),$A571-TEXT(DATEVALUE($D571&amp;"-01"), "dd-mm-yyyy")),0),0)</f>
        <v>0</v>
      </c>
      <c r="H571" cm="1">
        <f t="array" ref="H571">IF($Q571&gt;=0,IFERROR(generateSalesData($D571, IF(ISNUMBER(_xlfn.XLOOKUP($C571,Phone_by_Sentiment!$B$2:$B$37,Phone_by_Sentiment!H$2:H$37,"",0,1)),_xlfn.XLOOKUP($C571,Phone_by_Sentiment!$B$2:$B$37,Phone_by_Sentiment!H$2:H$37,"",0,1),0),$A571-TEXT(DATEVALUE($D571&amp;"-01"), "dd-mm-yyyy")),0),0)</f>
        <v>0</v>
      </c>
      <c r="I571" cm="1">
        <f t="array" ref="I571">IF($Q571&gt;=0,IFERROR(generateSalesData($D571, IF(ISNUMBER(_xlfn.XLOOKUP($C571,Phone_by_Sentiment!$B$2:$B$37,Phone_by_Sentiment!I$2:I$37,"",0,1)),_xlfn.XLOOKUP($C571,Phone_by_Sentiment!$B$2:$B$37,Phone_by_Sentiment!I$2:I$37,"",0,1),0),$A571-TEXT(DATEVALUE($D571&amp;"-01"), "dd-mm-yyyy")),0),0)</f>
        <v>0</v>
      </c>
      <c r="J571" cm="1">
        <f t="array" ref="J571">IF($Q571&gt;=0,IFERROR(generateSalesData($D571, IF(ISNUMBER(_xlfn.XLOOKUP($C571,Phone_by_Sentiment!$B$2:$B$37,Phone_by_Sentiment!J$2:J$37,"",0,1)),_xlfn.XLOOKUP($C571,Phone_by_Sentiment!$B$2:$B$37,Phone_by_Sentiment!J$2:J$37,"",0,1),0),$A571-TEXT(DATEVALUE($D571&amp;"-01"), "dd-mm-yyyy")),0),0)</f>
        <v>0</v>
      </c>
      <c r="K571" cm="1">
        <f t="array" ref="K571">IF($Q571&gt;=0,IFERROR(generateSalesData($D571, IF(ISNUMBER(_xlfn.XLOOKUP($C571,Phone_by_Sentiment!$B$2:$B$37,Phone_by_Sentiment!K$2:K$37,"",0,1)),_xlfn.XLOOKUP($C571,Phone_by_Sentiment!$B$2:$B$37,Phone_by_Sentiment!K$2:K$37,"",0,1),0),$A571-TEXT(DATEVALUE($D571&amp;"-01"), "dd-mm-yyyy")),0),0)</f>
        <v>0</v>
      </c>
      <c r="L571" cm="1">
        <f t="array" ref="L571">IF($Q571&gt;=0,IFERROR(generateSalesData($D571, IF(ISNUMBER(_xlfn.XLOOKUP($C571,Phone_by_Sentiment!$B$2:$B$37,Phone_by_Sentiment!L$2:L$37,"",0,1)),_xlfn.XLOOKUP($C571,Phone_by_Sentiment!$B$2:$B$37,Phone_by_Sentiment!L$2:L$37,"",0,1),0),$A571-TEXT(DATEVALUE($D571&amp;"-01"), "dd-mm-yyyy")),0),0)</f>
        <v>0</v>
      </c>
      <c r="M571" cm="1">
        <f t="array" ref="M571">IF($Q571&gt;=0,IFERROR(generateSalesData($D571, IF(ISNUMBER(_xlfn.XLOOKUP($C571,Phone_by_Sentiment!$B$2:$B$37,Phone_by_Sentiment!M$2:M$37,"",0,1)),_xlfn.XLOOKUP($C571,Phone_by_Sentiment!$B$2:$B$37,Phone_by_Sentiment!M$2:M$37,"",0,1),0),$A571-TEXT(DATEVALUE($D571&amp;"-01"), "dd-mm-yyyy")),0),0)</f>
        <v>0</v>
      </c>
      <c r="N571" cm="1">
        <f t="array" ref="N571">IF($Q571&gt;=0,IFERROR(generateSalesData($D571, IF(ISNUMBER(_xlfn.XLOOKUP($C571,Phone_by_Sentiment!$B$2:$B$37,Phone_by_Sentiment!N$2:N$37,"",0,1)),_xlfn.XLOOKUP($C571,Phone_by_Sentiment!$B$2:$B$37,Phone_by_Sentiment!N$2:N$37,"",0,1),0),$A571-TEXT(DATEVALUE($D571&amp;"-01"), "dd-mm-yyyy")),0),0)</f>
        <v>0</v>
      </c>
      <c r="O571" cm="1">
        <f t="array" ref="O571">IF($Q571&gt;=0,IFERROR(generateSalesData($D571, IF(ISNUMBER(_xlfn.XLOOKUP($C571,Phone_by_Sentiment!$B$2:$B$37,Phone_by_Sentiment!O$2:O$37,"",0,1)),_xlfn.XLOOKUP($C571,Phone_by_Sentiment!$B$2:$B$37,Phone_by_Sentiment!O$2:O$37,"",0,1),0),$A571-TEXT(DATEVALUE($D571&amp;"-01"), "dd-mm-yyyy")),0),0)</f>
        <v>0</v>
      </c>
      <c r="P571" s="1">
        <f t="shared" si="22"/>
        <v>44256</v>
      </c>
      <c r="Q571">
        <f t="shared" si="23"/>
        <v>-304</v>
      </c>
    </row>
    <row r="572" spans="1:17" x14ac:dyDescent="0.25">
      <c r="A572" s="1">
        <f t="shared" si="21"/>
        <v>43952</v>
      </c>
      <c r="B572" t="s">
        <v>150</v>
      </c>
      <c r="C572" t="str">
        <f>_xlfn.XLOOKUP(B572,Phone_by_Price!$A$2:$A$34,Phone_by_Price!$B$2:$B$34,"-",0,1)</f>
        <v>Vivo Y33s</v>
      </c>
      <c r="D572" t="str">
        <f>_xlfn.XLOOKUP(C572,Phone_by_Sentiment!$B$2:$B$37,Phone_by_Sentiment!$A$2:$A$37,"-",0,1)</f>
        <v>2021-05</v>
      </c>
      <c r="E572" cm="1">
        <f t="array" ref="E572">IF($Q572&gt;=0,IFERROR(generateSalesData($D572, IF(ISNUMBER(_xlfn.XLOOKUP($C572,Phone_by_Sentiment!$B$2:$B$37,Phone_by_Sentiment!E$2:E$37,"",0,1)),_xlfn.XLOOKUP($C572,Phone_by_Sentiment!$B$2:$B$37,Phone_by_Sentiment!E$2:E$37,"",0,1),0),$A572-TEXT(DATEVALUE($D572&amp;"-01"), "dd-mm-yyyy")),0),0)</f>
        <v>0</v>
      </c>
      <c r="F572" cm="1">
        <f t="array" ref="F572">IF($Q572&gt;=0,IFERROR(generateSalesData($D572, IF(ISNUMBER(_xlfn.XLOOKUP($C572,Phone_by_Sentiment!$B$2:$B$37,Phone_by_Sentiment!F$2:F$37,"",0,1)),_xlfn.XLOOKUP($C572,Phone_by_Sentiment!$B$2:$B$37,Phone_by_Sentiment!F$2:F$37,"",0,1),0),$A572-TEXT(DATEVALUE($D572&amp;"-01"), "dd-mm-yyyy")),0),0)</f>
        <v>0</v>
      </c>
      <c r="G572" cm="1">
        <f t="array" ref="G572">IF($Q572&gt;=0,IFERROR(generateSalesData($D572, IF(ISNUMBER(_xlfn.XLOOKUP($C572,Phone_by_Sentiment!$B$2:$B$37,Phone_by_Sentiment!G$2:G$37,"",0,1)),_xlfn.XLOOKUP($C572,Phone_by_Sentiment!$B$2:$B$37,Phone_by_Sentiment!G$2:G$37,"",0,1),0),$A572-TEXT(DATEVALUE($D572&amp;"-01"), "dd-mm-yyyy")),0),0)</f>
        <v>0</v>
      </c>
      <c r="H572" cm="1">
        <f t="array" ref="H572">IF($Q572&gt;=0,IFERROR(generateSalesData($D572, IF(ISNUMBER(_xlfn.XLOOKUP($C572,Phone_by_Sentiment!$B$2:$B$37,Phone_by_Sentiment!H$2:H$37,"",0,1)),_xlfn.XLOOKUP($C572,Phone_by_Sentiment!$B$2:$B$37,Phone_by_Sentiment!H$2:H$37,"",0,1),0),$A572-TEXT(DATEVALUE($D572&amp;"-01"), "dd-mm-yyyy")),0),0)</f>
        <v>0</v>
      </c>
      <c r="I572" cm="1">
        <f t="array" ref="I572">IF($Q572&gt;=0,IFERROR(generateSalesData($D572, IF(ISNUMBER(_xlfn.XLOOKUP($C572,Phone_by_Sentiment!$B$2:$B$37,Phone_by_Sentiment!I$2:I$37,"",0,1)),_xlfn.XLOOKUP($C572,Phone_by_Sentiment!$B$2:$B$37,Phone_by_Sentiment!I$2:I$37,"",0,1),0),$A572-TEXT(DATEVALUE($D572&amp;"-01"), "dd-mm-yyyy")),0),0)</f>
        <v>0</v>
      </c>
      <c r="J572" cm="1">
        <f t="array" ref="J572">IF($Q572&gt;=0,IFERROR(generateSalesData($D572, IF(ISNUMBER(_xlfn.XLOOKUP($C572,Phone_by_Sentiment!$B$2:$B$37,Phone_by_Sentiment!J$2:J$37,"",0,1)),_xlfn.XLOOKUP($C572,Phone_by_Sentiment!$B$2:$B$37,Phone_by_Sentiment!J$2:J$37,"",0,1),0),$A572-TEXT(DATEVALUE($D572&amp;"-01"), "dd-mm-yyyy")),0),0)</f>
        <v>0</v>
      </c>
      <c r="K572" cm="1">
        <f t="array" ref="K572">IF($Q572&gt;=0,IFERROR(generateSalesData($D572, IF(ISNUMBER(_xlfn.XLOOKUP($C572,Phone_by_Sentiment!$B$2:$B$37,Phone_by_Sentiment!K$2:K$37,"",0,1)),_xlfn.XLOOKUP($C572,Phone_by_Sentiment!$B$2:$B$37,Phone_by_Sentiment!K$2:K$37,"",0,1),0),$A572-TEXT(DATEVALUE($D572&amp;"-01"), "dd-mm-yyyy")),0),0)</f>
        <v>0</v>
      </c>
      <c r="L572" cm="1">
        <f t="array" ref="L572">IF($Q572&gt;=0,IFERROR(generateSalesData($D572, IF(ISNUMBER(_xlfn.XLOOKUP($C572,Phone_by_Sentiment!$B$2:$B$37,Phone_by_Sentiment!L$2:L$37,"",0,1)),_xlfn.XLOOKUP($C572,Phone_by_Sentiment!$B$2:$B$37,Phone_by_Sentiment!L$2:L$37,"",0,1),0),$A572-TEXT(DATEVALUE($D572&amp;"-01"), "dd-mm-yyyy")),0),0)</f>
        <v>0</v>
      </c>
      <c r="M572" cm="1">
        <f t="array" ref="M572">IF($Q572&gt;=0,IFERROR(generateSalesData($D572, IF(ISNUMBER(_xlfn.XLOOKUP($C572,Phone_by_Sentiment!$B$2:$B$37,Phone_by_Sentiment!M$2:M$37,"",0,1)),_xlfn.XLOOKUP($C572,Phone_by_Sentiment!$B$2:$B$37,Phone_by_Sentiment!M$2:M$37,"",0,1),0),$A572-TEXT(DATEVALUE($D572&amp;"-01"), "dd-mm-yyyy")),0),0)</f>
        <v>0</v>
      </c>
      <c r="N572" cm="1">
        <f t="array" ref="N572">IF($Q572&gt;=0,IFERROR(generateSalesData($D572, IF(ISNUMBER(_xlfn.XLOOKUP($C572,Phone_by_Sentiment!$B$2:$B$37,Phone_by_Sentiment!N$2:N$37,"",0,1)),_xlfn.XLOOKUP($C572,Phone_by_Sentiment!$B$2:$B$37,Phone_by_Sentiment!N$2:N$37,"",0,1),0),$A572-TEXT(DATEVALUE($D572&amp;"-01"), "dd-mm-yyyy")),0),0)</f>
        <v>0</v>
      </c>
      <c r="O572" cm="1">
        <f t="array" ref="O572">IF($Q572&gt;=0,IFERROR(generateSalesData($D572, IF(ISNUMBER(_xlfn.XLOOKUP($C572,Phone_by_Sentiment!$B$2:$B$37,Phone_by_Sentiment!O$2:O$37,"",0,1)),_xlfn.XLOOKUP($C572,Phone_by_Sentiment!$B$2:$B$37,Phone_by_Sentiment!O$2:O$37,"",0,1),0),$A572-TEXT(DATEVALUE($D572&amp;"-01"), "dd-mm-yyyy")),0),0)</f>
        <v>0</v>
      </c>
      <c r="P572" s="1">
        <f t="shared" si="22"/>
        <v>44317</v>
      </c>
      <c r="Q572">
        <f t="shared" si="23"/>
        <v>-365</v>
      </c>
    </row>
    <row r="573" spans="1:17" x14ac:dyDescent="0.25">
      <c r="A573" s="1">
        <f t="shared" si="21"/>
        <v>43952</v>
      </c>
      <c r="B573" t="s">
        <v>151</v>
      </c>
      <c r="C573" t="str">
        <f>_xlfn.XLOOKUP(B573,Phone_by_Price!$A$2:$A$34,Phone_by_Price!$B$2:$B$34,"-",0,1)</f>
        <v>Vivo Y11s</v>
      </c>
      <c r="D573" t="str">
        <f>_xlfn.XLOOKUP(C573,Phone_by_Sentiment!$B$2:$B$37,Phone_by_Sentiment!$A$2:$A$37,"-",0,1)</f>
        <v>2020-11</v>
      </c>
      <c r="E573" cm="1">
        <f t="array" ref="E573">IF($Q573&gt;=0,IFERROR(generateSalesData($D573, IF(ISNUMBER(_xlfn.XLOOKUP($C573,Phone_by_Sentiment!$B$2:$B$37,Phone_by_Sentiment!E$2:E$37,"",0,1)),_xlfn.XLOOKUP($C573,Phone_by_Sentiment!$B$2:$B$37,Phone_by_Sentiment!E$2:E$37,"",0,1),0),$A573-TEXT(DATEVALUE($D573&amp;"-01"), "dd-mm-yyyy")),0),0)</f>
        <v>0</v>
      </c>
      <c r="F573" cm="1">
        <f t="array" ref="F573">IF($Q573&gt;=0,IFERROR(generateSalesData($D573, IF(ISNUMBER(_xlfn.XLOOKUP($C573,Phone_by_Sentiment!$B$2:$B$37,Phone_by_Sentiment!F$2:F$37,"",0,1)),_xlfn.XLOOKUP($C573,Phone_by_Sentiment!$B$2:$B$37,Phone_by_Sentiment!F$2:F$37,"",0,1),0),$A573-TEXT(DATEVALUE($D573&amp;"-01"), "dd-mm-yyyy")),0),0)</f>
        <v>0</v>
      </c>
      <c r="G573" cm="1">
        <f t="array" ref="G573">IF($Q573&gt;=0,IFERROR(generateSalesData($D573, IF(ISNUMBER(_xlfn.XLOOKUP($C573,Phone_by_Sentiment!$B$2:$B$37,Phone_by_Sentiment!G$2:G$37,"",0,1)),_xlfn.XLOOKUP($C573,Phone_by_Sentiment!$B$2:$B$37,Phone_by_Sentiment!G$2:G$37,"",0,1),0),$A573-TEXT(DATEVALUE($D573&amp;"-01"), "dd-mm-yyyy")),0),0)</f>
        <v>0</v>
      </c>
      <c r="H573" cm="1">
        <f t="array" ref="H573">IF($Q573&gt;=0,IFERROR(generateSalesData($D573, IF(ISNUMBER(_xlfn.XLOOKUP($C573,Phone_by_Sentiment!$B$2:$B$37,Phone_by_Sentiment!H$2:H$37,"",0,1)),_xlfn.XLOOKUP($C573,Phone_by_Sentiment!$B$2:$B$37,Phone_by_Sentiment!H$2:H$37,"",0,1),0),$A573-TEXT(DATEVALUE($D573&amp;"-01"), "dd-mm-yyyy")),0),0)</f>
        <v>0</v>
      </c>
      <c r="I573" cm="1">
        <f t="array" ref="I573">IF($Q573&gt;=0,IFERROR(generateSalesData($D573, IF(ISNUMBER(_xlfn.XLOOKUP($C573,Phone_by_Sentiment!$B$2:$B$37,Phone_by_Sentiment!I$2:I$37,"",0,1)),_xlfn.XLOOKUP($C573,Phone_by_Sentiment!$B$2:$B$37,Phone_by_Sentiment!I$2:I$37,"",0,1),0),$A573-TEXT(DATEVALUE($D573&amp;"-01"), "dd-mm-yyyy")),0),0)</f>
        <v>0</v>
      </c>
      <c r="J573" cm="1">
        <f t="array" ref="J573">IF($Q573&gt;=0,IFERROR(generateSalesData($D573, IF(ISNUMBER(_xlfn.XLOOKUP($C573,Phone_by_Sentiment!$B$2:$B$37,Phone_by_Sentiment!J$2:J$37,"",0,1)),_xlfn.XLOOKUP($C573,Phone_by_Sentiment!$B$2:$B$37,Phone_by_Sentiment!J$2:J$37,"",0,1),0),$A573-TEXT(DATEVALUE($D573&amp;"-01"), "dd-mm-yyyy")),0),0)</f>
        <v>0</v>
      </c>
      <c r="K573" cm="1">
        <f t="array" ref="K573">IF($Q573&gt;=0,IFERROR(generateSalesData($D573, IF(ISNUMBER(_xlfn.XLOOKUP($C573,Phone_by_Sentiment!$B$2:$B$37,Phone_by_Sentiment!K$2:K$37,"",0,1)),_xlfn.XLOOKUP($C573,Phone_by_Sentiment!$B$2:$B$37,Phone_by_Sentiment!K$2:K$37,"",0,1),0),$A573-TEXT(DATEVALUE($D573&amp;"-01"), "dd-mm-yyyy")),0),0)</f>
        <v>0</v>
      </c>
      <c r="L573" cm="1">
        <f t="array" ref="L573">IF($Q573&gt;=0,IFERROR(generateSalesData($D573, IF(ISNUMBER(_xlfn.XLOOKUP($C573,Phone_by_Sentiment!$B$2:$B$37,Phone_by_Sentiment!L$2:L$37,"",0,1)),_xlfn.XLOOKUP($C573,Phone_by_Sentiment!$B$2:$B$37,Phone_by_Sentiment!L$2:L$37,"",0,1),0),$A573-TEXT(DATEVALUE($D573&amp;"-01"), "dd-mm-yyyy")),0),0)</f>
        <v>0</v>
      </c>
      <c r="M573" cm="1">
        <f t="array" ref="M573">IF($Q573&gt;=0,IFERROR(generateSalesData($D573, IF(ISNUMBER(_xlfn.XLOOKUP($C573,Phone_by_Sentiment!$B$2:$B$37,Phone_by_Sentiment!M$2:M$37,"",0,1)),_xlfn.XLOOKUP($C573,Phone_by_Sentiment!$B$2:$B$37,Phone_by_Sentiment!M$2:M$37,"",0,1),0),$A573-TEXT(DATEVALUE($D573&amp;"-01"), "dd-mm-yyyy")),0),0)</f>
        <v>0</v>
      </c>
      <c r="N573" cm="1">
        <f t="array" ref="N573">IF($Q573&gt;=0,IFERROR(generateSalesData($D573, IF(ISNUMBER(_xlfn.XLOOKUP($C573,Phone_by_Sentiment!$B$2:$B$37,Phone_by_Sentiment!N$2:N$37,"",0,1)),_xlfn.XLOOKUP($C573,Phone_by_Sentiment!$B$2:$B$37,Phone_by_Sentiment!N$2:N$37,"",0,1),0),$A573-TEXT(DATEVALUE($D573&amp;"-01"), "dd-mm-yyyy")),0),0)</f>
        <v>0</v>
      </c>
      <c r="O573" cm="1">
        <f t="array" ref="O573">IF($Q573&gt;=0,IFERROR(generateSalesData($D573, IF(ISNUMBER(_xlfn.XLOOKUP($C573,Phone_by_Sentiment!$B$2:$B$37,Phone_by_Sentiment!O$2:O$37,"",0,1)),_xlfn.XLOOKUP($C573,Phone_by_Sentiment!$B$2:$B$37,Phone_by_Sentiment!O$2:O$37,"",0,1),0),$A573-TEXT(DATEVALUE($D573&amp;"-01"), "dd-mm-yyyy")),0),0)</f>
        <v>0</v>
      </c>
      <c r="P573" s="1">
        <f t="shared" si="22"/>
        <v>44136</v>
      </c>
      <c r="Q573">
        <f t="shared" si="23"/>
        <v>-184</v>
      </c>
    </row>
    <row r="574" spans="1:17" x14ac:dyDescent="0.25">
      <c r="A574" s="1">
        <f t="shared" si="21"/>
        <v>43952</v>
      </c>
      <c r="B574" t="s">
        <v>152</v>
      </c>
      <c r="C574" t="str">
        <f>_xlfn.XLOOKUP(B574,Phone_by_Price!$A$2:$A$34,Phone_by_Price!$B$2:$B$34,"-",0,1)</f>
        <v>Huawei Nova 7i</v>
      </c>
      <c r="D574" t="str">
        <f>_xlfn.XLOOKUP(C574,Phone_by_Sentiment!$B$2:$B$37,Phone_by_Sentiment!$A$2:$A$37,"-",0,1)</f>
        <v>2020-02</v>
      </c>
      <c r="E574" cm="1">
        <f t="array" ref="E574">IF($Q574&gt;=0,IFERROR(generateSalesData($D574, IF(ISNUMBER(_xlfn.XLOOKUP($C574,Phone_by_Sentiment!$B$2:$B$37,Phone_by_Sentiment!E$2:E$37,"",0,1)),_xlfn.XLOOKUP($C574,Phone_by_Sentiment!$B$2:$B$37,Phone_by_Sentiment!E$2:E$37,"",0,1),0),$A574-TEXT(DATEVALUE($D574&amp;"-01"), "dd-mm-yyyy")),0),0)</f>
        <v>755</v>
      </c>
      <c r="F574" cm="1">
        <f t="array" ref="F574">IF($Q574&gt;=0,IFERROR(generateSalesData($D574, IF(ISNUMBER(_xlfn.XLOOKUP($C574,Phone_by_Sentiment!$B$2:$B$37,Phone_by_Sentiment!F$2:F$37,"",0,1)),_xlfn.XLOOKUP($C574,Phone_by_Sentiment!$B$2:$B$37,Phone_by_Sentiment!F$2:F$37,"",0,1),0),$A574-TEXT(DATEVALUE($D574&amp;"-01"), "dd-mm-yyyy")),0),0)</f>
        <v>1065</v>
      </c>
      <c r="G574" cm="1">
        <f t="array" ref="G574">IF($Q574&gt;=0,IFERROR(generateSalesData($D574, IF(ISNUMBER(_xlfn.XLOOKUP($C574,Phone_by_Sentiment!$B$2:$B$37,Phone_by_Sentiment!G$2:G$37,"",0,1)),_xlfn.XLOOKUP($C574,Phone_by_Sentiment!$B$2:$B$37,Phone_by_Sentiment!G$2:G$37,"",0,1),0),$A574-TEXT(DATEVALUE($D574&amp;"-01"), "dd-mm-yyyy")),0),0)</f>
        <v>1306</v>
      </c>
      <c r="H574" cm="1">
        <f t="array" ref="H574">IF($Q574&gt;=0,IFERROR(generateSalesData($D574, IF(ISNUMBER(_xlfn.XLOOKUP($C574,Phone_by_Sentiment!$B$2:$B$37,Phone_by_Sentiment!H$2:H$37,"",0,1)),_xlfn.XLOOKUP($C574,Phone_by_Sentiment!$B$2:$B$37,Phone_by_Sentiment!H$2:H$37,"",0,1),0),$A574-TEXT(DATEVALUE($D574&amp;"-01"), "dd-mm-yyyy")),0),0)</f>
        <v>3508</v>
      </c>
      <c r="I574" cm="1">
        <f t="array" ref="I574">IF($Q574&gt;=0,IFERROR(generateSalesData($D574, IF(ISNUMBER(_xlfn.XLOOKUP($C574,Phone_by_Sentiment!$B$2:$B$37,Phone_by_Sentiment!I$2:I$37,"",0,1)),_xlfn.XLOOKUP($C574,Phone_by_Sentiment!$B$2:$B$37,Phone_by_Sentiment!I$2:I$37,"",0,1),0),$A574-TEXT(DATEVALUE($D574&amp;"-01"), "dd-mm-yyyy")),0),0)</f>
        <v>1236</v>
      </c>
      <c r="J574" cm="1">
        <f t="array" ref="J574">IF($Q574&gt;=0,IFERROR(generateSalesData($D574, IF(ISNUMBER(_xlfn.XLOOKUP($C574,Phone_by_Sentiment!$B$2:$B$37,Phone_by_Sentiment!J$2:J$37,"",0,1)),_xlfn.XLOOKUP($C574,Phone_by_Sentiment!$B$2:$B$37,Phone_by_Sentiment!J$2:J$37,"",0,1),0),$A574-TEXT(DATEVALUE($D574&amp;"-01"), "dd-mm-yyyy")),0),0)</f>
        <v>743</v>
      </c>
      <c r="K574" cm="1">
        <f t="array" ref="K574">IF($Q574&gt;=0,IFERROR(generateSalesData($D574, IF(ISNUMBER(_xlfn.XLOOKUP($C574,Phone_by_Sentiment!$B$2:$B$37,Phone_by_Sentiment!K$2:K$37,"",0,1)),_xlfn.XLOOKUP($C574,Phone_by_Sentiment!$B$2:$B$37,Phone_by_Sentiment!K$2:K$37,"",0,1),0),$A574-TEXT(DATEVALUE($D574&amp;"-01"), "dd-mm-yyyy")),0),0)</f>
        <v>834</v>
      </c>
      <c r="L574" cm="1">
        <f t="array" ref="L574">IF($Q574&gt;=0,IFERROR(generateSalesData($D574, IF(ISNUMBER(_xlfn.XLOOKUP($C574,Phone_by_Sentiment!$B$2:$B$37,Phone_by_Sentiment!L$2:L$37,"",0,1)),_xlfn.XLOOKUP($C574,Phone_by_Sentiment!$B$2:$B$37,Phone_by_Sentiment!L$2:L$37,"",0,1),0),$A574-TEXT(DATEVALUE($D574&amp;"-01"), "dd-mm-yyyy")),0),0)</f>
        <v>826</v>
      </c>
      <c r="M574" cm="1">
        <f t="array" ref="M574">IF($Q574&gt;=0,IFERROR(generateSalesData($D574, IF(ISNUMBER(_xlfn.XLOOKUP($C574,Phone_by_Sentiment!$B$2:$B$37,Phone_by_Sentiment!M$2:M$37,"",0,1)),_xlfn.XLOOKUP($C574,Phone_by_Sentiment!$B$2:$B$37,Phone_by_Sentiment!M$2:M$37,"",0,1),0),$A574-TEXT(DATEVALUE($D574&amp;"-01"), "dd-mm-yyyy")),0),0)</f>
        <v>753</v>
      </c>
      <c r="N574" cm="1">
        <f t="array" ref="N574">IF($Q574&gt;=0,IFERROR(generateSalesData($D574, IF(ISNUMBER(_xlfn.XLOOKUP($C574,Phone_by_Sentiment!$B$2:$B$37,Phone_by_Sentiment!N$2:N$37,"",0,1)),_xlfn.XLOOKUP($C574,Phone_by_Sentiment!$B$2:$B$37,Phone_by_Sentiment!N$2:N$37,"",0,1),0),$A574-TEXT(DATEVALUE($D574&amp;"-01"), "dd-mm-yyyy")),0),0)</f>
        <v>618</v>
      </c>
      <c r="O574" cm="1">
        <f t="array" ref="O574">IF($Q574&gt;=0,IFERROR(generateSalesData($D574, IF(ISNUMBER(_xlfn.XLOOKUP($C574,Phone_by_Sentiment!$B$2:$B$37,Phone_by_Sentiment!O$2:O$37,"",0,1)),_xlfn.XLOOKUP($C574,Phone_by_Sentiment!$B$2:$B$37,Phone_by_Sentiment!O$2:O$37,"",0,1),0),$A574-TEXT(DATEVALUE($D574&amp;"-01"), "dd-mm-yyyy")),0),0)</f>
        <v>998</v>
      </c>
      <c r="P574" s="1">
        <f t="shared" si="22"/>
        <v>43862</v>
      </c>
      <c r="Q574">
        <f t="shared" si="23"/>
        <v>90</v>
      </c>
    </row>
    <row r="575" spans="1:17" x14ac:dyDescent="0.25">
      <c r="A575" s="1">
        <f t="shared" si="21"/>
        <v>43952</v>
      </c>
      <c r="B575" t="s">
        <v>153</v>
      </c>
      <c r="C575" t="str">
        <f>_xlfn.XLOOKUP(B575,Phone_by_Price!$A$2:$A$34,Phone_by_Price!$B$2:$B$34,"-",0,1)</f>
        <v>iPhone 13</v>
      </c>
      <c r="D575" t="str">
        <f>_xlfn.XLOOKUP(C575,Phone_by_Sentiment!$B$2:$B$37,Phone_by_Sentiment!$A$2:$A$37,"-",0,1)</f>
        <v>2021-09</v>
      </c>
      <c r="E575" cm="1">
        <f t="array" ref="E575">IF($Q575&gt;=0,IFERROR(generateSalesData($D575, IF(ISNUMBER(_xlfn.XLOOKUP($C575,Phone_by_Sentiment!$B$2:$B$37,Phone_by_Sentiment!E$2:E$37,"",0,1)),_xlfn.XLOOKUP($C575,Phone_by_Sentiment!$B$2:$B$37,Phone_by_Sentiment!E$2:E$37,"",0,1),0),$A575-TEXT(DATEVALUE($D575&amp;"-01"), "dd-mm-yyyy")),0),0)</f>
        <v>0</v>
      </c>
      <c r="F575" cm="1">
        <f t="array" ref="F575">IF($Q575&gt;=0,IFERROR(generateSalesData($D575, IF(ISNUMBER(_xlfn.XLOOKUP($C575,Phone_by_Sentiment!$B$2:$B$37,Phone_by_Sentiment!F$2:F$37,"",0,1)),_xlfn.XLOOKUP($C575,Phone_by_Sentiment!$B$2:$B$37,Phone_by_Sentiment!F$2:F$37,"",0,1),0),$A575-TEXT(DATEVALUE($D575&amp;"-01"), "dd-mm-yyyy")),0),0)</f>
        <v>0</v>
      </c>
      <c r="G575" cm="1">
        <f t="array" ref="G575">IF($Q575&gt;=0,IFERROR(generateSalesData($D575, IF(ISNUMBER(_xlfn.XLOOKUP($C575,Phone_by_Sentiment!$B$2:$B$37,Phone_by_Sentiment!G$2:G$37,"",0,1)),_xlfn.XLOOKUP($C575,Phone_by_Sentiment!$B$2:$B$37,Phone_by_Sentiment!G$2:G$37,"",0,1),0),$A575-TEXT(DATEVALUE($D575&amp;"-01"), "dd-mm-yyyy")),0),0)</f>
        <v>0</v>
      </c>
      <c r="H575" cm="1">
        <f t="array" ref="H575">IF($Q575&gt;=0,IFERROR(generateSalesData($D575, IF(ISNUMBER(_xlfn.XLOOKUP($C575,Phone_by_Sentiment!$B$2:$B$37,Phone_by_Sentiment!H$2:H$37,"",0,1)),_xlfn.XLOOKUP($C575,Phone_by_Sentiment!$B$2:$B$37,Phone_by_Sentiment!H$2:H$37,"",0,1),0),$A575-TEXT(DATEVALUE($D575&amp;"-01"), "dd-mm-yyyy")),0),0)</f>
        <v>0</v>
      </c>
      <c r="I575" cm="1">
        <f t="array" ref="I575">IF($Q575&gt;=0,IFERROR(generateSalesData($D575, IF(ISNUMBER(_xlfn.XLOOKUP($C575,Phone_by_Sentiment!$B$2:$B$37,Phone_by_Sentiment!I$2:I$37,"",0,1)),_xlfn.XLOOKUP($C575,Phone_by_Sentiment!$B$2:$B$37,Phone_by_Sentiment!I$2:I$37,"",0,1),0),$A575-TEXT(DATEVALUE($D575&amp;"-01"), "dd-mm-yyyy")),0),0)</f>
        <v>0</v>
      </c>
      <c r="J575" cm="1">
        <f t="array" ref="J575">IF($Q575&gt;=0,IFERROR(generateSalesData($D575, IF(ISNUMBER(_xlfn.XLOOKUP($C575,Phone_by_Sentiment!$B$2:$B$37,Phone_by_Sentiment!J$2:J$37,"",0,1)),_xlfn.XLOOKUP($C575,Phone_by_Sentiment!$B$2:$B$37,Phone_by_Sentiment!J$2:J$37,"",0,1),0),$A575-TEXT(DATEVALUE($D575&amp;"-01"), "dd-mm-yyyy")),0),0)</f>
        <v>0</v>
      </c>
      <c r="K575" cm="1">
        <f t="array" ref="K575">IF($Q575&gt;=0,IFERROR(generateSalesData($D575, IF(ISNUMBER(_xlfn.XLOOKUP($C575,Phone_by_Sentiment!$B$2:$B$37,Phone_by_Sentiment!K$2:K$37,"",0,1)),_xlfn.XLOOKUP($C575,Phone_by_Sentiment!$B$2:$B$37,Phone_by_Sentiment!K$2:K$37,"",0,1),0),$A575-TEXT(DATEVALUE($D575&amp;"-01"), "dd-mm-yyyy")),0),0)</f>
        <v>0</v>
      </c>
      <c r="L575" cm="1">
        <f t="array" ref="L575">IF($Q575&gt;=0,IFERROR(generateSalesData($D575, IF(ISNUMBER(_xlfn.XLOOKUP($C575,Phone_by_Sentiment!$B$2:$B$37,Phone_by_Sentiment!L$2:L$37,"",0,1)),_xlfn.XLOOKUP($C575,Phone_by_Sentiment!$B$2:$B$37,Phone_by_Sentiment!L$2:L$37,"",0,1),0),$A575-TEXT(DATEVALUE($D575&amp;"-01"), "dd-mm-yyyy")),0),0)</f>
        <v>0</v>
      </c>
      <c r="M575" cm="1">
        <f t="array" ref="M575">IF($Q575&gt;=0,IFERROR(generateSalesData($D575, IF(ISNUMBER(_xlfn.XLOOKUP($C575,Phone_by_Sentiment!$B$2:$B$37,Phone_by_Sentiment!M$2:M$37,"",0,1)),_xlfn.XLOOKUP($C575,Phone_by_Sentiment!$B$2:$B$37,Phone_by_Sentiment!M$2:M$37,"",0,1),0),$A575-TEXT(DATEVALUE($D575&amp;"-01"), "dd-mm-yyyy")),0),0)</f>
        <v>0</v>
      </c>
      <c r="N575" cm="1">
        <f t="array" ref="N575">IF($Q575&gt;=0,IFERROR(generateSalesData($D575, IF(ISNUMBER(_xlfn.XLOOKUP($C575,Phone_by_Sentiment!$B$2:$B$37,Phone_by_Sentiment!N$2:N$37,"",0,1)),_xlfn.XLOOKUP($C575,Phone_by_Sentiment!$B$2:$B$37,Phone_by_Sentiment!N$2:N$37,"",0,1),0),$A575-TEXT(DATEVALUE($D575&amp;"-01"), "dd-mm-yyyy")),0),0)</f>
        <v>0</v>
      </c>
      <c r="O575" cm="1">
        <f t="array" ref="O575">IF($Q575&gt;=0,IFERROR(generateSalesData($D575, IF(ISNUMBER(_xlfn.XLOOKUP($C575,Phone_by_Sentiment!$B$2:$B$37,Phone_by_Sentiment!O$2:O$37,"",0,1)),_xlfn.XLOOKUP($C575,Phone_by_Sentiment!$B$2:$B$37,Phone_by_Sentiment!O$2:O$37,"",0,1),0),$A575-TEXT(DATEVALUE($D575&amp;"-01"), "dd-mm-yyyy")),0),0)</f>
        <v>0</v>
      </c>
      <c r="P575" s="1">
        <f t="shared" si="22"/>
        <v>44440</v>
      </c>
      <c r="Q575">
        <f t="shared" si="23"/>
        <v>-488</v>
      </c>
    </row>
    <row r="576" spans="1:17" x14ac:dyDescent="0.25">
      <c r="A576" s="1">
        <f t="shared" si="21"/>
        <v>43952</v>
      </c>
      <c r="B576" t="s">
        <v>154</v>
      </c>
      <c r="C576" t="str">
        <f>_xlfn.XLOOKUP(B576,Phone_by_Price!$A$2:$A$34,Phone_by_Price!$B$2:$B$34,"-",0,1)</f>
        <v>Samsung Galaxy S21</v>
      </c>
      <c r="D576" t="str">
        <f>_xlfn.XLOOKUP(C576,Phone_by_Sentiment!$B$2:$B$37,Phone_by_Sentiment!$A$2:$A$37,"-",0,1)</f>
        <v>2021-01</v>
      </c>
      <c r="E576" cm="1">
        <f t="array" ref="E576">IF($Q576&gt;=0,IFERROR(generateSalesData($D576, IF(ISNUMBER(_xlfn.XLOOKUP($C576,Phone_by_Sentiment!$B$2:$B$37,Phone_by_Sentiment!E$2:E$37,"",0,1)),_xlfn.XLOOKUP($C576,Phone_by_Sentiment!$B$2:$B$37,Phone_by_Sentiment!E$2:E$37,"",0,1),0),$A576-TEXT(DATEVALUE($D576&amp;"-01"), "dd-mm-yyyy")),0),0)</f>
        <v>0</v>
      </c>
      <c r="F576" cm="1">
        <f t="array" ref="F576">IF($Q576&gt;=0,IFERROR(generateSalesData($D576, IF(ISNUMBER(_xlfn.XLOOKUP($C576,Phone_by_Sentiment!$B$2:$B$37,Phone_by_Sentiment!F$2:F$37,"",0,1)),_xlfn.XLOOKUP($C576,Phone_by_Sentiment!$B$2:$B$37,Phone_by_Sentiment!F$2:F$37,"",0,1),0),$A576-TEXT(DATEVALUE($D576&amp;"-01"), "dd-mm-yyyy")),0),0)</f>
        <v>0</v>
      </c>
      <c r="G576" cm="1">
        <f t="array" ref="G576">IF($Q576&gt;=0,IFERROR(generateSalesData($D576, IF(ISNUMBER(_xlfn.XLOOKUP($C576,Phone_by_Sentiment!$B$2:$B$37,Phone_by_Sentiment!G$2:G$37,"",0,1)),_xlfn.XLOOKUP($C576,Phone_by_Sentiment!$B$2:$B$37,Phone_by_Sentiment!G$2:G$37,"",0,1),0),$A576-TEXT(DATEVALUE($D576&amp;"-01"), "dd-mm-yyyy")),0),0)</f>
        <v>0</v>
      </c>
      <c r="H576" cm="1">
        <f t="array" ref="H576">IF($Q576&gt;=0,IFERROR(generateSalesData($D576, IF(ISNUMBER(_xlfn.XLOOKUP($C576,Phone_by_Sentiment!$B$2:$B$37,Phone_by_Sentiment!H$2:H$37,"",0,1)),_xlfn.XLOOKUP($C576,Phone_by_Sentiment!$B$2:$B$37,Phone_by_Sentiment!H$2:H$37,"",0,1),0),$A576-TEXT(DATEVALUE($D576&amp;"-01"), "dd-mm-yyyy")),0),0)</f>
        <v>0</v>
      </c>
      <c r="I576" cm="1">
        <f t="array" ref="I576">IF($Q576&gt;=0,IFERROR(generateSalesData($D576, IF(ISNUMBER(_xlfn.XLOOKUP($C576,Phone_by_Sentiment!$B$2:$B$37,Phone_by_Sentiment!I$2:I$37,"",0,1)),_xlfn.XLOOKUP($C576,Phone_by_Sentiment!$B$2:$B$37,Phone_by_Sentiment!I$2:I$37,"",0,1),0),$A576-TEXT(DATEVALUE($D576&amp;"-01"), "dd-mm-yyyy")),0),0)</f>
        <v>0</v>
      </c>
      <c r="J576" cm="1">
        <f t="array" ref="J576">IF($Q576&gt;=0,IFERROR(generateSalesData($D576, IF(ISNUMBER(_xlfn.XLOOKUP($C576,Phone_by_Sentiment!$B$2:$B$37,Phone_by_Sentiment!J$2:J$37,"",0,1)),_xlfn.XLOOKUP($C576,Phone_by_Sentiment!$B$2:$B$37,Phone_by_Sentiment!J$2:J$37,"",0,1),0),$A576-TEXT(DATEVALUE($D576&amp;"-01"), "dd-mm-yyyy")),0),0)</f>
        <v>0</v>
      </c>
      <c r="K576" cm="1">
        <f t="array" ref="K576">IF($Q576&gt;=0,IFERROR(generateSalesData($D576, IF(ISNUMBER(_xlfn.XLOOKUP($C576,Phone_by_Sentiment!$B$2:$B$37,Phone_by_Sentiment!K$2:K$37,"",0,1)),_xlfn.XLOOKUP($C576,Phone_by_Sentiment!$B$2:$B$37,Phone_by_Sentiment!K$2:K$37,"",0,1),0),$A576-TEXT(DATEVALUE($D576&amp;"-01"), "dd-mm-yyyy")),0),0)</f>
        <v>0</v>
      </c>
      <c r="L576" cm="1">
        <f t="array" ref="L576">IF($Q576&gt;=0,IFERROR(generateSalesData($D576, IF(ISNUMBER(_xlfn.XLOOKUP($C576,Phone_by_Sentiment!$B$2:$B$37,Phone_by_Sentiment!L$2:L$37,"",0,1)),_xlfn.XLOOKUP($C576,Phone_by_Sentiment!$B$2:$B$37,Phone_by_Sentiment!L$2:L$37,"",0,1),0),$A576-TEXT(DATEVALUE($D576&amp;"-01"), "dd-mm-yyyy")),0),0)</f>
        <v>0</v>
      </c>
      <c r="M576" cm="1">
        <f t="array" ref="M576">IF($Q576&gt;=0,IFERROR(generateSalesData($D576, IF(ISNUMBER(_xlfn.XLOOKUP($C576,Phone_by_Sentiment!$B$2:$B$37,Phone_by_Sentiment!M$2:M$37,"",0,1)),_xlfn.XLOOKUP($C576,Phone_by_Sentiment!$B$2:$B$37,Phone_by_Sentiment!M$2:M$37,"",0,1),0),$A576-TEXT(DATEVALUE($D576&amp;"-01"), "dd-mm-yyyy")),0),0)</f>
        <v>0</v>
      </c>
      <c r="N576" cm="1">
        <f t="array" ref="N576">IF($Q576&gt;=0,IFERROR(generateSalesData($D576, IF(ISNUMBER(_xlfn.XLOOKUP($C576,Phone_by_Sentiment!$B$2:$B$37,Phone_by_Sentiment!N$2:N$37,"",0,1)),_xlfn.XLOOKUP($C576,Phone_by_Sentiment!$B$2:$B$37,Phone_by_Sentiment!N$2:N$37,"",0,1),0),$A576-TEXT(DATEVALUE($D576&amp;"-01"), "dd-mm-yyyy")),0),0)</f>
        <v>0</v>
      </c>
      <c r="O576" cm="1">
        <f t="array" ref="O576">IF($Q576&gt;=0,IFERROR(generateSalesData($D576, IF(ISNUMBER(_xlfn.XLOOKUP($C576,Phone_by_Sentiment!$B$2:$B$37,Phone_by_Sentiment!O$2:O$37,"",0,1)),_xlfn.XLOOKUP($C576,Phone_by_Sentiment!$B$2:$B$37,Phone_by_Sentiment!O$2:O$37,"",0,1),0),$A576-TEXT(DATEVALUE($D576&amp;"-01"), "dd-mm-yyyy")),0),0)</f>
        <v>0</v>
      </c>
      <c r="P576" s="1">
        <f t="shared" si="22"/>
        <v>44197</v>
      </c>
      <c r="Q576">
        <f t="shared" si="23"/>
        <v>-245</v>
      </c>
    </row>
    <row r="577" spans="1:17" x14ac:dyDescent="0.25">
      <c r="A577" s="1">
        <f t="shared" si="21"/>
        <v>43952</v>
      </c>
      <c r="B577" t="s">
        <v>155</v>
      </c>
      <c r="C577" t="str">
        <f>_xlfn.XLOOKUP(B577,Phone_by_Price!$A$2:$A$34,Phone_by_Price!$B$2:$B$34,"-",0,1)</f>
        <v>Google Pixel 6</v>
      </c>
      <c r="D577" t="str">
        <f>_xlfn.XLOOKUP(C577,Phone_by_Sentiment!$B$2:$B$37,Phone_by_Sentiment!$A$2:$A$37,"-",0,1)</f>
        <v>2021-10</v>
      </c>
      <c r="E577" cm="1">
        <f t="array" ref="E577">IF($Q577&gt;=0,IFERROR(generateSalesData($D577, IF(ISNUMBER(_xlfn.XLOOKUP($C577,Phone_by_Sentiment!$B$2:$B$37,Phone_by_Sentiment!E$2:E$37,"",0,1)),_xlfn.XLOOKUP($C577,Phone_by_Sentiment!$B$2:$B$37,Phone_by_Sentiment!E$2:E$37,"",0,1),0),$A577-TEXT(DATEVALUE($D577&amp;"-01"), "dd-mm-yyyy")),0),0)</f>
        <v>0</v>
      </c>
      <c r="F577" cm="1">
        <f t="array" ref="F577">IF($Q577&gt;=0,IFERROR(generateSalesData($D577, IF(ISNUMBER(_xlfn.XLOOKUP($C577,Phone_by_Sentiment!$B$2:$B$37,Phone_by_Sentiment!F$2:F$37,"",0,1)),_xlfn.XLOOKUP($C577,Phone_by_Sentiment!$B$2:$B$37,Phone_by_Sentiment!F$2:F$37,"",0,1),0),$A577-TEXT(DATEVALUE($D577&amp;"-01"), "dd-mm-yyyy")),0),0)</f>
        <v>0</v>
      </c>
      <c r="G577" cm="1">
        <f t="array" ref="G577">IF($Q577&gt;=0,IFERROR(generateSalesData($D577, IF(ISNUMBER(_xlfn.XLOOKUP($C577,Phone_by_Sentiment!$B$2:$B$37,Phone_by_Sentiment!G$2:G$37,"",0,1)),_xlfn.XLOOKUP($C577,Phone_by_Sentiment!$B$2:$B$37,Phone_by_Sentiment!G$2:G$37,"",0,1),0),$A577-TEXT(DATEVALUE($D577&amp;"-01"), "dd-mm-yyyy")),0),0)</f>
        <v>0</v>
      </c>
      <c r="H577" cm="1">
        <f t="array" ref="H577">IF($Q577&gt;=0,IFERROR(generateSalesData($D577, IF(ISNUMBER(_xlfn.XLOOKUP($C577,Phone_by_Sentiment!$B$2:$B$37,Phone_by_Sentiment!H$2:H$37,"",0,1)),_xlfn.XLOOKUP($C577,Phone_by_Sentiment!$B$2:$B$37,Phone_by_Sentiment!H$2:H$37,"",0,1),0),$A577-TEXT(DATEVALUE($D577&amp;"-01"), "dd-mm-yyyy")),0),0)</f>
        <v>0</v>
      </c>
      <c r="I577" cm="1">
        <f t="array" ref="I577">IF($Q577&gt;=0,IFERROR(generateSalesData($D577, IF(ISNUMBER(_xlfn.XLOOKUP($C577,Phone_by_Sentiment!$B$2:$B$37,Phone_by_Sentiment!I$2:I$37,"",0,1)),_xlfn.XLOOKUP($C577,Phone_by_Sentiment!$B$2:$B$37,Phone_by_Sentiment!I$2:I$37,"",0,1),0),$A577-TEXT(DATEVALUE($D577&amp;"-01"), "dd-mm-yyyy")),0),0)</f>
        <v>0</v>
      </c>
      <c r="J577" cm="1">
        <f t="array" ref="J577">IF($Q577&gt;=0,IFERROR(generateSalesData($D577, IF(ISNUMBER(_xlfn.XLOOKUP($C577,Phone_by_Sentiment!$B$2:$B$37,Phone_by_Sentiment!J$2:J$37,"",0,1)),_xlfn.XLOOKUP($C577,Phone_by_Sentiment!$B$2:$B$37,Phone_by_Sentiment!J$2:J$37,"",0,1),0),$A577-TEXT(DATEVALUE($D577&amp;"-01"), "dd-mm-yyyy")),0),0)</f>
        <v>0</v>
      </c>
      <c r="K577" cm="1">
        <f t="array" ref="K577">IF($Q577&gt;=0,IFERROR(generateSalesData($D577, IF(ISNUMBER(_xlfn.XLOOKUP($C577,Phone_by_Sentiment!$B$2:$B$37,Phone_by_Sentiment!K$2:K$37,"",0,1)),_xlfn.XLOOKUP($C577,Phone_by_Sentiment!$B$2:$B$37,Phone_by_Sentiment!K$2:K$37,"",0,1),0),$A577-TEXT(DATEVALUE($D577&amp;"-01"), "dd-mm-yyyy")),0),0)</f>
        <v>0</v>
      </c>
      <c r="L577" cm="1">
        <f t="array" ref="L577">IF($Q577&gt;=0,IFERROR(generateSalesData($D577, IF(ISNUMBER(_xlfn.XLOOKUP($C577,Phone_by_Sentiment!$B$2:$B$37,Phone_by_Sentiment!L$2:L$37,"",0,1)),_xlfn.XLOOKUP($C577,Phone_by_Sentiment!$B$2:$B$37,Phone_by_Sentiment!L$2:L$37,"",0,1),0),$A577-TEXT(DATEVALUE($D577&amp;"-01"), "dd-mm-yyyy")),0),0)</f>
        <v>0</v>
      </c>
      <c r="M577" cm="1">
        <f t="array" ref="M577">IF($Q577&gt;=0,IFERROR(generateSalesData($D577, IF(ISNUMBER(_xlfn.XLOOKUP($C577,Phone_by_Sentiment!$B$2:$B$37,Phone_by_Sentiment!M$2:M$37,"",0,1)),_xlfn.XLOOKUP($C577,Phone_by_Sentiment!$B$2:$B$37,Phone_by_Sentiment!M$2:M$37,"",0,1),0),$A577-TEXT(DATEVALUE($D577&amp;"-01"), "dd-mm-yyyy")),0),0)</f>
        <v>0</v>
      </c>
      <c r="N577" cm="1">
        <f t="array" ref="N577">IF($Q577&gt;=0,IFERROR(generateSalesData($D577, IF(ISNUMBER(_xlfn.XLOOKUP($C577,Phone_by_Sentiment!$B$2:$B$37,Phone_by_Sentiment!N$2:N$37,"",0,1)),_xlfn.XLOOKUP($C577,Phone_by_Sentiment!$B$2:$B$37,Phone_by_Sentiment!N$2:N$37,"",0,1),0),$A577-TEXT(DATEVALUE($D577&amp;"-01"), "dd-mm-yyyy")),0),0)</f>
        <v>0</v>
      </c>
      <c r="O577" cm="1">
        <f t="array" ref="O577">IF($Q577&gt;=0,IFERROR(generateSalesData($D577, IF(ISNUMBER(_xlfn.XLOOKUP($C577,Phone_by_Sentiment!$B$2:$B$37,Phone_by_Sentiment!O$2:O$37,"",0,1)),_xlfn.XLOOKUP($C577,Phone_by_Sentiment!$B$2:$B$37,Phone_by_Sentiment!O$2:O$37,"",0,1),0),$A577-TEXT(DATEVALUE($D577&amp;"-01"), "dd-mm-yyyy")),0),0)</f>
        <v>0</v>
      </c>
      <c r="P577" s="1">
        <f t="shared" si="22"/>
        <v>44470</v>
      </c>
      <c r="Q577">
        <f t="shared" si="23"/>
        <v>-518</v>
      </c>
    </row>
    <row r="578" spans="1:17" x14ac:dyDescent="0.25">
      <c r="A578" s="1">
        <f t="shared" si="21"/>
        <v>43952</v>
      </c>
      <c r="B578" t="s">
        <v>156</v>
      </c>
      <c r="C578" t="str">
        <f>_xlfn.XLOOKUP(B578,Phone_by_Price!$A$2:$A$34,Phone_by_Price!$B$2:$B$34,"-",0,1)</f>
        <v>OnePlus Nord CE</v>
      </c>
      <c r="D578" t="str">
        <f>_xlfn.XLOOKUP(C578,Phone_by_Sentiment!$B$2:$B$37,Phone_by_Sentiment!$A$2:$A$37,"-",0,1)</f>
        <v>2021-06</v>
      </c>
      <c r="E578" cm="1">
        <f t="array" ref="E578">IF($Q578&gt;=0,IFERROR(generateSalesData($D578, IF(ISNUMBER(_xlfn.XLOOKUP($C578,Phone_by_Sentiment!$B$2:$B$37,Phone_by_Sentiment!E$2:E$37,"",0,1)),_xlfn.XLOOKUP($C578,Phone_by_Sentiment!$B$2:$B$37,Phone_by_Sentiment!E$2:E$37,"",0,1),0),$A578-TEXT(DATEVALUE($D578&amp;"-01"), "dd-mm-yyyy")),0),0)</f>
        <v>0</v>
      </c>
      <c r="F578" cm="1">
        <f t="array" ref="F578">IF($Q578&gt;=0,IFERROR(generateSalesData($D578, IF(ISNUMBER(_xlfn.XLOOKUP($C578,Phone_by_Sentiment!$B$2:$B$37,Phone_by_Sentiment!F$2:F$37,"",0,1)),_xlfn.XLOOKUP($C578,Phone_by_Sentiment!$B$2:$B$37,Phone_by_Sentiment!F$2:F$37,"",0,1),0),$A578-TEXT(DATEVALUE($D578&amp;"-01"), "dd-mm-yyyy")),0),0)</f>
        <v>0</v>
      </c>
      <c r="G578" cm="1">
        <f t="array" ref="G578">IF($Q578&gt;=0,IFERROR(generateSalesData($D578, IF(ISNUMBER(_xlfn.XLOOKUP($C578,Phone_by_Sentiment!$B$2:$B$37,Phone_by_Sentiment!G$2:G$37,"",0,1)),_xlfn.XLOOKUP($C578,Phone_by_Sentiment!$B$2:$B$37,Phone_by_Sentiment!G$2:G$37,"",0,1),0),$A578-TEXT(DATEVALUE($D578&amp;"-01"), "dd-mm-yyyy")),0),0)</f>
        <v>0</v>
      </c>
      <c r="H578" cm="1">
        <f t="array" ref="H578">IF($Q578&gt;=0,IFERROR(generateSalesData($D578, IF(ISNUMBER(_xlfn.XLOOKUP($C578,Phone_by_Sentiment!$B$2:$B$37,Phone_by_Sentiment!H$2:H$37,"",0,1)),_xlfn.XLOOKUP($C578,Phone_by_Sentiment!$B$2:$B$37,Phone_by_Sentiment!H$2:H$37,"",0,1),0),$A578-TEXT(DATEVALUE($D578&amp;"-01"), "dd-mm-yyyy")),0),0)</f>
        <v>0</v>
      </c>
      <c r="I578" cm="1">
        <f t="array" ref="I578">IF($Q578&gt;=0,IFERROR(generateSalesData($D578, IF(ISNUMBER(_xlfn.XLOOKUP($C578,Phone_by_Sentiment!$B$2:$B$37,Phone_by_Sentiment!I$2:I$37,"",0,1)),_xlfn.XLOOKUP($C578,Phone_by_Sentiment!$B$2:$B$37,Phone_by_Sentiment!I$2:I$37,"",0,1),0),$A578-TEXT(DATEVALUE($D578&amp;"-01"), "dd-mm-yyyy")),0),0)</f>
        <v>0</v>
      </c>
      <c r="J578" cm="1">
        <f t="array" ref="J578">IF($Q578&gt;=0,IFERROR(generateSalesData($D578, IF(ISNUMBER(_xlfn.XLOOKUP($C578,Phone_by_Sentiment!$B$2:$B$37,Phone_by_Sentiment!J$2:J$37,"",0,1)),_xlfn.XLOOKUP($C578,Phone_by_Sentiment!$B$2:$B$37,Phone_by_Sentiment!J$2:J$37,"",0,1),0),$A578-TEXT(DATEVALUE($D578&amp;"-01"), "dd-mm-yyyy")),0),0)</f>
        <v>0</v>
      </c>
      <c r="K578" cm="1">
        <f t="array" ref="K578">IF($Q578&gt;=0,IFERROR(generateSalesData($D578, IF(ISNUMBER(_xlfn.XLOOKUP($C578,Phone_by_Sentiment!$B$2:$B$37,Phone_by_Sentiment!K$2:K$37,"",0,1)),_xlfn.XLOOKUP($C578,Phone_by_Sentiment!$B$2:$B$37,Phone_by_Sentiment!K$2:K$37,"",0,1),0),$A578-TEXT(DATEVALUE($D578&amp;"-01"), "dd-mm-yyyy")),0),0)</f>
        <v>0</v>
      </c>
      <c r="L578" cm="1">
        <f t="array" ref="L578">IF($Q578&gt;=0,IFERROR(generateSalesData($D578, IF(ISNUMBER(_xlfn.XLOOKUP($C578,Phone_by_Sentiment!$B$2:$B$37,Phone_by_Sentiment!L$2:L$37,"",0,1)),_xlfn.XLOOKUP($C578,Phone_by_Sentiment!$B$2:$B$37,Phone_by_Sentiment!L$2:L$37,"",0,1),0),$A578-TEXT(DATEVALUE($D578&amp;"-01"), "dd-mm-yyyy")),0),0)</f>
        <v>0</v>
      </c>
      <c r="M578" cm="1">
        <f t="array" ref="M578">IF($Q578&gt;=0,IFERROR(generateSalesData($D578, IF(ISNUMBER(_xlfn.XLOOKUP($C578,Phone_by_Sentiment!$B$2:$B$37,Phone_by_Sentiment!M$2:M$37,"",0,1)),_xlfn.XLOOKUP($C578,Phone_by_Sentiment!$B$2:$B$37,Phone_by_Sentiment!M$2:M$37,"",0,1),0),$A578-TEXT(DATEVALUE($D578&amp;"-01"), "dd-mm-yyyy")),0),0)</f>
        <v>0</v>
      </c>
      <c r="N578" cm="1">
        <f t="array" ref="N578">IF($Q578&gt;=0,IFERROR(generateSalesData($D578, IF(ISNUMBER(_xlfn.XLOOKUP($C578,Phone_by_Sentiment!$B$2:$B$37,Phone_by_Sentiment!N$2:N$37,"",0,1)),_xlfn.XLOOKUP($C578,Phone_by_Sentiment!$B$2:$B$37,Phone_by_Sentiment!N$2:N$37,"",0,1),0),$A578-TEXT(DATEVALUE($D578&amp;"-01"), "dd-mm-yyyy")),0),0)</f>
        <v>0</v>
      </c>
      <c r="O578" cm="1">
        <f t="array" ref="O578">IF($Q578&gt;=0,IFERROR(generateSalesData($D578, IF(ISNUMBER(_xlfn.XLOOKUP($C578,Phone_by_Sentiment!$B$2:$B$37,Phone_by_Sentiment!O$2:O$37,"",0,1)),_xlfn.XLOOKUP($C578,Phone_by_Sentiment!$B$2:$B$37,Phone_by_Sentiment!O$2:O$37,"",0,1),0),$A578-TEXT(DATEVALUE($D578&amp;"-01"), "dd-mm-yyyy")),0),0)</f>
        <v>0</v>
      </c>
      <c r="P578" s="1">
        <f t="shared" si="22"/>
        <v>44348</v>
      </c>
      <c r="Q578">
        <f t="shared" si="23"/>
        <v>-396</v>
      </c>
    </row>
    <row r="579" spans="1:17" x14ac:dyDescent="0.25">
      <c r="A579" s="1">
        <f t="shared" ref="A579:A615" si="24">DATE(YEAR($A$1), MONTH($A$1) + INT((ROW()-1)/35), DAY($A$1))</f>
        <v>43952</v>
      </c>
      <c r="B579" t="s">
        <v>157</v>
      </c>
      <c r="C579" t="str">
        <f>_xlfn.XLOOKUP(B579,Phone_by_Price!$A$2:$A$34,Phone_by_Price!$B$2:$B$34,"-",0,1)</f>
        <v>Apple iPhone 13 Pro</v>
      </c>
      <c r="D579" t="str">
        <f>_xlfn.XLOOKUP(C579,Phone_by_Sentiment!$B$2:$B$37,Phone_by_Sentiment!$A$2:$A$37,"-",0,1)</f>
        <v>2021-09</v>
      </c>
      <c r="E579" cm="1">
        <f t="array" ref="E579">IF($Q579&gt;=0,IFERROR(generateSalesData($D579, IF(ISNUMBER(_xlfn.XLOOKUP($C579,Phone_by_Sentiment!$B$2:$B$37,Phone_by_Sentiment!E$2:E$37,"",0,1)),_xlfn.XLOOKUP($C579,Phone_by_Sentiment!$B$2:$B$37,Phone_by_Sentiment!E$2:E$37,"",0,1),0),$A579-TEXT(DATEVALUE($D579&amp;"-01"), "dd-mm-yyyy")),0),0)</f>
        <v>0</v>
      </c>
      <c r="F579" cm="1">
        <f t="array" ref="F579">IF($Q579&gt;=0,IFERROR(generateSalesData($D579, IF(ISNUMBER(_xlfn.XLOOKUP($C579,Phone_by_Sentiment!$B$2:$B$37,Phone_by_Sentiment!F$2:F$37,"",0,1)),_xlfn.XLOOKUP($C579,Phone_by_Sentiment!$B$2:$B$37,Phone_by_Sentiment!F$2:F$37,"",0,1),0),$A579-TEXT(DATEVALUE($D579&amp;"-01"), "dd-mm-yyyy")),0),0)</f>
        <v>0</v>
      </c>
      <c r="G579" cm="1">
        <f t="array" ref="G579">IF($Q579&gt;=0,IFERROR(generateSalesData($D579, IF(ISNUMBER(_xlfn.XLOOKUP($C579,Phone_by_Sentiment!$B$2:$B$37,Phone_by_Sentiment!G$2:G$37,"",0,1)),_xlfn.XLOOKUP($C579,Phone_by_Sentiment!$B$2:$B$37,Phone_by_Sentiment!G$2:G$37,"",0,1),0),$A579-TEXT(DATEVALUE($D579&amp;"-01"), "dd-mm-yyyy")),0),0)</f>
        <v>0</v>
      </c>
      <c r="H579" cm="1">
        <f t="array" ref="H579">IF($Q579&gt;=0,IFERROR(generateSalesData($D579, IF(ISNUMBER(_xlfn.XLOOKUP($C579,Phone_by_Sentiment!$B$2:$B$37,Phone_by_Sentiment!H$2:H$37,"",0,1)),_xlfn.XLOOKUP($C579,Phone_by_Sentiment!$B$2:$B$37,Phone_by_Sentiment!H$2:H$37,"",0,1),0),$A579-TEXT(DATEVALUE($D579&amp;"-01"), "dd-mm-yyyy")),0),0)</f>
        <v>0</v>
      </c>
      <c r="I579" cm="1">
        <f t="array" ref="I579">IF($Q579&gt;=0,IFERROR(generateSalesData($D579, IF(ISNUMBER(_xlfn.XLOOKUP($C579,Phone_by_Sentiment!$B$2:$B$37,Phone_by_Sentiment!I$2:I$37,"",0,1)),_xlfn.XLOOKUP($C579,Phone_by_Sentiment!$B$2:$B$37,Phone_by_Sentiment!I$2:I$37,"",0,1),0),$A579-TEXT(DATEVALUE($D579&amp;"-01"), "dd-mm-yyyy")),0),0)</f>
        <v>0</v>
      </c>
      <c r="J579" cm="1">
        <f t="array" ref="J579">IF($Q579&gt;=0,IFERROR(generateSalesData($D579, IF(ISNUMBER(_xlfn.XLOOKUP($C579,Phone_by_Sentiment!$B$2:$B$37,Phone_by_Sentiment!J$2:J$37,"",0,1)),_xlfn.XLOOKUP($C579,Phone_by_Sentiment!$B$2:$B$37,Phone_by_Sentiment!J$2:J$37,"",0,1),0),$A579-TEXT(DATEVALUE($D579&amp;"-01"), "dd-mm-yyyy")),0),0)</f>
        <v>0</v>
      </c>
      <c r="K579" cm="1">
        <f t="array" ref="K579">IF($Q579&gt;=0,IFERROR(generateSalesData($D579, IF(ISNUMBER(_xlfn.XLOOKUP($C579,Phone_by_Sentiment!$B$2:$B$37,Phone_by_Sentiment!K$2:K$37,"",0,1)),_xlfn.XLOOKUP($C579,Phone_by_Sentiment!$B$2:$B$37,Phone_by_Sentiment!K$2:K$37,"",0,1),0),$A579-TEXT(DATEVALUE($D579&amp;"-01"), "dd-mm-yyyy")),0),0)</f>
        <v>0</v>
      </c>
      <c r="L579" cm="1">
        <f t="array" ref="L579">IF($Q579&gt;=0,IFERROR(generateSalesData($D579, IF(ISNUMBER(_xlfn.XLOOKUP($C579,Phone_by_Sentiment!$B$2:$B$37,Phone_by_Sentiment!L$2:L$37,"",0,1)),_xlfn.XLOOKUP($C579,Phone_by_Sentiment!$B$2:$B$37,Phone_by_Sentiment!L$2:L$37,"",0,1),0),$A579-TEXT(DATEVALUE($D579&amp;"-01"), "dd-mm-yyyy")),0),0)</f>
        <v>0</v>
      </c>
      <c r="M579" cm="1">
        <f t="array" ref="M579">IF($Q579&gt;=0,IFERROR(generateSalesData($D579, IF(ISNUMBER(_xlfn.XLOOKUP($C579,Phone_by_Sentiment!$B$2:$B$37,Phone_by_Sentiment!M$2:M$37,"",0,1)),_xlfn.XLOOKUP($C579,Phone_by_Sentiment!$B$2:$B$37,Phone_by_Sentiment!M$2:M$37,"",0,1),0),$A579-TEXT(DATEVALUE($D579&amp;"-01"), "dd-mm-yyyy")),0),0)</f>
        <v>0</v>
      </c>
      <c r="N579" cm="1">
        <f t="array" ref="N579">IF($Q579&gt;=0,IFERROR(generateSalesData($D579, IF(ISNUMBER(_xlfn.XLOOKUP($C579,Phone_by_Sentiment!$B$2:$B$37,Phone_by_Sentiment!N$2:N$37,"",0,1)),_xlfn.XLOOKUP($C579,Phone_by_Sentiment!$B$2:$B$37,Phone_by_Sentiment!N$2:N$37,"",0,1),0),$A579-TEXT(DATEVALUE($D579&amp;"-01"), "dd-mm-yyyy")),0),0)</f>
        <v>0</v>
      </c>
      <c r="O579" cm="1">
        <f t="array" ref="O579">IF($Q579&gt;=0,IFERROR(generateSalesData($D579, IF(ISNUMBER(_xlfn.XLOOKUP($C579,Phone_by_Sentiment!$B$2:$B$37,Phone_by_Sentiment!O$2:O$37,"",0,1)),_xlfn.XLOOKUP($C579,Phone_by_Sentiment!$B$2:$B$37,Phone_by_Sentiment!O$2:O$37,"",0,1),0),$A579-TEXT(DATEVALUE($D579&amp;"-01"), "dd-mm-yyyy")),0),0)</f>
        <v>0</v>
      </c>
      <c r="P579" s="1">
        <f t="shared" si="22"/>
        <v>44440</v>
      </c>
      <c r="Q579">
        <f t="shared" si="23"/>
        <v>-488</v>
      </c>
    </row>
    <row r="580" spans="1:17" x14ac:dyDescent="0.25">
      <c r="A580" s="1">
        <f t="shared" si="24"/>
        <v>43952</v>
      </c>
      <c r="B580" t="s">
        <v>158</v>
      </c>
      <c r="C580" t="str">
        <f>_xlfn.XLOOKUP(B580,Phone_by_Price!$A$2:$A$34,Phone_by_Price!$B$2:$B$34,"-",0,1)</f>
        <v>Samsung Galaxy A32 5G</v>
      </c>
      <c r="D580" t="str">
        <f>_xlfn.XLOOKUP(C580,Phone_by_Sentiment!$B$2:$B$37,Phone_by_Sentiment!$A$2:$A$37,"-",0,1)</f>
        <v>2021-02</v>
      </c>
      <c r="E580" cm="1">
        <f t="array" ref="E580">IF($Q580&gt;=0,IFERROR(generateSalesData($D580, IF(ISNUMBER(_xlfn.XLOOKUP($C580,Phone_by_Sentiment!$B$2:$B$37,Phone_by_Sentiment!E$2:E$37,"",0,1)),_xlfn.XLOOKUP($C580,Phone_by_Sentiment!$B$2:$B$37,Phone_by_Sentiment!E$2:E$37,"",0,1),0),$A580-TEXT(DATEVALUE($D580&amp;"-01"), "dd-mm-yyyy")),0),0)</f>
        <v>0</v>
      </c>
      <c r="F580" cm="1">
        <f t="array" ref="F580">IF($Q580&gt;=0,IFERROR(generateSalesData($D580, IF(ISNUMBER(_xlfn.XLOOKUP($C580,Phone_by_Sentiment!$B$2:$B$37,Phone_by_Sentiment!F$2:F$37,"",0,1)),_xlfn.XLOOKUP($C580,Phone_by_Sentiment!$B$2:$B$37,Phone_by_Sentiment!F$2:F$37,"",0,1),0),$A580-TEXT(DATEVALUE($D580&amp;"-01"), "dd-mm-yyyy")),0),0)</f>
        <v>0</v>
      </c>
      <c r="G580" cm="1">
        <f t="array" ref="G580">IF($Q580&gt;=0,IFERROR(generateSalesData($D580, IF(ISNUMBER(_xlfn.XLOOKUP($C580,Phone_by_Sentiment!$B$2:$B$37,Phone_by_Sentiment!G$2:G$37,"",0,1)),_xlfn.XLOOKUP($C580,Phone_by_Sentiment!$B$2:$B$37,Phone_by_Sentiment!G$2:G$37,"",0,1),0),$A580-TEXT(DATEVALUE($D580&amp;"-01"), "dd-mm-yyyy")),0),0)</f>
        <v>0</v>
      </c>
      <c r="H580" cm="1">
        <f t="array" ref="H580">IF($Q580&gt;=0,IFERROR(generateSalesData($D580, IF(ISNUMBER(_xlfn.XLOOKUP($C580,Phone_by_Sentiment!$B$2:$B$37,Phone_by_Sentiment!H$2:H$37,"",0,1)),_xlfn.XLOOKUP($C580,Phone_by_Sentiment!$B$2:$B$37,Phone_by_Sentiment!H$2:H$37,"",0,1),0),$A580-TEXT(DATEVALUE($D580&amp;"-01"), "dd-mm-yyyy")),0),0)</f>
        <v>0</v>
      </c>
      <c r="I580" cm="1">
        <f t="array" ref="I580">IF($Q580&gt;=0,IFERROR(generateSalesData($D580, IF(ISNUMBER(_xlfn.XLOOKUP($C580,Phone_by_Sentiment!$B$2:$B$37,Phone_by_Sentiment!I$2:I$37,"",0,1)),_xlfn.XLOOKUP($C580,Phone_by_Sentiment!$B$2:$B$37,Phone_by_Sentiment!I$2:I$37,"",0,1),0),$A580-TEXT(DATEVALUE($D580&amp;"-01"), "dd-mm-yyyy")),0),0)</f>
        <v>0</v>
      </c>
      <c r="J580" cm="1">
        <f t="array" ref="J580">IF($Q580&gt;=0,IFERROR(generateSalesData($D580, IF(ISNUMBER(_xlfn.XLOOKUP($C580,Phone_by_Sentiment!$B$2:$B$37,Phone_by_Sentiment!J$2:J$37,"",0,1)),_xlfn.XLOOKUP($C580,Phone_by_Sentiment!$B$2:$B$37,Phone_by_Sentiment!J$2:J$37,"",0,1),0),$A580-TEXT(DATEVALUE($D580&amp;"-01"), "dd-mm-yyyy")),0),0)</f>
        <v>0</v>
      </c>
      <c r="K580" cm="1">
        <f t="array" ref="K580">IF($Q580&gt;=0,IFERROR(generateSalesData($D580, IF(ISNUMBER(_xlfn.XLOOKUP($C580,Phone_by_Sentiment!$B$2:$B$37,Phone_by_Sentiment!K$2:K$37,"",0,1)),_xlfn.XLOOKUP($C580,Phone_by_Sentiment!$B$2:$B$37,Phone_by_Sentiment!K$2:K$37,"",0,1),0),$A580-TEXT(DATEVALUE($D580&amp;"-01"), "dd-mm-yyyy")),0),0)</f>
        <v>0</v>
      </c>
      <c r="L580" cm="1">
        <f t="array" ref="L580">IF($Q580&gt;=0,IFERROR(generateSalesData($D580, IF(ISNUMBER(_xlfn.XLOOKUP($C580,Phone_by_Sentiment!$B$2:$B$37,Phone_by_Sentiment!L$2:L$37,"",0,1)),_xlfn.XLOOKUP($C580,Phone_by_Sentiment!$B$2:$B$37,Phone_by_Sentiment!L$2:L$37,"",0,1),0),$A580-TEXT(DATEVALUE($D580&amp;"-01"), "dd-mm-yyyy")),0),0)</f>
        <v>0</v>
      </c>
      <c r="M580" cm="1">
        <f t="array" ref="M580">IF($Q580&gt;=0,IFERROR(generateSalesData($D580, IF(ISNUMBER(_xlfn.XLOOKUP($C580,Phone_by_Sentiment!$B$2:$B$37,Phone_by_Sentiment!M$2:M$37,"",0,1)),_xlfn.XLOOKUP($C580,Phone_by_Sentiment!$B$2:$B$37,Phone_by_Sentiment!M$2:M$37,"",0,1),0),$A580-TEXT(DATEVALUE($D580&amp;"-01"), "dd-mm-yyyy")),0),0)</f>
        <v>0</v>
      </c>
      <c r="N580" cm="1">
        <f t="array" ref="N580">IF($Q580&gt;=0,IFERROR(generateSalesData($D580, IF(ISNUMBER(_xlfn.XLOOKUP($C580,Phone_by_Sentiment!$B$2:$B$37,Phone_by_Sentiment!N$2:N$37,"",0,1)),_xlfn.XLOOKUP($C580,Phone_by_Sentiment!$B$2:$B$37,Phone_by_Sentiment!N$2:N$37,"",0,1),0),$A580-TEXT(DATEVALUE($D580&amp;"-01"), "dd-mm-yyyy")),0),0)</f>
        <v>0</v>
      </c>
      <c r="O580" cm="1">
        <f t="array" ref="O580">IF($Q580&gt;=0,IFERROR(generateSalesData($D580, IF(ISNUMBER(_xlfn.XLOOKUP($C580,Phone_by_Sentiment!$B$2:$B$37,Phone_by_Sentiment!O$2:O$37,"",0,1)),_xlfn.XLOOKUP($C580,Phone_by_Sentiment!$B$2:$B$37,Phone_by_Sentiment!O$2:O$37,"",0,1),0),$A580-TEXT(DATEVALUE($D580&amp;"-01"), "dd-mm-yyyy")),0),0)</f>
        <v>0</v>
      </c>
      <c r="P580" s="1">
        <f t="shared" ref="P580:P643" si="25">DATEVALUE($D580&amp;"-01")</f>
        <v>44228</v>
      </c>
      <c r="Q580">
        <f t="shared" ref="Q580:Q643" si="26">A580-P580</f>
        <v>-276</v>
      </c>
    </row>
    <row r="581" spans="1:17" x14ac:dyDescent="0.25">
      <c r="A581" s="1">
        <f t="shared" si="24"/>
        <v>43952</v>
      </c>
      <c r="B581" t="s">
        <v>159</v>
      </c>
      <c r="C581" t="str">
        <f>_xlfn.XLOOKUP(B581,Phone_by_Price!$A$2:$A$34,Phone_by_Price!$B$2:$B$34,"-",0,1)</f>
        <v>Realme C25</v>
      </c>
      <c r="D581" t="str">
        <f>_xlfn.XLOOKUP(C581,Phone_by_Sentiment!$B$2:$B$37,Phone_by_Sentiment!$A$2:$A$37,"-",0,1)</f>
        <v>2021-03</v>
      </c>
      <c r="E581" cm="1">
        <f t="array" ref="E581">IF($Q581&gt;=0,IFERROR(generateSalesData($D581, IF(ISNUMBER(_xlfn.XLOOKUP($C581,Phone_by_Sentiment!$B$2:$B$37,Phone_by_Sentiment!E$2:E$37,"",0,1)),_xlfn.XLOOKUP($C581,Phone_by_Sentiment!$B$2:$B$37,Phone_by_Sentiment!E$2:E$37,"",0,1),0),$A581-TEXT(DATEVALUE($D581&amp;"-01"), "dd-mm-yyyy")),0),0)</f>
        <v>0</v>
      </c>
      <c r="F581" cm="1">
        <f t="array" ref="F581">IF($Q581&gt;=0,IFERROR(generateSalesData($D581, IF(ISNUMBER(_xlfn.XLOOKUP($C581,Phone_by_Sentiment!$B$2:$B$37,Phone_by_Sentiment!F$2:F$37,"",0,1)),_xlfn.XLOOKUP($C581,Phone_by_Sentiment!$B$2:$B$37,Phone_by_Sentiment!F$2:F$37,"",0,1),0),$A581-TEXT(DATEVALUE($D581&amp;"-01"), "dd-mm-yyyy")),0),0)</f>
        <v>0</v>
      </c>
      <c r="G581" cm="1">
        <f t="array" ref="G581">IF($Q581&gt;=0,IFERROR(generateSalesData($D581, IF(ISNUMBER(_xlfn.XLOOKUP($C581,Phone_by_Sentiment!$B$2:$B$37,Phone_by_Sentiment!G$2:G$37,"",0,1)),_xlfn.XLOOKUP($C581,Phone_by_Sentiment!$B$2:$B$37,Phone_by_Sentiment!G$2:G$37,"",0,1),0),$A581-TEXT(DATEVALUE($D581&amp;"-01"), "dd-mm-yyyy")),0),0)</f>
        <v>0</v>
      </c>
      <c r="H581" cm="1">
        <f t="array" ref="H581">IF($Q581&gt;=0,IFERROR(generateSalesData($D581, IF(ISNUMBER(_xlfn.XLOOKUP($C581,Phone_by_Sentiment!$B$2:$B$37,Phone_by_Sentiment!H$2:H$37,"",0,1)),_xlfn.XLOOKUP($C581,Phone_by_Sentiment!$B$2:$B$37,Phone_by_Sentiment!H$2:H$37,"",0,1),0),$A581-TEXT(DATEVALUE($D581&amp;"-01"), "dd-mm-yyyy")),0),0)</f>
        <v>0</v>
      </c>
      <c r="I581" cm="1">
        <f t="array" ref="I581">IF($Q581&gt;=0,IFERROR(generateSalesData($D581, IF(ISNUMBER(_xlfn.XLOOKUP($C581,Phone_by_Sentiment!$B$2:$B$37,Phone_by_Sentiment!I$2:I$37,"",0,1)),_xlfn.XLOOKUP($C581,Phone_by_Sentiment!$B$2:$B$37,Phone_by_Sentiment!I$2:I$37,"",0,1),0),$A581-TEXT(DATEVALUE($D581&amp;"-01"), "dd-mm-yyyy")),0),0)</f>
        <v>0</v>
      </c>
      <c r="J581" cm="1">
        <f t="array" ref="J581">IF($Q581&gt;=0,IFERROR(generateSalesData($D581, IF(ISNUMBER(_xlfn.XLOOKUP($C581,Phone_by_Sentiment!$B$2:$B$37,Phone_by_Sentiment!J$2:J$37,"",0,1)),_xlfn.XLOOKUP($C581,Phone_by_Sentiment!$B$2:$B$37,Phone_by_Sentiment!J$2:J$37,"",0,1),0),$A581-TEXT(DATEVALUE($D581&amp;"-01"), "dd-mm-yyyy")),0),0)</f>
        <v>0</v>
      </c>
      <c r="K581" cm="1">
        <f t="array" ref="K581">IF($Q581&gt;=0,IFERROR(generateSalesData($D581, IF(ISNUMBER(_xlfn.XLOOKUP($C581,Phone_by_Sentiment!$B$2:$B$37,Phone_by_Sentiment!K$2:K$37,"",0,1)),_xlfn.XLOOKUP($C581,Phone_by_Sentiment!$B$2:$B$37,Phone_by_Sentiment!K$2:K$37,"",0,1),0),$A581-TEXT(DATEVALUE($D581&amp;"-01"), "dd-mm-yyyy")),0),0)</f>
        <v>0</v>
      </c>
      <c r="L581" cm="1">
        <f t="array" ref="L581">IF($Q581&gt;=0,IFERROR(generateSalesData($D581, IF(ISNUMBER(_xlfn.XLOOKUP($C581,Phone_by_Sentiment!$B$2:$B$37,Phone_by_Sentiment!L$2:L$37,"",0,1)),_xlfn.XLOOKUP($C581,Phone_by_Sentiment!$B$2:$B$37,Phone_by_Sentiment!L$2:L$37,"",0,1),0),$A581-TEXT(DATEVALUE($D581&amp;"-01"), "dd-mm-yyyy")),0),0)</f>
        <v>0</v>
      </c>
      <c r="M581" cm="1">
        <f t="array" ref="M581">IF($Q581&gt;=0,IFERROR(generateSalesData($D581, IF(ISNUMBER(_xlfn.XLOOKUP($C581,Phone_by_Sentiment!$B$2:$B$37,Phone_by_Sentiment!M$2:M$37,"",0,1)),_xlfn.XLOOKUP($C581,Phone_by_Sentiment!$B$2:$B$37,Phone_by_Sentiment!M$2:M$37,"",0,1),0),$A581-TEXT(DATEVALUE($D581&amp;"-01"), "dd-mm-yyyy")),0),0)</f>
        <v>0</v>
      </c>
      <c r="N581" cm="1">
        <f t="array" ref="N581">IF($Q581&gt;=0,IFERROR(generateSalesData($D581, IF(ISNUMBER(_xlfn.XLOOKUP($C581,Phone_by_Sentiment!$B$2:$B$37,Phone_by_Sentiment!N$2:N$37,"",0,1)),_xlfn.XLOOKUP($C581,Phone_by_Sentiment!$B$2:$B$37,Phone_by_Sentiment!N$2:N$37,"",0,1),0),$A581-TEXT(DATEVALUE($D581&amp;"-01"), "dd-mm-yyyy")),0),0)</f>
        <v>0</v>
      </c>
      <c r="O581" cm="1">
        <f t="array" ref="O581">IF($Q581&gt;=0,IFERROR(generateSalesData($D581, IF(ISNUMBER(_xlfn.XLOOKUP($C581,Phone_by_Sentiment!$B$2:$B$37,Phone_by_Sentiment!O$2:O$37,"",0,1)),_xlfn.XLOOKUP($C581,Phone_by_Sentiment!$B$2:$B$37,Phone_by_Sentiment!O$2:O$37,"",0,1),0),$A581-TEXT(DATEVALUE($D581&amp;"-01"), "dd-mm-yyyy")),0),0)</f>
        <v>0</v>
      </c>
      <c r="P581" s="1">
        <f t="shared" si="25"/>
        <v>44256</v>
      </c>
      <c r="Q581">
        <f t="shared" si="26"/>
        <v>-304</v>
      </c>
    </row>
    <row r="582" spans="1:17" x14ac:dyDescent="0.25">
      <c r="A582" s="1">
        <f t="shared" si="24"/>
        <v>43952</v>
      </c>
      <c r="B582" t="s">
        <v>160</v>
      </c>
      <c r="C582" t="str">
        <f>_xlfn.XLOOKUP(B582,Phone_by_Price!$A$2:$A$34,Phone_by_Price!$B$2:$B$34,"-",0,1)</f>
        <v>Xiaomi Poco X3 Pro</v>
      </c>
      <c r="D582" t="str">
        <f>_xlfn.XLOOKUP(C582,Phone_by_Sentiment!$B$2:$B$37,Phone_by_Sentiment!$A$2:$A$37,"-",0,1)</f>
        <v>2021-05</v>
      </c>
      <c r="E582" cm="1">
        <f t="array" ref="E582">IF($Q582&gt;=0,IFERROR(generateSalesData($D582, IF(ISNUMBER(_xlfn.XLOOKUP($C582,Phone_by_Sentiment!$B$2:$B$37,Phone_by_Sentiment!E$2:E$37,"",0,1)),_xlfn.XLOOKUP($C582,Phone_by_Sentiment!$B$2:$B$37,Phone_by_Sentiment!E$2:E$37,"",0,1),0),$A582-TEXT(DATEVALUE($D582&amp;"-01"), "dd-mm-yyyy")),0),0)</f>
        <v>0</v>
      </c>
      <c r="F582" cm="1">
        <f t="array" ref="F582">IF($Q582&gt;=0,IFERROR(generateSalesData($D582, IF(ISNUMBER(_xlfn.XLOOKUP($C582,Phone_by_Sentiment!$B$2:$B$37,Phone_by_Sentiment!F$2:F$37,"",0,1)),_xlfn.XLOOKUP($C582,Phone_by_Sentiment!$B$2:$B$37,Phone_by_Sentiment!F$2:F$37,"",0,1),0),$A582-TEXT(DATEVALUE($D582&amp;"-01"), "dd-mm-yyyy")),0),0)</f>
        <v>0</v>
      </c>
      <c r="G582" cm="1">
        <f t="array" ref="G582">IF($Q582&gt;=0,IFERROR(generateSalesData($D582, IF(ISNUMBER(_xlfn.XLOOKUP($C582,Phone_by_Sentiment!$B$2:$B$37,Phone_by_Sentiment!G$2:G$37,"",0,1)),_xlfn.XLOOKUP($C582,Phone_by_Sentiment!$B$2:$B$37,Phone_by_Sentiment!G$2:G$37,"",0,1),0),$A582-TEXT(DATEVALUE($D582&amp;"-01"), "dd-mm-yyyy")),0),0)</f>
        <v>0</v>
      </c>
      <c r="H582" cm="1">
        <f t="array" ref="H582">IF($Q582&gt;=0,IFERROR(generateSalesData($D582, IF(ISNUMBER(_xlfn.XLOOKUP($C582,Phone_by_Sentiment!$B$2:$B$37,Phone_by_Sentiment!H$2:H$37,"",0,1)),_xlfn.XLOOKUP($C582,Phone_by_Sentiment!$B$2:$B$37,Phone_by_Sentiment!H$2:H$37,"",0,1),0),$A582-TEXT(DATEVALUE($D582&amp;"-01"), "dd-mm-yyyy")),0),0)</f>
        <v>0</v>
      </c>
      <c r="I582" cm="1">
        <f t="array" ref="I582">IF($Q582&gt;=0,IFERROR(generateSalesData($D582, IF(ISNUMBER(_xlfn.XLOOKUP($C582,Phone_by_Sentiment!$B$2:$B$37,Phone_by_Sentiment!I$2:I$37,"",0,1)),_xlfn.XLOOKUP($C582,Phone_by_Sentiment!$B$2:$B$37,Phone_by_Sentiment!I$2:I$37,"",0,1),0),$A582-TEXT(DATEVALUE($D582&amp;"-01"), "dd-mm-yyyy")),0),0)</f>
        <v>0</v>
      </c>
      <c r="J582" cm="1">
        <f t="array" ref="J582">IF($Q582&gt;=0,IFERROR(generateSalesData($D582, IF(ISNUMBER(_xlfn.XLOOKUP($C582,Phone_by_Sentiment!$B$2:$B$37,Phone_by_Sentiment!J$2:J$37,"",0,1)),_xlfn.XLOOKUP($C582,Phone_by_Sentiment!$B$2:$B$37,Phone_by_Sentiment!J$2:J$37,"",0,1),0),$A582-TEXT(DATEVALUE($D582&amp;"-01"), "dd-mm-yyyy")),0),0)</f>
        <v>0</v>
      </c>
      <c r="K582" cm="1">
        <f t="array" ref="K582">IF($Q582&gt;=0,IFERROR(generateSalesData($D582, IF(ISNUMBER(_xlfn.XLOOKUP($C582,Phone_by_Sentiment!$B$2:$B$37,Phone_by_Sentiment!K$2:K$37,"",0,1)),_xlfn.XLOOKUP($C582,Phone_by_Sentiment!$B$2:$B$37,Phone_by_Sentiment!K$2:K$37,"",0,1),0),$A582-TEXT(DATEVALUE($D582&amp;"-01"), "dd-mm-yyyy")),0),0)</f>
        <v>0</v>
      </c>
      <c r="L582" cm="1">
        <f t="array" ref="L582">IF($Q582&gt;=0,IFERROR(generateSalesData($D582, IF(ISNUMBER(_xlfn.XLOOKUP($C582,Phone_by_Sentiment!$B$2:$B$37,Phone_by_Sentiment!L$2:L$37,"",0,1)),_xlfn.XLOOKUP($C582,Phone_by_Sentiment!$B$2:$B$37,Phone_by_Sentiment!L$2:L$37,"",0,1),0),$A582-TEXT(DATEVALUE($D582&amp;"-01"), "dd-mm-yyyy")),0),0)</f>
        <v>0</v>
      </c>
      <c r="M582" cm="1">
        <f t="array" ref="M582">IF($Q582&gt;=0,IFERROR(generateSalesData($D582, IF(ISNUMBER(_xlfn.XLOOKUP($C582,Phone_by_Sentiment!$B$2:$B$37,Phone_by_Sentiment!M$2:M$37,"",0,1)),_xlfn.XLOOKUP($C582,Phone_by_Sentiment!$B$2:$B$37,Phone_by_Sentiment!M$2:M$37,"",0,1),0),$A582-TEXT(DATEVALUE($D582&amp;"-01"), "dd-mm-yyyy")),0),0)</f>
        <v>0</v>
      </c>
      <c r="N582" cm="1">
        <f t="array" ref="N582">IF($Q582&gt;=0,IFERROR(generateSalesData($D582, IF(ISNUMBER(_xlfn.XLOOKUP($C582,Phone_by_Sentiment!$B$2:$B$37,Phone_by_Sentiment!N$2:N$37,"",0,1)),_xlfn.XLOOKUP($C582,Phone_by_Sentiment!$B$2:$B$37,Phone_by_Sentiment!N$2:N$37,"",0,1),0),$A582-TEXT(DATEVALUE($D582&amp;"-01"), "dd-mm-yyyy")),0),0)</f>
        <v>0</v>
      </c>
      <c r="O582" cm="1">
        <f t="array" ref="O582">IF($Q582&gt;=0,IFERROR(generateSalesData($D582, IF(ISNUMBER(_xlfn.XLOOKUP($C582,Phone_by_Sentiment!$B$2:$B$37,Phone_by_Sentiment!O$2:O$37,"",0,1)),_xlfn.XLOOKUP($C582,Phone_by_Sentiment!$B$2:$B$37,Phone_by_Sentiment!O$2:O$37,"",0,1),0),$A582-TEXT(DATEVALUE($D582&amp;"-01"), "dd-mm-yyyy")),0),0)</f>
        <v>0</v>
      </c>
      <c r="P582" s="1">
        <f t="shared" si="25"/>
        <v>44317</v>
      </c>
      <c r="Q582">
        <f t="shared" si="26"/>
        <v>-365</v>
      </c>
    </row>
    <row r="583" spans="1:17" x14ac:dyDescent="0.25">
      <c r="A583" s="1">
        <f t="shared" si="24"/>
        <v>43952</v>
      </c>
      <c r="B583" t="s">
        <v>161</v>
      </c>
      <c r="C583" t="str">
        <f>_xlfn.XLOOKUP(B583,Phone_by_Price!$A$2:$A$34,Phone_by_Price!$B$2:$B$34,"-",0,1)</f>
        <v>Samsung Galaxy Z Flip 3</v>
      </c>
      <c r="D583" t="str">
        <f>_xlfn.XLOOKUP(C583,Phone_by_Sentiment!$B$2:$B$37,Phone_by_Sentiment!$A$2:$A$37,"-",0,1)</f>
        <v>2021-09</v>
      </c>
      <c r="E583" cm="1">
        <f t="array" ref="E583">IF($Q583&gt;=0,IFERROR(generateSalesData($D583, IF(ISNUMBER(_xlfn.XLOOKUP($C583,Phone_by_Sentiment!$B$2:$B$37,Phone_by_Sentiment!E$2:E$37,"",0,1)),_xlfn.XLOOKUP($C583,Phone_by_Sentiment!$B$2:$B$37,Phone_by_Sentiment!E$2:E$37,"",0,1),0),$A583-TEXT(DATEVALUE($D583&amp;"-01"), "dd-mm-yyyy")),0),0)</f>
        <v>0</v>
      </c>
      <c r="F583" cm="1">
        <f t="array" ref="F583">IF($Q583&gt;=0,IFERROR(generateSalesData($D583, IF(ISNUMBER(_xlfn.XLOOKUP($C583,Phone_by_Sentiment!$B$2:$B$37,Phone_by_Sentiment!F$2:F$37,"",0,1)),_xlfn.XLOOKUP($C583,Phone_by_Sentiment!$B$2:$B$37,Phone_by_Sentiment!F$2:F$37,"",0,1),0),$A583-TEXT(DATEVALUE($D583&amp;"-01"), "dd-mm-yyyy")),0),0)</f>
        <v>0</v>
      </c>
      <c r="G583" cm="1">
        <f t="array" ref="G583">IF($Q583&gt;=0,IFERROR(generateSalesData($D583, IF(ISNUMBER(_xlfn.XLOOKUP($C583,Phone_by_Sentiment!$B$2:$B$37,Phone_by_Sentiment!G$2:G$37,"",0,1)),_xlfn.XLOOKUP($C583,Phone_by_Sentiment!$B$2:$B$37,Phone_by_Sentiment!G$2:G$37,"",0,1),0),$A583-TEXT(DATEVALUE($D583&amp;"-01"), "dd-mm-yyyy")),0),0)</f>
        <v>0</v>
      </c>
      <c r="H583" cm="1">
        <f t="array" ref="H583">IF($Q583&gt;=0,IFERROR(generateSalesData($D583, IF(ISNUMBER(_xlfn.XLOOKUP($C583,Phone_by_Sentiment!$B$2:$B$37,Phone_by_Sentiment!H$2:H$37,"",0,1)),_xlfn.XLOOKUP($C583,Phone_by_Sentiment!$B$2:$B$37,Phone_by_Sentiment!H$2:H$37,"",0,1),0),$A583-TEXT(DATEVALUE($D583&amp;"-01"), "dd-mm-yyyy")),0),0)</f>
        <v>0</v>
      </c>
      <c r="I583" cm="1">
        <f t="array" ref="I583">IF($Q583&gt;=0,IFERROR(generateSalesData($D583, IF(ISNUMBER(_xlfn.XLOOKUP($C583,Phone_by_Sentiment!$B$2:$B$37,Phone_by_Sentiment!I$2:I$37,"",0,1)),_xlfn.XLOOKUP($C583,Phone_by_Sentiment!$B$2:$B$37,Phone_by_Sentiment!I$2:I$37,"",0,1),0),$A583-TEXT(DATEVALUE($D583&amp;"-01"), "dd-mm-yyyy")),0),0)</f>
        <v>0</v>
      </c>
      <c r="J583" cm="1">
        <f t="array" ref="J583">IF($Q583&gt;=0,IFERROR(generateSalesData($D583, IF(ISNUMBER(_xlfn.XLOOKUP($C583,Phone_by_Sentiment!$B$2:$B$37,Phone_by_Sentiment!J$2:J$37,"",0,1)),_xlfn.XLOOKUP($C583,Phone_by_Sentiment!$B$2:$B$37,Phone_by_Sentiment!J$2:J$37,"",0,1),0),$A583-TEXT(DATEVALUE($D583&amp;"-01"), "dd-mm-yyyy")),0),0)</f>
        <v>0</v>
      </c>
      <c r="K583" cm="1">
        <f t="array" ref="K583">IF($Q583&gt;=0,IFERROR(generateSalesData($D583, IF(ISNUMBER(_xlfn.XLOOKUP($C583,Phone_by_Sentiment!$B$2:$B$37,Phone_by_Sentiment!K$2:K$37,"",0,1)),_xlfn.XLOOKUP($C583,Phone_by_Sentiment!$B$2:$B$37,Phone_by_Sentiment!K$2:K$37,"",0,1),0),$A583-TEXT(DATEVALUE($D583&amp;"-01"), "dd-mm-yyyy")),0),0)</f>
        <v>0</v>
      </c>
      <c r="L583" cm="1">
        <f t="array" ref="L583">IF($Q583&gt;=0,IFERROR(generateSalesData($D583, IF(ISNUMBER(_xlfn.XLOOKUP($C583,Phone_by_Sentiment!$B$2:$B$37,Phone_by_Sentiment!L$2:L$37,"",0,1)),_xlfn.XLOOKUP($C583,Phone_by_Sentiment!$B$2:$B$37,Phone_by_Sentiment!L$2:L$37,"",0,1),0),$A583-TEXT(DATEVALUE($D583&amp;"-01"), "dd-mm-yyyy")),0),0)</f>
        <v>0</v>
      </c>
      <c r="M583" cm="1">
        <f t="array" ref="M583">IF($Q583&gt;=0,IFERROR(generateSalesData($D583, IF(ISNUMBER(_xlfn.XLOOKUP($C583,Phone_by_Sentiment!$B$2:$B$37,Phone_by_Sentiment!M$2:M$37,"",0,1)),_xlfn.XLOOKUP($C583,Phone_by_Sentiment!$B$2:$B$37,Phone_by_Sentiment!M$2:M$37,"",0,1),0),$A583-TEXT(DATEVALUE($D583&amp;"-01"), "dd-mm-yyyy")),0),0)</f>
        <v>0</v>
      </c>
      <c r="N583" cm="1">
        <f t="array" ref="N583">IF($Q583&gt;=0,IFERROR(generateSalesData($D583, IF(ISNUMBER(_xlfn.XLOOKUP($C583,Phone_by_Sentiment!$B$2:$B$37,Phone_by_Sentiment!N$2:N$37,"",0,1)),_xlfn.XLOOKUP($C583,Phone_by_Sentiment!$B$2:$B$37,Phone_by_Sentiment!N$2:N$37,"",0,1),0),$A583-TEXT(DATEVALUE($D583&amp;"-01"), "dd-mm-yyyy")),0),0)</f>
        <v>0</v>
      </c>
      <c r="O583" cm="1">
        <f t="array" ref="O583">IF($Q583&gt;=0,IFERROR(generateSalesData($D583, IF(ISNUMBER(_xlfn.XLOOKUP($C583,Phone_by_Sentiment!$B$2:$B$37,Phone_by_Sentiment!O$2:O$37,"",0,1)),_xlfn.XLOOKUP($C583,Phone_by_Sentiment!$B$2:$B$37,Phone_by_Sentiment!O$2:O$37,"",0,1),0),$A583-TEXT(DATEVALUE($D583&amp;"-01"), "dd-mm-yyyy")),0),0)</f>
        <v>0</v>
      </c>
      <c r="P583" s="1">
        <f t="shared" si="25"/>
        <v>44440</v>
      </c>
      <c r="Q583">
        <f t="shared" si="26"/>
        <v>-488</v>
      </c>
    </row>
    <row r="584" spans="1:17" x14ac:dyDescent="0.25">
      <c r="A584" s="1">
        <f t="shared" si="24"/>
        <v>43952</v>
      </c>
      <c r="B584" t="s">
        <v>162</v>
      </c>
      <c r="C584" t="str">
        <f>_xlfn.XLOOKUP(B584,Phone_by_Price!$A$2:$A$34,Phone_by_Price!$B$2:$B$34,"-",0,1)</f>
        <v>Xiaomi Poco X3 NFC</v>
      </c>
      <c r="D584" t="str">
        <f>_xlfn.XLOOKUP(C584,Phone_by_Sentiment!$B$2:$B$37,Phone_by_Sentiment!$A$2:$A$37,"-",0,1)</f>
        <v>2020-08</v>
      </c>
      <c r="E584" cm="1">
        <f t="array" ref="E584">IF($Q584&gt;=0,IFERROR(generateSalesData($D584, IF(ISNUMBER(_xlfn.XLOOKUP($C584,Phone_by_Sentiment!$B$2:$B$37,Phone_by_Sentiment!E$2:E$37,"",0,1)),_xlfn.XLOOKUP($C584,Phone_by_Sentiment!$B$2:$B$37,Phone_by_Sentiment!E$2:E$37,"",0,1),0),$A584-TEXT(DATEVALUE($D584&amp;"-01"), "dd-mm-yyyy")),0),0)</f>
        <v>0</v>
      </c>
      <c r="F584" cm="1">
        <f t="array" ref="F584">IF($Q584&gt;=0,IFERROR(generateSalesData($D584, IF(ISNUMBER(_xlfn.XLOOKUP($C584,Phone_by_Sentiment!$B$2:$B$37,Phone_by_Sentiment!F$2:F$37,"",0,1)),_xlfn.XLOOKUP($C584,Phone_by_Sentiment!$B$2:$B$37,Phone_by_Sentiment!F$2:F$37,"",0,1),0),$A584-TEXT(DATEVALUE($D584&amp;"-01"), "dd-mm-yyyy")),0),0)</f>
        <v>0</v>
      </c>
      <c r="G584" cm="1">
        <f t="array" ref="G584">IF($Q584&gt;=0,IFERROR(generateSalesData($D584, IF(ISNUMBER(_xlfn.XLOOKUP($C584,Phone_by_Sentiment!$B$2:$B$37,Phone_by_Sentiment!G$2:G$37,"",0,1)),_xlfn.XLOOKUP($C584,Phone_by_Sentiment!$B$2:$B$37,Phone_by_Sentiment!G$2:G$37,"",0,1),0),$A584-TEXT(DATEVALUE($D584&amp;"-01"), "dd-mm-yyyy")),0),0)</f>
        <v>0</v>
      </c>
      <c r="H584" cm="1">
        <f t="array" ref="H584">IF($Q584&gt;=0,IFERROR(generateSalesData($D584, IF(ISNUMBER(_xlfn.XLOOKUP($C584,Phone_by_Sentiment!$B$2:$B$37,Phone_by_Sentiment!H$2:H$37,"",0,1)),_xlfn.XLOOKUP($C584,Phone_by_Sentiment!$B$2:$B$37,Phone_by_Sentiment!H$2:H$37,"",0,1),0),$A584-TEXT(DATEVALUE($D584&amp;"-01"), "dd-mm-yyyy")),0),0)</f>
        <v>0</v>
      </c>
      <c r="I584" cm="1">
        <f t="array" ref="I584">IF($Q584&gt;=0,IFERROR(generateSalesData($D584, IF(ISNUMBER(_xlfn.XLOOKUP($C584,Phone_by_Sentiment!$B$2:$B$37,Phone_by_Sentiment!I$2:I$37,"",0,1)),_xlfn.XLOOKUP($C584,Phone_by_Sentiment!$B$2:$B$37,Phone_by_Sentiment!I$2:I$37,"",0,1),0),$A584-TEXT(DATEVALUE($D584&amp;"-01"), "dd-mm-yyyy")),0),0)</f>
        <v>0</v>
      </c>
      <c r="J584" cm="1">
        <f t="array" ref="J584">IF($Q584&gt;=0,IFERROR(generateSalesData($D584, IF(ISNUMBER(_xlfn.XLOOKUP($C584,Phone_by_Sentiment!$B$2:$B$37,Phone_by_Sentiment!J$2:J$37,"",0,1)),_xlfn.XLOOKUP($C584,Phone_by_Sentiment!$B$2:$B$37,Phone_by_Sentiment!J$2:J$37,"",0,1),0),$A584-TEXT(DATEVALUE($D584&amp;"-01"), "dd-mm-yyyy")),0),0)</f>
        <v>0</v>
      </c>
      <c r="K584" cm="1">
        <f t="array" ref="K584">IF($Q584&gt;=0,IFERROR(generateSalesData($D584, IF(ISNUMBER(_xlfn.XLOOKUP($C584,Phone_by_Sentiment!$B$2:$B$37,Phone_by_Sentiment!K$2:K$37,"",0,1)),_xlfn.XLOOKUP($C584,Phone_by_Sentiment!$B$2:$B$37,Phone_by_Sentiment!K$2:K$37,"",0,1),0),$A584-TEXT(DATEVALUE($D584&amp;"-01"), "dd-mm-yyyy")),0),0)</f>
        <v>0</v>
      </c>
      <c r="L584" cm="1">
        <f t="array" ref="L584">IF($Q584&gt;=0,IFERROR(generateSalesData($D584, IF(ISNUMBER(_xlfn.XLOOKUP($C584,Phone_by_Sentiment!$B$2:$B$37,Phone_by_Sentiment!L$2:L$37,"",0,1)),_xlfn.XLOOKUP($C584,Phone_by_Sentiment!$B$2:$B$37,Phone_by_Sentiment!L$2:L$37,"",0,1),0),$A584-TEXT(DATEVALUE($D584&amp;"-01"), "dd-mm-yyyy")),0),0)</f>
        <v>0</v>
      </c>
      <c r="M584" cm="1">
        <f t="array" ref="M584">IF($Q584&gt;=0,IFERROR(generateSalesData($D584, IF(ISNUMBER(_xlfn.XLOOKUP($C584,Phone_by_Sentiment!$B$2:$B$37,Phone_by_Sentiment!M$2:M$37,"",0,1)),_xlfn.XLOOKUP($C584,Phone_by_Sentiment!$B$2:$B$37,Phone_by_Sentiment!M$2:M$37,"",0,1),0),$A584-TEXT(DATEVALUE($D584&amp;"-01"), "dd-mm-yyyy")),0),0)</f>
        <v>0</v>
      </c>
      <c r="N584" cm="1">
        <f t="array" ref="N584">IF($Q584&gt;=0,IFERROR(generateSalesData($D584, IF(ISNUMBER(_xlfn.XLOOKUP($C584,Phone_by_Sentiment!$B$2:$B$37,Phone_by_Sentiment!N$2:N$37,"",0,1)),_xlfn.XLOOKUP($C584,Phone_by_Sentiment!$B$2:$B$37,Phone_by_Sentiment!N$2:N$37,"",0,1),0),$A584-TEXT(DATEVALUE($D584&amp;"-01"), "dd-mm-yyyy")),0),0)</f>
        <v>0</v>
      </c>
      <c r="O584" cm="1">
        <f t="array" ref="O584">IF($Q584&gt;=0,IFERROR(generateSalesData($D584, IF(ISNUMBER(_xlfn.XLOOKUP($C584,Phone_by_Sentiment!$B$2:$B$37,Phone_by_Sentiment!O$2:O$37,"",0,1)),_xlfn.XLOOKUP($C584,Phone_by_Sentiment!$B$2:$B$37,Phone_by_Sentiment!O$2:O$37,"",0,1),0),$A584-TEXT(DATEVALUE($D584&amp;"-01"), "dd-mm-yyyy")),0),0)</f>
        <v>0</v>
      </c>
      <c r="P584" s="1">
        <f t="shared" si="25"/>
        <v>44044</v>
      </c>
      <c r="Q584">
        <f t="shared" si="26"/>
        <v>-92</v>
      </c>
    </row>
    <row r="585" spans="1:17" x14ac:dyDescent="0.25">
      <c r="A585" s="1">
        <f>DATE(YEAR($A$1), MONTH($A$1) + INT((ROW()-1)/35), DAY($A$1))</f>
        <v>43952</v>
      </c>
      <c r="B585" t="s">
        <v>163</v>
      </c>
      <c r="C585" t="str">
        <f>_xlfn.XLOOKUP(B585,Phone_by_Price!$A$2:$A$34,Phone_by_Price!$B$2:$B$34,"-",0,1)</f>
        <v>OPPO A93</v>
      </c>
      <c r="D585" t="str">
        <f>_xlfn.XLOOKUP(C585,Phone_by_Sentiment!$B$2:$B$37,Phone_by_Sentiment!$A$2:$A$37,"-",0,1)</f>
        <v>2021-02</v>
      </c>
      <c r="E585" cm="1">
        <f t="array" ref="E585">IF($Q585&gt;=0,IFERROR(generateSalesData($D585, IF(ISNUMBER(_xlfn.XLOOKUP($C585,Phone_by_Sentiment!$B$2:$B$37,Phone_by_Sentiment!E$2:E$37,"",0,1)),_xlfn.XLOOKUP($C585,Phone_by_Sentiment!$B$2:$B$37,Phone_by_Sentiment!E$2:E$37,"",0,1),0),$A585-TEXT(DATEVALUE($D585&amp;"-01"), "dd-mm-yyyy")),0),0)</f>
        <v>0</v>
      </c>
      <c r="F585" cm="1">
        <f t="array" ref="F585">IF($Q585&gt;=0,IFERROR(generateSalesData($D585, IF(ISNUMBER(_xlfn.XLOOKUP($C585,Phone_by_Sentiment!$B$2:$B$37,Phone_by_Sentiment!F$2:F$37,"",0,1)),_xlfn.XLOOKUP($C585,Phone_by_Sentiment!$B$2:$B$37,Phone_by_Sentiment!F$2:F$37,"",0,1),0),$A585-TEXT(DATEVALUE($D585&amp;"-01"), "dd-mm-yyyy")),0),0)</f>
        <v>0</v>
      </c>
      <c r="G585" cm="1">
        <f t="array" ref="G585">IF($Q585&gt;=0,IFERROR(generateSalesData($D585, IF(ISNUMBER(_xlfn.XLOOKUP($C585,Phone_by_Sentiment!$B$2:$B$37,Phone_by_Sentiment!G$2:G$37,"",0,1)),_xlfn.XLOOKUP($C585,Phone_by_Sentiment!$B$2:$B$37,Phone_by_Sentiment!G$2:G$37,"",0,1),0),$A585-TEXT(DATEVALUE($D585&amp;"-01"), "dd-mm-yyyy")),0),0)</f>
        <v>0</v>
      </c>
      <c r="H585" cm="1">
        <f t="array" ref="H585">IF($Q585&gt;=0,IFERROR(generateSalesData($D585, IF(ISNUMBER(_xlfn.XLOOKUP($C585,Phone_by_Sentiment!$B$2:$B$37,Phone_by_Sentiment!H$2:H$37,"",0,1)),_xlfn.XLOOKUP($C585,Phone_by_Sentiment!$B$2:$B$37,Phone_by_Sentiment!H$2:H$37,"",0,1),0),$A585-TEXT(DATEVALUE($D585&amp;"-01"), "dd-mm-yyyy")),0),0)</f>
        <v>0</v>
      </c>
      <c r="I585" cm="1">
        <f t="array" ref="I585">IF($Q585&gt;=0,IFERROR(generateSalesData($D585, IF(ISNUMBER(_xlfn.XLOOKUP($C585,Phone_by_Sentiment!$B$2:$B$37,Phone_by_Sentiment!I$2:I$37,"",0,1)),_xlfn.XLOOKUP($C585,Phone_by_Sentiment!$B$2:$B$37,Phone_by_Sentiment!I$2:I$37,"",0,1),0),$A585-TEXT(DATEVALUE($D585&amp;"-01"), "dd-mm-yyyy")),0),0)</f>
        <v>0</v>
      </c>
      <c r="J585" cm="1">
        <f t="array" ref="J585">IF($Q585&gt;=0,IFERROR(generateSalesData($D585, IF(ISNUMBER(_xlfn.XLOOKUP($C585,Phone_by_Sentiment!$B$2:$B$37,Phone_by_Sentiment!J$2:J$37,"",0,1)),_xlfn.XLOOKUP($C585,Phone_by_Sentiment!$B$2:$B$37,Phone_by_Sentiment!J$2:J$37,"",0,1),0),$A585-TEXT(DATEVALUE($D585&amp;"-01"), "dd-mm-yyyy")),0),0)</f>
        <v>0</v>
      </c>
      <c r="K585" cm="1">
        <f t="array" ref="K585">IF($Q585&gt;=0,IFERROR(generateSalesData($D585, IF(ISNUMBER(_xlfn.XLOOKUP($C585,Phone_by_Sentiment!$B$2:$B$37,Phone_by_Sentiment!K$2:K$37,"",0,1)),_xlfn.XLOOKUP($C585,Phone_by_Sentiment!$B$2:$B$37,Phone_by_Sentiment!K$2:K$37,"",0,1),0),$A585-TEXT(DATEVALUE($D585&amp;"-01"), "dd-mm-yyyy")),0),0)</f>
        <v>0</v>
      </c>
      <c r="L585" cm="1">
        <f t="array" ref="L585">IF($Q585&gt;=0,IFERROR(generateSalesData($D585, IF(ISNUMBER(_xlfn.XLOOKUP($C585,Phone_by_Sentiment!$B$2:$B$37,Phone_by_Sentiment!L$2:L$37,"",0,1)),_xlfn.XLOOKUP($C585,Phone_by_Sentiment!$B$2:$B$37,Phone_by_Sentiment!L$2:L$37,"",0,1),0),$A585-TEXT(DATEVALUE($D585&amp;"-01"), "dd-mm-yyyy")),0),0)</f>
        <v>0</v>
      </c>
      <c r="M585" cm="1">
        <f t="array" ref="M585">IF($Q585&gt;=0,IFERROR(generateSalesData($D585, IF(ISNUMBER(_xlfn.XLOOKUP($C585,Phone_by_Sentiment!$B$2:$B$37,Phone_by_Sentiment!M$2:M$37,"",0,1)),_xlfn.XLOOKUP($C585,Phone_by_Sentiment!$B$2:$B$37,Phone_by_Sentiment!M$2:M$37,"",0,1),0),$A585-TEXT(DATEVALUE($D585&amp;"-01"), "dd-mm-yyyy")),0),0)</f>
        <v>0</v>
      </c>
      <c r="N585" cm="1">
        <f t="array" ref="N585">IF($Q585&gt;=0,IFERROR(generateSalesData($D585, IF(ISNUMBER(_xlfn.XLOOKUP($C585,Phone_by_Sentiment!$B$2:$B$37,Phone_by_Sentiment!N$2:N$37,"",0,1)),_xlfn.XLOOKUP($C585,Phone_by_Sentiment!$B$2:$B$37,Phone_by_Sentiment!N$2:N$37,"",0,1),0),$A585-TEXT(DATEVALUE($D585&amp;"-01"), "dd-mm-yyyy")),0),0)</f>
        <v>0</v>
      </c>
      <c r="O585" cm="1">
        <f t="array" ref="O585">IF($Q585&gt;=0,IFERROR(generateSalesData($D585, IF(ISNUMBER(_xlfn.XLOOKUP($C585,Phone_by_Sentiment!$B$2:$B$37,Phone_by_Sentiment!O$2:O$37,"",0,1)),_xlfn.XLOOKUP($C585,Phone_by_Sentiment!$B$2:$B$37,Phone_by_Sentiment!O$2:O$37,"",0,1),0),$A585-TEXT(DATEVALUE($D585&amp;"-01"), "dd-mm-yyyy")),0),0)</f>
        <v>0</v>
      </c>
      <c r="P585" s="1">
        <f t="shared" si="25"/>
        <v>44228</v>
      </c>
      <c r="Q585">
        <f t="shared" si="26"/>
        <v>-276</v>
      </c>
    </row>
    <row r="586" spans="1:17" x14ac:dyDescent="0.25">
      <c r="A586" s="1">
        <f t="shared" ref="A586:A846" si="27">DATE(YEAR($A$1), MONTH($A$1) + INT((ROW()-1)/35), DAY($A$1))</f>
        <v>43952</v>
      </c>
      <c r="B586" t="s">
        <v>164</v>
      </c>
      <c r="C586" t="str">
        <f>_xlfn.XLOOKUP(B586,Phone_by_Price!$A$2:$A$34,Phone_by_Price!$B$2:$B$34,"-",0,1)</f>
        <v>Vivo V20</v>
      </c>
      <c r="D586" t="str">
        <f>_xlfn.XLOOKUP(C586,Phone_by_Sentiment!$B$2:$B$37,Phone_by_Sentiment!$A$2:$A$37,"-",0,1)</f>
        <v>2020-10</v>
      </c>
      <c r="E586" cm="1">
        <f t="array" ref="E586">IF($Q586&gt;=0,IFERROR(generateSalesData($D586, IF(ISNUMBER(_xlfn.XLOOKUP($C586,Phone_by_Sentiment!$B$2:$B$37,Phone_by_Sentiment!E$2:E$37,"",0,1)),_xlfn.XLOOKUP($C586,Phone_by_Sentiment!$B$2:$B$37,Phone_by_Sentiment!E$2:E$37,"",0,1),0),$A586-TEXT(DATEVALUE($D586&amp;"-01"), "dd-mm-yyyy")),0),0)</f>
        <v>0</v>
      </c>
      <c r="F586" cm="1">
        <f t="array" ref="F586">IF($Q586&gt;=0,IFERROR(generateSalesData($D586, IF(ISNUMBER(_xlfn.XLOOKUP($C586,Phone_by_Sentiment!$B$2:$B$37,Phone_by_Sentiment!F$2:F$37,"",0,1)),_xlfn.XLOOKUP($C586,Phone_by_Sentiment!$B$2:$B$37,Phone_by_Sentiment!F$2:F$37,"",0,1),0),$A586-TEXT(DATEVALUE($D586&amp;"-01"), "dd-mm-yyyy")),0),0)</f>
        <v>0</v>
      </c>
      <c r="G586" cm="1">
        <f t="array" ref="G586">IF($Q586&gt;=0,IFERROR(generateSalesData($D586, IF(ISNUMBER(_xlfn.XLOOKUP($C586,Phone_by_Sentiment!$B$2:$B$37,Phone_by_Sentiment!G$2:G$37,"",0,1)),_xlfn.XLOOKUP($C586,Phone_by_Sentiment!$B$2:$B$37,Phone_by_Sentiment!G$2:G$37,"",0,1),0),$A586-TEXT(DATEVALUE($D586&amp;"-01"), "dd-mm-yyyy")),0),0)</f>
        <v>0</v>
      </c>
      <c r="H586" cm="1">
        <f t="array" ref="H586">IF($Q586&gt;=0,IFERROR(generateSalesData($D586, IF(ISNUMBER(_xlfn.XLOOKUP($C586,Phone_by_Sentiment!$B$2:$B$37,Phone_by_Sentiment!H$2:H$37,"",0,1)),_xlfn.XLOOKUP($C586,Phone_by_Sentiment!$B$2:$B$37,Phone_by_Sentiment!H$2:H$37,"",0,1),0),$A586-TEXT(DATEVALUE($D586&amp;"-01"), "dd-mm-yyyy")),0),0)</f>
        <v>0</v>
      </c>
      <c r="I586" cm="1">
        <f t="array" ref="I586">IF($Q586&gt;=0,IFERROR(generateSalesData($D586, IF(ISNUMBER(_xlfn.XLOOKUP($C586,Phone_by_Sentiment!$B$2:$B$37,Phone_by_Sentiment!I$2:I$37,"",0,1)),_xlfn.XLOOKUP($C586,Phone_by_Sentiment!$B$2:$B$37,Phone_by_Sentiment!I$2:I$37,"",0,1),0),$A586-TEXT(DATEVALUE($D586&amp;"-01"), "dd-mm-yyyy")),0),0)</f>
        <v>0</v>
      </c>
      <c r="J586" cm="1">
        <f t="array" ref="J586">IF($Q586&gt;=0,IFERROR(generateSalesData($D586, IF(ISNUMBER(_xlfn.XLOOKUP($C586,Phone_by_Sentiment!$B$2:$B$37,Phone_by_Sentiment!J$2:J$37,"",0,1)),_xlfn.XLOOKUP($C586,Phone_by_Sentiment!$B$2:$B$37,Phone_by_Sentiment!J$2:J$37,"",0,1),0),$A586-TEXT(DATEVALUE($D586&amp;"-01"), "dd-mm-yyyy")),0),0)</f>
        <v>0</v>
      </c>
      <c r="K586" cm="1">
        <f t="array" ref="K586">IF($Q586&gt;=0,IFERROR(generateSalesData($D586, IF(ISNUMBER(_xlfn.XLOOKUP($C586,Phone_by_Sentiment!$B$2:$B$37,Phone_by_Sentiment!K$2:K$37,"",0,1)),_xlfn.XLOOKUP($C586,Phone_by_Sentiment!$B$2:$B$37,Phone_by_Sentiment!K$2:K$37,"",0,1),0),$A586-TEXT(DATEVALUE($D586&amp;"-01"), "dd-mm-yyyy")),0),0)</f>
        <v>0</v>
      </c>
      <c r="L586" cm="1">
        <f t="array" ref="L586">IF($Q586&gt;=0,IFERROR(generateSalesData($D586, IF(ISNUMBER(_xlfn.XLOOKUP($C586,Phone_by_Sentiment!$B$2:$B$37,Phone_by_Sentiment!L$2:L$37,"",0,1)),_xlfn.XLOOKUP($C586,Phone_by_Sentiment!$B$2:$B$37,Phone_by_Sentiment!L$2:L$37,"",0,1),0),$A586-TEXT(DATEVALUE($D586&amp;"-01"), "dd-mm-yyyy")),0),0)</f>
        <v>0</v>
      </c>
      <c r="M586" cm="1">
        <f t="array" ref="M586">IF($Q586&gt;=0,IFERROR(generateSalesData($D586, IF(ISNUMBER(_xlfn.XLOOKUP($C586,Phone_by_Sentiment!$B$2:$B$37,Phone_by_Sentiment!M$2:M$37,"",0,1)),_xlfn.XLOOKUP($C586,Phone_by_Sentiment!$B$2:$B$37,Phone_by_Sentiment!M$2:M$37,"",0,1),0),$A586-TEXT(DATEVALUE($D586&amp;"-01"), "dd-mm-yyyy")),0),0)</f>
        <v>0</v>
      </c>
      <c r="N586" cm="1">
        <f t="array" ref="N586">IF($Q586&gt;=0,IFERROR(generateSalesData($D586, IF(ISNUMBER(_xlfn.XLOOKUP($C586,Phone_by_Sentiment!$B$2:$B$37,Phone_by_Sentiment!N$2:N$37,"",0,1)),_xlfn.XLOOKUP($C586,Phone_by_Sentiment!$B$2:$B$37,Phone_by_Sentiment!N$2:N$37,"",0,1),0),$A586-TEXT(DATEVALUE($D586&amp;"-01"), "dd-mm-yyyy")),0),0)</f>
        <v>0</v>
      </c>
      <c r="O586" cm="1">
        <f t="array" ref="O586">IF($Q586&gt;=0,IFERROR(generateSalesData($D586, IF(ISNUMBER(_xlfn.XLOOKUP($C586,Phone_by_Sentiment!$B$2:$B$37,Phone_by_Sentiment!O$2:O$37,"",0,1)),_xlfn.XLOOKUP($C586,Phone_by_Sentiment!$B$2:$B$37,Phone_by_Sentiment!O$2:O$37,"",0,1),0),$A586-TEXT(DATEVALUE($D586&amp;"-01"), "dd-mm-yyyy")),0),0)</f>
        <v>0</v>
      </c>
      <c r="P586" s="1">
        <f t="shared" si="25"/>
        <v>44105</v>
      </c>
      <c r="Q586">
        <f t="shared" si="26"/>
        <v>-153</v>
      </c>
    </row>
    <row r="587" spans="1:17" x14ac:dyDescent="0.25">
      <c r="A587" s="1">
        <f t="shared" si="27"/>
        <v>43952</v>
      </c>
      <c r="B587" t="s">
        <v>165</v>
      </c>
      <c r="C587" t="str">
        <f>_xlfn.XLOOKUP(B587,Phone_by_Price!$A$2:$A$34,Phone_by_Price!$B$2:$B$34,"-",0,1)</f>
        <v>Samsung Galaxy A50</v>
      </c>
      <c r="D587" t="str">
        <f>_xlfn.XLOOKUP(C587,Phone_by_Sentiment!$B$2:$B$37,Phone_by_Sentiment!$A$2:$A$37,"-",0,1)</f>
        <v>2019-05</v>
      </c>
      <c r="E587" cm="1">
        <f t="array" ref="E587">IF($Q587&gt;=0,IFERROR(generateSalesData($D587, IF(ISNUMBER(_xlfn.XLOOKUP($C587,Phone_by_Sentiment!$B$2:$B$37,Phone_by_Sentiment!E$2:E$37,"",0,1)),_xlfn.XLOOKUP($C587,Phone_by_Sentiment!$B$2:$B$37,Phone_by_Sentiment!E$2:E$37,"",0,1),0),$A587-TEXT(DATEVALUE($D587&amp;"-01"), "dd-mm-yyyy")),0),0)</f>
        <v>743</v>
      </c>
      <c r="F587" cm="1">
        <f t="array" ref="F587">IF($Q587&gt;=0,IFERROR(generateSalesData($D587, IF(ISNUMBER(_xlfn.XLOOKUP($C587,Phone_by_Sentiment!$B$2:$B$37,Phone_by_Sentiment!F$2:F$37,"",0,1)),_xlfn.XLOOKUP($C587,Phone_by_Sentiment!$B$2:$B$37,Phone_by_Sentiment!F$2:F$37,"",0,1),0),$A587-TEXT(DATEVALUE($D587&amp;"-01"), "dd-mm-yyyy")),0),0)</f>
        <v>216</v>
      </c>
      <c r="G587" cm="1">
        <f t="array" ref="G587">IF($Q587&gt;=0,IFERROR(generateSalesData($D587, IF(ISNUMBER(_xlfn.XLOOKUP($C587,Phone_by_Sentiment!$B$2:$B$37,Phone_by_Sentiment!G$2:G$37,"",0,1)),_xlfn.XLOOKUP($C587,Phone_by_Sentiment!$B$2:$B$37,Phone_by_Sentiment!G$2:G$37,"",0,1),0),$A587-TEXT(DATEVALUE($D587&amp;"-01"), "dd-mm-yyyy")),0),0)</f>
        <v>24</v>
      </c>
      <c r="H587" cm="1">
        <f t="array" ref="H587">IF($Q587&gt;=0,IFERROR(generateSalesData($D587, IF(ISNUMBER(_xlfn.XLOOKUP($C587,Phone_by_Sentiment!$B$2:$B$37,Phone_by_Sentiment!H$2:H$37,"",0,1)),_xlfn.XLOOKUP($C587,Phone_by_Sentiment!$B$2:$B$37,Phone_by_Sentiment!H$2:H$37,"",0,1),0),$A587-TEXT(DATEVALUE($D587&amp;"-01"), "dd-mm-yyyy")),0),0)</f>
        <v>959</v>
      </c>
      <c r="I587" cm="1">
        <f t="array" ref="I587">IF($Q587&gt;=0,IFERROR(generateSalesData($D587, IF(ISNUMBER(_xlfn.XLOOKUP($C587,Phone_by_Sentiment!$B$2:$B$37,Phone_by_Sentiment!I$2:I$37,"",0,1)),_xlfn.XLOOKUP($C587,Phone_by_Sentiment!$B$2:$B$37,Phone_by_Sentiment!I$2:I$37,"",0,1),0),$A587-TEXT(DATEVALUE($D587&amp;"-01"), "dd-mm-yyyy")),0),0)</f>
        <v>419</v>
      </c>
      <c r="J587" cm="1">
        <f t="array" ref="J587">IF($Q587&gt;=0,IFERROR(generateSalesData($D587, IF(ISNUMBER(_xlfn.XLOOKUP($C587,Phone_by_Sentiment!$B$2:$B$37,Phone_by_Sentiment!J$2:J$37,"",0,1)),_xlfn.XLOOKUP($C587,Phone_by_Sentiment!$B$2:$B$37,Phone_by_Sentiment!J$2:J$37,"",0,1),0),$A587-TEXT(DATEVALUE($D587&amp;"-01"), "dd-mm-yyyy")),0),0)</f>
        <v>104</v>
      </c>
      <c r="K587" cm="1">
        <f t="array" ref="K587">IF($Q587&gt;=0,IFERROR(generateSalesData($D587, IF(ISNUMBER(_xlfn.XLOOKUP($C587,Phone_by_Sentiment!$B$2:$B$37,Phone_by_Sentiment!K$2:K$37,"",0,1)),_xlfn.XLOOKUP($C587,Phone_by_Sentiment!$B$2:$B$37,Phone_by_Sentiment!K$2:K$37,"",0,1),0),$A587-TEXT(DATEVALUE($D587&amp;"-01"), "dd-mm-yyyy")),0),0)</f>
        <v>168</v>
      </c>
      <c r="L587" cm="1">
        <f t="array" ref="L587">IF($Q587&gt;=0,IFERROR(generateSalesData($D587, IF(ISNUMBER(_xlfn.XLOOKUP($C587,Phone_by_Sentiment!$B$2:$B$37,Phone_by_Sentiment!L$2:L$37,"",0,1)),_xlfn.XLOOKUP($C587,Phone_by_Sentiment!$B$2:$B$37,Phone_by_Sentiment!L$2:L$37,"",0,1),0),$A587-TEXT(DATEVALUE($D587&amp;"-01"), "dd-mm-yyyy")),0),0)</f>
        <v>601</v>
      </c>
      <c r="M587" cm="1">
        <f t="array" ref="M587">IF($Q587&gt;=0,IFERROR(generateSalesData($D587, IF(ISNUMBER(_xlfn.XLOOKUP($C587,Phone_by_Sentiment!$B$2:$B$37,Phone_by_Sentiment!M$2:M$37,"",0,1)),_xlfn.XLOOKUP($C587,Phone_by_Sentiment!$B$2:$B$37,Phone_by_Sentiment!M$2:M$37,"",0,1),0),$A587-TEXT(DATEVALUE($D587&amp;"-01"), "dd-mm-yyyy")),0),0)</f>
        <v>128</v>
      </c>
      <c r="N587" cm="1">
        <f t="array" ref="N587">IF($Q587&gt;=0,IFERROR(generateSalesData($D587, IF(ISNUMBER(_xlfn.XLOOKUP($C587,Phone_by_Sentiment!$B$2:$B$37,Phone_by_Sentiment!N$2:N$37,"",0,1)),_xlfn.XLOOKUP($C587,Phone_by_Sentiment!$B$2:$B$37,Phone_by_Sentiment!N$2:N$37,"",0,1),0),$A587-TEXT(DATEVALUE($D587&amp;"-01"), "dd-mm-yyyy")),0),0)</f>
        <v>726</v>
      </c>
      <c r="O587" cm="1">
        <f t="array" ref="O587">IF($Q587&gt;=0,IFERROR(generateSalesData($D587, IF(ISNUMBER(_xlfn.XLOOKUP($C587,Phone_by_Sentiment!$B$2:$B$37,Phone_by_Sentiment!O$2:O$37,"",0,1)),_xlfn.XLOOKUP($C587,Phone_by_Sentiment!$B$2:$B$37,Phone_by_Sentiment!O$2:O$37,"",0,1),0),$A587-TEXT(DATEVALUE($D587&amp;"-01"), "dd-mm-yyyy")),0),0)</f>
        <v>106</v>
      </c>
      <c r="P587" s="1">
        <f t="shared" si="25"/>
        <v>43586</v>
      </c>
      <c r="Q587">
        <f t="shared" si="26"/>
        <v>366</v>
      </c>
    </row>
    <row r="588" spans="1:17" x14ac:dyDescent="0.25">
      <c r="A588" s="1">
        <f t="shared" si="27"/>
        <v>43952</v>
      </c>
      <c r="B588" t="s">
        <v>166</v>
      </c>
      <c r="C588" t="str">
        <f>_xlfn.XLOOKUP(B588,Phone_by_Price!$A$2:$A$34,Phone_by_Price!$B$2:$B$34,"-",0,1)</f>
        <v>Xiaomi Redmi Note 7</v>
      </c>
      <c r="D588" t="str">
        <f>_xlfn.XLOOKUP(C588,Phone_by_Sentiment!$B$2:$B$37,Phone_by_Sentiment!$A$2:$A$37,"-",0,1)</f>
        <v>2019-08</v>
      </c>
      <c r="E588" cm="1">
        <f t="array" ref="E588">IF($Q588&gt;=0,IFERROR(generateSalesData($D588, IF(ISNUMBER(_xlfn.XLOOKUP($C588,Phone_by_Sentiment!$B$2:$B$37,Phone_by_Sentiment!E$2:E$37,"",0,1)),_xlfn.XLOOKUP($C588,Phone_by_Sentiment!$B$2:$B$37,Phone_by_Sentiment!E$2:E$37,"",0,1),0),$A588-TEXT(DATEVALUE($D588&amp;"-01"), "dd-mm-yyyy")),0),0)</f>
        <v>254</v>
      </c>
      <c r="F588" cm="1">
        <f t="array" ref="F588">IF($Q588&gt;=0,IFERROR(generateSalesData($D588, IF(ISNUMBER(_xlfn.XLOOKUP($C588,Phone_by_Sentiment!$B$2:$B$37,Phone_by_Sentiment!F$2:F$37,"",0,1)),_xlfn.XLOOKUP($C588,Phone_by_Sentiment!$B$2:$B$37,Phone_by_Sentiment!F$2:F$37,"",0,1),0),$A588-TEXT(DATEVALUE($D588&amp;"-01"), "dd-mm-yyyy")),0),0)</f>
        <v>45</v>
      </c>
      <c r="G588" cm="1">
        <f t="array" ref="G588">IF($Q588&gt;=0,IFERROR(generateSalesData($D588, IF(ISNUMBER(_xlfn.XLOOKUP($C588,Phone_by_Sentiment!$B$2:$B$37,Phone_by_Sentiment!G$2:G$37,"",0,1)),_xlfn.XLOOKUP($C588,Phone_by_Sentiment!$B$2:$B$37,Phone_by_Sentiment!G$2:G$37,"",0,1),0),$A588-TEXT(DATEVALUE($D588&amp;"-01"), "dd-mm-yyyy")),0),0)</f>
        <v>180</v>
      </c>
      <c r="H588" cm="1">
        <f t="array" ref="H588">IF($Q588&gt;=0,IFERROR(generateSalesData($D588, IF(ISNUMBER(_xlfn.XLOOKUP($C588,Phone_by_Sentiment!$B$2:$B$37,Phone_by_Sentiment!H$2:H$37,"",0,1)),_xlfn.XLOOKUP($C588,Phone_by_Sentiment!$B$2:$B$37,Phone_by_Sentiment!H$2:H$37,"",0,1),0),$A588-TEXT(DATEVALUE($D588&amp;"-01"), "dd-mm-yyyy")),0),0)</f>
        <v>1807</v>
      </c>
      <c r="I588" cm="1">
        <f t="array" ref="I588">IF($Q588&gt;=0,IFERROR(generateSalesData($D588, IF(ISNUMBER(_xlfn.XLOOKUP($C588,Phone_by_Sentiment!$B$2:$B$37,Phone_by_Sentiment!I$2:I$37,"",0,1)),_xlfn.XLOOKUP($C588,Phone_by_Sentiment!$B$2:$B$37,Phone_by_Sentiment!I$2:I$37,"",0,1),0),$A588-TEXT(DATEVALUE($D588&amp;"-01"), "dd-mm-yyyy")),0),0)</f>
        <v>293</v>
      </c>
      <c r="J588" cm="1">
        <f t="array" ref="J588">IF($Q588&gt;=0,IFERROR(generateSalesData($D588, IF(ISNUMBER(_xlfn.XLOOKUP($C588,Phone_by_Sentiment!$B$2:$B$37,Phone_by_Sentiment!J$2:J$37,"",0,1)),_xlfn.XLOOKUP($C588,Phone_by_Sentiment!$B$2:$B$37,Phone_by_Sentiment!J$2:J$37,"",0,1),0),$A588-TEXT(DATEVALUE($D588&amp;"-01"), "dd-mm-yyyy")),0),0)</f>
        <v>60</v>
      </c>
      <c r="K588" cm="1">
        <f t="array" ref="K588">IF($Q588&gt;=0,IFERROR(generateSalesData($D588, IF(ISNUMBER(_xlfn.XLOOKUP($C588,Phone_by_Sentiment!$B$2:$B$37,Phone_by_Sentiment!K$2:K$37,"",0,1)),_xlfn.XLOOKUP($C588,Phone_by_Sentiment!$B$2:$B$37,Phone_by_Sentiment!K$2:K$37,"",0,1),0),$A588-TEXT(DATEVALUE($D588&amp;"-01"), "dd-mm-yyyy")),0),0)</f>
        <v>1615</v>
      </c>
      <c r="L588" cm="1">
        <f t="array" ref="L588">IF($Q588&gt;=0,IFERROR(generateSalesData($D588, IF(ISNUMBER(_xlfn.XLOOKUP($C588,Phone_by_Sentiment!$B$2:$B$37,Phone_by_Sentiment!L$2:L$37,"",0,1)),_xlfn.XLOOKUP($C588,Phone_by_Sentiment!$B$2:$B$37,Phone_by_Sentiment!L$2:L$37,"",0,1),0),$A588-TEXT(DATEVALUE($D588&amp;"-01"), "dd-mm-yyyy")),0),0)</f>
        <v>327</v>
      </c>
      <c r="M588" cm="1">
        <f t="array" ref="M588">IF($Q588&gt;=0,IFERROR(generateSalesData($D588, IF(ISNUMBER(_xlfn.XLOOKUP($C588,Phone_by_Sentiment!$B$2:$B$37,Phone_by_Sentiment!M$2:M$37,"",0,1)),_xlfn.XLOOKUP($C588,Phone_by_Sentiment!$B$2:$B$37,Phone_by_Sentiment!M$2:M$37,"",0,1),0),$A588-TEXT(DATEVALUE($D588&amp;"-01"), "dd-mm-yyyy")),0),0)</f>
        <v>780</v>
      </c>
      <c r="N588" cm="1">
        <f t="array" ref="N588">IF($Q588&gt;=0,IFERROR(generateSalesData($D588, IF(ISNUMBER(_xlfn.XLOOKUP($C588,Phone_by_Sentiment!$B$2:$B$37,Phone_by_Sentiment!N$2:N$37,"",0,1)),_xlfn.XLOOKUP($C588,Phone_by_Sentiment!$B$2:$B$37,Phone_by_Sentiment!N$2:N$37,"",0,1),0),$A588-TEXT(DATEVALUE($D588&amp;"-01"), "dd-mm-yyyy")),0),0)</f>
        <v>240</v>
      </c>
      <c r="O588" cm="1">
        <f t="array" ref="O588">IF($Q588&gt;=0,IFERROR(generateSalesData($D588, IF(ISNUMBER(_xlfn.XLOOKUP($C588,Phone_by_Sentiment!$B$2:$B$37,Phone_by_Sentiment!O$2:O$37,"",0,1)),_xlfn.XLOOKUP($C588,Phone_by_Sentiment!$B$2:$B$37,Phone_by_Sentiment!O$2:O$37,"",0,1),0),$A588-TEXT(DATEVALUE($D588&amp;"-01"), "dd-mm-yyyy")),0),0)</f>
        <v>745</v>
      </c>
      <c r="P588" s="1">
        <f t="shared" si="25"/>
        <v>43678</v>
      </c>
      <c r="Q588">
        <f t="shared" si="26"/>
        <v>274</v>
      </c>
    </row>
    <row r="589" spans="1:17" x14ac:dyDescent="0.25">
      <c r="A589" s="1">
        <f t="shared" si="27"/>
        <v>43952</v>
      </c>
      <c r="B589" t="s">
        <v>167</v>
      </c>
      <c r="C589" t="str">
        <f>_xlfn.XLOOKUP(B589,Phone_by_Price!$A$2:$A$34,Phone_by_Price!$B$2:$B$34,"-",0,1)</f>
        <v>Realme C21</v>
      </c>
      <c r="D589" t="str">
        <f>_xlfn.XLOOKUP(C589,Phone_by_Sentiment!$B$2:$B$37,Phone_by_Sentiment!$A$2:$A$37,"-",0,1)</f>
        <v>2021-04</v>
      </c>
      <c r="E589" cm="1">
        <f t="array" ref="E589">IF($Q589&gt;=0,IFERROR(generateSalesData($D589, IF(ISNUMBER(_xlfn.XLOOKUP($C589,Phone_by_Sentiment!$B$2:$B$37,Phone_by_Sentiment!E$2:E$37,"",0,1)),_xlfn.XLOOKUP($C589,Phone_by_Sentiment!$B$2:$B$37,Phone_by_Sentiment!E$2:E$37,"",0,1),0),$A589-TEXT(DATEVALUE($D589&amp;"-01"), "dd-mm-yyyy")),0),0)</f>
        <v>0</v>
      </c>
      <c r="F589" cm="1">
        <f t="array" ref="F589">IF($Q589&gt;=0,IFERROR(generateSalesData($D589, IF(ISNUMBER(_xlfn.XLOOKUP($C589,Phone_by_Sentiment!$B$2:$B$37,Phone_by_Sentiment!F$2:F$37,"",0,1)),_xlfn.XLOOKUP($C589,Phone_by_Sentiment!$B$2:$B$37,Phone_by_Sentiment!F$2:F$37,"",0,1),0),$A589-TEXT(DATEVALUE($D589&amp;"-01"), "dd-mm-yyyy")),0),0)</f>
        <v>0</v>
      </c>
      <c r="G589" cm="1">
        <f t="array" ref="G589">IF($Q589&gt;=0,IFERROR(generateSalesData($D589, IF(ISNUMBER(_xlfn.XLOOKUP($C589,Phone_by_Sentiment!$B$2:$B$37,Phone_by_Sentiment!G$2:G$37,"",0,1)),_xlfn.XLOOKUP($C589,Phone_by_Sentiment!$B$2:$B$37,Phone_by_Sentiment!G$2:G$37,"",0,1),0),$A589-TEXT(DATEVALUE($D589&amp;"-01"), "dd-mm-yyyy")),0),0)</f>
        <v>0</v>
      </c>
      <c r="H589" cm="1">
        <f t="array" ref="H589">IF($Q589&gt;=0,IFERROR(generateSalesData($D589, IF(ISNUMBER(_xlfn.XLOOKUP($C589,Phone_by_Sentiment!$B$2:$B$37,Phone_by_Sentiment!H$2:H$37,"",0,1)),_xlfn.XLOOKUP($C589,Phone_by_Sentiment!$B$2:$B$37,Phone_by_Sentiment!H$2:H$37,"",0,1),0),$A589-TEXT(DATEVALUE($D589&amp;"-01"), "dd-mm-yyyy")),0),0)</f>
        <v>0</v>
      </c>
      <c r="I589" cm="1">
        <f t="array" ref="I589">IF($Q589&gt;=0,IFERROR(generateSalesData($D589, IF(ISNUMBER(_xlfn.XLOOKUP($C589,Phone_by_Sentiment!$B$2:$B$37,Phone_by_Sentiment!I$2:I$37,"",0,1)),_xlfn.XLOOKUP($C589,Phone_by_Sentiment!$B$2:$B$37,Phone_by_Sentiment!I$2:I$37,"",0,1),0),$A589-TEXT(DATEVALUE($D589&amp;"-01"), "dd-mm-yyyy")),0),0)</f>
        <v>0</v>
      </c>
      <c r="J589" cm="1">
        <f t="array" ref="J589">IF($Q589&gt;=0,IFERROR(generateSalesData($D589, IF(ISNUMBER(_xlfn.XLOOKUP($C589,Phone_by_Sentiment!$B$2:$B$37,Phone_by_Sentiment!J$2:J$37,"",0,1)),_xlfn.XLOOKUP($C589,Phone_by_Sentiment!$B$2:$B$37,Phone_by_Sentiment!J$2:J$37,"",0,1),0),$A589-TEXT(DATEVALUE($D589&amp;"-01"), "dd-mm-yyyy")),0),0)</f>
        <v>0</v>
      </c>
      <c r="K589" cm="1">
        <f t="array" ref="K589">IF($Q589&gt;=0,IFERROR(generateSalesData($D589, IF(ISNUMBER(_xlfn.XLOOKUP($C589,Phone_by_Sentiment!$B$2:$B$37,Phone_by_Sentiment!K$2:K$37,"",0,1)),_xlfn.XLOOKUP($C589,Phone_by_Sentiment!$B$2:$B$37,Phone_by_Sentiment!K$2:K$37,"",0,1),0),$A589-TEXT(DATEVALUE($D589&amp;"-01"), "dd-mm-yyyy")),0),0)</f>
        <v>0</v>
      </c>
      <c r="L589" cm="1">
        <f t="array" ref="L589">IF($Q589&gt;=0,IFERROR(generateSalesData($D589, IF(ISNUMBER(_xlfn.XLOOKUP($C589,Phone_by_Sentiment!$B$2:$B$37,Phone_by_Sentiment!L$2:L$37,"",0,1)),_xlfn.XLOOKUP($C589,Phone_by_Sentiment!$B$2:$B$37,Phone_by_Sentiment!L$2:L$37,"",0,1),0),$A589-TEXT(DATEVALUE($D589&amp;"-01"), "dd-mm-yyyy")),0),0)</f>
        <v>0</v>
      </c>
      <c r="M589" cm="1">
        <f t="array" ref="M589">IF($Q589&gt;=0,IFERROR(generateSalesData($D589, IF(ISNUMBER(_xlfn.XLOOKUP($C589,Phone_by_Sentiment!$B$2:$B$37,Phone_by_Sentiment!M$2:M$37,"",0,1)),_xlfn.XLOOKUP($C589,Phone_by_Sentiment!$B$2:$B$37,Phone_by_Sentiment!M$2:M$37,"",0,1),0),$A589-TEXT(DATEVALUE($D589&amp;"-01"), "dd-mm-yyyy")),0),0)</f>
        <v>0</v>
      </c>
      <c r="N589" cm="1">
        <f t="array" ref="N589">IF($Q589&gt;=0,IFERROR(generateSalesData($D589, IF(ISNUMBER(_xlfn.XLOOKUP($C589,Phone_by_Sentiment!$B$2:$B$37,Phone_by_Sentiment!N$2:N$37,"",0,1)),_xlfn.XLOOKUP($C589,Phone_by_Sentiment!$B$2:$B$37,Phone_by_Sentiment!N$2:N$37,"",0,1),0),$A589-TEXT(DATEVALUE($D589&amp;"-01"), "dd-mm-yyyy")),0),0)</f>
        <v>0</v>
      </c>
      <c r="O589" cm="1">
        <f t="array" ref="O589">IF($Q589&gt;=0,IFERROR(generateSalesData($D589, IF(ISNUMBER(_xlfn.XLOOKUP($C589,Phone_by_Sentiment!$B$2:$B$37,Phone_by_Sentiment!O$2:O$37,"",0,1)),_xlfn.XLOOKUP($C589,Phone_by_Sentiment!$B$2:$B$37,Phone_by_Sentiment!O$2:O$37,"",0,1),0),$A589-TEXT(DATEVALUE($D589&amp;"-01"), "dd-mm-yyyy")),0),0)</f>
        <v>0</v>
      </c>
      <c r="P589" s="1">
        <f t="shared" si="25"/>
        <v>44287</v>
      </c>
      <c r="Q589">
        <f t="shared" si="26"/>
        <v>-335</v>
      </c>
    </row>
    <row r="590" spans="1:17" x14ac:dyDescent="0.25">
      <c r="A590" s="1">
        <f t="shared" si="27"/>
        <v>43952</v>
      </c>
      <c r="B590" t="s">
        <v>168</v>
      </c>
      <c r="C590" t="str">
        <f>_xlfn.XLOOKUP(B590,Phone_by_Price!$A$2:$A$34,Phone_by_Price!$B$2:$B$34,"-",0,1)</f>
        <v>Google Pixel 4</v>
      </c>
      <c r="D590" t="str">
        <f>_xlfn.XLOOKUP(C590,Phone_by_Sentiment!$B$2:$B$37,Phone_by_Sentiment!$A$2:$A$37,"-",0,1)</f>
        <v>2019-09</v>
      </c>
      <c r="E590" cm="1">
        <f t="array" ref="E590">IF($Q590&gt;=0,IFERROR(generateSalesData($D590, IF(ISNUMBER(_xlfn.XLOOKUP($C590,Phone_by_Sentiment!$B$2:$B$37,Phone_by_Sentiment!E$2:E$37,"",0,1)),_xlfn.XLOOKUP($C590,Phone_by_Sentiment!$B$2:$B$37,Phone_by_Sentiment!E$2:E$37,"",0,1),0),$A590-TEXT(DATEVALUE($D590&amp;"-01"), "dd-mm-yyyy")),0),0)</f>
        <v>374</v>
      </c>
      <c r="F590" cm="1">
        <f t="array" ref="F590">IF($Q590&gt;=0,IFERROR(generateSalesData($D590, IF(ISNUMBER(_xlfn.XLOOKUP($C590,Phone_by_Sentiment!$B$2:$B$37,Phone_by_Sentiment!F$2:F$37,"",0,1)),_xlfn.XLOOKUP($C590,Phone_by_Sentiment!$B$2:$B$37,Phone_by_Sentiment!F$2:F$37,"",0,1),0),$A590-TEXT(DATEVALUE($D590&amp;"-01"), "dd-mm-yyyy")),0),0)</f>
        <v>191</v>
      </c>
      <c r="G590" cm="1">
        <f t="array" ref="G590">IF($Q590&gt;=0,IFERROR(generateSalesData($D590, IF(ISNUMBER(_xlfn.XLOOKUP($C590,Phone_by_Sentiment!$B$2:$B$37,Phone_by_Sentiment!G$2:G$37,"",0,1)),_xlfn.XLOOKUP($C590,Phone_by_Sentiment!$B$2:$B$37,Phone_by_Sentiment!G$2:G$37,"",0,1),0),$A590-TEXT(DATEVALUE($D590&amp;"-01"), "dd-mm-yyyy")),0),0)</f>
        <v>294</v>
      </c>
      <c r="H590" cm="1">
        <f t="array" ref="H590">IF($Q590&gt;=0,IFERROR(generateSalesData($D590, IF(ISNUMBER(_xlfn.XLOOKUP($C590,Phone_by_Sentiment!$B$2:$B$37,Phone_by_Sentiment!H$2:H$37,"",0,1)),_xlfn.XLOOKUP($C590,Phone_by_Sentiment!$B$2:$B$37,Phone_by_Sentiment!H$2:H$37,"",0,1),0),$A590-TEXT(DATEVALUE($D590&amp;"-01"), "dd-mm-yyyy")),0),0)</f>
        <v>176</v>
      </c>
      <c r="I590" cm="1">
        <f t="array" ref="I590">IF($Q590&gt;=0,IFERROR(generateSalesData($D590, IF(ISNUMBER(_xlfn.XLOOKUP($C590,Phone_by_Sentiment!$B$2:$B$37,Phone_by_Sentiment!I$2:I$37,"",0,1)),_xlfn.XLOOKUP($C590,Phone_by_Sentiment!$B$2:$B$37,Phone_by_Sentiment!I$2:I$37,"",0,1),0),$A590-TEXT(DATEVALUE($D590&amp;"-01"), "dd-mm-yyyy")),0),0)</f>
        <v>140</v>
      </c>
      <c r="J590" cm="1">
        <f t="array" ref="J590">IF($Q590&gt;=0,IFERROR(generateSalesData($D590, IF(ISNUMBER(_xlfn.XLOOKUP($C590,Phone_by_Sentiment!$B$2:$B$37,Phone_by_Sentiment!J$2:J$37,"",0,1)),_xlfn.XLOOKUP($C590,Phone_by_Sentiment!$B$2:$B$37,Phone_by_Sentiment!J$2:J$37,"",0,1),0),$A590-TEXT(DATEVALUE($D590&amp;"-01"), "dd-mm-yyyy")),0),0)</f>
        <v>384</v>
      </c>
      <c r="K590" cm="1">
        <f t="array" ref="K590">IF($Q590&gt;=0,IFERROR(generateSalesData($D590, IF(ISNUMBER(_xlfn.XLOOKUP($C590,Phone_by_Sentiment!$B$2:$B$37,Phone_by_Sentiment!K$2:K$37,"",0,1)),_xlfn.XLOOKUP($C590,Phone_by_Sentiment!$B$2:$B$37,Phone_by_Sentiment!K$2:K$37,"",0,1),0),$A590-TEXT(DATEVALUE($D590&amp;"-01"), "dd-mm-yyyy")),0),0)</f>
        <v>313</v>
      </c>
      <c r="L590" cm="1">
        <f t="array" ref="L590">IF($Q590&gt;=0,IFERROR(generateSalesData($D590, IF(ISNUMBER(_xlfn.XLOOKUP($C590,Phone_by_Sentiment!$B$2:$B$37,Phone_by_Sentiment!L$2:L$37,"",0,1)),_xlfn.XLOOKUP($C590,Phone_by_Sentiment!$B$2:$B$37,Phone_by_Sentiment!L$2:L$37,"",0,1),0),$A590-TEXT(DATEVALUE($D590&amp;"-01"), "dd-mm-yyyy")),0),0)</f>
        <v>1758</v>
      </c>
      <c r="M590" cm="1">
        <f t="array" ref="M590">IF($Q590&gt;=0,IFERROR(generateSalesData($D590, IF(ISNUMBER(_xlfn.XLOOKUP($C590,Phone_by_Sentiment!$B$2:$B$37,Phone_by_Sentiment!M$2:M$37,"",0,1)),_xlfn.XLOOKUP($C590,Phone_by_Sentiment!$B$2:$B$37,Phone_by_Sentiment!M$2:M$37,"",0,1),0),$A590-TEXT(DATEVALUE($D590&amp;"-01"), "dd-mm-yyyy")),0),0)</f>
        <v>254</v>
      </c>
      <c r="N590" cm="1">
        <f t="array" ref="N590">IF($Q590&gt;=0,IFERROR(generateSalesData($D590, IF(ISNUMBER(_xlfn.XLOOKUP($C590,Phone_by_Sentiment!$B$2:$B$37,Phone_by_Sentiment!N$2:N$37,"",0,1)),_xlfn.XLOOKUP($C590,Phone_by_Sentiment!$B$2:$B$37,Phone_by_Sentiment!N$2:N$37,"",0,1),0),$A590-TEXT(DATEVALUE($D590&amp;"-01"), "dd-mm-yyyy")),0),0)</f>
        <v>387</v>
      </c>
      <c r="O590" cm="1">
        <f t="array" ref="O590">IF($Q590&gt;=0,IFERROR(generateSalesData($D590, IF(ISNUMBER(_xlfn.XLOOKUP($C590,Phone_by_Sentiment!$B$2:$B$37,Phone_by_Sentiment!O$2:O$37,"",0,1)),_xlfn.XLOOKUP($C590,Phone_by_Sentiment!$B$2:$B$37,Phone_by_Sentiment!O$2:O$37,"",0,1),0),$A590-TEXT(DATEVALUE($D590&amp;"-01"), "dd-mm-yyyy")),0),0)</f>
        <v>485</v>
      </c>
      <c r="P590" s="1">
        <f t="shared" si="25"/>
        <v>43709</v>
      </c>
      <c r="Q590">
        <f t="shared" si="26"/>
        <v>243</v>
      </c>
    </row>
    <row r="591" spans="1:17" x14ac:dyDescent="0.25">
      <c r="A591" s="1">
        <f t="shared" si="27"/>
        <v>43952</v>
      </c>
      <c r="B591" t="s">
        <v>169</v>
      </c>
      <c r="C591" t="str">
        <f>_xlfn.XLOOKUP(B591,Phone_by_Price!$A$2:$A$34,Phone_by_Price!$B$2:$B$34,"-",0,1)</f>
        <v>Samsung Galaxy A10s</v>
      </c>
      <c r="D591" t="str">
        <f>_xlfn.XLOOKUP(C591,Phone_by_Sentiment!$B$2:$B$37,Phone_by_Sentiment!$A$2:$A$37,"-",0,1)</f>
        <v>2019-08</v>
      </c>
      <c r="E591" cm="1">
        <f t="array" ref="E591">IF($Q591&gt;=0,IFERROR(generateSalesData($D591, IF(ISNUMBER(_xlfn.XLOOKUP($C591,Phone_by_Sentiment!$B$2:$B$37,Phone_by_Sentiment!E$2:E$37,"",0,1)),_xlfn.XLOOKUP($C591,Phone_by_Sentiment!$B$2:$B$37,Phone_by_Sentiment!E$2:E$37,"",0,1),0),$A591-TEXT(DATEVALUE($D591&amp;"-01"), "dd-mm-yyyy")),0),0)</f>
        <v>272</v>
      </c>
      <c r="F591" cm="1">
        <f t="array" ref="F591">IF($Q591&gt;=0,IFERROR(generateSalesData($D591, IF(ISNUMBER(_xlfn.XLOOKUP($C591,Phone_by_Sentiment!$B$2:$B$37,Phone_by_Sentiment!F$2:F$37,"",0,1)),_xlfn.XLOOKUP($C591,Phone_by_Sentiment!$B$2:$B$37,Phone_by_Sentiment!F$2:F$37,"",0,1),0),$A591-TEXT(DATEVALUE($D591&amp;"-01"), "dd-mm-yyyy")),0),0)</f>
        <v>588</v>
      </c>
      <c r="G591" cm="1">
        <f t="array" ref="G591">IF($Q591&gt;=0,IFERROR(generateSalesData($D591, IF(ISNUMBER(_xlfn.XLOOKUP($C591,Phone_by_Sentiment!$B$2:$B$37,Phone_by_Sentiment!G$2:G$37,"",0,1)),_xlfn.XLOOKUP($C591,Phone_by_Sentiment!$B$2:$B$37,Phone_by_Sentiment!G$2:G$37,"",0,1),0),$A591-TEXT(DATEVALUE($D591&amp;"-01"), "dd-mm-yyyy")),0),0)</f>
        <v>183</v>
      </c>
      <c r="H591" cm="1">
        <f t="array" ref="H591">IF($Q591&gt;=0,IFERROR(generateSalesData($D591, IF(ISNUMBER(_xlfn.XLOOKUP($C591,Phone_by_Sentiment!$B$2:$B$37,Phone_by_Sentiment!H$2:H$37,"",0,1)),_xlfn.XLOOKUP($C591,Phone_by_Sentiment!$B$2:$B$37,Phone_by_Sentiment!H$2:H$37,"",0,1),0),$A591-TEXT(DATEVALUE($D591&amp;"-01"), "dd-mm-yyyy")),0),0)</f>
        <v>388</v>
      </c>
      <c r="I591" cm="1">
        <f t="array" ref="I591">IF($Q591&gt;=0,IFERROR(generateSalesData($D591, IF(ISNUMBER(_xlfn.XLOOKUP($C591,Phone_by_Sentiment!$B$2:$B$37,Phone_by_Sentiment!I$2:I$37,"",0,1)),_xlfn.XLOOKUP($C591,Phone_by_Sentiment!$B$2:$B$37,Phone_by_Sentiment!I$2:I$37,"",0,1),0),$A591-TEXT(DATEVALUE($D591&amp;"-01"), "dd-mm-yyyy")),0),0)</f>
        <v>249</v>
      </c>
      <c r="J591" cm="1">
        <f t="array" ref="J591">IF($Q591&gt;=0,IFERROR(generateSalesData($D591, IF(ISNUMBER(_xlfn.XLOOKUP($C591,Phone_by_Sentiment!$B$2:$B$37,Phone_by_Sentiment!J$2:J$37,"",0,1)),_xlfn.XLOOKUP($C591,Phone_by_Sentiment!$B$2:$B$37,Phone_by_Sentiment!J$2:J$37,"",0,1),0),$A591-TEXT(DATEVALUE($D591&amp;"-01"), "dd-mm-yyyy")),0),0)</f>
        <v>289</v>
      </c>
      <c r="K591" cm="1">
        <f t="array" ref="K591">IF($Q591&gt;=0,IFERROR(generateSalesData($D591, IF(ISNUMBER(_xlfn.XLOOKUP($C591,Phone_by_Sentiment!$B$2:$B$37,Phone_by_Sentiment!K$2:K$37,"",0,1)),_xlfn.XLOOKUP($C591,Phone_by_Sentiment!$B$2:$B$37,Phone_by_Sentiment!K$2:K$37,"",0,1),0),$A591-TEXT(DATEVALUE($D591&amp;"-01"), "dd-mm-yyyy")),0),0)</f>
        <v>654</v>
      </c>
      <c r="L591" cm="1">
        <f t="array" ref="L591">IF($Q591&gt;=0,IFERROR(generateSalesData($D591, IF(ISNUMBER(_xlfn.XLOOKUP($C591,Phone_by_Sentiment!$B$2:$B$37,Phone_by_Sentiment!L$2:L$37,"",0,1)),_xlfn.XLOOKUP($C591,Phone_by_Sentiment!$B$2:$B$37,Phone_by_Sentiment!L$2:L$37,"",0,1),0),$A591-TEXT(DATEVALUE($D591&amp;"-01"), "dd-mm-yyyy")),0),0)</f>
        <v>133</v>
      </c>
      <c r="M591" cm="1">
        <f t="array" ref="M591">IF($Q591&gt;=0,IFERROR(generateSalesData($D591, IF(ISNUMBER(_xlfn.XLOOKUP($C591,Phone_by_Sentiment!$B$2:$B$37,Phone_by_Sentiment!M$2:M$37,"",0,1)),_xlfn.XLOOKUP($C591,Phone_by_Sentiment!$B$2:$B$37,Phone_by_Sentiment!M$2:M$37,"",0,1),0),$A591-TEXT(DATEVALUE($D591&amp;"-01"), "dd-mm-yyyy")),0),0)</f>
        <v>473</v>
      </c>
      <c r="N591" cm="1">
        <f t="array" ref="N591">IF($Q591&gt;=0,IFERROR(generateSalesData($D591, IF(ISNUMBER(_xlfn.XLOOKUP($C591,Phone_by_Sentiment!$B$2:$B$37,Phone_by_Sentiment!N$2:N$37,"",0,1)),_xlfn.XLOOKUP($C591,Phone_by_Sentiment!$B$2:$B$37,Phone_by_Sentiment!N$2:N$37,"",0,1),0),$A591-TEXT(DATEVALUE($D591&amp;"-01"), "dd-mm-yyyy")),0),0)</f>
        <v>125</v>
      </c>
      <c r="O591" cm="1">
        <f t="array" ref="O591">IF($Q591&gt;=0,IFERROR(generateSalesData($D591, IF(ISNUMBER(_xlfn.XLOOKUP($C591,Phone_by_Sentiment!$B$2:$B$37,Phone_by_Sentiment!O$2:O$37,"",0,1)),_xlfn.XLOOKUP($C591,Phone_by_Sentiment!$B$2:$B$37,Phone_by_Sentiment!O$2:O$37,"",0,1),0),$A591-TEXT(DATEVALUE($D591&amp;"-01"), "dd-mm-yyyy")),0),0)</f>
        <v>670</v>
      </c>
      <c r="P591" s="1">
        <f t="shared" si="25"/>
        <v>43678</v>
      </c>
      <c r="Q591">
        <f t="shared" si="26"/>
        <v>274</v>
      </c>
    </row>
    <row r="592" spans="1:17" x14ac:dyDescent="0.25">
      <c r="A592" s="1">
        <f t="shared" si="27"/>
        <v>43952</v>
      </c>
      <c r="B592" t="s">
        <v>170</v>
      </c>
      <c r="C592" t="str">
        <f>_xlfn.XLOOKUP(B592,Phone_by_Price!$A$2:$A$34,Phone_by_Price!$B$2:$B$34,"-",0,1)</f>
        <v>Realme Narzo 30A</v>
      </c>
      <c r="D592" t="str">
        <f>_xlfn.XLOOKUP(C592,Phone_by_Sentiment!$B$2:$B$37,Phone_by_Sentiment!$A$2:$A$37,"-",0,1)</f>
        <v>2021-02</v>
      </c>
      <c r="E592" cm="1">
        <f t="array" ref="E592">IF($Q592&gt;=0,IFERROR(generateSalesData($D592, IF(ISNUMBER(_xlfn.XLOOKUP($C592,Phone_by_Sentiment!$B$2:$B$37,Phone_by_Sentiment!E$2:E$37,"",0,1)),_xlfn.XLOOKUP($C592,Phone_by_Sentiment!$B$2:$B$37,Phone_by_Sentiment!E$2:E$37,"",0,1),0),$A592-TEXT(DATEVALUE($D592&amp;"-01"), "dd-mm-yyyy")),0),0)</f>
        <v>0</v>
      </c>
      <c r="F592" cm="1">
        <f t="array" ref="F592">IF($Q592&gt;=0,IFERROR(generateSalesData($D592, IF(ISNUMBER(_xlfn.XLOOKUP($C592,Phone_by_Sentiment!$B$2:$B$37,Phone_by_Sentiment!F$2:F$37,"",0,1)),_xlfn.XLOOKUP($C592,Phone_by_Sentiment!$B$2:$B$37,Phone_by_Sentiment!F$2:F$37,"",0,1),0),$A592-TEXT(DATEVALUE($D592&amp;"-01"), "dd-mm-yyyy")),0),0)</f>
        <v>0</v>
      </c>
      <c r="G592" cm="1">
        <f t="array" ref="G592">IF($Q592&gt;=0,IFERROR(generateSalesData($D592, IF(ISNUMBER(_xlfn.XLOOKUP($C592,Phone_by_Sentiment!$B$2:$B$37,Phone_by_Sentiment!G$2:G$37,"",0,1)),_xlfn.XLOOKUP($C592,Phone_by_Sentiment!$B$2:$B$37,Phone_by_Sentiment!G$2:G$37,"",0,1),0),$A592-TEXT(DATEVALUE($D592&amp;"-01"), "dd-mm-yyyy")),0),0)</f>
        <v>0</v>
      </c>
      <c r="H592" cm="1">
        <f t="array" ref="H592">IF($Q592&gt;=0,IFERROR(generateSalesData($D592, IF(ISNUMBER(_xlfn.XLOOKUP($C592,Phone_by_Sentiment!$B$2:$B$37,Phone_by_Sentiment!H$2:H$37,"",0,1)),_xlfn.XLOOKUP($C592,Phone_by_Sentiment!$B$2:$B$37,Phone_by_Sentiment!H$2:H$37,"",0,1),0),$A592-TEXT(DATEVALUE($D592&amp;"-01"), "dd-mm-yyyy")),0),0)</f>
        <v>0</v>
      </c>
      <c r="I592" cm="1">
        <f t="array" ref="I592">IF($Q592&gt;=0,IFERROR(generateSalesData($D592, IF(ISNUMBER(_xlfn.XLOOKUP($C592,Phone_by_Sentiment!$B$2:$B$37,Phone_by_Sentiment!I$2:I$37,"",0,1)),_xlfn.XLOOKUP($C592,Phone_by_Sentiment!$B$2:$B$37,Phone_by_Sentiment!I$2:I$37,"",0,1),0),$A592-TEXT(DATEVALUE($D592&amp;"-01"), "dd-mm-yyyy")),0),0)</f>
        <v>0</v>
      </c>
      <c r="J592" cm="1">
        <f t="array" ref="J592">IF($Q592&gt;=0,IFERROR(generateSalesData($D592, IF(ISNUMBER(_xlfn.XLOOKUP($C592,Phone_by_Sentiment!$B$2:$B$37,Phone_by_Sentiment!J$2:J$37,"",0,1)),_xlfn.XLOOKUP($C592,Phone_by_Sentiment!$B$2:$B$37,Phone_by_Sentiment!J$2:J$37,"",0,1),0),$A592-TEXT(DATEVALUE($D592&amp;"-01"), "dd-mm-yyyy")),0),0)</f>
        <v>0</v>
      </c>
      <c r="K592" cm="1">
        <f t="array" ref="K592">IF($Q592&gt;=0,IFERROR(generateSalesData($D592, IF(ISNUMBER(_xlfn.XLOOKUP($C592,Phone_by_Sentiment!$B$2:$B$37,Phone_by_Sentiment!K$2:K$37,"",0,1)),_xlfn.XLOOKUP($C592,Phone_by_Sentiment!$B$2:$B$37,Phone_by_Sentiment!K$2:K$37,"",0,1),0),$A592-TEXT(DATEVALUE($D592&amp;"-01"), "dd-mm-yyyy")),0),0)</f>
        <v>0</v>
      </c>
      <c r="L592" cm="1">
        <f t="array" ref="L592">IF($Q592&gt;=0,IFERROR(generateSalesData($D592, IF(ISNUMBER(_xlfn.XLOOKUP($C592,Phone_by_Sentiment!$B$2:$B$37,Phone_by_Sentiment!L$2:L$37,"",0,1)),_xlfn.XLOOKUP($C592,Phone_by_Sentiment!$B$2:$B$37,Phone_by_Sentiment!L$2:L$37,"",0,1),0),$A592-TEXT(DATEVALUE($D592&amp;"-01"), "dd-mm-yyyy")),0),0)</f>
        <v>0</v>
      </c>
      <c r="M592" cm="1">
        <f t="array" ref="M592">IF($Q592&gt;=0,IFERROR(generateSalesData($D592, IF(ISNUMBER(_xlfn.XLOOKUP($C592,Phone_by_Sentiment!$B$2:$B$37,Phone_by_Sentiment!M$2:M$37,"",0,1)),_xlfn.XLOOKUP($C592,Phone_by_Sentiment!$B$2:$B$37,Phone_by_Sentiment!M$2:M$37,"",0,1),0),$A592-TEXT(DATEVALUE($D592&amp;"-01"), "dd-mm-yyyy")),0),0)</f>
        <v>0</v>
      </c>
      <c r="N592" cm="1">
        <f t="array" ref="N592">IF($Q592&gt;=0,IFERROR(generateSalesData($D592, IF(ISNUMBER(_xlfn.XLOOKUP($C592,Phone_by_Sentiment!$B$2:$B$37,Phone_by_Sentiment!N$2:N$37,"",0,1)),_xlfn.XLOOKUP($C592,Phone_by_Sentiment!$B$2:$B$37,Phone_by_Sentiment!N$2:N$37,"",0,1),0),$A592-TEXT(DATEVALUE($D592&amp;"-01"), "dd-mm-yyyy")),0),0)</f>
        <v>0</v>
      </c>
      <c r="O592" cm="1">
        <f t="array" ref="O592">IF($Q592&gt;=0,IFERROR(generateSalesData($D592, IF(ISNUMBER(_xlfn.XLOOKUP($C592,Phone_by_Sentiment!$B$2:$B$37,Phone_by_Sentiment!O$2:O$37,"",0,1)),_xlfn.XLOOKUP($C592,Phone_by_Sentiment!$B$2:$B$37,Phone_by_Sentiment!O$2:O$37,"",0,1),0),$A592-TEXT(DATEVALUE($D592&amp;"-01"), "dd-mm-yyyy")),0),0)</f>
        <v>0</v>
      </c>
      <c r="P592" s="1">
        <f t="shared" si="25"/>
        <v>44228</v>
      </c>
      <c r="Q592">
        <f t="shared" si="26"/>
        <v>-276</v>
      </c>
    </row>
    <row r="593" spans="1:17" x14ac:dyDescent="0.25">
      <c r="A593" s="1">
        <f t="shared" si="27"/>
        <v>43952</v>
      </c>
      <c r="B593" t="s">
        <v>171</v>
      </c>
      <c r="C593" t="str">
        <f>_xlfn.XLOOKUP(B593,Phone_by_Price!$A$2:$A$34,Phone_by_Price!$B$2:$B$34,"-",0,1)</f>
        <v>Samsung Galaxy A22 5G</v>
      </c>
      <c r="D593" t="str">
        <f>_xlfn.XLOOKUP(C593,Phone_by_Sentiment!$B$2:$B$37,Phone_by_Sentiment!$A$2:$A$37,"-",0,1)</f>
        <v>2021-05</v>
      </c>
      <c r="E593" cm="1">
        <f t="array" ref="E593">IF($Q593&gt;=0,IFERROR(generateSalesData($D593, IF(ISNUMBER(_xlfn.XLOOKUP($C593,Phone_by_Sentiment!$B$2:$B$37,Phone_by_Sentiment!E$2:E$37,"",0,1)),_xlfn.XLOOKUP($C593,Phone_by_Sentiment!$B$2:$B$37,Phone_by_Sentiment!E$2:E$37,"",0,1),0),$A593-TEXT(DATEVALUE($D593&amp;"-01"), "dd-mm-yyyy")),0),0)</f>
        <v>0</v>
      </c>
      <c r="F593" cm="1">
        <f t="array" ref="F593">IF($Q593&gt;=0,IFERROR(generateSalesData($D593, IF(ISNUMBER(_xlfn.XLOOKUP($C593,Phone_by_Sentiment!$B$2:$B$37,Phone_by_Sentiment!F$2:F$37,"",0,1)),_xlfn.XLOOKUP($C593,Phone_by_Sentiment!$B$2:$B$37,Phone_by_Sentiment!F$2:F$37,"",0,1),0),$A593-TEXT(DATEVALUE($D593&amp;"-01"), "dd-mm-yyyy")),0),0)</f>
        <v>0</v>
      </c>
      <c r="G593" cm="1">
        <f t="array" ref="G593">IF($Q593&gt;=0,IFERROR(generateSalesData($D593, IF(ISNUMBER(_xlfn.XLOOKUP($C593,Phone_by_Sentiment!$B$2:$B$37,Phone_by_Sentiment!G$2:G$37,"",0,1)),_xlfn.XLOOKUP($C593,Phone_by_Sentiment!$B$2:$B$37,Phone_by_Sentiment!G$2:G$37,"",0,1),0),$A593-TEXT(DATEVALUE($D593&amp;"-01"), "dd-mm-yyyy")),0),0)</f>
        <v>0</v>
      </c>
      <c r="H593" cm="1">
        <f t="array" ref="H593">IF($Q593&gt;=0,IFERROR(generateSalesData($D593, IF(ISNUMBER(_xlfn.XLOOKUP($C593,Phone_by_Sentiment!$B$2:$B$37,Phone_by_Sentiment!H$2:H$37,"",0,1)),_xlfn.XLOOKUP($C593,Phone_by_Sentiment!$B$2:$B$37,Phone_by_Sentiment!H$2:H$37,"",0,1),0),$A593-TEXT(DATEVALUE($D593&amp;"-01"), "dd-mm-yyyy")),0),0)</f>
        <v>0</v>
      </c>
      <c r="I593" cm="1">
        <f t="array" ref="I593">IF($Q593&gt;=0,IFERROR(generateSalesData($D593, IF(ISNUMBER(_xlfn.XLOOKUP($C593,Phone_by_Sentiment!$B$2:$B$37,Phone_by_Sentiment!I$2:I$37,"",0,1)),_xlfn.XLOOKUP($C593,Phone_by_Sentiment!$B$2:$B$37,Phone_by_Sentiment!I$2:I$37,"",0,1),0),$A593-TEXT(DATEVALUE($D593&amp;"-01"), "dd-mm-yyyy")),0),0)</f>
        <v>0</v>
      </c>
      <c r="J593" cm="1">
        <f t="array" ref="J593">IF($Q593&gt;=0,IFERROR(generateSalesData($D593, IF(ISNUMBER(_xlfn.XLOOKUP($C593,Phone_by_Sentiment!$B$2:$B$37,Phone_by_Sentiment!J$2:J$37,"",0,1)),_xlfn.XLOOKUP($C593,Phone_by_Sentiment!$B$2:$B$37,Phone_by_Sentiment!J$2:J$37,"",0,1),0),$A593-TEXT(DATEVALUE($D593&amp;"-01"), "dd-mm-yyyy")),0),0)</f>
        <v>0</v>
      </c>
      <c r="K593" cm="1">
        <f t="array" ref="K593">IF($Q593&gt;=0,IFERROR(generateSalesData($D593, IF(ISNUMBER(_xlfn.XLOOKUP($C593,Phone_by_Sentiment!$B$2:$B$37,Phone_by_Sentiment!K$2:K$37,"",0,1)),_xlfn.XLOOKUP($C593,Phone_by_Sentiment!$B$2:$B$37,Phone_by_Sentiment!K$2:K$37,"",0,1),0),$A593-TEXT(DATEVALUE($D593&amp;"-01"), "dd-mm-yyyy")),0),0)</f>
        <v>0</v>
      </c>
      <c r="L593" cm="1">
        <f t="array" ref="L593">IF($Q593&gt;=0,IFERROR(generateSalesData($D593, IF(ISNUMBER(_xlfn.XLOOKUP($C593,Phone_by_Sentiment!$B$2:$B$37,Phone_by_Sentiment!L$2:L$37,"",0,1)),_xlfn.XLOOKUP($C593,Phone_by_Sentiment!$B$2:$B$37,Phone_by_Sentiment!L$2:L$37,"",0,1),0),$A593-TEXT(DATEVALUE($D593&amp;"-01"), "dd-mm-yyyy")),0),0)</f>
        <v>0</v>
      </c>
      <c r="M593" cm="1">
        <f t="array" ref="M593">IF($Q593&gt;=0,IFERROR(generateSalesData($D593, IF(ISNUMBER(_xlfn.XLOOKUP($C593,Phone_by_Sentiment!$B$2:$B$37,Phone_by_Sentiment!M$2:M$37,"",0,1)),_xlfn.XLOOKUP($C593,Phone_by_Sentiment!$B$2:$B$37,Phone_by_Sentiment!M$2:M$37,"",0,1),0),$A593-TEXT(DATEVALUE($D593&amp;"-01"), "dd-mm-yyyy")),0),0)</f>
        <v>0</v>
      </c>
      <c r="N593" cm="1">
        <f t="array" ref="N593">IF($Q593&gt;=0,IFERROR(generateSalesData($D593, IF(ISNUMBER(_xlfn.XLOOKUP($C593,Phone_by_Sentiment!$B$2:$B$37,Phone_by_Sentiment!N$2:N$37,"",0,1)),_xlfn.XLOOKUP($C593,Phone_by_Sentiment!$B$2:$B$37,Phone_by_Sentiment!N$2:N$37,"",0,1),0),$A593-TEXT(DATEVALUE($D593&amp;"-01"), "dd-mm-yyyy")),0),0)</f>
        <v>0</v>
      </c>
      <c r="O593" cm="1">
        <f t="array" ref="O593">IF($Q593&gt;=0,IFERROR(generateSalesData($D593, IF(ISNUMBER(_xlfn.XLOOKUP($C593,Phone_by_Sentiment!$B$2:$B$37,Phone_by_Sentiment!O$2:O$37,"",0,1)),_xlfn.XLOOKUP($C593,Phone_by_Sentiment!$B$2:$B$37,Phone_by_Sentiment!O$2:O$37,"",0,1),0),$A593-TEXT(DATEVALUE($D593&amp;"-01"), "dd-mm-yyyy")),0),0)</f>
        <v>0</v>
      </c>
      <c r="P593" s="1">
        <f t="shared" si="25"/>
        <v>44317</v>
      </c>
      <c r="Q593">
        <f t="shared" si="26"/>
        <v>-365</v>
      </c>
    </row>
    <row r="594" spans="1:17" x14ac:dyDescent="0.25">
      <c r="A594" s="1">
        <f t="shared" si="27"/>
        <v>43952</v>
      </c>
      <c r="B594" t="s">
        <v>172</v>
      </c>
      <c r="C594" t="str">
        <f>_xlfn.XLOOKUP(B594,Phone_by_Price!$A$2:$A$34,Phone_by_Price!$B$2:$B$34,"-",0,1)</f>
        <v>Xiaomi Redmi 9</v>
      </c>
      <c r="D594" t="str">
        <f>_xlfn.XLOOKUP(C594,Phone_by_Sentiment!$B$2:$B$37,Phone_by_Sentiment!$A$2:$A$37,"-",0,1)</f>
        <v>2020-08</v>
      </c>
      <c r="E594" cm="1">
        <f t="array" ref="E594">IF($Q594&gt;=0,IFERROR(generateSalesData($D594, IF(ISNUMBER(_xlfn.XLOOKUP($C594,Phone_by_Sentiment!$B$2:$B$37,Phone_by_Sentiment!E$2:E$37,"",0,1)),_xlfn.XLOOKUP($C594,Phone_by_Sentiment!$B$2:$B$37,Phone_by_Sentiment!E$2:E$37,"",0,1),0),$A594-TEXT(DATEVALUE($D594&amp;"-01"), "dd-mm-yyyy")),0),0)</f>
        <v>0</v>
      </c>
      <c r="F594" cm="1">
        <f t="array" ref="F594">IF($Q594&gt;=0,IFERROR(generateSalesData($D594, IF(ISNUMBER(_xlfn.XLOOKUP($C594,Phone_by_Sentiment!$B$2:$B$37,Phone_by_Sentiment!F$2:F$37,"",0,1)),_xlfn.XLOOKUP($C594,Phone_by_Sentiment!$B$2:$B$37,Phone_by_Sentiment!F$2:F$37,"",0,1),0),$A594-TEXT(DATEVALUE($D594&amp;"-01"), "dd-mm-yyyy")),0),0)</f>
        <v>0</v>
      </c>
      <c r="G594" cm="1">
        <f t="array" ref="G594">IF($Q594&gt;=0,IFERROR(generateSalesData($D594, IF(ISNUMBER(_xlfn.XLOOKUP($C594,Phone_by_Sentiment!$B$2:$B$37,Phone_by_Sentiment!G$2:G$37,"",0,1)),_xlfn.XLOOKUP($C594,Phone_by_Sentiment!$B$2:$B$37,Phone_by_Sentiment!G$2:G$37,"",0,1),0),$A594-TEXT(DATEVALUE($D594&amp;"-01"), "dd-mm-yyyy")),0),0)</f>
        <v>0</v>
      </c>
      <c r="H594" cm="1">
        <f t="array" ref="H594">IF($Q594&gt;=0,IFERROR(generateSalesData($D594, IF(ISNUMBER(_xlfn.XLOOKUP($C594,Phone_by_Sentiment!$B$2:$B$37,Phone_by_Sentiment!H$2:H$37,"",0,1)),_xlfn.XLOOKUP($C594,Phone_by_Sentiment!$B$2:$B$37,Phone_by_Sentiment!H$2:H$37,"",0,1),0),$A594-TEXT(DATEVALUE($D594&amp;"-01"), "dd-mm-yyyy")),0),0)</f>
        <v>0</v>
      </c>
      <c r="I594" cm="1">
        <f t="array" ref="I594">IF($Q594&gt;=0,IFERROR(generateSalesData($D594, IF(ISNUMBER(_xlfn.XLOOKUP($C594,Phone_by_Sentiment!$B$2:$B$37,Phone_by_Sentiment!I$2:I$37,"",0,1)),_xlfn.XLOOKUP($C594,Phone_by_Sentiment!$B$2:$B$37,Phone_by_Sentiment!I$2:I$37,"",0,1),0),$A594-TEXT(DATEVALUE($D594&amp;"-01"), "dd-mm-yyyy")),0),0)</f>
        <v>0</v>
      </c>
      <c r="J594" cm="1">
        <f t="array" ref="J594">IF($Q594&gt;=0,IFERROR(generateSalesData($D594, IF(ISNUMBER(_xlfn.XLOOKUP($C594,Phone_by_Sentiment!$B$2:$B$37,Phone_by_Sentiment!J$2:J$37,"",0,1)),_xlfn.XLOOKUP($C594,Phone_by_Sentiment!$B$2:$B$37,Phone_by_Sentiment!J$2:J$37,"",0,1),0),$A594-TEXT(DATEVALUE($D594&amp;"-01"), "dd-mm-yyyy")),0),0)</f>
        <v>0</v>
      </c>
      <c r="K594" cm="1">
        <f t="array" ref="K594">IF($Q594&gt;=0,IFERROR(generateSalesData($D594, IF(ISNUMBER(_xlfn.XLOOKUP($C594,Phone_by_Sentiment!$B$2:$B$37,Phone_by_Sentiment!K$2:K$37,"",0,1)),_xlfn.XLOOKUP($C594,Phone_by_Sentiment!$B$2:$B$37,Phone_by_Sentiment!K$2:K$37,"",0,1),0),$A594-TEXT(DATEVALUE($D594&amp;"-01"), "dd-mm-yyyy")),0),0)</f>
        <v>0</v>
      </c>
      <c r="L594" cm="1">
        <f t="array" ref="L594">IF($Q594&gt;=0,IFERROR(generateSalesData($D594, IF(ISNUMBER(_xlfn.XLOOKUP($C594,Phone_by_Sentiment!$B$2:$B$37,Phone_by_Sentiment!L$2:L$37,"",0,1)),_xlfn.XLOOKUP($C594,Phone_by_Sentiment!$B$2:$B$37,Phone_by_Sentiment!L$2:L$37,"",0,1),0),$A594-TEXT(DATEVALUE($D594&amp;"-01"), "dd-mm-yyyy")),0),0)</f>
        <v>0</v>
      </c>
      <c r="M594" cm="1">
        <f t="array" ref="M594">IF($Q594&gt;=0,IFERROR(generateSalesData($D594, IF(ISNUMBER(_xlfn.XLOOKUP($C594,Phone_by_Sentiment!$B$2:$B$37,Phone_by_Sentiment!M$2:M$37,"",0,1)),_xlfn.XLOOKUP($C594,Phone_by_Sentiment!$B$2:$B$37,Phone_by_Sentiment!M$2:M$37,"",0,1),0),$A594-TEXT(DATEVALUE($D594&amp;"-01"), "dd-mm-yyyy")),0),0)</f>
        <v>0</v>
      </c>
      <c r="N594" cm="1">
        <f t="array" ref="N594">IF($Q594&gt;=0,IFERROR(generateSalesData($D594, IF(ISNUMBER(_xlfn.XLOOKUP($C594,Phone_by_Sentiment!$B$2:$B$37,Phone_by_Sentiment!N$2:N$37,"",0,1)),_xlfn.XLOOKUP($C594,Phone_by_Sentiment!$B$2:$B$37,Phone_by_Sentiment!N$2:N$37,"",0,1),0),$A594-TEXT(DATEVALUE($D594&amp;"-01"), "dd-mm-yyyy")),0),0)</f>
        <v>0</v>
      </c>
      <c r="O594" cm="1">
        <f t="array" ref="O594">IF($Q594&gt;=0,IFERROR(generateSalesData($D594, IF(ISNUMBER(_xlfn.XLOOKUP($C594,Phone_by_Sentiment!$B$2:$B$37,Phone_by_Sentiment!O$2:O$37,"",0,1)),_xlfn.XLOOKUP($C594,Phone_by_Sentiment!$B$2:$B$37,Phone_by_Sentiment!O$2:O$37,"",0,1),0),$A594-TEXT(DATEVALUE($D594&amp;"-01"), "dd-mm-yyyy")),0),0)</f>
        <v>0</v>
      </c>
      <c r="P594" s="1">
        <f t="shared" si="25"/>
        <v>44044</v>
      </c>
      <c r="Q594">
        <f t="shared" si="26"/>
        <v>-92</v>
      </c>
    </row>
    <row r="595" spans="1:17" x14ac:dyDescent="0.25">
      <c r="A595" s="1">
        <f t="shared" si="27"/>
        <v>43952</v>
      </c>
      <c r="B595" t="s">
        <v>173</v>
      </c>
      <c r="C595" t="str">
        <f>_xlfn.XLOOKUP(B595,Phone_by_Price!$A$2:$A$34,Phone_by_Price!$B$2:$B$34,"-",0,1)</f>
        <v>Realme C3</v>
      </c>
      <c r="D595" t="str">
        <f>_xlfn.XLOOKUP(C595,Phone_by_Sentiment!$B$2:$B$37,Phone_by_Sentiment!$A$2:$A$37,"-",0,1)</f>
        <v>2020-02</v>
      </c>
      <c r="E595" cm="1">
        <f t="array" ref="E595">IF($Q595&gt;=0,IFERROR(generateSalesData($D595, IF(ISNUMBER(_xlfn.XLOOKUP($C595,Phone_by_Sentiment!$B$2:$B$37,Phone_by_Sentiment!E$2:E$37,"",0,1)),_xlfn.XLOOKUP($C595,Phone_by_Sentiment!$B$2:$B$37,Phone_by_Sentiment!E$2:E$37,"",0,1),0),$A595-TEXT(DATEVALUE($D595&amp;"-01"), "dd-mm-yyyy")),0),0)</f>
        <v>1046</v>
      </c>
      <c r="F595" cm="1">
        <f t="array" ref="F595">IF($Q595&gt;=0,IFERROR(generateSalesData($D595, IF(ISNUMBER(_xlfn.XLOOKUP($C595,Phone_by_Sentiment!$B$2:$B$37,Phone_by_Sentiment!F$2:F$37,"",0,1)),_xlfn.XLOOKUP($C595,Phone_by_Sentiment!$B$2:$B$37,Phone_by_Sentiment!F$2:F$37,"",0,1),0),$A595-TEXT(DATEVALUE($D595&amp;"-01"), "dd-mm-yyyy")),0),0)</f>
        <v>667</v>
      </c>
      <c r="G595" cm="1">
        <f t="array" ref="G595">IF($Q595&gt;=0,IFERROR(generateSalesData($D595, IF(ISNUMBER(_xlfn.XLOOKUP($C595,Phone_by_Sentiment!$B$2:$B$37,Phone_by_Sentiment!G$2:G$37,"",0,1)),_xlfn.XLOOKUP($C595,Phone_by_Sentiment!$B$2:$B$37,Phone_by_Sentiment!G$2:G$37,"",0,1),0),$A595-TEXT(DATEVALUE($D595&amp;"-01"), "dd-mm-yyyy")),0),0)</f>
        <v>386</v>
      </c>
      <c r="H595" cm="1">
        <f t="array" ref="H595">IF($Q595&gt;=0,IFERROR(generateSalesData($D595, IF(ISNUMBER(_xlfn.XLOOKUP($C595,Phone_by_Sentiment!$B$2:$B$37,Phone_by_Sentiment!H$2:H$37,"",0,1)),_xlfn.XLOOKUP($C595,Phone_by_Sentiment!$B$2:$B$37,Phone_by_Sentiment!H$2:H$37,"",0,1),0),$A595-TEXT(DATEVALUE($D595&amp;"-01"), "dd-mm-yyyy")),0),0)</f>
        <v>624</v>
      </c>
      <c r="I595" cm="1">
        <f t="array" ref="I595">IF($Q595&gt;=0,IFERROR(generateSalesData($D595, IF(ISNUMBER(_xlfn.XLOOKUP($C595,Phone_by_Sentiment!$B$2:$B$37,Phone_by_Sentiment!I$2:I$37,"",0,1)),_xlfn.XLOOKUP($C595,Phone_by_Sentiment!$B$2:$B$37,Phone_by_Sentiment!I$2:I$37,"",0,1),0),$A595-TEXT(DATEVALUE($D595&amp;"-01"), "dd-mm-yyyy")),0),0)</f>
        <v>1200</v>
      </c>
      <c r="J595" cm="1">
        <f t="array" ref="J595">IF($Q595&gt;=0,IFERROR(generateSalesData($D595, IF(ISNUMBER(_xlfn.XLOOKUP($C595,Phone_by_Sentiment!$B$2:$B$37,Phone_by_Sentiment!J$2:J$37,"",0,1)),_xlfn.XLOOKUP($C595,Phone_by_Sentiment!$B$2:$B$37,Phone_by_Sentiment!J$2:J$37,"",0,1),0),$A595-TEXT(DATEVALUE($D595&amp;"-01"), "dd-mm-yyyy")),0),0)</f>
        <v>443</v>
      </c>
      <c r="K595" cm="1">
        <f t="array" ref="K595">IF($Q595&gt;=0,IFERROR(generateSalesData($D595, IF(ISNUMBER(_xlfn.XLOOKUP($C595,Phone_by_Sentiment!$B$2:$B$37,Phone_by_Sentiment!K$2:K$37,"",0,1)),_xlfn.XLOOKUP($C595,Phone_by_Sentiment!$B$2:$B$37,Phone_by_Sentiment!K$2:K$37,"",0,1),0),$A595-TEXT(DATEVALUE($D595&amp;"-01"), "dd-mm-yyyy")),0),0)</f>
        <v>2999</v>
      </c>
      <c r="L595" cm="1">
        <f t="array" ref="L595">IF($Q595&gt;=0,IFERROR(generateSalesData($D595, IF(ISNUMBER(_xlfn.XLOOKUP($C595,Phone_by_Sentiment!$B$2:$B$37,Phone_by_Sentiment!L$2:L$37,"",0,1)),_xlfn.XLOOKUP($C595,Phone_by_Sentiment!$B$2:$B$37,Phone_by_Sentiment!L$2:L$37,"",0,1),0),$A595-TEXT(DATEVALUE($D595&amp;"-01"), "dd-mm-yyyy")),0),0)</f>
        <v>1958</v>
      </c>
      <c r="M595" cm="1">
        <f t="array" ref="M595">IF($Q595&gt;=0,IFERROR(generateSalesData($D595, IF(ISNUMBER(_xlfn.XLOOKUP($C595,Phone_by_Sentiment!$B$2:$B$37,Phone_by_Sentiment!M$2:M$37,"",0,1)),_xlfn.XLOOKUP($C595,Phone_by_Sentiment!$B$2:$B$37,Phone_by_Sentiment!M$2:M$37,"",0,1),0),$A595-TEXT(DATEVALUE($D595&amp;"-01"), "dd-mm-yyyy")),0),0)</f>
        <v>675</v>
      </c>
      <c r="N595" cm="1">
        <f t="array" ref="N595">IF($Q595&gt;=0,IFERROR(generateSalesData($D595, IF(ISNUMBER(_xlfn.XLOOKUP($C595,Phone_by_Sentiment!$B$2:$B$37,Phone_by_Sentiment!N$2:N$37,"",0,1)),_xlfn.XLOOKUP($C595,Phone_by_Sentiment!$B$2:$B$37,Phone_by_Sentiment!N$2:N$37,"",0,1),0),$A595-TEXT(DATEVALUE($D595&amp;"-01"), "dd-mm-yyyy")),0),0)</f>
        <v>1615</v>
      </c>
      <c r="O595" cm="1">
        <f t="array" ref="O595">IF($Q595&gt;=0,IFERROR(generateSalesData($D595, IF(ISNUMBER(_xlfn.XLOOKUP($C595,Phone_by_Sentiment!$B$2:$B$37,Phone_by_Sentiment!O$2:O$37,"",0,1)),_xlfn.XLOOKUP($C595,Phone_by_Sentiment!$B$2:$B$37,Phone_by_Sentiment!O$2:O$37,"",0,1),0),$A595-TEXT(DATEVALUE($D595&amp;"-01"), "dd-mm-yyyy")),0),0)</f>
        <v>281</v>
      </c>
      <c r="P595" s="1">
        <f t="shared" si="25"/>
        <v>43862</v>
      </c>
      <c r="Q595">
        <f t="shared" si="26"/>
        <v>90</v>
      </c>
    </row>
    <row r="596" spans="1:17" x14ac:dyDescent="0.25">
      <c r="A596" s="1">
        <f t="shared" si="27"/>
        <v>43983</v>
      </c>
      <c r="B596" t="s">
        <v>174</v>
      </c>
      <c r="C596" t="str">
        <f>_xlfn.XLOOKUP(B596,Phone_by_Price!$A$2:$A$34,Phone_by_Price!$B$2:$B$34,"-",0,1)</f>
        <v>Samsung Galaxy A7</v>
      </c>
      <c r="D596" t="str">
        <f>_xlfn.XLOOKUP(C596,Phone_by_Sentiment!$B$2:$B$37,Phone_by_Sentiment!$A$2:$A$37,"-",0,1)</f>
        <v>2018-10</v>
      </c>
      <c r="E596" cm="1">
        <f t="array" ref="E596">IF($Q596&gt;=0,IFERROR(generateSalesData($D596, IF(ISNUMBER(_xlfn.XLOOKUP($C596,Phone_by_Sentiment!$B$2:$B$37,Phone_by_Sentiment!E$2:E$37,"",0,1)),_xlfn.XLOOKUP($C596,Phone_by_Sentiment!$B$2:$B$37,Phone_by_Sentiment!E$2:E$37,"",0,1),0),$A596-TEXT(DATEVALUE($D596&amp;"-01"), "dd-mm-yyyy")),0),0)</f>
        <v>88</v>
      </c>
      <c r="F596" cm="1">
        <f t="array" ref="F596">IF($Q596&gt;=0,IFERROR(generateSalesData($D596, IF(ISNUMBER(_xlfn.XLOOKUP($C596,Phone_by_Sentiment!$B$2:$B$37,Phone_by_Sentiment!F$2:F$37,"",0,1)),_xlfn.XLOOKUP($C596,Phone_by_Sentiment!$B$2:$B$37,Phone_by_Sentiment!F$2:F$37,"",0,1),0),$A596-TEXT(DATEVALUE($D596&amp;"-01"), "dd-mm-yyyy")),0),0)</f>
        <v>116</v>
      </c>
      <c r="G596" cm="1">
        <f t="array" ref="G596">IF($Q596&gt;=0,IFERROR(generateSalesData($D596, IF(ISNUMBER(_xlfn.XLOOKUP($C596,Phone_by_Sentiment!$B$2:$B$37,Phone_by_Sentiment!G$2:G$37,"",0,1)),_xlfn.XLOOKUP($C596,Phone_by_Sentiment!$B$2:$B$37,Phone_by_Sentiment!G$2:G$37,"",0,1),0),$A596-TEXT(DATEVALUE($D596&amp;"-01"), "dd-mm-yyyy")),0),0)</f>
        <v>79</v>
      </c>
      <c r="H596" cm="1">
        <f t="array" ref="H596">IF($Q596&gt;=0,IFERROR(generateSalesData($D596, IF(ISNUMBER(_xlfn.XLOOKUP($C596,Phone_by_Sentiment!$B$2:$B$37,Phone_by_Sentiment!H$2:H$37,"",0,1)),_xlfn.XLOOKUP($C596,Phone_by_Sentiment!$B$2:$B$37,Phone_by_Sentiment!H$2:H$37,"",0,1),0),$A596-TEXT(DATEVALUE($D596&amp;"-01"), "dd-mm-yyyy")),0),0)</f>
        <v>167</v>
      </c>
      <c r="I596" cm="1">
        <f t="array" ref="I596">IF($Q596&gt;=0,IFERROR(generateSalesData($D596, IF(ISNUMBER(_xlfn.XLOOKUP($C596,Phone_by_Sentiment!$B$2:$B$37,Phone_by_Sentiment!I$2:I$37,"",0,1)),_xlfn.XLOOKUP($C596,Phone_by_Sentiment!$B$2:$B$37,Phone_by_Sentiment!I$2:I$37,"",0,1),0),$A596-TEXT(DATEVALUE($D596&amp;"-01"), "dd-mm-yyyy")),0),0)</f>
        <v>258</v>
      </c>
      <c r="J596" cm="1">
        <f t="array" ref="J596">IF($Q596&gt;=0,IFERROR(generateSalesData($D596, IF(ISNUMBER(_xlfn.XLOOKUP($C596,Phone_by_Sentiment!$B$2:$B$37,Phone_by_Sentiment!J$2:J$37,"",0,1)),_xlfn.XLOOKUP($C596,Phone_by_Sentiment!$B$2:$B$37,Phone_by_Sentiment!J$2:J$37,"",0,1),0),$A596-TEXT(DATEVALUE($D596&amp;"-01"), "dd-mm-yyyy")),0),0)</f>
        <v>117</v>
      </c>
      <c r="K596" cm="1">
        <f t="array" ref="K596">IF($Q596&gt;=0,IFERROR(generateSalesData($D596, IF(ISNUMBER(_xlfn.XLOOKUP($C596,Phone_by_Sentiment!$B$2:$B$37,Phone_by_Sentiment!K$2:K$37,"",0,1)),_xlfn.XLOOKUP($C596,Phone_by_Sentiment!$B$2:$B$37,Phone_by_Sentiment!K$2:K$37,"",0,1),0),$A596-TEXT(DATEVALUE($D596&amp;"-01"), "dd-mm-yyyy")),0),0)</f>
        <v>60</v>
      </c>
      <c r="L596" cm="1">
        <f t="array" ref="L596">IF($Q596&gt;=0,IFERROR(generateSalesData($D596, IF(ISNUMBER(_xlfn.XLOOKUP($C596,Phone_by_Sentiment!$B$2:$B$37,Phone_by_Sentiment!L$2:L$37,"",0,1)),_xlfn.XLOOKUP($C596,Phone_by_Sentiment!$B$2:$B$37,Phone_by_Sentiment!L$2:L$37,"",0,1),0),$A596-TEXT(DATEVALUE($D596&amp;"-01"), "dd-mm-yyyy")),0),0)</f>
        <v>118</v>
      </c>
      <c r="M596" cm="1">
        <f t="array" ref="M596">IF($Q596&gt;=0,IFERROR(generateSalesData($D596, IF(ISNUMBER(_xlfn.XLOOKUP($C596,Phone_by_Sentiment!$B$2:$B$37,Phone_by_Sentiment!M$2:M$37,"",0,1)),_xlfn.XLOOKUP($C596,Phone_by_Sentiment!$B$2:$B$37,Phone_by_Sentiment!M$2:M$37,"",0,1),0),$A596-TEXT(DATEVALUE($D596&amp;"-01"), "dd-mm-yyyy")),0),0)</f>
        <v>201</v>
      </c>
      <c r="N596" cm="1">
        <f t="array" ref="N596">IF($Q596&gt;=0,IFERROR(generateSalesData($D596, IF(ISNUMBER(_xlfn.XLOOKUP($C596,Phone_by_Sentiment!$B$2:$B$37,Phone_by_Sentiment!N$2:N$37,"",0,1)),_xlfn.XLOOKUP($C596,Phone_by_Sentiment!$B$2:$B$37,Phone_by_Sentiment!N$2:N$37,"",0,1),0),$A596-TEXT(DATEVALUE($D596&amp;"-01"), "dd-mm-yyyy")),0),0)</f>
        <v>310</v>
      </c>
      <c r="O596" cm="1">
        <f t="array" ref="O596">IF($Q596&gt;=0,IFERROR(generateSalesData($D596, IF(ISNUMBER(_xlfn.XLOOKUP($C596,Phone_by_Sentiment!$B$2:$B$37,Phone_by_Sentiment!O$2:O$37,"",0,1)),_xlfn.XLOOKUP($C596,Phone_by_Sentiment!$B$2:$B$37,Phone_by_Sentiment!O$2:O$37,"",0,1),0),$A596-TEXT(DATEVALUE($D596&amp;"-01"), "dd-mm-yyyy")),0),0)</f>
        <v>307</v>
      </c>
      <c r="P596" s="1">
        <f t="shared" si="25"/>
        <v>43374</v>
      </c>
      <c r="Q596">
        <f t="shared" si="26"/>
        <v>609</v>
      </c>
    </row>
    <row r="597" spans="1:17" x14ac:dyDescent="0.25">
      <c r="A597" s="1">
        <f t="shared" si="27"/>
        <v>43983</v>
      </c>
      <c r="B597" t="s">
        <v>142</v>
      </c>
      <c r="C597" t="str">
        <f>_xlfn.XLOOKUP(B597,Phone_by_Price!$A$2:$A$34,Phone_by_Price!$B$2:$B$34,"-",0,1)</f>
        <v>iPhone 11</v>
      </c>
      <c r="D597" t="str">
        <f>_xlfn.XLOOKUP(C597,Phone_by_Sentiment!$B$2:$B$37,Phone_by_Sentiment!$A$2:$A$37,"-",0,1)</f>
        <v>2019-09</v>
      </c>
      <c r="E597" cm="1">
        <f t="array" ref="E597">IF($Q597&gt;=0,IFERROR(generateSalesData($D597, IF(ISNUMBER(_xlfn.XLOOKUP($C597,Phone_by_Sentiment!$B$2:$B$37,Phone_by_Sentiment!E$2:E$37,"",0,1)),_xlfn.XLOOKUP($C597,Phone_by_Sentiment!$B$2:$B$37,Phone_by_Sentiment!E$2:E$37,"",0,1),0),$A597-TEXT(DATEVALUE($D597&amp;"-01"), "dd-mm-yyyy")),0),0)</f>
        <v>571</v>
      </c>
      <c r="F597" cm="1">
        <f t="array" ref="F597">IF($Q597&gt;=0,IFERROR(generateSalesData($D597, IF(ISNUMBER(_xlfn.XLOOKUP($C597,Phone_by_Sentiment!$B$2:$B$37,Phone_by_Sentiment!F$2:F$37,"",0,1)),_xlfn.XLOOKUP($C597,Phone_by_Sentiment!$B$2:$B$37,Phone_by_Sentiment!F$2:F$37,"",0,1),0),$A597-TEXT(DATEVALUE($D597&amp;"-01"), "dd-mm-yyyy")),0),0)</f>
        <v>1177</v>
      </c>
      <c r="G597" cm="1">
        <f t="array" ref="G597">IF($Q597&gt;=0,IFERROR(generateSalesData($D597, IF(ISNUMBER(_xlfn.XLOOKUP($C597,Phone_by_Sentiment!$B$2:$B$37,Phone_by_Sentiment!G$2:G$37,"",0,1)),_xlfn.XLOOKUP($C597,Phone_by_Sentiment!$B$2:$B$37,Phone_by_Sentiment!G$2:G$37,"",0,1),0),$A597-TEXT(DATEVALUE($D597&amp;"-01"), "dd-mm-yyyy")),0),0)</f>
        <v>317</v>
      </c>
      <c r="H597" cm="1">
        <f t="array" ref="H597">IF($Q597&gt;=0,IFERROR(generateSalesData($D597, IF(ISNUMBER(_xlfn.XLOOKUP($C597,Phone_by_Sentiment!$B$2:$B$37,Phone_by_Sentiment!H$2:H$37,"",0,1)),_xlfn.XLOOKUP($C597,Phone_by_Sentiment!$B$2:$B$37,Phone_by_Sentiment!H$2:H$37,"",0,1),0),$A597-TEXT(DATEVALUE($D597&amp;"-01"), "dd-mm-yyyy")),0),0)</f>
        <v>791</v>
      </c>
      <c r="I597" cm="1">
        <f t="array" ref="I597">IF($Q597&gt;=0,IFERROR(generateSalesData($D597, IF(ISNUMBER(_xlfn.XLOOKUP($C597,Phone_by_Sentiment!$B$2:$B$37,Phone_by_Sentiment!I$2:I$37,"",0,1)),_xlfn.XLOOKUP($C597,Phone_by_Sentiment!$B$2:$B$37,Phone_by_Sentiment!I$2:I$37,"",0,1),0),$A597-TEXT(DATEVALUE($D597&amp;"-01"), "dd-mm-yyyy")),0),0)</f>
        <v>1517</v>
      </c>
      <c r="J597" cm="1">
        <f t="array" ref="J597">IF($Q597&gt;=0,IFERROR(generateSalesData($D597, IF(ISNUMBER(_xlfn.XLOOKUP($C597,Phone_by_Sentiment!$B$2:$B$37,Phone_by_Sentiment!J$2:J$37,"",0,1)),_xlfn.XLOOKUP($C597,Phone_by_Sentiment!$B$2:$B$37,Phone_by_Sentiment!J$2:J$37,"",0,1),0),$A597-TEXT(DATEVALUE($D597&amp;"-01"), "dd-mm-yyyy")),0),0)</f>
        <v>145</v>
      </c>
      <c r="K597" cm="1">
        <f t="array" ref="K597">IF($Q597&gt;=0,IFERROR(generateSalesData($D597, IF(ISNUMBER(_xlfn.XLOOKUP($C597,Phone_by_Sentiment!$B$2:$B$37,Phone_by_Sentiment!K$2:K$37,"",0,1)),_xlfn.XLOOKUP($C597,Phone_by_Sentiment!$B$2:$B$37,Phone_by_Sentiment!K$2:K$37,"",0,1),0),$A597-TEXT(DATEVALUE($D597&amp;"-01"), "dd-mm-yyyy")),0),0)</f>
        <v>263</v>
      </c>
      <c r="L597" cm="1">
        <f t="array" ref="L597">IF($Q597&gt;=0,IFERROR(generateSalesData($D597, IF(ISNUMBER(_xlfn.XLOOKUP($C597,Phone_by_Sentiment!$B$2:$B$37,Phone_by_Sentiment!L$2:L$37,"",0,1)),_xlfn.XLOOKUP($C597,Phone_by_Sentiment!$B$2:$B$37,Phone_by_Sentiment!L$2:L$37,"",0,1),0),$A597-TEXT(DATEVALUE($D597&amp;"-01"), "dd-mm-yyyy")),0),0)</f>
        <v>360</v>
      </c>
      <c r="M597" cm="1">
        <f t="array" ref="M597">IF($Q597&gt;=0,IFERROR(generateSalesData($D597, IF(ISNUMBER(_xlfn.XLOOKUP($C597,Phone_by_Sentiment!$B$2:$B$37,Phone_by_Sentiment!M$2:M$37,"",0,1)),_xlfn.XLOOKUP($C597,Phone_by_Sentiment!$B$2:$B$37,Phone_by_Sentiment!M$2:M$37,"",0,1),0),$A597-TEXT(DATEVALUE($D597&amp;"-01"), "dd-mm-yyyy")),0),0)</f>
        <v>72</v>
      </c>
      <c r="N597" cm="1">
        <f t="array" ref="N597">IF($Q597&gt;=0,IFERROR(generateSalesData($D597, IF(ISNUMBER(_xlfn.XLOOKUP($C597,Phone_by_Sentiment!$B$2:$B$37,Phone_by_Sentiment!N$2:N$37,"",0,1)),_xlfn.XLOOKUP($C597,Phone_by_Sentiment!$B$2:$B$37,Phone_by_Sentiment!N$2:N$37,"",0,1),0),$A597-TEXT(DATEVALUE($D597&amp;"-01"), "dd-mm-yyyy")),0),0)</f>
        <v>1162</v>
      </c>
      <c r="O597" cm="1">
        <f t="array" ref="O597">IF($Q597&gt;=0,IFERROR(generateSalesData($D597, IF(ISNUMBER(_xlfn.XLOOKUP($C597,Phone_by_Sentiment!$B$2:$B$37,Phone_by_Sentiment!O$2:O$37,"",0,1)),_xlfn.XLOOKUP($C597,Phone_by_Sentiment!$B$2:$B$37,Phone_by_Sentiment!O$2:O$37,"",0,1),0),$A597-TEXT(DATEVALUE($D597&amp;"-01"), "dd-mm-yyyy")),0),0)</f>
        <v>1266</v>
      </c>
      <c r="P597" s="1">
        <f t="shared" si="25"/>
        <v>43709</v>
      </c>
      <c r="Q597">
        <f t="shared" si="26"/>
        <v>274</v>
      </c>
    </row>
    <row r="598" spans="1:17" x14ac:dyDescent="0.25">
      <c r="A598" s="1">
        <f t="shared" si="27"/>
        <v>43983</v>
      </c>
      <c r="B598" t="s">
        <v>143</v>
      </c>
      <c r="C598" t="str">
        <f>_xlfn.XLOOKUP(B598,Phone_by_Price!$A$2:$A$34,Phone_by_Price!$B$2:$B$34,"-",0,1)</f>
        <v>Samsung Galaxy S20 Ultra</v>
      </c>
      <c r="D598" t="str">
        <f>_xlfn.XLOOKUP(C598,Phone_by_Sentiment!$B$2:$B$37,Phone_by_Sentiment!$A$2:$A$37,"-",0,1)</f>
        <v>2020-02</v>
      </c>
      <c r="E598" cm="1">
        <f t="array" ref="E598">IF($Q598&gt;=0,IFERROR(generateSalesData($D598, IF(ISNUMBER(_xlfn.XLOOKUP($C598,Phone_by_Sentiment!$B$2:$B$37,Phone_by_Sentiment!E$2:E$37,"",0,1)),_xlfn.XLOOKUP($C598,Phone_by_Sentiment!$B$2:$B$37,Phone_by_Sentiment!E$2:E$37,"",0,1),0),$A598-TEXT(DATEVALUE($D598&amp;"-01"), "dd-mm-yyyy")),0),0)</f>
        <v>-57</v>
      </c>
      <c r="F598" cm="1">
        <f t="array" ref="F598">IF($Q598&gt;=0,IFERROR(generateSalesData($D598, IF(ISNUMBER(_xlfn.XLOOKUP($C598,Phone_by_Sentiment!$B$2:$B$37,Phone_by_Sentiment!F$2:F$37,"",0,1)),_xlfn.XLOOKUP($C598,Phone_by_Sentiment!$B$2:$B$37,Phone_by_Sentiment!F$2:F$37,"",0,1),0),$A598-TEXT(DATEVALUE($D598&amp;"-01"), "dd-mm-yyyy")),0),0)</f>
        <v>814</v>
      </c>
      <c r="G598" cm="1">
        <f t="array" ref="G598">IF($Q598&gt;=0,IFERROR(generateSalesData($D598, IF(ISNUMBER(_xlfn.XLOOKUP($C598,Phone_by_Sentiment!$B$2:$B$37,Phone_by_Sentiment!G$2:G$37,"",0,1)),_xlfn.XLOOKUP($C598,Phone_by_Sentiment!$B$2:$B$37,Phone_by_Sentiment!G$2:G$37,"",0,1),0),$A598-TEXT(DATEVALUE($D598&amp;"-01"), "dd-mm-yyyy")),0),0)</f>
        <v>593</v>
      </c>
      <c r="H598" cm="1">
        <f t="array" ref="H598">IF($Q598&gt;=0,IFERROR(generateSalesData($D598, IF(ISNUMBER(_xlfn.XLOOKUP($C598,Phone_by_Sentiment!$B$2:$B$37,Phone_by_Sentiment!H$2:H$37,"",0,1)),_xlfn.XLOOKUP($C598,Phone_by_Sentiment!$B$2:$B$37,Phone_by_Sentiment!H$2:H$37,"",0,1),0),$A598-TEXT(DATEVALUE($D598&amp;"-01"), "dd-mm-yyyy")),0),0)</f>
        <v>1233</v>
      </c>
      <c r="I598" cm="1">
        <f t="array" ref="I598">IF($Q598&gt;=0,IFERROR(generateSalesData($D598, IF(ISNUMBER(_xlfn.XLOOKUP($C598,Phone_by_Sentiment!$B$2:$B$37,Phone_by_Sentiment!I$2:I$37,"",0,1)),_xlfn.XLOOKUP($C598,Phone_by_Sentiment!$B$2:$B$37,Phone_by_Sentiment!I$2:I$37,"",0,1),0),$A598-TEXT(DATEVALUE($D598&amp;"-01"), "dd-mm-yyyy")),0),0)</f>
        <v>977</v>
      </c>
      <c r="J598" cm="1">
        <f t="array" ref="J598">IF($Q598&gt;=0,IFERROR(generateSalesData($D598, IF(ISNUMBER(_xlfn.XLOOKUP($C598,Phone_by_Sentiment!$B$2:$B$37,Phone_by_Sentiment!J$2:J$37,"",0,1)),_xlfn.XLOOKUP($C598,Phone_by_Sentiment!$B$2:$B$37,Phone_by_Sentiment!J$2:J$37,"",0,1),0),$A598-TEXT(DATEVALUE($D598&amp;"-01"), "dd-mm-yyyy")),0),0)</f>
        <v>2088</v>
      </c>
      <c r="K598" cm="1">
        <f t="array" ref="K598">IF($Q598&gt;=0,IFERROR(generateSalesData($D598, IF(ISNUMBER(_xlfn.XLOOKUP($C598,Phone_by_Sentiment!$B$2:$B$37,Phone_by_Sentiment!K$2:K$37,"",0,1)),_xlfn.XLOOKUP($C598,Phone_by_Sentiment!$B$2:$B$37,Phone_by_Sentiment!K$2:K$37,"",0,1),0),$A598-TEXT(DATEVALUE($D598&amp;"-01"), "dd-mm-yyyy")),0),0)</f>
        <v>371</v>
      </c>
      <c r="L598" cm="1">
        <f t="array" ref="L598">IF($Q598&gt;=0,IFERROR(generateSalesData($D598, IF(ISNUMBER(_xlfn.XLOOKUP($C598,Phone_by_Sentiment!$B$2:$B$37,Phone_by_Sentiment!L$2:L$37,"",0,1)),_xlfn.XLOOKUP($C598,Phone_by_Sentiment!$B$2:$B$37,Phone_by_Sentiment!L$2:L$37,"",0,1),0),$A598-TEXT(DATEVALUE($D598&amp;"-01"), "dd-mm-yyyy")),0),0)</f>
        <v>3289</v>
      </c>
      <c r="M598" cm="1">
        <f t="array" ref="M598">IF($Q598&gt;=0,IFERROR(generateSalesData($D598, IF(ISNUMBER(_xlfn.XLOOKUP($C598,Phone_by_Sentiment!$B$2:$B$37,Phone_by_Sentiment!M$2:M$37,"",0,1)),_xlfn.XLOOKUP($C598,Phone_by_Sentiment!$B$2:$B$37,Phone_by_Sentiment!M$2:M$37,"",0,1),0),$A598-TEXT(DATEVALUE($D598&amp;"-01"), "dd-mm-yyyy")),0),0)</f>
        <v>736</v>
      </c>
      <c r="N598" cm="1">
        <f t="array" ref="N598">IF($Q598&gt;=0,IFERROR(generateSalesData($D598, IF(ISNUMBER(_xlfn.XLOOKUP($C598,Phone_by_Sentiment!$B$2:$B$37,Phone_by_Sentiment!N$2:N$37,"",0,1)),_xlfn.XLOOKUP($C598,Phone_by_Sentiment!$B$2:$B$37,Phone_by_Sentiment!N$2:N$37,"",0,1),0),$A598-TEXT(DATEVALUE($D598&amp;"-01"), "dd-mm-yyyy")),0),0)</f>
        <v>2138</v>
      </c>
      <c r="O598" cm="1">
        <f t="array" ref="O598">IF($Q598&gt;=0,IFERROR(generateSalesData($D598, IF(ISNUMBER(_xlfn.XLOOKUP($C598,Phone_by_Sentiment!$B$2:$B$37,Phone_by_Sentiment!O$2:O$37,"",0,1)),_xlfn.XLOOKUP($C598,Phone_by_Sentiment!$B$2:$B$37,Phone_by_Sentiment!O$2:O$37,"",0,1),0),$A598-TEXT(DATEVALUE($D598&amp;"-01"), "dd-mm-yyyy")),0),0)</f>
        <v>2016</v>
      </c>
      <c r="P598" s="1">
        <f t="shared" si="25"/>
        <v>43862</v>
      </c>
      <c r="Q598">
        <f t="shared" si="26"/>
        <v>121</v>
      </c>
    </row>
    <row r="599" spans="1:17" x14ac:dyDescent="0.25">
      <c r="A599" s="1">
        <f t="shared" si="27"/>
        <v>43983</v>
      </c>
      <c r="B599" t="s">
        <v>144</v>
      </c>
      <c r="C599" t="str">
        <f>_xlfn.XLOOKUP(B599,Phone_by_Price!$A$2:$A$34,Phone_by_Price!$B$2:$B$34,"-",0,1)</f>
        <v>Xiaomi Redmi Note 10</v>
      </c>
      <c r="D599" t="str">
        <f>_xlfn.XLOOKUP(C599,Phone_by_Sentiment!$B$2:$B$37,Phone_by_Sentiment!$A$2:$A$37,"-",0,1)</f>
        <v>2021-03</v>
      </c>
      <c r="E599" cm="1">
        <f t="array" ref="E599">IF($Q599&gt;=0,IFERROR(generateSalesData($D599, IF(ISNUMBER(_xlfn.XLOOKUP($C599,Phone_by_Sentiment!$B$2:$B$37,Phone_by_Sentiment!E$2:E$37,"",0,1)),_xlfn.XLOOKUP($C599,Phone_by_Sentiment!$B$2:$B$37,Phone_by_Sentiment!E$2:E$37,"",0,1),0),$A599-TEXT(DATEVALUE($D599&amp;"-01"), "dd-mm-yyyy")),0),0)</f>
        <v>0</v>
      </c>
      <c r="F599" cm="1">
        <f t="array" ref="F599">IF($Q599&gt;=0,IFERROR(generateSalesData($D599, IF(ISNUMBER(_xlfn.XLOOKUP($C599,Phone_by_Sentiment!$B$2:$B$37,Phone_by_Sentiment!F$2:F$37,"",0,1)),_xlfn.XLOOKUP($C599,Phone_by_Sentiment!$B$2:$B$37,Phone_by_Sentiment!F$2:F$37,"",0,1),0),$A599-TEXT(DATEVALUE($D599&amp;"-01"), "dd-mm-yyyy")),0),0)</f>
        <v>0</v>
      </c>
      <c r="G599" cm="1">
        <f t="array" ref="G599">IF($Q599&gt;=0,IFERROR(generateSalesData($D599, IF(ISNUMBER(_xlfn.XLOOKUP($C599,Phone_by_Sentiment!$B$2:$B$37,Phone_by_Sentiment!G$2:G$37,"",0,1)),_xlfn.XLOOKUP($C599,Phone_by_Sentiment!$B$2:$B$37,Phone_by_Sentiment!G$2:G$37,"",0,1),0),$A599-TEXT(DATEVALUE($D599&amp;"-01"), "dd-mm-yyyy")),0),0)</f>
        <v>0</v>
      </c>
      <c r="H599" cm="1">
        <f t="array" ref="H599">IF($Q599&gt;=0,IFERROR(generateSalesData($D599, IF(ISNUMBER(_xlfn.XLOOKUP($C599,Phone_by_Sentiment!$B$2:$B$37,Phone_by_Sentiment!H$2:H$37,"",0,1)),_xlfn.XLOOKUP($C599,Phone_by_Sentiment!$B$2:$B$37,Phone_by_Sentiment!H$2:H$37,"",0,1),0),$A599-TEXT(DATEVALUE($D599&amp;"-01"), "dd-mm-yyyy")),0),0)</f>
        <v>0</v>
      </c>
      <c r="I599" cm="1">
        <f t="array" ref="I599">IF($Q599&gt;=0,IFERROR(generateSalesData($D599, IF(ISNUMBER(_xlfn.XLOOKUP($C599,Phone_by_Sentiment!$B$2:$B$37,Phone_by_Sentiment!I$2:I$37,"",0,1)),_xlfn.XLOOKUP($C599,Phone_by_Sentiment!$B$2:$B$37,Phone_by_Sentiment!I$2:I$37,"",0,1),0),$A599-TEXT(DATEVALUE($D599&amp;"-01"), "dd-mm-yyyy")),0),0)</f>
        <v>0</v>
      </c>
      <c r="J599" cm="1">
        <f t="array" ref="J599">IF($Q599&gt;=0,IFERROR(generateSalesData($D599, IF(ISNUMBER(_xlfn.XLOOKUP($C599,Phone_by_Sentiment!$B$2:$B$37,Phone_by_Sentiment!J$2:J$37,"",0,1)),_xlfn.XLOOKUP($C599,Phone_by_Sentiment!$B$2:$B$37,Phone_by_Sentiment!J$2:J$37,"",0,1),0),$A599-TEXT(DATEVALUE($D599&amp;"-01"), "dd-mm-yyyy")),0),0)</f>
        <v>0</v>
      </c>
      <c r="K599" cm="1">
        <f t="array" ref="K599">IF($Q599&gt;=0,IFERROR(generateSalesData($D599, IF(ISNUMBER(_xlfn.XLOOKUP($C599,Phone_by_Sentiment!$B$2:$B$37,Phone_by_Sentiment!K$2:K$37,"",0,1)),_xlfn.XLOOKUP($C599,Phone_by_Sentiment!$B$2:$B$37,Phone_by_Sentiment!K$2:K$37,"",0,1),0),$A599-TEXT(DATEVALUE($D599&amp;"-01"), "dd-mm-yyyy")),0),0)</f>
        <v>0</v>
      </c>
      <c r="L599" cm="1">
        <f t="array" ref="L599">IF($Q599&gt;=0,IFERROR(generateSalesData($D599, IF(ISNUMBER(_xlfn.XLOOKUP($C599,Phone_by_Sentiment!$B$2:$B$37,Phone_by_Sentiment!L$2:L$37,"",0,1)),_xlfn.XLOOKUP($C599,Phone_by_Sentiment!$B$2:$B$37,Phone_by_Sentiment!L$2:L$37,"",0,1),0),$A599-TEXT(DATEVALUE($D599&amp;"-01"), "dd-mm-yyyy")),0),0)</f>
        <v>0</v>
      </c>
      <c r="M599" cm="1">
        <f t="array" ref="M599">IF($Q599&gt;=0,IFERROR(generateSalesData($D599, IF(ISNUMBER(_xlfn.XLOOKUP($C599,Phone_by_Sentiment!$B$2:$B$37,Phone_by_Sentiment!M$2:M$37,"",0,1)),_xlfn.XLOOKUP($C599,Phone_by_Sentiment!$B$2:$B$37,Phone_by_Sentiment!M$2:M$37,"",0,1),0),$A599-TEXT(DATEVALUE($D599&amp;"-01"), "dd-mm-yyyy")),0),0)</f>
        <v>0</v>
      </c>
      <c r="N599" cm="1">
        <f t="array" ref="N599">IF($Q599&gt;=0,IFERROR(generateSalesData($D599, IF(ISNUMBER(_xlfn.XLOOKUP($C599,Phone_by_Sentiment!$B$2:$B$37,Phone_by_Sentiment!N$2:N$37,"",0,1)),_xlfn.XLOOKUP($C599,Phone_by_Sentiment!$B$2:$B$37,Phone_by_Sentiment!N$2:N$37,"",0,1),0),$A599-TEXT(DATEVALUE($D599&amp;"-01"), "dd-mm-yyyy")),0),0)</f>
        <v>0</v>
      </c>
      <c r="O599" cm="1">
        <f t="array" ref="O599">IF($Q599&gt;=0,IFERROR(generateSalesData($D599, IF(ISNUMBER(_xlfn.XLOOKUP($C599,Phone_by_Sentiment!$B$2:$B$37,Phone_by_Sentiment!O$2:O$37,"",0,1)),_xlfn.XLOOKUP($C599,Phone_by_Sentiment!$B$2:$B$37,Phone_by_Sentiment!O$2:O$37,"",0,1),0),$A599-TEXT(DATEVALUE($D599&amp;"-01"), "dd-mm-yyyy")),0),0)</f>
        <v>0</v>
      </c>
      <c r="P599" s="1">
        <f t="shared" si="25"/>
        <v>44256</v>
      </c>
      <c r="Q599">
        <f t="shared" si="26"/>
        <v>-273</v>
      </c>
    </row>
    <row r="600" spans="1:17" x14ac:dyDescent="0.25">
      <c r="A600" s="1">
        <f t="shared" si="27"/>
        <v>43983</v>
      </c>
      <c r="B600" t="s">
        <v>145</v>
      </c>
      <c r="C600" t="str">
        <f>_xlfn.XLOOKUP(B600,Phone_by_Price!$A$2:$A$34,Phone_by_Price!$B$2:$B$34,"-",0,1)</f>
        <v>OPPO A54</v>
      </c>
      <c r="D600" t="str">
        <f>_xlfn.XLOOKUP(C600,Phone_by_Sentiment!$B$2:$B$37,Phone_by_Sentiment!$A$2:$A$37,"-",0,1)</f>
        <v>2021-04</v>
      </c>
      <c r="E600" cm="1">
        <f t="array" ref="E600">IF($Q600&gt;=0,IFERROR(generateSalesData($D600, IF(ISNUMBER(_xlfn.XLOOKUP($C600,Phone_by_Sentiment!$B$2:$B$37,Phone_by_Sentiment!E$2:E$37,"",0,1)),_xlfn.XLOOKUP($C600,Phone_by_Sentiment!$B$2:$B$37,Phone_by_Sentiment!E$2:E$37,"",0,1),0),$A600-TEXT(DATEVALUE($D600&amp;"-01"), "dd-mm-yyyy")),0),0)</f>
        <v>0</v>
      </c>
      <c r="F600" cm="1">
        <f t="array" ref="F600">IF($Q600&gt;=0,IFERROR(generateSalesData($D600, IF(ISNUMBER(_xlfn.XLOOKUP($C600,Phone_by_Sentiment!$B$2:$B$37,Phone_by_Sentiment!F$2:F$37,"",0,1)),_xlfn.XLOOKUP($C600,Phone_by_Sentiment!$B$2:$B$37,Phone_by_Sentiment!F$2:F$37,"",0,1),0),$A600-TEXT(DATEVALUE($D600&amp;"-01"), "dd-mm-yyyy")),0),0)</f>
        <v>0</v>
      </c>
      <c r="G600" cm="1">
        <f t="array" ref="G600">IF($Q600&gt;=0,IFERROR(generateSalesData($D600, IF(ISNUMBER(_xlfn.XLOOKUP($C600,Phone_by_Sentiment!$B$2:$B$37,Phone_by_Sentiment!G$2:G$37,"",0,1)),_xlfn.XLOOKUP($C600,Phone_by_Sentiment!$B$2:$B$37,Phone_by_Sentiment!G$2:G$37,"",0,1),0),$A600-TEXT(DATEVALUE($D600&amp;"-01"), "dd-mm-yyyy")),0),0)</f>
        <v>0</v>
      </c>
      <c r="H600" cm="1">
        <f t="array" ref="H600">IF($Q600&gt;=0,IFERROR(generateSalesData($D600, IF(ISNUMBER(_xlfn.XLOOKUP($C600,Phone_by_Sentiment!$B$2:$B$37,Phone_by_Sentiment!H$2:H$37,"",0,1)),_xlfn.XLOOKUP($C600,Phone_by_Sentiment!$B$2:$B$37,Phone_by_Sentiment!H$2:H$37,"",0,1),0),$A600-TEXT(DATEVALUE($D600&amp;"-01"), "dd-mm-yyyy")),0),0)</f>
        <v>0</v>
      </c>
      <c r="I600" cm="1">
        <f t="array" ref="I600">IF($Q600&gt;=0,IFERROR(generateSalesData($D600, IF(ISNUMBER(_xlfn.XLOOKUP($C600,Phone_by_Sentiment!$B$2:$B$37,Phone_by_Sentiment!I$2:I$37,"",0,1)),_xlfn.XLOOKUP($C600,Phone_by_Sentiment!$B$2:$B$37,Phone_by_Sentiment!I$2:I$37,"",0,1),0),$A600-TEXT(DATEVALUE($D600&amp;"-01"), "dd-mm-yyyy")),0),0)</f>
        <v>0</v>
      </c>
      <c r="J600" cm="1">
        <f t="array" ref="J600">IF($Q600&gt;=0,IFERROR(generateSalesData($D600, IF(ISNUMBER(_xlfn.XLOOKUP($C600,Phone_by_Sentiment!$B$2:$B$37,Phone_by_Sentiment!J$2:J$37,"",0,1)),_xlfn.XLOOKUP($C600,Phone_by_Sentiment!$B$2:$B$37,Phone_by_Sentiment!J$2:J$37,"",0,1),0),$A600-TEXT(DATEVALUE($D600&amp;"-01"), "dd-mm-yyyy")),0),0)</f>
        <v>0</v>
      </c>
      <c r="K600" cm="1">
        <f t="array" ref="K600">IF($Q600&gt;=0,IFERROR(generateSalesData($D600, IF(ISNUMBER(_xlfn.XLOOKUP($C600,Phone_by_Sentiment!$B$2:$B$37,Phone_by_Sentiment!K$2:K$37,"",0,1)),_xlfn.XLOOKUP($C600,Phone_by_Sentiment!$B$2:$B$37,Phone_by_Sentiment!K$2:K$37,"",0,1),0),$A600-TEXT(DATEVALUE($D600&amp;"-01"), "dd-mm-yyyy")),0),0)</f>
        <v>0</v>
      </c>
      <c r="L600" cm="1">
        <f t="array" ref="L600">IF($Q600&gt;=0,IFERROR(generateSalesData($D600, IF(ISNUMBER(_xlfn.XLOOKUP($C600,Phone_by_Sentiment!$B$2:$B$37,Phone_by_Sentiment!L$2:L$37,"",0,1)),_xlfn.XLOOKUP($C600,Phone_by_Sentiment!$B$2:$B$37,Phone_by_Sentiment!L$2:L$37,"",0,1),0),$A600-TEXT(DATEVALUE($D600&amp;"-01"), "dd-mm-yyyy")),0),0)</f>
        <v>0</v>
      </c>
      <c r="M600" cm="1">
        <f t="array" ref="M600">IF($Q600&gt;=0,IFERROR(generateSalesData($D600, IF(ISNUMBER(_xlfn.XLOOKUP($C600,Phone_by_Sentiment!$B$2:$B$37,Phone_by_Sentiment!M$2:M$37,"",0,1)),_xlfn.XLOOKUP($C600,Phone_by_Sentiment!$B$2:$B$37,Phone_by_Sentiment!M$2:M$37,"",0,1),0),$A600-TEXT(DATEVALUE($D600&amp;"-01"), "dd-mm-yyyy")),0),0)</f>
        <v>0</v>
      </c>
      <c r="N600" cm="1">
        <f t="array" ref="N600">IF($Q600&gt;=0,IFERROR(generateSalesData($D600, IF(ISNUMBER(_xlfn.XLOOKUP($C600,Phone_by_Sentiment!$B$2:$B$37,Phone_by_Sentiment!N$2:N$37,"",0,1)),_xlfn.XLOOKUP($C600,Phone_by_Sentiment!$B$2:$B$37,Phone_by_Sentiment!N$2:N$37,"",0,1),0),$A600-TEXT(DATEVALUE($D600&amp;"-01"), "dd-mm-yyyy")),0),0)</f>
        <v>0</v>
      </c>
      <c r="O600" cm="1">
        <f t="array" ref="O600">IF($Q600&gt;=0,IFERROR(generateSalesData($D600, IF(ISNUMBER(_xlfn.XLOOKUP($C600,Phone_by_Sentiment!$B$2:$B$37,Phone_by_Sentiment!O$2:O$37,"",0,1)),_xlfn.XLOOKUP($C600,Phone_by_Sentiment!$B$2:$B$37,Phone_by_Sentiment!O$2:O$37,"",0,1),0),$A600-TEXT(DATEVALUE($D600&amp;"-01"), "dd-mm-yyyy")),0),0)</f>
        <v>0</v>
      </c>
      <c r="P600" s="1">
        <f t="shared" si="25"/>
        <v>44287</v>
      </c>
      <c r="Q600">
        <f t="shared" si="26"/>
        <v>-304</v>
      </c>
    </row>
    <row r="601" spans="1:17" x14ac:dyDescent="0.25">
      <c r="A601" s="1">
        <f t="shared" si="27"/>
        <v>43983</v>
      </c>
      <c r="B601" t="s">
        <v>146</v>
      </c>
      <c r="C601" t="str">
        <f>_xlfn.XLOOKUP(B601,Phone_by_Price!$A$2:$A$34,Phone_by_Price!$B$2:$B$34,"-",0,1)</f>
        <v>Vivo Y20</v>
      </c>
      <c r="D601" t="str">
        <f>_xlfn.XLOOKUP(C601,Phone_by_Sentiment!$B$2:$B$37,Phone_by_Sentiment!$A$2:$A$37,"-",0,1)</f>
        <v>2020-09</v>
      </c>
      <c r="E601" cm="1">
        <f t="array" ref="E601">IF($Q601&gt;=0,IFERROR(generateSalesData($D601, IF(ISNUMBER(_xlfn.XLOOKUP($C601,Phone_by_Sentiment!$B$2:$B$37,Phone_by_Sentiment!E$2:E$37,"",0,1)),_xlfn.XLOOKUP($C601,Phone_by_Sentiment!$B$2:$B$37,Phone_by_Sentiment!E$2:E$37,"",0,1),0),$A601-TEXT(DATEVALUE($D601&amp;"-01"), "dd-mm-yyyy")),0),0)</f>
        <v>0</v>
      </c>
      <c r="F601" cm="1">
        <f t="array" ref="F601">IF($Q601&gt;=0,IFERROR(generateSalesData($D601, IF(ISNUMBER(_xlfn.XLOOKUP($C601,Phone_by_Sentiment!$B$2:$B$37,Phone_by_Sentiment!F$2:F$37,"",0,1)),_xlfn.XLOOKUP($C601,Phone_by_Sentiment!$B$2:$B$37,Phone_by_Sentiment!F$2:F$37,"",0,1),0),$A601-TEXT(DATEVALUE($D601&amp;"-01"), "dd-mm-yyyy")),0),0)</f>
        <v>0</v>
      </c>
      <c r="G601" cm="1">
        <f t="array" ref="G601">IF($Q601&gt;=0,IFERROR(generateSalesData($D601, IF(ISNUMBER(_xlfn.XLOOKUP($C601,Phone_by_Sentiment!$B$2:$B$37,Phone_by_Sentiment!G$2:G$37,"",0,1)),_xlfn.XLOOKUP($C601,Phone_by_Sentiment!$B$2:$B$37,Phone_by_Sentiment!G$2:G$37,"",0,1),0),$A601-TEXT(DATEVALUE($D601&amp;"-01"), "dd-mm-yyyy")),0),0)</f>
        <v>0</v>
      </c>
      <c r="H601" cm="1">
        <f t="array" ref="H601">IF($Q601&gt;=0,IFERROR(generateSalesData($D601, IF(ISNUMBER(_xlfn.XLOOKUP($C601,Phone_by_Sentiment!$B$2:$B$37,Phone_by_Sentiment!H$2:H$37,"",0,1)),_xlfn.XLOOKUP($C601,Phone_by_Sentiment!$B$2:$B$37,Phone_by_Sentiment!H$2:H$37,"",0,1),0),$A601-TEXT(DATEVALUE($D601&amp;"-01"), "dd-mm-yyyy")),0),0)</f>
        <v>0</v>
      </c>
      <c r="I601" cm="1">
        <f t="array" ref="I601">IF($Q601&gt;=0,IFERROR(generateSalesData($D601, IF(ISNUMBER(_xlfn.XLOOKUP($C601,Phone_by_Sentiment!$B$2:$B$37,Phone_by_Sentiment!I$2:I$37,"",0,1)),_xlfn.XLOOKUP($C601,Phone_by_Sentiment!$B$2:$B$37,Phone_by_Sentiment!I$2:I$37,"",0,1),0),$A601-TEXT(DATEVALUE($D601&amp;"-01"), "dd-mm-yyyy")),0),0)</f>
        <v>0</v>
      </c>
      <c r="J601" cm="1">
        <f t="array" ref="J601">IF($Q601&gt;=0,IFERROR(generateSalesData($D601, IF(ISNUMBER(_xlfn.XLOOKUP($C601,Phone_by_Sentiment!$B$2:$B$37,Phone_by_Sentiment!J$2:J$37,"",0,1)),_xlfn.XLOOKUP($C601,Phone_by_Sentiment!$B$2:$B$37,Phone_by_Sentiment!J$2:J$37,"",0,1),0),$A601-TEXT(DATEVALUE($D601&amp;"-01"), "dd-mm-yyyy")),0),0)</f>
        <v>0</v>
      </c>
      <c r="K601" cm="1">
        <f t="array" ref="K601">IF($Q601&gt;=0,IFERROR(generateSalesData($D601, IF(ISNUMBER(_xlfn.XLOOKUP($C601,Phone_by_Sentiment!$B$2:$B$37,Phone_by_Sentiment!K$2:K$37,"",0,1)),_xlfn.XLOOKUP($C601,Phone_by_Sentiment!$B$2:$B$37,Phone_by_Sentiment!K$2:K$37,"",0,1),0),$A601-TEXT(DATEVALUE($D601&amp;"-01"), "dd-mm-yyyy")),0),0)</f>
        <v>0</v>
      </c>
      <c r="L601" cm="1">
        <f t="array" ref="L601">IF($Q601&gt;=0,IFERROR(generateSalesData($D601, IF(ISNUMBER(_xlfn.XLOOKUP($C601,Phone_by_Sentiment!$B$2:$B$37,Phone_by_Sentiment!L$2:L$37,"",0,1)),_xlfn.XLOOKUP($C601,Phone_by_Sentiment!$B$2:$B$37,Phone_by_Sentiment!L$2:L$37,"",0,1),0),$A601-TEXT(DATEVALUE($D601&amp;"-01"), "dd-mm-yyyy")),0),0)</f>
        <v>0</v>
      </c>
      <c r="M601" cm="1">
        <f t="array" ref="M601">IF($Q601&gt;=0,IFERROR(generateSalesData($D601, IF(ISNUMBER(_xlfn.XLOOKUP($C601,Phone_by_Sentiment!$B$2:$B$37,Phone_by_Sentiment!M$2:M$37,"",0,1)),_xlfn.XLOOKUP($C601,Phone_by_Sentiment!$B$2:$B$37,Phone_by_Sentiment!M$2:M$37,"",0,1),0),$A601-TEXT(DATEVALUE($D601&amp;"-01"), "dd-mm-yyyy")),0),0)</f>
        <v>0</v>
      </c>
      <c r="N601" cm="1">
        <f t="array" ref="N601">IF($Q601&gt;=0,IFERROR(generateSalesData($D601, IF(ISNUMBER(_xlfn.XLOOKUP($C601,Phone_by_Sentiment!$B$2:$B$37,Phone_by_Sentiment!N$2:N$37,"",0,1)),_xlfn.XLOOKUP($C601,Phone_by_Sentiment!$B$2:$B$37,Phone_by_Sentiment!N$2:N$37,"",0,1),0),$A601-TEXT(DATEVALUE($D601&amp;"-01"), "dd-mm-yyyy")),0),0)</f>
        <v>0</v>
      </c>
      <c r="O601" cm="1">
        <f t="array" ref="O601">IF($Q601&gt;=0,IFERROR(generateSalesData($D601, IF(ISNUMBER(_xlfn.XLOOKUP($C601,Phone_by_Sentiment!$B$2:$B$37,Phone_by_Sentiment!O$2:O$37,"",0,1)),_xlfn.XLOOKUP($C601,Phone_by_Sentiment!$B$2:$B$37,Phone_by_Sentiment!O$2:O$37,"",0,1),0),$A601-TEXT(DATEVALUE($D601&amp;"-01"), "dd-mm-yyyy")),0),0)</f>
        <v>0</v>
      </c>
      <c r="P601" s="1">
        <f t="shared" si="25"/>
        <v>44075</v>
      </c>
      <c r="Q601">
        <f t="shared" si="26"/>
        <v>-92</v>
      </c>
    </row>
    <row r="602" spans="1:17" x14ac:dyDescent="0.25">
      <c r="A602" s="1">
        <f t="shared" si="27"/>
        <v>43983</v>
      </c>
      <c r="B602" t="s">
        <v>147</v>
      </c>
      <c r="C602" t="str">
        <f>_xlfn.XLOOKUP(B602,Phone_by_Price!$A$2:$A$34,Phone_by_Price!$B$2:$B$34,"-",0,1)</f>
        <v>Huawei Y9a</v>
      </c>
      <c r="D602" t="str">
        <f>_xlfn.XLOOKUP(C602,Phone_by_Sentiment!$B$2:$B$37,Phone_by_Sentiment!$A$2:$A$37,"-",0,1)</f>
        <v>2020-02</v>
      </c>
      <c r="E602" cm="1">
        <f t="array" ref="E602">IF($Q602&gt;=0,IFERROR(generateSalesData($D602, IF(ISNUMBER(_xlfn.XLOOKUP($C602,Phone_by_Sentiment!$B$2:$B$37,Phone_by_Sentiment!E$2:E$37,"",0,1)),_xlfn.XLOOKUP($C602,Phone_by_Sentiment!$B$2:$B$37,Phone_by_Sentiment!E$2:E$37,"",0,1),0),$A602-TEXT(DATEVALUE($D602&amp;"-01"), "dd-mm-yyyy")),0),0)</f>
        <v>532</v>
      </c>
      <c r="F602" cm="1">
        <f t="array" ref="F602">IF($Q602&gt;=0,IFERROR(generateSalesData($D602, IF(ISNUMBER(_xlfn.XLOOKUP($C602,Phone_by_Sentiment!$B$2:$B$37,Phone_by_Sentiment!F$2:F$37,"",0,1)),_xlfn.XLOOKUP($C602,Phone_by_Sentiment!$B$2:$B$37,Phone_by_Sentiment!F$2:F$37,"",0,1),0),$A602-TEXT(DATEVALUE($D602&amp;"-01"), "dd-mm-yyyy")),0),0)</f>
        <v>2195</v>
      </c>
      <c r="G602" cm="1">
        <f t="array" ref="G602">IF($Q602&gt;=0,IFERROR(generateSalesData($D602, IF(ISNUMBER(_xlfn.XLOOKUP($C602,Phone_by_Sentiment!$B$2:$B$37,Phone_by_Sentiment!G$2:G$37,"",0,1)),_xlfn.XLOOKUP($C602,Phone_by_Sentiment!$B$2:$B$37,Phone_by_Sentiment!G$2:G$37,"",0,1),0),$A602-TEXT(DATEVALUE($D602&amp;"-01"), "dd-mm-yyyy")),0),0)</f>
        <v>387</v>
      </c>
      <c r="H602" cm="1">
        <f t="array" ref="H602">IF($Q602&gt;=0,IFERROR(generateSalesData($D602, IF(ISNUMBER(_xlfn.XLOOKUP($C602,Phone_by_Sentiment!$B$2:$B$37,Phone_by_Sentiment!H$2:H$37,"",0,1)),_xlfn.XLOOKUP($C602,Phone_by_Sentiment!$B$2:$B$37,Phone_by_Sentiment!H$2:H$37,"",0,1),0),$A602-TEXT(DATEVALUE($D602&amp;"-01"), "dd-mm-yyyy")),0),0)</f>
        <v>496</v>
      </c>
      <c r="I602" cm="1">
        <f t="array" ref="I602">IF($Q602&gt;=0,IFERROR(generateSalesData($D602, IF(ISNUMBER(_xlfn.XLOOKUP($C602,Phone_by_Sentiment!$B$2:$B$37,Phone_by_Sentiment!I$2:I$37,"",0,1)),_xlfn.XLOOKUP($C602,Phone_by_Sentiment!$B$2:$B$37,Phone_by_Sentiment!I$2:I$37,"",0,1),0),$A602-TEXT(DATEVALUE($D602&amp;"-01"), "dd-mm-yyyy")),0),0)</f>
        <v>456</v>
      </c>
      <c r="J602" cm="1">
        <f t="array" ref="J602">IF($Q602&gt;=0,IFERROR(generateSalesData($D602, IF(ISNUMBER(_xlfn.XLOOKUP($C602,Phone_by_Sentiment!$B$2:$B$37,Phone_by_Sentiment!J$2:J$37,"",0,1)),_xlfn.XLOOKUP($C602,Phone_by_Sentiment!$B$2:$B$37,Phone_by_Sentiment!J$2:J$37,"",0,1),0),$A602-TEXT(DATEVALUE($D602&amp;"-01"), "dd-mm-yyyy")),0),0)</f>
        <v>-142</v>
      </c>
      <c r="K602" cm="1">
        <f t="array" ref="K602">IF($Q602&gt;=0,IFERROR(generateSalesData($D602, IF(ISNUMBER(_xlfn.XLOOKUP($C602,Phone_by_Sentiment!$B$2:$B$37,Phone_by_Sentiment!K$2:K$37,"",0,1)),_xlfn.XLOOKUP($C602,Phone_by_Sentiment!$B$2:$B$37,Phone_by_Sentiment!K$2:K$37,"",0,1),0),$A602-TEXT(DATEVALUE($D602&amp;"-01"), "dd-mm-yyyy")),0),0)</f>
        <v>823</v>
      </c>
      <c r="L602" cm="1">
        <f t="array" ref="L602">IF($Q602&gt;=0,IFERROR(generateSalesData($D602, IF(ISNUMBER(_xlfn.XLOOKUP($C602,Phone_by_Sentiment!$B$2:$B$37,Phone_by_Sentiment!L$2:L$37,"",0,1)),_xlfn.XLOOKUP($C602,Phone_by_Sentiment!$B$2:$B$37,Phone_by_Sentiment!L$2:L$37,"",0,1),0),$A602-TEXT(DATEVALUE($D602&amp;"-01"), "dd-mm-yyyy")),0),0)</f>
        <v>324</v>
      </c>
      <c r="M602" cm="1">
        <f t="array" ref="M602">IF($Q602&gt;=0,IFERROR(generateSalesData($D602, IF(ISNUMBER(_xlfn.XLOOKUP($C602,Phone_by_Sentiment!$B$2:$B$37,Phone_by_Sentiment!M$2:M$37,"",0,1)),_xlfn.XLOOKUP($C602,Phone_by_Sentiment!$B$2:$B$37,Phone_by_Sentiment!M$2:M$37,"",0,1),0),$A602-TEXT(DATEVALUE($D602&amp;"-01"), "dd-mm-yyyy")),0),0)</f>
        <v>532</v>
      </c>
      <c r="N602" cm="1">
        <f t="array" ref="N602">IF($Q602&gt;=0,IFERROR(generateSalesData($D602, IF(ISNUMBER(_xlfn.XLOOKUP($C602,Phone_by_Sentiment!$B$2:$B$37,Phone_by_Sentiment!N$2:N$37,"",0,1)),_xlfn.XLOOKUP($C602,Phone_by_Sentiment!$B$2:$B$37,Phone_by_Sentiment!N$2:N$37,"",0,1),0),$A602-TEXT(DATEVALUE($D602&amp;"-01"), "dd-mm-yyyy")),0),0)</f>
        <v>530</v>
      </c>
      <c r="O602" cm="1">
        <f t="array" ref="O602">IF($Q602&gt;=0,IFERROR(generateSalesData($D602, IF(ISNUMBER(_xlfn.XLOOKUP($C602,Phone_by_Sentiment!$B$2:$B$37,Phone_by_Sentiment!O$2:O$37,"",0,1)),_xlfn.XLOOKUP($C602,Phone_by_Sentiment!$B$2:$B$37,Phone_by_Sentiment!O$2:O$37,"",0,1),0),$A602-TEXT(DATEVALUE($D602&amp;"-01"), "dd-mm-yyyy")),0),0)</f>
        <v>176</v>
      </c>
      <c r="P602" s="1">
        <f t="shared" si="25"/>
        <v>43862</v>
      </c>
      <c r="Q602">
        <f t="shared" si="26"/>
        <v>121</v>
      </c>
    </row>
    <row r="603" spans="1:17" x14ac:dyDescent="0.25">
      <c r="A603" s="1">
        <f t="shared" si="27"/>
        <v>43983</v>
      </c>
      <c r="B603" t="s">
        <v>148</v>
      </c>
      <c r="C603" t="str">
        <f>_xlfn.XLOOKUP(B603,Phone_by_Price!$A$2:$A$34,Phone_by_Price!$B$2:$B$34,"-",0,1)</f>
        <v>Xiaomi Redmi 10</v>
      </c>
      <c r="D603" t="str">
        <f>_xlfn.XLOOKUP(C603,Phone_by_Sentiment!$B$2:$B$37,Phone_by_Sentiment!$A$2:$A$37,"-",0,1)</f>
        <v>2021-03</v>
      </c>
      <c r="E603" cm="1">
        <f t="array" ref="E603">IF($Q603&gt;=0,IFERROR(generateSalesData($D603, IF(ISNUMBER(_xlfn.XLOOKUP($C603,Phone_by_Sentiment!$B$2:$B$37,Phone_by_Sentiment!E$2:E$37,"",0,1)),_xlfn.XLOOKUP($C603,Phone_by_Sentiment!$B$2:$B$37,Phone_by_Sentiment!E$2:E$37,"",0,1),0),$A603-TEXT(DATEVALUE($D603&amp;"-01"), "dd-mm-yyyy")),0),0)</f>
        <v>0</v>
      </c>
      <c r="F603" cm="1">
        <f t="array" ref="F603">IF($Q603&gt;=0,IFERROR(generateSalesData($D603, IF(ISNUMBER(_xlfn.XLOOKUP($C603,Phone_by_Sentiment!$B$2:$B$37,Phone_by_Sentiment!F$2:F$37,"",0,1)),_xlfn.XLOOKUP($C603,Phone_by_Sentiment!$B$2:$B$37,Phone_by_Sentiment!F$2:F$37,"",0,1),0),$A603-TEXT(DATEVALUE($D603&amp;"-01"), "dd-mm-yyyy")),0),0)</f>
        <v>0</v>
      </c>
      <c r="G603" cm="1">
        <f t="array" ref="G603">IF($Q603&gt;=0,IFERROR(generateSalesData($D603, IF(ISNUMBER(_xlfn.XLOOKUP($C603,Phone_by_Sentiment!$B$2:$B$37,Phone_by_Sentiment!G$2:G$37,"",0,1)),_xlfn.XLOOKUP($C603,Phone_by_Sentiment!$B$2:$B$37,Phone_by_Sentiment!G$2:G$37,"",0,1),0),$A603-TEXT(DATEVALUE($D603&amp;"-01"), "dd-mm-yyyy")),0),0)</f>
        <v>0</v>
      </c>
      <c r="H603" cm="1">
        <f t="array" ref="H603">IF($Q603&gt;=0,IFERROR(generateSalesData($D603, IF(ISNUMBER(_xlfn.XLOOKUP($C603,Phone_by_Sentiment!$B$2:$B$37,Phone_by_Sentiment!H$2:H$37,"",0,1)),_xlfn.XLOOKUP($C603,Phone_by_Sentiment!$B$2:$B$37,Phone_by_Sentiment!H$2:H$37,"",0,1),0),$A603-TEXT(DATEVALUE($D603&amp;"-01"), "dd-mm-yyyy")),0),0)</f>
        <v>0</v>
      </c>
      <c r="I603" cm="1">
        <f t="array" ref="I603">IF($Q603&gt;=0,IFERROR(generateSalesData($D603, IF(ISNUMBER(_xlfn.XLOOKUP($C603,Phone_by_Sentiment!$B$2:$B$37,Phone_by_Sentiment!I$2:I$37,"",0,1)),_xlfn.XLOOKUP($C603,Phone_by_Sentiment!$B$2:$B$37,Phone_by_Sentiment!I$2:I$37,"",0,1),0),$A603-TEXT(DATEVALUE($D603&amp;"-01"), "dd-mm-yyyy")),0),0)</f>
        <v>0</v>
      </c>
      <c r="J603" cm="1">
        <f t="array" ref="J603">IF($Q603&gt;=0,IFERROR(generateSalesData($D603, IF(ISNUMBER(_xlfn.XLOOKUP($C603,Phone_by_Sentiment!$B$2:$B$37,Phone_by_Sentiment!J$2:J$37,"",0,1)),_xlfn.XLOOKUP($C603,Phone_by_Sentiment!$B$2:$B$37,Phone_by_Sentiment!J$2:J$37,"",0,1),0),$A603-TEXT(DATEVALUE($D603&amp;"-01"), "dd-mm-yyyy")),0),0)</f>
        <v>0</v>
      </c>
      <c r="K603" cm="1">
        <f t="array" ref="K603">IF($Q603&gt;=0,IFERROR(generateSalesData($D603, IF(ISNUMBER(_xlfn.XLOOKUP($C603,Phone_by_Sentiment!$B$2:$B$37,Phone_by_Sentiment!K$2:K$37,"",0,1)),_xlfn.XLOOKUP($C603,Phone_by_Sentiment!$B$2:$B$37,Phone_by_Sentiment!K$2:K$37,"",0,1),0),$A603-TEXT(DATEVALUE($D603&amp;"-01"), "dd-mm-yyyy")),0),0)</f>
        <v>0</v>
      </c>
      <c r="L603" cm="1">
        <f t="array" ref="L603">IF($Q603&gt;=0,IFERROR(generateSalesData($D603, IF(ISNUMBER(_xlfn.XLOOKUP($C603,Phone_by_Sentiment!$B$2:$B$37,Phone_by_Sentiment!L$2:L$37,"",0,1)),_xlfn.XLOOKUP($C603,Phone_by_Sentiment!$B$2:$B$37,Phone_by_Sentiment!L$2:L$37,"",0,1),0),$A603-TEXT(DATEVALUE($D603&amp;"-01"), "dd-mm-yyyy")),0),0)</f>
        <v>0</v>
      </c>
      <c r="M603" cm="1">
        <f t="array" ref="M603">IF($Q603&gt;=0,IFERROR(generateSalesData($D603, IF(ISNUMBER(_xlfn.XLOOKUP($C603,Phone_by_Sentiment!$B$2:$B$37,Phone_by_Sentiment!M$2:M$37,"",0,1)),_xlfn.XLOOKUP($C603,Phone_by_Sentiment!$B$2:$B$37,Phone_by_Sentiment!M$2:M$37,"",0,1),0),$A603-TEXT(DATEVALUE($D603&amp;"-01"), "dd-mm-yyyy")),0),0)</f>
        <v>0</v>
      </c>
      <c r="N603" cm="1">
        <f t="array" ref="N603">IF($Q603&gt;=0,IFERROR(generateSalesData($D603, IF(ISNUMBER(_xlfn.XLOOKUP($C603,Phone_by_Sentiment!$B$2:$B$37,Phone_by_Sentiment!N$2:N$37,"",0,1)),_xlfn.XLOOKUP($C603,Phone_by_Sentiment!$B$2:$B$37,Phone_by_Sentiment!N$2:N$37,"",0,1),0),$A603-TEXT(DATEVALUE($D603&amp;"-01"), "dd-mm-yyyy")),0),0)</f>
        <v>0</v>
      </c>
      <c r="O603" cm="1">
        <f t="array" ref="O603">IF($Q603&gt;=0,IFERROR(generateSalesData($D603, IF(ISNUMBER(_xlfn.XLOOKUP($C603,Phone_by_Sentiment!$B$2:$B$37,Phone_by_Sentiment!O$2:O$37,"",0,1)),_xlfn.XLOOKUP($C603,Phone_by_Sentiment!$B$2:$B$37,Phone_by_Sentiment!O$2:O$37,"",0,1),0),$A603-TEXT(DATEVALUE($D603&amp;"-01"), "dd-mm-yyyy")),0),0)</f>
        <v>0</v>
      </c>
      <c r="P603" s="1">
        <f t="shared" si="25"/>
        <v>44256</v>
      </c>
      <c r="Q603">
        <f t="shared" si="26"/>
        <v>-273</v>
      </c>
    </row>
    <row r="604" spans="1:17" x14ac:dyDescent="0.25">
      <c r="A604" s="1">
        <f t="shared" si="27"/>
        <v>43983</v>
      </c>
      <c r="B604" t="s">
        <v>149</v>
      </c>
      <c r="C604" t="str">
        <f>_xlfn.XLOOKUP(B604,Phone_by_Price!$A$2:$A$34,Phone_by_Price!$B$2:$B$34,"-",0,1)</f>
        <v>Samsung Galaxy A52</v>
      </c>
      <c r="D604" t="str">
        <f>_xlfn.XLOOKUP(C604,Phone_by_Sentiment!$B$2:$B$37,Phone_by_Sentiment!$A$2:$A$37,"-",0,1)</f>
        <v>2021-03</v>
      </c>
      <c r="E604" cm="1">
        <f t="array" ref="E604">IF($Q604&gt;=0,IFERROR(generateSalesData($D604, IF(ISNUMBER(_xlfn.XLOOKUP($C604,Phone_by_Sentiment!$B$2:$B$37,Phone_by_Sentiment!E$2:E$37,"",0,1)),_xlfn.XLOOKUP($C604,Phone_by_Sentiment!$B$2:$B$37,Phone_by_Sentiment!E$2:E$37,"",0,1),0),$A604-TEXT(DATEVALUE($D604&amp;"-01"), "dd-mm-yyyy")),0),0)</f>
        <v>0</v>
      </c>
      <c r="F604" cm="1">
        <f t="array" ref="F604">IF($Q604&gt;=0,IFERROR(generateSalesData($D604, IF(ISNUMBER(_xlfn.XLOOKUP($C604,Phone_by_Sentiment!$B$2:$B$37,Phone_by_Sentiment!F$2:F$37,"",0,1)),_xlfn.XLOOKUP($C604,Phone_by_Sentiment!$B$2:$B$37,Phone_by_Sentiment!F$2:F$37,"",0,1),0),$A604-TEXT(DATEVALUE($D604&amp;"-01"), "dd-mm-yyyy")),0),0)</f>
        <v>0</v>
      </c>
      <c r="G604" cm="1">
        <f t="array" ref="G604">IF($Q604&gt;=0,IFERROR(generateSalesData($D604, IF(ISNUMBER(_xlfn.XLOOKUP($C604,Phone_by_Sentiment!$B$2:$B$37,Phone_by_Sentiment!G$2:G$37,"",0,1)),_xlfn.XLOOKUP($C604,Phone_by_Sentiment!$B$2:$B$37,Phone_by_Sentiment!G$2:G$37,"",0,1),0),$A604-TEXT(DATEVALUE($D604&amp;"-01"), "dd-mm-yyyy")),0),0)</f>
        <v>0</v>
      </c>
      <c r="H604" cm="1">
        <f t="array" ref="H604">IF($Q604&gt;=0,IFERROR(generateSalesData($D604, IF(ISNUMBER(_xlfn.XLOOKUP($C604,Phone_by_Sentiment!$B$2:$B$37,Phone_by_Sentiment!H$2:H$37,"",0,1)),_xlfn.XLOOKUP($C604,Phone_by_Sentiment!$B$2:$B$37,Phone_by_Sentiment!H$2:H$37,"",0,1),0),$A604-TEXT(DATEVALUE($D604&amp;"-01"), "dd-mm-yyyy")),0),0)</f>
        <v>0</v>
      </c>
      <c r="I604" cm="1">
        <f t="array" ref="I604">IF($Q604&gt;=0,IFERROR(generateSalesData($D604, IF(ISNUMBER(_xlfn.XLOOKUP($C604,Phone_by_Sentiment!$B$2:$B$37,Phone_by_Sentiment!I$2:I$37,"",0,1)),_xlfn.XLOOKUP($C604,Phone_by_Sentiment!$B$2:$B$37,Phone_by_Sentiment!I$2:I$37,"",0,1),0),$A604-TEXT(DATEVALUE($D604&amp;"-01"), "dd-mm-yyyy")),0),0)</f>
        <v>0</v>
      </c>
      <c r="J604" cm="1">
        <f t="array" ref="J604">IF($Q604&gt;=0,IFERROR(generateSalesData($D604, IF(ISNUMBER(_xlfn.XLOOKUP($C604,Phone_by_Sentiment!$B$2:$B$37,Phone_by_Sentiment!J$2:J$37,"",0,1)),_xlfn.XLOOKUP($C604,Phone_by_Sentiment!$B$2:$B$37,Phone_by_Sentiment!J$2:J$37,"",0,1),0),$A604-TEXT(DATEVALUE($D604&amp;"-01"), "dd-mm-yyyy")),0),0)</f>
        <v>0</v>
      </c>
      <c r="K604" cm="1">
        <f t="array" ref="K604">IF($Q604&gt;=0,IFERROR(generateSalesData($D604, IF(ISNUMBER(_xlfn.XLOOKUP($C604,Phone_by_Sentiment!$B$2:$B$37,Phone_by_Sentiment!K$2:K$37,"",0,1)),_xlfn.XLOOKUP($C604,Phone_by_Sentiment!$B$2:$B$37,Phone_by_Sentiment!K$2:K$37,"",0,1),0),$A604-TEXT(DATEVALUE($D604&amp;"-01"), "dd-mm-yyyy")),0),0)</f>
        <v>0</v>
      </c>
      <c r="L604" cm="1">
        <f t="array" ref="L604">IF($Q604&gt;=0,IFERROR(generateSalesData($D604, IF(ISNUMBER(_xlfn.XLOOKUP($C604,Phone_by_Sentiment!$B$2:$B$37,Phone_by_Sentiment!L$2:L$37,"",0,1)),_xlfn.XLOOKUP($C604,Phone_by_Sentiment!$B$2:$B$37,Phone_by_Sentiment!L$2:L$37,"",0,1),0),$A604-TEXT(DATEVALUE($D604&amp;"-01"), "dd-mm-yyyy")),0),0)</f>
        <v>0</v>
      </c>
      <c r="M604" cm="1">
        <f t="array" ref="M604">IF($Q604&gt;=0,IFERROR(generateSalesData($D604, IF(ISNUMBER(_xlfn.XLOOKUP($C604,Phone_by_Sentiment!$B$2:$B$37,Phone_by_Sentiment!M$2:M$37,"",0,1)),_xlfn.XLOOKUP($C604,Phone_by_Sentiment!$B$2:$B$37,Phone_by_Sentiment!M$2:M$37,"",0,1),0),$A604-TEXT(DATEVALUE($D604&amp;"-01"), "dd-mm-yyyy")),0),0)</f>
        <v>0</v>
      </c>
      <c r="N604" cm="1">
        <f t="array" ref="N604">IF($Q604&gt;=0,IFERROR(generateSalesData($D604, IF(ISNUMBER(_xlfn.XLOOKUP($C604,Phone_by_Sentiment!$B$2:$B$37,Phone_by_Sentiment!N$2:N$37,"",0,1)),_xlfn.XLOOKUP($C604,Phone_by_Sentiment!$B$2:$B$37,Phone_by_Sentiment!N$2:N$37,"",0,1),0),$A604-TEXT(DATEVALUE($D604&amp;"-01"), "dd-mm-yyyy")),0),0)</f>
        <v>0</v>
      </c>
      <c r="O604" cm="1">
        <f t="array" ref="O604">IF($Q604&gt;=0,IFERROR(generateSalesData($D604, IF(ISNUMBER(_xlfn.XLOOKUP($C604,Phone_by_Sentiment!$B$2:$B$37,Phone_by_Sentiment!O$2:O$37,"",0,1)),_xlfn.XLOOKUP($C604,Phone_by_Sentiment!$B$2:$B$37,Phone_by_Sentiment!O$2:O$37,"",0,1),0),$A604-TEXT(DATEVALUE($D604&amp;"-01"), "dd-mm-yyyy")),0),0)</f>
        <v>0</v>
      </c>
      <c r="P604" s="1">
        <f t="shared" si="25"/>
        <v>44256</v>
      </c>
      <c r="Q604">
        <f t="shared" si="26"/>
        <v>-273</v>
      </c>
    </row>
    <row r="605" spans="1:17" x14ac:dyDescent="0.25">
      <c r="A605" s="1">
        <f t="shared" si="27"/>
        <v>43983</v>
      </c>
      <c r="B605" t="s">
        <v>150</v>
      </c>
      <c r="C605" t="str">
        <f>_xlfn.XLOOKUP(B605,Phone_by_Price!$A$2:$A$34,Phone_by_Price!$B$2:$B$34,"-",0,1)</f>
        <v>Vivo Y33s</v>
      </c>
      <c r="D605" t="str">
        <f>_xlfn.XLOOKUP(C605,Phone_by_Sentiment!$B$2:$B$37,Phone_by_Sentiment!$A$2:$A$37,"-",0,1)</f>
        <v>2021-05</v>
      </c>
      <c r="E605" cm="1">
        <f t="array" ref="E605">IF($Q605&gt;=0,IFERROR(generateSalesData($D605, IF(ISNUMBER(_xlfn.XLOOKUP($C605,Phone_by_Sentiment!$B$2:$B$37,Phone_by_Sentiment!E$2:E$37,"",0,1)),_xlfn.XLOOKUP($C605,Phone_by_Sentiment!$B$2:$B$37,Phone_by_Sentiment!E$2:E$37,"",0,1),0),$A605-TEXT(DATEVALUE($D605&amp;"-01"), "dd-mm-yyyy")),0),0)</f>
        <v>0</v>
      </c>
      <c r="F605" cm="1">
        <f t="array" ref="F605">IF($Q605&gt;=0,IFERROR(generateSalesData($D605, IF(ISNUMBER(_xlfn.XLOOKUP($C605,Phone_by_Sentiment!$B$2:$B$37,Phone_by_Sentiment!F$2:F$37,"",0,1)),_xlfn.XLOOKUP($C605,Phone_by_Sentiment!$B$2:$B$37,Phone_by_Sentiment!F$2:F$37,"",0,1),0),$A605-TEXT(DATEVALUE($D605&amp;"-01"), "dd-mm-yyyy")),0),0)</f>
        <v>0</v>
      </c>
      <c r="G605" cm="1">
        <f t="array" ref="G605">IF($Q605&gt;=0,IFERROR(generateSalesData($D605, IF(ISNUMBER(_xlfn.XLOOKUP($C605,Phone_by_Sentiment!$B$2:$B$37,Phone_by_Sentiment!G$2:G$37,"",0,1)),_xlfn.XLOOKUP($C605,Phone_by_Sentiment!$B$2:$B$37,Phone_by_Sentiment!G$2:G$37,"",0,1),0),$A605-TEXT(DATEVALUE($D605&amp;"-01"), "dd-mm-yyyy")),0),0)</f>
        <v>0</v>
      </c>
      <c r="H605" cm="1">
        <f t="array" ref="H605">IF($Q605&gt;=0,IFERROR(generateSalesData($D605, IF(ISNUMBER(_xlfn.XLOOKUP($C605,Phone_by_Sentiment!$B$2:$B$37,Phone_by_Sentiment!H$2:H$37,"",0,1)),_xlfn.XLOOKUP($C605,Phone_by_Sentiment!$B$2:$B$37,Phone_by_Sentiment!H$2:H$37,"",0,1),0),$A605-TEXT(DATEVALUE($D605&amp;"-01"), "dd-mm-yyyy")),0),0)</f>
        <v>0</v>
      </c>
      <c r="I605" cm="1">
        <f t="array" ref="I605">IF($Q605&gt;=0,IFERROR(generateSalesData($D605, IF(ISNUMBER(_xlfn.XLOOKUP($C605,Phone_by_Sentiment!$B$2:$B$37,Phone_by_Sentiment!I$2:I$37,"",0,1)),_xlfn.XLOOKUP($C605,Phone_by_Sentiment!$B$2:$B$37,Phone_by_Sentiment!I$2:I$37,"",0,1),0),$A605-TEXT(DATEVALUE($D605&amp;"-01"), "dd-mm-yyyy")),0),0)</f>
        <v>0</v>
      </c>
      <c r="J605" cm="1">
        <f t="array" ref="J605">IF($Q605&gt;=0,IFERROR(generateSalesData($D605, IF(ISNUMBER(_xlfn.XLOOKUP($C605,Phone_by_Sentiment!$B$2:$B$37,Phone_by_Sentiment!J$2:J$37,"",0,1)),_xlfn.XLOOKUP($C605,Phone_by_Sentiment!$B$2:$B$37,Phone_by_Sentiment!J$2:J$37,"",0,1),0),$A605-TEXT(DATEVALUE($D605&amp;"-01"), "dd-mm-yyyy")),0),0)</f>
        <v>0</v>
      </c>
      <c r="K605" cm="1">
        <f t="array" ref="K605">IF($Q605&gt;=0,IFERROR(generateSalesData($D605, IF(ISNUMBER(_xlfn.XLOOKUP($C605,Phone_by_Sentiment!$B$2:$B$37,Phone_by_Sentiment!K$2:K$37,"",0,1)),_xlfn.XLOOKUP($C605,Phone_by_Sentiment!$B$2:$B$37,Phone_by_Sentiment!K$2:K$37,"",0,1),0),$A605-TEXT(DATEVALUE($D605&amp;"-01"), "dd-mm-yyyy")),0),0)</f>
        <v>0</v>
      </c>
      <c r="L605" cm="1">
        <f t="array" ref="L605">IF($Q605&gt;=0,IFERROR(generateSalesData($D605, IF(ISNUMBER(_xlfn.XLOOKUP($C605,Phone_by_Sentiment!$B$2:$B$37,Phone_by_Sentiment!L$2:L$37,"",0,1)),_xlfn.XLOOKUP($C605,Phone_by_Sentiment!$B$2:$B$37,Phone_by_Sentiment!L$2:L$37,"",0,1),0),$A605-TEXT(DATEVALUE($D605&amp;"-01"), "dd-mm-yyyy")),0),0)</f>
        <v>0</v>
      </c>
      <c r="M605" cm="1">
        <f t="array" ref="M605">IF($Q605&gt;=0,IFERROR(generateSalesData($D605, IF(ISNUMBER(_xlfn.XLOOKUP($C605,Phone_by_Sentiment!$B$2:$B$37,Phone_by_Sentiment!M$2:M$37,"",0,1)),_xlfn.XLOOKUP($C605,Phone_by_Sentiment!$B$2:$B$37,Phone_by_Sentiment!M$2:M$37,"",0,1),0),$A605-TEXT(DATEVALUE($D605&amp;"-01"), "dd-mm-yyyy")),0),0)</f>
        <v>0</v>
      </c>
      <c r="N605" cm="1">
        <f t="array" ref="N605">IF($Q605&gt;=0,IFERROR(generateSalesData($D605, IF(ISNUMBER(_xlfn.XLOOKUP($C605,Phone_by_Sentiment!$B$2:$B$37,Phone_by_Sentiment!N$2:N$37,"",0,1)),_xlfn.XLOOKUP($C605,Phone_by_Sentiment!$B$2:$B$37,Phone_by_Sentiment!N$2:N$37,"",0,1),0),$A605-TEXT(DATEVALUE($D605&amp;"-01"), "dd-mm-yyyy")),0),0)</f>
        <v>0</v>
      </c>
      <c r="O605" cm="1">
        <f t="array" ref="O605">IF($Q605&gt;=0,IFERROR(generateSalesData($D605, IF(ISNUMBER(_xlfn.XLOOKUP($C605,Phone_by_Sentiment!$B$2:$B$37,Phone_by_Sentiment!O$2:O$37,"",0,1)),_xlfn.XLOOKUP($C605,Phone_by_Sentiment!$B$2:$B$37,Phone_by_Sentiment!O$2:O$37,"",0,1),0),$A605-TEXT(DATEVALUE($D605&amp;"-01"), "dd-mm-yyyy")),0),0)</f>
        <v>0</v>
      </c>
      <c r="P605" s="1">
        <f t="shared" si="25"/>
        <v>44317</v>
      </c>
      <c r="Q605">
        <f t="shared" si="26"/>
        <v>-334</v>
      </c>
    </row>
    <row r="606" spans="1:17" x14ac:dyDescent="0.25">
      <c r="A606" s="1">
        <f t="shared" si="27"/>
        <v>43983</v>
      </c>
      <c r="B606" t="s">
        <v>151</v>
      </c>
      <c r="C606" t="str">
        <f>_xlfn.XLOOKUP(B606,Phone_by_Price!$A$2:$A$34,Phone_by_Price!$B$2:$B$34,"-",0,1)</f>
        <v>Vivo Y11s</v>
      </c>
      <c r="D606" t="str">
        <f>_xlfn.XLOOKUP(C606,Phone_by_Sentiment!$B$2:$B$37,Phone_by_Sentiment!$A$2:$A$37,"-",0,1)</f>
        <v>2020-11</v>
      </c>
      <c r="E606" cm="1">
        <f t="array" ref="E606">IF($Q606&gt;=0,IFERROR(generateSalesData($D606, IF(ISNUMBER(_xlfn.XLOOKUP($C606,Phone_by_Sentiment!$B$2:$B$37,Phone_by_Sentiment!E$2:E$37,"",0,1)),_xlfn.XLOOKUP($C606,Phone_by_Sentiment!$B$2:$B$37,Phone_by_Sentiment!E$2:E$37,"",0,1),0),$A606-TEXT(DATEVALUE($D606&amp;"-01"), "dd-mm-yyyy")),0),0)</f>
        <v>0</v>
      </c>
      <c r="F606" cm="1">
        <f t="array" ref="F606">IF($Q606&gt;=0,IFERROR(generateSalesData($D606, IF(ISNUMBER(_xlfn.XLOOKUP($C606,Phone_by_Sentiment!$B$2:$B$37,Phone_by_Sentiment!F$2:F$37,"",0,1)),_xlfn.XLOOKUP($C606,Phone_by_Sentiment!$B$2:$B$37,Phone_by_Sentiment!F$2:F$37,"",0,1),0),$A606-TEXT(DATEVALUE($D606&amp;"-01"), "dd-mm-yyyy")),0),0)</f>
        <v>0</v>
      </c>
      <c r="G606" cm="1">
        <f t="array" ref="G606">IF($Q606&gt;=0,IFERROR(generateSalesData($D606, IF(ISNUMBER(_xlfn.XLOOKUP($C606,Phone_by_Sentiment!$B$2:$B$37,Phone_by_Sentiment!G$2:G$37,"",0,1)),_xlfn.XLOOKUP($C606,Phone_by_Sentiment!$B$2:$B$37,Phone_by_Sentiment!G$2:G$37,"",0,1),0),$A606-TEXT(DATEVALUE($D606&amp;"-01"), "dd-mm-yyyy")),0),0)</f>
        <v>0</v>
      </c>
      <c r="H606" cm="1">
        <f t="array" ref="H606">IF($Q606&gt;=0,IFERROR(generateSalesData($D606, IF(ISNUMBER(_xlfn.XLOOKUP($C606,Phone_by_Sentiment!$B$2:$B$37,Phone_by_Sentiment!H$2:H$37,"",0,1)),_xlfn.XLOOKUP($C606,Phone_by_Sentiment!$B$2:$B$37,Phone_by_Sentiment!H$2:H$37,"",0,1),0),$A606-TEXT(DATEVALUE($D606&amp;"-01"), "dd-mm-yyyy")),0),0)</f>
        <v>0</v>
      </c>
      <c r="I606" cm="1">
        <f t="array" ref="I606">IF($Q606&gt;=0,IFERROR(generateSalesData($D606, IF(ISNUMBER(_xlfn.XLOOKUP($C606,Phone_by_Sentiment!$B$2:$B$37,Phone_by_Sentiment!I$2:I$37,"",0,1)),_xlfn.XLOOKUP($C606,Phone_by_Sentiment!$B$2:$B$37,Phone_by_Sentiment!I$2:I$37,"",0,1),0),$A606-TEXT(DATEVALUE($D606&amp;"-01"), "dd-mm-yyyy")),0),0)</f>
        <v>0</v>
      </c>
      <c r="J606" cm="1">
        <f t="array" ref="J606">IF($Q606&gt;=0,IFERROR(generateSalesData($D606, IF(ISNUMBER(_xlfn.XLOOKUP($C606,Phone_by_Sentiment!$B$2:$B$37,Phone_by_Sentiment!J$2:J$37,"",0,1)),_xlfn.XLOOKUP($C606,Phone_by_Sentiment!$B$2:$B$37,Phone_by_Sentiment!J$2:J$37,"",0,1),0),$A606-TEXT(DATEVALUE($D606&amp;"-01"), "dd-mm-yyyy")),0),0)</f>
        <v>0</v>
      </c>
      <c r="K606" cm="1">
        <f t="array" ref="K606">IF($Q606&gt;=0,IFERROR(generateSalesData($D606, IF(ISNUMBER(_xlfn.XLOOKUP($C606,Phone_by_Sentiment!$B$2:$B$37,Phone_by_Sentiment!K$2:K$37,"",0,1)),_xlfn.XLOOKUP($C606,Phone_by_Sentiment!$B$2:$B$37,Phone_by_Sentiment!K$2:K$37,"",0,1),0),$A606-TEXT(DATEVALUE($D606&amp;"-01"), "dd-mm-yyyy")),0),0)</f>
        <v>0</v>
      </c>
      <c r="L606" cm="1">
        <f t="array" ref="L606">IF($Q606&gt;=0,IFERROR(generateSalesData($D606, IF(ISNUMBER(_xlfn.XLOOKUP($C606,Phone_by_Sentiment!$B$2:$B$37,Phone_by_Sentiment!L$2:L$37,"",0,1)),_xlfn.XLOOKUP($C606,Phone_by_Sentiment!$B$2:$B$37,Phone_by_Sentiment!L$2:L$37,"",0,1),0),$A606-TEXT(DATEVALUE($D606&amp;"-01"), "dd-mm-yyyy")),0),0)</f>
        <v>0</v>
      </c>
      <c r="M606" cm="1">
        <f t="array" ref="M606">IF($Q606&gt;=0,IFERROR(generateSalesData($D606, IF(ISNUMBER(_xlfn.XLOOKUP($C606,Phone_by_Sentiment!$B$2:$B$37,Phone_by_Sentiment!M$2:M$37,"",0,1)),_xlfn.XLOOKUP($C606,Phone_by_Sentiment!$B$2:$B$37,Phone_by_Sentiment!M$2:M$37,"",0,1),0),$A606-TEXT(DATEVALUE($D606&amp;"-01"), "dd-mm-yyyy")),0),0)</f>
        <v>0</v>
      </c>
      <c r="N606" cm="1">
        <f t="array" ref="N606">IF($Q606&gt;=0,IFERROR(generateSalesData($D606, IF(ISNUMBER(_xlfn.XLOOKUP($C606,Phone_by_Sentiment!$B$2:$B$37,Phone_by_Sentiment!N$2:N$37,"",0,1)),_xlfn.XLOOKUP($C606,Phone_by_Sentiment!$B$2:$B$37,Phone_by_Sentiment!N$2:N$37,"",0,1),0),$A606-TEXT(DATEVALUE($D606&amp;"-01"), "dd-mm-yyyy")),0),0)</f>
        <v>0</v>
      </c>
      <c r="O606" cm="1">
        <f t="array" ref="O606">IF($Q606&gt;=0,IFERROR(generateSalesData($D606, IF(ISNUMBER(_xlfn.XLOOKUP($C606,Phone_by_Sentiment!$B$2:$B$37,Phone_by_Sentiment!O$2:O$37,"",0,1)),_xlfn.XLOOKUP($C606,Phone_by_Sentiment!$B$2:$B$37,Phone_by_Sentiment!O$2:O$37,"",0,1),0),$A606-TEXT(DATEVALUE($D606&amp;"-01"), "dd-mm-yyyy")),0),0)</f>
        <v>0</v>
      </c>
      <c r="P606" s="1">
        <f t="shared" si="25"/>
        <v>44136</v>
      </c>
      <c r="Q606">
        <f t="shared" si="26"/>
        <v>-153</v>
      </c>
    </row>
    <row r="607" spans="1:17" x14ac:dyDescent="0.25">
      <c r="A607" s="1">
        <f t="shared" si="27"/>
        <v>43983</v>
      </c>
      <c r="B607" t="s">
        <v>152</v>
      </c>
      <c r="C607" t="str">
        <f>_xlfn.XLOOKUP(B607,Phone_by_Price!$A$2:$A$34,Phone_by_Price!$B$2:$B$34,"-",0,1)</f>
        <v>Huawei Nova 7i</v>
      </c>
      <c r="D607" t="str">
        <f>_xlfn.XLOOKUP(C607,Phone_by_Sentiment!$B$2:$B$37,Phone_by_Sentiment!$A$2:$A$37,"-",0,1)</f>
        <v>2020-02</v>
      </c>
      <c r="E607" cm="1">
        <f t="array" ref="E607">IF($Q607&gt;=0,IFERROR(generateSalesData($D607, IF(ISNUMBER(_xlfn.XLOOKUP($C607,Phone_by_Sentiment!$B$2:$B$37,Phone_by_Sentiment!E$2:E$37,"",0,1)),_xlfn.XLOOKUP($C607,Phone_by_Sentiment!$B$2:$B$37,Phone_by_Sentiment!E$2:E$37,"",0,1),0),$A607-TEXT(DATEVALUE($D607&amp;"-01"), "dd-mm-yyyy")),0),0)</f>
        <v>631</v>
      </c>
      <c r="F607" cm="1">
        <f t="array" ref="F607">IF($Q607&gt;=0,IFERROR(generateSalesData($D607, IF(ISNUMBER(_xlfn.XLOOKUP($C607,Phone_by_Sentiment!$B$2:$B$37,Phone_by_Sentiment!F$2:F$37,"",0,1)),_xlfn.XLOOKUP($C607,Phone_by_Sentiment!$B$2:$B$37,Phone_by_Sentiment!F$2:F$37,"",0,1),0),$A607-TEXT(DATEVALUE($D607&amp;"-01"), "dd-mm-yyyy")),0),0)</f>
        <v>423</v>
      </c>
      <c r="G607" cm="1">
        <f t="array" ref="G607">IF($Q607&gt;=0,IFERROR(generateSalesData($D607, IF(ISNUMBER(_xlfn.XLOOKUP($C607,Phone_by_Sentiment!$B$2:$B$37,Phone_by_Sentiment!G$2:G$37,"",0,1)),_xlfn.XLOOKUP($C607,Phone_by_Sentiment!$B$2:$B$37,Phone_by_Sentiment!G$2:G$37,"",0,1),0),$A607-TEXT(DATEVALUE($D607&amp;"-01"), "dd-mm-yyyy")),0),0)</f>
        <v>473</v>
      </c>
      <c r="H607" cm="1">
        <f t="array" ref="H607">IF($Q607&gt;=0,IFERROR(generateSalesData($D607, IF(ISNUMBER(_xlfn.XLOOKUP($C607,Phone_by_Sentiment!$B$2:$B$37,Phone_by_Sentiment!H$2:H$37,"",0,1)),_xlfn.XLOOKUP($C607,Phone_by_Sentiment!$B$2:$B$37,Phone_by_Sentiment!H$2:H$37,"",0,1),0),$A607-TEXT(DATEVALUE($D607&amp;"-01"), "dd-mm-yyyy")),0),0)</f>
        <v>851</v>
      </c>
      <c r="I607" cm="1">
        <f t="array" ref="I607">IF($Q607&gt;=0,IFERROR(generateSalesData($D607, IF(ISNUMBER(_xlfn.XLOOKUP($C607,Phone_by_Sentiment!$B$2:$B$37,Phone_by_Sentiment!I$2:I$37,"",0,1)),_xlfn.XLOOKUP($C607,Phone_by_Sentiment!$B$2:$B$37,Phone_by_Sentiment!I$2:I$37,"",0,1),0),$A607-TEXT(DATEVALUE($D607&amp;"-01"), "dd-mm-yyyy")),0),0)</f>
        <v>642</v>
      </c>
      <c r="J607" cm="1">
        <f t="array" ref="J607">IF($Q607&gt;=0,IFERROR(generateSalesData($D607, IF(ISNUMBER(_xlfn.XLOOKUP($C607,Phone_by_Sentiment!$B$2:$B$37,Phone_by_Sentiment!J$2:J$37,"",0,1)),_xlfn.XLOOKUP($C607,Phone_by_Sentiment!$B$2:$B$37,Phone_by_Sentiment!J$2:J$37,"",0,1),0),$A607-TEXT(DATEVALUE($D607&amp;"-01"), "dd-mm-yyyy")),0),0)</f>
        <v>372</v>
      </c>
      <c r="K607" cm="1">
        <f t="array" ref="K607">IF($Q607&gt;=0,IFERROR(generateSalesData($D607, IF(ISNUMBER(_xlfn.XLOOKUP($C607,Phone_by_Sentiment!$B$2:$B$37,Phone_by_Sentiment!K$2:K$37,"",0,1)),_xlfn.XLOOKUP($C607,Phone_by_Sentiment!$B$2:$B$37,Phone_by_Sentiment!K$2:K$37,"",0,1),0),$A607-TEXT(DATEVALUE($D607&amp;"-01"), "dd-mm-yyyy")),0),0)</f>
        <v>434</v>
      </c>
      <c r="L607" cm="1">
        <f t="array" ref="L607">IF($Q607&gt;=0,IFERROR(generateSalesData($D607, IF(ISNUMBER(_xlfn.XLOOKUP($C607,Phone_by_Sentiment!$B$2:$B$37,Phone_by_Sentiment!L$2:L$37,"",0,1)),_xlfn.XLOOKUP($C607,Phone_by_Sentiment!$B$2:$B$37,Phone_by_Sentiment!L$2:L$37,"",0,1),0),$A607-TEXT(DATEVALUE($D607&amp;"-01"), "dd-mm-yyyy")),0),0)</f>
        <v>344</v>
      </c>
      <c r="M607" cm="1">
        <f t="array" ref="M607">IF($Q607&gt;=0,IFERROR(generateSalesData($D607, IF(ISNUMBER(_xlfn.XLOOKUP($C607,Phone_by_Sentiment!$B$2:$B$37,Phone_by_Sentiment!M$2:M$37,"",0,1)),_xlfn.XLOOKUP($C607,Phone_by_Sentiment!$B$2:$B$37,Phone_by_Sentiment!M$2:M$37,"",0,1),0),$A607-TEXT(DATEVALUE($D607&amp;"-01"), "dd-mm-yyyy")),0),0)</f>
        <v>108</v>
      </c>
      <c r="N607" cm="1">
        <f t="array" ref="N607">IF($Q607&gt;=0,IFERROR(generateSalesData($D607, IF(ISNUMBER(_xlfn.XLOOKUP($C607,Phone_by_Sentiment!$B$2:$B$37,Phone_by_Sentiment!N$2:N$37,"",0,1)),_xlfn.XLOOKUP($C607,Phone_by_Sentiment!$B$2:$B$37,Phone_by_Sentiment!N$2:N$37,"",0,1),0),$A607-TEXT(DATEVALUE($D607&amp;"-01"), "dd-mm-yyyy")),0),0)</f>
        <v>223</v>
      </c>
      <c r="O607" cm="1">
        <f t="array" ref="O607">IF($Q607&gt;=0,IFERROR(generateSalesData($D607, IF(ISNUMBER(_xlfn.XLOOKUP($C607,Phone_by_Sentiment!$B$2:$B$37,Phone_by_Sentiment!O$2:O$37,"",0,1)),_xlfn.XLOOKUP($C607,Phone_by_Sentiment!$B$2:$B$37,Phone_by_Sentiment!O$2:O$37,"",0,1),0),$A607-TEXT(DATEVALUE($D607&amp;"-01"), "dd-mm-yyyy")),0),0)</f>
        <v>280</v>
      </c>
      <c r="P607" s="1">
        <f t="shared" si="25"/>
        <v>43862</v>
      </c>
      <c r="Q607">
        <f t="shared" si="26"/>
        <v>121</v>
      </c>
    </row>
    <row r="608" spans="1:17" x14ac:dyDescent="0.25">
      <c r="A608" s="1">
        <f t="shared" si="27"/>
        <v>43983</v>
      </c>
      <c r="B608" t="s">
        <v>153</v>
      </c>
      <c r="C608" t="str">
        <f>_xlfn.XLOOKUP(B608,Phone_by_Price!$A$2:$A$34,Phone_by_Price!$B$2:$B$34,"-",0,1)</f>
        <v>iPhone 13</v>
      </c>
      <c r="D608" t="str">
        <f>_xlfn.XLOOKUP(C608,Phone_by_Sentiment!$B$2:$B$37,Phone_by_Sentiment!$A$2:$A$37,"-",0,1)</f>
        <v>2021-09</v>
      </c>
      <c r="E608" cm="1">
        <f t="array" ref="E608">IF($Q608&gt;=0,IFERROR(generateSalesData($D608, IF(ISNUMBER(_xlfn.XLOOKUP($C608,Phone_by_Sentiment!$B$2:$B$37,Phone_by_Sentiment!E$2:E$37,"",0,1)),_xlfn.XLOOKUP($C608,Phone_by_Sentiment!$B$2:$B$37,Phone_by_Sentiment!E$2:E$37,"",0,1),0),$A608-TEXT(DATEVALUE($D608&amp;"-01"), "dd-mm-yyyy")),0),0)</f>
        <v>0</v>
      </c>
      <c r="F608" cm="1">
        <f t="array" ref="F608">IF($Q608&gt;=0,IFERROR(generateSalesData($D608, IF(ISNUMBER(_xlfn.XLOOKUP($C608,Phone_by_Sentiment!$B$2:$B$37,Phone_by_Sentiment!F$2:F$37,"",0,1)),_xlfn.XLOOKUP($C608,Phone_by_Sentiment!$B$2:$B$37,Phone_by_Sentiment!F$2:F$37,"",0,1),0),$A608-TEXT(DATEVALUE($D608&amp;"-01"), "dd-mm-yyyy")),0),0)</f>
        <v>0</v>
      </c>
      <c r="G608" cm="1">
        <f t="array" ref="G608">IF($Q608&gt;=0,IFERROR(generateSalesData($D608, IF(ISNUMBER(_xlfn.XLOOKUP($C608,Phone_by_Sentiment!$B$2:$B$37,Phone_by_Sentiment!G$2:G$37,"",0,1)),_xlfn.XLOOKUP($C608,Phone_by_Sentiment!$B$2:$B$37,Phone_by_Sentiment!G$2:G$37,"",0,1),0),$A608-TEXT(DATEVALUE($D608&amp;"-01"), "dd-mm-yyyy")),0),0)</f>
        <v>0</v>
      </c>
      <c r="H608" cm="1">
        <f t="array" ref="H608">IF($Q608&gt;=0,IFERROR(generateSalesData($D608, IF(ISNUMBER(_xlfn.XLOOKUP($C608,Phone_by_Sentiment!$B$2:$B$37,Phone_by_Sentiment!H$2:H$37,"",0,1)),_xlfn.XLOOKUP($C608,Phone_by_Sentiment!$B$2:$B$37,Phone_by_Sentiment!H$2:H$37,"",0,1),0),$A608-TEXT(DATEVALUE($D608&amp;"-01"), "dd-mm-yyyy")),0),0)</f>
        <v>0</v>
      </c>
      <c r="I608" cm="1">
        <f t="array" ref="I608">IF($Q608&gt;=0,IFERROR(generateSalesData($D608, IF(ISNUMBER(_xlfn.XLOOKUP($C608,Phone_by_Sentiment!$B$2:$B$37,Phone_by_Sentiment!I$2:I$37,"",0,1)),_xlfn.XLOOKUP($C608,Phone_by_Sentiment!$B$2:$B$37,Phone_by_Sentiment!I$2:I$37,"",0,1),0),$A608-TEXT(DATEVALUE($D608&amp;"-01"), "dd-mm-yyyy")),0),0)</f>
        <v>0</v>
      </c>
      <c r="J608" cm="1">
        <f t="array" ref="J608">IF($Q608&gt;=0,IFERROR(generateSalesData($D608, IF(ISNUMBER(_xlfn.XLOOKUP($C608,Phone_by_Sentiment!$B$2:$B$37,Phone_by_Sentiment!J$2:J$37,"",0,1)),_xlfn.XLOOKUP($C608,Phone_by_Sentiment!$B$2:$B$37,Phone_by_Sentiment!J$2:J$37,"",0,1),0),$A608-TEXT(DATEVALUE($D608&amp;"-01"), "dd-mm-yyyy")),0),0)</f>
        <v>0</v>
      </c>
      <c r="K608" cm="1">
        <f t="array" ref="K608">IF($Q608&gt;=0,IFERROR(generateSalesData($D608, IF(ISNUMBER(_xlfn.XLOOKUP($C608,Phone_by_Sentiment!$B$2:$B$37,Phone_by_Sentiment!K$2:K$37,"",0,1)),_xlfn.XLOOKUP($C608,Phone_by_Sentiment!$B$2:$B$37,Phone_by_Sentiment!K$2:K$37,"",0,1),0),$A608-TEXT(DATEVALUE($D608&amp;"-01"), "dd-mm-yyyy")),0),0)</f>
        <v>0</v>
      </c>
      <c r="L608" cm="1">
        <f t="array" ref="L608">IF($Q608&gt;=0,IFERROR(generateSalesData($D608, IF(ISNUMBER(_xlfn.XLOOKUP($C608,Phone_by_Sentiment!$B$2:$B$37,Phone_by_Sentiment!L$2:L$37,"",0,1)),_xlfn.XLOOKUP($C608,Phone_by_Sentiment!$B$2:$B$37,Phone_by_Sentiment!L$2:L$37,"",0,1),0),$A608-TEXT(DATEVALUE($D608&amp;"-01"), "dd-mm-yyyy")),0),0)</f>
        <v>0</v>
      </c>
      <c r="M608" cm="1">
        <f t="array" ref="M608">IF($Q608&gt;=0,IFERROR(generateSalesData($D608, IF(ISNUMBER(_xlfn.XLOOKUP($C608,Phone_by_Sentiment!$B$2:$B$37,Phone_by_Sentiment!M$2:M$37,"",0,1)),_xlfn.XLOOKUP($C608,Phone_by_Sentiment!$B$2:$B$37,Phone_by_Sentiment!M$2:M$37,"",0,1),0),$A608-TEXT(DATEVALUE($D608&amp;"-01"), "dd-mm-yyyy")),0),0)</f>
        <v>0</v>
      </c>
      <c r="N608" cm="1">
        <f t="array" ref="N608">IF($Q608&gt;=0,IFERROR(generateSalesData($D608, IF(ISNUMBER(_xlfn.XLOOKUP($C608,Phone_by_Sentiment!$B$2:$B$37,Phone_by_Sentiment!N$2:N$37,"",0,1)),_xlfn.XLOOKUP($C608,Phone_by_Sentiment!$B$2:$B$37,Phone_by_Sentiment!N$2:N$37,"",0,1),0),$A608-TEXT(DATEVALUE($D608&amp;"-01"), "dd-mm-yyyy")),0),0)</f>
        <v>0</v>
      </c>
      <c r="O608" cm="1">
        <f t="array" ref="O608">IF($Q608&gt;=0,IFERROR(generateSalesData($D608, IF(ISNUMBER(_xlfn.XLOOKUP($C608,Phone_by_Sentiment!$B$2:$B$37,Phone_by_Sentiment!O$2:O$37,"",0,1)),_xlfn.XLOOKUP($C608,Phone_by_Sentiment!$B$2:$B$37,Phone_by_Sentiment!O$2:O$37,"",0,1),0),$A608-TEXT(DATEVALUE($D608&amp;"-01"), "dd-mm-yyyy")),0),0)</f>
        <v>0</v>
      </c>
      <c r="P608" s="1">
        <f t="shared" si="25"/>
        <v>44440</v>
      </c>
      <c r="Q608">
        <f t="shared" si="26"/>
        <v>-457</v>
      </c>
    </row>
    <row r="609" spans="1:17" x14ac:dyDescent="0.25">
      <c r="A609" s="1">
        <f t="shared" si="27"/>
        <v>43983</v>
      </c>
      <c r="B609" t="s">
        <v>154</v>
      </c>
      <c r="C609" t="str">
        <f>_xlfn.XLOOKUP(B609,Phone_by_Price!$A$2:$A$34,Phone_by_Price!$B$2:$B$34,"-",0,1)</f>
        <v>Samsung Galaxy S21</v>
      </c>
      <c r="D609" t="str">
        <f>_xlfn.XLOOKUP(C609,Phone_by_Sentiment!$B$2:$B$37,Phone_by_Sentiment!$A$2:$A$37,"-",0,1)</f>
        <v>2021-01</v>
      </c>
      <c r="E609" cm="1">
        <f t="array" ref="E609">IF($Q609&gt;=0,IFERROR(generateSalesData($D609, IF(ISNUMBER(_xlfn.XLOOKUP($C609,Phone_by_Sentiment!$B$2:$B$37,Phone_by_Sentiment!E$2:E$37,"",0,1)),_xlfn.XLOOKUP($C609,Phone_by_Sentiment!$B$2:$B$37,Phone_by_Sentiment!E$2:E$37,"",0,1),0),$A609-TEXT(DATEVALUE($D609&amp;"-01"), "dd-mm-yyyy")),0),0)</f>
        <v>0</v>
      </c>
      <c r="F609" cm="1">
        <f t="array" ref="F609">IF($Q609&gt;=0,IFERROR(generateSalesData($D609, IF(ISNUMBER(_xlfn.XLOOKUP($C609,Phone_by_Sentiment!$B$2:$B$37,Phone_by_Sentiment!F$2:F$37,"",0,1)),_xlfn.XLOOKUP($C609,Phone_by_Sentiment!$B$2:$B$37,Phone_by_Sentiment!F$2:F$37,"",0,1),0),$A609-TEXT(DATEVALUE($D609&amp;"-01"), "dd-mm-yyyy")),0),0)</f>
        <v>0</v>
      </c>
      <c r="G609" cm="1">
        <f t="array" ref="G609">IF($Q609&gt;=0,IFERROR(generateSalesData($D609, IF(ISNUMBER(_xlfn.XLOOKUP($C609,Phone_by_Sentiment!$B$2:$B$37,Phone_by_Sentiment!G$2:G$37,"",0,1)),_xlfn.XLOOKUP($C609,Phone_by_Sentiment!$B$2:$B$37,Phone_by_Sentiment!G$2:G$37,"",0,1),0),$A609-TEXT(DATEVALUE($D609&amp;"-01"), "dd-mm-yyyy")),0),0)</f>
        <v>0</v>
      </c>
      <c r="H609" cm="1">
        <f t="array" ref="H609">IF($Q609&gt;=0,IFERROR(generateSalesData($D609, IF(ISNUMBER(_xlfn.XLOOKUP($C609,Phone_by_Sentiment!$B$2:$B$37,Phone_by_Sentiment!H$2:H$37,"",0,1)),_xlfn.XLOOKUP($C609,Phone_by_Sentiment!$B$2:$B$37,Phone_by_Sentiment!H$2:H$37,"",0,1),0),$A609-TEXT(DATEVALUE($D609&amp;"-01"), "dd-mm-yyyy")),0),0)</f>
        <v>0</v>
      </c>
      <c r="I609" cm="1">
        <f t="array" ref="I609">IF($Q609&gt;=0,IFERROR(generateSalesData($D609, IF(ISNUMBER(_xlfn.XLOOKUP($C609,Phone_by_Sentiment!$B$2:$B$37,Phone_by_Sentiment!I$2:I$37,"",0,1)),_xlfn.XLOOKUP($C609,Phone_by_Sentiment!$B$2:$B$37,Phone_by_Sentiment!I$2:I$37,"",0,1),0),$A609-TEXT(DATEVALUE($D609&amp;"-01"), "dd-mm-yyyy")),0),0)</f>
        <v>0</v>
      </c>
      <c r="J609" cm="1">
        <f t="array" ref="J609">IF($Q609&gt;=0,IFERROR(generateSalesData($D609, IF(ISNUMBER(_xlfn.XLOOKUP($C609,Phone_by_Sentiment!$B$2:$B$37,Phone_by_Sentiment!J$2:J$37,"",0,1)),_xlfn.XLOOKUP($C609,Phone_by_Sentiment!$B$2:$B$37,Phone_by_Sentiment!J$2:J$37,"",0,1),0),$A609-TEXT(DATEVALUE($D609&amp;"-01"), "dd-mm-yyyy")),0),0)</f>
        <v>0</v>
      </c>
      <c r="K609" cm="1">
        <f t="array" ref="K609">IF($Q609&gt;=0,IFERROR(generateSalesData($D609, IF(ISNUMBER(_xlfn.XLOOKUP($C609,Phone_by_Sentiment!$B$2:$B$37,Phone_by_Sentiment!K$2:K$37,"",0,1)),_xlfn.XLOOKUP($C609,Phone_by_Sentiment!$B$2:$B$37,Phone_by_Sentiment!K$2:K$37,"",0,1),0),$A609-TEXT(DATEVALUE($D609&amp;"-01"), "dd-mm-yyyy")),0),0)</f>
        <v>0</v>
      </c>
      <c r="L609" cm="1">
        <f t="array" ref="L609">IF($Q609&gt;=0,IFERROR(generateSalesData($D609, IF(ISNUMBER(_xlfn.XLOOKUP($C609,Phone_by_Sentiment!$B$2:$B$37,Phone_by_Sentiment!L$2:L$37,"",0,1)),_xlfn.XLOOKUP($C609,Phone_by_Sentiment!$B$2:$B$37,Phone_by_Sentiment!L$2:L$37,"",0,1),0),$A609-TEXT(DATEVALUE($D609&amp;"-01"), "dd-mm-yyyy")),0),0)</f>
        <v>0</v>
      </c>
      <c r="M609" cm="1">
        <f t="array" ref="M609">IF($Q609&gt;=0,IFERROR(generateSalesData($D609, IF(ISNUMBER(_xlfn.XLOOKUP($C609,Phone_by_Sentiment!$B$2:$B$37,Phone_by_Sentiment!M$2:M$37,"",0,1)),_xlfn.XLOOKUP($C609,Phone_by_Sentiment!$B$2:$B$37,Phone_by_Sentiment!M$2:M$37,"",0,1),0),$A609-TEXT(DATEVALUE($D609&amp;"-01"), "dd-mm-yyyy")),0),0)</f>
        <v>0</v>
      </c>
      <c r="N609" cm="1">
        <f t="array" ref="N609">IF($Q609&gt;=0,IFERROR(generateSalesData($D609, IF(ISNUMBER(_xlfn.XLOOKUP($C609,Phone_by_Sentiment!$B$2:$B$37,Phone_by_Sentiment!N$2:N$37,"",0,1)),_xlfn.XLOOKUP($C609,Phone_by_Sentiment!$B$2:$B$37,Phone_by_Sentiment!N$2:N$37,"",0,1),0),$A609-TEXT(DATEVALUE($D609&amp;"-01"), "dd-mm-yyyy")),0),0)</f>
        <v>0</v>
      </c>
      <c r="O609" cm="1">
        <f t="array" ref="O609">IF($Q609&gt;=0,IFERROR(generateSalesData($D609, IF(ISNUMBER(_xlfn.XLOOKUP($C609,Phone_by_Sentiment!$B$2:$B$37,Phone_by_Sentiment!O$2:O$37,"",0,1)),_xlfn.XLOOKUP($C609,Phone_by_Sentiment!$B$2:$B$37,Phone_by_Sentiment!O$2:O$37,"",0,1),0),$A609-TEXT(DATEVALUE($D609&amp;"-01"), "dd-mm-yyyy")),0),0)</f>
        <v>0</v>
      </c>
      <c r="P609" s="1">
        <f t="shared" si="25"/>
        <v>44197</v>
      </c>
      <c r="Q609">
        <f t="shared" si="26"/>
        <v>-214</v>
      </c>
    </row>
    <row r="610" spans="1:17" x14ac:dyDescent="0.25">
      <c r="A610" s="1">
        <f t="shared" si="27"/>
        <v>43983</v>
      </c>
      <c r="B610" t="s">
        <v>155</v>
      </c>
      <c r="C610" t="str">
        <f>_xlfn.XLOOKUP(B610,Phone_by_Price!$A$2:$A$34,Phone_by_Price!$B$2:$B$34,"-",0,1)</f>
        <v>Google Pixel 6</v>
      </c>
      <c r="D610" t="str">
        <f>_xlfn.XLOOKUP(C610,Phone_by_Sentiment!$B$2:$B$37,Phone_by_Sentiment!$A$2:$A$37,"-",0,1)</f>
        <v>2021-10</v>
      </c>
      <c r="E610" cm="1">
        <f t="array" ref="E610">IF($Q610&gt;=0,IFERROR(generateSalesData($D610, IF(ISNUMBER(_xlfn.XLOOKUP($C610,Phone_by_Sentiment!$B$2:$B$37,Phone_by_Sentiment!E$2:E$37,"",0,1)),_xlfn.XLOOKUP($C610,Phone_by_Sentiment!$B$2:$B$37,Phone_by_Sentiment!E$2:E$37,"",0,1),0),$A610-TEXT(DATEVALUE($D610&amp;"-01"), "dd-mm-yyyy")),0),0)</f>
        <v>0</v>
      </c>
      <c r="F610" cm="1">
        <f t="array" ref="F610">IF($Q610&gt;=0,IFERROR(generateSalesData($D610, IF(ISNUMBER(_xlfn.XLOOKUP($C610,Phone_by_Sentiment!$B$2:$B$37,Phone_by_Sentiment!F$2:F$37,"",0,1)),_xlfn.XLOOKUP($C610,Phone_by_Sentiment!$B$2:$B$37,Phone_by_Sentiment!F$2:F$37,"",0,1),0),$A610-TEXT(DATEVALUE($D610&amp;"-01"), "dd-mm-yyyy")),0),0)</f>
        <v>0</v>
      </c>
      <c r="G610" cm="1">
        <f t="array" ref="G610">IF($Q610&gt;=0,IFERROR(generateSalesData($D610, IF(ISNUMBER(_xlfn.XLOOKUP($C610,Phone_by_Sentiment!$B$2:$B$37,Phone_by_Sentiment!G$2:G$37,"",0,1)),_xlfn.XLOOKUP($C610,Phone_by_Sentiment!$B$2:$B$37,Phone_by_Sentiment!G$2:G$37,"",0,1),0),$A610-TEXT(DATEVALUE($D610&amp;"-01"), "dd-mm-yyyy")),0),0)</f>
        <v>0</v>
      </c>
      <c r="H610" cm="1">
        <f t="array" ref="H610">IF($Q610&gt;=0,IFERROR(generateSalesData($D610, IF(ISNUMBER(_xlfn.XLOOKUP($C610,Phone_by_Sentiment!$B$2:$B$37,Phone_by_Sentiment!H$2:H$37,"",0,1)),_xlfn.XLOOKUP($C610,Phone_by_Sentiment!$B$2:$B$37,Phone_by_Sentiment!H$2:H$37,"",0,1),0),$A610-TEXT(DATEVALUE($D610&amp;"-01"), "dd-mm-yyyy")),0),0)</f>
        <v>0</v>
      </c>
      <c r="I610" cm="1">
        <f t="array" ref="I610">IF($Q610&gt;=0,IFERROR(generateSalesData($D610, IF(ISNUMBER(_xlfn.XLOOKUP($C610,Phone_by_Sentiment!$B$2:$B$37,Phone_by_Sentiment!I$2:I$37,"",0,1)),_xlfn.XLOOKUP($C610,Phone_by_Sentiment!$B$2:$B$37,Phone_by_Sentiment!I$2:I$37,"",0,1),0),$A610-TEXT(DATEVALUE($D610&amp;"-01"), "dd-mm-yyyy")),0),0)</f>
        <v>0</v>
      </c>
      <c r="J610" cm="1">
        <f t="array" ref="J610">IF($Q610&gt;=0,IFERROR(generateSalesData($D610, IF(ISNUMBER(_xlfn.XLOOKUP($C610,Phone_by_Sentiment!$B$2:$B$37,Phone_by_Sentiment!J$2:J$37,"",0,1)),_xlfn.XLOOKUP($C610,Phone_by_Sentiment!$B$2:$B$37,Phone_by_Sentiment!J$2:J$37,"",0,1),0),$A610-TEXT(DATEVALUE($D610&amp;"-01"), "dd-mm-yyyy")),0),0)</f>
        <v>0</v>
      </c>
      <c r="K610" cm="1">
        <f t="array" ref="K610">IF($Q610&gt;=0,IFERROR(generateSalesData($D610, IF(ISNUMBER(_xlfn.XLOOKUP($C610,Phone_by_Sentiment!$B$2:$B$37,Phone_by_Sentiment!K$2:K$37,"",0,1)),_xlfn.XLOOKUP($C610,Phone_by_Sentiment!$B$2:$B$37,Phone_by_Sentiment!K$2:K$37,"",0,1),0),$A610-TEXT(DATEVALUE($D610&amp;"-01"), "dd-mm-yyyy")),0),0)</f>
        <v>0</v>
      </c>
      <c r="L610" cm="1">
        <f t="array" ref="L610">IF($Q610&gt;=0,IFERROR(generateSalesData($D610, IF(ISNUMBER(_xlfn.XLOOKUP($C610,Phone_by_Sentiment!$B$2:$B$37,Phone_by_Sentiment!L$2:L$37,"",0,1)),_xlfn.XLOOKUP($C610,Phone_by_Sentiment!$B$2:$B$37,Phone_by_Sentiment!L$2:L$37,"",0,1),0),$A610-TEXT(DATEVALUE($D610&amp;"-01"), "dd-mm-yyyy")),0),0)</f>
        <v>0</v>
      </c>
      <c r="M610" cm="1">
        <f t="array" ref="M610">IF($Q610&gt;=0,IFERROR(generateSalesData($D610, IF(ISNUMBER(_xlfn.XLOOKUP($C610,Phone_by_Sentiment!$B$2:$B$37,Phone_by_Sentiment!M$2:M$37,"",0,1)),_xlfn.XLOOKUP($C610,Phone_by_Sentiment!$B$2:$B$37,Phone_by_Sentiment!M$2:M$37,"",0,1),0),$A610-TEXT(DATEVALUE($D610&amp;"-01"), "dd-mm-yyyy")),0),0)</f>
        <v>0</v>
      </c>
      <c r="N610" cm="1">
        <f t="array" ref="N610">IF($Q610&gt;=0,IFERROR(generateSalesData($D610, IF(ISNUMBER(_xlfn.XLOOKUP($C610,Phone_by_Sentiment!$B$2:$B$37,Phone_by_Sentiment!N$2:N$37,"",0,1)),_xlfn.XLOOKUP($C610,Phone_by_Sentiment!$B$2:$B$37,Phone_by_Sentiment!N$2:N$37,"",0,1),0),$A610-TEXT(DATEVALUE($D610&amp;"-01"), "dd-mm-yyyy")),0),0)</f>
        <v>0</v>
      </c>
      <c r="O610" cm="1">
        <f t="array" ref="O610">IF($Q610&gt;=0,IFERROR(generateSalesData($D610, IF(ISNUMBER(_xlfn.XLOOKUP($C610,Phone_by_Sentiment!$B$2:$B$37,Phone_by_Sentiment!O$2:O$37,"",0,1)),_xlfn.XLOOKUP($C610,Phone_by_Sentiment!$B$2:$B$37,Phone_by_Sentiment!O$2:O$37,"",0,1),0),$A610-TEXT(DATEVALUE($D610&amp;"-01"), "dd-mm-yyyy")),0),0)</f>
        <v>0</v>
      </c>
      <c r="P610" s="1">
        <f t="shared" si="25"/>
        <v>44470</v>
      </c>
      <c r="Q610">
        <f t="shared" si="26"/>
        <v>-487</v>
      </c>
    </row>
    <row r="611" spans="1:17" x14ac:dyDescent="0.25">
      <c r="A611" s="1">
        <f t="shared" si="27"/>
        <v>43983</v>
      </c>
      <c r="B611" t="s">
        <v>156</v>
      </c>
      <c r="C611" t="str">
        <f>_xlfn.XLOOKUP(B611,Phone_by_Price!$A$2:$A$34,Phone_by_Price!$B$2:$B$34,"-",0,1)</f>
        <v>OnePlus Nord CE</v>
      </c>
      <c r="D611" t="str">
        <f>_xlfn.XLOOKUP(C611,Phone_by_Sentiment!$B$2:$B$37,Phone_by_Sentiment!$A$2:$A$37,"-",0,1)</f>
        <v>2021-06</v>
      </c>
      <c r="E611" cm="1">
        <f t="array" ref="E611">IF($Q611&gt;=0,IFERROR(generateSalesData($D611, IF(ISNUMBER(_xlfn.XLOOKUP($C611,Phone_by_Sentiment!$B$2:$B$37,Phone_by_Sentiment!E$2:E$37,"",0,1)),_xlfn.XLOOKUP($C611,Phone_by_Sentiment!$B$2:$B$37,Phone_by_Sentiment!E$2:E$37,"",0,1),0),$A611-TEXT(DATEVALUE($D611&amp;"-01"), "dd-mm-yyyy")),0),0)</f>
        <v>0</v>
      </c>
      <c r="F611" cm="1">
        <f t="array" ref="F611">IF($Q611&gt;=0,IFERROR(generateSalesData($D611, IF(ISNUMBER(_xlfn.XLOOKUP($C611,Phone_by_Sentiment!$B$2:$B$37,Phone_by_Sentiment!F$2:F$37,"",0,1)),_xlfn.XLOOKUP($C611,Phone_by_Sentiment!$B$2:$B$37,Phone_by_Sentiment!F$2:F$37,"",0,1),0),$A611-TEXT(DATEVALUE($D611&amp;"-01"), "dd-mm-yyyy")),0),0)</f>
        <v>0</v>
      </c>
      <c r="G611" cm="1">
        <f t="array" ref="G611">IF($Q611&gt;=0,IFERROR(generateSalesData($D611, IF(ISNUMBER(_xlfn.XLOOKUP($C611,Phone_by_Sentiment!$B$2:$B$37,Phone_by_Sentiment!G$2:G$37,"",0,1)),_xlfn.XLOOKUP($C611,Phone_by_Sentiment!$B$2:$B$37,Phone_by_Sentiment!G$2:G$37,"",0,1),0),$A611-TEXT(DATEVALUE($D611&amp;"-01"), "dd-mm-yyyy")),0),0)</f>
        <v>0</v>
      </c>
      <c r="H611" cm="1">
        <f t="array" ref="H611">IF($Q611&gt;=0,IFERROR(generateSalesData($D611, IF(ISNUMBER(_xlfn.XLOOKUP($C611,Phone_by_Sentiment!$B$2:$B$37,Phone_by_Sentiment!H$2:H$37,"",0,1)),_xlfn.XLOOKUP($C611,Phone_by_Sentiment!$B$2:$B$37,Phone_by_Sentiment!H$2:H$37,"",0,1),0),$A611-TEXT(DATEVALUE($D611&amp;"-01"), "dd-mm-yyyy")),0),0)</f>
        <v>0</v>
      </c>
      <c r="I611" cm="1">
        <f t="array" ref="I611">IF($Q611&gt;=0,IFERROR(generateSalesData($D611, IF(ISNUMBER(_xlfn.XLOOKUP($C611,Phone_by_Sentiment!$B$2:$B$37,Phone_by_Sentiment!I$2:I$37,"",0,1)),_xlfn.XLOOKUP($C611,Phone_by_Sentiment!$B$2:$B$37,Phone_by_Sentiment!I$2:I$37,"",0,1),0),$A611-TEXT(DATEVALUE($D611&amp;"-01"), "dd-mm-yyyy")),0),0)</f>
        <v>0</v>
      </c>
      <c r="J611" cm="1">
        <f t="array" ref="J611">IF($Q611&gt;=0,IFERROR(generateSalesData($D611, IF(ISNUMBER(_xlfn.XLOOKUP($C611,Phone_by_Sentiment!$B$2:$B$37,Phone_by_Sentiment!J$2:J$37,"",0,1)),_xlfn.XLOOKUP($C611,Phone_by_Sentiment!$B$2:$B$37,Phone_by_Sentiment!J$2:J$37,"",0,1),0),$A611-TEXT(DATEVALUE($D611&amp;"-01"), "dd-mm-yyyy")),0),0)</f>
        <v>0</v>
      </c>
      <c r="K611" cm="1">
        <f t="array" ref="K611">IF($Q611&gt;=0,IFERROR(generateSalesData($D611, IF(ISNUMBER(_xlfn.XLOOKUP($C611,Phone_by_Sentiment!$B$2:$B$37,Phone_by_Sentiment!K$2:K$37,"",0,1)),_xlfn.XLOOKUP($C611,Phone_by_Sentiment!$B$2:$B$37,Phone_by_Sentiment!K$2:K$37,"",0,1),0),$A611-TEXT(DATEVALUE($D611&amp;"-01"), "dd-mm-yyyy")),0),0)</f>
        <v>0</v>
      </c>
      <c r="L611" cm="1">
        <f t="array" ref="L611">IF($Q611&gt;=0,IFERROR(generateSalesData($D611, IF(ISNUMBER(_xlfn.XLOOKUP($C611,Phone_by_Sentiment!$B$2:$B$37,Phone_by_Sentiment!L$2:L$37,"",0,1)),_xlfn.XLOOKUP($C611,Phone_by_Sentiment!$B$2:$B$37,Phone_by_Sentiment!L$2:L$37,"",0,1),0),$A611-TEXT(DATEVALUE($D611&amp;"-01"), "dd-mm-yyyy")),0),0)</f>
        <v>0</v>
      </c>
      <c r="M611" cm="1">
        <f t="array" ref="M611">IF($Q611&gt;=0,IFERROR(generateSalesData($D611, IF(ISNUMBER(_xlfn.XLOOKUP($C611,Phone_by_Sentiment!$B$2:$B$37,Phone_by_Sentiment!M$2:M$37,"",0,1)),_xlfn.XLOOKUP($C611,Phone_by_Sentiment!$B$2:$B$37,Phone_by_Sentiment!M$2:M$37,"",0,1),0),$A611-TEXT(DATEVALUE($D611&amp;"-01"), "dd-mm-yyyy")),0),0)</f>
        <v>0</v>
      </c>
      <c r="N611" cm="1">
        <f t="array" ref="N611">IF($Q611&gt;=0,IFERROR(generateSalesData($D611, IF(ISNUMBER(_xlfn.XLOOKUP($C611,Phone_by_Sentiment!$B$2:$B$37,Phone_by_Sentiment!N$2:N$37,"",0,1)),_xlfn.XLOOKUP($C611,Phone_by_Sentiment!$B$2:$B$37,Phone_by_Sentiment!N$2:N$37,"",0,1),0),$A611-TEXT(DATEVALUE($D611&amp;"-01"), "dd-mm-yyyy")),0),0)</f>
        <v>0</v>
      </c>
      <c r="O611" cm="1">
        <f t="array" ref="O611">IF($Q611&gt;=0,IFERROR(generateSalesData($D611, IF(ISNUMBER(_xlfn.XLOOKUP($C611,Phone_by_Sentiment!$B$2:$B$37,Phone_by_Sentiment!O$2:O$37,"",0,1)),_xlfn.XLOOKUP($C611,Phone_by_Sentiment!$B$2:$B$37,Phone_by_Sentiment!O$2:O$37,"",0,1),0),$A611-TEXT(DATEVALUE($D611&amp;"-01"), "dd-mm-yyyy")),0),0)</f>
        <v>0</v>
      </c>
      <c r="P611" s="1">
        <f t="shared" si="25"/>
        <v>44348</v>
      </c>
      <c r="Q611">
        <f t="shared" si="26"/>
        <v>-365</v>
      </c>
    </row>
    <row r="612" spans="1:17" x14ac:dyDescent="0.25">
      <c r="A612" s="1">
        <f t="shared" si="27"/>
        <v>43983</v>
      </c>
      <c r="B612" t="s">
        <v>157</v>
      </c>
      <c r="C612" t="str">
        <f>_xlfn.XLOOKUP(B612,Phone_by_Price!$A$2:$A$34,Phone_by_Price!$B$2:$B$34,"-",0,1)</f>
        <v>Apple iPhone 13 Pro</v>
      </c>
      <c r="D612" t="str">
        <f>_xlfn.XLOOKUP(C612,Phone_by_Sentiment!$B$2:$B$37,Phone_by_Sentiment!$A$2:$A$37,"-",0,1)</f>
        <v>2021-09</v>
      </c>
      <c r="E612" cm="1">
        <f t="array" ref="E612">IF($Q612&gt;=0,IFERROR(generateSalesData($D612, IF(ISNUMBER(_xlfn.XLOOKUP($C612,Phone_by_Sentiment!$B$2:$B$37,Phone_by_Sentiment!E$2:E$37,"",0,1)),_xlfn.XLOOKUP($C612,Phone_by_Sentiment!$B$2:$B$37,Phone_by_Sentiment!E$2:E$37,"",0,1),0),$A612-TEXT(DATEVALUE($D612&amp;"-01"), "dd-mm-yyyy")),0),0)</f>
        <v>0</v>
      </c>
      <c r="F612" cm="1">
        <f t="array" ref="F612">IF($Q612&gt;=0,IFERROR(generateSalesData($D612, IF(ISNUMBER(_xlfn.XLOOKUP($C612,Phone_by_Sentiment!$B$2:$B$37,Phone_by_Sentiment!F$2:F$37,"",0,1)),_xlfn.XLOOKUP($C612,Phone_by_Sentiment!$B$2:$B$37,Phone_by_Sentiment!F$2:F$37,"",0,1),0),$A612-TEXT(DATEVALUE($D612&amp;"-01"), "dd-mm-yyyy")),0),0)</f>
        <v>0</v>
      </c>
      <c r="G612" cm="1">
        <f t="array" ref="G612">IF($Q612&gt;=0,IFERROR(generateSalesData($D612, IF(ISNUMBER(_xlfn.XLOOKUP($C612,Phone_by_Sentiment!$B$2:$B$37,Phone_by_Sentiment!G$2:G$37,"",0,1)),_xlfn.XLOOKUP($C612,Phone_by_Sentiment!$B$2:$B$37,Phone_by_Sentiment!G$2:G$37,"",0,1),0),$A612-TEXT(DATEVALUE($D612&amp;"-01"), "dd-mm-yyyy")),0),0)</f>
        <v>0</v>
      </c>
      <c r="H612" cm="1">
        <f t="array" ref="H612">IF($Q612&gt;=0,IFERROR(generateSalesData($D612, IF(ISNUMBER(_xlfn.XLOOKUP($C612,Phone_by_Sentiment!$B$2:$B$37,Phone_by_Sentiment!H$2:H$37,"",0,1)),_xlfn.XLOOKUP($C612,Phone_by_Sentiment!$B$2:$B$37,Phone_by_Sentiment!H$2:H$37,"",0,1),0),$A612-TEXT(DATEVALUE($D612&amp;"-01"), "dd-mm-yyyy")),0),0)</f>
        <v>0</v>
      </c>
      <c r="I612" cm="1">
        <f t="array" ref="I612">IF($Q612&gt;=0,IFERROR(generateSalesData($D612, IF(ISNUMBER(_xlfn.XLOOKUP($C612,Phone_by_Sentiment!$B$2:$B$37,Phone_by_Sentiment!I$2:I$37,"",0,1)),_xlfn.XLOOKUP($C612,Phone_by_Sentiment!$B$2:$B$37,Phone_by_Sentiment!I$2:I$37,"",0,1),0),$A612-TEXT(DATEVALUE($D612&amp;"-01"), "dd-mm-yyyy")),0),0)</f>
        <v>0</v>
      </c>
      <c r="J612" cm="1">
        <f t="array" ref="J612">IF($Q612&gt;=0,IFERROR(generateSalesData($D612, IF(ISNUMBER(_xlfn.XLOOKUP($C612,Phone_by_Sentiment!$B$2:$B$37,Phone_by_Sentiment!J$2:J$37,"",0,1)),_xlfn.XLOOKUP($C612,Phone_by_Sentiment!$B$2:$B$37,Phone_by_Sentiment!J$2:J$37,"",0,1),0),$A612-TEXT(DATEVALUE($D612&amp;"-01"), "dd-mm-yyyy")),0),0)</f>
        <v>0</v>
      </c>
      <c r="K612" cm="1">
        <f t="array" ref="K612">IF($Q612&gt;=0,IFERROR(generateSalesData($D612, IF(ISNUMBER(_xlfn.XLOOKUP($C612,Phone_by_Sentiment!$B$2:$B$37,Phone_by_Sentiment!K$2:K$37,"",0,1)),_xlfn.XLOOKUP($C612,Phone_by_Sentiment!$B$2:$B$37,Phone_by_Sentiment!K$2:K$37,"",0,1),0),$A612-TEXT(DATEVALUE($D612&amp;"-01"), "dd-mm-yyyy")),0),0)</f>
        <v>0</v>
      </c>
      <c r="L612" cm="1">
        <f t="array" ref="L612">IF($Q612&gt;=0,IFERROR(generateSalesData($D612, IF(ISNUMBER(_xlfn.XLOOKUP($C612,Phone_by_Sentiment!$B$2:$B$37,Phone_by_Sentiment!L$2:L$37,"",0,1)),_xlfn.XLOOKUP($C612,Phone_by_Sentiment!$B$2:$B$37,Phone_by_Sentiment!L$2:L$37,"",0,1),0),$A612-TEXT(DATEVALUE($D612&amp;"-01"), "dd-mm-yyyy")),0),0)</f>
        <v>0</v>
      </c>
      <c r="M612" cm="1">
        <f t="array" ref="M612">IF($Q612&gt;=0,IFERROR(generateSalesData($D612, IF(ISNUMBER(_xlfn.XLOOKUP($C612,Phone_by_Sentiment!$B$2:$B$37,Phone_by_Sentiment!M$2:M$37,"",0,1)),_xlfn.XLOOKUP($C612,Phone_by_Sentiment!$B$2:$B$37,Phone_by_Sentiment!M$2:M$37,"",0,1),0),$A612-TEXT(DATEVALUE($D612&amp;"-01"), "dd-mm-yyyy")),0),0)</f>
        <v>0</v>
      </c>
      <c r="N612" cm="1">
        <f t="array" ref="N612">IF($Q612&gt;=0,IFERROR(generateSalesData($D612, IF(ISNUMBER(_xlfn.XLOOKUP($C612,Phone_by_Sentiment!$B$2:$B$37,Phone_by_Sentiment!N$2:N$37,"",0,1)),_xlfn.XLOOKUP($C612,Phone_by_Sentiment!$B$2:$B$37,Phone_by_Sentiment!N$2:N$37,"",0,1),0),$A612-TEXT(DATEVALUE($D612&amp;"-01"), "dd-mm-yyyy")),0),0)</f>
        <v>0</v>
      </c>
      <c r="O612" cm="1">
        <f t="array" ref="O612">IF($Q612&gt;=0,IFERROR(generateSalesData($D612, IF(ISNUMBER(_xlfn.XLOOKUP($C612,Phone_by_Sentiment!$B$2:$B$37,Phone_by_Sentiment!O$2:O$37,"",0,1)),_xlfn.XLOOKUP($C612,Phone_by_Sentiment!$B$2:$B$37,Phone_by_Sentiment!O$2:O$37,"",0,1),0),$A612-TEXT(DATEVALUE($D612&amp;"-01"), "dd-mm-yyyy")),0),0)</f>
        <v>0</v>
      </c>
      <c r="P612" s="1">
        <f t="shared" si="25"/>
        <v>44440</v>
      </c>
      <c r="Q612">
        <f t="shared" si="26"/>
        <v>-457</v>
      </c>
    </row>
    <row r="613" spans="1:17" x14ac:dyDescent="0.25">
      <c r="A613" s="1">
        <f t="shared" si="27"/>
        <v>43983</v>
      </c>
      <c r="B613" t="s">
        <v>158</v>
      </c>
      <c r="C613" t="str">
        <f>_xlfn.XLOOKUP(B613,Phone_by_Price!$A$2:$A$34,Phone_by_Price!$B$2:$B$34,"-",0,1)</f>
        <v>Samsung Galaxy A32 5G</v>
      </c>
      <c r="D613" t="str">
        <f>_xlfn.XLOOKUP(C613,Phone_by_Sentiment!$B$2:$B$37,Phone_by_Sentiment!$A$2:$A$37,"-",0,1)</f>
        <v>2021-02</v>
      </c>
      <c r="E613" cm="1">
        <f t="array" ref="E613">IF($Q613&gt;=0,IFERROR(generateSalesData($D613, IF(ISNUMBER(_xlfn.XLOOKUP($C613,Phone_by_Sentiment!$B$2:$B$37,Phone_by_Sentiment!E$2:E$37,"",0,1)),_xlfn.XLOOKUP($C613,Phone_by_Sentiment!$B$2:$B$37,Phone_by_Sentiment!E$2:E$37,"",0,1),0),$A613-TEXT(DATEVALUE($D613&amp;"-01"), "dd-mm-yyyy")),0),0)</f>
        <v>0</v>
      </c>
      <c r="F613" cm="1">
        <f t="array" ref="F613">IF($Q613&gt;=0,IFERROR(generateSalesData($D613, IF(ISNUMBER(_xlfn.XLOOKUP($C613,Phone_by_Sentiment!$B$2:$B$37,Phone_by_Sentiment!F$2:F$37,"",0,1)),_xlfn.XLOOKUP($C613,Phone_by_Sentiment!$B$2:$B$37,Phone_by_Sentiment!F$2:F$37,"",0,1),0),$A613-TEXT(DATEVALUE($D613&amp;"-01"), "dd-mm-yyyy")),0),0)</f>
        <v>0</v>
      </c>
      <c r="G613" cm="1">
        <f t="array" ref="G613">IF($Q613&gt;=0,IFERROR(generateSalesData($D613, IF(ISNUMBER(_xlfn.XLOOKUP($C613,Phone_by_Sentiment!$B$2:$B$37,Phone_by_Sentiment!G$2:G$37,"",0,1)),_xlfn.XLOOKUP($C613,Phone_by_Sentiment!$B$2:$B$37,Phone_by_Sentiment!G$2:G$37,"",0,1),0),$A613-TEXT(DATEVALUE($D613&amp;"-01"), "dd-mm-yyyy")),0),0)</f>
        <v>0</v>
      </c>
      <c r="H613" cm="1">
        <f t="array" ref="H613">IF($Q613&gt;=0,IFERROR(generateSalesData($D613, IF(ISNUMBER(_xlfn.XLOOKUP($C613,Phone_by_Sentiment!$B$2:$B$37,Phone_by_Sentiment!H$2:H$37,"",0,1)),_xlfn.XLOOKUP($C613,Phone_by_Sentiment!$B$2:$B$37,Phone_by_Sentiment!H$2:H$37,"",0,1),0),$A613-TEXT(DATEVALUE($D613&amp;"-01"), "dd-mm-yyyy")),0),0)</f>
        <v>0</v>
      </c>
      <c r="I613" cm="1">
        <f t="array" ref="I613">IF($Q613&gt;=0,IFERROR(generateSalesData($D613, IF(ISNUMBER(_xlfn.XLOOKUP($C613,Phone_by_Sentiment!$B$2:$B$37,Phone_by_Sentiment!I$2:I$37,"",0,1)),_xlfn.XLOOKUP($C613,Phone_by_Sentiment!$B$2:$B$37,Phone_by_Sentiment!I$2:I$37,"",0,1),0),$A613-TEXT(DATEVALUE($D613&amp;"-01"), "dd-mm-yyyy")),0),0)</f>
        <v>0</v>
      </c>
      <c r="J613" cm="1">
        <f t="array" ref="J613">IF($Q613&gt;=0,IFERROR(generateSalesData($D613, IF(ISNUMBER(_xlfn.XLOOKUP($C613,Phone_by_Sentiment!$B$2:$B$37,Phone_by_Sentiment!J$2:J$37,"",0,1)),_xlfn.XLOOKUP($C613,Phone_by_Sentiment!$B$2:$B$37,Phone_by_Sentiment!J$2:J$37,"",0,1),0),$A613-TEXT(DATEVALUE($D613&amp;"-01"), "dd-mm-yyyy")),0),0)</f>
        <v>0</v>
      </c>
      <c r="K613" cm="1">
        <f t="array" ref="K613">IF($Q613&gt;=0,IFERROR(generateSalesData($D613, IF(ISNUMBER(_xlfn.XLOOKUP($C613,Phone_by_Sentiment!$B$2:$B$37,Phone_by_Sentiment!K$2:K$37,"",0,1)),_xlfn.XLOOKUP($C613,Phone_by_Sentiment!$B$2:$B$37,Phone_by_Sentiment!K$2:K$37,"",0,1),0),$A613-TEXT(DATEVALUE($D613&amp;"-01"), "dd-mm-yyyy")),0),0)</f>
        <v>0</v>
      </c>
      <c r="L613" cm="1">
        <f t="array" ref="L613">IF($Q613&gt;=0,IFERROR(generateSalesData($D613, IF(ISNUMBER(_xlfn.XLOOKUP($C613,Phone_by_Sentiment!$B$2:$B$37,Phone_by_Sentiment!L$2:L$37,"",0,1)),_xlfn.XLOOKUP($C613,Phone_by_Sentiment!$B$2:$B$37,Phone_by_Sentiment!L$2:L$37,"",0,1),0),$A613-TEXT(DATEVALUE($D613&amp;"-01"), "dd-mm-yyyy")),0),0)</f>
        <v>0</v>
      </c>
      <c r="M613" cm="1">
        <f t="array" ref="M613">IF($Q613&gt;=0,IFERROR(generateSalesData($D613, IF(ISNUMBER(_xlfn.XLOOKUP($C613,Phone_by_Sentiment!$B$2:$B$37,Phone_by_Sentiment!M$2:M$37,"",0,1)),_xlfn.XLOOKUP($C613,Phone_by_Sentiment!$B$2:$B$37,Phone_by_Sentiment!M$2:M$37,"",0,1),0),$A613-TEXT(DATEVALUE($D613&amp;"-01"), "dd-mm-yyyy")),0),0)</f>
        <v>0</v>
      </c>
      <c r="N613" cm="1">
        <f t="array" ref="N613">IF($Q613&gt;=0,IFERROR(generateSalesData($D613, IF(ISNUMBER(_xlfn.XLOOKUP($C613,Phone_by_Sentiment!$B$2:$B$37,Phone_by_Sentiment!N$2:N$37,"",0,1)),_xlfn.XLOOKUP($C613,Phone_by_Sentiment!$B$2:$B$37,Phone_by_Sentiment!N$2:N$37,"",0,1),0),$A613-TEXT(DATEVALUE($D613&amp;"-01"), "dd-mm-yyyy")),0),0)</f>
        <v>0</v>
      </c>
      <c r="O613" cm="1">
        <f t="array" ref="O613">IF($Q613&gt;=0,IFERROR(generateSalesData($D613, IF(ISNUMBER(_xlfn.XLOOKUP($C613,Phone_by_Sentiment!$B$2:$B$37,Phone_by_Sentiment!O$2:O$37,"",0,1)),_xlfn.XLOOKUP($C613,Phone_by_Sentiment!$B$2:$B$37,Phone_by_Sentiment!O$2:O$37,"",0,1),0),$A613-TEXT(DATEVALUE($D613&amp;"-01"), "dd-mm-yyyy")),0),0)</f>
        <v>0</v>
      </c>
      <c r="P613" s="1">
        <f t="shared" si="25"/>
        <v>44228</v>
      </c>
      <c r="Q613">
        <f t="shared" si="26"/>
        <v>-245</v>
      </c>
    </row>
    <row r="614" spans="1:17" x14ac:dyDescent="0.25">
      <c r="A614" s="1">
        <f t="shared" si="27"/>
        <v>43983</v>
      </c>
      <c r="B614" t="s">
        <v>159</v>
      </c>
      <c r="C614" t="str">
        <f>_xlfn.XLOOKUP(B614,Phone_by_Price!$A$2:$A$34,Phone_by_Price!$B$2:$B$34,"-",0,1)</f>
        <v>Realme C25</v>
      </c>
      <c r="D614" t="str">
        <f>_xlfn.XLOOKUP(C614,Phone_by_Sentiment!$B$2:$B$37,Phone_by_Sentiment!$A$2:$A$37,"-",0,1)</f>
        <v>2021-03</v>
      </c>
      <c r="E614" cm="1">
        <f t="array" ref="E614">IF($Q614&gt;=0,IFERROR(generateSalesData($D614, IF(ISNUMBER(_xlfn.XLOOKUP($C614,Phone_by_Sentiment!$B$2:$B$37,Phone_by_Sentiment!E$2:E$37,"",0,1)),_xlfn.XLOOKUP($C614,Phone_by_Sentiment!$B$2:$B$37,Phone_by_Sentiment!E$2:E$37,"",0,1),0),$A614-TEXT(DATEVALUE($D614&amp;"-01"), "dd-mm-yyyy")),0),0)</f>
        <v>0</v>
      </c>
      <c r="F614" cm="1">
        <f t="array" ref="F614">IF($Q614&gt;=0,IFERROR(generateSalesData($D614, IF(ISNUMBER(_xlfn.XLOOKUP($C614,Phone_by_Sentiment!$B$2:$B$37,Phone_by_Sentiment!F$2:F$37,"",0,1)),_xlfn.XLOOKUP($C614,Phone_by_Sentiment!$B$2:$B$37,Phone_by_Sentiment!F$2:F$37,"",0,1),0),$A614-TEXT(DATEVALUE($D614&amp;"-01"), "dd-mm-yyyy")),0),0)</f>
        <v>0</v>
      </c>
      <c r="G614" cm="1">
        <f t="array" ref="G614">IF($Q614&gt;=0,IFERROR(generateSalesData($D614, IF(ISNUMBER(_xlfn.XLOOKUP($C614,Phone_by_Sentiment!$B$2:$B$37,Phone_by_Sentiment!G$2:G$37,"",0,1)),_xlfn.XLOOKUP($C614,Phone_by_Sentiment!$B$2:$B$37,Phone_by_Sentiment!G$2:G$37,"",0,1),0),$A614-TEXT(DATEVALUE($D614&amp;"-01"), "dd-mm-yyyy")),0),0)</f>
        <v>0</v>
      </c>
      <c r="H614" cm="1">
        <f t="array" ref="H614">IF($Q614&gt;=0,IFERROR(generateSalesData($D614, IF(ISNUMBER(_xlfn.XLOOKUP($C614,Phone_by_Sentiment!$B$2:$B$37,Phone_by_Sentiment!H$2:H$37,"",0,1)),_xlfn.XLOOKUP($C614,Phone_by_Sentiment!$B$2:$B$37,Phone_by_Sentiment!H$2:H$37,"",0,1),0),$A614-TEXT(DATEVALUE($D614&amp;"-01"), "dd-mm-yyyy")),0),0)</f>
        <v>0</v>
      </c>
      <c r="I614" cm="1">
        <f t="array" ref="I614">IF($Q614&gt;=0,IFERROR(generateSalesData($D614, IF(ISNUMBER(_xlfn.XLOOKUP($C614,Phone_by_Sentiment!$B$2:$B$37,Phone_by_Sentiment!I$2:I$37,"",0,1)),_xlfn.XLOOKUP($C614,Phone_by_Sentiment!$B$2:$B$37,Phone_by_Sentiment!I$2:I$37,"",0,1),0),$A614-TEXT(DATEVALUE($D614&amp;"-01"), "dd-mm-yyyy")),0),0)</f>
        <v>0</v>
      </c>
      <c r="J614" cm="1">
        <f t="array" ref="J614">IF($Q614&gt;=0,IFERROR(generateSalesData($D614, IF(ISNUMBER(_xlfn.XLOOKUP($C614,Phone_by_Sentiment!$B$2:$B$37,Phone_by_Sentiment!J$2:J$37,"",0,1)),_xlfn.XLOOKUP($C614,Phone_by_Sentiment!$B$2:$B$37,Phone_by_Sentiment!J$2:J$37,"",0,1),0),$A614-TEXT(DATEVALUE($D614&amp;"-01"), "dd-mm-yyyy")),0),0)</f>
        <v>0</v>
      </c>
      <c r="K614" cm="1">
        <f t="array" ref="K614">IF($Q614&gt;=0,IFERROR(generateSalesData($D614, IF(ISNUMBER(_xlfn.XLOOKUP($C614,Phone_by_Sentiment!$B$2:$B$37,Phone_by_Sentiment!K$2:K$37,"",0,1)),_xlfn.XLOOKUP($C614,Phone_by_Sentiment!$B$2:$B$37,Phone_by_Sentiment!K$2:K$37,"",0,1),0),$A614-TEXT(DATEVALUE($D614&amp;"-01"), "dd-mm-yyyy")),0),0)</f>
        <v>0</v>
      </c>
      <c r="L614" cm="1">
        <f t="array" ref="L614">IF($Q614&gt;=0,IFERROR(generateSalesData($D614, IF(ISNUMBER(_xlfn.XLOOKUP($C614,Phone_by_Sentiment!$B$2:$B$37,Phone_by_Sentiment!L$2:L$37,"",0,1)),_xlfn.XLOOKUP($C614,Phone_by_Sentiment!$B$2:$B$37,Phone_by_Sentiment!L$2:L$37,"",0,1),0),$A614-TEXT(DATEVALUE($D614&amp;"-01"), "dd-mm-yyyy")),0),0)</f>
        <v>0</v>
      </c>
      <c r="M614" cm="1">
        <f t="array" ref="M614">IF($Q614&gt;=0,IFERROR(generateSalesData($D614, IF(ISNUMBER(_xlfn.XLOOKUP($C614,Phone_by_Sentiment!$B$2:$B$37,Phone_by_Sentiment!M$2:M$37,"",0,1)),_xlfn.XLOOKUP($C614,Phone_by_Sentiment!$B$2:$B$37,Phone_by_Sentiment!M$2:M$37,"",0,1),0),$A614-TEXT(DATEVALUE($D614&amp;"-01"), "dd-mm-yyyy")),0),0)</f>
        <v>0</v>
      </c>
      <c r="N614" cm="1">
        <f t="array" ref="N614">IF($Q614&gt;=0,IFERROR(generateSalesData($D614, IF(ISNUMBER(_xlfn.XLOOKUP($C614,Phone_by_Sentiment!$B$2:$B$37,Phone_by_Sentiment!N$2:N$37,"",0,1)),_xlfn.XLOOKUP($C614,Phone_by_Sentiment!$B$2:$B$37,Phone_by_Sentiment!N$2:N$37,"",0,1),0),$A614-TEXT(DATEVALUE($D614&amp;"-01"), "dd-mm-yyyy")),0),0)</f>
        <v>0</v>
      </c>
      <c r="O614" cm="1">
        <f t="array" ref="O614">IF($Q614&gt;=0,IFERROR(generateSalesData($D614, IF(ISNUMBER(_xlfn.XLOOKUP($C614,Phone_by_Sentiment!$B$2:$B$37,Phone_by_Sentiment!O$2:O$37,"",0,1)),_xlfn.XLOOKUP($C614,Phone_by_Sentiment!$B$2:$B$37,Phone_by_Sentiment!O$2:O$37,"",0,1),0),$A614-TEXT(DATEVALUE($D614&amp;"-01"), "dd-mm-yyyy")),0),0)</f>
        <v>0</v>
      </c>
      <c r="P614" s="1">
        <f t="shared" si="25"/>
        <v>44256</v>
      </c>
      <c r="Q614">
        <f t="shared" si="26"/>
        <v>-273</v>
      </c>
    </row>
    <row r="615" spans="1:17" x14ac:dyDescent="0.25">
      <c r="A615" s="1">
        <f t="shared" si="27"/>
        <v>43983</v>
      </c>
      <c r="B615" t="s">
        <v>160</v>
      </c>
      <c r="C615" t="str">
        <f>_xlfn.XLOOKUP(B615,Phone_by_Price!$A$2:$A$34,Phone_by_Price!$B$2:$B$34,"-",0,1)</f>
        <v>Xiaomi Poco X3 Pro</v>
      </c>
      <c r="D615" t="str">
        <f>_xlfn.XLOOKUP(C615,Phone_by_Sentiment!$B$2:$B$37,Phone_by_Sentiment!$A$2:$A$37,"-",0,1)</f>
        <v>2021-05</v>
      </c>
      <c r="E615" cm="1">
        <f t="array" ref="E615">IF($Q615&gt;=0,IFERROR(generateSalesData($D615, IF(ISNUMBER(_xlfn.XLOOKUP($C615,Phone_by_Sentiment!$B$2:$B$37,Phone_by_Sentiment!E$2:E$37,"",0,1)),_xlfn.XLOOKUP($C615,Phone_by_Sentiment!$B$2:$B$37,Phone_by_Sentiment!E$2:E$37,"",0,1),0),$A615-TEXT(DATEVALUE($D615&amp;"-01"), "dd-mm-yyyy")),0),0)</f>
        <v>0</v>
      </c>
      <c r="F615" cm="1">
        <f t="array" ref="F615">IF($Q615&gt;=0,IFERROR(generateSalesData($D615, IF(ISNUMBER(_xlfn.XLOOKUP($C615,Phone_by_Sentiment!$B$2:$B$37,Phone_by_Sentiment!F$2:F$37,"",0,1)),_xlfn.XLOOKUP($C615,Phone_by_Sentiment!$B$2:$B$37,Phone_by_Sentiment!F$2:F$37,"",0,1),0),$A615-TEXT(DATEVALUE($D615&amp;"-01"), "dd-mm-yyyy")),0),0)</f>
        <v>0</v>
      </c>
      <c r="G615" cm="1">
        <f t="array" ref="G615">IF($Q615&gt;=0,IFERROR(generateSalesData($D615, IF(ISNUMBER(_xlfn.XLOOKUP($C615,Phone_by_Sentiment!$B$2:$B$37,Phone_by_Sentiment!G$2:G$37,"",0,1)),_xlfn.XLOOKUP($C615,Phone_by_Sentiment!$B$2:$B$37,Phone_by_Sentiment!G$2:G$37,"",0,1),0),$A615-TEXT(DATEVALUE($D615&amp;"-01"), "dd-mm-yyyy")),0),0)</f>
        <v>0</v>
      </c>
      <c r="H615" cm="1">
        <f t="array" ref="H615">IF($Q615&gt;=0,IFERROR(generateSalesData($D615, IF(ISNUMBER(_xlfn.XLOOKUP($C615,Phone_by_Sentiment!$B$2:$B$37,Phone_by_Sentiment!H$2:H$37,"",0,1)),_xlfn.XLOOKUP($C615,Phone_by_Sentiment!$B$2:$B$37,Phone_by_Sentiment!H$2:H$37,"",0,1),0),$A615-TEXT(DATEVALUE($D615&amp;"-01"), "dd-mm-yyyy")),0),0)</f>
        <v>0</v>
      </c>
      <c r="I615" cm="1">
        <f t="array" ref="I615">IF($Q615&gt;=0,IFERROR(generateSalesData($D615, IF(ISNUMBER(_xlfn.XLOOKUP($C615,Phone_by_Sentiment!$B$2:$B$37,Phone_by_Sentiment!I$2:I$37,"",0,1)),_xlfn.XLOOKUP($C615,Phone_by_Sentiment!$B$2:$B$37,Phone_by_Sentiment!I$2:I$37,"",0,1),0),$A615-TEXT(DATEVALUE($D615&amp;"-01"), "dd-mm-yyyy")),0),0)</f>
        <v>0</v>
      </c>
      <c r="J615" cm="1">
        <f t="array" ref="J615">IF($Q615&gt;=0,IFERROR(generateSalesData($D615, IF(ISNUMBER(_xlfn.XLOOKUP($C615,Phone_by_Sentiment!$B$2:$B$37,Phone_by_Sentiment!J$2:J$37,"",0,1)),_xlfn.XLOOKUP($C615,Phone_by_Sentiment!$B$2:$B$37,Phone_by_Sentiment!J$2:J$37,"",0,1),0),$A615-TEXT(DATEVALUE($D615&amp;"-01"), "dd-mm-yyyy")),0),0)</f>
        <v>0</v>
      </c>
      <c r="K615" cm="1">
        <f t="array" ref="K615">IF($Q615&gt;=0,IFERROR(generateSalesData($D615, IF(ISNUMBER(_xlfn.XLOOKUP($C615,Phone_by_Sentiment!$B$2:$B$37,Phone_by_Sentiment!K$2:K$37,"",0,1)),_xlfn.XLOOKUP($C615,Phone_by_Sentiment!$B$2:$B$37,Phone_by_Sentiment!K$2:K$37,"",0,1),0),$A615-TEXT(DATEVALUE($D615&amp;"-01"), "dd-mm-yyyy")),0),0)</f>
        <v>0</v>
      </c>
      <c r="L615" cm="1">
        <f t="array" ref="L615">IF($Q615&gt;=0,IFERROR(generateSalesData($D615, IF(ISNUMBER(_xlfn.XLOOKUP($C615,Phone_by_Sentiment!$B$2:$B$37,Phone_by_Sentiment!L$2:L$37,"",0,1)),_xlfn.XLOOKUP($C615,Phone_by_Sentiment!$B$2:$B$37,Phone_by_Sentiment!L$2:L$37,"",0,1),0),$A615-TEXT(DATEVALUE($D615&amp;"-01"), "dd-mm-yyyy")),0),0)</f>
        <v>0</v>
      </c>
      <c r="M615" cm="1">
        <f t="array" ref="M615">IF($Q615&gt;=0,IFERROR(generateSalesData($D615, IF(ISNUMBER(_xlfn.XLOOKUP($C615,Phone_by_Sentiment!$B$2:$B$37,Phone_by_Sentiment!M$2:M$37,"",0,1)),_xlfn.XLOOKUP($C615,Phone_by_Sentiment!$B$2:$B$37,Phone_by_Sentiment!M$2:M$37,"",0,1),0),$A615-TEXT(DATEVALUE($D615&amp;"-01"), "dd-mm-yyyy")),0),0)</f>
        <v>0</v>
      </c>
      <c r="N615" cm="1">
        <f t="array" ref="N615">IF($Q615&gt;=0,IFERROR(generateSalesData($D615, IF(ISNUMBER(_xlfn.XLOOKUP($C615,Phone_by_Sentiment!$B$2:$B$37,Phone_by_Sentiment!N$2:N$37,"",0,1)),_xlfn.XLOOKUP($C615,Phone_by_Sentiment!$B$2:$B$37,Phone_by_Sentiment!N$2:N$37,"",0,1),0),$A615-TEXT(DATEVALUE($D615&amp;"-01"), "dd-mm-yyyy")),0),0)</f>
        <v>0</v>
      </c>
      <c r="O615" cm="1">
        <f t="array" ref="O615">IF($Q615&gt;=0,IFERROR(generateSalesData($D615, IF(ISNUMBER(_xlfn.XLOOKUP($C615,Phone_by_Sentiment!$B$2:$B$37,Phone_by_Sentiment!O$2:O$37,"",0,1)),_xlfn.XLOOKUP($C615,Phone_by_Sentiment!$B$2:$B$37,Phone_by_Sentiment!O$2:O$37,"",0,1),0),$A615-TEXT(DATEVALUE($D615&amp;"-01"), "dd-mm-yyyy")),0),0)</f>
        <v>0</v>
      </c>
      <c r="P615" s="1">
        <f t="shared" si="25"/>
        <v>44317</v>
      </c>
      <c r="Q615">
        <f t="shared" si="26"/>
        <v>-334</v>
      </c>
    </row>
    <row r="616" spans="1:17" x14ac:dyDescent="0.25">
      <c r="A616" s="1">
        <f t="shared" si="27"/>
        <v>43983</v>
      </c>
      <c r="B616" t="s">
        <v>161</v>
      </c>
      <c r="C616" t="str">
        <f>_xlfn.XLOOKUP(B616,Phone_by_Price!$A$2:$A$34,Phone_by_Price!$B$2:$B$34,"-",0,1)</f>
        <v>Samsung Galaxy Z Flip 3</v>
      </c>
      <c r="D616" t="str">
        <f>_xlfn.XLOOKUP(C616,Phone_by_Sentiment!$B$2:$B$37,Phone_by_Sentiment!$A$2:$A$37,"-",0,1)</f>
        <v>2021-09</v>
      </c>
      <c r="E616" cm="1">
        <f t="array" ref="E616">IF($Q616&gt;=0,IFERROR(generateSalesData($D616, IF(ISNUMBER(_xlfn.XLOOKUP($C616,Phone_by_Sentiment!$B$2:$B$37,Phone_by_Sentiment!E$2:E$37,"",0,1)),_xlfn.XLOOKUP($C616,Phone_by_Sentiment!$B$2:$B$37,Phone_by_Sentiment!E$2:E$37,"",0,1),0),$A616-TEXT(DATEVALUE($D616&amp;"-01"), "dd-mm-yyyy")),0),0)</f>
        <v>0</v>
      </c>
      <c r="F616" cm="1">
        <f t="array" ref="F616">IF($Q616&gt;=0,IFERROR(generateSalesData($D616, IF(ISNUMBER(_xlfn.XLOOKUP($C616,Phone_by_Sentiment!$B$2:$B$37,Phone_by_Sentiment!F$2:F$37,"",0,1)),_xlfn.XLOOKUP($C616,Phone_by_Sentiment!$B$2:$B$37,Phone_by_Sentiment!F$2:F$37,"",0,1),0),$A616-TEXT(DATEVALUE($D616&amp;"-01"), "dd-mm-yyyy")),0),0)</f>
        <v>0</v>
      </c>
      <c r="G616" cm="1">
        <f t="array" ref="G616">IF($Q616&gt;=0,IFERROR(generateSalesData($D616, IF(ISNUMBER(_xlfn.XLOOKUP($C616,Phone_by_Sentiment!$B$2:$B$37,Phone_by_Sentiment!G$2:G$37,"",0,1)),_xlfn.XLOOKUP($C616,Phone_by_Sentiment!$B$2:$B$37,Phone_by_Sentiment!G$2:G$37,"",0,1),0),$A616-TEXT(DATEVALUE($D616&amp;"-01"), "dd-mm-yyyy")),0),0)</f>
        <v>0</v>
      </c>
      <c r="H616" cm="1">
        <f t="array" ref="H616">IF($Q616&gt;=0,IFERROR(generateSalesData($D616, IF(ISNUMBER(_xlfn.XLOOKUP($C616,Phone_by_Sentiment!$B$2:$B$37,Phone_by_Sentiment!H$2:H$37,"",0,1)),_xlfn.XLOOKUP($C616,Phone_by_Sentiment!$B$2:$B$37,Phone_by_Sentiment!H$2:H$37,"",0,1),0),$A616-TEXT(DATEVALUE($D616&amp;"-01"), "dd-mm-yyyy")),0),0)</f>
        <v>0</v>
      </c>
      <c r="I616" cm="1">
        <f t="array" ref="I616">IF($Q616&gt;=0,IFERROR(generateSalesData($D616, IF(ISNUMBER(_xlfn.XLOOKUP($C616,Phone_by_Sentiment!$B$2:$B$37,Phone_by_Sentiment!I$2:I$37,"",0,1)),_xlfn.XLOOKUP($C616,Phone_by_Sentiment!$B$2:$B$37,Phone_by_Sentiment!I$2:I$37,"",0,1),0),$A616-TEXT(DATEVALUE($D616&amp;"-01"), "dd-mm-yyyy")),0),0)</f>
        <v>0</v>
      </c>
      <c r="J616" cm="1">
        <f t="array" ref="J616">IF($Q616&gt;=0,IFERROR(generateSalesData($D616, IF(ISNUMBER(_xlfn.XLOOKUP($C616,Phone_by_Sentiment!$B$2:$B$37,Phone_by_Sentiment!J$2:J$37,"",0,1)),_xlfn.XLOOKUP($C616,Phone_by_Sentiment!$B$2:$B$37,Phone_by_Sentiment!J$2:J$37,"",0,1),0),$A616-TEXT(DATEVALUE($D616&amp;"-01"), "dd-mm-yyyy")),0),0)</f>
        <v>0</v>
      </c>
      <c r="K616" cm="1">
        <f t="array" ref="K616">IF($Q616&gt;=0,IFERROR(generateSalesData($D616, IF(ISNUMBER(_xlfn.XLOOKUP($C616,Phone_by_Sentiment!$B$2:$B$37,Phone_by_Sentiment!K$2:K$37,"",0,1)),_xlfn.XLOOKUP($C616,Phone_by_Sentiment!$B$2:$B$37,Phone_by_Sentiment!K$2:K$37,"",0,1),0),$A616-TEXT(DATEVALUE($D616&amp;"-01"), "dd-mm-yyyy")),0),0)</f>
        <v>0</v>
      </c>
      <c r="L616" cm="1">
        <f t="array" ref="L616">IF($Q616&gt;=0,IFERROR(generateSalesData($D616, IF(ISNUMBER(_xlfn.XLOOKUP($C616,Phone_by_Sentiment!$B$2:$B$37,Phone_by_Sentiment!L$2:L$37,"",0,1)),_xlfn.XLOOKUP($C616,Phone_by_Sentiment!$B$2:$B$37,Phone_by_Sentiment!L$2:L$37,"",0,1),0),$A616-TEXT(DATEVALUE($D616&amp;"-01"), "dd-mm-yyyy")),0),0)</f>
        <v>0</v>
      </c>
      <c r="M616" cm="1">
        <f t="array" ref="M616">IF($Q616&gt;=0,IFERROR(generateSalesData($D616, IF(ISNUMBER(_xlfn.XLOOKUP($C616,Phone_by_Sentiment!$B$2:$B$37,Phone_by_Sentiment!M$2:M$37,"",0,1)),_xlfn.XLOOKUP($C616,Phone_by_Sentiment!$B$2:$B$37,Phone_by_Sentiment!M$2:M$37,"",0,1),0),$A616-TEXT(DATEVALUE($D616&amp;"-01"), "dd-mm-yyyy")),0),0)</f>
        <v>0</v>
      </c>
      <c r="N616" cm="1">
        <f t="array" ref="N616">IF($Q616&gt;=0,IFERROR(generateSalesData($D616, IF(ISNUMBER(_xlfn.XLOOKUP($C616,Phone_by_Sentiment!$B$2:$B$37,Phone_by_Sentiment!N$2:N$37,"",0,1)),_xlfn.XLOOKUP($C616,Phone_by_Sentiment!$B$2:$B$37,Phone_by_Sentiment!N$2:N$37,"",0,1),0),$A616-TEXT(DATEVALUE($D616&amp;"-01"), "dd-mm-yyyy")),0),0)</f>
        <v>0</v>
      </c>
      <c r="O616" cm="1">
        <f t="array" ref="O616">IF($Q616&gt;=0,IFERROR(generateSalesData($D616, IF(ISNUMBER(_xlfn.XLOOKUP($C616,Phone_by_Sentiment!$B$2:$B$37,Phone_by_Sentiment!O$2:O$37,"",0,1)),_xlfn.XLOOKUP($C616,Phone_by_Sentiment!$B$2:$B$37,Phone_by_Sentiment!O$2:O$37,"",0,1),0),$A616-TEXT(DATEVALUE($D616&amp;"-01"), "dd-mm-yyyy")),0),0)</f>
        <v>0</v>
      </c>
      <c r="P616" s="1">
        <f t="shared" si="25"/>
        <v>44440</v>
      </c>
      <c r="Q616">
        <f t="shared" si="26"/>
        <v>-457</v>
      </c>
    </row>
    <row r="617" spans="1:17" x14ac:dyDescent="0.25">
      <c r="A617" s="1">
        <f t="shared" si="27"/>
        <v>43983</v>
      </c>
      <c r="B617" t="s">
        <v>162</v>
      </c>
      <c r="C617" t="str">
        <f>_xlfn.XLOOKUP(B617,Phone_by_Price!$A$2:$A$34,Phone_by_Price!$B$2:$B$34,"-",0,1)</f>
        <v>Xiaomi Poco X3 NFC</v>
      </c>
      <c r="D617" t="str">
        <f>_xlfn.XLOOKUP(C617,Phone_by_Sentiment!$B$2:$B$37,Phone_by_Sentiment!$A$2:$A$37,"-",0,1)</f>
        <v>2020-08</v>
      </c>
      <c r="E617" cm="1">
        <f t="array" ref="E617">IF($Q617&gt;=0,IFERROR(generateSalesData($D617, IF(ISNUMBER(_xlfn.XLOOKUP($C617,Phone_by_Sentiment!$B$2:$B$37,Phone_by_Sentiment!E$2:E$37,"",0,1)),_xlfn.XLOOKUP($C617,Phone_by_Sentiment!$B$2:$B$37,Phone_by_Sentiment!E$2:E$37,"",0,1),0),$A617-TEXT(DATEVALUE($D617&amp;"-01"), "dd-mm-yyyy")),0),0)</f>
        <v>0</v>
      </c>
      <c r="F617" cm="1">
        <f t="array" ref="F617">IF($Q617&gt;=0,IFERROR(generateSalesData($D617, IF(ISNUMBER(_xlfn.XLOOKUP($C617,Phone_by_Sentiment!$B$2:$B$37,Phone_by_Sentiment!F$2:F$37,"",0,1)),_xlfn.XLOOKUP($C617,Phone_by_Sentiment!$B$2:$B$37,Phone_by_Sentiment!F$2:F$37,"",0,1),0),$A617-TEXT(DATEVALUE($D617&amp;"-01"), "dd-mm-yyyy")),0),0)</f>
        <v>0</v>
      </c>
      <c r="G617" cm="1">
        <f t="array" ref="G617">IF($Q617&gt;=0,IFERROR(generateSalesData($D617, IF(ISNUMBER(_xlfn.XLOOKUP($C617,Phone_by_Sentiment!$B$2:$B$37,Phone_by_Sentiment!G$2:G$37,"",0,1)),_xlfn.XLOOKUP($C617,Phone_by_Sentiment!$B$2:$B$37,Phone_by_Sentiment!G$2:G$37,"",0,1),0),$A617-TEXT(DATEVALUE($D617&amp;"-01"), "dd-mm-yyyy")),0),0)</f>
        <v>0</v>
      </c>
      <c r="H617" cm="1">
        <f t="array" ref="H617">IF($Q617&gt;=0,IFERROR(generateSalesData($D617, IF(ISNUMBER(_xlfn.XLOOKUP($C617,Phone_by_Sentiment!$B$2:$B$37,Phone_by_Sentiment!H$2:H$37,"",0,1)),_xlfn.XLOOKUP($C617,Phone_by_Sentiment!$B$2:$B$37,Phone_by_Sentiment!H$2:H$37,"",0,1),0),$A617-TEXT(DATEVALUE($D617&amp;"-01"), "dd-mm-yyyy")),0),0)</f>
        <v>0</v>
      </c>
      <c r="I617" cm="1">
        <f t="array" ref="I617">IF($Q617&gt;=0,IFERROR(generateSalesData($D617, IF(ISNUMBER(_xlfn.XLOOKUP($C617,Phone_by_Sentiment!$B$2:$B$37,Phone_by_Sentiment!I$2:I$37,"",0,1)),_xlfn.XLOOKUP($C617,Phone_by_Sentiment!$B$2:$B$37,Phone_by_Sentiment!I$2:I$37,"",0,1),0),$A617-TEXT(DATEVALUE($D617&amp;"-01"), "dd-mm-yyyy")),0),0)</f>
        <v>0</v>
      </c>
      <c r="J617" cm="1">
        <f t="array" ref="J617">IF($Q617&gt;=0,IFERROR(generateSalesData($D617, IF(ISNUMBER(_xlfn.XLOOKUP($C617,Phone_by_Sentiment!$B$2:$B$37,Phone_by_Sentiment!J$2:J$37,"",0,1)),_xlfn.XLOOKUP($C617,Phone_by_Sentiment!$B$2:$B$37,Phone_by_Sentiment!J$2:J$37,"",0,1),0),$A617-TEXT(DATEVALUE($D617&amp;"-01"), "dd-mm-yyyy")),0),0)</f>
        <v>0</v>
      </c>
      <c r="K617" cm="1">
        <f t="array" ref="K617">IF($Q617&gt;=0,IFERROR(generateSalesData($D617, IF(ISNUMBER(_xlfn.XLOOKUP($C617,Phone_by_Sentiment!$B$2:$B$37,Phone_by_Sentiment!K$2:K$37,"",0,1)),_xlfn.XLOOKUP($C617,Phone_by_Sentiment!$B$2:$B$37,Phone_by_Sentiment!K$2:K$37,"",0,1),0),$A617-TEXT(DATEVALUE($D617&amp;"-01"), "dd-mm-yyyy")),0),0)</f>
        <v>0</v>
      </c>
      <c r="L617" cm="1">
        <f t="array" ref="L617">IF($Q617&gt;=0,IFERROR(generateSalesData($D617, IF(ISNUMBER(_xlfn.XLOOKUP($C617,Phone_by_Sentiment!$B$2:$B$37,Phone_by_Sentiment!L$2:L$37,"",0,1)),_xlfn.XLOOKUP($C617,Phone_by_Sentiment!$B$2:$B$37,Phone_by_Sentiment!L$2:L$37,"",0,1),0),$A617-TEXT(DATEVALUE($D617&amp;"-01"), "dd-mm-yyyy")),0),0)</f>
        <v>0</v>
      </c>
      <c r="M617" cm="1">
        <f t="array" ref="M617">IF($Q617&gt;=0,IFERROR(generateSalesData($D617, IF(ISNUMBER(_xlfn.XLOOKUP($C617,Phone_by_Sentiment!$B$2:$B$37,Phone_by_Sentiment!M$2:M$37,"",0,1)),_xlfn.XLOOKUP($C617,Phone_by_Sentiment!$B$2:$B$37,Phone_by_Sentiment!M$2:M$37,"",0,1),0),$A617-TEXT(DATEVALUE($D617&amp;"-01"), "dd-mm-yyyy")),0),0)</f>
        <v>0</v>
      </c>
      <c r="N617" cm="1">
        <f t="array" ref="N617">IF($Q617&gt;=0,IFERROR(generateSalesData($D617, IF(ISNUMBER(_xlfn.XLOOKUP($C617,Phone_by_Sentiment!$B$2:$B$37,Phone_by_Sentiment!N$2:N$37,"",0,1)),_xlfn.XLOOKUP($C617,Phone_by_Sentiment!$B$2:$B$37,Phone_by_Sentiment!N$2:N$37,"",0,1),0),$A617-TEXT(DATEVALUE($D617&amp;"-01"), "dd-mm-yyyy")),0),0)</f>
        <v>0</v>
      </c>
      <c r="O617" cm="1">
        <f t="array" ref="O617">IF($Q617&gt;=0,IFERROR(generateSalesData($D617, IF(ISNUMBER(_xlfn.XLOOKUP($C617,Phone_by_Sentiment!$B$2:$B$37,Phone_by_Sentiment!O$2:O$37,"",0,1)),_xlfn.XLOOKUP($C617,Phone_by_Sentiment!$B$2:$B$37,Phone_by_Sentiment!O$2:O$37,"",0,1),0),$A617-TEXT(DATEVALUE($D617&amp;"-01"), "dd-mm-yyyy")),0),0)</f>
        <v>0</v>
      </c>
      <c r="P617" s="1">
        <f t="shared" si="25"/>
        <v>44044</v>
      </c>
      <c r="Q617">
        <f t="shared" si="26"/>
        <v>-61</v>
      </c>
    </row>
    <row r="618" spans="1:17" x14ac:dyDescent="0.25">
      <c r="A618" s="1">
        <f t="shared" si="27"/>
        <v>43983</v>
      </c>
      <c r="B618" t="s">
        <v>163</v>
      </c>
      <c r="C618" t="str">
        <f>_xlfn.XLOOKUP(B618,Phone_by_Price!$A$2:$A$34,Phone_by_Price!$B$2:$B$34,"-",0,1)</f>
        <v>OPPO A93</v>
      </c>
      <c r="D618" t="str">
        <f>_xlfn.XLOOKUP(C618,Phone_by_Sentiment!$B$2:$B$37,Phone_by_Sentiment!$A$2:$A$37,"-",0,1)</f>
        <v>2021-02</v>
      </c>
      <c r="E618" cm="1">
        <f t="array" ref="E618">IF($Q618&gt;=0,IFERROR(generateSalesData($D618, IF(ISNUMBER(_xlfn.XLOOKUP($C618,Phone_by_Sentiment!$B$2:$B$37,Phone_by_Sentiment!E$2:E$37,"",0,1)),_xlfn.XLOOKUP($C618,Phone_by_Sentiment!$B$2:$B$37,Phone_by_Sentiment!E$2:E$37,"",0,1),0),$A618-TEXT(DATEVALUE($D618&amp;"-01"), "dd-mm-yyyy")),0),0)</f>
        <v>0</v>
      </c>
      <c r="F618" cm="1">
        <f t="array" ref="F618">IF($Q618&gt;=0,IFERROR(generateSalesData($D618, IF(ISNUMBER(_xlfn.XLOOKUP($C618,Phone_by_Sentiment!$B$2:$B$37,Phone_by_Sentiment!F$2:F$37,"",0,1)),_xlfn.XLOOKUP($C618,Phone_by_Sentiment!$B$2:$B$37,Phone_by_Sentiment!F$2:F$37,"",0,1),0),$A618-TEXT(DATEVALUE($D618&amp;"-01"), "dd-mm-yyyy")),0),0)</f>
        <v>0</v>
      </c>
      <c r="G618" cm="1">
        <f t="array" ref="G618">IF($Q618&gt;=0,IFERROR(generateSalesData($D618, IF(ISNUMBER(_xlfn.XLOOKUP($C618,Phone_by_Sentiment!$B$2:$B$37,Phone_by_Sentiment!G$2:G$37,"",0,1)),_xlfn.XLOOKUP($C618,Phone_by_Sentiment!$B$2:$B$37,Phone_by_Sentiment!G$2:G$37,"",0,1),0),$A618-TEXT(DATEVALUE($D618&amp;"-01"), "dd-mm-yyyy")),0),0)</f>
        <v>0</v>
      </c>
      <c r="H618" cm="1">
        <f t="array" ref="H618">IF($Q618&gt;=0,IFERROR(generateSalesData($D618, IF(ISNUMBER(_xlfn.XLOOKUP($C618,Phone_by_Sentiment!$B$2:$B$37,Phone_by_Sentiment!H$2:H$37,"",0,1)),_xlfn.XLOOKUP($C618,Phone_by_Sentiment!$B$2:$B$37,Phone_by_Sentiment!H$2:H$37,"",0,1),0),$A618-TEXT(DATEVALUE($D618&amp;"-01"), "dd-mm-yyyy")),0),0)</f>
        <v>0</v>
      </c>
      <c r="I618" cm="1">
        <f t="array" ref="I618">IF($Q618&gt;=0,IFERROR(generateSalesData($D618, IF(ISNUMBER(_xlfn.XLOOKUP($C618,Phone_by_Sentiment!$B$2:$B$37,Phone_by_Sentiment!I$2:I$37,"",0,1)),_xlfn.XLOOKUP($C618,Phone_by_Sentiment!$B$2:$B$37,Phone_by_Sentiment!I$2:I$37,"",0,1),0),$A618-TEXT(DATEVALUE($D618&amp;"-01"), "dd-mm-yyyy")),0),0)</f>
        <v>0</v>
      </c>
      <c r="J618" cm="1">
        <f t="array" ref="J618">IF($Q618&gt;=0,IFERROR(generateSalesData($D618, IF(ISNUMBER(_xlfn.XLOOKUP($C618,Phone_by_Sentiment!$B$2:$B$37,Phone_by_Sentiment!J$2:J$37,"",0,1)),_xlfn.XLOOKUP($C618,Phone_by_Sentiment!$B$2:$B$37,Phone_by_Sentiment!J$2:J$37,"",0,1),0),$A618-TEXT(DATEVALUE($D618&amp;"-01"), "dd-mm-yyyy")),0),0)</f>
        <v>0</v>
      </c>
      <c r="K618" cm="1">
        <f t="array" ref="K618">IF($Q618&gt;=0,IFERROR(generateSalesData($D618, IF(ISNUMBER(_xlfn.XLOOKUP($C618,Phone_by_Sentiment!$B$2:$B$37,Phone_by_Sentiment!K$2:K$37,"",0,1)),_xlfn.XLOOKUP($C618,Phone_by_Sentiment!$B$2:$B$37,Phone_by_Sentiment!K$2:K$37,"",0,1),0),$A618-TEXT(DATEVALUE($D618&amp;"-01"), "dd-mm-yyyy")),0),0)</f>
        <v>0</v>
      </c>
      <c r="L618" cm="1">
        <f t="array" ref="L618">IF($Q618&gt;=0,IFERROR(generateSalesData($D618, IF(ISNUMBER(_xlfn.XLOOKUP($C618,Phone_by_Sentiment!$B$2:$B$37,Phone_by_Sentiment!L$2:L$37,"",0,1)),_xlfn.XLOOKUP($C618,Phone_by_Sentiment!$B$2:$B$37,Phone_by_Sentiment!L$2:L$37,"",0,1),0),$A618-TEXT(DATEVALUE($D618&amp;"-01"), "dd-mm-yyyy")),0),0)</f>
        <v>0</v>
      </c>
      <c r="M618" cm="1">
        <f t="array" ref="M618">IF($Q618&gt;=0,IFERROR(generateSalesData($D618, IF(ISNUMBER(_xlfn.XLOOKUP($C618,Phone_by_Sentiment!$B$2:$B$37,Phone_by_Sentiment!M$2:M$37,"",0,1)),_xlfn.XLOOKUP($C618,Phone_by_Sentiment!$B$2:$B$37,Phone_by_Sentiment!M$2:M$37,"",0,1),0),$A618-TEXT(DATEVALUE($D618&amp;"-01"), "dd-mm-yyyy")),0),0)</f>
        <v>0</v>
      </c>
      <c r="N618" cm="1">
        <f t="array" ref="N618">IF($Q618&gt;=0,IFERROR(generateSalesData($D618, IF(ISNUMBER(_xlfn.XLOOKUP($C618,Phone_by_Sentiment!$B$2:$B$37,Phone_by_Sentiment!N$2:N$37,"",0,1)),_xlfn.XLOOKUP($C618,Phone_by_Sentiment!$B$2:$B$37,Phone_by_Sentiment!N$2:N$37,"",0,1),0),$A618-TEXT(DATEVALUE($D618&amp;"-01"), "dd-mm-yyyy")),0),0)</f>
        <v>0</v>
      </c>
      <c r="O618" cm="1">
        <f t="array" ref="O618">IF($Q618&gt;=0,IFERROR(generateSalesData($D618, IF(ISNUMBER(_xlfn.XLOOKUP($C618,Phone_by_Sentiment!$B$2:$B$37,Phone_by_Sentiment!O$2:O$37,"",0,1)),_xlfn.XLOOKUP($C618,Phone_by_Sentiment!$B$2:$B$37,Phone_by_Sentiment!O$2:O$37,"",0,1),0),$A618-TEXT(DATEVALUE($D618&amp;"-01"), "dd-mm-yyyy")),0),0)</f>
        <v>0</v>
      </c>
      <c r="P618" s="1">
        <f t="shared" si="25"/>
        <v>44228</v>
      </c>
      <c r="Q618">
        <f t="shared" si="26"/>
        <v>-245</v>
      </c>
    </row>
    <row r="619" spans="1:17" x14ac:dyDescent="0.25">
      <c r="A619" s="1">
        <f t="shared" si="27"/>
        <v>43983</v>
      </c>
      <c r="B619" t="s">
        <v>164</v>
      </c>
      <c r="C619" t="str">
        <f>_xlfn.XLOOKUP(B619,Phone_by_Price!$A$2:$A$34,Phone_by_Price!$B$2:$B$34,"-",0,1)</f>
        <v>Vivo V20</v>
      </c>
      <c r="D619" t="str">
        <f>_xlfn.XLOOKUP(C619,Phone_by_Sentiment!$B$2:$B$37,Phone_by_Sentiment!$A$2:$A$37,"-",0,1)</f>
        <v>2020-10</v>
      </c>
      <c r="E619" cm="1">
        <f t="array" ref="E619">IF($Q619&gt;=0,IFERROR(generateSalesData($D619, IF(ISNUMBER(_xlfn.XLOOKUP($C619,Phone_by_Sentiment!$B$2:$B$37,Phone_by_Sentiment!E$2:E$37,"",0,1)),_xlfn.XLOOKUP($C619,Phone_by_Sentiment!$B$2:$B$37,Phone_by_Sentiment!E$2:E$37,"",0,1),0),$A619-TEXT(DATEVALUE($D619&amp;"-01"), "dd-mm-yyyy")),0),0)</f>
        <v>0</v>
      </c>
      <c r="F619" cm="1">
        <f t="array" ref="F619">IF($Q619&gt;=0,IFERROR(generateSalesData($D619, IF(ISNUMBER(_xlfn.XLOOKUP($C619,Phone_by_Sentiment!$B$2:$B$37,Phone_by_Sentiment!F$2:F$37,"",0,1)),_xlfn.XLOOKUP($C619,Phone_by_Sentiment!$B$2:$B$37,Phone_by_Sentiment!F$2:F$37,"",0,1),0),$A619-TEXT(DATEVALUE($D619&amp;"-01"), "dd-mm-yyyy")),0),0)</f>
        <v>0</v>
      </c>
      <c r="G619" cm="1">
        <f t="array" ref="G619">IF($Q619&gt;=0,IFERROR(generateSalesData($D619, IF(ISNUMBER(_xlfn.XLOOKUP($C619,Phone_by_Sentiment!$B$2:$B$37,Phone_by_Sentiment!G$2:G$37,"",0,1)),_xlfn.XLOOKUP($C619,Phone_by_Sentiment!$B$2:$B$37,Phone_by_Sentiment!G$2:G$37,"",0,1),0),$A619-TEXT(DATEVALUE($D619&amp;"-01"), "dd-mm-yyyy")),0),0)</f>
        <v>0</v>
      </c>
      <c r="H619" cm="1">
        <f t="array" ref="H619">IF($Q619&gt;=0,IFERROR(generateSalesData($D619, IF(ISNUMBER(_xlfn.XLOOKUP($C619,Phone_by_Sentiment!$B$2:$B$37,Phone_by_Sentiment!H$2:H$37,"",0,1)),_xlfn.XLOOKUP($C619,Phone_by_Sentiment!$B$2:$B$37,Phone_by_Sentiment!H$2:H$37,"",0,1),0),$A619-TEXT(DATEVALUE($D619&amp;"-01"), "dd-mm-yyyy")),0),0)</f>
        <v>0</v>
      </c>
      <c r="I619" cm="1">
        <f t="array" ref="I619">IF($Q619&gt;=0,IFERROR(generateSalesData($D619, IF(ISNUMBER(_xlfn.XLOOKUP($C619,Phone_by_Sentiment!$B$2:$B$37,Phone_by_Sentiment!I$2:I$37,"",0,1)),_xlfn.XLOOKUP($C619,Phone_by_Sentiment!$B$2:$B$37,Phone_by_Sentiment!I$2:I$37,"",0,1),0),$A619-TEXT(DATEVALUE($D619&amp;"-01"), "dd-mm-yyyy")),0),0)</f>
        <v>0</v>
      </c>
      <c r="J619" cm="1">
        <f t="array" ref="J619">IF($Q619&gt;=0,IFERROR(generateSalesData($D619, IF(ISNUMBER(_xlfn.XLOOKUP($C619,Phone_by_Sentiment!$B$2:$B$37,Phone_by_Sentiment!J$2:J$37,"",0,1)),_xlfn.XLOOKUP($C619,Phone_by_Sentiment!$B$2:$B$37,Phone_by_Sentiment!J$2:J$37,"",0,1),0),$A619-TEXT(DATEVALUE($D619&amp;"-01"), "dd-mm-yyyy")),0),0)</f>
        <v>0</v>
      </c>
      <c r="K619" cm="1">
        <f t="array" ref="K619">IF($Q619&gt;=0,IFERROR(generateSalesData($D619, IF(ISNUMBER(_xlfn.XLOOKUP($C619,Phone_by_Sentiment!$B$2:$B$37,Phone_by_Sentiment!K$2:K$37,"",0,1)),_xlfn.XLOOKUP($C619,Phone_by_Sentiment!$B$2:$B$37,Phone_by_Sentiment!K$2:K$37,"",0,1),0),$A619-TEXT(DATEVALUE($D619&amp;"-01"), "dd-mm-yyyy")),0),0)</f>
        <v>0</v>
      </c>
      <c r="L619" cm="1">
        <f t="array" ref="L619">IF($Q619&gt;=0,IFERROR(generateSalesData($D619, IF(ISNUMBER(_xlfn.XLOOKUP($C619,Phone_by_Sentiment!$B$2:$B$37,Phone_by_Sentiment!L$2:L$37,"",0,1)),_xlfn.XLOOKUP($C619,Phone_by_Sentiment!$B$2:$B$37,Phone_by_Sentiment!L$2:L$37,"",0,1),0),$A619-TEXT(DATEVALUE($D619&amp;"-01"), "dd-mm-yyyy")),0),0)</f>
        <v>0</v>
      </c>
      <c r="M619" cm="1">
        <f t="array" ref="M619">IF($Q619&gt;=0,IFERROR(generateSalesData($D619, IF(ISNUMBER(_xlfn.XLOOKUP($C619,Phone_by_Sentiment!$B$2:$B$37,Phone_by_Sentiment!M$2:M$37,"",0,1)),_xlfn.XLOOKUP($C619,Phone_by_Sentiment!$B$2:$B$37,Phone_by_Sentiment!M$2:M$37,"",0,1),0),$A619-TEXT(DATEVALUE($D619&amp;"-01"), "dd-mm-yyyy")),0),0)</f>
        <v>0</v>
      </c>
      <c r="N619" cm="1">
        <f t="array" ref="N619">IF($Q619&gt;=0,IFERROR(generateSalesData($D619, IF(ISNUMBER(_xlfn.XLOOKUP($C619,Phone_by_Sentiment!$B$2:$B$37,Phone_by_Sentiment!N$2:N$37,"",0,1)),_xlfn.XLOOKUP($C619,Phone_by_Sentiment!$B$2:$B$37,Phone_by_Sentiment!N$2:N$37,"",0,1),0),$A619-TEXT(DATEVALUE($D619&amp;"-01"), "dd-mm-yyyy")),0),0)</f>
        <v>0</v>
      </c>
      <c r="O619" cm="1">
        <f t="array" ref="O619">IF($Q619&gt;=0,IFERROR(generateSalesData($D619, IF(ISNUMBER(_xlfn.XLOOKUP($C619,Phone_by_Sentiment!$B$2:$B$37,Phone_by_Sentiment!O$2:O$37,"",0,1)),_xlfn.XLOOKUP($C619,Phone_by_Sentiment!$B$2:$B$37,Phone_by_Sentiment!O$2:O$37,"",0,1),0),$A619-TEXT(DATEVALUE($D619&amp;"-01"), "dd-mm-yyyy")),0),0)</f>
        <v>0</v>
      </c>
      <c r="P619" s="1">
        <f t="shared" si="25"/>
        <v>44105</v>
      </c>
      <c r="Q619">
        <f t="shared" si="26"/>
        <v>-122</v>
      </c>
    </row>
    <row r="620" spans="1:17" x14ac:dyDescent="0.25">
      <c r="A620" s="1">
        <f t="shared" si="27"/>
        <v>43983</v>
      </c>
      <c r="B620" t="s">
        <v>165</v>
      </c>
      <c r="C620" t="str">
        <f>_xlfn.XLOOKUP(B620,Phone_by_Price!$A$2:$A$34,Phone_by_Price!$B$2:$B$34,"-",0,1)</f>
        <v>Samsung Galaxy A50</v>
      </c>
      <c r="D620" t="str">
        <f>_xlfn.XLOOKUP(C620,Phone_by_Sentiment!$B$2:$B$37,Phone_by_Sentiment!$A$2:$A$37,"-",0,1)</f>
        <v>2019-05</v>
      </c>
      <c r="E620" cm="1">
        <f t="array" ref="E620">IF($Q620&gt;=0,IFERROR(generateSalesData($D620, IF(ISNUMBER(_xlfn.XLOOKUP($C620,Phone_by_Sentiment!$B$2:$B$37,Phone_by_Sentiment!E$2:E$37,"",0,1)),_xlfn.XLOOKUP($C620,Phone_by_Sentiment!$B$2:$B$37,Phone_by_Sentiment!E$2:E$37,"",0,1),0),$A620-TEXT(DATEVALUE($D620&amp;"-01"), "dd-mm-yyyy")),0),0)</f>
        <v>865</v>
      </c>
      <c r="F620" cm="1">
        <f t="array" ref="F620">IF($Q620&gt;=0,IFERROR(generateSalesData($D620, IF(ISNUMBER(_xlfn.XLOOKUP($C620,Phone_by_Sentiment!$B$2:$B$37,Phone_by_Sentiment!F$2:F$37,"",0,1)),_xlfn.XLOOKUP($C620,Phone_by_Sentiment!$B$2:$B$37,Phone_by_Sentiment!F$2:F$37,"",0,1),0),$A620-TEXT(DATEVALUE($D620&amp;"-01"), "dd-mm-yyyy")),0),0)</f>
        <v>165</v>
      </c>
      <c r="G620" cm="1">
        <f t="array" ref="G620">IF($Q620&gt;=0,IFERROR(generateSalesData($D620, IF(ISNUMBER(_xlfn.XLOOKUP($C620,Phone_by_Sentiment!$B$2:$B$37,Phone_by_Sentiment!G$2:G$37,"",0,1)),_xlfn.XLOOKUP($C620,Phone_by_Sentiment!$B$2:$B$37,Phone_by_Sentiment!G$2:G$37,"",0,1),0),$A620-TEXT(DATEVALUE($D620&amp;"-01"), "dd-mm-yyyy")),0),0)</f>
        <v>136</v>
      </c>
      <c r="H620" cm="1">
        <f t="array" ref="H620">IF($Q620&gt;=0,IFERROR(generateSalesData($D620, IF(ISNUMBER(_xlfn.XLOOKUP($C620,Phone_by_Sentiment!$B$2:$B$37,Phone_by_Sentiment!H$2:H$37,"",0,1)),_xlfn.XLOOKUP($C620,Phone_by_Sentiment!$B$2:$B$37,Phone_by_Sentiment!H$2:H$37,"",0,1),0),$A620-TEXT(DATEVALUE($D620&amp;"-01"), "dd-mm-yyyy")),0),0)</f>
        <v>556</v>
      </c>
      <c r="I620" cm="1">
        <f t="array" ref="I620">IF($Q620&gt;=0,IFERROR(generateSalesData($D620, IF(ISNUMBER(_xlfn.XLOOKUP($C620,Phone_by_Sentiment!$B$2:$B$37,Phone_by_Sentiment!I$2:I$37,"",0,1)),_xlfn.XLOOKUP($C620,Phone_by_Sentiment!$B$2:$B$37,Phone_by_Sentiment!I$2:I$37,"",0,1),0),$A620-TEXT(DATEVALUE($D620&amp;"-01"), "dd-mm-yyyy")),0),0)</f>
        <v>450</v>
      </c>
      <c r="J620" cm="1">
        <f t="array" ref="J620">IF($Q620&gt;=0,IFERROR(generateSalesData($D620, IF(ISNUMBER(_xlfn.XLOOKUP($C620,Phone_by_Sentiment!$B$2:$B$37,Phone_by_Sentiment!J$2:J$37,"",0,1)),_xlfn.XLOOKUP($C620,Phone_by_Sentiment!$B$2:$B$37,Phone_by_Sentiment!J$2:J$37,"",0,1),0),$A620-TEXT(DATEVALUE($D620&amp;"-01"), "dd-mm-yyyy")),0),0)</f>
        <v>233</v>
      </c>
      <c r="K620" cm="1">
        <f t="array" ref="K620">IF($Q620&gt;=0,IFERROR(generateSalesData($D620, IF(ISNUMBER(_xlfn.XLOOKUP($C620,Phone_by_Sentiment!$B$2:$B$37,Phone_by_Sentiment!K$2:K$37,"",0,1)),_xlfn.XLOOKUP($C620,Phone_by_Sentiment!$B$2:$B$37,Phone_by_Sentiment!K$2:K$37,"",0,1),0),$A620-TEXT(DATEVALUE($D620&amp;"-01"), "dd-mm-yyyy")),0),0)</f>
        <v>9</v>
      </c>
      <c r="L620" cm="1">
        <f t="array" ref="L620">IF($Q620&gt;=0,IFERROR(generateSalesData($D620, IF(ISNUMBER(_xlfn.XLOOKUP($C620,Phone_by_Sentiment!$B$2:$B$37,Phone_by_Sentiment!L$2:L$37,"",0,1)),_xlfn.XLOOKUP($C620,Phone_by_Sentiment!$B$2:$B$37,Phone_by_Sentiment!L$2:L$37,"",0,1),0),$A620-TEXT(DATEVALUE($D620&amp;"-01"), "dd-mm-yyyy")),0),0)</f>
        <v>421</v>
      </c>
      <c r="M620" cm="1">
        <f t="array" ref="M620">IF($Q620&gt;=0,IFERROR(generateSalesData($D620, IF(ISNUMBER(_xlfn.XLOOKUP($C620,Phone_by_Sentiment!$B$2:$B$37,Phone_by_Sentiment!M$2:M$37,"",0,1)),_xlfn.XLOOKUP($C620,Phone_by_Sentiment!$B$2:$B$37,Phone_by_Sentiment!M$2:M$37,"",0,1),0),$A620-TEXT(DATEVALUE($D620&amp;"-01"), "dd-mm-yyyy")),0),0)</f>
        <v>185</v>
      </c>
      <c r="N620" cm="1">
        <f t="array" ref="N620">IF($Q620&gt;=0,IFERROR(generateSalesData($D620, IF(ISNUMBER(_xlfn.XLOOKUP($C620,Phone_by_Sentiment!$B$2:$B$37,Phone_by_Sentiment!N$2:N$37,"",0,1)),_xlfn.XLOOKUP($C620,Phone_by_Sentiment!$B$2:$B$37,Phone_by_Sentiment!N$2:N$37,"",0,1),0),$A620-TEXT(DATEVALUE($D620&amp;"-01"), "dd-mm-yyyy")),0),0)</f>
        <v>383</v>
      </c>
      <c r="O620" cm="1">
        <f t="array" ref="O620">IF($Q620&gt;=0,IFERROR(generateSalesData($D620, IF(ISNUMBER(_xlfn.XLOOKUP($C620,Phone_by_Sentiment!$B$2:$B$37,Phone_by_Sentiment!O$2:O$37,"",0,1)),_xlfn.XLOOKUP($C620,Phone_by_Sentiment!$B$2:$B$37,Phone_by_Sentiment!O$2:O$37,"",0,1),0),$A620-TEXT(DATEVALUE($D620&amp;"-01"), "dd-mm-yyyy")),0),0)</f>
        <v>297</v>
      </c>
      <c r="P620" s="1">
        <f t="shared" si="25"/>
        <v>43586</v>
      </c>
      <c r="Q620">
        <f t="shared" si="26"/>
        <v>397</v>
      </c>
    </row>
    <row r="621" spans="1:17" x14ac:dyDescent="0.25">
      <c r="A621" s="1">
        <f t="shared" si="27"/>
        <v>43983</v>
      </c>
      <c r="B621" t="s">
        <v>166</v>
      </c>
      <c r="C621" t="str">
        <f>_xlfn.XLOOKUP(B621,Phone_by_Price!$A$2:$A$34,Phone_by_Price!$B$2:$B$34,"-",0,1)</f>
        <v>Xiaomi Redmi Note 7</v>
      </c>
      <c r="D621" t="str">
        <f>_xlfn.XLOOKUP(C621,Phone_by_Sentiment!$B$2:$B$37,Phone_by_Sentiment!$A$2:$A$37,"-",0,1)</f>
        <v>2019-08</v>
      </c>
      <c r="E621" cm="1">
        <f t="array" ref="E621">IF($Q621&gt;=0,IFERROR(generateSalesData($D621, IF(ISNUMBER(_xlfn.XLOOKUP($C621,Phone_by_Sentiment!$B$2:$B$37,Phone_by_Sentiment!E$2:E$37,"",0,1)),_xlfn.XLOOKUP($C621,Phone_by_Sentiment!$B$2:$B$37,Phone_by_Sentiment!E$2:E$37,"",0,1),0),$A621-TEXT(DATEVALUE($D621&amp;"-01"), "dd-mm-yyyy")),0),0)</f>
        <v>167</v>
      </c>
      <c r="F621" cm="1">
        <f t="array" ref="F621">IF($Q621&gt;=0,IFERROR(generateSalesData($D621, IF(ISNUMBER(_xlfn.XLOOKUP($C621,Phone_by_Sentiment!$B$2:$B$37,Phone_by_Sentiment!F$2:F$37,"",0,1)),_xlfn.XLOOKUP($C621,Phone_by_Sentiment!$B$2:$B$37,Phone_by_Sentiment!F$2:F$37,"",0,1),0),$A621-TEXT(DATEVALUE($D621&amp;"-01"), "dd-mm-yyyy")),0),0)</f>
        <v>405</v>
      </c>
      <c r="G621" cm="1">
        <f t="array" ref="G621">IF($Q621&gt;=0,IFERROR(generateSalesData($D621, IF(ISNUMBER(_xlfn.XLOOKUP($C621,Phone_by_Sentiment!$B$2:$B$37,Phone_by_Sentiment!G$2:G$37,"",0,1)),_xlfn.XLOOKUP($C621,Phone_by_Sentiment!$B$2:$B$37,Phone_by_Sentiment!G$2:G$37,"",0,1),0),$A621-TEXT(DATEVALUE($D621&amp;"-01"), "dd-mm-yyyy")),0),0)</f>
        <v>194</v>
      </c>
      <c r="H621" cm="1">
        <f t="array" ref="H621">IF($Q621&gt;=0,IFERROR(generateSalesData($D621, IF(ISNUMBER(_xlfn.XLOOKUP($C621,Phone_by_Sentiment!$B$2:$B$37,Phone_by_Sentiment!H$2:H$37,"",0,1)),_xlfn.XLOOKUP($C621,Phone_by_Sentiment!$B$2:$B$37,Phone_by_Sentiment!H$2:H$37,"",0,1),0),$A621-TEXT(DATEVALUE($D621&amp;"-01"), "dd-mm-yyyy")),0),0)</f>
        <v>980</v>
      </c>
      <c r="I621" cm="1">
        <f t="array" ref="I621">IF($Q621&gt;=0,IFERROR(generateSalesData($D621, IF(ISNUMBER(_xlfn.XLOOKUP($C621,Phone_by_Sentiment!$B$2:$B$37,Phone_by_Sentiment!I$2:I$37,"",0,1)),_xlfn.XLOOKUP($C621,Phone_by_Sentiment!$B$2:$B$37,Phone_by_Sentiment!I$2:I$37,"",0,1),0),$A621-TEXT(DATEVALUE($D621&amp;"-01"), "dd-mm-yyyy")),0),0)</f>
        <v>95</v>
      </c>
      <c r="J621" cm="1">
        <f t="array" ref="J621">IF($Q621&gt;=0,IFERROR(generateSalesData($D621, IF(ISNUMBER(_xlfn.XLOOKUP($C621,Phone_by_Sentiment!$B$2:$B$37,Phone_by_Sentiment!J$2:J$37,"",0,1)),_xlfn.XLOOKUP($C621,Phone_by_Sentiment!$B$2:$B$37,Phone_by_Sentiment!J$2:J$37,"",0,1),0),$A621-TEXT(DATEVALUE($D621&amp;"-01"), "dd-mm-yyyy")),0),0)</f>
        <v>236</v>
      </c>
      <c r="K621" cm="1">
        <f t="array" ref="K621">IF($Q621&gt;=0,IFERROR(generateSalesData($D621, IF(ISNUMBER(_xlfn.XLOOKUP($C621,Phone_by_Sentiment!$B$2:$B$37,Phone_by_Sentiment!K$2:K$37,"",0,1)),_xlfn.XLOOKUP($C621,Phone_by_Sentiment!$B$2:$B$37,Phone_by_Sentiment!K$2:K$37,"",0,1),0),$A621-TEXT(DATEVALUE($D621&amp;"-01"), "dd-mm-yyyy")),0),0)</f>
        <v>342</v>
      </c>
      <c r="L621" cm="1">
        <f t="array" ref="L621">IF($Q621&gt;=0,IFERROR(generateSalesData($D621, IF(ISNUMBER(_xlfn.XLOOKUP($C621,Phone_by_Sentiment!$B$2:$B$37,Phone_by_Sentiment!L$2:L$37,"",0,1)),_xlfn.XLOOKUP($C621,Phone_by_Sentiment!$B$2:$B$37,Phone_by_Sentiment!L$2:L$37,"",0,1),0),$A621-TEXT(DATEVALUE($D621&amp;"-01"), "dd-mm-yyyy")),0),0)</f>
        <v>263</v>
      </c>
      <c r="M621" cm="1">
        <f t="array" ref="M621">IF($Q621&gt;=0,IFERROR(generateSalesData($D621, IF(ISNUMBER(_xlfn.XLOOKUP($C621,Phone_by_Sentiment!$B$2:$B$37,Phone_by_Sentiment!M$2:M$37,"",0,1)),_xlfn.XLOOKUP($C621,Phone_by_Sentiment!$B$2:$B$37,Phone_by_Sentiment!M$2:M$37,"",0,1),0),$A621-TEXT(DATEVALUE($D621&amp;"-01"), "dd-mm-yyyy")),0),0)</f>
        <v>650</v>
      </c>
      <c r="N621" cm="1">
        <f t="array" ref="N621">IF($Q621&gt;=0,IFERROR(generateSalesData($D621, IF(ISNUMBER(_xlfn.XLOOKUP($C621,Phone_by_Sentiment!$B$2:$B$37,Phone_by_Sentiment!N$2:N$37,"",0,1)),_xlfn.XLOOKUP($C621,Phone_by_Sentiment!$B$2:$B$37,Phone_by_Sentiment!N$2:N$37,"",0,1),0),$A621-TEXT(DATEVALUE($D621&amp;"-01"), "dd-mm-yyyy")),0),0)</f>
        <v>164</v>
      </c>
      <c r="O621" cm="1">
        <f t="array" ref="O621">IF($Q621&gt;=0,IFERROR(generateSalesData($D621, IF(ISNUMBER(_xlfn.XLOOKUP($C621,Phone_by_Sentiment!$B$2:$B$37,Phone_by_Sentiment!O$2:O$37,"",0,1)),_xlfn.XLOOKUP($C621,Phone_by_Sentiment!$B$2:$B$37,Phone_by_Sentiment!O$2:O$37,"",0,1),0),$A621-TEXT(DATEVALUE($D621&amp;"-01"), "dd-mm-yyyy")),0),0)</f>
        <v>906</v>
      </c>
      <c r="P621" s="1">
        <f t="shared" si="25"/>
        <v>43678</v>
      </c>
      <c r="Q621">
        <f t="shared" si="26"/>
        <v>305</v>
      </c>
    </row>
    <row r="622" spans="1:17" x14ac:dyDescent="0.25">
      <c r="A622" s="1">
        <f t="shared" si="27"/>
        <v>43983</v>
      </c>
      <c r="B622" t="s">
        <v>167</v>
      </c>
      <c r="C622" t="str">
        <f>_xlfn.XLOOKUP(B622,Phone_by_Price!$A$2:$A$34,Phone_by_Price!$B$2:$B$34,"-",0,1)</f>
        <v>Realme C21</v>
      </c>
      <c r="D622" t="str">
        <f>_xlfn.XLOOKUP(C622,Phone_by_Sentiment!$B$2:$B$37,Phone_by_Sentiment!$A$2:$A$37,"-",0,1)</f>
        <v>2021-04</v>
      </c>
      <c r="E622" cm="1">
        <f t="array" ref="E622">IF($Q622&gt;=0,IFERROR(generateSalesData($D622, IF(ISNUMBER(_xlfn.XLOOKUP($C622,Phone_by_Sentiment!$B$2:$B$37,Phone_by_Sentiment!E$2:E$37,"",0,1)),_xlfn.XLOOKUP($C622,Phone_by_Sentiment!$B$2:$B$37,Phone_by_Sentiment!E$2:E$37,"",0,1),0),$A622-TEXT(DATEVALUE($D622&amp;"-01"), "dd-mm-yyyy")),0),0)</f>
        <v>0</v>
      </c>
      <c r="F622" cm="1">
        <f t="array" ref="F622">IF($Q622&gt;=0,IFERROR(generateSalesData($D622, IF(ISNUMBER(_xlfn.XLOOKUP($C622,Phone_by_Sentiment!$B$2:$B$37,Phone_by_Sentiment!F$2:F$37,"",0,1)),_xlfn.XLOOKUP($C622,Phone_by_Sentiment!$B$2:$B$37,Phone_by_Sentiment!F$2:F$37,"",0,1),0),$A622-TEXT(DATEVALUE($D622&amp;"-01"), "dd-mm-yyyy")),0),0)</f>
        <v>0</v>
      </c>
      <c r="G622" cm="1">
        <f t="array" ref="G622">IF($Q622&gt;=0,IFERROR(generateSalesData($D622, IF(ISNUMBER(_xlfn.XLOOKUP($C622,Phone_by_Sentiment!$B$2:$B$37,Phone_by_Sentiment!G$2:G$37,"",0,1)),_xlfn.XLOOKUP($C622,Phone_by_Sentiment!$B$2:$B$37,Phone_by_Sentiment!G$2:G$37,"",0,1),0),$A622-TEXT(DATEVALUE($D622&amp;"-01"), "dd-mm-yyyy")),0),0)</f>
        <v>0</v>
      </c>
      <c r="H622" cm="1">
        <f t="array" ref="H622">IF($Q622&gt;=0,IFERROR(generateSalesData($D622, IF(ISNUMBER(_xlfn.XLOOKUP($C622,Phone_by_Sentiment!$B$2:$B$37,Phone_by_Sentiment!H$2:H$37,"",0,1)),_xlfn.XLOOKUP($C622,Phone_by_Sentiment!$B$2:$B$37,Phone_by_Sentiment!H$2:H$37,"",0,1),0),$A622-TEXT(DATEVALUE($D622&amp;"-01"), "dd-mm-yyyy")),0),0)</f>
        <v>0</v>
      </c>
      <c r="I622" cm="1">
        <f t="array" ref="I622">IF($Q622&gt;=0,IFERROR(generateSalesData($D622, IF(ISNUMBER(_xlfn.XLOOKUP($C622,Phone_by_Sentiment!$B$2:$B$37,Phone_by_Sentiment!I$2:I$37,"",0,1)),_xlfn.XLOOKUP($C622,Phone_by_Sentiment!$B$2:$B$37,Phone_by_Sentiment!I$2:I$37,"",0,1),0),$A622-TEXT(DATEVALUE($D622&amp;"-01"), "dd-mm-yyyy")),0),0)</f>
        <v>0</v>
      </c>
      <c r="J622" cm="1">
        <f t="array" ref="J622">IF($Q622&gt;=0,IFERROR(generateSalesData($D622, IF(ISNUMBER(_xlfn.XLOOKUP($C622,Phone_by_Sentiment!$B$2:$B$37,Phone_by_Sentiment!J$2:J$37,"",0,1)),_xlfn.XLOOKUP($C622,Phone_by_Sentiment!$B$2:$B$37,Phone_by_Sentiment!J$2:J$37,"",0,1),0),$A622-TEXT(DATEVALUE($D622&amp;"-01"), "dd-mm-yyyy")),0),0)</f>
        <v>0</v>
      </c>
      <c r="K622" cm="1">
        <f t="array" ref="K622">IF($Q622&gt;=0,IFERROR(generateSalesData($D622, IF(ISNUMBER(_xlfn.XLOOKUP($C622,Phone_by_Sentiment!$B$2:$B$37,Phone_by_Sentiment!K$2:K$37,"",0,1)),_xlfn.XLOOKUP($C622,Phone_by_Sentiment!$B$2:$B$37,Phone_by_Sentiment!K$2:K$37,"",0,1),0),$A622-TEXT(DATEVALUE($D622&amp;"-01"), "dd-mm-yyyy")),0),0)</f>
        <v>0</v>
      </c>
      <c r="L622" cm="1">
        <f t="array" ref="L622">IF($Q622&gt;=0,IFERROR(generateSalesData($D622, IF(ISNUMBER(_xlfn.XLOOKUP($C622,Phone_by_Sentiment!$B$2:$B$37,Phone_by_Sentiment!L$2:L$37,"",0,1)),_xlfn.XLOOKUP($C622,Phone_by_Sentiment!$B$2:$B$37,Phone_by_Sentiment!L$2:L$37,"",0,1),0),$A622-TEXT(DATEVALUE($D622&amp;"-01"), "dd-mm-yyyy")),0),0)</f>
        <v>0</v>
      </c>
      <c r="M622" cm="1">
        <f t="array" ref="M622">IF($Q622&gt;=0,IFERROR(generateSalesData($D622, IF(ISNUMBER(_xlfn.XLOOKUP($C622,Phone_by_Sentiment!$B$2:$B$37,Phone_by_Sentiment!M$2:M$37,"",0,1)),_xlfn.XLOOKUP($C622,Phone_by_Sentiment!$B$2:$B$37,Phone_by_Sentiment!M$2:M$37,"",0,1),0),$A622-TEXT(DATEVALUE($D622&amp;"-01"), "dd-mm-yyyy")),0),0)</f>
        <v>0</v>
      </c>
      <c r="N622" cm="1">
        <f t="array" ref="N622">IF($Q622&gt;=0,IFERROR(generateSalesData($D622, IF(ISNUMBER(_xlfn.XLOOKUP($C622,Phone_by_Sentiment!$B$2:$B$37,Phone_by_Sentiment!N$2:N$37,"",0,1)),_xlfn.XLOOKUP($C622,Phone_by_Sentiment!$B$2:$B$37,Phone_by_Sentiment!N$2:N$37,"",0,1),0),$A622-TEXT(DATEVALUE($D622&amp;"-01"), "dd-mm-yyyy")),0),0)</f>
        <v>0</v>
      </c>
      <c r="O622" cm="1">
        <f t="array" ref="O622">IF($Q622&gt;=0,IFERROR(generateSalesData($D622, IF(ISNUMBER(_xlfn.XLOOKUP($C622,Phone_by_Sentiment!$B$2:$B$37,Phone_by_Sentiment!O$2:O$37,"",0,1)),_xlfn.XLOOKUP($C622,Phone_by_Sentiment!$B$2:$B$37,Phone_by_Sentiment!O$2:O$37,"",0,1),0),$A622-TEXT(DATEVALUE($D622&amp;"-01"), "dd-mm-yyyy")),0),0)</f>
        <v>0</v>
      </c>
      <c r="P622" s="1">
        <f t="shared" si="25"/>
        <v>44287</v>
      </c>
      <c r="Q622">
        <f t="shared" si="26"/>
        <v>-304</v>
      </c>
    </row>
    <row r="623" spans="1:17" x14ac:dyDescent="0.25">
      <c r="A623" s="1">
        <f t="shared" si="27"/>
        <v>43983</v>
      </c>
      <c r="B623" t="s">
        <v>168</v>
      </c>
      <c r="C623" t="str">
        <f>_xlfn.XLOOKUP(B623,Phone_by_Price!$A$2:$A$34,Phone_by_Price!$B$2:$B$34,"-",0,1)</f>
        <v>Google Pixel 4</v>
      </c>
      <c r="D623" t="str">
        <f>_xlfn.XLOOKUP(C623,Phone_by_Sentiment!$B$2:$B$37,Phone_by_Sentiment!$A$2:$A$37,"-",0,1)</f>
        <v>2019-09</v>
      </c>
      <c r="E623" cm="1">
        <f t="array" ref="E623">IF($Q623&gt;=0,IFERROR(generateSalesData($D623, IF(ISNUMBER(_xlfn.XLOOKUP($C623,Phone_by_Sentiment!$B$2:$B$37,Phone_by_Sentiment!E$2:E$37,"",0,1)),_xlfn.XLOOKUP($C623,Phone_by_Sentiment!$B$2:$B$37,Phone_by_Sentiment!E$2:E$37,"",0,1),0),$A623-TEXT(DATEVALUE($D623&amp;"-01"), "dd-mm-yyyy")),0),0)</f>
        <v>1046</v>
      </c>
      <c r="F623" cm="1">
        <f t="array" ref="F623">IF($Q623&gt;=0,IFERROR(generateSalesData($D623, IF(ISNUMBER(_xlfn.XLOOKUP($C623,Phone_by_Sentiment!$B$2:$B$37,Phone_by_Sentiment!F$2:F$37,"",0,1)),_xlfn.XLOOKUP($C623,Phone_by_Sentiment!$B$2:$B$37,Phone_by_Sentiment!F$2:F$37,"",0,1),0),$A623-TEXT(DATEVALUE($D623&amp;"-01"), "dd-mm-yyyy")),0),0)</f>
        <v>-3</v>
      </c>
      <c r="G623" cm="1">
        <f t="array" ref="G623">IF($Q623&gt;=0,IFERROR(generateSalesData($D623, IF(ISNUMBER(_xlfn.XLOOKUP($C623,Phone_by_Sentiment!$B$2:$B$37,Phone_by_Sentiment!G$2:G$37,"",0,1)),_xlfn.XLOOKUP($C623,Phone_by_Sentiment!$B$2:$B$37,Phone_by_Sentiment!G$2:G$37,"",0,1),0),$A623-TEXT(DATEVALUE($D623&amp;"-01"), "dd-mm-yyyy")),0),0)</f>
        <v>248</v>
      </c>
      <c r="H623" cm="1">
        <f t="array" ref="H623">IF($Q623&gt;=0,IFERROR(generateSalesData($D623, IF(ISNUMBER(_xlfn.XLOOKUP($C623,Phone_by_Sentiment!$B$2:$B$37,Phone_by_Sentiment!H$2:H$37,"",0,1)),_xlfn.XLOOKUP($C623,Phone_by_Sentiment!$B$2:$B$37,Phone_by_Sentiment!H$2:H$37,"",0,1),0),$A623-TEXT(DATEVALUE($D623&amp;"-01"), "dd-mm-yyyy")),0),0)</f>
        <v>306</v>
      </c>
      <c r="I623" cm="1">
        <f t="array" ref="I623">IF($Q623&gt;=0,IFERROR(generateSalesData($D623, IF(ISNUMBER(_xlfn.XLOOKUP($C623,Phone_by_Sentiment!$B$2:$B$37,Phone_by_Sentiment!I$2:I$37,"",0,1)),_xlfn.XLOOKUP($C623,Phone_by_Sentiment!$B$2:$B$37,Phone_by_Sentiment!I$2:I$37,"",0,1),0),$A623-TEXT(DATEVALUE($D623&amp;"-01"), "dd-mm-yyyy")),0),0)</f>
        <v>306</v>
      </c>
      <c r="J623" cm="1">
        <f t="array" ref="J623">IF($Q623&gt;=0,IFERROR(generateSalesData($D623, IF(ISNUMBER(_xlfn.XLOOKUP($C623,Phone_by_Sentiment!$B$2:$B$37,Phone_by_Sentiment!J$2:J$37,"",0,1)),_xlfn.XLOOKUP($C623,Phone_by_Sentiment!$B$2:$B$37,Phone_by_Sentiment!J$2:J$37,"",0,1),0),$A623-TEXT(DATEVALUE($D623&amp;"-01"), "dd-mm-yyyy")),0),0)</f>
        <v>162</v>
      </c>
      <c r="K623" cm="1">
        <f t="array" ref="K623">IF($Q623&gt;=0,IFERROR(generateSalesData($D623, IF(ISNUMBER(_xlfn.XLOOKUP($C623,Phone_by_Sentiment!$B$2:$B$37,Phone_by_Sentiment!K$2:K$37,"",0,1)),_xlfn.XLOOKUP($C623,Phone_by_Sentiment!$B$2:$B$37,Phone_by_Sentiment!K$2:K$37,"",0,1),0),$A623-TEXT(DATEVALUE($D623&amp;"-01"), "dd-mm-yyyy")),0),0)</f>
        <v>529</v>
      </c>
      <c r="L623" cm="1">
        <f t="array" ref="L623">IF($Q623&gt;=0,IFERROR(generateSalesData($D623, IF(ISNUMBER(_xlfn.XLOOKUP($C623,Phone_by_Sentiment!$B$2:$B$37,Phone_by_Sentiment!L$2:L$37,"",0,1)),_xlfn.XLOOKUP($C623,Phone_by_Sentiment!$B$2:$B$37,Phone_by_Sentiment!L$2:L$37,"",0,1),0),$A623-TEXT(DATEVALUE($D623&amp;"-01"), "dd-mm-yyyy")),0),0)</f>
        <v>1487</v>
      </c>
      <c r="M623" cm="1">
        <f t="array" ref="M623">IF($Q623&gt;=0,IFERROR(generateSalesData($D623, IF(ISNUMBER(_xlfn.XLOOKUP($C623,Phone_by_Sentiment!$B$2:$B$37,Phone_by_Sentiment!M$2:M$37,"",0,1)),_xlfn.XLOOKUP($C623,Phone_by_Sentiment!$B$2:$B$37,Phone_by_Sentiment!M$2:M$37,"",0,1),0),$A623-TEXT(DATEVALUE($D623&amp;"-01"), "dd-mm-yyyy")),0),0)</f>
        <v>152</v>
      </c>
      <c r="N623" cm="1">
        <f t="array" ref="N623">IF($Q623&gt;=0,IFERROR(generateSalesData($D623, IF(ISNUMBER(_xlfn.XLOOKUP($C623,Phone_by_Sentiment!$B$2:$B$37,Phone_by_Sentiment!N$2:N$37,"",0,1)),_xlfn.XLOOKUP($C623,Phone_by_Sentiment!$B$2:$B$37,Phone_by_Sentiment!N$2:N$37,"",0,1),0),$A623-TEXT(DATEVALUE($D623&amp;"-01"), "dd-mm-yyyy")),0),0)</f>
        <v>464</v>
      </c>
      <c r="O623" cm="1">
        <f t="array" ref="O623">IF($Q623&gt;=0,IFERROR(generateSalesData($D623, IF(ISNUMBER(_xlfn.XLOOKUP($C623,Phone_by_Sentiment!$B$2:$B$37,Phone_by_Sentiment!O$2:O$37,"",0,1)),_xlfn.XLOOKUP($C623,Phone_by_Sentiment!$B$2:$B$37,Phone_by_Sentiment!O$2:O$37,"",0,1),0),$A623-TEXT(DATEVALUE($D623&amp;"-01"), "dd-mm-yyyy")),0),0)</f>
        <v>244</v>
      </c>
      <c r="P623" s="1">
        <f t="shared" si="25"/>
        <v>43709</v>
      </c>
      <c r="Q623">
        <f t="shared" si="26"/>
        <v>274</v>
      </c>
    </row>
    <row r="624" spans="1:17" x14ac:dyDescent="0.25">
      <c r="A624" s="1">
        <f t="shared" si="27"/>
        <v>43983</v>
      </c>
      <c r="B624" t="s">
        <v>169</v>
      </c>
      <c r="C624" t="str">
        <f>_xlfn.XLOOKUP(B624,Phone_by_Price!$A$2:$A$34,Phone_by_Price!$B$2:$B$34,"-",0,1)</f>
        <v>Samsung Galaxy A10s</v>
      </c>
      <c r="D624" t="str">
        <f>_xlfn.XLOOKUP(C624,Phone_by_Sentiment!$B$2:$B$37,Phone_by_Sentiment!$A$2:$A$37,"-",0,1)</f>
        <v>2019-08</v>
      </c>
      <c r="E624" cm="1">
        <f t="array" ref="E624">IF($Q624&gt;=0,IFERROR(generateSalesData($D624, IF(ISNUMBER(_xlfn.XLOOKUP($C624,Phone_by_Sentiment!$B$2:$B$37,Phone_by_Sentiment!E$2:E$37,"",0,1)),_xlfn.XLOOKUP($C624,Phone_by_Sentiment!$B$2:$B$37,Phone_by_Sentiment!E$2:E$37,"",0,1),0),$A624-TEXT(DATEVALUE($D624&amp;"-01"), "dd-mm-yyyy")),0),0)</f>
        <v>179</v>
      </c>
      <c r="F624" cm="1">
        <f t="array" ref="F624">IF($Q624&gt;=0,IFERROR(generateSalesData($D624, IF(ISNUMBER(_xlfn.XLOOKUP($C624,Phone_by_Sentiment!$B$2:$B$37,Phone_by_Sentiment!F$2:F$37,"",0,1)),_xlfn.XLOOKUP($C624,Phone_by_Sentiment!$B$2:$B$37,Phone_by_Sentiment!F$2:F$37,"",0,1),0),$A624-TEXT(DATEVALUE($D624&amp;"-01"), "dd-mm-yyyy")),0),0)</f>
        <v>334</v>
      </c>
      <c r="G624" cm="1">
        <f t="array" ref="G624">IF($Q624&gt;=0,IFERROR(generateSalesData($D624, IF(ISNUMBER(_xlfn.XLOOKUP($C624,Phone_by_Sentiment!$B$2:$B$37,Phone_by_Sentiment!G$2:G$37,"",0,1)),_xlfn.XLOOKUP($C624,Phone_by_Sentiment!$B$2:$B$37,Phone_by_Sentiment!G$2:G$37,"",0,1),0),$A624-TEXT(DATEVALUE($D624&amp;"-01"), "dd-mm-yyyy")),0),0)</f>
        <v>380</v>
      </c>
      <c r="H624" cm="1">
        <f t="array" ref="H624">IF($Q624&gt;=0,IFERROR(generateSalesData($D624, IF(ISNUMBER(_xlfn.XLOOKUP($C624,Phone_by_Sentiment!$B$2:$B$37,Phone_by_Sentiment!H$2:H$37,"",0,1)),_xlfn.XLOOKUP($C624,Phone_by_Sentiment!$B$2:$B$37,Phone_by_Sentiment!H$2:H$37,"",0,1),0),$A624-TEXT(DATEVALUE($D624&amp;"-01"), "dd-mm-yyyy")),0),0)</f>
        <v>298</v>
      </c>
      <c r="I624" cm="1">
        <f t="array" ref="I624">IF($Q624&gt;=0,IFERROR(generateSalesData($D624, IF(ISNUMBER(_xlfn.XLOOKUP($C624,Phone_by_Sentiment!$B$2:$B$37,Phone_by_Sentiment!I$2:I$37,"",0,1)),_xlfn.XLOOKUP($C624,Phone_by_Sentiment!$B$2:$B$37,Phone_by_Sentiment!I$2:I$37,"",0,1),0),$A624-TEXT(DATEVALUE($D624&amp;"-01"), "dd-mm-yyyy")),0),0)</f>
        <v>631</v>
      </c>
      <c r="J624" cm="1">
        <f t="array" ref="J624">IF($Q624&gt;=0,IFERROR(generateSalesData($D624, IF(ISNUMBER(_xlfn.XLOOKUP($C624,Phone_by_Sentiment!$B$2:$B$37,Phone_by_Sentiment!J$2:J$37,"",0,1)),_xlfn.XLOOKUP($C624,Phone_by_Sentiment!$B$2:$B$37,Phone_by_Sentiment!J$2:J$37,"",0,1),0),$A624-TEXT(DATEVALUE($D624&amp;"-01"), "dd-mm-yyyy")),0),0)</f>
        <v>703</v>
      </c>
      <c r="K624" cm="1">
        <f t="array" ref="K624">IF($Q624&gt;=0,IFERROR(generateSalesData($D624, IF(ISNUMBER(_xlfn.XLOOKUP($C624,Phone_by_Sentiment!$B$2:$B$37,Phone_by_Sentiment!K$2:K$37,"",0,1)),_xlfn.XLOOKUP($C624,Phone_by_Sentiment!$B$2:$B$37,Phone_by_Sentiment!K$2:K$37,"",0,1),0),$A624-TEXT(DATEVALUE($D624&amp;"-01"), "dd-mm-yyyy")),0),0)</f>
        <v>552</v>
      </c>
      <c r="L624" cm="1">
        <f t="array" ref="L624">IF($Q624&gt;=0,IFERROR(generateSalesData($D624, IF(ISNUMBER(_xlfn.XLOOKUP($C624,Phone_by_Sentiment!$B$2:$B$37,Phone_by_Sentiment!L$2:L$37,"",0,1)),_xlfn.XLOOKUP($C624,Phone_by_Sentiment!$B$2:$B$37,Phone_by_Sentiment!L$2:L$37,"",0,1),0),$A624-TEXT(DATEVALUE($D624&amp;"-01"), "dd-mm-yyyy")),0),0)</f>
        <v>65</v>
      </c>
      <c r="M624" cm="1">
        <f t="array" ref="M624">IF($Q624&gt;=0,IFERROR(generateSalesData($D624, IF(ISNUMBER(_xlfn.XLOOKUP($C624,Phone_by_Sentiment!$B$2:$B$37,Phone_by_Sentiment!M$2:M$37,"",0,1)),_xlfn.XLOOKUP($C624,Phone_by_Sentiment!$B$2:$B$37,Phone_by_Sentiment!M$2:M$37,"",0,1),0),$A624-TEXT(DATEVALUE($D624&amp;"-01"), "dd-mm-yyyy")),0),0)</f>
        <v>422</v>
      </c>
      <c r="N624" cm="1">
        <f t="array" ref="N624">IF($Q624&gt;=0,IFERROR(generateSalesData($D624, IF(ISNUMBER(_xlfn.XLOOKUP($C624,Phone_by_Sentiment!$B$2:$B$37,Phone_by_Sentiment!N$2:N$37,"",0,1)),_xlfn.XLOOKUP($C624,Phone_by_Sentiment!$B$2:$B$37,Phone_by_Sentiment!N$2:N$37,"",0,1),0),$A624-TEXT(DATEVALUE($D624&amp;"-01"), "dd-mm-yyyy")),0),0)</f>
        <v>306</v>
      </c>
      <c r="O624" cm="1">
        <f t="array" ref="O624">IF($Q624&gt;=0,IFERROR(generateSalesData($D624, IF(ISNUMBER(_xlfn.XLOOKUP($C624,Phone_by_Sentiment!$B$2:$B$37,Phone_by_Sentiment!O$2:O$37,"",0,1)),_xlfn.XLOOKUP($C624,Phone_by_Sentiment!$B$2:$B$37,Phone_by_Sentiment!O$2:O$37,"",0,1),0),$A624-TEXT(DATEVALUE($D624&amp;"-01"), "dd-mm-yyyy")),0),0)</f>
        <v>314</v>
      </c>
      <c r="P624" s="1">
        <f t="shared" si="25"/>
        <v>43678</v>
      </c>
      <c r="Q624">
        <f t="shared" si="26"/>
        <v>305</v>
      </c>
    </row>
    <row r="625" spans="1:17" x14ac:dyDescent="0.25">
      <c r="A625" s="1">
        <f t="shared" si="27"/>
        <v>43983</v>
      </c>
      <c r="B625" t="s">
        <v>170</v>
      </c>
      <c r="C625" t="str">
        <f>_xlfn.XLOOKUP(B625,Phone_by_Price!$A$2:$A$34,Phone_by_Price!$B$2:$B$34,"-",0,1)</f>
        <v>Realme Narzo 30A</v>
      </c>
      <c r="D625" t="str">
        <f>_xlfn.XLOOKUP(C625,Phone_by_Sentiment!$B$2:$B$37,Phone_by_Sentiment!$A$2:$A$37,"-",0,1)</f>
        <v>2021-02</v>
      </c>
      <c r="E625" cm="1">
        <f t="array" ref="E625">IF($Q625&gt;=0,IFERROR(generateSalesData($D625, IF(ISNUMBER(_xlfn.XLOOKUP($C625,Phone_by_Sentiment!$B$2:$B$37,Phone_by_Sentiment!E$2:E$37,"",0,1)),_xlfn.XLOOKUP($C625,Phone_by_Sentiment!$B$2:$B$37,Phone_by_Sentiment!E$2:E$37,"",0,1),0),$A625-TEXT(DATEVALUE($D625&amp;"-01"), "dd-mm-yyyy")),0),0)</f>
        <v>0</v>
      </c>
      <c r="F625" cm="1">
        <f t="array" ref="F625">IF($Q625&gt;=0,IFERROR(generateSalesData($D625, IF(ISNUMBER(_xlfn.XLOOKUP($C625,Phone_by_Sentiment!$B$2:$B$37,Phone_by_Sentiment!F$2:F$37,"",0,1)),_xlfn.XLOOKUP($C625,Phone_by_Sentiment!$B$2:$B$37,Phone_by_Sentiment!F$2:F$37,"",0,1),0),$A625-TEXT(DATEVALUE($D625&amp;"-01"), "dd-mm-yyyy")),0),0)</f>
        <v>0</v>
      </c>
      <c r="G625" cm="1">
        <f t="array" ref="G625">IF($Q625&gt;=0,IFERROR(generateSalesData($D625, IF(ISNUMBER(_xlfn.XLOOKUP($C625,Phone_by_Sentiment!$B$2:$B$37,Phone_by_Sentiment!G$2:G$37,"",0,1)),_xlfn.XLOOKUP($C625,Phone_by_Sentiment!$B$2:$B$37,Phone_by_Sentiment!G$2:G$37,"",0,1),0),$A625-TEXT(DATEVALUE($D625&amp;"-01"), "dd-mm-yyyy")),0),0)</f>
        <v>0</v>
      </c>
      <c r="H625" cm="1">
        <f t="array" ref="H625">IF($Q625&gt;=0,IFERROR(generateSalesData($D625, IF(ISNUMBER(_xlfn.XLOOKUP($C625,Phone_by_Sentiment!$B$2:$B$37,Phone_by_Sentiment!H$2:H$37,"",0,1)),_xlfn.XLOOKUP($C625,Phone_by_Sentiment!$B$2:$B$37,Phone_by_Sentiment!H$2:H$37,"",0,1),0),$A625-TEXT(DATEVALUE($D625&amp;"-01"), "dd-mm-yyyy")),0),0)</f>
        <v>0</v>
      </c>
      <c r="I625" cm="1">
        <f t="array" ref="I625">IF($Q625&gt;=0,IFERROR(generateSalesData($D625, IF(ISNUMBER(_xlfn.XLOOKUP($C625,Phone_by_Sentiment!$B$2:$B$37,Phone_by_Sentiment!I$2:I$37,"",0,1)),_xlfn.XLOOKUP($C625,Phone_by_Sentiment!$B$2:$B$37,Phone_by_Sentiment!I$2:I$37,"",0,1),0),$A625-TEXT(DATEVALUE($D625&amp;"-01"), "dd-mm-yyyy")),0),0)</f>
        <v>0</v>
      </c>
      <c r="J625" cm="1">
        <f t="array" ref="J625">IF($Q625&gt;=0,IFERROR(generateSalesData($D625, IF(ISNUMBER(_xlfn.XLOOKUP($C625,Phone_by_Sentiment!$B$2:$B$37,Phone_by_Sentiment!J$2:J$37,"",0,1)),_xlfn.XLOOKUP($C625,Phone_by_Sentiment!$B$2:$B$37,Phone_by_Sentiment!J$2:J$37,"",0,1),0),$A625-TEXT(DATEVALUE($D625&amp;"-01"), "dd-mm-yyyy")),0),0)</f>
        <v>0</v>
      </c>
      <c r="K625" cm="1">
        <f t="array" ref="K625">IF($Q625&gt;=0,IFERROR(generateSalesData($D625, IF(ISNUMBER(_xlfn.XLOOKUP($C625,Phone_by_Sentiment!$B$2:$B$37,Phone_by_Sentiment!K$2:K$37,"",0,1)),_xlfn.XLOOKUP($C625,Phone_by_Sentiment!$B$2:$B$37,Phone_by_Sentiment!K$2:K$37,"",0,1),0),$A625-TEXT(DATEVALUE($D625&amp;"-01"), "dd-mm-yyyy")),0),0)</f>
        <v>0</v>
      </c>
      <c r="L625" cm="1">
        <f t="array" ref="L625">IF($Q625&gt;=0,IFERROR(generateSalesData($D625, IF(ISNUMBER(_xlfn.XLOOKUP($C625,Phone_by_Sentiment!$B$2:$B$37,Phone_by_Sentiment!L$2:L$37,"",0,1)),_xlfn.XLOOKUP($C625,Phone_by_Sentiment!$B$2:$B$37,Phone_by_Sentiment!L$2:L$37,"",0,1),0),$A625-TEXT(DATEVALUE($D625&amp;"-01"), "dd-mm-yyyy")),0),0)</f>
        <v>0</v>
      </c>
      <c r="M625" cm="1">
        <f t="array" ref="M625">IF($Q625&gt;=0,IFERROR(generateSalesData($D625, IF(ISNUMBER(_xlfn.XLOOKUP($C625,Phone_by_Sentiment!$B$2:$B$37,Phone_by_Sentiment!M$2:M$37,"",0,1)),_xlfn.XLOOKUP($C625,Phone_by_Sentiment!$B$2:$B$37,Phone_by_Sentiment!M$2:M$37,"",0,1),0),$A625-TEXT(DATEVALUE($D625&amp;"-01"), "dd-mm-yyyy")),0),0)</f>
        <v>0</v>
      </c>
      <c r="N625" cm="1">
        <f t="array" ref="N625">IF($Q625&gt;=0,IFERROR(generateSalesData($D625, IF(ISNUMBER(_xlfn.XLOOKUP($C625,Phone_by_Sentiment!$B$2:$B$37,Phone_by_Sentiment!N$2:N$37,"",0,1)),_xlfn.XLOOKUP($C625,Phone_by_Sentiment!$B$2:$B$37,Phone_by_Sentiment!N$2:N$37,"",0,1),0),$A625-TEXT(DATEVALUE($D625&amp;"-01"), "dd-mm-yyyy")),0),0)</f>
        <v>0</v>
      </c>
      <c r="O625" cm="1">
        <f t="array" ref="O625">IF($Q625&gt;=0,IFERROR(generateSalesData($D625, IF(ISNUMBER(_xlfn.XLOOKUP($C625,Phone_by_Sentiment!$B$2:$B$37,Phone_by_Sentiment!O$2:O$37,"",0,1)),_xlfn.XLOOKUP($C625,Phone_by_Sentiment!$B$2:$B$37,Phone_by_Sentiment!O$2:O$37,"",0,1),0),$A625-TEXT(DATEVALUE($D625&amp;"-01"), "dd-mm-yyyy")),0),0)</f>
        <v>0</v>
      </c>
      <c r="P625" s="1">
        <f t="shared" si="25"/>
        <v>44228</v>
      </c>
      <c r="Q625">
        <f t="shared" si="26"/>
        <v>-245</v>
      </c>
    </row>
    <row r="626" spans="1:17" x14ac:dyDescent="0.25">
      <c r="A626" s="1">
        <f t="shared" si="27"/>
        <v>43983</v>
      </c>
      <c r="B626" t="s">
        <v>171</v>
      </c>
      <c r="C626" t="str">
        <f>_xlfn.XLOOKUP(B626,Phone_by_Price!$A$2:$A$34,Phone_by_Price!$B$2:$B$34,"-",0,1)</f>
        <v>Samsung Galaxy A22 5G</v>
      </c>
      <c r="D626" t="str">
        <f>_xlfn.XLOOKUP(C626,Phone_by_Sentiment!$B$2:$B$37,Phone_by_Sentiment!$A$2:$A$37,"-",0,1)</f>
        <v>2021-05</v>
      </c>
      <c r="E626" cm="1">
        <f t="array" ref="E626">IF($Q626&gt;=0,IFERROR(generateSalesData($D626, IF(ISNUMBER(_xlfn.XLOOKUP($C626,Phone_by_Sentiment!$B$2:$B$37,Phone_by_Sentiment!E$2:E$37,"",0,1)),_xlfn.XLOOKUP($C626,Phone_by_Sentiment!$B$2:$B$37,Phone_by_Sentiment!E$2:E$37,"",0,1),0),$A626-TEXT(DATEVALUE($D626&amp;"-01"), "dd-mm-yyyy")),0),0)</f>
        <v>0</v>
      </c>
      <c r="F626" cm="1">
        <f t="array" ref="F626">IF($Q626&gt;=0,IFERROR(generateSalesData($D626, IF(ISNUMBER(_xlfn.XLOOKUP($C626,Phone_by_Sentiment!$B$2:$B$37,Phone_by_Sentiment!F$2:F$37,"",0,1)),_xlfn.XLOOKUP($C626,Phone_by_Sentiment!$B$2:$B$37,Phone_by_Sentiment!F$2:F$37,"",0,1),0),$A626-TEXT(DATEVALUE($D626&amp;"-01"), "dd-mm-yyyy")),0),0)</f>
        <v>0</v>
      </c>
      <c r="G626" cm="1">
        <f t="array" ref="G626">IF($Q626&gt;=0,IFERROR(generateSalesData($D626, IF(ISNUMBER(_xlfn.XLOOKUP($C626,Phone_by_Sentiment!$B$2:$B$37,Phone_by_Sentiment!G$2:G$37,"",0,1)),_xlfn.XLOOKUP($C626,Phone_by_Sentiment!$B$2:$B$37,Phone_by_Sentiment!G$2:G$37,"",0,1),0),$A626-TEXT(DATEVALUE($D626&amp;"-01"), "dd-mm-yyyy")),0),0)</f>
        <v>0</v>
      </c>
      <c r="H626" cm="1">
        <f t="array" ref="H626">IF($Q626&gt;=0,IFERROR(generateSalesData($D626, IF(ISNUMBER(_xlfn.XLOOKUP($C626,Phone_by_Sentiment!$B$2:$B$37,Phone_by_Sentiment!H$2:H$37,"",0,1)),_xlfn.XLOOKUP($C626,Phone_by_Sentiment!$B$2:$B$37,Phone_by_Sentiment!H$2:H$37,"",0,1),0),$A626-TEXT(DATEVALUE($D626&amp;"-01"), "dd-mm-yyyy")),0),0)</f>
        <v>0</v>
      </c>
      <c r="I626" cm="1">
        <f t="array" ref="I626">IF($Q626&gt;=0,IFERROR(generateSalesData($D626, IF(ISNUMBER(_xlfn.XLOOKUP($C626,Phone_by_Sentiment!$B$2:$B$37,Phone_by_Sentiment!I$2:I$37,"",0,1)),_xlfn.XLOOKUP($C626,Phone_by_Sentiment!$B$2:$B$37,Phone_by_Sentiment!I$2:I$37,"",0,1),0),$A626-TEXT(DATEVALUE($D626&amp;"-01"), "dd-mm-yyyy")),0),0)</f>
        <v>0</v>
      </c>
      <c r="J626" cm="1">
        <f t="array" ref="J626">IF($Q626&gt;=0,IFERROR(generateSalesData($D626, IF(ISNUMBER(_xlfn.XLOOKUP($C626,Phone_by_Sentiment!$B$2:$B$37,Phone_by_Sentiment!J$2:J$37,"",0,1)),_xlfn.XLOOKUP($C626,Phone_by_Sentiment!$B$2:$B$37,Phone_by_Sentiment!J$2:J$37,"",0,1),0),$A626-TEXT(DATEVALUE($D626&amp;"-01"), "dd-mm-yyyy")),0),0)</f>
        <v>0</v>
      </c>
      <c r="K626" cm="1">
        <f t="array" ref="K626">IF($Q626&gt;=0,IFERROR(generateSalesData($D626, IF(ISNUMBER(_xlfn.XLOOKUP($C626,Phone_by_Sentiment!$B$2:$B$37,Phone_by_Sentiment!K$2:K$37,"",0,1)),_xlfn.XLOOKUP($C626,Phone_by_Sentiment!$B$2:$B$37,Phone_by_Sentiment!K$2:K$37,"",0,1),0),$A626-TEXT(DATEVALUE($D626&amp;"-01"), "dd-mm-yyyy")),0),0)</f>
        <v>0</v>
      </c>
      <c r="L626" cm="1">
        <f t="array" ref="L626">IF($Q626&gt;=0,IFERROR(generateSalesData($D626, IF(ISNUMBER(_xlfn.XLOOKUP($C626,Phone_by_Sentiment!$B$2:$B$37,Phone_by_Sentiment!L$2:L$37,"",0,1)),_xlfn.XLOOKUP($C626,Phone_by_Sentiment!$B$2:$B$37,Phone_by_Sentiment!L$2:L$37,"",0,1),0),$A626-TEXT(DATEVALUE($D626&amp;"-01"), "dd-mm-yyyy")),0),0)</f>
        <v>0</v>
      </c>
      <c r="M626" cm="1">
        <f t="array" ref="M626">IF($Q626&gt;=0,IFERROR(generateSalesData($D626, IF(ISNUMBER(_xlfn.XLOOKUP($C626,Phone_by_Sentiment!$B$2:$B$37,Phone_by_Sentiment!M$2:M$37,"",0,1)),_xlfn.XLOOKUP($C626,Phone_by_Sentiment!$B$2:$B$37,Phone_by_Sentiment!M$2:M$37,"",0,1),0),$A626-TEXT(DATEVALUE($D626&amp;"-01"), "dd-mm-yyyy")),0),0)</f>
        <v>0</v>
      </c>
      <c r="N626" cm="1">
        <f t="array" ref="N626">IF($Q626&gt;=0,IFERROR(generateSalesData($D626, IF(ISNUMBER(_xlfn.XLOOKUP($C626,Phone_by_Sentiment!$B$2:$B$37,Phone_by_Sentiment!N$2:N$37,"",0,1)),_xlfn.XLOOKUP($C626,Phone_by_Sentiment!$B$2:$B$37,Phone_by_Sentiment!N$2:N$37,"",0,1),0),$A626-TEXT(DATEVALUE($D626&amp;"-01"), "dd-mm-yyyy")),0),0)</f>
        <v>0</v>
      </c>
      <c r="O626" cm="1">
        <f t="array" ref="O626">IF($Q626&gt;=0,IFERROR(generateSalesData($D626, IF(ISNUMBER(_xlfn.XLOOKUP($C626,Phone_by_Sentiment!$B$2:$B$37,Phone_by_Sentiment!O$2:O$37,"",0,1)),_xlfn.XLOOKUP($C626,Phone_by_Sentiment!$B$2:$B$37,Phone_by_Sentiment!O$2:O$37,"",0,1),0),$A626-TEXT(DATEVALUE($D626&amp;"-01"), "dd-mm-yyyy")),0),0)</f>
        <v>0</v>
      </c>
      <c r="P626" s="1">
        <f t="shared" si="25"/>
        <v>44317</v>
      </c>
      <c r="Q626">
        <f t="shared" si="26"/>
        <v>-334</v>
      </c>
    </row>
    <row r="627" spans="1:17" x14ac:dyDescent="0.25">
      <c r="A627" s="1">
        <f t="shared" si="27"/>
        <v>43983</v>
      </c>
      <c r="B627" t="s">
        <v>172</v>
      </c>
      <c r="C627" t="str">
        <f>_xlfn.XLOOKUP(B627,Phone_by_Price!$A$2:$A$34,Phone_by_Price!$B$2:$B$34,"-",0,1)</f>
        <v>Xiaomi Redmi 9</v>
      </c>
      <c r="D627" t="str">
        <f>_xlfn.XLOOKUP(C627,Phone_by_Sentiment!$B$2:$B$37,Phone_by_Sentiment!$A$2:$A$37,"-",0,1)</f>
        <v>2020-08</v>
      </c>
      <c r="E627" cm="1">
        <f t="array" ref="E627">IF($Q627&gt;=0,IFERROR(generateSalesData($D627, IF(ISNUMBER(_xlfn.XLOOKUP($C627,Phone_by_Sentiment!$B$2:$B$37,Phone_by_Sentiment!E$2:E$37,"",0,1)),_xlfn.XLOOKUP($C627,Phone_by_Sentiment!$B$2:$B$37,Phone_by_Sentiment!E$2:E$37,"",0,1),0),$A627-TEXT(DATEVALUE($D627&amp;"-01"), "dd-mm-yyyy")),0),0)</f>
        <v>0</v>
      </c>
      <c r="F627" cm="1">
        <f t="array" ref="F627">IF($Q627&gt;=0,IFERROR(generateSalesData($D627, IF(ISNUMBER(_xlfn.XLOOKUP($C627,Phone_by_Sentiment!$B$2:$B$37,Phone_by_Sentiment!F$2:F$37,"",0,1)),_xlfn.XLOOKUP($C627,Phone_by_Sentiment!$B$2:$B$37,Phone_by_Sentiment!F$2:F$37,"",0,1),0),$A627-TEXT(DATEVALUE($D627&amp;"-01"), "dd-mm-yyyy")),0),0)</f>
        <v>0</v>
      </c>
      <c r="G627" cm="1">
        <f t="array" ref="G627">IF($Q627&gt;=0,IFERROR(generateSalesData($D627, IF(ISNUMBER(_xlfn.XLOOKUP($C627,Phone_by_Sentiment!$B$2:$B$37,Phone_by_Sentiment!G$2:G$37,"",0,1)),_xlfn.XLOOKUP($C627,Phone_by_Sentiment!$B$2:$B$37,Phone_by_Sentiment!G$2:G$37,"",0,1),0),$A627-TEXT(DATEVALUE($D627&amp;"-01"), "dd-mm-yyyy")),0),0)</f>
        <v>0</v>
      </c>
      <c r="H627" cm="1">
        <f t="array" ref="H627">IF($Q627&gt;=0,IFERROR(generateSalesData($D627, IF(ISNUMBER(_xlfn.XLOOKUP($C627,Phone_by_Sentiment!$B$2:$B$37,Phone_by_Sentiment!H$2:H$37,"",0,1)),_xlfn.XLOOKUP($C627,Phone_by_Sentiment!$B$2:$B$37,Phone_by_Sentiment!H$2:H$37,"",0,1),0),$A627-TEXT(DATEVALUE($D627&amp;"-01"), "dd-mm-yyyy")),0),0)</f>
        <v>0</v>
      </c>
      <c r="I627" cm="1">
        <f t="array" ref="I627">IF($Q627&gt;=0,IFERROR(generateSalesData($D627, IF(ISNUMBER(_xlfn.XLOOKUP($C627,Phone_by_Sentiment!$B$2:$B$37,Phone_by_Sentiment!I$2:I$37,"",0,1)),_xlfn.XLOOKUP($C627,Phone_by_Sentiment!$B$2:$B$37,Phone_by_Sentiment!I$2:I$37,"",0,1),0),$A627-TEXT(DATEVALUE($D627&amp;"-01"), "dd-mm-yyyy")),0),0)</f>
        <v>0</v>
      </c>
      <c r="J627" cm="1">
        <f t="array" ref="J627">IF($Q627&gt;=0,IFERROR(generateSalesData($D627, IF(ISNUMBER(_xlfn.XLOOKUP($C627,Phone_by_Sentiment!$B$2:$B$37,Phone_by_Sentiment!J$2:J$37,"",0,1)),_xlfn.XLOOKUP($C627,Phone_by_Sentiment!$B$2:$B$37,Phone_by_Sentiment!J$2:J$37,"",0,1),0),$A627-TEXT(DATEVALUE($D627&amp;"-01"), "dd-mm-yyyy")),0),0)</f>
        <v>0</v>
      </c>
      <c r="K627" cm="1">
        <f t="array" ref="K627">IF($Q627&gt;=0,IFERROR(generateSalesData($D627, IF(ISNUMBER(_xlfn.XLOOKUP($C627,Phone_by_Sentiment!$B$2:$B$37,Phone_by_Sentiment!K$2:K$37,"",0,1)),_xlfn.XLOOKUP($C627,Phone_by_Sentiment!$B$2:$B$37,Phone_by_Sentiment!K$2:K$37,"",0,1),0),$A627-TEXT(DATEVALUE($D627&amp;"-01"), "dd-mm-yyyy")),0),0)</f>
        <v>0</v>
      </c>
      <c r="L627" cm="1">
        <f t="array" ref="L627">IF($Q627&gt;=0,IFERROR(generateSalesData($D627, IF(ISNUMBER(_xlfn.XLOOKUP($C627,Phone_by_Sentiment!$B$2:$B$37,Phone_by_Sentiment!L$2:L$37,"",0,1)),_xlfn.XLOOKUP($C627,Phone_by_Sentiment!$B$2:$B$37,Phone_by_Sentiment!L$2:L$37,"",0,1),0),$A627-TEXT(DATEVALUE($D627&amp;"-01"), "dd-mm-yyyy")),0),0)</f>
        <v>0</v>
      </c>
      <c r="M627" cm="1">
        <f t="array" ref="M627">IF($Q627&gt;=0,IFERROR(generateSalesData($D627, IF(ISNUMBER(_xlfn.XLOOKUP($C627,Phone_by_Sentiment!$B$2:$B$37,Phone_by_Sentiment!M$2:M$37,"",0,1)),_xlfn.XLOOKUP($C627,Phone_by_Sentiment!$B$2:$B$37,Phone_by_Sentiment!M$2:M$37,"",0,1),0),$A627-TEXT(DATEVALUE($D627&amp;"-01"), "dd-mm-yyyy")),0),0)</f>
        <v>0</v>
      </c>
      <c r="N627" cm="1">
        <f t="array" ref="N627">IF($Q627&gt;=0,IFERROR(generateSalesData($D627, IF(ISNUMBER(_xlfn.XLOOKUP($C627,Phone_by_Sentiment!$B$2:$B$37,Phone_by_Sentiment!N$2:N$37,"",0,1)),_xlfn.XLOOKUP($C627,Phone_by_Sentiment!$B$2:$B$37,Phone_by_Sentiment!N$2:N$37,"",0,1),0),$A627-TEXT(DATEVALUE($D627&amp;"-01"), "dd-mm-yyyy")),0),0)</f>
        <v>0</v>
      </c>
      <c r="O627" cm="1">
        <f t="array" ref="O627">IF($Q627&gt;=0,IFERROR(generateSalesData($D627, IF(ISNUMBER(_xlfn.XLOOKUP($C627,Phone_by_Sentiment!$B$2:$B$37,Phone_by_Sentiment!O$2:O$37,"",0,1)),_xlfn.XLOOKUP($C627,Phone_by_Sentiment!$B$2:$B$37,Phone_by_Sentiment!O$2:O$37,"",0,1),0),$A627-TEXT(DATEVALUE($D627&amp;"-01"), "dd-mm-yyyy")),0),0)</f>
        <v>0</v>
      </c>
      <c r="P627" s="1">
        <f t="shared" si="25"/>
        <v>44044</v>
      </c>
      <c r="Q627">
        <f t="shared" si="26"/>
        <v>-61</v>
      </c>
    </row>
    <row r="628" spans="1:17" x14ac:dyDescent="0.25">
      <c r="A628" s="1">
        <f t="shared" si="27"/>
        <v>43983</v>
      </c>
      <c r="B628" t="s">
        <v>173</v>
      </c>
      <c r="C628" t="str">
        <f>_xlfn.XLOOKUP(B628,Phone_by_Price!$A$2:$A$34,Phone_by_Price!$B$2:$B$34,"-",0,1)</f>
        <v>Realme C3</v>
      </c>
      <c r="D628" t="str">
        <f>_xlfn.XLOOKUP(C628,Phone_by_Sentiment!$B$2:$B$37,Phone_by_Sentiment!$A$2:$A$37,"-",0,1)</f>
        <v>2020-02</v>
      </c>
      <c r="E628" cm="1">
        <f t="array" ref="E628">IF($Q628&gt;=0,IFERROR(generateSalesData($D628, IF(ISNUMBER(_xlfn.XLOOKUP($C628,Phone_by_Sentiment!$B$2:$B$37,Phone_by_Sentiment!E$2:E$37,"",0,1)),_xlfn.XLOOKUP($C628,Phone_by_Sentiment!$B$2:$B$37,Phone_by_Sentiment!E$2:E$37,"",0,1),0),$A628-TEXT(DATEVALUE($D628&amp;"-01"), "dd-mm-yyyy")),0),0)</f>
        <v>468</v>
      </c>
      <c r="F628" cm="1">
        <f t="array" ref="F628">IF($Q628&gt;=0,IFERROR(generateSalesData($D628, IF(ISNUMBER(_xlfn.XLOOKUP($C628,Phone_by_Sentiment!$B$2:$B$37,Phone_by_Sentiment!F$2:F$37,"",0,1)),_xlfn.XLOOKUP($C628,Phone_by_Sentiment!$B$2:$B$37,Phone_by_Sentiment!F$2:F$37,"",0,1),0),$A628-TEXT(DATEVALUE($D628&amp;"-01"), "dd-mm-yyyy")),0),0)</f>
        <v>549</v>
      </c>
      <c r="G628" cm="1">
        <f t="array" ref="G628">IF($Q628&gt;=0,IFERROR(generateSalesData($D628, IF(ISNUMBER(_xlfn.XLOOKUP($C628,Phone_by_Sentiment!$B$2:$B$37,Phone_by_Sentiment!G$2:G$37,"",0,1)),_xlfn.XLOOKUP($C628,Phone_by_Sentiment!$B$2:$B$37,Phone_by_Sentiment!G$2:G$37,"",0,1),0),$A628-TEXT(DATEVALUE($D628&amp;"-01"), "dd-mm-yyyy")),0),0)</f>
        <v>615</v>
      </c>
      <c r="H628" cm="1">
        <f t="array" ref="H628">IF($Q628&gt;=0,IFERROR(generateSalesData($D628, IF(ISNUMBER(_xlfn.XLOOKUP($C628,Phone_by_Sentiment!$B$2:$B$37,Phone_by_Sentiment!H$2:H$37,"",0,1)),_xlfn.XLOOKUP($C628,Phone_by_Sentiment!$B$2:$B$37,Phone_by_Sentiment!H$2:H$37,"",0,1),0),$A628-TEXT(DATEVALUE($D628&amp;"-01"), "dd-mm-yyyy")),0),0)</f>
        <v>1379</v>
      </c>
      <c r="I628" cm="1">
        <f t="array" ref="I628">IF($Q628&gt;=0,IFERROR(generateSalesData($D628, IF(ISNUMBER(_xlfn.XLOOKUP($C628,Phone_by_Sentiment!$B$2:$B$37,Phone_by_Sentiment!I$2:I$37,"",0,1)),_xlfn.XLOOKUP($C628,Phone_by_Sentiment!$B$2:$B$37,Phone_by_Sentiment!I$2:I$37,"",0,1),0),$A628-TEXT(DATEVALUE($D628&amp;"-01"), "dd-mm-yyyy")),0),0)</f>
        <v>994</v>
      </c>
      <c r="J628" cm="1">
        <f t="array" ref="J628">IF($Q628&gt;=0,IFERROR(generateSalesData($D628, IF(ISNUMBER(_xlfn.XLOOKUP($C628,Phone_by_Sentiment!$B$2:$B$37,Phone_by_Sentiment!J$2:J$37,"",0,1)),_xlfn.XLOOKUP($C628,Phone_by_Sentiment!$B$2:$B$37,Phone_by_Sentiment!J$2:J$37,"",0,1),0),$A628-TEXT(DATEVALUE($D628&amp;"-01"), "dd-mm-yyyy")),0),0)</f>
        <v>808</v>
      </c>
      <c r="K628" cm="1">
        <f t="array" ref="K628">IF($Q628&gt;=0,IFERROR(generateSalesData($D628, IF(ISNUMBER(_xlfn.XLOOKUP($C628,Phone_by_Sentiment!$B$2:$B$37,Phone_by_Sentiment!K$2:K$37,"",0,1)),_xlfn.XLOOKUP($C628,Phone_by_Sentiment!$B$2:$B$37,Phone_by_Sentiment!K$2:K$37,"",0,1),0),$A628-TEXT(DATEVALUE($D628&amp;"-01"), "dd-mm-yyyy")),0),0)</f>
        <v>1247</v>
      </c>
      <c r="L628" cm="1">
        <f t="array" ref="L628">IF($Q628&gt;=0,IFERROR(generateSalesData($D628, IF(ISNUMBER(_xlfn.XLOOKUP($C628,Phone_by_Sentiment!$B$2:$B$37,Phone_by_Sentiment!L$2:L$37,"",0,1)),_xlfn.XLOOKUP($C628,Phone_by_Sentiment!$B$2:$B$37,Phone_by_Sentiment!L$2:L$37,"",0,1),0),$A628-TEXT(DATEVALUE($D628&amp;"-01"), "dd-mm-yyyy")),0),0)</f>
        <v>1063</v>
      </c>
      <c r="M628" cm="1">
        <f t="array" ref="M628">IF($Q628&gt;=0,IFERROR(generateSalesData($D628, IF(ISNUMBER(_xlfn.XLOOKUP($C628,Phone_by_Sentiment!$B$2:$B$37,Phone_by_Sentiment!M$2:M$37,"",0,1)),_xlfn.XLOOKUP($C628,Phone_by_Sentiment!$B$2:$B$37,Phone_by_Sentiment!M$2:M$37,"",0,1),0),$A628-TEXT(DATEVALUE($D628&amp;"-01"), "dd-mm-yyyy")),0),0)</f>
        <v>380</v>
      </c>
      <c r="N628" cm="1">
        <f t="array" ref="N628">IF($Q628&gt;=0,IFERROR(generateSalesData($D628, IF(ISNUMBER(_xlfn.XLOOKUP($C628,Phone_by_Sentiment!$B$2:$B$37,Phone_by_Sentiment!N$2:N$37,"",0,1)),_xlfn.XLOOKUP($C628,Phone_by_Sentiment!$B$2:$B$37,Phone_by_Sentiment!N$2:N$37,"",0,1),0),$A628-TEXT(DATEVALUE($D628&amp;"-01"), "dd-mm-yyyy")),0),0)</f>
        <v>2801</v>
      </c>
      <c r="O628" cm="1">
        <f t="array" ref="O628">IF($Q628&gt;=0,IFERROR(generateSalesData($D628, IF(ISNUMBER(_xlfn.XLOOKUP($C628,Phone_by_Sentiment!$B$2:$B$37,Phone_by_Sentiment!O$2:O$37,"",0,1)),_xlfn.XLOOKUP($C628,Phone_by_Sentiment!$B$2:$B$37,Phone_by_Sentiment!O$2:O$37,"",0,1),0),$A628-TEXT(DATEVALUE($D628&amp;"-01"), "dd-mm-yyyy")),0),0)</f>
        <v>309</v>
      </c>
      <c r="P628" s="1">
        <f t="shared" si="25"/>
        <v>43862</v>
      </c>
      <c r="Q628">
        <f t="shared" si="26"/>
        <v>121</v>
      </c>
    </row>
    <row r="629" spans="1:17" x14ac:dyDescent="0.25">
      <c r="A629" s="1">
        <f t="shared" si="27"/>
        <v>43983</v>
      </c>
      <c r="B629" t="s">
        <v>174</v>
      </c>
      <c r="C629" t="str">
        <f>_xlfn.XLOOKUP(B629,Phone_by_Price!$A$2:$A$34,Phone_by_Price!$B$2:$B$34,"-",0,1)</f>
        <v>Samsung Galaxy A7</v>
      </c>
      <c r="D629" t="str">
        <f>_xlfn.XLOOKUP(C629,Phone_by_Sentiment!$B$2:$B$37,Phone_by_Sentiment!$A$2:$A$37,"-",0,1)</f>
        <v>2018-10</v>
      </c>
      <c r="E629" cm="1">
        <f t="array" ref="E629">IF($Q629&gt;=0,IFERROR(generateSalesData($D629, IF(ISNUMBER(_xlfn.XLOOKUP($C629,Phone_by_Sentiment!$B$2:$B$37,Phone_by_Sentiment!E$2:E$37,"",0,1)),_xlfn.XLOOKUP($C629,Phone_by_Sentiment!$B$2:$B$37,Phone_by_Sentiment!E$2:E$37,"",0,1),0),$A629-TEXT(DATEVALUE($D629&amp;"-01"), "dd-mm-yyyy")),0),0)</f>
        <v>150</v>
      </c>
      <c r="F629" cm="1">
        <f t="array" ref="F629">IF($Q629&gt;=0,IFERROR(generateSalesData($D629, IF(ISNUMBER(_xlfn.XLOOKUP($C629,Phone_by_Sentiment!$B$2:$B$37,Phone_by_Sentiment!F$2:F$37,"",0,1)),_xlfn.XLOOKUP($C629,Phone_by_Sentiment!$B$2:$B$37,Phone_by_Sentiment!F$2:F$37,"",0,1),0),$A629-TEXT(DATEVALUE($D629&amp;"-01"), "dd-mm-yyyy")),0),0)</f>
        <v>125</v>
      </c>
      <c r="G629" cm="1">
        <f t="array" ref="G629">IF($Q629&gt;=0,IFERROR(generateSalesData($D629, IF(ISNUMBER(_xlfn.XLOOKUP($C629,Phone_by_Sentiment!$B$2:$B$37,Phone_by_Sentiment!G$2:G$37,"",0,1)),_xlfn.XLOOKUP($C629,Phone_by_Sentiment!$B$2:$B$37,Phone_by_Sentiment!G$2:G$37,"",0,1),0),$A629-TEXT(DATEVALUE($D629&amp;"-01"), "dd-mm-yyyy")),0),0)</f>
        <v>152</v>
      </c>
      <c r="H629" cm="1">
        <f t="array" ref="H629">IF($Q629&gt;=0,IFERROR(generateSalesData($D629, IF(ISNUMBER(_xlfn.XLOOKUP($C629,Phone_by_Sentiment!$B$2:$B$37,Phone_by_Sentiment!H$2:H$37,"",0,1)),_xlfn.XLOOKUP($C629,Phone_by_Sentiment!$B$2:$B$37,Phone_by_Sentiment!H$2:H$37,"",0,1),0),$A629-TEXT(DATEVALUE($D629&amp;"-01"), "dd-mm-yyyy")),0),0)</f>
        <v>267</v>
      </c>
      <c r="I629" cm="1">
        <f t="array" ref="I629">IF($Q629&gt;=0,IFERROR(generateSalesData($D629, IF(ISNUMBER(_xlfn.XLOOKUP($C629,Phone_by_Sentiment!$B$2:$B$37,Phone_by_Sentiment!I$2:I$37,"",0,1)),_xlfn.XLOOKUP($C629,Phone_by_Sentiment!$B$2:$B$37,Phone_by_Sentiment!I$2:I$37,"",0,1),0),$A629-TEXT(DATEVALUE($D629&amp;"-01"), "dd-mm-yyyy")),0),0)</f>
        <v>266</v>
      </c>
      <c r="J629" cm="1">
        <f t="array" ref="J629">IF($Q629&gt;=0,IFERROR(generateSalesData($D629, IF(ISNUMBER(_xlfn.XLOOKUP($C629,Phone_by_Sentiment!$B$2:$B$37,Phone_by_Sentiment!J$2:J$37,"",0,1)),_xlfn.XLOOKUP($C629,Phone_by_Sentiment!$B$2:$B$37,Phone_by_Sentiment!J$2:J$37,"",0,1),0),$A629-TEXT(DATEVALUE($D629&amp;"-01"), "dd-mm-yyyy")),0),0)</f>
        <v>105</v>
      </c>
      <c r="K629" cm="1">
        <f t="array" ref="K629">IF($Q629&gt;=0,IFERROR(generateSalesData($D629, IF(ISNUMBER(_xlfn.XLOOKUP($C629,Phone_by_Sentiment!$B$2:$B$37,Phone_by_Sentiment!K$2:K$37,"",0,1)),_xlfn.XLOOKUP($C629,Phone_by_Sentiment!$B$2:$B$37,Phone_by_Sentiment!K$2:K$37,"",0,1),0),$A629-TEXT(DATEVALUE($D629&amp;"-01"), "dd-mm-yyyy")),0),0)</f>
        <v>47</v>
      </c>
      <c r="L629" cm="1">
        <f t="array" ref="L629">IF($Q629&gt;=0,IFERROR(generateSalesData($D629, IF(ISNUMBER(_xlfn.XLOOKUP($C629,Phone_by_Sentiment!$B$2:$B$37,Phone_by_Sentiment!L$2:L$37,"",0,1)),_xlfn.XLOOKUP($C629,Phone_by_Sentiment!$B$2:$B$37,Phone_by_Sentiment!L$2:L$37,"",0,1),0),$A629-TEXT(DATEVALUE($D629&amp;"-01"), "dd-mm-yyyy")),0),0)</f>
        <v>169</v>
      </c>
      <c r="M629" cm="1">
        <f t="array" ref="M629">IF($Q629&gt;=0,IFERROR(generateSalesData($D629, IF(ISNUMBER(_xlfn.XLOOKUP($C629,Phone_by_Sentiment!$B$2:$B$37,Phone_by_Sentiment!M$2:M$37,"",0,1)),_xlfn.XLOOKUP($C629,Phone_by_Sentiment!$B$2:$B$37,Phone_by_Sentiment!M$2:M$37,"",0,1),0),$A629-TEXT(DATEVALUE($D629&amp;"-01"), "dd-mm-yyyy")),0),0)</f>
        <v>273</v>
      </c>
      <c r="N629" cm="1">
        <f t="array" ref="N629">IF($Q629&gt;=0,IFERROR(generateSalesData($D629, IF(ISNUMBER(_xlfn.XLOOKUP($C629,Phone_by_Sentiment!$B$2:$B$37,Phone_by_Sentiment!N$2:N$37,"",0,1)),_xlfn.XLOOKUP($C629,Phone_by_Sentiment!$B$2:$B$37,Phone_by_Sentiment!N$2:N$37,"",0,1),0),$A629-TEXT(DATEVALUE($D629&amp;"-01"), "dd-mm-yyyy")),0),0)</f>
        <v>262</v>
      </c>
      <c r="O629" cm="1">
        <f t="array" ref="O629">IF($Q629&gt;=0,IFERROR(generateSalesData($D629, IF(ISNUMBER(_xlfn.XLOOKUP($C629,Phone_by_Sentiment!$B$2:$B$37,Phone_by_Sentiment!O$2:O$37,"",0,1)),_xlfn.XLOOKUP($C629,Phone_by_Sentiment!$B$2:$B$37,Phone_by_Sentiment!O$2:O$37,"",0,1),0),$A629-TEXT(DATEVALUE($D629&amp;"-01"), "dd-mm-yyyy")),0),0)</f>
        <v>411</v>
      </c>
      <c r="P629" s="1">
        <f t="shared" si="25"/>
        <v>43374</v>
      </c>
      <c r="Q629">
        <f t="shared" si="26"/>
        <v>609</v>
      </c>
    </row>
    <row r="630" spans="1:17" x14ac:dyDescent="0.25">
      <c r="A630" s="1">
        <f t="shared" si="27"/>
        <v>43983</v>
      </c>
      <c r="B630" t="s">
        <v>142</v>
      </c>
      <c r="C630" t="str">
        <f>_xlfn.XLOOKUP(B630,Phone_by_Price!$A$2:$A$34,Phone_by_Price!$B$2:$B$34,"-",0,1)</f>
        <v>iPhone 11</v>
      </c>
      <c r="D630" t="str">
        <f>_xlfn.XLOOKUP(C630,Phone_by_Sentiment!$B$2:$B$37,Phone_by_Sentiment!$A$2:$A$37,"-",0,1)</f>
        <v>2019-09</v>
      </c>
      <c r="E630" cm="1">
        <f t="array" ref="E630">IF($Q630&gt;=0,IFERROR(generateSalesData($D630, IF(ISNUMBER(_xlfn.XLOOKUP($C630,Phone_by_Sentiment!$B$2:$B$37,Phone_by_Sentiment!E$2:E$37,"",0,1)),_xlfn.XLOOKUP($C630,Phone_by_Sentiment!$B$2:$B$37,Phone_by_Sentiment!E$2:E$37,"",0,1),0),$A630-TEXT(DATEVALUE($D630&amp;"-01"), "dd-mm-yyyy")),0),0)</f>
        <v>1188</v>
      </c>
      <c r="F630" cm="1">
        <f t="array" ref="F630">IF($Q630&gt;=0,IFERROR(generateSalesData($D630, IF(ISNUMBER(_xlfn.XLOOKUP($C630,Phone_by_Sentiment!$B$2:$B$37,Phone_by_Sentiment!F$2:F$37,"",0,1)),_xlfn.XLOOKUP($C630,Phone_by_Sentiment!$B$2:$B$37,Phone_by_Sentiment!F$2:F$37,"",0,1),0),$A630-TEXT(DATEVALUE($D630&amp;"-01"), "dd-mm-yyyy")),0),0)</f>
        <v>554</v>
      </c>
      <c r="G630" cm="1">
        <f t="array" ref="G630">IF($Q630&gt;=0,IFERROR(generateSalesData($D630, IF(ISNUMBER(_xlfn.XLOOKUP($C630,Phone_by_Sentiment!$B$2:$B$37,Phone_by_Sentiment!G$2:G$37,"",0,1)),_xlfn.XLOOKUP($C630,Phone_by_Sentiment!$B$2:$B$37,Phone_by_Sentiment!G$2:G$37,"",0,1),0),$A630-TEXT(DATEVALUE($D630&amp;"-01"), "dd-mm-yyyy")),0),0)</f>
        <v>250</v>
      </c>
      <c r="H630" cm="1">
        <f t="array" ref="H630">IF($Q630&gt;=0,IFERROR(generateSalesData($D630, IF(ISNUMBER(_xlfn.XLOOKUP($C630,Phone_by_Sentiment!$B$2:$B$37,Phone_by_Sentiment!H$2:H$37,"",0,1)),_xlfn.XLOOKUP($C630,Phone_by_Sentiment!$B$2:$B$37,Phone_by_Sentiment!H$2:H$37,"",0,1),0),$A630-TEXT(DATEVALUE($D630&amp;"-01"), "dd-mm-yyyy")),0),0)</f>
        <v>1515</v>
      </c>
      <c r="I630" cm="1">
        <f t="array" ref="I630">IF($Q630&gt;=0,IFERROR(generateSalesData($D630, IF(ISNUMBER(_xlfn.XLOOKUP($C630,Phone_by_Sentiment!$B$2:$B$37,Phone_by_Sentiment!I$2:I$37,"",0,1)),_xlfn.XLOOKUP($C630,Phone_by_Sentiment!$B$2:$B$37,Phone_by_Sentiment!I$2:I$37,"",0,1),0),$A630-TEXT(DATEVALUE($D630&amp;"-01"), "dd-mm-yyyy")),0),0)</f>
        <v>-140</v>
      </c>
      <c r="J630" cm="1">
        <f t="array" ref="J630">IF($Q630&gt;=0,IFERROR(generateSalesData($D630, IF(ISNUMBER(_xlfn.XLOOKUP($C630,Phone_by_Sentiment!$B$2:$B$37,Phone_by_Sentiment!J$2:J$37,"",0,1)),_xlfn.XLOOKUP($C630,Phone_by_Sentiment!$B$2:$B$37,Phone_by_Sentiment!J$2:J$37,"",0,1),0),$A630-TEXT(DATEVALUE($D630&amp;"-01"), "dd-mm-yyyy")),0),0)</f>
        <v>1945</v>
      </c>
      <c r="K630" cm="1">
        <f t="array" ref="K630">IF($Q630&gt;=0,IFERROR(generateSalesData($D630, IF(ISNUMBER(_xlfn.XLOOKUP($C630,Phone_by_Sentiment!$B$2:$B$37,Phone_by_Sentiment!K$2:K$37,"",0,1)),_xlfn.XLOOKUP($C630,Phone_by_Sentiment!$B$2:$B$37,Phone_by_Sentiment!K$2:K$37,"",0,1),0),$A630-TEXT(DATEVALUE($D630&amp;"-01"), "dd-mm-yyyy")),0),0)</f>
        <v>116</v>
      </c>
      <c r="L630" cm="1">
        <f t="array" ref="L630">IF($Q630&gt;=0,IFERROR(generateSalesData($D630, IF(ISNUMBER(_xlfn.XLOOKUP($C630,Phone_by_Sentiment!$B$2:$B$37,Phone_by_Sentiment!L$2:L$37,"",0,1)),_xlfn.XLOOKUP($C630,Phone_by_Sentiment!$B$2:$B$37,Phone_by_Sentiment!L$2:L$37,"",0,1),0),$A630-TEXT(DATEVALUE($D630&amp;"-01"), "dd-mm-yyyy")),0),0)</f>
        <v>721</v>
      </c>
      <c r="M630" cm="1">
        <f t="array" ref="M630">IF($Q630&gt;=0,IFERROR(generateSalesData($D630, IF(ISNUMBER(_xlfn.XLOOKUP($C630,Phone_by_Sentiment!$B$2:$B$37,Phone_by_Sentiment!M$2:M$37,"",0,1)),_xlfn.XLOOKUP($C630,Phone_by_Sentiment!$B$2:$B$37,Phone_by_Sentiment!M$2:M$37,"",0,1),0),$A630-TEXT(DATEVALUE($D630&amp;"-01"), "dd-mm-yyyy")),0),0)</f>
        <v>159</v>
      </c>
      <c r="N630" cm="1">
        <f t="array" ref="N630">IF($Q630&gt;=0,IFERROR(generateSalesData($D630, IF(ISNUMBER(_xlfn.XLOOKUP($C630,Phone_by_Sentiment!$B$2:$B$37,Phone_by_Sentiment!N$2:N$37,"",0,1)),_xlfn.XLOOKUP($C630,Phone_by_Sentiment!$B$2:$B$37,Phone_by_Sentiment!N$2:N$37,"",0,1),0),$A630-TEXT(DATEVALUE($D630&amp;"-01"), "dd-mm-yyyy")),0),0)</f>
        <v>868</v>
      </c>
      <c r="O630" cm="1">
        <f t="array" ref="O630">IF($Q630&gt;=0,IFERROR(generateSalesData($D630, IF(ISNUMBER(_xlfn.XLOOKUP($C630,Phone_by_Sentiment!$B$2:$B$37,Phone_by_Sentiment!O$2:O$37,"",0,1)),_xlfn.XLOOKUP($C630,Phone_by_Sentiment!$B$2:$B$37,Phone_by_Sentiment!O$2:O$37,"",0,1),0),$A630-TEXT(DATEVALUE($D630&amp;"-01"), "dd-mm-yyyy")),0),0)</f>
        <v>1059</v>
      </c>
      <c r="P630" s="1">
        <f t="shared" si="25"/>
        <v>43709</v>
      </c>
      <c r="Q630">
        <f t="shared" si="26"/>
        <v>274</v>
      </c>
    </row>
    <row r="631" spans="1:17" x14ac:dyDescent="0.25">
      <c r="A631" s="1">
        <f t="shared" si="27"/>
        <v>44013</v>
      </c>
      <c r="B631" t="s">
        <v>143</v>
      </c>
      <c r="C631" t="str">
        <f>_xlfn.XLOOKUP(B631,Phone_by_Price!$A$2:$A$34,Phone_by_Price!$B$2:$B$34,"-",0,1)</f>
        <v>Samsung Galaxy S20 Ultra</v>
      </c>
      <c r="D631" t="str">
        <f>_xlfn.XLOOKUP(C631,Phone_by_Sentiment!$B$2:$B$37,Phone_by_Sentiment!$A$2:$A$37,"-",0,1)</f>
        <v>2020-02</v>
      </c>
      <c r="E631" cm="1">
        <f t="array" ref="E631">IF($Q631&gt;=0,IFERROR(generateSalesData($D631, IF(ISNUMBER(_xlfn.XLOOKUP($C631,Phone_by_Sentiment!$B$2:$B$37,Phone_by_Sentiment!E$2:E$37,"",0,1)),_xlfn.XLOOKUP($C631,Phone_by_Sentiment!$B$2:$B$37,Phone_by_Sentiment!E$2:E$37,"",0,1),0),$A631-TEXT(DATEVALUE($D631&amp;"-01"), "dd-mm-yyyy")),0),0)</f>
        <v>1895</v>
      </c>
      <c r="F631" cm="1">
        <f t="array" ref="F631">IF($Q631&gt;=0,IFERROR(generateSalesData($D631, IF(ISNUMBER(_xlfn.XLOOKUP($C631,Phone_by_Sentiment!$B$2:$B$37,Phone_by_Sentiment!F$2:F$37,"",0,1)),_xlfn.XLOOKUP($C631,Phone_by_Sentiment!$B$2:$B$37,Phone_by_Sentiment!F$2:F$37,"",0,1),0),$A631-TEXT(DATEVALUE($D631&amp;"-01"), "dd-mm-yyyy")),0),0)</f>
        <v>1374</v>
      </c>
      <c r="G631" cm="1">
        <f t="array" ref="G631">IF($Q631&gt;=0,IFERROR(generateSalesData($D631, IF(ISNUMBER(_xlfn.XLOOKUP($C631,Phone_by_Sentiment!$B$2:$B$37,Phone_by_Sentiment!G$2:G$37,"",0,1)),_xlfn.XLOOKUP($C631,Phone_by_Sentiment!$B$2:$B$37,Phone_by_Sentiment!G$2:G$37,"",0,1),0),$A631-TEXT(DATEVALUE($D631&amp;"-01"), "dd-mm-yyyy")),0),0)</f>
        <v>565</v>
      </c>
      <c r="H631" cm="1">
        <f t="array" ref="H631">IF($Q631&gt;=0,IFERROR(generateSalesData($D631, IF(ISNUMBER(_xlfn.XLOOKUP($C631,Phone_by_Sentiment!$B$2:$B$37,Phone_by_Sentiment!H$2:H$37,"",0,1)),_xlfn.XLOOKUP($C631,Phone_by_Sentiment!$B$2:$B$37,Phone_by_Sentiment!H$2:H$37,"",0,1),0),$A631-TEXT(DATEVALUE($D631&amp;"-01"), "dd-mm-yyyy")),0),0)</f>
        <v>866</v>
      </c>
      <c r="I631" cm="1">
        <f t="array" ref="I631">IF($Q631&gt;=0,IFERROR(generateSalesData($D631, IF(ISNUMBER(_xlfn.XLOOKUP($C631,Phone_by_Sentiment!$B$2:$B$37,Phone_by_Sentiment!I$2:I$37,"",0,1)),_xlfn.XLOOKUP($C631,Phone_by_Sentiment!$B$2:$B$37,Phone_by_Sentiment!I$2:I$37,"",0,1),0),$A631-TEXT(DATEVALUE($D631&amp;"-01"), "dd-mm-yyyy")),0),0)</f>
        <v>-74</v>
      </c>
      <c r="J631" cm="1">
        <f t="array" ref="J631">IF($Q631&gt;=0,IFERROR(generateSalesData($D631, IF(ISNUMBER(_xlfn.XLOOKUP($C631,Phone_by_Sentiment!$B$2:$B$37,Phone_by_Sentiment!J$2:J$37,"",0,1)),_xlfn.XLOOKUP($C631,Phone_by_Sentiment!$B$2:$B$37,Phone_by_Sentiment!J$2:J$37,"",0,1),0),$A631-TEXT(DATEVALUE($D631&amp;"-01"), "dd-mm-yyyy")),0),0)</f>
        <v>856</v>
      </c>
      <c r="K631" cm="1">
        <f t="array" ref="K631">IF($Q631&gt;=0,IFERROR(generateSalesData($D631, IF(ISNUMBER(_xlfn.XLOOKUP($C631,Phone_by_Sentiment!$B$2:$B$37,Phone_by_Sentiment!K$2:K$37,"",0,1)),_xlfn.XLOOKUP($C631,Phone_by_Sentiment!$B$2:$B$37,Phone_by_Sentiment!K$2:K$37,"",0,1),0),$A631-TEXT(DATEVALUE($D631&amp;"-01"), "dd-mm-yyyy")),0),0)</f>
        <v>178</v>
      </c>
      <c r="L631" cm="1">
        <f t="array" ref="L631">IF($Q631&gt;=0,IFERROR(generateSalesData($D631, IF(ISNUMBER(_xlfn.XLOOKUP($C631,Phone_by_Sentiment!$B$2:$B$37,Phone_by_Sentiment!L$2:L$37,"",0,1)),_xlfn.XLOOKUP($C631,Phone_by_Sentiment!$B$2:$B$37,Phone_by_Sentiment!L$2:L$37,"",0,1),0),$A631-TEXT(DATEVALUE($D631&amp;"-01"), "dd-mm-yyyy")),0),0)</f>
        <v>2563</v>
      </c>
      <c r="M631" cm="1">
        <f t="array" ref="M631">IF($Q631&gt;=0,IFERROR(generateSalesData($D631, IF(ISNUMBER(_xlfn.XLOOKUP($C631,Phone_by_Sentiment!$B$2:$B$37,Phone_by_Sentiment!M$2:M$37,"",0,1)),_xlfn.XLOOKUP($C631,Phone_by_Sentiment!$B$2:$B$37,Phone_by_Sentiment!M$2:M$37,"",0,1),0),$A631-TEXT(DATEVALUE($D631&amp;"-01"), "dd-mm-yyyy")),0),0)</f>
        <v>907</v>
      </c>
      <c r="N631" cm="1">
        <f t="array" ref="N631">IF($Q631&gt;=0,IFERROR(generateSalesData($D631, IF(ISNUMBER(_xlfn.XLOOKUP($C631,Phone_by_Sentiment!$B$2:$B$37,Phone_by_Sentiment!N$2:N$37,"",0,1)),_xlfn.XLOOKUP($C631,Phone_by_Sentiment!$B$2:$B$37,Phone_by_Sentiment!N$2:N$37,"",0,1),0),$A631-TEXT(DATEVALUE($D631&amp;"-01"), "dd-mm-yyyy")),0),0)</f>
        <v>1610</v>
      </c>
      <c r="O631" cm="1">
        <f t="array" ref="O631">IF($Q631&gt;=0,IFERROR(generateSalesData($D631, IF(ISNUMBER(_xlfn.XLOOKUP($C631,Phone_by_Sentiment!$B$2:$B$37,Phone_by_Sentiment!O$2:O$37,"",0,1)),_xlfn.XLOOKUP($C631,Phone_by_Sentiment!$B$2:$B$37,Phone_by_Sentiment!O$2:O$37,"",0,1),0),$A631-TEXT(DATEVALUE($D631&amp;"-01"), "dd-mm-yyyy")),0),0)</f>
        <v>2799</v>
      </c>
      <c r="P631" s="1">
        <f t="shared" si="25"/>
        <v>43862</v>
      </c>
      <c r="Q631">
        <f t="shared" si="26"/>
        <v>151</v>
      </c>
    </row>
    <row r="632" spans="1:17" x14ac:dyDescent="0.25">
      <c r="A632" s="1">
        <f t="shared" si="27"/>
        <v>44013</v>
      </c>
      <c r="B632" t="s">
        <v>144</v>
      </c>
      <c r="C632" t="str">
        <f>_xlfn.XLOOKUP(B632,Phone_by_Price!$A$2:$A$34,Phone_by_Price!$B$2:$B$34,"-",0,1)</f>
        <v>Xiaomi Redmi Note 10</v>
      </c>
      <c r="D632" t="str">
        <f>_xlfn.XLOOKUP(C632,Phone_by_Sentiment!$B$2:$B$37,Phone_by_Sentiment!$A$2:$A$37,"-",0,1)</f>
        <v>2021-03</v>
      </c>
      <c r="E632" cm="1">
        <f t="array" ref="E632">IF($Q632&gt;=0,IFERROR(generateSalesData($D632, IF(ISNUMBER(_xlfn.XLOOKUP($C632,Phone_by_Sentiment!$B$2:$B$37,Phone_by_Sentiment!E$2:E$37,"",0,1)),_xlfn.XLOOKUP($C632,Phone_by_Sentiment!$B$2:$B$37,Phone_by_Sentiment!E$2:E$37,"",0,1),0),$A632-TEXT(DATEVALUE($D632&amp;"-01"), "dd-mm-yyyy")),0),0)</f>
        <v>0</v>
      </c>
      <c r="F632" cm="1">
        <f t="array" ref="F632">IF($Q632&gt;=0,IFERROR(generateSalesData($D632, IF(ISNUMBER(_xlfn.XLOOKUP($C632,Phone_by_Sentiment!$B$2:$B$37,Phone_by_Sentiment!F$2:F$37,"",0,1)),_xlfn.XLOOKUP($C632,Phone_by_Sentiment!$B$2:$B$37,Phone_by_Sentiment!F$2:F$37,"",0,1),0),$A632-TEXT(DATEVALUE($D632&amp;"-01"), "dd-mm-yyyy")),0),0)</f>
        <v>0</v>
      </c>
      <c r="G632" cm="1">
        <f t="array" ref="G632">IF($Q632&gt;=0,IFERROR(generateSalesData($D632, IF(ISNUMBER(_xlfn.XLOOKUP($C632,Phone_by_Sentiment!$B$2:$B$37,Phone_by_Sentiment!G$2:G$37,"",0,1)),_xlfn.XLOOKUP($C632,Phone_by_Sentiment!$B$2:$B$37,Phone_by_Sentiment!G$2:G$37,"",0,1),0),$A632-TEXT(DATEVALUE($D632&amp;"-01"), "dd-mm-yyyy")),0),0)</f>
        <v>0</v>
      </c>
      <c r="H632" cm="1">
        <f t="array" ref="H632">IF($Q632&gt;=0,IFERROR(generateSalesData($D632, IF(ISNUMBER(_xlfn.XLOOKUP($C632,Phone_by_Sentiment!$B$2:$B$37,Phone_by_Sentiment!H$2:H$37,"",0,1)),_xlfn.XLOOKUP($C632,Phone_by_Sentiment!$B$2:$B$37,Phone_by_Sentiment!H$2:H$37,"",0,1),0),$A632-TEXT(DATEVALUE($D632&amp;"-01"), "dd-mm-yyyy")),0),0)</f>
        <v>0</v>
      </c>
      <c r="I632" cm="1">
        <f t="array" ref="I632">IF($Q632&gt;=0,IFERROR(generateSalesData($D632, IF(ISNUMBER(_xlfn.XLOOKUP($C632,Phone_by_Sentiment!$B$2:$B$37,Phone_by_Sentiment!I$2:I$37,"",0,1)),_xlfn.XLOOKUP($C632,Phone_by_Sentiment!$B$2:$B$37,Phone_by_Sentiment!I$2:I$37,"",0,1),0),$A632-TEXT(DATEVALUE($D632&amp;"-01"), "dd-mm-yyyy")),0),0)</f>
        <v>0</v>
      </c>
      <c r="J632" cm="1">
        <f t="array" ref="J632">IF($Q632&gt;=0,IFERROR(generateSalesData($D632, IF(ISNUMBER(_xlfn.XLOOKUP($C632,Phone_by_Sentiment!$B$2:$B$37,Phone_by_Sentiment!J$2:J$37,"",0,1)),_xlfn.XLOOKUP($C632,Phone_by_Sentiment!$B$2:$B$37,Phone_by_Sentiment!J$2:J$37,"",0,1),0),$A632-TEXT(DATEVALUE($D632&amp;"-01"), "dd-mm-yyyy")),0),0)</f>
        <v>0</v>
      </c>
      <c r="K632" cm="1">
        <f t="array" ref="K632">IF($Q632&gt;=0,IFERROR(generateSalesData($D632, IF(ISNUMBER(_xlfn.XLOOKUP($C632,Phone_by_Sentiment!$B$2:$B$37,Phone_by_Sentiment!K$2:K$37,"",0,1)),_xlfn.XLOOKUP($C632,Phone_by_Sentiment!$B$2:$B$37,Phone_by_Sentiment!K$2:K$37,"",0,1),0),$A632-TEXT(DATEVALUE($D632&amp;"-01"), "dd-mm-yyyy")),0),0)</f>
        <v>0</v>
      </c>
      <c r="L632" cm="1">
        <f t="array" ref="L632">IF($Q632&gt;=0,IFERROR(generateSalesData($D632, IF(ISNUMBER(_xlfn.XLOOKUP($C632,Phone_by_Sentiment!$B$2:$B$37,Phone_by_Sentiment!L$2:L$37,"",0,1)),_xlfn.XLOOKUP($C632,Phone_by_Sentiment!$B$2:$B$37,Phone_by_Sentiment!L$2:L$37,"",0,1),0),$A632-TEXT(DATEVALUE($D632&amp;"-01"), "dd-mm-yyyy")),0),0)</f>
        <v>0</v>
      </c>
      <c r="M632" cm="1">
        <f t="array" ref="M632">IF($Q632&gt;=0,IFERROR(generateSalesData($D632, IF(ISNUMBER(_xlfn.XLOOKUP($C632,Phone_by_Sentiment!$B$2:$B$37,Phone_by_Sentiment!M$2:M$37,"",0,1)),_xlfn.XLOOKUP($C632,Phone_by_Sentiment!$B$2:$B$37,Phone_by_Sentiment!M$2:M$37,"",0,1),0),$A632-TEXT(DATEVALUE($D632&amp;"-01"), "dd-mm-yyyy")),0),0)</f>
        <v>0</v>
      </c>
      <c r="N632" cm="1">
        <f t="array" ref="N632">IF($Q632&gt;=0,IFERROR(generateSalesData($D632, IF(ISNUMBER(_xlfn.XLOOKUP($C632,Phone_by_Sentiment!$B$2:$B$37,Phone_by_Sentiment!N$2:N$37,"",0,1)),_xlfn.XLOOKUP($C632,Phone_by_Sentiment!$B$2:$B$37,Phone_by_Sentiment!N$2:N$37,"",0,1),0),$A632-TEXT(DATEVALUE($D632&amp;"-01"), "dd-mm-yyyy")),0),0)</f>
        <v>0</v>
      </c>
      <c r="O632" cm="1">
        <f t="array" ref="O632">IF($Q632&gt;=0,IFERROR(generateSalesData($D632, IF(ISNUMBER(_xlfn.XLOOKUP($C632,Phone_by_Sentiment!$B$2:$B$37,Phone_by_Sentiment!O$2:O$37,"",0,1)),_xlfn.XLOOKUP($C632,Phone_by_Sentiment!$B$2:$B$37,Phone_by_Sentiment!O$2:O$37,"",0,1),0),$A632-TEXT(DATEVALUE($D632&amp;"-01"), "dd-mm-yyyy")),0),0)</f>
        <v>0</v>
      </c>
      <c r="P632" s="1">
        <f t="shared" si="25"/>
        <v>44256</v>
      </c>
      <c r="Q632">
        <f t="shared" si="26"/>
        <v>-243</v>
      </c>
    </row>
    <row r="633" spans="1:17" x14ac:dyDescent="0.25">
      <c r="A633" s="1">
        <f t="shared" si="27"/>
        <v>44013</v>
      </c>
      <c r="B633" t="s">
        <v>145</v>
      </c>
      <c r="C633" t="str">
        <f>_xlfn.XLOOKUP(B633,Phone_by_Price!$A$2:$A$34,Phone_by_Price!$B$2:$B$34,"-",0,1)</f>
        <v>OPPO A54</v>
      </c>
      <c r="D633" t="str">
        <f>_xlfn.XLOOKUP(C633,Phone_by_Sentiment!$B$2:$B$37,Phone_by_Sentiment!$A$2:$A$37,"-",0,1)</f>
        <v>2021-04</v>
      </c>
      <c r="E633" cm="1">
        <f t="array" ref="E633">IF($Q633&gt;=0,IFERROR(generateSalesData($D633, IF(ISNUMBER(_xlfn.XLOOKUP($C633,Phone_by_Sentiment!$B$2:$B$37,Phone_by_Sentiment!E$2:E$37,"",0,1)),_xlfn.XLOOKUP($C633,Phone_by_Sentiment!$B$2:$B$37,Phone_by_Sentiment!E$2:E$37,"",0,1),0),$A633-TEXT(DATEVALUE($D633&amp;"-01"), "dd-mm-yyyy")),0),0)</f>
        <v>0</v>
      </c>
      <c r="F633" cm="1">
        <f t="array" ref="F633">IF($Q633&gt;=0,IFERROR(generateSalesData($D633, IF(ISNUMBER(_xlfn.XLOOKUP($C633,Phone_by_Sentiment!$B$2:$B$37,Phone_by_Sentiment!F$2:F$37,"",0,1)),_xlfn.XLOOKUP($C633,Phone_by_Sentiment!$B$2:$B$37,Phone_by_Sentiment!F$2:F$37,"",0,1),0),$A633-TEXT(DATEVALUE($D633&amp;"-01"), "dd-mm-yyyy")),0),0)</f>
        <v>0</v>
      </c>
      <c r="G633" cm="1">
        <f t="array" ref="G633">IF($Q633&gt;=0,IFERROR(generateSalesData($D633, IF(ISNUMBER(_xlfn.XLOOKUP($C633,Phone_by_Sentiment!$B$2:$B$37,Phone_by_Sentiment!G$2:G$37,"",0,1)),_xlfn.XLOOKUP($C633,Phone_by_Sentiment!$B$2:$B$37,Phone_by_Sentiment!G$2:G$37,"",0,1),0),$A633-TEXT(DATEVALUE($D633&amp;"-01"), "dd-mm-yyyy")),0),0)</f>
        <v>0</v>
      </c>
      <c r="H633" cm="1">
        <f t="array" ref="H633">IF($Q633&gt;=0,IFERROR(generateSalesData($D633, IF(ISNUMBER(_xlfn.XLOOKUP($C633,Phone_by_Sentiment!$B$2:$B$37,Phone_by_Sentiment!H$2:H$37,"",0,1)),_xlfn.XLOOKUP($C633,Phone_by_Sentiment!$B$2:$B$37,Phone_by_Sentiment!H$2:H$37,"",0,1),0),$A633-TEXT(DATEVALUE($D633&amp;"-01"), "dd-mm-yyyy")),0),0)</f>
        <v>0</v>
      </c>
      <c r="I633" cm="1">
        <f t="array" ref="I633">IF($Q633&gt;=0,IFERROR(generateSalesData($D633, IF(ISNUMBER(_xlfn.XLOOKUP($C633,Phone_by_Sentiment!$B$2:$B$37,Phone_by_Sentiment!I$2:I$37,"",0,1)),_xlfn.XLOOKUP($C633,Phone_by_Sentiment!$B$2:$B$37,Phone_by_Sentiment!I$2:I$37,"",0,1),0),$A633-TEXT(DATEVALUE($D633&amp;"-01"), "dd-mm-yyyy")),0),0)</f>
        <v>0</v>
      </c>
      <c r="J633" cm="1">
        <f t="array" ref="J633">IF($Q633&gt;=0,IFERROR(generateSalesData($D633, IF(ISNUMBER(_xlfn.XLOOKUP($C633,Phone_by_Sentiment!$B$2:$B$37,Phone_by_Sentiment!J$2:J$37,"",0,1)),_xlfn.XLOOKUP($C633,Phone_by_Sentiment!$B$2:$B$37,Phone_by_Sentiment!J$2:J$37,"",0,1),0),$A633-TEXT(DATEVALUE($D633&amp;"-01"), "dd-mm-yyyy")),0),0)</f>
        <v>0</v>
      </c>
      <c r="K633" cm="1">
        <f t="array" ref="K633">IF($Q633&gt;=0,IFERROR(generateSalesData($D633, IF(ISNUMBER(_xlfn.XLOOKUP($C633,Phone_by_Sentiment!$B$2:$B$37,Phone_by_Sentiment!K$2:K$37,"",0,1)),_xlfn.XLOOKUP($C633,Phone_by_Sentiment!$B$2:$B$37,Phone_by_Sentiment!K$2:K$37,"",0,1),0),$A633-TEXT(DATEVALUE($D633&amp;"-01"), "dd-mm-yyyy")),0),0)</f>
        <v>0</v>
      </c>
      <c r="L633" cm="1">
        <f t="array" ref="L633">IF($Q633&gt;=0,IFERROR(generateSalesData($D633, IF(ISNUMBER(_xlfn.XLOOKUP($C633,Phone_by_Sentiment!$B$2:$B$37,Phone_by_Sentiment!L$2:L$37,"",0,1)),_xlfn.XLOOKUP($C633,Phone_by_Sentiment!$B$2:$B$37,Phone_by_Sentiment!L$2:L$37,"",0,1),0),$A633-TEXT(DATEVALUE($D633&amp;"-01"), "dd-mm-yyyy")),0),0)</f>
        <v>0</v>
      </c>
      <c r="M633" cm="1">
        <f t="array" ref="M633">IF($Q633&gt;=0,IFERROR(generateSalesData($D633, IF(ISNUMBER(_xlfn.XLOOKUP($C633,Phone_by_Sentiment!$B$2:$B$37,Phone_by_Sentiment!M$2:M$37,"",0,1)),_xlfn.XLOOKUP($C633,Phone_by_Sentiment!$B$2:$B$37,Phone_by_Sentiment!M$2:M$37,"",0,1),0),$A633-TEXT(DATEVALUE($D633&amp;"-01"), "dd-mm-yyyy")),0),0)</f>
        <v>0</v>
      </c>
      <c r="N633" cm="1">
        <f t="array" ref="N633">IF($Q633&gt;=0,IFERROR(generateSalesData($D633, IF(ISNUMBER(_xlfn.XLOOKUP($C633,Phone_by_Sentiment!$B$2:$B$37,Phone_by_Sentiment!N$2:N$37,"",0,1)),_xlfn.XLOOKUP($C633,Phone_by_Sentiment!$B$2:$B$37,Phone_by_Sentiment!N$2:N$37,"",0,1),0),$A633-TEXT(DATEVALUE($D633&amp;"-01"), "dd-mm-yyyy")),0),0)</f>
        <v>0</v>
      </c>
      <c r="O633" cm="1">
        <f t="array" ref="O633">IF($Q633&gt;=0,IFERROR(generateSalesData($D633, IF(ISNUMBER(_xlfn.XLOOKUP($C633,Phone_by_Sentiment!$B$2:$B$37,Phone_by_Sentiment!O$2:O$37,"",0,1)),_xlfn.XLOOKUP($C633,Phone_by_Sentiment!$B$2:$B$37,Phone_by_Sentiment!O$2:O$37,"",0,1),0),$A633-TEXT(DATEVALUE($D633&amp;"-01"), "dd-mm-yyyy")),0),0)</f>
        <v>0</v>
      </c>
      <c r="P633" s="1">
        <f t="shared" si="25"/>
        <v>44287</v>
      </c>
      <c r="Q633">
        <f t="shared" si="26"/>
        <v>-274</v>
      </c>
    </row>
    <row r="634" spans="1:17" x14ac:dyDescent="0.25">
      <c r="A634" s="1">
        <f t="shared" si="27"/>
        <v>44013</v>
      </c>
      <c r="B634" t="s">
        <v>146</v>
      </c>
      <c r="C634" t="str">
        <f>_xlfn.XLOOKUP(B634,Phone_by_Price!$A$2:$A$34,Phone_by_Price!$B$2:$B$34,"-",0,1)</f>
        <v>Vivo Y20</v>
      </c>
      <c r="D634" t="str">
        <f>_xlfn.XLOOKUP(C634,Phone_by_Sentiment!$B$2:$B$37,Phone_by_Sentiment!$A$2:$A$37,"-",0,1)</f>
        <v>2020-09</v>
      </c>
      <c r="E634" cm="1">
        <f t="array" ref="E634">IF($Q634&gt;=0,IFERROR(generateSalesData($D634, IF(ISNUMBER(_xlfn.XLOOKUP($C634,Phone_by_Sentiment!$B$2:$B$37,Phone_by_Sentiment!E$2:E$37,"",0,1)),_xlfn.XLOOKUP($C634,Phone_by_Sentiment!$B$2:$B$37,Phone_by_Sentiment!E$2:E$37,"",0,1),0),$A634-TEXT(DATEVALUE($D634&amp;"-01"), "dd-mm-yyyy")),0),0)</f>
        <v>0</v>
      </c>
      <c r="F634" cm="1">
        <f t="array" ref="F634">IF($Q634&gt;=0,IFERROR(generateSalesData($D634, IF(ISNUMBER(_xlfn.XLOOKUP($C634,Phone_by_Sentiment!$B$2:$B$37,Phone_by_Sentiment!F$2:F$37,"",0,1)),_xlfn.XLOOKUP($C634,Phone_by_Sentiment!$B$2:$B$37,Phone_by_Sentiment!F$2:F$37,"",0,1),0),$A634-TEXT(DATEVALUE($D634&amp;"-01"), "dd-mm-yyyy")),0),0)</f>
        <v>0</v>
      </c>
      <c r="G634" cm="1">
        <f t="array" ref="G634">IF($Q634&gt;=0,IFERROR(generateSalesData($D634, IF(ISNUMBER(_xlfn.XLOOKUP($C634,Phone_by_Sentiment!$B$2:$B$37,Phone_by_Sentiment!G$2:G$37,"",0,1)),_xlfn.XLOOKUP($C634,Phone_by_Sentiment!$B$2:$B$37,Phone_by_Sentiment!G$2:G$37,"",0,1),0),$A634-TEXT(DATEVALUE($D634&amp;"-01"), "dd-mm-yyyy")),0),0)</f>
        <v>0</v>
      </c>
      <c r="H634" cm="1">
        <f t="array" ref="H634">IF($Q634&gt;=0,IFERROR(generateSalesData($D634, IF(ISNUMBER(_xlfn.XLOOKUP($C634,Phone_by_Sentiment!$B$2:$B$37,Phone_by_Sentiment!H$2:H$37,"",0,1)),_xlfn.XLOOKUP($C634,Phone_by_Sentiment!$B$2:$B$37,Phone_by_Sentiment!H$2:H$37,"",0,1),0),$A634-TEXT(DATEVALUE($D634&amp;"-01"), "dd-mm-yyyy")),0),0)</f>
        <v>0</v>
      </c>
      <c r="I634" cm="1">
        <f t="array" ref="I634">IF($Q634&gt;=0,IFERROR(generateSalesData($D634, IF(ISNUMBER(_xlfn.XLOOKUP($C634,Phone_by_Sentiment!$B$2:$B$37,Phone_by_Sentiment!I$2:I$37,"",0,1)),_xlfn.XLOOKUP($C634,Phone_by_Sentiment!$B$2:$B$37,Phone_by_Sentiment!I$2:I$37,"",0,1),0),$A634-TEXT(DATEVALUE($D634&amp;"-01"), "dd-mm-yyyy")),0),0)</f>
        <v>0</v>
      </c>
      <c r="J634" cm="1">
        <f t="array" ref="J634">IF($Q634&gt;=0,IFERROR(generateSalesData($D634, IF(ISNUMBER(_xlfn.XLOOKUP($C634,Phone_by_Sentiment!$B$2:$B$37,Phone_by_Sentiment!J$2:J$37,"",0,1)),_xlfn.XLOOKUP($C634,Phone_by_Sentiment!$B$2:$B$37,Phone_by_Sentiment!J$2:J$37,"",0,1),0),$A634-TEXT(DATEVALUE($D634&amp;"-01"), "dd-mm-yyyy")),0),0)</f>
        <v>0</v>
      </c>
      <c r="K634" cm="1">
        <f t="array" ref="K634">IF($Q634&gt;=0,IFERROR(generateSalesData($D634, IF(ISNUMBER(_xlfn.XLOOKUP($C634,Phone_by_Sentiment!$B$2:$B$37,Phone_by_Sentiment!K$2:K$37,"",0,1)),_xlfn.XLOOKUP($C634,Phone_by_Sentiment!$B$2:$B$37,Phone_by_Sentiment!K$2:K$37,"",0,1),0),$A634-TEXT(DATEVALUE($D634&amp;"-01"), "dd-mm-yyyy")),0),0)</f>
        <v>0</v>
      </c>
      <c r="L634" cm="1">
        <f t="array" ref="L634">IF($Q634&gt;=0,IFERROR(generateSalesData($D634, IF(ISNUMBER(_xlfn.XLOOKUP($C634,Phone_by_Sentiment!$B$2:$B$37,Phone_by_Sentiment!L$2:L$37,"",0,1)),_xlfn.XLOOKUP($C634,Phone_by_Sentiment!$B$2:$B$37,Phone_by_Sentiment!L$2:L$37,"",0,1),0),$A634-TEXT(DATEVALUE($D634&amp;"-01"), "dd-mm-yyyy")),0),0)</f>
        <v>0</v>
      </c>
      <c r="M634" cm="1">
        <f t="array" ref="M634">IF($Q634&gt;=0,IFERROR(generateSalesData($D634, IF(ISNUMBER(_xlfn.XLOOKUP($C634,Phone_by_Sentiment!$B$2:$B$37,Phone_by_Sentiment!M$2:M$37,"",0,1)),_xlfn.XLOOKUP($C634,Phone_by_Sentiment!$B$2:$B$37,Phone_by_Sentiment!M$2:M$37,"",0,1),0),$A634-TEXT(DATEVALUE($D634&amp;"-01"), "dd-mm-yyyy")),0),0)</f>
        <v>0</v>
      </c>
      <c r="N634" cm="1">
        <f t="array" ref="N634">IF($Q634&gt;=0,IFERROR(generateSalesData($D634, IF(ISNUMBER(_xlfn.XLOOKUP($C634,Phone_by_Sentiment!$B$2:$B$37,Phone_by_Sentiment!N$2:N$37,"",0,1)),_xlfn.XLOOKUP($C634,Phone_by_Sentiment!$B$2:$B$37,Phone_by_Sentiment!N$2:N$37,"",0,1),0),$A634-TEXT(DATEVALUE($D634&amp;"-01"), "dd-mm-yyyy")),0),0)</f>
        <v>0</v>
      </c>
      <c r="O634" cm="1">
        <f t="array" ref="O634">IF($Q634&gt;=0,IFERROR(generateSalesData($D634, IF(ISNUMBER(_xlfn.XLOOKUP($C634,Phone_by_Sentiment!$B$2:$B$37,Phone_by_Sentiment!O$2:O$37,"",0,1)),_xlfn.XLOOKUP($C634,Phone_by_Sentiment!$B$2:$B$37,Phone_by_Sentiment!O$2:O$37,"",0,1),0),$A634-TEXT(DATEVALUE($D634&amp;"-01"), "dd-mm-yyyy")),0),0)</f>
        <v>0</v>
      </c>
      <c r="P634" s="1">
        <f t="shared" si="25"/>
        <v>44075</v>
      </c>
      <c r="Q634">
        <f t="shared" si="26"/>
        <v>-62</v>
      </c>
    </row>
    <row r="635" spans="1:17" x14ac:dyDescent="0.25">
      <c r="A635" s="1">
        <f t="shared" si="27"/>
        <v>44013</v>
      </c>
      <c r="B635" t="s">
        <v>147</v>
      </c>
      <c r="C635" t="str">
        <f>_xlfn.XLOOKUP(B635,Phone_by_Price!$A$2:$A$34,Phone_by_Price!$B$2:$B$34,"-",0,1)</f>
        <v>Huawei Y9a</v>
      </c>
      <c r="D635" t="str">
        <f>_xlfn.XLOOKUP(C635,Phone_by_Sentiment!$B$2:$B$37,Phone_by_Sentiment!$A$2:$A$37,"-",0,1)</f>
        <v>2020-02</v>
      </c>
      <c r="E635" cm="1">
        <f t="array" ref="E635">IF($Q635&gt;=0,IFERROR(generateSalesData($D635, IF(ISNUMBER(_xlfn.XLOOKUP($C635,Phone_by_Sentiment!$B$2:$B$37,Phone_by_Sentiment!E$2:E$37,"",0,1)),_xlfn.XLOOKUP($C635,Phone_by_Sentiment!$B$2:$B$37,Phone_by_Sentiment!E$2:E$37,"",0,1),0),$A635-TEXT(DATEVALUE($D635&amp;"-01"), "dd-mm-yyyy")),0),0)</f>
        <v>1009</v>
      </c>
      <c r="F635" cm="1">
        <f t="array" ref="F635">IF($Q635&gt;=0,IFERROR(generateSalesData($D635, IF(ISNUMBER(_xlfn.XLOOKUP($C635,Phone_by_Sentiment!$B$2:$B$37,Phone_by_Sentiment!F$2:F$37,"",0,1)),_xlfn.XLOOKUP($C635,Phone_by_Sentiment!$B$2:$B$37,Phone_by_Sentiment!F$2:F$37,"",0,1),0),$A635-TEXT(DATEVALUE($D635&amp;"-01"), "dd-mm-yyyy")),0),0)</f>
        <v>1719</v>
      </c>
      <c r="G635" cm="1">
        <f t="array" ref="G635">IF($Q635&gt;=0,IFERROR(generateSalesData($D635, IF(ISNUMBER(_xlfn.XLOOKUP($C635,Phone_by_Sentiment!$B$2:$B$37,Phone_by_Sentiment!G$2:G$37,"",0,1)),_xlfn.XLOOKUP($C635,Phone_by_Sentiment!$B$2:$B$37,Phone_by_Sentiment!G$2:G$37,"",0,1),0),$A635-TEXT(DATEVALUE($D635&amp;"-01"), "dd-mm-yyyy")),0),0)</f>
        <v>390</v>
      </c>
      <c r="H635" cm="1">
        <f t="array" ref="H635">IF($Q635&gt;=0,IFERROR(generateSalesData($D635, IF(ISNUMBER(_xlfn.XLOOKUP($C635,Phone_by_Sentiment!$B$2:$B$37,Phone_by_Sentiment!H$2:H$37,"",0,1)),_xlfn.XLOOKUP($C635,Phone_by_Sentiment!$B$2:$B$37,Phone_by_Sentiment!H$2:H$37,"",0,1),0),$A635-TEXT(DATEVALUE($D635&amp;"-01"), "dd-mm-yyyy")),0),0)</f>
        <v>698</v>
      </c>
      <c r="I635" cm="1">
        <f t="array" ref="I635">IF($Q635&gt;=0,IFERROR(generateSalesData($D635, IF(ISNUMBER(_xlfn.XLOOKUP($C635,Phone_by_Sentiment!$B$2:$B$37,Phone_by_Sentiment!I$2:I$37,"",0,1)),_xlfn.XLOOKUP($C635,Phone_by_Sentiment!$B$2:$B$37,Phone_by_Sentiment!I$2:I$37,"",0,1),0),$A635-TEXT(DATEVALUE($D635&amp;"-01"), "dd-mm-yyyy")),0),0)</f>
        <v>276</v>
      </c>
      <c r="J635" cm="1">
        <f t="array" ref="J635">IF($Q635&gt;=0,IFERROR(generateSalesData($D635, IF(ISNUMBER(_xlfn.XLOOKUP($C635,Phone_by_Sentiment!$B$2:$B$37,Phone_by_Sentiment!J$2:J$37,"",0,1)),_xlfn.XLOOKUP($C635,Phone_by_Sentiment!$B$2:$B$37,Phone_by_Sentiment!J$2:J$37,"",0,1),0),$A635-TEXT(DATEVALUE($D635&amp;"-01"), "dd-mm-yyyy")),0),0)</f>
        <v>353</v>
      </c>
      <c r="K635" cm="1">
        <f t="array" ref="K635">IF($Q635&gt;=0,IFERROR(generateSalesData($D635, IF(ISNUMBER(_xlfn.XLOOKUP($C635,Phone_by_Sentiment!$B$2:$B$37,Phone_by_Sentiment!K$2:K$37,"",0,1)),_xlfn.XLOOKUP($C635,Phone_by_Sentiment!$B$2:$B$37,Phone_by_Sentiment!K$2:K$37,"",0,1),0),$A635-TEXT(DATEVALUE($D635&amp;"-01"), "dd-mm-yyyy")),0),0)</f>
        <v>515</v>
      </c>
      <c r="L635" cm="1">
        <f t="array" ref="L635">IF($Q635&gt;=0,IFERROR(generateSalesData($D635, IF(ISNUMBER(_xlfn.XLOOKUP($C635,Phone_by_Sentiment!$B$2:$B$37,Phone_by_Sentiment!L$2:L$37,"",0,1)),_xlfn.XLOOKUP($C635,Phone_by_Sentiment!$B$2:$B$37,Phone_by_Sentiment!L$2:L$37,"",0,1),0),$A635-TEXT(DATEVALUE($D635&amp;"-01"), "dd-mm-yyyy")),0),0)</f>
        <v>53</v>
      </c>
      <c r="M635" cm="1">
        <f t="array" ref="M635">IF($Q635&gt;=0,IFERROR(generateSalesData($D635, IF(ISNUMBER(_xlfn.XLOOKUP($C635,Phone_by_Sentiment!$B$2:$B$37,Phone_by_Sentiment!M$2:M$37,"",0,1)),_xlfn.XLOOKUP($C635,Phone_by_Sentiment!$B$2:$B$37,Phone_by_Sentiment!M$2:M$37,"",0,1),0),$A635-TEXT(DATEVALUE($D635&amp;"-01"), "dd-mm-yyyy")),0),0)</f>
        <v>240</v>
      </c>
      <c r="N635" cm="1">
        <f t="array" ref="N635">IF($Q635&gt;=0,IFERROR(generateSalesData($D635, IF(ISNUMBER(_xlfn.XLOOKUP($C635,Phone_by_Sentiment!$B$2:$B$37,Phone_by_Sentiment!N$2:N$37,"",0,1)),_xlfn.XLOOKUP($C635,Phone_by_Sentiment!$B$2:$B$37,Phone_by_Sentiment!N$2:N$37,"",0,1),0),$A635-TEXT(DATEVALUE($D635&amp;"-01"), "dd-mm-yyyy")),0),0)</f>
        <v>564</v>
      </c>
      <c r="O635" cm="1">
        <f t="array" ref="O635">IF($Q635&gt;=0,IFERROR(generateSalesData($D635, IF(ISNUMBER(_xlfn.XLOOKUP($C635,Phone_by_Sentiment!$B$2:$B$37,Phone_by_Sentiment!O$2:O$37,"",0,1)),_xlfn.XLOOKUP($C635,Phone_by_Sentiment!$B$2:$B$37,Phone_by_Sentiment!O$2:O$37,"",0,1),0),$A635-TEXT(DATEVALUE($D635&amp;"-01"), "dd-mm-yyyy")),0),0)</f>
        <v>811</v>
      </c>
      <c r="P635" s="1">
        <f t="shared" si="25"/>
        <v>43862</v>
      </c>
      <c r="Q635">
        <f t="shared" si="26"/>
        <v>151</v>
      </c>
    </row>
    <row r="636" spans="1:17" x14ac:dyDescent="0.25">
      <c r="A636" s="1">
        <f t="shared" si="27"/>
        <v>44013</v>
      </c>
      <c r="B636" t="s">
        <v>148</v>
      </c>
      <c r="C636" t="str">
        <f>_xlfn.XLOOKUP(B636,Phone_by_Price!$A$2:$A$34,Phone_by_Price!$B$2:$B$34,"-",0,1)</f>
        <v>Xiaomi Redmi 10</v>
      </c>
      <c r="D636" t="str">
        <f>_xlfn.XLOOKUP(C636,Phone_by_Sentiment!$B$2:$B$37,Phone_by_Sentiment!$A$2:$A$37,"-",0,1)</f>
        <v>2021-03</v>
      </c>
      <c r="E636" cm="1">
        <f t="array" ref="E636">IF($Q636&gt;=0,IFERROR(generateSalesData($D636, IF(ISNUMBER(_xlfn.XLOOKUP($C636,Phone_by_Sentiment!$B$2:$B$37,Phone_by_Sentiment!E$2:E$37,"",0,1)),_xlfn.XLOOKUP($C636,Phone_by_Sentiment!$B$2:$B$37,Phone_by_Sentiment!E$2:E$37,"",0,1),0),$A636-TEXT(DATEVALUE($D636&amp;"-01"), "dd-mm-yyyy")),0),0)</f>
        <v>0</v>
      </c>
      <c r="F636" cm="1">
        <f t="array" ref="F636">IF($Q636&gt;=0,IFERROR(generateSalesData($D636, IF(ISNUMBER(_xlfn.XLOOKUP($C636,Phone_by_Sentiment!$B$2:$B$37,Phone_by_Sentiment!F$2:F$37,"",0,1)),_xlfn.XLOOKUP($C636,Phone_by_Sentiment!$B$2:$B$37,Phone_by_Sentiment!F$2:F$37,"",0,1),0),$A636-TEXT(DATEVALUE($D636&amp;"-01"), "dd-mm-yyyy")),0),0)</f>
        <v>0</v>
      </c>
      <c r="G636" cm="1">
        <f t="array" ref="G636">IF($Q636&gt;=0,IFERROR(generateSalesData($D636, IF(ISNUMBER(_xlfn.XLOOKUP($C636,Phone_by_Sentiment!$B$2:$B$37,Phone_by_Sentiment!G$2:G$37,"",0,1)),_xlfn.XLOOKUP($C636,Phone_by_Sentiment!$B$2:$B$37,Phone_by_Sentiment!G$2:G$37,"",0,1),0),$A636-TEXT(DATEVALUE($D636&amp;"-01"), "dd-mm-yyyy")),0),0)</f>
        <v>0</v>
      </c>
      <c r="H636" cm="1">
        <f t="array" ref="H636">IF($Q636&gt;=0,IFERROR(generateSalesData($D636, IF(ISNUMBER(_xlfn.XLOOKUP($C636,Phone_by_Sentiment!$B$2:$B$37,Phone_by_Sentiment!H$2:H$37,"",0,1)),_xlfn.XLOOKUP($C636,Phone_by_Sentiment!$B$2:$B$37,Phone_by_Sentiment!H$2:H$37,"",0,1),0),$A636-TEXT(DATEVALUE($D636&amp;"-01"), "dd-mm-yyyy")),0),0)</f>
        <v>0</v>
      </c>
      <c r="I636" cm="1">
        <f t="array" ref="I636">IF($Q636&gt;=0,IFERROR(generateSalesData($D636, IF(ISNUMBER(_xlfn.XLOOKUP($C636,Phone_by_Sentiment!$B$2:$B$37,Phone_by_Sentiment!I$2:I$37,"",0,1)),_xlfn.XLOOKUP($C636,Phone_by_Sentiment!$B$2:$B$37,Phone_by_Sentiment!I$2:I$37,"",0,1),0),$A636-TEXT(DATEVALUE($D636&amp;"-01"), "dd-mm-yyyy")),0),0)</f>
        <v>0</v>
      </c>
      <c r="J636" cm="1">
        <f t="array" ref="J636">IF($Q636&gt;=0,IFERROR(generateSalesData($D636, IF(ISNUMBER(_xlfn.XLOOKUP($C636,Phone_by_Sentiment!$B$2:$B$37,Phone_by_Sentiment!J$2:J$37,"",0,1)),_xlfn.XLOOKUP($C636,Phone_by_Sentiment!$B$2:$B$37,Phone_by_Sentiment!J$2:J$37,"",0,1),0),$A636-TEXT(DATEVALUE($D636&amp;"-01"), "dd-mm-yyyy")),0),0)</f>
        <v>0</v>
      </c>
      <c r="K636" cm="1">
        <f t="array" ref="K636">IF($Q636&gt;=0,IFERROR(generateSalesData($D636, IF(ISNUMBER(_xlfn.XLOOKUP($C636,Phone_by_Sentiment!$B$2:$B$37,Phone_by_Sentiment!K$2:K$37,"",0,1)),_xlfn.XLOOKUP($C636,Phone_by_Sentiment!$B$2:$B$37,Phone_by_Sentiment!K$2:K$37,"",0,1),0),$A636-TEXT(DATEVALUE($D636&amp;"-01"), "dd-mm-yyyy")),0),0)</f>
        <v>0</v>
      </c>
      <c r="L636" cm="1">
        <f t="array" ref="L636">IF($Q636&gt;=0,IFERROR(generateSalesData($D636, IF(ISNUMBER(_xlfn.XLOOKUP($C636,Phone_by_Sentiment!$B$2:$B$37,Phone_by_Sentiment!L$2:L$37,"",0,1)),_xlfn.XLOOKUP($C636,Phone_by_Sentiment!$B$2:$B$37,Phone_by_Sentiment!L$2:L$37,"",0,1),0),$A636-TEXT(DATEVALUE($D636&amp;"-01"), "dd-mm-yyyy")),0),0)</f>
        <v>0</v>
      </c>
      <c r="M636" cm="1">
        <f t="array" ref="M636">IF($Q636&gt;=0,IFERROR(generateSalesData($D636, IF(ISNUMBER(_xlfn.XLOOKUP($C636,Phone_by_Sentiment!$B$2:$B$37,Phone_by_Sentiment!M$2:M$37,"",0,1)),_xlfn.XLOOKUP($C636,Phone_by_Sentiment!$B$2:$B$37,Phone_by_Sentiment!M$2:M$37,"",0,1),0),$A636-TEXT(DATEVALUE($D636&amp;"-01"), "dd-mm-yyyy")),0),0)</f>
        <v>0</v>
      </c>
      <c r="N636" cm="1">
        <f t="array" ref="N636">IF($Q636&gt;=0,IFERROR(generateSalesData($D636, IF(ISNUMBER(_xlfn.XLOOKUP($C636,Phone_by_Sentiment!$B$2:$B$37,Phone_by_Sentiment!N$2:N$37,"",0,1)),_xlfn.XLOOKUP($C636,Phone_by_Sentiment!$B$2:$B$37,Phone_by_Sentiment!N$2:N$37,"",0,1),0),$A636-TEXT(DATEVALUE($D636&amp;"-01"), "dd-mm-yyyy")),0),0)</f>
        <v>0</v>
      </c>
      <c r="O636" cm="1">
        <f t="array" ref="O636">IF($Q636&gt;=0,IFERROR(generateSalesData($D636, IF(ISNUMBER(_xlfn.XLOOKUP($C636,Phone_by_Sentiment!$B$2:$B$37,Phone_by_Sentiment!O$2:O$37,"",0,1)),_xlfn.XLOOKUP($C636,Phone_by_Sentiment!$B$2:$B$37,Phone_by_Sentiment!O$2:O$37,"",0,1),0),$A636-TEXT(DATEVALUE($D636&amp;"-01"), "dd-mm-yyyy")),0),0)</f>
        <v>0</v>
      </c>
      <c r="P636" s="1">
        <f t="shared" si="25"/>
        <v>44256</v>
      </c>
      <c r="Q636">
        <f t="shared" si="26"/>
        <v>-243</v>
      </c>
    </row>
    <row r="637" spans="1:17" x14ac:dyDescent="0.25">
      <c r="A637" s="1">
        <f t="shared" si="27"/>
        <v>44013</v>
      </c>
      <c r="B637" t="s">
        <v>149</v>
      </c>
      <c r="C637" t="str">
        <f>_xlfn.XLOOKUP(B637,Phone_by_Price!$A$2:$A$34,Phone_by_Price!$B$2:$B$34,"-",0,1)</f>
        <v>Samsung Galaxy A52</v>
      </c>
      <c r="D637" t="str">
        <f>_xlfn.XLOOKUP(C637,Phone_by_Sentiment!$B$2:$B$37,Phone_by_Sentiment!$A$2:$A$37,"-",0,1)</f>
        <v>2021-03</v>
      </c>
      <c r="E637" cm="1">
        <f t="array" ref="E637">IF($Q637&gt;=0,IFERROR(generateSalesData($D637, IF(ISNUMBER(_xlfn.XLOOKUP($C637,Phone_by_Sentiment!$B$2:$B$37,Phone_by_Sentiment!E$2:E$37,"",0,1)),_xlfn.XLOOKUP($C637,Phone_by_Sentiment!$B$2:$B$37,Phone_by_Sentiment!E$2:E$37,"",0,1),0),$A637-TEXT(DATEVALUE($D637&amp;"-01"), "dd-mm-yyyy")),0),0)</f>
        <v>0</v>
      </c>
      <c r="F637" cm="1">
        <f t="array" ref="F637">IF($Q637&gt;=0,IFERROR(generateSalesData($D637, IF(ISNUMBER(_xlfn.XLOOKUP($C637,Phone_by_Sentiment!$B$2:$B$37,Phone_by_Sentiment!F$2:F$37,"",0,1)),_xlfn.XLOOKUP($C637,Phone_by_Sentiment!$B$2:$B$37,Phone_by_Sentiment!F$2:F$37,"",0,1),0),$A637-TEXT(DATEVALUE($D637&amp;"-01"), "dd-mm-yyyy")),0),0)</f>
        <v>0</v>
      </c>
      <c r="G637" cm="1">
        <f t="array" ref="G637">IF($Q637&gt;=0,IFERROR(generateSalesData($D637, IF(ISNUMBER(_xlfn.XLOOKUP($C637,Phone_by_Sentiment!$B$2:$B$37,Phone_by_Sentiment!G$2:G$37,"",0,1)),_xlfn.XLOOKUP($C637,Phone_by_Sentiment!$B$2:$B$37,Phone_by_Sentiment!G$2:G$37,"",0,1),0),$A637-TEXT(DATEVALUE($D637&amp;"-01"), "dd-mm-yyyy")),0),0)</f>
        <v>0</v>
      </c>
      <c r="H637" cm="1">
        <f t="array" ref="H637">IF($Q637&gt;=0,IFERROR(generateSalesData($D637, IF(ISNUMBER(_xlfn.XLOOKUP($C637,Phone_by_Sentiment!$B$2:$B$37,Phone_by_Sentiment!H$2:H$37,"",0,1)),_xlfn.XLOOKUP($C637,Phone_by_Sentiment!$B$2:$B$37,Phone_by_Sentiment!H$2:H$37,"",0,1),0),$A637-TEXT(DATEVALUE($D637&amp;"-01"), "dd-mm-yyyy")),0),0)</f>
        <v>0</v>
      </c>
      <c r="I637" cm="1">
        <f t="array" ref="I637">IF($Q637&gt;=0,IFERROR(generateSalesData($D637, IF(ISNUMBER(_xlfn.XLOOKUP($C637,Phone_by_Sentiment!$B$2:$B$37,Phone_by_Sentiment!I$2:I$37,"",0,1)),_xlfn.XLOOKUP($C637,Phone_by_Sentiment!$B$2:$B$37,Phone_by_Sentiment!I$2:I$37,"",0,1),0),$A637-TEXT(DATEVALUE($D637&amp;"-01"), "dd-mm-yyyy")),0),0)</f>
        <v>0</v>
      </c>
      <c r="J637" cm="1">
        <f t="array" ref="J637">IF($Q637&gt;=0,IFERROR(generateSalesData($D637, IF(ISNUMBER(_xlfn.XLOOKUP($C637,Phone_by_Sentiment!$B$2:$B$37,Phone_by_Sentiment!J$2:J$37,"",0,1)),_xlfn.XLOOKUP($C637,Phone_by_Sentiment!$B$2:$B$37,Phone_by_Sentiment!J$2:J$37,"",0,1),0),$A637-TEXT(DATEVALUE($D637&amp;"-01"), "dd-mm-yyyy")),0),0)</f>
        <v>0</v>
      </c>
      <c r="K637" cm="1">
        <f t="array" ref="K637">IF($Q637&gt;=0,IFERROR(generateSalesData($D637, IF(ISNUMBER(_xlfn.XLOOKUP($C637,Phone_by_Sentiment!$B$2:$B$37,Phone_by_Sentiment!K$2:K$37,"",0,1)),_xlfn.XLOOKUP($C637,Phone_by_Sentiment!$B$2:$B$37,Phone_by_Sentiment!K$2:K$37,"",0,1),0),$A637-TEXT(DATEVALUE($D637&amp;"-01"), "dd-mm-yyyy")),0),0)</f>
        <v>0</v>
      </c>
      <c r="L637" cm="1">
        <f t="array" ref="L637">IF($Q637&gt;=0,IFERROR(generateSalesData($D637, IF(ISNUMBER(_xlfn.XLOOKUP($C637,Phone_by_Sentiment!$B$2:$B$37,Phone_by_Sentiment!L$2:L$37,"",0,1)),_xlfn.XLOOKUP($C637,Phone_by_Sentiment!$B$2:$B$37,Phone_by_Sentiment!L$2:L$37,"",0,1),0),$A637-TEXT(DATEVALUE($D637&amp;"-01"), "dd-mm-yyyy")),0),0)</f>
        <v>0</v>
      </c>
      <c r="M637" cm="1">
        <f t="array" ref="M637">IF($Q637&gt;=0,IFERROR(generateSalesData($D637, IF(ISNUMBER(_xlfn.XLOOKUP($C637,Phone_by_Sentiment!$B$2:$B$37,Phone_by_Sentiment!M$2:M$37,"",0,1)),_xlfn.XLOOKUP($C637,Phone_by_Sentiment!$B$2:$B$37,Phone_by_Sentiment!M$2:M$37,"",0,1),0),$A637-TEXT(DATEVALUE($D637&amp;"-01"), "dd-mm-yyyy")),0),0)</f>
        <v>0</v>
      </c>
      <c r="N637" cm="1">
        <f t="array" ref="N637">IF($Q637&gt;=0,IFERROR(generateSalesData($D637, IF(ISNUMBER(_xlfn.XLOOKUP($C637,Phone_by_Sentiment!$B$2:$B$37,Phone_by_Sentiment!N$2:N$37,"",0,1)),_xlfn.XLOOKUP($C637,Phone_by_Sentiment!$B$2:$B$37,Phone_by_Sentiment!N$2:N$37,"",0,1),0),$A637-TEXT(DATEVALUE($D637&amp;"-01"), "dd-mm-yyyy")),0),0)</f>
        <v>0</v>
      </c>
      <c r="O637" cm="1">
        <f t="array" ref="O637">IF($Q637&gt;=0,IFERROR(generateSalesData($D637, IF(ISNUMBER(_xlfn.XLOOKUP($C637,Phone_by_Sentiment!$B$2:$B$37,Phone_by_Sentiment!O$2:O$37,"",0,1)),_xlfn.XLOOKUP($C637,Phone_by_Sentiment!$B$2:$B$37,Phone_by_Sentiment!O$2:O$37,"",0,1),0),$A637-TEXT(DATEVALUE($D637&amp;"-01"), "dd-mm-yyyy")),0),0)</f>
        <v>0</v>
      </c>
      <c r="P637" s="1">
        <f t="shared" si="25"/>
        <v>44256</v>
      </c>
      <c r="Q637">
        <f t="shared" si="26"/>
        <v>-243</v>
      </c>
    </row>
    <row r="638" spans="1:17" x14ac:dyDescent="0.25">
      <c r="A638" s="1">
        <f t="shared" si="27"/>
        <v>44013</v>
      </c>
      <c r="B638" t="s">
        <v>150</v>
      </c>
      <c r="C638" t="str">
        <f>_xlfn.XLOOKUP(B638,Phone_by_Price!$A$2:$A$34,Phone_by_Price!$B$2:$B$34,"-",0,1)</f>
        <v>Vivo Y33s</v>
      </c>
      <c r="D638" t="str">
        <f>_xlfn.XLOOKUP(C638,Phone_by_Sentiment!$B$2:$B$37,Phone_by_Sentiment!$A$2:$A$37,"-",0,1)</f>
        <v>2021-05</v>
      </c>
      <c r="E638" cm="1">
        <f t="array" ref="E638">IF($Q638&gt;=0,IFERROR(generateSalesData($D638, IF(ISNUMBER(_xlfn.XLOOKUP($C638,Phone_by_Sentiment!$B$2:$B$37,Phone_by_Sentiment!E$2:E$37,"",0,1)),_xlfn.XLOOKUP($C638,Phone_by_Sentiment!$B$2:$B$37,Phone_by_Sentiment!E$2:E$37,"",0,1),0),$A638-TEXT(DATEVALUE($D638&amp;"-01"), "dd-mm-yyyy")),0),0)</f>
        <v>0</v>
      </c>
      <c r="F638" cm="1">
        <f t="array" ref="F638">IF($Q638&gt;=0,IFERROR(generateSalesData($D638, IF(ISNUMBER(_xlfn.XLOOKUP($C638,Phone_by_Sentiment!$B$2:$B$37,Phone_by_Sentiment!F$2:F$37,"",0,1)),_xlfn.XLOOKUP($C638,Phone_by_Sentiment!$B$2:$B$37,Phone_by_Sentiment!F$2:F$37,"",0,1),0),$A638-TEXT(DATEVALUE($D638&amp;"-01"), "dd-mm-yyyy")),0),0)</f>
        <v>0</v>
      </c>
      <c r="G638" cm="1">
        <f t="array" ref="G638">IF($Q638&gt;=0,IFERROR(generateSalesData($D638, IF(ISNUMBER(_xlfn.XLOOKUP($C638,Phone_by_Sentiment!$B$2:$B$37,Phone_by_Sentiment!G$2:G$37,"",0,1)),_xlfn.XLOOKUP($C638,Phone_by_Sentiment!$B$2:$B$37,Phone_by_Sentiment!G$2:G$37,"",0,1),0),$A638-TEXT(DATEVALUE($D638&amp;"-01"), "dd-mm-yyyy")),0),0)</f>
        <v>0</v>
      </c>
      <c r="H638" cm="1">
        <f t="array" ref="H638">IF($Q638&gt;=0,IFERROR(generateSalesData($D638, IF(ISNUMBER(_xlfn.XLOOKUP($C638,Phone_by_Sentiment!$B$2:$B$37,Phone_by_Sentiment!H$2:H$37,"",0,1)),_xlfn.XLOOKUP($C638,Phone_by_Sentiment!$B$2:$B$37,Phone_by_Sentiment!H$2:H$37,"",0,1),0),$A638-TEXT(DATEVALUE($D638&amp;"-01"), "dd-mm-yyyy")),0),0)</f>
        <v>0</v>
      </c>
      <c r="I638" cm="1">
        <f t="array" ref="I638">IF($Q638&gt;=0,IFERROR(generateSalesData($D638, IF(ISNUMBER(_xlfn.XLOOKUP($C638,Phone_by_Sentiment!$B$2:$B$37,Phone_by_Sentiment!I$2:I$37,"",0,1)),_xlfn.XLOOKUP($C638,Phone_by_Sentiment!$B$2:$B$37,Phone_by_Sentiment!I$2:I$37,"",0,1),0),$A638-TEXT(DATEVALUE($D638&amp;"-01"), "dd-mm-yyyy")),0),0)</f>
        <v>0</v>
      </c>
      <c r="J638" cm="1">
        <f t="array" ref="J638">IF($Q638&gt;=0,IFERROR(generateSalesData($D638, IF(ISNUMBER(_xlfn.XLOOKUP($C638,Phone_by_Sentiment!$B$2:$B$37,Phone_by_Sentiment!J$2:J$37,"",0,1)),_xlfn.XLOOKUP($C638,Phone_by_Sentiment!$B$2:$B$37,Phone_by_Sentiment!J$2:J$37,"",0,1),0),$A638-TEXT(DATEVALUE($D638&amp;"-01"), "dd-mm-yyyy")),0),0)</f>
        <v>0</v>
      </c>
      <c r="K638" cm="1">
        <f t="array" ref="K638">IF($Q638&gt;=0,IFERROR(generateSalesData($D638, IF(ISNUMBER(_xlfn.XLOOKUP($C638,Phone_by_Sentiment!$B$2:$B$37,Phone_by_Sentiment!K$2:K$37,"",0,1)),_xlfn.XLOOKUP($C638,Phone_by_Sentiment!$B$2:$B$37,Phone_by_Sentiment!K$2:K$37,"",0,1),0),$A638-TEXT(DATEVALUE($D638&amp;"-01"), "dd-mm-yyyy")),0),0)</f>
        <v>0</v>
      </c>
      <c r="L638" cm="1">
        <f t="array" ref="L638">IF($Q638&gt;=0,IFERROR(generateSalesData($D638, IF(ISNUMBER(_xlfn.XLOOKUP($C638,Phone_by_Sentiment!$B$2:$B$37,Phone_by_Sentiment!L$2:L$37,"",0,1)),_xlfn.XLOOKUP($C638,Phone_by_Sentiment!$B$2:$B$37,Phone_by_Sentiment!L$2:L$37,"",0,1),0),$A638-TEXT(DATEVALUE($D638&amp;"-01"), "dd-mm-yyyy")),0),0)</f>
        <v>0</v>
      </c>
      <c r="M638" cm="1">
        <f t="array" ref="M638">IF($Q638&gt;=0,IFERROR(generateSalesData($D638, IF(ISNUMBER(_xlfn.XLOOKUP($C638,Phone_by_Sentiment!$B$2:$B$37,Phone_by_Sentiment!M$2:M$37,"",0,1)),_xlfn.XLOOKUP($C638,Phone_by_Sentiment!$B$2:$B$37,Phone_by_Sentiment!M$2:M$37,"",0,1),0),$A638-TEXT(DATEVALUE($D638&amp;"-01"), "dd-mm-yyyy")),0),0)</f>
        <v>0</v>
      </c>
      <c r="N638" cm="1">
        <f t="array" ref="N638">IF($Q638&gt;=0,IFERROR(generateSalesData($D638, IF(ISNUMBER(_xlfn.XLOOKUP($C638,Phone_by_Sentiment!$B$2:$B$37,Phone_by_Sentiment!N$2:N$37,"",0,1)),_xlfn.XLOOKUP($C638,Phone_by_Sentiment!$B$2:$B$37,Phone_by_Sentiment!N$2:N$37,"",0,1),0),$A638-TEXT(DATEVALUE($D638&amp;"-01"), "dd-mm-yyyy")),0),0)</f>
        <v>0</v>
      </c>
      <c r="O638" cm="1">
        <f t="array" ref="O638">IF($Q638&gt;=0,IFERROR(generateSalesData($D638, IF(ISNUMBER(_xlfn.XLOOKUP($C638,Phone_by_Sentiment!$B$2:$B$37,Phone_by_Sentiment!O$2:O$37,"",0,1)),_xlfn.XLOOKUP($C638,Phone_by_Sentiment!$B$2:$B$37,Phone_by_Sentiment!O$2:O$37,"",0,1),0),$A638-TEXT(DATEVALUE($D638&amp;"-01"), "dd-mm-yyyy")),0),0)</f>
        <v>0</v>
      </c>
      <c r="P638" s="1">
        <f t="shared" si="25"/>
        <v>44317</v>
      </c>
      <c r="Q638">
        <f t="shared" si="26"/>
        <v>-304</v>
      </c>
    </row>
    <row r="639" spans="1:17" x14ac:dyDescent="0.25">
      <c r="A639" s="1">
        <f t="shared" si="27"/>
        <v>44013</v>
      </c>
      <c r="B639" t="s">
        <v>151</v>
      </c>
      <c r="C639" t="str">
        <f>_xlfn.XLOOKUP(B639,Phone_by_Price!$A$2:$A$34,Phone_by_Price!$B$2:$B$34,"-",0,1)</f>
        <v>Vivo Y11s</v>
      </c>
      <c r="D639" t="str">
        <f>_xlfn.XLOOKUP(C639,Phone_by_Sentiment!$B$2:$B$37,Phone_by_Sentiment!$A$2:$A$37,"-",0,1)</f>
        <v>2020-11</v>
      </c>
      <c r="E639" cm="1">
        <f t="array" ref="E639">IF($Q639&gt;=0,IFERROR(generateSalesData($D639, IF(ISNUMBER(_xlfn.XLOOKUP($C639,Phone_by_Sentiment!$B$2:$B$37,Phone_by_Sentiment!E$2:E$37,"",0,1)),_xlfn.XLOOKUP($C639,Phone_by_Sentiment!$B$2:$B$37,Phone_by_Sentiment!E$2:E$37,"",0,1),0),$A639-TEXT(DATEVALUE($D639&amp;"-01"), "dd-mm-yyyy")),0),0)</f>
        <v>0</v>
      </c>
      <c r="F639" cm="1">
        <f t="array" ref="F639">IF($Q639&gt;=0,IFERROR(generateSalesData($D639, IF(ISNUMBER(_xlfn.XLOOKUP($C639,Phone_by_Sentiment!$B$2:$B$37,Phone_by_Sentiment!F$2:F$37,"",0,1)),_xlfn.XLOOKUP($C639,Phone_by_Sentiment!$B$2:$B$37,Phone_by_Sentiment!F$2:F$37,"",0,1),0),$A639-TEXT(DATEVALUE($D639&amp;"-01"), "dd-mm-yyyy")),0),0)</f>
        <v>0</v>
      </c>
      <c r="G639" cm="1">
        <f t="array" ref="G639">IF($Q639&gt;=0,IFERROR(generateSalesData($D639, IF(ISNUMBER(_xlfn.XLOOKUP($C639,Phone_by_Sentiment!$B$2:$B$37,Phone_by_Sentiment!G$2:G$37,"",0,1)),_xlfn.XLOOKUP($C639,Phone_by_Sentiment!$B$2:$B$37,Phone_by_Sentiment!G$2:G$37,"",0,1),0),$A639-TEXT(DATEVALUE($D639&amp;"-01"), "dd-mm-yyyy")),0),0)</f>
        <v>0</v>
      </c>
      <c r="H639" cm="1">
        <f t="array" ref="H639">IF($Q639&gt;=0,IFERROR(generateSalesData($D639, IF(ISNUMBER(_xlfn.XLOOKUP($C639,Phone_by_Sentiment!$B$2:$B$37,Phone_by_Sentiment!H$2:H$37,"",0,1)),_xlfn.XLOOKUP($C639,Phone_by_Sentiment!$B$2:$B$37,Phone_by_Sentiment!H$2:H$37,"",0,1),0),$A639-TEXT(DATEVALUE($D639&amp;"-01"), "dd-mm-yyyy")),0),0)</f>
        <v>0</v>
      </c>
      <c r="I639" cm="1">
        <f t="array" ref="I639">IF($Q639&gt;=0,IFERROR(generateSalesData($D639, IF(ISNUMBER(_xlfn.XLOOKUP($C639,Phone_by_Sentiment!$B$2:$B$37,Phone_by_Sentiment!I$2:I$37,"",0,1)),_xlfn.XLOOKUP($C639,Phone_by_Sentiment!$B$2:$B$37,Phone_by_Sentiment!I$2:I$37,"",0,1),0),$A639-TEXT(DATEVALUE($D639&amp;"-01"), "dd-mm-yyyy")),0),0)</f>
        <v>0</v>
      </c>
      <c r="J639" cm="1">
        <f t="array" ref="J639">IF($Q639&gt;=0,IFERROR(generateSalesData($D639, IF(ISNUMBER(_xlfn.XLOOKUP($C639,Phone_by_Sentiment!$B$2:$B$37,Phone_by_Sentiment!J$2:J$37,"",0,1)),_xlfn.XLOOKUP($C639,Phone_by_Sentiment!$B$2:$B$37,Phone_by_Sentiment!J$2:J$37,"",0,1),0),$A639-TEXT(DATEVALUE($D639&amp;"-01"), "dd-mm-yyyy")),0),0)</f>
        <v>0</v>
      </c>
      <c r="K639" cm="1">
        <f t="array" ref="K639">IF($Q639&gt;=0,IFERROR(generateSalesData($D639, IF(ISNUMBER(_xlfn.XLOOKUP($C639,Phone_by_Sentiment!$B$2:$B$37,Phone_by_Sentiment!K$2:K$37,"",0,1)),_xlfn.XLOOKUP($C639,Phone_by_Sentiment!$B$2:$B$37,Phone_by_Sentiment!K$2:K$37,"",0,1),0),$A639-TEXT(DATEVALUE($D639&amp;"-01"), "dd-mm-yyyy")),0),0)</f>
        <v>0</v>
      </c>
      <c r="L639" cm="1">
        <f t="array" ref="L639">IF($Q639&gt;=0,IFERROR(generateSalesData($D639, IF(ISNUMBER(_xlfn.XLOOKUP($C639,Phone_by_Sentiment!$B$2:$B$37,Phone_by_Sentiment!L$2:L$37,"",0,1)),_xlfn.XLOOKUP($C639,Phone_by_Sentiment!$B$2:$B$37,Phone_by_Sentiment!L$2:L$37,"",0,1),0),$A639-TEXT(DATEVALUE($D639&amp;"-01"), "dd-mm-yyyy")),0),0)</f>
        <v>0</v>
      </c>
      <c r="M639" cm="1">
        <f t="array" ref="M639">IF($Q639&gt;=0,IFERROR(generateSalesData($D639, IF(ISNUMBER(_xlfn.XLOOKUP($C639,Phone_by_Sentiment!$B$2:$B$37,Phone_by_Sentiment!M$2:M$37,"",0,1)),_xlfn.XLOOKUP($C639,Phone_by_Sentiment!$B$2:$B$37,Phone_by_Sentiment!M$2:M$37,"",0,1),0),$A639-TEXT(DATEVALUE($D639&amp;"-01"), "dd-mm-yyyy")),0),0)</f>
        <v>0</v>
      </c>
      <c r="N639" cm="1">
        <f t="array" ref="N639">IF($Q639&gt;=0,IFERROR(generateSalesData($D639, IF(ISNUMBER(_xlfn.XLOOKUP($C639,Phone_by_Sentiment!$B$2:$B$37,Phone_by_Sentiment!N$2:N$37,"",0,1)),_xlfn.XLOOKUP($C639,Phone_by_Sentiment!$B$2:$B$37,Phone_by_Sentiment!N$2:N$37,"",0,1),0),$A639-TEXT(DATEVALUE($D639&amp;"-01"), "dd-mm-yyyy")),0),0)</f>
        <v>0</v>
      </c>
      <c r="O639" cm="1">
        <f t="array" ref="O639">IF($Q639&gt;=0,IFERROR(generateSalesData($D639, IF(ISNUMBER(_xlfn.XLOOKUP($C639,Phone_by_Sentiment!$B$2:$B$37,Phone_by_Sentiment!O$2:O$37,"",0,1)),_xlfn.XLOOKUP($C639,Phone_by_Sentiment!$B$2:$B$37,Phone_by_Sentiment!O$2:O$37,"",0,1),0),$A639-TEXT(DATEVALUE($D639&amp;"-01"), "dd-mm-yyyy")),0),0)</f>
        <v>0</v>
      </c>
      <c r="P639" s="1">
        <f t="shared" si="25"/>
        <v>44136</v>
      </c>
      <c r="Q639">
        <f t="shared" si="26"/>
        <v>-123</v>
      </c>
    </row>
    <row r="640" spans="1:17" x14ac:dyDescent="0.25">
      <c r="A640" s="1">
        <f t="shared" si="27"/>
        <v>44013</v>
      </c>
      <c r="B640" t="s">
        <v>152</v>
      </c>
      <c r="C640" t="str">
        <f>_xlfn.XLOOKUP(B640,Phone_by_Price!$A$2:$A$34,Phone_by_Price!$B$2:$B$34,"-",0,1)</f>
        <v>Huawei Nova 7i</v>
      </c>
      <c r="D640" t="str">
        <f>_xlfn.XLOOKUP(C640,Phone_by_Sentiment!$B$2:$B$37,Phone_by_Sentiment!$A$2:$A$37,"-",0,1)</f>
        <v>2020-02</v>
      </c>
      <c r="E640" cm="1">
        <f t="array" ref="E640">IF($Q640&gt;=0,IFERROR(generateSalesData($D640, IF(ISNUMBER(_xlfn.XLOOKUP($C640,Phone_by_Sentiment!$B$2:$B$37,Phone_by_Sentiment!E$2:E$37,"",0,1)),_xlfn.XLOOKUP($C640,Phone_by_Sentiment!$B$2:$B$37,Phone_by_Sentiment!E$2:E$37,"",0,1),0),$A640-TEXT(DATEVALUE($D640&amp;"-01"), "dd-mm-yyyy")),0),0)</f>
        <v>287</v>
      </c>
      <c r="F640" cm="1">
        <f t="array" ref="F640">IF($Q640&gt;=0,IFERROR(generateSalesData($D640, IF(ISNUMBER(_xlfn.XLOOKUP($C640,Phone_by_Sentiment!$B$2:$B$37,Phone_by_Sentiment!F$2:F$37,"",0,1)),_xlfn.XLOOKUP($C640,Phone_by_Sentiment!$B$2:$B$37,Phone_by_Sentiment!F$2:F$37,"",0,1),0),$A640-TEXT(DATEVALUE($D640&amp;"-01"), "dd-mm-yyyy")),0),0)</f>
        <v>18</v>
      </c>
      <c r="G640" cm="1">
        <f t="array" ref="G640">IF($Q640&gt;=0,IFERROR(generateSalesData($D640, IF(ISNUMBER(_xlfn.XLOOKUP($C640,Phone_by_Sentiment!$B$2:$B$37,Phone_by_Sentiment!G$2:G$37,"",0,1)),_xlfn.XLOOKUP($C640,Phone_by_Sentiment!$B$2:$B$37,Phone_by_Sentiment!G$2:G$37,"",0,1),0),$A640-TEXT(DATEVALUE($D640&amp;"-01"), "dd-mm-yyyy")),0),0)</f>
        <v>655</v>
      </c>
      <c r="H640" cm="1">
        <f t="array" ref="H640">IF($Q640&gt;=0,IFERROR(generateSalesData($D640, IF(ISNUMBER(_xlfn.XLOOKUP($C640,Phone_by_Sentiment!$B$2:$B$37,Phone_by_Sentiment!H$2:H$37,"",0,1)),_xlfn.XLOOKUP($C640,Phone_by_Sentiment!$B$2:$B$37,Phone_by_Sentiment!H$2:H$37,"",0,1),0),$A640-TEXT(DATEVALUE($D640&amp;"-01"), "dd-mm-yyyy")),0),0)</f>
        <v>1994</v>
      </c>
      <c r="I640" cm="1">
        <f t="array" ref="I640">IF($Q640&gt;=0,IFERROR(generateSalesData($D640, IF(ISNUMBER(_xlfn.XLOOKUP($C640,Phone_by_Sentiment!$B$2:$B$37,Phone_by_Sentiment!I$2:I$37,"",0,1)),_xlfn.XLOOKUP($C640,Phone_by_Sentiment!$B$2:$B$37,Phone_by_Sentiment!I$2:I$37,"",0,1),0),$A640-TEXT(DATEVALUE($D640&amp;"-01"), "dd-mm-yyyy")),0),0)</f>
        <v>474</v>
      </c>
      <c r="J640" cm="1">
        <f t="array" ref="J640">IF($Q640&gt;=0,IFERROR(generateSalesData($D640, IF(ISNUMBER(_xlfn.XLOOKUP($C640,Phone_by_Sentiment!$B$2:$B$37,Phone_by_Sentiment!J$2:J$37,"",0,1)),_xlfn.XLOOKUP($C640,Phone_by_Sentiment!$B$2:$B$37,Phone_by_Sentiment!J$2:J$37,"",0,1),0),$A640-TEXT(DATEVALUE($D640&amp;"-01"), "dd-mm-yyyy")),0),0)</f>
        <v>308</v>
      </c>
      <c r="K640" cm="1">
        <f t="array" ref="K640">IF($Q640&gt;=0,IFERROR(generateSalesData($D640, IF(ISNUMBER(_xlfn.XLOOKUP($C640,Phone_by_Sentiment!$B$2:$B$37,Phone_by_Sentiment!K$2:K$37,"",0,1)),_xlfn.XLOOKUP($C640,Phone_by_Sentiment!$B$2:$B$37,Phone_by_Sentiment!K$2:K$37,"",0,1),0),$A640-TEXT(DATEVALUE($D640&amp;"-01"), "dd-mm-yyyy")),0),0)</f>
        <v>835</v>
      </c>
      <c r="L640" cm="1">
        <f t="array" ref="L640">IF($Q640&gt;=0,IFERROR(generateSalesData($D640, IF(ISNUMBER(_xlfn.XLOOKUP($C640,Phone_by_Sentiment!$B$2:$B$37,Phone_by_Sentiment!L$2:L$37,"",0,1)),_xlfn.XLOOKUP($C640,Phone_by_Sentiment!$B$2:$B$37,Phone_by_Sentiment!L$2:L$37,"",0,1),0),$A640-TEXT(DATEVALUE($D640&amp;"-01"), "dd-mm-yyyy")),0),0)</f>
        <v>89</v>
      </c>
      <c r="M640" cm="1">
        <f t="array" ref="M640">IF($Q640&gt;=0,IFERROR(generateSalesData($D640, IF(ISNUMBER(_xlfn.XLOOKUP($C640,Phone_by_Sentiment!$B$2:$B$37,Phone_by_Sentiment!M$2:M$37,"",0,1)),_xlfn.XLOOKUP($C640,Phone_by_Sentiment!$B$2:$B$37,Phone_by_Sentiment!M$2:M$37,"",0,1),0),$A640-TEXT(DATEVALUE($D640&amp;"-01"), "dd-mm-yyyy")),0),0)</f>
        <v>288</v>
      </c>
      <c r="N640" cm="1">
        <f t="array" ref="N640">IF($Q640&gt;=0,IFERROR(generateSalesData($D640, IF(ISNUMBER(_xlfn.XLOOKUP($C640,Phone_by_Sentiment!$B$2:$B$37,Phone_by_Sentiment!N$2:N$37,"",0,1)),_xlfn.XLOOKUP($C640,Phone_by_Sentiment!$B$2:$B$37,Phone_by_Sentiment!N$2:N$37,"",0,1),0),$A640-TEXT(DATEVALUE($D640&amp;"-01"), "dd-mm-yyyy")),0),0)</f>
        <v>663</v>
      </c>
      <c r="O640" cm="1">
        <f t="array" ref="O640">IF($Q640&gt;=0,IFERROR(generateSalesData($D640, IF(ISNUMBER(_xlfn.XLOOKUP($C640,Phone_by_Sentiment!$B$2:$B$37,Phone_by_Sentiment!O$2:O$37,"",0,1)),_xlfn.XLOOKUP($C640,Phone_by_Sentiment!$B$2:$B$37,Phone_by_Sentiment!O$2:O$37,"",0,1),0),$A640-TEXT(DATEVALUE($D640&amp;"-01"), "dd-mm-yyyy")),0),0)</f>
        <v>442</v>
      </c>
      <c r="P640" s="1">
        <f t="shared" si="25"/>
        <v>43862</v>
      </c>
      <c r="Q640">
        <f t="shared" si="26"/>
        <v>151</v>
      </c>
    </row>
    <row r="641" spans="1:17" x14ac:dyDescent="0.25">
      <c r="A641" s="1">
        <f t="shared" si="27"/>
        <v>44013</v>
      </c>
      <c r="B641" t="s">
        <v>153</v>
      </c>
      <c r="C641" t="str">
        <f>_xlfn.XLOOKUP(B641,Phone_by_Price!$A$2:$A$34,Phone_by_Price!$B$2:$B$34,"-",0,1)</f>
        <v>iPhone 13</v>
      </c>
      <c r="D641" t="str">
        <f>_xlfn.XLOOKUP(C641,Phone_by_Sentiment!$B$2:$B$37,Phone_by_Sentiment!$A$2:$A$37,"-",0,1)</f>
        <v>2021-09</v>
      </c>
      <c r="E641" cm="1">
        <f t="array" ref="E641">IF($Q641&gt;=0,IFERROR(generateSalesData($D641, IF(ISNUMBER(_xlfn.XLOOKUP($C641,Phone_by_Sentiment!$B$2:$B$37,Phone_by_Sentiment!E$2:E$37,"",0,1)),_xlfn.XLOOKUP($C641,Phone_by_Sentiment!$B$2:$B$37,Phone_by_Sentiment!E$2:E$37,"",0,1),0),$A641-TEXT(DATEVALUE($D641&amp;"-01"), "dd-mm-yyyy")),0),0)</f>
        <v>0</v>
      </c>
      <c r="F641" cm="1">
        <f t="array" ref="F641">IF($Q641&gt;=0,IFERROR(generateSalesData($D641, IF(ISNUMBER(_xlfn.XLOOKUP($C641,Phone_by_Sentiment!$B$2:$B$37,Phone_by_Sentiment!F$2:F$37,"",0,1)),_xlfn.XLOOKUP($C641,Phone_by_Sentiment!$B$2:$B$37,Phone_by_Sentiment!F$2:F$37,"",0,1),0),$A641-TEXT(DATEVALUE($D641&amp;"-01"), "dd-mm-yyyy")),0),0)</f>
        <v>0</v>
      </c>
      <c r="G641" cm="1">
        <f t="array" ref="G641">IF($Q641&gt;=0,IFERROR(generateSalesData($D641, IF(ISNUMBER(_xlfn.XLOOKUP($C641,Phone_by_Sentiment!$B$2:$B$37,Phone_by_Sentiment!G$2:G$37,"",0,1)),_xlfn.XLOOKUP($C641,Phone_by_Sentiment!$B$2:$B$37,Phone_by_Sentiment!G$2:G$37,"",0,1),0),$A641-TEXT(DATEVALUE($D641&amp;"-01"), "dd-mm-yyyy")),0),0)</f>
        <v>0</v>
      </c>
      <c r="H641" cm="1">
        <f t="array" ref="H641">IF($Q641&gt;=0,IFERROR(generateSalesData($D641, IF(ISNUMBER(_xlfn.XLOOKUP($C641,Phone_by_Sentiment!$B$2:$B$37,Phone_by_Sentiment!H$2:H$37,"",0,1)),_xlfn.XLOOKUP($C641,Phone_by_Sentiment!$B$2:$B$37,Phone_by_Sentiment!H$2:H$37,"",0,1),0),$A641-TEXT(DATEVALUE($D641&amp;"-01"), "dd-mm-yyyy")),0),0)</f>
        <v>0</v>
      </c>
      <c r="I641" cm="1">
        <f t="array" ref="I641">IF($Q641&gt;=0,IFERROR(generateSalesData($D641, IF(ISNUMBER(_xlfn.XLOOKUP($C641,Phone_by_Sentiment!$B$2:$B$37,Phone_by_Sentiment!I$2:I$37,"",0,1)),_xlfn.XLOOKUP($C641,Phone_by_Sentiment!$B$2:$B$37,Phone_by_Sentiment!I$2:I$37,"",0,1),0),$A641-TEXT(DATEVALUE($D641&amp;"-01"), "dd-mm-yyyy")),0),0)</f>
        <v>0</v>
      </c>
      <c r="J641" cm="1">
        <f t="array" ref="J641">IF($Q641&gt;=0,IFERROR(generateSalesData($D641, IF(ISNUMBER(_xlfn.XLOOKUP($C641,Phone_by_Sentiment!$B$2:$B$37,Phone_by_Sentiment!J$2:J$37,"",0,1)),_xlfn.XLOOKUP($C641,Phone_by_Sentiment!$B$2:$B$37,Phone_by_Sentiment!J$2:J$37,"",0,1),0),$A641-TEXT(DATEVALUE($D641&amp;"-01"), "dd-mm-yyyy")),0),0)</f>
        <v>0</v>
      </c>
      <c r="K641" cm="1">
        <f t="array" ref="K641">IF($Q641&gt;=0,IFERROR(generateSalesData($D641, IF(ISNUMBER(_xlfn.XLOOKUP($C641,Phone_by_Sentiment!$B$2:$B$37,Phone_by_Sentiment!K$2:K$37,"",0,1)),_xlfn.XLOOKUP($C641,Phone_by_Sentiment!$B$2:$B$37,Phone_by_Sentiment!K$2:K$37,"",0,1),0),$A641-TEXT(DATEVALUE($D641&amp;"-01"), "dd-mm-yyyy")),0),0)</f>
        <v>0</v>
      </c>
      <c r="L641" cm="1">
        <f t="array" ref="L641">IF($Q641&gt;=0,IFERROR(generateSalesData($D641, IF(ISNUMBER(_xlfn.XLOOKUP($C641,Phone_by_Sentiment!$B$2:$B$37,Phone_by_Sentiment!L$2:L$37,"",0,1)),_xlfn.XLOOKUP($C641,Phone_by_Sentiment!$B$2:$B$37,Phone_by_Sentiment!L$2:L$37,"",0,1),0),$A641-TEXT(DATEVALUE($D641&amp;"-01"), "dd-mm-yyyy")),0),0)</f>
        <v>0</v>
      </c>
      <c r="M641" cm="1">
        <f t="array" ref="M641">IF($Q641&gt;=0,IFERROR(generateSalesData($D641, IF(ISNUMBER(_xlfn.XLOOKUP($C641,Phone_by_Sentiment!$B$2:$B$37,Phone_by_Sentiment!M$2:M$37,"",0,1)),_xlfn.XLOOKUP($C641,Phone_by_Sentiment!$B$2:$B$37,Phone_by_Sentiment!M$2:M$37,"",0,1),0),$A641-TEXT(DATEVALUE($D641&amp;"-01"), "dd-mm-yyyy")),0),0)</f>
        <v>0</v>
      </c>
      <c r="N641" cm="1">
        <f t="array" ref="N641">IF($Q641&gt;=0,IFERROR(generateSalesData($D641, IF(ISNUMBER(_xlfn.XLOOKUP($C641,Phone_by_Sentiment!$B$2:$B$37,Phone_by_Sentiment!N$2:N$37,"",0,1)),_xlfn.XLOOKUP($C641,Phone_by_Sentiment!$B$2:$B$37,Phone_by_Sentiment!N$2:N$37,"",0,1),0),$A641-TEXT(DATEVALUE($D641&amp;"-01"), "dd-mm-yyyy")),0),0)</f>
        <v>0</v>
      </c>
      <c r="O641" cm="1">
        <f t="array" ref="O641">IF($Q641&gt;=0,IFERROR(generateSalesData($D641, IF(ISNUMBER(_xlfn.XLOOKUP($C641,Phone_by_Sentiment!$B$2:$B$37,Phone_by_Sentiment!O$2:O$37,"",0,1)),_xlfn.XLOOKUP($C641,Phone_by_Sentiment!$B$2:$B$37,Phone_by_Sentiment!O$2:O$37,"",0,1),0),$A641-TEXT(DATEVALUE($D641&amp;"-01"), "dd-mm-yyyy")),0),0)</f>
        <v>0</v>
      </c>
      <c r="P641" s="1">
        <f t="shared" si="25"/>
        <v>44440</v>
      </c>
      <c r="Q641">
        <f t="shared" si="26"/>
        <v>-427</v>
      </c>
    </row>
    <row r="642" spans="1:17" x14ac:dyDescent="0.25">
      <c r="A642" s="1">
        <f t="shared" si="27"/>
        <v>44013</v>
      </c>
      <c r="B642" t="s">
        <v>154</v>
      </c>
      <c r="C642" t="str">
        <f>_xlfn.XLOOKUP(B642,Phone_by_Price!$A$2:$A$34,Phone_by_Price!$B$2:$B$34,"-",0,1)</f>
        <v>Samsung Galaxy S21</v>
      </c>
      <c r="D642" t="str">
        <f>_xlfn.XLOOKUP(C642,Phone_by_Sentiment!$B$2:$B$37,Phone_by_Sentiment!$A$2:$A$37,"-",0,1)</f>
        <v>2021-01</v>
      </c>
      <c r="E642" cm="1">
        <f t="array" ref="E642">IF($Q642&gt;=0,IFERROR(generateSalesData($D642, IF(ISNUMBER(_xlfn.XLOOKUP($C642,Phone_by_Sentiment!$B$2:$B$37,Phone_by_Sentiment!E$2:E$37,"",0,1)),_xlfn.XLOOKUP($C642,Phone_by_Sentiment!$B$2:$B$37,Phone_by_Sentiment!E$2:E$37,"",0,1),0),$A642-TEXT(DATEVALUE($D642&amp;"-01"), "dd-mm-yyyy")),0),0)</f>
        <v>0</v>
      </c>
      <c r="F642" cm="1">
        <f t="array" ref="F642">IF($Q642&gt;=0,IFERROR(generateSalesData($D642, IF(ISNUMBER(_xlfn.XLOOKUP($C642,Phone_by_Sentiment!$B$2:$B$37,Phone_by_Sentiment!F$2:F$37,"",0,1)),_xlfn.XLOOKUP($C642,Phone_by_Sentiment!$B$2:$B$37,Phone_by_Sentiment!F$2:F$37,"",0,1),0),$A642-TEXT(DATEVALUE($D642&amp;"-01"), "dd-mm-yyyy")),0),0)</f>
        <v>0</v>
      </c>
      <c r="G642" cm="1">
        <f t="array" ref="G642">IF($Q642&gt;=0,IFERROR(generateSalesData($D642, IF(ISNUMBER(_xlfn.XLOOKUP($C642,Phone_by_Sentiment!$B$2:$B$37,Phone_by_Sentiment!G$2:G$37,"",0,1)),_xlfn.XLOOKUP($C642,Phone_by_Sentiment!$B$2:$B$37,Phone_by_Sentiment!G$2:G$37,"",0,1),0),$A642-TEXT(DATEVALUE($D642&amp;"-01"), "dd-mm-yyyy")),0),0)</f>
        <v>0</v>
      </c>
      <c r="H642" cm="1">
        <f t="array" ref="H642">IF($Q642&gt;=0,IFERROR(generateSalesData($D642, IF(ISNUMBER(_xlfn.XLOOKUP($C642,Phone_by_Sentiment!$B$2:$B$37,Phone_by_Sentiment!H$2:H$37,"",0,1)),_xlfn.XLOOKUP($C642,Phone_by_Sentiment!$B$2:$B$37,Phone_by_Sentiment!H$2:H$37,"",0,1),0),$A642-TEXT(DATEVALUE($D642&amp;"-01"), "dd-mm-yyyy")),0),0)</f>
        <v>0</v>
      </c>
      <c r="I642" cm="1">
        <f t="array" ref="I642">IF($Q642&gt;=0,IFERROR(generateSalesData($D642, IF(ISNUMBER(_xlfn.XLOOKUP($C642,Phone_by_Sentiment!$B$2:$B$37,Phone_by_Sentiment!I$2:I$37,"",0,1)),_xlfn.XLOOKUP($C642,Phone_by_Sentiment!$B$2:$B$37,Phone_by_Sentiment!I$2:I$37,"",0,1),0),$A642-TEXT(DATEVALUE($D642&amp;"-01"), "dd-mm-yyyy")),0),0)</f>
        <v>0</v>
      </c>
      <c r="J642" cm="1">
        <f t="array" ref="J642">IF($Q642&gt;=0,IFERROR(generateSalesData($D642, IF(ISNUMBER(_xlfn.XLOOKUP($C642,Phone_by_Sentiment!$B$2:$B$37,Phone_by_Sentiment!J$2:J$37,"",0,1)),_xlfn.XLOOKUP($C642,Phone_by_Sentiment!$B$2:$B$37,Phone_by_Sentiment!J$2:J$37,"",0,1),0),$A642-TEXT(DATEVALUE($D642&amp;"-01"), "dd-mm-yyyy")),0),0)</f>
        <v>0</v>
      </c>
      <c r="K642" cm="1">
        <f t="array" ref="K642">IF($Q642&gt;=0,IFERROR(generateSalesData($D642, IF(ISNUMBER(_xlfn.XLOOKUP($C642,Phone_by_Sentiment!$B$2:$B$37,Phone_by_Sentiment!K$2:K$37,"",0,1)),_xlfn.XLOOKUP($C642,Phone_by_Sentiment!$B$2:$B$37,Phone_by_Sentiment!K$2:K$37,"",0,1),0),$A642-TEXT(DATEVALUE($D642&amp;"-01"), "dd-mm-yyyy")),0),0)</f>
        <v>0</v>
      </c>
      <c r="L642" cm="1">
        <f t="array" ref="L642">IF($Q642&gt;=0,IFERROR(generateSalesData($D642, IF(ISNUMBER(_xlfn.XLOOKUP($C642,Phone_by_Sentiment!$B$2:$B$37,Phone_by_Sentiment!L$2:L$37,"",0,1)),_xlfn.XLOOKUP($C642,Phone_by_Sentiment!$B$2:$B$37,Phone_by_Sentiment!L$2:L$37,"",0,1),0),$A642-TEXT(DATEVALUE($D642&amp;"-01"), "dd-mm-yyyy")),0),0)</f>
        <v>0</v>
      </c>
      <c r="M642" cm="1">
        <f t="array" ref="M642">IF($Q642&gt;=0,IFERROR(generateSalesData($D642, IF(ISNUMBER(_xlfn.XLOOKUP($C642,Phone_by_Sentiment!$B$2:$B$37,Phone_by_Sentiment!M$2:M$37,"",0,1)),_xlfn.XLOOKUP($C642,Phone_by_Sentiment!$B$2:$B$37,Phone_by_Sentiment!M$2:M$37,"",0,1),0),$A642-TEXT(DATEVALUE($D642&amp;"-01"), "dd-mm-yyyy")),0),0)</f>
        <v>0</v>
      </c>
      <c r="N642" cm="1">
        <f t="array" ref="N642">IF($Q642&gt;=0,IFERROR(generateSalesData($D642, IF(ISNUMBER(_xlfn.XLOOKUP($C642,Phone_by_Sentiment!$B$2:$B$37,Phone_by_Sentiment!N$2:N$37,"",0,1)),_xlfn.XLOOKUP($C642,Phone_by_Sentiment!$B$2:$B$37,Phone_by_Sentiment!N$2:N$37,"",0,1),0),$A642-TEXT(DATEVALUE($D642&amp;"-01"), "dd-mm-yyyy")),0),0)</f>
        <v>0</v>
      </c>
      <c r="O642" cm="1">
        <f t="array" ref="O642">IF($Q642&gt;=0,IFERROR(generateSalesData($D642, IF(ISNUMBER(_xlfn.XLOOKUP($C642,Phone_by_Sentiment!$B$2:$B$37,Phone_by_Sentiment!O$2:O$37,"",0,1)),_xlfn.XLOOKUP($C642,Phone_by_Sentiment!$B$2:$B$37,Phone_by_Sentiment!O$2:O$37,"",0,1),0),$A642-TEXT(DATEVALUE($D642&amp;"-01"), "dd-mm-yyyy")),0),0)</f>
        <v>0</v>
      </c>
      <c r="P642" s="1">
        <f t="shared" si="25"/>
        <v>44197</v>
      </c>
      <c r="Q642">
        <f t="shared" si="26"/>
        <v>-184</v>
      </c>
    </row>
    <row r="643" spans="1:17" x14ac:dyDescent="0.25">
      <c r="A643" s="1">
        <f t="shared" si="27"/>
        <v>44013</v>
      </c>
      <c r="B643" t="s">
        <v>155</v>
      </c>
      <c r="C643" t="str">
        <f>_xlfn.XLOOKUP(B643,Phone_by_Price!$A$2:$A$34,Phone_by_Price!$B$2:$B$34,"-",0,1)</f>
        <v>Google Pixel 6</v>
      </c>
      <c r="D643" t="str">
        <f>_xlfn.XLOOKUP(C643,Phone_by_Sentiment!$B$2:$B$37,Phone_by_Sentiment!$A$2:$A$37,"-",0,1)</f>
        <v>2021-10</v>
      </c>
      <c r="E643" cm="1">
        <f t="array" ref="E643">IF($Q643&gt;=0,IFERROR(generateSalesData($D643, IF(ISNUMBER(_xlfn.XLOOKUP($C643,Phone_by_Sentiment!$B$2:$B$37,Phone_by_Sentiment!E$2:E$37,"",0,1)),_xlfn.XLOOKUP($C643,Phone_by_Sentiment!$B$2:$B$37,Phone_by_Sentiment!E$2:E$37,"",0,1),0),$A643-TEXT(DATEVALUE($D643&amp;"-01"), "dd-mm-yyyy")),0),0)</f>
        <v>0</v>
      </c>
      <c r="F643" cm="1">
        <f t="array" ref="F643">IF($Q643&gt;=0,IFERROR(generateSalesData($D643, IF(ISNUMBER(_xlfn.XLOOKUP($C643,Phone_by_Sentiment!$B$2:$B$37,Phone_by_Sentiment!F$2:F$37,"",0,1)),_xlfn.XLOOKUP($C643,Phone_by_Sentiment!$B$2:$B$37,Phone_by_Sentiment!F$2:F$37,"",0,1),0),$A643-TEXT(DATEVALUE($D643&amp;"-01"), "dd-mm-yyyy")),0),0)</f>
        <v>0</v>
      </c>
      <c r="G643" cm="1">
        <f t="array" ref="G643">IF($Q643&gt;=0,IFERROR(generateSalesData($D643, IF(ISNUMBER(_xlfn.XLOOKUP($C643,Phone_by_Sentiment!$B$2:$B$37,Phone_by_Sentiment!G$2:G$37,"",0,1)),_xlfn.XLOOKUP($C643,Phone_by_Sentiment!$B$2:$B$37,Phone_by_Sentiment!G$2:G$37,"",0,1),0),$A643-TEXT(DATEVALUE($D643&amp;"-01"), "dd-mm-yyyy")),0),0)</f>
        <v>0</v>
      </c>
      <c r="H643" cm="1">
        <f t="array" ref="H643">IF($Q643&gt;=0,IFERROR(generateSalesData($D643, IF(ISNUMBER(_xlfn.XLOOKUP($C643,Phone_by_Sentiment!$B$2:$B$37,Phone_by_Sentiment!H$2:H$37,"",0,1)),_xlfn.XLOOKUP($C643,Phone_by_Sentiment!$B$2:$B$37,Phone_by_Sentiment!H$2:H$37,"",0,1),0),$A643-TEXT(DATEVALUE($D643&amp;"-01"), "dd-mm-yyyy")),0),0)</f>
        <v>0</v>
      </c>
      <c r="I643" cm="1">
        <f t="array" ref="I643">IF($Q643&gt;=0,IFERROR(generateSalesData($D643, IF(ISNUMBER(_xlfn.XLOOKUP($C643,Phone_by_Sentiment!$B$2:$B$37,Phone_by_Sentiment!I$2:I$37,"",0,1)),_xlfn.XLOOKUP($C643,Phone_by_Sentiment!$B$2:$B$37,Phone_by_Sentiment!I$2:I$37,"",0,1),0),$A643-TEXT(DATEVALUE($D643&amp;"-01"), "dd-mm-yyyy")),0),0)</f>
        <v>0</v>
      </c>
      <c r="J643" cm="1">
        <f t="array" ref="J643">IF($Q643&gt;=0,IFERROR(generateSalesData($D643, IF(ISNUMBER(_xlfn.XLOOKUP($C643,Phone_by_Sentiment!$B$2:$B$37,Phone_by_Sentiment!J$2:J$37,"",0,1)),_xlfn.XLOOKUP($C643,Phone_by_Sentiment!$B$2:$B$37,Phone_by_Sentiment!J$2:J$37,"",0,1),0),$A643-TEXT(DATEVALUE($D643&amp;"-01"), "dd-mm-yyyy")),0),0)</f>
        <v>0</v>
      </c>
      <c r="K643" cm="1">
        <f t="array" ref="K643">IF($Q643&gt;=0,IFERROR(generateSalesData($D643, IF(ISNUMBER(_xlfn.XLOOKUP($C643,Phone_by_Sentiment!$B$2:$B$37,Phone_by_Sentiment!K$2:K$37,"",0,1)),_xlfn.XLOOKUP($C643,Phone_by_Sentiment!$B$2:$B$37,Phone_by_Sentiment!K$2:K$37,"",0,1),0),$A643-TEXT(DATEVALUE($D643&amp;"-01"), "dd-mm-yyyy")),0),0)</f>
        <v>0</v>
      </c>
      <c r="L643" cm="1">
        <f t="array" ref="L643">IF($Q643&gt;=0,IFERROR(generateSalesData($D643, IF(ISNUMBER(_xlfn.XLOOKUP($C643,Phone_by_Sentiment!$B$2:$B$37,Phone_by_Sentiment!L$2:L$37,"",0,1)),_xlfn.XLOOKUP($C643,Phone_by_Sentiment!$B$2:$B$37,Phone_by_Sentiment!L$2:L$37,"",0,1),0),$A643-TEXT(DATEVALUE($D643&amp;"-01"), "dd-mm-yyyy")),0),0)</f>
        <v>0</v>
      </c>
      <c r="M643" cm="1">
        <f t="array" ref="M643">IF($Q643&gt;=0,IFERROR(generateSalesData($D643, IF(ISNUMBER(_xlfn.XLOOKUP($C643,Phone_by_Sentiment!$B$2:$B$37,Phone_by_Sentiment!M$2:M$37,"",0,1)),_xlfn.XLOOKUP($C643,Phone_by_Sentiment!$B$2:$B$37,Phone_by_Sentiment!M$2:M$37,"",0,1),0),$A643-TEXT(DATEVALUE($D643&amp;"-01"), "dd-mm-yyyy")),0),0)</f>
        <v>0</v>
      </c>
      <c r="N643" cm="1">
        <f t="array" ref="N643">IF($Q643&gt;=0,IFERROR(generateSalesData($D643, IF(ISNUMBER(_xlfn.XLOOKUP($C643,Phone_by_Sentiment!$B$2:$B$37,Phone_by_Sentiment!N$2:N$37,"",0,1)),_xlfn.XLOOKUP($C643,Phone_by_Sentiment!$B$2:$B$37,Phone_by_Sentiment!N$2:N$37,"",0,1),0),$A643-TEXT(DATEVALUE($D643&amp;"-01"), "dd-mm-yyyy")),0),0)</f>
        <v>0</v>
      </c>
      <c r="O643" cm="1">
        <f t="array" ref="O643">IF($Q643&gt;=0,IFERROR(generateSalesData($D643, IF(ISNUMBER(_xlfn.XLOOKUP($C643,Phone_by_Sentiment!$B$2:$B$37,Phone_by_Sentiment!O$2:O$37,"",0,1)),_xlfn.XLOOKUP($C643,Phone_by_Sentiment!$B$2:$B$37,Phone_by_Sentiment!O$2:O$37,"",0,1),0),$A643-TEXT(DATEVALUE($D643&amp;"-01"), "dd-mm-yyyy")),0),0)</f>
        <v>0</v>
      </c>
      <c r="P643" s="1">
        <f t="shared" si="25"/>
        <v>44470</v>
      </c>
      <c r="Q643">
        <f t="shared" si="26"/>
        <v>-457</v>
      </c>
    </row>
    <row r="644" spans="1:17" x14ac:dyDescent="0.25">
      <c r="A644" s="1">
        <f t="shared" si="27"/>
        <v>44013</v>
      </c>
      <c r="B644" t="s">
        <v>156</v>
      </c>
      <c r="C644" t="str">
        <f>_xlfn.XLOOKUP(B644,Phone_by_Price!$A$2:$A$34,Phone_by_Price!$B$2:$B$34,"-",0,1)</f>
        <v>OnePlus Nord CE</v>
      </c>
      <c r="D644" t="str">
        <f>_xlfn.XLOOKUP(C644,Phone_by_Sentiment!$B$2:$B$37,Phone_by_Sentiment!$A$2:$A$37,"-",0,1)</f>
        <v>2021-06</v>
      </c>
      <c r="E644" cm="1">
        <f t="array" ref="E644">IF($Q644&gt;=0,IFERROR(generateSalesData($D644, IF(ISNUMBER(_xlfn.XLOOKUP($C644,Phone_by_Sentiment!$B$2:$B$37,Phone_by_Sentiment!E$2:E$37,"",0,1)),_xlfn.XLOOKUP($C644,Phone_by_Sentiment!$B$2:$B$37,Phone_by_Sentiment!E$2:E$37,"",0,1),0),$A644-TEXT(DATEVALUE($D644&amp;"-01"), "dd-mm-yyyy")),0),0)</f>
        <v>0</v>
      </c>
      <c r="F644" cm="1">
        <f t="array" ref="F644">IF($Q644&gt;=0,IFERROR(generateSalesData($D644, IF(ISNUMBER(_xlfn.XLOOKUP($C644,Phone_by_Sentiment!$B$2:$B$37,Phone_by_Sentiment!F$2:F$37,"",0,1)),_xlfn.XLOOKUP($C644,Phone_by_Sentiment!$B$2:$B$37,Phone_by_Sentiment!F$2:F$37,"",0,1),0),$A644-TEXT(DATEVALUE($D644&amp;"-01"), "dd-mm-yyyy")),0),0)</f>
        <v>0</v>
      </c>
      <c r="G644" cm="1">
        <f t="array" ref="G644">IF($Q644&gt;=0,IFERROR(generateSalesData($D644, IF(ISNUMBER(_xlfn.XLOOKUP($C644,Phone_by_Sentiment!$B$2:$B$37,Phone_by_Sentiment!G$2:G$37,"",0,1)),_xlfn.XLOOKUP($C644,Phone_by_Sentiment!$B$2:$B$37,Phone_by_Sentiment!G$2:G$37,"",0,1),0),$A644-TEXT(DATEVALUE($D644&amp;"-01"), "dd-mm-yyyy")),0),0)</f>
        <v>0</v>
      </c>
      <c r="H644" cm="1">
        <f t="array" ref="H644">IF($Q644&gt;=0,IFERROR(generateSalesData($D644, IF(ISNUMBER(_xlfn.XLOOKUP($C644,Phone_by_Sentiment!$B$2:$B$37,Phone_by_Sentiment!H$2:H$37,"",0,1)),_xlfn.XLOOKUP($C644,Phone_by_Sentiment!$B$2:$B$37,Phone_by_Sentiment!H$2:H$37,"",0,1),0),$A644-TEXT(DATEVALUE($D644&amp;"-01"), "dd-mm-yyyy")),0),0)</f>
        <v>0</v>
      </c>
      <c r="I644" cm="1">
        <f t="array" ref="I644">IF($Q644&gt;=0,IFERROR(generateSalesData($D644, IF(ISNUMBER(_xlfn.XLOOKUP($C644,Phone_by_Sentiment!$B$2:$B$37,Phone_by_Sentiment!I$2:I$37,"",0,1)),_xlfn.XLOOKUP($C644,Phone_by_Sentiment!$B$2:$B$37,Phone_by_Sentiment!I$2:I$37,"",0,1),0),$A644-TEXT(DATEVALUE($D644&amp;"-01"), "dd-mm-yyyy")),0),0)</f>
        <v>0</v>
      </c>
      <c r="J644" cm="1">
        <f t="array" ref="J644">IF($Q644&gt;=0,IFERROR(generateSalesData($D644, IF(ISNUMBER(_xlfn.XLOOKUP($C644,Phone_by_Sentiment!$B$2:$B$37,Phone_by_Sentiment!J$2:J$37,"",0,1)),_xlfn.XLOOKUP($C644,Phone_by_Sentiment!$B$2:$B$37,Phone_by_Sentiment!J$2:J$37,"",0,1),0),$A644-TEXT(DATEVALUE($D644&amp;"-01"), "dd-mm-yyyy")),0),0)</f>
        <v>0</v>
      </c>
      <c r="K644" cm="1">
        <f t="array" ref="K644">IF($Q644&gt;=0,IFERROR(generateSalesData($D644, IF(ISNUMBER(_xlfn.XLOOKUP($C644,Phone_by_Sentiment!$B$2:$B$37,Phone_by_Sentiment!K$2:K$37,"",0,1)),_xlfn.XLOOKUP($C644,Phone_by_Sentiment!$B$2:$B$37,Phone_by_Sentiment!K$2:K$37,"",0,1),0),$A644-TEXT(DATEVALUE($D644&amp;"-01"), "dd-mm-yyyy")),0),0)</f>
        <v>0</v>
      </c>
      <c r="L644" cm="1">
        <f t="array" ref="L644">IF($Q644&gt;=0,IFERROR(generateSalesData($D644, IF(ISNUMBER(_xlfn.XLOOKUP($C644,Phone_by_Sentiment!$B$2:$B$37,Phone_by_Sentiment!L$2:L$37,"",0,1)),_xlfn.XLOOKUP($C644,Phone_by_Sentiment!$B$2:$B$37,Phone_by_Sentiment!L$2:L$37,"",0,1),0),$A644-TEXT(DATEVALUE($D644&amp;"-01"), "dd-mm-yyyy")),0),0)</f>
        <v>0</v>
      </c>
      <c r="M644" cm="1">
        <f t="array" ref="M644">IF($Q644&gt;=0,IFERROR(generateSalesData($D644, IF(ISNUMBER(_xlfn.XLOOKUP($C644,Phone_by_Sentiment!$B$2:$B$37,Phone_by_Sentiment!M$2:M$37,"",0,1)),_xlfn.XLOOKUP($C644,Phone_by_Sentiment!$B$2:$B$37,Phone_by_Sentiment!M$2:M$37,"",0,1),0),$A644-TEXT(DATEVALUE($D644&amp;"-01"), "dd-mm-yyyy")),0),0)</f>
        <v>0</v>
      </c>
      <c r="N644" cm="1">
        <f t="array" ref="N644">IF($Q644&gt;=0,IFERROR(generateSalesData($D644, IF(ISNUMBER(_xlfn.XLOOKUP($C644,Phone_by_Sentiment!$B$2:$B$37,Phone_by_Sentiment!N$2:N$37,"",0,1)),_xlfn.XLOOKUP($C644,Phone_by_Sentiment!$B$2:$B$37,Phone_by_Sentiment!N$2:N$37,"",0,1),0),$A644-TEXT(DATEVALUE($D644&amp;"-01"), "dd-mm-yyyy")),0),0)</f>
        <v>0</v>
      </c>
      <c r="O644" cm="1">
        <f t="array" ref="O644">IF($Q644&gt;=0,IFERROR(generateSalesData($D644, IF(ISNUMBER(_xlfn.XLOOKUP($C644,Phone_by_Sentiment!$B$2:$B$37,Phone_by_Sentiment!O$2:O$37,"",0,1)),_xlfn.XLOOKUP($C644,Phone_by_Sentiment!$B$2:$B$37,Phone_by_Sentiment!O$2:O$37,"",0,1),0),$A644-TEXT(DATEVALUE($D644&amp;"-01"), "dd-mm-yyyy")),0),0)</f>
        <v>0</v>
      </c>
      <c r="P644" s="1">
        <f t="shared" ref="P644:P707" si="28">DATEVALUE($D644&amp;"-01")</f>
        <v>44348</v>
      </c>
      <c r="Q644">
        <f t="shared" ref="Q644:Q707" si="29">A644-P644</f>
        <v>-335</v>
      </c>
    </row>
    <row r="645" spans="1:17" x14ac:dyDescent="0.25">
      <c r="A645" s="1">
        <f t="shared" si="27"/>
        <v>44013</v>
      </c>
      <c r="B645" t="s">
        <v>157</v>
      </c>
      <c r="C645" t="str">
        <f>_xlfn.XLOOKUP(B645,Phone_by_Price!$A$2:$A$34,Phone_by_Price!$B$2:$B$34,"-",0,1)</f>
        <v>Apple iPhone 13 Pro</v>
      </c>
      <c r="D645" t="str">
        <f>_xlfn.XLOOKUP(C645,Phone_by_Sentiment!$B$2:$B$37,Phone_by_Sentiment!$A$2:$A$37,"-",0,1)</f>
        <v>2021-09</v>
      </c>
      <c r="E645" cm="1">
        <f t="array" ref="E645">IF($Q645&gt;=0,IFERROR(generateSalesData($D645, IF(ISNUMBER(_xlfn.XLOOKUP($C645,Phone_by_Sentiment!$B$2:$B$37,Phone_by_Sentiment!E$2:E$37,"",0,1)),_xlfn.XLOOKUP($C645,Phone_by_Sentiment!$B$2:$B$37,Phone_by_Sentiment!E$2:E$37,"",0,1),0),$A645-TEXT(DATEVALUE($D645&amp;"-01"), "dd-mm-yyyy")),0),0)</f>
        <v>0</v>
      </c>
      <c r="F645" cm="1">
        <f t="array" ref="F645">IF($Q645&gt;=0,IFERROR(generateSalesData($D645, IF(ISNUMBER(_xlfn.XLOOKUP($C645,Phone_by_Sentiment!$B$2:$B$37,Phone_by_Sentiment!F$2:F$37,"",0,1)),_xlfn.XLOOKUP($C645,Phone_by_Sentiment!$B$2:$B$37,Phone_by_Sentiment!F$2:F$37,"",0,1),0),$A645-TEXT(DATEVALUE($D645&amp;"-01"), "dd-mm-yyyy")),0),0)</f>
        <v>0</v>
      </c>
      <c r="G645" cm="1">
        <f t="array" ref="G645">IF($Q645&gt;=0,IFERROR(generateSalesData($D645, IF(ISNUMBER(_xlfn.XLOOKUP($C645,Phone_by_Sentiment!$B$2:$B$37,Phone_by_Sentiment!G$2:G$37,"",0,1)),_xlfn.XLOOKUP($C645,Phone_by_Sentiment!$B$2:$B$37,Phone_by_Sentiment!G$2:G$37,"",0,1),0),$A645-TEXT(DATEVALUE($D645&amp;"-01"), "dd-mm-yyyy")),0),0)</f>
        <v>0</v>
      </c>
      <c r="H645" cm="1">
        <f t="array" ref="H645">IF($Q645&gt;=0,IFERROR(generateSalesData($D645, IF(ISNUMBER(_xlfn.XLOOKUP($C645,Phone_by_Sentiment!$B$2:$B$37,Phone_by_Sentiment!H$2:H$37,"",0,1)),_xlfn.XLOOKUP($C645,Phone_by_Sentiment!$B$2:$B$37,Phone_by_Sentiment!H$2:H$37,"",0,1),0),$A645-TEXT(DATEVALUE($D645&amp;"-01"), "dd-mm-yyyy")),0),0)</f>
        <v>0</v>
      </c>
      <c r="I645" cm="1">
        <f t="array" ref="I645">IF($Q645&gt;=0,IFERROR(generateSalesData($D645, IF(ISNUMBER(_xlfn.XLOOKUP($C645,Phone_by_Sentiment!$B$2:$B$37,Phone_by_Sentiment!I$2:I$37,"",0,1)),_xlfn.XLOOKUP($C645,Phone_by_Sentiment!$B$2:$B$37,Phone_by_Sentiment!I$2:I$37,"",0,1),0),$A645-TEXT(DATEVALUE($D645&amp;"-01"), "dd-mm-yyyy")),0),0)</f>
        <v>0</v>
      </c>
      <c r="J645" cm="1">
        <f t="array" ref="J645">IF($Q645&gt;=0,IFERROR(generateSalesData($D645, IF(ISNUMBER(_xlfn.XLOOKUP($C645,Phone_by_Sentiment!$B$2:$B$37,Phone_by_Sentiment!J$2:J$37,"",0,1)),_xlfn.XLOOKUP($C645,Phone_by_Sentiment!$B$2:$B$37,Phone_by_Sentiment!J$2:J$37,"",0,1),0),$A645-TEXT(DATEVALUE($D645&amp;"-01"), "dd-mm-yyyy")),0),0)</f>
        <v>0</v>
      </c>
      <c r="K645" cm="1">
        <f t="array" ref="K645">IF($Q645&gt;=0,IFERROR(generateSalesData($D645, IF(ISNUMBER(_xlfn.XLOOKUP($C645,Phone_by_Sentiment!$B$2:$B$37,Phone_by_Sentiment!K$2:K$37,"",0,1)),_xlfn.XLOOKUP($C645,Phone_by_Sentiment!$B$2:$B$37,Phone_by_Sentiment!K$2:K$37,"",0,1),0),$A645-TEXT(DATEVALUE($D645&amp;"-01"), "dd-mm-yyyy")),0),0)</f>
        <v>0</v>
      </c>
      <c r="L645" cm="1">
        <f t="array" ref="L645">IF($Q645&gt;=0,IFERROR(generateSalesData($D645, IF(ISNUMBER(_xlfn.XLOOKUP($C645,Phone_by_Sentiment!$B$2:$B$37,Phone_by_Sentiment!L$2:L$37,"",0,1)),_xlfn.XLOOKUP($C645,Phone_by_Sentiment!$B$2:$B$37,Phone_by_Sentiment!L$2:L$37,"",0,1),0),$A645-TEXT(DATEVALUE($D645&amp;"-01"), "dd-mm-yyyy")),0),0)</f>
        <v>0</v>
      </c>
      <c r="M645" cm="1">
        <f t="array" ref="M645">IF($Q645&gt;=0,IFERROR(generateSalesData($D645, IF(ISNUMBER(_xlfn.XLOOKUP($C645,Phone_by_Sentiment!$B$2:$B$37,Phone_by_Sentiment!M$2:M$37,"",0,1)),_xlfn.XLOOKUP($C645,Phone_by_Sentiment!$B$2:$B$37,Phone_by_Sentiment!M$2:M$37,"",0,1),0),$A645-TEXT(DATEVALUE($D645&amp;"-01"), "dd-mm-yyyy")),0),0)</f>
        <v>0</v>
      </c>
      <c r="N645" cm="1">
        <f t="array" ref="N645">IF($Q645&gt;=0,IFERROR(generateSalesData($D645, IF(ISNUMBER(_xlfn.XLOOKUP($C645,Phone_by_Sentiment!$B$2:$B$37,Phone_by_Sentiment!N$2:N$37,"",0,1)),_xlfn.XLOOKUP($C645,Phone_by_Sentiment!$B$2:$B$37,Phone_by_Sentiment!N$2:N$37,"",0,1),0),$A645-TEXT(DATEVALUE($D645&amp;"-01"), "dd-mm-yyyy")),0),0)</f>
        <v>0</v>
      </c>
      <c r="O645" cm="1">
        <f t="array" ref="O645">IF($Q645&gt;=0,IFERROR(generateSalesData($D645, IF(ISNUMBER(_xlfn.XLOOKUP($C645,Phone_by_Sentiment!$B$2:$B$37,Phone_by_Sentiment!O$2:O$37,"",0,1)),_xlfn.XLOOKUP($C645,Phone_by_Sentiment!$B$2:$B$37,Phone_by_Sentiment!O$2:O$37,"",0,1),0),$A645-TEXT(DATEVALUE($D645&amp;"-01"), "dd-mm-yyyy")),0),0)</f>
        <v>0</v>
      </c>
      <c r="P645" s="1">
        <f t="shared" si="28"/>
        <v>44440</v>
      </c>
      <c r="Q645">
        <f t="shared" si="29"/>
        <v>-427</v>
      </c>
    </row>
    <row r="646" spans="1:17" x14ac:dyDescent="0.25">
      <c r="A646" s="1">
        <f t="shared" si="27"/>
        <v>44013</v>
      </c>
      <c r="B646" t="s">
        <v>158</v>
      </c>
      <c r="C646" t="str">
        <f>_xlfn.XLOOKUP(B646,Phone_by_Price!$A$2:$A$34,Phone_by_Price!$B$2:$B$34,"-",0,1)</f>
        <v>Samsung Galaxy A32 5G</v>
      </c>
      <c r="D646" t="str">
        <f>_xlfn.XLOOKUP(C646,Phone_by_Sentiment!$B$2:$B$37,Phone_by_Sentiment!$A$2:$A$37,"-",0,1)</f>
        <v>2021-02</v>
      </c>
      <c r="E646" cm="1">
        <f t="array" ref="E646">IF($Q646&gt;=0,IFERROR(generateSalesData($D646, IF(ISNUMBER(_xlfn.XLOOKUP($C646,Phone_by_Sentiment!$B$2:$B$37,Phone_by_Sentiment!E$2:E$37,"",0,1)),_xlfn.XLOOKUP($C646,Phone_by_Sentiment!$B$2:$B$37,Phone_by_Sentiment!E$2:E$37,"",0,1),0),$A646-TEXT(DATEVALUE($D646&amp;"-01"), "dd-mm-yyyy")),0),0)</f>
        <v>0</v>
      </c>
      <c r="F646" cm="1">
        <f t="array" ref="F646">IF($Q646&gt;=0,IFERROR(generateSalesData($D646, IF(ISNUMBER(_xlfn.XLOOKUP($C646,Phone_by_Sentiment!$B$2:$B$37,Phone_by_Sentiment!F$2:F$37,"",0,1)),_xlfn.XLOOKUP($C646,Phone_by_Sentiment!$B$2:$B$37,Phone_by_Sentiment!F$2:F$37,"",0,1),0),$A646-TEXT(DATEVALUE($D646&amp;"-01"), "dd-mm-yyyy")),0),0)</f>
        <v>0</v>
      </c>
      <c r="G646" cm="1">
        <f t="array" ref="G646">IF($Q646&gt;=0,IFERROR(generateSalesData($D646, IF(ISNUMBER(_xlfn.XLOOKUP($C646,Phone_by_Sentiment!$B$2:$B$37,Phone_by_Sentiment!G$2:G$37,"",0,1)),_xlfn.XLOOKUP($C646,Phone_by_Sentiment!$B$2:$B$37,Phone_by_Sentiment!G$2:G$37,"",0,1),0),$A646-TEXT(DATEVALUE($D646&amp;"-01"), "dd-mm-yyyy")),0),0)</f>
        <v>0</v>
      </c>
      <c r="H646" cm="1">
        <f t="array" ref="H646">IF($Q646&gt;=0,IFERROR(generateSalesData($D646, IF(ISNUMBER(_xlfn.XLOOKUP($C646,Phone_by_Sentiment!$B$2:$B$37,Phone_by_Sentiment!H$2:H$37,"",0,1)),_xlfn.XLOOKUP($C646,Phone_by_Sentiment!$B$2:$B$37,Phone_by_Sentiment!H$2:H$37,"",0,1),0),$A646-TEXT(DATEVALUE($D646&amp;"-01"), "dd-mm-yyyy")),0),0)</f>
        <v>0</v>
      </c>
      <c r="I646" cm="1">
        <f t="array" ref="I646">IF($Q646&gt;=0,IFERROR(generateSalesData($D646, IF(ISNUMBER(_xlfn.XLOOKUP($C646,Phone_by_Sentiment!$B$2:$B$37,Phone_by_Sentiment!I$2:I$37,"",0,1)),_xlfn.XLOOKUP($C646,Phone_by_Sentiment!$B$2:$B$37,Phone_by_Sentiment!I$2:I$37,"",0,1),0),$A646-TEXT(DATEVALUE($D646&amp;"-01"), "dd-mm-yyyy")),0),0)</f>
        <v>0</v>
      </c>
      <c r="J646" cm="1">
        <f t="array" ref="J646">IF($Q646&gt;=0,IFERROR(generateSalesData($D646, IF(ISNUMBER(_xlfn.XLOOKUP($C646,Phone_by_Sentiment!$B$2:$B$37,Phone_by_Sentiment!J$2:J$37,"",0,1)),_xlfn.XLOOKUP($C646,Phone_by_Sentiment!$B$2:$B$37,Phone_by_Sentiment!J$2:J$37,"",0,1),0),$A646-TEXT(DATEVALUE($D646&amp;"-01"), "dd-mm-yyyy")),0),0)</f>
        <v>0</v>
      </c>
      <c r="K646" cm="1">
        <f t="array" ref="K646">IF($Q646&gt;=0,IFERROR(generateSalesData($D646, IF(ISNUMBER(_xlfn.XLOOKUP($C646,Phone_by_Sentiment!$B$2:$B$37,Phone_by_Sentiment!K$2:K$37,"",0,1)),_xlfn.XLOOKUP($C646,Phone_by_Sentiment!$B$2:$B$37,Phone_by_Sentiment!K$2:K$37,"",0,1),0),$A646-TEXT(DATEVALUE($D646&amp;"-01"), "dd-mm-yyyy")),0),0)</f>
        <v>0</v>
      </c>
      <c r="L646" cm="1">
        <f t="array" ref="L646">IF($Q646&gt;=0,IFERROR(generateSalesData($D646, IF(ISNUMBER(_xlfn.XLOOKUP($C646,Phone_by_Sentiment!$B$2:$B$37,Phone_by_Sentiment!L$2:L$37,"",0,1)),_xlfn.XLOOKUP($C646,Phone_by_Sentiment!$B$2:$B$37,Phone_by_Sentiment!L$2:L$37,"",0,1),0),$A646-TEXT(DATEVALUE($D646&amp;"-01"), "dd-mm-yyyy")),0),0)</f>
        <v>0</v>
      </c>
      <c r="M646" cm="1">
        <f t="array" ref="M646">IF($Q646&gt;=0,IFERROR(generateSalesData($D646, IF(ISNUMBER(_xlfn.XLOOKUP($C646,Phone_by_Sentiment!$B$2:$B$37,Phone_by_Sentiment!M$2:M$37,"",0,1)),_xlfn.XLOOKUP($C646,Phone_by_Sentiment!$B$2:$B$37,Phone_by_Sentiment!M$2:M$37,"",0,1),0),$A646-TEXT(DATEVALUE($D646&amp;"-01"), "dd-mm-yyyy")),0),0)</f>
        <v>0</v>
      </c>
      <c r="N646" cm="1">
        <f t="array" ref="N646">IF($Q646&gt;=0,IFERROR(generateSalesData($D646, IF(ISNUMBER(_xlfn.XLOOKUP($C646,Phone_by_Sentiment!$B$2:$B$37,Phone_by_Sentiment!N$2:N$37,"",0,1)),_xlfn.XLOOKUP($C646,Phone_by_Sentiment!$B$2:$B$37,Phone_by_Sentiment!N$2:N$37,"",0,1),0),$A646-TEXT(DATEVALUE($D646&amp;"-01"), "dd-mm-yyyy")),0),0)</f>
        <v>0</v>
      </c>
      <c r="O646" cm="1">
        <f t="array" ref="O646">IF($Q646&gt;=0,IFERROR(generateSalesData($D646, IF(ISNUMBER(_xlfn.XLOOKUP($C646,Phone_by_Sentiment!$B$2:$B$37,Phone_by_Sentiment!O$2:O$37,"",0,1)),_xlfn.XLOOKUP($C646,Phone_by_Sentiment!$B$2:$B$37,Phone_by_Sentiment!O$2:O$37,"",0,1),0),$A646-TEXT(DATEVALUE($D646&amp;"-01"), "dd-mm-yyyy")),0),0)</f>
        <v>0</v>
      </c>
      <c r="P646" s="1">
        <f t="shared" si="28"/>
        <v>44228</v>
      </c>
      <c r="Q646">
        <f t="shared" si="29"/>
        <v>-215</v>
      </c>
    </row>
    <row r="647" spans="1:17" x14ac:dyDescent="0.25">
      <c r="A647" s="1">
        <f t="shared" si="27"/>
        <v>44013</v>
      </c>
      <c r="B647" t="s">
        <v>159</v>
      </c>
      <c r="C647" t="str">
        <f>_xlfn.XLOOKUP(B647,Phone_by_Price!$A$2:$A$34,Phone_by_Price!$B$2:$B$34,"-",0,1)</f>
        <v>Realme C25</v>
      </c>
      <c r="D647" t="str">
        <f>_xlfn.XLOOKUP(C647,Phone_by_Sentiment!$B$2:$B$37,Phone_by_Sentiment!$A$2:$A$37,"-",0,1)</f>
        <v>2021-03</v>
      </c>
      <c r="E647" cm="1">
        <f t="array" ref="E647">IF($Q647&gt;=0,IFERROR(generateSalesData($D647, IF(ISNUMBER(_xlfn.XLOOKUP($C647,Phone_by_Sentiment!$B$2:$B$37,Phone_by_Sentiment!E$2:E$37,"",0,1)),_xlfn.XLOOKUP($C647,Phone_by_Sentiment!$B$2:$B$37,Phone_by_Sentiment!E$2:E$37,"",0,1),0),$A647-TEXT(DATEVALUE($D647&amp;"-01"), "dd-mm-yyyy")),0),0)</f>
        <v>0</v>
      </c>
      <c r="F647" cm="1">
        <f t="array" ref="F647">IF($Q647&gt;=0,IFERROR(generateSalesData($D647, IF(ISNUMBER(_xlfn.XLOOKUP($C647,Phone_by_Sentiment!$B$2:$B$37,Phone_by_Sentiment!F$2:F$37,"",0,1)),_xlfn.XLOOKUP($C647,Phone_by_Sentiment!$B$2:$B$37,Phone_by_Sentiment!F$2:F$37,"",0,1),0),$A647-TEXT(DATEVALUE($D647&amp;"-01"), "dd-mm-yyyy")),0),0)</f>
        <v>0</v>
      </c>
      <c r="G647" cm="1">
        <f t="array" ref="G647">IF($Q647&gt;=0,IFERROR(generateSalesData($D647, IF(ISNUMBER(_xlfn.XLOOKUP($C647,Phone_by_Sentiment!$B$2:$B$37,Phone_by_Sentiment!G$2:G$37,"",0,1)),_xlfn.XLOOKUP($C647,Phone_by_Sentiment!$B$2:$B$37,Phone_by_Sentiment!G$2:G$37,"",0,1),0),$A647-TEXT(DATEVALUE($D647&amp;"-01"), "dd-mm-yyyy")),0),0)</f>
        <v>0</v>
      </c>
      <c r="H647" cm="1">
        <f t="array" ref="H647">IF($Q647&gt;=0,IFERROR(generateSalesData($D647, IF(ISNUMBER(_xlfn.XLOOKUP($C647,Phone_by_Sentiment!$B$2:$B$37,Phone_by_Sentiment!H$2:H$37,"",0,1)),_xlfn.XLOOKUP($C647,Phone_by_Sentiment!$B$2:$B$37,Phone_by_Sentiment!H$2:H$37,"",0,1),0),$A647-TEXT(DATEVALUE($D647&amp;"-01"), "dd-mm-yyyy")),0),0)</f>
        <v>0</v>
      </c>
      <c r="I647" cm="1">
        <f t="array" ref="I647">IF($Q647&gt;=0,IFERROR(generateSalesData($D647, IF(ISNUMBER(_xlfn.XLOOKUP($C647,Phone_by_Sentiment!$B$2:$B$37,Phone_by_Sentiment!I$2:I$37,"",0,1)),_xlfn.XLOOKUP($C647,Phone_by_Sentiment!$B$2:$B$37,Phone_by_Sentiment!I$2:I$37,"",0,1),0),$A647-TEXT(DATEVALUE($D647&amp;"-01"), "dd-mm-yyyy")),0),0)</f>
        <v>0</v>
      </c>
      <c r="J647" cm="1">
        <f t="array" ref="J647">IF($Q647&gt;=0,IFERROR(generateSalesData($D647, IF(ISNUMBER(_xlfn.XLOOKUP($C647,Phone_by_Sentiment!$B$2:$B$37,Phone_by_Sentiment!J$2:J$37,"",0,1)),_xlfn.XLOOKUP($C647,Phone_by_Sentiment!$B$2:$B$37,Phone_by_Sentiment!J$2:J$37,"",0,1),0),$A647-TEXT(DATEVALUE($D647&amp;"-01"), "dd-mm-yyyy")),0),0)</f>
        <v>0</v>
      </c>
      <c r="K647" cm="1">
        <f t="array" ref="K647">IF($Q647&gt;=0,IFERROR(generateSalesData($D647, IF(ISNUMBER(_xlfn.XLOOKUP($C647,Phone_by_Sentiment!$B$2:$B$37,Phone_by_Sentiment!K$2:K$37,"",0,1)),_xlfn.XLOOKUP($C647,Phone_by_Sentiment!$B$2:$B$37,Phone_by_Sentiment!K$2:K$37,"",0,1),0),$A647-TEXT(DATEVALUE($D647&amp;"-01"), "dd-mm-yyyy")),0),0)</f>
        <v>0</v>
      </c>
      <c r="L647" cm="1">
        <f t="array" ref="L647">IF($Q647&gt;=0,IFERROR(generateSalesData($D647, IF(ISNUMBER(_xlfn.XLOOKUP($C647,Phone_by_Sentiment!$B$2:$B$37,Phone_by_Sentiment!L$2:L$37,"",0,1)),_xlfn.XLOOKUP($C647,Phone_by_Sentiment!$B$2:$B$37,Phone_by_Sentiment!L$2:L$37,"",0,1),0),$A647-TEXT(DATEVALUE($D647&amp;"-01"), "dd-mm-yyyy")),0),0)</f>
        <v>0</v>
      </c>
      <c r="M647" cm="1">
        <f t="array" ref="M647">IF($Q647&gt;=0,IFERROR(generateSalesData($D647, IF(ISNUMBER(_xlfn.XLOOKUP($C647,Phone_by_Sentiment!$B$2:$B$37,Phone_by_Sentiment!M$2:M$37,"",0,1)),_xlfn.XLOOKUP($C647,Phone_by_Sentiment!$B$2:$B$37,Phone_by_Sentiment!M$2:M$37,"",0,1),0),$A647-TEXT(DATEVALUE($D647&amp;"-01"), "dd-mm-yyyy")),0),0)</f>
        <v>0</v>
      </c>
      <c r="N647" cm="1">
        <f t="array" ref="N647">IF($Q647&gt;=0,IFERROR(generateSalesData($D647, IF(ISNUMBER(_xlfn.XLOOKUP($C647,Phone_by_Sentiment!$B$2:$B$37,Phone_by_Sentiment!N$2:N$37,"",0,1)),_xlfn.XLOOKUP($C647,Phone_by_Sentiment!$B$2:$B$37,Phone_by_Sentiment!N$2:N$37,"",0,1),0),$A647-TEXT(DATEVALUE($D647&amp;"-01"), "dd-mm-yyyy")),0),0)</f>
        <v>0</v>
      </c>
      <c r="O647" cm="1">
        <f t="array" ref="O647">IF($Q647&gt;=0,IFERROR(generateSalesData($D647, IF(ISNUMBER(_xlfn.XLOOKUP($C647,Phone_by_Sentiment!$B$2:$B$37,Phone_by_Sentiment!O$2:O$37,"",0,1)),_xlfn.XLOOKUP($C647,Phone_by_Sentiment!$B$2:$B$37,Phone_by_Sentiment!O$2:O$37,"",0,1),0),$A647-TEXT(DATEVALUE($D647&amp;"-01"), "dd-mm-yyyy")),0),0)</f>
        <v>0</v>
      </c>
      <c r="P647" s="1">
        <f t="shared" si="28"/>
        <v>44256</v>
      </c>
      <c r="Q647">
        <f t="shared" si="29"/>
        <v>-243</v>
      </c>
    </row>
    <row r="648" spans="1:17" x14ac:dyDescent="0.25">
      <c r="A648" s="1">
        <f t="shared" si="27"/>
        <v>44013</v>
      </c>
      <c r="B648" t="s">
        <v>160</v>
      </c>
      <c r="C648" t="str">
        <f>_xlfn.XLOOKUP(B648,Phone_by_Price!$A$2:$A$34,Phone_by_Price!$B$2:$B$34,"-",0,1)</f>
        <v>Xiaomi Poco X3 Pro</v>
      </c>
      <c r="D648" t="str">
        <f>_xlfn.XLOOKUP(C648,Phone_by_Sentiment!$B$2:$B$37,Phone_by_Sentiment!$A$2:$A$37,"-",0,1)</f>
        <v>2021-05</v>
      </c>
      <c r="E648" cm="1">
        <f t="array" ref="E648">IF($Q648&gt;=0,IFERROR(generateSalesData($D648, IF(ISNUMBER(_xlfn.XLOOKUP($C648,Phone_by_Sentiment!$B$2:$B$37,Phone_by_Sentiment!E$2:E$37,"",0,1)),_xlfn.XLOOKUP($C648,Phone_by_Sentiment!$B$2:$B$37,Phone_by_Sentiment!E$2:E$37,"",0,1),0),$A648-TEXT(DATEVALUE($D648&amp;"-01"), "dd-mm-yyyy")),0),0)</f>
        <v>0</v>
      </c>
      <c r="F648" cm="1">
        <f t="array" ref="F648">IF($Q648&gt;=0,IFERROR(generateSalesData($D648, IF(ISNUMBER(_xlfn.XLOOKUP($C648,Phone_by_Sentiment!$B$2:$B$37,Phone_by_Sentiment!F$2:F$37,"",0,1)),_xlfn.XLOOKUP($C648,Phone_by_Sentiment!$B$2:$B$37,Phone_by_Sentiment!F$2:F$37,"",0,1),0),$A648-TEXT(DATEVALUE($D648&amp;"-01"), "dd-mm-yyyy")),0),0)</f>
        <v>0</v>
      </c>
      <c r="G648" cm="1">
        <f t="array" ref="G648">IF($Q648&gt;=0,IFERROR(generateSalesData($D648, IF(ISNUMBER(_xlfn.XLOOKUP($C648,Phone_by_Sentiment!$B$2:$B$37,Phone_by_Sentiment!G$2:G$37,"",0,1)),_xlfn.XLOOKUP($C648,Phone_by_Sentiment!$B$2:$B$37,Phone_by_Sentiment!G$2:G$37,"",0,1),0),$A648-TEXT(DATEVALUE($D648&amp;"-01"), "dd-mm-yyyy")),0),0)</f>
        <v>0</v>
      </c>
      <c r="H648" cm="1">
        <f t="array" ref="H648">IF($Q648&gt;=0,IFERROR(generateSalesData($D648, IF(ISNUMBER(_xlfn.XLOOKUP($C648,Phone_by_Sentiment!$B$2:$B$37,Phone_by_Sentiment!H$2:H$37,"",0,1)),_xlfn.XLOOKUP($C648,Phone_by_Sentiment!$B$2:$B$37,Phone_by_Sentiment!H$2:H$37,"",0,1),0),$A648-TEXT(DATEVALUE($D648&amp;"-01"), "dd-mm-yyyy")),0),0)</f>
        <v>0</v>
      </c>
      <c r="I648" cm="1">
        <f t="array" ref="I648">IF($Q648&gt;=0,IFERROR(generateSalesData($D648, IF(ISNUMBER(_xlfn.XLOOKUP($C648,Phone_by_Sentiment!$B$2:$B$37,Phone_by_Sentiment!I$2:I$37,"",0,1)),_xlfn.XLOOKUP($C648,Phone_by_Sentiment!$B$2:$B$37,Phone_by_Sentiment!I$2:I$37,"",0,1),0),$A648-TEXT(DATEVALUE($D648&amp;"-01"), "dd-mm-yyyy")),0),0)</f>
        <v>0</v>
      </c>
      <c r="J648" cm="1">
        <f t="array" ref="J648">IF($Q648&gt;=0,IFERROR(generateSalesData($D648, IF(ISNUMBER(_xlfn.XLOOKUP($C648,Phone_by_Sentiment!$B$2:$B$37,Phone_by_Sentiment!J$2:J$37,"",0,1)),_xlfn.XLOOKUP($C648,Phone_by_Sentiment!$B$2:$B$37,Phone_by_Sentiment!J$2:J$37,"",0,1),0),$A648-TEXT(DATEVALUE($D648&amp;"-01"), "dd-mm-yyyy")),0),0)</f>
        <v>0</v>
      </c>
      <c r="K648" cm="1">
        <f t="array" ref="K648">IF($Q648&gt;=0,IFERROR(generateSalesData($D648, IF(ISNUMBER(_xlfn.XLOOKUP($C648,Phone_by_Sentiment!$B$2:$B$37,Phone_by_Sentiment!K$2:K$37,"",0,1)),_xlfn.XLOOKUP($C648,Phone_by_Sentiment!$B$2:$B$37,Phone_by_Sentiment!K$2:K$37,"",0,1),0),$A648-TEXT(DATEVALUE($D648&amp;"-01"), "dd-mm-yyyy")),0),0)</f>
        <v>0</v>
      </c>
      <c r="L648" cm="1">
        <f t="array" ref="L648">IF($Q648&gt;=0,IFERROR(generateSalesData($D648, IF(ISNUMBER(_xlfn.XLOOKUP($C648,Phone_by_Sentiment!$B$2:$B$37,Phone_by_Sentiment!L$2:L$37,"",0,1)),_xlfn.XLOOKUP($C648,Phone_by_Sentiment!$B$2:$B$37,Phone_by_Sentiment!L$2:L$37,"",0,1),0),$A648-TEXT(DATEVALUE($D648&amp;"-01"), "dd-mm-yyyy")),0),0)</f>
        <v>0</v>
      </c>
      <c r="M648" cm="1">
        <f t="array" ref="M648">IF($Q648&gt;=0,IFERROR(generateSalesData($D648, IF(ISNUMBER(_xlfn.XLOOKUP($C648,Phone_by_Sentiment!$B$2:$B$37,Phone_by_Sentiment!M$2:M$37,"",0,1)),_xlfn.XLOOKUP($C648,Phone_by_Sentiment!$B$2:$B$37,Phone_by_Sentiment!M$2:M$37,"",0,1),0),$A648-TEXT(DATEVALUE($D648&amp;"-01"), "dd-mm-yyyy")),0),0)</f>
        <v>0</v>
      </c>
      <c r="N648" cm="1">
        <f t="array" ref="N648">IF($Q648&gt;=0,IFERROR(generateSalesData($D648, IF(ISNUMBER(_xlfn.XLOOKUP($C648,Phone_by_Sentiment!$B$2:$B$37,Phone_by_Sentiment!N$2:N$37,"",0,1)),_xlfn.XLOOKUP($C648,Phone_by_Sentiment!$B$2:$B$37,Phone_by_Sentiment!N$2:N$37,"",0,1),0),$A648-TEXT(DATEVALUE($D648&amp;"-01"), "dd-mm-yyyy")),0),0)</f>
        <v>0</v>
      </c>
      <c r="O648" cm="1">
        <f t="array" ref="O648">IF($Q648&gt;=0,IFERROR(generateSalesData($D648, IF(ISNUMBER(_xlfn.XLOOKUP($C648,Phone_by_Sentiment!$B$2:$B$37,Phone_by_Sentiment!O$2:O$37,"",0,1)),_xlfn.XLOOKUP($C648,Phone_by_Sentiment!$B$2:$B$37,Phone_by_Sentiment!O$2:O$37,"",0,1),0),$A648-TEXT(DATEVALUE($D648&amp;"-01"), "dd-mm-yyyy")),0),0)</f>
        <v>0</v>
      </c>
      <c r="P648" s="1">
        <f t="shared" si="28"/>
        <v>44317</v>
      </c>
      <c r="Q648">
        <f t="shared" si="29"/>
        <v>-304</v>
      </c>
    </row>
    <row r="649" spans="1:17" x14ac:dyDescent="0.25">
      <c r="A649" s="1">
        <f t="shared" si="27"/>
        <v>44013</v>
      </c>
      <c r="B649" t="s">
        <v>161</v>
      </c>
      <c r="C649" t="str">
        <f>_xlfn.XLOOKUP(B649,Phone_by_Price!$A$2:$A$34,Phone_by_Price!$B$2:$B$34,"-",0,1)</f>
        <v>Samsung Galaxy Z Flip 3</v>
      </c>
      <c r="D649" t="str">
        <f>_xlfn.XLOOKUP(C649,Phone_by_Sentiment!$B$2:$B$37,Phone_by_Sentiment!$A$2:$A$37,"-",0,1)</f>
        <v>2021-09</v>
      </c>
      <c r="E649" cm="1">
        <f t="array" ref="E649">IF($Q649&gt;=0,IFERROR(generateSalesData($D649, IF(ISNUMBER(_xlfn.XLOOKUP($C649,Phone_by_Sentiment!$B$2:$B$37,Phone_by_Sentiment!E$2:E$37,"",0,1)),_xlfn.XLOOKUP($C649,Phone_by_Sentiment!$B$2:$B$37,Phone_by_Sentiment!E$2:E$37,"",0,1),0),$A649-TEXT(DATEVALUE($D649&amp;"-01"), "dd-mm-yyyy")),0),0)</f>
        <v>0</v>
      </c>
      <c r="F649" cm="1">
        <f t="array" ref="F649">IF($Q649&gt;=0,IFERROR(generateSalesData($D649, IF(ISNUMBER(_xlfn.XLOOKUP($C649,Phone_by_Sentiment!$B$2:$B$37,Phone_by_Sentiment!F$2:F$37,"",0,1)),_xlfn.XLOOKUP($C649,Phone_by_Sentiment!$B$2:$B$37,Phone_by_Sentiment!F$2:F$37,"",0,1),0),$A649-TEXT(DATEVALUE($D649&amp;"-01"), "dd-mm-yyyy")),0),0)</f>
        <v>0</v>
      </c>
      <c r="G649" cm="1">
        <f t="array" ref="G649">IF($Q649&gt;=0,IFERROR(generateSalesData($D649, IF(ISNUMBER(_xlfn.XLOOKUP($C649,Phone_by_Sentiment!$B$2:$B$37,Phone_by_Sentiment!G$2:G$37,"",0,1)),_xlfn.XLOOKUP($C649,Phone_by_Sentiment!$B$2:$B$37,Phone_by_Sentiment!G$2:G$37,"",0,1),0),$A649-TEXT(DATEVALUE($D649&amp;"-01"), "dd-mm-yyyy")),0),0)</f>
        <v>0</v>
      </c>
      <c r="H649" cm="1">
        <f t="array" ref="H649">IF($Q649&gt;=0,IFERROR(generateSalesData($D649, IF(ISNUMBER(_xlfn.XLOOKUP($C649,Phone_by_Sentiment!$B$2:$B$37,Phone_by_Sentiment!H$2:H$37,"",0,1)),_xlfn.XLOOKUP($C649,Phone_by_Sentiment!$B$2:$B$37,Phone_by_Sentiment!H$2:H$37,"",0,1),0),$A649-TEXT(DATEVALUE($D649&amp;"-01"), "dd-mm-yyyy")),0),0)</f>
        <v>0</v>
      </c>
      <c r="I649" cm="1">
        <f t="array" ref="I649">IF($Q649&gt;=0,IFERROR(generateSalesData($D649, IF(ISNUMBER(_xlfn.XLOOKUP($C649,Phone_by_Sentiment!$B$2:$B$37,Phone_by_Sentiment!I$2:I$37,"",0,1)),_xlfn.XLOOKUP($C649,Phone_by_Sentiment!$B$2:$B$37,Phone_by_Sentiment!I$2:I$37,"",0,1),0),$A649-TEXT(DATEVALUE($D649&amp;"-01"), "dd-mm-yyyy")),0),0)</f>
        <v>0</v>
      </c>
      <c r="J649" cm="1">
        <f t="array" ref="J649">IF($Q649&gt;=0,IFERROR(generateSalesData($D649, IF(ISNUMBER(_xlfn.XLOOKUP($C649,Phone_by_Sentiment!$B$2:$B$37,Phone_by_Sentiment!J$2:J$37,"",0,1)),_xlfn.XLOOKUP($C649,Phone_by_Sentiment!$B$2:$B$37,Phone_by_Sentiment!J$2:J$37,"",0,1),0),$A649-TEXT(DATEVALUE($D649&amp;"-01"), "dd-mm-yyyy")),0),0)</f>
        <v>0</v>
      </c>
      <c r="K649" cm="1">
        <f t="array" ref="K649">IF($Q649&gt;=0,IFERROR(generateSalesData($D649, IF(ISNUMBER(_xlfn.XLOOKUP($C649,Phone_by_Sentiment!$B$2:$B$37,Phone_by_Sentiment!K$2:K$37,"",0,1)),_xlfn.XLOOKUP($C649,Phone_by_Sentiment!$B$2:$B$37,Phone_by_Sentiment!K$2:K$37,"",0,1),0),$A649-TEXT(DATEVALUE($D649&amp;"-01"), "dd-mm-yyyy")),0),0)</f>
        <v>0</v>
      </c>
      <c r="L649" cm="1">
        <f t="array" ref="L649">IF($Q649&gt;=0,IFERROR(generateSalesData($D649, IF(ISNUMBER(_xlfn.XLOOKUP($C649,Phone_by_Sentiment!$B$2:$B$37,Phone_by_Sentiment!L$2:L$37,"",0,1)),_xlfn.XLOOKUP($C649,Phone_by_Sentiment!$B$2:$B$37,Phone_by_Sentiment!L$2:L$37,"",0,1),0),$A649-TEXT(DATEVALUE($D649&amp;"-01"), "dd-mm-yyyy")),0),0)</f>
        <v>0</v>
      </c>
      <c r="M649" cm="1">
        <f t="array" ref="M649">IF($Q649&gt;=0,IFERROR(generateSalesData($D649, IF(ISNUMBER(_xlfn.XLOOKUP($C649,Phone_by_Sentiment!$B$2:$B$37,Phone_by_Sentiment!M$2:M$37,"",0,1)),_xlfn.XLOOKUP($C649,Phone_by_Sentiment!$B$2:$B$37,Phone_by_Sentiment!M$2:M$37,"",0,1),0),$A649-TEXT(DATEVALUE($D649&amp;"-01"), "dd-mm-yyyy")),0),0)</f>
        <v>0</v>
      </c>
      <c r="N649" cm="1">
        <f t="array" ref="N649">IF($Q649&gt;=0,IFERROR(generateSalesData($D649, IF(ISNUMBER(_xlfn.XLOOKUP($C649,Phone_by_Sentiment!$B$2:$B$37,Phone_by_Sentiment!N$2:N$37,"",0,1)),_xlfn.XLOOKUP($C649,Phone_by_Sentiment!$B$2:$B$37,Phone_by_Sentiment!N$2:N$37,"",0,1),0),$A649-TEXT(DATEVALUE($D649&amp;"-01"), "dd-mm-yyyy")),0),0)</f>
        <v>0</v>
      </c>
      <c r="O649" cm="1">
        <f t="array" ref="O649">IF($Q649&gt;=0,IFERROR(generateSalesData($D649, IF(ISNUMBER(_xlfn.XLOOKUP($C649,Phone_by_Sentiment!$B$2:$B$37,Phone_by_Sentiment!O$2:O$37,"",0,1)),_xlfn.XLOOKUP($C649,Phone_by_Sentiment!$B$2:$B$37,Phone_by_Sentiment!O$2:O$37,"",0,1),0),$A649-TEXT(DATEVALUE($D649&amp;"-01"), "dd-mm-yyyy")),0),0)</f>
        <v>0</v>
      </c>
      <c r="P649" s="1">
        <f t="shared" si="28"/>
        <v>44440</v>
      </c>
      <c r="Q649">
        <f t="shared" si="29"/>
        <v>-427</v>
      </c>
    </row>
    <row r="650" spans="1:17" x14ac:dyDescent="0.25">
      <c r="A650" s="1">
        <f t="shared" si="27"/>
        <v>44013</v>
      </c>
      <c r="B650" t="s">
        <v>162</v>
      </c>
      <c r="C650" t="str">
        <f>_xlfn.XLOOKUP(B650,Phone_by_Price!$A$2:$A$34,Phone_by_Price!$B$2:$B$34,"-",0,1)</f>
        <v>Xiaomi Poco X3 NFC</v>
      </c>
      <c r="D650" t="str">
        <f>_xlfn.XLOOKUP(C650,Phone_by_Sentiment!$B$2:$B$37,Phone_by_Sentiment!$A$2:$A$37,"-",0,1)</f>
        <v>2020-08</v>
      </c>
      <c r="E650" cm="1">
        <f t="array" ref="E650">IF($Q650&gt;=0,IFERROR(generateSalesData($D650, IF(ISNUMBER(_xlfn.XLOOKUP($C650,Phone_by_Sentiment!$B$2:$B$37,Phone_by_Sentiment!E$2:E$37,"",0,1)),_xlfn.XLOOKUP($C650,Phone_by_Sentiment!$B$2:$B$37,Phone_by_Sentiment!E$2:E$37,"",0,1),0),$A650-TEXT(DATEVALUE($D650&amp;"-01"), "dd-mm-yyyy")),0),0)</f>
        <v>0</v>
      </c>
      <c r="F650" cm="1">
        <f t="array" ref="F650">IF($Q650&gt;=0,IFERROR(generateSalesData($D650, IF(ISNUMBER(_xlfn.XLOOKUP($C650,Phone_by_Sentiment!$B$2:$B$37,Phone_by_Sentiment!F$2:F$37,"",0,1)),_xlfn.XLOOKUP($C650,Phone_by_Sentiment!$B$2:$B$37,Phone_by_Sentiment!F$2:F$37,"",0,1),0),$A650-TEXT(DATEVALUE($D650&amp;"-01"), "dd-mm-yyyy")),0),0)</f>
        <v>0</v>
      </c>
      <c r="G650" cm="1">
        <f t="array" ref="G650">IF($Q650&gt;=0,IFERROR(generateSalesData($D650, IF(ISNUMBER(_xlfn.XLOOKUP($C650,Phone_by_Sentiment!$B$2:$B$37,Phone_by_Sentiment!G$2:G$37,"",0,1)),_xlfn.XLOOKUP($C650,Phone_by_Sentiment!$B$2:$B$37,Phone_by_Sentiment!G$2:G$37,"",0,1),0),$A650-TEXT(DATEVALUE($D650&amp;"-01"), "dd-mm-yyyy")),0),0)</f>
        <v>0</v>
      </c>
      <c r="H650" cm="1">
        <f t="array" ref="H650">IF($Q650&gt;=0,IFERROR(generateSalesData($D650, IF(ISNUMBER(_xlfn.XLOOKUP($C650,Phone_by_Sentiment!$B$2:$B$37,Phone_by_Sentiment!H$2:H$37,"",0,1)),_xlfn.XLOOKUP($C650,Phone_by_Sentiment!$B$2:$B$37,Phone_by_Sentiment!H$2:H$37,"",0,1),0),$A650-TEXT(DATEVALUE($D650&amp;"-01"), "dd-mm-yyyy")),0),0)</f>
        <v>0</v>
      </c>
      <c r="I650" cm="1">
        <f t="array" ref="I650">IF($Q650&gt;=0,IFERROR(generateSalesData($D650, IF(ISNUMBER(_xlfn.XLOOKUP($C650,Phone_by_Sentiment!$B$2:$B$37,Phone_by_Sentiment!I$2:I$37,"",0,1)),_xlfn.XLOOKUP($C650,Phone_by_Sentiment!$B$2:$B$37,Phone_by_Sentiment!I$2:I$37,"",0,1),0),$A650-TEXT(DATEVALUE($D650&amp;"-01"), "dd-mm-yyyy")),0),0)</f>
        <v>0</v>
      </c>
      <c r="J650" cm="1">
        <f t="array" ref="J650">IF($Q650&gt;=0,IFERROR(generateSalesData($D650, IF(ISNUMBER(_xlfn.XLOOKUP($C650,Phone_by_Sentiment!$B$2:$B$37,Phone_by_Sentiment!J$2:J$37,"",0,1)),_xlfn.XLOOKUP($C650,Phone_by_Sentiment!$B$2:$B$37,Phone_by_Sentiment!J$2:J$37,"",0,1),0),$A650-TEXT(DATEVALUE($D650&amp;"-01"), "dd-mm-yyyy")),0),0)</f>
        <v>0</v>
      </c>
      <c r="K650" cm="1">
        <f t="array" ref="K650">IF($Q650&gt;=0,IFERROR(generateSalesData($D650, IF(ISNUMBER(_xlfn.XLOOKUP($C650,Phone_by_Sentiment!$B$2:$B$37,Phone_by_Sentiment!K$2:K$37,"",0,1)),_xlfn.XLOOKUP($C650,Phone_by_Sentiment!$B$2:$B$37,Phone_by_Sentiment!K$2:K$37,"",0,1),0),$A650-TEXT(DATEVALUE($D650&amp;"-01"), "dd-mm-yyyy")),0),0)</f>
        <v>0</v>
      </c>
      <c r="L650" cm="1">
        <f t="array" ref="L650">IF($Q650&gt;=0,IFERROR(generateSalesData($D650, IF(ISNUMBER(_xlfn.XLOOKUP($C650,Phone_by_Sentiment!$B$2:$B$37,Phone_by_Sentiment!L$2:L$37,"",0,1)),_xlfn.XLOOKUP($C650,Phone_by_Sentiment!$B$2:$B$37,Phone_by_Sentiment!L$2:L$37,"",0,1),0),$A650-TEXT(DATEVALUE($D650&amp;"-01"), "dd-mm-yyyy")),0),0)</f>
        <v>0</v>
      </c>
      <c r="M650" cm="1">
        <f t="array" ref="M650">IF($Q650&gt;=0,IFERROR(generateSalesData($D650, IF(ISNUMBER(_xlfn.XLOOKUP($C650,Phone_by_Sentiment!$B$2:$B$37,Phone_by_Sentiment!M$2:M$37,"",0,1)),_xlfn.XLOOKUP($C650,Phone_by_Sentiment!$B$2:$B$37,Phone_by_Sentiment!M$2:M$37,"",0,1),0),$A650-TEXT(DATEVALUE($D650&amp;"-01"), "dd-mm-yyyy")),0),0)</f>
        <v>0</v>
      </c>
      <c r="N650" cm="1">
        <f t="array" ref="N650">IF($Q650&gt;=0,IFERROR(generateSalesData($D650, IF(ISNUMBER(_xlfn.XLOOKUP($C650,Phone_by_Sentiment!$B$2:$B$37,Phone_by_Sentiment!N$2:N$37,"",0,1)),_xlfn.XLOOKUP($C650,Phone_by_Sentiment!$B$2:$B$37,Phone_by_Sentiment!N$2:N$37,"",0,1),0),$A650-TEXT(DATEVALUE($D650&amp;"-01"), "dd-mm-yyyy")),0),0)</f>
        <v>0</v>
      </c>
      <c r="O650" cm="1">
        <f t="array" ref="O650">IF($Q650&gt;=0,IFERROR(generateSalesData($D650, IF(ISNUMBER(_xlfn.XLOOKUP($C650,Phone_by_Sentiment!$B$2:$B$37,Phone_by_Sentiment!O$2:O$37,"",0,1)),_xlfn.XLOOKUP($C650,Phone_by_Sentiment!$B$2:$B$37,Phone_by_Sentiment!O$2:O$37,"",0,1),0),$A650-TEXT(DATEVALUE($D650&amp;"-01"), "dd-mm-yyyy")),0),0)</f>
        <v>0</v>
      </c>
      <c r="P650" s="1">
        <f t="shared" si="28"/>
        <v>44044</v>
      </c>
      <c r="Q650">
        <f t="shared" si="29"/>
        <v>-31</v>
      </c>
    </row>
    <row r="651" spans="1:17" x14ac:dyDescent="0.25">
      <c r="A651" s="1">
        <f t="shared" si="27"/>
        <v>44013</v>
      </c>
      <c r="B651" t="s">
        <v>163</v>
      </c>
      <c r="C651" t="str">
        <f>_xlfn.XLOOKUP(B651,Phone_by_Price!$A$2:$A$34,Phone_by_Price!$B$2:$B$34,"-",0,1)</f>
        <v>OPPO A93</v>
      </c>
      <c r="D651" t="str">
        <f>_xlfn.XLOOKUP(C651,Phone_by_Sentiment!$B$2:$B$37,Phone_by_Sentiment!$A$2:$A$37,"-",0,1)</f>
        <v>2021-02</v>
      </c>
      <c r="E651" cm="1">
        <f t="array" ref="E651">IF($Q651&gt;=0,IFERROR(generateSalesData($D651, IF(ISNUMBER(_xlfn.XLOOKUP($C651,Phone_by_Sentiment!$B$2:$B$37,Phone_by_Sentiment!E$2:E$37,"",0,1)),_xlfn.XLOOKUP($C651,Phone_by_Sentiment!$B$2:$B$37,Phone_by_Sentiment!E$2:E$37,"",0,1),0),$A651-TEXT(DATEVALUE($D651&amp;"-01"), "dd-mm-yyyy")),0),0)</f>
        <v>0</v>
      </c>
      <c r="F651" cm="1">
        <f t="array" ref="F651">IF($Q651&gt;=0,IFERROR(generateSalesData($D651, IF(ISNUMBER(_xlfn.XLOOKUP($C651,Phone_by_Sentiment!$B$2:$B$37,Phone_by_Sentiment!F$2:F$37,"",0,1)),_xlfn.XLOOKUP($C651,Phone_by_Sentiment!$B$2:$B$37,Phone_by_Sentiment!F$2:F$37,"",0,1),0),$A651-TEXT(DATEVALUE($D651&amp;"-01"), "dd-mm-yyyy")),0),0)</f>
        <v>0</v>
      </c>
      <c r="G651" cm="1">
        <f t="array" ref="G651">IF($Q651&gt;=0,IFERROR(generateSalesData($D651, IF(ISNUMBER(_xlfn.XLOOKUP($C651,Phone_by_Sentiment!$B$2:$B$37,Phone_by_Sentiment!G$2:G$37,"",0,1)),_xlfn.XLOOKUP($C651,Phone_by_Sentiment!$B$2:$B$37,Phone_by_Sentiment!G$2:G$37,"",0,1),0),$A651-TEXT(DATEVALUE($D651&amp;"-01"), "dd-mm-yyyy")),0),0)</f>
        <v>0</v>
      </c>
      <c r="H651" cm="1">
        <f t="array" ref="H651">IF($Q651&gt;=0,IFERROR(generateSalesData($D651, IF(ISNUMBER(_xlfn.XLOOKUP($C651,Phone_by_Sentiment!$B$2:$B$37,Phone_by_Sentiment!H$2:H$37,"",0,1)),_xlfn.XLOOKUP($C651,Phone_by_Sentiment!$B$2:$B$37,Phone_by_Sentiment!H$2:H$37,"",0,1),0),$A651-TEXT(DATEVALUE($D651&amp;"-01"), "dd-mm-yyyy")),0),0)</f>
        <v>0</v>
      </c>
      <c r="I651" cm="1">
        <f t="array" ref="I651">IF($Q651&gt;=0,IFERROR(generateSalesData($D651, IF(ISNUMBER(_xlfn.XLOOKUP($C651,Phone_by_Sentiment!$B$2:$B$37,Phone_by_Sentiment!I$2:I$37,"",0,1)),_xlfn.XLOOKUP($C651,Phone_by_Sentiment!$B$2:$B$37,Phone_by_Sentiment!I$2:I$37,"",0,1),0),$A651-TEXT(DATEVALUE($D651&amp;"-01"), "dd-mm-yyyy")),0),0)</f>
        <v>0</v>
      </c>
      <c r="J651" cm="1">
        <f t="array" ref="J651">IF($Q651&gt;=0,IFERROR(generateSalesData($D651, IF(ISNUMBER(_xlfn.XLOOKUP($C651,Phone_by_Sentiment!$B$2:$B$37,Phone_by_Sentiment!J$2:J$37,"",0,1)),_xlfn.XLOOKUP($C651,Phone_by_Sentiment!$B$2:$B$37,Phone_by_Sentiment!J$2:J$37,"",0,1),0),$A651-TEXT(DATEVALUE($D651&amp;"-01"), "dd-mm-yyyy")),0),0)</f>
        <v>0</v>
      </c>
      <c r="K651" cm="1">
        <f t="array" ref="K651">IF($Q651&gt;=0,IFERROR(generateSalesData($D651, IF(ISNUMBER(_xlfn.XLOOKUP($C651,Phone_by_Sentiment!$B$2:$B$37,Phone_by_Sentiment!K$2:K$37,"",0,1)),_xlfn.XLOOKUP($C651,Phone_by_Sentiment!$B$2:$B$37,Phone_by_Sentiment!K$2:K$37,"",0,1),0),$A651-TEXT(DATEVALUE($D651&amp;"-01"), "dd-mm-yyyy")),0),0)</f>
        <v>0</v>
      </c>
      <c r="L651" cm="1">
        <f t="array" ref="L651">IF($Q651&gt;=0,IFERROR(generateSalesData($D651, IF(ISNUMBER(_xlfn.XLOOKUP($C651,Phone_by_Sentiment!$B$2:$B$37,Phone_by_Sentiment!L$2:L$37,"",0,1)),_xlfn.XLOOKUP($C651,Phone_by_Sentiment!$B$2:$B$37,Phone_by_Sentiment!L$2:L$37,"",0,1),0),$A651-TEXT(DATEVALUE($D651&amp;"-01"), "dd-mm-yyyy")),0),0)</f>
        <v>0</v>
      </c>
      <c r="M651" cm="1">
        <f t="array" ref="M651">IF($Q651&gt;=0,IFERROR(generateSalesData($D651, IF(ISNUMBER(_xlfn.XLOOKUP($C651,Phone_by_Sentiment!$B$2:$B$37,Phone_by_Sentiment!M$2:M$37,"",0,1)),_xlfn.XLOOKUP($C651,Phone_by_Sentiment!$B$2:$B$37,Phone_by_Sentiment!M$2:M$37,"",0,1),0),$A651-TEXT(DATEVALUE($D651&amp;"-01"), "dd-mm-yyyy")),0),0)</f>
        <v>0</v>
      </c>
      <c r="N651" cm="1">
        <f t="array" ref="N651">IF($Q651&gt;=0,IFERROR(generateSalesData($D651, IF(ISNUMBER(_xlfn.XLOOKUP($C651,Phone_by_Sentiment!$B$2:$B$37,Phone_by_Sentiment!N$2:N$37,"",0,1)),_xlfn.XLOOKUP($C651,Phone_by_Sentiment!$B$2:$B$37,Phone_by_Sentiment!N$2:N$37,"",0,1),0),$A651-TEXT(DATEVALUE($D651&amp;"-01"), "dd-mm-yyyy")),0),0)</f>
        <v>0</v>
      </c>
      <c r="O651" cm="1">
        <f t="array" ref="O651">IF($Q651&gt;=0,IFERROR(generateSalesData($D651, IF(ISNUMBER(_xlfn.XLOOKUP($C651,Phone_by_Sentiment!$B$2:$B$37,Phone_by_Sentiment!O$2:O$37,"",0,1)),_xlfn.XLOOKUP($C651,Phone_by_Sentiment!$B$2:$B$37,Phone_by_Sentiment!O$2:O$37,"",0,1),0),$A651-TEXT(DATEVALUE($D651&amp;"-01"), "dd-mm-yyyy")),0),0)</f>
        <v>0</v>
      </c>
      <c r="P651" s="1">
        <f t="shared" si="28"/>
        <v>44228</v>
      </c>
      <c r="Q651">
        <f t="shared" si="29"/>
        <v>-215</v>
      </c>
    </row>
    <row r="652" spans="1:17" x14ac:dyDescent="0.25">
      <c r="A652" s="1">
        <f t="shared" si="27"/>
        <v>44013</v>
      </c>
      <c r="B652" t="s">
        <v>164</v>
      </c>
      <c r="C652" t="str">
        <f>_xlfn.XLOOKUP(B652,Phone_by_Price!$A$2:$A$34,Phone_by_Price!$B$2:$B$34,"-",0,1)</f>
        <v>Vivo V20</v>
      </c>
      <c r="D652" t="str">
        <f>_xlfn.XLOOKUP(C652,Phone_by_Sentiment!$B$2:$B$37,Phone_by_Sentiment!$A$2:$A$37,"-",0,1)</f>
        <v>2020-10</v>
      </c>
      <c r="E652" cm="1">
        <f t="array" ref="E652">IF($Q652&gt;=0,IFERROR(generateSalesData($D652, IF(ISNUMBER(_xlfn.XLOOKUP($C652,Phone_by_Sentiment!$B$2:$B$37,Phone_by_Sentiment!E$2:E$37,"",0,1)),_xlfn.XLOOKUP($C652,Phone_by_Sentiment!$B$2:$B$37,Phone_by_Sentiment!E$2:E$37,"",0,1),0),$A652-TEXT(DATEVALUE($D652&amp;"-01"), "dd-mm-yyyy")),0),0)</f>
        <v>0</v>
      </c>
      <c r="F652" cm="1">
        <f t="array" ref="F652">IF($Q652&gt;=0,IFERROR(generateSalesData($D652, IF(ISNUMBER(_xlfn.XLOOKUP($C652,Phone_by_Sentiment!$B$2:$B$37,Phone_by_Sentiment!F$2:F$37,"",0,1)),_xlfn.XLOOKUP($C652,Phone_by_Sentiment!$B$2:$B$37,Phone_by_Sentiment!F$2:F$37,"",0,1),0),$A652-TEXT(DATEVALUE($D652&amp;"-01"), "dd-mm-yyyy")),0),0)</f>
        <v>0</v>
      </c>
      <c r="G652" cm="1">
        <f t="array" ref="G652">IF($Q652&gt;=0,IFERROR(generateSalesData($D652, IF(ISNUMBER(_xlfn.XLOOKUP($C652,Phone_by_Sentiment!$B$2:$B$37,Phone_by_Sentiment!G$2:G$37,"",0,1)),_xlfn.XLOOKUP($C652,Phone_by_Sentiment!$B$2:$B$37,Phone_by_Sentiment!G$2:G$37,"",0,1),0),$A652-TEXT(DATEVALUE($D652&amp;"-01"), "dd-mm-yyyy")),0),0)</f>
        <v>0</v>
      </c>
      <c r="H652" cm="1">
        <f t="array" ref="H652">IF($Q652&gt;=0,IFERROR(generateSalesData($D652, IF(ISNUMBER(_xlfn.XLOOKUP($C652,Phone_by_Sentiment!$B$2:$B$37,Phone_by_Sentiment!H$2:H$37,"",0,1)),_xlfn.XLOOKUP($C652,Phone_by_Sentiment!$B$2:$B$37,Phone_by_Sentiment!H$2:H$37,"",0,1),0),$A652-TEXT(DATEVALUE($D652&amp;"-01"), "dd-mm-yyyy")),0),0)</f>
        <v>0</v>
      </c>
      <c r="I652" cm="1">
        <f t="array" ref="I652">IF($Q652&gt;=0,IFERROR(generateSalesData($D652, IF(ISNUMBER(_xlfn.XLOOKUP($C652,Phone_by_Sentiment!$B$2:$B$37,Phone_by_Sentiment!I$2:I$37,"",0,1)),_xlfn.XLOOKUP($C652,Phone_by_Sentiment!$B$2:$B$37,Phone_by_Sentiment!I$2:I$37,"",0,1),0),$A652-TEXT(DATEVALUE($D652&amp;"-01"), "dd-mm-yyyy")),0),0)</f>
        <v>0</v>
      </c>
      <c r="J652" cm="1">
        <f t="array" ref="J652">IF($Q652&gt;=0,IFERROR(generateSalesData($D652, IF(ISNUMBER(_xlfn.XLOOKUP($C652,Phone_by_Sentiment!$B$2:$B$37,Phone_by_Sentiment!J$2:J$37,"",0,1)),_xlfn.XLOOKUP($C652,Phone_by_Sentiment!$B$2:$B$37,Phone_by_Sentiment!J$2:J$37,"",0,1),0),$A652-TEXT(DATEVALUE($D652&amp;"-01"), "dd-mm-yyyy")),0),0)</f>
        <v>0</v>
      </c>
      <c r="K652" cm="1">
        <f t="array" ref="K652">IF($Q652&gt;=0,IFERROR(generateSalesData($D652, IF(ISNUMBER(_xlfn.XLOOKUP($C652,Phone_by_Sentiment!$B$2:$B$37,Phone_by_Sentiment!K$2:K$37,"",0,1)),_xlfn.XLOOKUP($C652,Phone_by_Sentiment!$B$2:$B$37,Phone_by_Sentiment!K$2:K$37,"",0,1),0),$A652-TEXT(DATEVALUE($D652&amp;"-01"), "dd-mm-yyyy")),0),0)</f>
        <v>0</v>
      </c>
      <c r="L652" cm="1">
        <f t="array" ref="L652">IF($Q652&gt;=0,IFERROR(generateSalesData($D652, IF(ISNUMBER(_xlfn.XLOOKUP($C652,Phone_by_Sentiment!$B$2:$B$37,Phone_by_Sentiment!L$2:L$37,"",0,1)),_xlfn.XLOOKUP($C652,Phone_by_Sentiment!$B$2:$B$37,Phone_by_Sentiment!L$2:L$37,"",0,1),0),$A652-TEXT(DATEVALUE($D652&amp;"-01"), "dd-mm-yyyy")),0),0)</f>
        <v>0</v>
      </c>
      <c r="M652" cm="1">
        <f t="array" ref="M652">IF($Q652&gt;=0,IFERROR(generateSalesData($D652, IF(ISNUMBER(_xlfn.XLOOKUP($C652,Phone_by_Sentiment!$B$2:$B$37,Phone_by_Sentiment!M$2:M$37,"",0,1)),_xlfn.XLOOKUP($C652,Phone_by_Sentiment!$B$2:$B$37,Phone_by_Sentiment!M$2:M$37,"",0,1),0),$A652-TEXT(DATEVALUE($D652&amp;"-01"), "dd-mm-yyyy")),0),0)</f>
        <v>0</v>
      </c>
      <c r="N652" cm="1">
        <f t="array" ref="N652">IF($Q652&gt;=0,IFERROR(generateSalesData($D652, IF(ISNUMBER(_xlfn.XLOOKUP($C652,Phone_by_Sentiment!$B$2:$B$37,Phone_by_Sentiment!N$2:N$37,"",0,1)),_xlfn.XLOOKUP($C652,Phone_by_Sentiment!$B$2:$B$37,Phone_by_Sentiment!N$2:N$37,"",0,1),0),$A652-TEXT(DATEVALUE($D652&amp;"-01"), "dd-mm-yyyy")),0),0)</f>
        <v>0</v>
      </c>
      <c r="O652" cm="1">
        <f t="array" ref="O652">IF($Q652&gt;=0,IFERROR(generateSalesData($D652, IF(ISNUMBER(_xlfn.XLOOKUP($C652,Phone_by_Sentiment!$B$2:$B$37,Phone_by_Sentiment!O$2:O$37,"",0,1)),_xlfn.XLOOKUP($C652,Phone_by_Sentiment!$B$2:$B$37,Phone_by_Sentiment!O$2:O$37,"",0,1),0),$A652-TEXT(DATEVALUE($D652&amp;"-01"), "dd-mm-yyyy")),0),0)</f>
        <v>0</v>
      </c>
      <c r="P652" s="1">
        <f t="shared" si="28"/>
        <v>44105</v>
      </c>
      <c r="Q652">
        <f t="shared" si="29"/>
        <v>-92</v>
      </c>
    </row>
    <row r="653" spans="1:17" x14ac:dyDescent="0.25">
      <c r="A653" s="1">
        <f t="shared" si="27"/>
        <v>44013</v>
      </c>
      <c r="B653" t="s">
        <v>165</v>
      </c>
      <c r="C653" t="str">
        <f>_xlfn.XLOOKUP(B653,Phone_by_Price!$A$2:$A$34,Phone_by_Price!$B$2:$B$34,"-",0,1)</f>
        <v>Samsung Galaxy A50</v>
      </c>
      <c r="D653" t="str">
        <f>_xlfn.XLOOKUP(C653,Phone_by_Sentiment!$B$2:$B$37,Phone_by_Sentiment!$A$2:$A$37,"-",0,1)</f>
        <v>2019-05</v>
      </c>
      <c r="E653" cm="1">
        <f t="array" ref="E653">IF($Q653&gt;=0,IFERROR(generateSalesData($D653, IF(ISNUMBER(_xlfn.XLOOKUP($C653,Phone_by_Sentiment!$B$2:$B$37,Phone_by_Sentiment!E$2:E$37,"",0,1)),_xlfn.XLOOKUP($C653,Phone_by_Sentiment!$B$2:$B$37,Phone_by_Sentiment!E$2:E$37,"",0,1),0),$A653-TEXT(DATEVALUE($D653&amp;"-01"), "dd-mm-yyyy")),0),0)</f>
        <v>831</v>
      </c>
      <c r="F653" cm="1">
        <f t="array" ref="F653">IF($Q653&gt;=0,IFERROR(generateSalesData($D653, IF(ISNUMBER(_xlfn.XLOOKUP($C653,Phone_by_Sentiment!$B$2:$B$37,Phone_by_Sentiment!F$2:F$37,"",0,1)),_xlfn.XLOOKUP($C653,Phone_by_Sentiment!$B$2:$B$37,Phone_by_Sentiment!F$2:F$37,"",0,1),0),$A653-TEXT(DATEVALUE($D653&amp;"-01"), "dd-mm-yyyy")),0),0)</f>
        <v>176</v>
      </c>
      <c r="G653" cm="1">
        <f t="array" ref="G653">IF($Q653&gt;=0,IFERROR(generateSalesData($D653, IF(ISNUMBER(_xlfn.XLOOKUP($C653,Phone_by_Sentiment!$B$2:$B$37,Phone_by_Sentiment!G$2:G$37,"",0,1)),_xlfn.XLOOKUP($C653,Phone_by_Sentiment!$B$2:$B$37,Phone_by_Sentiment!G$2:G$37,"",0,1),0),$A653-TEXT(DATEVALUE($D653&amp;"-01"), "dd-mm-yyyy")),0),0)</f>
        <v>161</v>
      </c>
      <c r="H653" cm="1">
        <f t="array" ref="H653">IF($Q653&gt;=0,IFERROR(generateSalesData($D653, IF(ISNUMBER(_xlfn.XLOOKUP($C653,Phone_by_Sentiment!$B$2:$B$37,Phone_by_Sentiment!H$2:H$37,"",0,1)),_xlfn.XLOOKUP($C653,Phone_by_Sentiment!$B$2:$B$37,Phone_by_Sentiment!H$2:H$37,"",0,1),0),$A653-TEXT(DATEVALUE($D653&amp;"-01"), "dd-mm-yyyy")),0),0)</f>
        <v>742</v>
      </c>
      <c r="I653" cm="1">
        <f t="array" ref="I653">IF($Q653&gt;=0,IFERROR(generateSalesData($D653, IF(ISNUMBER(_xlfn.XLOOKUP($C653,Phone_by_Sentiment!$B$2:$B$37,Phone_by_Sentiment!I$2:I$37,"",0,1)),_xlfn.XLOOKUP($C653,Phone_by_Sentiment!$B$2:$B$37,Phone_by_Sentiment!I$2:I$37,"",0,1),0),$A653-TEXT(DATEVALUE($D653&amp;"-01"), "dd-mm-yyyy")),0),0)</f>
        <v>531</v>
      </c>
      <c r="J653" cm="1">
        <f t="array" ref="J653">IF($Q653&gt;=0,IFERROR(generateSalesData($D653, IF(ISNUMBER(_xlfn.XLOOKUP($C653,Phone_by_Sentiment!$B$2:$B$37,Phone_by_Sentiment!J$2:J$37,"",0,1)),_xlfn.XLOOKUP($C653,Phone_by_Sentiment!$B$2:$B$37,Phone_by_Sentiment!J$2:J$37,"",0,1),0),$A653-TEXT(DATEVALUE($D653&amp;"-01"), "dd-mm-yyyy")),0),0)</f>
        <v>162</v>
      </c>
      <c r="K653" cm="1">
        <f t="array" ref="K653">IF($Q653&gt;=0,IFERROR(generateSalesData($D653, IF(ISNUMBER(_xlfn.XLOOKUP($C653,Phone_by_Sentiment!$B$2:$B$37,Phone_by_Sentiment!K$2:K$37,"",0,1)),_xlfn.XLOOKUP($C653,Phone_by_Sentiment!$B$2:$B$37,Phone_by_Sentiment!K$2:K$37,"",0,1),0),$A653-TEXT(DATEVALUE($D653&amp;"-01"), "dd-mm-yyyy")),0),0)</f>
        <v>8</v>
      </c>
      <c r="L653" cm="1">
        <f t="array" ref="L653">IF($Q653&gt;=0,IFERROR(generateSalesData($D653, IF(ISNUMBER(_xlfn.XLOOKUP($C653,Phone_by_Sentiment!$B$2:$B$37,Phone_by_Sentiment!L$2:L$37,"",0,1)),_xlfn.XLOOKUP($C653,Phone_by_Sentiment!$B$2:$B$37,Phone_by_Sentiment!L$2:L$37,"",0,1),0),$A653-TEXT(DATEVALUE($D653&amp;"-01"), "dd-mm-yyyy")),0),0)</f>
        <v>223</v>
      </c>
      <c r="M653" cm="1">
        <f t="array" ref="M653">IF($Q653&gt;=0,IFERROR(generateSalesData($D653, IF(ISNUMBER(_xlfn.XLOOKUP($C653,Phone_by_Sentiment!$B$2:$B$37,Phone_by_Sentiment!M$2:M$37,"",0,1)),_xlfn.XLOOKUP($C653,Phone_by_Sentiment!$B$2:$B$37,Phone_by_Sentiment!M$2:M$37,"",0,1),0),$A653-TEXT(DATEVALUE($D653&amp;"-01"), "dd-mm-yyyy")),0),0)</f>
        <v>178</v>
      </c>
      <c r="N653" cm="1">
        <f t="array" ref="N653">IF($Q653&gt;=0,IFERROR(generateSalesData($D653, IF(ISNUMBER(_xlfn.XLOOKUP($C653,Phone_by_Sentiment!$B$2:$B$37,Phone_by_Sentiment!N$2:N$37,"",0,1)),_xlfn.XLOOKUP($C653,Phone_by_Sentiment!$B$2:$B$37,Phone_by_Sentiment!N$2:N$37,"",0,1),0),$A653-TEXT(DATEVALUE($D653&amp;"-01"), "dd-mm-yyyy")),0),0)</f>
        <v>660</v>
      </c>
      <c r="O653" cm="1">
        <f t="array" ref="O653">IF($Q653&gt;=0,IFERROR(generateSalesData($D653, IF(ISNUMBER(_xlfn.XLOOKUP($C653,Phone_by_Sentiment!$B$2:$B$37,Phone_by_Sentiment!O$2:O$37,"",0,1)),_xlfn.XLOOKUP($C653,Phone_by_Sentiment!$B$2:$B$37,Phone_by_Sentiment!O$2:O$37,"",0,1),0),$A653-TEXT(DATEVALUE($D653&amp;"-01"), "dd-mm-yyyy")),0),0)</f>
        <v>700</v>
      </c>
      <c r="P653" s="1">
        <f t="shared" si="28"/>
        <v>43586</v>
      </c>
      <c r="Q653">
        <f t="shared" si="29"/>
        <v>427</v>
      </c>
    </row>
    <row r="654" spans="1:17" x14ac:dyDescent="0.25">
      <c r="A654" s="1">
        <f t="shared" si="27"/>
        <v>44013</v>
      </c>
      <c r="B654" t="s">
        <v>166</v>
      </c>
      <c r="C654" t="str">
        <f>_xlfn.XLOOKUP(B654,Phone_by_Price!$A$2:$A$34,Phone_by_Price!$B$2:$B$34,"-",0,1)</f>
        <v>Xiaomi Redmi Note 7</v>
      </c>
      <c r="D654" t="str">
        <f>_xlfn.XLOOKUP(C654,Phone_by_Sentiment!$B$2:$B$37,Phone_by_Sentiment!$A$2:$A$37,"-",0,1)</f>
        <v>2019-08</v>
      </c>
      <c r="E654" cm="1">
        <f t="array" ref="E654">IF($Q654&gt;=0,IFERROR(generateSalesData($D654, IF(ISNUMBER(_xlfn.XLOOKUP($C654,Phone_by_Sentiment!$B$2:$B$37,Phone_by_Sentiment!E$2:E$37,"",0,1)),_xlfn.XLOOKUP($C654,Phone_by_Sentiment!$B$2:$B$37,Phone_by_Sentiment!E$2:E$37,"",0,1),0),$A654-TEXT(DATEVALUE($D654&amp;"-01"), "dd-mm-yyyy")),0),0)</f>
        <v>161</v>
      </c>
      <c r="F654" cm="1">
        <f t="array" ref="F654">IF($Q654&gt;=0,IFERROR(generateSalesData($D654, IF(ISNUMBER(_xlfn.XLOOKUP($C654,Phone_by_Sentiment!$B$2:$B$37,Phone_by_Sentiment!F$2:F$37,"",0,1)),_xlfn.XLOOKUP($C654,Phone_by_Sentiment!$B$2:$B$37,Phone_by_Sentiment!F$2:F$37,"",0,1),0),$A654-TEXT(DATEVALUE($D654&amp;"-01"), "dd-mm-yyyy")),0),0)</f>
        <v>363</v>
      </c>
      <c r="G654" cm="1">
        <f t="array" ref="G654">IF($Q654&gt;=0,IFERROR(generateSalesData($D654, IF(ISNUMBER(_xlfn.XLOOKUP($C654,Phone_by_Sentiment!$B$2:$B$37,Phone_by_Sentiment!G$2:G$37,"",0,1)),_xlfn.XLOOKUP($C654,Phone_by_Sentiment!$B$2:$B$37,Phone_by_Sentiment!G$2:G$37,"",0,1),0),$A654-TEXT(DATEVALUE($D654&amp;"-01"), "dd-mm-yyyy")),0),0)</f>
        <v>171</v>
      </c>
      <c r="H654" cm="1">
        <f t="array" ref="H654">IF($Q654&gt;=0,IFERROR(generateSalesData($D654, IF(ISNUMBER(_xlfn.XLOOKUP($C654,Phone_by_Sentiment!$B$2:$B$37,Phone_by_Sentiment!H$2:H$37,"",0,1)),_xlfn.XLOOKUP($C654,Phone_by_Sentiment!$B$2:$B$37,Phone_by_Sentiment!H$2:H$37,"",0,1),0),$A654-TEXT(DATEVALUE($D654&amp;"-01"), "dd-mm-yyyy")),0),0)</f>
        <v>862</v>
      </c>
      <c r="I654" cm="1">
        <f t="array" ref="I654">IF($Q654&gt;=0,IFERROR(generateSalesData($D654, IF(ISNUMBER(_xlfn.XLOOKUP($C654,Phone_by_Sentiment!$B$2:$B$37,Phone_by_Sentiment!I$2:I$37,"",0,1)),_xlfn.XLOOKUP($C654,Phone_by_Sentiment!$B$2:$B$37,Phone_by_Sentiment!I$2:I$37,"",0,1),0),$A654-TEXT(DATEVALUE($D654&amp;"-01"), "dd-mm-yyyy")),0),0)</f>
        <v>153</v>
      </c>
      <c r="J654" cm="1">
        <f t="array" ref="J654">IF($Q654&gt;=0,IFERROR(generateSalesData($D654, IF(ISNUMBER(_xlfn.XLOOKUP($C654,Phone_by_Sentiment!$B$2:$B$37,Phone_by_Sentiment!J$2:J$37,"",0,1)),_xlfn.XLOOKUP($C654,Phone_by_Sentiment!$B$2:$B$37,Phone_by_Sentiment!J$2:J$37,"",0,1),0),$A654-TEXT(DATEVALUE($D654&amp;"-01"), "dd-mm-yyyy")),0),0)</f>
        <v>301</v>
      </c>
      <c r="K654" cm="1">
        <f t="array" ref="K654">IF($Q654&gt;=0,IFERROR(generateSalesData($D654, IF(ISNUMBER(_xlfn.XLOOKUP($C654,Phone_by_Sentiment!$B$2:$B$37,Phone_by_Sentiment!K$2:K$37,"",0,1)),_xlfn.XLOOKUP($C654,Phone_by_Sentiment!$B$2:$B$37,Phone_by_Sentiment!K$2:K$37,"",0,1),0),$A654-TEXT(DATEVALUE($D654&amp;"-01"), "dd-mm-yyyy")),0),0)</f>
        <v>300</v>
      </c>
      <c r="L654" cm="1">
        <f t="array" ref="L654">IF($Q654&gt;=0,IFERROR(generateSalesData($D654, IF(ISNUMBER(_xlfn.XLOOKUP($C654,Phone_by_Sentiment!$B$2:$B$37,Phone_by_Sentiment!L$2:L$37,"",0,1)),_xlfn.XLOOKUP($C654,Phone_by_Sentiment!$B$2:$B$37,Phone_by_Sentiment!L$2:L$37,"",0,1),0),$A654-TEXT(DATEVALUE($D654&amp;"-01"), "dd-mm-yyyy")),0),0)</f>
        <v>61</v>
      </c>
      <c r="M654" cm="1">
        <f t="array" ref="M654">IF($Q654&gt;=0,IFERROR(generateSalesData($D654, IF(ISNUMBER(_xlfn.XLOOKUP($C654,Phone_by_Sentiment!$B$2:$B$37,Phone_by_Sentiment!M$2:M$37,"",0,1)),_xlfn.XLOOKUP($C654,Phone_by_Sentiment!$B$2:$B$37,Phone_by_Sentiment!M$2:M$37,"",0,1),0),$A654-TEXT(DATEVALUE($D654&amp;"-01"), "dd-mm-yyyy")),0),0)</f>
        <v>584</v>
      </c>
      <c r="N654" cm="1">
        <f t="array" ref="N654">IF($Q654&gt;=0,IFERROR(generateSalesData($D654, IF(ISNUMBER(_xlfn.XLOOKUP($C654,Phone_by_Sentiment!$B$2:$B$37,Phone_by_Sentiment!N$2:N$37,"",0,1)),_xlfn.XLOOKUP($C654,Phone_by_Sentiment!$B$2:$B$37,Phone_by_Sentiment!N$2:N$37,"",0,1),0),$A654-TEXT(DATEVALUE($D654&amp;"-01"), "dd-mm-yyyy")),0),0)</f>
        <v>27</v>
      </c>
      <c r="O654" cm="1">
        <f t="array" ref="O654">IF($Q654&gt;=0,IFERROR(generateSalesData($D654, IF(ISNUMBER(_xlfn.XLOOKUP($C654,Phone_by_Sentiment!$B$2:$B$37,Phone_by_Sentiment!O$2:O$37,"",0,1)),_xlfn.XLOOKUP($C654,Phone_by_Sentiment!$B$2:$B$37,Phone_by_Sentiment!O$2:O$37,"",0,1),0),$A654-TEXT(DATEVALUE($D654&amp;"-01"), "dd-mm-yyyy")),0),0)</f>
        <v>968</v>
      </c>
      <c r="P654" s="1">
        <f t="shared" si="28"/>
        <v>43678</v>
      </c>
      <c r="Q654">
        <f t="shared" si="29"/>
        <v>335</v>
      </c>
    </row>
    <row r="655" spans="1:17" x14ac:dyDescent="0.25">
      <c r="A655" s="1">
        <f t="shared" si="27"/>
        <v>44013</v>
      </c>
      <c r="B655" t="s">
        <v>167</v>
      </c>
      <c r="C655" t="str">
        <f>_xlfn.XLOOKUP(B655,Phone_by_Price!$A$2:$A$34,Phone_by_Price!$B$2:$B$34,"-",0,1)</f>
        <v>Realme C21</v>
      </c>
      <c r="D655" t="str">
        <f>_xlfn.XLOOKUP(C655,Phone_by_Sentiment!$B$2:$B$37,Phone_by_Sentiment!$A$2:$A$37,"-",0,1)</f>
        <v>2021-04</v>
      </c>
      <c r="E655" cm="1">
        <f t="array" ref="E655">IF($Q655&gt;=0,IFERROR(generateSalesData($D655, IF(ISNUMBER(_xlfn.XLOOKUP($C655,Phone_by_Sentiment!$B$2:$B$37,Phone_by_Sentiment!E$2:E$37,"",0,1)),_xlfn.XLOOKUP($C655,Phone_by_Sentiment!$B$2:$B$37,Phone_by_Sentiment!E$2:E$37,"",0,1),0),$A655-TEXT(DATEVALUE($D655&amp;"-01"), "dd-mm-yyyy")),0),0)</f>
        <v>0</v>
      </c>
      <c r="F655" cm="1">
        <f t="array" ref="F655">IF($Q655&gt;=0,IFERROR(generateSalesData($D655, IF(ISNUMBER(_xlfn.XLOOKUP($C655,Phone_by_Sentiment!$B$2:$B$37,Phone_by_Sentiment!F$2:F$37,"",0,1)),_xlfn.XLOOKUP($C655,Phone_by_Sentiment!$B$2:$B$37,Phone_by_Sentiment!F$2:F$37,"",0,1),0),$A655-TEXT(DATEVALUE($D655&amp;"-01"), "dd-mm-yyyy")),0),0)</f>
        <v>0</v>
      </c>
      <c r="G655" cm="1">
        <f t="array" ref="G655">IF($Q655&gt;=0,IFERROR(generateSalesData($D655, IF(ISNUMBER(_xlfn.XLOOKUP($C655,Phone_by_Sentiment!$B$2:$B$37,Phone_by_Sentiment!G$2:G$37,"",0,1)),_xlfn.XLOOKUP($C655,Phone_by_Sentiment!$B$2:$B$37,Phone_by_Sentiment!G$2:G$37,"",0,1),0),$A655-TEXT(DATEVALUE($D655&amp;"-01"), "dd-mm-yyyy")),0),0)</f>
        <v>0</v>
      </c>
      <c r="H655" cm="1">
        <f t="array" ref="H655">IF($Q655&gt;=0,IFERROR(generateSalesData($D655, IF(ISNUMBER(_xlfn.XLOOKUP($C655,Phone_by_Sentiment!$B$2:$B$37,Phone_by_Sentiment!H$2:H$37,"",0,1)),_xlfn.XLOOKUP($C655,Phone_by_Sentiment!$B$2:$B$37,Phone_by_Sentiment!H$2:H$37,"",0,1),0),$A655-TEXT(DATEVALUE($D655&amp;"-01"), "dd-mm-yyyy")),0),0)</f>
        <v>0</v>
      </c>
      <c r="I655" cm="1">
        <f t="array" ref="I655">IF($Q655&gt;=0,IFERROR(generateSalesData($D655, IF(ISNUMBER(_xlfn.XLOOKUP($C655,Phone_by_Sentiment!$B$2:$B$37,Phone_by_Sentiment!I$2:I$37,"",0,1)),_xlfn.XLOOKUP($C655,Phone_by_Sentiment!$B$2:$B$37,Phone_by_Sentiment!I$2:I$37,"",0,1),0),$A655-TEXT(DATEVALUE($D655&amp;"-01"), "dd-mm-yyyy")),0),0)</f>
        <v>0</v>
      </c>
      <c r="J655" cm="1">
        <f t="array" ref="J655">IF($Q655&gt;=0,IFERROR(generateSalesData($D655, IF(ISNUMBER(_xlfn.XLOOKUP($C655,Phone_by_Sentiment!$B$2:$B$37,Phone_by_Sentiment!J$2:J$37,"",0,1)),_xlfn.XLOOKUP($C655,Phone_by_Sentiment!$B$2:$B$37,Phone_by_Sentiment!J$2:J$37,"",0,1),0),$A655-TEXT(DATEVALUE($D655&amp;"-01"), "dd-mm-yyyy")),0),0)</f>
        <v>0</v>
      </c>
      <c r="K655" cm="1">
        <f t="array" ref="K655">IF($Q655&gt;=0,IFERROR(generateSalesData($D655, IF(ISNUMBER(_xlfn.XLOOKUP($C655,Phone_by_Sentiment!$B$2:$B$37,Phone_by_Sentiment!K$2:K$37,"",0,1)),_xlfn.XLOOKUP($C655,Phone_by_Sentiment!$B$2:$B$37,Phone_by_Sentiment!K$2:K$37,"",0,1),0),$A655-TEXT(DATEVALUE($D655&amp;"-01"), "dd-mm-yyyy")),0),0)</f>
        <v>0</v>
      </c>
      <c r="L655" cm="1">
        <f t="array" ref="L655">IF($Q655&gt;=0,IFERROR(generateSalesData($D655, IF(ISNUMBER(_xlfn.XLOOKUP($C655,Phone_by_Sentiment!$B$2:$B$37,Phone_by_Sentiment!L$2:L$37,"",0,1)),_xlfn.XLOOKUP($C655,Phone_by_Sentiment!$B$2:$B$37,Phone_by_Sentiment!L$2:L$37,"",0,1),0),$A655-TEXT(DATEVALUE($D655&amp;"-01"), "dd-mm-yyyy")),0),0)</f>
        <v>0</v>
      </c>
      <c r="M655" cm="1">
        <f t="array" ref="M655">IF($Q655&gt;=0,IFERROR(generateSalesData($D655, IF(ISNUMBER(_xlfn.XLOOKUP($C655,Phone_by_Sentiment!$B$2:$B$37,Phone_by_Sentiment!M$2:M$37,"",0,1)),_xlfn.XLOOKUP($C655,Phone_by_Sentiment!$B$2:$B$37,Phone_by_Sentiment!M$2:M$37,"",0,1),0),$A655-TEXT(DATEVALUE($D655&amp;"-01"), "dd-mm-yyyy")),0),0)</f>
        <v>0</v>
      </c>
      <c r="N655" cm="1">
        <f t="array" ref="N655">IF($Q655&gt;=0,IFERROR(generateSalesData($D655, IF(ISNUMBER(_xlfn.XLOOKUP($C655,Phone_by_Sentiment!$B$2:$B$37,Phone_by_Sentiment!N$2:N$37,"",0,1)),_xlfn.XLOOKUP($C655,Phone_by_Sentiment!$B$2:$B$37,Phone_by_Sentiment!N$2:N$37,"",0,1),0),$A655-TEXT(DATEVALUE($D655&amp;"-01"), "dd-mm-yyyy")),0),0)</f>
        <v>0</v>
      </c>
      <c r="O655" cm="1">
        <f t="array" ref="O655">IF($Q655&gt;=0,IFERROR(generateSalesData($D655, IF(ISNUMBER(_xlfn.XLOOKUP($C655,Phone_by_Sentiment!$B$2:$B$37,Phone_by_Sentiment!O$2:O$37,"",0,1)),_xlfn.XLOOKUP($C655,Phone_by_Sentiment!$B$2:$B$37,Phone_by_Sentiment!O$2:O$37,"",0,1),0),$A655-TEXT(DATEVALUE($D655&amp;"-01"), "dd-mm-yyyy")),0),0)</f>
        <v>0</v>
      </c>
      <c r="P655" s="1">
        <f t="shared" si="28"/>
        <v>44287</v>
      </c>
      <c r="Q655">
        <f t="shared" si="29"/>
        <v>-274</v>
      </c>
    </row>
    <row r="656" spans="1:17" x14ac:dyDescent="0.25">
      <c r="A656" s="1">
        <f t="shared" si="27"/>
        <v>44013</v>
      </c>
      <c r="B656" t="s">
        <v>168</v>
      </c>
      <c r="C656" t="str">
        <f>_xlfn.XLOOKUP(B656,Phone_by_Price!$A$2:$A$34,Phone_by_Price!$B$2:$B$34,"-",0,1)</f>
        <v>Google Pixel 4</v>
      </c>
      <c r="D656" t="str">
        <f>_xlfn.XLOOKUP(C656,Phone_by_Sentiment!$B$2:$B$37,Phone_by_Sentiment!$A$2:$A$37,"-",0,1)</f>
        <v>2019-09</v>
      </c>
      <c r="E656" cm="1">
        <f t="array" ref="E656">IF($Q656&gt;=0,IFERROR(generateSalesData($D656, IF(ISNUMBER(_xlfn.XLOOKUP($C656,Phone_by_Sentiment!$B$2:$B$37,Phone_by_Sentiment!E$2:E$37,"",0,1)),_xlfn.XLOOKUP($C656,Phone_by_Sentiment!$B$2:$B$37,Phone_by_Sentiment!E$2:E$37,"",0,1),0),$A656-TEXT(DATEVALUE($D656&amp;"-01"), "dd-mm-yyyy")),0),0)</f>
        <v>642</v>
      </c>
      <c r="F656" cm="1">
        <f t="array" ref="F656">IF($Q656&gt;=0,IFERROR(generateSalesData($D656, IF(ISNUMBER(_xlfn.XLOOKUP($C656,Phone_by_Sentiment!$B$2:$B$37,Phone_by_Sentiment!F$2:F$37,"",0,1)),_xlfn.XLOOKUP($C656,Phone_by_Sentiment!$B$2:$B$37,Phone_by_Sentiment!F$2:F$37,"",0,1),0),$A656-TEXT(DATEVALUE($D656&amp;"-01"), "dd-mm-yyyy")),0),0)</f>
        <v>111</v>
      </c>
      <c r="G656" cm="1">
        <f t="array" ref="G656">IF($Q656&gt;=0,IFERROR(generateSalesData($D656, IF(ISNUMBER(_xlfn.XLOOKUP($C656,Phone_by_Sentiment!$B$2:$B$37,Phone_by_Sentiment!G$2:G$37,"",0,1)),_xlfn.XLOOKUP($C656,Phone_by_Sentiment!$B$2:$B$37,Phone_by_Sentiment!G$2:G$37,"",0,1),0),$A656-TEXT(DATEVALUE($D656&amp;"-01"), "dd-mm-yyyy")),0),0)</f>
        <v>304</v>
      </c>
      <c r="H656" cm="1">
        <f t="array" ref="H656">IF($Q656&gt;=0,IFERROR(generateSalesData($D656, IF(ISNUMBER(_xlfn.XLOOKUP($C656,Phone_by_Sentiment!$B$2:$B$37,Phone_by_Sentiment!H$2:H$37,"",0,1)),_xlfn.XLOOKUP($C656,Phone_by_Sentiment!$B$2:$B$37,Phone_by_Sentiment!H$2:H$37,"",0,1),0),$A656-TEXT(DATEVALUE($D656&amp;"-01"), "dd-mm-yyyy")),0),0)</f>
        <v>230</v>
      </c>
      <c r="I656" cm="1">
        <f t="array" ref="I656">IF($Q656&gt;=0,IFERROR(generateSalesData($D656, IF(ISNUMBER(_xlfn.XLOOKUP($C656,Phone_by_Sentiment!$B$2:$B$37,Phone_by_Sentiment!I$2:I$37,"",0,1)),_xlfn.XLOOKUP($C656,Phone_by_Sentiment!$B$2:$B$37,Phone_by_Sentiment!I$2:I$37,"",0,1),0),$A656-TEXT(DATEVALUE($D656&amp;"-01"), "dd-mm-yyyy")),0),0)</f>
        <v>235</v>
      </c>
      <c r="J656" cm="1">
        <f t="array" ref="J656">IF($Q656&gt;=0,IFERROR(generateSalesData($D656, IF(ISNUMBER(_xlfn.XLOOKUP($C656,Phone_by_Sentiment!$B$2:$B$37,Phone_by_Sentiment!J$2:J$37,"",0,1)),_xlfn.XLOOKUP($C656,Phone_by_Sentiment!$B$2:$B$37,Phone_by_Sentiment!J$2:J$37,"",0,1),0),$A656-TEXT(DATEVALUE($D656&amp;"-01"), "dd-mm-yyyy")),0),0)</f>
        <v>199</v>
      </c>
      <c r="K656" cm="1">
        <f t="array" ref="K656">IF($Q656&gt;=0,IFERROR(generateSalesData($D656, IF(ISNUMBER(_xlfn.XLOOKUP($C656,Phone_by_Sentiment!$B$2:$B$37,Phone_by_Sentiment!K$2:K$37,"",0,1)),_xlfn.XLOOKUP($C656,Phone_by_Sentiment!$B$2:$B$37,Phone_by_Sentiment!K$2:K$37,"",0,1),0),$A656-TEXT(DATEVALUE($D656&amp;"-01"), "dd-mm-yyyy")),0),0)</f>
        <v>214</v>
      </c>
      <c r="L656" cm="1">
        <f t="array" ref="L656">IF($Q656&gt;=0,IFERROR(generateSalesData($D656, IF(ISNUMBER(_xlfn.XLOOKUP($C656,Phone_by_Sentiment!$B$2:$B$37,Phone_by_Sentiment!L$2:L$37,"",0,1)),_xlfn.XLOOKUP($C656,Phone_by_Sentiment!$B$2:$B$37,Phone_by_Sentiment!L$2:L$37,"",0,1),0),$A656-TEXT(DATEVALUE($D656&amp;"-01"), "dd-mm-yyyy")),0),0)</f>
        <v>246</v>
      </c>
      <c r="M656" cm="1">
        <f t="array" ref="M656">IF($Q656&gt;=0,IFERROR(generateSalesData($D656, IF(ISNUMBER(_xlfn.XLOOKUP($C656,Phone_by_Sentiment!$B$2:$B$37,Phone_by_Sentiment!M$2:M$37,"",0,1)),_xlfn.XLOOKUP($C656,Phone_by_Sentiment!$B$2:$B$37,Phone_by_Sentiment!M$2:M$37,"",0,1),0),$A656-TEXT(DATEVALUE($D656&amp;"-01"), "dd-mm-yyyy")),0),0)</f>
        <v>321</v>
      </c>
      <c r="N656" cm="1">
        <f t="array" ref="N656">IF($Q656&gt;=0,IFERROR(generateSalesData($D656, IF(ISNUMBER(_xlfn.XLOOKUP($C656,Phone_by_Sentiment!$B$2:$B$37,Phone_by_Sentiment!N$2:N$37,"",0,1)),_xlfn.XLOOKUP($C656,Phone_by_Sentiment!$B$2:$B$37,Phone_by_Sentiment!N$2:N$37,"",0,1),0),$A656-TEXT(DATEVALUE($D656&amp;"-01"), "dd-mm-yyyy")),0),0)</f>
        <v>408</v>
      </c>
      <c r="O656" cm="1">
        <f t="array" ref="O656">IF($Q656&gt;=0,IFERROR(generateSalesData($D656, IF(ISNUMBER(_xlfn.XLOOKUP($C656,Phone_by_Sentiment!$B$2:$B$37,Phone_by_Sentiment!O$2:O$37,"",0,1)),_xlfn.XLOOKUP($C656,Phone_by_Sentiment!$B$2:$B$37,Phone_by_Sentiment!O$2:O$37,"",0,1),0),$A656-TEXT(DATEVALUE($D656&amp;"-01"), "dd-mm-yyyy")),0),0)</f>
        <v>64</v>
      </c>
      <c r="P656" s="1">
        <f t="shared" si="28"/>
        <v>43709</v>
      </c>
      <c r="Q656">
        <f t="shared" si="29"/>
        <v>304</v>
      </c>
    </row>
    <row r="657" spans="1:17" x14ac:dyDescent="0.25">
      <c r="A657" s="1">
        <f t="shared" si="27"/>
        <v>44013</v>
      </c>
      <c r="B657" t="s">
        <v>169</v>
      </c>
      <c r="C657" t="str">
        <f>_xlfn.XLOOKUP(B657,Phone_by_Price!$A$2:$A$34,Phone_by_Price!$B$2:$B$34,"-",0,1)</f>
        <v>Samsung Galaxy A10s</v>
      </c>
      <c r="D657" t="str">
        <f>_xlfn.XLOOKUP(C657,Phone_by_Sentiment!$B$2:$B$37,Phone_by_Sentiment!$A$2:$A$37,"-",0,1)</f>
        <v>2019-08</v>
      </c>
      <c r="E657" cm="1">
        <f t="array" ref="E657">IF($Q657&gt;=0,IFERROR(generateSalesData($D657, IF(ISNUMBER(_xlfn.XLOOKUP($C657,Phone_by_Sentiment!$B$2:$B$37,Phone_by_Sentiment!E$2:E$37,"",0,1)),_xlfn.XLOOKUP($C657,Phone_by_Sentiment!$B$2:$B$37,Phone_by_Sentiment!E$2:E$37,"",0,1),0),$A657-TEXT(DATEVALUE($D657&amp;"-01"), "dd-mm-yyyy")),0),0)</f>
        <v>233</v>
      </c>
      <c r="F657" cm="1">
        <f t="array" ref="F657">IF($Q657&gt;=0,IFERROR(generateSalesData($D657, IF(ISNUMBER(_xlfn.XLOOKUP($C657,Phone_by_Sentiment!$B$2:$B$37,Phone_by_Sentiment!F$2:F$37,"",0,1)),_xlfn.XLOOKUP($C657,Phone_by_Sentiment!$B$2:$B$37,Phone_by_Sentiment!F$2:F$37,"",0,1),0),$A657-TEXT(DATEVALUE($D657&amp;"-01"), "dd-mm-yyyy")),0),0)</f>
        <v>468</v>
      </c>
      <c r="G657" cm="1">
        <f t="array" ref="G657">IF($Q657&gt;=0,IFERROR(generateSalesData($D657, IF(ISNUMBER(_xlfn.XLOOKUP($C657,Phone_by_Sentiment!$B$2:$B$37,Phone_by_Sentiment!G$2:G$37,"",0,1)),_xlfn.XLOOKUP($C657,Phone_by_Sentiment!$B$2:$B$37,Phone_by_Sentiment!G$2:G$37,"",0,1),0),$A657-TEXT(DATEVALUE($D657&amp;"-01"), "dd-mm-yyyy")),0),0)</f>
        <v>-8</v>
      </c>
      <c r="H657" cm="1">
        <f t="array" ref="H657">IF($Q657&gt;=0,IFERROR(generateSalesData($D657, IF(ISNUMBER(_xlfn.XLOOKUP($C657,Phone_by_Sentiment!$B$2:$B$37,Phone_by_Sentiment!H$2:H$37,"",0,1)),_xlfn.XLOOKUP($C657,Phone_by_Sentiment!$B$2:$B$37,Phone_by_Sentiment!H$2:H$37,"",0,1),0),$A657-TEXT(DATEVALUE($D657&amp;"-01"), "dd-mm-yyyy")),0),0)</f>
        <v>329</v>
      </c>
      <c r="I657" cm="1">
        <f t="array" ref="I657">IF($Q657&gt;=0,IFERROR(generateSalesData($D657, IF(ISNUMBER(_xlfn.XLOOKUP($C657,Phone_by_Sentiment!$B$2:$B$37,Phone_by_Sentiment!I$2:I$37,"",0,1)),_xlfn.XLOOKUP($C657,Phone_by_Sentiment!$B$2:$B$37,Phone_by_Sentiment!I$2:I$37,"",0,1),0),$A657-TEXT(DATEVALUE($D657&amp;"-01"), "dd-mm-yyyy")),0),0)</f>
        <v>440</v>
      </c>
      <c r="J657" cm="1">
        <f t="array" ref="J657">IF($Q657&gt;=0,IFERROR(generateSalesData($D657, IF(ISNUMBER(_xlfn.XLOOKUP($C657,Phone_by_Sentiment!$B$2:$B$37,Phone_by_Sentiment!J$2:J$37,"",0,1)),_xlfn.XLOOKUP($C657,Phone_by_Sentiment!$B$2:$B$37,Phone_by_Sentiment!J$2:J$37,"",0,1),0),$A657-TEXT(DATEVALUE($D657&amp;"-01"), "dd-mm-yyyy")),0),0)</f>
        <v>1023</v>
      </c>
      <c r="K657" cm="1">
        <f t="array" ref="K657">IF($Q657&gt;=0,IFERROR(generateSalesData($D657, IF(ISNUMBER(_xlfn.XLOOKUP($C657,Phone_by_Sentiment!$B$2:$B$37,Phone_by_Sentiment!K$2:K$37,"",0,1)),_xlfn.XLOOKUP($C657,Phone_by_Sentiment!$B$2:$B$37,Phone_by_Sentiment!K$2:K$37,"",0,1),0),$A657-TEXT(DATEVALUE($D657&amp;"-01"), "dd-mm-yyyy")),0),0)</f>
        <v>538</v>
      </c>
      <c r="L657" cm="1">
        <f t="array" ref="L657">IF($Q657&gt;=0,IFERROR(generateSalesData($D657, IF(ISNUMBER(_xlfn.XLOOKUP($C657,Phone_by_Sentiment!$B$2:$B$37,Phone_by_Sentiment!L$2:L$37,"",0,1)),_xlfn.XLOOKUP($C657,Phone_by_Sentiment!$B$2:$B$37,Phone_by_Sentiment!L$2:L$37,"",0,1),0),$A657-TEXT(DATEVALUE($D657&amp;"-01"), "dd-mm-yyyy")),0),0)</f>
        <v>164</v>
      </c>
      <c r="M657" cm="1">
        <f t="array" ref="M657">IF($Q657&gt;=0,IFERROR(generateSalesData($D657, IF(ISNUMBER(_xlfn.XLOOKUP($C657,Phone_by_Sentiment!$B$2:$B$37,Phone_by_Sentiment!M$2:M$37,"",0,1)),_xlfn.XLOOKUP($C657,Phone_by_Sentiment!$B$2:$B$37,Phone_by_Sentiment!M$2:M$37,"",0,1),0),$A657-TEXT(DATEVALUE($D657&amp;"-01"), "dd-mm-yyyy")),0),0)</f>
        <v>1010</v>
      </c>
      <c r="N657" cm="1">
        <f t="array" ref="N657">IF($Q657&gt;=0,IFERROR(generateSalesData($D657, IF(ISNUMBER(_xlfn.XLOOKUP($C657,Phone_by_Sentiment!$B$2:$B$37,Phone_by_Sentiment!N$2:N$37,"",0,1)),_xlfn.XLOOKUP($C657,Phone_by_Sentiment!$B$2:$B$37,Phone_by_Sentiment!N$2:N$37,"",0,1),0),$A657-TEXT(DATEVALUE($D657&amp;"-01"), "dd-mm-yyyy")),0),0)</f>
        <v>306</v>
      </c>
      <c r="O657" cm="1">
        <f t="array" ref="O657">IF($Q657&gt;=0,IFERROR(generateSalesData($D657, IF(ISNUMBER(_xlfn.XLOOKUP($C657,Phone_by_Sentiment!$B$2:$B$37,Phone_by_Sentiment!O$2:O$37,"",0,1)),_xlfn.XLOOKUP($C657,Phone_by_Sentiment!$B$2:$B$37,Phone_by_Sentiment!O$2:O$37,"",0,1),0),$A657-TEXT(DATEVALUE($D657&amp;"-01"), "dd-mm-yyyy")),0),0)</f>
        <v>662</v>
      </c>
      <c r="P657" s="1">
        <f t="shared" si="28"/>
        <v>43678</v>
      </c>
      <c r="Q657">
        <f t="shared" si="29"/>
        <v>335</v>
      </c>
    </row>
    <row r="658" spans="1:17" x14ac:dyDescent="0.25">
      <c r="A658" s="1">
        <f t="shared" si="27"/>
        <v>44013</v>
      </c>
      <c r="B658" t="s">
        <v>170</v>
      </c>
      <c r="C658" t="str">
        <f>_xlfn.XLOOKUP(B658,Phone_by_Price!$A$2:$A$34,Phone_by_Price!$B$2:$B$34,"-",0,1)</f>
        <v>Realme Narzo 30A</v>
      </c>
      <c r="D658" t="str">
        <f>_xlfn.XLOOKUP(C658,Phone_by_Sentiment!$B$2:$B$37,Phone_by_Sentiment!$A$2:$A$37,"-",0,1)</f>
        <v>2021-02</v>
      </c>
      <c r="E658" cm="1">
        <f t="array" ref="E658">IF($Q658&gt;=0,IFERROR(generateSalesData($D658, IF(ISNUMBER(_xlfn.XLOOKUP($C658,Phone_by_Sentiment!$B$2:$B$37,Phone_by_Sentiment!E$2:E$37,"",0,1)),_xlfn.XLOOKUP($C658,Phone_by_Sentiment!$B$2:$B$37,Phone_by_Sentiment!E$2:E$37,"",0,1),0),$A658-TEXT(DATEVALUE($D658&amp;"-01"), "dd-mm-yyyy")),0),0)</f>
        <v>0</v>
      </c>
      <c r="F658" cm="1">
        <f t="array" ref="F658">IF($Q658&gt;=0,IFERROR(generateSalesData($D658, IF(ISNUMBER(_xlfn.XLOOKUP($C658,Phone_by_Sentiment!$B$2:$B$37,Phone_by_Sentiment!F$2:F$37,"",0,1)),_xlfn.XLOOKUP($C658,Phone_by_Sentiment!$B$2:$B$37,Phone_by_Sentiment!F$2:F$37,"",0,1),0),$A658-TEXT(DATEVALUE($D658&amp;"-01"), "dd-mm-yyyy")),0),0)</f>
        <v>0</v>
      </c>
      <c r="G658" cm="1">
        <f t="array" ref="G658">IF($Q658&gt;=0,IFERROR(generateSalesData($D658, IF(ISNUMBER(_xlfn.XLOOKUP($C658,Phone_by_Sentiment!$B$2:$B$37,Phone_by_Sentiment!G$2:G$37,"",0,1)),_xlfn.XLOOKUP($C658,Phone_by_Sentiment!$B$2:$B$37,Phone_by_Sentiment!G$2:G$37,"",0,1),0),$A658-TEXT(DATEVALUE($D658&amp;"-01"), "dd-mm-yyyy")),0),0)</f>
        <v>0</v>
      </c>
      <c r="H658" cm="1">
        <f t="array" ref="H658">IF($Q658&gt;=0,IFERROR(generateSalesData($D658, IF(ISNUMBER(_xlfn.XLOOKUP($C658,Phone_by_Sentiment!$B$2:$B$37,Phone_by_Sentiment!H$2:H$37,"",0,1)),_xlfn.XLOOKUP($C658,Phone_by_Sentiment!$B$2:$B$37,Phone_by_Sentiment!H$2:H$37,"",0,1),0),$A658-TEXT(DATEVALUE($D658&amp;"-01"), "dd-mm-yyyy")),0),0)</f>
        <v>0</v>
      </c>
      <c r="I658" cm="1">
        <f t="array" ref="I658">IF($Q658&gt;=0,IFERROR(generateSalesData($D658, IF(ISNUMBER(_xlfn.XLOOKUP($C658,Phone_by_Sentiment!$B$2:$B$37,Phone_by_Sentiment!I$2:I$37,"",0,1)),_xlfn.XLOOKUP($C658,Phone_by_Sentiment!$B$2:$B$37,Phone_by_Sentiment!I$2:I$37,"",0,1),0),$A658-TEXT(DATEVALUE($D658&amp;"-01"), "dd-mm-yyyy")),0),0)</f>
        <v>0</v>
      </c>
      <c r="J658" cm="1">
        <f t="array" ref="J658">IF($Q658&gt;=0,IFERROR(generateSalesData($D658, IF(ISNUMBER(_xlfn.XLOOKUP($C658,Phone_by_Sentiment!$B$2:$B$37,Phone_by_Sentiment!J$2:J$37,"",0,1)),_xlfn.XLOOKUP($C658,Phone_by_Sentiment!$B$2:$B$37,Phone_by_Sentiment!J$2:J$37,"",0,1),0),$A658-TEXT(DATEVALUE($D658&amp;"-01"), "dd-mm-yyyy")),0),0)</f>
        <v>0</v>
      </c>
      <c r="K658" cm="1">
        <f t="array" ref="K658">IF($Q658&gt;=0,IFERROR(generateSalesData($D658, IF(ISNUMBER(_xlfn.XLOOKUP($C658,Phone_by_Sentiment!$B$2:$B$37,Phone_by_Sentiment!K$2:K$37,"",0,1)),_xlfn.XLOOKUP($C658,Phone_by_Sentiment!$B$2:$B$37,Phone_by_Sentiment!K$2:K$37,"",0,1),0),$A658-TEXT(DATEVALUE($D658&amp;"-01"), "dd-mm-yyyy")),0),0)</f>
        <v>0</v>
      </c>
      <c r="L658" cm="1">
        <f t="array" ref="L658">IF($Q658&gt;=0,IFERROR(generateSalesData($D658, IF(ISNUMBER(_xlfn.XLOOKUP($C658,Phone_by_Sentiment!$B$2:$B$37,Phone_by_Sentiment!L$2:L$37,"",0,1)),_xlfn.XLOOKUP($C658,Phone_by_Sentiment!$B$2:$B$37,Phone_by_Sentiment!L$2:L$37,"",0,1),0),$A658-TEXT(DATEVALUE($D658&amp;"-01"), "dd-mm-yyyy")),0),0)</f>
        <v>0</v>
      </c>
      <c r="M658" cm="1">
        <f t="array" ref="M658">IF($Q658&gt;=0,IFERROR(generateSalesData($D658, IF(ISNUMBER(_xlfn.XLOOKUP($C658,Phone_by_Sentiment!$B$2:$B$37,Phone_by_Sentiment!M$2:M$37,"",0,1)),_xlfn.XLOOKUP($C658,Phone_by_Sentiment!$B$2:$B$37,Phone_by_Sentiment!M$2:M$37,"",0,1),0),$A658-TEXT(DATEVALUE($D658&amp;"-01"), "dd-mm-yyyy")),0),0)</f>
        <v>0</v>
      </c>
      <c r="N658" cm="1">
        <f t="array" ref="N658">IF($Q658&gt;=0,IFERROR(generateSalesData($D658, IF(ISNUMBER(_xlfn.XLOOKUP($C658,Phone_by_Sentiment!$B$2:$B$37,Phone_by_Sentiment!N$2:N$37,"",0,1)),_xlfn.XLOOKUP($C658,Phone_by_Sentiment!$B$2:$B$37,Phone_by_Sentiment!N$2:N$37,"",0,1),0),$A658-TEXT(DATEVALUE($D658&amp;"-01"), "dd-mm-yyyy")),0),0)</f>
        <v>0</v>
      </c>
      <c r="O658" cm="1">
        <f t="array" ref="O658">IF($Q658&gt;=0,IFERROR(generateSalesData($D658, IF(ISNUMBER(_xlfn.XLOOKUP($C658,Phone_by_Sentiment!$B$2:$B$37,Phone_by_Sentiment!O$2:O$37,"",0,1)),_xlfn.XLOOKUP($C658,Phone_by_Sentiment!$B$2:$B$37,Phone_by_Sentiment!O$2:O$37,"",0,1),0),$A658-TEXT(DATEVALUE($D658&amp;"-01"), "dd-mm-yyyy")),0),0)</f>
        <v>0</v>
      </c>
      <c r="P658" s="1">
        <f t="shared" si="28"/>
        <v>44228</v>
      </c>
      <c r="Q658">
        <f t="shared" si="29"/>
        <v>-215</v>
      </c>
    </row>
    <row r="659" spans="1:17" x14ac:dyDescent="0.25">
      <c r="A659" s="1">
        <f t="shared" si="27"/>
        <v>44013</v>
      </c>
      <c r="B659" t="s">
        <v>171</v>
      </c>
      <c r="C659" t="str">
        <f>_xlfn.XLOOKUP(B659,Phone_by_Price!$A$2:$A$34,Phone_by_Price!$B$2:$B$34,"-",0,1)</f>
        <v>Samsung Galaxy A22 5G</v>
      </c>
      <c r="D659" t="str">
        <f>_xlfn.XLOOKUP(C659,Phone_by_Sentiment!$B$2:$B$37,Phone_by_Sentiment!$A$2:$A$37,"-",0,1)</f>
        <v>2021-05</v>
      </c>
      <c r="E659" cm="1">
        <f t="array" ref="E659">IF($Q659&gt;=0,IFERROR(generateSalesData($D659, IF(ISNUMBER(_xlfn.XLOOKUP($C659,Phone_by_Sentiment!$B$2:$B$37,Phone_by_Sentiment!E$2:E$37,"",0,1)),_xlfn.XLOOKUP($C659,Phone_by_Sentiment!$B$2:$B$37,Phone_by_Sentiment!E$2:E$37,"",0,1),0),$A659-TEXT(DATEVALUE($D659&amp;"-01"), "dd-mm-yyyy")),0),0)</f>
        <v>0</v>
      </c>
      <c r="F659" cm="1">
        <f t="array" ref="F659">IF($Q659&gt;=0,IFERROR(generateSalesData($D659, IF(ISNUMBER(_xlfn.XLOOKUP($C659,Phone_by_Sentiment!$B$2:$B$37,Phone_by_Sentiment!F$2:F$37,"",0,1)),_xlfn.XLOOKUP($C659,Phone_by_Sentiment!$B$2:$B$37,Phone_by_Sentiment!F$2:F$37,"",0,1),0),$A659-TEXT(DATEVALUE($D659&amp;"-01"), "dd-mm-yyyy")),0),0)</f>
        <v>0</v>
      </c>
      <c r="G659" cm="1">
        <f t="array" ref="G659">IF($Q659&gt;=0,IFERROR(generateSalesData($D659, IF(ISNUMBER(_xlfn.XLOOKUP($C659,Phone_by_Sentiment!$B$2:$B$37,Phone_by_Sentiment!G$2:G$37,"",0,1)),_xlfn.XLOOKUP($C659,Phone_by_Sentiment!$B$2:$B$37,Phone_by_Sentiment!G$2:G$37,"",0,1),0),$A659-TEXT(DATEVALUE($D659&amp;"-01"), "dd-mm-yyyy")),0),0)</f>
        <v>0</v>
      </c>
      <c r="H659" cm="1">
        <f t="array" ref="H659">IF($Q659&gt;=0,IFERROR(generateSalesData($D659, IF(ISNUMBER(_xlfn.XLOOKUP($C659,Phone_by_Sentiment!$B$2:$B$37,Phone_by_Sentiment!H$2:H$37,"",0,1)),_xlfn.XLOOKUP($C659,Phone_by_Sentiment!$B$2:$B$37,Phone_by_Sentiment!H$2:H$37,"",0,1),0),$A659-TEXT(DATEVALUE($D659&amp;"-01"), "dd-mm-yyyy")),0),0)</f>
        <v>0</v>
      </c>
      <c r="I659" cm="1">
        <f t="array" ref="I659">IF($Q659&gt;=0,IFERROR(generateSalesData($D659, IF(ISNUMBER(_xlfn.XLOOKUP($C659,Phone_by_Sentiment!$B$2:$B$37,Phone_by_Sentiment!I$2:I$37,"",0,1)),_xlfn.XLOOKUP($C659,Phone_by_Sentiment!$B$2:$B$37,Phone_by_Sentiment!I$2:I$37,"",0,1),0),$A659-TEXT(DATEVALUE($D659&amp;"-01"), "dd-mm-yyyy")),0),0)</f>
        <v>0</v>
      </c>
      <c r="J659" cm="1">
        <f t="array" ref="J659">IF($Q659&gt;=0,IFERROR(generateSalesData($D659, IF(ISNUMBER(_xlfn.XLOOKUP($C659,Phone_by_Sentiment!$B$2:$B$37,Phone_by_Sentiment!J$2:J$37,"",0,1)),_xlfn.XLOOKUP($C659,Phone_by_Sentiment!$B$2:$B$37,Phone_by_Sentiment!J$2:J$37,"",0,1),0),$A659-TEXT(DATEVALUE($D659&amp;"-01"), "dd-mm-yyyy")),0),0)</f>
        <v>0</v>
      </c>
      <c r="K659" cm="1">
        <f t="array" ref="K659">IF($Q659&gt;=0,IFERROR(generateSalesData($D659, IF(ISNUMBER(_xlfn.XLOOKUP($C659,Phone_by_Sentiment!$B$2:$B$37,Phone_by_Sentiment!K$2:K$37,"",0,1)),_xlfn.XLOOKUP($C659,Phone_by_Sentiment!$B$2:$B$37,Phone_by_Sentiment!K$2:K$37,"",0,1),0),$A659-TEXT(DATEVALUE($D659&amp;"-01"), "dd-mm-yyyy")),0),0)</f>
        <v>0</v>
      </c>
      <c r="L659" cm="1">
        <f t="array" ref="L659">IF($Q659&gt;=0,IFERROR(generateSalesData($D659, IF(ISNUMBER(_xlfn.XLOOKUP($C659,Phone_by_Sentiment!$B$2:$B$37,Phone_by_Sentiment!L$2:L$37,"",0,1)),_xlfn.XLOOKUP($C659,Phone_by_Sentiment!$B$2:$B$37,Phone_by_Sentiment!L$2:L$37,"",0,1),0),$A659-TEXT(DATEVALUE($D659&amp;"-01"), "dd-mm-yyyy")),0),0)</f>
        <v>0</v>
      </c>
      <c r="M659" cm="1">
        <f t="array" ref="M659">IF($Q659&gt;=0,IFERROR(generateSalesData($D659, IF(ISNUMBER(_xlfn.XLOOKUP($C659,Phone_by_Sentiment!$B$2:$B$37,Phone_by_Sentiment!M$2:M$37,"",0,1)),_xlfn.XLOOKUP($C659,Phone_by_Sentiment!$B$2:$B$37,Phone_by_Sentiment!M$2:M$37,"",0,1),0),$A659-TEXT(DATEVALUE($D659&amp;"-01"), "dd-mm-yyyy")),0),0)</f>
        <v>0</v>
      </c>
      <c r="N659" cm="1">
        <f t="array" ref="N659">IF($Q659&gt;=0,IFERROR(generateSalesData($D659, IF(ISNUMBER(_xlfn.XLOOKUP($C659,Phone_by_Sentiment!$B$2:$B$37,Phone_by_Sentiment!N$2:N$37,"",0,1)),_xlfn.XLOOKUP($C659,Phone_by_Sentiment!$B$2:$B$37,Phone_by_Sentiment!N$2:N$37,"",0,1),0),$A659-TEXT(DATEVALUE($D659&amp;"-01"), "dd-mm-yyyy")),0),0)</f>
        <v>0</v>
      </c>
      <c r="O659" cm="1">
        <f t="array" ref="O659">IF($Q659&gt;=0,IFERROR(generateSalesData($D659, IF(ISNUMBER(_xlfn.XLOOKUP($C659,Phone_by_Sentiment!$B$2:$B$37,Phone_by_Sentiment!O$2:O$37,"",0,1)),_xlfn.XLOOKUP($C659,Phone_by_Sentiment!$B$2:$B$37,Phone_by_Sentiment!O$2:O$37,"",0,1),0),$A659-TEXT(DATEVALUE($D659&amp;"-01"), "dd-mm-yyyy")),0),0)</f>
        <v>0</v>
      </c>
      <c r="P659" s="1">
        <f t="shared" si="28"/>
        <v>44317</v>
      </c>
      <c r="Q659">
        <f t="shared" si="29"/>
        <v>-304</v>
      </c>
    </row>
    <row r="660" spans="1:17" x14ac:dyDescent="0.25">
      <c r="A660" s="1">
        <f t="shared" si="27"/>
        <v>44013</v>
      </c>
      <c r="B660" t="s">
        <v>172</v>
      </c>
      <c r="C660" t="str">
        <f>_xlfn.XLOOKUP(B660,Phone_by_Price!$A$2:$A$34,Phone_by_Price!$B$2:$B$34,"-",0,1)</f>
        <v>Xiaomi Redmi 9</v>
      </c>
      <c r="D660" t="str">
        <f>_xlfn.XLOOKUP(C660,Phone_by_Sentiment!$B$2:$B$37,Phone_by_Sentiment!$A$2:$A$37,"-",0,1)</f>
        <v>2020-08</v>
      </c>
      <c r="E660" cm="1">
        <f t="array" ref="E660">IF($Q660&gt;=0,IFERROR(generateSalesData($D660, IF(ISNUMBER(_xlfn.XLOOKUP($C660,Phone_by_Sentiment!$B$2:$B$37,Phone_by_Sentiment!E$2:E$37,"",0,1)),_xlfn.XLOOKUP($C660,Phone_by_Sentiment!$B$2:$B$37,Phone_by_Sentiment!E$2:E$37,"",0,1),0),$A660-TEXT(DATEVALUE($D660&amp;"-01"), "dd-mm-yyyy")),0),0)</f>
        <v>0</v>
      </c>
      <c r="F660" cm="1">
        <f t="array" ref="F660">IF($Q660&gt;=0,IFERROR(generateSalesData($D660, IF(ISNUMBER(_xlfn.XLOOKUP($C660,Phone_by_Sentiment!$B$2:$B$37,Phone_by_Sentiment!F$2:F$37,"",0,1)),_xlfn.XLOOKUP($C660,Phone_by_Sentiment!$B$2:$B$37,Phone_by_Sentiment!F$2:F$37,"",0,1),0),$A660-TEXT(DATEVALUE($D660&amp;"-01"), "dd-mm-yyyy")),0),0)</f>
        <v>0</v>
      </c>
      <c r="G660" cm="1">
        <f t="array" ref="G660">IF($Q660&gt;=0,IFERROR(generateSalesData($D660, IF(ISNUMBER(_xlfn.XLOOKUP($C660,Phone_by_Sentiment!$B$2:$B$37,Phone_by_Sentiment!G$2:G$37,"",0,1)),_xlfn.XLOOKUP($C660,Phone_by_Sentiment!$B$2:$B$37,Phone_by_Sentiment!G$2:G$37,"",0,1),0),$A660-TEXT(DATEVALUE($D660&amp;"-01"), "dd-mm-yyyy")),0),0)</f>
        <v>0</v>
      </c>
      <c r="H660" cm="1">
        <f t="array" ref="H660">IF($Q660&gt;=0,IFERROR(generateSalesData($D660, IF(ISNUMBER(_xlfn.XLOOKUP($C660,Phone_by_Sentiment!$B$2:$B$37,Phone_by_Sentiment!H$2:H$37,"",0,1)),_xlfn.XLOOKUP($C660,Phone_by_Sentiment!$B$2:$B$37,Phone_by_Sentiment!H$2:H$37,"",0,1),0),$A660-TEXT(DATEVALUE($D660&amp;"-01"), "dd-mm-yyyy")),0),0)</f>
        <v>0</v>
      </c>
      <c r="I660" cm="1">
        <f t="array" ref="I660">IF($Q660&gt;=0,IFERROR(generateSalesData($D660, IF(ISNUMBER(_xlfn.XLOOKUP($C660,Phone_by_Sentiment!$B$2:$B$37,Phone_by_Sentiment!I$2:I$37,"",0,1)),_xlfn.XLOOKUP($C660,Phone_by_Sentiment!$B$2:$B$37,Phone_by_Sentiment!I$2:I$37,"",0,1),0),$A660-TEXT(DATEVALUE($D660&amp;"-01"), "dd-mm-yyyy")),0),0)</f>
        <v>0</v>
      </c>
      <c r="J660" cm="1">
        <f t="array" ref="J660">IF($Q660&gt;=0,IFERROR(generateSalesData($D660, IF(ISNUMBER(_xlfn.XLOOKUP($C660,Phone_by_Sentiment!$B$2:$B$37,Phone_by_Sentiment!J$2:J$37,"",0,1)),_xlfn.XLOOKUP($C660,Phone_by_Sentiment!$B$2:$B$37,Phone_by_Sentiment!J$2:J$37,"",0,1),0),$A660-TEXT(DATEVALUE($D660&amp;"-01"), "dd-mm-yyyy")),0),0)</f>
        <v>0</v>
      </c>
      <c r="K660" cm="1">
        <f t="array" ref="K660">IF($Q660&gt;=0,IFERROR(generateSalesData($D660, IF(ISNUMBER(_xlfn.XLOOKUP($C660,Phone_by_Sentiment!$B$2:$B$37,Phone_by_Sentiment!K$2:K$37,"",0,1)),_xlfn.XLOOKUP($C660,Phone_by_Sentiment!$B$2:$B$37,Phone_by_Sentiment!K$2:K$37,"",0,1),0),$A660-TEXT(DATEVALUE($D660&amp;"-01"), "dd-mm-yyyy")),0),0)</f>
        <v>0</v>
      </c>
      <c r="L660" cm="1">
        <f t="array" ref="L660">IF($Q660&gt;=0,IFERROR(generateSalesData($D660, IF(ISNUMBER(_xlfn.XLOOKUP($C660,Phone_by_Sentiment!$B$2:$B$37,Phone_by_Sentiment!L$2:L$37,"",0,1)),_xlfn.XLOOKUP($C660,Phone_by_Sentiment!$B$2:$B$37,Phone_by_Sentiment!L$2:L$37,"",0,1),0),$A660-TEXT(DATEVALUE($D660&amp;"-01"), "dd-mm-yyyy")),0),0)</f>
        <v>0</v>
      </c>
      <c r="M660" cm="1">
        <f t="array" ref="M660">IF($Q660&gt;=0,IFERROR(generateSalesData($D660, IF(ISNUMBER(_xlfn.XLOOKUP($C660,Phone_by_Sentiment!$B$2:$B$37,Phone_by_Sentiment!M$2:M$37,"",0,1)),_xlfn.XLOOKUP($C660,Phone_by_Sentiment!$B$2:$B$37,Phone_by_Sentiment!M$2:M$37,"",0,1),0),$A660-TEXT(DATEVALUE($D660&amp;"-01"), "dd-mm-yyyy")),0),0)</f>
        <v>0</v>
      </c>
      <c r="N660" cm="1">
        <f t="array" ref="N660">IF($Q660&gt;=0,IFERROR(generateSalesData($D660, IF(ISNUMBER(_xlfn.XLOOKUP($C660,Phone_by_Sentiment!$B$2:$B$37,Phone_by_Sentiment!N$2:N$37,"",0,1)),_xlfn.XLOOKUP($C660,Phone_by_Sentiment!$B$2:$B$37,Phone_by_Sentiment!N$2:N$37,"",0,1),0),$A660-TEXT(DATEVALUE($D660&amp;"-01"), "dd-mm-yyyy")),0),0)</f>
        <v>0</v>
      </c>
      <c r="O660" cm="1">
        <f t="array" ref="O660">IF($Q660&gt;=0,IFERROR(generateSalesData($D660, IF(ISNUMBER(_xlfn.XLOOKUP($C660,Phone_by_Sentiment!$B$2:$B$37,Phone_by_Sentiment!O$2:O$37,"",0,1)),_xlfn.XLOOKUP($C660,Phone_by_Sentiment!$B$2:$B$37,Phone_by_Sentiment!O$2:O$37,"",0,1),0),$A660-TEXT(DATEVALUE($D660&amp;"-01"), "dd-mm-yyyy")),0),0)</f>
        <v>0</v>
      </c>
      <c r="P660" s="1">
        <f t="shared" si="28"/>
        <v>44044</v>
      </c>
      <c r="Q660">
        <f t="shared" si="29"/>
        <v>-31</v>
      </c>
    </row>
    <row r="661" spans="1:17" x14ac:dyDescent="0.25">
      <c r="A661" s="1">
        <f t="shared" si="27"/>
        <v>44013</v>
      </c>
      <c r="B661" t="s">
        <v>173</v>
      </c>
      <c r="C661" t="str">
        <f>_xlfn.XLOOKUP(B661,Phone_by_Price!$A$2:$A$34,Phone_by_Price!$B$2:$B$34,"-",0,1)</f>
        <v>Realme C3</v>
      </c>
      <c r="D661" t="str">
        <f>_xlfn.XLOOKUP(C661,Phone_by_Sentiment!$B$2:$B$37,Phone_by_Sentiment!$A$2:$A$37,"-",0,1)</f>
        <v>2020-02</v>
      </c>
      <c r="E661" cm="1">
        <f t="array" ref="E661">IF($Q661&gt;=0,IFERROR(generateSalesData($D661, IF(ISNUMBER(_xlfn.XLOOKUP($C661,Phone_by_Sentiment!$B$2:$B$37,Phone_by_Sentiment!E$2:E$37,"",0,1)),_xlfn.XLOOKUP($C661,Phone_by_Sentiment!$B$2:$B$37,Phone_by_Sentiment!E$2:E$37,"",0,1),0),$A661-TEXT(DATEVALUE($D661&amp;"-01"), "dd-mm-yyyy")),0),0)</f>
        <v>417</v>
      </c>
      <c r="F661" cm="1">
        <f t="array" ref="F661">IF($Q661&gt;=0,IFERROR(generateSalesData($D661, IF(ISNUMBER(_xlfn.XLOOKUP($C661,Phone_by_Sentiment!$B$2:$B$37,Phone_by_Sentiment!F$2:F$37,"",0,1)),_xlfn.XLOOKUP($C661,Phone_by_Sentiment!$B$2:$B$37,Phone_by_Sentiment!F$2:F$37,"",0,1),0),$A661-TEXT(DATEVALUE($D661&amp;"-01"), "dd-mm-yyyy")),0),0)</f>
        <v>77</v>
      </c>
      <c r="G661" cm="1">
        <f t="array" ref="G661">IF($Q661&gt;=0,IFERROR(generateSalesData($D661, IF(ISNUMBER(_xlfn.XLOOKUP($C661,Phone_by_Sentiment!$B$2:$B$37,Phone_by_Sentiment!G$2:G$37,"",0,1)),_xlfn.XLOOKUP($C661,Phone_by_Sentiment!$B$2:$B$37,Phone_by_Sentiment!G$2:G$37,"",0,1),0),$A661-TEXT(DATEVALUE($D661&amp;"-01"), "dd-mm-yyyy")),0),0)</f>
        <v>530</v>
      </c>
      <c r="H661" cm="1">
        <f t="array" ref="H661">IF($Q661&gt;=0,IFERROR(generateSalesData($D661, IF(ISNUMBER(_xlfn.XLOOKUP($C661,Phone_by_Sentiment!$B$2:$B$37,Phone_by_Sentiment!H$2:H$37,"",0,1)),_xlfn.XLOOKUP($C661,Phone_by_Sentiment!$B$2:$B$37,Phone_by_Sentiment!H$2:H$37,"",0,1),0),$A661-TEXT(DATEVALUE($D661&amp;"-01"), "dd-mm-yyyy")),0),0)</f>
        <v>1079</v>
      </c>
      <c r="I661" cm="1">
        <f t="array" ref="I661">IF($Q661&gt;=0,IFERROR(generateSalesData($D661, IF(ISNUMBER(_xlfn.XLOOKUP($C661,Phone_by_Sentiment!$B$2:$B$37,Phone_by_Sentiment!I$2:I$37,"",0,1)),_xlfn.XLOOKUP($C661,Phone_by_Sentiment!$B$2:$B$37,Phone_by_Sentiment!I$2:I$37,"",0,1),0),$A661-TEXT(DATEVALUE($D661&amp;"-01"), "dd-mm-yyyy")),0),0)</f>
        <v>1005</v>
      </c>
      <c r="J661" cm="1">
        <f t="array" ref="J661">IF($Q661&gt;=0,IFERROR(generateSalesData($D661, IF(ISNUMBER(_xlfn.XLOOKUP($C661,Phone_by_Sentiment!$B$2:$B$37,Phone_by_Sentiment!J$2:J$37,"",0,1)),_xlfn.XLOOKUP($C661,Phone_by_Sentiment!$B$2:$B$37,Phone_by_Sentiment!J$2:J$37,"",0,1),0),$A661-TEXT(DATEVALUE($D661&amp;"-01"), "dd-mm-yyyy")),0),0)</f>
        <v>509</v>
      </c>
      <c r="K661" cm="1">
        <f t="array" ref="K661">IF($Q661&gt;=0,IFERROR(generateSalesData($D661, IF(ISNUMBER(_xlfn.XLOOKUP($C661,Phone_by_Sentiment!$B$2:$B$37,Phone_by_Sentiment!K$2:K$37,"",0,1)),_xlfn.XLOOKUP($C661,Phone_by_Sentiment!$B$2:$B$37,Phone_by_Sentiment!K$2:K$37,"",0,1),0),$A661-TEXT(DATEVALUE($D661&amp;"-01"), "dd-mm-yyyy")),0),0)</f>
        <v>536</v>
      </c>
      <c r="L661" cm="1">
        <f t="array" ref="L661">IF($Q661&gt;=0,IFERROR(generateSalesData($D661, IF(ISNUMBER(_xlfn.XLOOKUP($C661,Phone_by_Sentiment!$B$2:$B$37,Phone_by_Sentiment!L$2:L$37,"",0,1)),_xlfn.XLOOKUP($C661,Phone_by_Sentiment!$B$2:$B$37,Phone_by_Sentiment!L$2:L$37,"",0,1),0),$A661-TEXT(DATEVALUE($D661&amp;"-01"), "dd-mm-yyyy")),0),0)</f>
        <v>1547</v>
      </c>
      <c r="M661" cm="1">
        <f t="array" ref="M661">IF($Q661&gt;=0,IFERROR(generateSalesData($D661, IF(ISNUMBER(_xlfn.XLOOKUP($C661,Phone_by_Sentiment!$B$2:$B$37,Phone_by_Sentiment!M$2:M$37,"",0,1)),_xlfn.XLOOKUP($C661,Phone_by_Sentiment!$B$2:$B$37,Phone_by_Sentiment!M$2:M$37,"",0,1),0),$A661-TEXT(DATEVALUE($D661&amp;"-01"), "dd-mm-yyyy")),0),0)</f>
        <v>461</v>
      </c>
      <c r="N661" cm="1">
        <f t="array" ref="N661">IF($Q661&gt;=0,IFERROR(generateSalesData($D661, IF(ISNUMBER(_xlfn.XLOOKUP($C661,Phone_by_Sentiment!$B$2:$B$37,Phone_by_Sentiment!N$2:N$37,"",0,1)),_xlfn.XLOOKUP($C661,Phone_by_Sentiment!$B$2:$B$37,Phone_by_Sentiment!N$2:N$37,"",0,1),0),$A661-TEXT(DATEVALUE($D661&amp;"-01"), "dd-mm-yyyy")),0),0)</f>
        <v>2199</v>
      </c>
      <c r="O661" cm="1">
        <f t="array" ref="O661">IF($Q661&gt;=0,IFERROR(generateSalesData($D661, IF(ISNUMBER(_xlfn.XLOOKUP($C661,Phone_by_Sentiment!$B$2:$B$37,Phone_by_Sentiment!O$2:O$37,"",0,1)),_xlfn.XLOOKUP($C661,Phone_by_Sentiment!$B$2:$B$37,Phone_by_Sentiment!O$2:O$37,"",0,1),0),$A661-TEXT(DATEVALUE($D661&amp;"-01"), "dd-mm-yyyy")),0),0)</f>
        <v>248</v>
      </c>
      <c r="P661" s="1">
        <f t="shared" si="28"/>
        <v>43862</v>
      </c>
      <c r="Q661">
        <f t="shared" si="29"/>
        <v>151</v>
      </c>
    </row>
    <row r="662" spans="1:17" x14ac:dyDescent="0.25">
      <c r="A662" s="1">
        <f t="shared" si="27"/>
        <v>44013</v>
      </c>
      <c r="B662" t="s">
        <v>174</v>
      </c>
      <c r="C662" t="str">
        <f>_xlfn.XLOOKUP(B662,Phone_by_Price!$A$2:$A$34,Phone_by_Price!$B$2:$B$34,"-",0,1)</f>
        <v>Samsung Galaxy A7</v>
      </c>
      <c r="D662" t="str">
        <f>_xlfn.XLOOKUP(C662,Phone_by_Sentiment!$B$2:$B$37,Phone_by_Sentiment!$A$2:$A$37,"-",0,1)</f>
        <v>2018-10</v>
      </c>
      <c r="E662" cm="1">
        <f t="array" ref="E662">IF($Q662&gt;=0,IFERROR(generateSalesData($D662, IF(ISNUMBER(_xlfn.XLOOKUP($C662,Phone_by_Sentiment!$B$2:$B$37,Phone_by_Sentiment!E$2:E$37,"",0,1)),_xlfn.XLOOKUP($C662,Phone_by_Sentiment!$B$2:$B$37,Phone_by_Sentiment!E$2:E$37,"",0,1),0),$A662-TEXT(DATEVALUE($D662&amp;"-01"), "dd-mm-yyyy")),0),0)</f>
        <v>67</v>
      </c>
      <c r="F662" cm="1">
        <f t="array" ref="F662">IF($Q662&gt;=0,IFERROR(generateSalesData($D662, IF(ISNUMBER(_xlfn.XLOOKUP($C662,Phone_by_Sentiment!$B$2:$B$37,Phone_by_Sentiment!F$2:F$37,"",0,1)),_xlfn.XLOOKUP($C662,Phone_by_Sentiment!$B$2:$B$37,Phone_by_Sentiment!F$2:F$37,"",0,1),0),$A662-TEXT(DATEVALUE($D662&amp;"-01"), "dd-mm-yyyy")),0),0)</f>
        <v>175</v>
      </c>
      <c r="G662" cm="1">
        <f t="array" ref="G662">IF($Q662&gt;=0,IFERROR(generateSalesData($D662, IF(ISNUMBER(_xlfn.XLOOKUP($C662,Phone_by_Sentiment!$B$2:$B$37,Phone_by_Sentiment!G$2:G$37,"",0,1)),_xlfn.XLOOKUP($C662,Phone_by_Sentiment!$B$2:$B$37,Phone_by_Sentiment!G$2:G$37,"",0,1),0),$A662-TEXT(DATEVALUE($D662&amp;"-01"), "dd-mm-yyyy")),0),0)</f>
        <v>108</v>
      </c>
      <c r="H662" cm="1">
        <f t="array" ref="H662">IF($Q662&gt;=0,IFERROR(generateSalesData($D662, IF(ISNUMBER(_xlfn.XLOOKUP($C662,Phone_by_Sentiment!$B$2:$B$37,Phone_by_Sentiment!H$2:H$37,"",0,1)),_xlfn.XLOOKUP($C662,Phone_by_Sentiment!$B$2:$B$37,Phone_by_Sentiment!H$2:H$37,"",0,1),0),$A662-TEXT(DATEVALUE($D662&amp;"-01"), "dd-mm-yyyy")),0),0)</f>
        <v>137</v>
      </c>
      <c r="I662" cm="1">
        <f t="array" ref="I662">IF($Q662&gt;=0,IFERROR(generateSalesData($D662, IF(ISNUMBER(_xlfn.XLOOKUP($C662,Phone_by_Sentiment!$B$2:$B$37,Phone_by_Sentiment!I$2:I$37,"",0,1)),_xlfn.XLOOKUP($C662,Phone_by_Sentiment!$B$2:$B$37,Phone_by_Sentiment!I$2:I$37,"",0,1),0),$A662-TEXT(DATEVALUE($D662&amp;"-01"), "dd-mm-yyyy")),0),0)</f>
        <v>370</v>
      </c>
      <c r="J662" cm="1">
        <f t="array" ref="J662">IF($Q662&gt;=0,IFERROR(generateSalesData($D662, IF(ISNUMBER(_xlfn.XLOOKUP($C662,Phone_by_Sentiment!$B$2:$B$37,Phone_by_Sentiment!J$2:J$37,"",0,1)),_xlfn.XLOOKUP($C662,Phone_by_Sentiment!$B$2:$B$37,Phone_by_Sentiment!J$2:J$37,"",0,1),0),$A662-TEXT(DATEVALUE($D662&amp;"-01"), "dd-mm-yyyy")),0),0)</f>
        <v>100</v>
      </c>
      <c r="K662" cm="1">
        <f t="array" ref="K662">IF($Q662&gt;=0,IFERROR(generateSalesData($D662, IF(ISNUMBER(_xlfn.XLOOKUP($C662,Phone_by_Sentiment!$B$2:$B$37,Phone_by_Sentiment!K$2:K$37,"",0,1)),_xlfn.XLOOKUP($C662,Phone_by_Sentiment!$B$2:$B$37,Phone_by_Sentiment!K$2:K$37,"",0,1),0),$A662-TEXT(DATEVALUE($D662&amp;"-01"), "dd-mm-yyyy")),0),0)</f>
        <v>36</v>
      </c>
      <c r="L662" cm="1">
        <f t="array" ref="L662">IF($Q662&gt;=0,IFERROR(generateSalesData($D662, IF(ISNUMBER(_xlfn.XLOOKUP($C662,Phone_by_Sentiment!$B$2:$B$37,Phone_by_Sentiment!L$2:L$37,"",0,1)),_xlfn.XLOOKUP($C662,Phone_by_Sentiment!$B$2:$B$37,Phone_by_Sentiment!L$2:L$37,"",0,1),0),$A662-TEXT(DATEVALUE($D662&amp;"-01"), "dd-mm-yyyy")),0),0)</f>
        <v>42</v>
      </c>
      <c r="M662" cm="1">
        <f t="array" ref="M662">IF($Q662&gt;=0,IFERROR(generateSalesData($D662, IF(ISNUMBER(_xlfn.XLOOKUP($C662,Phone_by_Sentiment!$B$2:$B$37,Phone_by_Sentiment!M$2:M$37,"",0,1)),_xlfn.XLOOKUP($C662,Phone_by_Sentiment!$B$2:$B$37,Phone_by_Sentiment!M$2:M$37,"",0,1),0),$A662-TEXT(DATEVALUE($D662&amp;"-01"), "dd-mm-yyyy")),0),0)</f>
        <v>381</v>
      </c>
      <c r="N662" cm="1">
        <f t="array" ref="N662">IF($Q662&gt;=0,IFERROR(generateSalesData($D662, IF(ISNUMBER(_xlfn.XLOOKUP($C662,Phone_by_Sentiment!$B$2:$B$37,Phone_by_Sentiment!N$2:N$37,"",0,1)),_xlfn.XLOOKUP($C662,Phone_by_Sentiment!$B$2:$B$37,Phone_by_Sentiment!N$2:N$37,"",0,1),0),$A662-TEXT(DATEVALUE($D662&amp;"-01"), "dd-mm-yyyy")),0),0)</f>
        <v>455</v>
      </c>
      <c r="O662" cm="1">
        <f t="array" ref="O662">IF($Q662&gt;=0,IFERROR(generateSalesData($D662, IF(ISNUMBER(_xlfn.XLOOKUP($C662,Phone_by_Sentiment!$B$2:$B$37,Phone_by_Sentiment!O$2:O$37,"",0,1)),_xlfn.XLOOKUP($C662,Phone_by_Sentiment!$B$2:$B$37,Phone_by_Sentiment!O$2:O$37,"",0,1),0),$A662-TEXT(DATEVALUE($D662&amp;"-01"), "dd-mm-yyyy")),0),0)</f>
        <v>338</v>
      </c>
      <c r="P662" s="1">
        <f t="shared" si="28"/>
        <v>43374</v>
      </c>
      <c r="Q662">
        <f t="shared" si="29"/>
        <v>639</v>
      </c>
    </row>
    <row r="663" spans="1:17" x14ac:dyDescent="0.25">
      <c r="A663" s="1">
        <f t="shared" si="27"/>
        <v>44013</v>
      </c>
      <c r="B663" t="s">
        <v>142</v>
      </c>
      <c r="C663" t="str">
        <f>_xlfn.XLOOKUP(B663,Phone_by_Price!$A$2:$A$34,Phone_by_Price!$B$2:$B$34,"-",0,1)</f>
        <v>iPhone 11</v>
      </c>
      <c r="D663" t="str">
        <f>_xlfn.XLOOKUP(C663,Phone_by_Sentiment!$B$2:$B$37,Phone_by_Sentiment!$A$2:$A$37,"-",0,1)</f>
        <v>2019-09</v>
      </c>
      <c r="E663" cm="1">
        <f t="array" ref="E663">IF($Q663&gt;=0,IFERROR(generateSalesData($D663, IF(ISNUMBER(_xlfn.XLOOKUP($C663,Phone_by_Sentiment!$B$2:$B$37,Phone_by_Sentiment!E$2:E$37,"",0,1)),_xlfn.XLOOKUP($C663,Phone_by_Sentiment!$B$2:$B$37,Phone_by_Sentiment!E$2:E$37,"",0,1),0),$A663-TEXT(DATEVALUE($D663&amp;"-01"), "dd-mm-yyyy")),0),0)</f>
        <v>392</v>
      </c>
      <c r="F663" cm="1">
        <f t="array" ref="F663">IF($Q663&gt;=0,IFERROR(generateSalesData($D663, IF(ISNUMBER(_xlfn.XLOOKUP($C663,Phone_by_Sentiment!$B$2:$B$37,Phone_by_Sentiment!F$2:F$37,"",0,1)),_xlfn.XLOOKUP($C663,Phone_by_Sentiment!$B$2:$B$37,Phone_by_Sentiment!F$2:F$37,"",0,1),0),$A663-TEXT(DATEVALUE($D663&amp;"-01"), "dd-mm-yyyy")),0),0)</f>
        <v>-210</v>
      </c>
      <c r="G663" cm="1">
        <f t="array" ref="G663">IF($Q663&gt;=0,IFERROR(generateSalesData($D663, IF(ISNUMBER(_xlfn.XLOOKUP($C663,Phone_by_Sentiment!$B$2:$B$37,Phone_by_Sentiment!G$2:G$37,"",0,1)),_xlfn.XLOOKUP($C663,Phone_by_Sentiment!$B$2:$B$37,Phone_by_Sentiment!G$2:G$37,"",0,1),0),$A663-TEXT(DATEVALUE($D663&amp;"-01"), "dd-mm-yyyy")),0),0)</f>
        <v>78</v>
      </c>
      <c r="H663" cm="1">
        <f t="array" ref="H663">IF($Q663&gt;=0,IFERROR(generateSalesData($D663, IF(ISNUMBER(_xlfn.XLOOKUP($C663,Phone_by_Sentiment!$B$2:$B$37,Phone_by_Sentiment!H$2:H$37,"",0,1)),_xlfn.XLOOKUP($C663,Phone_by_Sentiment!$B$2:$B$37,Phone_by_Sentiment!H$2:H$37,"",0,1),0),$A663-TEXT(DATEVALUE($D663&amp;"-01"), "dd-mm-yyyy")),0),0)</f>
        <v>932</v>
      </c>
      <c r="I663" cm="1">
        <f t="array" ref="I663">IF($Q663&gt;=0,IFERROR(generateSalesData($D663, IF(ISNUMBER(_xlfn.XLOOKUP($C663,Phone_by_Sentiment!$B$2:$B$37,Phone_by_Sentiment!I$2:I$37,"",0,1)),_xlfn.XLOOKUP($C663,Phone_by_Sentiment!$B$2:$B$37,Phone_by_Sentiment!I$2:I$37,"",0,1),0),$A663-TEXT(DATEVALUE($D663&amp;"-01"), "dd-mm-yyyy")),0),0)</f>
        <v>157</v>
      </c>
      <c r="J663" cm="1">
        <f t="array" ref="J663">IF($Q663&gt;=0,IFERROR(generateSalesData($D663, IF(ISNUMBER(_xlfn.XLOOKUP($C663,Phone_by_Sentiment!$B$2:$B$37,Phone_by_Sentiment!J$2:J$37,"",0,1)),_xlfn.XLOOKUP($C663,Phone_by_Sentiment!$B$2:$B$37,Phone_by_Sentiment!J$2:J$37,"",0,1),0),$A663-TEXT(DATEVALUE($D663&amp;"-01"), "dd-mm-yyyy")),0),0)</f>
        <v>1056</v>
      </c>
      <c r="K663" cm="1">
        <f t="array" ref="K663">IF($Q663&gt;=0,IFERROR(generateSalesData($D663, IF(ISNUMBER(_xlfn.XLOOKUP($C663,Phone_by_Sentiment!$B$2:$B$37,Phone_by_Sentiment!K$2:K$37,"",0,1)),_xlfn.XLOOKUP($C663,Phone_by_Sentiment!$B$2:$B$37,Phone_by_Sentiment!K$2:K$37,"",0,1),0),$A663-TEXT(DATEVALUE($D663&amp;"-01"), "dd-mm-yyyy")),0),0)</f>
        <v>250</v>
      </c>
      <c r="L663" cm="1">
        <f t="array" ref="L663">IF($Q663&gt;=0,IFERROR(generateSalesData($D663, IF(ISNUMBER(_xlfn.XLOOKUP($C663,Phone_by_Sentiment!$B$2:$B$37,Phone_by_Sentiment!L$2:L$37,"",0,1)),_xlfn.XLOOKUP($C663,Phone_by_Sentiment!$B$2:$B$37,Phone_by_Sentiment!L$2:L$37,"",0,1),0),$A663-TEXT(DATEVALUE($D663&amp;"-01"), "dd-mm-yyyy")),0),0)</f>
        <v>120</v>
      </c>
      <c r="M663" cm="1">
        <f t="array" ref="M663">IF($Q663&gt;=0,IFERROR(generateSalesData($D663, IF(ISNUMBER(_xlfn.XLOOKUP($C663,Phone_by_Sentiment!$B$2:$B$37,Phone_by_Sentiment!M$2:M$37,"",0,1)),_xlfn.XLOOKUP($C663,Phone_by_Sentiment!$B$2:$B$37,Phone_by_Sentiment!M$2:M$37,"",0,1),0),$A663-TEXT(DATEVALUE($D663&amp;"-01"), "dd-mm-yyyy")),0),0)</f>
        <v>506</v>
      </c>
      <c r="N663" cm="1">
        <f t="array" ref="N663">IF($Q663&gt;=0,IFERROR(generateSalesData($D663, IF(ISNUMBER(_xlfn.XLOOKUP($C663,Phone_by_Sentiment!$B$2:$B$37,Phone_by_Sentiment!N$2:N$37,"",0,1)),_xlfn.XLOOKUP($C663,Phone_by_Sentiment!$B$2:$B$37,Phone_by_Sentiment!N$2:N$37,"",0,1),0),$A663-TEXT(DATEVALUE($D663&amp;"-01"), "dd-mm-yyyy")),0),0)</f>
        <v>402</v>
      </c>
      <c r="O663" cm="1">
        <f t="array" ref="O663">IF($Q663&gt;=0,IFERROR(generateSalesData($D663, IF(ISNUMBER(_xlfn.XLOOKUP($C663,Phone_by_Sentiment!$B$2:$B$37,Phone_by_Sentiment!O$2:O$37,"",0,1)),_xlfn.XLOOKUP($C663,Phone_by_Sentiment!$B$2:$B$37,Phone_by_Sentiment!O$2:O$37,"",0,1),0),$A663-TEXT(DATEVALUE($D663&amp;"-01"), "dd-mm-yyyy")),0),0)</f>
        <v>384</v>
      </c>
      <c r="P663" s="1">
        <f t="shared" si="28"/>
        <v>43709</v>
      </c>
      <c r="Q663">
        <f t="shared" si="29"/>
        <v>304</v>
      </c>
    </row>
    <row r="664" spans="1:17" x14ac:dyDescent="0.25">
      <c r="A664" s="1">
        <f t="shared" si="27"/>
        <v>44013</v>
      </c>
      <c r="B664" t="s">
        <v>143</v>
      </c>
      <c r="C664" t="str">
        <f>_xlfn.XLOOKUP(B664,Phone_by_Price!$A$2:$A$34,Phone_by_Price!$B$2:$B$34,"-",0,1)</f>
        <v>Samsung Galaxy S20 Ultra</v>
      </c>
      <c r="D664" t="str">
        <f>_xlfn.XLOOKUP(C664,Phone_by_Sentiment!$B$2:$B$37,Phone_by_Sentiment!$A$2:$A$37,"-",0,1)</f>
        <v>2020-02</v>
      </c>
      <c r="E664" cm="1">
        <f t="array" ref="E664">IF($Q664&gt;=0,IFERROR(generateSalesData($D664, IF(ISNUMBER(_xlfn.XLOOKUP($C664,Phone_by_Sentiment!$B$2:$B$37,Phone_by_Sentiment!E$2:E$37,"",0,1)),_xlfn.XLOOKUP($C664,Phone_by_Sentiment!$B$2:$B$37,Phone_by_Sentiment!E$2:E$37,"",0,1),0),$A664-TEXT(DATEVALUE($D664&amp;"-01"), "dd-mm-yyyy")),0),0)</f>
        <v>1404</v>
      </c>
      <c r="F664" cm="1">
        <f t="array" ref="F664">IF($Q664&gt;=0,IFERROR(generateSalesData($D664, IF(ISNUMBER(_xlfn.XLOOKUP($C664,Phone_by_Sentiment!$B$2:$B$37,Phone_by_Sentiment!F$2:F$37,"",0,1)),_xlfn.XLOOKUP($C664,Phone_by_Sentiment!$B$2:$B$37,Phone_by_Sentiment!F$2:F$37,"",0,1),0),$A664-TEXT(DATEVALUE($D664&amp;"-01"), "dd-mm-yyyy")),0),0)</f>
        <v>705</v>
      </c>
      <c r="G664" cm="1">
        <f t="array" ref="G664">IF($Q664&gt;=0,IFERROR(generateSalesData($D664, IF(ISNUMBER(_xlfn.XLOOKUP($C664,Phone_by_Sentiment!$B$2:$B$37,Phone_by_Sentiment!G$2:G$37,"",0,1)),_xlfn.XLOOKUP($C664,Phone_by_Sentiment!$B$2:$B$37,Phone_by_Sentiment!G$2:G$37,"",0,1),0),$A664-TEXT(DATEVALUE($D664&amp;"-01"), "dd-mm-yyyy")),0),0)</f>
        <v>496</v>
      </c>
      <c r="H664" cm="1">
        <f t="array" ref="H664">IF($Q664&gt;=0,IFERROR(generateSalesData($D664, IF(ISNUMBER(_xlfn.XLOOKUP($C664,Phone_by_Sentiment!$B$2:$B$37,Phone_by_Sentiment!H$2:H$37,"",0,1)),_xlfn.XLOOKUP($C664,Phone_by_Sentiment!$B$2:$B$37,Phone_by_Sentiment!H$2:H$37,"",0,1),0),$A664-TEXT(DATEVALUE($D664&amp;"-01"), "dd-mm-yyyy")),0),0)</f>
        <v>1044</v>
      </c>
      <c r="I664" cm="1">
        <f t="array" ref="I664">IF($Q664&gt;=0,IFERROR(generateSalesData($D664, IF(ISNUMBER(_xlfn.XLOOKUP($C664,Phone_by_Sentiment!$B$2:$B$37,Phone_by_Sentiment!I$2:I$37,"",0,1)),_xlfn.XLOOKUP($C664,Phone_by_Sentiment!$B$2:$B$37,Phone_by_Sentiment!I$2:I$37,"",0,1),0),$A664-TEXT(DATEVALUE($D664&amp;"-01"), "dd-mm-yyyy")),0),0)</f>
        <v>965</v>
      </c>
      <c r="J664" cm="1">
        <f t="array" ref="J664">IF($Q664&gt;=0,IFERROR(generateSalesData($D664, IF(ISNUMBER(_xlfn.XLOOKUP($C664,Phone_by_Sentiment!$B$2:$B$37,Phone_by_Sentiment!J$2:J$37,"",0,1)),_xlfn.XLOOKUP($C664,Phone_by_Sentiment!$B$2:$B$37,Phone_by_Sentiment!J$2:J$37,"",0,1),0),$A664-TEXT(DATEVALUE($D664&amp;"-01"), "dd-mm-yyyy")),0),0)</f>
        <v>1620</v>
      </c>
      <c r="K664" cm="1">
        <f t="array" ref="K664">IF($Q664&gt;=0,IFERROR(generateSalesData($D664, IF(ISNUMBER(_xlfn.XLOOKUP($C664,Phone_by_Sentiment!$B$2:$B$37,Phone_by_Sentiment!K$2:K$37,"",0,1)),_xlfn.XLOOKUP($C664,Phone_by_Sentiment!$B$2:$B$37,Phone_by_Sentiment!K$2:K$37,"",0,1),0),$A664-TEXT(DATEVALUE($D664&amp;"-01"), "dd-mm-yyyy")),0),0)</f>
        <v>210</v>
      </c>
      <c r="L664" cm="1">
        <f t="array" ref="L664">IF($Q664&gt;=0,IFERROR(generateSalesData($D664, IF(ISNUMBER(_xlfn.XLOOKUP($C664,Phone_by_Sentiment!$B$2:$B$37,Phone_by_Sentiment!L$2:L$37,"",0,1)),_xlfn.XLOOKUP($C664,Phone_by_Sentiment!$B$2:$B$37,Phone_by_Sentiment!L$2:L$37,"",0,1),0),$A664-TEXT(DATEVALUE($D664&amp;"-01"), "dd-mm-yyyy")),0),0)</f>
        <v>2209</v>
      </c>
      <c r="M664" cm="1">
        <f t="array" ref="M664">IF($Q664&gt;=0,IFERROR(generateSalesData($D664, IF(ISNUMBER(_xlfn.XLOOKUP($C664,Phone_by_Sentiment!$B$2:$B$37,Phone_by_Sentiment!M$2:M$37,"",0,1)),_xlfn.XLOOKUP($C664,Phone_by_Sentiment!$B$2:$B$37,Phone_by_Sentiment!M$2:M$37,"",0,1),0),$A664-TEXT(DATEVALUE($D664&amp;"-01"), "dd-mm-yyyy")),0),0)</f>
        <v>1972</v>
      </c>
      <c r="N664" cm="1">
        <f t="array" ref="N664">IF($Q664&gt;=0,IFERROR(generateSalesData($D664, IF(ISNUMBER(_xlfn.XLOOKUP($C664,Phone_by_Sentiment!$B$2:$B$37,Phone_by_Sentiment!N$2:N$37,"",0,1)),_xlfn.XLOOKUP($C664,Phone_by_Sentiment!$B$2:$B$37,Phone_by_Sentiment!N$2:N$37,"",0,1),0),$A664-TEXT(DATEVALUE($D664&amp;"-01"), "dd-mm-yyyy")),0),0)</f>
        <v>2464</v>
      </c>
      <c r="O664" cm="1">
        <f t="array" ref="O664">IF($Q664&gt;=0,IFERROR(generateSalesData($D664, IF(ISNUMBER(_xlfn.XLOOKUP($C664,Phone_by_Sentiment!$B$2:$B$37,Phone_by_Sentiment!O$2:O$37,"",0,1)),_xlfn.XLOOKUP($C664,Phone_by_Sentiment!$B$2:$B$37,Phone_by_Sentiment!O$2:O$37,"",0,1),0),$A664-TEXT(DATEVALUE($D664&amp;"-01"), "dd-mm-yyyy")),0),0)</f>
        <v>1763</v>
      </c>
      <c r="P664" s="1">
        <f t="shared" si="28"/>
        <v>43862</v>
      </c>
      <c r="Q664">
        <f t="shared" si="29"/>
        <v>151</v>
      </c>
    </row>
    <row r="665" spans="1:17" x14ac:dyDescent="0.25">
      <c r="A665" s="1">
        <f t="shared" si="27"/>
        <v>44013</v>
      </c>
      <c r="B665" t="s">
        <v>144</v>
      </c>
      <c r="C665" t="str">
        <f>_xlfn.XLOOKUP(B665,Phone_by_Price!$A$2:$A$34,Phone_by_Price!$B$2:$B$34,"-",0,1)</f>
        <v>Xiaomi Redmi Note 10</v>
      </c>
      <c r="D665" t="str">
        <f>_xlfn.XLOOKUP(C665,Phone_by_Sentiment!$B$2:$B$37,Phone_by_Sentiment!$A$2:$A$37,"-",0,1)</f>
        <v>2021-03</v>
      </c>
      <c r="E665" cm="1">
        <f t="array" ref="E665">IF($Q665&gt;=0,IFERROR(generateSalesData($D665, IF(ISNUMBER(_xlfn.XLOOKUP($C665,Phone_by_Sentiment!$B$2:$B$37,Phone_by_Sentiment!E$2:E$37,"",0,1)),_xlfn.XLOOKUP($C665,Phone_by_Sentiment!$B$2:$B$37,Phone_by_Sentiment!E$2:E$37,"",0,1),0),$A665-TEXT(DATEVALUE($D665&amp;"-01"), "dd-mm-yyyy")),0),0)</f>
        <v>0</v>
      </c>
      <c r="F665" cm="1">
        <f t="array" ref="F665">IF($Q665&gt;=0,IFERROR(generateSalesData($D665, IF(ISNUMBER(_xlfn.XLOOKUP($C665,Phone_by_Sentiment!$B$2:$B$37,Phone_by_Sentiment!F$2:F$37,"",0,1)),_xlfn.XLOOKUP($C665,Phone_by_Sentiment!$B$2:$B$37,Phone_by_Sentiment!F$2:F$37,"",0,1),0),$A665-TEXT(DATEVALUE($D665&amp;"-01"), "dd-mm-yyyy")),0),0)</f>
        <v>0</v>
      </c>
      <c r="G665" cm="1">
        <f t="array" ref="G665">IF($Q665&gt;=0,IFERROR(generateSalesData($D665, IF(ISNUMBER(_xlfn.XLOOKUP($C665,Phone_by_Sentiment!$B$2:$B$37,Phone_by_Sentiment!G$2:G$37,"",0,1)),_xlfn.XLOOKUP($C665,Phone_by_Sentiment!$B$2:$B$37,Phone_by_Sentiment!G$2:G$37,"",0,1),0),$A665-TEXT(DATEVALUE($D665&amp;"-01"), "dd-mm-yyyy")),0),0)</f>
        <v>0</v>
      </c>
      <c r="H665" cm="1">
        <f t="array" ref="H665">IF($Q665&gt;=0,IFERROR(generateSalesData($D665, IF(ISNUMBER(_xlfn.XLOOKUP($C665,Phone_by_Sentiment!$B$2:$B$37,Phone_by_Sentiment!H$2:H$37,"",0,1)),_xlfn.XLOOKUP($C665,Phone_by_Sentiment!$B$2:$B$37,Phone_by_Sentiment!H$2:H$37,"",0,1),0),$A665-TEXT(DATEVALUE($D665&amp;"-01"), "dd-mm-yyyy")),0),0)</f>
        <v>0</v>
      </c>
      <c r="I665" cm="1">
        <f t="array" ref="I665">IF($Q665&gt;=0,IFERROR(generateSalesData($D665, IF(ISNUMBER(_xlfn.XLOOKUP($C665,Phone_by_Sentiment!$B$2:$B$37,Phone_by_Sentiment!I$2:I$37,"",0,1)),_xlfn.XLOOKUP($C665,Phone_by_Sentiment!$B$2:$B$37,Phone_by_Sentiment!I$2:I$37,"",0,1),0),$A665-TEXT(DATEVALUE($D665&amp;"-01"), "dd-mm-yyyy")),0),0)</f>
        <v>0</v>
      </c>
      <c r="J665" cm="1">
        <f t="array" ref="J665">IF($Q665&gt;=0,IFERROR(generateSalesData($D665, IF(ISNUMBER(_xlfn.XLOOKUP($C665,Phone_by_Sentiment!$B$2:$B$37,Phone_by_Sentiment!J$2:J$37,"",0,1)),_xlfn.XLOOKUP($C665,Phone_by_Sentiment!$B$2:$B$37,Phone_by_Sentiment!J$2:J$37,"",0,1),0),$A665-TEXT(DATEVALUE($D665&amp;"-01"), "dd-mm-yyyy")),0),0)</f>
        <v>0</v>
      </c>
      <c r="K665" cm="1">
        <f t="array" ref="K665">IF($Q665&gt;=0,IFERROR(generateSalesData($D665, IF(ISNUMBER(_xlfn.XLOOKUP($C665,Phone_by_Sentiment!$B$2:$B$37,Phone_by_Sentiment!K$2:K$37,"",0,1)),_xlfn.XLOOKUP($C665,Phone_by_Sentiment!$B$2:$B$37,Phone_by_Sentiment!K$2:K$37,"",0,1),0),$A665-TEXT(DATEVALUE($D665&amp;"-01"), "dd-mm-yyyy")),0),0)</f>
        <v>0</v>
      </c>
      <c r="L665" cm="1">
        <f t="array" ref="L665">IF($Q665&gt;=0,IFERROR(generateSalesData($D665, IF(ISNUMBER(_xlfn.XLOOKUP($C665,Phone_by_Sentiment!$B$2:$B$37,Phone_by_Sentiment!L$2:L$37,"",0,1)),_xlfn.XLOOKUP($C665,Phone_by_Sentiment!$B$2:$B$37,Phone_by_Sentiment!L$2:L$37,"",0,1),0),$A665-TEXT(DATEVALUE($D665&amp;"-01"), "dd-mm-yyyy")),0),0)</f>
        <v>0</v>
      </c>
      <c r="M665" cm="1">
        <f t="array" ref="M665">IF($Q665&gt;=0,IFERROR(generateSalesData($D665, IF(ISNUMBER(_xlfn.XLOOKUP($C665,Phone_by_Sentiment!$B$2:$B$37,Phone_by_Sentiment!M$2:M$37,"",0,1)),_xlfn.XLOOKUP($C665,Phone_by_Sentiment!$B$2:$B$37,Phone_by_Sentiment!M$2:M$37,"",0,1),0),$A665-TEXT(DATEVALUE($D665&amp;"-01"), "dd-mm-yyyy")),0),0)</f>
        <v>0</v>
      </c>
      <c r="N665" cm="1">
        <f t="array" ref="N665">IF($Q665&gt;=0,IFERROR(generateSalesData($D665, IF(ISNUMBER(_xlfn.XLOOKUP($C665,Phone_by_Sentiment!$B$2:$B$37,Phone_by_Sentiment!N$2:N$37,"",0,1)),_xlfn.XLOOKUP($C665,Phone_by_Sentiment!$B$2:$B$37,Phone_by_Sentiment!N$2:N$37,"",0,1),0),$A665-TEXT(DATEVALUE($D665&amp;"-01"), "dd-mm-yyyy")),0),0)</f>
        <v>0</v>
      </c>
      <c r="O665" cm="1">
        <f t="array" ref="O665">IF($Q665&gt;=0,IFERROR(generateSalesData($D665, IF(ISNUMBER(_xlfn.XLOOKUP($C665,Phone_by_Sentiment!$B$2:$B$37,Phone_by_Sentiment!O$2:O$37,"",0,1)),_xlfn.XLOOKUP($C665,Phone_by_Sentiment!$B$2:$B$37,Phone_by_Sentiment!O$2:O$37,"",0,1),0),$A665-TEXT(DATEVALUE($D665&amp;"-01"), "dd-mm-yyyy")),0),0)</f>
        <v>0</v>
      </c>
      <c r="P665" s="1">
        <f t="shared" si="28"/>
        <v>44256</v>
      </c>
      <c r="Q665">
        <f t="shared" si="29"/>
        <v>-243</v>
      </c>
    </row>
    <row r="666" spans="1:17" x14ac:dyDescent="0.25">
      <c r="A666" s="1">
        <f t="shared" si="27"/>
        <v>44044</v>
      </c>
      <c r="B666" t="s">
        <v>145</v>
      </c>
      <c r="C666" t="str">
        <f>_xlfn.XLOOKUP(B666,Phone_by_Price!$A$2:$A$34,Phone_by_Price!$B$2:$B$34,"-",0,1)</f>
        <v>OPPO A54</v>
      </c>
      <c r="D666" t="str">
        <f>_xlfn.XLOOKUP(C666,Phone_by_Sentiment!$B$2:$B$37,Phone_by_Sentiment!$A$2:$A$37,"-",0,1)</f>
        <v>2021-04</v>
      </c>
      <c r="E666" cm="1">
        <f t="array" ref="E666">IF($Q666&gt;=0,IFERROR(generateSalesData($D666, IF(ISNUMBER(_xlfn.XLOOKUP($C666,Phone_by_Sentiment!$B$2:$B$37,Phone_by_Sentiment!E$2:E$37,"",0,1)),_xlfn.XLOOKUP($C666,Phone_by_Sentiment!$B$2:$B$37,Phone_by_Sentiment!E$2:E$37,"",0,1),0),$A666-TEXT(DATEVALUE($D666&amp;"-01"), "dd-mm-yyyy")),0),0)</f>
        <v>0</v>
      </c>
      <c r="F666" cm="1">
        <f t="array" ref="F666">IF($Q666&gt;=0,IFERROR(generateSalesData($D666, IF(ISNUMBER(_xlfn.XLOOKUP($C666,Phone_by_Sentiment!$B$2:$B$37,Phone_by_Sentiment!F$2:F$37,"",0,1)),_xlfn.XLOOKUP($C666,Phone_by_Sentiment!$B$2:$B$37,Phone_by_Sentiment!F$2:F$37,"",0,1),0),$A666-TEXT(DATEVALUE($D666&amp;"-01"), "dd-mm-yyyy")),0),0)</f>
        <v>0</v>
      </c>
      <c r="G666" cm="1">
        <f t="array" ref="G666">IF($Q666&gt;=0,IFERROR(generateSalesData($D666, IF(ISNUMBER(_xlfn.XLOOKUP($C666,Phone_by_Sentiment!$B$2:$B$37,Phone_by_Sentiment!G$2:G$37,"",0,1)),_xlfn.XLOOKUP($C666,Phone_by_Sentiment!$B$2:$B$37,Phone_by_Sentiment!G$2:G$37,"",0,1),0),$A666-TEXT(DATEVALUE($D666&amp;"-01"), "dd-mm-yyyy")),0),0)</f>
        <v>0</v>
      </c>
      <c r="H666" cm="1">
        <f t="array" ref="H666">IF($Q666&gt;=0,IFERROR(generateSalesData($D666, IF(ISNUMBER(_xlfn.XLOOKUP($C666,Phone_by_Sentiment!$B$2:$B$37,Phone_by_Sentiment!H$2:H$37,"",0,1)),_xlfn.XLOOKUP($C666,Phone_by_Sentiment!$B$2:$B$37,Phone_by_Sentiment!H$2:H$37,"",0,1),0),$A666-TEXT(DATEVALUE($D666&amp;"-01"), "dd-mm-yyyy")),0),0)</f>
        <v>0</v>
      </c>
      <c r="I666" cm="1">
        <f t="array" ref="I666">IF($Q666&gt;=0,IFERROR(generateSalesData($D666, IF(ISNUMBER(_xlfn.XLOOKUP($C666,Phone_by_Sentiment!$B$2:$B$37,Phone_by_Sentiment!I$2:I$37,"",0,1)),_xlfn.XLOOKUP($C666,Phone_by_Sentiment!$B$2:$B$37,Phone_by_Sentiment!I$2:I$37,"",0,1),0),$A666-TEXT(DATEVALUE($D666&amp;"-01"), "dd-mm-yyyy")),0),0)</f>
        <v>0</v>
      </c>
      <c r="J666" cm="1">
        <f t="array" ref="J666">IF($Q666&gt;=0,IFERROR(generateSalesData($D666, IF(ISNUMBER(_xlfn.XLOOKUP($C666,Phone_by_Sentiment!$B$2:$B$37,Phone_by_Sentiment!J$2:J$37,"",0,1)),_xlfn.XLOOKUP($C666,Phone_by_Sentiment!$B$2:$B$37,Phone_by_Sentiment!J$2:J$37,"",0,1),0),$A666-TEXT(DATEVALUE($D666&amp;"-01"), "dd-mm-yyyy")),0),0)</f>
        <v>0</v>
      </c>
      <c r="K666" cm="1">
        <f t="array" ref="K666">IF($Q666&gt;=0,IFERROR(generateSalesData($D666, IF(ISNUMBER(_xlfn.XLOOKUP($C666,Phone_by_Sentiment!$B$2:$B$37,Phone_by_Sentiment!K$2:K$37,"",0,1)),_xlfn.XLOOKUP($C666,Phone_by_Sentiment!$B$2:$B$37,Phone_by_Sentiment!K$2:K$37,"",0,1),0),$A666-TEXT(DATEVALUE($D666&amp;"-01"), "dd-mm-yyyy")),0),0)</f>
        <v>0</v>
      </c>
      <c r="L666" cm="1">
        <f t="array" ref="L666">IF($Q666&gt;=0,IFERROR(generateSalesData($D666, IF(ISNUMBER(_xlfn.XLOOKUP($C666,Phone_by_Sentiment!$B$2:$B$37,Phone_by_Sentiment!L$2:L$37,"",0,1)),_xlfn.XLOOKUP($C666,Phone_by_Sentiment!$B$2:$B$37,Phone_by_Sentiment!L$2:L$37,"",0,1),0),$A666-TEXT(DATEVALUE($D666&amp;"-01"), "dd-mm-yyyy")),0),0)</f>
        <v>0</v>
      </c>
      <c r="M666" cm="1">
        <f t="array" ref="M666">IF($Q666&gt;=0,IFERROR(generateSalesData($D666, IF(ISNUMBER(_xlfn.XLOOKUP($C666,Phone_by_Sentiment!$B$2:$B$37,Phone_by_Sentiment!M$2:M$37,"",0,1)),_xlfn.XLOOKUP($C666,Phone_by_Sentiment!$B$2:$B$37,Phone_by_Sentiment!M$2:M$37,"",0,1),0),$A666-TEXT(DATEVALUE($D666&amp;"-01"), "dd-mm-yyyy")),0),0)</f>
        <v>0</v>
      </c>
      <c r="N666" cm="1">
        <f t="array" ref="N666">IF($Q666&gt;=0,IFERROR(generateSalesData($D666, IF(ISNUMBER(_xlfn.XLOOKUP($C666,Phone_by_Sentiment!$B$2:$B$37,Phone_by_Sentiment!N$2:N$37,"",0,1)),_xlfn.XLOOKUP($C666,Phone_by_Sentiment!$B$2:$B$37,Phone_by_Sentiment!N$2:N$37,"",0,1),0),$A666-TEXT(DATEVALUE($D666&amp;"-01"), "dd-mm-yyyy")),0),0)</f>
        <v>0</v>
      </c>
      <c r="O666" cm="1">
        <f t="array" ref="O666">IF($Q666&gt;=0,IFERROR(generateSalesData($D666, IF(ISNUMBER(_xlfn.XLOOKUP($C666,Phone_by_Sentiment!$B$2:$B$37,Phone_by_Sentiment!O$2:O$37,"",0,1)),_xlfn.XLOOKUP($C666,Phone_by_Sentiment!$B$2:$B$37,Phone_by_Sentiment!O$2:O$37,"",0,1),0),$A666-TEXT(DATEVALUE($D666&amp;"-01"), "dd-mm-yyyy")),0),0)</f>
        <v>0</v>
      </c>
      <c r="P666" s="1">
        <f t="shared" si="28"/>
        <v>44287</v>
      </c>
      <c r="Q666">
        <f t="shared" si="29"/>
        <v>-243</v>
      </c>
    </row>
    <row r="667" spans="1:17" x14ac:dyDescent="0.25">
      <c r="A667" s="1">
        <f t="shared" si="27"/>
        <v>44044</v>
      </c>
      <c r="B667" t="s">
        <v>146</v>
      </c>
      <c r="C667" t="str">
        <f>_xlfn.XLOOKUP(B667,Phone_by_Price!$A$2:$A$34,Phone_by_Price!$B$2:$B$34,"-",0,1)</f>
        <v>Vivo Y20</v>
      </c>
      <c r="D667" t="str">
        <f>_xlfn.XLOOKUP(C667,Phone_by_Sentiment!$B$2:$B$37,Phone_by_Sentiment!$A$2:$A$37,"-",0,1)</f>
        <v>2020-09</v>
      </c>
      <c r="E667" cm="1">
        <f t="array" ref="E667">IF($Q667&gt;=0,IFERROR(generateSalesData($D667, IF(ISNUMBER(_xlfn.XLOOKUP($C667,Phone_by_Sentiment!$B$2:$B$37,Phone_by_Sentiment!E$2:E$37,"",0,1)),_xlfn.XLOOKUP($C667,Phone_by_Sentiment!$B$2:$B$37,Phone_by_Sentiment!E$2:E$37,"",0,1),0),$A667-TEXT(DATEVALUE($D667&amp;"-01"), "dd-mm-yyyy")),0),0)</f>
        <v>0</v>
      </c>
      <c r="F667" cm="1">
        <f t="array" ref="F667">IF($Q667&gt;=0,IFERROR(generateSalesData($D667, IF(ISNUMBER(_xlfn.XLOOKUP($C667,Phone_by_Sentiment!$B$2:$B$37,Phone_by_Sentiment!F$2:F$37,"",0,1)),_xlfn.XLOOKUP($C667,Phone_by_Sentiment!$B$2:$B$37,Phone_by_Sentiment!F$2:F$37,"",0,1),0),$A667-TEXT(DATEVALUE($D667&amp;"-01"), "dd-mm-yyyy")),0),0)</f>
        <v>0</v>
      </c>
      <c r="G667" cm="1">
        <f t="array" ref="G667">IF($Q667&gt;=0,IFERROR(generateSalesData($D667, IF(ISNUMBER(_xlfn.XLOOKUP($C667,Phone_by_Sentiment!$B$2:$B$37,Phone_by_Sentiment!G$2:G$37,"",0,1)),_xlfn.XLOOKUP($C667,Phone_by_Sentiment!$B$2:$B$37,Phone_by_Sentiment!G$2:G$37,"",0,1),0),$A667-TEXT(DATEVALUE($D667&amp;"-01"), "dd-mm-yyyy")),0),0)</f>
        <v>0</v>
      </c>
      <c r="H667" cm="1">
        <f t="array" ref="H667">IF($Q667&gt;=0,IFERROR(generateSalesData($D667, IF(ISNUMBER(_xlfn.XLOOKUP($C667,Phone_by_Sentiment!$B$2:$B$37,Phone_by_Sentiment!H$2:H$37,"",0,1)),_xlfn.XLOOKUP($C667,Phone_by_Sentiment!$B$2:$B$37,Phone_by_Sentiment!H$2:H$37,"",0,1),0),$A667-TEXT(DATEVALUE($D667&amp;"-01"), "dd-mm-yyyy")),0),0)</f>
        <v>0</v>
      </c>
      <c r="I667" cm="1">
        <f t="array" ref="I667">IF($Q667&gt;=0,IFERROR(generateSalesData($D667, IF(ISNUMBER(_xlfn.XLOOKUP($C667,Phone_by_Sentiment!$B$2:$B$37,Phone_by_Sentiment!I$2:I$37,"",0,1)),_xlfn.XLOOKUP($C667,Phone_by_Sentiment!$B$2:$B$37,Phone_by_Sentiment!I$2:I$37,"",0,1),0),$A667-TEXT(DATEVALUE($D667&amp;"-01"), "dd-mm-yyyy")),0),0)</f>
        <v>0</v>
      </c>
      <c r="J667" cm="1">
        <f t="array" ref="J667">IF($Q667&gt;=0,IFERROR(generateSalesData($D667, IF(ISNUMBER(_xlfn.XLOOKUP($C667,Phone_by_Sentiment!$B$2:$B$37,Phone_by_Sentiment!J$2:J$37,"",0,1)),_xlfn.XLOOKUP($C667,Phone_by_Sentiment!$B$2:$B$37,Phone_by_Sentiment!J$2:J$37,"",0,1),0),$A667-TEXT(DATEVALUE($D667&amp;"-01"), "dd-mm-yyyy")),0),0)</f>
        <v>0</v>
      </c>
      <c r="K667" cm="1">
        <f t="array" ref="K667">IF($Q667&gt;=0,IFERROR(generateSalesData($D667, IF(ISNUMBER(_xlfn.XLOOKUP($C667,Phone_by_Sentiment!$B$2:$B$37,Phone_by_Sentiment!K$2:K$37,"",0,1)),_xlfn.XLOOKUP($C667,Phone_by_Sentiment!$B$2:$B$37,Phone_by_Sentiment!K$2:K$37,"",0,1),0),$A667-TEXT(DATEVALUE($D667&amp;"-01"), "dd-mm-yyyy")),0),0)</f>
        <v>0</v>
      </c>
      <c r="L667" cm="1">
        <f t="array" ref="L667">IF($Q667&gt;=0,IFERROR(generateSalesData($D667, IF(ISNUMBER(_xlfn.XLOOKUP($C667,Phone_by_Sentiment!$B$2:$B$37,Phone_by_Sentiment!L$2:L$37,"",0,1)),_xlfn.XLOOKUP($C667,Phone_by_Sentiment!$B$2:$B$37,Phone_by_Sentiment!L$2:L$37,"",0,1),0),$A667-TEXT(DATEVALUE($D667&amp;"-01"), "dd-mm-yyyy")),0),0)</f>
        <v>0</v>
      </c>
      <c r="M667" cm="1">
        <f t="array" ref="M667">IF($Q667&gt;=0,IFERROR(generateSalesData($D667, IF(ISNUMBER(_xlfn.XLOOKUP($C667,Phone_by_Sentiment!$B$2:$B$37,Phone_by_Sentiment!M$2:M$37,"",0,1)),_xlfn.XLOOKUP($C667,Phone_by_Sentiment!$B$2:$B$37,Phone_by_Sentiment!M$2:M$37,"",0,1),0),$A667-TEXT(DATEVALUE($D667&amp;"-01"), "dd-mm-yyyy")),0),0)</f>
        <v>0</v>
      </c>
      <c r="N667" cm="1">
        <f t="array" ref="N667">IF($Q667&gt;=0,IFERROR(generateSalesData($D667, IF(ISNUMBER(_xlfn.XLOOKUP($C667,Phone_by_Sentiment!$B$2:$B$37,Phone_by_Sentiment!N$2:N$37,"",0,1)),_xlfn.XLOOKUP($C667,Phone_by_Sentiment!$B$2:$B$37,Phone_by_Sentiment!N$2:N$37,"",0,1),0),$A667-TEXT(DATEVALUE($D667&amp;"-01"), "dd-mm-yyyy")),0),0)</f>
        <v>0</v>
      </c>
      <c r="O667" cm="1">
        <f t="array" ref="O667">IF($Q667&gt;=0,IFERROR(generateSalesData($D667, IF(ISNUMBER(_xlfn.XLOOKUP($C667,Phone_by_Sentiment!$B$2:$B$37,Phone_by_Sentiment!O$2:O$37,"",0,1)),_xlfn.XLOOKUP($C667,Phone_by_Sentiment!$B$2:$B$37,Phone_by_Sentiment!O$2:O$37,"",0,1),0),$A667-TEXT(DATEVALUE($D667&amp;"-01"), "dd-mm-yyyy")),0),0)</f>
        <v>0</v>
      </c>
      <c r="P667" s="1">
        <f t="shared" si="28"/>
        <v>44075</v>
      </c>
      <c r="Q667">
        <f t="shared" si="29"/>
        <v>-31</v>
      </c>
    </row>
    <row r="668" spans="1:17" x14ac:dyDescent="0.25">
      <c r="A668" s="1">
        <f t="shared" si="27"/>
        <v>44044</v>
      </c>
      <c r="B668" t="s">
        <v>147</v>
      </c>
      <c r="C668" t="str">
        <f>_xlfn.XLOOKUP(B668,Phone_by_Price!$A$2:$A$34,Phone_by_Price!$B$2:$B$34,"-",0,1)</f>
        <v>Huawei Y9a</v>
      </c>
      <c r="D668" t="str">
        <f>_xlfn.XLOOKUP(C668,Phone_by_Sentiment!$B$2:$B$37,Phone_by_Sentiment!$A$2:$A$37,"-",0,1)</f>
        <v>2020-02</v>
      </c>
      <c r="E668" cm="1">
        <f t="array" ref="E668">IF($Q668&gt;=0,IFERROR(generateSalesData($D668, IF(ISNUMBER(_xlfn.XLOOKUP($C668,Phone_by_Sentiment!$B$2:$B$37,Phone_by_Sentiment!E$2:E$37,"",0,1)),_xlfn.XLOOKUP($C668,Phone_by_Sentiment!$B$2:$B$37,Phone_by_Sentiment!E$2:E$37,"",0,1),0),$A668-TEXT(DATEVALUE($D668&amp;"-01"), "dd-mm-yyyy")),0),0)</f>
        <v>651</v>
      </c>
      <c r="F668" cm="1">
        <f t="array" ref="F668">IF($Q668&gt;=0,IFERROR(generateSalesData($D668, IF(ISNUMBER(_xlfn.XLOOKUP($C668,Phone_by_Sentiment!$B$2:$B$37,Phone_by_Sentiment!F$2:F$37,"",0,1)),_xlfn.XLOOKUP($C668,Phone_by_Sentiment!$B$2:$B$37,Phone_by_Sentiment!F$2:F$37,"",0,1),0),$A668-TEXT(DATEVALUE($D668&amp;"-01"), "dd-mm-yyyy")),0),0)</f>
        <v>1069</v>
      </c>
      <c r="G668" cm="1">
        <f t="array" ref="G668">IF($Q668&gt;=0,IFERROR(generateSalesData($D668, IF(ISNUMBER(_xlfn.XLOOKUP($C668,Phone_by_Sentiment!$B$2:$B$37,Phone_by_Sentiment!G$2:G$37,"",0,1)),_xlfn.XLOOKUP($C668,Phone_by_Sentiment!$B$2:$B$37,Phone_by_Sentiment!G$2:G$37,"",0,1),0),$A668-TEXT(DATEVALUE($D668&amp;"-01"), "dd-mm-yyyy")),0),0)</f>
        <v>595</v>
      </c>
      <c r="H668" cm="1">
        <f t="array" ref="H668">IF($Q668&gt;=0,IFERROR(generateSalesData($D668, IF(ISNUMBER(_xlfn.XLOOKUP($C668,Phone_by_Sentiment!$B$2:$B$37,Phone_by_Sentiment!H$2:H$37,"",0,1)),_xlfn.XLOOKUP($C668,Phone_by_Sentiment!$B$2:$B$37,Phone_by_Sentiment!H$2:H$37,"",0,1),0),$A668-TEXT(DATEVALUE($D668&amp;"-01"), "dd-mm-yyyy")),0),0)</f>
        <v>419</v>
      </c>
      <c r="I668" cm="1">
        <f t="array" ref="I668">IF($Q668&gt;=0,IFERROR(generateSalesData($D668, IF(ISNUMBER(_xlfn.XLOOKUP($C668,Phone_by_Sentiment!$B$2:$B$37,Phone_by_Sentiment!I$2:I$37,"",0,1)),_xlfn.XLOOKUP($C668,Phone_by_Sentiment!$B$2:$B$37,Phone_by_Sentiment!I$2:I$37,"",0,1),0),$A668-TEXT(DATEVALUE($D668&amp;"-01"), "dd-mm-yyyy")),0),0)</f>
        <v>323</v>
      </c>
      <c r="J668" cm="1">
        <f t="array" ref="J668">IF($Q668&gt;=0,IFERROR(generateSalesData($D668, IF(ISNUMBER(_xlfn.XLOOKUP($C668,Phone_by_Sentiment!$B$2:$B$37,Phone_by_Sentiment!J$2:J$37,"",0,1)),_xlfn.XLOOKUP($C668,Phone_by_Sentiment!$B$2:$B$37,Phone_by_Sentiment!J$2:J$37,"",0,1),0),$A668-TEXT(DATEVALUE($D668&amp;"-01"), "dd-mm-yyyy")),0),0)</f>
        <v>200</v>
      </c>
      <c r="K668" cm="1">
        <f t="array" ref="K668">IF($Q668&gt;=0,IFERROR(generateSalesData($D668, IF(ISNUMBER(_xlfn.XLOOKUP($C668,Phone_by_Sentiment!$B$2:$B$37,Phone_by_Sentiment!K$2:K$37,"",0,1)),_xlfn.XLOOKUP($C668,Phone_by_Sentiment!$B$2:$B$37,Phone_by_Sentiment!K$2:K$37,"",0,1),0),$A668-TEXT(DATEVALUE($D668&amp;"-01"), "dd-mm-yyyy")),0),0)</f>
        <v>347</v>
      </c>
      <c r="L668" cm="1">
        <f t="array" ref="L668">IF($Q668&gt;=0,IFERROR(generateSalesData($D668, IF(ISNUMBER(_xlfn.XLOOKUP($C668,Phone_by_Sentiment!$B$2:$B$37,Phone_by_Sentiment!L$2:L$37,"",0,1)),_xlfn.XLOOKUP($C668,Phone_by_Sentiment!$B$2:$B$37,Phone_by_Sentiment!L$2:L$37,"",0,1),0),$A668-TEXT(DATEVALUE($D668&amp;"-01"), "dd-mm-yyyy")),0),0)</f>
        <v>327</v>
      </c>
      <c r="M668" cm="1">
        <f t="array" ref="M668">IF($Q668&gt;=0,IFERROR(generateSalesData($D668, IF(ISNUMBER(_xlfn.XLOOKUP($C668,Phone_by_Sentiment!$B$2:$B$37,Phone_by_Sentiment!M$2:M$37,"",0,1)),_xlfn.XLOOKUP($C668,Phone_by_Sentiment!$B$2:$B$37,Phone_by_Sentiment!M$2:M$37,"",0,1),0),$A668-TEXT(DATEVALUE($D668&amp;"-01"), "dd-mm-yyyy")),0),0)</f>
        <v>115</v>
      </c>
      <c r="N668" cm="1">
        <f t="array" ref="N668">IF($Q668&gt;=0,IFERROR(generateSalesData($D668, IF(ISNUMBER(_xlfn.XLOOKUP($C668,Phone_by_Sentiment!$B$2:$B$37,Phone_by_Sentiment!N$2:N$37,"",0,1)),_xlfn.XLOOKUP($C668,Phone_by_Sentiment!$B$2:$B$37,Phone_by_Sentiment!N$2:N$37,"",0,1),0),$A668-TEXT(DATEVALUE($D668&amp;"-01"), "dd-mm-yyyy")),0),0)</f>
        <v>150</v>
      </c>
      <c r="O668" cm="1">
        <f t="array" ref="O668">IF($Q668&gt;=0,IFERROR(generateSalesData($D668, IF(ISNUMBER(_xlfn.XLOOKUP($C668,Phone_by_Sentiment!$B$2:$B$37,Phone_by_Sentiment!O$2:O$37,"",0,1)),_xlfn.XLOOKUP($C668,Phone_by_Sentiment!$B$2:$B$37,Phone_by_Sentiment!O$2:O$37,"",0,1),0),$A668-TEXT(DATEVALUE($D668&amp;"-01"), "dd-mm-yyyy")),0),0)</f>
        <v>484</v>
      </c>
      <c r="P668" s="1">
        <f t="shared" si="28"/>
        <v>43862</v>
      </c>
      <c r="Q668">
        <f t="shared" si="29"/>
        <v>182</v>
      </c>
    </row>
    <row r="669" spans="1:17" x14ac:dyDescent="0.25">
      <c r="A669" s="1">
        <f t="shared" si="27"/>
        <v>44044</v>
      </c>
      <c r="B669" t="s">
        <v>148</v>
      </c>
      <c r="C669" t="str">
        <f>_xlfn.XLOOKUP(B669,Phone_by_Price!$A$2:$A$34,Phone_by_Price!$B$2:$B$34,"-",0,1)</f>
        <v>Xiaomi Redmi 10</v>
      </c>
      <c r="D669" t="str">
        <f>_xlfn.XLOOKUP(C669,Phone_by_Sentiment!$B$2:$B$37,Phone_by_Sentiment!$A$2:$A$37,"-",0,1)</f>
        <v>2021-03</v>
      </c>
      <c r="E669" cm="1">
        <f t="array" ref="E669">IF($Q669&gt;=0,IFERROR(generateSalesData($D669, IF(ISNUMBER(_xlfn.XLOOKUP($C669,Phone_by_Sentiment!$B$2:$B$37,Phone_by_Sentiment!E$2:E$37,"",0,1)),_xlfn.XLOOKUP($C669,Phone_by_Sentiment!$B$2:$B$37,Phone_by_Sentiment!E$2:E$37,"",0,1),0),$A669-TEXT(DATEVALUE($D669&amp;"-01"), "dd-mm-yyyy")),0),0)</f>
        <v>0</v>
      </c>
      <c r="F669" cm="1">
        <f t="array" ref="F669">IF($Q669&gt;=0,IFERROR(generateSalesData($D669, IF(ISNUMBER(_xlfn.XLOOKUP($C669,Phone_by_Sentiment!$B$2:$B$37,Phone_by_Sentiment!F$2:F$37,"",0,1)),_xlfn.XLOOKUP($C669,Phone_by_Sentiment!$B$2:$B$37,Phone_by_Sentiment!F$2:F$37,"",0,1),0),$A669-TEXT(DATEVALUE($D669&amp;"-01"), "dd-mm-yyyy")),0),0)</f>
        <v>0</v>
      </c>
      <c r="G669" cm="1">
        <f t="array" ref="G669">IF($Q669&gt;=0,IFERROR(generateSalesData($D669, IF(ISNUMBER(_xlfn.XLOOKUP($C669,Phone_by_Sentiment!$B$2:$B$37,Phone_by_Sentiment!G$2:G$37,"",0,1)),_xlfn.XLOOKUP($C669,Phone_by_Sentiment!$B$2:$B$37,Phone_by_Sentiment!G$2:G$37,"",0,1),0),$A669-TEXT(DATEVALUE($D669&amp;"-01"), "dd-mm-yyyy")),0),0)</f>
        <v>0</v>
      </c>
      <c r="H669" cm="1">
        <f t="array" ref="H669">IF($Q669&gt;=0,IFERROR(generateSalesData($D669, IF(ISNUMBER(_xlfn.XLOOKUP($C669,Phone_by_Sentiment!$B$2:$B$37,Phone_by_Sentiment!H$2:H$37,"",0,1)),_xlfn.XLOOKUP($C669,Phone_by_Sentiment!$B$2:$B$37,Phone_by_Sentiment!H$2:H$37,"",0,1),0),$A669-TEXT(DATEVALUE($D669&amp;"-01"), "dd-mm-yyyy")),0),0)</f>
        <v>0</v>
      </c>
      <c r="I669" cm="1">
        <f t="array" ref="I669">IF($Q669&gt;=0,IFERROR(generateSalesData($D669, IF(ISNUMBER(_xlfn.XLOOKUP($C669,Phone_by_Sentiment!$B$2:$B$37,Phone_by_Sentiment!I$2:I$37,"",0,1)),_xlfn.XLOOKUP($C669,Phone_by_Sentiment!$B$2:$B$37,Phone_by_Sentiment!I$2:I$37,"",0,1),0),$A669-TEXT(DATEVALUE($D669&amp;"-01"), "dd-mm-yyyy")),0),0)</f>
        <v>0</v>
      </c>
      <c r="J669" cm="1">
        <f t="array" ref="J669">IF($Q669&gt;=0,IFERROR(generateSalesData($D669, IF(ISNUMBER(_xlfn.XLOOKUP($C669,Phone_by_Sentiment!$B$2:$B$37,Phone_by_Sentiment!J$2:J$37,"",0,1)),_xlfn.XLOOKUP($C669,Phone_by_Sentiment!$B$2:$B$37,Phone_by_Sentiment!J$2:J$37,"",0,1),0),$A669-TEXT(DATEVALUE($D669&amp;"-01"), "dd-mm-yyyy")),0),0)</f>
        <v>0</v>
      </c>
      <c r="K669" cm="1">
        <f t="array" ref="K669">IF($Q669&gt;=0,IFERROR(generateSalesData($D669, IF(ISNUMBER(_xlfn.XLOOKUP($C669,Phone_by_Sentiment!$B$2:$B$37,Phone_by_Sentiment!K$2:K$37,"",0,1)),_xlfn.XLOOKUP($C669,Phone_by_Sentiment!$B$2:$B$37,Phone_by_Sentiment!K$2:K$37,"",0,1),0),$A669-TEXT(DATEVALUE($D669&amp;"-01"), "dd-mm-yyyy")),0),0)</f>
        <v>0</v>
      </c>
      <c r="L669" cm="1">
        <f t="array" ref="L669">IF($Q669&gt;=0,IFERROR(generateSalesData($D669, IF(ISNUMBER(_xlfn.XLOOKUP($C669,Phone_by_Sentiment!$B$2:$B$37,Phone_by_Sentiment!L$2:L$37,"",0,1)),_xlfn.XLOOKUP($C669,Phone_by_Sentiment!$B$2:$B$37,Phone_by_Sentiment!L$2:L$37,"",0,1),0),$A669-TEXT(DATEVALUE($D669&amp;"-01"), "dd-mm-yyyy")),0),0)</f>
        <v>0</v>
      </c>
      <c r="M669" cm="1">
        <f t="array" ref="M669">IF($Q669&gt;=0,IFERROR(generateSalesData($D669, IF(ISNUMBER(_xlfn.XLOOKUP($C669,Phone_by_Sentiment!$B$2:$B$37,Phone_by_Sentiment!M$2:M$37,"",0,1)),_xlfn.XLOOKUP($C669,Phone_by_Sentiment!$B$2:$B$37,Phone_by_Sentiment!M$2:M$37,"",0,1),0),$A669-TEXT(DATEVALUE($D669&amp;"-01"), "dd-mm-yyyy")),0),0)</f>
        <v>0</v>
      </c>
      <c r="N669" cm="1">
        <f t="array" ref="N669">IF($Q669&gt;=0,IFERROR(generateSalesData($D669, IF(ISNUMBER(_xlfn.XLOOKUP($C669,Phone_by_Sentiment!$B$2:$B$37,Phone_by_Sentiment!N$2:N$37,"",0,1)),_xlfn.XLOOKUP($C669,Phone_by_Sentiment!$B$2:$B$37,Phone_by_Sentiment!N$2:N$37,"",0,1),0),$A669-TEXT(DATEVALUE($D669&amp;"-01"), "dd-mm-yyyy")),0),0)</f>
        <v>0</v>
      </c>
      <c r="O669" cm="1">
        <f t="array" ref="O669">IF($Q669&gt;=0,IFERROR(generateSalesData($D669, IF(ISNUMBER(_xlfn.XLOOKUP($C669,Phone_by_Sentiment!$B$2:$B$37,Phone_by_Sentiment!O$2:O$37,"",0,1)),_xlfn.XLOOKUP($C669,Phone_by_Sentiment!$B$2:$B$37,Phone_by_Sentiment!O$2:O$37,"",0,1),0),$A669-TEXT(DATEVALUE($D669&amp;"-01"), "dd-mm-yyyy")),0),0)</f>
        <v>0</v>
      </c>
      <c r="P669" s="1">
        <f t="shared" si="28"/>
        <v>44256</v>
      </c>
      <c r="Q669">
        <f t="shared" si="29"/>
        <v>-212</v>
      </c>
    </row>
    <row r="670" spans="1:17" x14ac:dyDescent="0.25">
      <c r="A670" s="1">
        <f t="shared" si="27"/>
        <v>44044</v>
      </c>
      <c r="B670" t="s">
        <v>149</v>
      </c>
      <c r="C670" t="str">
        <f>_xlfn.XLOOKUP(B670,Phone_by_Price!$A$2:$A$34,Phone_by_Price!$B$2:$B$34,"-",0,1)</f>
        <v>Samsung Galaxy A52</v>
      </c>
      <c r="D670" t="str">
        <f>_xlfn.XLOOKUP(C670,Phone_by_Sentiment!$B$2:$B$37,Phone_by_Sentiment!$A$2:$A$37,"-",0,1)</f>
        <v>2021-03</v>
      </c>
      <c r="E670" cm="1">
        <f t="array" ref="E670">IF($Q670&gt;=0,IFERROR(generateSalesData($D670, IF(ISNUMBER(_xlfn.XLOOKUP($C670,Phone_by_Sentiment!$B$2:$B$37,Phone_by_Sentiment!E$2:E$37,"",0,1)),_xlfn.XLOOKUP($C670,Phone_by_Sentiment!$B$2:$B$37,Phone_by_Sentiment!E$2:E$37,"",0,1),0),$A670-TEXT(DATEVALUE($D670&amp;"-01"), "dd-mm-yyyy")),0),0)</f>
        <v>0</v>
      </c>
      <c r="F670" cm="1">
        <f t="array" ref="F670">IF($Q670&gt;=0,IFERROR(generateSalesData($D670, IF(ISNUMBER(_xlfn.XLOOKUP($C670,Phone_by_Sentiment!$B$2:$B$37,Phone_by_Sentiment!F$2:F$37,"",0,1)),_xlfn.XLOOKUP($C670,Phone_by_Sentiment!$B$2:$B$37,Phone_by_Sentiment!F$2:F$37,"",0,1),0),$A670-TEXT(DATEVALUE($D670&amp;"-01"), "dd-mm-yyyy")),0),0)</f>
        <v>0</v>
      </c>
      <c r="G670" cm="1">
        <f t="array" ref="G670">IF($Q670&gt;=0,IFERROR(generateSalesData($D670, IF(ISNUMBER(_xlfn.XLOOKUP($C670,Phone_by_Sentiment!$B$2:$B$37,Phone_by_Sentiment!G$2:G$37,"",0,1)),_xlfn.XLOOKUP($C670,Phone_by_Sentiment!$B$2:$B$37,Phone_by_Sentiment!G$2:G$37,"",0,1),0),$A670-TEXT(DATEVALUE($D670&amp;"-01"), "dd-mm-yyyy")),0),0)</f>
        <v>0</v>
      </c>
      <c r="H670" cm="1">
        <f t="array" ref="H670">IF($Q670&gt;=0,IFERROR(generateSalesData($D670, IF(ISNUMBER(_xlfn.XLOOKUP($C670,Phone_by_Sentiment!$B$2:$B$37,Phone_by_Sentiment!H$2:H$37,"",0,1)),_xlfn.XLOOKUP($C670,Phone_by_Sentiment!$B$2:$B$37,Phone_by_Sentiment!H$2:H$37,"",0,1),0),$A670-TEXT(DATEVALUE($D670&amp;"-01"), "dd-mm-yyyy")),0),0)</f>
        <v>0</v>
      </c>
      <c r="I670" cm="1">
        <f t="array" ref="I670">IF($Q670&gt;=0,IFERROR(generateSalesData($D670, IF(ISNUMBER(_xlfn.XLOOKUP($C670,Phone_by_Sentiment!$B$2:$B$37,Phone_by_Sentiment!I$2:I$37,"",0,1)),_xlfn.XLOOKUP($C670,Phone_by_Sentiment!$B$2:$B$37,Phone_by_Sentiment!I$2:I$37,"",0,1),0),$A670-TEXT(DATEVALUE($D670&amp;"-01"), "dd-mm-yyyy")),0),0)</f>
        <v>0</v>
      </c>
      <c r="J670" cm="1">
        <f t="array" ref="J670">IF($Q670&gt;=0,IFERROR(generateSalesData($D670, IF(ISNUMBER(_xlfn.XLOOKUP($C670,Phone_by_Sentiment!$B$2:$B$37,Phone_by_Sentiment!J$2:J$37,"",0,1)),_xlfn.XLOOKUP($C670,Phone_by_Sentiment!$B$2:$B$37,Phone_by_Sentiment!J$2:J$37,"",0,1),0),$A670-TEXT(DATEVALUE($D670&amp;"-01"), "dd-mm-yyyy")),0),0)</f>
        <v>0</v>
      </c>
      <c r="K670" cm="1">
        <f t="array" ref="K670">IF($Q670&gt;=0,IFERROR(generateSalesData($D670, IF(ISNUMBER(_xlfn.XLOOKUP($C670,Phone_by_Sentiment!$B$2:$B$37,Phone_by_Sentiment!K$2:K$37,"",0,1)),_xlfn.XLOOKUP($C670,Phone_by_Sentiment!$B$2:$B$37,Phone_by_Sentiment!K$2:K$37,"",0,1),0),$A670-TEXT(DATEVALUE($D670&amp;"-01"), "dd-mm-yyyy")),0),0)</f>
        <v>0</v>
      </c>
      <c r="L670" cm="1">
        <f t="array" ref="L670">IF($Q670&gt;=0,IFERROR(generateSalesData($D670, IF(ISNUMBER(_xlfn.XLOOKUP($C670,Phone_by_Sentiment!$B$2:$B$37,Phone_by_Sentiment!L$2:L$37,"",0,1)),_xlfn.XLOOKUP($C670,Phone_by_Sentiment!$B$2:$B$37,Phone_by_Sentiment!L$2:L$37,"",0,1),0),$A670-TEXT(DATEVALUE($D670&amp;"-01"), "dd-mm-yyyy")),0),0)</f>
        <v>0</v>
      </c>
      <c r="M670" cm="1">
        <f t="array" ref="M670">IF($Q670&gt;=0,IFERROR(generateSalesData($D670, IF(ISNUMBER(_xlfn.XLOOKUP($C670,Phone_by_Sentiment!$B$2:$B$37,Phone_by_Sentiment!M$2:M$37,"",0,1)),_xlfn.XLOOKUP($C670,Phone_by_Sentiment!$B$2:$B$37,Phone_by_Sentiment!M$2:M$37,"",0,1),0),$A670-TEXT(DATEVALUE($D670&amp;"-01"), "dd-mm-yyyy")),0),0)</f>
        <v>0</v>
      </c>
      <c r="N670" cm="1">
        <f t="array" ref="N670">IF($Q670&gt;=0,IFERROR(generateSalesData($D670, IF(ISNUMBER(_xlfn.XLOOKUP($C670,Phone_by_Sentiment!$B$2:$B$37,Phone_by_Sentiment!N$2:N$37,"",0,1)),_xlfn.XLOOKUP($C670,Phone_by_Sentiment!$B$2:$B$37,Phone_by_Sentiment!N$2:N$37,"",0,1),0),$A670-TEXT(DATEVALUE($D670&amp;"-01"), "dd-mm-yyyy")),0),0)</f>
        <v>0</v>
      </c>
      <c r="O670" cm="1">
        <f t="array" ref="O670">IF($Q670&gt;=0,IFERROR(generateSalesData($D670, IF(ISNUMBER(_xlfn.XLOOKUP($C670,Phone_by_Sentiment!$B$2:$B$37,Phone_by_Sentiment!O$2:O$37,"",0,1)),_xlfn.XLOOKUP($C670,Phone_by_Sentiment!$B$2:$B$37,Phone_by_Sentiment!O$2:O$37,"",0,1),0),$A670-TEXT(DATEVALUE($D670&amp;"-01"), "dd-mm-yyyy")),0),0)</f>
        <v>0</v>
      </c>
      <c r="P670" s="1">
        <f t="shared" si="28"/>
        <v>44256</v>
      </c>
      <c r="Q670">
        <f t="shared" si="29"/>
        <v>-212</v>
      </c>
    </row>
    <row r="671" spans="1:17" x14ac:dyDescent="0.25">
      <c r="A671" s="1">
        <f t="shared" si="27"/>
        <v>44044</v>
      </c>
      <c r="B671" t="s">
        <v>150</v>
      </c>
      <c r="C671" t="str">
        <f>_xlfn.XLOOKUP(B671,Phone_by_Price!$A$2:$A$34,Phone_by_Price!$B$2:$B$34,"-",0,1)</f>
        <v>Vivo Y33s</v>
      </c>
      <c r="D671" t="str">
        <f>_xlfn.XLOOKUP(C671,Phone_by_Sentiment!$B$2:$B$37,Phone_by_Sentiment!$A$2:$A$37,"-",0,1)</f>
        <v>2021-05</v>
      </c>
      <c r="E671" cm="1">
        <f t="array" ref="E671">IF($Q671&gt;=0,IFERROR(generateSalesData($D671, IF(ISNUMBER(_xlfn.XLOOKUP($C671,Phone_by_Sentiment!$B$2:$B$37,Phone_by_Sentiment!E$2:E$37,"",0,1)),_xlfn.XLOOKUP($C671,Phone_by_Sentiment!$B$2:$B$37,Phone_by_Sentiment!E$2:E$37,"",0,1),0),$A671-TEXT(DATEVALUE($D671&amp;"-01"), "dd-mm-yyyy")),0),0)</f>
        <v>0</v>
      </c>
      <c r="F671" cm="1">
        <f t="array" ref="F671">IF($Q671&gt;=0,IFERROR(generateSalesData($D671, IF(ISNUMBER(_xlfn.XLOOKUP($C671,Phone_by_Sentiment!$B$2:$B$37,Phone_by_Sentiment!F$2:F$37,"",0,1)),_xlfn.XLOOKUP($C671,Phone_by_Sentiment!$B$2:$B$37,Phone_by_Sentiment!F$2:F$37,"",0,1),0),$A671-TEXT(DATEVALUE($D671&amp;"-01"), "dd-mm-yyyy")),0),0)</f>
        <v>0</v>
      </c>
      <c r="G671" cm="1">
        <f t="array" ref="G671">IF($Q671&gt;=0,IFERROR(generateSalesData($D671, IF(ISNUMBER(_xlfn.XLOOKUP($C671,Phone_by_Sentiment!$B$2:$B$37,Phone_by_Sentiment!G$2:G$37,"",0,1)),_xlfn.XLOOKUP($C671,Phone_by_Sentiment!$B$2:$B$37,Phone_by_Sentiment!G$2:G$37,"",0,1),0),$A671-TEXT(DATEVALUE($D671&amp;"-01"), "dd-mm-yyyy")),0),0)</f>
        <v>0</v>
      </c>
      <c r="H671" cm="1">
        <f t="array" ref="H671">IF($Q671&gt;=0,IFERROR(generateSalesData($D671, IF(ISNUMBER(_xlfn.XLOOKUP($C671,Phone_by_Sentiment!$B$2:$B$37,Phone_by_Sentiment!H$2:H$37,"",0,1)),_xlfn.XLOOKUP($C671,Phone_by_Sentiment!$B$2:$B$37,Phone_by_Sentiment!H$2:H$37,"",0,1),0),$A671-TEXT(DATEVALUE($D671&amp;"-01"), "dd-mm-yyyy")),0),0)</f>
        <v>0</v>
      </c>
      <c r="I671" cm="1">
        <f t="array" ref="I671">IF($Q671&gt;=0,IFERROR(generateSalesData($D671, IF(ISNUMBER(_xlfn.XLOOKUP($C671,Phone_by_Sentiment!$B$2:$B$37,Phone_by_Sentiment!I$2:I$37,"",0,1)),_xlfn.XLOOKUP($C671,Phone_by_Sentiment!$B$2:$B$37,Phone_by_Sentiment!I$2:I$37,"",0,1),0),$A671-TEXT(DATEVALUE($D671&amp;"-01"), "dd-mm-yyyy")),0),0)</f>
        <v>0</v>
      </c>
      <c r="J671" cm="1">
        <f t="array" ref="J671">IF($Q671&gt;=0,IFERROR(generateSalesData($D671, IF(ISNUMBER(_xlfn.XLOOKUP($C671,Phone_by_Sentiment!$B$2:$B$37,Phone_by_Sentiment!J$2:J$37,"",0,1)),_xlfn.XLOOKUP($C671,Phone_by_Sentiment!$B$2:$B$37,Phone_by_Sentiment!J$2:J$37,"",0,1),0),$A671-TEXT(DATEVALUE($D671&amp;"-01"), "dd-mm-yyyy")),0),0)</f>
        <v>0</v>
      </c>
      <c r="K671" cm="1">
        <f t="array" ref="K671">IF($Q671&gt;=0,IFERROR(generateSalesData($D671, IF(ISNUMBER(_xlfn.XLOOKUP($C671,Phone_by_Sentiment!$B$2:$B$37,Phone_by_Sentiment!K$2:K$37,"",0,1)),_xlfn.XLOOKUP($C671,Phone_by_Sentiment!$B$2:$B$37,Phone_by_Sentiment!K$2:K$37,"",0,1),0),$A671-TEXT(DATEVALUE($D671&amp;"-01"), "dd-mm-yyyy")),0),0)</f>
        <v>0</v>
      </c>
      <c r="L671" cm="1">
        <f t="array" ref="L671">IF($Q671&gt;=0,IFERROR(generateSalesData($D671, IF(ISNUMBER(_xlfn.XLOOKUP($C671,Phone_by_Sentiment!$B$2:$B$37,Phone_by_Sentiment!L$2:L$37,"",0,1)),_xlfn.XLOOKUP($C671,Phone_by_Sentiment!$B$2:$B$37,Phone_by_Sentiment!L$2:L$37,"",0,1),0),$A671-TEXT(DATEVALUE($D671&amp;"-01"), "dd-mm-yyyy")),0),0)</f>
        <v>0</v>
      </c>
      <c r="M671" cm="1">
        <f t="array" ref="M671">IF($Q671&gt;=0,IFERROR(generateSalesData($D671, IF(ISNUMBER(_xlfn.XLOOKUP($C671,Phone_by_Sentiment!$B$2:$B$37,Phone_by_Sentiment!M$2:M$37,"",0,1)),_xlfn.XLOOKUP($C671,Phone_by_Sentiment!$B$2:$B$37,Phone_by_Sentiment!M$2:M$37,"",0,1),0),$A671-TEXT(DATEVALUE($D671&amp;"-01"), "dd-mm-yyyy")),0),0)</f>
        <v>0</v>
      </c>
      <c r="N671" cm="1">
        <f t="array" ref="N671">IF($Q671&gt;=0,IFERROR(generateSalesData($D671, IF(ISNUMBER(_xlfn.XLOOKUP($C671,Phone_by_Sentiment!$B$2:$B$37,Phone_by_Sentiment!N$2:N$37,"",0,1)),_xlfn.XLOOKUP($C671,Phone_by_Sentiment!$B$2:$B$37,Phone_by_Sentiment!N$2:N$37,"",0,1),0),$A671-TEXT(DATEVALUE($D671&amp;"-01"), "dd-mm-yyyy")),0),0)</f>
        <v>0</v>
      </c>
      <c r="O671" cm="1">
        <f t="array" ref="O671">IF($Q671&gt;=0,IFERROR(generateSalesData($D671, IF(ISNUMBER(_xlfn.XLOOKUP($C671,Phone_by_Sentiment!$B$2:$B$37,Phone_by_Sentiment!O$2:O$37,"",0,1)),_xlfn.XLOOKUP($C671,Phone_by_Sentiment!$B$2:$B$37,Phone_by_Sentiment!O$2:O$37,"",0,1),0),$A671-TEXT(DATEVALUE($D671&amp;"-01"), "dd-mm-yyyy")),0),0)</f>
        <v>0</v>
      </c>
      <c r="P671" s="1">
        <f t="shared" si="28"/>
        <v>44317</v>
      </c>
      <c r="Q671">
        <f t="shared" si="29"/>
        <v>-273</v>
      </c>
    </row>
    <row r="672" spans="1:17" x14ac:dyDescent="0.25">
      <c r="A672" s="1">
        <f t="shared" si="27"/>
        <v>44044</v>
      </c>
      <c r="B672" t="s">
        <v>151</v>
      </c>
      <c r="C672" t="str">
        <f>_xlfn.XLOOKUP(B672,Phone_by_Price!$A$2:$A$34,Phone_by_Price!$B$2:$B$34,"-",0,1)</f>
        <v>Vivo Y11s</v>
      </c>
      <c r="D672" t="str">
        <f>_xlfn.XLOOKUP(C672,Phone_by_Sentiment!$B$2:$B$37,Phone_by_Sentiment!$A$2:$A$37,"-",0,1)</f>
        <v>2020-11</v>
      </c>
      <c r="E672" cm="1">
        <f t="array" ref="E672">IF($Q672&gt;=0,IFERROR(generateSalesData($D672, IF(ISNUMBER(_xlfn.XLOOKUP($C672,Phone_by_Sentiment!$B$2:$B$37,Phone_by_Sentiment!E$2:E$37,"",0,1)),_xlfn.XLOOKUP($C672,Phone_by_Sentiment!$B$2:$B$37,Phone_by_Sentiment!E$2:E$37,"",0,1),0),$A672-TEXT(DATEVALUE($D672&amp;"-01"), "dd-mm-yyyy")),0),0)</f>
        <v>0</v>
      </c>
      <c r="F672" cm="1">
        <f t="array" ref="F672">IF($Q672&gt;=0,IFERROR(generateSalesData($D672, IF(ISNUMBER(_xlfn.XLOOKUP($C672,Phone_by_Sentiment!$B$2:$B$37,Phone_by_Sentiment!F$2:F$37,"",0,1)),_xlfn.XLOOKUP($C672,Phone_by_Sentiment!$B$2:$B$37,Phone_by_Sentiment!F$2:F$37,"",0,1),0),$A672-TEXT(DATEVALUE($D672&amp;"-01"), "dd-mm-yyyy")),0),0)</f>
        <v>0</v>
      </c>
      <c r="G672" cm="1">
        <f t="array" ref="G672">IF($Q672&gt;=0,IFERROR(generateSalesData($D672, IF(ISNUMBER(_xlfn.XLOOKUP($C672,Phone_by_Sentiment!$B$2:$B$37,Phone_by_Sentiment!G$2:G$37,"",0,1)),_xlfn.XLOOKUP($C672,Phone_by_Sentiment!$B$2:$B$37,Phone_by_Sentiment!G$2:G$37,"",0,1),0),$A672-TEXT(DATEVALUE($D672&amp;"-01"), "dd-mm-yyyy")),0),0)</f>
        <v>0</v>
      </c>
      <c r="H672" cm="1">
        <f t="array" ref="H672">IF($Q672&gt;=0,IFERROR(generateSalesData($D672, IF(ISNUMBER(_xlfn.XLOOKUP($C672,Phone_by_Sentiment!$B$2:$B$37,Phone_by_Sentiment!H$2:H$37,"",0,1)),_xlfn.XLOOKUP($C672,Phone_by_Sentiment!$B$2:$B$37,Phone_by_Sentiment!H$2:H$37,"",0,1),0),$A672-TEXT(DATEVALUE($D672&amp;"-01"), "dd-mm-yyyy")),0),0)</f>
        <v>0</v>
      </c>
      <c r="I672" cm="1">
        <f t="array" ref="I672">IF($Q672&gt;=0,IFERROR(generateSalesData($D672, IF(ISNUMBER(_xlfn.XLOOKUP($C672,Phone_by_Sentiment!$B$2:$B$37,Phone_by_Sentiment!I$2:I$37,"",0,1)),_xlfn.XLOOKUP($C672,Phone_by_Sentiment!$B$2:$B$37,Phone_by_Sentiment!I$2:I$37,"",0,1),0),$A672-TEXT(DATEVALUE($D672&amp;"-01"), "dd-mm-yyyy")),0),0)</f>
        <v>0</v>
      </c>
      <c r="J672" cm="1">
        <f t="array" ref="J672">IF($Q672&gt;=0,IFERROR(generateSalesData($D672, IF(ISNUMBER(_xlfn.XLOOKUP($C672,Phone_by_Sentiment!$B$2:$B$37,Phone_by_Sentiment!J$2:J$37,"",0,1)),_xlfn.XLOOKUP($C672,Phone_by_Sentiment!$B$2:$B$37,Phone_by_Sentiment!J$2:J$37,"",0,1),0),$A672-TEXT(DATEVALUE($D672&amp;"-01"), "dd-mm-yyyy")),0),0)</f>
        <v>0</v>
      </c>
      <c r="K672" cm="1">
        <f t="array" ref="K672">IF($Q672&gt;=0,IFERROR(generateSalesData($D672, IF(ISNUMBER(_xlfn.XLOOKUP($C672,Phone_by_Sentiment!$B$2:$B$37,Phone_by_Sentiment!K$2:K$37,"",0,1)),_xlfn.XLOOKUP($C672,Phone_by_Sentiment!$B$2:$B$37,Phone_by_Sentiment!K$2:K$37,"",0,1),0),$A672-TEXT(DATEVALUE($D672&amp;"-01"), "dd-mm-yyyy")),0),0)</f>
        <v>0</v>
      </c>
      <c r="L672" cm="1">
        <f t="array" ref="L672">IF($Q672&gt;=0,IFERROR(generateSalesData($D672, IF(ISNUMBER(_xlfn.XLOOKUP($C672,Phone_by_Sentiment!$B$2:$B$37,Phone_by_Sentiment!L$2:L$37,"",0,1)),_xlfn.XLOOKUP($C672,Phone_by_Sentiment!$B$2:$B$37,Phone_by_Sentiment!L$2:L$37,"",0,1),0),$A672-TEXT(DATEVALUE($D672&amp;"-01"), "dd-mm-yyyy")),0),0)</f>
        <v>0</v>
      </c>
      <c r="M672" cm="1">
        <f t="array" ref="M672">IF($Q672&gt;=0,IFERROR(generateSalesData($D672, IF(ISNUMBER(_xlfn.XLOOKUP($C672,Phone_by_Sentiment!$B$2:$B$37,Phone_by_Sentiment!M$2:M$37,"",0,1)),_xlfn.XLOOKUP($C672,Phone_by_Sentiment!$B$2:$B$37,Phone_by_Sentiment!M$2:M$37,"",0,1),0),$A672-TEXT(DATEVALUE($D672&amp;"-01"), "dd-mm-yyyy")),0),0)</f>
        <v>0</v>
      </c>
      <c r="N672" cm="1">
        <f t="array" ref="N672">IF($Q672&gt;=0,IFERROR(generateSalesData($D672, IF(ISNUMBER(_xlfn.XLOOKUP($C672,Phone_by_Sentiment!$B$2:$B$37,Phone_by_Sentiment!N$2:N$37,"",0,1)),_xlfn.XLOOKUP($C672,Phone_by_Sentiment!$B$2:$B$37,Phone_by_Sentiment!N$2:N$37,"",0,1),0),$A672-TEXT(DATEVALUE($D672&amp;"-01"), "dd-mm-yyyy")),0),0)</f>
        <v>0</v>
      </c>
      <c r="O672" cm="1">
        <f t="array" ref="O672">IF($Q672&gt;=0,IFERROR(generateSalesData($D672, IF(ISNUMBER(_xlfn.XLOOKUP($C672,Phone_by_Sentiment!$B$2:$B$37,Phone_by_Sentiment!O$2:O$37,"",0,1)),_xlfn.XLOOKUP($C672,Phone_by_Sentiment!$B$2:$B$37,Phone_by_Sentiment!O$2:O$37,"",0,1),0),$A672-TEXT(DATEVALUE($D672&amp;"-01"), "dd-mm-yyyy")),0),0)</f>
        <v>0</v>
      </c>
      <c r="P672" s="1">
        <f t="shared" si="28"/>
        <v>44136</v>
      </c>
      <c r="Q672">
        <f t="shared" si="29"/>
        <v>-92</v>
      </c>
    </row>
    <row r="673" spans="1:17" x14ac:dyDescent="0.25">
      <c r="A673" s="1">
        <f t="shared" si="27"/>
        <v>44044</v>
      </c>
      <c r="B673" t="s">
        <v>152</v>
      </c>
      <c r="C673" t="str">
        <f>_xlfn.XLOOKUP(B673,Phone_by_Price!$A$2:$A$34,Phone_by_Price!$B$2:$B$34,"-",0,1)</f>
        <v>Huawei Nova 7i</v>
      </c>
      <c r="D673" t="str">
        <f>_xlfn.XLOOKUP(C673,Phone_by_Sentiment!$B$2:$B$37,Phone_by_Sentiment!$A$2:$A$37,"-",0,1)</f>
        <v>2020-02</v>
      </c>
      <c r="E673" cm="1">
        <f t="array" ref="E673">IF($Q673&gt;=0,IFERROR(generateSalesData($D673, IF(ISNUMBER(_xlfn.XLOOKUP($C673,Phone_by_Sentiment!$B$2:$B$37,Phone_by_Sentiment!E$2:E$37,"",0,1)),_xlfn.XLOOKUP($C673,Phone_by_Sentiment!$B$2:$B$37,Phone_by_Sentiment!E$2:E$37,"",0,1),0),$A673-TEXT(DATEVALUE($D673&amp;"-01"), "dd-mm-yyyy")),0),0)</f>
        <v>292</v>
      </c>
      <c r="F673" cm="1">
        <f t="array" ref="F673">IF($Q673&gt;=0,IFERROR(generateSalesData($D673, IF(ISNUMBER(_xlfn.XLOOKUP($C673,Phone_by_Sentiment!$B$2:$B$37,Phone_by_Sentiment!F$2:F$37,"",0,1)),_xlfn.XLOOKUP($C673,Phone_by_Sentiment!$B$2:$B$37,Phone_by_Sentiment!F$2:F$37,"",0,1),0),$A673-TEXT(DATEVALUE($D673&amp;"-01"), "dd-mm-yyyy")),0),0)</f>
        <v>226</v>
      </c>
      <c r="G673" cm="1">
        <f t="array" ref="G673">IF($Q673&gt;=0,IFERROR(generateSalesData($D673, IF(ISNUMBER(_xlfn.XLOOKUP($C673,Phone_by_Sentiment!$B$2:$B$37,Phone_by_Sentiment!G$2:G$37,"",0,1)),_xlfn.XLOOKUP($C673,Phone_by_Sentiment!$B$2:$B$37,Phone_by_Sentiment!G$2:G$37,"",0,1),0),$A673-TEXT(DATEVALUE($D673&amp;"-01"), "dd-mm-yyyy")),0),0)</f>
        <v>98</v>
      </c>
      <c r="H673" cm="1">
        <f t="array" ref="H673">IF($Q673&gt;=0,IFERROR(generateSalesData($D673, IF(ISNUMBER(_xlfn.XLOOKUP($C673,Phone_by_Sentiment!$B$2:$B$37,Phone_by_Sentiment!H$2:H$37,"",0,1)),_xlfn.XLOOKUP($C673,Phone_by_Sentiment!$B$2:$B$37,Phone_by_Sentiment!H$2:H$37,"",0,1),0),$A673-TEXT(DATEVALUE($D673&amp;"-01"), "dd-mm-yyyy")),0),0)</f>
        <v>644</v>
      </c>
      <c r="I673" cm="1">
        <f t="array" ref="I673">IF($Q673&gt;=0,IFERROR(generateSalesData($D673, IF(ISNUMBER(_xlfn.XLOOKUP($C673,Phone_by_Sentiment!$B$2:$B$37,Phone_by_Sentiment!I$2:I$37,"",0,1)),_xlfn.XLOOKUP($C673,Phone_by_Sentiment!$B$2:$B$37,Phone_by_Sentiment!I$2:I$37,"",0,1),0),$A673-TEXT(DATEVALUE($D673&amp;"-01"), "dd-mm-yyyy")),0),0)</f>
        <v>130</v>
      </c>
      <c r="J673" cm="1">
        <f t="array" ref="J673">IF($Q673&gt;=0,IFERROR(generateSalesData($D673, IF(ISNUMBER(_xlfn.XLOOKUP($C673,Phone_by_Sentiment!$B$2:$B$37,Phone_by_Sentiment!J$2:J$37,"",0,1)),_xlfn.XLOOKUP($C673,Phone_by_Sentiment!$B$2:$B$37,Phone_by_Sentiment!J$2:J$37,"",0,1),0),$A673-TEXT(DATEVALUE($D673&amp;"-01"), "dd-mm-yyyy")),0),0)</f>
        <v>350</v>
      </c>
      <c r="K673" cm="1">
        <f t="array" ref="K673">IF($Q673&gt;=0,IFERROR(generateSalesData($D673, IF(ISNUMBER(_xlfn.XLOOKUP($C673,Phone_by_Sentiment!$B$2:$B$37,Phone_by_Sentiment!K$2:K$37,"",0,1)),_xlfn.XLOOKUP($C673,Phone_by_Sentiment!$B$2:$B$37,Phone_by_Sentiment!K$2:K$37,"",0,1),0),$A673-TEXT(DATEVALUE($D673&amp;"-01"), "dd-mm-yyyy")),0),0)</f>
        <v>81</v>
      </c>
      <c r="L673" cm="1">
        <f t="array" ref="L673">IF($Q673&gt;=0,IFERROR(generateSalesData($D673, IF(ISNUMBER(_xlfn.XLOOKUP($C673,Phone_by_Sentiment!$B$2:$B$37,Phone_by_Sentiment!L$2:L$37,"",0,1)),_xlfn.XLOOKUP($C673,Phone_by_Sentiment!$B$2:$B$37,Phone_by_Sentiment!L$2:L$37,"",0,1),0),$A673-TEXT(DATEVALUE($D673&amp;"-01"), "dd-mm-yyyy")),0),0)</f>
        <v>613</v>
      </c>
      <c r="M673" cm="1">
        <f t="array" ref="M673">IF($Q673&gt;=0,IFERROR(generateSalesData($D673, IF(ISNUMBER(_xlfn.XLOOKUP($C673,Phone_by_Sentiment!$B$2:$B$37,Phone_by_Sentiment!M$2:M$37,"",0,1)),_xlfn.XLOOKUP($C673,Phone_by_Sentiment!$B$2:$B$37,Phone_by_Sentiment!M$2:M$37,"",0,1),0),$A673-TEXT(DATEVALUE($D673&amp;"-01"), "dd-mm-yyyy")),0),0)</f>
        <v>395</v>
      </c>
      <c r="N673" cm="1">
        <f t="array" ref="N673">IF($Q673&gt;=0,IFERROR(generateSalesData($D673, IF(ISNUMBER(_xlfn.XLOOKUP($C673,Phone_by_Sentiment!$B$2:$B$37,Phone_by_Sentiment!N$2:N$37,"",0,1)),_xlfn.XLOOKUP($C673,Phone_by_Sentiment!$B$2:$B$37,Phone_by_Sentiment!N$2:N$37,"",0,1),0),$A673-TEXT(DATEVALUE($D673&amp;"-01"), "dd-mm-yyyy")),0),0)</f>
        <v>353</v>
      </c>
      <c r="O673" cm="1">
        <f t="array" ref="O673">IF($Q673&gt;=0,IFERROR(generateSalesData($D673, IF(ISNUMBER(_xlfn.XLOOKUP($C673,Phone_by_Sentiment!$B$2:$B$37,Phone_by_Sentiment!O$2:O$37,"",0,1)),_xlfn.XLOOKUP($C673,Phone_by_Sentiment!$B$2:$B$37,Phone_by_Sentiment!O$2:O$37,"",0,1),0),$A673-TEXT(DATEVALUE($D673&amp;"-01"), "dd-mm-yyyy")),0),0)</f>
        <v>438</v>
      </c>
      <c r="P673" s="1">
        <f t="shared" si="28"/>
        <v>43862</v>
      </c>
      <c r="Q673">
        <f t="shared" si="29"/>
        <v>182</v>
      </c>
    </row>
    <row r="674" spans="1:17" x14ac:dyDescent="0.25">
      <c r="A674" s="1">
        <f t="shared" si="27"/>
        <v>44044</v>
      </c>
      <c r="B674" t="s">
        <v>153</v>
      </c>
      <c r="C674" t="str">
        <f>_xlfn.XLOOKUP(B674,Phone_by_Price!$A$2:$A$34,Phone_by_Price!$B$2:$B$34,"-",0,1)</f>
        <v>iPhone 13</v>
      </c>
      <c r="D674" t="str">
        <f>_xlfn.XLOOKUP(C674,Phone_by_Sentiment!$B$2:$B$37,Phone_by_Sentiment!$A$2:$A$37,"-",0,1)</f>
        <v>2021-09</v>
      </c>
      <c r="E674" cm="1">
        <f t="array" ref="E674">IF($Q674&gt;=0,IFERROR(generateSalesData($D674, IF(ISNUMBER(_xlfn.XLOOKUP($C674,Phone_by_Sentiment!$B$2:$B$37,Phone_by_Sentiment!E$2:E$37,"",0,1)),_xlfn.XLOOKUP($C674,Phone_by_Sentiment!$B$2:$B$37,Phone_by_Sentiment!E$2:E$37,"",0,1),0),$A674-TEXT(DATEVALUE($D674&amp;"-01"), "dd-mm-yyyy")),0),0)</f>
        <v>0</v>
      </c>
      <c r="F674" cm="1">
        <f t="array" ref="F674">IF($Q674&gt;=0,IFERROR(generateSalesData($D674, IF(ISNUMBER(_xlfn.XLOOKUP($C674,Phone_by_Sentiment!$B$2:$B$37,Phone_by_Sentiment!F$2:F$37,"",0,1)),_xlfn.XLOOKUP($C674,Phone_by_Sentiment!$B$2:$B$37,Phone_by_Sentiment!F$2:F$37,"",0,1),0),$A674-TEXT(DATEVALUE($D674&amp;"-01"), "dd-mm-yyyy")),0),0)</f>
        <v>0</v>
      </c>
      <c r="G674" cm="1">
        <f t="array" ref="G674">IF($Q674&gt;=0,IFERROR(generateSalesData($D674, IF(ISNUMBER(_xlfn.XLOOKUP($C674,Phone_by_Sentiment!$B$2:$B$37,Phone_by_Sentiment!G$2:G$37,"",0,1)),_xlfn.XLOOKUP($C674,Phone_by_Sentiment!$B$2:$B$37,Phone_by_Sentiment!G$2:G$37,"",0,1),0),$A674-TEXT(DATEVALUE($D674&amp;"-01"), "dd-mm-yyyy")),0),0)</f>
        <v>0</v>
      </c>
      <c r="H674" cm="1">
        <f t="array" ref="H674">IF($Q674&gt;=0,IFERROR(generateSalesData($D674, IF(ISNUMBER(_xlfn.XLOOKUP($C674,Phone_by_Sentiment!$B$2:$B$37,Phone_by_Sentiment!H$2:H$37,"",0,1)),_xlfn.XLOOKUP($C674,Phone_by_Sentiment!$B$2:$B$37,Phone_by_Sentiment!H$2:H$37,"",0,1),0),$A674-TEXT(DATEVALUE($D674&amp;"-01"), "dd-mm-yyyy")),0),0)</f>
        <v>0</v>
      </c>
      <c r="I674" cm="1">
        <f t="array" ref="I674">IF($Q674&gt;=0,IFERROR(generateSalesData($D674, IF(ISNUMBER(_xlfn.XLOOKUP($C674,Phone_by_Sentiment!$B$2:$B$37,Phone_by_Sentiment!I$2:I$37,"",0,1)),_xlfn.XLOOKUP($C674,Phone_by_Sentiment!$B$2:$B$37,Phone_by_Sentiment!I$2:I$37,"",0,1),0),$A674-TEXT(DATEVALUE($D674&amp;"-01"), "dd-mm-yyyy")),0),0)</f>
        <v>0</v>
      </c>
      <c r="J674" cm="1">
        <f t="array" ref="J674">IF($Q674&gt;=0,IFERROR(generateSalesData($D674, IF(ISNUMBER(_xlfn.XLOOKUP($C674,Phone_by_Sentiment!$B$2:$B$37,Phone_by_Sentiment!J$2:J$37,"",0,1)),_xlfn.XLOOKUP($C674,Phone_by_Sentiment!$B$2:$B$37,Phone_by_Sentiment!J$2:J$37,"",0,1),0),$A674-TEXT(DATEVALUE($D674&amp;"-01"), "dd-mm-yyyy")),0),0)</f>
        <v>0</v>
      </c>
      <c r="K674" cm="1">
        <f t="array" ref="K674">IF($Q674&gt;=0,IFERROR(generateSalesData($D674, IF(ISNUMBER(_xlfn.XLOOKUP($C674,Phone_by_Sentiment!$B$2:$B$37,Phone_by_Sentiment!K$2:K$37,"",0,1)),_xlfn.XLOOKUP($C674,Phone_by_Sentiment!$B$2:$B$37,Phone_by_Sentiment!K$2:K$37,"",0,1),0),$A674-TEXT(DATEVALUE($D674&amp;"-01"), "dd-mm-yyyy")),0),0)</f>
        <v>0</v>
      </c>
      <c r="L674" cm="1">
        <f t="array" ref="L674">IF($Q674&gt;=0,IFERROR(generateSalesData($D674, IF(ISNUMBER(_xlfn.XLOOKUP($C674,Phone_by_Sentiment!$B$2:$B$37,Phone_by_Sentiment!L$2:L$37,"",0,1)),_xlfn.XLOOKUP($C674,Phone_by_Sentiment!$B$2:$B$37,Phone_by_Sentiment!L$2:L$37,"",0,1),0),$A674-TEXT(DATEVALUE($D674&amp;"-01"), "dd-mm-yyyy")),0),0)</f>
        <v>0</v>
      </c>
      <c r="M674" cm="1">
        <f t="array" ref="M674">IF($Q674&gt;=0,IFERROR(generateSalesData($D674, IF(ISNUMBER(_xlfn.XLOOKUP($C674,Phone_by_Sentiment!$B$2:$B$37,Phone_by_Sentiment!M$2:M$37,"",0,1)),_xlfn.XLOOKUP($C674,Phone_by_Sentiment!$B$2:$B$37,Phone_by_Sentiment!M$2:M$37,"",0,1),0),$A674-TEXT(DATEVALUE($D674&amp;"-01"), "dd-mm-yyyy")),0),0)</f>
        <v>0</v>
      </c>
      <c r="N674" cm="1">
        <f t="array" ref="N674">IF($Q674&gt;=0,IFERROR(generateSalesData($D674, IF(ISNUMBER(_xlfn.XLOOKUP($C674,Phone_by_Sentiment!$B$2:$B$37,Phone_by_Sentiment!N$2:N$37,"",0,1)),_xlfn.XLOOKUP($C674,Phone_by_Sentiment!$B$2:$B$37,Phone_by_Sentiment!N$2:N$37,"",0,1),0),$A674-TEXT(DATEVALUE($D674&amp;"-01"), "dd-mm-yyyy")),0),0)</f>
        <v>0</v>
      </c>
      <c r="O674" cm="1">
        <f t="array" ref="O674">IF($Q674&gt;=0,IFERROR(generateSalesData($D674, IF(ISNUMBER(_xlfn.XLOOKUP($C674,Phone_by_Sentiment!$B$2:$B$37,Phone_by_Sentiment!O$2:O$37,"",0,1)),_xlfn.XLOOKUP($C674,Phone_by_Sentiment!$B$2:$B$37,Phone_by_Sentiment!O$2:O$37,"",0,1),0),$A674-TEXT(DATEVALUE($D674&amp;"-01"), "dd-mm-yyyy")),0),0)</f>
        <v>0</v>
      </c>
      <c r="P674" s="1">
        <f t="shared" si="28"/>
        <v>44440</v>
      </c>
      <c r="Q674">
        <f t="shared" si="29"/>
        <v>-396</v>
      </c>
    </row>
    <row r="675" spans="1:17" x14ac:dyDescent="0.25">
      <c r="A675" s="1">
        <f t="shared" si="27"/>
        <v>44044</v>
      </c>
      <c r="B675" t="s">
        <v>154</v>
      </c>
      <c r="C675" t="str">
        <f>_xlfn.XLOOKUP(B675,Phone_by_Price!$A$2:$A$34,Phone_by_Price!$B$2:$B$34,"-",0,1)</f>
        <v>Samsung Galaxy S21</v>
      </c>
      <c r="D675" t="str">
        <f>_xlfn.XLOOKUP(C675,Phone_by_Sentiment!$B$2:$B$37,Phone_by_Sentiment!$A$2:$A$37,"-",0,1)</f>
        <v>2021-01</v>
      </c>
      <c r="E675" cm="1">
        <f t="array" ref="E675">IF($Q675&gt;=0,IFERROR(generateSalesData($D675, IF(ISNUMBER(_xlfn.XLOOKUP($C675,Phone_by_Sentiment!$B$2:$B$37,Phone_by_Sentiment!E$2:E$37,"",0,1)),_xlfn.XLOOKUP($C675,Phone_by_Sentiment!$B$2:$B$37,Phone_by_Sentiment!E$2:E$37,"",0,1),0),$A675-TEXT(DATEVALUE($D675&amp;"-01"), "dd-mm-yyyy")),0),0)</f>
        <v>0</v>
      </c>
      <c r="F675" cm="1">
        <f t="array" ref="F675">IF($Q675&gt;=0,IFERROR(generateSalesData($D675, IF(ISNUMBER(_xlfn.XLOOKUP($C675,Phone_by_Sentiment!$B$2:$B$37,Phone_by_Sentiment!F$2:F$37,"",0,1)),_xlfn.XLOOKUP($C675,Phone_by_Sentiment!$B$2:$B$37,Phone_by_Sentiment!F$2:F$37,"",0,1),0),$A675-TEXT(DATEVALUE($D675&amp;"-01"), "dd-mm-yyyy")),0),0)</f>
        <v>0</v>
      </c>
      <c r="G675" cm="1">
        <f t="array" ref="G675">IF($Q675&gt;=0,IFERROR(generateSalesData($D675, IF(ISNUMBER(_xlfn.XLOOKUP($C675,Phone_by_Sentiment!$B$2:$B$37,Phone_by_Sentiment!G$2:G$37,"",0,1)),_xlfn.XLOOKUP($C675,Phone_by_Sentiment!$B$2:$B$37,Phone_by_Sentiment!G$2:G$37,"",0,1),0),$A675-TEXT(DATEVALUE($D675&amp;"-01"), "dd-mm-yyyy")),0),0)</f>
        <v>0</v>
      </c>
      <c r="H675" cm="1">
        <f t="array" ref="H675">IF($Q675&gt;=0,IFERROR(generateSalesData($D675, IF(ISNUMBER(_xlfn.XLOOKUP($C675,Phone_by_Sentiment!$B$2:$B$37,Phone_by_Sentiment!H$2:H$37,"",0,1)),_xlfn.XLOOKUP($C675,Phone_by_Sentiment!$B$2:$B$37,Phone_by_Sentiment!H$2:H$37,"",0,1),0),$A675-TEXT(DATEVALUE($D675&amp;"-01"), "dd-mm-yyyy")),0),0)</f>
        <v>0</v>
      </c>
      <c r="I675" cm="1">
        <f t="array" ref="I675">IF($Q675&gt;=0,IFERROR(generateSalesData($D675, IF(ISNUMBER(_xlfn.XLOOKUP($C675,Phone_by_Sentiment!$B$2:$B$37,Phone_by_Sentiment!I$2:I$37,"",0,1)),_xlfn.XLOOKUP($C675,Phone_by_Sentiment!$B$2:$B$37,Phone_by_Sentiment!I$2:I$37,"",0,1),0),$A675-TEXT(DATEVALUE($D675&amp;"-01"), "dd-mm-yyyy")),0),0)</f>
        <v>0</v>
      </c>
      <c r="J675" cm="1">
        <f t="array" ref="J675">IF($Q675&gt;=0,IFERROR(generateSalesData($D675, IF(ISNUMBER(_xlfn.XLOOKUP($C675,Phone_by_Sentiment!$B$2:$B$37,Phone_by_Sentiment!J$2:J$37,"",0,1)),_xlfn.XLOOKUP($C675,Phone_by_Sentiment!$B$2:$B$37,Phone_by_Sentiment!J$2:J$37,"",0,1),0),$A675-TEXT(DATEVALUE($D675&amp;"-01"), "dd-mm-yyyy")),0),0)</f>
        <v>0</v>
      </c>
      <c r="K675" cm="1">
        <f t="array" ref="K675">IF($Q675&gt;=0,IFERROR(generateSalesData($D675, IF(ISNUMBER(_xlfn.XLOOKUP($C675,Phone_by_Sentiment!$B$2:$B$37,Phone_by_Sentiment!K$2:K$37,"",0,1)),_xlfn.XLOOKUP($C675,Phone_by_Sentiment!$B$2:$B$37,Phone_by_Sentiment!K$2:K$37,"",0,1),0),$A675-TEXT(DATEVALUE($D675&amp;"-01"), "dd-mm-yyyy")),0),0)</f>
        <v>0</v>
      </c>
      <c r="L675" cm="1">
        <f t="array" ref="L675">IF($Q675&gt;=0,IFERROR(generateSalesData($D675, IF(ISNUMBER(_xlfn.XLOOKUP($C675,Phone_by_Sentiment!$B$2:$B$37,Phone_by_Sentiment!L$2:L$37,"",0,1)),_xlfn.XLOOKUP($C675,Phone_by_Sentiment!$B$2:$B$37,Phone_by_Sentiment!L$2:L$37,"",0,1),0),$A675-TEXT(DATEVALUE($D675&amp;"-01"), "dd-mm-yyyy")),0),0)</f>
        <v>0</v>
      </c>
      <c r="M675" cm="1">
        <f t="array" ref="M675">IF($Q675&gt;=0,IFERROR(generateSalesData($D675, IF(ISNUMBER(_xlfn.XLOOKUP($C675,Phone_by_Sentiment!$B$2:$B$37,Phone_by_Sentiment!M$2:M$37,"",0,1)),_xlfn.XLOOKUP($C675,Phone_by_Sentiment!$B$2:$B$37,Phone_by_Sentiment!M$2:M$37,"",0,1),0),$A675-TEXT(DATEVALUE($D675&amp;"-01"), "dd-mm-yyyy")),0),0)</f>
        <v>0</v>
      </c>
      <c r="N675" cm="1">
        <f t="array" ref="N675">IF($Q675&gt;=0,IFERROR(generateSalesData($D675, IF(ISNUMBER(_xlfn.XLOOKUP($C675,Phone_by_Sentiment!$B$2:$B$37,Phone_by_Sentiment!N$2:N$37,"",0,1)),_xlfn.XLOOKUP($C675,Phone_by_Sentiment!$B$2:$B$37,Phone_by_Sentiment!N$2:N$37,"",0,1),0),$A675-TEXT(DATEVALUE($D675&amp;"-01"), "dd-mm-yyyy")),0),0)</f>
        <v>0</v>
      </c>
      <c r="O675" cm="1">
        <f t="array" ref="O675">IF($Q675&gt;=0,IFERROR(generateSalesData($D675, IF(ISNUMBER(_xlfn.XLOOKUP($C675,Phone_by_Sentiment!$B$2:$B$37,Phone_by_Sentiment!O$2:O$37,"",0,1)),_xlfn.XLOOKUP($C675,Phone_by_Sentiment!$B$2:$B$37,Phone_by_Sentiment!O$2:O$37,"",0,1),0),$A675-TEXT(DATEVALUE($D675&amp;"-01"), "dd-mm-yyyy")),0),0)</f>
        <v>0</v>
      </c>
      <c r="P675" s="1">
        <f t="shared" si="28"/>
        <v>44197</v>
      </c>
      <c r="Q675">
        <f t="shared" si="29"/>
        <v>-153</v>
      </c>
    </row>
    <row r="676" spans="1:17" x14ac:dyDescent="0.25">
      <c r="A676" s="1">
        <f t="shared" si="27"/>
        <v>44044</v>
      </c>
      <c r="B676" t="s">
        <v>155</v>
      </c>
      <c r="C676" t="str">
        <f>_xlfn.XLOOKUP(B676,Phone_by_Price!$A$2:$A$34,Phone_by_Price!$B$2:$B$34,"-",0,1)</f>
        <v>Google Pixel 6</v>
      </c>
      <c r="D676" t="str">
        <f>_xlfn.XLOOKUP(C676,Phone_by_Sentiment!$B$2:$B$37,Phone_by_Sentiment!$A$2:$A$37,"-",0,1)</f>
        <v>2021-10</v>
      </c>
      <c r="E676" cm="1">
        <f t="array" ref="E676">IF($Q676&gt;=0,IFERROR(generateSalesData($D676, IF(ISNUMBER(_xlfn.XLOOKUP($C676,Phone_by_Sentiment!$B$2:$B$37,Phone_by_Sentiment!E$2:E$37,"",0,1)),_xlfn.XLOOKUP($C676,Phone_by_Sentiment!$B$2:$B$37,Phone_by_Sentiment!E$2:E$37,"",0,1),0),$A676-TEXT(DATEVALUE($D676&amp;"-01"), "dd-mm-yyyy")),0),0)</f>
        <v>0</v>
      </c>
      <c r="F676" cm="1">
        <f t="array" ref="F676">IF($Q676&gt;=0,IFERROR(generateSalesData($D676, IF(ISNUMBER(_xlfn.XLOOKUP($C676,Phone_by_Sentiment!$B$2:$B$37,Phone_by_Sentiment!F$2:F$37,"",0,1)),_xlfn.XLOOKUP($C676,Phone_by_Sentiment!$B$2:$B$37,Phone_by_Sentiment!F$2:F$37,"",0,1),0),$A676-TEXT(DATEVALUE($D676&amp;"-01"), "dd-mm-yyyy")),0),0)</f>
        <v>0</v>
      </c>
      <c r="G676" cm="1">
        <f t="array" ref="G676">IF($Q676&gt;=0,IFERROR(generateSalesData($D676, IF(ISNUMBER(_xlfn.XLOOKUP($C676,Phone_by_Sentiment!$B$2:$B$37,Phone_by_Sentiment!G$2:G$37,"",0,1)),_xlfn.XLOOKUP($C676,Phone_by_Sentiment!$B$2:$B$37,Phone_by_Sentiment!G$2:G$37,"",0,1),0),$A676-TEXT(DATEVALUE($D676&amp;"-01"), "dd-mm-yyyy")),0),0)</f>
        <v>0</v>
      </c>
      <c r="H676" cm="1">
        <f t="array" ref="H676">IF($Q676&gt;=0,IFERROR(generateSalesData($D676, IF(ISNUMBER(_xlfn.XLOOKUP($C676,Phone_by_Sentiment!$B$2:$B$37,Phone_by_Sentiment!H$2:H$37,"",0,1)),_xlfn.XLOOKUP($C676,Phone_by_Sentiment!$B$2:$B$37,Phone_by_Sentiment!H$2:H$37,"",0,1),0),$A676-TEXT(DATEVALUE($D676&amp;"-01"), "dd-mm-yyyy")),0),0)</f>
        <v>0</v>
      </c>
      <c r="I676" cm="1">
        <f t="array" ref="I676">IF($Q676&gt;=0,IFERROR(generateSalesData($D676, IF(ISNUMBER(_xlfn.XLOOKUP($C676,Phone_by_Sentiment!$B$2:$B$37,Phone_by_Sentiment!I$2:I$37,"",0,1)),_xlfn.XLOOKUP($C676,Phone_by_Sentiment!$B$2:$B$37,Phone_by_Sentiment!I$2:I$37,"",0,1),0),$A676-TEXT(DATEVALUE($D676&amp;"-01"), "dd-mm-yyyy")),0),0)</f>
        <v>0</v>
      </c>
      <c r="J676" cm="1">
        <f t="array" ref="J676">IF($Q676&gt;=0,IFERROR(generateSalesData($D676, IF(ISNUMBER(_xlfn.XLOOKUP($C676,Phone_by_Sentiment!$B$2:$B$37,Phone_by_Sentiment!J$2:J$37,"",0,1)),_xlfn.XLOOKUP($C676,Phone_by_Sentiment!$B$2:$B$37,Phone_by_Sentiment!J$2:J$37,"",0,1),0),$A676-TEXT(DATEVALUE($D676&amp;"-01"), "dd-mm-yyyy")),0),0)</f>
        <v>0</v>
      </c>
      <c r="K676" cm="1">
        <f t="array" ref="K676">IF($Q676&gt;=0,IFERROR(generateSalesData($D676, IF(ISNUMBER(_xlfn.XLOOKUP($C676,Phone_by_Sentiment!$B$2:$B$37,Phone_by_Sentiment!K$2:K$37,"",0,1)),_xlfn.XLOOKUP($C676,Phone_by_Sentiment!$B$2:$B$37,Phone_by_Sentiment!K$2:K$37,"",0,1),0),$A676-TEXT(DATEVALUE($D676&amp;"-01"), "dd-mm-yyyy")),0),0)</f>
        <v>0</v>
      </c>
      <c r="L676" cm="1">
        <f t="array" ref="L676">IF($Q676&gt;=0,IFERROR(generateSalesData($D676, IF(ISNUMBER(_xlfn.XLOOKUP($C676,Phone_by_Sentiment!$B$2:$B$37,Phone_by_Sentiment!L$2:L$37,"",0,1)),_xlfn.XLOOKUP($C676,Phone_by_Sentiment!$B$2:$B$37,Phone_by_Sentiment!L$2:L$37,"",0,1),0),$A676-TEXT(DATEVALUE($D676&amp;"-01"), "dd-mm-yyyy")),0),0)</f>
        <v>0</v>
      </c>
      <c r="M676" cm="1">
        <f t="array" ref="M676">IF($Q676&gt;=0,IFERROR(generateSalesData($D676, IF(ISNUMBER(_xlfn.XLOOKUP($C676,Phone_by_Sentiment!$B$2:$B$37,Phone_by_Sentiment!M$2:M$37,"",0,1)),_xlfn.XLOOKUP($C676,Phone_by_Sentiment!$B$2:$B$37,Phone_by_Sentiment!M$2:M$37,"",0,1),0),$A676-TEXT(DATEVALUE($D676&amp;"-01"), "dd-mm-yyyy")),0),0)</f>
        <v>0</v>
      </c>
      <c r="N676" cm="1">
        <f t="array" ref="N676">IF($Q676&gt;=0,IFERROR(generateSalesData($D676, IF(ISNUMBER(_xlfn.XLOOKUP($C676,Phone_by_Sentiment!$B$2:$B$37,Phone_by_Sentiment!N$2:N$37,"",0,1)),_xlfn.XLOOKUP($C676,Phone_by_Sentiment!$B$2:$B$37,Phone_by_Sentiment!N$2:N$37,"",0,1),0),$A676-TEXT(DATEVALUE($D676&amp;"-01"), "dd-mm-yyyy")),0),0)</f>
        <v>0</v>
      </c>
      <c r="O676" cm="1">
        <f t="array" ref="O676">IF($Q676&gt;=0,IFERROR(generateSalesData($D676, IF(ISNUMBER(_xlfn.XLOOKUP($C676,Phone_by_Sentiment!$B$2:$B$37,Phone_by_Sentiment!O$2:O$37,"",0,1)),_xlfn.XLOOKUP($C676,Phone_by_Sentiment!$B$2:$B$37,Phone_by_Sentiment!O$2:O$37,"",0,1),0),$A676-TEXT(DATEVALUE($D676&amp;"-01"), "dd-mm-yyyy")),0),0)</f>
        <v>0</v>
      </c>
      <c r="P676" s="1">
        <f t="shared" si="28"/>
        <v>44470</v>
      </c>
      <c r="Q676">
        <f t="shared" si="29"/>
        <v>-426</v>
      </c>
    </row>
    <row r="677" spans="1:17" x14ac:dyDescent="0.25">
      <c r="A677" s="1">
        <f t="shared" si="27"/>
        <v>44044</v>
      </c>
      <c r="B677" t="s">
        <v>156</v>
      </c>
      <c r="C677" t="str">
        <f>_xlfn.XLOOKUP(B677,Phone_by_Price!$A$2:$A$34,Phone_by_Price!$B$2:$B$34,"-",0,1)</f>
        <v>OnePlus Nord CE</v>
      </c>
      <c r="D677" t="str">
        <f>_xlfn.XLOOKUP(C677,Phone_by_Sentiment!$B$2:$B$37,Phone_by_Sentiment!$A$2:$A$37,"-",0,1)</f>
        <v>2021-06</v>
      </c>
      <c r="E677" cm="1">
        <f t="array" ref="E677">IF($Q677&gt;=0,IFERROR(generateSalesData($D677, IF(ISNUMBER(_xlfn.XLOOKUP($C677,Phone_by_Sentiment!$B$2:$B$37,Phone_by_Sentiment!E$2:E$37,"",0,1)),_xlfn.XLOOKUP($C677,Phone_by_Sentiment!$B$2:$B$37,Phone_by_Sentiment!E$2:E$37,"",0,1),0),$A677-TEXT(DATEVALUE($D677&amp;"-01"), "dd-mm-yyyy")),0),0)</f>
        <v>0</v>
      </c>
      <c r="F677" cm="1">
        <f t="array" ref="F677">IF($Q677&gt;=0,IFERROR(generateSalesData($D677, IF(ISNUMBER(_xlfn.XLOOKUP($C677,Phone_by_Sentiment!$B$2:$B$37,Phone_by_Sentiment!F$2:F$37,"",0,1)),_xlfn.XLOOKUP($C677,Phone_by_Sentiment!$B$2:$B$37,Phone_by_Sentiment!F$2:F$37,"",0,1),0),$A677-TEXT(DATEVALUE($D677&amp;"-01"), "dd-mm-yyyy")),0),0)</f>
        <v>0</v>
      </c>
      <c r="G677" cm="1">
        <f t="array" ref="G677">IF($Q677&gt;=0,IFERROR(generateSalesData($D677, IF(ISNUMBER(_xlfn.XLOOKUP($C677,Phone_by_Sentiment!$B$2:$B$37,Phone_by_Sentiment!G$2:G$37,"",0,1)),_xlfn.XLOOKUP($C677,Phone_by_Sentiment!$B$2:$B$37,Phone_by_Sentiment!G$2:G$37,"",0,1),0),$A677-TEXT(DATEVALUE($D677&amp;"-01"), "dd-mm-yyyy")),0),0)</f>
        <v>0</v>
      </c>
      <c r="H677" cm="1">
        <f t="array" ref="H677">IF($Q677&gt;=0,IFERROR(generateSalesData($D677, IF(ISNUMBER(_xlfn.XLOOKUP($C677,Phone_by_Sentiment!$B$2:$B$37,Phone_by_Sentiment!H$2:H$37,"",0,1)),_xlfn.XLOOKUP($C677,Phone_by_Sentiment!$B$2:$B$37,Phone_by_Sentiment!H$2:H$37,"",0,1),0),$A677-TEXT(DATEVALUE($D677&amp;"-01"), "dd-mm-yyyy")),0),0)</f>
        <v>0</v>
      </c>
      <c r="I677" cm="1">
        <f t="array" ref="I677">IF($Q677&gt;=0,IFERROR(generateSalesData($D677, IF(ISNUMBER(_xlfn.XLOOKUP($C677,Phone_by_Sentiment!$B$2:$B$37,Phone_by_Sentiment!I$2:I$37,"",0,1)),_xlfn.XLOOKUP($C677,Phone_by_Sentiment!$B$2:$B$37,Phone_by_Sentiment!I$2:I$37,"",0,1),0),$A677-TEXT(DATEVALUE($D677&amp;"-01"), "dd-mm-yyyy")),0),0)</f>
        <v>0</v>
      </c>
      <c r="J677" cm="1">
        <f t="array" ref="J677">IF($Q677&gt;=0,IFERROR(generateSalesData($D677, IF(ISNUMBER(_xlfn.XLOOKUP($C677,Phone_by_Sentiment!$B$2:$B$37,Phone_by_Sentiment!J$2:J$37,"",0,1)),_xlfn.XLOOKUP($C677,Phone_by_Sentiment!$B$2:$B$37,Phone_by_Sentiment!J$2:J$37,"",0,1),0),$A677-TEXT(DATEVALUE($D677&amp;"-01"), "dd-mm-yyyy")),0),0)</f>
        <v>0</v>
      </c>
      <c r="K677" cm="1">
        <f t="array" ref="K677">IF($Q677&gt;=0,IFERROR(generateSalesData($D677, IF(ISNUMBER(_xlfn.XLOOKUP($C677,Phone_by_Sentiment!$B$2:$B$37,Phone_by_Sentiment!K$2:K$37,"",0,1)),_xlfn.XLOOKUP($C677,Phone_by_Sentiment!$B$2:$B$37,Phone_by_Sentiment!K$2:K$37,"",0,1),0),$A677-TEXT(DATEVALUE($D677&amp;"-01"), "dd-mm-yyyy")),0),0)</f>
        <v>0</v>
      </c>
      <c r="L677" cm="1">
        <f t="array" ref="L677">IF($Q677&gt;=0,IFERROR(generateSalesData($D677, IF(ISNUMBER(_xlfn.XLOOKUP($C677,Phone_by_Sentiment!$B$2:$B$37,Phone_by_Sentiment!L$2:L$37,"",0,1)),_xlfn.XLOOKUP($C677,Phone_by_Sentiment!$B$2:$B$37,Phone_by_Sentiment!L$2:L$37,"",0,1),0),$A677-TEXT(DATEVALUE($D677&amp;"-01"), "dd-mm-yyyy")),0),0)</f>
        <v>0</v>
      </c>
      <c r="M677" cm="1">
        <f t="array" ref="M677">IF($Q677&gt;=0,IFERROR(generateSalesData($D677, IF(ISNUMBER(_xlfn.XLOOKUP($C677,Phone_by_Sentiment!$B$2:$B$37,Phone_by_Sentiment!M$2:M$37,"",0,1)),_xlfn.XLOOKUP($C677,Phone_by_Sentiment!$B$2:$B$37,Phone_by_Sentiment!M$2:M$37,"",0,1),0),$A677-TEXT(DATEVALUE($D677&amp;"-01"), "dd-mm-yyyy")),0),0)</f>
        <v>0</v>
      </c>
      <c r="N677" cm="1">
        <f t="array" ref="N677">IF($Q677&gt;=0,IFERROR(generateSalesData($D677, IF(ISNUMBER(_xlfn.XLOOKUP($C677,Phone_by_Sentiment!$B$2:$B$37,Phone_by_Sentiment!N$2:N$37,"",0,1)),_xlfn.XLOOKUP($C677,Phone_by_Sentiment!$B$2:$B$37,Phone_by_Sentiment!N$2:N$37,"",0,1),0),$A677-TEXT(DATEVALUE($D677&amp;"-01"), "dd-mm-yyyy")),0),0)</f>
        <v>0</v>
      </c>
      <c r="O677" cm="1">
        <f t="array" ref="O677">IF($Q677&gt;=0,IFERROR(generateSalesData($D677, IF(ISNUMBER(_xlfn.XLOOKUP($C677,Phone_by_Sentiment!$B$2:$B$37,Phone_by_Sentiment!O$2:O$37,"",0,1)),_xlfn.XLOOKUP($C677,Phone_by_Sentiment!$B$2:$B$37,Phone_by_Sentiment!O$2:O$37,"",0,1),0),$A677-TEXT(DATEVALUE($D677&amp;"-01"), "dd-mm-yyyy")),0),0)</f>
        <v>0</v>
      </c>
      <c r="P677" s="1">
        <f t="shared" si="28"/>
        <v>44348</v>
      </c>
      <c r="Q677">
        <f t="shared" si="29"/>
        <v>-304</v>
      </c>
    </row>
    <row r="678" spans="1:17" x14ac:dyDescent="0.25">
      <c r="A678" s="1">
        <f t="shared" si="27"/>
        <v>44044</v>
      </c>
      <c r="B678" t="s">
        <v>157</v>
      </c>
      <c r="C678" t="str">
        <f>_xlfn.XLOOKUP(B678,Phone_by_Price!$A$2:$A$34,Phone_by_Price!$B$2:$B$34,"-",0,1)</f>
        <v>Apple iPhone 13 Pro</v>
      </c>
      <c r="D678" t="str">
        <f>_xlfn.XLOOKUP(C678,Phone_by_Sentiment!$B$2:$B$37,Phone_by_Sentiment!$A$2:$A$37,"-",0,1)</f>
        <v>2021-09</v>
      </c>
      <c r="E678" cm="1">
        <f t="array" ref="E678">IF($Q678&gt;=0,IFERROR(generateSalesData($D678, IF(ISNUMBER(_xlfn.XLOOKUP($C678,Phone_by_Sentiment!$B$2:$B$37,Phone_by_Sentiment!E$2:E$37,"",0,1)),_xlfn.XLOOKUP($C678,Phone_by_Sentiment!$B$2:$B$37,Phone_by_Sentiment!E$2:E$37,"",0,1),0),$A678-TEXT(DATEVALUE($D678&amp;"-01"), "dd-mm-yyyy")),0),0)</f>
        <v>0</v>
      </c>
      <c r="F678" cm="1">
        <f t="array" ref="F678">IF($Q678&gt;=0,IFERROR(generateSalesData($D678, IF(ISNUMBER(_xlfn.XLOOKUP($C678,Phone_by_Sentiment!$B$2:$B$37,Phone_by_Sentiment!F$2:F$37,"",0,1)),_xlfn.XLOOKUP($C678,Phone_by_Sentiment!$B$2:$B$37,Phone_by_Sentiment!F$2:F$37,"",0,1),0),$A678-TEXT(DATEVALUE($D678&amp;"-01"), "dd-mm-yyyy")),0),0)</f>
        <v>0</v>
      </c>
      <c r="G678" cm="1">
        <f t="array" ref="G678">IF($Q678&gt;=0,IFERROR(generateSalesData($D678, IF(ISNUMBER(_xlfn.XLOOKUP($C678,Phone_by_Sentiment!$B$2:$B$37,Phone_by_Sentiment!G$2:G$37,"",0,1)),_xlfn.XLOOKUP($C678,Phone_by_Sentiment!$B$2:$B$37,Phone_by_Sentiment!G$2:G$37,"",0,1),0),$A678-TEXT(DATEVALUE($D678&amp;"-01"), "dd-mm-yyyy")),0),0)</f>
        <v>0</v>
      </c>
      <c r="H678" cm="1">
        <f t="array" ref="H678">IF($Q678&gt;=0,IFERROR(generateSalesData($D678, IF(ISNUMBER(_xlfn.XLOOKUP($C678,Phone_by_Sentiment!$B$2:$B$37,Phone_by_Sentiment!H$2:H$37,"",0,1)),_xlfn.XLOOKUP($C678,Phone_by_Sentiment!$B$2:$B$37,Phone_by_Sentiment!H$2:H$37,"",0,1),0),$A678-TEXT(DATEVALUE($D678&amp;"-01"), "dd-mm-yyyy")),0),0)</f>
        <v>0</v>
      </c>
      <c r="I678" cm="1">
        <f t="array" ref="I678">IF($Q678&gt;=0,IFERROR(generateSalesData($D678, IF(ISNUMBER(_xlfn.XLOOKUP($C678,Phone_by_Sentiment!$B$2:$B$37,Phone_by_Sentiment!I$2:I$37,"",0,1)),_xlfn.XLOOKUP($C678,Phone_by_Sentiment!$B$2:$B$37,Phone_by_Sentiment!I$2:I$37,"",0,1),0),$A678-TEXT(DATEVALUE($D678&amp;"-01"), "dd-mm-yyyy")),0),0)</f>
        <v>0</v>
      </c>
      <c r="J678" cm="1">
        <f t="array" ref="J678">IF($Q678&gt;=0,IFERROR(generateSalesData($D678, IF(ISNUMBER(_xlfn.XLOOKUP($C678,Phone_by_Sentiment!$B$2:$B$37,Phone_by_Sentiment!J$2:J$37,"",0,1)),_xlfn.XLOOKUP($C678,Phone_by_Sentiment!$B$2:$B$37,Phone_by_Sentiment!J$2:J$37,"",0,1),0),$A678-TEXT(DATEVALUE($D678&amp;"-01"), "dd-mm-yyyy")),0),0)</f>
        <v>0</v>
      </c>
      <c r="K678" cm="1">
        <f t="array" ref="K678">IF($Q678&gt;=0,IFERROR(generateSalesData($D678, IF(ISNUMBER(_xlfn.XLOOKUP($C678,Phone_by_Sentiment!$B$2:$B$37,Phone_by_Sentiment!K$2:K$37,"",0,1)),_xlfn.XLOOKUP($C678,Phone_by_Sentiment!$B$2:$B$37,Phone_by_Sentiment!K$2:K$37,"",0,1),0),$A678-TEXT(DATEVALUE($D678&amp;"-01"), "dd-mm-yyyy")),0),0)</f>
        <v>0</v>
      </c>
      <c r="L678" cm="1">
        <f t="array" ref="L678">IF($Q678&gt;=0,IFERROR(generateSalesData($D678, IF(ISNUMBER(_xlfn.XLOOKUP($C678,Phone_by_Sentiment!$B$2:$B$37,Phone_by_Sentiment!L$2:L$37,"",0,1)),_xlfn.XLOOKUP($C678,Phone_by_Sentiment!$B$2:$B$37,Phone_by_Sentiment!L$2:L$37,"",0,1),0),$A678-TEXT(DATEVALUE($D678&amp;"-01"), "dd-mm-yyyy")),0),0)</f>
        <v>0</v>
      </c>
      <c r="M678" cm="1">
        <f t="array" ref="M678">IF($Q678&gt;=0,IFERROR(generateSalesData($D678, IF(ISNUMBER(_xlfn.XLOOKUP($C678,Phone_by_Sentiment!$B$2:$B$37,Phone_by_Sentiment!M$2:M$37,"",0,1)),_xlfn.XLOOKUP($C678,Phone_by_Sentiment!$B$2:$B$37,Phone_by_Sentiment!M$2:M$37,"",0,1),0),$A678-TEXT(DATEVALUE($D678&amp;"-01"), "dd-mm-yyyy")),0),0)</f>
        <v>0</v>
      </c>
      <c r="N678" cm="1">
        <f t="array" ref="N678">IF($Q678&gt;=0,IFERROR(generateSalesData($D678, IF(ISNUMBER(_xlfn.XLOOKUP($C678,Phone_by_Sentiment!$B$2:$B$37,Phone_by_Sentiment!N$2:N$37,"",0,1)),_xlfn.XLOOKUP($C678,Phone_by_Sentiment!$B$2:$B$37,Phone_by_Sentiment!N$2:N$37,"",0,1),0),$A678-TEXT(DATEVALUE($D678&amp;"-01"), "dd-mm-yyyy")),0),0)</f>
        <v>0</v>
      </c>
      <c r="O678" cm="1">
        <f t="array" ref="O678">IF($Q678&gt;=0,IFERROR(generateSalesData($D678, IF(ISNUMBER(_xlfn.XLOOKUP($C678,Phone_by_Sentiment!$B$2:$B$37,Phone_by_Sentiment!O$2:O$37,"",0,1)),_xlfn.XLOOKUP($C678,Phone_by_Sentiment!$B$2:$B$37,Phone_by_Sentiment!O$2:O$37,"",0,1),0),$A678-TEXT(DATEVALUE($D678&amp;"-01"), "dd-mm-yyyy")),0),0)</f>
        <v>0</v>
      </c>
      <c r="P678" s="1">
        <f t="shared" si="28"/>
        <v>44440</v>
      </c>
      <c r="Q678">
        <f t="shared" si="29"/>
        <v>-396</v>
      </c>
    </row>
    <row r="679" spans="1:17" x14ac:dyDescent="0.25">
      <c r="A679" s="1">
        <f t="shared" si="27"/>
        <v>44044</v>
      </c>
      <c r="B679" t="s">
        <v>158</v>
      </c>
      <c r="C679" t="str">
        <f>_xlfn.XLOOKUP(B679,Phone_by_Price!$A$2:$A$34,Phone_by_Price!$B$2:$B$34,"-",0,1)</f>
        <v>Samsung Galaxy A32 5G</v>
      </c>
      <c r="D679" t="str">
        <f>_xlfn.XLOOKUP(C679,Phone_by_Sentiment!$B$2:$B$37,Phone_by_Sentiment!$A$2:$A$37,"-",0,1)</f>
        <v>2021-02</v>
      </c>
      <c r="E679" cm="1">
        <f t="array" ref="E679">IF($Q679&gt;=0,IFERROR(generateSalesData($D679, IF(ISNUMBER(_xlfn.XLOOKUP($C679,Phone_by_Sentiment!$B$2:$B$37,Phone_by_Sentiment!E$2:E$37,"",0,1)),_xlfn.XLOOKUP($C679,Phone_by_Sentiment!$B$2:$B$37,Phone_by_Sentiment!E$2:E$37,"",0,1),0),$A679-TEXT(DATEVALUE($D679&amp;"-01"), "dd-mm-yyyy")),0),0)</f>
        <v>0</v>
      </c>
      <c r="F679" cm="1">
        <f t="array" ref="F679">IF($Q679&gt;=0,IFERROR(generateSalesData($D679, IF(ISNUMBER(_xlfn.XLOOKUP($C679,Phone_by_Sentiment!$B$2:$B$37,Phone_by_Sentiment!F$2:F$37,"",0,1)),_xlfn.XLOOKUP($C679,Phone_by_Sentiment!$B$2:$B$37,Phone_by_Sentiment!F$2:F$37,"",0,1),0),$A679-TEXT(DATEVALUE($D679&amp;"-01"), "dd-mm-yyyy")),0),0)</f>
        <v>0</v>
      </c>
      <c r="G679" cm="1">
        <f t="array" ref="G679">IF($Q679&gt;=0,IFERROR(generateSalesData($D679, IF(ISNUMBER(_xlfn.XLOOKUP($C679,Phone_by_Sentiment!$B$2:$B$37,Phone_by_Sentiment!G$2:G$37,"",0,1)),_xlfn.XLOOKUP($C679,Phone_by_Sentiment!$B$2:$B$37,Phone_by_Sentiment!G$2:G$37,"",0,1),0),$A679-TEXT(DATEVALUE($D679&amp;"-01"), "dd-mm-yyyy")),0),0)</f>
        <v>0</v>
      </c>
      <c r="H679" cm="1">
        <f t="array" ref="H679">IF($Q679&gt;=0,IFERROR(generateSalesData($D679, IF(ISNUMBER(_xlfn.XLOOKUP($C679,Phone_by_Sentiment!$B$2:$B$37,Phone_by_Sentiment!H$2:H$37,"",0,1)),_xlfn.XLOOKUP($C679,Phone_by_Sentiment!$B$2:$B$37,Phone_by_Sentiment!H$2:H$37,"",0,1),0),$A679-TEXT(DATEVALUE($D679&amp;"-01"), "dd-mm-yyyy")),0),0)</f>
        <v>0</v>
      </c>
      <c r="I679" cm="1">
        <f t="array" ref="I679">IF($Q679&gt;=0,IFERROR(generateSalesData($D679, IF(ISNUMBER(_xlfn.XLOOKUP($C679,Phone_by_Sentiment!$B$2:$B$37,Phone_by_Sentiment!I$2:I$37,"",0,1)),_xlfn.XLOOKUP($C679,Phone_by_Sentiment!$B$2:$B$37,Phone_by_Sentiment!I$2:I$37,"",0,1),0),$A679-TEXT(DATEVALUE($D679&amp;"-01"), "dd-mm-yyyy")),0),0)</f>
        <v>0</v>
      </c>
      <c r="J679" cm="1">
        <f t="array" ref="J679">IF($Q679&gt;=0,IFERROR(generateSalesData($D679, IF(ISNUMBER(_xlfn.XLOOKUP($C679,Phone_by_Sentiment!$B$2:$B$37,Phone_by_Sentiment!J$2:J$37,"",0,1)),_xlfn.XLOOKUP($C679,Phone_by_Sentiment!$B$2:$B$37,Phone_by_Sentiment!J$2:J$37,"",0,1),0),$A679-TEXT(DATEVALUE($D679&amp;"-01"), "dd-mm-yyyy")),0),0)</f>
        <v>0</v>
      </c>
      <c r="K679" cm="1">
        <f t="array" ref="K679">IF($Q679&gt;=0,IFERROR(generateSalesData($D679, IF(ISNUMBER(_xlfn.XLOOKUP($C679,Phone_by_Sentiment!$B$2:$B$37,Phone_by_Sentiment!K$2:K$37,"",0,1)),_xlfn.XLOOKUP($C679,Phone_by_Sentiment!$B$2:$B$37,Phone_by_Sentiment!K$2:K$37,"",0,1),0),$A679-TEXT(DATEVALUE($D679&amp;"-01"), "dd-mm-yyyy")),0),0)</f>
        <v>0</v>
      </c>
      <c r="L679" cm="1">
        <f t="array" ref="L679">IF($Q679&gt;=0,IFERROR(generateSalesData($D679, IF(ISNUMBER(_xlfn.XLOOKUP($C679,Phone_by_Sentiment!$B$2:$B$37,Phone_by_Sentiment!L$2:L$37,"",0,1)),_xlfn.XLOOKUP($C679,Phone_by_Sentiment!$B$2:$B$37,Phone_by_Sentiment!L$2:L$37,"",0,1),0),$A679-TEXT(DATEVALUE($D679&amp;"-01"), "dd-mm-yyyy")),0),0)</f>
        <v>0</v>
      </c>
      <c r="M679" cm="1">
        <f t="array" ref="M679">IF($Q679&gt;=0,IFERROR(generateSalesData($D679, IF(ISNUMBER(_xlfn.XLOOKUP($C679,Phone_by_Sentiment!$B$2:$B$37,Phone_by_Sentiment!M$2:M$37,"",0,1)),_xlfn.XLOOKUP($C679,Phone_by_Sentiment!$B$2:$B$37,Phone_by_Sentiment!M$2:M$37,"",0,1),0),$A679-TEXT(DATEVALUE($D679&amp;"-01"), "dd-mm-yyyy")),0),0)</f>
        <v>0</v>
      </c>
      <c r="N679" cm="1">
        <f t="array" ref="N679">IF($Q679&gt;=0,IFERROR(generateSalesData($D679, IF(ISNUMBER(_xlfn.XLOOKUP($C679,Phone_by_Sentiment!$B$2:$B$37,Phone_by_Sentiment!N$2:N$37,"",0,1)),_xlfn.XLOOKUP($C679,Phone_by_Sentiment!$B$2:$B$37,Phone_by_Sentiment!N$2:N$37,"",0,1),0),$A679-TEXT(DATEVALUE($D679&amp;"-01"), "dd-mm-yyyy")),0),0)</f>
        <v>0</v>
      </c>
      <c r="O679" cm="1">
        <f t="array" ref="O679">IF($Q679&gt;=0,IFERROR(generateSalesData($D679, IF(ISNUMBER(_xlfn.XLOOKUP($C679,Phone_by_Sentiment!$B$2:$B$37,Phone_by_Sentiment!O$2:O$37,"",0,1)),_xlfn.XLOOKUP($C679,Phone_by_Sentiment!$B$2:$B$37,Phone_by_Sentiment!O$2:O$37,"",0,1),0),$A679-TEXT(DATEVALUE($D679&amp;"-01"), "dd-mm-yyyy")),0),0)</f>
        <v>0</v>
      </c>
      <c r="P679" s="1">
        <f t="shared" si="28"/>
        <v>44228</v>
      </c>
      <c r="Q679">
        <f t="shared" si="29"/>
        <v>-184</v>
      </c>
    </row>
    <row r="680" spans="1:17" x14ac:dyDescent="0.25">
      <c r="A680" s="1">
        <f t="shared" si="27"/>
        <v>44044</v>
      </c>
      <c r="B680" t="s">
        <v>159</v>
      </c>
      <c r="C680" t="str">
        <f>_xlfn.XLOOKUP(B680,Phone_by_Price!$A$2:$A$34,Phone_by_Price!$B$2:$B$34,"-",0,1)</f>
        <v>Realme C25</v>
      </c>
      <c r="D680" t="str">
        <f>_xlfn.XLOOKUP(C680,Phone_by_Sentiment!$B$2:$B$37,Phone_by_Sentiment!$A$2:$A$37,"-",0,1)</f>
        <v>2021-03</v>
      </c>
      <c r="E680" cm="1">
        <f t="array" ref="E680">IF($Q680&gt;=0,IFERROR(generateSalesData($D680, IF(ISNUMBER(_xlfn.XLOOKUP($C680,Phone_by_Sentiment!$B$2:$B$37,Phone_by_Sentiment!E$2:E$37,"",0,1)),_xlfn.XLOOKUP($C680,Phone_by_Sentiment!$B$2:$B$37,Phone_by_Sentiment!E$2:E$37,"",0,1),0),$A680-TEXT(DATEVALUE($D680&amp;"-01"), "dd-mm-yyyy")),0),0)</f>
        <v>0</v>
      </c>
      <c r="F680" cm="1">
        <f t="array" ref="F680">IF($Q680&gt;=0,IFERROR(generateSalesData($D680, IF(ISNUMBER(_xlfn.XLOOKUP($C680,Phone_by_Sentiment!$B$2:$B$37,Phone_by_Sentiment!F$2:F$37,"",0,1)),_xlfn.XLOOKUP($C680,Phone_by_Sentiment!$B$2:$B$37,Phone_by_Sentiment!F$2:F$37,"",0,1),0),$A680-TEXT(DATEVALUE($D680&amp;"-01"), "dd-mm-yyyy")),0),0)</f>
        <v>0</v>
      </c>
      <c r="G680" cm="1">
        <f t="array" ref="G680">IF($Q680&gt;=0,IFERROR(generateSalesData($D680, IF(ISNUMBER(_xlfn.XLOOKUP($C680,Phone_by_Sentiment!$B$2:$B$37,Phone_by_Sentiment!G$2:G$37,"",0,1)),_xlfn.XLOOKUP($C680,Phone_by_Sentiment!$B$2:$B$37,Phone_by_Sentiment!G$2:G$37,"",0,1),0),$A680-TEXT(DATEVALUE($D680&amp;"-01"), "dd-mm-yyyy")),0),0)</f>
        <v>0</v>
      </c>
      <c r="H680" cm="1">
        <f t="array" ref="H680">IF($Q680&gt;=0,IFERROR(generateSalesData($D680, IF(ISNUMBER(_xlfn.XLOOKUP($C680,Phone_by_Sentiment!$B$2:$B$37,Phone_by_Sentiment!H$2:H$37,"",0,1)),_xlfn.XLOOKUP($C680,Phone_by_Sentiment!$B$2:$B$37,Phone_by_Sentiment!H$2:H$37,"",0,1),0),$A680-TEXT(DATEVALUE($D680&amp;"-01"), "dd-mm-yyyy")),0),0)</f>
        <v>0</v>
      </c>
      <c r="I680" cm="1">
        <f t="array" ref="I680">IF($Q680&gt;=0,IFERROR(generateSalesData($D680, IF(ISNUMBER(_xlfn.XLOOKUP($C680,Phone_by_Sentiment!$B$2:$B$37,Phone_by_Sentiment!I$2:I$37,"",0,1)),_xlfn.XLOOKUP($C680,Phone_by_Sentiment!$B$2:$B$37,Phone_by_Sentiment!I$2:I$37,"",0,1),0),$A680-TEXT(DATEVALUE($D680&amp;"-01"), "dd-mm-yyyy")),0),0)</f>
        <v>0</v>
      </c>
      <c r="J680" cm="1">
        <f t="array" ref="J680">IF($Q680&gt;=0,IFERROR(generateSalesData($D680, IF(ISNUMBER(_xlfn.XLOOKUP($C680,Phone_by_Sentiment!$B$2:$B$37,Phone_by_Sentiment!J$2:J$37,"",0,1)),_xlfn.XLOOKUP($C680,Phone_by_Sentiment!$B$2:$B$37,Phone_by_Sentiment!J$2:J$37,"",0,1),0),$A680-TEXT(DATEVALUE($D680&amp;"-01"), "dd-mm-yyyy")),0),0)</f>
        <v>0</v>
      </c>
      <c r="K680" cm="1">
        <f t="array" ref="K680">IF($Q680&gt;=0,IFERROR(generateSalesData($D680, IF(ISNUMBER(_xlfn.XLOOKUP($C680,Phone_by_Sentiment!$B$2:$B$37,Phone_by_Sentiment!K$2:K$37,"",0,1)),_xlfn.XLOOKUP($C680,Phone_by_Sentiment!$B$2:$B$37,Phone_by_Sentiment!K$2:K$37,"",0,1),0),$A680-TEXT(DATEVALUE($D680&amp;"-01"), "dd-mm-yyyy")),0),0)</f>
        <v>0</v>
      </c>
      <c r="L680" cm="1">
        <f t="array" ref="L680">IF($Q680&gt;=0,IFERROR(generateSalesData($D680, IF(ISNUMBER(_xlfn.XLOOKUP($C680,Phone_by_Sentiment!$B$2:$B$37,Phone_by_Sentiment!L$2:L$37,"",0,1)),_xlfn.XLOOKUP($C680,Phone_by_Sentiment!$B$2:$B$37,Phone_by_Sentiment!L$2:L$37,"",0,1),0),$A680-TEXT(DATEVALUE($D680&amp;"-01"), "dd-mm-yyyy")),0),0)</f>
        <v>0</v>
      </c>
      <c r="M680" cm="1">
        <f t="array" ref="M680">IF($Q680&gt;=0,IFERROR(generateSalesData($D680, IF(ISNUMBER(_xlfn.XLOOKUP($C680,Phone_by_Sentiment!$B$2:$B$37,Phone_by_Sentiment!M$2:M$37,"",0,1)),_xlfn.XLOOKUP($C680,Phone_by_Sentiment!$B$2:$B$37,Phone_by_Sentiment!M$2:M$37,"",0,1),0),$A680-TEXT(DATEVALUE($D680&amp;"-01"), "dd-mm-yyyy")),0),0)</f>
        <v>0</v>
      </c>
      <c r="N680" cm="1">
        <f t="array" ref="N680">IF($Q680&gt;=0,IFERROR(generateSalesData($D680, IF(ISNUMBER(_xlfn.XLOOKUP($C680,Phone_by_Sentiment!$B$2:$B$37,Phone_by_Sentiment!N$2:N$37,"",0,1)),_xlfn.XLOOKUP($C680,Phone_by_Sentiment!$B$2:$B$37,Phone_by_Sentiment!N$2:N$37,"",0,1),0),$A680-TEXT(DATEVALUE($D680&amp;"-01"), "dd-mm-yyyy")),0),0)</f>
        <v>0</v>
      </c>
      <c r="O680" cm="1">
        <f t="array" ref="O680">IF($Q680&gt;=0,IFERROR(generateSalesData($D680, IF(ISNUMBER(_xlfn.XLOOKUP($C680,Phone_by_Sentiment!$B$2:$B$37,Phone_by_Sentiment!O$2:O$37,"",0,1)),_xlfn.XLOOKUP($C680,Phone_by_Sentiment!$B$2:$B$37,Phone_by_Sentiment!O$2:O$37,"",0,1),0),$A680-TEXT(DATEVALUE($D680&amp;"-01"), "dd-mm-yyyy")),0),0)</f>
        <v>0</v>
      </c>
      <c r="P680" s="1">
        <f t="shared" si="28"/>
        <v>44256</v>
      </c>
      <c r="Q680">
        <f t="shared" si="29"/>
        <v>-212</v>
      </c>
    </row>
    <row r="681" spans="1:17" x14ac:dyDescent="0.25">
      <c r="A681" s="1">
        <f t="shared" si="27"/>
        <v>44044</v>
      </c>
      <c r="B681" t="s">
        <v>160</v>
      </c>
      <c r="C681" t="str">
        <f>_xlfn.XLOOKUP(B681,Phone_by_Price!$A$2:$A$34,Phone_by_Price!$B$2:$B$34,"-",0,1)</f>
        <v>Xiaomi Poco X3 Pro</v>
      </c>
      <c r="D681" t="str">
        <f>_xlfn.XLOOKUP(C681,Phone_by_Sentiment!$B$2:$B$37,Phone_by_Sentiment!$A$2:$A$37,"-",0,1)</f>
        <v>2021-05</v>
      </c>
      <c r="E681" cm="1">
        <f t="array" ref="E681">IF($Q681&gt;=0,IFERROR(generateSalesData($D681, IF(ISNUMBER(_xlfn.XLOOKUP($C681,Phone_by_Sentiment!$B$2:$B$37,Phone_by_Sentiment!E$2:E$37,"",0,1)),_xlfn.XLOOKUP($C681,Phone_by_Sentiment!$B$2:$B$37,Phone_by_Sentiment!E$2:E$37,"",0,1),0),$A681-TEXT(DATEVALUE($D681&amp;"-01"), "dd-mm-yyyy")),0),0)</f>
        <v>0</v>
      </c>
      <c r="F681" cm="1">
        <f t="array" ref="F681">IF($Q681&gt;=0,IFERROR(generateSalesData($D681, IF(ISNUMBER(_xlfn.XLOOKUP($C681,Phone_by_Sentiment!$B$2:$B$37,Phone_by_Sentiment!F$2:F$37,"",0,1)),_xlfn.XLOOKUP($C681,Phone_by_Sentiment!$B$2:$B$37,Phone_by_Sentiment!F$2:F$37,"",0,1),0),$A681-TEXT(DATEVALUE($D681&amp;"-01"), "dd-mm-yyyy")),0),0)</f>
        <v>0</v>
      </c>
      <c r="G681" cm="1">
        <f t="array" ref="G681">IF($Q681&gt;=0,IFERROR(generateSalesData($D681, IF(ISNUMBER(_xlfn.XLOOKUP($C681,Phone_by_Sentiment!$B$2:$B$37,Phone_by_Sentiment!G$2:G$37,"",0,1)),_xlfn.XLOOKUP($C681,Phone_by_Sentiment!$B$2:$B$37,Phone_by_Sentiment!G$2:G$37,"",0,1),0),$A681-TEXT(DATEVALUE($D681&amp;"-01"), "dd-mm-yyyy")),0),0)</f>
        <v>0</v>
      </c>
      <c r="H681" cm="1">
        <f t="array" ref="H681">IF($Q681&gt;=0,IFERROR(generateSalesData($D681, IF(ISNUMBER(_xlfn.XLOOKUP($C681,Phone_by_Sentiment!$B$2:$B$37,Phone_by_Sentiment!H$2:H$37,"",0,1)),_xlfn.XLOOKUP($C681,Phone_by_Sentiment!$B$2:$B$37,Phone_by_Sentiment!H$2:H$37,"",0,1),0),$A681-TEXT(DATEVALUE($D681&amp;"-01"), "dd-mm-yyyy")),0),0)</f>
        <v>0</v>
      </c>
      <c r="I681" cm="1">
        <f t="array" ref="I681">IF($Q681&gt;=0,IFERROR(generateSalesData($D681, IF(ISNUMBER(_xlfn.XLOOKUP($C681,Phone_by_Sentiment!$B$2:$B$37,Phone_by_Sentiment!I$2:I$37,"",0,1)),_xlfn.XLOOKUP($C681,Phone_by_Sentiment!$B$2:$B$37,Phone_by_Sentiment!I$2:I$37,"",0,1),0),$A681-TEXT(DATEVALUE($D681&amp;"-01"), "dd-mm-yyyy")),0),0)</f>
        <v>0</v>
      </c>
      <c r="J681" cm="1">
        <f t="array" ref="J681">IF($Q681&gt;=0,IFERROR(generateSalesData($D681, IF(ISNUMBER(_xlfn.XLOOKUP($C681,Phone_by_Sentiment!$B$2:$B$37,Phone_by_Sentiment!J$2:J$37,"",0,1)),_xlfn.XLOOKUP($C681,Phone_by_Sentiment!$B$2:$B$37,Phone_by_Sentiment!J$2:J$37,"",0,1),0),$A681-TEXT(DATEVALUE($D681&amp;"-01"), "dd-mm-yyyy")),0),0)</f>
        <v>0</v>
      </c>
      <c r="K681" cm="1">
        <f t="array" ref="K681">IF($Q681&gt;=0,IFERROR(generateSalesData($D681, IF(ISNUMBER(_xlfn.XLOOKUP($C681,Phone_by_Sentiment!$B$2:$B$37,Phone_by_Sentiment!K$2:K$37,"",0,1)),_xlfn.XLOOKUP($C681,Phone_by_Sentiment!$B$2:$B$37,Phone_by_Sentiment!K$2:K$37,"",0,1),0),$A681-TEXT(DATEVALUE($D681&amp;"-01"), "dd-mm-yyyy")),0),0)</f>
        <v>0</v>
      </c>
      <c r="L681" cm="1">
        <f t="array" ref="L681">IF($Q681&gt;=0,IFERROR(generateSalesData($D681, IF(ISNUMBER(_xlfn.XLOOKUP($C681,Phone_by_Sentiment!$B$2:$B$37,Phone_by_Sentiment!L$2:L$37,"",0,1)),_xlfn.XLOOKUP($C681,Phone_by_Sentiment!$B$2:$B$37,Phone_by_Sentiment!L$2:L$37,"",0,1),0),$A681-TEXT(DATEVALUE($D681&amp;"-01"), "dd-mm-yyyy")),0),0)</f>
        <v>0</v>
      </c>
      <c r="M681" cm="1">
        <f t="array" ref="M681">IF($Q681&gt;=0,IFERROR(generateSalesData($D681, IF(ISNUMBER(_xlfn.XLOOKUP($C681,Phone_by_Sentiment!$B$2:$B$37,Phone_by_Sentiment!M$2:M$37,"",0,1)),_xlfn.XLOOKUP($C681,Phone_by_Sentiment!$B$2:$B$37,Phone_by_Sentiment!M$2:M$37,"",0,1),0),$A681-TEXT(DATEVALUE($D681&amp;"-01"), "dd-mm-yyyy")),0),0)</f>
        <v>0</v>
      </c>
      <c r="N681" cm="1">
        <f t="array" ref="N681">IF($Q681&gt;=0,IFERROR(generateSalesData($D681, IF(ISNUMBER(_xlfn.XLOOKUP($C681,Phone_by_Sentiment!$B$2:$B$37,Phone_by_Sentiment!N$2:N$37,"",0,1)),_xlfn.XLOOKUP($C681,Phone_by_Sentiment!$B$2:$B$37,Phone_by_Sentiment!N$2:N$37,"",0,1),0),$A681-TEXT(DATEVALUE($D681&amp;"-01"), "dd-mm-yyyy")),0),0)</f>
        <v>0</v>
      </c>
      <c r="O681" cm="1">
        <f t="array" ref="O681">IF($Q681&gt;=0,IFERROR(generateSalesData($D681, IF(ISNUMBER(_xlfn.XLOOKUP($C681,Phone_by_Sentiment!$B$2:$B$37,Phone_by_Sentiment!O$2:O$37,"",0,1)),_xlfn.XLOOKUP($C681,Phone_by_Sentiment!$B$2:$B$37,Phone_by_Sentiment!O$2:O$37,"",0,1),0),$A681-TEXT(DATEVALUE($D681&amp;"-01"), "dd-mm-yyyy")),0),0)</f>
        <v>0</v>
      </c>
      <c r="P681" s="1">
        <f t="shared" si="28"/>
        <v>44317</v>
      </c>
      <c r="Q681">
        <f t="shared" si="29"/>
        <v>-273</v>
      </c>
    </row>
    <row r="682" spans="1:17" x14ac:dyDescent="0.25">
      <c r="A682" s="1">
        <f t="shared" si="27"/>
        <v>44044</v>
      </c>
      <c r="B682" t="s">
        <v>161</v>
      </c>
      <c r="C682" t="str">
        <f>_xlfn.XLOOKUP(B682,Phone_by_Price!$A$2:$A$34,Phone_by_Price!$B$2:$B$34,"-",0,1)</f>
        <v>Samsung Galaxy Z Flip 3</v>
      </c>
      <c r="D682" t="str">
        <f>_xlfn.XLOOKUP(C682,Phone_by_Sentiment!$B$2:$B$37,Phone_by_Sentiment!$A$2:$A$37,"-",0,1)</f>
        <v>2021-09</v>
      </c>
      <c r="E682" cm="1">
        <f t="array" ref="E682">IF($Q682&gt;=0,IFERROR(generateSalesData($D682, IF(ISNUMBER(_xlfn.XLOOKUP($C682,Phone_by_Sentiment!$B$2:$B$37,Phone_by_Sentiment!E$2:E$37,"",0,1)),_xlfn.XLOOKUP($C682,Phone_by_Sentiment!$B$2:$B$37,Phone_by_Sentiment!E$2:E$37,"",0,1),0),$A682-TEXT(DATEVALUE($D682&amp;"-01"), "dd-mm-yyyy")),0),0)</f>
        <v>0</v>
      </c>
      <c r="F682" cm="1">
        <f t="array" ref="F682">IF($Q682&gt;=0,IFERROR(generateSalesData($D682, IF(ISNUMBER(_xlfn.XLOOKUP($C682,Phone_by_Sentiment!$B$2:$B$37,Phone_by_Sentiment!F$2:F$37,"",0,1)),_xlfn.XLOOKUP($C682,Phone_by_Sentiment!$B$2:$B$37,Phone_by_Sentiment!F$2:F$37,"",0,1),0),$A682-TEXT(DATEVALUE($D682&amp;"-01"), "dd-mm-yyyy")),0),0)</f>
        <v>0</v>
      </c>
      <c r="G682" cm="1">
        <f t="array" ref="G682">IF($Q682&gt;=0,IFERROR(generateSalesData($D682, IF(ISNUMBER(_xlfn.XLOOKUP($C682,Phone_by_Sentiment!$B$2:$B$37,Phone_by_Sentiment!G$2:G$37,"",0,1)),_xlfn.XLOOKUP($C682,Phone_by_Sentiment!$B$2:$B$37,Phone_by_Sentiment!G$2:G$37,"",0,1),0),$A682-TEXT(DATEVALUE($D682&amp;"-01"), "dd-mm-yyyy")),0),0)</f>
        <v>0</v>
      </c>
      <c r="H682" cm="1">
        <f t="array" ref="H682">IF($Q682&gt;=0,IFERROR(generateSalesData($D682, IF(ISNUMBER(_xlfn.XLOOKUP($C682,Phone_by_Sentiment!$B$2:$B$37,Phone_by_Sentiment!H$2:H$37,"",0,1)),_xlfn.XLOOKUP($C682,Phone_by_Sentiment!$B$2:$B$37,Phone_by_Sentiment!H$2:H$37,"",0,1),0),$A682-TEXT(DATEVALUE($D682&amp;"-01"), "dd-mm-yyyy")),0),0)</f>
        <v>0</v>
      </c>
      <c r="I682" cm="1">
        <f t="array" ref="I682">IF($Q682&gt;=0,IFERROR(generateSalesData($D682, IF(ISNUMBER(_xlfn.XLOOKUP($C682,Phone_by_Sentiment!$B$2:$B$37,Phone_by_Sentiment!I$2:I$37,"",0,1)),_xlfn.XLOOKUP($C682,Phone_by_Sentiment!$B$2:$B$37,Phone_by_Sentiment!I$2:I$37,"",0,1),0),$A682-TEXT(DATEVALUE($D682&amp;"-01"), "dd-mm-yyyy")),0),0)</f>
        <v>0</v>
      </c>
      <c r="J682" cm="1">
        <f t="array" ref="J682">IF($Q682&gt;=0,IFERROR(generateSalesData($D682, IF(ISNUMBER(_xlfn.XLOOKUP($C682,Phone_by_Sentiment!$B$2:$B$37,Phone_by_Sentiment!J$2:J$37,"",0,1)),_xlfn.XLOOKUP($C682,Phone_by_Sentiment!$B$2:$B$37,Phone_by_Sentiment!J$2:J$37,"",0,1),0),$A682-TEXT(DATEVALUE($D682&amp;"-01"), "dd-mm-yyyy")),0),0)</f>
        <v>0</v>
      </c>
      <c r="K682" cm="1">
        <f t="array" ref="K682">IF($Q682&gt;=0,IFERROR(generateSalesData($D682, IF(ISNUMBER(_xlfn.XLOOKUP($C682,Phone_by_Sentiment!$B$2:$B$37,Phone_by_Sentiment!K$2:K$37,"",0,1)),_xlfn.XLOOKUP($C682,Phone_by_Sentiment!$B$2:$B$37,Phone_by_Sentiment!K$2:K$37,"",0,1),0),$A682-TEXT(DATEVALUE($D682&amp;"-01"), "dd-mm-yyyy")),0),0)</f>
        <v>0</v>
      </c>
      <c r="L682" cm="1">
        <f t="array" ref="L682">IF($Q682&gt;=0,IFERROR(generateSalesData($D682, IF(ISNUMBER(_xlfn.XLOOKUP($C682,Phone_by_Sentiment!$B$2:$B$37,Phone_by_Sentiment!L$2:L$37,"",0,1)),_xlfn.XLOOKUP($C682,Phone_by_Sentiment!$B$2:$B$37,Phone_by_Sentiment!L$2:L$37,"",0,1),0),$A682-TEXT(DATEVALUE($D682&amp;"-01"), "dd-mm-yyyy")),0),0)</f>
        <v>0</v>
      </c>
      <c r="M682" cm="1">
        <f t="array" ref="M682">IF($Q682&gt;=0,IFERROR(generateSalesData($D682, IF(ISNUMBER(_xlfn.XLOOKUP($C682,Phone_by_Sentiment!$B$2:$B$37,Phone_by_Sentiment!M$2:M$37,"",0,1)),_xlfn.XLOOKUP($C682,Phone_by_Sentiment!$B$2:$B$37,Phone_by_Sentiment!M$2:M$37,"",0,1),0),$A682-TEXT(DATEVALUE($D682&amp;"-01"), "dd-mm-yyyy")),0),0)</f>
        <v>0</v>
      </c>
      <c r="N682" cm="1">
        <f t="array" ref="N682">IF($Q682&gt;=0,IFERROR(generateSalesData($D682, IF(ISNUMBER(_xlfn.XLOOKUP($C682,Phone_by_Sentiment!$B$2:$B$37,Phone_by_Sentiment!N$2:N$37,"",0,1)),_xlfn.XLOOKUP($C682,Phone_by_Sentiment!$B$2:$B$37,Phone_by_Sentiment!N$2:N$37,"",0,1),0),$A682-TEXT(DATEVALUE($D682&amp;"-01"), "dd-mm-yyyy")),0),0)</f>
        <v>0</v>
      </c>
      <c r="O682" cm="1">
        <f t="array" ref="O682">IF($Q682&gt;=0,IFERROR(generateSalesData($D682, IF(ISNUMBER(_xlfn.XLOOKUP($C682,Phone_by_Sentiment!$B$2:$B$37,Phone_by_Sentiment!O$2:O$37,"",0,1)),_xlfn.XLOOKUP($C682,Phone_by_Sentiment!$B$2:$B$37,Phone_by_Sentiment!O$2:O$37,"",0,1),0),$A682-TEXT(DATEVALUE($D682&amp;"-01"), "dd-mm-yyyy")),0),0)</f>
        <v>0</v>
      </c>
      <c r="P682" s="1">
        <f t="shared" si="28"/>
        <v>44440</v>
      </c>
      <c r="Q682">
        <f t="shared" si="29"/>
        <v>-396</v>
      </c>
    </row>
    <row r="683" spans="1:17" x14ac:dyDescent="0.25">
      <c r="A683" s="1">
        <f t="shared" si="27"/>
        <v>44044</v>
      </c>
      <c r="B683" t="s">
        <v>162</v>
      </c>
      <c r="C683" t="str">
        <f>_xlfn.XLOOKUP(B683,Phone_by_Price!$A$2:$A$34,Phone_by_Price!$B$2:$B$34,"-",0,1)</f>
        <v>Xiaomi Poco X3 NFC</v>
      </c>
      <c r="D683" t="str">
        <f>_xlfn.XLOOKUP(C683,Phone_by_Sentiment!$B$2:$B$37,Phone_by_Sentiment!$A$2:$A$37,"-",0,1)</f>
        <v>2020-08</v>
      </c>
      <c r="E683" cm="1">
        <f t="array" ref="E683">IF($Q683&gt;=0,IFERROR(generateSalesData($D683, IF(ISNUMBER(_xlfn.XLOOKUP($C683,Phone_by_Sentiment!$B$2:$B$37,Phone_by_Sentiment!E$2:E$37,"",0,1)),_xlfn.XLOOKUP($C683,Phone_by_Sentiment!$B$2:$B$37,Phone_by_Sentiment!E$2:E$37,"",0,1),0),$A683-TEXT(DATEVALUE($D683&amp;"-01"), "dd-mm-yyyy")),0),0)</f>
        <v>2806</v>
      </c>
      <c r="F683" cm="1">
        <f t="array" ref="F683">IF($Q683&gt;=0,IFERROR(generateSalesData($D683, IF(ISNUMBER(_xlfn.XLOOKUP($C683,Phone_by_Sentiment!$B$2:$B$37,Phone_by_Sentiment!F$2:F$37,"",0,1)),_xlfn.XLOOKUP($C683,Phone_by_Sentiment!$B$2:$B$37,Phone_by_Sentiment!F$2:F$37,"",0,1),0),$A683-TEXT(DATEVALUE($D683&amp;"-01"), "dd-mm-yyyy")),0),0)</f>
        <v>2611</v>
      </c>
      <c r="G683" cm="1">
        <f t="array" ref="G683">IF($Q683&gt;=0,IFERROR(generateSalesData($D683, IF(ISNUMBER(_xlfn.XLOOKUP($C683,Phone_by_Sentiment!$B$2:$B$37,Phone_by_Sentiment!G$2:G$37,"",0,1)),_xlfn.XLOOKUP($C683,Phone_by_Sentiment!$B$2:$B$37,Phone_by_Sentiment!G$2:G$37,"",0,1),0),$A683-TEXT(DATEVALUE($D683&amp;"-01"), "dd-mm-yyyy")),0),0)</f>
        <v>1784</v>
      </c>
      <c r="H683" cm="1">
        <f t="array" ref="H683">IF($Q683&gt;=0,IFERROR(generateSalesData($D683, IF(ISNUMBER(_xlfn.XLOOKUP($C683,Phone_by_Sentiment!$B$2:$B$37,Phone_by_Sentiment!H$2:H$37,"",0,1)),_xlfn.XLOOKUP($C683,Phone_by_Sentiment!$B$2:$B$37,Phone_by_Sentiment!H$2:H$37,"",0,1),0),$A683-TEXT(DATEVALUE($D683&amp;"-01"), "dd-mm-yyyy")),0),0)</f>
        <v>7720</v>
      </c>
      <c r="I683" cm="1">
        <f t="array" ref="I683">IF($Q683&gt;=0,IFERROR(generateSalesData($D683, IF(ISNUMBER(_xlfn.XLOOKUP($C683,Phone_by_Sentiment!$B$2:$B$37,Phone_by_Sentiment!I$2:I$37,"",0,1)),_xlfn.XLOOKUP($C683,Phone_by_Sentiment!$B$2:$B$37,Phone_by_Sentiment!I$2:I$37,"",0,1),0),$A683-TEXT(DATEVALUE($D683&amp;"-01"), "dd-mm-yyyy")),0),0)</f>
        <v>1867</v>
      </c>
      <c r="J683" cm="1">
        <f t="array" ref="J683">IF($Q683&gt;=0,IFERROR(generateSalesData($D683, IF(ISNUMBER(_xlfn.XLOOKUP($C683,Phone_by_Sentiment!$B$2:$B$37,Phone_by_Sentiment!J$2:J$37,"",0,1)),_xlfn.XLOOKUP($C683,Phone_by_Sentiment!$B$2:$B$37,Phone_by_Sentiment!J$2:J$37,"",0,1),0),$A683-TEXT(DATEVALUE($D683&amp;"-01"), "dd-mm-yyyy")),0),0)</f>
        <v>2674</v>
      </c>
      <c r="K683" cm="1">
        <f t="array" ref="K683">IF($Q683&gt;=0,IFERROR(generateSalesData($D683, IF(ISNUMBER(_xlfn.XLOOKUP($C683,Phone_by_Sentiment!$B$2:$B$37,Phone_by_Sentiment!K$2:K$37,"",0,1)),_xlfn.XLOOKUP($C683,Phone_by_Sentiment!$B$2:$B$37,Phone_by_Sentiment!K$2:K$37,"",0,1),0),$A683-TEXT(DATEVALUE($D683&amp;"-01"), "dd-mm-yyyy")),0),0)</f>
        <v>6687</v>
      </c>
      <c r="L683" cm="1">
        <f t="array" ref="L683">IF($Q683&gt;=0,IFERROR(generateSalesData($D683, IF(ISNUMBER(_xlfn.XLOOKUP($C683,Phone_by_Sentiment!$B$2:$B$37,Phone_by_Sentiment!L$2:L$37,"",0,1)),_xlfn.XLOOKUP($C683,Phone_by_Sentiment!$B$2:$B$37,Phone_by_Sentiment!L$2:L$37,"",0,1),0),$A683-TEXT(DATEVALUE($D683&amp;"-01"), "dd-mm-yyyy")),0),0)</f>
        <v>242</v>
      </c>
      <c r="M683" cm="1">
        <f t="array" ref="M683">IF($Q683&gt;=0,IFERROR(generateSalesData($D683, IF(ISNUMBER(_xlfn.XLOOKUP($C683,Phone_by_Sentiment!$B$2:$B$37,Phone_by_Sentiment!M$2:M$37,"",0,1)),_xlfn.XLOOKUP($C683,Phone_by_Sentiment!$B$2:$B$37,Phone_by_Sentiment!M$2:M$37,"",0,1),0),$A683-TEXT(DATEVALUE($D683&amp;"-01"), "dd-mm-yyyy")),0),0)</f>
        <v>7211</v>
      </c>
      <c r="N683" cm="1">
        <f t="array" ref="N683">IF($Q683&gt;=0,IFERROR(generateSalesData($D683, IF(ISNUMBER(_xlfn.XLOOKUP($C683,Phone_by_Sentiment!$B$2:$B$37,Phone_by_Sentiment!N$2:N$37,"",0,1)),_xlfn.XLOOKUP($C683,Phone_by_Sentiment!$B$2:$B$37,Phone_by_Sentiment!N$2:N$37,"",0,1),0),$A683-TEXT(DATEVALUE($D683&amp;"-01"), "dd-mm-yyyy")),0),0)</f>
        <v>1356</v>
      </c>
      <c r="O683" cm="1">
        <f t="array" ref="O683">IF($Q683&gt;=0,IFERROR(generateSalesData($D683, IF(ISNUMBER(_xlfn.XLOOKUP($C683,Phone_by_Sentiment!$B$2:$B$37,Phone_by_Sentiment!O$2:O$37,"",0,1)),_xlfn.XLOOKUP($C683,Phone_by_Sentiment!$B$2:$B$37,Phone_by_Sentiment!O$2:O$37,"",0,1),0),$A683-TEXT(DATEVALUE($D683&amp;"-01"), "dd-mm-yyyy")),0),0)</f>
        <v>8196</v>
      </c>
      <c r="P683" s="1">
        <f t="shared" si="28"/>
        <v>44044</v>
      </c>
      <c r="Q683">
        <f t="shared" si="29"/>
        <v>0</v>
      </c>
    </row>
    <row r="684" spans="1:17" x14ac:dyDescent="0.25">
      <c r="A684" s="1">
        <f t="shared" si="27"/>
        <v>44044</v>
      </c>
      <c r="B684" t="s">
        <v>163</v>
      </c>
      <c r="C684" t="str">
        <f>_xlfn.XLOOKUP(B684,Phone_by_Price!$A$2:$A$34,Phone_by_Price!$B$2:$B$34,"-",0,1)</f>
        <v>OPPO A93</v>
      </c>
      <c r="D684" t="str">
        <f>_xlfn.XLOOKUP(C684,Phone_by_Sentiment!$B$2:$B$37,Phone_by_Sentiment!$A$2:$A$37,"-",0,1)</f>
        <v>2021-02</v>
      </c>
      <c r="E684" cm="1">
        <f t="array" ref="E684">IF($Q684&gt;=0,IFERROR(generateSalesData($D684, IF(ISNUMBER(_xlfn.XLOOKUP($C684,Phone_by_Sentiment!$B$2:$B$37,Phone_by_Sentiment!E$2:E$37,"",0,1)),_xlfn.XLOOKUP($C684,Phone_by_Sentiment!$B$2:$B$37,Phone_by_Sentiment!E$2:E$37,"",0,1),0),$A684-TEXT(DATEVALUE($D684&amp;"-01"), "dd-mm-yyyy")),0),0)</f>
        <v>0</v>
      </c>
      <c r="F684" cm="1">
        <f t="array" ref="F684">IF($Q684&gt;=0,IFERROR(generateSalesData($D684, IF(ISNUMBER(_xlfn.XLOOKUP($C684,Phone_by_Sentiment!$B$2:$B$37,Phone_by_Sentiment!F$2:F$37,"",0,1)),_xlfn.XLOOKUP($C684,Phone_by_Sentiment!$B$2:$B$37,Phone_by_Sentiment!F$2:F$37,"",0,1),0),$A684-TEXT(DATEVALUE($D684&amp;"-01"), "dd-mm-yyyy")),0),0)</f>
        <v>0</v>
      </c>
      <c r="G684" cm="1">
        <f t="array" ref="G684">IF($Q684&gt;=0,IFERROR(generateSalesData($D684, IF(ISNUMBER(_xlfn.XLOOKUP($C684,Phone_by_Sentiment!$B$2:$B$37,Phone_by_Sentiment!G$2:G$37,"",0,1)),_xlfn.XLOOKUP($C684,Phone_by_Sentiment!$B$2:$B$37,Phone_by_Sentiment!G$2:G$37,"",0,1),0),$A684-TEXT(DATEVALUE($D684&amp;"-01"), "dd-mm-yyyy")),0),0)</f>
        <v>0</v>
      </c>
      <c r="H684" cm="1">
        <f t="array" ref="H684">IF($Q684&gt;=0,IFERROR(generateSalesData($D684, IF(ISNUMBER(_xlfn.XLOOKUP($C684,Phone_by_Sentiment!$B$2:$B$37,Phone_by_Sentiment!H$2:H$37,"",0,1)),_xlfn.XLOOKUP($C684,Phone_by_Sentiment!$B$2:$B$37,Phone_by_Sentiment!H$2:H$37,"",0,1),0),$A684-TEXT(DATEVALUE($D684&amp;"-01"), "dd-mm-yyyy")),0),0)</f>
        <v>0</v>
      </c>
      <c r="I684" cm="1">
        <f t="array" ref="I684">IF($Q684&gt;=0,IFERROR(generateSalesData($D684, IF(ISNUMBER(_xlfn.XLOOKUP($C684,Phone_by_Sentiment!$B$2:$B$37,Phone_by_Sentiment!I$2:I$37,"",0,1)),_xlfn.XLOOKUP($C684,Phone_by_Sentiment!$B$2:$B$37,Phone_by_Sentiment!I$2:I$37,"",0,1),0),$A684-TEXT(DATEVALUE($D684&amp;"-01"), "dd-mm-yyyy")),0),0)</f>
        <v>0</v>
      </c>
      <c r="J684" cm="1">
        <f t="array" ref="J684">IF($Q684&gt;=0,IFERROR(generateSalesData($D684, IF(ISNUMBER(_xlfn.XLOOKUP($C684,Phone_by_Sentiment!$B$2:$B$37,Phone_by_Sentiment!J$2:J$37,"",0,1)),_xlfn.XLOOKUP($C684,Phone_by_Sentiment!$B$2:$B$37,Phone_by_Sentiment!J$2:J$37,"",0,1),0),$A684-TEXT(DATEVALUE($D684&amp;"-01"), "dd-mm-yyyy")),0),0)</f>
        <v>0</v>
      </c>
      <c r="K684" cm="1">
        <f t="array" ref="K684">IF($Q684&gt;=0,IFERROR(generateSalesData($D684, IF(ISNUMBER(_xlfn.XLOOKUP($C684,Phone_by_Sentiment!$B$2:$B$37,Phone_by_Sentiment!K$2:K$37,"",0,1)),_xlfn.XLOOKUP($C684,Phone_by_Sentiment!$B$2:$B$37,Phone_by_Sentiment!K$2:K$37,"",0,1),0),$A684-TEXT(DATEVALUE($D684&amp;"-01"), "dd-mm-yyyy")),0),0)</f>
        <v>0</v>
      </c>
      <c r="L684" cm="1">
        <f t="array" ref="L684">IF($Q684&gt;=0,IFERROR(generateSalesData($D684, IF(ISNUMBER(_xlfn.XLOOKUP($C684,Phone_by_Sentiment!$B$2:$B$37,Phone_by_Sentiment!L$2:L$37,"",0,1)),_xlfn.XLOOKUP($C684,Phone_by_Sentiment!$B$2:$B$37,Phone_by_Sentiment!L$2:L$37,"",0,1),0),$A684-TEXT(DATEVALUE($D684&amp;"-01"), "dd-mm-yyyy")),0),0)</f>
        <v>0</v>
      </c>
      <c r="M684" cm="1">
        <f t="array" ref="M684">IF($Q684&gt;=0,IFERROR(generateSalesData($D684, IF(ISNUMBER(_xlfn.XLOOKUP($C684,Phone_by_Sentiment!$B$2:$B$37,Phone_by_Sentiment!M$2:M$37,"",0,1)),_xlfn.XLOOKUP($C684,Phone_by_Sentiment!$B$2:$B$37,Phone_by_Sentiment!M$2:M$37,"",0,1),0),$A684-TEXT(DATEVALUE($D684&amp;"-01"), "dd-mm-yyyy")),0),0)</f>
        <v>0</v>
      </c>
      <c r="N684" cm="1">
        <f t="array" ref="N684">IF($Q684&gt;=0,IFERROR(generateSalesData($D684, IF(ISNUMBER(_xlfn.XLOOKUP($C684,Phone_by_Sentiment!$B$2:$B$37,Phone_by_Sentiment!N$2:N$37,"",0,1)),_xlfn.XLOOKUP($C684,Phone_by_Sentiment!$B$2:$B$37,Phone_by_Sentiment!N$2:N$37,"",0,1),0),$A684-TEXT(DATEVALUE($D684&amp;"-01"), "dd-mm-yyyy")),0),0)</f>
        <v>0</v>
      </c>
      <c r="O684" cm="1">
        <f t="array" ref="O684">IF($Q684&gt;=0,IFERROR(generateSalesData($D684, IF(ISNUMBER(_xlfn.XLOOKUP($C684,Phone_by_Sentiment!$B$2:$B$37,Phone_by_Sentiment!O$2:O$37,"",0,1)),_xlfn.XLOOKUP($C684,Phone_by_Sentiment!$B$2:$B$37,Phone_by_Sentiment!O$2:O$37,"",0,1),0),$A684-TEXT(DATEVALUE($D684&amp;"-01"), "dd-mm-yyyy")),0),0)</f>
        <v>0</v>
      </c>
      <c r="P684" s="1">
        <f t="shared" si="28"/>
        <v>44228</v>
      </c>
      <c r="Q684">
        <f t="shared" si="29"/>
        <v>-184</v>
      </c>
    </row>
    <row r="685" spans="1:17" x14ac:dyDescent="0.25">
      <c r="A685" s="1">
        <f t="shared" si="27"/>
        <v>44044</v>
      </c>
      <c r="B685" t="s">
        <v>164</v>
      </c>
      <c r="C685" t="str">
        <f>_xlfn.XLOOKUP(B685,Phone_by_Price!$A$2:$A$34,Phone_by_Price!$B$2:$B$34,"-",0,1)</f>
        <v>Vivo V20</v>
      </c>
      <c r="D685" t="str">
        <f>_xlfn.XLOOKUP(C685,Phone_by_Sentiment!$B$2:$B$37,Phone_by_Sentiment!$A$2:$A$37,"-",0,1)</f>
        <v>2020-10</v>
      </c>
      <c r="E685" cm="1">
        <f t="array" ref="E685">IF($Q685&gt;=0,IFERROR(generateSalesData($D685, IF(ISNUMBER(_xlfn.XLOOKUP($C685,Phone_by_Sentiment!$B$2:$B$37,Phone_by_Sentiment!E$2:E$37,"",0,1)),_xlfn.XLOOKUP($C685,Phone_by_Sentiment!$B$2:$B$37,Phone_by_Sentiment!E$2:E$37,"",0,1),0),$A685-TEXT(DATEVALUE($D685&amp;"-01"), "dd-mm-yyyy")),0),0)</f>
        <v>0</v>
      </c>
      <c r="F685" cm="1">
        <f t="array" ref="F685">IF($Q685&gt;=0,IFERROR(generateSalesData($D685, IF(ISNUMBER(_xlfn.XLOOKUP($C685,Phone_by_Sentiment!$B$2:$B$37,Phone_by_Sentiment!F$2:F$37,"",0,1)),_xlfn.XLOOKUP($C685,Phone_by_Sentiment!$B$2:$B$37,Phone_by_Sentiment!F$2:F$37,"",0,1),0),$A685-TEXT(DATEVALUE($D685&amp;"-01"), "dd-mm-yyyy")),0),0)</f>
        <v>0</v>
      </c>
      <c r="G685" cm="1">
        <f t="array" ref="G685">IF($Q685&gt;=0,IFERROR(generateSalesData($D685, IF(ISNUMBER(_xlfn.XLOOKUP($C685,Phone_by_Sentiment!$B$2:$B$37,Phone_by_Sentiment!G$2:G$37,"",0,1)),_xlfn.XLOOKUP($C685,Phone_by_Sentiment!$B$2:$B$37,Phone_by_Sentiment!G$2:G$37,"",0,1),0),$A685-TEXT(DATEVALUE($D685&amp;"-01"), "dd-mm-yyyy")),0),0)</f>
        <v>0</v>
      </c>
      <c r="H685" cm="1">
        <f t="array" ref="H685">IF($Q685&gt;=0,IFERROR(generateSalesData($D685, IF(ISNUMBER(_xlfn.XLOOKUP($C685,Phone_by_Sentiment!$B$2:$B$37,Phone_by_Sentiment!H$2:H$37,"",0,1)),_xlfn.XLOOKUP($C685,Phone_by_Sentiment!$B$2:$B$37,Phone_by_Sentiment!H$2:H$37,"",0,1),0),$A685-TEXT(DATEVALUE($D685&amp;"-01"), "dd-mm-yyyy")),0),0)</f>
        <v>0</v>
      </c>
      <c r="I685" cm="1">
        <f t="array" ref="I685">IF($Q685&gt;=0,IFERROR(generateSalesData($D685, IF(ISNUMBER(_xlfn.XLOOKUP($C685,Phone_by_Sentiment!$B$2:$B$37,Phone_by_Sentiment!I$2:I$37,"",0,1)),_xlfn.XLOOKUP($C685,Phone_by_Sentiment!$B$2:$B$37,Phone_by_Sentiment!I$2:I$37,"",0,1),0),$A685-TEXT(DATEVALUE($D685&amp;"-01"), "dd-mm-yyyy")),0),0)</f>
        <v>0</v>
      </c>
      <c r="J685" cm="1">
        <f t="array" ref="J685">IF($Q685&gt;=0,IFERROR(generateSalesData($D685, IF(ISNUMBER(_xlfn.XLOOKUP($C685,Phone_by_Sentiment!$B$2:$B$37,Phone_by_Sentiment!J$2:J$37,"",0,1)),_xlfn.XLOOKUP($C685,Phone_by_Sentiment!$B$2:$B$37,Phone_by_Sentiment!J$2:J$37,"",0,1),0),$A685-TEXT(DATEVALUE($D685&amp;"-01"), "dd-mm-yyyy")),0),0)</f>
        <v>0</v>
      </c>
      <c r="K685" cm="1">
        <f t="array" ref="K685">IF($Q685&gt;=0,IFERROR(generateSalesData($D685, IF(ISNUMBER(_xlfn.XLOOKUP($C685,Phone_by_Sentiment!$B$2:$B$37,Phone_by_Sentiment!K$2:K$37,"",0,1)),_xlfn.XLOOKUP($C685,Phone_by_Sentiment!$B$2:$B$37,Phone_by_Sentiment!K$2:K$37,"",0,1),0),$A685-TEXT(DATEVALUE($D685&amp;"-01"), "dd-mm-yyyy")),0),0)</f>
        <v>0</v>
      </c>
      <c r="L685" cm="1">
        <f t="array" ref="L685">IF($Q685&gt;=0,IFERROR(generateSalesData($D685, IF(ISNUMBER(_xlfn.XLOOKUP($C685,Phone_by_Sentiment!$B$2:$B$37,Phone_by_Sentiment!L$2:L$37,"",0,1)),_xlfn.XLOOKUP($C685,Phone_by_Sentiment!$B$2:$B$37,Phone_by_Sentiment!L$2:L$37,"",0,1),0),$A685-TEXT(DATEVALUE($D685&amp;"-01"), "dd-mm-yyyy")),0),0)</f>
        <v>0</v>
      </c>
      <c r="M685" cm="1">
        <f t="array" ref="M685">IF($Q685&gt;=0,IFERROR(generateSalesData($D685, IF(ISNUMBER(_xlfn.XLOOKUP($C685,Phone_by_Sentiment!$B$2:$B$37,Phone_by_Sentiment!M$2:M$37,"",0,1)),_xlfn.XLOOKUP($C685,Phone_by_Sentiment!$B$2:$B$37,Phone_by_Sentiment!M$2:M$37,"",0,1),0),$A685-TEXT(DATEVALUE($D685&amp;"-01"), "dd-mm-yyyy")),0),0)</f>
        <v>0</v>
      </c>
      <c r="N685" cm="1">
        <f t="array" ref="N685">IF($Q685&gt;=0,IFERROR(generateSalesData($D685, IF(ISNUMBER(_xlfn.XLOOKUP($C685,Phone_by_Sentiment!$B$2:$B$37,Phone_by_Sentiment!N$2:N$37,"",0,1)),_xlfn.XLOOKUP($C685,Phone_by_Sentiment!$B$2:$B$37,Phone_by_Sentiment!N$2:N$37,"",0,1),0),$A685-TEXT(DATEVALUE($D685&amp;"-01"), "dd-mm-yyyy")),0),0)</f>
        <v>0</v>
      </c>
      <c r="O685" cm="1">
        <f t="array" ref="O685">IF($Q685&gt;=0,IFERROR(generateSalesData($D685, IF(ISNUMBER(_xlfn.XLOOKUP($C685,Phone_by_Sentiment!$B$2:$B$37,Phone_by_Sentiment!O$2:O$37,"",0,1)),_xlfn.XLOOKUP($C685,Phone_by_Sentiment!$B$2:$B$37,Phone_by_Sentiment!O$2:O$37,"",0,1),0),$A685-TEXT(DATEVALUE($D685&amp;"-01"), "dd-mm-yyyy")),0),0)</f>
        <v>0</v>
      </c>
      <c r="P685" s="1">
        <f t="shared" si="28"/>
        <v>44105</v>
      </c>
      <c r="Q685">
        <f t="shared" si="29"/>
        <v>-61</v>
      </c>
    </row>
    <row r="686" spans="1:17" x14ac:dyDescent="0.25">
      <c r="A686" s="1">
        <f t="shared" si="27"/>
        <v>44044</v>
      </c>
      <c r="B686" t="s">
        <v>165</v>
      </c>
      <c r="C686" t="str">
        <f>_xlfn.XLOOKUP(B686,Phone_by_Price!$A$2:$A$34,Phone_by_Price!$B$2:$B$34,"-",0,1)</f>
        <v>Samsung Galaxy A50</v>
      </c>
      <c r="D686" t="str">
        <f>_xlfn.XLOOKUP(C686,Phone_by_Sentiment!$B$2:$B$37,Phone_by_Sentiment!$A$2:$A$37,"-",0,1)</f>
        <v>2019-05</v>
      </c>
      <c r="E686" cm="1">
        <f t="array" ref="E686">IF($Q686&gt;=0,IFERROR(generateSalesData($D686, IF(ISNUMBER(_xlfn.XLOOKUP($C686,Phone_by_Sentiment!$B$2:$B$37,Phone_by_Sentiment!E$2:E$37,"",0,1)),_xlfn.XLOOKUP($C686,Phone_by_Sentiment!$B$2:$B$37,Phone_by_Sentiment!E$2:E$37,"",0,1),0),$A686-TEXT(DATEVALUE($D686&amp;"-01"), "dd-mm-yyyy")),0),0)</f>
        <v>98</v>
      </c>
      <c r="F686" cm="1">
        <f t="array" ref="F686">IF($Q686&gt;=0,IFERROR(generateSalesData($D686, IF(ISNUMBER(_xlfn.XLOOKUP($C686,Phone_by_Sentiment!$B$2:$B$37,Phone_by_Sentiment!F$2:F$37,"",0,1)),_xlfn.XLOOKUP($C686,Phone_by_Sentiment!$B$2:$B$37,Phone_by_Sentiment!F$2:F$37,"",0,1),0),$A686-TEXT(DATEVALUE($D686&amp;"-01"), "dd-mm-yyyy")),0),0)</f>
        <v>54</v>
      </c>
      <c r="G686" cm="1">
        <f t="array" ref="G686">IF($Q686&gt;=0,IFERROR(generateSalesData($D686, IF(ISNUMBER(_xlfn.XLOOKUP($C686,Phone_by_Sentiment!$B$2:$B$37,Phone_by_Sentiment!G$2:G$37,"",0,1)),_xlfn.XLOOKUP($C686,Phone_by_Sentiment!$B$2:$B$37,Phone_by_Sentiment!G$2:G$37,"",0,1),0),$A686-TEXT(DATEVALUE($D686&amp;"-01"), "dd-mm-yyyy")),0),0)</f>
        <v>123</v>
      </c>
      <c r="H686" cm="1">
        <f t="array" ref="H686">IF($Q686&gt;=0,IFERROR(generateSalesData($D686, IF(ISNUMBER(_xlfn.XLOOKUP($C686,Phone_by_Sentiment!$B$2:$B$37,Phone_by_Sentiment!H$2:H$37,"",0,1)),_xlfn.XLOOKUP($C686,Phone_by_Sentiment!$B$2:$B$37,Phone_by_Sentiment!H$2:H$37,"",0,1),0),$A686-TEXT(DATEVALUE($D686&amp;"-01"), "dd-mm-yyyy")),0),0)</f>
        <v>269</v>
      </c>
      <c r="I686" cm="1">
        <f t="array" ref="I686">IF($Q686&gt;=0,IFERROR(generateSalesData($D686, IF(ISNUMBER(_xlfn.XLOOKUP($C686,Phone_by_Sentiment!$B$2:$B$37,Phone_by_Sentiment!I$2:I$37,"",0,1)),_xlfn.XLOOKUP($C686,Phone_by_Sentiment!$B$2:$B$37,Phone_by_Sentiment!I$2:I$37,"",0,1),0),$A686-TEXT(DATEVALUE($D686&amp;"-01"), "dd-mm-yyyy")),0),0)</f>
        <v>720</v>
      </c>
      <c r="J686" cm="1">
        <f t="array" ref="J686">IF($Q686&gt;=0,IFERROR(generateSalesData($D686, IF(ISNUMBER(_xlfn.XLOOKUP($C686,Phone_by_Sentiment!$B$2:$B$37,Phone_by_Sentiment!J$2:J$37,"",0,1)),_xlfn.XLOOKUP($C686,Phone_by_Sentiment!$B$2:$B$37,Phone_by_Sentiment!J$2:J$37,"",0,1),0),$A686-TEXT(DATEVALUE($D686&amp;"-01"), "dd-mm-yyyy")),0),0)</f>
        <v>188</v>
      </c>
      <c r="K686" cm="1">
        <f t="array" ref="K686">IF($Q686&gt;=0,IFERROR(generateSalesData($D686, IF(ISNUMBER(_xlfn.XLOOKUP($C686,Phone_by_Sentiment!$B$2:$B$37,Phone_by_Sentiment!K$2:K$37,"",0,1)),_xlfn.XLOOKUP($C686,Phone_by_Sentiment!$B$2:$B$37,Phone_by_Sentiment!K$2:K$37,"",0,1),0),$A686-TEXT(DATEVALUE($D686&amp;"-01"), "dd-mm-yyyy")),0),0)</f>
        <v>169</v>
      </c>
      <c r="L686" cm="1">
        <f t="array" ref="L686">IF($Q686&gt;=0,IFERROR(generateSalesData($D686, IF(ISNUMBER(_xlfn.XLOOKUP($C686,Phone_by_Sentiment!$B$2:$B$37,Phone_by_Sentiment!L$2:L$37,"",0,1)),_xlfn.XLOOKUP($C686,Phone_by_Sentiment!$B$2:$B$37,Phone_by_Sentiment!L$2:L$37,"",0,1),0),$A686-TEXT(DATEVALUE($D686&amp;"-01"), "dd-mm-yyyy")),0),0)</f>
        <v>575</v>
      </c>
      <c r="M686" cm="1">
        <f t="array" ref="M686">IF($Q686&gt;=0,IFERROR(generateSalesData($D686, IF(ISNUMBER(_xlfn.XLOOKUP($C686,Phone_by_Sentiment!$B$2:$B$37,Phone_by_Sentiment!M$2:M$37,"",0,1)),_xlfn.XLOOKUP($C686,Phone_by_Sentiment!$B$2:$B$37,Phone_by_Sentiment!M$2:M$37,"",0,1),0),$A686-TEXT(DATEVALUE($D686&amp;"-01"), "dd-mm-yyyy")),0),0)</f>
        <v>138</v>
      </c>
      <c r="N686" cm="1">
        <f t="array" ref="N686">IF($Q686&gt;=0,IFERROR(generateSalesData($D686, IF(ISNUMBER(_xlfn.XLOOKUP($C686,Phone_by_Sentiment!$B$2:$B$37,Phone_by_Sentiment!N$2:N$37,"",0,1)),_xlfn.XLOOKUP($C686,Phone_by_Sentiment!$B$2:$B$37,Phone_by_Sentiment!N$2:N$37,"",0,1),0),$A686-TEXT(DATEVALUE($D686&amp;"-01"), "dd-mm-yyyy")),0),0)</f>
        <v>406</v>
      </c>
      <c r="O686" cm="1">
        <f t="array" ref="O686">IF($Q686&gt;=0,IFERROR(generateSalesData($D686, IF(ISNUMBER(_xlfn.XLOOKUP($C686,Phone_by_Sentiment!$B$2:$B$37,Phone_by_Sentiment!O$2:O$37,"",0,1)),_xlfn.XLOOKUP($C686,Phone_by_Sentiment!$B$2:$B$37,Phone_by_Sentiment!O$2:O$37,"",0,1),0),$A686-TEXT(DATEVALUE($D686&amp;"-01"), "dd-mm-yyyy")),0),0)</f>
        <v>556</v>
      </c>
      <c r="P686" s="1">
        <f t="shared" si="28"/>
        <v>43586</v>
      </c>
      <c r="Q686">
        <f t="shared" si="29"/>
        <v>458</v>
      </c>
    </row>
    <row r="687" spans="1:17" x14ac:dyDescent="0.25">
      <c r="A687" s="1">
        <f t="shared" si="27"/>
        <v>44044</v>
      </c>
      <c r="B687" t="s">
        <v>166</v>
      </c>
      <c r="C687" t="str">
        <f>_xlfn.XLOOKUP(B687,Phone_by_Price!$A$2:$A$34,Phone_by_Price!$B$2:$B$34,"-",0,1)</f>
        <v>Xiaomi Redmi Note 7</v>
      </c>
      <c r="D687" t="str">
        <f>_xlfn.XLOOKUP(C687,Phone_by_Sentiment!$B$2:$B$37,Phone_by_Sentiment!$A$2:$A$37,"-",0,1)</f>
        <v>2019-08</v>
      </c>
      <c r="E687" cm="1">
        <f t="array" ref="E687">IF($Q687&gt;=0,IFERROR(generateSalesData($D687, IF(ISNUMBER(_xlfn.XLOOKUP($C687,Phone_by_Sentiment!$B$2:$B$37,Phone_by_Sentiment!E$2:E$37,"",0,1)),_xlfn.XLOOKUP($C687,Phone_by_Sentiment!$B$2:$B$37,Phone_by_Sentiment!E$2:E$37,"",0,1),0),$A687-TEXT(DATEVALUE($D687&amp;"-01"), "dd-mm-yyyy")),0),0)</f>
        <v>207</v>
      </c>
      <c r="F687" cm="1">
        <f t="array" ref="F687">IF($Q687&gt;=0,IFERROR(generateSalesData($D687, IF(ISNUMBER(_xlfn.XLOOKUP($C687,Phone_by_Sentiment!$B$2:$B$37,Phone_by_Sentiment!F$2:F$37,"",0,1)),_xlfn.XLOOKUP($C687,Phone_by_Sentiment!$B$2:$B$37,Phone_by_Sentiment!F$2:F$37,"",0,1),0),$A687-TEXT(DATEVALUE($D687&amp;"-01"), "dd-mm-yyyy")),0),0)</f>
        <v>158</v>
      </c>
      <c r="G687" cm="1">
        <f t="array" ref="G687">IF($Q687&gt;=0,IFERROR(generateSalesData($D687, IF(ISNUMBER(_xlfn.XLOOKUP($C687,Phone_by_Sentiment!$B$2:$B$37,Phone_by_Sentiment!G$2:G$37,"",0,1)),_xlfn.XLOOKUP($C687,Phone_by_Sentiment!$B$2:$B$37,Phone_by_Sentiment!G$2:G$37,"",0,1),0),$A687-TEXT(DATEVALUE($D687&amp;"-01"), "dd-mm-yyyy")),0),0)</f>
        <v>73</v>
      </c>
      <c r="H687" cm="1">
        <f t="array" ref="H687">IF($Q687&gt;=0,IFERROR(generateSalesData($D687, IF(ISNUMBER(_xlfn.XLOOKUP($C687,Phone_by_Sentiment!$B$2:$B$37,Phone_by_Sentiment!H$2:H$37,"",0,1)),_xlfn.XLOOKUP($C687,Phone_by_Sentiment!$B$2:$B$37,Phone_by_Sentiment!H$2:H$37,"",0,1),0),$A687-TEXT(DATEVALUE($D687&amp;"-01"), "dd-mm-yyyy")),0),0)</f>
        <v>768</v>
      </c>
      <c r="I687" cm="1">
        <f t="array" ref="I687">IF($Q687&gt;=0,IFERROR(generateSalesData($D687, IF(ISNUMBER(_xlfn.XLOOKUP($C687,Phone_by_Sentiment!$B$2:$B$37,Phone_by_Sentiment!I$2:I$37,"",0,1)),_xlfn.XLOOKUP($C687,Phone_by_Sentiment!$B$2:$B$37,Phone_by_Sentiment!I$2:I$37,"",0,1),0),$A687-TEXT(DATEVALUE($D687&amp;"-01"), "dd-mm-yyyy")),0),0)</f>
        <v>310</v>
      </c>
      <c r="J687" cm="1">
        <f t="array" ref="J687">IF($Q687&gt;=0,IFERROR(generateSalesData($D687, IF(ISNUMBER(_xlfn.XLOOKUP($C687,Phone_by_Sentiment!$B$2:$B$37,Phone_by_Sentiment!J$2:J$37,"",0,1)),_xlfn.XLOOKUP($C687,Phone_by_Sentiment!$B$2:$B$37,Phone_by_Sentiment!J$2:J$37,"",0,1),0),$A687-TEXT(DATEVALUE($D687&amp;"-01"), "dd-mm-yyyy")),0),0)</f>
        <v>241</v>
      </c>
      <c r="K687" cm="1">
        <f t="array" ref="K687">IF($Q687&gt;=0,IFERROR(generateSalesData($D687, IF(ISNUMBER(_xlfn.XLOOKUP($C687,Phone_by_Sentiment!$B$2:$B$37,Phone_by_Sentiment!K$2:K$37,"",0,1)),_xlfn.XLOOKUP($C687,Phone_by_Sentiment!$B$2:$B$37,Phone_by_Sentiment!K$2:K$37,"",0,1),0),$A687-TEXT(DATEVALUE($D687&amp;"-01"), "dd-mm-yyyy")),0),0)</f>
        <v>567</v>
      </c>
      <c r="L687" cm="1">
        <f t="array" ref="L687">IF($Q687&gt;=0,IFERROR(generateSalesData($D687, IF(ISNUMBER(_xlfn.XLOOKUP($C687,Phone_by_Sentiment!$B$2:$B$37,Phone_by_Sentiment!L$2:L$37,"",0,1)),_xlfn.XLOOKUP($C687,Phone_by_Sentiment!$B$2:$B$37,Phone_by_Sentiment!L$2:L$37,"",0,1),0),$A687-TEXT(DATEVALUE($D687&amp;"-01"), "dd-mm-yyyy")),0),0)</f>
        <v>347</v>
      </c>
      <c r="M687" cm="1">
        <f t="array" ref="M687">IF($Q687&gt;=0,IFERROR(generateSalesData($D687, IF(ISNUMBER(_xlfn.XLOOKUP($C687,Phone_by_Sentiment!$B$2:$B$37,Phone_by_Sentiment!M$2:M$37,"",0,1)),_xlfn.XLOOKUP($C687,Phone_by_Sentiment!$B$2:$B$37,Phone_by_Sentiment!M$2:M$37,"",0,1),0),$A687-TEXT(DATEVALUE($D687&amp;"-01"), "dd-mm-yyyy")),0),0)</f>
        <v>815</v>
      </c>
      <c r="N687" cm="1">
        <f t="array" ref="N687">IF($Q687&gt;=0,IFERROR(generateSalesData($D687, IF(ISNUMBER(_xlfn.XLOOKUP($C687,Phone_by_Sentiment!$B$2:$B$37,Phone_by_Sentiment!N$2:N$37,"",0,1)),_xlfn.XLOOKUP($C687,Phone_by_Sentiment!$B$2:$B$37,Phone_by_Sentiment!N$2:N$37,"",0,1),0),$A687-TEXT(DATEVALUE($D687&amp;"-01"), "dd-mm-yyyy")),0),0)</f>
        <v>226</v>
      </c>
      <c r="O687" cm="1">
        <f t="array" ref="O687">IF($Q687&gt;=0,IFERROR(generateSalesData($D687, IF(ISNUMBER(_xlfn.XLOOKUP($C687,Phone_by_Sentiment!$B$2:$B$37,Phone_by_Sentiment!O$2:O$37,"",0,1)),_xlfn.XLOOKUP($C687,Phone_by_Sentiment!$B$2:$B$37,Phone_by_Sentiment!O$2:O$37,"",0,1),0),$A687-TEXT(DATEVALUE($D687&amp;"-01"), "dd-mm-yyyy")),0),0)</f>
        <v>546</v>
      </c>
      <c r="P687" s="1">
        <f t="shared" si="28"/>
        <v>43678</v>
      </c>
      <c r="Q687">
        <f t="shared" si="29"/>
        <v>366</v>
      </c>
    </row>
    <row r="688" spans="1:17" x14ac:dyDescent="0.25">
      <c r="A688" s="1">
        <f t="shared" si="27"/>
        <v>44044</v>
      </c>
      <c r="B688" t="s">
        <v>167</v>
      </c>
      <c r="C688" t="str">
        <f>_xlfn.XLOOKUP(B688,Phone_by_Price!$A$2:$A$34,Phone_by_Price!$B$2:$B$34,"-",0,1)</f>
        <v>Realme C21</v>
      </c>
      <c r="D688" t="str">
        <f>_xlfn.XLOOKUP(C688,Phone_by_Sentiment!$B$2:$B$37,Phone_by_Sentiment!$A$2:$A$37,"-",0,1)</f>
        <v>2021-04</v>
      </c>
      <c r="E688" cm="1">
        <f t="array" ref="E688">IF($Q688&gt;=0,IFERROR(generateSalesData($D688, IF(ISNUMBER(_xlfn.XLOOKUP($C688,Phone_by_Sentiment!$B$2:$B$37,Phone_by_Sentiment!E$2:E$37,"",0,1)),_xlfn.XLOOKUP($C688,Phone_by_Sentiment!$B$2:$B$37,Phone_by_Sentiment!E$2:E$37,"",0,1),0),$A688-TEXT(DATEVALUE($D688&amp;"-01"), "dd-mm-yyyy")),0),0)</f>
        <v>0</v>
      </c>
      <c r="F688" cm="1">
        <f t="array" ref="F688">IF($Q688&gt;=0,IFERROR(generateSalesData($D688, IF(ISNUMBER(_xlfn.XLOOKUP($C688,Phone_by_Sentiment!$B$2:$B$37,Phone_by_Sentiment!F$2:F$37,"",0,1)),_xlfn.XLOOKUP($C688,Phone_by_Sentiment!$B$2:$B$37,Phone_by_Sentiment!F$2:F$37,"",0,1),0),$A688-TEXT(DATEVALUE($D688&amp;"-01"), "dd-mm-yyyy")),0),0)</f>
        <v>0</v>
      </c>
      <c r="G688" cm="1">
        <f t="array" ref="G688">IF($Q688&gt;=0,IFERROR(generateSalesData($D688, IF(ISNUMBER(_xlfn.XLOOKUP($C688,Phone_by_Sentiment!$B$2:$B$37,Phone_by_Sentiment!G$2:G$37,"",0,1)),_xlfn.XLOOKUP($C688,Phone_by_Sentiment!$B$2:$B$37,Phone_by_Sentiment!G$2:G$37,"",0,1),0),$A688-TEXT(DATEVALUE($D688&amp;"-01"), "dd-mm-yyyy")),0),0)</f>
        <v>0</v>
      </c>
      <c r="H688" cm="1">
        <f t="array" ref="H688">IF($Q688&gt;=0,IFERROR(generateSalesData($D688, IF(ISNUMBER(_xlfn.XLOOKUP($C688,Phone_by_Sentiment!$B$2:$B$37,Phone_by_Sentiment!H$2:H$37,"",0,1)),_xlfn.XLOOKUP($C688,Phone_by_Sentiment!$B$2:$B$37,Phone_by_Sentiment!H$2:H$37,"",0,1),0),$A688-TEXT(DATEVALUE($D688&amp;"-01"), "dd-mm-yyyy")),0),0)</f>
        <v>0</v>
      </c>
      <c r="I688" cm="1">
        <f t="array" ref="I688">IF($Q688&gt;=0,IFERROR(generateSalesData($D688, IF(ISNUMBER(_xlfn.XLOOKUP($C688,Phone_by_Sentiment!$B$2:$B$37,Phone_by_Sentiment!I$2:I$37,"",0,1)),_xlfn.XLOOKUP($C688,Phone_by_Sentiment!$B$2:$B$37,Phone_by_Sentiment!I$2:I$37,"",0,1),0),$A688-TEXT(DATEVALUE($D688&amp;"-01"), "dd-mm-yyyy")),0),0)</f>
        <v>0</v>
      </c>
      <c r="J688" cm="1">
        <f t="array" ref="J688">IF($Q688&gt;=0,IFERROR(generateSalesData($D688, IF(ISNUMBER(_xlfn.XLOOKUP($C688,Phone_by_Sentiment!$B$2:$B$37,Phone_by_Sentiment!J$2:J$37,"",0,1)),_xlfn.XLOOKUP($C688,Phone_by_Sentiment!$B$2:$B$37,Phone_by_Sentiment!J$2:J$37,"",0,1),0),$A688-TEXT(DATEVALUE($D688&amp;"-01"), "dd-mm-yyyy")),0),0)</f>
        <v>0</v>
      </c>
      <c r="K688" cm="1">
        <f t="array" ref="K688">IF($Q688&gt;=0,IFERROR(generateSalesData($D688, IF(ISNUMBER(_xlfn.XLOOKUP($C688,Phone_by_Sentiment!$B$2:$B$37,Phone_by_Sentiment!K$2:K$37,"",0,1)),_xlfn.XLOOKUP($C688,Phone_by_Sentiment!$B$2:$B$37,Phone_by_Sentiment!K$2:K$37,"",0,1),0),$A688-TEXT(DATEVALUE($D688&amp;"-01"), "dd-mm-yyyy")),0),0)</f>
        <v>0</v>
      </c>
      <c r="L688" cm="1">
        <f t="array" ref="L688">IF($Q688&gt;=0,IFERROR(generateSalesData($D688, IF(ISNUMBER(_xlfn.XLOOKUP($C688,Phone_by_Sentiment!$B$2:$B$37,Phone_by_Sentiment!L$2:L$37,"",0,1)),_xlfn.XLOOKUP($C688,Phone_by_Sentiment!$B$2:$B$37,Phone_by_Sentiment!L$2:L$37,"",0,1),0),$A688-TEXT(DATEVALUE($D688&amp;"-01"), "dd-mm-yyyy")),0),0)</f>
        <v>0</v>
      </c>
      <c r="M688" cm="1">
        <f t="array" ref="M688">IF($Q688&gt;=0,IFERROR(generateSalesData($D688, IF(ISNUMBER(_xlfn.XLOOKUP($C688,Phone_by_Sentiment!$B$2:$B$37,Phone_by_Sentiment!M$2:M$37,"",0,1)),_xlfn.XLOOKUP($C688,Phone_by_Sentiment!$B$2:$B$37,Phone_by_Sentiment!M$2:M$37,"",0,1),0),$A688-TEXT(DATEVALUE($D688&amp;"-01"), "dd-mm-yyyy")),0),0)</f>
        <v>0</v>
      </c>
      <c r="N688" cm="1">
        <f t="array" ref="N688">IF($Q688&gt;=0,IFERROR(generateSalesData($D688, IF(ISNUMBER(_xlfn.XLOOKUP($C688,Phone_by_Sentiment!$B$2:$B$37,Phone_by_Sentiment!N$2:N$37,"",0,1)),_xlfn.XLOOKUP($C688,Phone_by_Sentiment!$B$2:$B$37,Phone_by_Sentiment!N$2:N$37,"",0,1),0),$A688-TEXT(DATEVALUE($D688&amp;"-01"), "dd-mm-yyyy")),0),0)</f>
        <v>0</v>
      </c>
      <c r="O688" cm="1">
        <f t="array" ref="O688">IF($Q688&gt;=0,IFERROR(generateSalesData($D688, IF(ISNUMBER(_xlfn.XLOOKUP($C688,Phone_by_Sentiment!$B$2:$B$37,Phone_by_Sentiment!O$2:O$37,"",0,1)),_xlfn.XLOOKUP($C688,Phone_by_Sentiment!$B$2:$B$37,Phone_by_Sentiment!O$2:O$37,"",0,1),0),$A688-TEXT(DATEVALUE($D688&amp;"-01"), "dd-mm-yyyy")),0),0)</f>
        <v>0</v>
      </c>
      <c r="P688" s="1">
        <f t="shared" si="28"/>
        <v>44287</v>
      </c>
      <c r="Q688">
        <f t="shared" si="29"/>
        <v>-243</v>
      </c>
    </row>
    <row r="689" spans="1:17" x14ac:dyDescent="0.25">
      <c r="A689" s="1">
        <f t="shared" si="27"/>
        <v>44044</v>
      </c>
      <c r="B689" t="s">
        <v>168</v>
      </c>
      <c r="C689" t="str">
        <f>_xlfn.XLOOKUP(B689,Phone_by_Price!$A$2:$A$34,Phone_by_Price!$B$2:$B$34,"-",0,1)</f>
        <v>Google Pixel 4</v>
      </c>
      <c r="D689" t="str">
        <f>_xlfn.XLOOKUP(C689,Phone_by_Sentiment!$B$2:$B$37,Phone_by_Sentiment!$A$2:$A$37,"-",0,1)</f>
        <v>2019-09</v>
      </c>
      <c r="E689" cm="1">
        <f t="array" ref="E689">IF($Q689&gt;=0,IFERROR(generateSalesData($D689, IF(ISNUMBER(_xlfn.XLOOKUP($C689,Phone_by_Sentiment!$B$2:$B$37,Phone_by_Sentiment!E$2:E$37,"",0,1)),_xlfn.XLOOKUP($C689,Phone_by_Sentiment!$B$2:$B$37,Phone_by_Sentiment!E$2:E$37,"",0,1),0),$A689-TEXT(DATEVALUE($D689&amp;"-01"), "dd-mm-yyyy")),0),0)</f>
        <v>851</v>
      </c>
      <c r="F689" cm="1">
        <f t="array" ref="F689">IF($Q689&gt;=0,IFERROR(generateSalesData($D689, IF(ISNUMBER(_xlfn.XLOOKUP($C689,Phone_by_Sentiment!$B$2:$B$37,Phone_by_Sentiment!F$2:F$37,"",0,1)),_xlfn.XLOOKUP($C689,Phone_by_Sentiment!$B$2:$B$37,Phone_by_Sentiment!F$2:F$37,"",0,1),0),$A689-TEXT(DATEVALUE($D689&amp;"-01"), "dd-mm-yyyy")),0),0)</f>
        <v>214</v>
      </c>
      <c r="G689" cm="1">
        <f t="array" ref="G689">IF($Q689&gt;=0,IFERROR(generateSalesData($D689, IF(ISNUMBER(_xlfn.XLOOKUP($C689,Phone_by_Sentiment!$B$2:$B$37,Phone_by_Sentiment!G$2:G$37,"",0,1)),_xlfn.XLOOKUP($C689,Phone_by_Sentiment!$B$2:$B$37,Phone_by_Sentiment!G$2:G$37,"",0,1),0),$A689-TEXT(DATEVALUE($D689&amp;"-01"), "dd-mm-yyyy")),0),0)</f>
        <v>86</v>
      </c>
      <c r="H689" cm="1">
        <f t="array" ref="H689">IF($Q689&gt;=0,IFERROR(generateSalesData($D689, IF(ISNUMBER(_xlfn.XLOOKUP($C689,Phone_by_Sentiment!$B$2:$B$37,Phone_by_Sentiment!H$2:H$37,"",0,1)),_xlfn.XLOOKUP($C689,Phone_by_Sentiment!$B$2:$B$37,Phone_by_Sentiment!H$2:H$37,"",0,1),0),$A689-TEXT(DATEVALUE($D689&amp;"-01"), "dd-mm-yyyy")),0),0)</f>
        <v>125</v>
      </c>
      <c r="I689" cm="1">
        <f t="array" ref="I689">IF($Q689&gt;=0,IFERROR(generateSalesData($D689, IF(ISNUMBER(_xlfn.XLOOKUP($C689,Phone_by_Sentiment!$B$2:$B$37,Phone_by_Sentiment!I$2:I$37,"",0,1)),_xlfn.XLOOKUP($C689,Phone_by_Sentiment!$B$2:$B$37,Phone_by_Sentiment!I$2:I$37,"",0,1),0),$A689-TEXT(DATEVALUE($D689&amp;"-01"), "dd-mm-yyyy")),0),0)</f>
        <v>57</v>
      </c>
      <c r="J689" cm="1">
        <f t="array" ref="J689">IF($Q689&gt;=0,IFERROR(generateSalesData($D689, IF(ISNUMBER(_xlfn.XLOOKUP($C689,Phone_by_Sentiment!$B$2:$B$37,Phone_by_Sentiment!J$2:J$37,"",0,1)),_xlfn.XLOOKUP($C689,Phone_by_Sentiment!$B$2:$B$37,Phone_by_Sentiment!J$2:J$37,"",0,1),0),$A689-TEXT(DATEVALUE($D689&amp;"-01"), "dd-mm-yyyy")),0),0)</f>
        <v>244</v>
      </c>
      <c r="K689" cm="1">
        <f t="array" ref="K689">IF($Q689&gt;=0,IFERROR(generateSalesData($D689, IF(ISNUMBER(_xlfn.XLOOKUP($C689,Phone_by_Sentiment!$B$2:$B$37,Phone_by_Sentiment!K$2:K$37,"",0,1)),_xlfn.XLOOKUP($C689,Phone_by_Sentiment!$B$2:$B$37,Phone_by_Sentiment!K$2:K$37,"",0,1),0),$A689-TEXT(DATEVALUE($D689&amp;"-01"), "dd-mm-yyyy")),0),0)</f>
        <v>31</v>
      </c>
      <c r="L689" cm="1">
        <f t="array" ref="L689">IF($Q689&gt;=0,IFERROR(generateSalesData($D689, IF(ISNUMBER(_xlfn.XLOOKUP($C689,Phone_by_Sentiment!$B$2:$B$37,Phone_by_Sentiment!L$2:L$37,"",0,1)),_xlfn.XLOOKUP($C689,Phone_by_Sentiment!$B$2:$B$37,Phone_by_Sentiment!L$2:L$37,"",0,1),0),$A689-TEXT(DATEVALUE($D689&amp;"-01"), "dd-mm-yyyy")),0),0)</f>
        <v>256</v>
      </c>
      <c r="M689" cm="1">
        <f t="array" ref="M689">IF($Q689&gt;=0,IFERROR(generateSalesData($D689, IF(ISNUMBER(_xlfn.XLOOKUP($C689,Phone_by_Sentiment!$B$2:$B$37,Phone_by_Sentiment!M$2:M$37,"",0,1)),_xlfn.XLOOKUP($C689,Phone_by_Sentiment!$B$2:$B$37,Phone_by_Sentiment!M$2:M$37,"",0,1),0),$A689-TEXT(DATEVALUE($D689&amp;"-01"), "dd-mm-yyyy")),0),0)</f>
        <v>62</v>
      </c>
      <c r="N689" cm="1">
        <f t="array" ref="N689">IF($Q689&gt;=0,IFERROR(generateSalesData($D689, IF(ISNUMBER(_xlfn.XLOOKUP($C689,Phone_by_Sentiment!$B$2:$B$37,Phone_by_Sentiment!N$2:N$37,"",0,1)),_xlfn.XLOOKUP($C689,Phone_by_Sentiment!$B$2:$B$37,Phone_by_Sentiment!N$2:N$37,"",0,1),0),$A689-TEXT(DATEVALUE($D689&amp;"-01"), "dd-mm-yyyy")),0),0)</f>
        <v>257</v>
      </c>
      <c r="O689" cm="1">
        <f t="array" ref="O689">IF($Q689&gt;=0,IFERROR(generateSalesData($D689, IF(ISNUMBER(_xlfn.XLOOKUP($C689,Phone_by_Sentiment!$B$2:$B$37,Phone_by_Sentiment!O$2:O$37,"",0,1)),_xlfn.XLOOKUP($C689,Phone_by_Sentiment!$B$2:$B$37,Phone_by_Sentiment!O$2:O$37,"",0,1),0),$A689-TEXT(DATEVALUE($D689&amp;"-01"), "dd-mm-yyyy")),0),0)</f>
        <v>21</v>
      </c>
      <c r="P689" s="1">
        <f t="shared" si="28"/>
        <v>43709</v>
      </c>
      <c r="Q689">
        <f t="shared" si="29"/>
        <v>335</v>
      </c>
    </row>
    <row r="690" spans="1:17" x14ac:dyDescent="0.25">
      <c r="A690" s="1">
        <f t="shared" si="27"/>
        <v>44044</v>
      </c>
      <c r="B690" t="s">
        <v>169</v>
      </c>
      <c r="C690" t="str">
        <f>_xlfn.XLOOKUP(B690,Phone_by_Price!$A$2:$A$34,Phone_by_Price!$B$2:$B$34,"-",0,1)</f>
        <v>Samsung Galaxy A10s</v>
      </c>
      <c r="D690" t="str">
        <f>_xlfn.XLOOKUP(C690,Phone_by_Sentiment!$B$2:$B$37,Phone_by_Sentiment!$A$2:$A$37,"-",0,1)</f>
        <v>2019-08</v>
      </c>
      <c r="E690" cm="1">
        <f t="array" ref="E690">IF($Q690&gt;=0,IFERROR(generateSalesData($D690, IF(ISNUMBER(_xlfn.XLOOKUP($C690,Phone_by_Sentiment!$B$2:$B$37,Phone_by_Sentiment!E$2:E$37,"",0,1)),_xlfn.XLOOKUP($C690,Phone_by_Sentiment!$B$2:$B$37,Phone_by_Sentiment!E$2:E$37,"",0,1),0),$A690-TEXT(DATEVALUE($D690&amp;"-01"), "dd-mm-yyyy")),0),0)</f>
        <v>2</v>
      </c>
      <c r="F690" cm="1">
        <f t="array" ref="F690">IF($Q690&gt;=0,IFERROR(generateSalesData($D690, IF(ISNUMBER(_xlfn.XLOOKUP($C690,Phone_by_Sentiment!$B$2:$B$37,Phone_by_Sentiment!F$2:F$37,"",0,1)),_xlfn.XLOOKUP($C690,Phone_by_Sentiment!$B$2:$B$37,Phone_by_Sentiment!F$2:F$37,"",0,1),0),$A690-TEXT(DATEVALUE($D690&amp;"-01"), "dd-mm-yyyy")),0),0)</f>
        <v>366</v>
      </c>
      <c r="G690" cm="1">
        <f t="array" ref="G690">IF($Q690&gt;=0,IFERROR(generateSalesData($D690, IF(ISNUMBER(_xlfn.XLOOKUP($C690,Phone_by_Sentiment!$B$2:$B$37,Phone_by_Sentiment!G$2:G$37,"",0,1)),_xlfn.XLOOKUP($C690,Phone_by_Sentiment!$B$2:$B$37,Phone_by_Sentiment!G$2:G$37,"",0,1),0),$A690-TEXT(DATEVALUE($D690&amp;"-01"), "dd-mm-yyyy")),0),0)</f>
        <v>181</v>
      </c>
      <c r="H690" cm="1">
        <f t="array" ref="H690">IF($Q690&gt;=0,IFERROR(generateSalesData($D690, IF(ISNUMBER(_xlfn.XLOOKUP($C690,Phone_by_Sentiment!$B$2:$B$37,Phone_by_Sentiment!H$2:H$37,"",0,1)),_xlfn.XLOOKUP($C690,Phone_by_Sentiment!$B$2:$B$37,Phone_by_Sentiment!H$2:H$37,"",0,1),0),$A690-TEXT(DATEVALUE($D690&amp;"-01"), "dd-mm-yyyy")),0),0)</f>
        <v>228</v>
      </c>
      <c r="I690" cm="1">
        <f t="array" ref="I690">IF($Q690&gt;=0,IFERROR(generateSalesData($D690, IF(ISNUMBER(_xlfn.XLOOKUP($C690,Phone_by_Sentiment!$B$2:$B$37,Phone_by_Sentiment!I$2:I$37,"",0,1)),_xlfn.XLOOKUP($C690,Phone_by_Sentiment!$B$2:$B$37,Phone_by_Sentiment!I$2:I$37,"",0,1),0),$A690-TEXT(DATEVALUE($D690&amp;"-01"), "dd-mm-yyyy")),0),0)</f>
        <v>655</v>
      </c>
      <c r="J690" cm="1">
        <f t="array" ref="J690">IF($Q690&gt;=0,IFERROR(generateSalesData($D690, IF(ISNUMBER(_xlfn.XLOOKUP($C690,Phone_by_Sentiment!$B$2:$B$37,Phone_by_Sentiment!J$2:J$37,"",0,1)),_xlfn.XLOOKUP($C690,Phone_by_Sentiment!$B$2:$B$37,Phone_by_Sentiment!J$2:J$37,"",0,1),0),$A690-TEXT(DATEVALUE($D690&amp;"-01"), "dd-mm-yyyy")),0),0)</f>
        <v>282</v>
      </c>
      <c r="K690" cm="1">
        <f t="array" ref="K690">IF($Q690&gt;=0,IFERROR(generateSalesData($D690, IF(ISNUMBER(_xlfn.XLOOKUP($C690,Phone_by_Sentiment!$B$2:$B$37,Phone_by_Sentiment!K$2:K$37,"",0,1)),_xlfn.XLOOKUP($C690,Phone_by_Sentiment!$B$2:$B$37,Phone_by_Sentiment!K$2:K$37,"",0,1),0),$A690-TEXT(DATEVALUE($D690&amp;"-01"), "dd-mm-yyyy")),0),0)</f>
        <v>864</v>
      </c>
      <c r="L690" cm="1">
        <f t="array" ref="L690">IF($Q690&gt;=0,IFERROR(generateSalesData($D690, IF(ISNUMBER(_xlfn.XLOOKUP($C690,Phone_by_Sentiment!$B$2:$B$37,Phone_by_Sentiment!L$2:L$37,"",0,1)),_xlfn.XLOOKUP($C690,Phone_by_Sentiment!$B$2:$B$37,Phone_by_Sentiment!L$2:L$37,"",0,1),0),$A690-TEXT(DATEVALUE($D690&amp;"-01"), "dd-mm-yyyy")),0),0)</f>
        <v>126</v>
      </c>
      <c r="M690" cm="1">
        <f t="array" ref="M690">IF($Q690&gt;=0,IFERROR(generateSalesData($D690, IF(ISNUMBER(_xlfn.XLOOKUP($C690,Phone_by_Sentiment!$B$2:$B$37,Phone_by_Sentiment!M$2:M$37,"",0,1)),_xlfn.XLOOKUP($C690,Phone_by_Sentiment!$B$2:$B$37,Phone_by_Sentiment!M$2:M$37,"",0,1),0),$A690-TEXT(DATEVALUE($D690&amp;"-01"), "dd-mm-yyyy")),0),0)</f>
        <v>710</v>
      </c>
      <c r="N690" cm="1">
        <f t="array" ref="N690">IF($Q690&gt;=0,IFERROR(generateSalesData($D690, IF(ISNUMBER(_xlfn.XLOOKUP($C690,Phone_by_Sentiment!$B$2:$B$37,Phone_by_Sentiment!N$2:N$37,"",0,1)),_xlfn.XLOOKUP($C690,Phone_by_Sentiment!$B$2:$B$37,Phone_by_Sentiment!N$2:N$37,"",0,1),0),$A690-TEXT(DATEVALUE($D690&amp;"-01"), "dd-mm-yyyy")),0),0)</f>
        <v>153</v>
      </c>
      <c r="O690" cm="1">
        <f t="array" ref="O690">IF($Q690&gt;=0,IFERROR(generateSalesData($D690, IF(ISNUMBER(_xlfn.XLOOKUP($C690,Phone_by_Sentiment!$B$2:$B$37,Phone_by_Sentiment!O$2:O$37,"",0,1)),_xlfn.XLOOKUP($C690,Phone_by_Sentiment!$B$2:$B$37,Phone_by_Sentiment!O$2:O$37,"",0,1),0),$A690-TEXT(DATEVALUE($D690&amp;"-01"), "dd-mm-yyyy")),0),0)</f>
        <v>375</v>
      </c>
      <c r="P690" s="1">
        <f t="shared" si="28"/>
        <v>43678</v>
      </c>
      <c r="Q690">
        <f t="shared" si="29"/>
        <v>366</v>
      </c>
    </row>
    <row r="691" spans="1:17" x14ac:dyDescent="0.25">
      <c r="A691" s="1">
        <f t="shared" si="27"/>
        <v>44044</v>
      </c>
      <c r="B691" t="s">
        <v>170</v>
      </c>
      <c r="C691" t="str">
        <f>_xlfn.XLOOKUP(B691,Phone_by_Price!$A$2:$A$34,Phone_by_Price!$B$2:$B$34,"-",0,1)</f>
        <v>Realme Narzo 30A</v>
      </c>
      <c r="D691" t="str">
        <f>_xlfn.XLOOKUP(C691,Phone_by_Sentiment!$B$2:$B$37,Phone_by_Sentiment!$A$2:$A$37,"-",0,1)</f>
        <v>2021-02</v>
      </c>
      <c r="E691" cm="1">
        <f t="array" ref="E691">IF($Q691&gt;=0,IFERROR(generateSalesData($D691, IF(ISNUMBER(_xlfn.XLOOKUP($C691,Phone_by_Sentiment!$B$2:$B$37,Phone_by_Sentiment!E$2:E$37,"",0,1)),_xlfn.XLOOKUP($C691,Phone_by_Sentiment!$B$2:$B$37,Phone_by_Sentiment!E$2:E$37,"",0,1),0),$A691-TEXT(DATEVALUE($D691&amp;"-01"), "dd-mm-yyyy")),0),0)</f>
        <v>0</v>
      </c>
      <c r="F691" cm="1">
        <f t="array" ref="F691">IF($Q691&gt;=0,IFERROR(generateSalesData($D691, IF(ISNUMBER(_xlfn.XLOOKUP($C691,Phone_by_Sentiment!$B$2:$B$37,Phone_by_Sentiment!F$2:F$37,"",0,1)),_xlfn.XLOOKUP($C691,Phone_by_Sentiment!$B$2:$B$37,Phone_by_Sentiment!F$2:F$37,"",0,1),0),$A691-TEXT(DATEVALUE($D691&amp;"-01"), "dd-mm-yyyy")),0),0)</f>
        <v>0</v>
      </c>
      <c r="G691" cm="1">
        <f t="array" ref="G691">IF($Q691&gt;=0,IFERROR(generateSalesData($D691, IF(ISNUMBER(_xlfn.XLOOKUP($C691,Phone_by_Sentiment!$B$2:$B$37,Phone_by_Sentiment!G$2:G$37,"",0,1)),_xlfn.XLOOKUP($C691,Phone_by_Sentiment!$B$2:$B$37,Phone_by_Sentiment!G$2:G$37,"",0,1),0),$A691-TEXT(DATEVALUE($D691&amp;"-01"), "dd-mm-yyyy")),0),0)</f>
        <v>0</v>
      </c>
      <c r="H691" cm="1">
        <f t="array" ref="H691">IF($Q691&gt;=0,IFERROR(generateSalesData($D691, IF(ISNUMBER(_xlfn.XLOOKUP($C691,Phone_by_Sentiment!$B$2:$B$37,Phone_by_Sentiment!H$2:H$37,"",0,1)),_xlfn.XLOOKUP($C691,Phone_by_Sentiment!$B$2:$B$37,Phone_by_Sentiment!H$2:H$37,"",0,1),0),$A691-TEXT(DATEVALUE($D691&amp;"-01"), "dd-mm-yyyy")),0),0)</f>
        <v>0</v>
      </c>
      <c r="I691" cm="1">
        <f t="array" ref="I691">IF($Q691&gt;=0,IFERROR(generateSalesData($D691, IF(ISNUMBER(_xlfn.XLOOKUP($C691,Phone_by_Sentiment!$B$2:$B$37,Phone_by_Sentiment!I$2:I$37,"",0,1)),_xlfn.XLOOKUP($C691,Phone_by_Sentiment!$B$2:$B$37,Phone_by_Sentiment!I$2:I$37,"",0,1),0),$A691-TEXT(DATEVALUE($D691&amp;"-01"), "dd-mm-yyyy")),0),0)</f>
        <v>0</v>
      </c>
      <c r="J691" cm="1">
        <f t="array" ref="J691">IF($Q691&gt;=0,IFERROR(generateSalesData($D691, IF(ISNUMBER(_xlfn.XLOOKUP($C691,Phone_by_Sentiment!$B$2:$B$37,Phone_by_Sentiment!J$2:J$37,"",0,1)),_xlfn.XLOOKUP($C691,Phone_by_Sentiment!$B$2:$B$37,Phone_by_Sentiment!J$2:J$37,"",0,1),0),$A691-TEXT(DATEVALUE($D691&amp;"-01"), "dd-mm-yyyy")),0),0)</f>
        <v>0</v>
      </c>
      <c r="K691" cm="1">
        <f t="array" ref="K691">IF($Q691&gt;=0,IFERROR(generateSalesData($D691, IF(ISNUMBER(_xlfn.XLOOKUP($C691,Phone_by_Sentiment!$B$2:$B$37,Phone_by_Sentiment!K$2:K$37,"",0,1)),_xlfn.XLOOKUP($C691,Phone_by_Sentiment!$B$2:$B$37,Phone_by_Sentiment!K$2:K$37,"",0,1),0),$A691-TEXT(DATEVALUE($D691&amp;"-01"), "dd-mm-yyyy")),0),0)</f>
        <v>0</v>
      </c>
      <c r="L691" cm="1">
        <f t="array" ref="L691">IF($Q691&gt;=0,IFERROR(generateSalesData($D691, IF(ISNUMBER(_xlfn.XLOOKUP($C691,Phone_by_Sentiment!$B$2:$B$37,Phone_by_Sentiment!L$2:L$37,"",0,1)),_xlfn.XLOOKUP($C691,Phone_by_Sentiment!$B$2:$B$37,Phone_by_Sentiment!L$2:L$37,"",0,1),0),$A691-TEXT(DATEVALUE($D691&amp;"-01"), "dd-mm-yyyy")),0),0)</f>
        <v>0</v>
      </c>
      <c r="M691" cm="1">
        <f t="array" ref="M691">IF($Q691&gt;=0,IFERROR(generateSalesData($D691, IF(ISNUMBER(_xlfn.XLOOKUP($C691,Phone_by_Sentiment!$B$2:$B$37,Phone_by_Sentiment!M$2:M$37,"",0,1)),_xlfn.XLOOKUP($C691,Phone_by_Sentiment!$B$2:$B$37,Phone_by_Sentiment!M$2:M$37,"",0,1),0),$A691-TEXT(DATEVALUE($D691&amp;"-01"), "dd-mm-yyyy")),0),0)</f>
        <v>0</v>
      </c>
      <c r="N691" cm="1">
        <f t="array" ref="N691">IF($Q691&gt;=0,IFERROR(generateSalesData($D691, IF(ISNUMBER(_xlfn.XLOOKUP($C691,Phone_by_Sentiment!$B$2:$B$37,Phone_by_Sentiment!N$2:N$37,"",0,1)),_xlfn.XLOOKUP($C691,Phone_by_Sentiment!$B$2:$B$37,Phone_by_Sentiment!N$2:N$37,"",0,1),0),$A691-TEXT(DATEVALUE($D691&amp;"-01"), "dd-mm-yyyy")),0),0)</f>
        <v>0</v>
      </c>
      <c r="O691" cm="1">
        <f t="array" ref="O691">IF($Q691&gt;=0,IFERROR(generateSalesData($D691, IF(ISNUMBER(_xlfn.XLOOKUP($C691,Phone_by_Sentiment!$B$2:$B$37,Phone_by_Sentiment!O$2:O$37,"",0,1)),_xlfn.XLOOKUP($C691,Phone_by_Sentiment!$B$2:$B$37,Phone_by_Sentiment!O$2:O$37,"",0,1),0),$A691-TEXT(DATEVALUE($D691&amp;"-01"), "dd-mm-yyyy")),0),0)</f>
        <v>0</v>
      </c>
      <c r="P691" s="1">
        <f t="shared" si="28"/>
        <v>44228</v>
      </c>
      <c r="Q691">
        <f t="shared" si="29"/>
        <v>-184</v>
      </c>
    </row>
    <row r="692" spans="1:17" x14ac:dyDescent="0.25">
      <c r="A692" s="1">
        <f t="shared" si="27"/>
        <v>44044</v>
      </c>
      <c r="B692" t="s">
        <v>171</v>
      </c>
      <c r="C692" t="str">
        <f>_xlfn.XLOOKUP(B692,Phone_by_Price!$A$2:$A$34,Phone_by_Price!$B$2:$B$34,"-",0,1)</f>
        <v>Samsung Galaxy A22 5G</v>
      </c>
      <c r="D692" t="str">
        <f>_xlfn.XLOOKUP(C692,Phone_by_Sentiment!$B$2:$B$37,Phone_by_Sentiment!$A$2:$A$37,"-",0,1)</f>
        <v>2021-05</v>
      </c>
      <c r="E692" cm="1">
        <f t="array" ref="E692">IF($Q692&gt;=0,IFERROR(generateSalesData($D692, IF(ISNUMBER(_xlfn.XLOOKUP($C692,Phone_by_Sentiment!$B$2:$B$37,Phone_by_Sentiment!E$2:E$37,"",0,1)),_xlfn.XLOOKUP($C692,Phone_by_Sentiment!$B$2:$B$37,Phone_by_Sentiment!E$2:E$37,"",0,1),0),$A692-TEXT(DATEVALUE($D692&amp;"-01"), "dd-mm-yyyy")),0),0)</f>
        <v>0</v>
      </c>
      <c r="F692" cm="1">
        <f t="array" ref="F692">IF($Q692&gt;=0,IFERROR(generateSalesData($D692, IF(ISNUMBER(_xlfn.XLOOKUP($C692,Phone_by_Sentiment!$B$2:$B$37,Phone_by_Sentiment!F$2:F$37,"",0,1)),_xlfn.XLOOKUP($C692,Phone_by_Sentiment!$B$2:$B$37,Phone_by_Sentiment!F$2:F$37,"",0,1),0),$A692-TEXT(DATEVALUE($D692&amp;"-01"), "dd-mm-yyyy")),0),0)</f>
        <v>0</v>
      </c>
      <c r="G692" cm="1">
        <f t="array" ref="G692">IF($Q692&gt;=0,IFERROR(generateSalesData($D692, IF(ISNUMBER(_xlfn.XLOOKUP($C692,Phone_by_Sentiment!$B$2:$B$37,Phone_by_Sentiment!G$2:G$37,"",0,1)),_xlfn.XLOOKUP($C692,Phone_by_Sentiment!$B$2:$B$37,Phone_by_Sentiment!G$2:G$37,"",0,1),0),$A692-TEXT(DATEVALUE($D692&amp;"-01"), "dd-mm-yyyy")),0),0)</f>
        <v>0</v>
      </c>
      <c r="H692" cm="1">
        <f t="array" ref="H692">IF($Q692&gt;=0,IFERROR(generateSalesData($D692, IF(ISNUMBER(_xlfn.XLOOKUP($C692,Phone_by_Sentiment!$B$2:$B$37,Phone_by_Sentiment!H$2:H$37,"",0,1)),_xlfn.XLOOKUP($C692,Phone_by_Sentiment!$B$2:$B$37,Phone_by_Sentiment!H$2:H$37,"",0,1),0),$A692-TEXT(DATEVALUE($D692&amp;"-01"), "dd-mm-yyyy")),0),0)</f>
        <v>0</v>
      </c>
      <c r="I692" cm="1">
        <f t="array" ref="I692">IF($Q692&gt;=0,IFERROR(generateSalesData($D692, IF(ISNUMBER(_xlfn.XLOOKUP($C692,Phone_by_Sentiment!$B$2:$B$37,Phone_by_Sentiment!I$2:I$37,"",0,1)),_xlfn.XLOOKUP($C692,Phone_by_Sentiment!$B$2:$B$37,Phone_by_Sentiment!I$2:I$37,"",0,1),0),$A692-TEXT(DATEVALUE($D692&amp;"-01"), "dd-mm-yyyy")),0),0)</f>
        <v>0</v>
      </c>
      <c r="J692" cm="1">
        <f t="array" ref="J692">IF($Q692&gt;=0,IFERROR(generateSalesData($D692, IF(ISNUMBER(_xlfn.XLOOKUP($C692,Phone_by_Sentiment!$B$2:$B$37,Phone_by_Sentiment!J$2:J$37,"",0,1)),_xlfn.XLOOKUP($C692,Phone_by_Sentiment!$B$2:$B$37,Phone_by_Sentiment!J$2:J$37,"",0,1),0),$A692-TEXT(DATEVALUE($D692&amp;"-01"), "dd-mm-yyyy")),0),0)</f>
        <v>0</v>
      </c>
      <c r="K692" cm="1">
        <f t="array" ref="K692">IF($Q692&gt;=0,IFERROR(generateSalesData($D692, IF(ISNUMBER(_xlfn.XLOOKUP($C692,Phone_by_Sentiment!$B$2:$B$37,Phone_by_Sentiment!K$2:K$37,"",0,1)),_xlfn.XLOOKUP($C692,Phone_by_Sentiment!$B$2:$B$37,Phone_by_Sentiment!K$2:K$37,"",0,1),0),$A692-TEXT(DATEVALUE($D692&amp;"-01"), "dd-mm-yyyy")),0),0)</f>
        <v>0</v>
      </c>
      <c r="L692" cm="1">
        <f t="array" ref="L692">IF($Q692&gt;=0,IFERROR(generateSalesData($D692, IF(ISNUMBER(_xlfn.XLOOKUP($C692,Phone_by_Sentiment!$B$2:$B$37,Phone_by_Sentiment!L$2:L$37,"",0,1)),_xlfn.XLOOKUP($C692,Phone_by_Sentiment!$B$2:$B$37,Phone_by_Sentiment!L$2:L$37,"",0,1),0),$A692-TEXT(DATEVALUE($D692&amp;"-01"), "dd-mm-yyyy")),0),0)</f>
        <v>0</v>
      </c>
      <c r="M692" cm="1">
        <f t="array" ref="M692">IF($Q692&gt;=0,IFERROR(generateSalesData($D692, IF(ISNUMBER(_xlfn.XLOOKUP($C692,Phone_by_Sentiment!$B$2:$B$37,Phone_by_Sentiment!M$2:M$37,"",0,1)),_xlfn.XLOOKUP($C692,Phone_by_Sentiment!$B$2:$B$37,Phone_by_Sentiment!M$2:M$37,"",0,1),0),$A692-TEXT(DATEVALUE($D692&amp;"-01"), "dd-mm-yyyy")),0),0)</f>
        <v>0</v>
      </c>
      <c r="N692" cm="1">
        <f t="array" ref="N692">IF($Q692&gt;=0,IFERROR(generateSalesData($D692, IF(ISNUMBER(_xlfn.XLOOKUP($C692,Phone_by_Sentiment!$B$2:$B$37,Phone_by_Sentiment!N$2:N$37,"",0,1)),_xlfn.XLOOKUP($C692,Phone_by_Sentiment!$B$2:$B$37,Phone_by_Sentiment!N$2:N$37,"",0,1),0),$A692-TEXT(DATEVALUE($D692&amp;"-01"), "dd-mm-yyyy")),0),0)</f>
        <v>0</v>
      </c>
      <c r="O692" cm="1">
        <f t="array" ref="O692">IF($Q692&gt;=0,IFERROR(generateSalesData($D692, IF(ISNUMBER(_xlfn.XLOOKUP($C692,Phone_by_Sentiment!$B$2:$B$37,Phone_by_Sentiment!O$2:O$37,"",0,1)),_xlfn.XLOOKUP($C692,Phone_by_Sentiment!$B$2:$B$37,Phone_by_Sentiment!O$2:O$37,"",0,1),0),$A692-TEXT(DATEVALUE($D692&amp;"-01"), "dd-mm-yyyy")),0),0)</f>
        <v>0</v>
      </c>
      <c r="P692" s="1">
        <f t="shared" si="28"/>
        <v>44317</v>
      </c>
      <c r="Q692">
        <f t="shared" si="29"/>
        <v>-273</v>
      </c>
    </row>
    <row r="693" spans="1:17" x14ac:dyDescent="0.25">
      <c r="A693" s="1">
        <f t="shared" si="27"/>
        <v>44044</v>
      </c>
      <c r="B693" t="s">
        <v>172</v>
      </c>
      <c r="C693" t="str">
        <f>_xlfn.XLOOKUP(B693,Phone_by_Price!$A$2:$A$34,Phone_by_Price!$B$2:$B$34,"-",0,1)</f>
        <v>Xiaomi Redmi 9</v>
      </c>
      <c r="D693" t="str">
        <f>_xlfn.XLOOKUP(C693,Phone_by_Sentiment!$B$2:$B$37,Phone_by_Sentiment!$A$2:$A$37,"-",0,1)</f>
        <v>2020-08</v>
      </c>
      <c r="E693" cm="1">
        <f t="array" ref="E693">IF($Q693&gt;=0,IFERROR(generateSalesData($D693, IF(ISNUMBER(_xlfn.XLOOKUP($C693,Phone_by_Sentiment!$B$2:$B$37,Phone_by_Sentiment!E$2:E$37,"",0,1)),_xlfn.XLOOKUP($C693,Phone_by_Sentiment!$B$2:$B$37,Phone_by_Sentiment!E$2:E$37,"",0,1),0),$A693-TEXT(DATEVALUE($D693&amp;"-01"), "dd-mm-yyyy")),0),0)</f>
        <v>727</v>
      </c>
      <c r="F693" cm="1">
        <f t="array" ref="F693">IF($Q693&gt;=0,IFERROR(generateSalesData($D693, IF(ISNUMBER(_xlfn.XLOOKUP($C693,Phone_by_Sentiment!$B$2:$B$37,Phone_by_Sentiment!F$2:F$37,"",0,1)),_xlfn.XLOOKUP($C693,Phone_by_Sentiment!$B$2:$B$37,Phone_by_Sentiment!F$2:F$37,"",0,1),0),$A693-TEXT(DATEVALUE($D693&amp;"-01"), "dd-mm-yyyy")),0),0)</f>
        <v>1811</v>
      </c>
      <c r="G693" cm="1">
        <f t="array" ref="G693">IF($Q693&gt;=0,IFERROR(generateSalesData($D693, IF(ISNUMBER(_xlfn.XLOOKUP($C693,Phone_by_Sentiment!$B$2:$B$37,Phone_by_Sentiment!G$2:G$37,"",0,1)),_xlfn.XLOOKUP($C693,Phone_by_Sentiment!$B$2:$B$37,Phone_by_Sentiment!G$2:G$37,"",0,1),0),$A693-TEXT(DATEVALUE($D693&amp;"-01"), "dd-mm-yyyy")),0),0)</f>
        <v>1877</v>
      </c>
      <c r="H693" cm="1">
        <f t="array" ref="H693">IF($Q693&gt;=0,IFERROR(generateSalesData($D693, IF(ISNUMBER(_xlfn.XLOOKUP($C693,Phone_by_Sentiment!$B$2:$B$37,Phone_by_Sentiment!H$2:H$37,"",0,1)),_xlfn.XLOOKUP($C693,Phone_by_Sentiment!$B$2:$B$37,Phone_by_Sentiment!H$2:H$37,"",0,1),0),$A693-TEXT(DATEVALUE($D693&amp;"-01"), "dd-mm-yyyy")),0),0)</f>
        <v>7982</v>
      </c>
      <c r="I693" cm="1">
        <f t="array" ref="I693">IF($Q693&gt;=0,IFERROR(generateSalesData($D693, IF(ISNUMBER(_xlfn.XLOOKUP($C693,Phone_by_Sentiment!$B$2:$B$37,Phone_by_Sentiment!I$2:I$37,"",0,1)),_xlfn.XLOOKUP($C693,Phone_by_Sentiment!$B$2:$B$37,Phone_by_Sentiment!I$2:I$37,"",0,1),0),$A693-TEXT(DATEVALUE($D693&amp;"-01"), "dd-mm-yyyy")),0),0)</f>
        <v>3505</v>
      </c>
      <c r="J693" cm="1">
        <f t="array" ref="J693">IF($Q693&gt;=0,IFERROR(generateSalesData($D693, IF(ISNUMBER(_xlfn.XLOOKUP($C693,Phone_by_Sentiment!$B$2:$B$37,Phone_by_Sentiment!J$2:J$37,"",0,1)),_xlfn.XLOOKUP($C693,Phone_by_Sentiment!$B$2:$B$37,Phone_by_Sentiment!J$2:J$37,"",0,1),0),$A693-TEXT(DATEVALUE($D693&amp;"-01"), "dd-mm-yyyy")),0),0)</f>
        <v>2206</v>
      </c>
      <c r="K693" cm="1">
        <f t="array" ref="K693">IF($Q693&gt;=0,IFERROR(generateSalesData($D693, IF(ISNUMBER(_xlfn.XLOOKUP($C693,Phone_by_Sentiment!$B$2:$B$37,Phone_by_Sentiment!K$2:K$37,"",0,1)),_xlfn.XLOOKUP($C693,Phone_by_Sentiment!$B$2:$B$37,Phone_by_Sentiment!K$2:K$37,"",0,1),0),$A693-TEXT(DATEVALUE($D693&amp;"-01"), "dd-mm-yyyy")),0),0)</f>
        <v>4646</v>
      </c>
      <c r="L693" cm="1">
        <f t="array" ref="L693">IF($Q693&gt;=0,IFERROR(generateSalesData($D693, IF(ISNUMBER(_xlfn.XLOOKUP($C693,Phone_by_Sentiment!$B$2:$B$37,Phone_by_Sentiment!L$2:L$37,"",0,1)),_xlfn.XLOOKUP($C693,Phone_by_Sentiment!$B$2:$B$37,Phone_by_Sentiment!L$2:L$37,"",0,1),0),$A693-TEXT(DATEVALUE($D693&amp;"-01"), "dd-mm-yyyy")),0),0)</f>
        <v>2907</v>
      </c>
      <c r="M693" cm="1">
        <f t="array" ref="M693">IF($Q693&gt;=0,IFERROR(generateSalesData($D693, IF(ISNUMBER(_xlfn.XLOOKUP($C693,Phone_by_Sentiment!$B$2:$B$37,Phone_by_Sentiment!M$2:M$37,"",0,1)),_xlfn.XLOOKUP($C693,Phone_by_Sentiment!$B$2:$B$37,Phone_by_Sentiment!M$2:M$37,"",0,1),0),$A693-TEXT(DATEVALUE($D693&amp;"-01"), "dd-mm-yyyy")),0),0)</f>
        <v>7581</v>
      </c>
      <c r="N693" cm="1">
        <f t="array" ref="N693">IF($Q693&gt;=0,IFERROR(generateSalesData($D693, IF(ISNUMBER(_xlfn.XLOOKUP($C693,Phone_by_Sentiment!$B$2:$B$37,Phone_by_Sentiment!N$2:N$37,"",0,1)),_xlfn.XLOOKUP($C693,Phone_by_Sentiment!$B$2:$B$37,Phone_by_Sentiment!N$2:N$37,"",0,1),0),$A693-TEXT(DATEVALUE($D693&amp;"-01"), "dd-mm-yyyy")),0),0)</f>
        <v>2733</v>
      </c>
      <c r="O693" cm="1">
        <f t="array" ref="O693">IF($Q693&gt;=0,IFERROR(generateSalesData($D693, IF(ISNUMBER(_xlfn.XLOOKUP($C693,Phone_by_Sentiment!$B$2:$B$37,Phone_by_Sentiment!O$2:O$37,"",0,1)),_xlfn.XLOOKUP($C693,Phone_by_Sentiment!$B$2:$B$37,Phone_by_Sentiment!O$2:O$37,"",0,1),0),$A693-TEXT(DATEVALUE($D693&amp;"-01"), "dd-mm-yyyy")),0),0)</f>
        <v>3176</v>
      </c>
      <c r="P693" s="1">
        <f t="shared" si="28"/>
        <v>44044</v>
      </c>
      <c r="Q693">
        <f t="shared" si="29"/>
        <v>0</v>
      </c>
    </row>
    <row r="694" spans="1:17" x14ac:dyDescent="0.25">
      <c r="A694" s="1">
        <f t="shared" si="27"/>
        <v>44044</v>
      </c>
      <c r="B694" t="s">
        <v>173</v>
      </c>
      <c r="C694" t="str">
        <f>_xlfn.XLOOKUP(B694,Phone_by_Price!$A$2:$A$34,Phone_by_Price!$B$2:$B$34,"-",0,1)</f>
        <v>Realme C3</v>
      </c>
      <c r="D694" t="str">
        <f>_xlfn.XLOOKUP(C694,Phone_by_Sentiment!$B$2:$B$37,Phone_by_Sentiment!$A$2:$A$37,"-",0,1)</f>
        <v>2020-02</v>
      </c>
      <c r="E694" cm="1">
        <f t="array" ref="E694">IF($Q694&gt;=0,IFERROR(generateSalesData($D694, IF(ISNUMBER(_xlfn.XLOOKUP($C694,Phone_by_Sentiment!$B$2:$B$37,Phone_by_Sentiment!E$2:E$37,"",0,1)),_xlfn.XLOOKUP($C694,Phone_by_Sentiment!$B$2:$B$37,Phone_by_Sentiment!E$2:E$37,"",0,1),0),$A694-TEXT(DATEVALUE($D694&amp;"-01"), "dd-mm-yyyy")),0),0)</f>
        <v>555</v>
      </c>
      <c r="F694" cm="1">
        <f t="array" ref="F694">IF($Q694&gt;=0,IFERROR(generateSalesData($D694, IF(ISNUMBER(_xlfn.XLOOKUP($C694,Phone_by_Sentiment!$B$2:$B$37,Phone_by_Sentiment!F$2:F$37,"",0,1)),_xlfn.XLOOKUP($C694,Phone_by_Sentiment!$B$2:$B$37,Phone_by_Sentiment!F$2:F$37,"",0,1),0),$A694-TEXT(DATEVALUE($D694&amp;"-01"), "dd-mm-yyyy")),0),0)</f>
        <v>270</v>
      </c>
      <c r="G694" cm="1">
        <f t="array" ref="G694">IF($Q694&gt;=0,IFERROR(generateSalesData($D694, IF(ISNUMBER(_xlfn.XLOOKUP($C694,Phone_by_Sentiment!$B$2:$B$37,Phone_by_Sentiment!G$2:G$37,"",0,1)),_xlfn.XLOOKUP($C694,Phone_by_Sentiment!$B$2:$B$37,Phone_by_Sentiment!G$2:G$37,"",0,1),0),$A694-TEXT(DATEVALUE($D694&amp;"-01"), "dd-mm-yyyy")),0),0)</f>
        <v>86</v>
      </c>
      <c r="H694" cm="1">
        <f t="array" ref="H694">IF($Q694&gt;=0,IFERROR(generateSalesData($D694, IF(ISNUMBER(_xlfn.XLOOKUP($C694,Phone_by_Sentiment!$B$2:$B$37,Phone_by_Sentiment!H$2:H$37,"",0,1)),_xlfn.XLOOKUP($C694,Phone_by_Sentiment!$B$2:$B$37,Phone_by_Sentiment!H$2:H$37,"",0,1),0),$A694-TEXT(DATEVALUE($D694&amp;"-01"), "dd-mm-yyyy")),0),0)</f>
        <v>695</v>
      </c>
      <c r="I694" cm="1">
        <f t="array" ref="I694">IF($Q694&gt;=0,IFERROR(generateSalesData($D694, IF(ISNUMBER(_xlfn.XLOOKUP($C694,Phone_by_Sentiment!$B$2:$B$37,Phone_by_Sentiment!I$2:I$37,"",0,1)),_xlfn.XLOOKUP($C694,Phone_by_Sentiment!$B$2:$B$37,Phone_by_Sentiment!I$2:I$37,"",0,1),0),$A694-TEXT(DATEVALUE($D694&amp;"-01"), "dd-mm-yyyy")),0),0)</f>
        <v>1332</v>
      </c>
      <c r="J694" cm="1">
        <f t="array" ref="J694">IF($Q694&gt;=0,IFERROR(generateSalesData($D694, IF(ISNUMBER(_xlfn.XLOOKUP($C694,Phone_by_Sentiment!$B$2:$B$37,Phone_by_Sentiment!J$2:J$37,"",0,1)),_xlfn.XLOOKUP($C694,Phone_by_Sentiment!$B$2:$B$37,Phone_by_Sentiment!J$2:J$37,"",0,1),0),$A694-TEXT(DATEVALUE($D694&amp;"-01"), "dd-mm-yyyy")),0),0)</f>
        <v>568</v>
      </c>
      <c r="K694" cm="1">
        <f t="array" ref="K694">IF($Q694&gt;=0,IFERROR(generateSalesData($D694, IF(ISNUMBER(_xlfn.XLOOKUP($C694,Phone_by_Sentiment!$B$2:$B$37,Phone_by_Sentiment!K$2:K$37,"",0,1)),_xlfn.XLOOKUP($C694,Phone_by_Sentiment!$B$2:$B$37,Phone_by_Sentiment!K$2:K$37,"",0,1),0),$A694-TEXT(DATEVALUE($D694&amp;"-01"), "dd-mm-yyyy")),0),0)</f>
        <v>215</v>
      </c>
      <c r="L694" cm="1">
        <f t="array" ref="L694">IF($Q694&gt;=0,IFERROR(generateSalesData($D694, IF(ISNUMBER(_xlfn.XLOOKUP($C694,Phone_by_Sentiment!$B$2:$B$37,Phone_by_Sentiment!L$2:L$37,"",0,1)),_xlfn.XLOOKUP($C694,Phone_by_Sentiment!$B$2:$B$37,Phone_by_Sentiment!L$2:L$37,"",0,1),0),$A694-TEXT(DATEVALUE($D694&amp;"-01"), "dd-mm-yyyy")),0),0)</f>
        <v>1272</v>
      </c>
      <c r="M694" cm="1">
        <f t="array" ref="M694">IF($Q694&gt;=0,IFERROR(generateSalesData($D694, IF(ISNUMBER(_xlfn.XLOOKUP($C694,Phone_by_Sentiment!$B$2:$B$37,Phone_by_Sentiment!M$2:M$37,"",0,1)),_xlfn.XLOOKUP($C694,Phone_by_Sentiment!$B$2:$B$37,Phone_by_Sentiment!M$2:M$37,"",0,1),0),$A694-TEXT(DATEVALUE($D694&amp;"-01"), "dd-mm-yyyy")),0),0)</f>
        <v>298</v>
      </c>
      <c r="N694" cm="1">
        <f t="array" ref="N694">IF($Q694&gt;=0,IFERROR(generateSalesData($D694, IF(ISNUMBER(_xlfn.XLOOKUP($C694,Phone_by_Sentiment!$B$2:$B$37,Phone_by_Sentiment!N$2:N$37,"",0,1)),_xlfn.XLOOKUP($C694,Phone_by_Sentiment!$B$2:$B$37,Phone_by_Sentiment!N$2:N$37,"",0,1),0),$A694-TEXT(DATEVALUE($D694&amp;"-01"), "dd-mm-yyyy")),0),0)</f>
        <v>2491</v>
      </c>
      <c r="O694" cm="1">
        <f t="array" ref="O694">IF($Q694&gt;=0,IFERROR(generateSalesData($D694, IF(ISNUMBER(_xlfn.XLOOKUP($C694,Phone_by_Sentiment!$B$2:$B$37,Phone_by_Sentiment!O$2:O$37,"",0,1)),_xlfn.XLOOKUP($C694,Phone_by_Sentiment!$B$2:$B$37,Phone_by_Sentiment!O$2:O$37,"",0,1),0),$A694-TEXT(DATEVALUE($D694&amp;"-01"), "dd-mm-yyyy")),0),0)</f>
        <v>104</v>
      </c>
      <c r="P694" s="1">
        <f t="shared" si="28"/>
        <v>43862</v>
      </c>
      <c r="Q694">
        <f t="shared" si="29"/>
        <v>182</v>
      </c>
    </row>
    <row r="695" spans="1:17" x14ac:dyDescent="0.25">
      <c r="A695" s="1">
        <f t="shared" si="27"/>
        <v>44044</v>
      </c>
      <c r="B695" t="s">
        <v>174</v>
      </c>
      <c r="C695" t="str">
        <f>_xlfn.XLOOKUP(B695,Phone_by_Price!$A$2:$A$34,Phone_by_Price!$B$2:$B$34,"-",0,1)</f>
        <v>Samsung Galaxy A7</v>
      </c>
      <c r="D695" t="str">
        <f>_xlfn.XLOOKUP(C695,Phone_by_Sentiment!$B$2:$B$37,Phone_by_Sentiment!$A$2:$A$37,"-",0,1)</f>
        <v>2018-10</v>
      </c>
      <c r="E695" cm="1">
        <f t="array" ref="E695">IF($Q695&gt;=0,IFERROR(generateSalesData($D695, IF(ISNUMBER(_xlfn.XLOOKUP($C695,Phone_by_Sentiment!$B$2:$B$37,Phone_by_Sentiment!E$2:E$37,"",0,1)),_xlfn.XLOOKUP($C695,Phone_by_Sentiment!$B$2:$B$37,Phone_by_Sentiment!E$2:E$37,"",0,1),0),$A695-TEXT(DATEVALUE($D695&amp;"-01"), "dd-mm-yyyy")),0),0)</f>
        <v>9</v>
      </c>
      <c r="F695" cm="1">
        <f t="array" ref="F695">IF($Q695&gt;=0,IFERROR(generateSalesData($D695, IF(ISNUMBER(_xlfn.XLOOKUP($C695,Phone_by_Sentiment!$B$2:$B$37,Phone_by_Sentiment!F$2:F$37,"",0,1)),_xlfn.XLOOKUP($C695,Phone_by_Sentiment!$B$2:$B$37,Phone_by_Sentiment!F$2:F$37,"",0,1),0),$A695-TEXT(DATEVALUE($D695&amp;"-01"), "dd-mm-yyyy")),0),0)</f>
        <v>71</v>
      </c>
      <c r="G695" cm="1">
        <f t="array" ref="G695">IF($Q695&gt;=0,IFERROR(generateSalesData($D695, IF(ISNUMBER(_xlfn.XLOOKUP($C695,Phone_by_Sentiment!$B$2:$B$37,Phone_by_Sentiment!G$2:G$37,"",0,1)),_xlfn.XLOOKUP($C695,Phone_by_Sentiment!$B$2:$B$37,Phone_by_Sentiment!G$2:G$37,"",0,1),0),$A695-TEXT(DATEVALUE($D695&amp;"-01"), "dd-mm-yyyy")),0),0)</f>
        <v>96</v>
      </c>
      <c r="H695" cm="1">
        <f t="array" ref="H695">IF($Q695&gt;=0,IFERROR(generateSalesData($D695, IF(ISNUMBER(_xlfn.XLOOKUP($C695,Phone_by_Sentiment!$B$2:$B$37,Phone_by_Sentiment!H$2:H$37,"",0,1)),_xlfn.XLOOKUP($C695,Phone_by_Sentiment!$B$2:$B$37,Phone_by_Sentiment!H$2:H$37,"",0,1),0),$A695-TEXT(DATEVALUE($D695&amp;"-01"), "dd-mm-yyyy")),0),0)</f>
        <v>464</v>
      </c>
      <c r="I695" cm="1">
        <f t="array" ref="I695">IF($Q695&gt;=0,IFERROR(generateSalesData($D695, IF(ISNUMBER(_xlfn.XLOOKUP($C695,Phone_by_Sentiment!$B$2:$B$37,Phone_by_Sentiment!I$2:I$37,"",0,1)),_xlfn.XLOOKUP($C695,Phone_by_Sentiment!$B$2:$B$37,Phone_by_Sentiment!I$2:I$37,"",0,1),0),$A695-TEXT(DATEVALUE($D695&amp;"-01"), "dd-mm-yyyy")),0),0)</f>
        <v>188</v>
      </c>
      <c r="J695" cm="1">
        <f t="array" ref="J695">IF($Q695&gt;=0,IFERROR(generateSalesData($D695, IF(ISNUMBER(_xlfn.XLOOKUP($C695,Phone_by_Sentiment!$B$2:$B$37,Phone_by_Sentiment!J$2:J$37,"",0,1)),_xlfn.XLOOKUP($C695,Phone_by_Sentiment!$B$2:$B$37,Phone_by_Sentiment!J$2:J$37,"",0,1),0),$A695-TEXT(DATEVALUE($D695&amp;"-01"), "dd-mm-yyyy")),0),0)</f>
        <v>80</v>
      </c>
      <c r="K695" cm="1">
        <f t="array" ref="K695">IF($Q695&gt;=0,IFERROR(generateSalesData($D695, IF(ISNUMBER(_xlfn.XLOOKUP($C695,Phone_by_Sentiment!$B$2:$B$37,Phone_by_Sentiment!K$2:K$37,"",0,1)),_xlfn.XLOOKUP($C695,Phone_by_Sentiment!$B$2:$B$37,Phone_by_Sentiment!K$2:K$37,"",0,1),0),$A695-TEXT(DATEVALUE($D695&amp;"-01"), "dd-mm-yyyy")),0),0)</f>
        <v>127</v>
      </c>
      <c r="L695" cm="1">
        <f t="array" ref="L695">IF($Q695&gt;=0,IFERROR(generateSalesData($D695, IF(ISNUMBER(_xlfn.XLOOKUP($C695,Phone_by_Sentiment!$B$2:$B$37,Phone_by_Sentiment!L$2:L$37,"",0,1)),_xlfn.XLOOKUP($C695,Phone_by_Sentiment!$B$2:$B$37,Phone_by_Sentiment!L$2:L$37,"",0,1),0),$A695-TEXT(DATEVALUE($D695&amp;"-01"), "dd-mm-yyyy")),0),0)</f>
        <v>52</v>
      </c>
      <c r="M695" cm="1">
        <f t="array" ref="M695">IF($Q695&gt;=0,IFERROR(generateSalesData($D695, IF(ISNUMBER(_xlfn.XLOOKUP($C695,Phone_by_Sentiment!$B$2:$B$37,Phone_by_Sentiment!M$2:M$37,"",0,1)),_xlfn.XLOOKUP($C695,Phone_by_Sentiment!$B$2:$B$37,Phone_by_Sentiment!M$2:M$37,"",0,1),0),$A695-TEXT(DATEVALUE($D695&amp;"-01"), "dd-mm-yyyy")),0),0)</f>
        <v>558</v>
      </c>
      <c r="N695" cm="1">
        <f t="array" ref="N695">IF($Q695&gt;=0,IFERROR(generateSalesData($D695, IF(ISNUMBER(_xlfn.XLOOKUP($C695,Phone_by_Sentiment!$B$2:$B$37,Phone_by_Sentiment!N$2:N$37,"",0,1)),_xlfn.XLOOKUP($C695,Phone_by_Sentiment!$B$2:$B$37,Phone_by_Sentiment!N$2:N$37,"",0,1),0),$A695-TEXT(DATEVALUE($D695&amp;"-01"), "dd-mm-yyyy")),0),0)</f>
        <v>554</v>
      </c>
      <c r="O695" cm="1">
        <f t="array" ref="O695">IF($Q695&gt;=0,IFERROR(generateSalesData($D695, IF(ISNUMBER(_xlfn.XLOOKUP($C695,Phone_by_Sentiment!$B$2:$B$37,Phone_by_Sentiment!O$2:O$37,"",0,1)),_xlfn.XLOOKUP($C695,Phone_by_Sentiment!$B$2:$B$37,Phone_by_Sentiment!O$2:O$37,"",0,1),0),$A695-TEXT(DATEVALUE($D695&amp;"-01"), "dd-mm-yyyy")),0),0)</f>
        <v>557</v>
      </c>
      <c r="P695" s="1">
        <f t="shared" si="28"/>
        <v>43374</v>
      </c>
      <c r="Q695">
        <f t="shared" si="29"/>
        <v>670</v>
      </c>
    </row>
    <row r="696" spans="1:17" x14ac:dyDescent="0.25">
      <c r="A696" s="1">
        <f t="shared" si="27"/>
        <v>44044</v>
      </c>
      <c r="B696" t="s">
        <v>142</v>
      </c>
      <c r="C696" t="str">
        <f>_xlfn.XLOOKUP(B696,Phone_by_Price!$A$2:$A$34,Phone_by_Price!$B$2:$B$34,"-",0,1)</f>
        <v>iPhone 11</v>
      </c>
      <c r="D696" t="str">
        <f>_xlfn.XLOOKUP(C696,Phone_by_Sentiment!$B$2:$B$37,Phone_by_Sentiment!$A$2:$A$37,"-",0,1)</f>
        <v>2019-09</v>
      </c>
      <c r="E696" cm="1">
        <f t="array" ref="E696">IF($Q696&gt;=0,IFERROR(generateSalesData($D696, IF(ISNUMBER(_xlfn.XLOOKUP($C696,Phone_by_Sentiment!$B$2:$B$37,Phone_by_Sentiment!E$2:E$37,"",0,1)),_xlfn.XLOOKUP($C696,Phone_by_Sentiment!$B$2:$B$37,Phone_by_Sentiment!E$2:E$37,"",0,1),0),$A696-TEXT(DATEVALUE($D696&amp;"-01"), "dd-mm-yyyy")),0),0)</f>
        <v>1151</v>
      </c>
      <c r="F696" cm="1">
        <f t="array" ref="F696">IF($Q696&gt;=0,IFERROR(generateSalesData($D696, IF(ISNUMBER(_xlfn.XLOOKUP($C696,Phone_by_Sentiment!$B$2:$B$37,Phone_by_Sentiment!F$2:F$37,"",0,1)),_xlfn.XLOOKUP($C696,Phone_by_Sentiment!$B$2:$B$37,Phone_by_Sentiment!F$2:F$37,"",0,1),0),$A696-TEXT(DATEVALUE($D696&amp;"-01"), "dd-mm-yyyy")),0),0)</f>
        <v>542</v>
      </c>
      <c r="G696" cm="1">
        <f t="array" ref="G696">IF($Q696&gt;=0,IFERROR(generateSalesData($D696, IF(ISNUMBER(_xlfn.XLOOKUP($C696,Phone_by_Sentiment!$B$2:$B$37,Phone_by_Sentiment!G$2:G$37,"",0,1)),_xlfn.XLOOKUP($C696,Phone_by_Sentiment!$B$2:$B$37,Phone_by_Sentiment!G$2:G$37,"",0,1),0),$A696-TEXT(DATEVALUE($D696&amp;"-01"), "dd-mm-yyyy")),0),0)</f>
        <v>170</v>
      </c>
      <c r="H696" cm="1">
        <f t="array" ref="H696">IF($Q696&gt;=0,IFERROR(generateSalesData($D696, IF(ISNUMBER(_xlfn.XLOOKUP($C696,Phone_by_Sentiment!$B$2:$B$37,Phone_by_Sentiment!H$2:H$37,"",0,1)),_xlfn.XLOOKUP($C696,Phone_by_Sentiment!$B$2:$B$37,Phone_by_Sentiment!H$2:H$37,"",0,1),0),$A696-TEXT(DATEVALUE($D696&amp;"-01"), "dd-mm-yyyy")),0),0)</f>
        <v>654</v>
      </c>
      <c r="I696" cm="1">
        <f t="array" ref="I696">IF($Q696&gt;=0,IFERROR(generateSalesData($D696, IF(ISNUMBER(_xlfn.XLOOKUP($C696,Phone_by_Sentiment!$B$2:$B$37,Phone_by_Sentiment!I$2:I$37,"",0,1)),_xlfn.XLOOKUP($C696,Phone_by_Sentiment!$B$2:$B$37,Phone_by_Sentiment!I$2:I$37,"",0,1),0),$A696-TEXT(DATEVALUE($D696&amp;"-01"), "dd-mm-yyyy")),0),0)</f>
        <v>590</v>
      </c>
      <c r="J696" cm="1">
        <f t="array" ref="J696">IF($Q696&gt;=0,IFERROR(generateSalesData($D696, IF(ISNUMBER(_xlfn.XLOOKUP($C696,Phone_by_Sentiment!$B$2:$B$37,Phone_by_Sentiment!J$2:J$37,"",0,1)),_xlfn.XLOOKUP($C696,Phone_by_Sentiment!$B$2:$B$37,Phone_by_Sentiment!J$2:J$37,"",0,1),0),$A696-TEXT(DATEVALUE($D696&amp;"-01"), "dd-mm-yyyy")),0),0)</f>
        <v>680</v>
      </c>
      <c r="K696" cm="1">
        <f t="array" ref="K696">IF($Q696&gt;=0,IFERROR(generateSalesData($D696, IF(ISNUMBER(_xlfn.XLOOKUP($C696,Phone_by_Sentiment!$B$2:$B$37,Phone_by_Sentiment!K$2:K$37,"",0,1)),_xlfn.XLOOKUP($C696,Phone_by_Sentiment!$B$2:$B$37,Phone_by_Sentiment!K$2:K$37,"",0,1),0),$A696-TEXT(DATEVALUE($D696&amp;"-01"), "dd-mm-yyyy")),0),0)</f>
        <v>142</v>
      </c>
      <c r="L696" cm="1">
        <f t="array" ref="L696">IF($Q696&gt;=0,IFERROR(generateSalesData($D696, IF(ISNUMBER(_xlfn.XLOOKUP($C696,Phone_by_Sentiment!$B$2:$B$37,Phone_by_Sentiment!L$2:L$37,"",0,1)),_xlfn.XLOOKUP($C696,Phone_by_Sentiment!$B$2:$B$37,Phone_by_Sentiment!L$2:L$37,"",0,1),0),$A696-TEXT(DATEVALUE($D696&amp;"-01"), "dd-mm-yyyy")),0),0)</f>
        <v>622</v>
      </c>
      <c r="M696" cm="1">
        <f t="array" ref="M696">IF($Q696&gt;=0,IFERROR(generateSalesData($D696, IF(ISNUMBER(_xlfn.XLOOKUP($C696,Phone_by_Sentiment!$B$2:$B$37,Phone_by_Sentiment!M$2:M$37,"",0,1)),_xlfn.XLOOKUP($C696,Phone_by_Sentiment!$B$2:$B$37,Phone_by_Sentiment!M$2:M$37,"",0,1),0),$A696-TEXT(DATEVALUE($D696&amp;"-01"), "dd-mm-yyyy")),0),0)</f>
        <v>585</v>
      </c>
      <c r="N696" cm="1">
        <f t="array" ref="N696">IF($Q696&gt;=0,IFERROR(generateSalesData($D696, IF(ISNUMBER(_xlfn.XLOOKUP($C696,Phone_by_Sentiment!$B$2:$B$37,Phone_by_Sentiment!N$2:N$37,"",0,1)),_xlfn.XLOOKUP($C696,Phone_by_Sentiment!$B$2:$B$37,Phone_by_Sentiment!N$2:N$37,"",0,1),0),$A696-TEXT(DATEVALUE($D696&amp;"-01"), "dd-mm-yyyy")),0),0)</f>
        <v>1295</v>
      </c>
      <c r="O696" cm="1">
        <f t="array" ref="O696">IF($Q696&gt;=0,IFERROR(generateSalesData($D696, IF(ISNUMBER(_xlfn.XLOOKUP($C696,Phone_by_Sentiment!$B$2:$B$37,Phone_by_Sentiment!O$2:O$37,"",0,1)),_xlfn.XLOOKUP($C696,Phone_by_Sentiment!$B$2:$B$37,Phone_by_Sentiment!O$2:O$37,"",0,1),0),$A696-TEXT(DATEVALUE($D696&amp;"-01"), "dd-mm-yyyy")),0),0)</f>
        <v>363</v>
      </c>
      <c r="P696" s="1">
        <f t="shared" si="28"/>
        <v>43709</v>
      </c>
      <c r="Q696">
        <f t="shared" si="29"/>
        <v>335</v>
      </c>
    </row>
    <row r="697" spans="1:17" x14ac:dyDescent="0.25">
      <c r="A697" s="1">
        <f t="shared" si="27"/>
        <v>44044</v>
      </c>
      <c r="B697" t="s">
        <v>143</v>
      </c>
      <c r="C697" t="str">
        <f>_xlfn.XLOOKUP(B697,Phone_by_Price!$A$2:$A$34,Phone_by_Price!$B$2:$B$34,"-",0,1)</f>
        <v>Samsung Galaxy S20 Ultra</v>
      </c>
      <c r="D697" t="str">
        <f>_xlfn.XLOOKUP(C697,Phone_by_Sentiment!$B$2:$B$37,Phone_by_Sentiment!$A$2:$A$37,"-",0,1)</f>
        <v>2020-02</v>
      </c>
      <c r="E697" cm="1">
        <f t="array" ref="E697">IF($Q697&gt;=0,IFERROR(generateSalesData($D697, IF(ISNUMBER(_xlfn.XLOOKUP($C697,Phone_by_Sentiment!$B$2:$B$37,Phone_by_Sentiment!E$2:E$37,"",0,1)),_xlfn.XLOOKUP($C697,Phone_by_Sentiment!$B$2:$B$37,Phone_by_Sentiment!E$2:E$37,"",0,1),0),$A697-TEXT(DATEVALUE($D697&amp;"-01"), "dd-mm-yyyy")),0),0)</f>
        <v>754</v>
      </c>
      <c r="F697" cm="1">
        <f t="array" ref="F697">IF($Q697&gt;=0,IFERROR(generateSalesData($D697, IF(ISNUMBER(_xlfn.XLOOKUP($C697,Phone_by_Sentiment!$B$2:$B$37,Phone_by_Sentiment!F$2:F$37,"",0,1)),_xlfn.XLOOKUP($C697,Phone_by_Sentiment!$B$2:$B$37,Phone_by_Sentiment!F$2:F$37,"",0,1),0),$A697-TEXT(DATEVALUE($D697&amp;"-01"), "dd-mm-yyyy")),0),0)</f>
        <v>-116</v>
      </c>
      <c r="G697" cm="1">
        <f t="array" ref="G697">IF($Q697&gt;=0,IFERROR(generateSalesData($D697, IF(ISNUMBER(_xlfn.XLOOKUP($C697,Phone_by_Sentiment!$B$2:$B$37,Phone_by_Sentiment!G$2:G$37,"",0,1)),_xlfn.XLOOKUP($C697,Phone_by_Sentiment!$B$2:$B$37,Phone_by_Sentiment!G$2:G$37,"",0,1),0),$A697-TEXT(DATEVALUE($D697&amp;"-01"), "dd-mm-yyyy")),0),0)</f>
        <v>647</v>
      </c>
      <c r="H697" cm="1">
        <f t="array" ref="H697">IF($Q697&gt;=0,IFERROR(generateSalesData($D697, IF(ISNUMBER(_xlfn.XLOOKUP($C697,Phone_by_Sentiment!$B$2:$B$37,Phone_by_Sentiment!H$2:H$37,"",0,1)),_xlfn.XLOOKUP($C697,Phone_by_Sentiment!$B$2:$B$37,Phone_by_Sentiment!H$2:H$37,"",0,1),0),$A697-TEXT(DATEVALUE($D697&amp;"-01"), "dd-mm-yyyy")),0),0)</f>
        <v>1164</v>
      </c>
      <c r="I697" cm="1">
        <f t="array" ref="I697">IF($Q697&gt;=0,IFERROR(generateSalesData($D697, IF(ISNUMBER(_xlfn.XLOOKUP($C697,Phone_by_Sentiment!$B$2:$B$37,Phone_by_Sentiment!I$2:I$37,"",0,1)),_xlfn.XLOOKUP($C697,Phone_by_Sentiment!$B$2:$B$37,Phone_by_Sentiment!I$2:I$37,"",0,1),0),$A697-TEXT(DATEVALUE($D697&amp;"-01"), "dd-mm-yyyy")),0),0)</f>
        <v>2095</v>
      </c>
      <c r="J697" cm="1">
        <f t="array" ref="J697">IF($Q697&gt;=0,IFERROR(generateSalesData($D697, IF(ISNUMBER(_xlfn.XLOOKUP($C697,Phone_by_Sentiment!$B$2:$B$37,Phone_by_Sentiment!J$2:J$37,"",0,1)),_xlfn.XLOOKUP($C697,Phone_by_Sentiment!$B$2:$B$37,Phone_by_Sentiment!J$2:J$37,"",0,1),0),$A697-TEXT(DATEVALUE($D697&amp;"-01"), "dd-mm-yyyy")),0),0)</f>
        <v>1106</v>
      </c>
      <c r="K697" cm="1">
        <f t="array" ref="K697">IF($Q697&gt;=0,IFERROR(generateSalesData($D697, IF(ISNUMBER(_xlfn.XLOOKUP($C697,Phone_by_Sentiment!$B$2:$B$37,Phone_by_Sentiment!K$2:K$37,"",0,1)),_xlfn.XLOOKUP($C697,Phone_by_Sentiment!$B$2:$B$37,Phone_by_Sentiment!K$2:K$37,"",0,1),0),$A697-TEXT(DATEVALUE($D697&amp;"-01"), "dd-mm-yyyy")),0),0)</f>
        <v>430</v>
      </c>
      <c r="L697" cm="1">
        <f t="array" ref="L697">IF($Q697&gt;=0,IFERROR(generateSalesData($D697, IF(ISNUMBER(_xlfn.XLOOKUP($C697,Phone_by_Sentiment!$B$2:$B$37,Phone_by_Sentiment!L$2:L$37,"",0,1)),_xlfn.XLOOKUP($C697,Phone_by_Sentiment!$B$2:$B$37,Phone_by_Sentiment!L$2:L$37,"",0,1),0),$A697-TEXT(DATEVALUE($D697&amp;"-01"), "dd-mm-yyyy")),0),0)</f>
        <v>1352</v>
      </c>
      <c r="M697" cm="1">
        <f t="array" ref="M697">IF($Q697&gt;=0,IFERROR(generateSalesData($D697, IF(ISNUMBER(_xlfn.XLOOKUP($C697,Phone_by_Sentiment!$B$2:$B$37,Phone_by_Sentiment!M$2:M$37,"",0,1)),_xlfn.XLOOKUP($C697,Phone_by_Sentiment!$B$2:$B$37,Phone_by_Sentiment!M$2:M$37,"",0,1),0),$A697-TEXT(DATEVALUE($D697&amp;"-01"), "dd-mm-yyyy")),0),0)</f>
        <v>972</v>
      </c>
      <c r="N697" cm="1">
        <f t="array" ref="N697">IF($Q697&gt;=0,IFERROR(generateSalesData($D697, IF(ISNUMBER(_xlfn.XLOOKUP($C697,Phone_by_Sentiment!$B$2:$B$37,Phone_by_Sentiment!N$2:N$37,"",0,1)),_xlfn.XLOOKUP($C697,Phone_by_Sentiment!$B$2:$B$37,Phone_by_Sentiment!N$2:N$37,"",0,1),0),$A697-TEXT(DATEVALUE($D697&amp;"-01"), "dd-mm-yyyy")),0),0)</f>
        <v>584</v>
      </c>
      <c r="O697" cm="1">
        <f t="array" ref="O697">IF($Q697&gt;=0,IFERROR(generateSalesData($D697, IF(ISNUMBER(_xlfn.XLOOKUP($C697,Phone_by_Sentiment!$B$2:$B$37,Phone_by_Sentiment!O$2:O$37,"",0,1)),_xlfn.XLOOKUP($C697,Phone_by_Sentiment!$B$2:$B$37,Phone_by_Sentiment!O$2:O$37,"",0,1),0),$A697-TEXT(DATEVALUE($D697&amp;"-01"), "dd-mm-yyyy")),0),0)</f>
        <v>1103</v>
      </c>
      <c r="P697" s="1">
        <f t="shared" si="28"/>
        <v>43862</v>
      </c>
      <c r="Q697">
        <f t="shared" si="29"/>
        <v>182</v>
      </c>
    </row>
    <row r="698" spans="1:17" x14ac:dyDescent="0.25">
      <c r="A698" s="1">
        <f t="shared" si="27"/>
        <v>44044</v>
      </c>
      <c r="B698" t="s">
        <v>144</v>
      </c>
      <c r="C698" t="str">
        <f>_xlfn.XLOOKUP(B698,Phone_by_Price!$A$2:$A$34,Phone_by_Price!$B$2:$B$34,"-",0,1)</f>
        <v>Xiaomi Redmi Note 10</v>
      </c>
      <c r="D698" t="str">
        <f>_xlfn.XLOOKUP(C698,Phone_by_Sentiment!$B$2:$B$37,Phone_by_Sentiment!$A$2:$A$37,"-",0,1)</f>
        <v>2021-03</v>
      </c>
      <c r="E698" cm="1">
        <f t="array" ref="E698">IF($Q698&gt;=0,IFERROR(generateSalesData($D698, IF(ISNUMBER(_xlfn.XLOOKUP($C698,Phone_by_Sentiment!$B$2:$B$37,Phone_by_Sentiment!E$2:E$37,"",0,1)),_xlfn.XLOOKUP($C698,Phone_by_Sentiment!$B$2:$B$37,Phone_by_Sentiment!E$2:E$37,"",0,1),0),$A698-TEXT(DATEVALUE($D698&amp;"-01"), "dd-mm-yyyy")),0),0)</f>
        <v>0</v>
      </c>
      <c r="F698" cm="1">
        <f t="array" ref="F698">IF($Q698&gt;=0,IFERROR(generateSalesData($D698, IF(ISNUMBER(_xlfn.XLOOKUP($C698,Phone_by_Sentiment!$B$2:$B$37,Phone_by_Sentiment!F$2:F$37,"",0,1)),_xlfn.XLOOKUP($C698,Phone_by_Sentiment!$B$2:$B$37,Phone_by_Sentiment!F$2:F$37,"",0,1),0),$A698-TEXT(DATEVALUE($D698&amp;"-01"), "dd-mm-yyyy")),0),0)</f>
        <v>0</v>
      </c>
      <c r="G698" cm="1">
        <f t="array" ref="G698">IF($Q698&gt;=0,IFERROR(generateSalesData($D698, IF(ISNUMBER(_xlfn.XLOOKUP($C698,Phone_by_Sentiment!$B$2:$B$37,Phone_by_Sentiment!G$2:G$37,"",0,1)),_xlfn.XLOOKUP($C698,Phone_by_Sentiment!$B$2:$B$37,Phone_by_Sentiment!G$2:G$37,"",0,1),0),$A698-TEXT(DATEVALUE($D698&amp;"-01"), "dd-mm-yyyy")),0),0)</f>
        <v>0</v>
      </c>
      <c r="H698" cm="1">
        <f t="array" ref="H698">IF($Q698&gt;=0,IFERROR(generateSalesData($D698, IF(ISNUMBER(_xlfn.XLOOKUP($C698,Phone_by_Sentiment!$B$2:$B$37,Phone_by_Sentiment!H$2:H$37,"",0,1)),_xlfn.XLOOKUP($C698,Phone_by_Sentiment!$B$2:$B$37,Phone_by_Sentiment!H$2:H$37,"",0,1),0),$A698-TEXT(DATEVALUE($D698&amp;"-01"), "dd-mm-yyyy")),0),0)</f>
        <v>0</v>
      </c>
      <c r="I698" cm="1">
        <f t="array" ref="I698">IF($Q698&gt;=0,IFERROR(generateSalesData($D698, IF(ISNUMBER(_xlfn.XLOOKUP($C698,Phone_by_Sentiment!$B$2:$B$37,Phone_by_Sentiment!I$2:I$37,"",0,1)),_xlfn.XLOOKUP($C698,Phone_by_Sentiment!$B$2:$B$37,Phone_by_Sentiment!I$2:I$37,"",0,1),0),$A698-TEXT(DATEVALUE($D698&amp;"-01"), "dd-mm-yyyy")),0),0)</f>
        <v>0</v>
      </c>
      <c r="J698" cm="1">
        <f t="array" ref="J698">IF($Q698&gt;=0,IFERROR(generateSalesData($D698, IF(ISNUMBER(_xlfn.XLOOKUP($C698,Phone_by_Sentiment!$B$2:$B$37,Phone_by_Sentiment!J$2:J$37,"",0,1)),_xlfn.XLOOKUP($C698,Phone_by_Sentiment!$B$2:$B$37,Phone_by_Sentiment!J$2:J$37,"",0,1),0),$A698-TEXT(DATEVALUE($D698&amp;"-01"), "dd-mm-yyyy")),0),0)</f>
        <v>0</v>
      </c>
      <c r="K698" cm="1">
        <f t="array" ref="K698">IF($Q698&gt;=0,IFERROR(generateSalesData($D698, IF(ISNUMBER(_xlfn.XLOOKUP($C698,Phone_by_Sentiment!$B$2:$B$37,Phone_by_Sentiment!K$2:K$37,"",0,1)),_xlfn.XLOOKUP($C698,Phone_by_Sentiment!$B$2:$B$37,Phone_by_Sentiment!K$2:K$37,"",0,1),0),$A698-TEXT(DATEVALUE($D698&amp;"-01"), "dd-mm-yyyy")),0),0)</f>
        <v>0</v>
      </c>
      <c r="L698" cm="1">
        <f t="array" ref="L698">IF($Q698&gt;=0,IFERROR(generateSalesData($D698, IF(ISNUMBER(_xlfn.XLOOKUP($C698,Phone_by_Sentiment!$B$2:$B$37,Phone_by_Sentiment!L$2:L$37,"",0,1)),_xlfn.XLOOKUP($C698,Phone_by_Sentiment!$B$2:$B$37,Phone_by_Sentiment!L$2:L$37,"",0,1),0),$A698-TEXT(DATEVALUE($D698&amp;"-01"), "dd-mm-yyyy")),0),0)</f>
        <v>0</v>
      </c>
      <c r="M698" cm="1">
        <f t="array" ref="M698">IF($Q698&gt;=0,IFERROR(generateSalesData($D698, IF(ISNUMBER(_xlfn.XLOOKUP($C698,Phone_by_Sentiment!$B$2:$B$37,Phone_by_Sentiment!M$2:M$37,"",0,1)),_xlfn.XLOOKUP($C698,Phone_by_Sentiment!$B$2:$B$37,Phone_by_Sentiment!M$2:M$37,"",0,1),0),$A698-TEXT(DATEVALUE($D698&amp;"-01"), "dd-mm-yyyy")),0),0)</f>
        <v>0</v>
      </c>
      <c r="N698" cm="1">
        <f t="array" ref="N698">IF($Q698&gt;=0,IFERROR(generateSalesData($D698, IF(ISNUMBER(_xlfn.XLOOKUP($C698,Phone_by_Sentiment!$B$2:$B$37,Phone_by_Sentiment!N$2:N$37,"",0,1)),_xlfn.XLOOKUP($C698,Phone_by_Sentiment!$B$2:$B$37,Phone_by_Sentiment!N$2:N$37,"",0,1),0),$A698-TEXT(DATEVALUE($D698&amp;"-01"), "dd-mm-yyyy")),0),0)</f>
        <v>0</v>
      </c>
      <c r="O698" cm="1">
        <f t="array" ref="O698">IF($Q698&gt;=0,IFERROR(generateSalesData($D698, IF(ISNUMBER(_xlfn.XLOOKUP($C698,Phone_by_Sentiment!$B$2:$B$37,Phone_by_Sentiment!O$2:O$37,"",0,1)),_xlfn.XLOOKUP($C698,Phone_by_Sentiment!$B$2:$B$37,Phone_by_Sentiment!O$2:O$37,"",0,1),0),$A698-TEXT(DATEVALUE($D698&amp;"-01"), "dd-mm-yyyy")),0),0)</f>
        <v>0</v>
      </c>
      <c r="P698" s="1">
        <f t="shared" si="28"/>
        <v>44256</v>
      </c>
      <c r="Q698">
        <f t="shared" si="29"/>
        <v>-212</v>
      </c>
    </row>
    <row r="699" spans="1:17" x14ac:dyDescent="0.25">
      <c r="A699" s="1">
        <f t="shared" si="27"/>
        <v>44044</v>
      </c>
      <c r="B699" t="s">
        <v>145</v>
      </c>
      <c r="C699" t="str">
        <f>_xlfn.XLOOKUP(B699,Phone_by_Price!$A$2:$A$34,Phone_by_Price!$B$2:$B$34,"-",0,1)</f>
        <v>OPPO A54</v>
      </c>
      <c r="D699" t="str">
        <f>_xlfn.XLOOKUP(C699,Phone_by_Sentiment!$B$2:$B$37,Phone_by_Sentiment!$A$2:$A$37,"-",0,1)</f>
        <v>2021-04</v>
      </c>
      <c r="E699" cm="1">
        <f t="array" ref="E699">IF($Q699&gt;=0,IFERROR(generateSalesData($D699, IF(ISNUMBER(_xlfn.XLOOKUP($C699,Phone_by_Sentiment!$B$2:$B$37,Phone_by_Sentiment!E$2:E$37,"",0,1)),_xlfn.XLOOKUP($C699,Phone_by_Sentiment!$B$2:$B$37,Phone_by_Sentiment!E$2:E$37,"",0,1),0),$A699-TEXT(DATEVALUE($D699&amp;"-01"), "dd-mm-yyyy")),0),0)</f>
        <v>0</v>
      </c>
      <c r="F699" cm="1">
        <f t="array" ref="F699">IF($Q699&gt;=0,IFERROR(generateSalesData($D699, IF(ISNUMBER(_xlfn.XLOOKUP($C699,Phone_by_Sentiment!$B$2:$B$37,Phone_by_Sentiment!F$2:F$37,"",0,1)),_xlfn.XLOOKUP($C699,Phone_by_Sentiment!$B$2:$B$37,Phone_by_Sentiment!F$2:F$37,"",0,1),0),$A699-TEXT(DATEVALUE($D699&amp;"-01"), "dd-mm-yyyy")),0),0)</f>
        <v>0</v>
      </c>
      <c r="G699" cm="1">
        <f t="array" ref="G699">IF($Q699&gt;=0,IFERROR(generateSalesData($D699, IF(ISNUMBER(_xlfn.XLOOKUP($C699,Phone_by_Sentiment!$B$2:$B$37,Phone_by_Sentiment!G$2:G$37,"",0,1)),_xlfn.XLOOKUP($C699,Phone_by_Sentiment!$B$2:$B$37,Phone_by_Sentiment!G$2:G$37,"",0,1),0),$A699-TEXT(DATEVALUE($D699&amp;"-01"), "dd-mm-yyyy")),0),0)</f>
        <v>0</v>
      </c>
      <c r="H699" cm="1">
        <f t="array" ref="H699">IF($Q699&gt;=0,IFERROR(generateSalesData($D699, IF(ISNUMBER(_xlfn.XLOOKUP($C699,Phone_by_Sentiment!$B$2:$B$37,Phone_by_Sentiment!H$2:H$37,"",0,1)),_xlfn.XLOOKUP($C699,Phone_by_Sentiment!$B$2:$B$37,Phone_by_Sentiment!H$2:H$37,"",0,1),0),$A699-TEXT(DATEVALUE($D699&amp;"-01"), "dd-mm-yyyy")),0),0)</f>
        <v>0</v>
      </c>
      <c r="I699" cm="1">
        <f t="array" ref="I699">IF($Q699&gt;=0,IFERROR(generateSalesData($D699, IF(ISNUMBER(_xlfn.XLOOKUP($C699,Phone_by_Sentiment!$B$2:$B$37,Phone_by_Sentiment!I$2:I$37,"",0,1)),_xlfn.XLOOKUP($C699,Phone_by_Sentiment!$B$2:$B$37,Phone_by_Sentiment!I$2:I$37,"",0,1),0),$A699-TEXT(DATEVALUE($D699&amp;"-01"), "dd-mm-yyyy")),0),0)</f>
        <v>0</v>
      </c>
      <c r="J699" cm="1">
        <f t="array" ref="J699">IF($Q699&gt;=0,IFERROR(generateSalesData($D699, IF(ISNUMBER(_xlfn.XLOOKUP($C699,Phone_by_Sentiment!$B$2:$B$37,Phone_by_Sentiment!J$2:J$37,"",0,1)),_xlfn.XLOOKUP($C699,Phone_by_Sentiment!$B$2:$B$37,Phone_by_Sentiment!J$2:J$37,"",0,1),0),$A699-TEXT(DATEVALUE($D699&amp;"-01"), "dd-mm-yyyy")),0),0)</f>
        <v>0</v>
      </c>
      <c r="K699" cm="1">
        <f t="array" ref="K699">IF($Q699&gt;=0,IFERROR(generateSalesData($D699, IF(ISNUMBER(_xlfn.XLOOKUP($C699,Phone_by_Sentiment!$B$2:$B$37,Phone_by_Sentiment!K$2:K$37,"",0,1)),_xlfn.XLOOKUP($C699,Phone_by_Sentiment!$B$2:$B$37,Phone_by_Sentiment!K$2:K$37,"",0,1),0),$A699-TEXT(DATEVALUE($D699&amp;"-01"), "dd-mm-yyyy")),0),0)</f>
        <v>0</v>
      </c>
      <c r="L699" cm="1">
        <f t="array" ref="L699">IF($Q699&gt;=0,IFERROR(generateSalesData($D699, IF(ISNUMBER(_xlfn.XLOOKUP($C699,Phone_by_Sentiment!$B$2:$B$37,Phone_by_Sentiment!L$2:L$37,"",0,1)),_xlfn.XLOOKUP($C699,Phone_by_Sentiment!$B$2:$B$37,Phone_by_Sentiment!L$2:L$37,"",0,1),0),$A699-TEXT(DATEVALUE($D699&amp;"-01"), "dd-mm-yyyy")),0),0)</f>
        <v>0</v>
      </c>
      <c r="M699" cm="1">
        <f t="array" ref="M699">IF($Q699&gt;=0,IFERROR(generateSalesData($D699, IF(ISNUMBER(_xlfn.XLOOKUP($C699,Phone_by_Sentiment!$B$2:$B$37,Phone_by_Sentiment!M$2:M$37,"",0,1)),_xlfn.XLOOKUP($C699,Phone_by_Sentiment!$B$2:$B$37,Phone_by_Sentiment!M$2:M$37,"",0,1),0),$A699-TEXT(DATEVALUE($D699&amp;"-01"), "dd-mm-yyyy")),0),0)</f>
        <v>0</v>
      </c>
      <c r="N699" cm="1">
        <f t="array" ref="N699">IF($Q699&gt;=0,IFERROR(generateSalesData($D699, IF(ISNUMBER(_xlfn.XLOOKUP($C699,Phone_by_Sentiment!$B$2:$B$37,Phone_by_Sentiment!N$2:N$37,"",0,1)),_xlfn.XLOOKUP($C699,Phone_by_Sentiment!$B$2:$B$37,Phone_by_Sentiment!N$2:N$37,"",0,1),0),$A699-TEXT(DATEVALUE($D699&amp;"-01"), "dd-mm-yyyy")),0),0)</f>
        <v>0</v>
      </c>
      <c r="O699" cm="1">
        <f t="array" ref="O699">IF($Q699&gt;=0,IFERROR(generateSalesData($D699, IF(ISNUMBER(_xlfn.XLOOKUP($C699,Phone_by_Sentiment!$B$2:$B$37,Phone_by_Sentiment!O$2:O$37,"",0,1)),_xlfn.XLOOKUP($C699,Phone_by_Sentiment!$B$2:$B$37,Phone_by_Sentiment!O$2:O$37,"",0,1),0),$A699-TEXT(DATEVALUE($D699&amp;"-01"), "dd-mm-yyyy")),0),0)</f>
        <v>0</v>
      </c>
      <c r="P699" s="1">
        <f t="shared" si="28"/>
        <v>44287</v>
      </c>
      <c r="Q699">
        <f t="shared" si="29"/>
        <v>-243</v>
      </c>
    </row>
    <row r="700" spans="1:17" x14ac:dyDescent="0.25">
      <c r="A700" s="1">
        <f t="shared" si="27"/>
        <v>44044</v>
      </c>
      <c r="B700" t="s">
        <v>146</v>
      </c>
      <c r="C700" t="str">
        <f>_xlfn.XLOOKUP(B700,Phone_by_Price!$A$2:$A$34,Phone_by_Price!$B$2:$B$34,"-",0,1)</f>
        <v>Vivo Y20</v>
      </c>
      <c r="D700" t="str">
        <f>_xlfn.XLOOKUP(C700,Phone_by_Sentiment!$B$2:$B$37,Phone_by_Sentiment!$A$2:$A$37,"-",0,1)</f>
        <v>2020-09</v>
      </c>
      <c r="E700" cm="1">
        <f t="array" ref="E700">IF($Q700&gt;=0,IFERROR(generateSalesData($D700, IF(ISNUMBER(_xlfn.XLOOKUP($C700,Phone_by_Sentiment!$B$2:$B$37,Phone_by_Sentiment!E$2:E$37,"",0,1)),_xlfn.XLOOKUP($C700,Phone_by_Sentiment!$B$2:$B$37,Phone_by_Sentiment!E$2:E$37,"",0,1),0),$A700-TEXT(DATEVALUE($D700&amp;"-01"), "dd-mm-yyyy")),0),0)</f>
        <v>0</v>
      </c>
      <c r="F700" cm="1">
        <f t="array" ref="F700">IF($Q700&gt;=0,IFERROR(generateSalesData($D700, IF(ISNUMBER(_xlfn.XLOOKUP($C700,Phone_by_Sentiment!$B$2:$B$37,Phone_by_Sentiment!F$2:F$37,"",0,1)),_xlfn.XLOOKUP($C700,Phone_by_Sentiment!$B$2:$B$37,Phone_by_Sentiment!F$2:F$37,"",0,1),0),$A700-TEXT(DATEVALUE($D700&amp;"-01"), "dd-mm-yyyy")),0),0)</f>
        <v>0</v>
      </c>
      <c r="G700" cm="1">
        <f t="array" ref="G700">IF($Q700&gt;=0,IFERROR(generateSalesData($D700, IF(ISNUMBER(_xlfn.XLOOKUP($C700,Phone_by_Sentiment!$B$2:$B$37,Phone_by_Sentiment!G$2:G$37,"",0,1)),_xlfn.XLOOKUP($C700,Phone_by_Sentiment!$B$2:$B$37,Phone_by_Sentiment!G$2:G$37,"",0,1),0),$A700-TEXT(DATEVALUE($D700&amp;"-01"), "dd-mm-yyyy")),0),0)</f>
        <v>0</v>
      </c>
      <c r="H700" cm="1">
        <f t="array" ref="H700">IF($Q700&gt;=0,IFERROR(generateSalesData($D700, IF(ISNUMBER(_xlfn.XLOOKUP($C700,Phone_by_Sentiment!$B$2:$B$37,Phone_by_Sentiment!H$2:H$37,"",0,1)),_xlfn.XLOOKUP($C700,Phone_by_Sentiment!$B$2:$B$37,Phone_by_Sentiment!H$2:H$37,"",0,1),0),$A700-TEXT(DATEVALUE($D700&amp;"-01"), "dd-mm-yyyy")),0),0)</f>
        <v>0</v>
      </c>
      <c r="I700" cm="1">
        <f t="array" ref="I700">IF($Q700&gt;=0,IFERROR(generateSalesData($D700, IF(ISNUMBER(_xlfn.XLOOKUP($C700,Phone_by_Sentiment!$B$2:$B$37,Phone_by_Sentiment!I$2:I$37,"",0,1)),_xlfn.XLOOKUP($C700,Phone_by_Sentiment!$B$2:$B$37,Phone_by_Sentiment!I$2:I$37,"",0,1),0),$A700-TEXT(DATEVALUE($D700&amp;"-01"), "dd-mm-yyyy")),0),0)</f>
        <v>0</v>
      </c>
      <c r="J700" cm="1">
        <f t="array" ref="J700">IF($Q700&gt;=0,IFERROR(generateSalesData($D700, IF(ISNUMBER(_xlfn.XLOOKUP($C700,Phone_by_Sentiment!$B$2:$B$37,Phone_by_Sentiment!J$2:J$37,"",0,1)),_xlfn.XLOOKUP($C700,Phone_by_Sentiment!$B$2:$B$37,Phone_by_Sentiment!J$2:J$37,"",0,1),0),$A700-TEXT(DATEVALUE($D700&amp;"-01"), "dd-mm-yyyy")),0),0)</f>
        <v>0</v>
      </c>
      <c r="K700" cm="1">
        <f t="array" ref="K700">IF($Q700&gt;=0,IFERROR(generateSalesData($D700, IF(ISNUMBER(_xlfn.XLOOKUP($C700,Phone_by_Sentiment!$B$2:$B$37,Phone_by_Sentiment!K$2:K$37,"",0,1)),_xlfn.XLOOKUP($C700,Phone_by_Sentiment!$B$2:$B$37,Phone_by_Sentiment!K$2:K$37,"",0,1),0),$A700-TEXT(DATEVALUE($D700&amp;"-01"), "dd-mm-yyyy")),0),0)</f>
        <v>0</v>
      </c>
      <c r="L700" cm="1">
        <f t="array" ref="L700">IF($Q700&gt;=0,IFERROR(generateSalesData($D700, IF(ISNUMBER(_xlfn.XLOOKUP($C700,Phone_by_Sentiment!$B$2:$B$37,Phone_by_Sentiment!L$2:L$37,"",0,1)),_xlfn.XLOOKUP($C700,Phone_by_Sentiment!$B$2:$B$37,Phone_by_Sentiment!L$2:L$37,"",0,1),0),$A700-TEXT(DATEVALUE($D700&amp;"-01"), "dd-mm-yyyy")),0),0)</f>
        <v>0</v>
      </c>
      <c r="M700" cm="1">
        <f t="array" ref="M700">IF($Q700&gt;=0,IFERROR(generateSalesData($D700, IF(ISNUMBER(_xlfn.XLOOKUP($C700,Phone_by_Sentiment!$B$2:$B$37,Phone_by_Sentiment!M$2:M$37,"",0,1)),_xlfn.XLOOKUP($C700,Phone_by_Sentiment!$B$2:$B$37,Phone_by_Sentiment!M$2:M$37,"",0,1),0),$A700-TEXT(DATEVALUE($D700&amp;"-01"), "dd-mm-yyyy")),0),0)</f>
        <v>0</v>
      </c>
      <c r="N700" cm="1">
        <f t="array" ref="N700">IF($Q700&gt;=0,IFERROR(generateSalesData($D700, IF(ISNUMBER(_xlfn.XLOOKUP($C700,Phone_by_Sentiment!$B$2:$B$37,Phone_by_Sentiment!N$2:N$37,"",0,1)),_xlfn.XLOOKUP($C700,Phone_by_Sentiment!$B$2:$B$37,Phone_by_Sentiment!N$2:N$37,"",0,1),0),$A700-TEXT(DATEVALUE($D700&amp;"-01"), "dd-mm-yyyy")),0),0)</f>
        <v>0</v>
      </c>
      <c r="O700" cm="1">
        <f t="array" ref="O700">IF($Q700&gt;=0,IFERROR(generateSalesData($D700, IF(ISNUMBER(_xlfn.XLOOKUP($C700,Phone_by_Sentiment!$B$2:$B$37,Phone_by_Sentiment!O$2:O$37,"",0,1)),_xlfn.XLOOKUP($C700,Phone_by_Sentiment!$B$2:$B$37,Phone_by_Sentiment!O$2:O$37,"",0,1),0),$A700-TEXT(DATEVALUE($D700&amp;"-01"), "dd-mm-yyyy")),0),0)</f>
        <v>0</v>
      </c>
      <c r="P700" s="1">
        <f t="shared" si="28"/>
        <v>44075</v>
      </c>
      <c r="Q700">
        <f t="shared" si="29"/>
        <v>-31</v>
      </c>
    </row>
    <row r="701" spans="1:17" x14ac:dyDescent="0.25">
      <c r="A701" s="1">
        <f t="shared" si="27"/>
        <v>44075</v>
      </c>
      <c r="B701" t="s">
        <v>147</v>
      </c>
      <c r="C701" t="str">
        <f>_xlfn.XLOOKUP(B701,Phone_by_Price!$A$2:$A$34,Phone_by_Price!$B$2:$B$34,"-",0,1)</f>
        <v>Huawei Y9a</v>
      </c>
      <c r="D701" t="str">
        <f>_xlfn.XLOOKUP(C701,Phone_by_Sentiment!$B$2:$B$37,Phone_by_Sentiment!$A$2:$A$37,"-",0,1)</f>
        <v>2020-02</v>
      </c>
      <c r="E701" cm="1">
        <f t="array" ref="E701">IF($Q701&gt;=0,IFERROR(generateSalesData($D701, IF(ISNUMBER(_xlfn.XLOOKUP($C701,Phone_by_Sentiment!$B$2:$B$37,Phone_by_Sentiment!E$2:E$37,"",0,1)),_xlfn.XLOOKUP($C701,Phone_by_Sentiment!$B$2:$B$37,Phone_by_Sentiment!E$2:E$37,"",0,1),0),$A701-TEXT(DATEVALUE($D701&amp;"-01"), "dd-mm-yyyy")),0),0)</f>
        <v>349</v>
      </c>
      <c r="F701" cm="1">
        <f t="array" ref="F701">IF($Q701&gt;=0,IFERROR(generateSalesData($D701, IF(ISNUMBER(_xlfn.XLOOKUP($C701,Phone_by_Sentiment!$B$2:$B$37,Phone_by_Sentiment!F$2:F$37,"",0,1)),_xlfn.XLOOKUP($C701,Phone_by_Sentiment!$B$2:$B$37,Phone_by_Sentiment!F$2:F$37,"",0,1),0),$A701-TEXT(DATEVALUE($D701&amp;"-01"), "dd-mm-yyyy")),0),0)</f>
        <v>143</v>
      </c>
      <c r="G701" cm="1">
        <f t="array" ref="G701">IF($Q701&gt;=0,IFERROR(generateSalesData($D701, IF(ISNUMBER(_xlfn.XLOOKUP($C701,Phone_by_Sentiment!$B$2:$B$37,Phone_by_Sentiment!G$2:G$37,"",0,1)),_xlfn.XLOOKUP($C701,Phone_by_Sentiment!$B$2:$B$37,Phone_by_Sentiment!G$2:G$37,"",0,1),0),$A701-TEXT(DATEVALUE($D701&amp;"-01"), "dd-mm-yyyy")),0),0)</f>
        <v>293</v>
      </c>
      <c r="H701" cm="1">
        <f t="array" ref="H701">IF($Q701&gt;=0,IFERROR(generateSalesData($D701, IF(ISNUMBER(_xlfn.XLOOKUP($C701,Phone_by_Sentiment!$B$2:$B$37,Phone_by_Sentiment!H$2:H$37,"",0,1)),_xlfn.XLOOKUP($C701,Phone_by_Sentiment!$B$2:$B$37,Phone_by_Sentiment!H$2:H$37,"",0,1),0),$A701-TEXT(DATEVALUE($D701&amp;"-01"), "dd-mm-yyyy")),0),0)</f>
        <v>344</v>
      </c>
      <c r="I701" cm="1">
        <f t="array" ref="I701">IF($Q701&gt;=0,IFERROR(generateSalesData($D701, IF(ISNUMBER(_xlfn.XLOOKUP($C701,Phone_by_Sentiment!$B$2:$B$37,Phone_by_Sentiment!I$2:I$37,"",0,1)),_xlfn.XLOOKUP($C701,Phone_by_Sentiment!$B$2:$B$37,Phone_by_Sentiment!I$2:I$37,"",0,1),0),$A701-TEXT(DATEVALUE($D701&amp;"-01"), "dd-mm-yyyy")),0),0)</f>
        <v>333</v>
      </c>
      <c r="J701" cm="1">
        <f t="array" ref="J701">IF($Q701&gt;=0,IFERROR(generateSalesData($D701, IF(ISNUMBER(_xlfn.XLOOKUP($C701,Phone_by_Sentiment!$B$2:$B$37,Phone_by_Sentiment!J$2:J$37,"",0,1)),_xlfn.XLOOKUP($C701,Phone_by_Sentiment!$B$2:$B$37,Phone_by_Sentiment!J$2:J$37,"",0,1),0),$A701-TEXT(DATEVALUE($D701&amp;"-01"), "dd-mm-yyyy")),0),0)</f>
        <v>238</v>
      </c>
      <c r="K701" cm="1">
        <f t="array" ref="K701">IF($Q701&gt;=0,IFERROR(generateSalesData($D701, IF(ISNUMBER(_xlfn.XLOOKUP($C701,Phone_by_Sentiment!$B$2:$B$37,Phone_by_Sentiment!K$2:K$37,"",0,1)),_xlfn.XLOOKUP($C701,Phone_by_Sentiment!$B$2:$B$37,Phone_by_Sentiment!K$2:K$37,"",0,1),0),$A701-TEXT(DATEVALUE($D701&amp;"-01"), "dd-mm-yyyy")),0),0)</f>
        <v>486</v>
      </c>
      <c r="L701" cm="1">
        <f t="array" ref="L701">IF($Q701&gt;=0,IFERROR(generateSalesData($D701, IF(ISNUMBER(_xlfn.XLOOKUP($C701,Phone_by_Sentiment!$B$2:$B$37,Phone_by_Sentiment!L$2:L$37,"",0,1)),_xlfn.XLOOKUP($C701,Phone_by_Sentiment!$B$2:$B$37,Phone_by_Sentiment!L$2:L$37,"",0,1),0),$A701-TEXT(DATEVALUE($D701&amp;"-01"), "dd-mm-yyyy")),0),0)</f>
        <v>487</v>
      </c>
      <c r="M701" cm="1">
        <f t="array" ref="M701">IF($Q701&gt;=0,IFERROR(generateSalesData($D701, IF(ISNUMBER(_xlfn.XLOOKUP($C701,Phone_by_Sentiment!$B$2:$B$37,Phone_by_Sentiment!M$2:M$37,"",0,1)),_xlfn.XLOOKUP($C701,Phone_by_Sentiment!$B$2:$B$37,Phone_by_Sentiment!M$2:M$37,"",0,1),0),$A701-TEXT(DATEVALUE($D701&amp;"-01"), "dd-mm-yyyy")),0),0)</f>
        <v>469</v>
      </c>
      <c r="N701" cm="1">
        <f t="array" ref="N701">IF($Q701&gt;=0,IFERROR(generateSalesData($D701, IF(ISNUMBER(_xlfn.XLOOKUP($C701,Phone_by_Sentiment!$B$2:$B$37,Phone_by_Sentiment!N$2:N$37,"",0,1)),_xlfn.XLOOKUP($C701,Phone_by_Sentiment!$B$2:$B$37,Phone_by_Sentiment!N$2:N$37,"",0,1),0),$A701-TEXT(DATEVALUE($D701&amp;"-01"), "dd-mm-yyyy")),0),0)</f>
        <v>357</v>
      </c>
      <c r="O701" cm="1">
        <f t="array" ref="O701">IF($Q701&gt;=0,IFERROR(generateSalesData($D701, IF(ISNUMBER(_xlfn.XLOOKUP($C701,Phone_by_Sentiment!$B$2:$B$37,Phone_by_Sentiment!O$2:O$37,"",0,1)),_xlfn.XLOOKUP($C701,Phone_by_Sentiment!$B$2:$B$37,Phone_by_Sentiment!O$2:O$37,"",0,1),0),$A701-TEXT(DATEVALUE($D701&amp;"-01"), "dd-mm-yyyy")),0),0)</f>
        <v>299</v>
      </c>
      <c r="P701" s="1">
        <f t="shared" si="28"/>
        <v>43862</v>
      </c>
      <c r="Q701">
        <f t="shared" si="29"/>
        <v>213</v>
      </c>
    </row>
    <row r="702" spans="1:17" x14ac:dyDescent="0.25">
      <c r="A702" s="1">
        <f t="shared" si="27"/>
        <v>44075</v>
      </c>
      <c r="B702" t="s">
        <v>148</v>
      </c>
      <c r="C702" t="str">
        <f>_xlfn.XLOOKUP(B702,Phone_by_Price!$A$2:$A$34,Phone_by_Price!$B$2:$B$34,"-",0,1)</f>
        <v>Xiaomi Redmi 10</v>
      </c>
      <c r="D702" t="str">
        <f>_xlfn.XLOOKUP(C702,Phone_by_Sentiment!$B$2:$B$37,Phone_by_Sentiment!$A$2:$A$37,"-",0,1)</f>
        <v>2021-03</v>
      </c>
      <c r="E702" cm="1">
        <f t="array" ref="E702">IF($Q702&gt;=0,IFERROR(generateSalesData($D702, IF(ISNUMBER(_xlfn.XLOOKUP($C702,Phone_by_Sentiment!$B$2:$B$37,Phone_by_Sentiment!E$2:E$37,"",0,1)),_xlfn.XLOOKUP($C702,Phone_by_Sentiment!$B$2:$B$37,Phone_by_Sentiment!E$2:E$37,"",0,1),0),$A702-TEXT(DATEVALUE($D702&amp;"-01"), "dd-mm-yyyy")),0),0)</f>
        <v>0</v>
      </c>
      <c r="F702" cm="1">
        <f t="array" ref="F702">IF($Q702&gt;=0,IFERROR(generateSalesData($D702, IF(ISNUMBER(_xlfn.XLOOKUP($C702,Phone_by_Sentiment!$B$2:$B$37,Phone_by_Sentiment!F$2:F$37,"",0,1)),_xlfn.XLOOKUP($C702,Phone_by_Sentiment!$B$2:$B$37,Phone_by_Sentiment!F$2:F$37,"",0,1),0),$A702-TEXT(DATEVALUE($D702&amp;"-01"), "dd-mm-yyyy")),0),0)</f>
        <v>0</v>
      </c>
      <c r="G702" cm="1">
        <f t="array" ref="G702">IF($Q702&gt;=0,IFERROR(generateSalesData($D702, IF(ISNUMBER(_xlfn.XLOOKUP($C702,Phone_by_Sentiment!$B$2:$B$37,Phone_by_Sentiment!G$2:G$37,"",0,1)),_xlfn.XLOOKUP($C702,Phone_by_Sentiment!$B$2:$B$37,Phone_by_Sentiment!G$2:G$37,"",0,1),0),$A702-TEXT(DATEVALUE($D702&amp;"-01"), "dd-mm-yyyy")),0),0)</f>
        <v>0</v>
      </c>
      <c r="H702" cm="1">
        <f t="array" ref="H702">IF($Q702&gt;=0,IFERROR(generateSalesData($D702, IF(ISNUMBER(_xlfn.XLOOKUP($C702,Phone_by_Sentiment!$B$2:$B$37,Phone_by_Sentiment!H$2:H$37,"",0,1)),_xlfn.XLOOKUP($C702,Phone_by_Sentiment!$B$2:$B$37,Phone_by_Sentiment!H$2:H$37,"",0,1),0),$A702-TEXT(DATEVALUE($D702&amp;"-01"), "dd-mm-yyyy")),0),0)</f>
        <v>0</v>
      </c>
      <c r="I702" cm="1">
        <f t="array" ref="I702">IF($Q702&gt;=0,IFERROR(generateSalesData($D702, IF(ISNUMBER(_xlfn.XLOOKUP($C702,Phone_by_Sentiment!$B$2:$B$37,Phone_by_Sentiment!I$2:I$37,"",0,1)),_xlfn.XLOOKUP($C702,Phone_by_Sentiment!$B$2:$B$37,Phone_by_Sentiment!I$2:I$37,"",0,1),0),$A702-TEXT(DATEVALUE($D702&amp;"-01"), "dd-mm-yyyy")),0),0)</f>
        <v>0</v>
      </c>
      <c r="J702" cm="1">
        <f t="array" ref="J702">IF($Q702&gt;=0,IFERROR(generateSalesData($D702, IF(ISNUMBER(_xlfn.XLOOKUP($C702,Phone_by_Sentiment!$B$2:$B$37,Phone_by_Sentiment!J$2:J$37,"",0,1)),_xlfn.XLOOKUP($C702,Phone_by_Sentiment!$B$2:$B$37,Phone_by_Sentiment!J$2:J$37,"",0,1),0),$A702-TEXT(DATEVALUE($D702&amp;"-01"), "dd-mm-yyyy")),0),0)</f>
        <v>0</v>
      </c>
      <c r="K702" cm="1">
        <f t="array" ref="K702">IF($Q702&gt;=0,IFERROR(generateSalesData($D702, IF(ISNUMBER(_xlfn.XLOOKUP($C702,Phone_by_Sentiment!$B$2:$B$37,Phone_by_Sentiment!K$2:K$37,"",0,1)),_xlfn.XLOOKUP($C702,Phone_by_Sentiment!$B$2:$B$37,Phone_by_Sentiment!K$2:K$37,"",0,1),0),$A702-TEXT(DATEVALUE($D702&amp;"-01"), "dd-mm-yyyy")),0),0)</f>
        <v>0</v>
      </c>
      <c r="L702" cm="1">
        <f t="array" ref="L702">IF($Q702&gt;=0,IFERROR(generateSalesData($D702, IF(ISNUMBER(_xlfn.XLOOKUP($C702,Phone_by_Sentiment!$B$2:$B$37,Phone_by_Sentiment!L$2:L$37,"",0,1)),_xlfn.XLOOKUP($C702,Phone_by_Sentiment!$B$2:$B$37,Phone_by_Sentiment!L$2:L$37,"",0,1),0),$A702-TEXT(DATEVALUE($D702&amp;"-01"), "dd-mm-yyyy")),0),0)</f>
        <v>0</v>
      </c>
      <c r="M702" cm="1">
        <f t="array" ref="M702">IF($Q702&gt;=0,IFERROR(generateSalesData($D702, IF(ISNUMBER(_xlfn.XLOOKUP($C702,Phone_by_Sentiment!$B$2:$B$37,Phone_by_Sentiment!M$2:M$37,"",0,1)),_xlfn.XLOOKUP($C702,Phone_by_Sentiment!$B$2:$B$37,Phone_by_Sentiment!M$2:M$37,"",0,1),0),$A702-TEXT(DATEVALUE($D702&amp;"-01"), "dd-mm-yyyy")),0),0)</f>
        <v>0</v>
      </c>
      <c r="N702" cm="1">
        <f t="array" ref="N702">IF($Q702&gt;=0,IFERROR(generateSalesData($D702, IF(ISNUMBER(_xlfn.XLOOKUP($C702,Phone_by_Sentiment!$B$2:$B$37,Phone_by_Sentiment!N$2:N$37,"",0,1)),_xlfn.XLOOKUP($C702,Phone_by_Sentiment!$B$2:$B$37,Phone_by_Sentiment!N$2:N$37,"",0,1),0),$A702-TEXT(DATEVALUE($D702&amp;"-01"), "dd-mm-yyyy")),0),0)</f>
        <v>0</v>
      </c>
      <c r="O702" cm="1">
        <f t="array" ref="O702">IF($Q702&gt;=0,IFERROR(generateSalesData($D702, IF(ISNUMBER(_xlfn.XLOOKUP($C702,Phone_by_Sentiment!$B$2:$B$37,Phone_by_Sentiment!O$2:O$37,"",0,1)),_xlfn.XLOOKUP($C702,Phone_by_Sentiment!$B$2:$B$37,Phone_by_Sentiment!O$2:O$37,"",0,1),0),$A702-TEXT(DATEVALUE($D702&amp;"-01"), "dd-mm-yyyy")),0),0)</f>
        <v>0</v>
      </c>
      <c r="P702" s="1">
        <f t="shared" si="28"/>
        <v>44256</v>
      </c>
      <c r="Q702">
        <f t="shared" si="29"/>
        <v>-181</v>
      </c>
    </row>
    <row r="703" spans="1:17" x14ac:dyDescent="0.25">
      <c r="A703" s="1">
        <f t="shared" si="27"/>
        <v>44075</v>
      </c>
      <c r="B703" t="s">
        <v>149</v>
      </c>
      <c r="C703" t="str">
        <f>_xlfn.XLOOKUP(B703,Phone_by_Price!$A$2:$A$34,Phone_by_Price!$B$2:$B$34,"-",0,1)</f>
        <v>Samsung Galaxy A52</v>
      </c>
      <c r="D703" t="str">
        <f>_xlfn.XLOOKUP(C703,Phone_by_Sentiment!$B$2:$B$37,Phone_by_Sentiment!$A$2:$A$37,"-",0,1)</f>
        <v>2021-03</v>
      </c>
      <c r="E703" cm="1">
        <f t="array" ref="E703">IF($Q703&gt;=0,IFERROR(generateSalesData($D703, IF(ISNUMBER(_xlfn.XLOOKUP($C703,Phone_by_Sentiment!$B$2:$B$37,Phone_by_Sentiment!E$2:E$37,"",0,1)),_xlfn.XLOOKUP($C703,Phone_by_Sentiment!$B$2:$B$37,Phone_by_Sentiment!E$2:E$37,"",0,1),0),$A703-TEXT(DATEVALUE($D703&amp;"-01"), "dd-mm-yyyy")),0),0)</f>
        <v>0</v>
      </c>
      <c r="F703" cm="1">
        <f t="array" ref="F703">IF($Q703&gt;=0,IFERROR(generateSalesData($D703, IF(ISNUMBER(_xlfn.XLOOKUP($C703,Phone_by_Sentiment!$B$2:$B$37,Phone_by_Sentiment!F$2:F$37,"",0,1)),_xlfn.XLOOKUP($C703,Phone_by_Sentiment!$B$2:$B$37,Phone_by_Sentiment!F$2:F$37,"",0,1),0),$A703-TEXT(DATEVALUE($D703&amp;"-01"), "dd-mm-yyyy")),0),0)</f>
        <v>0</v>
      </c>
      <c r="G703" cm="1">
        <f t="array" ref="G703">IF($Q703&gt;=0,IFERROR(generateSalesData($D703, IF(ISNUMBER(_xlfn.XLOOKUP($C703,Phone_by_Sentiment!$B$2:$B$37,Phone_by_Sentiment!G$2:G$37,"",0,1)),_xlfn.XLOOKUP($C703,Phone_by_Sentiment!$B$2:$B$37,Phone_by_Sentiment!G$2:G$37,"",0,1),0),$A703-TEXT(DATEVALUE($D703&amp;"-01"), "dd-mm-yyyy")),0),0)</f>
        <v>0</v>
      </c>
      <c r="H703" cm="1">
        <f t="array" ref="H703">IF($Q703&gt;=0,IFERROR(generateSalesData($D703, IF(ISNUMBER(_xlfn.XLOOKUP($C703,Phone_by_Sentiment!$B$2:$B$37,Phone_by_Sentiment!H$2:H$37,"",0,1)),_xlfn.XLOOKUP($C703,Phone_by_Sentiment!$B$2:$B$37,Phone_by_Sentiment!H$2:H$37,"",0,1),0),$A703-TEXT(DATEVALUE($D703&amp;"-01"), "dd-mm-yyyy")),0),0)</f>
        <v>0</v>
      </c>
      <c r="I703" cm="1">
        <f t="array" ref="I703">IF($Q703&gt;=0,IFERROR(generateSalesData($D703, IF(ISNUMBER(_xlfn.XLOOKUP($C703,Phone_by_Sentiment!$B$2:$B$37,Phone_by_Sentiment!I$2:I$37,"",0,1)),_xlfn.XLOOKUP($C703,Phone_by_Sentiment!$B$2:$B$37,Phone_by_Sentiment!I$2:I$37,"",0,1),0),$A703-TEXT(DATEVALUE($D703&amp;"-01"), "dd-mm-yyyy")),0),0)</f>
        <v>0</v>
      </c>
      <c r="J703" cm="1">
        <f t="array" ref="J703">IF($Q703&gt;=0,IFERROR(generateSalesData($D703, IF(ISNUMBER(_xlfn.XLOOKUP($C703,Phone_by_Sentiment!$B$2:$B$37,Phone_by_Sentiment!J$2:J$37,"",0,1)),_xlfn.XLOOKUP($C703,Phone_by_Sentiment!$B$2:$B$37,Phone_by_Sentiment!J$2:J$37,"",0,1),0),$A703-TEXT(DATEVALUE($D703&amp;"-01"), "dd-mm-yyyy")),0),0)</f>
        <v>0</v>
      </c>
      <c r="K703" cm="1">
        <f t="array" ref="K703">IF($Q703&gt;=0,IFERROR(generateSalesData($D703, IF(ISNUMBER(_xlfn.XLOOKUP($C703,Phone_by_Sentiment!$B$2:$B$37,Phone_by_Sentiment!K$2:K$37,"",0,1)),_xlfn.XLOOKUP($C703,Phone_by_Sentiment!$B$2:$B$37,Phone_by_Sentiment!K$2:K$37,"",0,1),0),$A703-TEXT(DATEVALUE($D703&amp;"-01"), "dd-mm-yyyy")),0),0)</f>
        <v>0</v>
      </c>
      <c r="L703" cm="1">
        <f t="array" ref="L703">IF($Q703&gt;=0,IFERROR(generateSalesData($D703, IF(ISNUMBER(_xlfn.XLOOKUP($C703,Phone_by_Sentiment!$B$2:$B$37,Phone_by_Sentiment!L$2:L$37,"",0,1)),_xlfn.XLOOKUP($C703,Phone_by_Sentiment!$B$2:$B$37,Phone_by_Sentiment!L$2:L$37,"",0,1),0),$A703-TEXT(DATEVALUE($D703&amp;"-01"), "dd-mm-yyyy")),0),0)</f>
        <v>0</v>
      </c>
      <c r="M703" cm="1">
        <f t="array" ref="M703">IF($Q703&gt;=0,IFERROR(generateSalesData($D703, IF(ISNUMBER(_xlfn.XLOOKUP($C703,Phone_by_Sentiment!$B$2:$B$37,Phone_by_Sentiment!M$2:M$37,"",0,1)),_xlfn.XLOOKUP($C703,Phone_by_Sentiment!$B$2:$B$37,Phone_by_Sentiment!M$2:M$37,"",0,1),0),$A703-TEXT(DATEVALUE($D703&amp;"-01"), "dd-mm-yyyy")),0),0)</f>
        <v>0</v>
      </c>
      <c r="N703" cm="1">
        <f t="array" ref="N703">IF($Q703&gt;=0,IFERROR(generateSalesData($D703, IF(ISNUMBER(_xlfn.XLOOKUP($C703,Phone_by_Sentiment!$B$2:$B$37,Phone_by_Sentiment!N$2:N$37,"",0,1)),_xlfn.XLOOKUP($C703,Phone_by_Sentiment!$B$2:$B$37,Phone_by_Sentiment!N$2:N$37,"",0,1),0),$A703-TEXT(DATEVALUE($D703&amp;"-01"), "dd-mm-yyyy")),0),0)</f>
        <v>0</v>
      </c>
      <c r="O703" cm="1">
        <f t="array" ref="O703">IF($Q703&gt;=0,IFERROR(generateSalesData($D703, IF(ISNUMBER(_xlfn.XLOOKUP($C703,Phone_by_Sentiment!$B$2:$B$37,Phone_by_Sentiment!O$2:O$37,"",0,1)),_xlfn.XLOOKUP($C703,Phone_by_Sentiment!$B$2:$B$37,Phone_by_Sentiment!O$2:O$37,"",0,1),0),$A703-TEXT(DATEVALUE($D703&amp;"-01"), "dd-mm-yyyy")),0),0)</f>
        <v>0</v>
      </c>
      <c r="P703" s="1">
        <f t="shared" si="28"/>
        <v>44256</v>
      </c>
      <c r="Q703">
        <f t="shared" si="29"/>
        <v>-181</v>
      </c>
    </row>
    <row r="704" spans="1:17" x14ac:dyDescent="0.25">
      <c r="A704" s="1">
        <f t="shared" si="27"/>
        <v>44075</v>
      </c>
      <c r="B704" t="s">
        <v>150</v>
      </c>
      <c r="C704" t="str">
        <f>_xlfn.XLOOKUP(B704,Phone_by_Price!$A$2:$A$34,Phone_by_Price!$B$2:$B$34,"-",0,1)</f>
        <v>Vivo Y33s</v>
      </c>
      <c r="D704" t="str">
        <f>_xlfn.XLOOKUP(C704,Phone_by_Sentiment!$B$2:$B$37,Phone_by_Sentiment!$A$2:$A$37,"-",0,1)</f>
        <v>2021-05</v>
      </c>
      <c r="E704" cm="1">
        <f t="array" ref="E704">IF($Q704&gt;=0,IFERROR(generateSalesData($D704, IF(ISNUMBER(_xlfn.XLOOKUP($C704,Phone_by_Sentiment!$B$2:$B$37,Phone_by_Sentiment!E$2:E$37,"",0,1)),_xlfn.XLOOKUP($C704,Phone_by_Sentiment!$B$2:$B$37,Phone_by_Sentiment!E$2:E$37,"",0,1),0),$A704-TEXT(DATEVALUE($D704&amp;"-01"), "dd-mm-yyyy")),0),0)</f>
        <v>0</v>
      </c>
      <c r="F704" cm="1">
        <f t="array" ref="F704">IF($Q704&gt;=0,IFERROR(generateSalesData($D704, IF(ISNUMBER(_xlfn.XLOOKUP($C704,Phone_by_Sentiment!$B$2:$B$37,Phone_by_Sentiment!F$2:F$37,"",0,1)),_xlfn.XLOOKUP($C704,Phone_by_Sentiment!$B$2:$B$37,Phone_by_Sentiment!F$2:F$37,"",0,1),0),$A704-TEXT(DATEVALUE($D704&amp;"-01"), "dd-mm-yyyy")),0),0)</f>
        <v>0</v>
      </c>
      <c r="G704" cm="1">
        <f t="array" ref="G704">IF($Q704&gt;=0,IFERROR(generateSalesData($D704, IF(ISNUMBER(_xlfn.XLOOKUP($C704,Phone_by_Sentiment!$B$2:$B$37,Phone_by_Sentiment!G$2:G$37,"",0,1)),_xlfn.XLOOKUP($C704,Phone_by_Sentiment!$B$2:$B$37,Phone_by_Sentiment!G$2:G$37,"",0,1),0),$A704-TEXT(DATEVALUE($D704&amp;"-01"), "dd-mm-yyyy")),0),0)</f>
        <v>0</v>
      </c>
      <c r="H704" cm="1">
        <f t="array" ref="H704">IF($Q704&gt;=0,IFERROR(generateSalesData($D704, IF(ISNUMBER(_xlfn.XLOOKUP($C704,Phone_by_Sentiment!$B$2:$B$37,Phone_by_Sentiment!H$2:H$37,"",0,1)),_xlfn.XLOOKUP($C704,Phone_by_Sentiment!$B$2:$B$37,Phone_by_Sentiment!H$2:H$37,"",0,1),0),$A704-TEXT(DATEVALUE($D704&amp;"-01"), "dd-mm-yyyy")),0),0)</f>
        <v>0</v>
      </c>
      <c r="I704" cm="1">
        <f t="array" ref="I704">IF($Q704&gt;=0,IFERROR(generateSalesData($D704, IF(ISNUMBER(_xlfn.XLOOKUP($C704,Phone_by_Sentiment!$B$2:$B$37,Phone_by_Sentiment!I$2:I$37,"",0,1)),_xlfn.XLOOKUP($C704,Phone_by_Sentiment!$B$2:$B$37,Phone_by_Sentiment!I$2:I$37,"",0,1),0),$A704-TEXT(DATEVALUE($D704&amp;"-01"), "dd-mm-yyyy")),0),0)</f>
        <v>0</v>
      </c>
      <c r="J704" cm="1">
        <f t="array" ref="J704">IF($Q704&gt;=0,IFERROR(generateSalesData($D704, IF(ISNUMBER(_xlfn.XLOOKUP($C704,Phone_by_Sentiment!$B$2:$B$37,Phone_by_Sentiment!J$2:J$37,"",0,1)),_xlfn.XLOOKUP($C704,Phone_by_Sentiment!$B$2:$B$37,Phone_by_Sentiment!J$2:J$37,"",0,1),0),$A704-TEXT(DATEVALUE($D704&amp;"-01"), "dd-mm-yyyy")),0),0)</f>
        <v>0</v>
      </c>
      <c r="K704" cm="1">
        <f t="array" ref="K704">IF($Q704&gt;=0,IFERROR(generateSalesData($D704, IF(ISNUMBER(_xlfn.XLOOKUP($C704,Phone_by_Sentiment!$B$2:$B$37,Phone_by_Sentiment!K$2:K$37,"",0,1)),_xlfn.XLOOKUP($C704,Phone_by_Sentiment!$B$2:$B$37,Phone_by_Sentiment!K$2:K$37,"",0,1),0),$A704-TEXT(DATEVALUE($D704&amp;"-01"), "dd-mm-yyyy")),0),0)</f>
        <v>0</v>
      </c>
      <c r="L704" cm="1">
        <f t="array" ref="L704">IF($Q704&gt;=0,IFERROR(generateSalesData($D704, IF(ISNUMBER(_xlfn.XLOOKUP($C704,Phone_by_Sentiment!$B$2:$B$37,Phone_by_Sentiment!L$2:L$37,"",0,1)),_xlfn.XLOOKUP($C704,Phone_by_Sentiment!$B$2:$B$37,Phone_by_Sentiment!L$2:L$37,"",0,1),0),$A704-TEXT(DATEVALUE($D704&amp;"-01"), "dd-mm-yyyy")),0),0)</f>
        <v>0</v>
      </c>
      <c r="M704" cm="1">
        <f t="array" ref="M704">IF($Q704&gt;=0,IFERROR(generateSalesData($D704, IF(ISNUMBER(_xlfn.XLOOKUP($C704,Phone_by_Sentiment!$B$2:$B$37,Phone_by_Sentiment!M$2:M$37,"",0,1)),_xlfn.XLOOKUP($C704,Phone_by_Sentiment!$B$2:$B$37,Phone_by_Sentiment!M$2:M$37,"",0,1),0),$A704-TEXT(DATEVALUE($D704&amp;"-01"), "dd-mm-yyyy")),0),0)</f>
        <v>0</v>
      </c>
      <c r="N704" cm="1">
        <f t="array" ref="N704">IF($Q704&gt;=0,IFERROR(generateSalesData($D704, IF(ISNUMBER(_xlfn.XLOOKUP($C704,Phone_by_Sentiment!$B$2:$B$37,Phone_by_Sentiment!N$2:N$37,"",0,1)),_xlfn.XLOOKUP($C704,Phone_by_Sentiment!$B$2:$B$37,Phone_by_Sentiment!N$2:N$37,"",0,1),0),$A704-TEXT(DATEVALUE($D704&amp;"-01"), "dd-mm-yyyy")),0),0)</f>
        <v>0</v>
      </c>
      <c r="O704" cm="1">
        <f t="array" ref="O704">IF($Q704&gt;=0,IFERROR(generateSalesData($D704, IF(ISNUMBER(_xlfn.XLOOKUP($C704,Phone_by_Sentiment!$B$2:$B$37,Phone_by_Sentiment!O$2:O$37,"",0,1)),_xlfn.XLOOKUP($C704,Phone_by_Sentiment!$B$2:$B$37,Phone_by_Sentiment!O$2:O$37,"",0,1),0),$A704-TEXT(DATEVALUE($D704&amp;"-01"), "dd-mm-yyyy")),0),0)</f>
        <v>0</v>
      </c>
      <c r="P704" s="1">
        <f t="shared" si="28"/>
        <v>44317</v>
      </c>
      <c r="Q704">
        <f t="shared" si="29"/>
        <v>-242</v>
      </c>
    </row>
    <row r="705" spans="1:17" x14ac:dyDescent="0.25">
      <c r="A705" s="1">
        <f t="shared" si="27"/>
        <v>44075</v>
      </c>
      <c r="B705" t="s">
        <v>151</v>
      </c>
      <c r="C705" t="str">
        <f>_xlfn.XLOOKUP(B705,Phone_by_Price!$A$2:$A$34,Phone_by_Price!$B$2:$B$34,"-",0,1)</f>
        <v>Vivo Y11s</v>
      </c>
      <c r="D705" t="str">
        <f>_xlfn.XLOOKUP(C705,Phone_by_Sentiment!$B$2:$B$37,Phone_by_Sentiment!$A$2:$A$37,"-",0,1)</f>
        <v>2020-11</v>
      </c>
      <c r="E705" cm="1">
        <f t="array" ref="E705">IF($Q705&gt;=0,IFERROR(generateSalesData($D705, IF(ISNUMBER(_xlfn.XLOOKUP($C705,Phone_by_Sentiment!$B$2:$B$37,Phone_by_Sentiment!E$2:E$37,"",0,1)),_xlfn.XLOOKUP($C705,Phone_by_Sentiment!$B$2:$B$37,Phone_by_Sentiment!E$2:E$37,"",0,1),0),$A705-TEXT(DATEVALUE($D705&amp;"-01"), "dd-mm-yyyy")),0),0)</f>
        <v>0</v>
      </c>
      <c r="F705" cm="1">
        <f t="array" ref="F705">IF($Q705&gt;=0,IFERROR(generateSalesData($D705, IF(ISNUMBER(_xlfn.XLOOKUP($C705,Phone_by_Sentiment!$B$2:$B$37,Phone_by_Sentiment!F$2:F$37,"",0,1)),_xlfn.XLOOKUP($C705,Phone_by_Sentiment!$B$2:$B$37,Phone_by_Sentiment!F$2:F$37,"",0,1),0),$A705-TEXT(DATEVALUE($D705&amp;"-01"), "dd-mm-yyyy")),0),0)</f>
        <v>0</v>
      </c>
      <c r="G705" cm="1">
        <f t="array" ref="G705">IF($Q705&gt;=0,IFERROR(generateSalesData($D705, IF(ISNUMBER(_xlfn.XLOOKUP($C705,Phone_by_Sentiment!$B$2:$B$37,Phone_by_Sentiment!G$2:G$37,"",0,1)),_xlfn.XLOOKUP($C705,Phone_by_Sentiment!$B$2:$B$37,Phone_by_Sentiment!G$2:G$37,"",0,1),0),$A705-TEXT(DATEVALUE($D705&amp;"-01"), "dd-mm-yyyy")),0),0)</f>
        <v>0</v>
      </c>
      <c r="H705" cm="1">
        <f t="array" ref="H705">IF($Q705&gt;=0,IFERROR(generateSalesData($D705, IF(ISNUMBER(_xlfn.XLOOKUP($C705,Phone_by_Sentiment!$B$2:$B$37,Phone_by_Sentiment!H$2:H$37,"",0,1)),_xlfn.XLOOKUP($C705,Phone_by_Sentiment!$B$2:$B$37,Phone_by_Sentiment!H$2:H$37,"",0,1),0),$A705-TEXT(DATEVALUE($D705&amp;"-01"), "dd-mm-yyyy")),0),0)</f>
        <v>0</v>
      </c>
      <c r="I705" cm="1">
        <f t="array" ref="I705">IF($Q705&gt;=0,IFERROR(generateSalesData($D705, IF(ISNUMBER(_xlfn.XLOOKUP($C705,Phone_by_Sentiment!$B$2:$B$37,Phone_by_Sentiment!I$2:I$37,"",0,1)),_xlfn.XLOOKUP($C705,Phone_by_Sentiment!$B$2:$B$37,Phone_by_Sentiment!I$2:I$37,"",0,1),0),$A705-TEXT(DATEVALUE($D705&amp;"-01"), "dd-mm-yyyy")),0),0)</f>
        <v>0</v>
      </c>
      <c r="J705" cm="1">
        <f t="array" ref="J705">IF($Q705&gt;=0,IFERROR(generateSalesData($D705, IF(ISNUMBER(_xlfn.XLOOKUP($C705,Phone_by_Sentiment!$B$2:$B$37,Phone_by_Sentiment!J$2:J$37,"",0,1)),_xlfn.XLOOKUP($C705,Phone_by_Sentiment!$B$2:$B$37,Phone_by_Sentiment!J$2:J$37,"",0,1),0),$A705-TEXT(DATEVALUE($D705&amp;"-01"), "dd-mm-yyyy")),0),0)</f>
        <v>0</v>
      </c>
      <c r="K705" cm="1">
        <f t="array" ref="K705">IF($Q705&gt;=0,IFERROR(generateSalesData($D705, IF(ISNUMBER(_xlfn.XLOOKUP($C705,Phone_by_Sentiment!$B$2:$B$37,Phone_by_Sentiment!K$2:K$37,"",0,1)),_xlfn.XLOOKUP($C705,Phone_by_Sentiment!$B$2:$B$37,Phone_by_Sentiment!K$2:K$37,"",0,1),0),$A705-TEXT(DATEVALUE($D705&amp;"-01"), "dd-mm-yyyy")),0),0)</f>
        <v>0</v>
      </c>
      <c r="L705" cm="1">
        <f t="array" ref="L705">IF($Q705&gt;=0,IFERROR(generateSalesData($D705, IF(ISNUMBER(_xlfn.XLOOKUP($C705,Phone_by_Sentiment!$B$2:$B$37,Phone_by_Sentiment!L$2:L$37,"",0,1)),_xlfn.XLOOKUP($C705,Phone_by_Sentiment!$B$2:$B$37,Phone_by_Sentiment!L$2:L$37,"",0,1),0),$A705-TEXT(DATEVALUE($D705&amp;"-01"), "dd-mm-yyyy")),0),0)</f>
        <v>0</v>
      </c>
      <c r="M705" cm="1">
        <f t="array" ref="M705">IF($Q705&gt;=0,IFERROR(generateSalesData($D705, IF(ISNUMBER(_xlfn.XLOOKUP($C705,Phone_by_Sentiment!$B$2:$B$37,Phone_by_Sentiment!M$2:M$37,"",0,1)),_xlfn.XLOOKUP($C705,Phone_by_Sentiment!$B$2:$B$37,Phone_by_Sentiment!M$2:M$37,"",0,1),0),$A705-TEXT(DATEVALUE($D705&amp;"-01"), "dd-mm-yyyy")),0),0)</f>
        <v>0</v>
      </c>
      <c r="N705" cm="1">
        <f t="array" ref="N705">IF($Q705&gt;=0,IFERROR(generateSalesData($D705, IF(ISNUMBER(_xlfn.XLOOKUP($C705,Phone_by_Sentiment!$B$2:$B$37,Phone_by_Sentiment!N$2:N$37,"",0,1)),_xlfn.XLOOKUP($C705,Phone_by_Sentiment!$B$2:$B$37,Phone_by_Sentiment!N$2:N$37,"",0,1),0),$A705-TEXT(DATEVALUE($D705&amp;"-01"), "dd-mm-yyyy")),0),0)</f>
        <v>0</v>
      </c>
      <c r="O705" cm="1">
        <f t="array" ref="O705">IF($Q705&gt;=0,IFERROR(generateSalesData($D705, IF(ISNUMBER(_xlfn.XLOOKUP($C705,Phone_by_Sentiment!$B$2:$B$37,Phone_by_Sentiment!O$2:O$37,"",0,1)),_xlfn.XLOOKUP($C705,Phone_by_Sentiment!$B$2:$B$37,Phone_by_Sentiment!O$2:O$37,"",0,1),0),$A705-TEXT(DATEVALUE($D705&amp;"-01"), "dd-mm-yyyy")),0),0)</f>
        <v>0</v>
      </c>
      <c r="P705" s="1">
        <f t="shared" si="28"/>
        <v>44136</v>
      </c>
      <c r="Q705">
        <f t="shared" si="29"/>
        <v>-61</v>
      </c>
    </row>
    <row r="706" spans="1:17" x14ac:dyDescent="0.25">
      <c r="A706" s="1">
        <f t="shared" si="27"/>
        <v>44075</v>
      </c>
      <c r="B706" t="s">
        <v>152</v>
      </c>
      <c r="C706" t="str">
        <f>_xlfn.XLOOKUP(B706,Phone_by_Price!$A$2:$A$34,Phone_by_Price!$B$2:$B$34,"-",0,1)</f>
        <v>Huawei Nova 7i</v>
      </c>
      <c r="D706" t="str">
        <f>_xlfn.XLOOKUP(C706,Phone_by_Sentiment!$B$2:$B$37,Phone_by_Sentiment!$A$2:$A$37,"-",0,1)</f>
        <v>2020-02</v>
      </c>
      <c r="E706" cm="1">
        <f t="array" ref="E706">IF($Q706&gt;=0,IFERROR(generateSalesData($D706, IF(ISNUMBER(_xlfn.XLOOKUP($C706,Phone_by_Sentiment!$B$2:$B$37,Phone_by_Sentiment!E$2:E$37,"",0,1)),_xlfn.XLOOKUP($C706,Phone_by_Sentiment!$B$2:$B$37,Phone_by_Sentiment!E$2:E$37,"",0,1),0),$A706-TEXT(DATEVALUE($D706&amp;"-01"), "dd-mm-yyyy")),0),0)</f>
        <v>193</v>
      </c>
      <c r="F706" cm="1">
        <f t="array" ref="F706">IF($Q706&gt;=0,IFERROR(generateSalesData($D706, IF(ISNUMBER(_xlfn.XLOOKUP($C706,Phone_by_Sentiment!$B$2:$B$37,Phone_by_Sentiment!F$2:F$37,"",0,1)),_xlfn.XLOOKUP($C706,Phone_by_Sentiment!$B$2:$B$37,Phone_by_Sentiment!F$2:F$37,"",0,1),0),$A706-TEXT(DATEVALUE($D706&amp;"-01"), "dd-mm-yyyy")),0),0)</f>
        <v>325</v>
      </c>
      <c r="G706" cm="1">
        <f t="array" ref="G706">IF($Q706&gt;=0,IFERROR(generateSalesData($D706, IF(ISNUMBER(_xlfn.XLOOKUP($C706,Phone_by_Sentiment!$B$2:$B$37,Phone_by_Sentiment!G$2:G$37,"",0,1)),_xlfn.XLOOKUP($C706,Phone_by_Sentiment!$B$2:$B$37,Phone_by_Sentiment!G$2:G$37,"",0,1),0),$A706-TEXT(DATEVALUE($D706&amp;"-01"), "dd-mm-yyyy")),0),0)</f>
        <v>253</v>
      </c>
      <c r="H706" cm="1">
        <f t="array" ref="H706">IF($Q706&gt;=0,IFERROR(generateSalesData($D706, IF(ISNUMBER(_xlfn.XLOOKUP($C706,Phone_by_Sentiment!$B$2:$B$37,Phone_by_Sentiment!H$2:H$37,"",0,1)),_xlfn.XLOOKUP($C706,Phone_by_Sentiment!$B$2:$B$37,Phone_by_Sentiment!H$2:H$37,"",0,1),0),$A706-TEXT(DATEVALUE($D706&amp;"-01"), "dd-mm-yyyy")),0),0)</f>
        <v>856</v>
      </c>
      <c r="I706" cm="1">
        <f t="array" ref="I706">IF($Q706&gt;=0,IFERROR(generateSalesData($D706, IF(ISNUMBER(_xlfn.XLOOKUP($C706,Phone_by_Sentiment!$B$2:$B$37,Phone_by_Sentiment!I$2:I$37,"",0,1)),_xlfn.XLOOKUP($C706,Phone_by_Sentiment!$B$2:$B$37,Phone_by_Sentiment!I$2:I$37,"",0,1),0),$A706-TEXT(DATEVALUE($D706&amp;"-01"), "dd-mm-yyyy")),0),0)</f>
        <v>-45</v>
      </c>
      <c r="J706" cm="1">
        <f t="array" ref="J706">IF($Q706&gt;=0,IFERROR(generateSalesData($D706, IF(ISNUMBER(_xlfn.XLOOKUP($C706,Phone_by_Sentiment!$B$2:$B$37,Phone_by_Sentiment!J$2:J$37,"",0,1)),_xlfn.XLOOKUP($C706,Phone_by_Sentiment!$B$2:$B$37,Phone_by_Sentiment!J$2:J$37,"",0,1),0),$A706-TEXT(DATEVALUE($D706&amp;"-01"), "dd-mm-yyyy")),0),0)</f>
        <v>93</v>
      </c>
      <c r="K706" cm="1">
        <f t="array" ref="K706">IF($Q706&gt;=0,IFERROR(generateSalesData($D706, IF(ISNUMBER(_xlfn.XLOOKUP($C706,Phone_by_Sentiment!$B$2:$B$37,Phone_by_Sentiment!K$2:K$37,"",0,1)),_xlfn.XLOOKUP($C706,Phone_by_Sentiment!$B$2:$B$37,Phone_by_Sentiment!K$2:K$37,"",0,1),0),$A706-TEXT(DATEVALUE($D706&amp;"-01"), "dd-mm-yyyy")),0),0)</f>
        <v>-176</v>
      </c>
      <c r="L706" cm="1">
        <f t="array" ref="L706">IF($Q706&gt;=0,IFERROR(generateSalesData($D706, IF(ISNUMBER(_xlfn.XLOOKUP($C706,Phone_by_Sentiment!$B$2:$B$37,Phone_by_Sentiment!L$2:L$37,"",0,1)),_xlfn.XLOOKUP($C706,Phone_by_Sentiment!$B$2:$B$37,Phone_by_Sentiment!L$2:L$37,"",0,1),0),$A706-TEXT(DATEVALUE($D706&amp;"-01"), "dd-mm-yyyy")),0),0)</f>
        <v>190</v>
      </c>
      <c r="M706" cm="1">
        <f t="array" ref="M706">IF($Q706&gt;=0,IFERROR(generateSalesData($D706, IF(ISNUMBER(_xlfn.XLOOKUP($C706,Phone_by_Sentiment!$B$2:$B$37,Phone_by_Sentiment!M$2:M$37,"",0,1)),_xlfn.XLOOKUP($C706,Phone_by_Sentiment!$B$2:$B$37,Phone_by_Sentiment!M$2:M$37,"",0,1),0),$A706-TEXT(DATEVALUE($D706&amp;"-01"), "dd-mm-yyyy")),0),0)</f>
        <v>329</v>
      </c>
      <c r="N706" cm="1">
        <f t="array" ref="N706">IF($Q706&gt;=0,IFERROR(generateSalesData($D706, IF(ISNUMBER(_xlfn.XLOOKUP($C706,Phone_by_Sentiment!$B$2:$B$37,Phone_by_Sentiment!N$2:N$37,"",0,1)),_xlfn.XLOOKUP($C706,Phone_by_Sentiment!$B$2:$B$37,Phone_by_Sentiment!N$2:N$37,"",0,1),0),$A706-TEXT(DATEVALUE($D706&amp;"-01"), "dd-mm-yyyy")),0),0)</f>
        <v>180</v>
      </c>
      <c r="O706" cm="1">
        <f t="array" ref="O706">IF($Q706&gt;=0,IFERROR(generateSalesData($D706, IF(ISNUMBER(_xlfn.XLOOKUP($C706,Phone_by_Sentiment!$B$2:$B$37,Phone_by_Sentiment!O$2:O$37,"",0,1)),_xlfn.XLOOKUP($C706,Phone_by_Sentiment!$B$2:$B$37,Phone_by_Sentiment!O$2:O$37,"",0,1),0),$A706-TEXT(DATEVALUE($D706&amp;"-01"), "dd-mm-yyyy")),0),0)</f>
        <v>284</v>
      </c>
      <c r="P706" s="1">
        <f t="shared" si="28"/>
        <v>43862</v>
      </c>
      <c r="Q706">
        <f t="shared" si="29"/>
        <v>213</v>
      </c>
    </row>
    <row r="707" spans="1:17" x14ac:dyDescent="0.25">
      <c r="A707" s="1">
        <f t="shared" si="27"/>
        <v>44075</v>
      </c>
      <c r="B707" t="s">
        <v>153</v>
      </c>
      <c r="C707" t="str">
        <f>_xlfn.XLOOKUP(B707,Phone_by_Price!$A$2:$A$34,Phone_by_Price!$B$2:$B$34,"-",0,1)</f>
        <v>iPhone 13</v>
      </c>
      <c r="D707" t="str">
        <f>_xlfn.XLOOKUP(C707,Phone_by_Sentiment!$B$2:$B$37,Phone_by_Sentiment!$A$2:$A$37,"-",0,1)</f>
        <v>2021-09</v>
      </c>
      <c r="E707" cm="1">
        <f t="array" ref="E707">IF($Q707&gt;=0,IFERROR(generateSalesData($D707, IF(ISNUMBER(_xlfn.XLOOKUP($C707,Phone_by_Sentiment!$B$2:$B$37,Phone_by_Sentiment!E$2:E$37,"",0,1)),_xlfn.XLOOKUP($C707,Phone_by_Sentiment!$B$2:$B$37,Phone_by_Sentiment!E$2:E$37,"",0,1),0),$A707-TEXT(DATEVALUE($D707&amp;"-01"), "dd-mm-yyyy")),0),0)</f>
        <v>0</v>
      </c>
      <c r="F707" cm="1">
        <f t="array" ref="F707">IF($Q707&gt;=0,IFERROR(generateSalesData($D707, IF(ISNUMBER(_xlfn.XLOOKUP($C707,Phone_by_Sentiment!$B$2:$B$37,Phone_by_Sentiment!F$2:F$37,"",0,1)),_xlfn.XLOOKUP($C707,Phone_by_Sentiment!$B$2:$B$37,Phone_by_Sentiment!F$2:F$37,"",0,1),0),$A707-TEXT(DATEVALUE($D707&amp;"-01"), "dd-mm-yyyy")),0),0)</f>
        <v>0</v>
      </c>
      <c r="G707" cm="1">
        <f t="array" ref="G707">IF($Q707&gt;=0,IFERROR(generateSalesData($D707, IF(ISNUMBER(_xlfn.XLOOKUP($C707,Phone_by_Sentiment!$B$2:$B$37,Phone_by_Sentiment!G$2:G$37,"",0,1)),_xlfn.XLOOKUP($C707,Phone_by_Sentiment!$B$2:$B$37,Phone_by_Sentiment!G$2:G$37,"",0,1),0),$A707-TEXT(DATEVALUE($D707&amp;"-01"), "dd-mm-yyyy")),0),0)</f>
        <v>0</v>
      </c>
      <c r="H707" cm="1">
        <f t="array" ref="H707">IF($Q707&gt;=0,IFERROR(generateSalesData($D707, IF(ISNUMBER(_xlfn.XLOOKUP($C707,Phone_by_Sentiment!$B$2:$B$37,Phone_by_Sentiment!H$2:H$37,"",0,1)),_xlfn.XLOOKUP($C707,Phone_by_Sentiment!$B$2:$B$37,Phone_by_Sentiment!H$2:H$37,"",0,1),0),$A707-TEXT(DATEVALUE($D707&amp;"-01"), "dd-mm-yyyy")),0),0)</f>
        <v>0</v>
      </c>
      <c r="I707" cm="1">
        <f t="array" ref="I707">IF($Q707&gt;=0,IFERROR(generateSalesData($D707, IF(ISNUMBER(_xlfn.XLOOKUP($C707,Phone_by_Sentiment!$B$2:$B$37,Phone_by_Sentiment!I$2:I$37,"",0,1)),_xlfn.XLOOKUP($C707,Phone_by_Sentiment!$B$2:$B$37,Phone_by_Sentiment!I$2:I$37,"",0,1),0),$A707-TEXT(DATEVALUE($D707&amp;"-01"), "dd-mm-yyyy")),0),0)</f>
        <v>0</v>
      </c>
      <c r="J707" cm="1">
        <f t="array" ref="J707">IF($Q707&gt;=0,IFERROR(generateSalesData($D707, IF(ISNUMBER(_xlfn.XLOOKUP($C707,Phone_by_Sentiment!$B$2:$B$37,Phone_by_Sentiment!J$2:J$37,"",0,1)),_xlfn.XLOOKUP($C707,Phone_by_Sentiment!$B$2:$B$37,Phone_by_Sentiment!J$2:J$37,"",0,1),0),$A707-TEXT(DATEVALUE($D707&amp;"-01"), "dd-mm-yyyy")),0),0)</f>
        <v>0</v>
      </c>
      <c r="K707" cm="1">
        <f t="array" ref="K707">IF($Q707&gt;=0,IFERROR(generateSalesData($D707, IF(ISNUMBER(_xlfn.XLOOKUP($C707,Phone_by_Sentiment!$B$2:$B$37,Phone_by_Sentiment!K$2:K$37,"",0,1)),_xlfn.XLOOKUP($C707,Phone_by_Sentiment!$B$2:$B$37,Phone_by_Sentiment!K$2:K$37,"",0,1),0),$A707-TEXT(DATEVALUE($D707&amp;"-01"), "dd-mm-yyyy")),0),0)</f>
        <v>0</v>
      </c>
      <c r="L707" cm="1">
        <f t="array" ref="L707">IF($Q707&gt;=0,IFERROR(generateSalesData($D707, IF(ISNUMBER(_xlfn.XLOOKUP($C707,Phone_by_Sentiment!$B$2:$B$37,Phone_by_Sentiment!L$2:L$37,"",0,1)),_xlfn.XLOOKUP($C707,Phone_by_Sentiment!$B$2:$B$37,Phone_by_Sentiment!L$2:L$37,"",0,1),0),$A707-TEXT(DATEVALUE($D707&amp;"-01"), "dd-mm-yyyy")),0),0)</f>
        <v>0</v>
      </c>
      <c r="M707" cm="1">
        <f t="array" ref="M707">IF($Q707&gt;=0,IFERROR(generateSalesData($D707, IF(ISNUMBER(_xlfn.XLOOKUP($C707,Phone_by_Sentiment!$B$2:$B$37,Phone_by_Sentiment!M$2:M$37,"",0,1)),_xlfn.XLOOKUP($C707,Phone_by_Sentiment!$B$2:$B$37,Phone_by_Sentiment!M$2:M$37,"",0,1),0),$A707-TEXT(DATEVALUE($D707&amp;"-01"), "dd-mm-yyyy")),0),0)</f>
        <v>0</v>
      </c>
      <c r="N707" cm="1">
        <f t="array" ref="N707">IF($Q707&gt;=0,IFERROR(generateSalesData($D707, IF(ISNUMBER(_xlfn.XLOOKUP($C707,Phone_by_Sentiment!$B$2:$B$37,Phone_by_Sentiment!N$2:N$37,"",0,1)),_xlfn.XLOOKUP($C707,Phone_by_Sentiment!$B$2:$B$37,Phone_by_Sentiment!N$2:N$37,"",0,1),0),$A707-TEXT(DATEVALUE($D707&amp;"-01"), "dd-mm-yyyy")),0),0)</f>
        <v>0</v>
      </c>
      <c r="O707" cm="1">
        <f t="array" ref="O707">IF($Q707&gt;=0,IFERROR(generateSalesData($D707, IF(ISNUMBER(_xlfn.XLOOKUP($C707,Phone_by_Sentiment!$B$2:$B$37,Phone_by_Sentiment!O$2:O$37,"",0,1)),_xlfn.XLOOKUP($C707,Phone_by_Sentiment!$B$2:$B$37,Phone_by_Sentiment!O$2:O$37,"",0,1),0),$A707-TEXT(DATEVALUE($D707&amp;"-01"), "dd-mm-yyyy")),0),0)</f>
        <v>0</v>
      </c>
      <c r="P707" s="1">
        <f t="shared" si="28"/>
        <v>44440</v>
      </c>
      <c r="Q707">
        <f t="shared" si="29"/>
        <v>-365</v>
      </c>
    </row>
    <row r="708" spans="1:17" x14ac:dyDescent="0.25">
      <c r="A708" s="1">
        <f t="shared" si="27"/>
        <v>44075</v>
      </c>
      <c r="B708" t="s">
        <v>154</v>
      </c>
      <c r="C708" t="str">
        <f>_xlfn.XLOOKUP(B708,Phone_by_Price!$A$2:$A$34,Phone_by_Price!$B$2:$B$34,"-",0,1)</f>
        <v>Samsung Galaxy S21</v>
      </c>
      <c r="D708" t="str">
        <f>_xlfn.XLOOKUP(C708,Phone_by_Sentiment!$B$2:$B$37,Phone_by_Sentiment!$A$2:$A$37,"-",0,1)</f>
        <v>2021-01</v>
      </c>
      <c r="E708" cm="1">
        <f t="array" ref="E708">IF($Q708&gt;=0,IFERROR(generateSalesData($D708, IF(ISNUMBER(_xlfn.XLOOKUP($C708,Phone_by_Sentiment!$B$2:$B$37,Phone_by_Sentiment!E$2:E$37,"",0,1)),_xlfn.XLOOKUP($C708,Phone_by_Sentiment!$B$2:$B$37,Phone_by_Sentiment!E$2:E$37,"",0,1),0),$A708-TEXT(DATEVALUE($D708&amp;"-01"), "dd-mm-yyyy")),0),0)</f>
        <v>0</v>
      </c>
      <c r="F708" cm="1">
        <f t="array" ref="F708">IF($Q708&gt;=0,IFERROR(generateSalesData($D708, IF(ISNUMBER(_xlfn.XLOOKUP($C708,Phone_by_Sentiment!$B$2:$B$37,Phone_by_Sentiment!F$2:F$37,"",0,1)),_xlfn.XLOOKUP($C708,Phone_by_Sentiment!$B$2:$B$37,Phone_by_Sentiment!F$2:F$37,"",0,1),0),$A708-TEXT(DATEVALUE($D708&amp;"-01"), "dd-mm-yyyy")),0),0)</f>
        <v>0</v>
      </c>
      <c r="G708" cm="1">
        <f t="array" ref="G708">IF($Q708&gt;=0,IFERROR(generateSalesData($D708, IF(ISNUMBER(_xlfn.XLOOKUP($C708,Phone_by_Sentiment!$B$2:$B$37,Phone_by_Sentiment!G$2:G$37,"",0,1)),_xlfn.XLOOKUP($C708,Phone_by_Sentiment!$B$2:$B$37,Phone_by_Sentiment!G$2:G$37,"",0,1),0),$A708-TEXT(DATEVALUE($D708&amp;"-01"), "dd-mm-yyyy")),0),0)</f>
        <v>0</v>
      </c>
      <c r="H708" cm="1">
        <f t="array" ref="H708">IF($Q708&gt;=0,IFERROR(generateSalesData($D708, IF(ISNUMBER(_xlfn.XLOOKUP($C708,Phone_by_Sentiment!$B$2:$B$37,Phone_by_Sentiment!H$2:H$37,"",0,1)),_xlfn.XLOOKUP($C708,Phone_by_Sentiment!$B$2:$B$37,Phone_by_Sentiment!H$2:H$37,"",0,1),0),$A708-TEXT(DATEVALUE($D708&amp;"-01"), "dd-mm-yyyy")),0),0)</f>
        <v>0</v>
      </c>
      <c r="I708" cm="1">
        <f t="array" ref="I708">IF($Q708&gt;=0,IFERROR(generateSalesData($D708, IF(ISNUMBER(_xlfn.XLOOKUP($C708,Phone_by_Sentiment!$B$2:$B$37,Phone_by_Sentiment!I$2:I$37,"",0,1)),_xlfn.XLOOKUP($C708,Phone_by_Sentiment!$B$2:$B$37,Phone_by_Sentiment!I$2:I$37,"",0,1),0),$A708-TEXT(DATEVALUE($D708&amp;"-01"), "dd-mm-yyyy")),0),0)</f>
        <v>0</v>
      </c>
      <c r="J708" cm="1">
        <f t="array" ref="J708">IF($Q708&gt;=0,IFERROR(generateSalesData($D708, IF(ISNUMBER(_xlfn.XLOOKUP($C708,Phone_by_Sentiment!$B$2:$B$37,Phone_by_Sentiment!J$2:J$37,"",0,1)),_xlfn.XLOOKUP($C708,Phone_by_Sentiment!$B$2:$B$37,Phone_by_Sentiment!J$2:J$37,"",0,1),0),$A708-TEXT(DATEVALUE($D708&amp;"-01"), "dd-mm-yyyy")),0),0)</f>
        <v>0</v>
      </c>
      <c r="K708" cm="1">
        <f t="array" ref="K708">IF($Q708&gt;=0,IFERROR(generateSalesData($D708, IF(ISNUMBER(_xlfn.XLOOKUP($C708,Phone_by_Sentiment!$B$2:$B$37,Phone_by_Sentiment!K$2:K$37,"",0,1)),_xlfn.XLOOKUP($C708,Phone_by_Sentiment!$B$2:$B$37,Phone_by_Sentiment!K$2:K$37,"",0,1),0),$A708-TEXT(DATEVALUE($D708&amp;"-01"), "dd-mm-yyyy")),0),0)</f>
        <v>0</v>
      </c>
      <c r="L708" cm="1">
        <f t="array" ref="L708">IF($Q708&gt;=0,IFERROR(generateSalesData($D708, IF(ISNUMBER(_xlfn.XLOOKUP($C708,Phone_by_Sentiment!$B$2:$B$37,Phone_by_Sentiment!L$2:L$37,"",0,1)),_xlfn.XLOOKUP($C708,Phone_by_Sentiment!$B$2:$B$37,Phone_by_Sentiment!L$2:L$37,"",0,1),0),$A708-TEXT(DATEVALUE($D708&amp;"-01"), "dd-mm-yyyy")),0),0)</f>
        <v>0</v>
      </c>
      <c r="M708" cm="1">
        <f t="array" ref="M708">IF($Q708&gt;=0,IFERROR(generateSalesData($D708, IF(ISNUMBER(_xlfn.XLOOKUP($C708,Phone_by_Sentiment!$B$2:$B$37,Phone_by_Sentiment!M$2:M$37,"",0,1)),_xlfn.XLOOKUP($C708,Phone_by_Sentiment!$B$2:$B$37,Phone_by_Sentiment!M$2:M$37,"",0,1),0),$A708-TEXT(DATEVALUE($D708&amp;"-01"), "dd-mm-yyyy")),0),0)</f>
        <v>0</v>
      </c>
      <c r="N708" cm="1">
        <f t="array" ref="N708">IF($Q708&gt;=0,IFERROR(generateSalesData($D708, IF(ISNUMBER(_xlfn.XLOOKUP($C708,Phone_by_Sentiment!$B$2:$B$37,Phone_by_Sentiment!N$2:N$37,"",0,1)),_xlfn.XLOOKUP($C708,Phone_by_Sentiment!$B$2:$B$37,Phone_by_Sentiment!N$2:N$37,"",0,1),0),$A708-TEXT(DATEVALUE($D708&amp;"-01"), "dd-mm-yyyy")),0),0)</f>
        <v>0</v>
      </c>
      <c r="O708" cm="1">
        <f t="array" ref="O708">IF($Q708&gt;=0,IFERROR(generateSalesData($D708, IF(ISNUMBER(_xlfn.XLOOKUP($C708,Phone_by_Sentiment!$B$2:$B$37,Phone_by_Sentiment!O$2:O$37,"",0,1)),_xlfn.XLOOKUP($C708,Phone_by_Sentiment!$B$2:$B$37,Phone_by_Sentiment!O$2:O$37,"",0,1),0),$A708-TEXT(DATEVALUE($D708&amp;"-01"), "dd-mm-yyyy")),0),0)</f>
        <v>0</v>
      </c>
      <c r="P708" s="1">
        <f t="shared" ref="P708:P771" si="30">DATEVALUE($D708&amp;"-01")</f>
        <v>44197</v>
      </c>
      <c r="Q708">
        <f t="shared" ref="Q708:Q771" si="31">A708-P708</f>
        <v>-122</v>
      </c>
    </row>
    <row r="709" spans="1:17" x14ac:dyDescent="0.25">
      <c r="A709" s="1">
        <f t="shared" si="27"/>
        <v>44075</v>
      </c>
      <c r="B709" t="s">
        <v>155</v>
      </c>
      <c r="C709" t="str">
        <f>_xlfn.XLOOKUP(B709,Phone_by_Price!$A$2:$A$34,Phone_by_Price!$B$2:$B$34,"-",0,1)</f>
        <v>Google Pixel 6</v>
      </c>
      <c r="D709" t="str">
        <f>_xlfn.XLOOKUP(C709,Phone_by_Sentiment!$B$2:$B$37,Phone_by_Sentiment!$A$2:$A$37,"-",0,1)</f>
        <v>2021-10</v>
      </c>
      <c r="E709" cm="1">
        <f t="array" ref="E709">IF($Q709&gt;=0,IFERROR(generateSalesData($D709, IF(ISNUMBER(_xlfn.XLOOKUP($C709,Phone_by_Sentiment!$B$2:$B$37,Phone_by_Sentiment!E$2:E$37,"",0,1)),_xlfn.XLOOKUP($C709,Phone_by_Sentiment!$B$2:$B$37,Phone_by_Sentiment!E$2:E$37,"",0,1),0),$A709-TEXT(DATEVALUE($D709&amp;"-01"), "dd-mm-yyyy")),0),0)</f>
        <v>0</v>
      </c>
      <c r="F709" cm="1">
        <f t="array" ref="F709">IF($Q709&gt;=0,IFERROR(generateSalesData($D709, IF(ISNUMBER(_xlfn.XLOOKUP($C709,Phone_by_Sentiment!$B$2:$B$37,Phone_by_Sentiment!F$2:F$37,"",0,1)),_xlfn.XLOOKUP($C709,Phone_by_Sentiment!$B$2:$B$37,Phone_by_Sentiment!F$2:F$37,"",0,1),0),$A709-TEXT(DATEVALUE($D709&amp;"-01"), "dd-mm-yyyy")),0),0)</f>
        <v>0</v>
      </c>
      <c r="G709" cm="1">
        <f t="array" ref="G709">IF($Q709&gt;=0,IFERROR(generateSalesData($D709, IF(ISNUMBER(_xlfn.XLOOKUP($C709,Phone_by_Sentiment!$B$2:$B$37,Phone_by_Sentiment!G$2:G$37,"",0,1)),_xlfn.XLOOKUP($C709,Phone_by_Sentiment!$B$2:$B$37,Phone_by_Sentiment!G$2:G$37,"",0,1),0),$A709-TEXT(DATEVALUE($D709&amp;"-01"), "dd-mm-yyyy")),0),0)</f>
        <v>0</v>
      </c>
      <c r="H709" cm="1">
        <f t="array" ref="H709">IF($Q709&gt;=0,IFERROR(generateSalesData($D709, IF(ISNUMBER(_xlfn.XLOOKUP($C709,Phone_by_Sentiment!$B$2:$B$37,Phone_by_Sentiment!H$2:H$37,"",0,1)),_xlfn.XLOOKUP($C709,Phone_by_Sentiment!$B$2:$B$37,Phone_by_Sentiment!H$2:H$37,"",0,1),0),$A709-TEXT(DATEVALUE($D709&amp;"-01"), "dd-mm-yyyy")),0),0)</f>
        <v>0</v>
      </c>
      <c r="I709" cm="1">
        <f t="array" ref="I709">IF($Q709&gt;=0,IFERROR(generateSalesData($D709, IF(ISNUMBER(_xlfn.XLOOKUP($C709,Phone_by_Sentiment!$B$2:$B$37,Phone_by_Sentiment!I$2:I$37,"",0,1)),_xlfn.XLOOKUP($C709,Phone_by_Sentiment!$B$2:$B$37,Phone_by_Sentiment!I$2:I$37,"",0,1),0),$A709-TEXT(DATEVALUE($D709&amp;"-01"), "dd-mm-yyyy")),0),0)</f>
        <v>0</v>
      </c>
      <c r="J709" cm="1">
        <f t="array" ref="J709">IF($Q709&gt;=0,IFERROR(generateSalesData($D709, IF(ISNUMBER(_xlfn.XLOOKUP($C709,Phone_by_Sentiment!$B$2:$B$37,Phone_by_Sentiment!J$2:J$37,"",0,1)),_xlfn.XLOOKUP($C709,Phone_by_Sentiment!$B$2:$B$37,Phone_by_Sentiment!J$2:J$37,"",0,1),0),$A709-TEXT(DATEVALUE($D709&amp;"-01"), "dd-mm-yyyy")),0),0)</f>
        <v>0</v>
      </c>
      <c r="K709" cm="1">
        <f t="array" ref="K709">IF($Q709&gt;=0,IFERROR(generateSalesData($D709, IF(ISNUMBER(_xlfn.XLOOKUP($C709,Phone_by_Sentiment!$B$2:$B$37,Phone_by_Sentiment!K$2:K$37,"",0,1)),_xlfn.XLOOKUP($C709,Phone_by_Sentiment!$B$2:$B$37,Phone_by_Sentiment!K$2:K$37,"",0,1),0),$A709-TEXT(DATEVALUE($D709&amp;"-01"), "dd-mm-yyyy")),0),0)</f>
        <v>0</v>
      </c>
      <c r="L709" cm="1">
        <f t="array" ref="L709">IF($Q709&gt;=0,IFERROR(generateSalesData($D709, IF(ISNUMBER(_xlfn.XLOOKUP($C709,Phone_by_Sentiment!$B$2:$B$37,Phone_by_Sentiment!L$2:L$37,"",0,1)),_xlfn.XLOOKUP($C709,Phone_by_Sentiment!$B$2:$B$37,Phone_by_Sentiment!L$2:L$37,"",0,1),0),$A709-TEXT(DATEVALUE($D709&amp;"-01"), "dd-mm-yyyy")),0),0)</f>
        <v>0</v>
      </c>
      <c r="M709" cm="1">
        <f t="array" ref="M709">IF($Q709&gt;=0,IFERROR(generateSalesData($D709, IF(ISNUMBER(_xlfn.XLOOKUP($C709,Phone_by_Sentiment!$B$2:$B$37,Phone_by_Sentiment!M$2:M$37,"",0,1)),_xlfn.XLOOKUP($C709,Phone_by_Sentiment!$B$2:$B$37,Phone_by_Sentiment!M$2:M$37,"",0,1),0),$A709-TEXT(DATEVALUE($D709&amp;"-01"), "dd-mm-yyyy")),0),0)</f>
        <v>0</v>
      </c>
      <c r="N709" cm="1">
        <f t="array" ref="N709">IF($Q709&gt;=0,IFERROR(generateSalesData($D709, IF(ISNUMBER(_xlfn.XLOOKUP($C709,Phone_by_Sentiment!$B$2:$B$37,Phone_by_Sentiment!N$2:N$37,"",0,1)),_xlfn.XLOOKUP($C709,Phone_by_Sentiment!$B$2:$B$37,Phone_by_Sentiment!N$2:N$37,"",0,1),0),$A709-TEXT(DATEVALUE($D709&amp;"-01"), "dd-mm-yyyy")),0),0)</f>
        <v>0</v>
      </c>
      <c r="O709" cm="1">
        <f t="array" ref="O709">IF($Q709&gt;=0,IFERROR(generateSalesData($D709, IF(ISNUMBER(_xlfn.XLOOKUP($C709,Phone_by_Sentiment!$B$2:$B$37,Phone_by_Sentiment!O$2:O$37,"",0,1)),_xlfn.XLOOKUP($C709,Phone_by_Sentiment!$B$2:$B$37,Phone_by_Sentiment!O$2:O$37,"",0,1),0),$A709-TEXT(DATEVALUE($D709&amp;"-01"), "dd-mm-yyyy")),0),0)</f>
        <v>0</v>
      </c>
      <c r="P709" s="1">
        <f t="shared" si="30"/>
        <v>44470</v>
      </c>
      <c r="Q709">
        <f t="shared" si="31"/>
        <v>-395</v>
      </c>
    </row>
    <row r="710" spans="1:17" x14ac:dyDescent="0.25">
      <c r="A710" s="1">
        <f t="shared" si="27"/>
        <v>44075</v>
      </c>
      <c r="B710" t="s">
        <v>156</v>
      </c>
      <c r="C710" t="str">
        <f>_xlfn.XLOOKUP(B710,Phone_by_Price!$A$2:$A$34,Phone_by_Price!$B$2:$B$34,"-",0,1)</f>
        <v>OnePlus Nord CE</v>
      </c>
      <c r="D710" t="str">
        <f>_xlfn.XLOOKUP(C710,Phone_by_Sentiment!$B$2:$B$37,Phone_by_Sentiment!$A$2:$A$37,"-",0,1)</f>
        <v>2021-06</v>
      </c>
      <c r="E710" cm="1">
        <f t="array" ref="E710">IF($Q710&gt;=0,IFERROR(generateSalesData($D710, IF(ISNUMBER(_xlfn.XLOOKUP($C710,Phone_by_Sentiment!$B$2:$B$37,Phone_by_Sentiment!E$2:E$37,"",0,1)),_xlfn.XLOOKUP($C710,Phone_by_Sentiment!$B$2:$B$37,Phone_by_Sentiment!E$2:E$37,"",0,1),0),$A710-TEXT(DATEVALUE($D710&amp;"-01"), "dd-mm-yyyy")),0),0)</f>
        <v>0</v>
      </c>
      <c r="F710" cm="1">
        <f t="array" ref="F710">IF($Q710&gt;=0,IFERROR(generateSalesData($D710, IF(ISNUMBER(_xlfn.XLOOKUP($C710,Phone_by_Sentiment!$B$2:$B$37,Phone_by_Sentiment!F$2:F$37,"",0,1)),_xlfn.XLOOKUP($C710,Phone_by_Sentiment!$B$2:$B$37,Phone_by_Sentiment!F$2:F$37,"",0,1),0),$A710-TEXT(DATEVALUE($D710&amp;"-01"), "dd-mm-yyyy")),0),0)</f>
        <v>0</v>
      </c>
      <c r="G710" cm="1">
        <f t="array" ref="G710">IF($Q710&gt;=0,IFERROR(generateSalesData($D710, IF(ISNUMBER(_xlfn.XLOOKUP($C710,Phone_by_Sentiment!$B$2:$B$37,Phone_by_Sentiment!G$2:G$37,"",0,1)),_xlfn.XLOOKUP($C710,Phone_by_Sentiment!$B$2:$B$37,Phone_by_Sentiment!G$2:G$37,"",0,1),0),$A710-TEXT(DATEVALUE($D710&amp;"-01"), "dd-mm-yyyy")),0),0)</f>
        <v>0</v>
      </c>
      <c r="H710" cm="1">
        <f t="array" ref="H710">IF($Q710&gt;=0,IFERROR(generateSalesData($D710, IF(ISNUMBER(_xlfn.XLOOKUP($C710,Phone_by_Sentiment!$B$2:$B$37,Phone_by_Sentiment!H$2:H$37,"",0,1)),_xlfn.XLOOKUP($C710,Phone_by_Sentiment!$B$2:$B$37,Phone_by_Sentiment!H$2:H$37,"",0,1),0),$A710-TEXT(DATEVALUE($D710&amp;"-01"), "dd-mm-yyyy")),0),0)</f>
        <v>0</v>
      </c>
      <c r="I710" cm="1">
        <f t="array" ref="I710">IF($Q710&gt;=0,IFERROR(generateSalesData($D710, IF(ISNUMBER(_xlfn.XLOOKUP($C710,Phone_by_Sentiment!$B$2:$B$37,Phone_by_Sentiment!I$2:I$37,"",0,1)),_xlfn.XLOOKUP($C710,Phone_by_Sentiment!$B$2:$B$37,Phone_by_Sentiment!I$2:I$37,"",0,1),0),$A710-TEXT(DATEVALUE($D710&amp;"-01"), "dd-mm-yyyy")),0),0)</f>
        <v>0</v>
      </c>
      <c r="J710" cm="1">
        <f t="array" ref="J710">IF($Q710&gt;=0,IFERROR(generateSalesData($D710, IF(ISNUMBER(_xlfn.XLOOKUP($C710,Phone_by_Sentiment!$B$2:$B$37,Phone_by_Sentiment!J$2:J$37,"",0,1)),_xlfn.XLOOKUP($C710,Phone_by_Sentiment!$B$2:$B$37,Phone_by_Sentiment!J$2:J$37,"",0,1),0),$A710-TEXT(DATEVALUE($D710&amp;"-01"), "dd-mm-yyyy")),0),0)</f>
        <v>0</v>
      </c>
      <c r="K710" cm="1">
        <f t="array" ref="K710">IF($Q710&gt;=0,IFERROR(generateSalesData($D710, IF(ISNUMBER(_xlfn.XLOOKUP($C710,Phone_by_Sentiment!$B$2:$B$37,Phone_by_Sentiment!K$2:K$37,"",0,1)),_xlfn.XLOOKUP($C710,Phone_by_Sentiment!$B$2:$B$37,Phone_by_Sentiment!K$2:K$37,"",0,1),0),$A710-TEXT(DATEVALUE($D710&amp;"-01"), "dd-mm-yyyy")),0),0)</f>
        <v>0</v>
      </c>
      <c r="L710" cm="1">
        <f t="array" ref="L710">IF($Q710&gt;=0,IFERROR(generateSalesData($D710, IF(ISNUMBER(_xlfn.XLOOKUP($C710,Phone_by_Sentiment!$B$2:$B$37,Phone_by_Sentiment!L$2:L$37,"",0,1)),_xlfn.XLOOKUP($C710,Phone_by_Sentiment!$B$2:$B$37,Phone_by_Sentiment!L$2:L$37,"",0,1),0),$A710-TEXT(DATEVALUE($D710&amp;"-01"), "dd-mm-yyyy")),0),0)</f>
        <v>0</v>
      </c>
      <c r="M710" cm="1">
        <f t="array" ref="M710">IF($Q710&gt;=0,IFERROR(generateSalesData($D710, IF(ISNUMBER(_xlfn.XLOOKUP($C710,Phone_by_Sentiment!$B$2:$B$37,Phone_by_Sentiment!M$2:M$37,"",0,1)),_xlfn.XLOOKUP($C710,Phone_by_Sentiment!$B$2:$B$37,Phone_by_Sentiment!M$2:M$37,"",0,1),0),$A710-TEXT(DATEVALUE($D710&amp;"-01"), "dd-mm-yyyy")),0),0)</f>
        <v>0</v>
      </c>
      <c r="N710" cm="1">
        <f t="array" ref="N710">IF($Q710&gt;=0,IFERROR(generateSalesData($D710, IF(ISNUMBER(_xlfn.XLOOKUP($C710,Phone_by_Sentiment!$B$2:$B$37,Phone_by_Sentiment!N$2:N$37,"",0,1)),_xlfn.XLOOKUP($C710,Phone_by_Sentiment!$B$2:$B$37,Phone_by_Sentiment!N$2:N$37,"",0,1),0),$A710-TEXT(DATEVALUE($D710&amp;"-01"), "dd-mm-yyyy")),0),0)</f>
        <v>0</v>
      </c>
      <c r="O710" cm="1">
        <f t="array" ref="O710">IF($Q710&gt;=0,IFERROR(generateSalesData($D710, IF(ISNUMBER(_xlfn.XLOOKUP($C710,Phone_by_Sentiment!$B$2:$B$37,Phone_by_Sentiment!O$2:O$37,"",0,1)),_xlfn.XLOOKUP($C710,Phone_by_Sentiment!$B$2:$B$37,Phone_by_Sentiment!O$2:O$37,"",0,1),0),$A710-TEXT(DATEVALUE($D710&amp;"-01"), "dd-mm-yyyy")),0),0)</f>
        <v>0</v>
      </c>
      <c r="P710" s="1">
        <f t="shared" si="30"/>
        <v>44348</v>
      </c>
      <c r="Q710">
        <f t="shared" si="31"/>
        <v>-273</v>
      </c>
    </row>
    <row r="711" spans="1:17" x14ac:dyDescent="0.25">
      <c r="A711" s="1">
        <f t="shared" si="27"/>
        <v>44075</v>
      </c>
      <c r="B711" t="s">
        <v>157</v>
      </c>
      <c r="C711" t="str">
        <f>_xlfn.XLOOKUP(B711,Phone_by_Price!$A$2:$A$34,Phone_by_Price!$B$2:$B$34,"-",0,1)</f>
        <v>Apple iPhone 13 Pro</v>
      </c>
      <c r="D711" t="str">
        <f>_xlfn.XLOOKUP(C711,Phone_by_Sentiment!$B$2:$B$37,Phone_by_Sentiment!$A$2:$A$37,"-",0,1)</f>
        <v>2021-09</v>
      </c>
      <c r="E711" cm="1">
        <f t="array" ref="E711">IF($Q711&gt;=0,IFERROR(generateSalesData($D711, IF(ISNUMBER(_xlfn.XLOOKUP($C711,Phone_by_Sentiment!$B$2:$B$37,Phone_by_Sentiment!E$2:E$37,"",0,1)),_xlfn.XLOOKUP($C711,Phone_by_Sentiment!$B$2:$B$37,Phone_by_Sentiment!E$2:E$37,"",0,1),0),$A711-TEXT(DATEVALUE($D711&amp;"-01"), "dd-mm-yyyy")),0),0)</f>
        <v>0</v>
      </c>
      <c r="F711" cm="1">
        <f t="array" ref="F711">IF($Q711&gt;=0,IFERROR(generateSalesData($D711, IF(ISNUMBER(_xlfn.XLOOKUP($C711,Phone_by_Sentiment!$B$2:$B$37,Phone_by_Sentiment!F$2:F$37,"",0,1)),_xlfn.XLOOKUP($C711,Phone_by_Sentiment!$B$2:$B$37,Phone_by_Sentiment!F$2:F$37,"",0,1),0),$A711-TEXT(DATEVALUE($D711&amp;"-01"), "dd-mm-yyyy")),0),0)</f>
        <v>0</v>
      </c>
      <c r="G711" cm="1">
        <f t="array" ref="G711">IF($Q711&gt;=0,IFERROR(generateSalesData($D711, IF(ISNUMBER(_xlfn.XLOOKUP($C711,Phone_by_Sentiment!$B$2:$B$37,Phone_by_Sentiment!G$2:G$37,"",0,1)),_xlfn.XLOOKUP($C711,Phone_by_Sentiment!$B$2:$B$37,Phone_by_Sentiment!G$2:G$37,"",0,1),0),$A711-TEXT(DATEVALUE($D711&amp;"-01"), "dd-mm-yyyy")),0),0)</f>
        <v>0</v>
      </c>
      <c r="H711" cm="1">
        <f t="array" ref="H711">IF($Q711&gt;=0,IFERROR(generateSalesData($D711, IF(ISNUMBER(_xlfn.XLOOKUP($C711,Phone_by_Sentiment!$B$2:$B$37,Phone_by_Sentiment!H$2:H$37,"",0,1)),_xlfn.XLOOKUP($C711,Phone_by_Sentiment!$B$2:$B$37,Phone_by_Sentiment!H$2:H$37,"",0,1),0),$A711-TEXT(DATEVALUE($D711&amp;"-01"), "dd-mm-yyyy")),0),0)</f>
        <v>0</v>
      </c>
      <c r="I711" cm="1">
        <f t="array" ref="I711">IF($Q711&gt;=0,IFERROR(generateSalesData($D711, IF(ISNUMBER(_xlfn.XLOOKUP($C711,Phone_by_Sentiment!$B$2:$B$37,Phone_by_Sentiment!I$2:I$37,"",0,1)),_xlfn.XLOOKUP($C711,Phone_by_Sentiment!$B$2:$B$37,Phone_by_Sentiment!I$2:I$37,"",0,1),0),$A711-TEXT(DATEVALUE($D711&amp;"-01"), "dd-mm-yyyy")),0),0)</f>
        <v>0</v>
      </c>
      <c r="J711" cm="1">
        <f t="array" ref="J711">IF($Q711&gt;=0,IFERROR(generateSalesData($D711, IF(ISNUMBER(_xlfn.XLOOKUP($C711,Phone_by_Sentiment!$B$2:$B$37,Phone_by_Sentiment!J$2:J$37,"",0,1)),_xlfn.XLOOKUP($C711,Phone_by_Sentiment!$B$2:$B$37,Phone_by_Sentiment!J$2:J$37,"",0,1),0),$A711-TEXT(DATEVALUE($D711&amp;"-01"), "dd-mm-yyyy")),0),0)</f>
        <v>0</v>
      </c>
      <c r="K711" cm="1">
        <f t="array" ref="K711">IF($Q711&gt;=0,IFERROR(generateSalesData($D711, IF(ISNUMBER(_xlfn.XLOOKUP($C711,Phone_by_Sentiment!$B$2:$B$37,Phone_by_Sentiment!K$2:K$37,"",0,1)),_xlfn.XLOOKUP($C711,Phone_by_Sentiment!$B$2:$B$37,Phone_by_Sentiment!K$2:K$37,"",0,1),0),$A711-TEXT(DATEVALUE($D711&amp;"-01"), "dd-mm-yyyy")),0),0)</f>
        <v>0</v>
      </c>
      <c r="L711" cm="1">
        <f t="array" ref="L711">IF($Q711&gt;=0,IFERROR(generateSalesData($D711, IF(ISNUMBER(_xlfn.XLOOKUP($C711,Phone_by_Sentiment!$B$2:$B$37,Phone_by_Sentiment!L$2:L$37,"",0,1)),_xlfn.XLOOKUP($C711,Phone_by_Sentiment!$B$2:$B$37,Phone_by_Sentiment!L$2:L$37,"",0,1),0),$A711-TEXT(DATEVALUE($D711&amp;"-01"), "dd-mm-yyyy")),0),0)</f>
        <v>0</v>
      </c>
      <c r="M711" cm="1">
        <f t="array" ref="M711">IF($Q711&gt;=0,IFERROR(generateSalesData($D711, IF(ISNUMBER(_xlfn.XLOOKUP($C711,Phone_by_Sentiment!$B$2:$B$37,Phone_by_Sentiment!M$2:M$37,"",0,1)),_xlfn.XLOOKUP($C711,Phone_by_Sentiment!$B$2:$B$37,Phone_by_Sentiment!M$2:M$37,"",0,1),0),$A711-TEXT(DATEVALUE($D711&amp;"-01"), "dd-mm-yyyy")),0),0)</f>
        <v>0</v>
      </c>
      <c r="N711" cm="1">
        <f t="array" ref="N711">IF($Q711&gt;=0,IFERROR(generateSalesData($D711, IF(ISNUMBER(_xlfn.XLOOKUP($C711,Phone_by_Sentiment!$B$2:$B$37,Phone_by_Sentiment!N$2:N$37,"",0,1)),_xlfn.XLOOKUP($C711,Phone_by_Sentiment!$B$2:$B$37,Phone_by_Sentiment!N$2:N$37,"",0,1),0),$A711-TEXT(DATEVALUE($D711&amp;"-01"), "dd-mm-yyyy")),0),0)</f>
        <v>0</v>
      </c>
      <c r="O711" cm="1">
        <f t="array" ref="O711">IF($Q711&gt;=0,IFERROR(generateSalesData($D711, IF(ISNUMBER(_xlfn.XLOOKUP($C711,Phone_by_Sentiment!$B$2:$B$37,Phone_by_Sentiment!O$2:O$37,"",0,1)),_xlfn.XLOOKUP($C711,Phone_by_Sentiment!$B$2:$B$37,Phone_by_Sentiment!O$2:O$37,"",0,1),0),$A711-TEXT(DATEVALUE($D711&amp;"-01"), "dd-mm-yyyy")),0),0)</f>
        <v>0</v>
      </c>
      <c r="P711" s="1">
        <f t="shared" si="30"/>
        <v>44440</v>
      </c>
      <c r="Q711">
        <f t="shared" si="31"/>
        <v>-365</v>
      </c>
    </row>
    <row r="712" spans="1:17" x14ac:dyDescent="0.25">
      <c r="A712" s="1">
        <f t="shared" si="27"/>
        <v>44075</v>
      </c>
      <c r="B712" t="s">
        <v>158</v>
      </c>
      <c r="C712" t="str">
        <f>_xlfn.XLOOKUP(B712,Phone_by_Price!$A$2:$A$34,Phone_by_Price!$B$2:$B$34,"-",0,1)</f>
        <v>Samsung Galaxy A32 5G</v>
      </c>
      <c r="D712" t="str">
        <f>_xlfn.XLOOKUP(C712,Phone_by_Sentiment!$B$2:$B$37,Phone_by_Sentiment!$A$2:$A$37,"-",0,1)</f>
        <v>2021-02</v>
      </c>
      <c r="E712" cm="1">
        <f t="array" ref="E712">IF($Q712&gt;=0,IFERROR(generateSalesData($D712, IF(ISNUMBER(_xlfn.XLOOKUP($C712,Phone_by_Sentiment!$B$2:$B$37,Phone_by_Sentiment!E$2:E$37,"",0,1)),_xlfn.XLOOKUP($C712,Phone_by_Sentiment!$B$2:$B$37,Phone_by_Sentiment!E$2:E$37,"",0,1),0),$A712-TEXT(DATEVALUE($D712&amp;"-01"), "dd-mm-yyyy")),0),0)</f>
        <v>0</v>
      </c>
      <c r="F712" cm="1">
        <f t="array" ref="F712">IF($Q712&gt;=0,IFERROR(generateSalesData($D712, IF(ISNUMBER(_xlfn.XLOOKUP($C712,Phone_by_Sentiment!$B$2:$B$37,Phone_by_Sentiment!F$2:F$37,"",0,1)),_xlfn.XLOOKUP($C712,Phone_by_Sentiment!$B$2:$B$37,Phone_by_Sentiment!F$2:F$37,"",0,1),0),$A712-TEXT(DATEVALUE($D712&amp;"-01"), "dd-mm-yyyy")),0),0)</f>
        <v>0</v>
      </c>
      <c r="G712" cm="1">
        <f t="array" ref="G712">IF($Q712&gt;=0,IFERROR(generateSalesData($D712, IF(ISNUMBER(_xlfn.XLOOKUP($C712,Phone_by_Sentiment!$B$2:$B$37,Phone_by_Sentiment!G$2:G$37,"",0,1)),_xlfn.XLOOKUP($C712,Phone_by_Sentiment!$B$2:$B$37,Phone_by_Sentiment!G$2:G$37,"",0,1),0),$A712-TEXT(DATEVALUE($D712&amp;"-01"), "dd-mm-yyyy")),0),0)</f>
        <v>0</v>
      </c>
      <c r="H712" cm="1">
        <f t="array" ref="H712">IF($Q712&gt;=0,IFERROR(generateSalesData($D712, IF(ISNUMBER(_xlfn.XLOOKUP($C712,Phone_by_Sentiment!$B$2:$B$37,Phone_by_Sentiment!H$2:H$37,"",0,1)),_xlfn.XLOOKUP($C712,Phone_by_Sentiment!$B$2:$B$37,Phone_by_Sentiment!H$2:H$37,"",0,1),0),$A712-TEXT(DATEVALUE($D712&amp;"-01"), "dd-mm-yyyy")),0),0)</f>
        <v>0</v>
      </c>
      <c r="I712" cm="1">
        <f t="array" ref="I712">IF($Q712&gt;=0,IFERROR(generateSalesData($D712, IF(ISNUMBER(_xlfn.XLOOKUP($C712,Phone_by_Sentiment!$B$2:$B$37,Phone_by_Sentiment!I$2:I$37,"",0,1)),_xlfn.XLOOKUP($C712,Phone_by_Sentiment!$B$2:$B$37,Phone_by_Sentiment!I$2:I$37,"",0,1),0),$A712-TEXT(DATEVALUE($D712&amp;"-01"), "dd-mm-yyyy")),0),0)</f>
        <v>0</v>
      </c>
      <c r="J712" cm="1">
        <f t="array" ref="J712">IF($Q712&gt;=0,IFERROR(generateSalesData($D712, IF(ISNUMBER(_xlfn.XLOOKUP($C712,Phone_by_Sentiment!$B$2:$B$37,Phone_by_Sentiment!J$2:J$37,"",0,1)),_xlfn.XLOOKUP($C712,Phone_by_Sentiment!$B$2:$B$37,Phone_by_Sentiment!J$2:J$37,"",0,1),0),$A712-TEXT(DATEVALUE($D712&amp;"-01"), "dd-mm-yyyy")),0),0)</f>
        <v>0</v>
      </c>
      <c r="K712" cm="1">
        <f t="array" ref="K712">IF($Q712&gt;=0,IFERROR(generateSalesData($D712, IF(ISNUMBER(_xlfn.XLOOKUP($C712,Phone_by_Sentiment!$B$2:$B$37,Phone_by_Sentiment!K$2:K$37,"",0,1)),_xlfn.XLOOKUP($C712,Phone_by_Sentiment!$B$2:$B$37,Phone_by_Sentiment!K$2:K$37,"",0,1),0),$A712-TEXT(DATEVALUE($D712&amp;"-01"), "dd-mm-yyyy")),0),0)</f>
        <v>0</v>
      </c>
      <c r="L712" cm="1">
        <f t="array" ref="L712">IF($Q712&gt;=0,IFERROR(generateSalesData($D712, IF(ISNUMBER(_xlfn.XLOOKUP($C712,Phone_by_Sentiment!$B$2:$B$37,Phone_by_Sentiment!L$2:L$37,"",0,1)),_xlfn.XLOOKUP($C712,Phone_by_Sentiment!$B$2:$B$37,Phone_by_Sentiment!L$2:L$37,"",0,1),0),$A712-TEXT(DATEVALUE($D712&amp;"-01"), "dd-mm-yyyy")),0),0)</f>
        <v>0</v>
      </c>
      <c r="M712" cm="1">
        <f t="array" ref="M712">IF($Q712&gt;=0,IFERROR(generateSalesData($D712, IF(ISNUMBER(_xlfn.XLOOKUP($C712,Phone_by_Sentiment!$B$2:$B$37,Phone_by_Sentiment!M$2:M$37,"",0,1)),_xlfn.XLOOKUP($C712,Phone_by_Sentiment!$B$2:$B$37,Phone_by_Sentiment!M$2:M$37,"",0,1),0),$A712-TEXT(DATEVALUE($D712&amp;"-01"), "dd-mm-yyyy")),0),0)</f>
        <v>0</v>
      </c>
      <c r="N712" cm="1">
        <f t="array" ref="N712">IF($Q712&gt;=0,IFERROR(generateSalesData($D712, IF(ISNUMBER(_xlfn.XLOOKUP($C712,Phone_by_Sentiment!$B$2:$B$37,Phone_by_Sentiment!N$2:N$37,"",0,1)),_xlfn.XLOOKUP($C712,Phone_by_Sentiment!$B$2:$B$37,Phone_by_Sentiment!N$2:N$37,"",0,1),0),$A712-TEXT(DATEVALUE($D712&amp;"-01"), "dd-mm-yyyy")),0),0)</f>
        <v>0</v>
      </c>
      <c r="O712" cm="1">
        <f t="array" ref="O712">IF($Q712&gt;=0,IFERROR(generateSalesData($D712, IF(ISNUMBER(_xlfn.XLOOKUP($C712,Phone_by_Sentiment!$B$2:$B$37,Phone_by_Sentiment!O$2:O$37,"",0,1)),_xlfn.XLOOKUP($C712,Phone_by_Sentiment!$B$2:$B$37,Phone_by_Sentiment!O$2:O$37,"",0,1),0),$A712-TEXT(DATEVALUE($D712&amp;"-01"), "dd-mm-yyyy")),0),0)</f>
        <v>0</v>
      </c>
      <c r="P712" s="1">
        <f t="shared" si="30"/>
        <v>44228</v>
      </c>
      <c r="Q712">
        <f t="shared" si="31"/>
        <v>-153</v>
      </c>
    </row>
    <row r="713" spans="1:17" x14ac:dyDescent="0.25">
      <c r="A713" s="1">
        <f t="shared" si="27"/>
        <v>44075</v>
      </c>
      <c r="B713" t="s">
        <v>159</v>
      </c>
      <c r="C713" t="str">
        <f>_xlfn.XLOOKUP(B713,Phone_by_Price!$A$2:$A$34,Phone_by_Price!$B$2:$B$34,"-",0,1)</f>
        <v>Realme C25</v>
      </c>
      <c r="D713" t="str">
        <f>_xlfn.XLOOKUP(C713,Phone_by_Sentiment!$B$2:$B$37,Phone_by_Sentiment!$A$2:$A$37,"-",0,1)</f>
        <v>2021-03</v>
      </c>
      <c r="E713" cm="1">
        <f t="array" ref="E713">IF($Q713&gt;=0,IFERROR(generateSalesData($D713, IF(ISNUMBER(_xlfn.XLOOKUP($C713,Phone_by_Sentiment!$B$2:$B$37,Phone_by_Sentiment!E$2:E$37,"",0,1)),_xlfn.XLOOKUP($C713,Phone_by_Sentiment!$B$2:$B$37,Phone_by_Sentiment!E$2:E$37,"",0,1),0),$A713-TEXT(DATEVALUE($D713&amp;"-01"), "dd-mm-yyyy")),0),0)</f>
        <v>0</v>
      </c>
      <c r="F713" cm="1">
        <f t="array" ref="F713">IF($Q713&gt;=0,IFERROR(generateSalesData($D713, IF(ISNUMBER(_xlfn.XLOOKUP($C713,Phone_by_Sentiment!$B$2:$B$37,Phone_by_Sentiment!F$2:F$37,"",0,1)),_xlfn.XLOOKUP($C713,Phone_by_Sentiment!$B$2:$B$37,Phone_by_Sentiment!F$2:F$37,"",0,1),0),$A713-TEXT(DATEVALUE($D713&amp;"-01"), "dd-mm-yyyy")),0),0)</f>
        <v>0</v>
      </c>
      <c r="G713" cm="1">
        <f t="array" ref="G713">IF($Q713&gt;=0,IFERROR(generateSalesData($D713, IF(ISNUMBER(_xlfn.XLOOKUP($C713,Phone_by_Sentiment!$B$2:$B$37,Phone_by_Sentiment!G$2:G$37,"",0,1)),_xlfn.XLOOKUP($C713,Phone_by_Sentiment!$B$2:$B$37,Phone_by_Sentiment!G$2:G$37,"",0,1),0),$A713-TEXT(DATEVALUE($D713&amp;"-01"), "dd-mm-yyyy")),0),0)</f>
        <v>0</v>
      </c>
      <c r="H713" cm="1">
        <f t="array" ref="H713">IF($Q713&gt;=0,IFERROR(generateSalesData($D713, IF(ISNUMBER(_xlfn.XLOOKUP($C713,Phone_by_Sentiment!$B$2:$B$37,Phone_by_Sentiment!H$2:H$37,"",0,1)),_xlfn.XLOOKUP($C713,Phone_by_Sentiment!$B$2:$B$37,Phone_by_Sentiment!H$2:H$37,"",0,1),0),$A713-TEXT(DATEVALUE($D713&amp;"-01"), "dd-mm-yyyy")),0),0)</f>
        <v>0</v>
      </c>
      <c r="I713" cm="1">
        <f t="array" ref="I713">IF($Q713&gt;=0,IFERROR(generateSalesData($D713, IF(ISNUMBER(_xlfn.XLOOKUP($C713,Phone_by_Sentiment!$B$2:$B$37,Phone_by_Sentiment!I$2:I$37,"",0,1)),_xlfn.XLOOKUP($C713,Phone_by_Sentiment!$B$2:$B$37,Phone_by_Sentiment!I$2:I$37,"",0,1),0),$A713-TEXT(DATEVALUE($D713&amp;"-01"), "dd-mm-yyyy")),0),0)</f>
        <v>0</v>
      </c>
      <c r="J713" cm="1">
        <f t="array" ref="J713">IF($Q713&gt;=0,IFERROR(generateSalesData($D713, IF(ISNUMBER(_xlfn.XLOOKUP($C713,Phone_by_Sentiment!$B$2:$B$37,Phone_by_Sentiment!J$2:J$37,"",0,1)),_xlfn.XLOOKUP($C713,Phone_by_Sentiment!$B$2:$B$37,Phone_by_Sentiment!J$2:J$37,"",0,1),0),$A713-TEXT(DATEVALUE($D713&amp;"-01"), "dd-mm-yyyy")),0),0)</f>
        <v>0</v>
      </c>
      <c r="K713" cm="1">
        <f t="array" ref="K713">IF($Q713&gt;=0,IFERROR(generateSalesData($D713, IF(ISNUMBER(_xlfn.XLOOKUP($C713,Phone_by_Sentiment!$B$2:$B$37,Phone_by_Sentiment!K$2:K$37,"",0,1)),_xlfn.XLOOKUP($C713,Phone_by_Sentiment!$B$2:$B$37,Phone_by_Sentiment!K$2:K$37,"",0,1),0),$A713-TEXT(DATEVALUE($D713&amp;"-01"), "dd-mm-yyyy")),0),0)</f>
        <v>0</v>
      </c>
      <c r="L713" cm="1">
        <f t="array" ref="L713">IF($Q713&gt;=0,IFERROR(generateSalesData($D713, IF(ISNUMBER(_xlfn.XLOOKUP($C713,Phone_by_Sentiment!$B$2:$B$37,Phone_by_Sentiment!L$2:L$37,"",0,1)),_xlfn.XLOOKUP($C713,Phone_by_Sentiment!$B$2:$B$37,Phone_by_Sentiment!L$2:L$37,"",0,1),0),$A713-TEXT(DATEVALUE($D713&amp;"-01"), "dd-mm-yyyy")),0),0)</f>
        <v>0</v>
      </c>
      <c r="M713" cm="1">
        <f t="array" ref="M713">IF($Q713&gt;=0,IFERROR(generateSalesData($D713, IF(ISNUMBER(_xlfn.XLOOKUP($C713,Phone_by_Sentiment!$B$2:$B$37,Phone_by_Sentiment!M$2:M$37,"",0,1)),_xlfn.XLOOKUP($C713,Phone_by_Sentiment!$B$2:$B$37,Phone_by_Sentiment!M$2:M$37,"",0,1),0),$A713-TEXT(DATEVALUE($D713&amp;"-01"), "dd-mm-yyyy")),0),0)</f>
        <v>0</v>
      </c>
      <c r="N713" cm="1">
        <f t="array" ref="N713">IF($Q713&gt;=0,IFERROR(generateSalesData($D713, IF(ISNUMBER(_xlfn.XLOOKUP($C713,Phone_by_Sentiment!$B$2:$B$37,Phone_by_Sentiment!N$2:N$37,"",0,1)),_xlfn.XLOOKUP($C713,Phone_by_Sentiment!$B$2:$B$37,Phone_by_Sentiment!N$2:N$37,"",0,1),0),$A713-TEXT(DATEVALUE($D713&amp;"-01"), "dd-mm-yyyy")),0),0)</f>
        <v>0</v>
      </c>
      <c r="O713" cm="1">
        <f t="array" ref="O713">IF($Q713&gt;=0,IFERROR(generateSalesData($D713, IF(ISNUMBER(_xlfn.XLOOKUP($C713,Phone_by_Sentiment!$B$2:$B$37,Phone_by_Sentiment!O$2:O$37,"",0,1)),_xlfn.XLOOKUP($C713,Phone_by_Sentiment!$B$2:$B$37,Phone_by_Sentiment!O$2:O$37,"",0,1),0),$A713-TEXT(DATEVALUE($D713&amp;"-01"), "dd-mm-yyyy")),0),0)</f>
        <v>0</v>
      </c>
      <c r="P713" s="1">
        <f t="shared" si="30"/>
        <v>44256</v>
      </c>
      <c r="Q713">
        <f t="shared" si="31"/>
        <v>-181</v>
      </c>
    </row>
    <row r="714" spans="1:17" x14ac:dyDescent="0.25">
      <c r="A714" s="1">
        <f t="shared" si="27"/>
        <v>44075</v>
      </c>
      <c r="B714" t="s">
        <v>160</v>
      </c>
      <c r="C714" t="str">
        <f>_xlfn.XLOOKUP(B714,Phone_by_Price!$A$2:$A$34,Phone_by_Price!$B$2:$B$34,"-",0,1)</f>
        <v>Xiaomi Poco X3 Pro</v>
      </c>
      <c r="D714" t="str">
        <f>_xlfn.XLOOKUP(C714,Phone_by_Sentiment!$B$2:$B$37,Phone_by_Sentiment!$A$2:$A$37,"-",0,1)</f>
        <v>2021-05</v>
      </c>
      <c r="E714" cm="1">
        <f t="array" ref="E714">IF($Q714&gt;=0,IFERROR(generateSalesData($D714, IF(ISNUMBER(_xlfn.XLOOKUP($C714,Phone_by_Sentiment!$B$2:$B$37,Phone_by_Sentiment!E$2:E$37,"",0,1)),_xlfn.XLOOKUP($C714,Phone_by_Sentiment!$B$2:$B$37,Phone_by_Sentiment!E$2:E$37,"",0,1),0),$A714-TEXT(DATEVALUE($D714&amp;"-01"), "dd-mm-yyyy")),0),0)</f>
        <v>0</v>
      </c>
      <c r="F714" cm="1">
        <f t="array" ref="F714">IF($Q714&gt;=0,IFERROR(generateSalesData($D714, IF(ISNUMBER(_xlfn.XLOOKUP($C714,Phone_by_Sentiment!$B$2:$B$37,Phone_by_Sentiment!F$2:F$37,"",0,1)),_xlfn.XLOOKUP($C714,Phone_by_Sentiment!$B$2:$B$37,Phone_by_Sentiment!F$2:F$37,"",0,1),0),$A714-TEXT(DATEVALUE($D714&amp;"-01"), "dd-mm-yyyy")),0),0)</f>
        <v>0</v>
      </c>
      <c r="G714" cm="1">
        <f t="array" ref="G714">IF($Q714&gt;=0,IFERROR(generateSalesData($D714, IF(ISNUMBER(_xlfn.XLOOKUP($C714,Phone_by_Sentiment!$B$2:$B$37,Phone_by_Sentiment!G$2:G$37,"",0,1)),_xlfn.XLOOKUP($C714,Phone_by_Sentiment!$B$2:$B$37,Phone_by_Sentiment!G$2:G$37,"",0,1),0),$A714-TEXT(DATEVALUE($D714&amp;"-01"), "dd-mm-yyyy")),0),0)</f>
        <v>0</v>
      </c>
      <c r="H714" cm="1">
        <f t="array" ref="H714">IF($Q714&gt;=0,IFERROR(generateSalesData($D714, IF(ISNUMBER(_xlfn.XLOOKUP($C714,Phone_by_Sentiment!$B$2:$B$37,Phone_by_Sentiment!H$2:H$37,"",0,1)),_xlfn.XLOOKUP($C714,Phone_by_Sentiment!$B$2:$B$37,Phone_by_Sentiment!H$2:H$37,"",0,1),0),$A714-TEXT(DATEVALUE($D714&amp;"-01"), "dd-mm-yyyy")),0),0)</f>
        <v>0</v>
      </c>
      <c r="I714" cm="1">
        <f t="array" ref="I714">IF($Q714&gt;=0,IFERROR(generateSalesData($D714, IF(ISNUMBER(_xlfn.XLOOKUP($C714,Phone_by_Sentiment!$B$2:$B$37,Phone_by_Sentiment!I$2:I$37,"",0,1)),_xlfn.XLOOKUP($C714,Phone_by_Sentiment!$B$2:$B$37,Phone_by_Sentiment!I$2:I$37,"",0,1),0),$A714-TEXT(DATEVALUE($D714&amp;"-01"), "dd-mm-yyyy")),0),0)</f>
        <v>0</v>
      </c>
      <c r="J714" cm="1">
        <f t="array" ref="J714">IF($Q714&gt;=0,IFERROR(generateSalesData($D714, IF(ISNUMBER(_xlfn.XLOOKUP($C714,Phone_by_Sentiment!$B$2:$B$37,Phone_by_Sentiment!J$2:J$37,"",0,1)),_xlfn.XLOOKUP($C714,Phone_by_Sentiment!$B$2:$B$37,Phone_by_Sentiment!J$2:J$37,"",0,1),0),$A714-TEXT(DATEVALUE($D714&amp;"-01"), "dd-mm-yyyy")),0),0)</f>
        <v>0</v>
      </c>
      <c r="K714" cm="1">
        <f t="array" ref="K714">IF($Q714&gt;=0,IFERROR(generateSalesData($D714, IF(ISNUMBER(_xlfn.XLOOKUP($C714,Phone_by_Sentiment!$B$2:$B$37,Phone_by_Sentiment!K$2:K$37,"",0,1)),_xlfn.XLOOKUP($C714,Phone_by_Sentiment!$B$2:$B$37,Phone_by_Sentiment!K$2:K$37,"",0,1),0),$A714-TEXT(DATEVALUE($D714&amp;"-01"), "dd-mm-yyyy")),0),0)</f>
        <v>0</v>
      </c>
      <c r="L714" cm="1">
        <f t="array" ref="L714">IF($Q714&gt;=0,IFERROR(generateSalesData($D714, IF(ISNUMBER(_xlfn.XLOOKUP($C714,Phone_by_Sentiment!$B$2:$B$37,Phone_by_Sentiment!L$2:L$37,"",0,1)),_xlfn.XLOOKUP($C714,Phone_by_Sentiment!$B$2:$B$37,Phone_by_Sentiment!L$2:L$37,"",0,1),0),$A714-TEXT(DATEVALUE($D714&amp;"-01"), "dd-mm-yyyy")),0),0)</f>
        <v>0</v>
      </c>
      <c r="M714" cm="1">
        <f t="array" ref="M714">IF($Q714&gt;=0,IFERROR(generateSalesData($D714, IF(ISNUMBER(_xlfn.XLOOKUP($C714,Phone_by_Sentiment!$B$2:$B$37,Phone_by_Sentiment!M$2:M$37,"",0,1)),_xlfn.XLOOKUP($C714,Phone_by_Sentiment!$B$2:$B$37,Phone_by_Sentiment!M$2:M$37,"",0,1),0),$A714-TEXT(DATEVALUE($D714&amp;"-01"), "dd-mm-yyyy")),0),0)</f>
        <v>0</v>
      </c>
      <c r="N714" cm="1">
        <f t="array" ref="N714">IF($Q714&gt;=0,IFERROR(generateSalesData($D714, IF(ISNUMBER(_xlfn.XLOOKUP($C714,Phone_by_Sentiment!$B$2:$B$37,Phone_by_Sentiment!N$2:N$37,"",0,1)),_xlfn.XLOOKUP($C714,Phone_by_Sentiment!$B$2:$B$37,Phone_by_Sentiment!N$2:N$37,"",0,1),0),$A714-TEXT(DATEVALUE($D714&amp;"-01"), "dd-mm-yyyy")),0),0)</f>
        <v>0</v>
      </c>
      <c r="O714" cm="1">
        <f t="array" ref="O714">IF($Q714&gt;=0,IFERROR(generateSalesData($D714, IF(ISNUMBER(_xlfn.XLOOKUP($C714,Phone_by_Sentiment!$B$2:$B$37,Phone_by_Sentiment!O$2:O$37,"",0,1)),_xlfn.XLOOKUP($C714,Phone_by_Sentiment!$B$2:$B$37,Phone_by_Sentiment!O$2:O$37,"",0,1),0),$A714-TEXT(DATEVALUE($D714&amp;"-01"), "dd-mm-yyyy")),0),0)</f>
        <v>0</v>
      </c>
      <c r="P714" s="1">
        <f t="shared" si="30"/>
        <v>44317</v>
      </c>
      <c r="Q714">
        <f t="shared" si="31"/>
        <v>-242</v>
      </c>
    </row>
    <row r="715" spans="1:17" x14ac:dyDescent="0.25">
      <c r="A715" s="1">
        <f t="shared" si="27"/>
        <v>44075</v>
      </c>
      <c r="B715" t="s">
        <v>161</v>
      </c>
      <c r="C715" t="str">
        <f>_xlfn.XLOOKUP(B715,Phone_by_Price!$A$2:$A$34,Phone_by_Price!$B$2:$B$34,"-",0,1)</f>
        <v>Samsung Galaxy Z Flip 3</v>
      </c>
      <c r="D715" t="str">
        <f>_xlfn.XLOOKUP(C715,Phone_by_Sentiment!$B$2:$B$37,Phone_by_Sentiment!$A$2:$A$37,"-",0,1)</f>
        <v>2021-09</v>
      </c>
      <c r="E715" cm="1">
        <f t="array" ref="E715">IF($Q715&gt;=0,IFERROR(generateSalesData($D715, IF(ISNUMBER(_xlfn.XLOOKUP($C715,Phone_by_Sentiment!$B$2:$B$37,Phone_by_Sentiment!E$2:E$37,"",0,1)),_xlfn.XLOOKUP($C715,Phone_by_Sentiment!$B$2:$B$37,Phone_by_Sentiment!E$2:E$37,"",0,1),0),$A715-TEXT(DATEVALUE($D715&amp;"-01"), "dd-mm-yyyy")),0),0)</f>
        <v>0</v>
      </c>
      <c r="F715" cm="1">
        <f t="array" ref="F715">IF($Q715&gt;=0,IFERROR(generateSalesData($D715, IF(ISNUMBER(_xlfn.XLOOKUP($C715,Phone_by_Sentiment!$B$2:$B$37,Phone_by_Sentiment!F$2:F$37,"",0,1)),_xlfn.XLOOKUP($C715,Phone_by_Sentiment!$B$2:$B$37,Phone_by_Sentiment!F$2:F$37,"",0,1),0),$A715-TEXT(DATEVALUE($D715&amp;"-01"), "dd-mm-yyyy")),0),0)</f>
        <v>0</v>
      </c>
      <c r="G715" cm="1">
        <f t="array" ref="G715">IF($Q715&gt;=0,IFERROR(generateSalesData($D715, IF(ISNUMBER(_xlfn.XLOOKUP($C715,Phone_by_Sentiment!$B$2:$B$37,Phone_by_Sentiment!G$2:G$37,"",0,1)),_xlfn.XLOOKUP($C715,Phone_by_Sentiment!$B$2:$B$37,Phone_by_Sentiment!G$2:G$37,"",0,1),0),$A715-TEXT(DATEVALUE($D715&amp;"-01"), "dd-mm-yyyy")),0),0)</f>
        <v>0</v>
      </c>
      <c r="H715" cm="1">
        <f t="array" ref="H715">IF($Q715&gt;=0,IFERROR(generateSalesData($D715, IF(ISNUMBER(_xlfn.XLOOKUP($C715,Phone_by_Sentiment!$B$2:$B$37,Phone_by_Sentiment!H$2:H$37,"",0,1)),_xlfn.XLOOKUP($C715,Phone_by_Sentiment!$B$2:$B$37,Phone_by_Sentiment!H$2:H$37,"",0,1),0),$A715-TEXT(DATEVALUE($D715&amp;"-01"), "dd-mm-yyyy")),0),0)</f>
        <v>0</v>
      </c>
      <c r="I715" cm="1">
        <f t="array" ref="I715">IF($Q715&gt;=0,IFERROR(generateSalesData($D715, IF(ISNUMBER(_xlfn.XLOOKUP($C715,Phone_by_Sentiment!$B$2:$B$37,Phone_by_Sentiment!I$2:I$37,"",0,1)),_xlfn.XLOOKUP($C715,Phone_by_Sentiment!$B$2:$B$37,Phone_by_Sentiment!I$2:I$37,"",0,1),0),$A715-TEXT(DATEVALUE($D715&amp;"-01"), "dd-mm-yyyy")),0),0)</f>
        <v>0</v>
      </c>
      <c r="J715" cm="1">
        <f t="array" ref="J715">IF($Q715&gt;=0,IFERROR(generateSalesData($D715, IF(ISNUMBER(_xlfn.XLOOKUP($C715,Phone_by_Sentiment!$B$2:$B$37,Phone_by_Sentiment!J$2:J$37,"",0,1)),_xlfn.XLOOKUP($C715,Phone_by_Sentiment!$B$2:$B$37,Phone_by_Sentiment!J$2:J$37,"",0,1),0),$A715-TEXT(DATEVALUE($D715&amp;"-01"), "dd-mm-yyyy")),0),0)</f>
        <v>0</v>
      </c>
      <c r="K715" cm="1">
        <f t="array" ref="K715">IF($Q715&gt;=0,IFERROR(generateSalesData($D715, IF(ISNUMBER(_xlfn.XLOOKUP($C715,Phone_by_Sentiment!$B$2:$B$37,Phone_by_Sentiment!K$2:K$37,"",0,1)),_xlfn.XLOOKUP($C715,Phone_by_Sentiment!$B$2:$B$37,Phone_by_Sentiment!K$2:K$37,"",0,1),0),$A715-TEXT(DATEVALUE($D715&amp;"-01"), "dd-mm-yyyy")),0),0)</f>
        <v>0</v>
      </c>
      <c r="L715" cm="1">
        <f t="array" ref="L715">IF($Q715&gt;=0,IFERROR(generateSalesData($D715, IF(ISNUMBER(_xlfn.XLOOKUP($C715,Phone_by_Sentiment!$B$2:$B$37,Phone_by_Sentiment!L$2:L$37,"",0,1)),_xlfn.XLOOKUP($C715,Phone_by_Sentiment!$B$2:$B$37,Phone_by_Sentiment!L$2:L$37,"",0,1),0),$A715-TEXT(DATEVALUE($D715&amp;"-01"), "dd-mm-yyyy")),0),0)</f>
        <v>0</v>
      </c>
      <c r="M715" cm="1">
        <f t="array" ref="M715">IF($Q715&gt;=0,IFERROR(generateSalesData($D715, IF(ISNUMBER(_xlfn.XLOOKUP($C715,Phone_by_Sentiment!$B$2:$B$37,Phone_by_Sentiment!M$2:M$37,"",0,1)),_xlfn.XLOOKUP($C715,Phone_by_Sentiment!$B$2:$B$37,Phone_by_Sentiment!M$2:M$37,"",0,1),0),$A715-TEXT(DATEVALUE($D715&amp;"-01"), "dd-mm-yyyy")),0),0)</f>
        <v>0</v>
      </c>
      <c r="N715" cm="1">
        <f t="array" ref="N715">IF($Q715&gt;=0,IFERROR(generateSalesData($D715, IF(ISNUMBER(_xlfn.XLOOKUP($C715,Phone_by_Sentiment!$B$2:$B$37,Phone_by_Sentiment!N$2:N$37,"",0,1)),_xlfn.XLOOKUP($C715,Phone_by_Sentiment!$B$2:$B$37,Phone_by_Sentiment!N$2:N$37,"",0,1),0),$A715-TEXT(DATEVALUE($D715&amp;"-01"), "dd-mm-yyyy")),0),0)</f>
        <v>0</v>
      </c>
      <c r="O715" cm="1">
        <f t="array" ref="O715">IF($Q715&gt;=0,IFERROR(generateSalesData($D715, IF(ISNUMBER(_xlfn.XLOOKUP($C715,Phone_by_Sentiment!$B$2:$B$37,Phone_by_Sentiment!O$2:O$37,"",0,1)),_xlfn.XLOOKUP($C715,Phone_by_Sentiment!$B$2:$B$37,Phone_by_Sentiment!O$2:O$37,"",0,1),0),$A715-TEXT(DATEVALUE($D715&amp;"-01"), "dd-mm-yyyy")),0),0)</f>
        <v>0</v>
      </c>
      <c r="P715" s="1">
        <f t="shared" si="30"/>
        <v>44440</v>
      </c>
      <c r="Q715">
        <f t="shared" si="31"/>
        <v>-365</v>
      </c>
    </row>
    <row r="716" spans="1:17" x14ac:dyDescent="0.25">
      <c r="A716" s="1">
        <f t="shared" si="27"/>
        <v>44075</v>
      </c>
      <c r="B716" t="s">
        <v>162</v>
      </c>
      <c r="C716" t="str">
        <f>_xlfn.XLOOKUP(B716,Phone_by_Price!$A$2:$A$34,Phone_by_Price!$B$2:$B$34,"-",0,1)</f>
        <v>Xiaomi Poco X3 NFC</v>
      </c>
      <c r="D716" t="str">
        <f>_xlfn.XLOOKUP(C716,Phone_by_Sentiment!$B$2:$B$37,Phone_by_Sentiment!$A$2:$A$37,"-",0,1)</f>
        <v>2020-08</v>
      </c>
      <c r="E716" cm="1">
        <f t="array" ref="E716">IF($Q716&gt;=0,IFERROR(generateSalesData($D716, IF(ISNUMBER(_xlfn.XLOOKUP($C716,Phone_by_Sentiment!$B$2:$B$37,Phone_by_Sentiment!E$2:E$37,"",0,1)),_xlfn.XLOOKUP($C716,Phone_by_Sentiment!$B$2:$B$37,Phone_by_Sentiment!E$2:E$37,"",0,1),0),$A716-TEXT(DATEVALUE($D716&amp;"-01"), "dd-mm-yyyy")),0),0)</f>
        <v>2092</v>
      </c>
      <c r="F716" cm="1">
        <f t="array" ref="F716">IF($Q716&gt;=0,IFERROR(generateSalesData($D716, IF(ISNUMBER(_xlfn.XLOOKUP($C716,Phone_by_Sentiment!$B$2:$B$37,Phone_by_Sentiment!F$2:F$37,"",0,1)),_xlfn.XLOOKUP($C716,Phone_by_Sentiment!$B$2:$B$37,Phone_by_Sentiment!F$2:F$37,"",0,1),0),$A716-TEXT(DATEVALUE($D716&amp;"-01"), "dd-mm-yyyy")),0),0)</f>
        <v>63</v>
      </c>
      <c r="G716" cm="1">
        <f t="array" ref="G716">IF($Q716&gt;=0,IFERROR(generateSalesData($D716, IF(ISNUMBER(_xlfn.XLOOKUP($C716,Phone_by_Sentiment!$B$2:$B$37,Phone_by_Sentiment!G$2:G$37,"",0,1)),_xlfn.XLOOKUP($C716,Phone_by_Sentiment!$B$2:$B$37,Phone_by_Sentiment!G$2:G$37,"",0,1),0),$A716-TEXT(DATEVALUE($D716&amp;"-01"), "dd-mm-yyyy")),0),0)</f>
        <v>1582</v>
      </c>
      <c r="H716" cm="1">
        <f t="array" ref="H716">IF($Q716&gt;=0,IFERROR(generateSalesData($D716, IF(ISNUMBER(_xlfn.XLOOKUP($C716,Phone_by_Sentiment!$B$2:$B$37,Phone_by_Sentiment!H$2:H$37,"",0,1)),_xlfn.XLOOKUP($C716,Phone_by_Sentiment!$B$2:$B$37,Phone_by_Sentiment!H$2:H$37,"",0,1),0),$A716-TEXT(DATEVALUE($D716&amp;"-01"), "dd-mm-yyyy")),0),0)</f>
        <v>6516</v>
      </c>
      <c r="I716" cm="1">
        <f t="array" ref="I716">IF($Q716&gt;=0,IFERROR(generateSalesData($D716, IF(ISNUMBER(_xlfn.XLOOKUP($C716,Phone_by_Sentiment!$B$2:$B$37,Phone_by_Sentiment!I$2:I$37,"",0,1)),_xlfn.XLOOKUP($C716,Phone_by_Sentiment!$B$2:$B$37,Phone_by_Sentiment!I$2:I$37,"",0,1),0),$A716-TEXT(DATEVALUE($D716&amp;"-01"), "dd-mm-yyyy")),0),0)</f>
        <v>634</v>
      </c>
      <c r="J716" cm="1">
        <f t="array" ref="J716">IF($Q716&gt;=0,IFERROR(generateSalesData($D716, IF(ISNUMBER(_xlfn.XLOOKUP($C716,Phone_by_Sentiment!$B$2:$B$37,Phone_by_Sentiment!J$2:J$37,"",0,1)),_xlfn.XLOOKUP($C716,Phone_by_Sentiment!$B$2:$B$37,Phone_by_Sentiment!J$2:J$37,"",0,1),0),$A716-TEXT(DATEVALUE($D716&amp;"-01"), "dd-mm-yyyy")),0),0)</f>
        <v>2576</v>
      </c>
      <c r="K716" cm="1">
        <f t="array" ref="K716">IF($Q716&gt;=0,IFERROR(generateSalesData($D716, IF(ISNUMBER(_xlfn.XLOOKUP($C716,Phone_by_Sentiment!$B$2:$B$37,Phone_by_Sentiment!K$2:K$37,"",0,1)),_xlfn.XLOOKUP($C716,Phone_by_Sentiment!$B$2:$B$37,Phone_by_Sentiment!K$2:K$37,"",0,1),0),$A716-TEXT(DATEVALUE($D716&amp;"-01"), "dd-mm-yyyy")),0),0)</f>
        <v>10082</v>
      </c>
      <c r="L716" cm="1">
        <f t="array" ref="L716">IF($Q716&gt;=0,IFERROR(generateSalesData($D716, IF(ISNUMBER(_xlfn.XLOOKUP($C716,Phone_by_Sentiment!$B$2:$B$37,Phone_by_Sentiment!L$2:L$37,"",0,1)),_xlfn.XLOOKUP($C716,Phone_by_Sentiment!$B$2:$B$37,Phone_by_Sentiment!L$2:L$37,"",0,1),0),$A716-TEXT(DATEVALUE($D716&amp;"-01"), "dd-mm-yyyy")),0),0)</f>
        <v>2424</v>
      </c>
      <c r="M716" cm="1">
        <f t="array" ref="M716">IF($Q716&gt;=0,IFERROR(generateSalesData($D716, IF(ISNUMBER(_xlfn.XLOOKUP($C716,Phone_by_Sentiment!$B$2:$B$37,Phone_by_Sentiment!M$2:M$37,"",0,1)),_xlfn.XLOOKUP($C716,Phone_by_Sentiment!$B$2:$B$37,Phone_by_Sentiment!M$2:M$37,"",0,1),0),$A716-TEXT(DATEVALUE($D716&amp;"-01"), "dd-mm-yyyy")),0),0)</f>
        <v>1128</v>
      </c>
      <c r="N716" cm="1">
        <f t="array" ref="N716">IF($Q716&gt;=0,IFERROR(generateSalesData($D716, IF(ISNUMBER(_xlfn.XLOOKUP($C716,Phone_by_Sentiment!$B$2:$B$37,Phone_by_Sentiment!N$2:N$37,"",0,1)),_xlfn.XLOOKUP($C716,Phone_by_Sentiment!$B$2:$B$37,Phone_by_Sentiment!N$2:N$37,"",0,1),0),$A716-TEXT(DATEVALUE($D716&amp;"-01"), "dd-mm-yyyy")),0),0)</f>
        <v>139</v>
      </c>
      <c r="O716" cm="1">
        <f t="array" ref="O716">IF($Q716&gt;=0,IFERROR(generateSalesData($D716, IF(ISNUMBER(_xlfn.XLOOKUP($C716,Phone_by_Sentiment!$B$2:$B$37,Phone_by_Sentiment!O$2:O$37,"",0,1)),_xlfn.XLOOKUP($C716,Phone_by_Sentiment!$B$2:$B$37,Phone_by_Sentiment!O$2:O$37,"",0,1),0),$A716-TEXT(DATEVALUE($D716&amp;"-01"), "dd-mm-yyyy")),0),0)</f>
        <v>8446</v>
      </c>
      <c r="P716" s="1">
        <f t="shared" si="30"/>
        <v>44044</v>
      </c>
      <c r="Q716">
        <f t="shared" si="31"/>
        <v>31</v>
      </c>
    </row>
    <row r="717" spans="1:17" x14ac:dyDescent="0.25">
      <c r="A717" s="1">
        <f t="shared" si="27"/>
        <v>44075</v>
      </c>
      <c r="B717" t="s">
        <v>163</v>
      </c>
      <c r="C717" t="str">
        <f>_xlfn.XLOOKUP(B717,Phone_by_Price!$A$2:$A$34,Phone_by_Price!$B$2:$B$34,"-",0,1)</f>
        <v>OPPO A93</v>
      </c>
      <c r="D717" t="str">
        <f>_xlfn.XLOOKUP(C717,Phone_by_Sentiment!$B$2:$B$37,Phone_by_Sentiment!$A$2:$A$37,"-",0,1)</f>
        <v>2021-02</v>
      </c>
      <c r="E717" cm="1">
        <f t="array" ref="E717">IF($Q717&gt;=0,IFERROR(generateSalesData($D717, IF(ISNUMBER(_xlfn.XLOOKUP($C717,Phone_by_Sentiment!$B$2:$B$37,Phone_by_Sentiment!E$2:E$37,"",0,1)),_xlfn.XLOOKUP($C717,Phone_by_Sentiment!$B$2:$B$37,Phone_by_Sentiment!E$2:E$37,"",0,1),0),$A717-TEXT(DATEVALUE($D717&amp;"-01"), "dd-mm-yyyy")),0),0)</f>
        <v>0</v>
      </c>
      <c r="F717" cm="1">
        <f t="array" ref="F717">IF($Q717&gt;=0,IFERROR(generateSalesData($D717, IF(ISNUMBER(_xlfn.XLOOKUP($C717,Phone_by_Sentiment!$B$2:$B$37,Phone_by_Sentiment!F$2:F$37,"",0,1)),_xlfn.XLOOKUP($C717,Phone_by_Sentiment!$B$2:$B$37,Phone_by_Sentiment!F$2:F$37,"",0,1),0),$A717-TEXT(DATEVALUE($D717&amp;"-01"), "dd-mm-yyyy")),0),0)</f>
        <v>0</v>
      </c>
      <c r="G717" cm="1">
        <f t="array" ref="G717">IF($Q717&gt;=0,IFERROR(generateSalesData($D717, IF(ISNUMBER(_xlfn.XLOOKUP($C717,Phone_by_Sentiment!$B$2:$B$37,Phone_by_Sentiment!G$2:G$37,"",0,1)),_xlfn.XLOOKUP($C717,Phone_by_Sentiment!$B$2:$B$37,Phone_by_Sentiment!G$2:G$37,"",0,1),0),$A717-TEXT(DATEVALUE($D717&amp;"-01"), "dd-mm-yyyy")),0),0)</f>
        <v>0</v>
      </c>
      <c r="H717" cm="1">
        <f t="array" ref="H717">IF($Q717&gt;=0,IFERROR(generateSalesData($D717, IF(ISNUMBER(_xlfn.XLOOKUP($C717,Phone_by_Sentiment!$B$2:$B$37,Phone_by_Sentiment!H$2:H$37,"",0,1)),_xlfn.XLOOKUP($C717,Phone_by_Sentiment!$B$2:$B$37,Phone_by_Sentiment!H$2:H$37,"",0,1),0),$A717-TEXT(DATEVALUE($D717&amp;"-01"), "dd-mm-yyyy")),0),0)</f>
        <v>0</v>
      </c>
      <c r="I717" cm="1">
        <f t="array" ref="I717">IF($Q717&gt;=0,IFERROR(generateSalesData($D717, IF(ISNUMBER(_xlfn.XLOOKUP($C717,Phone_by_Sentiment!$B$2:$B$37,Phone_by_Sentiment!I$2:I$37,"",0,1)),_xlfn.XLOOKUP($C717,Phone_by_Sentiment!$B$2:$B$37,Phone_by_Sentiment!I$2:I$37,"",0,1),0),$A717-TEXT(DATEVALUE($D717&amp;"-01"), "dd-mm-yyyy")),0),0)</f>
        <v>0</v>
      </c>
      <c r="J717" cm="1">
        <f t="array" ref="J717">IF($Q717&gt;=0,IFERROR(generateSalesData($D717, IF(ISNUMBER(_xlfn.XLOOKUP($C717,Phone_by_Sentiment!$B$2:$B$37,Phone_by_Sentiment!J$2:J$37,"",0,1)),_xlfn.XLOOKUP($C717,Phone_by_Sentiment!$B$2:$B$37,Phone_by_Sentiment!J$2:J$37,"",0,1),0),$A717-TEXT(DATEVALUE($D717&amp;"-01"), "dd-mm-yyyy")),0),0)</f>
        <v>0</v>
      </c>
      <c r="K717" cm="1">
        <f t="array" ref="K717">IF($Q717&gt;=0,IFERROR(generateSalesData($D717, IF(ISNUMBER(_xlfn.XLOOKUP($C717,Phone_by_Sentiment!$B$2:$B$37,Phone_by_Sentiment!K$2:K$37,"",0,1)),_xlfn.XLOOKUP($C717,Phone_by_Sentiment!$B$2:$B$37,Phone_by_Sentiment!K$2:K$37,"",0,1),0),$A717-TEXT(DATEVALUE($D717&amp;"-01"), "dd-mm-yyyy")),0),0)</f>
        <v>0</v>
      </c>
      <c r="L717" cm="1">
        <f t="array" ref="L717">IF($Q717&gt;=0,IFERROR(generateSalesData($D717, IF(ISNUMBER(_xlfn.XLOOKUP($C717,Phone_by_Sentiment!$B$2:$B$37,Phone_by_Sentiment!L$2:L$37,"",0,1)),_xlfn.XLOOKUP($C717,Phone_by_Sentiment!$B$2:$B$37,Phone_by_Sentiment!L$2:L$37,"",0,1),0),$A717-TEXT(DATEVALUE($D717&amp;"-01"), "dd-mm-yyyy")),0),0)</f>
        <v>0</v>
      </c>
      <c r="M717" cm="1">
        <f t="array" ref="M717">IF($Q717&gt;=0,IFERROR(generateSalesData($D717, IF(ISNUMBER(_xlfn.XLOOKUP($C717,Phone_by_Sentiment!$B$2:$B$37,Phone_by_Sentiment!M$2:M$37,"",0,1)),_xlfn.XLOOKUP($C717,Phone_by_Sentiment!$B$2:$B$37,Phone_by_Sentiment!M$2:M$37,"",0,1),0),$A717-TEXT(DATEVALUE($D717&amp;"-01"), "dd-mm-yyyy")),0),0)</f>
        <v>0</v>
      </c>
      <c r="N717" cm="1">
        <f t="array" ref="N717">IF($Q717&gt;=0,IFERROR(generateSalesData($D717, IF(ISNUMBER(_xlfn.XLOOKUP($C717,Phone_by_Sentiment!$B$2:$B$37,Phone_by_Sentiment!N$2:N$37,"",0,1)),_xlfn.XLOOKUP($C717,Phone_by_Sentiment!$B$2:$B$37,Phone_by_Sentiment!N$2:N$37,"",0,1),0),$A717-TEXT(DATEVALUE($D717&amp;"-01"), "dd-mm-yyyy")),0),0)</f>
        <v>0</v>
      </c>
      <c r="O717" cm="1">
        <f t="array" ref="O717">IF($Q717&gt;=0,IFERROR(generateSalesData($D717, IF(ISNUMBER(_xlfn.XLOOKUP($C717,Phone_by_Sentiment!$B$2:$B$37,Phone_by_Sentiment!O$2:O$37,"",0,1)),_xlfn.XLOOKUP($C717,Phone_by_Sentiment!$B$2:$B$37,Phone_by_Sentiment!O$2:O$37,"",0,1),0),$A717-TEXT(DATEVALUE($D717&amp;"-01"), "dd-mm-yyyy")),0),0)</f>
        <v>0</v>
      </c>
      <c r="P717" s="1">
        <f t="shared" si="30"/>
        <v>44228</v>
      </c>
      <c r="Q717">
        <f t="shared" si="31"/>
        <v>-153</v>
      </c>
    </row>
    <row r="718" spans="1:17" x14ac:dyDescent="0.25">
      <c r="A718" s="1">
        <f t="shared" si="27"/>
        <v>44075</v>
      </c>
      <c r="B718" t="s">
        <v>164</v>
      </c>
      <c r="C718" t="str">
        <f>_xlfn.XLOOKUP(B718,Phone_by_Price!$A$2:$A$34,Phone_by_Price!$B$2:$B$34,"-",0,1)</f>
        <v>Vivo V20</v>
      </c>
      <c r="D718" t="str">
        <f>_xlfn.XLOOKUP(C718,Phone_by_Sentiment!$B$2:$B$37,Phone_by_Sentiment!$A$2:$A$37,"-",0,1)</f>
        <v>2020-10</v>
      </c>
      <c r="E718" cm="1">
        <f t="array" ref="E718">IF($Q718&gt;=0,IFERROR(generateSalesData($D718, IF(ISNUMBER(_xlfn.XLOOKUP($C718,Phone_by_Sentiment!$B$2:$B$37,Phone_by_Sentiment!E$2:E$37,"",0,1)),_xlfn.XLOOKUP($C718,Phone_by_Sentiment!$B$2:$B$37,Phone_by_Sentiment!E$2:E$37,"",0,1),0),$A718-TEXT(DATEVALUE($D718&amp;"-01"), "dd-mm-yyyy")),0),0)</f>
        <v>0</v>
      </c>
      <c r="F718" cm="1">
        <f t="array" ref="F718">IF($Q718&gt;=0,IFERROR(generateSalesData($D718, IF(ISNUMBER(_xlfn.XLOOKUP($C718,Phone_by_Sentiment!$B$2:$B$37,Phone_by_Sentiment!F$2:F$37,"",0,1)),_xlfn.XLOOKUP($C718,Phone_by_Sentiment!$B$2:$B$37,Phone_by_Sentiment!F$2:F$37,"",0,1),0),$A718-TEXT(DATEVALUE($D718&amp;"-01"), "dd-mm-yyyy")),0),0)</f>
        <v>0</v>
      </c>
      <c r="G718" cm="1">
        <f t="array" ref="G718">IF($Q718&gt;=0,IFERROR(generateSalesData($D718, IF(ISNUMBER(_xlfn.XLOOKUP($C718,Phone_by_Sentiment!$B$2:$B$37,Phone_by_Sentiment!G$2:G$37,"",0,1)),_xlfn.XLOOKUP($C718,Phone_by_Sentiment!$B$2:$B$37,Phone_by_Sentiment!G$2:G$37,"",0,1),0),$A718-TEXT(DATEVALUE($D718&amp;"-01"), "dd-mm-yyyy")),0),0)</f>
        <v>0</v>
      </c>
      <c r="H718" cm="1">
        <f t="array" ref="H718">IF($Q718&gt;=0,IFERROR(generateSalesData($D718, IF(ISNUMBER(_xlfn.XLOOKUP($C718,Phone_by_Sentiment!$B$2:$B$37,Phone_by_Sentiment!H$2:H$37,"",0,1)),_xlfn.XLOOKUP($C718,Phone_by_Sentiment!$B$2:$B$37,Phone_by_Sentiment!H$2:H$37,"",0,1),0),$A718-TEXT(DATEVALUE($D718&amp;"-01"), "dd-mm-yyyy")),0),0)</f>
        <v>0</v>
      </c>
      <c r="I718" cm="1">
        <f t="array" ref="I718">IF($Q718&gt;=0,IFERROR(generateSalesData($D718, IF(ISNUMBER(_xlfn.XLOOKUP($C718,Phone_by_Sentiment!$B$2:$B$37,Phone_by_Sentiment!I$2:I$37,"",0,1)),_xlfn.XLOOKUP($C718,Phone_by_Sentiment!$B$2:$B$37,Phone_by_Sentiment!I$2:I$37,"",0,1),0),$A718-TEXT(DATEVALUE($D718&amp;"-01"), "dd-mm-yyyy")),0),0)</f>
        <v>0</v>
      </c>
      <c r="J718" cm="1">
        <f t="array" ref="J718">IF($Q718&gt;=0,IFERROR(generateSalesData($D718, IF(ISNUMBER(_xlfn.XLOOKUP($C718,Phone_by_Sentiment!$B$2:$B$37,Phone_by_Sentiment!J$2:J$37,"",0,1)),_xlfn.XLOOKUP($C718,Phone_by_Sentiment!$B$2:$B$37,Phone_by_Sentiment!J$2:J$37,"",0,1),0),$A718-TEXT(DATEVALUE($D718&amp;"-01"), "dd-mm-yyyy")),0),0)</f>
        <v>0</v>
      </c>
      <c r="K718" cm="1">
        <f t="array" ref="K718">IF($Q718&gt;=0,IFERROR(generateSalesData($D718, IF(ISNUMBER(_xlfn.XLOOKUP($C718,Phone_by_Sentiment!$B$2:$B$37,Phone_by_Sentiment!K$2:K$37,"",0,1)),_xlfn.XLOOKUP($C718,Phone_by_Sentiment!$B$2:$B$37,Phone_by_Sentiment!K$2:K$37,"",0,1),0),$A718-TEXT(DATEVALUE($D718&amp;"-01"), "dd-mm-yyyy")),0),0)</f>
        <v>0</v>
      </c>
      <c r="L718" cm="1">
        <f t="array" ref="L718">IF($Q718&gt;=0,IFERROR(generateSalesData($D718, IF(ISNUMBER(_xlfn.XLOOKUP($C718,Phone_by_Sentiment!$B$2:$B$37,Phone_by_Sentiment!L$2:L$37,"",0,1)),_xlfn.XLOOKUP($C718,Phone_by_Sentiment!$B$2:$B$37,Phone_by_Sentiment!L$2:L$37,"",0,1),0),$A718-TEXT(DATEVALUE($D718&amp;"-01"), "dd-mm-yyyy")),0),0)</f>
        <v>0</v>
      </c>
      <c r="M718" cm="1">
        <f t="array" ref="M718">IF($Q718&gt;=0,IFERROR(generateSalesData($D718, IF(ISNUMBER(_xlfn.XLOOKUP($C718,Phone_by_Sentiment!$B$2:$B$37,Phone_by_Sentiment!M$2:M$37,"",0,1)),_xlfn.XLOOKUP($C718,Phone_by_Sentiment!$B$2:$B$37,Phone_by_Sentiment!M$2:M$37,"",0,1),0),$A718-TEXT(DATEVALUE($D718&amp;"-01"), "dd-mm-yyyy")),0),0)</f>
        <v>0</v>
      </c>
      <c r="N718" cm="1">
        <f t="array" ref="N718">IF($Q718&gt;=0,IFERROR(generateSalesData($D718, IF(ISNUMBER(_xlfn.XLOOKUP($C718,Phone_by_Sentiment!$B$2:$B$37,Phone_by_Sentiment!N$2:N$37,"",0,1)),_xlfn.XLOOKUP($C718,Phone_by_Sentiment!$B$2:$B$37,Phone_by_Sentiment!N$2:N$37,"",0,1),0),$A718-TEXT(DATEVALUE($D718&amp;"-01"), "dd-mm-yyyy")),0),0)</f>
        <v>0</v>
      </c>
      <c r="O718" cm="1">
        <f t="array" ref="O718">IF($Q718&gt;=0,IFERROR(generateSalesData($D718, IF(ISNUMBER(_xlfn.XLOOKUP($C718,Phone_by_Sentiment!$B$2:$B$37,Phone_by_Sentiment!O$2:O$37,"",0,1)),_xlfn.XLOOKUP($C718,Phone_by_Sentiment!$B$2:$B$37,Phone_by_Sentiment!O$2:O$37,"",0,1),0),$A718-TEXT(DATEVALUE($D718&amp;"-01"), "dd-mm-yyyy")),0),0)</f>
        <v>0</v>
      </c>
      <c r="P718" s="1">
        <f t="shared" si="30"/>
        <v>44105</v>
      </c>
      <c r="Q718">
        <f t="shared" si="31"/>
        <v>-30</v>
      </c>
    </row>
    <row r="719" spans="1:17" x14ac:dyDescent="0.25">
      <c r="A719" s="1">
        <f t="shared" si="27"/>
        <v>44075</v>
      </c>
      <c r="B719" t="s">
        <v>165</v>
      </c>
      <c r="C719" t="str">
        <f>_xlfn.XLOOKUP(B719,Phone_by_Price!$A$2:$A$34,Phone_by_Price!$B$2:$B$34,"-",0,1)</f>
        <v>Samsung Galaxy A50</v>
      </c>
      <c r="D719" t="str">
        <f>_xlfn.XLOOKUP(C719,Phone_by_Sentiment!$B$2:$B$37,Phone_by_Sentiment!$A$2:$A$37,"-",0,1)</f>
        <v>2019-05</v>
      </c>
      <c r="E719" cm="1">
        <f t="array" ref="E719">IF($Q719&gt;=0,IFERROR(generateSalesData($D719, IF(ISNUMBER(_xlfn.XLOOKUP($C719,Phone_by_Sentiment!$B$2:$B$37,Phone_by_Sentiment!E$2:E$37,"",0,1)),_xlfn.XLOOKUP($C719,Phone_by_Sentiment!$B$2:$B$37,Phone_by_Sentiment!E$2:E$37,"",0,1),0),$A719-TEXT(DATEVALUE($D719&amp;"-01"), "dd-mm-yyyy")),0),0)</f>
        <v>233</v>
      </c>
      <c r="F719" cm="1">
        <f t="array" ref="F719">IF($Q719&gt;=0,IFERROR(generateSalesData($D719, IF(ISNUMBER(_xlfn.XLOOKUP($C719,Phone_by_Sentiment!$B$2:$B$37,Phone_by_Sentiment!F$2:F$37,"",0,1)),_xlfn.XLOOKUP($C719,Phone_by_Sentiment!$B$2:$B$37,Phone_by_Sentiment!F$2:F$37,"",0,1),0),$A719-TEXT(DATEVALUE($D719&amp;"-01"), "dd-mm-yyyy")),0),0)</f>
        <v>196</v>
      </c>
      <c r="G719" cm="1">
        <f t="array" ref="G719">IF($Q719&gt;=0,IFERROR(generateSalesData($D719, IF(ISNUMBER(_xlfn.XLOOKUP($C719,Phone_by_Sentiment!$B$2:$B$37,Phone_by_Sentiment!G$2:G$37,"",0,1)),_xlfn.XLOOKUP($C719,Phone_by_Sentiment!$B$2:$B$37,Phone_by_Sentiment!G$2:G$37,"",0,1),0),$A719-TEXT(DATEVALUE($D719&amp;"-01"), "dd-mm-yyyy")),0),0)</f>
        <v>187</v>
      </c>
      <c r="H719" cm="1">
        <f t="array" ref="H719">IF($Q719&gt;=0,IFERROR(generateSalesData($D719, IF(ISNUMBER(_xlfn.XLOOKUP($C719,Phone_by_Sentiment!$B$2:$B$37,Phone_by_Sentiment!H$2:H$37,"",0,1)),_xlfn.XLOOKUP($C719,Phone_by_Sentiment!$B$2:$B$37,Phone_by_Sentiment!H$2:H$37,"",0,1),0),$A719-TEXT(DATEVALUE($D719&amp;"-01"), "dd-mm-yyyy")),0),0)</f>
        <v>713</v>
      </c>
      <c r="I719" cm="1">
        <f t="array" ref="I719">IF($Q719&gt;=0,IFERROR(generateSalesData($D719, IF(ISNUMBER(_xlfn.XLOOKUP($C719,Phone_by_Sentiment!$B$2:$B$37,Phone_by_Sentiment!I$2:I$37,"",0,1)),_xlfn.XLOOKUP($C719,Phone_by_Sentiment!$B$2:$B$37,Phone_by_Sentiment!I$2:I$37,"",0,1),0),$A719-TEXT(DATEVALUE($D719&amp;"-01"), "dd-mm-yyyy")),0),0)</f>
        <v>121</v>
      </c>
      <c r="J719" cm="1">
        <f t="array" ref="J719">IF($Q719&gt;=0,IFERROR(generateSalesData($D719, IF(ISNUMBER(_xlfn.XLOOKUP($C719,Phone_by_Sentiment!$B$2:$B$37,Phone_by_Sentiment!J$2:J$37,"",0,1)),_xlfn.XLOOKUP($C719,Phone_by_Sentiment!$B$2:$B$37,Phone_by_Sentiment!J$2:J$37,"",0,1),0),$A719-TEXT(DATEVALUE($D719&amp;"-01"), "dd-mm-yyyy")),0),0)</f>
        <v>102</v>
      </c>
      <c r="K719" cm="1">
        <f t="array" ref="K719">IF($Q719&gt;=0,IFERROR(generateSalesData($D719, IF(ISNUMBER(_xlfn.XLOOKUP($C719,Phone_by_Sentiment!$B$2:$B$37,Phone_by_Sentiment!K$2:K$37,"",0,1)),_xlfn.XLOOKUP($C719,Phone_by_Sentiment!$B$2:$B$37,Phone_by_Sentiment!K$2:K$37,"",0,1),0),$A719-TEXT(DATEVALUE($D719&amp;"-01"), "dd-mm-yyyy")),0),0)</f>
        <v>84</v>
      </c>
      <c r="L719" cm="1">
        <f t="array" ref="L719">IF($Q719&gt;=0,IFERROR(generateSalesData($D719, IF(ISNUMBER(_xlfn.XLOOKUP($C719,Phone_by_Sentiment!$B$2:$B$37,Phone_by_Sentiment!L$2:L$37,"",0,1)),_xlfn.XLOOKUP($C719,Phone_by_Sentiment!$B$2:$B$37,Phone_by_Sentiment!L$2:L$37,"",0,1),0),$A719-TEXT(DATEVALUE($D719&amp;"-01"), "dd-mm-yyyy")),0),0)</f>
        <v>478</v>
      </c>
      <c r="M719" cm="1">
        <f t="array" ref="M719">IF($Q719&gt;=0,IFERROR(generateSalesData($D719, IF(ISNUMBER(_xlfn.XLOOKUP($C719,Phone_by_Sentiment!$B$2:$B$37,Phone_by_Sentiment!M$2:M$37,"",0,1)),_xlfn.XLOOKUP($C719,Phone_by_Sentiment!$B$2:$B$37,Phone_by_Sentiment!M$2:M$37,"",0,1),0),$A719-TEXT(DATEVALUE($D719&amp;"-01"), "dd-mm-yyyy")),0),0)</f>
        <v>134</v>
      </c>
      <c r="N719" cm="1">
        <f t="array" ref="N719">IF($Q719&gt;=0,IFERROR(generateSalesData($D719, IF(ISNUMBER(_xlfn.XLOOKUP($C719,Phone_by_Sentiment!$B$2:$B$37,Phone_by_Sentiment!N$2:N$37,"",0,1)),_xlfn.XLOOKUP($C719,Phone_by_Sentiment!$B$2:$B$37,Phone_by_Sentiment!N$2:N$37,"",0,1),0),$A719-TEXT(DATEVALUE($D719&amp;"-01"), "dd-mm-yyyy")),0),0)</f>
        <v>608</v>
      </c>
      <c r="O719" cm="1">
        <f t="array" ref="O719">IF($Q719&gt;=0,IFERROR(generateSalesData($D719, IF(ISNUMBER(_xlfn.XLOOKUP($C719,Phone_by_Sentiment!$B$2:$B$37,Phone_by_Sentiment!O$2:O$37,"",0,1)),_xlfn.XLOOKUP($C719,Phone_by_Sentiment!$B$2:$B$37,Phone_by_Sentiment!O$2:O$37,"",0,1),0),$A719-TEXT(DATEVALUE($D719&amp;"-01"), "dd-mm-yyyy")),0),0)</f>
        <v>299</v>
      </c>
      <c r="P719" s="1">
        <f t="shared" si="30"/>
        <v>43586</v>
      </c>
      <c r="Q719">
        <f t="shared" si="31"/>
        <v>489</v>
      </c>
    </row>
    <row r="720" spans="1:17" x14ac:dyDescent="0.25">
      <c r="A720" s="1">
        <f t="shared" si="27"/>
        <v>44075</v>
      </c>
      <c r="B720" t="s">
        <v>166</v>
      </c>
      <c r="C720" t="str">
        <f>_xlfn.XLOOKUP(B720,Phone_by_Price!$A$2:$A$34,Phone_by_Price!$B$2:$B$34,"-",0,1)</f>
        <v>Xiaomi Redmi Note 7</v>
      </c>
      <c r="D720" t="str">
        <f>_xlfn.XLOOKUP(C720,Phone_by_Sentiment!$B$2:$B$37,Phone_by_Sentiment!$A$2:$A$37,"-",0,1)</f>
        <v>2019-08</v>
      </c>
      <c r="E720" cm="1">
        <f t="array" ref="E720">IF($Q720&gt;=0,IFERROR(generateSalesData($D720, IF(ISNUMBER(_xlfn.XLOOKUP($C720,Phone_by_Sentiment!$B$2:$B$37,Phone_by_Sentiment!E$2:E$37,"",0,1)),_xlfn.XLOOKUP($C720,Phone_by_Sentiment!$B$2:$B$37,Phone_by_Sentiment!E$2:E$37,"",0,1),0),$A720-TEXT(DATEVALUE($D720&amp;"-01"), "dd-mm-yyyy")),0),0)</f>
        <v>165</v>
      </c>
      <c r="F720" cm="1">
        <f t="array" ref="F720">IF($Q720&gt;=0,IFERROR(generateSalesData($D720, IF(ISNUMBER(_xlfn.XLOOKUP($C720,Phone_by_Sentiment!$B$2:$B$37,Phone_by_Sentiment!F$2:F$37,"",0,1)),_xlfn.XLOOKUP($C720,Phone_by_Sentiment!$B$2:$B$37,Phone_by_Sentiment!F$2:F$37,"",0,1),0),$A720-TEXT(DATEVALUE($D720&amp;"-01"), "dd-mm-yyyy")),0),0)</f>
        <v>155</v>
      </c>
      <c r="G720" cm="1">
        <f t="array" ref="G720">IF($Q720&gt;=0,IFERROR(generateSalesData($D720, IF(ISNUMBER(_xlfn.XLOOKUP($C720,Phone_by_Sentiment!$B$2:$B$37,Phone_by_Sentiment!G$2:G$37,"",0,1)),_xlfn.XLOOKUP($C720,Phone_by_Sentiment!$B$2:$B$37,Phone_by_Sentiment!G$2:G$37,"",0,1),0),$A720-TEXT(DATEVALUE($D720&amp;"-01"), "dd-mm-yyyy")),0),0)</f>
        <v>184</v>
      </c>
      <c r="H720" cm="1">
        <f t="array" ref="H720">IF($Q720&gt;=0,IFERROR(generateSalesData($D720, IF(ISNUMBER(_xlfn.XLOOKUP($C720,Phone_by_Sentiment!$B$2:$B$37,Phone_by_Sentiment!H$2:H$37,"",0,1)),_xlfn.XLOOKUP($C720,Phone_by_Sentiment!$B$2:$B$37,Phone_by_Sentiment!H$2:H$37,"",0,1),0),$A720-TEXT(DATEVALUE($D720&amp;"-01"), "dd-mm-yyyy")),0),0)</f>
        <v>815</v>
      </c>
      <c r="I720" cm="1">
        <f t="array" ref="I720">IF($Q720&gt;=0,IFERROR(generateSalesData($D720, IF(ISNUMBER(_xlfn.XLOOKUP($C720,Phone_by_Sentiment!$B$2:$B$37,Phone_by_Sentiment!I$2:I$37,"",0,1)),_xlfn.XLOOKUP($C720,Phone_by_Sentiment!$B$2:$B$37,Phone_by_Sentiment!I$2:I$37,"",0,1),0),$A720-TEXT(DATEVALUE($D720&amp;"-01"), "dd-mm-yyyy")),0),0)</f>
        <v>-65</v>
      </c>
      <c r="J720" cm="1">
        <f t="array" ref="J720">IF($Q720&gt;=0,IFERROR(generateSalesData($D720, IF(ISNUMBER(_xlfn.XLOOKUP($C720,Phone_by_Sentiment!$B$2:$B$37,Phone_by_Sentiment!J$2:J$37,"",0,1)),_xlfn.XLOOKUP($C720,Phone_by_Sentiment!$B$2:$B$37,Phone_by_Sentiment!J$2:J$37,"",0,1),0),$A720-TEXT(DATEVALUE($D720&amp;"-01"), "dd-mm-yyyy")),0),0)</f>
        <v>36</v>
      </c>
      <c r="K720" cm="1">
        <f t="array" ref="K720">IF($Q720&gt;=0,IFERROR(generateSalesData($D720, IF(ISNUMBER(_xlfn.XLOOKUP($C720,Phone_by_Sentiment!$B$2:$B$37,Phone_by_Sentiment!K$2:K$37,"",0,1)),_xlfn.XLOOKUP($C720,Phone_by_Sentiment!$B$2:$B$37,Phone_by_Sentiment!K$2:K$37,"",0,1),0),$A720-TEXT(DATEVALUE($D720&amp;"-01"), "dd-mm-yyyy")),0),0)</f>
        <v>585</v>
      </c>
      <c r="L720" cm="1">
        <f t="array" ref="L720">IF($Q720&gt;=0,IFERROR(generateSalesData($D720, IF(ISNUMBER(_xlfn.XLOOKUP($C720,Phone_by_Sentiment!$B$2:$B$37,Phone_by_Sentiment!L$2:L$37,"",0,1)),_xlfn.XLOOKUP($C720,Phone_by_Sentiment!$B$2:$B$37,Phone_by_Sentiment!L$2:L$37,"",0,1),0),$A720-TEXT(DATEVALUE($D720&amp;"-01"), "dd-mm-yyyy")),0),0)</f>
        <v>115</v>
      </c>
      <c r="M720" cm="1">
        <f t="array" ref="M720">IF($Q720&gt;=0,IFERROR(generateSalesData($D720, IF(ISNUMBER(_xlfn.XLOOKUP($C720,Phone_by_Sentiment!$B$2:$B$37,Phone_by_Sentiment!M$2:M$37,"",0,1)),_xlfn.XLOOKUP($C720,Phone_by_Sentiment!$B$2:$B$37,Phone_by_Sentiment!M$2:M$37,"",0,1),0),$A720-TEXT(DATEVALUE($D720&amp;"-01"), "dd-mm-yyyy")),0),0)</f>
        <v>374</v>
      </c>
      <c r="N720" cm="1">
        <f t="array" ref="N720">IF($Q720&gt;=0,IFERROR(generateSalesData($D720, IF(ISNUMBER(_xlfn.XLOOKUP($C720,Phone_by_Sentiment!$B$2:$B$37,Phone_by_Sentiment!N$2:N$37,"",0,1)),_xlfn.XLOOKUP($C720,Phone_by_Sentiment!$B$2:$B$37,Phone_by_Sentiment!N$2:N$37,"",0,1),0),$A720-TEXT(DATEVALUE($D720&amp;"-01"), "dd-mm-yyyy")),0),0)</f>
        <v>112</v>
      </c>
      <c r="O720" cm="1">
        <f t="array" ref="O720">IF($Q720&gt;=0,IFERROR(generateSalesData($D720, IF(ISNUMBER(_xlfn.XLOOKUP($C720,Phone_by_Sentiment!$B$2:$B$37,Phone_by_Sentiment!O$2:O$37,"",0,1)),_xlfn.XLOOKUP($C720,Phone_by_Sentiment!$B$2:$B$37,Phone_by_Sentiment!O$2:O$37,"",0,1),0),$A720-TEXT(DATEVALUE($D720&amp;"-01"), "dd-mm-yyyy")),0),0)</f>
        <v>466</v>
      </c>
      <c r="P720" s="1">
        <f t="shared" si="30"/>
        <v>43678</v>
      </c>
      <c r="Q720">
        <f t="shared" si="31"/>
        <v>397</v>
      </c>
    </row>
    <row r="721" spans="1:17" x14ac:dyDescent="0.25">
      <c r="A721" s="1">
        <f t="shared" si="27"/>
        <v>44075</v>
      </c>
      <c r="B721" t="s">
        <v>167</v>
      </c>
      <c r="C721" t="str">
        <f>_xlfn.XLOOKUP(B721,Phone_by_Price!$A$2:$A$34,Phone_by_Price!$B$2:$B$34,"-",0,1)</f>
        <v>Realme C21</v>
      </c>
      <c r="D721" t="str">
        <f>_xlfn.XLOOKUP(C721,Phone_by_Sentiment!$B$2:$B$37,Phone_by_Sentiment!$A$2:$A$37,"-",0,1)</f>
        <v>2021-04</v>
      </c>
      <c r="E721" cm="1">
        <f t="array" ref="E721">IF($Q721&gt;=0,IFERROR(generateSalesData($D721, IF(ISNUMBER(_xlfn.XLOOKUP($C721,Phone_by_Sentiment!$B$2:$B$37,Phone_by_Sentiment!E$2:E$37,"",0,1)),_xlfn.XLOOKUP($C721,Phone_by_Sentiment!$B$2:$B$37,Phone_by_Sentiment!E$2:E$37,"",0,1),0),$A721-TEXT(DATEVALUE($D721&amp;"-01"), "dd-mm-yyyy")),0),0)</f>
        <v>0</v>
      </c>
      <c r="F721" cm="1">
        <f t="array" ref="F721">IF($Q721&gt;=0,IFERROR(generateSalesData($D721, IF(ISNUMBER(_xlfn.XLOOKUP($C721,Phone_by_Sentiment!$B$2:$B$37,Phone_by_Sentiment!F$2:F$37,"",0,1)),_xlfn.XLOOKUP($C721,Phone_by_Sentiment!$B$2:$B$37,Phone_by_Sentiment!F$2:F$37,"",0,1),0),$A721-TEXT(DATEVALUE($D721&amp;"-01"), "dd-mm-yyyy")),0),0)</f>
        <v>0</v>
      </c>
      <c r="G721" cm="1">
        <f t="array" ref="G721">IF($Q721&gt;=0,IFERROR(generateSalesData($D721, IF(ISNUMBER(_xlfn.XLOOKUP($C721,Phone_by_Sentiment!$B$2:$B$37,Phone_by_Sentiment!G$2:G$37,"",0,1)),_xlfn.XLOOKUP($C721,Phone_by_Sentiment!$B$2:$B$37,Phone_by_Sentiment!G$2:G$37,"",0,1),0),$A721-TEXT(DATEVALUE($D721&amp;"-01"), "dd-mm-yyyy")),0),0)</f>
        <v>0</v>
      </c>
      <c r="H721" cm="1">
        <f t="array" ref="H721">IF($Q721&gt;=0,IFERROR(generateSalesData($D721, IF(ISNUMBER(_xlfn.XLOOKUP($C721,Phone_by_Sentiment!$B$2:$B$37,Phone_by_Sentiment!H$2:H$37,"",0,1)),_xlfn.XLOOKUP($C721,Phone_by_Sentiment!$B$2:$B$37,Phone_by_Sentiment!H$2:H$37,"",0,1),0),$A721-TEXT(DATEVALUE($D721&amp;"-01"), "dd-mm-yyyy")),0),0)</f>
        <v>0</v>
      </c>
      <c r="I721" cm="1">
        <f t="array" ref="I721">IF($Q721&gt;=0,IFERROR(generateSalesData($D721, IF(ISNUMBER(_xlfn.XLOOKUP($C721,Phone_by_Sentiment!$B$2:$B$37,Phone_by_Sentiment!I$2:I$37,"",0,1)),_xlfn.XLOOKUP($C721,Phone_by_Sentiment!$B$2:$B$37,Phone_by_Sentiment!I$2:I$37,"",0,1),0),$A721-TEXT(DATEVALUE($D721&amp;"-01"), "dd-mm-yyyy")),0),0)</f>
        <v>0</v>
      </c>
      <c r="J721" cm="1">
        <f t="array" ref="J721">IF($Q721&gt;=0,IFERROR(generateSalesData($D721, IF(ISNUMBER(_xlfn.XLOOKUP($C721,Phone_by_Sentiment!$B$2:$B$37,Phone_by_Sentiment!J$2:J$37,"",0,1)),_xlfn.XLOOKUP($C721,Phone_by_Sentiment!$B$2:$B$37,Phone_by_Sentiment!J$2:J$37,"",0,1),0),$A721-TEXT(DATEVALUE($D721&amp;"-01"), "dd-mm-yyyy")),0),0)</f>
        <v>0</v>
      </c>
      <c r="K721" cm="1">
        <f t="array" ref="K721">IF($Q721&gt;=0,IFERROR(generateSalesData($D721, IF(ISNUMBER(_xlfn.XLOOKUP($C721,Phone_by_Sentiment!$B$2:$B$37,Phone_by_Sentiment!K$2:K$37,"",0,1)),_xlfn.XLOOKUP($C721,Phone_by_Sentiment!$B$2:$B$37,Phone_by_Sentiment!K$2:K$37,"",0,1),0),$A721-TEXT(DATEVALUE($D721&amp;"-01"), "dd-mm-yyyy")),0),0)</f>
        <v>0</v>
      </c>
      <c r="L721" cm="1">
        <f t="array" ref="L721">IF($Q721&gt;=0,IFERROR(generateSalesData($D721, IF(ISNUMBER(_xlfn.XLOOKUP($C721,Phone_by_Sentiment!$B$2:$B$37,Phone_by_Sentiment!L$2:L$37,"",0,1)),_xlfn.XLOOKUP($C721,Phone_by_Sentiment!$B$2:$B$37,Phone_by_Sentiment!L$2:L$37,"",0,1),0),$A721-TEXT(DATEVALUE($D721&amp;"-01"), "dd-mm-yyyy")),0),0)</f>
        <v>0</v>
      </c>
      <c r="M721" cm="1">
        <f t="array" ref="M721">IF($Q721&gt;=0,IFERROR(generateSalesData($D721, IF(ISNUMBER(_xlfn.XLOOKUP($C721,Phone_by_Sentiment!$B$2:$B$37,Phone_by_Sentiment!M$2:M$37,"",0,1)),_xlfn.XLOOKUP($C721,Phone_by_Sentiment!$B$2:$B$37,Phone_by_Sentiment!M$2:M$37,"",0,1),0),$A721-TEXT(DATEVALUE($D721&amp;"-01"), "dd-mm-yyyy")),0),0)</f>
        <v>0</v>
      </c>
      <c r="N721" cm="1">
        <f t="array" ref="N721">IF($Q721&gt;=0,IFERROR(generateSalesData($D721, IF(ISNUMBER(_xlfn.XLOOKUP($C721,Phone_by_Sentiment!$B$2:$B$37,Phone_by_Sentiment!N$2:N$37,"",0,1)),_xlfn.XLOOKUP($C721,Phone_by_Sentiment!$B$2:$B$37,Phone_by_Sentiment!N$2:N$37,"",0,1),0),$A721-TEXT(DATEVALUE($D721&amp;"-01"), "dd-mm-yyyy")),0),0)</f>
        <v>0</v>
      </c>
      <c r="O721" cm="1">
        <f t="array" ref="O721">IF($Q721&gt;=0,IFERROR(generateSalesData($D721, IF(ISNUMBER(_xlfn.XLOOKUP($C721,Phone_by_Sentiment!$B$2:$B$37,Phone_by_Sentiment!O$2:O$37,"",0,1)),_xlfn.XLOOKUP($C721,Phone_by_Sentiment!$B$2:$B$37,Phone_by_Sentiment!O$2:O$37,"",0,1),0),$A721-TEXT(DATEVALUE($D721&amp;"-01"), "dd-mm-yyyy")),0),0)</f>
        <v>0</v>
      </c>
      <c r="P721" s="1">
        <f t="shared" si="30"/>
        <v>44287</v>
      </c>
      <c r="Q721">
        <f t="shared" si="31"/>
        <v>-212</v>
      </c>
    </row>
    <row r="722" spans="1:17" x14ac:dyDescent="0.25">
      <c r="A722" s="1">
        <f t="shared" si="27"/>
        <v>44075</v>
      </c>
      <c r="B722" t="s">
        <v>168</v>
      </c>
      <c r="C722" t="str">
        <f>_xlfn.XLOOKUP(B722,Phone_by_Price!$A$2:$A$34,Phone_by_Price!$B$2:$B$34,"-",0,1)</f>
        <v>Google Pixel 4</v>
      </c>
      <c r="D722" t="str">
        <f>_xlfn.XLOOKUP(C722,Phone_by_Sentiment!$B$2:$B$37,Phone_by_Sentiment!$A$2:$A$37,"-",0,1)</f>
        <v>2019-09</v>
      </c>
      <c r="E722" cm="1">
        <f t="array" ref="E722">IF($Q722&gt;=0,IFERROR(generateSalesData($D722, IF(ISNUMBER(_xlfn.XLOOKUP($C722,Phone_by_Sentiment!$B$2:$B$37,Phone_by_Sentiment!E$2:E$37,"",0,1)),_xlfn.XLOOKUP($C722,Phone_by_Sentiment!$B$2:$B$37,Phone_by_Sentiment!E$2:E$37,"",0,1),0),$A722-TEXT(DATEVALUE($D722&amp;"-01"), "dd-mm-yyyy")),0),0)</f>
        <v>929</v>
      </c>
      <c r="F722" cm="1">
        <f t="array" ref="F722">IF($Q722&gt;=0,IFERROR(generateSalesData($D722, IF(ISNUMBER(_xlfn.XLOOKUP($C722,Phone_by_Sentiment!$B$2:$B$37,Phone_by_Sentiment!F$2:F$37,"",0,1)),_xlfn.XLOOKUP($C722,Phone_by_Sentiment!$B$2:$B$37,Phone_by_Sentiment!F$2:F$37,"",0,1),0),$A722-TEXT(DATEVALUE($D722&amp;"-01"), "dd-mm-yyyy")),0),0)</f>
        <v>229</v>
      </c>
      <c r="G722" cm="1">
        <f t="array" ref="G722">IF($Q722&gt;=0,IFERROR(generateSalesData($D722, IF(ISNUMBER(_xlfn.XLOOKUP($C722,Phone_by_Sentiment!$B$2:$B$37,Phone_by_Sentiment!G$2:G$37,"",0,1)),_xlfn.XLOOKUP($C722,Phone_by_Sentiment!$B$2:$B$37,Phone_by_Sentiment!G$2:G$37,"",0,1),0),$A722-TEXT(DATEVALUE($D722&amp;"-01"), "dd-mm-yyyy")),0),0)</f>
        <v>186</v>
      </c>
      <c r="H722" cm="1">
        <f t="array" ref="H722">IF($Q722&gt;=0,IFERROR(generateSalesData($D722, IF(ISNUMBER(_xlfn.XLOOKUP($C722,Phone_by_Sentiment!$B$2:$B$37,Phone_by_Sentiment!H$2:H$37,"",0,1)),_xlfn.XLOOKUP($C722,Phone_by_Sentiment!$B$2:$B$37,Phone_by_Sentiment!H$2:H$37,"",0,1),0),$A722-TEXT(DATEVALUE($D722&amp;"-01"), "dd-mm-yyyy")),0),0)</f>
        <v>136</v>
      </c>
      <c r="I722" cm="1">
        <f t="array" ref="I722">IF($Q722&gt;=0,IFERROR(generateSalesData($D722, IF(ISNUMBER(_xlfn.XLOOKUP($C722,Phone_by_Sentiment!$B$2:$B$37,Phone_by_Sentiment!I$2:I$37,"",0,1)),_xlfn.XLOOKUP($C722,Phone_by_Sentiment!$B$2:$B$37,Phone_by_Sentiment!I$2:I$37,"",0,1),0),$A722-TEXT(DATEVALUE($D722&amp;"-01"), "dd-mm-yyyy")),0),0)</f>
        <v>236</v>
      </c>
      <c r="J722" cm="1">
        <f t="array" ref="J722">IF($Q722&gt;=0,IFERROR(generateSalesData($D722, IF(ISNUMBER(_xlfn.XLOOKUP($C722,Phone_by_Sentiment!$B$2:$B$37,Phone_by_Sentiment!J$2:J$37,"",0,1)),_xlfn.XLOOKUP($C722,Phone_by_Sentiment!$B$2:$B$37,Phone_by_Sentiment!J$2:J$37,"",0,1),0),$A722-TEXT(DATEVALUE($D722&amp;"-01"), "dd-mm-yyyy")),0),0)</f>
        <v>156</v>
      </c>
      <c r="K722" cm="1">
        <f t="array" ref="K722">IF($Q722&gt;=0,IFERROR(generateSalesData($D722, IF(ISNUMBER(_xlfn.XLOOKUP($C722,Phone_by_Sentiment!$B$2:$B$37,Phone_by_Sentiment!K$2:K$37,"",0,1)),_xlfn.XLOOKUP($C722,Phone_by_Sentiment!$B$2:$B$37,Phone_by_Sentiment!K$2:K$37,"",0,1),0),$A722-TEXT(DATEVALUE($D722&amp;"-01"), "dd-mm-yyyy")),0),0)</f>
        <v>189</v>
      </c>
      <c r="L722" cm="1">
        <f t="array" ref="L722">IF($Q722&gt;=0,IFERROR(generateSalesData($D722, IF(ISNUMBER(_xlfn.XLOOKUP($C722,Phone_by_Sentiment!$B$2:$B$37,Phone_by_Sentiment!L$2:L$37,"",0,1)),_xlfn.XLOOKUP($C722,Phone_by_Sentiment!$B$2:$B$37,Phone_by_Sentiment!L$2:L$37,"",0,1),0),$A722-TEXT(DATEVALUE($D722&amp;"-01"), "dd-mm-yyyy")),0),0)</f>
        <v>680</v>
      </c>
      <c r="M722" cm="1">
        <f t="array" ref="M722">IF($Q722&gt;=0,IFERROR(generateSalesData($D722, IF(ISNUMBER(_xlfn.XLOOKUP($C722,Phone_by_Sentiment!$B$2:$B$37,Phone_by_Sentiment!M$2:M$37,"",0,1)),_xlfn.XLOOKUP($C722,Phone_by_Sentiment!$B$2:$B$37,Phone_by_Sentiment!M$2:M$37,"",0,1),0),$A722-TEXT(DATEVALUE($D722&amp;"-01"), "dd-mm-yyyy")),0),0)</f>
        <v>228</v>
      </c>
      <c r="N722" cm="1">
        <f t="array" ref="N722">IF($Q722&gt;=0,IFERROR(generateSalesData($D722, IF(ISNUMBER(_xlfn.XLOOKUP($C722,Phone_by_Sentiment!$B$2:$B$37,Phone_by_Sentiment!N$2:N$37,"",0,1)),_xlfn.XLOOKUP($C722,Phone_by_Sentiment!$B$2:$B$37,Phone_by_Sentiment!N$2:N$37,"",0,1),0),$A722-TEXT(DATEVALUE($D722&amp;"-01"), "dd-mm-yyyy")),0),0)</f>
        <v>616</v>
      </c>
      <c r="O722" cm="1">
        <f t="array" ref="O722">IF($Q722&gt;=0,IFERROR(generateSalesData($D722, IF(ISNUMBER(_xlfn.XLOOKUP($C722,Phone_by_Sentiment!$B$2:$B$37,Phone_by_Sentiment!O$2:O$37,"",0,1)),_xlfn.XLOOKUP($C722,Phone_by_Sentiment!$B$2:$B$37,Phone_by_Sentiment!O$2:O$37,"",0,1),0),$A722-TEXT(DATEVALUE($D722&amp;"-01"), "dd-mm-yyyy")),0),0)</f>
        <v>75</v>
      </c>
      <c r="P722" s="1">
        <f t="shared" si="30"/>
        <v>43709</v>
      </c>
      <c r="Q722">
        <f t="shared" si="31"/>
        <v>366</v>
      </c>
    </row>
    <row r="723" spans="1:17" x14ac:dyDescent="0.25">
      <c r="A723" s="1">
        <f t="shared" si="27"/>
        <v>44075</v>
      </c>
      <c r="B723" t="s">
        <v>169</v>
      </c>
      <c r="C723" t="str">
        <f>_xlfn.XLOOKUP(B723,Phone_by_Price!$A$2:$A$34,Phone_by_Price!$B$2:$B$34,"-",0,1)</f>
        <v>Samsung Galaxy A10s</v>
      </c>
      <c r="D723" t="str">
        <f>_xlfn.XLOOKUP(C723,Phone_by_Sentiment!$B$2:$B$37,Phone_by_Sentiment!$A$2:$A$37,"-",0,1)</f>
        <v>2019-08</v>
      </c>
      <c r="E723" cm="1">
        <f t="array" ref="E723">IF($Q723&gt;=0,IFERROR(generateSalesData($D723, IF(ISNUMBER(_xlfn.XLOOKUP($C723,Phone_by_Sentiment!$B$2:$B$37,Phone_by_Sentiment!E$2:E$37,"",0,1)),_xlfn.XLOOKUP($C723,Phone_by_Sentiment!$B$2:$B$37,Phone_by_Sentiment!E$2:E$37,"",0,1),0),$A723-TEXT(DATEVALUE($D723&amp;"-01"), "dd-mm-yyyy")),0),0)</f>
        <v>127</v>
      </c>
      <c r="F723" cm="1">
        <f t="array" ref="F723">IF($Q723&gt;=0,IFERROR(generateSalesData($D723, IF(ISNUMBER(_xlfn.XLOOKUP($C723,Phone_by_Sentiment!$B$2:$B$37,Phone_by_Sentiment!F$2:F$37,"",0,1)),_xlfn.XLOOKUP($C723,Phone_by_Sentiment!$B$2:$B$37,Phone_by_Sentiment!F$2:F$37,"",0,1),0),$A723-TEXT(DATEVALUE($D723&amp;"-01"), "dd-mm-yyyy")),0),0)</f>
        <v>277</v>
      </c>
      <c r="G723" cm="1">
        <f t="array" ref="G723">IF($Q723&gt;=0,IFERROR(generateSalesData($D723, IF(ISNUMBER(_xlfn.XLOOKUP($C723,Phone_by_Sentiment!$B$2:$B$37,Phone_by_Sentiment!G$2:G$37,"",0,1)),_xlfn.XLOOKUP($C723,Phone_by_Sentiment!$B$2:$B$37,Phone_by_Sentiment!G$2:G$37,"",0,1),0),$A723-TEXT(DATEVALUE($D723&amp;"-01"), "dd-mm-yyyy")),0),0)</f>
        <v>287</v>
      </c>
      <c r="H723" cm="1">
        <f t="array" ref="H723">IF($Q723&gt;=0,IFERROR(generateSalesData($D723, IF(ISNUMBER(_xlfn.XLOOKUP($C723,Phone_by_Sentiment!$B$2:$B$37,Phone_by_Sentiment!H$2:H$37,"",0,1)),_xlfn.XLOOKUP($C723,Phone_by_Sentiment!$B$2:$B$37,Phone_by_Sentiment!H$2:H$37,"",0,1),0),$A723-TEXT(DATEVALUE($D723&amp;"-01"), "dd-mm-yyyy")),0),0)</f>
        <v>-10</v>
      </c>
      <c r="I723" cm="1">
        <f t="array" ref="I723">IF($Q723&gt;=0,IFERROR(generateSalesData($D723, IF(ISNUMBER(_xlfn.XLOOKUP($C723,Phone_by_Sentiment!$B$2:$B$37,Phone_by_Sentiment!I$2:I$37,"",0,1)),_xlfn.XLOOKUP($C723,Phone_by_Sentiment!$B$2:$B$37,Phone_by_Sentiment!I$2:I$37,"",0,1),0),$A723-TEXT(DATEVALUE($D723&amp;"-01"), "dd-mm-yyyy")),0),0)</f>
        <v>255</v>
      </c>
      <c r="J723" cm="1">
        <f t="array" ref="J723">IF($Q723&gt;=0,IFERROR(generateSalesData($D723, IF(ISNUMBER(_xlfn.XLOOKUP($C723,Phone_by_Sentiment!$B$2:$B$37,Phone_by_Sentiment!J$2:J$37,"",0,1)),_xlfn.XLOOKUP($C723,Phone_by_Sentiment!$B$2:$B$37,Phone_by_Sentiment!J$2:J$37,"",0,1),0),$A723-TEXT(DATEVALUE($D723&amp;"-01"), "dd-mm-yyyy")),0),0)</f>
        <v>293</v>
      </c>
      <c r="K723" cm="1">
        <f t="array" ref="K723">IF($Q723&gt;=0,IFERROR(generateSalesData($D723, IF(ISNUMBER(_xlfn.XLOOKUP($C723,Phone_by_Sentiment!$B$2:$B$37,Phone_by_Sentiment!K$2:K$37,"",0,1)),_xlfn.XLOOKUP($C723,Phone_by_Sentiment!$B$2:$B$37,Phone_by_Sentiment!K$2:K$37,"",0,1),0),$A723-TEXT(DATEVALUE($D723&amp;"-01"), "dd-mm-yyyy")),0),0)</f>
        <v>96</v>
      </c>
      <c r="L723" cm="1">
        <f t="array" ref="L723">IF($Q723&gt;=0,IFERROR(generateSalesData($D723, IF(ISNUMBER(_xlfn.XLOOKUP($C723,Phone_by_Sentiment!$B$2:$B$37,Phone_by_Sentiment!L$2:L$37,"",0,1)),_xlfn.XLOOKUP($C723,Phone_by_Sentiment!$B$2:$B$37,Phone_by_Sentiment!L$2:L$37,"",0,1),0),$A723-TEXT(DATEVALUE($D723&amp;"-01"), "dd-mm-yyyy")),0),0)</f>
        <v>50</v>
      </c>
      <c r="M723" cm="1">
        <f t="array" ref="M723">IF($Q723&gt;=0,IFERROR(generateSalesData($D723, IF(ISNUMBER(_xlfn.XLOOKUP($C723,Phone_by_Sentiment!$B$2:$B$37,Phone_by_Sentiment!M$2:M$37,"",0,1)),_xlfn.XLOOKUP($C723,Phone_by_Sentiment!$B$2:$B$37,Phone_by_Sentiment!M$2:M$37,"",0,1),0),$A723-TEXT(DATEVALUE($D723&amp;"-01"), "dd-mm-yyyy")),0),0)</f>
        <v>675</v>
      </c>
      <c r="N723" cm="1">
        <f t="array" ref="N723">IF($Q723&gt;=0,IFERROR(generateSalesData($D723, IF(ISNUMBER(_xlfn.XLOOKUP($C723,Phone_by_Sentiment!$B$2:$B$37,Phone_by_Sentiment!N$2:N$37,"",0,1)),_xlfn.XLOOKUP($C723,Phone_by_Sentiment!$B$2:$B$37,Phone_by_Sentiment!N$2:N$37,"",0,1),0),$A723-TEXT(DATEVALUE($D723&amp;"-01"), "dd-mm-yyyy")),0),0)</f>
        <v>162</v>
      </c>
      <c r="O723" cm="1">
        <f t="array" ref="O723">IF($Q723&gt;=0,IFERROR(generateSalesData($D723, IF(ISNUMBER(_xlfn.XLOOKUP($C723,Phone_by_Sentiment!$B$2:$B$37,Phone_by_Sentiment!O$2:O$37,"",0,1)),_xlfn.XLOOKUP($C723,Phone_by_Sentiment!$B$2:$B$37,Phone_by_Sentiment!O$2:O$37,"",0,1),0),$A723-TEXT(DATEVALUE($D723&amp;"-01"), "dd-mm-yyyy")),0),0)</f>
        <v>505</v>
      </c>
      <c r="P723" s="1">
        <f t="shared" si="30"/>
        <v>43678</v>
      </c>
      <c r="Q723">
        <f t="shared" si="31"/>
        <v>397</v>
      </c>
    </row>
    <row r="724" spans="1:17" x14ac:dyDescent="0.25">
      <c r="A724" s="1">
        <f t="shared" si="27"/>
        <v>44075</v>
      </c>
      <c r="B724" t="s">
        <v>170</v>
      </c>
      <c r="C724" t="str">
        <f>_xlfn.XLOOKUP(B724,Phone_by_Price!$A$2:$A$34,Phone_by_Price!$B$2:$B$34,"-",0,1)</f>
        <v>Realme Narzo 30A</v>
      </c>
      <c r="D724" t="str">
        <f>_xlfn.XLOOKUP(C724,Phone_by_Sentiment!$B$2:$B$37,Phone_by_Sentiment!$A$2:$A$37,"-",0,1)</f>
        <v>2021-02</v>
      </c>
      <c r="E724" cm="1">
        <f t="array" ref="E724">IF($Q724&gt;=0,IFERROR(generateSalesData($D724, IF(ISNUMBER(_xlfn.XLOOKUP($C724,Phone_by_Sentiment!$B$2:$B$37,Phone_by_Sentiment!E$2:E$37,"",0,1)),_xlfn.XLOOKUP($C724,Phone_by_Sentiment!$B$2:$B$37,Phone_by_Sentiment!E$2:E$37,"",0,1),0),$A724-TEXT(DATEVALUE($D724&amp;"-01"), "dd-mm-yyyy")),0),0)</f>
        <v>0</v>
      </c>
      <c r="F724" cm="1">
        <f t="array" ref="F724">IF($Q724&gt;=0,IFERROR(generateSalesData($D724, IF(ISNUMBER(_xlfn.XLOOKUP($C724,Phone_by_Sentiment!$B$2:$B$37,Phone_by_Sentiment!F$2:F$37,"",0,1)),_xlfn.XLOOKUP($C724,Phone_by_Sentiment!$B$2:$B$37,Phone_by_Sentiment!F$2:F$37,"",0,1),0),$A724-TEXT(DATEVALUE($D724&amp;"-01"), "dd-mm-yyyy")),0),0)</f>
        <v>0</v>
      </c>
      <c r="G724" cm="1">
        <f t="array" ref="G724">IF($Q724&gt;=0,IFERROR(generateSalesData($D724, IF(ISNUMBER(_xlfn.XLOOKUP($C724,Phone_by_Sentiment!$B$2:$B$37,Phone_by_Sentiment!G$2:G$37,"",0,1)),_xlfn.XLOOKUP($C724,Phone_by_Sentiment!$B$2:$B$37,Phone_by_Sentiment!G$2:G$37,"",0,1),0),$A724-TEXT(DATEVALUE($D724&amp;"-01"), "dd-mm-yyyy")),0),0)</f>
        <v>0</v>
      </c>
      <c r="H724" cm="1">
        <f t="array" ref="H724">IF($Q724&gt;=0,IFERROR(generateSalesData($D724, IF(ISNUMBER(_xlfn.XLOOKUP($C724,Phone_by_Sentiment!$B$2:$B$37,Phone_by_Sentiment!H$2:H$37,"",0,1)),_xlfn.XLOOKUP($C724,Phone_by_Sentiment!$B$2:$B$37,Phone_by_Sentiment!H$2:H$37,"",0,1),0),$A724-TEXT(DATEVALUE($D724&amp;"-01"), "dd-mm-yyyy")),0),0)</f>
        <v>0</v>
      </c>
      <c r="I724" cm="1">
        <f t="array" ref="I724">IF($Q724&gt;=0,IFERROR(generateSalesData($D724, IF(ISNUMBER(_xlfn.XLOOKUP($C724,Phone_by_Sentiment!$B$2:$B$37,Phone_by_Sentiment!I$2:I$37,"",0,1)),_xlfn.XLOOKUP($C724,Phone_by_Sentiment!$B$2:$B$37,Phone_by_Sentiment!I$2:I$37,"",0,1),0),$A724-TEXT(DATEVALUE($D724&amp;"-01"), "dd-mm-yyyy")),0),0)</f>
        <v>0</v>
      </c>
      <c r="J724" cm="1">
        <f t="array" ref="J724">IF($Q724&gt;=0,IFERROR(generateSalesData($D724, IF(ISNUMBER(_xlfn.XLOOKUP($C724,Phone_by_Sentiment!$B$2:$B$37,Phone_by_Sentiment!J$2:J$37,"",0,1)),_xlfn.XLOOKUP($C724,Phone_by_Sentiment!$B$2:$B$37,Phone_by_Sentiment!J$2:J$37,"",0,1),0),$A724-TEXT(DATEVALUE($D724&amp;"-01"), "dd-mm-yyyy")),0),0)</f>
        <v>0</v>
      </c>
      <c r="K724" cm="1">
        <f t="array" ref="K724">IF($Q724&gt;=0,IFERROR(generateSalesData($D724, IF(ISNUMBER(_xlfn.XLOOKUP($C724,Phone_by_Sentiment!$B$2:$B$37,Phone_by_Sentiment!K$2:K$37,"",0,1)),_xlfn.XLOOKUP($C724,Phone_by_Sentiment!$B$2:$B$37,Phone_by_Sentiment!K$2:K$37,"",0,1),0),$A724-TEXT(DATEVALUE($D724&amp;"-01"), "dd-mm-yyyy")),0),0)</f>
        <v>0</v>
      </c>
      <c r="L724" cm="1">
        <f t="array" ref="L724">IF($Q724&gt;=0,IFERROR(generateSalesData($D724, IF(ISNUMBER(_xlfn.XLOOKUP($C724,Phone_by_Sentiment!$B$2:$B$37,Phone_by_Sentiment!L$2:L$37,"",0,1)),_xlfn.XLOOKUP($C724,Phone_by_Sentiment!$B$2:$B$37,Phone_by_Sentiment!L$2:L$37,"",0,1),0),$A724-TEXT(DATEVALUE($D724&amp;"-01"), "dd-mm-yyyy")),0),0)</f>
        <v>0</v>
      </c>
      <c r="M724" cm="1">
        <f t="array" ref="M724">IF($Q724&gt;=0,IFERROR(generateSalesData($D724, IF(ISNUMBER(_xlfn.XLOOKUP($C724,Phone_by_Sentiment!$B$2:$B$37,Phone_by_Sentiment!M$2:M$37,"",0,1)),_xlfn.XLOOKUP($C724,Phone_by_Sentiment!$B$2:$B$37,Phone_by_Sentiment!M$2:M$37,"",0,1),0),$A724-TEXT(DATEVALUE($D724&amp;"-01"), "dd-mm-yyyy")),0),0)</f>
        <v>0</v>
      </c>
      <c r="N724" cm="1">
        <f t="array" ref="N724">IF($Q724&gt;=0,IFERROR(generateSalesData($D724, IF(ISNUMBER(_xlfn.XLOOKUP($C724,Phone_by_Sentiment!$B$2:$B$37,Phone_by_Sentiment!N$2:N$37,"",0,1)),_xlfn.XLOOKUP($C724,Phone_by_Sentiment!$B$2:$B$37,Phone_by_Sentiment!N$2:N$37,"",0,1),0),$A724-TEXT(DATEVALUE($D724&amp;"-01"), "dd-mm-yyyy")),0),0)</f>
        <v>0</v>
      </c>
      <c r="O724" cm="1">
        <f t="array" ref="O724">IF($Q724&gt;=0,IFERROR(generateSalesData($D724, IF(ISNUMBER(_xlfn.XLOOKUP($C724,Phone_by_Sentiment!$B$2:$B$37,Phone_by_Sentiment!O$2:O$37,"",0,1)),_xlfn.XLOOKUP($C724,Phone_by_Sentiment!$B$2:$B$37,Phone_by_Sentiment!O$2:O$37,"",0,1),0),$A724-TEXT(DATEVALUE($D724&amp;"-01"), "dd-mm-yyyy")),0),0)</f>
        <v>0</v>
      </c>
      <c r="P724" s="1">
        <f t="shared" si="30"/>
        <v>44228</v>
      </c>
      <c r="Q724">
        <f t="shared" si="31"/>
        <v>-153</v>
      </c>
    </row>
    <row r="725" spans="1:17" x14ac:dyDescent="0.25">
      <c r="A725" s="1">
        <f t="shared" si="27"/>
        <v>44075</v>
      </c>
      <c r="B725" t="s">
        <v>171</v>
      </c>
      <c r="C725" t="str">
        <f>_xlfn.XLOOKUP(B725,Phone_by_Price!$A$2:$A$34,Phone_by_Price!$B$2:$B$34,"-",0,1)</f>
        <v>Samsung Galaxy A22 5G</v>
      </c>
      <c r="D725" t="str">
        <f>_xlfn.XLOOKUP(C725,Phone_by_Sentiment!$B$2:$B$37,Phone_by_Sentiment!$A$2:$A$37,"-",0,1)</f>
        <v>2021-05</v>
      </c>
      <c r="E725" cm="1">
        <f t="array" ref="E725">IF($Q725&gt;=0,IFERROR(generateSalesData($D725, IF(ISNUMBER(_xlfn.XLOOKUP($C725,Phone_by_Sentiment!$B$2:$B$37,Phone_by_Sentiment!E$2:E$37,"",0,1)),_xlfn.XLOOKUP($C725,Phone_by_Sentiment!$B$2:$B$37,Phone_by_Sentiment!E$2:E$37,"",0,1),0),$A725-TEXT(DATEVALUE($D725&amp;"-01"), "dd-mm-yyyy")),0),0)</f>
        <v>0</v>
      </c>
      <c r="F725" cm="1">
        <f t="array" ref="F725">IF($Q725&gt;=0,IFERROR(generateSalesData($D725, IF(ISNUMBER(_xlfn.XLOOKUP($C725,Phone_by_Sentiment!$B$2:$B$37,Phone_by_Sentiment!F$2:F$37,"",0,1)),_xlfn.XLOOKUP($C725,Phone_by_Sentiment!$B$2:$B$37,Phone_by_Sentiment!F$2:F$37,"",0,1),0),$A725-TEXT(DATEVALUE($D725&amp;"-01"), "dd-mm-yyyy")),0),0)</f>
        <v>0</v>
      </c>
      <c r="G725" cm="1">
        <f t="array" ref="G725">IF($Q725&gt;=0,IFERROR(generateSalesData($D725, IF(ISNUMBER(_xlfn.XLOOKUP($C725,Phone_by_Sentiment!$B$2:$B$37,Phone_by_Sentiment!G$2:G$37,"",0,1)),_xlfn.XLOOKUP($C725,Phone_by_Sentiment!$B$2:$B$37,Phone_by_Sentiment!G$2:G$37,"",0,1),0),$A725-TEXT(DATEVALUE($D725&amp;"-01"), "dd-mm-yyyy")),0),0)</f>
        <v>0</v>
      </c>
      <c r="H725" cm="1">
        <f t="array" ref="H725">IF($Q725&gt;=0,IFERROR(generateSalesData($D725, IF(ISNUMBER(_xlfn.XLOOKUP($C725,Phone_by_Sentiment!$B$2:$B$37,Phone_by_Sentiment!H$2:H$37,"",0,1)),_xlfn.XLOOKUP($C725,Phone_by_Sentiment!$B$2:$B$37,Phone_by_Sentiment!H$2:H$37,"",0,1),0),$A725-TEXT(DATEVALUE($D725&amp;"-01"), "dd-mm-yyyy")),0),0)</f>
        <v>0</v>
      </c>
      <c r="I725" cm="1">
        <f t="array" ref="I725">IF($Q725&gt;=0,IFERROR(generateSalesData($D725, IF(ISNUMBER(_xlfn.XLOOKUP($C725,Phone_by_Sentiment!$B$2:$B$37,Phone_by_Sentiment!I$2:I$37,"",0,1)),_xlfn.XLOOKUP($C725,Phone_by_Sentiment!$B$2:$B$37,Phone_by_Sentiment!I$2:I$37,"",0,1),0),$A725-TEXT(DATEVALUE($D725&amp;"-01"), "dd-mm-yyyy")),0),0)</f>
        <v>0</v>
      </c>
      <c r="J725" cm="1">
        <f t="array" ref="J725">IF($Q725&gt;=0,IFERROR(generateSalesData($D725, IF(ISNUMBER(_xlfn.XLOOKUP($C725,Phone_by_Sentiment!$B$2:$B$37,Phone_by_Sentiment!J$2:J$37,"",0,1)),_xlfn.XLOOKUP($C725,Phone_by_Sentiment!$B$2:$B$37,Phone_by_Sentiment!J$2:J$37,"",0,1),0),$A725-TEXT(DATEVALUE($D725&amp;"-01"), "dd-mm-yyyy")),0),0)</f>
        <v>0</v>
      </c>
      <c r="K725" cm="1">
        <f t="array" ref="K725">IF($Q725&gt;=0,IFERROR(generateSalesData($D725, IF(ISNUMBER(_xlfn.XLOOKUP($C725,Phone_by_Sentiment!$B$2:$B$37,Phone_by_Sentiment!K$2:K$37,"",0,1)),_xlfn.XLOOKUP($C725,Phone_by_Sentiment!$B$2:$B$37,Phone_by_Sentiment!K$2:K$37,"",0,1),0),$A725-TEXT(DATEVALUE($D725&amp;"-01"), "dd-mm-yyyy")),0),0)</f>
        <v>0</v>
      </c>
      <c r="L725" cm="1">
        <f t="array" ref="L725">IF($Q725&gt;=0,IFERROR(generateSalesData($D725, IF(ISNUMBER(_xlfn.XLOOKUP($C725,Phone_by_Sentiment!$B$2:$B$37,Phone_by_Sentiment!L$2:L$37,"",0,1)),_xlfn.XLOOKUP($C725,Phone_by_Sentiment!$B$2:$B$37,Phone_by_Sentiment!L$2:L$37,"",0,1),0),$A725-TEXT(DATEVALUE($D725&amp;"-01"), "dd-mm-yyyy")),0),0)</f>
        <v>0</v>
      </c>
      <c r="M725" cm="1">
        <f t="array" ref="M725">IF($Q725&gt;=0,IFERROR(generateSalesData($D725, IF(ISNUMBER(_xlfn.XLOOKUP($C725,Phone_by_Sentiment!$B$2:$B$37,Phone_by_Sentiment!M$2:M$37,"",0,1)),_xlfn.XLOOKUP($C725,Phone_by_Sentiment!$B$2:$B$37,Phone_by_Sentiment!M$2:M$37,"",0,1),0),$A725-TEXT(DATEVALUE($D725&amp;"-01"), "dd-mm-yyyy")),0),0)</f>
        <v>0</v>
      </c>
      <c r="N725" cm="1">
        <f t="array" ref="N725">IF($Q725&gt;=0,IFERROR(generateSalesData($D725, IF(ISNUMBER(_xlfn.XLOOKUP($C725,Phone_by_Sentiment!$B$2:$B$37,Phone_by_Sentiment!N$2:N$37,"",0,1)),_xlfn.XLOOKUP($C725,Phone_by_Sentiment!$B$2:$B$37,Phone_by_Sentiment!N$2:N$37,"",0,1),0),$A725-TEXT(DATEVALUE($D725&amp;"-01"), "dd-mm-yyyy")),0),0)</f>
        <v>0</v>
      </c>
      <c r="O725" cm="1">
        <f t="array" ref="O725">IF($Q725&gt;=0,IFERROR(generateSalesData($D725, IF(ISNUMBER(_xlfn.XLOOKUP($C725,Phone_by_Sentiment!$B$2:$B$37,Phone_by_Sentiment!O$2:O$37,"",0,1)),_xlfn.XLOOKUP($C725,Phone_by_Sentiment!$B$2:$B$37,Phone_by_Sentiment!O$2:O$37,"",0,1),0),$A725-TEXT(DATEVALUE($D725&amp;"-01"), "dd-mm-yyyy")),0),0)</f>
        <v>0</v>
      </c>
      <c r="P725" s="1">
        <f t="shared" si="30"/>
        <v>44317</v>
      </c>
      <c r="Q725">
        <f t="shared" si="31"/>
        <v>-242</v>
      </c>
    </row>
    <row r="726" spans="1:17" x14ac:dyDescent="0.25">
      <c r="A726" s="1">
        <f t="shared" si="27"/>
        <v>44075</v>
      </c>
      <c r="B726" t="s">
        <v>172</v>
      </c>
      <c r="C726" t="str">
        <f>_xlfn.XLOOKUP(B726,Phone_by_Price!$A$2:$A$34,Phone_by_Price!$B$2:$B$34,"-",0,1)</f>
        <v>Xiaomi Redmi 9</v>
      </c>
      <c r="D726" t="str">
        <f>_xlfn.XLOOKUP(C726,Phone_by_Sentiment!$B$2:$B$37,Phone_by_Sentiment!$A$2:$A$37,"-",0,1)</f>
        <v>2020-08</v>
      </c>
      <c r="E726" cm="1">
        <f t="array" ref="E726">IF($Q726&gt;=0,IFERROR(generateSalesData($D726, IF(ISNUMBER(_xlfn.XLOOKUP($C726,Phone_by_Sentiment!$B$2:$B$37,Phone_by_Sentiment!E$2:E$37,"",0,1)),_xlfn.XLOOKUP($C726,Phone_by_Sentiment!$B$2:$B$37,Phone_by_Sentiment!E$2:E$37,"",0,1),0),$A726-TEXT(DATEVALUE($D726&amp;"-01"), "dd-mm-yyyy")),0),0)</f>
        <v>1657</v>
      </c>
      <c r="F726" cm="1">
        <f t="array" ref="F726">IF($Q726&gt;=0,IFERROR(generateSalesData($D726, IF(ISNUMBER(_xlfn.XLOOKUP($C726,Phone_by_Sentiment!$B$2:$B$37,Phone_by_Sentiment!F$2:F$37,"",0,1)),_xlfn.XLOOKUP($C726,Phone_by_Sentiment!$B$2:$B$37,Phone_by_Sentiment!F$2:F$37,"",0,1),0),$A726-TEXT(DATEVALUE($D726&amp;"-01"), "dd-mm-yyyy")),0),0)</f>
        <v>1696</v>
      </c>
      <c r="G726" cm="1">
        <f t="array" ref="G726">IF($Q726&gt;=0,IFERROR(generateSalesData($D726, IF(ISNUMBER(_xlfn.XLOOKUP($C726,Phone_by_Sentiment!$B$2:$B$37,Phone_by_Sentiment!G$2:G$37,"",0,1)),_xlfn.XLOOKUP($C726,Phone_by_Sentiment!$B$2:$B$37,Phone_by_Sentiment!G$2:G$37,"",0,1),0),$A726-TEXT(DATEVALUE($D726&amp;"-01"), "dd-mm-yyyy")),0),0)</f>
        <v>2804</v>
      </c>
      <c r="H726" cm="1">
        <f t="array" ref="H726">IF($Q726&gt;=0,IFERROR(generateSalesData($D726, IF(ISNUMBER(_xlfn.XLOOKUP($C726,Phone_by_Sentiment!$B$2:$B$37,Phone_by_Sentiment!H$2:H$37,"",0,1)),_xlfn.XLOOKUP($C726,Phone_by_Sentiment!$B$2:$B$37,Phone_by_Sentiment!H$2:H$37,"",0,1),0),$A726-TEXT(DATEVALUE($D726&amp;"-01"), "dd-mm-yyyy")),0),0)</f>
        <v>7024</v>
      </c>
      <c r="I726" cm="1">
        <f t="array" ref="I726">IF($Q726&gt;=0,IFERROR(generateSalesData($D726, IF(ISNUMBER(_xlfn.XLOOKUP($C726,Phone_by_Sentiment!$B$2:$B$37,Phone_by_Sentiment!I$2:I$37,"",0,1)),_xlfn.XLOOKUP($C726,Phone_by_Sentiment!$B$2:$B$37,Phone_by_Sentiment!I$2:I$37,"",0,1),0),$A726-TEXT(DATEVALUE($D726&amp;"-01"), "dd-mm-yyyy")),0),0)</f>
        <v>1687</v>
      </c>
      <c r="J726" cm="1">
        <f t="array" ref="J726">IF($Q726&gt;=0,IFERROR(generateSalesData($D726, IF(ISNUMBER(_xlfn.XLOOKUP($C726,Phone_by_Sentiment!$B$2:$B$37,Phone_by_Sentiment!J$2:J$37,"",0,1)),_xlfn.XLOOKUP($C726,Phone_by_Sentiment!$B$2:$B$37,Phone_by_Sentiment!J$2:J$37,"",0,1),0),$A726-TEXT(DATEVALUE($D726&amp;"-01"), "dd-mm-yyyy")),0),0)</f>
        <v>-645</v>
      </c>
      <c r="K726" cm="1">
        <f t="array" ref="K726">IF($Q726&gt;=0,IFERROR(generateSalesData($D726, IF(ISNUMBER(_xlfn.XLOOKUP($C726,Phone_by_Sentiment!$B$2:$B$37,Phone_by_Sentiment!K$2:K$37,"",0,1)),_xlfn.XLOOKUP($C726,Phone_by_Sentiment!$B$2:$B$37,Phone_by_Sentiment!K$2:K$37,"",0,1),0),$A726-TEXT(DATEVALUE($D726&amp;"-01"), "dd-mm-yyyy")),0),0)</f>
        <v>6610</v>
      </c>
      <c r="L726" cm="1">
        <f t="array" ref="L726">IF($Q726&gt;=0,IFERROR(generateSalesData($D726, IF(ISNUMBER(_xlfn.XLOOKUP($C726,Phone_by_Sentiment!$B$2:$B$37,Phone_by_Sentiment!L$2:L$37,"",0,1)),_xlfn.XLOOKUP($C726,Phone_by_Sentiment!$B$2:$B$37,Phone_by_Sentiment!L$2:L$37,"",0,1),0),$A726-TEXT(DATEVALUE($D726&amp;"-01"), "dd-mm-yyyy")),0),0)</f>
        <v>2369</v>
      </c>
      <c r="M726" cm="1">
        <f t="array" ref="M726">IF($Q726&gt;=0,IFERROR(generateSalesData($D726, IF(ISNUMBER(_xlfn.XLOOKUP($C726,Phone_by_Sentiment!$B$2:$B$37,Phone_by_Sentiment!M$2:M$37,"",0,1)),_xlfn.XLOOKUP($C726,Phone_by_Sentiment!$B$2:$B$37,Phone_by_Sentiment!M$2:M$37,"",0,1),0),$A726-TEXT(DATEVALUE($D726&amp;"-01"), "dd-mm-yyyy")),0),0)</f>
        <v>10264</v>
      </c>
      <c r="N726" cm="1">
        <f t="array" ref="N726">IF($Q726&gt;=0,IFERROR(generateSalesData($D726, IF(ISNUMBER(_xlfn.XLOOKUP($C726,Phone_by_Sentiment!$B$2:$B$37,Phone_by_Sentiment!N$2:N$37,"",0,1)),_xlfn.XLOOKUP($C726,Phone_by_Sentiment!$B$2:$B$37,Phone_by_Sentiment!N$2:N$37,"",0,1),0),$A726-TEXT(DATEVALUE($D726&amp;"-01"), "dd-mm-yyyy")),0),0)</f>
        <v>2462</v>
      </c>
      <c r="O726" cm="1">
        <f t="array" ref="O726">IF($Q726&gt;=0,IFERROR(generateSalesData($D726, IF(ISNUMBER(_xlfn.XLOOKUP($C726,Phone_by_Sentiment!$B$2:$B$37,Phone_by_Sentiment!O$2:O$37,"",0,1)),_xlfn.XLOOKUP($C726,Phone_by_Sentiment!$B$2:$B$37,Phone_by_Sentiment!O$2:O$37,"",0,1),0),$A726-TEXT(DATEVALUE($D726&amp;"-01"), "dd-mm-yyyy")),0),0)</f>
        <v>9891</v>
      </c>
      <c r="P726" s="1">
        <f t="shared" si="30"/>
        <v>44044</v>
      </c>
      <c r="Q726">
        <f t="shared" si="31"/>
        <v>31</v>
      </c>
    </row>
    <row r="727" spans="1:17" x14ac:dyDescent="0.25">
      <c r="A727" s="1">
        <f t="shared" si="27"/>
        <v>44075</v>
      </c>
      <c r="B727" t="s">
        <v>173</v>
      </c>
      <c r="C727" t="str">
        <f>_xlfn.XLOOKUP(B727,Phone_by_Price!$A$2:$A$34,Phone_by_Price!$B$2:$B$34,"-",0,1)</f>
        <v>Realme C3</v>
      </c>
      <c r="D727" t="str">
        <f>_xlfn.XLOOKUP(C727,Phone_by_Sentiment!$B$2:$B$37,Phone_by_Sentiment!$A$2:$A$37,"-",0,1)</f>
        <v>2020-02</v>
      </c>
      <c r="E727" cm="1">
        <f t="array" ref="E727">IF($Q727&gt;=0,IFERROR(generateSalesData($D727, IF(ISNUMBER(_xlfn.XLOOKUP($C727,Phone_by_Sentiment!$B$2:$B$37,Phone_by_Sentiment!E$2:E$37,"",0,1)),_xlfn.XLOOKUP($C727,Phone_by_Sentiment!$B$2:$B$37,Phone_by_Sentiment!E$2:E$37,"",0,1),0),$A727-TEXT(DATEVALUE($D727&amp;"-01"), "dd-mm-yyyy")),0),0)</f>
        <v>494</v>
      </c>
      <c r="F727" cm="1">
        <f t="array" ref="F727">IF($Q727&gt;=0,IFERROR(generateSalesData($D727, IF(ISNUMBER(_xlfn.XLOOKUP($C727,Phone_by_Sentiment!$B$2:$B$37,Phone_by_Sentiment!F$2:F$37,"",0,1)),_xlfn.XLOOKUP($C727,Phone_by_Sentiment!$B$2:$B$37,Phone_by_Sentiment!F$2:F$37,"",0,1),0),$A727-TEXT(DATEVALUE($D727&amp;"-01"), "dd-mm-yyyy")),0),0)</f>
        <v>-50</v>
      </c>
      <c r="G727" cm="1">
        <f t="array" ref="G727">IF($Q727&gt;=0,IFERROR(generateSalesData($D727, IF(ISNUMBER(_xlfn.XLOOKUP($C727,Phone_by_Sentiment!$B$2:$B$37,Phone_by_Sentiment!G$2:G$37,"",0,1)),_xlfn.XLOOKUP($C727,Phone_by_Sentiment!$B$2:$B$37,Phone_by_Sentiment!G$2:G$37,"",0,1),0),$A727-TEXT(DATEVALUE($D727&amp;"-01"), "dd-mm-yyyy")),0),0)</f>
        <v>345</v>
      </c>
      <c r="H727" cm="1">
        <f t="array" ref="H727">IF($Q727&gt;=0,IFERROR(generateSalesData($D727, IF(ISNUMBER(_xlfn.XLOOKUP($C727,Phone_by_Sentiment!$B$2:$B$37,Phone_by_Sentiment!H$2:H$37,"",0,1)),_xlfn.XLOOKUP($C727,Phone_by_Sentiment!$B$2:$B$37,Phone_by_Sentiment!H$2:H$37,"",0,1),0),$A727-TEXT(DATEVALUE($D727&amp;"-01"), "dd-mm-yyyy")),0),0)</f>
        <v>1098</v>
      </c>
      <c r="I727" cm="1">
        <f t="array" ref="I727">IF($Q727&gt;=0,IFERROR(generateSalesData($D727, IF(ISNUMBER(_xlfn.XLOOKUP($C727,Phone_by_Sentiment!$B$2:$B$37,Phone_by_Sentiment!I$2:I$37,"",0,1)),_xlfn.XLOOKUP($C727,Phone_by_Sentiment!$B$2:$B$37,Phone_by_Sentiment!I$2:I$37,"",0,1),0),$A727-TEXT(DATEVALUE($D727&amp;"-01"), "dd-mm-yyyy")),0),0)</f>
        <v>1210</v>
      </c>
      <c r="J727" cm="1">
        <f t="array" ref="J727">IF($Q727&gt;=0,IFERROR(generateSalesData($D727, IF(ISNUMBER(_xlfn.XLOOKUP($C727,Phone_by_Sentiment!$B$2:$B$37,Phone_by_Sentiment!J$2:J$37,"",0,1)),_xlfn.XLOOKUP($C727,Phone_by_Sentiment!$B$2:$B$37,Phone_by_Sentiment!J$2:J$37,"",0,1),0),$A727-TEXT(DATEVALUE($D727&amp;"-01"), "dd-mm-yyyy")),0),0)</f>
        <v>349</v>
      </c>
      <c r="K727" cm="1">
        <f t="array" ref="K727">IF($Q727&gt;=0,IFERROR(generateSalesData($D727, IF(ISNUMBER(_xlfn.XLOOKUP($C727,Phone_by_Sentiment!$B$2:$B$37,Phone_by_Sentiment!K$2:K$37,"",0,1)),_xlfn.XLOOKUP($C727,Phone_by_Sentiment!$B$2:$B$37,Phone_by_Sentiment!K$2:K$37,"",0,1),0),$A727-TEXT(DATEVALUE($D727&amp;"-01"), "dd-mm-yyyy")),0),0)</f>
        <v>908</v>
      </c>
      <c r="L727" cm="1">
        <f t="array" ref="L727">IF($Q727&gt;=0,IFERROR(generateSalesData($D727, IF(ISNUMBER(_xlfn.XLOOKUP($C727,Phone_by_Sentiment!$B$2:$B$37,Phone_by_Sentiment!L$2:L$37,"",0,1)),_xlfn.XLOOKUP($C727,Phone_by_Sentiment!$B$2:$B$37,Phone_by_Sentiment!L$2:L$37,"",0,1),0),$A727-TEXT(DATEVALUE($D727&amp;"-01"), "dd-mm-yyyy")),0),0)</f>
        <v>648</v>
      </c>
      <c r="M727" cm="1">
        <f t="array" ref="M727">IF($Q727&gt;=0,IFERROR(generateSalesData($D727, IF(ISNUMBER(_xlfn.XLOOKUP($C727,Phone_by_Sentiment!$B$2:$B$37,Phone_by_Sentiment!M$2:M$37,"",0,1)),_xlfn.XLOOKUP($C727,Phone_by_Sentiment!$B$2:$B$37,Phone_by_Sentiment!M$2:M$37,"",0,1),0),$A727-TEXT(DATEVALUE($D727&amp;"-01"), "dd-mm-yyyy")),0),0)</f>
        <v>45</v>
      </c>
      <c r="N727" cm="1">
        <f t="array" ref="N727">IF($Q727&gt;=0,IFERROR(generateSalesData($D727, IF(ISNUMBER(_xlfn.XLOOKUP($C727,Phone_by_Sentiment!$B$2:$B$37,Phone_by_Sentiment!N$2:N$37,"",0,1)),_xlfn.XLOOKUP($C727,Phone_by_Sentiment!$B$2:$B$37,Phone_by_Sentiment!N$2:N$37,"",0,1),0),$A727-TEXT(DATEVALUE($D727&amp;"-01"), "dd-mm-yyyy")),0),0)</f>
        <v>1253</v>
      </c>
      <c r="O727" cm="1">
        <f t="array" ref="O727">IF($Q727&gt;=0,IFERROR(generateSalesData($D727, IF(ISNUMBER(_xlfn.XLOOKUP($C727,Phone_by_Sentiment!$B$2:$B$37,Phone_by_Sentiment!O$2:O$37,"",0,1)),_xlfn.XLOOKUP($C727,Phone_by_Sentiment!$B$2:$B$37,Phone_by_Sentiment!O$2:O$37,"",0,1),0),$A727-TEXT(DATEVALUE($D727&amp;"-01"), "dd-mm-yyyy")),0),0)</f>
        <v>222</v>
      </c>
      <c r="P727" s="1">
        <f t="shared" si="30"/>
        <v>43862</v>
      </c>
      <c r="Q727">
        <f t="shared" si="31"/>
        <v>213</v>
      </c>
    </row>
    <row r="728" spans="1:17" x14ac:dyDescent="0.25">
      <c r="A728" s="1">
        <f t="shared" si="27"/>
        <v>44075</v>
      </c>
      <c r="B728" t="s">
        <v>174</v>
      </c>
      <c r="C728" t="str">
        <f>_xlfn.XLOOKUP(B728,Phone_by_Price!$A$2:$A$34,Phone_by_Price!$B$2:$B$34,"-",0,1)</f>
        <v>Samsung Galaxy A7</v>
      </c>
      <c r="D728" t="str">
        <f>_xlfn.XLOOKUP(C728,Phone_by_Sentiment!$B$2:$B$37,Phone_by_Sentiment!$A$2:$A$37,"-",0,1)</f>
        <v>2018-10</v>
      </c>
      <c r="E728" cm="1">
        <f t="array" ref="E728">IF($Q728&gt;=0,IFERROR(generateSalesData($D728, IF(ISNUMBER(_xlfn.XLOOKUP($C728,Phone_by_Sentiment!$B$2:$B$37,Phone_by_Sentiment!E$2:E$37,"",0,1)),_xlfn.XLOOKUP($C728,Phone_by_Sentiment!$B$2:$B$37,Phone_by_Sentiment!E$2:E$37,"",0,1),0),$A728-TEXT(DATEVALUE($D728&amp;"-01"), "dd-mm-yyyy")),0),0)</f>
        <v>68</v>
      </c>
      <c r="F728" cm="1">
        <f t="array" ref="F728">IF($Q728&gt;=0,IFERROR(generateSalesData($D728, IF(ISNUMBER(_xlfn.XLOOKUP($C728,Phone_by_Sentiment!$B$2:$B$37,Phone_by_Sentiment!F$2:F$37,"",0,1)),_xlfn.XLOOKUP($C728,Phone_by_Sentiment!$B$2:$B$37,Phone_by_Sentiment!F$2:F$37,"",0,1),0),$A728-TEXT(DATEVALUE($D728&amp;"-01"), "dd-mm-yyyy")),0),0)</f>
        <v>81</v>
      </c>
      <c r="G728" cm="1">
        <f t="array" ref="G728">IF($Q728&gt;=0,IFERROR(generateSalesData($D728, IF(ISNUMBER(_xlfn.XLOOKUP($C728,Phone_by_Sentiment!$B$2:$B$37,Phone_by_Sentiment!G$2:G$37,"",0,1)),_xlfn.XLOOKUP($C728,Phone_by_Sentiment!$B$2:$B$37,Phone_by_Sentiment!G$2:G$37,"",0,1),0),$A728-TEXT(DATEVALUE($D728&amp;"-01"), "dd-mm-yyyy")),0),0)</f>
        <v>14</v>
      </c>
      <c r="H728" cm="1">
        <f t="array" ref="H728">IF($Q728&gt;=0,IFERROR(generateSalesData($D728, IF(ISNUMBER(_xlfn.XLOOKUP($C728,Phone_by_Sentiment!$B$2:$B$37,Phone_by_Sentiment!H$2:H$37,"",0,1)),_xlfn.XLOOKUP($C728,Phone_by_Sentiment!$B$2:$B$37,Phone_by_Sentiment!H$2:H$37,"",0,1),0),$A728-TEXT(DATEVALUE($D728&amp;"-01"), "dd-mm-yyyy")),0),0)</f>
        <v>182</v>
      </c>
      <c r="I728" cm="1">
        <f t="array" ref="I728">IF($Q728&gt;=0,IFERROR(generateSalesData($D728, IF(ISNUMBER(_xlfn.XLOOKUP($C728,Phone_by_Sentiment!$B$2:$B$37,Phone_by_Sentiment!I$2:I$37,"",0,1)),_xlfn.XLOOKUP($C728,Phone_by_Sentiment!$B$2:$B$37,Phone_by_Sentiment!I$2:I$37,"",0,1),0),$A728-TEXT(DATEVALUE($D728&amp;"-01"), "dd-mm-yyyy")),0),0)</f>
        <v>368</v>
      </c>
      <c r="J728" cm="1">
        <f t="array" ref="J728">IF($Q728&gt;=0,IFERROR(generateSalesData($D728, IF(ISNUMBER(_xlfn.XLOOKUP($C728,Phone_by_Sentiment!$B$2:$B$37,Phone_by_Sentiment!J$2:J$37,"",0,1)),_xlfn.XLOOKUP($C728,Phone_by_Sentiment!$B$2:$B$37,Phone_by_Sentiment!J$2:J$37,"",0,1),0),$A728-TEXT(DATEVALUE($D728&amp;"-01"), "dd-mm-yyyy")),0),0)</f>
        <v>78</v>
      </c>
      <c r="K728" cm="1">
        <f t="array" ref="K728">IF($Q728&gt;=0,IFERROR(generateSalesData($D728, IF(ISNUMBER(_xlfn.XLOOKUP($C728,Phone_by_Sentiment!$B$2:$B$37,Phone_by_Sentiment!K$2:K$37,"",0,1)),_xlfn.XLOOKUP($C728,Phone_by_Sentiment!$B$2:$B$37,Phone_by_Sentiment!K$2:K$37,"",0,1),0),$A728-TEXT(DATEVALUE($D728&amp;"-01"), "dd-mm-yyyy")),0),0)</f>
        <v>61</v>
      </c>
      <c r="L728" cm="1">
        <f t="array" ref="L728">IF($Q728&gt;=0,IFERROR(generateSalesData($D728, IF(ISNUMBER(_xlfn.XLOOKUP($C728,Phone_by_Sentiment!$B$2:$B$37,Phone_by_Sentiment!L$2:L$37,"",0,1)),_xlfn.XLOOKUP($C728,Phone_by_Sentiment!$B$2:$B$37,Phone_by_Sentiment!L$2:L$37,"",0,1),0),$A728-TEXT(DATEVALUE($D728&amp;"-01"), "dd-mm-yyyy")),0),0)</f>
        <v>58</v>
      </c>
      <c r="M728" cm="1">
        <f t="array" ref="M728">IF($Q728&gt;=0,IFERROR(generateSalesData($D728, IF(ISNUMBER(_xlfn.XLOOKUP($C728,Phone_by_Sentiment!$B$2:$B$37,Phone_by_Sentiment!M$2:M$37,"",0,1)),_xlfn.XLOOKUP($C728,Phone_by_Sentiment!$B$2:$B$37,Phone_by_Sentiment!M$2:M$37,"",0,1),0),$A728-TEXT(DATEVALUE($D728&amp;"-01"), "dd-mm-yyyy")),0),0)</f>
        <v>404</v>
      </c>
      <c r="N728" cm="1">
        <f t="array" ref="N728">IF($Q728&gt;=0,IFERROR(generateSalesData($D728, IF(ISNUMBER(_xlfn.XLOOKUP($C728,Phone_by_Sentiment!$B$2:$B$37,Phone_by_Sentiment!N$2:N$37,"",0,1)),_xlfn.XLOOKUP($C728,Phone_by_Sentiment!$B$2:$B$37,Phone_by_Sentiment!N$2:N$37,"",0,1),0),$A728-TEXT(DATEVALUE($D728&amp;"-01"), "dd-mm-yyyy")),0),0)</f>
        <v>35</v>
      </c>
      <c r="O728" cm="1">
        <f t="array" ref="O728">IF($Q728&gt;=0,IFERROR(generateSalesData($D728, IF(ISNUMBER(_xlfn.XLOOKUP($C728,Phone_by_Sentiment!$B$2:$B$37,Phone_by_Sentiment!O$2:O$37,"",0,1)),_xlfn.XLOOKUP($C728,Phone_by_Sentiment!$B$2:$B$37,Phone_by_Sentiment!O$2:O$37,"",0,1),0),$A728-TEXT(DATEVALUE($D728&amp;"-01"), "dd-mm-yyyy")),0),0)</f>
        <v>353</v>
      </c>
      <c r="P728" s="1">
        <f t="shared" si="30"/>
        <v>43374</v>
      </c>
      <c r="Q728">
        <f t="shared" si="31"/>
        <v>701</v>
      </c>
    </row>
    <row r="729" spans="1:17" x14ac:dyDescent="0.25">
      <c r="A729" s="1">
        <f t="shared" si="27"/>
        <v>44075</v>
      </c>
      <c r="B729" t="s">
        <v>142</v>
      </c>
      <c r="C729" t="str">
        <f>_xlfn.XLOOKUP(B729,Phone_by_Price!$A$2:$A$34,Phone_by_Price!$B$2:$B$34,"-",0,1)</f>
        <v>iPhone 11</v>
      </c>
      <c r="D729" t="str">
        <f>_xlfn.XLOOKUP(C729,Phone_by_Sentiment!$B$2:$B$37,Phone_by_Sentiment!$A$2:$A$37,"-",0,1)</f>
        <v>2019-09</v>
      </c>
      <c r="E729" cm="1">
        <f t="array" ref="E729">IF($Q729&gt;=0,IFERROR(generateSalesData($D729, IF(ISNUMBER(_xlfn.XLOOKUP($C729,Phone_by_Sentiment!$B$2:$B$37,Phone_by_Sentiment!E$2:E$37,"",0,1)),_xlfn.XLOOKUP($C729,Phone_by_Sentiment!$B$2:$B$37,Phone_by_Sentiment!E$2:E$37,"",0,1),0),$A729-TEXT(DATEVALUE($D729&amp;"-01"), "dd-mm-yyyy")),0),0)</f>
        <v>416</v>
      </c>
      <c r="F729" cm="1">
        <f t="array" ref="F729">IF($Q729&gt;=0,IFERROR(generateSalesData($D729, IF(ISNUMBER(_xlfn.XLOOKUP($C729,Phone_by_Sentiment!$B$2:$B$37,Phone_by_Sentiment!F$2:F$37,"",0,1)),_xlfn.XLOOKUP($C729,Phone_by_Sentiment!$B$2:$B$37,Phone_by_Sentiment!F$2:F$37,"",0,1),0),$A729-TEXT(DATEVALUE($D729&amp;"-01"), "dd-mm-yyyy")),0),0)</f>
        <v>782</v>
      </c>
      <c r="G729" cm="1">
        <f t="array" ref="G729">IF($Q729&gt;=0,IFERROR(generateSalesData($D729, IF(ISNUMBER(_xlfn.XLOOKUP($C729,Phone_by_Sentiment!$B$2:$B$37,Phone_by_Sentiment!G$2:G$37,"",0,1)),_xlfn.XLOOKUP($C729,Phone_by_Sentiment!$B$2:$B$37,Phone_by_Sentiment!G$2:G$37,"",0,1),0),$A729-TEXT(DATEVALUE($D729&amp;"-01"), "dd-mm-yyyy")),0),0)</f>
        <v>120</v>
      </c>
      <c r="H729" cm="1">
        <f t="array" ref="H729">IF($Q729&gt;=0,IFERROR(generateSalesData($D729, IF(ISNUMBER(_xlfn.XLOOKUP($C729,Phone_by_Sentiment!$B$2:$B$37,Phone_by_Sentiment!H$2:H$37,"",0,1)),_xlfn.XLOOKUP($C729,Phone_by_Sentiment!$B$2:$B$37,Phone_by_Sentiment!H$2:H$37,"",0,1),0),$A729-TEXT(DATEVALUE($D729&amp;"-01"), "dd-mm-yyyy")),0),0)</f>
        <v>695</v>
      </c>
      <c r="I729" cm="1">
        <f t="array" ref="I729">IF($Q729&gt;=0,IFERROR(generateSalesData($D729, IF(ISNUMBER(_xlfn.XLOOKUP($C729,Phone_by_Sentiment!$B$2:$B$37,Phone_by_Sentiment!I$2:I$37,"",0,1)),_xlfn.XLOOKUP($C729,Phone_by_Sentiment!$B$2:$B$37,Phone_by_Sentiment!I$2:I$37,"",0,1),0),$A729-TEXT(DATEVALUE($D729&amp;"-01"), "dd-mm-yyyy")),0),0)</f>
        <v>596</v>
      </c>
      <c r="J729" cm="1">
        <f t="array" ref="J729">IF($Q729&gt;=0,IFERROR(generateSalesData($D729, IF(ISNUMBER(_xlfn.XLOOKUP($C729,Phone_by_Sentiment!$B$2:$B$37,Phone_by_Sentiment!J$2:J$37,"",0,1)),_xlfn.XLOOKUP($C729,Phone_by_Sentiment!$B$2:$B$37,Phone_by_Sentiment!J$2:J$37,"",0,1),0),$A729-TEXT(DATEVALUE($D729&amp;"-01"), "dd-mm-yyyy")),0),0)</f>
        <v>858</v>
      </c>
      <c r="K729" cm="1">
        <f t="array" ref="K729">IF($Q729&gt;=0,IFERROR(generateSalesData($D729, IF(ISNUMBER(_xlfn.XLOOKUP($C729,Phone_by_Sentiment!$B$2:$B$37,Phone_by_Sentiment!K$2:K$37,"",0,1)),_xlfn.XLOOKUP($C729,Phone_by_Sentiment!$B$2:$B$37,Phone_by_Sentiment!K$2:K$37,"",0,1),0),$A729-TEXT(DATEVALUE($D729&amp;"-01"), "dd-mm-yyyy")),0),0)</f>
        <v>109</v>
      </c>
      <c r="L729" cm="1">
        <f t="array" ref="L729">IF($Q729&gt;=0,IFERROR(generateSalesData($D729, IF(ISNUMBER(_xlfn.XLOOKUP($C729,Phone_by_Sentiment!$B$2:$B$37,Phone_by_Sentiment!L$2:L$37,"",0,1)),_xlfn.XLOOKUP($C729,Phone_by_Sentiment!$B$2:$B$37,Phone_by_Sentiment!L$2:L$37,"",0,1),0),$A729-TEXT(DATEVALUE($D729&amp;"-01"), "dd-mm-yyyy")),0),0)</f>
        <v>1139</v>
      </c>
      <c r="M729" cm="1">
        <f t="array" ref="M729">IF($Q729&gt;=0,IFERROR(generateSalesData($D729, IF(ISNUMBER(_xlfn.XLOOKUP($C729,Phone_by_Sentiment!$B$2:$B$37,Phone_by_Sentiment!M$2:M$37,"",0,1)),_xlfn.XLOOKUP($C729,Phone_by_Sentiment!$B$2:$B$37,Phone_by_Sentiment!M$2:M$37,"",0,1),0),$A729-TEXT(DATEVALUE($D729&amp;"-01"), "dd-mm-yyyy")),0),0)</f>
        <v>534</v>
      </c>
      <c r="N729" cm="1">
        <f t="array" ref="N729">IF($Q729&gt;=0,IFERROR(generateSalesData($D729, IF(ISNUMBER(_xlfn.XLOOKUP($C729,Phone_by_Sentiment!$B$2:$B$37,Phone_by_Sentiment!N$2:N$37,"",0,1)),_xlfn.XLOOKUP($C729,Phone_by_Sentiment!$B$2:$B$37,Phone_by_Sentiment!N$2:N$37,"",0,1),0),$A729-TEXT(DATEVALUE($D729&amp;"-01"), "dd-mm-yyyy")),0),0)</f>
        <v>555</v>
      </c>
      <c r="O729" cm="1">
        <f t="array" ref="O729">IF($Q729&gt;=0,IFERROR(generateSalesData($D729, IF(ISNUMBER(_xlfn.XLOOKUP($C729,Phone_by_Sentiment!$B$2:$B$37,Phone_by_Sentiment!O$2:O$37,"",0,1)),_xlfn.XLOOKUP($C729,Phone_by_Sentiment!$B$2:$B$37,Phone_by_Sentiment!O$2:O$37,"",0,1),0),$A729-TEXT(DATEVALUE($D729&amp;"-01"), "dd-mm-yyyy")),0),0)</f>
        <v>543</v>
      </c>
      <c r="P729" s="1">
        <f t="shared" si="30"/>
        <v>43709</v>
      </c>
      <c r="Q729">
        <f t="shared" si="31"/>
        <v>366</v>
      </c>
    </row>
    <row r="730" spans="1:17" x14ac:dyDescent="0.25">
      <c r="A730" s="1">
        <f t="shared" si="27"/>
        <v>44075</v>
      </c>
      <c r="B730" t="s">
        <v>143</v>
      </c>
      <c r="C730" t="str">
        <f>_xlfn.XLOOKUP(B730,Phone_by_Price!$A$2:$A$34,Phone_by_Price!$B$2:$B$34,"-",0,1)</f>
        <v>Samsung Galaxy S20 Ultra</v>
      </c>
      <c r="D730" t="str">
        <f>_xlfn.XLOOKUP(C730,Phone_by_Sentiment!$B$2:$B$37,Phone_by_Sentiment!$A$2:$A$37,"-",0,1)</f>
        <v>2020-02</v>
      </c>
      <c r="E730" cm="1">
        <f t="array" ref="E730">IF($Q730&gt;=0,IFERROR(generateSalesData($D730, IF(ISNUMBER(_xlfn.XLOOKUP($C730,Phone_by_Sentiment!$B$2:$B$37,Phone_by_Sentiment!E$2:E$37,"",0,1)),_xlfn.XLOOKUP($C730,Phone_by_Sentiment!$B$2:$B$37,Phone_by_Sentiment!E$2:E$37,"",0,1),0),$A730-TEXT(DATEVALUE($D730&amp;"-01"), "dd-mm-yyyy")),0),0)</f>
        <v>38</v>
      </c>
      <c r="F730" cm="1">
        <f t="array" ref="F730">IF($Q730&gt;=0,IFERROR(generateSalesData($D730, IF(ISNUMBER(_xlfn.XLOOKUP($C730,Phone_by_Sentiment!$B$2:$B$37,Phone_by_Sentiment!F$2:F$37,"",0,1)),_xlfn.XLOOKUP($C730,Phone_by_Sentiment!$B$2:$B$37,Phone_by_Sentiment!F$2:F$37,"",0,1),0),$A730-TEXT(DATEVALUE($D730&amp;"-01"), "dd-mm-yyyy")),0),0)</f>
        <v>404</v>
      </c>
      <c r="G730" cm="1">
        <f t="array" ref="G730">IF($Q730&gt;=0,IFERROR(generateSalesData($D730, IF(ISNUMBER(_xlfn.XLOOKUP($C730,Phone_by_Sentiment!$B$2:$B$37,Phone_by_Sentiment!G$2:G$37,"",0,1)),_xlfn.XLOOKUP($C730,Phone_by_Sentiment!$B$2:$B$37,Phone_by_Sentiment!G$2:G$37,"",0,1),0),$A730-TEXT(DATEVALUE($D730&amp;"-01"), "dd-mm-yyyy")),0),0)</f>
        <v>143</v>
      </c>
      <c r="H730" cm="1">
        <f t="array" ref="H730">IF($Q730&gt;=0,IFERROR(generateSalesData($D730, IF(ISNUMBER(_xlfn.XLOOKUP($C730,Phone_by_Sentiment!$B$2:$B$37,Phone_by_Sentiment!H$2:H$37,"",0,1)),_xlfn.XLOOKUP($C730,Phone_by_Sentiment!$B$2:$B$37,Phone_by_Sentiment!H$2:H$37,"",0,1),0),$A730-TEXT(DATEVALUE($D730&amp;"-01"), "dd-mm-yyyy")),0),0)</f>
        <v>1564</v>
      </c>
      <c r="I730" cm="1">
        <f t="array" ref="I730">IF($Q730&gt;=0,IFERROR(generateSalesData($D730, IF(ISNUMBER(_xlfn.XLOOKUP($C730,Phone_by_Sentiment!$B$2:$B$37,Phone_by_Sentiment!I$2:I$37,"",0,1)),_xlfn.XLOOKUP($C730,Phone_by_Sentiment!$B$2:$B$37,Phone_by_Sentiment!I$2:I$37,"",0,1),0),$A730-TEXT(DATEVALUE($D730&amp;"-01"), "dd-mm-yyyy")),0),0)</f>
        <v>906</v>
      </c>
      <c r="J730" cm="1">
        <f t="array" ref="J730">IF($Q730&gt;=0,IFERROR(generateSalesData($D730, IF(ISNUMBER(_xlfn.XLOOKUP($C730,Phone_by_Sentiment!$B$2:$B$37,Phone_by_Sentiment!J$2:J$37,"",0,1)),_xlfn.XLOOKUP($C730,Phone_by_Sentiment!$B$2:$B$37,Phone_by_Sentiment!J$2:J$37,"",0,1),0),$A730-TEXT(DATEVALUE($D730&amp;"-01"), "dd-mm-yyyy")),0),0)</f>
        <v>972</v>
      </c>
      <c r="K730" cm="1">
        <f t="array" ref="K730">IF($Q730&gt;=0,IFERROR(generateSalesData($D730, IF(ISNUMBER(_xlfn.XLOOKUP($C730,Phone_by_Sentiment!$B$2:$B$37,Phone_by_Sentiment!K$2:K$37,"",0,1)),_xlfn.XLOOKUP($C730,Phone_by_Sentiment!$B$2:$B$37,Phone_by_Sentiment!K$2:K$37,"",0,1),0),$A730-TEXT(DATEVALUE($D730&amp;"-01"), "dd-mm-yyyy")),0),0)</f>
        <v>386</v>
      </c>
      <c r="L730" cm="1">
        <f t="array" ref="L730">IF($Q730&gt;=0,IFERROR(generateSalesData($D730, IF(ISNUMBER(_xlfn.XLOOKUP($C730,Phone_by_Sentiment!$B$2:$B$37,Phone_by_Sentiment!L$2:L$37,"",0,1)),_xlfn.XLOOKUP($C730,Phone_by_Sentiment!$B$2:$B$37,Phone_by_Sentiment!L$2:L$37,"",0,1),0),$A730-TEXT(DATEVALUE($D730&amp;"-01"), "dd-mm-yyyy")),0),0)</f>
        <v>1598</v>
      </c>
      <c r="M730" cm="1">
        <f t="array" ref="M730">IF($Q730&gt;=0,IFERROR(generateSalesData($D730, IF(ISNUMBER(_xlfn.XLOOKUP($C730,Phone_by_Sentiment!$B$2:$B$37,Phone_by_Sentiment!M$2:M$37,"",0,1)),_xlfn.XLOOKUP($C730,Phone_by_Sentiment!$B$2:$B$37,Phone_by_Sentiment!M$2:M$37,"",0,1),0),$A730-TEXT(DATEVALUE($D730&amp;"-01"), "dd-mm-yyyy")),0),0)</f>
        <v>172</v>
      </c>
      <c r="N730" cm="1">
        <f t="array" ref="N730">IF($Q730&gt;=0,IFERROR(generateSalesData($D730, IF(ISNUMBER(_xlfn.XLOOKUP($C730,Phone_by_Sentiment!$B$2:$B$37,Phone_by_Sentiment!N$2:N$37,"",0,1)),_xlfn.XLOOKUP($C730,Phone_by_Sentiment!$B$2:$B$37,Phone_by_Sentiment!N$2:N$37,"",0,1),0),$A730-TEXT(DATEVALUE($D730&amp;"-01"), "dd-mm-yyyy")),0),0)</f>
        <v>373</v>
      </c>
      <c r="O730" cm="1">
        <f t="array" ref="O730">IF($Q730&gt;=0,IFERROR(generateSalesData($D730, IF(ISNUMBER(_xlfn.XLOOKUP($C730,Phone_by_Sentiment!$B$2:$B$37,Phone_by_Sentiment!O$2:O$37,"",0,1)),_xlfn.XLOOKUP($C730,Phone_by_Sentiment!$B$2:$B$37,Phone_by_Sentiment!O$2:O$37,"",0,1),0),$A730-TEXT(DATEVALUE($D730&amp;"-01"), "dd-mm-yyyy")),0),0)</f>
        <v>1287</v>
      </c>
      <c r="P730" s="1">
        <f t="shared" si="30"/>
        <v>43862</v>
      </c>
      <c r="Q730">
        <f t="shared" si="31"/>
        <v>213</v>
      </c>
    </row>
    <row r="731" spans="1:17" x14ac:dyDescent="0.25">
      <c r="A731" s="1">
        <f t="shared" si="27"/>
        <v>44075</v>
      </c>
      <c r="B731" t="s">
        <v>144</v>
      </c>
      <c r="C731" t="str">
        <f>_xlfn.XLOOKUP(B731,Phone_by_Price!$A$2:$A$34,Phone_by_Price!$B$2:$B$34,"-",0,1)</f>
        <v>Xiaomi Redmi Note 10</v>
      </c>
      <c r="D731" t="str">
        <f>_xlfn.XLOOKUP(C731,Phone_by_Sentiment!$B$2:$B$37,Phone_by_Sentiment!$A$2:$A$37,"-",0,1)</f>
        <v>2021-03</v>
      </c>
      <c r="E731" cm="1">
        <f t="array" ref="E731">IF($Q731&gt;=0,IFERROR(generateSalesData($D731, IF(ISNUMBER(_xlfn.XLOOKUP($C731,Phone_by_Sentiment!$B$2:$B$37,Phone_by_Sentiment!E$2:E$37,"",0,1)),_xlfn.XLOOKUP($C731,Phone_by_Sentiment!$B$2:$B$37,Phone_by_Sentiment!E$2:E$37,"",0,1),0),$A731-TEXT(DATEVALUE($D731&amp;"-01"), "dd-mm-yyyy")),0),0)</f>
        <v>0</v>
      </c>
      <c r="F731" cm="1">
        <f t="array" ref="F731">IF($Q731&gt;=0,IFERROR(generateSalesData($D731, IF(ISNUMBER(_xlfn.XLOOKUP($C731,Phone_by_Sentiment!$B$2:$B$37,Phone_by_Sentiment!F$2:F$37,"",0,1)),_xlfn.XLOOKUP($C731,Phone_by_Sentiment!$B$2:$B$37,Phone_by_Sentiment!F$2:F$37,"",0,1),0),$A731-TEXT(DATEVALUE($D731&amp;"-01"), "dd-mm-yyyy")),0),0)</f>
        <v>0</v>
      </c>
      <c r="G731" cm="1">
        <f t="array" ref="G731">IF($Q731&gt;=0,IFERROR(generateSalesData($D731, IF(ISNUMBER(_xlfn.XLOOKUP($C731,Phone_by_Sentiment!$B$2:$B$37,Phone_by_Sentiment!G$2:G$37,"",0,1)),_xlfn.XLOOKUP($C731,Phone_by_Sentiment!$B$2:$B$37,Phone_by_Sentiment!G$2:G$37,"",0,1),0),$A731-TEXT(DATEVALUE($D731&amp;"-01"), "dd-mm-yyyy")),0),0)</f>
        <v>0</v>
      </c>
      <c r="H731" cm="1">
        <f t="array" ref="H731">IF($Q731&gt;=0,IFERROR(generateSalesData($D731, IF(ISNUMBER(_xlfn.XLOOKUP($C731,Phone_by_Sentiment!$B$2:$B$37,Phone_by_Sentiment!H$2:H$37,"",0,1)),_xlfn.XLOOKUP($C731,Phone_by_Sentiment!$B$2:$B$37,Phone_by_Sentiment!H$2:H$37,"",0,1),0),$A731-TEXT(DATEVALUE($D731&amp;"-01"), "dd-mm-yyyy")),0),0)</f>
        <v>0</v>
      </c>
      <c r="I731" cm="1">
        <f t="array" ref="I731">IF($Q731&gt;=0,IFERROR(generateSalesData($D731, IF(ISNUMBER(_xlfn.XLOOKUP($C731,Phone_by_Sentiment!$B$2:$B$37,Phone_by_Sentiment!I$2:I$37,"",0,1)),_xlfn.XLOOKUP($C731,Phone_by_Sentiment!$B$2:$B$37,Phone_by_Sentiment!I$2:I$37,"",0,1),0),$A731-TEXT(DATEVALUE($D731&amp;"-01"), "dd-mm-yyyy")),0),0)</f>
        <v>0</v>
      </c>
      <c r="J731" cm="1">
        <f t="array" ref="J731">IF($Q731&gt;=0,IFERROR(generateSalesData($D731, IF(ISNUMBER(_xlfn.XLOOKUP($C731,Phone_by_Sentiment!$B$2:$B$37,Phone_by_Sentiment!J$2:J$37,"",0,1)),_xlfn.XLOOKUP($C731,Phone_by_Sentiment!$B$2:$B$37,Phone_by_Sentiment!J$2:J$37,"",0,1),0),$A731-TEXT(DATEVALUE($D731&amp;"-01"), "dd-mm-yyyy")),0),0)</f>
        <v>0</v>
      </c>
      <c r="K731" cm="1">
        <f t="array" ref="K731">IF($Q731&gt;=0,IFERROR(generateSalesData($D731, IF(ISNUMBER(_xlfn.XLOOKUP($C731,Phone_by_Sentiment!$B$2:$B$37,Phone_by_Sentiment!K$2:K$37,"",0,1)),_xlfn.XLOOKUP($C731,Phone_by_Sentiment!$B$2:$B$37,Phone_by_Sentiment!K$2:K$37,"",0,1),0),$A731-TEXT(DATEVALUE($D731&amp;"-01"), "dd-mm-yyyy")),0),0)</f>
        <v>0</v>
      </c>
      <c r="L731" cm="1">
        <f t="array" ref="L731">IF($Q731&gt;=0,IFERROR(generateSalesData($D731, IF(ISNUMBER(_xlfn.XLOOKUP($C731,Phone_by_Sentiment!$B$2:$B$37,Phone_by_Sentiment!L$2:L$37,"",0,1)),_xlfn.XLOOKUP($C731,Phone_by_Sentiment!$B$2:$B$37,Phone_by_Sentiment!L$2:L$37,"",0,1),0),$A731-TEXT(DATEVALUE($D731&amp;"-01"), "dd-mm-yyyy")),0),0)</f>
        <v>0</v>
      </c>
      <c r="M731" cm="1">
        <f t="array" ref="M731">IF($Q731&gt;=0,IFERROR(generateSalesData($D731, IF(ISNUMBER(_xlfn.XLOOKUP($C731,Phone_by_Sentiment!$B$2:$B$37,Phone_by_Sentiment!M$2:M$37,"",0,1)),_xlfn.XLOOKUP($C731,Phone_by_Sentiment!$B$2:$B$37,Phone_by_Sentiment!M$2:M$37,"",0,1),0),$A731-TEXT(DATEVALUE($D731&amp;"-01"), "dd-mm-yyyy")),0),0)</f>
        <v>0</v>
      </c>
      <c r="N731" cm="1">
        <f t="array" ref="N731">IF($Q731&gt;=0,IFERROR(generateSalesData($D731, IF(ISNUMBER(_xlfn.XLOOKUP($C731,Phone_by_Sentiment!$B$2:$B$37,Phone_by_Sentiment!N$2:N$37,"",0,1)),_xlfn.XLOOKUP($C731,Phone_by_Sentiment!$B$2:$B$37,Phone_by_Sentiment!N$2:N$37,"",0,1),0),$A731-TEXT(DATEVALUE($D731&amp;"-01"), "dd-mm-yyyy")),0),0)</f>
        <v>0</v>
      </c>
      <c r="O731" cm="1">
        <f t="array" ref="O731">IF($Q731&gt;=0,IFERROR(generateSalesData($D731, IF(ISNUMBER(_xlfn.XLOOKUP($C731,Phone_by_Sentiment!$B$2:$B$37,Phone_by_Sentiment!O$2:O$37,"",0,1)),_xlfn.XLOOKUP($C731,Phone_by_Sentiment!$B$2:$B$37,Phone_by_Sentiment!O$2:O$37,"",0,1),0),$A731-TEXT(DATEVALUE($D731&amp;"-01"), "dd-mm-yyyy")),0),0)</f>
        <v>0</v>
      </c>
      <c r="P731" s="1">
        <f t="shared" si="30"/>
        <v>44256</v>
      </c>
      <c r="Q731">
        <f t="shared" si="31"/>
        <v>-181</v>
      </c>
    </row>
    <row r="732" spans="1:17" x14ac:dyDescent="0.25">
      <c r="A732" s="1">
        <f t="shared" si="27"/>
        <v>44075</v>
      </c>
      <c r="B732" t="s">
        <v>145</v>
      </c>
      <c r="C732" t="str">
        <f>_xlfn.XLOOKUP(B732,Phone_by_Price!$A$2:$A$34,Phone_by_Price!$B$2:$B$34,"-",0,1)</f>
        <v>OPPO A54</v>
      </c>
      <c r="D732" t="str">
        <f>_xlfn.XLOOKUP(C732,Phone_by_Sentiment!$B$2:$B$37,Phone_by_Sentiment!$A$2:$A$37,"-",0,1)</f>
        <v>2021-04</v>
      </c>
      <c r="E732" cm="1">
        <f t="array" ref="E732">IF($Q732&gt;=0,IFERROR(generateSalesData($D732, IF(ISNUMBER(_xlfn.XLOOKUP($C732,Phone_by_Sentiment!$B$2:$B$37,Phone_by_Sentiment!E$2:E$37,"",0,1)),_xlfn.XLOOKUP($C732,Phone_by_Sentiment!$B$2:$B$37,Phone_by_Sentiment!E$2:E$37,"",0,1),0),$A732-TEXT(DATEVALUE($D732&amp;"-01"), "dd-mm-yyyy")),0),0)</f>
        <v>0</v>
      </c>
      <c r="F732" cm="1">
        <f t="array" ref="F732">IF($Q732&gt;=0,IFERROR(generateSalesData($D732, IF(ISNUMBER(_xlfn.XLOOKUP($C732,Phone_by_Sentiment!$B$2:$B$37,Phone_by_Sentiment!F$2:F$37,"",0,1)),_xlfn.XLOOKUP($C732,Phone_by_Sentiment!$B$2:$B$37,Phone_by_Sentiment!F$2:F$37,"",0,1),0),$A732-TEXT(DATEVALUE($D732&amp;"-01"), "dd-mm-yyyy")),0),0)</f>
        <v>0</v>
      </c>
      <c r="G732" cm="1">
        <f t="array" ref="G732">IF($Q732&gt;=0,IFERROR(generateSalesData($D732, IF(ISNUMBER(_xlfn.XLOOKUP($C732,Phone_by_Sentiment!$B$2:$B$37,Phone_by_Sentiment!G$2:G$37,"",0,1)),_xlfn.XLOOKUP($C732,Phone_by_Sentiment!$B$2:$B$37,Phone_by_Sentiment!G$2:G$37,"",0,1),0),$A732-TEXT(DATEVALUE($D732&amp;"-01"), "dd-mm-yyyy")),0),0)</f>
        <v>0</v>
      </c>
      <c r="H732" cm="1">
        <f t="array" ref="H732">IF($Q732&gt;=0,IFERROR(generateSalesData($D732, IF(ISNUMBER(_xlfn.XLOOKUP($C732,Phone_by_Sentiment!$B$2:$B$37,Phone_by_Sentiment!H$2:H$37,"",0,1)),_xlfn.XLOOKUP($C732,Phone_by_Sentiment!$B$2:$B$37,Phone_by_Sentiment!H$2:H$37,"",0,1),0),$A732-TEXT(DATEVALUE($D732&amp;"-01"), "dd-mm-yyyy")),0),0)</f>
        <v>0</v>
      </c>
      <c r="I732" cm="1">
        <f t="array" ref="I732">IF($Q732&gt;=0,IFERROR(generateSalesData($D732, IF(ISNUMBER(_xlfn.XLOOKUP($C732,Phone_by_Sentiment!$B$2:$B$37,Phone_by_Sentiment!I$2:I$37,"",0,1)),_xlfn.XLOOKUP($C732,Phone_by_Sentiment!$B$2:$B$37,Phone_by_Sentiment!I$2:I$37,"",0,1),0),$A732-TEXT(DATEVALUE($D732&amp;"-01"), "dd-mm-yyyy")),0),0)</f>
        <v>0</v>
      </c>
      <c r="J732" cm="1">
        <f t="array" ref="J732">IF($Q732&gt;=0,IFERROR(generateSalesData($D732, IF(ISNUMBER(_xlfn.XLOOKUP($C732,Phone_by_Sentiment!$B$2:$B$37,Phone_by_Sentiment!J$2:J$37,"",0,1)),_xlfn.XLOOKUP($C732,Phone_by_Sentiment!$B$2:$B$37,Phone_by_Sentiment!J$2:J$37,"",0,1),0),$A732-TEXT(DATEVALUE($D732&amp;"-01"), "dd-mm-yyyy")),0),0)</f>
        <v>0</v>
      </c>
      <c r="K732" cm="1">
        <f t="array" ref="K732">IF($Q732&gt;=0,IFERROR(generateSalesData($D732, IF(ISNUMBER(_xlfn.XLOOKUP($C732,Phone_by_Sentiment!$B$2:$B$37,Phone_by_Sentiment!K$2:K$37,"",0,1)),_xlfn.XLOOKUP($C732,Phone_by_Sentiment!$B$2:$B$37,Phone_by_Sentiment!K$2:K$37,"",0,1),0),$A732-TEXT(DATEVALUE($D732&amp;"-01"), "dd-mm-yyyy")),0),0)</f>
        <v>0</v>
      </c>
      <c r="L732" cm="1">
        <f t="array" ref="L732">IF($Q732&gt;=0,IFERROR(generateSalesData($D732, IF(ISNUMBER(_xlfn.XLOOKUP($C732,Phone_by_Sentiment!$B$2:$B$37,Phone_by_Sentiment!L$2:L$37,"",0,1)),_xlfn.XLOOKUP($C732,Phone_by_Sentiment!$B$2:$B$37,Phone_by_Sentiment!L$2:L$37,"",0,1),0),$A732-TEXT(DATEVALUE($D732&amp;"-01"), "dd-mm-yyyy")),0),0)</f>
        <v>0</v>
      </c>
      <c r="M732" cm="1">
        <f t="array" ref="M732">IF($Q732&gt;=0,IFERROR(generateSalesData($D732, IF(ISNUMBER(_xlfn.XLOOKUP($C732,Phone_by_Sentiment!$B$2:$B$37,Phone_by_Sentiment!M$2:M$37,"",0,1)),_xlfn.XLOOKUP($C732,Phone_by_Sentiment!$B$2:$B$37,Phone_by_Sentiment!M$2:M$37,"",0,1),0),$A732-TEXT(DATEVALUE($D732&amp;"-01"), "dd-mm-yyyy")),0),0)</f>
        <v>0</v>
      </c>
      <c r="N732" cm="1">
        <f t="array" ref="N732">IF($Q732&gt;=0,IFERROR(generateSalesData($D732, IF(ISNUMBER(_xlfn.XLOOKUP($C732,Phone_by_Sentiment!$B$2:$B$37,Phone_by_Sentiment!N$2:N$37,"",0,1)),_xlfn.XLOOKUP($C732,Phone_by_Sentiment!$B$2:$B$37,Phone_by_Sentiment!N$2:N$37,"",0,1),0),$A732-TEXT(DATEVALUE($D732&amp;"-01"), "dd-mm-yyyy")),0),0)</f>
        <v>0</v>
      </c>
      <c r="O732" cm="1">
        <f t="array" ref="O732">IF($Q732&gt;=0,IFERROR(generateSalesData($D732, IF(ISNUMBER(_xlfn.XLOOKUP($C732,Phone_by_Sentiment!$B$2:$B$37,Phone_by_Sentiment!O$2:O$37,"",0,1)),_xlfn.XLOOKUP($C732,Phone_by_Sentiment!$B$2:$B$37,Phone_by_Sentiment!O$2:O$37,"",0,1),0),$A732-TEXT(DATEVALUE($D732&amp;"-01"), "dd-mm-yyyy")),0),0)</f>
        <v>0</v>
      </c>
      <c r="P732" s="1">
        <f t="shared" si="30"/>
        <v>44287</v>
      </c>
      <c r="Q732">
        <f t="shared" si="31"/>
        <v>-212</v>
      </c>
    </row>
    <row r="733" spans="1:17" x14ac:dyDescent="0.25">
      <c r="A733" s="1">
        <f t="shared" si="27"/>
        <v>44075</v>
      </c>
      <c r="B733" t="s">
        <v>146</v>
      </c>
      <c r="C733" t="str">
        <f>_xlfn.XLOOKUP(B733,Phone_by_Price!$A$2:$A$34,Phone_by_Price!$B$2:$B$34,"-",0,1)</f>
        <v>Vivo Y20</v>
      </c>
      <c r="D733" t="str">
        <f>_xlfn.XLOOKUP(C733,Phone_by_Sentiment!$B$2:$B$37,Phone_by_Sentiment!$A$2:$A$37,"-",0,1)</f>
        <v>2020-09</v>
      </c>
      <c r="E733" cm="1">
        <f t="array" ref="E733">IF($Q733&gt;=0,IFERROR(generateSalesData($D733, IF(ISNUMBER(_xlfn.XLOOKUP($C733,Phone_by_Sentiment!$B$2:$B$37,Phone_by_Sentiment!E$2:E$37,"",0,1)),_xlfn.XLOOKUP($C733,Phone_by_Sentiment!$B$2:$B$37,Phone_by_Sentiment!E$2:E$37,"",0,1),0),$A733-TEXT(DATEVALUE($D733&amp;"-01"), "dd-mm-yyyy")),0),0)</f>
        <v>9274</v>
      </c>
      <c r="F733" cm="1">
        <f t="array" ref="F733">IF($Q733&gt;=0,IFERROR(generateSalesData($D733, IF(ISNUMBER(_xlfn.XLOOKUP($C733,Phone_by_Sentiment!$B$2:$B$37,Phone_by_Sentiment!F$2:F$37,"",0,1)),_xlfn.XLOOKUP($C733,Phone_by_Sentiment!$B$2:$B$37,Phone_by_Sentiment!F$2:F$37,"",0,1),0),$A733-TEXT(DATEVALUE($D733&amp;"-01"), "dd-mm-yyyy")),0),0)</f>
        <v>8278</v>
      </c>
      <c r="G733" cm="1">
        <f t="array" ref="G733">IF($Q733&gt;=0,IFERROR(generateSalesData($D733, IF(ISNUMBER(_xlfn.XLOOKUP($C733,Phone_by_Sentiment!$B$2:$B$37,Phone_by_Sentiment!G$2:G$37,"",0,1)),_xlfn.XLOOKUP($C733,Phone_by_Sentiment!$B$2:$B$37,Phone_by_Sentiment!G$2:G$37,"",0,1),0),$A733-TEXT(DATEVALUE($D733&amp;"-01"), "dd-mm-yyyy")),0),0)</f>
        <v>2262</v>
      </c>
      <c r="H733" cm="1">
        <f t="array" ref="H733">IF($Q733&gt;=0,IFERROR(generateSalesData($D733, IF(ISNUMBER(_xlfn.XLOOKUP($C733,Phone_by_Sentiment!$B$2:$B$37,Phone_by_Sentiment!H$2:H$37,"",0,1)),_xlfn.XLOOKUP($C733,Phone_by_Sentiment!$B$2:$B$37,Phone_by_Sentiment!H$2:H$37,"",0,1),0),$A733-TEXT(DATEVALUE($D733&amp;"-01"), "dd-mm-yyyy")),0),0)</f>
        <v>1322</v>
      </c>
      <c r="I733" cm="1">
        <f t="array" ref="I733">IF($Q733&gt;=0,IFERROR(generateSalesData($D733, IF(ISNUMBER(_xlfn.XLOOKUP($C733,Phone_by_Sentiment!$B$2:$B$37,Phone_by_Sentiment!I$2:I$37,"",0,1)),_xlfn.XLOOKUP($C733,Phone_by_Sentiment!$B$2:$B$37,Phone_by_Sentiment!I$2:I$37,"",0,1),0),$A733-TEXT(DATEVALUE($D733&amp;"-01"), "dd-mm-yyyy")),0),0)</f>
        <v>3689</v>
      </c>
      <c r="J733" cm="1">
        <f t="array" ref="J733">IF($Q733&gt;=0,IFERROR(generateSalesData($D733, IF(ISNUMBER(_xlfn.XLOOKUP($C733,Phone_by_Sentiment!$B$2:$B$37,Phone_by_Sentiment!J$2:J$37,"",0,1)),_xlfn.XLOOKUP($C733,Phone_by_Sentiment!$B$2:$B$37,Phone_by_Sentiment!J$2:J$37,"",0,1),0),$A733-TEXT(DATEVALUE($D733&amp;"-01"), "dd-mm-yyyy")),0),0)</f>
        <v>2031</v>
      </c>
      <c r="K733" cm="1">
        <f t="array" ref="K733">IF($Q733&gt;=0,IFERROR(generateSalesData($D733, IF(ISNUMBER(_xlfn.XLOOKUP($C733,Phone_by_Sentiment!$B$2:$B$37,Phone_by_Sentiment!K$2:K$37,"",0,1)),_xlfn.XLOOKUP($C733,Phone_by_Sentiment!$B$2:$B$37,Phone_by_Sentiment!K$2:K$37,"",0,1),0),$A733-TEXT(DATEVALUE($D733&amp;"-01"), "dd-mm-yyyy")),0),0)</f>
        <v>2461</v>
      </c>
      <c r="L733" cm="1">
        <f t="array" ref="L733">IF($Q733&gt;=0,IFERROR(generateSalesData($D733, IF(ISNUMBER(_xlfn.XLOOKUP($C733,Phone_by_Sentiment!$B$2:$B$37,Phone_by_Sentiment!L$2:L$37,"",0,1)),_xlfn.XLOOKUP($C733,Phone_by_Sentiment!$B$2:$B$37,Phone_by_Sentiment!L$2:L$37,"",0,1),0),$A733-TEXT(DATEVALUE($D733&amp;"-01"), "dd-mm-yyyy")),0),0)</f>
        <v>13229</v>
      </c>
      <c r="M733" cm="1">
        <f t="array" ref="M733">IF($Q733&gt;=0,IFERROR(generateSalesData($D733, IF(ISNUMBER(_xlfn.XLOOKUP($C733,Phone_by_Sentiment!$B$2:$B$37,Phone_by_Sentiment!M$2:M$37,"",0,1)),_xlfn.XLOOKUP($C733,Phone_by_Sentiment!$B$2:$B$37,Phone_by_Sentiment!M$2:M$37,"",0,1),0),$A733-TEXT(DATEVALUE($D733&amp;"-01"), "dd-mm-yyyy")),0),0)</f>
        <v>2236</v>
      </c>
      <c r="N733" cm="1">
        <f t="array" ref="N733">IF($Q733&gt;=0,IFERROR(generateSalesData($D733, IF(ISNUMBER(_xlfn.XLOOKUP($C733,Phone_by_Sentiment!$B$2:$B$37,Phone_by_Sentiment!N$2:N$37,"",0,1)),_xlfn.XLOOKUP($C733,Phone_by_Sentiment!$B$2:$B$37,Phone_by_Sentiment!N$2:N$37,"",0,1),0),$A733-TEXT(DATEVALUE($D733&amp;"-01"), "dd-mm-yyyy")),0),0)</f>
        <v>1473</v>
      </c>
      <c r="O733" cm="1">
        <f t="array" ref="O733">IF($Q733&gt;=0,IFERROR(generateSalesData($D733, IF(ISNUMBER(_xlfn.XLOOKUP($C733,Phone_by_Sentiment!$B$2:$B$37,Phone_by_Sentiment!O$2:O$37,"",0,1)),_xlfn.XLOOKUP($C733,Phone_by_Sentiment!$B$2:$B$37,Phone_by_Sentiment!O$2:O$37,"",0,1),0),$A733-TEXT(DATEVALUE($D733&amp;"-01"), "dd-mm-yyyy")),0),0)</f>
        <v>197</v>
      </c>
      <c r="P733" s="1">
        <f t="shared" si="30"/>
        <v>44075</v>
      </c>
      <c r="Q733">
        <f t="shared" si="31"/>
        <v>0</v>
      </c>
    </row>
    <row r="734" spans="1:17" x14ac:dyDescent="0.25">
      <c r="A734" s="1">
        <f t="shared" si="27"/>
        <v>44075</v>
      </c>
      <c r="B734" t="s">
        <v>147</v>
      </c>
      <c r="C734" t="str">
        <f>_xlfn.XLOOKUP(B734,Phone_by_Price!$A$2:$A$34,Phone_by_Price!$B$2:$B$34,"-",0,1)</f>
        <v>Huawei Y9a</v>
      </c>
      <c r="D734" t="str">
        <f>_xlfn.XLOOKUP(C734,Phone_by_Sentiment!$B$2:$B$37,Phone_by_Sentiment!$A$2:$A$37,"-",0,1)</f>
        <v>2020-02</v>
      </c>
      <c r="E734" cm="1">
        <f t="array" ref="E734">IF($Q734&gt;=0,IFERROR(generateSalesData($D734, IF(ISNUMBER(_xlfn.XLOOKUP($C734,Phone_by_Sentiment!$B$2:$B$37,Phone_by_Sentiment!E$2:E$37,"",0,1)),_xlfn.XLOOKUP($C734,Phone_by_Sentiment!$B$2:$B$37,Phone_by_Sentiment!E$2:E$37,"",0,1),0),$A734-TEXT(DATEVALUE($D734&amp;"-01"), "dd-mm-yyyy")),0),0)</f>
        <v>472</v>
      </c>
      <c r="F734" cm="1">
        <f t="array" ref="F734">IF($Q734&gt;=0,IFERROR(generateSalesData($D734, IF(ISNUMBER(_xlfn.XLOOKUP($C734,Phone_by_Sentiment!$B$2:$B$37,Phone_by_Sentiment!F$2:F$37,"",0,1)),_xlfn.XLOOKUP($C734,Phone_by_Sentiment!$B$2:$B$37,Phone_by_Sentiment!F$2:F$37,"",0,1),0),$A734-TEXT(DATEVALUE($D734&amp;"-01"), "dd-mm-yyyy")),0),0)</f>
        <v>604</v>
      </c>
      <c r="G734" cm="1">
        <f t="array" ref="G734">IF($Q734&gt;=0,IFERROR(generateSalesData($D734, IF(ISNUMBER(_xlfn.XLOOKUP($C734,Phone_by_Sentiment!$B$2:$B$37,Phone_by_Sentiment!G$2:G$37,"",0,1)),_xlfn.XLOOKUP($C734,Phone_by_Sentiment!$B$2:$B$37,Phone_by_Sentiment!G$2:G$37,"",0,1),0),$A734-TEXT(DATEVALUE($D734&amp;"-01"), "dd-mm-yyyy")),0),0)</f>
        <v>402</v>
      </c>
      <c r="H734" cm="1">
        <f t="array" ref="H734">IF($Q734&gt;=0,IFERROR(generateSalesData($D734, IF(ISNUMBER(_xlfn.XLOOKUP($C734,Phone_by_Sentiment!$B$2:$B$37,Phone_by_Sentiment!H$2:H$37,"",0,1)),_xlfn.XLOOKUP($C734,Phone_by_Sentiment!$B$2:$B$37,Phone_by_Sentiment!H$2:H$37,"",0,1),0),$A734-TEXT(DATEVALUE($D734&amp;"-01"), "dd-mm-yyyy")),0),0)</f>
        <v>346</v>
      </c>
      <c r="I734" cm="1">
        <f t="array" ref="I734">IF($Q734&gt;=0,IFERROR(generateSalesData($D734, IF(ISNUMBER(_xlfn.XLOOKUP($C734,Phone_by_Sentiment!$B$2:$B$37,Phone_by_Sentiment!I$2:I$37,"",0,1)),_xlfn.XLOOKUP($C734,Phone_by_Sentiment!$B$2:$B$37,Phone_by_Sentiment!I$2:I$37,"",0,1),0),$A734-TEXT(DATEVALUE($D734&amp;"-01"), "dd-mm-yyyy")),0),0)</f>
        <v>418</v>
      </c>
      <c r="J734" cm="1">
        <f t="array" ref="J734">IF($Q734&gt;=0,IFERROR(generateSalesData($D734, IF(ISNUMBER(_xlfn.XLOOKUP($C734,Phone_by_Sentiment!$B$2:$B$37,Phone_by_Sentiment!J$2:J$37,"",0,1)),_xlfn.XLOOKUP($C734,Phone_by_Sentiment!$B$2:$B$37,Phone_by_Sentiment!J$2:J$37,"",0,1),0),$A734-TEXT(DATEVALUE($D734&amp;"-01"), "dd-mm-yyyy")),0),0)</f>
        <v>346</v>
      </c>
      <c r="K734" cm="1">
        <f t="array" ref="K734">IF($Q734&gt;=0,IFERROR(generateSalesData($D734, IF(ISNUMBER(_xlfn.XLOOKUP($C734,Phone_by_Sentiment!$B$2:$B$37,Phone_by_Sentiment!K$2:K$37,"",0,1)),_xlfn.XLOOKUP($C734,Phone_by_Sentiment!$B$2:$B$37,Phone_by_Sentiment!K$2:K$37,"",0,1),0),$A734-TEXT(DATEVALUE($D734&amp;"-01"), "dd-mm-yyyy")),0),0)</f>
        <v>348</v>
      </c>
      <c r="L734" cm="1">
        <f t="array" ref="L734">IF($Q734&gt;=0,IFERROR(generateSalesData($D734, IF(ISNUMBER(_xlfn.XLOOKUP($C734,Phone_by_Sentiment!$B$2:$B$37,Phone_by_Sentiment!L$2:L$37,"",0,1)),_xlfn.XLOOKUP($C734,Phone_by_Sentiment!$B$2:$B$37,Phone_by_Sentiment!L$2:L$37,"",0,1),0),$A734-TEXT(DATEVALUE($D734&amp;"-01"), "dd-mm-yyyy")),0),0)</f>
        <v>459</v>
      </c>
      <c r="M734" cm="1">
        <f t="array" ref="M734">IF($Q734&gt;=0,IFERROR(generateSalesData($D734, IF(ISNUMBER(_xlfn.XLOOKUP($C734,Phone_by_Sentiment!$B$2:$B$37,Phone_by_Sentiment!M$2:M$37,"",0,1)),_xlfn.XLOOKUP($C734,Phone_by_Sentiment!$B$2:$B$37,Phone_by_Sentiment!M$2:M$37,"",0,1),0),$A734-TEXT(DATEVALUE($D734&amp;"-01"), "dd-mm-yyyy")),0),0)</f>
        <v>359</v>
      </c>
      <c r="N734" cm="1">
        <f t="array" ref="N734">IF($Q734&gt;=0,IFERROR(generateSalesData($D734, IF(ISNUMBER(_xlfn.XLOOKUP($C734,Phone_by_Sentiment!$B$2:$B$37,Phone_by_Sentiment!N$2:N$37,"",0,1)),_xlfn.XLOOKUP($C734,Phone_by_Sentiment!$B$2:$B$37,Phone_by_Sentiment!N$2:N$37,"",0,1),0),$A734-TEXT(DATEVALUE($D734&amp;"-01"), "dd-mm-yyyy")),0),0)</f>
        <v>613</v>
      </c>
      <c r="O734" cm="1">
        <f t="array" ref="O734">IF($Q734&gt;=0,IFERROR(generateSalesData($D734, IF(ISNUMBER(_xlfn.XLOOKUP($C734,Phone_by_Sentiment!$B$2:$B$37,Phone_by_Sentiment!O$2:O$37,"",0,1)),_xlfn.XLOOKUP($C734,Phone_by_Sentiment!$B$2:$B$37,Phone_by_Sentiment!O$2:O$37,"",0,1),0),$A734-TEXT(DATEVALUE($D734&amp;"-01"), "dd-mm-yyyy")),0),0)</f>
        <v>209</v>
      </c>
      <c r="P734" s="1">
        <f t="shared" si="30"/>
        <v>43862</v>
      </c>
      <c r="Q734">
        <f t="shared" si="31"/>
        <v>213</v>
      </c>
    </row>
    <row r="735" spans="1:17" x14ac:dyDescent="0.25">
      <c r="A735" s="1">
        <f t="shared" si="27"/>
        <v>44075</v>
      </c>
      <c r="B735" t="s">
        <v>148</v>
      </c>
      <c r="C735" t="str">
        <f>_xlfn.XLOOKUP(B735,Phone_by_Price!$A$2:$A$34,Phone_by_Price!$B$2:$B$34,"-",0,1)</f>
        <v>Xiaomi Redmi 10</v>
      </c>
      <c r="D735" t="str">
        <f>_xlfn.XLOOKUP(C735,Phone_by_Sentiment!$B$2:$B$37,Phone_by_Sentiment!$A$2:$A$37,"-",0,1)</f>
        <v>2021-03</v>
      </c>
      <c r="E735" cm="1">
        <f t="array" ref="E735">IF($Q735&gt;=0,IFERROR(generateSalesData($D735, IF(ISNUMBER(_xlfn.XLOOKUP($C735,Phone_by_Sentiment!$B$2:$B$37,Phone_by_Sentiment!E$2:E$37,"",0,1)),_xlfn.XLOOKUP($C735,Phone_by_Sentiment!$B$2:$B$37,Phone_by_Sentiment!E$2:E$37,"",0,1),0),$A735-TEXT(DATEVALUE($D735&amp;"-01"), "dd-mm-yyyy")),0),0)</f>
        <v>0</v>
      </c>
      <c r="F735" cm="1">
        <f t="array" ref="F735">IF($Q735&gt;=0,IFERROR(generateSalesData($D735, IF(ISNUMBER(_xlfn.XLOOKUP($C735,Phone_by_Sentiment!$B$2:$B$37,Phone_by_Sentiment!F$2:F$37,"",0,1)),_xlfn.XLOOKUP($C735,Phone_by_Sentiment!$B$2:$B$37,Phone_by_Sentiment!F$2:F$37,"",0,1),0),$A735-TEXT(DATEVALUE($D735&amp;"-01"), "dd-mm-yyyy")),0),0)</f>
        <v>0</v>
      </c>
      <c r="G735" cm="1">
        <f t="array" ref="G735">IF($Q735&gt;=0,IFERROR(generateSalesData($D735, IF(ISNUMBER(_xlfn.XLOOKUP($C735,Phone_by_Sentiment!$B$2:$B$37,Phone_by_Sentiment!G$2:G$37,"",0,1)),_xlfn.XLOOKUP($C735,Phone_by_Sentiment!$B$2:$B$37,Phone_by_Sentiment!G$2:G$37,"",0,1),0),$A735-TEXT(DATEVALUE($D735&amp;"-01"), "dd-mm-yyyy")),0),0)</f>
        <v>0</v>
      </c>
      <c r="H735" cm="1">
        <f t="array" ref="H735">IF($Q735&gt;=0,IFERROR(generateSalesData($D735, IF(ISNUMBER(_xlfn.XLOOKUP($C735,Phone_by_Sentiment!$B$2:$B$37,Phone_by_Sentiment!H$2:H$37,"",0,1)),_xlfn.XLOOKUP($C735,Phone_by_Sentiment!$B$2:$B$37,Phone_by_Sentiment!H$2:H$37,"",0,1),0),$A735-TEXT(DATEVALUE($D735&amp;"-01"), "dd-mm-yyyy")),0),0)</f>
        <v>0</v>
      </c>
      <c r="I735" cm="1">
        <f t="array" ref="I735">IF($Q735&gt;=0,IFERROR(generateSalesData($D735, IF(ISNUMBER(_xlfn.XLOOKUP($C735,Phone_by_Sentiment!$B$2:$B$37,Phone_by_Sentiment!I$2:I$37,"",0,1)),_xlfn.XLOOKUP($C735,Phone_by_Sentiment!$B$2:$B$37,Phone_by_Sentiment!I$2:I$37,"",0,1),0),$A735-TEXT(DATEVALUE($D735&amp;"-01"), "dd-mm-yyyy")),0),0)</f>
        <v>0</v>
      </c>
      <c r="J735" cm="1">
        <f t="array" ref="J735">IF($Q735&gt;=0,IFERROR(generateSalesData($D735, IF(ISNUMBER(_xlfn.XLOOKUP($C735,Phone_by_Sentiment!$B$2:$B$37,Phone_by_Sentiment!J$2:J$37,"",0,1)),_xlfn.XLOOKUP($C735,Phone_by_Sentiment!$B$2:$B$37,Phone_by_Sentiment!J$2:J$37,"",0,1),0),$A735-TEXT(DATEVALUE($D735&amp;"-01"), "dd-mm-yyyy")),0),0)</f>
        <v>0</v>
      </c>
      <c r="K735" cm="1">
        <f t="array" ref="K735">IF($Q735&gt;=0,IFERROR(generateSalesData($D735, IF(ISNUMBER(_xlfn.XLOOKUP($C735,Phone_by_Sentiment!$B$2:$B$37,Phone_by_Sentiment!K$2:K$37,"",0,1)),_xlfn.XLOOKUP($C735,Phone_by_Sentiment!$B$2:$B$37,Phone_by_Sentiment!K$2:K$37,"",0,1),0),$A735-TEXT(DATEVALUE($D735&amp;"-01"), "dd-mm-yyyy")),0),0)</f>
        <v>0</v>
      </c>
      <c r="L735" cm="1">
        <f t="array" ref="L735">IF($Q735&gt;=0,IFERROR(generateSalesData($D735, IF(ISNUMBER(_xlfn.XLOOKUP($C735,Phone_by_Sentiment!$B$2:$B$37,Phone_by_Sentiment!L$2:L$37,"",0,1)),_xlfn.XLOOKUP($C735,Phone_by_Sentiment!$B$2:$B$37,Phone_by_Sentiment!L$2:L$37,"",0,1),0),$A735-TEXT(DATEVALUE($D735&amp;"-01"), "dd-mm-yyyy")),0),0)</f>
        <v>0</v>
      </c>
      <c r="M735" cm="1">
        <f t="array" ref="M735">IF($Q735&gt;=0,IFERROR(generateSalesData($D735, IF(ISNUMBER(_xlfn.XLOOKUP($C735,Phone_by_Sentiment!$B$2:$B$37,Phone_by_Sentiment!M$2:M$37,"",0,1)),_xlfn.XLOOKUP($C735,Phone_by_Sentiment!$B$2:$B$37,Phone_by_Sentiment!M$2:M$37,"",0,1),0),$A735-TEXT(DATEVALUE($D735&amp;"-01"), "dd-mm-yyyy")),0),0)</f>
        <v>0</v>
      </c>
      <c r="N735" cm="1">
        <f t="array" ref="N735">IF($Q735&gt;=0,IFERROR(generateSalesData($D735, IF(ISNUMBER(_xlfn.XLOOKUP($C735,Phone_by_Sentiment!$B$2:$B$37,Phone_by_Sentiment!N$2:N$37,"",0,1)),_xlfn.XLOOKUP($C735,Phone_by_Sentiment!$B$2:$B$37,Phone_by_Sentiment!N$2:N$37,"",0,1),0),$A735-TEXT(DATEVALUE($D735&amp;"-01"), "dd-mm-yyyy")),0),0)</f>
        <v>0</v>
      </c>
      <c r="O735" cm="1">
        <f t="array" ref="O735">IF($Q735&gt;=0,IFERROR(generateSalesData($D735, IF(ISNUMBER(_xlfn.XLOOKUP($C735,Phone_by_Sentiment!$B$2:$B$37,Phone_by_Sentiment!O$2:O$37,"",0,1)),_xlfn.XLOOKUP($C735,Phone_by_Sentiment!$B$2:$B$37,Phone_by_Sentiment!O$2:O$37,"",0,1),0),$A735-TEXT(DATEVALUE($D735&amp;"-01"), "dd-mm-yyyy")),0),0)</f>
        <v>0</v>
      </c>
      <c r="P735" s="1">
        <f t="shared" si="30"/>
        <v>44256</v>
      </c>
      <c r="Q735">
        <f t="shared" si="31"/>
        <v>-181</v>
      </c>
    </row>
    <row r="736" spans="1:17" x14ac:dyDescent="0.25">
      <c r="A736" s="1">
        <f t="shared" si="27"/>
        <v>44105</v>
      </c>
      <c r="B736" t="s">
        <v>149</v>
      </c>
      <c r="C736" t="str">
        <f>_xlfn.XLOOKUP(B736,Phone_by_Price!$A$2:$A$34,Phone_by_Price!$B$2:$B$34,"-",0,1)</f>
        <v>Samsung Galaxy A52</v>
      </c>
      <c r="D736" t="str">
        <f>_xlfn.XLOOKUP(C736,Phone_by_Sentiment!$B$2:$B$37,Phone_by_Sentiment!$A$2:$A$37,"-",0,1)</f>
        <v>2021-03</v>
      </c>
      <c r="E736" cm="1">
        <f t="array" ref="E736">IF($Q736&gt;=0,IFERROR(generateSalesData($D736, IF(ISNUMBER(_xlfn.XLOOKUP($C736,Phone_by_Sentiment!$B$2:$B$37,Phone_by_Sentiment!E$2:E$37,"",0,1)),_xlfn.XLOOKUP($C736,Phone_by_Sentiment!$B$2:$B$37,Phone_by_Sentiment!E$2:E$37,"",0,1),0),$A736-TEXT(DATEVALUE($D736&amp;"-01"), "dd-mm-yyyy")),0),0)</f>
        <v>0</v>
      </c>
      <c r="F736" cm="1">
        <f t="array" ref="F736">IF($Q736&gt;=0,IFERROR(generateSalesData($D736, IF(ISNUMBER(_xlfn.XLOOKUP($C736,Phone_by_Sentiment!$B$2:$B$37,Phone_by_Sentiment!F$2:F$37,"",0,1)),_xlfn.XLOOKUP($C736,Phone_by_Sentiment!$B$2:$B$37,Phone_by_Sentiment!F$2:F$37,"",0,1),0),$A736-TEXT(DATEVALUE($D736&amp;"-01"), "dd-mm-yyyy")),0),0)</f>
        <v>0</v>
      </c>
      <c r="G736" cm="1">
        <f t="array" ref="G736">IF($Q736&gt;=0,IFERROR(generateSalesData($D736, IF(ISNUMBER(_xlfn.XLOOKUP($C736,Phone_by_Sentiment!$B$2:$B$37,Phone_by_Sentiment!G$2:G$37,"",0,1)),_xlfn.XLOOKUP($C736,Phone_by_Sentiment!$B$2:$B$37,Phone_by_Sentiment!G$2:G$37,"",0,1),0),$A736-TEXT(DATEVALUE($D736&amp;"-01"), "dd-mm-yyyy")),0),0)</f>
        <v>0</v>
      </c>
      <c r="H736" cm="1">
        <f t="array" ref="H736">IF($Q736&gt;=0,IFERROR(generateSalesData($D736, IF(ISNUMBER(_xlfn.XLOOKUP($C736,Phone_by_Sentiment!$B$2:$B$37,Phone_by_Sentiment!H$2:H$37,"",0,1)),_xlfn.XLOOKUP($C736,Phone_by_Sentiment!$B$2:$B$37,Phone_by_Sentiment!H$2:H$37,"",0,1),0),$A736-TEXT(DATEVALUE($D736&amp;"-01"), "dd-mm-yyyy")),0),0)</f>
        <v>0</v>
      </c>
      <c r="I736" cm="1">
        <f t="array" ref="I736">IF($Q736&gt;=0,IFERROR(generateSalesData($D736, IF(ISNUMBER(_xlfn.XLOOKUP($C736,Phone_by_Sentiment!$B$2:$B$37,Phone_by_Sentiment!I$2:I$37,"",0,1)),_xlfn.XLOOKUP($C736,Phone_by_Sentiment!$B$2:$B$37,Phone_by_Sentiment!I$2:I$37,"",0,1),0),$A736-TEXT(DATEVALUE($D736&amp;"-01"), "dd-mm-yyyy")),0),0)</f>
        <v>0</v>
      </c>
      <c r="J736" cm="1">
        <f t="array" ref="J736">IF($Q736&gt;=0,IFERROR(generateSalesData($D736, IF(ISNUMBER(_xlfn.XLOOKUP($C736,Phone_by_Sentiment!$B$2:$B$37,Phone_by_Sentiment!J$2:J$37,"",0,1)),_xlfn.XLOOKUP($C736,Phone_by_Sentiment!$B$2:$B$37,Phone_by_Sentiment!J$2:J$37,"",0,1),0),$A736-TEXT(DATEVALUE($D736&amp;"-01"), "dd-mm-yyyy")),0),0)</f>
        <v>0</v>
      </c>
      <c r="K736" cm="1">
        <f t="array" ref="K736">IF($Q736&gt;=0,IFERROR(generateSalesData($D736, IF(ISNUMBER(_xlfn.XLOOKUP($C736,Phone_by_Sentiment!$B$2:$B$37,Phone_by_Sentiment!K$2:K$37,"",0,1)),_xlfn.XLOOKUP($C736,Phone_by_Sentiment!$B$2:$B$37,Phone_by_Sentiment!K$2:K$37,"",0,1),0),$A736-TEXT(DATEVALUE($D736&amp;"-01"), "dd-mm-yyyy")),0),0)</f>
        <v>0</v>
      </c>
      <c r="L736" cm="1">
        <f t="array" ref="L736">IF($Q736&gt;=0,IFERROR(generateSalesData($D736, IF(ISNUMBER(_xlfn.XLOOKUP($C736,Phone_by_Sentiment!$B$2:$B$37,Phone_by_Sentiment!L$2:L$37,"",0,1)),_xlfn.XLOOKUP($C736,Phone_by_Sentiment!$B$2:$B$37,Phone_by_Sentiment!L$2:L$37,"",0,1),0),$A736-TEXT(DATEVALUE($D736&amp;"-01"), "dd-mm-yyyy")),0),0)</f>
        <v>0</v>
      </c>
      <c r="M736" cm="1">
        <f t="array" ref="M736">IF($Q736&gt;=0,IFERROR(generateSalesData($D736, IF(ISNUMBER(_xlfn.XLOOKUP($C736,Phone_by_Sentiment!$B$2:$B$37,Phone_by_Sentiment!M$2:M$37,"",0,1)),_xlfn.XLOOKUP($C736,Phone_by_Sentiment!$B$2:$B$37,Phone_by_Sentiment!M$2:M$37,"",0,1),0),$A736-TEXT(DATEVALUE($D736&amp;"-01"), "dd-mm-yyyy")),0),0)</f>
        <v>0</v>
      </c>
      <c r="N736" cm="1">
        <f t="array" ref="N736">IF($Q736&gt;=0,IFERROR(generateSalesData($D736, IF(ISNUMBER(_xlfn.XLOOKUP($C736,Phone_by_Sentiment!$B$2:$B$37,Phone_by_Sentiment!N$2:N$37,"",0,1)),_xlfn.XLOOKUP($C736,Phone_by_Sentiment!$B$2:$B$37,Phone_by_Sentiment!N$2:N$37,"",0,1),0),$A736-TEXT(DATEVALUE($D736&amp;"-01"), "dd-mm-yyyy")),0),0)</f>
        <v>0</v>
      </c>
      <c r="O736" cm="1">
        <f t="array" ref="O736">IF($Q736&gt;=0,IFERROR(generateSalesData($D736, IF(ISNUMBER(_xlfn.XLOOKUP($C736,Phone_by_Sentiment!$B$2:$B$37,Phone_by_Sentiment!O$2:O$37,"",0,1)),_xlfn.XLOOKUP($C736,Phone_by_Sentiment!$B$2:$B$37,Phone_by_Sentiment!O$2:O$37,"",0,1),0),$A736-TEXT(DATEVALUE($D736&amp;"-01"), "dd-mm-yyyy")),0),0)</f>
        <v>0</v>
      </c>
      <c r="P736" s="1">
        <f t="shared" si="30"/>
        <v>44256</v>
      </c>
      <c r="Q736">
        <f t="shared" si="31"/>
        <v>-151</v>
      </c>
    </row>
    <row r="737" spans="1:17" x14ac:dyDescent="0.25">
      <c r="A737" s="1">
        <f t="shared" si="27"/>
        <v>44105</v>
      </c>
      <c r="B737" t="s">
        <v>150</v>
      </c>
      <c r="C737" t="str">
        <f>_xlfn.XLOOKUP(B737,Phone_by_Price!$A$2:$A$34,Phone_by_Price!$B$2:$B$34,"-",0,1)</f>
        <v>Vivo Y33s</v>
      </c>
      <c r="D737" t="str">
        <f>_xlfn.XLOOKUP(C737,Phone_by_Sentiment!$B$2:$B$37,Phone_by_Sentiment!$A$2:$A$37,"-",0,1)</f>
        <v>2021-05</v>
      </c>
      <c r="E737" cm="1">
        <f t="array" ref="E737">IF($Q737&gt;=0,IFERROR(generateSalesData($D737, IF(ISNUMBER(_xlfn.XLOOKUP($C737,Phone_by_Sentiment!$B$2:$B$37,Phone_by_Sentiment!E$2:E$37,"",0,1)),_xlfn.XLOOKUP($C737,Phone_by_Sentiment!$B$2:$B$37,Phone_by_Sentiment!E$2:E$37,"",0,1),0),$A737-TEXT(DATEVALUE($D737&amp;"-01"), "dd-mm-yyyy")),0),0)</f>
        <v>0</v>
      </c>
      <c r="F737" cm="1">
        <f t="array" ref="F737">IF($Q737&gt;=0,IFERROR(generateSalesData($D737, IF(ISNUMBER(_xlfn.XLOOKUP($C737,Phone_by_Sentiment!$B$2:$B$37,Phone_by_Sentiment!F$2:F$37,"",0,1)),_xlfn.XLOOKUP($C737,Phone_by_Sentiment!$B$2:$B$37,Phone_by_Sentiment!F$2:F$37,"",0,1),0),$A737-TEXT(DATEVALUE($D737&amp;"-01"), "dd-mm-yyyy")),0),0)</f>
        <v>0</v>
      </c>
      <c r="G737" cm="1">
        <f t="array" ref="G737">IF($Q737&gt;=0,IFERROR(generateSalesData($D737, IF(ISNUMBER(_xlfn.XLOOKUP($C737,Phone_by_Sentiment!$B$2:$B$37,Phone_by_Sentiment!G$2:G$37,"",0,1)),_xlfn.XLOOKUP($C737,Phone_by_Sentiment!$B$2:$B$37,Phone_by_Sentiment!G$2:G$37,"",0,1),0),$A737-TEXT(DATEVALUE($D737&amp;"-01"), "dd-mm-yyyy")),0),0)</f>
        <v>0</v>
      </c>
      <c r="H737" cm="1">
        <f t="array" ref="H737">IF($Q737&gt;=0,IFERROR(generateSalesData($D737, IF(ISNUMBER(_xlfn.XLOOKUP($C737,Phone_by_Sentiment!$B$2:$B$37,Phone_by_Sentiment!H$2:H$37,"",0,1)),_xlfn.XLOOKUP($C737,Phone_by_Sentiment!$B$2:$B$37,Phone_by_Sentiment!H$2:H$37,"",0,1),0),$A737-TEXT(DATEVALUE($D737&amp;"-01"), "dd-mm-yyyy")),0),0)</f>
        <v>0</v>
      </c>
      <c r="I737" cm="1">
        <f t="array" ref="I737">IF($Q737&gt;=0,IFERROR(generateSalesData($D737, IF(ISNUMBER(_xlfn.XLOOKUP($C737,Phone_by_Sentiment!$B$2:$B$37,Phone_by_Sentiment!I$2:I$37,"",0,1)),_xlfn.XLOOKUP($C737,Phone_by_Sentiment!$B$2:$B$37,Phone_by_Sentiment!I$2:I$37,"",0,1),0),$A737-TEXT(DATEVALUE($D737&amp;"-01"), "dd-mm-yyyy")),0),0)</f>
        <v>0</v>
      </c>
      <c r="J737" cm="1">
        <f t="array" ref="J737">IF($Q737&gt;=0,IFERROR(generateSalesData($D737, IF(ISNUMBER(_xlfn.XLOOKUP($C737,Phone_by_Sentiment!$B$2:$B$37,Phone_by_Sentiment!J$2:J$37,"",0,1)),_xlfn.XLOOKUP($C737,Phone_by_Sentiment!$B$2:$B$37,Phone_by_Sentiment!J$2:J$37,"",0,1),0),$A737-TEXT(DATEVALUE($D737&amp;"-01"), "dd-mm-yyyy")),0),0)</f>
        <v>0</v>
      </c>
      <c r="K737" cm="1">
        <f t="array" ref="K737">IF($Q737&gt;=0,IFERROR(generateSalesData($D737, IF(ISNUMBER(_xlfn.XLOOKUP($C737,Phone_by_Sentiment!$B$2:$B$37,Phone_by_Sentiment!K$2:K$37,"",0,1)),_xlfn.XLOOKUP($C737,Phone_by_Sentiment!$B$2:$B$37,Phone_by_Sentiment!K$2:K$37,"",0,1),0),$A737-TEXT(DATEVALUE($D737&amp;"-01"), "dd-mm-yyyy")),0),0)</f>
        <v>0</v>
      </c>
      <c r="L737" cm="1">
        <f t="array" ref="L737">IF($Q737&gt;=0,IFERROR(generateSalesData($D737, IF(ISNUMBER(_xlfn.XLOOKUP($C737,Phone_by_Sentiment!$B$2:$B$37,Phone_by_Sentiment!L$2:L$37,"",0,1)),_xlfn.XLOOKUP($C737,Phone_by_Sentiment!$B$2:$B$37,Phone_by_Sentiment!L$2:L$37,"",0,1),0),$A737-TEXT(DATEVALUE($D737&amp;"-01"), "dd-mm-yyyy")),0),0)</f>
        <v>0</v>
      </c>
      <c r="M737" cm="1">
        <f t="array" ref="M737">IF($Q737&gt;=0,IFERROR(generateSalesData($D737, IF(ISNUMBER(_xlfn.XLOOKUP($C737,Phone_by_Sentiment!$B$2:$B$37,Phone_by_Sentiment!M$2:M$37,"",0,1)),_xlfn.XLOOKUP($C737,Phone_by_Sentiment!$B$2:$B$37,Phone_by_Sentiment!M$2:M$37,"",0,1),0),$A737-TEXT(DATEVALUE($D737&amp;"-01"), "dd-mm-yyyy")),0),0)</f>
        <v>0</v>
      </c>
      <c r="N737" cm="1">
        <f t="array" ref="N737">IF($Q737&gt;=0,IFERROR(generateSalesData($D737, IF(ISNUMBER(_xlfn.XLOOKUP($C737,Phone_by_Sentiment!$B$2:$B$37,Phone_by_Sentiment!N$2:N$37,"",0,1)),_xlfn.XLOOKUP($C737,Phone_by_Sentiment!$B$2:$B$37,Phone_by_Sentiment!N$2:N$37,"",0,1),0),$A737-TEXT(DATEVALUE($D737&amp;"-01"), "dd-mm-yyyy")),0),0)</f>
        <v>0</v>
      </c>
      <c r="O737" cm="1">
        <f t="array" ref="O737">IF($Q737&gt;=0,IFERROR(generateSalesData($D737, IF(ISNUMBER(_xlfn.XLOOKUP($C737,Phone_by_Sentiment!$B$2:$B$37,Phone_by_Sentiment!O$2:O$37,"",0,1)),_xlfn.XLOOKUP($C737,Phone_by_Sentiment!$B$2:$B$37,Phone_by_Sentiment!O$2:O$37,"",0,1),0),$A737-TEXT(DATEVALUE($D737&amp;"-01"), "dd-mm-yyyy")),0),0)</f>
        <v>0</v>
      </c>
      <c r="P737" s="1">
        <f t="shared" si="30"/>
        <v>44317</v>
      </c>
      <c r="Q737">
        <f t="shared" si="31"/>
        <v>-212</v>
      </c>
    </row>
    <row r="738" spans="1:17" x14ac:dyDescent="0.25">
      <c r="A738" s="1">
        <f t="shared" si="27"/>
        <v>44105</v>
      </c>
      <c r="B738" t="s">
        <v>151</v>
      </c>
      <c r="C738" t="str">
        <f>_xlfn.XLOOKUP(B738,Phone_by_Price!$A$2:$A$34,Phone_by_Price!$B$2:$B$34,"-",0,1)</f>
        <v>Vivo Y11s</v>
      </c>
      <c r="D738" t="str">
        <f>_xlfn.XLOOKUP(C738,Phone_by_Sentiment!$B$2:$B$37,Phone_by_Sentiment!$A$2:$A$37,"-",0,1)</f>
        <v>2020-11</v>
      </c>
      <c r="E738" cm="1">
        <f t="array" ref="E738">IF($Q738&gt;=0,IFERROR(generateSalesData($D738, IF(ISNUMBER(_xlfn.XLOOKUP($C738,Phone_by_Sentiment!$B$2:$B$37,Phone_by_Sentiment!E$2:E$37,"",0,1)),_xlfn.XLOOKUP($C738,Phone_by_Sentiment!$B$2:$B$37,Phone_by_Sentiment!E$2:E$37,"",0,1),0),$A738-TEXT(DATEVALUE($D738&amp;"-01"), "dd-mm-yyyy")),0),0)</f>
        <v>0</v>
      </c>
      <c r="F738" cm="1">
        <f t="array" ref="F738">IF($Q738&gt;=0,IFERROR(generateSalesData($D738, IF(ISNUMBER(_xlfn.XLOOKUP($C738,Phone_by_Sentiment!$B$2:$B$37,Phone_by_Sentiment!F$2:F$37,"",0,1)),_xlfn.XLOOKUP($C738,Phone_by_Sentiment!$B$2:$B$37,Phone_by_Sentiment!F$2:F$37,"",0,1),0),$A738-TEXT(DATEVALUE($D738&amp;"-01"), "dd-mm-yyyy")),0),0)</f>
        <v>0</v>
      </c>
      <c r="G738" cm="1">
        <f t="array" ref="G738">IF($Q738&gt;=0,IFERROR(generateSalesData($D738, IF(ISNUMBER(_xlfn.XLOOKUP($C738,Phone_by_Sentiment!$B$2:$B$37,Phone_by_Sentiment!G$2:G$37,"",0,1)),_xlfn.XLOOKUP($C738,Phone_by_Sentiment!$B$2:$B$37,Phone_by_Sentiment!G$2:G$37,"",0,1),0),$A738-TEXT(DATEVALUE($D738&amp;"-01"), "dd-mm-yyyy")),0),0)</f>
        <v>0</v>
      </c>
      <c r="H738" cm="1">
        <f t="array" ref="H738">IF($Q738&gt;=0,IFERROR(generateSalesData($D738, IF(ISNUMBER(_xlfn.XLOOKUP($C738,Phone_by_Sentiment!$B$2:$B$37,Phone_by_Sentiment!H$2:H$37,"",0,1)),_xlfn.XLOOKUP($C738,Phone_by_Sentiment!$B$2:$B$37,Phone_by_Sentiment!H$2:H$37,"",0,1),0),$A738-TEXT(DATEVALUE($D738&amp;"-01"), "dd-mm-yyyy")),0),0)</f>
        <v>0</v>
      </c>
      <c r="I738" cm="1">
        <f t="array" ref="I738">IF($Q738&gt;=0,IFERROR(generateSalesData($D738, IF(ISNUMBER(_xlfn.XLOOKUP($C738,Phone_by_Sentiment!$B$2:$B$37,Phone_by_Sentiment!I$2:I$37,"",0,1)),_xlfn.XLOOKUP($C738,Phone_by_Sentiment!$B$2:$B$37,Phone_by_Sentiment!I$2:I$37,"",0,1),0),$A738-TEXT(DATEVALUE($D738&amp;"-01"), "dd-mm-yyyy")),0),0)</f>
        <v>0</v>
      </c>
      <c r="J738" cm="1">
        <f t="array" ref="J738">IF($Q738&gt;=0,IFERROR(generateSalesData($D738, IF(ISNUMBER(_xlfn.XLOOKUP($C738,Phone_by_Sentiment!$B$2:$B$37,Phone_by_Sentiment!J$2:J$37,"",0,1)),_xlfn.XLOOKUP($C738,Phone_by_Sentiment!$B$2:$B$37,Phone_by_Sentiment!J$2:J$37,"",0,1),0),$A738-TEXT(DATEVALUE($D738&amp;"-01"), "dd-mm-yyyy")),0),0)</f>
        <v>0</v>
      </c>
      <c r="K738" cm="1">
        <f t="array" ref="K738">IF($Q738&gt;=0,IFERROR(generateSalesData($D738, IF(ISNUMBER(_xlfn.XLOOKUP($C738,Phone_by_Sentiment!$B$2:$B$37,Phone_by_Sentiment!K$2:K$37,"",0,1)),_xlfn.XLOOKUP($C738,Phone_by_Sentiment!$B$2:$B$37,Phone_by_Sentiment!K$2:K$37,"",0,1),0),$A738-TEXT(DATEVALUE($D738&amp;"-01"), "dd-mm-yyyy")),0),0)</f>
        <v>0</v>
      </c>
      <c r="L738" cm="1">
        <f t="array" ref="L738">IF($Q738&gt;=0,IFERROR(generateSalesData($D738, IF(ISNUMBER(_xlfn.XLOOKUP($C738,Phone_by_Sentiment!$B$2:$B$37,Phone_by_Sentiment!L$2:L$37,"",0,1)),_xlfn.XLOOKUP($C738,Phone_by_Sentiment!$B$2:$B$37,Phone_by_Sentiment!L$2:L$37,"",0,1),0),$A738-TEXT(DATEVALUE($D738&amp;"-01"), "dd-mm-yyyy")),0),0)</f>
        <v>0</v>
      </c>
      <c r="M738" cm="1">
        <f t="array" ref="M738">IF($Q738&gt;=0,IFERROR(generateSalesData($D738, IF(ISNUMBER(_xlfn.XLOOKUP($C738,Phone_by_Sentiment!$B$2:$B$37,Phone_by_Sentiment!M$2:M$37,"",0,1)),_xlfn.XLOOKUP($C738,Phone_by_Sentiment!$B$2:$B$37,Phone_by_Sentiment!M$2:M$37,"",0,1),0),$A738-TEXT(DATEVALUE($D738&amp;"-01"), "dd-mm-yyyy")),0),0)</f>
        <v>0</v>
      </c>
      <c r="N738" cm="1">
        <f t="array" ref="N738">IF($Q738&gt;=0,IFERROR(generateSalesData($D738, IF(ISNUMBER(_xlfn.XLOOKUP($C738,Phone_by_Sentiment!$B$2:$B$37,Phone_by_Sentiment!N$2:N$37,"",0,1)),_xlfn.XLOOKUP($C738,Phone_by_Sentiment!$B$2:$B$37,Phone_by_Sentiment!N$2:N$37,"",0,1),0),$A738-TEXT(DATEVALUE($D738&amp;"-01"), "dd-mm-yyyy")),0),0)</f>
        <v>0</v>
      </c>
      <c r="O738" cm="1">
        <f t="array" ref="O738">IF($Q738&gt;=0,IFERROR(generateSalesData($D738, IF(ISNUMBER(_xlfn.XLOOKUP($C738,Phone_by_Sentiment!$B$2:$B$37,Phone_by_Sentiment!O$2:O$37,"",0,1)),_xlfn.XLOOKUP($C738,Phone_by_Sentiment!$B$2:$B$37,Phone_by_Sentiment!O$2:O$37,"",0,1),0),$A738-TEXT(DATEVALUE($D738&amp;"-01"), "dd-mm-yyyy")),0),0)</f>
        <v>0</v>
      </c>
      <c r="P738" s="1">
        <f t="shared" si="30"/>
        <v>44136</v>
      </c>
      <c r="Q738">
        <f t="shared" si="31"/>
        <v>-31</v>
      </c>
    </row>
    <row r="739" spans="1:17" x14ac:dyDescent="0.25">
      <c r="A739" s="1">
        <f t="shared" si="27"/>
        <v>44105</v>
      </c>
      <c r="B739" t="s">
        <v>152</v>
      </c>
      <c r="C739" t="str">
        <f>_xlfn.XLOOKUP(B739,Phone_by_Price!$A$2:$A$34,Phone_by_Price!$B$2:$B$34,"-",0,1)</f>
        <v>Huawei Nova 7i</v>
      </c>
      <c r="D739" t="str">
        <f>_xlfn.XLOOKUP(C739,Phone_by_Sentiment!$B$2:$B$37,Phone_by_Sentiment!$A$2:$A$37,"-",0,1)</f>
        <v>2020-02</v>
      </c>
      <c r="E739" cm="1">
        <f t="array" ref="E739">IF($Q739&gt;=0,IFERROR(generateSalesData($D739, IF(ISNUMBER(_xlfn.XLOOKUP($C739,Phone_by_Sentiment!$B$2:$B$37,Phone_by_Sentiment!E$2:E$37,"",0,1)),_xlfn.XLOOKUP($C739,Phone_by_Sentiment!$B$2:$B$37,Phone_by_Sentiment!E$2:E$37,"",0,1),0),$A739-TEXT(DATEVALUE($D739&amp;"-01"), "dd-mm-yyyy")),0),0)</f>
        <v>195</v>
      </c>
      <c r="F739" cm="1">
        <f t="array" ref="F739">IF($Q739&gt;=0,IFERROR(generateSalesData($D739, IF(ISNUMBER(_xlfn.XLOOKUP($C739,Phone_by_Sentiment!$B$2:$B$37,Phone_by_Sentiment!F$2:F$37,"",0,1)),_xlfn.XLOOKUP($C739,Phone_by_Sentiment!$B$2:$B$37,Phone_by_Sentiment!F$2:F$37,"",0,1),0),$A739-TEXT(DATEVALUE($D739&amp;"-01"), "dd-mm-yyyy")),0),0)</f>
        <v>88</v>
      </c>
      <c r="G739" cm="1">
        <f t="array" ref="G739">IF($Q739&gt;=0,IFERROR(generateSalesData($D739, IF(ISNUMBER(_xlfn.XLOOKUP($C739,Phone_by_Sentiment!$B$2:$B$37,Phone_by_Sentiment!G$2:G$37,"",0,1)),_xlfn.XLOOKUP($C739,Phone_by_Sentiment!$B$2:$B$37,Phone_by_Sentiment!G$2:G$37,"",0,1),0),$A739-TEXT(DATEVALUE($D739&amp;"-01"), "dd-mm-yyyy")),0),0)</f>
        <v>301</v>
      </c>
      <c r="H739" cm="1">
        <f t="array" ref="H739">IF($Q739&gt;=0,IFERROR(generateSalesData($D739, IF(ISNUMBER(_xlfn.XLOOKUP($C739,Phone_by_Sentiment!$B$2:$B$37,Phone_by_Sentiment!H$2:H$37,"",0,1)),_xlfn.XLOOKUP($C739,Phone_by_Sentiment!$B$2:$B$37,Phone_by_Sentiment!H$2:H$37,"",0,1),0),$A739-TEXT(DATEVALUE($D739&amp;"-01"), "dd-mm-yyyy")),0),0)</f>
        <v>639</v>
      </c>
      <c r="I739" cm="1">
        <f t="array" ref="I739">IF($Q739&gt;=0,IFERROR(generateSalesData($D739, IF(ISNUMBER(_xlfn.XLOOKUP($C739,Phone_by_Sentiment!$B$2:$B$37,Phone_by_Sentiment!I$2:I$37,"",0,1)),_xlfn.XLOOKUP($C739,Phone_by_Sentiment!$B$2:$B$37,Phone_by_Sentiment!I$2:I$37,"",0,1),0),$A739-TEXT(DATEVALUE($D739&amp;"-01"), "dd-mm-yyyy")),0),0)</f>
        <v>87</v>
      </c>
      <c r="J739" cm="1">
        <f t="array" ref="J739">IF($Q739&gt;=0,IFERROR(generateSalesData($D739, IF(ISNUMBER(_xlfn.XLOOKUP($C739,Phone_by_Sentiment!$B$2:$B$37,Phone_by_Sentiment!J$2:J$37,"",0,1)),_xlfn.XLOOKUP($C739,Phone_by_Sentiment!$B$2:$B$37,Phone_by_Sentiment!J$2:J$37,"",0,1),0),$A739-TEXT(DATEVALUE($D739&amp;"-01"), "dd-mm-yyyy")),0),0)</f>
        <v>92</v>
      </c>
      <c r="K739" cm="1">
        <f t="array" ref="K739">IF($Q739&gt;=0,IFERROR(generateSalesData($D739, IF(ISNUMBER(_xlfn.XLOOKUP($C739,Phone_by_Sentiment!$B$2:$B$37,Phone_by_Sentiment!K$2:K$37,"",0,1)),_xlfn.XLOOKUP($C739,Phone_by_Sentiment!$B$2:$B$37,Phone_by_Sentiment!K$2:K$37,"",0,1),0),$A739-TEXT(DATEVALUE($D739&amp;"-01"), "dd-mm-yyyy")),0),0)</f>
        <v>476</v>
      </c>
      <c r="L739" cm="1">
        <f t="array" ref="L739">IF($Q739&gt;=0,IFERROR(generateSalesData($D739, IF(ISNUMBER(_xlfn.XLOOKUP($C739,Phone_by_Sentiment!$B$2:$B$37,Phone_by_Sentiment!L$2:L$37,"",0,1)),_xlfn.XLOOKUP($C739,Phone_by_Sentiment!$B$2:$B$37,Phone_by_Sentiment!L$2:L$37,"",0,1),0),$A739-TEXT(DATEVALUE($D739&amp;"-01"), "dd-mm-yyyy")),0),0)</f>
        <v>335</v>
      </c>
      <c r="M739" cm="1">
        <f t="array" ref="M739">IF($Q739&gt;=0,IFERROR(generateSalesData($D739, IF(ISNUMBER(_xlfn.XLOOKUP($C739,Phone_by_Sentiment!$B$2:$B$37,Phone_by_Sentiment!M$2:M$37,"",0,1)),_xlfn.XLOOKUP($C739,Phone_by_Sentiment!$B$2:$B$37,Phone_by_Sentiment!M$2:M$37,"",0,1),0),$A739-TEXT(DATEVALUE($D739&amp;"-01"), "dd-mm-yyyy")),0),0)</f>
        <v>428</v>
      </c>
      <c r="N739" cm="1">
        <f t="array" ref="N739">IF($Q739&gt;=0,IFERROR(generateSalesData($D739, IF(ISNUMBER(_xlfn.XLOOKUP($C739,Phone_by_Sentiment!$B$2:$B$37,Phone_by_Sentiment!N$2:N$37,"",0,1)),_xlfn.XLOOKUP($C739,Phone_by_Sentiment!$B$2:$B$37,Phone_by_Sentiment!N$2:N$37,"",0,1),0),$A739-TEXT(DATEVALUE($D739&amp;"-01"), "dd-mm-yyyy")),0),0)</f>
        <v>240</v>
      </c>
      <c r="O739" cm="1">
        <f t="array" ref="O739">IF($Q739&gt;=0,IFERROR(generateSalesData($D739, IF(ISNUMBER(_xlfn.XLOOKUP($C739,Phone_by_Sentiment!$B$2:$B$37,Phone_by_Sentiment!O$2:O$37,"",0,1)),_xlfn.XLOOKUP($C739,Phone_by_Sentiment!$B$2:$B$37,Phone_by_Sentiment!O$2:O$37,"",0,1),0),$A739-TEXT(DATEVALUE($D739&amp;"-01"), "dd-mm-yyyy")),0),0)</f>
        <v>108</v>
      </c>
      <c r="P739" s="1">
        <f t="shared" si="30"/>
        <v>43862</v>
      </c>
      <c r="Q739">
        <f t="shared" si="31"/>
        <v>243</v>
      </c>
    </row>
    <row r="740" spans="1:17" x14ac:dyDescent="0.25">
      <c r="A740" s="1">
        <f t="shared" si="27"/>
        <v>44105</v>
      </c>
      <c r="B740" t="s">
        <v>153</v>
      </c>
      <c r="C740" t="str">
        <f>_xlfn.XLOOKUP(B740,Phone_by_Price!$A$2:$A$34,Phone_by_Price!$B$2:$B$34,"-",0,1)</f>
        <v>iPhone 13</v>
      </c>
      <c r="D740" t="str">
        <f>_xlfn.XLOOKUP(C740,Phone_by_Sentiment!$B$2:$B$37,Phone_by_Sentiment!$A$2:$A$37,"-",0,1)</f>
        <v>2021-09</v>
      </c>
      <c r="E740" cm="1">
        <f t="array" ref="E740">IF($Q740&gt;=0,IFERROR(generateSalesData($D740, IF(ISNUMBER(_xlfn.XLOOKUP($C740,Phone_by_Sentiment!$B$2:$B$37,Phone_by_Sentiment!E$2:E$37,"",0,1)),_xlfn.XLOOKUP($C740,Phone_by_Sentiment!$B$2:$B$37,Phone_by_Sentiment!E$2:E$37,"",0,1),0),$A740-TEXT(DATEVALUE($D740&amp;"-01"), "dd-mm-yyyy")),0),0)</f>
        <v>0</v>
      </c>
      <c r="F740" cm="1">
        <f t="array" ref="F740">IF($Q740&gt;=0,IFERROR(generateSalesData($D740, IF(ISNUMBER(_xlfn.XLOOKUP($C740,Phone_by_Sentiment!$B$2:$B$37,Phone_by_Sentiment!F$2:F$37,"",0,1)),_xlfn.XLOOKUP($C740,Phone_by_Sentiment!$B$2:$B$37,Phone_by_Sentiment!F$2:F$37,"",0,1),0),$A740-TEXT(DATEVALUE($D740&amp;"-01"), "dd-mm-yyyy")),0),0)</f>
        <v>0</v>
      </c>
      <c r="G740" cm="1">
        <f t="array" ref="G740">IF($Q740&gt;=0,IFERROR(generateSalesData($D740, IF(ISNUMBER(_xlfn.XLOOKUP($C740,Phone_by_Sentiment!$B$2:$B$37,Phone_by_Sentiment!G$2:G$37,"",0,1)),_xlfn.XLOOKUP($C740,Phone_by_Sentiment!$B$2:$B$37,Phone_by_Sentiment!G$2:G$37,"",0,1),0),$A740-TEXT(DATEVALUE($D740&amp;"-01"), "dd-mm-yyyy")),0),0)</f>
        <v>0</v>
      </c>
      <c r="H740" cm="1">
        <f t="array" ref="H740">IF($Q740&gt;=0,IFERROR(generateSalesData($D740, IF(ISNUMBER(_xlfn.XLOOKUP($C740,Phone_by_Sentiment!$B$2:$B$37,Phone_by_Sentiment!H$2:H$37,"",0,1)),_xlfn.XLOOKUP($C740,Phone_by_Sentiment!$B$2:$B$37,Phone_by_Sentiment!H$2:H$37,"",0,1),0),$A740-TEXT(DATEVALUE($D740&amp;"-01"), "dd-mm-yyyy")),0),0)</f>
        <v>0</v>
      </c>
      <c r="I740" cm="1">
        <f t="array" ref="I740">IF($Q740&gt;=0,IFERROR(generateSalesData($D740, IF(ISNUMBER(_xlfn.XLOOKUP($C740,Phone_by_Sentiment!$B$2:$B$37,Phone_by_Sentiment!I$2:I$37,"",0,1)),_xlfn.XLOOKUP($C740,Phone_by_Sentiment!$B$2:$B$37,Phone_by_Sentiment!I$2:I$37,"",0,1),0),$A740-TEXT(DATEVALUE($D740&amp;"-01"), "dd-mm-yyyy")),0),0)</f>
        <v>0</v>
      </c>
      <c r="J740" cm="1">
        <f t="array" ref="J740">IF($Q740&gt;=0,IFERROR(generateSalesData($D740, IF(ISNUMBER(_xlfn.XLOOKUP($C740,Phone_by_Sentiment!$B$2:$B$37,Phone_by_Sentiment!J$2:J$37,"",0,1)),_xlfn.XLOOKUP($C740,Phone_by_Sentiment!$B$2:$B$37,Phone_by_Sentiment!J$2:J$37,"",0,1),0),$A740-TEXT(DATEVALUE($D740&amp;"-01"), "dd-mm-yyyy")),0),0)</f>
        <v>0</v>
      </c>
      <c r="K740" cm="1">
        <f t="array" ref="K740">IF($Q740&gt;=0,IFERROR(generateSalesData($D740, IF(ISNUMBER(_xlfn.XLOOKUP($C740,Phone_by_Sentiment!$B$2:$B$37,Phone_by_Sentiment!K$2:K$37,"",0,1)),_xlfn.XLOOKUP($C740,Phone_by_Sentiment!$B$2:$B$37,Phone_by_Sentiment!K$2:K$37,"",0,1),0),$A740-TEXT(DATEVALUE($D740&amp;"-01"), "dd-mm-yyyy")),0),0)</f>
        <v>0</v>
      </c>
      <c r="L740" cm="1">
        <f t="array" ref="L740">IF($Q740&gt;=0,IFERROR(generateSalesData($D740, IF(ISNUMBER(_xlfn.XLOOKUP($C740,Phone_by_Sentiment!$B$2:$B$37,Phone_by_Sentiment!L$2:L$37,"",0,1)),_xlfn.XLOOKUP($C740,Phone_by_Sentiment!$B$2:$B$37,Phone_by_Sentiment!L$2:L$37,"",0,1),0),$A740-TEXT(DATEVALUE($D740&amp;"-01"), "dd-mm-yyyy")),0),0)</f>
        <v>0</v>
      </c>
      <c r="M740" cm="1">
        <f t="array" ref="M740">IF($Q740&gt;=0,IFERROR(generateSalesData($D740, IF(ISNUMBER(_xlfn.XLOOKUP($C740,Phone_by_Sentiment!$B$2:$B$37,Phone_by_Sentiment!M$2:M$37,"",0,1)),_xlfn.XLOOKUP($C740,Phone_by_Sentiment!$B$2:$B$37,Phone_by_Sentiment!M$2:M$37,"",0,1),0),$A740-TEXT(DATEVALUE($D740&amp;"-01"), "dd-mm-yyyy")),0),0)</f>
        <v>0</v>
      </c>
      <c r="N740" cm="1">
        <f t="array" ref="N740">IF($Q740&gt;=0,IFERROR(generateSalesData($D740, IF(ISNUMBER(_xlfn.XLOOKUP($C740,Phone_by_Sentiment!$B$2:$B$37,Phone_by_Sentiment!N$2:N$37,"",0,1)),_xlfn.XLOOKUP($C740,Phone_by_Sentiment!$B$2:$B$37,Phone_by_Sentiment!N$2:N$37,"",0,1),0),$A740-TEXT(DATEVALUE($D740&amp;"-01"), "dd-mm-yyyy")),0),0)</f>
        <v>0</v>
      </c>
      <c r="O740" cm="1">
        <f t="array" ref="O740">IF($Q740&gt;=0,IFERROR(generateSalesData($D740, IF(ISNUMBER(_xlfn.XLOOKUP($C740,Phone_by_Sentiment!$B$2:$B$37,Phone_by_Sentiment!O$2:O$37,"",0,1)),_xlfn.XLOOKUP($C740,Phone_by_Sentiment!$B$2:$B$37,Phone_by_Sentiment!O$2:O$37,"",0,1),0),$A740-TEXT(DATEVALUE($D740&amp;"-01"), "dd-mm-yyyy")),0),0)</f>
        <v>0</v>
      </c>
      <c r="P740" s="1">
        <f t="shared" si="30"/>
        <v>44440</v>
      </c>
      <c r="Q740">
        <f t="shared" si="31"/>
        <v>-335</v>
      </c>
    </row>
    <row r="741" spans="1:17" x14ac:dyDescent="0.25">
      <c r="A741" s="1">
        <f t="shared" si="27"/>
        <v>44105</v>
      </c>
      <c r="B741" t="s">
        <v>154</v>
      </c>
      <c r="C741" t="str">
        <f>_xlfn.XLOOKUP(B741,Phone_by_Price!$A$2:$A$34,Phone_by_Price!$B$2:$B$34,"-",0,1)</f>
        <v>Samsung Galaxy S21</v>
      </c>
      <c r="D741" t="str">
        <f>_xlfn.XLOOKUP(C741,Phone_by_Sentiment!$B$2:$B$37,Phone_by_Sentiment!$A$2:$A$37,"-",0,1)</f>
        <v>2021-01</v>
      </c>
      <c r="E741" cm="1">
        <f t="array" ref="E741">IF($Q741&gt;=0,IFERROR(generateSalesData($D741, IF(ISNUMBER(_xlfn.XLOOKUP($C741,Phone_by_Sentiment!$B$2:$B$37,Phone_by_Sentiment!E$2:E$37,"",0,1)),_xlfn.XLOOKUP($C741,Phone_by_Sentiment!$B$2:$B$37,Phone_by_Sentiment!E$2:E$37,"",0,1),0),$A741-TEXT(DATEVALUE($D741&amp;"-01"), "dd-mm-yyyy")),0),0)</f>
        <v>0</v>
      </c>
      <c r="F741" cm="1">
        <f t="array" ref="F741">IF($Q741&gt;=0,IFERROR(generateSalesData($D741, IF(ISNUMBER(_xlfn.XLOOKUP($C741,Phone_by_Sentiment!$B$2:$B$37,Phone_by_Sentiment!F$2:F$37,"",0,1)),_xlfn.XLOOKUP($C741,Phone_by_Sentiment!$B$2:$B$37,Phone_by_Sentiment!F$2:F$37,"",0,1),0),$A741-TEXT(DATEVALUE($D741&amp;"-01"), "dd-mm-yyyy")),0),0)</f>
        <v>0</v>
      </c>
      <c r="G741" cm="1">
        <f t="array" ref="G741">IF($Q741&gt;=0,IFERROR(generateSalesData($D741, IF(ISNUMBER(_xlfn.XLOOKUP($C741,Phone_by_Sentiment!$B$2:$B$37,Phone_by_Sentiment!G$2:G$37,"",0,1)),_xlfn.XLOOKUP($C741,Phone_by_Sentiment!$B$2:$B$37,Phone_by_Sentiment!G$2:G$37,"",0,1),0),$A741-TEXT(DATEVALUE($D741&amp;"-01"), "dd-mm-yyyy")),0),0)</f>
        <v>0</v>
      </c>
      <c r="H741" cm="1">
        <f t="array" ref="H741">IF($Q741&gt;=0,IFERROR(generateSalesData($D741, IF(ISNUMBER(_xlfn.XLOOKUP($C741,Phone_by_Sentiment!$B$2:$B$37,Phone_by_Sentiment!H$2:H$37,"",0,1)),_xlfn.XLOOKUP($C741,Phone_by_Sentiment!$B$2:$B$37,Phone_by_Sentiment!H$2:H$37,"",0,1),0),$A741-TEXT(DATEVALUE($D741&amp;"-01"), "dd-mm-yyyy")),0),0)</f>
        <v>0</v>
      </c>
      <c r="I741" cm="1">
        <f t="array" ref="I741">IF($Q741&gt;=0,IFERROR(generateSalesData($D741, IF(ISNUMBER(_xlfn.XLOOKUP($C741,Phone_by_Sentiment!$B$2:$B$37,Phone_by_Sentiment!I$2:I$37,"",0,1)),_xlfn.XLOOKUP($C741,Phone_by_Sentiment!$B$2:$B$37,Phone_by_Sentiment!I$2:I$37,"",0,1),0),$A741-TEXT(DATEVALUE($D741&amp;"-01"), "dd-mm-yyyy")),0),0)</f>
        <v>0</v>
      </c>
      <c r="J741" cm="1">
        <f t="array" ref="J741">IF($Q741&gt;=0,IFERROR(generateSalesData($D741, IF(ISNUMBER(_xlfn.XLOOKUP($C741,Phone_by_Sentiment!$B$2:$B$37,Phone_by_Sentiment!J$2:J$37,"",0,1)),_xlfn.XLOOKUP($C741,Phone_by_Sentiment!$B$2:$B$37,Phone_by_Sentiment!J$2:J$37,"",0,1),0),$A741-TEXT(DATEVALUE($D741&amp;"-01"), "dd-mm-yyyy")),0),0)</f>
        <v>0</v>
      </c>
      <c r="K741" cm="1">
        <f t="array" ref="K741">IF($Q741&gt;=0,IFERROR(generateSalesData($D741, IF(ISNUMBER(_xlfn.XLOOKUP($C741,Phone_by_Sentiment!$B$2:$B$37,Phone_by_Sentiment!K$2:K$37,"",0,1)),_xlfn.XLOOKUP($C741,Phone_by_Sentiment!$B$2:$B$37,Phone_by_Sentiment!K$2:K$37,"",0,1),0),$A741-TEXT(DATEVALUE($D741&amp;"-01"), "dd-mm-yyyy")),0),0)</f>
        <v>0</v>
      </c>
      <c r="L741" cm="1">
        <f t="array" ref="L741">IF($Q741&gt;=0,IFERROR(generateSalesData($D741, IF(ISNUMBER(_xlfn.XLOOKUP($C741,Phone_by_Sentiment!$B$2:$B$37,Phone_by_Sentiment!L$2:L$37,"",0,1)),_xlfn.XLOOKUP($C741,Phone_by_Sentiment!$B$2:$B$37,Phone_by_Sentiment!L$2:L$37,"",0,1),0),$A741-TEXT(DATEVALUE($D741&amp;"-01"), "dd-mm-yyyy")),0),0)</f>
        <v>0</v>
      </c>
      <c r="M741" cm="1">
        <f t="array" ref="M741">IF($Q741&gt;=0,IFERROR(generateSalesData($D741, IF(ISNUMBER(_xlfn.XLOOKUP($C741,Phone_by_Sentiment!$B$2:$B$37,Phone_by_Sentiment!M$2:M$37,"",0,1)),_xlfn.XLOOKUP($C741,Phone_by_Sentiment!$B$2:$B$37,Phone_by_Sentiment!M$2:M$37,"",0,1),0),$A741-TEXT(DATEVALUE($D741&amp;"-01"), "dd-mm-yyyy")),0),0)</f>
        <v>0</v>
      </c>
      <c r="N741" cm="1">
        <f t="array" ref="N741">IF($Q741&gt;=0,IFERROR(generateSalesData($D741, IF(ISNUMBER(_xlfn.XLOOKUP($C741,Phone_by_Sentiment!$B$2:$B$37,Phone_by_Sentiment!N$2:N$37,"",0,1)),_xlfn.XLOOKUP($C741,Phone_by_Sentiment!$B$2:$B$37,Phone_by_Sentiment!N$2:N$37,"",0,1),0),$A741-TEXT(DATEVALUE($D741&amp;"-01"), "dd-mm-yyyy")),0),0)</f>
        <v>0</v>
      </c>
      <c r="O741" cm="1">
        <f t="array" ref="O741">IF($Q741&gt;=0,IFERROR(generateSalesData($D741, IF(ISNUMBER(_xlfn.XLOOKUP($C741,Phone_by_Sentiment!$B$2:$B$37,Phone_by_Sentiment!O$2:O$37,"",0,1)),_xlfn.XLOOKUP($C741,Phone_by_Sentiment!$B$2:$B$37,Phone_by_Sentiment!O$2:O$37,"",0,1),0),$A741-TEXT(DATEVALUE($D741&amp;"-01"), "dd-mm-yyyy")),0),0)</f>
        <v>0</v>
      </c>
      <c r="P741" s="1">
        <f t="shared" si="30"/>
        <v>44197</v>
      </c>
      <c r="Q741">
        <f t="shared" si="31"/>
        <v>-92</v>
      </c>
    </row>
    <row r="742" spans="1:17" x14ac:dyDescent="0.25">
      <c r="A742" s="1">
        <f t="shared" si="27"/>
        <v>44105</v>
      </c>
      <c r="B742" t="s">
        <v>155</v>
      </c>
      <c r="C742" t="str">
        <f>_xlfn.XLOOKUP(B742,Phone_by_Price!$A$2:$A$34,Phone_by_Price!$B$2:$B$34,"-",0,1)</f>
        <v>Google Pixel 6</v>
      </c>
      <c r="D742" t="str">
        <f>_xlfn.XLOOKUP(C742,Phone_by_Sentiment!$B$2:$B$37,Phone_by_Sentiment!$A$2:$A$37,"-",0,1)</f>
        <v>2021-10</v>
      </c>
      <c r="E742" cm="1">
        <f t="array" ref="E742">IF($Q742&gt;=0,IFERROR(generateSalesData($D742, IF(ISNUMBER(_xlfn.XLOOKUP($C742,Phone_by_Sentiment!$B$2:$B$37,Phone_by_Sentiment!E$2:E$37,"",0,1)),_xlfn.XLOOKUP($C742,Phone_by_Sentiment!$B$2:$B$37,Phone_by_Sentiment!E$2:E$37,"",0,1),0),$A742-TEXT(DATEVALUE($D742&amp;"-01"), "dd-mm-yyyy")),0),0)</f>
        <v>0</v>
      </c>
      <c r="F742" cm="1">
        <f t="array" ref="F742">IF($Q742&gt;=0,IFERROR(generateSalesData($D742, IF(ISNUMBER(_xlfn.XLOOKUP($C742,Phone_by_Sentiment!$B$2:$B$37,Phone_by_Sentiment!F$2:F$37,"",0,1)),_xlfn.XLOOKUP($C742,Phone_by_Sentiment!$B$2:$B$37,Phone_by_Sentiment!F$2:F$37,"",0,1),0),$A742-TEXT(DATEVALUE($D742&amp;"-01"), "dd-mm-yyyy")),0),0)</f>
        <v>0</v>
      </c>
      <c r="G742" cm="1">
        <f t="array" ref="G742">IF($Q742&gt;=0,IFERROR(generateSalesData($D742, IF(ISNUMBER(_xlfn.XLOOKUP($C742,Phone_by_Sentiment!$B$2:$B$37,Phone_by_Sentiment!G$2:G$37,"",0,1)),_xlfn.XLOOKUP($C742,Phone_by_Sentiment!$B$2:$B$37,Phone_by_Sentiment!G$2:G$37,"",0,1),0),$A742-TEXT(DATEVALUE($D742&amp;"-01"), "dd-mm-yyyy")),0),0)</f>
        <v>0</v>
      </c>
      <c r="H742" cm="1">
        <f t="array" ref="H742">IF($Q742&gt;=0,IFERROR(generateSalesData($D742, IF(ISNUMBER(_xlfn.XLOOKUP($C742,Phone_by_Sentiment!$B$2:$B$37,Phone_by_Sentiment!H$2:H$37,"",0,1)),_xlfn.XLOOKUP($C742,Phone_by_Sentiment!$B$2:$B$37,Phone_by_Sentiment!H$2:H$37,"",0,1),0),$A742-TEXT(DATEVALUE($D742&amp;"-01"), "dd-mm-yyyy")),0),0)</f>
        <v>0</v>
      </c>
      <c r="I742" cm="1">
        <f t="array" ref="I742">IF($Q742&gt;=0,IFERROR(generateSalesData($D742, IF(ISNUMBER(_xlfn.XLOOKUP($C742,Phone_by_Sentiment!$B$2:$B$37,Phone_by_Sentiment!I$2:I$37,"",0,1)),_xlfn.XLOOKUP($C742,Phone_by_Sentiment!$B$2:$B$37,Phone_by_Sentiment!I$2:I$37,"",0,1),0),$A742-TEXT(DATEVALUE($D742&amp;"-01"), "dd-mm-yyyy")),0),0)</f>
        <v>0</v>
      </c>
      <c r="J742" cm="1">
        <f t="array" ref="J742">IF($Q742&gt;=0,IFERROR(generateSalesData($D742, IF(ISNUMBER(_xlfn.XLOOKUP($C742,Phone_by_Sentiment!$B$2:$B$37,Phone_by_Sentiment!J$2:J$37,"",0,1)),_xlfn.XLOOKUP($C742,Phone_by_Sentiment!$B$2:$B$37,Phone_by_Sentiment!J$2:J$37,"",0,1),0),$A742-TEXT(DATEVALUE($D742&amp;"-01"), "dd-mm-yyyy")),0),0)</f>
        <v>0</v>
      </c>
      <c r="K742" cm="1">
        <f t="array" ref="K742">IF($Q742&gt;=0,IFERROR(generateSalesData($D742, IF(ISNUMBER(_xlfn.XLOOKUP($C742,Phone_by_Sentiment!$B$2:$B$37,Phone_by_Sentiment!K$2:K$37,"",0,1)),_xlfn.XLOOKUP($C742,Phone_by_Sentiment!$B$2:$B$37,Phone_by_Sentiment!K$2:K$37,"",0,1),0),$A742-TEXT(DATEVALUE($D742&amp;"-01"), "dd-mm-yyyy")),0),0)</f>
        <v>0</v>
      </c>
      <c r="L742" cm="1">
        <f t="array" ref="L742">IF($Q742&gt;=0,IFERROR(generateSalesData($D742, IF(ISNUMBER(_xlfn.XLOOKUP($C742,Phone_by_Sentiment!$B$2:$B$37,Phone_by_Sentiment!L$2:L$37,"",0,1)),_xlfn.XLOOKUP($C742,Phone_by_Sentiment!$B$2:$B$37,Phone_by_Sentiment!L$2:L$37,"",0,1),0),$A742-TEXT(DATEVALUE($D742&amp;"-01"), "dd-mm-yyyy")),0),0)</f>
        <v>0</v>
      </c>
      <c r="M742" cm="1">
        <f t="array" ref="M742">IF($Q742&gt;=0,IFERROR(generateSalesData($D742, IF(ISNUMBER(_xlfn.XLOOKUP($C742,Phone_by_Sentiment!$B$2:$B$37,Phone_by_Sentiment!M$2:M$37,"",0,1)),_xlfn.XLOOKUP($C742,Phone_by_Sentiment!$B$2:$B$37,Phone_by_Sentiment!M$2:M$37,"",0,1),0),$A742-TEXT(DATEVALUE($D742&amp;"-01"), "dd-mm-yyyy")),0),0)</f>
        <v>0</v>
      </c>
      <c r="N742" cm="1">
        <f t="array" ref="N742">IF($Q742&gt;=0,IFERROR(generateSalesData($D742, IF(ISNUMBER(_xlfn.XLOOKUP($C742,Phone_by_Sentiment!$B$2:$B$37,Phone_by_Sentiment!N$2:N$37,"",0,1)),_xlfn.XLOOKUP($C742,Phone_by_Sentiment!$B$2:$B$37,Phone_by_Sentiment!N$2:N$37,"",0,1),0),$A742-TEXT(DATEVALUE($D742&amp;"-01"), "dd-mm-yyyy")),0),0)</f>
        <v>0</v>
      </c>
      <c r="O742" cm="1">
        <f t="array" ref="O742">IF($Q742&gt;=0,IFERROR(generateSalesData($D742, IF(ISNUMBER(_xlfn.XLOOKUP($C742,Phone_by_Sentiment!$B$2:$B$37,Phone_by_Sentiment!O$2:O$37,"",0,1)),_xlfn.XLOOKUP($C742,Phone_by_Sentiment!$B$2:$B$37,Phone_by_Sentiment!O$2:O$37,"",0,1),0),$A742-TEXT(DATEVALUE($D742&amp;"-01"), "dd-mm-yyyy")),0),0)</f>
        <v>0</v>
      </c>
      <c r="P742" s="1">
        <f t="shared" si="30"/>
        <v>44470</v>
      </c>
      <c r="Q742">
        <f t="shared" si="31"/>
        <v>-365</v>
      </c>
    </row>
    <row r="743" spans="1:17" x14ac:dyDescent="0.25">
      <c r="A743" s="1">
        <f t="shared" si="27"/>
        <v>44105</v>
      </c>
      <c r="B743" t="s">
        <v>156</v>
      </c>
      <c r="C743" t="str">
        <f>_xlfn.XLOOKUP(B743,Phone_by_Price!$A$2:$A$34,Phone_by_Price!$B$2:$B$34,"-",0,1)</f>
        <v>OnePlus Nord CE</v>
      </c>
      <c r="D743" t="str">
        <f>_xlfn.XLOOKUP(C743,Phone_by_Sentiment!$B$2:$B$37,Phone_by_Sentiment!$A$2:$A$37,"-",0,1)</f>
        <v>2021-06</v>
      </c>
      <c r="E743" cm="1">
        <f t="array" ref="E743">IF($Q743&gt;=0,IFERROR(generateSalesData($D743, IF(ISNUMBER(_xlfn.XLOOKUP($C743,Phone_by_Sentiment!$B$2:$B$37,Phone_by_Sentiment!E$2:E$37,"",0,1)),_xlfn.XLOOKUP($C743,Phone_by_Sentiment!$B$2:$B$37,Phone_by_Sentiment!E$2:E$37,"",0,1),0),$A743-TEXT(DATEVALUE($D743&amp;"-01"), "dd-mm-yyyy")),0),0)</f>
        <v>0</v>
      </c>
      <c r="F743" cm="1">
        <f t="array" ref="F743">IF($Q743&gt;=0,IFERROR(generateSalesData($D743, IF(ISNUMBER(_xlfn.XLOOKUP($C743,Phone_by_Sentiment!$B$2:$B$37,Phone_by_Sentiment!F$2:F$37,"",0,1)),_xlfn.XLOOKUP($C743,Phone_by_Sentiment!$B$2:$B$37,Phone_by_Sentiment!F$2:F$37,"",0,1),0),$A743-TEXT(DATEVALUE($D743&amp;"-01"), "dd-mm-yyyy")),0),0)</f>
        <v>0</v>
      </c>
      <c r="G743" cm="1">
        <f t="array" ref="G743">IF($Q743&gt;=0,IFERROR(generateSalesData($D743, IF(ISNUMBER(_xlfn.XLOOKUP($C743,Phone_by_Sentiment!$B$2:$B$37,Phone_by_Sentiment!G$2:G$37,"",0,1)),_xlfn.XLOOKUP($C743,Phone_by_Sentiment!$B$2:$B$37,Phone_by_Sentiment!G$2:G$37,"",0,1),0),$A743-TEXT(DATEVALUE($D743&amp;"-01"), "dd-mm-yyyy")),0),0)</f>
        <v>0</v>
      </c>
      <c r="H743" cm="1">
        <f t="array" ref="H743">IF($Q743&gt;=0,IFERROR(generateSalesData($D743, IF(ISNUMBER(_xlfn.XLOOKUP($C743,Phone_by_Sentiment!$B$2:$B$37,Phone_by_Sentiment!H$2:H$37,"",0,1)),_xlfn.XLOOKUP($C743,Phone_by_Sentiment!$B$2:$B$37,Phone_by_Sentiment!H$2:H$37,"",0,1),0),$A743-TEXT(DATEVALUE($D743&amp;"-01"), "dd-mm-yyyy")),0),0)</f>
        <v>0</v>
      </c>
      <c r="I743" cm="1">
        <f t="array" ref="I743">IF($Q743&gt;=0,IFERROR(generateSalesData($D743, IF(ISNUMBER(_xlfn.XLOOKUP($C743,Phone_by_Sentiment!$B$2:$B$37,Phone_by_Sentiment!I$2:I$37,"",0,1)),_xlfn.XLOOKUP($C743,Phone_by_Sentiment!$B$2:$B$37,Phone_by_Sentiment!I$2:I$37,"",0,1),0),$A743-TEXT(DATEVALUE($D743&amp;"-01"), "dd-mm-yyyy")),0),0)</f>
        <v>0</v>
      </c>
      <c r="J743" cm="1">
        <f t="array" ref="J743">IF($Q743&gt;=0,IFERROR(generateSalesData($D743, IF(ISNUMBER(_xlfn.XLOOKUP($C743,Phone_by_Sentiment!$B$2:$B$37,Phone_by_Sentiment!J$2:J$37,"",0,1)),_xlfn.XLOOKUP($C743,Phone_by_Sentiment!$B$2:$B$37,Phone_by_Sentiment!J$2:J$37,"",0,1),0),$A743-TEXT(DATEVALUE($D743&amp;"-01"), "dd-mm-yyyy")),0),0)</f>
        <v>0</v>
      </c>
      <c r="K743" cm="1">
        <f t="array" ref="K743">IF($Q743&gt;=0,IFERROR(generateSalesData($D743, IF(ISNUMBER(_xlfn.XLOOKUP($C743,Phone_by_Sentiment!$B$2:$B$37,Phone_by_Sentiment!K$2:K$37,"",0,1)),_xlfn.XLOOKUP($C743,Phone_by_Sentiment!$B$2:$B$37,Phone_by_Sentiment!K$2:K$37,"",0,1),0),$A743-TEXT(DATEVALUE($D743&amp;"-01"), "dd-mm-yyyy")),0),0)</f>
        <v>0</v>
      </c>
      <c r="L743" cm="1">
        <f t="array" ref="L743">IF($Q743&gt;=0,IFERROR(generateSalesData($D743, IF(ISNUMBER(_xlfn.XLOOKUP($C743,Phone_by_Sentiment!$B$2:$B$37,Phone_by_Sentiment!L$2:L$37,"",0,1)),_xlfn.XLOOKUP($C743,Phone_by_Sentiment!$B$2:$B$37,Phone_by_Sentiment!L$2:L$37,"",0,1),0),$A743-TEXT(DATEVALUE($D743&amp;"-01"), "dd-mm-yyyy")),0),0)</f>
        <v>0</v>
      </c>
      <c r="M743" cm="1">
        <f t="array" ref="M743">IF($Q743&gt;=0,IFERROR(generateSalesData($D743, IF(ISNUMBER(_xlfn.XLOOKUP($C743,Phone_by_Sentiment!$B$2:$B$37,Phone_by_Sentiment!M$2:M$37,"",0,1)),_xlfn.XLOOKUP($C743,Phone_by_Sentiment!$B$2:$B$37,Phone_by_Sentiment!M$2:M$37,"",0,1),0),$A743-TEXT(DATEVALUE($D743&amp;"-01"), "dd-mm-yyyy")),0),0)</f>
        <v>0</v>
      </c>
      <c r="N743" cm="1">
        <f t="array" ref="N743">IF($Q743&gt;=0,IFERROR(generateSalesData($D743, IF(ISNUMBER(_xlfn.XLOOKUP($C743,Phone_by_Sentiment!$B$2:$B$37,Phone_by_Sentiment!N$2:N$37,"",0,1)),_xlfn.XLOOKUP($C743,Phone_by_Sentiment!$B$2:$B$37,Phone_by_Sentiment!N$2:N$37,"",0,1),0),$A743-TEXT(DATEVALUE($D743&amp;"-01"), "dd-mm-yyyy")),0),0)</f>
        <v>0</v>
      </c>
      <c r="O743" cm="1">
        <f t="array" ref="O743">IF($Q743&gt;=0,IFERROR(generateSalesData($D743, IF(ISNUMBER(_xlfn.XLOOKUP($C743,Phone_by_Sentiment!$B$2:$B$37,Phone_by_Sentiment!O$2:O$37,"",0,1)),_xlfn.XLOOKUP($C743,Phone_by_Sentiment!$B$2:$B$37,Phone_by_Sentiment!O$2:O$37,"",0,1),0),$A743-TEXT(DATEVALUE($D743&amp;"-01"), "dd-mm-yyyy")),0),0)</f>
        <v>0</v>
      </c>
      <c r="P743" s="1">
        <f t="shared" si="30"/>
        <v>44348</v>
      </c>
      <c r="Q743">
        <f t="shared" si="31"/>
        <v>-243</v>
      </c>
    </row>
    <row r="744" spans="1:17" x14ac:dyDescent="0.25">
      <c r="A744" s="1">
        <f t="shared" si="27"/>
        <v>44105</v>
      </c>
      <c r="B744" t="s">
        <v>157</v>
      </c>
      <c r="C744" t="str">
        <f>_xlfn.XLOOKUP(B744,Phone_by_Price!$A$2:$A$34,Phone_by_Price!$B$2:$B$34,"-",0,1)</f>
        <v>Apple iPhone 13 Pro</v>
      </c>
      <c r="D744" t="str">
        <f>_xlfn.XLOOKUP(C744,Phone_by_Sentiment!$B$2:$B$37,Phone_by_Sentiment!$A$2:$A$37,"-",0,1)</f>
        <v>2021-09</v>
      </c>
      <c r="E744" cm="1">
        <f t="array" ref="E744">IF($Q744&gt;=0,IFERROR(generateSalesData($D744, IF(ISNUMBER(_xlfn.XLOOKUP($C744,Phone_by_Sentiment!$B$2:$B$37,Phone_by_Sentiment!E$2:E$37,"",0,1)),_xlfn.XLOOKUP($C744,Phone_by_Sentiment!$B$2:$B$37,Phone_by_Sentiment!E$2:E$37,"",0,1),0),$A744-TEXT(DATEVALUE($D744&amp;"-01"), "dd-mm-yyyy")),0),0)</f>
        <v>0</v>
      </c>
      <c r="F744" cm="1">
        <f t="array" ref="F744">IF($Q744&gt;=0,IFERROR(generateSalesData($D744, IF(ISNUMBER(_xlfn.XLOOKUP($C744,Phone_by_Sentiment!$B$2:$B$37,Phone_by_Sentiment!F$2:F$37,"",0,1)),_xlfn.XLOOKUP($C744,Phone_by_Sentiment!$B$2:$B$37,Phone_by_Sentiment!F$2:F$37,"",0,1),0),$A744-TEXT(DATEVALUE($D744&amp;"-01"), "dd-mm-yyyy")),0),0)</f>
        <v>0</v>
      </c>
      <c r="G744" cm="1">
        <f t="array" ref="G744">IF($Q744&gt;=0,IFERROR(generateSalesData($D744, IF(ISNUMBER(_xlfn.XLOOKUP($C744,Phone_by_Sentiment!$B$2:$B$37,Phone_by_Sentiment!G$2:G$37,"",0,1)),_xlfn.XLOOKUP($C744,Phone_by_Sentiment!$B$2:$B$37,Phone_by_Sentiment!G$2:G$37,"",0,1),0),$A744-TEXT(DATEVALUE($D744&amp;"-01"), "dd-mm-yyyy")),0),0)</f>
        <v>0</v>
      </c>
      <c r="H744" cm="1">
        <f t="array" ref="H744">IF($Q744&gt;=0,IFERROR(generateSalesData($D744, IF(ISNUMBER(_xlfn.XLOOKUP($C744,Phone_by_Sentiment!$B$2:$B$37,Phone_by_Sentiment!H$2:H$37,"",0,1)),_xlfn.XLOOKUP($C744,Phone_by_Sentiment!$B$2:$B$37,Phone_by_Sentiment!H$2:H$37,"",0,1),0),$A744-TEXT(DATEVALUE($D744&amp;"-01"), "dd-mm-yyyy")),0),0)</f>
        <v>0</v>
      </c>
      <c r="I744" cm="1">
        <f t="array" ref="I744">IF($Q744&gt;=0,IFERROR(generateSalesData($D744, IF(ISNUMBER(_xlfn.XLOOKUP($C744,Phone_by_Sentiment!$B$2:$B$37,Phone_by_Sentiment!I$2:I$37,"",0,1)),_xlfn.XLOOKUP($C744,Phone_by_Sentiment!$B$2:$B$37,Phone_by_Sentiment!I$2:I$37,"",0,1),0),$A744-TEXT(DATEVALUE($D744&amp;"-01"), "dd-mm-yyyy")),0),0)</f>
        <v>0</v>
      </c>
      <c r="J744" cm="1">
        <f t="array" ref="J744">IF($Q744&gt;=0,IFERROR(generateSalesData($D744, IF(ISNUMBER(_xlfn.XLOOKUP($C744,Phone_by_Sentiment!$B$2:$B$37,Phone_by_Sentiment!J$2:J$37,"",0,1)),_xlfn.XLOOKUP($C744,Phone_by_Sentiment!$B$2:$B$37,Phone_by_Sentiment!J$2:J$37,"",0,1),0),$A744-TEXT(DATEVALUE($D744&amp;"-01"), "dd-mm-yyyy")),0),0)</f>
        <v>0</v>
      </c>
      <c r="K744" cm="1">
        <f t="array" ref="K744">IF($Q744&gt;=0,IFERROR(generateSalesData($D744, IF(ISNUMBER(_xlfn.XLOOKUP($C744,Phone_by_Sentiment!$B$2:$B$37,Phone_by_Sentiment!K$2:K$37,"",0,1)),_xlfn.XLOOKUP($C744,Phone_by_Sentiment!$B$2:$B$37,Phone_by_Sentiment!K$2:K$37,"",0,1),0),$A744-TEXT(DATEVALUE($D744&amp;"-01"), "dd-mm-yyyy")),0),0)</f>
        <v>0</v>
      </c>
      <c r="L744" cm="1">
        <f t="array" ref="L744">IF($Q744&gt;=0,IFERROR(generateSalesData($D744, IF(ISNUMBER(_xlfn.XLOOKUP($C744,Phone_by_Sentiment!$B$2:$B$37,Phone_by_Sentiment!L$2:L$37,"",0,1)),_xlfn.XLOOKUP($C744,Phone_by_Sentiment!$B$2:$B$37,Phone_by_Sentiment!L$2:L$37,"",0,1),0),$A744-TEXT(DATEVALUE($D744&amp;"-01"), "dd-mm-yyyy")),0),0)</f>
        <v>0</v>
      </c>
      <c r="M744" cm="1">
        <f t="array" ref="M744">IF($Q744&gt;=0,IFERROR(generateSalesData($D744, IF(ISNUMBER(_xlfn.XLOOKUP($C744,Phone_by_Sentiment!$B$2:$B$37,Phone_by_Sentiment!M$2:M$37,"",0,1)),_xlfn.XLOOKUP($C744,Phone_by_Sentiment!$B$2:$B$37,Phone_by_Sentiment!M$2:M$37,"",0,1),0),$A744-TEXT(DATEVALUE($D744&amp;"-01"), "dd-mm-yyyy")),0),0)</f>
        <v>0</v>
      </c>
      <c r="N744" cm="1">
        <f t="array" ref="N744">IF($Q744&gt;=0,IFERROR(generateSalesData($D744, IF(ISNUMBER(_xlfn.XLOOKUP($C744,Phone_by_Sentiment!$B$2:$B$37,Phone_by_Sentiment!N$2:N$37,"",0,1)),_xlfn.XLOOKUP($C744,Phone_by_Sentiment!$B$2:$B$37,Phone_by_Sentiment!N$2:N$37,"",0,1),0),$A744-TEXT(DATEVALUE($D744&amp;"-01"), "dd-mm-yyyy")),0),0)</f>
        <v>0</v>
      </c>
      <c r="O744" cm="1">
        <f t="array" ref="O744">IF($Q744&gt;=0,IFERROR(generateSalesData($D744, IF(ISNUMBER(_xlfn.XLOOKUP($C744,Phone_by_Sentiment!$B$2:$B$37,Phone_by_Sentiment!O$2:O$37,"",0,1)),_xlfn.XLOOKUP($C744,Phone_by_Sentiment!$B$2:$B$37,Phone_by_Sentiment!O$2:O$37,"",0,1),0),$A744-TEXT(DATEVALUE($D744&amp;"-01"), "dd-mm-yyyy")),0),0)</f>
        <v>0</v>
      </c>
      <c r="P744" s="1">
        <f t="shared" si="30"/>
        <v>44440</v>
      </c>
      <c r="Q744">
        <f t="shared" si="31"/>
        <v>-335</v>
      </c>
    </row>
    <row r="745" spans="1:17" x14ac:dyDescent="0.25">
      <c r="A745" s="1">
        <f t="shared" si="27"/>
        <v>44105</v>
      </c>
      <c r="B745" t="s">
        <v>158</v>
      </c>
      <c r="C745" t="str">
        <f>_xlfn.XLOOKUP(B745,Phone_by_Price!$A$2:$A$34,Phone_by_Price!$B$2:$B$34,"-",0,1)</f>
        <v>Samsung Galaxy A32 5G</v>
      </c>
      <c r="D745" t="str">
        <f>_xlfn.XLOOKUP(C745,Phone_by_Sentiment!$B$2:$B$37,Phone_by_Sentiment!$A$2:$A$37,"-",0,1)</f>
        <v>2021-02</v>
      </c>
      <c r="E745" cm="1">
        <f t="array" ref="E745">IF($Q745&gt;=0,IFERROR(generateSalesData($D745, IF(ISNUMBER(_xlfn.XLOOKUP($C745,Phone_by_Sentiment!$B$2:$B$37,Phone_by_Sentiment!E$2:E$37,"",0,1)),_xlfn.XLOOKUP($C745,Phone_by_Sentiment!$B$2:$B$37,Phone_by_Sentiment!E$2:E$37,"",0,1),0),$A745-TEXT(DATEVALUE($D745&amp;"-01"), "dd-mm-yyyy")),0),0)</f>
        <v>0</v>
      </c>
      <c r="F745" cm="1">
        <f t="array" ref="F745">IF($Q745&gt;=0,IFERROR(generateSalesData($D745, IF(ISNUMBER(_xlfn.XLOOKUP($C745,Phone_by_Sentiment!$B$2:$B$37,Phone_by_Sentiment!F$2:F$37,"",0,1)),_xlfn.XLOOKUP($C745,Phone_by_Sentiment!$B$2:$B$37,Phone_by_Sentiment!F$2:F$37,"",0,1),0),$A745-TEXT(DATEVALUE($D745&amp;"-01"), "dd-mm-yyyy")),0),0)</f>
        <v>0</v>
      </c>
      <c r="G745" cm="1">
        <f t="array" ref="G745">IF($Q745&gt;=0,IFERROR(generateSalesData($D745, IF(ISNUMBER(_xlfn.XLOOKUP($C745,Phone_by_Sentiment!$B$2:$B$37,Phone_by_Sentiment!G$2:G$37,"",0,1)),_xlfn.XLOOKUP($C745,Phone_by_Sentiment!$B$2:$B$37,Phone_by_Sentiment!G$2:G$37,"",0,1),0),$A745-TEXT(DATEVALUE($D745&amp;"-01"), "dd-mm-yyyy")),0),0)</f>
        <v>0</v>
      </c>
      <c r="H745" cm="1">
        <f t="array" ref="H745">IF($Q745&gt;=0,IFERROR(generateSalesData($D745, IF(ISNUMBER(_xlfn.XLOOKUP($C745,Phone_by_Sentiment!$B$2:$B$37,Phone_by_Sentiment!H$2:H$37,"",0,1)),_xlfn.XLOOKUP($C745,Phone_by_Sentiment!$B$2:$B$37,Phone_by_Sentiment!H$2:H$37,"",0,1),0),$A745-TEXT(DATEVALUE($D745&amp;"-01"), "dd-mm-yyyy")),0),0)</f>
        <v>0</v>
      </c>
      <c r="I745" cm="1">
        <f t="array" ref="I745">IF($Q745&gt;=0,IFERROR(generateSalesData($D745, IF(ISNUMBER(_xlfn.XLOOKUP($C745,Phone_by_Sentiment!$B$2:$B$37,Phone_by_Sentiment!I$2:I$37,"",0,1)),_xlfn.XLOOKUP($C745,Phone_by_Sentiment!$B$2:$B$37,Phone_by_Sentiment!I$2:I$37,"",0,1),0),$A745-TEXT(DATEVALUE($D745&amp;"-01"), "dd-mm-yyyy")),0),0)</f>
        <v>0</v>
      </c>
      <c r="J745" cm="1">
        <f t="array" ref="J745">IF($Q745&gt;=0,IFERROR(generateSalesData($D745, IF(ISNUMBER(_xlfn.XLOOKUP($C745,Phone_by_Sentiment!$B$2:$B$37,Phone_by_Sentiment!J$2:J$37,"",0,1)),_xlfn.XLOOKUP($C745,Phone_by_Sentiment!$B$2:$B$37,Phone_by_Sentiment!J$2:J$37,"",0,1),0),$A745-TEXT(DATEVALUE($D745&amp;"-01"), "dd-mm-yyyy")),0),0)</f>
        <v>0</v>
      </c>
      <c r="K745" cm="1">
        <f t="array" ref="K745">IF($Q745&gt;=0,IFERROR(generateSalesData($D745, IF(ISNUMBER(_xlfn.XLOOKUP($C745,Phone_by_Sentiment!$B$2:$B$37,Phone_by_Sentiment!K$2:K$37,"",0,1)),_xlfn.XLOOKUP($C745,Phone_by_Sentiment!$B$2:$B$37,Phone_by_Sentiment!K$2:K$37,"",0,1),0),$A745-TEXT(DATEVALUE($D745&amp;"-01"), "dd-mm-yyyy")),0),0)</f>
        <v>0</v>
      </c>
      <c r="L745" cm="1">
        <f t="array" ref="L745">IF($Q745&gt;=0,IFERROR(generateSalesData($D745, IF(ISNUMBER(_xlfn.XLOOKUP($C745,Phone_by_Sentiment!$B$2:$B$37,Phone_by_Sentiment!L$2:L$37,"",0,1)),_xlfn.XLOOKUP($C745,Phone_by_Sentiment!$B$2:$B$37,Phone_by_Sentiment!L$2:L$37,"",0,1),0),$A745-TEXT(DATEVALUE($D745&amp;"-01"), "dd-mm-yyyy")),0),0)</f>
        <v>0</v>
      </c>
      <c r="M745" cm="1">
        <f t="array" ref="M745">IF($Q745&gt;=0,IFERROR(generateSalesData($D745, IF(ISNUMBER(_xlfn.XLOOKUP($C745,Phone_by_Sentiment!$B$2:$B$37,Phone_by_Sentiment!M$2:M$37,"",0,1)),_xlfn.XLOOKUP($C745,Phone_by_Sentiment!$B$2:$B$37,Phone_by_Sentiment!M$2:M$37,"",0,1),0),$A745-TEXT(DATEVALUE($D745&amp;"-01"), "dd-mm-yyyy")),0),0)</f>
        <v>0</v>
      </c>
      <c r="N745" cm="1">
        <f t="array" ref="N745">IF($Q745&gt;=0,IFERROR(generateSalesData($D745, IF(ISNUMBER(_xlfn.XLOOKUP($C745,Phone_by_Sentiment!$B$2:$B$37,Phone_by_Sentiment!N$2:N$37,"",0,1)),_xlfn.XLOOKUP($C745,Phone_by_Sentiment!$B$2:$B$37,Phone_by_Sentiment!N$2:N$37,"",0,1),0),$A745-TEXT(DATEVALUE($D745&amp;"-01"), "dd-mm-yyyy")),0),0)</f>
        <v>0</v>
      </c>
      <c r="O745" cm="1">
        <f t="array" ref="O745">IF($Q745&gt;=0,IFERROR(generateSalesData($D745, IF(ISNUMBER(_xlfn.XLOOKUP($C745,Phone_by_Sentiment!$B$2:$B$37,Phone_by_Sentiment!O$2:O$37,"",0,1)),_xlfn.XLOOKUP($C745,Phone_by_Sentiment!$B$2:$B$37,Phone_by_Sentiment!O$2:O$37,"",0,1),0),$A745-TEXT(DATEVALUE($D745&amp;"-01"), "dd-mm-yyyy")),0),0)</f>
        <v>0</v>
      </c>
      <c r="P745" s="1">
        <f t="shared" si="30"/>
        <v>44228</v>
      </c>
      <c r="Q745">
        <f t="shared" si="31"/>
        <v>-123</v>
      </c>
    </row>
    <row r="746" spans="1:17" x14ac:dyDescent="0.25">
      <c r="A746" s="1">
        <f t="shared" si="27"/>
        <v>44105</v>
      </c>
      <c r="B746" t="s">
        <v>159</v>
      </c>
      <c r="C746" t="str">
        <f>_xlfn.XLOOKUP(B746,Phone_by_Price!$A$2:$A$34,Phone_by_Price!$B$2:$B$34,"-",0,1)</f>
        <v>Realme C25</v>
      </c>
      <c r="D746" t="str">
        <f>_xlfn.XLOOKUP(C746,Phone_by_Sentiment!$B$2:$B$37,Phone_by_Sentiment!$A$2:$A$37,"-",0,1)</f>
        <v>2021-03</v>
      </c>
      <c r="E746" cm="1">
        <f t="array" ref="E746">IF($Q746&gt;=0,IFERROR(generateSalesData($D746, IF(ISNUMBER(_xlfn.XLOOKUP($C746,Phone_by_Sentiment!$B$2:$B$37,Phone_by_Sentiment!E$2:E$37,"",0,1)),_xlfn.XLOOKUP($C746,Phone_by_Sentiment!$B$2:$B$37,Phone_by_Sentiment!E$2:E$37,"",0,1),0),$A746-TEXT(DATEVALUE($D746&amp;"-01"), "dd-mm-yyyy")),0),0)</f>
        <v>0</v>
      </c>
      <c r="F746" cm="1">
        <f t="array" ref="F746">IF($Q746&gt;=0,IFERROR(generateSalesData($D746, IF(ISNUMBER(_xlfn.XLOOKUP($C746,Phone_by_Sentiment!$B$2:$B$37,Phone_by_Sentiment!F$2:F$37,"",0,1)),_xlfn.XLOOKUP($C746,Phone_by_Sentiment!$B$2:$B$37,Phone_by_Sentiment!F$2:F$37,"",0,1),0),$A746-TEXT(DATEVALUE($D746&amp;"-01"), "dd-mm-yyyy")),0),0)</f>
        <v>0</v>
      </c>
      <c r="G746" cm="1">
        <f t="array" ref="G746">IF($Q746&gt;=0,IFERROR(generateSalesData($D746, IF(ISNUMBER(_xlfn.XLOOKUP($C746,Phone_by_Sentiment!$B$2:$B$37,Phone_by_Sentiment!G$2:G$37,"",0,1)),_xlfn.XLOOKUP($C746,Phone_by_Sentiment!$B$2:$B$37,Phone_by_Sentiment!G$2:G$37,"",0,1),0),$A746-TEXT(DATEVALUE($D746&amp;"-01"), "dd-mm-yyyy")),0),0)</f>
        <v>0</v>
      </c>
      <c r="H746" cm="1">
        <f t="array" ref="H746">IF($Q746&gt;=0,IFERROR(generateSalesData($D746, IF(ISNUMBER(_xlfn.XLOOKUP($C746,Phone_by_Sentiment!$B$2:$B$37,Phone_by_Sentiment!H$2:H$37,"",0,1)),_xlfn.XLOOKUP($C746,Phone_by_Sentiment!$B$2:$B$37,Phone_by_Sentiment!H$2:H$37,"",0,1),0),$A746-TEXT(DATEVALUE($D746&amp;"-01"), "dd-mm-yyyy")),0),0)</f>
        <v>0</v>
      </c>
      <c r="I746" cm="1">
        <f t="array" ref="I746">IF($Q746&gt;=0,IFERROR(generateSalesData($D746, IF(ISNUMBER(_xlfn.XLOOKUP($C746,Phone_by_Sentiment!$B$2:$B$37,Phone_by_Sentiment!I$2:I$37,"",0,1)),_xlfn.XLOOKUP($C746,Phone_by_Sentiment!$B$2:$B$37,Phone_by_Sentiment!I$2:I$37,"",0,1),0),$A746-TEXT(DATEVALUE($D746&amp;"-01"), "dd-mm-yyyy")),0),0)</f>
        <v>0</v>
      </c>
      <c r="J746" cm="1">
        <f t="array" ref="J746">IF($Q746&gt;=0,IFERROR(generateSalesData($D746, IF(ISNUMBER(_xlfn.XLOOKUP($C746,Phone_by_Sentiment!$B$2:$B$37,Phone_by_Sentiment!J$2:J$37,"",0,1)),_xlfn.XLOOKUP($C746,Phone_by_Sentiment!$B$2:$B$37,Phone_by_Sentiment!J$2:J$37,"",0,1),0),$A746-TEXT(DATEVALUE($D746&amp;"-01"), "dd-mm-yyyy")),0),0)</f>
        <v>0</v>
      </c>
      <c r="K746" cm="1">
        <f t="array" ref="K746">IF($Q746&gt;=0,IFERROR(generateSalesData($D746, IF(ISNUMBER(_xlfn.XLOOKUP($C746,Phone_by_Sentiment!$B$2:$B$37,Phone_by_Sentiment!K$2:K$37,"",0,1)),_xlfn.XLOOKUP($C746,Phone_by_Sentiment!$B$2:$B$37,Phone_by_Sentiment!K$2:K$37,"",0,1),0),$A746-TEXT(DATEVALUE($D746&amp;"-01"), "dd-mm-yyyy")),0),0)</f>
        <v>0</v>
      </c>
      <c r="L746" cm="1">
        <f t="array" ref="L746">IF($Q746&gt;=0,IFERROR(generateSalesData($D746, IF(ISNUMBER(_xlfn.XLOOKUP($C746,Phone_by_Sentiment!$B$2:$B$37,Phone_by_Sentiment!L$2:L$37,"",0,1)),_xlfn.XLOOKUP($C746,Phone_by_Sentiment!$B$2:$B$37,Phone_by_Sentiment!L$2:L$37,"",0,1),0),$A746-TEXT(DATEVALUE($D746&amp;"-01"), "dd-mm-yyyy")),0),0)</f>
        <v>0</v>
      </c>
      <c r="M746" cm="1">
        <f t="array" ref="M746">IF($Q746&gt;=0,IFERROR(generateSalesData($D746, IF(ISNUMBER(_xlfn.XLOOKUP($C746,Phone_by_Sentiment!$B$2:$B$37,Phone_by_Sentiment!M$2:M$37,"",0,1)),_xlfn.XLOOKUP($C746,Phone_by_Sentiment!$B$2:$B$37,Phone_by_Sentiment!M$2:M$37,"",0,1),0),$A746-TEXT(DATEVALUE($D746&amp;"-01"), "dd-mm-yyyy")),0),0)</f>
        <v>0</v>
      </c>
      <c r="N746" cm="1">
        <f t="array" ref="N746">IF($Q746&gt;=0,IFERROR(generateSalesData($D746, IF(ISNUMBER(_xlfn.XLOOKUP($C746,Phone_by_Sentiment!$B$2:$B$37,Phone_by_Sentiment!N$2:N$37,"",0,1)),_xlfn.XLOOKUP($C746,Phone_by_Sentiment!$B$2:$B$37,Phone_by_Sentiment!N$2:N$37,"",0,1),0),$A746-TEXT(DATEVALUE($D746&amp;"-01"), "dd-mm-yyyy")),0),0)</f>
        <v>0</v>
      </c>
      <c r="O746" cm="1">
        <f t="array" ref="O746">IF($Q746&gt;=0,IFERROR(generateSalesData($D746, IF(ISNUMBER(_xlfn.XLOOKUP($C746,Phone_by_Sentiment!$B$2:$B$37,Phone_by_Sentiment!O$2:O$37,"",0,1)),_xlfn.XLOOKUP($C746,Phone_by_Sentiment!$B$2:$B$37,Phone_by_Sentiment!O$2:O$37,"",0,1),0),$A746-TEXT(DATEVALUE($D746&amp;"-01"), "dd-mm-yyyy")),0),0)</f>
        <v>0</v>
      </c>
      <c r="P746" s="1">
        <f t="shared" si="30"/>
        <v>44256</v>
      </c>
      <c r="Q746">
        <f t="shared" si="31"/>
        <v>-151</v>
      </c>
    </row>
    <row r="747" spans="1:17" x14ac:dyDescent="0.25">
      <c r="A747" s="1">
        <f t="shared" si="27"/>
        <v>44105</v>
      </c>
      <c r="B747" t="s">
        <v>160</v>
      </c>
      <c r="C747" t="str">
        <f>_xlfn.XLOOKUP(B747,Phone_by_Price!$A$2:$A$34,Phone_by_Price!$B$2:$B$34,"-",0,1)</f>
        <v>Xiaomi Poco X3 Pro</v>
      </c>
      <c r="D747" t="str">
        <f>_xlfn.XLOOKUP(C747,Phone_by_Sentiment!$B$2:$B$37,Phone_by_Sentiment!$A$2:$A$37,"-",0,1)</f>
        <v>2021-05</v>
      </c>
      <c r="E747" cm="1">
        <f t="array" ref="E747">IF($Q747&gt;=0,IFERROR(generateSalesData($D747, IF(ISNUMBER(_xlfn.XLOOKUP($C747,Phone_by_Sentiment!$B$2:$B$37,Phone_by_Sentiment!E$2:E$37,"",0,1)),_xlfn.XLOOKUP($C747,Phone_by_Sentiment!$B$2:$B$37,Phone_by_Sentiment!E$2:E$37,"",0,1),0),$A747-TEXT(DATEVALUE($D747&amp;"-01"), "dd-mm-yyyy")),0),0)</f>
        <v>0</v>
      </c>
      <c r="F747" cm="1">
        <f t="array" ref="F747">IF($Q747&gt;=0,IFERROR(generateSalesData($D747, IF(ISNUMBER(_xlfn.XLOOKUP($C747,Phone_by_Sentiment!$B$2:$B$37,Phone_by_Sentiment!F$2:F$37,"",0,1)),_xlfn.XLOOKUP($C747,Phone_by_Sentiment!$B$2:$B$37,Phone_by_Sentiment!F$2:F$37,"",0,1),0),$A747-TEXT(DATEVALUE($D747&amp;"-01"), "dd-mm-yyyy")),0),0)</f>
        <v>0</v>
      </c>
      <c r="G747" cm="1">
        <f t="array" ref="G747">IF($Q747&gt;=0,IFERROR(generateSalesData($D747, IF(ISNUMBER(_xlfn.XLOOKUP($C747,Phone_by_Sentiment!$B$2:$B$37,Phone_by_Sentiment!G$2:G$37,"",0,1)),_xlfn.XLOOKUP($C747,Phone_by_Sentiment!$B$2:$B$37,Phone_by_Sentiment!G$2:G$37,"",0,1),0),$A747-TEXT(DATEVALUE($D747&amp;"-01"), "dd-mm-yyyy")),0),0)</f>
        <v>0</v>
      </c>
      <c r="H747" cm="1">
        <f t="array" ref="H747">IF($Q747&gt;=0,IFERROR(generateSalesData($D747, IF(ISNUMBER(_xlfn.XLOOKUP($C747,Phone_by_Sentiment!$B$2:$B$37,Phone_by_Sentiment!H$2:H$37,"",0,1)),_xlfn.XLOOKUP($C747,Phone_by_Sentiment!$B$2:$B$37,Phone_by_Sentiment!H$2:H$37,"",0,1),0),$A747-TEXT(DATEVALUE($D747&amp;"-01"), "dd-mm-yyyy")),0),0)</f>
        <v>0</v>
      </c>
      <c r="I747" cm="1">
        <f t="array" ref="I747">IF($Q747&gt;=0,IFERROR(generateSalesData($D747, IF(ISNUMBER(_xlfn.XLOOKUP($C747,Phone_by_Sentiment!$B$2:$B$37,Phone_by_Sentiment!I$2:I$37,"",0,1)),_xlfn.XLOOKUP($C747,Phone_by_Sentiment!$B$2:$B$37,Phone_by_Sentiment!I$2:I$37,"",0,1),0),$A747-TEXT(DATEVALUE($D747&amp;"-01"), "dd-mm-yyyy")),0),0)</f>
        <v>0</v>
      </c>
      <c r="J747" cm="1">
        <f t="array" ref="J747">IF($Q747&gt;=0,IFERROR(generateSalesData($D747, IF(ISNUMBER(_xlfn.XLOOKUP($C747,Phone_by_Sentiment!$B$2:$B$37,Phone_by_Sentiment!J$2:J$37,"",0,1)),_xlfn.XLOOKUP($C747,Phone_by_Sentiment!$B$2:$B$37,Phone_by_Sentiment!J$2:J$37,"",0,1),0),$A747-TEXT(DATEVALUE($D747&amp;"-01"), "dd-mm-yyyy")),0),0)</f>
        <v>0</v>
      </c>
      <c r="K747" cm="1">
        <f t="array" ref="K747">IF($Q747&gt;=0,IFERROR(generateSalesData($D747, IF(ISNUMBER(_xlfn.XLOOKUP($C747,Phone_by_Sentiment!$B$2:$B$37,Phone_by_Sentiment!K$2:K$37,"",0,1)),_xlfn.XLOOKUP($C747,Phone_by_Sentiment!$B$2:$B$37,Phone_by_Sentiment!K$2:K$37,"",0,1),0),$A747-TEXT(DATEVALUE($D747&amp;"-01"), "dd-mm-yyyy")),0),0)</f>
        <v>0</v>
      </c>
      <c r="L747" cm="1">
        <f t="array" ref="L747">IF($Q747&gt;=0,IFERROR(generateSalesData($D747, IF(ISNUMBER(_xlfn.XLOOKUP($C747,Phone_by_Sentiment!$B$2:$B$37,Phone_by_Sentiment!L$2:L$37,"",0,1)),_xlfn.XLOOKUP($C747,Phone_by_Sentiment!$B$2:$B$37,Phone_by_Sentiment!L$2:L$37,"",0,1),0),$A747-TEXT(DATEVALUE($D747&amp;"-01"), "dd-mm-yyyy")),0),0)</f>
        <v>0</v>
      </c>
      <c r="M747" cm="1">
        <f t="array" ref="M747">IF($Q747&gt;=0,IFERROR(generateSalesData($D747, IF(ISNUMBER(_xlfn.XLOOKUP($C747,Phone_by_Sentiment!$B$2:$B$37,Phone_by_Sentiment!M$2:M$37,"",0,1)),_xlfn.XLOOKUP($C747,Phone_by_Sentiment!$B$2:$B$37,Phone_by_Sentiment!M$2:M$37,"",0,1),0),$A747-TEXT(DATEVALUE($D747&amp;"-01"), "dd-mm-yyyy")),0),0)</f>
        <v>0</v>
      </c>
      <c r="N747" cm="1">
        <f t="array" ref="N747">IF($Q747&gt;=0,IFERROR(generateSalesData($D747, IF(ISNUMBER(_xlfn.XLOOKUP($C747,Phone_by_Sentiment!$B$2:$B$37,Phone_by_Sentiment!N$2:N$37,"",0,1)),_xlfn.XLOOKUP($C747,Phone_by_Sentiment!$B$2:$B$37,Phone_by_Sentiment!N$2:N$37,"",0,1),0),$A747-TEXT(DATEVALUE($D747&amp;"-01"), "dd-mm-yyyy")),0),0)</f>
        <v>0</v>
      </c>
      <c r="O747" cm="1">
        <f t="array" ref="O747">IF($Q747&gt;=0,IFERROR(generateSalesData($D747, IF(ISNUMBER(_xlfn.XLOOKUP($C747,Phone_by_Sentiment!$B$2:$B$37,Phone_by_Sentiment!O$2:O$37,"",0,1)),_xlfn.XLOOKUP($C747,Phone_by_Sentiment!$B$2:$B$37,Phone_by_Sentiment!O$2:O$37,"",0,1),0),$A747-TEXT(DATEVALUE($D747&amp;"-01"), "dd-mm-yyyy")),0),0)</f>
        <v>0</v>
      </c>
      <c r="P747" s="1">
        <f t="shared" si="30"/>
        <v>44317</v>
      </c>
      <c r="Q747">
        <f t="shared" si="31"/>
        <v>-212</v>
      </c>
    </row>
    <row r="748" spans="1:17" x14ac:dyDescent="0.25">
      <c r="A748" s="1">
        <f t="shared" si="27"/>
        <v>44105</v>
      </c>
      <c r="B748" t="s">
        <v>161</v>
      </c>
      <c r="C748" t="str">
        <f>_xlfn.XLOOKUP(B748,Phone_by_Price!$A$2:$A$34,Phone_by_Price!$B$2:$B$34,"-",0,1)</f>
        <v>Samsung Galaxy Z Flip 3</v>
      </c>
      <c r="D748" t="str">
        <f>_xlfn.XLOOKUP(C748,Phone_by_Sentiment!$B$2:$B$37,Phone_by_Sentiment!$A$2:$A$37,"-",0,1)</f>
        <v>2021-09</v>
      </c>
      <c r="E748" cm="1">
        <f t="array" ref="E748">IF($Q748&gt;=0,IFERROR(generateSalesData($D748, IF(ISNUMBER(_xlfn.XLOOKUP($C748,Phone_by_Sentiment!$B$2:$B$37,Phone_by_Sentiment!E$2:E$37,"",0,1)),_xlfn.XLOOKUP($C748,Phone_by_Sentiment!$B$2:$B$37,Phone_by_Sentiment!E$2:E$37,"",0,1),0),$A748-TEXT(DATEVALUE($D748&amp;"-01"), "dd-mm-yyyy")),0),0)</f>
        <v>0</v>
      </c>
      <c r="F748" cm="1">
        <f t="array" ref="F748">IF($Q748&gt;=0,IFERROR(generateSalesData($D748, IF(ISNUMBER(_xlfn.XLOOKUP($C748,Phone_by_Sentiment!$B$2:$B$37,Phone_by_Sentiment!F$2:F$37,"",0,1)),_xlfn.XLOOKUP($C748,Phone_by_Sentiment!$B$2:$B$37,Phone_by_Sentiment!F$2:F$37,"",0,1),0),$A748-TEXT(DATEVALUE($D748&amp;"-01"), "dd-mm-yyyy")),0),0)</f>
        <v>0</v>
      </c>
      <c r="G748" cm="1">
        <f t="array" ref="G748">IF($Q748&gt;=0,IFERROR(generateSalesData($D748, IF(ISNUMBER(_xlfn.XLOOKUP($C748,Phone_by_Sentiment!$B$2:$B$37,Phone_by_Sentiment!G$2:G$37,"",0,1)),_xlfn.XLOOKUP($C748,Phone_by_Sentiment!$B$2:$B$37,Phone_by_Sentiment!G$2:G$37,"",0,1),0),$A748-TEXT(DATEVALUE($D748&amp;"-01"), "dd-mm-yyyy")),0),0)</f>
        <v>0</v>
      </c>
      <c r="H748" cm="1">
        <f t="array" ref="H748">IF($Q748&gt;=0,IFERROR(generateSalesData($D748, IF(ISNUMBER(_xlfn.XLOOKUP($C748,Phone_by_Sentiment!$B$2:$B$37,Phone_by_Sentiment!H$2:H$37,"",0,1)),_xlfn.XLOOKUP($C748,Phone_by_Sentiment!$B$2:$B$37,Phone_by_Sentiment!H$2:H$37,"",0,1),0),$A748-TEXT(DATEVALUE($D748&amp;"-01"), "dd-mm-yyyy")),0),0)</f>
        <v>0</v>
      </c>
      <c r="I748" cm="1">
        <f t="array" ref="I748">IF($Q748&gt;=0,IFERROR(generateSalesData($D748, IF(ISNUMBER(_xlfn.XLOOKUP($C748,Phone_by_Sentiment!$B$2:$B$37,Phone_by_Sentiment!I$2:I$37,"",0,1)),_xlfn.XLOOKUP($C748,Phone_by_Sentiment!$B$2:$B$37,Phone_by_Sentiment!I$2:I$37,"",0,1),0),$A748-TEXT(DATEVALUE($D748&amp;"-01"), "dd-mm-yyyy")),0),0)</f>
        <v>0</v>
      </c>
      <c r="J748" cm="1">
        <f t="array" ref="J748">IF($Q748&gt;=0,IFERROR(generateSalesData($D748, IF(ISNUMBER(_xlfn.XLOOKUP($C748,Phone_by_Sentiment!$B$2:$B$37,Phone_by_Sentiment!J$2:J$37,"",0,1)),_xlfn.XLOOKUP($C748,Phone_by_Sentiment!$B$2:$B$37,Phone_by_Sentiment!J$2:J$37,"",0,1),0),$A748-TEXT(DATEVALUE($D748&amp;"-01"), "dd-mm-yyyy")),0),0)</f>
        <v>0</v>
      </c>
      <c r="K748" cm="1">
        <f t="array" ref="K748">IF($Q748&gt;=0,IFERROR(generateSalesData($D748, IF(ISNUMBER(_xlfn.XLOOKUP($C748,Phone_by_Sentiment!$B$2:$B$37,Phone_by_Sentiment!K$2:K$37,"",0,1)),_xlfn.XLOOKUP($C748,Phone_by_Sentiment!$B$2:$B$37,Phone_by_Sentiment!K$2:K$37,"",0,1),0),$A748-TEXT(DATEVALUE($D748&amp;"-01"), "dd-mm-yyyy")),0),0)</f>
        <v>0</v>
      </c>
      <c r="L748" cm="1">
        <f t="array" ref="L748">IF($Q748&gt;=0,IFERROR(generateSalesData($D748, IF(ISNUMBER(_xlfn.XLOOKUP($C748,Phone_by_Sentiment!$B$2:$B$37,Phone_by_Sentiment!L$2:L$37,"",0,1)),_xlfn.XLOOKUP($C748,Phone_by_Sentiment!$B$2:$B$37,Phone_by_Sentiment!L$2:L$37,"",0,1),0),$A748-TEXT(DATEVALUE($D748&amp;"-01"), "dd-mm-yyyy")),0),0)</f>
        <v>0</v>
      </c>
      <c r="M748" cm="1">
        <f t="array" ref="M748">IF($Q748&gt;=0,IFERROR(generateSalesData($D748, IF(ISNUMBER(_xlfn.XLOOKUP($C748,Phone_by_Sentiment!$B$2:$B$37,Phone_by_Sentiment!M$2:M$37,"",0,1)),_xlfn.XLOOKUP($C748,Phone_by_Sentiment!$B$2:$B$37,Phone_by_Sentiment!M$2:M$37,"",0,1),0),$A748-TEXT(DATEVALUE($D748&amp;"-01"), "dd-mm-yyyy")),0),0)</f>
        <v>0</v>
      </c>
      <c r="N748" cm="1">
        <f t="array" ref="N748">IF($Q748&gt;=0,IFERROR(generateSalesData($D748, IF(ISNUMBER(_xlfn.XLOOKUP($C748,Phone_by_Sentiment!$B$2:$B$37,Phone_by_Sentiment!N$2:N$37,"",0,1)),_xlfn.XLOOKUP($C748,Phone_by_Sentiment!$B$2:$B$37,Phone_by_Sentiment!N$2:N$37,"",0,1),0),$A748-TEXT(DATEVALUE($D748&amp;"-01"), "dd-mm-yyyy")),0),0)</f>
        <v>0</v>
      </c>
      <c r="O748" cm="1">
        <f t="array" ref="O748">IF($Q748&gt;=0,IFERROR(generateSalesData($D748, IF(ISNUMBER(_xlfn.XLOOKUP($C748,Phone_by_Sentiment!$B$2:$B$37,Phone_by_Sentiment!O$2:O$37,"",0,1)),_xlfn.XLOOKUP($C748,Phone_by_Sentiment!$B$2:$B$37,Phone_by_Sentiment!O$2:O$37,"",0,1),0),$A748-TEXT(DATEVALUE($D748&amp;"-01"), "dd-mm-yyyy")),0),0)</f>
        <v>0</v>
      </c>
      <c r="P748" s="1">
        <f t="shared" si="30"/>
        <v>44440</v>
      </c>
      <c r="Q748">
        <f t="shared" si="31"/>
        <v>-335</v>
      </c>
    </row>
    <row r="749" spans="1:17" x14ac:dyDescent="0.25">
      <c r="A749" s="1">
        <f t="shared" si="27"/>
        <v>44105</v>
      </c>
      <c r="B749" t="s">
        <v>162</v>
      </c>
      <c r="C749" t="str">
        <f>_xlfn.XLOOKUP(B749,Phone_by_Price!$A$2:$A$34,Phone_by_Price!$B$2:$B$34,"-",0,1)</f>
        <v>Xiaomi Poco X3 NFC</v>
      </c>
      <c r="D749" t="str">
        <f>_xlfn.XLOOKUP(C749,Phone_by_Sentiment!$B$2:$B$37,Phone_by_Sentiment!$A$2:$A$37,"-",0,1)</f>
        <v>2020-08</v>
      </c>
      <c r="E749" cm="1">
        <f t="array" ref="E749">IF($Q749&gt;=0,IFERROR(generateSalesData($D749, IF(ISNUMBER(_xlfn.XLOOKUP($C749,Phone_by_Sentiment!$B$2:$B$37,Phone_by_Sentiment!E$2:E$37,"",0,1)),_xlfn.XLOOKUP($C749,Phone_by_Sentiment!$B$2:$B$37,Phone_by_Sentiment!E$2:E$37,"",0,1),0),$A749-TEXT(DATEVALUE($D749&amp;"-01"), "dd-mm-yyyy")),0),0)</f>
        <v>1382</v>
      </c>
      <c r="F749" cm="1">
        <f t="array" ref="F749">IF($Q749&gt;=0,IFERROR(generateSalesData($D749, IF(ISNUMBER(_xlfn.XLOOKUP($C749,Phone_by_Sentiment!$B$2:$B$37,Phone_by_Sentiment!F$2:F$37,"",0,1)),_xlfn.XLOOKUP($C749,Phone_by_Sentiment!$B$2:$B$37,Phone_by_Sentiment!F$2:F$37,"",0,1),0),$A749-TEXT(DATEVALUE($D749&amp;"-01"), "dd-mm-yyyy")),0),0)</f>
        <v>45</v>
      </c>
      <c r="G749" cm="1">
        <f t="array" ref="G749">IF($Q749&gt;=0,IFERROR(generateSalesData($D749, IF(ISNUMBER(_xlfn.XLOOKUP($C749,Phone_by_Sentiment!$B$2:$B$37,Phone_by_Sentiment!G$2:G$37,"",0,1)),_xlfn.XLOOKUP($C749,Phone_by_Sentiment!$B$2:$B$37,Phone_by_Sentiment!G$2:G$37,"",0,1),0),$A749-TEXT(DATEVALUE($D749&amp;"-01"), "dd-mm-yyyy")),0),0)</f>
        <v>978</v>
      </c>
      <c r="H749" cm="1">
        <f t="array" ref="H749">IF($Q749&gt;=0,IFERROR(generateSalesData($D749, IF(ISNUMBER(_xlfn.XLOOKUP($C749,Phone_by_Sentiment!$B$2:$B$37,Phone_by_Sentiment!H$2:H$37,"",0,1)),_xlfn.XLOOKUP($C749,Phone_by_Sentiment!$B$2:$B$37,Phone_by_Sentiment!H$2:H$37,"",0,1),0),$A749-TEXT(DATEVALUE($D749&amp;"-01"), "dd-mm-yyyy")),0),0)</f>
        <v>445</v>
      </c>
      <c r="I749" cm="1">
        <f t="array" ref="I749">IF($Q749&gt;=0,IFERROR(generateSalesData($D749, IF(ISNUMBER(_xlfn.XLOOKUP($C749,Phone_by_Sentiment!$B$2:$B$37,Phone_by_Sentiment!I$2:I$37,"",0,1)),_xlfn.XLOOKUP($C749,Phone_by_Sentiment!$B$2:$B$37,Phone_by_Sentiment!I$2:I$37,"",0,1),0),$A749-TEXT(DATEVALUE($D749&amp;"-01"), "dd-mm-yyyy")),0),0)</f>
        <v>705</v>
      </c>
      <c r="J749" cm="1">
        <f t="array" ref="J749">IF($Q749&gt;=0,IFERROR(generateSalesData($D749, IF(ISNUMBER(_xlfn.XLOOKUP($C749,Phone_by_Sentiment!$B$2:$B$37,Phone_by_Sentiment!J$2:J$37,"",0,1)),_xlfn.XLOOKUP($C749,Phone_by_Sentiment!$B$2:$B$37,Phone_by_Sentiment!J$2:J$37,"",0,1),0),$A749-TEXT(DATEVALUE($D749&amp;"-01"), "dd-mm-yyyy")),0),0)</f>
        <v>643</v>
      </c>
      <c r="K749" cm="1">
        <f t="array" ref="K749">IF($Q749&gt;=0,IFERROR(generateSalesData($D749, IF(ISNUMBER(_xlfn.XLOOKUP($C749,Phone_by_Sentiment!$B$2:$B$37,Phone_by_Sentiment!K$2:K$37,"",0,1)),_xlfn.XLOOKUP($C749,Phone_by_Sentiment!$B$2:$B$37,Phone_by_Sentiment!K$2:K$37,"",0,1),0),$A749-TEXT(DATEVALUE($D749&amp;"-01"), "dd-mm-yyyy")),0),0)</f>
        <v>4724</v>
      </c>
      <c r="L749" cm="1">
        <f t="array" ref="L749">IF($Q749&gt;=0,IFERROR(generateSalesData($D749, IF(ISNUMBER(_xlfn.XLOOKUP($C749,Phone_by_Sentiment!$B$2:$B$37,Phone_by_Sentiment!L$2:L$37,"",0,1)),_xlfn.XLOOKUP($C749,Phone_by_Sentiment!$B$2:$B$37,Phone_by_Sentiment!L$2:L$37,"",0,1),0),$A749-TEXT(DATEVALUE($D749&amp;"-01"), "dd-mm-yyyy")),0),0)</f>
        <v>938</v>
      </c>
      <c r="M749" cm="1">
        <f t="array" ref="M749">IF($Q749&gt;=0,IFERROR(generateSalesData($D749, IF(ISNUMBER(_xlfn.XLOOKUP($C749,Phone_by_Sentiment!$B$2:$B$37,Phone_by_Sentiment!M$2:M$37,"",0,1)),_xlfn.XLOOKUP($C749,Phone_by_Sentiment!$B$2:$B$37,Phone_by_Sentiment!M$2:M$37,"",0,1),0),$A749-TEXT(DATEVALUE($D749&amp;"-01"), "dd-mm-yyyy")),0),0)</f>
        <v>5324</v>
      </c>
      <c r="N749" cm="1">
        <f t="array" ref="N749">IF($Q749&gt;=0,IFERROR(generateSalesData($D749, IF(ISNUMBER(_xlfn.XLOOKUP($C749,Phone_by_Sentiment!$B$2:$B$37,Phone_by_Sentiment!N$2:N$37,"",0,1)),_xlfn.XLOOKUP($C749,Phone_by_Sentiment!$B$2:$B$37,Phone_by_Sentiment!N$2:N$37,"",0,1),0),$A749-TEXT(DATEVALUE($D749&amp;"-01"), "dd-mm-yyyy")),0),0)</f>
        <v>808</v>
      </c>
      <c r="O749" cm="1">
        <f t="array" ref="O749">IF($Q749&gt;=0,IFERROR(generateSalesData($D749, IF(ISNUMBER(_xlfn.XLOOKUP($C749,Phone_by_Sentiment!$B$2:$B$37,Phone_by_Sentiment!O$2:O$37,"",0,1)),_xlfn.XLOOKUP($C749,Phone_by_Sentiment!$B$2:$B$37,Phone_by_Sentiment!O$2:O$37,"",0,1),0),$A749-TEXT(DATEVALUE($D749&amp;"-01"), "dd-mm-yyyy")),0),0)</f>
        <v>4774</v>
      </c>
      <c r="P749" s="1">
        <f t="shared" si="30"/>
        <v>44044</v>
      </c>
      <c r="Q749">
        <f t="shared" si="31"/>
        <v>61</v>
      </c>
    </row>
    <row r="750" spans="1:17" x14ac:dyDescent="0.25">
      <c r="A750" s="1">
        <f t="shared" si="27"/>
        <v>44105</v>
      </c>
      <c r="B750" t="s">
        <v>163</v>
      </c>
      <c r="C750" t="str">
        <f>_xlfn.XLOOKUP(B750,Phone_by_Price!$A$2:$A$34,Phone_by_Price!$B$2:$B$34,"-",0,1)</f>
        <v>OPPO A93</v>
      </c>
      <c r="D750" t="str">
        <f>_xlfn.XLOOKUP(C750,Phone_by_Sentiment!$B$2:$B$37,Phone_by_Sentiment!$A$2:$A$37,"-",0,1)</f>
        <v>2021-02</v>
      </c>
      <c r="E750" cm="1">
        <f t="array" ref="E750">IF($Q750&gt;=0,IFERROR(generateSalesData($D750, IF(ISNUMBER(_xlfn.XLOOKUP($C750,Phone_by_Sentiment!$B$2:$B$37,Phone_by_Sentiment!E$2:E$37,"",0,1)),_xlfn.XLOOKUP($C750,Phone_by_Sentiment!$B$2:$B$37,Phone_by_Sentiment!E$2:E$37,"",0,1),0),$A750-TEXT(DATEVALUE($D750&amp;"-01"), "dd-mm-yyyy")),0),0)</f>
        <v>0</v>
      </c>
      <c r="F750" cm="1">
        <f t="array" ref="F750">IF($Q750&gt;=0,IFERROR(generateSalesData($D750, IF(ISNUMBER(_xlfn.XLOOKUP($C750,Phone_by_Sentiment!$B$2:$B$37,Phone_by_Sentiment!F$2:F$37,"",0,1)),_xlfn.XLOOKUP($C750,Phone_by_Sentiment!$B$2:$B$37,Phone_by_Sentiment!F$2:F$37,"",0,1),0),$A750-TEXT(DATEVALUE($D750&amp;"-01"), "dd-mm-yyyy")),0),0)</f>
        <v>0</v>
      </c>
      <c r="G750" cm="1">
        <f t="array" ref="G750">IF($Q750&gt;=0,IFERROR(generateSalesData($D750, IF(ISNUMBER(_xlfn.XLOOKUP($C750,Phone_by_Sentiment!$B$2:$B$37,Phone_by_Sentiment!G$2:G$37,"",0,1)),_xlfn.XLOOKUP($C750,Phone_by_Sentiment!$B$2:$B$37,Phone_by_Sentiment!G$2:G$37,"",0,1),0),$A750-TEXT(DATEVALUE($D750&amp;"-01"), "dd-mm-yyyy")),0),0)</f>
        <v>0</v>
      </c>
      <c r="H750" cm="1">
        <f t="array" ref="H750">IF($Q750&gt;=0,IFERROR(generateSalesData($D750, IF(ISNUMBER(_xlfn.XLOOKUP($C750,Phone_by_Sentiment!$B$2:$B$37,Phone_by_Sentiment!H$2:H$37,"",0,1)),_xlfn.XLOOKUP($C750,Phone_by_Sentiment!$B$2:$B$37,Phone_by_Sentiment!H$2:H$37,"",0,1),0),$A750-TEXT(DATEVALUE($D750&amp;"-01"), "dd-mm-yyyy")),0),0)</f>
        <v>0</v>
      </c>
      <c r="I750" cm="1">
        <f t="array" ref="I750">IF($Q750&gt;=0,IFERROR(generateSalesData($D750, IF(ISNUMBER(_xlfn.XLOOKUP($C750,Phone_by_Sentiment!$B$2:$B$37,Phone_by_Sentiment!I$2:I$37,"",0,1)),_xlfn.XLOOKUP($C750,Phone_by_Sentiment!$B$2:$B$37,Phone_by_Sentiment!I$2:I$37,"",0,1),0),$A750-TEXT(DATEVALUE($D750&amp;"-01"), "dd-mm-yyyy")),0),0)</f>
        <v>0</v>
      </c>
      <c r="J750" cm="1">
        <f t="array" ref="J750">IF($Q750&gt;=0,IFERROR(generateSalesData($D750, IF(ISNUMBER(_xlfn.XLOOKUP($C750,Phone_by_Sentiment!$B$2:$B$37,Phone_by_Sentiment!J$2:J$37,"",0,1)),_xlfn.XLOOKUP($C750,Phone_by_Sentiment!$B$2:$B$37,Phone_by_Sentiment!J$2:J$37,"",0,1),0),$A750-TEXT(DATEVALUE($D750&amp;"-01"), "dd-mm-yyyy")),0),0)</f>
        <v>0</v>
      </c>
      <c r="K750" cm="1">
        <f t="array" ref="K750">IF($Q750&gt;=0,IFERROR(generateSalesData($D750, IF(ISNUMBER(_xlfn.XLOOKUP($C750,Phone_by_Sentiment!$B$2:$B$37,Phone_by_Sentiment!K$2:K$37,"",0,1)),_xlfn.XLOOKUP($C750,Phone_by_Sentiment!$B$2:$B$37,Phone_by_Sentiment!K$2:K$37,"",0,1),0),$A750-TEXT(DATEVALUE($D750&amp;"-01"), "dd-mm-yyyy")),0),0)</f>
        <v>0</v>
      </c>
      <c r="L750" cm="1">
        <f t="array" ref="L750">IF($Q750&gt;=0,IFERROR(generateSalesData($D750, IF(ISNUMBER(_xlfn.XLOOKUP($C750,Phone_by_Sentiment!$B$2:$B$37,Phone_by_Sentiment!L$2:L$37,"",0,1)),_xlfn.XLOOKUP($C750,Phone_by_Sentiment!$B$2:$B$37,Phone_by_Sentiment!L$2:L$37,"",0,1),0),$A750-TEXT(DATEVALUE($D750&amp;"-01"), "dd-mm-yyyy")),0),0)</f>
        <v>0</v>
      </c>
      <c r="M750" cm="1">
        <f t="array" ref="M750">IF($Q750&gt;=0,IFERROR(generateSalesData($D750, IF(ISNUMBER(_xlfn.XLOOKUP($C750,Phone_by_Sentiment!$B$2:$B$37,Phone_by_Sentiment!M$2:M$37,"",0,1)),_xlfn.XLOOKUP($C750,Phone_by_Sentiment!$B$2:$B$37,Phone_by_Sentiment!M$2:M$37,"",0,1),0),$A750-TEXT(DATEVALUE($D750&amp;"-01"), "dd-mm-yyyy")),0),0)</f>
        <v>0</v>
      </c>
      <c r="N750" cm="1">
        <f t="array" ref="N750">IF($Q750&gt;=0,IFERROR(generateSalesData($D750, IF(ISNUMBER(_xlfn.XLOOKUP($C750,Phone_by_Sentiment!$B$2:$B$37,Phone_by_Sentiment!N$2:N$37,"",0,1)),_xlfn.XLOOKUP($C750,Phone_by_Sentiment!$B$2:$B$37,Phone_by_Sentiment!N$2:N$37,"",0,1),0),$A750-TEXT(DATEVALUE($D750&amp;"-01"), "dd-mm-yyyy")),0),0)</f>
        <v>0</v>
      </c>
      <c r="O750" cm="1">
        <f t="array" ref="O750">IF($Q750&gt;=0,IFERROR(generateSalesData($D750, IF(ISNUMBER(_xlfn.XLOOKUP($C750,Phone_by_Sentiment!$B$2:$B$37,Phone_by_Sentiment!O$2:O$37,"",0,1)),_xlfn.XLOOKUP($C750,Phone_by_Sentiment!$B$2:$B$37,Phone_by_Sentiment!O$2:O$37,"",0,1),0),$A750-TEXT(DATEVALUE($D750&amp;"-01"), "dd-mm-yyyy")),0),0)</f>
        <v>0</v>
      </c>
      <c r="P750" s="1">
        <f t="shared" si="30"/>
        <v>44228</v>
      </c>
      <c r="Q750">
        <f t="shared" si="31"/>
        <v>-123</v>
      </c>
    </row>
    <row r="751" spans="1:17" x14ac:dyDescent="0.25">
      <c r="A751" s="1">
        <f t="shared" si="27"/>
        <v>44105</v>
      </c>
      <c r="B751" t="s">
        <v>164</v>
      </c>
      <c r="C751" t="str">
        <f>_xlfn.XLOOKUP(B751,Phone_by_Price!$A$2:$A$34,Phone_by_Price!$B$2:$B$34,"-",0,1)</f>
        <v>Vivo V20</v>
      </c>
      <c r="D751" t="str">
        <f>_xlfn.XLOOKUP(C751,Phone_by_Sentiment!$B$2:$B$37,Phone_by_Sentiment!$A$2:$A$37,"-",0,1)</f>
        <v>2020-10</v>
      </c>
      <c r="E751" cm="1">
        <f t="array" ref="E751">IF($Q751&gt;=0,IFERROR(generateSalesData($D751, IF(ISNUMBER(_xlfn.XLOOKUP($C751,Phone_by_Sentiment!$B$2:$B$37,Phone_by_Sentiment!E$2:E$37,"",0,1)),_xlfn.XLOOKUP($C751,Phone_by_Sentiment!$B$2:$B$37,Phone_by_Sentiment!E$2:E$37,"",0,1),0),$A751-TEXT(DATEVALUE($D751&amp;"-01"), "dd-mm-yyyy")),0),0)</f>
        <v>12078</v>
      </c>
      <c r="F751" cm="1">
        <f t="array" ref="F751">IF($Q751&gt;=0,IFERROR(generateSalesData($D751, IF(ISNUMBER(_xlfn.XLOOKUP($C751,Phone_by_Sentiment!$B$2:$B$37,Phone_by_Sentiment!F$2:F$37,"",0,1)),_xlfn.XLOOKUP($C751,Phone_by_Sentiment!$B$2:$B$37,Phone_by_Sentiment!F$2:F$37,"",0,1),0),$A751-TEXT(DATEVALUE($D751&amp;"-01"), "dd-mm-yyyy")),0),0)</f>
        <v>2670</v>
      </c>
      <c r="G751" cm="1">
        <f t="array" ref="G751">IF($Q751&gt;=0,IFERROR(generateSalesData($D751, IF(ISNUMBER(_xlfn.XLOOKUP($C751,Phone_by_Sentiment!$B$2:$B$37,Phone_by_Sentiment!G$2:G$37,"",0,1)),_xlfn.XLOOKUP($C751,Phone_by_Sentiment!$B$2:$B$37,Phone_by_Sentiment!G$2:G$37,"",0,1),0),$A751-TEXT(DATEVALUE($D751&amp;"-01"), "dd-mm-yyyy")),0),0)</f>
        <v>487</v>
      </c>
      <c r="H751" cm="1">
        <f t="array" ref="H751">IF($Q751&gt;=0,IFERROR(generateSalesData($D751, IF(ISNUMBER(_xlfn.XLOOKUP($C751,Phone_by_Sentiment!$B$2:$B$37,Phone_by_Sentiment!H$2:H$37,"",0,1)),_xlfn.XLOOKUP($C751,Phone_by_Sentiment!$B$2:$B$37,Phone_by_Sentiment!H$2:H$37,"",0,1),0),$A751-TEXT(DATEVALUE($D751&amp;"-01"), "dd-mm-yyyy")),0),0)</f>
        <v>-780</v>
      </c>
      <c r="I751" cm="1">
        <f t="array" ref="I751">IF($Q751&gt;=0,IFERROR(generateSalesData($D751, IF(ISNUMBER(_xlfn.XLOOKUP($C751,Phone_by_Sentiment!$B$2:$B$37,Phone_by_Sentiment!I$2:I$37,"",0,1)),_xlfn.XLOOKUP($C751,Phone_by_Sentiment!$B$2:$B$37,Phone_by_Sentiment!I$2:I$37,"",0,1),0),$A751-TEXT(DATEVALUE($D751&amp;"-01"), "dd-mm-yyyy")),0),0)</f>
        <v>513</v>
      </c>
      <c r="J751" cm="1">
        <f t="array" ref="J751">IF($Q751&gt;=0,IFERROR(generateSalesData($D751, IF(ISNUMBER(_xlfn.XLOOKUP($C751,Phone_by_Sentiment!$B$2:$B$37,Phone_by_Sentiment!J$2:J$37,"",0,1)),_xlfn.XLOOKUP($C751,Phone_by_Sentiment!$B$2:$B$37,Phone_by_Sentiment!J$2:J$37,"",0,1),0),$A751-TEXT(DATEVALUE($D751&amp;"-01"), "dd-mm-yyyy")),0),0)</f>
        <v>4057</v>
      </c>
      <c r="K751" cm="1">
        <f t="array" ref="K751">IF($Q751&gt;=0,IFERROR(generateSalesData($D751, IF(ISNUMBER(_xlfn.XLOOKUP($C751,Phone_by_Sentiment!$B$2:$B$37,Phone_by_Sentiment!K$2:K$37,"",0,1)),_xlfn.XLOOKUP($C751,Phone_by_Sentiment!$B$2:$B$37,Phone_by_Sentiment!K$2:K$37,"",0,1),0),$A751-TEXT(DATEVALUE($D751&amp;"-01"), "dd-mm-yyyy")),0),0)</f>
        <v>1192</v>
      </c>
      <c r="L751" cm="1">
        <f t="array" ref="L751">IF($Q751&gt;=0,IFERROR(generateSalesData($D751, IF(ISNUMBER(_xlfn.XLOOKUP($C751,Phone_by_Sentiment!$B$2:$B$37,Phone_by_Sentiment!L$2:L$37,"",0,1)),_xlfn.XLOOKUP($C751,Phone_by_Sentiment!$B$2:$B$37,Phone_by_Sentiment!L$2:L$37,"",0,1),0),$A751-TEXT(DATEVALUE($D751&amp;"-01"), "dd-mm-yyyy")),0),0)</f>
        <v>435</v>
      </c>
      <c r="M751" cm="1">
        <f t="array" ref="M751">IF($Q751&gt;=0,IFERROR(generateSalesData($D751, IF(ISNUMBER(_xlfn.XLOOKUP($C751,Phone_by_Sentiment!$B$2:$B$37,Phone_by_Sentiment!M$2:M$37,"",0,1)),_xlfn.XLOOKUP($C751,Phone_by_Sentiment!$B$2:$B$37,Phone_by_Sentiment!M$2:M$37,"",0,1),0),$A751-TEXT(DATEVALUE($D751&amp;"-01"), "dd-mm-yyyy")),0),0)</f>
        <v>3094</v>
      </c>
      <c r="N751" cm="1">
        <f t="array" ref="N751">IF($Q751&gt;=0,IFERROR(generateSalesData($D751, IF(ISNUMBER(_xlfn.XLOOKUP($C751,Phone_by_Sentiment!$B$2:$B$37,Phone_by_Sentiment!N$2:N$37,"",0,1)),_xlfn.XLOOKUP($C751,Phone_by_Sentiment!$B$2:$B$37,Phone_by_Sentiment!N$2:N$37,"",0,1),0),$A751-TEXT(DATEVALUE($D751&amp;"-01"), "dd-mm-yyyy")),0),0)</f>
        <v>2977</v>
      </c>
      <c r="O751" cm="1">
        <f t="array" ref="O751">IF($Q751&gt;=0,IFERROR(generateSalesData($D751, IF(ISNUMBER(_xlfn.XLOOKUP($C751,Phone_by_Sentiment!$B$2:$B$37,Phone_by_Sentiment!O$2:O$37,"",0,1)),_xlfn.XLOOKUP($C751,Phone_by_Sentiment!$B$2:$B$37,Phone_by_Sentiment!O$2:O$37,"",0,1),0),$A751-TEXT(DATEVALUE($D751&amp;"-01"), "dd-mm-yyyy")),0),0)</f>
        <v>2646</v>
      </c>
      <c r="P751" s="1">
        <f t="shared" si="30"/>
        <v>44105</v>
      </c>
      <c r="Q751">
        <f t="shared" si="31"/>
        <v>0</v>
      </c>
    </row>
    <row r="752" spans="1:17" x14ac:dyDescent="0.25">
      <c r="A752" s="1">
        <f t="shared" si="27"/>
        <v>44105</v>
      </c>
      <c r="B752" t="s">
        <v>165</v>
      </c>
      <c r="C752" t="str">
        <f>_xlfn.XLOOKUP(B752,Phone_by_Price!$A$2:$A$34,Phone_by_Price!$B$2:$B$34,"-",0,1)</f>
        <v>Samsung Galaxy A50</v>
      </c>
      <c r="D752" t="str">
        <f>_xlfn.XLOOKUP(C752,Phone_by_Sentiment!$B$2:$B$37,Phone_by_Sentiment!$A$2:$A$37,"-",0,1)</f>
        <v>2019-05</v>
      </c>
      <c r="E752" cm="1">
        <f t="array" ref="E752">IF($Q752&gt;=0,IFERROR(generateSalesData($D752, IF(ISNUMBER(_xlfn.XLOOKUP($C752,Phone_by_Sentiment!$B$2:$B$37,Phone_by_Sentiment!E$2:E$37,"",0,1)),_xlfn.XLOOKUP($C752,Phone_by_Sentiment!$B$2:$B$37,Phone_by_Sentiment!E$2:E$37,"",0,1),0),$A752-TEXT(DATEVALUE($D752&amp;"-01"), "dd-mm-yyyy")),0),0)</f>
        <v>313</v>
      </c>
      <c r="F752" cm="1">
        <f t="array" ref="F752">IF($Q752&gt;=0,IFERROR(generateSalesData($D752, IF(ISNUMBER(_xlfn.XLOOKUP($C752,Phone_by_Sentiment!$B$2:$B$37,Phone_by_Sentiment!F$2:F$37,"",0,1)),_xlfn.XLOOKUP($C752,Phone_by_Sentiment!$B$2:$B$37,Phone_by_Sentiment!F$2:F$37,"",0,1),0),$A752-TEXT(DATEVALUE($D752&amp;"-01"), "dd-mm-yyyy")),0),0)</f>
        <v>215</v>
      </c>
      <c r="G752" cm="1">
        <f t="array" ref="G752">IF($Q752&gt;=0,IFERROR(generateSalesData($D752, IF(ISNUMBER(_xlfn.XLOOKUP($C752,Phone_by_Sentiment!$B$2:$B$37,Phone_by_Sentiment!G$2:G$37,"",0,1)),_xlfn.XLOOKUP($C752,Phone_by_Sentiment!$B$2:$B$37,Phone_by_Sentiment!G$2:G$37,"",0,1),0),$A752-TEXT(DATEVALUE($D752&amp;"-01"), "dd-mm-yyyy")),0),0)</f>
        <v>125</v>
      </c>
      <c r="H752" cm="1">
        <f t="array" ref="H752">IF($Q752&gt;=0,IFERROR(generateSalesData($D752, IF(ISNUMBER(_xlfn.XLOOKUP($C752,Phone_by_Sentiment!$B$2:$B$37,Phone_by_Sentiment!H$2:H$37,"",0,1)),_xlfn.XLOOKUP($C752,Phone_by_Sentiment!$B$2:$B$37,Phone_by_Sentiment!H$2:H$37,"",0,1),0),$A752-TEXT(DATEVALUE($D752&amp;"-01"), "dd-mm-yyyy")),0),0)</f>
        <v>286</v>
      </c>
      <c r="I752" cm="1">
        <f t="array" ref="I752">IF($Q752&gt;=0,IFERROR(generateSalesData($D752, IF(ISNUMBER(_xlfn.XLOOKUP($C752,Phone_by_Sentiment!$B$2:$B$37,Phone_by_Sentiment!I$2:I$37,"",0,1)),_xlfn.XLOOKUP($C752,Phone_by_Sentiment!$B$2:$B$37,Phone_by_Sentiment!I$2:I$37,"",0,1),0),$A752-TEXT(DATEVALUE($D752&amp;"-01"), "dd-mm-yyyy")),0),0)</f>
        <v>622</v>
      </c>
      <c r="J752" cm="1">
        <f t="array" ref="J752">IF($Q752&gt;=0,IFERROR(generateSalesData($D752, IF(ISNUMBER(_xlfn.XLOOKUP($C752,Phone_by_Sentiment!$B$2:$B$37,Phone_by_Sentiment!J$2:J$37,"",0,1)),_xlfn.XLOOKUP($C752,Phone_by_Sentiment!$B$2:$B$37,Phone_by_Sentiment!J$2:J$37,"",0,1),0),$A752-TEXT(DATEVALUE($D752&amp;"-01"), "dd-mm-yyyy")),0),0)</f>
        <v>75</v>
      </c>
      <c r="K752" cm="1">
        <f t="array" ref="K752">IF($Q752&gt;=0,IFERROR(generateSalesData($D752, IF(ISNUMBER(_xlfn.XLOOKUP($C752,Phone_by_Sentiment!$B$2:$B$37,Phone_by_Sentiment!K$2:K$37,"",0,1)),_xlfn.XLOOKUP($C752,Phone_by_Sentiment!$B$2:$B$37,Phone_by_Sentiment!K$2:K$37,"",0,1),0),$A752-TEXT(DATEVALUE($D752&amp;"-01"), "dd-mm-yyyy")),0),0)</f>
        <v>160</v>
      </c>
      <c r="L752" cm="1">
        <f t="array" ref="L752">IF($Q752&gt;=0,IFERROR(generateSalesData($D752, IF(ISNUMBER(_xlfn.XLOOKUP($C752,Phone_by_Sentiment!$B$2:$B$37,Phone_by_Sentiment!L$2:L$37,"",0,1)),_xlfn.XLOOKUP($C752,Phone_by_Sentiment!$B$2:$B$37,Phone_by_Sentiment!L$2:L$37,"",0,1),0),$A752-TEXT(DATEVALUE($D752&amp;"-01"), "dd-mm-yyyy")),0),0)</f>
        <v>164</v>
      </c>
      <c r="M752" cm="1">
        <f t="array" ref="M752">IF($Q752&gt;=0,IFERROR(generateSalesData($D752, IF(ISNUMBER(_xlfn.XLOOKUP($C752,Phone_by_Sentiment!$B$2:$B$37,Phone_by_Sentiment!M$2:M$37,"",0,1)),_xlfn.XLOOKUP($C752,Phone_by_Sentiment!$B$2:$B$37,Phone_by_Sentiment!M$2:M$37,"",0,1),0),$A752-TEXT(DATEVALUE($D752&amp;"-01"), "dd-mm-yyyy")),0),0)</f>
        <v>149</v>
      </c>
      <c r="N752" cm="1">
        <f t="array" ref="N752">IF($Q752&gt;=0,IFERROR(generateSalesData($D752, IF(ISNUMBER(_xlfn.XLOOKUP($C752,Phone_by_Sentiment!$B$2:$B$37,Phone_by_Sentiment!N$2:N$37,"",0,1)),_xlfn.XLOOKUP($C752,Phone_by_Sentiment!$B$2:$B$37,Phone_by_Sentiment!N$2:N$37,"",0,1),0),$A752-TEXT(DATEVALUE($D752&amp;"-01"), "dd-mm-yyyy")),0),0)</f>
        <v>499</v>
      </c>
      <c r="O752" cm="1">
        <f t="array" ref="O752">IF($Q752&gt;=0,IFERROR(generateSalesData($D752, IF(ISNUMBER(_xlfn.XLOOKUP($C752,Phone_by_Sentiment!$B$2:$B$37,Phone_by_Sentiment!O$2:O$37,"",0,1)),_xlfn.XLOOKUP($C752,Phone_by_Sentiment!$B$2:$B$37,Phone_by_Sentiment!O$2:O$37,"",0,1),0),$A752-TEXT(DATEVALUE($D752&amp;"-01"), "dd-mm-yyyy")),0),0)</f>
        <v>427</v>
      </c>
      <c r="P752" s="1">
        <f t="shared" si="30"/>
        <v>43586</v>
      </c>
      <c r="Q752">
        <f t="shared" si="31"/>
        <v>519</v>
      </c>
    </row>
    <row r="753" spans="1:17" x14ac:dyDescent="0.25">
      <c r="A753" s="1">
        <f t="shared" si="27"/>
        <v>44105</v>
      </c>
      <c r="B753" t="s">
        <v>166</v>
      </c>
      <c r="C753" t="str">
        <f>_xlfn.XLOOKUP(B753,Phone_by_Price!$A$2:$A$34,Phone_by_Price!$B$2:$B$34,"-",0,1)</f>
        <v>Xiaomi Redmi Note 7</v>
      </c>
      <c r="D753" t="str">
        <f>_xlfn.XLOOKUP(C753,Phone_by_Sentiment!$B$2:$B$37,Phone_by_Sentiment!$A$2:$A$37,"-",0,1)</f>
        <v>2019-08</v>
      </c>
      <c r="E753" cm="1">
        <f t="array" ref="E753">IF($Q753&gt;=0,IFERROR(generateSalesData($D753, IF(ISNUMBER(_xlfn.XLOOKUP($C753,Phone_by_Sentiment!$B$2:$B$37,Phone_by_Sentiment!E$2:E$37,"",0,1)),_xlfn.XLOOKUP($C753,Phone_by_Sentiment!$B$2:$B$37,Phone_by_Sentiment!E$2:E$37,"",0,1),0),$A753-TEXT(DATEVALUE($D753&amp;"-01"), "dd-mm-yyyy")),0),0)</f>
        <v>201</v>
      </c>
      <c r="F753" cm="1">
        <f t="array" ref="F753">IF($Q753&gt;=0,IFERROR(generateSalesData($D753, IF(ISNUMBER(_xlfn.XLOOKUP($C753,Phone_by_Sentiment!$B$2:$B$37,Phone_by_Sentiment!F$2:F$37,"",0,1)),_xlfn.XLOOKUP($C753,Phone_by_Sentiment!$B$2:$B$37,Phone_by_Sentiment!F$2:F$37,"",0,1),0),$A753-TEXT(DATEVALUE($D753&amp;"-01"), "dd-mm-yyyy")),0),0)</f>
        <v>59</v>
      </c>
      <c r="G753" cm="1">
        <f t="array" ref="G753">IF($Q753&gt;=0,IFERROR(generateSalesData($D753, IF(ISNUMBER(_xlfn.XLOOKUP($C753,Phone_by_Sentiment!$B$2:$B$37,Phone_by_Sentiment!G$2:G$37,"",0,1)),_xlfn.XLOOKUP($C753,Phone_by_Sentiment!$B$2:$B$37,Phone_by_Sentiment!G$2:G$37,"",0,1),0),$A753-TEXT(DATEVALUE($D753&amp;"-01"), "dd-mm-yyyy")),0),0)</f>
        <v>82</v>
      </c>
      <c r="H753" cm="1">
        <f t="array" ref="H753">IF($Q753&gt;=0,IFERROR(generateSalesData($D753, IF(ISNUMBER(_xlfn.XLOOKUP($C753,Phone_by_Sentiment!$B$2:$B$37,Phone_by_Sentiment!H$2:H$37,"",0,1)),_xlfn.XLOOKUP($C753,Phone_by_Sentiment!$B$2:$B$37,Phone_by_Sentiment!H$2:H$37,"",0,1),0),$A753-TEXT(DATEVALUE($D753&amp;"-01"), "dd-mm-yyyy")),0),0)</f>
        <v>228</v>
      </c>
      <c r="I753" cm="1">
        <f t="array" ref="I753">IF($Q753&gt;=0,IFERROR(generateSalesData($D753, IF(ISNUMBER(_xlfn.XLOOKUP($C753,Phone_by_Sentiment!$B$2:$B$37,Phone_by_Sentiment!I$2:I$37,"",0,1)),_xlfn.XLOOKUP($C753,Phone_by_Sentiment!$B$2:$B$37,Phone_by_Sentiment!I$2:I$37,"",0,1),0),$A753-TEXT(DATEVALUE($D753&amp;"-01"), "dd-mm-yyyy")),0),0)</f>
        <v>214</v>
      </c>
      <c r="J753" cm="1">
        <f t="array" ref="J753">IF($Q753&gt;=0,IFERROR(generateSalesData($D753, IF(ISNUMBER(_xlfn.XLOOKUP($C753,Phone_by_Sentiment!$B$2:$B$37,Phone_by_Sentiment!J$2:J$37,"",0,1)),_xlfn.XLOOKUP($C753,Phone_by_Sentiment!$B$2:$B$37,Phone_by_Sentiment!J$2:J$37,"",0,1),0),$A753-TEXT(DATEVALUE($D753&amp;"-01"), "dd-mm-yyyy")),0),0)</f>
        <v>176</v>
      </c>
      <c r="K753" cm="1">
        <f t="array" ref="K753">IF($Q753&gt;=0,IFERROR(generateSalesData($D753, IF(ISNUMBER(_xlfn.XLOOKUP($C753,Phone_by_Sentiment!$B$2:$B$37,Phone_by_Sentiment!K$2:K$37,"",0,1)),_xlfn.XLOOKUP($C753,Phone_by_Sentiment!$B$2:$B$37,Phone_by_Sentiment!K$2:K$37,"",0,1),0),$A753-TEXT(DATEVALUE($D753&amp;"-01"), "dd-mm-yyyy")),0),0)</f>
        <v>256</v>
      </c>
      <c r="L753" cm="1">
        <f t="array" ref="L753">IF($Q753&gt;=0,IFERROR(generateSalesData($D753, IF(ISNUMBER(_xlfn.XLOOKUP($C753,Phone_by_Sentiment!$B$2:$B$37,Phone_by_Sentiment!L$2:L$37,"",0,1)),_xlfn.XLOOKUP($C753,Phone_by_Sentiment!$B$2:$B$37,Phone_by_Sentiment!L$2:L$37,"",0,1),0),$A753-TEXT(DATEVALUE($D753&amp;"-01"), "dd-mm-yyyy")),0),0)</f>
        <v>96</v>
      </c>
      <c r="M753" cm="1">
        <f t="array" ref="M753">IF($Q753&gt;=0,IFERROR(generateSalesData($D753, IF(ISNUMBER(_xlfn.XLOOKUP($C753,Phone_by_Sentiment!$B$2:$B$37,Phone_by_Sentiment!M$2:M$37,"",0,1)),_xlfn.XLOOKUP($C753,Phone_by_Sentiment!$B$2:$B$37,Phone_by_Sentiment!M$2:M$37,"",0,1),0),$A753-TEXT(DATEVALUE($D753&amp;"-01"), "dd-mm-yyyy")),0),0)</f>
        <v>409</v>
      </c>
      <c r="N753" cm="1">
        <f t="array" ref="N753">IF($Q753&gt;=0,IFERROR(generateSalesData($D753, IF(ISNUMBER(_xlfn.XLOOKUP($C753,Phone_by_Sentiment!$B$2:$B$37,Phone_by_Sentiment!N$2:N$37,"",0,1)),_xlfn.XLOOKUP($C753,Phone_by_Sentiment!$B$2:$B$37,Phone_by_Sentiment!N$2:N$37,"",0,1),0),$A753-TEXT(DATEVALUE($D753&amp;"-01"), "dd-mm-yyyy")),0),0)</f>
        <v>135</v>
      </c>
      <c r="O753" cm="1">
        <f t="array" ref="O753">IF($Q753&gt;=0,IFERROR(generateSalesData($D753, IF(ISNUMBER(_xlfn.XLOOKUP($C753,Phone_by_Sentiment!$B$2:$B$37,Phone_by_Sentiment!O$2:O$37,"",0,1)),_xlfn.XLOOKUP($C753,Phone_by_Sentiment!$B$2:$B$37,Phone_by_Sentiment!O$2:O$37,"",0,1),0),$A753-TEXT(DATEVALUE($D753&amp;"-01"), "dd-mm-yyyy")),0),0)</f>
        <v>784</v>
      </c>
      <c r="P753" s="1">
        <f t="shared" si="30"/>
        <v>43678</v>
      </c>
      <c r="Q753">
        <f t="shared" si="31"/>
        <v>427</v>
      </c>
    </row>
    <row r="754" spans="1:17" x14ac:dyDescent="0.25">
      <c r="A754" s="1">
        <f t="shared" si="27"/>
        <v>44105</v>
      </c>
      <c r="B754" t="s">
        <v>167</v>
      </c>
      <c r="C754" t="str">
        <f>_xlfn.XLOOKUP(B754,Phone_by_Price!$A$2:$A$34,Phone_by_Price!$B$2:$B$34,"-",0,1)</f>
        <v>Realme C21</v>
      </c>
      <c r="D754" t="str">
        <f>_xlfn.XLOOKUP(C754,Phone_by_Sentiment!$B$2:$B$37,Phone_by_Sentiment!$A$2:$A$37,"-",0,1)</f>
        <v>2021-04</v>
      </c>
      <c r="E754" cm="1">
        <f t="array" ref="E754">IF($Q754&gt;=0,IFERROR(generateSalesData($D754, IF(ISNUMBER(_xlfn.XLOOKUP($C754,Phone_by_Sentiment!$B$2:$B$37,Phone_by_Sentiment!E$2:E$37,"",0,1)),_xlfn.XLOOKUP($C754,Phone_by_Sentiment!$B$2:$B$37,Phone_by_Sentiment!E$2:E$37,"",0,1),0),$A754-TEXT(DATEVALUE($D754&amp;"-01"), "dd-mm-yyyy")),0),0)</f>
        <v>0</v>
      </c>
      <c r="F754" cm="1">
        <f t="array" ref="F754">IF($Q754&gt;=0,IFERROR(generateSalesData($D754, IF(ISNUMBER(_xlfn.XLOOKUP($C754,Phone_by_Sentiment!$B$2:$B$37,Phone_by_Sentiment!F$2:F$37,"",0,1)),_xlfn.XLOOKUP($C754,Phone_by_Sentiment!$B$2:$B$37,Phone_by_Sentiment!F$2:F$37,"",0,1),0),$A754-TEXT(DATEVALUE($D754&amp;"-01"), "dd-mm-yyyy")),0),0)</f>
        <v>0</v>
      </c>
      <c r="G754" cm="1">
        <f t="array" ref="G754">IF($Q754&gt;=0,IFERROR(generateSalesData($D754, IF(ISNUMBER(_xlfn.XLOOKUP($C754,Phone_by_Sentiment!$B$2:$B$37,Phone_by_Sentiment!G$2:G$37,"",0,1)),_xlfn.XLOOKUP($C754,Phone_by_Sentiment!$B$2:$B$37,Phone_by_Sentiment!G$2:G$37,"",0,1),0),$A754-TEXT(DATEVALUE($D754&amp;"-01"), "dd-mm-yyyy")),0),0)</f>
        <v>0</v>
      </c>
      <c r="H754" cm="1">
        <f t="array" ref="H754">IF($Q754&gt;=0,IFERROR(generateSalesData($D754, IF(ISNUMBER(_xlfn.XLOOKUP($C754,Phone_by_Sentiment!$B$2:$B$37,Phone_by_Sentiment!H$2:H$37,"",0,1)),_xlfn.XLOOKUP($C754,Phone_by_Sentiment!$B$2:$B$37,Phone_by_Sentiment!H$2:H$37,"",0,1),0),$A754-TEXT(DATEVALUE($D754&amp;"-01"), "dd-mm-yyyy")),0),0)</f>
        <v>0</v>
      </c>
      <c r="I754" cm="1">
        <f t="array" ref="I754">IF($Q754&gt;=0,IFERROR(generateSalesData($D754, IF(ISNUMBER(_xlfn.XLOOKUP($C754,Phone_by_Sentiment!$B$2:$B$37,Phone_by_Sentiment!I$2:I$37,"",0,1)),_xlfn.XLOOKUP($C754,Phone_by_Sentiment!$B$2:$B$37,Phone_by_Sentiment!I$2:I$37,"",0,1),0),$A754-TEXT(DATEVALUE($D754&amp;"-01"), "dd-mm-yyyy")),0),0)</f>
        <v>0</v>
      </c>
      <c r="J754" cm="1">
        <f t="array" ref="J754">IF($Q754&gt;=0,IFERROR(generateSalesData($D754, IF(ISNUMBER(_xlfn.XLOOKUP($C754,Phone_by_Sentiment!$B$2:$B$37,Phone_by_Sentiment!J$2:J$37,"",0,1)),_xlfn.XLOOKUP($C754,Phone_by_Sentiment!$B$2:$B$37,Phone_by_Sentiment!J$2:J$37,"",0,1),0),$A754-TEXT(DATEVALUE($D754&amp;"-01"), "dd-mm-yyyy")),0),0)</f>
        <v>0</v>
      </c>
      <c r="K754" cm="1">
        <f t="array" ref="K754">IF($Q754&gt;=0,IFERROR(generateSalesData($D754, IF(ISNUMBER(_xlfn.XLOOKUP($C754,Phone_by_Sentiment!$B$2:$B$37,Phone_by_Sentiment!K$2:K$37,"",0,1)),_xlfn.XLOOKUP($C754,Phone_by_Sentiment!$B$2:$B$37,Phone_by_Sentiment!K$2:K$37,"",0,1),0),$A754-TEXT(DATEVALUE($D754&amp;"-01"), "dd-mm-yyyy")),0),0)</f>
        <v>0</v>
      </c>
      <c r="L754" cm="1">
        <f t="array" ref="L754">IF($Q754&gt;=0,IFERROR(generateSalesData($D754, IF(ISNUMBER(_xlfn.XLOOKUP($C754,Phone_by_Sentiment!$B$2:$B$37,Phone_by_Sentiment!L$2:L$37,"",0,1)),_xlfn.XLOOKUP($C754,Phone_by_Sentiment!$B$2:$B$37,Phone_by_Sentiment!L$2:L$37,"",0,1),0),$A754-TEXT(DATEVALUE($D754&amp;"-01"), "dd-mm-yyyy")),0),0)</f>
        <v>0</v>
      </c>
      <c r="M754" cm="1">
        <f t="array" ref="M754">IF($Q754&gt;=0,IFERROR(generateSalesData($D754, IF(ISNUMBER(_xlfn.XLOOKUP($C754,Phone_by_Sentiment!$B$2:$B$37,Phone_by_Sentiment!M$2:M$37,"",0,1)),_xlfn.XLOOKUP($C754,Phone_by_Sentiment!$B$2:$B$37,Phone_by_Sentiment!M$2:M$37,"",0,1),0),$A754-TEXT(DATEVALUE($D754&amp;"-01"), "dd-mm-yyyy")),0),0)</f>
        <v>0</v>
      </c>
      <c r="N754" cm="1">
        <f t="array" ref="N754">IF($Q754&gt;=0,IFERROR(generateSalesData($D754, IF(ISNUMBER(_xlfn.XLOOKUP($C754,Phone_by_Sentiment!$B$2:$B$37,Phone_by_Sentiment!N$2:N$37,"",0,1)),_xlfn.XLOOKUP($C754,Phone_by_Sentiment!$B$2:$B$37,Phone_by_Sentiment!N$2:N$37,"",0,1),0),$A754-TEXT(DATEVALUE($D754&amp;"-01"), "dd-mm-yyyy")),0),0)</f>
        <v>0</v>
      </c>
      <c r="O754" cm="1">
        <f t="array" ref="O754">IF($Q754&gt;=0,IFERROR(generateSalesData($D754, IF(ISNUMBER(_xlfn.XLOOKUP($C754,Phone_by_Sentiment!$B$2:$B$37,Phone_by_Sentiment!O$2:O$37,"",0,1)),_xlfn.XLOOKUP($C754,Phone_by_Sentiment!$B$2:$B$37,Phone_by_Sentiment!O$2:O$37,"",0,1),0),$A754-TEXT(DATEVALUE($D754&amp;"-01"), "dd-mm-yyyy")),0),0)</f>
        <v>0</v>
      </c>
      <c r="P754" s="1">
        <f t="shared" si="30"/>
        <v>44287</v>
      </c>
      <c r="Q754">
        <f t="shared" si="31"/>
        <v>-182</v>
      </c>
    </row>
    <row r="755" spans="1:17" x14ac:dyDescent="0.25">
      <c r="A755" s="1">
        <f t="shared" si="27"/>
        <v>44105</v>
      </c>
      <c r="B755" t="s">
        <v>168</v>
      </c>
      <c r="C755" t="str">
        <f>_xlfn.XLOOKUP(B755,Phone_by_Price!$A$2:$A$34,Phone_by_Price!$B$2:$B$34,"-",0,1)</f>
        <v>Google Pixel 4</v>
      </c>
      <c r="D755" t="str">
        <f>_xlfn.XLOOKUP(C755,Phone_by_Sentiment!$B$2:$B$37,Phone_by_Sentiment!$A$2:$A$37,"-",0,1)</f>
        <v>2019-09</v>
      </c>
      <c r="E755" cm="1">
        <f t="array" ref="E755">IF($Q755&gt;=0,IFERROR(generateSalesData($D755, IF(ISNUMBER(_xlfn.XLOOKUP($C755,Phone_by_Sentiment!$B$2:$B$37,Phone_by_Sentiment!E$2:E$37,"",0,1)),_xlfn.XLOOKUP($C755,Phone_by_Sentiment!$B$2:$B$37,Phone_by_Sentiment!E$2:E$37,"",0,1),0),$A755-TEXT(DATEVALUE($D755&amp;"-01"), "dd-mm-yyyy")),0),0)</f>
        <v>308</v>
      </c>
      <c r="F755" cm="1">
        <f t="array" ref="F755">IF($Q755&gt;=0,IFERROR(generateSalesData($D755, IF(ISNUMBER(_xlfn.XLOOKUP($C755,Phone_by_Sentiment!$B$2:$B$37,Phone_by_Sentiment!F$2:F$37,"",0,1)),_xlfn.XLOOKUP($C755,Phone_by_Sentiment!$B$2:$B$37,Phone_by_Sentiment!F$2:F$37,"",0,1),0),$A755-TEXT(DATEVALUE($D755&amp;"-01"), "dd-mm-yyyy")),0),0)</f>
        <v>72</v>
      </c>
      <c r="G755" cm="1">
        <f t="array" ref="G755">IF($Q755&gt;=0,IFERROR(generateSalesData($D755, IF(ISNUMBER(_xlfn.XLOOKUP($C755,Phone_by_Sentiment!$B$2:$B$37,Phone_by_Sentiment!G$2:G$37,"",0,1)),_xlfn.XLOOKUP($C755,Phone_by_Sentiment!$B$2:$B$37,Phone_by_Sentiment!G$2:G$37,"",0,1),0),$A755-TEXT(DATEVALUE($D755&amp;"-01"), "dd-mm-yyyy")),0),0)</f>
        <v>35</v>
      </c>
      <c r="H755" cm="1">
        <f t="array" ref="H755">IF($Q755&gt;=0,IFERROR(generateSalesData($D755, IF(ISNUMBER(_xlfn.XLOOKUP($C755,Phone_by_Sentiment!$B$2:$B$37,Phone_by_Sentiment!H$2:H$37,"",0,1)),_xlfn.XLOOKUP($C755,Phone_by_Sentiment!$B$2:$B$37,Phone_by_Sentiment!H$2:H$37,"",0,1),0),$A755-TEXT(DATEVALUE($D755&amp;"-01"), "dd-mm-yyyy")),0),0)</f>
        <v>245</v>
      </c>
      <c r="I755" cm="1">
        <f t="array" ref="I755">IF($Q755&gt;=0,IFERROR(generateSalesData($D755, IF(ISNUMBER(_xlfn.XLOOKUP($C755,Phone_by_Sentiment!$B$2:$B$37,Phone_by_Sentiment!I$2:I$37,"",0,1)),_xlfn.XLOOKUP($C755,Phone_by_Sentiment!$B$2:$B$37,Phone_by_Sentiment!I$2:I$37,"",0,1),0),$A755-TEXT(DATEVALUE($D755&amp;"-01"), "dd-mm-yyyy")),0),0)</f>
        <v>103</v>
      </c>
      <c r="J755" cm="1">
        <f t="array" ref="J755">IF($Q755&gt;=0,IFERROR(generateSalesData($D755, IF(ISNUMBER(_xlfn.XLOOKUP($C755,Phone_by_Sentiment!$B$2:$B$37,Phone_by_Sentiment!J$2:J$37,"",0,1)),_xlfn.XLOOKUP($C755,Phone_by_Sentiment!$B$2:$B$37,Phone_by_Sentiment!J$2:J$37,"",0,1),0),$A755-TEXT(DATEVALUE($D755&amp;"-01"), "dd-mm-yyyy")),0),0)</f>
        <v>58</v>
      </c>
      <c r="K755" cm="1">
        <f t="array" ref="K755">IF($Q755&gt;=0,IFERROR(generateSalesData($D755, IF(ISNUMBER(_xlfn.XLOOKUP($C755,Phone_by_Sentiment!$B$2:$B$37,Phone_by_Sentiment!K$2:K$37,"",0,1)),_xlfn.XLOOKUP($C755,Phone_by_Sentiment!$B$2:$B$37,Phone_by_Sentiment!K$2:K$37,"",0,1),0),$A755-TEXT(DATEVALUE($D755&amp;"-01"), "dd-mm-yyyy")),0),0)</f>
        <v>56</v>
      </c>
      <c r="L755" cm="1">
        <f t="array" ref="L755">IF($Q755&gt;=0,IFERROR(generateSalesData($D755, IF(ISNUMBER(_xlfn.XLOOKUP($C755,Phone_by_Sentiment!$B$2:$B$37,Phone_by_Sentiment!L$2:L$37,"",0,1)),_xlfn.XLOOKUP($C755,Phone_by_Sentiment!$B$2:$B$37,Phone_by_Sentiment!L$2:L$37,"",0,1),0),$A755-TEXT(DATEVALUE($D755&amp;"-01"), "dd-mm-yyyy")),0),0)</f>
        <v>427</v>
      </c>
      <c r="M755" cm="1">
        <f t="array" ref="M755">IF($Q755&gt;=0,IFERROR(generateSalesData($D755, IF(ISNUMBER(_xlfn.XLOOKUP($C755,Phone_by_Sentiment!$B$2:$B$37,Phone_by_Sentiment!M$2:M$37,"",0,1)),_xlfn.XLOOKUP($C755,Phone_by_Sentiment!$B$2:$B$37,Phone_by_Sentiment!M$2:M$37,"",0,1),0),$A755-TEXT(DATEVALUE($D755&amp;"-01"), "dd-mm-yyyy")),0),0)</f>
        <v>208</v>
      </c>
      <c r="N755" cm="1">
        <f t="array" ref="N755">IF($Q755&gt;=0,IFERROR(generateSalesData($D755, IF(ISNUMBER(_xlfn.XLOOKUP($C755,Phone_by_Sentiment!$B$2:$B$37,Phone_by_Sentiment!N$2:N$37,"",0,1)),_xlfn.XLOOKUP($C755,Phone_by_Sentiment!$B$2:$B$37,Phone_by_Sentiment!N$2:N$37,"",0,1),0),$A755-TEXT(DATEVALUE($D755&amp;"-01"), "dd-mm-yyyy")),0),0)</f>
        <v>417</v>
      </c>
      <c r="O755" cm="1">
        <f t="array" ref="O755">IF($Q755&gt;=0,IFERROR(generateSalesData($D755, IF(ISNUMBER(_xlfn.XLOOKUP($C755,Phone_by_Sentiment!$B$2:$B$37,Phone_by_Sentiment!O$2:O$37,"",0,1)),_xlfn.XLOOKUP($C755,Phone_by_Sentiment!$B$2:$B$37,Phone_by_Sentiment!O$2:O$37,"",0,1),0),$A755-TEXT(DATEVALUE($D755&amp;"-01"), "dd-mm-yyyy")),0),0)</f>
        <v>154</v>
      </c>
      <c r="P755" s="1">
        <f t="shared" si="30"/>
        <v>43709</v>
      </c>
      <c r="Q755">
        <f t="shared" si="31"/>
        <v>396</v>
      </c>
    </row>
    <row r="756" spans="1:17" x14ac:dyDescent="0.25">
      <c r="A756" s="1">
        <f t="shared" si="27"/>
        <v>44105</v>
      </c>
      <c r="B756" t="s">
        <v>169</v>
      </c>
      <c r="C756" t="str">
        <f>_xlfn.XLOOKUP(B756,Phone_by_Price!$A$2:$A$34,Phone_by_Price!$B$2:$B$34,"-",0,1)</f>
        <v>Samsung Galaxy A10s</v>
      </c>
      <c r="D756" t="str">
        <f>_xlfn.XLOOKUP(C756,Phone_by_Sentiment!$B$2:$B$37,Phone_by_Sentiment!$A$2:$A$37,"-",0,1)</f>
        <v>2019-08</v>
      </c>
      <c r="E756" cm="1">
        <f t="array" ref="E756">IF($Q756&gt;=0,IFERROR(generateSalesData($D756, IF(ISNUMBER(_xlfn.XLOOKUP($C756,Phone_by_Sentiment!$B$2:$B$37,Phone_by_Sentiment!E$2:E$37,"",0,1)),_xlfn.XLOOKUP($C756,Phone_by_Sentiment!$B$2:$B$37,Phone_by_Sentiment!E$2:E$37,"",0,1),0),$A756-TEXT(DATEVALUE($D756&amp;"-01"), "dd-mm-yyyy")),0),0)</f>
        <v>-35</v>
      </c>
      <c r="F756" cm="1">
        <f t="array" ref="F756">IF($Q756&gt;=0,IFERROR(generateSalesData($D756, IF(ISNUMBER(_xlfn.XLOOKUP($C756,Phone_by_Sentiment!$B$2:$B$37,Phone_by_Sentiment!F$2:F$37,"",0,1)),_xlfn.XLOOKUP($C756,Phone_by_Sentiment!$B$2:$B$37,Phone_by_Sentiment!F$2:F$37,"",0,1),0),$A756-TEXT(DATEVALUE($D756&amp;"-01"), "dd-mm-yyyy")),0),0)</f>
        <v>450</v>
      </c>
      <c r="G756" cm="1">
        <f t="array" ref="G756">IF($Q756&gt;=0,IFERROR(generateSalesData($D756, IF(ISNUMBER(_xlfn.XLOOKUP($C756,Phone_by_Sentiment!$B$2:$B$37,Phone_by_Sentiment!G$2:G$37,"",0,1)),_xlfn.XLOOKUP($C756,Phone_by_Sentiment!$B$2:$B$37,Phone_by_Sentiment!G$2:G$37,"",0,1),0),$A756-TEXT(DATEVALUE($D756&amp;"-01"), "dd-mm-yyyy")),0),0)</f>
        <v>116</v>
      </c>
      <c r="H756" cm="1">
        <f t="array" ref="H756">IF($Q756&gt;=0,IFERROR(generateSalesData($D756, IF(ISNUMBER(_xlfn.XLOOKUP($C756,Phone_by_Sentiment!$B$2:$B$37,Phone_by_Sentiment!H$2:H$37,"",0,1)),_xlfn.XLOOKUP($C756,Phone_by_Sentiment!$B$2:$B$37,Phone_by_Sentiment!H$2:H$37,"",0,1),0),$A756-TEXT(DATEVALUE($D756&amp;"-01"), "dd-mm-yyyy")),0),0)</f>
        <v>447</v>
      </c>
      <c r="I756" cm="1">
        <f t="array" ref="I756">IF($Q756&gt;=0,IFERROR(generateSalesData($D756, IF(ISNUMBER(_xlfn.XLOOKUP($C756,Phone_by_Sentiment!$B$2:$B$37,Phone_by_Sentiment!I$2:I$37,"",0,1)),_xlfn.XLOOKUP($C756,Phone_by_Sentiment!$B$2:$B$37,Phone_by_Sentiment!I$2:I$37,"",0,1),0),$A756-TEXT(DATEVALUE($D756&amp;"-01"), "dd-mm-yyyy")),0),0)</f>
        <v>497</v>
      </c>
      <c r="J756" cm="1">
        <f t="array" ref="J756">IF($Q756&gt;=0,IFERROR(generateSalesData($D756, IF(ISNUMBER(_xlfn.XLOOKUP($C756,Phone_by_Sentiment!$B$2:$B$37,Phone_by_Sentiment!J$2:J$37,"",0,1)),_xlfn.XLOOKUP($C756,Phone_by_Sentiment!$B$2:$B$37,Phone_by_Sentiment!J$2:J$37,"",0,1),0),$A756-TEXT(DATEVALUE($D756&amp;"-01"), "dd-mm-yyyy")),0),0)</f>
        <v>856</v>
      </c>
      <c r="K756" cm="1">
        <f t="array" ref="K756">IF($Q756&gt;=0,IFERROR(generateSalesData($D756, IF(ISNUMBER(_xlfn.XLOOKUP($C756,Phone_by_Sentiment!$B$2:$B$37,Phone_by_Sentiment!K$2:K$37,"",0,1)),_xlfn.XLOOKUP($C756,Phone_by_Sentiment!$B$2:$B$37,Phone_by_Sentiment!K$2:K$37,"",0,1),0),$A756-TEXT(DATEVALUE($D756&amp;"-01"), "dd-mm-yyyy")),0),0)</f>
        <v>109</v>
      </c>
      <c r="L756" cm="1">
        <f t="array" ref="L756">IF($Q756&gt;=0,IFERROR(generateSalesData($D756, IF(ISNUMBER(_xlfn.XLOOKUP($C756,Phone_by_Sentiment!$B$2:$B$37,Phone_by_Sentiment!L$2:L$37,"",0,1)),_xlfn.XLOOKUP($C756,Phone_by_Sentiment!$B$2:$B$37,Phone_by_Sentiment!L$2:L$37,"",0,1),0),$A756-TEXT(DATEVALUE($D756&amp;"-01"), "dd-mm-yyyy")),0),0)</f>
        <v>88</v>
      </c>
      <c r="M756" cm="1">
        <f t="array" ref="M756">IF($Q756&gt;=0,IFERROR(generateSalesData($D756, IF(ISNUMBER(_xlfn.XLOOKUP($C756,Phone_by_Sentiment!$B$2:$B$37,Phone_by_Sentiment!M$2:M$37,"",0,1)),_xlfn.XLOOKUP($C756,Phone_by_Sentiment!$B$2:$B$37,Phone_by_Sentiment!M$2:M$37,"",0,1),0),$A756-TEXT(DATEVALUE($D756&amp;"-01"), "dd-mm-yyyy")),0),0)</f>
        <v>435</v>
      </c>
      <c r="N756" cm="1">
        <f t="array" ref="N756">IF($Q756&gt;=0,IFERROR(generateSalesData($D756, IF(ISNUMBER(_xlfn.XLOOKUP($C756,Phone_by_Sentiment!$B$2:$B$37,Phone_by_Sentiment!N$2:N$37,"",0,1)),_xlfn.XLOOKUP($C756,Phone_by_Sentiment!$B$2:$B$37,Phone_by_Sentiment!N$2:N$37,"",0,1),0),$A756-TEXT(DATEVALUE($D756&amp;"-01"), "dd-mm-yyyy")),0),0)</f>
        <v>49</v>
      </c>
      <c r="O756" cm="1">
        <f t="array" ref="O756">IF($Q756&gt;=0,IFERROR(generateSalesData($D756, IF(ISNUMBER(_xlfn.XLOOKUP($C756,Phone_by_Sentiment!$B$2:$B$37,Phone_by_Sentiment!O$2:O$37,"",0,1)),_xlfn.XLOOKUP($C756,Phone_by_Sentiment!$B$2:$B$37,Phone_by_Sentiment!O$2:O$37,"",0,1),0),$A756-TEXT(DATEVALUE($D756&amp;"-01"), "dd-mm-yyyy")),0),0)</f>
        <v>402</v>
      </c>
      <c r="P756" s="1">
        <f t="shared" si="30"/>
        <v>43678</v>
      </c>
      <c r="Q756">
        <f t="shared" si="31"/>
        <v>427</v>
      </c>
    </row>
    <row r="757" spans="1:17" x14ac:dyDescent="0.25">
      <c r="A757" s="1">
        <f t="shared" si="27"/>
        <v>44105</v>
      </c>
      <c r="B757" t="s">
        <v>170</v>
      </c>
      <c r="C757" t="str">
        <f>_xlfn.XLOOKUP(B757,Phone_by_Price!$A$2:$A$34,Phone_by_Price!$B$2:$B$34,"-",0,1)</f>
        <v>Realme Narzo 30A</v>
      </c>
      <c r="D757" t="str">
        <f>_xlfn.XLOOKUP(C757,Phone_by_Sentiment!$B$2:$B$37,Phone_by_Sentiment!$A$2:$A$37,"-",0,1)</f>
        <v>2021-02</v>
      </c>
      <c r="E757" cm="1">
        <f t="array" ref="E757">IF($Q757&gt;=0,IFERROR(generateSalesData($D757, IF(ISNUMBER(_xlfn.XLOOKUP($C757,Phone_by_Sentiment!$B$2:$B$37,Phone_by_Sentiment!E$2:E$37,"",0,1)),_xlfn.XLOOKUP($C757,Phone_by_Sentiment!$B$2:$B$37,Phone_by_Sentiment!E$2:E$37,"",0,1),0),$A757-TEXT(DATEVALUE($D757&amp;"-01"), "dd-mm-yyyy")),0),0)</f>
        <v>0</v>
      </c>
      <c r="F757" cm="1">
        <f t="array" ref="F757">IF($Q757&gt;=0,IFERROR(generateSalesData($D757, IF(ISNUMBER(_xlfn.XLOOKUP($C757,Phone_by_Sentiment!$B$2:$B$37,Phone_by_Sentiment!F$2:F$37,"",0,1)),_xlfn.XLOOKUP($C757,Phone_by_Sentiment!$B$2:$B$37,Phone_by_Sentiment!F$2:F$37,"",0,1),0),$A757-TEXT(DATEVALUE($D757&amp;"-01"), "dd-mm-yyyy")),0),0)</f>
        <v>0</v>
      </c>
      <c r="G757" cm="1">
        <f t="array" ref="G757">IF($Q757&gt;=0,IFERROR(generateSalesData($D757, IF(ISNUMBER(_xlfn.XLOOKUP($C757,Phone_by_Sentiment!$B$2:$B$37,Phone_by_Sentiment!G$2:G$37,"",0,1)),_xlfn.XLOOKUP($C757,Phone_by_Sentiment!$B$2:$B$37,Phone_by_Sentiment!G$2:G$37,"",0,1),0),$A757-TEXT(DATEVALUE($D757&amp;"-01"), "dd-mm-yyyy")),0),0)</f>
        <v>0</v>
      </c>
      <c r="H757" cm="1">
        <f t="array" ref="H757">IF($Q757&gt;=0,IFERROR(generateSalesData($D757, IF(ISNUMBER(_xlfn.XLOOKUP($C757,Phone_by_Sentiment!$B$2:$B$37,Phone_by_Sentiment!H$2:H$37,"",0,1)),_xlfn.XLOOKUP($C757,Phone_by_Sentiment!$B$2:$B$37,Phone_by_Sentiment!H$2:H$37,"",0,1),0),$A757-TEXT(DATEVALUE($D757&amp;"-01"), "dd-mm-yyyy")),0),0)</f>
        <v>0</v>
      </c>
      <c r="I757" cm="1">
        <f t="array" ref="I757">IF($Q757&gt;=0,IFERROR(generateSalesData($D757, IF(ISNUMBER(_xlfn.XLOOKUP($C757,Phone_by_Sentiment!$B$2:$B$37,Phone_by_Sentiment!I$2:I$37,"",0,1)),_xlfn.XLOOKUP($C757,Phone_by_Sentiment!$B$2:$B$37,Phone_by_Sentiment!I$2:I$37,"",0,1),0),$A757-TEXT(DATEVALUE($D757&amp;"-01"), "dd-mm-yyyy")),0),0)</f>
        <v>0</v>
      </c>
      <c r="J757" cm="1">
        <f t="array" ref="J757">IF($Q757&gt;=0,IFERROR(generateSalesData($D757, IF(ISNUMBER(_xlfn.XLOOKUP($C757,Phone_by_Sentiment!$B$2:$B$37,Phone_by_Sentiment!J$2:J$37,"",0,1)),_xlfn.XLOOKUP($C757,Phone_by_Sentiment!$B$2:$B$37,Phone_by_Sentiment!J$2:J$37,"",0,1),0),$A757-TEXT(DATEVALUE($D757&amp;"-01"), "dd-mm-yyyy")),0),0)</f>
        <v>0</v>
      </c>
      <c r="K757" cm="1">
        <f t="array" ref="K757">IF($Q757&gt;=0,IFERROR(generateSalesData($D757, IF(ISNUMBER(_xlfn.XLOOKUP($C757,Phone_by_Sentiment!$B$2:$B$37,Phone_by_Sentiment!K$2:K$37,"",0,1)),_xlfn.XLOOKUP($C757,Phone_by_Sentiment!$B$2:$B$37,Phone_by_Sentiment!K$2:K$37,"",0,1),0),$A757-TEXT(DATEVALUE($D757&amp;"-01"), "dd-mm-yyyy")),0),0)</f>
        <v>0</v>
      </c>
      <c r="L757" cm="1">
        <f t="array" ref="L757">IF($Q757&gt;=0,IFERROR(generateSalesData($D757, IF(ISNUMBER(_xlfn.XLOOKUP($C757,Phone_by_Sentiment!$B$2:$B$37,Phone_by_Sentiment!L$2:L$37,"",0,1)),_xlfn.XLOOKUP($C757,Phone_by_Sentiment!$B$2:$B$37,Phone_by_Sentiment!L$2:L$37,"",0,1),0),$A757-TEXT(DATEVALUE($D757&amp;"-01"), "dd-mm-yyyy")),0),0)</f>
        <v>0</v>
      </c>
      <c r="M757" cm="1">
        <f t="array" ref="M757">IF($Q757&gt;=0,IFERROR(generateSalesData($D757, IF(ISNUMBER(_xlfn.XLOOKUP($C757,Phone_by_Sentiment!$B$2:$B$37,Phone_by_Sentiment!M$2:M$37,"",0,1)),_xlfn.XLOOKUP($C757,Phone_by_Sentiment!$B$2:$B$37,Phone_by_Sentiment!M$2:M$37,"",0,1),0),$A757-TEXT(DATEVALUE($D757&amp;"-01"), "dd-mm-yyyy")),0),0)</f>
        <v>0</v>
      </c>
      <c r="N757" cm="1">
        <f t="array" ref="N757">IF($Q757&gt;=0,IFERROR(generateSalesData($D757, IF(ISNUMBER(_xlfn.XLOOKUP($C757,Phone_by_Sentiment!$B$2:$B$37,Phone_by_Sentiment!N$2:N$37,"",0,1)),_xlfn.XLOOKUP($C757,Phone_by_Sentiment!$B$2:$B$37,Phone_by_Sentiment!N$2:N$37,"",0,1),0),$A757-TEXT(DATEVALUE($D757&amp;"-01"), "dd-mm-yyyy")),0),0)</f>
        <v>0</v>
      </c>
      <c r="O757" cm="1">
        <f t="array" ref="O757">IF($Q757&gt;=0,IFERROR(generateSalesData($D757, IF(ISNUMBER(_xlfn.XLOOKUP($C757,Phone_by_Sentiment!$B$2:$B$37,Phone_by_Sentiment!O$2:O$37,"",0,1)),_xlfn.XLOOKUP($C757,Phone_by_Sentiment!$B$2:$B$37,Phone_by_Sentiment!O$2:O$37,"",0,1),0),$A757-TEXT(DATEVALUE($D757&amp;"-01"), "dd-mm-yyyy")),0),0)</f>
        <v>0</v>
      </c>
      <c r="P757" s="1">
        <f t="shared" si="30"/>
        <v>44228</v>
      </c>
      <c r="Q757">
        <f t="shared" si="31"/>
        <v>-123</v>
      </c>
    </row>
    <row r="758" spans="1:17" x14ac:dyDescent="0.25">
      <c r="A758" s="1">
        <f t="shared" si="27"/>
        <v>44105</v>
      </c>
      <c r="B758" t="s">
        <v>171</v>
      </c>
      <c r="C758" t="str">
        <f>_xlfn.XLOOKUP(B758,Phone_by_Price!$A$2:$A$34,Phone_by_Price!$B$2:$B$34,"-",0,1)</f>
        <v>Samsung Galaxy A22 5G</v>
      </c>
      <c r="D758" t="str">
        <f>_xlfn.XLOOKUP(C758,Phone_by_Sentiment!$B$2:$B$37,Phone_by_Sentiment!$A$2:$A$37,"-",0,1)</f>
        <v>2021-05</v>
      </c>
      <c r="E758" cm="1">
        <f t="array" ref="E758">IF($Q758&gt;=0,IFERROR(generateSalesData($D758, IF(ISNUMBER(_xlfn.XLOOKUP($C758,Phone_by_Sentiment!$B$2:$B$37,Phone_by_Sentiment!E$2:E$37,"",0,1)),_xlfn.XLOOKUP($C758,Phone_by_Sentiment!$B$2:$B$37,Phone_by_Sentiment!E$2:E$37,"",0,1),0),$A758-TEXT(DATEVALUE($D758&amp;"-01"), "dd-mm-yyyy")),0),0)</f>
        <v>0</v>
      </c>
      <c r="F758" cm="1">
        <f t="array" ref="F758">IF($Q758&gt;=0,IFERROR(generateSalesData($D758, IF(ISNUMBER(_xlfn.XLOOKUP($C758,Phone_by_Sentiment!$B$2:$B$37,Phone_by_Sentiment!F$2:F$37,"",0,1)),_xlfn.XLOOKUP($C758,Phone_by_Sentiment!$B$2:$B$37,Phone_by_Sentiment!F$2:F$37,"",0,1),0),$A758-TEXT(DATEVALUE($D758&amp;"-01"), "dd-mm-yyyy")),0),0)</f>
        <v>0</v>
      </c>
      <c r="G758" cm="1">
        <f t="array" ref="G758">IF($Q758&gt;=0,IFERROR(generateSalesData($D758, IF(ISNUMBER(_xlfn.XLOOKUP($C758,Phone_by_Sentiment!$B$2:$B$37,Phone_by_Sentiment!G$2:G$37,"",0,1)),_xlfn.XLOOKUP($C758,Phone_by_Sentiment!$B$2:$B$37,Phone_by_Sentiment!G$2:G$37,"",0,1),0),$A758-TEXT(DATEVALUE($D758&amp;"-01"), "dd-mm-yyyy")),0),0)</f>
        <v>0</v>
      </c>
      <c r="H758" cm="1">
        <f t="array" ref="H758">IF($Q758&gt;=0,IFERROR(generateSalesData($D758, IF(ISNUMBER(_xlfn.XLOOKUP($C758,Phone_by_Sentiment!$B$2:$B$37,Phone_by_Sentiment!H$2:H$37,"",0,1)),_xlfn.XLOOKUP($C758,Phone_by_Sentiment!$B$2:$B$37,Phone_by_Sentiment!H$2:H$37,"",0,1),0),$A758-TEXT(DATEVALUE($D758&amp;"-01"), "dd-mm-yyyy")),0),0)</f>
        <v>0</v>
      </c>
      <c r="I758" cm="1">
        <f t="array" ref="I758">IF($Q758&gt;=0,IFERROR(generateSalesData($D758, IF(ISNUMBER(_xlfn.XLOOKUP($C758,Phone_by_Sentiment!$B$2:$B$37,Phone_by_Sentiment!I$2:I$37,"",0,1)),_xlfn.XLOOKUP($C758,Phone_by_Sentiment!$B$2:$B$37,Phone_by_Sentiment!I$2:I$37,"",0,1),0),$A758-TEXT(DATEVALUE($D758&amp;"-01"), "dd-mm-yyyy")),0),0)</f>
        <v>0</v>
      </c>
      <c r="J758" cm="1">
        <f t="array" ref="J758">IF($Q758&gt;=0,IFERROR(generateSalesData($D758, IF(ISNUMBER(_xlfn.XLOOKUP($C758,Phone_by_Sentiment!$B$2:$B$37,Phone_by_Sentiment!J$2:J$37,"",0,1)),_xlfn.XLOOKUP($C758,Phone_by_Sentiment!$B$2:$B$37,Phone_by_Sentiment!J$2:J$37,"",0,1),0),$A758-TEXT(DATEVALUE($D758&amp;"-01"), "dd-mm-yyyy")),0),0)</f>
        <v>0</v>
      </c>
      <c r="K758" cm="1">
        <f t="array" ref="K758">IF($Q758&gt;=0,IFERROR(generateSalesData($D758, IF(ISNUMBER(_xlfn.XLOOKUP($C758,Phone_by_Sentiment!$B$2:$B$37,Phone_by_Sentiment!K$2:K$37,"",0,1)),_xlfn.XLOOKUP($C758,Phone_by_Sentiment!$B$2:$B$37,Phone_by_Sentiment!K$2:K$37,"",0,1),0),$A758-TEXT(DATEVALUE($D758&amp;"-01"), "dd-mm-yyyy")),0),0)</f>
        <v>0</v>
      </c>
      <c r="L758" cm="1">
        <f t="array" ref="L758">IF($Q758&gt;=0,IFERROR(generateSalesData($D758, IF(ISNUMBER(_xlfn.XLOOKUP($C758,Phone_by_Sentiment!$B$2:$B$37,Phone_by_Sentiment!L$2:L$37,"",0,1)),_xlfn.XLOOKUP($C758,Phone_by_Sentiment!$B$2:$B$37,Phone_by_Sentiment!L$2:L$37,"",0,1),0),$A758-TEXT(DATEVALUE($D758&amp;"-01"), "dd-mm-yyyy")),0),0)</f>
        <v>0</v>
      </c>
      <c r="M758" cm="1">
        <f t="array" ref="M758">IF($Q758&gt;=0,IFERROR(generateSalesData($D758, IF(ISNUMBER(_xlfn.XLOOKUP($C758,Phone_by_Sentiment!$B$2:$B$37,Phone_by_Sentiment!M$2:M$37,"",0,1)),_xlfn.XLOOKUP($C758,Phone_by_Sentiment!$B$2:$B$37,Phone_by_Sentiment!M$2:M$37,"",0,1),0),$A758-TEXT(DATEVALUE($D758&amp;"-01"), "dd-mm-yyyy")),0),0)</f>
        <v>0</v>
      </c>
      <c r="N758" cm="1">
        <f t="array" ref="N758">IF($Q758&gt;=0,IFERROR(generateSalesData($D758, IF(ISNUMBER(_xlfn.XLOOKUP($C758,Phone_by_Sentiment!$B$2:$B$37,Phone_by_Sentiment!N$2:N$37,"",0,1)),_xlfn.XLOOKUP($C758,Phone_by_Sentiment!$B$2:$B$37,Phone_by_Sentiment!N$2:N$37,"",0,1),0),$A758-TEXT(DATEVALUE($D758&amp;"-01"), "dd-mm-yyyy")),0),0)</f>
        <v>0</v>
      </c>
      <c r="O758" cm="1">
        <f t="array" ref="O758">IF($Q758&gt;=0,IFERROR(generateSalesData($D758, IF(ISNUMBER(_xlfn.XLOOKUP($C758,Phone_by_Sentiment!$B$2:$B$37,Phone_by_Sentiment!O$2:O$37,"",0,1)),_xlfn.XLOOKUP($C758,Phone_by_Sentiment!$B$2:$B$37,Phone_by_Sentiment!O$2:O$37,"",0,1),0),$A758-TEXT(DATEVALUE($D758&amp;"-01"), "dd-mm-yyyy")),0),0)</f>
        <v>0</v>
      </c>
      <c r="P758" s="1">
        <f t="shared" si="30"/>
        <v>44317</v>
      </c>
      <c r="Q758">
        <f t="shared" si="31"/>
        <v>-212</v>
      </c>
    </row>
    <row r="759" spans="1:17" x14ac:dyDescent="0.25">
      <c r="A759" s="1">
        <f t="shared" si="27"/>
        <v>44105</v>
      </c>
      <c r="B759" t="s">
        <v>172</v>
      </c>
      <c r="C759" t="str">
        <f>_xlfn.XLOOKUP(B759,Phone_by_Price!$A$2:$A$34,Phone_by_Price!$B$2:$B$34,"-",0,1)</f>
        <v>Xiaomi Redmi 9</v>
      </c>
      <c r="D759" t="str">
        <f>_xlfn.XLOOKUP(C759,Phone_by_Sentiment!$B$2:$B$37,Phone_by_Sentiment!$A$2:$A$37,"-",0,1)</f>
        <v>2020-08</v>
      </c>
      <c r="E759" cm="1">
        <f t="array" ref="E759">IF($Q759&gt;=0,IFERROR(generateSalesData($D759, IF(ISNUMBER(_xlfn.XLOOKUP($C759,Phone_by_Sentiment!$B$2:$B$37,Phone_by_Sentiment!E$2:E$37,"",0,1)),_xlfn.XLOOKUP($C759,Phone_by_Sentiment!$B$2:$B$37,Phone_by_Sentiment!E$2:E$37,"",0,1),0),$A759-TEXT(DATEVALUE($D759&amp;"-01"), "dd-mm-yyyy")),0),0)</f>
        <v>917</v>
      </c>
      <c r="F759" cm="1">
        <f t="array" ref="F759">IF($Q759&gt;=0,IFERROR(generateSalesData($D759, IF(ISNUMBER(_xlfn.XLOOKUP($C759,Phone_by_Sentiment!$B$2:$B$37,Phone_by_Sentiment!F$2:F$37,"",0,1)),_xlfn.XLOOKUP($C759,Phone_by_Sentiment!$B$2:$B$37,Phone_by_Sentiment!F$2:F$37,"",0,1),0),$A759-TEXT(DATEVALUE($D759&amp;"-01"), "dd-mm-yyyy")),0),0)</f>
        <v>590</v>
      </c>
      <c r="G759" cm="1">
        <f t="array" ref="G759">IF($Q759&gt;=0,IFERROR(generateSalesData($D759, IF(ISNUMBER(_xlfn.XLOOKUP($C759,Phone_by_Sentiment!$B$2:$B$37,Phone_by_Sentiment!G$2:G$37,"",0,1)),_xlfn.XLOOKUP($C759,Phone_by_Sentiment!$B$2:$B$37,Phone_by_Sentiment!G$2:G$37,"",0,1),0),$A759-TEXT(DATEVALUE($D759&amp;"-01"), "dd-mm-yyyy")),0),0)</f>
        <v>472</v>
      </c>
      <c r="H759" cm="1">
        <f t="array" ref="H759">IF($Q759&gt;=0,IFERROR(generateSalesData($D759, IF(ISNUMBER(_xlfn.XLOOKUP($C759,Phone_by_Sentiment!$B$2:$B$37,Phone_by_Sentiment!H$2:H$37,"",0,1)),_xlfn.XLOOKUP($C759,Phone_by_Sentiment!$B$2:$B$37,Phone_by_Sentiment!H$2:H$37,"",0,1),0),$A759-TEXT(DATEVALUE($D759&amp;"-01"), "dd-mm-yyyy")),0),0)</f>
        <v>3849</v>
      </c>
      <c r="I759" cm="1">
        <f t="array" ref="I759">IF($Q759&gt;=0,IFERROR(generateSalesData($D759, IF(ISNUMBER(_xlfn.XLOOKUP($C759,Phone_by_Sentiment!$B$2:$B$37,Phone_by_Sentiment!I$2:I$37,"",0,1)),_xlfn.XLOOKUP($C759,Phone_by_Sentiment!$B$2:$B$37,Phone_by_Sentiment!I$2:I$37,"",0,1),0),$A759-TEXT(DATEVALUE($D759&amp;"-01"), "dd-mm-yyyy")),0),0)</f>
        <v>1332</v>
      </c>
      <c r="J759" cm="1">
        <f t="array" ref="J759">IF($Q759&gt;=0,IFERROR(generateSalesData($D759, IF(ISNUMBER(_xlfn.XLOOKUP($C759,Phone_by_Sentiment!$B$2:$B$37,Phone_by_Sentiment!J$2:J$37,"",0,1)),_xlfn.XLOOKUP($C759,Phone_by_Sentiment!$B$2:$B$37,Phone_by_Sentiment!J$2:J$37,"",0,1),0),$A759-TEXT(DATEVALUE($D759&amp;"-01"), "dd-mm-yyyy")),0),0)</f>
        <v>883</v>
      </c>
      <c r="K759" cm="1">
        <f t="array" ref="K759">IF($Q759&gt;=0,IFERROR(generateSalesData($D759, IF(ISNUMBER(_xlfn.XLOOKUP($C759,Phone_by_Sentiment!$B$2:$B$37,Phone_by_Sentiment!K$2:K$37,"",0,1)),_xlfn.XLOOKUP($C759,Phone_by_Sentiment!$B$2:$B$37,Phone_by_Sentiment!K$2:K$37,"",0,1),0),$A759-TEXT(DATEVALUE($D759&amp;"-01"), "dd-mm-yyyy")),0),0)</f>
        <v>1520</v>
      </c>
      <c r="L759" cm="1">
        <f t="array" ref="L759">IF($Q759&gt;=0,IFERROR(generateSalesData($D759, IF(ISNUMBER(_xlfn.XLOOKUP($C759,Phone_by_Sentiment!$B$2:$B$37,Phone_by_Sentiment!L$2:L$37,"",0,1)),_xlfn.XLOOKUP($C759,Phone_by_Sentiment!$B$2:$B$37,Phone_by_Sentiment!L$2:L$37,"",0,1),0),$A759-TEXT(DATEVALUE($D759&amp;"-01"), "dd-mm-yyyy")),0),0)</f>
        <v>1243</v>
      </c>
      <c r="M759" cm="1">
        <f t="array" ref="M759">IF($Q759&gt;=0,IFERROR(generateSalesData($D759, IF(ISNUMBER(_xlfn.XLOOKUP($C759,Phone_by_Sentiment!$B$2:$B$37,Phone_by_Sentiment!M$2:M$37,"",0,1)),_xlfn.XLOOKUP($C759,Phone_by_Sentiment!$B$2:$B$37,Phone_by_Sentiment!M$2:M$37,"",0,1),0),$A759-TEXT(DATEVALUE($D759&amp;"-01"), "dd-mm-yyyy")),0),0)</f>
        <v>2970</v>
      </c>
      <c r="N759" cm="1">
        <f t="array" ref="N759">IF($Q759&gt;=0,IFERROR(generateSalesData($D759, IF(ISNUMBER(_xlfn.XLOOKUP($C759,Phone_by_Sentiment!$B$2:$B$37,Phone_by_Sentiment!N$2:N$37,"",0,1)),_xlfn.XLOOKUP($C759,Phone_by_Sentiment!$B$2:$B$37,Phone_by_Sentiment!N$2:N$37,"",0,1),0),$A759-TEXT(DATEVALUE($D759&amp;"-01"), "dd-mm-yyyy")),0),0)</f>
        <v>755</v>
      </c>
      <c r="O759" cm="1">
        <f t="array" ref="O759">IF($Q759&gt;=0,IFERROR(generateSalesData($D759, IF(ISNUMBER(_xlfn.XLOOKUP($C759,Phone_by_Sentiment!$B$2:$B$37,Phone_by_Sentiment!O$2:O$37,"",0,1)),_xlfn.XLOOKUP($C759,Phone_by_Sentiment!$B$2:$B$37,Phone_by_Sentiment!O$2:O$37,"",0,1),0),$A759-TEXT(DATEVALUE($D759&amp;"-01"), "dd-mm-yyyy")),0),0)</f>
        <v>5021</v>
      </c>
      <c r="P759" s="1">
        <f t="shared" si="30"/>
        <v>44044</v>
      </c>
      <c r="Q759">
        <f t="shared" si="31"/>
        <v>61</v>
      </c>
    </row>
    <row r="760" spans="1:17" x14ac:dyDescent="0.25">
      <c r="A760" s="1">
        <f t="shared" si="27"/>
        <v>44105</v>
      </c>
      <c r="B760" t="s">
        <v>173</v>
      </c>
      <c r="C760" t="str">
        <f>_xlfn.XLOOKUP(B760,Phone_by_Price!$A$2:$A$34,Phone_by_Price!$B$2:$B$34,"-",0,1)</f>
        <v>Realme C3</v>
      </c>
      <c r="D760" t="str">
        <f>_xlfn.XLOOKUP(C760,Phone_by_Sentiment!$B$2:$B$37,Phone_by_Sentiment!$A$2:$A$37,"-",0,1)</f>
        <v>2020-02</v>
      </c>
      <c r="E760" cm="1">
        <f t="array" ref="E760">IF($Q760&gt;=0,IFERROR(generateSalesData($D760, IF(ISNUMBER(_xlfn.XLOOKUP($C760,Phone_by_Sentiment!$B$2:$B$37,Phone_by_Sentiment!E$2:E$37,"",0,1)),_xlfn.XLOOKUP($C760,Phone_by_Sentiment!$B$2:$B$37,Phone_by_Sentiment!E$2:E$37,"",0,1),0),$A760-TEXT(DATEVALUE($D760&amp;"-01"), "dd-mm-yyyy")),0),0)</f>
        <v>473</v>
      </c>
      <c r="F760" cm="1">
        <f t="array" ref="F760">IF($Q760&gt;=0,IFERROR(generateSalesData($D760, IF(ISNUMBER(_xlfn.XLOOKUP($C760,Phone_by_Sentiment!$B$2:$B$37,Phone_by_Sentiment!F$2:F$37,"",0,1)),_xlfn.XLOOKUP($C760,Phone_by_Sentiment!$B$2:$B$37,Phone_by_Sentiment!F$2:F$37,"",0,1),0),$A760-TEXT(DATEVALUE($D760&amp;"-01"), "dd-mm-yyyy")),0),0)</f>
        <v>185</v>
      </c>
      <c r="G760" cm="1">
        <f t="array" ref="G760">IF($Q760&gt;=0,IFERROR(generateSalesData($D760, IF(ISNUMBER(_xlfn.XLOOKUP($C760,Phone_by_Sentiment!$B$2:$B$37,Phone_by_Sentiment!G$2:G$37,"",0,1)),_xlfn.XLOOKUP($C760,Phone_by_Sentiment!$B$2:$B$37,Phone_by_Sentiment!G$2:G$37,"",0,1),0),$A760-TEXT(DATEVALUE($D760&amp;"-01"), "dd-mm-yyyy")),0),0)</f>
        <v>193</v>
      </c>
      <c r="H760" cm="1">
        <f t="array" ref="H760">IF($Q760&gt;=0,IFERROR(generateSalesData($D760, IF(ISNUMBER(_xlfn.XLOOKUP($C760,Phone_by_Sentiment!$B$2:$B$37,Phone_by_Sentiment!H$2:H$37,"",0,1)),_xlfn.XLOOKUP($C760,Phone_by_Sentiment!$B$2:$B$37,Phone_by_Sentiment!H$2:H$37,"",0,1),0),$A760-TEXT(DATEVALUE($D760&amp;"-01"), "dd-mm-yyyy")),0),0)</f>
        <v>1250</v>
      </c>
      <c r="I760" cm="1">
        <f t="array" ref="I760">IF($Q760&gt;=0,IFERROR(generateSalesData($D760, IF(ISNUMBER(_xlfn.XLOOKUP($C760,Phone_by_Sentiment!$B$2:$B$37,Phone_by_Sentiment!I$2:I$37,"",0,1)),_xlfn.XLOOKUP($C760,Phone_by_Sentiment!$B$2:$B$37,Phone_by_Sentiment!I$2:I$37,"",0,1),0),$A760-TEXT(DATEVALUE($D760&amp;"-01"), "dd-mm-yyyy")),0),0)</f>
        <v>418</v>
      </c>
      <c r="J760" cm="1">
        <f t="array" ref="J760">IF($Q760&gt;=0,IFERROR(generateSalesData($D760, IF(ISNUMBER(_xlfn.XLOOKUP($C760,Phone_by_Sentiment!$B$2:$B$37,Phone_by_Sentiment!J$2:J$37,"",0,1)),_xlfn.XLOOKUP($C760,Phone_by_Sentiment!$B$2:$B$37,Phone_by_Sentiment!J$2:J$37,"",0,1),0),$A760-TEXT(DATEVALUE($D760&amp;"-01"), "dd-mm-yyyy")),0),0)</f>
        <v>69</v>
      </c>
      <c r="K760" cm="1">
        <f t="array" ref="K760">IF($Q760&gt;=0,IFERROR(generateSalesData($D760, IF(ISNUMBER(_xlfn.XLOOKUP($C760,Phone_by_Sentiment!$B$2:$B$37,Phone_by_Sentiment!K$2:K$37,"",0,1)),_xlfn.XLOOKUP($C760,Phone_by_Sentiment!$B$2:$B$37,Phone_by_Sentiment!K$2:K$37,"",0,1),0),$A760-TEXT(DATEVALUE($D760&amp;"-01"), "dd-mm-yyyy")),0),0)</f>
        <v>1004</v>
      </c>
      <c r="L760" cm="1">
        <f t="array" ref="L760">IF($Q760&gt;=0,IFERROR(generateSalesData($D760, IF(ISNUMBER(_xlfn.XLOOKUP($C760,Phone_by_Sentiment!$B$2:$B$37,Phone_by_Sentiment!L$2:L$37,"",0,1)),_xlfn.XLOOKUP($C760,Phone_by_Sentiment!$B$2:$B$37,Phone_by_Sentiment!L$2:L$37,"",0,1),0),$A760-TEXT(DATEVALUE($D760&amp;"-01"), "dd-mm-yyyy")),0),0)</f>
        <v>1301</v>
      </c>
      <c r="M760" cm="1">
        <f t="array" ref="M760">IF($Q760&gt;=0,IFERROR(generateSalesData($D760, IF(ISNUMBER(_xlfn.XLOOKUP($C760,Phone_by_Sentiment!$B$2:$B$37,Phone_by_Sentiment!M$2:M$37,"",0,1)),_xlfn.XLOOKUP($C760,Phone_by_Sentiment!$B$2:$B$37,Phone_by_Sentiment!M$2:M$37,"",0,1),0),$A760-TEXT(DATEVALUE($D760&amp;"-01"), "dd-mm-yyyy")),0),0)</f>
        <v>266</v>
      </c>
      <c r="N760" cm="1">
        <f t="array" ref="N760">IF($Q760&gt;=0,IFERROR(generateSalesData($D760, IF(ISNUMBER(_xlfn.XLOOKUP($C760,Phone_by_Sentiment!$B$2:$B$37,Phone_by_Sentiment!N$2:N$37,"",0,1)),_xlfn.XLOOKUP($C760,Phone_by_Sentiment!$B$2:$B$37,Phone_by_Sentiment!N$2:N$37,"",0,1),0),$A760-TEXT(DATEVALUE($D760&amp;"-01"), "dd-mm-yyyy")),0),0)</f>
        <v>1207</v>
      </c>
      <c r="O760" cm="1">
        <f t="array" ref="O760">IF($Q760&gt;=0,IFERROR(generateSalesData($D760, IF(ISNUMBER(_xlfn.XLOOKUP($C760,Phone_by_Sentiment!$B$2:$B$37,Phone_by_Sentiment!O$2:O$37,"",0,1)),_xlfn.XLOOKUP($C760,Phone_by_Sentiment!$B$2:$B$37,Phone_by_Sentiment!O$2:O$37,"",0,1),0),$A760-TEXT(DATEVALUE($D760&amp;"-01"), "dd-mm-yyyy")),0),0)</f>
        <v>237</v>
      </c>
      <c r="P760" s="1">
        <f t="shared" si="30"/>
        <v>43862</v>
      </c>
      <c r="Q760">
        <f t="shared" si="31"/>
        <v>243</v>
      </c>
    </row>
    <row r="761" spans="1:17" x14ac:dyDescent="0.25">
      <c r="A761" s="1">
        <f t="shared" si="27"/>
        <v>44105</v>
      </c>
      <c r="B761" t="s">
        <v>174</v>
      </c>
      <c r="C761" t="str">
        <f>_xlfn.XLOOKUP(B761,Phone_by_Price!$A$2:$A$34,Phone_by_Price!$B$2:$B$34,"-",0,1)</f>
        <v>Samsung Galaxy A7</v>
      </c>
      <c r="D761" t="str">
        <f>_xlfn.XLOOKUP(C761,Phone_by_Sentiment!$B$2:$B$37,Phone_by_Sentiment!$A$2:$A$37,"-",0,1)</f>
        <v>2018-10</v>
      </c>
      <c r="E761" cm="1">
        <f t="array" ref="E761">IF($Q761&gt;=0,IFERROR(generateSalesData($D761, IF(ISNUMBER(_xlfn.XLOOKUP($C761,Phone_by_Sentiment!$B$2:$B$37,Phone_by_Sentiment!E$2:E$37,"",0,1)),_xlfn.XLOOKUP($C761,Phone_by_Sentiment!$B$2:$B$37,Phone_by_Sentiment!E$2:E$37,"",0,1),0),$A761-TEXT(DATEVALUE($D761&amp;"-01"), "dd-mm-yyyy")),0),0)</f>
        <v>147</v>
      </c>
      <c r="F761" cm="1">
        <f t="array" ref="F761">IF($Q761&gt;=0,IFERROR(generateSalesData($D761, IF(ISNUMBER(_xlfn.XLOOKUP($C761,Phone_by_Sentiment!$B$2:$B$37,Phone_by_Sentiment!F$2:F$37,"",0,1)),_xlfn.XLOOKUP($C761,Phone_by_Sentiment!$B$2:$B$37,Phone_by_Sentiment!F$2:F$37,"",0,1),0),$A761-TEXT(DATEVALUE($D761&amp;"-01"), "dd-mm-yyyy")),0),0)</f>
        <v>96</v>
      </c>
      <c r="G761" cm="1">
        <f t="array" ref="G761">IF($Q761&gt;=0,IFERROR(generateSalesData($D761, IF(ISNUMBER(_xlfn.XLOOKUP($C761,Phone_by_Sentiment!$B$2:$B$37,Phone_by_Sentiment!G$2:G$37,"",0,1)),_xlfn.XLOOKUP($C761,Phone_by_Sentiment!$B$2:$B$37,Phone_by_Sentiment!G$2:G$37,"",0,1),0),$A761-TEXT(DATEVALUE($D761&amp;"-01"), "dd-mm-yyyy")),0),0)</f>
        <v>75</v>
      </c>
      <c r="H761" cm="1">
        <f t="array" ref="H761">IF($Q761&gt;=0,IFERROR(generateSalesData($D761, IF(ISNUMBER(_xlfn.XLOOKUP($C761,Phone_by_Sentiment!$B$2:$B$37,Phone_by_Sentiment!H$2:H$37,"",0,1)),_xlfn.XLOOKUP($C761,Phone_by_Sentiment!$B$2:$B$37,Phone_by_Sentiment!H$2:H$37,"",0,1),0),$A761-TEXT(DATEVALUE($D761&amp;"-01"), "dd-mm-yyyy")),0),0)</f>
        <v>464</v>
      </c>
      <c r="I761" cm="1">
        <f t="array" ref="I761">IF($Q761&gt;=0,IFERROR(generateSalesData($D761, IF(ISNUMBER(_xlfn.XLOOKUP($C761,Phone_by_Sentiment!$B$2:$B$37,Phone_by_Sentiment!I$2:I$37,"",0,1)),_xlfn.XLOOKUP($C761,Phone_by_Sentiment!$B$2:$B$37,Phone_by_Sentiment!I$2:I$37,"",0,1),0),$A761-TEXT(DATEVALUE($D761&amp;"-01"), "dd-mm-yyyy")),0),0)</f>
        <v>281</v>
      </c>
      <c r="J761" cm="1">
        <f t="array" ref="J761">IF($Q761&gt;=0,IFERROR(generateSalesData($D761, IF(ISNUMBER(_xlfn.XLOOKUP($C761,Phone_by_Sentiment!$B$2:$B$37,Phone_by_Sentiment!J$2:J$37,"",0,1)),_xlfn.XLOOKUP($C761,Phone_by_Sentiment!$B$2:$B$37,Phone_by_Sentiment!J$2:J$37,"",0,1),0),$A761-TEXT(DATEVALUE($D761&amp;"-01"), "dd-mm-yyyy")),0),0)</f>
        <v>45</v>
      </c>
      <c r="K761" cm="1">
        <f t="array" ref="K761">IF($Q761&gt;=0,IFERROR(generateSalesData($D761, IF(ISNUMBER(_xlfn.XLOOKUP($C761,Phone_by_Sentiment!$B$2:$B$37,Phone_by_Sentiment!K$2:K$37,"",0,1)),_xlfn.XLOOKUP($C761,Phone_by_Sentiment!$B$2:$B$37,Phone_by_Sentiment!K$2:K$37,"",0,1),0),$A761-TEXT(DATEVALUE($D761&amp;"-01"), "dd-mm-yyyy")),0),0)</f>
        <v>100</v>
      </c>
      <c r="L761" cm="1">
        <f t="array" ref="L761">IF($Q761&gt;=0,IFERROR(generateSalesData($D761, IF(ISNUMBER(_xlfn.XLOOKUP($C761,Phone_by_Sentiment!$B$2:$B$37,Phone_by_Sentiment!L$2:L$37,"",0,1)),_xlfn.XLOOKUP($C761,Phone_by_Sentiment!$B$2:$B$37,Phone_by_Sentiment!L$2:L$37,"",0,1),0),$A761-TEXT(DATEVALUE($D761&amp;"-01"), "dd-mm-yyyy")),0),0)</f>
        <v>58</v>
      </c>
      <c r="M761" cm="1">
        <f t="array" ref="M761">IF($Q761&gt;=0,IFERROR(generateSalesData($D761, IF(ISNUMBER(_xlfn.XLOOKUP($C761,Phone_by_Sentiment!$B$2:$B$37,Phone_by_Sentiment!M$2:M$37,"",0,1)),_xlfn.XLOOKUP($C761,Phone_by_Sentiment!$B$2:$B$37,Phone_by_Sentiment!M$2:M$37,"",0,1),0),$A761-TEXT(DATEVALUE($D761&amp;"-01"), "dd-mm-yyyy")),0),0)</f>
        <v>62</v>
      </c>
      <c r="N761" cm="1">
        <f t="array" ref="N761">IF($Q761&gt;=0,IFERROR(generateSalesData($D761, IF(ISNUMBER(_xlfn.XLOOKUP($C761,Phone_by_Sentiment!$B$2:$B$37,Phone_by_Sentiment!N$2:N$37,"",0,1)),_xlfn.XLOOKUP($C761,Phone_by_Sentiment!$B$2:$B$37,Phone_by_Sentiment!N$2:N$37,"",0,1),0),$A761-TEXT(DATEVALUE($D761&amp;"-01"), "dd-mm-yyyy")),0),0)</f>
        <v>563</v>
      </c>
      <c r="O761" cm="1">
        <f t="array" ref="O761">IF($Q761&gt;=0,IFERROR(generateSalesData($D761, IF(ISNUMBER(_xlfn.XLOOKUP($C761,Phone_by_Sentiment!$B$2:$B$37,Phone_by_Sentiment!O$2:O$37,"",0,1)),_xlfn.XLOOKUP($C761,Phone_by_Sentiment!$B$2:$B$37,Phone_by_Sentiment!O$2:O$37,"",0,1),0),$A761-TEXT(DATEVALUE($D761&amp;"-01"), "dd-mm-yyyy")),0),0)</f>
        <v>248</v>
      </c>
      <c r="P761" s="1">
        <f t="shared" si="30"/>
        <v>43374</v>
      </c>
      <c r="Q761">
        <f t="shared" si="31"/>
        <v>731</v>
      </c>
    </row>
    <row r="762" spans="1:17" x14ac:dyDescent="0.25">
      <c r="A762" s="1">
        <f t="shared" si="27"/>
        <v>44105</v>
      </c>
      <c r="B762" t="s">
        <v>142</v>
      </c>
      <c r="C762" t="str">
        <f>_xlfn.XLOOKUP(B762,Phone_by_Price!$A$2:$A$34,Phone_by_Price!$B$2:$B$34,"-",0,1)</f>
        <v>iPhone 11</v>
      </c>
      <c r="D762" t="str">
        <f>_xlfn.XLOOKUP(C762,Phone_by_Sentiment!$B$2:$B$37,Phone_by_Sentiment!$A$2:$A$37,"-",0,1)</f>
        <v>2019-09</v>
      </c>
      <c r="E762" cm="1">
        <f t="array" ref="E762">IF($Q762&gt;=0,IFERROR(generateSalesData($D762, IF(ISNUMBER(_xlfn.XLOOKUP($C762,Phone_by_Sentiment!$B$2:$B$37,Phone_by_Sentiment!E$2:E$37,"",0,1)),_xlfn.XLOOKUP($C762,Phone_by_Sentiment!$B$2:$B$37,Phone_by_Sentiment!E$2:E$37,"",0,1),0),$A762-TEXT(DATEVALUE($D762&amp;"-01"), "dd-mm-yyyy")),0),0)</f>
        <v>179</v>
      </c>
      <c r="F762" cm="1">
        <f t="array" ref="F762">IF($Q762&gt;=0,IFERROR(generateSalesData($D762, IF(ISNUMBER(_xlfn.XLOOKUP($C762,Phone_by_Sentiment!$B$2:$B$37,Phone_by_Sentiment!F$2:F$37,"",0,1)),_xlfn.XLOOKUP($C762,Phone_by_Sentiment!$B$2:$B$37,Phone_by_Sentiment!F$2:F$37,"",0,1),0),$A762-TEXT(DATEVALUE($D762&amp;"-01"), "dd-mm-yyyy")),0),0)</f>
        <v>356</v>
      </c>
      <c r="G762" cm="1">
        <f t="array" ref="G762">IF($Q762&gt;=0,IFERROR(generateSalesData($D762, IF(ISNUMBER(_xlfn.XLOOKUP($C762,Phone_by_Sentiment!$B$2:$B$37,Phone_by_Sentiment!G$2:G$37,"",0,1)),_xlfn.XLOOKUP($C762,Phone_by_Sentiment!$B$2:$B$37,Phone_by_Sentiment!G$2:G$37,"",0,1),0),$A762-TEXT(DATEVALUE($D762&amp;"-01"), "dd-mm-yyyy")),0),0)</f>
        <v>89</v>
      </c>
      <c r="H762" cm="1">
        <f t="array" ref="H762">IF($Q762&gt;=0,IFERROR(generateSalesData($D762, IF(ISNUMBER(_xlfn.XLOOKUP($C762,Phone_by_Sentiment!$B$2:$B$37,Phone_by_Sentiment!H$2:H$37,"",0,1)),_xlfn.XLOOKUP($C762,Phone_by_Sentiment!$B$2:$B$37,Phone_by_Sentiment!H$2:H$37,"",0,1),0),$A762-TEXT(DATEVALUE($D762&amp;"-01"), "dd-mm-yyyy")),0),0)</f>
        <v>540</v>
      </c>
      <c r="I762" cm="1">
        <f t="array" ref="I762">IF($Q762&gt;=0,IFERROR(generateSalesData($D762, IF(ISNUMBER(_xlfn.XLOOKUP($C762,Phone_by_Sentiment!$B$2:$B$37,Phone_by_Sentiment!I$2:I$37,"",0,1)),_xlfn.XLOOKUP($C762,Phone_by_Sentiment!$B$2:$B$37,Phone_by_Sentiment!I$2:I$37,"",0,1),0),$A762-TEXT(DATEVALUE($D762&amp;"-01"), "dd-mm-yyyy")),0),0)</f>
        <v>596</v>
      </c>
      <c r="J762" cm="1">
        <f t="array" ref="J762">IF($Q762&gt;=0,IFERROR(generateSalesData($D762, IF(ISNUMBER(_xlfn.XLOOKUP($C762,Phone_by_Sentiment!$B$2:$B$37,Phone_by_Sentiment!J$2:J$37,"",0,1)),_xlfn.XLOOKUP($C762,Phone_by_Sentiment!$B$2:$B$37,Phone_by_Sentiment!J$2:J$37,"",0,1),0),$A762-TEXT(DATEVALUE($D762&amp;"-01"), "dd-mm-yyyy")),0),0)</f>
        <v>-18</v>
      </c>
      <c r="K762" cm="1">
        <f t="array" ref="K762">IF($Q762&gt;=0,IFERROR(generateSalesData($D762, IF(ISNUMBER(_xlfn.XLOOKUP($C762,Phone_by_Sentiment!$B$2:$B$37,Phone_by_Sentiment!K$2:K$37,"",0,1)),_xlfn.XLOOKUP($C762,Phone_by_Sentiment!$B$2:$B$37,Phone_by_Sentiment!K$2:K$37,"",0,1),0),$A762-TEXT(DATEVALUE($D762&amp;"-01"), "dd-mm-yyyy")),0),0)</f>
        <v>269</v>
      </c>
      <c r="L762" cm="1">
        <f t="array" ref="L762">IF($Q762&gt;=0,IFERROR(generateSalesData($D762, IF(ISNUMBER(_xlfn.XLOOKUP($C762,Phone_by_Sentiment!$B$2:$B$37,Phone_by_Sentiment!L$2:L$37,"",0,1)),_xlfn.XLOOKUP($C762,Phone_by_Sentiment!$B$2:$B$37,Phone_by_Sentiment!L$2:L$37,"",0,1),0),$A762-TEXT(DATEVALUE($D762&amp;"-01"), "dd-mm-yyyy")),0),0)</f>
        <v>514</v>
      </c>
      <c r="M762" cm="1">
        <f t="array" ref="M762">IF($Q762&gt;=0,IFERROR(generateSalesData($D762, IF(ISNUMBER(_xlfn.XLOOKUP($C762,Phone_by_Sentiment!$B$2:$B$37,Phone_by_Sentiment!M$2:M$37,"",0,1)),_xlfn.XLOOKUP($C762,Phone_by_Sentiment!$B$2:$B$37,Phone_by_Sentiment!M$2:M$37,"",0,1),0),$A762-TEXT(DATEVALUE($D762&amp;"-01"), "dd-mm-yyyy")),0),0)</f>
        <v>1003</v>
      </c>
      <c r="N762" cm="1">
        <f t="array" ref="N762">IF($Q762&gt;=0,IFERROR(generateSalesData($D762, IF(ISNUMBER(_xlfn.XLOOKUP($C762,Phone_by_Sentiment!$B$2:$B$37,Phone_by_Sentiment!N$2:N$37,"",0,1)),_xlfn.XLOOKUP($C762,Phone_by_Sentiment!$B$2:$B$37,Phone_by_Sentiment!N$2:N$37,"",0,1),0),$A762-TEXT(DATEVALUE($D762&amp;"-01"), "dd-mm-yyyy")),0),0)</f>
        <v>93</v>
      </c>
      <c r="O762" cm="1">
        <f t="array" ref="O762">IF($Q762&gt;=0,IFERROR(generateSalesData($D762, IF(ISNUMBER(_xlfn.XLOOKUP($C762,Phone_by_Sentiment!$B$2:$B$37,Phone_by_Sentiment!O$2:O$37,"",0,1)),_xlfn.XLOOKUP($C762,Phone_by_Sentiment!$B$2:$B$37,Phone_by_Sentiment!O$2:O$37,"",0,1),0),$A762-TEXT(DATEVALUE($D762&amp;"-01"), "dd-mm-yyyy")),0),0)</f>
        <v>741</v>
      </c>
      <c r="P762" s="1">
        <f t="shared" si="30"/>
        <v>43709</v>
      </c>
      <c r="Q762">
        <f t="shared" si="31"/>
        <v>396</v>
      </c>
    </row>
    <row r="763" spans="1:17" x14ac:dyDescent="0.25">
      <c r="A763" s="1">
        <f t="shared" si="27"/>
        <v>44105</v>
      </c>
      <c r="B763" t="s">
        <v>143</v>
      </c>
      <c r="C763" t="str">
        <f>_xlfn.XLOOKUP(B763,Phone_by_Price!$A$2:$A$34,Phone_by_Price!$B$2:$B$34,"-",0,1)</f>
        <v>Samsung Galaxy S20 Ultra</v>
      </c>
      <c r="D763" t="str">
        <f>_xlfn.XLOOKUP(C763,Phone_by_Sentiment!$B$2:$B$37,Phone_by_Sentiment!$A$2:$A$37,"-",0,1)</f>
        <v>2020-02</v>
      </c>
      <c r="E763" cm="1">
        <f t="array" ref="E763">IF($Q763&gt;=0,IFERROR(generateSalesData($D763, IF(ISNUMBER(_xlfn.XLOOKUP($C763,Phone_by_Sentiment!$B$2:$B$37,Phone_by_Sentiment!E$2:E$37,"",0,1)),_xlfn.XLOOKUP($C763,Phone_by_Sentiment!$B$2:$B$37,Phone_by_Sentiment!E$2:E$37,"",0,1),0),$A763-TEXT(DATEVALUE($D763&amp;"-01"), "dd-mm-yyyy")),0),0)</f>
        <v>749</v>
      </c>
      <c r="F763" cm="1">
        <f t="array" ref="F763">IF($Q763&gt;=0,IFERROR(generateSalesData($D763, IF(ISNUMBER(_xlfn.XLOOKUP($C763,Phone_by_Sentiment!$B$2:$B$37,Phone_by_Sentiment!F$2:F$37,"",0,1)),_xlfn.XLOOKUP($C763,Phone_by_Sentiment!$B$2:$B$37,Phone_by_Sentiment!F$2:F$37,"",0,1),0),$A763-TEXT(DATEVALUE($D763&amp;"-01"), "dd-mm-yyyy")),0),0)</f>
        <v>827</v>
      </c>
      <c r="G763" cm="1">
        <f t="array" ref="G763">IF($Q763&gt;=0,IFERROR(generateSalesData($D763, IF(ISNUMBER(_xlfn.XLOOKUP($C763,Phone_by_Sentiment!$B$2:$B$37,Phone_by_Sentiment!G$2:G$37,"",0,1)),_xlfn.XLOOKUP($C763,Phone_by_Sentiment!$B$2:$B$37,Phone_by_Sentiment!G$2:G$37,"",0,1),0),$A763-TEXT(DATEVALUE($D763&amp;"-01"), "dd-mm-yyyy")),0),0)</f>
        <v>351</v>
      </c>
      <c r="H763" cm="1">
        <f t="array" ref="H763">IF($Q763&gt;=0,IFERROR(generateSalesData($D763, IF(ISNUMBER(_xlfn.XLOOKUP($C763,Phone_by_Sentiment!$B$2:$B$37,Phone_by_Sentiment!H$2:H$37,"",0,1)),_xlfn.XLOOKUP($C763,Phone_by_Sentiment!$B$2:$B$37,Phone_by_Sentiment!H$2:H$37,"",0,1),0),$A763-TEXT(DATEVALUE($D763&amp;"-01"), "dd-mm-yyyy")),0),0)</f>
        <v>919</v>
      </c>
      <c r="I763" cm="1">
        <f t="array" ref="I763">IF($Q763&gt;=0,IFERROR(generateSalesData($D763, IF(ISNUMBER(_xlfn.XLOOKUP($C763,Phone_by_Sentiment!$B$2:$B$37,Phone_by_Sentiment!I$2:I$37,"",0,1)),_xlfn.XLOOKUP($C763,Phone_by_Sentiment!$B$2:$B$37,Phone_by_Sentiment!I$2:I$37,"",0,1),0),$A763-TEXT(DATEVALUE($D763&amp;"-01"), "dd-mm-yyyy")),0),0)</f>
        <v>1562</v>
      </c>
      <c r="J763" cm="1">
        <f t="array" ref="J763">IF($Q763&gt;=0,IFERROR(generateSalesData($D763, IF(ISNUMBER(_xlfn.XLOOKUP($C763,Phone_by_Sentiment!$B$2:$B$37,Phone_by_Sentiment!J$2:J$37,"",0,1)),_xlfn.XLOOKUP($C763,Phone_by_Sentiment!$B$2:$B$37,Phone_by_Sentiment!J$2:J$37,"",0,1),0),$A763-TEXT(DATEVALUE($D763&amp;"-01"), "dd-mm-yyyy")),0),0)</f>
        <v>876</v>
      </c>
      <c r="K763" cm="1">
        <f t="array" ref="K763">IF($Q763&gt;=0,IFERROR(generateSalesData($D763, IF(ISNUMBER(_xlfn.XLOOKUP($C763,Phone_by_Sentiment!$B$2:$B$37,Phone_by_Sentiment!K$2:K$37,"",0,1)),_xlfn.XLOOKUP($C763,Phone_by_Sentiment!$B$2:$B$37,Phone_by_Sentiment!K$2:K$37,"",0,1),0),$A763-TEXT(DATEVALUE($D763&amp;"-01"), "dd-mm-yyyy")),0),0)</f>
        <v>320</v>
      </c>
      <c r="L763" cm="1">
        <f t="array" ref="L763">IF($Q763&gt;=0,IFERROR(generateSalesData($D763, IF(ISNUMBER(_xlfn.XLOOKUP($C763,Phone_by_Sentiment!$B$2:$B$37,Phone_by_Sentiment!L$2:L$37,"",0,1)),_xlfn.XLOOKUP($C763,Phone_by_Sentiment!$B$2:$B$37,Phone_by_Sentiment!L$2:L$37,"",0,1),0),$A763-TEXT(DATEVALUE($D763&amp;"-01"), "dd-mm-yyyy")),0),0)</f>
        <v>788</v>
      </c>
      <c r="M763" cm="1">
        <f t="array" ref="M763">IF($Q763&gt;=0,IFERROR(generateSalesData($D763, IF(ISNUMBER(_xlfn.XLOOKUP($C763,Phone_by_Sentiment!$B$2:$B$37,Phone_by_Sentiment!M$2:M$37,"",0,1)),_xlfn.XLOOKUP($C763,Phone_by_Sentiment!$B$2:$B$37,Phone_by_Sentiment!M$2:M$37,"",0,1),0),$A763-TEXT(DATEVALUE($D763&amp;"-01"), "dd-mm-yyyy")),0),0)</f>
        <v>525</v>
      </c>
      <c r="N763" cm="1">
        <f t="array" ref="N763">IF($Q763&gt;=0,IFERROR(generateSalesData($D763, IF(ISNUMBER(_xlfn.XLOOKUP($C763,Phone_by_Sentiment!$B$2:$B$37,Phone_by_Sentiment!N$2:N$37,"",0,1)),_xlfn.XLOOKUP($C763,Phone_by_Sentiment!$B$2:$B$37,Phone_by_Sentiment!N$2:N$37,"",0,1),0),$A763-TEXT(DATEVALUE($D763&amp;"-01"), "dd-mm-yyyy")),0),0)</f>
        <v>987</v>
      </c>
      <c r="O763" cm="1">
        <f t="array" ref="O763">IF($Q763&gt;=0,IFERROR(generateSalesData($D763, IF(ISNUMBER(_xlfn.XLOOKUP($C763,Phone_by_Sentiment!$B$2:$B$37,Phone_by_Sentiment!O$2:O$37,"",0,1)),_xlfn.XLOOKUP($C763,Phone_by_Sentiment!$B$2:$B$37,Phone_by_Sentiment!O$2:O$37,"",0,1),0),$A763-TEXT(DATEVALUE($D763&amp;"-01"), "dd-mm-yyyy")),0),0)</f>
        <v>1172</v>
      </c>
      <c r="P763" s="1">
        <f t="shared" si="30"/>
        <v>43862</v>
      </c>
      <c r="Q763">
        <f t="shared" si="31"/>
        <v>243</v>
      </c>
    </row>
    <row r="764" spans="1:17" x14ac:dyDescent="0.25">
      <c r="A764" s="1">
        <f t="shared" si="27"/>
        <v>44105</v>
      </c>
      <c r="B764" t="s">
        <v>144</v>
      </c>
      <c r="C764" t="str">
        <f>_xlfn.XLOOKUP(B764,Phone_by_Price!$A$2:$A$34,Phone_by_Price!$B$2:$B$34,"-",0,1)</f>
        <v>Xiaomi Redmi Note 10</v>
      </c>
      <c r="D764" t="str">
        <f>_xlfn.XLOOKUP(C764,Phone_by_Sentiment!$B$2:$B$37,Phone_by_Sentiment!$A$2:$A$37,"-",0,1)</f>
        <v>2021-03</v>
      </c>
      <c r="E764" cm="1">
        <f t="array" ref="E764">IF($Q764&gt;=0,IFERROR(generateSalesData($D764, IF(ISNUMBER(_xlfn.XLOOKUP($C764,Phone_by_Sentiment!$B$2:$B$37,Phone_by_Sentiment!E$2:E$37,"",0,1)),_xlfn.XLOOKUP($C764,Phone_by_Sentiment!$B$2:$B$37,Phone_by_Sentiment!E$2:E$37,"",0,1),0),$A764-TEXT(DATEVALUE($D764&amp;"-01"), "dd-mm-yyyy")),0),0)</f>
        <v>0</v>
      </c>
      <c r="F764" cm="1">
        <f t="array" ref="F764">IF($Q764&gt;=0,IFERROR(generateSalesData($D764, IF(ISNUMBER(_xlfn.XLOOKUP($C764,Phone_by_Sentiment!$B$2:$B$37,Phone_by_Sentiment!F$2:F$37,"",0,1)),_xlfn.XLOOKUP($C764,Phone_by_Sentiment!$B$2:$B$37,Phone_by_Sentiment!F$2:F$37,"",0,1),0),$A764-TEXT(DATEVALUE($D764&amp;"-01"), "dd-mm-yyyy")),0),0)</f>
        <v>0</v>
      </c>
      <c r="G764" cm="1">
        <f t="array" ref="G764">IF($Q764&gt;=0,IFERROR(generateSalesData($D764, IF(ISNUMBER(_xlfn.XLOOKUP($C764,Phone_by_Sentiment!$B$2:$B$37,Phone_by_Sentiment!G$2:G$37,"",0,1)),_xlfn.XLOOKUP($C764,Phone_by_Sentiment!$B$2:$B$37,Phone_by_Sentiment!G$2:G$37,"",0,1),0),$A764-TEXT(DATEVALUE($D764&amp;"-01"), "dd-mm-yyyy")),0),0)</f>
        <v>0</v>
      </c>
      <c r="H764" cm="1">
        <f t="array" ref="H764">IF($Q764&gt;=0,IFERROR(generateSalesData($D764, IF(ISNUMBER(_xlfn.XLOOKUP($C764,Phone_by_Sentiment!$B$2:$B$37,Phone_by_Sentiment!H$2:H$37,"",0,1)),_xlfn.XLOOKUP($C764,Phone_by_Sentiment!$B$2:$B$37,Phone_by_Sentiment!H$2:H$37,"",0,1),0),$A764-TEXT(DATEVALUE($D764&amp;"-01"), "dd-mm-yyyy")),0),0)</f>
        <v>0</v>
      </c>
      <c r="I764" cm="1">
        <f t="array" ref="I764">IF($Q764&gt;=0,IFERROR(generateSalesData($D764, IF(ISNUMBER(_xlfn.XLOOKUP($C764,Phone_by_Sentiment!$B$2:$B$37,Phone_by_Sentiment!I$2:I$37,"",0,1)),_xlfn.XLOOKUP($C764,Phone_by_Sentiment!$B$2:$B$37,Phone_by_Sentiment!I$2:I$37,"",0,1),0),$A764-TEXT(DATEVALUE($D764&amp;"-01"), "dd-mm-yyyy")),0),0)</f>
        <v>0</v>
      </c>
      <c r="J764" cm="1">
        <f t="array" ref="J764">IF($Q764&gt;=0,IFERROR(generateSalesData($D764, IF(ISNUMBER(_xlfn.XLOOKUP($C764,Phone_by_Sentiment!$B$2:$B$37,Phone_by_Sentiment!J$2:J$37,"",0,1)),_xlfn.XLOOKUP($C764,Phone_by_Sentiment!$B$2:$B$37,Phone_by_Sentiment!J$2:J$37,"",0,1),0),$A764-TEXT(DATEVALUE($D764&amp;"-01"), "dd-mm-yyyy")),0),0)</f>
        <v>0</v>
      </c>
      <c r="K764" cm="1">
        <f t="array" ref="K764">IF($Q764&gt;=0,IFERROR(generateSalesData($D764, IF(ISNUMBER(_xlfn.XLOOKUP($C764,Phone_by_Sentiment!$B$2:$B$37,Phone_by_Sentiment!K$2:K$37,"",0,1)),_xlfn.XLOOKUP($C764,Phone_by_Sentiment!$B$2:$B$37,Phone_by_Sentiment!K$2:K$37,"",0,1),0),$A764-TEXT(DATEVALUE($D764&amp;"-01"), "dd-mm-yyyy")),0),0)</f>
        <v>0</v>
      </c>
      <c r="L764" cm="1">
        <f t="array" ref="L764">IF($Q764&gt;=0,IFERROR(generateSalesData($D764, IF(ISNUMBER(_xlfn.XLOOKUP($C764,Phone_by_Sentiment!$B$2:$B$37,Phone_by_Sentiment!L$2:L$37,"",0,1)),_xlfn.XLOOKUP($C764,Phone_by_Sentiment!$B$2:$B$37,Phone_by_Sentiment!L$2:L$37,"",0,1),0),$A764-TEXT(DATEVALUE($D764&amp;"-01"), "dd-mm-yyyy")),0),0)</f>
        <v>0</v>
      </c>
      <c r="M764" cm="1">
        <f t="array" ref="M764">IF($Q764&gt;=0,IFERROR(generateSalesData($D764, IF(ISNUMBER(_xlfn.XLOOKUP($C764,Phone_by_Sentiment!$B$2:$B$37,Phone_by_Sentiment!M$2:M$37,"",0,1)),_xlfn.XLOOKUP($C764,Phone_by_Sentiment!$B$2:$B$37,Phone_by_Sentiment!M$2:M$37,"",0,1),0),$A764-TEXT(DATEVALUE($D764&amp;"-01"), "dd-mm-yyyy")),0),0)</f>
        <v>0</v>
      </c>
      <c r="N764" cm="1">
        <f t="array" ref="N764">IF($Q764&gt;=0,IFERROR(generateSalesData($D764, IF(ISNUMBER(_xlfn.XLOOKUP($C764,Phone_by_Sentiment!$B$2:$B$37,Phone_by_Sentiment!N$2:N$37,"",0,1)),_xlfn.XLOOKUP($C764,Phone_by_Sentiment!$B$2:$B$37,Phone_by_Sentiment!N$2:N$37,"",0,1),0),$A764-TEXT(DATEVALUE($D764&amp;"-01"), "dd-mm-yyyy")),0),0)</f>
        <v>0</v>
      </c>
      <c r="O764" cm="1">
        <f t="array" ref="O764">IF($Q764&gt;=0,IFERROR(generateSalesData($D764, IF(ISNUMBER(_xlfn.XLOOKUP($C764,Phone_by_Sentiment!$B$2:$B$37,Phone_by_Sentiment!O$2:O$37,"",0,1)),_xlfn.XLOOKUP($C764,Phone_by_Sentiment!$B$2:$B$37,Phone_by_Sentiment!O$2:O$37,"",0,1),0),$A764-TEXT(DATEVALUE($D764&amp;"-01"), "dd-mm-yyyy")),0),0)</f>
        <v>0</v>
      </c>
      <c r="P764" s="1">
        <f t="shared" si="30"/>
        <v>44256</v>
      </c>
      <c r="Q764">
        <f t="shared" si="31"/>
        <v>-151</v>
      </c>
    </row>
    <row r="765" spans="1:17" x14ac:dyDescent="0.25">
      <c r="A765" s="1">
        <f t="shared" si="27"/>
        <v>44105</v>
      </c>
      <c r="B765" t="s">
        <v>145</v>
      </c>
      <c r="C765" t="str">
        <f>_xlfn.XLOOKUP(B765,Phone_by_Price!$A$2:$A$34,Phone_by_Price!$B$2:$B$34,"-",0,1)</f>
        <v>OPPO A54</v>
      </c>
      <c r="D765" t="str">
        <f>_xlfn.XLOOKUP(C765,Phone_by_Sentiment!$B$2:$B$37,Phone_by_Sentiment!$A$2:$A$37,"-",0,1)</f>
        <v>2021-04</v>
      </c>
      <c r="E765" cm="1">
        <f t="array" ref="E765">IF($Q765&gt;=0,IFERROR(generateSalesData($D765, IF(ISNUMBER(_xlfn.XLOOKUP($C765,Phone_by_Sentiment!$B$2:$B$37,Phone_by_Sentiment!E$2:E$37,"",0,1)),_xlfn.XLOOKUP($C765,Phone_by_Sentiment!$B$2:$B$37,Phone_by_Sentiment!E$2:E$37,"",0,1),0),$A765-TEXT(DATEVALUE($D765&amp;"-01"), "dd-mm-yyyy")),0),0)</f>
        <v>0</v>
      </c>
      <c r="F765" cm="1">
        <f t="array" ref="F765">IF($Q765&gt;=0,IFERROR(generateSalesData($D765, IF(ISNUMBER(_xlfn.XLOOKUP($C765,Phone_by_Sentiment!$B$2:$B$37,Phone_by_Sentiment!F$2:F$37,"",0,1)),_xlfn.XLOOKUP($C765,Phone_by_Sentiment!$B$2:$B$37,Phone_by_Sentiment!F$2:F$37,"",0,1),0),$A765-TEXT(DATEVALUE($D765&amp;"-01"), "dd-mm-yyyy")),0),0)</f>
        <v>0</v>
      </c>
      <c r="G765" cm="1">
        <f t="array" ref="G765">IF($Q765&gt;=0,IFERROR(generateSalesData($D765, IF(ISNUMBER(_xlfn.XLOOKUP($C765,Phone_by_Sentiment!$B$2:$B$37,Phone_by_Sentiment!G$2:G$37,"",0,1)),_xlfn.XLOOKUP($C765,Phone_by_Sentiment!$B$2:$B$37,Phone_by_Sentiment!G$2:G$37,"",0,1),0),$A765-TEXT(DATEVALUE($D765&amp;"-01"), "dd-mm-yyyy")),0),0)</f>
        <v>0</v>
      </c>
      <c r="H765" cm="1">
        <f t="array" ref="H765">IF($Q765&gt;=0,IFERROR(generateSalesData($D765, IF(ISNUMBER(_xlfn.XLOOKUP($C765,Phone_by_Sentiment!$B$2:$B$37,Phone_by_Sentiment!H$2:H$37,"",0,1)),_xlfn.XLOOKUP($C765,Phone_by_Sentiment!$B$2:$B$37,Phone_by_Sentiment!H$2:H$37,"",0,1),0),$A765-TEXT(DATEVALUE($D765&amp;"-01"), "dd-mm-yyyy")),0),0)</f>
        <v>0</v>
      </c>
      <c r="I765" cm="1">
        <f t="array" ref="I765">IF($Q765&gt;=0,IFERROR(generateSalesData($D765, IF(ISNUMBER(_xlfn.XLOOKUP($C765,Phone_by_Sentiment!$B$2:$B$37,Phone_by_Sentiment!I$2:I$37,"",0,1)),_xlfn.XLOOKUP($C765,Phone_by_Sentiment!$B$2:$B$37,Phone_by_Sentiment!I$2:I$37,"",0,1),0),$A765-TEXT(DATEVALUE($D765&amp;"-01"), "dd-mm-yyyy")),0),0)</f>
        <v>0</v>
      </c>
      <c r="J765" cm="1">
        <f t="array" ref="J765">IF($Q765&gt;=0,IFERROR(generateSalesData($D765, IF(ISNUMBER(_xlfn.XLOOKUP($C765,Phone_by_Sentiment!$B$2:$B$37,Phone_by_Sentiment!J$2:J$37,"",0,1)),_xlfn.XLOOKUP($C765,Phone_by_Sentiment!$B$2:$B$37,Phone_by_Sentiment!J$2:J$37,"",0,1),0),$A765-TEXT(DATEVALUE($D765&amp;"-01"), "dd-mm-yyyy")),0),0)</f>
        <v>0</v>
      </c>
      <c r="K765" cm="1">
        <f t="array" ref="K765">IF($Q765&gt;=0,IFERROR(generateSalesData($D765, IF(ISNUMBER(_xlfn.XLOOKUP($C765,Phone_by_Sentiment!$B$2:$B$37,Phone_by_Sentiment!K$2:K$37,"",0,1)),_xlfn.XLOOKUP($C765,Phone_by_Sentiment!$B$2:$B$37,Phone_by_Sentiment!K$2:K$37,"",0,1),0),$A765-TEXT(DATEVALUE($D765&amp;"-01"), "dd-mm-yyyy")),0),0)</f>
        <v>0</v>
      </c>
      <c r="L765" cm="1">
        <f t="array" ref="L765">IF($Q765&gt;=0,IFERROR(generateSalesData($D765, IF(ISNUMBER(_xlfn.XLOOKUP($C765,Phone_by_Sentiment!$B$2:$B$37,Phone_by_Sentiment!L$2:L$37,"",0,1)),_xlfn.XLOOKUP($C765,Phone_by_Sentiment!$B$2:$B$37,Phone_by_Sentiment!L$2:L$37,"",0,1),0),$A765-TEXT(DATEVALUE($D765&amp;"-01"), "dd-mm-yyyy")),0),0)</f>
        <v>0</v>
      </c>
      <c r="M765" cm="1">
        <f t="array" ref="M765">IF($Q765&gt;=0,IFERROR(generateSalesData($D765, IF(ISNUMBER(_xlfn.XLOOKUP($C765,Phone_by_Sentiment!$B$2:$B$37,Phone_by_Sentiment!M$2:M$37,"",0,1)),_xlfn.XLOOKUP($C765,Phone_by_Sentiment!$B$2:$B$37,Phone_by_Sentiment!M$2:M$37,"",0,1),0),$A765-TEXT(DATEVALUE($D765&amp;"-01"), "dd-mm-yyyy")),0),0)</f>
        <v>0</v>
      </c>
      <c r="N765" cm="1">
        <f t="array" ref="N765">IF($Q765&gt;=0,IFERROR(generateSalesData($D765, IF(ISNUMBER(_xlfn.XLOOKUP($C765,Phone_by_Sentiment!$B$2:$B$37,Phone_by_Sentiment!N$2:N$37,"",0,1)),_xlfn.XLOOKUP($C765,Phone_by_Sentiment!$B$2:$B$37,Phone_by_Sentiment!N$2:N$37,"",0,1),0),$A765-TEXT(DATEVALUE($D765&amp;"-01"), "dd-mm-yyyy")),0),0)</f>
        <v>0</v>
      </c>
      <c r="O765" cm="1">
        <f t="array" ref="O765">IF($Q765&gt;=0,IFERROR(generateSalesData($D765, IF(ISNUMBER(_xlfn.XLOOKUP($C765,Phone_by_Sentiment!$B$2:$B$37,Phone_by_Sentiment!O$2:O$37,"",0,1)),_xlfn.XLOOKUP($C765,Phone_by_Sentiment!$B$2:$B$37,Phone_by_Sentiment!O$2:O$37,"",0,1),0),$A765-TEXT(DATEVALUE($D765&amp;"-01"), "dd-mm-yyyy")),0),0)</f>
        <v>0</v>
      </c>
      <c r="P765" s="1">
        <f t="shared" si="30"/>
        <v>44287</v>
      </c>
      <c r="Q765">
        <f t="shared" si="31"/>
        <v>-182</v>
      </c>
    </row>
    <row r="766" spans="1:17" x14ac:dyDescent="0.25">
      <c r="A766" s="1">
        <f t="shared" si="27"/>
        <v>44105</v>
      </c>
      <c r="B766" t="s">
        <v>146</v>
      </c>
      <c r="C766" t="str">
        <f>_xlfn.XLOOKUP(B766,Phone_by_Price!$A$2:$A$34,Phone_by_Price!$B$2:$B$34,"-",0,1)</f>
        <v>Vivo Y20</v>
      </c>
      <c r="D766" t="str">
        <f>_xlfn.XLOOKUP(C766,Phone_by_Sentiment!$B$2:$B$37,Phone_by_Sentiment!$A$2:$A$37,"-",0,1)</f>
        <v>2020-09</v>
      </c>
      <c r="E766" cm="1">
        <f t="array" ref="E766">IF($Q766&gt;=0,IFERROR(generateSalesData($D766, IF(ISNUMBER(_xlfn.XLOOKUP($C766,Phone_by_Sentiment!$B$2:$B$37,Phone_by_Sentiment!E$2:E$37,"",0,1)),_xlfn.XLOOKUP($C766,Phone_by_Sentiment!$B$2:$B$37,Phone_by_Sentiment!E$2:E$37,"",0,1),0),$A766-TEXT(DATEVALUE($D766&amp;"-01"), "dd-mm-yyyy")),0),0)</f>
        <v>7560</v>
      </c>
      <c r="F766" cm="1">
        <f t="array" ref="F766">IF($Q766&gt;=0,IFERROR(generateSalesData($D766, IF(ISNUMBER(_xlfn.XLOOKUP($C766,Phone_by_Sentiment!$B$2:$B$37,Phone_by_Sentiment!F$2:F$37,"",0,1)),_xlfn.XLOOKUP($C766,Phone_by_Sentiment!$B$2:$B$37,Phone_by_Sentiment!F$2:F$37,"",0,1),0),$A766-TEXT(DATEVALUE($D766&amp;"-01"), "dd-mm-yyyy")),0),0)</f>
        <v>7157</v>
      </c>
      <c r="G766" cm="1">
        <f t="array" ref="G766">IF($Q766&gt;=0,IFERROR(generateSalesData($D766, IF(ISNUMBER(_xlfn.XLOOKUP($C766,Phone_by_Sentiment!$B$2:$B$37,Phone_by_Sentiment!G$2:G$37,"",0,1)),_xlfn.XLOOKUP($C766,Phone_by_Sentiment!$B$2:$B$37,Phone_by_Sentiment!G$2:G$37,"",0,1),0),$A766-TEXT(DATEVALUE($D766&amp;"-01"), "dd-mm-yyyy")),0),0)</f>
        <v>3479</v>
      </c>
      <c r="H766" cm="1">
        <f t="array" ref="H766">IF($Q766&gt;=0,IFERROR(generateSalesData($D766, IF(ISNUMBER(_xlfn.XLOOKUP($C766,Phone_by_Sentiment!$B$2:$B$37,Phone_by_Sentiment!H$2:H$37,"",0,1)),_xlfn.XLOOKUP($C766,Phone_by_Sentiment!$B$2:$B$37,Phone_by_Sentiment!H$2:H$37,"",0,1),0),$A766-TEXT(DATEVALUE($D766&amp;"-01"), "dd-mm-yyyy")),0),0)</f>
        <v>2593</v>
      </c>
      <c r="I766" cm="1">
        <f t="array" ref="I766">IF($Q766&gt;=0,IFERROR(generateSalesData($D766, IF(ISNUMBER(_xlfn.XLOOKUP($C766,Phone_by_Sentiment!$B$2:$B$37,Phone_by_Sentiment!I$2:I$37,"",0,1)),_xlfn.XLOOKUP($C766,Phone_by_Sentiment!$B$2:$B$37,Phone_by_Sentiment!I$2:I$37,"",0,1),0),$A766-TEXT(DATEVALUE($D766&amp;"-01"), "dd-mm-yyyy")),0),0)</f>
        <v>2158</v>
      </c>
      <c r="J766" cm="1">
        <f t="array" ref="J766">IF($Q766&gt;=0,IFERROR(generateSalesData($D766, IF(ISNUMBER(_xlfn.XLOOKUP($C766,Phone_by_Sentiment!$B$2:$B$37,Phone_by_Sentiment!J$2:J$37,"",0,1)),_xlfn.XLOOKUP($C766,Phone_by_Sentiment!$B$2:$B$37,Phone_by_Sentiment!J$2:J$37,"",0,1),0),$A766-TEXT(DATEVALUE($D766&amp;"-01"), "dd-mm-yyyy")),0),0)</f>
        <v>1328</v>
      </c>
      <c r="K766" cm="1">
        <f t="array" ref="K766">IF($Q766&gt;=0,IFERROR(generateSalesData($D766, IF(ISNUMBER(_xlfn.XLOOKUP($C766,Phone_by_Sentiment!$B$2:$B$37,Phone_by_Sentiment!K$2:K$37,"",0,1)),_xlfn.XLOOKUP($C766,Phone_by_Sentiment!$B$2:$B$37,Phone_by_Sentiment!K$2:K$37,"",0,1),0),$A766-TEXT(DATEVALUE($D766&amp;"-01"), "dd-mm-yyyy")),0),0)</f>
        <v>3689</v>
      </c>
      <c r="L766" cm="1">
        <f t="array" ref="L766">IF($Q766&gt;=0,IFERROR(generateSalesData($D766, IF(ISNUMBER(_xlfn.XLOOKUP($C766,Phone_by_Sentiment!$B$2:$B$37,Phone_by_Sentiment!L$2:L$37,"",0,1)),_xlfn.XLOOKUP($C766,Phone_by_Sentiment!$B$2:$B$37,Phone_by_Sentiment!L$2:L$37,"",0,1),0),$A766-TEXT(DATEVALUE($D766&amp;"-01"), "dd-mm-yyyy")),0),0)</f>
        <v>8696</v>
      </c>
      <c r="M766" cm="1">
        <f t="array" ref="M766">IF($Q766&gt;=0,IFERROR(generateSalesData($D766, IF(ISNUMBER(_xlfn.XLOOKUP($C766,Phone_by_Sentiment!$B$2:$B$37,Phone_by_Sentiment!M$2:M$37,"",0,1)),_xlfn.XLOOKUP($C766,Phone_by_Sentiment!$B$2:$B$37,Phone_by_Sentiment!M$2:M$37,"",0,1),0),$A766-TEXT(DATEVALUE($D766&amp;"-01"), "dd-mm-yyyy")),0),0)</f>
        <v>2917</v>
      </c>
      <c r="N766" cm="1">
        <f t="array" ref="N766">IF($Q766&gt;=0,IFERROR(generateSalesData($D766, IF(ISNUMBER(_xlfn.XLOOKUP($C766,Phone_by_Sentiment!$B$2:$B$37,Phone_by_Sentiment!N$2:N$37,"",0,1)),_xlfn.XLOOKUP($C766,Phone_by_Sentiment!$B$2:$B$37,Phone_by_Sentiment!N$2:N$37,"",0,1),0),$A766-TEXT(DATEVALUE($D766&amp;"-01"), "dd-mm-yyyy")),0),0)</f>
        <v>2245</v>
      </c>
      <c r="O766" cm="1">
        <f t="array" ref="O766">IF($Q766&gt;=0,IFERROR(generateSalesData($D766, IF(ISNUMBER(_xlfn.XLOOKUP($C766,Phone_by_Sentiment!$B$2:$B$37,Phone_by_Sentiment!O$2:O$37,"",0,1)),_xlfn.XLOOKUP($C766,Phone_by_Sentiment!$B$2:$B$37,Phone_by_Sentiment!O$2:O$37,"",0,1),0),$A766-TEXT(DATEVALUE($D766&amp;"-01"), "dd-mm-yyyy")),0),0)</f>
        <v>4232</v>
      </c>
      <c r="P766" s="1">
        <f t="shared" si="30"/>
        <v>44075</v>
      </c>
      <c r="Q766">
        <f t="shared" si="31"/>
        <v>30</v>
      </c>
    </row>
    <row r="767" spans="1:17" x14ac:dyDescent="0.25">
      <c r="A767" s="1">
        <f t="shared" si="27"/>
        <v>44105</v>
      </c>
      <c r="B767" t="s">
        <v>147</v>
      </c>
      <c r="C767" t="str">
        <f>_xlfn.XLOOKUP(B767,Phone_by_Price!$A$2:$A$34,Phone_by_Price!$B$2:$B$34,"-",0,1)</f>
        <v>Huawei Y9a</v>
      </c>
      <c r="D767" t="str">
        <f>_xlfn.XLOOKUP(C767,Phone_by_Sentiment!$B$2:$B$37,Phone_by_Sentiment!$A$2:$A$37,"-",0,1)</f>
        <v>2020-02</v>
      </c>
      <c r="E767" cm="1">
        <f t="array" ref="E767">IF($Q767&gt;=0,IFERROR(generateSalesData($D767, IF(ISNUMBER(_xlfn.XLOOKUP($C767,Phone_by_Sentiment!$B$2:$B$37,Phone_by_Sentiment!E$2:E$37,"",0,1)),_xlfn.XLOOKUP($C767,Phone_by_Sentiment!$B$2:$B$37,Phone_by_Sentiment!E$2:E$37,"",0,1),0),$A767-TEXT(DATEVALUE($D767&amp;"-01"), "dd-mm-yyyy")),0),0)</f>
        <v>905</v>
      </c>
      <c r="F767" cm="1">
        <f t="array" ref="F767">IF($Q767&gt;=0,IFERROR(generateSalesData($D767, IF(ISNUMBER(_xlfn.XLOOKUP($C767,Phone_by_Sentiment!$B$2:$B$37,Phone_by_Sentiment!F$2:F$37,"",0,1)),_xlfn.XLOOKUP($C767,Phone_by_Sentiment!$B$2:$B$37,Phone_by_Sentiment!F$2:F$37,"",0,1),0),$A767-TEXT(DATEVALUE($D767&amp;"-01"), "dd-mm-yyyy")),0),0)</f>
        <v>504</v>
      </c>
      <c r="G767" cm="1">
        <f t="array" ref="G767">IF($Q767&gt;=0,IFERROR(generateSalesData($D767, IF(ISNUMBER(_xlfn.XLOOKUP($C767,Phone_by_Sentiment!$B$2:$B$37,Phone_by_Sentiment!G$2:G$37,"",0,1)),_xlfn.XLOOKUP($C767,Phone_by_Sentiment!$B$2:$B$37,Phone_by_Sentiment!G$2:G$37,"",0,1),0),$A767-TEXT(DATEVALUE($D767&amp;"-01"), "dd-mm-yyyy")),0),0)</f>
        <v>432</v>
      </c>
      <c r="H767" cm="1">
        <f t="array" ref="H767">IF($Q767&gt;=0,IFERROR(generateSalesData($D767, IF(ISNUMBER(_xlfn.XLOOKUP($C767,Phone_by_Sentiment!$B$2:$B$37,Phone_by_Sentiment!H$2:H$37,"",0,1)),_xlfn.XLOOKUP($C767,Phone_by_Sentiment!$B$2:$B$37,Phone_by_Sentiment!H$2:H$37,"",0,1),0),$A767-TEXT(DATEVALUE($D767&amp;"-01"), "dd-mm-yyyy")),0),0)</f>
        <v>191</v>
      </c>
      <c r="I767" cm="1">
        <f t="array" ref="I767">IF($Q767&gt;=0,IFERROR(generateSalesData($D767, IF(ISNUMBER(_xlfn.XLOOKUP($C767,Phone_by_Sentiment!$B$2:$B$37,Phone_by_Sentiment!I$2:I$37,"",0,1)),_xlfn.XLOOKUP($C767,Phone_by_Sentiment!$B$2:$B$37,Phone_by_Sentiment!I$2:I$37,"",0,1),0),$A767-TEXT(DATEVALUE($D767&amp;"-01"), "dd-mm-yyyy")),0),0)</f>
        <v>247</v>
      </c>
      <c r="J767" cm="1">
        <f t="array" ref="J767">IF($Q767&gt;=0,IFERROR(generateSalesData($D767, IF(ISNUMBER(_xlfn.XLOOKUP($C767,Phone_by_Sentiment!$B$2:$B$37,Phone_by_Sentiment!J$2:J$37,"",0,1)),_xlfn.XLOOKUP($C767,Phone_by_Sentiment!$B$2:$B$37,Phone_by_Sentiment!J$2:J$37,"",0,1),0),$A767-TEXT(DATEVALUE($D767&amp;"-01"), "dd-mm-yyyy")),0),0)</f>
        <v>-45</v>
      </c>
      <c r="K767" cm="1">
        <f t="array" ref="K767">IF($Q767&gt;=0,IFERROR(generateSalesData($D767, IF(ISNUMBER(_xlfn.XLOOKUP($C767,Phone_by_Sentiment!$B$2:$B$37,Phone_by_Sentiment!K$2:K$37,"",0,1)),_xlfn.XLOOKUP($C767,Phone_by_Sentiment!$B$2:$B$37,Phone_by_Sentiment!K$2:K$37,"",0,1),0),$A767-TEXT(DATEVALUE($D767&amp;"-01"), "dd-mm-yyyy")),0),0)</f>
        <v>270</v>
      </c>
      <c r="L767" cm="1">
        <f t="array" ref="L767">IF($Q767&gt;=0,IFERROR(generateSalesData($D767, IF(ISNUMBER(_xlfn.XLOOKUP($C767,Phone_by_Sentiment!$B$2:$B$37,Phone_by_Sentiment!L$2:L$37,"",0,1)),_xlfn.XLOOKUP($C767,Phone_by_Sentiment!$B$2:$B$37,Phone_by_Sentiment!L$2:L$37,"",0,1),0),$A767-TEXT(DATEVALUE($D767&amp;"-01"), "dd-mm-yyyy")),0),0)</f>
        <v>41</v>
      </c>
      <c r="M767" cm="1">
        <f t="array" ref="M767">IF($Q767&gt;=0,IFERROR(generateSalesData($D767, IF(ISNUMBER(_xlfn.XLOOKUP($C767,Phone_by_Sentiment!$B$2:$B$37,Phone_by_Sentiment!M$2:M$37,"",0,1)),_xlfn.XLOOKUP($C767,Phone_by_Sentiment!$B$2:$B$37,Phone_by_Sentiment!M$2:M$37,"",0,1),0),$A767-TEXT(DATEVALUE($D767&amp;"-01"), "dd-mm-yyyy")),0),0)</f>
        <v>91</v>
      </c>
      <c r="N767" cm="1">
        <f t="array" ref="N767">IF($Q767&gt;=0,IFERROR(generateSalesData($D767, IF(ISNUMBER(_xlfn.XLOOKUP($C767,Phone_by_Sentiment!$B$2:$B$37,Phone_by_Sentiment!N$2:N$37,"",0,1)),_xlfn.XLOOKUP($C767,Phone_by_Sentiment!$B$2:$B$37,Phone_by_Sentiment!N$2:N$37,"",0,1),0),$A767-TEXT(DATEVALUE($D767&amp;"-01"), "dd-mm-yyyy")),0),0)</f>
        <v>123</v>
      </c>
      <c r="O767" cm="1">
        <f t="array" ref="O767">IF($Q767&gt;=0,IFERROR(generateSalesData($D767, IF(ISNUMBER(_xlfn.XLOOKUP($C767,Phone_by_Sentiment!$B$2:$B$37,Phone_by_Sentiment!O$2:O$37,"",0,1)),_xlfn.XLOOKUP($C767,Phone_by_Sentiment!$B$2:$B$37,Phone_by_Sentiment!O$2:O$37,"",0,1),0),$A767-TEXT(DATEVALUE($D767&amp;"-01"), "dd-mm-yyyy")),0),0)</f>
        <v>300</v>
      </c>
      <c r="P767" s="1">
        <f t="shared" si="30"/>
        <v>43862</v>
      </c>
      <c r="Q767">
        <f t="shared" si="31"/>
        <v>243</v>
      </c>
    </row>
    <row r="768" spans="1:17" x14ac:dyDescent="0.25">
      <c r="A768" s="1">
        <f t="shared" si="27"/>
        <v>44105</v>
      </c>
      <c r="B768" t="s">
        <v>148</v>
      </c>
      <c r="C768" t="str">
        <f>_xlfn.XLOOKUP(B768,Phone_by_Price!$A$2:$A$34,Phone_by_Price!$B$2:$B$34,"-",0,1)</f>
        <v>Xiaomi Redmi 10</v>
      </c>
      <c r="D768" t="str">
        <f>_xlfn.XLOOKUP(C768,Phone_by_Sentiment!$B$2:$B$37,Phone_by_Sentiment!$A$2:$A$37,"-",0,1)</f>
        <v>2021-03</v>
      </c>
      <c r="E768" cm="1">
        <f t="array" ref="E768">IF($Q768&gt;=0,IFERROR(generateSalesData($D768, IF(ISNUMBER(_xlfn.XLOOKUP($C768,Phone_by_Sentiment!$B$2:$B$37,Phone_by_Sentiment!E$2:E$37,"",0,1)),_xlfn.XLOOKUP($C768,Phone_by_Sentiment!$B$2:$B$37,Phone_by_Sentiment!E$2:E$37,"",0,1),0),$A768-TEXT(DATEVALUE($D768&amp;"-01"), "dd-mm-yyyy")),0),0)</f>
        <v>0</v>
      </c>
      <c r="F768" cm="1">
        <f t="array" ref="F768">IF($Q768&gt;=0,IFERROR(generateSalesData($D768, IF(ISNUMBER(_xlfn.XLOOKUP($C768,Phone_by_Sentiment!$B$2:$B$37,Phone_by_Sentiment!F$2:F$37,"",0,1)),_xlfn.XLOOKUP($C768,Phone_by_Sentiment!$B$2:$B$37,Phone_by_Sentiment!F$2:F$37,"",0,1),0),$A768-TEXT(DATEVALUE($D768&amp;"-01"), "dd-mm-yyyy")),0),0)</f>
        <v>0</v>
      </c>
      <c r="G768" cm="1">
        <f t="array" ref="G768">IF($Q768&gt;=0,IFERROR(generateSalesData($D768, IF(ISNUMBER(_xlfn.XLOOKUP($C768,Phone_by_Sentiment!$B$2:$B$37,Phone_by_Sentiment!G$2:G$37,"",0,1)),_xlfn.XLOOKUP($C768,Phone_by_Sentiment!$B$2:$B$37,Phone_by_Sentiment!G$2:G$37,"",0,1),0),$A768-TEXT(DATEVALUE($D768&amp;"-01"), "dd-mm-yyyy")),0),0)</f>
        <v>0</v>
      </c>
      <c r="H768" cm="1">
        <f t="array" ref="H768">IF($Q768&gt;=0,IFERROR(generateSalesData($D768, IF(ISNUMBER(_xlfn.XLOOKUP($C768,Phone_by_Sentiment!$B$2:$B$37,Phone_by_Sentiment!H$2:H$37,"",0,1)),_xlfn.XLOOKUP($C768,Phone_by_Sentiment!$B$2:$B$37,Phone_by_Sentiment!H$2:H$37,"",0,1),0),$A768-TEXT(DATEVALUE($D768&amp;"-01"), "dd-mm-yyyy")),0),0)</f>
        <v>0</v>
      </c>
      <c r="I768" cm="1">
        <f t="array" ref="I768">IF($Q768&gt;=0,IFERROR(generateSalesData($D768, IF(ISNUMBER(_xlfn.XLOOKUP($C768,Phone_by_Sentiment!$B$2:$B$37,Phone_by_Sentiment!I$2:I$37,"",0,1)),_xlfn.XLOOKUP($C768,Phone_by_Sentiment!$B$2:$B$37,Phone_by_Sentiment!I$2:I$37,"",0,1),0),$A768-TEXT(DATEVALUE($D768&amp;"-01"), "dd-mm-yyyy")),0),0)</f>
        <v>0</v>
      </c>
      <c r="J768" cm="1">
        <f t="array" ref="J768">IF($Q768&gt;=0,IFERROR(generateSalesData($D768, IF(ISNUMBER(_xlfn.XLOOKUP($C768,Phone_by_Sentiment!$B$2:$B$37,Phone_by_Sentiment!J$2:J$37,"",0,1)),_xlfn.XLOOKUP($C768,Phone_by_Sentiment!$B$2:$B$37,Phone_by_Sentiment!J$2:J$37,"",0,1),0),$A768-TEXT(DATEVALUE($D768&amp;"-01"), "dd-mm-yyyy")),0),0)</f>
        <v>0</v>
      </c>
      <c r="K768" cm="1">
        <f t="array" ref="K768">IF($Q768&gt;=0,IFERROR(generateSalesData($D768, IF(ISNUMBER(_xlfn.XLOOKUP($C768,Phone_by_Sentiment!$B$2:$B$37,Phone_by_Sentiment!K$2:K$37,"",0,1)),_xlfn.XLOOKUP($C768,Phone_by_Sentiment!$B$2:$B$37,Phone_by_Sentiment!K$2:K$37,"",0,1),0),$A768-TEXT(DATEVALUE($D768&amp;"-01"), "dd-mm-yyyy")),0),0)</f>
        <v>0</v>
      </c>
      <c r="L768" cm="1">
        <f t="array" ref="L768">IF($Q768&gt;=0,IFERROR(generateSalesData($D768, IF(ISNUMBER(_xlfn.XLOOKUP($C768,Phone_by_Sentiment!$B$2:$B$37,Phone_by_Sentiment!L$2:L$37,"",0,1)),_xlfn.XLOOKUP($C768,Phone_by_Sentiment!$B$2:$B$37,Phone_by_Sentiment!L$2:L$37,"",0,1),0),$A768-TEXT(DATEVALUE($D768&amp;"-01"), "dd-mm-yyyy")),0),0)</f>
        <v>0</v>
      </c>
      <c r="M768" cm="1">
        <f t="array" ref="M768">IF($Q768&gt;=0,IFERROR(generateSalesData($D768, IF(ISNUMBER(_xlfn.XLOOKUP($C768,Phone_by_Sentiment!$B$2:$B$37,Phone_by_Sentiment!M$2:M$37,"",0,1)),_xlfn.XLOOKUP($C768,Phone_by_Sentiment!$B$2:$B$37,Phone_by_Sentiment!M$2:M$37,"",0,1),0),$A768-TEXT(DATEVALUE($D768&amp;"-01"), "dd-mm-yyyy")),0),0)</f>
        <v>0</v>
      </c>
      <c r="N768" cm="1">
        <f t="array" ref="N768">IF($Q768&gt;=0,IFERROR(generateSalesData($D768, IF(ISNUMBER(_xlfn.XLOOKUP($C768,Phone_by_Sentiment!$B$2:$B$37,Phone_by_Sentiment!N$2:N$37,"",0,1)),_xlfn.XLOOKUP($C768,Phone_by_Sentiment!$B$2:$B$37,Phone_by_Sentiment!N$2:N$37,"",0,1),0),$A768-TEXT(DATEVALUE($D768&amp;"-01"), "dd-mm-yyyy")),0),0)</f>
        <v>0</v>
      </c>
      <c r="O768" cm="1">
        <f t="array" ref="O768">IF($Q768&gt;=0,IFERROR(generateSalesData($D768, IF(ISNUMBER(_xlfn.XLOOKUP($C768,Phone_by_Sentiment!$B$2:$B$37,Phone_by_Sentiment!O$2:O$37,"",0,1)),_xlfn.XLOOKUP($C768,Phone_by_Sentiment!$B$2:$B$37,Phone_by_Sentiment!O$2:O$37,"",0,1),0),$A768-TEXT(DATEVALUE($D768&amp;"-01"), "dd-mm-yyyy")),0),0)</f>
        <v>0</v>
      </c>
      <c r="P768" s="1">
        <f t="shared" si="30"/>
        <v>44256</v>
      </c>
      <c r="Q768">
        <f t="shared" si="31"/>
        <v>-151</v>
      </c>
    </row>
    <row r="769" spans="1:17" x14ac:dyDescent="0.25">
      <c r="A769" s="1">
        <f t="shared" si="27"/>
        <v>44105</v>
      </c>
      <c r="B769" t="s">
        <v>149</v>
      </c>
      <c r="C769" t="str">
        <f>_xlfn.XLOOKUP(B769,Phone_by_Price!$A$2:$A$34,Phone_by_Price!$B$2:$B$34,"-",0,1)</f>
        <v>Samsung Galaxy A52</v>
      </c>
      <c r="D769" t="str">
        <f>_xlfn.XLOOKUP(C769,Phone_by_Sentiment!$B$2:$B$37,Phone_by_Sentiment!$A$2:$A$37,"-",0,1)</f>
        <v>2021-03</v>
      </c>
      <c r="E769" cm="1">
        <f t="array" ref="E769">IF($Q769&gt;=0,IFERROR(generateSalesData($D769, IF(ISNUMBER(_xlfn.XLOOKUP($C769,Phone_by_Sentiment!$B$2:$B$37,Phone_by_Sentiment!E$2:E$37,"",0,1)),_xlfn.XLOOKUP($C769,Phone_by_Sentiment!$B$2:$B$37,Phone_by_Sentiment!E$2:E$37,"",0,1),0),$A769-TEXT(DATEVALUE($D769&amp;"-01"), "dd-mm-yyyy")),0),0)</f>
        <v>0</v>
      </c>
      <c r="F769" cm="1">
        <f t="array" ref="F769">IF($Q769&gt;=0,IFERROR(generateSalesData($D769, IF(ISNUMBER(_xlfn.XLOOKUP($C769,Phone_by_Sentiment!$B$2:$B$37,Phone_by_Sentiment!F$2:F$37,"",0,1)),_xlfn.XLOOKUP($C769,Phone_by_Sentiment!$B$2:$B$37,Phone_by_Sentiment!F$2:F$37,"",0,1),0),$A769-TEXT(DATEVALUE($D769&amp;"-01"), "dd-mm-yyyy")),0),0)</f>
        <v>0</v>
      </c>
      <c r="G769" cm="1">
        <f t="array" ref="G769">IF($Q769&gt;=0,IFERROR(generateSalesData($D769, IF(ISNUMBER(_xlfn.XLOOKUP($C769,Phone_by_Sentiment!$B$2:$B$37,Phone_by_Sentiment!G$2:G$37,"",0,1)),_xlfn.XLOOKUP($C769,Phone_by_Sentiment!$B$2:$B$37,Phone_by_Sentiment!G$2:G$37,"",0,1),0),$A769-TEXT(DATEVALUE($D769&amp;"-01"), "dd-mm-yyyy")),0),0)</f>
        <v>0</v>
      </c>
      <c r="H769" cm="1">
        <f t="array" ref="H769">IF($Q769&gt;=0,IFERROR(generateSalesData($D769, IF(ISNUMBER(_xlfn.XLOOKUP($C769,Phone_by_Sentiment!$B$2:$B$37,Phone_by_Sentiment!H$2:H$37,"",0,1)),_xlfn.XLOOKUP($C769,Phone_by_Sentiment!$B$2:$B$37,Phone_by_Sentiment!H$2:H$37,"",0,1),0),$A769-TEXT(DATEVALUE($D769&amp;"-01"), "dd-mm-yyyy")),0),0)</f>
        <v>0</v>
      </c>
      <c r="I769" cm="1">
        <f t="array" ref="I769">IF($Q769&gt;=0,IFERROR(generateSalesData($D769, IF(ISNUMBER(_xlfn.XLOOKUP($C769,Phone_by_Sentiment!$B$2:$B$37,Phone_by_Sentiment!I$2:I$37,"",0,1)),_xlfn.XLOOKUP($C769,Phone_by_Sentiment!$B$2:$B$37,Phone_by_Sentiment!I$2:I$37,"",0,1),0),$A769-TEXT(DATEVALUE($D769&amp;"-01"), "dd-mm-yyyy")),0),0)</f>
        <v>0</v>
      </c>
      <c r="J769" cm="1">
        <f t="array" ref="J769">IF($Q769&gt;=0,IFERROR(generateSalesData($D769, IF(ISNUMBER(_xlfn.XLOOKUP($C769,Phone_by_Sentiment!$B$2:$B$37,Phone_by_Sentiment!J$2:J$37,"",0,1)),_xlfn.XLOOKUP($C769,Phone_by_Sentiment!$B$2:$B$37,Phone_by_Sentiment!J$2:J$37,"",0,1),0),$A769-TEXT(DATEVALUE($D769&amp;"-01"), "dd-mm-yyyy")),0),0)</f>
        <v>0</v>
      </c>
      <c r="K769" cm="1">
        <f t="array" ref="K769">IF($Q769&gt;=0,IFERROR(generateSalesData($D769, IF(ISNUMBER(_xlfn.XLOOKUP($C769,Phone_by_Sentiment!$B$2:$B$37,Phone_by_Sentiment!K$2:K$37,"",0,1)),_xlfn.XLOOKUP($C769,Phone_by_Sentiment!$B$2:$B$37,Phone_by_Sentiment!K$2:K$37,"",0,1),0),$A769-TEXT(DATEVALUE($D769&amp;"-01"), "dd-mm-yyyy")),0),0)</f>
        <v>0</v>
      </c>
      <c r="L769" cm="1">
        <f t="array" ref="L769">IF($Q769&gt;=0,IFERROR(generateSalesData($D769, IF(ISNUMBER(_xlfn.XLOOKUP($C769,Phone_by_Sentiment!$B$2:$B$37,Phone_by_Sentiment!L$2:L$37,"",0,1)),_xlfn.XLOOKUP($C769,Phone_by_Sentiment!$B$2:$B$37,Phone_by_Sentiment!L$2:L$37,"",0,1),0),$A769-TEXT(DATEVALUE($D769&amp;"-01"), "dd-mm-yyyy")),0),0)</f>
        <v>0</v>
      </c>
      <c r="M769" cm="1">
        <f t="array" ref="M769">IF($Q769&gt;=0,IFERROR(generateSalesData($D769, IF(ISNUMBER(_xlfn.XLOOKUP($C769,Phone_by_Sentiment!$B$2:$B$37,Phone_by_Sentiment!M$2:M$37,"",0,1)),_xlfn.XLOOKUP($C769,Phone_by_Sentiment!$B$2:$B$37,Phone_by_Sentiment!M$2:M$37,"",0,1),0),$A769-TEXT(DATEVALUE($D769&amp;"-01"), "dd-mm-yyyy")),0),0)</f>
        <v>0</v>
      </c>
      <c r="N769" cm="1">
        <f t="array" ref="N769">IF($Q769&gt;=0,IFERROR(generateSalesData($D769, IF(ISNUMBER(_xlfn.XLOOKUP($C769,Phone_by_Sentiment!$B$2:$B$37,Phone_by_Sentiment!N$2:N$37,"",0,1)),_xlfn.XLOOKUP($C769,Phone_by_Sentiment!$B$2:$B$37,Phone_by_Sentiment!N$2:N$37,"",0,1),0),$A769-TEXT(DATEVALUE($D769&amp;"-01"), "dd-mm-yyyy")),0),0)</f>
        <v>0</v>
      </c>
      <c r="O769" cm="1">
        <f t="array" ref="O769">IF($Q769&gt;=0,IFERROR(generateSalesData($D769, IF(ISNUMBER(_xlfn.XLOOKUP($C769,Phone_by_Sentiment!$B$2:$B$37,Phone_by_Sentiment!O$2:O$37,"",0,1)),_xlfn.XLOOKUP($C769,Phone_by_Sentiment!$B$2:$B$37,Phone_by_Sentiment!O$2:O$37,"",0,1),0),$A769-TEXT(DATEVALUE($D769&amp;"-01"), "dd-mm-yyyy")),0),0)</f>
        <v>0</v>
      </c>
      <c r="P769" s="1">
        <f t="shared" si="30"/>
        <v>44256</v>
      </c>
      <c r="Q769">
        <f t="shared" si="31"/>
        <v>-151</v>
      </c>
    </row>
    <row r="770" spans="1:17" x14ac:dyDescent="0.25">
      <c r="A770" s="1">
        <f t="shared" si="27"/>
        <v>44105</v>
      </c>
      <c r="B770" t="s">
        <v>150</v>
      </c>
      <c r="C770" t="str">
        <f>_xlfn.XLOOKUP(B770,Phone_by_Price!$A$2:$A$34,Phone_by_Price!$B$2:$B$34,"-",0,1)</f>
        <v>Vivo Y33s</v>
      </c>
      <c r="D770" t="str">
        <f>_xlfn.XLOOKUP(C770,Phone_by_Sentiment!$B$2:$B$37,Phone_by_Sentiment!$A$2:$A$37,"-",0,1)</f>
        <v>2021-05</v>
      </c>
      <c r="E770" cm="1">
        <f t="array" ref="E770">IF($Q770&gt;=0,IFERROR(generateSalesData($D770, IF(ISNUMBER(_xlfn.XLOOKUP($C770,Phone_by_Sentiment!$B$2:$B$37,Phone_by_Sentiment!E$2:E$37,"",0,1)),_xlfn.XLOOKUP($C770,Phone_by_Sentiment!$B$2:$B$37,Phone_by_Sentiment!E$2:E$37,"",0,1),0),$A770-TEXT(DATEVALUE($D770&amp;"-01"), "dd-mm-yyyy")),0),0)</f>
        <v>0</v>
      </c>
      <c r="F770" cm="1">
        <f t="array" ref="F770">IF($Q770&gt;=0,IFERROR(generateSalesData($D770, IF(ISNUMBER(_xlfn.XLOOKUP($C770,Phone_by_Sentiment!$B$2:$B$37,Phone_by_Sentiment!F$2:F$37,"",0,1)),_xlfn.XLOOKUP($C770,Phone_by_Sentiment!$B$2:$B$37,Phone_by_Sentiment!F$2:F$37,"",0,1),0),$A770-TEXT(DATEVALUE($D770&amp;"-01"), "dd-mm-yyyy")),0),0)</f>
        <v>0</v>
      </c>
      <c r="G770" cm="1">
        <f t="array" ref="G770">IF($Q770&gt;=0,IFERROR(generateSalesData($D770, IF(ISNUMBER(_xlfn.XLOOKUP($C770,Phone_by_Sentiment!$B$2:$B$37,Phone_by_Sentiment!G$2:G$37,"",0,1)),_xlfn.XLOOKUP($C770,Phone_by_Sentiment!$B$2:$B$37,Phone_by_Sentiment!G$2:G$37,"",0,1),0),$A770-TEXT(DATEVALUE($D770&amp;"-01"), "dd-mm-yyyy")),0),0)</f>
        <v>0</v>
      </c>
      <c r="H770" cm="1">
        <f t="array" ref="H770">IF($Q770&gt;=0,IFERROR(generateSalesData($D770, IF(ISNUMBER(_xlfn.XLOOKUP($C770,Phone_by_Sentiment!$B$2:$B$37,Phone_by_Sentiment!H$2:H$37,"",0,1)),_xlfn.XLOOKUP($C770,Phone_by_Sentiment!$B$2:$B$37,Phone_by_Sentiment!H$2:H$37,"",0,1),0),$A770-TEXT(DATEVALUE($D770&amp;"-01"), "dd-mm-yyyy")),0),0)</f>
        <v>0</v>
      </c>
      <c r="I770" cm="1">
        <f t="array" ref="I770">IF($Q770&gt;=0,IFERROR(generateSalesData($D770, IF(ISNUMBER(_xlfn.XLOOKUP($C770,Phone_by_Sentiment!$B$2:$B$37,Phone_by_Sentiment!I$2:I$37,"",0,1)),_xlfn.XLOOKUP($C770,Phone_by_Sentiment!$B$2:$B$37,Phone_by_Sentiment!I$2:I$37,"",0,1),0),$A770-TEXT(DATEVALUE($D770&amp;"-01"), "dd-mm-yyyy")),0),0)</f>
        <v>0</v>
      </c>
      <c r="J770" cm="1">
        <f t="array" ref="J770">IF($Q770&gt;=0,IFERROR(generateSalesData($D770, IF(ISNUMBER(_xlfn.XLOOKUP($C770,Phone_by_Sentiment!$B$2:$B$37,Phone_by_Sentiment!J$2:J$37,"",0,1)),_xlfn.XLOOKUP($C770,Phone_by_Sentiment!$B$2:$B$37,Phone_by_Sentiment!J$2:J$37,"",0,1),0),$A770-TEXT(DATEVALUE($D770&amp;"-01"), "dd-mm-yyyy")),0),0)</f>
        <v>0</v>
      </c>
      <c r="K770" cm="1">
        <f t="array" ref="K770">IF($Q770&gt;=0,IFERROR(generateSalesData($D770, IF(ISNUMBER(_xlfn.XLOOKUP($C770,Phone_by_Sentiment!$B$2:$B$37,Phone_by_Sentiment!K$2:K$37,"",0,1)),_xlfn.XLOOKUP($C770,Phone_by_Sentiment!$B$2:$B$37,Phone_by_Sentiment!K$2:K$37,"",0,1),0),$A770-TEXT(DATEVALUE($D770&amp;"-01"), "dd-mm-yyyy")),0),0)</f>
        <v>0</v>
      </c>
      <c r="L770" cm="1">
        <f t="array" ref="L770">IF($Q770&gt;=0,IFERROR(generateSalesData($D770, IF(ISNUMBER(_xlfn.XLOOKUP($C770,Phone_by_Sentiment!$B$2:$B$37,Phone_by_Sentiment!L$2:L$37,"",0,1)),_xlfn.XLOOKUP($C770,Phone_by_Sentiment!$B$2:$B$37,Phone_by_Sentiment!L$2:L$37,"",0,1),0),$A770-TEXT(DATEVALUE($D770&amp;"-01"), "dd-mm-yyyy")),0),0)</f>
        <v>0</v>
      </c>
      <c r="M770" cm="1">
        <f t="array" ref="M770">IF($Q770&gt;=0,IFERROR(generateSalesData($D770, IF(ISNUMBER(_xlfn.XLOOKUP($C770,Phone_by_Sentiment!$B$2:$B$37,Phone_by_Sentiment!M$2:M$37,"",0,1)),_xlfn.XLOOKUP($C770,Phone_by_Sentiment!$B$2:$B$37,Phone_by_Sentiment!M$2:M$37,"",0,1),0),$A770-TEXT(DATEVALUE($D770&amp;"-01"), "dd-mm-yyyy")),0),0)</f>
        <v>0</v>
      </c>
      <c r="N770" cm="1">
        <f t="array" ref="N770">IF($Q770&gt;=0,IFERROR(generateSalesData($D770, IF(ISNUMBER(_xlfn.XLOOKUP($C770,Phone_by_Sentiment!$B$2:$B$37,Phone_by_Sentiment!N$2:N$37,"",0,1)),_xlfn.XLOOKUP($C770,Phone_by_Sentiment!$B$2:$B$37,Phone_by_Sentiment!N$2:N$37,"",0,1),0),$A770-TEXT(DATEVALUE($D770&amp;"-01"), "dd-mm-yyyy")),0),0)</f>
        <v>0</v>
      </c>
      <c r="O770" cm="1">
        <f t="array" ref="O770">IF($Q770&gt;=0,IFERROR(generateSalesData($D770, IF(ISNUMBER(_xlfn.XLOOKUP($C770,Phone_by_Sentiment!$B$2:$B$37,Phone_by_Sentiment!O$2:O$37,"",0,1)),_xlfn.XLOOKUP($C770,Phone_by_Sentiment!$B$2:$B$37,Phone_by_Sentiment!O$2:O$37,"",0,1),0),$A770-TEXT(DATEVALUE($D770&amp;"-01"), "dd-mm-yyyy")),0),0)</f>
        <v>0</v>
      </c>
      <c r="P770" s="1">
        <f t="shared" si="30"/>
        <v>44317</v>
      </c>
      <c r="Q770">
        <f t="shared" si="31"/>
        <v>-212</v>
      </c>
    </row>
    <row r="771" spans="1:17" x14ac:dyDescent="0.25">
      <c r="A771" s="1">
        <f t="shared" si="27"/>
        <v>44136</v>
      </c>
      <c r="B771" t="s">
        <v>151</v>
      </c>
      <c r="C771" t="str">
        <f>_xlfn.XLOOKUP(B771,Phone_by_Price!$A$2:$A$34,Phone_by_Price!$B$2:$B$34,"-",0,1)</f>
        <v>Vivo Y11s</v>
      </c>
      <c r="D771" t="str">
        <f>_xlfn.XLOOKUP(C771,Phone_by_Sentiment!$B$2:$B$37,Phone_by_Sentiment!$A$2:$A$37,"-",0,1)</f>
        <v>2020-11</v>
      </c>
      <c r="E771" cm="1">
        <f t="array" ref="E771">IF($Q771&gt;=0,IFERROR(generateSalesData($D771, IF(ISNUMBER(_xlfn.XLOOKUP($C771,Phone_by_Sentiment!$B$2:$B$37,Phone_by_Sentiment!E$2:E$37,"",0,1)),_xlfn.XLOOKUP($C771,Phone_by_Sentiment!$B$2:$B$37,Phone_by_Sentiment!E$2:E$37,"",0,1),0),$A771-TEXT(DATEVALUE($D771&amp;"-01"), "dd-mm-yyyy")),0),0)</f>
        <v>3344</v>
      </c>
      <c r="F771" cm="1">
        <f t="array" ref="F771">IF($Q771&gt;=0,IFERROR(generateSalesData($D771, IF(ISNUMBER(_xlfn.XLOOKUP($C771,Phone_by_Sentiment!$B$2:$B$37,Phone_by_Sentiment!F$2:F$37,"",0,1)),_xlfn.XLOOKUP($C771,Phone_by_Sentiment!$B$2:$B$37,Phone_by_Sentiment!F$2:F$37,"",0,1),0),$A771-TEXT(DATEVALUE($D771&amp;"-01"), "dd-mm-yyyy")),0),0)</f>
        <v>2648</v>
      </c>
      <c r="G771" cm="1">
        <f t="array" ref="G771">IF($Q771&gt;=0,IFERROR(generateSalesData($D771, IF(ISNUMBER(_xlfn.XLOOKUP($C771,Phone_by_Sentiment!$B$2:$B$37,Phone_by_Sentiment!G$2:G$37,"",0,1)),_xlfn.XLOOKUP($C771,Phone_by_Sentiment!$B$2:$B$37,Phone_by_Sentiment!G$2:G$37,"",0,1),0),$A771-TEXT(DATEVALUE($D771&amp;"-01"), "dd-mm-yyyy")),0),0)</f>
        <v>2281</v>
      </c>
      <c r="H771" cm="1">
        <f t="array" ref="H771">IF($Q771&gt;=0,IFERROR(generateSalesData($D771, IF(ISNUMBER(_xlfn.XLOOKUP($C771,Phone_by_Sentiment!$B$2:$B$37,Phone_by_Sentiment!H$2:H$37,"",0,1)),_xlfn.XLOOKUP($C771,Phone_by_Sentiment!$B$2:$B$37,Phone_by_Sentiment!H$2:H$37,"",0,1),0),$A771-TEXT(DATEVALUE($D771&amp;"-01"), "dd-mm-yyyy")),0),0)</f>
        <v>2047</v>
      </c>
      <c r="I771" cm="1">
        <f t="array" ref="I771">IF($Q771&gt;=0,IFERROR(generateSalesData($D771, IF(ISNUMBER(_xlfn.XLOOKUP($C771,Phone_by_Sentiment!$B$2:$B$37,Phone_by_Sentiment!I$2:I$37,"",0,1)),_xlfn.XLOOKUP($C771,Phone_by_Sentiment!$B$2:$B$37,Phone_by_Sentiment!I$2:I$37,"",0,1),0),$A771-TEXT(DATEVALUE($D771&amp;"-01"), "dd-mm-yyyy")),0),0)</f>
        <v>9966</v>
      </c>
      <c r="J771" cm="1">
        <f t="array" ref="J771">IF($Q771&gt;=0,IFERROR(generateSalesData($D771, IF(ISNUMBER(_xlfn.XLOOKUP($C771,Phone_by_Sentiment!$B$2:$B$37,Phone_by_Sentiment!J$2:J$37,"",0,1)),_xlfn.XLOOKUP($C771,Phone_by_Sentiment!$B$2:$B$37,Phone_by_Sentiment!J$2:J$37,"",0,1),0),$A771-TEXT(DATEVALUE($D771&amp;"-01"), "dd-mm-yyyy")),0),0)</f>
        <v>1824</v>
      </c>
      <c r="K771" cm="1">
        <f t="array" ref="K771">IF($Q771&gt;=0,IFERROR(generateSalesData($D771, IF(ISNUMBER(_xlfn.XLOOKUP($C771,Phone_by_Sentiment!$B$2:$B$37,Phone_by_Sentiment!K$2:K$37,"",0,1)),_xlfn.XLOOKUP($C771,Phone_by_Sentiment!$B$2:$B$37,Phone_by_Sentiment!K$2:K$37,"",0,1),0),$A771-TEXT(DATEVALUE($D771&amp;"-01"), "dd-mm-yyyy")),0),0)</f>
        <v>2699</v>
      </c>
      <c r="L771" cm="1">
        <f t="array" ref="L771">IF($Q771&gt;=0,IFERROR(generateSalesData($D771, IF(ISNUMBER(_xlfn.XLOOKUP($C771,Phone_by_Sentiment!$B$2:$B$37,Phone_by_Sentiment!L$2:L$37,"",0,1)),_xlfn.XLOOKUP($C771,Phone_by_Sentiment!$B$2:$B$37,Phone_by_Sentiment!L$2:L$37,"",0,1),0),$A771-TEXT(DATEVALUE($D771&amp;"-01"), "dd-mm-yyyy")),0),0)</f>
        <v>3297</v>
      </c>
      <c r="M771" cm="1">
        <f t="array" ref="M771">IF($Q771&gt;=0,IFERROR(generateSalesData($D771, IF(ISNUMBER(_xlfn.XLOOKUP($C771,Phone_by_Sentiment!$B$2:$B$37,Phone_by_Sentiment!M$2:M$37,"",0,1)),_xlfn.XLOOKUP($C771,Phone_by_Sentiment!$B$2:$B$37,Phone_by_Sentiment!M$2:M$37,"",0,1),0),$A771-TEXT(DATEVALUE($D771&amp;"-01"), "dd-mm-yyyy")),0),0)</f>
        <v>6678</v>
      </c>
      <c r="N771" cm="1">
        <f t="array" ref="N771">IF($Q771&gt;=0,IFERROR(generateSalesData($D771, IF(ISNUMBER(_xlfn.XLOOKUP($C771,Phone_by_Sentiment!$B$2:$B$37,Phone_by_Sentiment!N$2:N$37,"",0,1)),_xlfn.XLOOKUP($C771,Phone_by_Sentiment!$B$2:$B$37,Phone_by_Sentiment!N$2:N$37,"",0,1),0),$A771-TEXT(DATEVALUE($D771&amp;"-01"), "dd-mm-yyyy")),0),0)</f>
        <v>2543</v>
      </c>
      <c r="O771" cm="1">
        <f t="array" ref="O771">IF($Q771&gt;=0,IFERROR(generateSalesData($D771, IF(ISNUMBER(_xlfn.XLOOKUP($C771,Phone_by_Sentiment!$B$2:$B$37,Phone_by_Sentiment!O$2:O$37,"",0,1)),_xlfn.XLOOKUP($C771,Phone_by_Sentiment!$B$2:$B$37,Phone_by_Sentiment!O$2:O$37,"",0,1),0),$A771-TEXT(DATEVALUE($D771&amp;"-01"), "dd-mm-yyyy")),0),0)</f>
        <v>2205</v>
      </c>
      <c r="P771" s="1">
        <f t="shared" si="30"/>
        <v>44136</v>
      </c>
      <c r="Q771">
        <f t="shared" si="31"/>
        <v>0</v>
      </c>
    </row>
    <row r="772" spans="1:17" x14ac:dyDescent="0.25">
      <c r="A772" s="1">
        <f t="shared" si="27"/>
        <v>44136</v>
      </c>
      <c r="B772" t="s">
        <v>152</v>
      </c>
      <c r="C772" t="str">
        <f>_xlfn.XLOOKUP(B772,Phone_by_Price!$A$2:$A$34,Phone_by_Price!$B$2:$B$34,"-",0,1)</f>
        <v>Huawei Nova 7i</v>
      </c>
      <c r="D772" t="str">
        <f>_xlfn.XLOOKUP(C772,Phone_by_Sentiment!$B$2:$B$37,Phone_by_Sentiment!$A$2:$A$37,"-",0,1)</f>
        <v>2020-02</v>
      </c>
      <c r="E772" cm="1">
        <f t="array" ref="E772">IF($Q772&gt;=0,IFERROR(generateSalesData($D772, IF(ISNUMBER(_xlfn.XLOOKUP($C772,Phone_by_Sentiment!$B$2:$B$37,Phone_by_Sentiment!E$2:E$37,"",0,1)),_xlfn.XLOOKUP($C772,Phone_by_Sentiment!$B$2:$B$37,Phone_by_Sentiment!E$2:E$37,"",0,1),0),$A772-TEXT(DATEVALUE($D772&amp;"-01"), "dd-mm-yyyy")),0),0)</f>
        <v>273</v>
      </c>
      <c r="F772" cm="1">
        <f t="array" ref="F772">IF($Q772&gt;=0,IFERROR(generateSalesData($D772, IF(ISNUMBER(_xlfn.XLOOKUP($C772,Phone_by_Sentiment!$B$2:$B$37,Phone_by_Sentiment!F$2:F$37,"",0,1)),_xlfn.XLOOKUP($C772,Phone_by_Sentiment!$B$2:$B$37,Phone_by_Sentiment!F$2:F$37,"",0,1),0),$A772-TEXT(DATEVALUE($D772&amp;"-01"), "dd-mm-yyyy")),0),0)</f>
        <v>198</v>
      </c>
      <c r="G772" cm="1">
        <f t="array" ref="G772">IF($Q772&gt;=0,IFERROR(generateSalesData($D772, IF(ISNUMBER(_xlfn.XLOOKUP($C772,Phone_by_Sentiment!$B$2:$B$37,Phone_by_Sentiment!G$2:G$37,"",0,1)),_xlfn.XLOOKUP($C772,Phone_by_Sentiment!$B$2:$B$37,Phone_by_Sentiment!G$2:G$37,"",0,1),0),$A772-TEXT(DATEVALUE($D772&amp;"-01"), "dd-mm-yyyy")),0),0)</f>
        <v>456</v>
      </c>
      <c r="H772" cm="1">
        <f t="array" ref="H772">IF($Q772&gt;=0,IFERROR(generateSalesData($D772, IF(ISNUMBER(_xlfn.XLOOKUP($C772,Phone_by_Sentiment!$B$2:$B$37,Phone_by_Sentiment!H$2:H$37,"",0,1)),_xlfn.XLOOKUP($C772,Phone_by_Sentiment!$B$2:$B$37,Phone_by_Sentiment!H$2:H$37,"",0,1),0),$A772-TEXT(DATEVALUE($D772&amp;"-01"), "dd-mm-yyyy")),0),0)</f>
        <v>530</v>
      </c>
      <c r="I772" cm="1">
        <f t="array" ref="I772">IF($Q772&gt;=0,IFERROR(generateSalesData($D772, IF(ISNUMBER(_xlfn.XLOOKUP($C772,Phone_by_Sentiment!$B$2:$B$37,Phone_by_Sentiment!I$2:I$37,"",0,1)),_xlfn.XLOOKUP($C772,Phone_by_Sentiment!$B$2:$B$37,Phone_by_Sentiment!I$2:I$37,"",0,1),0),$A772-TEXT(DATEVALUE($D772&amp;"-01"), "dd-mm-yyyy")),0),0)</f>
        <v>277</v>
      </c>
      <c r="J772" cm="1">
        <f t="array" ref="J772">IF($Q772&gt;=0,IFERROR(generateSalesData($D772, IF(ISNUMBER(_xlfn.XLOOKUP($C772,Phone_by_Sentiment!$B$2:$B$37,Phone_by_Sentiment!J$2:J$37,"",0,1)),_xlfn.XLOOKUP($C772,Phone_by_Sentiment!$B$2:$B$37,Phone_by_Sentiment!J$2:J$37,"",0,1),0),$A772-TEXT(DATEVALUE($D772&amp;"-01"), "dd-mm-yyyy")),0),0)</f>
        <v>383</v>
      </c>
      <c r="K772" cm="1">
        <f t="array" ref="K772">IF($Q772&gt;=0,IFERROR(generateSalesData($D772, IF(ISNUMBER(_xlfn.XLOOKUP($C772,Phone_by_Sentiment!$B$2:$B$37,Phone_by_Sentiment!K$2:K$37,"",0,1)),_xlfn.XLOOKUP($C772,Phone_by_Sentiment!$B$2:$B$37,Phone_by_Sentiment!K$2:K$37,"",0,1),0),$A772-TEXT(DATEVALUE($D772&amp;"-01"), "dd-mm-yyyy")),0),0)</f>
        <v>123</v>
      </c>
      <c r="L772" cm="1">
        <f t="array" ref="L772">IF($Q772&gt;=0,IFERROR(generateSalesData($D772, IF(ISNUMBER(_xlfn.XLOOKUP($C772,Phone_by_Sentiment!$B$2:$B$37,Phone_by_Sentiment!L$2:L$37,"",0,1)),_xlfn.XLOOKUP($C772,Phone_by_Sentiment!$B$2:$B$37,Phone_by_Sentiment!L$2:L$37,"",0,1),0),$A772-TEXT(DATEVALUE($D772&amp;"-01"), "dd-mm-yyyy")),0),0)</f>
        <v>78</v>
      </c>
      <c r="M772" cm="1">
        <f t="array" ref="M772">IF($Q772&gt;=0,IFERROR(generateSalesData($D772, IF(ISNUMBER(_xlfn.XLOOKUP($C772,Phone_by_Sentiment!$B$2:$B$37,Phone_by_Sentiment!M$2:M$37,"",0,1)),_xlfn.XLOOKUP($C772,Phone_by_Sentiment!$B$2:$B$37,Phone_by_Sentiment!M$2:M$37,"",0,1),0),$A772-TEXT(DATEVALUE($D772&amp;"-01"), "dd-mm-yyyy")),0),0)</f>
        <v>139</v>
      </c>
      <c r="N772" cm="1">
        <f t="array" ref="N772">IF($Q772&gt;=0,IFERROR(generateSalesData($D772, IF(ISNUMBER(_xlfn.XLOOKUP($C772,Phone_by_Sentiment!$B$2:$B$37,Phone_by_Sentiment!N$2:N$37,"",0,1)),_xlfn.XLOOKUP($C772,Phone_by_Sentiment!$B$2:$B$37,Phone_by_Sentiment!N$2:N$37,"",0,1),0),$A772-TEXT(DATEVALUE($D772&amp;"-01"), "dd-mm-yyyy")),0),0)</f>
        <v>271</v>
      </c>
      <c r="O772" cm="1">
        <f t="array" ref="O772">IF($Q772&gt;=0,IFERROR(generateSalesData($D772, IF(ISNUMBER(_xlfn.XLOOKUP($C772,Phone_by_Sentiment!$B$2:$B$37,Phone_by_Sentiment!O$2:O$37,"",0,1)),_xlfn.XLOOKUP($C772,Phone_by_Sentiment!$B$2:$B$37,Phone_by_Sentiment!O$2:O$37,"",0,1),0),$A772-TEXT(DATEVALUE($D772&amp;"-01"), "dd-mm-yyyy")),0),0)</f>
        <v>175</v>
      </c>
      <c r="P772" s="1">
        <f t="shared" ref="P772:P835" si="32">DATEVALUE($D772&amp;"-01")</f>
        <v>43862</v>
      </c>
      <c r="Q772">
        <f t="shared" ref="Q772:Q835" si="33">A772-P772</f>
        <v>274</v>
      </c>
    </row>
    <row r="773" spans="1:17" x14ac:dyDescent="0.25">
      <c r="A773" s="1">
        <f t="shared" si="27"/>
        <v>44136</v>
      </c>
      <c r="B773" t="s">
        <v>153</v>
      </c>
      <c r="C773" t="str">
        <f>_xlfn.XLOOKUP(B773,Phone_by_Price!$A$2:$A$34,Phone_by_Price!$B$2:$B$34,"-",0,1)</f>
        <v>iPhone 13</v>
      </c>
      <c r="D773" t="str">
        <f>_xlfn.XLOOKUP(C773,Phone_by_Sentiment!$B$2:$B$37,Phone_by_Sentiment!$A$2:$A$37,"-",0,1)</f>
        <v>2021-09</v>
      </c>
      <c r="E773" cm="1">
        <f t="array" ref="E773">IF($Q773&gt;=0,IFERROR(generateSalesData($D773, IF(ISNUMBER(_xlfn.XLOOKUP($C773,Phone_by_Sentiment!$B$2:$B$37,Phone_by_Sentiment!E$2:E$37,"",0,1)),_xlfn.XLOOKUP($C773,Phone_by_Sentiment!$B$2:$B$37,Phone_by_Sentiment!E$2:E$37,"",0,1),0),$A773-TEXT(DATEVALUE($D773&amp;"-01"), "dd-mm-yyyy")),0),0)</f>
        <v>0</v>
      </c>
      <c r="F773" cm="1">
        <f t="array" ref="F773">IF($Q773&gt;=0,IFERROR(generateSalesData($D773, IF(ISNUMBER(_xlfn.XLOOKUP($C773,Phone_by_Sentiment!$B$2:$B$37,Phone_by_Sentiment!F$2:F$37,"",0,1)),_xlfn.XLOOKUP($C773,Phone_by_Sentiment!$B$2:$B$37,Phone_by_Sentiment!F$2:F$37,"",0,1),0),$A773-TEXT(DATEVALUE($D773&amp;"-01"), "dd-mm-yyyy")),0),0)</f>
        <v>0</v>
      </c>
      <c r="G773" cm="1">
        <f t="array" ref="G773">IF($Q773&gt;=0,IFERROR(generateSalesData($D773, IF(ISNUMBER(_xlfn.XLOOKUP($C773,Phone_by_Sentiment!$B$2:$B$37,Phone_by_Sentiment!G$2:G$37,"",0,1)),_xlfn.XLOOKUP($C773,Phone_by_Sentiment!$B$2:$B$37,Phone_by_Sentiment!G$2:G$37,"",0,1),0),$A773-TEXT(DATEVALUE($D773&amp;"-01"), "dd-mm-yyyy")),0),0)</f>
        <v>0</v>
      </c>
      <c r="H773" cm="1">
        <f t="array" ref="H773">IF($Q773&gt;=0,IFERROR(generateSalesData($D773, IF(ISNUMBER(_xlfn.XLOOKUP($C773,Phone_by_Sentiment!$B$2:$B$37,Phone_by_Sentiment!H$2:H$37,"",0,1)),_xlfn.XLOOKUP($C773,Phone_by_Sentiment!$B$2:$B$37,Phone_by_Sentiment!H$2:H$37,"",0,1),0),$A773-TEXT(DATEVALUE($D773&amp;"-01"), "dd-mm-yyyy")),0),0)</f>
        <v>0</v>
      </c>
      <c r="I773" cm="1">
        <f t="array" ref="I773">IF($Q773&gt;=0,IFERROR(generateSalesData($D773, IF(ISNUMBER(_xlfn.XLOOKUP($C773,Phone_by_Sentiment!$B$2:$B$37,Phone_by_Sentiment!I$2:I$37,"",0,1)),_xlfn.XLOOKUP($C773,Phone_by_Sentiment!$B$2:$B$37,Phone_by_Sentiment!I$2:I$37,"",0,1),0),$A773-TEXT(DATEVALUE($D773&amp;"-01"), "dd-mm-yyyy")),0),0)</f>
        <v>0</v>
      </c>
      <c r="J773" cm="1">
        <f t="array" ref="J773">IF($Q773&gt;=0,IFERROR(generateSalesData($D773, IF(ISNUMBER(_xlfn.XLOOKUP($C773,Phone_by_Sentiment!$B$2:$B$37,Phone_by_Sentiment!J$2:J$37,"",0,1)),_xlfn.XLOOKUP($C773,Phone_by_Sentiment!$B$2:$B$37,Phone_by_Sentiment!J$2:J$37,"",0,1),0),$A773-TEXT(DATEVALUE($D773&amp;"-01"), "dd-mm-yyyy")),0),0)</f>
        <v>0</v>
      </c>
      <c r="K773" cm="1">
        <f t="array" ref="K773">IF($Q773&gt;=0,IFERROR(generateSalesData($D773, IF(ISNUMBER(_xlfn.XLOOKUP($C773,Phone_by_Sentiment!$B$2:$B$37,Phone_by_Sentiment!K$2:K$37,"",0,1)),_xlfn.XLOOKUP($C773,Phone_by_Sentiment!$B$2:$B$37,Phone_by_Sentiment!K$2:K$37,"",0,1),0),$A773-TEXT(DATEVALUE($D773&amp;"-01"), "dd-mm-yyyy")),0),0)</f>
        <v>0</v>
      </c>
      <c r="L773" cm="1">
        <f t="array" ref="L773">IF($Q773&gt;=0,IFERROR(generateSalesData($D773, IF(ISNUMBER(_xlfn.XLOOKUP($C773,Phone_by_Sentiment!$B$2:$B$37,Phone_by_Sentiment!L$2:L$37,"",0,1)),_xlfn.XLOOKUP($C773,Phone_by_Sentiment!$B$2:$B$37,Phone_by_Sentiment!L$2:L$37,"",0,1),0),$A773-TEXT(DATEVALUE($D773&amp;"-01"), "dd-mm-yyyy")),0),0)</f>
        <v>0</v>
      </c>
      <c r="M773" cm="1">
        <f t="array" ref="M773">IF($Q773&gt;=0,IFERROR(generateSalesData($D773, IF(ISNUMBER(_xlfn.XLOOKUP($C773,Phone_by_Sentiment!$B$2:$B$37,Phone_by_Sentiment!M$2:M$37,"",0,1)),_xlfn.XLOOKUP($C773,Phone_by_Sentiment!$B$2:$B$37,Phone_by_Sentiment!M$2:M$37,"",0,1),0),$A773-TEXT(DATEVALUE($D773&amp;"-01"), "dd-mm-yyyy")),0),0)</f>
        <v>0</v>
      </c>
      <c r="N773" cm="1">
        <f t="array" ref="N773">IF($Q773&gt;=0,IFERROR(generateSalesData($D773, IF(ISNUMBER(_xlfn.XLOOKUP($C773,Phone_by_Sentiment!$B$2:$B$37,Phone_by_Sentiment!N$2:N$37,"",0,1)),_xlfn.XLOOKUP($C773,Phone_by_Sentiment!$B$2:$B$37,Phone_by_Sentiment!N$2:N$37,"",0,1),0),$A773-TEXT(DATEVALUE($D773&amp;"-01"), "dd-mm-yyyy")),0),0)</f>
        <v>0</v>
      </c>
      <c r="O773" cm="1">
        <f t="array" ref="O773">IF($Q773&gt;=0,IFERROR(generateSalesData($D773, IF(ISNUMBER(_xlfn.XLOOKUP($C773,Phone_by_Sentiment!$B$2:$B$37,Phone_by_Sentiment!O$2:O$37,"",0,1)),_xlfn.XLOOKUP($C773,Phone_by_Sentiment!$B$2:$B$37,Phone_by_Sentiment!O$2:O$37,"",0,1),0),$A773-TEXT(DATEVALUE($D773&amp;"-01"), "dd-mm-yyyy")),0),0)</f>
        <v>0</v>
      </c>
      <c r="P773" s="1">
        <f t="shared" si="32"/>
        <v>44440</v>
      </c>
      <c r="Q773">
        <f t="shared" si="33"/>
        <v>-304</v>
      </c>
    </row>
    <row r="774" spans="1:17" x14ac:dyDescent="0.25">
      <c r="A774" s="1">
        <f t="shared" si="27"/>
        <v>44136</v>
      </c>
      <c r="B774" t="s">
        <v>154</v>
      </c>
      <c r="C774" t="str">
        <f>_xlfn.XLOOKUP(B774,Phone_by_Price!$A$2:$A$34,Phone_by_Price!$B$2:$B$34,"-",0,1)</f>
        <v>Samsung Galaxy S21</v>
      </c>
      <c r="D774" t="str">
        <f>_xlfn.XLOOKUP(C774,Phone_by_Sentiment!$B$2:$B$37,Phone_by_Sentiment!$A$2:$A$37,"-",0,1)</f>
        <v>2021-01</v>
      </c>
      <c r="E774" cm="1">
        <f t="array" ref="E774">IF($Q774&gt;=0,IFERROR(generateSalesData($D774, IF(ISNUMBER(_xlfn.XLOOKUP($C774,Phone_by_Sentiment!$B$2:$B$37,Phone_by_Sentiment!E$2:E$37,"",0,1)),_xlfn.XLOOKUP($C774,Phone_by_Sentiment!$B$2:$B$37,Phone_by_Sentiment!E$2:E$37,"",0,1),0),$A774-TEXT(DATEVALUE($D774&amp;"-01"), "dd-mm-yyyy")),0),0)</f>
        <v>0</v>
      </c>
      <c r="F774" cm="1">
        <f t="array" ref="F774">IF($Q774&gt;=0,IFERROR(generateSalesData($D774, IF(ISNUMBER(_xlfn.XLOOKUP($C774,Phone_by_Sentiment!$B$2:$B$37,Phone_by_Sentiment!F$2:F$37,"",0,1)),_xlfn.XLOOKUP($C774,Phone_by_Sentiment!$B$2:$B$37,Phone_by_Sentiment!F$2:F$37,"",0,1),0),$A774-TEXT(DATEVALUE($D774&amp;"-01"), "dd-mm-yyyy")),0),0)</f>
        <v>0</v>
      </c>
      <c r="G774" cm="1">
        <f t="array" ref="G774">IF($Q774&gt;=0,IFERROR(generateSalesData($D774, IF(ISNUMBER(_xlfn.XLOOKUP($C774,Phone_by_Sentiment!$B$2:$B$37,Phone_by_Sentiment!G$2:G$37,"",0,1)),_xlfn.XLOOKUP($C774,Phone_by_Sentiment!$B$2:$B$37,Phone_by_Sentiment!G$2:G$37,"",0,1),0),$A774-TEXT(DATEVALUE($D774&amp;"-01"), "dd-mm-yyyy")),0),0)</f>
        <v>0</v>
      </c>
      <c r="H774" cm="1">
        <f t="array" ref="H774">IF($Q774&gt;=0,IFERROR(generateSalesData($D774, IF(ISNUMBER(_xlfn.XLOOKUP($C774,Phone_by_Sentiment!$B$2:$B$37,Phone_by_Sentiment!H$2:H$37,"",0,1)),_xlfn.XLOOKUP($C774,Phone_by_Sentiment!$B$2:$B$37,Phone_by_Sentiment!H$2:H$37,"",0,1),0),$A774-TEXT(DATEVALUE($D774&amp;"-01"), "dd-mm-yyyy")),0),0)</f>
        <v>0</v>
      </c>
      <c r="I774" cm="1">
        <f t="array" ref="I774">IF($Q774&gt;=0,IFERROR(generateSalesData($D774, IF(ISNUMBER(_xlfn.XLOOKUP($C774,Phone_by_Sentiment!$B$2:$B$37,Phone_by_Sentiment!I$2:I$37,"",0,1)),_xlfn.XLOOKUP($C774,Phone_by_Sentiment!$B$2:$B$37,Phone_by_Sentiment!I$2:I$37,"",0,1),0),$A774-TEXT(DATEVALUE($D774&amp;"-01"), "dd-mm-yyyy")),0),0)</f>
        <v>0</v>
      </c>
      <c r="J774" cm="1">
        <f t="array" ref="J774">IF($Q774&gt;=0,IFERROR(generateSalesData($D774, IF(ISNUMBER(_xlfn.XLOOKUP($C774,Phone_by_Sentiment!$B$2:$B$37,Phone_by_Sentiment!J$2:J$37,"",0,1)),_xlfn.XLOOKUP($C774,Phone_by_Sentiment!$B$2:$B$37,Phone_by_Sentiment!J$2:J$37,"",0,1),0),$A774-TEXT(DATEVALUE($D774&amp;"-01"), "dd-mm-yyyy")),0),0)</f>
        <v>0</v>
      </c>
      <c r="K774" cm="1">
        <f t="array" ref="K774">IF($Q774&gt;=0,IFERROR(generateSalesData($D774, IF(ISNUMBER(_xlfn.XLOOKUP($C774,Phone_by_Sentiment!$B$2:$B$37,Phone_by_Sentiment!K$2:K$37,"",0,1)),_xlfn.XLOOKUP($C774,Phone_by_Sentiment!$B$2:$B$37,Phone_by_Sentiment!K$2:K$37,"",0,1),0),$A774-TEXT(DATEVALUE($D774&amp;"-01"), "dd-mm-yyyy")),0),0)</f>
        <v>0</v>
      </c>
      <c r="L774" cm="1">
        <f t="array" ref="L774">IF($Q774&gt;=0,IFERROR(generateSalesData($D774, IF(ISNUMBER(_xlfn.XLOOKUP($C774,Phone_by_Sentiment!$B$2:$B$37,Phone_by_Sentiment!L$2:L$37,"",0,1)),_xlfn.XLOOKUP($C774,Phone_by_Sentiment!$B$2:$B$37,Phone_by_Sentiment!L$2:L$37,"",0,1),0),$A774-TEXT(DATEVALUE($D774&amp;"-01"), "dd-mm-yyyy")),0),0)</f>
        <v>0</v>
      </c>
      <c r="M774" cm="1">
        <f t="array" ref="M774">IF($Q774&gt;=0,IFERROR(generateSalesData($D774, IF(ISNUMBER(_xlfn.XLOOKUP($C774,Phone_by_Sentiment!$B$2:$B$37,Phone_by_Sentiment!M$2:M$37,"",0,1)),_xlfn.XLOOKUP($C774,Phone_by_Sentiment!$B$2:$B$37,Phone_by_Sentiment!M$2:M$37,"",0,1),0),$A774-TEXT(DATEVALUE($D774&amp;"-01"), "dd-mm-yyyy")),0),0)</f>
        <v>0</v>
      </c>
      <c r="N774" cm="1">
        <f t="array" ref="N774">IF($Q774&gt;=0,IFERROR(generateSalesData($D774, IF(ISNUMBER(_xlfn.XLOOKUP($C774,Phone_by_Sentiment!$B$2:$B$37,Phone_by_Sentiment!N$2:N$37,"",0,1)),_xlfn.XLOOKUP($C774,Phone_by_Sentiment!$B$2:$B$37,Phone_by_Sentiment!N$2:N$37,"",0,1),0),$A774-TEXT(DATEVALUE($D774&amp;"-01"), "dd-mm-yyyy")),0),0)</f>
        <v>0</v>
      </c>
      <c r="O774" cm="1">
        <f t="array" ref="O774">IF($Q774&gt;=0,IFERROR(generateSalesData($D774, IF(ISNUMBER(_xlfn.XLOOKUP($C774,Phone_by_Sentiment!$B$2:$B$37,Phone_by_Sentiment!O$2:O$37,"",0,1)),_xlfn.XLOOKUP($C774,Phone_by_Sentiment!$B$2:$B$37,Phone_by_Sentiment!O$2:O$37,"",0,1),0),$A774-TEXT(DATEVALUE($D774&amp;"-01"), "dd-mm-yyyy")),0),0)</f>
        <v>0</v>
      </c>
      <c r="P774" s="1">
        <f t="shared" si="32"/>
        <v>44197</v>
      </c>
      <c r="Q774">
        <f t="shared" si="33"/>
        <v>-61</v>
      </c>
    </row>
    <row r="775" spans="1:17" x14ac:dyDescent="0.25">
      <c r="A775" s="1">
        <f t="shared" si="27"/>
        <v>44136</v>
      </c>
      <c r="B775" t="s">
        <v>155</v>
      </c>
      <c r="C775" t="str">
        <f>_xlfn.XLOOKUP(B775,Phone_by_Price!$A$2:$A$34,Phone_by_Price!$B$2:$B$34,"-",0,1)</f>
        <v>Google Pixel 6</v>
      </c>
      <c r="D775" t="str">
        <f>_xlfn.XLOOKUP(C775,Phone_by_Sentiment!$B$2:$B$37,Phone_by_Sentiment!$A$2:$A$37,"-",0,1)</f>
        <v>2021-10</v>
      </c>
      <c r="E775" cm="1">
        <f t="array" ref="E775">IF($Q775&gt;=0,IFERROR(generateSalesData($D775, IF(ISNUMBER(_xlfn.XLOOKUP($C775,Phone_by_Sentiment!$B$2:$B$37,Phone_by_Sentiment!E$2:E$37,"",0,1)),_xlfn.XLOOKUP($C775,Phone_by_Sentiment!$B$2:$B$37,Phone_by_Sentiment!E$2:E$37,"",0,1),0),$A775-TEXT(DATEVALUE($D775&amp;"-01"), "dd-mm-yyyy")),0),0)</f>
        <v>0</v>
      </c>
      <c r="F775" cm="1">
        <f t="array" ref="F775">IF($Q775&gt;=0,IFERROR(generateSalesData($D775, IF(ISNUMBER(_xlfn.XLOOKUP($C775,Phone_by_Sentiment!$B$2:$B$37,Phone_by_Sentiment!F$2:F$37,"",0,1)),_xlfn.XLOOKUP($C775,Phone_by_Sentiment!$B$2:$B$37,Phone_by_Sentiment!F$2:F$37,"",0,1),0),$A775-TEXT(DATEVALUE($D775&amp;"-01"), "dd-mm-yyyy")),0),0)</f>
        <v>0</v>
      </c>
      <c r="G775" cm="1">
        <f t="array" ref="G775">IF($Q775&gt;=0,IFERROR(generateSalesData($D775, IF(ISNUMBER(_xlfn.XLOOKUP($C775,Phone_by_Sentiment!$B$2:$B$37,Phone_by_Sentiment!G$2:G$37,"",0,1)),_xlfn.XLOOKUP($C775,Phone_by_Sentiment!$B$2:$B$37,Phone_by_Sentiment!G$2:G$37,"",0,1),0),$A775-TEXT(DATEVALUE($D775&amp;"-01"), "dd-mm-yyyy")),0),0)</f>
        <v>0</v>
      </c>
      <c r="H775" cm="1">
        <f t="array" ref="H775">IF($Q775&gt;=0,IFERROR(generateSalesData($D775, IF(ISNUMBER(_xlfn.XLOOKUP($C775,Phone_by_Sentiment!$B$2:$B$37,Phone_by_Sentiment!H$2:H$37,"",0,1)),_xlfn.XLOOKUP($C775,Phone_by_Sentiment!$B$2:$B$37,Phone_by_Sentiment!H$2:H$37,"",0,1),0),$A775-TEXT(DATEVALUE($D775&amp;"-01"), "dd-mm-yyyy")),0),0)</f>
        <v>0</v>
      </c>
      <c r="I775" cm="1">
        <f t="array" ref="I775">IF($Q775&gt;=0,IFERROR(generateSalesData($D775, IF(ISNUMBER(_xlfn.XLOOKUP($C775,Phone_by_Sentiment!$B$2:$B$37,Phone_by_Sentiment!I$2:I$37,"",0,1)),_xlfn.XLOOKUP($C775,Phone_by_Sentiment!$B$2:$B$37,Phone_by_Sentiment!I$2:I$37,"",0,1),0),$A775-TEXT(DATEVALUE($D775&amp;"-01"), "dd-mm-yyyy")),0),0)</f>
        <v>0</v>
      </c>
      <c r="J775" cm="1">
        <f t="array" ref="J775">IF($Q775&gt;=0,IFERROR(generateSalesData($D775, IF(ISNUMBER(_xlfn.XLOOKUP($C775,Phone_by_Sentiment!$B$2:$B$37,Phone_by_Sentiment!J$2:J$37,"",0,1)),_xlfn.XLOOKUP($C775,Phone_by_Sentiment!$B$2:$B$37,Phone_by_Sentiment!J$2:J$37,"",0,1),0),$A775-TEXT(DATEVALUE($D775&amp;"-01"), "dd-mm-yyyy")),0),0)</f>
        <v>0</v>
      </c>
      <c r="K775" cm="1">
        <f t="array" ref="K775">IF($Q775&gt;=0,IFERROR(generateSalesData($D775, IF(ISNUMBER(_xlfn.XLOOKUP($C775,Phone_by_Sentiment!$B$2:$B$37,Phone_by_Sentiment!K$2:K$37,"",0,1)),_xlfn.XLOOKUP($C775,Phone_by_Sentiment!$B$2:$B$37,Phone_by_Sentiment!K$2:K$37,"",0,1),0),$A775-TEXT(DATEVALUE($D775&amp;"-01"), "dd-mm-yyyy")),0),0)</f>
        <v>0</v>
      </c>
      <c r="L775" cm="1">
        <f t="array" ref="L775">IF($Q775&gt;=0,IFERROR(generateSalesData($D775, IF(ISNUMBER(_xlfn.XLOOKUP($C775,Phone_by_Sentiment!$B$2:$B$37,Phone_by_Sentiment!L$2:L$37,"",0,1)),_xlfn.XLOOKUP($C775,Phone_by_Sentiment!$B$2:$B$37,Phone_by_Sentiment!L$2:L$37,"",0,1),0),$A775-TEXT(DATEVALUE($D775&amp;"-01"), "dd-mm-yyyy")),0),0)</f>
        <v>0</v>
      </c>
      <c r="M775" cm="1">
        <f t="array" ref="M775">IF($Q775&gt;=0,IFERROR(generateSalesData($D775, IF(ISNUMBER(_xlfn.XLOOKUP($C775,Phone_by_Sentiment!$B$2:$B$37,Phone_by_Sentiment!M$2:M$37,"",0,1)),_xlfn.XLOOKUP($C775,Phone_by_Sentiment!$B$2:$B$37,Phone_by_Sentiment!M$2:M$37,"",0,1),0),$A775-TEXT(DATEVALUE($D775&amp;"-01"), "dd-mm-yyyy")),0),0)</f>
        <v>0</v>
      </c>
      <c r="N775" cm="1">
        <f t="array" ref="N775">IF($Q775&gt;=0,IFERROR(generateSalesData($D775, IF(ISNUMBER(_xlfn.XLOOKUP($C775,Phone_by_Sentiment!$B$2:$B$37,Phone_by_Sentiment!N$2:N$37,"",0,1)),_xlfn.XLOOKUP($C775,Phone_by_Sentiment!$B$2:$B$37,Phone_by_Sentiment!N$2:N$37,"",0,1),0),$A775-TEXT(DATEVALUE($D775&amp;"-01"), "dd-mm-yyyy")),0),0)</f>
        <v>0</v>
      </c>
      <c r="O775" cm="1">
        <f t="array" ref="O775">IF($Q775&gt;=0,IFERROR(generateSalesData($D775, IF(ISNUMBER(_xlfn.XLOOKUP($C775,Phone_by_Sentiment!$B$2:$B$37,Phone_by_Sentiment!O$2:O$37,"",0,1)),_xlfn.XLOOKUP($C775,Phone_by_Sentiment!$B$2:$B$37,Phone_by_Sentiment!O$2:O$37,"",0,1),0),$A775-TEXT(DATEVALUE($D775&amp;"-01"), "dd-mm-yyyy")),0),0)</f>
        <v>0</v>
      </c>
      <c r="P775" s="1">
        <f t="shared" si="32"/>
        <v>44470</v>
      </c>
      <c r="Q775">
        <f t="shared" si="33"/>
        <v>-334</v>
      </c>
    </row>
    <row r="776" spans="1:17" x14ac:dyDescent="0.25">
      <c r="A776" s="1">
        <f t="shared" si="27"/>
        <v>44136</v>
      </c>
      <c r="B776" t="s">
        <v>156</v>
      </c>
      <c r="C776" t="str">
        <f>_xlfn.XLOOKUP(B776,Phone_by_Price!$A$2:$A$34,Phone_by_Price!$B$2:$B$34,"-",0,1)</f>
        <v>OnePlus Nord CE</v>
      </c>
      <c r="D776" t="str">
        <f>_xlfn.XLOOKUP(C776,Phone_by_Sentiment!$B$2:$B$37,Phone_by_Sentiment!$A$2:$A$37,"-",0,1)</f>
        <v>2021-06</v>
      </c>
      <c r="E776" cm="1">
        <f t="array" ref="E776">IF($Q776&gt;=0,IFERROR(generateSalesData($D776, IF(ISNUMBER(_xlfn.XLOOKUP($C776,Phone_by_Sentiment!$B$2:$B$37,Phone_by_Sentiment!E$2:E$37,"",0,1)),_xlfn.XLOOKUP($C776,Phone_by_Sentiment!$B$2:$B$37,Phone_by_Sentiment!E$2:E$37,"",0,1),0),$A776-TEXT(DATEVALUE($D776&amp;"-01"), "dd-mm-yyyy")),0),0)</f>
        <v>0</v>
      </c>
      <c r="F776" cm="1">
        <f t="array" ref="F776">IF($Q776&gt;=0,IFERROR(generateSalesData($D776, IF(ISNUMBER(_xlfn.XLOOKUP($C776,Phone_by_Sentiment!$B$2:$B$37,Phone_by_Sentiment!F$2:F$37,"",0,1)),_xlfn.XLOOKUP($C776,Phone_by_Sentiment!$B$2:$B$37,Phone_by_Sentiment!F$2:F$37,"",0,1),0),$A776-TEXT(DATEVALUE($D776&amp;"-01"), "dd-mm-yyyy")),0),0)</f>
        <v>0</v>
      </c>
      <c r="G776" cm="1">
        <f t="array" ref="G776">IF($Q776&gt;=0,IFERROR(generateSalesData($D776, IF(ISNUMBER(_xlfn.XLOOKUP($C776,Phone_by_Sentiment!$B$2:$B$37,Phone_by_Sentiment!G$2:G$37,"",0,1)),_xlfn.XLOOKUP($C776,Phone_by_Sentiment!$B$2:$B$37,Phone_by_Sentiment!G$2:G$37,"",0,1),0),$A776-TEXT(DATEVALUE($D776&amp;"-01"), "dd-mm-yyyy")),0),0)</f>
        <v>0</v>
      </c>
      <c r="H776" cm="1">
        <f t="array" ref="H776">IF($Q776&gt;=0,IFERROR(generateSalesData($D776, IF(ISNUMBER(_xlfn.XLOOKUP($C776,Phone_by_Sentiment!$B$2:$B$37,Phone_by_Sentiment!H$2:H$37,"",0,1)),_xlfn.XLOOKUP($C776,Phone_by_Sentiment!$B$2:$B$37,Phone_by_Sentiment!H$2:H$37,"",0,1),0),$A776-TEXT(DATEVALUE($D776&amp;"-01"), "dd-mm-yyyy")),0),0)</f>
        <v>0</v>
      </c>
      <c r="I776" cm="1">
        <f t="array" ref="I776">IF($Q776&gt;=0,IFERROR(generateSalesData($D776, IF(ISNUMBER(_xlfn.XLOOKUP($C776,Phone_by_Sentiment!$B$2:$B$37,Phone_by_Sentiment!I$2:I$37,"",0,1)),_xlfn.XLOOKUP($C776,Phone_by_Sentiment!$B$2:$B$37,Phone_by_Sentiment!I$2:I$37,"",0,1),0),$A776-TEXT(DATEVALUE($D776&amp;"-01"), "dd-mm-yyyy")),0),0)</f>
        <v>0</v>
      </c>
      <c r="J776" cm="1">
        <f t="array" ref="J776">IF($Q776&gt;=0,IFERROR(generateSalesData($D776, IF(ISNUMBER(_xlfn.XLOOKUP($C776,Phone_by_Sentiment!$B$2:$B$37,Phone_by_Sentiment!J$2:J$37,"",0,1)),_xlfn.XLOOKUP($C776,Phone_by_Sentiment!$B$2:$B$37,Phone_by_Sentiment!J$2:J$37,"",0,1),0),$A776-TEXT(DATEVALUE($D776&amp;"-01"), "dd-mm-yyyy")),0),0)</f>
        <v>0</v>
      </c>
      <c r="K776" cm="1">
        <f t="array" ref="K776">IF($Q776&gt;=0,IFERROR(generateSalesData($D776, IF(ISNUMBER(_xlfn.XLOOKUP($C776,Phone_by_Sentiment!$B$2:$B$37,Phone_by_Sentiment!K$2:K$37,"",0,1)),_xlfn.XLOOKUP($C776,Phone_by_Sentiment!$B$2:$B$37,Phone_by_Sentiment!K$2:K$37,"",0,1),0),$A776-TEXT(DATEVALUE($D776&amp;"-01"), "dd-mm-yyyy")),0),0)</f>
        <v>0</v>
      </c>
      <c r="L776" cm="1">
        <f t="array" ref="L776">IF($Q776&gt;=0,IFERROR(generateSalesData($D776, IF(ISNUMBER(_xlfn.XLOOKUP($C776,Phone_by_Sentiment!$B$2:$B$37,Phone_by_Sentiment!L$2:L$37,"",0,1)),_xlfn.XLOOKUP($C776,Phone_by_Sentiment!$B$2:$B$37,Phone_by_Sentiment!L$2:L$37,"",0,1),0),$A776-TEXT(DATEVALUE($D776&amp;"-01"), "dd-mm-yyyy")),0),0)</f>
        <v>0</v>
      </c>
      <c r="M776" cm="1">
        <f t="array" ref="M776">IF($Q776&gt;=0,IFERROR(generateSalesData($D776, IF(ISNUMBER(_xlfn.XLOOKUP($C776,Phone_by_Sentiment!$B$2:$B$37,Phone_by_Sentiment!M$2:M$37,"",0,1)),_xlfn.XLOOKUP($C776,Phone_by_Sentiment!$B$2:$B$37,Phone_by_Sentiment!M$2:M$37,"",0,1),0),$A776-TEXT(DATEVALUE($D776&amp;"-01"), "dd-mm-yyyy")),0),0)</f>
        <v>0</v>
      </c>
      <c r="N776" cm="1">
        <f t="array" ref="N776">IF($Q776&gt;=0,IFERROR(generateSalesData($D776, IF(ISNUMBER(_xlfn.XLOOKUP($C776,Phone_by_Sentiment!$B$2:$B$37,Phone_by_Sentiment!N$2:N$37,"",0,1)),_xlfn.XLOOKUP($C776,Phone_by_Sentiment!$B$2:$B$37,Phone_by_Sentiment!N$2:N$37,"",0,1),0),$A776-TEXT(DATEVALUE($D776&amp;"-01"), "dd-mm-yyyy")),0),0)</f>
        <v>0</v>
      </c>
      <c r="O776" cm="1">
        <f t="array" ref="O776">IF($Q776&gt;=0,IFERROR(generateSalesData($D776, IF(ISNUMBER(_xlfn.XLOOKUP($C776,Phone_by_Sentiment!$B$2:$B$37,Phone_by_Sentiment!O$2:O$37,"",0,1)),_xlfn.XLOOKUP($C776,Phone_by_Sentiment!$B$2:$B$37,Phone_by_Sentiment!O$2:O$37,"",0,1),0),$A776-TEXT(DATEVALUE($D776&amp;"-01"), "dd-mm-yyyy")),0),0)</f>
        <v>0</v>
      </c>
      <c r="P776" s="1">
        <f t="shared" si="32"/>
        <v>44348</v>
      </c>
      <c r="Q776">
        <f t="shared" si="33"/>
        <v>-212</v>
      </c>
    </row>
    <row r="777" spans="1:17" x14ac:dyDescent="0.25">
      <c r="A777" s="1">
        <f t="shared" si="27"/>
        <v>44136</v>
      </c>
      <c r="B777" t="s">
        <v>157</v>
      </c>
      <c r="C777" t="str">
        <f>_xlfn.XLOOKUP(B777,Phone_by_Price!$A$2:$A$34,Phone_by_Price!$B$2:$B$34,"-",0,1)</f>
        <v>Apple iPhone 13 Pro</v>
      </c>
      <c r="D777" t="str">
        <f>_xlfn.XLOOKUP(C777,Phone_by_Sentiment!$B$2:$B$37,Phone_by_Sentiment!$A$2:$A$37,"-",0,1)</f>
        <v>2021-09</v>
      </c>
      <c r="E777" cm="1">
        <f t="array" ref="E777">IF($Q777&gt;=0,IFERROR(generateSalesData($D777, IF(ISNUMBER(_xlfn.XLOOKUP($C777,Phone_by_Sentiment!$B$2:$B$37,Phone_by_Sentiment!E$2:E$37,"",0,1)),_xlfn.XLOOKUP($C777,Phone_by_Sentiment!$B$2:$B$37,Phone_by_Sentiment!E$2:E$37,"",0,1),0),$A777-TEXT(DATEVALUE($D777&amp;"-01"), "dd-mm-yyyy")),0),0)</f>
        <v>0</v>
      </c>
      <c r="F777" cm="1">
        <f t="array" ref="F777">IF($Q777&gt;=0,IFERROR(generateSalesData($D777, IF(ISNUMBER(_xlfn.XLOOKUP($C777,Phone_by_Sentiment!$B$2:$B$37,Phone_by_Sentiment!F$2:F$37,"",0,1)),_xlfn.XLOOKUP($C777,Phone_by_Sentiment!$B$2:$B$37,Phone_by_Sentiment!F$2:F$37,"",0,1),0),$A777-TEXT(DATEVALUE($D777&amp;"-01"), "dd-mm-yyyy")),0),0)</f>
        <v>0</v>
      </c>
      <c r="G777" cm="1">
        <f t="array" ref="G777">IF($Q777&gt;=0,IFERROR(generateSalesData($D777, IF(ISNUMBER(_xlfn.XLOOKUP($C777,Phone_by_Sentiment!$B$2:$B$37,Phone_by_Sentiment!G$2:G$37,"",0,1)),_xlfn.XLOOKUP($C777,Phone_by_Sentiment!$B$2:$B$37,Phone_by_Sentiment!G$2:G$37,"",0,1),0),$A777-TEXT(DATEVALUE($D777&amp;"-01"), "dd-mm-yyyy")),0),0)</f>
        <v>0</v>
      </c>
      <c r="H777" cm="1">
        <f t="array" ref="H777">IF($Q777&gt;=0,IFERROR(generateSalesData($D777, IF(ISNUMBER(_xlfn.XLOOKUP($C777,Phone_by_Sentiment!$B$2:$B$37,Phone_by_Sentiment!H$2:H$37,"",0,1)),_xlfn.XLOOKUP($C777,Phone_by_Sentiment!$B$2:$B$37,Phone_by_Sentiment!H$2:H$37,"",0,1),0),$A777-TEXT(DATEVALUE($D777&amp;"-01"), "dd-mm-yyyy")),0),0)</f>
        <v>0</v>
      </c>
      <c r="I777" cm="1">
        <f t="array" ref="I777">IF($Q777&gt;=0,IFERROR(generateSalesData($D777, IF(ISNUMBER(_xlfn.XLOOKUP($C777,Phone_by_Sentiment!$B$2:$B$37,Phone_by_Sentiment!I$2:I$37,"",0,1)),_xlfn.XLOOKUP($C777,Phone_by_Sentiment!$B$2:$B$37,Phone_by_Sentiment!I$2:I$37,"",0,1),0),$A777-TEXT(DATEVALUE($D777&amp;"-01"), "dd-mm-yyyy")),0),0)</f>
        <v>0</v>
      </c>
      <c r="J777" cm="1">
        <f t="array" ref="J777">IF($Q777&gt;=0,IFERROR(generateSalesData($D777, IF(ISNUMBER(_xlfn.XLOOKUP($C777,Phone_by_Sentiment!$B$2:$B$37,Phone_by_Sentiment!J$2:J$37,"",0,1)),_xlfn.XLOOKUP($C777,Phone_by_Sentiment!$B$2:$B$37,Phone_by_Sentiment!J$2:J$37,"",0,1),0),$A777-TEXT(DATEVALUE($D777&amp;"-01"), "dd-mm-yyyy")),0),0)</f>
        <v>0</v>
      </c>
      <c r="K777" cm="1">
        <f t="array" ref="K777">IF($Q777&gt;=0,IFERROR(generateSalesData($D777, IF(ISNUMBER(_xlfn.XLOOKUP($C777,Phone_by_Sentiment!$B$2:$B$37,Phone_by_Sentiment!K$2:K$37,"",0,1)),_xlfn.XLOOKUP($C777,Phone_by_Sentiment!$B$2:$B$37,Phone_by_Sentiment!K$2:K$37,"",0,1),0),$A777-TEXT(DATEVALUE($D777&amp;"-01"), "dd-mm-yyyy")),0),0)</f>
        <v>0</v>
      </c>
      <c r="L777" cm="1">
        <f t="array" ref="L777">IF($Q777&gt;=0,IFERROR(generateSalesData($D777, IF(ISNUMBER(_xlfn.XLOOKUP($C777,Phone_by_Sentiment!$B$2:$B$37,Phone_by_Sentiment!L$2:L$37,"",0,1)),_xlfn.XLOOKUP($C777,Phone_by_Sentiment!$B$2:$B$37,Phone_by_Sentiment!L$2:L$37,"",0,1),0),$A777-TEXT(DATEVALUE($D777&amp;"-01"), "dd-mm-yyyy")),0),0)</f>
        <v>0</v>
      </c>
      <c r="M777" cm="1">
        <f t="array" ref="M777">IF($Q777&gt;=0,IFERROR(generateSalesData($D777, IF(ISNUMBER(_xlfn.XLOOKUP($C777,Phone_by_Sentiment!$B$2:$B$37,Phone_by_Sentiment!M$2:M$37,"",0,1)),_xlfn.XLOOKUP($C777,Phone_by_Sentiment!$B$2:$B$37,Phone_by_Sentiment!M$2:M$37,"",0,1),0),$A777-TEXT(DATEVALUE($D777&amp;"-01"), "dd-mm-yyyy")),0),0)</f>
        <v>0</v>
      </c>
      <c r="N777" cm="1">
        <f t="array" ref="N777">IF($Q777&gt;=0,IFERROR(generateSalesData($D777, IF(ISNUMBER(_xlfn.XLOOKUP($C777,Phone_by_Sentiment!$B$2:$B$37,Phone_by_Sentiment!N$2:N$37,"",0,1)),_xlfn.XLOOKUP($C777,Phone_by_Sentiment!$B$2:$B$37,Phone_by_Sentiment!N$2:N$37,"",0,1),0),$A777-TEXT(DATEVALUE($D777&amp;"-01"), "dd-mm-yyyy")),0),0)</f>
        <v>0</v>
      </c>
      <c r="O777" cm="1">
        <f t="array" ref="O777">IF($Q777&gt;=0,IFERROR(generateSalesData($D777, IF(ISNUMBER(_xlfn.XLOOKUP($C777,Phone_by_Sentiment!$B$2:$B$37,Phone_by_Sentiment!O$2:O$37,"",0,1)),_xlfn.XLOOKUP($C777,Phone_by_Sentiment!$B$2:$B$37,Phone_by_Sentiment!O$2:O$37,"",0,1),0),$A777-TEXT(DATEVALUE($D777&amp;"-01"), "dd-mm-yyyy")),0),0)</f>
        <v>0</v>
      </c>
      <c r="P777" s="1">
        <f t="shared" si="32"/>
        <v>44440</v>
      </c>
      <c r="Q777">
        <f t="shared" si="33"/>
        <v>-304</v>
      </c>
    </row>
    <row r="778" spans="1:17" x14ac:dyDescent="0.25">
      <c r="A778" s="1">
        <f t="shared" si="27"/>
        <v>44136</v>
      </c>
      <c r="B778" t="s">
        <v>158</v>
      </c>
      <c r="C778" t="str">
        <f>_xlfn.XLOOKUP(B778,Phone_by_Price!$A$2:$A$34,Phone_by_Price!$B$2:$B$34,"-",0,1)</f>
        <v>Samsung Galaxy A32 5G</v>
      </c>
      <c r="D778" t="str">
        <f>_xlfn.XLOOKUP(C778,Phone_by_Sentiment!$B$2:$B$37,Phone_by_Sentiment!$A$2:$A$37,"-",0,1)</f>
        <v>2021-02</v>
      </c>
      <c r="E778" cm="1">
        <f t="array" ref="E778">IF($Q778&gt;=0,IFERROR(generateSalesData($D778, IF(ISNUMBER(_xlfn.XLOOKUP($C778,Phone_by_Sentiment!$B$2:$B$37,Phone_by_Sentiment!E$2:E$37,"",0,1)),_xlfn.XLOOKUP($C778,Phone_by_Sentiment!$B$2:$B$37,Phone_by_Sentiment!E$2:E$37,"",0,1),0),$A778-TEXT(DATEVALUE($D778&amp;"-01"), "dd-mm-yyyy")),0),0)</f>
        <v>0</v>
      </c>
      <c r="F778" cm="1">
        <f t="array" ref="F778">IF($Q778&gt;=0,IFERROR(generateSalesData($D778, IF(ISNUMBER(_xlfn.XLOOKUP($C778,Phone_by_Sentiment!$B$2:$B$37,Phone_by_Sentiment!F$2:F$37,"",0,1)),_xlfn.XLOOKUP($C778,Phone_by_Sentiment!$B$2:$B$37,Phone_by_Sentiment!F$2:F$37,"",0,1),0),$A778-TEXT(DATEVALUE($D778&amp;"-01"), "dd-mm-yyyy")),0),0)</f>
        <v>0</v>
      </c>
      <c r="G778" cm="1">
        <f t="array" ref="G778">IF($Q778&gt;=0,IFERROR(generateSalesData($D778, IF(ISNUMBER(_xlfn.XLOOKUP($C778,Phone_by_Sentiment!$B$2:$B$37,Phone_by_Sentiment!G$2:G$37,"",0,1)),_xlfn.XLOOKUP($C778,Phone_by_Sentiment!$B$2:$B$37,Phone_by_Sentiment!G$2:G$37,"",0,1),0),$A778-TEXT(DATEVALUE($D778&amp;"-01"), "dd-mm-yyyy")),0),0)</f>
        <v>0</v>
      </c>
      <c r="H778" cm="1">
        <f t="array" ref="H778">IF($Q778&gt;=0,IFERROR(generateSalesData($D778, IF(ISNUMBER(_xlfn.XLOOKUP($C778,Phone_by_Sentiment!$B$2:$B$37,Phone_by_Sentiment!H$2:H$37,"",0,1)),_xlfn.XLOOKUP($C778,Phone_by_Sentiment!$B$2:$B$37,Phone_by_Sentiment!H$2:H$37,"",0,1),0),$A778-TEXT(DATEVALUE($D778&amp;"-01"), "dd-mm-yyyy")),0),0)</f>
        <v>0</v>
      </c>
      <c r="I778" cm="1">
        <f t="array" ref="I778">IF($Q778&gt;=0,IFERROR(generateSalesData($D778, IF(ISNUMBER(_xlfn.XLOOKUP($C778,Phone_by_Sentiment!$B$2:$B$37,Phone_by_Sentiment!I$2:I$37,"",0,1)),_xlfn.XLOOKUP($C778,Phone_by_Sentiment!$B$2:$B$37,Phone_by_Sentiment!I$2:I$37,"",0,1),0),$A778-TEXT(DATEVALUE($D778&amp;"-01"), "dd-mm-yyyy")),0),0)</f>
        <v>0</v>
      </c>
      <c r="J778" cm="1">
        <f t="array" ref="J778">IF($Q778&gt;=0,IFERROR(generateSalesData($D778, IF(ISNUMBER(_xlfn.XLOOKUP($C778,Phone_by_Sentiment!$B$2:$B$37,Phone_by_Sentiment!J$2:J$37,"",0,1)),_xlfn.XLOOKUP($C778,Phone_by_Sentiment!$B$2:$B$37,Phone_by_Sentiment!J$2:J$37,"",0,1),0),$A778-TEXT(DATEVALUE($D778&amp;"-01"), "dd-mm-yyyy")),0),0)</f>
        <v>0</v>
      </c>
      <c r="K778" cm="1">
        <f t="array" ref="K778">IF($Q778&gt;=0,IFERROR(generateSalesData($D778, IF(ISNUMBER(_xlfn.XLOOKUP($C778,Phone_by_Sentiment!$B$2:$B$37,Phone_by_Sentiment!K$2:K$37,"",0,1)),_xlfn.XLOOKUP($C778,Phone_by_Sentiment!$B$2:$B$37,Phone_by_Sentiment!K$2:K$37,"",0,1),0),$A778-TEXT(DATEVALUE($D778&amp;"-01"), "dd-mm-yyyy")),0),0)</f>
        <v>0</v>
      </c>
      <c r="L778" cm="1">
        <f t="array" ref="L778">IF($Q778&gt;=0,IFERROR(generateSalesData($D778, IF(ISNUMBER(_xlfn.XLOOKUP($C778,Phone_by_Sentiment!$B$2:$B$37,Phone_by_Sentiment!L$2:L$37,"",0,1)),_xlfn.XLOOKUP($C778,Phone_by_Sentiment!$B$2:$B$37,Phone_by_Sentiment!L$2:L$37,"",0,1),0),$A778-TEXT(DATEVALUE($D778&amp;"-01"), "dd-mm-yyyy")),0),0)</f>
        <v>0</v>
      </c>
      <c r="M778" cm="1">
        <f t="array" ref="M778">IF($Q778&gt;=0,IFERROR(generateSalesData($D778, IF(ISNUMBER(_xlfn.XLOOKUP($C778,Phone_by_Sentiment!$B$2:$B$37,Phone_by_Sentiment!M$2:M$37,"",0,1)),_xlfn.XLOOKUP($C778,Phone_by_Sentiment!$B$2:$B$37,Phone_by_Sentiment!M$2:M$37,"",0,1),0),$A778-TEXT(DATEVALUE($D778&amp;"-01"), "dd-mm-yyyy")),0),0)</f>
        <v>0</v>
      </c>
      <c r="N778" cm="1">
        <f t="array" ref="N778">IF($Q778&gt;=0,IFERROR(generateSalesData($D778, IF(ISNUMBER(_xlfn.XLOOKUP($C778,Phone_by_Sentiment!$B$2:$B$37,Phone_by_Sentiment!N$2:N$37,"",0,1)),_xlfn.XLOOKUP($C778,Phone_by_Sentiment!$B$2:$B$37,Phone_by_Sentiment!N$2:N$37,"",0,1),0),$A778-TEXT(DATEVALUE($D778&amp;"-01"), "dd-mm-yyyy")),0),0)</f>
        <v>0</v>
      </c>
      <c r="O778" cm="1">
        <f t="array" ref="O778">IF($Q778&gt;=0,IFERROR(generateSalesData($D778, IF(ISNUMBER(_xlfn.XLOOKUP($C778,Phone_by_Sentiment!$B$2:$B$37,Phone_by_Sentiment!O$2:O$37,"",0,1)),_xlfn.XLOOKUP($C778,Phone_by_Sentiment!$B$2:$B$37,Phone_by_Sentiment!O$2:O$37,"",0,1),0),$A778-TEXT(DATEVALUE($D778&amp;"-01"), "dd-mm-yyyy")),0),0)</f>
        <v>0</v>
      </c>
      <c r="P778" s="1">
        <f t="shared" si="32"/>
        <v>44228</v>
      </c>
      <c r="Q778">
        <f t="shared" si="33"/>
        <v>-92</v>
      </c>
    </row>
    <row r="779" spans="1:17" x14ac:dyDescent="0.25">
      <c r="A779" s="1">
        <f t="shared" si="27"/>
        <v>44136</v>
      </c>
      <c r="B779" t="s">
        <v>159</v>
      </c>
      <c r="C779" t="str">
        <f>_xlfn.XLOOKUP(B779,Phone_by_Price!$A$2:$A$34,Phone_by_Price!$B$2:$B$34,"-",0,1)</f>
        <v>Realme C25</v>
      </c>
      <c r="D779" t="str">
        <f>_xlfn.XLOOKUP(C779,Phone_by_Sentiment!$B$2:$B$37,Phone_by_Sentiment!$A$2:$A$37,"-",0,1)</f>
        <v>2021-03</v>
      </c>
      <c r="E779" cm="1">
        <f t="array" ref="E779">IF($Q779&gt;=0,IFERROR(generateSalesData($D779, IF(ISNUMBER(_xlfn.XLOOKUP($C779,Phone_by_Sentiment!$B$2:$B$37,Phone_by_Sentiment!E$2:E$37,"",0,1)),_xlfn.XLOOKUP($C779,Phone_by_Sentiment!$B$2:$B$37,Phone_by_Sentiment!E$2:E$37,"",0,1),0),$A779-TEXT(DATEVALUE($D779&amp;"-01"), "dd-mm-yyyy")),0),0)</f>
        <v>0</v>
      </c>
      <c r="F779" cm="1">
        <f t="array" ref="F779">IF($Q779&gt;=0,IFERROR(generateSalesData($D779, IF(ISNUMBER(_xlfn.XLOOKUP($C779,Phone_by_Sentiment!$B$2:$B$37,Phone_by_Sentiment!F$2:F$37,"",0,1)),_xlfn.XLOOKUP($C779,Phone_by_Sentiment!$B$2:$B$37,Phone_by_Sentiment!F$2:F$37,"",0,1),0),$A779-TEXT(DATEVALUE($D779&amp;"-01"), "dd-mm-yyyy")),0),0)</f>
        <v>0</v>
      </c>
      <c r="G779" cm="1">
        <f t="array" ref="G779">IF($Q779&gt;=0,IFERROR(generateSalesData($D779, IF(ISNUMBER(_xlfn.XLOOKUP($C779,Phone_by_Sentiment!$B$2:$B$37,Phone_by_Sentiment!G$2:G$37,"",0,1)),_xlfn.XLOOKUP($C779,Phone_by_Sentiment!$B$2:$B$37,Phone_by_Sentiment!G$2:G$37,"",0,1),0),$A779-TEXT(DATEVALUE($D779&amp;"-01"), "dd-mm-yyyy")),0),0)</f>
        <v>0</v>
      </c>
      <c r="H779" cm="1">
        <f t="array" ref="H779">IF($Q779&gt;=0,IFERROR(generateSalesData($D779, IF(ISNUMBER(_xlfn.XLOOKUP($C779,Phone_by_Sentiment!$B$2:$B$37,Phone_by_Sentiment!H$2:H$37,"",0,1)),_xlfn.XLOOKUP($C779,Phone_by_Sentiment!$B$2:$B$37,Phone_by_Sentiment!H$2:H$37,"",0,1),0),$A779-TEXT(DATEVALUE($D779&amp;"-01"), "dd-mm-yyyy")),0),0)</f>
        <v>0</v>
      </c>
      <c r="I779" cm="1">
        <f t="array" ref="I779">IF($Q779&gt;=0,IFERROR(generateSalesData($D779, IF(ISNUMBER(_xlfn.XLOOKUP($C779,Phone_by_Sentiment!$B$2:$B$37,Phone_by_Sentiment!I$2:I$37,"",0,1)),_xlfn.XLOOKUP($C779,Phone_by_Sentiment!$B$2:$B$37,Phone_by_Sentiment!I$2:I$37,"",0,1),0),$A779-TEXT(DATEVALUE($D779&amp;"-01"), "dd-mm-yyyy")),0),0)</f>
        <v>0</v>
      </c>
      <c r="J779" cm="1">
        <f t="array" ref="J779">IF($Q779&gt;=0,IFERROR(generateSalesData($D779, IF(ISNUMBER(_xlfn.XLOOKUP($C779,Phone_by_Sentiment!$B$2:$B$37,Phone_by_Sentiment!J$2:J$37,"",0,1)),_xlfn.XLOOKUP($C779,Phone_by_Sentiment!$B$2:$B$37,Phone_by_Sentiment!J$2:J$37,"",0,1),0),$A779-TEXT(DATEVALUE($D779&amp;"-01"), "dd-mm-yyyy")),0),0)</f>
        <v>0</v>
      </c>
      <c r="K779" cm="1">
        <f t="array" ref="K779">IF($Q779&gt;=0,IFERROR(generateSalesData($D779, IF(ISNUMBER(_xlfn.XLOOKUP($C779,Phone_by_Sentiment!$B$2:$B$37,Phone_by_Sentiment!K$2:K$37,"",0,1)),_xlfn.XLOOKUP($C779,Phone_by_Sentiment!$B$2:$B$37,Phone_by_Sentiment!K$2:K$37,"",0,1),0),$A779-TEXT(DATEVALUE($D779&amp;"-01"), "dd-mm-yyyy")),0),0)</f>
        <v>0</v>
      </c>
      <c r="L779" cm="1">
        <f t="array" ref="L779">IF($Q779&gt;=0,IFERROR(generateSalesData($D779, IF(ISNUMBER(_xlfn.XLOOKUP($C779,Phone_by_Sentiment!$B$2:$B$37,Phone_by_Sentiment!L$2:L$37,"",0,1)),_xlfn.XLOOKUP($C779,Phone_by_Sentiment!$B$2:$B$37,Phone_by_Sentiment!L$2:L$37,"",0,1),0),$A779-TEXT(DATEVALUE($D779&amp;"-01"), "dd-mm-yyyy")),0),0)</f>
        <v>0</v>
      </c>
      <c r="M779" cm="1">
        <f t="array" ref="M779">IF($Q779&gt;=0,IFERROR(generateSalesData($D779, IF(ISNUMBER(_xlfn.XLOOKUP($C779,Phone_by_Sentiment!$B$2:$B$37,Phone_by_Sentiment!M$2:M$37,"",0,1)),_xlfn.XLOOKUP($C779,Phone_by_Sentiment!$B$2:$B$37,Phone_by_Sentiment!M$2:M$37,"",0,1),0),$A779-TEXT(DATEVALUE($D779&amp;"-01"), "dd-mm-yyyy")),0),0)</f>
        <v>0</v>
      </c>
      <c r="N779" cm="1">
        <f t="array" ref="N779">IF($Q779&gt;=0,IFERROR(generateSalesData($D779, IF(ISNUMBER(_xlfn.XLOOKUP($C779,Phone_by_Sentiment!$B$2:$B$37,Phone_by_Sentiment!N$2:N$37,"",0,1)),_xlfn.XLOOKUP($C779,Phone_by_Sentiment!$B$2:$B$37,Phone_by_Sentiment!N$2:N$37,"",0,1),0),$A779-TEXT(DATEVALUE($D779&amp;"-01"), "dd-mm-yyyy")),0),0)</f>
        <v>0</v>
      </c>
      <c r="O779" cm="1">
        <f t="array" ref="O779">IF($Q779&gt;=0,IFERROR(generateSalesData($D779, IF(ISNUMBER(_xlfn.XLOOKUP($C779,Phone_by_Sentiment!$B$2:$B$37,Phone_by_Sentiment!O$2:O$37,"",0,1)),_xlfn.XLOOKUP($C779,Phone_by_Sentiment!$B$2:$B$37,Phone_by_Sentiment!O$2:O$37,"",0,1),0),$A779-TEXT(DATEVALUE($D779&amp;"-01"), "dd-mm-yyyy")),0),0)</f>
        <v>0</v>
      </c>
      <c r="P779" s="1">
        <f t="shared" si="32"/>
        <v>44256</v>
      </c>
      <c r="Q779">
        <f t="shared" si="33"/>
        <v>-120</v>
      </c>
    </row>
    <row r="780" spans="1:17" x14ac:dyDescent="0.25">
      <c r="A780" s="1">
        <f t="shared" si="27"/>
        <v>44136</v>
      </c>
      <c r="B780" t="s">
        <v>160</v>
      </c>
      <c r="C780" t="str">
        <f>_xlfn.XLOOKUP(B780,Phone_by_Price!$A$2:$A$34,Phone_by_Price!$B$2:$B$34,"-",0,1)</f>
        <v>Xiaomi Poco X3 Pro</v>
      </c>
      <c r="D780" t="str">
        <f>_xlfn.XLOOKUP(C780,Phone_by_Sentiment!$B$2:$B$37,Phone_by_Sentiment!$A$2:$A$37,"-",0,1)</f>
        <v>2021-05</v>
      </c>
      <c r="E780" cm="1">
        <f t="array" ref="E780">IF($Q780&gt;=0,IFERROR(generateSalesData($D780, IF(ISNUMBER(_xlfn.XLOOKUP($C780,Phone_by_Sentiment!$B$2:$B$37,Phone_by_Sentiment!E$2:E$37,"",0,1)),_xlfn.XLOOKUP($C780,Phone_by_Sentiment!$B$2:$B$37,Phone_by_Sentiment!E$2:E$37,"",0,1),0),$A780-TEXT(DATEVALUE($D780&amp;"-01"), "dd-mm-yyyy")),0),0)</f>
        <v>0</v>
      </c>
      <c r="F780" cm="1">
        <f t="array" ref="F780">IF($Q780&gt;=0,IFERROR(generateSalesData($D780, IF(ISNUMBER(_xlfn.XLOOKUP($C780,Phone_by_Sentiment!$B$2:$B$37,Phone_by_Sentiment!F$2:F$37,"",0,1)),_xlfn.XLOOKUP($C780,Phone_by_Sentiment!$B$2:$B$37,Phone_by_Sentiment!F$2:F$37,"",0,1),0),$A780-TEXT(DATEVALUE($D780&amp;"-01"), "dd-mm-yyyy")),0),0)</f>
        <v>0</v>
      </c>
      <c r="G780" cm="1">
        <f t="array" ref="G780">IF($Q780&gt;=0,IFERROR(generateSalesData($D780, IF(ISNUMBER(_xlfn.XLOOKUP($C780,Phone_by_Sentiment!$B$2:$B$37,Phone_by_Sentiment!G$2:G$37,"",0,1)),_xlfn.XLOOKUP($C780,Phone_by_Sentiment!$B$2:$B$37,Phone_by_Sentiment!G$2:G$37,"",0,1),0),$A780-TEXT(DATEVALUE($D780&amp;"-01"), "dd-mm-yyyy")),0),0)</f>
        <v>0</v>
      </c>
      <c r="H780" cm="1">
        <f t="array" ref="H780">IF($Q780&gt;=0,IFERROR(generateSalesData($D780, IF(ISNUMBER(_xlfn.XLOOKUP($C780,Phone_by_Sentiment!$B$2:$B$37,Phone_by_Sentiment!H$2:H$37,"",0,1)),_xlfn.XLOOKUP($C780,Phone_by_Sentiment!$B$2:$B$37,Phone_by_Sentiment!H$2:H$37,"",0,1),0),$A780-TEXT(DATEVALUE($D780&amp;"-01"), "dd-mm-yyyy")),0),0)</f>
        <v>0</v>
      </c>
      <c r="I780" cm="1">
        <f t="array" ref="I780">IF($Q780&gt;=0,IFERROR(generateSalesData($D780, IF(ISNUMBER(_xlfn.XLOOKUP($C780,Phone_by_Sentiment!$B$2:$B$37,Phone_by_Sentiment!I$2:I$37,"",0,1)),_xlfn.XLOOKUP($C780,Phone_by_Sentiment!$B$2:$B$37,Phone_by_Sentiment!I$2:I$37,"",0,1),0),$A780-TEXT(DATEVALUE($D780&amp;"-01"), "dd-mm-yyyy")),0),0)</f>
        <v>0</v>
      </c>
      <c r="J780" cm="1">
        <f t="array" ref="J780">IF($Q780&gt;=0,IFERROR(generateSalesData($D780, IF(ISNUMBER(_xlfn.XLOOKUP($C780,Phone_by_Sentiment!$B$2:$B$37,Phone_by_Sentiment!J$2:J$37,"",0,1)),_xlfn.XLOOKUP($C780,Phone_by_Sentiment!$B$2:$B$37,Phone_by_Sentiment!J$2:J$37,"",0,1),0),$A780-TEXT(DATEVALUE($D780&amp;"-01"), "dd-mm-yyyy")),0),0)</f>
        <v>0</v>
      </c>
      <c r="K780" cm="1">
        <f t="array" ref="K780">IF($Q780&gt;=0,IFERROR(generateSalesData($D780, IF(ISNUMBER(_xlfn.XLOOKUP($C780,Phone_by_Sentiment!$B$2:$B$37,Phone_by_Sentiment!K$2:K$37,"",0,1)),_xlfn.XLOOKUP($C780,Phone_by_Sentiment!$B$2:$B$37,Phone_by_Sentiment!K$2:K$37,"",0,1),0),$A780-TEXT(DATEVALUE($D780&amp;"-01"), "dd-mm-yyyy")),0),0)</f>
        <v>0</v>
      </c>
      <c r="L780" cm="1">
        <f t="array" ref="L780">IF($Q780&gt;=0,IFERROR(generateSalesData($D780, IF(ISNUMBER(_xlfn.XLOOKUP($C780,Phone_by_Sentiment!$B$2:$B$37,Phone_by_Sentiment!L$2:L$37,"",0,1)),_xlfn.XLOOKUP($C780,Phone_by_Sentiment!$B$2:$B$37,Phone_by_Sentiment!L$2:L$37,"",0,1),0),$A780-TEXT(DATEVALUE($D780&amp;"-01"), "dd-mm-yyyy")),0),0)</f>
        <v>0</v>
      </c>
      <c r="M780" cm="1">
        <f t="array" ref="M780">IF($Q780&gt;=0,IFERROR(generateSalesData($D780, IF(ISNUMBER(_xlfn.XLOOKUP($C780,Phone_by_Sentiment!$B$2:$B$37,Phone_by_Sentiment!M$2:M$37,"",0,1)),_xlfn.XLOOKUP($C780,Phone_by_Sentiment!$B$2:$B$37,Phone_by_Sentiment!M$2:M$37,"",0,1),0),$A780-TEXT(DATEVALUE($D780&amp;"-01"), "dd-mm-yyyy")),0),0)</f>
        <v>0</v>
      </c>
      <c r="N780" cm="1">
        <f t="array" ref="N780">IF($Q780&gt;=0,IFERROR(generateSalesData($D780, IF(ISNUMBER(_xlfn.XLOOKUP($C780,Phone_by_Sentiment!$B$2:$B$37,Phone_by_Sentiment!N$2:N$37,"",0,1)),_xlfn.XLOOKUP($C780,Phone_by_Sentiment!$B$2:$B$37,Phone_by_Sentiment!N$2:N$37,"",0,1),0),$A780-TEXT(DATEVALUE($D780&amp;"-01"), "dd-mm-yyyy")),0),0)</f>
        <v>0</v>
      </c>
      <c r="O780" cm="1">
        <f t="array" ref="O780">IF($Q780&gt;=0,IFERROR(generateSalesData($D780, IF(ISNUMBER(_xlfn.XLOOKUP($C780,Phone_by_Sentiment!$B$2:$B$37,Phone_by_Sentiment!O$2:O$37,"",0,1)),_xlfn.XLOOKUP($C780,Phone_by_Sentiment!$B$2:$B$37,Phone_by_Sentiment!O$2:O$37,"",0,1),0),$A780-TEXT(DATEVALUE($D780&amp;"-01"), "dd-mm-yyyy")),0),0)</f>
        <v>0</v>
      </c>
      <c r="P780" s="1">
        <f t="shared" si="32"/>
        <v>44317</v>
      </c>
      <c r="Q780">
        <f t="shared" si="33"/>
        <v>-181</v>
      </c>
    </row>
    <row r="781" spans="1:17" x14ac:dyDescent="0.25">
      <c r="A781" s="1">
        <f t="shared" si="27"/>
        <v>44136</v>
      </c>
      <c r="B781" t="s">
        <v>161</v>
      </c>
      <c r="C781" t="str">
        <f>_xlfn.XLOOKUP(B781,Phone_by_Price!$A$2:$A$34,Phone_by_Price!$B$2:$B$34,"-",0,1)</f>
        <v>Samsung Galaxy Z Flip 3</v>
      </c>
      <c r="D781" t="str">
        <f>_xlfn.XLOOKUP(C781,Phone_by_Sentiment!$B$2:$B$37,Phone_by_Sentiment!$A$2:$A$37,"-",0,1)</f>
        <v>2021-09</v>
      </c>
      <c r="E781" cm="1">
        <f t="array" ref="E781">IF($Q781&gt;=0,IFERROR(generateSalesData($D781, IF(ISNUMBER(_xlfn.XLOOKUP($C781,Phone_by_Sentiment!$B$2:$B$37,Phone_by_Sentiment!E$2:E$37,"",0,1)),_xlfn.XLOOKUP($C781,Phone_by_Sentiment!$B$2:$B$37,Phone_by_Sentiment!E$2:E$37,"",0,1),0),$A781-TEXT(DATEVALUE($D781&amp;"-01"), "dd-mm-yyyy")),0),0)</f>
        <v>0</v>
      </c>
      <c r="F781" cm="1">
        <f t="array" ref="F781">IF($Q781&gt;=0,IFERROR(generateSalesData($D781, IF(ISNUMBER(_xlfn.XLOOKUP($C781,Phone_by_Sentiment!$B$2:$B$37,Phone_by_Sentiment!F$2:F$37,"",0,1)),_xlfn.XLOOKUP($C781,Phone_by_Sentiment!$B$2:$B$37,Phone_by_Sentiment!F$2:F$37,"",0,1),0),$A781-TEXT(DATEVALUE($D781&amp;"-01"), "dd-mm-yyyy")),0),0)</f>
        <v>0</v>
      </c>
      <c r="G781" cm="1">
        <f t="array" ref="G781">IF($Q781&gt;=0,IFERROR(generateSalesData($D781, IF(ISNUMBER(_xlfn.XLOOKUP($C781,Phone_by_Sentiment!$B$2:$B$37,Phone_by_Sentiment!G$2:G$37,"",0,1)),_xlfn.XLOOKUP($C781,Phone_by_Sentiment!$B$2:$B$37,Phone_by_Sentiment!G$2:G$37,"",0,1),0),$A781-TEXT(DATEVALUE($D781&amp;"-01"), "dd-mm-yyyy")),0),0)</f>
        <v>0</v>
      </c>
      <c r="H781" cm="1">
        <f t="array" ref="H781">IF($Q781&gt;=0,IFERROR(generateSalesData($D781, IF(ISNUMBER(_xlfn.XLOOKUP($C781,Phone_by_Sentiment!$B$2:$B$37,Phone_by_Sentiment!H$2:H$37,"",0,1)),_xlfn.XLOOKUP($C781,Phone_by_Sentiment!$B$2:$B$37,Phone_by_Sentiment!H$2:H$37,"",0,1),0),$A781-TEXT(DATEVALUE($D781&amp;"-01"), "dd-mm-yyyy")),0),0)</f>
        <v>0</v>
      </c>
      <c r="I781" cm="1">
        <f t="array" ref="I781">IF($Q781&gt;=0,IFERROR(generateSalesData($D781, IF(ISNUMBER(_xlfn.XLOOKUP($C781,Phone_by_Sentiment!$B$2:$B$37,Phone_by_Sentiment!I$2:I$37,"",0,1)),_xlfn.XLOOKUP($C781,Phone_by_Sentiment!$B$2:$B$37,Phone_by_Sentiment!I$2:I$37,"",0,1),0),$A781-TEXT(DATEVALUE($D781&amp;"-01"), "dd-mm-yyyy")),0),0)</f>
        <v>0</v>
      </c>
      <c r="J781" cm="1">
        <f t="array" ref="J781">IF($Q781&gt;=0,IFERROR(generateSalesData($D781, IF(ISNUMBER(_xlfn.XLOOKUP($C781,Phone_by_Sentiment!$B$2:$B$37,Phone_by_Sentiment!J$2:J$37,"",0,1)),_xlfn.XLOOKUP($C781,Phone_by_Sentiment!$B$2:$B$37,Phone_by_Sentiment!J$2:J$37,"",0,1),0),$A781-TEXT(DATEVALUE($D781&amp;"-01"), "dd-mm-yyyy")),0),0)</f>
        <v>0</v>
      </c>
      <c r="K781" cm="1">
        <f t="array" ref="K781">IF($Q781&gt;=0,IFERROR(generateSalesData($D781, IF(ISNUMBER(_xlfn.XLOOKUP($C781,Phone_by_Sentiment!$B$2:$B$37,Phone_by_Sentiment!K$2:K$37,"",0,1)),_xlfn.XLOOKUP($C781,Phone_by_Sentiment!$B$2:$B$37,Phone_by_Sentiment!K$2:K$37,"",0,1),0),$A781-TEXT(DATEVALUE($D781&amp;"-01"), "dd-mm-yyyy")),0),0)</f>
        <v>0</v>
      </c>
      <c r="L781" cm="1">
        <f t="array" ref="L781">IF($Q781&gt;=0,IFERROR(generateSalesData($D781, IF(ISNUMBER(_xlfn.XLOOKUP($C781,Phone_by_Sentiment!$B$2:$B$37,Phone_by_Sentiment!L$2:L$37,"",0,1)),_xlfn.XLOOKUP($C781,Phone_by_Sentiment!$B$2:$B$37,Phone_by_Sentiment!L$2:L$37,"",0,1),0),$A781-TEXT(DATEVALUE($D781&amp;"-01"), "dd-mm-yyyy")),0),0)</f>
        <v>0</v>
      </c>
      <c r="M781" cm="1">
        <f t="array" ref="M781">IF($Q781&gt;=0,IFERROR(generateSalesData($D781, IF(ISNUMBER(_xlfn.XLOOKUP($C781,Phone_by_Sentiment!$B$2:$B$37,Phone_by_Sentiment!M$2:M$37,"",0,1)),_xlfn.XLOOKUP($C781,Phone_by_Sentiment!$B$2:$B$37,Phone_by_Sentiment!M$2:M$37,"",0,1),0),$A781-TEXT(DATEVALUE($D781&amp;"-01"), "dd-mm-yyyy")),0),0)</f>
        <v>0</v>
      </c>
      <c r="N781" cm="1">
        <f t="array" ref="N781">IF($Q781&gt;=0,IFERROR(generateSalesData($D781, IF(ISNUMBER(_xlfn.XLOOKUP($C781,Phone_by_Sentiment!$B$2:$B$37,Phone_by_Sentiment!N$2:N$37,"",0,1)),_xlfn.XLOOKUP($C781,Phone_by_Sentiment!$B$2:$B$37,Phone_by_Sentiment!N$2:N$37,"",0,1),0),$A781-TEXT(DATEVALUE($D781&amp;"-01"), "dd-mm-yyyy")),0),0)</f>
        <v>0</v>
      </c>
      <c r="O781" cm="1">
        <f t="array" ref="O781">IF($Q781&gt;=0,IFERROR(generateSalesData($D781, IF(ISNUMBER(_xlfn.XLOOKUP($C781,Phone_by_Sentiment!$B$2:$B$37,Phone_by_Sentiment!O$2:O$37,"",0,1)),_xlfn.XLOOKUP($C781,Phone_by_Sentiment!$B$2:$B$37,Phone_by_Sentiment!O$2:O$37,"",0,1),0),$A781-TEXT(DATEVALUE($D781&amp;"-01"), "dd-mm-yyyy")),0),0)</f>
        <v>0</v>
      </c>
      <c r="P781" s="1">
        <f t="shared" si="32"/>
        <v>44440</v>
      </c>
      <c r="Q781">
        <f t="shared" si="33"/>
        <v>-304</v>
      </c>
    </row>
    <row r="782" spans="1:17" x14ac:dyDescent="0.25">
      <c r="A782" s="1">
        <f t="shared" si="27"/>
        <v>44136</v>
      </c>
      <c r="B782" t="s">
        <v>162</v>
      </c>
      <c r="C782" t="str">
        <f>_xlfn.XLOOKUP(B782,Phone_by_Price!$A$2:$A$34,Phone_by_Price!$B$2:$B$34,"-",0,1)</f>
        <v>Xiaomi Poco X3 NFC</v>
      </c>
      <c r="D782" t="str">
        <f>_xlfn.XLOOKUP(C782,Phone_by_Sentiment!$B$2:$B$37,Phone_by_Sentiment!$A$2:$A$37,"-",0,1)</f>
        <v>2020-08</v>
      </c>
      <c r="E782" cm="1">
        <f t="array" ref="E782">IF($Q782&gt;=0,IFERROR(generateSalesData($D782, IF(ISNUMBER(_xlfn.XLOOKUP($C782,Phone_by_Sentiment!$B$2:$B$37,Phone_by_Sentiment!E$2:E$37,"",0,1)),_xlfn.XLOOKUP($C782,Phone_by_Sentiment!$B$2:$B$37,Phone_by_Sentiment!E$2:E$37,"",0,1),0),$A782-TEXT(DATEVALUE($D782&amp;"-01"), "dd-mm-yyyy")),0),0)</f>
        <v>304</v>
      </c>
      <c r="F782" cm="1">
        <f t="array" ref="F782">IF($Q782&gt;=0,IFERROR(generateSalesData($D782, IF(ISNUMBER(_xlfn.XLOOKUP($C782,Phone_by_Sentiment!$B$2:$B$37,Phone_by_Sentiment!F$2:F$37,"",0,1)),_xlfn.XLOOKUP($C782,Phone_by_Sentiment!$B$2:$B$37,Phone_by_Sentiment!F$2:F$37,"",0,1),0),$A782-TEXT(DATEVALUE($D782&amp;"-01"), "dd-mm-yyyy")),0),0)</f>
        <v>114</v>
      </c>
      <c r="G782" cm="1">
        <f t="array" ref="G782">IF($Q782&gt;=0,IFERROR(generateSalesData($D782, IF(ISNUMBER(_xlfn.XLOOKUP($C782,Phone_by_Sentiment!$B$2:$B$37,Phone_by_Sentiment!G$2:G$37,"",0,1)),_xlfn.XLOOKUP($C782,Phone_by_Sentiment!$B$2:$B$37,Phone_by_Sentiment!G$2:G$37,"",0,1),0),$A782-TEXT(DATEVALUE($D782&amp;"-01"), "dd-mm-yyyy")),0),0)</f>
        <v>509</v>
      </c>
      <c r="H782" cm="1">
        <f t="array" ref="H782">IF($Q782&gt;=0,IFERROR(generateSalesData($D782, IF(ISNUMBER(_xlfn.XLOOKUP($C782,Phone_by_Sentiment!$B$2:$B$37,Phone_by_Sentiment!H$2:H$37,"",0,1)),_xlfn.XLOOKUP($C782,Phone_by_Sentiment!$B$2:$B$37,Phone_by_Sentiment!H$2:H$37,"",0,1),0),$A782-TEXT(DATEVALUE($D782&amp;"-01"), "dd-mm-yyyy")),0),0)</f>
        <v>2603</v>
      </c>
      <c r="I782" cm="1">
        <f t="array" ref="I782">IF($Q782&gt;=0,IFERROR(generateSalesData($D782, IF(ISNUMBER(_xlfn.XLOOKUP($C782,Phone_by_Sentiment!$B$2:$B$37,Phone_by_Sentiment!I$2:I$37,"",0,1)),_xlfn.XLOOKUP($C782,Phone_by_Sentiment!$B$2:$B$37,Phone_by_Sentiment!I$2:I$37,"",0,1),0),$A782-TEXT(DATEVALUE($D782&amp;"-01"), "dd-mm-yyyy")),0),0)</f>
        <v>909</v>
      </c>
      <c r="J782" cm="1">
        <f t="array" ref="J782">IF($Q782&gt;=0,IFERROR(generateSalesData($D782, IF(ISNUMBER(_xlfn.XLOOKUP($C782,Phone_by_Sentiment!$B$2:$B$37,Phone_by_Sentiment!J$2:J$37,"",0,1)),_xlfn.XLOOKUP($C782,Phone_by_Sentiment!$B$2:$B$37,Phone_by_Sentiment!J$2:J$37,"",0,1),0),$A782-TEXT(DATEVALUE($D782&amp;"-01"), "dd-mm-yyyy")),0),0)</f>
        <v>571</v>
      </c>
      <c r="K782" cm="1">
        <f t="array" ref="K782">IF($Q782&gt;=0,IFERROR(generateSalesData($D782, IF(ISNUMBER(_xlfn.XLOOKUP($C782,Phone_by_Sentiment!$B$2:$B$37,Phone_by_Sentiment!K$2:K$37,"",0,1)),_xlfn.XLOOKUP($C782,Phone_by_Sentiment!$B$2:$B$37,Phone_by_Sentiment!K$2:K$37,"",0,1),0),$A782-TEXT(DATEVALUE($D782&amp;"-01"), "dd-mm-yyyy")),0),0)</f>
        <v>1696</v>
      </c>
      <c r="L782" cm="1">
        <f t="array" ref="L782">IF($Q782&gt;=0,IFERROR(generateSalesData($D782, IF(ISNUMBER(_xlfn.XLOOKUP($C782,Phone_by_Sentiment!$B$2:$B$37,Phone_by_Sentiment!L$2:L$37,"",0,1)),_xlfn.XLOOKUP($C782,Phone_by_Sentiment!$B$2:$B$37,Phone_by_Sentiment!L$2:L$37,"",0,1),0),$A782-TEXT(DATEVALUE($D782&amp;"-01"), "dd-mm-yyyy")),0),0)</f>
        <v>660</v>
      </c>
      <c r="M782" cm="1">
        <f t="array" ref="M782">IF($Q782&gt;=0,IFERROR(generateSalesData($D782, IF(ISNUMBER(_xlfn.XLOOKUP($C782,Phone_by_Sentiment!$B$2:$B$37,Phone_by_Sentiment!M$2:M$37,"",0,1)),_xlfn.XLOOKUP($C782,Phone_by_Sentiment!$B$2:$B$37,Phone_by_Sentiment!M$2:M$37,"",0,1),0),$A782-TEXT(DATEVALUE($D782&amp;"-01"), "dd-mm-yyyy")),0),0)</f>
        <v>2410</v>
      </c>
      <c r="N782" cm="1">
        <f t="array" ref="N782">IF($Q782&gt;=0,IFERROR(generateSalesData($D782, IF(ISNUMBER(_xlfn.XLOOKUP($C782,Phone_by_Sentiment!$B$2:$B$37,Phone_by_Sentiment!N$2:N$37,"",0,1)),_xlfn.XLOOKUP($C782,Phone_by_Sentiment!$B$2:$B$37,Phone_by_Sentiment!N$2:N$37,"",0,1),0),$A782-TEXT(DATEVALUE($D782&amp;"-01"), "dd-mm-yyyy")),0),0)</f>
        <v>748</v>
      </c>
      <c r="O782" cm="1">
        <f t="array" ref="O782">IF($Q782&gt;=0,IFERROR(generateSalesData($D782, IF(ISNUMBER(_xlfn.XLOOKUP($C782,Phone_by_Sentiment!$B$2:$B$37,Phone_by_Sentiment!O$2:O$37,"",0,1)),_xlfn.XLOOKUP($C782,Phone_by_Sentiment!$B$2:$B$37,Phone_by_Sentiment!O$2:O$37,"",0,1),0),$A782-TEXT(DATEVALUE($D782&amp;"-01"), "dd-mm-yyyy")),0),0)</f>
        <v>2108</v>
      </c>
      <c r="P782" s="1">
        <f t="shared" si="32"/>
        <v>44044</v>
      </c>
      <c r="Q782">
        <f t="shared" si="33"/>
        <v>92</v>
      </c>
    </row>
    <row r="783" spans="1:17" x14ac:dyDescent="0.25">
      <c r="A783" s="1">
        <f t="shared" si="27"/>
        <v>44136</v>
      </c>
      <c r="B783" t="s">
        <v>163</v>
      </c>
      <c r="C783" t="str">
        <f>_xlfn.XLOOKUP(B783,Phone_by_Price!$A$2:$A$34,Phone_by_Price!$B$2:$B$34,"-",0,1)</f>
        <v>OPPO A93</v>
      </c>
      <c r="D783" t="str">
        <f>_xlfn.XLOOKUP(C783,Phone_by_Sentiment!$B$2:$B$37,Phone_by_Sentiment!$A$2:$A$37,"-",0,1)</f>
        <v>2021-02</v>
      </c>
      <c r="E783" cm="1">
        <f t="array" ref="E783">IF($Q783&gt;=0,IFERROR(generateSalesData($D783, IF(ISNUMBER(_xlfn.XLOOKUP($C783,Phone_by_Sentiment!$B$2:$B$37,Phone_by_Sentiment!E$2:E$37,"",0,1)),_xlfn.XLOOKUP($C783,Phone_by_Sentiment!$B$2:$B$37,Phone_by_Sentiment!E$2:E$37,"",0,1),0),$A783-TEXT(DATEVALUE($D783&amp;"-01"), "dd-mm-yyyy")),0),0)</f>
        <v>0</v>
      </c>
      <c r="F783" cm="1">
        <f t="array" ref="F783">IF($Q783&gt;=0,IFERROR(generateSalesData($D783, IF(ISNUMBER(_xlfn.XLOOKUP($C783,Phone_by_Sentiment!$B$2:$B$37,Phone_by_Sentiment!F$2:F$37,"",0,1)),_xlfn.XLOOKUP($C783,Phone_by_Sentiment!$B$2:$B$37,Phone_by_Sentiment!F$2:F$37,"",0,1),0),$A783-TEXT(DATEVALUE($D783&amp;"-01"), "dd-mm-yyyy")),0),0)</f>
        <v>0</v>
      </c>
      <c r="G783" cm="1">
        <f t="array" ref="G783">IF($Q783&gt;=0,IFERROR(generateSalesData($D783, IF(ISNUMBER(_xlfn.XLOOKUP($C783,Phone_by_Sentiment!$B$2:$B$37,Phone_by_Sentiment!G$2:G$37,"",0,1)),_xlfn.XLOOKUP($C783,Phone_by_Sentiment!$B$2:$B$37,Phone_by_Sentiment!G$2:G$37,"",0,1),0),$A783-TEXT(DATEVALUE($D783&amp;"-01"), "dd-mm-yyyy")),0),0)</f>
        <v>0</v>
      </c>
      <c r="H783" cm="1">
        <f t="array" ref="H783">IF($Q783&gt;=0,IFERROR(generateSalesData($D783, IF(ISNUMBER(_xlfn.XLOOKUP($C783,Phone_by_Sentiment!$B$2:$B$37,Phone_by_Sentiment!H$2:H$37,"",0,1)),_xlfn.XLOOKUP($C783,Phone_by_Sentiment!$B$2:$B$37,Phone_by_Sentiment!H$2:H$37,"",0,1),0),$A783-TEXT(DATEVALUE($D783&amp;"-01"), "dd-mm-yyyy")),0),0)</f>
        <v>0</v>
      </c>
      <c r="I783" cm="1">
        <f t="array" ref="I783">IF($Q783&gt;=0,IFERROR(generateSalesData($D783, IF(ISNUMBER(_xlfn.XLOOKUP($C783,Phone_by_Sentiment!$B$2:$B$37,Phone_by_Sentiment!I$2:I$37,"",0,1)),_xlfn.XLOOKUP($C783,Phone_by_Sentiment!$B$2:$B$37,Phone_by_Sentiment!I$2:I$37,"",0,1),0),$A783-TEXT(DATEVALUE($D783&amp;"-01"), "dd-mm-yyyy")),0),0)</f>
        <v>0</v>
      </c>
      <c r="J783" cm="1">
        <f t="array" ref="J783">IF($Q783&gt;=0,IFERROR(generateSalesData($D783, IF(ISNUMBER(_xlfn.XLOOKUP($C783,Phone_by_Sentiment!$B$2:$B$37,Phone_by_Sentiment!J$2:J$37,"",0,1)),_xlfn.XLOOKUP($C783,Phone_by_Sentiment!$B$2:$B$37,Phone_by_Sentiment!J$2:J$37,"",0,1),0),$A783-TEXT(DATEVALUE($D783&amp;"-01"), "dd-mm-yyyy")),0),0)</f>
        <v>0</v>
      </c>
      <c r="K783" cm="1">
        <f t="array" ref="K783">IF($Q783&gt;=0,IFERROR(generateSalesData($D783, IF(ISNUMBER(_xlfn.XLOOKUP($C783,Phone_by_Sentiment!$B$2:$B$37,Phone_by_Sentiment!K$2:K$37,"",0,1)),_xlfn.XLOOKUP($C783,Phone_by_Sentiment!$B$2:$B$37,Phone_by_Sentiment!K$2:K$37,"",0,1),0),$A783-TEXT(DATEVALUE($D783&amp;"-01"), "dd-mm-yyyy")),0),0)</f>
        <v>0</v>
      </c>
      <c r="L783" cm="1">
        <f t="array" ref="L783">IF($Q783&gt;=0,IFERROR(generateSalesData($D783, IF(ISNUMBER(_xlfn.XLOOKUP($C783,Phone_by_Sentiment!$B$2:$B$37,Phone_by_Sentiment!L$2:L$37,"",0,1)),_xlfn.XLOOKUP($C783,Phone_by_Sentiment!$B$2:$B$37,Phone_by_Sentiment!L$2:L$37,"",0,1),0),$A783-TEXT(DATEVALUE($D783&amp;"-01"), "dd-mm-yyyy")),0),0)</f>
        <v>0</v>
      </c>
      <c r="M783" cm="1">
        <f t="array" ref="M783">IF($Q783&gt;=0,IFERROR(generateSalesData($D783, IF(ISNUMBER(_xlfn.XLOOKUP($C783,Phone_by_Sentiment!$B$2:$B$37,Phone_by_Sentiment!M$2:M$37,"",0,1)),_xlfn.XLOOKUP($C783,Phone_by_Sentiment!$B$2:$B$37,Phone_by_Sentiment!M$2:M$37,"",0,1),0),$A783-TEXT(DATEVALUE($D783&amp;"-01"), "dd-mm-yyyy")),0),0)</f>
        <v>0</v>
      </c>
      <c r="N783" cm="1">
        <f t="array" ref="N783">IF($Q783&gt;=0,IFERROR(generateSalesData($D783, IF(ISNUMBER(_xlfn.XLOOKUP($C783,Phone_by_Sentiment!$B$2:$B$37,Phone_by_Sentiment!N$2:N$37,"",0,1)),_xlfn.XLOOKUP($C783,Phone_by_Sentiment!$B$2:$B$37,Phone_by_Sentiment!N$2:N$37,"",0,1),0),$A783-TEXT(DATEVALUE($D783&amp;"-01"), "dd-mm-yyyy")),0),0)</f>
        <v>0</v>
      </c>
      <c r="O783" cm="1">
        <f t="array" ref="O783">IF($Q783&gt;=0,IFERROR(generateSalesData($D783, IF(ISNUMBER(_xlfn.XLOOKUP($C783,Phone_by_Sentiment!$B$2:$B$37,Phone_by_Sentiment!O$2:O$37,"",0,1)),_xlfn.XLOOKUP($C783,Phone_by_Sentiment!$B$2:$B$37,Phone_by_Sentiment!O$2:O$37,"",0,1),0),$A783-TEXT(DATEVALUE($D783&amp;"-01"), "dd-mm-yyyy")),0),0)</f>
        <v>0</v>
      </c>
      <c r="P783" s="1">
        <f t="shared" si="32"/>
        <v>44228</v>
      </c>
      <c r="Q783">
        <f t="shared" si="33"/>
        <v>-92</v>
      </c>
    </row>
    <row r="784" spans="1:17" x14ac:dyDescent="0.25">
      <c r="A784" s="1">
        <f t="shared" si="27"/>
        <v>44136</v>
      </c>
      <c r="B784" t="s">
        <v>164</v>
      </c>
      <c r="C784" t="str">
        <f>_xlfn.XLOOKUP(B784,Phone_by_Price!$A$2:$A$34,Phone_by_Price!$B$2:$B$34,"-",0,1)</f>
        <v>Vivo V20</v>
      </c>
      <c r="D784" t="str">
        <f>_xlfn.XLOOKUP(C784,Phone_by_Sentiment!$B$2:$B$37,Phone_by_Sentiment!$A$2:$A$37,"-",0,1)</f>
        <v>2020-10</v>
      </c>
      <c r="E784" cm="1">
        <f t="array" ref="E784">IF($Q784&gt;=0,IFERROR(generateSalesData($D784, IF(ISNUMBER(_xlfn.XLOOKUP($C784,Phone_by_Sentiment!$B$2:$B$37,Phone_by_Sentiment!E$2:E$37,"",0,1)),_xlfn.XLOOKUP($C784,Phone_by_Sentiment!$B$2:$B$37,Phone_by_Sentiment!E$2:E$37,"",0,1),0),$A784-TEXT(DATEVALUE($D784&amp;"-01"), "dd-mm-yyyy")),0),0)</f>
        <v>10194</v>
      </c>
      <c r="F784" cm="1">
        <f t="array" ref="F784">IF($Q784&gt;=0,IFERROR(generateSalesData($D784, IF(ISNUMBER(_xlfn.XLOOKUP($C784,Phone_by_Sentiment!$B$2:$B$37,Phone_by_Sentiment!F$2:F$37,"",0,1)),_xlfn.XLOOKUP($C784,Phone_by_Sentiment!$B$2:$B$37,Phone_by_Sentiment!F$2:F$37,"",0,1),0),$A784-TEXT(DATEVALUE($D784&amp;"-01"), "dd-mm-yyyy")),0),0)</f>
        <v>1134</v>
      </c>
      <c r="G784" cm="1">
        <f t="array" ref="G784">IF($Q784&gt;=0,IFERROR(generateSalesData($D784, IF(ISNUMBER(_xlfn.XLOOKUP($C784,Phone_by_Sentiment!$B$2:$B$37,Phone_by_Sentiment!G$2:G$37,"",0,1)),_xlfn.XLOOKUP($C784,Phone_by_Sentiment!$B$2:$B$37,Phone_by_Sentiment!G$2:G$37,"",0,1),0),$A784-TEXT(DATEVALUE($D784&amp;"-01"), "dd-mm-yyyy")),0),0)</f>
        <v>2569</v>
      </c>
      <c r="H784" cm="1">
        <f t="array" ref="H784">IF($Q784&gt;=0,IFERROR(generateSalesData($D784, IF(ISNUMBER(_xlfn.XLOOKUP($C784,Phone_by_Sentiment!$B$2:$B$37,Phone_by_Sentiment!H$2:H$37,"",0,1)),_xlfn.XLOOKUP($C784,Phone_by_Sentiment!$B$2:$B$37,Phone_by_Sentiment!H$2:H$37,"",0,1),0),$A784-TEXT(DATEVALUE($D784&amp;"-01"), "dd-mm-yyyy")),0),0)</f>
        <v>1578</v>
      </c>
      <c r="I784" cm="1">
        <f t="array" ref="I784">IF($Q784&gt;=0,IFERROR(generateSalesData($D784, IF(ISNUMBER(_xlfn.XLOOKUP($C784,Phone_by_Sentiment!$B$2:$B$37,Phone_by_Sentiment!I$2:I$37,"",0,1)),_xlfn.XLOOKUP($C784,Phone_by_Sentiment!$B$2:$B$37,Phone_by_Sentiment!I$2:I$37,"",0,1),0),$A784-TEXT(DATEVALUE($D784&amp;"-01"), "dd-mm-yyyy")),0),0)</f>
        <v>2076</v>
      </c>
      <c r="J784" cm="1">
        <f t="array" ref="J784">IF($Q784&gt;=0,IFERROR(generateSalesData($D784, IF(ISNUMBER(_xlfn.XLOOKUP($C784,Phone_by_Sentiment!$B$2:$B$37,Phone_by_Sentiment!J$2:J$37,"",0,1)),_xlfn.XLOOKUP($C784,Phone_by_Sentiment!$B$2:$B$37,Phone_by_Sentiment!J$2:J$37,"",0,1),0),$A784-TEXT(DATEVALUE($D784&amp;"-01"), "dd-mm-yyyy")),0),0)</f>
        <v>3541</v>
      </c>
      <c r="K784" cm="1">
        <f t="array" ref="K784">IF($Q784&gt;=0,IFERROR(generateSalesData($D784, IF(ISNUMBER(_xlfn.XLOOKUP($C784,Phone_by_Sentiment!$B$2:$B$37,Phone_by_Sentiment!K$2:K$37,"",0,1)),_xlfn.XLOOKUP($C784,Phone_by_Sentiment!$B$2:$B$37,Phone_by_Sentiment!K$2:K$37,"",0,1),0),$A784-TEXT(DATEVALUE($D784&amp;"-01"), "dd-mm-yyyy")),0),0)</f>
        <v>2082</v>
      </c>
      <c r="L784" cm="1">
        <f t="array" ref="L784">IF($Q784&gt;=0,IFERROR(generateSalesData($D784, IF(ISNUMBER(_xlfn.XLOOKUP($C784,Phone_by_Sentiment!$B$2:$B$37,Phone_by_Sentiment!L$2:L$37,"",0,1)),_xlfn.XLOOKUP($C784,Phone_by_Sentiment!$B$2:$B$37,Phone_by_Sentiment!L$2:L$37,"",0,1),0),$A784-TEXT(DATEVALUE($D784&amp;"-01"), "dd-mm-yyyy")),0),0)</f>
        <v>2734</v>
      </c>
      <c r="M784" cm="1">
        <f t="array" ref="M784">IF($Q784&gt;=0,IFERROR(generateSalesData($D784, IF(ISNUMBER(_xlfn.XLOOKUP($C784,Phone_by_Sentiment!$B$2:$B$37,Phone_by_Sentiment!M$2:M$37,"",0,1)),_xlfn.XLOOKUP($C784,Phone_by_Sentiment!$B$2:$B$37,Phone_by_Sentiment!M$2:M$37,"",0,1),0),$A784-TEXT(DATEVALUE($D784&amp;"-01"), "dd-mm-yyyy")),0),0)</f>
        <v>2365</v>
      </c>
      <c r="N784" cm="1">
        <f t="array" ref="N784">IF($Q784&gt;=0,IFERROR(generateSalesData($D784, IF(ISNUMBER(_xlfn.XLOOKUP($C784,Phone_by_Sentiment!$B$2:$B$37,Phone_by_Sentiment!N$2:N$37,"",0,1)),_xlfn.XLOOKUP($C784,Phone_by_Sentiment!$B$2:$B$37,Phone_by_Sentiment!N$2:N$37,"",0,1),0),$A784-TEXT(DATEVALUE($D784&amp;"-01"), "dd-mm-yyyy")),0),0)</f>
        <v>525</v>
      </c>
      <c r="O784" cm="1">
        <f t="array" ref="O784">IF($Q784&gt;=0,IFERROR(generateSalesData($D784, IF(ISNUMBER(_xlfn.XLOOKUP($C784,Phone_by_Sentiment!$B$2:$B$37,Phone_by_Sentiment!O$2:O$37,"",0,1)),_xlfn.XLOOKUP($C784,Phone_by_Sentiment!$B$2:$B$37,Phone_by_Sentiment!O$2:O$37,"",0,1),0),$A784-TEXT(DATEVALUE($D784&amp;"-01"), "dd-mm-yyyy")),0),0)</f>
        <v>2427</v>
      </c>
      <c r="P784" s="1">
        <f t="shared" si="32"/>
        <v>44105</v>
      </c>
      <c r="Q784">
        <f t="shared" si="33"/>
        <v>31</v>
      </c>
    </row>
    <row r="785" spans="1:17" x14ac:dyDescent="0.25">
      <c r="A785" s="1">
        <f t="shared" si="27"/>
        <v>44136</v>
      </c>
      <c r="B785" t="s">
        <v>165</v>
      </c>
      <c r="C785" t="str">
        <f>_xlfn.XLOOKUP(B785,Phone_by_Price!$A$2:$A$34,Phone_by_Price!$B$2:$B$34,"-",0,1)</f>
        <v>Samsung Galaxy A50</v>
      </c>
      <c r="D785" t="str">
        <f>_xlfn.XLOOKUP(C785,Phone_by_Sentiment!$B$2:$B$37,Phone_by_Sentiment!$A$2:$A$37,"-",0,1)</f>
        <v>2019-05</v>
      </c>
      <c r="E785" cm="1">
        <f t="array" ref="E785">IF($Q785&gt;=0,IFERROR(generateSalesData($D785, IF(ISNUMBER(_xlfn.XLOOKUP($C785,Phone_by_Sentiment!$B$2:$B$37,Phone_by_Sentiment!E$2:E$37,"",0,1)),_xlfn.XLOOKUP($C785,Phone_by_Sentiment!$B$2:$B$37,Phone_by_Sentiment!E$2:E$37,"",0,1),0),$A785-TEXT(DATEVALUE($D785&amp;"-01"), "dd-mm-yyyy")),0),0)</f>
        <v>455</v>
      </c>
      <c r="F785" cm="1">
        <f t="array" ref="F785">IF($Q785&gt;=0,IFERROR(generateSalesData($D785, IF(ISNUMBER(_xlfn.XLOOKUP($C785,Phone_by_Sentiment!$B$2:$B$37,Phone_by_Sentiment!F$2:F$37,"",0,1)),_xlfn.XLOOKUP($C785,Phone_by_Sentiment!$B$2:$B$37,Phone_by_Sentiment!F$2:F$37,"",0,1),0),$A785-TEXT(DATEVALUE($D785&amp;"-01"), "dd-mm-yyyy")),0),0)</f>
        <v>173</v>
      </c>
      <c r="G785" cm="1">
        <f t="array" ref="G785">IF($Q785&gt;=0,IFERROR(generateSalesData($D785, IF(ISNUMBER(_xlfn.XLOOKUP($C785,Phone_by_Sentiment!$B$2:$B$37,Phone_by_Sentiment!G$2:G$37,"",0,1)),_xlfn.XLOOKUP($C785,Phone_by_Sentiment!$B$2:$B$37,Phone_by_Sentiment!G$2:G$37,"",0,1),0),$A785-TEXT(DATEVALUE($D785&amp;"-01"), "dd-mm-yyyy")),0),0)</f>
        <v>204</v>
      </c>
      <c r="H785" cm="1">
        <f t="array" ref="H785">IF($Q785&gt;=0,IFERROR(generateSalesData($D785, IF(ISNUMBER(_xlfn.XLOOKUP($C785,Phone_by_Sentiment!$B$2:$B$37,Phone_by_Sentiment!H$2:H$37,"",0,1)),_xlfn.XLOOKUP($C785,Phone_by_Sentiment!$B$2:$B$37,Phone_by_Sentiment!H$2:H$37,"",0,1),0),$A785-TEXT(DATEVALUE($D785&amp;"-01"), "dd-mm-yyyy")),0),0)</f>
        <v>365</v>
      </c>
      <c r="I785" cm="1">
        <f t="array" ref="I785">IF($Q785&gt;=0,IFERROR(generateSalesData($D785, IF(ISNUMBER(_xlfn.XLOOKUP($C785,Phone_by_Sentiment!$B$2:$B$37,Phone_by_Sentiment!I$2:I$37,"",0,1)),_xlfn.XLOOKUP($C785,Phone_by_Sentiment!$B$2:$B$37,Phone_by_Sentiment!I$2:I$37,"",0,1),0),$A785-TEXT(DATEVALUE($D785&amp;"-01"), "dd-mm-yyyy")),0),0)</f>
        <v>178</v>
      </c>
      <c r="J785" cm="1">
        <f t="array" ref="J785">IF($Q785&gt;=0,IFERROR(generateSalesData($D785, IF(ISNUMBER(_xlfn.XLOOKUP($C785,Phone_by_Sentiment!$B$2:$B$37,Phone_by_Sentiment!J$2:J$37,"",0,1)),_xlfn.XLOOKUP($C785,Phone_by_Sentiment!$B$2:$B$37,Phone_by_Sentiment!J$2:J$37,"",0,1),0),$A785-TEXT(DATEVALUE($D785&amp;"-01"), "dd-mm-yyyy")),0),0)</f>
        <v>-3</v>
      </c>
      <c r="K785" cm="1">
        <f t="array" ref="K785">IF($Q785&gt;=0,IFERROR(generateSalesData($D785, IF(ISNUMBER(_xlfn.XLOOKUP($C785,Phone_by_Sentiment!$B$2:$B$37,Phone_by_Sentiment!K$2:K$37,"",0,1)),_xlfn.XLOOKUP($C785,Phone_by_Sentiment!$B$2:$B$37,Phone_by_Sentiment!K$2:K$37,"",0,1),0),$A785-TEXT(DATEVALUE($D785&amp;"-01"), "dd-mm-yyyy")),0),0)</f>
        <v>97</v>
      </c>
      <c r="L785" cm="1">
        <f t="array" ref="L785">IF($Q785&gt;=0,IFERROR(generateSalesData($D785, IF(ISNUMBER(_xlfn.XLOOKUP($C785,Phone_by_Sentiment!$B$2:$B$37,Phone_by_Sentiment!L$2:L$37,"",0,1)),_xlfn.XLOOKUP($C785,Phone_by_Sentiment!$B$2:$B$37,Phone_by_Sentiment!L$2:L$37,"",0,1),0),$A785-TEXT(DATEVALUE($D785&amp;"-01"), "dd-mm-yyyy")),0),0)</f>
        <v>431</v>
      </c>
      <c r="M785" cm="1">
        <f t="array" ref="M785">IF($Q785&gt;=0,IFERROR(generateSalesData($D785, IF(ISNUMBER(_xlfn.XLOOKUP($C785,Phone_by_Sentiment!$B$2:$B$37,Phone_by_Sentiment!M$2:M$37,"",0,1)),_xlfn.XLOOKUP($C785,Phone_by_Sentiment!$B$2:$B$37,Phone_by_Sentiment!M$2:M$37,"",0,1),0),$A785-TEXT(DATEVALUE($D785&amp;"-01"), "dd-mm-yyyy")),0),0)</f>
        <v>138</v>
      </c>
      <c r="N785" cm="1">
        <f t="array" ref="N785">IF($Q785&gt;=0,IFERROR(generateSalesData($D785, IF(ISNUMBER(_xlfn.XLOOKUP($C785,Phone_by_Sentiment!$B$2:$B$37,Phone_by_Sentiment!N$2:N$37,"",0,1)),_xlfn.XLOOKUP($C785,Phone_by_Sentiment!$B$2:$B$37,Phone_by_Sentiment!N$2:N$37,"",0,1),0),$A785-TEXT(DATEVALUE($D785&amp;"-01"), "dd-mm-yyyy")),0),0)</f>
        <v>650</v>
      </c>
      <c r="O785" cm="1">
        <f t="array" ref="O785">IF($Q785&gt;=0,IFERROR(generateSalesData($D785, IF(ISNUMBER(_xlfn.XLOOKUP($C785,Phone_by_Sentiment!$B$2:$B$37,Phone_by_Sentiment!O$2:O$37,"",0,1)),_xlfn.XLOOKUP($C785,Phone_by_Sentiment!$B$2:$B$37,Phone_by_Sentiment!O$2:O$37,"",0,1),0),$A785-TEXT(DATEVALUE($D785&amp;"-01"), "dd-mm-yyyy")),0),0)</f>
        <v>490</v>
      </c>
      <c r="P785" s="1">
        <f t="shared" si="32"/>
        <v>43586</v>
      </c>
      <c r="Q785">
        <f t="shared" si="33"/>
        <v>550</v>
      </c>
    </row>
    <row r="786" spans="1:17" x14ac:dyDescent="0.25">
      <c r="A786" s="1">
        <f t="shared" si="27"/>
        <v>44136</v>
      </c>
      <c r="B786" t="s">
        <v>166</v>
      </c>
      <c r="C786" t="str">
        <f>_xlfn.XLOOKUP(B786,Phone_by_Price!$A$2:$A$34,Phone_by_Price!$B$2:$B$34,"-",0,1)</f>
        <v>Xiaomi Redmi Note 7</v>
      </c>
      <c r="D786" t="str">
        <f>_xlfn.XLOOKUP(C786,Phone_by_Sentiment!$B$2:$B$37,Phone_by_Sentiment!$A$2:$A$37,"-",0,1)</f>
        <v>2019-08</v>
      </c>
      <c r="E786" cm="1">
        <f t="array" ref="E786">IF($Q786&gt;=0,IFERROR(generateSalesData($D786, IF(ISNUMBER(_xlfn.XLOOKUP($C786,Phone_by_Sentiment!$B$2:$B$37,Phone_by_Sentiment!E$2:E$37,"",0,1)),_xlfn.XLOOKUP($C786,Phone_by_Sentiment!$B$2:$B$37,Phone_by_Sentiment!E$2:E$37,"",0,1),0),$A786-TEXT(DATEVALUE($D786&amp;"-01"), "dd-mm-yyyy")),0),0)</f>
        <v>372</v>
      </c>
      <c r="F786" cm="1">
        <f t="array" ref="F786">IF($Q786&gt;=0,IFERROR(generateSalesData($D786, IF(ISNUMBER(_xlfn.XLOOKUP($C786,Phone_by_Sentiment!$B$2:$B$37,Phone_by_Sentiment!F$2:F$37,"",0,1)),_xlfn.XLOOKUP($C786,Phone_by_Sentiment!$B$2:$B$37,Phone_by_Sentiment!F$2:F$37,"",0,1),0),$A786-TEXT(DATEVALUE($D786&amp;"-01"), "dd-mm-yyyy")),0),0)</f>
        <v>224</v>
      </c>
      <c r="G786" cm="1">
        <f t="array" ref="G786">IF($Q786&gt;=0,IFERROR(generateSalesData($D786, IF(ISNUMBER(_xlfn.XLOOKUP($C786,Phone_by_Sentiment!$B$2:$B$37,Phone_by_Sentiment!G$2:G$37,"",0,1)),_xlfn.XLOOKUP($C786,Phone_by_Sentiment!$B$2:$B$37,Phone_by_Sentiment!G$2:G$37,"",0,1),0),$A786-TEXT(DATEVALUE($D786&amp;"-01"), "dd-mm-yyyy")),0),0)</f>
        <v>126</v>
      </c>
      <c r="H786" cm="1">
        <f t="array" ref="H786">IF($Q786&gt;=0,IFERROR(generateSalesData($D786, IF(ISNUMBER(_xlfn.XLOOKUP($C786,Phone_by_Sentiment!$B$2:$B$37,Phone_by_Sentiment!H$2:H$37,"",0,1)),_xlfn.XLOOKUP($C786,Phone_by_Sentiment!$B$2:$B$37,Phone_by_Sentiment!H$2:H$37,"",0,1),0),$A786-TEXT(DATEVALUE($D786&amp;"-01"), "dd-mm-yyyy")),0),0)</f>
        <v>526</v>
      </c>
      <c r="I786" cm="1">
        <f t="array" ref="I786">IF($Q786&gt;=0,IFERROR(generateSalesData($D786, IF(ISNUMBER(_xlfn.XLOOKUP($C786,Phone_by_Sentiment!$B$2:$B$37,Phone_by_Sentiment!I$2:I$37,"",0,1)),_xlfn.XLOOKUP($C786,Phone_by_Sentiment!$B$2:$B$37,Phone_by_Sentiment!I$2:I$37,"",0,1),0),$A786-TEXT(DATEVALUE($D786&amp;"-01"), "dd-mm-yyyy")),0),0)</f>
        <v>172</v>
      </c>
      <c r="J786" cm="1">
        <f t="array" ref="J786">IF($Q786&gt;=0,IFERROR(generateSalesData($D786, IF(ISNUMBER(_xlfn.XLOOKUP($C786,Phone_by_Sentiment!$B$2:$B$37,Phone_by_Sentiment!J$2:J$37,"",0,1)),_xlfn.XLOOKUP($C786,Phone_by_Sentiment!$B$2:$B$37,Phone_by_Sentiment!J$2:J$37,"",0,1),0),$A786-TEXT(DATEVALUE($D786&amp;"-01"), "dd-mm-yyyy")),0),0)</f>
        <v>192</v>
      </c>
      <c r="K786" cm="1">
        <f t="array" ref="K786">IF($Q786&gt;=0,IFERROR(generateSalesData($D786, IF(ISNUMBER(_xlfn.XLOOKUP($C786,Phone_by_Sentiment!$B$2:$B$37,Phone_by_Sentiment!K$2:K$37,"",0,1)),_xlfn.XLOOKUP($C786,Phone_by_Sentiment!$B$2:$B$37,Phone_by_Sentiment!K$2:K$37,"",0,1),0),$A786-TEXT(DATEVALUE($D786&amp;"-01"), "dd-mm-yyyy")),0),0)</f>
        <v>638</v>
      </c>
      <c r="L786" cm="1">
        <f t="array" ref="L786">IF($Q786&gt;=0,IFERROR(generateSalesData($D786, IF(ISNUMBER(_xlfn.XLOOKUP($C786,Phone_by_Sentiment!$B$2:$B$37,Phone_by_Sentiment!L$2:L$37,"",0,1)),_xlfn.XLOOKUP($C786,Phone_by_Sentiment!$B$2:$B$37,Phone_by_Sentiment!L$2:L$37,"",0,1),0),$A786-TEXT(DATEVALUE($D786&amp;"-01"), "dd-mm-yyyy")),0),0)</f>
        <v>60</v>
      </c>
      <c r="M786" cm="1">
        <f t="array" ref="M786">IF($Q786&gt;=0,IFERROR(generateSalesData($D786, IF(ISNUMBER(_xlfn.XLOOKUP($C786,Phone_by_Sentiment!$B$2:$B$37,Phone_by_Sentiment!M$2:M$37,"",0,1)),_xlfn.XLOOKUP($C786,Phone_by_Sentiment!$B$2:$B$37,Phone_by_Sentiment!M$2:M$37,"",0,1),0),$A786-TEXT(DATEVALUE($D786&amp;"-01"), "dd-mm-yyyy")),0),0)</f>
        <v>149</v>
      </c>
      <c r="N786" cm="1">
        <f t="array" ref="N786">IF($Q786&gt;=0,IFERROR(generateSalesData($D786, IF(ISNUMBER(_xlfn.XLOOKUP($C786,Phone_by_Sentiment!$B$2:$B$37,Phone_by_Sentiment!N$2:N$37,"",0,1)),_xlfn.XLOOKUP($C786,Phone_by_Sentiment!$B$2:$B$37,Phone_by_Sentiment!N$2:N$37,"",0,1),0),$A786-TEXT(DATEVALUE($D786&amp;"-01"), "dd-mm-yyyy")),0),0)</f>
        <v>263</v>
      </c>
      <c r="O786" cm="1">
        <f t="array" ref="O786">IF($Q786&gt;=0,IFERROR(generateSalesData($D786, IF(ISNUMBER(_xlfn.XLOOKUP($C786,Phone_by_Sentiment!$B$2:$B$37,Phone_by_Sentiment!O$2:O$37,"",0,1)),_xlfn.XLOOKUP($C786,Phone_by_Sentiment!$B$2:$B$37,Phone_by_Sentiment!O$2:O$37,"",0,1),0),$A786-TEXT(DATEVALUE($D786&amp;"-01"), "dd-mm-yyyy")),0),0)</f>
        <v>242</v>
      </c>
      <c r="P786" s="1">
        <f t="shared" si="32"/>
        <v>43678</v>
      </c>
      <c r="Q786">
        <f t="shared" si="33"/>
        <v>458</v>
      </c>
    </row>
    <row r="787" spans="1:17" x14ac:dyDescent="0.25">
      <c r="A787" s="1">
        <f t="shared" si="27"/>
        <v>44136</v>
      </c>
      <c r="B787" t="s">
        <v>167</v>
      </c>
      <c r="C787" t="str">
        <f>_xlfn.XLOOKUP(B787,Phone_by_Price!$A$2:$A$34,Phone_by_Price!$B$2:$B$34,"-",0,1)</f>
        <v>Realme C21</v>
      </c>
      <c r="D787" t="str">
        <f>_xlfn.XLOOKUP(C787,Phone_by_Sentiment!$B$2:$B$37,Phone_by_Sentiment!$A$2:$A$37,"-",0,1)</f>
        <v>2021-04</v>
      </c>
      <c r="E787" cm="1">
        <f t="array" ref="E787">IF($Q787&gt;=0,IFERROR(generateSalesData($D787, IF(ISNUMBER(_xlfn.XLOOKUP($C787,Phone_by_Sentiment!$B$2:$B$37,Phone_by_Sentiment!E$2:E$37,"",0,1)),_xlfn.XLOOKUP($C787,Phone_by_Sentiment!$B$2:$B$37,Phone_by_Sentiment!E$2:E$37,"",0,1),0),$A787-TEXT(DATEVALUE($D787&amp;"-01"), "dd-mm-yyyy")),0),0)</f>
        <v>0</v>
      </c>
      <c r="F787" cm="1">
        <f t="array" ref="F787">IF($Q787&gt;=0,IFERROR(generateSalesData($D787, IF(ISNUMBER(_xlfn.XLOOKUP($C787,Phone_by_Sentiment!$B$2:$B$37,Phone_by_Sentiment!F$2:F$37,"",0,1)),_xlfn.XLOOKUP($C787,Phone_by_Sentiment!$B$2:$B$37,Phone_by_Sentiment!F$2:F$37,"",0,1),0),$A787-TEXT(DATEVALUE($D787&amp;"-01"), "dd-mm-yyyy")),0),0)</f>
        <v>0</v>
      </c>
      <c r="G787" cm="1">
        <f t="array" ref="G787">IF($Q787&gt;=0,IFERROR(generateSalesData($D787, IF(ISNUMBER(_xlfn.XLOOKUP($C787,Phone_by_Sentiment!$B$2:$B$37,Phone_by_Sentiment!G$2:G$37,"",0,1)),_xlfn.XLOOKUP($C787,Phone_by_Sentiment!$B$2:$B$37,Phone_by_Sentiment!G$2:G$37,"",0,1),0),$A787-TEXT(DATEVALUE($D787&amp;"-01"), "dd-mm-yyyy")),0),0)</f>
        <v>0</v>
      </c>
      <c r="H787" cm="1">
        <f t="array" ref="H787">IF($Q787&gt;=0,IFERROR(generateSalesData($D787, IF(ISNUMBER(_xlfn.XLOOKUP($C787,Phone_by_Sentiment!$B$2:$B$37,Phone_by_Sentiment!H$2:H$37,"",0,1)),_xlfn.XLOOKUP($C787,Phone_by_Sentiment!$B$2:$B$37,Phone_by_Sentiment!H$2:H$37,"",0,1),0),$A787-TEXT(DATEVALUE($D787&amp;"-01"), "dd-mm-yyyy")),0),0)</f>
        <v>0</v>
      </c>
      <c r="I787" cm="1">
        <f t="array" ref="I787">IF($Q787&gt;=0,IFERROR(generateSalesData($D787, IF(ISNUMBER(_xlfn.XLOOKUP($C787,Phone_by_Sentiment!$B$2:$B$37,Phone_by_Sentiment!I$2:I$37,"",0,1)),_xlfn.XLOOKUP($C787,Phone_by_Sentiment!$B$2:$B$37,Phone_by_Sentiment!I$2:I$37,"",0,1),0),$A787-TEXT(DATEVALUE($D787&amp;"-01"), "dd-mm-yyyy")),0),0)</f>
        <v>0</v>
      </c>
      <c r="J787" cm="1">
        <f t="array" ref="J787">IF($Q787&gt;=0,IFERROR(generateSalesData($D787, IF(ISNUMBER(_xlfn.XLOOKUP($C787,Phone_by_Sentiment!$B$2:$B$37,Phone_by_Sentiment!J$2:J$37,"",0,1)),_xlfn.XLOOKUP($C787,Phone_by_Sentiment!$B$2:$B$37,Phone_by_Sentiment!J$2:J$37,"",0,1),0),$A787-TEXT(DATEVALUE($D787&amp;"-01"), "dd-mm-yyyy")),0),0)</f>
        <v>0</v>
      </c>
      <c r="K787" cm="1">
        <f t="array" ref="K787">IF($Q787&gt;=0,IFERROR(generateSalesData($D787, IF(ISNUMBER(_xlfn.XLOOKUP($C787,Phone_by_Sentiment!$B$2:$B$37,Phone_by_Sentiment!K$2:K$37,"",0,1)),_xlfn.XLOOKUP($C787,Phone_by_Sentiment!$B$2:$B$37,Phone_by_Sentiment!K$2:K$37,"",0,1),0),$A787-TEXT(DATEVALUE($D787&amp;"-01"), "dd-mm-yyyy")),0),0)</f>
        <v>0</v>
      </c>
      <c r="L787" cm="1">
        <f t="array" ref="L787">IF($Q787&gt;=0,IFERROR(generateSalesData($D787, IF(ISNUMBER(_xlfn.XLOOKUP($C787,Phone_by_Sentiment!$B$2:$B$37,Phone_by_Sentiment!L$2:L$37,"",0,1)),_xlfn.XLOOKUP($C787,Phone_by_Sentiment!$B$2:$B$37,Phone_by_Sentiment!L$2:L$37,"",0,1),0),$A787-TEXT(DATEVALUE($D787&amp;"-01"), "dd-mm-yyyy")),0),0)</f>
        <v>0</v>
      </c>
      <c r="M787" cm="1">
        <f t="array" ref="M787">IF($Q787&gt;=0,IFERROR(generateSalesData($D787, IF(ISNUMBER(_xlfn.XLOOKUP($C787,Phone_by_Sentiment!$B$2:$B$37,Phone_by_Sentiment!M$2:M$37,"",0,1)),_xlfn.XLOOKUP($C787,Phone_by_Sentiment!$B$2:$B$37,Phone_by_Sentiment!M$2:M$37,"",0,1),0),$A787-TEXT(DATEVALUE($D787&amp;"-01"), "dd-mm-yyyy")),0),0)</f>
        <v>0</v>
      </c>
      <c r="N787" cm="1">
        <f t="array" ref="N787">IF($Q787&gt;=0,IFERROR(generateSalesData($D787, IF(ISNUMBER(_xlfn.XLOOKUP($C787,Phone_by_Sentiment!$B$2:$B$37,Phone_by_Sentiment!N$2:N$37,"",0,1)),_xlfn.XLOOKUP($C787,Phone_by_Sentiment!$B$2:$B$37,Phone_by_Sentiment!N$2:N$37,"",0,1),0),$A787-TEXT(DATEVALUE($D787&amp;"-01"), "dd-mm-yyyy")),0),0)</f>
        <v>0</v>
      </c>
      <c r="O787" cm="1">
        <f t="array" ref="O787">IF($Q787&gt;=0,IFERROR(generateSalesData($D787, IF(ISNUMBER(_xlfn.XLOOKUP($C787,Phone_by_Sentiment!$B$2:$B$37,Phone_by_Sentiment!O$2:O$37,"",0,1)),_xlfn.XLOOKUP($C787,Phone_by_Sentiment!$B$2:$B$37,Phone_by_Sentiment!O$2:O$37,"",0,1),0),$A787-TEXT(DATEVALUE($D787&amp;"-01"), "dd-mm-yyyy")),0),0)</f>
        <v>0</v>
      </c>
      <c r="P787" s="1">
        <f t="shared" si="32"/>
        <v>44287</v>
      </c>
      <c r="Q787">
        <f t="shared" si="33"/>
        <v>-151</v>
      </c>
    </row>
    <row r="788" spans="1:17" x14ac:dyDescent="0.25">
      <c r="A788" s="1">
        <f t="shared" si="27"/>
        <v>44136</v>
      </c>
      <c r="B788" t="s">
        <v>168</v>
      </c>
      <c r="C788" t="str">
        <f>_xlfn.XLOOKUP(B788,Phone_by_Price!$A$2:$A$34,Phone_by_Price!$B$2:$B$34,"-",0,1)</f>
        <v>Google Pixel 4</v>
      </c>
      <c r="D788" t="str">
        <f>_xlfn.XLOOKUP(C788,Phone_by_Sentiment!$B$2:$B$37,Phone_by_Sentiment!$A$2:$A$37,"-",0,1)</f>
        <v>2019-09</v>
      </c>
      <c r="E788" cm="1">
        <f t="array" ref="E788">IF($Q788&gt;=0,IFERROR(generateSalesData($D788, IF(ISNUMBER(_xlfn.XLOOKUP($C788,Phone_by_Sentiment!$B$2:$B$37,Phone_by_Sentiment!E$2:E$37,"",0,1)),_xlfn.XLOOKUP($C788,Phone_by_Sentiment!$B$2:$B$37,Phone_by_Sentiment!E$2:E$37,"",0,1),0),$A788-TEXT(DATEVALUE($D788&amp;"-01"), "dd-mm-yyyy")),0),0)</f>
        <v>376</v>
      </c>
      <c r="F788" cm="1">
        <f t="array" ref="F788">IF($Q788&gt;=0,IFERROR(generateSalesData($D788, IF(ISNUMBER(_xlfn.XLOOKUP($C788,Phone_by_Sentiment!$B$2:$B$37,Phone_by_Sentiment!F$2:F$37,"",0,1)),_xlfn.XLOOKUP($C788,Phone_by_Sentiment!$B$2:$B$37,Phone_by_Sentiment!F$2:F$37,"",0,1),0),$A788-TEXT(DATEVALUE($D788&amp;"-01"), "dd-mm-yyyy")),0),0)</f>
        <v>138</v>
      </c>
      <c r="G788" cm="1">
        <f t="array" ref="G788">IF($Q788&gt;=0,IFERROR(generateSalesData($D788, IF(ISNUMBER(_xlfn.XLOOKUP($C788,Phone_by_Sentiment!$B$2:$B$37,Phone_by_Sentiment!G$2:G$37,"",0,1)),_xlfn.XLOOKUP($C788,Phone_by_Sentiment!$B$2:$B$37,Phone_by_Sentiment!G$2:G$37,"",0,1),0),$A788-TEXT(DATEVALUE($D788&amp;"-01"), "dd-mm-yyyy")),0),0)</f>
        <v>191</v>
      </c>
      <c r="H788" cm="1">
        <f t="array" ref="H788">IF($Q788&gt;=0,IFERROR(generateSalesData($D788, IF(ISNUMBER(_xlfn.XLOOKUP($C788,Phone_by_Sentiment!$B$2:$B$37,Phone_by_Sentiment!H$2:H$37,"",0,1)),_xlfn.XLOOKUP($C788,Phone_by_Sentiment!$B$2:$B$37,Phone_by_Sentiment!H$2:H$37,"",0,1),0),$A788-TEXT(DATEVALUE($D788&amp;"-01"), "dd-mm-yyyy")),0),0)</f>
        <v>99</v>
      </c>
      <c r="I788" cm="1">
        <f t="array" ref="I788">IF($Q788&gt;=0,IFERROR(generateSalesData($D788, IF(ISNUMBER(_xlfn.XLOOKUP($C788,Phone_by_Sentiment!$B$2:$B$37,Phone_by_Sentiment!I$2:I$37,"",0,1)),_xlfn.XLOOKUP($C788,Phone_by_Sentiment!$B$2:$B$37,Phone_by_Sentiment!I$2:I$37,"",0,1),0),$A788-TEXT(DATEVALUE($D788&amp;"-01"), "dd-mm-yyyy")),0),0)</f>
        <v>38</v>
      </c>
      <c r="J788" cm="1">
        <f t="array" ref="J788">IF($Q788&gt;=0,IFERROR(generateSalesData($D788, IF(ISNUMBER(_xlfn.XLOOKUP($C788,Phone_by_Sentiment!$B$2:$B$37,Phone_by_Sentiment!J$2:J$37,"",0,1)),_xlfn.XLOOKUP($C788,Phone_by_Sentiment!$B$2:$B$37,Phone_by_Sentiment!J$2:J$37,"",0,1),0),$A788-TEXT(DATEVALUE($D788&amp;"-01"), "dd-mm-yyyy")),0),0)</f>
        <v>85</v>
      </c>
      <c r="K788" cm="1">
        <f t="array" ref="K788">IF($Q788&gt;=0,IFERROR(generateSalesData($D788, IF(ISNUMBER(_xlfn.XLOOKUP($C788,Phone_by_Sentiment!$B$2:$B$37,Phone_by_Sentiment!K$2:K$37,"",0,1)),_xlfn.XLOOKUP($C788,Phone_by_Sentiment!$B$2:$B$37,Phone_by_Sentiment!K$2:K$37,"",0,1),0),$A788-TEXT(DATEVALUE($D788&amp;"-01"), "dd-mm-yyyy")),0),0)</f>
        <v>116</v>
      </c>
      <c r="L788" cm="1">
        <f t="array" ref="L788">IF($Q788&gt;=0,IFERROR(generateSalesData($D788, IF(ISNUMBER(_xlfn.XLOOKUP($C788,Phone_by_Sentiment!$B$2:$B$37,Phone_by_Sentiment!L$2:L$37,"",0,1)),_xlfn.XLOOKUP($C788,Phone_by_Sentiment!$B$2:$B$37,Phone_by_Sentiment!L$2:L$37,"",0,1),0),$A788-TEXT(DATEVALUE($D788&amp;"-01"), "dd-mm-yyyy")),0),0)</f>
        <v>503</v>
      </c>
      <c r="M788" cm="1">
        <f t="array" ref="M788">IF($Q788&gt;=0,IFERROR(generateSalesData($D788, IF(ISNUMBER(_xlfn.XLOOKUP($C788,Phone_by_Sentiment!$B$2:$B$37,Phone_by_Sentiment!M$2:M$37,"",0,1)),_xlfn.XLOOKUP($C788,Phone_by_Sentiment!$B$2:$B$37,Phone_by_Sentiment!M$2:M$37,"",0,1),0),$A788-TEXT(DATEVALUE($D788&amp;"-01"), "dd-mm-yyyy")),0),0)</f>
        <v>170</v>
      </c>
      <c r="N788" cm="1">
        <f t="array" ref="N788">IF($Q788&gt;=0,IFERROR(generateSalesData($D788, IF(ISNUMBER(_xlfn.XLOOKUP($C788,Phone_by_Sentiment!$B$2:$B$37,Phone_by_Sentiment!N$2:N$37,"",0,1)),_xlfn.XLOOKUP($C788,Phone_by_Sentiment!$B$2:$B$37,Phone_by_Sentiment!N$2:N$37,"",0,1),0),$A788-TEXT(DATEVALUE($D788&amp;"-01"), "dd-mm-yyyy")),0),0)</f>
        <v>1117</v>
      </c>
      <c r="O788" cm="1">
        <f t="array" ref="O788">IF($Q788&gt;=0,IFERROR(generateSalesData($D788, IF(ISNUMBER(_xlfn.XLOOKUP($C788,Phone_by_Sentiment!$B$2:$B$37,Phone_by_Sentiment!O$2:O$37,"",0,1)),_xlfn.XLOOKUP($C788,Phone_by_Sentiment!$B$2:$B$37,Phone_by_Sentiment!O$2:O$37,"",0,1),0),$A788-TEXT(DATEVALUE($D788&amp;"-01"), "dd-mm-yyyy")),0),0)</f>
        <v>202</v>
      </c>
      <c r="P788" s="1">
        <f t="shared" si="32"/>
        <v>43709</v>
      </c>
      <c r="Q788">
        <f t="shared" si="33"/>
        <v>427</v>
      </c>
    </row>
    <row r="789" spans="1:17" x14ac:dyDescent="0.25">
      <c r="A789" s="1">
        <f t="shared" si="27"/>
        <v>44136</v>
      </c>
      <c r="B789" t="s">
        <v>169</v>
      </c>
      <c r="C789" t="str">
        <f>_xlfn.XLOOKUP(B789,Phone_by_Price!$A$2:$A$34,Phone_by_Price!$B$2:$B$34,"-",0,1)</f>
        <v>Samsung Galaxy A10s</v>
      </c>
      <c r="D789" t="str">
        <f>_xlfn.XLOOKUP(C789,Phone_by_Sentiment!$B$2:$B$37,Phone_by_Sentiment!$A$2:$A$37,"-",0,1)</f>
        <v>2019-08</v>
      </c>
      <c r="E789" cm="1">
        <f t="array" ref="E789">IF($Q789&gt;=0,IFERROR(generateSalesData($D789, IF(ISNUMBER(_xlfn.XLOOKUP($C789,Phone_by_Sentiment!$B$2:$B$37,Phone_by_Sentiment!E$2:E$37,"",0,1)),_xlfn.XLOOKUP($C789,Phone_by_Sentiment!$B$2:$B$37,Phone_by_Sentiment!E$2:E$37,"",0,1),0),$A789-TEXT(DATEVALUE($D789&amp;"-01"), "dd-mm-yyyy")),0),0)</f>
        <v>152</v>
      </c>
      <c r="F789" cm="1">
        <f t="array" ref="F789">IF($Q789&gt;=0,IFERROR(generateSalesData($D789, IF(ISNUMBER(_xlfn.XLOOKUP($C789,Phone_by_Sentiment!$B$2:$B$37,Phone_by_Sentiment!F$2:F$37,"",0,1)),_xlfn.XLOOKUP($C789,Phone_by_Sentiment!$B$2:$B$37,Phone_by_Sentiment!F$2:F$37,"",0,1),0),$A789-TEXT(DATEVALUE($D789&amp;"-01"), "dd-mm-yyyy")),0),0)</f>
        <v>411</v>
      </c>
      <c r="G789" cm="1">
        <f t="array" ref="G789">IF($Q789&gt;=0,IFERROR(generateSalesData($D789, IF(ISNUMBER(_xlfn.XLOOKUP($C789,Phone_by_Sentiment!$B$2:$B$37,Phone_by_Sentiment!G$2:G$37,"",0,1)),_xlfn.XLOOKUP($C789,Phone_by_Sentiment!$B$2:$B$37,Phone_by_Sentiment!G$2:G$37,"",0,1),0),$A789-TEXT(DATEVALUE($D789&amp;"-01"), "dd-mm-yyyy")),0),0)</f>
        <v>79</v>
      </c>
      <c r="H789" cm="1">
        <f t="array" ref="H789">IF($Q789&gt;=0,IFERROR(generateSalesData($D789, IF(ISNUMBER(_xlfn.XLOOKUP($C789,Phone_by_Sentiment!$B$2:$B$37,Phone_by_Sentiment!H$2:H$37,"",0,1)),_xlfn.XLOOKUP($C789,Phone_by_Sentiment!$B$2:$B$37,Phone_by_Sentiment!H$2:H$37,"",0,1),0),$A789-TEXT(DATEVALUE($D789&amp;"-01"), "dd-mm-yyyy")),0),0)</f>
        <v>395</v>
      </c>
      <c r="I789" cm="1">
        <f t="array" ref="I789">IF($Q789&gt;=0,IFERROR(generateSalesData($D789, IF(ISNUMBER(_xlfn.XLOOKUP($C789,Phone_by_Sentiment!$B$2:$B$37,Phone_by_Sentiment!I$2:I$37,"",0,1)),_xlfn.XLOOKUP($C789,Phone_by_Sentiment!$B$2:$B$37,Phone_by_Sentiment!I$2:I$37,"",0,1),0),$A789-TEXT(DATEVALUE($D789&amp;"-01"), "dd-mm-yyyy")),0),0)</f>
        <v>345</v>
      </c>
      <c r="J789" cm="1">
        <f t="array" ref="J789">IF($Q789&gt;=0,IFERROR(generateSalesData($D789, IF(ISNUMBER(_xlfn.XLOOKUP($C789,Phone_by_Sentiment!$B$2:$B$37,Phone_by_Sentiment!J$2:J$37,"",0,1)),_xlfn.XLOOKUP($C789,Phone_by_Sentiment!$B$2:$B$37,Phone_by_Sentiment!J$2:J$37,"",0,1),0),$A789-TEXT(DATEVALUE($D789&amp;"-01"), "dd-mm-yyyy")),0),0)</f>
        <v>509</v>
      </c>
      <c r="K789" cm="1">
        <f t="array" ref="K789">IF($Q789&gt;=0,IFERROR(generateSalesData($D789, IF(ISNUMBER(_xlfn.XLOOKUP($C789,Phone_by_Sentiment!$B$2:$B$37,Phone_by_Sentiment!K$2:K$37,"",0,1)),_xlfn.XLOOKUP($C789,Phone_by_Sentiment!$B$2:$B$37,Phone_by_Sentiment!K$2:K$37,"",0,1),0),$A789-TEXT(DATEVALUE($D789&amp;"-01"), "dd-mm-yyyy")),0),0)</f>
        <v>366</v>
      </c>
      <c r="L789" cm="1">
        <f t="array" ref="L789">IF($Q789&gt;=0,IFERROR(generateSalesData($D789, IF(ISNUMBER(_xlfn.XLOOKUP($C789,Phone_by_Sentiment!$B$2:$B$37,Phone_by_Sentiment!L$2:L$37,"",0,1)),_xlfn.XLOOKUP($C789,Phone_by_Sentiment!$B$2:$B$37,Phone_by_Sentiment!L$2:L$37,"",0,1),0),$A789-TEXT(DATEVALUE($D789&amp;"-01"), "dd-mm-yyyy")),0),0)</f>
        <v>200</v>
      </c>
      <c r="M789" cm="1">
        <f t="array" ref="M789">IF($Q789&gt;=0,IFERROR(generateSalesData($D789, IF(ISNUMBER(_xlfn.XLOOKUP($C789,Phone_by_Sentiment!$B$2:$B$37,Phone_by_Sentiment!M$2:M$37,"",0,1)),_xlfn.XLOOKUP($C789,Phone_by_Sentiment!$B$2:$B$37,Phone_by_Sentiment!M$2:M$37,"",0,1),0),$A789-TEXT(DATEVALUE($D789&amp;"-01"), "dd-mm-yyyy")),0),0)</f>
        <v>279</v>
      </c>
      <c r="N789" cm="1">
        <f t="array" ref="N789">IF($Q789&gt;=0,IFERROR(generateSalesData($D789, IF(ISNUMBER(_xlfn.XLOOKUP($C789,Phone_by_Sentiment!$B$2:$B$37,Phone_by_Sentiment!N$2:N$37,"",0,1)),_xlfn.XLOOKUP($C789,Phone_by_Sentiment!$B$2:$B$37,Phone_by_Sentiment!N$2:N$37,"",0,1),0),$A789-TEXT(DATEVALUE($D789&amp;"-01"), "dd-mm-yyyy")),0),0)</f>
        <v>66</v>
      </c>
      <c r="O789" cm="1">
        <f t="array" ref="O789">IF($Q789&gt;=0,IFERROR(generateSalesData($D789, IF(ISNUMBER(_xlfn.XLOOKUP($C789,Phone_by_Sentiment!$B$2:$B$37,Phone_by_Sentiment!O$2:O$37,"",0,1)),_xlfn.XLOOKUP($C789,Phone_by_Sentiment!$B$2:$B$37,Phone_by_Sentiment!O$2:O$37,"",0,1),0),$A789-TEXT(DATEVALUE($D789&amp;"-01"), "dd-mm-yyyy")),0),0)</f>
        <v>346</v>
      </c>
      <c r="P789" s="1">
        <f t="shared" si="32"/>
        <v>43678</v>
      </c>
      <c r="Q789">
        <f t="shared" si="33"/>
        <v>458</v>
      </c>
    </row>
    <row r="790" spans="1:17" x14ac:dyDescent="0.25">
      <c r="A790" s="1">
        <f t="shared" si="27"/>
        <v>44136</v>
      </c>
      <c r="B790" t="s">
        <v>170</v>
      </c>
      <c r="C790" t="str">
        <f>_xlfn.XLOOKUP(B790,Phone_by_Price!$A$2:$A$34,Phone_by_Price!$B$2:$B$34,"-",0,1)</f>
        <v>Realme Narzo 30A</v>
      </c>
      <c r="D790" t="str">
        <f>_xlfn.XLOOKUP(C790,Phone_by_Sentiment!$B$2:$B$37,Phone_by_Sentiment!$A$2:$A$37,"-",0,1)</f>
        <v>2021-02</v>
      </c>
      <c r="E790" cm="1">
        <f t="array" ref="E790">IF($Q790&gt;=0,IFERROR(generateSalesData($D790, IF(ISNUMBER(_xlfn.XLOOKUP($C790,Phone_by_Sentiment!$B$2:$B$37,Phone_by_Sentiment!E$2:E$37,"",0,1)),_xlfn.XLOOKUP($C790,Phone_by_Sentiment!$B$2:$B$37,Phone_by_Sentiment!E$2:E$37,"",0,1),0),$A790-TEXT(DATEVALUE($D790&amp;"-01"), "dd-mm-yyyy")),0),0)</f>
        <v>0</v>
      </c>
      <c r="F790" cm="1">
        <f t="array" ref="F790">IF($Q790&gt;=0,IFERROR(generateSalesData($D790, IF(ISNUMBER(_xlfn.XLOOKUP($C790,Phone_by_Sentiment!$B$2:$B$37,Phone_by_Sentiment!F$2:F$37,"",0,1)),_xlfn.XLOOKUP($C790,Phone_by_Sentiment!$B$2:$B$37,Phone_by_Sentiment!F$2:F$37,"",0,1),0),$A790-TEXT(DATEVALUE($D790&amp;"-01"), "dd-mm-yyyy")),0),0)</f>
        <v>0</v>
      </c>
      <c r="G790" cm="1">
        <f t="array" ref="G790">IF($Q790&gt;=0,IFERROR(generateSalesData($D790, IF(ISNUMBER(_xlfn.XLOOKUP($C790,Phone_by_Sentiment!$B$2:$B$37,Phone_by_Sentiment!G$2:G$37,"",0,1)),_xlfn.XLOOKUP($C790,Phone_by_Sentiment!$B$2:$B$37,Phone_by_Sentiment!G$2:G$37,"",0,1),0),$A790-TEXT(DATEVALUE($D790&amp;"-01"), "dd-mm-yyyy")),0),0)</f>
        <v>0</v>
      </c>
      <c r="H790" cm="1">
        <f t="array" ref="H790">IF($Q790&gt;=0,IFERROR(generateSalesData($D790, IF(ISNUMBER(_xlfn.XLOOKUP($C790,Phone_by_Sentiment!$B$2:$B$37,Phone_by_Sentiment!H$2:H$37,"",0,1)),_xlfn.XLOOKUP($C790,Phone_by_Sentiment!$B$2:$B$37,Phone_by_Sentiment!H$2:H$37,"",0,1),0),$A790-TEXT(DATEVALUE($D790&amp;"-01"), "dd-mm-yyyy")),0),0)</f>
        <v>0</v>
      </c>
      <c r="I790" cm="1">
        <f t="array" ref="I790">IF($Q790&gt;=0,IFERROR(generateSalesData($D790, IF(ISNUMBER(_xlfn.XLOOKUP($C790,Phone_by_Sentiment!$B$2:$B$37,Phone_by_Sentiment!I$2:I$37,"",0,1)),_xlfn.XLOOKUP($C790,Phone_by_Sentiment!$B$2:$B$37,Phone_by_Sentiment!I$2:I$37,"",0,1),0),$A790-TEXT(DATEVALUE($D790&amp;"-01"), "dd-mm-yyyy")),0),0)</f>
        <v>0</v>
      </c>
      <c r="J790" cm="1">
        <f t="array" ref="J790">IF($Q790&gt;=0,IFERROR(generateSalesData($D790, IF(ISNUMBER(_xlfn.XLOOKUP($C790,Phone_by_Sentiment!$B$2:$B$37,Phone_by_Sentiment!J$2:J$37,"",0,1)),_xlfn.XLOOKUP($C790,Phone_by_Sentiment!$B$2:$B$37,Phone_by_Sentiment!J$2:J$37,"",0,1),0),$A790-TEXT(DATEVALUE($D790&amp;"-01"), "dd-mm-yyyy")),0),0)</f>
        <v>0</v>
      </c>
      <c r="K790" cm="1">
        <f t="array" ref="K790">IF($Q790&gt;=0,IFERROR(generateSalesData($D790, IF(ISNUMBER(_xlfn.XLOOKUP($C790,Phone_by_Sentiment!$B$2:$B$37,Phone_by_Sentiment!K$2:K$37,"",0,1)),_xlfn.XLOOKUP($C790,Phone_by_Sentiment!$B$2:$B$37,Phone_by_Sentiment!K$2:K$37,"",0,1),0),$A790-TEXT(DATEVALUE($D790&amp;"-01"), "dd-mm-yyyy")),0),0)</f>
        <v>0</v>
      </c>
      <c r="L790" cm="1">
        <f t="array" ref="L790">IF($Q790&gt;=0,IFERROR(generateSalesData($D790, IF(ISNUMBER(_xlfn.XLOOKUP($C790,Phone_by_Sentiment!$B$2:$B$37,Phone_by_Sentiment!L$2:L$37,"",0,1)),_xlfn.XLOOKUP($C790,Phone_by_Sentiment!$B$2:$B$37,Phone_by_Sentiment!L$2:L$37,"",0,1),0),$A790-TEXT(DATEVALUE($D790&amp;"-01"), "dd-mm-yyyy")),0),0)</f>
        <v>0</v>
      </c>
      <c r="M790" cm="1">
        <f t="array" ref="M790">IF($Q790&gt;=0,IFERROR(generateSalesData($D790, IF(ISNUMBER(_xlfn.XLOOKUP($C790,Phone_by_Sentiment!$B$2:$B$37,Phone_by_Sentiment!M$2:M$37,"",0,1)),_xlfn.XLOOKUP($C790,Phone_by_Sentiment!$B$2:$B$37,Phone_by_Sentiment!M$2:M$37,"",0,1),0),$A790-TEXT(DATEVALUE($D790&amp;"-01"), "dd-mm-yyyy")),0),0)</f>
        <v>0</v>
      </c>
      <c r="N790" cm="1">
        <f t="array" ref="N790">IF($Q790&gt;=0,IFERROR(generateSalesData($D790, IF(ISNUMBER(_xlfn.XLOOKUP($C790,Phone_by_Sentiment!$B$2:$B$37,Phone_by_Sentiment!N$2:N$37,"",0,1)),_xlfn.XLOOKUP($C790,Phone_by_Sentiment!$B$2:$B$37,Phone_by_Sentiment!N$2:N$37,"",0,1),0),$A790-TEXT(DATEVALUE($D790&amp;"-01"), "dd-mm-yyyy")),0),0)</f>
        <v>0</v>
      </c>
      <c r="O790" cm="1">
        <f t="array" ref="O790">IF($Q790&gt;=0,IFERROR(generateSalesData($D790, IF(ISNUMBER(_xlfn.XLOOKUP($C790,Phone_by_Sentiment!$B$2:$B$37,Phone_by_Sentiment!O$2:O$37,"",0,1)),_xlfn.XLOOKUP($C790,Phone_by_Sentiment!$B$2:$B$37,Phone_by_Sentiment!O$2:O$37,"",0,1),0),$A790-TEXT(DATEVALUE($D790&amp;"-01"), "dd-mm-yyyy")),0),0)</f>
        <v>0</v>
      </c>
      <c r="P790" s="1">
        <f t="shared" si="32"/>
        <v>44228</v>
      </c>
      <c r="Q790">
        <f t="shared" si="33"/>
        <v>-92</v>
      </c>
    </row>
    <row r="791" spans="1:17" x14ac:dyDescent="0.25">
      <c r="A791" s="1">
        <f t="shared" si="27"/>
        <v>44136</v>
      </c>
      <c r="B791" t="s">
        <v>171</v>
      </c>
      <c r="C791" t="str">
        <f>_xlfn.XLOOKUP(B791,Phone_by_Price!$A$2:$A$34,Phone_by_Price!$B$2:$B$34,"-",0,1)</f>
        <v>Samsung Galaxy A22 5G</v>
      </c>
      <c r="D791" t="str">
        <f>_xlfn.XLOOKUP(C791,Phone_by_Sentiment!$B$2:$B$37,Phone_by_Sentiment!$A$2:$A$37,"-",0,1)</f>
        <v>2021-05</v>
      </c>
      <c r="E791" cm="1">
        <f t="array" ref="E791">IF($Q791&gt;=0,IFERROR(generateSalesData($D791, IF(ISNUMBER(_xlfn.XLOOKUP($C791,Phone_by_Sentiment!$B$2:$B$37,Phone_by_Sentiment!E$2:E$37,"",0,1)),_xlfn.XLOOKUP($C791,Phone_by_Sentiment!$B$2:$B$37,Phone_by_Sentiment!E$2:E$37,"",0,1),0),$A791-TEXT(DATEVALUE($D791&amp;"-01"), "dd-mm-yyyy")),0),0)</f>
        <v>0</v>
      </c>
      <c r="F791" cm="1">
        <f t="array" ref="F791">IF($Q791&gt;=0,IFERROR(generateSalesData($D791, IF(ISNUMBER(_xlfn.XLOOKUP($C791,Phone_by_Sentiment!$B$2:$B$37,Phone_by_Sentiment!F$2:F$37,"",0,1)),_xlfn.XLOOKUP($C791,Phone_by_Sentiment!$B$2:$B$37,Phone_by_Sentiment!F$2:F$37,"",0,1),0),$A791-TEXT(DATEVALUE($D791&amp;"-01"), "dd-mm-yyyy")),0),0)</f>
        <v>0</v>
      </c>
      <c r="G791" cm="1">
        <f t="array" ref="G791">IF($Q791&gt;=0,IFERROR(generateSalesData($D791, IF(ISNUMBER(_xlfn.XLOOKUP($C791,Phone_by_Sentiment!$B$2:$B$37,Phone_by_Sentiment!G$2:G$37,"",0,1)),_xlfn.XLOOKUP($C791,Phone_by_Sentiment!$B$2:$B$37,Phone_by_Sentiment!G$2:G$37,"",0,1),0),$A791-TEXT(DATEVALUE($D791&amp;"-01"), "dd-mm-yyyy")),0),0)</f>
        <v>0</v>
      </c>
      <c r="H791" cm="1">
        <f t="array" ref="H791">IF($Q791&gt;=0,IFERROR(generateSalesData($D791, IF(ISNUMBER(_xlfn.XLOOKUP($C791,Phone_by_Sentiment!$B$2:$B$37,Phone_by_Sentiment!H$2:H$37,"",0,1)),_xlfn.XLOOKUP($C791,Phone_by_Sentiment!$B$2:$B$37,Phone_by_Sentiment!H$2:H$37,"",0,1),0),$A791-TEXT(DATEVALUE($D791&amp;"-01"), "dd-mm-yyyy")),0),0)</f>
        <v>0</v>
      </c>
      <c r="I791" cm="1">
        <f t="array" ref="I791">IF($Q791&gt;=0,IFERROR(generateSalesData($D791, IF(ISNUMBER(_xlfn.XLOOKUP($C791,Phone_by_Sentiment!$B$2:$B$37,Phone_by_Sentiment!I$2:I$37,"",0,1)),_xlfn.XLOOKUP($C791,Phone_by_Sentiment!$B$2:$B$37,Phone_by_Sentiment!I$2:I$37,"",0,1),0),$A791-TEXT(DATEVALUE($D791&amp;"-01"), "dd-mm-yyyy")),0),0)</f>
        <v>0</v>
      </c>
      <c r="J791" cm="1">
        <f t="array" ref="J791">IF($Q791&gt;=0,IFERROR(generateSalesData($D791, IF(ISNUMBER(_xlfn.XLOOKUP($C791,Phone_by_Sentiment!$B$2:$B$37,Phone_by_Sentiment!J$2:J$37,"",0,1)),_xlfn.XLOOKUP($C791,Phone_by_Sentiment!$B$2:$B$37,Phone_by_Sentiment!J$2:J$37,"",0,1),0),$A791-TEXT(DATEVALUE($D791&amp;"-01"), "dd-mm-yyyy")),0),0)</f>
        <v>0</v>
      </c>
      <c r="K791" cm="1">
        <f t="array" ref="K791">IF($Q791&gt;=0,IFERROR(generateSalesData($D791, IF(ISNUMBER(_xlfn.XLOOKUP($C791,Phone_by_Sentiment!$B$2:$B$37,Phone_by_Sentiment!K$2:K$37,"",0,1)),_xlfn.XLOOKUP($C791,Phone_by_Sentiment!$B$2:$B$37,Phone_by_Sentiment!K$2:K$37,"",0,1),0),$A791-TEXT(DATEVALUE($D791&amp;"-01"), "dd-mm-yyyy")),0),0)</f>
        <v>0</v>
      </c>
      <c r="L791" cm="1">
        <f t="array" ref="L791">IF($Q791&gt;=0,IFERROR(generateSalesData($D791, IF(ISNUMBER(_xlfn.XLOOKUP($C791,Phone_by_Sentiment!$B$2:$B$37,Phone_by_Sentiment!L$2:L$37,"",0,1)),_xlfn.XLOOKUP($C791,Phone_by_Sentiment!$B$2:$B$37,Phone_by_Sentiment!L$2:L$37,"",0,1),0),$A791-TEXT(DATEVALUE($D791&amp;"-01"), "dd-mm-yyyy")),0),0)</f>
        <v>0</v>
      </c>
      <c r="M791" cm="1">
        <f t="array" ref="M791">IF($Q791&gt;=0,IFERROR(generateSalesData($D791, IF(ISNUMBER(_xlfn.XLOOKUP($C791,Phone_by_Sentiment!$B$2:$B$37,Phone_by_Sentiment!M$2:M$37,"",0,1)),_xlfn.XLOOKUP($C791,Phone_by_Sentiment!$B$2:$B$37,Phone_by_Sentiment!M$2:M$37,"",0,1),0),$A791-TEXT(DATEVALUE($D791&amp;"-01"), "dd-mm-yyyy")),0),0)</f>
        <v>0</v>
      </c>
      <c r="N791" cm="1">
        <f t="array" ref="N791">IF($Q791&gt;=0,IFERROR(generateSalesData($D791, IF(ISNUMBER(_xlfn.XLOOKUP($C791,Phone_by_Sentiment!$B$2:$B$37,Phone_by_Sentiment!N$2:N$37,"",0,1)),_xlfn.XLOOKUP($C791,Phone_by_Sentiment!$B$2:$B$37,Phone_by_Sentiment!N$2:N$37,"",0,1),0),$A791-TEXT(DATEVALUE($D791&amp;"-01"), "dd-mm-yyyy")),0),0)</f>
        <v>0</v>
      </c>
      <c r="O791" cm="1">
        <f t="array" ref="O791">IF($Q791&gt;=0,IFERROR(generateSalesData($D791, IF(ISNUMBER(_xlfn.XLOOKUP($C791,Phone_by_Sentiment!$B$2:$B$37,Phone_by_Sentiment!O$2:O$37,"",0,1)),_xlfn.XLOOKUP($C791,Phone_by_Sentiment!$B$2:$B$37,Phone_by_Sentiment!O$2:O$37,"",0,1),0),$A791-TEXT(DATEVALUE($D791&amp;"-01"), "dd-mm-yyyy")),0),0)</f>
        <v>0</v>
      </c>
      <c r="P791" s="1">
        <f t="shared" si="32"/>
        <v>44317</v>
      </c>
      <c r="Q791">
        <f t="shared" si="33"/>
        <v>-181</v>
      </c>
    </row>
    <row r="792" spans="1:17" x14ac:dyDescent="0.25">
      <c r="A792" s="1">
        <f t="shared" si="27"/>
        <v>44136</v>
      </c>
      <c r="B792" t="s">
        <v>172</v>
      </c>
      <c r="C792" t="str">
        <f>_xlfn.XLOOKUP(B792,Phone_by_Price!$A$2:$A$34,Phone_by_Price!$B$2:$B$34,"-",0,1)</f>
        <v>Xiaomi Redmi 9</v>
      </c>
      <c r="D792" t="str">
        <f>_xlfn.XLOOKUP(C792,Phone_by_Sentiment!$B$2:$B$37,Phone_by_Sentiment!$A$2:$A$37,"-",0,1)</f>
        <v>2020-08</v>
      </c>
      <c r="E792" cm="1">
        <f t="array" ref="E792">IF($Q792&gt;=0,IFERROR(generateSalesData($D792, IF(ISNUMBER(_xlfn.XLOOKUP($C792,Phone_by_Sentiment!$B$2:$B$37,Phone_by_Sentiment!E$2:E$37,"",0,1)),_xlfn.XLOOKUP($C792,Phone_by_Sentiment!$B$2:$B$37,Phone_by_Sentiment!E$2:E$37,"",0,1),0),$A792-TEXT(DATEVALUE($D792&amp;"-01"), "dd-mm-yyyy")),0),0)</f>
        <v>629</v>
      </c>
      <c r="F792" cm="1">
        <f t="array" ref="F792">IF($Q792&gt;=0,IFERROR(generateSalesData($D792, IF(ISNUMBER(_xlfn.XLOOKUP($C792,Phone_by_Sentiment!$B$2:$B$37,Phone_by_Sentiment!F$2:F$37,"",0,1)),_xlfn.XLOOKUP($C792,Phone_by_Sentiment!$B$2:$B$37,Phone_by_Sentiment!F$2:F$37,"",0,1),0),$A792-TEXT(DATEVALUE($D792&amp;"-01"), "dd-mm-yyyy")),0),0)</f>
        <v>748</v>
      </c>
      <c r="G792" cm="1">
        <f t="array" ref="G792">IF($Q792&gt;=0,IFERROR(generateSalesData($D792, IF(ISNUMBER(_xlfn.XLOOKUP($C792,Phone_by_Sentiment!$B$2:$B$37,Phone_by_Sentiment!G$2:G$37,"",0,1)),_xlfn.XLOOKUP($C792,Phone_by_Sentiment!$B$2:$B$37,Phone_by_Sentiment!G$2:G$37,"",0,1),0),$A792-TEXT(DATEVALUE($D792&amp;"-01"), "dd-mm-yyyy")),0),0)</f>
        <v>447</v>
      </c>
      <c r="H792" cm="1">
        <f t="array" ref="H792">IF($Q792&gt;=0,IFERROR(generateSalesData($D792, IF(ISNUMBER(_xlfn.XLOOKUP($C792,Phone_by_Sentiment!$B$2:$B$37,Phone_by_Sentiment!H$2:H$37,"",0,1)),_xlfn.XLOOKUP($C792,Phone_by_Sentiment!$B$2:$B$37,Phone_by_Sentiment!H$2:H$37,"",0,1),0),$A792-TEXT(DATEVALUE($D792&amp;"-01"), "dd-mm-yyyy")),0),0)</f>
        <v>744</v>
      </c>
      <c r="I792" cm="1">
        <f t="array" ref="I792">IF($Q792&gt;=0,IFERROR(generateSalesData($D792, IF(ISNUMBER(_xlfn.XLOOKUP($C792,Phone_by_Sentiment!$B$2:$B$37,Phone_by_Sentiment!I$2:I$37,"",0,1)),_xlfn.XLOOKUP($C792,Phone_by_Sentiment!$B$2:$B$37,Phone_by_Sentiment!I$2:I$37,"",0,1),0),$A792-TEXT(DATEVALUE($D792&amp;"-01"), "dd-mm-yyyy")),0),0)</f>
        <v>520</v>
      </c>
      <c r="J792" cm="1">
        <f t="array" ref="J792">IF($Q792&gt;=0,IFERROR(generateSalesData($D792, IF(ISNUMBER(_xlfn.XLOOKUP($C792,Phone_by_Sentiment!$B$2:$B$37,Phone_by_Sentiment!J$2:J$37,"",0,1)),_xlfn.XLOOKUP($C792,Phone_by_Sentiment!$B$2:$B$37,Phone_by_Sentiment!J$2:J$37,"",0,1),0),$A792-TEXT(DATEVALUE($D792&amp;"-01"), "dd-mm-yyyy")),0),0)</f>
        <v>1517</v>
      </c>
      <c r="K792" cm="1">
        <f t="array" ref="K792">IF($Q792&gt;=0,IFERROR(generateSalesData($D792, IF(ISNUMBER(_xlfn.XLOOKUP($C792,Phone_by_Sentiment!$B$2:$B$37,Phone_by_Sentiment!K$2:K$37,"",0,1)),_xlfn.XLOOKUP($C792,Phone_by_Sentiment!$B$2:$B$37,Phone_by_Sentiment!K$2:K$37,"",0,1),0),$A792-TEXT(DATEVALUE($D792&amp;"-01"), "dd-mm-yyyy")),0),0)</f>
        <v>4231</v>
      </c>
      <c r="L792" cm="1">
        <f t="array" ref="L792">IF($Q792&gt;=0,IFERROR(generateSalesData($D792, IF(ISNUMBER(_xlfn.XLOOKUP($C792,Phone_by_Sentiment!$B$2:$B$37,Phone_by_Sentiment!L$2:L$37,"",0,1)),_xlfn.XLOOKUP($C792,Phone_by_Sentiment!$B$2:$B$37,Phone_by_Sentiment!L$2:L$37,"",0,1),0),$A792-TEXT(DATEVALUE($D792&amp;"-01"), "dd-mm-yyyy")),0),0)</f>
        <v>516</v>
      </c>
      <c r="M792" cm="1">
        <f t="array" ref="M792">IF($Q792&gt;=0,IFERROR(generateSalesData($D792, IF(ISNUMBER(_xlfn.XLOOKUP($C792,Phone_by_Sentiment!$B$2:$B$37,Phone_by_Sentiment!M$2:M$37,"",0,1)),_xlfn.XLOOKUP($C792,Phone_by_Sentiment!$B$2:$B$37,Phone_by_Sentiment!M$2:M$37,"",0,1),0),$A792-TEXT(DATEVALUE($D792&amp;"-01"), "dd-mm-yyyy")),0),0)</f>
        <v>2854</v>
      </c>
      <c r="N792" cm="1">
        <f t="array" ref="N792">IF($Q792&gt;=0,IFERROR(generateSalesData($D792, IF(ISNUMBER(_xlfn.XLOOKUP($C792,Phone_by_Sentiment!$B$2:$B$37,Phone_by_Sentiment!N$2:N$37,"",0,1)),_xlfn.XLOOKUP($C792,Phone_by_Sentiment!$B$2:$B$37,Phone_by_Sentiment!N$2:N$37,"",0,1),0),$A792-TEXT(DATEVALUE($D792&amp;"-01"), "dd-mm-yyyy")),0),0)</f>
        <v>490</v>
      </c>
      <c r="O792" cm="1">
        <f t="array" ref="O792">IF($Q792&gt;=0,IFERROR(generateSalesData($D792, IF(ISNUMBER(_xlfn.XLOOKUP($C792,Phone_by_Sentiment!$B$2:$B$37,Phone_by_Sentiment!O$2:O$37,"",0,1)),_xlfn.XLOOKUP($C792,Phone_by_Sentiment!$B$2:$B$37,Phone_by_Sentiment!O$2:O$37,"",0,1),0),$A792-TEXT(DATEVALUE($D792&amp;"-01"), "dd-mm-yyyy")),0),0)</f>
        <v>1344</v>
      </c>
      <c r="P792" s="1">
        <f t="shared" si="32"/>
        <v>44044</v>
      </c>
      <c r="Q792">
        <f t="shared" si="33"/>
        <v>92</v>
      </c>
    </row>
    <row r="793" spans="1:17" x14ac:dyDescent="0.25">
      <c r="A793" s="1">
        <f t="shared" si="27"/>
        <v>44136</v>
      </c>
      <c r="B793" t="s">
        <v>173</v>
      </c>
      <c r="C793" t="str">
        <f>_xlfn.XLOOKUP(B793,Phone_by_Price!$A$2:$A$34,Phone_by_Price!$B$2:$B$34,"-",0,1)</f>
        <v>Realme C3</v>
      </c>
      <c r="D793" t="str">
        <f>_xlfn.XLOOKUP(C793,Phone_by_Sentiment!$B$2:$B$37,Phone_by_Sentiment!$A$2:$A$37,"-",0,1)</f>
        <v>2020-02</v>
      </c>
      <c r="E793" cm="1">
        <f t="array" ref="E793">IF($Q793&gt;=0,IFERROR(generateSalesData($D793, IF(ISNUMBER(_xlfn.XLOOKUP($C793,Phone_by_Sentiment!$B$2:$B$37,Phone_by_Sentiment!E$2:E$37,"",0,1)),_xlfn.XLOOKUP($C793,Phone_by_Sentiment!$B$2:$B$37,Phone_by_Sentiment!E$2:E$37,"",0,1),0),$A793-TEXT(DATEVALUE($D793&amp;"-01"), "dd-mm-yyyy")),0),0)</f>
        <v>-49</v>
      </c>
      <c r="F793" cm="1">
        <f t="array" ref="F793">IF($Q793&gt;=0,IFERROR(generateSalesData($D793, IF(ISNUMBER(_xlfn.XLOOKUP($C793,Phone_by_Sentiment!$B$2:$B$37,Phone_by_Sentiment!F$2:F$37,"",0,1)),_xlfn.XLOOKUP($C793,Phone_by_Sentiment!$B$2:$B$37,Phone_by_Sentiment!F$2:F$37,"",0,1),0),$A793-TEXT(DATEVALUE($D793&amp;"-01"), "dd-mm-yyyy")),0),0)</f>
        <v>65</v>
      </c>
      <c r="G793" cm="1">
        <f t="array" ref="G793">IF($Q793&gt;=0,IFERROR(generateSalesData($D793, IF(ISNUMBER(_xlfn.XLOOKUP($C793,Phone_by_Sentiment!$B$2:$B$37,Phone_by_Sentiment!G$2:G$37,"",0,1)),_xlfn.XLOOKUP($C793,Phone_by_Sentiment!$B$2:$B$37,Phone_by_Sentiment!G$2:G$37,"",0,1),0),$A793-TEXT(DATEVALUE($D793&amp;"-01"), "dd-mm-yyyy")),0),0)</f>
        <v>240</v>
      </c>
      <c r="H793" cm="1">
        <f t="array" ref="H793">IF($Q793&gt;=0,IFERROR(generateSalesData($D793, IF(ISNUMBER(_xlfn.XLOOKUP($C793,Phone_by_Sentiment!$B$2:$B$37,Phone_by_Sentiment!H$2:H$37,"",0,1)),_xlfn.XLOOKUP($C793,Phone_by_Sentiment!$B$2:$B$37,Phone_by_Sentiment!H$2:H$37,"",0,1),0),$A793-TEXT(DATEVALUE($D793&amp;"-01"), "dd-mm-yyyy")),0),0)</f>
        <v>570</v>
      </c>
      <c r="I793" cm="1">
        <f t="array" ref="I793">IF($Q793&gt;=0,IFERROR(generateSalesData($D793, IF(ISNUMBER(_xlfn.XLOOKUP($C793,Phone_by_Sentiment!$B$2:$B$37,Phone_by_Sentiment!I$2:I$37,"",0,1)),_xlfn.XLOOKUP($C793,Phone_by_Sentiment!$B$2:$B$37,Phone_by_Sentiment!I$2:I$37,"",0,1),0),$A793-TEXT(DATEVALUE($D793&amp;"-01"), "dd-mm-yyyy")),0),0)</f>
        <v>374</v>
      </c>
      <c r="J793" cm="1">
        <f t="array" ref="J793">IF($Q793&gt;=0,IFERROR(generateSalesData($D793, IF(ISNUMBER(_xlfn.XLOOKUP($C793,Phone_by_Sentiment!$B$2:$B$37,Phone_by_Sentiment!J$2:J$37,"",0,1)),_xlfn.XLOOKUP($C793,Phone_by_Sentiment!$B$2:$B$37,Phone_by_Sentiment!J$2:J$37,"",0,1),0),$A793-TEXT(DATEVALUE($D793&amp;"-01"), "dd-mm-yyyy")),0),0)</f>
        <v>218</v>
      </c>
      <c r="K793" cm="1">
        <f t="array" ref="K793">IF($Q793&gt;=0,IFERROR(generateSalesData($D793, IF(ISNUMBER(_xlfn.XLOOKUP($C793,Phone_by_Sentiment!$B$2:$B$37,Phone_by_Sentiment!K$2:K$37,"",0,1)),_xlfn.XLOOKUP($C793,Phone_by_Sentiment!$B$2:$B$37,Phone_by_Sentiment!K$2:K$37,"",0,1),0),$A793-TEXT(DATEVALUE($D793&amp;"-01"), "dd-mm-yyyy")),0),0)</f>
        <v>674</v>
      </c>
      <c r="L793" cm="1">
        <f t="array" ref="L793">IF($Q793&gt;=0,IFERROR(generateSalesData($D793, IF(ISNUMBER(_xlfn.XLOOKUP($C793,Phone_by_Sentiment!$B$2:$B$37,Phone_by_Sentiment!L$2:L$37,"",0,1)),_xlfn.XLOOKUP($C793,Phone_by_Sentiment!$B$2:$B$37,Phone_by_Sentiment!L$2:L$37,"",0,1),0),$A793-TEXT(DATEVALUE($D793&amp;"-01"), "dd-mm-yyyy")),0),0)</f>
        <v>258</v>
      </c>
      <c r="M793" cm="1">
        <f t="array" ref="M793">IF($Q793&gt;=0,IFERROR(generateSalesData($D793, IF(ISNUMBER(_xlfn.XLOOKUP($C793,Phone_by_Sentiment!$B$2:$B$37,Phone_by_Sentiment!M$2:M$37,"",0,1)),_xlfn.XLOOKUP($C793,Phone_by_Sentiment!$B$2:$B$37,Phone_by_Sentiment!M$2:M$37,"",0,1),0),$A793-TEXT(DATEVALUE($D793&amp;"-01"), "dd-mm-yyyy")),0),0)</f>
        <v>261</v>
      </c>
      <c r="N793" cm="1">
        <f t="array" ref="N793">IF($Q793&gt;=0,IFERROR(generateSalesData($D793, IF(ISNUMBER(_xlfn.XLOOKUP($C793,Phone_by_Sentiment!$B$2:$B$37,Phone_by_Sentiment!N$2:N$37,"",0,1)),_xlfn.XLOOKUP($C793,Phone_by_Sentiment!$B$2:$B$37,Phone_by_Sentiment!N$2:N$37,"",0,1),0),$A793-TEXT(DATEVALUE($D793&amp;"-01"), "dd-mm-yyyy")),0),0)</f>
        <v>840</v>
      </c>
      <c r="O793" cm="1">
        <f t="array" ref="O793">IF($Q793&gt;=0,IFERROR(generateSalesData($D793, IF(ISNUMBER(_xlfn.XLOOKUP($C793,Phone_by_Sentiment!$B$2:$B$37,Phone_by_Sentiment!O$2:O$37,"",0,1)),_xlfn.XLOOKUP($C793,Phone_by_Sentiment!$B$2:$B$37,Phone_by_Sentiment!O$2:O$37,"",0,1),0),$A793-TEXT(DATEVALUE($D793&amp;"-01"), "dd-mm-yyyy")),0),0)</f>
        <v>228</v>
      </c>
      <c r="P793" s="1">
        <f t="shared" si="32"/>
        <v>43862</v>
      </c>
      <c r="Q793">
        <f t="shared" si="33"/>
        <v>274</v>
      </c>
    </row>
    <row r="794" spans="1:17" x14ac:dyDescent="0.25">
      <c r="A794" s="1">
        <f t="shared" si="27"/>
        <v>44136</v>
      </c>
      <c r="B794" t="s">
        <v>174</v>
      </c>
      <c r="C794" t="str">
        <f>_xlfn.XLOOKUP(B794,Phone_by_Price!$A$2:$A$34,Phone_by_Price!$B$2:$B$34,"-",0,1)</f>
        <v>Samsung Galaxy A7</v>
      </c>
      <c r="D794" t="str">
        <f>_xlfn.XLOOKUP(C794,Phone_by_Sentiment!$B$2:$B$37,Phone_by_Sentiment!$A$2:$A$37,"-",0,1)</f>
        <v>2018-10</v>
      </c>
      <c r="E794" cm="1">
        <f t="array" ref="E794">IF($Q794&gt;=0,IFERROR(generateSalesData($D794, IF(ISNUMBER(_xlfn.XLOOKUP($C794,Phone_by_Sentiment!$B$2:$B$37,Phone_by_Sentiment!E$2:E$37,"",0,1)),_xlfn.XLOOKUP($C794,Phone_by_Sentiment!$B$2:$B$37,Phone_by_Sentiment!E$2:E$37,"",0,1),0),$A794-TEXT(DATEVALUE($D794&amp;"-01"), "dd-mm-yyyy")),0),0)</f>
        <v>79</v>
      </c>
      <c r="F794" cm="1">
        <f t="array" ref="F794">IF($Q794&gt;=0,IFERROR(generateSalesData($D794, IF(ISNUMBER(_xlfn.XLOOKUP($C794,Phone_by_Sentiment!$B$2:$B$37,Phone_by_Sentiment!F$2:F$37,"",0,1)),_xlfn.XLOOKUP($C794,Phone_by_Sentiment!$B$2:$B$37,Phone_by_Sentiment!F$2:F$37,"",0,1),0),$A794-TEXT(DATEVALUE($D794&amp;"-01"), "dd-mm-yyyy")),0),0)</f>
        <v>94</v>
      </c>
      <c r="G794" cm="1">
        <f t="array" ref="G794">IF($Q794&gt;=0,IFERROR(generateSalesData($D794, IF(ISNUMBER(_xlfn.XLOOKUP($C794,Phone_by_Sentiment!$B$2:$B$37,Phone_by_Sentiment!G$2:G$37,"",0,1)),_xlfn.XLOOKUP($C794,Phone_by_Sentiment!$B$2:$B$37,Phone_by_Sentiment!G$2:G$37,"",0,1),0),$A794-TEXT(DATEVALUE($D794&amp;"-01"), "dd-mm-yyyy")),0),0)</f>
        <v>32</v>
      </c>
      <c r="H794" cm="1">
        <f t="array" ref="H794">IF($Q794&gt;=0,IFERROR(generateSalesData($D794, IF(ISNUMBER(_xlfn.XLOOKUP($C794,Phone_by_Sentiment!$B$2:$B$37,Phone_by_Sentiment!H$2:H$37,"",0,1)),_xlfn.XLOOKUP($C794,Phone_by_Sentiment!$B$2:$B$37,Phone_by_Sentiment!H$2:H$37,"",0,1),0),$A794-TEXT(DATEVALUE($D794&amp;"-01"), "dd-mm-yyyy")),0),0)</f>
        <v>-11</v>
      </c>
      <c r="I794" cm="1">
        <f t="array" ref="I794">IF($Q794&gt;=0,IFERROR(generateSalesData($D794, IF(ISNUMBER(_xlfn.XLOOKUP($C794,Phone_by_Sentiment!$B$2:$B$37,Phone_by_Sentiment!I$2:I$37,"",0,1)),_xlfn.XLOOKUP($C794,Phone_by_Sentiment!$B$2:$B$37,Phone_by_Sentiment!I$2:I$37,"",0,1),0),$A794-TEXT(DATEVALUE($D794&amp;"-01"), "dd-mm-yyyy")),0),0)</f>
        <v>139</v>
      </c>
      <c r="J794" cm="1">
        <f t="array" ref="J794">IF($Q794&gt;=0,IFERROR(generateSalesData($D794, IF(ISNUMBER(_xlfn.XLOOKUP($C794,Phone_by_Sentiment!$B$2:$B$37,Phone_by_Sentiment!J$2:J$37,"",0,1)),_xlfn.XLOOKUP($C794,Phone_by_Sentiment!$B$2:$B$37,Phone_by_Sentiment!J$2:J$37,"",0,1),0),$A794-TEXT(DATEVALUE($D794&amp;"-01"), "dd-mm-yyyy")),0),0)</f>
        <v>29</v>
      </c>
      <c r="K794" cm="1">
        <f t="array" ref="K794">IF($Q794&gt;=0,IFERROR(generateSalesData($D794, IF(ISNUMBER(_xlfn.XLOOKUP($C794,Phone_by_Sentiment!$B$2:$B$37,Phone_by_Sentiment!K$2:K$37,"",0,1)),_xlfn.XLOOKUP($C794,Phone_by_Sentiment!$B$2:$B$37,Phone_by_Sentiment!K$2:K$37,"",0,1),0),$A794-TEXT(DATEVALUE($D794&amp;"-01"), "dd-mm-yyyy")),0),0)</f>
        <v>39</v>
      </c>
      <c r="L794" cm="1">
        <f t="array" ref="L794">IF($Q794&gt;=0,IFERROR(generateSalesData($D794, IF(ISNUMBER(_xlfn.XLOOKUP($C794,Phone_by_Sentiment!$B$2:$B$37,Phone_by_Sentiment!L$2:L$37,"",0,1)),_xlfn.XLOOKUP($C794,Phone_by_Sentiment!$B$2:$B$37,Phone_by_Sentiment!L$2:L$37,"",0,1),0),$A794-TEXT(DATEVALUE($D794&amp;"-01"), "dd-mm-yyyy")),0),0)</f>
        <v>136</v>
      </c>
      <c r="M794" cm="1">
        <f t="array" ref="M794">IF($Q794&gt;=0,IFERROR(generateSalesData($D794, IF(ISNUMBER(_xlfn.XLOOKUP($C794,Phone_by_Sentiment!$B$2:$B$37,Phone_by_Sentiment!M$2:M$37,"",0,1)),_xlfn.XLOOKUP($C794,Phone_by_Sentiment!$B$2:$B$37,Phone_by_Sentiment!M$2:M$37,"",0,1),0),$A794-TEXT(DATEVALUE($D794&amp;"-01"), "dd-mm-yyyy")),0),0)</f>
        <v>168</v>
      </c>
      <c r="N794" cm="1">
        <f t="array" ref="N794">IF($Q794&gt;=0,IFERROR(generateSalesData($D794, IF(ISNUMBER(_xlfn.XLOOKUP($C794,Phone_by_Sentiment!$B$2:$B$37,Phone_by_Sentiment!N$2:N$37,"",0,1)),_xlfn.XLOOKUP($C794,Phone_by_Sentiment!$B$2:$B$37,Phone_by_Sentiment!N$2:N$37,"",0,1),0),$A794-TEXT(DATEVALUE($D794&amp;"-01"), "dd-mm-yyyy")),0),0)</f>
        <v>374</v>
      </c>
      <c r="O794" cm="1">
        <f t="array" ref="O794">IF($Q794&gt;=0,IFERROR(generateSalesData($D794, IF(ISNUMBER(_xlfn.XLOOKUP($C794,Phone_by_Sentiment!$B$2:$B$37,Phone_by_Sentiment!O$2:O$37,"",0,1)),_xlfn.XLOOKUP($C794,Phone_by_Sentiment!$B$2:$B$37,Phone_by_Sentiment!O$2:O$37,"",0,1),0),$A794-TEXT(DATEVALUE($D794&amp;"-01"), "dd-mm-yyyy")),0),0)</f>
        <v>371</v>
      </c>
      <c r="P794" s="1">
        <f t="shared" si="32"/>
        <v>43374</v>
      </c>
      <c r="Q794">
        <f t="shared" si="33"/>
        <v>762</v>
      </c>
    </row>
    <row r="795" spans="1:17" x14ac:dyDescent="0.25">
      <c r="A795" s="1">
        <f t="shared" si="27"/>
        <v>44136</v>
      </c>
      <c r="B795" t="s">
        <v>142</v>
      </c>
      <c r="C795" t="str">
        <f>_xlfn.XLOOKUP(B795,Phone_by_Price!$A$2:$A$34,Phone_by_Price!$B$2:$B$34,"-",0,1)</f>
        <v>iPhone 11</v>
      </c>
      <c r="D795" t="str">
        <f>_xlfn.XLOOKUP(C795,Phone_by_Sentiment!$B$2:$B$37,Phone_by_Sentiment!$A$2:$A$37,"-",0,1)</f>
        <v>2019-09</v>
      </c>
      <c r="E795" cm="1">
        <f t="array" ref="E795">IF($Q795&gt;=0,IFERROR(generateSalesData($D795, IF(ISNUMBER(_xlfn.XLOOKUP($C795,Phone_by_Sentiment!$B$2:$B$37,Phone_by_Sentiment!E$2:E$37,"",0,1)),_xlfn.XLOOKUP($C795,Phone_by_Sentiment!$B$2:$B$37,Phone_by_Sentiment!E$2:E$37,"",0,1),0),$A795-TEXT(DATEVALUE($D795&amp;"-01"), "dd-mm-yyyy")),0),0)</f>
        <v>318</v>
      </c>
      <c r="F795" cm="1">
        <f t="array" ref="F795">IF($Q795&gt;=0,IFERROR(generateSalesData($D795, IF(ISNUMBER(_xlfn.XLOOKUP($C795,Phone_by_Sentiment!$B$2:$B$37,Phone_by_Sentiment!F$2:F$37,"",0,1)),_xlfn.XLOOKUP($C795,Phone_by_Sentiment!$B$2:$B$37,Phone_by_Sentiment!F$2:F$37,"",0,1),0),$A795-TEXT(DATEVALUE($D795&amp;"-01"), "dd-mm-yyyy")),0),0)</f>
        <v>562</v>
      </c>
      <c r="G795" cm="1">
        <f t="array" ref="G795">IF($Q795&gt;=0,IFERROR(generateSalesData($D795, IF(ISNUMBER(_xlfn.XLOOKUP($C795,Phone_by_Sentiment!$B$2:$B$37,Phone_by_Sentiment!G$2:G$37,"",0,1)),_xlfn.XLOOKUP($C795,Phone_by_Sentiment!$B$2:$B$37,Phone_by_Sentiment!G$2:G$37,"",0,1),0),$A795-TEXT(DATEVALUE($D795&amp;"-01"), "dd-mm-yyyy")),0),0)</f>
        <v>150</v>
      </c>
      <c r="H795" cm="1">
        <f t="array" ref="H795">IF($Q795&gt;=0,IFERROR(generateSalesData($D795, IF(ISNUMBER(_xlfn.XLOOKUP($C795,Phone_by_Sentiment!$B$2:$B$37,Phone_by_Sentiment!H$2:H$37,"",0,1)),_xlfn.XLOOKUP($C795,Phone_by_Sentiment!$B$2:$B$37,Phone_by_Sentiment!H$2:H$37,"",0,1),0),$A795-TEXT(DATEVALUE($D795&amp;"-01"), "dd-mm-yyyy")),0),0)</f>
        <v>1015</v>
      </c>
      <c r="I795" cm="1">
        <f t="array" ref="I795">IF($Q795&gt;=0,IFERROR(generateSalesData($D795, IF(ISNUMBER(_xlfn.XLOOKUP($C795,Phone_by_Sentiment!$B$2:$B$37,Phone_by_Sentiment!I$2:I$37,"",0,1)),_xlfn.XLOOKUP($C795,Phone_by_Sentiment!$B$2:$B$37,Phone_by_Sentiment!I$2:I$37,"",0,1),0),$A795-TEXT(DATEVALUE($D795&amp;"-01"), "dd-mm-yyyy")),0),0)</f>
        <v>366</v>
      </c>
      <c r="J795" cm="1">
        <f t="array" ref="J795">IF($Q795&gt;=0,IFERROR(generateSalesData($D795, IF(ISNUMBER(_xlfn.XLOOKUP($C795,Phone_by_Sentiment!$B$2:$B$37,Phone_by_Sentiment!J$2:J$37,"",0,1)),_xlfn.XLOOKUP($C795,Phone_by_Sentiment!$B$2:$B$37,Phone_by_Sentiment!J$2:J$37,"",0,1),0),$A795-TEXT(DATEVALUE($D795&amp;"-01"), "dd-mm-yyyy")),0),0)</f>
        <v>865</v>
      </c>
      <c r="K795" cm="1">
        <f t="array" ref="K795">IF($Q795&gt;=0,IFERROR(generateSalesData($D795, IF(ISNUMBER(_xlfn.XLOOKUP($C795,Phone_by_Sentiment!$B$2:$B$37,Phone_by_Sentiment!K$2:K$37,"",0,1)),_xlfn.XLOOKUP($C795,Phone_by_Sentiment!$B$2:$B$37,Phone_by_Sentiment!K$2:K$37,"",0,1),0),$A795-TEXT(DATEVALUE($D795&amp;"-01"), "dd-mm-yyyy")),0),0)</f>
        <v>163</v>
      </c>
      <c r="L795" cm="1">
        <f t="array" ref="L795">IF($Q795&gt;=0,IFERROR(generateSalesData($D795, IF(ISNUMBER(_xlfn.XLOOKUP($C795,Phone_by_Sentiment!$B$2:$B$37,Phone_by_Sentiment!L$2:L$37,"",0,1)),_xlfn.XLOOKUP($C795,Phone_by_Sentiment!$B$2:$B$37,Phone_by_Sentiment!L$2:L$37,"",0,1),0),$A795-TEXT(DATEVALUE($D795&amp;"-01"), "dd-mm-yyyy")),0),0)</f>
        <v>618</v>
      </c>
      <c r="M795" cm="1">
        <f t="array" ref="M795">IF($Q795&gt;=0,IFERROR(generateSalesData($D795, IF(ISNUMBER(_xlfn.XLOOKUP($C795,Phone_by_Sentiment!$B$2:$B$37,Phone_by_Sentiment!M$2:M$37,"",0,1)),_xlfn.XLOOKUP($C795,Phone_by_Sentiment!$B$2:$B$37,Phone_by_Sentiment!M$2:M$37,"",0,1),0),$A795-TEXT(DATEVALUE($D795&amp;"-01"), "dd-mm-yyyy")),0),0)</f>
        <v>578</v>
      </c>
      <c r="N795" cm="1">
        <f t="array" ref="N795">IF($Q795&gt;=0,IFERROR(generateSalesData($D795, IF(ISNUMBER(_xlfn.XLOOKUP($C795,Phone_by_Sentiment!$B$2:$B$37,Phone_by_Sentiment!N$2:N$37,"",0,1)),_xlfn.XLOOKUP($C795,Phone_by_Sentiment!$B$2:$B$37,Phone_by_Sentiment!N$2:N$37,"",0,1),0),$A795-TEXT(DATEVALUE($D795&amp;"-01"), "dd-mm-yyyy")),0),0)</f>
        <v>1151</v>
      </c>
      <c r="O795" cm="1">
        <f t="array" ref="O795">IF($Q795&gt;=0,IFERROR(generateSalesData($D795, IF(ISNUMBER(_xlfn.XLOOKUP($C795,Phone_by_Sentiment!$B$2:$B$37,Phone_by_Sentiment!O$2:O$37,"",0,1)),_xlfn.XLOOKUP($C795,Phone_by_Sentiment!$B$2:$B$37,Phone_by_Sentiment!O$2:O$37,"",0,1),0),$A795-TEXT(DATEVALUE($D795&amp;"-01"), "dd-mm-yyyy")),0),0)</f>
        <v>-129</v>
      </c>
      <c r="P795" s="1">
        <f t="shared" si="32"/>
        <v>43709</v>
      </c>
      <c r="Q795">
        <f t="shared" si="33"/>
        <v>427</v>
      </c>
    </row>
    <row r="796" spans="1:17" x14ac:dyDescent="0.25">
      <c r="A796" s="1">
        <f t="shared" si="27"/>
        <v>44136</v>
      </c>
      <c r="B796" t="s">
        <v>143</v>
      </c>
      <c r="C796" t="str">
        <f>_xlfn.XLOOKUP(B796,Phone_by_Price!$A$2:$A$34,Phone_by_Price!$B$2:$B$34,"-",0,1)</f>
        <v>Samsung Galaxy S20 Ultra</v>
      </c>
      <c r="D796" t="str">
        <f>_xlfn.XLOOKUP(C796,Phone_by_Sentiment!$B$2:$B$37,Phone_by_Sentiment!$A$2:$A$37,"-",0,1)</f>
        <v>2020-02</v>
      </c>
      <c r="E796" cm="1">
        <f t="array" ref="E796">IF($Q796&gt;=0,IFERROR(generateSalesData($D796, IF(ISNUMBER(_xlfn.XLOOKUP($C796,Phone_by_Sentiment!$B$2:$B$37,Phone_by_Sentiment!E$2:E$37,"",0,1)),_xlfn.XLOOKUP($C796,Phone_by_Sentiment!$B$2:$B$37,Phone_by_Sentiment!E$2:E$37,"",0,1),0),$A796-TEXT(DATEVALUE($D796&amp;"-01"), "dd-mm-yyyy")),0),0)</f>
        <v>966</v>
      </c>
      <c r="F796" cm="1">
        <f t="array" ref="F796">IF($Q796&gt;=0,IFERROR(generateSalesData($D796, IF(ISNUMBER(_xlfn.XLOOKUP($C796,Phone_by_Sentiment!$B$2:$B$37,Phone_by_Sentiment!F$2:F$37,"",0,1)),_xlfn.XLOOKUP($C796,Phone_by_Sentiment!$B$2:$B$37,Phone_by_Sentiment!F$2:F$37,"",0,1),0),$A796-TEXT(DATEVALUE($D796&amp;"-01"), "dd-mm-yyyy")),0),0)</f>
        <v>1242</v>
      </c>
      <c r="G796" cm="1">
        <f t="array" ref="G796">IF($Q796&gt;=0,IFERROR(generateSalesData($D796, IF(ISNUMBER(_xlfn.XLOOKUP($C796,Phone_by_Sentiment!$B$2:$B$37,Phone_by_Sentiment!G$2:G$37,"",0,1)),_xlfn.XLOOKUP($C796,Phone_by_Sentiment!$B$2:$B$37,Phone_by_Sentiment!G$2:G$37,"",0,1),0),$A796-TEXT(DATEVALUE($D796&amp;"-01"), "dd-mm-yyyy")),0),0)</f>
        <v>141</v>
      </c>
      <c r="H796" cm="1">
        <f t="array" ref="H796">IF($Q796&gt;=0,IFERROR(generateSalesData($D796, IF(ISNUMBER(_xlfn.XLOOKUP($C796,Phone_by_Sentiment!$B$2:$B$37,Phone_by_Sentiment!H$2:H$37,"",0,1)),_xlfn.XLOOKUP($C796,Phone_by_Sentiment!$B$2:$B$37,Phone_by_Sentiment!H$2:H$37,"",0,1),0),$A796-TEXT(DATEVALUE($D796&amp;"-01"), "dd-mm-yyyy")),0),0)</f>
        <v>247</v>
      </c>
      <c r="I796" cm="1">
        <f t="array" ref="I796">IF($Q796&gt;=0,IFERROR(generateSalesData($D796, IF(ISNUMBER(_xlfn.XLOOKUP($C796,Phone_by_Sentiment!$B$2:$B$37,Phone_by_Sentiment!I$2:I$37,"",0,1)),_xlfn.XLOOKUP($C796,Phone_by_Sentiment!$B$2:$B$37,Phone_by_Sentiment!I$2:I$37,"",0,1),0),$A796-TEXT(DATEVALUE($D796&amp;"-01"), "dd-mm-yyyy")),0),0)</f>
        <v>659</v>
      </c>
      <c r="J796" cm="1">
        <f t="array" ref="J796">IF($Q796&gt;=0,IFERROR(generateSalesData($D796, IF(ISNUMBER(_xlfn.XLOOKUP($C796,Phone_by_Sentiment!$B$2:$B$37,Phone_by_Sentiment!J$2:J$37,"",0,1)),_xlfn.XLOOKUP($C796,Phone_by_Sentiment!$B$2:$B$37,Phone_by_Sentiment!J$2:J$37,"",0,1),0),$A796-TEXT(DATEVALUE($D796&amp;"-01"), "dd-mm-yyyy")),0),0)</f>
        <v>1341</v>
      </c>
      <c r="K796" cm="1">
        <f t="array" ref="K796">IF($Q796&gt;=0,IFERROR(generateSalesData($D796, IF(ISNUMBER(_xlfn.XLOOKUP($C796,Phone_by_Sentiment!$B$2:$B$37,Phone_by_Sentiment!K$2:K$37,"",0,1)),_xlfn.XLOOKUP($C796,Phone_by_Sentiment!$B$2:$B$37,Phone_by_Sentiment!K$2:K$37,"",0,1),0),$A796-TEXT(DATEVALUE($D796&amp;"-01"), "dd-mm-yyyy")),0),0)</f>
        <v>127</v>
      </c>
      <c r="L796" cm="1">
        <f t="array" ref="L796">IF($Q796&gt;=0,IFERROR(generateSalesData($D796, IF(ISNUMBER(_xlfn.XLOOKUP($C796,Phone_by_Sentiment!$B$2:$B$37,Phone_by_Sentiment!L$2:L$37,"",0,1)),_xlfn.XLOOKUP($C796,Phone_by_Sentiment!$B$2:$B$37,Phone_by_Sentiment!L$2:L$37,"",0,1),0),$A796-TEXT(DATEVALUE($D796&amp;"-01"), "dd-mm-yyyy")),0),0)</f>
        <v>815</v>
      </c>
      <c r="M796" cm="1">
        <f t="array" ref="M796">IF($Q796&gt;=0,IFERROR(generateSalesData($D796, IF(ISNUMBER(_xlfn.XLOOKUP($C796,Phone_by_Sentiment!$B$2:$B$37,Phone_by_Sentiment!M$2:M$37,"",0,1)),_xlfn.XLOOKUP($C796,Phone_by_Sentiment!$B$2:$B$37,Phone_by_Sentiment!M$2:M$37,"",0,1),0),$A796-TEXT(DATEVALUE($D796&amp;"-01"), "dd-mm-yyyy")),0),0)</f>
        <v>1180</v>
      </c>
      <c r="N796" cm="1">
        <f t="array" ref="N796">IF($Q796&gt;=0,IFERROR(generateSalesData($D796, IF(ISNUMBER(_xlfn.XLOOKUP($C796,Phone_by_Sentiment!$B$2:$B$37,Phone_by_Sentiment!N$2:N$37,"",0,1)),_xlfn.XLOOKUP($C796,Phone_by_Sentiment!$B$2:$B$37,Phone_by_Sentiment!N$2:N$37,"",0,1),0),$A796-TEXT(DATEVALUE($D796&amp;"-01"), "dd-mm-yyyy")),0),0)</f>
        <v>1511</v>
      </c>
      <c r="O796" cm="1">
        <f t="array" ref="O796">IF($Q796&gt;=0,IFERROR(generateSalesData($D796, IF(ISNUMBER(_xlfn.XLOOKUP($C796,Phone_by_Sentiment!$B$2:$B$37,Phone_by_Sentiment!O$2:O$37,"",0,1)),_xlfn.XLOOKUP($C796,Phone_by_Sentiment!$B$2:$B$37,Phone_by_Sentiment!O$2:O$37,"",0,1),0),$A796-TEXT(DATEVALUE($D796&amp;"-01"), "dd-mm-yyyy")),0),0)</f>
        <v>566</v>
      </c>
      <c r="P796" s="1">
        <f t="shared" si="32"/>
        <v>43862</v>
      </c>
      <c r="Q796">
        <f t="shared" si="33"/>
        <v>274</v>
      </c>
    </row>
    <row r="797" spans="1:17" x14ac:dyDescent="0.25">
      <c r="A797" s="1">
        <f t="shared" si="27"/>
        <v>44136</v>
      </c>
      <c r="B797" t="s">
        <v>144</v>
      </c>
      <c r="C797" t="str">
        <f>_xlfn.XLOOKUP(B797,Phone_by_Price!$A$2:$A$34,Phone_by_Price!$B$2:$B$34,"-",0,1)</f>
        <v>Xiaomi Redmi Note 10</v>
      </c>
      <c r="D797" t="str">
        <f>_xlfn.XLOOKUP(C797,Phone_by_Sentiment!$B$2:$B$37,Phone_by_Sentiment!$A$2:$A$37,"-",0,1)</f>
        <v>2021-03</v>
      </c>
      <c r="E797" cm="1">
        <f t="array" ref="E797">IF($Q797&gt;=0,IFERROR(generateSalesData($D797, IF(ISNUMBER(_xlfn.XLOOKUP($C797,Phone_by_Sentiment!$B$2:$B$37,Phone_by_Sentiment!E$2:E$37,"",0,1)),_xlfn.XLOOKUP($C797,Phone_by_Sentiment!$B$2:$B$37,Phone_by_Sentiment!E$2:E$37,"",0,1),0),$A797-TEXT(DATEVALUE($D797&amp;"-01"), "dd-mm-yyyy")),0),0)</f>
        <v>0</v>
      </c>
      <c r="F797" cm="1">
        <f t="array" ref="F797">IF($Q797&gt;=0,IFERROR(generateSalesData($D797, IF(ISNUMBER(_xlfn.XLOOKUP($C797,Phone_by_Sentiment!$B$2:$B$37,Phone_by_Sentiment!F$2:F$37,"",0,1)),_xlfn.XLOOKUP($C797,Phone_by_Sentiment!$B$2:$B$37,Phone_by_Sentiment!F$2:F$37,"",0,1),0),$A797-TEXT(DATEVALUE($D797&amp;"-01"), "dd-mm-yyyy")),0),0)</f>
        <v>0</v>
      </c>
      <c r="G797" cm="1">
        <f t="array" ref="G797">IF($Q797&gt;=0,IFERROR(generateSalesData($D797, IF(ISNUMBER(_xlfn.XLOOKUP($C797,Phone_by_Sentiment!$B$2:$B$37,Phone_by_Sentiment!G$2:G$37,"",0,1)),_xlfn.XLOOKUP($C797,Phone_by_Sentiment!$B$2:$B$37,Phone_by_Sentiment!G$2:G$37,"",0,1),0),$A797-TEXT(DATEVALUE($D797&amp;"-01"), "dd-mm-yyyy")),0),0)</f>
        <v>0</v>
      </c>
      <c r="H797" cm="1">
        <f t="array" ref="H797">IF($Q797&gt;=0,IFERROR(generateSalesData($D797, IF(ISNUMBER(_xlfn.XLOOKUP($C797,Phone_by_Sentiment!$B$2:$B$37,Phone_by_Sentiment!H$2:H$37,"",0,1)),_xlfn.XLOOKUP($C797,Phone_by_Sentiment!$B$2:$B$37,Phone_by_Sentiment!H$2:H$37,"",0,1),0),$A797-TEXT(DATEVALUE($D797&amp;"-01"), "dd-mm-yyyy")),0),0)</f>
        <v>0</v>
      </c>
      <c r="I797" cm="1">
        <f t="array" ref="I797">IF($Q797&gt;=0,IFERROR(generateSalesData($D797, IF(ISNUMBER(_xlfn.XLOOKUP($C797,Phone_by_Sentiment!$B$2:$B$37,Phone_by_Sentiment!I$2:I$37,"",0,1)),_xlfn.XLOOKUP($C797,Phone_by_Sentiment!$B$2:$B$37,Phone_by_Sentiment!I$2:I$37,"",0,1),0),$A797-TEXT(DATEVALUE($D797&amp;"-01"), "dd-mm-yyyy")),0),0)</f>
        <v>0</v>
      </c>
      <c r="J797" cm="1">
        <f t="array" ref="J797">IF($Q797&gt;=0,IFERROR(generateSalesData($D797, IF(ISNUMBER(_xlfn.XLOOKUP($C797,Phone_by_Sentiment!$B$2:$B$37,Phone_by_Sentiment!J$2:J$37,"",0,1)),_xlfn.XLOOKUP($C797,Phone_by_Sentiment!$B$2:$B$37,Phone_by_Sentiment!J$2:J$37,"",0,1),0),$A797-TEXT(DATEVALUE($D797&amp;"-01"), "dd-mm-yyyy")),0),0)</f>
        <v>0</v>
      </c>
      <c r="K797" cm="1">
        <f t="array" ref="K797">IF($Q797&gt;=0,IFERROR(generateSalesData($D797, IF(ISNUMBER(_xlfn.XLOOKUP($C797,Phone_by_Sentiment!$B$2:$B$37,Phone_by_Sentiment!K$2:K$37,"",0,1)),_xlfn.XLOOKUP($C797,Phone_by_Sentiment!$B$2:$B$37,Phone_by_Sentiment!K$2:K$37,"",0,1),0),$A797-TEXT(DATEVALUE($D797&amp;"-01"), "dd-mm-yyyy")),0),0)</f>
        <v>0</v>
      </c>
      <c r="L797" cm="1">
        <f t="array" ref="L797">IF($Q797&gt;=0,IFERROR(generateSalesData($D797, IF(ISNUMBER(_xlfn.XLOOKUP($C797,Phone_by_Sentiment!$B$2:$B$37,Phone_by_Sentiment!L$2:L$37,"",0,1)),_xlfn.XLOOKUP($C797,Phone_by_Sentiment!$B$2:$B$37,Phone_by_Sentiment!L$2:L$37,"",0,1),0),$A797-TEXT(DATEVALUE($D797&amp;"-01"), "dd-mm-yyyy")),0),0)</f>
        <v>0</v>
      </c>
      <c r="M797" cm="1">
        <f t="array" ref="M797">IF($Q797&gt;=0,IFERROR(generateSalesData($D797, IF(ISNUMBER(_xlfn.XLOOKUP($C797,Phone_by_Sentiment!$B$2:$B$37,Phone_by_Sentiment!M$2:M$37,"",0,1)),_xlfn.XLOOKUP($C797,Phone_by_Sentiment!$B$2:$B$37,Phone_by_Sentiment!M$2:M$37,"",0,1),0),$A797-TEXT(DATEVALUE($D797&amp;"-01"), "dd-mm-yyyy")),0),0)</f>
        <v>0</v>
      </c>
      <c r="N797" cm="1">
        <f t="array" ref="N797">IF($Q797&gt;=0,IFERROR(generateSalesData($D797, IF(ISNUMBER(_xlfn.XLOOKUP($C797,Phone_by_Sentiment!$B$2:$B$37,Phone_by_Sentiment!N$2:N$37,"",0,1)),_xlfn.XLOOKUP($C797,Phone_by_Sentiment!$B$2:$B$37,Phone_by_Sentiment!N$2:N$37,"",0,1),0),$A797-TEXT(DATEVALUE($D797&amp;"-01"), "dd-mm-yyyy")),0),0)</f>
        <v>0</v>
      </c>
      <c r="O797" cm="1">
        <f t="array" ref="O797">IF($Q797&gt;=0,IFERROR(generateSalesData($D797, IF(ISNUMBER(_xlfn.XLOOKUP($C797,Phone_by_Sentiment!$B$2:$B$37,Phone_by_Sentiment!O$2:O$37,"",0,1)),_xlfn.XLOOKUP($C797,Phone_by_Sentiment!$B$2:$B$37,Phone_by_Sentiment!O$2:O$37,"",0,1),0),$A797-TEXT(DATEVALUE($D797&amp;"-01"), "dd-mm-yyyy")),0),0)</f>
        <v>0</v>
      </c>
      <c r="P797" s="1">
        <f t="shared" si="32"/>
        <v>44256</v>
      </c>
      <c r="Q797">
        <f t="shared" si="33"/>
        <v>-120</v>
      </c>
    </row>
    <row r="798" spans="1:17" x14ac:dyDescent="0.25">
      <c r="A798" s="1">
        <f t="shared" si="27"/>
        <v>44136</v>
      </c>
      <c r="B798" t="s">
        <v>145</v>
      </c>
      <c r="C798" t="str">
        <f>_xlfn.XLOOKUP(B798,Phone_by_Price!$A$2:$A$34,Phone_by_Price!$B$2:$B$34,"-",0,1)</f>
        <v>OPPO A54</v>
      </c>
      <c r="D798" t="str">
        <f>_xlfn.XLOOKUP(C798,Phone_by_Sentiment!$B$2:$B$37,Phone_by_Sentiment!$A$2:$A$37,"-",0,1)</f>
        <v>2021-04</v>
      </c>
      <c r="E798" cm="1">
        <f t="array" ref="E798">IF($Q798&gt;=0,IFERROR(generateSalesData($D798, IF(ISNUMBER(_xlfn.XLOOKUP($C798,Phone_by_Sentiment!$B$2:$B$37,Phone_by_Sentiment!E$2:E$37,"",0,1)),_xlfn.XLOOKUP($C798,Phone_by_Sentiment!$B$2:$B$37,Phone_by_Sentiment!E$2:E$37,"",0,1),0),$A798-TEXT(DATEVALUE($D798&amp;"-01"), "dd-mm-yyyy")),0),0)</f>
        <v>0</v>
      </c>
      <c r="F798" cm="1">
        <f t="array" ref="F798">IF($Q798&gt;=0,IFERROR(generateSalesData($D798, IF(ISNUMBER(_xlfn.XLOOKUP($C798,Phone_by_Sentiment!$B$2:$B$37,Phone_by_Sentiment!F$2:F$37,"",0,1)),_xlfn.XLOOKUP($C798,Phone_by_Sentiment!$B$2:$B$37,Phone_by_Sentiment!F$2:F$37,"",0,1),0),$A798-TEXT(DATEVALUE($D798&amp;"-01"), "dd-mm-yyyy")),0),0)</f>
        <v>0</v>
      </c>
      <c r="G798" cm="1">
        <f t="array" ref="G798">IF($Q798&gt;=0,IFERROR(generateSalesData($D798, IF(ISNUMBER(_xlfn.XLOOKUP($C798,Phone_by_Sentiment!$B$2:$B$37,Phone_by_Sentiment!G$2:G$37,"",0,1)),_xlfn.XLOOKUP($C798,Phone_by_Sentiment!$B$2:$B$37,Phone_by_Sentiment!G$2:G$37,"",0,1),0),$A798-TEXT(DATEVALUE($D798&amp;"-01"), "dd-mm-yyyy")),0),0)</f>
        <v>0</v>
      </c>
      <c r="H798" cm="1">
        <f t="array" ref="H798">IF($Q798&gt;=0,IFERROR(generateSalesData($D798, IF(ISNUMBER(_xlfn.XLOOKUP($C798,Phone_by_Sentiment!$B$2:$B$37,Phone_by_Sentiment!H$2:H$37,"",0,1)),_xlfn.XLOOKUP($C798,Phone_by_Sentiment!$B$2:$B$37,Phone_by_Sentiment!H$2:H$37,"",0,1),0),$A798-TEXT(DATEVALUE($D798&amp;"-01"), "dd-mm-yyyy")),0),0)</f>
        <v>0</v>
      </c>
      <c r="I798" cm="1">
        <f t="array" ref="I798">IF($Q798&gt;=0,IFERROR(generateSalesData($D798, IF(ISNUMBER(_xlfn.XLOOKUP($C798,Phone_by_Sentiment!$B$2:$B$37,Phone_by_Sentiment!I$2:I$37,"",0,1)),_xlfn.XLOOKUP($C798,Phone_by_Sentiment!$B$2:$B$37,Phone_by_Sentiment!I$2:I$37,"",0,1),0),$A798-TEXT(DATEVALUE($D798&amp;"-01"), "dd-mm-yyyy")),0),0)</f>
        <v>0</v>
      </c>
      <c r="J798" cm="1">
        <f t="array" ref="J798">IF($Q798&gt;=0,IFERROR(generateSalesData($D798, IF(ISNUMBER(_xlfn.XLOOKUP($C798,Phone_by_Sentiment!$B$2:$B$37,Phone_by_Sentiment!J$2:J$37,"",0,1)),_xlfn.XLOOKUP($C798,Phone_by_Sentiment!$B$2:$B$37,Phone_by_Sentiment!J$2:J$37,"",0,1),0),$A798-TEXT(DATEVALUE($D798&amp;"-01"), "dd-mm-yyyy")),0),0)</f>
        <v>0</v>
      </c>
      <c r="K798" cm="1">
        <f t="array" ref="K798">IF($Q798&gt;=0,IFERROR(generateSalesData($D798, IF(ISNUMBER(_xlfn.XLOOKUP($C798,Phone_by_Sentiment!$B$2:$B$37,Phone_by_Sentiment!K$2:K$37,"",0,1)),_xlfn.XLOOKUP($C798,Phone_by_Sentiment!$B$2:$B$37,Phone_by_Sentiment!K$2:K$37,"",0,1),0),$A798-TEXT(DATEVALUE($D798&amp;"-01"), "dd-mm-yyyy")),0),0)</f>
        <v>0</v>
      </c>
      <c r="L798" cm="1">
        <f t="array" ref="L798">IF($Q798&gt;=0,IFERROR(generateSalesData($D798, IF(ISNUMBER(_xlfn.XLOOKUP($C798,Phone_by_Sentiment!$B$2:$B$37,Phone_by_Sentiment!L$2:L$37,"",0,1)),_xlfn.XLOOKUP($C798,Phone_by_Sentiment!$B$2:$B$37,Phone_by_Sentiment!L$2:L$37,"",0,1),0),$A798-TEXT(DATEVALUE($D798&amp;"-01"), "dd-mm-yyyy")),0),0)</f>
        <v>0</v>
      </c>
      <c r="M798" cm="1">
        <f t="array" ref="M798">IF($Q798&gt;=0,IFERROR(generateSalesData($D798, IF(ISNUMBER(_xlfn.XLOOKUP($C798,Phone_by_Sentiment!$B$2:$B$37,Phone_by_Sentiment!M$2:M$37,"",0,1)),_xlfn.XLOOKUP($C798,Phone_by_Sentiment!$B$2:$B$37,Phone_by_Sentiment!M$2:M$37,"",0,1),0),$A798-TEXT(DATEVALUE($D798&amp;"-01"), "dd-mm-yyyy")),0),0)</f>
        <v>0</v>
      </c>
      <c r="N798" cm="1">
        <f t="array" ref="N798">IF($Q798&gt;=0,IFERROR(generateSalesData($D798, IF(ISNUMBER(_xlfn.XLOOKUP($C798,Phone_by_Sentiment!$B$2:$B$37,Phone_by_Sentiment!N$2:N$37,"",0,1)),_xlfn.XLOOKUP($C798,Phone_by_Sentiment!$B$2:$B$37,Phone_by_Sentiment!N$2:N$37,"",0,1),0),$A798-TEXT(DATEVALUE($D798&amp;"-01"), "dd-mm-yyyy")),0),0)</f>
        <v>0</v>
      </c>
      <c r="O798" cm="1">
        <f t="array" ref="O798">IF($Q798&gt;=0,IFERROR(generateSalesData($D798, IF(ISNUMBER(_xlfn.XLOOKUP($C798,Phone_by_Sentiment!$B$2:$B$37,Phone_by_Sentiment!O$2:O$37,"",0,1)),_xlfn.XLOOKUP($C798,Phone_by_Sentiment!$B$2:$B$37,Phone_by_Sentiment!O$2:O$37,"",0,1),0),$A798-TEXT(DATEVALUE($D798&amp;"-01"), "dd-mm-yyyy")),0),0)</f>
        <v>0</v>
      </c>
      <c r="P798" s="1">
        <f t="shared" si="32"/>
        <v>44287</v>
      </c>
      <c r="Q798">
        <f t="shared" si="33"/>
        <v>-151</v>
      </c>
    </row>
    <row r="799" spans="1:17" x14ac:dyDescent="0.25">
      <c r="A799" s="1">
        <f t="shared" si="27"/>
        <v>44136</v>
      </c>
      <c r="B799" t="s">
        <v>146</v>
      </c>
      <c r="C799" t="str">
        <f>_xlfn.XLOOKUP(B799,Phone_by_Price!$A$2:$A$34,Phone_by_Price!$B$2:$B$34,"-",0,1)</f>
        <v>Vivo Y20</v>
      </c>
      <c r="D799" t="str">
        <f>_xlfn.XLOOKUP(C799,Phone_by_Sentiment!$B$2:$B$37,Phone_by_Sentiment!$A$2:$A$37,"-",0,1)</f>
        <v>2020-09</v>
      </c>
      <c r="E799" cm="1">
        <f t="array" ref="E799">IF($Q799&gt;=0,IFERROR(generateSalesData($D799, IF(ISNUMBER(_xlfn.XLOOKUP($C799,Phone_by_Sentiment!$B$2:$B$37,Phone_by_Sentiment!E$2:E$37,"",0,1)),_xlfn.XLOOKUP($C799,Phone_by_Sentiment!$B$2:$B$37,Phone_by_Sentiment!E$2:E$37,"",0,1),0),$A799-TEXT(DATEVALUE($D799&amp;"-01"), "dd-mm-yyyy")),0),0)</f>
        <v>3304</v>
      </c>
      <c r="F799" cm="1">
        <f t="array" ref="F799">IF($Q799&gt;=0,IFERROR(generateSalesData($D799, IF(ISNUMBER(_xlfn.XLOOKUP($C799,Phone_by_Sentiment!$B$2:$B$37,Phone_by_Sentiment!F$2:F$37,"",0,1)),_xlfn.XLOOKUP($C799,Phone_by_Sentiment!$B$2:$B$37,Phone_by_Sentiment!F$2:F$37,"",0,1),0),$A799-TEXT(DATEVALUE($D799&amp;"-01"), "dd-mm-yyyy")),0),0)</f>
        <v>3579</v>
      </c>
      <c r="G799" cm="1">
        <f t="array" ref="G799">IF($Q799&gt;=0,IFERROR(generateSalesData($D799, IF(ISNUMBER(_xlfn.XLOOKUP($C799,Phone_by_Sentiment!$B$2:$B$37,Phone_by_Sentiment!G$2:G$37,"",0,1)),_xlfn.XLOOKUP($C799,Phone_by_Sentiment!$B$2:$B$37,Phone_by_Sentiment!G$2:G$37,"",0,1),0),$A799-TEXT(DATEVALUE($D799&amp;"-01"), "dd-mm-yyyy")),0),0)</f>
        <v>1611</v>
      </c>
      <c r="H799" cm="1">
        <f t="array" ref="H799">IF($Q799&gt;=0,IFERROR(generateSalesData($D799, IF(ISNUMBER(_xlfn.XLOOKUP($C799,Phone_by_Sentiment!$B$2:$B$37,Phone_by_Sentiment!H$2:H$37,"",0,1)),_xlfn.XLOOKUP($C799,Phone_by_Sentiment!$B$2:$B$37,Phone_by_Sentiment!H$2:H$37,"",0,1),0),$A799-TEXT(DATEVALUE($D799&amp;"-01"), "dd-mm-yyyy")),0),0)</f>
        <v>218</v>
      </c>
      <c r="I799" cm="1">
        <f t="array" ref="I799">IF($Q799&gt;=0,IFERROR(generateSalesData($D799, IF(ISNUMBER(_xlfn.XLOOKUP($C799,Phone_by_Sentiment!$B$2:$B$37,Phone_by_Sentiment!I$2:I$37,"",0,1)),_xlfn.XLOOKUP($C799,Phone_by_Sentiment!$B$2:$B$37,Phone_by_Sentiment!I$2:I$37,"",0,1),0),$A799-TEXT(DATEVALUE($D799&amp;"-01"), "dd-mm-yyyy")),0),0)</f>
        <v>491</v>
      </c>
      <c r="J799" cm="1">
        <f t="array" ref="J799">IF($Q799&gt;=0,IFERROR(generateSalesData($D799, IF(ISNUMBER(_xlfn.XLOOKUP($C799,Phone_by_Sentiment!$B$2:$B$37,Phone_by_Sentiment!J$2:J$37,"",0,1)),_xlfn.XLOOKUP($C799,Phone_by_Sentiment!$B$2:$B$37,Phone_by_Sentiment!J$2:J$37,"",0,1),0),$A799-TEXT(DATEVALUE($D799&amp;"-01"), "dd-mm-yyyy")),0),0)</f>
        <v>891</v>
      </c>
      <c r="K799" cm="1">
        <f t="array" ref="K799">IF($Q799&gt;=0,IFERROR(generateSalesData($D799, IF(ISNUMBER(_xlfn.XLOOKUP($C799,Phone_by_Sentiment!$B$2:$B$37,Phone_by_Sentiment!K$2:K$37,"",0,1)),_xlfn.XLOOKUP($C799,Phone_by_Sentiment!$B$2:$B$37,Phone_by_Sentiment!K$2:K$37,"",0,1),0),$A799-TEXT(DATEVALUE($D799&amp;"-01"), "dd-mm-yyyy")),0),0)</f>
        <v>1432</v>
      </c>
      <c r="L799" cm="1">
        <f t="array" ref="L799">IF($Q799&gt;=0,IFERROR(generateSalesData($D799, IF(ISNUMBER(_xlfn.XLOOKUP($C799,Phone_by_Sentiment!$B$2:$B$37,Phone_by_Sentiment!L$2:L$37,"",0,1)),_xlfn.XLOOKUP($C799,Phone_by_Sentiment!$B$2:$B$37,Phone_by_Sentiment!L$2:L$37,"",0,1),0),$A799-TEXT(DATEVALUE($D799&amp;"-01"), "dd-mm-yyyy")),0),0)</f>
        <v>-1284</v>
      </c>
      <c r="M799" cm="1">
        <f t="array" ref="M799">IF($Q799&gt;=0,IFERROR(generateSalesData($D799, IF(ISNUMBER(_xlfn.XLOOKUP($C799,Phone_by_Sentiment!$B$2:$B$37,Phone_by_Sentiment!M$2:M$37,"",0,1)),_xlfn.XLOOKUP($C799,Phone_by_Sentiment!$B$2:$B$37,Phone_by_Sentiment!M$2:M$37,"",0,1),0),$A799-TEXT(DATEVALUE($D799&amp;"-01"), "dd-mm-yyyy")),0),0)</f>
        <v>265</v>
      </c>
      <c r="N799" cm="1">
        <f t="array" ref="N799">IF($Q799&gt;=0,IFERROR(generateSalesData($D799, IF(ISNUMBER(_xlfn.XLOOKUP($C799,Phone_by_Sentiment!$B$2:$B$37,Phone_by_Sentiment!N$2:N$37,"",0,1)),_xlfn.XLOOKUP($C799,Phone_by_Sentiment!$B$2:$B$37,Phone_by_Sentiment!N$2:N$37,"",0,1),0),$A799-TEXT(DATEVALUE($D799&amp;"-01"), "dd-mm-yyyy")),0),0)</f>
        <v>1128</v>
      </c>
      <c r="O799" cm="1">
        <f t="array" ref="O799">IF($Q799&gt;=0,IFERROR(generateSalesData($D799, IF(ISNUMBER(_xlfn.XLOOKUP($C799,Phone_by_Sentiment!$B$2:$B$37,Phone_by_Sentiment!O$2:O$37,"",0,1)),_xlfn.XLOOKUP($C799,Phone_by_Sentiment!$B$2:$B$37,Phone_by_Sentiment!O$2:O$37,"",0,1),0),$A799-TEXT(DATEVALUE($D799&amp;"-01"), "dd-mm-yyyy")),0),0)</f>
        <v>1577</v>
      </c>
      <c r="P799" s="1">
        <f t="shared" si="32"/>
        <v>44075</v>
      </c>
      <c r="Q799">
        <f t="shared" si="33"/>
        <v>61</v>
      </c>
    </row>
    <row r="800" spans="1:17" x14ac:dyDescent="0.25">
      <c r="A800" s="1">
        <f t="shared" si="27"/>
        <v>44136</v>
      </c>
      <c r="B800" t="s">
        <v>147</v>
      </c>
      <c r="C800" t="str">
        <f>_xlfn.XLOOKUP(B800,Phone_by_Price!$A$2:$A$34,Phone_by_Price!$B$2:$B$34,"-",0,1)</f>
        <v>Huawei Y9a</v>
      </c>
      <c r="D800" t="str">
        <f>_xlfn.XLOOKUP(C800,Phone_by_Sentiment!$B$2:$B$37,Phone_by_Sentiment!$A$2:$A$37,"-",0,1)</f>
        <v>2020-02</v>
      </c>
      <c r="E800" cm="1">
        <f t="array" ref="E800">IF($Q800&gt;=0,IFERROR(generateSalesData($D800, IF(ISNUMBER(_xlfn.XLOOKUP($C800,Phone_by_Sentiment!$B$2:$B$37,Phone_by_Sentiment!E$2:E$37,"",0,1)),_xlfn.XLOOKUP($C800,Phone_by_Sentiment!$B$2:$B$37,Phone_by_Sentiment!E$2:E$37,"",0,1),0),$A800-TEXT(DATEVALUE($D800&amp;"-01"), "dd-mm-yyyy")),0),0)</f>
        <v>260</v>
      </c>
      <c r="F800" cm="1">
        <f t="array" ref="F800">IF($Q800&gt;=0,IFERROR(generateSalesData($D800, IF(ISNUMBER(_xlfn.XLOOKUP($C800,Phone_by_Sentiment!$B$2:$B$37,Phone_by_Sentiment!F$2:F$37,"",0,1)),_xlfn.XLOOKUP($C800,Phone_by_Sentiment!$B$2:$B$37,Phone_by_Sentiment!F$2:F$37,"",0,1),0),$A800-TEXT(DATEVALUE($D800&amp;"-01"), "dd-mm-yyyy")),0),0)</f>
        <v>1172</v>
      </c>
      <c r="G800" cm="1">
        <f t="array" ref="G800">IF($Q800&gt;=0,IFERROR(generateSalesData($D800, IF(ISNUMBER(_xlfn.XLOOKUP($C800,Phone_by_Sentiment!$B$2:$B$37,Phone_by_Sentiment!G$2:G$37,"",0,1)),_xlfn.XLOOKUP($C800,Phone_by_Sentiment!$B$2:$B$37,Phone_by_Sentiment!G$2:G$37,"",0,1),0),$A800-TEXT(DATEVALUE($D800&amp;"-01"), "dd-mm-yyyy")),0),0)</f>
        <v>121</v>
      </c>
      <c r="H800" cm="1">
        <f t="array" ref="H800">IF($Q800&gt;=0,IFERROR(generateSalesData($D800, IF(ISNUMBER(_xlfn.XLOOKUP($C800,Phone_by_Sentiment!$B$2:$B$37,Phone_by_Sentiment!H$2:H$37,"",0,1)),_xlfn.XLOOKUP($C800,Phone_by_Sentiment!$B$2:$B$37,Phone_by_Sentiment!H$2:H$37,"",0,1),0),$A800-TEXT(DATEVALUE($D800&amp;"-01"), "dd-mm-yyyy")),0),0)</f>
        <v>333</v>
      </c>
      <c r="I800" cm="1">
        <f t="array" ref="I800">IF($Q800&gt;=0,IFERROR(generateSalesData($D800, IF(ISNUMBER(_xlfn.XLOOKUP($C800,Phone_by_Sentiment!$B$2:$B$37,Phone_by_Sentiment!I$2:I$37,"",0,1)),_xlfn.XLOOKUP($C800,Phone_by_Sentiment!$B$2:$B$37,Phone_by_Sentiment!I$2:I$37,"",0,1),0),$A800-TEXT(DATEVALUE($D800&amp;"-01"), "dd-mm-yyyy")),0),0)</f>
        <v>-70</v>
      </c>
      <c r="J800" cm="1">
        <f t="array" ref="J800">IF($Q800&gt;=0,IFERROR(generateSalesData($D800, IF(ISNUMBER(_xlfn.XLOOKUP($C800,Phone_by_Sentiment!$B$2:$B$37,Phone_by_Sentiment!J$2:J$37,"",0,1)),_xlfn.XLOOKUP($C800,Phone_by_Sentiment!$B$2:$B$37,Phone_by_Sentiment!J$2:J$37,"",0,1),0),$A800-TEXT(DATEVALUE($D800&amp;"-01"), "dd-mm-yyyy")),0),0)</f>
        <v>291</v>
      </c>
      <c r="K800" cm="1">
        <f t="array" ref="K800">IF($Q800&gt;=0,IFERROR(generateSalesData($D800, IF(ISNUMBER(_xlfn.XLOOKUP($C800,Phone_by_Sentiment!$B$2:$B$37,Phone_by_Sentiment!K$2:K$37,"",0,1)),_xlfn.XLOOKUP($C800,Phone_by_Sentiment!$B$2:$B$37,Phone_by_Sentiment!K$2:K$37,"",0,1),0),$A800-TEXT(DATEVALUE($D800&amp;"-01"), "dd-mm-yyyy")),0),0)</f>
        <v>81</v>
      </c>
      <c r="L800" cm="1">
        <f t="array" ref="L800">IF($Q800&gt;=0,IFERROR(generateSalesData($D800, IF(ISNUMBER(_xlfn.XLOOKUP($C800,Phone_by_Sentiment!$B$2:$B$37,Phone_by_Sentiment!L$2:L$37,"",0,1)),_xlfn.XLOOKUP($C800,Phone_by_Sentiment!$B$2:$B$37,Phone_by_Sentiment!L$2:L$37,"",0,1),0),$A800-TEXT(DATEVALUE($D800&amp;"-01"), "dd-mm-yyyy")),0),0)</f>
        <v>228</v>
      </c>
      <c r="M800" cm="1">
        <f t="array" ref="M800">IF($Q800&gt;=0,IFERROR(generateSalesData($D800, IF(ISNUMBER(_xlfn.XLOOKUP($C800,Phone_by_Sentiment!$B$2:$B$37,Phone_by_Sentiment!M$2:M$37,"",0,1)),_xlfn.XLOOKUP($C800,Phone_by_Sentiment!$B$2:$B$37,Phone_by_Sentiment!M$2:M$37,"",0,1),0),$A800-TEXT(DATEVALUE($D800&amp;"-01"), "dd-mm-yyyy")),0),0)</f>
        <v>279</v>
      </c>
      <c r="N800" cm="1">
        <f t="array" ref="N800">IF($Q800&gt;=0,IFERROR(generateSalesData($D800, IF(ISNUMBER(_xlfn.XLOOKUP($C800,Phone_by_Sentiment!$B$2:$B$37,Phone_by_Sentiment!N$2:N$37,"",0,1)),_xlfn.XLOOKUP($C800,Phone_by_Sentiment!$B$2:$B$37,Phone_by_Sentiment!N$2:N$37,"",0,1),0),$A800-TEXT(DATEVALUE($D800&amp;"-01"), "dd-mm-yyyy")),0),0)</f>
        <v>191</v>
      </c>
      <c r="O800" cm="1">
        <f t="array" ref="O800">IF($Q800&gt;=0,IFERROR(generateSalesData($D800, IF(ISNUMBER(_xlfn.XLOOKUP($C800,Phone_by_Sentiment!$B$2:$B$37,Phone_by_Sentiment!O$2:O$37,"",0,1)),_xlfn.XLOOKUP($C800,Phone_by_Sentiment!$B$2:$B$37,Phone_by_Sentiment!O$2:O$37,"",0,1),0),$A800-TEXT(DATEVALUE($D800&amp;"-01"), "dd-mm-yyyy")),0),0)</f>
        <v>101</v>
      </c>
      <c r="P800" s="1">
        <f t="shared" si="32"/>
        <v>43862</v>
      </c>
      <c r="Q800">
        <f t="shared" si="33"/>
        <v>274</v>
      </c>
    </row>
    <row r="801" spans="1:17" x14ac:dyDescent="0.25">
      <c r="A801" s="1">
        <f t="shared" si="27"/>
        <v>44136</v>
      </c>
      <c r="B801" t="s">
        <v>148</v>
      </c>
      <c r="C801" t="str">
        <f>_xlfn.XLOOKUP(B801,Phone_by_Price!$A$2:$A$34,Phone_by_Price!$B$2:$B$34,"-",0,1)</f>
        <v>Xiaomi Redmi 10</v>
      </c>
      <c r="D801" t="str">
        <f>_xlfn.XLOOKUP(C801,Phone_by_Sentiment!$B$2:$B$37,Phone_by_Sentiment!$A$2:$A$37,"-",0,1)</f>
        <v>2021-03</v>
      </c>
      <c r="E801" cm="1">
        <f t="array" ref="E801">IF($Q801&gt;=0,IFERROR(generateSalesData($D801, IF(ISNUMBER(_xlfn.XLOOKUP($C801,Phone_by_Sentiment!$B$2:$B$37,Phone_by_Sentiment!E$2:E$37,"",0,1)),_xlfn.XLOOKUP($C801,Phone_by_Sentiment!$B$2:$B$37,Phone_by_Sentiment!E$2:E$37,"",0,1),0),$A801-TEXT(DATEVALUE($D801&amp;"-01"), "dd-mm-yyyy")),0),0)</f>
        <v>0</v>
      </c>
      <c r="F801" cm="1">
        <f t="array" ref="F801">IF($Q801&gt;=0,IFERROR(generateSalesData($D801, IF(ISNUMBER(_xlfn.XLOOKUP($C801,Phone_by_Sentiment!$B$2:$B$37,Phone_by_Sentiment!F$2:F$37,"",0,1)),_xlfn.XLOOKUP($C801,Phone_by_Sentiment!$B$2:$B$37,Phone_by_Sentiment!F$2:F$37,"",0,1),0),$A801-TEXT(DATEVALUE($D801&amp;"-01"), "dd-mm-yyyy")),0),0)</f>
        <v>0</v>
      </c>
      <c r="G801" cm="1">
        <f t="array" ref="G801">IF($Q801&gt;=0,IFERROR(generateSalesData($D801, IF(ISNUMBER(_xlfn.XLOOKUP($C801,Phone_by_Sentiment!$B$2:$B$37,Phone_by_Sentiment!G$2:G$37,"",0,1)),_xlfn.XLOOKUP($C801,Phone_by_Sentiment!$B$2:$B$37,Phone_by_Sentiment!G$2:G$37,"",0,1),0),$A801-TEXT(DATEVALUE($D801&amp;"-01"), "dd-mm-yyyy")),0),0)</f>
        <v>0</v>
      </c>
      <c r="H801" cm="1">
        <f t="array" ref="H801">IF($Q801&gt;=0,IFERROR(generateSalesData($D801, IF(ISNUMBER(_xlfn.XLOOKUP($C801,Phone_by_Sentiment!$B$2:$B$37,Phone_by_Sentiment!H$2:H$37,"",0,1)),_xlfn.XLOOKUP($C801,Phone_by_Sentiment!$B$2:$B$37,Phone_by_Sentiment!H$2:H$37,"",0,1),0),$A801-TEXT(DATEVALUE($D801&amp;"-01"), "dd-mm-yyyy")),0),0)</f>
        <v>0</v>
      </c>
      <c r="I801" cm="1">
        <f t="array" ref="I801">IF($Q801&gt;=0,IFERROR(generateSalesData($D801, IF(ISNUMBER(_xlfn.XLOOKUP($C801,Phone_by_Sentiment!$B$2:$B$37,Phone_by_Sentiment!I$2:I$37,"",0,1)),_xlfn.XLOOKUP($C801,Phone_by_Sentiment!$B$2:$B$37,Phone_by_Sentiment!I$2:I$37,"",0,1),0),$A801-TEXT(DATEVALUE($D801&amp;"-01"), "dd-mm-yyyy")),0),0)</f>
        <v>0</v>
      </c>
      <c r="J801" cm="1">
        <f t="array" ref="J801">IF($Q801&gt;=0,IFERROR(generateSalesData($D801, IF(ISNUMBER(_xlfn.XLOOKUP($C801,Phone_by_Sentiment!$B$2:$B$37,Phone_by_Sentiment!J$2:J$37,"",0,1)),_xlfn.XLOOKUP($C801,Phone_by_Sentiment!$B$2:$B$37,Phone_by_Sentiment!J$2:J$37,"",0,1),0),$A801-TEXT(DATEVALUE($D801&amp;"-01"), "dd-mm-yyyy")),0),0)</f>
        <v>0</v>
      </c>
      <c r="K801" cm="1">
        <f t="array" ref="K801">IF($Q801&gt;=0,IFERROR(generateSalesData($D801, IF(ISNUMBER(_xlfn.XLOOKUP($C801,Phone_by_Sentiment!$B$2:$B$37,Phone_by_Sentiment!K$2:K$37,"",0,1)),_xlfn.XLOOKUP($C801,Phone_by_Sentiment!$B$2:$B$37,Phone_by_Sentiment!K$2:K$37,"",0,1),0),$A801-TEXT(DATEVALUE($D801&amp;"-01"), "dd-mm-yyyy")),0),0)</f>
        <v>0</v>
      </c>
      <c r="L801" cm="1">
        <f t="array" ref="L801">IF($Q801&gt;=0,IFERROR(generateSalesData($D801, IF(ISNUMBER(_xlfn.XLOOKUP($C801,Phone_by_Sentiment!$B$2:$B$37,Phone_by_Sentiment!L$2:L$37,"",0,1)),_xlfn.XLOOKUP($C801,Phone_by_Sentiment!$B$2:$B$37,Phone_by_Sentiment!L$2:L$37,"",0,1),0),$A801-TEXT(DATEVALUE($D801&amp;"-01"), "dd-mm-yyyy")),0),0)</f>
        <v>0</v>
      </c>
      <c r="M801" cm="1">
        <f t="array" ref="M801">IF($Q801&gt;=0,IFERROR(generateSalesData($D801, IF(ISNUMBER(_xlfn.XLOOKUP($C801,Phone_by_Sentiment!$B$2:$B$37,Phone_by_Sentiment!M$2:M$37,"",0,1)),_xlfn.XLOOKUP($C801,Phone_by_Sentiment!$B$2:$B$37,Phone_by_Sentiment!M$2:M$37,"",0,1),0),$A801-TEXT(DATEVALUE($D801&amp;"-01"), "dd-mm-yyyy")),0),0)</f>
        <v>0</v>
      </c>
      <c r="N801" cm="1">
        <f t="array" ref="N801">IF($Q801&gt;=0,IFERROR(generateSalesData($D801, IF(ISNUMBER(_xlfn.XLOOKUP($C801,Phone_by_Sentiment!$B$2:$B$37,Phone_by_Sentiment!N$2:N$37,"",0,1)),_xlfn.XLOOKUP($C801,Phone_by_Sentiment!$B$2:$B$37,Phone_by_Sentiment!N$2:N$37,"",0,1),0),$A801-TEXT(DATEVALUE($D801&amp;"-01"), "dd-mm-yyyy")),0),0)</f>
        <v>0</v>
      </c>
      <c r="O801" cm="1">
        <f t="array" ref="O801">IF($Q801&gt;=0,IFERROR(generateSalesData($D801, IF(ISNUMBER(_xlfn.XLOOKUP($C801,Phone_by_Sentiment!$B$2:$B$37,Phone_by_Sentiment!O$2:O$37,"",0,1)),_xlfn.XLOOKUP($C801,Phone_by_Sentiment!$B$2:$B$37,Phone_by_Sentiment!O$2:O$37,"",0,1),0),$A801-TEXT(DATEVALUE($D801&amp;"-01"), "dd-mm-yyyy")),0),0)</f>
        <v>0</v>
      </c>
      <c r="P801" s="1">
        <f t="shared" si="32"/>
        <v>44256</v>
      </c>
      <c r="Q801">
        <f t="shared" si="33"/>
        <v>-120</v>
      </c>
    </row>
    <row r="802" spans="1:17" x14ac:dyDescent="0.25">
      <c r="A802" s="1">
        <f t="shared" si="27"/>
        <v>44136</v>
      </c>
      <c r="B802" t="s">
        <v>149</v>
      </c>
      <c r="C802" t="str">
        <f>_xlfn.XLOOKUP(B802,Phone_by_Price!$A$2:$A$34,Phone_by_Price!$B$2:$B$34,"-",0,1)</f>
        <v>Samsung Galaxy A52</v>
      </c>
      <c r="D802" t="str">
        <f>_xlfn.XLOOKUP(C802,Phone_by_Sentiment!$B$2:$B$37,Phone_by_Sentiment!$A$2:$A$37,"-",0,1)</f>
        <v>2021-03</v>
      </c>
      <c r="E802" cm="1">
        <f t="array" ref="E802">IF($Q802&gt;=0,IFERROR(generateSalesData($D802, IF(ISNUMBER(_xlfn.XLOOKUP($C802,Phone_by_Sentiment!$B$2:$B$37,Phone_by_Sentiment!E$2:E$37,"",0,1)),_xlfn.XLOOKUP($C802,Phone_by_Sentiment!$B$2:$B$37,Phone_by_Sentiment!E$2:E$37,"",0,1),0),$A802-TEXT(DATEVALUE($D802&amp;"-01"), "dd-mm-yyyy")),0),0)</f>
        <v>0</v>
      </c>
      <c r="F802" cm="1">
        <f t="array" ref="F802">IF($Q802&gt;=0,IFERROR(generateSalesData($D802, IF(ISNUMBER(_xlfn.XLOOKUP($C802,Phone_by_Sentiment!$B$2:$B$37,Phone_by_Sentiment!F$2:F$37,"",0,1)),_xlfn.XLOOKUP($C802,Phone_by_Sentiment!$B$2:$B$37,Phone_by_Sentiment!F$2:F$37,"",0,1),0),$A802-TEXT(DATEVALUE($D802&amp;"-01"), "dd-mm-yyyy")),0),0)</f>
        <v>0</v>
      </c>
      <c r="G802" cm="1">
        <f t="array" ref="G802">IF($Q802&gt;=0,IFERROR(generateSalesData($D802, IF(ISNUMBER(_xlfn.XLOOKUP($C802,Phone_by_Sentiment!$B$2:$B$37,Phone_by_Sentiment!G$2:G$37,"",0,1)),_xlfn.XLOOKUP($C802,Phone_by_Sentiment!$B$2:$B$37,Phone_by_Sentiment!G$2:G$37,"",0,1),0),$A802-TEXT(DATEVALUE($D802&amp;"-01"), "dd-mm-yyyy")),0),0)</f>
        <v>0</v>
      </c>
      <c r="H802" cm="1">
        <f t="array" ref="H802">IF($Q802&gt;=0,IFERROR(generateSalesData($D802, IF(ISNUMBER(_xlfn.XLOOKUP($C802,Phone_by_Sentiment!$B$2:$B$37,Phone_by_Sentiment!H$2:H$37,"",0,1)),_xlfn.XLOOKUP($C802,Phone_by_Sentiment!$B$2:$B$37,Phone_by_Sentiment!H$2:H$37,"",0,1),0),$A802-TEXT(DATEVALUE($D802&amp;"-01"), "dd-mm-yyyy")),0),0)</f>
        <v>0</v>
      </c>
      <c r="I802" cm="1">
        <f t="array" ref="I802">IF($Q802&gt;=0,IFERROR(generateSalesData($D802, IF(ISNUMBER(_xlfn.XLOOKUP($C802,Phone_by_Sentiment!$B$2:$B$37,Phone_by_Sentiment!I$2:I$37,"",0,1)),_xlfn.XLOOKUP($C802,Phone_by_Sentiment!$B$2:$B$37,Phone_by_Sentiment!I$2:I$37,"",0,1),0),$A802-TEXT(DATEVALUE($D802&amp;"-01"), "dd-mm-yyyy")),0),0)</f>
        <v>0</v>
      </c>
      <c r="J802" cm="1">
        <f t="array" ref="J802">IF($Q802&gt;=0,IFERROR(generateSalesData($D802, IF(ISNUMBER(_xlfn.XLOOKUP($C802,Phone_by_Sentiment!$B$2:$B$37,Phone_by_Sentiment!J$2:J$37,"",0,1)),_xlfn.XLOOKUP($C802,Phone_by_Sentiment!$B$2:$B$37,Phone_by_Sentiment!J$2:J$37,"",0,1),0),$A802-TEXT(DATEVALUE($D802&amp;"-01"), "dd-mm-yyyy")),0),0)</f>
        <v>0</v>
      </c>
      <c r="K802" cm="1">
        <f t="array" ref="K802">IF($Q802&gt;=0,IFERROR(generateSalesData($D802, IF(ISNUMBER(_xlfn.XLOOKUP($C802,Phone_by_Sentiment!$B$2:$B$37,Phone_by_Sentiment!K$2:K$37,"",0,1)),_xlfn.XLOOKUP($C802,Phone_by_Sentiment!$B$2:$B$37,Phone_by_Sentiment!K$2:K$37,"",0,1),0),$A802-TEXT(DATEVALUE($D802&amp;"-01"), "dd-mm-yyyy")),0),0)</f>
        <v>0</v>
      </c>
      <c r="L802" cm="1">
        <f t="array" ref="L802">IF($Q802&gt;=0,IFERROR(generateSalesData($D802, IF(ISNUMBER(_xlfn.XLOOKUP($C802,Phone_by_Sentiment!$B$2:$B$37,Phone_by_Sentiment!L$2:L$37,"",0,1)),_xlfn.XLOOKUP($C802,Phone_by_Sentiment!$B$2:$B$37,Phone_by_Sentiment!L$2:L$37,"",0,1),0),$A802-TEXT(DATEVALUE($D802&amp;"-01"), "dd-mm-yyyy")),0),0)</f>
        <v>0</v>
      </c>
      <c r="M802" cm="1">
        <f t="array" ref="M802">IF($Q802&gt;=0,IFERROR(generateSalesData($D802, IF(ISNUMBER(_xlfn.XLOOKUP($C802,Phone_by_Sentiment!$B$2:$B$37,Phone_by_Sentiment!M$2:M$37,"",0,1)),_xlfn.XLOOKUP($C802,Phone_by_Sentiment!$B$2:$B$37,Phone_by_Sentiment!M$2:M$37,"",0,1),0),$A802-TEXT(DATEVALUE($D802&amp;"-01"), "dd-mm-yyyy")),0),0)</f>
        <v>0</v>
      </c>
      <c r="N802" cm="1">
        <f t="array" ref="N802">IF($Q802&gt;=0,IFERROR(generateSalesData($D802, IF(ISNUMBER(_xlfn.XLOOKUP($C802,Phone_by_Sentiment!$B$2:$B$37,Phone_by_Sentiment!N$2:N$37,"",0,1)),_xlfn.XLOOKUP($C802,Phone_by_Sentiment!$B$2:$B$37,Phone_by_Sentiment!N$2:N$37,"",0,1),0),$A802-TEXT(DATEVALUE($D802&amp;"-01"), "dd-mm-yyyy")),0),0)</f>
        <v>0</v>
      </c>
      <c r="O802" cm="1">
        <f t="array" ref="O802">IF($Q802&gt;=0,IFERROR(generateSalesData($D802, IF(ISNUMBER(_xlfn.XLOOKUP($C802,Phone_by_Sentiment!$B$2:$B$37,Phone_by_Sentiment!O$2:O$37,"",0,1)),_xlfn.XLOOKUP($C802,Phone_by_Sentiment!$B$2:$B$37,Phone_by_Sentiment!O$2:O$37,"",0,1),0),$A802-TEXT(DATEVALUE($D802&amp;"-01"), "dd-mm-yyyy")),0),0)</f>
        <v>0</v>
      </c>
      <c r="P802" s="1">
        <f t="shared" si="32"/>
        <v>44256</v>
      </c>
      <c r="Q802">
        <f t="shared" si="33"/>
        <v>-120</v>
      </c>
    </row>
    <row r="803" spans="1:17" x14ac:dyDescent="0.25">
      <c r="A803" s="1">
        <f t="shared" si="27"/>
        <v>44136</v>
      </c>
      <c r="B803" t="s">
        <v>150</v>
      </c>
      <c r="C803" t="str">
        <f>_xlfn.XLOOKUP(B803,Phone_by_Price!$A$2:$A$34,Phone_by_Price!$B$2:$B$34,"-",0,1)</f>
        <v>Vivo Y33s</v>
      </c>
      <c r="D803" t="str">
        <f>_xlfn.XLOOKUP(C803,Phone_by_Sentiment!$B$2:$B$37,Phone_by_Sentiment!$A$2:$A$37,"-",0,1)</f>
        <v>2021-05</v>
      </c>
      <c r="E803" cm="1">
        <f t="array" ref="E803">IF($Q803&gt;=0,IFERROR(generateSalesData($D803, IF(ISNUMBER(_xlfn.XLOOKUP($C803,Phone_by_Sentiment!$B$2:$B$37,Phone_by_Sentiment!E$2:E$37,"",0,1)),_xlfn.XLOOKUP($C803,Phone_by_Sentiment!$B$2:$B$37,Phone_by_Sentiment!E$2:E$37,"",0,1),0),$A803-TEXT(DATEVALUE($D803&amp;"-01"), "dd-mm-yyyy")),0),0)</f>
        <v>0</v>
      </c>
      <c r="F803" cm="1">
        <f t="array" ref="F803">IF($Q803&gt;=0,IFERROR(generateSalesData($D803, IF(ISNUMBER(_xlfn.XLOOKUP($C803,Phone_by_Sentiment!$B$2:$B$37,Phone_by_Sentiment!F$2:F$37,"",0,1)),_xlfn.XLOOKUP($C803,Phone_by_Sentiment!$B$2:$B$37,Phone_by_Sentiment!F$2:F$37,"",0,1),0),$A803-TEXT(DATEVALUE($D803&amp;"-01"), "dd-mm-yyyy")),0),0)</f>
        <v>0</v>
      </c>
      <c r="G803" cm="1">
        <f t="array" ref="G803">IF($Q803&gt;=0,IFERROR(generateSalesData($D803, IF(ISNUMBER(_xlfn.XLOOKUP($C803,Phone_by_Sentiment!$B$2:$B$37,Phone_by_Sentiment!G$2:G$37,"",0,1)),_xlfn.XLOOKUP($C803,Phone_by_Sentiment!$B$2:$B$37,Phone_by_Sentiment!G$2:G$37,"",0,1),0),$A803-TEXT(DATEVALUE($D803&amp;"-01"), "dd-mm-yyyy")),0),0)</f>
        <v>0</v>
      </c>
      <c r="H803" cm="1">
        <f t="array" ref="H803">IF($Q803&gt;=0,IFERROR(generateSalesData($D803, IF(ISNUMBER(_xlfn.XLOOKUP($C803,Phone_by_Sentiment!$B$2:$B$37,Phone_by_Sentiment!H$2:H$37,"",0,1)),_xlfn.XLOOKUP($C803,Phone_by_Sentiment!$B$2:$B$37,Phone_by_Sentiment!H$2:H$37,"",0,1),0),$A803-TEXT(DATEVALUE($D803&amp;"-01"), "dd-mm-yyyy")),0),0)</f>
        <v>0</v>
      </c>
      <c r="I803" cm="1">
        <f t="array" ref="I803">IF($Q803&gt;=0,IFERROR(generateSalesData($D803, IF(ISNUMBER(_xlfn.XLOOKUP($C803,Phone_by_Sentiment!$B$2:$B$37,Phone_by_Sentiment!I$2:I$37,"",0,1)),_xlfn.XLOOKUP($C803,Phone_by_Sentiment!$B$2:$B$37,Phone_by_Sentiment!I$2:I$37,"",0,1),0),$A803-TEXT(DATEVALUE($D803&amp;"-01"), "dd-mm-yyyy")),0),0)</f>
        <v>0</v>
      </c>
      <c r="J803" cm="1">
        <f t="array" ref="J803">IF($Q803&gt;=0,IFERROR(generateSalesData($D803, IF(ISNUMBER(_xlfn.XLOOKUP($C803,Phone_by_Sentiment!$B$2:$B$37,Phone_by_Sentiment!J$2:J$37,"",0,1)),_xlfn.XLOOKUP($C803,Phone_by_Sentiment!$B$2:$B$37,Phone_by_Sentiment!J$2:J$37,"",0,1),0),$A803-TEXT(DATEVALUE($D803&amp;"-01"), "dd-mm-yyyy")),0),0)</f>
        <v>0</v>
      </c>
      <c r="K803" cm="1">
        <f t="array" ref="K803">IF($Q803&gt;=0,IFERROR(generateSalesData($D803, IF(ISNUMBER(_xlfn.XLOOKUP($C803,Phone_by_Sentiment!$B$2:$B$37,Phone_by_Sentiment!K$2:K$37,"",0,1)),_xlfn.XLOOKUP($C803,Phone_by_Sentiment!$B$2:$B$37,Phone_by_Sentiment!K$2:K$37,"",0,1),0),$A803-TEXT(DATEVALUE($D803&amp;"-01"), "dd-mm-yyyy")),0),0)</f>
        <v>0</v>
      </c>
      <c r="L803" cm="1">
        <f t="array" ref="L803">IF($Q803&gt;=0,IFERROR(generateSalesData($D803, IF(ISNUMBER(_xlfn.XLOOKUP($C803,Phone_by_Sentiment!$B$2:$B$37,Phone_by_Sentiment!L$2:L$37,"",0,1)),_xlfn.XLOOKUP($C803,Phone_by_Sentiment!$B$2:$B$37,Phone_by_Sentiment!L$2:L$37,"",0,1),0),$A803-TEXT(DATEVALUE($D803&amp;"-01"), "dd-mm-yyyy")),0),0)</f>
        <v>0</v>
      </c>
      <c r="M803" cm="1">
        <f t="array" ref="M803">IF($Q803&gt;=0,IFERROR(generateSalesData($D803, IF(ISNUMBER(_xlfn.XLOOKUP($C803,Phone_by_Sentiment!$B$2:$B$37,Phone_by_Sentiment!M$2:M$37,"",0,1)),_xlfn.XLOOKUP($C803,Phone_by_Sentiment!$B$2:$B$37,Phone_by_Sentiment!M$2:M$37,"",0,1),0),$A803-TEXT(DATEVALUE($D803&amp;"-01"), "dd-mm-yyyy")),0),0)</f>
        <v>0</v>
      </c>
      <c r="N803" cm="1">
        <f t="array" ref="N803">IF($Q803&gt;=0,IFERROR(generateSalesData($D803, IF(ISNUMBER(_xlfn.XLOOKUP($C803,Phone_by_Sentiment!$B$2:$B$37,Phone_by_Sentiment!N$2:N$37,"",0,1)),_xlfn.XLOOKUP($C803,Phone_by_Sentiment!$B$2:$B$37,Phone_by_Sentiment!N$2:N$37,"",0,1),0),$A803-TEXT(DATEVALUE($D803&amp;"-01"), "dd-mm-yyyy")),0),0)</f>
        <v>0</v>
      </c>
      <c r="O803" cm="1">
        <f t="array" ref="O803">IF($Q803&gt;=0,IFERROR(generateSalesData($D803, IF(ISNUMBER(_xlfn.XLOOKUP($C803,Phone_by_Sentiment!$B$2:$B$37,Phone_by_Sentiment!O$2:O$37,"",0,1)),_xlfn.XLOOKUP($C803,Phone_by_Sentiment!$B$2:$B$37,Phone_by_Sentiment!O$2:O$37,"",0,1),0),$A803-TEXT(DATEVALUE($D803&amp;"-01"), "dd-mm-yyyy")),0),0)</f>
        <v>0</v>
      </c>
      <c r="P803" s="1">
        <f t="shared" si="32"/>
        <v>44317</v>
      </c>
      <c r="Q803">
        <f t="shared" si="33"/>
        <v>-181</v>
      </c>
    </row>
    <row r="804" spans="1:17" x14ac:dyDescent="0.25">
      <c r="A804" s="1">
        <f t="shared" si="27"/>
        <v>44136</v>
      </c>
      <c r="B804" t="s">
        <v>151</v>
      </c>
      <c r="C804" t="str">
        <f>_xlfn.XLOOKUP(B804,Phone_by_Price!$A$2:$A$34,Phone_by_Price!$B$2:$B$34,"-",0,1)</f>
        <v>Vivo Y11s</v>
      </c>
      <c r="D804" t="str">
        <f>_xlfn.XLOOKUP(C804,Phone_by_Sentiment!$B$2:$B$37,Phone_by_Sentiment!$A$2:$A$37,"-",0,1)</f>
        <v>2020-11</v>
      </c>
      <c r="E804" cm="1">
        <f t="array" ref="E804">IF($Q804&gt;=0,IFERROR(generateSalesData($D804, IF(ISNUMBER(_xlfn.XLOOKUP($C804,Phone_by_Sentiment!$B$2:$B$37,Phone_by_Sentiment!E$2:E$37,"",0,1)),_xlfn.XLOOKUP($C804,Phone_by_Sentiment!$B$2:$B$37,Phone_by_Sentiment!E$2:E$37,"",0,1),0),$A804-TEXT(DATEVALUE($D804&amp;"-01"), "dd-mm-yyyy")),0),0)</f>
        <v>1110</v>
      </c>
      <c r="F804" cm="1">
        <f t="array" ref="F804">IF($Q804&gt;=0,IFERROR(generateSalesData($D804, IF(ISNUMBER(_xlfn.XLOOKUP($C804,Phone_by_Sentiment!$B$2:$B$37,Phone_by_Sentiment!F$2:F$37,"",0,1)),_xlfn.XLOOKUP($C804,Phone_by_Sentiment!$B$2:$B$37,Phone_by_Sentiment!F$2:F$37,"",0,1),0),$A804-TEXT(DATEVALUE($D804&amp;"-01"), "dd-mm-yyyy")),0),0)</f>
        <v>391</v>
      </c>
      <c r="G804" cm="1">
        <f t="array" ref="G804">IF($Q804&gt;=0,IFERROR(generateSalesData($D804, IF(ISNUMBER(_xlfn.XLOOKUP($C804,Phone_by_Sentiment!$B$2:$B$37,Phone_by_Sentiment!G$2:G$37,"",0,1)),_xlfn.XLOOKUP($C804,Phone_by_Sentiment!$B$2:$B$37,Phone_by_Sentiment!G$2:G$37,"",0,1),0),$A804-TEXT(DATEVALUE($D804&amp;"-01"), "dd-mm-yyyy")),0),0)</f>
        <v>1634</v>
      </c>
      <c r="H804" cm="1">
        <f t="array" ref="H804">IF($Q804&gt;=0,IFERROR(generateSalesData($D804, IF(ISNUMBER(_xlfn.XLOOKUP($C804,Phone_by_Sentiment!$B$2:$B$37,Phone_by_Sentiment!H$2:H$37,"",0,1)),_xlfn.XLOOKUP($C804,Phone_by_Sentiment!$B$2:$B$37,Phone_by_Sentiment!H$2:H$37,"",0,1),0),$A804-TEXT(DATEVALUE($D804&amp;"-01"), "dd-mm-yyyy")),0),0)</f>
        <v>2015</v>
      </c>
      <c r="I804" cm="1">
        <f t="array" ref="I804">IF($Q804&gt;=0,IFERROR(generateSalesData($D804, IF(ISNUMBER(_xlfn.XLOOKUP($C804,Phone_by_Sentiment!$B$2:$B$37,Phone_by_Sentiment!I$2:I$37,"",0,1)),_xlfn.XLOOKUP($C804,Phone_by_Sentiment!$B$2:$B$37,Phone_by_Sentiment!I$2:I$37,"",0,1),0),$A804-TEXT(DATEVALUE($D804&amp;"-01"), "dd-mm-yyyy")),0),0)</f>
        <v>5649</v>
      </c>
      <c r="J804" cm="1">
        <f t="array" ref="J804">IF($Q804&gt;=0,IFERROR(generateSalesData($D804, IF(ISNUMBER(_xlfn.XLOOKUP($C804,Phone_by_Sentiment!$B$2:$B$37,Phone_by_Sentiment!J$2:J$37,"",0,1)),_xlfn.XLOOKUP($C804,Phone_by_Sentiment!$B$2:$B$37,Phone_by_Sentiment!J$2:J$37,"",0,1),0),$A804-TEXT(DATEVALUE($D804&amp;"-01"), "dd-mm-yyyy")),0),0)</f>
        <v>261</v>
      </c>
      <c r="K804" cm="1">
        <f t="array" ref="K804">IF($Q804&gt;=0,IFERROR(generateSalesData($D804, IF(ISNUMBER(_xlfn.XLOOKUP($C804,Phone_by_Sentiment!$B$2:$B$37,Phone_by_Sentiment!K$2:K$37,"",0,1)),_xlfn.XLOOKUP($C804,Phone_by_Sentiment!$B$2:$B$37,Phone_by_Sentiment!K$2:K$37,"",0,1),0),$A804-TEXT(DATEVALUE($D804&amp;"-01"), "dd-mm-yyyy")),0),0)</f>
        <v>3435</v>
      </c>
      <c r="L804" cm="1">
        <f t="array" ref="L804">IF($Q804&gt;=0,IFERROR(generateSalesData($D804, IF(ISNUMBER(_xlfn.XLOOKUP($C804,Phone_by_Sentiment!$B$2:$B$37,Phone_by_Sentiment!L$2:L$37,"",0,1)),_xlfn.XLOOKUP($C804,Phone_by_Sentiment!$B$2:$B$37,Phone_by_Sentiment!L$2:L$37,"",0,1),0),$A804-TEXT(DATEVALUE($D804&amp;"-01"), "dd-mm-yyyy")),0),0)</f>
        <v>2059</v>
      </c>
      <c r="M804" cm="1">
        <f t="array" ref="M804">IF($Q804&gt;=0,IFERROR(generateSalesData($D804, IF(ISNUMBER(_xlfn.XLOOKUP($C804,Phone_by_Sentiment!$B$2:$B$37,Phone_by_Sentiment!M$2:M$37,"",0,1)),_xlfn.XLOOKUP($C804,Phone_by_Sentiment!$B$2:$B$37,Phone_by_Sentiment!M$2:M$37,"",0,1),0),$A804-TEXT(DATEVALUE($D804&amp;"-01"), "dd-mm-yyyy")),0),0)</f>
        <v>97</v>
      </c>
      <c r="N804" cm="1">
        <f t="array" ref="N804">IF($Q804&gt;=0,IFERROR(generateSalesData($D804, IF(ISNUMBER(_xlfn.XLOOKUP($C804,Phone_by_Sentiment!$B$2:$B$37,Phone_by_Sentiment!N$2:N$37,"",0,1)),_xlfn.XLOOKUP($C804,Phone_by_Sentiment!$B$2:$B$37,Phone_by_Sentiment!N$2:N$37,"",0,1),0),$A804-TEXT(DATEVALUE($D804&amp;"-01"), "dd-mm-yyyy")),0),0)</f>
        <v>2175</v>
      </c>
      <c r="O804" cm="1">
        <f t="array" ref="O804">IF($Q804&gt;=0,IFERROR(generateSalesData($D804, IF(ISNUMBER(_xlfn.XLOOKUP($C804,Phone_by_Sentiment!$B$2:$B$37,Phone_by_Sentiment!O$2:O$37,"",0,1)),_xlfn.XLOOKUP($C804,Phone_by_Sentiment!$B$2:$B$37,Phone_by_Sentiment!O$2:O$37,"",0,1),0),$A804-TEXT(DATEVALUE($D804&amp;"-01"), "dd-mm-yyyy")),0),0)</f>
        <v>3669</v>
      </c>
      <c r="P804" s="1">
        <f t="shared" si="32"/>
        <v>44136</v>
      </c>
      <c r="Q804">
        <f t="shared" si="33"/>
        <v>0</v>
      </c>
    </row>
    <row r="805" spans="1:17" x14ac:dyDescent="0.25">
      <c r="A805" s="1">
        <f t="shared" si="27"/>
        <v>44136</v>
      </c>
      <c r="B805" t="s">
        <v>152</v>
      </c>
      <c r="C805" t="str">
        <f>_xlfn.XLOOKUP(B805,Phone_by_Price!$A$2:$A$34,Phone_by_Price!$B$2:$B$34,"-",0,1)</f>
        <v>Huawei Nova 7i</v>
      </c>
      <c r="D805" t="str">
        <f>_xlfn.XLOOKUP(C805,Phone_by_Sentiment!$B$2:$B$37,Phone_by_Sentiment!$A$2:$A$37,"-",0,1)</f>
        <v>2020-02</v>
      </c>
      <c r="E805" cm="1">
        <f t="array" ref="E805">IF($Q805&gt;=0,IFERROR(generateSalesData($D805, IF(ISNUMBER(_xlfn.XLOOKUP($C805,Phone_by_Sentiment!$B$2:$B$37,Phone_by_Sentiment!E$2:E$37,"",0,1)),_xlfn.XLOOKUP($C805,Phone_by_Sentiment!$B$2:$B$37,Phone_by_Sentiment!E$2:E$37,"",0,1),0),$A805-TEXT(DATEVALUE($D805&amp;"-01"), "dd-mm-yyyy")),0),0)</f>
        <v>200</v>
      </c>
      <c r="F805" cm="1">
        <f t="array" ref="F805">IF($Q805&gt;=0,IFERROR(generateSalesData($D805, IF(ISNUMBER(_xlfn.XLOOKUP($C805,Phone_by_Sentiment!$B$2:$B$37,Phone_by_Sentiment!F$2:F$37,"",0,1)),_xlfn.XLOOKUP($C805,Phone_by_Sentiment!$B$2:$B$37,Phone_by_Sentiment!F$2:F$37,"",0,1),0),$A805-TEXT(DATEVALUE($D805&amp;"-01"), "dd-mm-yyyy")),0),0)</f>
        <v>219</v>
      </c>
      <c r="G805" cm="1">
        <f t="array" ref="G805">IF($Q805&gt;=0,IFERROR(generateSalesData($D805, IF(ISNUMBER(_xlfn.XLOOKUP($C805,Phone_by_Sentiment!$B$2:$B$37,Phone_by_Sentiment!G$2:G$37,"",0,1)),_xlfn.XLOOKUP($C805,Phone_by_Sentiment!$B$2:$B$37,Phone_by_Sentiment!G$2:G$37,"",0,1),0),$A805-TEXT(DATEVALUE($D805&amp;"-01"), "dd-mm-yyyy")),0),0)</f>
        <v>219</v>
      </c>
      <c r="H805" cm="1">
        <f t="array" ref="H805">IF($Q805&gt;=0,IFERROR(generateSalesData($D805, IF(ISNUMBER(_xlfn.XLOOKUP($C805,Phone_by_Sentiment!$B$2:$B$37,Phone_by_Sentiment!H$2:H$37,"",0,1)),_xlfn.XLOOKUP($C805,Phone_by_Sentiment!$B$2:$B$37,Phone_by_Sentiment!H$2:H$37,"",0,1),0),$A805-TEXT(DATEVALUE($D805&amp;"-01"), "dd-mm-yyyy")),0),0)</f>
        <v>432</v>
      </c>
      <c r="I805" cm="1">
        <f t="array" ref="I805">IF($Q805&gt;=0,IFERROR(generateSalesData($D805, IF(ISNUMBER(_xlfn.XLOOKUP($C805,Phone_by_Sentiment!$B$2:$B$37,Phone_by_Sentiment!I$2:I$37,"",0,1)),_xlfn.XLOOKUP($C805,Phone_by_Sentiment!$B$2:$B$37,Phone_by_Sentiment!I$2:I$37,"",0,1),0),$A805-TEXT(DATEVALUE($D805&amp;"-01"), "dd-mm-yyyy")),0),0)</f>
        <v>293</v>
      </c>
      <c r="J805" cm="1">
        <f t="array" ref="J805">IF($Q805&gt;=0,IFERROR(generateSalesData($D805, IF(ISNUMBER(_xlfn.XLOOKUP($C805,Phone_by_Sentiment!$B$2:$B$37,Phone_by_Sentiment!J$2:J$37,"",0,1)),_xlfn.XLOOKUP($C805,Phone_by_Sentiment!$B$2:$B$37,Phone_by_Sentiment!J$2:J$37,"",0,1),0),$A805-TEXT(DATEVALUE($D805&amp;"-01"), "dd-mm-yyyy")),0),0)</f>
        <v>367</v>
      </c>
      <c r="K805" cm="1">
        <f t="array" ref="K805">IF($Q805&gt;=0,IFERROR(generateSalesData($D805, IF(ISNUMBER(_xlfn.XLOOKUP($C805,Phone_by_Sentiment!$B$2:$B$37,Phone_by_Sentiment!K$2:K$37,"",0,1)),_xlfn.XLOOKUP($C805,Phone_by_Sentiment!$B$2:$B$37,Phone_by_Sentiment!K$2:K$37,"",0,1),0),$A805-TEXT(DATEVALUE($D805&amp;"-01"), "dd-mm-yyyy")),0),0)</f>
        <v>444</v>
      </c>
      <c r="L805" cm="1">
        <f t="array" ref="L805">IF($Q805&gt;=0,IFERROR(generateSalesData($D805, IF(ISNUMBER(_xlfn.XLOOKUP($C805,Phone_by_Sentiment!$B$2:$B$37,Phone_by_Sentiment!L$2:L$37,"",0,1)),_xlfn.XLOOKUP($C805,Phone_by_Sentiment!$B$2:$B$37,Phone_by_Sentiment!L$2:L$37,"",0,1),0),$A805-TEXT(DATEVALUE($D805&amp;"-01"), "dd-mm-yyyy")),0),0)</f>
        <v>364</v>
      </c>
      <c r="M805" cm="1">
        <f t="array" ref="M805">IF($Q805&gt;=0,IFERROR(generateSalesData($D805, IF(ISNUMBER(_xlfn.XLOOKUP($C805,Phone_by_Sentiment!$B$2:$B$37,Phone_by_Sentiment!M$2:M$37,"",0,1)),_xlfn.XLOOKUP($C805,Phone_by_Sentiment!$B$2:$B$37,Phone_by_Sentiment!M$2:M$37,"",0,1),0),$A805-TEXT(DATEVALUE($D805&amp;"-01"), "dd-mm-yyyy")),0),0)</f>
        <v>305</v>
      </c>
      <c r="N805" cm="1">
        <f t="array" ref="N805">IF($Q805&gt;=0,IFERROR(generateSalesData($D805, IF(ISNUMBER(_xlfn.XLOOKUP($C805,Phone_by_Sentiment!$B$2:$B$37,Phone_by_Sentiment!N$2:N$37,"",0,1)),_xlfn.XLOOKUP($C805,Phone_by_Sentiment!$B$2:$B$37,Phone_by_Sentiment!N$2:N$37,"",0,1),0),$A805-TEXT(DATEVALUE($D805&amp;"-01"), "dd-mm-yyyy")),0),0)</f>
        <v>180</v>
      </c>
      <c r="O805" cm="1">
        <f t="array" ref="O805">IF($Q805&gt;=0,IFERROR(generateSalesData($D805, IF(ISNUMBER(_xlfn.XLOOKUP($C805,Phone_by_Sentiment!$B$2:$B$37,Phone_by_Sentiment!O$2:O$37,"",0,1)),_xlfn.XLOOKUP($C805,Phone_by_Sentiment!$B$2:$B$37,Phone_by_Sentiment!O$2:O$37,"",0,1),0),$A805-TEXT(DATEVALUE($D805&amp;"-01"), "dd-mm-yyyy")),0),0)</f>
        <v>20</v>
      </c>
      <c r="P805" s="1">
        <f t="shared" si="32"/>
        <v>43862</v>
      </c>
      <c r="Q805">
        <f t="shared" si="33"/>
        <v>274</v>
      </c>
    </row>
    <row r="806" spans="1:17" x14ac:dyDescent="0.25">
      <c r="A806" s="1">
        <f t="shared" si="27"/>
        <v>44166</v>
      </c>
      <c r="B806" t="s">
        <v>153</v>
      </c>
      <c r="C806" t="str">
        <f>_xlfn.XLOOKUP(B806,Phone_by_Price!$A$2:$A$34,Phone_by_Price!$B$2:$B$34,"-",0,1)</f>
        <v>iPhone 13</v>
      </c>
      <c r="D806" t="str">
        <f>_xlfn.XLOOKUP(C806,Phone_by_Sentiment!$B$2:$B$37,Phone_by_Sentiment!$A$2:$A$37,"-",0,1)</f>
        <v>2021-09</v>
      </c>
      <c r="E806" cm="1">
        <f t="array" ref="E806">IF($Q806&gt;=0,IFERROR(generateSalesData($D806, IF(ISNUMBER(_xlfn.XLOOKUP($C806,Phone_by_Sentiment!$B$2:$B$37,Phone_by_Sentiment!E$2:E$37,"",0,1)),_xlfn.XLOOKUP($C806,Phone_by_Sentiment!$B$2:$B$37,Phone_by_Sentiment!E$2:E$37,"",0,1),0),$A806-TEXT(DATEVALUE($D806&amp;"-01"), "dd-mm-yyyy")),0),0)</f>
        <v>0</v>
      </c>
      <c r="F806" cm="1">
        <f t="array" ref="F806">IF($Q806&gt;=0,IFERROR(generateSalesData($D806, IF(ISNUMBER(_xlfn.XLOOKUP($C806,Phone_by_Sentiment!$B$2:$B$37,Phone_by_Sentiment!F$2:F$37,"",0,1)),_xlfn.XLOOKUP($C806,Phone_by_Sentiment!$B$2:$B$37,Phone_by_Sentiment!F$2:F$37,"",0,1),0),$A806-TEXT(DATEVALUE($D806&amp;"-01"), "dd-mm-yyyy")),0),0)</f>
        <v>0</v>
      </c>
      <c r="G806" cm="1">
        <f t="array" ref="G806">IF($Q806&gt;=0,IFERROR(generateSalesData($D806, IF(ISNUMBER(_xlfn.XLOOKUP($C806,Phone_by_Sentiment!$B$2:$B$37,Phone_by_Sentiment!G$2:G$37,"",0,1)),_xlfn.XLOOKUP($C806,Phone_by_Sentiment!$B$2:$B$37,Phone_by_Sentiment!G$2:G$37,"",0,1),0),$A806-TEXT(DATEVALUE($D806&amp;"-01"), "dd-mm-yyyy")),0),0)</f>
        <v>0</v>
      </c>
      <c r="H806" cm="1">
        <f t="array" ref="H806">IF($Q806&gt;=0,IFERROR(generateSalesData($D806, IF(ISNUMBER(_xlfn.XLOOKUP($C806,Phone_by_Sentiment!$B$2:$B$37,Phone_by_Sentiment!H$2:H$37,"",0,1)),_xlfn.XLOOKUP($C806,Phone_by_Sentiment!$B$2:$B$37,Phone_by_Sentiment!H$2:H$37,"",0,1),0),$A806-TEXT(DATEVALUE($D806&amp;"-01"), "dd-mm-yyyy")),0),0)</f>
        <v>0</v>
      </c>
      <c r="I806" cm="1">
        <f t="array" ref="I806">IF($Q806&gt;=0,IFERROR(generateSalesData($D806, IF(ISNUMBER(_xlfn.XLOOKUP($C806,Phone_by_Sentiment!$B$2:$B$37,Phone_by_Sentiment!I$2:I$37,"",0,1)),_xlfn.XLOOKUP($C806,Phone_by_Sentiment!$B$2:$B$37,Phone_by_Sentiment!I$2:I$37,"",0,1),0),$A806-TEXT(DATEVALUE($D806&amp;"-01"), "dd-mm-yyyy")),0),0)</f>
        <v>0</v>
      </c>
      <c r="J806" cm="1">
        <f t="array" ref="J806">IF($Q806&gt;=0,IFERROR(generateSalesData($D806, IF(ISNUMBER(_xlfn.XLOOKUP($C806,Phone_by_Sentiment!$B$2:$B$37,Phone_by_Sentiment!J$2:J$37,"",0,1)),_xlfn.XLOOKUP($C806,Phone_by_Sentiment!$B$2:$B$37,Phone_by_Sentiment!J$2:J$37,"",0,1),0),$A806-TEXT(DATEVALUE($D806&amp;"-01"), "dd-mm-yyyy")),0),0)</f>
        <v>0</v>
      </c>
      <c r="K806" cm="1">
        <f t="array" ref="K806">IF($Q806&gt;=0,IFERROR(generateSalesData($D806, IF(ISNUMBER(_xlfn.XLOOKUP($C806,Phone_by_Sentiment!$B$2:$B$37,Phone_by_Sentiment!K$2:K$37,"",0,1)),_xlfn.XLOOKUP($C806,Phone_by_Sentiment!$B$2:$B$37,Phone_by_Sentiment!K$2:K$37,"",0,1),0),$A806-TEXT(DATEVALUE($D806&amp;"-01"), "dd-mm-yyyy")),0),0)</f>
        <v>0</v>
      </c>
      <c r="L806" cm="1">
        <f t="array" ref="L806">IF($Q806&gt;=0,IFERROR(generateSalesData($D806, IF(ISNUMBER(_xlfn.XLOOKUP($C806,Phone_by_Sentiment!$B$2:$B$37,Phone_by_Sentiment!L$2:L$37,"",0,1)),_xlfn.XLOOKUP($C806,Phone_by_Sentiment!$B$2:$B$37,Phone_by_Sentiment!L$2:L$37,"",0,1),0),$A806-TEXT(DATEVALUE($D806&amp;"-01"), "dd-mm-yyyy")),0),0)</f>
        <v>0</v>
      </c>
      <c r="M806" cm="1">
        <f t="array" ref="M806">IF($Q806&gt;=0,IFERROR(generateSalesData($D806, IF(ISNUMBER(_xlfn.XLOOKUP($C806,Phone_by_Sentiment!$B$2:$B$37,Phone_by_Sentiment!M$2:M$37,"",0,1)),_xlfn.XLOOKUP($C806,Phone_by_Sentiment!$B$2:$B$37,Phone_by_Sentiment!M$2:M$37,"",0,1),0),$A806-TEXT(DATEVALUE($D806&amp;"-01"), "dd-mm-yyyy")),0),0)</f>
        <v>0</v>
      </c>
      <c r="N806" cm="1">
        <f t="array" ref="N806">IF($Q806&gt;=0,IFERROR(generateSalesData($D806, IF(ISNUMBER(_xlfn.XLOOKUP($C806,Phone_by_Sentiment!$B$2:$B$37,Phone_by_Sentiment!N$2:N$37,"",0,1)),_xlfn.XLOOKUP($C806,Phone_by_Sentiment!$B$2:$B$37,Phone_by_Sentiment!N$2:N$37,"",0,1),0),$A806-TEXT(DATEVALUE($D806&amp;"-01"), "dd-mm-yyyy")),0),0)</f>
        <v>0</v>
      </c>
      <c r="O806" cm="1">
        <f t="array" ref="O806">IF($Q806&gt;=0,IFERROR(generateSalesData($D806, IF(ISNUMBER(_xlfn.XLOOKUP($C806,Phone_by_Sentiment!$B$2:$B$37,Phone_by_Sentiment!O$2:O$37,"",0,1)),_xlfn.XLOOKUP($C806,Phone_by_Sentiment!$B$2:$B$37,Phone_by_Sentiment!O$2:O$37,"",0,1),0),$A806-TEXT(DATEVALUE($D806&amp;"-01"), "dd-mm-yyyy")),0),0)</f>
        <v>0</v>
      </c>
      <c r="P806" s="1">
        <f t="shared" si="32"/>
        <v>44440</v>
      </c>
      <c r="Q806">
        <f t="shared" si="33"/>
        <v>-274</v>
      </c>
    </row>
    <row r="807" spans="1:17" x14ac:dyDescent="0.25">
      <c r="A807" s="1">
        <f t="shared" si="27"/>
        <v>44166</v>
      </c>
      <c r="B807" t="s">
        <v>154</v>
      </c>
      <c r="C807" t="str">
        <f>_xlfn.XLOOKUP(B807,Phone_by_Price!$A$2:$A$34,Phone_by_Price!$B$2:$B$34,"-",0,1)</f>
        <v>Samsung Galaxy S21</v>
      </c>
      <c r="D807" t="str">
        <f>_xlfn.XLOOKUP(C807,Phone_by_Sentiment!$B$2:$B$37,Phone_by_Sentiment!$A$2:$A$37,"-",0,1)</f>
        <v>2021-01</v>
      </c>
      <c r="E807" cm="1">
        <f t="array" ref="E807">IF($Q807&gt;=0,IFERROR(generateSalesData($D807, IF(ISNUMBER(_xlfn.XLOOKUP($C807,Phone_by_Sentiment!$B$2:$B$37,Phone_by_Sentiment!E$2:E$37,"",0,1)),_xlfn.XLOOKUP($C807,Phone_by_Sentiment!$B$2:$B$37,Phone_by_Sentiment!E$2:E$37,"",0,1),0),$A807-TEXT(DATEVALUE($D807&amp;"-01"), "dd-mm-yyyy")),0),0)</f>
        <v>0</v>
      </c>
      <c r="F807" cm="1">
        <f t="array" ref="F807">IF($Q807&gt;=0,IFERROR(generateSalesData($D807, IF(ISNUMBER(_xlfn.XLOOKUP($C807,Phone_by_Sentiment!$B$2:$B$37,Phone_by_Sentiment!F$2:F$37,"",0,1)),_xlfn.XLOOKUP($C807,Phone_by_Sentiment!$B$2:$B$37,Phone_by_Sentiment!F$2:F$37,"",0,1),0),$A807-TEXT(DATEVALUE($D807&amp;"-01"), "dd-mm-yyyy")),0),0)</f>
        <v>0</v>
      </c>
      <c r="G807" cm="1">
        <f t="array" ref="G807">IF($Q807&gt;=0,IFERROR(generateSalesData($D807, IF(ISNUMBER(_xlfn.XLOOKUP($C807,Phone_by_Sentiment!$B$2:$B$37,Phone_by_Sentiment!G$2:G$37,"",0,1)),_xlfn.XLOOKUP($C807,Phone_by_Sentiment!$B$2:$B$37,Phone_by_Sentiment!G$2:G$37,"",0,1),0),$A807-TEXT(DATEVALUE($D807&amp;"-01"), "dd-mm-yyyy")),0),0)</f>
        <v>0</v>
      </c>
      <c r="H807" cm="1">
        <f t="array" ref="H807">IF($Q807&gt;=0,IFERROR(generateSalesData($D807, IF(ISNUMBER(_xlfn.XLOOKUP($C807,Phone_by_Sentiment!$B$2:$B$37,Phone_by_Sentiment!H$2:H$37,"",0,1)),_xlfn.XLOOKUP($C807,Phone_by_Sentiment!$B$2:$B$37,Phone_by_Sentiment!H$2:H$37,"",0,1),0),$A807-TEXT(DATEVALUE($D807&amp;"-01"), "dd-mm-yyyy")),0),0)</f>
        <v>0</v>
      </c>
      <c r="I807" cm="1">
        <f t="array" ref="I807">IF($Q807&gt;=0,IFERROR(generateSalesData($D807, IF(ISNUMBER(_xlfn.XLOOKUP($C807,Phone_by_Sentiment!$B$2:$B$37,Phone_by_Sentiment!I$2:I$37,"",0,1)),_xlfn.XLOOKUP($C807,Phone_by_Sentiment!$B$2:$B$37,Phone_by_Sentiment!I$2:I$37,"",0,1),0),$A807-TEXT(DATEVALUE($D807&amp;"-01"), "dd-mm-yyyy")),0),0)</f>
        <v>0</v>
      </c>
      <c r="J807" cm="1">
        <f t="array" ref="J807">IF($Q807&gt;=0,IFERROR(generateSalesData($D807, IF(ISNUMBER(_xlfn.XLOOKUP($C807,Phone_by_Sentiment!$B$2:$B$37,Phone_by_Sentiment!J$2:J$37,"",0,1)),_xlfn.XLOOKUP($C807,Phone_by_Sentiment!$B$2:$B$37,Phone_by_Sentiment!J$2:J$37,"",0,1),0),$A807-TEXT(DATEVALUE($D807&amp;"-01"), "dd-mm-yyyy")),0),0)</f>
        <v>0</v>
      </c>
      <c r="K807" cm="1">
        <f t="array" ref="K807">IF($Q807&gt;=0,IFERROR(generateSalesData($D807, IF(ISNUMBER(_xlfn.XLOOKUP($C807,Phone_by_Sentiment!$B$2:$B$37,Phone_by_Sentiment!K$2:K$37,"",0,1)),_xlfn.XLOOKUP($C807,Phone_by_Sentiment!$B$2:$B$37,Phone_by_Sentiment!K$2:K$37,"",0,1),0),$A807-TEXT(DATEVALUE($D807&amp;"-01"), "dd-mm-yyyy")),0),0)</f>
        <v>0</v>
      </c>
      <c r="L807" cm="1">
        <f t="array" ref="L807">IF($Q807&gt;=0,IFERROR(generateSalesData($D807, IF(ISNUMBER(_xlfn.XLOOKUP($C807,Phone_by_Sentiment!$B$2:$B$37,Phone_by_Sentiment!L$2:L$37,"",0,1)),_xlfn.XLOOKUP($C807,Phone_by_Sentiment!$B$2:$B$37,Phone_by_Sentiment!L$2:L$37,"",0,1),0),$A807-TEXT(DATEVALUE($D807&amp;"-01"), "dd-mm-yyyy")),0),0)</f>
        <v>0</v>
      </c>
      <c r="M807" cm="1">
        <f t="array" ref="M807">IF($Q807&gt;=0,IFERROR(generateSalesData($D807, IF(ISNUMBER(_xlfn.XLOOKUP($C807,Phone_by_Sentiment!$B$2:$B$37,Phone_by_Sentiment!M$2:M$37,"",0,1)),_xlfn.XLOOKUP($C807,Phone_by_Sentiment!$B$2:$B$37,Phone_by_Sentiment!M$2:M$37,"",0,1),0),$A807-TEXT(DATEVALUE($D807&amp;"-01"), "dd-mm-yyyy")),0),0)</f>
        <v>0</v>
      </c>
      <c r="N807" cm="1">
        <f t="array" ref="N807">IF($Q807&gt;=0,IFERROR(generateSalesData($D807, IF(ISNUMBER(_xlfn.XLOOKUP($C807,Phone_by_Sentiment!$B$2:$B$37,Phone_by_Sentiment!N$2:N$37,"",0,1)),_xlfn.XLOOKUP($C807,Phone_by_Sentiment!$B$2:$B$37,Phone_by_Sentiment!N$2:N$37,"",0,1),0),$A807-TEXT(DATEVALUE($D807&amp;"-01"), "dd-mm-yyyy")),0),0)</f>
        <v>0</v>
      </c>
      <c r="O807" cm="1">
        <f t="array" ref="O807">IF($Q807&gt;=0,IFERROR(generateSalesData($D807, IF(ISNUMBER(_xlfn.XLOOKUP($C807,Phone_by_Sentiment!$B$2:$B$37,Phone_by_Sentiment!O$2:O$37,"",0,1)),_xlfn.XLOOKUP($C807,Phone_by_Sentiment!$B$2:$B$37,Phone_by_Sentiment!O$2:O$37,"",0,1),0),$A807-TEXT(DATEVALUE($D807&amp;"-01"), "dd-mm-yyyy")),0),0)</f>
        <v>0</v>
      </c>
      <c r="P807" s="1">
        <f t="shared" si="32"/>
        <v>44197</v>
      </c>
      <c r="Q807">
        <f t="shared" si="33"/>
        <v>-31</v>
      </c>
    </row>
    <row r="808" spans="1:17" x14ac:dyDescent="0.25">
      <c r="A808" s="1">
        <f t="shared" si="27"/>
        <v>44166</v>
      </c>
      <c r="B808" t="s">
        <v>155</v>
      </c>
      <c r="C808" t="str">
        <f>_xlfn.XLOOKUP(B808,Phone_by_Price!$A$2:$A$34,Phone_by_Price!$B$2:$B$34,"-",0,1)</f>
        <v>Google Pixel 6</v>
      </c>
      <c r="D808" t="str">
        <f>_xlfn.XLOOKUP(C808,Phone_by_Sentiment!$B$2:$B$37,Phone_by_Sentiment!$A$2:$A$37,"-",0,1)</f>
        <v>2021-10</v>
      </c>
      <c r="E808" cm="1">
        <f t="array" ref="E808">IF($Q808&gt;=0,IFERROR(generateSalesData($D808, IF(ISNUMBER(_xlfn.XLOOKUP($C808,Phone_by_Sentiment!$B$2:$B$37,Phone_by_Sentiment!E$2:E$37,"",0,1)),_xlfn.XLOOKUP($C808,Phone_by_Sentiment!$B$2:$B$37,Phone_by_Sentiment!E$2:E$37,"",0,1),0),$A808-TEXT(DATEVALUE($D808&amp;"-01"), "dd-mm-yyyy")),0),0)</f>
        <v>0</v>
      </c>
      <c r="F808" cm="1">
        <f t="array" ref="F808">IF($Q808&gt;=0,IFERROR(generateSalesData($D808, IF(ISNUMBER(_xlfn.XLOOKUP($C808,Phone_by_Sentiment!$B$2:$B$37,Phone_by_Sentiment!F$2:F$37,"",0,1)),_xlfn.XLOOKUP($C808,Phone_by_Sentiment!$B$2:$B$37,Phone_by_Sentiment!F$2:F$37,"",0,1),0),$A808-TEXT(DATEVALUE($D808&amp;"-01"), "dd-mm-yyyy")),0),0)</f>
        <v>0</v>
      </c>
      <c r="G808" cm="1">
        <f t="array" ref="G808">IF($Q808&gt;=0,IFERROR(generateSalesData($D808, IF(ISNUMBER(_xlfn.XLOOKUP($C808,Phone_by_Sentiment!$B$2:$B$37,Phone_by_Sentiment!G$2:G$37,"",0,1)),_xlfn.XLOOKUP($C808,Phone_by_Sentiment!$B$2:$B$37,Phone_by_Sentiment!G$2:G$37,"",0,1),0),$A808-TEXT(DATEVALUE($D808&amp;"-01"), "dd-mm-yyyy")),0),0)</f>
        <v>0</v>
      </c>
      <c r="H808" cm="1">
        <f t="array" ref="H808">IF($Q808&gt;=0,IFERROR(generateSalesData($D808, IF(ISNUMBER(_xlfn.XLOOKUP($C808,Phone_by_Sentiment!$B$2:$B$37,Phone_by_Sentiment!H$2:H$37,"",0,1)),_xlfn.XLOOKUP($C808,Phone_by_Sentiment!$B$2:$B$37,Phone_by_Sentiment!H$2:H$37,"",0,1),0),$A808-TEXT(DATEVALUE($D808&amp;"-01"), "dd-mm-yyyy")),0),0)</f>
        <v>0</v>
      </c>
      <c r="I808" cm="1">
        <f t="array" ref="I808">IF($Q808&gt;=0,IFERROR(generateSalesData($D808, IF(ISNUMBER(_xlfn.XLOOKUP($C808,Phone_by_Sentiment!$B$2:$B$37,Phone_by_Sentiment!I$2:I$37,"",0,1)),_xlfn.XLOOKUP($C808,Phone_by_Sentiment!$B$2:$B$37,Phone_by_Sentiment!I$2:I$37,"",0,1),0),$A808-TEXT(DATEVALUE($D808&amp;"-01"), "dd-mm-yyyy")),0),0)</f>
        <v>0</v>
      </c>
      <c r="J808" cm="1">
        <f t="array" ref="J808">IF($Q808&gt;=0,IFERROR(generateSalesData($D808, IF(ISNUMBER(_xlfn.XLOOKUP($C808,Phone_by_Sentiment!$B$2:$B$37,Phone_by_Sentiment!J$2:J$37,"",0,1)),_xlfn.XLOOKUP($C808,Phone_by_Sentiment!$B$2:$B$37,Phone_by_Sentiment!J$2:J$37,"",0,1),0),$A808-TEXT(DATEVALUE($D808&amp;"-01"), "dd-mm-yyyy")),0),0)</f>
        <v>0</v>
      </c>
      <c r="K808" cm="1">
        <f t="array" ref="K808">IF($Q808&gt;=0,IFERROR(generateSalesData($D808, IF(ISNUMBER(_xlfn.XLOOKUP($C808,Phone_by_Sentiment!$B$2:$B$37,Phone_by_Sentiment!K$2:K$37,"",0,1)),_xlfn.XLOOKUP($C808,Phone_by_Sentiment!$B$2:$B$37,Phone_by_Sentiment!K$2:K$37,"",0,1),0),$A808-TEXT(DATEVALUE($D808&amp;"-01"), "dd-mm-yyyy")),0),0)</f>
        <v>0</v>
      </c>
      <c r="L808" cm="1">
        <f t="array" ref="L808">IF($Q808&gt;=0,IFERROR(generateSalesData($D808, IF(ISNUMBER(_xlfn.XLOOKUP($C808,Phone_by_Sentiment!$B$2:$B$37,Phone_by_Sentiment!L$2:L$37,"",0,1)),_xlfn.XLOOKUP($C808,Phone_by_Sentiment!$B$2:$B$37,Phone_by_Sentiment!L$2:L$37,"",0,1),0),$A808-TEXT(DATEVALUE($D808&amp;"-01"), "dd-mm-yyyy")),0),0)</f>
        <v>0</v>
      </c>
      <c r="M808" cm="1">
        <f t="array" ref="M808">IF($Q808&gt;=0,IFERROR(generateSalesData($D808, IF(ISNUMBER(_xlfn.XLOOKUP($C808,Phone_by_Sentiment!$B$2:$B$37,Phone_by_Sentiment!M$2:M$37,"",0,1)),_xlfn.XLOOKUP($C808,Phone_by_Sentiment!$B$2:$B$37,Phone_by_Sentiment!M$2:M$37,"",0,1),0),$A808-TEXT(DATEVALUE($D808&amp;"-01"), "dd-mm-yyyy")),0),0)</f>
        <v>0</v>
      </c>
      <c r="N808" cm="1">
        <f t="array" ref="N808">IF($Q808&gt;=0,IFERROR(generateSalesData($D808, IF(ISNUMBER(_xlfn.XLOOKUP($C808,Phone_by_Sentiment!$B$2:$B$37,Phone_by_Sentiment!N$2:N$37,"",0,1)),_xlfn.XLOOKUP($C808,Phone_by_Sentiment!$B$2:$B$37,Phone_by_Sentiment!N$2:N$37,"",0,1),0),$A808-TEXT(DATEVALUE($D808&amp;"-01"), "dd-mm-yyyy")),0),0)</f>
        <v>0</v>
      </c>
      <c r="O808" cm="1">
        <f t="array" ref="O808">IF($Q808&gt;=0,IFERROR(generateSalesData($D808, IF(ISNUMBER(_xlfn.XLOOKUP($C808,Phone_by_Sentiment!$B$2:$B$37,Phone_by_Sentiment!O$2:O$37,"",0,1)),_xlfn.XLOOKUP($C808,Phone_by_Sentiment!$B$2:$B$37,Phone_by_Sentiment!O$2:O$37,"",0,1),0),$A808-TEXT(DATEVALUE($D808&amp;"-01"), "dd-mm-yyyy")),0),0)</f>
        <v>0</v>
      </c>
      <c r="P808" s="1">
        <f t="shared" si="32"/>
        <v>44470</v>
      </c>
      <c r="Q808">
        <f t="shared" si="33"/>
        <v>-304</v>
      </c>
    </row>
    <row r="809" spans="1:17" x14ac:dyDescent="0.25">
      <c r="A809" s="1">
        <f t="shared" si="27"/>
        <v>44166</v>
      </c>
      <c r="B809" t="s">
        <v>156</v>
      </c>
      <c r="C809" t="str">
        <f>_xlfn.XLOOKUP(B809,Phone_by_Price!$A$2:$A$34,Phone_by_Price!$B$2:$B$34,"-",0,1)</f>
        <v>OnePlus Nord CE</v>
      </c>
      <c r="D809" t="str">
        <f>_xlfn.XLOOKUP(C809,Phone_by_Sentiment!$B$2:$B$37,Phone_by_Sentiment!$A$2:$A$37,"-",0,1)</f>
        <v>2021-06</v>
      </c>
      <c r="E809" cm="1">
        <f t="array" ref="E809">IF($Q809&gt;=0,IFERROR(generateSalesData($D809, IF(ISNUMBER(_xlfn.XLOOKUP($C809,Phone_by_Sentiment!$B$2:$B$37,Phone_by_Sentiment!E$2:E$37,"",0,1)),_xlfn.XLOOKUP($C809,Phone_by_Sentiment!$B$2:$B$37,Phone_by_Sentiment!E$2:E$37,"",0,1),0),$A809-TEXT(DATEVALUE($D809&amp;"-01"), "dd-mm-yyyy")),0),0)</f>
        <v>0</v>
      </c>
      <c r="F809" cm="1">
        <f t="array" ref="F809">IF($Q809&gt;=0,IFERROR(generateSalesData($D809, IF(ISNUMBER(_xlfn.XLOOKUP($C809,Phone_by_Sentiment!$B$2:$B$37,Phone_by_Sentiment!F$2:F$37,"",0,1)),_xlfn.XLOOKUP($C809,Phone_by_Sentiment!$B$2:$B$37,Phone_by_Sentiment!F$2:F$37,"",0,1),0),$A809-TEXT(DATEVALUE($D809&amp;"-01"), "dd-mm-yyyy")),0),0)</f>
        <v>0</v>
      </c>
      <c r="G809" cm="1">
        <f t="array" ref="G809">IF($Q809&gt;=0,IFERROR(generateSalesData($D809, IF(ISNUMBER(_xlfn.XLOOKUP($C809,Phone_by_Sentiment!$B$2:$B$37,Phone_by_Sentiment!G$2:G$37,"",0,1)),_xlfn.XLOOKUP($C809,Phone_by_Sentiment!$B$2:$B$37,Phone_by_Sentiment!G$2:G$37,"",0,1),0),$A809-TEXT(DATEVALUE($D809&amp;"-01"), "dd-mm-yyyy")),0),0)</f>
        <v>0</v>
      </c>
      <c r="H809" cm="1">
        <f t="array" ref="H809">IF($Q809&gt;=0,IFERROR(generateSalesData($D809, IF(ISNUMBER(_xlfn.XLOOKUP($C809,Phone_by_Sentiment!$B$2:$B$37,Phone_by_Sentiment!H$2:H$37,"",0,1)),_xlfn.XLOOKUP($C809,Phone_by_Sentiment!$B$2:$B$37,Phone_by_Sentiment!H$2:H$37,"",0,1),0),$A809-TEXT(DATEVALUE($D809&amp;"-01"), "dd-mm-yyyy")),0),0)</f>
        <v>0</v>
      </c>
      <c r="I809" cm="1">
        <f t="array" ref="I809">IF($Q809&gt;=0,IFERROR(generateSalesData($D809, IF(ISNUMBER(_xlfn.XLOOKUP($C809,Phone_by_Sentiment!$B$2:$B$37,Phone_by_Sentiment!I$2:I$37,"",0,1)),_xlfn.XLOOKUP($C809,Phone_by_Sentiment!$B$2:$B$37,Phone_by_Sentiment!I$2:I$37,"",0,1),0),$A809-TEXT(DATEVALUE($D809&amp;"-01"), "dd-mm-yyyy")),0),0)</f>
        <v>0</v>
      </c>
      <c r="J809" cm="1">
        <f t="array" ref="J809">IF($Q809&gt;=0,IFERROR(generateSalesData($D809, IF(ISNUMBER(_xlfn.XLOOKUP($C809,Phone_by_Sentiment!$B$2:$B$37,Phone_by_Sentiment!J$2:J$37,"",0,1)),_xlfn.XLOOKUP($C809,Phone_by_Sentiment!$B$2:$B$37,Phone_by_Sentiment!J$2:J$37,"",0,1),0),$A809-TEXT(DATEVALUE($D809&amp;"-01"), "dd-mm-yyyy")),0),0)</f>
        <v>0</v>
      </c>
      <c r="K809" cm="1">
        <f t="array" ref="K809">IF($Q809&gt;=0,IFERROR(generateSalesData($D809, IF(ISNUMBER(_xlfn.XLOOKUP($C809,Phone_by_Sentiment!$B$2:$B$37,Phone_by_Sentiment!K$2:K$37,"",0,1)),_xlfn.XLOOKUP($C809,Phone_by_Sentiment!$B$2:$B$37,Phone_by_Sentiment!K$2:K$37,"",0,1),0),$A809-TEXT(DATEVALUE($D809&amp;"-01"), "dd-mm-yyyy")),0),0)</f>
        <v>0</v>
      </c>
      <c r="L809" cm="1">
        <f t="array" ref="L809">IF($Q809&gt;=0,IFERROR(generateSalesData($D809, IF(ISNUMBER(_xlfn.XLOOKUP($C809,Phone_by_Sentiment!$B$2:$B$37,Phone_by_Sentiment!L$2:L$37,"",0,1)),_xlfn.XLOOKUP($C809,Phone_by_Sentiment!$B$2:$B$37,Phone_by_Sentiment!L$2:L$37,"",0,1),0),$A809-TEXT(DATEVALUE($D809&amp;"-01"), "dd-mm-yyyy")),0),0)</f>
        <v>0</v>
      </c>
      <c r="M809" cm="1">
        <f t="array" ref="M809">IF($Q809&gt;=0,IFERROR(generateSalesData($D809, IF(ISNUMBER(_xlfn.XLOOKUP($C809,Phone_by_Sentiment!$B$2:$B$37,Phone_by_Sentiment!M$2:M$37,"",0,1)),_xlfn.XLOOKUP($C809,Phone_by_Sentiment!$B$2:$B$37,Phone_by_Sentiment!M$2:M$37,"",0,1),0),$A809-TEXT(DATEVALUE($D809&amp;"-01"), "dd-mm-yyyy")),0),0)</f>
        <v>0</v>
      </c>
      <c r="N809" cm="1">
        <f t="array" ref="N809">IF($Q809&gt;=0,IFERROR(generateSalesData($D809, IF(ISNUMBER(_xlfn.XLOOKUP($C809,Phone_by_Sentiment!$B$2:$B$37,Phone_by_Sentiment!N$2:N$37,"",0,1)),_xlfn.XLOOKUP($C809,Phone_by_Sentiment!$B$2:$B$37,Phone_by_Sentiment!N$2:N$37,"",0,1),0),$A809-TEXT(DATEVALUE($D809&amp;"-01"), "dd-mm-yyyy")),0),0)</f>
        <v>0</v>
      </c>
      <c r="O809" cm="1">
        <f t="array" ref="O809">IF($Q809&gt;=0,IFERROR(generateSalesData($D809, IF(ISNUMBER(_xlfn.XLOOKUP($C809,Phone_by_Sentiment!$B$2:$B$37,Phone_by_Sentiment!O$2:O$37,"",0,1)),_xlfn.XLOOKUP($C809,Phone_by_Sentiment!$B$2:$B$37,Phone_by_Sentiment!O$2:O$37,"",0,1),0),$A809-TEXT(DATEVALUE($D809&amp;"-01"), "dd-mm-yyyy")),0),0)</f>
        <v>0</v>
      </c>
      <c r="P809" s="1">
        <f t="shared" si="32"/>
        <v>44348</v>
      </c>
      <c r="Q809">
        <f t="shared" si="33"/>
        <v>-182</v>
      </c>
    </row>
    <row r="810" spans="1:17" x14ac:dyDescent="0.25">
      <c r="A810" s="1">
        <f t="shared" si="27"/>
        <v>44166</v>
      </c>
      <c r="B810" t="s">
        <v>157</v>
      </c>
      <c r="C810" t="str">
        <f>_xlfn.XLOOKUP(B810,Phone_by_Price!$A$2:$A$34,Phone_by_Price!$B$2:$B$34,"-",0,1)</f>
        <v>Apple iPhone 13 Pro</v>
      </c>
      <c r="D810" t="str">
        <f>_xlfn.XLOOKUP(C810,Phone_by_Sentiment!$B$2:$B$37,Phone_by_Sentiment!$A$2:$A$37,"-",0,1)</f>
        <v>2021-09</v>
      </c>
      <c r="E810" cm="1">
        <f t="array" ref="E810">IF($Q810&gt;=0,IFERROR(generateSalesData($D810, IF(ISNUMBER(_xlfn.XLOOKUP($C810,Phone_by_Sentiment!$B$2:$B$37,Phone_by_Sentiment!E$2:E$37,"",0,1)),_xlfn.XLOOKUP($C810,Phone_by_Sentiment!$B$2:$B$37,Phone_by_Sentiment!E$2:E$37,"",0,1),0),$A810-TEXT(DATEVALUE($D810&amp;"-01"), "dd-mm-yyyy")),0),0)</f>
        <v>0</v>
      </c>
      <c r="F810" cm="1">
        <f t="array" ref="F810">IF($Q810&gt;=0,IFERROR(generateSalesData($D810, IF(ISNUMBER(_xlfn.XLOOKUP($C810,Phone_by_Sentiment!$B$2:$B$37,Phone_by_Sentiment!F$2:F$37,"",0,1)),_xlfn.XLOOKUP($C810,Phone_by_Sentiment!$B$2:$B$37,Phone_by_Sentiment!F$2:F$37,"",0,1),0),$A810-TEXT(DATEVALUE($D810&amp;"-01"), "dd-mm-yyyy")),0),0)</f>
        <v>0</v>
      </c>
      <c r="G810" cm="1">
        <f t="array" ref="G810">IF($Q810&gt;=0,IFERROR(generateSalesData($D810, IF(ISNUMBER(_xlfn.XLOOKUP($C810,Phone_by_Sentiment!$B$2:$B$37,Phone_by_Sentiment!G$2:G$37,"",0,1)),_xlfn.XLOOKUP($C810,Phone_by_Sentiment!$B$2:$B$37,Phone_by_Sentiment!G$2:G$37,"",0,1),0),$A810-TEXT(DATEVALUE($D810&amp;"-01"), "dd-mm-yyyy")),0),0)</f>
        <v>0</v>
      </c>
      <c r="H810" cm="1">
        <f t="array" ref="H810">IF($Q810&gt;=0,IFERROR(generateSalesData($D810, IF(ISNUMBER(_xlfn.XLOOKUP($C810,Phone_by_Sentiment!$B$2:$B$37,Phone_by_Sentiment!H$2:H$37,"",0,1)),_xlfn.XLOOKUP($C810,Phone_by_Sentiment!$B$2:$B$37,Phone_by_Sentiment!H$2:H$37,"",0,1),0),$A810-TEXT(DATEVALUE($D810&amp;"-01"), "dd-mm-yyyy")),0),0)</f>
        <v>0</v>
      </c>
      <c r="I810" cm="1">
        <f t="array" ref="I810">IF($Q810&gt;=0,IFERROR(generateSalesData($D810, IF(ISNUMBER(_xlfn.XLOOKUP($C810,Phone_by_Sentiment!$B$2:$B$37,Phone_by_Sentiment!I$2:I$37,"",0,1)),_xlfn.XLOOKUP($C810,Phone_by_Sentiment!$B$2:$B$37,Phone_by_Sentiment!I$2:I$37,"",0,1),0),$A810-TEXT(DATEVALUE($D810&amp;"-01"), "dd-mm-yyyy")),0),0)</f>
        <v>0</v>
      </c>
      <c r="J810" cm="1">
        <f t="array" ref="J810">IF($Q810&gt;=0,IFERROR(generateSalesData($D810, IF(ISNUMBER(_xlfn.XLOOKUP($C810,Phone_by_Sentiment!$B$2:$B$37,Phone_by_Sentiment!J$2:J$37,"",0,1)),_xlfn.XLOOKUP($C810,Phone_by_Sentiment!$B$2:$B$37,Phone_by_Sentiment!J$2:J$37,"",0,1),0),$A810-TEXT(DATEVALUE($D810&amp;"-01"), "dd-mm-yyyy")),0),0)</f>
        <v>0</v>
      </c>
      <c r="K810" cm="1">
        <f t="array" ref="K810">IF($Q810&gt;=0,IFERROR(generateSalesData($D810, IF(ISNUMBER(_xlfn.XLOOKUP($C810,Phone_by_Sentiment!$B$2:$B$37,Phone_by_Sentiment!K$2:K$37,"",0,1)),_xlfn.XLOOKUP($C810,Phone_by_Sentiment!$B$2:$B$37,Phone_by_Sentiment!K$2:K$37,"",0,1),0),$A810-TEXT(DATEVALUE($D810&amp;"-01"), "dd-mm-yyyy")),0),0)</f>
        <v>0</v>
      </c>
      <c r="L810" cm="1">
        <f t="array" ref="L810">IF($Q810&gt;=0,IFERROR(generateSalesData($D810, IF(ISNUMBER(_xlfn.XLOOKUP($C810,Phone_by_Sentiment!$B$2:$B$37,Phone_by_Sentiment!L$2:L$37,"",0,1)),_xlfn.XLOOKUP($C810,Phone_by_Sentiment!$B$2:$B$37,Phone_by_Sentiment!L$2:L$37,"",0,1),0),$A810-TEXT(DATEVALUE($D810&amp;"-01"), "dd-mm-yyyy")),0),0)</f>
        <v>0</v>
      </c>
      <c r="M810" cm="1">
        <f t="array" ref="M810">IF($Q810&gt;=0,IFERROR(generateSalesData($D810, IF(ISNUMBER(_xlfn.XLOOKUP($C810,Phone_by_Sentiment!$B$2:$B$37,Phone_by_Sentiment!M$2:M$37,"",0,1)),_xlfn.XLOOKUP($C810,Phone_by_Sentiment!$B$2:$B$37,Phone_by_Sentiment!M$2:M$37,"",0,1),0),$A810-TEXT(DATEVALUE($D810&amp;"-01"), "dd-mm-yyyy")),0),0)</f>
        <v>0</v>
      </c>
      <c r="N810" cm="1">
        <f t="array" ref="N810">IF($Q810&gt;=0,IFERROR(generateSalesData($D810, IF(ISNUMBER(_xlfn.XLOOKUP($C810,Phone_by_Sentiment!$B$2:$B$37,Phone_by_Sentiment!N$2:N$37,"",0,1)),_xlfn.XLOOKUP($C810,Phone_by_Sentiment!$B$2:$B$37,Phone_by_Sentiment!N$2:N$37,"",0,1),0),$A810-TEXT(DATEVALUE($D810&amp;"-01"), "dd-mm-yyyy")),0),0)</f>
        <v>0</v>
      </c>
      <c r="O810" cm="1">
        <f t="array" ref="O810">IF($Q810&gt;=0,IFERROR(generateSalesData($D810, IF(ISNUMBER(_xlfn.XLOOKUP($C810,Phone_by_Sentiment!$B$2:$B$37,Phone_by_Sentiment!O$2:O$37,"",0,1)),_xlfn.XLOOKUP($C810,Phone_by_Sentiment!$B$2:$B$37,Phone_by_Sentiment!O$2:O$37,"",0,1),0),$A810-TEXT(DATEVALUE($D810&amp;"-01"), "dd-mm-yyyy")),0),0)</f>
        <v>0</v>
      </c>
      <c r="P810" s="1">
        <f t="shared" si="32"/>
        <v>44440</v>
      </c>
      <c r="Q810">
        <f t="shared" si="33"/>
        <v>-274</v>
      </c>
    </row>
    <row r="811" spans="1:17" x14ac:dyDescent="0.25">
      <c r="A811" s="1">
        <f t="shared" si="27"/>
        <v>44166</v>
      </c>
      <c r="B811" t="s">
        <v>158</v>
      </c>
      <c r="C811" t="str">
        <f>_xlfn.XLOOKUP(B811,Phone_by_Price!$A$2:$A$34,Phone_by_Price!$B$2:$B$34,"-",0,1)</f>
        <v>Samsung Galaxy A32 5G</v>
      </c>
      <c r="D811" t="str">
        <f>_xlfn.XLOOKUP(C811,Phone_by_Sentiment!$B$2:$B$37,Phone_by_Sentiment!$A$2:$A$37,"-",0,1)</f>
        <v>2021-02</v>
      </c>
      <c r="E811" cm="1">
        <f t="array" ref="E811">IF($Q811&gt;=0,IFERROR(generateSalesData($D811, IF(ISNUMBER(_xlfn.XLOOKUP($C811,Phone_by_Sentiment!$B$2:$B$37,Phone_by_Sentiment!E$2:E$37,"",0,1)),_xlfn.XLOOKUP($C811,Phone_by_Sentiment!$B$2:$B$37,Phone_by_Sentiment!E$2:E$37,"",0,1),0),$A811-TEXT(DATEVALUE($D811&amp;"-01"), "dd-mm-yyyy")),0),0)</f>
        <v>0</v>
      </c>
      <c r="F811" cm="1">
        <f t="array" ref="F811">IF($Q811&gt;=0,IFERROR(generateSalesData($D811, IF(ISNUMBER(_xlfn.XLOOKUP($C811,Phone_by_Sentiment!$B$2:$B$37,Phone_by_Sentiment!F$2:F$37,"",0,1)),_xlfn.XLOOKUP($C811,Phone_by_Sentiment!$B$2:$B$37,Phone_by_Sentiment!F$2:F$37,"",0,1),0),$A811-TEXT(DATEVALUE($D811&amp;"-01"), "dd-mm-yyyy")),0),0)</f>
        <v>0</v>
      </c>
      <c r="G811" cm="1">
        <f t="array" ref="G811">IF($Q811&gt;=0,IFERROR(generateSalesData($D811, IF(ISNUMBER(_xlfn.XLOOKUP($C811,Phone_by_Sentiment!$B$2:$B$37,Phone_by_Sentiment!G$2:G$37,"",0,1)),_xlfn.XLOOKUP($C811,Phone_by_Sentiment!$B$2:$B$37,Phone_by_Sentiment!G$2:G$37,"",0,1),0),$A811-TEXT(DATEVALUE($D811&amp;"-01"), "dd-mm-yyyy")),0),0)</f>
        <v>0</v>
      </c>
      <c r="H811" cm="1">
        <f t="array" ref="H811">IF($Q811&gt;=0,IFERROR(generateSalesData($D811, IF(ISNUMBER(_xlfn.XLOOKUP($C811,Phone_by_Sentiment!$B$2:$B$37,Phone_by_Sentiment!H$2:H$37,"",0,1)),_xlfn.XLOOKUP($C811,Phone_by_Sentiment!$B$2:$B$37,Phone_by_Sentiment!H$2:H$37,"",0,1),0),$A811-TEXT(DATEVALUE($D811&amp;"-01"), "dd-mm-yyyy")),0),0)</f>
        <v>0</v>
      </c>
      <c r="I811" cm="1">
        <f t="array" ref="I811">IF($Q811&gt;=0,IFERROR(generateSalesData($D811, IF(ISNUMBER(_xlfn.XLOOKUP($C811,Phone_by_Sentiment!$B$2:$B$37,Phone_by_Sentiment!I$2:I$37,"",0,1)),_xlfn.XLOOKUP($C811,Phone_by_Sentiment!$B$2:$B$37,Phone_by_Sentiment!I$2:I$37,"",0,1),0),$A811-TEXT(DATEVALUE($D811&amp;"-01"), "dd-mm-yyyy")),0),0)</f>
        <v>0</v>
      </c>
      <c r="J811" cm="1">
        <f t="array" ref="J811">IF($Q811&gt;=0,IFERROR(generateSalesData($D811, IF(ISNUMBER(_xlfn.XLOOKUP($C811,Phone_by_Sentiment!$B$2:$B$37,Phone_by_Sentiment!J$2:J$37,"",0,1)),_xlfn.XLOOKUP($C811,Phone_by_Sentiment!$B$2:$B$37,Phone_by_Sentiment!J$2:J$37,"",0,1),0),$A811-TEXT(DATEVALUE($D811&amp;"-01"), "dd-mm-yyyy")),0),0)</f>
        <v>0</v>
      </c>
      <c r="K811" cm="1">
        <f t="array" ref="K811">IF($Q811&gt;=0,IFERROR(generateSalesData($D811, IF(ISNUMBER(_xlfn.XLOOKUP($C811,Phone_by_Sentiment!$B$2:$B$37,Phone_by_Sentiment!K$2:K$37,"",0,1)),_xlfn.XLOOKUP($C811,Phone_by_Sentiment!$B$2:$B$37,Phone_by_Sentiment!K$2:K$37,"",0,1),0),$A811-TEXT(DATEVALUE($D811&amp;"-01"), "dd-mm-yyyy")),0),0)</f>
        <v>0</v>
      </c>
      <c r="L811" cm="1">
        <f t="array" ref="L811">IF($Q811&gt;=0,IFERROR(generateSalesData($D811, IF(ISNUMBER(_xlfn.XLOOKUP($C811,Phone_by_Sentiment!$B$2:$B$37,Phone_by_Sentiment!L$2:L$37,"",0,1)),_xlfn.XLOOKUP($C811,Phone_by_Sentiment!$B$2:$B$37,Phone_by_Sentiment!L$2:L$37,"",0,1),0),$A811-TEXT(DATEVALUE($D811&amp;"-01"), "dd-mm-yyyy")),0),0)</f>
        <v>0</v>
      </c>
      <c r="M811" cm="1">
        <f t="array" ref="M811">IF($Q811&gt;=0,IFERROR(generateSalesData($D811, IF(ISNUMBER(_xlfn.XLOOKUP($C811,Phone_by_Sentiment!$B$2:$B$37,Phone_by_Sentiment!M$2:M$37,"",0,1)),_xlfn.XLOOKUP($C811,Phone_by_Sentiment!$B$2:$B$37,Phone_by_Sentiment!M$2:M$37,"",0,1),0),$A811-TEXT(DATEVALUE($D811&amp;"-01"), "dd-mm-yyyy")),0),0)</f>
        <v>0</v>
      </c>
      <c r="N811" cm="1">
        <f t="array" ref="N811">IF($Q811&gt;=0,IFERROR(generateSalesData($D811, IF(ISNUMBER(_xlfn.XLOOKUP($C811,Phone_by_Sentiment!$B$2:$B$37,Phone_by_Sentiment!N$2:N$37,"",0,1)),_xlfn.XLOOKUP($C811,Phone_by_Sentiment!$B$2:$B$37,Phone_by_Sentiment!N$2:N$37,"",0,1),0),$A811-TEXT(DATEVALUE($D811&amp;"-01"), "dd-mm-yyyy")),0),0)</f>
        <v>0</v>
      </c>
      <c r="O811" cm="1">
        <f t="array" ref="O811">IF($Q811&gt;=0,IFERROR(generateSalesData($D811, IF(ISNUMBER(_xlfn.XLOOKUP($C811,Phone_by_Sentiment!$B$2:$B$37,Phone_by_Sentiment!O$2:O$37,"",0,1)),_xlfn.XLOOKUP($C811,Phone_by_Sentiment!$B$2:$B$37,Phone_by_Sentiment!O$2:O$37,"",0,1),0),$A811-TEXT(DATEVALUE($D811&amp;"-01"), "dd-mm-yyyy")),0),0)</f>
        <v>0</v>
      </c>
      <c r="P811" s="1">
        <f t="shared" si="32"/>
        <v>44228</v>
      </c>
      <c r="Q811">
        <f t="shared" si="33"/>
        <v>-62</v>
      </c>
    </row>
    <row r="812" spans="1:17" x14ac:dyDescent="0.25">
      <c r="A812" s="1">
        <f t="shared" si="27"/>
        <v>44166</v>
      </c>
      <c r="B812" t="s">
        <v>159</v>
      </c>
      <c r="C812" t="str">
        <f>_xlfn.XLOOKUP(B812,Phone_by_Price!$A$2:$A$34,Phone_by_Price!$B$2:$B$34,"-",0,1)</f>
        <v>Realme C25</v>
      </c>
      <c r="D812" t="str">
        <f>_xlfn.XLOOKUP(C812,Phone_by_Sentiment!$B$2:$B$37,Phone_by_Sentiment!$A$2:$A$37,"-",0,1)</f>
        <v>2021-03</v>
      </c>
      <c r="E812" cm="1">
        <f t="array" ref="E812">IF($Q812&gt;=0,IFERROR(generateSalesData($D812, IF(ISNUMBER(_xlfn.XLOOKUP($C812,Phone_by_Sentiment!$B$2:$B$37,Phone_by_Sentiment!E$2:E$37,"",0,1)),_xlfn.XLOOKUP($C812,Phone_by_Sentiment!$B$2:$B$37,Phone_by_Sentiment!E$2:E$37,"",0,1),0),$A812-TEXT(DATEVALUE($D812&amp;"-01"), "dd-mm-yyyy")),0),0)</f>
        <v>0</v>
      </c>
      <c r="F812" cm="1">
        <f t="array" ref="F812">IF($Q812&gt;=0,IFERROR(generateSalesData($D812, IF(ISNUMBER(_xlfn.XLOOKUP($C812,Phone_by_Sentiment!$B$2:$B$37,Phone_by_Sentiment!F$2:F$37,"",0,1)),_xlfn.XLOOKUP($C812,Phone_by_Sentiment!$B$2:$B$37,Phone_by_Sentiment!F$2:F$37,"",0,1),0),$A812-TEXT(DATEVALUE($D812&amp;"-01"), "dd-mm-yyyy")),0),0)</f>
        <v>0</v>
      </c>
      <c r="G812" cm="1">
        <f t="array" ref="G812">IF($Q812&gt;=0,IFERROR(generateSalesData($D812, IF(ISNUMBER(_xlfn.XLOOKUP($C812,Phone_by_Sentiment!$B$2:$B$37,Phone_by_Sentiment!G$2:G$37,"",0,1)),_xlfn.XLOOKUP($C812,Phone_by_Sentiment!$B$2:$B$37,Phone_by_Sentiment!G$2:G$37,"",0,1),0),$A812-TEXT(DATEVALUE($D812&amp;"-01"), "dd-mm-yyyy")),0),0)</f>
        <v>0</v>
      </c>
      <c r="H812" cm="1">
        <f t="array" ref="H812">IF($Q812&gt;=0,IFERROR(generateSalesData($D812, IF(ISNUMBER(_xlfn.XLOOKUP($C812,Phone_by_Sentiment!$B$2:$B$37,Phone_by_Sentiment!H$2:H$37,"",0,1)),_xlfn.XLOOKUP($C812,Phone_by_Sentiment!$B$2:$B$37,Phone_by_Sentiment!H$2:H$37,"",0,1),0),$A812-TEXT(DATEVALUE($D812&amp;"-01"), "dd-mm-yyyy")),0),0)</f>
        <v>0</v>
      </c>
      <c r="I812" cm="1">
        <f t="array" ref="I812">IF($Q812&gt;=0,IFERROR(generateSalesData($D812, IF(ISNUMBER(_xlfn.XLOOKUP($C812,Phone_by_Sentiment!$B$2:$B$37,Phone_by_Sentiment!I$2:I$37,"",0,1)),_xlfn.XLOOKUP($C812,Phone_by_Sentiment!$B$2:$B$37,Phone_by_Sentiment!I$2:I$37,"",0,1),0),$A812-TEXT(DATEVALUE($D812&amp;"-01"), "dd-mm-yyyy")),0),0)</f>
        <v>0</v>
      </c>
      <c r="J812" cm="1">
        <f t="array" ref="J812">IF($Q812&gt;=0,IFERROR(generateSalesData($D812, IF(ISNUMBER(_xlfn.XLOOKUP($C812,Phone_by_Sentiment!$B$2:$B$37,Phone_by_Sentiment!J$2:J$37,"",0,1)),_xlfn.XLOOKUP($C812,Phone_by_Sentiment!$B$2:$B$37,Phone_by_Sentiment!J$2:J$37,"",0,1),0),$A812-TEXT(DATEVALUE($D812&amp;"-01"), "dd-mm-yyyy")),0),0)</f>
        <v>0</v>
      </c>
      <c r="K812" cm="1">
        <f t="array" ref="K812">IF($Q812&gt;=0,IFERROR(generateSalesData($D812, IF(ISNUMBER(_xlfn.XLOOKUP($C812,Phone_by_Sentiment!$B$2:$B$37,Phone_by_Sentiment!K$2:K$37,"",0,1)),_xlfn.XLOOKUP($C812,Phone_by_Sentiment!$B$2:$B$37,Phone_by_Sentiment!K$2:K$37,"",0,1),0),$A812-TEXT(DATEVALUE($D812&amp;"-01"), "dd-mm-yyyy")),0),0)</f>
        <v>0</v>
      </c>
      <c r="L812" cm="1">
        <f t="array" ref="L812">IF($Q812&gt;=0,IFERROR(generateSalesData($D812, IF(ISNUMBER(_xlfn.XLOOKUP($C812,Phone_by_Sentiment!$B$2:$B$37,Phone_by_Sentiment!L$2:L$37,"",0,1)),_xlfn.XLOOKUP($C812,Phone_by_Sentiment!$B$2:$B$37,Phone_by_Sentiment!L$2:L$37,"",0,1),0),$A812-TEXT(DATEVALUE($D812&amp;"-01"), "dd-mm-yyyy")),0),0)</f>
        <v>0</v>
      </c>
      <c r="M812" cm="1">
        <f t="array" ref="M812">IF($Q812&gt;=0,IFERROR(generateSalesData($D812, IF(ISNUMBER(_xlfn.XLOOKUP($C812,Phone_by_Sentiment!$B$2:$B$37,Phone_by_Sentiment!M$2:M$37,"",0,1)),_xlfn.XLOOKUP($C812,Phone_by_Sentiment!$B$2:$B$37,Phone_by_Sentiment!M$2:M$37,"",0,1),0),$A812-TEXT(DATEVALUE($D812&amp;"-01"), "dd-mm-yyyy")),0),0)</f>
        <v>0</v>
      </c>
      <c r="N812" cm="1">
        <f t="array" ref="N812">IF($Q812&gt;=0,IFERROR(generateSalesData($D812, IF(ISNUMBER(_xlfn.XLOOKUP($C812,Phone_by_Sentiment!$B$2:$B$37,Phone_by_Sentiment!N$2:N$37,"",0,1)),_xlfn.XLOOKUP($C812,Phone_by_Sentiment!$B$2:$B$37,Phone_by_Sentiment!N$2:N$37,"",0,1),0),$A812-TEXT(DATEVALUE($D812&amp;"-01"), "dd-mm-yyyy")),0),0)</f>
        <v>0</v>
      </c>
      <c r="O812" cm="1">
        <f t="array" ref="O812">IF($Q812&gt;=0,IFERROR(generateSalesData($D812, IF(ISNUMBER(_xlfn.XLOOKUP($C812,Phone_by_Sentiment!$B$2:$B$37,Phone_by_Sentiment!O$2:O$37,"",0,1)),_xlfn.XLOOKUP($C812,Phone_by_Sentiment!$B$2:$B$37,Phone_by_Sentiment!O$2:O$37,"",0,1),0),$A812-TEXT(DATEVALUE($D812&amp;"-01"), "dd-mm-yyyy")),0),0)</f>
        <v>0</v>
      </c>
      <c r="P812" s="1">
        <f t="shared" si="32"/>
        <v>44256</v>
      </c>
      <c r="Q812">
        <f t="shared" si="33"/>
        <v>-90</v>
      </c>
    </row>
    <row r="813" spans="1:17" x14ac:dyDescent="0.25">
      <c r="A813" s="1">
        <f t="shared" si="27"/>
        <v>44166</v>
      </c>
      <c r="B813" t="s">
        <v>160</v>
      </c>
      <c r="C813" t="str">
        <f>_xlfn.XLOOKUP(B813,Phone_by_Price!$A$2:$A$34,Phone_by_Price!$B$2:$B$34,"-",0,1)</f>
        <v>Xiaomi Poco X3 Pro</v>
      </c>
      <c r="D813" t="str">
        <f>_xlfn.XLOOKUP(C813,Phone_by_Sentiment!$B$2:$B$37,Phone_by_Sentiment!$A$2:$A$37,"-",0,1)</f>
        <v>2021-05</v>
      </c>
      <c r="E813" cm="1">
        <f t="array" ref="E813">IF($Q813&gt;=0,IFERROR(generateSalesData($D813, IF(ISNUMBER(_xlfn.XLOOKUP($C813,Phone_by_Sentiment!$B$2:$B$37,Phone_by_Sentiment!E$2:E$37,"",0,1)),_xlfn.XLOOKUP($C813,Phone_by_Sentiment!$B$2:$B$37,Phone_by_Sentiment!E$2:E$37,"",0,1),0),$A813-TEXT(DATEVALUE($D813&amp;"-01"), "dd-mm-yyyy")),0),0)</f>
        <v>0</v>
      </c>
      <c r="F813" cm="1">
        <f t="array" ref="F813">IF($Q813&gt;=0,IFERROR(generateSalesData($D813, IF(ISNUMBER(_xlfn.XLOOKUP($C813,Phone_by_Sentiment!$B$2:$B$37,Phone_by_Sentiment!F$2:F$37,"",0,1)),_xlfn.XLOOKUP($C813,Phone_by_Sentiment!$B$2:$B$37,Phone_by_Sentiment!F$2:F$37,"",0,1),0),$A813-TEXT(DATEVALUE($D813&amp;"-01"), "dd-mm-yyyy")),0),0)</f>
        <v>0</v>
      </c>
      <c r="G813" cm="1">
        <f t="array" ref="G813">IF($Q813&gt;=0,IFERROR(generateSalesData($D813, IF(ISNUMBER(_xlfn.XLOOKUP($C813,Phone_by_Sentiment!$B$2:$B$37,Phone_by_Sentiment!G$2:G$37,"",0,1)),_xlfn.XLOOKUP($C813,Phone_by_Sentiment!$B$2:$B$37,Phone_by_Sentiment!G$2:G$37,"",0,1),0),$A813-TEXT(DATEVALUE($D813&amp;"-01"), "dd-mm-yyyy")),0),0)</f>
        <v>0</v>
      </c>
      <c r="H813" cm="1">
        <f t="array" ref="H813">IF($Q813&gt;=0,IFERROR(generateSalesData($D813, IF(ISNUMBER(_xlfn.XLOOKUP($C813,Phone_by_Sentiment!$B$2:$B$37,Phone_by_Sentiment!H$2:H$37,"",0,1)),_xlfn.XLOOKUP($C813,Phone_by_Sentiment!$B$2:$B$37,Phone_by_Sentiment!H$2:H$37,"",0,1),0),$A813-TEXT(DATEVALUE($D813&amp;"-01"), "dd-mm-yyyy")),0),0)</f>
        <v>0</v>
      </c>
      <c r="I813" cm="1">
        <f t="array" ref="I813">IF($Q813&gt;=0,IFERROR(generateSalesData($D813, IF(ISNUMBER(_xlfn.XLOOKUP($C813,Phone_by_Sentiment!$B$2:$B$37,Phone_by_Sentiment!I$2:I$37,"",0,1)),_xlfn.XLOOKUP($C813,Phone_by_Sentiment!$B$2:$B$37,Phone_by_Sentiment!I$2:I$37,"",0,1),0),$A813-TEXT(DATEVALUE($D813&amp;"-01"), "dd-mm-yyyy")),0),0)</f>
        <v>0</v>
      </c>
      <c r="J813" cm="1">
        <f t="array" ref="J813">IF($Q813&gt;=0,IFERROR(generateSalesData($D813, IF(ISNUMBER(_xlfn.XLOOKUP($C813,Phone_by_Sentiment!$B$2:$B$37,Phone_by_Sentiment!J$2:J$37,"",0,1)),_xlfn.XLOOKUP($C813,Phone_by_Sentiment!$B$2:$B$37,Phone_by_Sentiment!J$2:J$37,"",0,1),0),$A813-TEXT(DATEVALUE($D813&amp;"-01"), "dd-mm-yyyy")),0),0)</f>
        <v>0</v>
      </c>
      <c r="K813" cm="1">
        <f t="array" ref="K813">IF($Q813&gt;=0,IFERROR(generateSalesData($D813, IF(ISNUMBER(_xlfn.XLOOKUP($C813,Phone_by_Sentiment!$B$2:$B$37,Phone_by_Sentiment!K$2:K$37,"",0,1)),_xlfn.XLOOKUP($C813,Phone_by_Sentiment!$B$2:$B$37,Phone_by_Sentiment!K$2:K$37,"",0,1),0),$A813-TEXT(DATEVALUE($D813&amp;"-01"), "dd-mm-yyyy")),0),0)</f>
        <v>0</v>
      </c>
      <c r="L813" cm="1">
        <f t="array" ref="L813">IF($Q813&gt;=0,IFERROR(generateSalesData($D813, IF(ISNUMBER(_xlfn.XLOOKUP($C813,Phone_by_Sentiment!$B$2:$B$37,Phone_by_Sentiment!L$2:L$37,"",0,1)),_xlfn.XLOOKUP($C813,Phone_by_Sentiment!$B$2:$B$37,Phone_by_Sentiment!L$2:L$37,"",0,1),0),$A813-TEXT(DATEVALUE($D813&amp;"-01"), "dd-mm-yyyy")),0),0)</f>
        <v>0</v>
      </c>
      <c r="M813" cm="1">
        <f t="array" ref="M813">IF($Q813&gt;=0,IFERROR(generateSalesData($D813, IF(ISNUMBER(_xlfn.XLOOKUP($C813,Phone_by_Sentiment!$B$2:$B$37,Phone_by_Sentiment!M$2:M$37,"",0,1)),_xlfn.XLOOKUP($C813,Phone_by_Sentiment!$B$2:$B$37,Phone_by_Sentiment!M$2:M$37,"",0,1),0),$A813-TEXT(DATEVALUE($D813&amp;"-01"), "dd-mm-yyyy")),0),0)</f>
        <v>0</v>
      </c>
      <c r="N813" cm="1">
        <f t="array" ref="N813">IF($Q813&gt;=0,IFERROR(generateSalesData($D813, IF(ISNUMBER(_xlfn.XLOOKUP($C813,Phone_by_Sentiment!$B$2:$B$37,Phone_by_Sentiment!N$2:N$37,"",0,1)),_xlfn.XLOOKUP($C813,Phone_by_Sentiment!$B$2:$B$37,Phone_by_Sentiment!N$2:N$37,"",0,1),0),$A813-TEXT(DATEVALUE($D813&amp;"-01"), "dd-mm-yyyy")),0),0)</f>
        <v>0</v>
      </c>
      <c r="O813" cm="1">
        <f t="array" ref="O813">IF($Q813&gt;=0,IFERROR(generateSalesData($D813, IF(ISNUMBER(_xlfn.XLOOKUP($C813,Phone_by_Sentiment!$B$2:$B$37,Phone_by_Sentiment!O$2:O$37,"",0,1)),_xlfn.XLOOKUP($C813,Phone_by_Sentiment!$B$2:$B$37,Phone_by_Sentiment!O$2:O$37,"",0,1),0),$A813-TEXT(DATEVALUE($D813&amp;"-01"), "dd-mm-yyyy")),0),0)</f>
        <v>0</v>
      </c>
      <c r="P813" s="1">
        <f t="shared" si="32"/>
        <v>44317</v>
      </c>
      <c r="Q813">
        <f t="shared" si="33"/>
        <v>-151</v>
      </c>
    </row>
    <row r="814" spans="1:17" x14ac:dyDescent="0.25">
      <c r="A814" s="1">
        <f t="shared" si="27"/>
        <v>44166</v>
      </c>
      <c r="B814" t="s">
        <v>161</v>
      </c>
      <c r="C814" t="str">
        <f>_xlfn.XLOOKUP(B814,Phone_by_Price!$A$2:$A$34,Phone_by_Price!$B$2:$B$34,"-",0,1)</f>
        <v>Samsung Galaxy Z Flip 3</v>
      </c>
      <c r="D814" t="str">
        <f>_xlfn.XLOOKUP(C814,Phone_by_Sentiment!$B$2:$B$37,Phone_by_Sentiment!$A$2:$A$37,"-",0,1)</f>
        <v>2021-09</v>
      </c>
      <c r="E814" cm="1">
        <f t="array" ref="E814">IF($Q814&gt;=0,IFERROR(generateSalesData($D814, IF(ISNUMBER(_xlfn.XLOOKUP($C814,Phone_by_Sentiment!$B$2:$B$37,Phone_by_Sentiment!E$2:E$37,"",0,1)),_xlfn.XLOOKUP($C814,Phone_by_Sentiment!$B$2:$B$37,Phone_by_Sentiment!E$2:E$37,"",0,1),0),$A814-TEXT(DATEVALUE($D814&amp;"-01"), "dd-mm-yyyy")),0),0)</f>
        <v>0</v>
      </c>
      <c r="F814" cm="1">
        <f t="array" ref="F814">IF($Q814&gt;=0,IFERROR(generateSalesData($D814, IF(ISNUMBER(_xlfn.XLOOKUP($C814,Phone_by_Sentiment!$B$2:$B$37,Phone_by_Sentiment!F$2:F$37,"",0,1)),_xlfn.XLOOKUP($C814,Phone_by_Sentiment!$B$2:$B$37,Phone_by_Sentiment!F$2:F$37,"",0,1),0),$A814-TEXT(DATEVALUE($D814&amp;"-01"), "dd-mm-yyyy")),0),0)</f>
        <v>0</v>
      </c>
      <c r="G814" cm="1">
        <f t="array" ref="G814">IF($Q814&gt;=0,IFERROR(generateSalesData($D814, IF(ISNUMBER(_xlfn.XLOOKUP($C814,Phone_by_Sentiment!$B$2:$B$37,Phone_by_Sentiment!G$2:G$37,"",0,1)),_xlfn.XLOOKUP($C814,Phone_by_Sentiment!$B$2:$B$37,Phone_by_Sentiment!G$2:G$37,"",0,1),0),$A814-TEXT(DATEVALUE($D814&amp;"-01"), "dd-mm-yyyy")),0),0)</f>
        <v>0</v>
      </c>
      <c r="H814" cm="1">
        <f t="array" ref="H814">IF($Q814&gt;=0,IFERROR(generateSalesData($D814, IF(ISNUMBER(_xlfn.XLOOKUP($C814,Phone_by_Sentiment!$B$2:$B$37,Phone_by_Sentiment!H$2:H$37,"",0,1)),_xlfn.XLOOKUP($C814,Phone_by_Sentiment!$B$2:$B$37,Phone_by_Sentiment!H$2:H$37,"",0,1),0),$A814-TEXT(DATEVALUE($D814&amp;"-01"), "dd-mm-yyyy")),0),0)</f>
        <v>0</v>
      </c>
      <c r="I814" cm="1">
        <f t="array" ref="I814">IF($Q814&gt;=0,IFERROR(generateSalesData($D814, IF(ISNUMBER(_xlfn.XLOOKUP($C814,Phone_by_Sentiment!$B$2:$B$37,Phone_by_Sentiment!I$2:I$37,"",0,1)),_xlfn.XLOOKUP($C814,Phone_by_Sentiment!$B$2:$B$37,Phone_by_Sentiment!I$2:I$37,"",0,1),0),$A814-TEXT(DATEVALUE($D814&amp;"-01"), "dd-mm-yyyy")),0),0)</f>
        <v>0</v>
      </c>
      <c r="J814" cm="1">
        <f t="array" ref="J814">IF($Q814&gt;=0,IFERROR(generateSalesData($D814, IF(ISNUMBER(_xlfn.XLOOKUP($C814,Phone_by_Sentiment!$B$2:$B$37,Phone_by_Sentiment!J$2:J$37,"",0,1)),_xlfn.XLOOKUP($C814,Phone_by_Sentiment!$B$2:$B$37,Phone_by_Sentiment!J$2:J$37,"",0,1),0),$A814-TEXT(DATEVALUE($D814&amp;"-01"), "dd-mm-yyyy")),0),0)</f>
        <v>0</v>
      </c>
      <c r="K814" cm="1">
        <f t="array" ref="K814">IF($Q814&gt;=0,IFERROR(generateSalesData($D814, IF(ISNUMBER(_xlfn.XLOOKUP($C814,Phone_by_Sentiment!$B$2:$B$37,Phone_by_Sentiment!K$2:K$37,"",0,1)),_xlfn.XLOOKUP($C814,Phone_by_Sentiment!$B$2:$B$37,Phone_by_Sentiment!K$2:K$37,"",0,1),0),$A814-TEXT(DATEVALUE($D814&amp;"-01"), "dd-mm-yyyy")),0),0)</f>
        <v>0</v>
      </c>
      <c r="L814" cm="1">
        <f t="array" ref="L814">IF($Q814&gt;=0,IFERROR(generateSalesData($D814, IF(ISNUMBER(_xlfn.XLOOKUP($C814,Phone_by_Sentiment!$B$2:$B$37,Phone_by_Sentiment!L$2:L$37,"",0,1)),_xlfn.XLOOKUP($C814,Phone_by_Sentiment!$B$2:$B$37,Phone_by_Sentiment!L$2:L$37,"",0,1),0),$A814-TEXT(DATEVALUE($D814&amp;"-01"), "dd-mm-yyyy")),0),0)</f>
        <v>0</v>
      </c>
      <c r="M814" cm="1">
        <f t="array" ref="M814">IF($Q814&gt;=0,IFERROR(generateSalesData($D814, IF(ISNUMBER(_xlfn.XLOOKUP($C814,Phone_by_Sentiment!$B$2:$B$37,Phone_by_Sentiment!M$2:M$37,"",0,1)),_xlfn.XLOOKUP($C814,Phone_by_Sentiment!$B$2:$B$37,Phone_by_Sentiment!M$2:M$37,"",0,1),0),$A814-TEXT(DATEVALUE($D814&amp;"-01"), "dd-mm-yyyy")),0),0)</f>
        <v>0</v>
      </c>
      <c r="N814" cm="1">
        <f t="array" ref="N814">IF($Q814&gt;=0,IFERROR(generateSalesData($D814, IF(ISNUMBER(_xlfn.XLOOKUP($C814,Phone_by_Sentiment!$B$2:$B$37,Phone_by_Sentiment!N$2:N$37,"",0,1)),_xlfn.XLOOKUP($C814,Phone_by_Sentiment!$B$2:$B$37,Phone_by_Sentiment!N$2:N$37,"",0,1),0),$A814-TEXT(DATEVALUE($D814&amp;"-01"), "dd-mm-yyyy")),0),0)</f>
        <v>0</v>
      </c>
      <c r="O814" cm="1">
        <f t="array" ref="O814">IF($Q814&gt;=0,IFERROR(generateSalesData($D814, IF(ISNUMBER(_xlfn.XLOOKUP($C814,Phone_by_Sentiment!$B$2:$B$37,Phone_by_Sentiment!O$2:O$37,"",0,1)),_xlfn.XLOOKUP($C814,Phone_by_Sentiment!$B$2:$B$37,Phone_by_Sentiment!O$2:O$37,"",0,1),0),$A814-TEXT(DATEVALUE($D814&amp;"-01"), "dd-mm-yyyy")),0),0)</f>
        <v>0</v>
      </c>
      <c r="P814" s="1">
        <f t="shared" si="32"/>
        <v>44440</v>
      </c>
      <c r="Q814">
        <f t="shared" si="33"/>
        <v>-274</v>
      </c>
    </row>
    <row r="815" spans="1:17" x14ac:dyDescent="0.25">
      <c r="A815" s="1">
        <f t="shared" si="27"/>
        <v>44166</v>
      </c>
      <c r="B815" t="s">
        <v>162</v>
      </c>
      <c r="C815" t="str">
        <f>_xlfn.XLOOKUP(B815,Phone_by_Price!$A$2:$A$34,Phone_by_Price!$B$2:$B$34,"-",0,1)</f>
        <v>Xiaomi Poco X3 NFC</v>
      </c>
      <c r="D815" t="str">
        <f>_xlfn.XLOOKUP(C815,Phone_by_Sentiment!$B$2:$B$37,Phone_by_Sentiment!$A$2:$A$37,"-",0,1)</f>
        <v>2020-08</v>
      </c>
      <c r="E815" cm="1">
        <f t="array" ref="E815">IF($Q815&gt;=0,IFERROR(generateSalesData($D815, IF(ISNUMBER(_xlfn.XLOOKUP($C815,Phone_by_Sentiment!$B$2:$B$37,Phone_by_Sentiment!E$2:E$37,"",0,1)),_xlfn.XLOOKUP($C815,Phone_by_Sentiment!$B$2:$B$37,Phone_by_Sentiment!E$2:E$37,"",0,1),0),$A815-TEXT(DATEVALUE($D815&amp;"-01"), "dd-mm-yyyy")),0),0)</f>
        <v>350</v>
      </c>
      <c r="F815" cm="1">
        <f t="array" ref="F815">IF($Q815&gt;=0,IFERROR(generateSalesData($D815, IF(ISNUMBER(_xlfn.XLOOKUP($C815,Phone_by_Sentiment!$B$2:$B$37,Phone_by_Sentiment!F$2:F$37,"",0,1)),_xlfn.XLOOKUP($C815,Phone_by_Sentiment!$B$2:$B$37,Phone_by_Sentiment!F$2:F$37,"",0,1),0),$A815-TEXT(DATEVALUE($D815&amp;"-01"), "dd-mm-yyyy")),0),0)</f>
        <v>266</v>
      </c>
      <c r="G815" cm="1">
        <f t="array" ref="G815">IF($Q815&gt;=0,IFERROR(generateSalesData($D815, IF(ISNUMBER(_xlfn.XLOOKUP($C815,Phone_by_Sentiment!$B$2:$B$37,Phone_by_Sentiment!G$2:G$37,"",0,1)),_xlfn.XLOOKUP($C815,Phone_by_Sentiment!$B$2:$B$37,Phone_by_Sentiment!G$2:G$37,"",0,1),0),$A815-TEXT(DATEVALUE($D815&amp;"-01"), "dd-mm-yyyy")),0),0)</f>
        <v>749</v>
      </c>
      <c r="H815" cm="1">
        <f t="array" ref="H815">IF($Q815&gt;=0,IFERROR(generateSalesData($D815, IF(ISNUMBER(_xlfn.XLOOKUP($C815,Phone_by_Sentiment!$B$2:$B$37,Phone_by_Sentiment!H$2:H$37,"",0,1)),_xlfn.XLOOKUP($C815,Phone_by_Sentiment!$B$2:$B$37,Phone_by_Sentiment!H$2:H$37,"",0,1),0),$A815-TEXT(DATEVALUE($D815&amp;"-01"), "dd-mm-yyyy")),0),0)</f>
        <v>2360</v>
      </c>
      <c r="I815" cm="1">
        <f t="array" ref="I815">IF($Q815&gt;=0,IFERROR(generateSalesData($D815, IF(ISNUMBER(_xlfn.XLOOKUP($C815,Phone_by_Sentiment!$B$2:$B$37,Phone_by_Sentiment!I$2:I$37,"",0,1)),_xlfn.XLOOKUP($C815,Phone_by_Sentiment!$B$2:$B$37,Phone_by_Sentiment!I$2:I$37,"",0,1),0),$A815-TEXT(DATEVALUE($D815&amp;"-01"), "dd-mm-yyyy")),0),0)</f>
        <v>753</v>
      </c>
      <c r="J815" cm="1">
        <f t="array" ref="J815">IF($Q815&gt;=0,IFERROR(generateSalesData($D815, IF(ISNUMBER(_xlfn.XLOOKUP($C815,Phone_by_Sentiment!$B$2:$B$37,Phone_by_Sentiment!J$2:J$37,"",0,1)),_xlfn.XLOOKUP($C815,Phone_by_Sentiment!$B$2:$B$37,Phone_by_Sentiment!J$2:J$37,"",0,1),0),$A815-TEXT(DATEVALUE($D815&amp;"-01"), "dd-mm-yyyy")),0),0)</f>
        <v>774</v>
      </c>
      <c r="K815" cm="1">
        <f t="array" ref="K815">IF($Q815&gt;=0,IFERROR(generateSalesData($D815, IF(ISNUMBER(_xlfn.XLOOKUP($C815,Phone_by_Sentiment!$B$2:$B$37,Phone_by_Sentiment!K$2:K$37,"",0,1)),_xlfn.XLOOKUP($C815,Phone_by_Sentiment!$B$2:$B$37,Phone_by_Sentiment!K$2:K$37,"",0,1),0),$A815-TEXT(DATEVALUE($D815&amp;"-01"), "dd-mm-yyyy")),0),0)</f>
        <v>1380</v>
      </c>
      <c r="L815" cm="1">
        <f t="array" ref="L815">IF($Q815&gt;=0,IFERROR(generateSalesData($D815, IF(ISNUMBER(_xlfn.XLOOKUP($C815,Phone_by_Sentiment!$B$2:$B$37,Phone_by_Sentiment!L$2:L$37,"",0,1)),_xlfn.XLOOKUP($C815,Phone_by_Sentiment!$B$2:$B$37,Phone_by_Sentiment!L$2:L$37,"",0,1),0),$A815-TEXT(DATEVALUE($D815&amp;"-01"), "dd-mm-yyyy")),0),0)</f>
        <v>507</v>
      </c>
      <c r="M815" cm="1">
        <f t="array" ref="M815">IF($Q815&gt;=0,IFERROR(generateSalesData($D815, IF(ISNUMBER(_xlfn.XLOOKUP($C815,Phone_by_Sentiment!$B$2:$B$37,Phone_by_Sentiment!M$2:M$37,"",0,1)),_xlfn.XLOOKUP($C815,Phone_by_Sentiment!$B$2:$B$37,Phone_by_Sentiment!M$2:M$37,"",0,1),0),$A815-TEXT(DATEVALUE($D815&amp;"-01"), "dd-mm-yyyy")),0),0)</f>
        <v>3434</v>
      </c>
      <c r="N815" cm="1">
        <f t="array" ref="N815">IF($Q815&gt;=0,IFERROR(generateSalesData($D815, IF(ISNUMBER(_xlfn.XLOOKUP($C815,Phone_by_Sentiment!$B$2:$B$37,Phone_by_Sentiment!N$2:N$37,"",0,1)),_xlfn.XLOOKUP($C815,Phone_by_Sentiment!$B$2:$B$37,Phone_by_Sentiment!N$2:N$37,"",0,1),0),$A815-TEXT(DATEVALUE($D815&amp;"-01"), "dd-mm-yyyy")),0),0)</f>
        <v>466</v>
      </c>
      <c r="O815" cm="1">
        <f t="array" ref="O815">IF($Q815&gt;=0,IFERROR(generateSalesData($D815, IF(ISNUMBER(_xlfn.XLOOKUP($C815,Phone_by_Sentiment!$B$2:$B$37,Phone_by_Sentiment!O$2:O$37,"",0,1)),_xlfn.XLOOKUP($C815,Phone_by_Sentiment!$B$2:$B$37,Phone_by_Sentiment!O$2:O$37,"",0,1),0),$A815-TEXT(DATEVALUE($D815&amp;"-01"), "dd-mm-yyyy")),0),0)</f>
        <v>2258</v>
      </c>
      <c r="P815" s="1">
        <f t="shared" si="32"/>
        <v>44044</v>
      </c>
      <c r="Q815">
        <f t="shared" si="33"/>
        <v>122</v>
      </c>
    </row>
    <row r="816" spans="1:17" x14ac:dyDescent="0.25">
      <c r="A816" s="1">
        <f t="shared" si="27"/>
        <v>44166</v>
      </c>
      <c r="B816" t="s">
        <v>163</v>
      </c>
      <c r="C816" t="str">
        <f>_xlfn.XLOOKUP(B816,Phone_by_Price!$A$2:$A$34,Phone_by_Price!$B$2:$B$34,"-",0,1)</f>
        <v>OPPO A93</v>
      </c>
      <c r="D816" t="str">
        <f>_xlfn.XLOOKUP(C816,Phone_by_Sentiment!$B$2:$B$37,Phone_by_Sentiment!$A$2:$A$37,"-",0,1)</f>
        <v>2021-02</v>
      </c>
      <c r="E816" cm="1">
        <f t="array" ref="E816">IF($Q816&gt;=0,IFERROR(generateSalesData($D816, IF(ISNUMBER(_xlfn.XLOOKUP($C816,Phone_by_Sentiment!$B$2:$B$37,Phone_by_Sentiment!E$2:E$37,"",0,1)),_xlfn.XLOOKUP($C816,Phone_by_Sentiment!$B$2:$B$37,Phone_by_Sentiment!E$2:E$37,"",0,1),0),$A816-TEXT(DATEVALUE($D816&amp;"-01"), "dd-mm-yyyy")),0),0)</f>
        <v>0</v>
      </c>
      <c r="F816" cm="1">
        <f t="array" ref="F816">IF($Q816&gt;=0,IFERROR(generateSalesData($D816, IF(ISNUMBER(_xlfn.XLOOKUP($C816,Phone_by_Sentiment!$B$2:$B$37,Phone_by_Sentiment!F$2:F$37,"",0,1)),_xlfn.XLOOKUP($C816,Phone_by_Sentiment!$B$2:$B$37,Phone_by_Sentiment!F$2:F$37,"",0,1),0),$A816-TEXT(DATEVALUE($D816&amp;"-01"), "dd-mm-yyyy")),0),0)</f>
        <v>0</v>
      </c>
      <c r="G816" cm="1">
        <f t="array" ref="G816">IF($Q816&gt;=0,IFERROR(generateSalesData($D816, IF(ISNUMBER(_xlfn.XLOOKUP($C816,Phone_by_Sentiment!$B$2:$B$37,Phone_by_Sentiment!G$2:G$37,"",0,1)),_xlfn.XLOOKUP($C816,Phone_by_Sentiment!$B$2:$B$37,Phone_by_Sentiment!G$2:G$37,"",0,1),0),$A816-TEXT(DATEVALUE($D816&amp;"-01"), "dd-mm-yyyy")),0),0)</f>
        <v>0</v>
      </c>
      <c r="H816" cm="1">
        <f t="array" ref="H816">IF($Q816&gt;=0,IFERROR(generateSalesData($D816, IF(ISNUMBER(_xlfn.XLOOKUP($C816,Phone_by_Sentiment!$B$2:$B$37,Phone_by_Sentiment!H$2:H$37,"",0,1)),_xlfn.XLOOKUP($C816,Phone_by_Sentiment!$B$2:$B$37,Phone_by_Sentiment!H$2:H$37,"",0,1),0),$A816-TEXT(DATEVALUE($D816&amp;"-01"), "dd-mm-yyyy")),0),0)</f>
        <v>0</v>
      </c>
      <c r="I816" cm="1">
        <f t="array" ref="I816">IF($Q816&gt;=0,IFERROR(generateSalesData($D816, IF(ISNUMBER(_xlfn.XLOOKUP($C816,Phone_by_Sentiment!$B$2:$B$37,Phone_by_Sentiment!I$2:I$37,"",0,1)),_xlfn.XLOOKUP($C816,Phone_by_Sentiment!$B$2:$B$37,Phone_by_Sentiment!I$2:I$37,"",0,1),0),$A816-TEXT(DATEVALUE($D816&amp;"-01"), "dd-mm-yyyy")),0),0)</f>
        <v>0</v>
      </c>
      <c r="J816" cm="1">
        <f t="array" ref="J816">IF($Q816&gt;=0,IFERROR(generateSalesData($D816, IF(ISNUMBER(_xlfn.XLOOKUP($C816,Phone_by_Sentiment!$B$2:$B$37,Phone_by_Sentiment!J$2:J$37,"",0,1)),_xlfn.XLOOKUP($C816,Phone_by_Sentiment!$B$2:$B$37,Phone_by_Sentiment!J$2:J$37,"",0,1),0),$A816-TEXT(DATEVALUE($D816&amp;"-01"), "dd-mm-yyyy")),0),0)</f>
        <v>0</v>
      </c>
      <c r="K816" cm="1">
        <f t="array" ref="K816">IF($Q816&gt;=0,IFERROR(generateSalesData($D816, IF(ISNUMBER(_xlfn.XLOOKUP($C816,Phone_by_Sentiment!$B$2:$B$37,Phone_by_Sentiment!K$2:K$37,"",0,1)),_xlfn.XLOOKUP($C816,Phone_by_Sentiment!$B$2:$B$37,Phone_by_Sentiment!K$2:K$37,"",0,1),0),$A816-TEXT(DATEVALUE($D816&amp;"-01"), "dd-mm-yyyy")),0),0)</f>
        <v>0</v>
      </c>
      <c r="L816" cm="1">
        <f t="array" ref="L816">IF($Q816&gt;=0,IFERROR(generateSalesData($D816, IF(ISNUMBER(_xlfn.XLOOKUP($C816,Phone_by_Sentiment!$B$2:$B$37,Phone_by_Sentiment!L$2:L$37,"",0,1)),_xlfn.XLOOKUP($C816,Phone_by_Sentiment!$B$2:$B$37,Phone_by_Sentiment!L$2:L$37,"",0,1),0),$A816-TEXT(DATEVALUE($D816&amp;"-01"), "dd-mm-yyyy")),0),0)</f>
        <v>0</v>
      </c>
      <c r="M816" cm="1">
        <f t="array" ref="M816">IF($Q816&gt;=0,IFERROR(generateSalesData($D816, IF(ISNUMBER(_xlfn.XLOOKUP($C816,Phone_by_Sentiment!$B$2:$B$37,Phone_by_Sentiment!M$2:M$37,"",0,1)),_xlfn.XLOOKUP($C816,Phone_by_Sentiment!$B$2:$B$37,Phone_by_Sentiment!M$2:M$37,"",0,1),0),$A816-TEXT(DATEVALUE($D816&amp;"-01"), "dd-mm-yyyy")),0),0)</f>
        <v>0</v>
      </c>
      <c r="N816" cm="1">
        <f t="array" ref="N816">IF($Q816&gt;=0,IFERROR(generateSalesData($D816, IF(ISNUMBER(_xlfn.XLOOKUP($C816,Phone_by_Sentiment!$B$2:$B$37,Phone_by_Sentiment!N$2:N$37,"",0,1)),_xlfn.XLOOKUP($C816,Phone_by_Sentiment!$B$2:$B$37,Phone_by_Sentiment!N$2:N$37,"",0,1),0),$A816-TEXT(DATEVALUE($D816&amp;"-01"), "dd-mm-yyyy")),0),0)</f>
        <v>0</v>
      </c>
      <c r="O816" cm="1">
        <f t="array" ref="O816">IF($Q816&gt;=0,IFERROR(generateSalesData($D816, IF(ISNUMBER(_xlfn.XLOOKUP($C816,Phone_by_Sentiment!$B$2:$B$37,Phone_by_Sentiment!O$2:O$37,"",0,1)),_xlfn.XLOOKUP($C816,Phone_by_Sentiment!$B$2:$B$37,Phone_by_Sentiment!O$2:O$37,"",0,1),0),$A816-TEXT(DATEVALUE($D816&amp;"-01"), "dd-mm-yyyy")),0),0)</f>
        <v>0</v>
      </c>
      <c r="P816" s="1">
        <f t="shared" si="32"/>
        <v>44228</v>
      </c>
      <c r="Q816">
        <f t="shared" si="33"/>
        <v>-62</v>
      </c>
    </row>
    <row r="817" spans="1:17" x14ac:dyDescent="0.25">
      <c r="A817" s="1">
        <f t="shared" si="27"/>
        <v>44166</v>
      </c>
      <c r="B817" t="s">
        <v>164</v>
      </c>
      <c r="C817" t="str">
        <f>_xlfn.XLOOKUP(B817,Phone_by_Price!$A$2:$A$34,Phone_by_Price!$B$2:$B$34,"-",0,1)</f>
        <v>Vivo V20</v>
      </c>
      <c r="D817" t="str">
        <f>_xlfn.XLOOKUP(C817,Phone_by_Sentiment!$B$2:$B$37,Phone_by_Sentiment!$A$2:$A$37,"-",0,1)</f>
        <v>2020-10</v>
      </c>
      <c r="E817" cm="1">
        <f t="array" ref="E817">IF($Q817&gt;=0,IFERROR(generateSalesData($D817, IF(ISNUMBER(_xlfn.XLOOKUP($C817,Phone_by_Sentiment!$B$2:$B$37,Phone_by_Sentiment!E$2:E$37,"",0,1)),_xlfn.XLOOKUP($C817,Phone_by_Sentiment!$B$2:$B$37,Phone_by_Sentiment!E$2:E$37,"",0,1),0),$A817-TEXT(DATEVALUE($D817&amp;"-01"), "dd-mm-yyyy")),0),0)</f>
        <v>3649</v>
      </c>
      <c r="F817" cm="1">
        <f t="array" ref="F817">IF($Q817&gt;=0,IFERROR(generateSalesData($D817, IF(ISNUMBER(_xlfn.XLOOKUP($C817,Phone_by_Sentiment!$B$2:$B$37,Phone_by_Sentiment!F$2:F$37,"",0,1)),_xlfn.XLOOKUP($C817,Phone_by_Sentiment!$B$2:$B$37,Phone_by_Sentiment!F$2:F$37,"",0,1),0),$A817-TEXT(DATEVALUE($D817&amp;"-01"), "dd-mm-yyyy")),0),0)</f>
        <v>182</v>
      </c>
      <c r="G817" cm="1">
        <f t="array" ref="G817">IF($Q817&gt;=0,IFERROR(generateSalesData($D817, IF(ISNUMBER(_xlfn.XLOOKUP($C817,Phone_by_Sentiment!$B$2:$B$37,Phone_by_Sentiment!G$2:G$37,"",0,1)),_xlfn.XLOOKUP($C817,Phone_by_Sentiment!$B$2:$B$37,Phone_by_Sentiment!G$2:G$37,"",0,1),0),$A817-TEXT(DATEVALUE($D817&amp;"-01"), "dd-mm-yyyy")),0),0)</f>
        <v>1397</v>
      </c>
      <c r="H817" cm="1">
        <f t="array" ref="H817">IF($Q817&gt;=0,IFERROR(generateSalesData($D817, IF(ISNUMBER(_xlfn.XLOOKUP($C817,Phone_by_Sentiment!$B$2:$B$37,Phone_by_Sentiment!H$2:H$37,"",0,1)),_xlfn.XLOOKUP($C817,Phone_by_Sentiment!$B$2:$B$37,Phone_by_Sentiment!H$2:H$37,"",0,1),0),$A817-TEXT(DATEVALUE($D817&amp;"-01"), "dd-mm-yyyy")),0),0)</f>
        <v>447</v>
      </c>
      <c r="I817" cm="1">
        <f t="array" ref="I817">IF($Q817&gt;=0,IFERROR(generateSalesData($D817, IF(ISNUMBER(_xlfn.XLOOKUP($C817,Phone_by_Sentiment!$B$2:$B$37,Phone_by_Sentiment!I$2:I$37,"",0,1)),_xlfn.XLOOKUP($C817,Phone_by_Sentiment!$B$2:$B$37,Phone_by_Sentiment!I$2:I$37,"",0,1),0),$A817-TEXT(DATEVALUE($D817&amp;"-01"), "dd-mm-yyyy")),0),0)</f>
        <v>513</v>
      </c>
      <c r="J817" cm="1">
        <f t="array" ref="J817">IF($Q817&gt;=0,IFERROR(generateSalesData($D817, IF(ISNUMBER(_xlfn.XLOOKUP($C817,Phone_by_Sentiment!$B$2:$B$37,Phone_by_Sentiment!J$2:J$37,"",0,1)),_xlfn.XLOOKUP($C817,Phone_by_Sentiment!$B$2:$B$37,Phone_by_Sentiment!J$2:J$37,"",0,1),0),$A817-TEXT(DATEVALUE($D817&amp;"-01"), "dd-mm-yyyy")),0),0)</f>
        <v>1314</v>
      </c>
      <c r="K817" cm="1">
        <f t="array" ref="K817">IF($Q817&gt;=0,IFERROR(generateSalesData($D817, IF(ISNUMBER(_xlfn.XLOOKUP($C817,Phone_by_Sentiment!$B$2:$B$37,Phone_by_Sentiment!K$2:K$37,"",0,1)),_xlfn.XLOOKUP($C817,Phone_by_Sentiment!$B$2:$B$37,Phone_by_Sentiment!K$2:K$37,"",0,1),0),$A817-TEXT(DATEVALUE($D817&amp;"-01"), "dd-mm-yyyy")),0),0)</f>
        <v>1166</v>
      </c>
      <c r="L817" cm="1">
        <f t="array" ref="L817">IF($Q817&gt;=0,IFERROR(generateSalesData($D817, IF(ISNUMBER(_xlfn.XLOOKUP($C817,Phone_by_Sentiment!$B$2:$B$37,Phone_by_Sentiment!L$2:L$37,"",0,1)),_xlfn.XLOOKUP($C817,Phone_by_Sentiment!$B$2:$B$37,Phone_by_Sentiment!L$2:L$37,"",0,1),0),$A817-TEXT(DATEVALUE($D817&amp;"-01"), "dd-mm-yyyy")),0),0)</f>
        <v>1708</v>
      </c>
      <c r="M817" cm="1">
        <f t="array" ref="M817">IF($Q817&gt;=0,IFERROR(generateSalesData($D817, IF(ISNUMBER(_xlfn.XLOOKUP($C817,Phone_by_Sentiment!$B$2:$B$37,Phone_by_Sentiment!M$2:M$37,"",0,1)),_xlfn.XLOOKUP($C817,Phone_by_Sentiment!$B$2:$B$37,Phone_by_Sentiment!M$2:M$37,"",0,1),0),$A817-TEXT(DATEVALUE($D817&amp;"-01"), "dd-mm-yyyy")),0),0)</f>
        <v>1144</v>
      </c>
      <c r="N817" cm="1">
        <f t="array" ref="N817">IF($Q817&gt;=0,IFERROR(generateSalesData($D817, IF(ISNUMBER(_xlfn.XLOOKUP($C817,Phone_by_Sentiment!$B$2:$B$37,Phone_by_Sentiment!N$2:N$37,"",0,1)),_xlfn.XLOOKUP($C817,Phone_by_Sentiment!$B$2:$B$37,Phone_by_Sentiment!N$2:N$37,"",0,1),0),$A817-TEXT(DATEVALUE($D817&amp;"-01"), "dd-mm-yyyy")),0),0)</f>
        <v>1117</v>
      </c>
      <c r="O817" cm="1">
        <f t="array" ref="O817">IF($Q817&gt;=0,IFERROR(generateSalesData($D817, IF(ISNUMBER(_xlfn.XLOOKUP($C817,Phone_by_Sentiment!$B$2:$B$37,Phone_by_Sentiment!O$2:O$37,"",0,1)),_xlfn.XLOOKUP($C817,Phone_by_Sentiment!$B$2:$B$37,Phone_by_Sentiment!O$2:O$37,"",0,1),0),$A817-TEXT(DATEVALUE($D817&amp;"-01"), "dd-mm-yyyy")),0),0)</f>
        <v>1352</v>
      </c>
      <c r="P817" s="1">
        <f t="shared" si="32"/>
        <v>44105</v>
      </c>
      <c r="Q817">
        <f t="shared" si="33"/>
        <v>61</v>
      </c>
    </row>
    <row r="818" spans="1:17" x14ac:dyDescent="0.25">
      <c r="A818" s="1">
        <f t="shared" si="27"/>
        <v>44166</v>
      </c>
      <c r="B818" t="s">
        <v>165</v>
      </c>
      <c r="C818" t="str">
        <f>_xlfn.XLOOKUP(B818,Phone_by_Price!$A$2:$A$34,Phone_by_Price!$B$2:$B$34,"-",0,1)</f>
        <v>Samsung Galaxy A50</v>
      </c>
      <c r="D818" t="str">
        <f>_xlfn.XLOOKUP(C818,Phone_by_Sentiment!$B$2:$B$37,Phone_by_Sentiment!$A$2:$A$37,"-",0,1)</f>
        <v>2019-05</v>
      </c>
      <c r="E818" cm="1">
        <f t="array" ref="E818">IF($Q818&gt;=0,IFERROR(generateSalesData($D818, IF(ISNUMBER(_xlfn.XLOOKUP($C818,Phone_by_Sentiment!$B$2:$B$37,Phone_by_Sentiment!E$2:E$37,"",0,1)),_xlfn.XLOOKUP($C818,Phone_by_Sentiment!$B$2:$B$37,Phone_by_Sentiment!E$2:E$37,"",0,1),0),$A818-TEXT(DATEVALUE($D818&amp;"-01"), "dd-mm-yyyy")),0),0)</f>
        <v>693</v>
      </c>
      <c r="F818" cm="1">
        <f t="array" ref="F818">IF($Q818&gt;=0,IFERROR(generateSalesData($D818, IF(ISNUMBER(_xlfn.XLOOKUP($C818,Phone_by_Sentiment!$B$2:$B$37,Phone_by_Sentiment!F$2:F$37,"",0,1)),_xlfn.XLOOKUP($C818,Phone_by_Sentiment!$B$2:$B$37,Phone_by_Sentiment!F$2:F$37,"",0,1),0),$A818-TEXT(DATEVALUE($D818&amp;"-01"), "dd-mm-yyyy")),0),0)</f>
        <v>141</v>
      </c>
      <c r="G818" cm="1">
        <f t="array" ref="G818">IF($Q818&gt;=0,IFERROR(generateSalesData($D818, IF(ISNUMBER(_xlfn.XLOOKUP($C818,Phone_by_Sentiment!$B$2:$B$37,Phone_by_Sentiment!G$2:G$37,"",0,1)),_xlfn.XLOOKUP($C818,Phone_by_Sentiment!$B$2:$B$37,Phone_by_Sentiment!G$2:G$37,"",0,1),0),$A818-TEXT(DATEVALUE($D818&amp;"-01"), "dd-mm-yyyy")),0),0)</f>
        <v>129</v>
      </c>
      <c r="H818" cm="1">
        <f t="array" ref="H818">IF($Q818&gt;=0,IFERROR(generateSalesData($D818, IF(ISNUMBER(_xlfn.XLOOKUP($C818,Phone_by_Sentiment!$B$2:$B$37,Phone_by_Sentiment!H$2:H$37,"",0,1)),_xlfn.XLOOKUP($C818,Phone_by_Sentiment!$B$2:$B$37,Phone_by_Sentiment!H$2:H$37,"",0,1),0),$A818-TEXT(DATEVALUE($D818&amp;"-01"), "dd-mm-yyyy")),0),0)</f>
        <v>632</v>
      </c>
      <c r="I818" cm="1">
        <f t="array" ref="I818">IF($Q818&gt;=0,IFERROR(generateSalesData($D818, IF(ISNUMBER(_xlfn.XLOOKUP($C818,Phone_by_Sentiment!$B$2:$B$37,Phone_by_Sentiment!I$2:I$37,"",0,1)),_xlfn.XLOOKUP($C818,Phone_by_Sentiment!$B$2:$B$37,Phone_by_Sentiment!I$2:I$37,"",0,1),0),$A818-TEXT(DATEVALUE($D818&amp;"-01"), "dd-mm-yyyy")),0),0)</f>
        <v>506</v>
      </c>
      <c r="J818" cm="1">
        <f t="array" ref="J818">IF($Q818&gt;=0,IFERROR(generateSalesData($D818, IF(ISNUMBER(_xlfn.XLOOKUP($C818,Phone_by_Sentiment!$B$2:$B$37,Phone_by_Sentiment!J$2:J$37,"",0,1)),_xlfn.XLOOKUP($C818,Phone_by_Sentiment!$B$2:$B$37,Phone_by_Sentiment!J$2:J$37,"",0,1),0),$A818-TEXT(DATEVALUE($D818&amp;"-01"), "dd-mm-yyyy")),0),0)</f>
        <v>85</v>
      </c>
      <c r="K818" cm="1">
        <f t="array" ref="K818">IF($Q818&gt;=0,IFERROR(generateSalesData($D818, IF(ISNUMBER(_xlfn.XLOOKUP($C818,Phone_by_Sentiment!$B$2:$B$37,Phone_by_Sentiment!K$2:K$37,"",0,1)),_xlfn.XLOOKUP($C818,Phone_by_Sentiment!$B$2:$B$37,Phone_by_Sentiment!K$2:K$37,"",0,1),0),$A818-TEXT(DATEVALUE($D818&amp;"-01"), "dd-mm-yyyy")),0),0)</f>
        <v>90</v>
      </c>
      <c r="L818" cm="1">
        <f t="array" ref="L818">IF($Q818&gt;=0,IFERROR(generateSalesData($D818, IF(ISNUMBER(_xlfn.XLOOKUP($C818,Phone_by_Sentiment!$B$2:$B$37,Phone_by_Sentiment!L$2:L$37,"",0,1)),_xlfn.XLOOKUP($C818,Phone_by_Sentiment!$B$2:$B$37,Phone_by_Sentiment!L$2:L$37,"",0,1),0),$A818-TEXT(DATEVALUE($D818&amp;"-01"), "dd-mm-yyyy")),0),0)</f>
        <v>381</v>
      </c>
      <c r="M818" cm="1">
        <f t="array" ref="M818">IF($Q818&gt;=0,IFERROR(generateSalesData($D818, IF(ISNUMBER(_xlfn.XLOOKUP($C818,Phone_by_Sentiment!$B$2:$B$37,Phone_by_Sentiment!M$2:M$37,"",0,1)),_xlfn.XLOOKUP($C818,Phone_by_Sentiment!$B$2:$B$37,Phone_by_Sentiment!M$2:M$37,"",0,1),0),$A818-TEXT(DATEVALUE($D818&amp;"-01"), "dd-mm-yyyy")),0),0)</f>
        <v>-3</v>
      </c>
      <c r="N818" cm="1">
        <f t="array" ref="N818">IF($Q818&gt;=0,IFERROR(generateSalesData($D818, IF(ISNUMBER(_xlfn.XLOOKUP($C818,Phone_by_Sentiment!$B$2:$B$37,Phone_by_Sentiment!N$2:N$37,"",0,1)),_xlfn.XLOOKUP($C818,Phone_by_Sentiment!$B$2:$B$37,Phone_by_Sentiment!N$2:N$37,"",0,1),0),$A818-TEXT(DATEVALUE($D818&amp;"-01"), "dd-mm-yyyy")),0),0)</f>
        <v>363</v>
      </c>
      <c r="O818" cm="1">
        <f t="array" ref="O818">IF($Q818&gt;=0,IFERROR(generateSalesData($D818, IF(ISNUMBER(_xlfn.XLOOKUP($C818,Phone_by_Sentiment!$B$2:$B$37,Phone_by_Sentiment!O$2:O$37,"",0,1)),_xlfn.XLOOKUP($C818,Phone_by_Sentiment!$B$2:$B$37,Phone_by_Sentiment!O$2:O$37,"",0,1),0),$A818-TEXT(DATEVALUE($D818&amp;"-01"), "dd-mm-yyyy")),0),0)</f>
        <v>181</v>
      </c>
      <c r="P818" s="1">
        <f t="shared" si="32"/>
        <v>43586</v>
      </c>
      <c r="Q818">
        <f t="shared" si="33"/>
        <v>580</v>
      </c>
    </row>
    <row r="819" spans="1:17" x14ac:dyDescent="0.25">
      <c r="A819" s="1">
        <f t="shared" si="27"/>
        <v>44166</v>
      </c>
      <c r="B819" t="s">
        <v>166</v>
      </c>
      <c r="C819" t="str">
        <f>_xlfn.XLOOKUP(B819,Phone_by_Price!$A$2:$A$34,Phone_by_Price!$B$2:$B$34,"-",0,1)</f>
        <v>Xiaomi Redmi Note 7</v>
      </c>
      <c r="D819" t="str">
        <f>_xlfn.XLOOKUP(C819,Phone_by_Sentiment!$B$2:$B$37,Phone_by_Sentiment!$A$2:$A$37,"-",0,1)</f>
        <v>2019-08</v>
      </c>
      <c r="E819" cm="1">
        <f t="array" ref="E819">IF($Q819&gt;=0,IFERROR(generateSalesData($D819, IF(ISNUMBER(_xlfn.XLOOKUP($C819,Phone_by_Sentiment!$B$2:$B$37,Phone_by_Sentiment!E$2:E$37,"",0,1)),_xlfn.XLOOKUP($C819,Phone_by_Sentiment!$B$2:$B$37,Phone_by_Sentiment!E$2:E$37,"",0,1),0),$A819-TEXT(DATEVALUE($D819&amp;"-01"), "dd-mm-yyyy")),0),0)</f>
        <v>83</v>
      </c>
      <c r="F819" cm="1">
        <f t="array" ref="F819">IF($Q819&gt;=0,IFERROR(generateSalesData($D819, IF(ISNUMBER(_xlfn.XLOOKUP($C819,Phone_by_Sentiment!$B$2:$B$37,Phone_by_Sentiment!F$2:F$37,"",0,1)),_xlfn.XLOOKUP($C819,Phone_by_Sentiment!$B$2:$B$37,Phone_by_Sentiment!F$2:F$37,"",0,1),0),$A819-TEXT(DATEVALUE($D819&amp;"-01"), "dd-mm-yyyy")),0),0)</f>
        <v>159</v>
      </c>
      <c r="G819" cm="1">
        <f t="array" ref="G819">IF($Q819&gt;=0,IFERROR(generateSalesData($D819, IF(ISNUMBER(_xlfn.XLOOKUP($C819,Phone_by_Sentiment!$B$2:$B$37,Phone_by_Sentiment!G$2:G$37,"",0,1)),_xlfn.XLOOKUP($C819,Phone_by_Sentiment!$B$2:$B$37,Phone_by_Sentiment!G$2:G$37,"",0,1),0),$A819-TEXT(DATEVALUE($D819&amp;"-01"), "dd-mm-yyyy")),0),0)</f>
        <v>100</v>
      </c>
      <c r="H819" cm="1">
        <f t="array" ref="H819">IF($Q819&gt;=0,IFERROR(generateSalesData($D819, IF(ISNUMBER(_xlfn.XLOOKUP($C819,Phone_by_Sentiment!$B$2:$B$37,Phone_by_Sentiment!H$2:H$37,"",0,1)),_xlfn.XLOOKUP($C819,Phone_by_Sentiment!$B$2:$B$37,Phone_by_Sentiment!H$2:H$37,"",0,1),0),$A819-TEXT(DATEVALUE($D819&amp;"-01"), "dd-mm-yyyy")),0),0)</f>
        <v>897</v>
      </c>
      <c r="I819" cm="1">
        <f t="array" ref="I819">IF($Q819&gt;=0,IFERROR(generateSalesData($D819, IF(ISNUMBER(_xlfn.XLOOKUP($C819,Phone_by_Sentiment!$B$2:$B$37,Phone_by_Sentiment!I$2:I$37,"",0,1)),_xlfn.XLOOKUP($C819,Phone_by_Sentiment!$B$2:$B$37,Phone_by_Sentiment!I$2:I$37,"",0,1),0),$A819-TEXT(DATEVALUE($D819&amp;"-01"), "dd-mm-yyyy")),0),0)</f>
        <v>77</v>
      </c>
      <c r="J819" cm="1">
        <f t="array" ref="J819">IF($Q819&gt;=0,IFERROR(generateSalesData($D819, IF(ISNUMBER(_xlfn.XLOOKUP($C819,Phone_by_Sentiment!$B$2:$B$37,Phone_by_Sentiment!J$2:J$37,"",0,1)),_xlfn.XLOOKUP($C819,Phone_by_Sentiment!$B$2:$B$37,Phone_by_Sentiment!J$2:J$37,"",0,1),0),$A819-TEXT(DATEVALUE($D819&amp;"-01"), "dd-mm-yyyy")),0),0)</f>
        <v>-26</v>
      </c>
      <c r="K819" cm="1">
        <f t="array" ref="K819">IF($Q819&gt;=0,IFERROR(generateSalesData($D819, IF(ISNUMBER(_xlfn.XLOOKUP($C819,Phone_by_Sentiment!$B$2:$B$37,Phone_by_Sentiment!K$2:K$37,"",0,1)),_xlfn.XLOOKUP($C819,Phone_by_Sentiment!$B$2:$B$37,Phone_by_Sentiment!K$2:K$37,"",0,1),0),$A819-TEXT(DATEVALUE($D819&amp;"-01"), "dd-mm-yyyy")),0),0)</f>
        <v>581</v>
      </c>
      <c r="L819" cm="1">
        <f t="array" ref="L819">IF($Q819&gt;=0,IFERROR(generateSalesData($D819, IF(ISNUMBER(_xlfn.XLOOKUP($C819,Phone_by_Sentiment!$B$2:$B$37,Phone_by_Sentiment!L$2:L$37,"",0,1)),_xlfn.XLOOKUP($C819,Phone_by_Sentiment!$B$2:$B$37,Phone_by_Sentiment!L$2:L$37,"",0,1),0),$A819-TEXT(DATEVALUE($D819&amp;"-01"), "dd-mm-yyyy")),0),0)</f>
        <v>166</v>
      </c>
      <c r="M819" cm="1">
        <f t="array" ref="M819">IF($Q819&gt;=0,IFERROR(generateSalesData($D819, IF(ISNUMBER(_xlfn.XLOOKUP($C819,Phone_by_Sentiment!$B$2:$B$37,Phone_by_Sentiment!M$2:M$37,"",0,1)),_xlfn.XLOOKUP($C819,Phone_by_Sentiment!$B$2:$B$37,Phone_by_Sentiment!M$2:M$37,"",0,1),0),$A819-TEXT(DATEVALUE($D819&amp;"-01"), "dd-mm-yyyy")),0),0)</f>
        <v>572</v>
      </c>
      <c r="N819" cm="1">
        <f t="array" ref="N819">IF($Q819&gt;=0,IFERROR(generateSalesData($D819, IF(ISNUMBER(_xlfn.XLOOKUP($C819,Phone_by_Sentiment!$B$2:$B$37,Phone_by_Sentiment!N$2:N$37,"",0,1)),_xlfn.XLOOKUP($C819,Phone_by_Sentiment!$B$2:$B$37,Phone_by_Sentiment!N$2:N$37,"",0,1),0),$A819-TEXT(DATEVALUE($D819&amp;"-01"), "dd-mm-yyyy")),0),0)</f>
        <v>76</v>
      </c>
      <c r="O819" cm="1">
        <f t="array" ref="O819">IF($Q819&gt;=0,IFERROR(generateSalesData($D819, IF(ISNUMBER(_xlfn.XLOOKUP($C819,Phone_by_Sentiment!$B$2:$B$37,Phone_by_Sentiment!O$2:O$37,"",0,1)),_xlfn.XLOOKUP($C819,Phone_by_Sentiment!$B$2:$B$37,Phone_by_Sentiment!O$2:O$37,"",0,1),0),$A819-TEXT(DATEVALUE($D819&amp;"-01"), "dd-mm-yyyy")),0),0)</f>
        <v>595</v>
      </c>
      <c r="P819" s="1">
        <f t="shared" si="32"/>
        <v>43678</v>
      </c>
      <c r="Q819">
        <f t="shared" si="33"/>
        <v>488</v>
      </c>
    </row>
    <row r="820" spans="1:17" x14ac:dyDescent="0.25">
      <c r="A820" s="1">
        <f t="shared" si="27"/>
        <v>44166</v>
      </c>
      <c r="B820" t="s">
        <v>167</v>
      </c>
      <c r="C820" t="str">
        <f>_xlfn.XLOOKUP(B820,Phone_by_Price!$A$2:$A$34,Phone_by_Price!$B$2:$B$34,"-",0,1)</f>
        <v>Realme C21</v>
      </c>
      <c r="D820" t="str">
        <f>_xlfn.XLOOKUP(C820,Phone_by_Sentiment!$B$2:$B$37,Phone_by_Sentiment!$A$2:$A$37,"-",0,1)</f>
        <v>2021-04</v>
      </c>
      <c r="E820" cm="1">
        <f t="array" ref="E820">IF($Q820&gt;=0,IFERROR(generateSalesData($D820, IF(ISNUMBER(_xlfn.XLOOKUP($C820,Phone_by_Sentiment!$B$2:$B$37,Phone_by_Sentiment!E$2:E$37,"",0,1)),_xlfn.XLOOKUP($C820,Phone_by_Sentiment!$B$2:$B$37,Phone_by_Sentiment!E$2:E$37,"",0,1),0),$A820-TEXT(DATEVALUE($D820&amp;"-01"), "dd-mm-yyyy")),0),0)</f>
        <v>0</v>
      </c>
      <c r="F820" cm="1">
        <f t="array" ref="F820">IF($Q820&gt;=0,IFERROR(generateSalesData($D820, IF(ISNUMBER(_xlfn.XLOOKUP($C820,Phone_by_Sentiment!$B$2:$B$37,Phone_by_Sentiment!F$2:F$37,"",0,1)),_xlfn.XLOOKUP($C820,Phone_by_Sentiment!$B$2:$B$37,Phone_by_Sentiment!F$2:F$37,"",0,1),0),$A820-TEXT(DATEVALUE($D820&amp;"-01"), "dd-mm-yyyy")),0),0)</f>
        <v>0</v>
      </c>
      <c r="G820" cm="1">
        <f t="array" ref="G820">IF($Q820&gt;=0,IFERROR(generateSalesData($D820, IF(ISNUMBER(_xlfn.XLOOKUP($C820,Phone_by_Sentiment!$B$2:$B$37,Phone_by_Sentiment!G$2:G$37,"",0,1)),_xlfn.XLOOKUP($C820,Phone_by_Sentiment!$B$2:$B$37,Phone_by_Sentiment!G$2:G$37,"",0,1),0),$A820-TEXT(DATEVALUE($D820&amp;"-01"), "dd-mm-yyyy")),0),0)</f>
        <v>0</v>
      </c>
      <c r="H820" cm="1">
        <f t="array" ref="H820">IF($Q820&gt;=0,IFERROR(generateSalesData($D820, IF(ISNUMBER(_xlfn.XLOOKUP($C820,Phone_by_Sentiment!$B$2:$B$37,Phone_by_Sentiment!H$2:H$37,"",0,1)),_xlfn.XLOOKUP($C820,Phone_by_Sentiment!$B$2:$B$37,Phone_by_Sentiment!H$2:H$37,"",0,1),0),$A820-TEXT(DATEVALUE($D820&amp;"-01"), "dd-mm-yyyy")),0),0)</f>
        <v>0</v>
      </c>
      <c r="I820" cm="1">
        <f t="array" ref="I820">IF($Q820&gt;=0,IFERROR(generateSalesData($D820, IF(ISNUMBER(_xlfn.XLOOKUP($C820,Phone_by_Sentiment!$B$2:$B$37,Phone_by_Sentiment!I$2:I$37,"",0,1)),_xlfn.XLOOKUP($C820,Phone_by_Sentiment!$B$2:$B$37,Phone_by_Sentiment!I$2:I$37,"",0,1),0),$A820-TEXT(DATEVALUE($D820&amp;"-01"), "dd-mm-yyyy")),0),0)</f>
        <v>0</v>
      </c>
      <c r="J820" cm="1">
        <f t="array" ref="J820">IF($Q820&gt;=0,IFERROR(generateSalesData($D820, IF(ISNUMBER(_xlfn.XLOOKUP($C820,Phone_by_Sentiment!$B$2:$B$37,Phone_by_Sentiment!J$2:J$37,"",0,1)),_xlfn.XLOOKUP($C820,Phone_by_Sentiment!$B$2:$B$37,Phone_by_Sentiment!J$2:J$37,"",0,1),0),$A820-TEXT(DATEVALUE($D820&amp;"-01"), "dd-mm-yyyy")),0),0)</f>
        <v>0</v>
      </c>
      <c r="K820" cm="1">
        <f t="array" ref="K820">IF($Q820&gt;=0,IFERROR(generateSalesData($D820, IF(ISNUMBER(_xlfn.XLOOKUP($C820,Phone_by_Sentiment!$B$2:$B$37,Phone_by_Sentiment!K$2:K$37,"",0,1)),_xlfn.XLOOKUP($C820,Phone_by_Sentiment!$B$2:$B$37,Phone_by_Sentiment!K$2:K$37,"",0,1),0),$A820-TEXT(DATEVALUE($D820&amp;"-01"), "dd-mm-yyyy")),0),0)</f>
        <v>0</v>
      </c>
      <c r="L820" cm="1">
        <f t="array" ref="L820">IF($Q820&gt;=0,IFERROR(generateSalesData($D820, IF(ISNUMBER(_xlfn.XLOOKUP($C820,Phone_by_Sentiment!$B$2:$B$37,Phone_by_Sentiment!L$2:L$37,"",0,1)),_xlfn.XLOOKUP($C820,Phone_by_Sentiment!$B$2:$B$37,Phone_by_Sentiment!L$2:L$37,"",0,1),0),$A820-TEXT(DATEVALUE($D820&amp;"-01"), "dd-mm-yyyy")),0),0)</f>
        <v>0</v>
      </c>
      <c r="M820" cm="1">
        <f t="array" ref="M820">IF($Q820&gt;=0,IFERROR(generateSalesData($D820, IF(ISNUMBER(_xlfn.XLOOKUP($C820,Phone_by_Sentiment!$B$2:$B$37,Phone_by_Sentiment!M$2:M$37,"",0,1)),_xlfn.XLOOKUP($C820,Phone_by_Sentiment!$B$2:$B$37,Phone_by_Sentiment!M$2:M$37,"",0,1),0),$A820-TEXT(DATEVALUE($D820&amp;"-01"), "dd-mm-yyyy")),0),0)</f>
        <v>0</v>
      </c>
      <c r="N820" cm="1">
        <f t="array" ref="N820">IF($Q820&gt;=0,IFERROR(generateSalesData($D820, IF(ISNUMBER(_xlfn.XLOOKUP($C820,Phone_by_Sentiment!$B$2:$B$37,Phone_by_Sentiment!N$2:N$37,"",0,1)),_xlfn.XLOOKUP($C820,Phone_by_Sentiment!$B$2:$B$37,Phone_by_Sentiment!N$2:N$37,"",0,1),0),$A820-TEXT(DATEVALUE($D820&amp;"-01"), "dd-mm-yyyy")),0),0)</f>
        <v>0</v>
      </c>
      <c r="O820" cm="1">
        <f t="array" ref="O820">IF($Q820&gt;=0,IFERROR(generateSalesData($D820, IF(ISNUMBER(_xlfn.XLOOKUP($C820,Phone_by_Sentiment!$B$2:$B$37,Phone_by_Sentiment!O$2:O$37,"",0,1)),_xlfn.XLOOKUP($C820,Phone_by_Sentiment!$B$2:$B$37,Phone_by_Sentiment!O$2:O$37,"",0,1),0),$A820-TEXT(DATEVALUE($D820&amp;"-01"), "dd-mm-yyyy")),0),0)</f>
        <v>0</v>
      </c>
      <c r="P820" s="1">
        <f t="shared" si="32"/>
        <v>44287</v>
      </c>
      <c r="Q820">
        <f t="shared" si="33"/>
        <v>-121</v>
      </c>
    </row>
    <row r="821" spans="1:17" x14ac:dyDescent="0.25">
      <c r="A821" s="1">
        <f t="shared" si="27"/>
        <v>44166</v>
      </c>
      <c r="B821" t="s">
        <v>168</v>
      </c>
      <c r="C821" t="str">
        <f>_xlfn.XLOOKUP(B821,Phone_by_Price!$A$2:$A$34,Phone_by_Price!$B$2:$B$34,"-",0,1)</f>
        <v>Google Pixel 4</v>
      </c>
      <c r="D821" t="str">
        <f>_xlfn.XLOOKUP(C821,Phone_by_Sentiment!$B$2:$B$37,Phone_by_Sentiment!$A$2:$A$37,"-",0,1)</f>
        <v>2019-09</v>
      </c>
      <c r="E821" cm="1">
        <f t="array" ref="E821">IF($Q821&gt;=0,IFERROR(generateSalesData($D821, IF(ISNUMBER(_xlfn.XLOOKUP($C821,Phone_by_Sentiment!$B$2:$B$37,Phone_by_Sentiment!E$2:E$37,"",0,1)),_xlfn.XLOOKUP($C821,Phone_by_Sentiment!$B$2:$B$37,Phone_by_Sentiment!E$2:E$37,"",0,1),0),$A821-TEXT(DATEVALUE($D821&amp;"-01"), "dd-mm-yyyy")),0),0)</f>
        <v>422</v>
      </c>
      <c r="F821" cm="1">
        <f t="array" ref="F821">IF($Q821&gt;=0,IFERROR(generateSalesData($D821, IF(ISNUMBER(_xlfn.XLOOKUP($C821,Phone_by_Sentiment!$B$2:$B$37,Phone_by_Sentiment!F$2:F$37,"",0,1)),_xlfn.XLOOKUP($C821,Phone_by_Sentiment!$B$2:$B$37,Phone_by_Sentiment!F$2:F$37,"",0,1),0),$A821-TEXT(DATEVALUE($D821&amp;"-01"), "dd-mm-yyyy")),0),0)</f>
        <v>173</v>
      </c>
      <c r="G821" cm="1">
        <f t="array" ref="G821">IF($Q821&gt;=0,IFERROR(generateSalesData($D821, IF(ISNUMBER(_xlfn.XLOOKUP($C821,Phone_by_Sentiment!$B$2:$B$37,Phone_by_Sentiment!G$2:G$37,"",0,1)),_xlfn.XLOOKUP($C821,Phone_by_Sentiment!$B$2:$B$37,Phone_by_Sentiment!G$2:G$37,"",0,1),0),$A821-TEXT(DATEVALUE($D821&amp;"-01"), "dd-mm-yyyy")),0),0)</f>
        <v>179</v>
      </c>
      <c r="H821" cm="1">
        <f t="array" ref="H821">IF($Q821&gt;=0,IFERROR(generateSalesData($D821, IF(ISNUMBER(_xlfn.XLOOKUP($C821,Phone_by_Sentiment!$B$2:$B$37,Phone_by_Sentiment!H$2:H$37,"",0,1)),_xlfn.XLOOKUP($C821,Phone_by_Sentiment!$B$2:$B$37,Phone_by_Sentiment!H$2:H$37,"",0,1),0),$A821-TEXT(DATEVALUE($D821&amp;"-01"), "dd-mm-yyyy")),0),0)</f>
        <v>70</v>
      </c>
      <c r="I821" cm="1">
        <f t="array" ref="I821">IF($Q821&gt;=0,IFERROR(generateSalesData($D821, IF(ISNUMBER(_xlfn.XLOOKUP($C821,Phone_by_Sentiment!$B$2:$B$37,Phone_by_Sentiment!I$2:I$37,"",0,1)),_xlfn.XLOOKUP($C821,Phone_by_Sentiment!$B$2:$B$37,Phone_by_Sentiment!I$2:I$37,"",0,1),0),$A821-TEXT(DATEVALUE($D821&amp;"-01"), "dd-mm-yyyy")),0),0)</f>
        <v>152</v>
      </c>
      <c r="J821" cm="1">
        <f t="array" ref="J821">IF($Q821&gt;=0,IFERROR(generateSalesData($D821, IF(ISNUMBER(_xlfn.XLOOKUP($C821,Phone_by_Sentiment!$B$2:$B$37,Phone_by_Sentiment!J$2:J$37,"",0,1)),_xlfn.XLOOKUP($C821,Phone_by_Sentiment!$B$2:$B$37,Phone_by_Sentiment!J$2:J$37,"",0,1),0),$A821-TEXT(DATEVALUE($D821&amp;"-01"), "dd-mm-yyyy")),0),0)</f>
        <v>95</v>
      </c>
      <c r="K821" cm="1">
        <f t="array" ref="K821">IF($Q821&gt;=0,IFERROR(generateSalesData($D821, IF(ISNUMBER(_xlfn.XLOOKUP($C821,Phone_by_Sentiment!$B$2:$B$37,Phone_by_Sentiment!K$2:K$37,"",0,1)),_xlfn.XLOOKUP($C821,Phone_by_Sentiment!$B$2:$B$37,Phone_by_Sentiment!K$2:K$37,"",0,1),0),$A821-TEXT(DATEVALUE($D821&amp;"-01"), "dd-mm-yyyy")),0),0)</f>
        <v>143</v>
      </c>
      <c r="L821" cm="1">
        <f t="array" ref="L821">IF($Q821&gt;=0,IFERROR(generateSalesData($D821, IF(ISNUMBER(_xlfn.XLOOKUP($C821,Phone_by_Sentiment!$B$2:$B$37,Phone_by_Sentiment!L$2:L$37,"",0,1)),_xlfn.XLOOKUP($C821,Phone_by_Sentiment!$B$2:$B$37,Phone_by_Sentiment!L$2:L$37,"",0,1),0),$A821-TEXT(DATEVALUE($D821&amp;"-01"), "dd-mm-yyyy")),0),0)</f>
        <v>124</v>
      </c>
      <c r="M821" cm="1">
        <f t="array" ref="M821">IF($Q821&gt;=0,IFERROR(generateSalesData($D821, IF(ISNUMBER(_xlfn.XLOOKUP($C821,Phone_by_Sentiment!$B$2:$B$37,Phone_by_Sentiment!M$2:M$37,"",0,1)),_xlfn.XLOOKUP($C821,Phone_by_Sentiment!$B$2:$B$37,Phone_by_Sentiment!M$2:M$37,"",0,1),0),$A821-TEXT(DATEVALUE($D821&amp;"-01"), "dd-mm-yyyy")),0),0)</f>
        <v>162</v>
      </c>
      <c r="N821" cm="1">
        <f t="array" ref="N821">IF($Q821&gt;=0,IFERROR(generateSalesData($D821, IF(ISNUMBER(_xlfn.XLOOKUP($C821,Phone_by_Sentiment!$B$2:$B$37,Phone_by_Sentiment!N$2:N$37,"",0,1)),_xlfn.XLOOKUP($C821,Phone_by_Sentiment!$B$2:$B$37,Phone_by_Sentiment!N$2:N$37,"",0,1),0),$A821-TEXT(DATEVALUE($D821&amp;"-01"), "dd-mm-yyyy")),0),0)</f>
        <v>291</v>
      </c>
      <c r="O821" cm="1">
        <f t="array" ref="O821">IF($Q821&gt;=0,IFERROR(generateSalesData($D821, IF(ISNUMBER(_xlfn.XLOOKUP($C821,Phone_by_Sentiment!$B$2:$B$37,Phone_by_Sentiment!O$2:O$37,"",0,1)),_xlfn.XLOOKUP($C821,Phone_by_Sentiment!$B$2:$B$37,Phone_by_Sentiment!O$2:O$37,"",0,1),0),$A821-TEXT(DATEVALUE($D821&amp;"-01"), "dd-mm-yyyy")),0),0)</f>
        <v>213</v>
      </c>
      <c r="P821" s="1">
        <f t="shared" si="32"/>
        <v>43709</v>
      </c>
      <c r="Q821">
        <f t="shared" si="33"/>
        <v>457</v>
      </c>
    </row>
    <row r="822" spans="1:17" x14ac:dyDescent="0.25">
      <c r="A822" s="1">
        <f t="shared" si="27"/>
        <v>44166</v>
      </c>
      <c r="B822" t="s">
        <v>169</v>
      </c>
      <c r="C822" t="str">
        <f>_xlfn.XLOOKUP(B822,Phone_by_Price!$A$2:$A$34,Phone_by_Price!$B$2:$B$34,"-",0,1)</f>
        <v>Samsung Galaxy A10s</v>
      </c>
      <c r="D822" t="str">
        <f>_xlfn.XLOOKUP(C822,Phone_by_Sentiment!$B$2:$B$37,Phone_by_Sentiment!$A$2:$A$37,"-",0,1)</f>
        <v>2019-08</v>
      </c>
      <c r="E822" cm="1">
        <f t="array" ref="E822">IF($Q822&gt;=0,IFERROR(generateSalesData($D822, IF(ISNUMBER(_xlfn.XLOOKUP($C822,Phone_by_Sentiment!$B$2:$B$37,Phone_by_Sentiment!E$2:E$37,"",0,1)),_xlfn.XLOOKUP($C822,Phone_by_Sentiment!$B$2:$B$37,Phone_by_Sentiment!E$2:E$37,"",0,1),0),$A822-TEXT(DATEVALUE($D822&amp;"-01"), "dd-mm-yyyy")),0),0)</f>
        <v>124</v>
      </c>
      <c r="F822" cm="1">
        <f t="array" ref="F822">IF($Q822&gt;=0,IFERROR(generateSalesData($D822, IF(ISNUMBER(_xlfn.XLOOKUP($C822,Phone_by_Sentiment!$B$2:$B$37,Phone_by_Sentiment!F$2:F$37,"",0,1)),_xlfn.XLOOKUP($C822,Phone_by_Sentiment!$B$2:$B$37,Phone_by_Sentiment!F$2:F$37,"",0,1),0),$A822-TEXT(DATEVALUE($D822&amp;"-01"), "dd-mm-yyyy")),0),0)</f>
        <v>368</v>
      </c>
      <c r="G822" cm="1">
        <f t="array" ref="G822">IF($Q822&gt;=0,IFERROR(generateSalesData($D822, IF(ISNUMBER(_xlfn.XLOOKUP($C822,Phone_by_Sentiment!$B$2:$B$37,Phone_by_Sentiment!G$2:G$37,"",0,1)),_xlfn.XLOOKUP($C822,Phone_by_Sentiment!$B$2:$B$37,Phone_by_Sentiment!G$2:G$37,"",0,1),0),$A822-TEXT(DATEVALUE($D822&amp;"-01"), "dd-mm-yyyy")),0),0)</f>
        <v>-2</v>
      </c>
      <c r="H822" cm="1">
        <f t="array" ref="H822">IF($Q822&gt;=0,IFERROR(generateSalesData($D822, IF(ISNUMBER(_xlfn.XLOOKUP($C822,Phone_by_Sentiment!$B$2:$B$37,Phone_by_Sentiment!H$2:H$37,"",0,1)),_xlfn.XLOOKUP($C822,Phone_by_Sentiment!$B$2:$B$37,Phone_by_Sentiment!H$2:H$37,"",0,1),0),$A822-TEXT(DATEVALUE($D822&amp;"-01"), "dd-mm-yyyy")),0),0)</f>
        <v>337</v>
      </c>
      <c r="I822" cm="1">
        <f t="array" ref="I822">IF($Q822&gt;=0,IFERROR(generateSalesData($D822, IF(ISNUMBER(_xlfn.XLOOKUP($C822,Phone_by_Sentiment!$B$2:$B$37,Phone_by_Sentiment!I$2:I$37,"",0,1)),_xlfn.XLOOKUP($C822,Phone_by_Sentiment!$B$2:$B$37,Phone_by_Sentiment!I$2:I$37,"",0,1),0),$A822-TEXT(DATEVALUE($D822&amp;"-01"), "dd-mm-yyyy")),0),0)</f>
        <v>462</v>
      </c>
      <c r="J822" cm="1">
        <f t="array" ref="J822">IF($Q822&gt;=0,IFERROR(generateSalesData($D822, IF(ISNUMBER(_xlfn.XLOOKUP($C822,Phone_by_Sentiment!$B$2:$B$37,Phone_by_Sentiment!J$2:J$37,"",0,1)),_xlfn.XLOOKUP($C822,Phone_by_Sentiment!$B$2:$B$37,Phone_by_Sentiment!J$2:J$37,"",0,1),0),$A822-TEXT(DATEVALUE($D822&amp;"-01"), "dd-mm-yyyy")),0),0)</f>
        <v>365</v>
      </c>
      <c r="K822" cm="1">
        <f t="array" ref="K822">IF($Q822&gt;=0,IFERROR(generateSalesData($D822, IF(ISNUMBER(_xlfn.XLOOKUP($C822,Phone_by_Sentiment!$B$2:$B$37,Phone_by_Sentiment!K$2:K$37,"",0,1)),_xlfn.XLOOKUP($C822,Phone_by_Sentiment!$B$2:$B$37,Phone_by_Sentiment!K$2:K$37,"",0,1),0),$A822-TEXT(DATEVALUE($D822&amp;"-01"), "dd-mm-yyyy")),0),0)</f>
        <v>338</v>
      </c>
      <c r="L822" cm="1">
        <f t="array" ref="L822">IF($Q822&gt;=0,IFERROR(generateSalesData($D822, IF(ISNUMBER(_xlfn.XLOOKUP($C822,Phone_by_Sentiment!$B$2:$B$37,Phone_by_Sentiment!L$2:L$37,"",0,1)),_xlfn.XLOOKUP($C822,Phone_by_Sentiment!$B$2:$B$37,Phone_by_Sentiment!L$2:L$37,"",0,1),0),$A822-TEXT(DATEVALUE($D822&amp;"-01"), "dd-mm-yyyy")),0),0)</f>
        <v>33</v>
      </c>
      <c r="M822" cm="1">
        <f t="array" ref="M822">IF($Q822&gt;=0,IFERROR(generateSalesData($D822, IF(ISNUMBER(_xlfn.XLOOKUP($C822,Phone_by_Sentiment!$B$2:$B$37,Phone_by_Sentiment!M$2:M$37,"",0,1)),_xlfn.XLOOKUP($C822,Phone_by_Sentiment!$B$2:$B$37,Phone_by_Sentiment!M$2:M$37,"",0,1),0),$A822-TEXT(DATEVALUE($D822&amp;"-01"), "dd-mm-yyyy")),0),0)</f>
        <v>226</v>
      </c>
      <c r="N822" cm="1">
        <f t="array" ref="N822">IF($Q822&gt;=0,IFERROR(generateSalesData($D822, IF(ISNUMBER(_xlfn.XLOOKUP($C822,Phone_by_Sentiment!$B$2:$B$37,Phone_by_Sentiment!N$2:N$37,"",0,1)),_xlfn.XLOOKUP($C822,Phone_by_Sentiment!$B$2:$B$37,Phone_by_Sentiment!N$2:N$37,"",0,1),0),$A822-TEXT(DATEVALUE($D822&amp;"-01"), "dd-mm-yyyy")),0),0)</f>
        <v>138</v>
      </c>
      <c r="O822" cm="1">
        <f t="array" ref="O822">IF($Q822&gt;=0,IFERROR(generateSalesData($D822, IF(ISNUMBER(_xlfn.XLOOKUP($C822,Phone_by_Sentiment!$B$2:$B$37,Phone_by_Sentiment!O$2:O$37,"",0,1)),_xlfn.XLOOKUP($C822,Phone_by_Sentiment!$B$2:$B$37,Phone_by_Sentiment!O$2:O$37,"",0,1),0),$A822-TEXT(DATEVALUE($D822&amp;"-01"), "dd-mm-yyyy")),0),0)</f>
        <v>443</v>
      </c>
      <c r="P822" s="1">
        <f t="shared" si="32"/>
        <v>43678</v>
      </c>
      <c r="Q822">
        <f t="shared" si="33"/>
        <v>488</v>
      </c>
    </row>
    <row r="823" spans="1:17" x14ac:dyDescent="0.25">
      <c r="A823" s="1">
        <f t="shared" si="27"/>
        <v>44166</v>
      </c>
      <c r="B823" t="s">
        <v>170</v>
      </c>
      <c r="C823" t="str">
        <f>_xlfn.XLOOKUP(B823,Phone_by_Price!$A$2:$A$34,Phone_by_Price!$B$2:$B$34,"-",0,1)</f>
        <v>Realme Narzo 30A</v>
      </c>
      <c r="D823" t="str">
        <f>_xlfn.XLOOKUP(C823,Phone_by_Sentiment!$B$2:$B$37,Phone_by_Sentiment!$A$2:$A$37,"-",0,1)</f>
        <v>2021-02</v>
      </c>
      <c r="E823" cm="1">
        <f t="array" ref="E823">IF($Q823&gt;=0,IFERROR(generateSalesData($D823, IF(ISNUMBER(_xlfn.XLOOKUP($C823,Phone_by_Sentiment!$B$2:$B$37,Phone_by_Sentiment!E$2:E$37,"",0,1)),_xlfn.XLOOKUP($C823,Phone_by_Sentiment!$B$2:$B$37,Phone_by_Sentiment!E$2:E$37,"",0,1),0),$A823-TEXT(DATEVALUE($D823&amp;"-01"), "dd-mm-yyyy")),0),0)</f>
        <v>0</v>
      </c>
      <c r="F823" cm="1">
        <f t="array" ref="F823">IF($Q823&gt;=0,IFERROR(generateSalesData($D823, IF(ISNUMBER(_xlfn.XLOOKUP($C823,Phone_by_Sentiment!$B$2:$B$37,Phone_by_Sentiment!F$2:F$37,"",0,1)),_xlfn.XLOOKUP($C823,Phone_by_Sentiment!$B$2:$B$37,Phone_by_Sentiment!F$2:F$37,"",0,1),0),$A823-TEXT(DATEVALUE($D823&amp;"-01"), "dd-mm-yyyy")),0),0)</f>
        <v>0</v>
      </c>
      <c r="G823" cm="1">
        <f t="array" ref="G823">IF($Q823&gt;=0,IFERROR(generateSalesData($D823, IF(ISNUMBER(_xlfn.XLOOKUP($C823,Phone_by_Sentiment!$B$2:$B$37,Phone_by_Sentiment!G$2:G$37,"",0,1)),_xlfn.XLOOKUP($C823,Phone_by_Sentiment!$B$2:$B$37,Phone_by_Sentiment!G$2:G$37,"",0,1),0),$A823-TEXT(DATEVALUE($D823&amp;"-01"), "dd-mm-yyyy")),0),0)</f>
        <v>0</v>
      </c>
      <c r="H823" cm="1">
        <f t="array" ref="H823">IF($Q823&gt;=0,IFERROR(generateSalesData($D823, IF(ISNUMBER(_xlfn.XLOOKUP($C823,Phone_by_Sentiment!$B$2:$B$37,Phone_by_Sentiment!H$2:H$37,"",0,1)),_xlfn.XLOOKUP($C823,Phone_by_Sentiment!$B$2:$B$37,Phone_by_Sentiment!H$2:H$37,"",0,1),0),$A823-TEXT(DATEVALUE($D823&amp;"-01"), "dd-mm-yyyy")),0),0)</f>
        <v>0</v>
      </c>
      <c r="I823" cm="1">
        <f t="array" ref="I823">IF($Q823&gt;=0,IFERROR(generateSalesData($D823, IF(ISNUMBER(_xlfn.XLOOKUP($C823,Phone_by_Sentiment!$B$2:$B$37,Phone_by_Sentiment!I$2:I$37,"",0,1)),_xlfn.XLOOKUP($C823,Phone_by_Sentiment!$B$2:$B$37,Phone_by_Sentiment!I$2:I$37,"",0,1),0),$A823-TEXT(DATEVALUE($D823&amp;"-01"), "dd-mm-yyyy")),0),0)</f>
        <v>0</v>
      </c>
      <c r="J823" cm="1">
        <f t="array" ref="J823">IF($Q823&gt;=0,IFERROR(generateSalesData($D823, IF(ISNUMBER(_xlfn.XLOOKUP($C823,Phone_by_Sentiment!$B$2:$B$37,Phone_by_Sentiment!J$2:J$37,"",0,1)),_xlfn.XLOOKUP($C823,Phone_by_Sentiment!$B$2:$B$37,Phone_by_Sentiment!J$2:J$37,"",0,1),0),$A823-TEXT(DATEVALUE($D823&amp;"-01"), "dd-mm-yyyy")),0),0)</f>
        <v>0</v>
      </c>
      <c r="K823" cm="1">
        <f t="array" ref="K823">IF($Q823&gt;=0,IFERROR(generateSalesData($D823, IF(ISNUMBER(_xlfn.XLOOKUP($C823,Phone_by_Sentiment!$B$2:$B$37,Phone_by_Sentiment!K$2:K$37,"",0,1)),_xlfn.XLOOKUP($C823,Phone_by_Sentiment!$B$2:$B$37,Phone_by_Sentiment!K$2:K$37,"",0,1),0),$A823-TEXT(DATEVALUE($D823&amp;"-01"), "dd-mm-yyyy")),0),0)</f>
        <v>0</v>
      </c>
      <c r="L823" cm="1">
        <f t="array" ref="L823">IF($Q823&gt;=0,IFERROR(generateSalesData($D823, IF(ISNUMBER(_xlfn.XLOOKUP($C823,Phone_by_Sentiment!$B$2:$B$37,Phone_by_Sentiment!L$2:L$37,"",0,1)),_xlfn.XLOOKUP($C823,Phone_by_Sentiment!$B$2:$B$37,Phone_by_Sentiment!L$2:L$37,"",0,1),0),$A823-TEXT(DATEVALUE($D823&amp;"-01"), "dd-mm-yyyy")),0),0)</f>
        <v>0</v>
      </c>
      <c r="M823" cm="1">
        <f t="array" ref="M823">IF($Q823&gt;=0,IFERROR(generateSalesData($D823, IF(ISNUMBER(_xlfn.XLOOKUP($C823,Phone_by_Sentiment!$B$2:$B$37,Phone_by_Sentiment!M$2:M$37,"",0,1)),_xlfn.XLOOKUP($C823,Phone_by_Sentiment!$B$2:$B$37,Phone_by_Sentiment!M$2:M$37,"",0,1),0),$A823-TEXT(DATEVALUE($D823&amp;"-01"), "dd-mm-yyyy")),0),0)</f>
        <v>0</v>
      </c>
      <c r="N823" cm="1">
        <f t="array" ref="N823">IF($Q823&gt;=0,IFERROR(generateSalesData($D823, IF(ISNUMBER(_xlfn.XLOOKUP($C823,Phone_by_Sentiment!$B$2:$B$37,Phone_by_Sentiment!N$2:N$37,"",0,1)),_xlfn.XLOOKUP($C823,Phone_by_Sentiment!$B$2:$B$37,Phone_by_Sentiment!N$2:N$37,"",0,1),0),$A823-TEXT(DATEVALUE($D823&amp;"-01"), "dd-mm-yyyy")),0),0)</f>
        <v>0</v>
      </c>
      <c r="O823" cm="1">
        <f t="array" ref="O823">IF($Q823&gt;=0,IFERROR(generateSalesData($D823, IF(ISNUMBER(_xlfn.XLOOKUP($C823,Phone_by_Sentiment!$B$2:$B$37,Phone_by_Sentiment!O$2:O$37,"",0,1)),_xlfn.XLOOKUP($C823,Phone_by_Sentiment!$B$2:$B$37,Phone_by_Sentiment!O$2:O$37,"",0,1),0),$A823-TEXT(DATEVALUE($D823&amp;"-01"), "dd-mm-yyyy")),0),0)</f>
        <v>0</v>
      </c>
      <c r="P823" s="1">
        <f t="shared" si="32"/>
        <v>44228</v>
      </c>
      <c r="Q823">
        <f t="shared" si="33"/>
        <v>-62</v>
      </c>
    </row>
    <row r="824" spans="1:17" x14ac:dyDescent="0.25">
      <c r="A824" s="1">
        <f t="shared" si="27"/>
        <v>44166</v>
      </c>
      <c r="B824" t="s">
        <v>171</v>
      </c>
      <c r="C824" t="str">
        <f>_xlfn.XLOOKUP(B824,Phone_by_Price!$A$2:$A$34,Phone_by_Price!$B$2:$B$34,"-",0,1)</f>
        <v>Samsung Galaxy A22 5G</v>
      </c>
      <c r="D824" t="str">
        <f>_xlfn.XLOOKUP(C824,Phone_by_Sentiment!$B$2:$B$37,Phone_by_Sentiment!$A$2:$A$37,"-",0,1)</f>
        <v>2021-05</v>
      </c>
      <c r="E824" cm="1">
        <f t="array" ref="E824">IF($Q824&gt;=0,IFERROR(generateSalesData($D824, IF(ISNUMBER(_xlfn.XLOOKUP($C824,Phone_by_Sentiment!$B$2:$B$37,Phone_by_Sentiment!E$2:E$37,"",0,1)),_xlfn.XLOOKUP($C824,Phone_by_Sentiment!$B$2:$B$37,Phone_by_Sentiment!E$2:E$37,"",0,1),0),$A824-TEXT(DATEVALUE($D824&amp;"-01"), "dd-mm-yyyy")),0),0)</f>
        <v>0</v>
      </c>
      <c r="F824" cm="1">
        <f t="array" ref="F824">IF($Q824&gt;=0,IFERROR(generateSalesData($D824, IF(ISNUMBER(_xlfn.XLOOKUP($C824,Phone_by_Sentiment!$B$2:$B$37,Phone_by_Sentiment!F$2:F$37,"",0,1)),_xlfn.XLOOKUP($C824,Phone_by_Sentiment!$B$2:$B$37,Phone_by_Sentiment!F$2:F$37,"",0,1),0),$A824-TEXT(DATEVALUE($D824&amp;"-01"), "dd-mm-yyyy")),0),0)</f>
        <v>0</v>
      </c>
      <c r="G824" cm="1">
        <f t="array" ref="G824">IF($Q824&gt;=0,IFERROR(generateSalesData($D824, IF(ISNUMBER(_xlfn.XLOOKUP($C824,Phone_by_Sentiment!$B$2:$B$37,Phone_by_Sentiment!G$2:G$37,"",0,1)),_xlfn.XLOOKUP($C824,Phone_by_Sentiment!$B$2:$B$37,Phone_by_Sentiment!G$2:G$37,"",0,1),0),$A824-TEXT(DATEVALUE($D824&amp;"-01"), "dd-mm-yyyy")),0),0)</f>
        <v>0</v>
      </c>
      <c r="H824" cm="1">
        <f t="array" ref="H824">IF($Q824&gt;=0,IFERROR(generateSalesData($D824, IF(ISNUMBER(_xlfn.XLOOKUP($C824,Phone_by_Sentiment!$B$2:$B$37,Phone_by_Sentiment!H$2:H$37,"",0,1)),_xlfn.XLOOKUP($C824,Phone_by_Sentiment!$B$2:$B$37,Phone_by_Sentiment!H$2:H$37,"",0,1),0),$A824-TEXT(DATEVALUE($D824&amp;"-01"), "dd-mm-yyyy")),0),0)</f>
        <v>0</v>
      </c>
      <c r="I824" cm="1">
        <f t="array" ref="I824">IF($Q824&gt;=0,IFERROR(generateSalesData($D824, IF(ISNUMBER(_xlfn.XLOOKUP($C824,Phone_by_Sentiment!$B$2:$B$37,Phone_by_Sentiment!I$2:I$37,"",0,1)),_xlfn.XLOOKUP($C824,Phone_by_Sentiment!$B$2:$B$37,Phone_by_Sentiment!I$2:I$37,"",0,1),0),$A824-TEXT(DATEVALUE($D824&amp;"-01"), "dd-mm-yyyy")),0),0)</f>
        <v>0</v>
      </c>
      <c r="J824" cm="1">
        <f t="array" ref="J824">IF($Q824&gt;=0,IFERROR(generateSalesData($D824, IF(ISNUMBER(_xlfn.XLOOKUP($C824,Phone_by_Sentiment!$B$2:$B$37,Phone_by_Sentiment!J$2:J$37,"",0,1)),_xlfn.XLOOKUP($C824,Phone_by_Sentiment!$B$2:$B$37,Phone_by_Sentiment!J$2:J$37,"",0,1),0),$A824-TEXT(DATEVALUE($D824&amp;"-01"), "dd-mm-yyyy")),0),0)</f>
        <v>0</v>
      </c>
      <c r="K824" cm="1">
        <f t="array" ref="K824">IF($Q824&gt;=0,IFERROR(generateSalesData($D824, IF(ISNUMBER(_xlfn.XLOOKUP($C824,Phone_by_Sentiment!$B$2:$B$37,Phone_by_Sentiment!K$2:K$37,"",0,1)),_xlfn.XLOOKUP($C824,Phone_by_Sentiment!$B$2:$B$37,Phone_by_Sentiment!K$2:K$37,"",0,1),0),$A824-TEXT(DATEVALUE($D824&amp;"-01"), "dd-mm-yyyy")),0),0)</f>
        <v>0</v>
      </c>
      <c r="L824" cm="1">
        <f t="array" ref="L824">IF($Q824&gt;=0,IFERROR(generateSalesData($D824, IF(ISNUMBER(_xlfn.XLOOKUP($C824,Phone_by_Sentiment!$B$2:$B$37,Phone_by_Sentiment!L$2:L$37,"",0,1)),_xlfn.XLOOKUP($C824,Phone_by_Sentiment!$B$2:$B$37,Phone_by_Sentiment!L$2:L$37,"",0,1),0),$A824-TEXT(DATEVALUE($D824&amp;"-01"), "dd-mm-yyyy")),0),0)</f>
        <v>0</v>
      </c>
      <c r="M824" cm="1">
        <f t="array" ref="M824">IF($Q824&gt;=0,IFERROR(generateSalesData($D824, IF(ISNUMBER(_xlfn.XLOOKUP($C824,Phone_by_Sentiment!$B$2:$B$37,Phone_by_Sentiment!M$2:M$37,"",0,1)),_xlfn.XLOOKUP($C824,Phone_by_Sentiment!$B$2:$B$37,Phone_by_Sentiment!M$2:M$37,"",0,1),0),$A824-TEXT(DATEVALUE($D824&amp;"-01"), "dd-mm-yyyy")),0),0)</f>
        <v>0</v>
      </c>
      <c r="N824" cm="1">
        <f t="array" ref="N824">IF($Q824&gt;=0,IFERROR(generateSalesData($D824, IF(ISNUMBER(_xlfn.XLOOKUP($C824,Phone_by_Sentiment!$B$2:$B$37,Phone_by_Sentiment!N$2:N$37,"",0,1)),_xlfn.XLOOKUP($C824,Phone_by_Sentiment!$B$2:$B$37,Phone_by_Sentiment!N$2:N$37,"",0,1),0),$A824-TEXT(DATEVALUE($D824&amp;"-01"), "dd-mm-yyyy")),0),0)</f>
        <v>0</v>
      </c>
      <c r="O824" cm="1">
        <f t="array" ref="O824">IF($Q824&gt;=0,IFERROR(generateSalesData($D824, IF(ISNUMBER(_xlfn.XLOOKUP($C824,Phone_by_Sentiment!$B$2:$B$37,Phone_by_Sentiment!O$2:O$37,"",0,1)),_xlfn.XLOOKUP($C824,Phone_by_Sentiment!$B$2:$B$37,Phone_by_Sentiment!O$2:O$37,"",0,1),0),$A824-TEXT(DATEVALUE($D824&amp;"-01"), "dd-mm-yyyy")),0),0)</f>
        <v>0</v>
      </c>
      <c r="P824" s="1">
        <f t="shared" si="32"/>
        <v>44317</v>
      </c>
      <c r="Q824">
        <f t="shared" si="33"/>
        <v>-151</v>
      </c>
    </row>
    <row r="825" spans="1:17" x14ac:dyDescent="0.25">
      <c r="A825" s="1">
        <f t="shared" si="27"/>
        <v>44166</v>
      </c>
      <c r="B825" t="s">
        <v>172</v>
      </c>
      <c r="C825" t="str">
        <f>_xlfn.XLOOKUP(B825,Phone_by_Price!$A$2:$A$34,Phone_by_Price!$B$2:$B$34,"-",0,1)</f>
        <v>Xiaomi Redmi 9</v>
      </c>
      <c r="D825" t="str">
        <f>_xlfn.XLOOKUP(C825,Phone_by_Sentiment!$B$2:$B$37,Phone_by_Sentiment!$A$2:$A$37,"-",0,1)</f>
        <v>2020-08</v>
      </c>
      <c r="E825" cm="1">
        <f t="array" ref="E825">IF($Q825&gt;=0,IFERROR(generateSalesData($D825, IF(ISNUMBER(_xlfn.XLOOKUP($C825,Phone_by_Sentiment!$B$2:$B$37,Phone_by_Sentiment!E$2:E$37,"",0,1)),_xlfn.XLOOKUP($C825,Phone_by_Sentiment!$B$2:$B$37,Phone_by_Sentiment!E$2:E$37,"",0,1),0),$A825-TEXT(DATEVALUE($D825&amp;"-01"), "dd-mm-yyyy")),0),0)</f>
        <v>312</v>
      </c>
      <c r="F825" cm="1">
        <f t="array" ref="F825">IF($Q825&gt;=0,IFERROR(generateSalesData($D825, IF(ISNUMBER(_xlfn.XLOOKUP($C825,Phone_by_Sentiment!$B$2:$B$37,Phone_by_Sentiment!F$2:F$37,"",0,1)),_xlfn.XLOOKUP($C825,Phone_by_Sentiment!$B$2:$B$37,Phone_by_Sentiment!F$2:F$37,"",0,1),0),$A825-TEXT(DATEVALUE($D825&amp;"-01"), "dd-mm-yyyy")),0),0)</f>
        <v>509</v>
      </c>
      <c r="G825" cm="1">
        <f t="array" ref="G825">IF($Q825&gt;=0,IFERROR(generateSalesData($D825, IF(ISNUMBER(_xlfn.XLOOKUP($C825,Phone_by_Sentiment!$B$2:$B$37,Phone_by_Sentiment!G$2:G$37,"",0,1)),_xlfn.XLOOKUP($C825,Phone_by_Sentiment!$B$2:$B$37,Phone_by_Sentiment!G$2:G$37,"",0,1),0),$A825-TEXT(DATEVALUE($D825&amp;"-01"), "dd-mm-yyyy")),0),0)</f>
        <v>535</v>
      </c>
      <c r="H825" cm="1">
        <f t="array" ref="H825">IF($Q825&gt;=0,IFERROR(generateSalesData($D825, IF(ISNUMBER(_xlfn.XLOOKUP($C825,Phone_by_Sentiment!$B$2:$B$37,Phone_by_Sentiment!H$2:H$37,"",0,1)),_xlfn.XLOOKUP($C825,Phone_by_Sentiment!$B$2:$B$37,Phone_by_Sentiment!H$2:H$37,"",0,1),0),$A825-TEXT(DATEVALUE($D825&amp;"-01"), "dd-mm-yyyy")),0),0)</f>
        <v>3327</v>
      </c>
      <c r="I825" cm="1">
        <f t="array" ref="I825">IF($Q825&gt;=0,IFERROR(generateSalesData($D825, IF(ISNUMBER(_xlfn.XLOOKUP($C825,Phone_by_Sentiment!$B$2:$B$37,Phone_by_Sentiment!I$2:I$37,"",0,1)),_xlfn.XLOOKUP($C825,Phone_by_Sentiment!$B$2:$B$37,Phone_by_Sentiment!I$2:I$37,"",0,1),0),$A825-TEXT(DATEVALUE($D825&amp;"-01"), "dd-mm-yyyy")),0),0)</f>
        <v>630</v>
      </c>
      <c r="J825" cm="1">
        <f t="array" ref="J825">IF($Q825&gt;=0,IFERROR(generateSalesData($D825, IF(ISNUMBER(_xlfn.XLOOKUP($C825,Phone_by_Sentiment!$B$2:$B$37,Phone_by_Sentiment!J$2:J$37,"",0,1)),_xlfn.XLOOKUP($C825,Phone_by_Sentiment!$B$2:$B$37,Phone_by_Sentiment!J$2:J$37,"",0,1),0),$A825-TEXT(DATEVALUE($D825&amp;"-01"), "dd-mm-yyyy")),0),0)</f>
        <v>562</v>
      </c>
      <c r="K825" cm="1">
        <f t="array" ref="K825">IF($Q825&gt;=0,IFERROR(generateSalesData($D825, IF(ISNUMBER(_xlfn.XLOOKUP($C825,Phone_by_Sentiment!$B$2:$B$37,Phone_by_Sentiment!K$2:K$37,"",0,1)),_xlfn.XLOOKUP($C825,Phone_by_Sentiment!$B$2:$B$37,Phone_by_Sentiment!K$2:K$37,"",0,1),0),$A825-TEXT(DATEVALUE($D825&amp;"-01"), "dd-mm-yyyy")),0),0)</f>
        <v>1005</v>
      </c>
      <c r="L825" cm="1">
        <f t="array" ref="L825">IF($Q825&gt;=0,IFERROR(generateSalesData($D825, IF(ISNUMBER(_xlfn.XLOOKUP($C825,Phone_by_Sentiment!$B$2:$B$37,Phone_by_Sentiment!L$2:L$37,"",0,1)),_xlfn.XLOOKUP($C825,Phone_by_Sentiment!$B$2:$B$37,Phone_by_Sentiment!L$2:L$37,"",0,1),0),$A825-TEXT(DATEVALUE($D825&amp;"-01"), "dd-mm-yyyy")),0),0)</f>
        <v>233</v>
      </c>
      <c r="M825" cm="1">
        <f t="array" ref="M825">IF($Q825&gt;=0,IFERROR(generateSalesData($D825, IF(ISNUMBER(_xlfn.XLOOKUP($C825,Phone_by_Sentiment!$B$2:$B$37,Phone_by_Sentiment!M$2:M$37,"",0,1)),_xlfn.XLOOKUP($C825,Phone_by_Sentiment!$B$2:$B$37,Phone_by_Sentiment!M$2:M$37,"",0,1),0),$A825-TEXT(DATEVALUE($D825&amp;"-01"), "dd-mm-yyyy")),0),0)</f>
        <v>3479</v>
      </c>
      <c r="N825" cm="1">
        <f t="array" ref="N825">IF($Q825&gt;=0,IFERROR(generateSalesData($D825, IF(ISNUMBER(_xlfn.XLOOKUP($C825,Phone_by_Sentiment!$B$2:$B$37,Phone_by_Sentiment!N$2:N$37,"",0,1)),_xlfn.XLOOKUP($C825,Phone_by_Sentiment!$B$2:$B$37,Phone_by_Sentiment!N$2:N$37,"",0,1),0),$A825-TEXT(DATEVALUE($D825&amp;"-01"), "dd-mm-yyyy")),0),0)</f>
        <v>213</v>
      </c>
      <c r="O825" cm="1">
        <f t="array" ref="O825">IF($Q825&gt;=0,IFERROR(generateSalesData($D825, IF(ISNUMBER(_xlfn.XLOOKUP($C825,Phone_by_Sentiment!$B$2:$B$37,Phone_by_Sentiment!O$2:O$37,"",0,1)),_xlfn.XLOOKUP($C825,Phone_by_Sentiment!$B$2:$B$37,Phone_by_Sentiment!O$2:O$37,"",0,1),0),$A825-TEXT(DATEVALUE($D825&amp;"-01"), "dd-mm-yyyy")),0),0)</f>
        <v>1207</v>
      </c>
      <c r="P825" s="1">
        <f t="shared" si="32"/>
        <v>44044</v>
      </c>
      <c r="Q825">
        <f t="shared" si="33"/>
        <v>122</v>
      </c>
    </row>
    <row r="826" spans="1:17" x14ac:dyDescent="0.25">
      <c r="A826" s="1">
        <f t="shared" si="27"/>
        <v>44166</v>
      </c>
      <c r="B826" t="s">
        <v>173</v>
      </c>
      <c r="C826" t="str">
        <f>_xlfn.XLOOKUP(B826,Phone_by_Price!$A$2:$A$34,Phone_by_Price!$B$2:$B$34,"-",0,1)</f>
        <v>Realme C3</v>
      </c>
      <c r="D826" t="str">
        <f>_xlfn.XLOOKUP(C826,Phone_by_Sentiment!$B$2:$B$37,Phone_by_Sentiment!$A$2:$A$37,"-",0,1)</f>
        <v>2020-02</v>
      </c>
      <c r="E826" cm="1">
        <f t="array" ref="E826">IF($Q826&gt;=0,IFERROR(generateSalesData($D826, IF(ISNUMBER(_xlfn.XLOOKUP($C826,Phone_by_Sentiment!$B$2:$B$37,Phone_by_Sentiment!E$2:E$37,"",0,1)),_xlfn.XLOOKUP($C826,Phone_by_Sentiment!$B$2:$B$37,Phone_by_Sentiment!E$2:E$37,"",0,1),0),$A826-TEXT(DATEVALUE($D826&amp;"-01"), "dd-mm-yyyy")),0),0)</f>
        <v>129</v>
      </c>
      <c r="F826" cm="1">
        <f t="array" ref="F826">IF($Q826&gt;=0,IFERROR(generateSalesData($D826, IF(ISNUMBER(_xlfn.XLOOKUP($C826,Phone_by_Sentiment!$B$2:$B$37,Phone_by_Sentiment!F$2:F$37,"",0,1)),_xlfn.XLOOKUP($C826,Phone_by_Sentiment!$B$2:$B$37,Phone_by_Sentiment!F$2:F$37,"",0,1),0),$A826-TEXT(DATEVALUE($D826&amp;"-01"), "dd-mm-yyyy")),0),0)</f>
        <v>226</v>
      </c>
      <c r="G826" cm="1">
        <f t="array" ref="G826">IF($Q826&gt;=0,IFERROR(generateSalesData($D826, IF(ISNUMBER(_xlfn.XLOOKUP($C826,Phone_by_Sentiment!$B$2:$B$37,Phone_by_Sentiment!G$2:G$37,"",0,1)),_xlfn.XLOOKUP($C826,Phone_by_Sentiment!$B$2:$B$37,Phone_by_Sentiment!G$2:G$37,"",0,1),0),$A826-TEXT(DATEVALUE($D826&amp;"-01"), "dd-mm-yyyy")),0),0)</f>
        <v>192</v>
      </c>
      <c r="H826" cm="1">
        <f t="array" ref="H826">IF($Q826&gt;=0,IFERROR(generateSalesData($D826, IF(ISNUMBER(_xlfn.XLOOKUP($C826,Phone_by_Sentiment!$B$2:$B$37,Phone_by_Sentiment!H$2:H$37,"",0,1)),_xlfn.XLOOKUP($C826,Phone_by_Sentiment!$B$2:$B$37,Phone_by_Sentiment!H$2:H$37,"",0,1),0),$A826-TEXT(DATEVALUE($D826&amp;"-01"), "dd-mm-yyyy")),0),0)</f>
        <v>743</v>
      </c>
      <c r="I826" cm="1">
        <f t="array" ref="I826">IF($Q826&gt;=0,IFERROR(generateSalesData($D826, IF(ISNUMBER(_xlfn.XLOOKUP($C826,Phone_by_Sentiment!$B$2:$B$37,Phone_by_Sentiment!I$2:I$37,"",0,1)),_xlfn.XLOOKUP($C826,Phone_by_Sentiment!$B$2:$B$37,Phone_by_Sentiment!I$2:I$37,"",0,1),0),$A826-TEXT(DATEVALUE($D826&amp;"-01"), "dd-mm-yyyy")),0),0)</f>
        <v>460</v>
      </c>
      <c r="J826" cm="1">
        <f t="array" ref="J826">IF($Q826&gt;=0,IFERROR(generateSalesData($D826, IF(ISNUMBER(_xlfn.XLOOKUP($C826,Phone_by_Sentiment!$B$2:$B$37,Phone_by_Sentiment!J$2:J$37,"",0,1)),_xlfn.XLOOKUP($C826,Phone_by_Sentiment!$B$2:$B$37,Phone_by_Sentiment!J$2:J$37,"",0,1),0),$A826-TEXT(DATEVALUE($D826&amp;"-01"), "dd-mm-yyyy")),0),0)</f>
        <v>288</v>
      </c>
      <c r="K826" cm="1">
        <f t="array" ref="K826">IF($Q826&gt;=0,IFERROR(generateSalesData($D826, IF(ISNUMBER(_xlfn.XLOOKUP($C826,Phone_by_Sentiment!$B$2:$B$37,Phone_by_Sentiment!K$2:K$37,"",0,1)),_xlfn.XLOOKUP($C826,Phone_by_Sentiment!$B$2:$B$37,Phone_by_Sentiment!K$2:K$37,"",0,1),0),$A826-TEXT(DATEVALUE($D826&amp;"-01"), "dd-mm-yyyy")),0),0)</f>
        <v>407</v>
      </c>
      <c r="L826" cm="1">
        <f t="array" ref="L826">IF($Q826&gt;=0,IFERROR(generateSalesData($D826, IF(ISNUMBER(_xlfn.XLOOKUP($C826,Phone_by_Sentiment!$B$2:$B$37,Phone_by_Sentiment!L$2:L$37,"",0,1)),_xlfn.XLOOKUP($C826,Phone_by_Sentiment!$B$2:$B$37,Phone_by_Sentiment!L$2:L$37,"",0,1),0),$A826-TEXT(DATEVALUE($D826&amp;"-01"), "dd-mm-yyyy")),0),0)</f>
        <v>908</v>
      </c>
      <c r="M826" cm="1">
        <f t="array" ref="M826">IF($Q826&gt;=0,IFERROR(generateSalesData($D826, IF(ISNUMBER(_xlfn.XLOOKUP($C826,Phone_by_Sentiment!$B$2:$B$37,Phone_by_Sentiment!M$2:M$37,"",0,1)),_xlfn.XLOOKUP($C826,Phone_by_Sentiment!$B$2:$B$37,Phone_by_Sentiment!M$2:M$37,"",0,1),0),$A826-TEXT(DATEVALUE($D826&amp;"-01"), "dd-mm-yyyy")),0),0)</f>
        <v>261</v>
      </c>
      <c r="N826" cm="1">
        <f t="array" ref="N826">IF($Q826&gt;=0,IFERROR(generateSalesData($D826, IF(ISNUMBER(_xlfn.XLOOKUP($C826,Phone_by_Sentiment!$B$2:$B$37,Phone_by_Sentiment!N$2:N$37,"",0,1)),_xlfn.XLOOKUP($C826,Phone_by_Sentiment!$B$2:$B$37,Phone_by_Sentiment!N$2:N$37,"",0,1),0),$A826-TEXT(DATEVALUE($D826&amp;"-01"), "dd-mm-yyyy")),0),0)</f>
        <v>1076</v>
      </c>
      <c r="O826" cm="1">
        <f t="array" ref="O826">IF($Q826&gt;=0,IFERROR(generateSalesData($D826, IF(ISNUMBER(_xlfn.XLOOKUP($C826,Phone_by_Sentiment!$B$2:$B$37,Phone_by_Sentiment!O$2:O$37,"",0,1)),_xlfn.XLOOKUP($C826,Phone_by_Sentiment!$B$2:$B$37,Phone_by_Sentiment!O$2:O$37,"",0,1),0),$A826-TEXT(DATEVALUE($D826&amp;"-01"), "dd-mm-yyyy")),0),0)</f>
        <v>292</v>
      </c>
      <c r="P826" s="1">
        <f t="shared" si="32"/>
        <v>43862</v>
      </c>
      <c r="Q826">
        <f t="shared" si="33"/>
        <v>304</v>
      </c>
    </row>
    <row r="827" spans="1:17" x14ac:dyDescent="0.25">
      <c r="A827" s="1">
        <f t="shared" si="27"/>
        <v>44166</v>
      </c>
      <c r="B827" t="s">
        <v>174</v>
      </c>
      <c r="C827" t="str">
        <f>_xlfn.XLOOKUP(B827,Phone_by_Price!$A$2:$A$34,Phone_by_Price!$B$2:$B$34,"-",0,1)</f>
        <v>Samsung Galaxy A7</v>
      </c>
      <c r="D827" t="str">
        <f>_xlfn.XLOOKUP(C827,Phone_by_Sentiment!$B$2:$B$37,Phone_by_Sentiment!$A$2:$A$37,"-",0,1)</f>
        <v>2018-10</v>
      </c>
      <c r="E827" cm="1">
        <f t="array" ref="E827">IF($Q827&gt;=0,IFERROR(generateSalesData($D827, IF(ISNUMBER(_xlfn.XLOOKUP($C827,Phone_by_Sentiment!$B$2:$B$37,Phone_by_Sentiment!E$2:E$37,"",0,1)),_xlfn.XLOOKUP($C827,Phone_by_Sentiment!$B$2:$B$37,Phone_by_Sentiment!E$2:E$37,"",0,1),0),$A827-TEXT(DATEVALUE($D827&amp;"-01"), "dd-mm-yyyy")),0),0)</f>
        <v>111</v>
      </c>
      <c r="F827" cm="1">
        <f t="array" ref="F827">IF($Q827&gt;=0,IFERROR(generateSalesData($D827, IF(ISNUMBER(_xlfn.XLOOKUP($C827,Phone_by_Sentiment!$B$2:$B$37,Phone_by_Sentiment!F$2:F$37,"",0,1)),_xlfn.XLOOKUP($C827,Phone_by_Sentiment!$B$2:$B$37,Phone_by_Sentiment!F$2:F$37,"",0,1),0),$A827-TEXT(DATEVALUE($D827&amp;"-01"), "dd-mm-yyyy")),0),0)</f>
        <v>11</v>
      </c>
      <c r="G827" cm="1">
        <f t="array" ref="G827">IF($Q827&gt;=0,IFERROR(generateSalesData($D827, IF(ISNUMBER(_xlfn.XLOOKUP($C827,Phone_by_Sentiment!$B$2:$B$37,Phone_by_Sentiment!G$2:G$37,"",0,1)),_xlfn.XLOOKUP($C827,Phone_by_Sentiment!$B$2:$B$37,Phone_by_Sentiment!G$2:G$37,"",0,1),0),$A827-TEXT(DATEVALUE($D827&amp;"-01"), "dd-mm-yyyy")),0),0)</f>
        <v>69</v>
      </c>
      <c r="H827" cm="1">
        <f t="array" ref="H827">IF($Q827&gt;=0,IFERROR(generateSalesData($D827, IF(ISNUMBER(_xlfn.XLOOKUP($C827,Phone_by_Sentiment!$B$2:$B$37,Phone_by_Sentiment!H$2:H$37,"",0,1)),_xlfn.XLOOKUP($C827,Phone_by_Sentiment!$B$2:$B$37,Phone_by_Sentiment!H$2:H$37,"",0,1),0),$A827-TEXT(DATEVALUE($D827&amp;"-01"), "dd-mm-yyyy")),0),0)</f>
        <v>76</v>
      </c>
      <c r="I827" cm="1">
        <f t="array" ref="I827">IF($Q827&gt;=0,IFERROR(generateSalesData($D827, IF(ISNUMBER(_xlfn.XLOOKUP($C827,Phone_by_Sentiment!$B$2:$B$37,Phone_by_Sentiment!I$2:I$37,"",0,1)),_xlfn.XLOOKUP($C827,Phone_by_Sentiment!$B$2:$B$37,Phone_by_Sentiment!I$2:I$37,"",0,1),0),$A827-TEXT(DATEVALUE($D827&amp;"-01"), "dd-mm-yyyy")),0),0)</f>
        <v>237</v>
      </c>
      <c r="J827" cm="1">
        <f t="array" ref="J827">IF($Q827&gt;=0,IFERROR(generateSalesData($D827, IF(ISNUMBER(_xlfn.XLOOKUP($C827,Phone_by_Sentiment!$B$2:$B$37,Phone_by_Sentiment!J$2:J$37,"",0,1)),_xlfn.XLOOKUP($C827,Phone_by_Sentiment!$B$2:$B$37,Phone_by_Sentiment!J$2:J$37,"",0,1),0),$A827-TEXT(DATEVALUE($D827&amp;"-01"), "dd-mm-yyyy")),0),0)</f>
        <v>51</v>
      </c>
      <c r="K827" cm="1">
        <f t="array" ref="K827">IF($Q827&gt;=0,IFERROR(generateSalesData($D827, IF(ISNUMBER(_xlfn.XLOOKUP($C827,Phone_by_Sentiment!$B$2:$B$37,Phone_by_Sentiment!K$2:K$37,"",0,1)),_xlfn.XLOOKUP($C827,Phone_by_Sentiment!$B$2:$B$37,Phone_by_Sentiment!K$2:K$37,"",0,1),0),$A827-TEXT(DATEVALUE($D827&amp;"-01"), "dd-mm-yyyy")),0),0)</f>
        <v>80</v>
      </c>
      <c r="L827" cm="1">
        <f t="array" ref="L827">IF($Q827&gt;=0,IFERROR(generateSalesData($D827, IF(ISNUMBER(_xlfn.XLOOKUP($C827,Phone_by_Sentiment!$B$2:$B$37,Phone_by_Sentiment!L$2:L$37,"",0,1)),_xlfn.XLOOKUP($C827,Phone_by_Sentiment!$B$2:$B$37,Phone_by_Sentiment!L$2:L$37,"",0,1),0),$A827-TEXT(DATEVALUE($D827&amp;"-01"), "dd-mm-yyyy")),0),0)</f>
        <v>72</v>
      </c>
      <c r="M827" cm="1">
        <f t="array" ref="M827">IF($Q827&gt;=0,IFERROR(generateSalesData($D827, IF(ISNUMBER(_xlfn.XLOOKUP($C827,Phone_by_Sentiment!$B$2:$B$37,Phone_by_Sentiment!M$2:M$37,"",0,1)),_xlfn.XLOOKUP($C827,Phone_by_Sentiment!$B$2:$B$37,Phone_by_Sentiment!M$2:M$37,"",0,1),0),$A827-TEXT(DATEVALUE($D827&amp;"-01"), "dd-mm-yyyy")),0),0)</f>
        <v>409</v>
      </c>
      <c r="N827" cm="1">
        <f t="array" ref="N827">IF($Q827&gt;=0,IFERROR(generateSalesData($D827, IF(ISNUMBER(_xlfn.XLOOKUP($C827,Phone_by_Sentiment!$B$2:$B$37,Phone_by_Sentiment!N$2:N$37,"",0,1)),_xlfn.XLOOKUP($C827,Phone_by_Sentiment!$B$2:$B$37,Phone_by_Sentiment!N$2:N$37,"",0,1),0),$A827-TEXT(DATEVALUE($D827&amp;"-01"), "dd-mm-yyyy")),0),0)</f>
        <v>346</v>
      </c>
      <c r="O827" cm="1">
        <f t="array" ref="O827">IF($Q827&gt;=0,IFERROR(generateSalesData($D827, IF(ISNUMBER(_xlfn.XLOOKUP($C827,Phone_by_Sentiment!$B$2:$B$37,Phone_by_Sentiment!O$2:O$37,"",0,1)),_xlfn.XLOOKUP($C827,Phone_by_Sentiment!$B$2:$B$37,Phone_by_Sentiment!O$2:O$37,"",0,1),0),$A827-TEXT(DATEVALUE($D827&amp;"-01"), "dd-mm-yyyy")),0),0)</f>
        <v>74</v>
      </c>
      <c r="P827" s="1">
        <f t="shared" si="32"/>
        <v>43374</v>
      </c>
      <c r="Q827">
        <f t="shared" si="33"/>
        <v>792</v>
      </c>
    </row>
    <row r="828" spans="1:17" x14ac:dyDescent="0.25">
      <c r="A828" s="1">
        <f t="shared" si="27"/>
        <v>44166</v>
      </c>
      <c r="B828" t="s">
        <v>142</v>
      </c>
      <c r="C828" t="str">
        <f>_xlfn.XLOOKUP(B828,Phone_by_Price!$A$2:$A$34,Phone_by_Price!$B$2:$B$34,"-",0,1)</f>
        <v>iPhone 11</v>
      </c>
      <c r="D828" t="str">
        <f>_xlfn.XLOOKUP(C828,Phone_by_Sentiment!$B$2:$B$37,Phone_by_Sentiment!$A$2:$A$37,"-",0,1)</f>
        <v>2019-09</v>
      </c>
      <c r="E828" cm="1">
        <f t="array" ref="E828">IF($Q828&gt;=0,IFERROR(generateSalesData($D828, IF(ISNUMBER(_xlfn.XLOOKUP($C828,Phone_by_Sentiment!$B$2:$B$37,Phone_by_Sentiment!E$2:E$37,"",0,1)),_xlfn.XLOOKUP($C828,Phone_by_Sentiment!$B$2:$B$37,Phone_by_Sentiment!E$2:E$37,"",0,1),0),$A828-TEXT(DATEVALUE($D828&amp;"-01"), "dd-mm-yyyy")),0),0)</f>
        <v>447</v>
      </c>
      <c r="F828" cm="1">
        <f t="array" ref="F828">IF($Q828&gt;=0,IFERROR(generateSalesData($D828, IF(ISNUMBER(_xlfn.XLOOKUP($C828,Phone_by_Sentiment!$B$2:$B$37,Phone_by_Sentiment!F$2:F$37,"",0,1)),_xlfn.XLOOKUP($C828,Phone_by_Sentiment!$B$2:$B$37,Phone_by_Sentiment!F$2:F$37,"",0,1),0),$A828-TEXT(DATEVALUE($D828&amp;"-01"), "dd-mm-yyyy")),0),0)</f>
        <v>1033</v>
      </c>
      <c r="G828" cm="1">
        <f t="array" ref="G828">IF($Q828&gt;=0,IFERROR(generateSalesData($D828, IF(ISNUMBER(_xlfn.XLOOKUP($C828,Phone_by_Sentiment!$B$2:$B$37,Phone_by_Sentiment!G$2:G$37,"",0,1)),_xlfn.XLOOKUP($C828,Phone_by_Sentiment!$B$2:$B$37,Phone_by_Sentiment!G$2:G$37,"",0,1),0),$A828-TEXT(DATEVALUE($D828&amp;"-01"), "dd-mm-yyyy")),0),0)</f>
        <v>123</v>
      </c>
      <c r="H828" cm="1">
        <f t="array" ref="H828">IF($Q828&gt;=0,IFERROR(generateSalesData($D828, IF(ISNUMBER(_xlfn.XLOOKUP($C828,Phone_by_Sentiment!$B$2:$B$37,Phone_by_Sentiment!H$2:H$37,"",0,1)),_xlfn.XLOOKUP($C828,Phone_by_Sentiment!$B$2:$B$37,Phone_by_Sentiment!H$2:H$37,"",0,1),0),$A828-TEXT(DATEVALUE($D828&amp;"-01"), "dd-mm-yyyy")),0),0)</f>
        <v>981</v>
      </c>
      <c r="I828" cm="1">
        <f t="array" ref="I828">IF($Q828&gt;=0,IFERROR(generateSalesData($D828, IF(ISNUMBER(_xlfn.XLOOKUP($C828,Phone_by_Sentiment!$B$2:$B$37,Phone_by_Sentiment!I$2:I$37,"",0,1)),_xlfn.XLOOKUP($C828,Phone_by_Sentiment!$B$2:$B$37,Phone_by_Sentiment!I$2:I$37,"",0,1),0),$A828-TEXT(DATEVALUE($D828&amp;"-01"), "dd-mm-yyyy")),0),0)</f>
        <v>65</v>
      </c>
      <c r="J828" cm="1">
        <f t="array" ref="J828">IF($Q828&gt;=0,IFERROR(generateSalesData($D828, IF(ISNUMBER(_xlfn.XLOOKUP($C828,Phone_by_Sentiment!$B$2:$B$37,Phone_by_Sentiment!J$2:J$37,"",0,1)),_xlfn.XLOOKUP($C828,Phone_by_Sentiment!$B$2:$B$37,Phone_by_Sentiment!J$2:J$37,"",0,1),0),$A828-TEXT(DATEVALUE($D828&amp;"-01"), "dd-mm-yyyy")),0),0)</f>
        <v>562</v>
      </c>
      <c r="K828" cm="1">
        <f t="array" ref="K828">IF($Q828&gt;=0,IFERROR(generateSalesData($D828, IF(ISNUMBER(_xlfn.XLOOKUP($C828,Phone_by_Sentiment!$B$2:$B$37,Phone_by_Sentiment!K$2:K$37,"",0,1)),_xlfn.XLOOKUP($C828,Phone_by_Sentiment!$B$2:$B$37,Phone_by_Sentiment!K$2:K$37,"",0,1),0),$A828-TEXT(DATEVALUE($D828&amp;"-01"), "dd-mm-yyyy")),0),0)</f>
        <v>74</v>
      </c>
      <c r="L828" cm="1">
        <f t="array" ref="L828">IF($Q828&gt;=0,IFERROR(generateSalesData($D828, IF(ISNUMBER(_xlfn.XLOOKUP($C828,Phone_by_Sentiment!$B$2:$B$37,Phone_by_Sentiment!L$2:L$37,"",0,1)),_xlfn.XLOOKUP($C828,Phone_by_Sentiment!$B$2:$B$37,Phone_by_Sentiment!L$2:L$37,"",0,1),0),$A828-TEXT(DATEVALUE($D828&amp;"-01"), "dd-mm-yyyy")),0),0)</f>
        <v>586</v>
      </c>
      <c r="M828" cm="1">
        <f t="array" ref="M828">IF($Q828&gt;=0,IFERROR(generateSalesData($D828, IF(ISNUMBER(_xlfn.XLOOKUP($C828,Phone_by_Sentiment!$B$2:$B$37,Phone_by_Sentiment!M$2:M$37,"",0,1)),_xlfn.XLOOKUP($C828,Phone_by_Sentiment!$B$2:$B$37,Phone_by_Sentiment!M$2:M$37,"",0,1),0),$A828-TEXT(DATEVALUE($D828&amp;"-01"), "dd-mm-yyyy")),0),0)</f>
        <v>550</v>
      </c>
      <c r="N828" cm="1">
        <f t="array" ref="N828">IF($Q828&gt;=0,IFERROR(generateSalesData($D828, IF(ISNUMBER(_xlfn.XLOOKUP($C828,Phone_by_Sentiment!$B$2:$B$37,Phone_by_Sentiment!N$2:N$37,"",0,1)),_xlfn.XLOOKUP($C828,Phone_by_Sentiment!$B$2:$B$37,Phone_by_Sentiment!N$2:N$37,"",0,1),0),$A828-TEXT(DATEVALUE($D828&amp;"-01"), "dd-mm-yyyy")),0),0)</f>
        <v>439</v>
      </c>
      <c r="O828" cm="1">
        <f t="array" ref="O828">IF($Q828&gt;=0,IFERROR(generateSalesData($D828, IF(ISNUMBER(_xlfn.XLOOKUP($C828,Phone_by_Sentiment!$B$2:$B$37,Phone_by_Sentiment!O$2:O$37,"",0,1)),_xlfn.XLOOKUP($C828,Phone_by_Sentiment!$B$2:$B$37,Phone_by_Sentiment!O$2:O$37,"",0,1),0),$A828-TEXT(DATEVALUE($D828&amp;"-01"), "dd-mm-yyyy")),0),0)</f>
        <v>288</v>
      </c>
      <c r="P828" s="1">
        <f t="shared" si="32"/>
        <v>43709</v>
      </c>
      <c r="Q828">
        <f t="shared" si="33"/>
        <v>457</v>
      </c>
    </row>
    <row r="829" spans="1:17" x14ac:dyDescent="0.25">
      <c r="A829" s="1">
        <f t="shared" si="27"/>
        <v>44166</v>
      </c>
      <c r="B829" t="s">
        <v>143</v>
      </c>
      <c r="C829" t="str">
        <f>_xlfn.XLOOKUP(B829,Phone_by_Price!$A$2:$A$34,Phone_by_Price!$B$2:$B$34,"-",0,1)</f>
        <v>Samsung Galaxy S20 Ultra</v>
      </c>
      <c r="D829" t="str">
        <f>_xlfn.XLOOKUP(C829,Phone_by_Sentiment!$B$2:$B$37,Phone_by_Sentiment!$A$2:$A$37,"-",0,1)</f>
        <v>2020-02</v>
      </c>
      <c r="E829" cm="1">
        <f t="array" ref="E829">IF($Q829&gt;=0,IFERROR(generateSalesData($D829, IF(ISNUMBER(_xlfn.XLOOKUP($C829,Phone_by_Sentiment!$B$2:$B$37,Phone_by_Sentiment!E$2:E$37,"",0,1)),_xlfn.XLOOKUP($C829,Phone_by_Sentiment!$B$2:$B$37,Phone_by_Sentiment!E$2:E$37,"",0,1),0),$A829-TEXT(DATEVALUE($D829&amp;"-01"), "dd-mm-yyyy")),0),0)</f>
        <v>717</v>
      </c>
      <c r="F829" cm="1">
        <f t="array" ref="F829">IF($Q829&gt;=0,IFERROR(generateSalesData($D829, IF(ISNUMBER(_xlfn.XLOOKUP($C829,Phone_by_Sentiment!$B$2:$B$37,Phone_by_Sentiment!F$2:F$37,"",0,1)),_xlfn.XLOOKUP($C829,Phone_by_Sentiment!$B$2:$B$37,Phone_by_Sentiment!F$2:F$37,"",0,1),0),$A829-TEXT(DATEVALUE($D829&amp;"-01"), "dd-mm-yyyy")),0),0)</f>
        <v>737</v>
      </c>
      <c r="G829" cm="1">
        <f t="array" ref="G829">IF($Q829&gt;=0,IFERROR(generateSalesData($D829, IF(ISNUMBER(_xlfn.XLOOKUP($C829,Phone_by_Sentiment!$B$2:$B$37,Phone_by_Sentiment!G$2:G$37,"",0,1)),_xlfn.XLOOKUP($C829,Phone_by_Sentiment!$B$2:$B$37,Phone_by_Sentiment!G$2:G$37,"",0,1),0),$A829-TEXT(DATEVALUE($D829&amp;"-01"), "dd-mm-yyyy")),0),0)</f>
        <v>103</v>
      </c>
      <c r="H829" cm="1">
        <f t="array" ref="H829">IF($Q829&gt;=0,IFERROR(generateSalesData($D829, IF(ISNUMBER(_xlfn.XLOOKUP($C829,Phone_by_Sentiment!$B$2:$B$37,Phone_by_Sentiment!H$2:H$37,"",0,1)),_xlfn.XLOOKUP($C829,Phone_by_Sentiment!$B$2:$B$37,Phone_by_Sentiment!H$2:H$37,"",0,1),0),$A829-TEXT(DATEVALUE($D829&amp;"-01"), "dd-mm-yyyy")),0),0)</f>
        <v>1208</v>
      </c>
      <c r="I829" cm="1">
        <f t="array" ref="I829">IF($Q829&gt;=0,IFERROR(generateSalesData($D829, IF(ISNUMBER(_xlfn.XLOOKUP($C829,Phone_by_Sentiment!$B$2:$B$37,Phone_by_Sentiment!I$2:I$37,"",0,1)),_xlfn.XLOOKUP($C829,Phone_by_Sentiment!$B$2:$B$37,Phone_by_Sentiment!I$2:I$37,"",0,1),0),$A829-TEXT(DATEVALUE($D829&amp;"-01"), "dd-mm-yyyy")),0),0)</f>
        <v>681</v>
      </c>
      <c r="J829" cm="1">
        <f t="array" ref="J829">IF($Q829&gt;=0,IFERROR(generateSalesData($D829, IF(ISNUMBER(_xlfn.XLOOKUP($C829,Phone_by_Sentiment!$B$2:$B$37,Phone_by_Sentiment!J$2:J$37,"",0,1)),_xlfn.XLOOKUP($C829,Phone_by_Sentiment!$B$2:$B$37,Phone_by_Sentiment!J$2:J$37,"",0,1),0),$A829-TEXT(DATEVALUE($D829&amp;"-01"), "dd-mm-yyyy")),0),0)</f>
        <v>878</v>
      </c>
      <c r="K829" cm="1">
        <f t="array" ref="K829">IF($Q829&gt;=0,IFERROR(generateSalesData($D829, IF(ISNUMBER(_xlfn.XLOOKUP($C829,Phone_by_Sentiment!$B$2:$B$37,Phone_by_Sentiment!K$2:K$37,"",0,1)),_xlfn.XLOOKUP($C829,Phone_by_Sentiment!$B$2:$B$37,Phone_by_Sentiment!K$2:K$37,"",0,1),0),$A829-TEXT(DATEVALUE($D829&amp;"-01"), "dd-mm-yyyy")),0),0)</f>
        <v>185</v>
      </c>
      <c r="L829" cm="1">
        <f t="array" ref="L829">IF($Q829&gt;=0,IFERROR(generateSalesData($D829, IF(ISNUMBER(_xlfn.XLOOKUP($C829,Phone_by_Sentiment!$B$2:$B$37,Phone_by_Sentiment!L$2:L$37,"",0,1)),_xlfn.XLOOKUP($C829,Phone_by_Sentiment!$B$2:$B$37,Phone_by_Sentiment!L$2:L$37,"",0,1),0),$A829-TEXT(DATEVALUE($D829&amp;"-01"), "dd-mm-yyyy")),0),0)</f>
        <v>520</v>
      </c>
      <c r="M829" cm="1">
        <f t="array" ref="M829">IF($Q829&gt;=0,IFERROR(generateSalesData($D829, IF(ISNUMBER(_xlfn.XLOOKUP($C829,Phone_by_Sentiment!$B$2:$B$37,Phone_by_Sentiment!M$2:M$37,"",0,1)),_xlfn.XLOOKUP($C829,Phone_by_Sentiment!$B$2:$B$37,Phone_by_Sentiment!M$2:M$37,"",0,1),0),$A829-TEXT(DATEVALUE($D829&amp;"-01"), "dd-mm-yyyy")),0),0)</f>
        <v>264</v>
      </c>
      <c r="N829" cm="1">
        <f t="array" ref="N829">IF($Q829&gt;=0,IFERROR(generateSalesData($D829, IF(ISNUMBER(_xlfn.XLOOKUP($C829,Phone_by_Sentiment!$B$2:$B$37,Phone_by_Sentiment!N$2:N$37,"",0,1)),_xlfn.XLOOKUP($C829,Phone_by_Sentiment!$B$2:$B$37,Phone_by_Sentiment!N$2:N$37,"",0,1),0),$A829-TEXT(DATEVALUE($D829&amp;"-01"), "dd-mm-yyyy")),0),0)</f>
        <v>213</v>
      </c>
      <c r="O829" cm="1">
        <f t="array" ref="O829">IF($Q829&gt;=0,IFERROR(generateSalesData($D829, IF(ISNUMBER(_xlfn.XLOOKUP($C829,Phone_by_Sentiment!$B$2:$B$37,Phone_by_Sentiment!O$2:O$37,"",0,1)),_xlfn.XLOOKUP($C829,Phone_by_Sentiment!$B$2:$B$37,Phone_by_Sentiment!O$2:O$37,"",0,1),0),$A829-TEXT(DATEVALUE($D829&amp;"-01"), "dd-mm-yyyy")),0),0)</f>
        <v>267</v>
      </c>
      <c r="P829" s="1">
        <f t="shared" si="32"/>
        <v>43862</v>
      </c>
      <c r="Q829">
        <f t="shared" si="33"/>
        <v>304</v>
      </c>
    </row>
    <row r="830" spans="1:17" x14ac:dyDescent="0.25">
      <c r="A830" s="1">
        <f t="shared" si="27"/>
        <v>44166</v>
      </c>
      <c r="B830" t="s">
        <v>144</v>
      </c>
      <c r="C830" t="str">
        <f>_xlfn.XLOOKUP(B830,Phone_by_Price!$A$2:$A$34,Phone_by_Price!$B$2:$B$34,"-",0,1)</f>
        <v>Xiaomi Redmi Note 10</v>
      </c>
      <c r="D830" t="str">
        <f>_xlfn.XLOOKUP(C830,Phone_by_Sentiment!$B$2:$B$37,Phone_by_Sentiment!$A$2:$A$37,"-",0,1)</f>
        <v>2021-03</v>
      </c>
      <c r="E830" cm="1">
        <f t="array" ref="E830">IF($Q830&gt;=0,IFERROR(generateSalesData($D830, IF(ISNUMBER(_xlfn.XLOOKUP($C830,Phone_by_Sentiment!$B$2:$B$37,Phone_by_Sentiment!E$2:E$37,"",0,1)),_xlfn.XLOOKUP($C830,Phone_by_Sentiment!$B$2:$B$37,Phone_by_Sentiment!E$2:E$37,"",0,1),0),$A830-TEXT(DATEVALUE($D830&amp;"-01"), "dd-mm-yyyy")),0),0)</f>
        <v>0</v>
      </c>
      <c r="F830" cm="1">
        <f t="array" ref="F830">IF($Q830&gt;=0,IFERROR(generateSalesData($D830, IF(ISNUMBER(_xlfn.XLOOKUP($C830,Phone_by_Sentiment!$B$2:$B$37,Phone_by_Sentiment!F$2:F$37,"",0,1)),_xlfn.XLOOKUP($C830,Phone_by_Sentiment!$B$2:$B$37,Phone_by_Sentiment!F$2:F$37,"",0,1),0),$A830-TEXT(DATEVALUE($D830&amp;"-01"), "dd-mm-yyyy")),0),0)</f>
        <v>0</v>
      </c>
      <c r="G830" cm="1">
        <f t="array" ref="G830">IF($Q830&gt;=0,IFERROR(generateSalesData($D830, IF(ISNUMBER(_xlfn.XLOOKUP($C830,Phone_by_Sentiment!$B$2:$B$37,Phone_by_Sentiment!G$2:G$37,"",0,1)),_xlfn.XLOOKUP($C830,Phone_by_Sentiment!$B$2:$B$37,Phone_by_Sentiment!G$2:G$37,"",0,1),0),$A830-TEXT(DATEVALUE($D830&amp;"-01"), "dd-mm-yyyy")),0),0)</f>
        <v>0</v>
      </c>
      <c r="H830" cm="1">
        <f t="array" ref="H830">IF($Q830&gt;=0,IFERROR(generateSalesData($D830, IF(ISNUMBER(_xlfn.XLOOKUP($C830,Phone_by_Sentiment!$B$2:$B$37,Phone_by_Sentiment!H$2:H$37,"",0,1)),_xlfn.XLOOKUP($C830,Phone_by_Sentiment!$B$2:$B$37,Phone_by_Sentiment!H$2:H$37,"",0,1),0),$A830-TEXT(DATEVALUE($D830&amp;"-01"), "dd-mm-yyyy")),0),0)</f>
        <v>0</v>
      </c>
      <c r="I830" cm="1">
        <f t="array" ref="I830">IF($Q830&gt;=0,IFERROR(generateSalesData($D830, IF(ISNUMBER(_xlfn.XLOOKUP($C830,Phone_by_Sentiment!$B$2:$B$37,Phone_by_Sentiment!I$2:I$37,"",0,1)),_xlfn.XLOOKUP($C830,Phone_by_Sentiment!$B$2:$B$37,Phone_by_Sentiment!I$2:I$37,"",0,1),0),$A830-TEXT(DATEVALUE($D830&amp;"-01"), "dd-mm-yyyy")),0),0)</f>
        <v>0</v>
      </c>
      <c r="J830" cm="1">
        <f t="array" ref="J830">IF($Q830&gt;=0,IFERROR(generateSalesData($D830, IF(ISNUMBER(_xlfn.XLOOKUP($C830,Phone_by_Sentiment!$B$2:$B$37,Phone_by_Sentiment!J$2:J$37,"",0,1)),_xlfn.XLOOKUP($C830,Phone_by_Sentiment!$B$2:$B$37,Phone_by_Sentiment!J$2:J$37,"",0,1),0),$A830-TEXT(DATEVALUE($D830&amp;"-01"), "dd-mm-yyyy")),0),0)</f>
        <v>0</v>
      </c>
      <c r="K830" cm="1">
        <f t="array" ref="K830">IF($Q830&gt;=0,IFERROR(generateSalesData($D830, IF(ISNUMBER(_xlfn.XLOOKUP($C830,Phone_by_Sentiment!$B$2:$B$37,Phone_by_Sentiment!K$2:K$37,"",0,1)),_xlfn.XLOOKUP($C830,Phone_by_Sentiment!$B$2:$B$37,Phone_by_Sentiment!K$2:K$37,"",0,1),0),$A830-TEXT(DATEVALUE($D830&amp;"-01"), "dd-mm-yyyy")),0),0)</f>
        <v>0</v>
      </c>
      <c r="L830" cm="1">
        <f t="array" ref="L830">IF($Q830&gt;=0,IFERROR(generateSalesData($D830, IF(ISNUMBER(_xlfn.XLOOKUP($C830,Phone_by_Sentiment!$B$2:$B$37,Phone_by_Sentiment!L$2:L$37,"",0,1)),_xlfn.XLOOKUP($C830,Phone_by_Sentiment!$B$2:$B$37,Phone_by_Sentiment!L$2:L$37,"",0,1),0),$A830-TEXT(DATEVALUE($D830&amp;"-01"), "dd-mm-yyyy")),0),0)</f>
        <v>0</v>
      </c>
      <c r="M830" cm="1">
        <f t="array" ref="M830">IF($Q830&gt;=0,IFERROR(generateSalesData($D830, IF(ISNUMBER(_xlfn.XLOOKUP($C830,Phone_by_Sentiment!$B$2:$B$37,Phone_by_Sentiment!M$2:M$37,"",0,1)),_xlfn.XLOOKUP($C830,Phone_by_Sentiment!$B$2:$B$37,Phone_by_Sentiment!M$2:M$37,"",0,1),0),$A830-TEXT(DATEVALUE($D830&amp;"-01"), "dd-mm-yyyy")),0),0)</f>
        <v>0</v>
      </c>
      <c r="N830" cm="1">
        <f t="array" ref="N830">IF($Q830&gt;=0,IFERROR(generateSalesData($D830, IF(ISNUMBER(_xlfn.XLOOKUP($C830,Phone_by_Sentiment!$B$2:$B$37,Phone_by_Sentiment!N$2:N$37,"",0,1)),_xlfn.XLOOKUP($C830,Phone_by_Sentiment!$B$2:$B$37,Phone_by_Sentiment!N$2:N$37,"",0,1),0),$A830-TEXT(DATEVALUE($D830&amp;"-01"), "dd-mm-yyyy")),0),0)</f>
        <v>0</v>
      </c>
      <c r="O830" cm="1">
        <f t="array" ref="O830">IF($Q830&gt;=0,IFERROR(generateSalesData($D830, IF(ISNUMBER(_xlfn.XLOOKUP($C830,Phone_by_Sentiment!$B$2:$B$37,Phone_by_Sentiment!O$2:O$37,"",0,1)),_xlfn.XLOOKUP($C830,Phone_by_Sentiment!$B$2:$B$37,Phone_by_Sentiment!O$2:O$37,"",0,1),0),$A830-TEXT(DATEVALUE($D830&amp;"-01"), "dd-mm-yyyy")),0),0)</f>
        <v>0</v>
      </c>
      <c r="P830" s="1">
        <f t="shared" si="32"/>
        <v>44256</v>
      </c>
      <c r="Q830">
        <f t="shared" si="33"/>
        <v>-90</v>
      </c>
    </row>
    <row r="831" spans="1:17" x14ac:dyDescent="0.25">
      <c r="A831" s="1">
        <f t="shared" si="27"/>
        <v>44166</v>
      </c>
      <c r="B831" t="s">
        <v>145</v>
      </c>
      <c r="C831" t="str">
        <f>_xlfn.XLOOKUP(B831,Phone_by_Price!$A$2:$A$34,Phone_by_Price!$B$2:$B$34,"-",0,1)</f>
        <v>OPPO A54</v>
      </c>
      <c r="D831" t="str">
        <f>_xlfn.XLOOKUP(C831,Phone_by_Sentiment!$B$2:$B$37,Phone_by_Sentiment!$A$2:$A$37,"-",0,1)</f>
        <v>2021-04</v>
      </c>
      <c r="E831" cm="1">
        <f t="array" ref="E831">IF($Q831&gt;=0,IFERROR(generateSalesData($D831, IF(ISNUMBER(_xlfn.XLOOKUP($C831,Phone_by_Sentiment!$B$2:$B$37,Phone_by_Sentiment!E$2:E$37,"",0,1)),_xlfn.XLOOKUP($C831,Phone_by_Sentiment!$B$2:$B$37,Phone_by_Sentiment!E$2:E$37,"",0,1),0),$A831-TEXT(DATEVALUE($D831&amp;"-01"), "dd-mm-yyyy")),0),0)</f>
        <v>0</v>
      </c>
      <c r="F831" cm="1">
        <f t="array" ref="F831">IF($Q831&gt;=0,IFERROR(generateSalesData($D831, IF(ISNUMBER(_xlfn.XLOOKUP($C831,Phone_by_Sentiment!$B$2:$B$37,Phone_by_Sentiment!F$2:F$37,"",0,1)),_xlfn.XLOOKUP($C831,Phone_by_Sentiment!$B$2:$B$37,Phone_by_Sentiment!F$2:F$37,"",0,1),0),$A831-TEXT(DATEVALUE($D831&amp;"-01"), "dd-mm-yyyy")),0),0)</f>
        <v>0</v>
      </c>
      <c r="G831" cm="1">
        <f t="array" ref="G831">IF($Q831&gt;=0,IFERROR(generateSalesData($D831, IF(ISNUMBER(_xlfn.XLOOKUP($C831,Phone_by_Sentiment!$B$2:$B$37,Phone_by_Sentiment!G$2:G$37,"",0,1)),_xlfn.XLOOKUP($C831,Phone_by_Sentiment!$B$2:$B$37,Phone_by_Sentiment!G$2:G$37,"",0,1),0),$A831-TEXT(DATEVALUE($D831&amp;"-01"), "dd-mm-yyyy")),0),0)</f>
        <v>0</v>
      </c>
      <c r="H831" cm="1">
        <f t="array" ref="H831">IF($Q831&gt;=0,IFERROR(generateSalesData($D831, IF(ISNUMBER(_xlfn.XLOOKUP($C831,Phone_by_Sentiment!$B$2:$B$37,Phone_by_Sentiment!H$2:H$37,"",0,1)),_xlfn.XLOOKUP($C831,Phone_by_Sentiment!$B$2:$B$37,Phone_by_Sentiment!H$2:H$37,"",0,1),0),$A831-TEXT(DATEVALUE($D831&amp;"-01"), "dd-mm-yyyy")),0),0)</f>
        <v>0</v>
      </c>
      <c r="I831" cm="1">
        <f t="array" ref="I831">IF($Q831&gt;=0,IFERROR(generateSalesData($D831, IF(ISNUMBER(_xlfn.XLOOKUP($C831,Phone_by_Sentiment!$B$2:$B$37,Phone_by_Sentiment!I$2:I$37,"",0,1)),_xlfn.XLOOKUP($C831,Phone_by_Sentiment!$B$2:$B$37,Phone_by_Sentiment!I$2:I$37,"",0,1),0),$A831-TEXT(DATEVALUE($D831&amp;"-01"), "dd-mm-yyyy")),0),0)</f>
        <v>0</v>
      </c>
      <c r="J831" cm="1">
        <f t="array" ref="J831">IF($Q831&gt;=0,IFERROR(generateSalesData($D831, IF(ISNUMBER(_xlfn.XLOOKUP($C831,Phone_by_Sentiment!$B$2:$B$37,Phone_by_Sentiment!J$2:J$37,"",0,1)),_xlfn.XLOOKUP($C831,Phone_by_Sentiment!$B$2:$B$37,Phone_by_Sentiment!J$2:J$37,"",0,1),0),$A831-TEXT(DATEVALUE($D831&amp;"-01"), "dd-mm-yyyy")),0),0)</f>
        <v>0</v>
      </c>
      <c r="K831" cm="1">
        <f t="array" ref="K831">IF($Q831&gt;=0,IFERROR(generateSalesData($D831, IF(ISNUMBER(_xlfn.XLOOKUP($C831,Phone_by_Sentiment!$B$2:$B$37,Phone_by_Sentiment!K$2:K$37,"",0,1)),_xlfn.XLOOKUP($C831,Phone_by_Sentiment!$B$2:$B$37,Phone_by_Sentiment!K$2:K$37,"",0,1),0),$A831-TEXT(DATEVALUE($D831&amp;"-01"), "dd-mm-yyyy")),0),0)</f>
        <v>0</v>
      </c>
      <c r="L831" cm="1">
        <f t="array" ref="L831">IF($Q831&gt;=0,IFERROR(generateSalesData($D831, IF(ISNUMBER(_xlfn.XLOOKUP($C831,Phone_by_Sentiment!$B$2:$B$37,Phone_by_Sentiment!L$2:L$37,"",0,1)),_xlfn.XLOOKUP($C831,Phone_by_Sentiment!$B$2:$B$37,Phone_by_Sentiment!L$2:L$37,"",0,1),0),$A831-TEXT(DATEVALUE($D831&amp;"-01"), "dd-mm-yyyy")),0),0)</f>
        <v>0</v>
      </c>
      <c r="M831" cm="1">
        <f t="array" ref="M831">IF($Q831&gt;=0,IFERROR(generateSalesData($D831, IF(ISNUMBER(_xlfn.XLOOKUP($C831,Phone_by_Sentiment!$B$2:$B$37,Phone_by_Sentiment!M$2:M$37,"",0,1)),_xlfn.XLOOKUP($C831,Phone_by_Sentiment!$B$2:$B$37,Phone_by_Sentiment!M$2:M$37,"",0,1),0),$A831-TEXT(DATEVALUE($D831&amp;"-01"), "dd-mm-yyyy")),0),0)</f>
        <v>0</v>
      </c>
      <c r="N831" cm="1">
        <f t="array" ref="N831">IF($Q831&gt;=0,IFERROR(generateSalesData($D831, IF(ISNUMBER(_xlfn.XLOOKUP($C831,Phone_by_Sentiment!$B$2:$B$37,Phone_by_Sentiment!N$2:N$37,"",0,1)),_xlfn.XLOOKUP($C831,Phone_by_Sentiment!$B$2:$B$37,Phone_by_Sentiment!N$2:N$37,"",0,1),0),$A831-TEXT(DATEVALUE($D831&amp;"-01"), "dd-mm-yyyy")),0),0)</f>
        <v>0</v>
      </c>
      <c r="O831" cm="1">
        <f t="array" ref="O831">IF($Q831&gt;=0,IFERROR(generateSalesData($D831, IF(ISNUMBER(_xlfn.XLOOKUP($C831,Phone_by_Sentiment!$B$2:$B$37,Phone_by_Sentiment!O$2:O$37,"",0,1)),_xlfn.XLOOKUP($C831,Phone_by_Sentiment!$B$2:$B$37,Phone_by_Sentiment!O$2:O$37,"",0,1),0),$A831-TEXT(DATEVALUE($D831&amp;"-01"), "dd-mm-yyyy")),0),0)</f>
        <v>0</v>
      </c>
      <c r="P831" s="1">
        <f t="shared" si="32"/>
        <v>44287</v>
      </c>
      <c r="Q831">
        <f t="shared" si="33"/>
        <v>-121</v>
      </c>
    </row>
    <row r="832" spans="1:17" x14ac:dyDescent="0.25">
      <c r="A832" s="1">
        <f t="shared" si="27"/>
        <v>44166</v>
      </c>
      <c r="B832" t="s">
        <v>146</v>
      </c>
      <c r="C832" t="str">
        <f>_xlfn.XLOOKUP(B832,Phone_by_Price!$A$2:$A$34,Phone_by_Price!$B$2:$B$34,"-",0,1)</f>
        <v>Vivo Y20</v>
      </c>
      <c r="D832" t="str">
        <f>_xlfn.XLOOKUP(C832,Phone_by_Sentiment!$B$2:$B$37,Phone_by_Sentiment!$A$2:$A$37,"-",0,1)</f>
        <v>2020-09</v>
      </c>
      <c r="E832" cm="1">
        <f t="array" ref="E832">IF($Q832&gt;=0,IFERROR(generateSalesData($D832, IF(ISNUMBER(_xlfn.XLOOKUP($C832,Phone_by_Sentiment!$B$2:$B$37,Phone_by_Sentiment!E$2:E$37,"",0,1)),_xlfn.XLOOKUP($C832,Phone_by_Sentiment!$B$2:$B$37,Phone_by_Sentiment!E$2:E$37,"",0,1),0),$A832-TEXT(DATEVALUE($D832&amp;"-01"), "dd-mm-yyyy")),0),0)</f>
        <v>1959</v>
      </c>
      <c r="F832" cm="1">
        <f t="array" ref="F832">IF($Q832&gt;=0,IFERROR(generateSalesData($D832, IF(ISNUMBER(_xlfn.XLOOKUP($C832,Phone_by_Sentiment!$B$2:$B$37,Phone_by_Sentiment!F$2:F$37,"",0,1)),_xlfn.XLOOKUP($C832,Phone_by_Sentiment!$B$2:$B$37,Phone_by_Sentiment!F$2:F$37,"",0,1),0),$A832-TEXT(DATEVALUE($D832&amp;"-01"), "dd-mm-yyyy")),0),0)</f>
        <v>2373</v>
      </c>
      <c r="G832" cm="1">
        <f t="array" ref="G832">IF($Q832&gt;=0,IFERROR(generateSalesData($D832, IF(ISNUMBER(_xlfn.XLOOKUP($C832,Phone_by_Sentiment!$B$2:$B$37,Phone_by_Sentiment!G$2:G$37,"",0,1)),_xlfn.XLOOKUP($C832,Phone_by_Sentiment!$B$2:$B$37,Phone_by_Sentiment!G$2:G$37,"",0,1),0),$A832-TEXT(DATEVALUE($D832&amp;"-01"), "dd-mm-yyyy")),0),0)</f>
        <v>108</v>
      </c>
      <c r="H832" cm="1">
        <f t="array" ref="H832">IF($Q832&gt;=0,IFERROR(generateSalesData($D832, IF(ISNUMBER(_xlfn.XLOOKUP($C832,Phone_by_Sentiment!$B$2:$B$37,Phone_by_Sentiment!H$2:H$37,"",0,1)),_xlfn.XLOOKUP($C832,Phone_by_Sentiment!$B$2:$B$37,Phone_by_Sentiment!H$2:H$37,"",0,1),0),$A832-TEXT(DATEVALUE($D832&amp;"-01"), "dd-mm-yyyy")),0),0)</f>
        <v>763</v>
      </c>
      <c r="I832" cm="1">
        <f t="array" ref="I832">IF($Q832&gt;=0,IFERROR(generateSalesData($D832, IF(ISNUMBER(_xlfn.XLOOKUP($C832,Phone_by_Sentiment!$B$2:$B$37,Phone_by_Sentiment!I$2:I$37,"",0,1)),_xlfn.XLOOKUP($C832,Phone_by_Sentiment!$B$2:$B$37,Phone_by_Sentiment!I$2:I$37,"",0,1),0),$A832-TEXT(DATEVALUE($D832&amp;"-01"), "dd-mm-yyyy")),0),0)</f>
        <v>974</v>
      </c>
      <c r="J832" cm="1">
        <f t="array" ref="J832">IF($Q832&gt;=0,IFERROR(generateSalesData($D832, IF(ISNUMBER(_xlfn.XLOOKUP($C832,Phone_by_Sentiment!$B$2:$B$37,Phone_by_Sentiment!J$2:J$37,"",0,1)),_xlfn.XLOOKUP($C832,Phone_by_Sentiment!$B$2:$B$37,Phone_by_Sentiment!J$2:J$37,"",0,1),0),$A832-TEXT(DATEVALUE($D832&amp;"-01"), "dd-mm-yyyy")),0),0)</f>
        <v>267</v>
      </c>
      <c r="K832" cm="1">
        <f t="array" ref="K832">IF($Q832&gt;=0,IFERROR(generateSalesData($D832, IF(ISNUMBER(_xlfn.XLOOKUP($C832,Phone_by_Sentiment!$B$2:$B$37,Phone_by_Sentiment!K$2:K$37,"",0,1)),_xlfn.XLOOKUP($C832,Phone_by_Sentiment!$B$2:$B$37,Phone_by_Sentiment!K$2:K$37,"",0,1),0),$A832-TEXT(DATEVALUE($D832&amp;"-01"), "dd-mm-yyyy")),0),0)</f>
        <v>890</v>
      </c>
      <c r="L832" cm="1">
        <f t="array" ref="L832">IF($Q832&gt;=0,IFERROR(generateSalesData($D832, IF(ISNUMBER(_xlfn.XLOOKUP($C832,Phone_by_Sentiment!$B$2:$B$37,Phone_by_Sentiment!L$2:L$37,"",0,1)),_xlfn.XLOOKUP($C832,Phone_by_Sentiment!$B$2:$B$37,Phone_by_Sentiment!L$2:L$37,"",0,1),0),$A832-TEXT(DATEVALUE($D832&amp;"-01"), "dd-mm-yyyy")),0),0)</f>
        <v>1063</v>
      </c>
      <c r="M832" cm="1">
        <f t="array" ref="M832">IF($Q832&gt;=0,IFERROR(generateSalesData($D832, IF(ISNUMBER(_xlfn.XLOOKUP($C832,Phone_by_Sentiment!$B$2:$B$37,Phone_by_Sentiment!M$2:M$37,"",0,1)),_xlfn.XLOOKUP($C832,Phone_by_Sentiment!$B$2:$B$37,Phone_by_Sentiment!M$2:M$37,"",0,1),0),$A832-TEXT(DATEVALUE($D832&amp;"-01"), "dd-mm-yyyy")),0),0)</f>
        <v>414</v>
      </c>
      <c r="N832" cm="1">
        <f t="array" ref="N832">IF($Q832&gt;=0,IFERROR(generateSalesData($D832, IF(ISNUMBER(_xlfn.XLOOKUP($C832,Phone_by_Sentiment!$B$2:$B$37,Phone_by_Sentiment!N$2:N$37,"",0,1)),_xlfn.XLOOKUP($C832,Phone_by_Sentiment!$B$2:$B$37,Phone_by_Sentiment!N$2:N$37,"",0,1),0),$A832-TEXT(DATEVALUE($D832&amp;"-01"), "dd-mm-yyyy")),0),0)</f>
        <v>567</v>
      </c>
      <c r="O832" cm="1">
        <f t="array" ref="O832">IF($Q832&gt;=0,IFERROR(generateSalesData($D832, IF(ISNUMBER(_xlfn.XLOOKUP($C832,Phone_by_Sentiment!$B$2:$B$37,Phone_by_Sentiment!O$2:O$37,"",0,1)),_xlfn.XLOOKUP($C832,Phone_by_Sentiment!$B$2:$B$37,Phone_by_Sentiment!O$2:O$37,"",0,1),0),$A832-TEXT(DATEVALUE($D832&amp;"-01"), "dd-mm-yyyy")),0),0)</f>
        <v>313</v>
      </c>
      <c r="P832" s="1">
        <f t="shared" si="32"/>
        <v>44075</v>
      </c>
      <c r="Q832">
        <f t="shared" si="33"/>
        <v>91</v>
      </c>
    </row>
    <row r="833" spans="1:17" x14ac:dyDescent="0.25">
      <c r="A833" s="1">
        <f t="shared" si="27"/>
        <v>44166</v>
      </c>
      <c r="B833" t="s">
        <v>147</v>
      </c>
      <c r="C833" t="str">
        <f>_xlfn.XLOOKUP(B833,Phone_by_Price!$A$2:$A$34,Phone_by_Price!$B$2:$B$34,"-",0,1)</f>
        <v>Huawei Y9a</v>
      </c>
      <c r="D833" t="str">
        <f>_xlfn.XLOOKUP(C833,Phone_by_Sentiment!$B$2:$B$37,Phone_by_Sentiment!$A$2:$A$37,"-",0,1)</f>
        <v>2020-02</v>
      </c>
      <c r="E833" cm="1">
        <f t="array" ref="E833">IF($Q833&gt;=0,IFERROR(generateSalesData($D833, IF(ISNUMBER(_xlfn.XLOOKUP($C833,Phone_by_Sentiment!$B$2:$B$37,Phone_by_Sentiment!E$2:E$37,"",0,1)),_xlfn.XLOOKUP($C833,Phone_by_Sentiment!$B$2:$B$37,Phone_by_Sentiment!E$2:E$37,"",0,1),0),$A833-TEXT(DATEVALUE($D833&amp;"-01"), "dd-mm-yyyy")),0),0)</f>
        <v>770</v>
      </c>
      <c r="F833" cm="1">
        <f t="array" ref="F833">IF($Q833&gt;=0,IFERROR(generateSalesData($D833, IF(ISNUMBER(_xlfn.XLOOKUP($C833,Phone_by_Sentiment!$B$2:$B$37,Phone_by_Sentiment!F$2:F$37,"",0,1)),_xlfn.XLOOKUP($C833,Phone_by_Sentiment!$B$2:$B$37,Phone_by_Sentiment!F$2:F$37,"",0,1),0),$A833-TEXT(DATEVALUE($D833&amp;"-01"), "dd-mm-yyyy")),0),0)</f>
        <v>693</v>
      </c>
      <c r="G833" cm="1">
        <f t="array" ref="G833">IF($Q833&gt;=0,IFERROR(generateSalesData($D833, IF(ISNUMBER(_xlfn.XLOOKUP($C833,Phone_by_Sentiment!$B$2:$B$37,Phone_by_Sentiment!G$2:G$37,"",0,1)),_xlfn.XLOOKUP($C833,Phone_by_Sentiment!$B$2:$B$37,Phone_by_Sentiment!G$2:G$37,"",0,1),0),$A833-TEXT(DATEVALUE($D833&amp;"-01"), "dd-mm-yyyy")),0),0)</f>
        <v>254</v>
      </c>
      <c r="H833" cm="1">
        <f t="array" ref="H833">IF($Q833&gt;=0,IFERROR(generateSalesData($D833, IF(ISNUMBER(_xlfn.XLOOKUP($C833,Phone_by_Sentiment!$B$2:$B$37,Phone_by_Sentiment!H$2:H$37,"",0,1)),_xlfn.XLOOKUP($C833,Phone_by_Sentiment!$B$2:$B$37,Phone_by_Sentiment!H$2:H$37,"",0,1),0),$A833-TEXT(DATEVALUE($D833&amp;"-01"), "dd-mm-yyyy")),0),0)</f>
        <v>147</v>
      </c>
      <c r="I833" cm="1">
        <f t="array" ref="I833">IF($Q833&gt;=0,IFERROR(generateSalesData($D833, IF(ISNUMBER(_xlfn.XLOOKUP($C833,Phone_by_Sentiment!$B$2:$B$37,Phone_by_Sentiment!I$2:I$37,"",0,1)),_xlfn.XLOOKUP($C833,Phone_by_Sentiment!$B$2:$B$37,Phone_by_Sentiment!I$2:I$37,"",0,1),0),$A833-TEXT(DATEVALUE($D833&amp;"-01"), "dd-mm-yyyy")),0),0)</f>
        <v>-53</v>
      </c>
      <c r="J833" cm="1">
        <f t="array" ref="J833">IF($Q833&gt;=0,IFERROR(generateSalesData($D833, IF(ISNUMBER(_xlfn.XLOOKUP($C833,Phone_by_Sentiment!$B$2:$B$37,Phone_by_Sentiment!J$2:J$37,"",0,1)),_xlfn.XLOOKUP($C833,Phone_by_Sentiment!$B$2:$B$37,Phone_by_Sentiment!J$2:J$37,"",0,1),0),$A833-TEXT(DATEVALUE($D833&amp;"-01"), "dd-mm-yyyy")),0),0)</f>
        <v>60</v>
      </c>
      <c r="K833" cm="1">
        <f t="array" ref="K833">IF($Q833&gt;=0,IFERROR(generateSalesData($D833, IF(ISNUMBER(_xlfn.XLOOKUP($C833,Phone_by_Sentiment!$B$2:$B$37,Phone_by_Sentiment!K$2:K$37,"",0,1)),_xlfn.XLOOKUP($C833,Phone_by_Sentiment!$B$2:$B$37,Phone_by_Sentiment!K$2:K$37,"",0,1),0),$A833-TEXT(DATEVALUE($D833&amp;"-01"), "dd-mm-yyyy")),0),0)</f>
        <v>141</v>
      </c>
      <c r="L833" cm="1">
        <f t="array" ref="L833">IF($Q833&gt;=0,IFERROR(generateSalesData($D833, IF(ISNUMBER(_xlfn.XLOOKUP($C833,Phone_by_Sentiment!$B$2:$B$37,Phone_by_Sentiment!L$2:L$37,"",0,1)),_xlfn.XLOOKUP($C833,Phone_by_Sentiment!$B$2:$B$37,Phone_by_Sentiment!L$2:L$37,"",0,1),0),$A833-TEXT(DATEVALUE($D833&amp;"-01"), "dd-mm-yyyy")),0),0)</f>
        <v>252</v>
      </c>
      <c r="M833" cm="1">
        <f t="array" ref="M833">IF($Q833&gt;=0,IFERROR(generateSalesData($D833, IF(ISNUMBER(_xlfn.XLOOKUP($C833,Phone_by_Sentiment!$B$2:$B$37,Phone_by_Sentiment!M$2:M$37,"",0,1)),_xlfn.XLOOKUP($C833,Phone_by_Sentiment!$B$2:$B$37,Phone_by_Sentiment!M$2:M$37,"",0,1),0),$A833-TEXT(DATEVALUE($D833&amp;"-01"), "dd-mm-yyyy")),0),0)</f>
        <v>216</v>
      </c>
      <c r="N833" cm="1">
        <f t="array" ref="N833">IF($Q833&gt;=0,IFERROR(generateSalesData($D833, IF(ISNUMBER(_xlfn.XLOOKUP($C833,Phone_by_Sentiment!$B$2:$B$37,Phone_by_Sentiment!N$2:N$37,"",0,1)),_xlfn.XLOOKUP($C833,Phone_by_Sentiment!$B$2:$B$37,Phone_by_Sentiment!N$2:N$37,"",0,1),0),$A833-TEXT(DATEVALUE($D833&amp;"-01"), "dd-mm-yyyy")),0),0)</f>
        <v>66</v>
      </c>
      <c r="O833" cm="1">
        <f t="array" ref="O833">IF($Q833&gt;=0,IFERROR(generateSalesData($D833, IF(ISNUMBER(_xlfn.XLOOKUP($C833,Phone_by_Sentiment!$B$2:$B$37,Phone_by_Sentiment!O$2:O$37,"",0,1)),_xlfn.XLOOKUP($C833,Phone_by_Sentiment!$B$2:$B$37,Phone_by_Sentiment!O$2:O$37,"",0,1),0),$A833-TEXT(DATEVALUE($D833&amp;"-01"), "dd-mm-yyyy")),0),0)</f>
        <v>126</v>
      </c>
      <c r="P833" s="1">
        <f t="shared" si="32"/>
        <v>43862</v>
      </c>
      <c r="Q833">
        <f t="shared" si="33"/>
        <v>304</v>
      </c>
    </row>
    <row r="834" spans="1:17" x14ac:dyDescent="0.25">
      <c r="A834" s="1">
        <f t="shared" si="27"/>
        <v>44166</v>
      </c>
      <c r="B834" t="s">
        <v>148</v>
      </c>
      <c r="C834" t="str">
        <f>_xlfn.XLOOKUP(B834,Phone_by_Price!$A$2:$A$34,Phone_by_Price!$B$2:$B$34,"-",0,1)</f>
        <v>Xiaomi Redmi 10</v>
      </c>
      <c r="D834" t="str">
        <f>_xlfn.XLOOKUP(C834,Phone_by_Sentiment!$B$2:$B$37,Phone_by_Sentiment!$A$2:$A$37,"-",0,1)</f>
        <v>2021-03</v>
      </c>
      <c r="E834" cm="1">
        <f t="array" ref="E834">IF($Q834&gt;=0,IFERROR(generateSalesData($D834, IF(ISNUMBER(_xlfn.XLOOKUP($C834,Phone_by_Sentiment!$B$2:$B$37,Phone_by_Sentiment!E$2:E$37,"",0,1)),_xlfn.XLOOKUP($C834,Phone_by_Sentiment!$B$2:$B$37,Phone_by_Sentiment!E$2:E$37,"",0,1),0),$A834-TEXT(DATEVALUE($D834&amp;"-01"), "dd-mm-yyyy")),0),0)</f>
        <v>0</v>
      </c>
      <c r="F834" cm="1">
        <f t="array" ref="F834">IF($Q834&gt;=0,IFERROR(generateSalesData($D834, IF(ISNUMBER(_xlfn.XLOOKUP($C834,Phone_by_Sentiment!$B$2:$B$37,Phone_by_Sentiment!F$2:F$37,"",0,1)),_xlfn.XLOOKUP($C834,Phone_by_Sentiment!$B$2:$B$37,Phone_by_Sentiment!F$2:F$37,"",0,1),0),$A834-TEXT(DATEVALUE($D834&amp;"-01"), "dd-mm-yyyy")),0),0)</f>
        <v>0</v>
      </c>
      <c r="G834" cm="1">
        <f t="array" ref="G834">IF($Q834&gt;=0,IFERROR(generateSalesData($D834, IF(ISNUMBER(_xlfn.XLOOKUP($C834,Phone_by_Sentiment!$B$2:$B$37,Phone_by_Sentiment!G$2:G$37,"",0,1)),_xlfn.XLOOKUP($C834,Phone_by_Sentiment!$B$2:$B$37,Phone_by_Sentiment!G$2:G$37,"",0,1),0),$A834-TEXT(DATEVALUE($D834&amp;"-01"), "dd-mm-yyyy")),0),0)</f>
        <v>0</v>
      </c>
      <c r="H834" cm="1">
        <f t="array" ref="H834">IF($Q834&gt;=0,IFERROR(generateSalesData($D834, IF(ISNUMBER(_xlfn.XLOOKUP($C834,Phone_by_Sentiment!$B$2:$B$37,Phone_by_Sentiment!H$2:H$37,"",0,1)),_xlfn.XLOOKUP($C834,Phone_by_Sentiment!$B$2:$B$37,Phone_by_Sentiment!H$2:H$37,"",0,1),0),$A834-TEXT(DATEVALUE($D834&amp;"-01"), "dd-mm-yyyy")),0),0)</f>
        <v>0</v>
      </c>
      <c r="I834" cm="1">
        <f t="array" ref="I834">IF($Q834&gt;=0,IFERROR(generateSalesData($D834, IF(ISNUMBER(_xlfn.XLOOKUP($C834,Phone_by_Sentiment!$B$2:$B$37,Phone_by_Sentiment!I$2:I$37,"",0,1)),_xlfn.XLOOKUP($C834,Phone_by_Sentiment!$B$2:$B$37,Phone_by_Sentiment!I$2:I$37,"",0,1),0),$A834-TEXT(DATEVALUE($D834&amp;"-01"), "dd-mm-yyyy")),0),0)</f>
        <v>0</v>
      </c>
      <c r="J834" cm="1">
        <f t="array" ref="J834">IF($Q834&gt;=0,IFERROR(generateSalesData($D834, IF(ISNUMBER(_xlfn.XLOOKUP($C834,Phone_by_Sentiment!$B$2:$B$37,Phone_by_Sentiment!J$2:J$37,"",0,1)),_xlfn.XLOOKUP($C834,Phone_by_Sentiment!$B$2:$B$37,Phone_by_Sentiment!J$2:J$37,"",0,1),0),$A834-TEXT(DATEVALUE($D834&amp;"-01"), "dd-mm-yyyy")),0),0)</f>
        <v>0</v>
      </c>
      <c r="K834" cm="1">
        <f t="array" ref="K834">IF($Q834&gt;=0,IFERROR(generateSalesData($D834, IF(ISNUMBER(_xlfn.XLOOKUP($C834,Phone_by_Sentiment!$B$2:$B$37,Phone_by_Sentiment!K$2:K$37,"",0,1)),_xlfn.XLOOKUP($C834,Phone_by_Sentiment!$B$2:$B$37,Phone_by_Sentiment!K$2:K$37,"",0,1),0),$A834-TEXT(DATEVALUE($D834&amp;"-01"), "dd-mm-yyyy")),0),0)</f>
        <v>0</v>
      </c>
      <c r="L834" cm="1">
        <f t="array" ref="L834">IF($Q834&gt;=0,IFERROR(generateSalesData($D834, IF(ISNUMBER(_xlfn.XLOOKUP($C834,Phone_by_Sentiment!$B$2:$B$37,Phone_by_Sentiment!L$2:L$37,"",0,1)),_xlfn.XLOOKUP($C834,Phone_by_Sentiment!$B$2:$B$37,Phone_by_Sentiment!L$2:L$37,"",0,1),0),$A834-TEXT(DATEVALUE($D834&amp;"-01"), "dd-mm-yyyy")),0),0)</f>
        <v>0</v>
      </c>
      <c r="M834" cm="1">
        <f t="array" ref="M834">IF($Q834&gt;=0,IFERROR(generateSalesData($D834, IF(ISNUMBER(_xlfn.XLOOKUP($C834,Phone_by_Sentiment!$B$2:$B$37,Phone_by_Sentiment!M$2:M$37,"",0,1)),_xlfn.XLOOKUP($C834,Phone_by_Sentiment!$B$2:$B$37,Phone_by_Sentiment!M$2:M$37,"",0,1),0),$A834-TEXT(DATEVALUE($D834&amp;"-01"), "dd-mm-yyyy")),0),0)</f>
        <v>0</v>
      </c>
      <c r="N834" cm="1">
        <f t="array" ref="N834">IF($Q834&gt;=0,IFERROR(generateSalesData($D834, IF(ISNUMBER(_xlfn.XLOOKUP($C834,Phone_by_Sentiment!$B$2:$B$37,Phone_by_Sentiment!N$2:N$37,"",0,1)),_xlfn.XLOOKUP($C834,Phone_by_Sentiment!$B$2:$B$37,Phone_by_Sentiment!N$2:N$37,"",0,1),0),$A834-TEXT(DATEVALUE($D834&amp;"-01"), "dd-mm-yyyy")),0),0)</f>
        <v>0</v>
      </c>
      <c r="O834" cm="1">
        <f t="array" ref="O834">IF($Q834&gt;=0,IFERROR(generateSalesData($D834, IF(ISNUMBER(_xlfn.XLOOKUP($C834,Phone_by_Sentiment!$B$2:$B$37,Phone_by_Sentiment!O$2:O$37,"",0,1)),_xlfn.XLOOKUP($C834,Phone_by_Sentiment!$B$2:$B$37,Phone_by_Sentiment!O$2:O$37,"",0,1),0),$A834-TEXT(DATEVALUE($D834&amp;"-01"), "dd-mm-yyyy")),0),0)</f>
        <v>0</v>
      </c>
      <c r="P834" s="1">
        <f t="shared" si="32"/>
        <v>44256</v>
      </c>
      <c r="Q834">
        <f t="shared" si="33"/>
        <v>-90</v>
      </c>
    </row>
    <row r="835" spans="1:17" x14ac:dyDescent="0.25">
      <c r="A835" s="1">
        <f t="shared" si="27"/>
        <v>44166</v>
      </c>
      <c r="B835" t="s">
        <v>149</v>
      </c>
      <c r="C835" t="str">
        <f>_xlfn.XLOOKUP(B835,Phone_by_Price!$A$2:$A$34,Phone_by_Price!$B$2:$B$34,"-",0,1)</f>
        <v>Samsung Galaxy A52</v>
      </c>
      <c r="D835" t="str">
        <f>_xlfn.XLOOKUP(C835,Phone_by_Sentiment!$B$2:$B$37,Phone_by_Sentiment!$A$2:$A$37,"-",0,1)</f>
        <v>2021-03</v>
      </c>
      <c r="E835" cm="1">
        <f t="array" ref="E835">IF($Q835&gt;=0,IFERROR(generateSalesData($D835, IF(ISNUMBER(_xlfn.XLOOKUP($C835,Phone_by_Sentiment!$B$2:$B$37,Phone_by_Sentiment!E$2:E$37,"",0,1)),_xlfn.XLOOKUP($C835,Phone_by_Sentiment!$B$2:$B$37,Phone_by_Sentiment!E$2:E$37,"",0,1),0),$A835-TEXT(DATEVALUE($D835&amp;"-01"), "dd-mm-yyyy")),0),0)</f>
        <v>0</v>
      </c>
      <c r="F835" cm="1">
        <f t="array" ref="F835">IF($Q835&gt;=0,IFERROR(generateSalesData($D835, IF(ISNUMBER(_xlfn.XLOOKUP($C835,Phone_by_Sentiment!$B$2:$B$37,Phone_by_Sentiment!F$2:F$37,"",0,1)),_xlfn.XLOOKUP($C835,Phone_by_Sentiment!$B$2:$B$37,Phone_by_Sentiment!F$2:F$37,"",0,1),0),$A835-TEXT(DATEVALUE($D835&amp;"-01"), "dd-mm-yyyy")),0),0)</f>
        <v>0</v>
      </c>
      <c r="G835" cm="1">
        <f t="array" ref="G835">IF($Q835&gt;=0,IFERROR(generateSalesData($D835, IF(ISNUMBER(_xlfn.XLOOKUP($C835,Phone_by_Sentiment!$B$2:$B$37,Phone_by_Sentiment!G$2:G$37,"",0,1)),_xlfn.XLOOKUP($C835,Phone_by_Sentiment!$B$2:$B$37,Phone_by_Sentiment!G$2:G$37,"",0,1),0),$A835-TEXT(DATEVALUE($D835&amp;"-01"), "dd-mm-yyyy")),0),0)</f>
        <v>0</v>
      </c>
      <c r="H835" cm="1">
        <f t="array" ref="H835">IF($Q835&gt;=0,IFERROR(generateSalesData($D835, IF(ISNUMBER(_xlfn.XLOOKUP($C835,Phone_by_Sentiment!$B$2:$B$37,Phone_by_Sentiment!H$2:H$37,"",0,1)),_xlfn.XLOOKUP($C835,Phone_by_Sentiment!$B$2:$B$37,Phone_by_Sentiment!H$2:H$37,"",0,1),0),$A835-TEXT(DATEVALUE($D835&amp;"-01"), "dd-mm-yyyy")),0),0)</f>
        <v>0</v>
      </c>
      <c r="I835" cm="1">
        <f t="array" ref="I835">IF($Q835&gt;=0,IFERROR(generateSalesData($D835, IF(ISNUMBER(_xlfn.XLOOKUP($C835,Phone_by_Sentiment!$B$2:$B$37,Phone_by_Sentiment!I$2:I$37,"",0,1)),_xlfn.XLOOKUP($C835,Phone_by_Sentiment!$B$2:$B$37,Phone_by_Sentiment!I$2:I$37,"",0,1),0),$A835-TEXT(DATEVALUE($D835&amp;"-01"), "dd-mm-yyyy")),0),0)</f>
        <v>0</v>
      </c>
      <c r="J835" cm="1">
        <f t="array" ref="J835">IF($Q835&gt;=0,IFERROR(generateSalesData($D835, IF(ISNUMBER(_xlfn.XLOOKUP($C835,Phone_by_Sentiment!$B$2:$B$37,Phone_by_Sentiment!J$2:J$37,"",0,1)),_xlfn.XLOOKUP($C835,Phone_by_Sentiment!$B$2:$B$37,Phone_by_Sentiment!J$2:J$37,"",0,1),0),$A835-TEXT(DATEVALUE($D835&amp;"-01"), "dd-mm-yyyy")),0),0)</f>
        <v>0</v>
      </c>
      <c r="K835" cm="1">
        <f t="array" ref="K835">IF($Q835&gt;=0,IFERROR(generateSalesData($D835, IF(ISNUMBER(_xlfn.XLOOKUP($C835,Phone_by_Sentiment!$B$2:$B$37,Phone_by_Sentiment!K$2:K$37,"",0,1)),_xlfn.XLOOKUP($C835,Phone_by_Sentiment!$B$2:$B$37,Phone_by_Sentiment!K$2:K$37,"",0,1),0),$A835-TEXT(DATEVALUE($D835&amp;"-01"), "dd-mm-yyyy")),0),0)</f>
        <v>0</v>
      </c>
      <c r="L835" cm="1">
        <f t="array" ref="L835">IF($Q835&gt;=0,IFERROR(generateSalesData($D835, IF(ISNUMBER(_xlfn.XLOOKUP($C835,Phone_by_Sentiment!$B$2:$B$37,Phone_by_Sentiment!L$2:L$37,"",0,1)),_xlfn.XLOOKUP($C835,Phone_by_Sentiment!$B$2:$B$37,Phone_by_Sentiment!L$2:L$37,"",0,1),0),$A835-TEXT(DATEVALUE($D835&amp;"-01"), "dd-mm-yyyy")),0),0)</f>
        <v>0</v>
      </c>
      <c r="M835" cm="1">
        <f t="array" ref="M835">IF($Q835&gt;=0,IFERROR(generateSalesData($D835, IF(ISNUMBER(_xlfn.XLOOKUP($C835,Phone_by_Sentiment!$B$2:$B$37,Phone_by_Sentiment!M$2:M$37,"",0,1)),_xlfn.XLOOKUP($C835,Phone_by_Sentiment!$B$2:$B$37,Phone_by_Sentiment!M$2:M$37,"",0,1),0),$A835-TEXT(DATEVALUE($D835&amp;"-01"), "dd-mm-yyyy")),0),0)</f>
        <v>0</v>
      </c>
      <c r="N835" cm="1">
        <f t="array" ref="N835">IF($Q835&gt;=0,IFERROR(generateSalesData($D835, IF(ISNUMBER(_xlfn.XLOOKUP($C835,Phone_by_Sentiment!$B$2:$B$37,Phone_by_Sentiment!N$2:N$37,"",0,1)),_xlfn.XLOOKUP($C835,Phone_by_Sentiment!$B$2:$B$37,Phone_by_Sentiment!N$2:N$37,"",0,1),0),$A835-TEXT(DATEVALUE($D835&amp;"-01"), "dd-mm-yyyy")),0),0)</f>
        <v>0</v>
      </c>
      <c r="O835" cm="1">
        <f t="array" ref="O835">IF($Q835&gt;=0,IFERROR(generateSalesData($D835, IF(ISNUMBER(_xlfn.XLOOKUP($C835,Phone_by_Sentiment!$B$2:$B$37,Phone_by_Sentiment!O$2:O$37,"",0,1)),_xlfn.XLOOKUP($C835,Phone_by_Sentiment!$B$2:$B$37,Phone_by_Sentiment!O$2:O$37,"",0,1),0),$A835-TEXT(DATEVALUE($D835&amp;"-01"), "dd-mm-yyyy")),0),0)</f>
        <v>0</v>
      </c>
      <c r="P835" s="1">
        <f t="shared" si="32"/>
        <v>44256</v>
      </c>
      <c r="Q835">
        <f t="shared" si="33"/>
        <v>-90</v>
      </c>
    </row>
    <row r="836" spans="1:17" x14ac:dyDescent="0.25">
      <c r="A836" s="1">
        <f t="shared" si="27"/>
        <v>44166</v>
      </c>
      <c r="B836" t="s">
        <v>150</v>
      </c>
      <c r="C836" t="str">
        <f>_xlfn.XLOOKUP(B836,Phone_by_Price!$A$2:$A$34,Phone_by_Price!$B$2:$B$34,"-",0,1)</f>
        <v>Vivo Y33s</v>
      </c>
      <c r="D836" t="str">
        <f>_xlfn.XLOOKUP(C836,Phone_by_Sentiment!$B$2:$B$37,Phone_by_Sentiment!$A$2:$A$37,"-",0,1)</f>
        <v>2021-05</v>
      </c>
      <c r="E836" cm="1">
        <f t="array" ref="E836">IF($Q836&gt;=0,IFERROR(generateSalesData($D836, IF(ISNUMBER(_xlfn.XLOOKUP($C836,Phone_by_Sentiment!$B$2:$B$37,Phone_by_Sentiment!E$2:E$37,"",0,1)),_xlfn.XLOOKUP($C836,Phone_by_Sentiment!$B$2:$B$37,Phone_by_Sentiment!E$2:E$37,"",0,1),0),$A836-TEXT(DATEVALUE($D836&amp;"-01"), "dd-mm-yyyy")),0),0)</f>
        <v>0</v>
      </c>
      <c r="F836" cm="1">
        <f t="array" ref="F836">IF($Q836&gt;=0,IFERROR(generateSalesData($D836, IF(ISNUMBER(_xlfn.XLOOKUP($C836,Phone_by_Sentiment!$B$2:$B$37,Phone_by_Sentiment!F$2:F$37,"",0,1)),_xlfn.XLOOKUP($C836,Phone_by_Sentiment!$B$2:$B$37,Phone_by_Sentiment!F$2:F$37,"",0,1),0),$A836-TEXT(DATEVALUE($D836&amp;"-01"), "dd-mm-yyyy")),0),0)</f>
        <v>0</v>
      </c>
      <c r="G836" cm="1">
        <f t="array" ref="G836">IF($Q836&gt;=0,IFERROR(generateSalesData($D836, IF(ISNUMBER(_xlfn.XLOOKUP($C836,Phone_by_Sentiment!$B$2:$B$37,Phone_by_Sentiment!G$2:G$37,"",0,1)),_xlfn.XLOOKUP($C836,Phone_by_Sentiment!$B$2:$B$37,Phone_by_Sentiment!G$2:G$37,"",0,1),0),$A836-TEXT(DATEVALUE($D836&amp;"-01"), "dd-mm-yyyy")),0),0)</f>
        <v>0</v>
      </c>
      <c r="H836" cm="1">
        <f t="array" ref="H836">IF($Q836&gt;=0,IFERROR(generateSalesData($D836, IF(ISNUMBER(_xlfn.XLOOKUP($C836,Phone_by_Sentiment!$B$2:$B$37,Phone_by_Sentiment!H$2:H$37,"",0,1)),_xlfn.XLOOKUP($C836,Phone_by_Sentiment!$B$2:$B$37,Phone_by_Sentiment!H$2:H$37,"",0,1),0),$A836-TEXT(DATEVALUE($D836&amp;"-01"), "dd-mm-yyyy")),0),0)</f>
        <v>0</v>
      </c>
      <c r="I836" cm="1">
        <f t="array" ref="I836">IF($Q836&gt;=0,IFERROR(generateSalesData($D836, IF(ISNUMBER(_xlfn.XLOOKUP($C836,Phone_by_Sentiment!$B$2:$B$37,Phone_by_Sentiment!I$2:I$37,"",0,1)),_xlfn.XLOOKUP($C836,Phone_by_Sentiment!$B$2:$B$37,Phone_by_Sentiment!I$2:I$37,"",0,1),0),$A836-TEXT(DATEVALUE($D836&amp;"-01"), "dd-mm-yyyy")),0),0)</f>
        <v>0</v>
      </c>
      <c r="J836" cm="1">
        <f t="array" ref="J836">IF($Q836&gt;=0,IFERROR(generateSalesData($D836, IF(ISNUMBER(_xlfn.XLOOKUP($C836,Phone_by_Sentiment!$B$2:$B$37,Phone_by_Sentiment!J$2:J$37,"",0,1)),_xlfn.XLOOKUP($C836,Phone_by_Sentiment!$B$2:$B$37,Phone_by_Sentiment!J$2:J$37,"",0,1),0),$A836-TEXT(DATEVALUE($D836&amp;"-01"), "dd-mm-yyyy")),0),0)</f>
        <v>0</v>
      </c>
      <c r="K836" cm="1">
        <f t="array" ref="K836">IF($Q836&gt;=0,IFERROR(generateSalesData($D836, IF(ISNUMBER(_xlfn.XLOOKUP($C836,Phone_by_Sentiment!$B$2:$B$37,Phone_by_Sentiment!K$2:K$37,"",0,1)),_xlfn.XLOOKUP($C836,Phone_by_Sentiment!$B$2:$B$37,Phone_by_Sentiment!K$2:K$37,"",0,1),0),$A836-TEXT(DATEVALUE($D836&amp;"-01"), "dd-mm-yyyy")),0),0)</f>
        <v>0</v>
      </c>
      <c r="L836" cm="1">
        <f t="array" ref="L836">IF($Q836&gt;=0,IFERROR(generateSalesData($D836, IF(ISNUMBER(_xlfn.XLOOKUP($C836,Phone_by_Sentiment!$B$2:$B$37,Phone_by_Sentiment!L$2:L$37,"",0,1)),_xlfn.XLOOKUP($C836,Phone_by_Sentiment!$B$2:$B$37,Phone_by_Sentiment!L$2:L$37,"",0,1),0),$A836-TEXT(DATEVALUE($D836&amp;"-01"), "dd-mm-yyyy")),0),0)</f>
        <v>0</v>
      </c>
      <c r="M836" cm="1">
        <f t="array" ref="M836">IF($Q836&gt;=0,IFERROR(generateSalesData($D836, IF(ISNUMBER(_xlfn.XLOOKUP($C836,Phone_by_Sentiment!$B$2:$B$37,Phone_by_Sentiment!M$2:M$37,"",0,1)),_xlfn.XLOOKUP($C836,Phone_by_Sentiment!$B$2:$B$37,Phone_by_Sentiment!M$2:M$37,"",0,1),0),$A836-TEXT(DATEVALUE($D836&amp;"-01"), "dd-mm-yyyy")),0),0)</f>
        <v>0</v>
      </c>
      <c r="N836" cm="1">
        <f t="array" ref="N836">IF($Q836&gt;=0,IFERROR(generateSalesData($D836, IF(ISNUMBER(_xlfn.XLOOKUP($C836,Phone_by_Sentiment!$B$2:$B$37,Phone_by_Sentiment!N$2:N$37,"",0,1)),_xlfn.XLOOKUP($C836,Phone_by_Sentiment!$B$2:$B$37,Phone_by_Sentiment!N$2:N$37,"",0,1),0),$A836-TEXT(DATEVALUE($D836&amp;"-01"), "dd-mm-yyyy")),0),0)</f>
        <v>0</v>
      </c>
      <c r="O836" cm="1">
        <f t="array" ref="O836">IF($Q836&gt;=0,IFERROR(generateSalesData($D836, IF(ISNUMBER(_xlfn.XLOOKUP($C836,Phone_by_Sentiment!$B$2:$B$37,Phone_by_Sentiment!O$2:O$37,"",0,1)),_xlfn.XLOOKUP($C836,Phone_by_Sentiment!$B$2:$B$37,Phone_by_Sentiment!O$2:O$37,"",0,1),0),$A836-TEXT(DATEVALUE($D836&amp;"-01"), "dd-mm-yyyy")),0),0)</f>
        <v>0</v>
      </c>
      <c r="P836" s="1">
        <f t="shared" ref="P836:P899" si="34">DATEVALUE($D836&amp;"-01")</f>
        <v>44317</v>
      </c>
      <c r="Q836">
        <f t="shared" ref="Q836:Q899" si="35">A836-P836</f>
        <v>-151</v>
      </c>
    </row>
    <row r="837" spans="1:17" x14ac:dyDescent="0.25">
      <c r="A837" s="1">
        <f t="shared" si="27"/>
        <v>44166</v>
      </c>
      <c r="B837" t="s">
        <v>151</v>
      </c>
      <c r="C837" t="str">
        <f>_xlfn.XLOOKUP(B837,Phone_by_Price!$A$2:$A$34,Phone_by_Price!$B$2:$B$34,"-",0,1)</f>
        <v>Vivo Y11s</v>
      </c>
      <c r="D837" t="str">
        <f>_xlfn.XLOOKUP(C837,Phone_by_Sentiment!$B$2:$B$37,Phone_by_Sentiment!$A$2:$A$37,"-",0,1)</f>
        <v>2020-11</v>
      </c>
      <c r="E837" cm="1">
        <f t="array" ref="E837">IF($Q837&gt;=0,IFERROR(generateSalesData($D837, IF(ISNUMBER(_xlfn.XLOOKUP($C837,Phone_by_Sentiment!$B$2:$B$37,Phone_by_Sentiment!E$2:E$37,"",0,1)),_xlfn.XLOOKUP($C837,Phone_by_Sentiment!$B$2:$B$37,Phone_by_Sentiment!E$2:E$37,"",0,1),0),$A837-TEXT(DATEVALUE($D837&amp;"-01"), "dd-mm-yyyy")),0),0)</f>
        <v>2860</v>
      </c>
      <c r="F837" cm="1">
        <f t="array" ref="F837">IF($Q837&gt;=0,IFERROR(generateSalesData($D837, IF(ISNUMBER(_xlfn.XLOOKUP($C837,Phone_by_Sentiment!$B$2:$B$37,Phone_by_Sentiment!F$2:F$37,"",0,1)),_xlfn.XLOOKUP($C837,Phone_by_Sentiment!$B$2:$B$37,Phone_by_Sentiment!F$2:F$37,"",0,1),0),$A837-TEXT(DATEVALUE($D837&amp;"-01"), "dd-mm-yyyy")),0),0)</f>
        <v>1309</v>
      </c>
      <c r="G837" cm="1">
        <f t="array" ref="G837">IF($Q837&gt;=0,IFERROR(generateSalesData($D837, IF(ISNUMBER(_xlfn.XLOOKUP($C837,Phone_by_Sentiment!$B$2:$B$37,Phone_by_Sentiment!G$2:G$37,"",0,1)),_xlfn.XLOOKUP($C837,Phone_by_Sentiment!$B$2:$B$37,Phone_by_Sentiment!G$2:G$37,"",0,1),0),$A837-TEXT(DATEVALUE($D837&amp;"-01"), "dd-mm-yyyy")),0),0)</f>
        <v>2443</v>
      </c>
      <c r="H837" cm="1">
        <f t="array" ref="H837">IF($Q837&gt;=0,IFERROR(generateSalesData($D837, IF(ISNUMBER(_xlfn.XLOOKUP($C837,Phone_by_Sentiment!$B$2:$B$37,Phone_by_Sentiment!H$2:H$37,"",0,1)),_xlfn.XLOOKUP($C837,Phone_by_Sentiment!$B$2:$B$37,Phone_by_Sentiment!H$2:H$37,"",0,1),0),$A837-TEXT(DATEVALUE($D837&amp;"-01"), "dd-mm-yyyy")),0),0)</f>
        <v>2875</v>
      </c>
      <c r="I837" cm="1">
        <f t="array" ref="I837">IF($Q837&gt;=0,IFERROR(generateSalesData($D837, IF(ISNUMBER(_xlfn.XLOOKUP($C837,Phone_by_Sentiment!$B$2:$B$37,Phone_by_Sentiment!I$2:I$37,"",0,1)),_xlfn.XLOOKUP($C837,Phone_by_Sentiment!$B$2:$B$37,Phone_by_Sentiment!I$2:I$37,"",0,1),0),$A837-TEXT(DATEVALUE($D837&amp;"-01"), "dd-mm-yyyy")),0),0)</f>
        <v>5394</v>
      </c>
      <c r="J837" cm="1">
        <f t="array" ref="J837">IF($Q837&gt;=0,IFERROR(generateSalesData($D837, IF(ISNUMBER(_xlfn.XLOOKUP($C837,Phone_by_Sentiment!$B$2:$B$37,Phone_by_Sentiment!J$2:J$37,"",0,1)),_xlfn.XLOOKUP($C837,Phone_by_Sentiment!$B$2:$B$37,Phone_by_Sentiment!J$2:J$37,"",0,1),0),$A837-TEXT(DATEVALUE($D837&amp;"-01"), "dd-mm-yyyy")),0),0)</f>
        <v>2292</v>
      </c>
      <c r="K837" cm="1">
        <f t="array" ref="K837">IF($Q837&gt;=0,IFERROR(generateSalesData($D837, IF(ISNUMBER(_xlfn.XLOOKUP($C837,Phone_by_Sentiment!$B$2:$B$37,Phone_by_Sentiment!K$2:K$37,"",0,1)),_xlfn.XLOOKUP($C837,Phone_by_Sentiment!$B$2:$B$37,Phone_by_Sentiment!K$2:K$37,"",0,1),0),$A837-TEXT(DATEVALUE($D837&amp;"-01"), "dd-mm-yyyy")),0),0)</f>
        <v>1943</v>
      </c>
      <c r="L837" cm="1">
        <f t="array" ref="L837">IF($Q837&gt;=0,IFERROR(generateSalesData($D837, IF(ISNUMBER(_xlfn.XLOOKUP($C837,Phone_by_Sentiment!$B$2:$B$37,Phone_by_Sentiment!L$2:L$37,"",0,1)),_xlfn.XLOOKUP($C837,Phone_by_Sentiment!$B$2:$B$37,Phone_by_Sentiment!L$2:L$37,"",0,1),0),$A837-TEXT(DATEVALUE($D837&amp;"-01"), "dd-mm-yyyy")),0),0)</f>
        <v>139</v>
      </c>
      <c r="M837" cm="1">
        <f t="array" ref="M837">IF($Q837&gt;=0,IFERROR(generateSalesData($D837, IF(ISNUMBER(_xlfn.XLOOKUP($C837,Phone_by_Sentiment!$B$2:$B$37,Phone_by_Sentiment!M$2:M$37,"",0,1)),_xlfn.XLOOKUP($C837,Phone_by_Sentiment!$B$2:$B$37,Phone_by_Sentiment!M$2:M$37,"",0,1),0),$A837-TEXT(DATEVALUE($D837&amp;"-01"), "dd-mm-yyyy")),0),0)</f>
        <v>3430</v>
      </c>
      <c r="N837" cm="1">
        <f t="array" ref="N837">IF($Q837&gt;=0,IFERROR(generateSalesData($D837, IF(ISNUMBER(_xlfn.XLOOKUP($C837,Phone_by_Sentiment!$B$2:$B$37,Phone_by_Sentiment!N$2:N$37,"",0,1)),_xlfn.XLOOKUP($C837,Phone_by_Sentiment!$B$2:$B$37,Phone_by_Sentiment!N$2:N$37,"",0,1),0),$A837-TEXT(DATEVALUE($D837&amp;"-01"), "dd-mm-yyyy")),0),0)</f>
        <v>678</v>
      </c>
      <c r="O837" cm="1">
        <f t="array" ref="O837">IF($Q837&gt;=0,IFERROR(generateSalesData($D837, IF(ISNUMBER(_xlfn.XLOOKUP($C837,Phone_by_Sentiment!$B$2:$B$37,Phone_by_Sentiment!O$2:O$37,"",0,1)),_xlfn.XLOOKUP($C837,Phone_by_Sentiment!$B$2:$B$37,Phone_by_Sentiment!O$2:O$37,"",0,1),0),$A837-TEXT(DATEVALUE($D837&amp;"-01"), "dd-mm-yyyy")),0),0)</f>
        <v>3487</v>
      </c>
      <c r="P837" s="1">
        <f t="shared" si="34"/>
        <v>44136</v>
      </c>
      <c r="Q837">
        <f t="shared" si="35"/>
        <v>30</v>
      </c>
    </row>
    <row r="838" spans="1:17" x14ac:dyDescent="0.25">
      <c r="A838" s="1">
        <f t="shared" si="27"/>
        <v>44166</v>
      </c>
      <c r="B838" t="s">
        <v>152</v>
      </c>
      <c r="C838" t="str">
        <f>_xlfn.XLOOKUP(B838,Phone_by_Price!$A$2:$A$34,Phone_by_Price!$B$2:$B$34,"-",0,1)</f>
        <v>Huawei Nova 7i</v>
      </c>
      <c r="D838" t="str">
        <f>_xlfn.XLOOKUP(C838,Phone_by_Sentiment!$B$2:$B$37,Phone_by_Sentiment!$A$2:$A$37,"-",0,1)</f>
        <v>2020-02</v>
      </c>
      <c r="E838" cm="1">
        <f t="array" ref="E838">IF($Q838&gt;=0,IFERROR(generateSalesData($D838, IF(ISNUMBER(_xlfn.XLOOKUP($C838,Phone_by_Sentiment!$B$2:$B$37,Phone_by_Sentiment!E$2:E$37,"",0,1)),_xlfn.XLOOKUP($C838,Phone_by_Sentiment!$B$2:$B$37,Phone_by_Sentiment!E$2:E$37,"",0,1),0),$A838-TEXT(DATEVALUE($D838&amp;"-01"), "dd-mm-yyyy")),0),0)</f>
        <v>23</v>
      </c>
      <c r="F838" cm="1">
        <f t="array" ref="F838">IF($Q838&gt;=0,IFERROR(generateSalesData($D838, IF(ISNUMBER(_xlfn.XLOOKUP($C838,Phone_by_Sentiment!$B$2:$B$37,Phone_by_Sentiment!F$2:F$37,"",0,1)),_xlfn.XLOOKUP($C838,Phone_by_Sentiment!$B$2:$B$37,Phone_by_Sentiment!F$2:F$37,"",0,1),0),$A838-TEXT(DATEVALUE($D838&amp;"-01"), "dd-mm-yyyy")),0),0)</f>
        <v>251</v>
      </c>
      <c r="G838" cm="1">
        <f t="array" ref="G838">IF($Q838&gt;=0,IFERROR(generateSalesData($D838, IF(ISNUMBER(_xlfn.XLOOKUP($C838,Phone_by_Sentiment!$B$2:$B$37,Phone_by_Sentiment!G$2:G$37,"",0,1)),_xlfn.XLOOKUP($C838,Phone_by_Sentiment!$B$2:$B$37,Phone_by_Sentiment!G$2:G$37,"",0,1),0),$A838-TEXT(DATEVALUE($D838&amp;"-01"), "dd-mm-yyyy")),0),0)</f>
        <v>235</v>
      </c>
      <c r="H838" cm="1">
        <f t="array" ref="H838">IF($Q838&gt;=0,IFERROR(generateSalesData($D838, IF(ISNUMBER(_xlfn.XLOOKUP($C838,Phone_by_Sentiment!$B$2:$B$37,Phone_by_Sentiment!H$2:H$37,"",0,1)),_xlfn.XLOOKUP($C838,Phone_by_Sentiment!$B$2:$B$37,Phone_by_Sentiment!H$2:H$37,"",0,1),0),$A838-TEXT(DATEVALUE($D838&amp;"-01"), "dd-mm-yyyy")),0),0)</f>
        <v>484</v>
      </c>
      <c r="I838" cm="1">
        <f t="array" ref="I838">IF($Q838&gt;=0,IFERROR(generateSalesData($D838, IF(ISNUMBER(_xlfn.XLOOKUP($C838,Phone_by_Sentiment!$B$2:$B$37,Phone_by_Sentiment!I$2:I$37,"",0,1)),_xlfn.XLOOKUP($C838,Phone_by_Sentiment!$B$2:$B$37,Phone_by_Sentiment!I$2:I$37,"",0,1),0),$A838-TEXT(DATEVALUE($D838&amp;"-01"), "dd-mm-yyyy")),0),0)</f>
        <v>171</v>
      </c>
      <c r="J838" cm="1">
        <f t="array" ref="J838">IF($Q838&gt;=0,IFERROR(generateSalesData($D838, IF(ISNUMBER(_xlfn.XLOOKUP($C838,Phone_by_Sentiment!$B$2:$B$37,Phone_by_Sentiment!J$2:J$37,"",0,1)),_xlfn.XLOOKUP($C838,Phone_by_Sentiment!$B$2:$B$37,Phone_by_Sentiment!J$2:J$37,"",0,1),0),$A838-TEXT(DATEVALUE($D838&amp;"-01"), "dd-mm-yyyy")),0),0)</f>
        <v>321</v>
      </c>
      <c r="K838" cm="1">
        <f t="array" ref="K838">IF($Q838&gt;=0,IFERROR(generateSalesData($D838, IF(ISNUMBER(_xlfn.XLOOKUP($C838,Phone_by_Sentiment!$B$2:$B$37,Phone_by_Sentiment!K$2:K$37,"",0,1)),_xlfn.XLOOKUP($C838,Phone_by_Sentiment!$B$2:$B$37,Phone_by_Sentiment!K$2:K$37,"",0,1),0),$A838-TEXT(DATEVALUE($D838&amp;"-01"), "dd-mm-yyyy")),0),0)</f>
        <v>241</v>
      </c>
      <c r="L838" cm="1">
        <f t="array" ref="L838">IF($Q838&gt;=0,IFERROR(generateSalesData($D838, IF(ISNUMBER(_xlfn.XLOOKUP($C838,Phone_by_Sentiment!$B$2:$B$37,Phone_by_Sentiment!L$2:L$37,"",0,1)),_xlfn.XLOOKUP($C838,Phone_by_Sentiment!$B$2:$B$37,Phone_by_Sentiment!L$2:L$37,"",0,1),0),$A838-TEXT(DATEVALUE($D838&amp;"-01"), "dd-mm-yyyy")),0),0)</f>
        <v>214</v>
      </c>
      <c r="M838" cm="1">
        <f t="array" ref="M838">IF($Q838&gt;=0,IFERROR(generateSalesData($D838, IF(ISNUMBER(_xlfn.XLOOKUP($C838,Phone_by_Sentiment!$B$2:$B$37,Phone_by_Sentiment!M$2:M$37,"",0,1)),_xlfn.XLOOKUP($C838,Phone_by_Sentiment!$B$2:$B$37,Phone_by_Sentiment!M$2:M$37,"",0,1),0),$A838-TEXT(DATEVALUE($D838&amp;"-01"), "dd-mm-yyyy")),0),0)</f>
        <v>272</v>
      </c>
      <c r="N838" cm="1">
        <f t="array" ref="N838">IF($Q838&gt;=0,IFERROR(generateSalesData($D838, IF(ISNUMBER(_xlfn.XLOOKUP($C838,Phone_by_Sentiment!$B$2:$B$37,Phone_by_Sentiment!N$2:N$37,"",0,1)),_xlfn.XLOOKUP($C838,Phone_by_Sentiment!$B$2:$B$37,Phone_by_Sentiment!N$2:N$37,"",0,1),0),$A838-TEXT(DATEVALUE($D838&amp;"-01"), "dd-mm-yyyy")),0),0)</f>
        <v>234</v>
      </c>
      <c r="O838" cm="1">
        <f t="array" ref="O838">IF($Q838&gt;=0,IFERROR(generateSalesData($D838, IF(ISNUMBER(_xlfn.XLOOKUP($C838,Phone_by_Sentiment!$B$2:$B$37,Phone_by_Sentiment!O$2:O$37,"",0,1)),_xlfn.XLOOKUP($C838,Phone_by_Sentiment!$B$2:$B$37,Phone_by_Sentiment!O$2:O$37,"",0,1),0),$A838-TEXT(DATEVALUE($D838&amp;"-01"), "dd-mm-yyyy")),0),0)</f>
        <v>310</v>
      </c>
      <c r="P838" s="1">
        <f t="shared" si="34"/>
        <v>43862</v>
      </c>
      <c r="Q838">
        <f t="shared" si="35"/>
        <v>304</v>
      </c>
    </row>
    <row r="839" spans="1:17" x14ac:dyDescent="0.25">
      <c r="A839" s="1">
        <f t="shared" si="27"/>
        <v>44166</v>
      </c>
      <c r="B839" t="s">
        <v>153</v>
      </c>
      <c r="C839" t="str">
        <f>_xlfn.XLOOKUP(B839,Phone_by_Price!$A$2:$A$34,Phone_by_Price!$B$2:$B$34,"-",0,1)</f>
        <v>iPhone 13</v>
      </c>
      <c r="D839" t="str">
        <f>_xlfn.XLOOKUP(C839,Phone_by_Sentiment!$B$2:$B$37,Phone_by_Sentiment!$A$2:$A$37,"-",0,1)</f>
        <v>2021-09</v>
      </c>
      <c r="E839" cm="1">
        <f t="array" ref="E839">IF($Q839&gt;=0,IFERROR(generateSalesData($D839, IF(ISNUMBER(_xlfn.XLOOKUP($C839,Phone_by_Sentiment!$B$2:$B$37,Phone_by_Sentiment!E$2:E$37,"",0,1)),_xlfn.XLOOKUP($C839,Phone_by_Sentiment!$B$2:$B$37,Phone_by_Sentiment!E$2:E$37,"",0,1),0),$A839-TEXT(DATEVALUE($D839&amp;"-01"), "dd-mm-yyyy")),0),0)</f>
        <v>0</v>
      </c>
      <c r="F839" cm="1">
        <f t="array" ref="F839">IF($Q839&gt;=0,IFERROR(generateSalesData($D839, IF(ISNUMBER(_xlfn.XLOOKUP($C839,Phone_by_Sentiment!$B$2:$B$37,Phone_by_Sentiment!F$2:F$37,"",0,1)),_xlfn.XLOOKUP($C839,Phone_by_Sentiment!$B$2:$B$37,Phone_by_Sentiment!F$2:F$37,"",0,1),0),$A839-TEXT(DATEVALUE($D839&amp;"-01"), "dd-mm-yyyy")),0),0)</f>
        <v>0</v>
      </c>
      <c r="G839" cm="1">
        <f t="array" ref="G839">IF($Q839&gt;=0,IFERROR(generateSalesData($D839, IF(ISNUMBER(_xlfn.XLOOKUP($C839,Phone_by_Sentiment!$B$2:$B$37,Phone_by_Sentiment!G$2:G$37,"",0,1)),_xlfn.XLOOKUP($C839,Phone_by_Sentiment!$B$2:$B$37,Phone_by_Sentiment!G$2:G$37,"",0,1),0),$A839-TEXT(DATEVALUE($D839&amp;"-01"), "dd-mm-yyyy")),0),0)</f>
        <v>0</v>
      </c>
      <c r="H839" cm="1">
        <f t="array" ref="H839">IF($Q839&gt;=0,IFERROR(generateSalesData($D839, IF(ISNUMBER(_xlfn.XLOOKUP($C839,Phone_by_Sentiment!$B$2:$B$37,Phone_by_Sentiment!H$2:H$37,"",0,1)),_xlfn.XLOOKUP($C839,Phone_by_Sentiment!$B$2:$B$37,Phone_by_Sentiment!H$2:H$37,"",0,1),0),$A839-TEXT(DATEVALUE($D839&amp;"-01"), "dd-mm-yyyy")),0),0)</f>
        <v>0</v>
      </c>
      <c r="I839" cm="1">
        <f t="array" ref="I839">IF($Q839&gt;=0,IFERROR(generateSalesData($D839, IF(ISNUMBER(_xlfn.XLOOKUP($C839,Phone_by_Sentiment!$B$2:$B$37,Phone_by_Sentiment!I$2:I$37,"",0,1)),_xlfn.XLOOKUP($C839,Phone_by_Sentiment!$B$2:$B$37,Phone_by_Sentiment!I$2:I$37,"",0,1),0),$A839-TEXT(DATEVALUE($D839&amp;"-01"), "dd-mm-yyyy")),0),0)</f>
        <v>0</v>
      </c>
      <c r="J839" cm="1">
        <f t="array" ref="J839">IF($Q839&gt;=0,IFERROR(generateSalesData($D839, IF(ISNUMBER(_xlfn.XLOOKUP($C839,Phone_by_Sentiment!$B$2:$B$37,Phone_by_Sentiment!J$2:J$37,"",0,1)),_xlfn.XLOOKUP($C839,Phone_by_Sentiment!$B$2:$B$37,Phone_by_Sentiment!J$2:J$37,"",0,1),0),$A839-TEXT(DATEVALUE($D839&amp;"-01"), "dd-mm-yyyy")),0),0)</f>
        <v>0</v>
      </c>
      <c r="K839" cm="1">
        <f t="array" ref="K839">IF($Q839&gt;=0,IFERROR(generateSalesData($D839, IF(ISNUMBER(_xlfn.XLOOKUP($C839,Phone_by_Sentiment!$B$2:$B$37,Phone_by_Sentiment!K$2:K$37,"",0,1)),_xlfn.XLOOKUP($C839,Phone_by_Sentiment!$B$2:$B$37,Phone_by_Sentiment!K$2:K$37,"",0,1),0),$A839-TEXT(DATEVALUE($D839&amp;"-01"), "dd-mm-yyyy")),0),0)</f>
        <v>0</v>
      </c>
      <c r="L839" cm="1">
        <f t="array" ref="L839">IF($Q839&gt;=0,IFERROR(generateSalesData($D839, IF(ISNUMBER(_xlfn.XLOOKUP($C839,Phone_by_Sentiment!$B$2:$B$37,Phone_by_Sentiment!L$2:L$37,"",0,1)),_xlfn.XLOOKUP($C839,Phone_by_Sentiment!$B$2:$B$37,Phone_by_Sentiment!L$2:L$37,"",0,1),0),$A839-TEXT(DATEVALUE($D839&amp;"-01"), "dd-mm-yyyy")),0),0)</f>
        <v>0</v>
      </c>
      <c r="M839" cm="1">
        <f t="array" ref="M839">IF($Q839&gt;=0,IFERROR(generateSalesData($D839, IF(ISNUMBER(_xlfn.XLOOKUP($C839,Phone_by_Sentiment!$B$2:$B$37,Phone_by_Sentiment!M$2:M$37,"",0,1)),_xlfn.XLOOKUP($C839,Phone_by_Sentiment!$B$2:$B$37,Phone_by_Sentiment!M$2:M$37,"",0,1),0),$A839-TEXT(DATEVALUE($D839&amp;"-01"), "dd-mm-yyyy")),0),0)</f>
        <v>0</v>
      </c>
      <c r="N839" cm="1">
        <f t="array" ref="N839">IF($Q839&gt;=0,IFERROR(generateSalesData($D839, IF(ISNUMBER(_xlfn.XLOOKUP($C839,Phone_by_Sentiment!$B$2:$B$37,Phone_by_Sentiment!N$2:N$37,"",0,1)),_xlfn.XLOOKUP($C839,Phone_by_Sentiment!$B$2:$B$37,Phone_by_Sentiment!N$2:N$37,"",0,1),0),$A839-TEXT(DATEVALUE($D839&amp;"-01"), "dd-mm-yyyy")),0),0)</f>
        <v>0</v>
      </c>
      <c r="O839" cm="1">
        <f t="array" ref="O839">IF($Q839&gt;=0,IFERROR(generateSalesData($D839, IF(ISNUMBER(_xlfn.XLOOKUP($C839,Phone_by_Sentiment!$B$2:$B$37,Phone_by_Sentiment!O$2:O$37,"",0,1)),_xlfn.XLOOKUP($C839,Phone_by_Sentiment!$B$2:$B$37,Phone_by_Sentiment!O$2:O$37,"",0,1),0),$A839-TEXT(DATEVALUE($D839&amp;"-01"), "dd-mm-yyyy")),0),0)</f>
        <v>0</v>
      </c>
      <c r="P839" s="1">
        <f t="shared" si="34"/>
        <v>44440</v>
      </c>
      <c r="Q839">
        <f t="shared" si="35"/>
        <v>-274</v>
      </c>
    </row>
    <row r="840" spans="1:17" x14ac:dyDescent="0.25">
      <c r="A840" s="1">
        <f t="shared" si="27"/>
        <v>44166</v>
      </c>
      <c r="B840" t="s">
        <v>154</v>
      </c>
      <c r="C840" t="str">
        <f>_xlfn.XLOOKUP(B840,Phone_by_Price!$A$2:$A$34,Phone_by_Price!$B$2:$B$34,"-",0,1)</f>
        <v>Samsung Galaxy S21</v>
      </c>
      <c r="D840" t="str">
        <f>_xlfn.XLOOKUP(C840,Phone_by_Sentiment!$B$2:$B$37,Phone_by_Sentiment!$A$2:$A$37,"-",0,1)</f>
        <v>2021-01</v>
      </c>
      <c r="E840" cm="1">
        <f t="array" ref="E840">IF($Q840&gt;=0,IFERROR(generateSalesData($D840, IF(ISNUMBER(_xlfn.XLOOKUP($C840,Phone_by_Sentiment!$B$2:$B$37,Phone_by_Sentiment!E$2:E$37,"",0,1)),_xlfn.XLOOKUP($C840,Phone_by_Sentiment!$B$2:$B$37,Phone_by_Sentiment!E$2:E$37,"",0,1),0),$A840-TEXT(DATEVALUE($D840&amp;"-01"), "dd-mm-yyyy")),0),0)</f>
        <v>0</v>
      </c>
      <c r="F840" cm="1">
        <f t="array" ref="F840">IF($Q840&gt;=0,IFERROR(generateSalesData($D840, IF(ISNUMBER(_xlfn.XLOOKUP($C840,Phone_by_Sentiment!$B$2:$B$37,Phone_by_Sentiment!F$2:F$37,"",0,1)),_xlfn.XLOOKUP($C840,Phone_by_Sentiment!$B$2:$B$37,Phone_by_Sentiment!F$2:F$37,"",0,1),0),$A840-TEXT(DATEVALUE($D840&amp;"-01"), "dd-mm-yyyy")),0),0)</f>
        <v>0</v>
      </c>
      <c r="G840" cm="1">
        <f t="array" ref="G840">IF($Q840&gt;=0,IFERROR(generateSalesData($D840, IF(ISNUMBER(_xlfn.XLOOKUP($C840,Phone_by_Sentiment!$B$2:$B$37,Phone_by_Sentiment!G$2:G$37,"",0,1)),_xlfn.XLOOKUP($C840,Phone_by_Sentiment!$B$2:$B$37,Phone_by_Sentiment!G$2:G$37,"",0,1),0),$A840-TEXT(DATEVALUE($D840&amp;"-01"), "dd-mm-yyyy")),0),0)</f>
        <v>0</v>
      </c>
      <c r="H840" cm="1">
        <f t="array" ref="H840">IF($Q840&gt;=0,IFERROR(generateSalesData($D840, IF(ISNUMBER(_xlfn.XLOOKUP($C840,Phone_by_Sentiment!$B$2:$B$37,Phone_by_Sentiment!H$2:H$37,"",0,1)),_xlfn.XLOOKUP($C840,Phone_by_Sentiment!$B$2:$B$37,Phone_by_Sentiment!H$2:H$37,"",0,1),0),$A840-TEXT(DATEVALUE($D840&amp;"-01"), "dd-mm-yyyy")),0),0)</f>
        <v>0</v>
      </c>
      <c r="I840" cm="1">
        <f t="array" ref="I840">IF($Q840&gt;=0,IFERROR(generateSalesData($D840, IF(ISNUMBER(_xlfn.XLOOKUP($C840,Phone_by_Sentiment!$B$2:$B$37,Phone_by_Sentiment!I$2:I$37,"",0,1)),_xlfn.XLOOKUP($C840,Phone_by_Sentiment!$B$2:$B$37,Phone_by_Sentiment!I$2:I$37,"",0,1),0),$A840-TEXT(DATEVALUE($D840&amp;"-01"), "dd-mm-yyyy")),0),0)</f>
        <v>0</v>
      </c>
      <c r="J840" cm="1">
        <f t="array" ref="J840">IF($Q840&gt;=0,IFERROR(generateSalesData($D840, IF(ISNUMBER(_xlfn.XLOOKUP($C840,Phone_by_Sentiment!$B$2:$B$37,Phone_by_Sentiment!J$2:J$37,"",0,1)),_xlfn.XLOOKUP($C840,Phone_by_Sentiment!$B$2:$B$37,Phone_by_Sentiment!J$2:J$37,"",0,1),0),$A840-TEXT(DATEVALUE($D840&amp;"-01"), "dd-mm-yyyy")),0),0)</f>
        <v>0</v>
      </c>
      <c r="K840" cm="1">
        <f t="array" ref="K840">IF($Q840&gt;=0,IFERROR(generateSalesData($D840, IF(ISNUMBER(_xlfn.XLOOKUP($C840,Phone_by_Sentiment!$B$2:$B$37,Phone_by_Sentiment!K$2:K$37,"",0,1)),_xlfn.XLOOKUP($C840,Phone_by_Sentiment!$B$2:$B$37,Phone_by_Sentiment!K$2:K$37,"",0,1),0),$A840-TEXT(DATEVALUE($D840&amp;"-01"), "dd-mm-yyyy")),0),0)</f>
        <v>0</v>
      </c>
      <c r="L840" cm="1">
        <f t="array" ref="L840">IF($Q840&gt;=0,IFERROR(generateSalesData($D840, IF(ISNUMBER(_xlfn.XLOOKUP($C840,Phone_by_Sentiment!$B$2:$B$37,Phone_by_Sentiment!L$2:L$37,"",0,1)),_xlfn.XLOOKUP($C840,Phone_by_Sentiment!$B$2:$B$37,Phone_by_Sentiment!L$2:L$37,"",0,1),0),$A840-TEXT(DATEVALUE($D840&amp;"-01"), "dd-mm-yyyy")),0),0)</f>
        <v>0</v>
      </c>
      <c r="M840" cm="1">
        <f t="array" ref="M840">IF($Q840&gt;=0,IFERROR(generateSalesData($D840, IF(ISNUMBER(_xlfn.XLOOKUP($C840,Phone_by_Sentiment!$B$2:$B$37,Phone_by_Sentiment!M$2:M$37,"",0,1)),_xlfn.XLOOKUP($C840,Phone_by_Sentiment!$B$2:$B$37,Phone_by_Sentiment!M$2:M$37,"",0,1),0),$A840-TEXT(DATEVALUE($D840&amp;"-01"), "dd-mm-yyyy")),0),0)</f>
        <v>0</v>
      </c>
      <c r="N840" cm="1">
        <f t="array" ref="N840">IF($Q840&gt;=0,IFERROR(generateSalesData($D840, IF(ISNUMBER(_xlfn.XLOOKUP($C840,Phone_by_Sentiment!$B$2:$B$37,Phone_by_Sentiment!N$2:N$37,"",0,1)),_xlfn.XLOOKUP($C840,Phone_by_Sentiment!$B$2:$B$37,Phone_by_Sentiment!N$2:N$37,"",0,1),0),$A840-TEXT(DATEVALUE($D840&amp;"-01"), "dd-mm-yyyy")),0),0)</f>
        <v>0</v>
      </c>
      <c r="O840" cm="1">
        <f t="array" ref="O840">IF($Q840&gt;=0,IFERROR(generateSalesData($D840, IF(ISNUMBER(_xlfn.XLOOKUP($C840,Phone_by_Sentiment!$B$2:$B$37,Phone_by_Sentiment!O$2:O$37,"",0,1)),_xlfn.XLOOKUP($C840,Phone_by_Sentiment!$B$2:$B$37,Phone_by_Sentiment!O$2:O$37,"",0,1),0),$A840-TEXT(DATEVALUE($D840&amp;"-01"), "dd-mm-yyyy")),0),0)</f>
        <v>0</v>
      </c>
      <c r="P840" s="1">
        <f t="shared" si="34"/>
        <v>44197</v>
      </c>
      <c r="Q840">
        <f t="shared" si="35"/>
        <v>-31</v>
      </c>
    </row>
    <row r="841" spans="1:17" x14ac:dyDescent="0.25">
      <c r="A841" s="1">
        <f t="shared" ref="A841:A904" si="36">DATE(YEAR($A$1), MONTH($A$1) + INT((ROW()-1)/35), DAY($A$1))</f>
        <v>44197</v>
      </c>
      <c r="B841" t="s">
        <v>155</v>
      </c>
      <c r="C841" t="str">
        <f>_xlfn.XLOOKUP(B841,Phone_by_Price!$A$2:$A$34,Phone_by_Price!$B$2:$B$34,"-",0,1)</f>
        <v>Google Pixel 6</v>
      </c>
      <c r="D841" t="str">
        <f>_xlfn.XLOOKUP(C841,Phone_by_Sentiment!$B$2:$B$37,Phone_by_Sentiment!$A$2:$A$37,"-",0,1)</f>
        <v>2021-10</v>
      </c>
      <c r="E841" cm="1">
        <f t="array" ref="E841">IF($Q841&gt;=0,IFERROR(generateSalesData($D841, IF(ISNUMBER(_xlfn.XLOOKUP($C841,Phone_by_Sentiment!$B$2:$B$37,Phone_by_Sentiment!E$2:E$37,"",0,1)),_xlfn.XLOOKUP($C841,Phone_by_Sentiment!$B$2:$B$37,Phone_by_Sentiment!E$2:E$37,"",0,1),0),$A841-TEXT(DATEVALUE($D841&amp;"-01"), "dd-mm-yyyy")),0),0)</f>
        <v>0</v>
      </c>
      <c r="F841" cm="1">
        <f t="array" ref="F841">IF($Q841&gt;=0,IFERROR(generateSalesData($D841, IF(ISNUMBER(_xlfn.XLOOKUP($C841,Phone_by_Sentiment!$B$2:$B$37,Phone_by_Sentiment!F$2:F$37,"",0,1)),_xlfn.XLOOKUP($C841,Phone_by_Sentiment!$B$2:$B$37,Phone_by_Sentiment!F$2:F$37,"",0,1),0),$A841-TEXT(DATEVALUE($D841&amp;"-01"), "dd-mm-yyyy")),0),0)</f>
        <v>0</v>
      </c>
      <c r="G841" cm="1">
        <f t="array" ref="G841">IF($Q841&gt;=0,IFERROR(generateSalesData($D841, IF(ISNUMBER(_xlfn.XLOOKUP($C841,Phone_by_Sentiment!$B$2:$B$37,Phone_by_Sentiment!G$2:G$37,"",0,1)),_xlfn.XLOOKUP($C841,Phone_by_Sentiment!$B$2:$B$37,Phone_by_Sentiment!G$2:G$37,"",0,1),0),$A841-TEXT(DATEVALUE($D841&amp;"-01"), "dd-mm-yyyy")),0),0)</f>
        <v>0</v>
      </c>
      <c r="H841" cm="1">
        <f t="array" ref="H841">IF($Q841&gt;=0,IFERROR(generateSalesData($D841, IF(ISNUMBER(_xlfn.XLOOKUP($C841,Phone_by_Sentiment!$B$2:$B$37,Phone_by_Sentiment!H$2:H$37,"",0,1)),_xlfn.XLOOKUP($C841,Phone_by_Sentiment!$B$2:$B$37,Phone_by_Sentiment!H$2:H$37,"",0,1),0),$A841-TEXT(DATEVALUE($D841&amp;"-01"), "dd-mm-yyyy")),0),0)</f>
        <v>0</v>
      </c>
      <c r="I841" cm="1">
        <f t="array" ref="I841">IF($Q841&gt;=0,IFERROR(generateSalesData($D841, IF(ISNUMBER(_xlfn.XLOOKUP($C841,Phone_by_Sentiment!$B$2:$B$37,Phone_by_Sentiment!I$2:I$37,"",0,1)),_xlfn.XLOOKUP($C841,Phone_by_Sentiment!$B$2:$B$37,Phone_by_Sentiment!I$2:I$37,"",0,1),0),$A841-TEXT(DATEVALUE($D841&amp;"-01"), "dd-mm-yyyy")),0),0)</f>
        <v>0</v>
      </c>
      <c r="J841" cm="1">
        <f t="array" ref="J841">IF($Q841&gt;=0,IFERROR(generateSalesData($D841, IF(ISNUMBER(_xlfn.XLOOKUP($C841,Phone_by_Sentiment!$B$2:$B$37,Phone_by_Sentiment!J$2:J$37,"",0,1)),_xlfn.XLOOKUP($C841,Phone_by_Sentiment!$B$2:$B$37,Phone_by_Sentiment!J$2:J$37,"",0,1),0),$A841-TEXT(DATEVALUE($D841&amp;"-01"), "dd-mm-yyyy")),0),0)</f>
        <v>0</v>
      </c>
      <c r="K841" cm="1">
        <f t="array" ref="K841">IF($Q841&gt;=0,IFERROR(generateSalesData($D841, IF(ISNUMBER(_xlfn.XLOOKUP($C841,Phone_by_Sentiment!$B$2:$B$37,Phone_by_Sentiment!K$2:K$37,"",0,1)),_xlfn.XLOOKUP($C841,Phone_by_Sentiment!$B$2:$B$37,Phone_by_Sentiment!K$2:K$37,"",0,1),0),$A841-TEXT(DATEVALUE($D841&amp;"-01"), "dd-mm-yyyy")),0),0)</f>
        <v>0</v>
      </c>
      <c r="L841" cm="1">
        <f t="array" ref="L841">IF($Q841&gt;=0,IFERROR(generateSalesData($D841, IF(ISNUMBER(_xlfn.XLOOKUP($C841,Phone_by_Sentiment!$B$2:$B$37,Phone_by_Sentiment!L$2:L$37,"",0,1)),_xlfn.XLOOKUP($C841,Phone_by_Sentiment!$B$2:$B$37,Phone_by_Sentiment!L$2:L$37,"",0,1),0),$A841-TEXT(DATEVALUE($D841&amp;"-01"), "dd-mm-yyyy")),0),0)</f>
        <v>0</v>
      </c>
      <c r="M841" cm="1">
        <f t="array" ref="M841">IF($Q841&gt;=0,IFERROR(generateSalesData($D841, IF(ISNUMBER(_xlfn.XLOOKUP($C841,Phone_by_Sentiment!$B$2:$B$37,Phone_by_Sentiment!M$2:M$37,"",0,1)),_xlfn.XLOOKUP($C841,Phone_by_Sentiment!$B$2:$B$37,Phone_by_Sentiment!M$2:M$37,"",0,1),0),$A841-TEXT(DATEVALUE($D841&amp;"-01"), "dd-mm-yyyy")),0),0)</f>
        <v>0</v>
      </c>
      <c r="N841" cm="1">
        <f t="array" ref="N841">IF($Q841&gt;=0,IFERROR(generateSalesData($D841, IF(ISNUMBER(_xlfn.XLOOKUP($C841,Phone_by_Sentiment!$B$2:$B$37,Phone_by_Sentiment!N$2:N$37,"",0,1)),_xlfn.XLOOKUP($C841,Phone_by_Sentiment!$B$2:$B$37,Phone_by_Sentiment!N$2:N$37,"",0,1),0),$A841-TEXT(DATEVALUE($D841&amp;"-01"), "dd-mm-yyyy")),0),0)</f>
        <v>0</v>
      </c>
      <c r="O841" cm="1">
        <f t="array" ref="O841">IF($Q841&gt;=0,IFERROR(generateSalesData($D841, IF(ISNUMBER(_xlfn.XLOOKUP($C841,Phone_by_Sentiment!$B$2:$B$37,Phone_by_Sentiment!O$2:O$37,"",0,1)),_xlfn.XLOOKUP($C841,Phone_by_Sentiment!$B$2:$B$37,Phone_by_Sentiment!O$2:O$37,"",0,1),0),$A841-TEXT(DATEVALUE($D841&amp;"-01"), "dd-mm-yyyy")),0),0)</f>
        <v>0</v>
      </c>
      <c r="P841" s="1">
        <f t="shared" si="34"/>
        <v>44470</v>
      </c>
      <c r="Q841">
        <f t="shared" si="35"/>
        <v>-273</v>
      </c>
    </row>
    <row r="842" spans="1:17" x14ac:dyDescent="0.25">
      <c r="A842" s="1">
        <f t="shared" si="36"/>
        <v>44197</v>
      </c>
      <c r="B842" t="s">
        <v>156</v>
      </c>
      <c r="C842" t="str">
        <f>_xlfn.XLOOKUP(B842,Phone_by_Price!$A$2:$A$34,Phone_by_Price!$B$2:$B$34,"-",0,1)</f>
        <v>OnePlus Nord CE</v>
      </c>
      <c r="D842" t="str">
        <f>_xlfn.XLOOKUP(C842,Phone_by_Sentiment!$B$2:$B$37,Phone_by_Sentiment!$A$2:$A$37,"-",0,1)</f>
        <v>2021-06</v>
      </c>
      <c r="E842" cm="1">
        <f t="array" ref="E842">IF($Q842&gt;=0,IFERROR(generateSalesData($D842, IF(ISNUMBER(_xlfn.XLOOKUP($C842,Phone_by_Sentiment!$B$2:$B$37,Phone_by_Sentiment!E$2:E$37,"",0,1)),_xlfn.XLOOKUP($C842,Phone_by_Sentiment!$B$2:$B$37,Phone_by_Sentiment!E$2:E$37,"",0,1),0),$A842-TEXT(DATEVALUE($D842&amp;"-01"), "dd-mm-yyyy")),0),0)</f>
        <v>0</v>
      </c>
      <c r="F842" cm="1">
        <f t="array" ref="F842">IF($Q842&gt;=0,IFERROR(generateSalesData($D842, IF(ISNUMBER(_xlfn.XLOOKUP($C842,Phone_by_Sentiment!$B$2:$B$37,Phone_by_Sentiment!F$2:F$37,"",0,1)),_xlfn.XLOOKUP($C842,Phone_by_Sentiment!$B$2:$B$37,Phone_by_Sentiment!F$2:F$37,"",0,1),0),$A842-TEXT(DATEVALUE($D842&amp;"-01"), "dd-mm-yyyy")),0),0)</f>
        <v>0</v>
      </c>
      <c r="G842" cm="1">
        <f t="array" ref="G842">IF($Q842&gt;=0,IFERROR(generateSalesData($D842, IF(ISNUMBER(_xlfn.XLOOKUP($C842,Phone_by_Sentiment!$B$2:$B$37,Phone_by_Sentiment!G$2:G$37,"",0,1)),_xlfn.XLOOKUP($C842,Phone_by_Sentiment!$B$2:$B$37,Phone_by_Sentiment!G$2:G$37,"",0,1),0),$A842-TEXT(DATEVALUE($D842&amp;"-01"), "dd-mm-yyyy")),0),0)</f>
        <v>0</v>
      </c>
      <c r="H842" cm="1">
        <f t="array" ref="H842">IF($Q842&gt;=0,IFERROR(generateSalesData($D842, IF(ISNUMBER(_xlfn.XLOOKUP($C842,Phone_by_Sentiment!$B$2:$B$37,Phone_by_Sentiment!H$2:H$37,"",0,1)),_xlfn.XLOOKUP($C842,Phone_by_Sentiment!$B$2:$B$37,Phone_by_Sentiment!H$2:H$37,"",0,1),0),$A842-TEXT(DATEVALUE($D842&amp;"-01"), "dd-mm-yyyy")),0),0)</f>
        <v>0</v>
      </c>
      <c r="I842" cm="1">
        <f t="array" ref="I842">IF($Q842&gt;=0,IFERROR(generateSalesData($D842, IF(ISNUMBER(_xlfn.XLOOKUP($C842,Phone_by_Sentiment!$B$2:$B$37,Phone_by_Sentiment!I$2:I$37,"",0,1)),_xlfn.XLOOKUP($C842,Phone_by_Sentiment!$B$2:$B$37,Phone_by_Sentiment!I$2:I$37,"",0,1),0),$A842-TEXT(DATEVALUE($D842&amp;"-01"), "dd-mm-yyyy")),0),0)</f>
        <v>0</v>
      </c>
      <c r="J842" cm="1">
        <f t="array" ref="J842">IF($Q842&gt;=0,IFERROR(generateSalesData($D842, IF(ISNUMBER(_xlfn.XLOOKUP($C842,Phone_by_Sentiment!$B$2:$B$37,Phone_by_Sentiment!J$2:J$37,"",0,1)),_xlfn.XLOOKUP($C842,Phone_by_Sentiment!$B$2:$B$37,Phone_by_Sentiment!J$2:J$37,"",0,1),0),$A842-TEXT(DATEVALUE($D842&amp;"-01"), "dd-mm-yyyy")),0),0)</f>
        <v>0</v>
      </c>
      <c r="K842" cm="1">
        <f t="array" ref="K842">IF($Q842&gt;=0,IFERROR(generateSalesData($D842, IF(ISNUMBER(_xlfn.XLOOKUP($C842,Phone_by_Sentiment!$B$2:$B$37,Phone_by_Sentiment!K$2:K$37,"",0,1)),_xlfn.XLOOKUP($C842,Phone_by_Sentiment!$B$2:$B$37,Phone_by_Sentiment!K$2:K$37,"",0,1),0),$A842-TEXT(DATEVALUE($D842&amp;"-01"), "dd-mm-yyyy")),0),0)</f>
        <v>0</v>
      </c>
      <c r="L842" cm="1">
        <f t="array" ref="L842">IF($Q842&gt;=0,IFERROR(generateSalesData($D842, IF(ISNUMBER(_xlfn.XLOOKUP($C842,Phone_by_Sentiment!$B$2:$B$37,Phone_by_Sentiment!L$2:L$37,"",0,1)),_xlfn.XLOOKUP($C842,Phone_by_Sentiment!$B$2:$B$37,Phone_by_Sentiment!L$2:L$37,"",0,1),0),$A842-TEXT(DATEVALUE($D842&amp;"-01"), "dd-mm-yyyy")),0),0)</f>
        <v>0</v>
      </c>
      <c r="M842" cm="1">
        <f t="array" ref="M842">IF($Q842&gt;=0,IFERROR(generateSalesData($D842, IF(ISNUMBER(_xlfn.XLOOKUP($C842,Phone_by_Sentiment!$B$2:$B$37,Phone_by_Sentiment!M$2:M$37,"",0,1)),_xlfn.XLOOKUP($C842,Phone_by_Sentiment!$B$2:$B$37,Phone_by_Sentiment!M$2:M$37,"",0,1),0),$A842-TEXT(DATEVALUE($D842&amp;"-01"), "dd-mm-yyyy")),0),0)</f>
        <v>0</v>
      </c>
      <c r="N842" cm="1">
        <f t="array" ref="N842">IF($Q842&gt;=0,IFERROR(generateSalesData($D842, IF(ISNUMBER(_xlfn.XLOOKUP($C842,Phone_by_Sentiment!$B$2:$B$37,Phone_by_Sentiment!N$2:N$37,"",0,1)),_xlfn.XLOOKUP($C842,Phone_by_Sentiment!$B$2:$B$37,Phone_by_Sentiment!N$2:N$37,"",0,1),0),$A842-TEXT(DATEVALUE($D842&amp;"-01"), "dd-mm-yyyy")),0),0)</f>
        <v>0</v>
      </c>
      <c r="O842" cm="1">
        <f t="array" ref="O842">IF($Q842&gt;=0,IFERROR(generateSalesData($D842, IF(ISNUMBER(_xlfn.XLOOKUP($C842,Phone_by_Sentiment!$B$2:$B$37,Phone_by_Sentiment!O$2:O$37,"",0,1)),_xlfn.XLOOKUP($C842,Phone_by_Sentiment!$B$2:$B$37,Phone_by_Sentiment!O$2:O$37,"",0,1),0),$A842-TEXT(DATEVALUE($D842&amp;"-01"), "dd-mm-yyyy")),0),0)</f>
        <v>0</v>
      </c>
      <c r="P842" s="1">
        <f t="shared" si="34"/>
        <v>44348</v>
      </c>
      <c r="Q842">
        <f t="shared" si="35"/>
        <v>-151</v>
      </c>
    </row>
    <row r="843" spans="1:17" x14ac:dyDescent="0.25">
      <c r="A843" s="1">
        <f t="shared" si="36"/>
        <v>44197</v>
      </c>
      <c r="B843" t="s">
        <v>157</v>
      </c>
      <c r="C843" t="str">
        <f>_xlfn.XLOOKUP(B843,Phone_by_Price!$A$2:$A$34,Phone_by_Price!$B$2:$B$34,"-",0,1)</f>
        <v>Apple iPhone 13 Pro</v>
      </c>
      <c r="D843" t="str">
        <f>_xlfn.XLOOKUP(C843,Phone_by_Sentiment!$B$2:$B$37,Phone_by_Sentiment!$A$2:$A$37,"-",0,1)</f>
        <v>2021-09</v>
      </c>
      <c r="E843" cm="1">
        <f t="array" ref="E843">IF($Q843&gt;=0,IFERROR(generateSalesData($D843, IF(ISNUMBER(_xlfn.XLOOKUP($C843,Phone_by_Sentiment!$B$2:$B$37,Phone_by_Sentiment!E$2:E$37,"",0,1)),_xlfn.XLOOKUP($C843,Phone_by_Sentiment!$B$2:$B$37,Phone_by_Sentiment!E$2:E$37,"",0,1),0),$A843-TEXT(DATEVALUE($D843&amp;"-01"), "dd-mm-yyyy")),0),0)</f>
        <v>0</v>
      </c>
      <c r="F843" cm="1">
        <f t="array" ref="F843">IF($Q843&gt;=0,IFERROR(generateSalesData($D843, IF(ISNUMBER(_xlfn.XLOOKUP($C843,Phone_by_Sentiment!$B$2:$B$37,Phone_by_Sentiment!F$2:F$37,"",0,1)),_xlfn.XLOOKUP($C843,Phone_by_Sentiment!$B$2:$B$37,Phone_by_Sentiment!F$2:F$37,"",0,1),0),$A843-TEXT(DATEVALUE($D843&amp;"-01"), "dd-mm-yyyy")),0),0)</f>
        <v>0</v>
      </c>
      <c r="G843" cm="1">
        <f t="array" ref="G843">IF($Q843&gt;=0,IFERROR(generateSalesData($D843, IF(ISNUMBER(_xlfn.XLOOKUP($C843,Phone_by_Sentiment!$B$2:$B$37,Phone_by_Sentiment!G$2:G$37,"",0,1)),_xlfn.XLOOKUP($C843,Phone_by_Sentiment!$B$2:$B$37,Phone_by_Sentiment!G$2:G$37,"",0,1),0),$A843-TEXT(DATEVALUE($D843&amp;"-01"), "dd-mm-yyyy")),0),0)</f>
        <v>0</v>
      </c>
      <c r="H843" cm="1">
        <f t="array" ref="H843">IF($Q843&gt;=0,IFERROR(generateSalesData($D843, IF(ISNUMBER(_xlfn.XLOOKUP($C843,Phone_by_Sentiment!$B$2:$B$37,Phone_by_Sentiment!H$2:H$37,"",0,1)),_xlfn.XLOOKUP($C843,Phone_by_Sentiment!$B$2:$B$37,Phone_by_Sentiment!H$2:H$37,"",0,1),0),$A843-TEXT(DATEVALUE($D843&amp;"-01"), "dd-mm-yyyy")),0),0)</f>
        <v>0</v>
      </c>
      <c r="I843" cm="1">
        <f t="array" ref="I843">IF($Q843&gt;=0,IFERROR(generateSalesData($D843, IF(ISNUMBER(_xlfn.XLOOKUP($C843,Phone_by_Sentiment!$B$2:$B$37,Phone_by_Sentiment!I$2:I$37,"",0,1)),_xlfn.XLOOKUP($C843,Phone_by_Sentiment!$B$2:$B$37,Phone_by_Sentiment!I$2:I$37,"",0,1),0),$A843-TEXT(DATEVALUE($D843&amp;"-01"), "dd-mm-yyyy")),0),0)</f>
        <v>0</v>
      </c>
      <c r="J843" cm="1">
        <f t="array" ref="J843">IF($Q843&gt;=0,IFERROR(generateSalesData($D843, IF(ISNUMBER(_xlfn.XLOOKUP($C843,Phone_by_Sentiment!$B$2:$B$37,Phone_by_Sentiment!J$2:J$37,"",0,1)),_xlfn.XLOOKUP($C843,Phone_by_Sentiment!$B$2:$B$37,Phone_by_Sentiment!J$2:J$37,"",0,1),0),$A843-TEXT(DATEVALUE($D843&amp;"-01"), "dd-mm-yyyy")),0),0)</f>
        <v>0</v>
      </c>
      <c r="K843" cm="1">
        <f t="array" ref="K843">IF($Q843&gt;=0,IFERROR(generateSalesData($D843, IF(ISNUMBER(_xlfn.XLOOKUP($C843,Phone_by_Sentiment!$B$2:$B$37,Phone_by_Sentiment!K$2:K$37,"",0,1)),_xlfn.XLOOKUP($C843,Phone_by_Sentiment!$B$2:$B$37,Phone_by_Sentiment!K$2:K$37,"",0,1),0),$A843-TEXT(DATEVALUE($D843&amp;"-01"), "dd-mm-yyyy")),0),0)</f>
        <v>0</v>
      </c>
      <c r="L843" cm="1">
        <f t="array" ref="L843">IF($Q843&gt;=0,IFERROR(generateSalesData($D843, IF(ISNUMBER(_xlfn.XLOOKUP($C843,Phone_by_Sentiment!$B$2:$B$37,Phone_by_Sentiment!L$2:L$37,"",0,1)),_xlfn.XLOOKUP($C843,Phone_by_Sentiment!$B$2:$B$37,Phone_by_Sentiment!L$2:L$37,"",0,1),0),$A843-TEXT(DATEVALUE($D843&amp;"-01"), "dd-mm-yyyy")),0),0)</f>
        <v>0</v>
      </c>
      <c r="M843" cm="1">
        <f t="array" ref="M843">IF($Q843&gt;=0,IFERROR(generateSalesData($D843, IF(ISNUMBER(_xlfn.XLOOKUP($C843,Phone_by_Sentiment!$B$2:$B$37,Phone_by_Sentiment!M$2:M$37,"",0,1)),_xlfn.XLOOKUP($C843,Phone_by_Sentiment!$B$2:$B$37,Phone_by_Sentiment!M$2:M$37,"",0,1),0),$A843-TEXT(DATEVALUE($D843&amp;"-01"), "dd-mm-yyyy")),0),0)</f>
        <v>0</v>
      </c>
      <c r="N843" cm="1">
        <f t="array" ref="N843">IF($Q843&gt;=0,IFERROR(generateSalesData($D843, IF(ISNUMBER(_xlfn.XLOOKUP($C843,Phone_by_Sentiment!$B$2:$B$37,Phone_by_Sentiment!N$2:N$37,"",0,1)),_xlfn.XLOOKUP($C843,Phone_by_Sentiment!$B$2:$B$37,Phone_by_Sentiment!N$2:N$37,"",0,1),0),$A843-TEXT(DATEVALUE($D843&amp;"-01"), "dd-mm-yyyy")),0),0)</f>
        <v>0</v>
      </c>
      <c r="O843" cm="1">
        <f t="array" ref="O843">IF($Q843&gt;=0,IFERROR(generateSalesData($D843, IF(ISNUMBER(_xlfn.XLOOKUP($C843,Phone_by_Sentiment!$B$2:$B$37,Phone_by_Sentiment!O$2:O$37,"",0,1)),_xlfn.XLOOKUP($C843,Phone_by_Sentiment!$B$2:$B$37,Phone_by_Sentiment!O$2:O$37,"",0,1),0),$A843-TEXT(DATEVALUE($D843&amp;"-01"), "dd-mm-yyyy")),0),0)</f>
        <v>0</v>
      </c>
      <c r="P843" s="1">
        <f t="shared" si="34"/>
        <v>44440</v>
      </c>
      <c r="Q843">
        <f t="shared" si="35"/>
        <v>-243</v>
      </c>
    </row>
    <row r="844" spans="1:17" x14ac:dyDescent="0.25">
      <c r="A844" s="1">
        <f t="shared" si="36"/>
        <v>44197</v>
      </c>
      <c r="B844" t="s">
        <v>158</v>
      </c>
      <c r="C844" t="str">
        <f>_xlfn.XLOOKUP(B844,Phone_by_Price!$A$2:$A$34,Phone_by_Price!$B$2:$B$34,"-",0,1)</f>
        <v>Samsung Galaxy A32 5G</v>
      </c>
      <c r="D844" t="str">
        <f>_xlfn.XLOOKUP(C844,Phone_by_Sentiment!$B$2:$B$37,Phone_by_Sentiment!$A$2:$A$37,"-",0,1)</f>
        <v>2021-02</v>
      </c>
      <c r="E844" cm="1">
        <f t="array" ref="E844">IF($Q844&gt;=0,IFERROR(generateSalesData($D844, IF(ISNUMBER(_xlfn.XLOOKUP($C844,Phone_by_Sentiment!$B$2:$B$37,Phone_by_Sentiment!E$2:E$37,"",0,1)),_xlfn.XLOOKUP($C844,Phone_by_Sentiment!$B$2:$B$37,Phone_by_Sentiment!E$2:E$37,"",0,1),0),$A844-TEXT(DATEVALUE($D844&amp;"-01"), "dd-mm-yyyy")),0),0)</f>
        <v>0</v>
      </c>
      <c r="F844" cm="1">
        <f t="array" ref="F844">IF($Q844&gt;=0,IFERROR(generateSalesData($D844, IF(ISNUMBER(_xlfn.XLOOKUP($C844,Phone_by_Sentiment!$B$2:$B$37,Phone_by_Sentiment!F$2:F$37,"",0,1)),_xlfn.XLOOKUP($C844,Phone_by_Sentiment!$B$2:$B$37,Phone_by_Sentiment!F$2:F$37,"",0,1),0),$A844-TEXT(DATEVALUE($D844&amp;"-01"), "dd-mm-yyyy")),0),0)</f>
        <v>0</v>
      </c>
      <c r="G844" cm="1">
        <f t="array" ref="G844">IF($Q844&gt;=0,IFERROR(generateSalesData($D844, IF(ISNUMBER(_xlfn.XLOOKUP($C844,Phone_by_Sentiment!$B$2:$B$37,Phone_by_Sentiment!G$2:G$37,"",0,1)),_xlfn.XLOOKUP($C844,Phone_by_Sentiment!$B$2:$B$37,Phone_by_Sentiment!G$2:G$37,"",0,1),0),$A844-TEXT(DATEVALUE($D844&amp;"-01"), "dd-mm-yyyy")),0),0)</f>
        <v>0</v>
      </c>
      <c r="H844" cm="1">
        <f t="array" ref="H844">IF($Q844&gt;=0,IFERROR(generateSalesData($D844, IF(ISNUMBER(_xlfn.XLOOKUP($C844,Phone_by_Sentiment!$B$2:$B$37,Phone_by_Sentiment!H$2:H$37,"",0,1)),_xlfn.XLOOKUP($C844,Phone_by_Sentiment!$B$2:$B$37,Phone_by_Sentiment!H$2:H$37,"",0,1),0),$A844-TEXT(DATEVALUE($D844&amp;"-01"), "dd-mm-yyyy")),0),0)</f>
        <v>0</v>
      </c>
      <c r="I844" cm="1">
        <f t="array" ref="I844">IF($Q844&gt;=0,IFERROR(generateSalesData($D844, IF(ISNUMBER(_xlfn.XLOOKUP($C844,Phone_by_Sentiment!$B$2:$B$37,Phone_by_Sentiment!I$2:I$37,"",0,1)),_xlfn.XLOOKUP($C844,Phone_by_Sentiment!$B$2:$B$37,Phone_by_Sentiment!I$2:I$37,"",0,1),0),$A844-TEXT(DATEVALUE($D844&amp;"-01"), "dd-mm-yyyy")),0),0)</f>
        <v>0</v>
      </c>
      <c r="J844" cm="1">
        <f t="array" ref="J844">IF($Q844&gt;=0,IFERROR(generateSalesData($D844, IF(ISNUMBER(_xlfn.XLOOKUP($C844,Phone_by_Sentiment!$B$2:$B$37,Phone_by_Sentiment!J$2:J$37,"",0,1)),_xlfn.XLOOKUP($C844,Phone_by_Sentiment!$B$2:$B$37,Phone_by_Sentiment!J$2:J$37,"",0,1),0),$A844-TEXT(DATEVALUE($D844&amp;"-01"), "dd-mm-yyyy")),0),0)</f>
        <v>0</v>
      </c>
      <c r="K844" cm="1">
        <f t="array" ref="K844">IF($Q844&gt;=0,IFERROR(generateSalesData($D844, IF(ISNUMBER(_xlfn.XLOOKUP($C844,Phone_by_Sentiment!$B$2:$B$37,Phone_by_Sentiment!K$2:K$37,"",0,1)),_xlfn.XLOOKUP($C844,Phone_by_Sentiment!$B$2:$B$37,Phone_by_Sentiment!K$2:K$37,"",0,1),0),$A844-TEXT(DATEVALUE($D844&amp;"-01"), "dd-mm-yyyy")),0),0)</f>
        <v>0</v>
      </c>
      <c r="L844" cm="1">
        <f t="array" ref="L844">IF($Q844&gt;=0,IFERROR(generateSalesData($D844, IF(ISNUMBER(_xlfn.XLOOKUP($C844,Phone_by_Sentiment!$B$2:$B$37,Phone_by_Sentiment!L$2:L$37,"",0,1)),_xlfn.XLOOKUP($C844,Phone_by_Sentiment!$B$2:$B$37,Phone_by_Sentiment!L$2:L$37,"",0,1),0),$A844-TEXT(DATEVALUE($D844&amp;"-01"), "dd-mm-yyyy")),0),0)</f>
        <v>0</v>
      </c>
      <c r="M844" cm="1">
        <f t="array" ref="M844">IF($Q844&gt;=0,IFERROR(generateSalesData($D844, IF(ISNUMBER(_xlfn.XLOOKUP($C844,Phone_by_Sentiment!$B$2:$B$37,Phone_by_Sentiment!M$2:M$37,"",0,1)),_xlfn.XLOOKUP($C844,Phone_by_Sentiment!$B$2:$B$37,Phone_by_Sentiment!M$2:M$37,"",0,1),0),$A844-TEXT(DATEVALUE($D844&amp;"-01"), "dd-mm-yyyy")),0),0)</f>
        <v>0</v>
      </c>
      <c r="N844" cm="1">
        <f t="array" ref="N844">IF($Q844&gt;=0,IFERROR(generateSalesData($D844, IF(ISNUMBER(_xlfn.XLOOKUP($C844,Phone_by_Sentiment!$B$2:$B$37,Phone_by_Sentiment!N$2:N$37,"",0,1)),_xlfn.XLOOKUP($C844,Phone_by_Sentiment!$B$2:$B$37,Phone_by_Sentiment!N$2:N$37,"",0,1),0),$A844-TEXT(DATEVALUE($D844&amp;"-01"), "dd-mm-yyyy")),0),0)</f>
        <v>0</v>
      </c>
      <c r="O844" cm="1">
        <f t="array" ref="O844">IF($Q844&gt;=0,IFERROR(generateSalesData($D844, IF(ISNUMBER(_xlfn.XLOOKUP($C844,Phone_by_Sentiment!$B$2:$B$37,Phone_by_Sentiment!O$2:O$37,"",0,1)),_xlfn.XLOOKUP($C844,Phone_by_Sentiment!$B$2:$B$37,Phone_by_Sentiment!O$2:O$37,"",0,1),0),$A844-TEXT(DATEVALUE($D844&amp;"-01"), "dd-mm-yyyy")),0),0)</f>
        <v>0</v>
      </c>
      <c r="P844" s="1">
        <f t="shared" si="34"/>
        <v>44228</v>
      </c>
      <c r="Q844">
        <f t="shared" si="35"/>
        <v>-31</v>
      </c>
    </row>
    <row r="845" spans="1:17" x14ac:dyDescent="0.25">
      <c r="A845" s="1">
        <f t="shared" si="36"/>
        <v>44197</v>
      </c>
      <c r="B845" t="s">
        <v>159</v>
      </c>
      <c r="C845" t="str">
        <f>_xlfn.XLOOKUP(B845,Phone_by_Price!$A$2:$A$34,Phone_by_Price!$B$2:$B$34,"-",0,1)</f>
        <v>Realme C25</v>
      </c>
      <c r="D845" t="str">
        <f>_xlfn.XLOOKUP(C845,Phone_by_Sentiment!$B$2:$B$37,Phone_by_Sentiment!$A$2:$A$37,"-",0,1)</f>
        <v>2021-03</v>
      </c>
      <c r="E845" cm="1">
        <f t="array" ref="E845">IF($Q845&gt;=0,IFERROR(generateSalesData($D845, IF(ISNUMBER(_xlfn.XLOOKUP($C845,Phone_by_Sentiment!$B$2:$B$37,Phone_by_Sentiment!E$2:E$37,"",0,1)),_xlfn.XLOOKUP($C845,Phone_by_Sentiment!$B$2:$B$37,Phone_by_Sentiment!E$2:E$37,"",0,1),0),$A845-TEXT(DATEVALUE($D845&amp;"-01"), "dd-mm-yyyy")),0),0)</f>
        <v>0</v>
      </c>
      <c r="F845" cm="1">
        <f t="array" ref="F845">IF($Q845&gt;=0,IFERROR(generateSalesData($D845, IF(ISNUMBER(_xlfn.XLOOKUP($C845,Phone_by_Sentiment!$B$2:$B$37,Phone_by_Sentiment!F$2:F$37,"",0,1)),_xlfn.XLOOKUP($C845,Phone_by_Sentiment!$B$2:$B$37,Phone_by_Sentiment!F$2:F$37,"",0,1),0),$A845-TEXT(DATEVALUE($D845&amp;"-01"), "dd-mm-yyyy")),0),0)</f>
        <v>0</v>
      </c>
      <c r="G845" cm="1">
        <f t="array" ref="G845">IF($Q845&gt;=0,IFERROR(generateSalesData($D845, IF(ISNUMBER(_xlfn.XLOOKUP($C845,Phone_by_Sentiment!$B$2:$B$37,Phone_by_Sentiment!G$2:G$37,"",0,1)),_xlfn.XLOOKUP($C845,Phone_by_Sentiment!$B$2:$B$37,Phone_by_Sentiment!G$2:G$37,"",0,1),0),$A845-TEXT(DATEVALUE($D845&amp;"-01"), "dd-mm-yyyy")),0),0)</f>
        <v>0</v>
      </c>
      <c r="H845" cm="1">
        <f t="array" ref="H845">IF($Q845&gt;=0,IFERROR(generateSalesData($D845, IF(ISNUMBER(_xlfn.XLOOKUP($C845,Phone_by_Sentiment!$B$2:$B$37,Phone_by_Sentiment!H$2:H$37,"",0,1)),_xlfn.XLOOKUP($C845,Phone_by_Sentiment!$B$2:$B$37,Phone_by_Sentiment!H$2:H$37,"",0,1),0),$A845-TEXT(DATEVALUE($D845&amp;"-01"), "dd-mm-yyyy")),0),0)</f>
        <v>0</v>
      </c>
      <c r="I845" cm="1">
        <f t="array" ref="I845">IF($Q845&gt;=0,IFERROR(generateSalesData($D845, IF(ISNUMBER(_xlfn.XLOOKUP($C845,Phone_by_Sentiment!$B$2:$B$37,Phone_by_Sentiment!I$2:I$37,"",0,1)),_xlfn.XLOOKUP($C845,Phone_by_Sentiment!$B$2:$B$37,Phone_by_Sentiment!I$2:I$37,"",0,1),0),$A845-TEXT(DATEVALUE($D845&amp;"-01"), "dd-mm-yyyy")),0),0)</f>
        <v>0</v>
      </c>
      <c r="J845" cm="1">
        <f t="array" ref="J845">IF($Q845&gt;=0,IFERROR(generateSalesData($D845, IF(ISNUMBER(_xlfn.XLOOKUP($C845,Phone_by_Sentiment!$B$2:$B$37,Phone_by_Sentiment!J$2:J$37,"",0,1)),_xlfn.XLOOKUP($C845,Phone_by_Sentiment!$B$2:$B$37,Phone_by_Sentiment!J$2:J$37,"",0,1),0),$A845-TEXT(DATEVALUE($D845&amp;"-01"), "dd-mm-yyyy")),0),0)</f>
        <v>0</v>
      </c>
      <c r="K845" cm="1">
        <f t="array" ref="K845">IF($Q845&gt;=0,IFERROR(generateSalesData($D845, IF(ISNUMBER(_xlfn.XLOOKUP($C845,Phone_by_Sentiment!$B$2:$B$37,Phone_by_Sentiment!K$2:K$37,"",0,1)),_xlfn.XLOOKUP($C845,Phone_by_Sentiment!$B$2:$B$37,Phone_by_Sentiment!K$2:K$37,"",0,1),0),$A845-TEXT(DATEVALUE($D845&amp;"-01"), "dd-mm-yyyy")),0),0)</f>
        <v>0</v>
      </c>
      <c r="L845" cm="1">
        <f t="array" ref="L845">IF($Q845&gt;=0,IFERROR(generateSalesData($D845, IF(ISNUMBER(_xlfn.XLOOKUP($C845,Phone_by_Sentiment!$B$2:$B$37,Phone_by_Sentiment!L$2:L$37,"",0,1)),_xlfn.XLOOKUP($C845,Phone_by_Sentiment!$B$2:$B$37,Phone_by_Sentiment!L$2:L$37,"",0,1),0),$A845-TEXT(DATEVALUE($D845&amp;"-01"), "dd-mm-yyyy")),0),0)</f>
        <v>0</v>
      </c>
      <c r="M845" cm="1">
        <f t="array" ref="M845">IF($Q845&gt;=0,IFERROR(generateSalesData($D845, IF(ISNUMBER(_xlfn.XLOOKUP($C845,Phone_by_Sentiment!$B$2:$B$37,Phone_by_Sentiment!M$2:M$37,"",0,1)),_xlfn.XLOOKUP($C845,Phone_by_Sentiment!$B$2:$B$37,Phone_by_Sentiment!M$2:M$37,"",0,1),0),$A845-TEXT(DATEVALUE($D845&amp;"-01"), "dd-mm-yyyy")),0),0)</f>
        <v>0</v>
      </c>
      <c r="N845" cm="1">
        <f t="array" ref="N845">IF($Q845&gt;=0,IFERROR(generateSalesData($D845, IF(ISNUMBER(_xlfn.XLOOKUP($C845,Phone_by_Sentiment!$B$2:$B$37,Phone_by_Sentiment!N$2:N$37,"",0,1)),_xlfn.XLOOKUP($C845,Phone_by_Sentiment!$B$2:$B$37,Phone_by_Sentiment!N$2:N$37,"",0,1),0),$A845-TEXT(DATEVALUE($D845&amp;"-01"), "dd-mm-yyyy")),0),0)</f>
        <v>0</v>
      </c>
      <c r="O845" cm="1">
        <f t="array" ref="O845">IF($Q845&gt;=0,IFERROR(generateSalesData($D845, IF(ISNUMBER(_xlfn.XLOOKUP($C845,Phone_by_Sentiment!$B$2:$B$37,Phone_by_Sentiment!O$2:O$37,"",0,1)),_xlfn.XLOOKUP($C845,Phone_by_Sentiment!$B$2:$B$37,Phone_by_Sentiment!O$2:O$37,"",0,1),0),$A845-TEXT(DATEVALUE($D845&amp;"-01"), "dd-mm-yyyy")),0),0)</f>
        <v>0</v>
      </c>
      <c r="P845" s="1">
        <f t="shared" si="34"/>
        <v>44256</v>
      </c>
      <c r="Q845">
        <f t="shared" si="35"/>
        <v>-59</v>
      </c>
    </row>
    <row r="846" spans="1:17" x14ac:dyDescent="0.25">
      <c r="A846" s="1">
        <f t="shared" si="36"/>
        <v>44197</v>
      </c>
      <c r="B846" t="s">
        <v>160</v>
      </c>
      <c r="C846" t="str">
        <f>_xlfn.XLOOKUP(B846,Phone_by_Price!$A$2:$A$34,Phone_by_Price!$B$2:$B$34,"-",0,1)</f>
        <v>Xiaomi Poco X3 Pro</v>
      </c>
      <c r="D846" t="str">
        <f>_xlfn.XLOOKUP(C846,Phone_by_Sentiment!$B$2:$B$37,Phone_by_Sentiment!$A$2:$A$37,"-",0,1)</f>
        <v>2021-05</v>
      </c>
      <c r="E846" cm="1">
        <f t="array" ref="E846">IF($Q846&gt;=0,IFERROR(generateSalesData($D846, IF(ISNUMBER(_xlfn.XLOOKUP($C846,Phone_by_Sentiment!$B$2:$B$37,Phone_by_Sentiment!E$2:E$37,"",0,1)),_xlfn.XLOOKUP($C846,Phone_by_Sentiment!$B$2:$B$37,Phone_by_Sentiment!E$2:E$37,"",0,1),0),$A846-TEXT(DATEVALUE($D846&amp;"-01"), "dd-mm-yyyy")),0),0)</f>
        <v>0</v>
      </c>
      <c r="F846" cm="1">
        <f t="array" ref="F846">IF($Q846&gt;=0,IFERROR(generateSalesData($D846, IF(ISNUMBER(_xlfn.XLOOKUP($C846,Phone_by_Sentiment!$B$2:$B$37,Phone_by_Sentiment!F$2:F$37,"",0,1)),_xlfn.XLOOKUP($C846,Phone_by_Sentiment!$B$2:$B$37,Phone_by_Sentiment!F$2:F$37,"",0,1),0),$A846-TEXT(DATEVALUE($D846&amp;"-01"), "dd-mm-yyyy")),0),0)</f>
        <v>0</v>
      </c>
      <c r="G846" cm="1">
        <f t="array" ref="G846">IF($Q846&gt;=0,IFERROR(generateSalesData($D846, IF(ISNUMBER(_xlfn.XLOOKUP($C846,Phone_by_Sentiment!$B$2:$B$37,Phone_by_Sentiment!G$2:G$37,"",0,1)),_xlfn.XLOOKUP($C846,Phone_by_Sentiment!$B$2:$B$37,Phone_by_Sentiment!G$2:G$37,"",0,1),0),$A846-TEXT(DATEVALUE($D846&amp;"-01"), "dd-mm-yyyy")),0),0)</f>
        <v>0</v>
      </c>
      <c r="H846" cm="1">
        <f t="array" ref="H846">IF($Q846&gt;=0,IFERROR(generateSalesData($D846, IF(ISNUMBER(_xlfn.XLOOKUP($C846,Phone_by_Sentiment!$B$2:$B$37,Phone_by_Sentiment!H$2:H$37,"",0,1)),_xlfn.XLOOKUP($C846,Phone_by_Sentiment!$B$2:$B$37,Phone_by_Sentiment!H$2:H$37,"",0,1),0),$A846-TEXT(DATEVALUE($D846&amp;"-01"), "dd-mm-yyyy")),0),0)</f>
        <v>0</v>
      </c>
      <c r="I846" cm="1">
        <f t="array" ref="I846">IF($Q846&gt;=0,IFERROR(generateSalesData($D846, IF(ISNUMBER(_xlfn.XLOOKUP($C846,Phone_by_Sentiment!$B$2:$B$37,Phone_by_Sentiment!I$2:I$37,"",0,1)),_xlfn.XLOOKUP($C846,Phone_by_Sentiment!$B$2:$B$37,Phone_by_Sentiment!I$2:I$37,"",0,1),0),$A846-TEXT(DATEVALUE($D846&amp;"-01"), "dd-mm-yyyy")),0),0)</f>
        <v>0</v>
      </c>
      <c r="J846" cm="1">
        <f t="array" ref="J846">IF($Q846&gt;=0,IFERROR(generateSalesData($D846, IF(ISNUMBER(_xlfn.XLOOKUP($C846,Phone_by_Sentiment!$B$2:$B$37,Phone_by_Sentiment!J$2:J$37,"",0,1)),_xlfn.XLOOKUP($C846,Phone_by_Sentiment!$B$2:$B$37,Phone_by_Sentiment!J$2:J$37,"",0,1),0),$A846-TEXT(DATEVALUE($D846&amp;"-01"), "dd-mm-yyyy")),0),0)</f>
        <v>0</v>
      </c>
      <c r="K846" cm="1">
        <f t="array" ref="K846">IF($Q846&gt;=0,IFERROR(generateSalesData($D846, IF(ISNUMBER(_xlfn.XLOOKUP($C846,Phone_by_Sentiment!$B$2:$B$37,Phone_by_Sentiment!K$2:K$37,"",0,1)),_xlfn.XLOOKUP($C846,Phone_by_Sentiment!$B$2:$B$37,Phone_by_Sentiment!K$2:K$37,"",0,1),0),$A846-TEXT(DATEVALUE($D846&amp;"-01"), "dd-mm-yyyy")),0),0)</f>
        <v>0</v>
      </c>
      <c r="L846" cm="1">
        <f t="array" ref="L846">IF($Q846&gt;=0,IFERROR(generateSalesData($D846, IF(ISNUMBER(_xlfn.XLOOKUP($C846,Phone_by_Sentiment!$B$2:$B$37,Phone_by_Sentiment!L$2:L$37,"",0,1)),_xlfn.XLOOKUP($C846,Phone_by_Sentiment!$B$2:$B$37,Phone_by_Sentiment!L$2:L$37,"",0,1),0),$A846-TEXT(DATEVALUE($D846&amp;"-01"), "dd-mm-yyyy")),0),0)</f>
        <v>0</v>
      </c>
      <c r="M846" cm="1">
        <f t="array" ref="M846">IF($Q846&gt;=0,IFERROR(generateSalesData($D846, IF(ISNUMBER(_xlfn.XLOOKUP($C846,Phone_by_Sentiment!$B$2:$B$37,Phone_by_Sentiment!M$2:M$37,"",0,1)),_xlfn.XLOOKUP($C846,Phone_by_Sentiment!$B$2:$B$37,Phone_by_Sentiment!M$2:M$37,"",0,1),0),$A846-TEXT(DATEVALUE($D846&amp;"-01"), "dd-mm-yyyy")),0),0)</f>
        <v>0</v>
      </c>
      <c r="N846" cm="1">
        <f t="array" ref="N846">IF($Q846&gt;=0,IFERROR(generateSalesData($D846, IF(ISNUMBER(_xlfn.XLOOKUP($C846,Phone_by_Sentiment!$B$2:$B$37,Phone_by_Sentiment!N$2:N$37,"",0,1)),_xlfn.XLOOKUP($C846,Phone_by_Sentiment!$B$2:$B$37,Phone_by_Sentiment!N$2:N$37,"",0,1),0),$A846-TEXT(DATEVALUE($D846&amp;"-01"), "dd-mm-yyyy")),0),0)</f>
        <v>0</v>
      </c>
      <c r="O846" cm="1">
        <f t="array" ref="O846">IF($Q846&gt;=0,IFERROR(generateSalesData($D846, IF(ISNUMBER(_xlfn.XLOOKUP($C846,Phone_by_Sentiment!$B$2:$B$37,Phone_by_Sentiment!O$2:O$37,"",0,1)),_xlfn.XLOOKUP($C846,Phone_by_Sentiment!$B$2:$B$37,Phone_by_Sentiment!O$2:O$37,"",0,1),0),$A846-TEXT(DATEVALUE($D846&amp;"-01"), "dd-mm-yyyy")),0),0)</f>
        <v>0</v>
      </c>
      <c r="P846" s="1">
        <f t="shared" si="34"/>
        <v>44317</v>
      </c>
      <c r="Q846">
        <f t="shared" si="35"/>
        <v>-120</v>
      </c>
    </row>
    <row r="847" spans="1:17" x14ac:dyDescent="0.25">
      <c r="A847" s="1">
        <f t="shared" si="36"/>
        <v>44197</v>
      </c>
      <c r="B847" t="s">
        <v>161</v>
      </c>
      <c r="C847" t="str">
        <f>_xlfn.XLOOKUP(B847,Phone_by_Price!$A$2:$A$34,Phone_by_Price!$B$2:$B$34,"-",0,1)</f>
        <v>Samsung Galaxy Z Flip 3</v>
      </c>
      <c r="D847" t="str">
        <f>_xlfn.XLOOKUP(C847,Phone_by_Sentiment!$B$2:$B$37,Phone_by_Sentiment!$A$2:$A$37,"-",0,1)</f>
        <v>2021-09</v>
      </c>
      <c r="E847" cm="1">
        <f t="array" ref="E847">IF($Q847&gt;=0,IFERROR(generateSalesData($D847, IF(ISNUMBER(_xlfn.XLOOKUP($C847,Phone_by_Sentiment!$B$2:$B$37,Phone_by_Sentiment!E$2:E$37,"",0,1)),_xlfn.XLOOKUP($C847,Phone_by_Sentiment!$B$2:$B$37,Phone_by_Sentiment!E$2:E$37,"",0,1),0),$A847-TEXT(DATEVALUE($D847&amp;"-01"), "dd-mm-yyyy")),0),0)</f>
        <v>0</v>
      </c>
      <c r="F847" cm="1">
        <f t="array" ref="F847">IF($Q847&gt;=0,IFERROR(generateSalesData($D847, IF(ISNUMBER(_xlfn.XLOOKUP($C847,Phone_by_Sentiment!$B$2:$B$37,Phone_by_Sentiment!F$2:F$37,"",0,1)),_xlfn.XLOOKUP($C847,Phone_by_Sentiment!$B$2:$B$37,Phone_by_Sentiment!F$2:F$37,"",0,1),0),$A847-TEXT(DATEVALUE($D847&amp;"-01"), "dd-mm-yyyy")),0),0)</f>
        <v>0</v>
      </c>
      <c r="G847" cm="1">
        <f t="array" ref="G847">IF($Q847&gt;=0,IFERROR(generateSalesData($D847, IF(ISNUMBER(_xlfn.XLOOKUP($C847,Phone_by_Sentiment!$B$2:$B$37,Phone_by_Sentiment!G$2:G$37,"",0,1)),_xlfn.XLOOKUP($C847,Phone_by_Sentiment!$B$2:$B$37,Phone_by_Sentiment!G$2:G$37,"",0,1),0),$A847-TEXT(DATEVALUE($D847&amp;"-01"), "dd-mm-yyyy")),0),0)</f>
        <v>0</v>
      </c>
      <c r="H847" cm="1">
        <f t="array" ref="H847">IF($Q847&gt;=0,IFERROR(generateSalesData($D847, IF(ISNUMBER(_xlfn.XLOOKUP($C847,Phone_by_Sentiment!$B$2:$B$37,Phone_by_Sentiment!H$2:H$37,"",0,1)),_xlfn.XLOOKUP($C847,Phone_by_Sentiment!$B$2:$B$37,Phone_by_Sentiment!H$2:H$37,"",0,1),0),$A847-TEXT(DATEVALUE($D847&amp;"-01"), "dd-mm-yyyy")),0),0)</f>
        <v>0</v>
      </c>
      <c r="I847" cm="1">
        <f t="array" ref="I847">IF($Q847&gt;=0,IFERROR(generateSalesData($D847, IF(ISNUMBER(_xlfn.XLOOKUP($C847,Phone_by_Sentiment!$B$2:$B$37,Phone_by_Sentiment!I$2:I$37,"",0,1)),_xlfn.XLOOKUP($C847,Phone_by_Sentiment!$B$2:$B$37,Phone_by_Sentiment!I$2:I$37,"",0,1),0),$A847-TEXT(DATEVALUE($D847&amp;"-01"), "dd-mm-yyyy")),0),0)</f>
        <v>0</v>
      </c>
      <c r="J847" cm="1">
        <f t="array" ref="J847">IF($Q847&gt;=0,IFERROR(generateSalesData($D847, IF(ISNUMBER(_xlfn.XLOOKUP($C847,Phone_by_Sentiment!$B$2:$B$37,Phone_by_Sentiment!J$2:J$37,"",0,1)),_xlfn.XLOOKUP($C847,Phone_by_Sentiment!$B$2:$B$37,Phone_by_Sentiment!J$2:J$37,"",0,1),0),$A847-TEXT(DATEVALUE($D847&amp;"-01"), "dd-mm-yyyy")),0),0)</f>
        <v>0</v>
      </c>
      <c r="K847" cm="1">
        <f t="array" ref="K847">IF($Q847&gt;=0,IFERROR(generateSalesData($D847, IF(ISNUMBER(_xlfn.XLOOKUP($C847,Phone_by_Sentiment!$B$2:$B$37,Phone_by_Sentiment!K$2:K$37,"",0,1)),_xlfn.XLOOKUP($C847,Phone_by_Sentiment!$B$2:$B$37,Phone_by_Sentiment!K$2:K$37,"",0,1),0),$A847-TEXT(DATEVALUE($D847&amp;"-01"), "dd-mm-yyyy")),0),0)</f>
        <v>0</v>
      </c>
      <c r="L847" cm="1">
        <f t="array" ref="L847">IF($Q847&gt;=0,IFERROR(generateSalesData($D847, IF(ISNUMBER(_xlfn.XLOOKUP($C847,Phone_by_Sentiment!$B$2:$B$37,Phone_by_Sentiment!L$2:L$37,"",0,1)),_xlfn.XLOOKUP($C847,Phone_by_Sentiment!$B$2:$B$37,Phone_by_Sentiment!L$2:L$37,"",0,1),0),$A847-TEXT(DATEVALUE($D847&amp;"-01"), "dd-mm-yyyy")),0),0)</f>
        <v>0</v>
      </c>
      <c r="M847" cm="1">
        <f t="array" ref="M847">IF($Q847&gt;=0,IFERROR(generateSalesData($D847, IF(ISNUMBER(_xlfn.XLOOKUP($C847,Phone_by_Sentiment!$B$2:$B$37,Phone_by_Sentiment!M$2:M$37,"",0,1)),_xlfn.XLOOKUP($C847,Phone_by_Sentiment!$B$2:$B$37,Phone_by_Sentiment!M$2:M$37,"",0,1),0),$A847-TEXT(DATEVALUE($D847&amp;"-01"), "dd-mm-yyyy")),0),0)</f>
        <v>0</v>
      </c>
      <c r="N847" cm="1">
        <f t="array" ref="N847">IF($Q847&gt;=0,IFERROR(generateSalesData($D847, IF(ISNUMBER(_xlfn.XLOOKUP($C847,Phone_by_Sentiment!$B$2:$B$37,Phone_by_Sentiment!N$2:N$37,"",0,1)),_xlfn.XLOOKUP($C847,Phone_by_Sentiment!$B$2:$B$37,Phone_by_Sentiment!N$2:N$37,"",0,1),0),$A847-TEXT(DATEVALUE($D847&amp;"-01"), "dd-mm-yyyy")),0),0)</f>
        <v>0</v>
      </c>
      <c r="O847" cm="1">
        <f t="array" ref="O847">IF($Q847&gt;=0,IFERROR(generateSalesData($D847, IF(ISNUMBER(_xlfn.XLOOKUP($C847,Phone_by_Sentiment!$B$2:$B$37,Phone_by_Sentiment!O$2:O$37,"",0,1)),_xlfn.XLOOKUP($C847,Phone_by_Sentiment!$B$2:$B$37,Phone_by_Sentiment!O$2:O$37,"",0,1),0),$A847-TEXT(DATEVALUE($D847&amp;"-01"), "dd-mm-yyyy")),0),0)</f>
        <v>0</v>
      </c>
      <c r="P847" s="1">
        <f t="shared" si="34"/>
        <v>44440</v>
      </c>
      <c r="Q847">
        <f t="shared" si="35"/>
        <v>-243</v>
      </c>
    </row>
    <row r="848" spans="1:17" x14ac:dyDescent="0.25">
      <c r="A848" s="1">
        <f t="shared" si="36"/>
        <v>44197</v>
      </c>
      <c r="B848" t="s">
        <v>162</v>
      </c>
      <c r="C848" t="str">
        <f>_xlfn.XLOOKUP(B848,Phone_by_Price!$A$2:$A$34,Phone_by_Price!$B$2:$B$34,"-",0,1)</f>
        <v>Xiaomi Poco X3 NFC</v>
      </c>
      <c r="D848" t="str">
        <f>_xlfn.XLOOKUP(C848,Phone_by_Sentiment!$B$2:$B$37,Phone_by_Sentiment!$A$2:$A$37,"-",0,1)</f>
        <v>2020-08</v>
      </c>
      <c r="E848" cm="1">
        <f t="array" ref="E848">IF($Q848&gt;=0,IFERROR(generateSalesData($D848, IF(ISNUMBER(_xlfn.XLOOKUP($C848,Phone_by_Sentiment!$B$2:$B$37,Phone_by_Sentiment!E$2:E$37,"",0,1)),_xlfn.XLOOKUP($C848,Phone_by_Sentiment!$B$2:$B$37,Phone_by_Sentiment!E$2:E$37,"",0,1),0),$A848-TEXT(DATEVALUE($D848&amp;"-01"), "dd-mm-yyyy")),0),0)</f>
        <v>402</v>
      </c>
      <c r="F848" cm="1">
        <f t="array" ref="F848">IF($Q848&gt;=0,IFERROR(generateSalesData($D848, IF(ISNUMBER(_xlfn.XLOOKUP($C848,Phone_by_Sentiment!$B$2:$B$37,Phone_by_Sentiment!F$2:F$37,"",0,1)),_xlfn.XLOOKUP($C848,Phone_by_Sentiment!$B$2:$B$37,Phone_by_Sentiment!F$2:F$37,"",0,1),0),$A848-TEXT(DATEVALUE($D848&amp;"-01"), "dd-mm-yyyy")),0),0)</f>
        <v>279</v>
      </c>
      <c r="G848" cm="1">
        <f t="array" ref="G848">IF($Q848&gt;=0,IFERROR(generateSalesData($D848, IF(ISNUMBER(_xlfn.XLOOKUP($C848,Phone_by_Sentiment!$B$2:$B$37,Phone_by_Sentiment!G$2:G$37,"",0,1)),_xlfn.XLOOKUP($C848,Phone_by_Sentiment!$B$2:$B$37,Phone_by_Sentiment!G$2:G$37,"",0,1),0),$A848-TEXT(DATEVALUE($D848&amp;"-01"), "dd-mm-yyyy")),0),0)</f>
        <v>609</v>
      </c>
      <c r="H848" cm="1">
        <f t="array" ref="H848">IF($Q848&gt;=0,IFERROR(generateSalesData($D848, IF(ISNUMBER(_xlfn.XLOOKUP($C848,Phone_by_Sentiment!$B$2:$B$37,Phone_by_Sentiment!H$2:H$37,"",0,1)),_xlfn.XLOOKUP($C848,Phone_by_Sentiment!$B$2:$B$37,Phone_by_Sentiment!H$2:H$37,"",0,1),0),$A848-TEXT(DATEVALUE($D848&amp;"-01"), "dd-mm-yyyy")),0),0)</f>
        <v>543</v>
      </c>
      <c r="I848" cm="1">
        <f t="array" ref="I848">IF($Q848&gt;=0,IFERROR(generateSalesData($D848, IF(ISNUMBER(_xlfn.XLOOKUP($C848,Phone_by_Sentiment!$B$2:$B$37,Phone_by_Sentiment!I$2:I$37,"",0,1)),_xlfn.XLOOKUP($C848,Phone_by_Sentiment!$B$2:$B$37,Phone_by_Sentiment!I$2:I$37,"",0,1),0),$A848-TEXT(DATEVALUE($D848&amp;"-01"), "dd-mm-yyyy")),0),0)</f>
        <v>202</v>
      </c>
      <c r="J848" cm="1">
        <f t="array" ref="J848">IF($Q848&gt;=0,IFERROR(generateSalesData($D848, IF(ISNUMBER(_xlfn.XLOOKUP($C848,Phone_by_Sentiment!$B$2:$B$37,Phone_by_Sentiment!J$2:J$37,"",0,1)),_xlfn.XLOOKUP($C848,Phone_by_Sentiment!$B$2:$B$37,Phone_by_Sentiment!J$2:J$37,"",0,1),0),$A848-TEXT(DATEVALUE($D848&amp;"-01"), "dd-mm-yyyy")),0),0)</f>
        <v>676</v>
      </c>
      <c r="K848" cm="1">
        <f t="array" ref="K848">IF($Q848&gt;=0,IFERROR(generateSalesData($D848, IF(ISNUMBER(_xlfn.XLOOKUP($C848,Phone_by_Sentiment!$B$2:$B$37,Phone_by_Sentiment!K$2:K$37,"",0,1)),_xlfn.XLOOKUP($C848,Phone_by_Sentiment!$B$2:$B$37,Phone_by_Sentiment!K$2:K$37,"",0,1),0),$A848-TEXT(DATEVALUE($D848&amp;"-01"), "dd-mm-yyyy")),0),0)</f>
        <v>1809</v>
      </c>
      <c r="L848" cm="1">
        <f t="array" ref="L848">IF($Q848&gt;=0,IFERROR(generateSalesData($D848, IF(ISNUMBER(_xlfn.XLOOKUP($C848,Phone_by_Sentiment!$B$2:$B$37,Phone_by_Sentiment!L$2:L$37,"",0,1)),_xlfn.XLOOKUP($C848,Phone_by_Sentiment!$B$2:$B$37,Phone_by_Sentiment!L$2:L$37,"",0,1),0),$A848-TEXT(DATEVALUE($D848&amp;"-01"), "dd-mm-yyyy")),0),0)</f>
        <v>23</v>
      </c>
      <c r="M848" cm="1">
        <f t="array" ref="M848">IF($Q848&gt;=0,IFERROR(generateSalesData($D848, IF(ISNUMBER(_xlfn.XLOOKUP($C848,Phone_by_Sentiment!$B$2:$B$37,Phone_by_Sentiment!M$2:M$37,"",0,1)),_xlfn.XLOOKUP($C848,Phone_by_Sentiment!$B$2:$B$37,Phone_by_Sentiment!M$2:M$37,"",0,1),0),$A848-TEXT(DATEVALUE($D848&amp;"-01"), "dd-mm-yyyy")),0),0)</f>
        <v>1453</v>
      </c>
      <c r="N848" cm="1">
        <f t="array" ref="N848">IF($Q848&gt;=0,IFERROR(generateSalesData($D848, IF(ISNUMBER(_xlfn.XLOOKUP($C848,Phone_by_Sentiment!$B$2:$B$37,Phone_by_Sentiment!N$2:N$37,"",0,1)),_xlfn.XLOOKUP($C848,Phone_by_Sentiment!$B$2:$B$37,Phone_by_Sentiment!N$2:N$37,"",0,1),0),$A848-TEXT(DATEVALUE($D848&amp;"-01"), "dd-mm-yyyy")),0),0)</f>
        <v>623</v>
      </c>
      <c r="O848" cm="1">
        <f t="array" ref="O848">IF($Q848&gt;=0,IFERROR(generateSalesData($D848, IF(ISNUMBER(_xlfn.XLOOKUP($C848,Phone_by_Sentiment!$B$2:$B$37,Phone_by_Sentiment!O$2:O$37,"",0,1)),_xlfn.XLOOKUP($C848,Phone_by_Sentiment!$B$2:$B$37,Phone_by_Sentiment!O$2:O$37,"",0,1),0),$A848-TEXT(DATEVALUE($D848&amp;"-01"), "dd-mm-yyyy")),0),0)</f>
        <v>1806</v>
      </c>
      <c r="P848" s="1">
        <f t="shared" si="34"/>
        <v>44044</v>
      </c>
      <c r="Q848">
        <f t="shared" si="35"/>
        <v>153</v>
      </c>
    </row>
    <row r="849" spans="1:17" x14ac:dyDescent="0.25">
      <c r="A849" s="1">
        <f t="shared" si="36"/>
        <v>44197</v>
      </c>
      <c r="B849" t="s">
        <v>163</v>
      </c>
      <c r="C849" t="str">
        <f>_xlfn.XLOOKUP(B849,Phone_by_Price!$A$2:$A$34,Phone_by_Price!$B$2:$B$34,"-",0,1)</f>
        <v>OPPO A93</v>
      </c>
      <c r="D849" t="str">
        <f>_xlfn.XLOOKUP(C849,Phone_by_Sentiment!$B$2:$B$37,Phone_by_Sentiment!$A$2:$A$37,"-",0,1)</f>
        <v>2021-02</v>
      </c>
      <c r="E849" cm="1">
        <f t="array" ref="E849">IF($Q849&gt;=0,IFERROR(generateSalesData($D849, IF(ISNUMBER(_xlfn.XLOOKUP($C849,Phone_by_Sentiment!$B$2:$B$37,Phone_by_Sentiment!E$2:E$37,"",0,1)),_xlfn.XLOOKUP($C849,Phone_by_Sentiment!$B$2:$B$37,Phone_by_Sentiment!E$2:E$37,"",0,1),0),$A849-TEXT(DATEVALUE($D849&amp;"-01"), "dd-mm-yyyy")),0),0)</f>
        <v>0</v>
      </c>
      <c r="F849" cm="1">
        <f t="array" ref="F849">IF($Q849&gt;=0,IFERROR(generateSalesData($D849, IF(ISNUMBER(_xlfn.XLOOKUP($C849,Phone_by_Sentiment!$B$2:$B$37,Phone_by_Sentiment!F$2:F$37,"",0,1)),_xlfn.XLOOKUP($C849,Phone_by_Sentiment!$B$2:$B$37,Phone_by_Sentiment!F$2:F$37,"",0,1),0),$A849-TEXT(DATEVALUE($D849&amp;"-01"), "dd-mm-yyyy")),0),0)</f>
        <v>0</v>
      </c>
      <c r="G849" cm="1">
        <f t="array" ref="G849">IF($Q849&gt;=0,IFERROR(generateSalesData($D849, IF(ISNUMBER(_xlfn.XLOOKUP($C849,Phone_by_Sentiment!$B$2:$B$37,Phone_by_Sentiment!G$2:G$37,"",0,1)),_xlfn.XLOOKUP($C849,Phone_by_Sentiment!$B$2:$B$37,Phone_by_Sentiment!G$2:G$37,"",0,1),0),$A849-TEXT(DATEVALUE($D849&amp;"-01"), "dd-mm-yyyy")),0),0)</f>
        <v>0</v>
      </c>
      <c r="H849" cm="1">
        <f t="array" ref="H849">IF($Q849&gt;=0,IFERROR(generateSalesData($D849, IF(ISNUMBER(_xlfn.XLOOKUP($C849,Phone_by_Sentiment!$B$2:$B$37,Phone_by_Sentiment!H$2:H$37,"",0,1)),_xlfn.XLOOKUP($C849,Phone_by_Sentiment!$B$2:$B$37,Phone_by_Sentiment!H$2:H$37,"",0,1),0),$A849-TEXT(DATEVALUE($D849&amp;"-01"), "dd-mm-yyyy")),0),0)</f>
        <v>0</v>
      </c>
      <c r="I849" cm="1">
        <f t="array" ref="I849">IF($Q849&gt;=0,IFERROR(generateSalesData($D849, IF(ISNUMBER(_xlfn.XLOOKUP($C849,Phone_by_Sentiment!$B$2:$B$37,Phone_by_Sentiment!I$2:I$37,"",0,1)),_xlfn.XLOOKUP($C849,Phone_by_Sentiment!$B$2:$B$37,Phone_by_Sentiment!I$2:I$37,"",0,1),0),$A849-TEXT(DATEVALUE($D849&amp;"-01"), "dd-mm-yyyy")),0),0)</f>
        <v>0</v>
      </c>
      <c r="J849" cm="1">
        <f t="array" ref="J849">IF($Q849&gt;=0,IFERROR(generateSalesData($D849, IF(ISNUMBER(_xlfn.XLOOKUP($C849,Phone_by_Sentiment!$B$2:$B$37,Phone_by_Sentiment!J$2:J$37,"",0,1)),_xlfn.XLOOKUP($C849,Phone_by_Sentiment!$B$2:$B$37,Phone_by_Sentiment!J$2:J$37,"",0,1),0),$A849-TEXT(DATEVALUE($D849&amp;"-01"), "dd-mm-yyyy")),0),0)</f>
        <v>0</v>
      </c>
      <c r="K849" cm="1">
        <f t="array" ref="K849">IF($Q849&gt;=0,IFERROR(generateSalesData($D849, IF(ISNUMBER(_xlfn.XLOOKUP($C849,Phone_by_Sentiment!$B$2:$B$37,Phone_by_Sentiment!K$2:K$37,"",0,1)),_xlfn.XLOOKUP($C849,Phone_by_Sentiment!$B$2:$B$37,Phone_by_Sentiment!K$2:K$37,"",0,1),0),$A849-TEXT(DATEVALUE($D849&amp;"-01"), "dd-mm-yyyy")),0),0)</f>
        <v>0</v>
      </c>
      <c r="L849" cm="1">
        <f t="array" ref="L849">IF($Q849&gt;=0,IFERROR(generateSalesData($D849, IF(ISNUMBER(_xlfn.XLOOKUP($C849,Phone_by_Sentiment!$B$2:$B$37,Phone_by_Sentiment!L$2:L$37,"",0,1)),_xlfn.XLOOKUP($C849,Phone_by_Sentiment!$B$2:$B$37,Phone_by_Sentiment!L$2:L$37,"",0,1),0),$A849-TEXT(DATEVALUE($D849&amp;"-01"), "dd-mm-yyyy")),0),0)</f>
        <v>0</v>
      </c>
      <c r="M849" cm="1">
        <f t="array" ref="M849">IF($Q849&gt;=0,IFERROR(generateSalesData($D849, IF(ISNUMBER(_xlfn.XLOOKUP($C849,Phone_by_Sentiment!$B$2:$B$37,Phone_by_Sentiment!M$2:M$37,"",0,1)),_xlfn.XLOOKUP($C849,Phone_by_Sentiment!$B$2:$B$37,Phone_by_Sentiment!M$2:M$37,"",0,1),0),$A849-TEXT(DATEVALUE($D849&amp;"-01"), "dd-mm-yyyy")),0),0)</f>
        <v>0</v>
      </c>
      <c r="N849" cm="1">
        <f t="array" ref="N849">IF($Q849&gt;=0,IFERROR(generateSalesData($D849, IF(ISNUMBER(_xlfn.XLOOKUP($C849,Phone_by_Sentiment!$B$2:$B$37,Phone_by_Sentiment!N$2:N$37,"",0,1)),_xlfn.XLOOKUP($C849,Phone_by_Sentiment!$B$2:$B$37,Phone_by_Sentiment!N$2:N$37,"",0,1),0),$A849-TEXT(DATEVALUE($D849&amp;"-01"), "dd-mm-yyyy")),0),0)</f>
        <v>0</v>
      </c>
      <c r="O849" cm="1">
        <f t="array" ref="O849">IF($Q849&gt;=0,IFERROR(generateSalesData($D849, IF(ISNUMBER(_xlfn.XLOOKUP($C849,Phone_by_Sentiment!$B$2:$B$37,Phone_by_Sentiment!O$2:O$37,"",0,1)),_xlfn.XLOOKUP($C849,Phone_by_Sentiment!$B$2:$B$37,Phone_by_Sentiment!O$2:O$37,"",0,1),0),$A849-TEXT(DATEVALUE($D849&amp;"-01"), "dd-mm-yyyy")),0),0)</f>
        <v>0</v>
      </c>
      <c r="P849" s="1">
        <f t="shared" si="34"/>
        <v>44228</v>
      </c>
      <c r="Q849">
        <f t="shared" si="35"/>
        <v>-31</v>
      </c>
    </row>
    <row r="850" spans="1:17" x14ac:dyDescent="0.25">
      <c r="A850" s="1">
        <f t="shared" si="36"/>
        <v>44197</v>
      </c>
      <c r="B850" t="s">
        <v>164</v>
      </c>
      <c r="C850" t="str">
        <f>_xlfn.XLOOKUP(B850,Phone_by_Price!$A$2:$A$34,Phone_by_Price!$B$2:$B$34,"-",0,1)</f>
        <v>Vivo V20</v>
      </c>
      <c r="D850" t="str">
        <f>_xlfn.XLOOKUP(C850,Phone_by_Sentiment!$B$2:$B$37,Phone_by_Sentiment!$A$2:$A$37,"-",0,1)</f>
        <v>2020-10</v>
      </c>
      <c r="E850" cm="1">
        <f t="array" ref="E850">IF($Q850&gt;=0,IFERROR(generateSalesData($D850, IF(ISNUMBER(_xlfn.XLOOKUP($C850,Phone_by_Sentiment!$B$2:$B$37,Phone_by_Sentiment!E$2:E$37,"",0,1)),_xlfn.XLOOKUP($C850,Phone_by_Sentiment!$B$2:$B$37,Phone_by_Sentiment!E$2:E$37,"",0,1),0),$A850-TEXT(DATEVALUE($D850&amp;"-01"), "dd-mm-yyyy")),0),0)</f>
        <v>4434</v>
      </c>
      <c r="F850" cm="1">
        <f t="array" ref="F850">IF($Q850&gt;=0,IFERROR(generateSalesData($D850, IF(ISNUMBER(_xlfn.XLOOKUP($C850,Phone_by_Sentiment!$B$2:$B$37,Phone_by_Sentiment!F$2:F$37,"",0,1)),_xlfn.XLOOKUP($C850,Phone_by_Sentiment!$B$2:$B$37,Phone_by_Sentiment!F$2:F$37,"",0,1),0),$A850-TEXT(DATEVALUE($D850&amp;"-01"), "dd-mm-yyyy")),0),0)</f>
        <v>730</v>
      </c>
      <c r="G850" cm="1">
        <f t="array" ref="G850">IF($Q850&gt;=0,IFERROR(generateSalesData($D850, IF(ISNUMBER(_xlfn.XLOOKUP($C850,Phone_by_Sentiment!$B$2:$B$37,Phone_by_Sentiment!G$2:G$37,"",0,1)),_xlfn.XLOOKUP($C850,Phone_by_Sentiment!$B$2:$B$37,Phone_by_Sentiment!G$2:G$37,"",0,1),0),$A850-TEXT(DATEVALUE($D850&amp;"-01"), "dd-mm-yyyy")),0),0)</f>
        <v>916</v>
      </c>
      <c r="H850" cm="1">
        <f t="array" ref="H850">IF($Q850&gt;=0,IFERROR(generateSalesData($D850, IF(ISNUMBER(_xlfn.XLOOKUP($C850,Phone_by_Sentiment!$B$2:$B$37,Phone_by_Sentiment!H$2:H$37,"",0,1)),_xlfn.XLOOKUP($C850,Phone_by_Sentiment!$B$2:$B$37,Phone_by_Sentiment!H$2:H$37,"",0,1),0),$A850-TEXT(DATEVALUE($D850&amp;"-01"), "dd-mm-yyyy")),0),0)</f>
        <v>-83</v>
      </c>
      <c r="I850" cm="1">
        <f t="array" ref="I850">IF($Q850&gt;=0,IFERROR(generateSalesData($D850, IF(ISNUMBER(_xlfn.XLOOKUP($C850,Phone_by_Sentiment!$B$2:$B$37,Phone_by_Sentiment!I$2:I$37,"",0,1)),_xlfn.XLOOKUP($C850,Phone_by_Sentiment!$B$2:$B$37,Phone_by_Sentiment!I$2:I$37,"",0,1),0),$A850-TEXT(DATEVALUE($D850&amp;"-01"), "dd-mm-yyyy")),0),0)</f>
        <v>806</v>
      </c>
      <c r="J850" cm="1">
        <f t="array" ref="J850">IF($Q850&gt;=0,IFERROR(generateSalesData($D850, IF(ISNUMBER(_xlfn.XLOOKUP($C850,Phone_by_Sentiment!$B$2:$B$37,Phone_by_Sentiment!J$2:J$37,"",0,1)),_xlfn.XLOOKUP($C850,Phone_by_Sentiment!$B$2:$B$37,Phone_by_Sentiment!J$2:J$37,"",0,1),0),$A850-TEXT(DATEVALUE($D850&amp;"-01"), "dd-mm-yyyy")),0),0)</f>
        <v>743</v>
      </c>
      <c r="K850" cm="1">
        <f t="array" ref="K850">IF($Q850&gt;=0,IFERROR(generateSalesData($D850, IF(ISNUMBER(_xlfn.XLOOKUP($C850,Phone_by_Sentiment!$B$2:$B$37,Phone_by_Sentiment!K$2:K$37,"",0,1)),_xlfn.XLOOKUP($C850,Phone_by_Sentiment!$B$2:$B$37,Phone_by_Sentiment!K$2:K$37,"",0,1),0),$A850-TEXT(DATEVALUE($D850&amp;"-01"), "dd-mm-yyyy")),0),0)</f>
        <v>331</v>
      </c>
      <c r="L850" cm="1">
        <f t="array" ref="L850">IF($Q850&gt;=0,IFERROR(generateSalesData($D850, IF(ISNUMBER(_xlfn.XLOOKUP($C850,Phone_by_Sentiment!$B$2:$B$37,Phone_by_Sentiment!L$2:L$37,"",0,1)),_xlfn.XLOOKUP($C850,Phone_by_Sentiment!$B$2:$B$37,Phone_by_Sentiment!L$2:L$37,"",0,1),0),$A850-TEXT(DATEVALUE($D850&amp;"-01"), "dd-mm-yyyy")),0),0)</f>
        <v>476</v>
      </c>
      <c r="M850" cm="1">
        <f t="array" ref="M850">IF($Q850&gt;=0,IFERROR(generateSalesData($D850, IF(ISNUMBER(_xlfn.XLOOKUP($C850,Phone_by_Sentiment!$B$2:$B$37,Phone_by_Sentiment!M$2:M$37,"",0,1)),_xlfn.XLOOKUP($C850,Phone_by_Sentiment!$B$2:$B$37,Phone_by_Sentiment!M$2:M$37,"",0,1),0),$A850-TEXT(DATEVALUE($D850&amp;"-01"), "dd-mm-yyyy")),0),0)</f>
        <v>1381</v>
      </c>
      <c r="N850" cm="1">
        <f t="array" ref="N850">IF($Q850&gt;=0,IFERROR(generateSalesData($D850, IF(ISNUMBER(_xlfn.XLOOKUP($C850,Phone_by_Sentiment!$B$2:$B$37,Phone_by_Sentiment!N$2:N$37,"",0,1)),_xlfn.XLOOKUP($C850,Phone_by_Sentiment!$B$2:$B$37,Phone_by_Sentiment!N$2:N$37,"",0,1),0),$A850-TEXT(DATEVALUE($D850&amp;"-01"), "dd-mm-yyyy")),0),0)</f>
        <v>865</v>
      </c>
      <c r="O850" cm="1">
        <f t="array" ref="O850">IF($Q850&gt;=0,IFERROR(generateSalesData($D850, IF(ISNUMBER(_xlfn.XLOOKUP($C850,Phone_by_Sentiment!$B$2:$B$37,Phone_by_Sentiment!O$2:O$37,"",0,1)),_xlfn.XLOOKUP($C850,Phone_by_Sentiment!$B$2:$B$37,Phone_by_Sentiment!O$2:O$37,"",0,1),0),$A850-TEXT(DATEVALUE($D850&amp;"-01"), "dd-mm-yyyy")),0),0)</f>
        <v>234</v>
      </c>
      <c r="P850" s="1">
        <f t="shared" si="34"/>
        <v>44105</v>
      </c>
      <c r="Q850">
        <f t="shared" si="35"/>
        <v>92</v>
      </c>
    </row>
    <row r="851" spans="1:17" x14ac:dyDescent="0.25">
      <c r="A851" s="1">
        <f t="shared" si="36"/>
        <v>44197</v>
      </c>
      <c r="B851" t="s">
        <v>165</v>
      </c>
      <c r="C851" t="str">
        <f>_xlfn.XLOOKUP(B851,Phone_by_Price!$A$2:$A$34,Phone_by_Price!$B$2:$B$34,"-",0,1)</f>
        <v>Samsung Galaxy A50</v>
      </c>
      <c r="D851" t="str">
        <f>_xlfn.XLOOKUP(C851,Phone_by_Sentiment!$B$2:$B$37,Phone_by_Sentiment!$A$2:$A$37,"-",0,1)</f>
        <v>2019-05</v>
      </c>
      <c r="E851" cm="1">
        <f t="array" ref="E851">IF($Q851&gt;=0,IFERROR(generateSalesData($D851, IF(ISNUMBER(_xlfn.XLOOKUP($C851,Phone_by_Sentiment!$B$2:$B$37,Phone_by_Sentiment!E$2:E$37,"",0,1)),_xlfn.XLOOKUP($C851,Phone_by_Sentiment!$B$2:$B$37,Phone_by_Sentiment!E$2:E$37,"",0,1),0),$A851-TEXT(DATEVALUE($D851&amp;"-01"), "dd-mm-yyyy")),0),0)</f>
        <v>212</v>
      </c>
      <c r="F851" cm="1">
        <f t="array" ref="F851">IF($Q851&gt;=0,IFERROR(generateSalesData($D851, IF(ISNUMBER(_xlfn.XLOOKUP($C851,Phone_by_Sentiment!$B$2:$B$37,Phone_by_Sentiment!F$2:F$37,"",0,1)),_xlfn.XLOOKUP($C851,Phone_by_Sentiment!$B$2:$B$37,Phone_by_Sentiment!F$2:F$37,"",0,1),0),$A851-TEXT(DATEVALUE($D851&amp;"-01"), "dd-mm-yyyy")),0),0)</f>
        <v>62</v>
      </c>
      <c r="G851" cm="1">
        <f t="array" ref="G851">IF($Q851&gt;=0,IFERROR(generateSalesData($D851, IF(ISNUMBER(_xlfn.XLOOKUP($C851,Phone_by_Sentiment!$B$2:$B$37,Phone_by_Sentiment!G$2:G$37,"",0,1)),_xlfn.XLOOKUP($C851,Phone_by_Sentiment!$B$2:$B$37,Phone_by_Sentiment!G$2:G$37,"",0,1),0),$A851-TEXT(DATEVALUE($D851&amp;"-01"), "dd-mm-yyyy")),0),0)</f>
        <v>206</v>
      </c>
      <c r="H851" cm="1">
        <f t="array" ref="H851">IF($Q851&gt;=0,IFERROR(generateSalesData($D851, IF(ISNUMBER(_xlfn.XLOOKUP($C851,Phone_by_Sentiment!$B$2:$B$37,Phone_by_Sentiment!H$2:H$37,"",0,1)),_xlfn.XLOOKUP($C851,Phone_by_Sentiment!$B$2:$B$37,Phone_by_Sentiment!H$2:H$37,"",0,1),0),$A851-TEXT(DATEVALUE($D851&amp;"-01"), "dd-mm-yyyy")),0),0)</f>
        <v>303</v>
      </c>
      <c r="I851" cm="1">
        <f t="array" ref="I851">IF($Q851&gt;=0,IFERROR(generateSalesData($D851, IF(ISNUMBER(_xlfn.XLOOKUP($C851,Phone_by_Sentiment!$B$2:$B$37,Phone_by_Sentiment!I$2:I$37,"",0,1)),_xlfn.XLOOKUP($C851,Phone_by_Sentiment!$B$2:$B$37,Phone_by_Sentiment!I$2:I$37,"",0,1),0),$A851-TEXT(DATEVALUE($D851&amp;"-01"), "dd-mm-yyyy")),0),0)</f>
        <v>336</v>
      </c>
      <c r="J851" cm="1">
        <f t="array" ref="J851">IF($Q851&gt;=0,IFERROR(generateSalesData($D851, IF(ISNUMBER(_xlfn.XLOOKUP($C851,Phone_by_Sentiment!$B$2:$B$37,Phone_by_Sentiment!J$2:J$37,"",0,1)),_xlfn.XLOOKUP($C851,Phone_by_Sentiment!$B$2:$B$37,Phone_by_Sentiment!J$2:J$37,"",0,1),0),$A851-TEXT(DATEVALUE($D851&amp;"-01"), "dd-mm-yyyy")),0),0)</f>
        <v>137</v>
      </c>
      <c r="K851" cm="1">
        <f t="array" ref="K851">IF($Q851&gt;=0,IFERROR(generateSalesData($D851, IF(ISNUMBER(_xlfn.XLOOKUP($C851,Phone_by_Sentiment!$B$2:$B$37,Phone_by_Sentiment!K$2:K$37,"",0,1)),_xlfn.XLOOKUP($C851,Phone_by_Sentiment!$B$2:$B$37,Phone_by_Sentiment!K$2:K$37,"",0,1),0),$A851-TEXT(DATEVALUE($D851&amp;"-01"), "dd-mm-yyyy")),0),0)</f>
        <v>35</v>
      </c>
      <c r="L851" cm="1">
        <f t="array" ref="L851">IF($Q851&gt;=0,IFERROR(generateSalesData($D851, IF(ISNUMBER(_xlfn.XLOOKUP($C851,Phone_by_Sentiment!$B$2:$B$37,Phone_by_Sentiment!L$2:L$37,"",0,1)),_xlfn.XLOOKUP($C851,Phone_by_Sentiment!$B$2:$B$37,Phone_by_Sentiment!L$2:L$37,"",0,1),0),$A851-TEXT(DATEVALUE($D851&amp;"-01"), "dd-mm-yyyy")),0),0)</f>
        <v>150</v>
      </c>
      <c r="M851" cm="1">
        <f t="array" ref="M851">IF($Q851&gt;=0,IFERROR(generateSalesData($D851, IF(ISNUMBER(_xlfn.XLOOKUP($C851,Phone_by_Sentiment!$B$2:$B$37,Phone_by_Sentiment!M$2:M$37,"",0,1)),_xlfn.XLOOKUP($C851,Phone_by_Sentiment!$B$2:$B$37,Phone_by_Sentiment!M$2:M$37,"",0,1),0),$A851-TEXT(DATEVALUE($D851&amp;"-01"), "dd-mm-yyyy")),0),0)</f>
        <v>84</v>
      </c>
      <c r="N851" cm="1">
        <f t="array" ref="N851">IF($Q851&gt;=0,IFERROR(generateSalesData($D851, IF(ISNUMBER(_xlfn.XLOOKUP($C851,Phone_by_Sentiment!$B$2:$B$37,Phone_by_Sentiment!N$2:N$37,"",0,1)),_xlfn.XLOOKUP($C851,Phone_by_Sentiment!$B$2:$B$37,Phone_by_Sentiment!N$2:N$37,"",0,1),0),$A851-TEXT(DATEVALUE($D851&amp;"-01"), "dd-mm-yyyy")),0),0)</f>
        <v>418</v>
      </c>
      <c r="O851" cm="1">
        <f t="array" ref="O851">IF($Q851&gt;=0,IFERROR(generateSalesData($D851, IF(ISNUMBER(_xlfn.XLOOKUP($C851,Phone_by_Sentiment!$B$2:$B$37,Phone_by_Sentiment!O$2:O$37,"",0,1)),_xlfn.XLOOKUP($C851,Phone_by_Sentiment!$B$2:$B$37,Phone_by_Sentiment!O$2:O$37,"",0,1),0),$A851-TEXT(DATEVALUE($D851&amp;"-01"), "dd-mm-yyyy")),0),0)</f>
        <v>434</v>
      </c>
      <c r="P851" s="1">
        <f t="shared" si="34"/>
        <v>43586</v>
      </c>
      <c r="Q851">
        <f t="shared" si="35"/>
        <v>611</v>
      </c>
    </row>
    <row r="852" spans="1:17" x14ac:dyDescent="0.25">
      <c r="A852" s="1">
        <f t="shared" si="36"/>
        <v>44197</v>
      </c>
      <c r="B852" t="s">
        <v>166</v>
      </c>
      <c r="C852" t="str">
        <f>_xlfn.XLOOKUP(B852,Phone_by_Price!$A$2:$A$34,Phone_by_Price!$B$2:$B$34,"-",0,1)</f>
        <v>Xiaomi Redmi Note 7</v>
      </c>
      <c r="D852" t="str">
        <f>_xlfn.XLOOKUP(C852,Phone_by_Sentiment!$B$2:$B$37,Phone_by_Sentiment!$A$2:$A$37,"-",0,1)</f>
        <v>2019-08</v>
      </c>
      <c r="E852" cm="1">
        <f t="array" ref="E852">IF($Q852&gt;=0,IFERROR(generateSalesData($D852, IF(ISNUMBER(_xlfn.XLOOKUP($C852,Phone_by_Sentiment!$B$2:$B$37,Phone_by_Sentiment!E$2:E$37,"",0,1)),_xlfn.XLOOKUP($C852,Phone_by_Sentiment!$B$2:$B$37,Phone_by_Sentiment!E$2:E$37,"",0,1),0),$A852-TEXT(DATEVALUE($D852&amp;"-01"), "dd-mm-yyyy")),0),0)</f>
        <v>78</v>
      </c>
      <c r="F852" cm="1">
        <f t="array" ref="F852">IF($Q852&gt;=0,IFERROR(generateSalesData($D852, IF(ISNUMBER(_xlfn.XLOOKUP($C852,Phone_by_Sentiment!$B$2:$B$37,Phone_by_Sentiment!F$2:F$37,"",0,1)),_xlfn.XLOOKUP($C852,Phone_by_Sentiment!$B$2:$B$37,Phone_by_Sentiment!F$2:F$37,"",0,1),0),$A852-TEXT(DATEVALUE($D852&amp;"-01"), "dd-mm-yyyy")),0),0)</f>
        <v>111</v>
      </c>
      <c r="G852" cm="1">
        <f t="array" ref="G852">IF($Q852&gt;=0,IFERROR(generateSalesData($D852, IF(ISNUMBER(_xlfn.XLOOKUP($C852,Phone_by_Sentiment!$B$2:$B$37,Phone_by_Sentiment!G$2:G$37,"",0,1)),_xlfn.XLOOKUP($C852,Phone_by_Sentiment!$B$2:$B$37,Phone_by_Sentiment!G$2:G$37,"",0,1),0),$A852-TEXT(DATEVALUE($D852&amp;"-01"), "dd-mm-yyyy")),0),0)</f>
        <v>103</v>
      </c>
      <c r="H852" cm="1">
        <f t="array" ref="H852">IF($Q852&gt;=0,IFERROR(generateSalesData($D852, IF(ISNUMBER(_xlfn.XLOOKUP($C852,Phone_by_Sentiment!$B$2:$B$37,Phone_by_Sentiment!H$2:H$37,"",0,1)),_xlfn.XLOOKUP($C852,Phone_by_Sentiment!$B$2:$B$37,Phone_by_Sentiment!H$2:H$37,"",0,1),0),$A852-TEXT(DATEVALUE($D852&amp;"-01"), "dd-mm-yyyy")),0),0)</f>
        <v>645</v>
      </c>
      <c r="I852" cm="1">
        <f t="array" ref="I852">IF($Q852&gt;=0,IFERROR(generateSalesData($D852, IF(ISNUMBER(_xlfn.XLOOKUP($C852,Phone_by_Sentiment!$B$2:$B$37,Phone_by_Sentiment!I$2:I$37,"",0,1)),_xlfn.XLOOKUP($C852,Phone_by_Sentiment!$B$2:$B$37,Phone_by_Sentiment!I$2:I$37,"",0,1),0),$A852-TEXT(DATEVALUE($D852&amp;"-01"), "dd-mm-yyyy")),0),0)</f>
        <v>127</v>
      </c>
      <c r="J852" cm="1">
        <f t="array" ref="J852">IF($Q852&gt;=0,IFERROR(generateSalesData($D852, IF(ISNUMBER(_xlfn.XLOOKUP($C852,Phone_by_Sentiment!$B$2:$B$37,Phone_by_Sentiment!J$2:J$37,"",0,1)),_xlfn.XLOOKUP($C852,Phone_by_Sentiment!$B$2:$B$37,Phone_by_Sentiment!J$2:J$37,"",0,1),0),$A852-TEXT(DATEVALUE($D852&amp;"-01"), "dd-mm-yyyy")),0),0)</f>
        <v>123</v>
      </c>
      <c r="K852" cm="1">
        <f t="array" ref="K852">IF($Q852&gt;=0,IFERROR(generateSalesData($D852, IF(ISNUMBER(_xlfn.XLOOKUP($C852,Phone_by_Sentiment!$B$2:$B$37,Phone_by_Sentiment!K$2:K$37,"",0,1)),_xlfn.XLOOKUP($C852,Phone_by_Sentiment!$B$2:$B$37,Phone_by_Sentiment!K$2:K$37,"",0,1),0),$A852-TEXT(DATEVALUE($D852&amp;"-01"), "dd-mm-yyyy")),0),0)</f>
        <v>239</v>
      </c>
      <c r="L852" cm="1">
        <f t="array" ref="L852">IF($Q852&gt;=0,IFERROR(generateSalesData($D852, IF(ISNUMBER(_xlfn.XLOOKUP($C852,Phone_by_Sentiment!$B$2:$B$37,Phone_by_Sentiment!L$2:L$37,"",0,1)),_xlfn.XLOOKUP($C852,Phone_by_Sentiment!$B$2:$B$37,Phone_by_Sentiment!L$2:L$37,"",0,1),0),$A852-TEXT(DATEVALUE($D852&amp;"-01"), "dd-mm-yyyy")),0),0)</f>
        <v>124</v>
      </c>
      <c r="M852" cm="1">
        <f t="array" ref="M852">IF($Q852&gt;=0,IFERROR(generateSalesData($D852, IF(ISNUMBER(_xlfn.XLOOKUP($C852,Phone_by_Sentiment!$B$2:$B$37,Phone_by_Sentiment!M$2:M$37,"",0,1)),_xlfn.XLOOKUP($C852,Phone_by_Sentiment!$B$2:$B$37,Phone_by_Sentiment!M$2:M$37,"",0,1),0),$A852-TEXT(DATEVALUE($D852&amp;"-01"), "dd-mm-yyyy")),0),0)</f>
        <v>794</v>
      </c>
      <c r="N852" cm="1">
        <f t="array" ref="N852">IF($Q852&gt;=0,IFERROR(generateSalesData($D852, IF(ISNUMBER(_xlfn.XLOOKUP($C852,Phone_by_Sentiment!$B$2:$B$37,Phone_by_Sentiment!N$2:N$37,"",0,1)),_xlfn.XLOOKUP($C852,Phone_by_Sentiment!$B$2:$B$37,Phone_by_Sentiment!N$2:N$37,"",0,1),0),$A852-TEXT(DATEVALUE($D852&amp;"-01"), "dd-mm-yyyy")),0),0)</f>
        <v>46</v>
      </c>
      <c r="O852" cm="1">
        <f t="array" ref="O852">IF($Q852&gt;=0,IFERROR(generateSalesData($D852, IF(ISNUMBER(_xlfn.XLOOKUP($C852,Phone_by_Sentiment!$B$2:$B$37,Phone_by_Sentiment!O$2:O$37,"",0,1)),_xlfn.XLOOKUP($C852,Phone_by_Sentiment!$B$2:$B$37,Phone_by_Sentiment!O$2:O$37,"",0,1),0),$A852-TEXT(DATEVALUE($D852&amp;"-01"), "dd-mm-yyyy")),0),0)</f>
        <v>466</v>
      </c>
      <c r="P852" s="1">
        <f t="shared" si="34"/>
        <v>43678</v>
      </c>
      <c r="Q852">
        <f t="shared" si="35"/>
        <v>519</v>
      </c>
    </row>
    <row r="853" spans="1:17" x14ac:dyDescent="0.25">
      <c r="A853" s="1">
        <f t="shared" si="36"/>
        <v>44197</v>
      </c>
      <c r="B853" t="s">
        <v>167</v>
      </c>
      <c r="C853" t="str">
        <f>_xlfn.XLOOKUP(B853,Phone_by_Price!$A$2:$A$34,Phone_by_Price!$B$2:$B$34,"-",0,1)</f>
        <v>Realme C21</v>
      </c>
      <c r="D853" t="str">
        <f>_xlfn.XLOOKUP(C853,Phone_by_Sentiment!$B$2:$B$37,Phone_by_Sentiment!$A$2:$A$37,"-",0,1)</f>
        <v>2021-04</v>
      </c>
      <c r="E853" cm="1">
        <f t="array" ref="E853">IF($Q853&gt;=0,IFERROR(generateSalesData($D853, IF(ISNUMBER(_xlfn.XLOOKUP($C853,Phone_by_Sentiment!$B$2:$B$37,Phone_by_Sentiment!E$2:E$37,"",0,1)),_xlfn.XLOOKUP($C853,Phone_by_Sentiment!$B$2:$B$37,Phone_by_Sentiment!E$2:E$37,"",0,1),0),$A853-TEXT(DATEVALUE($D853&amp;"-01"), "dd-mm-yyyy")),0),0)</f>
        <v>0</v>
      </c>
      <c r="F853" cm="1">
        <f t="array" ref="F853">IF($Q853&gt;=0,IFERROR(generateSalesData($D853, IF(ISNUMBER(_xlfn.XLOOKUP($C853,Phone_by_Sentiment!$B$2:$B$37,Phone_by_Sentiment!F$2:F$37,"",0,1)),_xlfn.XLOOKUP($C853,Phone_by_Sentiment!$B$2:$B$37,Phone_by_Sentiment!F$2:F$37,"",0,1),0),$A853-TEXT(DATEVALUE($D853&amp;"-01"), "dd-mm-yyyy")),0),0)</f>
        <v>0</v>
      </c>
      <c r="G853" cm="1">
        <f t="array" ref="G853">IF($Q853&gt;=0,IFERROR(generateSalesData($D853, IF(ISNUMBER(_xlfn.XLOOKUP($C853,Phone_by_Sentiment!$B$2:$B$37,Phone_by_Sentiment!G$2:G$37,"",0,1)),_xlfn.XLOOKUP($C853,Phone_by_Sentiment!$B$2:$B$37,Phone_by_Sentiment!G$2:G$37,"",0,1),0),$A853-TEXT(DATEVALUE($D853&amp;"-01"), "dd-mm-yyyy")),0),0)</f>
        <v>0</v>
      </c>
      <c r="H853" cm="1">
        <f t="array" ref="H853">IF($Q853&gt;=0,IFERROR(generateSalesData($D853, IF(ISNUMBER(_xlfn.XLOOKUP($C853,Phone_by_Sentiment!$B$2:$B$37,Phone_by_Sentiment!H$2:H$37,"",0,1)),_xlfn.XLOOKUP($C853,Phone_by_Sentiment!$B$2:$B$37,Phone_by_Sentiment!H$2:H$37,"",0,1),0),$A853-TEXT(DATEVALUE($D853&amp;"-01"), "dd-mm-yyyy")),0),0)</f>
        <v>0</v>
      </c>
      <c r="I853" cm="1">
        <f t="array" ref="I853">IF($Q853&gt;=0,IFERROR(generateSalesData($D853, IF(ISNUMBER(_xlfn.XLOOKUP($C853,Phone_by_Sentiment!$B$2:$B$37,Phone_by_Sentiment!I$2:I$37,"",0,1)),_xlfn.XLOOKUP($C853,Phone_by_Sentiment!$B$2:$B$37,Phone_by_Sentiment!I$2:I$37,"",0,1),0),$A853-TEXT(DATEVALUE($D853&amp;"-01"), "dd-mm-yyyy")),0),0)</f>
        <v>0</v>
      </c>
      <c r="J853" cm="1">
        <f t="array" ref="J853">IF($Q853&gt;=0,IFERROR(generateSalesData($D853, IF(ISNUMBER(_xlfn.XLOOKUP($C853,Phone_by_Sentiment!$B$2:$B$37,Phone_by_Sentiment!J$2:J$37,"",0,1)),_xlfn.XLOOKUP($C853,Phone_by_Sentiment!$B$2:$B$37,Phone_by_Sentiment!J$2:J$37,"",0,1),0),$A853-TEXT(DATEVALUE($D853&amp;"-01"), "dd-mm-yyyy")),0),0)</f>
        <v>0</v>
      </c>
      <c r="K853" cm="1">
        <f t="array" ref="K853">IF($Q853&gt;=0,IFERROR(generateSalesData($D853, IF(ISNUMBER(_xlfn.XLOOKUP($C853,Phone_by_Sentiment!$B$2:$B$37,Phone_by_Sentiment!K$2:K$37,"",0,1)),_xlfn.XLOOKUP($C853,Phone_by_Sentiment!$B$2:$B$37,Phone_by_Sentiment!K$2:K$37,"",0,1),0),$A853-TEXT(DATEVALUE($D853&amp;"-01"), "dd-mm-yyyy")),0),0)</f>
        <v>0</v>
      </c>
      <c r="L853" cm="1">
        <f t="array" ref="L853">IF($Q853&gt;=0,IFERROR(generateSalesData($D853, IF(ISNUMBER(_xlfn.XLOOKUP($C853,Phone_by_Sentiment!$B$2:$B$37,Phone_by_Sentiment!L$2:L$37,"",0,1)),_xlfn.XLOOKUP($C853,Phone_by_Sentiment!$B$2:$B$37,Phone_by_Sentiment!L$2:L$37,"",0,1),0),$A853-TEXT(DATEVALUE($D853&amp;"-01"), "dd-mm-yyyy")),0),0)</f>
        <v>0</v>
      </c>
      <c r="M853" cm="1">
        <f t="array" ref="M853">IF($Q853&gt;=0,IFERROR(generateSalesData($D853, IF(ISNUMBER(_xlfn.XLOOKUP($C853,Phone_by_Sentiment!$B$2:$B$37,Phone_by_Sentiment!M$2:M$37,"",0,1)),_xlfn.XLOOKUP($C853,Phone_by_Sentiment!$B$2:$B$37,Phone_by_Sentiment!M$2:M$37,"",0,1),0),$A853-TEXT(DATEVALUE($D853&amp;"-01"), "dd-mm-yyyy")),0),0)</f>
        <v>0</v>
      </c>
      <c r="N853" cm="1">
        <f t="array" ref="N853">IF($Q853&gt;=0,IFERROR(generateSalesData($D853, IF(ISNUMBER(_xlfn.XLOOKUP($C853,Phone_by_Sentiment!$B$2:$B$37,Phone_by_Sentiment!N$2:N$37,"",0,1)),_xlfn.XLOOKUP($C853,Phone_by_Sentiment!$B$2:$B$37,Phone_by_Sentiment!N$2:N$37,"",0,1),0),$A853-TEXT(DATEVALUE($D853&amp;"-01"), "dd-mm-yyyy")),0),0)</f>
        <v>0</v>
      </c>
      <c r="O853" cm="1">
        <f t="array" ref="O853">IF($Q853&gt;=0,IFERROR(generateSalesData($D853, IF(ISNUMBER(_xlfn.XLOOKUP($C853,Phone_by_Sentiment!$B$2:$B$37,Phone_by_Sentiment!O$2:O$37,"",0,1)),_xlfn.XLOOKUP($C853,Phone_by_Sentiment!$B$2:$B$37,Phone_by_Sentiment!O$2:O$37,"",0,1),0),$A853-TEXT(DATEVALUE($D853&amp;"-01"), "dd-mm-yyyy")),0),0)</f>
        <v>0</v>
      </c>
      <c r="P853" s="1">
        <f t="shared" si="34"/>
        <v>44287</v>
      </c>
      <c r="Q853">
        <f t="shared" si="35"/>
        <v>-90</v>
      </c>
    </row>
    <row r="854" spans="1:17" x14ac:dyDescent="0.25">
      <c r="A854" s="1">
        <f t="shared" si="36"/>
        <v>44197</v>
      </c>
      <c r="B854" t="s">
        <v>168</v>
      </c>
      <c r="C854" t="str">
        <f>_xlfn.XLOOKUP(B854,Phone_by_Price!$A$2:$A$34,Phone_by_Price!$B$2:$B$34,"-",0,1)</f>
        <v>Google Pixel 4</v>
      </c>
      <c r="D854" t="str">
        <f>_xlfn.XLOOKUP(C854,Phone_by_Sentiment!$B$2:$B$37,Phone_by_Sentiment!$A$2:$A$37,"-",0,1)</f>
        <v>2019-09</v>
      </c>
      <c r="E854" cm="1">
        <f t="array" ref="E854">IF($Q854&gt;=0,IFERROR(generateSalesData($D854, IF(ISNUMBER(_xlfn.XLOOKUP($C854,Phone_by_Sentiment!$B$2:$B$37,Phone_by_Sentiment!E$2:E$37,"",0,1)),_xlfn.XLOOKUP($C854,Phone_by_Sentiment!$B$2:$B$37,Phone_by_Sentiment!E$2:E$37,"",0,1),0),$A854-TEXT(DATEVALUE($D854&amp;"-01"), "dd-mm-yyyy")),0),0)</f>
        <v>320</v>
      </c>
      <c r="F854" cm="1">
        <f t="array" ref="F854">IF($Q854&gt;=0,IFERROR(generateSalesData($D854, IF(ISNUMBER(_xlfn.XLOOKUP($C854,Phone_by_Sentiment!$B$2:$B$37,Phone_by_Sentiment!F$2:F$37,"",0,1)),_xlfn.XLOOKUP($C854,Phone_by_Sentiment!$B$2:$B$37,Phone_by_Sentiment!F$2:F$37,"",0,1),0),$A854-TEXT(DATEVALUE($D854&amp;"-01"), "dd-mm-yyyy")),0),0)</f>
        <v>78</v>
      </c>
      <c r="G854" cm="1">
        <f t="array" ref="G854">IF($Q854&gt;=0,IFERROR(generateSalesData($D854, IF(ISNUMBER(_xlfn.XLOOKUP($C854,Phone_by_Sentiment!$B$2:$B$37,Phone_by_Sentiment!G$2:G$37,"",0,1)),_xlfn.XLOOKUP($C854,Phone_by_Sentiment!$B$2:$B$37,Phone_by_Sentiment!G$2:G$37,"",0,1),0),$A854-TEXT(DATEVALUE($D854&amp;"-01"), "dd-mm-yyyy")),0),0)</f>
        <v>114</v>
      </c>
      <c r="H854" cm="1">
        <f t="array" ref="H854">IF($Q854&gt;=0,IFERROR(generateSalesData($D854, IF(ISNUMBER(_xlfn.XLOOKUP($C854,Phone_by_Sentiment!$B$2:$B$37,Phone_by_Sentiment!H$2:H$37,"",0,1)),_xlfn.XLOOKUP($C854,Phone_by_Sentiment!$B$2:$B$37,Phone_by_Sentiment!H$2:H$37,"",0,1),0),$A854-TEXT(DATEVALUE($D854&amp;"-01"), "dd-mm-yyyy")),0),0)</f>
        <v>91</v>
      </c>
      <c r="I854" cm="1">
        <f t="array" ref="I854">IF($Q854&gt;=0,IFERROR(generateSalesData($D854, IF(ISNUMBER(_xlfn.XLOOKUP($C854,Phone_by_Sentiment!$B$2:$B$37,Phone_by_Sentiment!I$2:I$37,"",0,1)),_xlfn.XLOOKUP($C854,Phone_by_Sentiment!$B$2:$B$37,Phone_by_Sentiment!I$2:I$37,"",0,1),0),$A854-TEXT(DATEVALUE($D854&amp;"-01"), "dd-mm-yyyy")),0),0)</f>
        <v>113</v>
      </c>
      <c r="J854" cm="1">
        <f t="array" ref="J854">IF($Q854&gt;=0,IFERROR(generateSalesData($D854, IF(ISNUMBER(_xlfn.XLOOKUP($C854,Phone_by_Sentiment!$B$2:$B$37,Phone_by_Sentiment!J$2:J$37,"",0,1)),_xlfn.XLOOKUP($C854,Phone_by_Sentiment!$B$2:$B$37,Phone_by_Sentiment!J$2:J$37,"",0,1),0),$A854-TEXT(DATEVALUE($D854&amp;"-01"), "dd-mm-yyyy")),0),0)</f>
        <v>-1</v>
      </c>
      <c r="K854" cm="1">
        <f t="array" ref="K854">IF($Q854&gt;=0,IFERROR(generateSalesData($D854, IF(ISNUMBER(_xlfn.XLOOKUP($C854,Phone_by_Sentiment!$B$2:$B$37,Phone_by_Sentiment!K$2:K$37,"",0,1)),_xlfn.XLOOKUP($C854,Phone_by_Sentiment!$B$2:$B$37,Phone_by_Sentiment!K$2:K$37,"",0,1),0),$A854-TEXT(DATEVALUE($D854&amp;"-01"), "dd-mm-yyyy")),0),0)</f>
        <v>223</v>
      </c>
      <c r="L854" cm="1">
        <f t="array" ref="L854">IF($Q854&gt;=0,IFERROR(generateSalesData($D854, IF(ISNUMBER(_xlfn.XLOOKUP($C854,Phone_by_Sentiment!$B$2:$B$37,Phone_by_Sentiment!L$2:L$37,"",0,1)),_xlfn.XLOOKUP($C854,Phone_by_Sentiment!$B$2:$B$37,Phone_by_Sentiment!L$2:L$37,"",0,1),0),$A854-TEXT(DATEVALUE($D854&amp;"-01"), "dd-mm-yyyy")),0),0)</f>
        <v>555</v>
      </c>
      <c r="M854" cm="1">
        <f t="array" ref="M854">IF($Q854&gt;=0,IFERROR(generateSalesData($D854, IF(ISNUMBER(_xlfn.XLOOKUP($C854,Phone_by_Sentiment!$B$2:$B$37,Phone_by_Sentiment!M$2:M$37,"",0,1)),_xlfn.XLOOKUP($C854,Phone_by_Sentiment!$B$2:$B$37,Phone_by_Sentiment!M$2:M$37,"",0,1),0),$A854-TEXT(DATEVALUE($D854&amp;"-01"), "dd-mm-yyyy")),0),0)</f>
        <v>84</v>
      </c>
      <c r="N854" cm="1">
        <f t="array" ref="N854">IF($Q854&gt;=0,IFERROR(generateSalesData($D854, IF(ISNUMBER(_xlfn.XLOOKUP($C854,Phone_by_Sentiment!$B$2:$B$37,Phone_by_Sentiment!N$2:N$37,"",0,1)),_xlfn.XLOOKUP($C854,Phone_by_Sentiment!$B$2:$B$37,Phone_by_Sentiment!N$2:N$37,"",0,1),0),$A854-TEXT(DATEVALUE($D854&amp;"-01"), "dd-mm-yyyy")),0),0)</f>
        <v>433</v>
      </c>
      <c r="O854" cm="1">
        <f t="array" ref="O854">IF($Q854&gt;=0,IFERROR(generateSalesData($D854, IF(ISNUMBER(_xlfn.XLOOKUP($C854,Phone_by_Sentiment!$B$2:$B$37,Phone_by_Sentiment!O$2:O$37,"",0,1)),_xlfn.XLOOKUP($C854,Phone_by_Sentiment!$B$2:$B$37,Phone_by_Sentiment!O$2:O$37,"",0,1),0),$A854-TEXT(DATEVALUE($D854&amp;"-01"), "dd-mm-yyyy")),0),0)</f>
        <v>240</v>
      </c>
      <c r="P854" s="1">
        <f t="shared" si="34"/>
        <v>43709</v>
      </c>
      <c r="Q854">
        <f t="shared" si="35"/>
        <v>488</v>
      </c>
    </row>
    <row r="855" spans="1:17" x14ac:dyDescent="0.25">
      <c r="A855" s="1">
        <f t="shared" si="36"/>
        <v>44197</v>
      </c>
      <c r="B855" t="s">
        <v>169</v>
      </c>
      <c r="C855" t="str">
        <f>_xlfn.XLOOKUP(B855,Phone_by_Price!$A$2:$A$34,Phone_by_Price!$B$2:$B$34,"-",0,1)</f>
        <v>Samsung Galaxy A10s</v>
      </c>
      <c r="D855" t="str">
        <f>_xlfn.XLOOKUP(C855,Phone_by_Sentiment!$B$2:$B$37,Phone_by_Sentiment!$A$2:$A$37,"-",0,1)</f>
        <v>2019-08</v>
      </c>
      <c r="E855" cm="1">
        <f t="array" ref="E855">IF($Q855&gt;=0,IFERROR(generateSalesData($D855, IF(ISNUMBER(_xlfn.XLOOKUP($C855,Phone_by_Sentiment!$B$2:$B$37,Phone_by_Sentiment!E$2:E$37,"",0,1)),_xlfn.XLOOKUP($C855,Phone_by_Sentiment!$B$2:$B$37,Phone_by_Sentiment!E$2:E$37,"",0,1),0),$A855-TEXT(DATEVALUE($D855&amp;"-01"), "dd-mm-yyyy")),0),0)</f>
        <v>-49</v>
      </c>
      <c r="F855" cm="1">
        <f t="array" ref="F855">IF($Q855&gt;=0,IFERROR(generateSalesData($D855, IF(ISNUMBER(_xlfn.XLOOKUP($C855,Phone_by_Sentiment!$B$2:$B$37,Phone_by_Sentiment!F$2:F$37,"",0,1)),_xlfn.XLOOKUP($C855,Phone_by_Sentiment!$B$2:$B$37,Phone_by_Sentiment!F$2:F$37,"",0,1),0),$A855-TEXT(DATEVALUE($D855&amp;"-01"), "dd-mm-yyyy")),0),0)</f>
        <v>357</v>
      </c>
      <c r="G855" cm="1">
        <f t="array" ref="G855">IF($Q855&gt;=0,IFERROR(generateSalesData($D855, IF(ISNUMBER(_xlfn.XLOOKUP($C855,Phone_by_Sentiment!$B$2:$B$37,Phone_by_Sentiment!G$2:G$37,"",0,1)),_xlfn.XLOOKUP($C855,Phone_by_Sentiment!$B$2:$B$37,Phone_by_Sentiment!G$2:G$37,"",0,1),0),$A855-TEXT(DATEVALUE($D855&amp;"-01"), "dd-mm-yyyy")),0),0)</f>
        <v>43</v>
      </c>
      <c r="H855" cm="1">
        <f t="array" ref="H855">IF($Q855&gt;=0,IFERROR(generateSalesData($D855, IF(ISNUMBER(_xlfn.XLOOKUP($C855,Phone_by_Sentiment!$B$2:$B$37,Phone_by_Sentiment!H$2:H$37,"",0,1)),_xlfn.XLOOKUP($C855,Phone_by_Sentiment!$B$2:$B$37,Phone_by_Sentiment!H$2:H$37,"",0,1),0),$A855-TEXT(DATEVALUE($D855&amp;"-01"), "dd-mm-yyyy")),0),0)</f>
        <v>842</v>
      </c>
      <c r="I855" cm="1">
        <f t="array" ref="I855">IF($Q855&gt;=0,IFERROR(generateSalesData($D855, IF(ISNUMBER(_xlfn.XLOOKUP($C855,Phone_by_Sentiment!$B$2:$B$37,Phone_by_Sentiment!I$2:I$37,"",0,1)),_xlfn.XLOOKUP($C855,Phone_by_Sentiment!$B$2:$B$37,Phone_by_Sentiment!I$2:I$37,"",0,1),0),$A855-TEXT(DATEVALUE($D855&amp;"-01"), "dd-mm-yyyy")),0),0)</f>
        <v>80</v>
      </c>
      <c r="J855" cm="1">
        <f t="array" ref="J855">IF($Q855&gt;=0,IFERROR(generateSalesData($D855, IF(ISNUMBER(_xlfn.XLOOKUP($C855,Phone_by_Sentiment!$B$2:$B$37,Phone_by_Sentiment!J$2:J$37,"",0,1)),_xlfn.XLOOKUP($C855,Phone_by_Sentiment!$B$2:$B$37,Phone_by_Sentiment!J$2:J$37,"",0,1),0),$A855-TEXT(DATEVALUE($D855&amp;"-01"), "dd-mm-yyyy")),0),0)</f>
        <v>555</v>
      </c>
      <c r="K855" cm="1">
        <f t="array" ref="K855">IF($Q855&gt;=0,IFERROR(generateSalesData($D855, IF(ISNUMBER(_xlfn.XLOOKUP($C855,Phone_by_Sentiment!$B$2:$B$37,Phone_by_Sentiment!K$2:K$37,"",0,1)),_xlfn.XLOOKUP($C855,Phone_by_Sentiment!$B$2:$B$37,Phone_by_Sentiment!K$2:K$37,"",0,1),0),$A855-TEXT(DATEVALUE($D855&amp;"-01"), "dd-mm-yyyy")),0),0)</f>
        <v>411</v>
      </c>
      <c r="L855" cm="1">
        <f t="array" ref="L855">IF($Q855&gt;=0,IFERROR(generateSalesData($D855, IF(ISNUMBER(_xlfn.XLOOKUP($C855,Phone_by_Sentiment!$B$2:$B$37,Phone_by_Sentiment!L$2:L$37,"",0,1)),_xlfn.XLOOKUP($C855,Phone_by_Sentiment!$B$2:$B$37,Phone_by_Sentiment!L$2:L$37,"",0,1),0),$A855-TEXT(DATEVALUE($D855&amp;"-01"), "dd-mm-yyyy")),0),0)</f>
        <v>131</v>
      </c>
      <c r="M855" cm="1">
        <f t="array" ref="M855">IF($Q855&gt;=0,IFERROR(generateSalesData($D855, IF(ISNUMBER(_xlfn.XLOOKUP($C855,Phone_by_Sentiment!$B$2:$B$37,Phone_by_Sentiment!M$2:M$37,"",0,1)),_xlfn.XLOOKUP($C855,Phone_by_Sentiment!$B$2:$B$37,Phone_by_Sentiment!M$2:M$37,"",0,1),0),$A855-TEXT(DATEVALUE($D855&amp;"-01"), "dd-mm-yyyy")),0),0)</f>
        <v>315</v>
      </c>
      <c r="N855" cm="1">
        <f t="array" ref="N855">IF($Q855&gt;=0,IFERROR(generateSalesData($D855, IF(ISNUMBER(_xlfn.XLOOKUP($C855,Phone_by_Sentiment!$B$2:$B$37,Phone_by_Sentiment!N$2:N$37,"",0,1)),_xlfn.XLOOKUP($C855,Phone_by_Sentiment!$B$2:$B$37,Phone_by_Sentiment!N$2:N$37,"",0,1),0),$A855-TEXT(DATEVALUE($D855&amp;"-01"), "dd-mm-yyyy")),0),0)</f>
        <v>175</v>
      </c>
      <c r="O855" cm="1">
        <f t="array" ref="O855">IF($Q855&gt;=0,IFERROR(generateSalesData($D855, IF(ISNUMBER(_xlfn.XLOOKUP($C855,Phone_by_Sentiment!$B$2:$B$37,Phone_by_Sentiment!O$2:O$37,"",0,1)),_xlfn.XLOOKUP($C855,Phone_by_Sentiment!$B$2:$B$37,Phone_by_Sentiment!O$2:O$37,"",0,1),0),$A855-TEXT(DATEVALUE($D855&amp;"-01"), "dd-mm-yyyy")),0),0)</f>
        <v>566</v>
      </c>
      <c r="P855" s="1">
        <f t="shared" si="34"/>
        <v>43678</v>
      </c>
      <c r="Q855">
        <f t="shared" si="35"/>
        <v>519</v>
      </c>
    </row>
    <row r="856" spans="1:17" x14ac:dyDescent="0.25">
      <c r="A856" s="1">
        <f t="shared" si="36"/>
        <v>44197</v>
      </c>
      <c r="B856" t="s">
        <v>170</v>
      </c>
      <c r="C856" t="str">
        <f>_xlfn.XLOOKUP(B856,Phone_by_Price!$A$2:$A$34,Phone_by_Price!$B$2:$B$34,"-",0,1)</f>
        <v>Realme Narzo 30A</v>
      </c>
      <c r="D856" t="str">
        <f>_xlfn.XLOOKUP(C856,Phone_by_Sentiment!$B$2:$B$37,Phone_by_Sentiment!$A$2:$A$37,"-",0,1)</f>
        <v>2021-02</v>
      </c>
      <c r="E856" cm="1">
        <f t="array" ref="E856">IF($Q856&gt;=0,IFERROR(generateSalesData($D856, IF(ISNUMBER(_xlfn.XLOOKUP($C856,Phone_by_Sentiment!$B$2:$B$37,Phone_by_Sentiment!E$2:E$37,"",0,1)),_xlfn.XLOOKUP($C856,Phone_by_Sentiment!$B$2:$B$37,Phone_by_Sentiment!E$2:E$37,"",0,1),0),$A856-TEXT(DATEVALUE($D856&amp;"-01"), "dd-mm-yyyy")),0),0)</f>
        <v>0</v>
      </c>
      <c r="F856" cm="1">
        <f t="array" ref="F856">IF($Q856&gt;=0,IFERROR(generateSalesData($D856, IF(ISNUMBER(_xlfn.XLOOKUP($C856,Phone_by_Sentiment!$B$2:$B$37,Phone_by_Sentiment!F$2:F$37,"",0,1)),_xlfn.XLOOKUP($C856,Phone_by_Sentiment!$B$2:$B$37,Phone_by_Sentiment!F$2:F$37,"",0,1),0),$A856-TEXT(DATEVALUE($D856&amp;"-01"), "dd-mm-yyyy")),0),0)</f>
        <v>0</v>
      </c>
      <c r="G856" cm="1">
        <f t="array" ref="G856">IF($Q856&gt;=0,IFERROR(generateSalesData($D856, IF(ISNUMBER(_xlfn.XLOOKUP($C856,Phone_by_Sentiment!$B$2:$B$37,Phone_by_Sentiment!G$2:G$37,"",0,1)),_xlfn.XLOOKUP($C856,Phone_by_Sentiment!$B$2:$B$37,Phone_by_Sentiment!G$2:G$37,"",0,1),0),$A856-TEXT(DATEVALUE($D856&amp;"-01"), "dd-mm-yyyy")),0),0)</f>
        <v>0</v>
      </c>
      <c r="H856" cm="1">
        <f t="array" ref="H856">IF($Q856&gt;=0,IFERROR(generateSalesData($D856, IF(ISNUMBER(_xlfn.XLOOKUP($C856,Phone_by_Sentiment!$B$2:$B$37,Phone_by_Sentiment!H$2:H$37,"",0,1)),_xlfn.XLOOKUP($C856,Phone_by_Sentiment!$B$2:$B$37,Phone_by_Sentiment!H$2:H$37,"",0,1),0),$A856-TEXT(DATEVALUE($D856&amp;"-01"), "dd-mm-yyyy")),0),0)</f>
        <v>0</v>
      </c>
      <c r="I856" cm="1">
        <f t="array" ref="I856">IF($Q856&gt;=0,IFERROR(generateSalesData($D856, IF(ISNUMBER(_xlfn.XLOOKUP($C856,Phone_by_Sentiment!$B$2:$B$37,Phone_by_Sentiment!I$2:I$37,"",0,1)),_xlfn.XLOOKUP($C856,Phone_by_Sentiment!$B$2:$B$37,Phone_by_Sentiment!I$2:I$37,"",0,1),0),$A856-TEXT(DATEVALUE($D856&amp;"-01"), "dd-mm-yyyy")),0),0)</f>
        <v>0</v>
      </c>
      <c r="J856" cm="1">
        <f t="array" ref="J856">IF($Q856&gt;=0,IFERROR(generateSalesData($D856, IF(ISNUMBER(_xlfn.XLOOKUP($C856,Phone_by_Sentiment!$B$2:$B$37,Phone_by_Sentiment!J$2:J$37,"",0,1)),_xlfn.XLOOKUP($C856,Phone_by_Sentiment!$B$2:$B$37,Phone_by_Sentiment!J$2:J$37,"",0,1),0),$A856-TEXT(DATEVALUE($D856&amp;"-01"), "dd-mm-yyyy")),0),0)</f>
        <v>0</v>
      </c>
      <c r="K856" cm="1">
        <f t="array" ref="K856">IF($Q856&gt;=0,IFERROR(generateSalesData($D856, IF(ISNUMBER(_xlfn.XLOOKUP($C856,Phone_by_Sentiment!$B$2:$B$37,Phone_by_Sentiment!K$2:K$37,"",0,1)),_xlfn.XLOOKUP($C856,Phone_by_Sentiment!$B$2:$B$37,Phone_by_Sentiment!K$2:K$37,"",0,1),0),$A856-TEXT(DATEVALUE($D856&amp;"-01"), "dd-mm-yyyy")),0),0)</f>
        <v>0</v>
      </c>
      <c r="L856" cm="1">
        <f t="array" ref="L856">IF($Q856&gt;=0,IFERROR(generateSalesData($D856, IF(ISNUMBER(_xlfn.XLOOKUP($C856,Phone_by_Sentiment!$B$2:$B$37,Phone_by_Sentiment!L$2:L$37,"",0,1)),_xlfn.XLOOKUP($C856,Phone_by_Sentiment!$B$2:$B$37,Phone_by_Sentiment!L$2:L$37,"",0,1),0),$A856-TEXT(DATEVALUE($D856&amp;"-01"), "dd-mm-yyyy")),0),0)</f>
        <v>0</v>
      </c>
      <c r="M856" cm="1">
        <f t="array" ref="M856">IF($Q856&gt;=0,IFERROR(generateSalesData($D856, IF(ISNUMBER(_xlfn.XLOOKUP($C856,Phone_by_Sentiment!$B$2:$B$37,Phone_by_Sentiment!M$2:M$37,"",0,1)),_xlfn.XLOOKUP($C856,Phone_by_Sentiment!$B$2:$B$37,Phone_by_Sentiment!M$2:M$37,"",0,1),0),$A856-TEXT(DATEVALUE($D856&amp;"-01"), "dd-mm-yyyy")),0),0)</f>
        <v>0</v>
      </c>
      <c r="N856" cm="1">
        <f t="array" ref="N856">IF($Q856&gt;=0,IFERROR(generateSalesData($D856, IF(ISNUMBER(_xlfn.XLOOKUP($C856,Phone_by_Sentiment!$B$2:$B$37,Phone_by_Sentiment!N$2:N$37,"",0,1)),_xlfn.XLOOKUP($C856,Phone_by_Sentiment!$B$2:$B$37,Phone_by_Sentiment!N$2:N$37,"",0,1),0),$A856-TEXT(DATEVALUE($D856&amp;"-01"), "dd-mm-yyyy")),0),0)</f>
        <v>0</v>
      </c>
      <c r="O856" cm="1">
        <f t="array" ref="O856">IF($Q856&gt;=0,IFERROR(generateSalesData($D856, IF(ISNUMBER(_xlfn.XLOOKUP($C856,Phone_by_Sentiment!$B$2:$B$37,Phone_by_Sentiment!O$2:O$37,"",0,1)),_xlfn.XLOOKUP($C856,Phone_by_Sentiment!$B$2:$B$37,Phone_by_Sentiment!O$2:O$37,"",0,1),0),$A856-TEXT(DATEVALUE($D856&amp;"-01"), "dd-mm-yyyy")),0),0)</f>
        <v>0</v>
      </c>
      <c r="P856" s="1">
        <f t="shared" si="34"/>
        <v>44228</v>
      </c>
      <c r="Q856">
        <f t="shared" si="35"/>
        <v>-31</v>
      </c>
    </row>
    <row r="857" spans="1:17" x14ac:dyDescent="0.25">
      <c r="A857" s="1">
        <f t="shared" si="36"/>
        <v>44197</v>
      </c>
      <c r="B857" t="s">
        <v>171</v>
      </c>
      <c r="C857" t="str">
        <f>_xlfn.XLOOKUP(B857,Phone_by_Price!$A$2:$A$34,Phone_by_Price!$B$2:$B$34,"-",0,1)</f>
        <v>Samsung Galaxy A22 5G</v>
      </c>
      <c r="D857" t="str">
        <f>_xlfn.XLOOKUP(C857,Phone_by_Sentiment!$B$2:$B$37,Phone_by_Sentiment!$A$2:$A$37,"-",0,1)</f>
        <v>2021-05</v>
      </c>
      <c r="E857" cm="1">
        <f t="array" ref="E857">IF($Q857&gt;=0,IFERROR(generateSalesData($D857, IF(ISNUMBER(_xlfn.XLOOKUP($C857,Phone_by_Sentiment!$B$2:$B$37,Phone_by_Sentiment!E$2:E$37,"",0,1)),_xlfn.XLOOKUP($C857,Phone_by_Sentiment!$B$2:$B$37,Phone_by_Sentiment!E$2:E$37,"",0,1),0),$A857-TEXT(DATEVALUE($D857&amp;"-01"), "dd-mm-yyyy")),0),0)</f>
        <v>0</v>
      </c>
      <c r="F857" cm="1">
        <f t="array" ref="F857">IF($Q857&gt;=0,IFERROR(generateSalesData($D857, IF(ISNUMBER(_xlfn.XLOOKUP($C857,Phone_by_Sentiment!$B$2:$B$37,Phone_by_Sentiment!F$2:F$37,"",0,1)),_xlfn.XLOOKUP($C857,Phone_by_Sentiment!$B$2:$B$37,Phone_by_Sentiment!F$2:F$37,"",0,1),0),$A857-TEXT(DATEVALUE($D857&amp;"-01"), "dd-mm-yyyy")),0),0)</f>
        <v>0</v>
      </c>
      <c r="G857" cm="1">
        <f t="array" ref="G857">IF($Q857&gt;=0,IFERROR(generateSalesData($D857, IF(ISNUMBER(_xlfn.XLOOKUP($C857,Phone_by_Sentiment!$B$2:$B$37,Phone_by_Sentiment!G$2:G$37,"",0,1)),_xlfn.XLOOKUP($C857,Phone_by_Sentiment!$B$2:$B$37,Phone_by_Sentiment!G$2:G$37,"",0,1),0),$A857-TEXT(DATEVALUE($D857&amp;"-01"), "dd-mm-yyyy")),0),0)</f>
        <v>0</v>
      </c>
      <c r="H857" cm="1">
        <f t="array" ref="H857">IF($Q857&gt;=0,IFERROR(generateSalesData($D857, IF(ISNUMBER(_xlfn.XLOOKUP($C857,Phone_by_Sentiment!$B$2:$B$37,Phone_by_Sentiment!H$2:H$37,"",0,1)),_xlfn.XLOOKUP($C857,Phone_by_Sentiment!$B$2:$B$37,Phone_by_Sentiment!H$2:H$37,"",0,1),0),$A857-TEXT(DATEVALUE($D857&amp;"-01"), "dd-mm-yyyy")),0),0)</f>
        <v>0</v>
      </c>
      <c r="I857" cm="1">
        <f t="array" ref="I857">IF($Q857&gt;=0,IFERROR(generateSalesData($D857, IF(ISNUMBER(_xlfn.XLOOKUP($C857,Phone_by_Sentiment!$B$2:$B$37,Phone_by_Sentiment!I$2:I$37,"",0,1)),_xlfn.XLOOKUP($C857,Phone_by_Sentiment!$B$2:$B$37,Phone_by_Sentiment!I$2:I$37,"",0,1),0),$A857-TEXT(DATEVALUE($D857&amp;"-01"), "dd-mm-yyyy")),0),0)</f>
        <v>0</v>
      </c>
      <c r="J857" cm="1">
        <f t="array" ref="J857">IF($Q857&gt;=0,IFERROR(generateSalesData($D857, IF(ISNUMBER(_xlfn.XLOOKUP($C857,Phone_by_Sentiment!$B$2:$B$37,Phone_by_Sentiment!J$2:J$37,"",0,1)),_xlfn.XLOOKUP($C857,Phone_by_Sentiment!$B$2:$B$37,Phone_by_Sentiment!J$2:J$37,"",0,1),0),$A857-TEXT(DATEVALUE($D857&amp;"-01"), "dd-mm-yyyy")),0),0)</f>
        <v>0</v>
      </c>
      <c r="K857" cm="1">
        <f t="array" ref="K857">IF($Q857&gt;=0,IFERROR(generateSalesData($D857, IF(ISNUMBER(_xlfn.XLOOKUP($C857,Phone_by_Sentiment!$B$2:$B$37,Phone_by_Sentiment!K$2:K$37,"",0,1)),_xlfn.XLOOKUP($C857,Phone_by_Sentiment!$B$2:$B$37,Phone_by_Sentiment!K$2:K$37,"",0,1),0),$A857-TEXT(DATEVALUE($D857&amp;"-01"), "dd-mm-yyyy")),0),0)</f>
        <v>0</v>
      </c>
      <c r="L857" cm="1">
        <f t="array" ref="L857">IF($Q857&gt;=0,IFERROR(generateSalesData($D857, IF(ISNUMBER(_xlfn.XLOOKUP($C857,Phone_by_Sentiment!$B$2:$B$37,Phone_by_Sentiment!L$2:L$37,"",0,1)),_xlfn.XLOOKUP($C857,Phone_by_Sentiment!$B$2:$B$37,Phone_by_Sentiment!L$2:L$37,"",0,1),0),$A857-TEXT(DATEVALUE($D857&amp;"-01"), "dd-mm-yyyy")),0),0)</f>
        <v>0</v>
      </c>
      <c r="M857" cm="1">
        <f t="array" ref="M857">IF($Q857&gt;=0,IFERROR(generateSalesData($D857, IF(ISNUMBER(_xlfn.XLOOKUP($C857,Phone_by_Sentiment!$B$2:$B$37,Phone_by_Sentiment!M$2:M$37,"",0,1)),_xlfn.XLOOKUP($C857,Phone_by_Sentiment!$B$2:$B$37,Phone_by_Sentiment!M$2:M$37,"",0,1),0),$A857-TEXT(DATEVALUE($D857&amp;"-01"), "dd-mm-yyyy")),0),0)</f>
        <v>0</v>
      </c>
      <c r="N857" cm="1">
        <f t="array" ref="N857">IF($Q857&gt;=0,IFERROR(generateSalesData($D857, IF(ISNUMBER(_xlfn.XLOOKUP($C857,Phone_by_Sentiment!$B$2:$B$37,Phone_by_Sentiment!N$2:N$37,"",0,1)),_xlfn.XLOOKUP($C857,Phone_by_Sentiment!$B$2:$B$37,Phone_by_Sentiment!N$2:N$37,"",0,1),0),$A857-TEXT(DATEVALUE($D857&amp;"-01"), "dd-mm-yyyy")),0),0)</f>
        <v>0</v>
      </c>
      <c r="O857" cm="1">
        <f t="array" ref="O857">IF($Q857&gt;=0,IFERROR(generateSalesData($D857, IF(ISNUMBER(_xlfn.XLOOKUP($C857,Phone_by_Sentiment!$B$2:$B$37,Phone_by_Sentiment!O$2:O$37,"",0,1)),_xlfn.XLOOKUP($C857,Phone_by_Sentiment!$B$2:$B$37,Phone_by_Sentiment!O$2:O$37,"",0,1),0),$A857-TEXT(DATEVALUE($D857&amp;"-01"), "dd-mm-yyyy")),0),0)</f>
        <v>0</v>
      </c>
      <c r="P857" s="1">
        <f t="shared" si="34"/>
        <v>44317</v>
      </c>
      <c r="Q857">
        <f t="shared" si="35"/>
        <v>-120</v>
      </c>
    </row>
    <row r="858" spans="1:17" x14ac:dyDescent="0.25">
      <c r="A858" s="1">
        <f t="shared" si="36"/>
        <v>44197</v>
      </c>
      <c r="B858" t="s">
        <v>172</v>
      </c>
      <c r="C858" t="str">
        <f>_xlfn.XLOOKUP(B858,Phone_by_Price!$A$2:$A$34,Phone_by_Price!$B$2:$B$34,"-",0,1)</f>
        <v>Xiaomi Redmi 9</v>
      </c>
      <c r="D858" t="str">
        <f>_xlfn.XLOOKUP(C858,Phone_by_Sentiment!$B$2:$B$37,Phone_by_Sentiment!$A$2:$A$37,"-",0,1)</f>
        <v>2020-08</v>
      </c>
      <c r="E858" cm="1">
        <f t="array" ref="E858">IF($Q858&gt;=0,IFERROR(generateSalesData($D858, IF(ISNUMBER(_xlfn.XLOOKUP($C858,Phone_by_Sentiment!$B$2:$B$37,Phone_by_Sentiment!E$2:E$37,"",0,1)),_xlfn.XLOOKUP($C858,Phone_by_Sentiment!$B$2:$B$37,Phone_by_Sentiment!E$2:E$37,"",0,1),0),$A858-TEXT(DATEVALUE($D858&amp;"-01"), "dd-mm-yyyy")),0),0)</f>
        <v>907</v>
      </c>
      <c r="F858" cm="1">
        <f t="array" ref="F858">IF($Q858&gt;=0,IFERROR(generateSalesData($D858, IF(ISNUMBER(_xlfn.XLOOKUP($C858,Phone_by_Sentiment!$B$2:$B$37,Phone_by_Sentiment!F$2:F$37,"",0,1)),_xlfn.XLOOKUP($C858,Phone_by_Sentiment!$B$2:$B$37,Phone_by_Sentiment!F$2:F$37,"",0,1),0),$A858-TEXT(DATEVALUE($D858&amp;"-01"), "dd-mm-yyyy")),0),0)</f>
        <v>607</v>
      </c>
      <c r="G858" cm="1">
        <f t="array" ref="G858">IF($Q858&gt;=0,IFERROR(generateSalesData($D858, IF(ISNUMBER(_xlfn.XLOOKUP($C858,Phone_by_Sentiment!$B$2:$B$37,Phone_by_Sentiment!G$2:G$37,"",0,1)),_xlfn.XLOOKUP($C858,Phone_by_Sentiment!$B$2:$B$37,Phone_by_Sentiment!G$2:G$37,"",0,1),0),$A858-TEXT(DATEVALUE($D858&amp;"-01"), "dd-mm-yyyy")),0),0)</f>
        <v>558</v>
      </c>
      <c r="H858" cm="1">
        <f t="array" ref="H858">IF($Q858&gt;=0,IFERROR(generateSalesData($D858, IF(ISNUMBER(_xlfn.XLOOKUP($C858,Phone_by_Sentiment!$B$2:$B$37,Phone_by_Sentiment!H$2:H$37,"",0,1)),_xlfn.XLOOKUP($C858,Phone_by_Sentiment!$B$2:$B$37,Phone_by_Sentiment!H$2:H$37,"",0,1),0),$A858-TEXT(DATEVALUE($D858&amp;"-01"), "dd-mm-yyyy")),0),0)</f>
        <v>2187</v>
      </c>
      <c r="I858" cm="1">
        <f t="array" ref="I858">IF($Q858&gt;=0,IFERROR(generateSalesData($D858, IF(ISNUMBER(_xlfn.XLOOKUP($C858,Phone_by_Sentiment!$B$2:$B$37,Phone_by_Sentiment!I$2:I$37,"",0,1)),_xlfn.XLOOKUP($C858,Phone_by_Sentiment!$B$2:$B$37,Phone_by_Sentiment!I$2:I$37,"",0,1),0),$A858-TEXT(DATEVALUE($D858&amp;"-01"), "dd-mm-yyyy")),0),0)</f>
        <v>283</v>
      </c>
      <c r="J858" cm="1">
        <f t="array" ref="J858">IF($Q858&gt;=0,IFERROR(generateSalesData($D858, IF(ISNUMBER(_xlfn.XLOOKUP($C858,Phone_by_Sentiment!$B$2:$B$37,Phone_by_Sentiment!J$2:J$37,"",0,1)),_xlfn.XLOOKUP($C858,Phone_by_Sentiment!$B$2:$B$37,Phone_by_Sentiment!J$2:J$37,"",0,1),0),$A858-TEXT(DATEVALUE($D858&amp;"-01"), "dd-mm-yyyy")),0),0)</f>
        <v>516</v>
      </c>
      <c r="K858" cm="1">
        <f t="array" ref="K858">IF($Q858&gt;=0,IFERROR(generateSalesData($D858, IF(ISNUMBER(_xlfn.XLOOKUP($C858,Phone_by_Sentiment!$B$2:$B$37,Phone_by_Sentiment!K$2:K$37,"",0,1)),_xlfn.XLOOKUP($C858,Phone_by_Sentiment!$B$2:$B$37,Phone_by_Sentiment!K$2:K$37,"",0,1),0),$A858-TEXT(DATEVALUE($D858&amp;"-01"), "dd-mm-yyyy")),0),0)</f>
        <v>1695</v>
      </c>
      <c r="L858" cm="1">
        <f t="array" ref="L858">IF($Q858&gt;=0,IFERROR(generateSalesData($D858, IF(ISNUMBER(_xlfn.XLOOKUP($C858,Phone_by_Sentiment!$B$2:$B$37,Phone_by_Sentiment!L$2:L$37,"",0,1)),_xlfn.XLOOKUP($C858,Phone_by_Sentiment!$B$2:$B$37,Phone_by_Sentiment!L$2:L$37,"",0,1),0),$A858-TEXT(DATEVALUE($D858&amp;"-01"), "dd-mm-yyyy")),0),0)</f>
        <v>255</v>
      </c>
      <c r="M858" cm="1">
        <f t="array" ref="M858">IF($Q858&gt;=0,IFERROR(generateSalesData($D858, IF(ISNUMBER(_xlfn.XLOOKUP($C858,Phone_by_Sentiment!$B$2:$B$37,Phone_by_Sentiment!M$2:M$37,"",0,1)),_xlfn.XLOOKUP($C858,Phone_by_Sentiment!$B$2:$B$37,Phone_by_Sentiment!M$2:M$37,"",0,1),0),$A858-TEXT(DATEVALUE($D858&amp;"-01"), "dd-mm-yyyy")),0),0)</f>
        <v>1081</v>
      </c>
      <c r="N858" cm="1">
        <f t="array" ref="N858">IF($Q858&gt;=0,IFERROR(generateSalesData($D858, IF(ISNUMBER(_xlfn.XLOOKUP($C858,Phone_by_Sentiment!$B$2:$B$37,Phone_by_Sentiment!N$2:N$37,"",0,1)),_xlfn.XLOOKUP($C858,Phone_by_Sentiment!$B$2:$B$37,Phone_by_Sentiment!N$2:N$37,"",0,1),0),$A858-TEXT(DATEVALUE($D858&amp;"-01"), "dd-mm-yyyy")),0),0)</f>
        <v>283</v>
      </c>
      <c r="O858" cm="1">
        <f t="array" ref="O858">IF($Q858&gt;=0,IFERROR(generateSalesData($D858, IF(ISNUMBER(_xlfn.XLOOKUP($C858,Phone_by_Sentiment!$B$2:$B$37,Phone_by_Sentiment!O$2:O$37,"",0,1)),_xlfn.XLOOKUP($C858,Phone_by_Sentiment!$B$2:$B$37,Phone_by_Sentiment!O$2:O$37,"",0,1),0),$A858-TEXT(DATEVALUE($D858&amp;"-01"), "dd-mm-yyyy")),0),0)</f>
        <v>1021</v>
      </c>
      <c r="P858" s="1">
        <f t="shared" si="34"/>
        <v>44044</v>
      </c>
      <c r="Q858">
        <f t="shared" si="35"/>
        <v>153</v>
      </c>
    </row>
    <row r="859" spans="1:17" x14ac:dyDescent="0.25">
      <c r="A859" s="1">
        <f t="shared" si="36"/>
        <v>44197</v>
      </c>
      <c r="B859" t="s">
        <v>173</v>
      </c>
      <c r="C859" t="str">
        <f>_xlfn.XLOOKUP(B859,Phone_by_Price!$A$2:$A$34,Phone_by_Price!$B$2:$B$34,"-",0,1)</f>
        <v>Realme C3</v>
      </c>
      <c r="D859" t="str">
        <f>_xlfn.XLOOKUP(C859,Phone_by_Sentiment!$B$2:$B$37,Phone_by_Sentiment!$A$2:$A$37,"-",0,1)</f>
        <v>2020-02</v>
      </c>
      <c r="E859" cm="1">
        <f t="array" ref="E859">IF($Q859&gt;=0,IFERROR(generateSalesData($D859, IF(ISNUMBER(_xlfn.XLOOKUP($C859,Phone_by_Sentiment!$B$2:$B$37,Phone_by_Sentiment!E$2:E$37,"",0,1)),_xlfn.XLOOKUP($C859,Phone_by_Sentiment!$B$2:$B$37,Phone_by_Sentiment!E$2:E$37,"",0,1),0),$A859-TEXT(DATEVALUE($D859&amp;"-01"), "dd-mm-yyyy")),0),0)</f>
        <v>150</v>
      </c>
      <c r="F859" cm="1">
        <f t="array" ref="F859">IF($Q859&gt;=0,IFERROR(generateSalesData($D859, IF(ISNUMBER(_xlfn.XLOOKUP($C859,Phone_by_Sentiment!$B$2:$B$37,Phone_by_Sentiment!F$2:F$37,"",0,1)),_xlfn.XLOOKUP($C859,Phone_by_Sentiment!$B$2:$B$37,Phone_by_Sentiment!F$2:F$37,"",0,1),0),$A859-TEXT(DATEVALUE($D859&amp;"-01"), "dd-mm-yyyy")),0),0)</f>
        <v>64</v>
      </c>
      <c r="G859" cm="1">
        <f t="array" ref="G859">IF($Q859&gt;=0,IFERROR(generateSalesData($D859, IF(ISNUMBER(_xlfn.XLOOKUP($C859,Phone_by_Sentiment!$B$2:$B$37,Phone_by_Sentiment!G$2:G$37,"",0,1)),_xlfn.XLOOKUP($C859,Phone_by_Sentiment!$B$2:$B$37,Phone_by_Sentiment!G$2:G$37,"",0,1),0),$A859-TEXT(DATEVALUE($D859&amp;"-01"), "dd-mm-yyyy")),0),0)</f>
        <v>265</v>
      </c>
      <c r="H859" cm="1">
        <f t="array" ref="H859">IF($Q859&gt;=0,IFERROR(generateSalesData($D859, IF(ISNUMBER(_xlfn.XLOOKUP($C859,Phone_by_Sentiment!$B$2:$B$37,Phone_by_Sentiment!H$2:H$37,"",0,1)),_xlfn.XLOOKUP($C859,Phone_by_Sentiment!$B$2:$B$37,Phone_by_Sentiment!H$2:H$37,"",0,1),0),$A859-TEXT(DATEVALUE($D859&amp;"-01"), "dd-mm-yyyy")),0),0)</f>
        <v>302</v>
      </c>
      <c r="I859" cm="1">
        <f t="array" ref="I859">IF($Q859&gt;=0,IFERROR(generateSalesData($D859, IF(ISNUMBER(_xlfn.XLOOKUP($C859,Phone_by_Sentiment!$B$2:$B$37,Phone_by_Sentiment!I$2:I$37,"",0,1)),_xlfn.XLOOKUP($C859,Phone_by_Sentiment!$B$2:$B$37,Phone_by_Sentiment!I$2:I$37,"",0,1),0),$A859-TEXT(DATEVALUE($D859&amp;"-01"), "dd-mm-yyyy")),0),0)</f>
        <v>1059</v>
      </c>
      <c r="J859" cm="1">
        <f t="array" ref="J859">IF($Q859&gt;=0,IFERROR(generateSalesData($D859, IF(ISNUMBER(_xlfn.XLOOKUP($C859,Phone_by_Sentiment!$B$2:$B$37,Phone_by_Sentiment!J$2:J$37,"",0,1)),_xlfn.XLOOKUP($C859,Phone_by_Sentiment!$B$2:$B$37,Phone_by_Sentiment!J$2:J$37,"",0,1),0),$A859-TEXT(DATEVALUE($D859&amp;"-01"), "dd-mm-yyyy")),0),0)</f>
        <v>255</v>
      </c>
      <c r="K859" cm="1">
        <f t="array" ref="K859">IF($Q859&gt;=0,IFERROR(generateSalesData($D859, IF(ISNUMBER(_xlfn.XLOOKUP($C859,Phone_by_Sentiment!$B$2:$B$37,Phone_by_Sentiment!K$2:K$37,"",0,1)),_xlfn.XLOOKUP($C859,Phone_by_Sentiment!$B$2:$B$37,Phone_by_Sentiment!K$2:K$37,"",0,1),0),$A859-TEXT(DATEVALUE($D859&amp;"-01"), "dd-mm-yyyy")),0),0)</f>
        <v>881</v>
      </c>
      <c r="L859" cm="1">
        <f t="array" ref="L859">IF($Q859&gt;=0,IFERROR(generateSalesData($D859, IF(ISNUMBER(_xlfn.XLOOKUP($C859,Phone_by_Sentiment!$B$2:$B$37,Phone_by_Sentiment!L$2:L$37,"",0,1)),_xlfn.XLOOKUP($C859,Phone_by_Sentiment!$B$2:$B$37,Phone_by_Sentiment!L$2:L$37,"",0,1),0),$A859-TEXT(DATEVALUE($D859&amp;"-01"), "dd-mm-yyyy")),0),0)</f>
        <v>580</v>
      </c>
      <c r="M859" cm="1">
        <f t="array" ref="M859">IF($Q859&gt;=0,IFERROR(generateSalesData($D859, IF(ISNUMBER(_xlfn.XLOOKUP($C859,Phone_by_Sentiment!$B$2:$B$37,Phone_by_Sentiment!M$2:M$37,"",0,1)),_xlfn.XLOOKUP($C859,Phone_by_Sentiment!$B$2:$B$37,Phone_by_Sentiment!M$2:M$37,"",0,1),0),$A859-TEXT(DATEVALUE($D859&amp;"-01"), "dd-mm-yyyy")),0),0)</f>
        <v>113</v>
      </c>
      <c r="N859" cm="1">
        <f t="array" ref="N859">IF($Q859&gt;=0,IFERROR(generateSalesData($D859, IF(ISNUMBER(_xlfn.XLOOKUP($C859,Phone_by_Sentiment!$B$2:$B$37,Phone_by_Sentiment!N$2:N$37,"",0,1)),_xlfn.XLOOKUP($C859,Phone_by_Sentiment!$B$2:$B$37,Phone_by_Sentiment!N$2:N$37,"",0,1),0),$A859-TEXT(DATEVALUE($D859&amp;"-01"), "dd-mm-yyyy")),0),0)</f>
        <v>580</v>
      </c>
      <c r="O859" cm="1">
        <f t="array" ref="O859">IF($Q859&gt;=0,IFERROR(generateSalesData($D859, IF(ISNUMBER(_xlfn.XLOOKUP($C859,Phone_by_Sentiment!$B$2:$B$37,Phone_by_Sentiment!O$2:O$37,"",0,1)),_xlfn.XLOOKUP($C859,Phone_by_Sentiment!$B$2:$B$37,Phone_by_Sentiment!O$2:O$37,"",0,1),0),$A859-TEXT(DATEVALUE($D859&amp;"-01"), "dd-mm-yyyy")),0),0)</f>
        <v>171</v>
      </c>
      <c r="P859" s="1">
        <f t="shared" si="34"/>
        <v>43862</v>
      </c>
      <c r="Q859">
        <f t="shared" si="35"/>
        <v>335</v>
      </c>
    </row>
    <row r="860" spans="1:17" x14ac:dyDescent="0.25">
      <c r="A860" s="1">
        <f t="shared" si="36"/>
        <v>44197</v>
      </c>
      <c r="B860" t="s">
        <v>174</v>
      </c>
      <c r="C860" t="str">
        <f>_xlfn.XLOOKUP(B860,Phone_by_Price!$A$2:$A$34,Phone_by_Price!$B$2:$B$34,"-",0,1)</f>
        <v>Samsung Galaxy A7</v>
      </c>
      <c r="D860" t="str">
        <f>_xlfn.XLOOKUP(C860,Phone_by_Sentiment!$B$2:$B$37,Phone_by_Sentiment!$A$2:$A$37,"-",0,1)</f>
        <v>2018-10</v>
      </c>
      <c r="E860" cm="1">
        <f t="array" ref="E860">IF($Q860&gt;=0,IFERROR(generateSalesData($D860, IF(ISNUMBER(_xlfn.XLOOKUP($C860,Phone_by_Sentiment!$B$2:$B$37,Phone_by_Sentiment!E$2:E$37,"",0,1)),_xlfn.XLOOKUP($C860,Phone_by_Sentiment!$B$2:$B$37,Phone_by_Sentiment!E$2:E$37,"",0,1),0),$A860-TEXT(DATEVALUE($D860&amp;"-01"), "dd-mm-yyyy")),0),0)</f>
        <v>151</v>
      </c>
      <c r="F860" cm="1">
        <f t="array" ref="F860">IF($Q860&gt;=0,IFERROR(generateSalesData($D860, IF(ISNUMBER(_xlfn.XLOOKUP($C860,Phone_by_Sentiment!$B$2:$B$37,Phone_by_Sentiment!F$2:F$37,"",0,1)),_xlfn.XLOOKUP($C860,Phone_by_Sentiment!$B$2:$B$37,Phone_by_Sentiment!F$2:F$37,"",0,1),0),$A860-TEXT(DATEVALUE($D860&amp;"-01"), "dd-mm-yyyy")),0),0)</f>
        <v>135</v>
      </c>
      <c r="G860" cm="1">
        <f t="array" ref="G860">IF($Q860&gt;=0,IFERROR(generateSalesData($D860, IF(ISNUMBER(_xlfn.XLOOKUP($C860,Phone_by_Sentiment!$B$2:$B$37,Phone_by_Sentiment!G$2:G$37,"",0,1)),_xlfn.XLOOKUP($C860,Phone_by_Sentiment!$B$2:$B$37,Phone_by_Sentiment!G$2:G$37,"",0,1),0),$A860-TEXT(DATEVALUE($D860&amp;"-01"), "dd-mm-yyyy")),0),0)</f>
        <v>99</v>
      </c>
      <c r="H860" cm="1">
        <f t="array" ref="H860">IF($Q860&gt;=0,IFERROR(generateSalesData($D860, IF(ISNUMBER(_xlfn.XLOOKUP($C860,Phone_by_Sentiment!$B$2:$B$37,Phone_by_Sentiment!H$2:H$37,"",0,1)),_xlfn.XLOOKUP($C860,Phone_by_Sentiment!$B$2:$B$37,Phone_by_Sentiment!H$2:H$37,"",0,1),0),$A860-TEXT(DATEVALUE($D860&amp;"-01"), "dd-mm-yyyy")),0),0)</f>
        <v>300</v>
      </c>
      <c r="I860" cm="1">
        <f t="array" ref="I860">IF($Q860&gt;=0,IFERROR(generateSalesData($D860, IF(ISNUMBER(_xlfn.XLOOKUP($C860,Phone_by_Sentiment!$B$2:$B$37,Phone_by_Sentiment!I$2:I$37,"",0,1)),_xlfn.XLOOKUP($C860,Phone_by_Sentiment!$B$2:$B$37,Phone_by_Sentiment!I$2:I$37,"",0,1),0),$A860-TEXT(DATEVALUE($D860&amp;"-01"), "dd-mm-yyyy")),0),0)</f>
        <v>471</v>
      </c>
      <c r="J860" cm="1">
        <f t="array" ref="J860">IF($Q860&gt;=0,IFERROR(generateSalesData($D860, IF(ISNUMBER(_xlfn.XLOOKUP($C860,Phone_by_Sentiment!$B$2:$B$37,Phone_by_Sentiment!J$2:J$37,"",0,1)),_xlfn.XLOOKUP($C860,Phone_by_Sentiment!$B$2:$B$37,Phone_by_Sentiment!J$2:J$37,"",0,1),0),$A860-TEXT(DATEVALUE($D860&amp;"-01"), "dd-mm-yyyy")),0),0)</f>
        <v>-3</v>
      </c>
      <c r="K860" cm="1">
        <f t="array" ref="K860">IF($Q860&gt;=0,IFERROR(generateSalesData($D860, IF(ISNUMBER(_xlfn.XLOOKUP($C860,Phone_by_Sentiment!$B$2:$B$37,Phone_by_Sentiment!K$2:K$37,"",0,1)),_xlfn.XLOOKUP($C860,Phone_by_Sentiment!$B$2:$B$37,Phone_by_Sentiment!K$2:K$37,"",0,1),0),$A860-TEXT(DATEVALUE($D860&amp;"-01"), "dd-mm-yyyy")),0),0)</f>
        <v>25</v>
      </c>
      <c r="L860" cm="1">
        <f t="array" ref="L860">IF($Q860&gt;=0,IFERROR(generateSalesData($D860, IF(ISNUMBER(_xlfn.XLOOKUP($C860,Phone_by_Sentiment!$B$2:$B$37,Phone_by_Sentiment!L$2:L$37,"",0,1)),_xlfn.XLOOKUP($C860,Phone_by_Sentiment!$B$2:$B$37,Phone_by_Sentiment!L$2:L$37,"",0,1),0),$A860-TEXT(DATEVALUE($D860&amp;"-01"), "dd-mm-yyyy")),0),0)</f>
        <v>24</v>
      </c>
      <c r="M860" cm="1">
        <f t="array" ref="M860">IF($Q860&gt;=0,IFERROR(generateSalesData($D860, IF(ISNUMBER(_xlfn.XLOOKUP($C860,Phone_by_Sentiment!$B$2:$B$37,Phone_by_Sentiment!M$2:M$37,"",0,1)),_xlfn.XLOOKUP($C860,Phone_by_Sentiment!$B$2:$B$37,Phone_by_Sentiment!M$2:M$37,"",0,1),0),$A860-TEXT(DATEVALUE($D860&amp;"-01"), "dd-mm-yyyy")),0),0)</f>
        <v>196</v>
      </c>
      <c r="N860" cm="1">
        <f t="array" ref="N860">IF($Q860&gt;=0,IFERROR(generateSalesData($D860, IF(ISNUMBER(_xlfn.XLOOKUP($C860,Phone_by_Sentiment!$B$2:$B$37,Phone_by_Sentiment!N$2:N$37,"",0,1)),_xlfn.XLOOKUP($C860,Phone_by_Sentiment!$B$2:$B$37,Phone_by_Sentiment!N$2:N$37,"",0,1),0),$A860-TEXT(DATEVALUE($D860&amp;"-01"), "dd-mm-yyyy")),0),0)</f>
        <v>132</v>
      </c>
      <c r="O860" cm="1">
        <f t="array" ref="O860">IF($Q860&gt;=0,IFERROR(generateSalesData($D860, IF(ISNUMBER(_xlfn.XLOOKUP($C860,Phone_by_Sentiment!$B$2:$B$37,Phone_by_Sentiment!O$2:O$37,"",0,1)),_xlfn.XLOOKUP($C860,Phone_by_Sentiment!$B$2:$B$37,Phone_by_Sentiment!O$2:O$37,"",0,1),0),$A860-TEXT(DATEVALUE($D860&amp;"-01"), "dd-mm-yyyy")),0),0)</f>
        <v>139</v>
      </c>
      <c r="P860" s="1">
        <f t="shared" si="34"/>
        <v>43374</v>
      </c>
      <c r="Q860">
        <f t="shared" si="35"/>
        <v>823</v>
      </c>
    </row>
    <row r="861" spans="1:17" x14ac:dyDescent="0.25">
      <c r="A861" s="1">
        <f t="shared" si="36"/>
        <v>44197</v>
      </c>
      <c r="B861" t="s">
        <v>142</v>
      </c>
      <c r="C861" t="str">
        <f>_xlfn.XLOOKUP(B861,Phone_by_Price!$A$2:$A$34,Phone_by_Price!$B$2:$B$34,"-",0,1)</f>
        <v>iPhone 11</v>
      </c>
      <c r="D861" t="str">
        <f>_xlfn.XLOOKUP(C861,Phone_by_Sentiment!$B$2:$B$37,Phone_by_Sentiment!$A$2:$A$37,"-",0,1)</f>
        <v>2019-09</v>
      </c>
      <c r="E861" cm="1">
        <f t="array" ref="E861">IF($Q861&gt;=0,IFERROR(generateSalesData($D861, IF(ISNUMBER(_xlfn.XLOOKUP($C861,Phone_by_Sentiment!$B$2:$B$37,Phone_by_Sentiment!E$2:E$37,"",0,1)),_xlfn.XLOOKUP($C861,Phone_by_Sentiment!$B$2:$B$37,Phone_by_Sentiment!E$2:E$37,"",0,1),0),$A861-TEXT(DATEVALUE($D861&amp;"-01"), "dd-mm-yyyy")),0),0)</f>
        <v>266</v>
      </c>
      <c r="F861" cm="1">
        <f t="array" ref="F861">IF($Q861&gt;=0,IFERROR(generateSalesData($D861, IF(ISNUMBER(_xlfn.XLOOKUP($C861,Phone_by_Sentiment!$B$2:$B$37,Phone_by_Sentiment!F$2:F$37,"",0,1)),_xlfn.XLOOKUP($C861,Phone_by_Sentiment!$B$2:$B$37,Phone_by_Sentiment!F$2:F$37,"",0,1),0),$A861-TEXT(DATEVALUE($D861&amp;"-01"), "dd-mm-yyyy")),0),0)</f>
        <v>779</v>
      </c>
      <c r="G861" cm="1">
        <f t="array" ref="G861">IF($Q861&gt;=0,IFERROR(generateSalesData($D861, IF(ISNUMBER(_xlfn.XLOOKUP($C861,Phone_by_Sentiment!$B$2:$B$37,Phone_by_Sentiment!G$2:G$37,"",0,1)),_xlfn.XLOOKUP($C861,Phone_by_Sentiment!$B$2:$B$37,Phone_by_Sentiment!G$2:G$37,"",0,1),0),$A861-TEXT(DATEVALUE($D861&amp;"-01"), "dd-mm-yyyy")),0),0)</f>
        <v>105</v>
      </c>
      <c r="H861" cm="1">
        <f t="array" ref="H861">IF($Q861&gt;=0,IFERROR(generateSalesData($D861, IF(ISNUMBER(_xlfn.XLOOKUP($C861,Phone_by_Sentiment!$B$2:$B$37,Phone_by_Sentiment!H$2:H$37,"",0,1)),_xlfn.XLOOKUP($C861,Phone_by_Sentiment!$B$2:$B$37,Phone_by_Sentiment!H$2:H$37,"",0,1),0),$A861-TEXT(DATEVALUE($D861&amp;"-01"), "dd-mm-yyyy")),0),0)</f>
        <v>776</v>
      </c>
      <c r="I861" cm="1">
        <f t="array" ref="I861">IF($Q861&gt;=0,IFERROR(generateSalesData($D861, IF(ISNUMBER(_xlfn.XLOOKUP($C861,Phone_by_Sentiment!$B$2:$B$37,Phone_by_Sentiment!I$2:I$37,"",0,1)),_xlfn.XLOOKUP($C861,Phone_by_Sentiment!$B$2:$B$37,Phone_by_Sentiment!I$2:I$37,"",0,1),0),$A861-TEXT(DATEVALUE($D861&amp;"-01"), "dd-mm-yyyy")),0),0)</f>
        <v>512</v>
      </c>
      <c r="J861" cm="1">
        <f t="array" ref="J861">IF($Q861&gt;=0,IFERROR(generateSalesData($D861, IF(ISNUMBER(_xlfn.XLOOKUP($C861,Phone_by_Sentiment!$B$2:$B$37,Phone_by_Sentiment!J$2:J$37,"",0,1)),_xlfn.XLOOKUP($C861,Phone_by_Sentiment!$B$2:$B$37,Phone_by_Sentiment!J$2:J$37,"",0,1),0),$A861-TEXT(DATEVALUE($D861&amp;"-01"), "dd-mm-yyyy")),0),0)</f>
        <v>330</v>
      </c>
      <c r="K861" cm="1">
        <f t="array" ref="K861">IF($Q861&gt;=0,IFERROR(generateSalesData($D861, IF(ISNUMBER(_xlfn.XLOOKUP($C861,Phone_by_Sentiment!$B$2:$B$37,Phone_by_Sentiment!K$2:K$37,"",0,1)),_xlfn.XLOOKUP($C861,Phone_by_Sentiment!$B$2:$B$37,Phone_by_Sentiment!K$2:K$37,"",0,1),0),$A861-TEXT(DATEVALUE($D861&amp;"-01"), "dd-mm-yyyy")),0),0)</f>
        <v>184</v>
      </c>
      <c r="L861" cm="1">
        <f t="array" ref="L861">IF($Q861&gt;=0,IFERROR(generateSalesData($D861, IF(ISNUMBER(_xlfn.XLOOKUP($C861,Phone_by_Sentiment!$B$2:$B$37,Phone_by_Sentiment!L$2:L$37,"",0,1)),_xlfn.XLOOKUP($C861,Phone_by_Sentiment!$B$2:$B$37,Phone_by_Sentiment!L$2:L$37,"",0,1),0),$A861-TEXT(DATEVALUE($D861&amp;"-01"), "dd-mm-yyyy")),0),0)</f>
        <v>708</v>
      </c>
      <c r="M861" cm="1">
        <f t="array" ref="M861">IF($Q861&gt;=0,IFERROR(generateSalesData($D861, IF(ISNUMBER(_xlfn.XLOOKUP($C861,Phone_by_Sentiment!$B$2:$B$37,Phone_by_Sentiment!M$2:M$37,"",0,1)),_xlfn.XLOOKUP($C861,Phone_by_Sentiment!$B$2:$B$37,Phone_by_Sentiment!M$2:M$37,"",0,1),0),$A861-TEXT(DATEVALUE($D861&amp;"-01"), "dd-mm-yyyy")),0),0)</f>
        <v>322</v>
      </c>
      <c r="N861" cm="1">
        <f t="array" ref="N861">IF($Q861&gt;=0,IFERROR(generateSalesData($D861, IF(ISNUMBER(_xlfn.XLOOKUP($C861,Phone_by_Sentiment!$B$2:$B$37,Phone_by_Sentiment!N$2:N$37,"",0,1)),_xlfn.XLOOKUP($C861,Phone_by_Sentiment!$B$2:$B$37,Phone_by_Sentiment!N$2:N$37,"",0,1),0),$A861-TEXT(DATEVALUE($D861&amp;"-01"), "dd-mm-yyyy")),0),0)</f>
        <v>692</v>
      </c>
      <c r="O861" cm="1">
        <f t="array" ref="O861">IF($Q861&gt;=0,IFERROR(generateSalesData($D861, IF(ISNUMBER(_xlfn.XLOOKUP($C861,Phone_by_Sentiment!$B$2:$B$37,Phone_by_Sentiment!O$2:O$37,"",0,1)),_xlfn.XLOOKUP($C861,Phone_by_Sentiment!$B$2:$B$37,Phone_by_Sentiment!O$2:O$37,"",0,1),0),$A861-TEXT(DATEVALUE($D861&amp;"-01"), "dd-mm-yyyy")),0),0)</f>
        <v>564</v>
      </c>
      <c r="P861" s="1">
        <f t="shared" si="34"/>
        <v>43709</v>
      </c>
      <c r="Q861">
        <f t="shared" si="35"/>
        <v>488</v>
      </c>
    </row>
    <row r="862" spans="1:17" x14ac:dyDescent="0.25">
      <c r="A862" s="1">
        <f t="shared" si="36"/>
        <v>44197</v>
      </c>
      <c r="B862" t="s">
        <v>143</v>
      </c>
      <c r="C862" t="str">
        <f>_xlfn.XLOOKUP(B862,Phone_by_Price!$A$2:$A$34,Phone_by_Price!$B$2:$B$34,"-",0,1)</f>
        <v>Samsung Galaxy S20 Ultra</v>
      </c>
      <c r="D862" t="str">
        <f>_xlfn.XLOOKUP(C862,Phone_by_Sentiment!$B$2:$B$37,Phone_by_Sentiment!$A$2:$A$37,"-",0,1)</f>
        <v>2020-02</v>
      </c>
      <c r="E862" cm="1">
        <f t="array" ref="E862">IF($Q862&gt;=0,IFERROR(generateSalesData($D862, IF(ISNUMBER(_xlfn.XLOOKUP($C862,Phone_by_Sentiment!$B$2:$B$37,Phone_by_Sentiment!E$2:E$37,"",0,1)),_xlfn.XLOOKUP($C862,Phone_by_Sentiment!$B$2:$B$37,Phone_by_Sentiment!E$2:E$37,"",0,1),0),$A862-TEXT(DATEVALUE($D862&amp;"-01"), "dd-mm-yyyy")),0),0)</f>
        <v>661</v>
      </c>
      <c r="F862" cm="1">
        <f t="array" ref="F862">IF($Q862&gt;=0,IFERROR(generateSalesData($D862, IF(ISNUMBER(_xlfn.XLOOKUP($C862,Phone_by_Sentiment!$B$2:$B$37,Phone_by_Sentiment!F$2:F$37,"",0,1)),_xlfn.XLOOKUP($C862,Phone_by_Sentiment!$B$2:$B$37,Phone_by_Sentiment!F$2:F$37,"",0,1),0),$A862-TEXT(DATEVALUE($D862&amp;"-01"), "dd-mm-yyyy")),0),0)</f>
        <v>3</v>
      </c>
      <c r="G862" cm="1">
        <f t="array" ref="G862">IF($Q862&gt;=0,IFERROR(generateSalesData($D862, IF(ISNUMBER(_xlfn.XLOOKUP($C862,Phone_by_Sentiment!$B$2:$B$37,Phone_by_Sentiment!G$2:G$37,"",0,1)),_xlfn.XLOOKUP($C862,Phone_by_Sentiment!$B$2:$B$37,Phone_by_Sentiment!G$2:G$37,"",0,1),0),$A862-TEXT(DATEVALUE($D862&amp;"-01"), "dd-mm-yyyy")),0),0)</f>
        <v>83</v>
      </c>
      <c r="H862" cm="1">
        <f t="array" ref="H862">IF($Q862&gt;=0,IFERROR(generateSalesData($D862, IF(ISNUMBER(_xlfn.XLOOKUP($C862,Phone_by_Sentiment!$B$2:$B$37,Phone_by_Sentiment!H$2:H$37,"",0,1)),_xlfn.XLOOKUP($C862,Phone_by_Sentiment!$B$2:$B$37,Phone_by_Sentiment!H$2:H$37,"",0,1),0),$A862-TEXT(DATEVALUE($D862&amp;"-01"), "dd-mm-yyyy")),0),0)</f>
        <v>950</v>
      </c>
      <c r="I862" cm="1">
        <f t="array" ref="I862">IF($Q862&gt;=0,IFERROR(generateSalesData($D862, IF(ISNUMBER(_xlfn.XLOOKUP($C862,Phone_by_Sentiment!$B$2:$B$37,Phone_by_Sentiment!I$2:I$37,"",0,1)),_xlfn.XLOOKUP($C862,Phone_by_Sentiment!$B$2:$B$37,Phone_by_Sentiment!I$2:I$37,"",0,1),0),$A862-TEXT(DATEVALUE($D862&amp;"-01"), "dd-mm-yyyy")),0),0)</f>
        <v>516</v>
      </c>
      <c r="J862" cm="1">
        <f t="array" ref="J862">IF($Q862&gt;=0,IFERROR(generateSalesData($D862, IF(ISNUMBER(_xlfn.XLOOKUP($C862,Phone_by_Sentiment!$B$2:$B$37,Phone_by_Sentiment!J$2:J$37,"",0,1)),_xlfn.XLOOKUP($C862,Phone_by_Sentiment!$B$2:$B$37,Phone_by_Sentiment!J$2:J$37,"",0,1),0),$A862-TEXT(DATEVALUE($D862&amp;"-01"), "dd-mm-yyyy")),0),0)</f>
        <v>532</v>
      </c>
      <c r="K862" cm="1">
        <f t="array" ref="K862">IF($Q862&gt;=0,IFERROR(generateSalesData($D862, IF(ISNUMBER(_xlfn.XLOOKUP($C862,Phone_by_Sentiment!$B$2:$B$37,Phone_by_Sentiment!K$2:K$37,"",0,1)),_xlfn.XLOOKUP($C862,Phone_by_Sentiment!$B$2:$B$37,Phone_by_Sentiment!K$2:K$37,"",0,1),0),$A862-TEXT(DATEVALUE($D862&amp;"-01"), "dd-mm-yyyy")),0),0)</f>
        <v>152</v>
      </c>
      <c r="L862" cm="1">
        <f t="array" ref="L862">IF($Q862&gt;=0,IFERROR(generateSalesData($D862, IF(ISNUMBER(_xlfn.XLOOKUP($C862,Phone_by_Sentiment!$B$2:$B$37,Phone_by_Sentiment!L$2:L$37,"",0,1)),_xlfn.XLOOKUP($C862,Phone_by_Sentiment!$B$2:$B$37,Phone_by_Sentiment!L$2:L$37,"",0,1),0),$A862-TEXT(DATEVALUE($D862&amp;"-01"), "dd-mm-yyyy")),0),0)</f>
        <v>642</v>
      </c>
      <c r="M862" cm="1">
        <f t="array" ref="M862">IF($Q862&gt;=0,IFERROR(generateSalesData($D862, IF(ISNUMBER(_xlfn.XLOOKUP($C862,Phone_by_Sentiment!$B$2:$B$37,Phone_by_Sentiment!M$2:M$37,"",0,1)),_xlfn.XLOOKUP($C862,Phone_by_Sentiment!$B$2:$B$37,Phone_by_Sentiment!M$2:M$37,"",0,1),0),$A862-TEXT(DATEVALUE($D862&amp;"-01"), "dd-mm-yyyy")),0),0)</f>
        <v>488</v>
      </c>
      <c r="N862" cm="1">
        <f t="array" ref="N862">IF($Q862&gt;=0,IFERROR(generateSalesData($D862, IF(ISNUMBER(_xlfn.XLOOKUP($C862,Phone_by_Sentiment!$B$2:$B$37,Phone_by_Sentiment!N$2:N$37,"",0,1)),_xlfn.XLOOKUP($C862,Phone_by_Sentiment!$B$2:$B$37,Phone_by_Sentiment!N$2:N$37,"",0,1),0),$A862-TEXT(DATEVALUE($D862&amp;"-01"), "dd-mm-yyyy")),0),0)</f>
        <v>588</v>
      </c>
      <c r="O862" cm="1">
        <f t="array" ref="O862">IF($Q862&gt;=0,IFERROR(generateSalesData($D862, IF(ISNUMBER(_xlfn.XLOOKUP($C862,Phone_by_Sentiment!$B$2:$B$37,Phone_by_Sentiment!O$2:O$37,"",0,1)),_xlfn.XLOOKUP($C862,Phone_by_Sentiment!$B$2:$B$37,Phone_by_Sentiment!O$2:O$37,"",0,1),0),$A862-TEXT(DATEVALUE($D862&amp;"-01"), "dd-mm-yyyy")),0),0)</f>
        <v>193</v>
      </c>
      <c r="P862" s="1">
        <f t="shared" si="34"/>
        <v>43862</v>
      </c>
      <c r="Q862">
        <f t="shared" si="35"/>
        <v>335</v>
      </c>
    </row>
    <row r="863" spans="1:17" x14ac:dyDescent="0.25">
      <c r="A863" s="1">
        <f t="shared" si="36"/>
        <v>44197</v>
      </c>
      <c r="B863" t="s">
        <v>144</v>
      </c>
      <c r="C863" t="str">
        <f>_xlfn.XLOOKUP(B863,Phone_by_Price!$A$2:$A$34,Phone_by_Price!$B$2:$B$34,"-",0,1)</f>
        <v>Xiaomi Redmi Note 10</v>
      </c>
      <c r="D863" t="str">
        <f>_xlfn.XLOOKUP(C863,Phone_by_Sentiment!$B$2:$B$37,Phone_by_Sentiment!$A$2:$A$37,"-",0,1)</f>
        <v>2021-03</v>
      </c>
      <c r="E863" cm="1">
        <f t="array" ref="E863">IF($Q863&gt;=0,IFERROR(generateSalesData($D863, IF(ISNUMBER(_xlfn.XLOOKUP($C863,Phone_by_Sentiment!$B$2:$B$37,Phone_by_Sentiment!E$2:E$37,"",0,1)),_xlfn.XLOOKUP($C863,Phone_by_Sentiment!$B$2:$B$37,Phone_by_Sentiment!E$2:E$37,"",0,1),0),$A863-TEXT(DATEVALUE($D863&amp;"-01"), "dd-mm-yyyy")),0),0)</f>
        <v>0</v>
      </c>
      <c r="F863" cm="1">
        <f t="array" ref="F863">IF($Q863&gt;=0,IFERROR(generateSalesData($D863, IF(ISNUMBER(_xlfn.XLOOKUP($C863,Phone_by_Sentiment!$B$2:$B$37,Phone_by_Sentiment!F$2:F$37,"",0,1)),_xlfn.XLOOKUP($C863,Phone_by_Sentiment!$B$2:$B$37,Phone_by_Sentiment!F$2:F$37,"",0,1),0),$A863-TEXT(DATEVALUE($D863&amp;"-01"), "dd-mm-yyyy")),0),0)</f>
        <v>0</v>
      </c>
      <c r="G863" cm="1">
        <f t="array" ref="G863">IF($Q863&gt;=0,IFERROR(generateSalesData($D863, IF(ISNUMBER(_xlfn.XLOOKUP($C863,Phone_by_Sentiment!$B$2:$B$37,Phone_by_Sentiment!G$2:G$37,"",0,1)),_xlfn.XLOOKUP($C863,Phone_by_Sentiment!$B$2:$B$37,Phone_by_Sentiment!G$2:G$37,"",0,1),0),$A863-TEXT(DATEVALUE($D863&amp;"-01"), "dd-mm-yyyy")),0),0)</f>
        <v>0</v>
      </c>
      <c r="H863" cm="1">
        <f t="array" ref="H863">IF($Q863&gt;=0,IFERROR(generateSalesData($D863, IF(ISNUMBER(_xlfn.XLOOKUP($C863,Phone_by_Sentiment!$B$2:$B$37,Phone_by_Sentiment!H$2:H$37,"",0,1)),_xlfn.XLOOKUP($C863,Phone_by_Sentiment!$B$2:$B$37,Phone_by_Sentiment!H$2:H$37,"",0,1),0),$A863-TEXT(DATEVALUE($D863&amp;"-01"), "dd-mm-yyyy")),0),0)</f>
        <v>0</v>
      </c>
      <c r="I863" cm="1">
        <f t="array" ref="I863">IF($Q863&gt;=0,IFERROR(generateSalesData($D863, IF(ISNUMBER(_xlfn.XLOOKUP($C863,Phone_by_Sentiment!$B$2:$B$37,Phone_by_Sentiment!I$2:I$37,"",0,1)),_xlfn.XLOOKUP($C863,Phone_by_Sentiment!$B$2:$B$37,Phone_by_Sentiment!I$2:I$37,"",0,1),0),$A863-TEXT(DATEVALUE($D863&amp;"-01"), "dd-mm-yyyy")),0),0)</f>
        <v>0</v>
      </c>
      <c r="J863" cm="1">
        <f t="array" ref="J863">IF($Q863&gt;=0,IFERROR(generateSalesData($D863, IF(ISNUMBER(_xlfn.XLOOKUP($C863,Phone_by_Sentiment!$B$2:$B$37,Phone_by_Sentiment!J$2:J$37,"",0,1)),_xlfn.XLOOKUP($C863,Phone_by_Sentiment!$B$2:$B$37,Phone_by_Sentiment!J$2:J$37,"",0,1),0),$A863-TEXT(DATEVALUE($D863&amp;"-01"), "dd-mm-yyyy")),0),0)</f>
        <v>0</v>
      </c>
      <c r="K863" cm="1">
        <f t="array" ref="K863">IF($Q863&gt;=0,IFERROR(generateSalesData($D863, IF(ISNUMBER(_xlfn.XLOOKUP($C863,Phone_by_Sentiment!$B$2:$B$37,Phone_by_Sentiment!K$2:K$37,"",0,1)),_xlfn.XLOOKUP($C863,Phone_by_Sentiment!$B$2:$B$37,Phone_by_Sentiment!K$2:K$37,"",0,1),0),$A863-TEXT(DATEVALUE($D863&amp;"-01"), "dd-mm-yyyy")),0),0)</f>
        <v>0</v>
      </c>
      <c r="L863" cm="1">
        <f t="array" ref="L863">IF($Q863&gt;=0,IFERROR(generateSalesData($D863, IF(ISNUMBER(_xlfn.XLOOKUP($C863,Phone_by_Sentiment!$B$2:$B$37,Phone_by_Sentiment!L$2:L$37,"",0,1)),_xlfn.XLOOKUP($C863,Phone_by_Sentiment!$B$2:$B$37,Phone_by_Sentiment!L$2:L$37,"",0,1),0),$A863-TEXT(DATEVALUE($D863&amp;"-01"), "dd-mm-yyyy")),0),0)</f>
        <v>0</v>
      </c>
      <c r="M863" cm="1">
        <f t="array" ref="M863">IF($Q863&gt;=0,IFERROR(generateSalesData($D863, IF(ISNUMBER(_xlfn.XLOOKUP($C863,Phone_by_Sentiment!$B$2:$B$37,Phone_by_Sentiment!M$2:M$37,"",0,1)),_xlfn.XLOOKUP($C863,Phone_by_Sentiment!$B$2:$B$37,Phone_by_Sentiment!M$2:M$37,"",0,1),0),$A863-TEXT(DATEVALUE($D863&amp;"-01"), "dd-mm-yyyy")),0),0)</f>
        <v>0</v>
      </c>
      <c r="N863" cm="1">
        <f t="array" ref="N863">IF($Q863&gt;=0,IFERROR(generateSalesData($D863, IF(ISNUMBER(_xlfn.XLOOKUP($C863,Phone_by_Sentiment!$B$2:$B$37,Phone_by_Sentiment!N$2:N$37,"",0,1)),_xlfn.XLOOKUP($C863,Phone_by_Sentiment!$B$2:$B$37,Phone_by_Sentiment!N$2:N$37,"",0,1),0),$A863-TEXT(DATEVALUE($D863&amp;"-01"), "dd-mm-yyyy")),0),0)</f>
        <v>0</v>
      </c>
      <c r="O863" cm="1">
        <f t="array" ref="O863">IF($Q863&gt;=0,IFERROR(generateSalesData($D863, IF(ISNUMBER(_xlfn.XLOOKUP($C863,Phone_by_Sentiment!$B$2:$B$37,Phone_by_Sentiment!O$2:O$37,"",0,1)),_xlfn.XLOOKUP($C863,Phone_by_Sentiment!$B$2:$B$37,Phone_by_Sentiment!O$2:O$37,"",0,1),0),$A863-TEXT(DATEVALUE($D863&amp;"-01"), "dd-mm-yyyy")),0),0)</f>
        <v>0</v>
      </c>
      <c r="P863" s="1">
        <f t="shared" si="34"/>
        <v>44256</v>
      </c>
      <c r="Q863">
        <f t="shared" si="35"/>
        <v>-59</v>
      </c>
    </row>
    <row r="864" spans="1:17" x14ac:dyDescent="0.25">
      <c r="A864" s="1">
        <f t="shared" si="36"/>
        <v>44197</v>
      </c>
      <c r="B864" t="s">
        <v>145</v>
      </c>
      <c r="C864" t="str">
        <f>_xlfn.XLOOKUP(B864,Phone_by_Price!$A$2:$A$34,Phone_by_Price!$B$2:$B$34,"-",0,1)</f>
        <v>OPPO A54</v>
      </c>
      <c r="D864" t="str">
        <f>_xlfn.XLOOKUP(C864,Phone_by_Sentiment!$B$2:$B$37,Phone_by_Sentiment!$A$2:$A$37,"-",0,1)</f>
        <v>2021-04</v>
      </c>
      <c r="E864" cm="1">
        <f t="array" ref="E864">IF($Q864&gt;=0,IFERROR(generateSalesData($D864, IF(ISNUMBER(_xlfn.XLOOKUP($C864,Phone_by_Sentiment!$B$2:$B$37,Phone_by_Sentiment!E$2:E$37,"",0,1)),_xlfn.XLOOKUP($C864,Phone_by_Sentiment!$B$2:$B$37,Phone_by_Sentiment!E$2:E$37,"",0,1),0),$A864-TEXT(DATEVALUE($D864&amp;"-01"), "dd-mm-yyyy")),0),0)</f>
        <v>0</v>
      </c>
      <c r="F864" cm="1">
        <f t="array" ref="F864">IF($Q864&gt;=0,IFERROR(generateSalesData($D864, IF(ISNUMBER(_xlfn.XLOOKUP($C864,Phone_by_Sentiment!$B$2:$B$37,Phone_by_Sentiment!F$2:F$37,"",0,1)),_xlfn.XLOOKUP($C864,Phone_by_Sentiment!$B$2:$B$37,Phone_by_Sentiment!F$2:F$37,"",0,1),0),$A864-TEXT(DATEVALUE($D864&amp;"-01"), "dd-mm-yyyy")),0),0)</f>
        <v>0</v>
      </c>
      <c r="G864" cm="1">
        <f t="array" ref="G864">IF($Q864&gt;=0,IFERROR(generateSalesData($D864, IF(ISNUMBER(_xlfn.XLOOKUP($C864,Phone_by_Sentiment!$B$2:$B$37,Phone_by_Sentiment!G$2:G$37,"",0,1)),_xlfn.XLOOKUP($C864,Phone_by_Sentiment!$B$2:$B$37,Phone_by_Sentiment!G$2:G$37,"",0,1),0),$A864-TEXT(DATEVALUE($D864&amp;"-01"), "dd-mm-yyyy")),0),0)</f>
        <v>0</v>
      </c>
      <c r="H864" cm="1">
        <f t="array" ref="H864">IF($Q864&gt;=0,IFERROR(generateSalesData($D864, IF(ISNUMBER(_xlfn.XLOOKUP($C864,Phone_by_Sentiment!$B$2:$B$37,Phone_by_Sentiment!H$2:H$37,"",0,1)),_xlfn.XLOOKUP($C864,Phone_by_Sentiment!$B$2:$B$37,Phone_by_Sentiment!H$2:H$37,"",0,1),0),$A864-TEXT(DATEVALUE($D864&amp;"-01"), "dd-mm-yyyy")),0),0)</f>
        <v>0</v>
      </c>
      <c r="I864" cm="1">
        <f t="array" ref="I864">IF($Q864&gt;=0,IFERROR(generateSalesData($D864, IF(ISNUMBER(_xlfn.XLOOKUP($C864,Phone_by_Sentiment!$B$2:$B$37,Phone_by_Sentiment!I$2:I$37,"",0,1)),_xlfn.XLOOKUP($C864,Phone_by_Sentiment!$B$2:$B$37,Phone_by_Sentiment!I$2:I$37,"",0,1),0),$A864-TEXT(DATEVALUE($D864&amp;"-01"), "dd-mm-yyyy")),0),0)</f>
        <v>0</v>
      </c>
      <c r="J864" cm="1">
        <f t="array" ref="J864">IF($Q864&gt;=0,IFERROR(generateSalesData($D864, IF(ISNUMBER(_xlfn.XLOOKUP($C864,Phone_by_Sentiment!$B$2:$B$37,Phone_by_Sentiment!J$2:J$37,"",0,1)),_xlfn.XLOOKUP($C864,Phone_by_Sentiment!$B$2:$B$37,Phone_by_Sentiment!J$2:J$37,"",0,1),0),$A864-TEXT(DATEVALUE($D864&amp;"-01"), "dd-mm-yyyy")),0),0)</f>
        <v>0</v>
      </c>
      <c r="K864" cm="1">
        <f t="array" ref="K864">IF($Q864&gt;=0,IFERROR(generateSalesData($D864, IF(ISNUMBER(_xlfn.XLOOKUP($C864,Phone_by_Sentiment!$B$2:$B$37,Phone_by_Sentiment!K$2:K$37,"",0,1)),_xlfn.XLOOKUP($C864,Phone_by_Sentiment!$B$2:$B$37,Phone_by_Sentiment!K$2:K$37,"",0,1),0),$A864-TEXT(DATEVALUE($D864&amp;"-01"), "dd-mm-yyyy")),0),0)</f>
        <v>0</v>
      </c>
      <c r="L864" cm="1">
        <f t="array" ref="L864">IF($Q864&gt;=0,IFERROR(generateSalesData($D864, IF(ISNUMBER(_xlfn.XLOOKUP($C864,Phone_by_Sentiment!$B$2:$B$37,Phone_by_Sentiment!L$2:L$37,"",0,1)),_xlfn.XLOOKUP($C864,Phone_by_Sentiment!$B$2:$B$37,Phone_by_Sentiment!L$2:L$37,"",0,1),0),$A864-TEXT(DATEVALUE($D864&amp;"-01"), "dd-mm-yyyy")),0),0)</f>
        <v>0</v>
      </c>
      <c r="M864" cm="1">
        <f t="array" ref="M864">IF($Q864&gt;=0,IFERROR(generateSalesData($D864, IF(ISNUMBER(_xlfn.XLOOKUP($C864,Phone_by_Sentiment!$B$2:$B$37,Phone_by_Sentiment!M$2:M$37,"",0,1)),_xlfn.XLOOKUP($C864,Phone_by_Sentiment!$B$2:$B$37,Phone_by_Sentiment!M$2:M$37,"",0,1),0),$A864-TEXT(DATEVALUE($D864&amp;"-01"), "dd-mm-yyyy")),0),0)</f>
        <v>0</v>
      </c>
      <c r="N864" cm="1">
        <f t="array" ref="N864">IF($Q864&gt;=0,IFERROR(generateSalesData($D864, IF(ISNUMBER(_xlfn.XLOOKUP($C864,Phone_by_Sentiment!$B$2:$B$37,Phone_by_Sentiment!N$2:N$37,"",0,1)),_xlfn.XLOOKUP($C864,Phone_by_Sentiment!$B$2:$B$37,Phone_by_Sentiment!N$2:N$37,"",0,1),0),$A864-TEXT(DATEVALUE($D864&amp;"-01"), "dd-mm-yyyy")),0),0)</f>
        <v>0</v>
      </c>
      <c r="O864" cm="1">
        <f t="array" ref="O864">IF($Q864&gt;=0,IFERROR(generateSalesData($D864, IF(ISNUMBER(_xlfn.XLOOKUP($C864,Phone_by_Sentiment!$B$2:$B$37,Phone_by_Sentiment!O$2:O$37,"",0,1)),_xlfn.XLOOKUP($C864,Phone_by_Sentiment!$B$2:$B$37,Phone_by_Sentiment!O$2:O$37,"",0,1),0),$A864-TEXT(DATEVALUE($D864&amp;"-01"), "dd-mm-yyyy")),0),0)</f>
        <v>0</v>
      </c>
      <c r="P864" s="1">
        <f t="shared" si="34"/>
        <v>44287</v>
      </c>
      <c r="Q864">
        <f t="shared" si="35"/>
        <v>-90</v>
      </c>
    </row>
    <row r="865" spans="1:17" x14ac:dyDescent="0.25">
      <c r="A865" s="1">
        <f t="shared" si="36"/>
        <v>44197</v>
      </c>
      <c r="B865" t="s">
        <v>146</v>
      </c>
      <c r="C865" t="str">
        <f>_xlfn.XLOOKUP(B865,Phone_by_Price!$A$2:$A$34,Phone_by_Price!$B$2:$B$34,"-",0,1)</f>
        <v>Vivo Y20</v>
      </c>
      <c r="D865" t="str">
        <f>_xlfn.XLOOKUP(C865,Phone_by_Sentiment!$B$2:$B$37,Phone_by_Sentiment!$A$2:$A$37,"-",0,1)</f>
        <v>2020-09</v>
      </c>
      <c r="E865" cm="1">
        <f t="array" ref="E865">IF($Q865&gt;=0,IFERROR(generateSalesData($D865, IF(ISNUMBER(_xlfn.XLOOKUP($C865,Phone_by_Sentiment!$B$2:$B$37,Phone_by_Sentiment!E$2:E$37,"",0,1)),_xlfn.XLOOKUP($C865,Phone_by_Sentiment!$B$2:$B$37,Phone_by_Sentiment!E$2:E$37,"",0,1),0),$A865-TEXT(DATEVALUE($D865&amp;"-01"), "dd-mm-yyyy")),0),0)</f>
        <v>1650</v>
      </c>
      <c r="F865" cm="1">
        <f t="array" ref="F865">IF($Q865&gt;=0,IFERROR(generateSalesData($D865, IF(ISNUMBER(_xlfn.XLOOKUP($C865,Phone_by_Sentiment!$B$2:$B$37,Phone_by_Sentiment!F$2:F$37,"",0,1)),_xlfn.XLOOKUP($C865,Phone_by_Sentiment!$B$2:$B$37,Phone_by_Sentiment!F$2:F$37,"",0,1),0),$A865-TEXT(DATEVALUE($D865&amp;"-01"), "dd-mm-yyyy")),0),0)</f>
        <v>2395</v>
      </c>
      <c r="G865" cm="1">
        <f t="array" ref="G865">IF($Q865&gt;=0,IFERROR(generateSalesData($D865, IF(ISNUMBER(_xlfn.XLOOKUP($C865,Phone_by_Sentiment!$B$2:$B$37,Phone_by_Sentiment!G$2:G$37,"",0,1)),_xlfn.XLOOKUP($C865,Phone_by_Sentiment!$B$2:$B$37,Phone_by_Sentiment!G$2:G$37,"",0,1),0),$A865-TEXT(DATEVALUE($D865&amp;"-01"), "dd-mm-yyyy")),0),0)</f>
        <v>910</v>
      </c>
      <c r="H865" cm="1">
        <f t="array" ref="H865">IF($Q865&gt;=0,IFERROR(generateSalesData($D865, IF(ISNUMBER(_xlfn.XLOOKUP($C865,Phone_by_Sentiment!$B$2:$B$37,Phone_by_Sentiment!H$2:H$37,"",0,1)),_xlfn.XLOOKUP($C865,Phone_by_Sentiment!$B$2:$B$37,Phone_by_Sentiment!H$2:H$37,"",0,1),0),$A865-TEXT(DATEVALUE($D865&amp;"-01"), "dd-mm-yyyy")),0),0)</f>
        <v>912</v>
      </c>
      <c r="I865" cm="1">
        <f t="array" ref="I865">IF($Q865&gt;=0,IFERROR(generateSalesData($D865, IF(ISNUMBER(_xlfn.XLOOKUP($C865,Phone_by_Sentiment!$B$2:$B$37,Phone_by_Sentiment!I$2:I$37,"",0,1)),_xlfn.XLOOKUP($C865,Phone_by_Sentiment!$B$2:$B$37,Phone_by_Sentiment!I$2:I$37,"",0,1),0),$A865-TEXT(DATEVALUE($D865&amp;"-01"), "dd-mm-yyyy")),0),0)</f>
        <v>396</v>
      </c>
      <c r="J865" cm="1">
        <f t="array" ref="J865">IF($Q865&gt;=0,IFERROR(generateSalesData($D865, IF(ISNUMBER(_xlfn.XLOOKUP($C865,Phone_by_Sentiment!$B$2:$B$37,Phone_by_Sentiment!J$2:J$37,"",0,1)),_xlfn.XLOOKUP($C865,Phone_by_Sentiment!$B$2:$B$37,Phone_by_Sentiment!J$2:J$37,"",0,1),0),$A865-TEXT(DATEVALUE($D865&amp;"-01"), "dd-mm-yyyy")),0),0)</f>
        <v>920</v>
      </c>
      <c r="K865" cm="1">
        <f t="array" ref="K865">IF($Q865&gt;=0,IFERROR(generateSalesData($D865, IF(ISNUMBER(_xlfn.XLOOKUP($C865,Phone_by_Sentiment!$B$2:$B$37,Phone_by_Sentiment!K$2:K$37,"",0,1)),_xlfn.XLOOKUP($C865,Phone_by_Sentiment!$B$2:$B$37,Phone_by_Sentiment!K$2:K$37,"",0,1),0),$A865-TEXT(DATEVALUE($D865&amp;"-01"), "dd-mm-yyyy")),0),0)</f>
        <v>843</v>
      </c>
      <c r="L865" cm="1">
        <f t="array" ref="L865">IF($Q865&gt;=0,IFERROR(generateSalesData($D865, IF(ISNUMBER(_xlfn.XLOOKUP($C865,Phone_by_Sentiment!$B$2:$B$37,Phone_by_Sentiment!L$2:L$37,"",0,1)),_xlfn.XLOOKUP($C865,Phone_by_Sentiment!$B$2:$B$37,Phone_by_Sentiment!L$2:L$37,"",0,1),0),$A865-TEXT(DATEVALUE($D865&amp;"-01"), "dd-mm-yyyy")),0),0)</f>
        <v>248</v>
      </c>
      <c r="M865" cm="1">
        <f t="array" ref="M865">IF($Q865&gt;=0,IFERROR(generateSalesData($D865, IF(ISNUMBER(_xlfn.XLOOKUP($C865,Phone_by_Sentiment!$B$2:$B$37,Phone_by_Sentiment!M$2:M$37,"",0,1)),_xlfn.XLOOKUP($C865,Phone_by_Sentiment!$B$2:$B$37,Phone_by_Sentiment!M$2:M$37,"",0,1),0),$A865-TEXT(DATEVALUE($D865&amp;"-01"), "dd-mm-yyyy")),0),0)</f>
        <v>398</v>
      </c>
      <c r="N865" cm="1">
        <f t="array" ref="N865">IF($Q865&gt;=0,IFERROR(generateSalesData($D865, IF(ISNUMBER(_xlfn.XLOOKUP($C865,Phone_by_Sentiment!$B$2:$B$37,Phone_by_Sentiment!N$2:N$37,"",0,1)),_xlfn.XLOOKUP($C865,Phone_by_Sentiment!$B$2:$B$37,Phone_by_Sentiment!N$2:N$37,"",0,1),0),$A865-TEXT(DATEVALUE($D865&amp;"-01"), "dd-mm-yyyy")),0),0)</f>
        <v>511</v>
      </c>
      <c r="O865" cm="1">
        <f t="array" ref="O865">IF($Q865&gt;=0,IFERROR(generateSalesData($D865, IF(ISNUMBER(_xlfn.XLOOKUP($C865,Phone_by_Sentiment!$B$2:$B$37,Phone_by_Sentiment!O$2:O$37,"",0,1)),_xlfn.XLOOKUP($C865,Phone_by_Sentiment!$B$2:$B$37,Phone_by_Sentiment!O$2:O$37,"",0,1),0),$A865-TEXT(DATEVALUE($D865&amp;"-01"), "dd-mm-yyyy")),0),0)</f>
        <v>571</v>
      </c>
      <c r="P865" s="1">
        <f t="shared" si="34"/>
        <v>44075</v>
      </c>
      <c r="Q865">
        <f t="shared" si="35"/>
        <v>122</v>
      </c>
    </row>
    <row r="866" spans="1:17" x14ac:dyDescent="0.25">
      <c r="A866" s="1">
        <f t="shared" si="36"/>
        <v>44197</v>
      </c>
      <c r="B866" t="s">
        <v>147</v>
      </c>
      <c r="C866" t="str">
        <f>_xlfn.XLOOKUP(B866,Phone_by_Price!$A$2:$A$34,Phone_by_Price!$B$2:$B$34,"-",0,1)</f>
        <v>Huawei Y9a</v>
      </c>
      <c r="D866" t="str">
        <f>_xlfn.XLOOKUP(C866,Phone_by_Sentiment!$B$2:$B$37,Phone_by_Sentiment!$A$2:$A$37,"-",0,1)</f>
        <v>2020-02</v>
      </c>
      <c r="E866" cm="1">
        <f t="array" ref="E866">IF($Q866&gt;=0,IFERROR(generateSalesData($D866, IF(ISNUMBER(_xlfn.XLOOKUP($C866,Phone_by_Sentiment!$B$2:$B$37,Phone_by_Sentiment!E$2:E$37,"",0,1)),_xlfn.XLOOKUP($C866,Phone_by_Sentiment!$B$2:$B$37,Phone_by_Sentiment!E$2:E$37,"",0,1),0),$A866-TEXT(DATEVALUE($D866&amp;"-01"), "dd-mm-yyyy")),0),0)</f>
        <v>147</v>
      </c>
      <c r="F866" cm="1">
        <f t="array" ref="F866">IF($Q866&gt;=0,IFERROR(generateSalesData($D866, IF(ISNUMBER(_xlfn.XLOOKUP($C866,Phone_by_Sentiment!$B$2:$B$37,Phone_by_Sentiment!F$2:F$37,"",0,1)),_xlfn.XLOOKUP($C866,Phone_by_Sentiment!$B$2:$B$37,Phone_by_Sentiment!F$2:F$37,"",0,1),0),$A866-TEXT(DATEVALUE($D866&amp;"-01"), "dd-mm-yyyy")),0),0)</f>
        <v>286</v>
      </c>
      <c r="G866" cm="1">
        <f t="array" ref="G866">IF($Q866&gt;=0,IFERROR(generateSalesData($D866, IF(ISNUMBER(_xlfn.XLOOKUP($C866,Phone_by_Sentiment!$B$2:$B$37,Phone_by_Sentiment!G$2:G$37,"",0,1)),_xlfn.XLOOKUP($C866,Phone_by_Sentiment!$B$2:$B$37,Phone_by_Sentiment!G$2:G$37,"",0,1),0),$A866-TEXT(DATEVALUE($D866&amp;"-01"), "dd-mm-yyyy")),0),0)</f>
        <v>254</v>
      </c>
      <c r="H866" cm="1">
        <f t="array" ref="H866">IF($Q866&gt;=0,IFERROR(generateSalesData($D866, IF(ISNUMBER(_xlfn.XLOOKUP($C866,Phone_by_Sentiment!$B$2:$B$37,Phone_by_Sentiment!H$2:H$37,"",0,1)),_xlfn.XLOOKUP($C866,Phone_by_Sentiment!$B$2:$B$37,Phone_by_Sentiment!H$2:H$37,"",0,1),0),$A866-TEXT(DATEVALUE($D866&amp;"-01"), "dd-mm-yyyy")),0),0)</f>
        <v>63</v>
      </c>
      <c r="I866" cm="1">
        <f t="array" ref="I866">IF($Q866&gt;=0,IFERROR(generateSalesData($D866, IF(ISNUMBER(_xlfn.XLOOKUP($C866,Phone_by_Sentiment!$B$2:$B$37,Phone_by_Sentiment!I$2:I$37,"",0,1)),_xlfn.XLOOKUP($C866,Phone_by_Sentiment!$B$2:$B$37,Phone_by_Sentiment!I$2:I$37,"",0,1),0),$A866-TEXT(DATEVALUE($D866&amp;"-01"), "dd-mm-yyyy")),0),0)</f>
        <v>228</v>
      </c>
      <c r="J866" cm="1">
        <f t="array" ref="J866">IF($Q866&gt;=0,IFERROR(generateSalesData($D866, IF(ISNUMBER(_xlfn.XLOOKUP($C866,Phone_by_Sentiment!$B$2:$B$37,Phone_by_Sentiment!J$2:J$37,"",0,1)),_xlfn.XLOOKUP($C866,Phone_by_Sentiment!$B$2:$B$37,Phone_by_Sentiment!J$2:J$37,"",0,1),0),$A866-TEXT(DATEVALUE($D866&amp;"-01"), "dd-mm-yyyy")),0),0)</f>
        <v>128</v>
      </c>
      <c r="K866" cm="1">
        <f t="array" ref="K866">IF($Q866&gt;=0,IFERROR(generateSalesData($D866, IF(ISNUMBER(_xlfn.XLOOKUP($C866,Phone_by_Sentiment!$B$2:$B$37,Phone_by_Sentiment!K$2:K$37,"",0,1)),_xlfn.XLOOKUP($C866,Phone_by_Sentiment!$B$2:$B$37,Phone_by_Sentiment!K$2:K$37,"",0,1),0),$A866-TEXT(DATEVALUE($D866&amp;"-01"), "dd-mm-yyyy")),0),0)</f>
        <v>211</v>
      </c>
      <c r="L866" cm="1">
        <f t="array" ref="L866">IF($Q866&gt;=0,IFERROR(generateSalesData($D866, IF(ISNUMBER(_xlfn.XLOOKUP($C866,Phone_by_Sentiment!$B$2:$B$37,Phone_by_Sentiment!L$2:L$37,"",0,1)),_xlfn.XLOOKUP($C866,Phone_by_Sentiment!$B$2:$B$37,Phone_by_Sentiment!L$2:L$37,"",0,1),0),$A866-TEXT(DATEVALUE($D866&amp;"-01"), "dd-mm-yyyy")),0),0)</f>
        <v>315</v>
      </c>
      <c r="M866" cm="1">
        <f t="array" ref="M866">IF($Q866&gt;=0,IFERROR(generateSalesData($D866, IF(ISNUMBER(_xlfn.XLOOKUP($C866,Phone_by_Sentiment!$B$2:$B$37,Phone_by_Sentiment!M$2:M$37,"",0,1)),_xlfn.XLOOKUP($C866,Phone_by_Sentiment!$B$2:$B$37,Phone_by_Sentiment!M$2:M$37,"",0,1),0),$A866-TEXT(DATEVALUE($D866&amp;"-01"), "dd-mm-yyyy")),0),0)</f>
        <v>87</v>
      </c>
      <c r="N866" cm="1">
        <f t="array" ref="N866">IF($Q866&gt;=0,IFERROR(generateSalesData($D866, IF(ISNUMBER(_xlfn.XLOOKUP($C866,Phone_by_Sentiment!$B$2:$B$37,Phone_by_Sentiment!N$2:N$37,"",0,1)),_xlfn.XLOOKUP($C866,Phone_by_Sentiment!$B$2:$B$37,Phone_by_Sentiment!N$2:N$37,"",0,1),0),$A866-TEXT(DATEVALUE($D866&amp;"-01"), "dd-mm-yyyy")),0),0)</f>
        <v>126</v>
      </c>
      <c r="O866" cm="1">
        <f t="array" ref="O866">IF($Q866&gt;=0,IFERROR(generateSalesData($D866, IF(ISNUMBER(_xlfn.XLOOKUP($C866,Phone_by_Sentiment!$B$2:$B$37,Phone_by_Sentiment!O$2:O$37,"",0,1)),_xlfn.XLOOKUP($C866,Phone_by_Sentiment!$B$2:$B$37,Phone_by_Sentiment!O$2:O$37,"",0,1),0),$A866-TEXT(DATEVALUE($D866&amp;"-01"), "dd-mm-yyyy")),0),0)</f>
        <v>157</v>
      </c>
      <c r="P866" s="1">
        <f t="shared" si="34"/>
        <v>43862</v>
      </c>
      <c r="Q866">
        <f t="shared" si="35"/>
        <v>335</v>
      </c>
    </row>
    <row r="867" spans="1:17" x14ac:dyDescent="0.25">
      <c r="A867" s="1">
        <f t="shared" si="36"/>
        <v>44197</v>
      </c>
      <c r="B867" t="s">
        <v>148</v>
      </c>
      <c r="C867" t="str">
        <f>_xlfn.XLOOKUP(B867,Phone_by_Price!$A$2:$A$34,Phone_by_Price!$B$2:$B$34,"-",0,1)</f>
        <v>Xiaomi Redmi 10</v>
      </c>
      <c r="D867" t="str">
        <f>_xlfn.XLOOKUP(C867,Phone_by_Sentiment!$B$2:$B$37,Phone_by_Sentiment!$A$2:$A$37,"-",0,1)</f>
        <v>2021-03</v>
      </c>
      <c r="E867" cm="1">
        <f t="array" ref="E867">IF($Q867&gt;=0,IFERROR(generateSalesData($D867, IF(ISNUMBER(_xlfn.XLOOKUP($C867,Phone_by_Sentiment!$B$2:$B$37,Phone_by_Sentiment!E$2:E$37,"",0,1)),_xlfn.XLOOKUP($C867,Phone_by_Sentiment!$B$2:$B$37,Phone_by_Sentiment!E$2:E$37,"",0,1),0),$A867-TEXT(DATEVALUE($D867&amp;"-01"), "dd-mm-yyyy")),0),0)</f>
        <v>0</v>
      </c>
      <c r="F867" cm="1">
        <f t="array" ref="F867">IF($Q867&gt;=0,IFERROR(generateSalesData($D867, IF(ISNUMBER(_xlfn.XLOOKUP($C867,Phone_by_Sentiment!$B$2:$B$37,Phone_by_Sentiment!F$2:F$37,"",0,1)),_xlfn.XLOOKUP($C867,Phone_by_Sentiment!$B$2:$B$37,Phone_by_Sentiment!F$2:F$37,"",0,1),0),$A867-TEXT(DATEVALUE($D867&amp;"-01"), "dd-mm-yyyy")),0),0)</f>
        <v>0</v>
      </c>
      <c r="G867" cm="1">
        <f t="array" ref="G867">IF($Q867&gt;=0,IFERROR(generateSalesData($D867, IF(ISNUMBER(_xlfn.XLOOKUP($C867,Phone_by_Sentiment!$B$2:$B$37,Phone_by_Sentiment!G$2:G$37,"",0,1)),_xlfn.XLOOKUP($C867,Phone_by_Sentiment!$B$2:$B$37,Phone_by_Sentiment!G$2:G$37,"",0,1),0),$A867-TEXT(DATEVALUE($D867&amp;"-01"), "dd-mm-yyyy")),0),0)</f>
        <v>0</v>
      </c>
      <c r="H867" cm="1">
        <f t="array" ref="H867">IF($Q867&gt;=0,IFERROR(generateSalesData($D867, IF(ISNUMBER(_xlfn.XLOOKUP($C867,Phone_by_Sentiment!$B$2:$B$37,Phone_by_Sentiment!H$2:H$37,"",0,1)),_xlfn.XLOOKUP($C867,Phone_by_Sentiment!$B$2:$B$37,Phone_by_Sentiment!H$2:H$37,"",0,1),0),$A867-TEXT(DATEVALUE($D867&amp;"-01"), "dd-mm-yyyy")),0),0)</f>
        <v>0</v>
      </c>
      <c r="I867" cm="1">
        <f t="array" ref="I867">IF($Q867&gt;=0,IFERROR(generateSalesData($D867, IF(ISNUMBER(_xlfn.XLOOKUP($C867,Phone_by_Sentiment!$B$2:$B$37,Phone_by_Sentiment!I$2:I$37,"",0,1)),_xlfn.XLOOKUP($C867,Phone_by_Sentiment!$B$2:$B$37,Phone_by_Sentiment!I$2:I$37,"",0,1),0),$A867-TEXT(DATEVALUE($D867&amp;"-01"), "dd-mm-yyyy")),0),0)</f>
        <v>0</v>
      </c>
      <c r="J867" cm="1">
        <f t="array" ref="J867">IF($Q867&gt;=0,IFERROR(generateSalesData($D867, IF(ISNUMBER(_xlfn.XLOOKUP($C867,Phone_by_Sentiment!$B$2:$B$37,Phone_by_Sentiment!J$2:J$37,"",0,1)),_xlfn.XLOOKUP($C867,Phone_by_Sentiment!$B$2:$B$37,Phone_by_Sentiment!J$2:J$37,"",0,1),0),$A867-TEXT(DATEVALUE($D867&amp;"-01"), "dd-mm-yyyy")),0),0)</f>
        <v>0</v>
      </c>
      <c r="K867" cm="1">
        <f t="array" ref="K867">IF($Q867&gt;=0,IFERROR(generateSalesData($D867, IF(ISNUMBER(_xlfn.XLOOKUP($C867,Phone_by_Sentiment!$B$2:$B$37,Phone_by_Sentiment!K$2:K$37,"",0,1)),_xlfn.XLOOKUP($C867,Phone_by_Sentiment!$B$2:$B$37,Phone_by_Sentiment!K$2:K$37,"",0,1),0),$A867-TEXT(DATEVALUE($D867&amp;"-01"), "dd-mm-yyyy")),0),0)</f>
        <v>0</v>
      </c>
      <c r="L867" cm="1">
        <f t="array" ref="L867">IF($Q867&gt;=0,IFERROR(generateSalesData($D867, IF(ISNUMBER(_xlfn.XLOOKUP($C867,Phone_by_Sentiment!$B$2:$B$37,Phone_by_Sentiment!L$2:L$37,"",0,1)),_xlfn.XLOOKUP($C867,Phone_by_Sentiment!$B$2:$B$37,Phone_by_Sentiment!L$2:L$37,"",0,1),0),$A867-TEXT(DATEVALUE($D867&amp;"-01"), "dd-mm-yyyy")),0),0)</f>
        <v>0</v>
      </c>
      <c r="M867" cm="1">
        <f t="array" ref="M867">IF($Q867&gt;=0,IFERROR(generateSalesData($D867, IF(ISNUMBER(_xlfn.XLOOKUP($C867,Phone_by_Sentiment!$B$2:$B$37,Phone_by_Sentiment!M$2:M$37,"",0,1)),_xlfn.XLOOKUP($C867,Phone_by_Sentiment!$B$2:$B$37,Phone_by_Sentiment!M$2:M$37,"",0,1),0),$A867-TEXT(DATEVALUE($D867&amp;"-01"), "dd-mm-yyyy")),0),0)</f>
        <v>0</v>
      </c>
      <c r="N867" cm="1">
        <f t="array" ref="N867">IF($Q867&gt;=0,IFERROR(generateSalesData($D867, IF(ISNUMBER(_xlfn.XLOOKUP($C867,Phone_by_Sentiment!$B$2:$B$37,Phone_by_Sentiment!N$2:N$37,"",0,1)),_xlfn.XLOOKUP($C867,Phone_by_Sentiment!$B$2:$B$37,Phone_by_Sentiment!N$2:N$37,"",0,1),0),$A867-TEXT(DATEVALUE($D867&amp;"-01"), "dd-mm-yyyy")),0),0)</f>
        <v>0</v>
      </c>
      <c r="O867" cm="1">
        <f t="array" ref="O867">IF($Q867&gt;=0,IFERROR(generateSalesData($D867, IF(ISNUMBER(_xlfn.XLOOKUP($C867,Phone_by_Sentiment!$B$2:$B$37,Phone_by_Sentiment!O$2:O$37,"",0,1)),_xlfn.XLOOKUP($C867,Phone_by_Sentiment!$B$2:$B$37,Phone_by_Sentiment!O$2:O$37,"",0,1),0),$A867-TEXT(DATEVALUE($D867&amp;"-01"), "dd-mm-yyyy")),0),0)</f>
        <v>0</v>
      </c>
      <c r="P867" s="1">
        <f t="shared" si="34"/>
        <v>44256</v>
      </c>
      <c r="Q867">
        <f t="shared" si="35"/>
        <v>-59</v>
      </c>
    </row>
    <row r="868" spans="1:17" x14ac:dyDescent="0.25">
      <c r="A868" s="1">
        <f t="shared" si="36"/>
        <v>44197</v>
      </c>
      <c r="B868" t="s">
        <v>149</v>
      </c>
      <c r="C868" t="str">
        <f>_xlfn.XLOOKUP(B868,Phone_by_Price!$A$2:$A$34,Phone_by_Price!$B$2:$B$34,"-",0,1)</f>
        <v>Samsung Galaxy A52</v>
      </c>
      <c r="D868" t="str">
        <f>_xlfn.XLOOKUP(C868,Phone_by_Sentiment!$B$2:$B$37,Phone_by_Sentiment!$A$2:$A$37,"-",0,1)</f>
        <v>2021-03</v>
      </c>
      <c r="E868" cm="1">
        <f t="array" ref="E868">IF($Q868&gt;=0,IFERROR(generateSalesData($D868, IF(ISNUMBER(_xlfn.XLOOKUP($C868,Phone_by_Sentiment!$B$2:$B$37,Phone_by_Sentiment!E$2:E$37,"",0,1)),_xlfn.XLOOKUP($C868,Phone_by_Sentiment!$B$2:$B$37,Phone_by_Sentiment!E$2:E$37,"",0,1),0),$A868-TEXT(DATEVALUE($D868&amp;"-01"), "dd-mm-yyyy")),0),0)</f>
        <v>0</v>
      </c>
      <c r="F868" cm="1">
        <f t="array" ref="F868">IF($Q868&gt;=0,IFERROR(generateSalesData($D868, IF(ISNUMBER(_xlfn.XLOOKUP($C868,Phone_by_Sentiment!$B$2:$B$37,Phone_by_Sentiment!F$2:F$37,"",0,1)),_xlfn.XLOOKUP($C868,Phone_by_Sentiment!$B$2:$B$37,Phone_by_Sentiment!F$2:F$37,"",0,1),0),$A868-TEXT(DATEVALUE($D868&amp;"-01"), "dd-mm-yyyy")),0),0)</f>
        <v>0</v>
      </c>
      <c r="G868" cm="1">
        <f t="array" ref="G868">IF($Q868&gt;=0,IFERROR(generateSalesData($D868, IF(ISNUMBER(_xlfn.XLOOKUP($C868,Phone_by_Sentiment!$B$2:$B$37,Phone_by_Sentiment!G$2:G$37,"",0,1)),_xlfn.XLOOKUP($C868,Phone_by_Sentiment!$B$2:$B$37,Phone_by_Sentiment!G$2:G$37,"",0,1),0),$A868-TEXT(DATEVALUE($D868&amp;"-01"), "dd-mm-yyyy")),0),0)</f>
        <v>0</v>
      </c>
      <c r="H868" cm="1">
        <f t="array" ref="H868">IF($Q868&gt;=0,IFERROR(generateSalesData($D868, IF(ISNUMBER(_xlfn.XLOOKUP($C868,Phone_by_Sentiment!$B$2:$B$37,Phone_by_Sentiment!H$2:H$37,"",0,1)),_xlfn.XLOOKUP($C868,Phone_by_Sentiment!$B$2:$B$37,Phone_by_Sentiment!H$2:H$37,"",0,1),0),$A868-TEXT(DATEVALUE($D868&amp;"-01"), "dd-mm-yyyy")),0),0)</f>
        <v>0</v>
      </c>
      <c r="I868" cm="1">
        <f t="array" ref="I868">IF($Q868&gt;=0,IFERROR(generateSalesData($D868, IF(ISNUMBER(_xlfn.XLOOKUP($C868,Phone_by_Sentiment!$B$2:$B$37,Phone_by_Sentiment!I$2:I$37,"",0,1)),_xlfn.XLOOKUP($C868,Phone_by_Sentiment!$B$2:$B$37,Phone_by_Sentiment!I$2:I$37,"",0,1),0),$A868-TEXT(DATEVALUE($D868&amp;"-01"), "dd-mm-yyyy")),0),0)</f>
        <v>0</v>
      </c>
      <c r="J868" cm="1">
        <f t="array" ref="J868">IF($Q868&gt;=0,IFERROR(generateSalesData($D868, IF(ISNUMBER(_xlfn.XLOOKUP($C868,Phone_by_Sentiment!$B$2:$B$37,Phone_by_Sentiment!J$2:J$37,"",0,1)),_xlfn.XLOOKUP($C868,Phone_by_Sentiment!$B$2:$B$37,Phone_by_Sentiment!J$2:J$37,"",0,1),0),$A868-TEXT(DATEVALUE($D868&amp;"-01"), "dd-mm-yyyy")),0),0)</f>
        <v>0</v>
      </c>
      <c r="K868" cm="1">
        <f t="array" ref="K868">IF($Q868&gt;=0,IFERROR(generateSalesData($D868, IF(ISNUMBER(_xlfn.XLOOKUP($C868,Phone_by_Sentiment!$B$2:$B$37,Phone_by_Sentiment!K$2:K$37,"",0,1)),_xlfn.XLOOKUP($C868,Phone_by_Sentiment!$B$2:$B$37,Phone_by_Sentiment!K$2:K$37,"",0,1),0),$A868-TEXT(DATEVALUE($D868&amp;"-01"), "dd-mm-yyyy")),0),0)</f>
        <v>0</v>
      </c>
      <c r="L868" cm="1">
        <f t="array" ref="L868">IF($Q868&gt;=0,IFERROR(generateSalesData($D868, IF(ISNUMBER(_xlfn.XLOOKUP($C868,Phone_by_Sentiment!$B$2:$B$37,Phone_by_Sentiment!L$2:L$37,"",0,1)),_xlfn.XLOOKUP($C868,Phone_by_Sentiment!$B$2:$B$37,Phone_by_Sentiment!L$2:L$37,"",0,1),0),$A868-TEXT(DATEVALUE($D868&amp;"-01"), "dd-mm-yyyy")),0),0)</f>
        <v>0</v>
      </c>
      <c r="M868" cm="1">
        <f t="array" ref="M868">IF($Q868&gt;=0,IFERROR(generateSalesData($D868, IF(ISNUMBER(_xlfn.XLOOKUP($C868,Phone_by_Sentiment!$B$2:$B$37,Phone_by_Sentiment!M$2:M$37,"",0,1)),_xlfn.XLOOKUP($C868,Phone_by_Sentiment!$B$2:$B$37,Phone_by_Sentiment!M$2:M$37,"",0,1),0),$A868-TEXT(DATEVALUE($D868&amp;"-01"), "dd-mm-yyyy")),0),0)</f>
        <v>0</v>
      </c>
      <c r="N868" cm="1">
        <f t="array" ref="N868">IF($Q868&gt;=0,IFERROR(generateSalesData($D868, IF(ISNUMBER(_xlfn.XLOOKUP($C868,Phone_by_Sentiment!$B$2:$B$37,Phone_by_Sentiment!N$2:N$37,"",0,1)),_xlfn.XLOOKUP($C868,Phone_by_Sentiment!$B$2:$B$37,Phone_by_Sentiment!N$2:N$37,"",0,1),0),$A868-TEXT(DATEVALUE($D868&amp;"-01"), "dd-mm-yyyy")),0),0)</f>
        <v>0</v>
      </c>
      <c r="O868" cm="1">
        <f t="array" ref="O868">IF($Q868&gt;=0,IFERROR(generateSalesData($D868, IF(ISNUMBER(_xlfn.XLOOKUP($C868,Phone_by_Sentiment!$B$2:$B$37,Phone_by_Sentiment!O$2:O$37,"",0,1)),_xlfn.XLOOKUP($C868,Phone_by_Sentiment!$B$2:$B$37,Phone_by_Sentiment!O$2:O$37,"",0,1),0),$A868-TEXT(DATEVALUE($D868&amp;"-01"), "dd-mm-yyyy")),0),0)</f>
        <v>0</v>
      </c>
      <c r="P868" s="1">
        <f t="shared" si="34"/>
        <v>44256</v>
      </c>
      <c r="Q868">
        <f t="shared" si="35"/>
        <v>-59</v>
      </c>
    </row>
    <row r="869" spans="1:17" x14ac:dyDescent="0.25">
      <c r="A869" s="1">
        <f t="shared" si="36"/>
        <v>44197</v>
      </c>
      <c r="B869" t="s">
        <v>150</v>
      </c>
      <c r="C869" t="str">
        <f>_xlfn.XLOOKUP(B869,Phone_by_Price!$A$2:$A$34,Phone_by_Price!$B$2:$B$34,"-",0,1)</f>
        <v>Vivo Y33s</v>
      </c>
      <c r="D869" t="str">
        <f>_xlfn.XLOOKUP(C869,Phone_by_Sentiment!$B$2:$B$37,Phone_by_Sentiment!$A$2:$A$37,"-",0,1)</f>
        <v>2021-05</v>
      </c>
      <c r="E869" cm="1">
        <f t="array" ref="E869">IF($Q869&gt;=0,IFERROR(generateSalesData($D869, IF(ISNUMBER(_xlfn.XLOOKUP($C869,Phone_by_Sentiment!$B$2:$B$37,Phone_by_Sentiment!E$2:E$37,"",0,1)),_xlfn.XLOOKUP($C869,Phone_by_Sentiment!$B$2:$B$37,Phone_by_Sentiment!E$2:E$37,"",0,1),0),$A869-TEXT(DATEVALUE($D869&amp;"-01"), "dd-mm-yyyy")),0),0)</f>
        <v>0</v>
      </c>
      <c r="F869" cm="1">
        <f t="array" ref="F869">IF($Q869&gt;=0,IFERROR(generateSalesData($D869, IF(ISNUMBER(_xlfn.XLOOKUP($C869,Phone_by_Sentiment!$B$2:$B$37,Phone_by_Sentiment!F$2:F$37,"",0,1)),_xlfn.XLOOKUP($C869,Phone_by_Sentiment!$B$2:$B$37,Phone_by_Sentiment!F$2:F$37,"",0,1),0),$A869-TEXT(DATEVALUE($D869&amp;"-01"), "dd-mm-yyyy")),0),0)</f>
        <v>0</v>
      </c>
      <c r="G869" cm="1">
        <f t="array" ref="G869">IF($Q869&gt;=0,IFERROR(generateSalesData($D869, IF(ISNUMBER(_xlfn.XLOOKUP($C869,Phone_by_Sentiment!$B$2:$B$37,Phone_by_Sentiment!G$2:G$37,"",0,1)),_xlfn.XLOOKUP($C869,Phone_by_Sentiment!$B$2:$B$37,Phone_by_Sentiment!G$2:G$37,"",0,1),0),$A869-TEXT(DATEVALUE($D869&amp;"-01"), "dd-mm-yyyy")),0),0)</f>
        <v>0</v>
      </c>
      <c r="H869" cm="1">
        <f t="array" ref="H869">IF($Q869&gt;=0,IFERROR(generateSalesData($D869, IF(ISNUMBER(_xlfn.XLOOKUP($C869,Phone_by_Sentiment!$B$2:$B$37,Phone_by_Sentiment!H$2:H$37,"",0,1)),_xlfn.XLOOKUP($C869,Phone_by_Sentiment!$B$2:$B$37,Phone_by_Sentiment!H$2:H$37,"",0,1),0),$A869-TEXT(DATEVALUE($D869&amp;"-01"), "dd-mm-yyyy")),0),0)</f>
        <v>0</v>
      </c>
      <c r="I869" cm="1">
        <f t="array" ref="I869">IF($Q869&gt;=0,IFERROR(generateSalesData($D869, IF(ISNUMBER(_xlfn.XLOOKUP($C869,Phone_by_Sentiment!$B$2:$B$37,Phone_by_Sentiment!I$2:I$37,"",0,1)),_xlfn.XLOOKUP($C869,Phone_by_Sentiment!$B$2:$B$37,Phone_by_Sentiment!I$2:I$37,"",0,1),0),$A869-TEXT(DATEVALUE($D869&amp;"-01"), "dd-mm-yyyy")),0),0)</f>
        <v>0</v>
      </c>
      <c r="J869" cm="1">
        <f t="array" ref="J869">IF($Q869&gt;=0,IFERROR(generateSalesData($D869, IF(ISNUMBER(_xlfn.XLOOKUP($C869,Phone_by_Sentiment!$B$2:$B$37,Phone_by_Sentiment!J$2:J$37,"",0,1)),_xlfn.XLOOKUP($C869,Phone_by_Sentiment!$B$2:$B$37,Phone_by_Sentiment!J$2:J$37,"",0,1),0),$A869-TEXT(DATEVALUE($D869&amp;"-01"), "dd-mm-yyyy")),0),0)</f>
        <v>0</v>
      </c>
      <c r="K869" cm="1">
        <f t="array" ref="K869">IF($Q869&gt;=0,IFERROR(generateSalesData($D869, IF(ISNUMBER(_xlfn.XLOOKUP($C869,Phone_by_Sentiment!$B$2:$B$37,Phone_by_Sentiment!K$2:K$37,"",0,1)),_xlfn.XLOOKUP($C869,Phone_by_Sentiment!$B$2:$B$37,Phone_by_Sentiment!K$2:K$37,"",0,1),0),$A869-TEXT(DATEVALUE($D869&amp;"-01"), "dd-mm-yyyy")),0),0)</f>
        <v>0</v>
      </c>
      <c r="L869" cm="1">
        <f t="array" ref="L869">IF($Q869&gt;=0,IFERROR(generateSalesData($D869, IF(ISNUMBER(_xlfn.XLOOKUP($C869,Phone_by_Sentiment!$B$2:$B$37,Phone_by_Sentiment!L$2:L$37,"",0,1)),_xlfn.XLOOKUP($C869,Phone_by_Sentiment!$B$2:$B$37,Phone_by_Sentiment!L$2:L$37,"",0,1),0),$A869-TEXT(DATEVALUE($D869&amp;"-01"), "dd-mm-yyyy")),0),0)</f>
        <v>0</v>
      </c>
      <c r="M869" cm="1">
        <f t="array" ref="M869">IF($Q869&gt;=0,IFERROR(generateSalesData($D869, IF(ISNUMBER(_xlfn.XLOOKUP($C869,Phone_by_Sentiment!$B$2:$B$37,Phone_by_Sentiment!M$2:M$37,"",0,1)),_xlfn.XLOOKUP($C869,Phone_by_Sentiment!$B$2:$B$37,Phone_by_Sentiment!M$2:M$37,"",0,1),0),$A869-TEXT(DATEVALUE($D869&amp;"-01"), "dd-mm-yyyy")),0),0)</f>
        <v>0</v>
      </c>
      <c r="N869" cm="1">
        <f t="array" ref="N869">IF($Q869&gt;=0,IFERROR(generateSalesData($D869, IF(ISNUMBER(_xlfn.XLOOKUP($C869,Phone_by_Sentiment!$B$2:$B$37,Phone_by_Sentiment!N$2:N$37,"",0,1)),_xlfn.XLOOKUP($C869,Phone_by_Sentiment!$B$2:$B$37,Phone_by_Sentiment!N$2:N$37,"",0,1),0),$A869-TEXT(DATEVALUE($D869&amp;"-01"), "dd-mm-yyyy")),0),0)</f>
        <v>0</v>
      </c>
      <c r="O869" cm="1">
        <f t="array" ref="O869">IF($Q869&gt;=0,IFERROR(generateSalesData($D869, IF(ISNUMBER(_xlfn.XLOOKUP($C869,Phone_by_Sentiment!$B$2:$B$37,Phone_by_Sentiment!O$2:O$37,"",0,1)),_xlfn.XLOOKUP($C869,Phone_by_Sentiment!$B$2:$B$37,Phone_by_Sentiment!O$2:O$37,"",0,1),0),$A869-TEXT(DATEVALUE($D869&amp;"-01"), "dd-mm-yyyy")),0),0)</f>
        <v>0</v>
      </c>
      <c r="P869" s="1">
        <f t="shared" si="34"/>
        <v>44317</v>
      </c>
      <c r="Q869">
        <f t="shared" si="35"/>
        <v>-120</v>
      </c>
    </row>
    <row r="870" spans="1:17" x14ac:dyDescent="0.25">
      <c r="A870" s="1">
        <f t="shared" si="36"/>
        <v>44197</v>
      </c>
      <c r="B870" t="s">
        <v>151</v>
      </c>
      <c r="C870" t="str">
        <f>_xlfn.XLOOKUP(B870,Phone_by_Price!$A$2:$A$34,Phone_by_Price!$B$2:$B$34,"-",0,1)</f>
        <v>Vivo Y11s</v>
      </c>
      <c r="D870" t="str">
        <f>_xlfn.XLOOKUP(C870,Phone_by_Sentiment!$B$2:$B$37,Phone_by_Sentiment!$A$2:$A$37,"-",0,1)</f>
        <v>2020-11</v>
      </c>
      <c r="E870" cm="1">
        <f t="array" ref="E870">IF($Q870&gt;=0,IFERROR(generateSalesData($D870, IF(ISNUMBER(_xlfn.XLOOKUP($C870,Phone_by_Sentiment!$B$2:$B$37,Phone_by_Sentiment!E$2:E$37,"",0,1)),_xlfn.XLOOKUP($C870,Phone_by_Sentiment!$B$2:$B$37,Phone_by_Sentiment!E$2:E$37,"",0,1),0),$A870-TEXT(DATEVALUE($D870&amp;"-01"), "dd-mm-yyyy")),0),0)</f>
        <v>371</v>
      </c>
      <c r="F870" cm="1">
        <f t="array" ref="F870">IF($Q870&gt;=0,IFERROR(generateSalesData($D870, IF(ISNUMBER(_xlfn.XLOOKUP($C870,Phone_by_Sentiment!$B$2:$B$37,Phone_by_Sentiment!F$2:F$37,"",0,1)),_xlfn.XLOOKUP($C870,Phone_by_Sentiment!$B$2:$B$37,Phone_by_Sentiment!F$2:F$37,"",0,1),0),$A870-TEXT(DATEVALUE($D870&amp;"-01"), "dd-mm-yyyy")),0),0)</f>
        <v>1388</v>
      </c>
      <c r="G870" cm="1">
        <f t="array" ref="G870">IF($Q870&gt;=0,IFERROR(generateSalesData($D870, IF(ISNUMBER(_xlfn.XLOOKUP($C870,Phone_by_Sentiment!$B$2:$B$37,Phone_by_Sentiment!G$2:G$37,"",0,1)),_xlfn.XLOOKUP($C870,Phone_by_Sentiment!$B$2:$B$37,Phone_by_Sentiment!G$2:G$37,"",0,1),0),$A870-TEXT(DATEVALUE($D870&amp;"-01"), "dd-mm-yyyy")),0),0)</f>
        <v>510</v>
      </c>
      <c r="H870" cm="1">
        <f t="array" ref="H870">IF($Q870&gt;=0,IFERROR(generateSalesData($D870, IF(ISNUMBER(_xlfn.XLOOKUP($C870,Phone_by_Sentiment!$B$2:$B$37,Phone_by_Sentiment!H$2:H$37,"",0,1)),_xlfn.XLOOKUP($C870,Phone_by_Sentiment!$B$2:$B$37,Phone_by_Sentiment!H$2:H$37,"",0,1),0),$A870-TEXT(DATEVALUE($D870&amp;"-01"), "dd-mm-yyyy")),0),0)</f>
        <v>1713</v>
      </c>
      <c r="I870" cm="1">
        <f t="array" ref="I870">IF($Q870&gt;=0,IFERROR(generateSalesData($D870, IF(ISNUMBER(_xlfn.XLOOKUP($C870,Phone_by_Sentiment!$B$2:$B$37,Phone_by_Sentiment!I$2:I$37,"",0,1)),_xlfn.XLOOKUP($C870,Phone_by_Sentiment!$B$2:$B$37,Phone_by_Sentiment!I$2:I$37,"",0,1),0),$A870-TEXT(DATEVALUE($D870&amp;"-01"), "dd-mm-yyyy")),0),0)</f>
        <v>2459</v>
      </c>
      <c r="J870" cm="1">
        <f t="array" ref="J870">IF($Q870&gt;=0,IFERROR(generateSalesData($D870, IF(ISNUMBER(_xlfn.XLOOKUP($C870,Phone_by_Sentiment!$B$2:$B$37,Phone_by_Sentiment!J$2:J$37,"",0,1)),_xlfn.XLOOKUP($C870,Phone_by_Sentiment!$B$2:$B$37,Phone_by_Sentiment!J$2:J$37,"",0,1),0),$A870-TEXT(DATEVALUE($D870&amp;"-01"), "dd-mm-yyyy")),0),0)</f>
        <v>1553</v>
      </c>
      <c r="K870" cm="1">
        <f t="array" ref="K870">IF($Q870&gt;=0,IFERROR(generateSalesData($D870, IF(ISNUMBER(_xlfn.XLOOKUP($C870,Phone_by_Sentiment!$B$2:$B$37,Phone_by_Sentiment!K$2:K$37,"",0,1)),_xlfn.XLOOKUP($C870,Phone_by_Sentiment!$B$2:$B$37,Phone_by_Sentiment!K$2:K$37,"",0,1),0),$A870-TEXT(DATEVALUE($D870&amp;"-01"), "dd-mm-yyyy")),0),0)</f>
        <v>969</v>
      </c>
      <c r="L870" cm="1">
        <f t="array" ref="L870">IF($Q870&gt;=0,IFERROR(generateSalesData($D870, IF(ISNUMBER(_xlfn.XLOOKUP($C870,Phone_by_Sentiment!$B$2:$B$37,Phone_by_Sentiment!L$2:L$37,"",0,1)),_xlfn.XLOOKUP($C870,Phone_by_Sentiment!$B$2:$B$37,Phone_by_Sentiment!L$2:L$37,"",0,1),0),$A870-TEXT(DATEVALUE($D870&amp;"-01"), "dd-mm-yyyy")),0),0)</f>
        <v>782</v>
      </c>
      <c r="M870" cm="1">
        <f t="array" ref="M870">IF($Q870&gt;=0,IFERROR(generateSalesData($D870, IF(ISNUMBER(_xlfn.XLOOKUP($C870,Phone_by_Sentiment!$B$2:$B$37,Phone_by_Sentiment!M$2:M$37,"",0,1)),_xlfn.XLOOKUP($C870,Phone_by_Sentiment!$B$2:$B$37,Phone_by_Sentiment!M$2:M$37,"",0,1),0),$A870-TEXT(DATEVALUE($D870&amp;"-01"), "dd-mm-yyyy")),0),0)</f>
        <v>4112</v>
      </c>
      <c r="N870" cm="1">
        <f t="array" ref="N870">IF($Q870&gt;=0,IFERROR(generateSalesData($D870, IF(ISNUMBER(_xlfn.XLOOKUP($C870,Phone_by_Sentiment!$B$2:$B$37,Phone_by_Sentiment!N$2:N$37,"",0,1)),_xlfn.XLOOKUP($C870,Phone_by_Sentiment!$B$2:$B$37,Phone_by_Sentiment!N$2:N$37,"",0,1),0),$A870-TEXT(DATEVALUE($D870&amp;"-01"), "dd-mm-yyyy")),0),0)</f>
        <v>632</v>
      </c>
      <c r="O870" cm="1">
        <f t="array" ref="O870">IF($Q870&gt;=0,IFERROR(generateSalesData($D870, IF(ISNUMBER(_xlfn.XLOOKUP($C870,Phone_by_Sentiment!$B$2:$B$37,Phone_by_Sentiment!O$2:O$37,"",0,1)),_xlfn.XLOOKUP($C870,Phone_by_Sentiment!$B$2:$B$37,Phone_by_Sentiment!O$2:O$37,"",0,1),0),$A870-TEXT(DATEVALUE($D870&amp;"-01"), "dd-mm-yyyy")),0),0)</f>
        <v>1526</v>
      </c>
      <c r="P870" s="1">
        <f t="shared" si="34"/>
        <v>44136</v>
      </c>
      <c r="Q870">
        <f t="shared" si="35"/>
        <v>61</v>
      </c>
    </row>
    <row r="871" spans="1:17" x14ac:dyDescent="0.25">
      <c r="A871" s="1">
        <f t="shared" si="36"/>
        <v>44197</v>
      </c>
      <c r="B871" t="s">
        <v>152</v>
      </c>
      <c r="C871" t="str">
        <f>_xlfn.XLOOKUP(B871,Phone_by_Price!$A$2:$A$34,Phone_by_Price!$B$2:$B$34,"-",0,1)</f>
        <v>Huawei Nova 7i</v>
      </c>
      <c r="D871" t="str">
        <f>_xlfn.XLOOKUP(C871,Phone_by_Sentiment!$B$2:$B$37,Phone_by_Sentiment!$A$2:$A$37,"-",0,1)</f>
        <v>2020-02</v>
      </c>
      <c r="E871" cm="1">
        <f t="array" ref="E871">IF($Q871&gt;=0,IFERROR(generateSalesData($D871, IF(ISNUMBER(_xlfn.XLOOKUP($C871,Phone_by_Sentiment!$B$2:$B$37,Phone_by_Sentiment!E$2:E$37,"",0,1)),_xlfn.XLOOKUP($C871,Phone_by_Sentiment!$B$2:$B$37,Phone_by_Sentiment!E$2:E$37,"",0,1),0),$A871-TEXT(DATEVALUE($D871&amp;"-01"), "dd-mm-yyyy")),0),0)</f>
        <v>197</v>
      </c>
      <c r="F871" cm="1">
        <f t="array" ref="F871">IF($Q871&gt;=0,IFERROR(generateSalesData($D871, IF(ISNUMBER(_xlfn.XLOOKUP($C871,Phone_by_Sentiment!$B$2:$B$37,Phone_by_Sentiment!F$2:F$37,"",0,1)),_xlfn.XLOOKUP($C871,Phone_by_Sentiment!$B$2:$B$37,Phone_by_Sentiment!F$2:F$37,"",0,1),0),$A871-TEXT(DATEVALUE($D871&amp;"-01"), "dd-mm-yyyy")),0),0)</f>
        <v>319</v>
      </c>
      <c r="G871" cm="1">
        <f t="array" ref="G871">IF($Q871&gt;=0,IFERROR(generateSalesData($D871, IF(ISNUMBER(_xlfn.XLOOKUP($C871,Phone_by_Sentiment!$B$2:$B$37,Phone_by_Sentiment!G$2:G$37,"",0,1)),_xlfn.XLOOKUP($C871,Phone_by_Sentiment!$B$2:$B$37,Phone_by_Sentiment!G$2:G$37,"",0,1),0),$A871-TEXT(DATEVALUE($D871&amp;"-01"), "dd-mm-yyyy")),0),0)</f>
        <v>123</v>
      </c>
      <c r="H871" cm="1">
        <f t="array" ref="H871">IF($Q871&gt;=0,IFERROR(generateSalesData($D871, IF(ISNUMBER(_xlfn.XLOOKUP($C871,Phone_by_Sentiment!$B$2:$B$37,Phone_by_Sentiment!H$2:H$37,"",0,1)),_xlfn.XLOOKUP($C871,Phone_by_Sentiment!$B$2:$B$37,Phone_by_Sentiment!H$2:H$37,"",0,1),0),$A871-TEXT(DATEVALUE($D871&amp;"-01"), "dd-mm-yyyy")),0),0)</f>
        <v>242</v>
      </c>
      <c r="I871" cm="1">
        <f t="array" ref="I871">IF($Q871&gt;=0,IFERROR(generateSalesData($D871, IF(ISNUMBER(_xlfn.XLOOKUP($C871,Phone_by_Sentiment!$B$2:$B$37,Phone_by_Sentiment!I$2:I$37,"",0,1)),_xlfn.XLOOKUP($C871,Phone_by_Sentiment!$B$2:$B$37,Phone_by_Sentiment!I$2:I$37,"",0,1),0),$A871-TEXT(DATEVALUE($D871&amp;"-01"), "dd-mm-yyyy")),0),0)</f>
        <v>239</v>
      </c>
      <c r="J871" cm="1">
        <f t="array" ref="J871">IF($Q871&gt;=0,IFERROR(generateSalesData($D871, IF(ISNUMBER(_xlfn.XLOOKUP($C871,Phone_by_Sentiment!$B$2:$B$37,Phone_by_Sentiment!J$2:J$37,"",0,1)),_xlfn.XLOOKUP($C871,Phone_by_Sentiment!$B$2:$B$37,Phone_by_Sentiment!J$2:J$37,"",0,1),0),$A871-TEXT(DATEVALUE($D871&amp;"-01"), "dd-mm-yyyy")),0),0)</f>
        <v>100</v>
      </c>
      <c r="K871" cm="1">
        <f t="array" ref="K871">IF($Q871&gt;=0,IFERROR(generateSalesData($D871, IF(ISNUMBER(_xlfn.XLOOKUP($C871,Phone_by_Sentiment!$B$2:$B$37,Phone_by_Sentiment!K$2:K$37,"",0,1)),_xlfn.XLOOKUP($C871,Phone_by_Sentiment!$B$2:$B$37,Phone_by_Sentiment!K$2:K$37,"",0,1),0),$A871-TEXT(DATEVALUE($D871&amp;"-01"), "dd-mm-yyyy")),0),0)</f>
        <v>326</v>
      </c>
      <c r="L871" cm="1">
        <f t="array" ref="L871">IF($Q871&gt;=0,IFERROR(generateSalesData($D871, IF(ISNUMBER(_xlfn.XLOOKUP($C871,Phone_by_Sentiment!$B$2:$B$37,Phone_by_Sentiment!L$2:L$37,"",0,1)),_xlfn.XLOOKUP($C871,Phone_by_Sentiment!$B$2:$B$37,Phone_by_Sentiment!L$2:L$37,"",0,1),0),$A871-TEXT(DATEVALUE($D871&amp;"-01"), "dd-mm-yyyy")),0),0)</f>
        <v>268</v>
      </c>
      <c r="M871" cm="1">
        <f t="array" ref="M871">IF($Q871&gt;=0,IFERROR(generateSalesData($D871, IF(ISNUMBER(_xlfn.XLOOKUP($C871,Phone_by_Sentiment!$B$2:$B$37,Phone_by_Sentiment!M$2:M$37,"",0,1)),_xlfn.XLOOKUP($C871,Phone_by_Sentiment!$B$2:$B$37,Phone_by_Sentiment!M$2:M$37,"",0,1),0),$A871-TEXT(DATEVALUE($D871&amp;"-01"), "dd-mm-yyyy")),0),0)</f>
        <v>229</v>
      </c>
      <c r="N871" cm="1">
        <f t="array" ref="N871">IF($Q871&gt;=0,IFERROR(generateSalesData($D871, IF(ISNUMBER(_xlfn.XLOOKUP($C871,Phone_by_Sentiment!$B$2:$B$37,Phone_by_Sentiment!N$2:N$37,"",0,1)),_xlfn.XLOOKUP($C871,Phone_by_Sentiment!$B$2:$B$37,Phone_by_Sentiment!N$2:N$37,"",0,1),0),$A871-TEXT(DATEVALUE($D871&amp;"-01"), "dd-mm-yyyy")),0),0)</f>
        <v>111</v>
      </c>
      <c r="O871" cm="1">
        <f t="array" ref="O871">IF($Q871&gt;=0,IFERROR(generateSalesData($D871, IF(ISNUMBER(_xlfn.XLOOKUP($C871,Phone_by_Sentiment!$B$2:$B$37,Phone_by_Sentiment!O$2:O$37,"",0,1)),_xlfn.XLOOKUP($C871,Phone_by_Sentiment!$B$2:$B$37,Phone_by_Sentiment!O$2:O$37,"",0,1),0),$A871-TEXT(DATEVALUE($D871&amp;"-01"), "dd-mm-yyyy")),0),0)</f>
        <v>195</v>
      </c>
      <c r="P871" s="1">
        <f t="shared" si="34"/>
        <v>43862</v>
      </c>
      <c r="Q871">
        <f t="shared" si="35"/>
        <v>335</v>
      </c>
    </row>
    <row r="872" spans="1:17" x14ac:dyDescent="0.25">
      <c r="A872" s="1">
        <f t="shared" si="36"/>
        <v>44197</v>
      </c>
      <c r="B872" t="s">
        <v>153</v>
      </c>
      <c r="C872" t="str">
        <f>_xlfn.XLOOKUP(B872,Phone_by_Price!$A$2:$A$34,Phone_by_Price!$B$2:$B$34,"-",0,1)</f>
        <v>iPhone 13</v>
      </c>
      <c r="D872" t="str">
        <f>_xlfn.XLOOKUP(C872,Phone_by_Sentiment!$B$2:$B$37,Phone_by_Sentiment!$A$2:$A$37,"-",0,1)</f>
        <v>2021-09</v>
      </c>
      <c r="E872" cm="1">
        <f t="array" ref="E872">IF($Q872&gt;=0,IFERROR(generateSalesData($D872, IF(ISNUMBER(_xlfn.XLOOKUP($C872,Phone_by_Sentiment!$B$2:$B$37,Phone_by_Sentiment!E$2:E$37,"",0,1)),_xlfn.XLOOKUP($C872,Phone_by_Sentiment!$B$2:$B$37,Phone_by_Sentiment!E$2:E$37,"",0,1),0),$A872-TEXT(DATEVALUE($D872&amp;"-01"), "dd-mm-yyyy")),0),0)</f>
        <v>0</v>
      </c>
      <c r="F872" cm="1">
        <f t="array" ref="F872">IF($Q872&gt;=0,IFERROR(generateSalesData($D872, IF(ISNUMBER(_xlfn.XLOOKUP($C872,Phone_by_Sentiment!$B$2:$B$37,Phone_by_Sentiment!F$2:F$37,"",0,1)),_xlfn.XLOOKUP($C872,Phone_by_Sentiment!$B$2:$B$37,Phone_by_Sentiment!F$2:F$37,"",0,1),0),$A872-TEXT(DATEVALUE($D872&amp;"-01"), "dd-mm-yyyy")),0),0)</f>
        <v>0</v>
      </c>
      <c r="G872" cm="1">
        <f t="array" ref="G872">IF($Q872&gt;=0,IFERROR(generateSalesData($D872, IF(ISNUMBER(_xlfn.XLOOKUP($C872,Phone_by_Sentiment!$B$2:$B$37,Phone_by_Sentiment!G$2:G$37,"",0,1)),_xlfn.XLOOKUP($C872,Phone_by_Sentiment!$B$2:$B$37,Phone_by_Sentiment!G$2:G$37,"",0,1),0),$A872-TEXT(DATEVALUE($D872&amp;"-01"), "dd-mm-yyyy")),0),0)</f>
        <v>0</v>
      </c>
      <c r="H872" cm="1">
        <f t="array" ref="H872">IF($Q872&gt;=0,IFERROR(generateSalesData($D872, IF(ISNUMBER(_xlfn.XLOOKUP($C872,Phone_by_Sentiment!$B$2:$B$37,Phone_by_Sentiment!H$2:H$37,"",0,1)),_xlfn.XLOOKUP($C872,Phone_by_Sentiment!$B$2:$B$37,Phone_by_Sentiment!H$2:H$37,"",0,1),0),$A872-TEXT(DATEVALUE($D872&amp;"-01"), "dd-mm-yyyy")),0),0)</f>
        <v>0</v>
      </c>
      <c r="I872" cm="1">
        <f t="array" ref="I872">IF($Q872&gt;=0,IFERROR(generateSalesData($D872, IF(ISNUMBER(_xlfn.XLOOKUP($C872,Phone_by_Sentiment!$B$2:$B$37,Phone_by_Sentiment!I$2:I$37,"",0,1)),_xlfn.XLOOKUP($C872,Phone_by_Sentiment!$B$2:$B$37,Phone_by_Sentiment!I$2:I$37,"",0,1),0),$A872-TEXT(DATEVALUE($D872&amp;"-01"), "dd-mm-yyyy")),0),0)</f>
        <v>0</v>
      </c>
      <c r="J872" cm="1">
        <f t="array" ref="J872">IF($Q872&gt;=0,IFERROR(generateSalesData($D872, IF(ISNUMBER(_xlfn.XLOOKUP($C872,Phone_by_Sentiment!$B$2:$B$37,Phone_by_Sentiment!J$2:J$37,"",0,1)),_xlfn.XLOOKUP($C872,Phone_by_Sentiment!$B$2:$B$37,Phone_by_Sentiment!J$2:J$37,"",0,1),0),$A872-TEXT(DATEVALUE($D872&amp;"-01"), "dd-mm-yyyy")),0),0)</f>
        <v>0</v>
      </c>
      <c r="K872" cm="1">
        <f t="array" ref="K872">IF($Q872&gt;=0,IFERROR(generateSalesData($D872, IF(ISNUMBER(_xlfn.XLOOKUP($C872,Phone_by_Sentiment!$B$2:$B$37,Phone_by_Sentiment!K$2:K$37,"",0,1)),_xlfn.XLOOKUP($C872,Phone_by_Sentiment!$B$2:$B$37,Phone_by_Sentiment!K$2:K$37,"",0,1),0),$A872-TEXT(DATEVALUE($D872&amp;"-01"), "dd-mm-yyyy")),0),0)</f>
        <v>0</v>
      </c>
      <c r="L872" cm="1">
        <f t="array" ref="L872">IF($Q872&gt;=0,IFERROR(generateSalesData($D872, IF(ISNUMBER(_xlfn.XLOOKUP($C872,Phone_by_Sentiment!$B$2:$B$37,Phone_by_Sentiment!L$2:L$37,"",0,1)),_xlfn.XLOOKUP($C872,Phone_by_Sentiment!$B$2:$B$37,Phone_by_Sentiment!L$2:L$37,"",0,1),0),$A872-TEXT(DATEVALUE($D872&amp;"-01"), "dd-mm-yyyy")),0),0)</f>
        <v>0</v>
      </c>
      <c r="M872" cm="1">
        <f t="array" ref="M872">IF($Q872&gt;=0,IFERROR(generateSalesData($D872, IF(ISNUMBER(_xlfn.XLOOKUP($C872,Phone_by_Sentiment!$B$2:$B$37,Phone_by_Sentiment!M$2:M$37,"",0,1)),_xlfn.XLOOKUP($C872,Phone_by_Sentiment!$B$2:$B$37,Phone_by_Sentiment!M$2:M$37,"",0,1),0),$A872-TEXT(DATEVALUE($D872&amp;"-01"), "dd-mm-yyyy")),0),0)</f>
        <v>0</v>
      </c>
      <c r="N872" cm="1">
        <f t="array" ref="N872">IF($Q872&gt;=0,IFERROR(generateSalesData($D872, IF(ISNUMBER(_xlfn.XLOOKUP($C872,Phone_by_Sentiment!$B$2:$B$37,Phone_by_Sentiment!N$2:N$37,"",0,1)),_xlfn.XLOOKUP($C872,Phone_by_Sentiment!$B$2:$B$37,Phone_by_Sentiment!N$2:N$37,"",0,1),0),$A872-TEXT(DATEVALUE($D872&amp;"-01"), "dd-mm-yyyy")),0),0)</f>
        <v>0</v>
      </c>
      <c r="O872" cm="1">
        <f t="array" ref="O872">IF($Q872&gt;=0,IFERROR(generateSalesData($D872, IF(ISNUMBER(_xlfn.XLOOKUP($C872,Phone_by_Sentiment!$B$2:$B$37,Phone_by_Sentiment!O$2:O$37,"",0,1)),_xlfn.XLOOKUP($C872,Phone_by_Sentiment!$B$2:$B$37,Phone_by_Sentiment!O$2:O$37,"",0,1),0),$A872-TEXT(DATEVALUE($D872&amp;"-01"), "dd-mm-yyyy")),0),0)</f>
        <v>0</v>
      </c>
      <c r="P872" s="1">
        <f t="shared" si="34"/>
        <v>44440</v>
      </c>
      <c r="Q872">
        <f t="shared" si="35"/>
        <v>-243</v>
      </c>
    </row>
    <row r="873" spans="1:17" x14ac:dyDescent="0.25">
      <c r="A873" s="1">
        <f t="shared" si="36"/>
        <v>44197</v>
      </c>
      <c r="B873" t="s">
        <v>154</v>
      </c>
      <c r="C873" t="str">
        <f>_xlfn.XLOOKUP(B873,Phone_by_Price!$A$2:$A$34,Phone_by_Price!$B$2:$B$34,"-",0,1)</f>
        <v>Samsung Galaxy S21</v>
      </c>
      <c r="D873" t="str">
        <f>_xlfn.XLOOKUP(C873,Phone_by_Sentiment!$B$2:$B$37,Phone_by_Sentiment!$A$2:$A$37,"-",0,1)</f>
        <v>2021-01</v>
      </c>
      <c r="E873" cm="1">
        <f t="array" ref="E873">IF($Q873&gt;=0,IFERROR(generateSalesData($D873, IF(ISNUMBER(_xlfn.XLOOKUP($C873,Phone_by_Sentiment!$B$2:$B$37,Phone_by_Sentiment!E$2:E$37,"",0,1)),_xlfn.XLOOKUP($C873,Phone_by_Sentiment!$B$2:$B$37,Phone_by_Sentiment!E$2:E$37,"",0,1),0),$A873-TEXT(DATEVALUE($D873&amp;"-01"), "dd-mm-yyyy")),0),0)</f>
        <v>13827</v>
      </c>
      <c r="F873" cm="1">
        <f t="array" ref="F873">IF($Q873&gt;=0,IFERROR(generateSalesData($D873, IF(ISNUMBER(_xlfn.XLOOKUP($C873,Phone_by_Sentiment!$B$2:$B$37,Phone_by_Sentiment!F$2:F$37,"",0,1)),_xlfn.XLOOKUP($C873,Phone_by_Sentiment!$B$2:$B$37,Phone_by_Sentiment!F$2:F$37,"",0,1),0),$A873-TEXT(DATEVALUE($D873&amp;"-01"), "dd-mm-yyyy")),0),0)</f>
        <v>6576</v>
      </c>
      <c r="G873" cm="1">
        <f t="array" ref="G873">IF($Q873&gt;=0,IFERROR(generateSalesData($D873, IF(ISNUMBER(_xlfn.XLOOKUP($C873,Phone_by_Sentiment!$B$2:$B$37,Phone_by_Sentiment!G$2:G$37,"",0,1)),_xlfn.XLOOKUP($C873,Phone_by_Sentiment!$B$2:$B$37,Phone_by_Sentiment!G$2:G$37,"",0,1),0),$A873-TEXT(DATEVALUE($D873&amp;"-01"), "dd-mm-yyyy")),0),0)</f>
        <v>1621</v>
      </c>
      <c r="H873" cm="1">
        <f t="array" ref="H873">IF($Q873&gt;=0,IFERROR(generateSalesData($D873, IF(ISNUMBER(_xlfn.XLOOKUP($C873,Phone_by_Sentiment!$B$2:$B$37,Phone_by_Sentiment!H$2:H$37,"",0,1)),_xlfn.XLOOKUP($C873,Phone_by_Sentiment!$B$2:$B$37,Phone_by_Sentiment!H$2:H$37,"",0,1),0),$A873-TEXT(DATEVALUE($D873&amp;"-01"), "dd-mm-yyyy")),0),0)</f>
        <v>7484</v>
      </c>
      <c r="I873" cm="1">
        <f t="array" ref="I873">IF($Q873&gt;=0,IFERROR(generateSalesData($D873, IF(ISNUMBER(_xlfn.XLOOKUP($C873,Phone_by_Sentiment!$B$2:$B$37,Phone_by_Sentiment!I$2:I$37,"",0,1)),_xlfn.XLOOKUP($C873,Phone_by_Sentiment!$B$2:$B$37,Phone_by_Sentiment!I$2:I$37,"",0,1),0),$A873-TEXT(DATEVALUE($D873&amp;"-01"), "dd-mm-yyyy")),0),0)</f>
        <v>5454</v>
      </c>
      <c r="J873" cm="1">
        <f t="array" ref="J873">IF($Q873&gt;=0,IFERROR(generateSalesData($D873, IF(ISNUMBER(_xlfn.XLOOKUP($C873,Phone_by_Sentiment!$B$2:$B$37,Phone_by_Sentiment!J$2:J$37,"",0,1)),_xlfn.XLOOKUP($C873,Phone_by_Sentiment!$B$2:$B$37,Phone_by_Sentiment!J$2:J$37,"",0,1),0),$A873-TEXT(DATEVALUE($D873&amp;"-01"), "dd-mm-yyyy")),0),0)</f>
        <v>11141</v>
      </c>
      <c r="K873" cm="1">
        <f t="array" ref="K873">IF($Q873&gt;=0,IFERROR(generateSalesData($D873, IF(ISNUMBER(_xlfn.XLOOKUP($C873,Phone_by_Sentiment!$B$2:$B$37,Phone_by_Sentiment!K$2:K$37,"",0,1)),_xlfn.XLOOKUP($C873,Phone_by_Sentiment!$B$2:$B$37,Phone_by_Sentiment!K$2:K$37,"",0,1),0),$A873-TEXT(DATEVALUE($D873&amp;"-01"), "dd-mm-yyyy")),0),0)</f>
        <v>3002</v>
      </c>
      <c r="L873" cm="1">
        <f t="array" ref="L873">IF($Q873&gt;=0,IFERROR(generateSalesData($D873, IF(ISNUMBER(_xlfn.XLOOKUP($C873,Phone_by_Sentiment!$B$2:$B$37,Phone_by_Sentiment!L$2:L$37,"",0,1)),_xlfn.XLOOKUP($C873,Phone_by_Sentiment!$B$2:$B$37,Phone_by_Sentiment!L$2:L$37,"",0,1),0),$A873-TEXT(DATEVALUE($D873&amp;"-01"), "dd-mm-yyyy")),0),0)</f>
        <v>3940</v>
      </c>
      <c r="M873" cm="1">
        <f t="array" ref="M873">IF($Q873&gt;=0,IFERROR(generateSalesData($D873, IF(ISNUMBER(_xlfn.XLOOKUP($C873,Phone_by_Sentiment!$B$2:$B$37,Phone_by_Sentiment!M$2:M$37,"",0,1)),_xlfn.XLOOKUP($C873,Phone_by_Sentiment!$B$2:$B$37,Phone_by_Sentiment!M$2:M$37,"",0,1),0),$A873-TEXT(DATEVALUE($D873&amp;"-01"), "dd-mm-yyyy")),0),0)</f>
        <v>7038</v>
      </c>
      <c r="N873" cm="1">
        <f t="array" ref="N873">IF($Q873&gt;=0,IFERROR(generateSalesData($D873, IF(ISNUMBER(_xlfn.XLOOKUP($C873,Phone_by_Sentiment!$B$2:$B$37,Phone_by_Sentiment!N$2:N$37,"",0,1)),_xlfn.XLOOKUP($C873,Phone_by_Sentiment!$B$2:$B$37,Phone_by_Sentiment!N$2:N$37,"",0,1),0),$A873-TEXT(DATEVALUE($D873&amp;"-01"), "dd-mm-yyyy")),0),0)</f>
        <v>5281</v>
      </c>
      <c r="O873" cm="1">
        <f t="array" ref="O873">IF($Q873&gt;=0,IFERROR(generateSalesData($D873, IF(ISNUMBER(_xlfn.XLOOKUP($C873,Phone_by_Sentiment!$B$2:$B$37,Phone_by_Sentiment!O$2:O$37,"",0,1)),_xlfn.XLOOKUP($C873,Phone_by_Sentiment!$B$2:$B$37,Phone_by_Sentiment!O$2:O$37,"",0,1),0),$A873-TEXT(DATEVALUE($D873&amp;"-01"), "dd-mm-yyyy")),0),0)</f>
        <v>6250</v>
      </c>
      <c r="P873" s="1">
        <f t="shared" si="34"/>
        <v>44197</v>
      </c>
      <c r="Q873">
        <f t="shared" si="35"/>
        <v>0</v>
      </c>
    </row>
    <row r="874" spans="1:17" x14ac:dyDescent="0.25">
      <c r="A874" s="1">
        <f t="shared" si="36"/>
        <v>44197</v>
      </c>
      <c r="B874" t="s">
        <v>155</v>
      </c>
      <c r="C874" t="str">
        <f>_xlfn.XLOOKUP(B874,Phone_by_Price!$A$2:$A$34,Phone_by_Price!$B$2:$B$34,"-",0,1)</f>
        <v>Google Pixel 6</v>
      </c>
      <c r="D874" t="str">
        <f>_xlfn.XLOOKUP(C874,Phone_by_Sentiment!$B$2:$B$37,Phone_by_Sentiment!$A$2:$A$37,"-",0,1)</f>
        <v>2021-10</v>
      </c>
      <c r="E874" cm="1">
        <f t="array" ref="E874">IF($Q874&gt;=0,IFERROR(generateSalesData($D874, IF(ISNUMBER(_xlfn.XLOOKUP($C874,Phone_by_Sentiment!$B$2:$B$37,Phone_by_Sentiment!E$2:E$37,"",0,1)),_xlfn.XLOOKUP($C874,Phone_by_Sentiment!$B$2:$B$37,Phone_by_Sentiment!E$2:E$37,"",0,1),0),$A874-TEXT(DATEVALUE($D874&amp;"-01"), "dd-mm-yyyy")),0),0)</f>
        <v>0</v>
      </c>
      <c r="F874" cm="1">
        <f t="array" ref="F874">IF($Q874&gt;=0,IFERROR(generateSalesData($D874, IF(ISNUMBER(_xlfn.XLOOKUP($C874,Phone_by_Sentiment!$B$2:$B$37,Phone_by_Sentiment!F$2:F$37,"",0,1)),_xlfn.XLOOKUP($C874,Phone_by_Sentiment!$B$2:$B$37,Phone_by_Sentiment!F$2:F$37,"",0,1),0),$A874-TEXT(DATEVALUE($D874&amp;"-01"), "dd-mm-yyyy")),0),0)</f>
        <v>0</v>
      </c>
      <c r="G874" cm="1">
        <f t="array" ref="G874">IF($Q874&gt;=0,IFERROR(generateSalesData($D874, IF(ISNUMBER(_xlfn.XLOOKUP($C874,Phone_by_Sentiment!$B$2:$B$37,Phone_by_Sentiment!G$2:G$37,"",0,1)),_xlfn.XLOOKUP($C874,Phone_by_Sentiment!$B$2:$B$37,Phone_by_Sentiment!G$2:G$37,"",0,1),0),$A874-TEXT(DATEVALUE($D874&amp;"-01"), "dd-mm-yyyy")),0),0)</f>
        <v>0</v>
      </c>
      <c r="H874" cm="1">
        <f t="array" ref="H874">IF($Q874&gt;=0,IFERROR(generateSalesData($D874, IF(ISNUMBER(_xlfn.XLOOKUP($C874,Phone_by_Sentiment!$B$2:$B$37,Phone_by_Sentiment!H$2:H$37,"",0,1)),_xlfn.XLOOKUP($C874,Phone_by_Sentiment!$B$2:$B$37,Phone_by_Sentiment!H$2:H$37,"",0,1),0),$A874-TEXT(DATEVALUE($D874&amp;"-01"), "dd-mm-yyyy")),0),0)</f>
        <v>0</v>
      </c>
      <c r="I874" cm="1">
        <f t="array" ref="I874">IF($Q874&gt;=0,IFERROR(generateSalesData($D874, IF(ISNUMBER(_xlfn.XLOOKUP($C874,Phone_by_Sentiment!$B$2:$B$37,Phone_by_Sentiment!I$2:I$37,"",0,1)),_xlfn.XLOOKUP($C874,Phone_by_Sentiment!$B$2:$B$37,Phone_by_Sentiment!I$2:I$37,"",0,1),0),$A874-TEXT(DATEVALUE($D874&amp;"-01"), "dd-mm-yyyy")),0),0)</f>
        <v>0</v>
      </c>
      <c r="J874" cm="1">
        <f t="array" ref="J874">IF($Q874&gt;=0,IFERROR(generateSalesData($D874, IF(ISNUMBER(_xlfn.XLOOKUP($C874,Phone_by_Sentiment!$B$2:$B$37,Phone_by_Sentiment!J$2:J$37,"",0,1)),_xlfn.XLOOKUP($C874,Phone_by_Sentiment!$B$2:$B$37,Phone_by_Sentiment!J$2:J$37,"",0,1),0),$A874-TEXT(DATEVALUE($D874&amp;"-01"), "dd-mm-yyyy")),0),0)</f>
        <v>0</v>
      </c>
      <c r="K874" cm="1">
        <f t="array" ref="K874">IF($Q874&gt;=0,IFERROR(generateSalesData($D874, IF(ISNUMBER(_xlfn.XLOOKUP($C874,Phone_by_Sentiment!$B$2:$B$37,Phone_by_Sentiment!K$2:K$37,"",0,1)),_xlfn.XLOOKUP($C874,Phone_by_Sentiment!$B$2:$B$37,Phone_by_Sentiment!K$2:K$37,"",0,1),0),$A874-TEXT(DATEVALUE($D874&amp;"-01"), "dd-mm-yyyy")),0),0)</f>
        <v>0</v>
      </c>
      <c r="L874" cm="1">
        <f t="array" ref="L874">IF($Q874&gt;=0,IFERROR(generateSalesData($D874, IF(ISNUMBER(_xlfn.XLOOKUP($C874,Phone_by_Sentiment!$B$2:$B$37,Phone_by_Sentiment!L$2:L$37,"",0,1)),_xlfn.XLOOKUP($C874,Phone_by_Sentiment!$B$2:$B$37,Phone_by_Sentiment!L$2:L$37,"",0,1),0),$A874-TEXT(DATEVALUE($D874&amp;"-01"), "dd-mm-yyyy")),0),0)</f>
        <v>0</v>
      </c>
      <c r="M874" cm="1">
        <f t="array" ref="M874">IF($Q874&gt;=0,IFERROR(generateSalesData($D874, IF(ISNUMBER(_xlfn.XLOOKUP($C874,Phone_by_Sentiment!$B$2:$B$37,Phone_by_Sentiment!M$2:M$37,"",0,1)),_xlfn.XLOOKUP($C874,Phone_by_Sentiment!$B$2:$B$37,Phone_by_Sentiment!M$2:M$37,"",0,1),0),$A874-TEXT(DATEVALUE($D874&amp;"-01"), "dd-mm-yyyy")),0),0)</f>
        <v>0</v>
      </c>
      <c r="N874" cm="1">
        <f t="array" ref="N874">IF($Q874&gt;=0,IFERROR(generateSalesData($D874, IF(ISNUMBER(_xlfn.XLOOKUP($C874,Phone_by_Sentiment!$B$2:$B$37,Phone_by_Sentiment!N$2:N$37,"",0,1)),_xlfn.XLOOKUP($C874,Phone_by_Sentiment!$B$2:$B$37,Phone_by_Sentiment!N$2:N$37,"",0,1),0),$A874-TEXT(DATEVALUE($D874&amp;"-01"), "dd-mm-yyyy")),0),0)</f>
        <v>0</v>
      </c>
      <c r="O874" cm="1">
        <f t="array" ref="O874">IF($Q874&gt;=0,IFERROR(generateSalesData($D874, IF(ISNUMBER(_xlfn.XLOOKUP($C874,Phone_by_Sentiment!$B$2:$B$37,Phone_by_Sentiment!O$2:O$37,"",0,1)),_xlfn.XLOOKUP($C874,Phone_by_Sentiment!$B$2:$B$37,Phone_by_Sentiment!O$2:O$37,"",0,1),0),$A874-TEXT(DATEVALUE($D874&amp;"-01"), "dd-mm-yyyy")),0),0)</f>
        <v>0</v>
      </c>
      <c r="P874" s="1">
        <f t="shared" si="34"/>
        <v>44470</v>
      </c>
      <c r="Q874">
        <f t="shared" si="35"/>
        <v>-273</v>
      </c>
    </row>
    <row r="875" spans="1:17" x14ac:dyDescent="0.25">
      <c r="A875" s="1">
        <f t="shared" si="36"/>
        <v>44197</v>
      </c>
      <c r="B875" t="s">
        <v>156</v>
      </c>
      <c r="C875" t="str">
        <f>_xlfn.XLOOKUP(B875,Phone_by_Price!$A$2:$A$34,Phone_by_Price!$B$2:$B$34,"-",0,1)</f>
        <v>OnePlus Nord CE</v>
      </c>
      <c r="D875" t="str">
        <f>_xlfn.XLOOKUP(C875,Phone_by_Sentiment!$B$2:$B$37,Phone_by_Sentiment!$A$2:$A$37,"-",0,1)</f>
        <v>2021-06</v>
      </c>
      <c r="E875" cm="1">
        <f t="array" ref="E875">IF($Q875&gt;=0,IFERROR(generateSalesData($D875, IF(ISNUMBER(_xlfn.XLOOKUP($C875,Phone_by_Sentiment!$B$2:$B$37,Phone_by_Sentiment!E$2:E$37,"",0,1)),_xlfn.XLOOKUP($C875,Phone_by_Sentiment!$B$2:$B$37,Phone_by_Sentiment!E$2:E$37,"",0,1),0),$A875-TEXT(DATEVALUE($D875&amp;"-01"), "dd-mm-yyyy")),0),0)</f>
        <v>0</v>
      </c>
      <c r="F875" cm="1">
        <f t="array" ref="F875">IF($Q875&gt;=0,IFERROR(generateSalesData($D875, IF(ISNUMBER(_xlfn.XLOOKUP($C875,Phone_by_Sentiment!$B$2:$B$37,Phone_by_Sentiment!F$2:F$37,"",0,1)),_xlfn.XLOOKUP($C875,Phone_by_Sentiment!$B$2:$B$37,Phone_by_Sentiment!F$2:F$37,"",0,1),0),$A875-TEXT(DATEVALUE($D875&amp;"-01"), "dd-mm-yyyy")),0),0)</f>
        <v>0</v>
      </c>
      <c r="G875" cm="1">
        <f t="array" ref="G875">IF($Q875&gt;=0,IFERROR(generateSalesData($D875, IF(ISNUMBER(_xlfn.XLOOKUP($C875,Phone_by_Sentiment!$B$2:$B$37,Phone_by_Sentiment!G$2:G$37,"",0,1)),_xlfn.XLOOKUP($C875,Phone_by_Sentiment!$B$2:$B$37,Phone_by_Sentiment!G$2:G$37,"",0,1),0),$A875-TEXT(DATEVALUE($D875&amp;"-01"), "dd-mm-yyyy")),0),0)</f>
        <v>0</v>
      </c>
      <c r="H875" cm="1">
        <f t="array" ref="H875">IF($Q875&gt;=0,IFERROR(generateSalesData($D875, IF(ISNUMBER(_xlfn.XLOOKUP($C875,Phone_by_Sentiment!$B$2:$B$37,Phone_by_Sentiment!H$2:H$37,"",0,1)),_xlfn.XLOOKUP($C875,Phone_by_Sentiment!$B$2:$B$37,Phone_by_Sentiment!H$2:H$37,"",0,1),0),$A875-TEXT(DATEVALUE($D875&amp;"-01"), "dd-mm-yyyy")),0),0)</f>
        <v>0</v>
      </c>
      <c r="I875" cm="1">
        <f t="array" ref="I875">IF($Q875&gt;=0,IFERROR(generateSalesData($D875, IF(ISNUMBER(_xlfn.XLOOKUP($C875,Phone_by_Sentiment!$B$2:$B$37,Phone_by_Sentiment!I$2:I$37,"",0,1)),_xlfn.XLOOKUP($C875,Phone_by_Sentiment!$B$2:$B$37,Phone_by_Sentiment!I$2:I$37,"",0,1),0),$A875-TEXT(DATEVALUE($D875&amp;"-01"), "dd-mm-yyyy")),0),0)</f>
        <v>0</v>
      </c>
      <c r="J875" cm="1">
        <f t="array" ref="J875">IF($Q875&gt;=0,IFERROR(generateSalesData($D875, IF(ISNUMBER(_xlfn.XLOOKUP($C875,Phone_by_Sentiment!$B$2:$B$37,Phone_by_Sentiment!J$2:J$37,"",0,1)),_xlfn.XLOOKUP($C875,Phone_by_Sentiment!$B$2:$B$37,Phone_by_Sentiment!J$2:J$37,"",0,1),0),$A875-TEXT(DATEVALUE($D875&amp;"-01"), "dd-mm-yyyy")),0),0)</f>
        <v>0</v>
      </c>
      <c r="K875" cm="1">
        <f t="array" ref="K875">IF($Q875&gt;=0,IFERROR(generateSalesData($D875, IF(ISNUMBER(_xlfn.XLOOKUP($C875,Phone_by_Sentiment!$B$2:$B$37,Phone_by_Sentiment!K$2:K$37,"",0,1)),_xlfn.XLOOKUP($C875,Phone_by_Sentiment!$B$2:$B$37,Phone_by_Sentiment!K$2:K$37,"",0,1),0),$A875-TEXT(DATEVALUE($D875&amp;"-01"), "dd-mm-yyyy")),0),0)</f>
        <v>0</v>
      </c>
      <c r="L875" cm="1">
        <f t="array" ref="L875">IF($Q875&gt;=0,IFERROR(generateSalesData($D875, IF(ISNUMBER(_xlfn.XLOOKUP($C875,Phone_by_Sentiment!$B$2:$B$37,Phone_by_Sentiment!L$2:L$37,"",0,1)),_xlfn.XLOOKUP($C875,Phone_by_Sentiment!$B$2:$B$37,Phone_by_Sentiment!L$2:L$37,"",0,1),0),$A875-TEXT(DATEVALUE($D875&amp;"-01"), "dd-mm-yyyy")),0),0)</f>
        <v>0</v>
      </c>
      <c r="M875" cm="1">
        <f t="array" ref="M875">IF($Q875&gt;=0,IFERROR(generateSalesData($D875, IF(ISNUMBER(_xlfn.XLOOKUP($C875,Phone_by_Sentiment!$B$2:$B$37,Phone_by_Sentiment!M$2:M$37,"",0,1)),_xlfn.XLOOKUP($C875,Phone_by_Sentiment!$B$2:$B$37,Phone_by_Sentiment!M$2:M$37,"",0,1),0),$A875-TEXT(DATEVALUE($D875&amp;"-01"), "dd-mm-yyyy")),0),0)</f>
        <v>0</v>
      </c>
      <c r="N875" cm="1">
        <f t="array" ref="N875">IF($Q875&gt;=0,IFERROR(generateSalesData($D875, IF(ISNUMBER(_xlfn.XLOOKUP($C875,Phone_by_Sentiment!$B$2:$B$37,Phone_by_Sentiment!N$2:N$37,"",0,1)),_xlfn.XLOOKUP($C875,Phone_by_Sentiment!$B$2:$B$37,Phone_by_Sentiment!N$2:N$37,"",0,1),0),$A875-TEXT(DATEVALUE($D875&amp;"-01"), "dd-mm-yyyy")),0),0)</f>
        <v>0</v>
      </c>
      <c r="O875" cm="1">
        <f t="array" ref="O875">IF($Q875&gt;=0,IFERROR(generateSalesData($D875, IF(ISNUMBER(_xlfn.XLOOKUP($C875,Phone_by_Sentiment!$B$2:$B$37,Phone_by_Sentiment!O$2:O$37,"",0,1)),_xlfn.XLOOKUP($C875,Phone_by_Sentiment!$B$2:$B$37,Phone_by_Sentiment!O$2:O$37,"",0,1),0),$A875-TEXT(DATEVALUE($D875&amp;"-01"), "dd-mm-yyyy")),0),0)</f>
        <v>0</v>
      </c>
      <c r="P875" s="1">
        <f t="shared" si="34"/>
        <v>44348</v>
      </c>
      <c r="Q875">
        <f t="shared" si="35"/>
        <v>-151</v>
      </c>
    </row>
    <row r="876" spans="1:17" x14ac:dyDescent="0.25">
      <c r="A876" s="1">
        <f t="shared" si="36"/>
        <v>44228</v>
      </c>
      <c r="B876" t="s">
        <v>157</v>
      </c>
      <c r="C876" t="str">
        <f>_xlfn.XLOOKUP(B876,Phone_by_Price!$A$2:$A$34,Phone_by_Price!$B$2:$B$34,"-",0,1)</f>
        <v>Apple iPhone 13 Pro</v>
      </c>
      <c r="D876" t="str">
        <f>_xlfn.XLOOKUP(C876,Phone_by_Sentiment!$B$2:$B$37,Phone_by_Sentiment!$A$2:$A$37,"-",0,1)</f>
        <v>2021-09</v>
      </c>
      <c r="E876" cm="1">
        <f t="array" ref="E876">IF($Q876&gt;=0,IFERROR(generateSalesData($D876, IF(ISNUMBER(_xlfn.XLOOKUP($C876,Phone_by_Sentiment!$B$2:$B$37,Phone_by_Sentiment!E$2:E$37,"",0,1)),_xlfn.XLOOKUP($C876,Phone_by_Sentiment!$B$2:$B$37,Phone_by_Sentiment!E$2:E$37,"",0,1),0),$A876-TEXT(DATEVALUE($D876&amp;"-01"), "dd-mm-yyyy")),0),0)</f>
        <v>0</v>
      </c>
      <c r="F876" cm="1">
        <f t="array" ref="F876">IF($Q876&gt;=0,IFERROR(generateSalesData($D876, IF(ISNUMBER(_xlfn.XLOOKUP($C876,Phone_by_Sentiment!$B$2:$B$37,Phone_by_Sentiment!F$2:F$37,"",0,1)),_xlfn.XLOOKUP($C876,Phone_by_Sentiment!$B$2:$B$37,Phone_by_Sentiment!F$2:F$37,"",0,1),0),$A876-TEXT(DATEVALUE($D876&amp;"-01"), "dd-mm-yyyy")),0),0)</f>
        <v>0</v>
      </c>
      <c r="G876" cm="1">
        <f t="array" ref="G876">IF($Q876&gt;=0,IFERROR(generateSalesData($D876, IF(ISNUMBER(_xlfn.XLOOKUP($C876,Phone_by_Sentiment!$B$2:$B$37,Phone_by_Sentiment!G$2:G$37,"",0,1)),_xlfn.XLOOKUP($C876,Phone_by_Sentiment!$B$2:$B$37,Phone_by_Sentiment!G$2:G$37,"",0,1),0),$A876-TEXT(DATEVALUE($D876&amp;"-01"), "dd-mm-yyyy")),0),0)</f>
        <v>0</v>
      </c>
      <c r="H876" cm="1">
        <f t="array" ref="H876">IF($Q876&gt;=0,IFERROR(generateSalesData($D876, IF(ISNUMBER(_xlfn.XLOOKUP($C876,Phone_by_Sentiment!$B$2:$B$37,Phone_by_Sentiment!H$2:H$37,"",0,1)),_xlfn.XLOOKUP($C876,Phone_by_Sentiment!$B$2:$B$37,Phone_by_Sentiment!H$2:H$37,"",0,1),0),$A876-TEXT(DATEVALUE($D876&amp;"-01"), "dd-mm-yyyy")),0),0)</f>
        <v>0</v>
      </c>
      <c r="I876" cm="1">
        <f t="array" ref="I876">IF($Q876&gt;=0,IFERROR(generateSalesData($D876, IF(ISNUMBER(_xlfn.XLOOKUP($C876,Phone_by_Sentiment!$B$2:$B$37,Phone_by_Sentiment!I$2:I$37,"",0,1)),_xlfn.XLOOKUP($C876,Phone_by_Sentiment!$B$2:$B$37,Phone_by_Sentiment!I$2:I$37,"",0,1),0),$A876-TEXT(DATEVALUE($D876&amp;"-01"), "dd-mm-yyyy")),0),0)</f>
        <v>0</v>
      </c>
      <c r="J876" cm="1">
        <f t="array" ref="J876">IF($Q876&gt;=0,IFERROR(generateSalesData($D876, IF(ISNUMBER(_xlfn.XLOOKUP($C876,Phone_by_Sentiment!$B$2:$B$37,Phone_by_Sentiment!J$2:J$37,"",0,1)),_xlfn.XLOOKUP($C876,Phone_by_Sentiment!$B$2:$B$37,Phone_by_Sentiment!J$2:J$37,"",0,1),0),$A876-TEXT(DATEVALUE($D876&amp;"-01"), "dd-mm-yyyy")),0),0)</f>
        <v>0</v>
      </c>
      <c r="K876" cm="1">
        <f t="array" ref="K876">IF($Q876&gt;=0,IFERROR(generateSalesData($D876, IF(ISNUMBER(_xlfn.XLOOKUP($C876,Phone_by_Sentiment!$B$2:$B$37,Phone_by_Sentiment!K$2:K$37,"",0,1)),_xlfn.XLOOKUP($C876,Phone_by_Sentiment!$B$2:$B$37,Phone_by_Sentiment!K$2:K$37,"",0,1),0),$A876-TEXT(DATEVALUE($D876&amp;"-01"), "dd-mm-yyyy")),0),0)</f>
        <v>0</v>
      </c>
      <c r="L876" cm="1">
        <f t="array" ref="L876">IF($Q876&gt;=0,IFERROR(generateSalesData($D876, IF(ISNUMBER(_xlfn.XLOOKUP($C876,Phone_by_Sentiment!$B$2:$B$37,Phone_by_Sentiment!L$2:L$37,"",0,1)),_xlfn.XLOOKUP($C876,Phone_by_Sentiment!$B$2:$B$37,Phone_by_Sentiment!L$2:L$37,"",0,1),0),$A876-TEXT(DATEVALUE($D876&amp;"-01"), "dd-mm-yyyy")),0),0)</f>
        <v>0</v>
      </c>
      <c r="M876" cm="1">
        <f t="array" ref="M876">IF($Q876&gt;=0,IFERROR(generateSalesData($D876, IF(ISNUMBER(_xlfn.XLOOKUP($C876,Phone_by_Sentiment!$B$2:$B$37,Phone_by_Sentiment!M$2:M$37,"",0,1)),_xlfn.XLOOKUP($C876,Phone_by_Sentiment!$B$2:$B$37,Phone_by_Sentiment!M$2:M$37,"",0,1),0),$A876-TEXT(DATEVALUE($D876&amp;"-01"), "dd-mm-yyyy")),0),0)</f>
        <v>0</v>
      </c>
      <c r="N876" cm="1">
        <f t="array" ref="N876">IF($Q876&gt;=0,IFERROR(generateSalesData($D876, IF(ISNUMBER(_xlfn.XLOOKUP($C876,Phone_by_Sentiment!$B$2:$B$37,Phone_by_Sentiment!N$2:N$37,"",0,1)),_xlfn.XLOOKUP($C876,Phone_by_Sentiment!$B$2:$B$37,Phone_by_Sentiment!N$2:N$37,"",0,1),0),$A876-TEXT(DATEVALUE($D876&amp;"-01"), "dd-mm-yyyy")),0),0)</f>
        <v>0</v>
      </c>
      <c r="O876" cm="1">
        <f t="array" ref="O876">IF($Q876&gt;=0,IFERROR(generateSalesData($D876, IF(ISNUMBER(_xlfn.XLOOKUP($C876,Phone_by_Sentiment!$B$2:$B$37,Phone_by_Sentiment!O$2:O$37,"",0,1)),_xlfn.XLOOKUP($C876,Phone_by_Sentiment!$B$2:$B$37,Phone_by_Sentiment!O$2:O$37,"",0,1),0),$A876-TEXT(DATEVALUE($D876&amp;"-01"), "dd-mm-yyyy")),0),0)</f>
        <v>0</v>
      </c>
      <c r="P876" s="1">
        <f t="shared" si="34"/>
        <v>44440</v>
      </c>
      <c r="Q876">
        <f t="shared" si="35"/>
        <v>-212</v>
      </c>
    </row>
    <row r="877" spans="1:17" x14ac:dyDescent="0.25">
      <c r="A877" s="1">
        <f t="shared" si="36"/>
        <v>44228</v>
      </c>
      <c r="B877" t="s">
        <v>158</v>
      </c>
      <c r="C877" t="str">
        <f>_xlfn.XLOOKUP(B877,Phone_by_Price!$A$2:$A$34,Phone_by_Price!$B$2:$B$34,"-",0,1)</f>
        <v>Samsung Galaxy A32 5G</v>
      </c>
      <c r="D877" t="str">
        <f>_xlfn.XLOOKUP(C877,Phone_by_Sentiment!$B$2:$B$37,Phone_by_Sentiment!$A$2:$A$37,"-",0,1)</f>
        <v>2021-02</v>
      </c>
      <c r="E877" cm="1">
        <f t="array" ref="E877">IF($Q877&gt;=0,IFERROR(generateSalesData($D877, IF(ISNUMBER(_xlfn.XLOOKUP($C877,Phone_by_Sentiment!$B$2:$B$37,Phone_by_Sentiment!E$2:E$37,"",0,1)),_xlfn.XLOOKUP($C877,Phone_by_Sentiment!$B$2:$B$37,Phone_by_Sentiment!E$2:E$37,"",0,1),0),$A877-TEXT(DATEVALUE($D877&amp;"-01"), "dd-mm-yyyy")),0),0)</f>
        <v>5859</v>
      </c>
      <c r="F877" cm="1">
        <f t="array" ref="F877">IF($Q877&gt;=0,IFERROR(generateSalesData($D877, IF(ISNUMBER(_xlfn.XLOOKUP($C877,Phone_by_Sentiment!$B$2:$B$37,Phone_by_Sentiment!F$2:F$37,"",0,1)),_xlfn.XLOOKUP($C877,Phone_by_Sentiment!$B$2:$B$37,Phone_by_Sentiment!F$2:F$37,"",0,1),0),$A877-TEXT(DATEVALUE($D877&amp;"-01"), "dd-mm-yyyy")),0),0)</f>
        <v>4530</v>
      </c>
      <c r="G877" cm="1">
        <f t="array" ref="G877">IF($Q877&gt;=0,IFERROR(generateSalesData($D877, IF(ISNUMBER(_xlfn.XLOOKUP($C877,Phone_by_Sentiment!$B$2:$B$37,Phone_by_Sentiment!G$2:G$37,"",0,1)),_xlfn.XLOOKUP($C877,Phone_by_Sentiment!$B$2:$B$37,Phone_by_Sentiment!G$2:G$37,"",0,1),0),$A877-TEXT(DATEVALUE($D877&amp;"-01"), "dd-mm-yyyy")),0),0)</f>
        <v>2089</v>
      </c>
      <c r="H877" cm="1">
        <f t="array" ref="H877">IF($Q877&gt;=0,IFERROR(generateSalesData($D877, IF(ISNUMBER(_xlfn.XLOOKUP($C877,Phone_by_Sentiment!$B$2:$B$37,Phone_by_Sentiment!H$2:H$37,"",0,1)),_xlfn.XLOOKUP($C877,Phone_by_Sentiment!$B$2:$B$37,Phone_by_Sentiment!H$2:H$37,"",0,1),0),$A877-TEXT(DATEVALUE($D877&amp;"-01"), "dd-mm-yyyy")),0),0)</f>
        <v>13351</v>
      </c>
      <c r="I877" cm="1">
        <f t="array" ref="I877">IF($Q877&gt;=0,IFERROR(generateSalesData($D877, IF(ISNUMBER(_xlfn.XLOOKUP($C877,Phone_by_Sentiment!$B$2:$B$37,Phone_by_Sentiment!I$2:I$37,"",0,1)),_xlfn.XLOOKUP($C877,Phone_by_Sentiment!$B$2:$B$37,Phone_by_Sentiment!I$2:I$37,"",0,1),0),$A877-TEXT(DATEVALUE($D877&amp;"-01"), "dd-mm-yyyy")),0),0)</f>
        <v>3681</v>
      </c>
      <c r="J877" cm="1">
        <f t="array" ref="J877">IF($Q877&gt;=0,IFERROR(generateSalesData($D877, IF(ISNUMBER(_xlfn.XLOOKUP($C877,Phone_by_Sentiment!$B$2:$B$37,Phone_by_Sentiment!J$2:J$37,"",0,1)),_xlfn.XLOOKUP($C877,Phone_by_Sentiment!$B$2:$B$37,Phone_by_Sentiment!J$2:J$37,"",0,1),0),$A877-TEXT(DATEVALUE($D877&amp;"-01"), "dd-mm-yyyy")),0),0)</f>
        <v>6021</v>
      </c>
      <c r="K877" cm="1">
        <f t="array" ref="K877">IF($Q877&gt;=0,IFERROR(generateSalesData($D877, IF(ISNUMBER(_xlfn.XLOOKUP($C877,Phone_by_Sentiment!$B$2:$B$37,Phone_by_Sentiment!K$2:K$37,"",0,1)),_xlfn.XLOOKUP($C877,Phone_by_Sentiment!$B$2:$B$37,Phone_by_Sentiment!K$2:K$37,"",0,1),0),$A877-TEXT(DATEVALUE($D877&amp;"-01"), "dd-mm-yyyy")),0),0)</f>
        <v>13308</v>
      </c>
      <c r="L877" cm="1">
        <f t="array" ref="L877">IF($Q877&gt;=0,IFERROR(generateSalesData($D877, IF(ISNUMBER(_xlfn.XLOOKUP($C877,Phone_by_Sentiment!$B$2:$B$37,Phone_by_Sentiment!L$2:L$37,"",0,1)),_xlfn.XLOOKUP($C877,Phone_by_Sentiment!$B$2:$B$37,Phone_by_Sentiment!L$2:L$37,"",0,1),0),$A877-TEXT(DATEVALUE($D877&amp;"-01"), "dd-mm-yyyy")),0),0)</f>
        <v>5339</v>
      </c>
      <c r="M877" cm="1">
        <f t="array" ref="M877">IF($Q877&gt;=0,IFERROR(generateSalesData($D877, IF(ISNUMBER(_xlfn.XLOOKUP($C877,Phone_by_Sentiment!$B$2:$B$37,Phone_by_Sentiment!M$2:M$37,"",0,1)),_xlfn.XLOOKUP($C877,Phone_by_Sentiment!$B$2:$B$37,Phone_by_Sentiment!M$2:M$37,"",0,1),0),$A877-TEXT(DATEVALUE($D877&amp;"-01"), "dd-mm-yyyy")),0),0)</f>
        <v>5782</v>
      </c>
      <c r="N877" cm="1">
        <f t="array" ref="N877">IF($Q877&gt;=0,IFERROR(generateSalesData($D877, IF(ISNUMBER(_xlfn.XLOOKUP($C877,Phone_by_Sentiment!$B$2:$B$37,Phone_by_Sentiment!N$2:N$37,"",0,1)),_xlfn.XLOOKUP($C877,Phone_by_Sentiment!$B$2:$B$37,Phone_by_Sentiment!N$2:N$37,"",0,1),0),$A877-TEXT(DATEVALUE($D877&amp;"-01"), "dd-mm-yyyy")),0),0)</f>
        <v>11829</v>
      </c>
      <c r="O877" cm="1">
        <f t="array" ref="O877">IF($Q877&gt;=0,IFERROR(generateSalesData($D877, IF(ISNUMBER(_xlfn.XLOOKUP($C877,Phone_by_Sentiment!$B$2:$B$37,Phone_by_Sentiment!O$2:O$37,"",0,1)),_xlfn.XLOOKUP($C877,Phone_by_Sentiment!$B$2:$B$37,Phone_by_Sentiment!O$2:O$37,"",0,1),0),$A877-TEXT(DATEVALUE($D877&amp;"-01"), "dd-mm-yyyy")),0),0)</f>
        <v>10523</v>
      </c>
      <c r="P877" s="1">
        <f t="shared" si="34"/>
        <v>44228</v>
      </c>
      <c r="Q877">
        <f t="shared" si="35"/>
        <v>0</v>
      </c>
    </row>
    <row r="878" spans="1:17" x14ac:dyDescent="0.25">
      <c r="A878" s="1">
        <f t="shared" si="36"/>
        <v>44228</v>
      </c>
      <c r="B878" t="s">
        <v>159</v>
      </c>
      <c r="C878" t="str">
        <f>_xlfn.XLOOKUP(B878,Phone_by_Price!$A$2:$A$34,Phone_by_Price!$B$2:$B$34,"-",0,1)</f>
        <v>Realme C25</v>
      </c>
      <c r="D878" t="str">
        <f>_xlfn.XLOOKUP(C878,Phone_by_Sentiment!$B$2:$B$37,Phone_by_Sentiment!$A$2:$A$37,"-",0,1)</f>
        <v>2021-03</v>
      </c>
      <c r="E878" cm="1">
        <f t="array" ref="E878">IF($Q878&gt;=0,IFERROR(generateSalesData($D878, IF(ISNUMBER(_xlfn.XLOOKUP($C878,Phone_by_Sentiment!$B$2:$B$37,Phone_by_Sentiment!E$2:E$37,"",0,1)),_xlfn.XLOOKUP($C878,Phone_by_Sentiment!$B$2:$B$37,Phone_by_Sentiment!E$2:E$37,"",0,1),0),$A878-TEXT(DATEVALUE($D878&amp;"-01"), "dd-mm-yyyy")),0),0)</f>
        <v>0</v>
      </c>
      <c r="F878" cm="1">
        <f t="array" ref="F878">IF($Q878&gt;=0,IFERROR(generateSalesData($D878, IF(ISNUMBER(_xlfn.XLOOKUP($C878,Phone_by_Sentiment!$B$2:$B$37,Phone_by_Sentiment!F$2:F$37,"",0,1)),_xlfn.XLOOKUP($C878,Phone_by_Sentiment!$B$2:$B$37,Phone_by_Sentiment!F$2:F$37,"",0,1),0),$A878-TEXT(DATEVALUE($D878&amp;"-01"), "dd-mm-yyyy")),0),0)</f>
        <v>0</v>
      </c>
      <c r="G878" cm="1">
        <f t="array" ref="G878">IF($Q878&gt;=0,IFERROR(generateSalesData($D878, IF(ISNUMBER(_xlfn.XLOOKUP($C878,Phone_by_Sentiment!$B$2:$B$37,Phone_by_Sentiment!G$2:G$37,"",0,1)),_xlfn.XLOOKUP($C878,Phone_by_Sentiment!$B$2:$B$37,Phone_by_Sentiment!G$2:G$37,"",0,1),0),$A878-TEXT(DATEVALUE($D878&amp;"-01"), "dd-mm-yyyy")),0),0)</f>
        <v>0</v>
      </c>
      <c r="H878" cm="1">
        <f t="array" ref="H878">IF($Q878&gt;=0,IFERROR(generateSalesData($D878, IF(ISNUMBER(_xlfn.XLOOKUP($C878,Phone_by_Sentiment!$B$2:$B$37,Phone_by_Sentiment!H$2:H$37,"",0,1)),_xlfn.XLOOKUP($C878,Phone_by_Sentiment!$B$2:$B$37,Phone_by_Sentiment!H$2:H$37,"",0,1),0),$A878-TEXT(DATEVALUE($D878&amp;"-01"), "dd-mm-yyyy")),0),0)</f>
        <v>0</v>
      </c>
      <c r="I878" cm="1">
        <f t="array" ref="I878">IF($Q878&gt;=0,IFERROR(generateSalesData($D878, IF(ISNUMBER(_xlfn.XLOOKUP($C878,Phone_by_Sentiment!$B$2:$B$37,Phone_by_Sentiment!I$2:I$37,"",0,1)),_xlfn.XLOOKUP($C878,Phone_by_Sentiment!$B$2:$B$37,Phone_by_Sentiment!I$2:I$37,"",0,1),0),$A878-TEXT(DATEVALUE($D878&amp;"-01"), "dd-mm-yyyy")),0),0)</f>
        <v>0</v>
      </c>
      <c r="J878" cm="1">
        <f t="array" ref="J878">IF($Q878&gt;=0,IFERROR(generateSalesData($D878, IF(ISNUMBER(_xlfn.XLOOKUP($C878,Phone_by_Sentiment!$B$2:$B$37,Phone_by_Sentiment!J$2:J$37,"",0,1)),_xlfn.XLOOKUP($C878,Phone_by_Sentiment!$B$2:$B$37,Phone_by_Sentiment!J$2:J$37,"",0,1),0),$A878-TEXT(DATEVALUE($D878&amp;"-01"), "dd-mm-yyyy")),0),0)</f>
        <v>0</v>
      </c>
      <c r="K878" cm="1">
        <f t="array" ref="K878">IF($Q878&gt;=0,IFERROR(generateSalesData($D878, IF(ISNUMBER(_xlfn.XLOOKUP($C878,Phone_by_Sentiment!$B$2:$B$37,Phone_by_Sentiment!K$2:K$37,"",0,1)),_xlfn.XLOOKUP($C878,Phone_by_Sentiment!$B$2:$B$37,Phone_by_Sentiment!K$2:K$37,"",0,1),0),$A878-TEXT(DATEVALUE($D878&amp;"-01"), "dd-mm-yyyy")),0),0)</f>
        <v>0</v>
      </c>
      <c r="L878" cm="1">
        <f t="array" ref="L878">IF($Q878&gt;=0,IFERROR(generateSalesData($D878, IF(ISNUMBER(_xlfn.XLOOKUP($C878,Phone_by_Sentiment!$B$2:$B$37,Phone_by_Sentiment!L$2:L$37,"",0,1)),_xlfn.XLOOKUP($C878,Phone_by_Sentiment!$B$2:$B$37,Phone_by_Sentiment!L$2:L$37,"",0,1),0),$A878-TEXT(DATEVALUE($D878&amp;"-01"), "dd-mm-yyyy")),0),0)</f>
        <v>0</v>
      </c>
      <c r="M878" cm="1">
        <f t="array" ref="M878">IF($Q878&gt;=0,IFERROR(generateSalesData($D878, IF(ISNUMBER(_xlfn.XLOOKUP($C878,Phone_by_Sentiment!$B$2:$B$37,Phone_by_Sentiment!M$2:M$37,"",0,1)),_xlfn.XLOOKUP($C878,Phone_by_Sentiment!$B$2:$B$37,Phone_by_Sentiment!M$2:M$37,"",0,1),0),$A878-TEXT(DATEVALUE($D878&amp;"-01"), "dd-mm-yyyy")),0),0)</f>
        <v>0</v>
      </c>
      <c r="N878" cm="1">
        <f t="array" ref="N878">IF($Q878&gt;=0,IFERROR(generateSalesData($D878, IF(ISNUMBER(_xlfn.XLOOKUP($C878,Phone_by_Sentiment!$B$2:$B$37,Phone_by_Sentiment!N$2:N$37,"",0,1)),_xlfn.XLOOKUP($C878,Phone_by_Sentiment!$B$2:$B$37,Phone_by_Sentiment!N$2:N$37,"",0,1),0),$A878-TEXT(DATEVALUE($D878&amp;"-01"), "dd-mm-yyyy")),0),0)</f>
        <v>0</v>
      </c>
      <c r="O878" cm="1">
        <f t="array" ref="O878">IF($Q878&gt;=0,IFERROR(generateSalesData($D878, IF(ISNUMBER(_xlfn.XLOOKUP($C878,Phone_by_Sentiment!$B$2:$B$37,Phone_by_Sentiment!O$2:O$37,"",0,1)),_xlfn.XLOOKUP($C878,Phone_by_Sentiment!$B$2:$B$37,Phone_by_Sentiment!O$2:O$37,"",0,1),0),$A878-TEXT(DATEVALUE($D878&amp;"-01"), "dd-mm-yyyy")),0),0)</f>
        <v>0</v>
      </c>
      <c r="P878" s="1">
        <f t="shared" si="34"/>
        <v>44256</v>
      </c>
      <c r="Q878">
        <f t="shared" si="35"/>
        <v>-28</v>
      </c>
    </row>
    <row r="879" spans="1:17" x14ac:dyDescent="0.25">
      <c r="A879" s="1">
        <f t="shared" si="36"/>
        <v>44228</v>
      </c>
      <c r="B879" t="s">
        <v>160</v>
      </c>
      <c r="C879" t="str">
        <f>_xlfn.XLOOKUP(B879,Phone_by_Price!$A$2:$A$34,Phone_by_Price!$B$2:$B$34,"-",0,1)</f>
        <v>Xiaomi Poco X3 Pro</v>
      </c>
      <c r="D879" t="str">
        <f>_xlfn.XLOOKUP(C879,Phone_by_Sentiment!$B$2:$B$37,Phone_by_Sentiment!$A$2:$A$37,"-",0,1)</f>
        <v>2021-05</v>
      </c>
      <c r="E879" cm="1">
        <f t="array" ref="E879">IF($Q879&gt;=0,IFERROR(generateSalesData($D879, IF(ISNUMBER(_xlfn.XLOOKUP($C879,Phone_by_Sentiment!$B$2:$B$37,Phone_by_Sentiment!E$2:E$37,"",0,1)),_xlfn.XLOOKUP($C879,Phone_by_Sentiment!$B$2:$B$37,Phone_by_Sentiment!E$2:E$37,"",0,1),0),$A879-TEXT(DATEVALUE($D879&amp;"-01"), "dd-mm-yyyy")),0),0)</f>
        <v>0</v>
      </c>
      <c r="F879" cm="1">
        <f t="array" ref="F879">IF($Q879&gt;=0,IFERROR(generateSalesData($D879, IF(ISNUMBER(_xlfn.XLOOKUP($C879,Phone_by_Sentiment!$B$2:$B$37,Phone_by_Sentiment!F$2:F$37,"",0,1)),_xlfn.XLOOKUP($C879,Phone_by_Sentiment!$B$2:$B$37,Phone_by_Sentiment!F$2:F$37,"",0,1),0),$A879-TEXT(DATEVALUE($D879&amp;"-01"), "dd-mm-yyyy")),0),0)</f>
        <v>0</v>
      </c>
      <c r="G879" cm="1">
        <f t="array" ref="G879">IF($Q879&gt;=0,IFERROR(generateSalesData($D879, IF(ISNUMBER(_xlfn.XLOOKUP($C879,Phone_by_Sentiment!$B$2:$B$37,Phone_by_Sentiment!G$2:G$37,"",0,1)),_xlfn.XLOOKUP($C879,Phone_by_Sentiment!$B$2:$B$37,Phone_by_Sentiment!G$2:G$37,"",0,1),0),$A879-TEXT(DATEVALUE($D879&amp;"-01"), "dd-mm-yyyy")),0),0)</f>
        <v>0</v>
      </c>
      <c r="H879" cm="1">
        <f t="array" ref="H879">IF($Q879&gt;=0,IFERROR(generateSalesData($D879, IF(ISNUMBER(_xlfn.XLOOKUP($C879,Phone_by_Sentiment!$B$2:$B$37,Phone_by_Sentiment!H$2:H$37,"",0,1)),_xlfn.XLOOKUP($C879,Phone_by_Sentiment!$B$2:$B$37,Phone_by_Sentiment!H$2:H$37,"",0,1),0),$A879-TEXT(DATEVALUE($D879&amp;"-01"), "dd-mm-yyyy")),0),0)</f>
        <v>0</v>
      </c>
      <c r="I879" cm="1">
        <f t="array" ref="I879">IF($Q879&gt;=0,IFERROR(generateSalesData($D879, IF(ISNUMBER(_xlfn.XLOOKUP($C879,Phone_by_Sentiment!$B$2:$B$37,Phone_by_Sentiment!I$2:I$37,"",0,1)),_xlfn.XLOOKUP($C879,Phone_by_Sentiment!$B$2:$B$37,Phone_by_Sentiment!I$2:I$37,"",0,1),0),$A879-TEXT(DATEVALUE($D879&amp;"-01"), "dd-mm-yyyy")),0),0)</f>
        <v>0</v>
      </c>
      <c r="J879" cm="1">
        <f t="array" ref="J879">IF($Q879&gt;=0,IFERROR(generateSalesData($D879, IF(ISNUMBER(_xlfn.XLOOKUP($C879,Phone_by_Sentiment!$B$2:$B$37,Phone_by_Sentiment!J$2:J$37,"",0,1)),_xlfn.XLOOKUP($C879,Phone_by_Sentiment!$B$2:$B$37,Phone_by_Sentiment!J$2:J$37,"",0,1),0),$A879-TEXT(DATEVALUE($D879&amp;"-01"), "dd-mm-yyyy")),0),0)</f>
        <v>0</v>
      </c>
      <c r="K879" cm="1">
        <f t="array" ref="K879">IF($Q879&gt;=0,IFERROR(generateSalesData($D879, IF(ISNUMBER(_xlfn.XLOOKUP($C879,Phone_by_Sentiment!$B$2:$B$37,Phone_by_Sentiment!K$2:K$37,"",0,1)),_xlfn.XLOOKUP($C879,Phone_by_Sentiment!$B$2:$B$37,Phone_by_Sentiment!K$2:K$37,"",0,1),0),$A879-TEXT(DATEVALUE($D879&amp;"-01"), "dd-mm-yyyy")),0),0)</f>
        <v>0</v>
      </c>
      <c r="L879" cm="1">
        <f t="array" ref="L879">IF($Q879&gt;=0,IFERROR(generateSalesData($D879, IF(ISNUMBER(_xlfn.XLOOKUP($C879,Phone_by_Sentiment!$B$2:$B$37,Phone_by_Sentiment!L$2:L$37,"",0,1)),_xlfn.XLOOKUP($C879,Phone_by_Sentiment!$B$2:$B$37,Phone_by_Sentiment!L$2:L$37,"",0,1),0),$A879-TEXT(DATEVALUE($D879&amp;"-01"), "dd-mm-yyyy")),0),0)</f>
        <v>0</v>
      </c>
      <c r="M879" cm="1">
        <f t="array" ref="M879">IF($Q879&gt;=0,IFERROR(generateSalesData($D879, IF(ISNUMBER(_xlfn.XLOOKUP($C879,Phone_by_Sentiment!$B$2:$B$37,Phone_by_Sentiment!M$2:M$37,"",0,1)),_xlfn.XLOOKUP($C879,Phone_by_Sentiment!$B$2:$B$37,Phone_by_Sentiment!M$2:M$37,"",0,1),0),$A879-TEXT(DATEVALUE($D879&amp;"-01"), "dd-mm-yyyy")),0),0)</f>
        <v>0</v>
      </c>
      <c r="N879" cm="1">
        <f t="array" ref="N879">IF($Q879&gt;=0,IFERROR(generateSalesData($D879, IF(ISNUMBER(_xlfn.XLOOKUP($C879,Phone_by_Sentiment!$B$2:$B$37,Phone_by_Sentiment!N$2:N$37,"",0,1)),_xlfn.XLOOKUP($C879,Phone_by_Sentiment!$B$2:$B$37,Phone_by_Sentiment!N$2:N$37,"",0,1),0),$A879-TEXT(DATEVALUE($D879&amp;"-01"), "dd-mm-yyyy")),0),0)</f>
        <v>0</v>
      </c>
      <c r="O879" cm="1">
        <f t="array" ref="O879">IF($Q879&gt;=0,IFERROR(generateSalesData($D879, IF(ISNUMBER(_xlfn.XLOOKUP($C879,Phone_by_Sentiment!$B$2:$B$37,Phone_by_Sentiment!O$2:O$37,"",0,1)),_xlfn.XLOOKUP($C879,Phone_by_Sentiment!$B$2:$B$37,Phone_by_Sentiment!O$2:O$37,"",0,1),0),$A879-TEXT(DATEVALUE($D879&amp;"-01"), "dd-mm-yyyy")),0),0)</f>
        <v>0</v>
      </c>
      <c r="P879" s="1">
        <f t="shared" si="34"/>
        <v>44317</v>
      </c>
      <c r="Q879">
        <f t="shared" si="35"/>
        <v>-89</v>
      </c>
    </row>
    <row r="880" spans="1:17" x14ac:dyDescent="0.25">
      <c r="A880" s="1">
        <f t="shared" si="36"/>
        <v>44228</v>
      </c>
      <c r="B880" t="s">
        <v>161</v>
      </c>
      <c r="C880" t="str">
        <f>_xlfn.XLOOKUP(B880,Phone_by_Price!$A$2:$A$34,Phone_by_Price!$B$2:$B$34,"-",0,1)</f>
        <v>Samsung Galaxy Z Flip 3</v>
      </c>
      <c r="D880" t="str">
        <f>_xlfn.XLOOKUP(C880,Phone_by_Sentiment!$B$2:$B$37,Phone_by_Sentiment!$A$2:$A$37,"-",0,1)</f>
        <v>2021-09</v>
      </c>
      <c r="E880" cm="1">
        <f t="array" ref="E880">IF($Q880&gt;=0,IFERROR(generateSalesData($D880, IF(ISNUMBER(_xlfn.XLOOKUP($C880,Phone_by_Sentiment!$B$2:$B$37,Phone_by_Sentiment!E$2:E$37,"",0,1)),_xlfn.XLOOKUP($C880,Phone_by_Sentiment!$B$2:$B$37,Phone_by_Sentiment!E$2:E$37,"",0,1),0),$A880-TEXT(DATEVALUE($D880&amp;"-01"), "dd-mm-yyyy")),0),0)</f>
        <v>0</v>
      </c>
      <c r="F880" cm="1">
        <f t="array" ref="F880">IF($Q880&gt;=0,IFERROR(generateSalesData($D880, IF(ISNUMBER(_xlfn.XLOOKUP($C880,Phone_by_Sentiment!$B$2:$B$37,Phone_by_Sentiment!F$2:F$37,"",0,1)),_xlfn.XLOOKUP($C880,Phone_by_Sentiment!$B$2:$B$37,Phone_by_Sentiment!F$2:F$37,"",0,1),0),$A880-TEXT(DATEVALUE($D880&amp;"-01"), "dd-mm-yyyy")),0),0)</f>
        <v>0</v>
      </c>
      <c r="G880" cm="1">
        <f t="array" ref="G880">IF($Q880&gt;=0,IFERROR(generateSalesData($D880, IF(ISNUMBER(_xlfn.XLOOKUP($C880,Phone_by_Sentiment!$B$2:$B$37,Phone_by_Sentiment!G$2:G$37,"",0,1)),_xlfn.XLOOKUP($C880,Phone_by_Sentiment!$B$2:$B$37,Phone_by_Sentiment!G$2:G$37,"",0,1),0),$A880-TEXT(DATEVALUE($D880&amp;"-01"), "dd-mm-yyyy")),0),0)</f>
        <v>0</v>
      </c>
      <c r="H880" cm="1">
        <f t="array" ref="H880">IF($Q880&gt;=0,IFERROR(generateSalesData($D880, IF(ISNUMBER(_xlfn.XLOOKUP($C880,Phone_by_Sentiment!$B$2:$B$37,Phone_by_Sentiment!H$2:H$37,"",0,1)),_xlfn.XLOOKUP($C880,Phone_by_Sentiment!$B$2:$B$37,Phone_by_Sentiment!H$2:H$37,"",0,1),0),$A880-TEXT(DATEVALUE($D880&amp;"-01"), "dd-mm-yyyy")),0),0)</f>
        <v>0</v>
      </c>
      <c r="I880" cm="1">
        <f t="array" ref="I880">IF($Q880&gt;=0,IFERROR(generateSalesData($D880, IF(ISNUMBER(_xlfn.XLOOKUP($C880,Phone_by_Sentiment!$B$2:$B$37,Phone_by_Sentiment!I$2:I$37,"",0,1)),_xlfn.XLOOKUP($C880,Phone_by_Sentiment!$B$2:$B$37,Phone_by_Sentiment!I$2:I$37,"",0,1),0),$A880-TEXT(DATEVALUE($D880&amp;"-01"), "dd-mm-yyyy")),0),0)</f>
        <v>0</v>
      </c>
      <c r="J880" cm="1">
        <f t="array" ref="J880">IF($Q880&gt;=0,IFERROR(generateSalesData($D880, IF(ISNUMBER(_xlfn.XLOOKUP($C880,Phone_by_Sentiment!$B$2:$B$37,Phone_by_Sentiment!J$2:J$37,"",0,1)),_xlfn.XLOOKUP($C880,Phone_by_Sentiment!$B$2:$B$37,Phone_by_Sentiment!J$2:J$37,"",0,1),0),$A880-TEXT(DATEVALUE($D880&amp;"-01"), "dd-mm-yyyy")),0),0)</f>
        <v>0</v>
      </c>
      <c r="K880" cm="1">
        <f t="array" ref="K880">IF($Q880&gt;=0,IFERROR(generateSalesData($D880, IF(ISNUMBER(_xlfn.XLOOKUP($C880,Phone_by_Sentiment!$B$2:$B$37,Phone_by_Sentiment!K$2:K$37,"",0,1)),_xlfn.XLOOKUP($C880,Phone_by_Sentiment!$B$2:$B$37,Phone_by_Sentiment!K$2:K$37,"",0,1),0),$A880-TEXT(DATEVALUE($D880&amp;"-01"), "dd-mm-yyyy")),0),0)</f>
        <v>0</v>
      </c>
      <c r="L880" cm="1">
        <f t="array" ref="L880">IF($Q880&gt;=0,IFERROR(generateSalesData($D880, IF(ISNUMBER(_xlfn.XLOOKUP($C880,Phone_by_Sentiment!$B$2:$B$37,Phone_by_Sentiment!L$2:L$37,"",0,1)),_xlfn.XLOOKUP($C880,Phone_by_Sentiment!$B$2:$B$37,Phone_by_Sentiment!L$2:L$37,"",0,1),0),$A880-TEXT(DATEVALUE($D880&amp;"-01"), "dd-mm-yyyy")),0),0)</f>
        <v>0</v>
      </c>
      <c r="M880" cm="1">
        <f t="array" ref="M880">IF($Q880&gt;=0,IFERROR(generateSalesData($D880, IF(ISNUMBER(_xlfn.XLOOKUP($C880,Phone_by_Sentiment!$B$2:$B$37,Phone_by_Sentiment!M$2:M$37,"",0,1)),_xlfn.XLOOKUP($C880,Phone_by_Sentiment!$B$2:$B$37,Phone_by_Sentiment!M$2:M$37,"",0,1),0),$A880-TEXT(DATEVALUE($D880&amp;"-01"), "dd-mm-yyyy")),0),0)</f>
        <v>0</v>
      </c>
      <c r="N880" cm="1">
        <f t="array" ref="N880">IF($Q880&gt;=0,IFERROR(generateSalesData($D880, IF(ISNUMBER(_xlfn.XLOOKUP($C880,Phone_by_Sentiment!$B$2:$B$37,Phone_by_Sentiment!N$2:N$37,"",0,1)),_xlfn.XLOOKUP($C880,Phone_by_Sentiment!$B$2:$B$37,Phone_by_Sentiment!N$2:N$37,"",0,1),0),$A880-TEXT(DATEVALUE($D880&amp;"-01"), "dd-mm-yyyy")),0),0)</f>
        <v>0</v>
      </c>
      <c r="O880" cm="1">
        <f t="array" ref="O880">IF($Q880&gt;=0,IFERROR(generateSalesData($D880, IF(ISNUMBER(_xlfn.XLOOKUP($C880,Phone_by_Sentiment!$B$2:$B$37,Phone_by_Sentiment!O$2:O$37,"",0,1)),_xlfn.XLOOKUP($C880,Phone_by_Sentiment!$B$2:$B$37,Phone_by_Sentiment!O$2:O$37,"",0,1),0),$A880-TEXT(DATEVALUE($D880&amp;"-01"), "dd-mm-yyyy")),0),0)</f>
        <v>0</v>
      </c>
      <c r="P880" s="1">
        <f t="shared" si="34"/>
        <v>44440</v>
      </c>
      <c r="Q880">
        <f t="shared" si="35"/>
        <v>-212</v>
      </c>
    </row>
    <row r="881" spans="1:17" x14ac:dyDescent="0.25">
      <c r="A881" s="1">
        <f t="shared" si="36"/>
        <v>44228</v>
      </c>
      <c r="B881" t="s">
        <v>162</v>
      </c>
      <c r="C881" t="str">
        <f>_xlfn.XLOOKUP(B881,Phone_by_Price!$A$2:$A$34,Phone_by_Price!$B$2:$B$34,"-",0,1)</f>
        <v>Xiaomi Poco X3 NFC</v>
      </c>
      <c r="D881" t="str">
        <f>_xlfn.XLOOKUP(C881,Phone_by_Sentiment!$B$2:$B$37,Phone_by_Sentiment!$A$2:$A$37,"-",0,1)</f>
        <v>2020-08</v>
      </c>
      <c r="E881" cm="1">
        <f t="array" ref="E881">IF($Q881&gt;=0,IFERROR(generateSalesData($D881, IF(ISNUMBER(_xlfn.XLOOKUP($C881,Phone_by_Sentiment!$B$2:$B$37,Phone_by_Sentiment!E$2:E$37,"",0,1)),_xlfn.XLOOKUP($C881,Phone_by_Sentiment!$B$2:$B$37,Phone_by_Sentiment!E$2:E$37,"",0,1),0),$A881-TEXT(DATEVALUE($D881&amp;"-01"), "dd-mm-yyyy")),0),0)</f>
        <v>229</v>
      </c>
      <c r="F881" cm="1">
        <f t="array" ref="F881">IF($Q881&gt;=0,IFERROR(generateSalesData($D881, IF(ISNUMBER(_xlfn.XLOOKUP($C881,Phone_by_Sentiment!$B$2:$B$37,Phone_by_Sentiment!F$2:F$37,"",0,1)),_xlfn.XLOOKUP($C881,Phone_by_Sentiment!$B$2:$B$37,Phone_by_Sentiment!F$2:F$37,"",0,1),0),$A881-TEXT(DATEVALUE($D881&amp;"-01"), "dd-mm-yyyy")),0),0)</f>
        <v>437</v>
      </c>
      <c r="G881" cm="1">
        <f t="array" ref="G881">IF($Q881&gt;=0,IFERROR(generateSalesData($D881, IF(ISNUMBER(_xlfn.XLOOKUP($C881,Phone_by_Sentiment!$B$2:$B$37,Phone_by_Sentiment!G$2:G$37,"",0,1)),_xlfn.XLOOKUP($C881,Phone_by_Sentiment!$B$2:$B$37,Phone_by_Sentiment!G$2:G$37,"",0,1),0),$A881-TEXT(DATEVALUE($D881&amp;"-01"), "dd-mm-yyyy")),0),0)</f>
        <v>174</v>
      </c>
      <c r="H881" cm="1">
        <f t="array" ref="H881">IF($Q881&gt;=0,IFERROR(generateSalesData($D881, IF(ISNUMBER(_xlfn.XLOOKUP($C881,Phone_by_Sentiment!$B$2:$B$37,Phone_by_Sentiment!H$2:H$37,"",0,1)),_xlfn.XLOOKUP($C881,Phone_by_Sentiment!$B$2:$B$37,Phone_by_Sentiment!H$2:H$37,"",0,1),0),$A881-TEXT(DATEVALUE($D881&amp;"-01"), "dd-mm-yyyy")),0),0)</f>
        <v>1781</v>
      </c>
      <c r="I881" cm="1">
        <f t="array" ref="I881">IF($Q881&gt;=0,IFERROR(generateSalesData($D881, IF(ISNUMBER(_xlfn.XLOOKUP($C881,Phone_by_Sentiment!$B$2:$B$37,Phone_by_Sentiment!I$2:I$37,"",0,1)),_xlfn.XLOOKUP($C881,Phone_by_Sentiment!$B$2:$B$37,Phone_by_Sentiment!I$2:I$37,"",0,1),0),$A881-TEXT(DATEVALUE($D881&amp;"-01"), "dd-mm-yyyy")),0),0)</f>
        <v>330</v>
      </c>
      <c r="J881" cm="1">
        <f t="array" ref="J881">IF($Q881&gt;=0,IFERROR(generateSalesData($D881, IF(ISNUMBER(_xlfn.XLOOKUP($C881,Phone_by_Sentiment!$B$2:$B$37,Phone_by_Sentiment!J$2:J$37,"",0,1)),_xlfn.XLOOKUP($C881,Phone_by_Sentiment!$B$2:$B$37,Phone_by_Sentiment!J$2:J$37,"",0,1),0),$A881-TEXT(DATEVALUE($D881&amp;"-01"), "dd-mm-yyyy")),0),0)</f>
        <v>135</v>
      </c>
      <c r="K881" cm="1">
        <f t="array" ref="K881">IF($Q881&gt;=0,IFERROR(generateSalesData($D881, IF(ISNUMBER(_xlfn.XLOOKUP($C881,Phone_by_Sentiment!$B$2:$B$37,Phone_by_Sentiment!K$2:K$37,"",0,1)),_xlfn.XLOOKUP($C881,Phone_by_Sentiment!$B$2:$B$37,Phone_by_Sentiment!K$2:K$37,"",0,1),0),$A881-TEXT(DATEVALUE($D881&amp;"-01"), "dd-mm-yyyy")),0),0)</f>
        <v>1458</v>
      </c>
      <c r="L881" cm="1">
        <f t="array" ref="L881">IF($Q881&gt;=0,IFERROR(generateSalesData($D881, IF(ISNUMBER(_xlfn.XLOOKUP($C881,Phone_by_Sentiment!$B$2:$B$37,Phone_by_Sentiment!L$2:L$37,"",0,1)),_xlfn.XLOOKUP($C881,Phone_by_Sentiment!$B$2:$B$37,Phone_by_Sentiment!L$2:L$37,"",0,1),0),$A881-TEXT(DATEVALUE($D881&amp;"-01"), "dd-mm-yyyy")),0),0)</f>
        <v>124</v>
      </c>
      <c r="M881" cm="1">
        <f t="array" ref="M881">IF($Q881&gt;=0,IFERROR(generateSalesData($D881, IF(ISNUMBER(_xlfn.XLOOKUP($C881,Phone_by_Sentiment!$B$2:$B$37,Phone_by_Sentiment!M$2:M$37,"",0,1)),_xlfn.XLOOKUP($C881,Phone_by_Sentiment!$B$2:$B$37,Phone_by_Sentiment!M$2:M$37,"",0,1),0),$A881-TEXT(DATEVALUE($D881&amp;"-01"), "dd-mm-yyyy")),0),0)</f>
        <v>839</v>
      </c>
      <c r="N881" cm="1">
        <f t="array" ref="N881">IF($Q881&gt;=0,IFERROR(generateSalesData($D881, IF(ISNUMBER(_xlfn.XLOOKUP($C881,Phone_by_Sentiment!$B$2:$B$37,Phone_by_Sentiment!N$2:N$37,"",0,1)),_xlfn.XLOOKUP($C881,Phone_by_Sentiment!$B$2:$B$37,Phone_by_Sentiment!N$2:N$37,"",0,1),0),$A881-TEXT(DATEVALUE($D881&amp;"-01"), "dd-mm-yyyy")),0),0)</f>
        <v>391</v>
      </c>
      <c r="O881" cm="1">
        <f t="array" ref="O881">IF($Q881&gt;=0,IFERROR(generateSalesData($D881, IF(ISNUMBER(_xlfn.XLOOKUP($C881,Phone_by_Sentiment!$B$2:$B$37,Phone_by_Sentiment!O$2:O$37,"",0,1)),_xlfn.XLOOKUP($C881,Phone_by_Sentiment!$B$2:$B$37,Phone_by_Sentiment!O$2:O$37,"",0,1),0),$A881-TEXT(DATEVALUE($D881&amp;"-01"), "dd-mm-yyyy")),0),0)</f>
        <v>606</v>
      </c>
      <c r="P881" s="1">
        <f t="shared" si="34"/>
        <v>44044</v>
      </c>
      <c r="Q881">
        <f t="shared" si="35"/>
        <v>184</v>
      </c>
    </row>
    <row r="882" spans="1:17" x14ac:dyDescent="0.25">
      <c r="A882" s="1">
        <f t="shared" si="36"/>
        <v>44228</v>
      </c>
      <c r="B882" t="s">
        <v>163</v>
      </c>
      <c r="C882" t="str">
        <f>_xlfn.XLOOKUP(B882,Phone_by_Price!$A$2:$A$34,Phone_by_Price!$B$2:$B$34,"-",0,1)</f>
        <v>OPPO A93</v>
      </c>
      <c r="D882" t="str">
        <f>_xlfn.XLOOKUP(C882,Phone_by_Sentiment!$B$2:$B$37,Phone_by_Sentiment!$A$2:$A$37,"-",0,1)</f>
        <v>2021-02</v>
      </c>
      <c r="E882" cm="1">
        <f t="array" ref="E882">IF($Q882&gt;=0,IFERROR(generateSalesData($D882, IF(ISNUMBER(_xlfn.XLOOKUP($C882,Phone_by_Sentiment!$B$2:$B$37,Phone_by_Sentiment!E$2:E$37,"",0,1)),_xlfn.XLOOKUP($C882,Phone_by_Sentiment!$B$2:$B$37,Phone_by_Sentiment!E$2:E$37,"",0,1),0),$A882-TEXT(DATEVALUE($D882&amp;"-01"), "dd-mm-yyyy")),0),0)</f>
        <v>3630</v>
      </c>
      <c r="F882" cm="1">
        <f t="array" ref="F882">IF($Q882&gt;=0,IFERROR(generateSalesData($D882, IF(ISNUMBER(_xlfn.XLOOKUP($C882,Phone_by_Sentiment!$B$2:$B$37,Phone_by_Sentiment!F$2:F$37,"",0,1)),_xlfn.XLOOKUP($C882,Phone_by_Sentiment!$B$2:$B$37,Phone_by_Sentiment!F$2:F$37,"",0,1),0),$A882-TEXT(DATEVALUE($D882&amp;"-01"), "dd-mm-yyyy")),0),0)</f>
        <v>3432</v>
      </c>
      <c r="G882" cm="1">
        <f t="array" ref="G882">IF($Q882&gt;=0,IFERROR(generateSalesData($D882, IF(ISNUMBER(_xlfn.XLOOKUP($C882,Phone_by_Sentiment!$B$2:$B$37,Phone_by_Sentiment!G$2:G$37,"",0,1)),_xlfn.XLOOKUP($C882,Phone_by_Sentiment!$B$2:$B$37,Phone_by_Sentiment!G$2:G$37,"",0,1),0),$A882-TEXT(DATEVALUE($D882&amp;"-01"), "dd-mm-yyyy")),0),0)</f>
        <v>2668</v>
      </c>
      <c r="H882" cm="1">
        <f t="array" ref="H882">IF($Q882&gt;=0,IFERROR(generateSalesData($D882, IF(ISNUMBER(_xlfn.XLOOKUP($C882,Phone_by_Sentiment!$B$2:$B$37,Phone_by_Sentiment!H$2:H$37,"",0,1)),_xlfn.XLOOKUP($C882,Phone_by_Sentiment!$B$2:$B$37,Phone_by_Sentiment!H$2:H$37,"",0,1),0),$A882-TEXT(DATEVALUE($D882&amp;"-01"), "dd-mm-yyyy")),0),0)</f>
        <v>12076</v>
      </c>
      <c r="I882" cm="1">
        <f t="array" ref="I882">IF($Q882&gt;=0,IFERROR(generateSalesData($D882, IF(ISNUMBER(_xlfn.XLOOKUP($C882,Phone_by_Sentiment!$B$2:$B$37,Phone_by_Sentiment!I$2:I$37,"",0,1)),_xlfn.XLOOKUP($C882,Phone_by_Sentiment!$B$2:$B$37,Phone_by_Sentiment!I$2:I$37,"",0,1),0),$A882-TEXT(DATEVALUE($D882&amp;"-01"), "dd-mm-yyyy")),0),0)</f>
        <v>5719</v>
      </c>
      <c r="J882" cm="1">
        <f t="array" ref="J882">IF($Q882&gt;=0,IFERROR(generateSalesData($D882, IF(ISNUMBER(_xlfn.XLOOKUP($C882,Phone_by_Sentiment!$B$2:$B$37,Phone_by_Sentiment!J$2:J$37,"",0,1)),_xlfn.XLOOKUP($C882,Phone_by_Sentiment!$B$2:$B$37,Phone_by_Sentiment!J$2:J$37,"",0,1),0),$A882-TEXT(DATEVALUE($D882&amp;"-01"), "dd-mm-yyyy")),0),0)</f>
        <v>1796</v>
      </c>
      <c r="K882" cm="1">
        <f t="array" ref="K882">IF($Q882&gt;=0,IFERROR(generateSalesData($D882, IF(ISNUMBER(_xlfn.XLOOKUP($C882,Phone_by_Sentiment!$B$2:$B$37,Phone_by_Sentiment!K$2:K$37,"",0,1)),_xlfn.XLOOKUP($C882,Phone_by_Sentiment!$B$2:$B$37,Phone_by_Sentiment!K$2:K$37,"",0,1),0),$A882-TEXT(DATEVALUE($D882&amp;"-01"), "dd-mm-yyyy")),0),0)</f>
        <v>2679</v>
      </c>
      <c r="L882" cm="1">
        <f t="array" ref="L882">IF($Q882&gt;=0,IFERROR(generateSalesData($D882, IF(ISNUMBER(_xlfn.XLOOKUP($C882,Phone_by_Sentiment!$B$2:$B$37,Phone_by_Sentiment!L$2:L$37,"",0,1)),_xlfn.XLOOKUP($C882,Phone_by_Sentiment!$B$2:$B$37,Phone_by_Sentiment!L$2:L$37,"",0,1),0),$A882-TEXT(DATEVALUE($D882&amp;"-01"), "dd-mm-yyyy")),0),0)</f>
        <v>4497</v>
      </c>
      <c r="M882" cm="1">
        <f t="array" ref="M882">IF($Q882&gt;=0,IFERROR(generateSalesData($D882, IF(ISNUMBER(_xlfn.XLOOKUP($C882,Phone_by_Sentiment!$B$2:$B$37,Phone_by_Sentiment!M$2:M$37,"",0,1)),_xlfn.XLOOKUP($C882,Phone_by_Sentiment!$B$2:$B$37,Phone_by_Sentiment!M$2:M$37,"",0,1),0),$A882-TEXT(DATEVALUE($D882&amp;"-01"), "dd-mm-yyyy")),0),0)</f>
        <v>12591</v>
      </c>
      <c r="N882" cm="1">
        <f t="array" ref="N882">IF($Q882&gt;=0,IFERROR(generateSalesData($D882, IF(ISNUMBER(_xlfn.XLOOKUP($C882,Phone_by_Sentiment!$B$2:$B$37,Phone_by_Sentiment!N$2:N$37,"",0,1)),_xlfn.XLOOKUP($C882,Phone_by_Sentiment!$B$2:$B$37,Phone_by_Sentiment!N$2:N$37,"",0,1),0),$A882-TEXT(DATEVALUE($D882&amp;"-01"), "dd-mm-yyyy")),0),0)</f>
        <v>3458</v>
      </c>
      <c r="O882" cm="1">
        <f t="array" ref="O882">IF($Q882&gt;=0,IFERROR(generateSalesData($D882, IF(ISNUMBER(_xlfn.XLOOKUP($C882,Phone_by_Sentiment!$B$2:$B$37,Phone_by_Sentiment!O$2:O$37,"",0,1)),_xlfn.XLOOKUP($C882,Phone_by_Sentiment!$B$2:$B$37,Phone_by_Sentiment!O$2:O$37,"",0,1),0),$A882-TEXT(DATEVALUE($D882&amp;"-01"), "dd-mm-yyyy")),0),0)</f>
        <v>1533</v>
      </c>
      <c r="P882" s="1">
        <f t="shared" si="34"/>
        <v>44228</v>
      </c>
      <c r="Q882">
        <f t="shared" si="35"/>
        <v>0</v>
      </c>
    </row>
    <row r="883" spans="1:17" x14ac:dyDescent="0.25">
      <c r="A883" s="1">
        <f t="shared" si="36"/>
        <v>44228</v>
      </c>
      <c r="B883" t="s">
        <v>164</v>
      </c>
      <c r="C883" t="str">
        <f>_xlfn.XLOOKUP(B883,Phone_by_Price!$A$2:$A$34,Phone_by_Price!$B$2:$B$34,"-",0,1)</f>
        <v>Vivo V20</v>
      </c>
      <c r="D883" t="str">
        <f>_xlfn.XLOOKUP(C883,Phone_by_Sentiment!$B$2:$B$37,Phone_by_Sentiment!$A$2:$A$37,"-",0,1)</f>
        <v>2020-10</v>
      </c>
      <c r="E883" cm="1">
        <f t="array" ref="E883">IF($Q883&gt;=0,IFERROR(generateSalesData($D883, IF(ISNUMBER(_xlfn.XLOOKUP($C883,Phone_by_Sentiment!$B$2:$B$37,Phone_by_Sentiment!E$2:E$37,"",0,1)),_xlfn.XLOOKUP($C883,Phone_by_Sentiment!$B$2:$B$37,Phone_by_Sentiment!E$2:E$37,"",0,1),0),$A883-TEXT(DATEVALUE($D883&amp;"-01"), "dd-mm-yyyy")),0),0)</f>
        <v>2108</v>
      </c>
      <c r="F883" cm="1">
        <f t="array" ref="F883">IF($Q883&gt;=0,IFERROR(generateSalesData($D883, IF(ISNUMBER(_xlfn.XLOOKUP($C883,Phone_by_Sentiment!$B$2:$B$37,Phone_by_Sentiment!F$2:F$37,"",0,1)),_xlfn.XLOOKUP($C883,Phone_by_Sentiment!$B$2:$B$37,Phone_by_Sentiment!F$2:F$37,"",0,1),0),$A883-TEXT(DATEVALUE($D883&amp;"-01"), "dd-mm-yyyy")),0),0)</f>
        <v>750</v>
      </c>
      <c r="G883" cm="1">
        <f t="array" ref="G883">IF($Q883&gt;=0,IFERROR(generateSalesData($D883, IF(ISNUMBER(_xlfn.XLOOKUP($C883,Phone_by_Sentiment!$B$2:$B$37,Phone_by_Sentiment!G$2:G$37,"",0,1)),_xlfn.XLOOKUP($C883,Phone_by_Sentiment!$B$2:$B$37,Phone_by_Sentiment!G$2:G$37,"",0,1),0),$A883-TEXT(DATEVALUE($D883&amp;"-01"), "dd-mm-yyyy")),0),0)</f>
        <v>475</v>
      </c>
      <c r="H883" cm="1">
        <f t="array" ref="H883">IF($Q883&gt;=0,IFERROR(generateSalesData($D883, IF(ISNUMBER(_xlfn.XLOOKUP($C883,Phone_by_Sentiment!$B$2:$B$37,Phone_by_Sentiment!H$2:H$37,"",0,1)),_xlfn.XLOOKUP($C883,Phone_by_Sentiment!$B$2:$B$37,Phone_by_Sentiment!H$2:H$37,"",0,1),0),$A883-TEXT(DATEVALUE($D883&amp;"-01"), "dd-mm-yyyy")),0),0)</f>
        <v>558</v>
      </c>
      <c r="I883" cm="1">
        <f t="array" ref="I883">IF($Q883&gt;=0,IFERROR(generateSalesData($D883, IF(ISNUMBER(_xlfn.XLOOKUP($C883,Phone_by_Sentiment!$B$2:$B$37,Phone_by_Sentiment!I$2:I$37,"",0,1)),_xlfn.XLOOKUP($C883,Phone_by_Sentiment!$B$2:$B$37,Phone_by_Sentiment!I$2:I$37,"",0,1),0),$A883-TEXT(DATEVALUE($D883&amp;"-01"), "dd-mm-yyyy")),0),0)</f>
        <v>778</v>
      </c>
      <c r="J883" cm="1">
        <f t="array" ref="J883">IF($Q883&gt;=0,IFERROR(generateSalesData($D883, IF(ISNUMBER(_xlfn.XLOOKUP($C883,Phone_by_Sentiment!$B$2:$B$37,Phone_by_Sentiment!J$2:J$37,"",0,1)),_xlfn.XLOOKUP($C883,Phone_by_Sentiment!$B$2:$B$37,Phone_by_Sentiment!J$2:J$37,"",0,1),0),$A883-TEXT(DATEVALUE($D883&amp;"-01"), "dd-mm-yyyy")),0),0)</f>
        <v>1002</v>
      </c>
      <c r="K883" cm="1">
        <f t="array" ref="K883">IF($Q883&gt;=0,IFERROR(generateSalesData($D883, IF(ISNUMBER(_xlfn.XLOOKUP($C883,Phone_by_Sentiment!$B$2:$B$37,Phone_by_Sentiment!K$2:K$37,"",0,1)),_xlfn.XLOOKUP($C883,Phone_by_Sentiment!$B$2:$B$37,Phone_by_Sentiment!K$2:K$37,"",0,1),0),$A883-TEXT(DATEVALUE($D883&amp;"-01"), "dd-mm-yyyy")),0),0)</f>
        <v>345</v>
      </c>
      <c r="L883" cm="1">
        <f t="array" ref="L883">IF($Q883&gt;=0,IFERROR(generateSalesData($D883, IF(ISNUMBER(_xlfn.XLOOKUP($C883,Phone_by_Sentiment!$B$2:$B$37,Phone_by_Sentiment!L$2:L$37,"",0,1)),_xlfn.XLOOKUP($C883,Phone_by_Sentiment!$B$2:$B$37,Phone_by_Sentiment!L$2:L$37,"",0,1),0),$A883-TEXT(DATEVALUE($D883&amp;"-01"), "dd-mm-yyyy")),0),0)</f>
        <v>690</v>
      </c>
      <c r="M883" cm="1">
        <f t="array" ref="M883">IF($Q883&gt;=0,IFERROR(generateSalesData($D883, IF(ISNUMBER(_xlfn.XLOOKUP($C883,Phone_by_Sentiment!$B$2:$B$37,Phone_by_Sentiment!M$2:M$37,"",0,1)),_xlfn.XLOOKUP($C883,Phone_by_Sentiment!$B$2:$B$37,Phone_by_Sentiment!M$2:M$37,"",0,1),0),$A883-TEXT(DATEVALUE($D883&amp;"-01"), "dd-mm-yyyy")),0),0)</f>
        <v>829</v>
      </c>
      <c r="N883" cm="1">
        <f t="array" ref="N883">IF($Q883&gt;=0,IFERROR(generateSalesData($D883, IF(ISNUMBER(_xlfn.XLOOKUP($C883,Phone_by_Sentiment!$B$2:$B$37,Phone_by_Sentiment!N$2:N$37,"",0,1)),_xlfn.XLOOKUP($C883,Phone_by_Sentiment!$B$2:$B$37,Phone_by_Sentiment!N$2:N$37,"",0,1),0),$A883-TEXT(DATEVALUE($D883&amp;"-01"), "dd-mm-yyyy")),0),0)</f>
        <v>410</v>
      </c>
      <c r="O883" cm="1">
        <f t="array" ref="O883">IF($Q883&gt;=0,IFERROR(generateSalesData($D883, IF(ISNUMBER(_xlfn.XLOOKUP($C883,Phone_by_Sentiment!$B$2:$B$37,Phone_by_Sentiment!O$2:O$37,"",0,1)),_xlfn.XLOOKUP($C883,Phone_by_Sentiment!$B$2:$B$37,Phone_by_Sentiment!O$2:O$37,"",0,1),0),$A883-TEXT(DATEVALUE($D883&amp;"-01"), "dd-mm-yyyy")),0),0)</f>
        <v>322</v>
      </c>
      <c r="P883" s="1">
        <f t="shared" si="34"/>
        <v>44105</v>
      </c>
      <c r="Q883">
        <f t="shared" si="35"/>
        <v>123</v>
      </c>
    </row>
    <row r="884" spans="1:17" x14ac:dyDescent="0.25">
      <c r="A884" s="1">
        <f t="shared" si="36"/>
        <v>44228</v>
      </c>
      <c r="B884" t="s">
        <v>165</v>
      </c>
      <c r="C884" t="str">
        <f>_xlfn.XLOOKUP(B884,Phone_by_Price!$A$2:$A$34,Phone_by_Price!$B$2:$B$34,"-",0,1)</f>
        <v>Samsung Galaxy A50</v>
      </c>
      <c r="D884" t="str">
        <f>_xlfn.XLOOKUP(C884,Phone_by_Sentiment!$B$2:$B$37,Phone_by_Sentiment!$A$2:$A$37,"-",0,1)</f>
        <v>2019-05</v>
      </c>
      <c r="E884" cm="1">
        <f t="array" ref="E884">IF($Q884&gt;=0,IFERROR(generateSalesData($D884, IF(ISNUMBER(_xlfn.XLOOKUP($C884,Phone_by_Sentiment!$B$2:$B$37,Phone_by_Sentiment!E$2:E$37,"",0,1)),_xlfn.XLOOKUP($C884,Phone_by_Sentiment!$B$2:$B$37,Phone_by_Sentiment!E$2:E$37,"",0,1),0),$A884-TEXT(DATEVALUE($D884&amp;"-01"), "dd-mm-yyyy")),0),0)</f>
        <v>175</v>
      </c>
      <c r="F884" cm="1">
        <f t="array" ref="F884">IF($Q884&gt;=0,IFERROR(generateSalesData($D884, IF(ISNUMBER(_xlfn.XLOOKUP($C884,Phone_by_Sentiment!$B$2:$B$37,Phone_by_Sentiment!F$2:F$37,"",0,1)),_xlfn.XLOOKUP($C884,Phone_by_Sentiment!$B$2:$B$37,Phone_by_Sentiment!F$2:F$37,"",0,1),0),$A884-TEXT(DATEVALUE($D884&amp;"-01"), "dd-mm-yyyy")),0),0)</f>
        <v>97</v>
      </c>
      <c r="G884" cm="1">
        <f t="array" ref="G884">IF($Q884&gt;=0,IFERROR(generateSalesData($D884, IF(ISNUMBER(_xlfn.XLOOKUP($C884,Phone_by_Sentiment!$B$2:$B$37,Phone_by_Sentiment!G$2:G$37,"",0,1)),_xlfn.XLOOKUP($C884,Phone_by_Sentiment!$B$2:$B$37,Phone_by_Sentiment!G$2:G$37,"",0,1),0),$A884-TEXT(DATEVALUE($D884&amp;"-01"), "dd-mm-yyyy")),0),0)</f>
        <v>63</v>
      </c>
      <c r="H884" cm="1">
        <f t="array" ref="H884">IF($Q884&gt;=0,IFERROR(generateSalesData($D884, IF(ISNUMBER(_xlfn.XLOOKUP($C884,Phone_by_Sentiment!$B$2:$B$37,Phone_by_Sentiment!H$2:H$37,"",0,1)),_xlfn.XLOOKUP($C884,Phone_by_Sentiment!$B$2:$B$37,Phone_by_Sentiment!H$2:H$37,"",0,1),0),$A884-TEXT(DATEVALUE($D884&amp;"-01"), "dd-mm-yyyy")),0),0)</f>
        <v>230</v>
      </c>
      <c r="I884" cm="1">
        <f t="array" ref="I884">IF($Q884&gt;=0,IFERROR(generateSalesData($D884, IF(ISNUMBER(_xlfn.XLOOKUP($C884,Phone_by_Sentiment!$B$2:$B$37,Phone_by_Sentiment!I$2:I$37,"",0,1)),_xlfn.XLOOKUP($C884,Phone_by_Sentiment!$B$2:$B$37,Phone_by_Sentiment!I$2:I$37,"",0,1),0),$A884-TEXT(DATEVALUE($D884&amp;"-01"), "dd-mm-yyyy")),0),0)</f>
        <v>263</v>
      </c>
      <c r="J884" cm="1">
        <f t="array" ref="J884">IF($Q884&gt;=0,IFERROR(generateSalesData($D884, IF(ISNUMBER(_xlfn.XLOOKUP($C884,Phone_by_Sentiment!$B$2:$B$37,Phone_by_Sentiment!J$2:J$37,"",0,1)),_xlfn.XLOOKUP($C884,Phone_by_Sentiment!$B$2:$B$37,Phone_by_Sentiment!J$2:J$37,"",0,1),0),$A884-TEXT(DATEVALUE($D884&amp;"-01"), "dd-mm-yyyy")),0),0)</f>
        <v>71</v>
      </c>
      <c r="K884" cm="1">
        <f t="array" ref="K884">IF($Q884&gt;=0,IFERROR(generateSalesData($D884, IF(ISNUMBER(_xlfn.XLOOKUP($C884,Phone_by_Sentiment!$B$2:$B$37,Phone_by_Sentiment!K$2:K$37,"",0,1)),_xlfn.XLOOKUP($C884,Phone_by_Sentiment!$B$2:$B$37,Phone_by_Sentiment!K$2:K$37,"",0,1),0),$A884-TEXT(DATEVALUE($D884&amp;"-01"), "dd-mm-yyyy")),0),0)</f>
        <v>104</v>
      </c>
      <c r="L884" cm="1">
        <f t="array" ref="L884">IF($Q884&gt;=0,IFERROR(generateSalesData($D884, IF(ISNUMBER(_xlfn.XLOOKUP($C884,Phone_by_Sentiment!$B$2:$B$37,Phone_by_Sentiment!L$2:L$37,"",0,1)),_xlfn.XLOOKUP($C884,Phone_by_Sentiment!$B$2:$B$37,Phone_by_Sentiment!L$2:L$37,"",0,1),0),$A884-TEXT(DATEVALUE($D884&amp;"-01"), "dd-mm-yyyy")),0),0)</f>
        <v>354</v>
      </c>
      <c r="M884" cm="1">
        <f t="array" ref="M884">IF($Q884&gt;=0,IFERROR(generateSalesData($D884, IF(ISNUMBER(_xlfn.XLOOKUP($C884,Phone_by_Sentiment!$B$2:$B$37,Phone_by_Sentiment!M$2:M$37,"",0,1)),_xlfn.XLOOKUP($C884,Phone_by_Sentiment!$B$2:$B$37,Phone_by_Sentiment!M$2:M$37,"",0,1),0),$A884-TEXT(DATEVALUE($D884&amp;"-01"), "dd-mm-yyyy")),0),0)</f>
        <v>35</v>
      </c>
      <c r="N884" cm="1">
        <f t="array" ref="N884">IF($Q884&gt;=0,IFERROR(generateSalesData($D884, IF(ISNUMBER(_xlfn.XLOOKUP($C884,Phone_by_Sentiment!$B$2:$B$37,Phone_by_Sentiment!N$2:N$37,"",0,1)),_xlfn.XLOOKUP($C884,Phone_by_Sentiment!$B$2:$B$37,Phone_by_Sentiment!N$2:N$37,"",0,1),0),$A884-TEXT(DATEVALUE($D884&amp;"-01"), "dd-mm-yyyy")),0),0)</f>
        <v>111</v>
      </c>
      <c r="O884" cm="1">
        <f t="array" ref="O884">IF($Q884&gt;=0,IFERROR(generateSalesData($D884, IF(ISNUMBER(_xlfn.XLOOKUP($C884,Phone_by_Sentiment!$B$2:$B$37,Phone_by_Sentiment!O$2:O$37,"",0,1)),_xlfn.XLOOKUP($C884,Phone_by_Sentiment!$B$2:$B$37,Phone_by_Sentiment!O$2:O$37,"",0,1),0),$A884-TEXT(DATEVALUE($D884&amp;"-01"), "dd-mm-yyyy")),0),0)</f>
        <v>232</v>
      </c>
      <c r="P884" s="1">
        <f t="shared" si="34"/>
        <v>43586</v>
      </c>
      <c r="Q884">
        <f t="shared" si="35"/>
        <v>642</v>
      </c>
    </row>
    <row r="885" spans="1:17" x14ac:dyDescent="0.25">
      <c r="A885" s="1">
        <f t="shared" si="36"/>
        <v>44228</v>
      </c>
      <c r="B885" t="s">
        <v>166</v>
      </c>
      <c r="C885" t="str">
        <f>_xlfn.XLOOKUP(B885,Phone_by_Price!$A$2:$A$34,Phone_by_Price!$B$2:$B$34,"-",0,1)</f>
        <v>Xiaomi Redmi Note 7</v>
      </c>
      <c r="D885" t="str">
        <f>_xlfn.XLOOKUP(C885,Phone_by_Sentiment!$B$2:$B$37,Phone_by_Sentiment!$A$2:$A$37,"-",0,1)</f>
        <v>2019-08</v>
      </c>
      <c r="E885" cm="1">
        <f t="array" ref="E885">IF($Q885&gt;=0,IFERROR(generateSalesData($D885, IF(ISNUMBER(_xlfn.XLOOKUP($C885,Phone_by_Sentiment!$B$2:$B$37,Phone_by_Sentiment!E$2:E$37,"",0,1)),_xlfn.XLOOKUP($C885,Phone_by_Sentiment!$B$2:$B$37,Phone_by_Sentiment!E$2:E$37,"",0,1),0),$A885-TEXT(DATEVALUE($D885&amp;"-01"), "dd-mm-yyyy")),0),0)</f>
        <v>115</v>
      </c>
      <c r="F885" cm="1">
        <f t="array" ref="F885">IF($Q885&gt;=0,IFERROR(generateSalesData($D885, IF(ISNUMBER(_xlfn.XLOOKUP($C885,Phone_by_Sentiment!$B$2:$B$37,Phone_by_Sentiment!F$2:F$37,"",0,1)),_xlfn.XLOOKUP($C885,Phone_by_Sentiment!$B$2:$B$37,Phone_by_Sentiment!F$2:F$37,"",0,1),0),$A885-TEXT(DATEVALUE($D885&amp;"-01"), "dd-mm-yyyy")),0),0)</f>
        <v>85</v>
      </c>
      <c r="G885" cm="1">
        <f t="array" ref="G885">IF($Q885&gt;=0,IFERROR(generateSalesData($D885, IF(ISNUMBER(_xlfn.XLOOKUP($C885,Phone_by_Sentiment!$B$2:$B$37,Phone_by_Sentiment!G$2:G$37,"",0,1)),_xlfn.XLOOKUP($C885,Phone_by_Sentiment!$B$2:$B$37,Phone_by_Sentiment!G$2:G$37,"",0,1),0),$A885-TEXT(DATEVALUE($D885&amp;"-01"), "dd-mm-yyyy")),0),0)</f>
        <v>64</v>
      </c>
      <c r="H885" cm="1">
        <f t="array" ref="H885">IF($Q885&gt;=0,IFERROR(generateSalesData($D885, IF(ISNUMBER(_xlfn.XLOOKUP($C885,Phone_by_Sentiment!$B$2:$B$37,Phone_by_Sentiment!H$2:H$37,"",0,1)),_xlfn.XLOOKUP($C885,Phone_by_Sentiment!$B$2:$B$37,Phone_by_Sentiment!H$2:H$37,"",0,1),0),$A885-TEXT(DATEVALUE($D885&amp;"-01"), "dd-mm-yyyy")),0),0)</f>
        <v>588</v>
      </c>
      <c r="I885" cm="1">
        <f t="array" ref="I885">IF($Q885&gt;=0,IFERROR(generateSalesData($D885, IF(ISNUMBER(_xlfn.XLOOKUP($C885,Phone_by_Sentiment!$B$2:$B$37,Phone_by_Sentiment!I$2:I$37,"",0,1)),_xlfn.XLOOKUP($C885,Phone_by_Sentiment!$B$2:$B$37,Phone_by_Sentiment!I$2:I$37,"",0,1),0),$A885-TEXT(DATEVALUE($D885&amp;"-01"), "dd-mm-yyyy")),0),0)</f>
        <v>179</v>
      </c>
      <c r="J885" cm="1">
        <f t="array" ref="J885">IF($Q885&gt;=0,IFERROR(generateSalesData($D885, IF(ISNUMBER(_xlfn.XLOOKUP($C885,Phone_by_Sentiment!$B$2:$B$37,Phone_by_Sentiment!J$2:J$37,"",0,1)),_xlfn.XLOOKUP($C885,Phone_by_Sentiment!$B$2:$B$37,Phone_by_Sentiment!J$2:J$37,"",0,1),0),$A885-TEXT(DATEVALUE($D885&amp;"-01"), "dd-mm-yyyy")),0),0)</f>
        <v>87</v>
      </c>
      <c r="K885" cm="1">
        <f t="array" ref="K885">IF($Q885&gt;=0,IFERROR(generateSalesData($D885, IF(ISNUMBER(_xlfn.XLOOKUP($C885,Phone_by_Sentiment!$B$2:$B$37,Phone_by_Sentiment!K$2:K$37,"",0,1)),_xlfn.XLOOKUP($C885,Phone_by_Sentiment!$B$2:$B$37,Phone_by_Sentiment!K$2:K$37,"",0,1),0),$A885-TEXT(DATEVALUE($D885&amp;"-01"), "dd-mm-yyyy")),0),0)</f>
        <v>108</v>
      </c>
      <c r="L885" cm="1">
        <f t="array" ref="L885">IF($Q885&gt;=0,IFERROR(generateSalesData($D885, IF(ISNUMBER(_xlfn.XLOOKUP($C885,Phone_by_Sentiment!$B$2:$B$37,Phone_by_Sentiment!L$2:L$37,"",0,1)),_xlfn.XLOOKUP($C885,Phone_by_Sentiment!$B$2:$B$37,Phone_by_Sentiment!L$2:L$37,"",0,1),0),$A885-TEXT(DATEVALUE($D885&amp;"-01"), "dd-mm-yyyy")),0),0)</f>
        <v>34</v>
      </c>
      <c r="M885" cm="1">
        <f t="array" ref="M885">IF($Q885&gt;=0,IFERROR(generateSalesData($D885, IF(ISNUMBER(_xlfn.XLOOKUP($C885,Phone_by_Sentiment!$B$2:$B$37,Phone_by_Sentiment!M$2:M$37,"",0,1)),_xlfn.XLOOKUP($C885,Phone_by_Sentiment!$B$2:$B$37,Phone_by_Sentiment!M$2:M$37,"",0,1),0),$A885-TEXT(DATEVALUE($D885&amp;"-01"), "dd-mm-yyyy")),0),0)</f>
        <v>416</v>
      </c>
      <c r="N885" cm="1">
        <f t="array" ref="N885">IF($Q885&gt;=0,IFERROR(generateSalesData($D885, IF(ISNUMBER(_xlfn.XLOOKUP($C885,Phone_by_Sentiment!$B$2:$B$37,Phone_by_Sentiment!N$2:N$37,"",0,1)),_xlfn.XLOOKUP($C885,Phone_by_Sentiment!$B$2:$B$37,Phone_by_Sentiment!N$2:N$37,"",0,1),0),$A885-TEXT(DATEVALUE($D885&amp;"-01"), "dd-mm-yyyy")),0),0)</f>
        <v>70</v>
      </c>
      <c r="O885" cm="1">
        <f t="array" ref="O885">IF($Q885&gt;=0,IFERROR(generateSalesData($D885, IF(ISNUMBER(_xlfn.XLOOKUP($C885,Phone_by_Sentiment!$B$2:$B$37,Phone_by_Sentiment!O$2:O$37,"",0,1)),_xlfn.XLOOKUP($C885,Phone_by_Sentiment!$B$2:$B$37,Phone_by_Sentiment!O$2:O$37,"",0,1),0),$A885-TEXT(DATEVALUE($D885&amp;"-01"), "dd-mm-yyyy")),0),0)</f>
        <v>512</v>
      </c>
      <c r="P885" s="1">
        <f t="shared" si="34"/>
        <v>43678</v>
      </c>
      <c r="Q885">
        <f t="shared" si="35"/>
        <v>550</v>
      </c>
    </row>
    <row r="886" spans="1:17" x14ac:dyDescent="0.25">
      <c r="A886" s="1">
        <f t="shared" si="36"/>
        <v>44228</v>
      </c>
      <c r="B886" t="s">
        <v>167</v>
      </c>
      <c r="C886" t="str">
        <f>_xlfn.XLOOKUP(B886,Phone_by_Price!$A$2:$A$34,Phone_by_Price!$B$2:$B$34,"-",0,1)</f>
        <v>Realme C21</v>
      </c>
      <c r="D886" t="str">
        <f>_xlfn.XLOOKUP(C886,Phone_by_Sentiment!$B$2:$B$37,Phone_by_Sentiment!$A$2:$A$37,"-",0,1)</f>
        <v>2021-04</v>
      </c>
      <c r="E886" cm="1">
        <f t="array" ref="E886">IF($Q886&gt;=0,IFERROR(generateSalesData($D886, IF(ISNUMBER(_xlfn.XLOOKUP($C886,Phone_by_Sentiment!$B$2:$B$37,Phone_by_Sentiment!E$2:E$37,"",0,1)),_xlfn.XLOOKUP($C886,Phone_by_Sentiment!$B$2:$B$37,Phone_by_Sentiment!E$2:E$37,"",0,1),0),$A886-TEXT(DATEVALUE($D886&amp;"-01"), "dd-mm-yyyy")),0),0)</f>
        <v>0</v>
      </c>
      <c r="F886" cm="1">
        <f t="array" ref="F886">IF($Q886&gt;=0,IFERROR(generateSalesData($D886, IF(ISNUMBER(_xlfn.XLOOKUP($C886,Phone_by_Sentiment!$B$2:$B$37,Phone_by_Sentiment!F$2:F$37,"",0,1)),_xlfn.XLOOKUP($C886,Phone_by_Sentiment!$B$2:$B$37,Phone_by_Sentiment!F$2:F$37,"",0,1),0),$A886-TEXT(DATEVALUE($D886&amp;"-01"), "dd-mm-yyyy")),0),0)</f>
        <v>0</v>
      </c>
      <c r="G886" cm="1">
        <f t="array" ref="G886">IF($Q886&gt;=0,IFERROR(generateSalesData($D886, IF(ISNUMBER(_xlfn.XLOOKUP($C886,Phone_by_Sentiment!$B$2:$B$37,Phone_by_Sentiment!G$2:G$37,"",0,1)),_xlfn.XLOOKUP($C886,Phone_by_Sentiment!$B$2:$B$37,Phone_by_Sentiment!G$2:G$37,"",0,1),0),$A886-TEXT(DATEVALUE($D886&amp;"-01"), "dd-mm-yyyy")),0),0)</f>
        <v>0</v>
      </c>
      <c r="H886" cm="1">
        <f t="array" ref="H886">IF($Q886&gt;=0,IFERROR(generateSalesData($D886, IF(ISNUMBER(_xlfn.XLOOKUP($C886,Phone_by_Sentiment!$B$2:$B$37,Phone_by_Sentiment!H$2:H$37,"",0,1)),_xlfn.XLOOKUP($C886,Phone_by_Sentiment!$B$2:$B$37,Phone_by_Sentiment!H$2:H$37,"",0,1),0),$A886-TEXT(DATEVALUE($D886&amp;"-01"), "dd-mm-yyyy")),0),0)</f>
        <v>0</v>
      </c>
      <c r="I886" cm="1">
        <f t="array" ref="I886">IF($Q886&gt;=0,IFERROR(generateSalesData($D886, IF(ISNUMBER(_xlfn.XLOOKUP($C886,Phone_by_Sentiment!$B$2:$B$37,Phone_by_Sentiment!I$2:I$37,"",0,1)),_xlfn.XLOOKUP($C886,Phone_by_Sentiment!$B$2:$B$37,Phone_by_Sentiment!I$2:I$37,"",0,1),0),$A886-TEXT(DATEVALUE($D886&amp;"-01"), "dd-mm-yyyy")),0),0)</f>
        <v>0</v>
      </c>
      <c r="J886" cm="1">
        <f t="array" ref="J886">IF($Q886&gt;=0,IFERROR(generateSalesData($D886, IF(ISNUMBER(_xlfn.XLOOKUP($C886,Phone_by_Sentiment!$B$2:$B$37,Phone_by_Sentiment!J$2:J$37,"",0,1)),_xlfn.XLOOKUP($C886,Phone_by_Sentiment!$B$2:$B$37,Phone_by_Sentiment!J$2:J$37,"",0,1),0),$A886-TEXT(DATEVALUE($D886&amp;"-01"), "dd-mm-yyyy")),0),0)</f>
        <v>0</v>
      </c>
      <c r="K886" cm="1">
        <f t="array" ref="K886">IF($Q886&gt;=0,IFERROR(generateSalesData($D886, IF(ISNUMBER(_xlfn.XLOOKUP($C886,Phone_by_Sentiment!$B$2:$B$37,Phone_by_Sentiment!K$2:K$37,"",0,1)),_xlfn.XLOOKUP($C886,Phone_by_Sentiment!$B$2:$B$37,Phone_by_Sentiment!K$2:K$37,"",0,1),0),$A886-TEXT(DATEVALUE($D886&amp;"-01"), "dd-mm-yyyy")),0),0)</f>
        <v>0</v>
      </c>
      <c r="L886" cm="1">
        <f t="array" ref="L886">IF($Q886&gt;=0,IFERROR(generateSalesData($D886, IF(ISNUMBER(_xlfn.XLOOKUP($C886,Phone_by_Sentiment!$B$2:$B$37,Phone_by_Sentiment!L$2:L$37,"",0,1)),_xlfn.XLOOKUP($C886,Phone_by_Sentiment!$B$2:$B$37,Phone_by_Sentiment!L$2:L$37,"",0,1),0),$A886-TEXT(DATEVALUE($D886&amp;"-01"), "dd-mm-yyyy")),0),0)</f>
        <v>0</v>
      </c>
      <c r="M886" cm="1">
        <f t="array" ref="M886">IF($Q886&gt;=0,IFERROR(generateSalesData($D886, IF(ISNUMBER(_xlfn.XLOOKUP($C886,Phone_by_Sentiment!$B$2:$B$37,Phone_by_Sentiment!M$2:M$37,"",0,1)),_xlfn.XLOOKUP($C886,Phone_by_Sentiment!$B$2:$B$37,Phone_by_Sentiment!M$2:M$37,"",0,1),0),$A886-TEXT(DATEVALUE($D886&amp;"-01"), "dd-mm-yyyy")),0),0)</f>
        <v>0</v>
      </c>
      <c r="N886" cm="1">
        <f t="array" ref="N886">IF($Q886&gt;=0,IFERROR(generateSalesData($D886, IF(ISNUMBER(_xlfn.XLOOKUP($C886,Phone_by_Sentiment!$B$2:$B$37,Phone_by_Sentiment!N$2:N$37,"",0,1)),_xlfn.XLOOKUP($C886,Phone_by_Sentiment!$B$2:$B$37,Phone_by_Sentiment!N$2:N$37,"",0,1),0),$A886-TEXT(DATEVALUE($D886&amp;"-01"), "dd-mm-yyyy")),0),0)</f>
        <v>0</v>
      </c>
      <c r="O886" cm="1">
        <f t="array" ref="O886">IF($Q886&gt;=0,IFERROR(generateSalesData($D886, IF(ISNUMBER(_xlfn.XLOOKUP($C886,Phone_by_Sentiment!$B$2:$B$37,Phone_by_Sentiment!O$2:O$37,"",0,1)),_xlfn.XLOOKUP($C886,Phone_by_Sentiment!$B$2:$B$37,Phone_by_Sentiment!O$2:O$37,"",0,1),0),$A886-TEXT(DATEVALUE($D886&amp;"-01"), "dd-mm-yyyy")),0),0)</f>
        <v>0</v>
      </c>
      <c r="P886" s="1">
        <f t="shared" si="34"/>
        <v>44287</v>
      </c>
      <c r="Q886">
        <f t="shared" si="35"/>
        <v>-59</v>
      </c>
    </row>
    <row r="887" spans="1:17" x14ac:dyDescent="0.25">
      <c r="A887" s="1">
        <f t="shared" si="36"/>
        <v>44228</v>
      </c>
      <c r="B887" t="s">
        <v>168</v>
      </c>
      <c r="C887" t="str">
        <f>_xlfn.XLOOKUP(B887,Phone_by_Price!$A$2:$A$34,Phone_by_Price!$B$2:$B$34,"-",0,1)</f>
        <v>Google Pixel 4</v>
      </c>
      <c r="D887" t="str">
        <f>_xlfn.XLOOKUP(C887,Phone_by_Sentiment!$B$2:$B$37,Phone_by_Sentiment!$A$2:$A$37,"-",0,1)</f>
        <v>2019-09</v>
      </c>
      <c r="E887" cm="1">
        <f t="array" ref="E887">IF($Q887&gt;=0,IFERROR(generateSalesData($D887, IF(ISNUMBER(_xlfn.XLOOKUP($C887,Phone_by_Sentiment!$B$2:$B$37,Phone_by_Sentiment!E$2:E$37,"",0,1)),_xlfn.XLOOKUP($C887,Phone_by_Sentiment!$B$2:$B$37,Phone_by_Sentiment!E$2:E$37,"",0,1),0),$A887-TEXT(DATEVALUE($D887&amp;"-01"), "dd-mm-yyyy")),0),0)</f>
        <v>107</v>
      </c>
      <c r="F887" cm="1">
        <f t="array" ref="F887">IF($Q887&gt;=0,IFERROR(generateSalesData($D887, IF(ISNUMBER(_xlfn.XLOOKUP($C887,Phone_by_Sentiment!$B$2:$B$37,Phone_by_Sentiment!F$2:F$37,"",0,1)),_xlfn.XLOOKUP($C887,Phone_by_Sentiment!$B$2:$B$37,Phone_by_Sentiment!F$2:F$37,"",0,1),0),$A887-TEXT(DATEVALUE($D887&amp;"-01"), "dd-mm-yyyy")),0),0)</f>
        <v>45</v>
      </c>
      <c r="G887" cm="1">
        <f t="array" ref="G887">IF($Q887&gt;=0,IFERROR(generateSalesData($D887, IF(ISNUMBER(_xlfn.XLOOKUP($C887,Phone_by_Sentiment!$B$2:$B$37,Phone_by_Sentiment!G$2:G$37,"",0,1)),_xlfn.XLOOKUP($C887,Phone_by_Sentiment!$B$2:$B$37,Phone_by_Sentiment!G$2:G$37,"",0,1),0),$A887-TEXT(DATEVALUE($D887&amp;"-01"), "dd-mm-yyyy")),0),0)</f>
        <v>142</v>
      </c>
      <c r="H887" cm="1">
        <f t="array" ref="H887">IF($Q887&gt;=0,IFERROR(generateSalesData($D887, IF(ISNUMBER(_xlfn.XLOOKUP($C887,Phone_by_Sentiment!$B$2:$B$37,Phone_by_Sentiment!H$2:H$37,"",0,1)),_xlfn.XLOOKUP($C887,Phone_by_Sentiment!$B$2:$B$37,Phone_by_Sentiment!H$2:H$37,"",0,1),0),$A887-TEXT(DATEVALUE($D887&amp;"-01"), "dd-mm-yyyy")),0),0)</f>
        <v>248</v>
      </c>
      <c r="I887" cm="1">
        <f t="array" ref="I887">IF($Q887&gt;=0,IFERROR(generateSalesData($D887, IF(ISNUMBER(_xlfn.XLOOKUP($C887,Phone_by_Sentiment!$B$2:$B$37,Phone_by_Sentiment!I$2:I$37,"",0,1)),_xlfn.XLOOKUP($C887,Phone_by_Sentiment!$B$2:$B$37,Phone_by_Sentiment!I$2:I$37,"",0,1),0),$A887-TEXT(DATEVALUE($D887&amp;"-01"), "dd-mm-yyyy")),0),0)</f>
        <v>215</v>
      </c>
      <c r="J887" cm="1">
        <f t="array" ref="J887">IF($Q887&gt;=0,IFERROR(generateSalesData($D887, IF(ISNUMBER(_xlfn.XLOOKUP($C887,Phone_by_Sentiment!$B$2:$B$37,Phone_by_Sentiment!J$2:J$37,"",0,1)),_xlfn.XLOOKUP($C887,Phone_by_Sentiment!$B$2:$B$37,Phone_by_Sentiment!J$2:J$37,"",0,1),0),$A887-TEXT(DATEVALUE($D887&amp;"-01"), "dd-mm-yyyy")),0),0)</f>
        <v>51</v>
      </c>
      <c r="K887" cm="1">
        <f t="array" ref="K887">IF($Q887&gt;=0,IFERROR(generateSalesData($D887, IF(ISNUMBER(_xlfn.XLOOKUP($C887,Phone_by_Sentiment!$B$2:$B$37,Phone_by_Sentiment!K$2:K$37,"",0,1)),_xlfn.XLOOKUP($C887,Phone_by_Sentiment!$B$2:$B$37,Phone_by_Sentiment!K$2:K$37,"",0,1),0),$A887-TEXT(DATEVALUE($D887&amp;"-01"), "dd-mm-yyyy")),0),0)</f>
        <v>171</v>
      </c>
      <c r="L887" cm="1">
        <f t="array" ref="L887">IF($Q887&gt;=0,IFERROR(generateSalesData($D887, IF(ISNUMBER(_xlfn.XLOOKUP($C887,Phone_by_Sentiment!$B$2:$B$37,Phone_by_Sentiment!L$2:L$37,"",0,1)),_xlfn.XLOOKUP($C887,Phone_by_Sentiment!$B$2:$B$37,Phone_by_Sentiment!L$2:L$37,"",0,1),0),$A887-TEXT(DATEVALUE($D887&amp;"-01"), "dd-mm-yyyy")),0),0)</f>
        <v>374</v>
      </c>
      <c r="M887" cm="1">
        <f t="array" ref="M887">IF($Q887&gt;=0,IFERROR(generateSalesData($D887, IF(ISNUMBER(_xlfn.XLOOKUP($C887,Phone_by_Sentiment!$B$2:$B$37,Phone_by_Sentiment!M$2:M$37,"",0,1)),_xlfn.XLOOKUP($C887,Phone_by_Sentiment!$B$2:$B$37,Phone_by_Sentiment!M$2:M$37,"",0,1),0),$A887-TEXT(DATEVALUE($D887&amp;"-01"), "dd-mm-yyyy")),0),0)</f>
        <v>107</v>
      </c>
      <c r="N887" cm="1">
        <f t="array" ref="N887">IF($Q887&gt;=0,IFERROR(generateSalesData($D887, IF(ISNUMBER(_xlfn.XLOOKUP($C887,Phone_by_Sentiment!$B$2:$B$37,Phone_by_Sentiment!N$2:N$37,"",0,1)),_xlfn.XLOOKUP($C887,Phone_by_Sentiment!$B$2:$B$37,Phone_by_Sentiment!N$2:N$37,"",0,1),0),$A887-TEXT(DATEVALUE($D887&amp;"-01"), "dd-mm-yyyy")),0),0)</f>
        <v>511</v>
      </c>
      <c r="O887" cm="1">
        <f t="array" ref="O887">IF($Q887&gt;=0,IFERROR(generateSalesData($D887, IF(ISNUMBER(_xlfn.XLOOKUP($C887,Phone_by_Sentiment!$B$2:$B$37,Phone_by_Sentiment!O$2:O$37,"",0,1)),_xlfn.XLOOKUP($C887,Phone_by_Sentiment!$B$2:$B$37,Phone_by_Sentiment!O$2:O$37,"",0,1),0),$A887-TEXT(DATEVALUE($D887&amp;"-01"), "dd-mm-yyyy")),0),0)</f>
        <v>59</v>
      </c>
      <c r="P887" s="1">
        <f t="shared" si="34"/>
        <v>43709</v>
      </c>
      <c r="Q887">
        <f t="shared" si="35"/>
        <v>519</v>
      </c>
    </row>
    <row r="888" spans="1:17" x14ac:dyDescent="0.25">
      <c r="A888" s="1">
        <f t="shared" si="36"/>
        <v>44228</v>
      </c>
      <c r="B888" t="s">
        <v>169</v>
      </c>
      <c r="C888" t="str">
        <f>_xlfn.XLOOKUP(B888,Phone_by_Price!$A$2:$A$34,Phone_by_Price!$B$2:$B$34,"-",0,1)</f>
        <v>Samsung Galaxy A10s</v>
      </c>
      <c r="D888" t="str">
        <f>_xlfn.XLOOKUP(C888,Phone_by_Sentiment!$B$2:$B$37,Phone_by_Sentiment!$A$2:$A$37,"-",0,1)</f>
        <v>2019-08</v>
      </c>
      <c r="E888" cm="1">
        <f t="array" ref="E888">IF($Q888&gt;=0,IFERROR(generateSalesData($D888, IF(ISNUMBER(_xlfn.XLOOKUP($C888,Phone_by_Sentiment!$B$2:$B$37,Phone_by_Sentiment!E$2:E$37,"",0,1)),_xlfn.XLOOKUP($C888,Phone_by_Sentiment!$B$2:$B$37,Phone_by_Sentiment!E$2:E$37,"",0,1),0),$A888-TEXT(DATEVALUE($D888&amp;"-01"), "dd-mm-yyyy")),0),0)</f>
        <v>29</v>
      </c>
      <c r="F888" cm="1">
        <f t="array" ref="F888">IF($Q888&gt;=0,IFERROR(generateSalesData($D888, IF(ISNUMBER(_xlfn.XLOOKUP($C888,Phone_by_Sentiment!$B$2:$B$37,Phone_by_Sentiment!F$2:F$37,"",0,1)),_xlfn.XLOOKUP($C888,Phone_by_Sentiment!$B$2:$B$37,Phone_by_Sentiment!F$2:F$37,"",0,1),0),$A888-TEXT(DATEVALUE($D888&amp;"-01"), "dd-mm-yyyy")),0),0)</f>
        <v>156</v>
      </c>
      <c r="G888" cm="1">
        <f t="array" ref="G888">IF($Q888&gt;=0,IFERROR(generateSalesData($D888, IF(ISNUMBER(_xlfn.XLOOKUP($C888,Phone_by_Sentiment!$B$2:$B$37,Phone_by_Sentiment!G$2:G$37,"",0,1)),_xlfn.XLOOKUP($C888,Phone_by_Sentiment!$B$2:$B$37,Phone_by_Sentiment!G$2:G$37,"",0,1),0),$A888-TEXT(DATEVALUE($D888&amp;"-01"), "dd-mm-yyyy")),0),0)</f>
        <v>145</v>
      </c>
      <c r="H888" cm="1">
        <f t="array" ref="H888">IF($Q888&gt;=0,IFERROR(generateSalesData($D888, IF(ISNUMBER(_xlfn.XLOOKUP($C888,Phone_by_Sentiment!$B$2:$B$37,Phone_by_Sentiment!H$2:H$37,"",0,1)),_xlfn.XLOOKUP($C888,Phone_by_Sentiment!$B$2:$B$37,Phone_by_Sentiment!H$2:H$37,"",0,1),0),$A888-TEXT(DATEVALUE($D888&amp;"-01"), "dd-mm-yyyy")),0),0)</f>
        <v>527</v>
      </c>
      <c r="I888" cm="1">
        <f t="array" ref="I888">IF($Q888&gt;=0,IFERROR(generateSalesData($D888, IF(ISNUMBER(_xlfn.XLOOKUP($C888,Phone_by_Sentiment!$B$2:$B$37,Phone_by_Sentiment!I$2:I$37,"",0,1)),_xlfn.XLOOKUP($C888,Phone_by_Sentiment!$B$2:$B$37,Phone_by_Sentiment!I$2:I$37,"",0,1),0),$A888-TEXT(DATEVALUE($D888&amp;"-01"), "dd-mm-yyyy")),0),0)</f>
        <v>15</v>
      </c>
      <c r="J888" cm="1">
        <f t="array" ref="J888">IF($Q888&gt;=0,IFERROR(generateSalesData($D888, IF(ISNUMBER(_xlfn.XLOOKUP($C888,Phone_by_Sentiment!$B$2:$B$37,Phone_by_Sentiment!J$2:J$37,"",0,1)),_xlfn.XLOOKUP($C888,Phone_by_Sentiment!$B$2:$B$37,Phone_by_Sentiment!J$2:J$37,"",0,1),0),$A888-TEXT(DATEVALUE($D888&amp;"-01"), "dd-mm-yyyy")),0),0)</f>
        <v>311</v>
      </c>
      <c r="K888" cm="1">
        <f t="array" ref="K888">IF($Q888&gt;=0,IFERROR(generateSalesData($D888, IF(ISNUMBER(_xlfn.XLOOKUP($C888,Phone_by_Sentiment!$B$2:$B$37,Phone_by_Sentiment!K$2:K$37,"",0,1)),_xlfn.XLOOKUP($C888,Phone_by_Sentiment!$B$2:$B$37,Phone_by_Sentiment!K$2:K$37,"",0,1),0),$A888-TEXT(DATEVALUE($D888&amp;"-01"), "dd-mm-yyyy")),0),0)</f>
        <v>129</v>
      </c>
      <c r="L888" cm="1">
        <f t="array" ref="L888">IF($Q888&gt;=0,IFERROR(generateSalesData($D888, IF(ISNUMBER(_xlfn.XLOOKUP($C888,Phone_by_Sentiment!$B$2:$B$37,Phone_by_Sentiment!L$2:L$37,"",0,1)),_xlfn.XLOOKUP($C888,Phone_by_Sentiment!$B$2:$B$37,Phone_by_Sentiment!L$2:L$37,"",0,1),0),$A888-TEXT(DATEVALUE($D888&amp;"-01"), "dd-mm-yyyy")),0),0)</f>
        <v>89</v>
      </c>
      <c r="M888" cm="1">
        <f t="array" ref="M888">IF($Q888&gt;=0,IFERROR(generateSalesData($D888, IF(ISNUMBER(_xlfn.XLOOKUP($C888,Phone_by_Sentiment!$B$2:$B$37,Phone_by_Sentiment!M$2:M$37,"",0,1)),_xlfn.XLOOKUP($C888,Phone_by_Sentiment!$B$2:$B$37,Phone_by_Sentiment!M$2:M$37,"",0,1),0),$A888-TEXT(DATEVALUE($D888&amp;"-01"), "dd-mm-yyyy")),0),0)</f>
        <v>400</v>
      </c>
      <c r="N888" cm="1">
        <f t="array" ref="N888">IF($Q888&gt;=0,IFERROR(generateSalesData($D888, IF(ISNUMBER(_xlfn.XLOOKUP($C888,Phone_by_Sentiment!$B$2:$B$37,Phone_by_Sentiment!N$2:N$37,"",0,1)),_xlfn.XLOOKUP($C888,Phone_by_Sentiment!$B$2:$B$37,Phone_by_Sentiment!N$2:N$37,"",0,1),0),$A888-TEXT(DATEVALUE($D888&amp;"-01"), "dd-mm-yyyy")),0),0)</f>
        <v>100</v>
      </c>
      <c r="O888" cm="1">
        <f t="array" ref="O888">IF($Q888&gt;=0,IFERROR(generateSalesData($D888, IF(ISNUMBER(_xlfn.XLOOKUP($C888,Phone_by_Sentiment!$B$2:$B$37,Phone_by_Sentiment!O$2:O$37,"",0,1)),_xlfn.XLOOKUP($C888,Phone_by_Sentiment!$B$2:$B$37,Phone_by_Sentiment!O$2:O$37,"",0,1),0),$A888-TEXT(DATEVALUE($D888&amp;"-01"), "dd-mm-yyyy")),0),0)</f>
        <v>504</v>
      </c>
      <c r="P888" s="1">
        <f t="shared" si="34"/>
        <v>43678</v>
      </c>
      <c r="Q888">
        <f t="shared" si="35"/>
        <v>550</v>
      </c>
    </row>
    <row r="889" spans="1:17" x14ac:dyDescent="0.25">
      <c r="A889" s="1">
        <f t="shared" si="36"/>
        <v>44228</v>
      </c>
      <c r="B889" t="s">
        <v>170</v>
      </c>
      <c r="C889" t="str">
        <f>_xlfn.XLOOKUP(B889,Phone_by_Price!$A$2:$A$34,Phone_by_Price!$B$2:$B$34,"-",0,1)</f>
        <v>Realme Narzo 30A</v>
      </c>
      <c r="D889" t="str">
        <f>_xlfn.XLOOKUP(C889,Phone_by_Sentiment!$B$2:$B$37,Phone_by_Sentiment!$A$2:$A$37,"-",0,1)</f>
        <v>2021-02</v>
      </c>
      <c r="E889" cm="1">
        <f t="array" ref="E889">IF($Q889&gt;=0,IFERROR(generateSalesData($D889, IF(ISNUMBER(_xlfn.XLOOKUP($C889,Phone_by_Sentiment!$B$2:$B$37,Phone_by_Sentiment!E$2:E$37,"",0,1)),_xlfn.XLOOKUP($C889,Phone_by_Sentiment!$B$2:$B$37,Phone_by_Sentiment!E$2:E$37,"",0,1),0),$A889-TEXT(DATEVALUE($D889&amp;"-01"), "dd-mm-yyyy")),0),0)</f>
        <v>2437</v>
      </c>
      <c r="F889" cm="1">
        <f t="array" ref="F889">IF($Q889&gt;=0,IFERROR(generateSalesData($D889, IF(ISNUMBER(_xlfn.XLOOKUP($C889,Phone_by_Sentiment!$B$2:$B$37,Phone_by_Sentiment!F$2:F$37,"",0,1)),_xlfn.XLOOKUP($C889,Phone_by_Sentiment!$B$2:$B$37,Phone_by_Sentiment!F$2:F$37,"",0,1),0),$A889-TEXT(DATEVALUE($D889&amp;"-01"), "dd-mm-yyyy")),0),0)</f>
        <v>3309</v>
      </c>
      <c r="G889" cm="1">
        <f t="array" ref="G889">IF($Q889&gt;=0,IFERROR(generateSalesData($D889, IF(ISNUMBER(_xlfn.XLOOKUP($C889,Phone_by_Sentiment!$B$2:$B$37,Phone_by_Sentiment!G$2:G$37,"",0,1)),_xlfn.XLOOKUP($C889,Phone_by_Sentiment!$B$2:$B$37,Phone_by_Sentiment!G$2:G$37,"",0,1),0),$A889-TEXT(DATEVALUE($D889&amp;"-01"), "dd-mm-yyyy")),0),0)</f>
        <v>3633</v>
      </c>
      <c r="H889" cm="1">
        <f t="array" ref="H889">IF($Q889&gt;=0,IFERROR(generateSalesData($D889, IF(ISNUMBER(_xlfn.XLOOKUP($C889,Phone_by_Sentiment!$B$2:$B$37,Phone_by_Sentiment!H$2:H$37,"",0,1)),_xlfn.XLOOKUP($C889,Phone_by_Sentiment!$B$2:$B$37,Phone_by_Sentiment!H$2:H$37,"",0,1),0),$A889-TEXT(DATEVALUE($D889&amp;"-01"), "dd-mm-yyyy")),0),0)</f>
        <v>2959</v>
      </c>
      <c r="I889" cm="1">
        <f t="array" ref="I889">IF($Q889&gt;=0,IFERROR(generateSalesData($D889, IF(ISNUMBER(_xlfn.XLOOKUP($C889,Phone_by_Sentiment!$B$2:$B$37,Phone_by_Sentiment!I$2:I$37,"",0,1)),_xlfn.XLOOKUP($C889,Phone_by_Sentiment!$B$2:$B$37,Phone_by_Sentiment!I$2:I$37,"",0,1),0),$A889-TEXT(DATEVALUE($D889&amp;"-01"), "dd-mm-yyyy")),0),0)</f>
        <v>9676</v>
      </c>
      <c r="J889" cm="1">
        <f t="array" ref="J889">IF($Q889&gt;=0,IFERROR(generateSalesData($D889, IF(ISNUMBER(_xlfn.XLOOKUP($C889,Phone_by_Sentiment!$B$2:$B$37,Phone_by_Sentiment!J$2:J$37,"",0,1)),_xlfn.XLOOKUP($C889,Phone_by_Sentiment!$B$2:$B$37,Phone_by_Sentiment!J$2:J$37,"",0,1),0),$A889-TEXT(DATEVALUE($D889&amp;"-01"), "dd-mm-yyyy")),0),0)</f>
        <v>859</v>
      </c>
      <c r="K889" cm="1">
        <f t="array" ref="K889">IF($Q889&gt;=0,IFERROR(generateSalesData($D889, IF(ISNUMBER(_xlfn.XLOOKUP($C889,Phone_by_Sentiment!$B$2:$B$37,Phone_by_Sentiment!K$2:K$37,"",0,1)),_xlfn.XLOOKUP($C889,Phone_by_Sentiment!$B$2:$B$37,Phone_by_Sentiment!K$2:K$37,"",0,1),0),$A889-TEXT(DATEVALUE($D889&amp;"-01"), "dd-mm-yyyy")),0),0)</f>
        <v>6851</v>
      </c>
      <c r="L889" cm="1">
        <f t="array" ref="L889">IF($Q889&gt;=0,IFERROR(generateSalesData($D889, IF(ISNUMBER(_xlfn.XLOOKUP($C889,Phone_by_Sentiment!$B$2:$B$37,Phone_by_Sentiment!L$2:L$37,"",0,1)),_xlfn.XLOOKUP($C889,Phone_by_Sentiment!$B$2:$B$37,Phone_by_Sentiment!L$2:L$37,"",0,1),0),$A889-TEXT(DATEVALUE($D889&amp;"-01"), "dd-mm-yyyy")),0),0)</f>
        <v>6252</v>
      </c>
      <c r="M889" cm="1">
        <f t="array" ref="M889">IF($Q889&gt;=0,IFERROR(generateSalesData($D889, IF(ISNUMBER(_xlfn.XLOOKUP($C889,Phone_by_Sentiment!$B$2:$B$37,Phone_by_Sentiment!M$2:M$37,"",0,1)),_xlfn.XLOOKUP($C889,Phone_by_Sentiment!$B$2:$B$37,Phone_by_Sentiment!M$2:M$37,"",0,1),0),$A889-TEXT(DATEVALUE($D889&amp;"-01"), "dd-mm-yyyy")),0),0)</f>
        <v>1529</v>
      </c>
      <c r="N889" cm="1">
        <f t="array" ref="N889">IF($Q889&gt;=0,IFERROR(generateSalesData($D889, IF(ISNUMBER(_xlfn.XLOOKUP($C889,Phone_by_Sentiment!$B$2:$B$37,Phone_by_Sentiment!N$2:N$37,"",0,1)),_xlfn.XLOOKUP($C889,Phone_by_Sentiment!$B$2:$B$37,Phone_by_Sentiment!N$2:N$37,"",0,1),0),$A889-TEXT(DATEVALUE($D889&amp;"-01"), "dd-mm-yyyy")),0),0)</f>
        <v>6608</v>
      </c>
      <c r="O889" cm="1">
        <f t="array" ref="O889">IF($Q889&gt;=0,IFERROR(generateSalesData($D889, IF(ISNUMBER(_xlfn.XLOOKUP($C889,Phone_by_Sentiment!$B$2:$B$37,Phone_by_Sentiment!O$2:O$37,"",0,1)),_xlfn.XLOOKUP($C889,Phone_by_Sentiment!$B$2:$B$37,Phone_by_Sentiment!O$2:O$37,"",0,1),0),$A889-TEXT(DATEVALUE($D889&amp;"-01"), "dd-mm-yyyy")),0),0)</f>
        <v>1855</v>
      </c>
      <c r="P889" s="1">
        <f t="shared" si="34"/>
        <v>44228</v>
      </c>
      <c r="Q889">
        <f t="shared" si="35"/>
        <v>0</v>
      </c>
    </row>
    <row r="890" spans="1:17" x14ac:dyDescent="0.25">
      <c r="A890" s="1">
        <f t="shared" si="36"/>
        <v>44228</v>
      </c>
      <c r="B890" t="s">
        <v>171</v>
      </c>
      <c r="C890" t="str">
        <f>_xlfn.XLOOKUP(B890,Phone_by_Price!$A$2:$A$34,Phone_by_Price!$B$2:$B$34,"-",0,1)</f>
        <v>Samsung Galaxy A22 5G</v>
      </c>
      <c r="D890" t="str">
        <f>_xlfn.XLOOKUP(C890,Phone_by_Sentiment!$B$2:$B$37,Phone_by_Sentiment!$A$2:$A$37,"-",0,1)</f>
        <v>2021-05</v>
      </c>
      <c r="E890" cm="1">
        <f t="array" ref="E890">IF($Q890&gt;=0,IFERROR(generateSalesData($D890, IF(ISNUMBER(_xlfn.XLOOKUP($C890,Phone_by_Sentiment!$B$2:$B$37,Phone_by_Sentiment!E$2:E$37,"",0,1)),_xlfn.XLOOKUP($C890,Phone_by_Sentiment!$B$2:$B$37,Phone_by_Sentiment!E$2:E$37,"",0,1),0),$A890-TEXT(DATEVALUE($D890&amp;"-01"), "dd-mm-yyyy")),0),0)</f>
        <v>0</v>
      </c>
      <c r="F890" cm="1">
        <f t="array" ref="F890">IF($Q890&gt;=0,IFERROR(generateSalesData($D890, IF(ISNUMBER(_xlfn.XLOOKUP($C890,Phone_by_Sentiment!$B$2:$B$37,Phone_by_Sentiment!F$2:F$37,"",0,1)),_xlfn.XLOOKUP($C890,Phone_by_Sentiment!$B$2:$B$37,Phone_by_Sentiment!F$2:F$37,"",0,1),0),$A890-TEXT(DATEVALUE($D890&amp;"-01"), "dd-mm-yyyy")),0),0)</f>
        <v>0</v>
      </c>
      <c r="G890" cm="1">
        <f t="array" ref="G890">IF($Q890&gt;=0,IFERROR(generateSalesData($D890, IF(ISNUMBER(_xlfn.XLOOKUP($C890,Phone_by_Sentiment!$B$2:$B$37,Phone_by_Sentiment!G$2:G$37,"",0,1)),_xlfn.XLOOKUP($C890,Phone_by_Sentiment!$B$2:$B$37,Phone_by_Sentiment!G$2:G$37,"",0,1),0),$A890-TEXT(DATEVALUE($D890&amp;"-01"), "dd-mm-yyyy")),0),0)</f>
        <v>0</v>
      </c>
      <c r="H890" cm="1">
        <f t="array" ref="H890">IF($Q890&gt;=0,IFERROR(generateSalesData($D890, IF(ISNUMBER(_xlfn.XLOOKUP($C890,Phone_by_Sentiment!$B$2:$B$37,Phone_by_Sentiment!H$2:H$37,"",0,1)),_xlfn.XLOOKUP($C890,Phone_by_Sentiment!$B$2:$B$37,Phone_by_Sentiment!H$2:H$37,"",0,1),0),$A890-TEXT(DATEVALUE($D890&amp;"-01"), "dd-mm-yyyy")),0),0)</f>
        <v>0</v>
      </c>
      <c r="I890" cm="1">
        <f t="array" ref="I890">IF($Q890&gt;=0,IFERROR(generateSalesData($D890, IF(ISNUMBER(_xlfn.XLOOKUP($C890,Phone_by_Sentiment!$B$2:$B$37,Phone_by_Sentiment!I$2:I$37,"",0,1)),_xlfn.XLOOKUP($C890,Phone_by_Sentiment!$B$2:$B$37,Phone_by_Sentiment!I$2:I$37,"",0,1),0),$A890-TEXT(DATEVALUE($D890&amp;"-01"), "dd-mm-yyyy")),0),0)</f>
        <v>0</v>
      </c>
      <c r="J890" cm="1">
        <f t="array" ref="J890">IF($Q890&gt;=0,IFERROR(generateSalesData($D890, IF(ISNUMBER(_xlfn.XLOOKUP($C890,Phone_by_Sentiment!$B$2:$B$37,Phone_by_Sentiment!J$2:J$37,"",0,1)),_xlfn.XLOOKUP($C890,Phone_by_Sentiment!$B$2:$B$37,Phone_by_Sentiment!J$2:J$37,"",0,1),0),$A890-TEXT(DATEVALUE($D890&amp;"-01"), "dd-mm-yyyy")),0),0)</f>
        <v>0</v>
      </c>
      <c r="K890" cm="1">
        <f t="array" ref="K890">IF($Q890&gt;=0,IFERROR(generateSalesData($D890, IF(ISNUMBER(_xlfn.XLOOKUP($C890,Phone_by_Sentiment!$B$2:$B$37,Phone_by_Sentiment!K$2:K$37,"",0,1)),_xlfn.XLOOKUP($C890,Phone_by_Sentiment!$B$2:$B$37,Phone_by_Sentiment!K$2:K$37,"",0,1),0),$A890-TEXT(DATEVALUE($D890&amp;"-01"), "dd-mm-yyyy")),0),0)</f>
        <v>0</v>
      </c>
      <c r="L890" cm="1">
        <f t="array" ref="L890">IF($Q890&gt;=0,IFERROR(generateSalesData($D890, IF(ISNUMBER(_xlfn.XLOOKUP($C890,Phone_by_Sentiment!$B$2:$B$37,Phone_by_Sentiment!L$2:L$37,"",0,1)),_xlfn.XLOOKUP($C890,Phone_by_Sentiment!$B$2:$B$37,Phone_by_Sentiment!L$2:L$37,"",0,1),0),$A890-TEXT(DATEVALUE($D890&amp;"-01"), "dd-mm-yyyy")),0),0)</f>
        <v>0</v>
      </c>
      <c r="M890" cm="1">
        <f t="array" ref="M890">IF($Q890&gt;=0,IFERROR(generateSalesData($D890, IF(ISNUMBER(_xlfn.XLOOKUP($C890,Phone_by_Sentiment!$B$2:$B$37,Phone_by_Sentiment!M$2:M$37,"",0,1)),_xlfn.XLOOKUP($C890,Phone_by_Sentiment!$B$2:$B$37,Phone_by_Sentiment!M$2:M$37,"",0,1),0),$A890-TEXT(DATEVALUE($D890&amp;"-01"), "dd-mm-yyyy")),0),0)</f>
        <v>0</v>
      </c>
      <c r="N890" cm="1">
        <f t="array" ref="N890">IF($Q890&gt;=0,IFERROR(generateSalesData($D890, IF(ISNUMBER(_xlfn.XLOOKUP($C890,Phone_by_Sentiment!$B$2:$B$37,Phone_by_Sentiment!N$2:N$37,"",0,1)),_xlfn.XLOOKUP($C890,Phone_by_Sentiment!$B$2:$B$37,Phone_by_Sentiment!N$2:N$37,"",0,1),0),$A890-TEXT(DATEVALUE($D890&amp;"-01"), "dd-mm-yyyy")),0),0)</f>
        <v>0</v>
      </c>
      <c r="O890" cm="1">
        <f t="array" ref="O890">IF($Q890&gt;=0,IFERROR(generateSalesData($D890, IF(ISNUMBER(_xlfn.XLOOKUP($C890,Phone_by_Sentiment!$B$2:$B$37,Phone_by_Sentiment!O$2:O$37,"",0,1)),_xlfn.XLOOKUP($C890,Phone_by_Sentiment!$B$2:$B$37,Phone_by_Sentiment!O$2:O$37,"",0,1),0),$A890-TEXT(DATEVALUE($D890&amp;"-01"), "dd-mm-yyyy")),0),0)</f>
        <v>0</v>
      </c>
      <c r="P890" s="1">
        <f t="shared" si="34"/>
        <v>44317</v>
      </c>
      <c r="Q890">
        <f t="shared" si="35"/>
        <v>-89</v>
      </c>
    </row>
    <row r="891" spans="1:17" x14ac:dyDescent="0.25">
      <c r="A891" s="1">
        <f t="shared" si="36"/>
        <v>44228</v>
      </c>
      <c r="B891" t="s">
        <v>172</v>
      </c>
      <c r="C891" t="str">
        <f>_xlfn.XLOOKUP(B891,Phone_by_Price!$A$2:$A$34,Phone_by_Price!$B$2:$B$34,"-",0,1)</f>
        <v>Xiaomi Redmi 9</v>
      </c>
      <c r="D891" t="str">
        <f>_xlfn.XLOOKUP(C891,Phone_by_Sentiment!$B$2:$B$37,Phone_by_Sentiment!$A$2:$A$37,"-",0,1)</f>
        <v>2020-08</v>
      </c>
      <c r="E891" cm="1">
        <f t="array" ref="E891">IF($Q891&gt;=0,IFERROR(generateSalesData($D891, IF(ISNUMBER(_xlfn.XLOOKUP($C891,Phone_by_Sentiment!$B$2:$B$37,Phone_by_Sentiment!E$2:E$37,"",0,1)),_xlfn.XLOOKUP($C891,Phone_by_Sentiment!$B$2:$B$37,Phone_by_Sentiment!E$2:E$37,"",0,1),0),$A891-TEXT(DATEVALUE($D891&amp;"-01"), "dd-mm-yyyy")),0),0)</f>
        <v>267</v>
      </c>
      <c r="F891" cm="1">
        <f t="array" ref="F891">IF($Q891&gt;=0,IFERROR(generateSalesData($D891, IF(ISNUMBER(_xlfn.XLOOKUP($C891,Phone_by_Sentiment!$B$2:$B$37,Phone_by_Sentiment!F$2:F$37,"",0,1)),_xlfn.XLOOKUP($C891,Phone_by_Sentiment!$B$2:$B$37,Phone_by_Sentiment!F$2:F$37,"",0,1),0),$A891-TEXT(DATEVALUE($D891&amp;"-01"), "dd-mm-yyyy")),0),0)</f>
        <v>486</v>
      </c>
      <c r="G891" cm="1">
        <f t="array" ref="G891">IF($Q891&gt;=0,IFERROR(generateSalesData($D891, IF(ISNUMBER(_xlfn.XLOOKUP($C891,Phone_by_Sentiment!$B$2:$B$37,Phone_by_Sentiment!G$2:G$37,"",0,1)),_xlfn.XLOOKUP($C891,Phone_by_Sentiment!$B$2:$B$37,Phone_by_Sentiment!G$2:G$37,"",0,1),0),$A891-TEXT(DATEVALUE($D891&amp;"-01"), "dd-mm-yyyy")),0),0)</f>
        <v>498</v>
      </c>
      <c r="H891" cm="1">
        <f t="array" ref="H891">IF($Q891&gt;=0,IFERROR(generateSalesData($D891, IF(ISNUMBER(_xlfn.XLOOKUP($C891,Phone_by_Sentiment!$B$2:$B$37,Phone_by_Sentiment!H$2:H$37,"",0,1)),_xlfn.XLOOKUP($C891,Phone_by_Sentiment!$B$2:$B$37,Phone_by_Sentiment!H$2:H$37,"",0,1),0),$A891-TEXT(DATEVALUE($D891&amp;"-01"), "dd-mm-yyyy")),0),0)</f>
        <v>806</v>
      </c>
      <c r="I891" cm="1">
        <f t="array" ref="I891">IF($Q891&gt;=0,IFERROR(generateSalesData($D891, IF(ISNUMBER(_xlfn.XLOOKUP($C891,Phone_by_Sentiment!$B$2:$B$37,Phone_by_Sentiment!I$2:I$37,"",0,1)),_xlfn.XLOOKUP($C891,Phone_by_Sentiment!$B$2:$B$37,Phone_by_Sentiment!I$2:I$37,"",0,1),0),$A891-TEXT(DATEVALUE($D891&amp;"-01"), "dd-mm-yyyy")),0),0)</f>
        <v>268</v>
      </c>
      <c r="J891" cm="1">
        <f t="array" ref="J891">IF($Q891&gt;=0,IFERROR(generateSalesData($D891, IF(ISNUMBER(_xlfn.XLOOKUP($C891,Phone_by_Sentiment!$B$2:$B$37,Phone_by_Sentiment!J$2:J$37,"",0,1)),_xlfn.XLOOKUP($C891,Phone_by_Sentiment!$B$2:$B$37,Phone_by_Sentiment!J$2:J$37,"",0,1),0),$A891-TEXT(DATEVALUE($D891&amp;"-01"), "dd-mm-yyyy")),0),0)</f>
        <v>489</v>
      </c>
      <c r="K891" cm="1">
        <f t="array" ref="K891">IF($Q891&gt;=0,IFERROR(generateSalesData($D891, IF(ISNUMBER(_xlfn.XLOOKUP($C891,Phone_by_Sentiment!$B$2:$B$37,Phone_by_Sentiment!K$2:K$37,"",0,1)),_xlfn.XLOOKUP($C891,Phone_by_Sentiment!$B$2:$B$37,Phone_by_Sentiment!K$2:K$37,"",0,1),0),$A891-TEXT(DATEVALUE($D891&amp;"-01"), "dd-mm-yyyy")),0),0)</f>
        <v>2292</v>
      </c>
      <c r="L891" cm="1">
        <f t="array" ref="L891">IF($Q891&gt;=0,IFERROR(generateSalesData($D891, IF(ISNUMBER(_xlfn.XLOOKUP($C891,Phone_by_Sentiment!$B$2:$B$37,Phone_by_Sentiment!L$2:L$37,"",0,1)),_xlfn.XLOOKUP($C891,Phone_by_Sentiment!$B$2:$B$37,Phone_by_Sentiment!L$2:L$37,"",0,1),0),$A891-TEXT(DATEVALUE($D891&amp;"-01"), "dd-mm-yyyy")),0),0)</f>
        <v>198</v>
      </c>
      <c r="M891" cm="1">
        <f t="array" ref="M891">IF($Q891&gt;=0,IFERROR(generateSalesData($D891, IF(ISNUMBER(_xlfn.XLOOKUP($C891,Phone_by_Sentiment!$B$2:$B$37,Phone_by_Sentiment!M$2:M$37,"",0,1)),_xlfn.XLOOKUP($C891,Phone_by_Sentiment!$B$2:$B$37,Phone_by_Sentiment!M$2:M$37,"",0,1),0),$A891-TEXT(DATEVALUE($D891&amp;"-01"), "dd-mm-yyyy")),0),0)</f>
        <v>1677</v>
      </c>
      <c r="N891" cm="1">
        <f t="array" ref="N891">IF($Q891&gt;=0,IFERROR(generateSalesData($D891, IF(ISNUMBER(_xlfn.XLOOKUP($C891,Phone_by_Sentiment!$B$2:$B$37,Phone_by_Sentiment!N$2:N$37,"",0,1)),_xlfn.XLOOKUP($C891,Phone_by_Sentiment!$B$2:$B$37,Phone_by_Sentiment!N$2:N$37,"",0,1),0),$A891-TEXT(DATEVALUE($D891&amp;"-01"), "dd-mm-yyyy")),0),0)</f>
        <v>518</v>
      </c>
      <c r="O891" cm="1">
        <f t="array" ref="O891">IF($Q891&gt;=0,IFERROR(generateSalesData($D891, IF(ISNUMBER(_xlfn.XLOOKUP($C891,Phone_by_Sentiment!$B$2:$B$37,Phone_by_Sentiment!O$2:O$37,"",0,1)),_xlfn.XLOOKUP($C891,Phone_by_Sentiment!$B$2:$B$37,Phone_by_Sentiment!O$2:O$37,"",0,1),0),$A891-TEXT(DATEVALUE($D891&amp;"-01"), "dd-mm-yyyy")),0),0)</f>
        <v>2550</v>
      </c>
      <c r="P891" s="1">
        <f t="shared" si="34"/>
        <v>44044</v>
      </c>
      <c r="Q891">
        <f t="shared" si="35"/>
        <v>184</v>
      </c>
    </row>
    <row r="892" spans="1:17" x14ac:dyDescent="0.25">
      <c r="A892" s="1">
        <f t="shared" si="36"/>
        <v>44228</v>
      </c>
      <c r="B892" t="s">
        <v>173</v>
      </c>
      <c r="C892" t="str">
        <f>_xlfn.XLOOKUP(B892,Phone_by_Price!$A$2:$A$34,Phone_by_Price!$B$2:$B$34,"-",0,1)</f>
        <v>Realme C3</v>
      </c>
      <c r="D892" t="str">
        <f>_xlfn.XLOOKUP(C892,Phone_by_Sentiment!$B$2:$B$37,Phone_by_Sentiment!$A$2:$A$37,"-",0,1)</f>
        <v>2020-02</v>
      </c>
      <c r="E892" cm="1">
        <f t="array" ref="E892">IF($Q892&gt;=0,IFERROR(generateSalesData($D892, IF(ISNUMBER(_xlfn.XLOOKUP($C892,Phone_by_Sentiment!$B$2:$B$37,Phone_by_Sentiment!E$2:E$37,"",0,1)),_xlfn.XLOOKUP($C892,Phone_by_Sentiment!$B$2:$B$37,Phone_by_Sentiment!E$2:E$37,"",0,1),0),$A892-TEXT(DATEVALUE($D892&amp;"-01"), "dd-mm-yyyy")),0),0)</f>
        <v>106</v>
      </c>
      <c r="F892" cm="1">
        <f t="array" ref="F892">IF($Q892&gt;=0,IFERROR(generateSalesData($D892, IF(ISNUMBER(_xlfn.XLOOKUP($C892,Phone_by_Sentiment!$B$2:$B$37,Phone_by_Sentiment!F$2:F$37,"",0,1)),_xlfn.XLOOKUP($C892,Phone_by_Sentiment!$B$2:$B$37,Phone_by_Sentiment!F$2:F$37,"",0,1),0),$A892-TEXT(DATEVALUE($D892&amp;"-01"), "dd-mm-yyyy")),0),0)</f>
        <v>96</v>
      </c>
      <c r="G892" cm="1">
        <f t="array" ref="G892">IF($Q892&gt;=0,IFERROR(generateSalesData($D892, IF(ISNUMBER(_xlfn.XLOOKUP($C892,Phone_by_Sentiment!$B$2:$B$37,Phone_by_Sentiment!G$2:G$37,"",0,1)),_xlfn.XLOOKUP($C892,Phone_by_Sentiment!$B$2:$B$37,Phone_by_Sentiment!G$2:G$37,"",0,1),0),$A892-TEXT(DATEVALUE($D892&amp;"-01"), "dd-mm-yyyy")),0),0)</f>
        <v>150</v>
      </c>
      <c r="H892" cm="1">
        <f t="array" ref="H892">IF($Q892&gt;=0,IFERROR(generateSalesData($D892, IF(ISNUMBER(_xlfn.XLOOKUP($C892,Phone_by_Sentiment!$B$2:$B$37,Phone_by_Sentiment!H$2:H$37,"",0,1)),_xlfn.XLOOKUP($C892,Phone_by_Sentiment!$B$2:$B$37,Phone_by_Sentiment!H$2:H$37,"",0,1),0),$A892-TEXT(DATEVALUE($D892&amp;"-01"), "dd-mm-yyyy")),0),0)</f>
        <v>449</v>
      </c>
      <c r="I892" cm="1">
        <f t="array" ref="I892">IF($Q892&gt;=0,IFERROR(generateSalesData($D892, IF(ISNUMBER(_xlfn.XLOOKUP($C892,Phone_by_Sentiment!$B$2:$B$37,Phone_by_Sentiment!I$2:I$37,"",0,1)),_xlfn.XLOOKUP($C892,Phone_by_Sentiment!$B$2:$B$37,Phone_by_Sentiment!I$2:I$37,"",0,1),0),$A892-TEXT(DATEVALUE($D892&amp;"-01"), "dd-mm-yyyy")),0),0)</f>
        <v>668</v>
      </c>
      <c r="J892" cm="1">
        <f t="array" ref="J892">IF($Q892&gt;=0,IFERROR(generateSalesData($D892, IF(ISNUMBER(_xlfn.XLOOKUP($C892,Phone_by_Sentiment!$B$2:$B$37,Phone_by_Sentiment!J$2:J$37,"",0,1)),_xlfn.XLOOKUP($C892,Phone_by_Sentiment!$B$2:$B$37,Phone_by_Sentiment!J$2:J$37,"",0,1),0),$A892-TEXT(DATEVALUE($D892&amp;"-01"), "dd-mm-yyyy")),0),0)</f>
        <v>220</v>
      </c>
      <c r="K892" cm="1">
        <f t="array" ref="K892">IF($Q892&gt;=0,IFERROR(generateSalesData($D892, IF(ISNUMBER(_xlfn.XLOOKUP($C892,Phone_by_Sentiment!$B$2:$B$37,Phone_by_Sentiment!K$2:K$37,"",0,1)),_xlfn.XLOOKUP($C892,Phone_by_Sentiment!$B$2:$B$37,Phone_by_Sentiment!K$2:K$37,"",0,1),0),$A892-TEXT(DATEVALUE($D892&amp;"-01"), "dd-mm-yyyy")),0),0)</f>
        <v>551</v>
      </c>
      <c r="L892" cm="1">
        <f t="array" ref="L892">IF($Q892&gt;=0,IFERROR(generateSalesData($D892, IF(ISNUMBER(_xlfn.XLOOKUP($C892,Phone_by_Sentiment!$B$2:$B$37,Phone_by_Sentiment!L$2:L$37,"",0,1)),_xlfn.XLOOKUP($C892,Phone_by_Sentiment!$B$2:$B$37,Phone_by_Sentiment!L$2:L$37,"",0,1),0),$A892-TEXT(DATEVALUE($D892&amp;"-01"), "dd-mm-yyyy")),0),0)</f>
        <v>554</v>
      </c>
      <c r="M892" cm="1">
        <f t="array" ref="M892">IF($Q892&gt;=0,IFERROR(generateSalesData($D892, IF(ISNUMBER(_xlfn.XLOOKUP($C892,Phone_by_Sentiment!$B$2:$B$37,Phone_by_Sentiment!M$2:M$37,"",0,1)),_xlfn.XLOOKUP($C892,Phone_by_Sentiment!$B$2:$B$37,Phone_by_Sentiment!M$2:M$37,"",0,1),0),$A892-TEXT(DATEVALUE($D892&amp;"-01"), "dd-mm-yyyy")),0),0)</f>
        <v>275</v>
      </c>
      <c r="N892" cm="1">
        <f t="array" ref="N892">IF($Q892&gt;=0,IFERROR(generateSalesData($D892, IF(ISNUMBER(_xlfn.XLOOKUP($C892,Phone_by_Sentiment!$B$2:$B$37,Phone_by_Sentiment!N$2:N$37,"",0,1)),_xlfn.XLOOKUP($C892,Phone_by_Sentiment!$B$2:$B$37,Phone_by_Sentiment!N$2:N$37,"",0,1),0),$A892-TEXT(DATEVALUE($D892&amp;"-01"), "dd-mm-yyyy")),0),0)</f>
        <v>474</v>
      </c>
      <c r="O892" cm="1">
        <f t="array" ref="O892">IF($Q892&gt;=0,IFERROR(generateSalesData($D892, IF(ISNUMBER(_xlfn.XLOOKUP($C892,Phone_by_Sentiment!$B$2:$B$37,Phone_by_Sentiment!O$2:O$37,"",0,1)),_xlfn.XLOOKUP($C892,Phone_by_Sentiment!$B$2:$B$37,Phone_by_Sentiment!O$2:O$37,"",0,1),0),$A892-TEXT(DATEVALUE($D892&amp;"-01"), "dd-mm-yyyy")),0),0)</f>
        <v>111</v>
      </c>
      <c r="P892" s="1">
        <f t="shared" si="34"/>
        <v>43862</v>
      </c>
      <c r="Q892">
        <f t="shared" si="35"/>
        <v>366</v>
      </c>
    </row>
    <row r="893" spans="1:17" x14ac:dyDescent="0.25">
      <c r="A893" s="1">
        <f t="shared" si="36"/>
        <v>44228</v>
      </c>
      <c r="B893" t="s">
        <v>174</v>
      </c>
      <c r="C893" t="str">
        <f>_xlfn.XLOOKUP(B893,Phone_by_Price!$A$2:$A$34,Phone_by_Price!$B$2:$B$34,"-",0,1)</f>
        <v>Samsung Galaxy A7</v>
      </c>
      <c r="D893" t="str">
        <f>_xlfn.XLOOKUP(C893,Phone_by_Sentiment!$B$2:$B$37,Phone_by_Sentiment!$A$2:$A$37,"-",0,1)</f>
        <v>2018-10</v>
      </c>
      <c r="E893" cm="1">
        <f t="array" ref="E893">IF($Q893&gt;=0,IFERROR(generateSalesData($D893, IF(ISNUMBER(_xlfn.XLOOKUP($C893,Phone_by_Sentiment!$B$2:$B$37,Phone_by_Sentiment!E$2:E$37,"",0,1)),_xlfn.XLOOKUP($C893,Phone_by_Sentiment!$B$2:$B$37,Phone_by_Sentiment!E$2:E$37,"",0,1),0),$A893-TEXT(DATEVALUE($D893&amp;"-01"), "dd-mm-yyyy")),0),0)</f>
        <v>61</v>
      </c>
      <c r="F893" cm="1">
        <f t="array" ref="F893">IF($Q893&gt;=0,IFERROR(generateSalesData($D893, IF(ISNUMBER(_xlfn.XLOOKUP($C893,Phone_by_Sentiment!$B$2:$B$37,Phone_by_Sentiment!F$2:F$37,"",0,1)),_xlfn.XLOOKUP($C893,Phone_by_Sentiment!$B$2:$B$37,Phone_by_Sentiment!F$2:F$37,"",0,1),0),$A893-TEXT(DATEVALUE($D893&amp;"-01"), "dd-mm-yyyy")),0),0)</f>
        <v>135</v>
      </c>
      <c r="G893" cm="1">
        <f t="array" ref="G893">IF($Q893&gt;=0,IFERROR(generateSalesData($D893, IF(ISNUMBER(_xlfn.XLOOKUP($C893,Phone_by_Sentiment!$B$2:$B$37,Phone_by_Sentiment!G$2:G$37,"",0,1)),_xlfn.XLOOKUP($C893,Phone_by_Sentiment!$B$2:$B$37,Phone_by_Sentiment!G$2:G$37,"",0,1),0),$A893-TEXT(DATEVALUE($D893&amp;"-01"), "dd-mm-yyyy")),0),0)</f>
        <v>70</v>
      </c>
      <c r="H893" cm="1">
        <f t="array" ref="H893">IF($Q893&gt;=0,IFERROR(generateSalesData($D893, IF(ISNUMBER(_xlfn.XLOOKUP($C893,Phone_by_Sentiment!$B$2:$B$37,Phone_by_Sentiment!H$2:H$37,"",0,1)),_xlfn.XLOOKUP($C893,Phone_by_Sentiment!$B$2:$B$37,Phone_by_Sentiment!H$2:H$37,"",0,1),0),$A893-TEXT(DATEVALUE($D893&amp;"-01"), "dd-mm-yyyy")),0),0)</f>
        <v>134</v>
      </c>
      <c r="I893" cm="1">
        <f t="array" ref="I893">IF($Q893&gt;=0,IFERROR(generateSalesData($D893, IF(ISNUMBER(_xlfn.XLOOKUP($C893,Phone_by_Sentiment!$B$2:$B$37,Phone_by_Sentiment!I$2:I$37,"",0,1)),_xlfn.XLOOKUP($C893,Phone_by_Sentiment!$B$2:$B$37,Phone_by_Sentiment!I$2:I$37,"",0,1),0),$A893-TEXT(DATEVALUE($D893&amp;"-01"), "dd-mm-yyyy")),0),0)</f>
        <v>272</v>
      </c>
      <c r="J893" cm="1">
        <f t="array" ref="J893">IF($Q893&gt;=0,IFERROR(generateSalesData($D893, IF(ISNUMBER(_xlfn.XLOOKUP($C893,Phone_by_Sentiment!$B$2:$B$37,Phone_by_Sentiment!J$2:J$37,"",0,1)),_xlfn.XLOOKUP($C893,Phone_by_Sentiment!$B$2:$B$37,Phone_by_Sentiment!J$2:J$37,"",0,1),0),$A893-TEXT(DATEVALUE($D893&amp;"-01"), "dd-mm-yyyy")),0),0)</f>
        <v>59</v>
      </c>
      <c r="K893" cm="1">
        <f t="array" ref="K893">IF($Q893&gt;=0,IFERROR(generateSalesData($D893, IF(ISNUMBER(_xlfn.XLOOKUP($C893,Phone_by_Sentiment!$B$2:$B$37,Phone_by_Sentiment!K$2:K$37,"",0,1)),_xlfn.XLOOKUP($C893,Phone_by_Sentiment!$B$2:$B$37,Phone_by_Sentiment!K$2:K$37,"",0,1),0),$A893-TEXT(DATEVALUE($D893&amp;"-01"), "dd-mm-yyyy")),0),0)</f>
        <v>73</v>
      </c>
      <c r="L893" cm="1">
        <f t="array" ref="L893">IF($Q893&gt;=0,IFERROR(generateSalesData($D893, IF(ISNUMBER(_xlfn.XLOOKUP($C893,Phone_by_Sentiment!$B$2:$B$37,Phone_by_Sentiment!L$2:L$37,"",0,1)),_xlfn.XLOOKUP($C893,Phone_by_Sentiment!$B$2:$B$37,Phone_by_Sentiment!L$2:L$37,"",0,1),0),$A893-TEXT(DATEVALUE($D893&amp;"-01"), "dd-mm-yyyy")),0),0)</f>
        <v>102</v>
      </c>
      <c r="M893" cm="1">
        <f t="array" ref="M893">IF($Q893&gt;=0,IFERROR(generateSalesData($D893, IF(ISNUMBER(_xlfn.XLOOKUP($C893,Phone_by_Sentiment!$B$2:$B$37,Phone_by_Sentiment!M$2:M$37,"",0,1)),_xlfn.XLOOKUP($C893,Phone_by_Sentiment!$B$2:$B$37,Phone_by_Sentiment!M$2:M$37,"",0,1),0),$A893-TEXT(DATEVALUE($D893&amp;"-01"), "dd-mm-yyyy")),0),0)</f>
        <v>379</v>
      </c>
      <c r="N893" cm="1">
        <f t="array" ref="N893">IF($Q893&gt;=0,IFERROR(generateSalesData($D893, IF(ISNUMBER(_xlfn.XLOOKUP($C893,Phone_by_Sentiment!$B$2:$B$37,Phone_by_Sentiment!N$2:N$37,"",0,1)),_xlfn.XLOOKUP($C893,Phone_by_Sentiment!$B$2:$B$37,Phone_by_Sentiment!N$2:N$37,"",0,1),0),$A893-TEXT(DATEVALUE($D893&amp;"-01"), "dd-mm-yyyy")),0),0)</f>
        <v>237</v>
      </c>
      <c r="O893" cm="1">
        <f t="array" ref="O893">IF($Q893&gt;=0,IFERROR(generateSalesData($D893, IF(ISNUMBER(_xlfn.XLOOKUP($C893,Phone_by_Sentiment!$B$2:$B$37,Phone_by_Sentiment!O$2:O$37,"",0,1)),_xlfn.XLOOKUP($C893,Phone_by_Sentiment!$B$2:$B$37,Phone_by_Sentiment!O$2:O$37,"",0,1),0),$A893-TEXT(DATEVALUE($D893&amp;"-01"), "dd-mm-yyyy")),0),0)</f>
        <v>211</v>
      </c>
      <c r="P893" s="1">
        <f t="shared" si="34"/>
        <v>43374</v>
      </c>
      <c r="Q893">
        <f t="shared" si="35"/>
        <v>854</v>
      </c>
    </row>
    <row r="894" spans="1:17" x14ac:dyDescent="0.25">
      <c r="A894" s="1">
        <f t="shared" si="36"/>
        <v>44228</v>
      </c>
      <c r="B894" t="s">
        <v>142</v>
      </c>
      <c r="C894" t="str">
        <f>_xlfn.XLOOKUP(B894,Phone_by_Price!$A$2:$A$34,Phone_by_Price!$B$2:$B$34,"-",0,1)</f>
        <v>iPhone 11</v>
      </c>
      <c r="D894" t="str">
        <f>_xlfn.XLOOKUP(C894,Phone_by_Sentiment!$B$2:$B$37,Phone_by_Sentiment!$A$2:$A$37,"-",0,1)</f>
        <v>2019-09</v>
      </c>
      <c r="E894" cm="1">
        <f t="array" ref="E894">IF($Q894&gt;=0,IFERROR(generateSalesData($D894, IF(ISNUMBER(_xlfn.XLOOKUP($C894,Phone_by_Sentiment!$B$2:$B$37,Phone_by_Sentiment!E$2:E$37,"",0,1)),_xlfn.XLOOKUP($C894,Phone_by_Sentiment!$B$2:$B$37,Phone_by_Sentiment!E$2:E$37,"",0,1),0),$A894-TEXT(DATEVALUE($D894&amp;"-01"), "dd-mm-yyyy")),0),0)</f>
        <v>391</v>
      </c>
      <c r="F894" cm="1">
        <f t="array" ref="F894">IF($Q894&gt;=0,IFERROR(generateSalesData($D894, IF(ISNUMBER(_xlfn.XLOOKUP($C894,Phone_by_Sentiment!$B$2:$B$37,Phone_by_Sentiment!F$2:F$37,"",0,1)),_xlfn.XLOOKUP($C894,Phone_by_Sentiment!$B$2:$B$37,Phone_by_Sentiment!F$2:F$37,"",0,1),0),$A894-TEXT(DATEVALUE($D894&amp;"-01"), "dd-mm-yyyy")),0),0)</f>
        <v>344</v>
      </c>
      <c r="G894" cm="1">
        <f t="array" ref="G894">IF($Q894&gt;=0,IFERROR(generateSalesData($D894, IF(ISNUMBER(_xlfn.XLOOKUP($C894,Phone_by_Sentiment!$B$2:$B$37,Phone_by_Sentiment!G$2:G$37,"",0,1)),_xlfn.XLOOKUP($C894,Phone_by_Sentiment!$B$2:$B$37,Phone_by_Sentiment!G$2:G$37,"",0,1),0),$A894-TEXT(DATEVALUE($D894&amp;"-01"), "dd-mm-yyyy")),0),0)</f>
        <v>60</v>
      </c>
      <c r="H894" cm="1">
        <f t="array" ref="H894">IF($Q894&gt;=0,IFERROR(generateSalesData($D894, IF(ISNUMBER(_xlfn.XLOOKUP($C894,Phone_by_Sentiment!$B$2:$B$37,Phone_by_Sentiment!H$2:H$37,"",0,1)),_xlfn.XLOOKUP($C894,Phone_by_Sentiment!$B$2:$B$37,Phone_by_Sentiment!H$2:H$37,"",0,1),0),$A894-TEXT(DATEVALUE($D894&amp;"-01"), "dd-mm-yyyy")),0),0)</f>
        <v>609</v>
      </c>
      <c r="I894" cm="1">
        <f t="array" ref="I894">IF($Q894&gt;=0,IFERROR(generateSalesData($D894, IF(ISNUMBER(_xlfn.XLOOKUP($C894,Phone_by_Sentiment!$B$2:$B$37,Phone_by_Sentiment!I$2:I$37,"",0,1)),_xlfn.XLOOKUP($C894,Phone_by_Sentiment!$B$2:$B$37,Phone_by_Sentiment!I$2:I$37,"",0,1),0),$A894-TEXT(DATEVALUE($D894&amp;"-01"), "dd-mm-yyyy")),0),0)</f>
        <v>545</v>
      </c>
      <c r="J894" cm="1">
        <f t="array" ref="J894">IF($Q894&gt;=0,IFERROR(generateSalesData($D894, IF(ISNUMBER(_xlfn.XLOOKUP($C894,Phone_by_Sentiment!$B$2:$B$37,Phone_by_Sentiment!J$2:J$37,"",0,1)),_xlfn.XLOOKUP($C894,Phone_by_Sentiment!$B$2:$B$37,Phone_by_Sentiment!J$2:J$37,"",0,1),0),$A894-TEXT(DATEVALUE($D894&amp;"-01"), "dd-mm-yyyy")),0),0)</f>
        <v>860</v>
      </c>
      <c r="K894" cm="1">
        <f t="array" ref="K894">IF($Q894&gt;=0,IFERROR(generateSalesData($D894, IF(ISNUMBER(_xlfn.XLOOKUP($C894,Phone_by_Sentiment!$B$2:$B$37,Phone_by_Sentiment!K$2:K$37,"",0,1)),_xlfn.XLOOKUP($C894,Phone_by_Sentiment!$B$2:$B$37,Phone_by_Sentiment!K$2:K$37,"",0,1),0),$A894-TEXT(DATEVALUE($D894&amp;"-01"), "dd-mm-yyyy")),0),0)</f>
        <v>78</v>
      </c>
      <c r="L894" cm="1">
        <f t="array" ref="L894">IF($Q894&gt;=0,IFERROR(generateSalesData($D894, IF(ISNUMBER(_xlfn.XLOOKUP($C894,Phone_by_Sentiment!$B$2:$B$37,Phone_by_Sentiment!L$2:L$37,"",0,1)),_xlfn.XLOOKUP($C894,Phone_by_Sentiment!$B$2:$B$37,Phone_by_Sentiment!L$2:L$37,"",0,1),0),$A894-TEXT(DATEVALUE($D894&amp;"-01"), "dd-mm-yyyy")),0),0)</f>
        <v>715</v>
      </c>
      <c r="M894" cm="1">
        <f t="array" ref="M894">IF($Q894&gt;=0,IFERROR(generateSalesData($D894, IF(ISNUMBER(_xlfn.XLOOKUP($C894,Phone_by_Sentiment!$B$2:$B$37,Phone_by_Sentiment!M$2:M$37,"",0,1)),_xlfn.XLOOKUP($C894,Phone_by_Sentiment!$B$2:$B$37,Phone_by_Sentiment!M$2:M$37,"",0,1),0),$A894-TEXT(DATEVALUE($D894&amp;"-01"), "dd-mm-yyyy")),0),0)</f>
        <v>548</v>
      </c>
      <c r="N894" cm="1">
        <f t="array" ref="N894">IF($Q894&gt;=0,IFERROR(generateSalesData($D894, IF(ISNUMBER(_xlfn.XLOOKUP($C894,Phone_by_Sentiment!$B$2:$B$37,Phone_by_Sentiment!N$2:N$37,"",0,1)),_xlfn.XLOOKUP($C894,Phone_by_Sentiment!$B$2:$B$37,Phone_by_Sentiment!N$2:N$37,"",0,1),0),$A894-TEXT(DATEVALUE($D894&amp;"-01"), "dd-mm-yyyy")),0),0)</f>
        <v>250</v>
      </c>
      <c r="O894" cm="1">
        <f t="array" ref="O894">IF($Q894&gt;=0,IFERROR(generateSalesData($D894, IF(ISNUMBER(_xlfn.XLOOKUP($C894,Phone_by_Sentiment!$B$2:$B$37,Phone_by_Sentiment!O$2:O$37,"",0,1)),_xlfn.XLOOKUP($C894,Phone_by_Sentiment!$B$2:$B$37,Phone_by_Sentiment!O$2:O$37,"",0,1),0),$A894-TEXT(DATEVALUE($D894&amp;"-01"), "dd-mm-yyyy")),0),0)</f>
        <v>660</v>
      </c>
      <c r="P894" s="1">
        <f t="shared" si="34"/>
        <v>43709</v>
      </c>
      <c r="Q894">
        <f t="shared" si="35"/>
        <v>519</v>
      </c>
    </row>
    <row r="895" spans="1:17" x14ac:dyDescent="0.25">
      <c r="A895" s="1">
        <f t="shared" si="36"/>
        <v>44228</v>
      </c>
      <c r="B895" t="s">
        <v>143</v>
      </c>
      <c r="C895" t="str">
        <f>_xlfn.XLOOKUP(B895,Phone_by_Price!$A$2:$A$34,Phone_by_Price!$B$2:$B$34,"-",0,1)</f>
        <v>Samsung Galaxy S20 Ultra</v>
      </c>
      <c r="D895" t="str">
        <f>_xlfn.XLOOKUP(C895,Phone_by_Sentiment!$B$2:$B$37,Phone_by_Sentiment!$A$2:$A$37,"-",0,1)</f>
        <v>2020-02</v>
      </c>
      <c r="E895" cm="1">
        <f t="array" ref="E895">IF($Q895&gt;=0,IFERROR(generateSalesData($D895, IF(ISNUMBER(_xlfn.XLOOKUP($C895,Phone_by_Sentiment!$B$2:$B$37,Phone_by_Sentiment!E$2:E$37,"",0,1)),_xlfn.XLOOKUP($C895,Phone_by_Sentiment!$B$2:$B$37,Phone_by_Sentiment!E$2:E$37,"",0,1),0),$A895-TEXT(DATEVALUE($D895&amp;"-01"), "dd-mm-yyyy")),0),0)</f>
        <v>679</v>
      </c>
      <c r="F895" cm="1">
        <f t="array" ref="F895">IF($Q895&gt;=0,IFERROR(generateSalesData($D895, IF(ISNUMBER(_xlfn.XLOOKUP($C895,Phone_by_Sentiment!$B$2:$B$37,Phone_by_Sentiment!F$2:F$37,"",0,1)),_xlfn.XLOOKUP($C895,Phone_by_Sentiment!$B$2:$B$37,Phone_by_Sentiment!F$2:F$37,"",0,1),0),$A895-TEXT(DATEVALUE($D895&amp;"-01"), "dd-mm-yyyy")),0),0)</f>
        <v>-110</v>
      </c>
      <c r="G895" cm="1">
        <f t="array" ref="G895">IF($Q895&gt;=0,IFERROR(generateSalesData($D895, IF(ISNUMBER(_xlfn.XLOOKUP($C895,Phone_by_Sentiment!$B$2:$B$37,Phone_by_Sentiment!G$2:G$37,"",0,1)),_xlfn.XLOOKUP($C895,Phone_by_Sentiment!$B$2:$B$37,Phone_by_Sentiment!G$2:G$37,"",0,1),0),$A895-TEXT(DATEVALUE($D895&amp;"-01"), "dd-mm-yyyy")),0),0)</f>
        <v>103</v>
      </c>
      <c r="H895" cm="1">
        <f t="array" ref="H895">IF($Q895&gt;=0,IFERROR(generateSalesData($D895, IF(ISNUMBER(_xlfn.XLOOKUP($C895,Phone_by_Sentiment!$B$2:$B$37,Phone_by_Sentiment!H$2:H$37,"",0,1)),_xlfn.XLOOKUP($C895,Phone_by_Sentiment!$B$2:$B$37,Phone_by_Sentiment!H$2:H$37,"",0,1),0),$A895-TEXT(DATEVALUE($D895&amp;"-01"), "dd-mm-yyyy")),0),0)</f>
        <v>223</v>
      </c>
      <c r="I895" cm="1">
        <f t="array" ref="I895">IF($Q895&gt;=0,IFERROR(generateSalesData($D895, IF(ISNUMBER(_xlfn.XLOOKUP($C895,Phone_by_Sentiment!$B$2:$B$37,Phone_by_Sentiment!I$2:I$37,"",0,1)),_xlfn.XLOOKUP($C895,Phone_by_Sentiment!$B$2:$B$37,Phone_by_Sentiment!I$2:I$37,"",0,1),0),$A895-TEXT(DATEVALUE($D895&amp;"-01"), "dd-mm-yyyy")),0),0)</f>
        <v>143</v>
      </c>
      <c r="J895" cm="1">
        <f t="array" ref="J895">IF($Q895&gt;=0,IFERROR(generateSalesData($D895, IF(ISNUMBER(_xlfn.XLOOKUP($C895,Phone_by_Sentiment!$B$2:$B$37,Phone_by_Sentiment!J$2:J$37,"",0,1)),_xlfn.XLOOKUP($C895,Phone_by_Sentiment!$B$2:$B$37,Phone_by_Sentiment!J$2:J$37,"",0,1),0),$A895-TEXT(DATEVALUE($D895&amp;"-01"), "dd-mm-yyyy")),0),0)</f>
        <v>741</v>
      </c>
      <c r="K895" cm="1">
        <f t="array" ref="K895">IF($Q895&gt;=0,IFERROR(generateSalesData($D895, IF(ISNUMBER(_xlfn.XLOOKUP($C895,Phone_by_Sentiment!$B$2:$B$37,Phone_by_Sentiment!K$2:K$37,"",0,1)),_xlfn.XLOOKUP($C895,Phone_by_Sentiment!$B$2:$B$37,Phone_by_Sentiment!K$2:K$37,"",0,1),0),$A895-TEXT(DATEVALUE($D895&amp;"-01"), "dd-mm-yyyy")),0),0)</f>
        <v>81</v>
      </c>
      <c r="L895" cm="1">
        <f t="array" ref="L895">IF($Q895&gt;=0,IFERROR(generateSalesData($D895, IF(ISNUMBER(_xlfn.XLOOKUP($C895,Phone_by_Sentiment!$B$2:$B$37,Phone_by_Sentiment!L$2:L$37,"",0,1)),_xlfn.XLOOKUP($C895,Phone_by_Sentiment!$B$2:$B$37,Phone_by_Sentiment!L$2:L$37,"",0,1),0),$A895-TEXT(DATEVALUE($D895&amp;"-01"), "dd-mm-yyyy")),0),0)</f>
        <v>766</v>
      </c>
      <c r="M895" cm="1">
        <f t="array" ref="M895">IF($Q895&gt;=0,IFERROR(generateSalesData($D895, IF(ISNUMBER(_xlfn.XLOOKUP($C895,Phone_by_Sentiment!$B$2:$B$37,Phone_by_Sentiment!M$2:M$37,"",0,1)),_xlfn.XLOOKUP($C895,Phone_by_Sentiment!$B$2:$B$37,Phone_by_Sentiment!M$2:M$37,"",0,1),0),$A895-TEXT(DATEVALUE($D895&amp;"-01"), "dd-mm-yyyy")),0),0)</f>
        <v>864</v>
      </c>
      <c r="N895" cm="1">
        <f t="array" ref="N895">IF($Q895&gt;=0,IFERROR(generateSalesData($D895, IF(ISNUMBER(_xlfn.XLOOKUP($C895,Phone_by_Sentiment!$B$2:$B$37,Phone_by_Sentiment!N$2:N$37,"",0,1)),_xlfn.XLOOKUP($C895,Phone_by_Sentiment!$B$2:$B$37,Phone_by_Sentiment!N$2:N$37,"",0,1),0),$A895-TEXT(DATEVALUE($D895&amp;"-01"), "dd-mm-yyyy")),0),0)</f>
        <v>524</v>
      </c>
      <c r="O895" cm="1">
        <f t="array" ref="O895">IF($Q895&gt;=0,IFERROR(generateSalesData($D895, IF(ISNUMBER(_xlfn.XLOOKUP($C895,Phone_by_Sentiment!$B$2:$B$37,Phone_by_Sentiment!O$2:O$37,"",0,1)),_xlfn.XLOOKUP($C895,Phone_by_Sentiment!$B$2:$B$37,Phone_by_Sentiment!O$2:O$37,"",0,1),0),$A895-TEXT(DATEVALUE($D895&amp;"-01"), "dd-mm-yyyy")),0),0)</f>
        <v>14</v>
      </c>
      <c r="P895" s="1">
        <f t="shared" si="34"/>
        <v>43862</v>
      </c>
      <c r="Q895">
        <f t="shared" si="35"/>
        <v>366</v>
      </c>
    </row>
    <row r="896" spans="1:17" x14ac:dyDescent="0.25">
      <c r="A896" s="1">
        <f t="shared" si="36"/>
        <v>44228</v>
      </c>
      <c r="B896" t="s">
        <v>144</v>
      </c>
      <c r="C896" t="str">
        <f>_xlfn.XLOOKUP(B896,Phone_by_Price!$A$2:$A$34,Phone_by_Price!$B$2:$B$34,"-",0,1)</f>
        <v>Xiaomi Redmi Note 10</v>
      </c>
      <c r="D896" t="str">
        <f>_xlfn.XLOOKUP(C896,Phone_by_Sentiment!$B$2:$B$37,Phone_by_Sentiment!$A$2:$A$37,"-",0,1)</f>
        <v>2021-03</v>
      </c>
      <c r="E896" cm="1">
        <f t="array" ref="E896">IF($Q896&gt;=0,IFERROR(generateSalesData($D896, IF(ISNUMBER(_xlfn.XLOOKUP($C896,Phone_by_Sentiment!$B$2:$B$37,Phone_by_Sentiment!E$2:E$37,"",0,1)),_xlfn.XLOOKUP($C896,Phone_by_Sentiment!$B$2:$B$37,Phone_by_Sentiment!E$2:E$37,"",0,1),0),$A896-TEXT(DATEVALUE($D896&amp;"-01"), "dd-mm-yyyy")),0),0)</f>
        <v>0</v>
      </c>
      <c r="F896" cm="1">
        <f t="array" ref="F896">IF($Q896&gt;=0,IFERROR(generateSalesData($D896, IF(ISNUMBER(_xlfn.XLOOKUP($C896,Phone_by_Sentiment!$B$2:$B$37,Phone_by_Sentiment!F$2:F$37,"",0,1)),_xlfn.XLOOKUP($C896,Phone_by_Sentiment!$B$2:$B$37,Phone_by_Sentiment!F$2:F$37,"",0,1),0),$A896-TEXT(DATEVALUE($D896&amp;"-01"), "dd-mm-yyyy")),0),0)</f>
        <v>0</v>
      </c>
      <c r="G896" cm="1">
        <f t="array" ref="G896">IF($Q896&gt;=0,IFERROR(generateSalesData($D896, IF(ISNUMBER(_xlfn.XLOOKUP($C896,Phone_by_Sentiment!$B$2:$B$37,Phone_by_Sentiment!G$2:G$37,"",0,1)),_xlfn.XLOOKUP($C896,Phone_by_Sentiment!$B$2:$B$37,Phone_by_Sentiment!G$2:G$37,"",0,1),0),$A896-TEXT(DATEVALUE($D896&amp;"-01"), "dd-mm-yyyy")),0),0)</f>
        <v>0</v>
      </c>
      <c r="H896" cm="1">
        <f t="array" ref="H896">IF($Q896&gt;=0,IFERROR(generateSalesData($D896, IF(ISNUMBER(_xlfn.XLOOKUP($C896,Phone_by_Sentiment!$B$2:$B$37,Phone_by_Sentiment!H$2:H$37,"",0,1)),_xlfn.XLOOKUP($C896,Phone_by_Sentiment!$B$2:$B$37,Phone_by_Sentiment!H$2:H$37,"",0,1),0),$A896-TEXT(DATEVALUE($D896&amp;"-01"), "dd-mm-yyyy")),0),0)</f>
        <v>0</v>
      </c>
      <c r="I896" cm="1">
        <f t="array" ref="I896">IF($Q896&gt;=0,IFERROR(generateSalesData($D896, IF(ISNUMBER(_xlfn.XLOOKUP($C896,Phone_by_Sentiment!$B$2:$B$37,Phone_by_Sentiment!I$2:I$37,"",0,1)),_xlfn.XLOOKUP($C896,Phone_by_Sentiment!$B$2:$B$37,Phone_by_Sentiment!I$2:I$37,"",0,1),0),$A896-TEXT(DATEVALUE($D896&amp;"-01"), "dd-mm-yyyy")),0),0)</f>
        <v>0</v>
      </c>
      <c r="J896" cm="1">
        <f t="array" ref="J896">IF($Q896&gt;=0,IFERROR(generateSalesData($D896, IF(ISNUMBER(_xlfn.XLOOKUP($C896,Phone_by_Sentiment!$B$2:$B$37,Phone_by_Sentiment!J$2:J$37,"",0,1)),_xlfn.XLOOKUP($C896,Phone_by_Sentiment!$B$2:$B$37,Phone_by_Sentiment!J$2:J$37,"",0,1),0),$A896-TEXT(DATEVALUE($D896&amp;"-01"), "dd-mm-yyyy")),0),0)</f>
        <v>0</v>
      </c>
      <c r="K896" cm="1">
        <f t="array" ref="K896">IF($Q896&gt;=0,IFERROR(generateSalesData($D896, IF(ISNUMBER(_xlfn.XLOOKUP($C896,Phone_by_Sentiment!$B$2:$B$37,Phone_by_Sentiment!K$2:K$37,"",0,1)),_xlfn.XLOOKUP($C896,Phone_by_Sentiment!$B$2:$B$37,Phone_by_Sentiment!K$2:K$37,"",0,1),0),$A896-TEXT(DATEVALUE($D896&amp;"-01"), "dd-mm-yyyy")),0),0)</f>
        <v>0</v>
      </c>
      <c r="L896" cm="1">
        <f t="array" ref="L896">IF($Q896&gt;=0,IFERROR(generateSalesData($D896, IF(ISNUMBER(_xlfn.XLOOKUP($C896,Phone_by_Sentiment!$B$2:$B$37,Phone_by_Sentiment!L$2:L$37,"",0,1)),_xlfn.XLOOKUP($C896,Phone_by_Sentiment!$B$2:$B$37,Phone_by_Sentiment!L$2:L$37,"",0,1),0),$A896-TEXT(DATEVALUE($D896&amp;"-01"), "dd-mm-yyyy")),0),0)</f>
        <v>0</v>
      </c>
      <c r="M896" cm="1">
        <f t="array" ref="M896">IF($Q896&gt;=0,IFERROR(generateSalesData($D896, IF(ISNUMBER(_xlfn.XLOOKUP($C896,Phone_by_Sentiment!$B$2:$B$37,Phone_by_Sentiment!M$2:M$37,"",0,1)),_xlfn.XLOOKUP($C896,Phone_by_Sentiment!$B$2:$B$37,Phone_by_Sentiment!M$2:M$37,"",0,1),0),$A896-TEXT(DATEVALUE($D896&amp;"-01"), "dd-mm-yyyy")),0),0)</f>
        <v>0</v>
      </c>
      <c r="N896" cm="1">
        <f t="array" ref="N896">IF($Q896&gt;=0,IFERROR(generateSalesData($D896, IF(ISNUMBER(_xlfn.XLOOKUP($C896,Phone_by_Sentiment!$B$2:$B$37,Phone_by_Sentiment!N$2:N$37,"",0,1)),_xlfn.XLOOKUP($C896,Phone_by_Sentiment!$B$2:$B$37,Phone_by_Sentiment!N$2:N$37,"",0,1),0),$A896-TEXT(DATEVALUE($D896&amp;"-01"), "dd-mm-yyyy")),0),0)</f>
        <v>0</v>
      </c>
      <c r="O896" cm="1">
        <f t="array" ref="O896">IF($Q896&gt;=0,IFERROR(generateSalesData($D896, IF(ISNUMBER(_xlfn.XLOOKUP($C896,Phone_by_Sentiment!$B$2:$B$37,Phone_by_Sentiment!O$2:O$37,"",0,1)),_xlfn.XLOOKUP($C896,Phone_by_Sentiment!$B$2:$B$37,Phone_by_Sentiment!O$2:O$37,"",0,1),0),$A896-TEXT(DATEVALUE($D896&amp;"-01"), "dd-mm-yyyy")),0),0)</f>
        <v>0</v>
      </c>
      <c r="P896" s="1">
        <f t="shared" si="34"/>
        <v>44256</v>
      </c>
      <c r="Q896">
        <f t="shared" si="35"/>
        <v>-28</v>
      </c>
    </row>
    <row r="897" spans="1:17" x14ac:dyDescent="0.25">
      <c r="A897" s="1">
        <f t="shared" si="36"/>
        <v>44228</v>
      </c>
      <c r="B897" t="s">
        <v>145</v>
      </c>
      <c r="C897" t="str">
        <f>_xlfn.XLOOKUP(B897,Phone_by_Price!$A$2:$A$34,Phone_by_Price!$B$2:$B$34,"-",0,1)</f>
        <v>OPPO A54</v>
      </c>
      <c r="D897" t="str">
        <f>_xlfn.XLOOKUP(C897,Phone_by_Sentiment!$B$2:$B$37,Phone_by_Sentiment!$A$2:$A$37,"-",0,1)</f>
        <v>2021-04</v>
      </c>
      <c r="E897" cm="1">
        <f t="array" ref="E897">IF($Q897&gt;=0,IFERROR(generateSalesData($D897, IF(ISNUMBER(_xlfn.XLOOKUP($C897,Phone_by_Sentiment!$B$2:$B$37,Phone_by_Sentiment!E$2:E$37,"",0,1)),_xlfn.XLOOKUP($C897,Phone_by_Sentiment!$B$2:$B$37,Phone_by_Sentiment!E$2:E$37,"",0,1),0),$A897-TEXT(DATEVALUE($D897&amp;"-01"), "dd-mm-yyyy")),0),0)</f>
        <v>0</v>
      </c>
      <c r="F897" cm="1">
        <f t="array" ref="F897">IF($Q897&gt;=0,IFERROR(generateSalesData($D897, IF(ISNUMBER(_xlfn.XLOOKUP($C897,Phone_by_Sentiment!$B$2:$B$37,Phone_by_Sentiment!F$2:F$37,"",0,1)),_xlfn.XLOOKUP($C897,Phone_by_Sentiment!$B$2:$B$37,Phone_by_Sentiment!F$2:F$37,"",0,1),0),$A897-TEXT(DATEVALUE($D897&amp;"-01"), "dd-mm-yyyy")),0),0)</f>
        <v>0</v>
      </c>
      <c r="G897" cm="1">
        <f t="array" ref="G897">IF($Q897&gt;=0,IFERROR(generateSalesData($D897, IF(ISNUMBER(_xlfn.XLOOKUP($C897,Phone_by_Sentiment!$B$2:$B$37,Phone_by_Sentiment!G$2:G$37,"",0,1)),_xlfn.XLOOKUP($C897,Phone_by_Sentiment!$B$2:$B$37,Phone_by_Sentiment!G$2:G$37,"",0,1),0),$A897-TEXT(DATEVALUE($D897&amp;"-01"), "dd-mm-yyyy")),0),0)</f>
        <v>0</v>
      </c>
      <c r="H897" cm="1">
        <f t="array" ref="H897">IF($Q897&gt;=0,IFERROR(generateSalesData($D897, IF(ISNUMBER(_xlfn.XLOOKUP($C897,Phone_by_Sentiment!$B$2:$B$37,Phone_by_Sentiment!H$2:H$37,"",0,1)),_xlfn.XLOOKUP($C897,Phone_by_Sentiment!$B$2:$B$37,Phone_by_Sentiment!H$2:H$37,"",0,1),0),$A897-TEXT(DATEVALUE($D897&amp;"-01"), "dd-mm-yyyy")),0),0)</f>
        <v>0</v>
      </c>
      <c r="I897" cm="1">
        <f t="array" ref="I897">IF($Q897&gt;=0,IFERROR(generateSalesData($D897, IF(ISNUMBER(_xlfn.XLOOKUP($C897,Phone_by_Sentiment!$B$2:$B$37,Phone_by_Sentiment!I$2:I$37,"",0,1)),_xlfn.XLOOKUP($C897,Phone_by_Sentiment!$B$2:$B$37,Phone_by_Sentiment!I$2:I$37,"",0,1),0),$A897-TEXT(DATEVALUE($D897&amp;"-01"), "dd-mm-yyyy")),0),0)</f>
        <v>0</v>
      </c>
      <c r="J897" cm="1">
        <f t="array" ref="J897">IF($Q897&gt;=0,IFERROR(generateSalesData($D897, IF(ISNUMBER(_xlfn.XLOOKUP($C897,Phone_by_Sentiment!$B$2:$B$37,Phone_by_Sentiment!J$2:J$37,"",0,1)),_xlfn.XLOOKUP($C897,Phone_by_Sentiment!$B$2:$B$37,Phone_by_Sentiment!J$2:J$37,"",0,1),0),$A897-TEXT(DATEVALUE($D897&amp;"-01"), "dd-mm-yyyy")),0),0)</f>
        <v>0</v>
      </c>
      <c r="K897" cm="1">
        <f t="array" ref="K897">IF($Q897&gt;=0,IFERROR(generateSalesData($D897, IF(ISNUMBER(_xlfn.XLOOKUP($C897,Phone_by_Sentiment!$B$2:$B$37,Phone_by_Sentiment!K$2:K$37,"",0,1)),_xlfn.XLOOKUP($C897,Phone_by_Sentiment!$B$2:$B$37,Phone_by_Sentiment!K$2:K$37,"",0,1),0),$A897-TEXT(DATEVALUE($D897&amp;"-01"), "dd-mm-yyyy")),0),0)</f>
        <v>0</v>
      </c>
      <c r="L897" cm="1">
        <f t="array" ref="L897">IF($Q897&gt;=0,IFERROR(generateSalesData($D897, IF(ISNUMBER(_xlfn.XLOOKUP($C897,Phone_by_Sentiment!$B$2:$B$37,Phone_by_Sentiment!L$2:L$37,"",0,1)),_xlfn.XLOOKUP($C897,Phone_by_Sentiment!$B$2:$B$37,Phone_by_Sentiment!L$2:L$37,"",0,1),0),$A897-TEXT(DATEVALUE($D897&amp;"-01"), "dd-mm-yyyy")),0),0)</f>
        <v>0</v>
      </c>
      <c r="M897" cm="1">
        <f t="array" ref="M897">IF($Q897&gt;=0,IFERROR(generateSalesData($D897, IF(ISNUMBER(_xlfn.XLOOKUP($C897,Phone_by_Sentiment!$B$2:$B$37,Phone_by_Sentiment!M$2:M$37,"",0,1)),_xlfn.XLOOKUP($C897,Phone_by_Sentiment!$B$2:$B$37,Phone_by_Sentiment!M$2:M$37,"",0,1),0),$A897-TEXT(DATEVALUE($D897&amp;"-01"), "dd-mm-yyyy")),0),0)</f>
        <v>0</v>
      </c>
      <c r="N897" cm="1">
        <f t="array" ref="N897">IF($Q897&gt;=0,IFERROR(generateSalesData($D897, IF(ISNUMBER(_xlfn.XLOOKUP($C897,Phone_by_Sentiment!$B$2:$B$37,Phone_by_Sentiment!N$2:N$37,"",0,1)),_xlfn.XLOOKUP($C897,Phone_by_Sentiment!$B$2:$B$37,Phone_by_Sentiment!N$2:N$37,"",0,1),0),$A897-TEXT(DATEVALUE($D897&amp;"-01"), "dd-mm-yyyy")),0),0)</f>
        <v>0</v>
      </c>
      <c r="O897" cm="1">
        <f t="array" ref="O897">IF($Q897&gt;=0,IFERROR(generateSalesData($D897, IF(ISNUMBER(_xlfn.XLOOKUP($C897,Phone_by_Sentiment!$B$2:$B$37,Phone_by_Sentiment!O$2:O$37,"",0,1)),_xlfn.XLOOKUP($C897,Phone_by_Sentiment!$B$2:$B$37,Phone_by_Sentiment!O$2:O$37,"",0,1),0),$A897-TEXT(DATEVALUE($D897&amp;"-01"), "dd-mm-yyyy")),0),0)</f>
        <v>0</v>
      </c>
      <c r="P897" s="1">
        <f t="shared" si="34"/>
        <v>44287</v>
      </c>
      <c r="Q897">
        <f t="shared" si="35"/>
        <v>-59</v>
      </c>
    </row>
    <row r="898" spans="1:17" x14ac:dyDescent="0.25">
      <c r="A898" s="1">
        <f t="shared" si="36"/>
        <v>44228</v>
      </c>
      <c r="B898" t="s">
        <v>146</v>
      </c>
      <c r="C898" t="str">
        <f>_xlfn.XLOOKUP(B898,Phone_by_Price!$A$2:$A$34,Phone_by_Price!$B$2:$B$34,"-",0,1)</f>
        <v>Vivo Y20</v>
      </c>
      <c r="D898" t="str">
        <f>_xlfn.XLOOKUP(C898,Phone_by_Sentiment!$B$2:$B$37,Phone_by_Sentiment!$A$2:$A$37,"-",0,1)</f>
        <v>2020-09</v>
      </c>
      <c r="E898" cm="1">
        <f t="array" ref="E898">IF($Q898&gt;=0,IFERROR(generateSalesData($D898, IF(ISNUMBER(_xlfn.XLOOKUP($C898,Phone_by_Sentiment!$B$2:$B$37,Phone_by_Sentiment!E$2:E$37,"",0,1)),_xlfn.XLOOKUP($C898,Phone_by_Sentiment!$B$2:$B$37,Phone_by_Sentiment!E$2:E$37,"",0,1),0),$A898-TEXT(DATEVALUE($D898&amp;"-01"), "dd-mm-yyyy")),0),0)</f>
        <v>1282</v>
      </c>
      <c r="F898" cm="1">
        <f t="array" ref="F898">IF($Q898&gt;=0,IFERROR(generateSalesData($D898, IF(ISNUMBER(_xlfn.XLOOKUP($C898,Phone_by_Sentiment!$B$2:$B$37,Phone_by_Sentiment!F$2:F$37,"",0,1)),_xlfn.XLOOKUP($C898,Phone_by_Sentiment!$B$2:$B$37,Phone_by_Sentiment!F$2:F$37,"",0,1),0),$A898-TEXT(DATEVALUE($D898&amp;"-01"), "dd-mm-yyyy")),0),0)</f>
        <v>1197</v>
      </c>
      <c r="G898" cm="1">
        <f t="array" ref="G898">IF($Q898&gt;=0,IFERROR(generateSalesData($D898, IF(ISNUMBER(_xlfn.XLOOKUP($C898,Phone_by_Sentiment!$B$2:$B$37,Phone_by_Sentiment!G$2:G$37,"",0,1)),_xlfn.XLOOKUP($C898,Phone_by_Sentiment!$B$2:$B$37,Phone_by_Sentiment!G$2:G$37,"",0,1),0),$A898-TEXT(DATEVALUE($D898&amp;"-01"), "dd-mm-yyyy")),0),0)</f>
        <v>615</v>
      </c>
      <c r="H898" cm="1">
        <f t="array" ref="H898">IF($Q898&gt;=0,IFERROR(generateSalesData($D898, IF(ISNUMBER(_xlfn.XLOOKUP($C898,Phone_by_Sentiment!$B$2:$B$37,Phone_by_Sentiment!H$2:H$37,"",0,1)),_xlfn.XLOOKUP($C898,Phone_by_Sentiment!$B$2:$B$37,Phone_by_Sentiment!H$2:H$37,"",0,1),0),$A898-TEXT(DATEVALUE($D898&amp;"-01"), "dd-mm-yyyy")),0),0)</f>
        <v>198</v>
      </c>
      <c r="I898" cm="1">
        <f t="array" ref="I898">IF($Q898&gt;=0,IFERROR(generateSalesData($D898, IF(ISNUMBER(_xlfn.XLOOKUP($C898,Phone_by_Sentiment!$B$2:$B$37,Phone_by_Sentiment!I$2:I$37,"",0,1)),_xlfn.XLOOKUP($C898,Phone_by_Sentiment!$B$2:$B$37,Phone_by_Sentiment!I$2:I$37,"",0,1),0),$A898-TEXT(DATEVALUE($D898&amp;"-01"), "dd-mm-yyyy")),0),0)</f>
        <v>586</v>
      </c>
      <c r="J898" cm="1">
        <f t="array" ref="J898">IF($Q898&gt;=0,IFERROR(generateSalesData($D898, IF(ISNUMBER(_xlfn.XLOOKUP($C898,Phone_by_Sentiment!$B$2:$B$37,Phone_by_Sentiment!J$2:J$37,"",0,1)),_xlfn.XLOOKUP($C898,Phone_by_Sentiment!$B$2:$B$37,Phone_by_Sentiment!J$2:J$37,"",0,1),0),$A898-TEXT(DATEVALUE($D898&amp;"-01"), "dd-mm-yyyy")),0),0)</f>
        <v>491</v>
      </c>
      <c r="K898" cm="1">
        <f t="array" ref="K898">IF($Q898&gt;=0,IFERROR(generateSalesData($D898, IF(ISNUMBER(_xlfn.XLOOKUP($C898,Phone_by_Sentiment!$B$2:$B$37,Phone_by_Sentiment!K$2:K$37,"",0,1)),_xlfn.XLOOKUP($C898,Phone_by_Sentiment!$B$2:$B$37,Phone_by_Sentiment!K$2:K$37,"",0,1),0),$A898-TEXT(DATEVALUE($D898&amp;"-01"), "dd-mm-yyyy")),0),0)</f>
        <v>491</v>
      </c>
      <c r="L898" cm="1">
        <f t="array" ref="L898">IF($Q898&gt;=0,IFERROR(generateSalesData($D898, IF(ISNUMBER(_xlfn.XLOOKUP($C898,Phone_by_Sentiment!$B$2:$B$37,Phone_by_Sentiment!L$2:L$37,"",0,1)),_xlfn.XLOOKUP($C898,Phone_by_Sentiment!$B$2:$B$37,Phone_by_Sentiment!L$2:L$37,"",0,1),0),$A898-TEXT(DATEVALUE($D898&amp;"-01"), "dd-mm-yyyy")),0),0)</f>
        <v>90</v>
      </c>
      <c r="M898" cm="1">
        <f t="array" ref="M898">IF($Q898&gt;=0,IFERROR(generateSalesData($D898, IF(ISNUMBER(_xlfn.XLOOKUP($C898,Phone_by_Sentiment!$B$2:$B$37,Phone_by_Sentiment!M$2:M$37,"",0,1)),_xlfn.XLOOKUP($C898,Phone_by_Sentiment!$B$2:$B$37,Phone_by_Sentiment!M$2:M$37,"",0,1),0),$A898-TEXT(DATEVALUE($D898&amp;"-01"), "dd-mm-yyyy")),0),0)</f>
        <v>248</v>
      </c>
      <c r="N898" cm="1">
        <f t="array" ref="N898">IF($Q898&gt;=0,IFERROR(generateSalesData($D898, IF(ISNUMBER(_xlfn.XLOOKUP($C898,Phone_by_Sentiment!$B$2:$B$37,Phone_by_Sentiment!N$2:N$37,"",0,1)),_xlfn.XLOOKUP($C898,Phone_by_Sentiment!$B$2:$B$37,Phone_by_Sentiment!N$2:N$37,"",0,1),0),$A898-TEXT(DATEVALUE($D898&amp;"-01"), "dd-mm-yyyy")),0),0)</f>
        <v>171</v>
      </c>
      <c r="O898" cm="1">
        <f t="array" ref="O898">IF($Q898&gt;=0,IFERROR(generateSalesData($D898, IF(ISNUMBER(_xlfn.XLOOKUP($C898,Phone_by_Sentiment!$B$2:$B$37,Phone_by_Sentiment!O$2:O$37,"",0,1)),_xlfn.XLOOKUP($C898,Phone_by_Sentiment!$B$2:$B$37,Phone_by_Sentiment!O$2:O$37,"",0,1),0),$A898-TEXT(DATEVALUE($D898&amp;"-01"), "dd-mm-yyyy")),0),0)</f>
        <v>508</v>
      </c>
      <c r="P898" s="1">
        <f t="shared" si="34"/>
        <v>44075</v>
      </c>
      <c r="Q898">
        <f t="shared" si="35"/>
        <v>153</v>
      </c>
    </row>
    <row r="899" spans="1:17" x14ac:dyDescent="0.25">
      <c r="A899" s="1">
        <f t="shared" si="36"/>
        <v>44228</v>
      </c>
      <c r="B899" t="s">
        <v>147</v>
      </c>
      <c r="C899" t="str">
        <f>_xlfn.XLOOKUP(B899,Phone_by_Price!$A$2:$A$34,Phone_by_Price!$B$2:$B$34,"-",0,1)</f>
        <v>Huawei Y9a</v>
      </c>
      <c r="D899" t="str">
        <f>_xlfn.XLOOKUP(C899,Phone_by_Sentiment!$B$2:$B$37,Phone_by_Sentiment!$A$2:$A$37,"-",0,1)</f>
        <v>2020-02</v>
      </c>
      <c r="E899" cm="1">
        <f t="array" ref="E899">IF($Q899&gt;=0,IFERROR(generateSalesData($D899, IF(ISNUMBER(_xlfn.XLOOKUP($C899,Phone_by_Sentiment!$B$2:$B$37,Phone_by_Sentiment!E$2:E$37,"",0,1)),_xlfn.XLOOKUP($C899,Phone_by_Sentiment!$B$2:$B$37,Phone_by_Sentiment!E$2:E$37,"",0,1),0),$A899-TEXT(DATEVALUE($D899&amp;"-01"), "dd-mm-yyyy")),0),0)</f>
        <v>391</v>
      </c>
      <c r="F899" cm="1">
        <f t="array" ref="F899">IF($Q899&gt;=0,IFERROR(generateSalesData($D899, IF(ISNUMBER(_xlfn.XLOOKUP($C899,Phone_by_Sentiment!$B$2:$B$37,Phone_by_Sentiment!F$2:F$37,"",0,1)),_xlfn.XLOOKUP($C899,Phone_by_Sentiment!$B$2:$B$37,Phone_by_Sentiment!F$2:F$37,"",0,1),0),$A899-TEXT(DATEVALUE($D899&amp;"-01"), "dd-mm-yyyy")),0),0)</f>
        <v>950</v>
      </c>
      <c r="G899" cm="1">
        <f t="array" ref="G899">IF($Q899&gt;=0,IFERROR(generateSalesData($D899, IF(ISNUMBER(_xlfn.XLOOKUP($C899,Phone_by_Sentiment!$B$2:$B$37,Phone_by_Sentiment!G$2:G$37,"",0,1)),_xlfn.XLOOKUP($C899,Phone_by_Sentiment!$B$2:$B$37,Phone_by_Sentiment!G$2:G$37,"",0,1),0),$A899-TEXT(DATEVALUE($D899&amp;"-01"), "dd-mm-yyyy")),0),0)</f>
        <v>158</v>
      </c>
      <c r="H899" cm="1">
        <f t="array" ref="H899">IF($Q899&gt;=0,IFERROR(generateSalesData($D899, IF(ISNUMBER(_xlfn.XLOOKUP($C899,Phone_by_Sentiment!$B$2:$B$37,Phone_by_Sentiment!H$2:H$37,"",0,1)),_xlfn.XLOOKUP($C899,Phone_by_Sentiment!$B$2:$B$37,Phone_by_Sentiment!H$2:H$37,"",0,1),0),$A899-TEXT(DATEVALUE($D899&amp;"-01"), "dd-mm-yyyy")),0),0)</f>
        <v>99</v>
      </c>
      <c r="I899" cm="1">
        <f t="array" ref="I899">IF($Q899&gt;=0,IFERROR(generateSalesData($D899, IF(ISNUMBER(_xlfn.XLOOKUP($C899,Phone_by_Sentiment!$B$2:$B$37,Phone_by_Sentiment!I$2:I$37,"",0,1)),_xlfn.XLOOKUP($C899,Phone_by_Sentiment!$B$2:$B$37,Phone_by_Sentiment!I$2:I$37,"",0,1),0),$A899-TEXT(DATEVALUE($D899&amp;"-01"), "dd-mm-yyyy")),0),0)</f>
        <v>79</v>
      </c>
      <c r="J899" cm="1">
        <f t="array" ref="J899">IF($Q899&gt;=0,IFERROR(generateSalesData($D899, IF(ISNUMBER(_xlfn.XLOOKUP($C899,Phone_by_Sentiment!$B$2:$B$37,Phone_by_Sentiment!J$2:J$37,"",0,1)),_xlfn.XLOOKUP($C899,Phone_by_Sentiment!$B$2:$B$37,Phone_by_Sentiment!J$2:J$37,"",0,1),0),$A899-TEXT(DATEVALUE($D899&amp;"-01"), "dd-mm-yyyy")),0),0)</f>
        <v>127</v>
      </c>
      <c r="K899" cm="1">
        <f t="array" ref="K899">IF($Q899&gt;=0,IFERROR(generateSalesData($D899, IF(ISNUMBER(_xlfn.XLOOKUP($C899,Phone_by_Sentiment!$B$2:$B$37,Phone_by_Sentiment!K$2:K$37,"",0,1)),_xlfn.XLOOKUP($C899,Phone_by_Sentiment!$B$2:$B$37,Phone_by_Sentiment!K$2:K$37,"",0,1),0),$A899-TEXT(DATEVALUE($D899&amp;"-01"), "dd-mm-yyyy")),0),0)</f>
        <v>216</v>
      </c>
      <c r="L899" cm="1">
        <f t="array" ref="L899">IF($Q899&gt;=0,IFERROR(generateSalesData($D899, IF(ISNUMBER(_xlfn.XLOOKUP($C899,Phone_by_Sentiment!$B$2:$B$37,Phone_by_Sentiment!L$2:L$37,"",0,1)),_xlfn.XLOOKUP($C899,Phone_by_Sentiment!$B$2:$B$37,Phone_by_Sentiment!L$2:L$37,"",0,1),0),$A899-TEXT(DATEVALUE($D899&amp;"-01"), "dd-mm-yyyy")),0),0)</f>
        <v>223</v>
      </c>
      <c r="M899" cm="1">
        <f t="array" ref="M899">IF($Q899&gt;=0,IFERROR(generateSalesData($D899, IF(ISNUMBER(_xlfn.XLOOKUP($C899,Phone_by_Sentiment!$B$2:$B$37,Phone_by_Sentiment!M$2:M$37,"",0,1)),_xlfn.XLOOKUP($C899,Phone_by_Sentiment!$B$2:$B$37,Phone_by_Sentiment!M$2:M$37,"",0,1),0),$A899-TEXT(DATEVALUE($D899&amp;"-01"), "dd-mm-yyyy")),0),0)</f>
        <v>218</v>
      </c>
      <c r="N899" cm="1">
        <f t="array" ref="N899">IF($Q899&gt;=0,IFERROR(generateSalesData($D899, IF(ISNUMBER(_xlfn.XLOOKUP($C899,Phone_by_Sentiment!$B$2:$B$37,Phone_by_Sentiment!N$2:N$37,"",0,1)),_xlfn.XLOOKUP($C899,Phone_by_Sentiment!$B$2:$B$37,Phone_by_Sentiment!N$2:N$37,"",0,1),0),$A899-TEXT(DATEVALUE($D899&amp;"-01"), "dd-mm-yyyy")),0),0)</f>
        <v>276</v>
      </c>
      <c r="O899" cm="1">
        <f t="array" ref="O899">IF($Q899&gt;=0,IFERROR(generateSalesData($D899, IF(ISNUMBER(_xlfn.XLOOKUP($C899,Phone_by_Sentiment!$B$2:$B$37,Phone_by_Sentiment!O$2:O$37,"",0,1)),_xlfn.XLOOKUP($C899,Phone_by_Sentiment!$B$2:$B$37,Phone_by_Sentiment!O$2:O$37,"",0,1),0),$A899-TEXT(DATEVALUE($D899&amp;"-01"), "dd-mm-yyyy")),0),0)</f>
        <v>192</v>
      </c>
      <c r="P899" s="1">
        <f t="shared" si="34"/>
        <v>43862</v>
      </c>
      <c r="Q899">
        <f t="shared" si="35"/>
        <v>366</v>
      </c>
    </row>
    <row r="900" spans="1:17" x14ac:dyDescent="0.25">
      <c r="A900" s="1">
        <f t="shared" si="36"/>
        <v>44228</v>
      </c>
      <c r="B900" t="s">
        <v>148</v>
      </c>
      <c r="C900" t="str">
        <f>_xlfn.XLOOKUP(B900,Phone_by_Price!$A$2:$A$34,Phone_by_Price!$B$2:$B$34,"-",0,1)</f>
        <v>Xiaomi Redmi 10</v>
      </c>
      <c r="D900" t="str">
        <f>_xlfn.XLOOKUP(C900,Phone_by_Sentiment!$B$2:$B$37,Phone_by_Sentiment!$A$2:$A$37,"-",0,1)</f>
        <v>2021-03</v>
      </c>
      <c r="E900" cm="1">
        <f t="array" ref="E900">IF($Q900&gt;=0,IFERROR(generateSalesData($D900, IF(ISNUMBER(_xlfn.XLOOKUP($C900,Phone_by_Sentiment!$B$2:$B$37,Phone_by_Sentiment!E$2:E$37,"",0,1)),_xlfn.XLOOKUP($C900,Phone_by_Sentiment!$B$2:$B$37,Phone_by_Sentiment!E$2:E$37,"",0,1),0),$A900-TEXT(DATEVALUE($D900&amp;"-01"), "dd-mm-yyyy")),0),0)</f>
        <v>0</v>
      </c>
      <c r="F900" cm="1">
        <f t="array" ref="F900">IF($Q900&gt;=0,IFERROR(generateSalesData($D900, IF(ISNUMBER(_xlfn.XLOOKUP($C900,Phone_by_Sentiment!$B$2:$B$37,Phone_by_Sentiment!F$2:F$37,"",0,1)),_xlfn.XLOOKUP($C900,Phone_by_Sentiment!$B$2:$B$37,Phone_by_Sentiment!F$2:F$37,"",0,1),0),$A900-TEXT(DATEVALUE($D900&amp;"-01"), "dd-mm-yyyy")),0),0)</f>
        <v>0</v>
      </c>
      <c r="G900" cm="1">
        <f t="array" ref="G900">IF($Q900&gt;=0,IFERROR(generateSalesData($D900, IF(ISNUMBER(_xlfn.XLOOKUP($C900,Phone_by_Sentiment!$B$2:$B$37,Phone_by_Sentiment!G$2:G$37,"",0,1)),_xlfn.XLOOKUP($C900,Phone_by_Sentiment!$B$2:$B$37,Phone_by_Sentiment!G$2:G$37,"",0,1),0),$A900-TEXT(DATEVALUE($D900&amp;"-01"), "dd-mm-yyyy")),0),0)</f>
        <v>0</v>
      </c>
      <c r="H900" cm="1">
        <f t="array" ref="H900">IF($Q900&gt;=0,IFERROR(generateSalesData($D900, IF(ISNUMBER(_xlfn.XLOOKUP($C900,Phone_by_Sentiment!$B$2:$B$37,Phone_by_Sentiment!H$2:H$37,"",0,1)),_xlfn.XLOOKUP($C900,Phone_by_Sentiment!$B$2:$B$37,Phone_by_Sentiment!H$2:H$37,"",0,1),0),$A900-TEXT(DATEVALUE($D900&amp;"-01"), "dd-mm-yyyy")),0),0)</f>
        <v>0</v>
      </c>
      <c r="I900" cm="1">
        <f t="array" ref="I900">IF($Q900&gt;=0,IFERROR(generateSalesData($D900, IF(ISNUMBER(_xlfn.XLOOKUP($C900,Phone_by_Sentiment!$B$2:$B$37,Phone_by_Sentiment!I$2:I$37,"",0,1)),_xlfn.XLOOKUP($C900,Phone_by_Sentiment!$B$2:$B$37,Phone_by_Sentiment!I$2:I$37,"",0,1),0),$A900-TEXT(DATEVALUE($D900&amp;"-01"), "dd-mm-yyyy")),0),0)</f>
        <v>0</v>
      </c>
      <c r="J900" cm="1">
        <f t="array" ref="J900">IF($Q900&gt;=0,IFERROR(generateSalesData($D900, IF(ISNUMBER(_xlfn.XLOOKUP($C900,Phone_by_Sentiment!$B$2:$B$37,Phone_by_Sentiment!J$2:J$37,"",0,1)),_xlfn.XLOOKUP($C900,Phone_by_Sentiment!$B$2:$B$37,Phone_by_Sentiment!J$2:J$37,"",0,1),0),$A900-TEXT(DATEVALUE($D900&amp;"-01"), "dd-mm-yyyy")),0),0)</f>
        <v>0</v>
      </c>
      <c r="K900" cm="1">
        <f t="array" ref="K900">IF($Q900&gt;=0,IFERROR(generateSalesData($D900, IF(ISNUMBER(_xlfn.XLOOKUP($C900,Phone_by_Sentiment!$B$2:$B$37,Phone_by_Sentiment!K$2:K$37,"",0,1)),_xlfn.XLOOKUP($C900,Phone_by_Sentiment!$B$2:$B$37,Phone_by_Sentiment!K$2:K$37,"",0,1),0),$A900-TEXT(DATEVALUE($D900&amp;"-01"), "dd-mm-yyyy")),0),0)</f>
        <v>0</v>
      </c>
      <c r="L900" cm="1">
        <f t="array" ref="L900">IF($Q900&gt;=0,IFERROR(generateSalesData($D900, IF(ISNUMBER(_xlfn.XLOOKUP($C900,Phone_by_Sentiment!$B$2:$B$37,Phone_by_Sentiment!L$2:L$37,"",0,1)),_xlfn.XLOOKUP($C900,Phone_by_Sentiment!$B$2:$B$37,Phone_by_Sentiment!L$2:L$37,"",0,1),0),$A900-TEXT(DATEVALUE($D900&amp;"-01"), "dd-mm-yyyy")),0),0)</f>
        <v>0</v>
      </c>
      <c r="M900" cm="1">
        <f t="array" ref="M900">IF($Q900&gt;=0,IFERROR(generateSalesData($D900, IF(ISNUMBER(_xlfn.XLOOKUP($C900,Phone_by_Sentiment!$B$2:$B$37,Phone_by_Sentiment!M$2:M$37,"",0,1)),_xlfn.XLOOKUP($C900,Phone_by_Sentiment!$B$2:$B$37,Phone_by_Sentiment!M$2:M$37,"",0,1),0),$A900-TEXT(DATEVALUE($D900&amp;"-01"), "dd-mm-yyyy")),0),0)</f>
        <v>0</v>
      </c>
      <c r="N900" cm="1">
        <f t="array" ref="N900">IF($Q900&gt;=0,IFERROR(generateSalesData($D900, IF(ISNUMBER(_xlfn.XLOOKUP($C900,Phone_by_Sentiment!$B$2:$B$37,Phone_by_Sentiment!N$2:N$37,"",0,1)),_xlfn.XLOOKUP($C900,Phone_by_Sentiment!$B$2:$B$37,Phone_by_Sentiment!N$2:N$37,"",0,1),0),$A900-TEXT(DATEVALUE($D900&amp;"-01"), "dd-mm-yyyy")),0),0)</f>
        <v>0</v>
      </c>
      <c r="O900" cm="1">
        <f t="array" ref="O900">IF($Q900&gt;=0,IFERROR(generateSalesData($D900, IF(ISNUMBER(_xlfn.XLOOKUP($C900,Phone_by_Sentiment!$B$2:$B$37,Phone_by_Sentiment!O$2:O$37,"",0,1)),_xlfn.XLOOKUP($C900,Phone_by_Sentiment!$B$2:$B$37,Phone_by_Sentiment!O$2:O$37,"",0,1),0),$A900-TEXT(DATEVALUE($D900&amp;"-01"), "dd-mm-yyyy")),0),0)</f>
        <v>0</v>
      </c>
      <c r="P900" s="1">
        <f t="shared" ref="P900:P963" si="37">DATEVALUE($D900&amp;"-01")</f>
        <v>44256</v>
      </c>
      <c r="Q900">
        <f t="shared" ref="Q900:Q963" si="38">A900-P900</f>
        <v>-28</v>
      </c>
    </row>
    <row r="901" spans="1:17" x14ac:dyDescent="0.25">
      <c r="A901" s="1">
        <f t="shared" si="36"/>
        <v>44228</v>
      </c>
      <c r="B901" t="s">
        <v>149</v>
      </c>
      <c r="C901" t="str">
        <f>_xlfn.XLOOKUP(B901,Phone_by_Price!$A$2:$A$34,Phone_by_Price!$B$2:$B$34,"-",0,1)</f>
        <v>Samsung Galaxy A52</v>
      </c>
      <c r="D901" t="str">
        <f>_xlfn.XLOOKUP(C901,Phone_by_Sentiment!$B$2:$B$37,Phone_by_Sentiment!$A$2:$A$37,"-",0,1)</f>
        <v>2021-03</v>
      </c>
      <c r="E901" cm="1">
        <f t="array" ref="E901">IF($Q901&gt;=0,IFERROR(generateSalesData($D901, IF(ISNUMBER(_xlfn.XLOOKUP($C901,Phone_by_Sentiment!$B$2:$B$37,Phone_by_Sentiment!E$2:E$37,"",0,1)),_xlfn.XLOOKUP($C901,Phone_by_Sentiment!$B$2:$B$37,Phone_by_Sentiment!E$2:E$37,"",0,1),0),$A901-TEXT(DATEVALUE($D901&amp;"-01"), "dd-mm-yyyy")),0),0)</f>
        <v>0</v>
      </c>
      <c r="F901" cm="1">
        <f t="array" ref="F901">IF($Q901&gt;=0,IFERROR(generateSalesData($D901, IF(ISNUMBER(_xlfn.XLOOKUP($C901,Phone_by_Sentiment!$B$2:$B$37,Phone_by_Sentiment!F$2:F$37,"",0,1)),_xlfn.XLOOKUP($C901,Phone_by_Sentiment!$B$2:$B$37,Phone_by_Sentiment!F$2:F$37,"",0,1),0),$A901-TEXT(DATEVALUE($D901&amp;"-01"), "dd-mm-yyyy")),0),0)</f>
        <v>0</v>
      </c>
      <c r="G901" cm="1">
        <f t="array" ref="G901">IF($Q901&gt;=0,IFERROR(generateSalesData($D901, IF(ISNUMBER(_xlfn.XLOOKUP($C901,Phone_by_Sentiment!$B$2:$B$37,Phone_by_Sentiment!G$2:G$37,"",0,1)),_xlfn.XLOOKUP($C901,Phone_by_Sentiment!$B$2:$B$37,Phone_by_Sentiment!G$2:G$37,"",0,1),0),$A901-TEXT(DATEVALUE($D901&amp;"-01"), "dd-mm-yyyy")),0),0)</f>
        <v>0</v>
      </c>
      <c r="H901" cm="1">
        <f t="array" ref="H901">IF($Q901&gt;=0,IFERROR(generateSalesData($D901, IF(ISNUMBER(_xlfn.XLOOKUP($C901,Phone_by_Sentiment!$B$2:$B$37,Phone_by_Sentiment!H$2:H$37,"",0,1)),_xlfn.XLOOKUP($C901,Phone_by_Sentiment!$B$2:$B$37,Phone_by_Sentiment!H$2:H$37,"",0,1),0),$A901-TEXT(DATEVALUE($D901&amp;"-01"), "dd-mm-yyyy")),0),0)</f>
        <v>0</v>
      </c>
      <c r="I901" cm="1">
        <f t="array" ref="I901">IF($Q901&gt;=0,IFERROR(generateSalesData($D901, IF(ISNUMBER(_xlfn.XLOOKUP($C901,Phone_by_Sentiment!$B$2:$B$37,Phone_by_Sentiment!I$2:I$37,"",0,1)),_xlfn.XLOOKUP($C901,Phone_by_Sentiment!$B$2:$B$37,Phone_by_Sentiment!I$2:I$37,"",0,1),0),$A901-TEXT(DATEVALUE($D901&amp;"-01"), "dd-mm-yyyy")),0),0)</f>
        <v>0</v>
      </c>
      <c r="J901" cm="1">
        <f t="array" ref="J901">IF($Q901&gt;=0,IFERROR(generateSalesData($D901, IF(ISNUMBER(_xlfn.XLOOKUP($C901,Phone_by_Sentiment!$B$2:$B$37,Phone_by_Sentiment!J$2:J$37,"",0,1)),_xlfn.XLOOKUP($C901,Phone_by_Sentiment!$B$2:$B$37,Phone_by_Sentiment!J$2:J$37,"",0,1),0),$A901-TEXT(DATEVALUE($D901&amp;"-01"), "dd-mm-yyyy")),0),0)</f>
        <v>0</v>
      </c>
      <c r="K901" cm="1">
        <f t="array" ref="K901">IF($Q901&gt;=0,IFERROR(generateSalesData($D901, IF(ISNUMBER(_xlfn.XLOOKUP($C901,Phone_by_Sentiment!$B$2:$B$37,Phone_by_Sentiment!K$2:K$37,"",0,1)),_xlfn.XLOOKUP($C901,Phone_by_Sentiment!$B$2:$B$37,Phone_by_Sentiment!K$2:K$37,"",0,1),0),$A901-TEXT(DATEVALUE($D901&amp;"-01"), "dd-mm-yyyy")),0),0)</f>
        <v>0</v>
      </c>
      <c r="L901" cm="1">
        <f t="array" ref="L901">IF($Q901&gt;=0,IFERROR(generateSalesData($D901, IF(ISNUMBER(_xlfn.XLOOKUP($C901,Phone_by_Sentiment!$B$2:$B$37,Phone_by_Sentiment!L$2:L$37,"",0,1)),_xlfn.XLOOKUP($C901,Phone_by_Sentiment!$B$2:$B$37,Phone_by_Sentiment!L$2:L$37,"",0,1),0),$A901-TEXT(DATEVALUE($D901&amp;"-01"), "dd-mm-yyyy")),0),0)</f>
        <v>0</v>
      </c>
      <c r="M901" cm="1">
        <f t="array" ref="M901">IF($Q901&gt;=0,IFERROR(generateSalesData($D901, IF(ISNUMBER(_xlfn.XLOOKUP($C901,Phone_by_Sentiment!$B$2:$B$37,Phone_by_Sentiment!M$2:M$37,"",0,1)),_xlfn.XLOOKUP($C901,Phone_by_Sentiment!$B$2:$B$37,Phone_by_Sentiment!M$2:M$37,"",0,1),0),$A901-TEXT(DATEVALUE($D901&amp;"-01"), "dd-mm-yyyy")),0),0)</f>
        <v>0</v>
      </c>
      <c r="N901" cm="1">
        <f t="array" ref="N901">IF($Q901&gt;=0,IFERROR(generateSalesData($D901, IF(ISNUMBER(_xlfn.XLOOKUP($C901,Phone_by_Sentiment!$B$2:$B$37,Phone_by_Sentiment!N$2:N$37,"",0,1)),_xlfn.XLOOKUP($C901,Phone_by_Sentiment!$B$2:$B$37,Phone_by_Sentiment!N$2:N$37,"",0,1),0),$A901-TEXT(DATEVALUE($D901&amp;"-01"), "dd-mm-yyyy")),0),0)</f>
        <v>0</v>
      </c>
      <c r="O901" cm="1">
        <f t="array" ref="O901">IF($Q901&gt;=0,IFERROR(generateSalesData($D901, IF(ISNUMBER(_xlfn.XLOOKUP($C901,Phone_by_Sentiment!$B$2:$B$37,Phone_by_Sentiment!O$2:O$37,"",0,1)),_xlfn.XLOOKUP($C901,Phone_by_Sentiment!$B$2:$B$37,Phone_by_Sentiment!O$2:O$37,"",0,1),0),$A901-TEXT(DATEVALUE($D901&amp;"-01"), "dd-mm-yyyy")),0),0)</f>
        <v>0</v>
      </c>
      <c r="P901" s="1">
        <f t="shared" si="37"/>
        <v>44256</v>
      </c>
      <c r="Q901">
        <f t="shared" si="38"/>
        <v>-28</v>
      </c>
    </row>
    <row r="902" spans="1:17" x14ac:dyDescent="0.25">
      <c r="A902" s="1">
        <f t="shared" si="36"/>
        <v>44228</v>
      </c>
      <c r="B902" t="s">
        <v>150</v>
      </c>
      <c r="C902" t="str">
        <f>_xlfn.XLOOKUP(B902,Phone_by_Price!$A$2:$A$34,Phone_by_Price!$B$2:$B$34,"-",0,1)</f>
        <v>Vivo Y33s</v>
      </c>
      <c r="D902" t="str">
        <f>_xlfn.XLOOKUP(C902,Phone_by_Sentiment!$B$2:$B$37,Phone_by_Sentiment!$A$2:$A$37,"-",0,1)</f>
        <v>2021-05</v>
      </c>
      <c r="E902" cm="1">
        <f t="array" ref="E902">IF($Q902&gt;=0,IFERROR(generateSalesData($D902, IF(ISNUMBER(_xlfn.XLOOKUP($C902,Phone_by_Sentiment!$B$2:$B$37,Phone_by_Sentiment!E$2:E$37,"",0,1)),_xlfn.XLOOKUP($C902,Phone_by_Sentiment!$B$2:$B$37,Phone_by_Sentiment!E$2:E$37,"",0,1),0),$A902-TEXT(DATEVALUE($D902&amp;"-01"), "dd-mm-yyyy")),0),0)</f>
        <v>0</v>
      </c>
      <c r="F902" cm="1">
        <f t="array" ref="F902">IF($Q902&gt;=0,IFERROR(generateSalesData($D902, IF(ISNUMBER(_xlfn.XLOOKUP($C902,Phone_by_Sentiment!$B$2:$B$37,Phone_by_Sentiment!F$2:F$37,"",0,1)),_xlfn.XLOOKUP($C902,Phone_by_Sentiment!$B$2:$B$37,Phone_by_Sentiment!F$2:F$37,"",0,1),0),$A902-TEXT(DATEVALUE($D902&amp;"-01"), "dd-mm-yyyy")),0),0)</f>
        <v>0</v>
      </c>
      <c r="G902" cm="1">
        <f t="array" ref="G902">IF($Q902&gt;=0,IFERROR(generateSalesData($D902, IF(ISNUMBER(_xlfn.XLOOKUP($C902,Phone_by_Sentiment!$B$2:$B$37,Phone_by_Sentiment!G$2:G$37,"",0,1)),_xlfn.XLOOKUP($C902,Phone_by_Sentiment!$B$2:$B$37,Phone_by_Sentiment!G$2:G$37,"",0,1),0),$A902-TEXT(DATEVALUE($D902&amp;"-01"), "dd-mm-yyyy")),0),0)</f>
        <v>0</v>
      </c>
      <c r="H902" cm="1">
        <f t="array" ref="H902">IF($Q902&gt;=0,IFERROR(generateSalesData($D902, IF(ISNUMBER(_xlfn.XLOOKUP($C902,Phone_by_Sentiment!$B$2:$B$37,Phone_by_Sentiment!H$2:H$37,"",0,1)),_xlfn.XLOOKUP($C902,Phone_by_Sentiment!$B$2:$B$37,Phone_by_Sentiment!H$2:H$37,"",0,1),0),$A902-TEXT(DATEVALUE($D902&amp;"-01"), "dd-mm-yyyy")),0),0)</f>
        <v>0</v>
      </c>
      <c r="I902" cm="1">
        <f t="array" ref="I902">IF($Q902&gt;=0,IFERROR(generateSalesData($D902, IF(ISNUMBER(_xlfn.XLOOKUP($C902,Phone_by_Sentiment!$B$2:$B$37,Phone_by_Sentiment!I$2:I$37,"",0,1)),_xlfn.XLOOKUP($C902,Phone_by_Sentiment!$B$2:$B$37,Phone_by_Sentiment!I$2:I$37,"",0,1),0),$A902-TEXT(DATEVALUE($D902&amp;"-01"), "dd-mm-yyyy")),0),0)</f>
        <v>0</v>
      </c>
      <c r="J902" cm="1">
        <f t="array" ref="J902">IF($Q902&gt;=0,IFERROR(generateSalesData($D902, IF(ISNUMBER(_xlfn.XLOOKUP($C902,Phone_by_Sentiment!$B$2:$B$37,Phone_by_Sentiment!J$2:J$37,"",0,1)),_xlfn.XLOOKUP($C902,Phone_by_Sentiment!$B$2:$B$37,Phone_by_Sentiment!J$2:J$37,"",0,1),0),$A902-TEXT(DATEVALUE($D902&amp;"-01"), "dd-mm-yyyy")),0),0)</f>
        <v>0</v>
      </c>
      <c r="K902" cm="1">
        <f t="array" ref="K902">IF($Q902&gt;=0,IFERROR(generateSalesData($D902, IF(ISNUMBER(_xlfn.XLOOKUP($C902,Phone_by_Sentiment!$B$2:$B$37,Phone_by_Sentiment!K$2:K$37,"",0,1)),_xlfn.XLOOKUP($C902,Phone_by_Sentiment!$B$2:$B$37,Phone_by_Sentiment!K$2:K$37,"",0,1),0),$A902-TEXT(DATEVALUE($D902&amp;"-01"), "dd-mm-yyyy")),0),0)</f>
        <v>0</v>
      </c>
      <c r="L902" cm="1">
        <f t="array" ref="L902">IF($Q902&gt;=0,IFERROR(generateSalesData($D902, IF(ISNUMBER(_xlfn.XLOOKUP($C902,Phone_by_Sentiment!$B$2:$B$37,Phone_by_Sentiment!L$2:L$37,"",0,1)),_xlfn.XLOOKUP($C902,Phone_by_Sentiment!$B$2:$B$37,Phone_by_Sentiment!L$2:L$37,"",0,1),0),$A902-TEXT(DATEVALUE($D902&amp;"-01"), "dd-mm-yyyy")),0),0)</f>
        <v>0</v>
      </c>
      <c r="M902" cm="1">
        <f t="array" ref="M902">IF($Q902&gt;=0,IFERROR(generateSalesData($D902, IF(ISNUMBER(_xlfn.XLOOKUP($C902,Phone_by_Sentiment!$B$2:$B$37,Phone_by_Sentiment!M$2:M$37,"",0,1)),_xlfn.XLOOKUP($C902,Phone_by_Sentiment!$B$2:$B$37,Phone_by_Sentiment!M$2:M$37,"",0,1),0),$A902-TEXT(DATEVALUE($D902&amp;"-01"), "dd-mm-yyyy")),0),0)</f>
        <v>0</v>
      </c>
      <c r="N902" cm="1">
        <f t="array" ref="N902">IF($Q902&gt;=0,IFERROR(generateSalesData($D902, IF(ISNUMBER(_xlfn.XLOOKUP($C902,Phone_by_Sentiment!$B$2:$B$37,Phone_by_Sentiment!N$2:N$37,"",0,1)),_xlfn.XLOOKUP($C902,Phone_by_Sentiment!$B$2:$B$37,Phone_by_Sentiment!N$2:N$37,"",0,1),0),$A902-TEXT(DATEVALUE($D902&amp;"-01"), "dd-mm-yyyy")),0),0)</f>
        <v>0</v>
      </c>
      <c r="O902" cm="1">
        <f t="array" ref="O902">IF($Q902&gt;=0,IFERROR(generateSalesData($D902, IF(ISNUMBER(_xlfn.XLOOKUP($C902,Phone_by_Sentiment!$B$2:$B$37,Phone_by_Sentiment!O$2:O$37,"",0,1)),_xlfn.XLOOKUP($C902,Phone_by_Sentiment!$B$2:$B$37,Phone_by_Sentiment!O$2:O$37,"",0,1),0),$A902-TEXT(DATEVALUE($D902&amp;"-01"), "dd-mm-yyyy")),0),0)</f>
        <v>0</v>
      </c>
      <c r="P902" s="1">
        <f t="shared" si="37"/>
        <v>44317</v>
      </c>
      <c r="Q902">
        <f t="shared" si="38"/>
        <v>-89</v>
      </c>
    </row>
    <row r="903" spans="1:17" x14ac:dyDescent="0.25">
      <c r="A903" s="1">
        <f t="shared" si="36"/>
        <v>44228</v>
      </c>
      <c r="B903" t="s">
        <v>151</v>
      </c>
      <c r="C903" t="str">
        <f>_xlfn.XLOOKUP(B903,Phone_by_Price!$A$2:$A$34,Phone_by_Price!$B$2:$B$34,"-",0,1)</f>
        <v>Vivo Y11s</v>
      </c>
      <c r="D903" t="str">
        <f>_xlfn.XLOOKUP(C903,Phone_by_Sentiment!$B$2:$B$37,Phone_by_Sentiment!$A$2:$A$37,"-",0,1)</f>
        <v>2020-11</v>
      </c>
      <c r="E903" cm="1">
        <f t="array" ref="E903">IF($Q903&gt;=0,IFERROR(generateSalesData($D903, IF(ISNUMBER(_xlfn.XLOOKUP($C903,Phone_by_Sentiment!$B$2:$B$37,Phone_by_Sentiment!E$2:E$37,"",0,1)),_xlfn.XLOOKUP($C903,Phone_by_Sentiment!$B$2:$B$37,Phone_by_Sentiment!E$2:E$37,"",0,1),0),$A903-TEXT(DATEVALUE($D903&amp;"-01"), "dd-mm-yyyy")),0),0)</f>
        <v>526</v>
      </c>
      <c r="F903" cm="1">
        <f t="array" ref="F903">IF($Q903&gt;=0,IFERROR(generateSalesData($D903, IF(ISNUMBER(_xlfn.XLOOKUP($C903,Phone_by_Sentiment!$B$2:$B$37,Phone_by_Sentiment!F$2:F$37,"",0,1)),_xlfn.XLOOKUP($C903,Phone_by_Sentiment!$B$2:$B$37,Phone_by_Sentiment!F$2:F$37,"",0,1),0),$A903-TEXT(DATEVALUE($D903&amp;"-01"), "dd-mm-yyyy")),0),0)</f>
        <v>658</v>
      </c>
      <c r="G903" cm="1">
        <f t="array" ref="G903">IF($Q903&gt;=0,IFERROR(generateSalesData($D903, IF(ISNUMBER(_xlfn.XLOOKUP($C903,Phone_by_Sentiment!$B$2:$B$37,Phone_by_Sentiment!G$2:G$37,"",0,1)),_xlfn.XLOOKUP($C903,Phone_by_Sentiment!$B$2:$B$37,Phone_by_Sentiment!G$2:G$37,"",0,1),0),$A903-TEXT(DATEVALUE($D903&amp;"-01"), "dd-mm-yyyy")),0),0)</f>
        <v>353</v>
      </c>
      <c r="H903" cm="1">
        <f t="array" ref="H903">IF($Q903&gt;=0,IFERROR(generateSalesData($D903, IF(ISNUMBER(_xlfn.XLOOKUP($C903,Phone_by_Sentiment!$B$2:$B$37,Phone_by_Sentiment!H$2:H$37,"",0,1)),_xlfn.XLOOKUP($C903,Phone_by_Sentiment!$B$2:$B$37,Phone_by_Sentiment!H$2:H$37,"",0,1),0),$A903-TEXT(DATEVALUE($D903&amp;"-01"), "dd-mm-yyyy")),0),0)</f>
        <v>656</v>
      </c>
      <c r="I903" cm="1">
        <f t="array" ref="I903">IF($Q903&gt;=0,IFERROR(generateSalesData($D903, IF(ISNUMBER(_xlfn.XLOOKUP($C903,Phone_by_Sentiment!$B$2:$B$37,Phone_by_Sentiment!I$2:I$37,"",0,1)),_xlfn.XLOOKUP($C903,Phone_by_Sentiment!$B$2:$B$37,Phone_by_Sentiment!I$2:I$37,"",0,1),0),$A903-TEXT(DATEVALUE($D903&amp;"-01"), "dd-mm-yyyy")),0),0)</f>
        <v>1911</v>
      </c>
      <c r="J903" cm="1">
        <f t="array" ref="J903">IF($Q903&gt;=0,IFERROR(generateSalesData($D903, IF(ISNUMBER(_xlfn.XLOOKUP($C903,Phone_by_Sentiment!$B$2:$B$37,Phone_by_Sentiment!J$2:J$37,"",0,1)),_xlfn.XLOOKUP($C903,Phone_by_Sentiment!$B$2:$B$37,Phone_by_Sentiment!J$2:J$37,"",0,1),0),$A903-TEXT(DATEVALUE($D903&amp;"-01"), "dd-mm-yyyy")),0),0)</f>
        <v>321</v>
      </c>
      <c r="K903" cm="1">
        <f t="array" ref="K903">IF($Q903&gt;=0,IFERROR(generateSalesData($D903, IF(ISNUMBER(_xlfn.XLOOKUP($C903,Phone_by_Sentiment!$B$2:$B$37,Phone_by_Sentiment!K$2:K$37,"",0,1)),_xlfn.XLOOKUP($C903,Phone_by_Sentiment!$B$2:$B$37,Phone_by_Sentiment!K$2:K$37,"",0,1),0),$A903-TEXT(DATEVALUE($D903&amp;"-01"), "dd-mm-yyyy")),0),0)</f>
        <v>1012</v>
      </c>
      <c r="L903" cm="1">
        <f t="array" ref="L903">IF($Q903&gt;=0,IFERROR(generateSalesData($D903, IF(ISNUMBER(_xlfn.XLOOKUP($C903,Phone_by_Sentiment!$B$2:$B$37,Phone_by_Sentiment!L$2:L$37,"",0,1)),_xlfn.XLOOKUP($C903,Phone_by_Sentiment!$B$2:$B$37,Phone_by_Sentiment!L$2:L$37,"",0,1),0),$A903-TEXT(DATEVALUE($D903&amp;"-01"), "dd-mm-yyyy")),0),0)</f>
        <v>438</v>
      </c>
      <c r="M903" cm="1">
        <f t="array" ref="M903">IF($Q903&gt;=0,IFERROR(generateSalesData($D903, IF(ISNUMBER(_xlfn.XLOOKUP($C903,Phone_by_Sentiment!$B$2:$B$37,Phone_by_Sentiment!M$2:M$37,"",0,1)),_xlfn.XLOOKUP($C903,Phone_by_Sentiment!$B$2:$B$37,Phone_by_Sentiment!M$2:M$37,"",0,1),0),$A903-TEXT(DATEVALUE($D903&amp;"-01"), "dd-mm-yyyy")),0),0)</f>
        <v>1866</v>
      </c>
      <c r="N903" cm="1">
        <f t="array" ref="N903">IF($Q903&gt;=0,IFERROR(generateSalesData($D903, IF(ISNUMBER(_xlfn.XLOOKUP($C903,Phone_by_Sentiment!$B$2:$B$37,Phone_by_Sentiment!N$2:N$37,"",0,1)),_xlfn.XLOOKUP($C903,Phone_by_Sentiment!$B$2:$B$37,Phone_by_Sentiment!N$2:N$37,"",0,1),0),$A903-TEXT(DATEVALUE($D903&amp;"-01"), "dd-mm-yyyy")),0),0)</f>
        <v>167</v>
      </c>
      <c r="O903" cm="1">
        <f t="array" ref="O903">IF($Q903&gt;=0,IFERROR(generateSalesData($D903, IF(ISNUMBER(_xlfn.XLOOKUP($C903,Phone_by_Sentiment!$B$2:$B$37,Phone_by_Sentiment!O$2:O$37,"",0,1)),_xlfn.XLOOKUP($C903,Phone_by_Sentiment!$B$2:$B$37,Phone_by_Sentiment!O$2:O$37,"",0,1),0),$A903-TEXT(DATEVALUE($D903&amp;"-01"), "dd-mm-yyyy")),0),0)</f>
        <v>598</v>
      </c>
      <c r="P903" s="1">
        <f t="shared" si="37"/>
        <v>44136</v>
      </c>
      <c r="Q903">
        <f t="shared" si="38"/>
        <v>92</v>
      </c>
    </row>
    <row r="904" spans="1:17" x14ac:dyDescent="0.25">
      <c r="A904" s="1">
        <f t="shared" si="36"/>
        <v>44228</v>
      </c>
      <c r="B904" t="s">
        <v>152</v>
      </c>
      <c r="C904" t="str">
        <f>_xlfn.XLOOKUP(B904,Phone_by_Price!$A$2:$A$34,Phone_by_Price!$B$2:$B$34,"-",0,1)</f>
        <v>Huawei Nova 7i</v>
      </c>
      <c r="D904" t="str">
        <f>_xlfn.XLOOKUP(C904,Phone_by_Sentiment!$B$2:$B$37,Phone_by_Sentiment!$A$2:$A$37,"-",0,1)</f>
        <v>2020-02</v>
      </c>
      <c r="E904" cm="1">
        <f t="array" ref="E904">IF($Q904&gt;=0,IFERROR(generateSalesData($D904, IF(ISNUMBER(_xlfn.XLOOKUP($C904,Phone_by_Sentiment!$B$2:$B$37,Phone_by_Sentiment!E$2:E$37,"",0,1)),_xlfn.XLOOKUP($C904,Phone_by_Sentiment!$B$2:$B$37,Phone_by_Sentiment!E$2:E$37,"",0,1),0),$A904-TEXT(DATEVALUE($D904&amp;"-01"), "dd-mm-yyyy")),0),0)</f>
        <v>59</v>
      </c>
      <c r="F904" cm="1">
        <f t="array" ref="F904">IF($Q904&gt;=0,IFERROR(generateSalesData($D904, IF(ISNUMBER(_xlfn.XLOOKUP($C904,Phone_by_Sentiment!$B$2:$B$37,Phone_by_Sentiment!F$2:F$37,"",0,1)),_xlfn.XLOOKUP($C904,Phone_by_Sentiment!$B$2:$B$37,Phone_by_Sentiment!F$2:F$37,"",0,1),0),$A904-TEXT(DATEVALUE($D904&amp;"-01"), "dd-mm-yyyy")),0),0)</f>
        <v>139</v>
      </c>
      <c r="G904" cm="1">
        <f t="array" ref="G904">IF($Q904&gt;=0,IFERROR(generateSalesData($D904, IF(ISNUMBER(_xlfn.XLOOKUP($C904,Phone_by_Sentiment!$B$2:$B$37,Phone_by_Sentiment!G$2:G$37,"",0,1)),_xlfn.XLOOKUP($C904,Phone_by_Sentiment!$B$2:$B$37,Phone_by_Sentiment!G$2:G$37,"",0,1),0),$A904-TEXT(DATEVALUE($D904&amp;"-01"), "dd-mm-yyyy")),0),0)</f>
        <v>73</v>
      </c>
      <c r="H904" cm="1">
        <f t="array" ref="H904">IF($Q904&gt;=0,IFERROR(generateSalesData($D904, IF(ISNUMBER(_xlfn.XLOOKUP($C904,Phone_by_Sentiment!$B$2:$B$37,Phone_by_Sentiment!H$2:H$37,"",0,1)),_xlfn.XLOOKUP($C904,Phone_by_Sentiment!$B$2:$B$37,Phone_by_Sentiment!H$2:H$37,"",0,1),0),$A904-TEXT(DATEVALUE($D904&amp;"-01"), "dd-mm-yyyy")),0),0)</f>
        <v>536</v>
      </c>
      <c r="I904" cm="1">
        <f t="array" ref="I904">IF($Q904&gt;=0,IFERROR(generateSalesData($D904, IF(ISNUMBER(_xlfn.XLOOKUP($C904,Phone_by_Sentiment!$B$2:$B$37,Phone_by_Sentiment!I$2:I$37,"",0,1)),_xlfn.XLOOKUP($C904,Phone_by_Sentiment!$B$2:$B$37,Phone_by_Sentiment!I$2:I$37,"",0,1),0),$A904-TEXT(DATEVALUE($D904&amp;"-01"), "dd-mm-yyyy")),0),0)</f>
        <v>147</v>
      </c>
      <c r="J904" cm="1">
        <f t="array" ref="J904">IF($Q904&gt;=0,IFERROR(generateSalesData($D904, IF(ISNUMBER(_xlfn.XLOOKUP($C904,Phone_by_Sentiment!$B$2:$B$37,Phone_by_Sentiment!J$2:J$37,"",0,1)),_xlfn.XLOOKUP($C904,Phone_by_Sentiment!$B$2:$B$37,Phone_by_Sentiment!J$2:J$37,"",0,1),0),$A904-TEXT(DATEVALUE($D904&amp;"-01"), "dd-mm-yyyy")),0),0)</f>
        <v>154</v>
      </c>
      <c r="K904" cm="1">
        <f t="array" ref="K904">IF($Q904&gt;=0,IFERROR(generateSalesData($D904, IF(ISNUMBER(_xlfn.XLOOKUP($C904,Phone_by_Sentiment!$B$2:$B$37,Phone_by_Sentiment!K$2:K$37,"",0,1)),_xlfn.XLOOKUP($C904,Phone_by_Sentiment!$B$2:$B$37,Phone_by_Sentiment!K$2:K$37,"",0,1),0),$A904-TEXT(DATEVALUE($D904&amp;"-01"), "dd-mm-yyyy")),0),0)</f>
        <v>169</v>
      </c>
      <c r="L904" cm="1">
        <f t="array" ref="L904">IF($Q904&gt;=0,IFERROR(generateSalesData($D904, IF(ISNUMBER(_xlfn.XLOOKUP($C904,Phone_by_Sentiment!$B$2:$B$37,Phone_by_Sentiment!L$2:L$37,"",0,1)),_xlfn.XLOOKUP($C904,Phone_by_Sentiment!$B$2:$B$37,Phone_by_Sentiment!L$2:L$37,"",0,1),0),$A904-TEXT(DATEVALUE($D904&amp;"-01"), "dd-mm-yyyy")),0),0)</f>
        <v>223</v>
      </c>
      <c r="M904" cm="1">
        <f t="array" ref="M904">IF($Q904&gt;=0,IFERROR(generateSalesData($D904, IF(ISNUMBER(_xlfn.XLOOKUP($C904,Phone_by_Sentiment!$B$2:$B$37,Phone_by_Sentiment!M$2:M$37,"",0,1)),_xlfn.XLOOKUP($C904,Phone_by_Sentiment!$B$2:$B$37,Phone_by_Sentiment!M$2:M$37,"",0,1),0),$A904-TEXT(DATEVALUE($D904&amp;"-01"), "dd-mm-yyyy")),0),0)</f>
        <v>62</v>
      </c>
      <c r="N904" cm="1">
        <f t="array" ref="N904">IF($Q904&gt;=0,IFERROR(generateSalesData($D904, IF(ISNUMBER(_xlfn.XLOOKUP($C904,Phone_by_Sentiment!$B$2:$B$37,Phone_by_Sentiment!N$2:N$37,"",0,1)),_xlfn.XLOOKUP($C904,Phone_by_Sentiment!$B$2:$B$37,Phone_by_Sentiment!N$2:N$37,"",0,1),0),$A904-TEXT(DATEVALUE($D904&amp;"-01"), "dd-mm-yyyy")),0),0)</f>
        <v>20</v>
      </c>
      <c r="O904" cm="1">
        <f t="array" ref="O904">IF($Q904&gt;=0,IFERROR(generateSalesData($D904, IF(ISNUMBER(_xlfn.XLOOKUP($C904,Phone_by_Sentiment!$B$2:$B$37,Phone_by_Sentiment!O$2:O$37,"",0,1)),_xlfn.XLOOKUP($C904,Phone_by_Sentiment!$B$2:$B$37,Phone_by_Sentiment!O$2:O$37,"",0,1),0),$A904-TEXT(DATEVALUE($D904&amp;"-01"), "dd-mm-yyyy")),0),0)</f>
        <v>204</v>
      </c>
      <c r="P904" s="1">
        <f t="shared" si="37"/>
        <v>43862</v>
      </c>
      <c r="Q904">
        <f t="shared" si="38"/>
        <v>366</v>
      </c>
    </row>
    <row r="905" spans="1:17" x14ac:dyDescent="0.25">
      <c r="A905" s="1">
        <f t="shared" ref="A905:A968" si="39">DATE(YEAR($A$1), MONTH($A$1) + INT((ROW()-1)/35), DAY($A$1))</f>
        <v>44228</v>
      </c>
      <c r="B905" t="s">
        <v>153</v>
      </c>
      <c r="C905" t="str">
        <f>_xlfn.XLOOKUP(B905,Phone_by_Price!$A$2:$A$34,Phone_by_Price!$B$2:$B$34,"-",0,1)</f>
        <v>iPhone 13</v>
      </c>
      <c r="D905" t="str">
        <f>_xlfn.XLOOKUP(C905,Phone_by_Sentiment!$B$2:$B$37,Phone_by_Sentiment!$A$2:$A$37,"-",0,1)</f>
        <v>2021-09</v>
      </c>
      <c r="E905" cm="1">
        <f t="array" ref="E905">IF($Q905&gt;=0,IFERROR(generateSalesData($D905, IF(ISNUMBER(_xlfn.XLOOKUP($C905,Phone_by_Sentiment!$B$2:$B$37,Phone_by_Sentiment!E$2:E$37,"",0,1)),_xlfn.XLOOKUP($C905,Phone_by_Sentiment!$B$2:$B$37,Phone_by_Sentiment!E$2:E$37,"",0,1),0),$A905-TEXT(DATEVALUE($D905&amp;"-01"), "dd-mm-yyyy")),0),0)</f>
        <v>0</v>
      </c>
      <c r="F905" cm="1">
        <f t="array" ref="F905">IF($Q905&gt;=0,IFERROR(generateSalesData($D905, IF(ISNUMBER(_xlfn.XLOOKUP($C905,Phone_by_Sentiment!$B$2:$B$37,Phone_by_Sentiment!F$2:F$37,"",0,1)),_xlfn.XLOOKUP($C905,Phone_by_Sentiment!$B$2:$B$37,Phone_by_Sentiment!F$2:F$37,"",0,1),0),$A905-TEXT(DATEVALUE($D905&amp;"-01"), "dd-mm-yyyy")),0),0)</f>
        <v>0</v>
      </c>
      <c r="G905" cm="1">
        <f t="array" ref="G905">IF($Q905&gt;=0,IFERROR(generateSalesData($D905, IF(ISNUMBER(_xlfn.XLOOKUP($C905,Phone_by_Sentiment!$B$2:$B$37,Phone_by_Sentiment!G$2:G$37,"",0,1)),_xlfn.XLOOKUP($C905,Phone_by_Sentiment!$B$2:$B$37,Phone_by_Sentiment!G$2:G$37,"",0,1),0),$A905-TEXT(DATEVALUE($D905&amp;"-01"), "dd-mm-yyyy")),0),0)</f>
        <v>0</v>
      </c>
      <c r="H905" cm="1">
        <f t="array" ref="H905">IF($Q905&gt;=0,IFERROR(generateSalesData($D905, IF(ISNUMBER(_xlfn.XLOOKUP($C905,Phone_by_Sentiment!$B$2:$B$37,Phone_by_Sentiment!H$2:H$37,"",0,1)),_xlfn.XLOOKUP($C905,Phone_by_Sentiment!$B$2:$B$37,Phone_by_Sentiment!H$2:H$37,"",0,1),0),$A905-TEXT(DATEVALUE($D905&amp;"-01"), "dd-mm-yyyy")),0),0)</f>
        <v>0</v>
      </c>
      <c r="I905" cm="1">
        <f t="array" ref="I905">IF($Q905&gt;=0,IFERROR(generateSalesData($D905, IF(ISNUMBER(_xlfn.XLOOKUP($C905,Phone_by_Sentiment!$B$2:$B$37,Phone_by_Sentiment!I$2:I$37,"",0,1)),_xlfn.XLOOKUP($C905,Phone_by_Sentiment!$B$2:$B$37,Phone_by_Sentiment!I$2:I$37,"",0,1),0),$A905-TEXT(DATEVALUE($D905&amp;"-01"), "dd-mm-yyyy")),0),0)</f>
        <v>0</v>
      </c>
      <c r="J905" cm="1">
        <f t="array" ref="J905">IF($Q905&gt;=0,IFERROR(generateSalesData($D905, IF(ISNUMBER(_xlfn.XLOOKUP($C905,Phone_by_Sentiment!$B$2:$B$37,Phone_by_Sentiment!J$2:J$37,"",0,1)),_xlfn.XLOOKUP($C905,Phone_by_Sentiment!$B$2:$B$37,Phone_by_Sentiment!J$2:J$37,"",0,1),0),$A905-TEXT(DATEVALUE($D905&amp;"-01"), "dd-mm-yyyy")),0),0)</f>
        <v>0</v>
      </c>
      <c r="K905" cm="1">
        <f t="array" ref="K905">IF($Q905&gt;=0,IFERROR(generateSalesData($D905, IF(ISNUMBER(_xlfn.XLOOKUP($C905,Phone_by_Sentiment!$B$2:$B$37,Phone_by_Sentiment!K$2:K$37,"",0,1)),_xlfn.XLOOKUP($C905,Phone_by_Sentiment!$B$2:$B$37,Phone_by_Sentiment!K$2:K$37,"",0,1),0),$A905-TEXT(DATEVALUE($D905&amp;"-01"), "dd-mm-yyyy")),0),0)</f>
        <v>0</v>
      </c>
      <c r="L905" cm="1">
        <f t="array" ref="L905">IF($Q905&gt;=0,IFERROR(generateSalesData($D905, IF(ISNUMBER(_xlfn.XLOOKUP($C905,Phone_by_Sentiment!$B$2:$B$37,Phone_by_Sentiment!L$2:L$37,"",0,1)),_xlfn.XLOOKUP($C905,Phone_by_Sentiment!$B$2:$B$37,Phone_by_Sentiment!L$2:L$37,"",0,1),0),$A905-TEXT(DATEVALUE($D905&amp;"-01"), "dd-mm-yyyy")),0),0)</f>
        <v>0</v>
      </c>
      <c r="M905" cm="1">
        <f t="array" ref="M905">IF($Q905&gt;=0,IFERROR(generateSalesData($D905, IF(ISNUMBER(_xlfn.XLOOKUP($C905,Phone_by_Sentiment!$B$2:$B$37,Phone_by_Sentiment!M$2:M$37,"",0,1)),_xlfn.XLOOKUP($C905,Phone_by_Sentiment!$B$2:$B$37,Phone_by_Sentiment!M$2:M$37,"",0,1),0),$A905-TEXT(DATEVALUE($D905&amp;"-01"), "dd-mm-yyyy")),0),0)</f>
        <v>0</v>
      </c>
      <c r="N905" cm="1">
        <f t="array" ref="N905">IF($Q905&gt;=0,IFERROR(generateSalesData($D905, IF(ISNUMBER(_xlfn.XLOOKUP($C905,Phone_by_Sentiment!$B$2:$B$37,Phone_by_Sentiment!N$2:N$37,"",0,1)),_xlfn.XLOOKUP($C905,Phone_by_Sentiment!$B$2:$B$37,Phone_by_Sentiment!N$2:N$37,"",0,1),0),$A905-TEXT(DATEVALUE($D905&amp;"-01"), "dd-mm-yyyy")),0),0)</f>
        <v>0</v>
      </c>
      <c r="O905" cm="1">
        <f t="array" ref="O905">IF($Q905&gt;=0,IFERROR(generateSalesData($D905, IF(ISNUMBER(_xlfn.XLOOKUP($C905,Phone_by_Sentiment!$B$2:$B$37,Phone_by_Sentiment!O$2:O$37,"",0,1)),_xlfn.XLOOKUP($C905,Phone_by_Sentiment!$B$2:$B$37,Phone_by_Sentiment!O$2:O$37,"",0,1),0),$A905-TEXT(DATEVALUE($D905&amp;"-01"), "dd-mm-yyyy")),0),0)</f>
        <v>0</v>
      </c>
      <c r="P905" s="1">
        <f t="shared" si="37"/>
        <v>44440</v>
      </c>
      <c r="Q905">
        <f t="shared" si="38"/>
        <v>-212</v>
      </c>
    </row>
    <row r="906" spans="1:17" x14ac:dyDescent="0.25">
      <c r="A906" s="1">
        <f t="shared" si="39"/>
        <v>44228</v>
      </c>
      <c r="B906" t="s">
        <v>154</v>
      </c>
      <c r="C906" t="str">
        <f>_xlfn.XLOOKUP(B906,Phone_by_Price!$A$2:$A$34,Phone_by_Price!$B$2:$B$34,"-",0,1)</f>
        <v>Samsung Galaxy S21</v>
      </c>
      <c r="D906" t="str">
        <f>_xlfn.XLOOKUP(C906,Phone_by_Sentiment!$B$2:$B$37,Phone_by_Sentiment!$A$2:$A$37,"-",0,1)</f>
        <v>2021-01</v>
      </c>
      <c r="E906" cm="1">
        <f t="array" ref="E906">IF($Q906&gt;=0,IFERROR(generateSalesData($D906, IF(ISNUMBER(_xlfn.XLOOKUP($C906,Phone_by_Sentiment!$B$2:$B$37,Phone_by_Sentiment!E$2:E$37,"",0,1)),_xlfn.XLOOKUP($C906,Phone_by_Sentiment!$B$2:$B$37,Phone_by_Sentiment!E$2:E$37,"",0,1),0),$A906-TEXT(DATEVALUE($D906&amp;"-01"), "dd-mm-yyyy")),0),0)</f>
        <v>11171</v>
      </c>
      <c r="F906" cm="1">
        <f t="array" ref="F906">IF($Q906&gt;=0,IFERROR(generateSalesData($D906, IF(ISNUMBER(_xlfn.XLOOKUP($C906,Phone_by_Sentiment!$B$2:$B$37,Phone_by_Sentiment!F$2:F$37,"",0,1)),_xlfn.XLOOKUP($C906,Phone_by_Sentiment!$B$2:$B$37,Phone_by_Sentiment!F$2:F$37,"",0,1),0),$A906-TEXT(DATEVALUE($D906&amp;"-01"), "dd-mm-yyyy")),0),0)</f>
        <v>8350</v>
      </c>
      <c r="G906" cm="1">
        <f t="array" ref="G906">IF($Q906&gt;=0,IFERROR(generateSalesData($D906, IF(ISNUMBER(_xlfn.XLOOKUP($C906,Phone_by_Sentiment!$B$2:$B$37,Phone_by_Sentiment!G$2:G$37,"",0,1)),_xlfn.XLOOKUP($C906,Phone_by_Sentiment!$B$2:$B$37,Phone_by_Sentiment!G$2:G$37,"",0,1),0),$A906-TEXT(DATEVALUE($D906&amp;"-01"), "dd-mm-yyyy")),0),0)</f>
        <v>2738</v>
      </c>
      <c r="H906" cm="1">
        <f t="array" ref="H906">IF($Q906&gt;=0,IFERROR(generateSalesData($D906, IF(ISNUMBER(_xlfn.XLOOKUP($C906,Phone_by_Sentiment!$B$2:$B$37,Phone_by_Sentiment!H$2:H$37,"",0,1)),_xlfn.XLOOKUP($C906,Phone_by_Sentiment!$B$2:$B$37,Phone_by_Sentiment!H$2:H$37,"",0,1),0),$A906-TEXT(DATEVALUE($D906&amp;"-01"), "dd-mm-yyyy")),0),0)</f>
        <v>7875</v>
      </c>
      <c r="I906" cm="1">
        <f t="array" ref="I906">IF($Q906&gt;=0,IFERROR(generateSalesData($D906, IF(ISNUMBER(_xlfn.XLOOKUP($C906,Phone_by_Sentiment!$B$2:$B$37,Phone_by_Sentiment!I$2:I$37,"",0,1)),_xlfn.XLOOKUP($C906,Phone_by_Sentiment!$B$2:$B$37,Phone_by_Sentiment!I$2:I$37,"",0,1),0),$A906-TEXT(DATEVALUE($D906&amp;"-01"), "dd-mm-yyyy")),0),0)</f>
        <v>8302</v>
      </c>
      <c r="J906" cm="1">
        <f t="array" ref="J906">IF($Q906&gt;=0,IFERROR(generateSalesData($D906, IF(ISNUMBER(_xlfn.XLOOKUP($C906,Phone_by_Sentiment!$B$2:$B$37,Phone_by_Sentiment!J$2:J$37,"",0,1)),_xlfn.XLOOKUP($C906,Phone_by_Sentiment!$B$2:$B$37,Phone_by_Sentiment!J$2:J$37,"",0,1),0),$A906-TEXT(DATEVALUE($D906&amp;"-01"), "dd-mm-yyyy")),0),0)</f>
        <v>7534</v>
      </c>
      <c r="K906" cm="1">
        <f t="array" ref="K906">IF($Q906&gt;=0,IFERROR(generateSalesData($D906, IF(ISNUMBER(_xlfn.XLOOKUP($C906,Phone_by_Sentiment!$B$2:$B$37,Phone_by_Sentiment!K$2:K$37,"",0,1)),_xlfn.XLOOKUP($C906,Phone_by_Sentiment!$B$2:$B$37,Phone_by_Sentiment!K$2:K$37,"",0,1),0),$A906-TEXT(DATEVALUE($D906&amp;"-01"), "dd-mm-yyyy")),0),0)</f>
        <v>933</v>
      </c>
      <c r="L906" cm="1">
        <f t="array" ref="L906">IF($Q906&gt;=0,IFERROR(generateSalesData($D906, IF(ISNUMBER(_xlfn.XLOOKUP($C906,Phone_by_Sentiment!$B$2:$B$37,Phone_by_Sentiment!L$2:L$37,"",0,1)),_xlfn.XLOOKUP($C906,Phone_by_Sentiment!$B$2:$B$37,Phone_by_Sentiment!L$2:L$37,"",0,1),0),$A906-TEXT(DATEVALUE($D906&amp;"-01"), "dd-mm-yyyy")),0),0)</f>
        <v>4266</v>
      </c>
      <c r="M906" cm="1">
        <f t="array" ref="M906">IF($Q906&gt;=0,IFERROR(generateSalesData($D906, IF(ISNUMBER(_xlfn.XLOOKUP($C906,Phone_by_Sentiment!$B$2:$B$37,Phone_by_Sentiment!M$2:M$37,"",0,1)),_xlfn.XLOOKUP($C906,Phone_by_Sentiment!$B$2:$B$37,Phone_by_Sentiment!M$2:M$37,"",0,1),0),$A906-TEXT(DATEVALUE($D906&amp;"-01"), "dd-mm-yyyy")),0),0)</f>
        <v>8673</v>
      </c>
      <c r="N906" cm="1">
        <f t="array" ref="N906">IF($Q906&gt;=0,IFERROR(generateSalesData($D906, IF(ISNUMBER(_xlfn.XLOOKUP($C906,Phone_by_Sentiment!$B$2:$B$37,Phone_by_Sentiment!N$2:N$37,"",0,1)),_xlfn.XLOOKUP($C906,Phone_by_Sentiment!$B$2:$B$37,Phone_by_Sentiment!N$2:N$37,"",0,1),0),$A906-TEXT(DATEVALUE($D906&amp;"-01"), "dd-mm-yyyy")),0),0)</f>
        <v>1414</v>
      </c>
      <c r="O906" cm="1">
        <f t="array" ref="O906">IF($Q906&gt;=0,IFERROR(generateSalesData($D906, IF(ISNUMBER(_xlfn.XLOOKUP($C906,Phone_by_Sentiment!$B$2:$B$37,Phone_by_Sentiment!O$2:O$37,"",0,1)),_xlfn.XLOOKUP($C906,Phone_by_Sentiment!$B$2:$B$37,Phone_by_Sentiment!O$2:O$37,"",0,1),0),$A906-TEXT(DATEVALUE($D906&amp;"-01"), "dd-mm-yyyy")),0),0)</f>
        <v>8696</v>
      </c>
      <c r="P906" s="1">
        <f t="shared" si="37"/>
        <v>44197</v>
      </c>
      <c r="Q906">
        <f t="shared" si="38"/>
        <v>31</v>
      </c>
    </row>
    <row r="907" spans="1:17" x14ac:dyDescent="0.25">
      <c r="A907" s="1">
        <f t="shared" si="39"/>
        <v>44228</v>
      </c>
      <c r="B907" t="s">
        <v>155</v>
      </c>
      <c r="C907" t="str">
        <f>_xlfn.XLOOKUP(B907,Phone_by_Price!$A$2:$A$34,Phone_by_Price!$B$2:$B$34,"-",0,1)</f>
        <v>Google Pixel 6</v>
      </c>
      <c r="D907" t="str">
        <f>_xlfn.XLOOKUP(C907,Phone_by_Sentiment!$B$2:$B$37,Phone_by_Sentiment!$A$2:$A$37,"-",0,1)</f>
        <v>2021-10</v>
      </c>
      <c r="E907" cm="1">
        <f t="array" ref="E907">IF($Q907&gt;=0,IFERROR(generateSalesData($D907, IF(ISNUMBER(_xlfn.XLOOKUP($C907,Phone_by_Sentiment!$B$2:$B$37,Phone_by_Sentiment!E$2:E$37,"",0,1)),_xlfn.XLOOKUP($C907,Phone_by_Sentiment!$B$2:$B$37,Phone_by_Sentiment!E$2:E$37,"",0,1),0),$A907-TEXT(DATEVALUE($D907&amp;"-01"), "dd-mm-yyyy")),0),0)</f>
        <v>0</v>
      </c>
      <c r="F907" cm="1">
        <f t="array" ref="F907">IF($Q907&gt;=0,IFERROR(generateSalesData($D907, IF(ISNUMBER(_xlfn.XLOOKUP($C907,Phone_by_Sentiment!$B$2:$B$37,Phone_by_Sentiment!F$2:F$37,"",0,1)),_xlfn.XLOOKUP($C907,Phone_by_Sentiment!$B$2:$B$37,Phone_by_Sentiment!F$2:F$37,"",0,1),0),$A907-TEXT(DATEVALUE($D907&amp;"-01"), "dd-mm-yyyy")),0),0)</f>
        <v>0</v>
      </c>
      <c r="G907" cm="1">
        <f t="array" ref="G907">IF($Q907&gt;=0,IFERROR(generateSalesData($D907, IF(ISNUMBER(_xlfn.XLOOKUP($C907,Phone_by_Sentiment!$B$2:$B$37,Phone_by_Sentiment!G$2:G$37,"",0,1)),_xlfn.XLOOKUP($C907,Phone_by_Sentiment!$B$2:$B$37,Phone_by_Sentiment!G$2:G$37,"",0,1),0),$A907-TEXT(DATEVALUE($D907&amp;"-01"), "dd-mm-yyyy")),0),0)</f>
        <v>0</v>
      </c>
      <c r="H907" cm="1">
        <f t="array" ref="H907">IF($Q907&gt;=0,IFERROR(generateSalesData($D907, IF(ISNUMBER(_xlfn.XLOOKUP($C907,Phone_by_Sentiment!$B$2:$B$37,Phone_by_Sentiment!H$2:H$37,"",0,1)),_xlfn.XLOOKUP($C907,Phone_by_Sentiment!$B$2:$B$37,Phone_by_Sentiment!H$2:H$37,"",0,1),0),$A907-TEXT(DATEVALUE($D907&amp;"-01"), "dd-mm-yyyy")),0),0)</f>
        <v>0</v>
      </c>
      <c r="I907" cm="1">
        <f t="array" ref="I907">IF($Q907&gt;=0,IFERROR(generateSalesData($D907, IF(ISNUMBER(_xlfn.XLOOKUP($C907,Phone_by_Sentiment!$B$2:$B$37,Phone_by_Sentiment!I$2:I$37,"",0,1)),_xlfn.XLOOKUP($C907,Phone_by_Sentiment!$B$2:$B$37,Phone_by_Sentiment!I$2:I$37,"",0,1),0),$A907-TEXT(DATEVALUE($D907&amp;"-01"), "dd-mm-yyyy")),0),0)</f>
        <v>0</v>
      </c>
      <c r="J907" cm="1">
        <f t="array" ref="J907">IF($Q907&gt;=0,IFERROR(generateSalesData($D907, IF(ISNUMBER(_xlfn.XLOOKUP($C907,Phone_by_Sentiment!$B$2:$B$37,Phone_by_Sentiment!J$2:J$37,"",0,1)),_xlfn.XLOOKUP($C907,Phone_by_Sentiment!$B$2:$B$37,Phone_by_Sentiment!J$2:J$37,"",0,1),0),$A907-TEXT(DATEVALUE($D907&amp;"-01"), "dd-mm-yyyy")),0),0)</f>
        <v>0</v>
      </c>
      <c r="K907" cm="1">
        <f t="array" ref="K907">IF($Q907&gt;=0,IFERROR(generateSalesData($D907, IF(ISNUMBER(_xlfn.XLOOKUP($C907,Phone_by_Sentiment!$B$2:$B$37,Phone_by_Sentiment!K$2:K$37,"",0,1)),_xlfn.XLOOKUP($C907,Phone_by_Sentiment!$B$2:$B$37,Phone_by_Sentiment!K$2:K$37,"",0,1),0),$A907-TEXT(DATEVALUE($D907&amp;"-01"), "dd-mm-yyyy")),0),0)</f>
        <v>0</v>
      </c>
      <c r="L907" cm="1">
        <f t="array" ref="L907">IF($Q907&gt;=0,IFERROR(generateSalesData($D907, IF(ISNUMBER(_xlfn.XLOOKUP($C907,Phone_by_Sentiment!$B$2:$B$37,Phone_by_Sentiment!L$2:L$37,"",0,1)),_xlfn.XLOOKUP($C907,Phone_by_Sentiment!$B$2:$B$37,Phone_by_Sentiment!L$2:L$37,"",0,1),0),$A907-TEXT(DATEVALUE($D907&amp;"-01"), "dd-mm-yyyy")),0),0)</f>
        <v>0</v>
      </c>
      <c r="M907" cm="1">
        <f t="array" ref="M907">IF($Q907&gt;=0,IFERROR(generateSalesData($D907, IF(ISNUMBER(_xlfn.XLOOKUP($C907,Phone_by_Sentiment!$B$2:$B$37,Phone_by_Sentiment!M$2:M$37,"",0,1)),_xlfn.XLOOKUP($C907,Phone_by_Sentiment!$B$2:$B$37,Phone_by_Sentiment!M$2:M$37,"",0,1),0),$A907-TEXT(DATEVALUE($D907&amp;"-01"), "dd-mm-yyyy")),0),0)</f>
        <v>0</v>
      </c>
      <c r="N907" cm="1">
        <f t="array" ref="N907">IF($Q907&gt;=0,IFERROR(generateSalesData($D907, IF(ISNUMBER(_xlfn.XLOOKUP($C907,Phone_by_Sentiment!$B$2:$B$37,Phone_by_Sentiment!N$2:N$37,"",0,1)),_xlfn.XLOOKUP($C907,Phone_by_Sentiment!$B$2:$B$37,Phone_by_Sentiment!N$2:N$37,"",0,1),0),$A907-TEXT(DATEVALUE($D907&amp;"-01"), "dd-mm-yyyy")),0),0)</f>
        <v>0</v>
      </c>
      <c r="O907" cm="1">
        <f t="array" ref="O907">IF($Q907&gt;=0,IFERROR(generateSalesData($D907, IF(ISNUMBER(_xlfn.XLOOKUP($C907,Phone_by_Sentiment!$B$2:$B$37,Phone_by_Sentiment!O$2:O$37,"",0,1)),_xlfn.XLOOKUP($C907,Phone_by_Sentiment!$B$2:$B$37,Phone_by_Sentiment!O$2:O$37,"",0,1),0),$A907-TEXT(DATEVALUE($D907&amp;"-01"), "dd-mm-yyyy")),0),0)</f>
        <v>0</v>
      </c>
      <c r="P907" s="1">
        <f t="shared" si="37"/>
        <v>44470</v>
      </c>
      <c r="Q907">
        <f t="shared" si="38"/>
        <v>-242</v>
      </c>
    </row>
    <row r="908" spans="1:17" x14ac:dyDescent="0.25">
      <c r="A908" s="1">
        <f t="shared" si="39"/>
        <v>44228</v>
      </c>
      <c r="B908" t="s">
        <v>156</v>
      </c>
      <c r="C908" t="str">
        <f>_xlfn.XLOOKUP(B908,Phone_by_Price!$A$2:$A$34,Phone_by_Price!$B$2:$B$34,"-",0,1)</f>
        <v>OnePlus Nord CE</v>
      </c>
      <c r="D908" t="str">
        <f>_xlfn.XLOOKUP(C908,Phone_by_Sentiment!$B$2:$B$37,Phone_by_Sentiment!$A$2:$A$37,"-",0,1)</f>
        <v>2021-06</v>
      </c>
      <c r="E908" cm="1">
        <f t="array" ref="E908">IF($Q908&gt;=0,IFERROR(generateSalesData($D908, IF(ISNUMBER(_xlfn.XLOOKUP($C908,Phone_by_Sentiment!$B$2:$B$37,Phone_by_Sentiment!E$2:E$37,"",0,1)),_xlfn.XLOOKUP($C908,Phone_by_Sentiment!$B$2:$B$37,Phone_by_Sentiment!E$2:E$37,"",0,1),0),$A908-TEXT(DATEVALUE($D908&amp;"-01"), "dd-mm-yyyy")),0),0)</f>
        <v>0</v>
      </c>
      <c r="F908" cm="1">
        <f t="array" ref="F908">IF($Q908&gt;=0,IFERROR(generateSalesData($D908, IF(ISNUMBER(_xlfn.XLOOKUP($C908,Phone_by_Sentiment!$B$2:$B$37,Phone_by_Sentiment!F$2:F$37,"",0,1)),_xlfn.XLOOKUP($C908,Phone_by_Sentiment!$B$2:$B$37,Phone_by_Sentiment!F$2:F$37,"",0,1),0),$A908-TEXT(DATEVALUE($D908&amp;"-01"), "dd-mm-yyyy")),0),0)</f>
        <v>0</v>
      </c>
      <c r="G908" cm="1">
        <f t="array" ref="G908">IF($Q908&gt;=0,IFERROR(generateSalesData($D908, IF(ISNUMBER(_xlfn.XLOOKUP($C908,Phone_by_Sentiment!$B$2:$B$37,Phone_by_Sentiment!G$2:G$37,"",0,1)),_xlfn.XLOOKUP($C908,Phone_by_Sentiment!$B$2:$B$37,Phone_by_Sentiment!G$2:G$37,"",0,1),0),$A908-TEXT(DATEVALUE($D908&amp;"-01"), "dd-mm-yyyy")),0),0)</f>
        <v>0</v>
      </c>
      <c r="H908" cm="1">
        <f t="array" ref="H908">IF($Q908&gt;=0,IFERROR(generateSalesData($D908, IF(ISNUMBER(_xlfn.XLOOKUP($C908,Phone_by_Sentiment!$B$2:$B$37,Phone_by_Sentiment!H$2:H$37,"",0,1)),_xlfn.XLOOKUP($C908,Phone_by_Sentiment!$B$2:$B$37,Phone_by_Sentiment!H$2:H$37,"",0,1),0),$A908-TEXT(DATEVALUE($D908&amp;"-01"), "dd-mm-yyyy")),0),0)</f>
        <v>0</v>
      </c>
      <c r="I908" cm="1">
        <f t="array" ref="I908">IF($Q908&gt;=0,IFERROR(generateSalesData($D908, IF(ISNUMBER(_xlfn.XLOOKUP($C908,Phone_by_Sentiment!$B$2:$B$37,Phone_by_Sentiment!I$2:I$37,"",0,1)),_xlfn.XLOOKUP($C908,Phone_by_Sentiment!$B$2:$B$37,Phone_by_Sentiment!I$2:I$37,"",0,1),0),$A908-TEXT(DATEVALUE($D908&amp;"-01"), "dd-mm-yyyy")),0),0)</f>
        <v>0</v>
      </c>
      <c r="J908" cm="1">
        <f t="array" ref="J908">IF($Q908&gt;=0,IFERROR(generateSalesData($D908, IF(ISNUMBER(_xlfn.XLOOKUP($C908,Phone_by_Sentiment!$B$2:$B$37,Phone_by_Sentiment!J$2:J$37,"",0,1)),_xlfn.XLOOKUP($C908,Phone_by_Sentiment!$B$2:$B$37,Phone_by_Sentiment!J$2:J$37,"",0,1),0),$A908-TEXT(DATEVALUE($D908&amp;"-01"), "dd-mm-yyyy")),0),0)</f>
        <v>0</v>
      </c>
      <c r="K908" cm="1">
        <f t="array" ref="K908">IF($Q908&gt;=0,IFERROR(generateSalesData($D908, IF(ISNUMBER(_xlfn.XLOOKUP($C908,Phone_by_Sentiment!$B$2:$B$37,Phone_by_Sentiment!K$2:K$37,"",0,1)),_xlfn.XLOOKUP($C908,Phone_by_Sentiment!$B$2:$B$37,Phone_by_Sentiment!K$2:K$37,"",0,1),0),$A908-TEXT(DATEVALUE($D908&amp;"-01"), "dd-mm-yyyy")),0),0)</f>
        <v>0</v>
      </c>
      <c r="L908" cm="1">
        <f t="array" ref="L908">IF($Q908&gt;=0,IFERROR(generateSalesData($D908, IF(ISNUMBER(_xlfn.XLOOKUP($C908,Phone_by_Sentiment!$B$2:$B$37,Phone_by_Sentiment!L$2:L$37,"",0,1)),_xlfn.XLOOKUP($C908,Phone_by_Sentiment!$B$2:$B$37,Phone_by_Sentiment!L$2:L$37,"",0,1),0),$A908-TEXT(DATEVALUE($D908&amp;"-01"), "dd-mm-yyyy")),0),0)</f>
        <v>0</v>
      </c>
      <c r="M908" cm="1">
        <f t="array" ref="M908">IF($Q908&gt;=0,IFERROR(generateSalesData($D908, IF(ISNUMBER(_xlfn.XLOOKUP($C908,Phone_by_Sentiment!$B$2:$B$37,Phone_by_Sentiment!M$2:M$37,"",0,1)),_xlfn.XLOOKUP($C908,Phone_by_Sentiment!$B$2:$B$37,Phone_by_Sentiment!M$2:M$37,"",0,1),0),$A908-TEXT(DATEVALUE($D908&amp;"-01"), "dd-mm-yyyy")),0),0)</f>
        <v>0</v>
      </c>
      <c r="N908" cm="1">
        <f t="array" ref="N908">IF($Q908&gt;=0,IFERROR(generateSalesData($D908, IF(ISNUMBER(_xlfn.XLOOKUP($C908,Phone_by_Sentiment!$B$2:$B$37,Phone_by_Sentiment!N$2:N$37,"",0,1)),_xlfn.XLOOKUP($C908,Phone_by_Sentiment!$B$2:$B$37,Phone_by_Sentiment!N$2:N$37,"",0,1),0),$A908-TEXT(DATEVALUE($D908&amp;"-01"), "dd-mm-yyyy")),0),0)</f>
        <v>0</v>
      </c>
      <c r="O908" cm="1">
        <f t="array" ref="O908">IF($Q908&gt;=0,IFERROR(generateSalesData($D908, IF(ISNUMBER(_xlfn.XLOOKUP($C908,Phone_by_Sentiment!$B$2:$B$37,Phone_by_Sentiment!O$2:O$37,"",0,1)),_xlfn.XLOOKUP($C908,Phone_by_Sentiment!$B$2:$B$37,Phone_by_Sentiment!O$2:O$37,"",0,1),0),$A908-TEXT(DATEVALUE($D908&amp;"-01"), "dd-mm-yyyy")),0),0)</f>
        <v>0</v>
      </c>
      <c r="P908" s="1">
        <f t="shared" si="37"/>
        <v>44348</v>
      </c>
      <c r="Q908">
        <f t="shared" si="38"/>
        <v>-120</v>
      </c>
    </row>
    <row r="909" spans="1:17" x14ac:dyDescent="0.25">
      <c r="A909" s="1">
        <f t="shared" si="39"/>
        <v>44228</v>
      </c>
      <c r="B909" t="s">
        <v>157</v>
      </c>
      <c r="C909" t="str">
        <f>_xlfn.XLOOKUP(B909,Phone_by_Price!$A$2:$A$34,Phone_by_Price!$B$2:$B$34,"-",0,1)</f>
        <v>Apple iPhone 13 Pro</v>
      </c>
      <c r="D909" t="str">
        <f>_xlfn.XLOOKUP(C909,Phone_by_Sentiment!$B$2:$B$37,Phone_by_Sentiment!$A$2:$A$37,"-",0,1)</f>
        <v>2021-09</v>
      </c>
      <c r="E909" cm="1">
        <f t="array" ref="E909">IF($Q909&gt;=0,IFERROR(generateSalesData($D909, IF(ISNUMBER(_xlfn.XLOOKUP($C909,Phone_by_Sentiment!$B$2:$B$37,Phone_by_Sentiment!E$2:E$37,"",0,1)),_xlfn.XLOOKUP($C909,Phone_by_Sentiment!$B$2:$B$37,Phone_by_Sentiment!E$2:E$37,"",0,1),0),$A909-TEXT(DATEVALUE($D909&amp;"-01"), "dd-mm-yyyy")),0),0)</f>
        <v>0</v>
      </c>
      <c r="F909" cm="1">
        <f t="array" ref="F909">IF($Q909&gt;=0,IFERROR(generateSalesData($D909, IF(ISNUMBER(_xlfn.XLOOKUP($C909,Phone_by_Sentiment!$B$2:$B$37,Phone_by_Sentiment!F$2:F$37,"",0,1)),_xlfn.XLOOKUP($C909,Phone_by_Sentiment!$B$2:$B$37,Phone_by_Sentiment!F$2:F$37,"",0,1),0),$A909-TEXT(DATEVALUE($D909&amp;"-01"), "dd-mm-yyyy")),0),0)</f>
        <v>0</v>
      </c>
      <c r="G909" cm="1">
        <f t="array" ref="G909">IF($Q909&gt;=0,IFERROR(generateSalesData($D909, IF(ISNUMBER(_xlfn.XLOOKUP($C909,Phone_by_Sentiment!$B$2:$B$37,Phone_by_Sentiment!G$2:G$37,"",0,1)),_xlfn.XLOOKUP($C909,Phone_by_Sentiment!$B$2:$B$37,Phone_by_Sentiment!G$2:G$37,"",0,1),0),$A909-TEXT(DATEVALUE($D909&amp;"-01"), "dd-mm-yyyy")),0),0)</f>
        <v>0</v>
      </c>
      <c r="H909" cm="1">
        <f t="array" ref="H909">IF($Q909&gt;=0,IFERROR(generateSalesData($D909, IF(ISNUMBER(_xlfn.XLOOKUP($C909,Phone_by_Sentiment!$B$2:$B$37,Phone_by_Sentiment!H$2:H$37,"",0,1)),_xlfn.XLOOKUP($C909,Phone_by_Sentiment!$B$2:$B$37,Phone_by_Sentiment!H$2:H$37,"",0,1),0),$A909-TEXT(DATEVALUE($D909&amp;"-01"), "dd-mm-yyyy")),0),0)</f>
        <v>0</v>
      </c>
      <c r="I909" cm="1">
        <f t="array" ref="I909">IF($Q909&gt;=0,IFERROR(generateSalesData($D909, IF(ISNUMBER(_xlfn.XLOOKUP($C909,Phone_by_Sentiment!$B$2:$B$37,Phone_by_Sentiment!I$2:I$37,"",0,1)),_xlfn.XLOOKUP($C909,Phone_by_Sentiment!$B$2:$B$37,Phone_by_Sentiment!I$2:I$37,"",0,1),0),$A909-TEXT(DATEVALUE($D909&amp;"-01"), "dd-mm-yyyy")),0),0)</f>
        <v>0</v>
      </c>
      <c r="J909" cm="1">
        <f t="array" ref="J909">IF($Q909&gt;=0,IFERROR(generateSalesData($D909, IF(ISNUMBER(_xlfn.XLOOKUP($C909,Phone_by_Sentiment!$B$2:$B$37,Phone_by_Sentiment!J$2:J$37,"",0,1)),_xlfn.XLOOKUP($C909,Phone_by_Sentiment!$B$2:$B$37,Phone_by_Sentiment!J$2:J$37,"",0,1),0),$A909-TEXT(DATEVALUE($D909&amp;"-01"), "dd-mm-yyyy")),0),0)</f>
        <v>0</v>
      </c>
      <c r="K909" cm="1">
        <f t="array" ref="K909">IF($Q909&gt;=0,IFERROR(generateSalesData($D909, IF(ISNUMBER(_xlfn.XLOOKUP($C909,Phone_by_Sentiment!$B$2:$B$37,Phone_by_Sentiment!K$2:K$37,"",0,1)),_xlfn.XLOOKUP($C909,Phone_by_Sentiment!$B$2:$B$37,Phone_by_Sentiment!K$2:K$37,"",0,1),0),$A909-TEXT(DATEVALUE($D909&amp;"-01"), "dd-mm-yyyy")),0),0)</f>
        <v>0</v>
      </c>
      <c r="L909" cm="1">
        <f t="array" ref="L909">IF($Q909&gt;=0,IFERROR(generateSalesData($D909, IF(ISNUMBER(_xlfn.XLOOKUP($C909,Phone_by_Sentiment!$B$2:$B$37,Phone_by_Sentiment!L$2:L$37,"",0,1)),_xlfn.XLOOKUP($C909,Phone_by_Sentiment!$B$2:$B$37,Phone_by_Sentiment!L$2:L$37,"",0,1),0),$A909-TEXT(DATEVALUE($D909&amp;"-01"), "dd-mm-yyyy")),0),0)</f>
        <v>0</v>
      </c>
      <c r="M909" cm="1">
        <f t="array" ref="M909">IF($Q909&gt;=0,IFERROR(generateSalesData($D909, IF(ISNUMBER(_xlfn.XLOOKUP($C909,Phone_by_Sentiment!$B$2:$B$37,Phone_by_Sentiment!M$2:M$37,"",0,1)),_xlfn.XLOOKUP($C909,Phone_by_Sentiment!$B$2:$B$37,Phone_by_Sentiment!M$2:M$37,"",0,1),0),$A909-TEXT(DATEVALUE($D909&amp;"-01"), "dd-mm-yyyy")),0),0)</f>
        <v>0</v>
      </c>
      <c r="N909" cm="1">
        <f t="array" ref="N909">IF($Q909&gt;=0,IFERROR(generateSalesData($D909, IF(ISNUMBER(_xlfn.XLOOKUP($C909,Phone_by_Sentiment!$B$2:$B$37,Phone_by_Sentiment!N$2:N$37,"",0,1)),_xlfn.XLOOKUP($C909,Phone_by_Sentiment!$B$2:$B$37,Phone_by_Sentiment!N$2:N$37,"",0,1),0),$A909-TEXT(DATEVALUE($D909&amp;"-01"), "dd-mm-yyyy")),0),0)</f>
        <v>0</v>
      </c>
      <c r="O909" cm="1">
        <f t="array" ref="O909">IF($Q909&gt;=0,IFERROR(generateSalesData($D909, IF(ISNUMBER(_xlfn.XLOOKUP($C909,Phone_by_Sentiment!$B$2:$B$37,Phone_by_Sentiment!O$2:O$37,"",0,1)),_xlfn.XLOOKUP($C909,Phone_by_Sentiment!$B$2:$B$37,Phone_by_Sentiment!O$2:O$37,"",0,1),0),$A909-TEXT(DATEVALUE($D909&amp;"-01"), "dd-mm-yyyy")),0),0)</f>
        <v>0</v>
      </c>
      <c r="P909" s="1">
        <f t="shared" si="37"/>
        <v>44440</v>
      </c>
      <c r="Q909">
        <f t="shared" si="38"/>
        <v>-212</v>
      </c>
    </row>
    <row r="910" spans="1:17" x14ac:dyDescent="0.25">
      <c r="A910" s="1">
        <f t="shared" si="39"/>
        <v>44228</v>
      </c>
      <c r="B910" t="s">
        <v>158</v>
      </c>
      <c r="C910" t="str">
        <f>_xlfn.XLOOKUP(B910,Phone_by_Price!$A$2:$A$34,Phone_by_Price!$B$2:$B$34,"-",0,1)</f>
        <v>Samsung Galaxy A32 5G</v>
      </c>
      <c r="D910" t="str">
        <f>_xlfn.XLOOKUP(C910,Phone_by_Sentiment!$B$2:$B$37,Phone_by_Sentiment!$A$2:$A$37,"-",0,1)</f>
        <v>2021-02</v>
      </c>
      <c r="E910" cm="1">
        <f t="array" ref="E910">IF($Q910&gt;=0,IFERROR(generateSalesData($D910, IF(ISNUMBER(_xlfn.XLOOKUP($C910,Phone_by_Sentiment!$B$2:$B$37,Phone_by_Sentiment!E$2:E$37,"",0,1)),_xlfn.XLOOKUP($C910,Phone_by_Sentiment!$B$2:$B$37,Phone_by_Sentiment!E$2:E$37,"",0,1),0),$A910-TEXT(DATEVALUE($D910&amp;"-01"), "dd-mm-yyyy")),0),0)</f>
        <v>11304</v>
      </c>
      <c r="F910" cm="1">
        <f t="array" ref="F910">IF($Q910&gt;=0,IFERROR(generateSalesData($D910, IF(ISNUMBER(_xlfn.XLOOKUP($C910,Phone_by_Sentiment!$B$2:$B$37,Phone_by_Sentiment!F$2:F$37,"",0,1)),_xlfn.XLOOKUP($C910,Phone_by_Sentiment!$B$2:$B$37,Phone_by_Sentiment!F$2:F$37,"",0,1),0),$A910-TEXT(DATEVALUE($D910&amp;"-01"), "dd-mm-yyyy")),0),0)</f>
        <v>12884</v>
      </c>
      <c r="G910" cm="1">
        <f t="array" ref="G910">IF($Q910&gt;=0,IFERROR(generateSalesData($D910, IF(ISNUMBER(_xlfn.XLOOKUP($C910,Phone_by_Sentiment!$B$2:$B$37,Phone_by_Sentiment!G$2:G$37,"",0,1)),_xlfn.XLOOKUP($C910,Phone_by_Sentiment!$B$2:$B$37,Phone_by_Sentiment!G$2:G$37,"",0,1),0),$A910-TEXT(DATEVALUE($D910&amp;"-01"), "dd-mm-yyyy")),0),0)</f>
        <v>1911</v>
      </c>
      <c r="H910" cm="1">
        <f t="array" ref="H910">IF($Q910&gt;=0,IFERROR(generateSalesData($D910, IF(ISNUMBER(_xlfn.XLOOKUP($C910,Phone_by_Sentiment!$B$2:$B$37,Phone_by_Sentiment!H$2:H$37,"",0,1)),_xlfn.XLOOKUP($C910,Phone_by_Sentiment!$B$2:$B$37,Phone_by_Sentiment!H$2:H$37,"",0,1),0),$A910-TEXT(DATEVALUE($D910&amp;"-01"), "dd-mm-yyyy")),0),0)</f>
        <v>7508</v>
      </c>
      <c r="I910" cm="1">
        <f t="array" ref="I910">IF($Q910&gt;=0,IFERROR(generateSalesData($D910, IF(ISNUMBER(_xlfn.XLOOKUP($C910,Phone_by_Sentiment!$B$2:$B$37,Phone_by_Sentiment!I$2:I$37,"",0,1)),_xlfn.XLOOKUP($C910,Phone_by_Sentiment!$B$2:$B$37,Phone_by_Sentiment!I$2:I$37,"",0,1),0),$A910-TEXT(DATEVALUE($D910&amp;"-01"), "dd-mm-yyyy")),0),0)</f>
        <v>6838</v>
      </c>
      <c r="J910" cm="1">
        <f t="array" ref="J910">IF($Q910&gt;=0,IFERROR(generateSalesData($D910, IF(ISNUMBER(_xlfn.XLOOKUP($C910,Phone_by_Sentiment!$B$2:$B$37,Phone_by_Sentiment!J$2:J$37,"",0,1)),_xlfn.XLOOKUP($C910,Phone_by_Sentiment!$B$2:$B$37,Phone_by_Sentiment!J$2:J$37,"",0,1),0),$A910-TEXT(DATEVALUE($D910&amp;"-01"), "dd-mm-yyyy")),0),0)</f>
        <v>9562</v>
      </c>
      <c r="K910" cm="1">
        <f t="array" ref="K910">IF($Q910&gt;=0,IFERROR(generateSalesData($D910, IF(ISNUMBER(_xlfn.XLOOKUP($C910,Phone_by_Sentiment!$B$2:$B$37,Phone_by_Sentiment!K$2:K$37,"",0,1)),_xlfn.XLOOKUP($C910,Phone_by_Sentiment!$B$2:$B$37,Phone_by_Sentiment!K$2:K$37,"",0,1),0),$A910-TEXT(DATEVALUE($D910&amp;"-01"), "dd-mm-yyyy")),0),0)</f>
        <v>7217</v>
      </c>
      <c r="L910" cm="1">
        <f t="array" ref="L910">IF($Q910&gt;=0,IFERROR(generateSalesData($D910, IF(ISNUMBER(_xlfn.XLOOKUP($C910,Phone_by_Sentiment!$B$2:$B$37,Phone_by_Sentiment!L$2:L$37,"",0,1)),_xlfn.XLOOKUP($C910,Phone_by_Sentiment!$B$2:$B$37,Phone_by_Sentiment!L$2:L$37,"",0,1),0),$A910-TEXT(DATEVALUE($D910&amp;"-01"), "dd-mm-yyyy")),0),0)</f>
        <v>10224</v>
      </c>
      <c r="M910" cm="1">
        <f t="array" ref="M910">IF($Q910&gt;=0,IFERROR(generateSalesData($D910, IF(ISNUMBER(_xlfn.XLOOKUP($C910,Phone_by_Sentiment!$B$2:$B$37,Phone_by_Sentiment!M$2:M$37,"",0,1)),_xlfn.XLOOKUP($C910,Phone_by_Sentiment!$B$2:$B$37,Phone_by_Sentiment!M$2:M$37,"",0,1),0),$A910-TEXT(DATEVALUE($D910&amp;"-01"), "dd-mm-yyyy")),0),0)</f>
        <v>5820</v>
      </c>
      <c r="N910" cm="1">
        <f t="array" ref="N910">IF($Q910&gt;=0,IFERROR(generateSalesData($D910, IF(ISNUMBER(_xlfn.XLOOKUP($C910,Phone_by_Sentiment!$B$2:$B$37,Phone_by_Sentiment!N$2:N$37,"",0,1)),_xlfn.XLOOKUP($C910,Phone_by_Sentiment!$B$2:$B$37,Phone_by_Sentiment!N$2:N$37,"",0,1),0),$A910-TEXT(DATEVALUE($D910&amp;"-01"), "dd-mm-yyyy")),0),0)</f>
        <v>11998</v>
      </c>
      <c r="O910" cm="1">
        <f t="array" ref="O910">IF($Q910&gt;=0,IFERROR(generateSalesData($D910, IF(ISNUMBER(_xlfn.XLOOKUP($C910,Phone_by_Sentiment!$B$2:$B$37,Phone_by_Sentiment!O$2:O$37,"",0,1)),_xlfn.XLOOKUP($C910,Phone_by_Sentiment!$B$2:$B$37,Phone_by_Sentiment!O$2:O$37,"",0,1),0),$A910-TEXT(DATEVALUE($D910&amp;"-01"), "dd-mm-yyyy")),0),0)</f>
        <v>12675</v>
      </c>
      <c r="P910" s="1">
        <f t="shared" si="37"/>
        <v>44228</v>
      </c>
      <c r="Q910">
        <f t="shared" si="38"/>
        <v>0</v>
      </c>
    </row>
    <row r="911" spans="1:17" x14ac:dyDescent="0.25">
      <c r="A911" s="1">
        <f t="shared" si="39"/>
        <v>44256</v>
      </c>
      <c r="B911" t="s">
        <v>159</v>
      </c>
      <c r="C911" t="str">
        <f>_xlfn.XLOOKUP(B911,Phone_by_Price!$A$2:$A$34,Phone_by_Price!$B$2:$B$34,"-",0,1)</f>
        <v>Realme C25</v>
      </c>
      <c r="D911" t="str">
        <f>_xlfn.XLOOKUP(C911,Phone_by_Sentiment!$B$2:$B$37,Phone_by_Sentiment!$A$2:$A$37,"-",0,1)</f>
        <v>2021-03</v>
      </c>
      <c r="E911" cm="1">
        <f t="array" ref="E911">IF($Q911&gt;=0,IFERROR(generateSalesData($D911, IF(ISNUMBER(_xlfn.XLOOKUP($C911,Phone_by_Sentiment!$B$2:$B$37,Phone_by_Sentiment!E$2:E$37,"",0,1)),_xlfn.XLOOKUP($C911,Phone_by_Sentiment!$B$2:$B$37,Phone_by_Sentiment!E$2:E$37,"",0,1),0),$A911-TEXT(DATEVALUE($D911&amp;"-01"), "dd-mm-yyyy")),0),0)</f>
        <v>1721</v>
      </c>
      <c r="F911" cm="1">
        <f t="array" ref="F911">IF($Q911&gt;=0,IFERROR(generateSalesData($D911, IF(ISNUMBER(_xlfn.XLOOKUP($C911,Phone_by_Sentiment!$B$2:$B$37,Phone_by_Sentiment!F$2:F$37,"",0,1)),_xlfn.XLOOKUP($C911,Phone_by_Sentiment!$B$2:$B$37,Phone_by_Sentiment!F$2:F$37,"",0,1),0),$A911-TEXT(DATEVALUE($D911&amp;"-01"), "dd-mm-yyyy")),0),0)</f>
        <v>5980</v>
      </c>
      <c r="G911" cm="1">
        <f t="array" ref="G911">IF($Q911&gt;=0,IFERROR(generateSalesData($D911, IF(ISNUMBER(_xlfn.XLOOKUP($C911,Phone_by_Sentiment!$B$2:$B$37,Phone_by_Sentiment!G$2:G$37,"",0,1)),_xlfn.XLOOKUP($C911,Phone_by_Sentiment!$B$2:$B$37,Phone_by_Sentiment!G$2:G$37,"",0,1),0),$A911-TEXT(DATEVALUE($D911&amp;"-01"), "dd-mm-yyyy")),0),0)</f>
        <v>3102</v>
      </c>
      <c r="H911" cm="1">
        <f t="array" ref="H911">IF($Q911&gt;=0,IFERROR(generateSalesData($D911, IF(ISNUMBER(_xlfn.XLOOKUP($C911,Phone_by_Sentiment!$B$2:$B$37,Phone_by_Sentiment!H$2:H$37,"",0,1)),_xlfn.XLOOKUP($C911,Phone_by_Sentiment!$B$2:$B$37,Phone_by_Sentiment!H$2:H$37,"",0,1),0),$A911-TEXT(DATEVALUE($D911&amp;"-01"), "dd-mm-yyyy")),0),0)</f>
        <v>5028</v>
      </c>
      <c r="I911" cm="1">
        <f t="array" ref="I911">IF($Q911&gt;=0,IFERROR(generateSalesData($D911, IF(ISNUMBER(_xlfn.XLOOKUP($C911,Phone_by_Sentiment!$B$2:$B$37,Phone_by_Sentiment!I$2:I$37,"",0,1)),_xlfn.XLOOKUP($C911,Phone_by_Sentiment!$B$2:$B$37,Phone_by_Sentiment!I$2:I$37,"",0,1),0),$A911-TEXT(DATEVALUE($D911&amp;"-01"), "dd-mm-yyyy")),0),0)</f>
        <v>3633</v>
      </c>
      <c r="J911" cm="1">
        <f t="array" ref="J911">IF($Q911&gt;=0,IFERROR(generateSalesData($D911, IF(ISNUMBER(_xlfn.XLOOKUP($C911,Phone_by_Sentiment!$B$2:$B$37,Phone_by_Sentiment!J$2:J$37,"",0,1)),_xlfn.XLOOKUP($C911,Phone_by_Sentiment!$B$2:$B$37,Phone_by_Sentiment!J$2:J$37,"",0,1),0),$A911-TEXT(DATEVALUE($D911&amp;"-01"), "dd-mm-yyyy")),0),0)</f>
        <v>3354</v>
      </c>
      <c r="K911" cm="1">
        <f t="array" ref="K911">IF($Q911&gt;=0,IFERROR(generateSalesData($D911, IF(ISNUMBER(_xlfn.XLOOKUP($C911,Phone_by_Sentiment!$B$2:$B$37,Phone_by_Sentiment!K$2:K$37,"",0,1)),_xlfn.XLOOKUP($C911,Phone_by_Sentiment!$B$2:$B$37,Phone_by_Sentiment!K$2:K$37,"",0,1),0),$A911-TEXT(DATEVALUE($D911&amp;"-01"), "dd-mm-yyyy")),0),0)</f>
        <v>10984</v>
      </c>
      <c r="L911" cm="1">
        <f t="array" ref="L911">IF($Q911&gt;=0,IFERROR(generateSalesData($D911, IF(ISNUMBER(_xlfn.XLOOKUP($C911,Phone_by_Sentiment!$B$2:$B$37,Phone_by_Sentiment!L$2:L$37,"",0,1)),_xlfn.XLOOKUP($C911,Phone_by_Sentiment!$B$2:$B$37,Phone_by_Sentiment!L$2:L$37,"",0,1),0),$A911-TEXT(DATEVALUE($D911&amp;"-01"), "dd-mm-yyyy")),0),0)</f>
        <v>3718</v>
      </c>
      <c r="M911" cm="1">
        <f t="array" ref="M911">IF($Q911&gt;=0,IFERROR(generateSalesData($D911, IF(ISNUMBER(_xlfn.XLOOKUP($C911,Phone_by_Sentiment!$B$2:$B$37,Phone_by_Sentiment!M$2:M$37,"",0,1)),_xlfn.XLOOKUP($C911,Phone_by_Sentiment!$B$2:$B$37,Phone_by_Sentiment!M$2:M$37,"",0,1),0),$A911-TEXT(DATEVALUE($D911&amp;"-01"), "dd-mm-yyyy")),0),0)</f>
        <v>9</v>
      </c>
      <c r="N911" cm="1">
        <f t="array" ref="N911">IF($Q911&gt;=0,IFERROR(generateSalesData($D911, IF(ISNUMBER(_xlfn.XLOOKUP($C911,Phone_by_Sentiment!$B$2:$B$37,Phone_by_Sentiment!N$2:N$37,"",0,1)),_xlfn.XLOOKUP($C911,Phone_by_Sentiment!$B$2:$B$37,Phone_by_Sentiment!N$2:N$37,"",0,1),0),$A911-TEXT(DATEVALUE($D911&amp;"-01"), "dd-mm-yyyy")),0),0)</f>
        <v>3154</v>
      </c>
      <c r="O911" cm="1">
        <f t="array" ref="O911">IF($Q911&gt;=0,IFERROR(generateSalesData($D911, IF(ISNUMBER(_xlfn.XLOOKUP($C911,Phone_by_Sentiment!$B$2:$B$37,Phone_by_Sentiment!O$2:O$37,"",0,1)),_xlfn.XLOOKUP($C911,Phone_by_Sentiment!$B$2:$B$37,Phone_by_Sentiment!O$2:O$37,"",0,1),0),$A911-TEXT(DATEVALUE($D911&amp;"-01"), "dd-mm-yyyy")),0),0)</f>
        <v>2258</v>
      </c>
      <c r="P911" s="1">
        <f t="shared" si="37"/>
        <v>44256</v>
      </c>
      <c r="Q911">
        <f t="shared" si="38"/>
        <v>0</v>
      </c>
    </row>
    <row r="912" spans="1:17" x14ac:dyDescent="0.25">
      <c r="A912" s="1">
        <f t="shared" si="39"/>
        <v>44256</v>
      </c>
      <c r="B912" t="s">
        <v>160</v>
      </c>
      <c r="C912" t="str">
        <f>_xlfn.XLOOKUP(B912,Phone_by_Price!$A$2:$A$34,Phone_by_Price!$B$2:$B$34,"-",0,1)</f>
        <v>Xiaomi Poco X3 Pro</v>
      </c>
      <c r="D912" t="str">
        <f>_xlfn.XLOOKUP(C912,Phone_by_Sentiment!$B$2:$B$37,Phone_by_Sentiment!$A$2:$A$37,"-",0,1)</f>
        <v>2021-05</v>
      </c>
      <c r="E912" cm="1">
        <f t="array" ref="E912">IF($Q912&gt;=0,IFERROR(generateSalesData($D912, IF(ISNUMBER(_xlfn.XLOOKUP($C912,Phone_by_Sentiment!$B$2:$B$37,Phone_by_Sentiment!E$2:E$37,"",0,1)),_xlfn.XLOOKUP($C912,Phone_by_Sentiment!$B$2:$B$37,Phone_by_Sentiment!E$2:E$37,"",0,1),0),$A912-TEXT(DATEVALUE($D912&amp;"-01"), "dd-mm-yyyy")),0),0)</f>
        <v>0</v>
      </c>
      <c r="F912" cm="1">
        <f t="array" ref="F912">IF($Q912&gt;=0,IFERROR(generateSalesData($D912, IF(ISNUMBER(_xlfn.XLOOKUP($C912,Phone_by_Sentiment!$B$2:$B$37,Phone_by_Sentiment!F$2:F$37,"",0,1)),_xlfn.XLOOKUP($C912,Phone_by_Sentiment!$B$2:$B$37,Phone_by_Sentiment!F$2:F$37,"",0,1),0),$A912-TEXT(DATEVALUE($D912&amp;"-01"), "dd-mm-yyyy")),0),0)</f>
        <v>0</v>
      </c>
      <c r="G912" cm="1">
        <f t="array" ref="G912">IF($Q912&gt;=0,IFERROR(generateSalesData($D912, IF(ISNUMBER(_xlfn.XLOOKUP($C912,Phone_by_Sentiment!$B$2:$B$37,Phone_by_Sentiment!G$2:G$37,"",0,1)),_xlfn.XLOOKUP($C912,Phone_by_Sentiment!$B$2:$B$37,Phone_by_Sentiment!G$2:G$37,"",0,1),0),$A912-TEXT(DATEVALUE($D912&amp;"-01"), "dd-mm-yyyy")),0),0)</f>
        <v>0</v>
      </c>
      <c r="H912" cm="1">
        <f t="array" ref="H912">IF($Q912&gt;=0,IFERROR(generateSalesData($D912, IF(ISNUMBER(_xlfn.XLOOKUP($C912,Phone_by_Sentiment!$B$2:$B$37,Phone_by_Sentiment!H$2:H$37,"",0,1)),_xlfn.XLOOKUP($C912,Phone_by_Sentiment!$B$2:$B$37,Phone_by_Sentiment!H$2:H$37,"",0,1),0),$A912-TEXT(DATEVALUE($D912&amp;"-01"), "dd-mm-yyyy")),0),0)</f>
        <v>0</v>
      </c>
      <c r="I912" cm="1">
        <f t="array" ref="I912">IF($Q912&gt;=0,IFERROR(generateSalesData($D912, IF(ISNUMBER(_xlfn.XLOOKUP($C912,Phone_by_Sentiment!$B$2:$B$37,Phone_by_Sentiment!I$2:I$37,"",0,1)),_xlfn.XLOOKUP($C912,Phone_by_Sentiment!$B$2:$B$37,Phone_by_Sentiment!I$2:I$37,"",0,1),0),$A912-TEXT(DATEVALUE($D912&amp;"-01"), "dd-mm-yyyy")),0),0)</f>
        <v>0</v>
      </c>
      <c r="J912" cm="1">
        <f t="array" ref="J912">IF($Q912&gt;=0,IFERROR(generateSalesData($D912, IF(ISNUMBER(_xlfn.XLOOKUP($C912,Phone_by_Sentiment!$B$2:$B$37,Phone_by_Sentiment!J$2:J$37,"",0,1)),_xlfn.XLOOKUP($C912,Phone_by_Sentiment!$B$2:$B$37,Phone_by_Sentiment!J$2:J$37,"",0,1),0),$A912-TEXT(DATEVALUE($D912&amp;"-01"), "dd-mm-yyyy")),0),0)</f>
        <v>0</v>
      </c>
      <c r="K912" cm="1">
        <f t="array" ref="K912">IF($Q912&gt;=0,IFERROR(generateSalesData($D912, IF(ISNUMBER(_xlfn.XLOOKUP($C912,Phone_by_Sentiment!$B$2:$B$37,Phone_by_Sentiment!K$2:K$37,"",0,1)),_xlfn.XLOOKUP($C912,Phone_by_Sentiment!$B$2:$B$37,Phone_by_Sentiment!K$2:K$37,"",0,1),0),$A912-TEXT(DATEVALUE($D912&amp;"-01"), "dd-mm-yyyy")),0),0)</f>
        <v>0</v>
      </c>
      <c r="L912" cm="1">
        <f t="array" ref="L912">IF($Q912&gt;=0,IFERROR(generateSalesData($D912, IF(ISNUMBER(_xlfn.XLOOKUP($C912,Phone_by_Sentiment!$B$2:$B$37,Phone_by_Sentiment!L$2:L$37,"",0,1)),_xlfn.XLOOKUP($C912,Phone_by_Sentiment!$B$2:$B$37,Phone_by_Sentiment!L$2:L$37,"",0,1),0),$A912-TEXT(DATEVALUE($D912&amp;"-01"), "dd-mm-yyyy")),0),0)</f>
        <v>0</v>
      </c>
      <c r="M912" cm="1">
        <f t="array" ref="M912">IF($Q912&gt;=0,IFERROR(generateSalesData($D912, IF(ISNUMBER(_xlfn.XLOOKUP($C912,Phone_by_Sentiment!$B$2:$B$37,Phone_by_Sentiment!M$2:M$37,"",0,1)),_xlfn.XLOOKUP($C912,Phone_by_Sentiment!$B$2:$B$37,Phone_by_Sentiment!M$2:M$37,"",0,1),0),$A912-TEXT(DATEVALUE($D912&amp;"-01"), "dd-mm-yyyy")),0),0)</f>
        <v>0</v>
      </c>
      <c r="N912" cm="1">
        <f t="array" ref="N912">IF($Q912&gt;=0,IFERROR(generateSalesData($D912, IF(ISNUMBER(_xlfn.XLOOKUP($C912,Phone_by_Sentiment!$B$2:$B$37,Phone_by_Sentiment!N$2:N$37,"",0,1)),_xlfn.XLOOKUP($C912,Phone_by_Sentiment!$B$2:$B$37,Phone_by_Sentiment!N$2:N$37,"",0,1),0),$A912-TEXT(DATEVALUE($D912&amp;"-01"), "dd-mm-yyyy")),0),0)</f>
        <v>0</v>
      </c>
      <c r="O912" cm="1">
        <f t="array" ref="O912">IF($Q912&gt;=0,IFERROR(generateSalesData($D912, IF(ISNUMBER(_xlfn.XLOOKUP($C912,Phone_by_Sentiment!$B$2:$B$37,Phone_by_Sentiment!O$2:O$37,"",0,1)),_xlfn.XLOOKUP($C912,Phone_by_Sentiment!$B$2:$B$37,Phone_by_Sentiment!O$2:O$37,"",0,1),0),$A912-TEXT(DATEVALUE($D912&amp;"-01"), "dd-mm-yyyy")),0),0)</f>
        <v>0</v>
      </c>
      <c r="P912" s="1">
        <f t="shared" si="37"/>
        <v>44317</v>
      </c>
      <c r="Q912">
        <f t="shared" si="38"/>
        <v>-61</v>
      </c>
    </row>
    <row r="913" spans="1:17" x14ac:dyDescent="0.25">
      <c r="A913" s="1">
        <f t="shared" si="39"/>
        <v>44256</v>
      </c>
      <c r="B913" t="s">
        <v>161</v>
      </c>
      <c r="C913" t="str">
        <f>_xlfn.XLOOKUP(B913,Phone_by_Price!$A$2:$A$34,Phone_by_Price!$B$2:$B$34,"-",0,1)</f>
        <v>Samsung Galaxy Z Flip 3</v>
      </c>
      <c r="D913" t="str">
        <f>_xlfn.XLOOKUP(C913,Phone_by_Sentiment!$B$2:$B$37,Phone_by_Sentiment!$A$2:$A$37,"-",0,1)</f>
        <v>2021-09</v>
      </c>
      <c r="E913" cm="1">
        <f t="array" ref="E913">IF($Q913&gt;=0,IFERROR(generateSalesData($D913, IF(ISNUMBER(_xlfn.XLOOKUP($C913,Phone_by_Sentiment!$B$2:$B$37,Phone_by_Sentiment!E$2:E$37,"",0,1)),_xlfn.XLOOKUP($C913,Phone_by_Sentiment!$B$2:$B$37,Phone_by_Sentiment!E$2:E$37,"",0,1),0),$A913-TEXT(DATEVALUE($D913&amp;"-01"), "dd-mm-yyyy")),0),0)</f>
        <v>0</v>
      </c>
      <c r="F913" cm="1">
        <f t="array" ref="F913">IF($Q913&gt;=0,IFERROR(generateSalesData($D913, IF(ISNUMBER(_xlfn.XLOOKUP($C913,Phone_by_Sentiment!$B$2:$B$37,Phone_by_Sentiment!F$2:F$37,"",0,1)),_xlfn.XLOOKUP($C913,Phone_by_Sentiment!$B$2:$B$37,Phone_by_Sentiment!F$2:F$37,"",0,1),0),$A913-TEXT(DATEVALUE($D913&amp;"-01"), "dd-mm-yyyy")),0),0)</f>
        <v>0</v>
      </c>
      <c r="G913" cm="1">
        <f t="array" ref="G913">IF($Q913&gt;=0,IFERROR(generateSalesData($D913, IF(ISNUMBER(_xlfn.XLOOKUP($C913,Phone_by_Sentiment!$B$2:$B$37,Phone_by_Sentiment!G$2:G$37,"",0,1)),_xlfn.XLOOKUP($C913,Phone_by_Sentiment!$B$2:$B$37,Phone_by_Sentiment!G$2:G$37,"",0,1),0),$A913-TEXT(DATEVALUE($D913&amp;"-01"), "dd-mm-yyyy")),0),0)</f>
        <v>0</v>
      </c>
      <c r="H913" cm="1">
        <f t="array" ref="H913">IF($Q913&gt;=0,IFERROR(generateSalesData($D913, IF(ISNUMBER(_xlfn.XLOOKUP($C913,Phone_by_Sentiment!$B$2:$B$37,Phone_by_Sentiment!H$2:H$37,"",0,1)),_xlfn.XLOOKUP($C913,Phone_by_Sentiment!$B$2:$B$37,Phone_by_Sentiment!H$2:H$37,"",0,1),0),$A913-TEXT(DATEVALUE($D913&amp;"-01"), "dd-mm-yyyy")),0),0)</f>
        <v>0</v>
      </c>
      <c r="I913" cm="1">
        <f t="array" ref="I913">IF($Q913&gt;=0,IFERROR(generateSalesData($D913, IF(ISNUMBER(_xlfn.XLOOKUP($C913,Phone_by_Sentiment!$B$2:$B$37,Phone_by_Sentiment!I$2:I$37,"",0,1)),_xlfn.XLOOKUP($C913,Phone_by_Sentiment!$B$2:$B$37,Phone_by_Sentiment!I$2:I$37,"",0,1),0),$A913-TEXT(DATEVALUE($D913&amp;"-01"), "dd-mm-yyyy")),0),0)</f>
        <v>0</v>
      </c>
      <c r="J913" cm="1">
        <f t="array" ref="J913">IF($Q913&gt;=0,IFERROR(generateSalesData($D913, IF(ISNUMBER(_xlfn.XLOOKUP($C913,Phone_by_Sentiment!$B$2:$B$37,Phone_by_Sentiment!J$2:J$37,"",0,1)),_xlfn.XLOOKUP($C913,Phone_by_Sentiment!$B$2:$B$37,Phone_by_Sentiment!J$2:J$37,"",0,1),0),$A913-TEXT(DATEVALUE($D913&amp;"-01"), "dd-mm-yyyy")),0),0)</f>
        <v>0</v>
      </c>
      <c r="K913" cm="1">
        <f t="array" ref="K913">IF($Q913&gt;=0,IFERROR(generateSalesData($D913, IF(ISNUMBER(_xlfn.XLOOKUP($C913,Phone_by_Sentiment!$B$2:$B$37,Phone_by_Sentiment!K$2:K$37,"",0,1)),_xlfn.XLOOKUP($C913,Phone_by_Sentiment!$B$2:$B$37,Phone_by_Sentiment!K$2:K$37,"",0,1),0),$A913-TEXT(DATEVALUE($D913&amp;"-01"), "dd-mm-yyyy")),0),0)</f>
        <v>0</v>
      </c>
      <c r="L913" cm="1">
        <f t="array" ref="L913">IF($Q913&gt;=0,IFERROR(generateSalesData($D913, IF(ISNUMBER(_xlfn.XLOOKUP($C913,Phone_by_Sentiment!$B$2:$B$37,Phone_by_Sentiment!L$2:L$37,"",0,1)),_xlfn.XLOOKUP($C913,Phone_by_Sentiment!$B$2:$B$37,Phone_by_Sentiment!L$2:L$37,"",0,1),0),$A913-TEXT(DATEVALUE($D913&amp;"-01"), "dd-mm-yyyy")),0),0)</f>
        <v>0</v>
      </c>
      <c r="M913" cm="1">
        <f t="array" ref="M913">IF($Q913&gt;=0,IFERROR(generateSalesData($D913, IF(ISNUMBER(_xlfn.XLOOKUP($C913,Phone_by_Sentiment!$B$2:$B$37,Phone_by_Sentiment!M$2:M$37,"",0,1)),_xlfn.XLOOKUP($C913,Phone_by_Sentiment!$B$2:$B$37,Phone_by_Sentiment!M$2:M$37,"",0,1),0),$A913-TEXT(DATEVALUE($D913&amp;"-01"), "dd-mm-yyyy")),0),0)</f>
        <v>0</v>
      </c>
      <c r="N913" cm="1">
        <f t="array" ref="N913">IF($Q913&gt;=0,IFERROR(generateSalesData($D913, IF(ISNUMBER(_xlfn.XLOOKUP($C913,Phone_by_Sentiment!$B$2:$B$37,Phone_by_Sentiment!N$2:N$37,"",0,1)),_xlfn.XLOOKUP($C913,Phone_by_Sentiment!$B$2:$B$37,Phone_by_Sentiment!N$2:N$37,"",0,1),0),$A913-TEXT(DATEVALUE($D913&amp;"-01"), "dd-mm-yyyy")),0),0)</f>
        <v>0</v>
      </c>
      <c r="O913" cm="1">
        <f t="array" ref="O913">IF($Q913&gt;=0,IFERROR(generateSalesData($D913, IF(ISNUMBER(_xlfn.XLOOKUP($C913,Phone_by_Sentiment!$B$2:$B$37,Phone_by_Sentiment!O$2:O$37,"",0,1)),_xlfn.XLOOKUP($C913,Phone_by_Sentiment!$B$2:$B$37,Phone_by_Sentiment!O$2:O$37,"",0,1),0),$A913-TEXT(DATEVALUE($D913&amp;"-01"), "dd-mm-yyyy")),0),0)</f>
        <v>0</v>
      </c>
      <c r="P913" s="1">
        <f t="shared" si="37"/>
        <v>44440</v>
      </c>
      <c r="Q913">
        <f t="shared" si="38"/>
        <v>-184</v>
      </c>
    </row>
    <row r="914" spans="1:17" x14ac:dyDescent="0.25">
      <c r="A914" s="1">
        <f t="shared" si="39"/>
        <v>44256</v>
      </c>
      <c r="B914" t="s">
        <v>162</v>
      </c>
      <c r="C914" t="str">
        <f>_xlfn.XLOOKUP(B914,Phone_by_Price!$A$2:$A$34,Phone_by_Price!$B$2:$B$34,"-",0,1)</f>
        <v>Xiaomi Poco X3 NFC</v>
      </c>
      <c r="D914" t="str">
        <f>_xlfn.XLOOKUP(C914,Phone_by_Sentiment!$B$2:$B$37,Phone_by_Sentiment!$A$2:$A$37,"-",0,1)</f>
        <v>2020-08</v>
      </c>
      <c r="E914" cm="1">
        <f t="array" ref="E914">IF($Q914&gt;=0,IFERROR(generateSalesData($D914, IF(ISNUMBER(_xlfn.XLOOKUP($C914,Phone_by_Sentiment!$B$2:$B$37,Phone_by_Sentiment!E$2:E$37,"",0,1)),_xlfn.XLOOKUP($C914,Phone_by_Sentiment!$B$2:$B$37,Phone_by_Sentiment!E$2:E$37,"",0,1),0),$A914-TEXT(DATEVALUE($D914&amp;"-01"), "dd-mm-yyyy")),0),0)</f>
        <v>142</v>
      </c>
      <c r="F914" cm="1">
        <f t="array" ref="F914">IF($Q914&gt;=0,IFERROR(generateSalesData($D914, IF(ISNUMBER(_xlfn.XLOOKUP($C914,Phone_by_Sentiment!$B$2:$B$37,Phone_by_Sentiment!F$2:F$37,"",0,1)),_xlfn.XLOOKUP($C914,Phone_by_Sentiment!$B$2:$B$37,Phone_by_Sentiment!F$2:F$37,"",0,1),0),$A914-TEXT(DATEVALUE($D914&amp;"-01"), "dd-mm-yyyy")),0),0)</f>
        <v>287</v>
      </c>
      <c r="G914" cm="1">
        <f t="array" ref="G914">IF($Q914&gt;=0,IFERROR(generateSalesData($D914, IF(ISNUMBER(_xlfn.XLOOKUP($C914,Phone_by_Sentiment!$B$2:$B$37,Phone_by_Sentiment!G$2:G$37,"",0,1)),_xlfn.XLOOKUP($C914,Phone_by_Sentiment!$B$2:$B$37,Phone_by_Sentiment!G$2:G$37,"",0,1),0),$A914-TEXT(DATEVALUE($D914&amp;"-01"), "dd-mm-yyyy")),0),0)</f>
        <v>200</v>
      </c>
      <c r="H914" cm="1">
        <f t="array" ref="H914">IF($Q914&gt;=0,IFERROR(generateSalesData($D914, IF(ISNUMBER(_xlfn.XLOOKUP($C914,Phone_by_Sentiment!$B$2:$B$37,Phone_by_Sentiment!H$2:H$37,"",0,1)),_xlfn.XLOOKUP($C914,Phone_by_Sentiment!$B$2:$B$37,Phone_by_Sentiment!H$2:H$37,"",0,1),0),$A914-TEXT(DATEVALUE($D914&amp;"-01"), "dd-mm-yyyy")),0),0)</f>
        <v>1300</v>
      </c>
      <c r="I914" cm="1">
        <f t="array" ref="I914">IF($Q914&gt;=0,IFERROR(generateSalesData($D914, IF(ISNUMBER(_xlfn.XLOOKUP($C914,Phone_by_Sentiment!$B$2:$B$37,Phone_by_Sentiment!I$2:I$37,"",0,1)),_xlfn.XLOOKUP($C914,Phone_by_Sentiment!$B$2:$B$37,Phone_by_Sentiment!I$2:I$37,"",0,1),0),$A914-TEXT(DATEVALUE($D914&amp;"-01"), "dd-mm-yyyy")),0),0)</f>
        <v>438</v>
      </c>
      <c r="J914" cm="1">
        <f t="array" ref="J914">IF($Q914&gt;=0,IFERROR(generateSalesData($D914, IF(ISNUMBER(_xlfn.XLOOKUP($C914,Phone_by_Sentiment!$B$2:$B$37,Phone_by_Sentiment!J$2:J$37,"",0,1)),_xlfn.XLOOKUP($C914,Phone_by_Sentiment!$B$2:$B$37,Phone_by_Sentiment!J$2:J$37,"",0,1),0),$A914-TEXT(DATEVALUE($D914&amp;"-01"), "dd-mm-yyyy")),0),0)</f>
        <v>93</v>
      </c>
      <c r="K914" cm="1">
        <f t="array" ref="K914">IF($Q914&gt;=0,IFERROR(generateSalesData($D914, IF(ISNUMBER(_xlfn.XLOOKUP($C914,Phone_by_Sentiment!$B$2:$B$37,Phone_by_Sentiment!K$2:K$37,"",0,1)),_xlfn.XLOOKUP($C914,Phone_by_Sentiment!$B$2:$B$37,Phone_by_Sentiment!K$2:K$37,"",0,1),0),$A914-TEXT(DATEVALUE($D914&amp;"-01"), "dd-mm-yyyy")),0),0)</f>
        <v>1053</v>
      </c>
      <c r="L914" cm="1">
        <f t="array" ref="L914">IF($Q914&gt;=0,IFERROR(generateSalesData($D914, IF(ISNUMBER(_xlfn.XLOOKUP($C914,Phone_by_Sentiment!$B$2:$B$37,Phone_by_Sentiment!L$2:L$37,"",0,1)),_xlfn.XLOOKUP($C914,Phone_by_Sentiment!$B$2:$B$37,Phone_by_Sentiment!L$2:L$37,"",0,1),0),$A914-TEXT(DATEVALUE($D914&amp;"-01"), "dd-mm-yyyy")),0),0)</f>
        <v>348</v>
      </c>
      <c r="M914" cm="1">
        <f t="array" ref="M914">IF($Q914&gt;=0,IFERROR(generateSalesData($D914, IF(ISNUMBER(_xlfn.XLOOKUP($C914,Phone_by_Sentiment!$B$2:$B$37,Phone_by_Sentiment!M$2:M$37,"",0,1)),_xlfn.XLOOKUP($C914,Phone_by_Sentiment!$B$2:$B$37,Phone_by_Sentiment!M$2:M$37,"",0,1),0),$A914-TEXT(DATEVALUE($D914&amp;"-01"), "dd-mm-yyyy")),0),0)</f>
        <v>1084</v>
      </c>
      <c r="N914" cm="1">
        <f t="array" ref="N914">IF($Q914&gt;=0,IFERROR(generateSalesData($D914, IF(ISNUMBER(_xlfn.XLOOKUP($C914,Phone_by_Sentiment!$B$2:$B$37,Phone_by_Sentiment!N$2:N$37,"",0,1)),_xlfn.XLOOKUP($C914,Phone_by_Sentiment!$B$2:$B$37,Phone_by_Sentiment!N$2:N$37,"",0,1),0),$A914-TEXT(DATEVALUE($D914&amp;"-01"), "dd-mm-yyyy")),0),0)</f>
        <v>290</v>
      </c>
      <c r="O914" cm="1">
        <f t="array" ref="O914">IF($Q914&gt;=0,IFERROR(generateSalesData($D914, IF(ISNUMBER(_xlfn.XLOOKUP($C914,Phone_by_Sentiment!$B$2:$B$37,Phone_by_Sentiment!O$2:O$37,"",0,1)),_xlfn.XLOOKUP($C914,Phone_by_Sentiment!$B$2:$B$37,Phone_by_Sentiment!O$2:O$37,"",0,1),0),$A914-TEXT(DATEVALUE($D914&amp;"-01"), "dd-mm-yyyy")),0),0)</f>
        <v>678</v>
      </c>
      <c r="P914" s="1">
        <f t="shared" si="37"/>
        <v>44044</v>
      </c>
      <c r="Q914">
        <f t="shared" si="38"/>
        <v>212</v>
      </c>
    </row>
    <row r="915" spans="1:17" x14ac:dyDescent="0.25">
      <c r="A915" s="1">
        <f t="shared" si="39"/>
        <v>44256</v>
      </c>
      <c r="B915" t="s">
        <v>163</v>
      </c>
      <c r="C915" t="str">
        <f>_xlfn.XLOOKUP(B915,Phone_by_Price!$A$2:$A$34,Phone_by_Price!$B$2:$B$34,"-",0,1)</f>
        <v>OPPO A93</v>
      </c>
      <c r="D915" t="str">
        <f>_xlfn.XLOOKUP(C915,Phone_by_Sentiment!$B$2:$B$37,Phone_by_Sentiment!$A$2:$A$37,"-",0,1)</f>
        <v>2021-02</v>
      </c>
      <c r="E915" cm="1">
        <f t="array" ref="E915">IF($Q915&gt;=0,IFERROR(generateSalesData($D915, IF(ISNUMBER(_xlfn.XLOOKUP($C915,Phone_by_Sentiment!$B$2:$B$37,Phone_by_Sentiment!E$2:E$37,"",0,1)),_xlfn.XLOOKUP($C915,Phone_by_Sentiment!$B$2:$B$37,Phone_by_Sentiment!E$2:E$37,"",0,1),0),$A915-TEXT(DATEVALUE($D915&amp;"-01"), "dd-mm-yyyy")),0),0)</f>
        <v>13610</v>
      </c>
      <c r="F915" cm="1">
        <f t="array" ref="F915">IF($Q915&gt;=0,IFERROR(generateSalesData($D915, IF(ISNUMBER(_xlfn.XLOOKUP($C915,Phone_by_Sentiment!$B$2:$B$37,Phone_by_Sentiment!F$2:F$37,"",0,1)),_xlfn.XLOOKUP($C915,Phone_by_Sentiment!$B$2:$B$37,Phone_by_Sentiment!F$2:F$37,"",0,1),0),$A915-TEXT(DATEVALUE($D915&amp;"-01"), "dd-mm-yyyy")),0),0)</f>
        <v>2248</v>
      </c>
      <c r="G915" cm="1">
        <f t="array" ref="G915">IF($Q915&gt;=0,IFERROR(generateSalesData($D915, IF(ISNUMBER(_xlfn.XLOOKUP($C915,Phone_by_Sentiment!$B$2:$B$37,Phone_by_Sentiment!G$2:G$37,"",0,1)),_xlfn.XLOOKUP($C915,Phone_by_Sentiment!$B$2:$B$37,Phone_by_Sentiment!G$2:G$37,"",0,1),0),$A915-TEXT(DATEVALUE($D915&amp;"-01"), "dd-mm-yyyy")),0),0)</f>
        <v>3865</v>
      </c>
      <c r="H915" cm="1">
        <f t="array" ref="H915">IF($Q915&gt;=0,IFERROR(generateSalesData($D915, IF(ISNUMBER(_xlfn.XLOOKUP($C915,Phone_by_Sentiment!$B$2:$B$37,Phone_by_Sentiment!H$2:H$37,"",0,1)),_xlfn.XLOOKUP($C915,Phone_by_Sentiment!$B$2:$B$37,Phone_by_Sentiment!H$2:H$37,"",0,1),0),$A915-TEXT(DATEVALUE($D915&amp;"-01"), "dd-mm-yyyy")),0),0)</f>
        <v>4489</v>
      </c>
      <c r="I915" cm="1">
        <f t="array" ref="I915">IF($Q915&gt;=0,IFERROR(generateSalesData($D915, IF(ISNUMBER(_xlfn.XLOOKUP($C915,Phone_by_Sentiment!$B$2:$B$37,Phone_by_Sentiment!I$2:I$37,"",0,1)),_xlfn.XLOOKUP($C915,Phone_by_Sentiment!$B$2:$B$37,Phone_by_Sentiment!I$2:I$37,"",0,1),0),$A915-TEXT(DATEVALUE($D915&amp;"-01"), "dd-mm-yyyy")),0),0)</f>
        <v>10202</v>
      </c>
      <c r="J915" cm="1">
        <f t="array" ref="J915">IF($Q915&gt;=0,IFERROR(generateSalesData($D915, IF(ISNUMBER(_xlfn.XLOOKUP($C915,Phone_by_Sentiment!$B$2:$B$37,Phone_by_Sentiment!J$2:J$37,"",0,1)),_xlfn.XLOOKUP($C915,Phone_by_Sentiment!$B$2:$B$37,Phone_by_Sentiment!J$2:J$37,"",0,1),0),$A915-TEXT(DATEVALUE($D915&amp;"-01"), "dd-mm-yyyy")),0),0)</f>
        <v>816</v>
      </c>
      <c r="K915" cm="1">
        <f t="array" ref="K915">IF($Q915&gt;=0,IFERROR(generateSalesData($D915, IF(ISNUMBER(_xlfn.XLOOKUP($C915,Phone_by_Sentiment!$B$2:$B$37,Phone_by_Sentiment!K$2:K$37,"",0,1)),_xlfn.XLOOKUP($C915,Phone_by_Sentiment!$B$2:$B$37,Phone_by_Sentiment!K$2:K$37,"",0,1),0),$A915-TEXT(DATEVALUE($D915&amp;"-01"), "dd-mm-yyyy")),0),0)</f>
        <v>3836</v>
      </c>
      <c r="L915" cm="1">
        <f t="array" ref="L915">IF($Q915&gt;=0,IFERROR(generateSalesData($D915, IF(ISNUMBER(_xlfn.XLOOKUP($C915,Phone_by_Sentiment!$B$2:$B$37,Phone_by_Sentiment!L$2:L$37,"",0,1)),_xlfn.XLOOKUP($C915,Phone_by_Sentiment!$B$2:$B$37,Phone_by_Sentiment!L$2:L$37,"",0,1),0),$A915-TEXT(DATEVALUE($D915&amp;"-01"), "dd-mm-yyyy")),0),0)</f>
        <v>3949</v>
      </c>
      <c r="M915" cm="1">
        <f t="array" ref="M915">IF($Q915&gt;=0,IFERROR(generateSalesData($D915, IF(ISNUMBER(_xlfn.XLOOKUP($C915,Phone_by_Sentiment!$B$2:$B$37,Phone_by_Sentiment!M$2:M$37,"",0,1)),_xlfn.XLOOKUP($C915,Phone_by_Sentiment!$B$2:$B$37,Phone_by_Sentiment!M$2:M$37,"",0,1),0),$A915-TEXT(DATEVALUE($D915&amp;"-01"), "dd-mm-yyyy")),0),0)</f>
        <v>-1002</v>
      </c>
      <c r="N915" cm="1">
        <f t="array" ref="N915">IF($Q915&gt;=0,IFERROR(generateSalesData($D915, IF(ISNUMBER(_xlfn.XLOOKUP($C915,Phone_by_Sentiment!$B$2:$B$37,Phone_by_Sentiment!N$2:N$37,"",0,1)),_xlfn.XLOOKUP($C915,Phone_by_Sentiment!$B$2:$B$37,Phone_by_Sentiment!N$2:N$37,"",0,1),0),$A915-TEXT(DATEVALUE($D915&amp;"-01"), "dd-mm-yyyy")),0),0)</f>
        <v>15686</v>
      </c>
      <c r="O915" cm="1">
        <f t="array" ref="O915">IF($Q915&gt;=0,IFERROR(generateSalesData($D915, IF(ISNUMBER(_xlfn.XLOOKUP($C915,Phone_by_Sentiment!$B$2:$B$37,Phone_by_Sentiment!O$2:O$37,"",0,1)),_xlfn.XLOOKUP($C915,Phone_by_Sentiment!$B$2:$B$37,Phone_by_Sentiment!O$2:O$37,"",0,1),0),$A915-TEXT(DATEVALUE($D915&amp;"-01"), "dd-mm-yyyy")),0),0)</f>
        <v>2702</v>
      </c>
      <c r="P915" s="1">
        <f t="shared" si="37"/>
        <v>44228</v>
      </c>
      <c r="Q915">
        <f t="shared" si="38"/>
        <v>28</v>
      </c>
    </row>
    <row r="916" spans="1:17" x14ac:dyDescent="0.25">
      <c r="A916" s="1">
        <f t="shared" si="39"/>
        <v>44256</v>
      </c>
      <c r="B916" t="s">
        <v>164</v>
      </c>
      <c r="C916" t="str">
        <f>_xlfn.XLOOKUP(B916,Phone_by_Price!$A$2:$A$34,Phone_by_Price!$B$2:$B$34,"-",0,1)</f>
        <v>Vivo V20</v>
      </c>
      <c r="D916" t="str">
        <f>_xlfn.XLOOKUP(C916,Phone_by_Sentiment!$B$2:$B$37,Phone_by_Sentiment!$A$2:$A$37,"-",0,1)</f>
        <v>2020-10</v>
      </c>
      <c r="E916" cm="1">
        <f t="array" ref="E916">IF($Q916&gt;=0,IFERROR(generateSalesData($D916, IF(ISNUMBER(_xlfn.XLOOKUP($C916,Phone_by_Sentiment!$B$2:$B$37,Phone_by_Sentiment!E$2:E$37,"",0,1)),_xlfn.XLOOKUP($C916,Phone_by_Sentiment!$B$2:$B$37,Phone_by_Sentiment!E$2:E$37,"",0,1),0),$A916-TEXT(DATEVALUE($D916&amp;"-01"), "dd-mm-yyyy")),0),0)</f>
        <v>1977</v>
      </c>
      <c r="F916" cm="1">
        <f t="array" ref="F916">IF($Q916&gt;=0,IFERROR(generateSalesData($D916, IF(ISNUMBER(_xlfn.XLOOKUP($C916,Phone_by_Sentiment!$B$2:$B$37,Phone_by_Sentiment!F$2:F$37,"",0,1)),_xlfn.XLOOKUP($C916,Phone_by_Sentiment!$B$2:$B$37,Phone_by_Sentiment!F$2:F$37,"",0,1),0),$A916-TEXT(DATEVALUE($D916&amp;"-01"), "dd-mm-yyyy")),0),0)</f>
        <v>327</v>
      </c>
      <c r="G916" cm="1">
        <f t="array" ref="G916">IF($Q916&gt;=0,IFERROR(generateSalesData($D916, IF(ISNUMBER(_xlfn.XLOOKUP($C916,Phone_by_Sentiment!$B$2:$B$37,Phone_by_Sentiment!G$2:G$37,"",0,1)),_xlfn.XLOOKUP($C916,Phone_by_Sentiment!$B$2:$B$37,Phone_by_Sentiment!G$2:G$37,"",0,1),0),$A916-TEXT(DATEVALUE($D916&amp;"-01"), "dd-mm-yyyy")),0),0)</f>
        <v>287</v>
      </c>
      <c r="H916" cm="1">
        <f t="array" ref="H916">IF($Q916&gt;=0,IFERROR(generateSalesData($D916, IF(ISNUMBER(_xlfn.XLOOKUP($C916,Phone_by_Sentiment!$B$2:$B$37,Phone_by_Sentiment!H$2:H$37,"",0,1)),_xlfn.XLOOKUP($C916,Phone_by_Sentiment!$B$2:$B$37,Phone_by_Sentiment!H$2:H$37,"",0,1),0),$A916-TEXT(DATEVALUE($D916&amp;"-01"), "dd-mm-yyyy")),0),0)</f>
        <v>363</v>
      </c>
      <c r="I916" cm="1">
        <f t="array" ref="I916">IF($Q916&gt;=0,IFERROR(generateSalesData($D916, IF(ISNUMBER(_xlfn.XLOOKUP($C916,Phone_by_Sentiment!$B$2:$B$37,Phone_by_Sentiment!I$2:I$37,"",0,1)),_xlfn.XLOOKUP($C916,Phone_by_Sentiment!$B$2:$B$37,Phone_by_Sentiment!I$2:I$37,"",0,1),0),$A916-TEXT(DATEVALUE($D916&amp;"-01"), "dd-mm-yyyy")),0),0)</f>
        <v>474</v>
      </c>
      <c r="J916" cm="1">
        <f t="array" ref="J916">IF($Q916&gt;=0,IFERROR(generateSalesData($D916, IF(ISNUMBER(_xlfn.XLOOKUP($C916,Phone_by_Sentiment!$B$2:$B$37,Phone_by_Sentiment!J$2:J$37,"",0,1)),_xlfn.XLOOKUP($C916,Phone_by_Sentiment!$B$2:$B$37,Phone_by_Sentiment!J$2:J$37,"",0,1),0),$A916-TEXT(DATEVALUE($D916&amp;"-01"), "dd-mm-yyyy")),0),0)</f>
        <v>461</v>
      </c>
      <c r="K916" cm="1">
        <f t="array" ref="K916">IF($Q916&gt;=0,IFERROR(generateSalesData($D916, IF(ISNUMBER(_xlfn.XLOOKUP($C916,Phone_by_Sentiment!$B$2:$B$37,Phone_by_Sentiment!K$2:K$37,"",0,1)),_xlfn.XLOOKUP($C916,Phone_by_Sentiment!$B$2:$B$37,Phone_by_Sentiment!K$2:K$37,"",0,1),0),$A916-TEXT(DATEVALUE($D916&amp;"-01"), "dd-mm-yyyy")),0),0)</f>
        <v>343</v>
      </c>
      <c r="L916" cm="1">
        <f t="array" ref="L916">IF($Q916&gt;=0,IFERROR(generateSalesData($D916, IF(ISNUMBER(_xlfn.XLOOKUP($C916,Phone_by_Sentiment!$B$2:$B$37,Phone_by_Sentiment!L$2:L$37,"",0,1)),_xlfn.XLOOKUP($C916,Phone_by_Sentiment!$B$2:$B$37,Phone_by_Sentiment!L$2:L$37,"",0,1),0),$A916-TEXT(DATEVALUE($D916&amp;"-01"), "dd-mm-yyyy")),0),0)</f>
        <v>397</v>
      </c>
      <c r="M916" cm="1">
        <f t="array" ref="M916">IF($Q916&gt;=0,IFERROR(generateSalesData($D916, IF(ISNUMBER(_xlfn.XLOOKUP($C916,Phone_by_Sentiment!$B$2:$B$37,Phone_by_Sentiment!M$2:M$37,"",0,1)),_xlfn.XLOOKUP($C916,Phone_by_Sentiment!$B$2:$B$37,Phone_by_Sentiment!M$2:M$37,"",0,1),0),$A916-TEXT(DATEVALUE($D916&amp;"-01"), "dd-mm-yyyy")),0),0)</f>
        <v>482</v>
      </c>
      <c r="N916" cm="1">
        <f t="array" ref="N916">IF($Q916&gt;=0,IFERROR(generateSalesData($D916, IF(ISNUMBER(_xlfn.XLOOKUP($C916,Phone_by_Sentiment!$B$2:$B$37,Phone_by_Sentiment!N$2:N$37,"",0,1)),_xlfn.XLOOKUP($C916,Phone_by_Sentiment!$B$2:$B$37,Phone_by_Sentiment!N$2:N$37,"",0,1),0),$A916-TEXT(DATEVALUE($D916&amp;"-01"), "dd-mm-yyyy")),0),0)</f>
        <v>95</v>
      </c>
      <c r="O916" cm="1">
        <f t="array" ref="O916">IF($Q916&gt;=0,IFERROR(generateSalesData($D916, IF(ISNUMBER(_xlfn.XLOOKUP($C916,Phone_by_Sentiment!$B$2:$B$37,Phone_by_Sentiment!O$2:O$37,"",0,1)),_xlfn.XLOOKUP($C916,Phone_by_Sentiment!$B$2:$B$37,Phone_by_Sentiment!O$2:O$37,"",0,1),0),$A916-TEXT(DATEVALUE($D916&amp;"-01"), "dd-mm-yyyy")),0),0)</f>
        <v>479</v>
      </c>
      <c r="P916" s="1">
        <f t="shared" si="37"/>
        <v>44105</v>
      </c>
      <c r="Q916">
        <f t="shared" si="38"/>
        <v>151</v>
      </c>
    </row>
    <row r="917" spans="1:17" x14ac:dyDescent="0.25">
      <c r="A917" s="1">
        <f t="shared" si="39"/>
        <v>44256</v>
      </c>
      <c r="B917" t="s">
        <v>165</v>
      </c>
      <c r="C917" t="str">
        <f>_xlfn.XLOOKUP(B917,Phone_by_Price!$A$2:$A$34,Phone_by_Price!$B$2:$B$34,"-",0,1)</f>
        <v>Samsung Galaxy A50</v>
      </c>
      <c r="D917" t="str">
        <f>_xlfn.XLOOKUP(C917,Phone_by_Sentiment!$B$2:$B$37,Phone_by_Sentiment!$A$2:$A$37,"-",0,1)</f>
        <v>2019-05</v>
      </c>
      <c r="E917" cm="1">
        <f t="array" ref="E917">IF($Q917&gt;=0,IFERROR(generateSalesData($D917, IF(ISNUMBER(_xlfn.XLOOKUP($C917,Phone_by_Sentiment!$B$2:$B$37,Phone_by_Sentiment!E$2:E$37,"",0,1)),_xlfn.XLOOKUP($C917,Phone_by_Sentiment!$B$2:$B$37,Phone_by_Sentiment!E$2:E$37,"",0,1),0),$A917-TEXT(DATEVALUE($D917&amp;"-01"), "dd-mm-yyyy")),0),0)</f>
        <v>482</v>
      </c>
      <c r="F917" cm="1">
        <f t="array" ref="F917">IF($Q917&gt;=0,IFERROR(generateSalesData($D917, IF(ISNUMBER(_xlfn.XLOOKUP($C917,Phone_by_Sentiment!$B$2:$B$37,Phone_by_Sentiment!F$2:F$37,"",0,1)),_xlfn.XLOOKUP($C917,Phone_by_Sentiment!$B$2:$B$37,Phone_by_Sentiment!F$2:F$37,"",0,1),0),$A917-TEXT(DATEVALUE($D917&amp;"-01"), "dd-mm-yyyy")),0),0)</f>
        <v>70</v>
      </c>
      <c r="G917" cm="1">
        <f t="array" ref="G917">IF($Q917&gt;=0,IFERROR(generateSalesData($D917, IF(ISNUMBER(_xlfn.XLOOKUP($C917,Phone_by_Sentiment!$B$2:$B$37,Phone_by_Sentiment!G$2:G$37,"",0,1)),_xlfn.XLOOKUP($C917,Phone_by_Sentiment!$B$2:$B$37,Phone_by_Sentiment!G$2:G$37,"",0,1),0),$A917-TEXT(DATEVALUE($D917&amp;"-01"), "dd-mm-yyyy")),0),0)</f>
        <v>140</v>
      </c>
      <c r="H917" cm="1">
        <f t="array" ref="H917">IF($Q917&gt;=0,IFERROR(generateSalesData($D917, IF(ISNUMBER(_xlfn.XLOOKUP($C917,Phone_by_Sentiment!$B$2:$B$37,Phone_by_Sentiment!H$2:H$37,"",0,1)),_xlfn.XLOOKUP($C917,Phone_by_Sentiment!$B$2:$B$37,Phone_by_Sentiment!H$2:H$37,"",0,1),0),$A917-TEXT(DATEVALUE($D917&amp;"-01"), "dd-mm-yyyy")),0),0)</f>
        <v>548</v>
      </c>
      <c r="I917" cm="1">
        <f t="array" ref="I917">IF($Q917&gt;=0,IFERROR(generateSalesData($D917, IF(ISNUMBER(_xlfn.XLOOKUP($C917,Phone_by_Sentiment!$B$2:$B$37,Phone_by_Sentiment!I$2:I$37,"",0,1)),_xlfn.XLOOKUP($C917,Phone_by_Sentiment!$B$2:$B$37,Phone_by_Sentiment!I$2:I$37,"",0,1),0),$A917-TEXT(DATEVALUE($D917&amp;"-01"), "dd-mm-yyyy")),0),0)</f>
        <v>288</v>
      </c>
      <c r="J917" cm="1">
        <f t="array" ref="J917">IF($Q917&gt;=0,IFERROR(generateSalesData($D917, IF(ISNUMBER(_xlfn.XLOOKUP($C917,Phone_by_Sentiment!$B$2:$B$37,Phone_by_Sentiment!J$2:J$37,"",0,1)),_xlfn.XLOOKUP($C917,Phone_by_Sentiment!$B$2:$B$37,Phone_by_Sentiment!J$2:J$37,"",0,1),0),$A917-TEXT(DATEVALUE($D917&amp;"-01"), "dd-mm-yyyy")),0),0)</f>
        <v>68</v>
      </c>
      <c r="K917" cm="1">
        <f t="array" ref="K917">IF($Q917&gt;=0,IFERROR(generateSalesData($D917, IF(ISNUMBER(_xlfn.XLOOKUP($C917,Phone_by_Sentiment!$B$2:$B$37,Phone_by_Sentiment!K$2:K$37,"",0,1)),_xlfn.XLOOKUP($C917,Phone_by_Sentiment!$B$2:$B$37,Phone_by_Sentiment!K$2:K$37,"",0,1),0),$A917-TEXT(DATEVALUE($D917&amp;"-01"), "dd-mm-yyyy")),0),0)</f>
        <v>138</v>
      </c>
      <c r="L917" cm="1">
        <f t="array" ref="L917">IF($Q917&gt;=0,IFERROR(generateSalesData($D917, IF(ISNUMBER(_xlfn.XLOOKUP($C917,Phone_by_Sentiment!$B$2:$B$37,Phone_by_Sentiment!L$2:L$37,"",0,1)),_xlfn.XLOOKUP($C917,Phone_by_Sentiment!$B$2:$B$37,Phone_by_Sentiment!L$2:L$37,"",0,1),0),$A917-TEXT(DATEVALUE($D917&amp;"-01"), "dd-mm-yyyy")),0),0)</f>
        <v>323</v>
      </c>
      <c r="M917" cm="1">
        <f t="array" ref="M917">IF($Q917&gt;=0,IFERROR(generateSalesData($D917, IF(ISNUMBER(_xlfn.XLOOKUP($C917,Phone_by_Sentiment!$B$2:$B$37,Phone_by_Sentiment!M$2:M$37,"",0,1)),_xlfn.XLOOKUP($C917,Phone_by_Sentiment!$B$2:$B$37,Phone_by_Sentiment!M$2:M$37,"",0,1),0),$A917-TEXT(DATEVALUE($D917&amp;"-01"), "dd-mm-yyyy")),0),0)</f>
        <v>59</v>
      </c>
      <c r="N917" cm="1">
        <f t="array" ref="N917">IF($Q917&gt;=0,IFERROR(generateSalesData($D917, IF(ISNUMBER(_xlfn.XLOOKUP($C917,Phone_by_Sentiment!$B$2:$B$37,Phone_by_Sentiment!N$2:N$37,"",0,1)),_xlfn.XLOOKUP($C917,Phone_by_Sentiment!$B$2:$B$37,Phone_by_Sentiment!N$2:N$37,"",0,1),0),$A917-TEXT(DATEVALUE($D917&amp;"-01"), "dd-mm-yyyy")),0),0)</f>
        <v>150</v>
      </c>
      <c r="O917" cm="1">
        <f t="array" ref="O917">IF($Q917&gt;=0,IFERROR(generateSalesData($D917, IF(ISNUMBER(_xlfn.XLOOKUP($C917,Phone_by_Sentiment!$B$2:$B$37,Phone_by_Sentiment!O$2:O$37,"",0,1)),_xlfn.XLOOKUP($C917,Phone_by_Sentiment!$B$2:$B$37,Phone_by_Sentiment!O$2:O$37,"",0,1),0),$A917-TEXT(DATEVALUE($D917&amp;"-01"), "dd-mm-yyyy")),0),0)</f>
        <v>160</v>
      </c>
      <c r="P917" s="1">
        <f t="shared" si="37"/>
        <v>43586</v>
      </c>
      <c r="Q917">
        <f t="shared" si="38"/>
        <v>670</v>
      </c>
    </row>
    <row r="918" spans="1:17" x14ac:dyDescent="0.25">
      <c r="A918" s="1">
        <f t="shared" si="39"/>
        <v>44256</v>
      </c>
      <c r="B918" t="s">
        <v>166</v>
      </c>
      <c r="C918" t="str">
        <f>_xlfn.XLOOKUP(B918,Phone_by_Price!$A$2:$A$34,Phone_by_Price!$B$2:$B$34,"-",0,1)</f>
        <v>Xiaomi Redmi Note 7</v>
      </c>
      <c r="D918" t="str">
        <f>_xlfn.XLOOKUP(C918,Phone_by_Sentiment!$B$2:$B$37,Phone_by_Sentiment!$A$2:$A$37,"-",0,1)</f>
        <v>2019-08</v>
      </c>
      <c r="E918" cm="1">
        <f t="array" ref="E918">IF($Q918&gt;=0,IFERROR(generateSalesData($D918, IF(ISNUMBER(_xlfn.XLOOKUP($C918,Phone_by_Sentiment!$B$2:$B$37,Phone_by_Sentiment!E$2:E$37,"",0,1)),_xlfn.XLOOKUP($C918,Phone_by_Sentiment!$B$2:$B$37,Phone_by_Sentiment!E$2:E$37,"",0,1),0),$A918-TEXT(DATEVALUE($D918&amp;"-01"), "dd-mm-yyyy")),0),0)</f>
        <v>57</v>
      </c>
      <c r="F918" cm="1">
        <f t="array" ref="F918">IF($Q918&gt;=0,IFERROR(generateSalesData($D918, IF(ISNUMBER(_xlfn.XLOOKUP($C918,Phone_by_Sentiment!$B$2:$B$37,Phone_by_Sentiment!F$2:F$37,"",0,1)),_xlfn.XLOOKUP($C918,Phone_by_Sentiment!$B$2:$B$37,Phone_by_Sentiment!F$2:F$37,"",0,1),0),$A918-TEXT(DATEVALUE($D918&amp;"-01"), "dd-mm-yyyy")),0),0)</f>
        <v>129</v>
      </c>
      <c r="G918" cm="1">
        <f t="array" ref="G918">IF($Q918&gt;=0,IFERROR(generateSalesData($D918, IF(ISNUMBER(_xlfn.XLOOKUP($C918,Phone_by_Sentiment!$B$2:$B$37,Phone_by_Sentiment!G$2:G$37,"",0,1)),_xlfn.XLOOKUP($C918,Phone_by_Sentiment!$B$2:$B$37,Phone_by_Sentiment!G$2:G$37,"",0,1),0),$A918-TEXT(DATEVALUE($D918&amp;"-01"), "dd-mm-yyyy")),0),0)</f>
        <v>146</v>
      </c>
      <c r="H918" cm="1">
        <f t="array" ref="H918">IF($Q918&gt;=0,IFERROR(generateSalesData($D918, IF(ISNUMBER(_xlfn.XLOOKUP($C918,Phone_by_Sentiment!$B$2:$B$37,Phone_by_Sentiment!H$2:H$37,"",0,1)),_xlfn.XLOOKUP($C918,Phone_by_Sentiment!$B$2:$B$37,Phone_by_Sentiment!H$2:H$37,"",0,1),0),$A918-TEXT(DATEVALUE($D918&amp;"-01"), "dd-mm-yyyy")),0),0)</f>
        <v>403</v>
      </c>
      <c r="I918" cm="1">
        <f t="array" ref="I918">IF($Q918&gt;=0,IFERROR(generateSalesData($D918, IF(ISNUMBER(_xlfn.XLOOKUP($C918,Phone_by_Sentiment!$B$2:$B$37,Phone_by_Sentiment!I$2:I$37,"",0,1)),_xlfn.XLOOKUP($C918,Phone_by_Sentiment!$B$2:$B$37,Phone_by_Sentiment!I$2:I$37,"",0,1),0),$A918-TEXT(DATEVALUE($D918&amp;"-01"), "dd-mm-yyyy")),0),0)</f>
        <v>8</v>
      </c>
      <c r="J918" cm="1">
        <f t="array" ref="J918">IF($Q918&gt;=0,IFERROR(generateSalesData($D918, IF(ISNUMBER(_xlfn.XLOOKUP($C918,Phone_by_Sentiment!$B$2:$B$37,Phone_by_Sentiment!J$2:J$37,"",0,1)),_xlfn.XLOOKUP($C918,Phone_by_Sentiment!$B$2:$B$37,Phone_by_Sentiment!J$2:J$37,"",0,1),0),$A918-TEXT(DATEVALUE($D918&amp;"-01"), "dd-mm-yyyy")),0),0)</f>
        <v>113</v>
      </c>
      <c r="K918" cm="1">
        <f t="array" ref="K918">IF($Q918&gt;=0,IFERROR(generateSalesData($D918, IF(ISNUMBER(_xlfn.XLOOKUP($C918,Phone_by_Sentiment!$B$2:$B$37,Phone_by_Sentiment!K$2:K$37,"",0,1)),_xlfn.XLOOKUP($C918,Phone_by_Sentiment!$B$2:$B$37,Phone_by_Sentiment!K$2:K$37,"",0,1),0),$A918-TEXT(DATEVALUE($D918&amp;"-01"), "dd-mm-yyyy")),0),0)</f>
        <v>546</v>
      </c>
      <c r="L918" cm="1">
        <f t="array" ref="L918">IF($Q918&gt;=0,IFERROR(generateSalesData($D918, IF(ISNUMBER(_xlfn.XLOOKUP($C918,Phone_by_Sentiment!$B$2:$B$37,Phone_by_Sentiment!L$2:L$37,"",0,1)),_xlfn.XLOOKUP($C918,Phone_by_Sentiment!$B$2:$B$37,Phone_by_Sentiment!L$2:L$37,"",0,1),0),$A918-TEXT(DATEVALUE($D918&amp;"-01"), "dd-mm-yyyy")),0),0)</f>
        <v>107</v>
      </c>
      <c r="M918" cm="1">
        <f t="array" ref="M918">IF($Q918&gt;=0,IFERROR(generateSalesData($D918, IF(ISNUMBER(_xlfn.XLOOKUP($C918,Phone_by_Sentiment!$B$2:$B$37,Phone_by_Sentiment!M$2:M$37,"",0,1)),_xlfn.XLOOKUP($C918,Phone_by_Sentiment!$B$2:$B$37,Phone_by_Sentiment!M$2:M$37,"",0,1),0),$A918-TEXT(DATEVALUE($D918&amp;"-01"), "dd-mm-yyyy")),0),0)</f>
        <v>24</v>
      </c>
      <c r="N918" cm="1">
        <f t="array" ref="N918">IF($Q918&gt;=0,IFERROR(generateSalesData($D918, IF(ISNUMBER(_xlfn.XLOOKUP($C918,Phone_by_Sentiment!$B$2:$B$37,Phone_by_Sentiment!N$2:N$37,"",0,1)),_xlfn.XLOOKUP($C918,Phone_by_Sentiment!$B$2:$B$37,Phone_by_Sentiment!N$2:N$37,"",0,1),0),$A918-TEXT(DATEVALUE($D918&amp;"-01"), "dd-mm-yyyy")),0),0)</f>
        <v>92</v>
      </c>
      <c r="O918" cm="1">
        <f t="array" ref="O918">IF($Q918&gt;=0,IFERROR(generateSalesData($D918, IF(ISNUMBER(_xlfn.XLOOKUP($C918,Phone_by_Sentiment!$B$2:$B$37,Phone_by_Sentiment!O$2:O$37,"",0,1)),_xlfn.XLOOKUP($C918,Phone_by_Sentiment!$B$2:$B$37,Phone_by_Sentiment!O$2:O$37,"",0,1),0),$A918-TEXT(DATEVALUE($D918&amp;"-01"), "dd-mm-yyyy")),0),0)</f>
        <v>191</v>
      </c>
      <c r="P918" s="1">
        <f t="shared" si="37"/>
        <v>43678</v>
      </c>
      <c r="Q918">
        <f t="shared" si="38"/>
        <v>578</v>
      </c>
    </row>
    <row r="919" spans="1:17" x14ac:dyDescent="0.25">
      <c r="A919" s="1">
        <f t="shared" si="39"/>
        <v>44256</v>
      </c>
      <c r="B919" t="s">
        <v>167</v>
      </c>
      <c r="C919" t="str">
        <f>_xlfn.XLOOKUP(B919,Phone_by_Price!$A$2:$A$34,Phone_by_Price!$B$2:$B$34,"-",0,1)</f>
        <v>Realme C21</v>
      </c>
      <c r="D919" t="str">
        <f>_xlfn.XLOOKUP(C919,Phone_by_Sentiment!$B$2:$B$37,Phone_by_Sentiment!$A$2:$A$37,"-",0,1)</f>
        <v>2021-04</v>
      </c>
      <c r="E919" cm="1">
        <f t="array" ref="E919">IF($Q919&gt;=0,IFERROR(generateSalesData($D919, IF(ISNUMBER(_xlfn.XLOOKUP($C919,Phone_by_Sentiment!$B$2:$B$37,Phone_by_Sentiment!E$2:E$37,"",0,1)),_xlfn.XLOOKUP($C919,Phone_by_Sentiment!$B$2:$B$37,Phone_by_Sentiment!E$2:E$37,"",0,1),0),$A919-TEXT(DATEVALUE($D919&amp;"-01"), "dd-mm-yyyy")),0),0)</f>
        <v>0</v>
      </c>
      <c r="F919" cm="1">
        <f t="array" ref="F919">IF($Q919&gt;=0,IFERROR(generateSalesData($D919, IF(ISNUMBER(_xlfn.XLOOKUP($C919,Phone_by_Sentiment!$B$2:$B$37,Phone_by_Sentiment!F$2:F$37,"",0,1)),_xlfn.XLOOKUP($C919,Phone_by_Sentiment!$B$2:$B$37,Phone_by_Sentiment!F$2:F$37,"",0,1),0),$A919-TEXT(DATEVALUE($D919&amp;"-01"), "dd-mm-yyyy")),0),0)</f>
        <v>0</v>
      </c>
      <c r="G919" cm="1">
        <f t="array" ref="G919">IF($Q919&gt;=0,IFERROR(generateSalesData($D919, IF(ISNUMBER(_xlfn.XLOOKUP($C919,Phone_by_Sentiment!$B$2:$B$37,Phone_by_Sentiment!G$2:G$37,"",0,1)),_xlfn.XLOOKUP($C919,Phone_by_Sentiment!$B$2:$B$37,Phone_by_Sentiment!G$2:G$37,"",0,1),0),$A919-TEXT(DATEVALUE($D919&amp;"-01"), "dd-mm-yyyy")),0),0)</f>
        <v>0</v>
      </c>
      <c r="H919" cm="1">
        <f t="array" ref="H919">IF($Q919&gt;=0,IFERROR(generateSalesData($D919, IF(ISNUMBER(_xlfn.XLOOKUP($C919,Phone_by_Sentiment!$B$2:$B$37,Phone_by_Sentiment!H$2:H$37,"",0,1)),_xlfn.XLOOKUP($C919,Phone_by_Sentiment!$B$2:$B$37,Phone_by_Sentiment!H$2:H$37,"",0,1),0),$A919-TEXT(DATEVALUE($D919&amp;"-01"), "dd-mm-yyyy")),0),0)</f>
        <v>0</v>
      </c>
      <c r="I919" cm="1">
        <f t="array" ref="I919">IF($Q919&gt;=0,IFERROR(generateSalesData($D919, IF(ISNUMBER(_xlfn.XLOOKUP($C919,Phone_by_Sentiment!$B$2:$B$37,Phone_by_Sentiment!I$2:I$37,"",0,1)),_xlfn.XLOOKUP($C919,Phone_by_Sentiment!$B$2:$B$37,Phone_by_Sentiment!I$2:I$37,"",0,1),0),$A919-TEXT(DATEVALUE($D919&amp;"-01"), "dd-mm-yyyy")),0),0)</f>
        <v>0</v>
      </c>
      <c r="J919" cm="1">
        <f t="array" ref="J919">IF($Q919&gt;=0,IFERROR(generateSalesData($D919, IF(ISNUMBER(_xlfn.XLOOKUP($C919,Phone_by_Sentiment!$B$2:$B$37,Phone_by_Sentiment!J$2:J$37,"",0,1)),_xlfn.XLOOKUP($C919,Phone_by_Sentiment!$B$2:$B$37,Phone_by_Sentiment!J$2:J$37,"",0,1),0),$A919-TEXT(DATEVALUE($D919&amp;"-01"), "dd-mm-yyyy")),0),0)</f>
        <v>0</v>
      </c>
      <c r="K919" cm="1">
        <f t="array" ref="K919">IF($Q919&gt;=0,IFERROR(generateSalesData($D919, IF(ISNUMBER(_xlfn.XLOOKUP($C919,Phone_by_Sentiment!$B$2:$B$37,Phone_by_Sentiment!K$2:K$37,"",0,1)),_xlfn.XLOOKUP($C919,Phone_by_Sentiment!$B$2:$B$37,Phone_by_Sentiment!K$2:K$37,"",0,1),0),$A919-TEXT(DATEVALUE($D919&amp;"-01"), "dd-mm-yyyy")),0),0)</f>
        <v>0</v>
      </c>
      <c r="L919" cm="1">
        <f t="array" ref="L919">IF($Q919&gt;=0,IFERROR(generateSalesData($D919, IF(ISNUMBER(_xlfn.XLOOKUP($C919,Phone_by_Sentiment!$B$2:$B$37,Phone_by_Sentiment!L$2:L$37,"",0,1)),_xlfn.XLOOKUP($C919,Phone_by_Sentiment!$B$2:$B$37,Phone_by_Sentiment!L$2:L$37,"",0,1),0),$A919-TEXT(DATEVALUE($D919&amp;"-01"), "dd-mm-yyyy")),0),0)</f>
        <v>0</v>
      </c>
      <c r="M919" cm="1">
        <f t="array" ref="M919">IF($Q919&gt;=0,IFERROR(generateSalesData($D919, IF(ISNUMBER(_xlfn.XLOOKUP($C919,Phone_by_Sentiment!$B$2:$B$37,Phone_by_Sentiment!M$2:M$37,"",0,1)),_xlfn.XLOOKUP($C919,Phone_by_Sentiment!$B$2:$B$37,Phone_by_Sentiment!M$2:M$37,"",0,1),0),$A919-TEXT(DATEVALUE($D919&amp;"-01"), "dd-mm-yyyy")),0),0)</f>
        <v>0</v>
      </c>
      <c r="N919" cm="1">
        <f t="array" ref="N919">IF($Q919&gt;=0,IFERROR(generateSalesData($D919, IF(ISNUMBER(_xlfn.XLOOKUP($C919,Phone_by_Sentiment!$B$2:$B$37,Phone_by_Sentiment!N$2:N$37,"",0,1)),_xlfn.XLOOKUP($C919,Phone_by_Sentiment!$B$2:$B$37,Phone_by_Sentiment!N$2:N$37,"",0,1),0),$A919-TEXT(DATEVALUE($D919&amp;"-01"), "dd-mm-yyyy")),0),0)</f>
        <v>0</v>
      </c>
      <c r="O919" cm="1">
        <f t="array" ref="O919">IF($Q919&gt;=0,IFERROR(generateSalesData($D919, IF(ISNUMBER(_xlfn.XLOOKUP($C919,Phone_by_Sentiment!$B$2:$B$37,Phone_by_Sentiment!O$2:O$37,"",0,1)),_xlfn.XLOOKUP($C919,Phone_by_Sentiment!$B$2:$B$37,Phone_by_Sentiment!O$2:O$37,"",0,1),0),$A919-TEXT(DATEVALUE($D919&amp;"-01"), "dd-mm-yyyy")),0),0)</f>
        <v>0</v>
      </c>
      <c r="P919" s="1">
        <f t="shared" si="37"/>
        <v>44287</v>
      </c>
      <c r="Q919">
        <f t="shared" si="38"/>
        <v>-31</v>
      </c>
    </row>
    <row r="920" spans="1:17" x14ac:dyDescent="0.25">
      <c r="A920" s="1">
        <f t="shared" si="39"/>
        <v>44256</v>
      </c>
      <c r="B920" t="s">
        <v>168</v>
      </c>
      <c r="C920" t="str">
        <f>_xlfn.XLOOKUP(B920,Phone_by_Price!$A$2:$A$34,Phone_by_Price!$B$2:$B$34,"-",0,1)</f>
        <v>Google Pixel 4</v>
      </c>
      <c r="D920" t="str">
        <f>_xlfn.XLOOKUP(C920,Phone_by_Sentiment!$B$2:$B$37,Phone_by_Sentiment!$A$2:$A$37,"-",0,1)</f>
        <v>2019-09</v>
      </c>
      <c r="E920" cm="1">
        <f t="array" ref="E920">IF($Q920&gt;=0,IFERROR(generateSalesData($D920, IF(ISNUMBER(_xlfn.XLOOKUP($C920,Phone_by_Sentiment!$B$2:$B$37,Phone_by_Sentiment!E$2:E$37,"",0,1)),_xlfn.XLOOKUP($C920,Phone_by_Sentiment!$B$2:$B$37,Phone_by_Sentiment!E$2:E$37,"",0,1),0),$A920-TEXT(DATEVALUE($D920&amp;"-01"), "dd-mm-yyyy")),0),0)</f>
        <v>97</v>
      </c>
      <c r="F920" cm="1">
        <f t="array" ref="F920">IF($Q920&gt;=0,IFERROR(generateSalesData($D920, IF(ISNUMBER(_xlfn.XLOOKUP($C920,Phone_by_Sentiment!$B$2:$B$37,Phone_by_Sentiment!F$2:F$37,"",0,1)),_xlfn.XLOOKUP($C920,Phone_by_Sentiment!$B$2:$B$37,Phone_by_Sentiment!F$2:F$37,"",0,1),0),$A920-TEXT(DATEVALUE($D920&amp;"-01"), "dd-mm-yyyy")),0),0)</f>
        <v>121</v>
      </c>
      <c r="G920" cm="1">
        <f t="array" ref="G920">IF($Q920&gt;=0,IFERROR(generateSalesData($D920, IF(ISNUMBER(_xlfn.XLOOKUP($C920,Phone_by_Sentiment!$B$2:$B$37,Phone_by_Sentiment!G$2:G$37,"",0,1)),_xlfn.XLOOKUP($C920,Phone_by_Sentiment!$B$2:$B$37,Phone_by_Sentiment!G$2:G$37,"",0,1),0),$A920-TEXT(DATEVALUE($D920&amp;"-01"), "dd-mm-yyyy")),0),0)</f>
        <v>28</v>
      </c>
      <c r="H920" cm="1">
        <f t="array" ref="H920">IF($Q920&gt;=0,IFERROR(generateSalesData($D920, IF(ISNUMBER(_xlfn.XLOOKUP($C920,Phone_by_Sentiment!$B$2:$B$37,Phone_by_Sentiment!H$2:H$37,"",0,1)),_xlfn.XLOOKUP($C920,Phone_by_Sentiment!$B$2:$B$37,Phone_by_Sentiment!H$2:H$37,"",0,1),0),$A920-TEXT(DATEVALUE($D920&amp;"-01"), "dd-mm-yyyy")),0),0)</f>
        <v>67</v>
      </c>
      <c r="I920" cm="1">
        <f t="array" ref="I920">IF($Q920&gt;=0,IFERROR(generateSalesData($D920, IF(ISNUMBER(_xlfn.XLOOKUP($C920,Phone_by_Sentiment!$B$2:$B$37,Phone_by_Sentiment!I$2:I$37,"",0,1)),_xlfn.XLOOKUP($C920,Phone_by_Sentiment!$B$2:$B$37,Phone_by_Sentiment!I$2:I$37,"",0,1),0),$A920-TEXT(DATEVALUE($D920&amp;"-01"), "dd-mm-yyyy")),0),0)</f>
        <v>97</v>
      </c>
      <c r="J920" cm="1">
        <f t="array" ref="J920">IF($Q920&gt;=0,IFERROR(generateSalesData($D920, IF(ISNUMBER(_xlfn.XLOOKUP($C920,Phone_by_Sentiment!$B$2:$B$37,Phone_by_Sentiment!J$2:J$37,"",0,1)),_xlfn.XLOOKUP($C920,Phone_by_Sentiment!$B$2:$B$37,Phone_by_Sentiment!J$2:J$37,"",0,1),0),$A920-TEXT(DATEVALUE($D920&amp;"-01"), "dd-mm-yyyy")),0),0)</f>
        <v>151</v>
      </c>
      <c r="K920" cm="1">
        <f t="array" ref="K920">IF($Q920&gt;=0,IFERROR(generateSalesData($D920, IF(ISNUMBER(_xlfn.XLOOKUP($C920,Phone_by_Sentiment!$B$2:$B$37,Phone_by_Sentiment!K$2:K$37,"",0,1)),_xlfn.XLOOKUP($C920,Phone_by_Sentiment!$B$2:$B$37,Phone_by_Sentiment!K$2:K$37,"",0,1),0),$A920-TEXT(DATEVALUE($D920&amp;"-01"), "dd-mm-yyyy")),0),0)</f>
        <v>17</v>
      </c>
      <c r="L920" cm="1">
        <f t="array" ref="L920">IF($Q920&gt;=0,IFERROR(generateSalesData($D920, IF(ISNUMBER(_xlfn.XLOOKUP($C920,Phone_by_Sentiment!$B$2:$B$37,Phone_by_Sentiment!L$2:L$37,"",0,1)),_xlfn.XLOOKUP($C920,Phone_by_Sentiment!$B$2:$B$37,Phone_by_Sentiment!L$2:L$37,"",0,1),0),$A920-TEXT(DATEVALUE($D920&amp;"-01"), "dd-mm-yyyy")),0),0)</f>
        <v>750</v>
      </c>
      <c r="M920" cm="1">
        <f t="array" ref="M920">IF($Q920&gt;=0,IFERROR(generateSalesData($D920, IF(ISNUMBER(_xlfn.XLOOKUP($C920,Phone_by_Sentiment!$B$2:$B$37,Phone_by_Sentiment!M$2:M$37,"",0,1)),_xlfn.XLOOKUP($C920,Phone_by_Sentiment!$B$2:$B$37,Phone_by_Sentiment!M$2:M$37,"",0,1),0),$A920-TEXT(DATEVALUE($D920&amp;"-01"), "dd-mm-yyyy")),0),0)</f>
        <v>140</v>
      </c>
      <c r="N920" cm="1">
        <f t="array" ref="N920">IF($Q920&gt;=0,IFERROR(generateSalesData($D920, IF(ISNUMBER(_xlfn.XLOOKUP($C920,Phone_by_Sentiment!$B$2:$B$37,Phone_by_Sentiment!N$2:N$37,"",0,1)),_xlfn.XLOOKUP($C920,Phone_by_Sentiment!$B$2:$B$37,Phone_by_Sentiment!N$2:N$37,"",0,1),0),$A920-TEXT(DATEVALUE($D920&amp;"-01"), "dd-mm-yyyy")),0),0)</f>
        <v>553</v>
      </c>
      <c r="O920" cm="1">
        <f t="array" ref="O920">IF($Q920&gt;=0,IFERROR(generateSalesData($D920, IF(ISNUMBER(_xlfn.XLOOKUP($C920,Phone_by_Sentiment!$B$2:$B$37,Phone_by_Sentiment!O$2:O$37,"",0,1)),_xlfn.XLOOKUP($C920,Phone_by_Sentiment!$B$2:$B$37,Phone_by_Sentiment!O$2:O$37,"",0,1),0),$A920-TEXT(DATEVALUE($D920&amp;"-01"), "dd-mm-yyyy")),0),0)</f>
        <v>118</v>
      </c>
      <c r="P920" s="1">
        <f t="shared" si="37"/>
        <v>43709</v>
      </c>
      <c r="Q920">
        <f t="shared" si="38"/>
        <v>547</v>
      </c>
    </row>
    <row r="921" spans="1:17" x14ac:dyDescent="0.25">
      <c r="A921" s="1">
        <f t="shared" si="39"/>
        <v>44256</v>
      </c>
      <c r="B921" t="s">
        <v>169</v>
      </c>
      <c r="C921" t="str">
        <f>_xlfn.XLOOKUP(B921,Phone_by_Price!$A$2:$A$34,Phone_by_Price!$B$2:$B$34,"-",0,1)</f>
        <v>Samsung Galaxy A10s</v>
      </c>
      <c r="D921" t="str">
        <f>_xlfn.XLOOKUP(C921,Phone_by_Sentiment!$B$2:$B$37,Phone_by_Sentiment!$A$2:$A$37,"-",0,1)</f>
        <v>2019-08</v>
      </c>
      <c r="E921" cm="1">
        <f t="array" ref="E921">IF($Q921&gt;=0,IFERROR(generateSalesData($D921, IF(ISNUMBER(_xlfn.XLOOKUP($C921,Phone_by_Sentiment!$B$2:$B$37,Phone_by_Sentiment!E$2:E$37,"",0,1)),_xlfn.XLOOKUP($C921,Phone_by_Sentiment!$B$2:$B$37,Phone_by_Sentiment!E$2:E$37,"",0,1),0),$A921-TEXT(DATEVALUE($D921&amp;"-01"), "dd-mm-yyyy")),0),0)</f>
        <v>272</v>
      </c>
      <c r="F921" cm="1">
        <f t="array" ref="F921">IF($Q921&gt;=0,IFERROR(generateSalesData($D921, IF(ISNUMBER(_xlfn.XLOOKUP($C921,Phone_by_Sentiment!$B$2:$B$37,Phone_by_Sentiment!F$2:F$37,"",0,1)),_xlfn.XLOOKUP($C921,Phone_by_Sentiment!$B$2:$B$37,Phone_by_Sentiment!F$2:F$37,"",0,1),0),$A921-TEXT(DATEVALUE($D921&amp;"-01"), "dd-mm-yyyy")),0),0)</f>
        <v>131</v>
      </c>
      <c r="G921" cm="1">
        <f t="array" ref="G921">IF($Q921&gt;=0,IFERROR(generateSalesData($D921, IF(ISNUMBER(_xlfn.XLOOKUP($C921,Phone_by_Sentiment!$B$2:$B$37,Phone_by_Sentiment!G$2:G$37,"",0,1)),_xlfn.XLOOKUP($C921,Phone_by_Sentiment!$B$2:$B$37,Phone_by_Sentiment!G$2:G$37,"",0,1),0),$A921-TEXT(DATEVALUE($D921&amp;"-01"), "dd-mm-yyyy")),0),0)</f>
        <v>54</v>
      </c>
      <c r="H921" cm="1">
        <f t="array" ref="H921">IF($Q921&gt;=0,IFERROR(generateSalesData($D921, IF(ISNUMBER(_xlfn.XLOOKUP($C921,Phone_by_Sentiment!$B$2:$B$37,Phone_by_Sentiment!H$2:H$37,"",0,1)),_xlfn.XLOOKUP($C921,Phone_by_Sentiment!$B$2:$B$37,Phone_by_Sentiment!H$2:H$37,"",0,1),0),$A921-TEXT(DATEVALUE($D921&amp;"-01"), "dd-mm-yyyy")),0),0)</f>
        <v>50</v>
      </c>
      <c r="I921" cm="1">
        <f t="array" ref="I921">IF($Q921&gt;=0,IFERROR(generateSalesData($D921, IF(ISNUMBER(_xlfn.XLOOKUP($C921,Phone_by_Sentiment!$B$2:$B$37,Phone_by_Sentiment!I$2:I$37,"",0,1)),_xlfn.XLOOKUP($C921,Phone_by_Sentiment!$B$2:$B$37,Phone_by_Sentiment!I$2:I$37,"",0,1),0),$A921-TEXT(DATEVALUE($D921&amp;"-01"), "dd-mm-yyyy")),0),0)</f>
        <v>294</v>
      </c>
      <c r="J921" cm="1">
        <f t="array" ref="J921">IF($Q921&gt;=0,IFERROR(generateSalesData($D921, IF(ISNUMBER(_xlfn.XLOOKUP($C921,Phone_by_Sentiment!$B$2:$B$37,Phone_by_Sentiment!J$2:J$37,"",0,1)),_xlfn.XLOOKUP($C921,Phone_by_Sentiment!$B$2:$B$37,Phone_by_Sentiment!J$2:J$37,"",0,1),0),$A921-TEXT(DATEVALUE($D921&amp;"-01"), "dd-mm-yyyy")),0),0)</f>
        <v>318</v>
      </c>
      <c r="K921" cm="1">
        <f t="array" ref="K921">IF($Q921&gt;=0,IFERROR(generateSalesData($D921, IF(ISNUMBER(_xlfn.XLOOKUP($C921,Phone_by_Sentiment!$B$2:$B$37,Phone_by_Sentiment!K$2:K$37,"",0,1)),_xlfn.XLOOKUP($C921,Phone_by_Sentiment!$B$2:$B$37,Phone_by_Sentiment!K$2:K$37,"",0,1),0),$A921-TEXT(DATEVALUE($D921&amp;"-01"), "dd-mm-yyyy")),0),0)</f>
        <v>477</v>
      </c>
      <c r="L921" cm="1">
        <f t="array" ref="L921">IF($Q921&gt;=0,IFERROR(generateSalesData($D921, IF(ISNUMBER(_xlfn.XLOOKUP($C921,Phone_by_Sentiment!$B$2:$B$37,Phone_by_Sentiment!L$2:L$37,"",0,1)),_xlfn.XLOOKUP($C921,Phone_by_Sentiment!$B$2:$B$37,Phone_by_Sentiment!L$2:L$37,"",0,1),0),$A921-TEXT(DATEVALUE($D921&amp;"-01"), "dd-mm-yyyy")),0),0)</f>
        <v>70</v>
      </c>
      <c r="M921" cm="1">
        <f t="array" ref="M921">IF($Q921&gt;=0,IFERROR(generateSalesData($D921, IF(ISNUMBER(_xlfn.XLOOKUP($C921,Phone_by_Sentiment!$B$2:$B$37,Phone_by_Sentiment!M$2:M$37,"",0,1)),_xlfn.XLOOKUP($C921,Phone_by_Sentiment!$B$2:$B$37,Phone_by_Sentiment!M$2:M$37,"",0,1),0),$A921-TEXT(DATEVALUE($D921&amp;"-01"), "dd-mm-yyyy")),0),0)</f>
        <v>507</v>
      </c>
      <c r="N921" cm="1">
        <f t="array" ref="N921">IF($Q921&gt;=0,IFERROR(generateSalesData($D921, IF(ISNUMBER(_xlfn.XLOOKUP($C921,Phone_by_Sentiment!$B$2:$B$37,Phone_by_Sentiment!N$2:N$37,"",0,1)),_xlfn.XLOOKUP($C921,Phone_by_Sentiment!$B$2:$B$37,Phone_by_Sentiment!N$2:N$37,"",0,1),0),$A921-TEXT(DATEVALUE($D921&amp;"-01"), "dd-mm-yyyy")),0),0)</f>
        <v>-57</v>
      </c>
      <c r="O921" cm="1">
        <f t="array" ref="O921">IF($Q921&gt;=0,IFERROR(generateSalesData($D921, IF(ISNUMBER(_xlfn.XLOOKUP($C921,Phone_by_Sentiment!$B$2:$B$37,Phone_by_Sentiment!O$2:O$37,"",0,1)),_xlfn.XLOOKUP($C921,Phone_by_Sentiment!$B$2:$B$37,Phone_by_Sentiment!O$2:O$37,"",0,1),0),$A921-TEXT(DATEVALUE($D921&amp;"-01"), "dd-mm-yyyy")),0),0)</f>
        <v>303</v>
      </c>
      <c r="P921" s="1">
        <f t="shared" si="37"/>
        <v>43678</v>
      </c>
      <c r="Q921">
        <f t="shared" si="38"/>
        <v>578</v>
      </c>
    </row>
    <row r="922" spans="1:17" x14ac:dyDescent="0.25">
      <c r="A922" s="1">
        <f t="shared" si="39"/>
        <v>44256</v>
      </c>
      <c r="B922" t="s">
        <v>170</v>
      </c>
      <c r="C922" t="str">
        <f>_xlfn.XLOOKUP(B922,Phone_by_Price!$A$2:$A$34,Phone_by_Price!$B$2:$B$34,"-",0,1)</f>
        <v>Realme Narzo 30A</v>
      </c>
      <c r="D922" t="str">
        <f>_xlfn.XLOOKUP(C922,Phone_by_Sentiment!$B$2:$B$37,Phone_by_Sentiment!$A$2:$A$37,"-",0,1)</f>
        <v>2021-02</v>
      </c>
      <c r="E922" cm="1">
        <f t="array" ref="E922">IF($Q922&gt;=0,IFERROR(generateSalesData($D922, IF(ISNUMBER(_xlfn.XLOOKUP($C922,Phone_by_Sentiment!$B$2:$B$37,Phone_by_Sentiment!E$2:E$37,"",0,1)),_xlfn.XLOOKUP($C922,Phone_by_Sentiment!$B$2:$B$37,Phone_by_Sentiment!E$2:E$37,"",0,1),0),$A922-TEXT(DATEVALUE($D922&amp;"-01"), "dd-mm-yyyy")),0),0)</f>
        <v>-187</v>
      </c>
      <c r="F922" cm="1">
        <f t="array" ref="F922">IF($Q922&gt;=0,IFERROR(generateSalesData($D922, IF(ISNUMBER(_xlfn.XLOOKUP($C922,Phone_by_Sentiment!$B$2:$B$37,Phone_by_Sentiment!F$2:F$37,"",0,1)),_xlfn.XLOOKUP($C922,Phone_by_Sentiment!$B$2:$B$37,Phone_by_Sentiment!F$2:F$37,"",0,1),0),$A922-TEXT(DATEVALUE($D922&amp;"-01"), "dd-mm-yyyy")),0),0)</f>
        <v>1242</v>
      </c>
      <c r="G922" cm="1">
        <f t="array" ref="G922">IF($Q922&gt;=0,IFERROR(generateSalesData($D922, IF(ISNUMBER(_xlfn.XLOOKUP($C922,Phone_by_Sentiment!$B$2:$B$37,Phone_by_Sentiment!G$2:G$37,"",0,1)),_xlfn.XLOOKUP($C922,Phone_by_Sentiment!$B$2:$B$37,Phone_by_Sentiment!G$2:G$37,"",0,1),0),$A922-TEXT(DATEVALUE($D922&amp;"-01"), "dd-mm-yyyy")),0),0)</f>
        <v>2838</v>
      </c>
      <c r="H922" cm="1">
        <f t="array" ref="H922">IF($Q922&gt;=0,IFERROR(generateSalesData($D922, IF(ISNUMBER(_xlfn.XLOOKUP($C922,Phone_by_Sentiment!$B$2:$B$37,Phone_by_Sentiment!H$2:H$37,"",0,1)),_xlfn.XLOOKUP($C922,Phone_by_Sentiment!$B$2:$B$37,Phone_by_Sentiment!H$2:H$37,"",0,1),0),$A922-TEXT(DATEVALUE($D922&amp;"-01"), "dd-mm-yyyy")),0),0)</f>
        <v>11778</v>
      </c>
      <c r="I922" cm="1">
        <f t="array" ref="I922">IF($Q922&gt;=0,IFERROR(generateSalesData($D922, IF(ISNUMBER(_xlfn.XLOOKUP($C922,Phone_by_Sentiment!$B$2:$B$37,Phone_by_Sentiment!I$2:I$37,"",0,1)),_xlfn.XLOOKUP($C922,Phone_by_Sentiment!$B$2:$B$37,Phone_by_Sentiment!I$2:I$37,"",0,1),0),$A922-TEXT(DATEVALUE($D922&amp;"-01"), "dd-mm-yyyy")),0),0)</f>
        <v>11588</v>
      </c>
      <c r="J922" cm="1">
        <f t="array" ref="J922">IF($Q922&gt;=0,IFERROR(generateSalesData($D922, IF(ISNUMBER(_xlfn.XLOOKUP($C922,Phone_by_Sentiment!$B$2:$B$37,Phone_by_Sentiment!J$2:J$37,"",0,1)),_xlfn.XLOOKUP($C922,Phone_by_Sentiment!$B$2:$B$37,Phone_by_Sentiment!J$2:J$37,"",0,1),0),$A922-TEXT(DATEVALUE($D922&amp;"-01"), "dd-mm-yyyy")),0),0)</f>
        <v>2872</v>
      </c>
      <c r="K922" cm="1">
        <f t="array" ref="K922">IF($Q922&gt;=0,IFERROR(generateSalesData($D922, IF(ISNUMBER(_xlfn.XLOOKUP($C922,Phone_by_Sentiment!$B$2:$B$37,Phone_by_Sentiment!K$2:K$37,"",0,1)),_xlfn.XLOOKUP($C922,Phone_by_Sentiment!$B$2:$B$37,Phone_by_Sentiment!K$2:K$37,"",0,1),0),$A922-TEXT(DATEVALUE($D922&amp;"-01"), "dd-mm-yyyy")),0),0)</f>
        <v>9794</v>
      </c>
      <c r="L922" cm="1">
        <f t="array" ref="L922">IF($Q922&gt;=0,IFERROR(generateSalesData($D922, IF(ISNUMBER(_xlfn.XLOOKUP($C922,Phone_by_Sentiment!$B$2:$B$37,Phone_by_Sentiment!L$2:L$37,"",0,1)),_xlfn.XLOOKUP($C922,Phone_by_Sentiment!$B$2:$B$37,Phone_by_Sentiment!L$2:L$37,"",0,1),0),$A922-TEXT(DATEVALUE($D922&amp;"-01"), "dd-mm-yyyy")),0),0)</f>
        <v>5894</v>
      </c>
      <c r="M922" cm="1">
        <f t="array" ref="M922">IF($Q922&gt;=0,IFERROR(generateSalesData($D922, IF(ISNUMBER(_xlfn.XLOOKUP($C922,Phone_by_Sentiment!$B$2:$B$37,Phone_by_Sentiment!M$2:M$37,"",0,1)),_xlfn.XLOOKUP($C922,Phone_by_Sentiment!$B$2:$B$37,Phone_by_Sentiment!M$2:M$37,"",0,1),0),$A922-TEXT(DATEVALUE($D922&amp;"-01"), "dd-mm-yyyy")),0),0)</f>
        <v>4128</v>
      </c>
      <c r="N922" cm="1">
        <f t="array" ref="N922">IF($Q922&gt;=0,IFERROR(generateSalesData($D922, IF(ISNUMBER(_xlfn.XLOOKUP($C922,Phone_by_Sentiment!$B$2:$B$37,Phone_by_Sentiment!N$2:N$37,"",0,1)),_xlfn.XLOOKUP($C922,Phone_by_Sentiment!$B$2:$B$37,Phone_by_Sentiment!N$2:N$37,"",0,1),0),$A922-TEXT(DATEVALUE($D922&amp;"-01"), "dd-mm-yyyy")),0),0)</f>
        <v>7684</v>
      </c>
      <c r="O922" cm="1">
        <f t="array" ref="O922">IF($Q922&gt;=0,IFERROR(generateSalesData($D922, IF(ISNUMBER(_xlfn.XLOOKUP($C922,Phone_by_Sentiment!$B$2:$B$37,Phone_by_Sentiment!O$2:O$37,"",0,1)),_xlfn.XLOOKUP($C922,Phone_by_Sentiment!$B$2:$B$37,Phone_by_Sentiment!O$2:O$37,"",0,1),0),$A922-TEXT(DATEVALUE($D922&amp;"-01"), "dd-mm-yyyy")),0),0)</f>
        <v>2416</v>
      </c>
      <c r="P922" s="1">
        <f t="shared" si="37"/>
        <v>44228</v>
      </c>
      <c r="Q922">
        <f t="shared" si="38"/>
        <v>28</v>
      </c>
    </row>
    <row r="923" spans="1:17" x14ac:dyDescent="0.25">
      <c r="A923" s="1">
        <f t="shared" si="39"/>
        <v>44256</v>
      </c>
      <c r="B923" t="s">
        <v>171</v>
      </c>
      <c r="C923" t="str">
        <f>_xlfn.XLOOKUP(B923,Phone_by_Price!$A$2:$A$34,Phone_by_Price!$B$2:$B$34,"-",0,1)</f>
        <v>Samsung Galaxy A22 5G</v>
      </c>
      <c r="D923" t="str">
        <f>_xlfn.XLOOKUP(C923,Phone_by_Sentiment!$B$2:$B$37,Phone_by_Sentiment!$A$2:$A$37,"-",0,1)</f>
        <v>2021-05</v>
      </c>
      <c r="E923" cm="1">
        <f t="array" ref="E923">IF($Q923&gt;=0,IFERROR(generateSalesData($D923, IF(ISNUMBER(_xlfn.XLOOKUP($C923,Phone_by_Sentiment!$B$2:$B$37,Phone_by_Sentiment!E$2:E$37,"",0,1)),_xlfn.XLOOKUP($C923,Phone_by_Sentiment!$B$2:$B$37,Phone_by_Sentiment!E$2:E$37,"",0,1),0),$A923-TEXT(DATEVALUE($D923&amp;"-01"), "dd-mm-yyyy")),0),0)</f>
        <v>0</v>
      </c>
      <c r="F923" cm="1">
        <f t="array" ref="F923">IF($Q923&gt;=0,IFERROR(generateSalesData($D923, IF(ISNUMBER(_xlfn.XLOOKUP($C923,Phone_by_Sentiment!$B$2:$B$37,Phone_by_Sentiment!F$2:F$37,"",0,1)),_xlfn.XLOOKUP($C923,Phone_by_Sentiment!$B$2:$B$37,Phone_by_Sentiment!F$2:F$37,"",0,1),0),$A923-TEXT(DATEVALUE($D923&amp;"-01"), "dd-mm-yyyy")),0),0)</f>
        <v>0</v>
      </c>
      <c r="G923" cm="1">
        <f t="array" ref="G923">IF($Q923&gt;=0,IFERROR(generateSalesData($D923, IF(ISNUMBER(_xlfn.XLOOKUP($C923,Phone_by_Sentiment!$B$2:$B$37,Phone_by_Sentiment!G$2:G$37,"",0,1)),_xlfn.XLOOKUP($C923,Phone_by_Sentiment!$B$2:$B$37,Phone_by_Sentiment!G$2:G$37,"",0,1),0),$A923-TEXT(DATEVALUE($D923&amp;"-01"), "dd-mm-yyyy")),0),0)</f>
        <v>0</v>
      </c>
      <c r="H923" cm="1">
        <f t="array" ref="H923">IF($Q923&gt;=0,IFERROR(generateSalesData($D923, IF(ISNUMBER(_xlfn.XLOOKUP($C923,Phone_by_Sentiment!$B$2:$B$37,Phone_by_Sentiment!H$2:H$37,"",0,1)),_xlfn.XLOOKUP($C923,Phone_by_Sentiment!$B$2:$B$37,Phone_by_Sentiment!H$2:H$37,"",0,1),0),$A923-TEXT(DATEVALUE($D923&amp;"-01"), "dd-mm-yyyy")),0),0)</f>
        <v>0</v>
      </c>
      <c r="I923" cm="1">
        <f t="array" ref="I923">IF($Q923&gt;=0,IFERROR(generateSalesData($D923, IF(ISNUMBER(_xlfn.XLOOKUP($C923,Phone_by_Sentiment!$B$2:$B$37,Phone_by_Sentiment!I$2:I$37,"",0,1)),_xlfn.XLOOKUP($C923,Phone_by_Sentiment!$B$2:$B$37,Phone_by_Sentiment!I$2:I$37,"",0,1),0),$A923-TEXT(DATEVALUE($D923&amp;"-01"), "dd-mm-yyyy")),0),0)</f>
        <v>0</v>
      </c>
      <c r="J923" cm="1">
        <f t="array" ref="J923">IF($Q923&gt;=0,IFERROR(generateSalesData($D923, IF(ISNUMBER(_xlfn.XLOOKUP($C923,Phone_by_Sentiment!$B$2:$B$37,Phone_by_Sentiment!J$2:J$37,"",0,1)),_xlfn.XLOOKUP($C923,Phone_by_Sentiment!$B$2:$B$37,Phone_by_Sentiment!J$2:J$37,"",0,1),0),$A923-TEXT(DATEVALUE($D923&amp;"-01"), "dd-mm-yyyy")),0),0)</f>
        <v>0</v>
      </c>
      <c r="K923" cm="1">
        <f t="array" ref="K923">IF($Q923&gt;=0,IFERROR(generateSalesData($D923, IF(ISNUMBER(_xlfn.XLOOKUP($C923,Phone_by_Sentiment!$B$2:$B$37,Phone_by_Sentiment!K$2:K$37,"",0,1)),_xlfn.XLOOKUP($C923,Phone_by_Sentiment!$B$2:$B$37,Phone_by_Sentiment!K$2:K$37,"",0,1),0),$A923-TEXT(DATEVALUE($D923&amp;"-01"), "dd-mm-yyyy")),0),0)</f>
        <v>0</v>
      </c>
      <c r="L923" cm="1">
        <f t="array" ref="L923">IF($Q923&gt;=0,IFERROR(generateSalesData($D923, IF(ISNUMBER(_xlfn.XLOOKUP($C923,Phone_by_Sentiment!$B$2:$B$37,Phone_by_Sentiment!L$2:L$37,"",0,1)),_xlfn.XLOOKUP($C923,Phone_by_Sentiment!$B$2:$B$37,Phone_by_Sentiment!L$2:L$37,"",0,1),0),$A923-TEXT(DATEVALUE($D923&amp;"-01"), "dd-mm-yyyy")),0),0)</f>
        <v>0</v>
      </c>
      <c r="M923" cm="1">
        <f t="array" ref="M923">IF($Q923&gt;=0,IFERROR(generateSalesData($D923, IF(ISNUMBER(_xlfn.XLOOKUP($C923,Phone_by_Sentiment!$B$2:$B$37,Phone_by_Sentiment!M$2:M$37,"",0,1)),_xlfn.XLOOKUP($C923,Phone_by_Sentiment!$B$2:$B$37,Phone_by_Sentiment!M$2:M$37,"",0,1),0),$A923-TEXT(DATEVALUE($D923&amp;"-01"), "dd-mm-yyyy")),0),0)</f>
        <v>0</v>
      </c>
      <c r="N923" cm="1">
        <f t="array" ref="N923">IF($Q923&gt;=0,IFERROR(generateSalesData($D923, IF(ISNUMBER(_xlfn.XLOOKUP($C923,Phone_by_Sentiment!$B$2:$B$37,Phone_by_Sentiment!N$2:N$37,"",0,1)),_xlfn.XLOOKUP($C923,Phone_by_Sentiment!$B$2:$B$37,Phone_by_Sentiment!N$2:N$37,"",0,1),0),$A923-TEXT(DATEVALUE($D923&amp;"-01"), "dd-mm-yyyy")),0),0)</f>
        <v>0</v>
      </c>
      <c r="O923" cm="1">
        <f t="array" ref="O923">IF($Q923&gt;=0,IFERROR(generateSalesData($D923, IF(ISNUMBER(_xlfn.XLOOKUP($C923,Phone_by_Sentiment!$B$2:$B$37,Phone_by_Sentiment!O$2:O$37,"",0,1)),_xlfn.XLOOKUP($C923,Phone_by_Sentiment!$B$2:$B$37,Phone_by_Sentiment!O$2:O$37,"",0,1),0),$A923-TEXT(DATEVALUE($D923&amp;"-01"), "dd-mm-yyyy")),0),0)</f>
        <v>0</v>
      </c>
      <c r="P923" s="1">
        <f t="shared" si="37"/>
        <v>44317</v>
      </c>
      <c r="Q923">
        <f t="shared" si="38"/>
        <v>-61</v>
      </c>
    </row>
    <row r="924" spans="1:17" x14ac:dyDescent="0.25">
      <c r="A924" s="1">
        <f t="shared" si="39"/>
        <v>44256</v>
      </c>
      <c r="B924" t="s">
        <v>172</v>
      </c>
      <c r="C924" t="str">
        <f>_xlfn.XLOOKUP(B924,Phone_by_Price!$A$2:$A$34,Phone_by_Price!$B$2:$B$34,"-",0,1)</f>
        <v>Xiaomi Redmi 9</v>
      </c>
      <c r="D924" t="str">
        <f>_xlfn.XLOOKUP(C924,Phone_by_Sentiment!$B$2:$B$37,Phone_by_Sentiment!$A$2:$A$37,"-",0,1)</f>
        <v>2020-08</v>
      </c>
      <c r="E924" cm="1">
        <f t="array" ref="E924">IF($Q924&gt;=0,IFERROR(generateSalesData($D924, IF(ISNUMBER(_xlfn.XLOOKUP($C924,Phone_by_Sentiment!$B$2:$B$37,Phone_by_Sentiment!E$2:E$37,"",0,1)),_xlfn.XLOOKUP($C924,Phone_by_Sentiment!$B$2:$B$37,Phone_by_Sentiment!E$2:E$37,"",0,1),0),$A924-TEXT(DATEVALUE($D924&amp;"-01"), "dd-mm-yyyy")),0),0)</f>
        <v>242</v>
      </c>
      <c r="F924" cm="1">
        <f t="array" ref="F924">IF($Q924&gt;=0,IFERROR(generateSalesData($D924, IF(ISNUMBER(_xlfn.XLOOKUP($C924,Phone_by_Sentiment!$B$2:$B$37,Phone_by_Sentiment!F$2:F$37,"",0,1)),_xlfn.XLOOKUP($C924,Phone_by_Sentiment!$B$2:$B$37,Phone_by_Sentiment!F$2:F$37,"",0,1),0),$A924-TEXT(DATEVALUE($D924&amp;"-01"), "dd-mm-yyyy")),0),0)</f>
        <v>293</v>
      </c>
      <c r="G924" cm="1">
        <f t="array" ref="G924">IF($Q924&gt;=0,IFERROR(generateSalesData($D924, IF(ISNUMBER(_xlfn.XLOOKUP($C924,Phone_by_Sentiment!$B$2:$B$37,Phone_by_Sentiment!G$2:G$37,"",0,1)),_xlfn.XLOOKUP($C924,Phone_by_Sentiment!$B$2:$B$37,Phone_by_Sentiment!G$2:G$37,"",0,1),0),$A924-TEXT(DATEVALUE($D924&amp;"-01"), "dd-mm-yyyy")),0),0)</f>
        <v>297</v>
      </c>
      <c r="H924" cm="1">
        <f t="array" ref="H924">IF($Q924&gt;=0,IFERROR(generateSalesData($D924, IF(ISNUMBER(_xlfn.XLOOKUP($C924,Phone_by_Sentiment!$B$2:$B$37,Phone_by_Sentiment!H$2:H$37,"",0,1)),_xlfn.XLOOKUP($C924,Phone_by_Sentiment!$B$2:$B$37,Phone_by_Sentiment!H$2:H$37,"",0,1),0),$A924-TEXT(DATEVALUE($D924&amp;"-01"), "dd-mm-yyyy")),0),0)</f>
        <v>1069</v>
      </c>
      <c r="I924" cm="1">
        <f t="array" ref="I924">IF($Q924&gt;=0,IFERROR(generateSalesData($D924, IF(ISNUMBER(_xlfn.XLOOKUP($C924,Phone_by_Sentiment!$B$2:$B$37,Phone_by_Sentiment!I$2:I$37,"",0,1)),_xlfn.XLOOKUP($C924,Phone_by_Sentiment!$B$2:$B$37,Phone_by_Sentiment!I$2:I$37,"",0,1),0),$A924-TEXT(DATEVALUE($D924&amp;"-01"), "dd-mm-yyyy")),0),0)</f>
        <v>266</v>
      </c>
      <c r="J924" cm="1">
        <f t="array" ref="J924">IF($Q924&gt;=0,IFERROR(generateSalesData($D924, IF(ISNUMBER(_xlfn.XLOOKUP($C924,Phone_by_Sentiment!$B$2:$B$37,Phone_by_Sentiment!J$2:J$37,"",0,1)),_xlfn.XLOOKUP($C924,Phone_by_Sentiment!$B$2:$B$37,Phone_by_Sentiment!J$2:J$37,"",0,1),0),$A924-TEXT(DATEVALUE($D924&amp;"-01"), "dd-mm-yyyy")),0),0)</f>
        <v>547</v>
      </c>
      <c r="K924" cm="1">
        <f t="array" ref="K924">IF($Q924&gt;=0,IFERROR(generateSalesData($D924, IF(ISNUMBER(_xlfn.XLOOKUP($C924,Phone_by_Sentiment!$B$2:$B$37,Phone_by_Sentiment!K$2:K$37,"",0,1)),_xlfn.XLOOKUP($C924,Phone_by_Sentiment!$B$2:$B$37,Phone_by_Sentiment!K$2:K$37,"",0,1),0),$A924-TEXT(DATEVALUE($D924&amp;"-01"), "dd-mm-yyyy")),0),0)</f>
        <v>1275</v>
      </c>
      <c r="L924" cm="1">
        <f t="array" ref="L924">IF($Q924&gt;=0,IFERROR(generateSalesData($D924, IF(ISNUMBER(_xlfn.XLOOKUP($C924,Phone_by_Sentiment!$B$2:$B$37,Phone_by_Sentiment!L$2:L$37,"",0,1)),_xlfn.XLOOKUP($C924,Phone_by_Sentiment!$B$2:$B$37,Phone_by_Sentiment!L$2:L$37,"",0,1),0),$A924-TEXT(DATEVALUE($D924&amp;"-01"), "dd-mm-yyyy")),0),0)</f>
        <v>150</v>
      </c>
      <c r="M924" cm="1">
        <f t="array" ref="M924">IF($Q924&gt;=0,IFERROR(generateSalesData($D924, IF(ISNUMBER(_xlfn.XLOOKUP($C924,Phone_by_Sentiment!$B$2:$B$37,Phone_by_Sentiment!M$2:M$37,"",0,1)),_xlfn.XLOOKUP($C924,Phone_by_Sentiment!$B$2:$B$37,Phone_by_Sentiment!M$2:M$37,"",0,1),0),$A924-TEXT(DATEVALUE($D924&amp;"-01"), "dd-mm-yyyy")),0),0)</f>
        <v>728</v>
      </c>
      <c r="N924" cm="1">
        <f t="array" ref="N924">IF($Q924&gt;=0,IFERROR(generateSalesData($D924, IF(ISNUMBER(_xlfn.XLOOKUP($C924,Phone_by_Sentiment!$B$2:$B$37,Phone_by_Sentiment!N$2:N$37,"",0,1)),_xlfn.XLOOKUP($C924,Phone_by_Sentiment!$B$2:$B$37,Phone_by_Sentiment!N$2:N$37,"",0,1),0),$A924-TEXT(DATEVALUE($D924&amp;"-01"), "dd-mm-yyyy")),0),0)</f>
        <v>140</v>
      </c>
      <c r="O924" cm="1">
        <f t="array" ref="O924">IF($Q924&gt;=0,IFERROR(generateSalesData($D924, IF(ISNUMBER(_xlfn.XLOOKUP($C924,Phone_by_Sentiment!$B$2:$B$37,Phone_by_Sentiment!O$2:O$37,"",0,1)),_xlfn.XLOOKUP($C924,Phone_by_Sentiment!$B$2:$B$37,Phone_by_Sentiment!O$2:O$37,"",0,1),0),$A924-TEXT(DATEVALUE($D924&amp;"-01"), "dd-mm-yyyy")),0),0)</f>
        <v>227</v>
      </c>
      <c r="P924" s="1">
        <f t="shared" si="37"/>
        <v>44044</v>
      </c>
      <c r="Q924">
        <f t="shared" si="38"/>
        <v>212</v>
      </c>
    </row>
    <row r="925" spans="1:17" x14ac:dyDescent="0.25">
      <c r="A925" s="1">
        <f t="shared" si="39"/>
        <v>44256</v>
      </c>
      <c r="B925" t="s">
        <v>173</v>
      </c>
      <c r="C925" t="str">
        <f>_xlfn.XLOOKUP(B925,Phone_by_Price!$A$2:$A$34,Phone_by_Price!$B$2:$B$34,"-",0,1)</f>
        <v>Realme C3</v>
      </c>
      <c r="D925" t="str">
        <f>_xlfn.XLOOKUP(C925,Phone_by_Sentiment!$B$2:$B$37,Phone_by_Sentiment!$A$2:$A$37,"-",0,1)</f>
        <v>2020-02</v>
      </c>
      <c r="E925" cm="1">
        <f t="array" ref="E925">IF($Q925&gt;=0,IFERROR(generateSalesData($D925, IF(ISNUMBER(_xlfn.XLOOKUP($C925,Phone_by_Sentiment!$B$2:$B$37,Phone_by_Sentiment!E$2:E$37,"",0,1)),_xlfn.XLOOKUP($C925,Phone_by_Sentiment!$B$2:$B$37,Phone_by_Sentiment!E$2:E$37,"",0,1),0),$A925-TEXT(DATEVALUE($D925&amp;"-01"), "dd-mm-yyyy")),0),0)</f>
        <v>156</v>
      </c>
      <c r="F925" cm="1">
        <f t="array" ref="F925">IF($Q925&gt;=0,IFERROR(generateSalesData($D925, IF(ISNUMBER(_xlfn.XLOOKUP($C925,Phone_by_Sentiment!$B$2:$B$37,Phone_by_Sentiment!F$2:F$37,"",0,1)),_xlfn.XLOOKUP($C925,Phone_by_Sentiment!$B$2:$B$37,Phone_by_Sentiment!F$2:F$37,"",0,1),0),$A925-TEXT(DATEVALUE($D925&amp;"-01"), "dd-mm-yyyy")),0),0)</f>
        <v>109</v>
      </c>
      <c r="G925" cm="1">
        <f t="array" ref="G925">IF($Q925&gt;=0,IFERROR(generateSalesData($D925, IF(ISNUMBER(_xlfn.XLOOKUP($C925,Phone_by_Sentiment!$B$2:$B$37,Phone_by_Sentiment!G$2:G$37,"",0,1)),_xlfn.XLOOKUP($C925,Phone_by_Sentiment!$B$2:$B$37,Phone_by_Sentiment!G$2:G$37,"",0,1),0),$A925-TEXT(DATEVALUE($D925&amp;"-01"), "dd-mm-yyyy")),0),0)</f>
        <v>149</v>
      </c>
      <c r="H925" cm="1">
        <f t="array" ref="H925">IF($Q925&gt;=0,IFERROR(generateSalesData($D925, IF(ISNUMBER(_xlfn.XLOOKUP($C925,Phone_by_Sentiment!$B$2:$B$37,Phone_by_Sentiment!H$2:H$37,"",0,1)),_xlfn.XLOOKUP($C925,Phone_by_Sentiment!$B$2:$B$37,Phone_by_Sentiment!H$2:H$37,"",0,1),0),$A925-TEXT(DATEVALUE($D925&amp;"-01"), "dd-mm-yyyy")),0),0)</f>
        <v>238</v>
      </c>
      <c r="I925" cm="1">
        <f t="array" ref="I925">IF($Q925&gt;=0,IFERROR(generateSalesData($D925, IF(ISNUMBER(_xlfn.XLOOKUP($C925,Phone_by_Sentiment!$B$2:$B$37,Phone_by_Sentiment!I$2:I$37,"",0,1)),_xlfn.XLOOKUP($C925,Phone_by_Sentiment!$B$2:$B$37,Phone_by_Sentiment!I$2:I$37,"",0,1),0),$A925-TEXT(DATEVALUE($D925&amp;"-01"), "dd-mm-yyyy")),0),0)</f>
        <v>734</v>
      </c>
      <c r="J925" cm="1">
        <f t="array" ref="J925">IF($Q925&gt;=0,IFERROR(generateSalesData($D925, IF(ISNUMBER(_xlfn.XLOOKUP($C925,Phone_by_Sentiment!$B$2:$B$37,Phone_by_Sentiment!J$2:J$37,"",0,1)),_xlfn.XLOOKUP($C925,Phone_by_Sentiment!$B$2:$B$37,Phone_by_Sentiment!J$2:J$37,"",0,1),0),$A925-TEXT(DATEVALUE($D925&amp;"-01"), "dd-mm-yyyy")),0),0)</f>
        <v>101</v>
      </c>
      <c r="K925" cm="1">
        <f t="array" ref="K925">IF($Q925&gt;=0,IFERROR(generateSalesData($D925, IF(ISNUMBER(_xlfn.XLOOKUP($C925,Phone_by_Sentiment!$B$2:$B$37,Phone_by_Sentiment!K$2:K$37,"",0,1)),_xlfn.XLOOKUP($C925,Phone_by_Sentiment!$B$2:$B$37,Phone_by_Sentiment!K$2:K$37,"",0,1),0),$A925-TEXT(DATEVALUE($D925&amp;"-01"), "dd-mm-yyyy")),0),0)</f>
        <v>461</v>
      </c>
      <c r="L925" cm="1">
        <f t="array" ref="L925">IF($Q925&gt;=0,IFERROR(generateSalesData($D925, IF(ISNUMBER(_xlfn.XLOOKUP($C925,Phone_by_Sentiment!$B$2:$B$37,Phone_by_Sentiment!L$2:L$37,"",0,1)),_xlfn.XLOOKUP($C925,Phone_by_Sentiment!$B$2:$B$37,Phone_by_Sentiment!L$2:L$37,"",0,1),0),$A925-TEXT(DATEVALUE($D925&amp;"-01"), "dd-mm-yyyy")),0),0)</f>
        <v>-16</v>
      </c>
      <c r="M925" cm="1">
        <f t="array" ref="M925">IF($Q925&gt;=0,IFERROR(generateSalesData($D925, IF(ISNUMBER(_xlfn.XLOOKUP($C925,Phone_by_Sentiment!$B$2:$B$37,Phone_by_Sentiment!M$2:M$37,"",0,1)),_xlfn.XLOOKUP($C925,Phone_by_Sentiment!$B$2:$B$37,Phone_by_Sentiment!M$2:M$37,"",0,1),0),$A925-TEXT(DATEVALUE($D925&amp;"-01"), "dd-mm-yyyy")),0),0)</f>
        <v>57</v>
      </c>
      <c r="N925" cm="1">
        <f t="array" ref="N925">IF($Q925&gt;=0,IFERROR(generateSalesData($D925, IF(ISNUMBER(_xlfn.XLOOKUP($C925,Phone_by_Sentiment!$B$2:$B$37,Phone_by_Sentiment!N$2:N$37,"",0,1)),_xlfn.XLOOKUP($C925,Phone_by_Sentiment!$B$2:$B$37,Phone_by_Sentiment!N$2:N$37,"",0,1),0),$A925-TEXT(DATEVALUE($D925&amp;"-01"), "dd-mm-yyyy")),0),0)</f>
        <v>153</v>
      </c>
      <c r="O925" cm="1">
        <f t="array" ref="O925">IF($Q925&gt;=0,IFERROR(generateSalesData($D925, IF(ISNUMBER(_xlfn.XLOOKUP($C925,Phone_by_Sentiment!$B$2:$B$37,Phone_by_Sentiment!O$2:O$37,"",0,1)),_xlfn.XLOOKUP($C925,Phone_by_Sentiment!$B$2:$B$37,Phone_by_Sentiment!O$2:O$37,"",0,1),0),$A925-TEXT(DATEVALUE($D925&amp;"-01"), "dd-mm-yyyy")),0),0)</f>
        <v>115</v>
      </c>
      <c r="P925" s="1">
        <f t="shared" si="37"/>
        <v>43862</v>
      </c>
      <c r="Q925">
        <f t="shared" si="38"/>
        <v>394</v>
      </c>
    </row>
    <row r="926" spans="1:17" x14ac:dyDescent="0.25">
      <c r="A926" s="1">
        <f t="shared" si="39"/>
        <v>44256</v>
      </c>
      <c r="B926" t="s">
        <v>174</v>
      </c>
      <c r="C926" t="str">
        <f>_xlfn.XLOOKUP(B926,Phone_by_Price!$A$2:$A$34,Phone_by_Price!$B$2:$B$34,"-",0,1)</f>
        <v>Samsung Galaxy A7</v>
      </c>
      <c r="D926" t="str">
        <f>_xlfn.XLOOKUP(C926,Phone_by_Sentiment!$B$2:$B$37,Phone_by_Sentiment!$A$2:$A$37,"-",0,1)</f>
        <v>2018-10</v>
      </c>
      <c r="E926" cm="1">
        <f t="array" ref="E926">IF($Q926&gt;=0,IFERROR(generateSalesData($D926, IF(ISNUMBER(_xlfn.XLOOKUP($C926,Phone_by_Sentiment!$B$2:$B$37,Phone_by_Sentiment!E$2:E$37,"",0,1)),_xlfn.XLOOKUP($C926,Phone_by_Sentiment!$B$2:$B$37,Phone_by_Sentiment!E$2:E$37,"",0,1),0),$A926-TEXT(DATEVALUE($D926&amp;"-01"), "dd-mm-yyyy")),0),0)</f>
        <v>101</v>
      </c>
      <c r="F926" cm="1">
        <f t="array" ref="F926">IF($Q926&gt;=0,IFERROR(generateSalesData($D926, IF(ISNUMBER(_xlfn.XLOOKUP($C926,Phone_by_Sentiment!$B$2:$B$37,Phone_by_Sentiment!F$2:F$37,"",0,1)),_xlfn.XLOOKUP($C926,Phone_by_Sentiment!$B$2:$B$37,Phone_by_Sentiment!F$2:F$37,"",0,1),0),$A926-TEXT(DATEVALUE($D926&amp;"-01"), "dd-mm-yyyy")),0),0)</f>
        <v>55</v>
      </c>
      <c r="G926" cm="1">
        <f t="array" ref="G926">IF($Q926&gt;=0,IFERROR(generateSalesData($D926, IF(ISNUMBER(_xlfn.XLOOKUP($C926,Phone_by_Sentiment!$B$2:$B$37,Phone_by_Sentiment!G$2:G$37,"",0,1)),_xlfn.XLOOKUP($C926,Phone_by_Sentiment!$B$2:$B$37,Phone_by_Sentiment!G$2:G$37,"",0,1),0),$A926-TEXT(DATEVALUE($D926&amp;"-01"), "dd-mm-yyyy")),0),0)</f>
        <v>81</v>
      </c>
      <c r="H926" cm="1">
        <f t="array" ref="H926">IF($Q926&gt;=0,IFERROR(generateSalesData($D926, IF(ISNUMBER(_xlfn.XLOOKUP($C926,Phone_by_Sentiment!$B$2:$B$37,Phone_by_Sentiment!H$2:H$37,"",0,1)),_xlfn.XLOOKUP($C926,Phone_by_Sentiment!$B$2:$B$37,Phone_by_Sentiment!H$2:H$37,"",0,1),0),$A926-TEXT(DATEVALUE($D926&amp;"-01"), "dd-mm-yyyy")),0),0)</f>
        <v>351</v>
      </c>
      <c r="I926" cm="1">
        <f t="array" ref="I926">IF($Q926&gt;=0,IFERROR(generateSalesData($D926, IF(ISNUMBER(_xlfn.XLOOKUP($C926,Phone_by_Sentiment!$B$2:$B$37,Phone_by_Sentiment!I$2:I$37,"",0,1)),_xlfn.XLOOKUP($C926,Phone_by_Sentiment!$B$2:$B$37,Phone_by_Sentiment!I$2:I$37,"",0,1),0),$A926-TEXT(DATEVALUE($D926&amp;"-01"), "dd-mm-yyyy")),0),0)</f>
        <v>34</v>
      </c>
      <c r="J926" cm="1">
        <f t="array" ref="J926">IF($Q926&gt;=0,IFERROR(generateSalesData($D926, IF(ISNUMBER(_xlfn.XLOOKUP($C926,Phone_by_Sentiment!$B$2:$B$37,Phone_by_Sentiment!J$2:J$37,"",0,1)),_xlfn.XLOOKUP($C926,Phone_by_Sentiment!$B$2:$B$37,Phone_by_Sentiment!J$2:J$37,"",0,1),0),$A926-TEXT(DATEVALUE($D926&amp;"-01"), "dd-mm-yyyy")),0),0)</f>
        <v>104</v>
      </c>
      <c r="K926" cm="1">
        <f t="array" ref="K926">IF($Q926&gt;=0,IFERROR(generateSalesData($D926, IF(ISNUMBER(_xlfn.XLOOKUP($C926,Phone_by_Sentiment!$B$2:$B$37,Phone_by_Sentiment!K$2:K$37,"",0,1)),_xlfn.XLOOKUP($C926,Phone_by_Sentiment!$B$2:$B$37,Phone_by_Sentiment!K$2:K$37,"",0,1),0),$A926-TEXT(DATEVALUE($D926&amp;"-01"), "dd-mm-yyyy")),0),0)</f>
        <v>62</v>
      </c>
      <c r="L926" cm="1">
        <f t="array" ref="L926">IF($Q926&gt;=0,IFERROR(generateSalesData($D926, IF(ISNUMBER(_xlfn.XLOOKUP($C926,Phone_by_Sentiment!$B$2:$B$37,Phone_by_Sentiment!L$2:L$37,"",0,1)),_xlfn.XLOOKUP($C926,Phone_by_Sentiment!$B$2:$B$37,Phone_by_Sentiment!L$2:L$37,"",0,1),0),$A926-TEXT(DATEVALUE($D926&amp;"-01"), "dd-mm-yyyy")),0),0)</f>
        <v>95</v>
      </c>
      <c r="M926" cm="1">
        <f t="array" ref="M926">IF($Q926&gt;=0,IFERROR(generateSalesData($D926, IF(ISNUMBER(_xlfn.XLOOKUP($C926,Phone_by_Sentiment!$B$2:$B$37,Phone_by_Sentiment!M$2:M$37,"",0,1)),_xlfn.XLOOKUP($C926,Phone_by_Sentiment!$B$2:$B$37,Phone_by_Sentiment!M$2:M$37,"",0,1),0),$A926-TEXT(DATEVALUE($D926&amp;"-01"), "dd-mm-yyyy")),0),0)</f>
        <v>306</v>
      </c>
      <c r="N926" cm="1">
        <f t="array" ref="N926">IF($Q926&gt;=0,IFERROR(generateSalesData($D926, IF(ISNUMBER(_xlfn.XLOOKUP($C926,Phone_by_Sentiment!$B$2:$B$37,Phone_by_Sentiment!N$2:N$37,"",0,1)),_xlfn.XLOOKUP($C926,Phone_by_Sentiment!$B$2:$B$37,Phone_by_Sentiment!N$2:N$37,"",0,1),0),$A926-TEXT(DATEVALUE($D926&amp;"-01"), "dd-mm-yyyy")),0),0)</f>
        <v>275</v>
      </c>
      <c r="O926" cm="1">
        <f t="array" ref="O926">IF($Q926&gt;=0,IFERROR(generateSalesData($D926, IF(ISNUMBER(_xlfn.XLOOKUP($C926,Phone_by_Sentiment!$B$2:$B$37,Phone_by_Sentiment!O$2:O$37,"",0,1)),_xlfn.XLOOKUP($C926,Phone_by_Sentiment!$B$2:$B$37,Phone_by_Sentiment!O$2:O$37,"",0,1),0),$A926-TEXT(DATEVALUE($D926&amp;"-01"), "dd-mm-yyyy")),0),0)</f>
        <v>383</v>
      </c>
      <c r="P926" s="1">
        <f t="shared" si="37"/>
        <v>43374</v>
      </c>
      <c r="Q926">
        <f t="shared" si="38"/>
        <v>882</v>
      </c>
    </row>
    <row r="927" spans="1:17" x14ac:dyDescent="0.25">
      <c r="A927" s="1">
        <f t="shared" si="39"/>
        <v>44256</v>
      </c>
      <c r="B927" t="s">
        <v>142</v>
      </c>
      <c r="C927" t="str">
        <f>_xlfn.XLOOKUP(B927,Phone_by_Price!$A$2:$A$34,Phone_by_Price!$B$2:$B$34,"-",0,1)</f>
        <v>iPhone 11</v>
      </c>
      <c r="D927" t="str">
        <f>_xlfn.XLOOKUP(C927,Phone_by_Sentiment!$B$2:$B$37,Phone_by_Sentiment!$A$2:$A$37,"-",0,1)</f>
        <v>2019-09</v>
      </c>
      <c r="E927" cm="1">
        <f t="array" ref="E927">IF($Q927&gt;=0,IFERROR(generateSalesData($D927, IF(ISNUMBER(_xlfn.XLOOKUP($C927,Phone_by_Sentiment!$B$2:$B$37,Phone_by_Sentiment!E$2:E$37,"",0,1)),_xlfn.XLOOKUP($C927,Phone_by_Sentiment!$B$2:$B$37,Phone_by_Sentiment!E$2:E$37,"",0,1),0),$A927-TEXT(DATEVALUE($D927&amp;"-01"), "dd-mm-yyyy")),0),0)</f>
        <v>297</v>
      </c>
      <c r="F927" cm="1">
        <f t="array" ref="F927">IF($Q927&gt;=0,IFERROR(generateSalesData($D927, IF(ISNUMBER(_xlfn.XLOOKUP($C927,Phone_by_Sentiment!$B$2:$B$37,Phone_by_Sentiment!F$2:F$37,"",0,1)),_xlfn.XLOOKUP($C927,Phone_by_Sentiment!$B$2:$B$37,Phone_by_Sentiment!F$2:F$37,"",0,1),0),$A927-TEXT(DATEVALUE($D927&amp;"-01"), "dd-mm-yyyy")),0),0)</f>
        <v>378</v>
      </c>
      <c r="G927" cm="1">
        <f t="array" ref="G927">IF($Q927&gt;=0,IFERROR(generateSalesData($D927, IF(ISNUMBER(_xlfn.XLOOKUP($C927,Phone_by_Sentiment!$B$2:$B$37,Phone_by_Sentiment!G$2:G$37,"",0,1)),_xlfn.XLOOKUP($C927,Phone_by_Sentiment!$B$2:$B$37,Phone_by_Sentiment!G$2:G$37,"",0,1),0),$A927-TEXT(DATEVALUE($D927&amp;"-01"), "dd-mm-yyyy")),0),0)</f>
        <v>113</v>
      </c>
      <c r="H927" cm="1">
        <f t="array" ref="H927">IF($Q927&gt;=0,IFERROR(generateSalesData($D927, IF(ISNUMBER(_xlfn.XLOOKUP($C927,Phone_by_Sentiment!$B$2:$B$37,Phone_by_Sentiment!H$2:H$37,"",0,1)),_xlfn.XLOOKUP($C927,Phone_by_Sentiment!$B$2:$B$37,Phone_by_Sentiment!H$2:H$37,"",0,1),0),$A927-TEXT(DATEVALUE($D927&amp;"-01"), "dd-mm-yyyy")),0),0)</f>
        <v>944</v>
      </c>
      <c r="I927" cm="1">
        <f t="array" ref="I927">IF($Q927&gt;=0,IFERROR(generateSalesData($D927, IF(ISNUMBER(_xlfn.XLOOKUP($C927,Phone_by_Sentiment!$B$2:$B$37,Phone_by_Sentiment!I$2:I$37,"",0,1)),_xlfn.XLOOKUP($C927,Phone_by_Sentiment!$B$2:$B$37,Phone_by_Sentiment!I$2:I$37,"",0,1),0),$A927-TEXT(DATEVALUE($D927&amp;"-01"), "dd-mm-yyyy")),0),0)</f>
        <v>450</v>
      </c>
      <c r="J927" cm="1">
        <f t="array" ref="J927">IF($Q927&gt;=0,IFERROR(generateSalesData($D927, IF(ISNUMBER(_xlfn.XLOOKUP($C927,Phone_by_Sentiment!$B$2:$B$37,Phone_by_Sentiment!J$2:J$37,"",0,1)),_xlfn.XLOOKUP($C927,Phone_by_Sentiment!$B$2:$B$37,Phone_by_Sentiment!J$2:J$37,"",0,1),0),$A927-TEXT(DATEVALUE($D927&amp;"-01"), "dd-mm-yyyy")),0),0)</f>
        <v>491</v>
      </c>
      <c r="K927" cm="1">
        <f t="array" ref="K927">IF($Q927&gt;=0,IFERROR(generateSalesData($D927, IF(ISNUMBER(_xlfn.XLOOKUP($C927,Phone_by_Sentiment!$B$2:$B$37,Phone_by_Sentiment!K$2:K$37,"",0,1)),_xlfn.XLOOKUP($C927,Phone_by_Sentiment!$B$2:$B$37,Phone_by_Sentiment!K$2:K$37,"",0,1),0),$A927-TEXT(DATEVALUE($D927&amp;"-01"), "dd-mm-yyyy")),0),0)</f>
        <v>163</v>
      </c>
      <c r="L927" cm="1">
        <f t="array" ref="L927">IF($Q927&gt;=0,IFERROR(generateSalesData($D927, IF(ISNUMBER(_xlfn.XLOOKUP($C927,Phone_by_Sentiment!$B$2:$B$37,Phone_by_Sentiment!L$2:L$37,"",0,1)),_xlfn.XLOOKUP($C927,Phone_by_Sentiment!$B$2:$B$37,Phone_by_Sentiment!L$2:L$37,"",0,1),0),$A927-TEXT(DATEVALUE($D927&amp;"-01"), "dd-mm-yyyy")),0),0)</f>
        <v>473</v>
      </c>
      <c r="M927" cm="1">
        <f t="array" ref="M927">IF($Q927&gt;=0,IFERROR(generateSalesData($D927, IF(ISNUMBER(_xlfn.XLOOKUP($C927,Phone_by_Sentiment!$B$2:$B$37,Phone_by_Sentiment!M$2:M$37,"",0,1)),_xlfn.XLOOKUP($C927,Phone_by_Sentiment!$B$2:$B$37,Phone_by_Sentiment!M$2:M$37,"",0,1),0),$A927-TEXT(DATEVALUE($D927&amp;"-01"), "dd-mm-yyyy")),0),0)</f>
        <v>500</v>
      </c>
      <c r="N927" cm="1">
        <f t="array" ref="N927">IF($Q927&gt;=0,IFERROR(generateSalesData($D927, IF(ISNUMBER(_xlfn.XLOOKUP($C927,Phone_by_Sentiment!$B$2:$B$37,Phone_by_Sentiment!N$2:N$37,"",0,1)),_xlfn.XLOOKUP($C927,Phone_by_Sentiment!$B$2:$B$37,Phone_by_Sentiment!N$2:N$37,"",0,1),0),$A927-TEXT(DATEVALUE($D927&amp;"-01"), "dd-mm-yyyy")),0),0)</f>
        <v>73</v>
      </c>
      <c r="O927" cm="1">
        <f t="array" ref="O927">IF($Q927&gt;=0,IFERROR(generateSalesData($D927, IF(ISNUMBER(_xlfn.XLOOKUP($C927,Phone_by_Sentiment!$B$2:$B$37,Phone_by_Sentiment!O$2:O$37,"",0,1)),_xlfn.XLOOKUP($C927,Phone_by_Sentiment!$B$2:$B$37,Phone_by_Sentiment!O$2:O$37,"",0,1),0),$A927-TEXT(DATEVALUE($D927&amp;"-01"), "dd-mm-yyyy")),0),0)</f>
        <v>590</v>
      </c>
      <c r="P927" s="1">
        <f t="shared" si="37"/>
        <v>43709</v>
      </c>
      <c r="Q927">
        <f t="shared" si="38"/>
        <v>547</v>
      </c>
    </row>
    <row r="928" spans="1:17" x14ac:dyDescent="0.25">
      <c r="A928" s="1">
        <f t="shared" si="39"/>
        <v>44256</v>
      </c>
      <c r="B928" t="s">
        <v>143</v>
      </c>
      <c r="C928" t="str">
        <f>_xlfn.XLOOKUP(B928,Phone_by_Price!$A$2:$A$34,Phone_by_Price!$B$2:$B$34,"-",0,1)</f>
        <v>Samsung Galaxy S20 Ultra</v>
      </c>
      <c r="D928" t="str">
        <f>_xlfn.XLOOKUP(C928,Phone_by_Sentiment!$B$2:$B$37,Phone_by_Sentiment!$A$2:$A$37,"-",0,1)</f>
        <v>2020-02</v>
      </c>
      <c r="E928" cm="1">
        <f t="array" ref="E928">IF($Q928&gt;=0,IFERROR(generateSalesData($D928, IF(ISNUMBER(_xlfn.XLOOKUP($C928,Phone_by_Sentiment!$B$2:$B$37,Phone_by_Sentiment!E$2:E$37,"",0,1)),_xlfn.XLOOKUP($C928,Phone_by_Sentiment!$B$2:$B$37,Phone_by_Sentiment!E$2:E$37,"",0,1),0),$A928-TEXT(DATEVALUE($D928&amp;"-01"), "dd-mm-yyyy")),0),0)</f>
        <v>605</v>
      </c>
      <c r="F928" cm="1">
        <f t="array" ref="F928">IF($Q928&gt;=0,IFERROR(generateSalesData($D928, IF(ISNUMBER(_xlfn.XLOOKUP($C928,Phone_by_Sentiment!$B$2:$B$37,Phone_by_Sentiment!F$2:F$37,"",0,1)),_xlfn.XLOOKUP($C928,Phone_by_Sentiment!$B$2:$B$37,Phone_by_Sentiment!F$2:F$37,"",0,1),0),$A928-TEXT(DATEVALUE($D928&amp;"-01"), "dd-mm-yyyy")),0),0)</f>
        <v>692</v>
      </c>
      <c r="G928" cm="1">
        <f t="array" ref="G928">IF($Q928&gt;=0,IFERROR(generateSalesData($D928, IF(ISNUMBER(_xlfn.XLOOKUP($C928,Phone_by_Sentiment!$B$2:$B$37,Phone_by_Sentiment!G$2:G$37,"",0,1)),_xlfn.XLOOKUP($C928,Phone_by_Sentiment!$B$2:$B$37,Phone_by_Sentiment!G$2:G$37,"",0,1),0),$A928-TEXT(DATEVALUE($D928&amp;"-01"), "dd-mm-yyyy")),0),0)</f>
        <v>185</v>
      </c>
      <c r="H928" cm="1">
        <f t="array" ref="H928">IF($Q928&gt;=0,IFERROR(generateSalesData($D928, IF(ISNUMBER(_xlfn.XLOOKUP($C928,Phone_by_Sentiment!$B$2:$B$37,Phone_by_Sentiment!H$2:H$37,"",0,1)),_xlfn.XLOOKUP($C928,Phone_by_Sentiment!$B$2:$B$37,Phone_by_Sentiment!H$2:H$37,"",0,1),0),$A928-TEXT(DATEVALUE($D928&amp;"-01"), "dd-mm-yyyy")),0),0)</f>
        <v>545</v>
      </c>
      <c r="I928" cm="1">
        <f t="array" ref="I928">IF($Q928&gt;=0,IFERROR(generateSalesData($D928, IF(ISNUMBER(_xlfn.XLOOKUP($C928,Phone_by_Sentiment!$B$2:$B$37,Phone_by_Sentiment!I$2:I$37,"",0,1)),_xlfn.XLOOKUP($C928,Phone_by_Sentiment!$B$2:$B$37,Phone_by_Sentiment!I$2:I$37,"",0,1),0),$A928-TEXT(DATEVALUE($D928&amp;"-01"), "dd-mm-yyyy")),0),0)</f>
        <v>785</v>
      </c>
      <c r="J928" cm="1">
        <f t="array" ref="J928">IF($Q928&gt;=0,IFERROR(generateSalesData($D928, IF(ISNUMBER(_xlfn.XLOOKUP($C928,Phone_by_Sentiment!$B$2:$B$37,Phone_by_Sentiment!J$2:J$37,"",0,1)),_xlfn.XLOOKUP($C928,Phone_by_Sentiment!$B$2:$B$37,Phone_by_Sentiment!J$2:J$37,"",0,1),0),$A928-TEXT(DATEVALUE($D928&amp;"-01"), "dd-mm-yyyy")),0),0)</f>
        <v>515</v>
      </c>
      <c r="K928" cm="1">
        <f t="array" ref="K928">IF($Q928&gt;=0,IFERROR(generateSalesData($D928, IF(ISNUMBER(_xlfn.XLOOKUP($C928,Phone_by_Sentiment!$B$2:$B$37,Phone_by_Sentiment!K$2:K$37,"",0,1)),_xlfn.XLOOKUP($C928,Phone_by_Sentiment!$B$2:$B$37,Phone_by_Sentiment!K$2:K$37,"",0,1),0),$A928-TEXT(DATEVALUE($D928&amp;"-01"), "dd-mm-yyyy")),0),0)</f>
        <v>236</v>
      </c>
      <c r="L928" cm="1">
        <f t="array" ref="L928">IF($Q928&gt;=0,IFERROR(generateSalesData($D928, IF(ISNUMBER(_xlfn.XLOOKUP($C928,Phone_by_Sentiment!$B$2:$B$37,Phone_by_Sentiment!L$2:L$37,"",0,1)),_xlfn.XLOOKUP($C928,Phone_by_Sentiment!$B$2:$B$37,Phone_by_Sentiment!L$2:L$37,"",0,1),0),$A928-TEXT(DATEVALUE($D928&amp;"-01"), "dd-mm-yyyy")),0),0)</f>
        <v>409</v>
      </c>
      <c r="M928" cm="1">
        <f t="array" ref="M928">IF($Q928&gt;=0,IFERROR(generateSalesData($D928, IF(ISNUMBER(_xlfn.XLOOKUP($C928,Phone_by_Sentiment!$B$2:$B$37,Phone_by_Sentiment!M$2:M$37,"",0,1)),_xlfn.XLOOKUP($C928,Phone_by_Sentiment!$B$2:$B$37,Phone_by_Sentiment!M$2:M$37,"",0,1),0),$A928-TEXT(DATEVALUE($D928&amp;"-01"), "dd-mm-yyyy")),0),0)</f>
        <v>1239</v>
      </c>
      <c r="N928" cm="1">
        <f t="array" ref="N928">IF($Q928&gt;=0,IFERROR(generateSalesData($D928, IF(ISNUMBER(_xlfn.XLOOKUP($C928,Phone_by_Sentiment!$B$2:$B$37,Phone_by_Sentiment!N$2:N$37,"",0,1)),_xlfn.XLOOKUP($C928,Phone_by_Sentiment!$B$2:$B$37,Phone_by_Sentiment!N$2:N$37,"",0,1),0),$A928-TEXT(DATEVALUE($D928&amp;"-01"), "dd-mm-yyyy")),0),0)</f>
        <v>754</v>
      </c>
      <c r="O928" cm="1">
        <f t="array" ref="O928">IF($Q928&gt;=0,IFERROR(generateSalesData($D928, IF(ISNUMBER(_xlfn.XLOOKUP($C928,Phone_by_Sentiment!$B$2:$B$37,Phone_by_Sentiment!O$2:O$37,"",0,1)),_xlfn.XLOOKUP($C928,Phone_by_Sentiment!$B$2:$B$37,Phone_by_Sentiment!O$2:O$37,"",0,1),0),$A928-TEXT(DATEVALUE($D928&amp;"-01"), "dd-mm-yyyy")),0),0)</f>
        <v>1117</v>
      </c>
      <c r="P928" s="1">
        <f t="shared" si="37"/>
        <v>43862</v>
      </c>
      <c r="Q928">
        <f t="shared" si="38"/>
        <v>394</v>
      </c>
    </row>
    <row r="929" spans="1:17" x14ac:dyDescent="0.25">
      <c r="A929" s="1">
        <f t="shared" si="39"/>
        <v>44256</v>
      </c>
      <c r="B929" t="s">
        <v>144</v>
      </c>
      <c r="C929" t="str">
        <f>_xlfn.XLOOKUP(B929,Phone_by_Price!$A$2:$A$34,Phone_by_Price!$B$2:$B$34,"-",0,1)</f>
        <v>Xiaomi Redmi Note 10</v>
      </c>
      <c r="D929" t="str">
        <f>_xlfn.XLOOKUP(C929,Phone_by_Sentiment!$B$2:$B$37,Phone_by_Sentiment!$A$2:$A$37,"-",0,1)</f>
        <v>2021-03</v>
      </c>
      <c r="E929" cm="1">
        <f t="array" ref="E929">IF($Q929&gt;=0,IFERROR(generateSalesData($D929, IF(ISNUMBER(_xlfn.XLOOKUP($C929,Phone_by_Sentiment!$B$2:$B$37,Phone_by_Sentiment!E$2:E$37,"",0,1)),_xlfn.XLOOKUP($C929,Phone_by_Sentiment!$B$2:$B$37,Phone_by_Sentiment!E$2:E$37,"",0,1),0),$A929-TEXT(DATEVALUE($D929&amp;"-01"), "dd-mm-yyyy")),0),0)</f>
        <v>1058</v>
      </c>
      <c r="F929" cm="1">
        <f t="array" ref="F929">IF($Q929&gt;=0,IFERROR(generateSalesData($D929, IF(ISNUMBER(_xlfn.XLOOKUP($C929,Phone_by_Sentiment!$B$2:$B$37,Phone_by_Sentiment!F$2:F$37,"",0,1)),_xlfn.XLOOKUP($C929,Phone_by_Sentiment!$B$2:$B$37,Phone_by_Sentiment!F$2:F$37,"",0,1),0),$A929-TEXT(DATEVALUE($D929&amp;"-01"), "dd-mm-yyyy")),0),0)</f>
        <v>2792</v>
      </c>
      <c r="G929" cm="1">
        <f t="array" ref="G929">IF($Q929&gt;=0,IFERROR(generateSalesData($D929, IF(ISNUMBER(_xlfn.XLOOKUP($C929,Phone_by_Sentiment!$B$2:$B$37,Phone_by_Sentiment!G$2:G$37,"",0,1)),_xlfn.XLOOKUP($C929,Phone_by_Sentiment!$B$2:$B$37,Phone_by_Sentiment!G$2:G$37,"",0,1),0),$A929-TEXT(DATEVALUE($D929&amp;"-01"), "dd-mm-yyyy")),0),0)</f>
        <v>1480</v>
      </c>
      <c r="H929" cm="1">
        <f t="array" ref="H929">IF($Q929&gt;=0,IFERROR(generateSalesData($D929, IF(ISNUMBER(_xlfn.XLOOKUP($C929,Phone_by_Sentiment!$B$2:$B$37,Phone_by_Sentiment!H$2:H$37,"",0,1)),_xlfn.XLOOKUP($C929,Phone_by_Sentiment!$B$2:$B$37,Phone_by_Sentiment!H$2:H$37,"",0,1),0),$A929-TEXT(DATEVALUE($D929&amp;"-01"), "dd-mm-yyyy")),0),0)</f>
        <v>9104</v>
      </c>
      <c r="I929" cm="1">
        <f t="array" ref="I929">IF($Q929&gt;=0,IFERROR(generateSalesData($D929, IF(ISNUMBER(_xlfn.XLOOKUP($C929,Phone_by_Sentiment!$B$2:$B$37,Phone_by_Sentiment!I$2:I$37,"",0,1)),_xlfn.XLOOKUP($C929,Phone_by_Sentiment!$B$2:$B$37,Phone_by_Sentiment!I$2:I$37,"",0,1),0),$A929-TEXT(DATEVALUE($D929&amp;"-01"), "dd-mm-yyyy")),0),0)</f>
        <v>8458</v>
      </c>
      <c r="J929" cm="1">
        <f t="array" ref="J929">IF($Q929&gt;=0,IFERROR(generateSalesData($D929, IF(ISNUMBER(_xlfn.XLOOKUP($C929,Phone_by_Sentiment!$B$2:$B$37,Phone_by_Sentiment!J$2:J$37,"",0,1)),_xlfn.XLOOKUP($C929,Phone_by_Sentiment!$B$2:$B$37,Phone_by_Sentiment!J$2:J$37,"",0,1),0),$A929-TEXT(DATEVALUE($D929&amp;"-01"), "dd-mm-yyyy")),0),0)</f>
        <v>9729</v>
      </c>
      <c r="K929" cm="1">
        <f t="array" ref="K929">IF($Q929&gt;=0,IFERROR(generateSalesData($D929, IF(ISNUMBER(_xlfn.XLOOKUP($C929,Phone_by_Sentiment!$B$2:$B$37,Phone_by_Sentiment!K$2:K$37,"",0,1)),_xlfn.XLOOKUP($C929,Phone_by_Sentiment!$B$2:$B$37,Phone_by_Sentiment!K$2:K$37,"",0,1),0),$A929-TEXT(DATEVALUE($D929&amp;"-01"), "dd-mm-yyyy")),0),0)</f>
        <v>2722</v>
      </c>
      <c r="L929" cm="1">
        <f t="array" ref="L929">IF($Q929&gt;=0,IFERROR(generateSalesData($D929, IF(ISNUMBER(_xlfn.XLOOKUP($C929,Phone_by_Sentiment!$B$2:$B$37,Phone_by_Sentiment!L$2:L$37,"",0,1)),_xlfn.XLOOKUP($C929,Phone_by_Sentiment!$B$2:$B$37,Phone_by_Sentiment!L$2:L$37,"",0,1),0),$A929-TEXT(DATEVALUE($D929&amp;"-01"), "dd-mm-yyyy")),0),0)</f>
        <v>3994</v>
      </c>
      <c r="M929" cm="1">
        <f t="array" ref="M929">IF($Q929&gt;=0,IFERROR(generateSalesData($D929, IF(ISNUMBER(_xlfn.XLOOKUP($C929,Phone_by_Sentiment!$B$2:$B$37,Phone_by_Sentiment!M$2:M$37,"",0,1)),_xlfn.XLOOKUP($C929,Phone_by_Sentiment!$B$2:$B$37,Phone_by_Sentiment!M$2:M$37,"",0,1),0),$A929-TEXT(DATEVALUE($D929&amp;"-01"), "dd-mm-yyyy")),0),0)</f>
        <v>2053</v>
      </c>
      <c r="N929" cm="1">
        <f t="array" ref="N929">IF($Q929&gt;=0,IFERROR(generateSalesData($D929, IF(ISNUMBER(_xlfn.XLOOKUP($C929,Phone_by_Sentiment!$B$2:$B$37,Phone_by_Sentiment!N$2:N$37,"",0,1)),_xlfn.XLOOKUP($C929,Phone_by_Sentiment!$B$2:$B$37,Phone_by_Sentiment!N$2:N$37,"",0,1),0),$A929-TEXT(DATEVALUE($D929&amp;"-01"), "dd-mm-yyyy")),0),0)</f>
        <v>8965</v>
      </c>
      <c r="O929" cm="1">
        <f t="array" ref="O929">IF($Q929&gt;=0,IFERROR(generateSalesData($D929, IF(ISNUMBER(_xlfn.XLOOKUP($C929,Phone_by_Sentiment!$B$2:$B$37,Phone_by_Sentiment!O$2:O$37,"",0,1)),_xlfn.XLOOKUP($C929,Phone_by_Sentiment!$B$2:$B$37,Phone_by_Sentiment!O$2:O$37,"",0,1),0),$A929-TEXT(DATEVALUE($D929&amp;"-01"), "dd-mm-yyyy")),0),0)</f>
        <v>9122</v>
      </c>
      <c r="P929" s="1">
        <f t="shared" si="37"/>
        <v>44256</v>
      </c>
      <c r="Q929">
        <f t="shared" si="38"/>
        <v>0</v>
      </c>
    </row>
    <row r="930" spans="1:17" x14ac:dyDescent="0.25">
      <c r="A930" s="1">
        <f t="shared" si="39"/>
        <v>44256</v>
      </c>
      <c r="B930" t="s">
        <v>145</v>
      </c>
      <c r="C930" t="str">
        <f>_xlfn.XLOOKUP(B930,Phone_by_Price!$A$2:$A$34,Phone_by_Price!$B$2:$B$34,"-",0,1)</f>
        <v>OPPO A54</v>
      </c>
      <c r="D930" t="str">
        <f>_xlfn.XLOOKUP(C930,Phone_by_Sentiment!$B$2:$B$37,Phone_by_Sentiment!$A$2:$A$37,"-",0,1)</f>
        <v>2021-04</v>
      </c>
      <c r="E930" cm="1">
        <f t="array" ref="E930">IF($Q930&gt;=0,IFERROR(generateSalesData($D930, IF(ISNUMBER(_xlfn.XLOOKUP($C930,Phone_by_Sentiment!$B$2:$B$37,Phone_by_Sentiment!E$2:E$37,"",0,1)),_xlfn.XLOOKUP($C930,Phone_by_Sentiment!$B$2:$B$37,Phone_by_Sentiment!E$2:E$37,"",0,1),0),$A930-TEXT(DATEVALUE($D930&amp;"-01"), "dd-mm-yyyy")),0),0)</f>
        <v>0</v>
      </c>
      <c r="F930" cm="1">
        <f t="array" ref="F930">IF($Q930&gt;=0,IFERROR(generateSalesData($D930, IF(ISNUMBER(_xlfn.XLOOKUP($C930,Phone_by_Sentiment!$B$2:$B$37,Phone_by_Sentiment!F$2:F$37,"",0,1)),_xlfn.XLOOKUP($C930,Phone_by_Sentiment!$B$2:$B$37,Phone_by_Sentiment!F$2:F$37,"",0,1),0),$A930-TEXT(DATEVALUE($D930&amp;"-01"), "dd-mm-yyyy")),0),0)</f>
        <v>0</v>
      </c>
      <c r="G930" cm="1">
        <f t="array" ref="G930">IF($Q930&gt;=0,IFERROR(generateSalesData($D930, IF(ISNUMBER(_xlfn.XLOOKUP($C930,Phone_by_Sentiment!$B$2:$B$37,Phone_by_Sentiment!G$2:G$37,"",0,1)),_xlfn.XLOOKUP($C930,Phone_by_Sentiment!$B$2:$B$37,Phone_by_Sentiment!G$2:G$37,"",0,1),0),$A930-TEXT(DATEVALUE($D930&amp;"-01"), "dd-mm-yyyy")),0),0)</f>
        <v>0</v>
      </c>
      <c r="H930" cm="1">
        <f t="array" ref="H930">IF($Q930&gt;=0,IFERROR(generateSalesData($D930, IF(ISNUMBER(_xlfn.XLOOKUP($C930,Phone_by_Sentiment!$B$2:$B$37,Phone_by_Sentiment!H$2:H$37,"",0,1)),_xlfn.XLOOKUP($C930,Phone_by_Sentiment!$B$2:$B$37,Phone_by_Sentiment!H$2:H$37,"",0,1),0),$A930-TEXT(DATEVALUE($D930&amp;"-01"), "dd-mm-yyyy")),0),0)</f>
        <v>0</v>
      </c>
      <c r="I930" cm="1">
        <f t="array" ref="I930">IF($Q930&gt;=0,IFERROR(generateSalesData($D930, IF(ISNUMBER(_xlfn.XLOOKUP($C930,Phone_by_Sentiment!$B$2:$B$37,Phone_by_Sentiment!I$2:I$37,"",0,1)),_xlfn.XLOOKUP($C930,Phone_by_Sentiment!$B$2:$B$37,Phone_by_Sentiment!I$2:I$37,"",0,1),0),$A930-TEXT(DATEVALUE($D930&amp;"-01"), "dd-mm-yyyy")),0),0)</f>
        <v>0</v>
      </c>
      <c r="J930" cm="1">
        <f t="array" ref="J930">IF($Q930&gt;=0,IFERROR(generateSalesData($D930, IF(ISNUMBER(_xlfn.XLOOKUP($C930,Phone_by_Sentiment!$B$2:$B$37,Phone_by_Sentiment!J$2:J$37,"",0,1)),_xlfn.XLOOKUP($C930,Phone_by_Sentiment!$B$2:$B$37,Phone_by_Sentiment!J$2:J$37,"",0,1),0),$A930-TEXT(DATEVALUE($D930&amp;"-01"), "dd-mm-yyyy")),0),0)</f>
        <v>0</v>
      </c>
      <c r="K930" cm="1">
        <f t="array" ref="K930">IF($Q930&gt;=0,IFERROR(generateSalesData($D930, IF(ISNUMBER(_xlfn.XLOOKUP($C930,Phone_by_Sentiment!$B$2:$B$37,Phone_by_Sentiment!K$2:K$37,"",0,1)),_xlfn.XLOOKUP($C930,Phone_by_Sentiment!$B$2:$B$37,Phone_by_Sentiment!K$2:K$37,"",0,1),0),$A930-TEXT(DATEVALUE($D930&amp;"-01"), "dd-mm-yyyy")),0),0)</f>
        <v>0</v>
      </c>
      <c r="L930" cm="1">
        <f t="array" ref="L930">IF($Q930&gt;=0,IFERROR(generateSalesData($D930, IF(ISNUMBER(_xlfn.XLOOKUP($C930,Phone_by_Sentiment!$B$2:$B$37,Phone_by_Sentiment!L$2:L$37,"",0,1)),_xlfn.XLOOKUP($C930,Phone_by_Sentiment!$B$2:$B$37,Phone_by_Sentiment!L$2:L$37,"",0,1),0),$A930-TEXT(DATEVALUE($D930&amp;"-01"), "dd-mm-yyyy")),0),0)</f>
        <v>0</v>
      </c>
      <c r="M930" cm="1">
        <f t="array" ref="M930">IF($Q930&gt;=0,IFERROR(generateSalesData($D930, IF(ISNUMBER(_xlfn.XLOOKUP($C930,Phone_by_Sentiment!$B$2:$B$37,Phone_by_Sentiment!M$2:M$37,"",0,1)),_xlfn.XLOOKUP($C930,Phone_by_Sentiment!$B$2:$B$37,Phone_by_Sentiment!M$2:M$37,"",0,1),0),$A930-TEXT(DATEVALUE($D930&amp;"-01"), "dd-mm-yyyy")),0),0)</f>
        <v>0</v>
      </c>
      <c r="N930" cm="1">
        <f t="array" ref="N930">IF($Q930&gt;=0,IFERROR(generateSalesData($D930, IF(ISNUMBER(_xlfn.XLOOKUP($C930,Phone_by_Sentiment!$B$2:$B$37,Phone_by_Sentiment!N$2:N$37,"",0,1)),_xlfn.XLOOKUP($C930,Phone_by_Sentiment!$B$2:$B$37,Phone_by_Sentiment!N$2:N$37,"",0,1),0),$A930-TEXT(DATEVALUE($D930&amp;"-01"), "dd-mm-yyyy")),0),0)</f>
        <v>0</v>
      </c>
      <c r="O930" cm="1">
        <f t="array" ref="O930">IF($Q930&gt;=0,IFERROR(generateSalesData($D930, IF(ISNUMBER(_xlfn.XLOOKUP($C930,Phone_by_Sentiment!$B$2:$B$37,Phone_by_Sentiment!O$2:O$37,"",0,1)),_xlfn.XLOOKUP($C930,Phone_by_Sentiment!$B$2:$B$37,Phone_by_Sentiment!O$2:O$37,"",0,1),0),$A930-TEXT(DATEVALUE($D930&amp;"-01"), "dd-mm-yyyy")),0),0)</f>
        <v>0</v>
      </c>
      <c r="P930" s="1">
        <f t="shared" si="37"/>
        <v>44287</v>
      </c>
      <c r="Q930">
        <f t="shared" si="38"/>
        <v>-31</v>
      </c>
    </row>
    <row r="931" spans="1:17" x14ac:dyDescent="0.25">
      <c r="A931" s="1">
        <f t="shared" si="39"/>
        <v>44256</v>
      </c>
      <c r="B931" t="s">
        <v>146</v>
      </c>
      <c r="C931" t="str">
        <f>_xlfn.XLOOKUP(B931,Phone_by_Price!$A$2:$A$34,Phone_by_Price!$B$2:$B$34,"-",0,1)</f>
        <v>Vivo Y20</v>
      </c>
      <c r="D931" t="str">
        <f>_xlfn.XLOOKUP(C931,Phone_by_Sentiment!$B$2:$B$37,Phone_by_Sentiment!$A$2:$A$37,"-",0,1)</f>
        <v>2020-09</v>
      </c>
      <c r="E931" cm="1">
        <f t="array" ref="E931">IF($Q931&gt;=0,IFERROR(generateSalesData($D931, IF(ISNUMBER(_xlfn.XLOOKUP($C931,Phone_by_Sentiment!$B$2:$B$37,Phone_by_Sentiment!E$2:E$37,"",0,1)),_xlfn.XLOOKUP($C931,Phone_by_Sentiment!$B$2:$B$37,Phone_by_Sentiment!E$2:E$37,"",0,1),0),$A931-TEXT(DATEVALUE($D931&amp;"-01"), "dd-mm-yyyy")),0),0)</f>
        <v>370</v>
      </c>
      <c r="F931" cm="1">
        <f t="array" ref="F931">IF($Q931&gt;=0,IFERROR(generateSalesData($D931, IF(ISNUMBER(_xlfn.XLOOKUP($C931,Phone_by_Sentiment!$B$2:$B$37,Phone_by_Sentiment!F$2:F$37,"",0,1)),_xlfn.XLOOKUP($C931,Phone_by_Sentiment!$B$2:$B$37,Phone_by_Sentiment!F$2:F$37,"",0,1),0),$A931-TEXT(DATEVALUE($D931&amp;"-01"), "dd-mm-yyyy")),0),0)</f>
        <v>900</v>
      </c>
      <c r="G931" cm="1">
        <f t="array" ref="G931">IF($Q931&gt;=0,IFERROR(generateSalesData($D931, IF(ISNUMBER(_xlfn.XLOOKUP($C931,Phone_by_Sentiment!$B$2:$B$37,Phone_by_Sentiment!G$2:G$37,"",0,1)),_xlfn.XLOOKUP($C931,Phone_by_Sentiment!$B$2:$B$37,Phone_by_Sentiment!G$2:G$37,"",0,1),0),$A931-TEXT(DATEVALUE($D931&amp;"-01"), "dd-mm-yyyy")),0),0)</f>
        <v>365</v>
      </c>
      <c r="H931" cm="1">
        <f t="array" ref="H931">IF($Q931&gt;=0,IFERROR(generateSalesData($D931, IF(ISNUMBER(_xlfn.XLOOKUP($C931,Phone_by_Sentiment!$B$2:$B$37,Phone_by_Sentiment!H$2:H$37,"",0,1)),_xlfn.XLOOKUP($C931,Phone_by_Sentiment!$B$2:$B$37,Phone_by_Sentiment!H$2:H$37,"",0,1),0),$A931-TEXT(DATEVALUE($D931&amp;"-01"), "dd-mm-yyyy")),0),0)</f>
        <v>192</v>
      </c>
      <c r="I931" cm="1">
        <f t="array" ref="I931">IF($Q931&gt;=0,IFERROR(generateSalesData($D931, IF(ISNUMBER(_xlfn.XLOOKUP($C931,Phone_by_Sentiment!$B$2:$B$37,Phone_by_Sentiment!I$2:I$37,"",0,1)),_xlfn.XLOOKUP($C931,Phone_by_Sentiment!$B$2:$B$37,Phone_by_Sentiment!I$2:I$37,"",0,1),0),$A931-TEXT(DATEVALUE($D931&amp;"-01"), "dd-mm-yyyy")),0),0)</f>
        <v>326</v>
      </c>
      <c r="J931" cm="1">
        <f t="array" ref="J931">IF($Q931&gt;=0,IFERROR(generateSalesData($D931, IF(ISNUMBER(_xlfn.XLOOKUP($C931,Phone_by_Sentiment!$B$2:$B$37,Phone_by_Sentiment!J$2:J$37,"",0,1)),_xlfn.XLOOKUP($C931,Phone_by_Sentiment!$B$2:$B$37,Phone_by_Sentiment!J$2:J$37,"",0,1),0),$A931-TEXT(DATEVALUE($D931&amp;"-01"), "dd-mm-yyyy")),0),0)</f>
        <v>416</v>
      </c>
      <c r="K931" cm="1">
        <f t="array" ref="K931">IF($Q931&gt;=0,IFERROR(generateSalesData($D931, IF(ISNUMBER(_xlfn.XLOOKUP($C931,Phone_by_Sentiment!$B$2:$B$37,Phone_by_Sentiment!K$2:K$37,"",0,1)),_xlfn.XLOOKUP($C931,Phone_by_Sentiment!$B$2:$B$37,Phone_by_Sentiment!K$2:K$37,"",0,1),0),$A931-TEXT(DATEVALUE($D931&amp;"-01"), "dd-mm-yyyy")),0),0)</f>
        <v>84</v>
      </c>
      <c r="L931" cm="1">
        <f t="array" ref="L931">IF($Q931&gt;=0,IFERROR(generateSalesData($D931, IF(ISNUMBER(_xlfn.XLOOKUP($C931,Phone_by_Sentiment!$B$2:$B$37,Phone_by_Sentiment!L$2:L$37,"",0,1)),_xlfn.XLOOKUP($C931,Phone_by_Sentiment!$B$2:$B$37,Phone_by_Sentiment!L$2:L$37,"",0,1),0),$A931-TEXT(DATEVALUE($D931&amp;"-01"), "dd-mm-yyyy")),0),0)</f>
        <v>905</v>
      </c>
      <c r="M931" cm="1">
        <f t="array" ref="M931">IF($Q931&gt;=0,IFERROR(generateSalesData($D931, IF(ISNUMBER(_xlfn.XLOOKUP($C931,Phone_by_Sentiment!$B$2:$B$37,Phone_by_Sentiment!M$2:M$37,"",0,1)),_xlfn.XLOOKUP($C931,Phone_by_Sentiment!$B$2:$B$37,Phone_by_Sentiment!M$2:M$37,"",0,1),0),$A931-TEXT(DATEVALUE($D931&amp;"-01"), "dd-mm-yyyy")),0),0)</f>
        <v>298</v>
      </c>
      <c r="N931" cm="1">
        <f t="array" ref="N931">IF($Q931&gt;=0,IFERROR(generateSalesData($D931, IF(ISNUMBER(_xlfn.XLOOKUP($C931,Phone_by_Sentiment!$B$2:$B$37,Phone_by_Sentiment!N$2:N$37,"",0,1)),_xlfn.XLOOKUP($C931,Phone_by_Sentiment!$B$2:$B$37,Phone_by_Sentiment!N$2:N$37,"",0,1),0),$A931-TEXT(DATEVALUE($D931&amp;"-01"), "dd-mm-yyyy")),0),0)</f>
        <v>370</v>
      </c>
      <c r="O931" cm="1">
        <f t="array" ref="O931">IF($Q931&gt;=0,IFERROR(generateSalesData($D931, IF(ISNUMBER(_xlfn.XLOOKUP($C931,Phone_by_Sentiment!$B$2:$B$37,Phone_by_Sentiment!O$2:O$37,"",0,1)),_xlfn.XLOOKUP($C931,Phone_by_Sentiment!$B$2:$B$37,Phone_by_Sentiment!O$2:O$37,"",0,1),0),$A931-TEXT(DATEVALUE($D931&amp;"-01"), "dd-mm-yyyy")),0),0)</f>
        <v>474</v>
      </c>
      <c r="P931" s="1">
        <f t="shared" si="37"/>
        <v>44075</v>
      </c>
      <c r="Q931">
        <f t="shared" si="38"/>
        <v>181</v>
      </c>
    </row>
    <row r="932" spans="1:17" x14ac:dyDescent="0.25">
      <c r="A932" s="1">
        <f t="shared" si="39"/>
        <v>44256</v>
      </c>
      <c r="B932" t="s">
        <v>147</v>
      </c>
      <c r="C932" t="str">
        <f>_xlfn.XLOOKUP(B932,Phone_by_Price!$A$2:$A$34,Phone_by_Price!$B$2:$B$34,"-",0,1)</f>
        <v>Huawei Y9a</v>
      </c>
      <c r="D932" t="str">
        <f>_xlfn.XLOOKUP(C932,Phone_by_Sentiment!$B$2:$B$37,Phone_by_Sentiment!$A$2:$A$37,"-",0,1)</f>
        <v>2020-02</v>
      </c>
      <c r="E932" cm="1">
        <f t="array" ref="E932">IF($Q932&gt;=0,IFERROR(generateSalesData($D932, IF(ISNUMBER(_xlfn.XLOOKUP($C932,Phone_by_Sentiment!$B$2:$B$37,Phone_by_Sentiment!E$2:E$37,"",0,1)),_xlfn.XLOOKUP($C932,Phone_by_Sentiment!$B$2:$B$37,Phone_by_Sentiment!E$2:E$37,"",0,1),0),$A932-TEXT(DATEVALUE($D932&amp;"-01"), "dd-mm-yyyy")),0),0)</f>
        <v>192</v>
      </c>
      <c r="F932" cm="1">
        <f t="array" ref="F932">IF($Q932&gt;=0,IFERROR(generateSalesData($D932, IF(ISNUMBER(_xlfn.XLOOKUP($C932,Phone_by_Sentiment!$B$2:$B$37,Phone_by_Sentiment!F$2:F$37,"",0,1)),_xlfn.XLOOKUP($C932,Phone_by_Sentiment!$B$2:$B$37,Phone_by_Sentiment!F$2:F$37,"",0,1),0),$A932-TEXT(DATEVALUE($D932&amp;"-01"), "dd-mm-yyyy")),0),0)</f>
        <v>681</v>
      </c>
      <c r="G932" cm="1">
        <f t="array" ref="G932">IF($Q932&gt;=0,IFERROR(generateSalesData($D932, IF(ISNUMBER(_xlfn.XLOOKUP($C932,Phone_by_Sentiment!$B$2:$B$37,Phone_by_Sentiment!G$2:G$37,"",0,1)),_xlfn.XLOOKUP($C932,Phone_by_Sentiment!$B$2:$B$37,Phone_by_Sentiment!G$2:G$37,"",0,1),0),$A932-TEXT(DATEVALUE($D932&amp;"-01"), "dd-mm-yyyy")),0),0)</f>
        <v>138</v>
      </c>
      <c r="H932" cm="1">
        <f t="array" ref="H932">IF($Q932&gt;=0,IFERROR(generateSalesData($D932, IF(ISNUMBER(_xlfn.XLOOKUP($C932,Phone_by_Sentiment!$B$2:$B$37,Phone_by_Sentiment!H$2:H$37,"",0,1)),_xlfn.XLOOKUP($C932,Phone_by_Sentiment!$B$2:$B$37,Phone_by_Sentiment!H$2:H$37,"",0,1),0),$A932-TEXT(DATEVALUE($D932&amp;"-01"), "dd-mm-yyyy")),0),0)</f>
        <v>30</v>
      </c>
      <c r="I932" cm="1">
        <f t="array" ref="I932">IF($Q932&gt;=0,IFERROR(generateSalesData($D932, IF(ISNUMBER(_xlfn.XLOOKUP($C932,Phone_by_Sentiment!$B$2:$B$37,Phone_by_Sentiment!I$2:I$37,"",0,1)),_xlfn.XLOOKUP($C932,Phone_by_Sentiment!$B$2:$B$37,Phone_by_Sentiment!I$2:I$37,"",0,1),0),$A932-TEXT(DATEVALUE($D932&amp;"-01"), "dd-mm-yyyy")),0),0)</f>
        <v>113</v>
      </c>
      <c r="J932" cm="1">
        <f t="array" ref="J932">IF($Q932&gt;=0,IFERROR(generateSalesData($D932, IF(ISNUMBER(_xlfn.XLOOKUP($C932,Phone_by_Sentiment!$B$2:$B$37,Phone_by_Sentiment!J$2:J$37,"",0,1)),_xlfn.XLOOKUP($C932,Phone_by_Sentiment!$B$2:$B$37,Phone_by_Sentiment!J$2:J$37,"",0,1),0),$A932-TEXT(DATEVALUE($D932&amp;"-01"), "dd-mm-yyyy")),0),0)</f>
        <v>53</v>
      </c>
      <c r="K932" cm="1">
        <f t="array" ref="K932">IF($Q932&gt;=0,IFERROR(generateSalesData($D932, IF(ISNUMBER(_xlfn.XLOOKUP($C932,Phone_by_Sentiment!$B$2:$B$37,Phone_by_Sentiment!K$2:K$37,"",0,1)),_xlfn.XLOOKUP($C932,Phone_by_Sentiment!$B$2:$B$37,Phone_by_Sentiment!K$2:K$37,"",0,1),0),$A932-TEXT(DATEVALUE($D932&amp;"-01"), "dd-mm-yyyy")),0),0)</f>
        <v>190</v>
      </c>
      <c r="L932" cm="1">
        <f t="array" ref="L932">IF($Q932&gt;=0,IFERROR(generateSalesData($D932, IF(ISNUMBER(_xlfn.XLOOKUP($C932,Phone_by_Sentiment!$B$2:$B$37,Phone_by_Sentiment!L$2:L$37,"",0,1)),_xlfn.XLOOKUP($C932,Phone_by_Sentiment!$B$2:$B$37,Phone_by_Sentiment!L$2:L$37,"",0,1),0),$A932-TEXT(DATEVALUE($D932&amp;"-01"), "dd-mm-yyyy")),0),0)</f>
        <v>184</v>
      </c>
      <c r="M932" cm="1">
        <f t="array" ref="M932">IF($Q932&gt;=0,IFERROR(generateSalesData($D932, IF(ISNUMBER(_xlfn.XLOOKUP($C932,Phone_by_Sentiment!$B$2:$B$37,Phone_by_Sentiment!M$2:M$37,"",0,1)),_xlfn.XLOOKUP($C932,Phone_by_Sentiment!$B$2:$B$37,Phone_by_Sentiment!M$2:M$37,"",0,1),0),$A932-TEXT(DATEVALUE($D932&amp;"-01"), "dd-mm-yyyy")),0),0)</f>
        <v>240</v>
      </c>
      <c r="N932" cm="1">
        <f t="array" ref="N932">IF($Q932&gt;=0,IFERROR(generateSalesData($D932, IF(ISNUMBER(_xlfn.XLOOKUP($C932,Phone_by_Sentiment!$B$2:$B$37,Phone_by_Sentiment!N$2:N$37,"",0,1)),_xlfn.XLOOKUP($C932,Phone_by_Sentiment!$B$2:$B$37,Phone_by_Sentiment!N$2:N$37,"",0,1),0),$A932-TEXT(DATEVALUE($D932&amp;"-01"), "dd-mm-yyyy")),0),0)</f>
        <v>79</v>
      </c>
      <c r="O932" cm="1">
        <f t="array" ref="O932">IF($Q932&gt;=0,IFERROR(generateSalesData($D932, IF(ISNUMBER(_xlfn.XLOOKUP($C932,Phone_by_Sentiment!$B$2:$B$37,Phone_by_Sentiment!O$2:O$37,"",0,1)),_xlfn.XLOOKUP($C932,Phone_by_Sentiment!$B$2:$B$37,Phone_by_Sentiment!O$2:O$37,"",0,1),0),$A932-TEXT(DATEVALUE($D932&amp;"-01"), "dd-mm-yyyy")),0),0)</f>
        <v>156</v>
      </c>
      <c r="P932" s="1">
        <f t="shared" si="37"/>
        <v>43862</v>
      </c>
      <c r="Q932">
        <f t="shared" si="38"/>
        <v>394</v>
      </c>
    </row>
    <row r="933" spans="1:17" x14ac:dyDescent="0.25">
      <c r="A933" s="1">
        <f t="shared" si="39"/>
        <v>44256</v>
      </c>
      <c r="B933" t="s">
        <v>148</v>
      </c>
      <c r="C933" t="str">
        <f>_xlfn.XLOOKUP(B933,Phone_by_Price!$A$2:$A$34,Phone_by_Price!$B$2:$B$34,"-",0,1)</f>
        <v>Xiaomi Redmi 10</v>
      </c>
      <c r="D933" t="str">
        <f>_xlfn.XLOOKUP(C933,Phone_by_Sentiment!$B$2:$B$37,Phone_by_Sentiment!$A$2:$A$37,"-",0,1)</f>
        <v>2021-03</v>
      </c>
      <c r="E933" cm="1">
        <f t="array" ref="E933">IF($Q933&gt;=0,IFERROR(generateSalesData($D933, IF(ISNUMBER(_xlfn.XLOOKUP($C933,Phone_by_Sentiment!$B$2:$B$37,Phone_by_Sentiment!E$2:E$37,"",0,1)),_xlfn.XLOOKUP($C933,Phone_by_Sentiment!$B$2:$B$37,Phone_by_Sentiment!E$2:E$37,"",0,1),0),$A933-TEXT(DATEVALUE($D933&amp;"-01"), "dd-mm-yyyy")),0),0)</f>
        <v>1814</v>
      </c>
      <c r="F933" cm="1">
        <f t="array" ref="F933">IF($Q933&gt;=0,IFERROR(generateSalesData($D933, IF(ISNUMBER(_xlfn.XLOOKUP($C933,Phone_by_Sentiment!$B$2:$B$37,Phone_by_Sentiment!F$2:F$37,"",0,1)),_xlfn.XLOOKUP($C933,Phone_by_Sentiment!$B$2:$B$37,Phone_by_Sentiment!F$2:F$37,"",0,1),0),$A933-TEXT(DATEVALUE($D933&amp;"-01"), "dd-mm-yyyy")),0),0)</f>
        <v>9563</v>
      </c>
      <c r="G933" cm="1">
        <f t="array" ref="G933">IF($Q933&gt;=0,IFERROR(generateSalesData($D933, IF(ISNUMBER(_xlfn.XLOOKUP($C933,Phone_by_Sentiment!$B$2:$B$37,Phone_by_Sentiment!G$2:G$37,"",0,1)),_xlfn.XLOOKUP($C933,Phone_by_Sentiment!$B$2:$B$37,Phone_by_Sentiment!G$2:G$37,"",0,1),0),$A933-TEXT(DATEVALUE($D933&amp;"-01"), "dd-mm-yyyy")),0),0)</f>
        <v>1245</v>
      </c>
      <c r="H933" cm="1">
        <f t="array" ref="H933">IF($Q933&gt;=0,IFERROR(generateSalesData($D933, IF(ISNUMBER(_xlfn.XLOOKUP($C933,Phone_by_Sentiment!$B$2:$B$37,Phone_by_Sentiment!H$2:H$37,"",0,1)),_xlfn.XLOOKUP($C933,Phone_by_Sentiment!$B$2:$B$37,Phone_by_Sentiment!H$2:H$37,"",0,1),0),$A933-TEXT(DATEVALUE($D933&amp;"-01"), "dd-mm-yyyy")),0),0)</f>
        <v>9508</v>
      </c>
      <c r="I933" cm="1">
        <f t="array" ref="I933">IF($Q933&gt;=0,IFERROR(generateSalesData($D933, IF(ISNUMBER(_xlfn.XLOOKUP($C933,Phone_by_Sentiment!$B$2:$B$37,Phone_by_Sentiment!I$2:I$37,"",0,1)),_xlfn.XLOOKUP($C933,Phone_by_Sentiment!$B$2:$B$37,Phone_by_Sentiment!I$2:I$37,"",0,1),0),$A933-TEXT(DATEVALUE($D933&amp;"-01"), "dd-mm-yyyy")),0),0)</f>
        <v>2743</v>
      </c>
      <c r="J933" cm="1">
        <f t="array" ref="J933">IF($Q933&gt;=0,IFERROR(generateSalesData($D933, IF(ISNUMBER(_xlfn.XLOOKUP($C933,Phone_by_Sentiment!$B$2:$B$37,Phone_by_Sentiment!J$2:J$37,"",0,1)),_xlfn.XLOOKUP($C933,Phone_by_Sentiment!$B$2:$B$37,Phone_by_Sentiment!J$2:J$37,"",0,1),0),$A933-TEXT(DATEVALUE($D933&amp;"-01"), "dd-mm-yyyy")),0),0)</f>
        <v>2009</v>
      </c>
      <c r="K933" cm="1">
        <f t="array" ref="K933">IF($Q933&gt;=0,IFERROR(generateSalesData($D933, IF(ISNUMBER(_xlfn.XLOOKUP($C933,Phone_by_Sentiment!$B$2:$B$37,Phone_by_Sentiment!K$2:K$37,"",0,1)),_xlfn.XLOOKUP($C933,Phone_by_Sentiment!$B$2:$B$37,Phone_by_Sentiment!K$2:K$37,"",0,1),0),$A933-TEXT(DATEVALUE($D933&amp;"-01"), "dd-mm-yyyy")),0),0)</f>
        <v>5303</v>
      </c>
      <c r="L933" cm="1">
        <f t="array" ref="L933">IF($Q933&gt;=0,IFERROR(generateSalesData($D933, IF(ISNUMBER(_xlfn.XLOOKUP($C933,Phone_by_Sentiment!$B$2:$B$37,Phone_by_Sentiment!L$2:L$37,"",0,1)),_xlfn.XLOOKUP($C933,Phone_by_Sentiment!$B$2:$B$37,Phone_by_Sentiment!L$2:L$37,"",0,1),0),$A933-TEXT(DATEVALUE($D933&amp;"-01"), "dd-mm-yyyy")),0),0)</f>
        <v>1202</v>
      </c>
      <c r="M933" cm="1">
        <f t="array" ref="M933">IF($Q933&gt;=0,IFERROR(generateSalesData($D933, IF(ISNUMBER(_xlfn.XLOOKUP($C933,Phone_by_Sentiment!$B$2:$B$37,Phone_by_Sentiment!M$2:M$37,"",0,1)),_xlfn.XLOOKUP($C933,Phone_by_Sentiment!$B$2:$B$37,Phone_by_Sentiment!M$2:M$37,"",0,1),0),$A933-TEXT(DATEVALUE($D933&amp;"-01"), "dd-mm-yyyy")),0),0)</f>
        <v>701</v>
      </c>
      <c r="N933" cm="1">
        <f t="array" ref="N933">IF($Q933&gt;=0,IFERROR(generateSalesData($D933, IF(ISNUMBER(_xlfn.XLOOKUP($C933,Phone_by_Sentiment!$B$2:$B$37,Phone_by_Sentiment!N$2:N$37,"",0,1)),_xlfn.XLOOKUP($C933,Phone_by_Sentiment!$B$2:$B$37,Phone_by_Sentiment!N$2:N$37,"",0,1),0),$A933-TEXT(DATEVALUE($D933&amp;"-01"), "dd-mm-yyyy")),0),0)</f>
        <v>6486</v>
      </c>
      <c r="O933" cm="1">
        <f t="array" ref="O933">IF($Q933&gt;=0,IFERROR(generateSalesData($D933, IF(ISNUMBER(_xlfn.XLOOKUP($C933,Phone_by_Sentiment!$B$2:$B$37,Phone_by_Sentiment!O$2:O$37,"",0,1)),_xlfn.XLOOKUP($C933,Phone_by_Sentiment!$B$2:$B$37,Phone_by_Sentiment!O$2:O$37,"",0,1),0),$A933-TEXT(DATEVALUE($D933&amp;"-01"), "dd-mm-yyyy")),0),0)</f>
        <v>3717</v>
      </c>
      <c r="P933" s="1">
        <f t="shared" si="37"/>
        <v>44256</v>
      </c>
      <c r="Q933">
        <f t="shared" si="38"/>
        <v>0</v>
      </c>
    </row>
    <row r="934" spans="1:17" x14ac:dyDescent="0.25">
      <c r="A934" s="1">
        <f t="shared" si="39"/>
        <v>44256</v>
      </c>
      <c r="B934" t="s">
        <v>149</v>
      </c>
      <c r="C934" t="str">
        <f>_xlfn.XLOOKUP(B934,Phone_by_Price!$A$2:$A$34,Phone_by_Price!$B$2:$B$34,"-",0,1)</f>
        <v>Samsung Galaxy A52</v>
      </c>
      <c r="D934" t="str">
        <f>_xlfn.XLOOKUP(C934,Phone_by_Sentiment!$B$2:$B$37,Phone_by_Sentiment!$A$2:$A$37,"-",0,1)</f>
        <v>2021-03</v>
      </c>
      <c r="E934" cm="1">
        <f t="array" ref="E934">IF($Q934&gt;=0,IFERROR(generateSalesData($D934, IF(ISNUMBER(_xlfn.XLOOKUP($C934,Phone_by_Sentiment!$B$2:$B$37,Phone_by_Sentiment!E$2:E$37,"",0,1)),_xlfn.XLOOKUP($C934,Phone_by_Sentiment!$B$2:$B$37,Phone_by_Sentiment!E$2:E$37,"",0,1),0),$A934-TEXT(DATEVALUE($D934&amp;"-01"), "dd-mm-yyyy")),0),0)</f>
        <v>10984</v>
      </c>
      <c r="F934" cm="1">
        <f t="array" ref="F934">IF($Q934&gt;=0,IFERROR(generateSalesData($D934, IF(ISNUMBER(_xlfn.XLOOKUP($C934,Phone_by_Sentiment!$B$2:$B$37,Phone_by_Sentiment!F$2:F$37,"",0,1)),_xlfn.XLOOKUP($C934,Phone_by_Sentiment!$B$2:$B$37,Phone_by_Sentiment!F$2:F$37,"",0,1),0),$A934-TEXT(DATEVALUE($D934&amp;"-01"), "dd-mm-yyyy")),0),0)</f>
        <v>10753</v>
      </c>
      <c r="G934" cm="1">
        <f t="array" ref="G934">IF($Q934&gt;=0,IFERROR(generateSalesData($D934, IF(ISNUMBER(_xlfn.XLOOKUP($C934,Phone_by_Sentiment!$B$2:$B$37,Phone_by_Sentiment!G$2:G$37,"",0,1)),_xlfn.XLOOKUP($C934,Phone_by_Sentiment!$B$2:$B$37,Phone_by_Sentiment!G$2:G$37,"",0,1),0),$A934-TEXT(DATEVALUE($D934&amp;"-01"), "dd-mm-yyyy")),0),0)</f>
        <v>2279</v>
      </c>
      <c r="H934" cm="1">
        <f t="array" ref="H934">IF($Q934&gt;=0,IFERROR(generateSalesData($D934, IF(ISNUMBER(_xlfn.XLOOKUP($C934,Phone_by_Sentiment!$B$2:$B$37,Phone_by_Sentiment!H$2:H$37,"",0,1)),_xlfn.XLOOKUP($C934,Phone_by_Sentiment!$B$2:$B$37,Phone_by_Sentiment!H$2:H$37,"",0,1),0),$A934-TEXT(DATEVALUE($D934&amp;"-01"), "dd-mm-yyyy")),0),0)</f>
        <v>7851</v>
      </c>
      <c r="I934" cm="1">
        <f t="array" ref="I934">IF($Q934&gt;=0,IFERROR(generateSalesData($D934, IF(ISNUMBER(_xlfn.XLOOKUP($C934,Phone_by_Sentiment!$B$2:$B$37,Phone_by_Sentiment!I$2:I$37,"",0,1)),_xlfn.XLOOKUP($C934,Phone_by_Sentiment!$B$2:$B$37,Phone_by_Sentiment!I$2:I$37,"",0,1),0),$A934-TEXT(DATEVALUE($D934&amp;"-01"), "dd-mm-yyyy")),0),0)</f>
        <v>7853</v>
      </c>
      <c r="J934" cm="1">
        <f t="array" ref="J934">IF($Q934&gt;=0,IFERROR(generateSalesData($D934, IF(ISNUMBER(_xlfn.XLOOKUP($C934,Phone_by_Sentiment!$B$2:$B$37,Phone_by_Sentiment!J$2:J$37,"",0,1)),_xlfn.XLOOKUP($C934,Phone_by_Sentiment!$B$2:$B$37,Phone_by_Sentiment!J$2:J$37,"",0,1),0),$A934-TEXT(DATEVALUE($D934&amp;"-01"), "dd-mm-yyyy")),0),0)</f>
        <v>8577</v>
      </c>
      <c r="K934" cm="1">
        <f t="array" ref="K934">IF($Q934&gt;=0,IFERROR(generateSalesData($D934, IF(ISNUMBER(_xlfn.XLOOKUP($C934,Phone_by_Sentiment!$B$2:$B$37,Phone_by_Sentiment!K$2:K$37,"",0,1)),_xlfn.XLOOKUP($C934,Phone_by_Sentiment!$B$2:$B$37,Phone_by_Sentiment!K$2:K$37,"",0,1),0),$A934-TEXT(DATEVALUE($D934&amp;"-01"), "dd-mm-yyyy")),0),0)</f>
        <v>6645</v>
      </c>
      <c r="L934" cm="1">
        <f t="array" ref="L934">IF($Q934&gt;=0,IFERROR(generateSalesData($D934, IF(ISNUMBER(_xlfn.XLOOKUP($C934,Phone_by_Sentiment!$B$2:$B$37,Phone_by_Sentiment!L$2:L$37,"",0,1)),_xlfn.XLOOKUP($C934,Phone_by_Sentiment!$B$2:$B$37,Phone_by_Sentiment!L$2:L$37,"",0,1),0),$A934-TEXT(DATEVALUE($D934&amp;"-01"), "dd-mm-yyyy")),0),0)</f>
        <v>5114</v>
      </c>
      <c r="M934" cm="1">
        <f t="array" ref="M934">IF($Q934&gt;=0,IFERROR(generateSalesData($D934, IF(ISNUMBER(_xlfn.XLOOKUP($C934,Phone_by_Sentiment!$B$2:$B$37,Phone_by_Sentiment!M$2:M$37,"",0,1)),_xlfn.XLOOKUP($C934,Phone_by_Sentiment!$B$2:$B$37,Phone_by_Sentiment!M$2:M$37,"",0,1),0),$A934-TEXT(DATEVALUE($D934&amp;"-01"), "dd-mm-yyyy")),0),0)</f>
        <v>9987</v>
      </c>
      <c r="N934" cm="1">
        <f t="array" ref="N934">IF($Q934&gt;=0,IFERROR(generateSalesData($D934, IF(ISNUMBER(_xlfn.XLOOKUP($C934,Phone_by_Sentiment!$B$2:$B$37,Phone_by_Sentiment!N$2:N$37,"",0,1)),_xlfn.XLOOKUP($C934,Phone_by_Sentiment!$B$2:$B$37,Phone_by_Sentiment!N$2:N$37,"",0,1),0),$A934-TEXT(DATEVALUE($D934&amp;"-01"), "dd-mm-yyyy")),0),0)</f>
        <v>3873</v>
      </c>
      <c r="O934" cm="1">
        <f t="array" ref="O934">IF($Q934&gt;=0,IFERROR(generateSalesData($D934, IF(ISNUMBER(_xlfn.XLOOKUP($C934,Phone_by_Sentiment!$B$2:$B$37,Phone_by_Sentiment!O$2:O$37,"",0,1)),_xlfn.XLOOKUP($C934,Phone_by_Sentiment!$B$2:$B$37,Phone_by_Sentiment!O$2:O$37,"",0,1),0),$A934-TEXT(DATEVALUE($D934&amp;"-01"), "dd-mm-yyyy")),0),0)</f>
        <v>14403</v>
      </c>
      <c r="P934" s="1">
        <f t="shared" si="37"/>
        <v>44256</v>
      </c>
      <c r="Q934">
        <f t="shared" si="38"/>
        <v>0</v>
      </c>
    </row>
    <row r="935" spans="1:17" x14ac:dyDescent="0.25">
      <c r="A935" s="1">
        <f t="shared" si="39"/>
        <v>44256</v>
      </c>
      <c r="B935" t="s">
        <v>150</v>
      </c>
      <c r="C935" t="str">
        <f>_xlfn.XLOOKUP(B935,Phone_by_Price!$A$2:$A$34,Phone_by_Price!$B$2:$B$34,"-",0,1)</f>
        <v>Vivo Y33s</v>
      </c>
      <c r="D935" t="str">
        <f>_xlfn.XLOOKUP(C935,Phone_by_Sentiment!$B$2:$B$37,Phone_by_Sentiment!$A$2:$A$37,"-",0,1)</f>
        <v>2021-05</v>
      </c>
      <c r="E935" cm="1">
        <f t="array" ref="E935">IF($Q935&gt;=0,IFERROR(generateSalesData($D935, IF(ISNUMBER(_xlfn.XLOOKUP($C935,Phone_by_Sentiment!$B$2:$B$37,Phone_by_Sentiment!E$2:E$37,"",0,1)),_xlfn.XLOOKUP($C935,Phone_by_Sentiment!$B$2:$B$37,Phone_by_Sentiment!E$2:E$37,"",0,1),0),$A935-TEXT(DATEVALUE($D935&amp;"-01"), "dd-mm-yyyy")),0),0)</f>
        <v>0</v>
      </c>
      <c r="F935" cm="1">
        <f t="array" ref="F935">IF($Q935&gt;=0,IFERROR(generateSalesData($D935, IF(ISNUMBER(_xlfn.XLOOKUP($C935,Phone_by_Sentiment!$B$2:$B$37,Phone_by_Sentiment!F$2:F$37,"",0,1)),_xlfn.XLOOKUP($C935,Phone_by_Sentiment!$B$2:$B$37,Phone_by_Sentiment!F$2:F$37,"",0,1),0),$A935-TEXT(DATEVALUE($D935&amp;"-01"), "dd-mm-yyyy")),0),0)</f>
        <v>0</v>
      </c>
      <c r="G935" cm="1">
        <f t="array" ref="G935">IF($Q935&gt;=0,IFERROR(generateSalesData($D935, IF(ISNUMBER(_xlfn.XLOOKUP($C935,Phone_by_Sentiment!$B$2:$B$37,Phone_by_Sentiment!G$2:G$37,"",0,1)),_xlfn.XLOOKUP($C935,Phone_by_Sentiment!$B$2:$B$37,Phone_by_Sentiment!G$2:G$37,"",0,1),0),$A935-TEXT(DATEVALUE($D935&amp;"-01"), "dd-mm-yyyy")),0),0)</f>
        <v>0</v>
      </c>
      <c r="H935" cm="1">
        <f t="array" ref="H935">IF($Q935&gt;=0,IFERROR(generateSalesData($D935, IF(ISNUMBER(_xlfn.XLOOKUP($C935,Phone_by_Sentiment!$B$2:$B$37,Phone_by_Sentiment!H$2:H$37,"",0,1)),_xlfn.XLOOKUP($C935,Phone_by_Sentiment!$B$2:$B$37,Phone_by_Sentiment!H$2:H$37,"",0,1),0),$A935-TEXT(DATEVALUE($D935&amp;"-01"), "dd-mm-yyyy")),0),0)</f>
        <v>0</v>
      </c>
      <c r="I935" cm="1">
        <f t="array" ref="I935">IF($Q935&gt;=0,IFERROR(generateSalesData($D935, IF(ISNUMBER(_xlfn.XLOOKUP($C935,Phone_by_Sentiment!$B$2:$B$37,Phone_by_Sentiment!I$2:I$37,"",0,1)),_xlfn.XLOOKUP($C935,Phone_by_Sentiment!$B$2:$B$37,Phone_by_Sentiment!I$2:I$37,"",0,1),0),$A935-TEXT(DATEVALUE($D935&amp;"-01"), "dd-mm-yyyy")),0),0)</f>
        <v>0</v>
      </c>
      <c r="J935" cm="1">
        <f t="array" ref="J935">IF($Q935&gt;=0,IFERROR(generateSalesData($D935, IF(ISNUMBER(_xlfn.XLOOKUP($C935,Phone_by_Sentiment!$B$2:$B$37,Phone_by_Sentiment!J$2:J$37,"",0,1)),_xlfn.XLOOKUP($C935,Phone_by_Sentiment!$B$2:$B$37,Phone_by_Sentiment!J$2:J$37,"",0,1),0),$A935-TEXT(DATEVALUE($D935&amp;"-01"), "dd-mm-yyyy")),0),0)</f>
        <v>0</v>
      </c>
      <c r="K935" cm="1">
        <f t="array" ref="K935">IF($Q935&gt;=0,IFERROR(generateSalesData($D935, IF(ISNUMBER(_xlfn.XLOOKUP($C935,Phone_by_Sentiment!$B$2:$B$37,Phone_by_Sentiment!K$2:K$37,"",0,1)),_xlfn.XLOOKUP($C935,Phone_by_Sentiment!$B$2:$B$37,Phone_by_Sentiment!K$2:K$37,"",0,1),0),$A935-TEXT(DATEVALUE($D935&amp;"-01"), "dd-mm-yyyy")),0),0)</f>
        <v>0</v>
      </c>
      <c r="L935" cm="1">
        <f t="array" ref="L935">IF($Q935&gt;=0,IFERROR(generateSalesData($D935, IF(ISNUMBER(_xlfn.XLOOKUP($C935,Phone_by_Sentiment!$B$2:$B$37,Phone_by_Sentiment!L$2:L$37,"",0,1)),_xlfn.XLOOKUP($C935,Phone_by_Sentiment!$B$2:$B$37,Phone_by_Sentiment!L$2:L$37,"",0,1),0),$A935-TEXT(DATEVALUE($D935&amp;"-01"), "dd-mm-yyyy")),0),0)</f>
        <v>0</v>
      </c>
      <c r="M935" cm="1">
        <f t="array" ref="M935">IF($Q935&gt;=0,IFERROR(generateSalesData($D935, IF(ISNUMBER(_xlfn.XLOOKUP($C935,Phone_by_Sentiment!$B$2:$B$37,Phone_by_Sentiment!M$2:M$37,"",0,1)),_xlfn.XLOOKUP($C935,Phone_by_Sentiment!$B$2:$B$37,Phone_by_Sentiment!M$2:M$37,"",0,1),0),$A935-TEXT(DATEVALUE($D935&amp;"-01"), "dd-mm-yyyy")),0),0)</f>
        <v>0</v>
      </c>
      <c r="N935" cm="1">
        <f t="array" ref="N935">IF($Q935&gt;=0,IFERROR(generateSalesData($D935, IF(ISNUMBER(_xlfn.XLOOKUP($C935,Phone_by_Sentiment!$B$2:$B$37,Phone_by_Sentiment!N$2:N$37,"",0,1)),_xlfn.XLOOKUP($C935,Phone_by_Sentiment!$B$2:$B$37,Phone_by_Sentiment!N$2:N$37,"",0,1),0),$A935-TEXT(DATEVALUE($D935&amp;"-01"), "dd-mm-yyyy")),0),0)</f>
        <v>0</v>
      </c>
      <c r="O935" cm="1">
        <f t="array" ref="O935">IF($Q935&gt;=0,IFERROR(generateSalesData($D935, IF(ISNUMBER(_xlfn.XLOOKUP($C935,Phone_by_Sentiment!$B$2:$B$37,Phone_by_Sentiment!O$2:O$37,"",0,1)),_xlfn.XLOOKUP($C935,Phone_by_Sentiment!$B$2:$B$37,Phone_by_Sentiment!O$2:O$37,"",0,1),0),$A935-TEXT(DATEVALUE($D935&amp;"-01"), "dd-mm-yyyy")),0),0)</f>
        <v>0</v>
      </c>
      <c r="P935" s="1">
        <f t="shared" si="37"/>
        <v>44317</v>
      </c>
      <c r="Q935">
        <f t="shared" si="38"/>
        <v>-61</v>
      </c>
    </row>
    <row r="936" spans="1:17" x14ac:dyDescent="0.25">
      <c r="A936" s="1">
        <f t="shared" si="39"/>
        <v>44256</v>
      </c>
      <c r="B936" t="s">
        <v>151</v>
      </c>
      <c r="C936" t="str">
        <f>_xlfn.XLOOKUP(B936,Phone_by_Price!$A$2:$A$34,Phone_by_Price!$B$2:$B$34,"-",0,1)</f>
        <v>Vivo Y11s</v>
      </c>
      <c r="D936" t="str">
        <f>_xlfn.XLOOKUP(C936,Phone_by_Sentiment!$B$2:$B$37,Phone_by_Sentiment!$A$2:$A$37,"-",0,1)</f>
        <v>2020-11</v>
      </c>
      <c r="E936" cm="1">
        <f t="array" ref="E936">IF($Q936&gt;=0,IFERROR(generateSalesData($D936, IF(ISNUMBER(_xlfn.XLOOKUP($C936,Phone_by_Sentiment!$B$2:$B$37,Phone_by_Sentiment!E$2:E$37,"",0,1)),_xlfn.XLOOKUP($C936,Phone_by_Sentiment!$B$2:$B$37,Phone_by_Sentiment!E$2:E$37,"",0,1),0),$A936-TEXT(DATEVALUE($D936&amp;"-01"), "dd-mm-yyyy")),0),0)</f>
        <v>604</v>
      </c>
      <c r="F936" cm="1">
        <f t="array" ref="F936">IF($Q936&gt;=0,IFERROR(generateSalesData($D936, IF(ISNUMBER(_xlfn.XLOOKUP($C936,Phone_by_Sentiment!$B$2:$B$37,Phone_by_Sentiment!F$2:F$37,"",0,1)),_xlfn.XLOOKUP($C936,Phone_by_Sentiment!$B$2:$B$37,Phone_by_Sentiment!F$2:F$37,"",0,1),0),$A936-TEXT(DATEVALUE($D936&amp;"-01"), "dd-mm-yyyy")),0),0)</f>
        <v>268</v>
      </c>
      <c r="G936" cm="1">
        <f t="array" ref="G936">IF($Q936&gt;=0,IFERROR(generateSalesData($D936, IF(ISNUMBER(_xlfn.XLOOKUP($C936,Phone_by_Sentiment!$B$2:$B$37,Phone_by_Sentiment!G$2:G$37,"",0,1)),_xlfn.XLOOKUP($C936,Phone_by_Sentiment!$B$2:$B$37,Phone_by_Sentiment!G$2:G$37,"",0,1),0),$A936-TEXT(DATEVALUE($D936&amp;"-01"), "dd-mm-yyyy")),0),0)</f>
        <v>494</v>
      </c>
      <c r="H936" cm="1">
        <f t="array" ref="H936">IF($Q936&gt;=0,IFERROR(generateSalesData($D936, IF(ISNUMBER(_xlfn.XLOOKUP($C936,Phone_by_Sentiment!$B$2:$B$37,Phone_by_Sentiment!H$2:H$37,"",0,1)),_xlfn.XLOOKUP($C936,Phone_by_Sentiment!$B$2:$B$37,Phone_by_Sentiment!H$2:H$37,"",0,1),0),$A936-TEXT(DATEVALUE($D936&amp;"-01"), "dd-mm-yyyy")),0),0)</f>
        <v>739</v>
      </c>
      <c r="I936" cm="1">
        <f t="array" ref="I936">IF($Q936&gt;=0,IFERROR(generateSalesData($D936, IF(ISNUMBER(_xlfn.XLOOKUP($C936,Phone_by_Sentiment!$B$2:$B$37,Phone_by_Sentiment!I$2:I$37,"",0,1)),_xlfn.XLOOKUP($C936,Phone_by_Sentiment!$B$2:$B$37,Phone_by_Sentiment!I$2:I$37,"",0,1),0),$A936-TEXT(DATEVALUE($D936&amp;"-01"), "dd-mm-yyyy")),0),0)</f>
        <v>2637</v>
      </c>
      <c r="J936" cm="1">
        <f t="array" ref="J936">IF($Q936&gt;=0,IFERROR(generateSalesData($D936, IF(ISNUMBER(_xlfn.XLOOKUP($C936,Phone_by_Sentiment!$B$2:$B$37,Phone_by_Sentiment!J$2:J$37,"",0,1)),_xlfn.XLOOKUP($C936,Phone_by_Sentiment!$B$2:$B$37,Phone_by_Sentiment!J$2:J$37,"",0,1),0),$A936-TEXT(DATEVALUE($D936&amp;"-01"), "dd-mm-yyyy")),0),0)</f>
        <v>322</v>
      </c>
      <c r="K936" cm="1">
        <f t="array" ref="K936">IF($Q936&gt;=0,IFERROR(generateSalesData($D936, IF(ISNUMBER(_xlfn.XLOOKUP($C936,Phone_by_Sentiment!$B$2:$B$37,Phone_by_Sentiment!K$2:K$37,"",0,1)),_xlfn.XLOOKUP($C936,Phone_by_Sentiment!$B$2:$B$37,Phone_by_Sentiment!K$2:K$37,"",0,1),0),$A936-TEXT(DATEVALUE($D936&amp;"-01"), "dd-mm-yyyy")),0),0)</f>
        <v>478</v>
      </c>
      <c r="L936" cm="1">
        <f t="array" ref="L936">IF($Q936&gt;=0,IFERROR(generateSalesData($D936, IF(ISNUMBER(_xlfn.XLOOKUP($C936,Phone_by_Sentiment!$B$2:$B$37,Phone_by_Sentiment!L$2:L$37,"",0,1)),_xlfn.XLOOKUP($C936,Phone_by_Sentiment!$B$2:$B$37,Phone_by_Sentiment!L$2:L$37,"",0,1),0),$A936-TEXT(DATEVALUE($D936&amp;"-01"), "dd-mm-yyyy")),0),0)</f>
        <v>437</v>
      </c>
      <c r="M936" cm="1">
        <f t="array" ref="M936">IF($Q936&gt;=0,IFERROR(generateSalesData($D936, IF(ISNUMBER(_xlfn.XLOOKUP($C936,Phone_by_Sentiment!$B$2:$B$37,Phone_by_Sentiment!M$2:M$37,"",0,1)),_xlfn.XLOOKUP($C936,Phone_by_Sentiment!$B$2:$B$37,Phone_by_Sentiment!M$2:M$37,"",0,1),0),$A936-TEXT(DATEVALUE($D936&amp;"-01"), "dd-mm-yyyy")),0),0)</f>
        <v>2818</v>
      </c>
      <c r="N936" cm="1">
        <f t="array" ref="N936">IF($Q936&gt;=0,IFERROR(generateSalesData($D936, IF(ISNUMBER(_xlfn.XLOOKUP($C936,Phone_by_Sentiment!$B$2:$B$37,Phone_by_Sentiment!N$2:N$37,"",0,1)),_xlfn.XLOOKUP($C936,Phone_by_Sentiment!$B$2:$B$37,Phone_by_Sentiment!N$2:N$37,"",0,1),0),$A936-TEXT(DATEVALUE($D936&amp;"-01"), "dd-mm-yyyy")),0),0)</f>
        <v>908</v>
      </c>
      <c r="O936" cm="1">
        <f t="array" ref="O936">IF($Q936&gt;=0,IFERROR(generateSalesData($D936, IF(ISNUMBER(_xlfn.XLOOKUP($C936,Phone_by_Sentiment!$B$2:$B$37,Phone_by_Sentiment!O$2:O$37,"",0,1)),_xlfn.XLOOKUP($C936,Phone_by_Sentiment!$B$2:$B$37,Phone_by_Sentiment!O$2:O$37,"",0,1),0),$A936-TEXT(DATEVALUE($D936&amp;"-01"), "dd-mm-yyyy")),0),0)</f>
        <v>342</v>
      </c>
      <c r="P936" s="1">
        <f t="shared" si="37"/>
        <v>44136</v>
      </c>
      <c r="Q936">
        <f t="shared" si="38"/>
        <v>120</v>
      </c>
    </row>
    <row r="937" spans="1:17" x14ac:dyDescent="0.25">
      <c r="A937" s="1">
        <f t="shared" si="39"/>
        <v>44256</v>
      </c>
      <c r="B937" t="s">
        <v>152</v>
      </c>
      <c r="C937" t="str">
        <f>_xlfn.XLOOKUP(B937,Phone_by_Price!$A$2:$A$34,Phone_by_Price!$B$2:$B$34,"-",0,1)</f>
        <v>Huawei Nova 7i</v>
      </c>
      <c r="D937" t="str">
        <f>_xlfn.XLOOKUP(C937,Phone_by_Sentiment!$B$2:$B$37,Phone_by_Sentiment!$A$2:$A$37,"-",0,1)</f>
        <v>2020-02</v>
      </c>
      <c r="E937" cm="1">
        <f t="array" ref="E937">IF($Q937&gt;=0,IFERROR(generateSalesData($D937, IF(ISNUMBER(_xlfn.XLOOKUP($C937,Phone_by_Sentiment!$B$2:$B$37,Phone_by_Sentiment!E$2:E$37,"",0,1)),_xlfn.XLOOKUP($C937,Phone_by_Sentiment!$B$2:$B$37,Phone_by_Sentiment!E$2:E$37,"",0,1),0),$A937-TEXT(DATEVALUE($D937&amp;"-01"), "dd-mm-yyyy")),0),0)</f>
        <v>102</v>
      </c>
      <c r="F937" cm="1">
        <f t="array" ref="F937">IF($Q937&gt;=0,IFERROR(generateSalesData($D937, IF(ISNUMBER(_xlfn.XLOOKUP($C937,Phone_by_Sentiment!$B$2:$B$37,Phone_by_Sentiment!F$2:F$37,"",0,1)),_xlfn.XLOOKUP($C937,Phone_by_Sentiment!$B$2:$B$37,Phone_by_Sentiment!F$2:F$37,"",0,1),0),$A937-TEXT(DATEVALUE($D937&amp;"-01"), "dd-mm-yyyy")),0),0)</f>
        <v>132</v>
      </c>
      <c r="G937" cm="1">
        <f t="array" ref="G937">IF($Q937&gt;=0,IFERROR(generateSalesData($D937, IF(ISNUMBER(_xlfn.XLOOKUP($C937,Phone_by_Sentiment!$B$2:$B$37,Phone_by_Sentiment!G$2:G$37,"",0,1)),_xlfn.XLOOKUP($C937,Phone_by_Sentiment!$B$2:$B$37,Phone_by_Sentiment!G$2:G$37,"",0,1),0),$A937-TEXT(DATEVALUE($D937&amp;"-01"), "dd-mm-yyyy")),0),0)</f>
        <v>162</v>
      </c>
      <c r="H937" cm="1">
        <f t="array" ref="H937">IF($Q937&gt;=0,IFERROR(generateSalesData($D937, IF(ISNUMBER(_xlfn.XLOOKUP($C937,Phone_by_Sentiment!$B$2:$B$37,Phone_by_Sentiment!H$2:H$37,"",0,1)),_xlfn.XLOOKUP($C937,Phone_by_Sentiment!$B$2:$B$37,Phone_by_Sentiment!H$2:H$37,"",0,1),0),$A937-TEXT(DATEVALUE($D937&amp;"-01"), "dd-mm-yyyy")),0),0)</f>
        <v>376</v>
      </c>
      <c r="I937" cm="1">
        <f t="array" ref="I937">IF($Q937&gt;=0,IFERROR(generateSalesData($D937, IF(ISNUMBER(_xlfn.XLOOKUP($C937,Phone_by_Sentiment!$B$2:$B$37,Phone_by_Sentiment!I$2:I$37,"",0,1)),_xlfn.XLOOKUP($C937,Phone_by_Sentiment!$B$2:$B$37,Phone_by_Sentiment!I$2:I$37,"",0,1),0),$A937-TEXT(DATEVALUE($D937&amp;"-01"), "dd-mm-yyyy")),0),0)</f>
        <v>283</v>
      </c>
      <c r="J937" cm="1">
        <f t="array" ref="J937">IF($Q937&gt;=0,IFERROR(generateSalesData($D937, IF(ISNUMBER(_xlfn.XLOOKUP($C937,Phone_by_Sentiment!$B$2:$B$37,Phone_by_Sentiment!J$2:J$37,"",0,1)),_xlfn.XLOOKUP($C937,Phone_by_Sentiment!$B$2:$B$37,Phone_by_Sentiment!J$2:J$37,"",0,1),0),$A937-TEXT(DATEVALUE($D937&amp;"-01"), "dd-mm-yyyy")),0),0)</f>
        <v>68</v>
      </c>
      <c r="K937" cm="1">
        <f t="array" ref="K937">IF($Q937&gt;=0,IFERROR(generateSalesData($D937, IF(ISNUMBER(_xlfn.XLOOKUP($C937,Phone_by_Sentiment!$B$2:$B$37,Phone_by_Sentiment!K$2:K$37,"",0,1)),_xlfn.XLOOKUP($C937,Phone_by_Sentiment!$B$2:$B$37,Phone_by_Sentiment!K$2:K$37,"",0,1),0),$A937-TEXT(DATEVALUE($D937&amp;"-01"), "dd-mm-yyyy")),0),0)</f>
        <v>220</v>
      </c>
      <c r="L937" cm="1">
        <f t="array" ref="L937">IF($Q937&gt;=0,IFERROR(generateSalesData($D937, IF(ISNUMBER(_xlfn.XLOOKUP($C937,Phone_by_Sentiment!$B$2:$B$37,Phone_by_Sentiment!L$2:L$37,"",0,1)),_xlfn.XLOOKUP($C937,Phone_by_Sentiment!$B$2:$B$37,Phone_by_Sentiment!L$2:L$37,"",0,1),0),$A937-TEXT(DATEVALUE($D937&amp;"-01"), "dd-mm-yyyy")),0),0)</f>
        <v>218</v>
      </c>
      <c r="M937" cm="1">
        <f t="array" ref="M937">IF($Q937&gt;=0,IFERROR(generateSalesData($D937, IF(ISNUMBER(_xlfn.XLOOKUP($C937,Phone_by_Sentiment!$B$2:$B$37,Phone_by_Sentiment!M$2:M$37,"",0,1)),_xlfn.XLOOKUP($C937,Phone_by_Sentiment!$B$2:$B$37,Phone_by_Sentiment!M$2:M$37,"",0,1),0),$A937-TEXT(DATEVALUE($D937&amp;"-01"), "dd-mm-yyyy")),0),0)</f>
        <v>205</v>
      </c>
      <c r="N937" cm="1">
        <f t="array" ref="N937">IF($Q937&gt;=0,IFERROR(generateSalesData($D937, IF(ISNUMBER(_xlfn.XLOOKUP($C937,Phone_by_Sentiment!$B$2:$B$37,Phone_by_Sentiment!N$2:N$37,"",0,1)),_xlfn.XLOOKUP($C937,Phone_by_Sentiment!$B$2:$B$37,Phone_by_Sentiment!N$2:N$37,"",0,1),0),$A937-TEXT(DATEVALUE($D937&amp;"-01"), "dd-mm-yyyy")),0),0)</f>
        <v>203</v>
      </c>
      <c r="O937" cm="1">
        <f t="array" ref="O937">IF($Q937&gt;=0,IFERROR(generateSalesData($D937, IF(ISNUMBER(_xlfn.XLOOKUP($C937,Phone_by_Sentiment!$B$2:$B$37,Phone_by_Sentiment!O$2:O$37,"",0,1)),_xlfn.XLOOKUP($C937,Phone_by_Sentiment!$B$2:$B$37,Phone_by_Sentiment!O$2:O$37,"",0,1),0),$A937-TEXT(DATEVALUE($D937&amp;"-01"), "dd-mm-yyyy")),0),0)</f>
        <v>71</v>
      </c>
      <c r="P937" s="1">
        <f t="shared" si="37"/>
        <v>43862</v>
      </c>
      <c r="Q937">
        <f t="shared" si="38"/>
        <v>394</v>
      </c>
    </row>
    <row r="938" spans="1:17" x14ac:dyDescent="0.25">
      <c r="A938" s="1">
        <f t="shared" si="39"/>
        <v>44256</v>
      </c>
      <c r="B938" t="s">
        <v>153</v>
      </c>
      <c r="C938" t="str">
        <f>_xlfn.XLOOKUP(B938,Phone_by_Price!$A$2:$A$34,Phone_by_Price!$B$2:$B$34,"-",0,1)</f>
        <v>iPhone 13</v>
      </c>
      <c r="D938" t="str">
        <f>_xlfn.XLOOKUP(C938,Phone_by_Sentiment!$B$2:$B$37,Phone_by_Sentiment!$A$2:$A$37,"-",0,1)</f>
        <v>2021-09</v>
      </c>
      <c r="E938" cm="1">
        <f t="array" ref="E938">IF($Q938&gt;=0,IFERROR(generateSalesData($D938, IF(ISNUMBER(_xlfn.XLOOKUP($C938,Phone_by_Sentiment!$B$2:$B$37,Phone_by_Sentiment!E$2:E$37,"",0,1)),_xlfn.XLOOKUP($C938,Phone_by_Sentiment!$B$2:$B$37,Phone_by_Sentiment!E$2:E$37,"",0,1),0),$A938-TEXT(DATEVALUE($D938&amp;"-01"), "dd-mm-yyyy")),0),0)</f>
        <v>0</v>
      </c>
      <c r="F938" cm="1">
        <f t="array" ref="F938">IF($Q938&gt;=0,IFERROR(generateSalesData($D938, IF(ISNUMBER(_xlfn.XLOOKUP($C938,Phone_by_Sentiment!$B$2:$B$37,Phone_by_Sentiment!F$2:F$37,"",0,1)),_xlfn.XLOOKUP($C938,Phone_by_Sentiment!$B$2:$B$37,Phone_by_Sentiment!F$2:F$37,"",0,1),0),$A938-TEXT(DATEVALUE($D938&amp;"-01"), "dd-mm-yyyy")),0),0)</f>
        <v>0</v>
      </c>
      <c r="G938" cm="1">
        <f t="array" ref="G938">IF($Q938&gt;=0,IFERROR(generateSalesData($D938, IF(ISNUMBER(_xlfn.XLOOKUP($C938,Phone_by_Sentiment!$B$2:$B$37,Phone_by_Sentiment!G$2:G$37,"",0,1)),_xlfn.XLOOKUP($C938,Phone_by_Sentiment!$B$2:$B$37,Phone_by_Sentiment!G$2:G$37,"",0,1),0),$A938-TEXT(DATEVALUE($D938&amp;"-01"), "dd-mm-yyyy")),0),0)</f>
        <v>0</v>
      </c>
      <c r="H938" cm="1">
        <f t="array" ref="H938">IF($Q938&gt;=0,IFERROR(generateSalesData($D938, IF(ISNUMBER(_xlfn.XLOOKUP($C938,Phone_by_Sentiment!$B$2:$B$37,Phone_by_Sentiment!H$2:H$37,"",0,1)),_xlfn.XLOOKUP($C938,Phone_by_Sentiment!$B$2:$B$37,Phone_by_Sentiment!H$2:H$37,"",0,1),0),$A938-TEXT(DATEVALUE($D938&amp;"-01"), "dd-mm-yyyy")),0),0)</f>
        <v>0</v>
      </c>
      <c r="I938" cm="1">
        <f t="array" ref="I938">IF($Q938&gt;=0,IFERROR(generateSalesData($D938, IF(ISNUMBER(_xlfn.XLOOKUP($C938,Phone_by_Sentiment!$B$2:$B$37,Phone_by_Sentiment!I$2:I$37,"",0,1)),_xlfn.XLOOKUP($C938,Phone_by_Sentiment!$B$2:$B$37,Phone_by_Sentiment!I$2:I$37,"",0,1),0),$A938-TEXT(DATEVALUE($D938&amp;"-01"), "dd-mm-yyyy")),0),0)</f>
        <v>0</v>
      </c>
      <c r="J938" cm="1">
        <f t="array" ref="J938">IF($Q938&gt;=0,IFERROR(generateSalesData($D938, IF(ISNUMBER(_xlfn.XLOOKUP($C938,Phone_by_Sentiment!$B$2:$B$37,Phone_by_Sentiment!J$2:J$37,"",0,1)),_xlfn.XLOOKUP($C938,Phone_by_Sentiment!$B$2:$B$37,Phone_by_Sentiment!J$2:J$37,"",0,1),0),$A938-TEXT(DATEVALUE($D938&amp;"-01"), "dd-mm-yyyy")),0),0)</f>
        <v>0</v>
      </c>
      <c r="K938" cm="1">
        <f t="array" ref="K938">IF($Q938&gt;=0,IFERROR(generateSalesData($D938, IF(ISNUMBER(_xlfn.XLOOKUP($C938,Phone_by_Sentiment!$B$2:$B$37,Phone_by_Sentiment!K$2:K$37,"",0,1)),_xlfn.XLOOKUP($C938,Phone_by_Sentiment!$B$2:$B$37,Phone_by_Sentiment!K$2:K$37,"",0,1),0),$A938-TEXT(DATEVALUE($D938&amp;"-01"), "dd-mm-yyyy")),0),0)</f>
        <v>0</v>
      </c>
      <c r="L938" cm="1">
        <f t="array" ref="L938">IF($Q938&gt;=0,IFERROR(generateSalesData($D938, IF(ISNUMBER(_xlfn.XLOOKUP($C938,Phone_by_Sentiment!$B$2:$B$37,Phone_by_Sentiment!L$2:L$37,"",0,1)),_xlfn.XLOOKUP($C938,Phone_by_Sentiment!$B$2:$B$37,Phone_by_Sentiment!L$2:L$37,"",0,1),0),$A938-TEXT(DATEVALUE($D938&amp;"-01"), "dd-mm-yyyy")),0),0)</f>
        <v>0</v>
      </c>
      <c r="M938" cm="1">
        <f t="array" ref="M938">IF($Q938&gt;=0,IFERROR(generateSalesData($D938, IF(ISNUMBER(_xlfn.XLOOKUP($C938,Phone_by_Sentiment!$B$2:$B$37,Phone_by_Sentiment!M$2:M$37,"",0,1)),_xlfn.XLOOKUP($C938,Phone_by_Sentiment!$B$2:$B$37,Phone_by_Sentiment!M$2:M$37,"",0,1),0),$A938-TEXT(DATEVALUE($D938&amp;"-01"), "dd-mm-yyyy")),0),0)</f>
        <v>0</v>
      </c>
      <c r="N938" cm="1">
        <f t="array" ref="N938">IF($Q938&gt;=0,IFERROR(generateSalesData($D938, IF(ISNUMBER(_xlfn.XLOOKUP($C938,Phone_by_Sentiment!$B$2:$B$37,Phone_by_Sentiment!N$2:N$37,"",0,1)),_xlfn.XLOOKUP($C938,Phone_by_Sentiment!$B$2:$B$37,Phone_by_Sentiment!N$2:N$37,"",0,1),0),$A938-TEXT(DATEVALUE($D938&amp;"-01"), "dd-mm-yyyy")),0),0)</f>
        <v>0</v>
      </c>
      <c r="O938" cm="1">
        <f t="array" ref="O938">IF($Q938&gt;=0,IFERROR(generateSalesData($D938, IF(ISNUMBER(_xlfn.XLOOKUP($C938,Phone_by_Sentiment!$B$2:$B$37,Phone_by_Sentiment!O$2:O$37,"",0,1)),_xlfn.XLOOKUP($C938,Phone_by_Sentiment!$B$2:$B$37,Phone_by_Sentiment!O$2:O$37,"",0,1),0),$A938-TEXT(DATEVALUE($D938&amp;"-01"), "dd-mm-yyyy")),0),0)</f>
        <v>0</v>
      </c>
      <c r="P938" s="1">
        <f t="shared" si="37"/>
        <v>44440</v>
      </c>
      <c r="Q938">
        <f t="shared" si="38"/>
        <v>-184</v>
      </c>
    </row>
    <row r="939" spans="1:17" x14ac:dyDescent="0.25">
      <c r="A939" s="1">
        <f t="shared" si="39"/>
        <v>44256</v>
      </c>
      <c r="B939" t="s">
        <v>154</v>
      </c>
      <c r="C939" t="str">
        <f>_xlfn.XLOOKUP(B939,Phone_by_Price!$A$2:$A$34,Phone_by_Price!$B$2:$B$34,"-",0,1)</f>
        <v>Samsung Galaxy S21</v>
      </c>
      <c r="D939" t="str">
        <f>_xlfn.XLOOKUP(C939,Phone_by_Sentiment!$B$2:$B$37,Phone_by_Sentiment!$A$2:$A$37,"-",0,1)</f>
        <v>2021-01</v>
      </c>
      <c r="E939" cm="1">
        <f t="array" ref="E939">IF($Q939&gt;=0,IFERROR(generateSalesData($D939, IF(ISNUMBER(_xlfn.XLOOKUP($C939,Phone_by_Sentiment!$B$2:$B$37,Phone_by_Sentiment!E$2:E$37,"",0,1)),_xlfn.XLOOKUP($C939,Phone_by_Sentiment!$B$2:$B$37,Phone_by_Sentiment!E$2:E$37,"",0,1),0),$A939-TEXT(DATEVALUE($D939&amp;"-01"), "dd-mm-yyyy")),0),0)</f>
        <v>4067</v>
      </c>
      <c r="F939" cm="1">
        <f t="array" ref="F939">IF($Q939&gt;=0,IFERROR(generateSalesData($D939, IF(ISNUMBER(_xlfn.XLOOKUP($C939,Phone_by_Sentiment!$B$2:$B$37,Phone_by_Sentiment!F$2:F$37,"",0,1)),_xlfn.XLOOKUP($C939,Phone_by_Sentiment!$B$2:$B$37,Phone_by_Sentiment!F$2:F$37,"",0,1),0),$A939-TEXT(DATEVALUE($D939&amp;"-01"), "dd-mm-yyyy")),0),0)</f>
        <v>1567</v>
      </c>
      <c r="G939" cm="1">
        <f t="array" ref="G939">IF($Q939&gt;=0,IFERROR(generateSalesData($D939, IF(ISNUMBER(_xlfn.XLOOKUP($C939,Phone_by_Sentiment!$B$2:$B$37,Phone_by_Sentiment!G$2:G$37,"",0,1)),_xlfn.XLOOKUP($C939,Phone_by_Sentiment!$B$2:$B$37,Phone_by_Sentiment!G$2:G$37,"",0,1),0),$A939-TEXT(DATEVALUE($D939&amp;"-01"), "dd-mm-yyyy")),0),0)</f>
        <v>939</v>
      </c>
      <c r="H939" cm="1">
        <f t="array" ref="H939">IF($Q939&gt;=0,IFERROR(generateSalesData($D939, IF(ISNUMBER(_xlfn.XLOOKUP($C939,Phone_by_Sentiment!$B$2:$B$37,Phone_by_Sentiment!H$2:H$37,"",0,1)),_xlfn.XLOOKUP($C939,Phone_by_Sentiment!$B$2:$B$37,Phone_by_Sentiment!H$2:H$37,"",0,1),0),$A939-TEXT(DATEVALUE($D939&amp;"-01"), "dd-mm-yyyy")),0),0)</f>
        <v>6302</v>
      </c>
      <c r="I939" cm="1">
        <f t="array" ref="I939">IF($Q939&gt;=0,IFERROR(generateSalesData($D939, IF(ISNUMBER(_xlfn.XLOOKUP($C939,Phone_by_Sentiment!$B$2:$B$37,Phone_by_Sentiment!I$2:I$37,"",0,1)),_xlfn.XLOOKUP($C939,Phone_by_Sentiment!$B$2:$B$37,Phone_by_Sentiment!I$2:I$37,"",0,1),0),$A939-TEXT(DATEVALUE($D939&amp;"-01"), "dd-mm-yyyy")),0),0)</f>
        <v>5203</v>
      </c>
      <c r="J939" cm="1">
        <f t="array" ref="J939">IF($Q939&gt;=0,IFERROR(generateSalesData($D939, IF(ISNUMBER(_xlfn.XLOOKUP($C939,Phone_by_Sentiment!$B$2:$B$37,Phone_by_Sentiment!J$2:J$37,"",0,1)),_xlfn.XLOOKUP($C939,Phone_by_Sentiment!$B$2:$B$37,Phone_by_Sentiment!J$2:J$37,"",0,1),0),$A939-TEXT(DATEVALUE($D939&amp;"-01"), "dd-mm-yyyy")),0),0)</f>
        <v>296</v>
      </c>
      <c r="K939" cm="1">
        <f t="array" ref="K939">IF($Q939&gt;=0,IFERROR(generateSalesData($D939, IF(ISNUMBER(_xlfn.XLOOKUP($C939,Phone_by_Sentiment!$B$2:$B$37,Phone_by_Sentiment!K$2:K$37,"",0,1)),_xlfn.XLOOKUP($C939,Phone_by_Sentiment!$B$2:$B$37,Phone_by_Sentiment!K$2:K$37,"",0,1),0),$A939-TEXT(DATEVALUE($D939&amp;"-01"), "dd-mm-yyyy")),0),0)</f>
        <v>768</v>
      </c>
      <c r="L939" cm="1">
        <f t="array" ref="L939">IF($Q939&gt;=0,IFERROR(generateSalesData($D939, IF(ISNUMBER(_xlfn.XLOOKUP($C939,Phone_by_Sentiment!$B$2:$B$37,Phone_by_Sentiment!L$2:L$37,"",0,1)),_xlfn.XLOOKUP($C939,Phone_by_Sentiment!$B$2:$B$37,Phone_by_Sentiment!L$2:L$37,"",0,1),0),$A939-TEXT(DATEVALUE($D939&amp;"-01"), "dd-mm-yyyy")),0),0)</f>
        <v>4896</v>
      </c>
      <c r="M939" cm="1">
        <f t="array" ref="M939">IF($Q939&gt;=0,IFERROR(generateSalesData($D939, IF(ISNUMBER(_xlfn.XLOOKUP($C939,Phone_by_Sentiment!$B$2:$B$37,Phone_by_Sentiment!M$2:M$37,"",0,1)),_xlfn.XLOOKUP($C939,Phone_by_Sentiment!$B$2:$B$37,Phone_by_Sentiment!M$2:M$37,"",0,1),0),$A939-TEXT(DATEVALUE($D939&amp;"-01"), "dd-mm-yyyy")),0),0)</f>
        <v>6581</v>
      </c>
      <c r="N939" cm="1">
        <f t="array" ref="N939">IF($Q939&gt;=0,IFERROR(generateSalesData($D939, IF(ISNUMBER(_xlfn.XLOOKUP($C939,Phone_by_Sentiment!$B$2:$B$37,Phone_by_Sentiment!N$2:N$37,"",0,1)),_xlfn.XLOOKUP($C939,Phone_by_Sentiment!$B$2:$B$37,Phone_by_Sentiment!N$2:N$37,"",0,1),0),$A939-TEXT(DATEVALUE($D939&amp;"-01"), "dd-mm-yyyy")),0),0)</f>
        <v>3246</v>
      </c>
      <c r="O939" cm="1">
        <f t="array" ref="O939">IF($Q939&gt;=0,IFERROR(generateSalesData($D939, IF(ISNUMBER(_xlfn.XLOOKUP($C939,Phone_by_Sentiment!$B$2:$B$37,Phone_by_Sentiment!O$2:O$37,"",0,1)),_xlfn.XLOOKUP($C939,Phone_by_Sentiment!$B$2:$B$37,Phone_by_Sentiment!O$2:O$37,"",0,1),0),$A939-TEXT(DATEVALUE($D939&amp;"-01"), "dd-mm-yyyy")),0),0)</f>
        <v>4469</v>
      </c>
      <c r="P939" s="1">
        <f t="shared" si="37"/>
        <v>44197</v>
      </c>
      <c r="Q939">
        <f t="shared" si="38"/>
        <v>59</v>
      </c>
    </row>
    <row r="940" spans="1:17" x14ac:dyDescent="0.25">
      <c r="A940" s="1">
        <f t="shared" si="39"/>
        <v>44256</v>
      </c>
      <c r="B940" t="s">
        <v>155</v>
      </c>
      <c r="C940" t="str">
        <f>_xlfn.XLOOKUP(B940,Phone_by_Price!$A$2:$A$34,Phone_by_Price!$B$2:$B$34,"-",0,1)</f>
        <v>Google Pixel 6</v>
      </c>
      <c r="D940" t="str">
        <f>_xlfn.XLOOKUP(C940,Phone_by_Sentiment!$B$2:$B$37,Phone_by_Sentiment!$A$2:$A$37,"-",0,1)</f>
        <v>2021-10</v>
      </c>
      <c r="E940" cm="1">
        <f t="array" ref="E940">IF($Q940&gt;=0,IFERROR(generateSalesData($D940, IF(ISNUMBER(_xlfn.XLOOKUP($C940,Phone_by_Sentiment!$B$2:$B$37,Phone_by_Sentiment!E$2:E$37,"",0,1)),_xlfn.XLOOKUP($C940,Phone_by_Sentiment!$B$2:$B$37,Phone_by_Sentiment!E$2:E$37,"",0,1),0),$A940-TEXT(DATEVALUE($D940&amp;"-01"), "dd-mm-yyyy")),0),0)</f>
        <v>0</v>
      </c>
      <c r="F940" cm="1">
        <f t="array" ref="F940">IF($Q940&gt;=0,IFERROR(generateSalesData($D940, IF(ISNUMBER(_xlfn.XLOOKUP($C940,Phone_by_Sentiment!$B$2:$B$37,Phone_by_Sentiment!F$2:F$37,"",0,1)),_xlfn.XLOOKUP($C940,Phone_by_Sentiment!$B$2:$B$37,Phone_by_Sentiment!F$2:F$37,"",0,1),0),$A940-TEXT(DATEVALUE($D940&amp;"-01"), "dd-mm-yyyy")),0),0)</f>
        <v>0</v>
      </c>
      <c r="G940" cm="1">
        <f t="array" ref="G940">IF($Q940&gt;=0,IFERROR(generateSalesData($D940, IF(ISNUMBER(_xlfn.XLOOKUP($C940,Phone_by_Sentiment!$B$2:$B$37,Phone_by_Sentiment!G$2:G$37,"",0,1)),_xlfn.XLOOKUP($C940,Phone_by_Sentiment!$B$2:$B$37,Phone_by_Sentiment!G$2:G$37,"",0,1),0),$A940-TEXT(DATEVALUE($D940&amp;"-01"), "dd-mm-yyyy")),0),0)</f>
        <v>0</v>
      </c>
      <c r="H940" cm="1">
        <f t="array" ref="H940">IF($Q940&gt;=0,IFERROR(generateSalesData($D940, IF(ISNUMBER(_xlfn.XLOOKUP($C940,Phone_by_Sentiment!$B$2:$B$37,Phone_by_Sentiment!H$2:H$37,"",0,1)),_xlfn.XLOOKUP($C940,Phone_by_Sentiment!$B$2:$B$37,Phone_by_Sentiment!H$2:H$37,"",0,1),0),$A940-TEXT(DATEVALUE($D940&amp;"-01"), "dd-mm-yyyy")),0),0)</f>
        <v>0</v>
      </c>
      <c r="I940" cm="1">
        <f t="array" ref="I940">IF($Q940&gt;=0,IFERROR(generateSalesData($D940, IF(ISNUMBER(_xlfn.XLOOKUP($C940,Phone_by_Sentiment!$B$2:$B$37,Phone_by_Sentiment!I$2:I$37,"",0,1)),_xlfn.XLOOKUP($C940,Phone_by_Sentiment!$B$2:$B$37,Phone_by_Sentiment!I$2:I$37,"",0,1),0),$A940-TEXT(DATEVALUE($D940&amp;"-01"), "dd-mm-yyyy")),0),0)</f>
        <v>0</v>
      </c>
      <c r="J940" cm="1">
        <f t="array" ref="J940">IF($Q940&gt;=0,IFERROR(generateSalesData($D940, IF(ISNUMBER(_xlfn.XLOOKUP($C940,Phone_by_Sentiment!$B$2:$B$37,Phone_by_Sentiment!J$2:J$37,"",0,1)),_xlfn.XLOOKUP($C940,Phone_by_Sentiment!$B$2:$B$37,Phone_by_Sentiment!J$2:J$37,"",0,1),0),$A940-TEXT(DATEVALUE($D940&amp;"-01"), "dd-mm-yyyy")),0),0)</f>
        <v>0</v>
      </c>
      <c r="K940" cm="1">
        <f t="array" ref="K940">IF($Q940&gt;=0,IFERROR(generateSalesData($D940, IF(ISNUMBER(_xlfn.XLOOKUP($C940,Phone_by_Sentiment!$B$2:$B$37,Phone_by_Sentiment!K$2:K$37,"",0,1)),_xlfn.XLOOKUP($C940,Phone_by_Sentiment!$B$2:$B$37,Phone_by_Sentiment!K$2:K$37,"",0,1),0),$A940-TEXT(DATEVALUE($D940&amp;"-01"), "dd-mm-yyyy")),0),0)</f>
        <v>0</v>
      </c>
      <c r="L940" cm="1">
        <f t="array" ref="L940">IF($Q940&gt;=0,IFERROR(generateSalesData($D940, IF(ISNUMBER(_xlfn.XLOOKUP($C940,Phone_by_Sentiment!$B$2:$B$37,Phone_by_Sentiment!L$2:L$37,"",0,1)),_xlfn.XLOOKUP($C940,Phone_by_Sentiment!$B$2:$B$37,Phone_by_Sentiment!L$2:L$37,"",0,1),0),$A940-TEXT(DATEVALUE($D940&amp;"-01"), "dd-mm-yyyy")),0),0)</f>
        <v>0</v>
      </c>
      <c r="M940" cm="1">
        <f t="array" ref="M940">IF($Q940&gt;=0,IFERROR(generateSalesData($D940, IF(ISNUMBER(_xlfn.XLOOKUP($C940,Phone_by_Sentiment!$B$2:$B$37,Phone_by_Sentiment!M$2:M$37,"",0,1)),_xlfn.XLOOKUP($C940,Phone_by_Sentiment!$B$2:$B$37,Phone_by_Sentiment!M$2:M$37,"",0,1),0),$A940-TEXT(DATEVALUE($D940&amp;"-01"), "dd-mm-yyyy")),0),0)</f>
        <v>0</v>
      </c>
      <c r="N940" cm="1">
        <f t="array" ref="N940">IF($Q940&gt;=0,IFERROR(generateSalesData($D940, IF(ISNUMBER(_xlfn.XLOOKUP($C940,Phone_by_Sentiment!$B$2:$B$37,Phone_by_Sentiment!N$2:N$37,"",0,1)),_xlfn.XLOOKUP($C940,Phone_by_Sentiment!$B$2:$B$37,Phone_by_Sentiment!N$2:N$37,"",0,1),0),$A940-TEXT(DATEVALUE($D940&amp;"-01"), "dd-mm-yyyy")),0),0)</f>
        <v>0</v>
      </c>
      <c r="O940" cm="1">
        <f t="array" ref="O940">IF($Q940&gt;=0,IFERROR(generateSalesData($D940, IF(ISNUMBER(_xlfn.XLOOKUP($C940,Phone_by_Sentiment!$B$2:$B$37,Phone_by_Sentiment!O$2:O$37,"",0,1)),_xlfn.XLOOKUP($C940,Phone_by_Sentiment!$B$2:$B$37,Phone_by_Sentiment!O$2:O$37,"",0,1),0),$A940-TEXT(DATEVALUE($D940&amp;"-01"), "dd-mm-yyyy")),0),0)</f>
        <v>0</v>
      </c>
      <c r="P940" s="1">
        <f t="shared" si="37"/>
        <v>44470</v>
      </c>
      <c r="Q940">
        <f t="shared" si="38"/>
        <v>-214</v>
      </c>
    </row>
    <row r="941" spans="1:17" x14ac:dyDescent="0.25">
      <c r="A941" s="1">
        <f t="shared" si="39"/>
        <v>44256</v>
      </c>
      <c r="B941" t="s">
        <v>156</v>
      </c>
      <c r="C941" t="str">
        <f>_xlfn.XLOOKUP(B941,Phone_by_Price!$A$2:$A$34,Phone_by_Price!$B$2:$B$34,"-",0,1)</f>
        <v>OnePlus Nord CE</v>
      </c>
      <c r="D941" t="str">
        <f>_xlfn.XLOOKUP(C941,Phone_by_Sentiment!$B$2:$B$37,Phone_by_Sentiment!$A$2:$A$37,"-",0,1)</f>
        <v>2021-06</v>
      </c>
      <c r="E941" cm="1">
        <f t="array" ref="E941">IF($Q941&gt;=0,IFERROR(generateSalesData($D941, IF(ISNUMBER(_xlfn.XLOOKUP($C941,Phone_by_Sentiment!$B$2:$B$37,Phone_by_Sentiment!E$2:E$37,"",0,1)),_xlfn.XLOOKUP($C941,Phone_by_Sentiment!$B$2:$B$37,Phone_by_Sentiment!E$2:E$37,"",0,1),0),$A941-TEXT(DATEVALUE($D941&amp;"-01"), "dd-mm-yyyy")),0),0)</f>
        <v>0</v>
      </c>
      <c r="F941" cm="1">
        <f t="array" ref="F941">IF($Q941&gt;=0,IFERROR(generateSalesData($D941, IF(ISNUMBER(_xlfn.XLOOKUP($C941,Phone_by_Sentiment!$B$2:$B$37,Phone_by_Sentiment!F$2:F$37,"",0,1)),_xlfn.XLOOKUP($C941,Phone_by_Sentiment!$B$2:$B$37,Phone_by_Sentiment!F$2:F$37,"",0,1),0),$A941-TEXT(DATEVALUE($D941&amp;"-01"), "dd-mm-yyyy")),0),0)</f>
        <v>0</v>
      </c>
      <c r="G941" cm="1">
        <f t="array" ref="G941">IF($Q941&gt;=0,IFERROR(generateSalesData($D941, IF(ISNUMBER(_xlfn.XLOOKUP($C941,Phone_by_Sentiment!$B$2:$B$37,Phone_by_Sentiment!G$2:G$37,"",0,1)),_xlfn.XLOOKUP($C941,Phone_by_Sentiment!$B$2:$B$37,Phone_by_Sentiment!G$2:G$37,"",0,1),0),$A941-TEXT(DATEVALUE($D941&amp;"-01"), "dd-mm-yyyy")),0),0)</f>
        <v>0</v>
      </c>
      <c r="H941" cm="1">
        <f t="array" ref="H941">IF($Q941&gt;=0,IFERROR(generateSalesData($D941, IF(ISNUMBER(_xlfn.XLOOKUP($C941,Phone_by_Sentiment!$B$2:$B$37,Phone_by_Sentiment!H$2:H$37,"",0,1)),_xlfn.XLOOKUP($C941,Phone_by_Sentiment!$B$2:$B$37,Phone_by_Sentiment!H$2:H$37,"",0,1),0),$A941-TEXT(DATEVALUE($D941&amp;"-01"), "dd-mm-yyyy")),0),0)</f>
        <v>0</v>
      </c>
      <c r="I941" cm="1">
        <f t="array" ref="I941">IF($Q941&gt;=0,IFERROR(generateSalesData($D941, IF(ISNUMBER(_xlfn.XLOOKUP($C941,Phone_by_Sentiment!$B$2:$B$37,Phone_by_Sentiment!I$2:I$37,"",0,1)),_xlfn.XLOOKUP($C941,Phone_by_Sentiment!$B$2:$B$37,Phone_by_Sentiment!I$2:I$37,"",0,1),0),$A941-TEXT(DATEVALUE($D941&amp;"-01"), "dd-mm-yyyy")),0),0)</f>
        <v>0</v>
      </c>
      <c r="J941" cm="1">
        <f t="array" ref="J941">IF($Q941&gt;=0,IFERROR(generateSalesData($D941, IF(ISNUMBER(_xlfn.XLOOKUP($C941,Phone_by_Sentiment!$B$2:$B$37,Phone_by_Sentiment!J$2:J$37,"",0,1)),_xlfn.XLOOKUP($C941,Phone_by_Sentiment!$B$2:$B$37,Phone_by_Sentiment!J$2:J$37,"",0,1),0),$A941-TEXT(DATEVALUE($D941&amp;"-01"), "dd-mm-yyyy")),0),0)</f>
        <v>0</v>
      </c>
      <c r="K941" cm="1">
        <f t="array" ref="K941">IF($Q941&gt;=0,IFERROR(generateSalesData($D941, IF(ISNUMBER(_xlfn.XLOOKUP($C941,Phone_by_Sentiment!$B$2:$B$37,Phone_by_Sentiment!K$2:K$37,"",0,1)),_xlfn.XLOOKUP($C941,Phone_by_Sentiment!$B$2:$B$37,Phone_by_Sentiment!K$2:K$37,"",0,1),0),$A941-TEXT(DATEVALUE($D941&amp;"-01"), "dd-mm-yyyy")),0),0)</f>
        <v>0</v>
      </c>
      <c r="L941" cm="1">
        <f t="array" ref="L941">IF($Q941&gt;=0,IFERROR(generateSalesData($D941, IF(ISNUMBER(_xlfn.XLOOKUP($C941,Phone_by_Sentiment!$B$2:$B$37,Phone_by_Sentiment!L$2:L$37,"",0,1)),_xlfn.XLOOKUP($C941,Phone_by_Sentiment!$B$2:$B$37,Phone_by_Sentiment!L$2:L$37,"",0,1),0),$A941-TEXT(DATEVALUE($D941&amp;"-01"), "dd-mm-yyyy")),0),0)</f>
        <v>0</v>
      </c>
      <c r="M941" cm="1">
        <f t="array" ref="M941">IF($Q941&gt;=0,IFERROR(generateSalesData($D941, IF(ISNUMBER(_xlfn.XLOOKUP($C941,Phone_by_Sentiment!$B$2:$B$37,Phone_by_Sentiment!M$2:M$37,"",0,1)),_xlfn.XLOOKUP($C941,Phone_by_Sentiment!$B$2:$B$37,Phone_by_Sentiment!M$2:M$37,"",0,1),0),$A941-TEXT(DATEVALUE($D941&amp;"-01"), "dd-mm-yyyy")),0),0)</f>
        <v>0</v>
      </c>
      <c r="N941" cm="1">
        <f t="array" ref="N941">IF($Q941&gt;=0,IFERROR(generateSalesData($D941, IF(ISNUMBER(_xlfn.XLOOKUP($C941,Phone_by_Sentiment!$B$2:$B$37,Phone_by_Sentiment!N$2:N$37,"",0,1)),_xlfn.XLOOKUP($C941,Phone_by_Sentiment!$B$2:$B$37,Phone_by_Sentiment!N$2:N$37,"",0,1),0),$A941-TEXT(DATEVALUE($D941&amp;"-01"), "dd-mm-yyyy")),0),0)</f>
        <v>0</v>
      </c>
      <c r="O941" cm="1">
        <f t="array" ref="O941">IF($Q941&gt;=0,IFERROR(generateSalesData($D941, IF(ISNUMBER(_xlfn.XLOOKUP($C941,Phone_by_Sentiment!$B$2:$B$37,Phone_by_Sentiment!O$2:O$37,"",0,1)),_xlfn.XLOOKUP($C941,Phone_by_Sentiment!$B$2:$B$37,Phone_by_Sentiment!O$2:O$37,"",0,1),0),$A941-TEXT(DATEVALUE($D941&amp;"-01"), "dd-mm-yyyy")),0),0)</f>
        <v>0</v>
      </c>
      <c r="P941" s="1">
        <f t="shared" si="37"/>
        <v>44348</v>
      </c>
      <c r="Q941">
        <f t="shared" si="38"/>
        <v>-92</v>
      </c>
    </row>
    <row r="942" spans="1:17" x14ac:dyDescent="0.25">
      <c r="A942" s="1">
        <f t="shared" si="39"/>
        <v>44256</v>
      </c>
      <c r="B942" t="s">
        <v>157</v>
      </c>
      <c r="C942" t="str">
        <f>_xlfn.XLOOKUP(B942,Phone_by_Price!$A$2:$A$34,Phone_by_Price!$B$2:$B$34,"-",0,1)</f>
        <v>Apple iPhone 13 Pro</v>
      </c>
      <c r="D942" t="str">
        <f>_xlfn.XLOOKUP(C942,Phone_by_Sentiment!$B$2:$B$37,Phone_by_Sentiment!$A$2:$A$37,"-",0,1)</f>
        <v>2021-09</v>
      </c>
      <c r="E942" cm="1">
        <f t="array" ref="E942">IF($Q942&gt;=0,IFERROR(generateSalesData($D942, IF(ISNUMBER(_xlfn.XLOOKUP($C942,Phone_by_Sentiment!$B$2:$B$37,Phone_by_Sentiment!E$2:E$37,"",0,1)),_xlfn.XLOOKUP($C942,Phone_by_Sentiment!$B$2:$B$37,Phone_by_Sentiment!E$2:E$37,"",0,1),0),$A942-TEXT(DATEVALUE($D942&amp;"-01"), "dd-mm-yyyy")),0),0)</f>
        <v>0</v>
      </c>
      <c r="F942" cm="1">
        <f t="array" ref="F942">IF($Q942&gt;=0,IFERROR(generateSalesData($D942, IF(ISNUMBER(_xlfn.XLOOKUP($C942,Phone_by_Sentiment!$B$2:$B$37,Phone_by_Sentiment!F$2:F$37,"",0,1)),_xlfn.XLOOKUP($C942,Phone_by_Sentiment!$B$2:$B$37,Phone_by_Sentiment!F$2:F$37,"",0,1),0),$A942-TEXT(DATEVALUE($D942&amp;"-01"), "dd-mm-yyyy")),0),0)</f>
        <v>0</v>
      </c>
      <c r="G942" cm="1">
        <f t="array" ref="G942">IF($Q942&gt;=0,IFERROR(generateSalesData($D942, IF(ISNUMBER(_xlfn.XLOOKUP($C942,Phone_by_Sentiment!$B$2:$B$37,Phone_by_Sentiment!G$2:G$37,"",0,1)),_xlfn.XLOOKUP($C942,Phone_by_Sentiment!$B$2:$B$37,Phone_by_Sentiment!G$2:G$37,"",0,1),0),$A942-TEXT(DATEVALUE($D942&amp;"-01"), "dd-mm-yyyy")),0),0)</f>
        <v>0</v>
      </c>
      <c r="H942" cm="1">
        <f t="array" ref="H942">IF($Q942&gt;=0,IFERROR(generateSalesData($D942, IF(ISNUMBER(_xlfn.XLOOKUP($C942,Phone_by_Sentiment!$B$2:$B$37,Phone_by_Sentiment!H$2:H$37,"",0,1)),_xlfn.XLOOKUP($C942,Phone_by_Sentiment!$B$2:$B$37,Phone_by_Sentiment!H$2:H$37,"",0,1),0),$A942-TEXT(DATEVALUE($D942&amp;"-01"), "dd-mm-yyyy")),0),0)</f>
        <v>0</v>
      </c>
      <c r="I942" cm="1">
        <f t="array" ref="I942">IF($Q942&gt;=0,IFERROR(generateSalesData($D942, IF(ISNUMBER(_xlfn.XLOOKUP($C942,Phone_by_Sentiment!$B$2:$B$37,Phone_by_Sentiment!I$2:I$37,"",0,1)),_xlfn.XLOOKUP($C942,Phone_by_Sentiment!$B$2:$B$37,Phone_by_Sentiment!I$2:I$37,"",0,1),0),$A942-TEXT(DATEVALUE($D942&amp;"-01"), "dd-mm-yyyy")),0),0)</f>
        <v>0</v>
      </c>
      <c r="J942" cm="1">
        <f t="array" ref="J942">IF($Q942&gt;=0,IFERROR(generateSalesData($D942, IF(ISNUMBER(_xlfn.XLOOKUP($C942,Phone_by_Sentiment!$B$2:$B$37,Phone_by_Sentiment!J$2:J$37,"",0,1)),_xlfn.XLOOKUP($C942,Phone_by_Sentiment!$B$2:$B$37,Phone_by_Sentiment!J$2:J$37,"",0,1),0),$A942-TEXT(DATEVALUE($D942&amp;"-01"), "dd-mm-yyyy")),0),0)</f>
        <v>0</v>
      </c>
      <c r="K942" cm="1">
        <f t="array" ref="K942">IF($Q942&gt;=0,IFERROR(generateSalesData($D942, IF(ISNUMBER(_xlfn.XLOOKUP($C942,Phone_by_Sentiment!$B$2:$B$37,Phone_by_Sentiment!K$2:K$37,"",0,1)),_xlfn.XLOOKUP($C942,Phone_by_Sentiment!$B$2:$B$37,Phone_by_Sentiment!K$2:K$37,"",0,1),0),$A942-TEXT(DATEVALUE($D942&amp;"-01"), "dd-mm-yyyy")),0),0)</f>
        <v>0</v>
      </c>
      <c r="L942" cm="1">
        <f t="array" ref="L942">IF($Q942&gt;=0,IFERROR(generateSalesData($D942, IF(ISNUMBER(_xlfn.XLOOKUP($C942,Phone_by_Sentiment!$B$2:$B$37,Phone_by_Sentiment!L$2:L$37,"",0,1)),_xlfn.XLOOKUP($C942,Phone_by_Sentiment!$B$2:$B$37,Phone_by_Sentiment!L$2:L$37,"",0,1),0),$A942-TEXT(DATEVALUE($D942&amp;"-01"), "dd-mm-yyyy")),0),0)</f>
        <v>0</v>
      </c>
      <c r="M942" cm="1">
        <f t="array" ref="M942">IF($Q942&gt;=0,IFERROR(generateSalesData($D942, IF(ISNUMBER(_xlfn.XLOOKUP($C942,Phone_by_Sentiment!$B$2:$B$37,Phone_by_Sentiment!M$2:M$37,"",0,1)),_xlfn.XLOOKUP($C942,Phone_by_Sentiment!$B$2:$B$37,Phone_by_Sentiment!M$2:M$37,"",0,1),0),$A942-TEXT(DATEVALUE($D942&amp;"-01"), "dd-mm-yyyy")),0),0)</f>
        <v>0</v>
      </c>
      <c r="N942" cm="1">
        <f t="array" ref="N942">IF($Q942&gt;=0,IFERROR(generateSalesData($D942, IF(ISNUMBER(_xlfn.XLOOKUP($C942,Phone_by_Sentiment!$B$2:$B$37,Phone_by_Sentiment!N$2:N$37,"",0,1)),_xlfn.XLOOKUP($C942,Phone_by_Sentiment!$B$2:$B$37,Phone_by_Sentiment!N$2:N$37,"",0,1),0),$A942-TEXT(DATEVALUE($D942&amp;"-01"), "dd-mm-yyyy")),0),0)</f>
        <v>0</v>
      </c>
      <c r="O942" cm="1">
        <f t="array" ref="O942">IF($Q942&gt;=0,IFERROR(generateSalesData($D942, IF(ISNUMBER(_xlfn.XLOOKUP($C942,Phone_by_Sentiment!$B$2:$B$37,Phone_by_Sentiment!O$2:O$37,"",0,1)),_xlfn.XLOOKUP($C942,Phone_by_Sentiment!$B$2:$B$37,Phone_by_Sentiment!O$2:O$37,"",0,1),0),$A942-TEXT(DATEVALUE($D942&amp;"-01"), "dd-mm-yyyy")),0),0)</f>
        <v>0</v>
      </c>
      <c r="P942" s="1">
        <f t="shared" si="37"/>
        <v>44440</v>
      </c>
      <c r="Q942">
        <f t="shared" si="38"/>
        <v>-184</v>
      </c>
    </row>
    <row r="943" spans="1:17" x14ac:dyDescent="0.25">
      <c r="A943" s="1">
        <f t="shared" si="39"/>
        <v>44256</v>
      </c>
      <c r="B943" t="s">
        <v>158</v>
      </c>
      <c r="C943" t="str">
        <f>_xlfn.XLOOKUP(B943,Phone_by_Price!$A$2:$A$34,Phone_by_Price!$B$2:$B$34,"-",0,1)</f>
        <v>Samsung Galaxy A32 5G</v>
      </c>
      <c r="D943" t="str">
        <f>_xlfn.XLOOKUP(C943,Phone_by_Sentiment!$B$2:$B$37,Phone_by_Sentiment!$A$2:$A$37,"-",0,1)</f>
        <v>2021-02</v>
      </c>
      <c r="E943" cm="1">
        <f t="array" ref="E943">IF($Q943&gt;=0,IFERROR(generateSalesData($D943, IF(ISNUMBER(_xlfn.XLOOKUP($C943,Phone_by_Sentiment!$B$2:$B$37,Phone_by_Sentiment!E$2:E$37,"",0,1)),_xlfn.XLOOKUP($C943,Phone_by_Sentiment!$B$2:$B$37,Phone_by_Sentiment!E$2:E$37,"",0,1),0),$A943-TEXT(DATEVALUE($D943&amp;"-01"), "dd-mm-yyyy")),0),0)</f>
        <v>10169</v>
      </c>
      <c r="F943" cm="1">
        <f t="array" ref="F943">IF($Q943&gt;=0,IFERROR(generateSalesData($D943, IF(ISNUMBER(_xlfn.XLOOKUP($C943,Phone_by_Sentiment!$B$2:$B$37,Phone_by_Sentiment!F$2:F$37,"",0,1)),_xlfn.XLOOKUP($C943,Phone_by_Sentiment!$B$2:$B$37,Phone_by_Sentiment!F$2:F$37,"",0,1),0),$A943-TEXT(DATEVALUE($D943&amp;"-01"), "dd-mm-yyyy")),0),0)</f>
        <v>10446</v>
      </c>
      <c r="G943" cm="1">
        <f t="array" ref="G943">IF($Q943&gt;=0,IFERROR(generateSalesData($D943, IF(ISNUMBER(_xlfn.XLOOKUP($C943,Phone_by_Sentiment!$B$2:$B$37,Phone_by_Sentiment!G$2:G$37,"",0,1)),_xlfn.XLOOKUP($C943,Phone_by_Sentiment!$B$2:$B$37,Phone_by_Sentiment!G$2:G$37,"",0,1),0),$A943-TEXT(DATEVALUE($D943&amp;"-01"), "dd-mm-yyyy")),0),0)</f>
        <v>3348</v>
      </c>
      <c r="H943" cm="1">
        <f t="array" ref="H943">IF($Q943&gt;=0,IFERROR(generateSalesData($D943, IF(ISNUMBER(_xlfn.XLOOKUP($C943,Phone_by_Sentiment!$B$2:$B$37,Phone_by_Sentiment!H$2:H$37,"",0,1)),_xlfn.XLOOKUP($C943,Phone_by_Sentiment!$B$2:$B$37,Phone_by_Sentiment!H$2:H$37,"",0,1),0),$A943-TEXT(DATEVALUE($D943&amp;"-01"), "dd-mm-yyyy")),0),0)</f>
        <v>8510</v>
      </c>
      <c r="I943" cm="1">
        <f t="array" ref="I943">IF($Q943&gt;=0,IFERROR(generateSalesData($D943, IF(ISNUMBER(_xlfn.XLOOKUP($C943,Phone_by_Sentiment!$B$2:$B$37,Phone_by_Sentiment!I$2:I$37,"",0,1)),_xlfn.XLOOKUP($C943,Phone_by_Sentiment!$B$2:$B$37,Phone_by_Sentiment!I$2:I$37,"",0,1),0),$A943-TEXT(DATEVALUE($D943&amp;"-01"), "dd-mm-yyyy")),0),0)</f>
        <v>14305</v>
      </c>
      <c r="J943" cm="1">
        <f t="array" ref="J943">IF($Q943&gt;=0,IFERROR(generateSalesData($D943, IF(ISNUMBER(_xlfn.XLOOKUP($C943,Phone_by_Sentiment!$B$2:$B$37,Phone_by_Sentiment!J$2:J$37,"",0,1)),_xlfn.XLOOKUP($C943,Phone_by_Sentiment!$B$2:$B$37,Phone_by_Sentiment!J$2:J$37,"",0,1),0),$A943-TEXT(DATEVALUE($D943&amp;"-01"), "dd-mm-yyyy")),0),0)</f>
        <v>3779</v>
      </c>
      <c r="K943" cm="1">
        <f t="array" ref="K943">IF($Q943&gt;=0,IFERROR(generateSalesData($D943, IF(ISNUMBER(_xlfn.XLOOKUP($C943,Phone_by_Sentiment!$B$2:$B$37,Phone_by_Sentiment!K$2:K$37,"",0,1)),_xlfn.XLOOKUP($C943,Phone_by_Sentiment!$B$2:$B$37,Phone_by_Sentiment!K$2:K$37,"",0,1),0),$A943-TEXT(DATEVALUE($D943&amp;"-01"), "dd-mm-yyyy")),0),0)</f>
        <v>7511</v>
      </c>
      <c r="L943" cm="1">
        <f t="array" ref="L943">IF($Q943&gt;=0,IFERROR(generateSalesData($D943, IF(ISNUMBER(_xlfn.XLOOKUP($C943,Phone_by_Sentiment!$B$2:$B$37,Phone_by_Sentiment!L$2:L$37,"",0,1)),_xlfn.XLOOKUP($C943,Phone_by_Sentiment!$B$2:$B$37,Phone_by_Sentiment!L$2:L$37,"",0,1),0),$A943-TEXT(DATEVALUE($D943&amp;"-01"), "dd-mm-yyyy")),0),0)</f>
        <v>4356</v>
      </c>
      <c r="M943" cm="1">
        <f t="array" ref="M943">IF($Q943&gt;=0,IFERROR(generateSalesData($D943, IF(ISNUMBER(_xlfn.XLOOKUP($C943,Phone_by_Sentiment!$B$2:$B$37,Phone_by_Sentiment!M$2:M$37,"",0,1)),_xlfn.XLOOKUP($C943,Phone_by_Sentiment!$B$2:$B$37,Phone_by_Sentiment!M$2:M$37,"",0,1),0),$A943-TEXT(DATEVALUE($D943&amp;"-01"), "dd-mm-yyyy")),0),0)</f>
        <v>12760</v>
      </c>
      <c r="N943" cm="1">
        <f t="array" ref="N943">IF($Q943&gt;=0,IFERROR(generateSalesData($D943, IF(ISNUMBER(_xlfn.XLOOKUP($C943,Phone_by_Sentiment!$B$2:$B$37,Phone_by_Sentiment!N$2:N$37,"",0,1)),_xlfn.XLOOKUP($C943,Phone_by_Sentiment!$B$2:$B$37,Phone_by_Sentiment!N$2:N$37,"",0,1),0),$A943-TEXT(DATEVALUE($D943&amp;"-01"), "dd-mm-yyyy")),0),0)</f>
        <v>3610</v>
      </c>
      <c r="O943" cm="1">
        <f t="array" ref="O943">IF($Q943&gt;=0,IFERROR(generateSalesData($D943, IF(ISNUMBER(_xlfn.XLOOKUP($C943,Phone_by_Sentiment!$B$2:$B$37,Phone_by_Sentiment!O$2:O$37,"",0,1)),_xlfn.XLOOKUP($C943,Phone_by_Sentiment!$B$2:$B$37,Phone_by_Sentiment!O$2:O$37,"",0,1),0),$A943-TEXT(DATEVALUE($D943&amp;"-01"), "dd-mm-yyyy")),0),0)</f>
        <v>17261</v>
      </c>
      <c r="P943" s="1">
        <f t="shared" si="37"/>
        <v>44228</v>
      </c>
      <c r="Q943">
        <f t="shared" si="38"/>
        <v>28</v>
      </c>
    </row>
    <row r="944" spans="1:17" x14ac:dyDescent="0.25">
      <c r="A944" s="1">
        <f t="shared" si="39"/>
        <v>44256</v>
      </c>
      <c r="B944" t="s">
        <v>159</v>
      </c>
      <c r="C944" t="str">
        <f>_xlfn.XLOOKUP(B944,Phone_by_Price!$A$2:$A$34,Phone_by_Price!$B$2:$B$34,"-",0,1)</f>
        <v>Realme C25</v>
      </c>
      <c r="D944" t="str">
        <f>_xlfn.XLOOKUP(C944,Phone_by_Sentiment!$B$2:$B$37,Phone_by_Sentiment!$A$2:$A$37,"-",0,1)</f>
        <v>2021-03</v>
      </c>
      <c r="E944" cm="1">
        <f t="array" ref="E944">IF($Q944&gt;=0,IFERROR(generateSalesData($D944, IF(ISNUMBER(_xlfn.XLOOKUP($C944,Phone_by_Sentiment!$B$2:$B$37,Phone_by_Sentiment!E$2:E$37,"",0,1)),_xlfn.XLOOKUP($C944,Phone_by_Sentiment!$B$2:$B$37,Phone_by_Sentiment!E$2:E$37,"",0,1),0),$A944-TEXT(DATEVALUE($D944&amp;"-01"), "dd-mm-yyyy")),0),0)</f>
        <v>2010</v>
      </c>
      <c r="F944" cm="1">
        <f t="array" ref="F944">IF($Q944&gt;=0,IFERROR(generateSalesData($D944, IF(ISNUMBER(_xlfn.XLOOKUP($C944,Phone_by_Sentiment!$B$2:$B$37,Phone_by_Sentiment!F$2:F$37,"",0,1)),_xlfn.XLOOKUP($C944,Phone_by_Sentiment!$B$2:$B$37,Phone_by_Sentiment!F$2:F$37,"",0,1),0),$A944-TEXT(DATEVALUE($D944&amp;"-01"), "dd-mm-yyyy")),0),0)</f>
        <v>3412</v>
      </c>
      <c r="G944" cm="1">
        <f t="array" ref="G944">IF($Q944&gt;=0,IFERROR(generateSalesData($D944, IF(ISNUMBER(_xlfn.XLOOKUP($C944,Phone_by_Sentiment!$B$2:$B$37,Phone_by_Sentiment!G$2:G$37,"",0,1)),_xlfn.XLOOKUP($C944,Phone_by_Sentiment!$B$2:$B$37,Phone_by_Sentiment!G$2:G$37,"",0,1),0),$A944-TEXT(DATEVALUE($D944&amp;"-01"), "dd-mm-yyyy")),0),0)</f>
        <v>2417</v>
      </c>
      <c r="H944" cm="1">
        <f t="array" ref="H944">IF($Q944&gt;=0,IFERROR(generateSalesData($D944, IF(ISNUMBER(_xlfn.XLOOKUP($C944,Phone_by_Sentiment!$B$2:$B$37,Phone_by_Sentiment!H$2:H$37,"",0,1)),_xlfn.XLOOKUP($C944,Phone_by_Sentiment!$B$2:$B$37,Phone_by_Sentiment!H$2:H$37,"",0,1),0),$A944-TEXT(DATEVALUE($D944&amp;"-01"), "dd-mm-yyyy")),0),0)</f>
        <v>9324</v>
      </c>
      <c r="I944" cm="1">
        <f t="array" ref="I944">IF($Q944&gt;=0,IFERROR(generateSalesData($D944, IF(ISNUMBER(_xlfn.XLOOKUP($C944,Phone_by_Sentiment!$B$2:$B$37,Phone_by_Sentiment!I$2:I$37,"",0,1)),_xlfn.XLOOKUP($C944,Phone_by_Sentiment!$B$2:$B$37,Phone_by_Sentiment!I$2:I$37,"",0,1),0),$A944-TEXT(DATEVALUE($D944&amp;"-01"), "dd-mm-yyyy")),0),0)</f>
        <v>4652</v>
      </c>
      <c r="J944" cm="1">
        <f t="array" ref="J944">IF($Q944&gt;=0,IFERROR(generateSalesData($D944, IF(ISNUMBER(_xlfn.XLOOKUP($C944,Phone_by_Sentiment!$B$2:$B$37,Phone_by_Sentiment!J$2:J$37,"",0,1)),_xlfn.XLOOKUP($C944,Phone_by_Sentiment!$B$2:$B$37,Phone_by_Sentiment!J$2:J$37,"",0,1),0),$A944-TEXT(DATEVALUE($D944&amp;"-01"), "dd-mm-yyyy")),0),0)</f>
        <v>2785</v>
      </c>
      <c r="K944" cm="1">
        <f t="array" ref="K944">IF($Q944&gt;=0,IFERROR(generateSalesData($D944, IF(ISNUMBER(_xlfn.XLOOKUP($C944,Phone_by_Sentiment!$B$2:$B$37,Phone_by_Sentiment!K$2:K$37,"",0,1)),_xlfn.XLOOKUP($C944,Phone_by_Sentiment!$B$2:$B$37,Phone_by_Sentiment!K$2:K$37,"",0,1),0),$A944-TEXT(DATEVALUE($D944&amp;"-01"), "dd-mm-yyyy")),0),0)</f>
        <v>3777</v>
      </c>
      <c r="L944" cm="1">
        <f t="array" ref="L944">IF($Q944&gt;=0,IFERROR(generateSalesData($D944, IF(ISNUMBER(_xlfn.XLOOKUP($C944,Phone_by_Sentiment!$B$2:$B$37,Phone_by_Sentiment!L$2:L$37,"",0,1)),_xlfn.XLOOKUP($C944,Phone_by_Sentiment!$B$2:$B$37,Phone_by_Sentiment!L$2:L$37,"",0,1),0),$A944-TEXT(DATEVALUE($D944&amp;"-01"), "dd-mm-yyyy")),0),0)</f>
        <v>5299</v>
      </c>
      <c r="M944" cm="1">
        <f t="array" ref="M944">IF($Q944&gt;=0,IFERROR(generateSalesData($D944, IF(ISNUMBER(_xlfn.XLOOKUP($C944,Phone_by_Sentiment!$B$2:$B$37,Phone_by_Sentiment!M$2:M$37,"",0,1)),_xlfn.XLOOKUP($C944,Phone_by_Sentiment!$B$2:$B$37,Phone_by_Sentiment!M$2:M$37,"",0,1),0),$A944-TEXT(DATEVALUE($D944&amp;"-01"), "dd-mm-yyyy")),0),0)</f>
        <v>1675</v>
      </c>
      <c r="N944" cm="1">
        <f t="array" ref="N944">IF($Q944&gt;=0,IFERROR(generateSalesData($D944, IF(ISNUMBER(_xlfn.XLOOKUP($C944,Phone_by_Sentiment!$B$2:$B$37,Phone_by_Sentiment!N$2:N$37,"",0,1)),_xlfn.XLOOKUP($C944,Phone_by_Sentiment!$B$2:$B$37,Phone_by_Sentiment!N$2:N$37,"",0,1),0),$A944-TEXT(DATEVALUE($D944&amp;"-01"), "dd-mm-yyyy")),0),0)</f>
        <v>8856</v>
      </c>
      <c r="O944" cm="1">
        <f t="array" ref="O944">IF($Q944&gt;=0,IFERROR(generateSalesData($D944, IF(ISNUMBER(_xlfn.XLOOKUP($C944,Phone_by_Sentiment!$B$2:$B$37,Phone_by_Sentiment!O$2:O$37,"",0,1)),_xlfn.XLOOKUP($C944,Phone_by_Sentiment!$B$2:$B$37,Phone_by_Sentiment!O$2:O$37,"",0,1),0),$A944-TEXT(DATEVALUE($D944&amp;"-01"), "dd-mm-yyyy")),0),0)</f>
        <v>3969</v>
      </c>
      <c r="P944" s="1">
        <f t="shared" si="37"/>
        <v>44256</v>
      </c>
      <c r="Q944">
        <f t="shared" si="38"/>
        <v>0</v>
      </c>
    </row>
    <row r="945" spans="1:17" x14ac:dyDescent="0.25">
      <c r="A945" s="1">
        <f t="shared" si="39"/>
        <v>44256</v>
      </c>
      <c r="B945" t="s">
        <v>160</v>
      </c>
      <c r="C945" t="str">
        <f>_xlfn.XLOOKUP(B945,Phone_by_Price!$A$2:$A$34,Phone_by_Price!$B$2:$B$34,"-",0,1)</f>
        <v>Xiaomi Poco X3 Pro</v>
      </c>
      <c r="D945" t="str">
        <f>_xlfn.XLOOKUP(C945,Phone_by_Sentiment!$B$2:$B$37,Phone_by_Sentiment!$A$2:$A$37,"-",0,1)</f>
        <v>2021-05</v>
      </c>
      <c r="E945" cm="1">
        <f t="array" ref="E945">IF($Q945&gt;=0,IFERROR(generateSalesData($D945, IF(ISNUMBER(_xlfn.XLOOKUP($C945,Phone_by_Sentiment!$B$2:$B$37,Phone_by_Sentiment!E$2:E$37,"",0,1)),_xlfn.XLOOKUP($C945,Phone_by_Sentiment!$B$2:$B$37,Phone_by_Sentiment!E$2:E$37,"",0,1),0),$A945-TEXT(DATEVALUE($D945&amp;"-01"), "dd-mm-yyyy")),0),0)</f>
        <v>0</v>
      </c>
      <c r="F945" cm="1">
        <f t="array" ref="F945">IF($Q945&gt;=0,IFERROR(generateSalesData($D945, IF(ISNUMBER(_xlfn.XLOOKUP($C945,Phone_by_Sentiment!$B$2:$B$37,Phone_by_Sentiment!F$2:F$37,"",0,1)),_xlfn.XLOOKUP($C945,Phone_by_Sentiment!$B$2:$B$37,Phone_by_Sentiment!F$2:F$37,"",0,1),0),$A945-TEXT(DATEVALUE($D945&amp;"-01"), "dd-mm-yyyy")),0),0)</f>
        <v>0</v>
      </c>
      <c r="G945" cm="1">
        <f t="array" ref="G945">IF($Q945&gt;=0,IFERROR(generateSalesData($D945, IF(ISNUMBER(_xlfn.XLOOKUP($C945,Phone_by_Sentiment!$B$2:$B$37,Phone_by_Sentiment!G$2:G$37,"",0,1)),_xlfn.XLOOKUP($C945,Phone_by_Sentiment!$B$2:$B$37,Phone_by_Sentiment!G$2:G$37,"",0,1),0),$A945-TEXT(DATEVALUE($D945&amp;"-01"), "dd-mm-yyyy")),0),0)</f>
        <v>0</v>
      </c>
      <c r="H945" cm="1">
        <f t="array" ref="H945">IF($Q945&gt;=0,IFERROR(generateSalesData($D945, IF(ISNUMBER(_xlfn.XLOOKUP($C945,Phone_by_Sentiment!$B$2:$B$37,Phone_by_Sentiment!H$2:H$37,"",0,1)),_xlfn.XLOOKUP($C945,Phone_by_Sentiment!$B$2:$B$37,Phone_by_Sentiment!H$2:H$37,"",0,1),0),$A945-TEXT(DATEVALUE($D945&amp;"-01"), "dd-mm-yyyy")),0),0)</f>
        <v>0</v>
      </c>
      <c r="I945" cm="1">
        <f t="array" ref="I945">IF($Q945&gt;=0,IFERROR(generateSalesData($D945, IF(ISNUMBER(_xlfn.XLOOKUP($C945,Phone_by_Sentiment!$B$2:$B$37,Phone_by_Sentiment!I$2:I$37,"",0,1)),_xlfn.XLOOKUP($C945,Phone_by_Sentiment!$B$2:$B$37,Phone_by_Sentiment!I$2:I$37,"",0,1),0),$A945-TEXT(DATEVALUE($D945&amp;"-01"), "dd-mm-yyyy")),0),0)</f>
        <v>0</v>
      </c>
      <c r="J945" cm="1">
        <f t="array" ref="J945">IF($Q945&gt;=0,IFERROR(generateSalesData($D945, IF(ISNUMBER(_xlfn.XLOOKUP($C945,Phone_by_Sentiment!$B$2:$B$37,Phone_by_Sentiment!J$2:J$37,"",0,1)),_xlfn.XLOOKUP($C945,Phone_by_Sentiment!$B$2:$B$37,Phone_by_Sentiment!J$2:J$37,"",0,1),0),$A945-TEXT(DATEVALUE($D945&amp;"-01"), "dd-mm-yyyy")),0),0)</f>
        <v>0</v>
      </c>
      <c r="K945" cm="1">
        <f t="array" ref="K945">IF($Q945&gt;=0,IFERROR(generateSalesData($D945, IF(ISNUMBER(_xlfn.XLOOKUP($C945,Phone_by_Sentiment!$B$2:$B$37,Phone_by_Sentiment!K$2:K$37,"",0,1)),_xlfn.XLOOKUP($C945,Phone_by_Sentiment!$B$2:$B$37,Phone_by_Sentiment!K$2:K$37,"",0,1),0),$A945-TEXT(DATEVALUE($D945&amp;"-01"), "dd-mm-yyyy")),0),0)</f>
        <v>0</v>
      </c>
      <c r="L945" cm="1">
        <f t="array" ref="L945">IF($Q945&gt;=0,IFERROR(generateSalesData($D945, IF(ISNUMBER(_xlfn.XLOOKUP($C945,Phone_by_Sentiment!$B$2:$B$37,Phone_by_Sentiment!L$2:L$37,"",0,1)),_xlfn.XLOOKUP($C945,Phone_by_Sentiment!$B$2:$B$37,Phone_by_Sentiment!L$2:L$37,"",0,1),0),$A945-TEXT(DATEVALUE($D945&amp;"-01"), "dd-mm-yyyy")),0),0)</f>
        <v>0</v>
      </c>
      <c r="M945" cm="1">
        <f t="array" ref="M945">IF($Q945&gt;=0,IFERROR(generateSalesData($D945, IF(ISNUMBER(_xlfn.XLOOKUP($C945,Phone_by_Sentiment!$B$2:$B$37,Phone_by_Sentiment!M$2:M$37,"",0,1)),_xlfn.XLOOKUP($C945,Phone_by_Sentiment!$B$2:$B$37,Phone_by_Sentiment!M$2:M$37,"",0,1),0),$A945-TEXT(DATEVALUE($D945&amp;"-01"), "dd-mm-yyyy")),0),0)</f>
        <v>0</v>
      </c>
      <c r="N945" cm="1">
        <f t="array" ref="N945">IF($Q945&gt;=0,IFERROR(generateSalesData($D945, IF(ISNUMBER(_xlfn.XLOOKUP($C945,Phone_by_Sentiment!$B$2:$B$37,Phone_by_Sentiment!N$2:N$37,"",0,1)),_xlfn.XLOOKUP($C945,Phone_by_Sentiment!$B$2:$B$37,Phone_by_Sentiment!N$2:N$37,"",0,1),0),$A945-TEXT(DATEVALUE($D945&amp;"-01"), "dd-mm-yyyy")),0),0)</f>
        <v>0</v>
      </c>
      <c r="O945" cm="1">
        <f t="array" ref="O945">IF($Q945&gt;=0,IFERROR(generateSalesData($D945, IF(ISNUMBER(_xlfn.XLOOKUP($C945,Phone_by_Sentiment!$B$2:$B$37,Phone_by_Sentiment!O$2:O$37,"",0,1)),_xlfn.XLOOKUP($C945,Phone_by_Sentiment!$B$2:$B$37,Phone_by_Sentiment!O$2:O$37,"",0,1),0),$A945-TEXT(DATEVALUE($D945&amp;"-01"), "dd-mm-yyyy")),0),0)</f>
        <v>0</v>
      </c>
      <c r="P945" s="1">
        <f t="shared" si="37"/>
        <v>44317</v>
      </c>
      <c r="Q945">
        <f t="shared" si="38"/>
        <v>-61</v>
      </c>
    </row>
    <row r="946" spans="1:17" x14ac:dyDescent="0.25">
      <c r="A946" s="1">
        <f t="shared" si="39"/>
        <v>44287</v>
      </c>
      <c r="B946" t="s">
        <v>161</v>
      </c>
      <c r="C946" t="str">
        <f>_xlfn.XLOOKUP(B946,Phone_by_Price!$A$2:$A$34,Phone_by_Price!$B$2:$B$34,"-",0,1)</f>
        <v>Samsung Galaxy Z Flip 3</v>
      </c>
      <c r="D946" t="str">
        <f>_xlfn.XLOOKUP(C946,Phone_by_Sentiment!$B$2:$B$37,Phone_by_Sentiment!$A$2:$A$37,"-",0,1)</f>
        <v>2021-09</v>
      </c>
      <c r="E946" cm="1">
        <f t="array" ref="E946">IF($Q946&gt;=0,IFERROR(generateSalesData($D946, IF(ISNUMBER(_xlfn.XLOOKUP($C946,Phone_by_Sentiment!$B$2:$B$37,Phone_by_Sentiment!E$2:E$37,"",0,1)),_xlfn.XLOOKUP($C946,Phone_by_Sentiment!$B$2:$B$37,Phone_by_Sentiment!E$2:E$37,"",0,1),0),$A946-TEXT(DATEVALUE($D946&amp;"-01"), "dd-mm-yyyy")),0),0)</f>
        <v>0</v>
      </c>
      <c r="F946" cm="1">
        <f t="array" ref="F946">IF($Q946&gt;=0,IFERROR(generateSalesData($D946, IF(ISNUMBER(_xlfn.XLOOKUP($C946,Phone_by_Sentiment!$B$2:$B$37,Phone_by_Sentiment!F$2:F$37,"",0,1)),_xlfn.XLOOKUP($C946,Phone_by_Sentiment!$B$2:$B$37,Phone_by_Sentiment!F$2:F$37,"",0,1),0),$A946-TEXT(DATEVALUE($D946&amp;"-01"), "dd-mm-yyyy")),0),0)</f>
        <v>0</v>
      </c>
      <c r="G946" cm="1">
        <f t="array" ref="G946">IF($Q946&gt;=0,IFERROR(generateSalesData($D946, IF(ISNUMBER(_xlfn.XLOOKUP($C946,Phone_by_Sentiment!$B$2:$B$37,Phone_by_Sentiment!G$2:G$37,"",0,1)),_xlfn.XLOOKUP($C946,Phone_by_Sentiment!$B$2:$B$37,Phone_by_Sentiment!G$2:G$37,"",0,1),0),$A946-TEXT(DATEVALUE($D946&amp;"-01"), "dd-mm-yyyy")),0),0)</f>
        <v>0</v>
      </c>
      <c r="H946" cm="1">
        <f t="array" ref="H946">IF($Q946&gt;=0,IFERROR(generateSalesData($D946, IF(ISNUMBER(_xlfn.XLOOKUP($C946,Phone_by_Sentiment!$B$2:$B$37,Phone_by_Sentiment!H$2:H$37,"",0,1)),_xlfn.XLOOKUP($C946,Phone_by_Sentiment!$B$2:$B$37,Phone_by_Sentiment!H$2:H$37,"",0,1),0),$A946-TEXT(DATEVALUE($D946&amp;"-01"), "dd-mm-yyyy")),0),0)</f>
        <v>0</v>
      </c>
      <c r="I946" cm="1">
        <f t="array" ref="I946">IF($Q946&gt;=0,IFERROR(generateSalesData($D946, IF(ISNUMBER(_xlfn.XLOOKUP($C946,Phone_by_Sentiment!$B$2:$B$37,Phone_by_Sentiment!I$2:I$37,"",0,1)),_xlfn.XLOOKUP($C946,Phone_by_Sentiment!$B$2:$B$37,Phone_by_Sentiment!I$2:I$37,"",0,1),0),$A946-TEXT(DATEVALUE($D946&amp;"-01"), "dd-mm-yyyy")),0),0)</f>
        <v>0</v>
      </c>
      <c r="J946" cm="1">
        <f t="array" ref="J946">IF($Q946&gt;=0,IFERROR(generateSalesData($D946, IF(ISNUMBER(_xlfn.XLOOKUP($C946,Phone_by_Sentiment!$B$2:$B$37,Phone_by_Sentiment!J$2:J$37,"",0,1)),_xlfn.XLOOKUP($C946,Phone_by_Sentiment!$B$2:$B$37,Phone_by_Sentiment!J$2:J$37,"",0,1),0),$A946-TEXT(DATEVALUE($D946&amp;"-01"), "dd-mm-yyyy")),0),0)</f>
        <v>0</v>
      </c>
      <c r="K946" cm="1">
        <f t="array" ref="K946">IF($Q946&gt;=0,IFERROR(generateSalesData($D946, IF(ISNUMBER(_xlfn.XLOOKUP($C946,Phone_by_Sentiment!$B$2:$B$37,Phone_by_Sentiment!K$2:K$37,"",0,1)),_xlfn.XLOOKUP($C946,Phone_by_Sentiment!$B$2:$B$37,Phone_by_Sentiment!K$2:K$37,"",0,1),0),$A946-TEXT(DATEVALUE($D946&amp;"-01"), "dd-mm-yyyy")),0),0)</f>
        <v>0</v>
      </c>
      <c r="L946" cm="1">
        <f t="array" ref="L946">IF($Q946&gt;=0,IFERROR(generateSalesData($D946, IF(ISNUMBER(_xlfn.XLOOKUP($C946,Phone_by_Sentiment!$B$2:$B$37,Phone_by_Sentiment!L$2:L$37,"",0,1)),_xlfn.XLOOKUP($C946,Phone_by_Sentiment!$B$2:$B$37,Phone_by_Sentiment!L$2:L$37,"",0,1),0),$A946-TEXT(DATEVALUE($D946&amp;"-01"), "dd-mm-yyyy")),0),0)</f>
        <v>0</v>
      </c>
      <c r="M946" cm="1">
        <f t="array" ref="M946">IF($Q946&gt;=0,IFERROR(generateSalesData($D946, IF(ISNUMBER(_xlfn.XLOOKUP($C946,Phone_by_Sentiment!$B$2:$B$37,Phone_by_Sentiment!M$2:M$37,"",0,1)),_xlfn.XLOOKUP($C946,Phone_by_Sentiment!$B$2:$B$37,Phone_by_Sentiment!M$2:M$37,"",0,1),0),$A946-TEXT(DATEVALUE($D946&amp;"-01"), "dd-mm-yyyy")),0),0)</f>
        <v>0</v>
      </c>
      <c r="N946" cm="1">
        <f t="array" ref="N946">IF($Q946&gt;=0,IFERROR(generateSalesData($D946, IF(ISNUMBER(_xlfn.XLOOKUP($C946,Phone_by_Sentiment!$B$2:$B$37,Phone_by_Sentiment!N$2:N$37,"",0,1)),_xlfn.XLOOKUP($C946,Phone_by_Sentiment!$B$2:$B$37,Phone_by_Sentiment!N$2:N$37,"",0,1),0),$A946-TEXT(DATEVALUE($D946&amp;"-01"), "dd-mm-yyyy")),0),0)</f>
        <v>0</v>
      </c>
      <c r="O946" cm="1">
        <f t="array" ref="O946">IF($Q946&gt;=0,IFERROR(generateSalesData($D946, IF(ISNUMBER(_xlfn.XLOOKUP($C946,Phone_by_Sentiment!$B$2:$B$37,Phone_by_Sentiment!O$2:O$37,"",0,1)),_xlfn.XLOOKUP($C946,Phone_by_Sentiment!$B$2:$B$37,Phone_by_Sentiment!O$2:O$37,"",0,1),0),$A946-TEXT(DATEVALUE($D946&amp;"-01"), "dd-mm-yyyy")),0),0)</f>
        <v>0</v>
      </c>
      <c r="P946" s="1">
        <f t="shared" si="37"/>
        <v>44440</v>
      </c>
      <c r="Q946">
        <f t="shared" si="38"/>
        <v>-153</v>
      </c>
    </row>
    <row r="947" spans="1:17" x14ac:dyDescent="0.25">
      <c r="A947" s="1">
        <f t="shared" si="39"/>
        <v>44287</v>
      </c>
      <c r="B947" t="s">
        <v>162</v>
      </c>
      <c r="C947" t="str">
        <f>_xlfn.XLOOKUP(B947,Phone_by_Price!$A$2:$A$34,Phone_by_Price!$B$2:$B$34,"-",0,1)</f>
        <v>Xiaomi Poco X3 NFC</v>
      </c>
      <c r="D947" t="str">
        <f>_xlfn.XLOOKUP(C947,Phone_by_Sentiment!$B$2:$B$37,Phone_by_Sentiment!$A$2:$A$37,"-",0,1)</f>
        <v>2020-08</v>
      </c>
      <c r="E947" cm="1">
        <f t="array" ref="E947">IF($Q947&gt;=0,IFERROR(generateSalesData($D947, IF(ISNUMBER(_xlfn.XLOOKUP($C947,Phone_by_Sentiment!$B$2:$B$37,Phone_by_Sentiment!E$2:E$37,"",0,1)),_xlfn.XLOOKUP($C947,Phone_by_Sentiment!$B$2:$B$37,Phone_by_Sentiment!E$2:E$37,"",0,1),0),$A947-TEXT(DATEVALUE($D947&amp;"-01"), "dd-mm-yyyy")),0),0)</f>
        <v>174</v>
      </c>
      <c r="F947" cm="1">
        <f t="array" ref="F947">IF($Q947&gt;=0,IFERROR(generateSalesData($D947, IF(ISNUMBER(_xlfn.XLOOKUP($C947,Phone_by_Sentiment!$B$2:$B$37,Phone_by_Sentiment!F$2:F$37,"",0,1)),_xlfn.XLOOKUP($C947,Phone_by_Sentiment!$B$2:$B$37,Phone_by_Sentiment!F$2:F$37,"",0,1),0),$A947-TEXT(DATEVALUE($D947&amp;"-01"), "dd-mm-yyyy")),0),0)</f>
        <v>292</v>
      </c>
      <c r="G947" cm="1">
        <f t="array" ref="G947">IF($Q947&gt;=0,IFERROR(generateSalesData($D947, IF(ISNUMBER(_xlfn.XLOOKUP($C947,Phone_by_Sentiment!$B$2:$B$37,Phone_by_Sentiment!G$2:G$37,"",0,1)),_xlfn.XLOOKUP($C947,Phone_by_Sentiment!$B$2:$B$37,Phone_by_Sentiment!G$2:G$37,"",0,1),0),$A947-TEXT(DATEVALUE($D947&amp;"-01"), "dd-mm-yyyy")),0),0)</f>
        <v>178</v>
      </c>
      <c r="H947" cm="1">
        <f t="array" ref="H947">IF($Q947&gt;=0,IFERROR(generateSalesData($D947, IF(ISNUMBER(_xlfn.XLOOKUP($C947,Phone_by_Sentiment!$B$2:$B$37,Phone_by_Sentiment!H$2:H$37,"",0,1)),_xlfn.XLOOKUP($C947,Phone_by_Sentiment!$B$2:$B$37,Phone_by_Sentiment!H$2:H$37,"",0,1),0),$A947-TEXT(DATEVALUE($D947&amp;"-01"), "dd-mm-yyyy")),0),0)</f>
        <v>729</v>
      </c>
      <c r="I947" cm="1">
        <f t="array" ref="I947">IF($Q947&gt;=0,IFERROR(generateSalesData($D947, IF(ISNUMBER(_xlfn.XLOOKUP($C947,Phone_by_Sentiment!$B$2:$B$37,Phone_by_Sentiment!I$2:I$37,"",0,1)),_xlfn.XLOOKUP($C947,Phone_by_Sentiment!$B$2:$B$37,Phone_by_Sentiment!I$2:I$37,"",0,1),0),$A947-TEXT(DATEVALUE($D947&amp;"-01"), "dd-mm-yyyy")),0),0)</f>
        <v>69</v>
      </c>
      <c r="J947" cm="1">
        <f t="array" ref="J947">IF($Q947&gt;=0,IFERROR(generateSalesData($D947, IF(ISNUMBER(_xlfn.XLOOKUP($C947,Phone_by_Sentiment!$B$2:$B$37,Phone_by_Sentiment!J$2:J$37,"",0,1)),_xlfn.XLOOKUP($C947,Phone_by_Sentiment!$B$2:$B$37,Phone_by_Sentiment!J$2:J$37,"",0,1),0),$A947-TEXT(DATEVALUE($D947&amp;"-01"), "dd-mm-yyyy")),0),0)</f>
        <v>79</v>
      </c>
      <c r="K947" cm="1">
        <f t="array" ref="K947">IF($Q947&gt;=0,IFERROR(generateSalesData($D947, IF(ISNUMBER(_xlfn.XLOOKUP($C947,Phone_by_Sentiment!$B$2:$B$37,Phone_by_Sentiment!K$2:K$37,"",0,1)),_xlfn.XLOOKUP($C947,Phone_by_Sentiment!$B$2:$B$37,Phone_by_Sentiment!K$2:K$37,"",0,1),0),$A947-TEXT(DATEVALUE($D947&amp;"-01"), "dd-mm-yyyy")),0),0)</f>
        <v>831</v>
      </c>
      <c r="L947" cm="1">
        <f t="array" ref="L947">IF($Q947&gt;=0,IFERROR(generateSalesData($D947, IF(ISNUMBER(_xlfn.XLOOKUP($C947,Phone_by_Sentiment!$B$2:$B$37,Phone_by_Sentiment!L$2:L$37,"",0,1)),_xlfn.XLOOKUP($C947,Phone_by_Sentiment!$B$2:$B$37,Phone_by_Sentiment!L$2:L$37,"",0,1),0),$A947-TEXT(DATEVALUE($D947&amp;"-01"), "dd-mm-yyyy")),0),0)</f>
        <v>133</v>
      </c>
      <c r="M947" cm="1">
        <f t="array" ref="M947">IF($Q947&gt;=0,IFERROR(generateSalesData($D947, IF(ISNUMBER(_xlfn.XLOOKUP($C947,Phone_by_Sentiment!$B$2:$B$37,Phone_by_Sentiment!M$2:M$37,"",0,1)),_xlfn.XLOOKUP($C947,Phone_by_Sentiment!$B$2:$B$37,Phone_by_Sentiment!M$2:M$37,"",0,1),0),$A947-TEXT(DATEVALUE($D947&amp;"-01"), "dd-mm-yyyy")),0),0)</f>
        <v>253</v>
      </c>
      <c r="N947" cm="1">
        <f t="array" ref="N947">IF($Q947&gt;=0,IFERROR(generateSalesData($D947, IF(ISNUMBER(_xlfn.XLOOKUP($C947,Phone_by_Sentiment!$B$2:$B$37,Phone_by_Sentiment!N$2:N$37,"",0,1)),_xlfn.XLOOKUP($C947,Phone_by_Sentiment!$B$2:$B$37,Phone_by_Sentiment!N$2:N$37,"",0,1),0),$A947-TEXT(DATEVALUE($D947&amp;"-01"), "dd-mm-yyyy")),0),0)</f>
        <v>324</v>
      </c>
      <c r="O947" cm="1">
        <f t="array" ref="O947">IF($Q947&gt;=0,IFERROR(generateSalesData($D947, IF(ISNUMBER(_xlfn.XLOOKUP($C947,Phone_by_Sentiment!$B$2:$B$37,Phone_by_Sentiment!O$2:O$37,"",0,1)),_xlfn.XLOOKUP($C947,Phone_by_Sentiment!$B$2:$B$37,Phone_by_Sentiment!O$2:O$37,"",0,1),0),$A947-TEXT(DATEVALUE($D947&amp;"-01"), "dd-mm-yyyy")),0),0)</f>
        <v>721</v>
      </c>
      <c r="P947" s="1">
        <f t="shared" si="37"/>
        <v>44044</v>
      </c>
      <c r="Q947">
        <f t="shared" si="38"/>
        <v>243</v>
      </c>
    </row>
    <row r="948" spans="1:17" x14ac:dyDescent="0.25">
      <c r="A948" s="1">
        <f t="shared" si="39"/>
        <v>44287</v>
      </c>
      <c r="B948" t="s">
        <v>163</v>
      </c>
      <c r="C948" t="str">
        <f>_xlfn.XLOOKUP(B948,Phone_by_Price!$A$2:$A$34,Phone_by_Price!$B$2:$B$34,"-",0,1)</f>
        <v>OPPO A93</v>
      </c>
      <c r="D948" t="str">
        <f>_xlfn.XLOOKUP(C948,Phone_by_Sentiment!$B$2:$B$37,Phone_by_Sentiment!$A$2:$A$37,"-",0,1)</f>
        <v>2021-02</v>
      </c>
      <c r="E948" cm="1">
        <f t="array" ref="E948">IF($Q948&gt;=0,IFERROR(generateSalesData($D948, IF(ISNUMBER(_xlfn.XLOOKUP($C948,Phone_by_Sentiment!$B$2:$B$37,Phone_by_Sentiment!E$2:E$37,"",0,1)),_xlfn.XLOOKUP($C948,Phone_by_Sentiment!$B$2:$B$37,Phone_by_Sentiment!E$2:E$37,"",0,1),0),$A948-TEXT(DATEVALUE($D948&amp;"-01"), "dd-mm-yyyy")),0),0)</f>
        <v>5158</v>
      </c>
      <c r="F948" cm="1">
        <f t="array" ref="F948">IF($Q948&gt;=0,IFERROR(generateSalesData($D948, IF(ISNUMBER(_xlfn.XLOOKUP($C948,Phone_by_Sentiment!$B$2:$B$37,Phone_by_Sentiment!F$2:F$37,"",0,1)),_xlfn.XLOOKUP($C948,Phone_by_Sentiment!$B$2:$B$37,Phone_by_Sentiment!F$2:F$37,"",0,1),0),$A948-TEXT(DATEVALUE($D948&amp;"-01"), "dd-mm-yyyy")),0),0)</f>
        <v>1530</v>
      </c>
      <c r="G948" cm="1">
        <f t="array" ref="G948">IF($Q948&gt;=0,IFERROR(generateSalesData($D948, IF(ISNUMBER(_xlfn.XLOOKUP($C948,Phone_by_Sentiment!$B$2:$B$37,Phone_by_Sentiment!G$2:G$37,"",0,1)),_xlfn.XLOOKUP($C948,Phone_by_Sentiment!$B$2:$B$37,Phone_by_Sentiment!G$2:G$37,"",0,1),0),$A948-TEXT(DATEVALUE($D948&amp;"-01"), "dd-mm-yyyy")),0),0)</f>
        <v>373</v>
      </c>
      <c r="H948" cm="1">
        <f t="array" ref="H948">IF($Q948&gt;=0,IFERROR(generateSalesData($D948, IF(ISNUMBER(_xlfn.XLOOKUP($C948,Phone_by_Sentiment!$B$2:$B$37,Phone_by_Sentiment!H$2:H$37,"",0,1)),_xlfn.XLOOKUP($C948,Phone_by_Sentiment!$B$2:$B$37,Phone_by_Sentiment!H$2:H$37,"",0,1),0),$A948-TEXT(DATEVALUE($D948&amp;"-01"), "dd-mm-yyyy")),0),0)</f>
        <v>2244</v>
      </c>
      <c r="I948" cm="1">
        <f t="array" ref="I948">IF($Q948&gt;=0,IFERROR(generateSalesData($D948, IF(ISNUMBER(_xlfn.XLOOKUP($C948,Phone_by_Sentiment!$B$2:$B$37,Phone_by_Sentiment!I$2:I$37,"",0,1)),_xlfn.XLOOKUP($C948,Phone_by_Sentiment!$B$2:$B$37,Phone_by_Sentiment!I$2:I$37,"",0,1),0),$A948-TEXT(DATEVALUE($D948&amp;"-01"), "dd-mm-yyyy")),0),0)</f>
        <v>6612</v>
      </c>
      <c r="J948" cm="1">
        <f t="array" ref="J948">IF($Q948&gt;=0,IFERROR(generateSalesData($D948, IF(ISNUMBER(_xlfn.XLOOKUP($C948,Phone_by_Sentiment!$B$2:$B$37,Phone_by_Sentiment!J$2:J$37,"",0,1)),_xlfn.XLOOKUP($C948,Phone_by_Sentiment!$B$2:$B$37,Phone_by_Sentiment!J$2:J$37,"",0,1),0),$A948-TEXT(DATEVALUE($D948&amp;"-01"), "dd-mm-yyyy")),0),0)</f>
        <v>199</v>
      </c>
      <c r="K948" cm="1">
        <f t="array" ref="K948">IF($Q948&gt;=0,IFERROR(generateSalesData($D948, IF(ISNUMBER(_xlfn.XLOOKUP($C948,Phone_by_Sentiment!$B$2:$B$37,Phone_by_Sentiment!K$2:K$37,"",0,1)),_xlfn.XLOOKUP($C948,Phone_by_Sentiment!$B$2:$B$37,Phone_by_Sentiment!K$2:K$37,"",0,1),0),$A948-TEXT(DATEVALUE($D948&amp;"-01"), "dd-mm-yyyy")),0),0)</f>
        <v>2339</v>
      </c>
      <c r="L948" cm="1">
        <f t="array" ref="L948">IF($Q948&gt;=0,IFERROR(generateSalesData($D948, IF(ISNUMBER(_xlfn.XLOOKUP($C948,Phone_by_Sentiment!$B$2:$B$37,Phone_by_Sentiment!L$2:L$37,"",0,1)),_xlfn.XLOOKUP($C948,Phone_by_Sentiment!$B$2:$B$37,Phone_by_Sentiment!L$2:L$37,"",0,1),0),$A948-TEXT(DATEVALUE($D948&amp;"-01"), "dd-mm-yyyy")),0),0)</f>
        <v>1668</v>
      </c>
      <c r="M948" cm="1">
        <f t="array" ref="M948">IF($Q948&gt;=0,IFERROR(generateSalesData($D948, IF(ISNUMBER(_xlfn.XLOOKUP($C948,Phone_by_Sentiment!$B$2:$B$37,Phone_by_Sentiment!M$2:M$37,"",0,1)),_xlfn.XLOOKUP($C948,Phone_by_Sentiment!$B$2:$B$37,Phone_by_Sentiment!M$2:M$37,"",0,1),0),$A948-TEXT(DATEVALUE($D948&amp;"-01"), "dd-mm-yyyy")),0),0)</f>
        <v>2514</v>
      </c>
      <c r="N948" cm="1">
        <f t="array" ref="N948">IF($Q948&gt;=0,IFERROR(generateSalesData($D948, IF(ISNUMBER(_xlfn.XLOOKUP($C948,Phone_by_Sentiment!$B$2:$B$37,Phone_by_Sentiment!N$2:N$37,"",0,1)),_xlfn.XLOOKUP($C948,Phone_by_Sentiment!$B$2:$B$37,Phone_by_Sentiment!N$2:N$37,"",0,1),0),$A948-TEXT(DATEVALUE($D948&amp;"-01"), "dd-mm-yyyy")),0),0)</f>
        <v>1684</v>
      </c>
      <c r="O948" cm="1">
        <f t="array" ref="O948">IF($Q948&gt;=0,IFERROR(generateSalesData($D948, IF(ISNUMBER(_xlfn.XLOOKUP($C948,Phone_by_Sentiment!$B$2:$B$37,Phone_by_Sentiment!O$2:O$37,"",0,1)),_xlfn.XLOOKUP($C948,Phone_by_Sentiment!$B$2:$B$37,Phone_by_Sentiment!O$2:O$37,"",0,1),0),$A948-TEXT(DATEVALUE($D948&amp;"-01"), "dd-mm-yyyy")),0),0)</f>
        <v>2384</v>
      </c>
      <c r="P948" s="1">
        <f t="shared" si="37"/>
        <v>44228</v>
      </c>
      <c r="Q948">
        <f t="shared" si="38"/>
        <v>59</v>
      </c>
    </row>
    <row r="949" spans="1:17" x14ac:dyDescent="0.25">
      <c r="A949" s="1">
        <f t="shared" si="39"/>
        <v>44287</v>
      </c>
      <c r="B949" t="s">
        <v>164</v>
      </c>
      <c r="C949" t="str">
        <f>_xlfn.XLOOKUP(B949,Phone_by_Price!$A$2:$A$34,Phone_by_Price!$B$2:$B$34,"-",0,1)</f>
        <v>Vivo V20</v>
      </c>
      <c r="D949" t="str">
        <f>_xlfn.XLOOKUP(C949,Phone_by_Sentiment!$B$2:$B$37,Phone_by_Sentiment!$A$2:$A$37,"-",0,1)</f>
        <v>2020-10</v>
      </c>
      <c r="E949" cm="1">
        <f t="array" ref="E949">IF($Q949&gt;=0,IFERROR(generateSalesData($D949, IF(ISNUMBER(_xlfn.XLOOKUP($C949,Phone_by_Sentiment!$B$2:$B$37,Phone_by_Sentiment!E$2:E$37,"",0,1)),_xlfn.XLOOKUP($C949,Phone_by_Sentiment!$B$2:$B$37,Phone_by_Sentiment!E$2:E$37,"",0,1),0),$A949-TEXT(DATEVALUE($D949&amp;"-01"), "dd-mm-yyyy")),0),0)</f>
        <v>1727</v>
      </c>
      <c r="F949" cm="1">
        <f t="array" ref="F949">IF($Q949&gt;=0,IFERROR(generateSalesData($D949, IF(ISNUMBER(_xlfn.XLOOKUP($C949,Phone_by_Sentiment!$B$2:$B$37,Phone_by_Sentiment!F$2:F$37,"",0,1)),_xlfn.XLOOKUP($C949,Phone_by_Sentiment!$B$2:$B$37,Phone_by_Sentiment!F$2:F$37,"",0,1),0),$A949-TEXT(DATEVALUE($D949&amp;"-01"), "dd-mm-yyyy")),0),0)</f>
        <v>316</v>
      </c>
      <c r="G949" cm="1">
        <f t="array" ref="G949">IF($Q949&gt;=0,IFERROR(generateSalesData($D949, IF(ISNUMBER(_xlfn.XLOOKUP($C949,Phone_by_Sentiment!$B$2:$B$37,Phone_by_Sentiment!G$2:G$37,"",0,1)),_xlfn.XLOOKUP($C949,Phone_by_Sentiment!$B$2:$B$37,Phone_by_Sentiment!G$2:G$37,"",0,1),0),$A949-TEXT(DATEVALUE($D949&amp;"-01"), "dd-mm-yyyy")),0),0)</f>
        <v>211</v>
      </c>
      <c r="H949" cm="1">
        <f t="array" ref="H949">IF($Q949&gt;=0,IFERROR(generateSalesData($D949, IF(ISNUMBER(_xlfn.XLOOKUP($C949,Phone_by_Sentiment!$B$2:$B$37,Phone_by_Sentiment!H$2:H$37,"",0,1)),_xlfn.XLOOKUP($C949,Phone_by_Sentiment!$B$2:$B$37,Phone_by_Sentiment!H$2:H$37,"",0,1),0),$A949-TEXT(DATEVALUE($D949&amp;"-01"), "dd-mm-yyyy")),0),0)</f>
        <v>288</v>
      </c>
      <c r="I949" cm="1">
        <f t="array" ref="I949">IF($Q949&gt;=0,IFERROR(generateSalesData($D949, IF(ISNUMBER(_xlfn.XLOOKUP($C949,Phone_by_Sentiment!$B$2:$B$37,Phone_by_Sentiment!I$2:I$37,"",0,1)),_xlfn.XLOOKUP($C949,Phone_by_Sentiment!$B$2:$B$37,Phone_by_Sentiment!I$2:I$37,"",0,1),0),$A949-TEXT(DATEVALUE($D949&amp;"-01"), "dd-mm-yyyy")),0),0)</f>
        <v>571</v>
      </c>
      <c r="J949" cm="1">
        <f t="array" ref="J949">IF($Q949&gt;=0,IFERROR(generateSalesData($D949, IF(ISNUMBER(_xlfn.XLOOKUP($C949,Phone_by_Sentiment!$B$2:$B$37,Phone_by_Sentiment!J$2:J$37,"",0,1)),_xlfn.XLOOKUP($C949,Phone_by_Sentiment!$B$2:$B$37,Phone_by_Sentiment!J$2:J$37,"",0,1),0),$A949-TEXT(DATEVALUE($D949&amp;"-01"), "dd-mm-yyyy")),0),0)</f>
        <v>502</v>
      </c>
      <c r="K949" cm="1">
        <f t="array" ref="K949">IF($Q949&gt;=0,IFERROR(generateSalesData($D949, IF(ISNUMBER(_xlfn.XLOOKUP($C949,Phone_by_Sentiment!$B$2:$B$37,Phone_by_Sentiment!K$2:K$37,"",0,1)),_xlfn.XLOOKUP($C949,Phone_by_Sentiment!$B$2:$B$37,Phone_by_Sentiment!K$2:K$37,"",0,1),0),$A949-TEXT(DATEVALUE($D949&amp;"-01"), "dd-mm-yyyy")),0),0)</f>
        <v>477</v>
      </c>
      <c r="L949" cm="1">
        <f t="array" ref="L949">IF($Q949&gt;=0,IFERROR(generateSalesData($D949, IF(ISNUMBER(_xlfn.XLOOKUP($C949,Phone_by_Sentiment!$B$2:$B$37,Phone_by_Sentiment!L$2:L$37,"",0,1)),_xlfn.XLOOKUP($C949,Phone_by_Sentiment!$B$2:$B$37,Phone_by_Sentiment!L$2:L$37,"",0,1),0),$A949-TEXT(DATEVALUE($D949&amp;"-01"), "dd-mm-yyyy")),0),0)</f>
        <v>397</v>
      </c>
      <c r="M949" cm="1">
        <f t="array" ref="M949">IF($Q949&gt;=0,IFERROR(generateSalesData($D949, IF(ISNUMBER(_xlfn.XLOOKUP($C949,Phone_by_Sentiment!$B$2:$B$37,Phone_by_Sentiment!M$2:M$37,"",0,1)),_xlfn.XLOOKUP($C949,Phone_by_Sentiment!$B$2:$B$37,Phone_by_Sentiment!M$2:M$37,"",0,1),0),$A949-TEXT(DATEVALUE($D949&amp;"-01"), "dd-mm-yyyy")),0),0)</f>
        <v>377</v>
      </c>
      <c r="N949" cm="1">
        <f t="array" ref="N949">IF($Q949&gt;=0,IFERROR(generateSalesData($D949, IF(ISNUMBER(_xlfn.XLOOKUP($C949,Phone_by_Sentiment!$B$2:$B$37,Phone_by_Sentiment!N$2:N$37,"",0,1)),_xlfn.XLOOKUP($C949,Phone_by_Sentiment!$B$2:$B$37,Phone_by_Sentiment!N$2:N$37,"",0,1),0),$A949-TEXT(DATEVALUE($D949&amp;"-01"), "dd-mm-yyyy")),0),0)</f>
        <v>458</v>
      </c>
      <c r="O949" cm="1">
        <f t="array" ref="O949">IF($Q949&gt;=0,IFERROR(generateSalesData($D949, IF(ISNUMBER(_xlfn.XLOOKUP($C949,Phone_by_Sentiment!$B$2:$B$37,Phone_by_Sentiment!O$2:O$37,"",0,1)),_xlfn.XLOOKUP($C949,Phone_by_Sentiment!$B$2:$B$37,Phone_by_Sentiment!O$2:O$37,"",0,1),0),$A949-TEXT(DATEVALUE($D949&amp;"-01"), "dd-mm-yyyy")),0),0)</f>
        <v>214</v>
      </c>
      <c r="P949" s="1">
        <f t="shared" si="37"/>
        <v>44105</v>
      </c>
      <c r="Q949">
        <f t="shared" si="38"/>
        <v>182</v>
      </c>
    </row>
    <row r="950" spans="1:17" x14ac:dyDescent="0.25">
      <c r="A950" s="1">
        <f t="shared" si="39"/>
        <v>44287</v>
      </c>
      <c r="B950" t="s">
        <v>165</v>
      </c>
      <c r="C950" t="str">
        <f>_xlfn.XLOOKUP(B950,Phone_by_Price!$A$2:$A$34,Phone_by_Price!$B$2:$B$34,"-",0,1)</f>
        <v>Samsung Galaxy A50</v>
      </c>
      <c r="D950" t="str">
        <f>_xlfn.XLOOKUP(C950,Phone_by_Sentiment!$B$2:$B$37,Phone_by_Sentiment!$A$2:$A$37,"-",0,1)</f>
        <v>2019-05</v>
      </c>
      <c r="E950" cm="1">
        <f t="array" ref="E950">IF($Q950&gt;=0,IFERROR(generateSalesData($D950, IF(ISNUMBER(_xlfn.XLOOKUP($C950,Phone_by_Sentiment!$B$2:$B$37,Phone_by_Sentiment!E$2:E$37,"",0,1)),_xlfn.XLOOKUP($C950,Phone_by_Sentiment!$B$2:$B$37,Phone_by_Sentiment!E$2:E$37,"",0,1),0),$A950-TEXT(DATEVALUE($D950&amp;"-01"), "dd-mm-yyyy")),0),0)</f>
        <v>457</v>
      </c>
      <c r="F950" cm="1">
        <f t="array" ref="F950">IF($Q950&gt;=0,IFERROR(generateSalesData($D950, IF(ISNUMBER(_xlfn.XLOOKUP($C950,Phone_by_Sentiment!$B$2:$B$37,Phone_by_Sentiment!F$2:F$37,"",0,1)),_xlfn.XLOOKUP($C950,Phone_by_Sentiment!$B$2:$B$37,Phone_by_Sentiment!F$2:F$37,"",0,1),0),$A950-TEXT(DATEVALUE($D950&amp;"-01"), "dd-mm-yyyy")),0),0)</f>
        <v>27</v>
      </c>
      <c r="G950" cm="1">
        <f t="array" ref="G950">IF($Q950&gt;=0,IFERROR(generateSalesData($D950, IF(ISNUMBER(_xlfn.XLOOKUP($C950,Phone_by_Sentiment!$B$2:$B$37,Phone_by_Sentiment!G$2:G$37,"",0,1)),_xlfn.XLOOKUP($C950,Phone_by_Sentiment!$B$2:$B$37,Phone_by_Sentiment!G$2:G$37,"",0,1),0),$A950-TEXT(DATEVALUE($D950&amp;"-01"), "dd-mm-yyyy")),0),0)</f>
        <v>82</v>
      </c>
      <c r="H950" cm="1">
        <f t="array" ref="H950">IF($Q950&gt;=0,IFERROR(generateSalesData($D950, IF(ISNUMBER(_xlfn.XLOOKUP($C950,Phone_by_Sentiment!$B$2:$B$37,Phone_by_Sentiment!H$2:H$37,"",0,1)),_xlfn.XLOOKUP($C950,Phone_by_Sentiment!$B$2:$B$37,Phone_by_Sentiment!H$2:H$37,"",0,1),0),$A950-TEXT(DATEVALUE($D950&amp;"-01"), "dd-mm-yyyy")),0),0)</f>
        <v>263</v>
      </c>
      <c r="I950" cm="1">
        <f t="array" ref="I950">IF($Q950&gt;=0,IFERROR(generateSalesData($D950, IF(ISNUMBER(_xlfn.XLOOKUP($C950,Phone_by_Sentiment!$B$2:$B$37,Phone_by_Sentiment!I$2:I$37,"",0,1)),_xlfn.XLOOKUP($C950,Phone_by_Sentiment!$B$2:$B$37,Phone_by_Sentiment!I$2:I$37,"",0,1),0),$A950-TEXT(DATEVALUE($D950&amp;"-01"), "dd-mm-yyyy")),0),0)</f>
        <v>139</v>
      </c>
      <c r="J950" cm="1">
        <f t="array" ref="J950">IF($Q950&gt;=0,IFERROR(generateSalesData($D950, IF(ISNUMBER(_xlfn.XLOOKUP($C950,Phone_by_Sentiment!$B$2:$B$37,Phone_by_Sentiment!J$2:J$37,"",0,1)),_xlfn.XLOOKUP($C950,Phone_by_Sentiment!$B$2:$B$37,Phone_by_Sentiment!J$2:J$37,"",0,1),0),$A950-TEXT(DATEVALUE($D950&amp;"-01"), "dd-mm-yyyy")),0),0)</f>
        <v>151</v>
      </c>
      <c r="K950" cm="1">
        <f t="array" ref="K950">IF($Q950&gt;=0,IFERROR(generateSalesData($D950, IF(ISNUMBER(_xlfn.XLOOKUP($C950,Phone_by_Sentiment!$B$2:$B$37,Phone_by_Sentiment!K$2:K$37,"",0,1)),_xlfn.XLOOKUP($C950,Phone_by_Sentiment!$B$2:$B$37,Phone_by_Sentiment!K$2:K$37,"",0,1),0),$A950-TEXT(DATEVALUE($D950&amp;"-01"), "dd-mm-yyyy")),0),0)</f>
        <v>49</v>
      </c>
      <c r="L950" cm="1">
        <f t="array" ref="L950">IF($Q950&gt;=0,IFERROR(generateSalesData($D950, IF(ISNUMBER(_xlfn.XLOOKUP($C950,Phone_by_Sentiment!$B$2:$B$37,Phone_by_Sentiment!L$2:L$37,"",0,1)),_xlfn.XLOOKUP($C950,Phone_by_Sentiment!$B$2:$B$37,Phone_by_Sentiment!L$2:L$37,"",0,1),0),$A950-TEXT(DATEVALUE($D950&amp;"-01"), "dd-mm-yyyy")),0),0)</f>
        <v>391</v>
      </c>
      <c r="M950" cm="1">
        <f t="array" ref="M950">IF($Q950&gt;=0,IFERROR(generateSalesData($D950, IF(ISNUMBER(_xlfn.XLOOKUP($C950,Phone_by_Sentiment!$B$2:$B$37,Phone_by_Sentiment!M$2:M$37,"",0,1)),_xlfn.XLOOKUP($C950,Phone_by_Sentiment!$B$2:$B$37,Phone_by_Sentiment!M$2:M$37,"",0,1),0),$A950-TEXT(DATEVALUE($D950&amp;"-01"), "dd-mm-yyyy")),0),0)</f>
        <v>117</v>
      </c>
      <c r="N950" cm="1">
        <f t="array" ref="N950">IF($Q950&gt;=0,IFERROR(generateSalesData($D950, IF(ISNUMBER(_xlfn.XLOOKUP($C950,Phone_by_Sentiment!$B$2:$B$37,Phone_by_Sentiment!N$2:N$37,"",0,1)),_xlfn.XLOOKUP($C950,Phone_by_Sentiment!$B$2:$B$37,Phone_by_Sentiment!N$2:N$37,"",0,1),0),$A950-TEXT(DATEVALUE($D950&amp;"-01"), "dd-mm-yyyy")),0),0)</f>
        <v>168</v>
      </c>
      <c r="O950" cm="1">
        <f t="array" ref="O950">IF($Q950&gt;=0,IFERROR(generateSalesData($D950, IF(ISNUMBER(_xlfn.XLOOKUP($C950,Phone_by_Sentiment!$B$2:$B$37,Phone_by_Sentiment!O$2:O$37,"",0,1)),_xlfn.XLOOKUP($C950,Phone_by_Sentiment!$B$2:$B$37,Phone_by_Sentiment!O$2:O$37,"",0,1),0),$A950-TEXT(DATEVALUE($D950&amp;"-01"), "dd-mm-yyyy")),0),0)</f>
        <v>379</v>
      </c>
      <c r="P950" s="1">
        <f t="shared" si="37"/>
        <v>43586</v>
      </c>
      <c r="Q950">
        <f t="shared" si="38"/>
        <v>701</v>
      </c>
    </row>
    <row r="951" spans="1:17" x14ac:dyDescent="0.25">
      <c r="A951" s="1">
        <f t="shared" si="39"/>
        <v>44287</v>
      </c>
      <c r="B951" t="s">
        <v>166</v>
      </c>
      <c r="C951" t="str">
        <f>_xlfn.XLOOKUP(B951,Phone_by_Price!$A$2:$A$34,Phone_by_Price!$B$2:$B$34,"-",0,1)</f>
        <v>Xiaomi Redmi Note 7</v>
      </c>
      <c r="D951" t="str">
        <f>_xlfn.XLOOKUP(C951,Phone_by_Sentiment!$B$2:$B$37,Phone_by_Sentiment!$A$2:$A$37,"-",0,1)</f>
        <v>2019-08</v>
      </c>
      <c r="E951" cm="1">
        <f t="array" ref="E951">IF($Q951&gt;=0,IFERROR(generateSalesData($D951, IF(ISNUMBER(_xlfn.XLOOKUP($C951,Phone_by_Sentiment!$B$2:$B$37,Phone_by_Sentiment!E$2:E$37,"",0,1)),_xlfn.XLOOKUP($C951,Phone_by_Sentiment!$B$2:$B$37,Phone_by_Sentiment!E$2:E$37,"",0,1),0),$A951-TEXT(DATEVALUE($D951&amp;"-01"), "dd-mm-yyyy")),0),0)</f>
        <v>22</v>
      </c>
      <c r="F951" cm="1">
        <f t="array" ref="F951">IF($Q951&gt;=0,IFERROR(generateSalesData($D951, IF(ISNUMBER(_xlfn.XLOOKUP($C951,Phone_by_Sentiment!$B$2:$B$37,Phone_by_Sentiment!F$2:F$37,"",0,1)),_xlfn.XLOOKUP($C951,Phone_by_Sentiment!$B$2:$B$37,Phone_by_Sentiment!F$2:F$37,"",0,1),0),$A951-TEXT(DATEVALUE($D951&amp;"-01"), "dd-mm-yyyy")),0),0)</f>
        <v>93</v>
      </c>
      <c r="G951" cm="1">
        <f t="array" ref="G951">IF($Q951&gt;=0,IFERROR(generateSalesData($D951, IF(ISNUMBER(_xlfn.XLOOKUP($C951,Phone_by_Sentiment!$B$2:$B$37,Phone_by_Sentiment!G$2:G$37,"",0,1)),_xlfn.XLOOKUP($C951,Phone_by_Sentiment!$B$2:$B$37,Phone_by_Sentiment!G$2:G$37,"",0,1),0),$A951-TEXT(DATEVALUE($D951&amp;"-01"), "dd-mm-yyyy")),0),0)</f>
        <v>67</v>
      </c>
      <c r="H951" cm="1">
        <f t="array" ref="H951">IF($Q951&gt;=0,IFERROR(generateSalesData($D951, IF(ISNUMBER(_xlfn.XLOOKUP($C951,Phone_by_Sentiment!$B$2:$B$37,Phone_by_Sentiment!H$2:H$37,"",0,1)),_xlfn.XLOOKUP($C951,Phone_by_Sentiment!$B$2:$B$37,Phone_by_Sentiment!H$2:H$37,"",0,1),0),$A951-TEXT(DATEVALUE($D951&amp;"-01"), "dd-mm-yyyy")),0),0)</f>
        <v>822</v>
      </c>
      <c r="I951" cm="1">
        <f t="array" ref="I951">IF($Q951&gt;=0,IFERROR(generateSalesData($D951, IF(ISNUMBER(_xlfn.XLOOKUP($C951,Phone_by_Sentiment!$B$2:$B$37,Phone_by_Sentiment!I$2:I$37,"",0,1)),_xlfn.XLOOKUP($C951,Phone_by_Sentiment!$B$2:$B$37,Phone_by_Sentiment!I$2:I$37,"",0,1),0),$A951-TEXT(DATEVALUE($D951&amp;"-01"), "dd-mm-yyyy")),0),0)</f>
        <v>50</v>
      </c>
      <c r="J951" cm="1">
        <f t="array" ref="J951">IF($Q951&gt;=0,IFERROR(generateSalesData($D951, IF(ISNUMBER(_xlfn.XLOOKUP($C951,Phone_by_Sentiment!$B$2:$B$37,Phone_by_Sentiment!J$2:J$37,"",0,1)),_xlfn.XLOOKUP($C951,Phone_by_Sentiment!$B$2:$B$37,Phone_by_Sentiment!J$2:J$37,"",0,1),0),$A951-TEXT(DATEVALUE($D951&amp;"-01"), "dd-mm-yyyy")),0),0)</f>
        <v>35</v>
      </c>
      <c r="K951" cm="1">
        <f t="array" ref="K951">IF($Q951&gt;=0,IFERROR(generateSalesData($D951, IF(ISNUMBER(_xlfn.XLOOKUP($C951,Phone_by_Sentiment!$B$2:$B$37,Phone_by_Sentiment!K$2:K$37,"",0,1)),_xlfn.XLOOKUP($C951,Phone_by_Sentiment!$B$2:$B$37,Phone_by_Sentiment!K$2:K$37,"",0,1),0),$A951-TEXT(DATEVALUE($D951&amp;"-01"), "dd-mm-yyyy")),0),0)</f>
        <v>60</v>
      </c>
      <c r="L951" cm="1">
        <f t="array" ref="L951">IF($Q951&gt;=0,IFERROR(generateSalesData($D951, IF(ISNUMBER(_xlfn.XLOOKUP($C951,Phone_by_Sentiment!$B$2:$B$37,Phone_by_Sentiment!L$2:L$37,"",0,1)),_xlfn.XLOOKUP($C951,Phone_by_Sentiment!$B$2:$B$37,Phone_by_Sentiment!L$2:L$37,"",0,1),0),$A951-TEXT(DATEVALUE($D951&amp;"-01"), "dd-mm-yyyy")),0),0)</f>
        <v>106</v>
      </c>
      <c r="M951" cm="1">
        <f t="array" ref="M951">IF($Q951&gt;=0,IFERROR(generateSalesData($D951, IF(ISNUMBER(_xlfn.XLOOKUP($C951,Phone_by_Sentiment!$B$2:$B$37,Phone_by_Sentiment!M$2:M$37,"",0,1)),_xlfn.XLOOKUP($C951,Phone_by_Sentiment!$B$2:$B$37,Phone_by_Sentiment!M$2:M$37,"",0,1),0),$A951-TEXT(DATEVALUE($D951&amp;"-01"), "dd-mm-yyyy")),0),0)</f>
        <v>384</v>
      </c>
      <c r="N951" cm="1">
        <f t="array" ref="N951">IF($Q951&gt;=0,IFERROR(generateSalesData($D951, IF(ISNUMBER(_xlfn.XLOOKUP($C951,Phone_by_Sentiment!$B$2:$B$37,Phone_by_Sentiment!N$2:N$37,"",0,1)),_xlfn.XLOOKUP($C951,Phone_by_Sentiment!$B$2:$B$37,Phone_by_Sentiment!N$2:N$37,"",0,1),0),$A951-TEXT(DATEVALUE($D951&amp;"-01"), "dd-mm-yyyy")),0),0)</f>
        <v>27</v>
      </c>
      <c r="O951" cm="1">
        <f t="array" ref="O951">IF($Q951&gt;=0,IFERROR(generateSalesData($D951, IF(ISNUMBER(_xlfn.XLOOKUP($C951,Phone_by_Sentiment!$B$2:$B$37,Phone_by_Sentiment!O$2:O$37,"",0,1)),_xlfn.XLOOKUP($C951,Phone_by_Sentiment!$B$2:$B$37,Phone_by_Sentiment!O$2:O$37,"",0,1),0),$A951-TEXT(DATEVALUE($D951&amp;"-01"), "dd-mm-yyyy")),0),0)</f>
        <v>274</v>
      </c>
      <c r="P951" s="1">
        <f t="shared" si="37"/>
        <v>43678</v>
      </c>
      <c r="Q951">
        <f t="shared" si="38"/>
        <v>609</v>
      </c>
    </row>
    <row r="952" spans="1:17" x14ac:dyDescent="0.25">
      <c r="A952" s="1">
        <f t="shared" si="39"/>
        <v>44287</v>
      </c>
      <c r="B952" t="s">
        <v>167</v>
      </c>
      <c r="C952" t="str">
        <f>_xlfn.XLOOKUP(B952,Phone_by_Price!$A$2:$A$34,Phone_by_Price!$B$2:$B$34,"-",0,1)</f>
        <v>Realme C21</v>
      </c>
      <c r="D952" t="str">
        <f>_xlfn.XLOOKUP(C952,Phone_by_Sentiment!$B$2:$B$37,Phone_by_Sentiment!$A$2:$A$37,"-",0,1)</f>
        <v>2021-04</v>
      </c>
      <c r="E952" cm="1">
        <f t="array" ref="E952">IF($Q952&gt;=0,IFERROR(generateSalesData($D952, IF(ISNUMBER(_xlfn.XLOOKUP($C952,Phone_by_Sentiment!$B$2:$B$37,Phone_by_Sentiment!E$2:E$37,"",0,1)),_xlfn.XLOOKUP($C952,Phone_by_Sentiment!$B$2:$B$37,Phone_by_Sentiment!E$2:E$37,"",0,1),0),$A952-TEXT(DATEVALUE($D952&amp;"-01"), "dd-mm-yyyy")),0),0)</f>
        <v>2196</v>
      </c>
      <c r="F952" cm="1">
        <f t="array" ref="F952">IF($Q952&gt;=0,IFERROR(generateSalesData($D952, IF(ISNUMBER(_xlfn.XLOOKUP($C952,Phone_by_Sentiment!$B$2:$B$37,Phone_by_Sentiment!F$2:F$37,"",0,1)),_xlfn.XLOOKUP($C952,Phone_by_Sentiment!$B$2:$B$37,Phone_by_Sentiment!F$2:F$37,"",0,1),0),$A952-TEXT(DATEVALUE($D952&amp;"-01"), "dd-mm-yyyy")),0),0)</f>
        <v>2629</v>
      </c>
      <c r="G952" cm="1">
        <f t="array" ref="G952">IF($Q952&gt;=0,IFERROR(generateSalesData($D952, IF(ISNUMBER(_xlfn.XLOOKUP($C952,Phone_by_Sentiment!$B$2:$B$37,Phone_by_Sentiment!G$2:G$37,"",0,1)),_xlfn.XLOOKUP($C952,Phone_by_Sentiment!$B$2:$B$37,Phone_by_Sentiment!G$2:G$37,"",0,1),0),$A952-TEXT(DATEVALUE($D952&amp;"-01"), "dd-mm-yyyy")),0),0)</f>
        <v>1644</v>
      </c>
      <c r="H952" cm="1">
        <f t="array" ref="H952">IF($Q952&gt;=0,IFERROR(generateSalesData($D952, IF(ISNUMBER(_xlfn.XLOOKUP($C952,Phone_by_Sentiment!$B$2:$B$37,Phone_by_Sentiment!H$2:H$37,"",0,1)),_xlfn.XLOOKUP($C952,Phone_by_Sentiment!$B$2:$B$37,Phone_by_Sentiment!H$2:H$37,"",0,1),0),$A952-TEXT(DATEVALUE($D952&amp;"-01"), "dd-mm-yyyy")),0),0)</f>
        <v>6270</v>
      </c>
      <c r="I952" cm="1">
        <f t="array" ref="I952">IF($Q952&gt;=0,IFERROR(generateSalesData($D952, IF(ISNUMBER(_xlfn.XLOOKUP($C952,Phone_by_Sentiment!$B$2:$B$37,Phone_by_Sentiment!I$2:I$37,"",0,1)),_xlfn.XLOOKUP($C952,Phone_by_Sentiment!$B$2:$B$37,Phone_by_Sentiment!I$2:I$37,"",0,1),0),$A952-TEXT(DATEVALUE($D952&amp;"-01"), "dd-mm-yyyy")),0),0)</f>
        <v>4397</v>
      </c>
      <c r="J952" cm="1">
        <f t="array" ref="J952">IF($Q952&gt;=0,IFERROR(generateSalesData($D952, IF(ISNUMBER(_xlfn.XLOOKUP($C952,Phone_by_Sentiment!$B$2:$B$37,Phone_by_Sentiment!J$2:J$37,"",0,1)),_xlfn.XLOOKUP($C952,Phone_by_Sentiment!$B$2:$B$37,Phone_by_Sentiment!J$2:J$37,"",0,1),0),$A952-TEXT(DATEVALUE($D952&amp;"-01"), "dd-mm-yyyy")),0),0)</f>
        <v>2982</v>
      </c>
      <c r="K952" cm="1">
        <f t="array" ref="K952">IF($Q952&gt;=0,IFERROR(generateSalesData($D952, IF(ISNUMBER(_xlfn.XLOOKUP($C952,Phone_by_Sentiment!$B$2:$B$37,Phone_by_Sentiment!K$2:K$37,"",0,1)),_xlfn.XLOOKUP($C952,Phone_by_Sentiment!$B$2:$B$37,Phone_by_Sentiment!K$2:K$37,"",0,1),0),$A952-TEXT(DATEVALUE($D952&amp;"-01"), "dd-mm-yyyy")),0),0)</f>
        <v>6391</v>
      </c>
      <c r="L952" cm="1">
        <f t="array" ref="L952">IF($Q952&gt;=0,IFERROR(generateSalesData($D952, IF(ISNUMBER(_xlfn.XLOOKUP($C952,Phone_by_Sentiment!$B$2:$B$37,Phone_by_Sentiment!L$2:L$37,"",0,1)),_xlfn.XLOOKUP($C952,Phone_by_Sentiment!$B$2:$B$37,Phone_by_Sentiment!L$2:L$37,"",0,1),0),$A952-TEXT(DATEVALUE($D952&amp;"-01"), "dd-mm-yyyy")),0),0)</f>
        <v>3238</v>
      </c>
      <c r="M952" cm="1">
        <f t="array" ref="M952">IF($Q952&gt;=0,IFERROR(generateSalesData($D952, IF(ISNUMBER(_xlfn.XLOOKUP($C952,Phone_by_Sentiment!$B$2:$B$37,Phone_by_Sentiment!M$2:M$37,"",0,1)),_xlfn.XLOOKUP($C952,Phone_by_Sentiment!$B$2:$B$37,Phone_by_Sentiment!M$2:M$37,"",0,1),0),$A952-TEXT(DATEVALUE($D952&amp;"-01"), "dd-mm-yyyy")),0),0)</f>
        <v>2128</v>
      </c>
      <c r="N952" cm="1">
        <f t="array" ref="N952">IF($Q952&gt;=0,IFERROR(generateSalesData($D952, IF(ISNUMBER(_xlfn.XLOOKUP($C952,Phone_by_Sentiment!$B$2:$B$37,Phone_by_Sentiment!N$2:N$37,"",0,1)),_xlfn.XLOOKUP($C952,Phone_by_Sentiment!$B$2:$B$37,Phone_by_Sentiment!N$2:N$37,"",0,1),0),$A952-TEXT(DATEVALUE($D952&amp;"-01"), "dd-mm-yyyy")),0),0)</f>
        <v>10620</v>
      </c>
      <c r="O952" cm="1">
        <f t="array" ref="O952">IF($Q952&gt;=0,IFERROR(generateSalesData($D952, IF(ISNUMBER(_xlfn.XLOOKUP($C952,Phone_by_Sentiment!$B$2:$B$37,Phone_by_Sentiment!O$2:O$37,"",0,1)),_xlfn.XLOOKUP($C952,Phone_by_Sentiment!$B$2:$B$37,Phone_by_Sentiment!O$2:O$37,"",0,1),0),$A952-TEXT(DATEVALUE($D952&amp;"-01"), "dd-mm-yyyy")),0),0)</f>
        <v>1788</v>
      </c>
      <c r="P952" s="1">
        <f t="shared" si="37"/>
        <v>44287</v>
      </c>
      <c r="Q952">
        <f t="shared" si="38"/>
        <v>0</v>
      </c>
    </row>
    <row r="953" spans="1:17" x14ac:dyDescent="0.25">
      <c r="A953" s="1">
        <f t="shared" si="39"/>
        <v>44287</v>
      </c>
      <c r="B953" t="s">
        <v>168</v>
      </c>
      <c r="C953" t="str">
        <f>_xlfn.XLOOKUP(B953,Phone_by_Price!$A$2:$A$34,Phone_by_Price!$B$2:$B$34,"-",0,1)</f>
        <v>Google Pixel 4</v>
      </c>
      <c r="D953" t="str">
        <f>_xlfn.XLOOKUP(C953,Phone_by_Sentiment!$B$2:$B$37,Phone_by_Sentiment!$A$2:$A$37,"-",0,1)</f>
        <v>2019-09</v>
      </c>
      <c r="E953" cm="1">
        <f t="array" ref="E953">IF($Q953&gt;=0,IFERROR(generateSalesData($D953, IF(ISNUMBER(_xlfn.XLOOKUP($C953,Phone_by_Sentiment!$B$2:$B$37,Phone_by_Sentiment!E$2:E$37,"",0,1)),_xlfn.XLOOKUP($C953,Phone_by_Sentiment!$B$2:$B$37,Phone_by_Sentiment!E$2:E$37,"",0,1),0),$A953-TEXT(DATEVALUE($D953&amp;"-01"), "dd-mm-yyyy")),0),0)</f>
        <v>508</v>
      </c>
      <c r="F953" cm="1">
        <f t="array" ref="F953">IF($Q953&gt;=0,IFERROR(generateSalesData($D953, IF(ISNUMBER(_xlfn.XLOOKUP($C953,Phone_by_Sentiment!$B$2:$B$37,Phone_by_Sentiment!F$2:F$37,"",0,1)),_xlfn.XLOOKUP($C953,Phone_by_Sentiment!$B$2:$B$37,Phone_by_Sentiment!F$2:F$37,"",0,1),0),$A953-TEXT(DATEVALUE($D953&amp;"-01"), "dd-mm-yyyy")),0),0)</f>
        <v>90</v>
      </c>
      <c r="G953" cm="1">
        <f t="array" ref="G953">IF($Q953&gt;=0,IFERROR(generateSalesData($D953, IF(ISNUMBER(_xlfn.XLOOKUP($C953,Phone_by_Sentiment!$B$2:$B$37,Phone_by_Sentiment!G$2:G$37,"",0,1)),_xlfn.XLOOKUP($C953,Phone_by_Sentiment!$B$2:$B$37,Phone_by_Sentiment!G$2:G$37,"",0,1),0),$A953-TEXT(DATEVALUE($D953&amp;"-01"), "dd-mm-yyyy")),0),0)</f>
        <v>89</v>
      </c>
      <c r="H953" cm="1">
        <f t="array" ref="H953">IF($Q953&gt;=0,IFERROR(generateSalesData($D953, IF(ISNUMBER(_xlfn.XLOOKUP($C953,Phone_by_Sentiment!$B$2:$B$37,Phone_by_Sentiment!H$2:H$37,"",0,1)),_xlfn.XLOOKUP($C953,Phone_by_Sentiment!$B$2:$B$37,Phone_by_Sentiment!H$2:H$37,"",0,1),0),$A953-TEXT(DATEVALUE($D953&amp;"-01"), "dd-mm-yyyy")),0),0)</f>
        <v>151</v>
      </c>
      <c r="I953" cm="1">
        <f t="array" ref="I953">IF($Q953&gt;=0,IFERROR(generateSalesData($D953, IF(ISNUMBER(_xlfn.XLOOKUP($C953,Phone_by_Sentiment!$B$2:$B$37,Phone_by_Sentiment!I$2:I$37,"",0,1)),_xlfn.XLOOKUP($C953,Phone_by_Sentiment!$B$2:$B$37,Phone_by_Sentiment!I$2:I$37,"",0,1),0),$A953-TEXT(DATEVALUE($D953&amp;"-01"), "dd-mm-yyyy")),0),0)</f>
        <v>113</v>
      </c>
      <c r="J953" cm="1">
        <f t="array" ref="J953">IF($Q953&gt;=0,IFERROR(generateSalesData($D953, IF(ISNUMBER(_xlfn.XLOOKUP($C953,Phone_by_Sentiment!$B$2:$B$37,Phone_by_Sentiment!J$2:J$37,"",0,1)),_xlfn.XLOOKUP($C953,Phone_by_Sentiment!$B$2:$B$37,Phone_by_Sentiment!J$2:J$37,"",0,1),0),$A953-TEXT(DATEVALUE($D953&amp;"-01"), "dd-mm-yyyy")),0),0)</f>
        <v>85</v>
      </c>
      <c r="K953" cm="1">
        <f t="array" ref="K953">IF($Q953&gt;=0,IFERROR(generateSalesData($D953, IF(ISNUMBER(_xlfn.XLOOKUP($C953,Phone_by_Sentiment!$B$2:$B$37,Phone_by_Sentiment!K$2:K$37,"",0,1)),_xlfn.XLOOKUP($C953,Phone_by_Sentiment!$B$2:$B$37,Phone_by_Sentiment!K$2:K$37,"",0,1),0),$A953-TEXT(DATEVALUE($D953&amp;"-01"), "dd-mm-yyyy")),0),0)</f>
        <v>225</v>
      </c>
      <c r="L953" cm="1">
        <f t="array" ref="L953">IF($Q953&gt;=0,IFERROR(generateSalesData($D953, IF(ISNUMBER(_xlfn.XLOOKUP($C953,Phone_by_Sentiment!$B$2:$B$37,Phone_by_Sentiment!L$2:L$37,"",0,1)),_xlfn.XLOOKUP($C953,Phone_by_Sentiment!$B$2:$B$37,Phone_by_Sentiment!L$2:L$37,"",0,1),0),$A953-TEXT(DATEVALUE($D953&amp;"-01"), "dd-mm-yyyy")),0),0)</f>
        <v>173</v>
      </c>
      <c r="M953" cm="1">
        <f t="array" ref="M953">IF($Q953&gt;=0,IFERROR(generateSalesData($D953, IF(ISNUMBER(_xlfn.XLOOKUP($C953,Phone_by_Sentiment!$B$2:$B$37,Phone_by_Sentiment!M$2:M$37,"",0,1)),_xlfn.XLOOKUP($C953,Phone_by_Sentiment!$B$2:$B$37,Phone_by_Sentiment!M$2:M$37,"",0,1),0),$A953-TEXT(DATEVALUE($D953&amp;"-01"), "dd-mm-yyyy")),0),0)</f>
        <v>142</v>
      </c>
      <c r="N953" cm="1">
        <f t="array" ref="N953">IF($Q953&gt;=0,IFERROR(generateSalesData($D953, IF(ISNUMBER(_xlfn.XLOOKUP($C953,Phone_by_Sentiment!$B$2:$B$37,Phone_by_Sentiment!N$2:N$37,"",0,1)),_xlfn.XLOOKUP($C953,Phone_by_Sentiment!$B$2:$B$37,Phone_by_Sentiment!N$2:N$37,"",0,1),0),$A953-TEXT(DATEVALUE($D953&amp;"-01"), "dd-mm-yyyy")),0),0)</f>
        <v>278</v>
      </c>
      <c r="O953" cm="1">
        <f t="array" ref="O953">IF($Q953&gt;=0,IFERROR(generateSalesData($D953, IF(ISNUMBER(_xlfn.XLOOKUP($C953,Phone_by_Sentiment!$B$2:$B$37,Phone_by_Sentiment!O$2:O$37,"",0,1)),_xlfn.XLOOKUP($C953,Phone_by_Sentiment!$B$2:$B$37,Phone_by_Sentiment!O$2:O$37,"",0,1),0),$A953-TEXT(DATEVALUE($D953&amp;"-01"), "dd-mm-yyyy")),0),0)</f>
        <v>169</v>
      </c>
      <c r="P953" s="1">
        <f t="shared" si="37"/>
        <v>43709</v>
      </c>
      <c r="Q953">
        <f t="shared" si="38"/>
        <v>578</v>
      </c>
    </row>
    <row r="954" spans="1:17" x14ac:dyDescent="0.25">
      <c r="A954" s="1">
        <f t="shared" si="39"/>
        <v>44287</v>
      </c>
      <c r="B954" t="s">
        <v>169</v>
      </c>
      <c r="C954" t="str">
        <f>_xlfn.XLOOKUP(B954,Phone_by_Price!$A$2:$A$34,Phone_by_Price!$B$2:$B$34,"-",0,1)</f>
        <v>Samsung Galaxy A10s</v>
      </c>
      <c r="D954" t="str">
        <f>_xlfn.XLOOKUP(C954,Phone_by_Sentiment!$B$2:$B$37,Phone_by_Sentiment!$A$2:$A$37,"-",0,1)</f>
        <v>2019-08</v>
      </c>
      <c r="E954" cm="1">
        <f t="array" ref="E954">IF($Q954&gt;=0,IFERROR(generateSalesData($D954, IF(ISNUMBER(_xlfn.XLOOKUP($C954,Phone_by_Sentiment!$B$2:$B$37,Phone_by_Sentiment!E$2:E$37,"",0,1)),_xlfn.XLOOKUP($C954,Phone_by_Sentiment!$B$2:$B$37,Phone_by_Sentiment!E$2:E$37,"",0,1),0),$A954-TEXT(DATEVALUE($D954&amp;"-01"), "dd-mm-yyyy")),0),0)</f>
        <v>89</v>
      </c>
      <c r="F954" cm="1">
        <f t="array" ref="F954">IF($Q954&gt;=0,IFERROR(generateSalesData($D954, IF(ISNUMBER(_xlfn.XLOOKUP($C954,Phone_by_Sentiment!$B$2:$B$37,Phone_by_Sentiment!F$2:F$37,"",0,1)),_xlfn.XLOOKUP($C954,Phone_by_Sentiment!$B$2:$B$37,Phone_by_Sentiment!F$2:F$37,"",0,1),0),$A954-TEXT(DATEVALUE($D954&amp;"-01"), "dd-mm-yyyy")),0),0)</f>
        <v>69</v>
      </c>
      <c r="G954" cm="1">
        <f t="array" ref="G954">IF($Q954&gt;=0,IFERROR(generateSalesData($D954, IF(ISNUMBER(_xlfn.XLOOKUP($C954,Phone_by_Sentiment!$B$2:$B$37,Phone_by_Sentiment!G$2:G$37,"",0,1)),_xlfn.XLOOKUP($C954,Phone_by_Sentiment!$B$2:$B$37,Phone_by_Sentiment!G$2:G$37,"",0,1),0),$A954-TEXT(DATEVALUE($D954&amp;"-01"), "dd-mm-yyyy")),0),0)</f>
        <v>17</v>
      </c>
      <c r="H954" cm="1">
        <f t="array" ref="H954">IF($Q954&gt;=0,IFERROR(generateSalesData($D954, IF(ISNUMBER(_xlfn.XLOOKUP($C954,Phone_by_Sentiment!$B$2:$B$37,Phone_by_Sentiment!H$2:H$37,"",0,1)),_xlfn.XLOOKUP($C954,Phone_by_Sentiment!$B$2:$B$37,Phone_by_Sentiment!H$2:H$37,"",0,1),0),$A954-TEXT(DATEVALUE($D954&amp;"-01"), "dd-mm-yyyy")),0),0)</f>
        <v>22</v>
      </c>
      <c r="I954" cm="1">
        <f t="array" ref="I954">IF($Q954&gt;=0,IFERROR(generateSalesData($D954, IF(ISNUMBER(_xlfn.XLOOKUP($C954,Phone_by_Sentiment!$B$2:$B$37,Phone_by_Sentiment!I$2:I$37,"",0,1)),_xlfn.XLOOKUP($C954,Phone_by_Sentiment!$B$2:$B$37,Phone_by_Sentiment!I$2:I$37,"",0,1),0),$A954-TEXT(DATEVALUE($D954&amp;"-01"), "dd-mm-yyyy")),0),0)</f>
        <v>353</v>
      </c>
      <c r="J954" cm="1">
        <f t="array" ref="J954">IF($Q954&gt;=0,IFERROR(generateSalesData($D954, IF(ISNUMBER(_xlfn.XLOOKUP($C954,Phone_by_Sentiment!$B$2:$B$37,Phone_by_Sentiment!J$2:J$37,"",0,1)),_xlfn.XLOOKUP($C954,Phone_by_Sentiment!$B$2:$B$37,Phone_by_Sentiment!J$2:J$37,"",0,1),0),$A954-TEXT(DATEVALUE($D954&amp;"-01"), "dd-mm-yyyy")),0),0)</f>
        <v>350</v>
      </c>
      <c r="K954" cm="1">
        <f t="array" ref="K954">IF($Q954&gt;=0,IFERROR(generateSalesData($D954, IF(ISNUMBER(_xlfn.XLOOKUP($C954,Phone_by_Sentiment!$B$2:$B$37,Phone_by_Sentiment!K$2:K$37,"",0,1)),_xlfn.XLOOKUP($C954,Phone_by_Sentiment!$B$2:$B$37,Phone_by_Sentiment!K$2:K$37,"",0,1),0),$A954-TEXT(DATEVALUE($D954&amp;"-01"), "dd-mm-yyyy")),0),0)</f>
        <v>535</v>
      </c>
      <c r="L954" cm="1">
        <f t="array" ref="L954">IF($Q954&gt;=0,IFERROR(generateSalesData($D954, IF(ISNUMBER(_xlfn.XLOOKUP($C954,Phone_by_Sentiment!$B$2:$B$37,Phone_by_Sentiment!L$2:L$37,"",0,1)),_xlfn.XLOOKUP($C954,Phone_by_Sentiment!$B$2:$B$37,Phone_by_Sentiment!L$2:L$37,"",0,1),0),$A954-TEXT(DATEVALUE($D954&amp;"-01"), "dd-mm-yyyy")),0),0)</f>
        <v>111</v>
      </c>
      <c r="M954" cm="1">
        <f t="array" ref="M954">IF($Q954&gt;=0,IFERROR(generateSalesData($D954, IF(ISNUMBER(_xlfn.XLOOKUP($C954,Phone_by_Sentiment!$B$2:$B$37,Phone_by_Sentiment!M$2:M$37,"",0,1)),_xlfn.XLOOKUP($C954,Phone_by_Sentiment!$B$2:$B$37,Phone_by_Sentiment!M$2:M$37,"",0,1),0),$A954-TEXT(DATEVALUE($D954&amp;"-01"), "dd-mm-yyyy")),0),0)</f>
        <v>47</v>
      </c>
      <c r="N954" cm="1">
        <f t="array" ref="N954">IF($Q954&gt;=0,IFERROR(generateSalesData($D954, IF(ISNUMBER(_xlfn.XLOOKUP($C954,Phone_by_Sentiment!$B$2:$B$37,Phone_by_Sentiment!N$2:N$37,"",0,1)),_xlfn.XLOOKUP($C954,Phone_by_Sentiment!$B$2:$B$37,Phone_by_Sentiment!N$2:N$37,"",0,1),0),$A954-TEXT(DATEVALUE($D954&amp;"-01"), "dd-mm-yyyy")),0),0)</f>
        <v>151</v>
      </c>
      <c r="O954" cm="1">
        <f t="array" ref="O954">IF($Q954&gt;=0,IFERROR(generateSalesData($D954, IF(ISNUMBER(_xlfn.XLOOKUP($C954,Phone_by_Sentiment!$B$2:$B$37,Phone_by_Sentiment!O$2:O$37,"",0,1)),_xlfn.XLOOKUP($C954,Phone_by_Sentiment!$B$2:$B$37,Phone_by_Sentiment!O$2:O$37,"",0,1),0),$A954-TEXT(DATEVALUE($D954&amp;"-01"), "dd-mm-yyyy")),0),0)</f>
        <v>194</v>
      </c>
      <c r="P954" s="1">
        <f t="shared" si="37"/>
        <v>43678</v>
      </c>
      <c r="Q954">
        <f t="shared" si="38"/>
        <v>609</v>
      </c>
    </row>
    <row r="955" spans="1:17" x14ac:dyDescent="0.25">
      <c r="A955" s="1">
        <f t="shared" si="39"/>
        <v>44287</v>
      </c>
      <c r="B955" t="s">
        <v>170</v>
      </c>
      <c r="C955" t="str">
        <f>_xlfn.XLOOKUP(B955,Phone_by_Price!$A$2:$A$34,Phone_by_Price!$B$2:$B$34,"-",0,1)</f>
        <v>Realme Narzo 30A</v>
      </c>
      <c r="D955" t="str">
        <f>_xlfn.XLOOKUP(C955,Phone_by_Sentiment!$B$2:$B$37,Phone_by_Sentiment!$A$2:$A$37,"-",0,1)</f>
        <v>2021-02</v>
      </c>
      <c r="E955" cm="1">
        <f t="array" ref="E955">IF($Q955&gt;=0,IFERROR(generateSalesData($D955, IF(ISNUMBER(_xlfn.XLOOKUP($C955,Phone_by_Sentiment!$B$2:$B$37,Phone_by_Sentiment!E$2:E$37,"",0,1)),_xlfn.XLOOKUP($C955,Phone_by_Sentiment!$B$2:$B$37,Phone_by_Sentiment!E$2:E$37,"",0,1),0),$A955-TEXT(DATEVALUE($D955&amp;"-01"), "dd-mm-yyyy")),0),0)</f>
        <v>1136</v>
      </c>
      <c r="F955" cm="1">
        <f t="array" ref="F955">IF($Q955&gt;=0,IFERROR(generateSalesData($D955, IF(ISNUMBER(_xlfn.XLOOKUP($C955,Phone_by_Sentiment!$B$2:$B$37,Phone_by_Sentiment!F$2:F$37,"",0,1)),_xlfn.XLOOKUP($C955,Phone_by_Sentiment!$B$2:$B$37,Phone_by_Sentiment!F$2:F$37,"",0,1),0),$A955-TEXT(DATEVALUE($D955&amp;"-01"), "dd-mm-yyyy")),0),0)</f>
        <v>1088</v>
      </c>
      <c r="G955" cm="1">
        <f t="array" ref="G955">IF($Q955&gt;=0,IFERROR(generateSalesData($D955, IF(ISNUMBER(_xlfn.XLOOKUP($C955,Phone_by_Sentiment!$B$2:$B$37,Phone_by_Sentiment!G$2:G$37,"",0,1)),_xlfn.XLOOKUP($C955,Phone_by_Sentiment!$B$2:$B$37,Phone_by_Sentiment!G$2:G$37,"",0,1),0),$A955-TEXT(DATEVALUE($D955&amp;"-01"), "dd-mm-yyyy")),0),0)</f>
        <v>1763</v>
      </c>
      <c r="H955" cm="1">
        <f t="array" ref="H955">IF($Q955&gt;=0,IFERROR(generateSalesData($D955, IF(ISNUMBER(_xlfn.XLOOKUP($C955,Phone_by_Sentiment!$B$2:$B$37,Phone_by_Sentiment!H$2:H$37,"",0,1)),_xlfn.XLOOKUP($C955,Phone_by_Sentiment!$B$2:$B$37,Phone_by_Sentiment!H$2:H$37,"",0,1),0),$A955-TEXT(DATEVALUE($D955&amp;"-01"), "dd-mm-yyyy")),0),0)</f>
        <v>736</v>
      </c>
      <c r="I955" cm="1">
        <f t="array" ref="I955">IF($Q955&gt;=0,IFERROR(generateSalesData($D955, IF(ISNUMBER(_xlfn.XLOOKUP($C955,Phone_by_Sentiment!$B$2:$B$37,Phone_by_Sentiment!I$2:I$37,"",0,1)),_xlfn.XLOOKUP($C955,Phone_by_Sentiment!$B$2:$B$37,Phone_by_Sentiment!I$2:I$37,"",0,1),0),$A955-TEXT(DATEVALUE($D955&amp;"-01"), "dd-mm-yyyy")),0),0)</f>
        <v>3279</v>
      </c>
      <c r="J955" cm="1">
        <f t="array" ref="J955">IF($Q955&gt;=0,IFERROR(generateSalesData($D955, IF(ISNUMBER(_xlfn.XLOOKUP($C955,Phone_by_Sentiment!$B$2:$B$37,Phone_by_Sentiment!J$2:J$37,"",0,1)),_xlfn.XLOOKUP($C955,Phone_by_Sentiment!$B$2:$B$37,Phone_by_Sentiment!J$2:J$37,"",0,1),0),$A955-TEXT(DATEVALUE($D955&amp;"-01"), "dd-mm-yyyy")),0),0)</f>
        <v>-262</v>
      </c>
      <c r="K955" cm="1">
        <f t="array" ref="K955">IF($Q955&gt;=0,IFERROR(generateSalesData($D955, IF(ISNUMBER(_xlfn.XLOOKUP($C955,Phone_by_Sentiment!$B$2:$B$37,Phone_by_Sentiment!K$2:K$37,"",0,1)),_xlfn.XLOOKUP($C955,Phone_by_Sentiment!$B$2:$B$37,Phone_by_Sentiment!K$2:K$37,"",0,1),0),$A955-TEXT(DATEVALUE($D955&amp;"-01"), "dd-mm-yyyy")),0),0)</f>
        <v>2774</v>
      </c>
      <c r="L955" cm="1">
        <f t="array" ref="L955">IF($Q955&gt;=0,IFERROR(generateSalesData($D955, IF(ISNUMBER(_xlfn.XLOOKUP($C955,Phone_by_Sentiment!$B$2:$B$37,Phone_by_Sentiment!L$2:L$37,"",0,1)),_xlfn.XLOOKUP($C955,Phone_by_Sentiment!$B$2:$B$37,Phone_by_Sentiment!L$2:L$37,"",0,1),0),$A955-TEXT(DATEVALUE($D955&amp;"-01"), "dd-mm-yyyy")),0),0)</f>
        <v>2542</v>
      </c>
      <c r="M955" cm="1">
        <f t="array" ref="M955">IF($Q955&gt;=0,IFERROR(generateSalesData($D955, IF(ISNUMBER(_xlfn.XLOOKUP($C955,Phone_by_Sentiment!$B$2:$B$37,Phone_by_Sentiment!M$2:M$37,"",0,1)),_xlfn.XLOOKUP($C955,Phone_by_Sentiment!$B$2:$B$37,Phone_by_Sentiment!M$2:M$37,"",0,1),0),$A955-TEXT(DATEVALUE($D955&amp;"-01"), "dd-mm-yyyy")),0),0)</f>
        <v>644</v>
      </c>
      <c r="N955" cm="1">
        <f t="array" ref="N955">IF($Q955&gt;=0,IFERROR(generateSalesData($D955, IF(ISNUMBER(_xlfn.XLOOKUP($C955,Phone_by_Sentiment!$B$2:$B$37,Phone_by_Sentiment!N$2:N$37,"",0,1)),_xlfn.XLOOKUP($C955,Phone_by_Sentiment!$B$2:$B$37,Phone_by_Sentiment!N$2:N$37,"",0,1),0),$A955-TEXT(DATEVALUE($D955&amp;"-01"), "dd-mm-yyyy")),0),0)</f>
        <v>-217</v>
      </c>
      <c r="O955" cm="1">
        <f t="array" ref="O955">IF($Q955&gt;=0,IFERROR(generateSalesData($D955, IF(ISNUMBER(_xlfn.XLOOKUP($C955,Phone_by_Sentiment!$B$2:$B$37,Phone_by_Sentiment!O$2:O$37,"",0,1)),_xlfn.XLOOKUP($C955,Phone_by_Sentiment!$B$2:$B$37,Phone_by_Sentiment!O$2:O$37,"",0,1),0),$A955-TEXT(DATEVALUE($D955&amp;"-01"), "dd-mm-yyyy")),0),0)</f>
        <v>996</v>
      </c>
      <c r="P955" s="1">
        <f t="shared" si="37"/>
        <v>44228</v>
      </c>
      <c r="Q955">
        <f t="shared" si="38"/>
        <v>59</v>
      </c>
    </row>
    <row r="956" spans="1:17" x14ac:dyDescent="0.25">
      <c r="A956" s="1">
        <f t="shared" si="39"/>
        <v>44287</v>
      </c>
      <c r="B956" t="s">
        <v>171</v>
      </c>
      <c r="C956" t="str">
        <f>_xlfn.XLOOKUP(B956,Phone_by_Price!$A$2:$A$34,Phone_by_Price!$B$2:$B$34,"-",0,1)</f>
        <v>Samsung Galaxy A22 5G</v>
      </c>
      <c r="D956" t="str">
        <f>_xlfn.XLOOKUP(C956,Phone_by_Sentiment!$B$2:$B$37,Phone_by_Sentiment!$A$2:$A$37,"-",0,1)</f>
        <v>2021-05</v>
      </c>
      <c r="E956" cm="1">
        <f t="array" ref="E956">IF($Q956&gt;=0,IFERROR(generateSalesData($D956, IF(ISNUMBER(_xlfn.XLOOKUP($C956,Phone_by_Sentiment!$B$2:$B$37,Phone_by_Sentiment!E$2:E$37,"",0,1)),_xlfn.XLOOKUP($C956,Phone_by_Sentiment!$B$2:$B$37,Phone_by_Sentiment!E$2:E$37,"",0,1),0),$A956-TEXT(DATEVALUE($D956&amp;"-01"), "dd-mm-yyyy")),0),0)</f>
        <v>0</v>
      </c>
      <c r="F956" cm="1">
        <f t="array" ref="F956">IF($Q956&gt;=0,IFERROR(generateSalesData($D956, IF(ISNUMBER(_xlfn.XLOOKUP($C956,Phone_by_Sentiment!$B$2:$B$37,Phone_by_Sentiment!F$2:F$37,"",0,1)),_xlfn.XLOOKUP($C956,Phone_by_Sentiment!$B$2:$B$37,Phone_by_Sentiment!F$2:F$37,"",0,1),0),$A956-TEXT(DATEVALUE($D956&amp;"-01"), "dd-mm-yyyy")),0),0)</f>
        <v>0</v>
      </c>
      <c r="G956" cm="1">
        <f t="array" ref="G956">IF($Q956&gt;=0,IFERROR(generateSalesData($D956, IF(ISNUMBER(_xlfn.XLOOKUP($C956,Phone_by_Sentiment!$B$2:$B$37,Phone_by_Sentiment!G$2:G$37,"",0,1)),_xlfn.XLOOKUP($C956,Phone_by_Sentiment!$B$2:$B$37,Phone_by_Sentiment!G$2:G$37,"",0,1),0),$A956-TEXT(DATEVALUE($D956&amp;"-01"), "dd-mm-yyyy")),0),0)</f>
        <v>0</v>
      </c>
      <c r="H956" cm="1">
        <f t="array" ref="H956">IF($Q956&gt;=0,IFERROR(generateSalesData($D956, IF(ISNUMBER(_xlfn.XLOOKUP($C956,Phone_by_Sentiment!$B$2:$B$37,Phone_by_Sentiment!H$2:H$37,"",0,1)),_xlfn.XLOOKUP($C956,Phone_by_Sentiment!$B$2:$B$37,Phone_by_Sentiment!H$2:H$37,"",0,1),0),$A956-TEXT(DATEVALUE($D956&amp;"-01"), "dd-mm-yyyy")),0),0)</f>
        <v>0</v>
      </c>
      <c r="I956" cm="1">
        <f t="array" ref="I956">IF($Q956&gt;=0,IFERROR(generateSalesData($D956, IF(ISNUMBER(_xlfn.XLOOKUP($C956,Phone_by_Sentiment!$B$2:$B$37,Phone_by_Sentiment!I$2:I$37,"",0,1)),_xlfn.XLOOKUP($C956,Phone_by_Sentiment!$B$2:$B$37,Phone_by_Sentiment!I$2:I$37,"",0,1),0),$A956-TEXT(DATEVALUE($D956&amp;"-01"), "dd-mm-yyyy")),0),0)</f>
        <v>0</v>
      </c>
      <c r="J956" cm="1">
        <f t="array" ref="J956">IF($Q956&gt;=0,IFERROR(generateSalesData($D956, IF(ISNUMBER(_xlfn.XLOOKUP($C956,Phone_by_Sentiment!$B$2:$B$37,Phone_by_Sentiment!J$2:J$37,"",0,1)),_xlfn.XLOOKUP($C956,Phone_by_Sentiment!$B$2:$B$37,Phone_by_Sentiment!J$2:J$37,"",0,1),0),$A956-TEXT(DATEVALUE($D956&amp;"-01"), "dd-mm-yyyy")),0),0)</f>
        <v>0</v>
      </c>
      <c r="K956" cm="1">
        <f t="array" ref="K956">IF($Q956&gt;=0,IFERROR(generateSalesData($D956, IF(ISNUMBER(_xlfn.XLOOKUP($C956,Phone_by_Sentiment!$B$2:$B$37,Phone_by_Sentiment!K$2:K$37,"",0,1)),_xlfn.XLOOKUP($C956,Phone_by_Sentiment!$B$2:$B$37,Phone_by_Sentiment!K$2:K$37,"",0,1),0),$A956-TEXT(DATEVALUE($D956&amp;"-01"), "dd-mm-yyyy")),0),0)</f>
        <v>0</v>
      </c>
      <c r="L956" cm="1">
        <f t="array" ref="L956">IF($Q956&gt;=0,IFERROR(generateSalesData($D956, IF(ISNUMBER(_xlfn.XLOOKUP($C956,Phone_by_Sentiment!$B$2:$B$37,Phone_by_Sentiment!L$2:L$37,"",0,1)),_xlfn.XLOOKUP($C956,Phone_by_Sentiment!$B$2:$B$37,Phone_by_Sentiment!L$2:L$37,"",0,1),0),$A956-TEXT(DATEVALUE($D956&amp;"-01"), "dd-mm-yyyy")),0),0)</f>
        <v>0</v>
      </c>
      <c r="M956" cm="1">
        <f t="array" ref="M956">IF($Q956&gt;=0,IFERROR(generateSalesData($D956, IF(ISNUMBER(_xlfn.XLOOKUP($C956,Phone_by_Sentiment!$B$2:$B$37,Phone_by_Sentiment!M$2:M$37,"",0,1)),_xlfn.XLOOKUP($C956,Phone_by_Sentiment!$B$2:$B$37,Phone_by_Sentiment!M$2:M$37,"",0,1),0),$A956-TEXT(DATEVALUE($D956&amp;"-01"), "dd-mm-yyyy")),0),0)</f>
        <v>0</v>
      </c>
      <c r="N956" cm="1">
        <f t="array" ref="N956">IF($Q956&gt;=0,IFERROR(generateSalesData($D956, IF(ISNUMBER(_xlfn.XLOOKUP($C956,Phone_by_Sentiment!$B$2:$B$37,Phone_by_Sentiment!N$2:N$37,"",0,1)),_xlfn.XLOOKUP($C956,Phone_by_Sentiment!$B$2:$B$37,Phone_by_Sentiment!N$2:N$37,"",0,1),0),$A956-TEXT(DATEVALUE($D956&amp;"-01"), "dd-mm-yyyy")),0),0)</f>
        <v>0</v>
      </c>
      <c r="O956" cm="1">
        <f t="array" ref="O956">IF($Q956&gt;=0,IFERROR(generateSalesData($D956, IF(ISNUMBER(_xlfn.XLOOKUP($C956,Phone_by_Sentiment!$B$2:$B$37,Phone_by_Sentiment!O$2:O$37,"",0,1)),_xlfn.XLOOKUP($C956,Phone_by_Sentiment!$B$2:$B$37,Phone_by_Sentiment!O$2:O$37,"",0,1),0),$A956-TEXT(DATEVALUE($D956&amp;"-01"), "dd-mm-yyyy")),0),0)</f>
        <v>0</v>
      </c>
      <c r="P956" s="1">
        <f t="shared" si="37"/>
        <v>44317</v>
      </c>
      <c r="Q956">
        <f t="shared" si="38"/>
        <v>-30</v>
      </c>
    </row>
    <row r="957" spans="1:17" x14ac:dyDescent="0.25">
      <c r="A957" s="1">
        <f t="shared" si="39"/>
        <v>44287</v>
      </c>
      <c r="B957" t="s">
        <v>172</v>
      </c>
      <c r="C957" t="str">
        <f>_xlfn.XLOOKUP(B957,Phone_by_Price!$A$2:$A$34,Phone_by_Price!$B$2:$B$34,"-",0,1)</f>
        <v>Xiaomi Redmi 9</v>
      </c>
      <c r="D957" t="str">
        <f>_xlfn.XLOOKUP(C957,Phone_by_Sentiment!$B$2:$B$37,Phone_by_Sentiment!$A$2:$A$37,"-",0,1)</f>
        <v>2020-08</v>
      </c>
      <c r="E957" cm="1">
        <f t="array" ref="E957">IF($Q957&gt;=0,IFERROR(generateSalesData($D957, IF(ISNUMBER(_xlfn.XLOOKUP($C957,Phone_by_Sentiment!$B$2:$B$37,Phone_by_Sentiment!E$2:E$37,"",0,1)),_xlfn.XLOOKUP($C957,Phone_by_Sentiment!$B$2:$B$37,Phone_by_Sentiment!E$2:E$37,"",0,1),0),$A957-TEXT(DATEVALUE($D957&amp;"-01"), "dd-mm-yyyy")),0),0)</f>
        <v>283</v>
      </c>
      <c r="F957" cm="1">
        <f t="array" ref="F957">IF($Q957&gt;=0,IFERROR(generateSalesData($D957, IF(ISNUMBER(_xlfn.XLOOKUP($C957,Phone_by_Sentiment!$B$2:$B$37,Phone_by_Sentiment!F$2:F$37,"",0,1)),_xlfn.XLOOKUP($C957,Phone_by_Sentiment!$B$2:$B$37,Phone_by_Sentiment!F$2:F$37,"",0,1),0),$A957-TEXT(DATEVALUE($D957&amp;"-01"), "dd-mm-yyyy")),0),0)</f>
        <v>196</v>
      </c>
      <c r="G957" cm="1">
        <f t="array" ref="G957">IF($Q957&gt;=0,IFERROR(generateSalesData($D957, IF(ISNUMBER(_xlfn.XLOOKUP($C957,Phone_by_Sentiment!$B$2:$B$37,Phone_by_Sentiment!G$2:G$37,"",0,1)),_xlfn.XLOOKUP($C957,Phone_by_Sentiment!$B$2:$B$37,Phone_by_Sentiment!G$2:G$37,"",0,1),0),$A957-TEXT(DATEVALUE($D957&amp;"-01"), "dd-mm-yyyy")),0),0)</f>
        <v>180</v>
      </c>
      <c r="H957" cm="1">
        <f t="array" ref="H957">IF($Q957&gt;=0,IFERROR(generateSalesData($D957, IF(ISNUMBER(_xlfn.XLOOKUP($C957,Phone_by_Sentiment!$B$2:$B$37,Phone_by_Sentiment!H$2:H$37,"",0,1)),_xlfn.XLOOKUP($C957,Phone_by_Sentiment!$B$2:$B$37,Phone_by_Sentiment!H$2:H$37,"",0,1),0),$A957-TEXT(DATEVALUE($D957&amp;"-01"), "dd-mm-yyyy")),0),0)</f>
        <v>617</v>
      </c>
      <c r="I957" cm="1">
        <f t="array" ref="I957">IF($Q957&gt;=0,IFERROR(generateSalesData($D957, IF(ISNUMBER(_xlfn.XLOOKUP($C957,Phone_by_Sentiment!$B$2:$B$37,Phone_by_Sentiment!I$2:I$37,"",0,1)),_xlfn.XLOOKUP($C957,Phone_by_Sentiment!$B$2:$B$37,Phone_by_Sentiment!I$2:I$37,"",0,1),0),$A957-TEXT(DATEVALUE($D957&amp;"-01"), "dd-mm-yyyy")),0),0)</f>
        <v>282</v>
      </c>
      <c r="J957" cm="1">
        <f t="array" ref="J957">IF($Q957&gt;=0,IFERROR(generateSalesData($D957, IF(ISNUMBER(_xlfn.XLOOKUP($C957,Phone_by_Sentiment!$B$2:$B$37,Phone_by_Sentiment!J$2:J$37,"",0,1)),_xlfn.XLOOKUP($C957,Phone_by_Sentiment!$B$2:$B$37,Phone_by_Sentiment!J$2:J$37,"",0,1),0),$A957-TEXT(DATEVALUE($D957&amp;"-01"), "dd-mm-yyyy")),0),0)</f>
        <v>294</v>
      </c>
      <c r="K957" cm="1">
        <f t="array" ref="K957">IF($Q957&gt;=0,IFERROR(generateSalesData($D957, IF(ISNUMBER(_xlfn.XLOOKUP($C957,Phone_by_Sentiment!$B$2:$B$37,Phone_by_Sentiment!K$2:K$37,"",0,1)),_xlfn.XLOOKUP($C957,Phone_by_Sentiment!$B$2:$B$37,Phone_by_Sentiment!K$2:K$37,"",0,1),0),$A957-TEXT(DATEVALUE($D957&amp;"-01"), "dd-mm-yyyy")),0),0)</f>
        <v>272</v>
      </c>
      <c r="L957" cm="1">
        <f t="array" ref="L957">IF($Q957&gt;=0,IFERROR(generateSalesData($D957, IF(ISNUMBER(_xlfn.XLOOKUP($C957,Phone_by_Sentiment!$B$2:$B$37,Phone_by_Sentiment!L$2:L$37,"",0,1)),_xlfn.XLOOKUP($C957,Phone_by_Sentiment!$B$2:$B$37,Phone_by_Sentiment!L$2:L$37,"",0,1),0),$A957-TEXT(DATEVALUE($D957&amp;"-01"), "dd-mm-yyyy")),0),0)</f>
        <v>385</v>
      </c>
      <c r="M957" cm="1">
        <f t="array" ref="M957">IF($Q957&gt;=0,IFERROR(generateSalesData($D957, IF(ISNUMBER(_xlfn.XLOOKUP($C957,Phone_by_Sentiment!$B$2:$B$37,Phone_by_Sentiment!M$2:M$37,"",0,1)),_xlfn.XLOOKUP($C957,Phone_by_Sentiment!$B$2:$B$37,Phone_by_Sentiment!M$2:M$37,"",0,1),0),$A957-TEXT(DATEVALUE($D957&amp;"-01"), "dd-mm-yyyy")),0),0)</f>
        <v>1324</v>
      </c>
      <c r="N957" cm="1">
        <f t="array" ref="N957">IF($Q957&gt;=0,IFERROR(generateSalesData($D957, IF(ISNUMBER(_xlfn.XLOOKUP($C957,Phone_by_Sentiment!$B$2:$B$37,Phone_by_Sentiment!N$2:N$37,"",0,1)),_xlfn.XLOOKUP($C957,Phone_by_Sentiment!$B$2:$B$37,Phone_by_Sentiment!N$2:N$37,"",0,1),0),$A957-TEXT(DATEVALUE($D957&amp;"-01"), "dd-mm-yyyy")),0),0)</f>
        <v>208</v>
      </c>
      <c r="O957" cm="1">
        <f t="array" ref="O957">IF($Q957&gt;=0,IFERROR(generateSalesData($D957, IF(ISNUMBER(_xlfn.XLOOKUP($C957,Phone_by_Sentiment!$B$2:$B$37,Phone_by_Sentiment!O$2:O$37,"",0,1)),_xlfn.XLOOKUP($C957,Phone_by_Sentiment!$B$2:$B$37,Phone_by_Sentiment!O$2:O$37,"",0,1),0),$A957-TEXT(DATEVALUE($D957&amp;"-01"), "dd-mm-yyyy")),0),0)</f>
        <v>994</v>
      </c>
      <c r="P957" s="1">
        <f t="shared" si="37"/>
        <v>44044</v>
      </c>
      <c r="Q957">
        <f t="shared" si="38"/>
        <v>243</v>
      </c>
    </row>
    <row r="958" spans="1:17" x14ac:dyDescent="0.25">
      <c r="A958" s="1">
        <f t="shared" si="39"/>
        <v>44287</v>
      </c>
      <c r="B958" t="s">
        <v>173</v>
      </c>
      <c r="C958" t="str">
        <f>_xlfn.XLOOKUP(B958,Phone_by_Price!$A$2:$A$34,Phone_by_Price!$B$2:$B$34,"-",0,1)</f>
        <v>Realme C3</v>
      </c>
      <c r="D958" t="str">
        <f>_xlfn.XLOOKUP(C958,Phone_by_Sentiment!$B$2:$B$37,Phone_by_Sentiment!$A$2:$A$37,"-",0,1)</f>
        <v>2020-02</v>
      </c>
      <c r="E958" cm="1">
        <f t="array" ref="E958">IF($Q958&gt;=0,IFERROR(generateSalesData($D958, IF(ISNUMBER(_xlfn.XLOOKUP($C958,Phone_by_Sentiment!$B$2:$B$37,Phone_by_Sentiment!E$2:E$37,"",0,1)),_xlfn.XLOOKUP($C958,Phone_by_Sentiment!$B$2:$B$37,Phone_by_Sentiment!E$2:E$37,"",0,1),0),$A958-TEXT(DATEVALUE($D958&amp;"-01"), "dd-mm-yyyy")),0),0)</f>
        <v>135</v>
      </c>
      <c r="F958" cm="1">
        <f t="array" ref="F958">IF($Q958&gt;=0,IFERROR(generateSalesData($D958, IF(ISNUMBER(_xlfn.XLOOKUP($C958,Phone_by_Sentiment!$B$2:$B$37,Phone_by_Sentiment!F$2:F$37,"",0,1)),_xlfn.XLOOKUP($C958,Phone_by_Sentiment!$B$2:$B$37,Phone_by_Sentiment!F$2:F$37,"",0,1),0),$A958-TEXT(DATEVALUE($D958&amp;"-01"), "dd-mm-yyyy")),0),0)</f>
        <v>46</v>
      </c>
      <c r="G958" cm="1">
        <f t="array" ref="G958">IF($Q958&gt;=0,IFERROR(generateSalesData($D958, IF(ISNUMBER(_xlfn.XLOOKUP($C958,Phone_by_Sentiment!$B$2:$B$37,Phone_by_Sentiment!G$2:G$37,"",0,1)),_xlfn.XLOOKUP($C958,Phone_by_Sentiment!$B$2:$B$37,Phone_by_Sentiment!G$2:G$37,"",0,1),0),$A958-TEXT(DATEVALUE($D958&amp;"-01"), "dd-mm-yyyy")),0),0)</f>
        <v>184</v>
      </c>
      <c r="H958" cm="1">
        <f t="array" ref="H958">IF($Q958&gt;=0,IFERROR(generateSalesData($D958, IF(ISNUMBER(_xlfn.XLOOKUP($C958,Phone_by_Sentiment!$B$2:$B$37,Phone_by_Sentiment!H$2:H$37,"",0,1)),_xlfn.XLOOKUP($C958,Phone_by_Sentiment!$B$2:$B$37,Phone_by_Sentiment!H$2:H$37,"",0,1),0),$A958-TEXT(DATEVALUE($D958&amp;"-01"), "dd-mm-yyyy")),0),0)</f>
        <v>304</v>
      </c>
      <c r="I958" cm="1">
        <f t="array" ref="I958">IF($Q958&gt;=0,IFERROR(generateSalesData($D958, IF(ISNUMBER(_xlfn.XLOOKUP($C958,Phone_by_Sentiment!$B$2:$B$37,Phone_by_Sentiment!I$2:I$37,"",0,1)),_xlfn.XLOOKUP($C958,Phone_by_Sentiment!$B$2:$B$37,Phone_by_Sentiment!I$2:I$37,"",0,1),0),$A958-TEXT(DATEVALUE($D958&amp;"-01"), "dd-mm-yyyy")),0),0)</f>
        <v>484</v>
      </c>
      <c r="J958" cm="1">
        <f t="array" ref="J958">IF($Q958&gt;=0,IFERROR(generateSalesData($D958, IF(ISNUMBER(_xlfn.XLOOKUP($C958,Phone_by_Sentiment!$B$2:$B$37,Phone_by_Sentiment!J$2:J$37,"",0,1)),_xlfn.XLOOKUP($C958,Phone_by_Sentiment!$B$2:$B$37,Phone_by_Sentiment!J$2:J$37,"",0,1),0),$A958-TEXT(DATEVALUE($D958&amp;"-01"), "dd-mm-yyyy")),0),0)</f>
        <v>52</v>
      </c>
      <c r="K958" cm="1">
        <f t="array" ref="K958">IF($Q958&gt;=0,IFERROR(generateSalesData($D958, IF(ISNUMBER(_xlfn.XLOOKUP($C958,Phone_by_Sentiment!$B$2:$B$37,Phone_by_Sentiment!K$2:K$37,"",0,1)),_xlfn.XLOOKUP($C958,Phone_by_Sentiment!$B$2:$B$37,Phone_by_Sentiment!K$2:K$37,"",0,1),0),$A958-TEXT(DATEVALUE($D958&amp;"-01"), "dd-mm-yyyy")),0),0)</f>
        <v>277</v>
      </c>
      <c r="L958" cm="1">
        <f t="array" ref="L958">IF($Q958&gt;=0,IFERROR(generateSalesData($D958, IF(ISNUMBER(_xlfn.XLOOKUP($C958,Phone_by_Sentiment!$B$2:$B$37,Phone_by_Sentiment!L$2:L$37,"",0,1)),_xlfn.XLOOKUP($C958,Phone_by_Sentiment!$B$2:$B$37,Phone_by_Sentiment!L$2:L$37,"",0,1),0),$A958-TEXT(DATEVALUE($D958&amp;"-01"), "dd-mm-yyyy")),0),0)</f>
        <v>251</v>
      </c>
      <c r="M958" cm="1">
        <f t="array" ref="M958">IF($Q958&gt;=0,IFERROR(generateSalesData($D958, IF(ISNUMBER(_xlfn.XLOOKUP($C958,Phone_by_Sentiment!$B$2:$B$37,Phone_by_Sentiment!M$2:M$37,"",0,1)),_xlfn.XLOOKUP($C958,Phone_by_Sentiment!$B$2:$B$37,Phone_by_Sentiment!M$2:M$37,"",0,1),0),$A958-TEXT(DATEVALUE($D958&amp;"-01"), "dd-mm-yyyy")),0),0)</f>
        <v>99</v>
      </c>
      <c r="N958" cm="1">
        <f t="array" ref="N958">IF($Q958&gt;=0,IFERROR(generateSalesData($D958, IF(ISNUMBER(_xlfn.XLOOKUP($C958,Phone_by_Sentiment!$B$2:$B$37,Phone_by_Sentiment!N$2:N$37,"",0,1)),_xlfn.XLOOKUP($C958,Phone_by_Sentiment!$B$2:$B$37,Phone_by_Sentiment!N$2:N$37,"",0,1),0),$A958-TEXT(DATEVALUE($D958&amp;"-01"), "dd-mm-yyyy")),0),0)</f>
        <v>638</v>
      </c>
      <c r="O958" cm="1">
        <f t="array" ref="O958">IF($Q958&gt;=0,IFERROR(generateSalesData($D958, IF(ISNUMBER(_xlfn.XLOOKUP($C958,Phone_by_Sentiment!$B$2:$B$37,Phone_by_Sentiment!O$2:O$37,"",0,1)),_xlfn.XLOOKUP($C958,Phone_by_Sentiment!$B$2:$B$37,Phone_by_Sentiment!O$2:O$37,"",0,1),0),$A958-TEXT(DATEVALUE($D958&amp;"-01"), "dd-mm-yyyy")),0),0)</f>
        <v>164</v>
      </c>
      <c r="P958" s="1">
        <f t="shared" si="37"/>
        <v>43862</v>
      </c>
      <c r="Q958">
        <f t="shared" si="38"/>
        <v>425</v>
      </c>
    </row>
    <row r="959" spans="1:17" x14ac:dyDescent="0.25">
      <c r="A959" s="1">
        <f t="shared" si="39"/>
        <v>44287</v>
      </c>
      <c r="B959" t="s">
        <v>174</v>
      </c>
      <c r="C959" t="str">
        <f>_xlfn.XLOOKUP(B959,Phone_by_Price!$A$2:$A$34,Phone_by_Price!$B$2:$B$34,"-",0,1)</f>
        <v>Samsung Galaxy A7</v>
      </c>
      <c r="D959" t="str">
        <f>_xlfn.XLOOKUP(C959,Phone_by_Sentiment!$B$2:$B$37,Phone_by_Sentiment!$A$2:$A$37,"-",0,1)</f>
        <v>2018-10</v>
      </c>
      <c r="E959" cm="1">
        <f t="array" ref="E959">IF($Q959&gt;=0,IFERROR(generateSalesData($D959, IF(ISNUMBER(_xlfn.XLOOKUP($C959,Phone_by_Sentiment!$B$2:$B$37,Phone_by_Sentiment!E$2:E$37,"",0,1)),_xlfn.XLOOKUP($C959,Phone_by_Sentiment!$B$2:$B$37,Phone_by_Sentiment!E$2:E$37,"",0,1),0),$A959-TEXT(DATEVALUE($D959&amp;"-01"), "dd-mm-yyyy")),0),0)</f>
        <v>54</v>
      </c>
      <c r="F959" cm="1">
        <f t="array" ref="F959">IF($Q959&gt;=0,IFERROR(generateSalesData($D959, IF(ISNUMBER(_xlfn.XLOOKUP($C959,Phone_by_Sentiment!$B$2:$B$37,Phone_by_Sentiment!F$2:F$37,"",0,1)),_xlfn.XLOOKUP($C959,Phone_by_Sentiment!$B$2:$B$37,Phone_by_Sentiment!F$2:F$37,"",0,1),0),$A959-TEXT(DATEVALUE($D959&amp;"-01"), "dd-mm-yyyy")),0),0)</f>
        <v>56</v>
      </c>
      <c r="G959" cm="1">
        <f t="array" ref="G959">IF($Q959&gt;=0,IFERROR(generateSalesData($D959, IF(ISNUMBER(_xlfn.XLOOKUP($C959,Phone_by_Sentiment!$B$2:$B$37,Phone_by_Sentiment!G$2:G$37,"",0,1)),_xlfn.XLOOKUP($C959,Phone_by_Sentiment!$B$2:$B$37,Phone_by_Sentiment!G$2:G$37,"",0,1),0),$A959-TEXT(DATEVALUE($D959&amp;"-01"), "dd-mm-yyyy")),0),0)</f>
        <v>90</v>
      </c>
      <c r="H959" cm="1">
        <f t="array" ref="H959">IF($Q959&gt;=0,IFERROR(generateSalesData($D959, IF(ISNUMBER(_xlfn.XLOOKUP($C959,Phone_by_Sentiment!$B$2:$B$37,Phone_by_Sentiment!H$2:H$37,"",0,1)),_xlfn.XLOOKUP($C959,Phone_by_Sentiment!$B$2:$B$37,Phone_by_Sentiment!H$2:H$37,"",0,1),0),$A959-TEXT(DATEVALUE($D959&amp;"-01"), "dd-mm-yyyy")),0),0)</f>
        <v>298</v>
      </c>
      <c r="I959" cm="1">
        <f t="array" ref="I959">IF($Q959&gt;=0,IFERROR(generateSalesData($D959, IF(ISNUMBER(_xlfn.XLOOKUP($C959,Phone_by_Sentiment!$B$2:$B$37,Phone_by_Sentiment!I$2:I$37,"",0,1)),_xlfn.XLOOKUP($C959,Phone_by_Sentiment!$B$2:$B$37,Phone_by_Sentiment!I$2:I$37,"",0,1),0),$A959-TEXT(DATEVALUE($D959&amp;"-01"), "dd-mm-yyyy")),0),0)</f>
        <v>311</v>
      </c>
      <c r="J959" cm="1">
        <f t="array" ref="J959">IF($Q959&gt;=0,IFERROR(generateSalesData($D959, IF(ISNUMBER(_xlfn.XLOOKUP($C959,Phone_by_Sentiment!$B$2:$B$37,Phone_by_Sentiment!J$2:J$37,"",0,1)),_xlfn.XLOOKUP($C959,Phone_by_Sentiment!$B$2:$B$37,Phone_by_Sentiment!J$2:J$37,"",0,1),0),$A959-TEXT(DATEVALUE($D959&amp;"-01"), "dd-mm-yyyy")),0),0)</f>
        <v>93</v>
      </c>
      <c r="K959" cm="1">
        <f t="array" ref="K959">IF($Q959&gt;=0,IFERROR(generateSalesData($D959, IF(ISNUMBER(_xlfn.XLOOKUP($C959,Phone_by_Sentiment!$B$2:$B$37,Phone_by_Sentiment!K$2:K$37,"",0,1)),_xlfn.XLOOKUP($C959,Phone_by_Sentiment!$B$2:$B$37,Phone_by_Sentiment!K$2:K$37,"",0,1),0),$A959-TEXT(DATEVALUE($D959&amp;"-01"), "dd-mm-yyyy")),0),0)</f>
        <v>39</v>
      </c>
      <c r="L959" cm="1">
        <f t="array" ref="L959">IF($Q959&gt;=0,IFERROR(generateSalesData($D959, IF(ISNUMBER(_xlfn.XLOOKUP($C959,Phone_by_Sentiment!$B$2:$B$37,Phone_by_Sentiment!L$2:L$37,"",0,1)),_xlfn.XLOOKUP($C959,Phone_by_Sentiment!$B$2:$B$37,Phone_by_Sentiment!L$2:L$37,"",0,1),0),$A959-TEXT(DATEVALUE($D959&amp;"-01"), "dd-mm-yyyy")),0),0)</f>
        <v>82</v>
      </c>
      <c r="M959" cm="1">
        <f t="array" ref="M959">IF($Q959&gt;=0,IFERROR(generateSalesData($D959, IF(ISNUMBER(_xlfn.XLOOKUP($C959,Phone_by_Sentiment!$B$2:$B$37,Phone_by_Sentiment!M$2:M$37,"",0,1)),_xlfn.XLOOKUP($C959,Phone_by_Sentiment!$B$2:$B$37,Phone_by_Sentiment!M$2:M$37,"",0,1),0),$A959-TEXT(DATEVALUE($D959&amp;"-01"), "dd-mm-yyyy")),0),0)</f>
        <v>165</v>
      </c>
      <c r="N959" cm="1">
        <f t="array" ref="N959">IF($Q959&gt;=0,IFERROR(generateSalesData($D959, IF(ISNUMBER(_xlfn.XLOOKUP($C959,Phone_by_Sentiment!$B$2:$B$37,Phone_by_Sentiment!N$2:N$37,"",0,1)),_xlfn.XLOOKUP($C959,Phone_by_Sentiment!$B$2:$B$37,Phone_by_Sentiment!N$2:N$37,"",0,1),0),$A959-TEXT(DATEVALUE($D959&amp;"-01"), "dd-mm-yyyy")),0),0)</f>
        <v>153</v>
      </c>
      <c r="O959" cm="1">
        <f t="array" ref="O959">IF($Q959&gt;=0,IFERROR(generateSalesData($D959, IF(ISNUMBER(_xlfn.XLOOKUP($C959,Phone_by_Sentiment!$B$2:$B$37,Phone_by_Sentiment!O$2:O$37,"",0,1)),_xlfn.XLOOKUP($C959,Phone_by_Sentiment!$B$2:$B$37,Phone_by_Sentiment!O$2:O$37,"",0,1),0),$A959-TEXT(DATEVALUE($D959&amp;"-01"), "dd-mm-yyyy")),0),0)</f>
        <v>130</v>
      </c>
      <c r="P959" s="1">
        <f t="shared" si="37"/>
        <v>43374</v>
      </c>
      <c r="Q959">
        <f t="shared" si="38"/>
        <v>913</v>
      </c>
    </row>
    <row r="960" spans="1:17" x14ac:dyDescent="0.25">
      <c r="A960" s="1">
        <f t="shared" si="39"/>
        <v>44287</v>
      </c>
      <c r="B960" t="s">
        <v>142</v>
      </c>
      <c r="C960" t="str">
        <f>_xlfn.XLOOKUP(B960,Phone_by_Price!$A$2:$A$34,Phone_by_Price!$B$2:$B$34,"-",0,1)</f>
        <v>iPhone 11</v>
      </c>
      <c r="D960" t="str">
        <f>_xlfn.XLOOKUP(C960,Phone_by_Sentiment!$B$2:$B$37,Phone_by_Sentiment!$A$2:$A$37,"-",0,1)</f>
        <v>2019-09</v>
      </c>
      <c r="E960" cm="1">
        <f t="array" ref="E960">IF($Q960&gt;=0,IFERROR(generateSalesData($D960, IF(ISNUMBER(_xlfn.XLOOKUP($C960,Phone_by_Sentiment!$B$2:$B$37,Phone_by_Sentiment!E$2:E$37,"",0,1)),_xlfn.XLOOKUP($C960,Phone_by_Sentiment!$B$2:$B$37,Phone_by_Sentiment!E$2:E$37,"",0,1),0),$A960-TEXT(DATEVALUE($D960&amp;"-01"), "dd-mm-yyyy")),0),0)</f>
        <v>333</v>
      </c>
      <c r="F960" cm="1">
        <f t="array" ref="F960">IF($Q960&gt;=0,IFERROR(generateSalesData($D960, IF(ISNUMBER(_xlfn.XLOOKUP($C960,Phone_by_Sentiment!$B$2:$B$37,Phone_by_Sentiment!F$2:F$37,"",0,1)),_xlfn.XLOOKUP($C960,Phone_by_Sentiment!$B$2:$B$37,Phone_by_Sentiment!F$2:F$37,"",0,1),0),$A960-TEXT(DATEVALUE($D960&amp;"-01"), "dd-mm-yyyy")),0),0)</f>
        <v>544</v>
      </c>
      <c r="G960" cm="1">
        <f t="array" ref="G960">IF($Q960&gt;=0,IFERROR(generateSalesData($D960, IF(ISNUMBER(_xlfn.XLOOKUP($C960,Phone_by_Sentiment!$B$2:$B$37,Phone_by_Sentiment!G$2:G$37,"",0,1)),_xlfn.XLOOKUP($C960,Phone_by_Sentiment!$B$2:$B$37,Phone_by_Sentiment!G$2:G$37,"",0,1),0),$A960-TEXT(DATEVALUE($D960&amp;"-01"), "dd-mm-yyyy")),0),0)</f>
        <v>106</v>
      </c>
      <c r="H960" cm="1">
        <f t="array" ref="H960">IF($Q960&gt;=0,IFERROR(generateSalesData($D960, IF(ISNUMBER(_xlfn.XLOOKUP($C960,Phone_by_Sentiment!$B$2:$B$37,Phone_by_Sentiment!H$2:H$37,"",0,1)),_xlfn.XLOOKUP($C960,Phone_by_Sentiment!$B$2:$B$37,Phone_by_Sentiment!H$2:H$37,"",0,1),0),$A960-TEXT(DATEVALUE($D960&amp;"-01"), "dd-mm-yyyy")),0),0)</f>
        <v>681</v>
      </c>
      <c r="I960" cm="1">
        <f t="array" ref="I960">IF($Q960&gt;=0,IFERROR(generateSalesData($D960, IF(ISNUMBER(_xlfn.XLOOKUP($C960,Phone_by_Sentiment!$B$2:$B$37,Phone_by_Sentiment!I$2:I$37,"",0,1)),_xlfn.XLOOKUP($C960,Phone_by_Sentiment!$B$2:$B$37,Phone_by_Sentiment!I$2:I$37,"",0,1),0),$A960-TEXT(DATEVALUE($D960&amp;"-01"), "dd-mm-yyyy")),0),0)</f>
        <v>600</v>
      </c>
      <c r="J960" cm="1">
        <f t="array" ref="J960">IF($Q960&gt;=0,IFERROR(generateSalesData($D960, IF(ISNUMBER(_xlfn.XLOOKUP($C960,Phone_by_Sentiment!$B$2:$B$37,Phone_by_Sentiment!J$2:J$37,"",0,1)),_xlfn.XLOOKUP($C960,Phone_by_Sentiment!$B$2:$B$37,Phone_by_Sentiment!J$2:J$37,"",0,1),0),$A960-TEXT(DATEVALUE($D960&amp;"-01"), "dd-mm-yyyy")),0),0)</f>
        <v>412</v>
      </c>
      <c r="K960" cm="1">
        <f t="array" ref="K960">IF($Q960&gt;=0,IFERROR(generateSalesData($D960, IF(ISNUMBER(_xlfn.XLOOKUP($C960,Phone_by_Sentiment!$B$2:$B$37,Phone_by_Sentiment!K$2:K$37,"",0,1)),_xlfn.XLOOKUP($C960,Phone_by_Sentiment!$B$2:$B$37,Phone_by_Sentiment!K$2:K$37,"",0,1),0),$A960-TEXT(DATEVALUE($D960&amp;"-01"), "dd-mm-yyyy")),0),0)</f>
        <v>45</v>
      </c>
      <c r="L960" cm="1">
        <f t="array" ref="L960">IF($Q960&gt;=0,IFERROR(generateSalesData($D960, IF(ISNUMBER(_xlfn.XLOOKUP($C960,Phone_by_Sentiment!$B$2:$B$37,Phone_by_Sentiment!L$2:L$37,"",0,1)),_xlfn.XLOOKUP($C960,Phone_by_Sentiment!$B$2:$B$37,Phone_by_Sentiment!L$2:L$37,"",0,1),0),$A960-TEXT(DATEVALUE($D960&amp;"-01"), "dd-mm-yyyy")),0),0)</f>
        <v>145</v>
      </c>
      <c r="M960" cm="1">
        <f t="array" ref="M960">IF($Q960&gt;=0,IFERROR(generateSalesData($D960, IF(ISNUMBER(_xlfn.XLOOKUP($C960,Phone_by_Sentiment!$B$2:$B$37,Phone_by_Sentiment!M$2:M$37,"",0,1)),_xlfn.XLOOKUP($C960,Phone_by_Sentiment!$B$2:$B$37,Phone_by_Sentiment!M$2:M$37,"",0,1),0),$A960-TEXT(DATEVALUE($D960&amp;"-01"), "dd-mm-yyyy")),0),0)</f>
        <v>535</v>
      </c>
      <c r="N960" cm="1">
        <f t="array" ref="N960">IF($Q960&gt;=0,IFERROR(generateSalesData($D960, IF(ISNUMBER(_xlfn.XLOOKUP($C960,Phone_by_Sentiment!$B$2:$B$37,Phone_by_Sentiment!N$2:N$37,"",0,1)),_xlfn.XLOOKUP($C960,Phone_by_Sentiment!$B$2:$B$37,Phone_by_Sentiment!N$2:N$37,"",0,1),0),$A960-TEXT(DATEVALUE($D960&amp;"-01"), "dd-mm-yyyy")),0),0)</f>
        <v>-102</v>
      </c>
      <c r="O960" cm="1">
        <f t="array" ref="O960">IF($Q960&gt;=0,IFERROR(generateSalesData($D960, IF(ISNUMBER(_xlfn.XLOOKUP($C960,Phone_by_Sentiment!$B$2:$B$37,Phone_by_Sentiment!O$2:O$37,"",0,1)),_xlfn.XLOOKUP($C960,Phone_by_Sentiment!$B$2:$B$37,Phone_by_Sentiment!O$2:O$37,"",0,1),0),$A960-TEXT(DATEVALUE($D960&amp;"-01"), "dd-mm-yyyy")),0),0)</f>
        <v>610</v>
      </c>
      <c r="P960" s="1">
        <f t="shared" si="37"/>
        <v>43709</v>
      </c>
      <c r="Q960">
        <f t="shared" si="38"/>
        <v>578</v>
      </c>
    </row>
    <row r="961" spans="1:17" x14ac:dyDescent="0.25">
      <c r="A961" s="1">
        <f t="shared" si="39"/>
        <v>44287</v>
      </c>
      <c r="B961" t="s">
        <v>143</v>
      </c>
      <c r="C961" t="str">
        <f>_xlfn.XLOOKUP(B961,Phone_by_Price!$A$2:$A$34,Phone_by_Price!$B$2:$B$34,"-",0,1)</f>
        <v>Samsung Galaxy S20 Ultra</v>
      </c>
      <c r="D961" t="str">
        <f>_xlfn.XLOOKUP(C961,Phone_by_Sentiment!$B$2:$B$37,Phone_by_Sentiment!$A$2:$A$37,"-",0,1)</f>
        <v>2020-02</v>
      </c>
      <c r="E961" cm="1">
        <f t="array" ref="E961">IF($Q961&gt;=0,IFERROR(generateSalesData($D961, IF(ISNUMBER(_xlfn.XLOOKUP($C961,Phone_by_Sentiment!$B$2:$B$37,Phone_by_Sentiment!E$2:E$37,"",0,1)),_xlfn.XLOOKUP($C961,Phone_by_Sentiment!$B$2:$B$37,Phone_by_Sentiment!E$2:E$37,"",0,1),0),$A961-TEXT(DATEVALUE($D961&amp;"-01"), "dd-mm-yyyy")),0),0)</f>
        <v>427</v>
      </c>
      <c r="F961" cm="1">
        <f t="array" ref="F961">IF($Q961&gt;=0,IFERROR(generateSalesData($D961, IF(ISNUMBER(_xlfn.XLOOKUP($C961,Phone_by_Sentiment!$B$2:$B$37,Phone_by_Sentiment!F$2:F$37,"",0,1)),_xlfn.XLOOKUP($C961,Phone_by_Sentiment!$B$2:$B$37,Phone_by_Sentiment!F$2:F$37,"",0,1),0),$A961-TEXT(DATEVALUE($D961&amp;"-01"), "dd-mm-yyyy")),0),0)</f>
        <v>216</v>
      </c>
      <c r="G961" cm="1">
        <f t="array" ref="G961">IF($Q961&gt;=0,IFERROR(generateSalesData($D961, IF(ISNUMBER(_xlfn.XLOOKUP($C961,Phone_by_Sentiment!$B$2:$B$37,Phone_by_Sentiment!G$2:G$37,"",0,1)),_xlfn.XLOOKUP($C961,Phone_by_Sentiment!$B$2:$B$37,Phone_by_Sentiment!G$2:G$37,"",0,1),0),$A961-TEXT(DATEVALUE($D961&amp;"-01"), "dd-mm-yyyy")),0),0)</f>
        <v>48</v>
      </c>
      <c r="H961" cm="1">
        <f t="array" ref="H961">IF($Q961&gt;=0,IFERROR(generateSalesData($D961, IF(ISNUMBER(_xlfn.XLOOKUP($C961,Phone_by_Sentiment!$B$2:$B$37,Phone_by_Sentiment!H$2:H$37,"",0,1)),_xlfn.XLOOKUP($C961,Phone_by_Sentiment!$B$2:$B$37,Phone_by_Sentiment!H$2:H$37,"",0,1),0),$A961-TEXT(DATEVALUE($D961&amp;"-01"), "dd-mm-yyyy")),0),0)</f>
        <v>906</v>
      </c>
      <c r="I961" cm="1">
        <f t="array" ref="I961">IF($Q961&gt;=0,IFERROR(generateSalesData($D961, IF(ISNUMBER(_xlfn.XLOOKUP($C961,Phone_by_Sentiment!$B$2:$B$37,Phone_by_Sentiment!I$2:I$37,"",0,1)),_xlfn.XLOOKUP($C961,Phone_by_Sentiment!$B$2:$B$37,Phone_by_Sentiment!I$2:I$37,"",0,1),0),$A961-TEXT(DATEVALUE($D961&amp;"-01"), "dd-mm-yyyy")),0),0)</f>
        <v>860</v>
      </c>
      <c r="J961" cm="1">
        <f t="array" ref="J961">IF($Q961&gt;=0,IFERROR(generateSalesData($D961, IF(ISNUMBER(_xlfn.XLOOKUP($C961,Phone_by_Sentiment!$B$2:$B$37,Phone_by_Sentiment!J$2:J$37,"",0,1)),_xlfn.XLOOKUP($C961,Phone_by_Sentiment!$B$2:$B$37,Phone_by_Sentiment!J$2:J$37,"",0,1),0),$A961-TEXT(DATEVALUE($D961&amp;"-01"), "dd-mm-yyyy")),0),0)</f>
        <v>-168</v>
      </c>
      <c r="K961" cm="1">
        <f t="array" ref="K961">IF($Q961&gt;=0,IFERROR(generateSalesData($D961, IF(ISNUMBER(_xlfn.XLOOKUP($C961,Phone_by_Sentiment!$B$2:$B$37,Phone_by_Sentiment!K$2:K$37,"",0,1)),_xlfn.XLOOKUP($C961,Phone_by_Sentiment!$B$2:$B$37,Phone_by_Sentiment!K$2:K$37,"",0,1),0),$A961-TEXT(DATEVALUE($D961&amp;"-01"), "dd-mm-yyyy")),0),0)</f>
        <v>110</v>
      </c>
      <c r="L961" cm="1">
        <f t="array" ref="L961">IF($Q961&gt;=0,IFERROR(generateSalesData($D961, IF(ISNUMBER(_xlfn.XLOOKUP($C961,Phone_by_Sentiment!$B$2:$B$37,Phone_by_Sentiment!L$2:L$37,"",0,1)),_xlfn.XLOOKUP($C961,Phone_by_Sentiment!$B$2:$B$37,Phone_by_Sentiment!L$2:L$37,"",0,1),0),$A961-TEXT(DATEVALUE($D961&amp;"-01"), "dd-mm-yyyy")),0),0)</f>
        <v>584</v>
      </c>
      <c r="M961" cm="1">
        <f t="array" ref="M961">IF($Q961&gt;=0,IFERROR(generateSalesData($D961, IF(ISNUMBER(_xlfn.XLOOKUP($C961,Phone_by_Sentiment!$B$2:$B$37,Phone_by_Sentiment!M$2:M$37,"",0,1)),_xlfn.XLOOKUP($C961,Phone_by_Sentiment!$B$2:$B$37,Phone_by_Sentiment!M$2:M$37,"",0,1),0),$A961-TEXT(DATEVALUE($D961&amp;"-01"), "dd-mm-yyyy")),0),0)</f>
        <v>-123</v>
      </c>
      <c r="N961" cm="1">
        <f t="array" ref="N961">IF($Q961&gt;=0,IFERROR(generateSalesData($D961, IF(ISNUMBER(_xlfn.XLOOKUP($C961,Phone_by_Sentiment!$B$2:$B$37,Phone_by_Sentiment!N$2:N$37,"",0,1)),_xlfn.XLOOKUP($C961,Phone_by_Sentiment!$B$2:$B$37,Phone_by_Sentiment!N$2:N$37,"",0,1),0),$A961-TEXT(DATEVALUE($D961&amp;"-01"), "dd-mm-yyyy")),0),0)</f>
        <v>678</v>
      </c>
      <c r="O961" cm="1">
        <f t="array" ref="O961">IF($Q961&gt;=0,IFERROR(generateSalesData($D961, IF(ISNUMBER(_xlfn.XLOOKUP($C961,Phone_by_Sentiment!$B$2:$B$37,Phone_by_Sentiment!O$2:O$37,"",0,1)),_xlfn.XLOOKUP($C961,Phone_by_Sentiment!$B$2:$B$37,Phone_by_Sentiment!O$2:O$37,"",0,1),0),$A961-TEXT(DATEVALUE($D961&amp;"-01"), "dd-mm-yyyy")),0),0)</f>
        <v>673</v>
      </c>
      <c r="P961" s="1">
        <f t="shared" si="37"/>
        <v>43862</v>
      </c>
      <c r="Q961">
        <f t="shared" si="38"/>
        <v>425</v>
      </c>
    </row>
    <row r="962" spans="1:17" x14ac:dyDescent="0.25">
      <c r="A962" s="1">
        <f t="shared" si="39"/>
        <v>44287</v>
      </c>
      <c r="B962" t="s">
        <v>144</v>
      </c>
      <c r="C962" t="str">
        <f>_xlfn.XLOOKUP(B962,Phone_by_Price!$A$2:$A$34,Phone_by_Price!$B$2:$B$34,"-",0,1)</f>
        <v>Xiaomi Redmi Note 10</v>
      </c>
      <c r="D962" t="str">
        <f>_xlfn.XLOOKUP(C962,Phone_by_Sentiment!$B$2:$B$37,Phone_by_Sentiment!$A$2:$A$37,"-",0,1)</f>
        <v>2021-03</v>
      </c>
      <c r="E962" cm="1">
        <f t="array" ref="E962">IF($Q962&gt;=0,IFERROR(generateSalesData($D962, IF(ISNUMBER(_xlfn.XLOOKUP($C962,Phone_by_Sentiment!$B$2:$B$37,Phone_by_Sentiment!E$2:E$37,"",0,1)),_xlfn.XLOOKUP($C962,Phone_by_Sentiment!$B$2:$B$37,Phone_by_Sentiment!E$2:E$37,"",0,1),0),$A962-TEXT(DATEVALUE($D962&amp;"-01"), "dd-mm-yyyy")),0),0)</f>
        <v>-2049</v>
      </c>
      <c r="F962" cm="1">
        <f t="array" ref="F962">IF($Q962&gt;=0,IFERROR(generateSalesData($D962, IF(ISNUMBER(_xlfn.XLOOKUP($C962,Phone_by_Sentiment!$B$2:$B$37,Phone_by_Sentiment!F$2:F$37,"",0,1)),_xlfn.XLOOKUP($C962,Phone_by_Sentiment!$B$2:$B$37,Phone_by_Sentiment!F$2:F$37,"",0,1),0),$A962-TEXT(DATEVALUE($D962&amp;"-01"), "dd-mm-yyyy")),0),0)</f>
        <v>2052</v>
      </c>
      <c r="G962" cm="1">
        <f t="array" ref="G962">IF($Q962&gt;=0,IFERROR(generateSalesData($D962, IF(ISNUMBER(_xlfn.XLOOKUP($C962,Phone_by_Sentiment!$B$2:$B$37,Phone_by_Sentiment!G$2:G$37,"",0,1)),_xlfn.XLOOKUP($C962,Phone_by_Sentiment!$B$2:$B$37,Phone_by_Sentiment!G$2:G$37,"",0,1),0),$A962-TEXT(DATEVALUE($D962&amp;"-01"), "dd-mm-yyyy")),0),0)</f>
        <v>2088</v>
      </c>
      <c r="H962" cm="1">
        <f t="array" ref="H962">IF($Q962&gt;=0,IFERROR(generateSalesData($D962, IF(ISNUMBER(_xlfn.XLOOKUP($C962,Phone_by_Sentiment!$B$2:$B$37,Phone_by_Sentiment!H$2:H$37,"",0,1)),_xlfn.XLOOKUP($C962,Phone_by_Sentiment!$B$2:$B$37,Phone_by_Sentiment!H$2:H$37,"",0,1),0),$A962-TEXT(DATEVALUE($D962&amp;"-01"), "dd-mm-yyyy")),0),0)</f>
        <v>6736</v>
      </c>
      <c r="I962" cm="1">
        <f t="array" ref="I962">IF($Q962&gt;=0,IFERROR(generateSalesData($D962, IF(ISNUMBER(_xlfn.XLOOKUP($C962,Phone_by_Sentiment!$B$2:$B$37,Phone_by_Sentiment!I$2:I$37,"",0,1)),_xlfn.XLOOKUP($C962,Phone_by_Sentiment!$B$2:$B$37,Phone_by_Sentiment!I$2:I$37,"",0,1),0),$A962-TEXT(DATEVALUE($D962&amp;"-01"), "dd-mm-yyyy")),0),0)</f>
        <v>11810</v>
      </c>
      <c r="J962" cm="1">
        <f t="array" ref="J962">IF($Q962&gt;=0,IFERROR(generateSalesData($D962, IF(ISNUMBER(_xlfn.XLOOKUP($C962,Phone_by_Sentiment!$B$2:$B$37,Phone_by_Sentiment!J$2:J$37,"",0,1)),_xlfn.XLOOKUP($C962,Phone_by_Sentiment!$B$2:$B$37,Phone_by_Sentiment!J$2:J$37,"",0,1),0),$A962-TEXT(DATEVALUE($D962&amp;"-01"), "dd-mm-yyyy")),0),0)</f>
        <v>9927</v>
      </c>
      <c r="K962" cm="1">
        <f t="array" ref="K962">IF($Q962&gt;=0,IFERROR(generateSalesData($D962, IF(ISNUMBER(_xlfn.XLOOKUP($C962,Phone_by_Sentiment!$B$2:$B$37,Phone_by_Sentiment!K$2:K$37,"",0,1)),_xlfn.XLOOKUP($C962,Phone_by_Sentiment!$B$2:$B$37,Phone_by_Sentiment!K$2:K$37,"",0,1),0),$A962-TEXT(DATEVALUE($D962&amp;"-01"), "dd-mm-yyyy")),0),0)</f>
        <v>11098</v>
      </c>
      <c r="L962" cm="1">
        <f t="array" ref="L962">IF($Q962&gt;=0,IFERROR(generateSalesData($D962, IF(ISNUMBER(_xlfn.XLOOKUP($C962,Phone_by_Sentiment!$B$2:$B$37,Phone_by_Sentiment!L$2:L$37,"",0,1)),_xlfn.XLOOKUP($C962,Phone_by_Sentiment!$B$2:$B$37,Phone_by_Sentiment!L$2:L$37,"",0,1),0),$A962-TEXT(DATEVALUE($D962&amp;"-01"), "dd-mm-yyyy")),0),0)</f>
        <v>-1852</v>
      </c>
      <c r="M962" cm="1">
        <f t="array" ref="M962">IF($Q962&gt;=0,IFERROR(generateSalesData($D962, IF(ISNUMBER(_xlfn.XLOOKUP($C962,Phone_by_Sentiment!$B$2:$B$37,Phone_by_Sentiment!M$2:M$37,"",0,1)),_xlfn.XLOOKUP($C962,Phone_by_Sentiment!$B$2:$B$37,Phone_by_Sentiment!M$2:M$37,"",0,1),0),$A962-TEXT(DATEVALUE($D962&amp;"-01"), "dd-mm-yyyy")),0),0)</f>
        <v>1117</v>
      </c>
      <c r="N962" cm="1">
        <f t="array" ref="N962">IF($Q962&gt;=0,IFERROR(generateSalesData($D962, IF(ISNUMBER(_xlfn.XLOOKUP($C962,Phone_by_Sentiment!$B$2:$B$37,Phone_by_Sentiment!N$2:N$37,"",0,1)),_xlfn.XLOOKUP($C962,Phone_by_Sentiment!$B$2:$B$37,Phone_by_Sentiment!N$2:N$37,"",0,1),0),$A962-TEXT(DATEVALUE($D962&amp;"-01"), "dd-mm-yyyy")),0),0)</f>
        <v>10855</v>
      </c>
      <c r="O962" cm="1">
        <f t="array" ref="O962">IF($Q962&gt;=0,IFERROR(generateSalesData($D962, IF(ISNUMBER(_xlfn.XLOOKUP($C962,Phone_by_Sentiment!$B$2:$B$37,Phone_by_Sentiment!O$2:O$37,"",0,1)),_xlfn.XLOOKUP($C962,Phone_by_Sentiment!$B$2:$B$37,Phone_by_Sentiment!O$2:O$37,"",0,1),0),$A962-TEXT(DATEVALUE($D962&amp;"-01"), "dd-mm-yyyy")),0),0)</f>
        <v>6986</v>
      </c>
      <c r="P962" s="1">
        <f t="shared" si="37"/>
        <v>44256</v>
      </c>
      <c r="Q962">
        <f t="shared" si="38"/>
        <v>31</v>
      </c>
    </row>
    <row r="963" spans="1:17" x14ac:dyDescent="0.25">
      <c r="A963" s="1">
        <f t="shared" si="39"/>
        <v>44287</v>
      </c>
      <c r="B963" t="s">
        <v>145</v>
      </c>
      <c r="C963" t="str">
        <f>_xlfn.XLOOKUP(B963,Phone_by_Price!$A$2:$A$34,Phone_by_Price!$B$2:$B$34,"-",0,1)</f>
        <v>OPPO A54</v>
      </c>
      <c r="D963" t="str">
        <f>_xlfn.XLOOKUP(C963,Phone_by_Sentiment!$B$2:$B$37,Phone_by_Sentiment!$A$2:$A$37,"-",0,1)</f>
        <v>2021-04</v>
      </c>
      <c r="E963" cm="1">
        <f t="array" ref="E963">IF($Q963&gt;=0,IFERROR(generateSalesData($D963, IF(ISNUMBER(_xlfn.XLOOKUP($C963,Phone_by_Sentiment!$B$2:$B$37,Phone_by_Sentiment!E$2:E$37,"",0,1)),_xlfn.XLOOKUP($C963,Phone_by_Sentiment!$B$2:$B$37,Phone_by_Sentiment!E$2:E$37,"",0,1),0),$A963-TEXT(DATEVALUE($D963&amp;"-01"), "dd-mm-yyyy")),0),0)</f>
        <v>9422</v>
      </c>
      <c r="F963" cm="1">
        <f t="array" ref="F963">IF($Q963&gt;=0,IFERROR(generateSalesData($D963, IF(ISNUMBER(_xlfn.XLOOKUP($C963,Phone_by_Sentiment!$B$2:$B$37,Phone_by_Sentiment!F$2:F$37,"",0,1)),_xlfn.XLOOKUP($C963,Phone_by_Sentiment!$B$2:$B$37,Phone_by_Sentiment!F$2:F$37,"",0,1),0),$A963-TEXT(DATEVALUE($D963&amp;"-01"), "dd-mm-yyyy")),0),0)</f>
        <v>1847</v>
      </c>
      <c r="G963" cm="1">
        <f t="array" ref="G963">IF($Q963&gt;=0,IFERROR(generateSalesData($D963, IF(ISNUMBER(_xlfn.XLOOKUP($C963,Phone_by_Sentiment!$B$2:$B$37,Phone_by_Sentiment!G$2:G$37,"",0,1)),_xlfn.XLOOKUP($C963,Phone_by_Sentiment!$B$2:$B$37,Phone_by_Sentiment!G$2:G$37,"",0,1),0),$A963-TEXT(DATEVALUE($D963&amp;"-01"), "dd-mm-yyyy")),0),0)</f>
        <v>1889</v>
      </c>
      <c r="H963" cm="1">
        <f t="array" ref="H963">IF($Q963&gt;=0,IFERROR(generateSalesData($D963, IF(ISNUMBER(_xlfn.XLOOKUP($C963,Phone_by_Sentiment!$B$2:$B$37,Phone_by_Sentiment!H$2:H$37,"",0,1)),_xlfn.XLOOKUP($C963,Phone_by_Sentiment!$B$2:$B$37,Phone_by_Sentiment!H$2:H$37,"",0,1),0),$A963-TEXT(DATEVALUE($D963&amp;"-01"), "dd-mm-yyyy")),0),0)</f>
        <v>8868</v>
      </c>
      <c r="I963" cm="1">
        <f t="array" ref="I963">IF($Q963&gt;=0,IFERROR(generateSalesData($D963, IF(ISNUMBER(_xlfn.XLOOKUP($C963,Phone_by_Sentiment!$B$2:$B$37,Phone_by_Sentiment!I$2:I$37,"",0,1)),_xlfn.XLOOKUP($C963,Phone_by_Sentiment!$B$2:$B$37,Phone_by_Sentiment!I$2:I$37,"",0,1),0),$A963-TEXT(DATEVALUE($D963&amp;"-01"), "dd-mm-yyyy")),0),0)</f>
        <v>4939</v>
      </c>
      <c r="J963" cm="1">
        <f t="array" ref="J963">IF($Q963&gt;=0,IFERROR(generateSalesData($D963, IF(ISNUMBER(_xlfn.XLOOKUP($C963,Phone_by_Sentiment!$B$2:$B$37,Phone_by_Sentiment!J$2:J$37,"",0,1)),_xlfn.XLOOKUP($C963,Phone_by_Sentiment!$B$2:$B$37,Phone_by_Sentiment!J$2:J$37,"",0,1),0),$A963-TEXT(DATEVALUE($D963&amp;"-01"), "dd-mm-yyyy")),0),0)</f>
        <v>1472</v>
      </c>
      <c r="K963" cm="1">
        <f t="array" ref="K963">IF($Q963&gt;=0,IFERROR(generateSalesData($D963, IF(ISNUMBER(_xlfn.XLOOKUP($C963,Phone_by_Sentiment!$B$2:$B$37,Phone_by_Sentiment!K$2:K$37,"",0,1)),_xlfn.XLOOKUP($C963,Phone_by_Sentiment!$B$2:$B$37,Phone_by_Sentiment!K$2:K$37,"",0,1),0),$A963-TEXT(DATEVALUE($D963&amp;"-01"), "dd-mm-yyyy")),0),0)</f>
        <v>4399</v>
      </c>
      <c r="L963" cm="1">
        <f t="array" ref="L963">IF($Q963&gt;=0,IFERROR(generateSalesData($D963, IF(ISNUMBER(_xlfn.XLOOKUP($C963,Phone_by_Sentiment!$B$2:$B$37,Phone_by_Sentiment!L$2:L$37,"",0,1)),_xlfn.XLOOKUP($C963,Phone_by_Sentiment!$B$2:$B$37,Phone_by_Sentiment!L$2:L$37,"",0,1),0),$A963-TEXT(DATEVALUE($D963&amp;"-01"), "dd-mm-yyyy")),0),0)</f>
        <v>4185</v>
      </c>
      <c r="M963" cm="1">
        <f t="array" ref="M963">IF($Q963&gt;=0,IFERROR(generateSalesData($D963, IF(ISNUMBER(_xlfn.XLOOKUP($C963,Phone_by_Sentiment!$B$2:$B$37,Phone_by_Sentiment!M$2:M$37,"",0,1)),_xlfn.XLOOKUP($C963,Phone_by_Sentiment!$B$2:$B$37,Phone_by_Sentiment!M$2:M$37,"",0,1),0),$A963-TEXT(DATEVALUE($D963&amp;"-01"), "dd-mm-yyyy")),0),0)</f>
        <v>3199</v>
      </c>
      <c r="N963" cm="1">
        <f t="array" ref="N963">IF($Q963&gt;=0,IFERROR(generateSalesData($D963, IF(ISNUMBER(_xlfn.XLOOKUP($C963,Phone_by_Sentiment!$B$2:$B$37,Phone_by_Sentiment!N$2:N$37,"",0,1)),_xlfn.XLOOKUP($C963,Phone_by_Sentiment!$B$2:$B$37,Phone_by_Sentiment!N$2:N$37,"",0,1),0),$A963-TEXT(DATEVALUE($D963&amp;"-01"), "dd-mm-yyyy")),0),0)</f>
        <v>7570</v>
      </c>
      <c r="O963" cm="1">
        <f t="array" ref="O963">IF($Q963&gt;=0,IFERROR(generateSalesData($D963, IF(ISNUMBER(_xlfn.XLOOKUP($C963,Phone_by_Sentiment!$B$2:$B$37,Phone_by_Sentiment!O$2:O$37,"",0,1)),_xlfn.XLOOKUP($C963,Phone_by_Sentiment!$B$2:$B$37,Phone_by_Sentiment!O$2:O$37,"",0,1),0),$A963-TEXT(DATEVALUE($D963&amp;"-01"), "dd-mm-yyyy")),0),0)</f>
        <v>2740</v>
      </c>
      <c r="P963" s="1">
        <f t="shared" si="37"/>
        <v>44287</v>
      </c>
      <c r="Q963">
        <f t="shared" si="38"/>
        <v>0</v>
      </c>
    </row>
    <row r="964" spans="1:17" x14ac:dyDescent="0.25">
      <c r="A964" s="1">
        <f t="shared" si="39"/>
        <v>44287</v>
      </c>
      <c r="B964" t="s">
        <v>146</v>
      </c>
      <c r="C964" t="str">
        <f>_xlfn.XLOOKUP(B964,Phone_by_Price!$A$2:$A$34,Phone_by_Price!$B$2:$B$34,"-",0,1)</f>
        <v>Vivo Y20</v>
      </c>
      <c r="D964" t="str">
        <f>_xlfn.XLOOKUP(C964,Phone_by_Sentiment!$B$2:$B$37,Phone_by_Sentiment!$A$2:$A$37,"-",0,1)</f>
        <v>2020-09</v>
      </c>
      <c r="E964" cm="1">
        <f t="array" ref="E964">IF($Q964&gt;=0,IFERROR(generateSalesData($D964, IF(ISNUMBER(_xlfn.XLOOKUP($C964,Phone_by_Sentiment!$B$2:$B$37,Phone_by_Sentiment!E$2:E$37,"",0,1)),_xlfn.XLOOKUP($C964,Phone_by_Sentiment!$B$2:$B$37,Phone_by_Sentiment!E$2:E$37,"",0,1),0),$A964-TEXT(DATEVALUE($D964&amp;"-01"), "dd-mm-yyyy")),0),0)</f>
        <v>348</v>
      </c>
      <c r="F964" cm="1">
        <f t="array" ref="F964">IF($Q964&gt;=0,IFERROR(generateSalesData($D964, IF(ISNUMBER(_xlfn.XLOOKUP($C964,Phone_by_Sentiment!$B$2:$B$37,Phone_by_Sentiment!F$2:F$37,"",0,1)),_xlfn.XLOOKUP($C964,Phone_by_Sentiment!$B$2:$B$37,Phone_by_Sentiment!F$2:F$37,"",0,1),0),$A964-TEXT(DATEVALUE($D964&amp;"-01"), "dd-mm-yyyy")),0),0)</f>
        <v>-413</v>
      </c>
      <c r="G964" cm="1">
        <f t="array" ref="G964">IF($Q964&gt;=0,IFERROR(generateSalesData($D964, IF(ISNUMBER(_xlfn.XLOOKUP($C964,Phone_by_Sentiment!$B$2:$B$37,Phone_by_Sentiment!G$2:G$37,"",0,1)),_xlfn.XLOOKUP($C964,Phone_by_Sentiment!$B$2:$B$37,Phone_by_Sentiment!G$2:G$37,"",0,1),0),$A964-TEXT(DATEVALUE($D964&amp;"-01"), "dd-mm-yyyy")),0),0)</f>
        <v>598</v>
      </c>
      <c r="H964" cm="1">
        <f t="array" ref="H964">IF($Q964&gt;=0,IFERROR(generateSalesData($D964, IF(ISNUMBER(_xlfn.XLOOKUP($C964,Phone_by_Sentiment!$B$2:$B$37,Phone_by_Sentiment!H$2:H$37,"",0,1)),_xlfn.XLOOKUP($C964,Phone_by_Sentiment!$B$2:$B$37,Phone_by_Sentiment!H$2:H$37,"",0,1),0),$A964-TEXT(DATEVALUE($D964&amp;"-01"), "dd-mm-yyyy")),0),0)</f>
        <v>374</v>
      </c>
      <c r="I964" cm="1">
        <f t="array" ref="I964">IF($Q964&gt;=0,IFERROR(generateSalesData($D964, IF(ISNUMBER(_xlfn.XLOOKUP($C964,Phone_by_Sentiment!$B$2:$B$37,Phone_by_Sentiment!I$2:I$37,"",0,1)),_xlfn.XLOOKUP($C964,Phone_by_Sentiment!$B$2:$B$37,Phone_by_Sentiment!I$2:I$37,"",0,1),0),$A964-TEXT(DATEVALUE($D964&amp;"-01"), "dd-mm-yyyy")),0),0)</f>
        <v>226</v>
      </c>
      <c r="J964" cm="1">
        <f t="array" ref="J964">IF($Q964&gt;=0,IFERROR(generateSalesData($D964, IF(ISNUMBER(_xlfn.XLOOKUP($C964,Phone_by_Sentiment!$B$2:$B$37,Phone_by_Sentiment!J$2:J$37,"",0,1)),_xlfn.XLOOKUP($C964,Phone_by_Sentiment!$B$2:$B$37,Phone_by_Sentiment!J$2:J$37,"",0,1),0),$A964-TEXT(DATEVALUE($D964&amp;"-01"), "dd-mm-yyyy")),0),0)</f>
        <v>252</v>
      </c>
      <c r="K964" cm="1">
        <f t="array" ref="K964">IF($Q964&gt;=0,IFERROR(generateSalesData($D964, IF(ISNUMBER(_xlfn.XLOOKUP($C964,Phone_by_Sentiment!$B$2:$B$37,Phone_by_Sentiment!K$2:K$37,"",0,1)),_xlfn.XLOOKUP($C964,Phone_by_Sentiment!$B$2:$B$37,Phone_by_Sentiment!K$2:K$37,"",0,1),0),$A964-TEXT(DATEVALUE($D964&amp;"-01"), "dd-mm-yyyy")),0),0)</f>
        <v>160</v>
      </c>
      <c r="L964" cm="1">
        <f t="array" ref="L964">IF($Q964&gt;=0,IFERROR(generateSalesData($D964, IF(ISNUMBER(_xlfn.XLOOKUP($C964,Phone_by_Sentiment!$B$2:$B$37,Phone_by_Sentiment!L$2:L$37,"",0,1)),_xlfn.XLOOKUP($C964,Phone_by_Sentiment!$B$2:$B$37,Phone_by_Sentiment!L$2:L$37,"",0,1),0),$A964-TEXT(DATEVALUE($D964&amp;"-01"), "dd-mm-yyyy")),0),0)</f>
        <v>561</v>
      </c>
      <c r="M964" cm="1">
        <f t="array" ref="M964">IF($Q964&gt;=0,IFERROR(generateSalesData($D964, IF(ISNUMBER(_xlfn.XLOOKUP($C964,Phone_by_Sentiment!$B$2:$B$37,Phone_by_Sentiment!M$2:M$37,"",0,1)),_xlfn.XLOOKUP($C964,Phone_by_Sentiment!$B$2:$B$37,Phone_by_Sentiment!M$2:M$37,"",0,1),0),$A964-TEXT(DATEVALUE($D964&amp;"-01"), "dd-mm-yyyy")),0),0)</f>
        <v>184</v>
      </c>
      <c r="N964" cm="1">
        <f t="array" ref="N964">IF($Q964&gt;=0,IFERROR(generateSalesData($D964, IF(ISNUMBER(_xlfn.XLOOKUP($C964,Phone_by_Sentiment!$B$2:$B$37,Phone_by_Sentiment!N$2:N$37,"",0,1)),_xlfn.XLOOKUP($C964,Phone_by_Sentiment!$B$2:$B$37,Phone_by_Sentiment!N$2:N$37,"",0,1),0),$A964-TEXT(DATEVALUE($D964&amp;"-01"), "dd-mm-yyyy")),0),0)</f>
        <v>50</v>
      </c>
      <c r="O964" cm="1">
        <f t="array" ref="O964">IF($Q964&gt;=0,IFERROR(generateSalesData($D964, IF(ISNUMBER(_xlfn.XLOOKUP($C964,Phone_by_Sentiment!$B$2:$B$37,Phone_by_Sentiment!O$2:O$37,"",0,1)),_xlfn.XLOOKUP($C964,Phone_by_Sentiment!$B$2:$B$37,Phone_by_Sentiment!O$2:O$37,"",0,1),0),$A964-TEXT(DATEVALUE($D964&amp;"-01"), "dd-mm-yyyy")),0),0)</f>
        <v>272</v>
      </c>
      <c r="P964" s="1">
        <f t="shared" ref="P964:P1027" si="40">DATEVALUE($D964&amp;"-01")</f>
        <v>44075</v>
      </c>
      <c r="Q964">
        <f t="shared" ref="Q964:Q1027" si="41">A964-P964</f>
        <v>212</v>
      </c>
    </row>
    <row r="965" spans="1:17" x14ac:dyDescent="0.25">
      <c r="A965" s="1">
        <f t="shared" si="39"/>
        <v>44287</v>
      </c>
      <c r="B965" t="s">
        <v>147</v>
      </c>
      <c r="C965" t="str">
        <f>_xlfn.XLOOKUP(B965,Phone_by_Price!$A$2:$A$34,Phone_by_Price!$B$2:$B$34,"-",0,1)</f>
        <v>Huawei Y9a</v>
      </c>
      <c r="D965" t="str">
        <f>_xlfn.XLOOKUP(C965,Phone_by_Sentiment!$B$2:$B$37,Phone_by_Sentiment!$A$2:$A$37,"-",0,1)</f>
        <v>2020-02</v>
      </c>
      <c r="E965" cm="1">
        <f t="array" ref="E965">IF($Q965&gt;=0,IFERROR(generateSalesData($D965, IF(ISNUMBER(_xlfn.XLOOKUP($C965,Phone_by_Sentiment!$B$2:$B$37,Phone_by_Sentiment!E$2:E$37,"",0,1)),_xlfn.XLOOKUP($C965,Phone_by_Sentiment!$B$2:$B$37,Phone_by_Sentiment!E$2:E$37,"",0,1),0),$A965-TEXT(DATEVALUE($D965&amp;"-01"), "dd-mm-yyyy")),0),0)</f>
        <v>341</v>
      </c>
      <c r="F965" cm="1">
        <f t="array" ref="F965">IF($Q965&gt;=0,IFERROR(generateSalesData($D965, IF(ISNUMBER(_xlfn.XLOOKUP($C965,Phone_by_Sentiment!$B$2:$B$37,Phone_by_Sentiment!F$2:F$37,"",0,1)),_xlfn.XLOOKUP($C965,Phone_by_Sentiment!$B$2:$B$37,Phone_by_Sentiment!F$2:F$37,"",0,1),0),$A965-TEXT(DATEVALUE($D965&amp;"-01"), "dd-mm-yyyy")),0),0)</f>
        <v>149</v>
      </c>
      <c r="G965" cm="1">
        <f t="array" ref="G965">IF($Q965&gt;=0,IFERROR(generateSalesData($D965, IF(ISNUMBER(_xlfn.XLOOKUP($C965,Phone_by_Sentiment!$B$2:$B$37,Phone_by_Sentiment!G$2:G$37,"",0,1)),_xlfn.XLOOKUP($C965,Phone_by_Sentiment!$B$2:$B$37,Phone_by_Sentiment!G$2:G$37,"",0,1),0),$A965-TEXT(DATEVALUE($D965&amp;"-01"), "dd-mm-yyyy")),0),0)</f>
        <v>279</v>
      </c>
      <c r="H965" cm="1">
        <f t="array" ref="H965">IF($Q965&gt;=0,IFERROR(generateSalesData($D965, IF(ISNUMBER(_xlfn.XLOOKUP($C965,Phone_by_Sentiment!$B$2:$B$37,Phone_by_Sentiment!H$2:H$37,"",0,1)),_xlfn.XLOOKUP($C965,Phone_by_Sentiment!$B$2:$B$37,Phone_by_Sentiment!H$2:H$37,"",0,1),0),$A965-TEXT(DATEVALUE($D965&amp;"-01"), "dd-mm-yyyy")),0),0)</f>
        <v>153</v>
      </c>
      <c r="I965" cm="1">
        <f t="array" ref="I965">IF($Q965&gt;=0,IFERROR(generateSalesData($D965, IF(ISNUMBER(_xlfn.XLOOKUP($C965,Phone_by_Sentiment!$B$2:$B$37,Phone_by_Sentiment!I$2:I$37,"",0,1)),_xlfn.XLOOKUP($C965,Phone_by_Sentiment!$B$2:$B$37,Phone_by_Sentiment!I$2:I$37,"",0,1),0),$A965-TEXT(DATEVALUE($D965&amp;"-01"), "dd-mm-yyyy")),0),0)</f>
        <v>33</v>
      </c>
      <c r="J965" cm="1">
        <f t="array" ref="J965">IF($Q965&gt;=0,IFERROR(generateSalesData($D965, IF(ISNUMBER(_xlfn.XLOOKUP($C965,Phone_by_Sentiment!$B$2:$B$37,Phone_by_Sentiment!J$2:J$37,"",0,1)),_xlfn.XLOOKUP($C965,Phone_by_Sentiment!$B$2:$B$37,Phone_by_Sentiment!J$2:J$37,"",0,1),0),$A965-TEXT(DATEVALUE($D965&amp;"-01"), "dd-mm-yyyy")),0),0)</f>
        <v>119</v>
      </c>
      <c r="K965" cm="1">
        <f t="array" ref="K965">IF($Q965&gt;=0,IFERROR(generateSalesData($D965, IF(ISNUMBER(_xlfn.XLOOKUP($C965,Phone_by_Sentiment!$B$2:$B$37,Phone_by_Sentiment!K$2:K$37,"",0,1)),_xlfn.XLOOKUP($C965,Phone_by_Sentiment!$B$2:$B$37,Phone_by_Sentiment!K$2:K$37,"",0,1),0),$A965-TEXT(DATEVALUE($D965&amp;"-01"), "dd-mm-yyyy")),0),0)</f>
        <v>212</v>
      </c>
      <c r="L965" cm="1">
        <f t="array" ref="L965">IF($Q965&gt;=0,IFERROR(generateSalesData($D965, IF(ISNUMBER(_xlfn.XLOOKUP($C965,Phone_by_Sentiment!$B$2:$B$37,Phone_by_Sentiment!L$2:L$37,"",0,1)),_xlfn.XLOOKUP($C965,Phone_by_Sentiment!$B$2:$B$37,Phone_by_Sentiment!L$2:L$37,"",0,1),0),$A965-TEXT(DATEVALUE($D965&amp;"-01"), "dd-mm-yyyy")),0),0)</f>
        <v>100</v>
      </c>
      <c r="M965" cm="1">
        <f t="array" ref="M965">IF($Q965&gt;=0,IFERROR(generateSalesData($D965, IF(ISNUMBER(_xlfn.XLOOKUP($C965,Phone_by_Sentiment!$B$2:$B$37,Phone_by_Sentiment!M$2:M$37,"",0,1)),_xlfn.XLOOKUP($C965,Phone_by_Sentiment!$B$2:$B$37,Phone_by_Sentiment!M$2:M$37,"",0,1),0),$A965-TEXT(DATEVALUE($D965&amp;"-01"), "dd-mm-yyyy")),0),0)</f>
        <v>94</v>
      </c>
      <c r="N965" cm="1">
        <f t="array" ref="N965">IF($Q965&gt;=0,IFERROR(generateSalesData($D965, IF(ISNUMBER(_xlfn.XLOOKUP($C965,Phone_by_Sentiment!$B$2:$B$37,Phone_by_Sentiment!N$2:N$37,"",0,1)),_xlfn.XLOOKUP($C965,Phone_by_Sentiment!$B$2:$B$37,Phone_by_Sentiment!N$2:N$37,"",0,1),0),$A965-TEXT(DATEVALUE($D965&amp;"-01"), "dd-mm-yyyy")),0),0)</f>
        <v>145</v>
      </c>
      <c r="O965" cm="1">
        <f t="array" ref="O965">IF($Q965&gt;=0,IFERROR(generateSalesData($D965, IF(ISNUMBER(_xlfn.XLOOKUP($C965,Phone_by_Sentiment!$B$2:$B$37,Phone_by_Sentiment!O$2:O$37,"",0,1)),_xlfn.XLOOKUP($C965,Phone_by_Sentiment!$B$2:$B$37,Phone_by_Sentiment!O$2:O$37,"",0,1),0),$A965-TEXT(DATEVALUE($D965&amp;"-01"), "dd-mm-yyyy")),0),0)</f>
        <v>84</v>
      </c>
      <c r="P965" s="1">
        <f t="shared" si="40"/>
        <v>43862</v>
      </c>
      <c r="Q965">
        <f t="shared" si="41"/>
        <v>425</v>
      </c>
    </row>
    <row r="966" spans="1:17" x14ac:dyDescent="0.25">
      <c r="A966" s="1">
        <f t="shared" si="39"/>
        <v>44287</v>
      </c>
      <c r="B966" t="s">
        <v>148</v>
      </c>
      <c r="C966" t="str">
        <f>_xlfn.XLOOKUP(B966,Phone_by_Price!$A$2:$A$34,Phone_by_Price!$B$2:$B$34,"-",0,1)</f>
        <v>Xiaomi Redmi 10</v>
      </c>
      <c r="D966" t="str">
        <f>_xlfn.XLOOKUP(C966,Phone_by_Sentiment!$B$2:$B$37,Phone_by_Sentiment!$A$2:$A$37,"-",0,1)</f>
        <v>2021-03</v>
      </c>
      <c r="E966" cm="1">
        <f t="array" ref="E966">IF($Q966&gt;=0,IFERROR(generateSalesData($D966, IF(ISNUMBER(_xlfn.XLOOKUP($C966,Phone_by_Sentiment!$B$2:$B$37,Phone_by_Sentiment!E$2:E$37,"",0,1)),_xlfn.XLOOKUP($C966,Phone_by_Sentiment!$B$2:$B$37,Phone_by_Sentiment!E$2:E$37,"",0,1),0),$A966-TEXT(DATEVALUE($D966&amp;"-01"), "dd-mm-yyyy")),0),0)</f>
        <v>7461</v>
      </c>
      <c r="F966" cm="1">
        <f t="array" ref="F966">IF($Q966&gt;=0,IFERROR(generateSalesData($D966, IF(ISNUMBER(_xlfn.XLOOKUP($C966,Phone_by_Sentiment!$B$2:$B$37,Phone_by_Sentiment!F$2:F$37,"",0,1)),_xlfn.XLOOKUP($C966,Phone_by_Sentiment!$B$2:$B$37,Phone_by_Sentiment!F$2:F$37,"",0,1),0),$A966-TEXT(DATEVALUE($D966&amp;"-01"), "dd-mm-yyyy")),0),0)</f>
        <v>10262</v>
      </c>
      <c r="G966" cm="1">
        <f t="array" ref="G966">IF($Q966&gt;=0,IFERROR(generateSalesData($D966, IF(ISNUMBER(_xlfn.XLOOKUP($C966,Phone_by_Sentiment!$B$2:$B$37,Phone_by_Sentiment!G$2:G$37,"",0,1)),_xlfn.XLOOKUP($C966,Phone_by_Sentiment!$B$2:$B$37,Phone_by_Sentiment!G$2:G$37,"",0,1),0),$A966-TEXT(DATEVALUE($D966&amp;"-01"), "dd-mm-yyyy")),0),0)</f>
        <v>57</v>
      </c>
      <c r="H966" cm="1">
        <f t="array" ref="H966">IF($Q966&gt;=0,IFERROR(generateSalesData($D966, IF(ISNUMBER(_xlfn.XLOOKUP($C966,Phone_by_Sentiment!$B$2:$B$37,Phone_by_Sentiment!H$2:H$37,"",0,1)),_xlfn.XLOOKUP($C966,Phone_by_Sentiment!$B$2:$B$37,Phone_by_Sentiment!H$2:H$37,"",0,1),0),$A966-TEXT(DATEVALUE($D966&amp;"-01"), "dd-mm-yyyy")),0),0)</f>
        <v>10528</v>
      </c>
      <c r="I966" cm="1">
        <f t="array" ref="I966">IF($Q966&gt;=0,IFERROR(generateSalesData($D966, IF(ISNUMBER(_xlfn.XLOOKUP($C966,Phone_by_Sentiment!$B$2:$B$37,Phone_by_Sentiment!I$2:I$37,"",0,1)),_xlfn.XLOOKUP($C966,Phone_by_Sentiment!$B$2:$B$37,Phone_by_Sentiment!I$2:I$37,"",0,1),0),$A966-TEXT(DATEVALUE($D966&amp;"-01"), "dd-mm-yyyy")),0),0)</f>
        <v>1365</v>
      </c>
      <c r="J966" cm="1">
        <f t="array" ref="J966">IF($Q966&gt;=0,IFERROR(generateSalesData($D966, IF(ISNUMBER(_xlfn.XLOOKUP($C966,Phone_by_Sentiment!$B$2:$B$37,Phone_by_Sentiment!J$2:J$37,"",0,1)),_xlfn.XLOOKUP($C966,Phone_by_Sentiment!$B$2:$B$37,Phone_by_Sentiment!J$2:J$37,"",0,1),0),$A966-TEXT(DATEVALUE($D966&amp;"-01"), "dd-mm-yyyy")),0),0)</f>
        <v>1552</v>
      </c>
      <c r="K966" cm="1">
        <f t="array" ref="K966">IF($Q966&gt;=0,IFERROR(generateSalesData($D966, IF(ISNUMBER(_xlfn.XLOOKUP($C966,Phone_by_Sentiment!$B$2:$B$37,Phone_by_Sentiment!K$2:K$37,"",0,1)),_xlfn.XLOOKUP($C966,Phone_by_Sentiment!$B$2:$B$37,Phone_by_Sentiment!K$2:K$37,"",0,1),0),$A966-TEXT(DATEVALUE($D966&amp;"-01"), "dd-mm-yyyy")),0),0)</f>
        <v>6309</v>
      </c>
      <c r="L966" cm="1">
        <f t="array" ref="L966">IF($Q966&gt;=0,IFERROR(generateSalesData($D966, IF(ISNUMBER(_xlfn.XLOOKUP($C966,Phone_by_Sentiment!$B$2:$B$37,Phone_by_Sentiment!L$2:L$37,"",0,1)),_xlfn.XLOOKUP($C966,Phone_by_Sentiment!$B$2:$B$37,Phone_by_Sentiment!L$2:L$37,"",0,1),0),$A966-TEXT(DATEVALUE($D966&amp;"-01"), "dd-mm-yyyy")),0),0)</f>
        <v>3000</v>
      </c>
      <c r="M966" cm="1">
        <f t="array" ref="M966">IF($Q966&gt;=0,IFERROR(generateSalesData($D966, IF(ISNUMBER(_xlfn.XLOOKUP($C966,Phone_by_Sentiment!$B$2:$B$37,Phone_by_Sentiment!M$2:M$37,"",0,1)),_xlfn.XLOOKUP($C966,Phone_by_Sentiment!$B$2:$B$37,Phone_by_Sentiment!M$2:M$37,"",0,1),0),$A966-TEXT(DATEVALUE($D966&amp;"-01"), "dd-mm-yyyy")),0),0)</f>
        <v>1323</v>
      </c>
      <c r="N966" cm="1">
        <f t="array" ref="N966">IF($Q966&gt;=0,IFERROR(generateSalesData($D966, IF(ISNUMBER(_xlfn.XLOOKUP($C966,Phone_by_Sentiment!$B$2:$B$37,Phone_by_Sentiment!N$2:N$37,"",0,1)),_xlfn.XLOOKUP($C966,Phone_by_Sentiment!$B$2:$B$37,Phone_by_Sentiment!N$2:N$37,"",0,1),0),$A966-TEXT(DATEVALUE($D966&amp;"-01"), "dd-mm-yyyy")),0),0)</f>
        <v>1803</v>
      </c>
      <c r="O966" cm="1">
        <f t="array" ref="O966">IF($Q966&gt;=0,IFERROR(generateSalesData($D966, IF(ISNUMBER(_xlfn.XLOOKUP($C966,Phone_by_Sentiment!$B$2:$B$37,Phone_by_Sentiment!O$2:O$37,"",0,1)),_xlfn.XLOOKUP($C966,Phone_by_Sentiment!$B$2:$B$37,Phone_by_Sentiment!O$2:O$37,"",0,1),0),$A966-TEXT(DATEVALUE($D966&amp;"-01"), "dd-mm-yyyy")),0),0)</f>
        <v>6518</v>
      </c>
      <c r="P966" s="1">
        <f t="shared" si="40"/>
        <v>44256</v>
      </c>
      <c r="Q966">
        <f t="shared" si="41"/>
        <v>31</v>
      </c>
    </row>
    <row r="967" spans="1:17" x14ac:dyDescent="0.25">
      <c r="A967" s="1">
        <f t="shared" si="39"/>
        <v>44287</v>
      </c>
      <c r="B967" t="s">
        <v>149</v>
      </c>
      <c r="C967" t="str">
        <f>_xlfn.XLOOKUP(B967,Phone_by_Price!$A$2:$A$34,Phone_by_Price!$B$2:$B$34,"-",0,1)</f>
        <v>Samsung Galaxy A52</v>
      </c>
      <c r="D967" t="str">
        <f>_xlfn.XLOOKUP(C967,Phone_by_Sentiment!$B$2:$B$37,Phone_by_Sentiment!$A$2:$A$37,"-",0,1)</f>
        <v>2021-03</v>
      </c>
      <c r="E967" cm="1">
        <f t="array" ref="E967">IF($Q967&gt;=0,IFERROR(generateSalesData($D967, IF(ISNUMBER(_xlfn.XLOOKUP($C967,Phone_by_Sentiment!$B$2:$B$37,Phone_by_Sentiment!E$2:E$37,"",0,1)),_xlfn.XLOOKUP($C967,Phone_by_Sentiment!$B$2:$B$37,Phone_by_Sentiment!E$2:E$37,"",0,1),0),$A967-TEXT(DATEVALUE($D967&amp;"-01"), "dd-mm-yyyy")),0),0)</f>
        <v>4438</v>
      </c>
      <c r="F967" cm="1">
        <f t="array" ref="F967">IF($Q967&gt;=0,IFERROR(generateSalesData($D967, IF(ISNUMBER(_xlfn.XLOOKUP($C967,Phone_by_Sentiment!$B$2:$B$37,Phone_by_Sentiment!F$2:F$37,"",0,1)),_xlfn.XLOOKUP($C967,Phone_by_Sentiment!$B$2:$B$37,Phone_by_Sentiment!F$2:F$37,"",0,1),0),$A967-TEXT(DATEVALUE($D967&amp;"-01"), "dd-mm-yyyy")),0),0)</f>
        <v>7688</v>
      </c>
      <c r="G967" cm="1">
        <f t="array" ref="G967">IF($Q967&gt;=0,IFERROR(generateSalesData($D967, IF(ISNUMBER(_xlfn.XLOOKUP($C967,Phone_by_Sentiment!$B$2:$B$37,Phone_by_Sentiment!G$2:G$37,"",0,1)),_xlfn.XLOOKUP($C967,Phone_by_Sentiment!$B$2:$B$37,Phone_by_Sentiment!G$2:G$37,"",0,1),0),$A967-TEXT(DATEVALUE($D967&amp;"-01"), "dd-mm-yyyy")),0),0)</f>
        <v>2333</v>
      </c>
      <c r="H967" cm="1">
        <f t="array" ref="H967">IF($Q967&gt;=0,IFERROR(generateSalesData($D967, IF(ISNUMBER(_xlfn.XLOOKUP($C967,Phone_by_Sentiment!$B$2:$B$37,Phone_by_Sentiment!H$2:H$37,"",0,1)),_xlfn.XLOOKUP($C967,Phone_by_Sentiment!$B$2:$B$37,Phone_by_Sentiment!H$2:H$37,"",0,1),0),$A967-TEXT(DATEVALUE($D967&amp;"-01"), "dd-mm-yyyy")),0),0)</f>
        <v>9430</v>
      </c>
      <c r="I967" cm="1">
        <f t="array" ref="I967">IF($Q967&gt;=0,IFERROR(generateSalesData($D967, IF(ISNUMBER(_xlfn.XLOOKUP($C967,Phone_by_Sentiment!$B$2:$B$37,Phone_by_Sentiment!I$2:I$37,"",0,1)),_xlfn.XLOOKUP($C967,Phone_by_Sentiment!$B$2:$B$37,Phone_by_Sentiment!I$2:I$37,"",0,1),0),$A967-TEXT(DATEVALUE($D967&amp;"-01"), "dd-mm-yyyy")),0),0)</f>
        <v>15269</v>
      </c>
      <c r="J967" cm="1">
        <f t="array" ref="J967">IF($Q967&gt;=0,IFERROR(generateSalesData($D967, IF(ISNUMBER(_xlfn.XLOOKUP($C967,Phone_by_Sentiment!$B$2:$B$37,Phone_by_Sentiment!J$2:J$37,"",0,1)),_xlfn.XLOOKUP($C967,Phone_by_Sentiment!$B$2:$B$37,Phone_by_Sentiment!J$2:J$37,"",0,1),0),$A967-TEXT(DATEVALUE($D967&amp;"-01"), "dd-mm-yyyy")),0),0)</f>
        <v>2700</v>
      </c>
      <c r="K967" cm="1">
        <f t="array" ref="K967">IF($Q967&gt;=0,IFERROR(generateSalesData($D967, IF(ISNUMBER(_xlfn.XLOOKUP($C967,Phone_by_Sentiment!$B$2:$B$37,Phone_by_Sentiment!K$2:K$37,"",0,1)),_xlfn.XLOOKUP($C967,Phone_by_Sentiment!$B$2:$B$37,Phone_by_Sentiment!K$2:K$37,"",0,1),0),$A967-TEXT(DATEVALUE($D967&amp;"-01"), "dd-mm-yyyy")),0),0)</f>
        <v>13559</v>
      </c>
      <c r="L967" cm="1">
        <f t="array" ref="L967">IF($Q967&gt;=0,IFERROR(generateSalesData($D967, IF(ISNUMBER(_xlfn.XLOOKUP($C967,Phone_by_Sentiment!$B$2:$B$37,Phone_by_Sentiment!L$2:L$37,"",0,1)),_xlfn.XLOOKUP($C967,Phone_by_Sentiment!$B$2:$B$37,Phone_by_Sentiment!L$2:L$37,"",0,1),0),$A967-TEXT(DATEVALUE($D967&amp;"-01"), "dd-mm-yyyy")),0),0)</f>
        <v>9101</v>
      </c>
      <c r="M967" cm="1">
        <f t="array" ref="M967">IF($Q967&gt;=0,IFERROR(generateSalesData($D967, IF(ISNUMBER(_xlfn.XLOOKUP($C967,Phone_by_Sentiment!$B$2:$B$37,Phone_by_Sentiment!M$2:M$37,"",0,1)),_xlfn.XLOOKUP($C967,Phone_by_Sentiment!$B$2:$B$37,Phone_by_Sentiment!M$2:M$37,"",0,1),0),$A967-TEXT(DATEVALUE($D967&amp;"-01"), "dd-mm-yyyy")),0),0)</f>
        <v>4678</v>
      </c>
      <c r="N967" cm="1">
        <f t="array" ref="N967">IF($Q967&gt;=0,IFERROR(generateSalesData($D967, IF(ISNUMBER(_xlfn.XLOOKUP($C967,Phone_by_Sentiment!$B$2:$B$37,Phone_by_Sentiment!N$2:N$37,"",0,1)),_xlfn.XLOOKUP($C967,Phone_by_Sentiment!$B$2:$B$37,Phone_by_Sentiment!N$2:N$37,"",0,1),0),$A967-TEXT(DATEVALUE($D967&amp;"-01"), "dd-mm-yyyy")),0),0)</f>
        <v>10376</v>
      </c>
      <c r="O967" cm="1">
        <f t="array" ref="O967">IF($Q967&gt;=0,IFERROR(generateSalesData($D967, IF(ISNUMBER(_xlfn.XLOOKUP($C967,Phone_by_Sentiment!$B$2:$B$37,Phone_by_Sentiment!O$2:O$37,"",0,1)),_xlfn.XLOOKUP($C967,Phone_by_Sentiment!$B$2:$B$37,Phone_by_Sentiment!O$2:O$37,"",0,1),0),$A967-TEXT(DATEVALUE($D967&amp;"-01"), "dd-mm-yyyy")),0),0)</f>
        <v>5908</v>
      </c>
      <c r="P967" s="1">
        <f t="shared" si="40"/>
        <v>44256</v>
      </c>
      <c r="Q967">
        <f t="shared" si="41"/>
        <v>31</v>
      </c>
    </row>
    <row r="968" spans="1:17" x14ac:dyDescent="0.25">
      <c r="A968" s="1">
        <f t="shared" si="39"/>
        <v>44287</v>
      </c>
      <c r="B968" t="s">
        <v>150</v>
      </c>
      <c r="C968" t="str">
        <f>_xlfn.XLOOKUP(B968,Phone_by_Price!$A$2:$A$34,Phone_by_Price!$B$2:$B$34,"-",0,1)</f>
        <v>Vivo Y33s</v>
      </c>
      <c r="D968" t="str">
        <f>_xlfn.XLOOKUP(C968,Phone_by_Sentiment!$B$2:$B$37,Phone_by_Sentiment!$A$2:$A$37,"-",0,1)</f>
        <v>2021-05</v>
      </c>
      <c r="E968" cm="1">
        <f t="array" ref="E968">IF($Q968&gt;=0,IFERROR(generateSalesData($D968, IF(ISNUMBER(_xlfn.XLOOKUP($C968,Phone_by_Sentiment!$B$2:$B$37,Phone_by_Sentiment!E$2:E$37,"",0,1)),_xlfn.XLOOKUP($C968,Phone_by_Sentiment!$B$2:$B$37,Phone_by_Sentiment!E$2:E$37,"",0,1),0),$A968-TEXT(DATEVALUE($D968&amp;"-01"), "dd-mm-yyyy")),0),0)</f>
        <v>0</v>
      </c>
      <c r="F968" cm="1">
        <f t="array" ref="F968">IF($Q968&gt;=0,IFERROR(generateSalesData($D968, IF(ISNUMBER(_xlfn.XLOOKUP($C968,Phone_by_Sentiment!$B$2:$B$37,Phone_by_Sentiment!F$2:F$37,"",0,1)),_xlfn.XLOOKUP($C968,Phone_by_Sentiment!$B$2:$B$37,Phone_by_Sentiment!F$2:F$37,"",0,1),0),$A968-TEXT(DATEVALUE($D968&amp;"-01"), "dd-mm-yyyy")),0),0)</f>
        <v>0</v>
      </c>
      <c r="G968" cm="1">
        <f t="array" ref="G968">IF($Q968&gt;=0,IFERROR(generateSalesData($D968, IF(ISNUMBER(_xlfn.XLOOKUP($C968,Phone_by_Sentiment!$B$2:$B$37,Phone_by_Sentiment!G$2:G$37,"",0,1)),_xlfn.XLOOKUP($C968,Phone_by_Sentiment!$B$2:$B$37,Phone_by_Sentiment!G$2:G$37,"",0,1),0),$A968-TEXT(DATEVALUE($D968&amp;"-01"), "dd-mm-yyyy")),0),0)</f>
        <v>0</v>
      </c>
      <c r="H968" cm="1">
        <f t="array" ref="H968">IF($Q968&gt;=0,IFERROR(generateSalesData($D968, IF(ISNUMBER(_xlfn.XLOOKUP($C968,Phone_by_Sentiment!$B$2:$B$37,Phone_by_Sentiment!H$2:H$37,"",0,1)),_xlfn.XLOOKUP($C968,Phone_by_Sentiment!$B$2:$B$37,Phone_by_Sentiment!H$2:H$37,"",0,1),0),$A968-TEXT(DATEVALUE($D968&amp;"-01"), "dd-mm-yyyy")),0),0)</f>
        <v>0</v>
      </c>
      <c r="I968" cm="1">
        <f t="array" ref="I968">IF($Q968&gt;=0,IFERROR(generateSalesData($D968, IF(ISNUMBER(_xlfn.XLOOKUP($C968,Phone_by_Sentiment!$B$2:$B$37,Phone_by_Sentiment!I$2:I$37,"",0,1)),_xlfn.XLOOKUP($C968,Phone_by_Sentiment!$B$2:$B$37,Phone_by_Sentiment!I$2:I$37,"",0,1),0),$A968-TEXT(DATEVALUE($D968&amp;"-01"), "dd-mm-yyyy")),0),0)</f>
        <v>0</v>
      </c>
      <c r="J968" cm="1">
        <f t="array" ref="J968">IF($Q968&gt;=0,IFERROR(generateSalesData($D968, IF(ISNUMBER(_xlfn.XLOOKUP($C968,Phone_by_Sentiment!$B$2:$B$37,Phone_by_Sentiment!J$2:J$37,"",0,1)),_xlfn.XLOOKUP($C968,Phone_by_Sentiment!$B$2:$B$37,Phone_by_Sentiment!J$2:J$37,"",0,1),0),$A968-TEXT(DATEVALUE($D968&amp;"-01"), "dd-mm-yyyy")),0),0)</f>
        <v>0</v>
      </c>
      <c r="K968" cm="1">
        <f t="array" ref="K968">IF($Q968&gt;=0,IFERROR(generateSalesData($D968, IF(ISNUMBER(_xlfn.XLOOKUP($C968,Phone_by_Sentiment!$B$2:$B$37,Phone_by_Sentiment!K$2:K$37,"",0,1)),_xlfn.XLOOKUP($C968,Phone_by_Sentiment!$B$2:$B$37,Phone_by_Sentiment!K$2:K$37,"",0,1),0),$A968-TEXT(DATEVALUE($D968&amp;"-01"), "dd-mm-yyyy")),0),0)</f>
        <v>0</v>
      </c>
      <c r="L968" cm="1">
        <f t="array" ref="L968">IF($Q968&gt;=0,IFERROR(generateSalesData($D968, IF(ISNUMBER(_xlfn.XLOOKUP($C968,Phone_by_Sentiment!$B$2:$B$37,Phone_by_Sentiment!L$2:L$37,"",0,1)),_xlfn.XLOOKUP($C968,Phone_by_Sentiment!$B$2:$B$37,Phone_by_Sentiment!L$2:L$37,"",0,1),0),$A968-TEXT(DATEVALUE($D968&amp;"-01"), "dd-mm-yyyy")),0),0)</f>
        <v>0</v>
      </c>
      <c r="M968" cm="1">
        <f t="array" ref="M968">IF($Q968&gt;=0,IFERROR(generateSalesData($D968, IF(ISNUMBER(_xlfn.XLOOKUP($C968,Phone_by_Sentiment!$B$2:$B$37,Phone_by_Sentiment!M$2:M$37,"",0,1)),_xlfn.XLOOKUP($C968,Phone_by_Sentiment!$B$2:$B$37,Phone_by_Sentiment!M$2:M$37,"",0,1),0),$A968-TEXT(DATEVALUE($D968&amp;"-01"), "dd-mm-yyyy")),0),0)</f>
        <v>0</v>
      </c>
      <c r="N968" cm="1">
        <f t="array" ref="N968">IF($Q968&gt;=0,IFERROR(generateSalesData($D968, IF(ISNUMBER(_xlfn.XLOOKUP($C968,Phone_by_Sentiment!$B$2:$B$37,Phone_by_Sentiment!N$2:N$37,"",0,1)),_xlfn.XLOOKUP($C968,Phone_by_Sentiment!$B$2:$B$37,Phone_by_Sentiment!N$2:N$37,"",0,1),0),$A968-TEXT(DATEVALUE($D968&amp;"-01"), "dd-mm-yyyy")),0),0)</f>
        <v>0</v>
      </c>
      <c r="O968" cm="1">
        <f t="array" ref="O968">IF($Q968&gt;=0,IFERROR(generateSalesData($D968, IF(ISNUMBER(_xlfn.XLOOKUP($C968,Phone_by_Sentiment!$B$2:$B$37,Phone_by_Sentiment!O$2:O$37,"",0,1)),_xlfn.XLOOKUP($C968,Phone_by_Sentiment!$B$2:$B$37,Phone_by_Sentiment!O$2:O$37,"",0,1),0),$A968-TEXT(DATEVALUE($D968&amp;"-01"), "dd-mm-yyyy")),0),0)</f>
        <v>0</v>
      </c>
      <c r="P968" s="1">
        <f t="shared" si="40"/>
        <v>44317</v>
      </c>
      <c r="Q968">
        <f t="shared" si="41"/>
        <v>-30</v>
      </c>
    </row>
    <row r="969" spans="1:17" x14ac:dyDescent="0.25">
      <c r="A969" s="1">
        <f t="shared" ref="A969:A1032" si="42">DATE(YEAR($A$1), MONTH($A$1) + INT((ROW()-1)/35), DAY($A$1))</f>
        <v>44287</v>
      </c>
      <c r="B969" t="s">
        <v>151</v>
      </c>
      <c r="C969" t="str">
        <f>_xlfn.XLOOKUP(B969,Phone_by_Price!$A$2:$A$34,Phone_by_Price!$B$2:$B$34,"-",0,1)</f>
        <v>Vivo Y11s</v>
      </c>
      <c r="D969" t="str">
        <f>_xlfn.XLOOKUP(C969,Phone_by_Sentiment!$B$2:$B$37,Phone_by_Sentiment!$A$2:$A$37,"-",0,1)</f>
        <v>2020-11</v>
      </c>
      <c r="E969" cm="1">
        <f t="array" ref="E969">IF($Q969&gt;=0,IFERROR(generateSalesData($D969, IF(ISNUMBER(_xlfn.XLOOKUP($C969,Phone_by_Sentiment!$B$2:$B$37,Phone_by_Sentiment!E$2:E$37,"",0,1)),_xlfn.XLOOKUP($C969,Phone_by_Sentiment!$B$2:$B$37,Phone_by_Sentiment!E$2:E$37,"",0,1),0),$A969-TEXT(DATEVALUE($D969&amp;"-01"), "dd-mm-yyyy")),0),0)</f>
        <v>292</v>
      </c>
      <c r="F969" cm="1">
        <f t="array" ref="F969">IF($Q969&gt;=0,IFERROR(generateSalesData($D969, IF(ISNUMBER(_xlfn.XLOOKUP($C969,Phone_by_Sentiment!$B$2:$B$37,Phone_by_Sentiment!F$2:F$37,"",0,1)),_xlfn.XLOOKUP($C969,Phone_by_Sentiment!$B$2:$B$37,Phone_by_Sentiment!F$2:F$37,"",0,1),0),$A969-TEXT(DATEVALUE($D969&amp;"-01"), "dd-mm-yyyy")),0),0)</f>
        <v>613</v>
      </c>
      <c r="G969" cm="1">
        <f t="array" ref="G969">IF($Q969&gt;=0,IFERROR(generateSalesData($D969, IF(ISNUMBER(_xlfn.XLOOKUP($C969,Phone_by_Sentiment!$B$2:$B$37,Phone_by_Sentiment!G$2:G$37,"",0,1)),_xlfn.XLOOKUP($C969,Phone_by_Sentiment!$B$2:$B$37,Phone_by_Sentiment!G$2:G$37,"",0,1),0),$A969-TEXT(DATEVALUE($D969&amp;"-01"), "dd-mm-yyyy")),0),0)</f>
        <v>591</v>
      </c>
      <c r="H969" cm="1">
        <f t="array" ref="H969">IF($Q969&gt;=0,IFERROR(generateSalesData($D969, IF(ISNUMBER(_xlfn.XLOOKUP($C969,Phone_by_Sentiment!$B$2:$B$37,Phone_by_Sentiment!H$2:H$37,"",0,1)),_xlfn.XLOOKUP($C969,Phone_by_Sentiment!$B$2:$B$37,Phone_by_Sentiment!H$2:H$37,"",0,1),0),$A969-TEXT(DATEVALUE($D969&amp;"-01"), "dd-mm-yyyy")),0),0)</f>
        <v>767</v>
      </c>
      <c r="I969" cm="1">
        <f t="array" ref="I969">IF($Q969&gt;=0,IFERROR(generateSalesData($D969, IF(ISNUMBER(_xlfn.XLOOKUP($C969,Phone_by_Sentiment!$B$2:$B$37,Phone_by_Sentiment!I$2:I$37,"",0,1)),_xlfn.XLOOKUP($C969,Phone_by_Sentiment!$B$2:$B$37,Phone_by_Sentiment!I$2:I$37,"",0,1),0),$A969-TEXT(DATEVALUE($D969&amp;"-01"), "dd-mm-yyyy")),0),0)</f>
        <v>1134</v>
      </c>
      <c r="J969" cm="1">
        <f t="array" ref="J969">IF($Q969&gt;=0,IFERROR(generateSalesData($D969, IF(ISNUMBER(_xlfn.XLOOKUP($C969,Phone_by_Sentiment!$B$2:$B$37,Phone_by_Sentiment!J$2:J$37,"",0,1)),_xlfn.XLOOKUP($C969,Phone_by_Sentiment!$B$2:$B$37,Phone_by_Sentiment!J$2:J$37,"",0,1),0),$A969-TEXT(DATEVALUE($D969&amp;"-01"), "dd-mm-yyyy")),0),0)</f>
        <v>330</v>
      </c>
      <c r="K969" cm="1">
        <f t="array" ref="K969">IF($Q969&gt;=0,IFERROR(generateSalesData($D969, IF(ISNUMBER(_xlfn.XLOOKUP($C969,Phone_by_Sentiment!$B$2:$B$37,Phone_by_Sentiment!K$2:K$37,"",0,1)),_xlfn.XLOOKUP($C969,Phone_by_Sentiment!$B$2:$B$37,Phone_by_Sentiment!K$2:K$37,"",0,1),0),$A969-TEXT(DATEVALUE($D969&amp;"-01"), "dd-mm-yyyy")),0),0)</f>
        <v>435</v>
      </c>
      <c r="L969" cm="1">
        <f t="array" ref="L969">IF($Q969&gt;=0,IFERROR(generateSalesData($D969, IF(ISNUMBER(_xlfn.XLOOKUP($C969,Phone_by_Sentiment!$B$2:$B$37,Phone_by_Sentiment!L$2:L$37,"",0,1)),_xlfn.XLOOKUP($C969,Phone_by_Sentiment!$B$2:$B$37,Phone_by_Sentiment!L$2:L$37,"",0,1),0),$A969-TEXT(DATEVALUE($D969&amp;"-01"), "dd-mm-yyyy")),0),0)</f>
        <v>108</v>
      </c>
      <c r="M969" cm="1">
        <f t="array" ref="M969">IF($Q969&gt;=0,IFERROR(generateSalesData($D969, IF(ISNUMBER(_xlfn.XLOOKUP($C969,Phone_by_Sentiment!$B$2:$B$37,Phone_by_Sentiment!M$2:M$37,"",0,1)),_xlfn.XLOOKUP($C969,Phone_by_Sentiment!$B$2:$B$37,Phone_by_Sentiment!M$2:M$37,"",0,1),0),$A969-TEXT(DATEVALUE($D969&amp;"-01"), "dd-mm-yyyy")),0),0)</f>
        <v>466</v>
      </c>
      <c r="N969" cm="1">
        <f t="array" ref="N969">IF($Q969&gt;=0,IFERROR(generateSalesData($D969, IF(ISNUMBER(_xlfn.XLOOKUP($C969,Phone_by_Sentiment!$B$2:$B$37,Phone_by_Sentiment!N$2:N$37,"",0,1)),_xlfn.XLOOKUP($C969,Phone_by_Sentiment!$B$2:$B$37,Phone_by_Sentiment!N$2:N$37,"",0,1),0),$A969-TEXT(DATEVALUE($D969&amp;"-01"), "dd-mm-yyyy")),0),0)</f>
        <v>559</v>
      </c>
      <c r="O969" cm="1">
        <f t="array" ref="O969">IF($Q969&gt;=0,IFERROR(generateSalesData($D969, IF(ISNUMBER(_xlfn.XLOOKUP($C969,Phone_by_Sentiment!$B$2:$B$37,Phone_by_Sentiment!O$2:O$37,"",0,1)),_xlfn.XLOOKUP($C969,Phone_by_Sentiment!$B$2:$B$37,Phone_by_Sentiment!O$2:O$37,"",0,1),0),$A969-TEXT(DATEVALUE($D969&amp;"-01"), "dd-mm-yyyy")),0),0)</f>
        <v>450</v>
      </c>
      <c r="P969" s="1">
        <f t="shared" si="40"/>
        <v>44136</v>
      </c>
      <c r="Q969">
        <f t="shared" si="41"/>
        <v>151</v>
      </c>
    </row>
    <row r="970" spans="1:17" x14ac:dyDescent="0.25">
      <c r="A970" s="1">
        <f t="shared" si="42"/>
        <v>44287</v>
      </c>
      <c r="B970" t="s">
        <v>152</v>
      </c>
      <c r="C970" t="str">
        <f>_xlfn.XLOOKUP(B970,Phone_by_Price!$A$2:$A$34,Phone_by_Price!$B$2:$B$34,"-",0,1)</f>
        <v>Huawei Nova 7i</v>
      </c>
      <c r="D970" t="str">
        <f>_xlfn.XLOOKUP(C970,Phone_by_Sentiment!$B$2:$B$37,Phone_by_Sentiment!$A$2:$A$37,"-",0,1)</f>
        <v>2020-02</v>
      </c>
      <c r="E970" cm="1">
        <f t="array" ref="E970">IF($Q970&gt;=0,IFERROR(generateSalesData($D970, IF(ISNUMBER(_xlfn.XLOOKUP($C970,Phone_by_Sentiment!$B$2:$B$37,Phone_by_Sentiment!E$2:E$37,"",0,1)),_xlfn.XLOOKUP($C970,Phone_by_Sentiment!$B$2:$B$37,Phone_by_Sentiment!E$2:E$37,"",0,1),0),$A970-TEXT(DATEVALUE($D970&amp;"-01"), "dd-mm-yyyy")),0),0)</f>
        <v>79</v>
      </c>
      <c r="F970" cm="1">
        <f t="array" ref="F970">IF($Q970&gt;=0,IFERROR(generateSalesData($D970, IF(ISNUMBER(_xlfn.XLOOKUP($C970,Phone_by_Sentiment!$B$2:$B$37,Phone_by_Sentiment!F$2:F$37,"",0,1)),_xlfn.XLOOKUP($C970,Phone_by_Sentiment!$B$2:$B$37,Phone_by_Sentiment!F$2:F$37,"",0,1),0),$A970-TEXT(DATEVALUE($D970&amp;"-01"), "dd-mm-yyyy")),0),0)</f>
        <v>87</v>
      </c>
      <c r="G970" cm="1">
        <f t="array" ref="G970">IF($Q970&gt;=0,IFERROR(generateSalesData($D970, IF(ISNUMBER(_xlfn.XLOOKUP($C970,Phone_by_Sentiment!$B$2:$B$37,Phone_by_Sentiment!G$2:G$37,"",0,1)),_xlfn.XLOOKUP($C970,Phone_by_Sentiment!$B$2:$B$37,Phone_by_Sentiment!G$2:G$37,"",0,1),0),$A970-TEXT(DATEVALUE($D970&amp;"-01"), "dd-mm-yyyy")),0),0)</f>
        <v>-23</v>
      </c>
      <c r="H970" cm="1">
        <f t="array" ref="H970">IF($Q970&gt;=0,IFERROR(generateSalesData($D970, IF(ISNUMBER(_xlfn.XLOOKUP($C970,Phone_by_Sentiment!$B$2:$B$37,Phone_by_Sentiment!H$2:H$37,"",0,1)),_xlfn.XLOOKUP($C970,Phone_by_Sentiment!$B$2:$B$37,Phone_by_Sentiment!H$2:H$37,"",0,1),0),$A970-TEXT(DATEVALUE($D970&amp;"-01"), "dd-mm-yyyy")),0),0)</f>
        <v>687</v>
      </c>
      <c r="I970" cm="1">
        <f t="array" ref="I970">IF($Q970&gt;=0,IFERROR(generateSalesData($D970, IF(ISNUMBER(_xlfn.XLOOKUP($C970,Phone_by_Sentiment!$B$2:$B$37,Phone_by_Sentiment!I$2:I$37,"",0,1)),_xlfn.XLOOKUP($C970,Phone_by_Sentiment!$B$2:$B$37,Phone_by_Sentiment!I$2:I$37,"",0,1),0),$A970-TEXT(DATEVALUE($D970&amp;"-01"), "dd-mm-yyyy")),0),0)</f>
        <v>164</v>
      </c>
      <c r="J970" cm="1">
        <f t="array" ref="J970">IF($Q970&gt;=0,IFERROR(generateSalesData($D970, IF(ISNUMBER(_xlfn.XLOOKUP($C970,Phone_by_Sentiment!$B$2:$B$37,Phone_by_Sentiment!J$2:J$37,"",0,1)),_xlfn.XLOOKUP($C970,Phone_by_Sentiment!$B$2:$B$37,Phone_by_Sentiment!J$2:J$37,"",0,1),0),$A970-TEXT(DATEVALUE($D970&amp;"-01"), "dd-mm-yyyy")),0),0)</f>
        <v>139</v>
      </c>
      <c r="K970" cm="1">
        <f t="array" ref="K970">IF($Q970&gt;=0,IFERROR(generateSalesData($D970, IF(ISNUMBER(_xlfn.XLOOKUP($C970,Phone_by_Sentiment!$B$2:$B$37,Phone_by_Sentiment!K$2:K$37,"",0,1)),_xlfn.XLOOKUP($C970,Phone_by_Sentiment!$B$2:$B$37,Phone_by_Sentiment!K$2:K$37,"",0,1),0),$A970-TEXT(DATEVALUE($D970&amp;"-01"), "dd-mm-yyyy")),0),0)</f>
        <v>176</v>
      </c>
      <c r="L970" cm="1">
        <f t="array" ref="L970">IF($Q970&gt;=0,IFERROR(generateSalesData($D970, IF(ISNUMBER(_xlfn.XLOOKUP($C970,Phone_by_Sentiment!$B$2:$B$37,Phone_by_Sentiment!L$2:L$37,"",0,1)),_xlfn.XLOOKUP($C970,Phone_by_Sentiment!$B$2:$B$37,Phone_by_Sentiment!L$2:L$37,"",0,1),0),$A970-TEXT(DATEVALUE($D970&amp;"-01"), "dd-mm-yyyy")),0),0)</f>
        <v>78</v>
      </c>
      <c r="M970" cm="1">
        <f t="array" ref="M970">IF($Q970&gt;=0,IFERROR(generateSalesData($D970, IF(ISNUMBER(_xlfn.XLOOKUP($C970,Phone_by_Sentiment!$B$2:$B$37,Phone_by_Sentiment!M$2:M$37,"",0,1)),_xlfn.XLOOKUP($C970,Phone_by_Sentiment!$B$2:$B$37,Phone_by_Sentiment!M$2:M$37,"",0,1),0),$A970-TEXT(DATEVALUE($D970&amp;"-01"), "dd-mm-yyyy")),0),0)</f>
        <v>58</v>
      </c>
      <c r="N970" cm="1">
        <f t="array" ref="N970">IF($Q970&gt;=0,IFERROR(generateSalesData($D970, IF(ISNUMBER(_xlfn.XLOOKUP($C970,Phone_by_Sentiment!$B$2:$B$37,Phone_by_Sentiment!N$2:N$37,"",0,1)),_xlfn.XLOOKUP($C970,Phone_by_Sentiment!$B$2:$B$37,Phone_by_Sentiment!N$2:N$37,"",0,1),0),$A970-TEXT(DATEVALUE($D970&amp;"-01"), "dd-mm-yyyy")),0),0)</f>
        <v>97</v>
      </c>
      <c r="O970" cm="1">
        <f t="array" ref="O970">IF($Q970&gt;=0,IFERROR(generateSalesData($D970, IF(ISNUMBER(_xlfn.XLOOKUP($C970,Phone_by_Sentiment!$B$2:$B$37,Phone_by_Sentiment!O$2:O$37,"",0,1)),_xlfn.XLOOKUP($C970,Phone_by_Sentiment!$B$2:$B$37,Phone_by_Sentiment!O$2:O$37,"",0,1),0),$A970-TEXT(DATEVALUE($D970&amp;"-01"), "dd-mm-yyyy")),0),0)</f>
        <v>161</v>
      </c>
      <c r="P970" s="1">
        <f t="shared" si="40"/>
        <v>43862</v>
      </c>
      <c r="Q970">
        <f t="shared" si="41"/>
        <v>425</v>
      </c>
    </row>
    <row r="971" spans="1:17" x14ac:dyDescent="0.25">
      <c r="A971" s="1">
        <f t="shared" si="42"/>
        <v>44287</v>
      </c>
      <c r="B971" t="s">
        <v>153</v>
      </c>
      <c r="C971" t="str">
        <f>_xlfn.XLOOKUP(B971,Phone_by_Price!$A$2:$A$34,Phone_by_Price!$B$2:$B$34,"-",0,1)</f>
        <v>iPhone 13</v>
      </c>
      <c r="D971" t="str">
        <f>_xlfn.XLOOKUP(C971,Phone_by_Sentiment!$B$2:$B$37,Phone_by_Sentiment!$A$2:$A$37,"-",0,1)</f>
        <v>2021-09</v>
      </c>
      <c r="E971" cm="1">
        <f t="array" ref="E971">IF($Q971&gt;=0,IFERROR(generateSalesData($D971, IF(ISNUMBER(_xlfn.XLOOKUP($C971,Phone_by_Sentiment!$B$2:$B$37,Phone_by_Sentiment!E$2:E$37,"",0,1)),_xlfn.XLOOKUP($C971,Phone_by_Sentiment!$B$2:$B$37,Phone_by_Sentiment!E$2:E$37,"",0,1),0),$A971-TEXT(DATEVALUE($D971&amp;"-01"), "dd-mm-yyyy")),0),0)</f>
        <v>0</v>
      </c>
      <c r="F971" cm="1">
        <f t="array" ref="F971">IF($Q971&gt;=0,IFERROR(generateSalesData($D971, IF(ISNUMBER(_xlfn.XLOOKUP($C971,Phone_by_Sentiment!$B$2:$B$37,Phone_by_Sentiment!F$2:F$37,"",0,1)),_xlfn.XLOOKUP($C971,Phone_by_Sentiment!$B$2:$B$37,Phone_by_Sentiment!F$2:F$37,"",0,1),0),$A971-TEXT(DATEVALUE($D971&amp;"-01"), "dd-mm-yyyy")),0),0)</f>
        <v>0</v>
      </c>
      <c r="G971" cm="1">
        <f t="array" ref="G971">IF($Q971&gt;=0,IFERROR(generateSalesData($D971, IF(ISNUMBER(_xlfn.XLOOKUP($C971,Phone_by_Sentiment!$B$2:$B$37,Phone_by_Sentiment!G$2:G$37,"",0,1)),_xlfn.XLOOKUP($C971,Phone_by_Sentiment!$B$2:$B$37,Phone_by_Sentiment!G$2:G$37,"",0,1),0),$A971-TEXT(DATEVALUE($D971&amp;"-01"), "dd-mm-yyyy")),0),0)</f>
        <v>0</v>
      </c>
      <c r="H971" cm="1">
        <f t="array" ref="H971">IF($Q971&gt;=0,IFERROR(generateSalesData($D971, IF(ISNUMBER(_xlfn.XLOOKUP($C971,Phone_by_Sentiment!$B$2:$B$37,Phone_by_Sentiment!H$2:H$37,"",0,1)),_xlfn.XLOOKUP($C971,Phone_by_Sentiment!$B$2:$B$37,Phone_by_Sentiment!H$2:H$37,"",0,1),0),$A971-TEXT(DATEVALUE($D971&amp;"-01"), "dd-mm-yyyy")),0),0)</f>
        <v>0</v>
      </c>
      <c r="I971" cm="1">
        <f t="array" ref="I971">IF($Q971&gt;=0,IFERROR(generateSalesData($D971, IF(ISNUMBER(_xlfn.XLOOKUP($C971,Phone_by_Sentiment!$B$2:$B$37,Phone_by_Sentiment!I$2:I$37,"",0,1)),_xlfn.XLOOKUP($C971,Phone_by_Sentiment!$B$2:$B$37,Phone_by_Sentiment!I$2:I$37,"",0,1),0),$A971-TEXT(DATEVALUE($D971&amp;"-01"), "dd-mm-yyyy")),0),0)</f>
        <v>0</v>
      </c>
      <c r="J971" cm="1">
        <f t="array" ref="J971">IF($Q971&gt;=0,IFERROR(generateSalesData($D971, IF(ISNUMBER(_xlfn.XLOOKUP($C971,Phone_by_Sentiment!$B$2:$B$37,Phone_by_Sentiment!J$2:J$37,"",0,1)),_xlfn.XLOOKUP($C971,Phone_by_Sentiment!$B$2:$B$37,Phone_by_Sentiment!J$2:J$37,"",0,1),0),$A971-TEXT(DATEVALUE($D971&amp;"-01"), "dd-mm-yyyy")),0),0)</f>
        <v>0</v>
      </c>
      <c r="K971" cm="1">
        <f t="array" ref="K971">IF($Q971&gt;=0,IFERROR(generateSalesData($D971, IF(ISNUMBER(_xlfn.XLOOKUP($C971,Phone_by_Sentiment!$B$2:$B$37,Phone_by_Sentiment!K$2:K$37,"",0,1)),_xlfn.XLOOKUP($C971,Phone_by_Sentiment!$B$2:$B$37,Phone_by_Sentiment!K$2:K$37,"",0,1),0),$A971-TEXT(DATEVALUE($D971&amp;"-01"), "dd-mm-yyyy")),0),0)</f>
        <v>0</v>
      </c>
      <c r="L971" cm="1">
        <f t="array" ref="L971">IF($Q971&gt;=0,IFERROR(generateSalesData($D971, IF(ISNUMBER(_xlfn.XLOOKUP($C971,Phone_by_Sentiment!$B$2:$B$37,Phone_by_Sentiment!L$2:L$37,"",0,1)),_xlfn.XLOOKUP($C971,Phone_by_Sentiment!$B$2:$B$37,Phone_by_Sentiment!L$2:L$37,"",0,1),0),$A971-TEXT(DATEVALUE($D971&amp;"-01"), "dd-mm-yyyy")),0),0)</f>
        <v>0</v>
      </c>
      <c r="M971" cm="1">
        <f t="array" ref="M971">IF($Q971&gt;=0,IFERROR(generateSalesData($D971, IF(ISNUMBER(_xlfn.XLOOKUP($C971,Phone_by_Sentiment!$B$2:$B$37,Phone_by_Sentiment!M$2:M$37,"",0,1)),_xlfn.XLOOKUP($C971,Phone_by_Sentiment!$B$2:$B$37,Phone_by_Sentiment!M$2:M$37,"",0,1),0),$A971-TEXT(DATEVALUE($D971&amp;"-01"), "dd-mm-yyyy")),0),0)</f>
        <v>0</v>
      </c>
      <c r="N971" cm="1">
        <f t="array" ref="N971">IF($Q971&gt;=0,IFERROR(generateSalesData($D971, IF(ISNUMBER(_xlfn.XLOOKUP($C971,Phone_by_Sentiment!$B$2:$B$37,Phone_by_Sentiment!N$2:N$37,"",0,1)),_xlfn.XLOOKUP($C971,Phone_by_Sentiment!$B$2:$B$37,Phone_by_Sentiment!N$2:N$37,"",0,1),0),$A971-TEXT(DATEVALUE($D971&amp;"-01"), "dd-mm-yyyy")),0),0)</f>
        <v>0</v>
      </c>
      <c r="O971" cm="1">
        <f t="array" ref="O971">IF($Q971&gt;=0,IFERROR(generateSalesData($D971, IF(ISNUMBER(_xlfn.XLOOKUP($C971,Phone_by_Sentiment!$B$2:$B$37,Phone_by_Sentiment!O$2:O$37,"",0,1)),_xlfn.XLOOKUP($C971,Phone_by_Sentiment!$B$2:$B$37,Phone_by_Sentiment!O$2:O$37,"",0,1),0),$A971-TEXT(DATEVALUE($D971&amp;"-01"), "dd-mm-yyyy")),0),0)</f>
        <v>0</v>
      </c>
      <c r="P971" s="1">
        <f t="shared" si="40"/>
        <v>44440</v>
      </c>
      <c r="Q971">
        <f t="shared" si="41"/>
        <v>-153</v>
      </c>
    </row>
    <row r="972" spans="1:17" x14ac:dyDescent="0.25">
      <c r="A972" s="1">
        <f t="shared" si="42"/>
        <v>44287</v>
      </c>
      <c r="B972" t="s">
        <v>154</v>
      </c>
      <c r="C972" t="str">
        <f>_xlfn.XLOOKUP(B972,Phone_by_Price!$A$2:$A$34,Phone_by_Price!$B$2:$B$34,"-",0,1)</f>
        <v>Samsung Galaxy S21</v>
      </c>
      <c r="D972" t="str">
        <f>_xlfn.XLOOKUP(C972,Phone_by_Sentiment!$B$2:$B$37,Phone_by_Sentiment!$A$2:$A$37,"-",0,1)</f>
        <v>2021-01</v>
      </c>
      <c r="E972" cm="1">
        <f t="array" ref="E972">IF($Q972&gt;=0,IFERROR(generateSalesData($D972, IF(ISNUMBER(_xlfn.XLOOKUP($C972,Phone_by_Sentiment!$B$2:$B$37,Phone_by_Sentiment!E$2:E$37,"",0,1)),_xlfn.XLOOKUP($C972,Phone_by_Sentiment!$B$2:$B$37,Phone_by_Sentiment!E$2:E$37,"",0,1),0),$A972-TEXT(DATEVALUE($D972&amp;"-01"), "dd-mm-yyyy")),0),0)</f>
        <v>2884</v>
      </c>
      <c r="F972" cm="1">
        <f t="array" ref="F972">IF($Q972&gt;=0,IFERROR(generateSalesData($D972, IF(ISNUMBER(_xlfn.XLOOKUP($C972,Phone_by_Sentiment!$B$2:$B$37,Phone_by_Sentiment!F$2:F$37,"",0,1)),_xlfn.XLOOKUP($C972,Phone_by_Sentiment!$B$2:$B$37,Phone_by_Sentiment!F$2:F$37,"",0,1),0),$A972-TEXT(DATEVALUE($D972&amp;"-01"), "dd-mm-yyyy")),0),0)</f>
        <v>2772</v>
      </c>
      <c r="G972" cm="1">
        <f t="array" ref="G972">IF($Q972&gt;=0,IFERROR(generateSalesData($D972, IF(ISNUMBER(_xlfn.XLOOKUP($C972,Phone_by_Sentiment!$B$2:$B$37,Phone_by_Sentiment!G$2:G$37,"",0,1)),_xlfn.XLOOKUP($C972,Phone_by_Sentiment!$B$2:$B$37,Phone_by_Sentiment!G$2:G$37,"",0,1),0),$A972-TEXT(DATEVALUE($D972&amp;"-01"), "dd-mm-yyyy")),0),0)</f>
        <v>488</v>
      </c>
      <c r="H972" cm="1">
        <f t="array" ref="H972">IF($Q972&gt;=0,IFERROR(generateSalesData($D972, IF(ISNUMBER(_xlfn.XLOOKUP($C972,Phone_by_Sentiment!$B$2:$B$37,Phone_by_Sentiment!H$2:H$37,"",0,1)),_xlfn.XLOOKUP($C972,Phone_by_Sentiment!$B$2:$B$37,Phone_by_Sentiment!H$2:H$37,"",0,1),0),$A972-TEXT(DATEVALUE($D972&amp;"-01"), "dd-mm-yyyy")),0),0)</f>
        <v>2651</v>
      </c>
      <c r="I972" cm="1">
        <f t="array" ref="I972">IF($Q972&gt;=0,IFERROR(generateSalesData($D972, IF(ISNUMBER(_xlfn.XLOOKUP($C972,Phone_by_Sentiment!$B$2:$B$37,Phone_by_Sentiment!I$2:I$37,"",0,1)),_xlfn.XLOOKUP($C972,Phone_by_Sentiment!$B$2:$B$37,Phone_by_Sentiment!I$2:I$37,"",0,1),0),$A972-TEXT(DATEVALUE($D972&amp;"-01"), "dd-mm-yyyy")),0),0)</f>
        <v>5538</v>
      </c>
      <c r="J972" cm="1">
        <f t="array" ref="J972">IF($Q972&gt;=0,IFERROR(generateSalesData($D972, IF(ISNUMBER(_xlfn.XLOOKUP($C972,Phone_by_Sentiment!$B$2:$B$37,Phone_by_Sentiment!J$2:J$37,"",0,1)),_xlfn.XLOOKUP($C972,Phone_by_Sentiment!$B$2:$B$37,Phone_by_Sentiment!J$2:J$37,"",0,1),0),$A972-TEXT(DATEVALUE($D972&amp;"-01"), "dd-mm-yyyy")),0),0)</f>
        <v>5084</v>
      </c>
      <c r="K972" cm="1">
        <f t="array" ref="K972">IF($Q972&gt;=0,IFERROR(generateSalesData($D972, IF(ISNUMBER(_xlfn.XLOOKUP($C972,Phone_by_Sentiment!$B$2:$B$37,Phone_by_Sentiment!K$2:K$37,"",0,1)),_xlfn.XLOOKUP($C972,Phone_by_Sentiment!$B$2:$B$37,Phone_by_Sentiment!K$2:K$37,"",0,1),0),$A972-TEXT(DATEVALUE($D972&amp;"-01"), "dd-mm-yyyy")),0),0)</f>
        <v>646</v>
      </c>
      <c r="L972" cm="1">
        <f t="array" ref="L972">IF($Q972&gt;=0,IFERROR(generateSalesData($D972, IF(ISNUMBER(_xlfn.XLOOKUP($C972,Phone_by_Sentiment!$B$2:$B$37,Phone_by_Sentiment!L$2:L$37,"",0,1)),_xlfn.XLOOKUP($C972,Phone_by_Sentiment!$B$2:$B$37,Phone_by_Sentiment!L$2:L$37,"",0,1),0),$A972-TEXT(DATEVALUE($D972&amp;"-01"), "dd-mm-yyyy")),0),0)</f>
        <v>4199</v>
      </c>
      <c r="M972" cm="1">
        <f t="array" ref="M972">IF($Q972&gt;=0,IFERROR(generateSalesData($D972, IF(ISNUMBER(_xlfn.XLOOKUP($C972,Phone_by_Sentiment!$B$2:$B$37,Phone_by_Sentiment!M$2:M$37,"",0,1)),_xlfn.XLOOKUP($C972,Phone_by_Sentiment!$B$2:$B$37,Phone_by_Sentiment!M$2:M$37,"",0,1),0),$A972-TEXT(DATEVALUE($D972&amp;"-01"), "dd-mm-yyyy")),0),0)</f>
        <v>1561</v>
      </c>
      <c r="N972" cm="1">
        <f t="array" ref="N972">IF($Q972&gt;=0,IFERROR(generateSalesData($D972, IF(ISNUMBER(_xlfn.XLOOKUP($C972,Phone_by_Sentiment!$B$2:$B$37,Phone_by_Sentiment!N$2:N$37,"",0,1)),_xlfn.XLOOKUP($C972,Phone_by_Sentiment!$B$2:$B$37,Phone_by_Sentiment!N$2:N$37,"",0,1),0),$A972-TEXT(DATEVALUE($D972&amp;"-01"), "dd-mm-yyyy")),0),0)</f>
        <v>2935</v>
      </c>
      <c r="O972" cm="1">
        <f t="array" ref="O972">IF($Q972&gt;=0,IFERROR(generateSalesData($D972, IF(ISNUMBER(_xlfn.XLOOKUP($C972,Phone_by_Sentiment!$B$2:$B$37,Phone_by_Sentiment!O$2:O$37,"",0,1)),_xlfn.XLOOKUP($C972,Phone_by_Sentiment!$B$2:$B$37,Phone_by_Sentiment!O$2:O$37,"",0,1),0),$A972-TEXT(DATEVALUE($D972&amp;"-01"), "dd-mm-yyyy")),0),0)</f>
        <v>2894</v>
      </c>
      <c r="P972" s="1">
        <f t="shared" si="40"/>
        <v>44197</v>
      </c>
      <c r="Q972">
        <f t="shared" si="41"/>
        <v>90</v>
      </c>
    </row>
    <row r="973" spans="1:17" x14ac:dyDescent="0.25">
      <c r="A973" s="1">
        <f t="shared" si="42"/>
        <v>44287</v>
      </c>
      <c r="B973" t="s">
        <v>155</v>
      </c>
      <c r="C973" t="str">
        <f>_xlfn.XLOOKUP(B973,Phone_by_Price!$A$2:$A$34,Phone_by_Price!$B$2:$B$34,"-",0,1)</f>
        <v>Google Pixel 6</v>
      </c>
      <c r="D973" t="str">
        <f>_xlfn.XLOOKUP(C973,Phone_by_Sentiment!$B$2:$B$37,Phone_by_Sentiment!$A$2:$A$37,"-",0,1)</f>
        <v>2021-10</v>
      </c>
      <c r="E973" cm="1">
        <f t="array" ref="E973">IF($Q973&gt;=0,IFERROR(generateSalesData($D973, IF(ISNUMBER(_xlfn.XLOOKUP($C973,Phone_by_Sentiment!$B$2:$B$37,Phone_by_Sentiment!E$2:E$37,"",0,1)),_xlfn.XLOOKUP($C973,Phone_by_Sentiment!$B$2:$B$37,Phone_by_Sentiment!E$2:E$37,"",0,1),0),$A973-TEXT(DATEVALUE($D973&amp;"-01"), "dd-mm-yyyy")),0),0)</f>
        <v>0</v>
      </c>
      <c r="F973" cm="1">
        <f t="array" ref="F973">IF($Q973&gt;=0,IFERROR(generateSalesData($D973, IF(ISNUMBER(_xlfn.XLOOKUP($C973,Phone_by_Sentiment!$B$2:$B$37,Phone_by_Sentiment!F$2:F$37,"",0,1)),_xlfn.XLOOKUP($C973,Phone_by_Sentiment!$B$2:$B$37,Phone_by_Sentiment!F$2:F$37,"",0,1),0),$A973-TEXT(DATEVALUE($D973&amp;"-01"), "dd-mm-yyyy")),0),0)</f>
        <v>0</v>
      </c>
      <c r="G973" cm="1">
        <f t="array" ref="G973">IF($Q973&gt;=0,IFERROR(generateSalesData($D973, IF(ISNUMBER(_xlfn.XLOOKUP($C973,Phone_by_Sentiment!$B$2:$B$37,Phone_by_Sentiment!G$2:G$37,"",0,1)),_xlfn.XLOOKUP($C973,Phone_by_Sentiment!$B$2:$B$37,Phone_by_Sentiment!G$2:G$37,"",0,1),0),$A973-TEXT(DATEVALUE($D973&amp;"-01"), "dd-mm-yyyy")),0),0)</f>
        <v>0</v>
      </c>
      <c r="H973" cm="1">
        <f t="array" ref="H973">IF($Q973&gt;=0,IFERROR(generateSalesData($D973, IF(ISNUMBER(_xlfn.XLOOKUP($C973,Phone_by_Sentiment!$B$2:$B$37,Phone_by_Sentiment!H$2:H$37,"",0,1)),_xlfn.XLOOKUP($C973,Phone_by_Sentiment!$B$2:$B$37,Phone_by_Sentiment!H$2:H$37,"",0,1),0),$A973-TEXT(DATEVALUE($D973&amp;"-01"), "dd-mm-yyyy")),0),0)</f>
        <v>0</v>
      </c>
      <c r="I973" cm="1">
        <f t="array" ref="I973">IF($Q973&gt;=0,IFERROR(generateSalesData($D973, IF(ISNUMBER(_xlfn.XLOOKUP($C973,Phone_by_Sentiment!$B$2:$B$37,Phone_by_Sentiment!I$2:I$37,"",0,1)),_xlfn.XLOOKUP($C973,Phone_by_Sentiment!$B$2:$B$37,Phone_by_Sentiment!I$2:I$37,"",0,1),0),$A973-TEXT(DATEVALUE($D973&amp;"-01"), "dd-mm-yyyy")),0),0)</f>
        <v>0</v>
      </c>
      <c r="J973" cm="1">
        <f t="array" ref="J973">IF($Q973&gt;=0,IFERROR(generateSalesData($D973, IF(ISNUMBER(_xlfn.XLOOKUP($C973,Phone_by_Sentiment!$B$2:$B$37,Phone_by_Sentiment!J$2:J$37,"",0,1)),_xlfn.XLOOKUP($C973,Phone_by_Sentiment!$B$2:$B$37,Phone_by_Sentiment!J$2:J$37,"",0,1),0),$A973-TEXT(DATEVALUE($D973&amp;"-01"), "dd-mm-yyyy")),0),0)</f>
        <v>0</v>
      </c>
      <c r="K973" cm="1">
        <f t="array" ref="K973">IF($Q973&gt;=0,IFERROR(generateSalesData($D973, IF(ISNUMBER(_xlfn.XLOOKUP($C973,Phone_by_Sentiment!$B$2:$B$37,Phone_by_Sentiment!K$2:K$37,"",0,1)),_xlfn.XLOOKUP($C973,Phone_by_Sentiment!$B$2:$B$37,Phone_by_Sentiment!K$2:K$37,"",0,1),0),$A973-TEXT(DATEVALUE($D973&amp;"-01"), "dd-mm-yyyy")),0),0)</f>
        <v>0</v>
      </c>
      <c r="L973" cm="1">
        <f t="array" ref="L973">IF($Q973&gt;=0,IFERROR(generateSalesData($D973, IF(ISNUMBER(_xlfn.XLOOKUP($C973,Phone_by_Sentiment!$B$2:$B$37,Phone_by_Sentiment!L$2:L$37,"",0,1)),_xlfn.XLOOKUP($C973,Phone_by_Sentiment!$B$2:$B$37,Phone_by_Sentiment!L$2:L$37,"",0,1),0),$A973-TEXT(DATEVALUE($D973&amp;"-01"), "dd-mm-yyyy")),0),0)</f>
        <v>0</v>
      </c>
      <c r="M973" cm="1">
        <f t="array" ref="M973">IF($Q973&gt;=0,IFERROR(generateSalesData($D973, IF(ISNUMBER(_xlfn.XLOOKUP($C973,Phone_by_Sentiment!$B$2:$B$37,Phone_by_Sentiment!M$2:M$37,"",0,1)),_xlfn.XLOOKUP($C973,Phone_by_Sentiment!$B$2:$B$37,Phone_by_Sentiment!M$2:M$37,"",0,1),0),$A973-TEXT(DATEVALUE($D973&amp;"-01"), "dd-mm-yyyy")),0),0)</f>
        <v>0</v>
      </c>
      <c r="N973" cm="1">
        <f t="array" ref="N973">IF($Q973&gt;=0,IFERROR(generateSalesData($D973, IF(ISNUMBER(_xlfn.XLOOKUP($C973,Phone_by_Sentiment!$B$2:$B$37,Phone_by_Sentiment!N$2:N$37,"",0,1)),_xlfn.XLOOKUP($C973,Phone_by_Sentiment!$B$2:$B$37,Phone_by_Sentiment!N$2:N$37,"",0,1),0),$A973-TEXT(DATEVALUE($D973&amp;"-01"), "dd-mm-yyyy")),0),0)</f>
        <v>0</v>
      </c>
      <c r="O973" cm="1">
        <f t="array" ref="O973">IF($Q973&gt;=0,IFERROR(generateSalesData($D973, IF(ISNUMBER(_xlfn.XLOOKUP($C973,Phone_by_Sentiment!$B$2:$B$37,Phone_by_Sentiment!O$2:O$37,"",0,1)),_xlfn.XLOOKUP($C973,Phone_by_Sentiment!$B$2:$B$37,Phone_by_Sentiment!O$2:O$37,"",0,1),0),$A973-TEXT(DATEVALUE($D973&amp;"-01"), "dd-mm-yyyy")),0),0)</f>
        <v>0</v>
      </c>
      <c r="P973" s="1">
        <f t="shared" si="40"/>
        <v>44470</v>
      </c>
      <c r="Q973">
        <f t="shared" si="41"/>
        <v>-183</v>
      </c>
    </row>
    <row r="974" spans="1:17" x14ac:dyDescent="0.25">
      <c r="A974" s="1">
        <f t="shared" si="42"/>
        <v>44287</v>
      </c>
      <c r="B974" t="s">
        <v>156</v>
      </c>
      <c r="C974" t="str">
        <f>_xlfn.XLOOKUP(B974,Phone_by_Price!$A$2:$A$34,Phone_by_Price!$B$2:$B$34,"-",0,1)</f>
        <v>OnePlus Nord CE</v>
      </c>
      <c r="D974" t="str">
        <f>_xlfn.XLOOKUP(C974,Phone_by_Sentiment!$B$2:$B$37,Phone_by_Sentiment!$A$2:$A$37,"-",0,1)</f>
        <v>2021-06</v>
      </c>
      <c r="E974" cm="1">
        <f t="array" ref="E974">IF($Q974&gt;=0,IFERROR(generateSalesData($D974, IF(ISNUMBER(_xlfn.XLOOKUP($C974,Phone_by_Sentiment!$B$2:$B$37,Phone_by_Sentiment!E$2:E$37,"",0,1)),_xlfn.XLOOKUP($C974,Phone_by_Sentiment!$B$2:$B$37,Phone_by_Sentiment!E$2:E$37,"",0,1),0),$A974-TEXT(DATEVALUE($D974&amp;"-01"), "dd-mm-yyyy")),0),0)</f>
        <v>0</v>
      </c>
      <c r="F974" cm="1">
        <f t="array" ref="F974">IF($Q974&gt;=0,IFERROR(generateSalesData($D974, IF(ISNUMBER(_xlfn.XLOOKUP($C974,Phone_by_Sentiment!$B$2:$B$37,Phone_by_Sentiment!F$2:F$37,"",0,1)),_xlfn.XLOOKUP($C974,Phone_by_Sentiment!$B$2:$B$37,Phone_by_Sentiment!F$2:F$37,"",0,1),0),$A974-TEXT(DATEVALUE($D974&amp;"-01"), "dd-mm-yyyy")),0),0)</f>
        <v>0</v>
      </c>
      <c r="G974" cm="1">
        <f t="array" ref="G974">IF($Q974&gt;=0,IFERROR(generateSalesData($D974, IF(ISNUMBER(_xlfn.XLOOKUP($C974,Phone_by_Sentiment!$B$2:$B$37,Phone_by_Sentiment!G$2:G$37,"",0,1)),_xlfn.XLOOKUP($C974,Phone_by_Sentiment!$B$2:$B$37,Phone_by_Sentiment!G$2:G$37,"",0,1),0),$A974-TEXT(DATEVALUE($D974&amp;"-01"), "dd-mm-yyyy")),0),0)</f>
        <v>0</v>
      </c>
      <c r="H974" cm="1">
        <f t="array" ref="H974">IF($Q974&gt;=0,IFERROR(generateSalesData($D974, IF(ISNUMBER(_xlfn.XLOOKUP($C974,Phone_by_Sentiment!$B$2:$B$37,Phone_by_Sentiment!H$2:H$37,"",0,1)),_xlfn.XLOOKUP($C974,Phone_by_Sentiment!$B$2:$B$37,Phone_by_Sentiment!H$2:H$37,"",0,1),0),$A974-TEXT(DATEVALUE($D974&amp;"-01"), "dd-mm-yyyy")),0),0)</f>
        <v>0</v>
      </c>
      <c r="I974" cm="1">
        <f t="array" ref="I974">IF($Q974&gt;=0,IFERROR(generateSalesData($D974, IF(ISNUMBER(_xlfn.XLOOKUP($C974,Phone_by_Sentiment!$B$2:$B$37,Phone_by_Sentiment!I$2:I$37,"",0,1)),_xlfn.XLOOKUP($C974,Phone_by_Sentiment!$B$2:$B$37,Phone_by_Sentiment!I$2:I$37,"",0,1),0),$A974-TEXT(DATEVALUE($D974&amp;"-01"), "dd-mm-yyyy")),0),0)</f>
        <v>0</v>
      </c>
      <c r="J974" cm="1">
        <f t="array" ref="J974">IF($Q974&gt;=0,IFERROR(generateSalesData($D974, IF(ISNUMBER(_xlfn.XLOOKUP($C974,Phone_by_Sentiment!$B$2:$B$37,Phone_by_Sentiment!J$2:J$37,"",0,1)),_xlfn.XLOOKUP($C974,Phone_by_Sentiment!$B$2:$B$37,Phone_by_Sentiment!J$2:J$37,"",0,1),0),$A974-TEXT(DATEVALUE($D974&amp;"-01"), "dd-mm-yyyy")),0),0)</f>
        <v>0</v>
      </c>
      <c r="K974" cm="1">
        <f t="array" ref="K974">IF($Q974&gt;=0,IFERROR(generateSalesData($D974, IF(ISNUMBER(_xlfn.XLOOKUP($C974,Phone_by_Sentiment!$B$2:$B$37,Phone_by_Sentiment!K$2:K$37,"",0,1)),_xlfn.XLOOKUP($C974,Phone_by_Sentiment!$B$2:$B$37,Phone_by_Sentiment!K$2:K$37,"",0,1),0),$A974-TEXT(DATEVALUE($D974&amp;"-01"), "dd-mm-yyyy")),0),0)</f>
        <v>0</v>
      </c>
      <c r="L974" cm="1">
        <f t="array" ref="L974">IF($Q974&gt;=0,IFERROR(generateSalesData($D974, IF(ISNUMBER(_xlfn.XLOOKUP($C974,Phone_by_Sentiment!$B$2:$B$37,Phone_by_Sentiment!L$2:L$37,"",0,1)),_xlfn.XLOOKUP($C974,Phone_by_Sentiment!$B$2:$B$37,Phone_by_Sentiment!L$2:L$37,"",0,1),0),$A974-TEXT(DATEVALUE($D974&amp;"-01"), "dd-mm-yyyy")),0),0)</f>
        <v>0</v>
      </c>
      <c r="M974" cm="1">
        <f t="array" ref="M974">IF($Q974&gt;=0,IFERROR(generateSalesData($D974, IF(ISNUMBER(_xlfn.XLOOKUP($C974,Phone_by_Sentiment!$B$2:$B$37,Phone_by_Sentiment!M$2:M$37,"",0,1)),_xlfn.XLOOKUP($C974,Phone_by_Sentiment!$B$2:$B$37,Phone_by_Sentiment!M$2:M$37,"",0,1),0),$A974-TEXT(DATEVALUE($D974&amp;"-01"), "dd-mm-yyyy")),0),0)</f>
        <v>0</v>
      </c>
      <c r="N974" cm="1">
        <f t="array" ref="N974">IF($Q974&gt;=0,IFERROR(generateSalesData($D974, IF(ISNUMBER(_xlfn.XLOOKUP($C974,Phone_by_Sentiment!$B$2:$B$37,Phone_by_Sentiment!N$2:N$37,"",0,1)),_xlfn.XLOOKUP($C974,Phone_by_Sentiment!$B$2:$B$37,Phone_by_Sentiment!N$2:N$37,"",0,1),0),$A974-TEXT(DATEVALUE($D974&amp;"-01"), "dd-mm-yyyy")),0),0)</f>
        <v>0</v>
      </c>
      <c r="O974" cm="1">
        <f t="array" ref="O974">IF($Q974&gt;=0,IFERROR(generateSalesData($D974, IF(ISNUMBER(_xlfn.XLOOKUP($C974,Phone_by_Sentiment!$B$2:$B$37,Phone_by_Sentiment!O$2:O$37,"",0,1)),_xlfn.XLOOKUP($C974,Phone_by_Sentiment!$B$2:$B$37,Phone_by_Sentiment!O$2:O$37,"",0,1),0),$A974-TEXT(DATEVALUE($D974&amp;"-01"), "dd-mm-yyyy")),0),0)</f>
        <v>0</v>
      </c>
      <c r="P974" s="1">
        <f t="shared" si="40"/>
        <v>44348</v>
      </c>
      <c r="Q974">
        <f t="shared" si="41"/>
        <v>-61</v>
      </c>
    </row>
    <row r="975" spans="1:17" x14ac:dyDescent="0.25">
      <c r="A975" s="1">
        <f t="shared" si="42"/>
        <v>44287</v>
      </c>
      <c r="B975" t="s">
        <v>157</v>
      </c>
      <c r="C975" t="str">
        <f>_xlfn.XLOOKUP(B975,Phone_by_Price!$A$2:$A$34,Phone_by_Price!$B$2:$B$34,"-",0,1)</f>
        <v>Apple iPhone 13 Pro</v>
      </c>
      <c r="D975" t="str">
        <f>_xlfn.XLOOKUP(C975,Phone_by_Sentiment!$B$2:$B$37,Phone_by_Sentiment!$A$2:$A$37,"-",0,1)</f>
        <v>2021-09</v>
      </c>
      <c r="E975" cm="1">
        <f t="array" ref="E975">IF($Q975&gt;=0,IFERROR(generateSalesData($D975, IF(ISNUMBER(_xlfn.XLOOKUP($C975,Phone_by_Sentiment!$B$2:$B$37,Phone_by_Sentiment!E$2:E$37,"",0,1)),_xlfn.XLOOKUP($C975,Phone_by_Sentiment!$B$2:$B$37,Phone_by_Sentiment!E$2:E$37,"",0,1),0),$A975-TEXT(DATEVALUE($D975&amp;"-01"), "dd-mm-yyyy")),0),0)</f>
        <v>0</v>
      </c>
      <c r="F975" cm="1">
        <f t="array" ref="F975">IF($Q975&gt;=0,IFERROR(generateSalesData($D975, IF(ISNUMBER(_xlfn.XLOOKUP($C975,Phone_by_Sentiment!$B$2:$B$37,Phone_by_Sentiment!F$2:F$37,"",0,1)),_xlfn.XLOOKUP($C975,Phone_by_Sentiment!$B$2:$B$37,Phone_by_Sentiment!F$2:F$37,"",0,1),0),$A975-TEXT(DATEVALUE($D975&amp;"-01"), "dd-mm-yyyy")),0),0)</f>
        <v>0</v>
      </c>
      <c r="G975" cm="1">
        <f t="array" ref="G975">IF($Q975&gt;=0,IFERROR(generateSalesData($D975, IF(ISNUMBER(_xlfn.XLOOKUP($C975,Phone_by_Sentiment!$B$2:$B$37,Phone_by_Sentiment!G$2:G$37,"",0,1)),_xlfn.XLOOKUP($C975,Phone_by_Sentiment!$B$2:$B$37,Phone_by_Sentiment!G$2:G$37,"",0,1),0),$A975-TEXT(DATEVALUE($D975&amp;"-01"), "dd-mm-yyyy")),0),0)</f>
        <v>0</v>
      </c>
      <c r="H975" cm="1">
        <f t="array" ref="H975">IF($Q975&gt;=0,IFERROR(generateSalesData($D975, IF(ISNUMBER(_xlfn.XLOOKUP($C975,Phone_by_Sentiment!$B$2:$B$37,Phone_by_Sentiment!H$2:H$37,"",0,1)),_xlfn.XLOOKUP($C975,Phone_by_Sentiment!$B$2:$B$37,Phone_by_Sentiment!H$2:H$37,"",0,1),0),$A975-TEXT(DATEVALUE($D975&amp;"-01"), "dd-mm-yyyy")),0),0)</f>
        <v>0</v>
      </c>
      <c r="I975" cm="1">
        <f t="array" ref="I975">IF($Q975&gt;=0,IFERROR(generateSalesData($D975, IF(ISNUMBER(_xlfn.XLOOKUP($C975,Phone_by_Sentiment!$B$2:$B$37,Phone_by_Sentiment!I$2:I$37,"",0,1)),_xlfn.XLOOKUP($C975,Phone_by_Sentiment!$B$2:$B$37,Phone_by_Sentiment!I$2:I$37,"",0,1),0),$A975-TEXT(DATEVALUE($D975&amp;"-01"), "dd-mm-yyyy")),0),0)</f>
        <v>0</v>
      </c>
      <c r="J975" cm="1">
        <f t="array" ref="J975">IF($Q975&gt;=0,IFERROR(generateSalesData($D975, IF(ISNUMBER(_xlfn.XLOOKUP($C975,Phone_by_Sentiment!$B$2:$B$37,Phone_by_Sentiment!J$2:J$37,"",0,1)),_xlfn.XLOOKUP($C975,Phone_by_Sentiment!$B$2:$B$37,Phone_by_Sentiment!J$2:J$37,"",0,1),0),$A975-TEXT(DATEVALUE($D975&amp;"-01"), "dd-mm-yyyy")),0),0)</f>
        <v>0</v>
      </c>
      <c r="K975" cm="1">
        <f t="array" ref="K975">IF($Q975&gt;=0,IFERROR(generateSalesData($D975, IF(ISNUMBER(_xlfn.XLOOKUP($C975,Phone_by_Sentiment!$B$2:$B$37,Phone_by_Sentiment!K$2:K$37,"",0,1)),_xlfn.XLOOKUP($C975,Phone_by_Sentiment!$B$2:$B$37,Phone_by_Sentiment!K$2:K$37,"",0,1),0),$A975-TEXT(DATEVALUE($D975&amp;"-01"), "dd-mm-yyyy")),0),0)</f>
        <v>0</v>
      </c>
      <c r="L975" cm="1">
        <f t="array" ref="L975">IF($Q975&gt;=0,IFERROR(generateSalesData($D975, IF(ISNUMBER(_xlfn.XLOOKUP($C975,Phone_by_Sentiment!$B$2:$B$37,Phone_by_Sentiment!L$2:L$37,"",0,1)),_xlfn.XLOOKUP($C975,Phone_by_Sentiment!$B$2:$B$37,Phone_by_Sentiment!L$2:L$37,"",0,1),0),$A975-TEXT(DATEVALUE($D975&amp;"-01"), "dd-mm-yyyy")),0),0)</f>
        <v>0</v>
      </c>
      <c r="M975" cm="1">
        <f t="array" ref="M975">IF($Q975&gt;=0,IFERROR(generateSalesData($D975, IF(ISNUMBER(_xlfn.XLOOKUP($C975,Phone_by_Sentiment!$B$2:$B$37,Phone_by_Sentiment!M$2:M$37,"",0,1)),_xlfn.XLOOKUP($C975,Phone_by_Sentiment!$B$2:$B$37,Phone_by_Sentiment!M$2:M$37,"",0,1),0),$A975-TEXT(DATEVALUE($D975&amp;"-01"), "dd-mm-yyyy")),0),0)</f>
        <v>0</v>
      </c>
      <c r="N975" cm="1">
        <f t="array" ref="N975">IF($Q975&gt;=0,IFERROR(generateSalesData($D975, IF(ISNUMBER(_xlfn.XLOOKUP($C975,Phone_by_Sentiment!$B$2:$B$37,Phone_by_Sentiment!N$2:N$37,"",0,1)),_xlfn.XLOOKUP($C975,Phone_by_Sentiment!$B$2:$B$37,Phone_by_Sentiment!N$2:N$37,"",0,1),0),$A975-TEXT(DATEVALUE($D975&amp;"-01"), "dd-mm-yyyy")),0),0)</f>
        <v>0</v>
      </c>
      <c r="O975" cm="1">
        <f t="array" ref="O975">IF($Q975&gt;=0,IFERROR(generateSalesData($D975, IF(ISNUMBER(_xlfn.XLOOKUP($C975,Phone_by_Sentiment!$B$2:$B$37,Phone_by_Sentiment!O$2:O$37,"",0,1)),_xlfn.XLOOKUP($C975,Phone_by_Sentiment!$B$2:$B$37,Phone_by_Sentiment!O$2:O$37,"",0,1),0),$A975-TEXT(DATEVALUE($D975&amp;"-01"), "dd-mm-yyyy")),0),0)</f>
        <v>0</v>
      </c>
      <c r="P975" s="1">
        <f t="shared" si="40"/>
        <v>44440</v>
      </c>
      <c r="Q975">
        <f t="shared" si="41"/>
        <v>-153</v>
      </c>
    </row>
    <row r="976" spans="1:17" x14ac:dyDescent="0.25">
      <c r="A976" s="1">
        <f t="shared" si="42"/>
        <v>44287</v>
      </c>
      <c r="B976" t="s">
        <v>158</v>
      </c>
      <c r="C976" t="str">
        <f>_xlfn.XLOOKUP(B976,Phone_by_Price!$A$2:$A$34,Phone_by_Price!$B$2:$B$34,"-",0,1)</f>
        <v>Samsung Galaxy A32 5G</v>
      </c>
      <c r="D976" t="str">
        <f>_xlfn.XLOOKUP(C976,Phone_by_Sentiment!$B$2:$B$37,Phone_by_Sentiment!$A$2:$A$37,"-",0,1)</f>
        <v>2021-02</v>
      </c>
      <c r="E976" cm="1">
        <f t="array" ref="E976">IF($Q976&gt;=0,IFERROR(generateSalesData($D976, IF(ISNUMBER(_xlfn.XLOOKUP($C976,Phone_by_Sentiment!$B$2:$B$37,Phone_by_Sentiment!E$2:E$37,"",0,1)),_xlfn.XLOOKUP($C976,Phone_by_Sentiment!$B$2:$B$37,Phone_by_Sentiment!E$2:E$37,"",0,1),0),$A976-TEXT(DATEVALUE($D976&amp;"-01"), "dd-mm-yyyy")),0),0)</f>
        <v>2013</v>
      </c>
      <c r="F976" cm="1">
        <f t="array" ref="F976">IF($Q976&gt;=0,IFERROR(generateSalesData($D976, IF(ISNUMBER(_xlfn.XLOOKUP($C976,Phone_by_Sentiment!$B$2:$B$37,Phone_by_Sentiment!F$2:F$37,"",0,1)),_xlfn.XLOOKUP($C976,Phone_by_Sentiment!$B$2:$B$37,Phone_by_Sentiment!F$2:F$37,"",0,1),0),$A976-TEXT(DATEVALUE($D976&amp;"-01"), "dd-mm-yyyy")),0),0)</f>
        <v>5843</v>
      </c>
      <c r="G976" cm="1">
        <f t="array" ref="G976">IF($Q976&gt;=0,IFERROR(generateSalesData($D976, IF(ISNUMBER(_xlfn.XLOOKUP($C976,Phone_by_Sentiment!$B$2:$B$37,Phone_by_Sentiment!G$2:G$37,"",0,1)),_xlfn.XLOOKUP($C976,Phone_by_Sentiment!$B$2:$B$37,Phone_by_Sentiment!G$2:G$37,"",0,1),0),$A976-TEXT(DATEVALUE($D976&amp;"-01"), "dd-mm-yyyy")),0),0)</f>
        <v>108</v>
      </c>
      <c r="H976" cm="1">
        <f t="array" ref="H976">IF($Q976&gt;=0,IFERROR(generateSalesData($D976, IF(ISNUMBER(_xlfn.XLOOKUP($C976,Phone_by_Sentiment!$B$2:$B$37,Phone_by_Sentiment!H$2:H$37,"",0,1)),_xlfn.XLOOKUP($C976,Phone_by_Sentiment!$B$2:$B$37,Phone_by_Sentiment!H$2:H$37,"",0,1),0),$A976-TEXT(DATEVALUE($D976&amp;"-01"), "dd-mm-yyyy")),0),0)</f>
        <v>761</v>
      </c>
      <c r="I976" cm="1">
        <f t="array" ref="I976">IF($Q976&gt;=0,IFERROR(generateSalesData($D976, IF(ISNUMBER(_xlfn.XLOOKUP($C976,Phone_by_Sentiment!$B$2:$B$37,Phone_by_Sentiment!I$2:I$37,"",0,1)),_xlfn.XLOOKUP($C976,Phone_by_Sentiment!$B$2:$B$37,Phone_by_Sentiment!I$2:I$37,"",0,1),0),$A976-TEXT(DATEVALUE($D976&amp;"-01"), "dd-mm-yyyy")),0),0)</f>
        <v>2915</v>
      </c>
      <c r="J976" cm="1">
        <f t="array" ref="J976">IF($Q976&gt;=0,IFERROR(generateSalesData($D976, IF(ISNUMBER(_xlfn.XLOOKUP($C976,Phone_by_Sentiment!$B$2:$B$37,Phone_by_Sentiment!J$2:J$37,"",0,1)),_xlfn.XLOOKUP($C976,Phone_by_Sentiment!$B$2:$B$37,Phone_by_Sentiment!J$2:J$37,"",0,1),0),$A976-TEXT(DATEVALUE($D976&amp;"-01"), "dd-mm-yyyy")),0),0)</f>
        <v>2710</v>
      </c>
      <c r="K976" cm="1">
        <f t="array" ref="K976">IF($Q976&gt;=0,IFERROR(generateSalesData($D976, IF(ISNUMBER(_xlfn.XLOOKUP($C976,Phone_by_Sentiment!$B$2:$B$37,Phone_by_Sentiment!K$2:K$37,"",0,1)),_xlfn.XLOOKUP($C976,Phone_by_Sentiment!$B$2:$B$37,Phone_by_Sentiment!K$2:K$37,"",0,1),0),$A976-TEXT(DATEVALUE($D976&amp;"-01"), "dd-mm-yyyy")),0),0)</f>
        <v>4892</v>
      </c>
      <c r="L976" cm="1">
        <f t="array" ref="L976">IF($Q976&gt;=0,IFERROR(generateSalesData($D976, IF(ISNUMBER(_xlfn.XLOOKUP($C976,Phone_by_Sentiment!$B$2:$B$37,Phone_by_Sentiment!L$2:L$37,"",0,1)),_xlfn.XLOOKUP($C976,Phone_by_Sentiment!$B$2:$B$37,Phone_by_Sentiment!L$2:L$37,"",0,1),0),$A976-TEXT(DATEVALUE($D976&amp;"-01"), "dd-mm-yyyy")),0),0)</f>
        <v>2301</v>
      </c>
      <c r="M976" cm="1">
        <f t="array" ref="M976">IF($Q976&gt;=0,IFERROR(generateSalesData($D976, IF(ISNUMBER(_xlfn.XLOOKUP($C976,Phone_by_Sentiment!$B$2:$B$37,Phone_by_Sentiment!M$2:M$37,"",0,1)),_xlfn.XLOOKUP($C976,Phone_by_Sentiment!$B$2:$B$37,Phone_by_Sentiment!M$2:M$37,"",0,1),0),$A976-TEXT(DATEVALUE($D976&amp;"-01"), "dd-mm-yyyy")),0),0)</f>
        <v>635</v>
      </c>
      <c r="N976" cm="1">
        <f t="array" ref="N976">IF($Q976&gt;=0,IFERROR(generateSalesData($D976, IF(ISNUMBER(_xlfn.XLOOKUP($C976,Phone_by_Sentiment!$B$2:$B$37,Phone_by_Sentiment!N$2:N$37,"",0,1)),_xlfn.XLOOKUP($C976,Phone_by_Sentiment!$B$2:$B$37,Phone_by_Sentiment!N$2:N$37,"",0,1),0),$A976-TEXT(DATEVALUE($D976&amp;"-01"), "dd-mm-yyyy")),0),0)</f>
        <v>6159</v>
      </c>
      <c r="O976" cm="1">
        <f t="array" ref="O976">IF($Q976&gt;=0,IFERROR(generateSalesData($D976, IF(ISNUMBER(_xlfn.XLOOKUP($C976,Phone_by_Sentiment!$B$2:$B$37,Phone_by_Sentiment!O$2:O$37,"",0,1)),_xlfn.XLOOKUP($C976,Phone_by_Sentiment!$B$2:$B$37,Phone_by_Sentiment!O$2:O$37,"",0,1),0),$A976-TEXT(DATEVALUE($D976&amp;"-01"), "dd-mm-yyyy")),0),0)</f>
        <v>3108</v>
      </c>
      <c r="P976" s="1">
        <f t="shared" si="40"/>
        <v>44228</v>
      </c>
      <c r="Q976">
        <f t="shared" si="41"/>
        <v>59</v>
      </c>
    </row>
    <row r="977" spans="1:17" x14ac:dyDescent="0.25">
      <c r="A977" s="1">
        <f t="shared" si="42"/>
        <v>44287</v>
      </c>
      <c r="B977" t="s">
        <v>159</v>
      </c>
      <c r="C977" t="str">
        <f>_xlfn.XLOOKUP(B977,Phone_by_Price!$A$2:$A$34,Phone_by_Price!$B$2:$B$34,"-",0,1)</f>
        <v>Realme C25</v>
      </c>
      <c r="D977" t="str">
        <f>_xlfn.XLOOKUP(C977,Phone_by_Sentiment!$B$2:$B$37,Phone_by_Sentiment!$A$2:$A$37,"-",0,1)</f>
        <v>2021-03</v>
      </c>
      <c r="E977" cm="1">
        <f t="array" ref="E977">IF($Q977&gt;=0,IFERROR(generateSalesData($D977, IF(ISNUMBER(_xlfn.XLOOKUP($C977,Phone_by_Sentiment!$B$2:$B$37,Phone_by_Sentiment!E$2:E$37,"",0,1)),_xlfn.XLOOKUP($C977,Phone_by_Sentiment!$B$2:$B$37,Phone_by_Sentiment!E$2:E$37,"",0,1),0),$A977-TEXT(DATEVALUE($D977&amp;"-01"), "dd-mm-yyyy")),0),0)</f>
        <v>788</v>
      </c>
      <c r="F977" cm="1">
        <f t="array" ref="F977">IF($Q977&gt;=0,IFERROR(generateSalesData($D977, IF(ISNUMBER(_xlfn.XLOOKUP($C977,Phone_by_Sentiment!$B$2:$B$37,Phone_by_Sentiment!F$2:F$37,"",0,1)),_xlfn.XLOOKUP($C977,Phone_by_Sentiment!$B$2:$B$37,Phone_by_Sentiment!F$2:F$37,"",0,1),0),$A977-TEXT(DATEVALUE($D977&amp;"-01"), "dd-mm-yyyy")),0),0)</f>
        <v>5882</v>
      </c>
      <c r="G977" cm="1">
        <f t="array" ref="G977">IF($Q977&gt;=0,IFERROR(generateSalesData($D977, IF(ISNUMBER(_xlfn.XLOOKUP($C977,Phone_by_Sentiment!$B$2:$B$37,Phone_by_Sentiment!G$2:G$37,"",0,1)),_xlfn.XLOOKUP($C977,Phone_by_Sentiment!$B$2:$B$37,Phone_by_Sentiment!G$2:G$37,"",0,1),0),$A977-TEXT(DATEVALUE($D977&amp;"-01"), "dd-mm-yyyy")),0),0)</f>
        <v>3799</v>
      </c>
      <c r="H977" cm="1">
        <f t="array" ref="H977">IF($Q977&gt;=0,IFERROR(generateSalesData($D977, IF(ISNUMBER(_xlfn.XLOOKUP($C977,Phone_by_Sentiment!$B$2:$B$37,Phone_by_Sentiment!H$2:H$37,"",0,1)),_xlfn.XLOOKUP($C977,Phone_by_Sentiment!$B$2:$B$37,Phone_by_Sentiment!H$2:H$37,"",0,1),0),$A977-TEXT(DATEVALUE($D977&amp;"-01"), "dd-mm-yyyy")),0),0)</f>
        <v>12583</v>
      </c>
      <c r="I977" cm="1">
        <f t="array" ref="I977">IF($Q977&gt;=0,IFERROR(generateSalesData($D977, IF(ISNUMBER(_xlfn.XLOOKUP($C977,Phone_by_Sentiment!$B$2:$B$37,Phone_by_Sentiment!I$2:I$37,"",0,1)),_xlfn.XLOOKUP($C977,Phone_by_Sentiment!$B$2:$B$37,Phone_by_Sentiment!I$2:I$37,"",0,1),0),$A977-TEXT(DATEVALUE($D977&amp;"-01"), "dd-mm-yyyy")),0),0)</f>
        <v>9959</v>
      </c>
      <c r="J977" cm="1">
        <f t="array" ref="J977">IF($Q977&gt;=0,IFERROR(generateSalesData($D977, IF(ISNUMBER(_xlfn.XLOOKUP($C977,Phone_by_Sentiment!$B$2:$B$37,Phone_by_Sentiment!J$2:J$37,"",0,1)),_xlfn.XLOOKUP($C977,Phone_by_Sentiment!$B$2:$B$37,Phone_by_Sentiment!J$2:J$37,"",0,1),0),$A977-TEXT(DATEVALUE($D977&amp;"-01"), "dd-mm-yyyy")),0),0)</f>
        <v>1894</v>
      </c>
      <c r="K977" cm="1">
        <f t="array" ref="K977">IF($Q977&gt;=0,IFERROR(generateSalesData($D977, IF(ISNUMBER(_xlfn.XLOOKUP($C977,Phone_by_Sentiment!$B$2:$B$37,Phone_by_Sentiment!K$2:K$37,"",0,1)),_xlfn.XLOOKUP($C977,Phone_by_Sentiment!$B$2:$B$37,Phone_by_Sentiment!K$2:K$37,"",0,1),0),$A977-TEXT(DATEVALUE($D977&amp;"-01"), "dd-mm-yyyy")),0),0)</f>
        <v>8987</v>
      </c>
      <c r="L977" cm="1">
        <f t="array" ref="L977">IF($Q977&gt;=0,IFERROR(generateSalesData($D977, IF(ISNUMBER(_xlfn.XLOOKUP($C977,Phone_by_Sentiment!$B$2:$B$37,Phone_by_Sentiment!L$2:L$37,"",0,1)),_xlfn.XLOOKUP($C977,Phone_by_Sentiment!$B$2:$B$37,Phone_by_Sentiment!L$2:L$37,"",0,1),0),$A977-TEXT(DATEVALUE($D977&amp;"-01"), "dd-mm-yyyy")),0),0)</f>
        <v>6646</v>
      </c>
      <c r="M977" cm="1">
        <f t="array" ref="M977">IF($Q977&gt;=0,IFERROR(generateSalesData($D977, IF(ISNUMBER(_xlfn.XLOOKUP($C977,Phone_by_Sentiment!$B$2:$B$37,Phone_by_Sentiment!M$2:M$37,"",0,1)),_xlfn.XLOOKUP($C977,Phone_by_Sentiment!$B$2:$B$37,Phone_by_Sentiment!M$2:M$37,"",0,1),0),$A977-TEXT(DATEVALUE($D977&amp;"-01"), "dd-mm-yyyy")),0),0)</f>
        <v>2362</v>
      </c>
      <c r="N977" cm="1">
        <f t="array" ref="N977">IF($Q977&gt;=0,IFERROR(generateSalesData($D977, IF(ISNUMBER(_xlfn.XLOOKUP($C977,Phone_by_Sentiment!$B$2:$B$37,Phone_by_Sentiment!N$2:N$37,"",0,1)),_xlfn.XLOOKUP($C977,Phone_by_Sentiment!$B$2:$B$37,Phone_by_Sentiment!N$2:N$37,"",0,1),0),$A977-TEXT(DATEVALUE($D977&amp;"-01"), "dd-mm-yyyy")),0),0)</f>
        <v>10545</v>
      </c>
      <c r="O977" cm="1">
        <f t="array" ref="O977">IF($Q977&gt;=0,IFERROR(generateSalesData($D977, IF(ISNUMBER(_xlfn.XLOOKUP($C977,Phone_by_Sentiment!$B$2:$B$37,Phone_by_Sentiment!O$2:O$37,"",0,1)),_xlfn.XLOOKUP($C977,Phone_by_Sentiment!$B$2:$B$37,Phone_by_Sentiment!O$2:O$37,"",0,1),0),$A977-TEXT(DATEVALUE($D977&amp;"-01"), "dd-mm-yyyy")),0),0)</f>
        <v>2338</v>
      </c>
      <c r="P977" s="1">
        <f t="shared" si="40"/>
        <v>44256</v>
      </c>
      <c r="Q977">
        <f t="shared" si="41"/>
        <v>31</v>
      </c>
    </row>
    <row r="978" spans="1:17" x14ac:dyDescent="0.25">
      <c r="A978" s="1">
        <f t="shared" si="42"/>
        <v>44287</v>
      </c>
      <c r="B978" t="s">
        <v>160</v>
      </c>
      <c r="C978" t="str">
        <f>_xlfn.XLOOKUP(B978,Phone_by_Price!$A$2:$A$34,Phone_by_Price!$B$2:$B$34,"-",0,1)</f>
        <v>Xiaomi Poco X3 Pro</v>
      </c>
      <c r="D978" t="str">
        <f>_xlfn.XLOOKUP(C978,Phone_by_Sentiment!$B$2:$B$37,Phone_by_Sentiment!$A$2:$A$37,"-",0,1)</f>
        <v>2021-05</v>
      </c>
      <c r="E978" cm="1">
        <f t="array" ref="E978">IF($Q978&gt;=0,IFERROR(generateSalesData($D978, IF(ISNUMBER(_xlfn.XLOOKUP($C978,Phone_by_Sentiment!$B$2:$B$37,Phone_by_Sentiment!E$2:E$37,"",0,1)),_xlfn.XLOOKUP($C978,Phone_by_Sentiment!$B$2:$B$37,Phone_by_Sentiment!E$2:E$37,"",0,1),0),$A978-TEXT(DATEVALUE($D978&amp;"-01"), "dd-mm-yyyy")),0),0)</f>
        <v>0</v>
      </c>
      <c r="F978" cm="1">
        <f t="array" ref="F978">IF($Q978&gt;=0,IFERROR(generateSalesData($D978, IF(ISNUMBER(_xlfn.XLOOKUP($C978,Phone_by_Sentiment!$B$2:$B$37,Phone_by_Sentiment!F$2:F$37,"",0,1)),_xlfn.XLOOKUP($C978,Phone_by_Sentiment!$B$2:$B$37,Phone_by_Sentiment!F$2:F$37,"",0,1),0),$A978-TEXT(DATEVALUE($D978&amp;"-01"), "dd-mm-yyyy")),0),0)</f>
        <v>0</v>
      </c>
      <c r="G978" cm="1">
        <f t="array" ref="G978">IF($Q978&gt;=0,IFERROR(generateSalesData($D978, IF(ISNUMBER(_xlfn.XLOOKUP($C978,Phone_by_Sentiment!$B$2:$B$37,Phone_by_Sentiment!G$2:G$37,"",0,1)),_xlfn.XLOOKUP($C978,Phone_by_Sentiment!$B$2:$B$37,Phone_by_Sentiment!G$2:G$37,"",0,1),0),$A978-TEXT(DATEVALUE($D978&amp;"-01"), "dd-mm-yyyy")),0),0)</f>
        <v>0</v>
      </c>
      <c r="H978" cm="1">
        <f t="array" ref="H978">IF($Q978&gt;=0,IFERROR(generateSalesData($D978, IF(ISNUMBER(_xlfn.XLOOKUP($C978,Phone_by_Sentiment!$B$2:$B$37,Phone_by_Sentiment!H$2:H$37,"",0,1)),_xlfn.XLOOKUP($C978,Phone_by_Sentiment!$B$2:$B$37,Phone_by_Sentiment!H$2:H$37,"",0,1),0),$A978-TEXT(DATEVALUE($D978&amp;"-01"), "dd-mm-yyyy")),0),0)</f>
        <v>0</v>
      </c>
      <c r="I978" cm="1">
        <f t="array" ref="I978">IF($Q978&gt;=0,IFERROR(generateSalesData($D978, IF(ISNUMBER(_xlfn.XLOOKUP($C978,Phone_by_Sentiment!$B$2:$B$37,Phone_by_Sentiment!I$2:I$37,"",0,1)),_xlfn.XLOOKUP($C978,Phone_by_Sentiment!$B$2:$B$37,Phone_by_Sentiment!I$2:I$37,"",0,1),0),$A978-TEXT(DATEVALUE($D978&amp;"-01"), "dd-mm-yyyy")),0),0)</f>
        <v>0</v>
      </c>
      <c r="J978" cm="1">
        <f t="array" ref="J978">IF($Q978&gt;=0,IFERROR(generateSalesData($D978, IF(ISNUMBER(_xlfn.XLOOKUP($C978,Phone_by_Sentiment!$B$2:$B$37,Phone_by_Sentiment!J$2:J$37,"",0,1)),_xlfn.XLOOKUP($C978,Phone_by_Sentiment!$B$2:$B$37,Phone_by_Sentiment!J$2:J$37,"",0,1),0),$A978-TEXT(DATEVALUE($D978&amp;"-01"), "dd-mm-yyyy")),0),0)</f>
        <v>0</v>
      </c>
      <c r="K978" cm="1">
        <f t="array" ref="K978">IF($Q978&gt;=0,IFERROR(generateSalesData($D978, IF(ISNUMBER(_xlfn.XLOOKUP($C978,Phone_by_Sentiment!$B$2:$B$37,Phone_by_Sentiment!K$2:K$37,"",0,1)),_xlfn.XLOOKUP($C978,Phone_by_Sentiment!$B$2:$B$37,Phone_by_Sentiment!K$2:K$37,"",0,1),0),$A978-TEXT(DATEVALUE($D978&amp;"-01"), "dd-mm-yyyy")),0),0)</f>
        <v>0</v>
      </c>
      <c r="L978" cm="1">
        <f t="array" ref="L978">IF($Q978&gt;=0,IFERROR(generateSalesData($D978, IF(ISNUMBER(_xlfn.XLOOKUP($C978,Phone_by_Sentiment!$B$2:$B$37,Phone_by_Sentiment!L$2:L$37,"",0,1)),_xlfn.XLOOKUP($C978,Phone_by_Sentiment!$B$2:$B$37,Phone_by_Sentiment!L$2:L$37,"",0,1),0),$A978-TEXT(DATEVALUE($D978&amp;"-01"), "dd-mm-yyyy")),0),0)</f>
        <v>0</v>
      </c>
      <c r="M978" cm="1">
        <f t="array" ref="M978">IF($Q978&gt;=0,IFERROR(generateSalesData($D978, IF(ISNUMBER(_xlfn.XLOOKUP($C978,Phone_by_Sentiment!$B$2:$B$37,Phone_by_Sentiment!M$2:M$37,"",0,1)),_xlfn.XLOOKUP($C978,Phone_by_Sentiment!$B$2:$B$37,Phone_by_Sentiment!M$2:M$37,"",0,1),0),$A978-TEXT(DATEVALUE($D978&amp;"-01"), "dd-mm-yyyy")),0),0)</f>
        <v>0</v>
      </c>
      <c r="N978" cm="1">
        <f t="array" ref="N978">IF($Q978&gt;=0,IFERROR(generateSalesData($D978, IF(ISNUMBER(_xlfn.XLOOKUP($C978,Phone_by_Sentiment!$B$2:$B$37,Phone_by_Sentiment!N$2:N$37,"",0,1)),_xlfn.XLOOKUP($C978,Phone_by_Sentiment!$B$2:$B$37,Phone_by_Sentiment!N$2:N$37,"",0,1),0),$A978-TEXT(DATEVALUE($D978&amp;"-01"), "dd-mm-yyyy")),0),0)</f>
        <v>0</v>
      </c>
      <c r="O978" cm="1">
        <f t="array" ref="O978">IF($Q978&gt;=0,IFERROR(generateSalesData($D978, IF(ISNUMBER(_xlfn.XLOOKUP($C978,Phone_by_Sentiment!$B$2:$B$37,Phone_by_Sentiment!O$2:O$37,"",0,1)),_xlfn.XLOOKUP($C978,Phone_by_Sentiment!$B$2:$B$37,Phone_by_Sentiment!O$2:O$37,"",0,1),0),$A978-TEXT(DATEVALUE($D978&amp;"-01"), "dd-mm-yyyy")),0),0)</f>
        <v>0</v>
      </c>
      <c r="P978" s="1">
        <f t="shared" si="40"/>
        <v>44317</v>
      </c>
      <c r="Q978">
        <f t="shared" si="41"/>
        <v>-30</v>
      </c>
    </row>
    <row r="979" spans="1:17" x14ac:dyDescent="0.25">
      <c r="A979" s="1">
        <f t="shared" si="42"/>
        <v>44287</v>
      </c>
      <c r="B979" t="s">
        <v>161</v>
      </c>
      <c r="C979" t="str">
        <f>_xlfn.XLOOKUP(B979,Phone_by_Price!$A$2:$A$34,Phone_by_Price!$B$2:$B$34,"-",0,1)</f>
        <v>Samsung Galaxy Z Flip 3</v>
      </c>
      <c r="D979" t="str">
        <f>_xlfn.XLOOKUP(C979,Phone_by_Sentiment!$B$2:$B$37,Phone_by_Sentiment!$A$2:$A$37,"-",0,1)</f>
        <v>2021-09</v>
      </c>
      <c r="E979" cm="1">
        <f t="array" ref="E979">IF($Q979&gt;=0,IFERROR(generateSalesData($D979, IF(ISNUMBER(_xlfn.XLOOKUP($C979,Phone_by_Sentiment!$B$2:$B$37,Phone_by_Sentiment!E$2:E$37,"",0,1)),_xlfn.XLOOKUP($C979,Phone_by_Sentiment!$B$2:$B$37,Phone_by_Sentiment!E$2:E$37,"",0,1),0),$A979-TEXT(DATEVALUE($D979&amp;"-01"), "dd-mm-yyyy")),0),0)</f>
        <v>0</v>
      </c>
      <c r="F979" cm="1">
        <f t="array" ref="F979">IF($Q979&gt;=0,IFERROR(generateSalesData($D979, IF(ISNUMBER(_xlfn.XLOOKUP($C979,Phone_by_Sentiment!$B$2:$B$37,Phone_by_Sentiment!F$2:F$37,"",0,1)),_xlfn.XLOOKUP($C979,Phone_by_Sentiment!$B$2:$B$37,Phone_by_Sentiment!F$2:F$37,"",0,1),0),$A979-TEXT(DATEVALUE($D979&amp;"-01"), "dd-mm-yyyy")),0),0)</f>
        <v>0</v>
      </c>
      <c r="G979" cm="1">
        <f t="array" ref="G979">IF($Q979&gt;=0,IFERROR(generateSalesData($D979, IF(ISNUMBER(_xlfn.XLOOKUP($C979,Phone_by_Sentiment!$B$2:$B$37,Phone_by_Sentiment!G$2:G$37,"",0,1)),_xlfn.XLOOKUP($C979,Phone_by_Sentiment!$B$2:$B$37,Phone_by_Sentiment!G$2:G$37,"",0,1),0),$A979-TEXT(DATEVALUE($D979&amp;"-01"), "dd-mm-yyyy")),0),0)</f>
        <v>0</v>
      </c>
      <c r="H979" cm="1">
        <f t="array" ref="H979">IF($Q979&gt;=0,IFERROR(generateSalesData($D979, IF(ISNUMBER(_xlfn.XLOOKUP($C979,Phone_by_Sentiment!$B$2:$B$37,Phone_by_Sentiment!H$2:H$37,"",0,1)),_xlfn.XLOOKUP($C979,Phone_by_Sentiment!$B$2:$B$37,Phone_by_Sentiment!H$2:H$37,"",0,1),0),$A979-TEXT(DATEVALUE($D979&amp;"-01"), "dd-mm-yyyy")),0),0)</f>
        <v>0</v>
      </c>
      <c r="I979" cm="1">
        <f t="array" ref="I979">IF($Q979&gt;=0,IFERROR(generateSalesData($D979, IF(ISNUMBER(_xlfn.XLOOKUP($C979,Phone_by_Sentiment!$B$2:$B$37,Phone_by_Sentiment!I$2:I$37,"",0,1)),_xlfn.XLOOKUP($C979,Phone_by_Sentiment!$B$2:$B$37,Phone_by_Sentiment!I$2:I$37,"",0,1),0),$A979-TEXT(DATEVALUE($D979&amp;"-01"), "dd-mm-yyyy")),0),0)</f>
        <v>0</v>
      </c>
      <c r="J979" cm="1">
        <f t="array" ref="J979">IF($Q979&gt;=0,IFERROR(generateSalesData($D979, IF(ISNUMBER(_xlfn.XLOOKUP($C979,Phone_by_Sentiment!$B$2:$B$37,Phone_by_Sentiment!J$2:J$37,"",0,1)),_xlfn.XLOOKUP($C979,Phone_by_Sentiment!$B$2:$B$37,Phone_by_Sentiment!J$2:J$37,"",0,1),0),$A979-TEXT(DATEVALUE($D979&amp;"-01"), "dd-mm-yyyy")),0),0)</f>
        <v>0</v>
      </c>
      <c r="K979" cm="1">
        <f t="array" ref="K979">IF($Q979&gt;=0,IFERROR(generateSalesData($D979, IF(ISNUMBER(_xlfn.XLOOKUP($C979,Phone_by_Sentiment!$B$2:$B$37,Phone_by_Sentiment!K$2:K$37,"",0,1)),_xlfn.XLOOKUP($C979,Phone_by_Sentiment!$B$2:$B$37,Phone_by_Sentiment!K$2:K$37,"",0,1),0),$A979-TEXT(DATEVALUE($D979&amp;"-01"), "dd-mm-yyyy")),0),0)</f>
        <v>0</v>
      </c>
      <c r="L979" cm="1">
        <f t="array" ref="L979">IF($Q979&gt;=0,IFERROR(generateSalesData($D979, IF(ISNUMBER(_xlfn.XLOOKUP($C979,Phone_by_Sentiment!$B$2:$B$37,Phone_by_Sentiment!L$2:L$37,"",0,1)),_xlfn.XLOOKUP($C979,Phone_by_Sentiment!$B$2:$B$37,Phone_by_Sentiment!L$2:L$37,"",0,1),0),$A979-TEXT(DATEVALUE($D979&amp;"-01"), "dd-mm-yyyy")),0),0)</f>
        <v>0</v>
      </c>
      <c r="M979" cm="1">
        <f t="array" ref="M979">IF($Q979&gt;=0,IFERROR(generateSalesData($D979, IF(ISNUMBER(_xlfn.XLOOKUP($C979,Phone_by_Sentiment!$B$2:$B$37,Phone_by_Sentiment!M$2:M$37,"",0,1)),_xlfn.XLOOKUP($C979,Phone_by_Sentiment!$B$2:$B$37,Phone_by_Sentiment!M$2:M$37,"",0,1),0),$A979-TEXT(DATEVALUE($D979&amp;"-01"), "dd-mm-yyyy")),0),0)</f>
        <v>0</v>
      </c>
      <c r="N979" cm="1">
        <f t="array" ref="N979">IF($Q979&gt;=0,IFERROR(generateSalesData($D979, IF(ISNUMBER(_xlfn.XLOOKUP($C979,Phone_by_Sentiment!$B$2:$B$37,Phone_by_Sentiment!N$2:N$37,"",0,1)),_xlfn.XLOOKUP($C979,Phone_by_Sentiment!$B$2:$B$37,Phone_by_Sentiment!N$2:N$37,"",0,1),0),$A979-TEXT(DATEVALUE($D979&amp;"-01"), "dd-mm-yyyy")),0),0)</f>
        <v>0</v>
      </c>
      <c r="O979" cm="1">
        <f t="array" ref="O979">IF($Q979&gt;=0,IFERROR(generateSalesData($D979, IF(ISNUMBER(_xlfn.XLOOKUP($C979,Phone_by_Sentiment!$B$2:$B$37,Phone_by_Sentiment!O$2:O$37,"",0,1)),_xlfn.XLOOKUP($C979,Phone_by_Sentiment!$B$2:$B$37,Phone_by_Sentiment!O$2:O$37,"",0,1),0),$A979-TEXT(DATEVALUE($D979&amp;"-01"), "dd-mm-yyyy")),0),0)</f>
        <v>0</v>
      </c>
      <c r="P979" s="1">
        <f t="shared" si="40"/>
        <v>44440</v>
      </c>
      <c r="Q979">
        <f t="shared" si="41"/>
        <v>-153</v>
      </c>
    </row>
    <row r="980" spans="1:17" x14ac:dyDescent="0.25">
      <c r="A980" s="1">
        <f t="shared" si="42"/>
        <v>44287</v>
      </c>
      <c r="B980" t="s">
        <v>162</v>
      </c>
      <c r="C980" t="str">
        <f>_xlfn.XLOOKUP(B980,Phone_by_Price!$A$2:$A$34,Phone_by_Price!$B$2:$B$34,"-",0,1)</f>
        <v>Xiaomi Poco X3 NFC</v>
      </c>
      <c r="D980" t="str">
        <f>_xlfn.XLOOKUP(C980,Phone_by_Sentiment!$B$2:$B$37,Phone_by_Sentiment!$A$2:$A$37,"-",0,1)</f>
        <v>2020-08</v>
      </c>
      <c r="E980" cm="1">
        <f t="array" ref="E980">IF($Q980&gt;=0,IFERROR(generateSalesData($D980, IF(ISNUMBER(_xlfn.XLOOKUP($C980,Phone_by_Sentiment!$B$2:$B$37,Phone_by_Sentiment!E$2:E$37,"",0,1)),_xlfn.XLOOKUP($C980,Phone_by_Sentiment!$B$2:$B$37,Phone_by_Sentiment!E$2:E$37,"",0,1),0),$A980-TEXT(DATEVALUE($D980&amp;"-01"), "dd-mm-yyyy")),0),0)</f>
        <v>150</v>
      </c>
      <c r="F980" cm="1">
        <f t="array" ref="F980">IF($Q980&gt;=0,IFERROR(generateSalesData($D980, IF(ISNUMBER(_xlfn.XLOOKUP($C980,Phone_by_Sentiment!$B$2:$B$37,Phone_by_Sentiment!F$2:F$37,"",0,1)),_xlfn.XLOOKUP($C980,Phone_by_Sentiment!$B$2:$B$37,Phone_by_Sentiment!F$2:F$37,"",0,1),0),$A980-TEXT(DATEVALUE($D980&amp;"-01"), "dd-mm-yyyy")),0),0)</f>
        <v>368</v>
      </c>
      <c r="G980" cm="1">
        <f t="array" ref="G980">IF($Q980&gt;=0,IFERROR(generateSalesData($D980, IF(ISNUMBER(_xlfn.XLOOKUP($C980,Phone_by_Sentiment!$B$2:$B$37,Phone_by_Sentiment!G$2:G$37,"",0,1)),_xlfn.XLOOKUP($C980,Phone_by_Sentiment!$B$2:$B$37,Phone_by_Sentiment!G$2:G$37,"",0,1),0),$A980-TEXT(DATEVALUE($D980&amp;"-01"), "dd-mm-yyyy")),0),0)</f>
        <v>176</v>
      </c>
      <c r="H980" cm="1">
        <f t="array" ref="H980">IF($Q980&gt;=0,IFERROR(generateSalesData($D980, IF(ISNUMBER(_xlfn.XLOOKUP($C980,Phone_by_Sentiment!$B$2:$B$37,Phone_by_Sentiment!H$2:H$37,"",0,1)),_xlfn.XLOOKUP($C980,Phone_by_Sentiment!$B$2:$B$37,Phone_by_Sentiment!H$2:H$37,"",0,1),0),$A980-TEXT(DATEVALUE($D980&amp;"-01"), "dd-mm-yyyy")),0),0)</f>
        <v>1375</v>
      </c>
      <c r="I980" cm="1">
        <f t="array" ref="I980">IF($Q980&gt;=0,IFERROR(generateSalesData($D980, IF(ISNUMBER(_xlfn.XLOOKUP($C980,Phone_by_Sentiment!$B$2:$B$37,Phone_by_Sentiment!I$2:I$37,"",0,1)),_xlfn.XLOOKUP($C980,Phone_by_Sentiment!$B$2:$B$37,Phone_by_Sentiment!I$2:I$37,"",0,1),0),$A980-TEXT(DATEVALUE($D980&amp;"-01"), "dd-mm-yyyy")),0),0)</f>
        <v>195</v>
      </c>
      <c r="J980" cm="1">
        <f t="array" ref="J980">IF($Q980&gt;=0,IFERROR(generateSalesData($D980, IF(ISNUMBER(_xlfn.XLOOKUP($C980,Phone_by_Sentiment!$B$2:$B$37,Phone_by_Sentiment!J$2:J$37,"",0,1)),_xlfn.XLOOKUP($C980,Phone_by_Sentiment!$B$2:$B$37,Phone_by_Sentiment!J$2:J$37,"",0,1),0),$A980-TEXT(DATEVALUE($D980&amp;"-01"), "dd-mm-yyyy")),0),0)</f>
        <v>245</v>
      </c>
      <c r="K980" cm="1">
        <f t="array" ref="K980">IF($Q980&gt;=0,IFERROR(generateSalesData($D980, IF(ISNUMBER(_xlfn.XLOOKUP($C980,Phone_by_Sentiment!$B$2:$B$37,Phone_by_Sentiment!K$2:K$37,"",0,1)),_xlfn.XLOOKUP($C980,Phone_by_Sentiment!$B$2:$B$37,Phone_by_Sentiment!K$2:K$37,"",0,1),0),$A980-TEXT(DATEVALUE($D980&amp;"-01"), "dd-mm-yyyy")),0),0)</f>
        <v>983</v>
      </c>
      <c r="L980" cm="1">
        <f t="array" ref="L980">IF($Q980&gt;=0,IFERROR(generateSalesData($D980, IF(ISNUMBER(_xlfn.XLOOKUP($C980,Phone_by_Sentiment!$B$2:$B$37,Phone_by_Sentiment!L$2:L$37,"",0,1)),_xlfn.XLOOKUP($C980,Phone_by_Sentiment!$B$2:$B$37,Phone_by_Sentiment!L$2:L$37,"",0,1),0),$A980-TEXT(DATEVALUE($D980&amp;"-01"), "dd-mm-yyyy")),0),0)</f>
        <v>232</v>
      </c>
      <c r="M980" cm="1">
        <f t="array" ref="M980">IF($Q980&gt;=0,IFERROR(generateSalesData($D980, IF(ISNUMBER(_xlfn.XLOOKUP($C980,Phone_by_Sentiment!$B$2:$B$37,Phone_by_Sentiment!M$2:M$37,"",0,1)),_xlfn.XLOOKUP($C980,Phone_by_Sentiment!$B$2:$B$37,Phone_by_Sentiment!M$2:M$37,"",0,1),0),$A980-TEXT(DATEVALUE($D980&amp;"-01"), "dd-mm-yyyy")),0),0)</f>
        <v>1073</v>
      </c>
      <c r="N980" cm="1">
        <f t="array" ref="N980">IF($Q980&gt;=0,IFERROR(generateSalesData($D980, IF(ISNUMBER(_xlfn.XLOOKUP($C980,Phone_by_Sentiment!$B$2:$B$37,Phone_by_Sentiment!N$2:N$37,"",0,1)),_xlfn.XLOOKUP($C980,Phone_by_Sentiment!$B$2:$B$37,Phone_by_Sentiment!N$2:N$37,"",0,1),0),$A980-TEXT(DATEVALUE($D980&amp;"-01"), "dd-mm-yyyy")),0),0)</f>
        <v>357</v>
      </c>
      <c r="O980" cm="1">
        <f t="array" ref="O980">IF($Q980&gt;=0,IFERROR(generateSalesData($D980, IF(ISNUMBER(_xlfn.XLOOKUP($C980,Phone_by_Sentiment!$B$2:$B$37,Phone_by_Sentiment!O$2:O$37,"",0,1)),_xlfn.XLOOKUP($C980,Phone_by_Sentiment!$B$2:$B$37,Phone_by_Sentiment!O$2:O$37,"",0,1),0),$A980-TEXT(DATEVALUE($D980&amp;"-01"), "dd-mm-yyyy")),0),0)</f>
        <v>337</v>
      </c>
      <c r="P980" s="1">
        <f t="shared" si="40"/>
        <v>44044</v>
      </c>
      <c r="Q980">
        <f t="shared" si="41"/>
        <v>243</v>
      </c>
    </row>
    <row r="981" spans="1:17" x14ac:dyDescent="0.25">
      <c r="A981" s="1">
        <f t="shared" si="42"/>
        <v>44317</v>
      </c>
      <c r="B981" t="s">
        <v>163</v>
      </c>
      <c r="C981" t="str">
        <f>_xlfn.XLOOKUP(B981,Phone_by_Price!$A$2:$A$34,Phone_by_Price!$B$2:$B$34,"-",0,1)</f>
        <v>OPPO A93</v>
      </c>
      <c r="D981" t="str">
        <f>_xlfn.XLOOKUP(C981,Phone_by_Sentiment!$B$2:$B$37,Phone_by_Sentiment!$A$2:$A$37,"-",0,1)</f>
        <v>2021-02</v>
      </c>
      <c r="E981" cm="1">
        <f t="array" ref="E981">IF($Q981&gt;=0,IFERROR(generateSalesData($D981, IF(ISNUMBER(_xlfn.XLOOKUP($C981,Phone_by_Sentiment!$B$2:$B$37,Phone_by_Sentiment!E$2:E$37,"",0,1)),_xlfn.XLOOKUP($C981,Phone_by_Sentiment!$B$2:$B$37,Phone_by_Sentiment!E$2:E$37,"",0,1),0),$A981-TEXT(DATEVALUE($D981&amp;"-01"), "dd-mm-yyyy")),0),0)</f>
        <v>3832</v>
      </c>
      <c r="F981" cm="1">
        <f t="array" ref="F981">IF($Q981&gt;=0,IFERROR(generateSalesData($D981, IF(ISNUMBER(_xlfn.XLOOKUP($C981,Phone_by_Sentiment!$B$2:$B$37,Phone_by_Sentiment!F$2:F$37,"",0,1)),_xlfn.XLOOKUP($C981,Phone_by_Sentiment!$B$2:$B$37,Phone_by_Sentiment!F$2:F$37,"",0,1),0),$A981-TEXT(DATEVALUE($D981&amp;"-01"), "dd-mm-yyyy")),0),0)</f>
        <v>809</v>
      </c>
      <c r="G981" cm="1">
        <f t="array" ref="G981">IF($Q981&gt;=0,IFERROR(generateSalesData($D981, IF(ISNUMBER(_xlfn.XLOOKUP($C981,Phone_by_Sentiment!$B$2:$B$37,Phone_by_Sentiment!G$2:G$37,"",0,1)),_xlfn.XLOOKUP($C981,Phone_by_Sentiment!$B$2:$B$37,Phone_by_Sentiment!G$2:G$37,"",0,1),0),$A981-TEXT(DATEVALUE($D981&amp;"-01"), "dd-mm-yyyy")),0),0)</f>
        <v>603</v>
      </c>
      <c r="H981" cm="1">
        <f t="array" ref="H981">IF($Q981&gt;=0,IFERROR(generateSalesData($D981, IF(ISNUMBER(_xlfn.XLOOKUP($C981,Phone_by_Sentiment!$B$2:$B$37,Phone_by_Sentiment!H$2:H$37,"",0,1)),_xlfn.XLOOKUP($C981,Phone_by_Sentiment!$B$2:$B$37,Phone_by_Sentiment!H$2:H$37,"",0,1),0),$A981-TEXT(DATEVALUE($D981&amp;"-01"), "dd-mm-yyyy")),0),0)</f>
        <v>3507</v>
      </c>
      <c r="I981" cm="1">
        <f t="array" ref="I981">IF($Q981&gt;=0,IFERROR(generateSalesData($D981, IF(ISNUMBER(_xlfn.XLOOKUP($C981,Phone_by_Sentiment!$B$2:$B$37,Phone_by_Sentiment!I$2:I$37,"",0,1)),_xlfn.XLOOKUP($C981,Phone_by_Sentiment!$B$2:$B$37,Phone_by_Sentiment!I$2:I$37,"",0,1),0),$A981-TEXT(DATEVALUE($D981&amp;"-01"), "dd-mm-yyyy")),0),0)</f>
        <v>737</v>
      </c>
      <c r="J981" cm="1">
        <f t="array" ref="J981">IF($Q981&gt;=0,IFERROR(generateSalesData($D981, IF(ISNUMBER(_xlfn.XLOOKUP($C981,Phone_by_Sentiment!$B$2:$B$37,Phone_by_Sentiment!J$2:J$37,"",0,1)),_xlfn.XLOOKUP($C981,Phone_by_Sentiment!$B$2:$B$37,Phone_by_Sentiment!J$2:J$37,"",0,1),0),$A981-TEXT(DATEVALUE($D981&amp;"-01"), "dd-mm-yyyy")),0),0)</f>
        <v>1239</v>
      </c>
      <c r="K981" cm="1">
        <f t="array" ref="K981">IF($Q981&gt;=0,IFERROR(generateSalesData($D981, IF(ISNUMBER(_xlfn.XLOOKUP($C981,Phone_by_Sentiment!$B$2:$B$37,Phone_by_Sentiment!K$2:K$37,"",0,1)),_xlfn.XLOOKUP($C981,Phone_by_Sentiment!$B$2:$B$37,Phone_by_Sentiment!K$2:K$37,"",0,1),0),$A981-TEXT(DATEVALUE($D981&amp;"-01"), "dd-mm-yyyy")),0),0)</f>
        <v>587</v>
      </c>
      <c r="L981" cm="1">
        <f t="array" ref="L981">IF($Q981&gt;=0,IFERROR(generateSalesData($D981, IF(ISNUMBER(_xlfn.XLOOKUP($C981,Phone_by_Sentiment!$B$2:$B$37,Phone_by_Sentiment!L$2:L$37,"",0,1)),_xlfn.XLOOKUP($C981,Phone_by_Sentiment!$B$2:$B$37,Phone_by_Sentiment!L$2:L$37,"",0,1),0),$A981-TEXT(DATEVALUE($D981&amp;"-01"), "dd-mm-yyyy")),0),0)</f>
        <v>850</v>
      </c>
      <c r="M981" cm="1">
        <f t="array" ref="M981">IF($Q981&gt;=0,IFERROR(generateSalesData($D981, IF(ISNUMBER(_xlfn.XLOOKUP($C981,Phone_by_Sentiment!$B$2:$B$37,Phone_by_Sentiment!M$2:M$37,"",0,1)),_xlfn.XLOOKUP($C981,Phone_by_Sentiment!$B$2:$B$37,Phone_by_Sentiment!M$2:M$37,"",0,1),0),$A981-TEXT(DATEVALUE($D981&amp;"-01"), "dd-mm-yyyy")),0),0)</f>
        <v>328</v>
      </c>
      <c r="N981" cm="1">
        <f t="array" ref="N981">IF($Q981&gt;=0,IFERROR(generateSalesData($D981, IF(ISNUMBER(_xlfn.XLOOKUP($C981,Phone_by_Sentiment!$B$2:$B$37,Phone_by_Sentiment!N$2:N$37,"",0,1)),_xlfn.XLOOKUP($C981,Phone_by_Sentiment!$B$2:$B$37,Phone_by_Sentiment!N$2:N$37,"",0,1),0),$A981-TEXT(DATEVALUE($D981&amp;"-01"), "dd-mm-yyyy")),0),0)</f>
        <v>3013</v>
      </c>
      <c r="O981" cm="1">
        <f t="array" ref="O981">IF($Q981&gt;=0,IFERROR(generateSalesData($D981, IF(ISNUMBER(_xlfn.XLOOKUP($C981,Phone_by_Sentiment!$B$2:$B$37,Phone_by_Sentiment!O$2:O$37,"",0,1)),_xlfn.XLOOKUP($C981,Phone_by_Sentiment!$B$2:$B$37,Phone_by_Sentiment!O$2:O$37,"",0,1),0),$A981-TEXT(DATEVALUE($D981&amp;"-01"), "dd-mm-yyyy")),0),0)</f>
        <v>-131</v>
      </c>
      <c r="P981" s="1">
        <f t="shared" si="40"/>
        <v>44228</v>
      </c>
      <c r="Q981">
        <f t="shared" si="41"/>
        <v>89</v>
      </c>
    </row>
    <row r="982" spans="1:17" x14ac:dyDescent="0.25">
      <c r="A982" s="1">
        <f t="shared" si="42"/>
        <v>44317</v>
      </c>
      <c r="B982" t="s">
        <v>164</v>
      </c>
      <c r="C982" t="str">
        <f>_xlfn.XLOOKUP(B982,Phone_by_Price!$A$2:$A$34,Phone_by_Price!$B$2:$B$34,"-",0,1)</f>
        <v>Vivo V20</v>
      </c>
      <c r="D982" t="str">
        <f>_xlfn.XLOOKUP(C982,Phone_by_Sentiment!$B$2:$B$37,Phone_by_Sentiment!$A$2:$A$37,"-",0,1)</f>
        <v>2020-10</v>
      </c>
      <c r="E982" cm="1">
        <f t="array" ref="E982">IF($Q982&gt;=0,IFERROR(generateSalesData($D982, IF(ISNUMBER(_xlfn.XLOOKUP($C982,Phone_by_Sentiment!$B$2:$B$37,Phone_by_Sentiment!E$2:E$37,"",0,1)),_xlfn.XLOOKUP($C982,Phone_by_Sentiment!$B$2:$B$37,Phone_by_Sentiment!E$2:E$37,"",0,1),0),$A982-TEXT(DATEVALUE($D982&amp;"-01"), "dd-mm-yyyy")),0),0)</f>
        <v>1481</v>
      </c>
      <c r="F982" cm="1">
        <f t="array" ref="F982">IF($Q982&gt;=0,IFERROR(generateSalesData($D982, IF(ISNUMBER(_xlfn.XLOOKUP($C982,Phone_by_Sentiment!$B$2:$B$37,Phone_by_Sentiment!F$2:F$37,"",0,1)),_xlfn.XLOOKUP($C982,Phone_by_Sentiment!$B$2:$B$37,Phone_by_Sentiment!F$2:F$37,"",0,1),0),$A982-TEXT(DATEVALUE($D982&amp;"-01"), "dd-mm-yyyy")),0),0)</f>
        <v>58</v>
      </c>
      <c r="G982" cm="1">
        <f t="array" ref="G982">IF($Q982&gt;=0,IFERROR(generateSalesData($D982, IF(ISNUMBER(_xlfn.XLOOKUP($C982,Phone_by_Sentiment!$B$2:$B$37,Phone_by_Sentiment!G$2:G$37,"",0,1)),_xlfn.XLOOKUP($C982,Phone_by_Sentiment!$B$2:$B$37,Phone_by_Sentiment!G$2:G$37,"",0,1),0),$A982-TEXT(DATEVALUE($D982&amp;"-01"), "dd-mm-yyyy")),0),0)</f>
        <v>299</v>
      </c>
      <c r="H982" cm="1">
        <f t="array" ref="H982">IF($Q982&gt;=0,IFERROR(generateSalesData($D982, IF(ISNUMBER(_xlfn.XLOOKUP($C982,Phone_by_Sentiment!$B$2:$B$37,Phone_by_Sentiment!H$2:H$37,"",0,1)),_xlfn.XLOOKUP($C982,Phone_by_Sentiment!$B$2:$B$37,Phone_by_Sentiment!H$2:H$37,"",0,1),0),$A982-TEXT(DATEVALUE($D982&amp;"-01"), "dd-mm-yyyy")),0),0)</f>
        <v>368</v>
      </c>
      <c r="I982" cm="1">
        <f t="array" ref="I982">IF($Q982&gt;=0,IFERROR(generateSalesData($D982, IF(ISNUMBER(_xlfn.XLOOKUP($C982,Phone_by_Sentiment!$B$2:$B$37,Phone_by_Sentiment!I$2:I$37,"",0,1)),_xlfn.XLOOKUP($C982,Phone_by_Sentiment!$B$2:$B$37,Phone_by_Sentiment!I$2:I$37,"",0,1),0),$A982-TEXT(DATEVALUE($D982&amp;"-01"), "dd-mm-yyyy")),0),0)</f>
        <v>167</v>
      </c>
      <c r="J982" cm="1">
        <f t="array" ref="J982">IF($Q982&gt;=0,IFERROR(generateSalesData($D982, IF(ISNUMBER(_xlfn.XLOOKUP($C982,Phone_by_Sentiment!$B$2:$B$37,Phone_by_Sentiment!J$2:J$37,"",0,1)),_xlfn.XLOOKUP($C982,Phone_by_Sentiment!$B$2:$B$37,Phone_by_Sentiment!J$2:J$37,"",0,1),0),$A982-TEXT(DATEVALUE($D982&amp;"-01"), "dd-mm-yyyy")),0),0)</f>
        <v>193</v>
      </c>
      <c r="K982" cm="1">
        <f t="array" ref="K982">IF($Q982&gt;=0,IFERROR(generateSalesData($D982, IF(ISNUMBER(_xlfn.XLOOKUP($C982,Phone_by_Sentiment!$B$2:$B$37,Phone_by_Sentiment!K$2:K$37,"",0,1)),_xlfn.XLOOKUP($C982,Phone_by_Sentiment!$B$2:$B$37,Phone_by_Sentiment!K$2:K$37,"",0,1),0),$A982-TEXT(DATEVALUE($D982&amp;"-01"), "dd-mm-yyyy")),0),0)</f>
        <v>393</v>
      </c>
      <c r="L982" cm="1">
        <f t="array" ref="L982">IF($Q982&gt;=0,IFERROR(generateSalesData($D982, IF(ISNUMBER(_xlfn.XLOOKUP($C982,Phone_by_Sentiment!$B$2:$B$37,Phone_by_Sentiment!L$2:L$37,"",0,1)),_xlfn.XLOOKUP($C982,Phone_by_Sentiment!$B$2:$B$37,Phone_by_Sentiment!L$2:L$37,"",0,1),0),$A982-TEXT(DATEVALUE($D982&amp;"-01"), "dd-mm-yyyy")),0),0)</f>
        <v>238</v>
      </c>
      <c r="M982" cm="1">
        <f t="array" ref="M982">IF($Q982&gt;=0,IFERROR(generateSalesData($D982, IF(ISNUMBER(_xlfn.XLOOKUP($C982,Phone_by_Sentiment!$B$2:$B$37,Phone_by_Sentiment!M$2:M$37,"",0,1)),_xlfn.XLOOKUP($C982,Phone_by_Sentiment!$B$2:$B$37,Phone_by_Sentiment!M$2:M$37,"",0,1),0),$A982-TEXT(DATEVALUE($D982&amp;"-01"), "dd-mm-yyyy")),0),0)</f>
        <v>69</v>
      </c>
      <c r="N982" cm="1">
        <f t="array" ref="N982">IF($Q982&gt;=0,IFERROR(generateSalesData($D982, IF(ISNUMBER(_xlfn.XLOOKUP($C982,Phone_by_Sentiment!$B$2:$B$37,Phone_by_Sentiment!N$2:N$37,"",0,1)),_xlfn.XLOOKUP($C982,Phone_by_Sentiment!$B$2:$B$37,Phone_by_Sentiment!N$2:N$37,"",0,1),0),$A982-TEXT(DATEVALUE($D982&amp;"-01"), "dd-mm-yyyy")),0),0)</f>
        <v>404</v>
      </c>
      <c r="O982" cm="1">
        <f t="array" ref="O982">IF($Q982&gt;=0,IFERROR(generateSalesData($D982, IF(ISNUMBER(_xlfn.XLOOKUP($C982,Phone_by_Sentiment!$B$2:$B$37,Phone_by_Sentiment!O$2:O$37,"",0,1)),_xlfn.XLOOKUP($C982,Phone_by_Sentiment!$B$2:$B$37,Phone_by_Sentiment!O$2:O$37,"",0,1),0),$A982-TEXT(DATEVALUE($D982&amp;"-01"), "dd-mm-yyyy")),0),0)</f>
        <v>451</v>
      </c>
      <c r="P982" s="1">
        <f t="shared" si="40"/>
        <v>44105</v>
      </c>
      <c r="Q982">
        <f t="shared" si="41"/>
        <v>212</v>
      </c>
    </row>
    <row r="983" spans="1:17" x14ac:dyDescent="0.25">
      <c r="A983" s="1">
        <f t="shared" si="42"/>
        <v>44317</v>
      </c>
      <c r="B983" t="s">
        <v>165</v>
      </c>
      <c r="C983" t="str">
        <f>_xlfn.XLOOKUP(B983,Phone_by_Price!$A$2:$A$34,Phone_by_Price!$B$2:$B$34,"-",0,1)</f>
        <v>Samsung Galaxy A50</v>
      </c>
      <c r="D983" t="str">
        <f>_xlfn.XLOOKUP(C983,Phone_by_Sentiment!$B$2:$B$37,Phone_by_Sentiment!$A$2:$A$37,"-",0,1)</f>
        <v>2019-05</v>
      </c>
      <c r="E983" cm="1">
        <f t="array" ref="E983">IF($Q983&gt;=0,IFERROR(generateSalesData($D983, IF(ISNUMBER(_xlfn.XLOOKUP($C983,Phone_by_Sentiment!$B$2:$B$37,Phone_by_Sentiment!E$2:E$37,"",0,1)),_xlfn.XLOOKUP($C983,Phone_by_Sentiment!$B$2:$B$37,Phone_by_Sentiment!E$2:E$37,"",0,1),0),$A983-TEXT(DATEVALUE($D983&amp;"-01"), "dd-mm-yyyy")),0),0)</f>
        <v>228</v>
      </c>
      <c r="F983" cm="1">
        <f t="array" ref="F983">IF($Q983&gt;=0,IFERROR(generateSalesData($D983, IF(ISNUMBER(_xlfn.XLOOKUP($C983,Phone_by_Sentiment!$B$2:$B$37,Phone_by_Sentiment!F$2:F$37,"",0,1)),_xlfn.XLOOKUP($C983,Phone_by_Sentiment!$B$2:$B$37,Phone_by_Sentiment!F$2:F$37,"",0,1),0),$A983-TEXT(DATEVALUE($D983&amp;"-01"), "dd-mm-yyyy")),0),0)</f>
        <v>30</v>
      </c>
      <c r="G983" cm="1">
        <f t="array" ref="G983">IF($Q983&gt;=0,IFERROR(generateSalesData($D983, IF(ISNUMBER(_xlfn.XLOOKUP($C983,Phone_by_Sentiment!$B$2:$B$37,Phone_by_Sentiment!G$2:G$37,"",0,1)),_xlfn.XLOOKUP($C983,Phone_by_Sentiment!$B$2:$B$37,Phone_by_Sentiment!G$2:G$37,"",0,1),0),$A983-TEXT(DATEVALUE($D983&amp;"-01"), "dd-mm-yyyy")),0),0)</f>
        <v>117</v>
      </c>
      <c r="H983" cm="1">
        <f t="array" ref="H983">IF($Q983&gt;=0,IFERROR(generateSalesData($D983, IF(ISNUMBER(_xlfn.XLOOKUP($C983,Phone_by_Sentiment!$B$2:$B$37,Phone_by_Sentiment!H$2:H$37,"",0,1)),_xlfn.XLOOKUP($C983,Phone_by_Sentiment!$B$2:$B$37,Phone_by_Sentiment!H$2:H$37,"",0,1),0),$A983-TEXT(DATEVALUE($D983&amp;"-01"), "dd-mm-yyyy")),0),0)</f>
        <v>494</v>
      </c>
      <c r="I983" cm="1">
        <f t="array" ref="I983">IF($Q983&gt;=0,IFERROR(generateSalesData($D983, IF(ISNUMBER(_xlfn.XLOOKUP($C983,Phone_by_Sentiment!$B$2:$B$37,Phone_by_Sentiment!I$2:I$37,"",0,1)),_xlfn.XLOOKUP($C983,Phone_by_Sentiment!$B$2:$B$37,Phone_by_Sentiment!I$2:I$37,"",0,1),0),$A983-TEXT(DATEVALUE($D983&amp;"-01"), "dd-mm-yyyy")),0),0)</f>
        <v>231</v>
      </c>
      <c r="J983" cm="1">
        <f t="array" ref="J983">IF($Q983&gt;=0,IFERROR(generateSalesData($D983, IF(ISNUMBER(_xlfn.XLOOKUP($C983,Phone_by_Sentiment!$B$2:$B$37,Phone_by_Sentiment!J$2:J$37,"",0,1)),_xlfn.XLOOKUP($C983,Phone_by_Sentiment!$B$2:$B$37,Phone_by_Sentiment!J$2:J$37,"",0,1),0),$A983-TEXT(DATEVALUE($D983&amp;"-01"), "dd-mm-yyyy")),0),0)</f>
        <v>73</v>
      </c>
      <c r="K983" cm="1">
        <f t="array" ref="K983">IF($Q983&gt;=0,IFERROR(generateSalesData($D983, IF(ISNUMBER(_xlfn.XLOOKUP($C983,Phone_by_Sentiment!$B$2:$B$37,Phone_by_Sentiment!K$2:K$37,"",0,1)),_xlfn.XLOOKUP($C983,Phone_by_Sentiment!$B$2:$B$37,Phone_by_Sentiment!K$2:K$37,"",0,1),0),$A983-TEXT(DATEVALUE($D983&amp;"-01"), "dd-mm-yyyy")),0),0)</f>
        <v>67</v>
      </c>
      <c r="L983" cm="1">
        <f t="array" ref="L983">IF($Q983&gt;=0,IFERROR(generateSalesData($D983, IF(ISNUMBER(_xlfn.XLOOKUP($C983,Phone_by_Sentiment!$B$2:$B$37,Phone_by_Sentiment!L$2:L$37,"",0,1)),_xlfn.XLOOKUP($C983,Phone_by_Sentiment!$B$2:$B$37,Phone_by_Sentiment!L$2:L$37,"",0,1),0),$A983-TEXT(DATEVALUE($D983&amp;"-01"), "dd-mm-yyyy")),0),0)</f>
        <v>128</v>
      </c>
      <c r="M983" cm="1">
        <f t="array" ref="M983">IF($Q983&gt;=0,IFERROR(generateSalesData($D983, IF(ISNUMBER(_xlfn.XLOOKUP($C983,Phone_by_Sentiment!$B$2:$B$37,Phone_by_Sentiment!M$2:M$37,"",0,1)),_xlfn.XLOOKUP($C983,Phone_by_Sentiment!$B$2:$B$37,Phone_by_Sentiment!M$2:M$37,"",0,1),0),$A983-TEXT(DATEVALUE($D983&amp;"-01"), "dd-mm-yyyy")),0),0)</f>
        <v>88</v>
      </c>
      <c r="N983" cm="1">
        <f t="array" ref="N983">IF($Q983&gt;=0,IFERROR(generateSalesData($D983, IF(ISNUMBER(_xlfn.XLOOKUP($C983,Phone_by_Sentiment!$B$2:$B$37,Phone_by_Sentiment!N$2:N$37,"",0,1)),_xlfn.XLOOKUP($C983,Phone_by_Sentiment!$B$2:$B$37,Phone_by_Sentiment!N$2:N$37,"",0,1),0),$A983-TEXT(DATEVALUE($D983&amp;"-01"), "dd-mm-yyyy")),0),0)</f>
        <v>55</v>
      </c>
      <c r="O983" cm="1">
        <f t="array" ref="O983">IF($Q983&gt;=0,IFERROR(generateSalesData($D983, IF(ISNUMBER(_xlfn.XLOOKUP($C983,Phone_by_Sentiment!$B$2:$B$37,Phone_by_Sentiment!O$2:O$37,"",0,1)),_xlfn.XLOOKUP($C983,Phone_by_Sentiment!$B$2:$B$37,Phone_by_Sentiment!O$2:O$37,"",0,1),0),$A983-TEXT(DATEVALUE($D983&amp;"-01"), "dd-mm-yyyy")),0),0)</f>
        <v>402</v>
      </c>
      <c r="P983" s="1">
        <f t="shared" si="40"/>
        <v>43586</v>
      </c>
      <c r="Q983">
        <f t="shared" si="41"/>
        <v>731</v>
      </c>
    </row>
    <row r="984" spans="1:17" x14ac:dyDescent="0.25">
      <c r="A984" s="1">
        <f t="shared" si="42"/>
        <v>44317</v>
      </c>
      <c r="B984" t="s">
        <v>166</v>
      </c>
      <c r="C984" t="str">
        <f>_xlfn.XLOOKUP(B984,Phone_by_Price!$A$2:$A$34,Phone_by_Price!$B$2:$B$34,"-",0,1)</f>
        <v>Xiaomi Redmi Note 7</v>
      </c>
      <c r="D984" t="str">
        <f>_xlfn.XLOOKUP(C984,Phone_by_Sentiment!$B$2:$B$37,Phone_by_Sentiment!$A$2:$A$37,"-",0,1)</f>
        <v>2019-08</v>
      </c>
      <c r="E984" cm="1">
        <f t="array" ref="E984">IF($Q984&gt;=0,IFERROR(generateSalesData($D984, IF(ISNUMBER(_xlfn.XLOOKUP($C984,Phone_by_Sentiment!$B$2:$B$37,Phone_by_Sentiment!E$2:E$37,"",0,1)),_xlfn.XLOOKUP($C984,Phone_by_Sentiment!$B$2:$B$37,Phone_by_Sentiment!E$2:E$37,"",0,1),0),$A984-TEXT(DATEVALUE($D984&amp;"-01"), "dd-mm-yyyy")),0),0)</f>
        <v>102</v>
      </c>
      <c r="F984" cm="1">
        <f t="array" ref="F984">IF($Q984&gt;=0,IFERROR(generateSalesData($D984, IF(ISNUMBER(_xlfn.XLOOKUP($C984,Phone_by_Sentiment!$B$2:$B$37,Phone_by_Sentiment!F$2:F$37,"",0,1)),_xlfn.XLOOKUP($C984,Phone_by_Sentiment!$B$2:$B$37,Phone_by_Sentiment!F$2:F$37,"",0,1),0),$A984-TEXT(DATEVALUE($D984&amp;"-01"), "dd-mm-yyyy")),0),0)</f>
        <v>163</v>
      </c>
      <c r="G984" cm="1">
        <f t="array" ref="G984">IF($Q984&gt;=0,IFERROR(generateSalesData($D984, IF(ISNUMBER(_xlfn.XLOOKUP($C984,Phone_by_Sentiment!$B$2:$B$37,Phone_by_Sentiment!G$2:G$37,"",0,1)),_xlfn.XLOOKUP($C984,Phone_by_Sentiment!$B$2:$B$37,Phone_by_Sentiment!G$2:G$37,"",0,1),0),$A984-TEXT(DATEVALUE($D984&amp;"-01"), "dd-mm-yyyy")),0),0)</f>
        <v>79</v>
      </c>
      <c r="H984" cm="1">
        <f t="array" ref="H984">IF($Q984&gt;=0,IFERROR(generateSalesData($D984, IF(ISNUMBER(_xlfn.XLOOKUP($C984,Phone_by_Sentiment!$B$2:$B$37,Phone_by_Sentiment!H$2:H$37,"",0,1)),_xlfn.XLOOKUP($C984,Phone_by_Sentiment!$B$2:$B$37,Phone_by_Sentiment!H$2:H$37,"",0,1),0),$A984-TEXT(DATEVALUE($D984&amp;"-01"), "dd-mm-yyyy")),0),0)</f>
        <v>90</v>
      </c>
      <c r="I984" cm="1">
        <f t="array" ref="I984">IF($Q984&gt;=0,IFERROR(generateSalesData($D984, IF(ISNUMBER(_xlfn.XLOOKUP($C984,Phone_by_Sentiment!$B$2:$B$37,Phone_by_Sentiment!I$2:I$37,"",0,1)),_xlfn.XLOOKUP($C984,Phone_by_Sentiment!$B$2:$B$37,Phone_by_Sentiment!I$2:I$37,"",0,1),0),$A984-TEXT(DATEVALUE($D984&amp;"-01"), "dd-mm-yyyy")),0),0)</f>
        <v>186</v>
      </c>
      <c r="J984" cm="1">
        <f t="array" ref="J984">IF($Q984&gt;=0,IFERROR(generateSalesData($D984, IF(ISNUMBER(_xlfn.XLOOKUP($C984,Phone_by_Sentiment!$B$2:$B$37,Phone_by_Sentiment!J$2:J$37,"",0,1)),_xlfn.XLOOKUP($C984,Phone_by_Sentiment!$B$2:$B$37,Phone_by_Sentiment!J$2:J$37,"",0,1),0),$A984-TEXT(DATEVALUE($D984&amp;"-01"), "dd-mm-yyyy")),0),0)</f>
        <v>169</v>
      </c>
      <c r="K984" cm="1">
        <f t="array" ref="K984">IF($Q984&gt;=0,IFERROR(generateSalesData($D984, IF(ISNUMBER(_xlfn.XLOOKUP($C984,Phone_by_Sentiment!$B$2:$B$37,Phone_by_Sentiment!K$2:K$37,"",0,1)),_xlfn.XLOOKUP($C984,Phone_by_Sentiment!$B$2:$B$37,Phone_by_Sentiment!K$2:K$37,"",0,1),0),$A984-TEXT(DATEVALUE($D984&amp;"-01"), "dd-mm-yyyy")),0),0)</f>
        <v>123</v>
      </c>
      <c r="L984" cm="1">
        <f t="array" ref="L984">IF($Q984&gt;=0,IFERROR(generateSalesData($D984, IF(ISNUMBER(_xlfn.XLOOKUP($C984,Phone_by_Sentiment!$B$2:$B$37,Phone_by_Sentiment!L$2:L$37,"",0,1)),_xlfn.XLOOKUP($C984,Phone_by_Sentiment!$B$2:$B$37,Phone_by_Sentiment!L$2:L$37,"",0,1),0),$A984-TEXT(DATEVALUE($D984&amp;"-01"), "dd-mm-yyyy")),0),0)</f>
        <v>2</v>
      </c>
      <c r="M984" cm="1">
        <f t="array" ref="M984">IF($Q984&gt;=0,IFERROR(generateSalesData($D984, IF(ISNUMBER(_xlfn.XLOOKUP($C984,Phone_by_Sentiment!$B$2:$B$37,Phone_by_Sentiment!M$2:M$37,"",0,1)),_xlfn.XLOOKUP($C984,Phone_by_Sentiment!$B$2:$B$37,Phone_by_Sentiment!M$2:M$37,"",0,1),0),$A984-TEXT(DATEVALUE($D984&amp;"-01"), "dd-mm-yyyy")),0),0)</f>
        <v>412</v>
      </c>
      <c r="N984" cm="1">
        <f t="array" ref="N984">IF($Q984&gt;=0,IFERROR(generateSalesData($D984, IF(ISNUMBER(_xlfn.XLOOKUP($C984,Phone_by_Sentiment!$B$2:$B$37,Phone_by_Sentiment!N$2:N$37,"",0,1)),_xlfn.XLOOKUP($C984,Phone_by_Sentiment!$B$2:$B$37,Phone_by_Sentiment!N$2:N$37,"",0,1),0),$A984-TEXT(DATEVALUE($D984&amp;"-01"), "dd-mm-yyyy")),0),0)</f>
        <v>87</v>
      </c>
      <c r="O984" cm="1">
        <f t="array" ref="O984">IF($Q984&gt;=0,IFERROR(generateSalesData($D984, IF(ISNUMBER(_xlfn.XLOOKUP($C984,Phone_by_Sentiment!$B$2:$B$37,Phone_by_Sentiment!O$2:O$37,"",0,1)),_xlfn.XLOOKUP($C984,Phone_by_Sentiment!$B$2:$B$37,Phone_by_Sentiment!O$2:O$37,"",0,1),0),$A984-TEXT(DATEVALUE($D984&amp;"-01"), "dd-mm-yyyy")),0),0)</f>
        <v>270</v>
      </c>
      <c r="P984" s="1">
        <f t="shared" si="40"/>
        <v>43678</v>
      </c>
      <c r="Q984">
        <f t="shared" si="41"/>
        <v>639</v>
      </c>
    </row>
    <row r="985" spans="1:17" x14ac:dyDescent="0.25">
      <c r="A985" s="1">
        <f t="shared" si="42"/>
        <v>44317</v>
      </c>
      <c r="B985" t="s">
        <v>167</v>
      </c>
      <c r="C985" t="str">
        <f>_xlfn.XLOOKUP(B985,Phone_by_Price!$A$2:$A$34,Phone_by_Price!$B$2:$B$34,"-",0,1)</f>
        <v>Realme C21</v>
      </c>
      <c r="D985" t="str">
        <f>_xlfn.XLOOKUP(C985,Phone_by_Sentiment!$B$2:$B$37,Phone_by_Sentiment!$A$2:$A$37,"-",0,1)</f>
        <v>2021-04</v>
      </c>
      <c r="E985" cm="1">
        <f t="array" ref="E985">IF($Q985&gt;=0,IFERROR(generateSalesData($D985, IF(ISNUMBER(_xlfn.XLOOKUP($C985,Phone_by_Sentiment!$B$2:$B$37,Phone_by_Sentiment!E$2:E$37,"",0,1)),_xlfn.XLOOKUP($C985,Phone_by_Sentiment!$B$2:$B$37,Phone_by_Sentiment!E$2:E$37,"",0,1),0),$A985-TEXT(DATEVALUE($D985&amp;"-01"), "dd-mm-yyyy")),0),0)</f>
        <v>2680</v>
      </c>
      <c r="F985" cm="1">
        <f t="array" ref="F985">IF($Q985&gt;=0,IFERROR(generateSalesData($D985, IF(ISNUMBER(_xlfn.XLOOKUP($C985,Phone_by_Sentiment!$B$2:$B$37,Phone_by_Sentiment!F$2:F$37,"",0,1)),_xlfn.XLOOKUP($C985,Phone_by_Sentiment!$B$2:$B$37,Phone_by_Sentiment!F$2:F$37,"",0,1),0),$A985-TEXT(DATEVALUE($D985&amp;"-01"), "dd-mm-yyyy")),0),0)</f>
        <v>2303</v>
      </c>
      <c r="G985" cm="1">
        <f t="array" ref="G985">IF($Q985&gt;=0,IFERROR(generateSalesData($D985, IF(ISNUMBER(_xlfn.XLOOKUP($C985,Phone_by_Sentiment!$B$2:$B$37,Phone_by_Sentiment!G$2:G$37,"",0,1)),_xlfn.XLOOKUP($C985,Phone_by_Sentiment!$B$2:$B$37,Phone_by_Sentiment!G$2:G$37,"",0,1),0),$A985-TEXT(DATEVALUE($D985&amp;"-01"), "dd-mm-yyyy")),0),0)</f>
        <v>1421</v>
      </c>
      <c r="H985" cm="1">
        <f t="array" ref="H985">IF($Q985&gt;=0,IFERROR(generateSalesData($D985, IF(ISNUMBER(_xlfn.XLOOKUP($C985,Phone_by_Sentiment!$B$2:$B$37,Phone_by_Sentiment!H$2:H$37,"",0,1)),_xlfn.XLOOKUP($C985,Phone_by_Sentiment!$B$2:$B$37,Phone_by_Sentiment!H$2:H$37,"",0,1),0),$A985-TEXT(DATEVALUE($D985&amp;"-01"), "dd-mm-yyyy")),0),0)</f>
        <v>-1310</v>
      </c>
      <c r="I985" cm="1">
        <f t="array" ref="I985">IF($Q985&gt;=0,IFERROR(generateSalesData($D985, IF(ISNUMBER(_xlfn.XLOOKUP($C985,Phone_by_Sentiment!$B$2:$B$37,Phone_by_Sentiment!I$2:I$37,"",0,1)),_xlfn.XLOOKUP($C985,Phone_by_Sentiment!$B$2:$B$37,Phone_by_Sentiment!I$2:I$37,"",0,1),0),$A985-TEXT(DATEVALUE($D985&amp;"-01"), "dd-mm-yyyy")),0),0)</f>
        <v>8010</v>
      </c>
      <c r="J985" cm="1">
        <f t="array" ref="J985">IF($Q985&gt;=0,IFERROR(generateSalesData($D985, IF(ISNUMBER(_xlfn.XLOOKUP($C985,Phone_by_Sentiment!$B$2:$B$37,Phone_by_Sentiment!J$2:J$37,"",0,1)),_xlfn.XLOOKUP($C985,Phone_by_Sentiment!$B$2:$B$37,Phone_by_Sentiment!J$2:J$37,"",0,1),0),$A985-TEXT(DATEVALUE($D985&amp;"-01"), "dd-mm-yyyy")),0),0)</f>
        <v>1334</v>
      </c>
      <c r="K985" cm="1">
        <f t="array" ref="K985">IF($Q985&gt;=0,IFERROR(generateSalesData($D985, IF(ISNUMBER(_xlfn.XLOOKUP($C985,Phone_by_Sentiment!$B$2:$B$37,Phone_by_Sentiment!K$2:K$37,"",0,1)),_xlfn.XLOOKUP($C985,Phone_by_Sentiment!$B$2:$B$37,Phone_by_Sentiment!K$2:K$37,"",0,1),0),$A985-TEXT(DATEVALUE($D985&amp;"-01"), "dd-mm-yyyy")),0),0)</f>
        <v>7220</v>
      </c>
      <c r="L985" cm="1">
        <f t="array" ref="L985">IF($Q985&gt;=0,IFERROR(generateSalesData($D985, IF(ISNUMBER(_xlfn.XLOOKUP($C985,Phone_by_Sentiment!$B$2:$B$37,Phone_by_Sentiment!L$2:L$37,"",0,1)),_xlfn.XLOOKUP($C985,Phone_by_Sentiment!$B$2:$B$37,Phone_by_Sentiment!L$2:L$37,"",0,1),0),$A985-TEXT(DATEVALUE($D985&amp;"-01"), "dd-mm-yyyy")),0),0)</f>
        <v>5573</v>
      </c>
      <c r="M985" cm="1">
        <f t="array" ref="M985">IF($Q985&gt;=0,IFERROR(generateSalesData($D985, IF(ISNUMBER(_xlfn.XLOOKUP($C985,Phone_by_Sentiment!$B$2:$B$37,Phone_by_Sentiment!M$2:M$37,"",0,1)),_xlfn.XLOOKUP($C985,Phone_by_Sentiment!$B$2:$B$37,Phone_by_Sentiment!M$2:M$37,"",0,1),0),$A985-TEXT(DATEVALUE($D985&amp;"-01"), "dd-mm-yyyy")),0),0)</f>
        <v>2905</v>
      </c>
      <c r="N985" cm="1">
        <f t="array" ref="N985">IF($Q985&gt;=0,IFERROR(generateSalesData($D985, IF(ISNUMBER(_xlfn.XLOOKUP($C985,Phone_by_Sentiment!$B$2:$B$37,Phone_by_Sentiment!N$2:N$37,"",0,1)),_xlfn.XLOOKUP($C985,Phone_by_Sentiment!$B$2:$B$37,Phone_by_Sentiment!N$2:N$37,"",0,1),0),$A985-TEXT(DATEVALUE($D985&amp;"-01"), "dd-mm-yyyy")),0),0)</f>
        <v>3984</v>
      </c>
      <c r="O985" cm="1">
        <f t="array" ref="O985">IF($Q985&gt;=0,IFERROR(generateSalesData($D985, IF(ISNUMBER(_xlfn.XLOOKUP($C985,Phone_by_Sentiment!$B$2:$B$37,Phone_by_Sentiment!O$2:O$37,"",0,1)),_xlfn.XLOOKUP($C985,Phone_by_Sentiment!$B$2:$B$37,Phone_by_Sentiment!O$2:O$37,"",0,1),0),$A985-TEXT(DATEVALUE($D985&amp;"-01"), "dd-mm-yyyy")),0),0)</f>
        <v>725</v>
      </c>
      <c r="P985" s="1">
        <f t="shared" si="40"/>
        <v>44287</v>
      </c>
      <c r="Q985">
        <f t="shared" si="41"/>
        <v>30</v>
      </c>
    </row>
    <row r="986" spans="1:17" x14ac:dyDescent="0.25">
      <c r="A986" s="1">
        <f t="shared" si="42"/>
        <v>44317</v>
      </c>
      <c r="B986" t="s">
        <v>168</v>
      </c>
      <c r="C986" t="str">
        <f>_xlfn.XLOOKUP(B986,Phone_by_Price!$A$2:$A$34,Phone_by_Price!$B$2:$B$34,"-",0,1)</f>
        <v>Google Pixel 4</v>
      </c>
      <c r="D986" t="str">
        <f>_xlfn.XLOOKUP(C986,Phone_by_Sentiment!$B$2:$B$37,Phone_by_Sentiment!$A$2:$A$37,"-",0,1)</f>
        <v>2019-09</v>
      </c>
      <c r="E986" cm="1">
        <f t="array" ref="E986">IF($Q986&gt;=0,IFERROR(generateSalesData($D986, IF(ISNUMBER(_xlfn.XLOOKUP($C986,Phone_by_Sentiment!$B$2:$B$37,Phone_by_Sentiment!E$2:E$37,"",0,1)),_xlfn.XLOOKUP($C986,Phone_by_Sentiment!$B$2:$B$37,Phone_by_Sentiment!E$2:E$37,"",0,1),0),$A986-TEXT(DATEVALUE($D986&amp;"-01"), "dd-mm-yyyy")),0),0)</f>
        <v>386</v>
      </c>
      <c r="F986" cm="1">
        <f t="array" ref="F986">IF($Q986&gt;=0,IFERROR(generateSalesData($D986, IF(ISNUMBER(_xlfn.XLOOKUP($C986,Phone_by_Sentiment!$B$2:$B$37,Phone_by_Sentiment!F$2:F$37,"",0,1)),_xlfn.XLOOKUP($C986,Phone_by_Sentiment!$B$2:$B$37,Phone_by_Sentiment!F$2:F$37,"",0,1),0),$A986-TEXT(DATEVALUE($D986&amp;"-01"), "dd-mm-yyyy")),0),0)</f>
        <v>69</v>
      </c>
      <c r="G986" cm="1">
        <f t="array" ref="G986">IF($Q986&gt;=0,IFERROR(generateSalesData($D986, IF(ISNUMBER(_xlfn.XLOOKUP($C986,Phone_by_Sentiment!$B$2:$B$37,Phone_by_Sentiment!G$2:G$37,"",0,1)),_xlfn.XLOOKUP($C986,Phone_by_Sentiment!$B$2:$B$37,Phone_by_Sentiment!G$2:G$37,"",0,1),0),$A986-TEXT(DATEVALUE($D986&amp;"-01"), "dd-mm-yyyy")),0),0)</f>
        <v>115</v>
      </c>
      <c r="H986" cm="1">
        <f t="array" ref="H986">IF($Q986&gt;=0,IFERROR(generateSalesData($D986, IF(ISNUMBER(_xlfn.XLOOKUP($C986,Phone_by_Sentiment!$B$2:$B$37,Phone_by_Sentiment!H$2:H$37,"",0,1)),_xlfn.XLOOKUP($C986,Phone_by_Sentiment!$B$2:$B$37,Phone_by_Sentiment!H$2:H$37,"",0,1),0),$A986-TEXT(DATEVALUE($D986&amp;"-01"), "dd-mm-yyyy")),0),0)</f>
        <v>134</v>
      </c>
      <c r="I986" cm="1">
        <f t="array" ref="I986">IF($Q986&gt;=0,IFERROR(generateSalesData($D986, IF(ISNUMBER(_xlfn.XLOOKUP($C986,Phone_by_Sentiment!$B$2:$B$37,Phone_by_Sentiment!I$2:I$37,"",0,1)),_xlfn.XLOOKUP($C986,Phone_by_Sentiment!$B$2:$B$37,Phone_by_Sentiment!I$2:I$37,"",0,1),0),$A986-TEXT(DATEVALUE($D986&amp;"-01"), "dd-mm-yyyy")),0),0)</f>
        <v>149</v>
      </c>
      <c r="J986" cm="1">
        <f t="array" ref="J986">IF($Q986&gt;=0,IFERROR(generateSalesData($D986, IF(ISNUMBER(_xlfn.XLOOKUP($C986,Phone_by_Sentiment!$B$2:$B$37,Phone_by_Sentiment!J$2:J$37,"",0,1)),_xlfn.XLOOKUP($C986,Phone_by_Sentiment!$B$2:$B$37,Phone_by_Sentiment!J$2:J$37,"",0,1),0),$A986-TEXT(DATEVALUE($D986&amp;"-01"), "dd-mm-yyyy")),0),0)</f>
        <v>106</v>
      </c>
      <c r="K986" cm="1">
        <f t="array" ref="K986">IF($Q986&gt;=0,IFERROR(generateSalesData($D986, IF(ISNUMBER(_xlfn.XLOOKUP($C986,Phone_by_Sentiment!$B$2:$B$37,Phone_by_Sentiment!K$2:K$37,"",0,1)),_xlfn.XLOOKUP($C986,Phone_by_Sentiment!$B$2:$B$37,Phone_by_Sentiment!K$2:K$37,"",0,1),0),$A986-TEXT(DATEVALUE($D986&amp;"-01"), "dd-mm-yyyy")),0),0)</f>
        <v>116</v>
      </c>
      <c r="L986" cm="1">
        <f t="array" ref="L986">IF($Q986&gt;=0,IFERROR(generateSalesData($D986, IF(ISNUMBER(_xlfn.XLOOKUP($C986,Phone_by_Sentiment!$B$2:$B$37,Phone_by_Sentiment!L$2:L$37,"",0,1)),_xlfn.XLOOKUP($C986,Phone_by_Sentiment!$B$2:$B$37,Phone_by_Sentiment!L$2:L$37,"",0,1),0),$A986-TEXT(DATEVALUE($D986&amp;"-01"), "dd-mm-yyyy")),0),0)</f>
        <v>347</v>
      </c>
      <c r="M986" cm="1">
        <f t="array" ref="M986">IF($Q986&gt;=0,IFERROR(generateSalesData($D986, IF(ISNUMBER(_xlfn.XLOOKUP($C986,Phone_by_Sentiment!$B$2:$B$37,Phone_by_Sentiment!M$2:M$37,"",0,1)),_xlfn.XLOOKUP($C986,Phone_by_Sentiment!$B$2:$B$37,Phone_by_Sentiment!M$2:M$37,"",0,1),0),$A986-TEXT(DATEVALUE($D986&amp;"-01"), "dd-mm-yyyy")),0),0)</f>
        <v>170</v>
      </c>
      <c r="N986" cm="1">
        <f t="array" ref="N986">IF($Q986&gt;=0,IFERROR(generateSalesData($D986, IF(ISNUMBER(_xlfn.XLOOKUP($C986,Phone_by_Sentiment!$B$2:$B$37,Phone_by_Sentiment!N$2:N$37,"",0,1)),_xlfn.XLOOKUP($C986,Phone_by_Sentiment!$B$2:$B$37,Phone_by_Sentiment!N$2:N$37,"",0,1),0),$A986-TEXT(DATEVALUE($D986&amp;"-01"), "dd-mm-yyyy")),0),0)</f>
        <v>129</v>
      </c>
      <c r="O986" cm="1">
        <f t="array" ref="O986">IF($Q986&gt;=0,IFERROR(generateSalesData($D986, IF(ISNUMBER(_xlfn.XLOOKUP($C986,Phone_by_Sentiment!$B$2:$B$37,Phone_by_Sentiment!O$2:O$37,"",0,1)),_xlfn.XLOOKUP($C986,Phone_by_Sentiment!$B$2:$B$37,Phone_by_Sentiment!O$2:O$37,"",0,1),0),$A986-TEXT(DATEVALUE($D986&amp;"-01"), "dd-mm-yyyy")),0),0)</f>
        <v>-27</v>
      </c>
      <c r="P986" s="1">
        <f t="shared" si="40"/>
        <v>43709</v>
      </c>
      <c r="Q986">
        <f t="shared" si="41"/>
        <v>608</v>
      </c>
    </row>
    <row r="987" spans="1:17" x14ac:dyDescent="0.25">
      <c r="A987" s="1">
        <f t="shared" si="42"/>
        <v>44317</v>
      </c>
      <c r="B987" t="s">
        <v>169</v>
      </c>
      <c r="C987" t="str">
        <f>_xlfn.XLOOKUP(B987,Phone_by_Price!$A$2:$A$34,Phone_by_Price!$B$2:$B$34,"-",0,1)</f>
        <v>Samsung Galaxy A10s</v>
      </c>
      <c r="D987" t="str">
        <f>_xlfn.XLOOKUP(C987,Phone_by_Sentiment!$B$2:$B$37,Phone_by_Sentiment!$A$2:$A$37,"-",0,1)</f>
        <v>2019-08</v>
      </c>
      <c r="E987" cm="1">
        <f t="array" ref="E987">IF($Q987&gt;=0,IFERROR(generateSalesData($D987, IF(ISNUMBER(_xlfn.XLOOKUP($C987,Phone_by_Sentiment!$B$2:$B$37,Phone_by_Sentiment!E$2:E$37,"",0,1)),_xlfn.XLOOKUP($C987,Phone_by_Sentiment!$B$2:$B$37,Phone_by_Sentiment!E$2:E$37,"",0,1),0),$A987-TEXT(DATEVALUE($D987&amp;"-01"), "dd-mm-yyyy")),0),0)</f>
        <v>31</v>
      </c>
      <c r="F987" cm="1">
        <f t="array" ref="F987">IF($Q987&gt;=0,IFERROR(generateSalesData($D987, IF(ISNUMBER(_xlfn.XLOOKUP($C987,Phone_by_Sentiment!$B$2:$B$37,Phone_by_Sentiment!F$2:F$37,"",0,1)),_xlfn.XLOOKUP($C987,Phone_by_Sentiment!$B$2:$B$37,Phone_by_Sentiment!F$2:F$37,"",0,1),0),$A987-TEXT(DATEVALUE($D987&amp;"-01"), "dd-mm-yyyy")),0),0)</f>
        <v>323</v>
      </c>
      <c r="G987" cm="1">
        <f t="array" ref="G987">IF($Q987&gt;=0,IFERROR(generateSalesData($D987, IF(ISNUMBER(_xlfn.XLOOKUP($C987,Phone_by_Sentiment!$B$2:$B$37,Phone_by_Sentiment!G$2:G$37,"",0,1)),_xlfn.XLOOKUP($C987,Phone_by_Sentiment!$B$2:$B$37,Phone_by_Sentiment!G$2:G$37,"",0,1),0),$A987-TEXT(DATEVALUE($D987&amp;"-01"), "dd-mm-yyyy")),0),0)</f>
        <v>31</v>
      </c>
      <c r="H987" cm="1">
        <f t="array" ref="H987">IF($Q987&gt;=0,IFERROR(generateSalesData($D987, IF(ISNUMBER(_xlfn.XLOOKUP($C987,Phone_by_Sentiment!$B$2:$B$37,Phone_by_Sentiment!H$2:H$37,"",0,1)),_xlfn.XLOOKUP($C987,Phone_by_Sentiment!$B$2:$B$37,Phone_by_Sentiment!H$2:H$37,"",0,1),0),$A987-TEXT(DATEVALUE($D987&amp;"-01"), "dd-mm-yyyy")),0),0)</f>
        <v>151</v>
      </c>
      <c r="I987" cm="1">
        <f t="array" ref="I987">IF($Q987&gt;=0,IFERROR(generateSalesData($D987, IF(ISNUMBER(_xlfn.XLOOKUP($C987,Phone_by_Sentiment!$B$2:$B$37,Phone_by_Sentiment!I$2:I$37,"",0,1)),_xlfn.XLOOKUP($C987,Phone_by_Sentiment!$B$2:$B$37,Phone_by_Sentiment!I$2:I$37,"",0,1),0),$A987-TEXT(DATEVALUE($D987&amp;"-01"), "dd-mm-yyyy")),0),0)</f>
        <v>452</v>
      </c>
      <c r="J987" cm="1">
        <f t="array" ref="J987">IF($Q987&gt;=0,IFERROR(generateSalesData($D987, IF(ISNUMBER(_xlfn.XLOOKUP($C987,Phone_by_Sentiment!$B$2:$B$37,Phone_by_Sentiment!J$2:J$37,"",0,1)),_xlfn.XLOOKUP($C987,Phone_by_Sentiment!$B$2:$B$37,Phone_by_Sentiment!J$2:J$37,"",0,1),0),$A987-TEXT(DATEVALUE($D987&amp;"-01"), "dd-mm-yyyy")),0),0)</f>
        <v>310</v>
      </c>
      <c r="K987" cm="1">
        <f t="array" ref="K987">IF($Q987&gt;=0,IFERROR(generateSalesData($D987, IF(ISNUMBER(_xlfn.XLOOKUP($C987,Phone_by_Sentiment!$B$2:$B$37,Phone_by_Sentiment!K$2:K$37,"",0,1)),_xlfn.XLOOKUP($C987,Phone_by_Sentiment!$B$2:$B$37,Phone_by_Sentiment!K$2:K$37,"",0,1),0),$A987-TEXT(DATEVALUE($D987&amp;"-01"), "dd-mm-yyyy")),0),0)</f>
        <v>250</v>
      </c>
      <c r="L987" cm="1">
        <f t="array" ref="L987">IF($Q987&gt;=0,IFERROR(generateSalesData($D987, IF(ISNUMBER(_xlfn.XLOOKUP($C987,Phone_by_Sentiment!$B$2:$B$37,Phone_by_Sentiment!L$2:L$37,"",0,1)),_xlfn.XLOOKUP($C987,Phone_by_Sentiment!$B$2:$B$37,Phone_by_Sentiment!L$2:L$37,"",0,1),0),$A987-TEXT(DATEVALUE($D987&amp;"-01"), "dd-mm-yyyy")),0),0)</f>
        <v>36</v>
      </c>
      <c r="M987" cm="1">
        <f t="array" ref="M987">IF($Q987&gt;=0,IFERROR(generateSalesData($D987, IF(ISNUMBER(_xlfn.XLOOKUP($C987,Phone_by_Sentiment!$B$2:$B$37,Phone_by_Sentiment!M$2:M$37,"",0,1)),_xlfn.XLOOKUP($C987,Phone_by_Sentiment!$B$2:$B$37,Phone_by_Sentiment!M$2:M$37,"",0,1),0),$A987-TEXT(DATEVALUE($D987&amp;"-01"), "dd-mm-yyyy")),0),0)</f>
        <v>378</v>
      </c>
      <c r="N987" cm="1">
        <f t="array" ref="N987">IF($Q987&gt;=0,IFERROR(generateSalesData($D987, IF(ISNUMBER(_xlfn.XLOOKUP($C987,Phone_by_Sentiment!$B$2:$B$37,Phone_by_Sentiment!N$2:N$37,"",0,1)),_xlfn.XLOOKUP($C987,Phone_by_Sentiment!$B$2:$B$37,Phone_by_Sentiment!N$2:N$37,"",0,1),0),$A987-TEXT(DATEVALUE($D987&amp;"-01"), "dd-mm-yyyy")),0),0)</f>
        <v>24</v>
      </c>
      <c r="O987" cm="1">
        <f t="array" ref="O987">IF($Q987&gt;=0,IFERROR(generateSalesData($D987, IF(ISNUMBER(_xlfn.XLOOKUP($C987,Phone_by_Sentiment!$B$2:$B$37,Phone_by_Sentiment!O$2:O$37,"",0,1)),_xlfn.XLOOKUP($C987,Phone_by_Sentiment!$B$2:$B$37,Phone_by_Sentiment!O$2:O$37,"",0,1),0),$A987-TEXT(DATEVALUE($D987&amp;"-01"), "dd-mm-yyyy")),0),0)</f>
        <v>138</v>
      </c>
      <c r="P987" s="1">
        <f t="shared" si="40"/>
        <v>43678</v>
      </c>
      <c r="Q987">
        <f t="shared" si="41"/>
        <v>639</v>
      </c>
    </row>
    <row r="988" spans="1:17" x14ac:dyDescent="0.25">
      <c r="A988" s="1">
        <f t="shared" si="42"/>
        <v>44317</v>
      </c>
      <c r="B988" t="s">
        <v>170</v>
      </c>
      <c r="C988" t="str">
        <f>_xlfn.XLOOKUP(B988,Phone_by_Price!$A$2:$A$34,Phone_by_Price!$B$2:$B$34,"-",0,1)</f>
        <v>Realme Narzo 30A</v>
      </c>
      <c r="D988" t="str">
        <f>_xlfn.XLOOKUP(C988,Phone_by_Sentiment!$B$2:$B$37,Phone_by_Sentiment!$A$2:$A$37,"-",0,1)</f>
        <v>2021-02</v>
      </c>
      <c r="E988" cm="1">
        <f t="array" ref="E988">IF($Q988&gt;=0,IFERROR(generateSalesData($D988, IF(ISNUMBER(_xlfn.XLOOKUP($C988,Phone_by_Sentiment!$B$2:$B$37,Phone_by_Sentiment!E$2:E$37,"",0,1)),_xlfn.XLOOKUP($C988,Phone_by_Sentiment!$B$2:$B$37,Phone_by_Sentiment!E$2:E$37,"",0,1),0),$A988-TEXT(DATEVALUE($D988&amp;"-01"), "dd-mm-yyyy")),0),0)</f>
        <v>462</v>
      </c>
      <c r="F988" cm="1">
        <f t="array" ref="F988">IF($Q988&gt;=0,IFERROR(generateSalesData($D988, IF(ISNUMBER(_xlfn.XLOOKUP($C988,Phone_by_Sentiment!$B$2:$B$37,Phone_by_Sentiment!F$2:F$37,"",0,1)),_xlfn.XLOOKUP($C988,Phone_by_Sentiment!$B$2:$B$37,Phone_by_Sentiment!F$2:F$37,"",0,1),0),$A988-TEXT(DATEVALUE($D988&amp;"-01"), "dd-mm-yyyy")),0),0)</f>
        <v>608</v>
      </c>
      <c r="G988" cm="1">
        <f t="array" ref="G988">IF($Q988&gt;=0,IFERROR(generateSalesData($D988, IF(ISNUMBER(_xlfn.XLOOKUP($C988,Phone_by_Sentiment!$B$2:$B$37,Phone_by_Sentiment!G$2:G$37,"",0,1)),_xlfn.XLOOKUP($C988,Phone_by_Sentiment!$B$2:$B$37,Phone_by_Sentiment!G$2:G$37,"",0,1),0),$A988-TEXT(DATEVALUE($D988&amp;"-01"), "dd-mm-yyyy")),0),0)</f>
        <v>579</v>
      </c>
      <c r="H988" cm="1">
        <f t="array" ref="H988">IF($Q988&gt;=0,IFERROR(generateSalesData($D988, IF(ISNUMBER(_xlfn.XLOOKUP($C988,Phone_by_Sentiment!$B$2:$B$37,Phone_by_Sentiment!H$2:H$37,"",0,1)),_xlfn.XLOOKUP($C988,Phone_by_Sentiment!$B$2:$B$37,Phone_by_Sentiment!H$2:H$37,"",0,1),0),$A988-TEXT(DATEVALUE($D988&amp;"-01"), "dd-mm-yyyy")),0),0)</f>
        <v>2562</v>
      </c>
      <c r="I988" cm="1">
        <f t="array" ref="I988">IF($Q988&gt;=0,IFERROR(generateSalesData($D988, IF(ISNUMBER(_xlfn.XLOOKUP($C988,Phone_by_Sentiment!$B$2:$B$37,Phone_by_Sentiment!I$2:I$37,"",0,1)),_xlfn.XLOOKUP($C988,Phone_by_Sentiment!$B$2:$B$37,Phone_by_Sentiment!I$2:I$37,"",0,1),0),$A988-TEXT(DATEVALUE($D988&amp;"-01"), "dd-mm-yyyy")),0),0)</f>
        <v>1538</v>
      </c>
      <c r="J988" cm="1">
        <f t="array" ref="J988">IF($Q988&gt;=0,IFERROR(generateSalesData($D988, IF(ISNUMBER(_xlfn.XLOOKUP($C988,Phone_by_Sentiment!$B$2:$B$37,Phone_by_Sentiment!J$2:J$37,"",0,1)),_xlfn.XLOOKUP($C988,Phone_by_Sentiment!$B$2:$B$37,Phone_by_Sentiment!J$2:J$37,"",0,1),0),$A988-TEXT(DATEVALUE($D988&amp;"-01"), "dd-mm-yyyy")),0),0)</f>
        <v>671</v>
      </c>
      <c r="K988" cm="1">
        <f t="array" ref="K988">IF($Q988&gt;=0,IFERROR(generateSalesData($D988, IF(ISNUMBER(_xlfn.XLOOKUP($C988,Phone_by_Sentiment!$B$2:$B$37,Phone_by_Sentiment!K$2:K$37,"",0,1)),_xlfn.XLOOKUP($C988,Phone_by_Sentiment!$B$2:$B$37,Phone_by_Sentiment!K$2:K$37,"",0,1),0),$A988-TEXT(DATEVALUE($D988&amp;"-01"), "dd-mm-yyyy")),0),0)</f>
        <v>3523</v>
      </c>
      <c r="L988" cm="1">
        <f t="array" ref="L988">IF($Q988&gt;=0,IFERROR(generateSalesData($D988, IF(ISNUMBER(_xlfn.XLOOKUP($C988,Phone_by_Sentiment!$B$2:$B$37,Phone_by_Sentiment!L$2:L$37,"",0,1)),_xlfn.XLOOKUP($C988,Phone_by_Sentiment!$B$2:$B$37,Phone_by_Sentiment!L$2:L$37,"",0,1),0),$A988-TEXT(DATEVALUE($D988&amp;"-01"), "dd-mm-yyyy")),0),0)</f>
        <v>75</v>
      </c>
      <c r="M988" cm="1">
        <f t="array" ref="M988">IF($Q988&gt;=0,IFERROR(generateSalesData($D988, IF(ISNUMBER(_xlfn.XLOOKUP($C988,Phone_by_Sentiment!$B$2:$B$37,Phone_by_Sentiment!M$2:M$37,"",0,1)),_xlfn.XLOOKUP($C988,Phone_by_Sentiment!$B$2:$B$37,Phone_by_Sentiment!M$2:M$37,"",0,1),0),$A988-TEXT(DATEVALUE($D988&amp;"-01"), "dd-mm-yyyy")),0),0)</f>
        <v>577</v>
      </c>
      <c r="N988" cm="1">
        <f t="array" ref="N988">IF($Q988&gt;=0,IFERROR(generateSalesData($D988, IF(ISNUMBER(_xlfn.XLOOKUP($C988,Phone_by_Sentiment!$B$2:$B$37,Phone_by_Sentiment!N$2:N$37,"",0,1)),_xlfn.XLOOKUP($C988,Phone_by_Sentiment!$B$2:$B$37,Phone_by_Sentiment!N$2:N$37,"",0,1),0),$A988-TEXT(DATEVALUE($D988&amp;"-01"), "dd-mm-yyyy")),0),0)</f>
        <v>1630</v>
      </c>
      <c r="O988" cm="1">
        <f t="array" ref="O988">IF($Q988&gt;=0,IFERROR(generateSalesData($D988, IF(ISNUMBER(_xlfn.XLOOKUP($C988,Phone_by_Sentiment!$B$2:$B$37,Phone_by_Sentiment!O$2:O$37,"",0,1)),_xlfn.XLOOKUP($C988,Phone_by_Sentiment!$B$2:$B$37,Phone_by_Sentiment!O$2:O$37,"",0,1),0),$A988-TEXT(DATEVALUE($D988&amp;"-01"), "dd-mm-yyyy")),0),0)</f>
        <v>826</v>
      </c>
      <c r="P988" s="1">
        <f t="shared" si="40"/>
        <v>44228</v>
      </c>
      <c r="Q988">
        <f t="shared" si="41"/>
        <v>89</v>
      </c>
    </row>
    <row r="989" spans="1:17" x14ac:dyDescent="0.25">
      <c r="A989" s="1">
        <f t="shared" si="42"/>
        <v>44317</v>
      </c>
      <c r="B989" t="s">
        <v>171</v>
      </c>
      <c r="C989" t="str">
        <f>_xlfn.XLOOKUP(B989,Phone_by_Price!$A$2:$A$34,Phone_by_Price!$B$2:$B$34,"-",0,1)</f>
        <v>Samsung Galaxy A22 5G</v>
      </c>
      <c r="D989" t="str">
        <f>_xlfn.XLOOKUP(C989,Phone_by_Sentiment!$B$2:$B$37,Phone_by_Sentiment!$A$2:$A$37,"-",0,1)</f>
        <v>2021-05</v>
      </c>
      <c r="E989" cm="1">
        <f t="array" ref="E989">IF($Q989&gt;=0,IFERROR(generateSalesData($D989, IF(ISNUMBER(_xlfn.XLOOKUP($C989,Phone_by_Sentiment!$B$2:$B$37,Phone_by_Sentiment!E$2:E$37,"",0,1)),_xlfn.XLOOKUP($C989,Phone_by_Sentiment!$B$2:$B$37,Phone_by_Sentiment!E$2:E$37,"",0,1),0),$A989-TEXT(DATEVALUE($D989&amp;"-01"), "dd-mm-yyyy")),0),0)</f>
        <v>8059</v>
      </c>
      <c r="F989" cm="1">
        <f t="array" ref="F989">IF($Q989&gt;=0,IFERROR(generateSalesData($D989, IF(ISNUMBER(_xlfn.XLOOKUP($C989,Phone_by_Sentiment!$B$2:$B$37,Phone_by_Sentiment!F$2:F$37,"",0,1)),_xlfn.XLOOKUP($C989,Phone_by_Sentiment!$B$2:$B$37,Phone_by_Sentiment!F$2:F$37,"",0,1),0),$A989-TEXT(DATEVALUE($D989&amp;"-01"), "dd-mm-yyyy")),0),0)</f>
        <v>6850</v>
      </c>
      <c r="G989" cm="1">
        <f t="array" ref="G989">IF($Q989&gt;=0,IFERROR(generateSalesData($D989, IF(ISNUMBER(_xlfn.XLOOKUP($C989,Phone_by_Sentiment!$B$2:$B$37,Phone_by_Sentiment!G$2:G$37,"",0,1)),_xlfn.XLOOKUP($C989,Phone_by_Sentiment!$B$2:$B$37,Phone_by_Sentiment!G$2:G$37,"",0,1),0),$A989-TEXT(DATEVALUE($D989&amp;"-01"), "dd-mm-yyyy")),0),0)</f>
        <v>2024</v>
      </c>
      <c r="H989" cm="1">
        <f t="array" ref="H989">IF($Q989&gt;=0,IFERROR(generateSalesData($D989, IF(ISNUMBER(_xlfn.XLOOKUP($C989,Phone_by_Sentiment!$B$2:$B$37,Phone_by_Sentiment!H$2:H$37,"",0,1)),_xlfn.XLOOKUP($C989,Phone_by_Sentiment!$B$2:$B$37,Phone_by_Sentiment!H$2:H$37,"",0,1),0),$A989-TEXT(DATEVALUE($D989&amp;"-01"), "dd-mm-yyyy")),0),0)</f>
        <v>9644</v>
      </c>
      <c r="I989" cm="1">
        <f t="array" ref="I989">IF($Q989&gt;=0,IFERROR(generateSalesData($D989, IF(ISNUMBER(_xlfn.XLOOKUP($C989,Phone_by_Sentiment!$B$2:$B$37,Phone_by_Sentiment!I$2:I$37,"",0,1)),_xlfn.XLOOKUP($C989,Phone_by_Sentiment!$B$2:$B$37,Phone_by_Sentiment!I$2:I$37,"",0,1),0),$A989-TEXT(DATEVALUE($D989&amp;"-01"), "dd-mm-yyyy")),0),0)</f>
        <v>11359</v>
      </c>
      <c r="J989" cm="1">
        <f t="array" ref="J989">IF($Q989&gt;=0,IFERROR(generateSalesData($D989, IF(ISNUMBER(_xlfn.XLOOKUP($C989,Phone_by_Sentiment!$B$2:$B$37,Phone_by_Sentiment!J$2:J$37,"",0,1)),_xlfn.XLOOKUP($C989,Phone_by_Sentiment!$B$2:$B$37,Phone_by_Sentiment!J$2:J$37,"",0,1),0),$A989-TEXT(DATEVALUE($D989&amp;"-01"), "dd-mm-yyyy")),0),0)</f>
        <v>-527</v>
      </c>
      <c r="K989" cm="1">
        <f t="array" ref="K989">IF($Q989&gt;=0,IFERROR(generateSalesData($D989, IF(ISNUMBER(_xlfn.XLOOKUP($C989,Phone_by_Sentiment!$B$2:$B$37,Phone_by_Sentiment!K$2:K$37,"",0,1)),_xlfn.XLOOKUP($C989,Phone_by_Sentiment!$B$2:$B$37,Phone_by_Sentiment!K$2:K$37,"",0,1),0),$A989-TEXT(DATEVALUE($D989&amp;"-01"), "dd-mm-yyyy")),0),0)</f>
        <v>11422</v>
      </c>
      <c r="L989" cm="1">
        <f t="array" ref="L989">IF($Q989&gt;=0,IFERROR(generateSalesData($D989, IF(ISNUMBER(_xlfn.XLOOKUP($C989,Phone_by_Sentiment!$B$2:$B$37,Phone_by_Sentiment!L$2:L$37,"",0,1)),_xlfn.XLOOKUP($C989,Phone_by_Sentiment!$B$2:$B$37,Phone_by_Sentiment!L$2:L$37,"",0,1),0),$A989-TEXT(DATEVALUE($D989&amp;"-01"), "dd-mm-yyyy")),0),0)</f>
        <v>6278</v>
      </c>
      <c r="M989" cm="1">
        <f t="array" ref="M989">IF($Q989&gt;=0,IFERROR(generateSalesData($D989, IF(ISNUMBER(_xlfn.XLOOKUP($C989,Phone_by_Sentiment!$B$2:$B$37,Phone_by_Sentiment!M$2:M$37,"",0,1)),_xlfn.XLOOKUP($C989,Phone_by_Sentiment!$B$2:$B$37,Phone_by_Sentiment!M$2:M$37,"",0,1),0),$A989-TEXT(DATEVALUE($D989&amp;"-01"), "dd-mm-yyyy")),0),0)</f>
        <v>8000</v>
      </c>
      <c r="N989" cm="1">
        <f t="array" ref="N989">IF($Q989&gt;=0,IFERROR(generateSalesData($D989, IF(ISNUMBER(_xlfn.XLOOKUP($C989,Phone_by_Sentiment!$B$2:$B$37,Phone_by_Sentiment!N$2:N$37,"",0,1)),_xlfn.XLOOKUP($C989,Phone_by_Sentiment!$B$2:$B$37,Phone_by_Sentiment!N$2:N$37,"",0,1),0),$A989-TEXT(DATEVALUE($D989&amp;"-01"), "dd-mm-yyyy")),0),0)</f>
        <v>11053</v>
      </c>
      <c r="O989" cm="1">
        <f t="array" ref="O989">IF($Q989&gt;=0,IFERROR(generateSalesData($D989, IF(ISNUMBER(_xlfn.XLOOKUP($C989,Phone_by_Sentiment!$B$2:$B$37,Phone_by_Sentiment!O$2:O$37,"",0,1)),_xlfn.XLOOKUP($C989,Phone_by_Sentiment!$B$2:$B$37,Phone_by_Sentiment!O$2:O$37,"",0,1),0),$A989-TEXT(DATEVALUE($D989&amp;"-01"), "dd-mm-yyyy")),0),0)</f>
        <v>10589</v>
      </c>
      <c r="P989" s="1">
        <f t="shared" si="40"/>
        <v>44317</v>
      </c>
      <c r="Q989">
        <f t="shared" si="41"/>
        <v>0</v>
      </c>
    </row>
    <row r="990" spans="1:17" x14ac:dyDescent="0.25">
      <c r="A990" s="1">
        <f t="shared" si="42"/>
        <v>44317</v>
      </c>
      <c r="B990" t="s">
        <v>172</v>
      </c>
      <c r="C990" t="str">
        <f>_xlfn.XLOOKUP(B990,Phone_by_Price!$A$2:$A$34,Phone_by_Price!$B$2:$B$34,"-",0,1)</f>
        <v>Xiaomi Redmi 9</v>
      </c>
      <c r="D990" t="str">
        <f>_xlfn.XLOOKUP(C990,Phone_by_Sentiment!$B$2:$B$37,Phone_by_Sentiment!$A$2:$A$37,"-",0,1)</f>
        <v>2020-08</v>
      </c>
      <c r="E990" cm="1">
        <f t="array" ref="E990">IF($Q990&gt;=0,IFERROR(generateSalesData($D990, IF(ISNUMBER(_xlfn.XLOOKUP($C990,Phone_by_Sentiment!$B$2:$B$37,Phone_by_Sentiment!E$2:E$37,"",0,1)),_xlfn.XLOOKUP($C990,Phone_by_Sentiment!$B$2:$B$37,Phone_by_Sentiment!E$2:E$37,"",0,1),0),$A990-TEXT(DATEVALUE($D990&amp;"-01"), "dd-mm-yyyy")),0),0)</f>
        <v>-18</v>
      </c>
      <c r="F990" cm="1">
        <f t="array" ref="F990">IF($Q990&gt;=0,IFERROR(generateSalesData($D990, IF(ISNUMBER(_xlfn.XLOOKUP($C990,Phone_by_Sentiment!$B$2:$B$37,Phone_by_Sentiment!F$2:F$37,"",0,1)),_xlfn.XLOOKUP($C990,Phone_by_Sentiment!$B$2:$B$37,Phone_by_Sentiment!F$2:F$37,"",0,1),0),$A990-TEXT(DATEVALUE($D990&amp;"-01"), "dd-mm-yyyy")),0),0)</f>
        <v>469</v>
      </c>
      <c r="G990" cm="1">
        <f t="array" ref="G990">IF($Q990&gt;=0,IFERROR(generateSalesData($D990, IF(ISNUMBER(_xlfn.XLOOKUP($C990,Phone_by_Sentiment!$B$2:$B$37,Phone_by_Sentiment!G$2:G$37,"",0,1)),_xlfn.XLOOKUP($C990,Phone_by_Sentiment!$B$2:$B$37,Phone_by_Sentiment!G$2:G$37,"",0,1),0),$A990-TEXT(DATEVALUE($D990&amp;"-01"), "dd-mm-yyyy")),0),0)</f>
        <v>126</v>
      </c>
      <c r="H990" cm="1">
        <f t="array" ref="H990">IF($Q990&gt;=0,IFERROR(generateSalesData($D990, IF(ISNUMBER(_xlfn.XLOOKUP($C990,Phone_by_Sentiment!$B$2:$B$37,Phone_by_Sentiment!H$2:H$37,"",0,1)),_xlfn.XLOOKUP($C990,Phone_by_Sentiment!$B$2:$B$37,Phone_by_Sentiment!H$2:H$37,"",0,1),0),$A990-TEXT(DATEVALUE($D990&amp;"-01"), "dd-mm-yyyy")),0),0)</f>
        <v>876</v>
      </c>
      <c r="I990" cm="1">
        <f t="array" ref="I990">IF($Q990&gt;=0,IFERROR(generateSalesData($D990, IF(ISNUMBER(_xlfn.XLOOKUP($C990,Phone_by_Sentiment!$B$2:$B$37,Phone_by_Sentiment!I$2:I$37,"",0,1)),_xlfn.XLOOKUP($C990,Phone_by_Sentiment!$B$2:$B$37,Phone_by_Sentiment!I$2:I$37,"",0,1),0),$A990-TEXT(DATEVALUE($D990&amp;"-01"), "dd-mm-yyyy")),0),0)</f>
        <v>181</v>
      </c>
      <c r="J990" cm="1">
        <f t="array" ref="J990">IF($Q990&gt;=0,IFERROR(generateSalesData($D990, IF(ISNUMBER(_xlfn.XLOOKUP($C990,Phone_by_Sentiment!$B$2:$B$37,Phone_by_Sentiment!J$2:J$37,"",0,1)),_xlfn.XLOOKUP($C990,Phone_by_Sentiment!$B$2:$B$37,Phone_by_Sentiment!J$2:J$37,"",0,1),0),$A990-TEXT(DATEVALUE($D990&amp;"-01"), "dd-mm-yyyy")),0),0)</f>
        <v>304</v>
      </c>
      <c r="K990" cm="1">
        <f t="array" ref="K990">IF($Q990&gt;=0,IFERROR(generateSalesData($D990, IF(ISNUMBER(_xlfn.XLOOKUP($C990,Phone_by_Sentiment!$B$2:$B$37,Phone_by_Sentiment!K$2:K$37,"",0,1)),_xlfn.XLOOKUP($C990,Phone_by_Sentiment!$B$2:$B$37,Phone_by_Sentiment!K$2:K$37,"",0,1),0),$A990-TEXT(DATEVALUE($D990&amp;"-01"), "dd-mm-yyyy")),0),0)</f>
        <v>726</v>
      </c>
      <c r="L990" cm="1">
        <f t="array" ref="L990">IF($Q990&gt;=0,IFERROR(generateSalesData($D990, IF(ISNUMBER(_xlfn.XLOOKUP($C990,Phone_by_Sentiment!$B$2:$B$37,Phone_by_Sentiment!L$2:L$37,"",0,1)),_xlfn.XLOOKUP($C990,Phone_by_Sentiment!$B$2:$B$37,Phone_by_Sentiment!L$2:L$37,"",0,1),0),$A990-TEXT(DATEVALUE($D990&amp;"-01"), "dd-mm-yyyy")),0),0)</f>
        <v>92</v>
      </c>
      <c r="M990" cm="1">
        <f t="array" ref="M990">IF($Q990&gt;=0,IFERROR(generateSalesData($D990, IF(ISNUMBER(_xlfn.XLOOKUP($C990,Phone_by_Sentiment!$B$2:$B$37,Phone_by_Sentiment!M$2:M$37,"",0,1)),_xlfn.XLOOKUP($C990,Phone_by_Sentiment!$B$2:$B$37,Phone_by_Sentiment!M$2:M$37,"",0,1),0),$A990-TEXT(DATEVALUE($D990&amp;"-01"), "dd-mm-yyyy")),0),0)</f>
        <v>1192</v>
      </c>
      <c r="N990" cm="1">
        <f t="array" ref="N990">IF($Q990&gt;=0,IFERROR(generateSalesData($D990, IF(ISNUMBER(_xlfn.XLOOKUP($C990,Phone_by_Sentiment!$B$2:$B$37,Phone_by_Sentiment!N$2:N$37,"",0,1)),_xlfn.XLOOKUP($C990,Phone_by_Sentiment!$B$2:$B$37,Phone_by_Sentiment!N$2:N$37,"",0,1),0),$A990-TEXT(DATEVALUE($D990&amp;"-01"), "dd-mm-yyyy")),0),0)</f>
        <v>231</v>
      </c>
      <c r="O990" cm="1">
        <f t="array" ref="O990">IF($Q990&gt;=0,IFERROR(generateSalesData($D990, IF(ISNUMBER(_xlfn.XLOOKUP($C990,Phone_by_Sentiment!$B$2:$B$37,Phone_by_Sentiment!O$2:O$37,"",0,1)),_xlfn.XLOOKUP($C990,Phone_by_Sentiment!$B$2:$B$37,Phone_by_Sentiment!O$2:O$37,"",0,1),0),$A990-TEXT(DATEVALUE($D990&amp;"-01"), "dd-mm-yyyy")),0),0)</f>
        <v>311</v>
      </c>
      <c r="P990" s="1">
        <f t="shared" si="40"/>
        <v>44044</v>
      </c>
      <c r="Q990">
        <f t="shared" si="41"/>
        <v>273</v>
      </c>
    </row>
    <row r="991" spans="1:17" x14ac:dyDescent="0.25">
      <c r="A991" s="1">
        <f t="shared" si="42"/>
        <v>44317</v>
      </c>
      <c r="B991" t="s">
        <v>173</v>
      </c>
      <c r="C991" t="str">
        <f>_xlfn.XLOOKUP(B991,Phone_by_Price!$A$2:$A$34,Phone_by_Price!$B$2:$B$34,"-",0,1)</f>
        <v>Realme C3</v>
      </c>
      <c r="D991" t="str">
        <f>_xlfn.XLOOKUP(C991,Phone_by_Sentiment!$B$2:$B$37,Phone_by_Sentiment!$A$2:$A$37,"-",0,1)</f>
        <v>2020-02</v>
      </c>
      <c r="E991" cm="1">
        <f t="array" ref="E991">IF($Q991&gt;=0,IFERROR(generateSalesData($D991, IF(ISNUMBER(_xlfn.XLOOKUP($C991,Phone_by_Sentiment!$B$2:$B$37,Phone_by_Sentiment!E$2:E$37,"",0,1)),_xlfn.XLOOKUP($C991,Phone_by_Sentiment!$B$2:$B$37,Phone_by_Sentiment!E$2:E$37,"",0,1),0),$A991-TEXT(DATEVALUE($D991&amp;"-01"), "dd-mm-yyyy")),0),0)</f>
        <v>82</v>
      </c>
      <c r="F991" cm="1">
        <f t="array" ref="F991">IF($Q991&gt;=0,IFERROR(generateSalesData($D991, IF(ISNUMBER(_xlfn.XLOOKUP($C991,Phone_by_Sentiment!$B$2:$B$37,Phone_by_Sentiment!F$2:F$37,"",0,1)),_xlfn.XLOOKUP($C991,Phone_by_Sentiment!$B$2:$B$37,Phone_by_Sentiment!F$2:F$37,"",0,1),0),$A991-TEXT(DATEVALUE($D991&amp;"-01"), "dd-mm-yyyy")),0),0)</f>
        <v>218</v>
      </c>
      <c r="G991" cm="1">
        <f t="array" ref="G991">IF($Q991&gt;=0,IFERROR(generateSalesData($D991, IF(ISNUMBER(_xlfn.XLOOKUP($C991,Phone_by_Sentiment!$B$2:$B$37,Phone_by_Sentiment!G$2:G$37,"",0,1)),_xlfn.XLOOKUP($C991,Phone_by_Sentiment!$B$2:$B$37,Phone_by_Sentiment!G$2:G$37,"",0,1),0),$A991-TEXT(DATEVALUE($D991&amp;"-01"), "dd-mm-yyyy")),0),0)</f>
        <v>142</v>
      </c>
      <c r="H991" cm="1">
        <f t="array" ref="H991">IF($Q991&gt;=0,IFERROR(generateSalesData($D991, IF(ISNUMBER(_xlfn.XLOOKUP($C991,Phone_by_Sentiment!$B$2:$B$37,Phone_by_Sentiment!H$2:H$37,"",0,1)),_xlfn.XLOOKUP($C991,Phone_by_Sentiment!$B$2:$B$37,Phone_by_Sentiment!H$2:H$37,"",0,1),0),$A991-TEXT(DATEVALUE($D991&amp;"-01"), "dd-mm-yyyy")),0),0)</f>
        <v>432</v>
      </c>
      <c r="I991" cm="1">
        <f t="array" ref="I991">IF($Q991&gt;=0,IFERROR(generateSalesData($D991, IF(ISNUMBER(_xlfn.XLOOKUP($C991,Phone_by_Sentiment!$B$2:$B$37,Phone_by_Sentiment!I$2:I$37,"",0,1)),_xlfn.XLOOKUP($C991,Phone_by_Sentiment!$B$2:$B$37,Phone_by_Sentiment!I$2:I$37,"",0,1),0),$A991-TEXT(DATEVALUE($D991&amp;"-01"), "dd-mm-yyyy")),0),0)</f>
        <v>424</v>
      </c>
      <c r="J991" cm="1">
        <f t="array" ref="J991">IF($Q991&gt;=0,IFERROR(generateSalesData($D991, IF(ISNUMBER(_xlfn.XLOOKUP($C991,Phone_by_Sentiment!$B$2:$B$37,Phone_by_Sentiment!J$2:J$37,"",0,1)),_xlfn.XLOOKUP($C991,Phone_by_Sentiment!$B$2:$B$37,Phone_by_Sentiment!J$2:J$37,"",0,1),0),$A991-TEXT(DATEVALUE($D991&amp;"-01"), "dd-mm-yyyy")),0),0)</f>
        <v>73</v>
      </c>
      <c r="K991" cm="1">
        <f t="array" ref="K991">IF($Q991&gt;=0,IFERROR(generateSalesData($D991, IF(ISNUMBER(_xlfn.XLOOKUP($C991,Phone_by_Sentiment!$B$2:$B$37,Phone_by_Sentiment!K$2:K$37,"",0,1)),_xlfn.XLOOKUP($C991,Phone_by_Sentiment!$B$2:$B$37,Phone_by_Sentiment!K$2:K$37,"",0,1),0),$A991-TEXT(DATEVALUE($D991&amp;"-01"), "dd-mm-yyyy")),0),0)</f>
        <v>388</v>
      </c>
      <c r="L991" cm="1">
        <f t="array" ref="L991">IF($Q991&gt;=0,IFERROR(generateSalesData($D991, IF(ISNUMBER(_xlfn.XLOOKUP($C991,Phone_by_Sentiment!$B$2:$B$37,Phone_by_Sentiment!L$2:L$37,"",0,1)),_xlfn.XLOOKUP($C991,Phone_by_Sentiment!$B$2:$B$37,Phone_by_Sentiment!L$2:L$37,"",0,1),0),$A991-TEXT(DATEVALUE($D991&amp;"-01"), "dd-mm-yyyy")),0),0)</f>
        <v>497</v>
      </c>
      <c r="M991" cm="1">
        <f t="array" ref="M991">IF($Q991&gt;=0,IFERROR(generateSalesData($D991, IF(ISNUMBER(_xlfn.XLOOKUP($C991,Phone_by_Sentiment!$B$2:$B$37,Phone_by_Sentiment!M$2:M$37,"",0,1)),_xlfn.XLOOKUP($C991,Phone_by_Sentiment!$B$2:$B$37,Phone_by_Sentiment!M$2:M$37,"",0,1),0),$A991-TEXT(DATEVALUE($D991&amp;"-01"), "dd-mm-yyyy")),0),0)</f>
        <v>218</v>
      </c>
      <c r="N991" cm="1">
        <f t="array" ref="N991">IF($Q991&gt;=0,IFERROR(generateSalesData($D991, IF(ISNUMBER(_xlfn.XLOOKUP($C991,Phone_by_Sentiment!$B$2:$B$37,Phone_by_Sentiment!N$2:N$37,"",0,1)),_xlfn.XLOOKUP($C991,Phone_by_Sentiment!$B$2:$B$37,Phone_by_Sentiment!N$2:N$37,"",0,1),0),$A991-TEXT(DATEVALUE($D991&amp;"-01"), "dd-mm-yyyy")),0),0)</f>
        <v>480</v>
      </c>
      <c r="O991" cm="1">
        <f t="array" ref="O991">IF($Q991&gt;=0,IFERROR(generateSalesData($D991, IF(ISNUMBER(_xlfn.XLOOKUP($C991,Phone_by_Sentiment!$B$2:$B$37,Phone_by_Sentiment!O$2:O$37,"",0,1)),_xlfn.XLOOKUP($C991,Phone_by_Sentiment!$B$2:$B$37,Phone_by_Sentiment!O$2:O$37,"",0,1),0),$A991-TEXT(DATEVALUE($D991&amp;"-01"), "dd-mm-yyyy")),0),0)</f>
        <v>162</v>
      </c>
      <c r="P991" s="1">
        <f t="shared" si="40"/>
        <v>43862</v>
      </c>
      <c r="Q991">
        <f t="shared" si="41"/>
        <v>455</v>
      </c>
    </row>
    <row r="992" spans="1:17" x14ac:dyDescent="0.25">
      <c r="A992" s="1">
        <f t="shared" si="42"/>
        <v>44317</v>
      </c>
      <c r="B992" t="s">
        <v>174</v>
      </c>
      <c r="C992" t="str">
        <f>_xlfn.XLOOKUP(B992,Phone_by_Price!$A$2:$A$34,Phone_by_Price!$B$2:$B$34,"-",0,1)</f>
        <v>Samsung Galaxy A7</v>
      </c>
      <c r="D992" t="str">
        <f>_xlfn.XLOOKUP(C992,Phone_by_Sentiment!$B$2:$B$37,Phone_by_Sentiment!$A$2:$A$37,"-",0,1)</f>
        <v>2018-10</v>
      </c>
      <c r="E992" cm="1">
        <f t="array" ref="E992">IF($Q992&gt;=0,IFERROR(generateSalesData($D992, IF(ISNUMBER(_xlfn.XLOOKUP($C992,Phone_by_Sentiment!$B$2:$B$37,Phone_by_Sentiment!E$2:E$37,"",0,1)),_xlfn.XLOOKUP($C992,Phone_by_Sentiment!$B$2:$B$37,Phone_by_Sentiment!E$2:E$37,"",0,1),0),$A992-TEXT(DATEVALUE($D992&amp;"-01"), "dd-mm-yyyy")),0),0)</f>
        <v>59</v>
      </c>
      <c r="F992" cm="1">
        <f t="array" ref="F992">IF($Q992&gt;=0,IFERROR(generateSalesData($D992, IF(ISNUMBER(_xlfn.XLOOKUP($C992,Phone_by_Sentiment!$B$2:$B$37,Phone_by_Sentiment!F$2:F$37,"",0,1)),_xlfn.XLOOKUP($C992,Phone_by_Sentiment!$B$2:$B$37,Phone_by_Sentiment!F$2:F$37,"",0,1),0),$A992-TEXT(DATEVALUE($D992&amp;"-01"), "dd-mm-yyyy")),0),0)</f>
        <v>98</v>
      </c>
      <c r="G992" cm="1">
        <f t="array" ref="G992">IF($Q992&gt;=0,IFERROR(generateSalesData($D992, IF(ISNUMBER(_xlfn.XLOOKUP($C992,Phone_by_Sentiment!$B$2:$B$37,Phone_by_Sentiment!G$2:G$37,"",0,1)),_xlfn.XLOOKUP($C992,Phone_by_Sentiment!$B$2:$B$37,Phone_by_Sentiment!G$2:G$37,"",0,1),0),$A992-TEXT(DATEVALUE($D992&amp;"-01"), "dd-mm-yyyy")),0),0)</f>
        <v>61</v>
      </c>
      <c r="H992" cm="1">
        <f t="array" ref="H992">IF($Q992&gt;=0,IFERROR(generateSalesData($D992, IF(ISNUMBER(_xlfn.XLOOKUP($C992,Phone_by_Sentiment!$B$2:$B$37,Phone_by_Sentiment!H$2:H$37,"",0,1)),_xlfn.XLOOKUP($C992,Phone_by_Sentiment!$B$2:$B$37,Phone_by_Sentiment!H$2:H$37,"",0,1),0),$A992-TEXT(DATEVALUE($D992&amp;"-01"), "dd-mm-yyyy")),0),0)</f>
        <v>139</v>
      </c>
      <c r="I992" cm="1">
        <f t="array" ref="I992">IF($Q992&gt;=0,IFERROR(generateSalesData($D992, IF(ISNUMBER(_xlfn.XLOOKUP($C992,Phone_by_Sentiment!$B$2:$B$37,Phone_by_Sentiment!I$2:I$37,"",0,1)),_xlfn.XLOOKUP($C992,Phone_by_Sentiment!$B$2:$B$37,Phone_by_Sentiment!I$2:I$37,"",0,1),0),$A992-TEXT(DATEVALUE($D992&amp;"-01"), "dd-mm-yyyy")),0),0)</f>
        <v>326</v>
      </c>
      <c r="J992" cm="1">
        <f t="array" ref="J992">IF($Q992&gt;=0,IFERROR(generateSalesData($D992, IF(ISNUMBER(_xlfn.XLOOKUP($C992,Phone_by_Sentiment!$B$2:$B$37,Phone_by_Sentiment!J$2:J$37,"",0,1)),_xlfn.XLOOKUP($C992,Phone_by_Sentiment!$B$2:$B$37,Phone_by_Sentiment!J$2:J$37,"",0,1),0),$A992-TEXT(DATEVALUE($D992&amp;"-01"), "dd-mm-yyyy")),0),0)</f>
        <v>114</v>
      </c>
      <c r="K992" cm="1">
        <f t="array" ref="K992">IF($Q992&gt;=0,IFERROR(generateSalesData($D992, IF(ISNUMBER(_xlfn.XLOOKUP($C992,Phone_by_Sentiment!$B$2:$B$37,Phone_by_Sentiment!K$2:K$37,"",0,1)),_xlfn.XLOOKUP($C992,Phone_by_Sentiment!$B$2:$B$37,Phone_by_Sentiment!K$2:K$37,"",0,1),0),$A992-TEXT(DATEVALUE($D992&amp;"-01"), "dd-mm-yyyy")),0),0)</f>
        <v>26</v>
      </c>
      <c r="L992" cm="1">
        <f t="array" ref="L992">IF($Q992&gt;=0,IFERROR(generateSalesData($D992, IF(ISNUMBER(_xlfn.XLOOKUP($C992,Phone_by_Sentiment!$B$2:$B$37,Phone_by_Sentiment!L$2:L$37,"",0,1)),_xlfn.XLOOKUP($C992,Phone_by_Sentiment!$B$2:$B$37,Phone_by_Sentiment!L$2:L$37,"",0,1),0),$A992-TEXT(DATEVALUE($D992&amp;"-01"), "dd-mm-yyyy")),0),0)</f>
        <v>49</v>
      </c>
      <c r="M992" cm="1">
        <f t="array" ref="M992">IF($Q992&gt;=0,IFERROR(generateSalesData($D992, IF(ISNUMBER(_xlfn.XLOOKUP($C992,Phone_by_Sentiment!$B$2:$B$37,Phone_by_Sentiment!M$2:M$37,"",0,1)),_xlfn.XLOOKUP($C992,Phone_by_Sentiment!$B$2:$B$37,Phone_by_Sentiment!M$2:M$37,"",0,1),0),$A992-TEXT(DATEVALUE($D992&amp;"-01"), "dd-mm-yyyy")),0),0)</f>
        <v>181</v>
      </c>
      <c r="N992" cm="1">
        <f t="array" ref="N992">IF($Q992&gt;=0,IFERROR(generateSalesData($D992, IF(ISNUMBER(_xlfn.XLOOKUP($C992,Phone_by_Sentiment!$B$2:$B$37,Phone_by_Sentiment!N$2:N$37,"",0,1)),_xlfn.XLOOKUP($C992,Phone_by_Sentiment!$B$2:$B$37,Phone_by_Sentiment!N$2:N$37,"",0,1),0),$A992-TEXT(DATEVALUE($D992&amp;"-01"), "dd-mm-yyyy")),0),0)</f>
        <v>308</v>
      </c>
      <c r="O992" cm="1">
        <f t="array" ref="O992">IF($Q992&gt;=0,IFERROR(generateSalesData($D992, IF(ISNUMBER(_xlfn.XLOOKUP($C992,Phone_by_Sentiment!$B$2:$B$37,Phone_by_Sentiment!O$2:O$37,"",0,1)),_xlfn.XLOOKUP($C992,Phone_by_Sentiment!$B$2:$B$37,Phone_by_Sentiment!O$2:O$37,"",0,1),0),$A992-TEXT(DATEVALUE($D992&amp;"-01"), "dd-mm-yyyy")),0),0)</f>
        <v>147</v>
      </c>
      <c r="P992" s="1">
        <f t="shared" si="40"/>
        <v>43374</v>
      </c>
      <c r="Q992">
        <f t="shared" si="41"/>
        <v>943</v>
      </c>
    </row>
    <row r="993" spans="1:17" x14ac:dyDescent="0.25">
      <c r="A993" s="1">
        <f t="shared" si="42"/>
        <v>44317</v>
      </c>
      <c r="B993" t="s">
        <v>142</v>
      </c>
      <c r="C993" t="str">
        <f>_xlfn.XLOOKUP(B993,Phone_by_Price!$A$2:$A$34,Phone_by_Price!$B$2:$B$34,"-",0,1)</f>
        <v>iPhone 11</v>
      </c>
      <c r="D993" t="str">
        <f>_xlfn.XLOOKUP(C993,Phone_by_Sentiment!$B$2:$B$37,Phone_by_Sentiment!$A$2:$A$37,"-",0,1)</f>
        <v>2019-09</v>
      </c>
      <c r="E993" cm="1">
        <f t="array" ref="E993">IF($Q993&gt;=0,IFERROR(generateSalesData($D993, IF(ISNUMBER(_xlfn.XLOOKUP($C993,Phone_by_Sentiment!$B$2:$B$37,Phone_by_Sentiment!E$2:E$37,"",0,1)),_xlfn.XLOOKUP($C993,Phone_by_Sentiment!$B$2:$B$37,Phone_by_Sentiment!E$2:E$37,"",0,1),0),$A993-TEXT(DATEVALUE($D993&amp;"-01"), "dd-mm-yyyy")),0),0)</f>
        <v>138</v>
      </c>
      <c r="F993" cm="1">
        <f t="array" ref="F993">IF($Q993&gt;=0,IFERROR(generateSalesData($D993, IF(ISNUMBER(_xlfn.XLOOKUP($C993,Phone_by_Sentiment!$B$2:$B$37,Phone_by_Sentiment!F$2:F$37,"",0,1)),_xlfn.XLOOKUP($C993,Phone_by_Sentiment!$B$2:$B$37,Phone_by_Sentiment!F$2:F$37,"",0,1),0),$A993-TEXT(DATEVALUE($D993&amp;"-01"), "dd-mm-yyyy")),0),0)</f>
        <v>365</v>
      </c>
      <c r="G993" cm="1">
        <f t="array" ref="G993">IF($Q993&gt;=0,IFERROR(generateSalesData($D993, IF(ISNUMBER(_xlfn.XLOOKUP($C993,Phone_by_Sentiment!$B$2:$B$37,Phone_by_Sentiment!G$2:G$37,"",0,1)),_xlfn.XLOOKUP($C993,Phone_by_Sentiment!$B$2:$B$37,Phone_by_Sentiment!G$2:G$37,"",0,1),0),$A993-TEXT(DATEVALUE($D993&amp;"-01"), "dd-mm-yyyy")),0),0)</f>
        <v>66</v>
      </c>
      <c r="H993" cm="1">
        <f t="array" ref="H993">IF($Q993&gt;=0,IFERROR(generateSalesData($D993, IF(ISNUMBER(_xlfn.XLOOKUP($C993,Phone_by_Sentiment!$B$2:$B$37,Phone_by_Sentiment!H$2:H$37,"",0,1)),_xlfn.XLOOKUP($C993,Phone_by_Sentiment!$B$2:$B$37,Phone_by_Sentiment!H$2:H$37,"",0,1),0),$A993-TEXT(DATEVALUE($D993&amp;"-01"), "dd-mm-yyyy")),0),0)</f>
        <v>341</v>
      </c>
      <c r="I993" cm="1">
        <f t="array" ref="I993">IF($Q993&gt;=0,IFERROR(generateSalesData($D993, IF(ISNUMBER(_xlfn.XLOOKUP($C993,Phone_by_Sentiment!$B$2:$B$37,Phone_by_Sentiment!I$2:I$37,"",0,1)),_xlfn.XLOOKUP($C993,Phone_by_Sentiment!$B$2:$B$37,Phone_by_Sentiment!I$2:I$37,"",0,1),0),$A993-TEXT(DATEVALUE($D993&amp;"-01"), "dd-mm-yyyy")),0),0)</f>
        <v>581</v>
      </c>
      <c r="J993" cm="1">
        <f t="array" ref="J993">IF($Q993&gt;=0,IFERROR(generateSalesData($D993, IF(ISNUMBER(_xlfn.XLOOKUP($C993,Phone_by_Sentiment!$B$2:$B$37,Phone_by_Sentiment!J$2:J$37,"",0,1)),_xlfn.XLOOKUP($C993,Phone_by_Sentiment!$B$2:$B$37,Phone_by_Sentiment!J$2:J$37,"",0,1),0),$A993-TEXT(DATEVALUE($D993&amp;"-01"), "dd-mm-yyyy")),0),0)</f>
        <v>436</v>
      </c>
      <c r="K993" cm="1">
        <f t="array" ref="K993">IF($Q993&gt;=0,IFERROR(generateSalesData($D993, IF(ISNUMBER(_xlfn.XLOOKUP($C993,Phone_by_Sentiment!$B$2:$B$37,Phone_by_Sentiment!K$2:K$37,"",0,1)),_xlfn.XLOOKUP($C993,Phone_by_Sentiment!$B$2:$B$37,Phone_by_Sentiment!K$2:K$37,"",0,1),0),$A993-TEXT(DATEVALUE($D993&amp;"-01"), "dd-mm-yyyy")),0),0)</f>
        <v>114</v>
      </c>
      <c r="L993" cm="1">
        <f t="array" ref="L993">IF($Q993&gt;=0,IFERROR(generateSalesData($D993, IF(ISNUMBER(_xlfn.XLOOKUP($C993,Phone_by_Sentiment!$B$2:$B$37,Phone_by_Sentiment!L$2:L$37,"",0,1)),_xlfn.XLOOKUP($C993,Phone_by_Sentiment!$B$2:$B$37,Phone_by_Sentiment!L$2:L$37,"",0,1),0),$A993-TEXT(DATEVALUE($D993&amp;"-01"), "dd-mm-yyyy")),0),0)</f>
        <v>125</v>
      </c>
      <c r="M993" cm="1">
        <f t="array" ref="M993">IF($Q993&gt;=0,IFERROR(generateSalesData($D993, IF(ISNUMBER(_xlfn.XLOOKUP($C993,Phone_by_Sentiment!$B$2:$B$37,Phone_by_Sentiment!M$2:M$37,"",0,1)),_xlfn.XLOOKUP($C993,Phone_by_Sentiment!$B$2:$B$37,Phone_by_Sentiment!M$2:M$37,"",0,1),0),$A993-TEXT(DATEVALUE($D993&amp;"-01"), "dd-mm-yyyy")),0),0)</f>
        <v>345</v>
      </c>
      <c r="N993" cm="1">
        <f t="array" ref="N993">IF($Q993&gt;=0,IFERROR(generateSalesData($D993, IF(ISNUMBER(_xlfn.XLOOKUP($C993,Phone_by_Sentiment!$B$2:$B$37,Phone_by_Sentiment!N$2:N$37,"",0,1)),_xlfn.XLOOKUP($C993,Phone_by_Sentiment!$B$2:$B$37,Phone_by_Sentiment!N$2:N$37,"",0,1),0),$A993-TEXT(DATEVALUE($D993&amp;"-01"), "dd-mm-yyyy")),0),0)</f>
        <v>467</v>
      </c>
      <c r="O993" cm="1">
        <f t="array" ref="O993">IF($Q993&gt;=0,IFERROR(generateSalesData($D993, IF(ISNUMBER(_xlfn.XLOOKUP($C993,Phone_by_Sentiment!$B$2:$B$37,Phone_by_Sentiment!O$2:O$37,"",0,1)),_xlfn.XLOOKUP($C993,Phone_by_Sentiment!$B$2:$B$37,Phone_by_Sentiment!O$2:O$37,"",0,1),0),$A993-TEXT(DATEVALUE($D993&amp;"-01"), "dd-mm-yyyy")),0),0)</f>
        <v>546</v>
      </c>
      <c r="P993" s="1">
        <f t="shared" si="40"/>
        <v>43709</v>
      </c>
      <c r="Q993">
        <f t="shared" si="41"/>
        <v>608</v>
      </c>
    </row>
    <row r="994" spans="1:17" x14ac:dyDescent="0.25">
      <c r="A994" s="1">
        <f t="shared" si="42"/>
        <v>44317</v>
      </c>
      <c r="B994" t="s">
        <v>143</v>
      </c>
      <c r="C994" t="str">
        <f>_xlfn.XLOOKUP(B994,Phone_by_Price!$A$2:$A$34,Phone_by_Price!$B$2:$B$34,"-",0,1)</f>
        <v>Samsung Galaxy S20 Ultra</v>
      </c>
      <c r="D994" t="str">
        <f>_xlfn.XLOOKUP(C994,Phone_by_Sentiment!$B$2:$B$37,Phone_by_Sentiment!$A$2:$A$37,"-",0,1)</f>
        <v>2020-02</v>
      </c>
      <c r="E994" cm="1">
        <f t="array" ref="E994">IF($Q994&gt;=0,IFERROR(generateSalesData($D994, IF(ISNUMBER(_xlfn.XLOOKUP($C994,Phone_by_Sentiment!$B$2:$B$37,Phone_by_Sentiment!E$2:E$37,"",0,1)),_xlfn.XLOOKUP($C994,Phone_by_Sentiment!$B$2:$B$37,Phone_by_Sentiment!E$2:E$37,"",0,1),0),$A994-TEXT(DATEVALUE($D994&amp;"-01"), "dd-mm-yyyy")),0),0)</f>
        <v>345</v>
      </c>
      <c r="F994" cm="1">
        <f t="array" ref="F994">IF($Q994&gt;=0,IFERROR(generateSalesData($D994, IF(ISNUMBER(_xlfn.XLOOKUP($C994,Phone_by_Sentiment!$B$2:$B$37,Phone_by_Sentiment!F$2:F$37,"",0,1)),_xlfn.XLOOKUP($C994,Phone_by_Sentiment!$B$2:$B$37,Phone_by_Sentiment!F$2:F$37,"",0,1),0),$A994-TEXT(DATEVALUE($D994&amp;"-01"), "dd-mm-yyyy")),0),0)</f>
        <v>596</v>
      </c>
      <c r="G994" cm="1">
        <f t="array" ref="G994">IF($Q994&gt;=0,IFERROR(generateSalesData($D994, IF(ISNUMBER(_xlfn.XLOOKUP($C994,Phone_by_Sentiment!$B$2:$B$37,Phone_by_Sentiment!G$2:G$37,"",0,1)),_xlfn.XLOOKUP($C994,Phone_by_Sentiment!$B$2:$B$37,Phone_by_Sentiment!G$2:G$37,"",0,1),0),$A994-TEXT(DATEVALUE($D994&amp;"-01"), "dd-mm-yyyy")),0),0)</f>
        <v>187</v>
      </c>
      <c r="H994" cm="1">
        <f t="array" ref="H994">IF($Q994&gt;=0,IFERROR(generateSalesData($D994, IF(ISNUMBER(_xlfn.XLOOKUP($C994,Phone_by_Sentiment!$B$2:$B$37,Phone_by_Sentiment!H$2:H$37,"",0,1)),_xlfn.XLOOKUP($C994,Phone_by_Sentiment!$B$2:$B$37,Phone_by_Sentiment!H$2:H$37,"",0,1),0),$A994-TEXT(DATEVALUE($D994&amp;"-01"), "dd-mm-yyyy")),0),0)</f>
        <v>349</v>
      </c>
      <c r="I994" cm="1">
        <f t="array" ref="I994">IF($Q994&gt;=0,IFERROR(generateSalesData($D994, IF(ISNUMBER(_xlfn.XLOOKUP($C994,Phone_by_Sentiment!$B$2:$B$37,Phone_by_Sentiment!I$2:I$37,"",0,1)),_xlfn.XLOOKUP($C994,Phone_by_Sentiment!$B$2:$B$37,Phone_by_Sentiment!I$2:I$37,"",0,1),0),$A994-TEXT(DATEVALUE($D994&amp;"-01"), "dd-mm-yyyy")),0),0)</f>
        <v>1204</v>
      </c>
      <c r="J994" cm="1">
        <f t="array" ref="J994">IF($Q994&gt;=0,IFERROR(generateSalesData($D994, IF(ISNUMBER(_xlfn.XLOOKUP($C994,Phone_by_Sentiment!$B$2:$B$37,Phone_by_Sentiment!J$2:J$37,"",0,1)),_xlfn.XLOOKUP($C994,Phone_by_Sentiment!$B$2:$B$37,Phone_by_Sentiment!J$2:J$37,"",0,1),0),$A994-TEXT(DATEVALUE($D994&amp;"-01"), "dd-mm-yyyy")),0),0)</f>
        <v>545</v>
      </c>
      <c r="K994" cm="1">
        <f t="array" ref="K994">IF($Q994&gt;=0,IFERROR(generateSalesData($D994, IF(ISNUMBER(_xlfn.XLOOKUP($C994,Phone_by_Sentiment!$B$2:$B$37,Phone_by_Sentiment!K$2:K$37,"",0,1)),_xlfn.XLOOKUP($C994,Phone_by_Sentiment!$B$2:$B$37,Phone_by_Sentiment!K$2:K$37,"",0,1),0),$A994-TEXT(DATEVALUE($D994&amp;"-01"), "dd-mm-yyyy")),0),0)</f>
        <v>97</v>
      </c>
      <c r="L994" cm="1">
        <f t="array" ref="L994">IF($Q994&gt;=0,IFERROR(generateSalesData($D994, IF(ISNUMBER(_xlfn.XLOOKUP($C994,Phone_by_Sentiment!$B$2:$B$37,Phone_by_Sentiment!L$2:L$37,"",0,1)),_xlfn.XLOOKUP($C994,Phone_by_Sentiment!$B$2:$B$37,Phone_by_Sentiment!L$2:L$37,"",0,1),0),$A994-TEXT(DATEVALUE($D994&amp;"-01"), "dd-mm-yyyy")),0),0)</f>
        <v>425</v>
      </c>
      <c r="M994" cm="1">
        <f t="array" ref="M994">IF($Q994&gt;=0,IFERROR(generateSalesData($D994, IF(ISNUMBER(_xlfn.XLOOKUP($C994,Phone_by_Sentiment!$B$2:$B$37,Phone_by_Sentiment!M$2:M$37,"",0,1)),_xlfn.XLOOKUP($C994,Phone_by_Sentiment!$B$2:$B$37,Phone_by_Sentiment!M$2:M$37,"",0,1),0),$A994-TEXT(DATEVALUE($D994&amp;"-01"), "dd-mm-yyyy")),0),0)</f>
        <v>292</v>
      </c>
      <c r="N994" cm="1">
        <f t="array" ref="N994">IF($Q994&gt;=0,IFERROR(generateSalesData($D994, IF(ISNUMBER(_xlfn.XLOOKUP($C994,Phone_by_Sentiment!$B$2:$B$37,Phone_by_Sentiment!N$2:N$37,"",0,1)),_xlfn.XLOOKUP($C994,Phone_by_Sentiment!$B$2:$B$37,Phone_by_Sentiment!N$2:N$37,"",0,1),0),$A994-TEXT(DATEVALUE($D994&amp;"-01"), "dd-mm-yyyy")),0),0)</f>
        <v>663</v>
      </c>
      <c r="O994" cm="1">
        <f t="array" ref="O994">IF($Q994&gt;=0,IFERROR(generateSalesData($D994, IF(ISNUMBER(_xlfn.XLOOKUP($C994,Phone_by_Sentiment!$B$2:$B$37,Phone_by_Sentiment!O$2:O$37,"",0,1)),_xlfn.XLOOKUP($C994,Phone_by_Sentiment!$B$2:$B$37,Phone_by_Sentiment!O$2:O$37,"",0,1),0),$A994-TEXT(DATEVALUE($D994&amp;"-01"), "dd-mm-yyyy")),0),0)</f>
        <v>653</v>
      </c>
      <c r="P994" s="1">
        <f t="shared" si="40"/>
        <v>43862</v>
      </c>
      <c r="Q994">
        <f t="shared" si="41"/>
        <v>455</v>
      </c>
    </row>
    <row r="995" spans="1:17" x14ac:dyDescent="0.25">
      <c r="A995" s="1">
        <f t="shared" si="42"/>
        <v>44317</v>
      </c>
      <c r="B995" t="s">
        <v>144</v>
      </c>
      <c r="C995" t="str">
        <f>_xlfn.XLOOKUP(B995,Phone_by_Price!$A$2:$A$34,Phone_by_Price!$B$2:$B$34,"-",0,1)</f>
        <v>Xiaomi Redmi Note 10</v>
      </c>
      <c r="D995" t="str">
        <f>_xlfn.XLOOKUP(C995,Phone_by_Sentiment!$B$2:$B$37,Phone_by_Sentiment!$A$2:$A$37,"-",0,1)</f>
        <v>2021-03</v>
      </c>
      <c r="E995" cm="1">
        <f t="array" ref="E995">IF($Q995&gt;=0,IFERROR(generateSalesData($D995, IF(ISNUMBER(_xlfn.XLOOKUP($C995,Phone_by_Sentiment!$B$2:$B$37,Phone_by_Sentiment!E$2:E$37,"",0,1)),_xlfn.XLOOKUP($C995,Phone_by_Sentiment!$B$2:$B$37,Phone_by_Sentiment!E$2:E$37,"",0,1),0),$A995-TEXT(DATEVALUE($D995&amp;"-01"), "dd-mm-yyyy")),0),0)</f>
        <v>390</v>
      </c>
      <c r="F995" cm="1">
        <f t="array" ref="F995">IF($Q995&gt;=0,IFERROR(generateSalesData($D995, IF(ISNUMBER(_xlfn.XLOOKUP($C995,Phone_by_Sentiment!$B$2:$B$37,Phone_by_Sentiment!F$2:F$37,"",0,1)),_xlfn.XLOOKUP($C995,Phone_by_Sentiment!$B$2:$B$37,Phone_by_Sentiment!F$2:F$37,"",0,1),0),$A995-TEXT(DATEVALUE($D995&amp;"-01"), "dd-mm-yyyy")),0),0)</f>
        <v>1802</v>
      </c>
      <c r="G995" cm="1">
        <f t="array" ref="G995">IF($Q995&gt;=0,IFERROR(generateSalesData($D995, IF(ISNUMBER(_xlfn.XLOOKUP($C995,Phone_by_Sentiment!$B$2:$B$37,Phone_by_Sentiment!G$2:G$37,"",0,1)),_xlfn.XLOOKUP($C995,Phone_by_Sentiment!$B$2:$B$37,Phone_by_Sentiment!G$2:G$37,"",0,1),0),$A995-TEXT(DATEVALUE($D995&amp;"-01"), "dd-mm-yyyy")),0),0)</f>
        <v>1215</v>
      </c>
      <c r="H995" cm="1">
        <f t="array" ref="H995">IF($Q995&gt;=0,IFERROR(generateSalesData($D995, IF(ISNUMBER(_xlfn.XLOOKUP($C995,Phone_by_Sentiment!$B$2:$B$37,Phone_by_Sentiment!H$2:H$37,"",0,1)),_xlfn.XLOOKUP($C995,Phone_by_Sentiment!$B$2:$B$37,Phone_by_Sentiment!H$2:H$37,"",0,1),0),$A995-TEXT(DATEVALUE($D995&amp;"-01"), "dd-mm-yyyy")),0),0)</f>
        <v>3919</v>
      </c>
      <c r="I995" cm="1">
        <f t="array" ref="I995">IF($Q995&gt;=0,IFERROR(generateSalesData($D995, IF(ISNUMBER(_xlfn.XLOOKUP($C995,Phone_by_Sentiment!$B$2:$B$37,Phone_by_Sentiment!I$2:I$37,"",0,1)),_xlfn.XLOOKUP($C995,Phone_by_Sentiment!$B$2:$B$37,Phone_by_Sentiment!I$2:I$37,"",0,1),0),$A995-TEXT(DATEVALUE($D995&amp;"-01"), "dd-mm-yyyy")),0),0)</f>
        <v>3501</v>
      </c>
      <c r="J995" cm="1">
        <f t="array" ref="J995">IF($Q995&gt;=0,IFERROR(generateSalesData($D995, IF(ISNUMBER(_xlfn.XLOOKUP($C995,Phone_by_Sentiment!$B$2:$B$37,Phone_by_Sentiment!J$2:J$37,"",0,1)),_xlfn.XLOOKUP($C995,Phone_by_Sentiment!$B$2:$B$37,Phone_by_Sentiment!J$2:J$37,"",0,1),0),$A995-TEXT(DATEVALUE($D995&amp;"-01"), "dd-mm-yyyy")),0),0)</f>
        <v>5903</v>
      </c>
      <c r="K995" cm="1">
        <f t="array" ref="K995">IF($Q995&gt;=0,IFERROR(generateSalesData($D995, IF(ISNUMBER(_xlfn.XLOOKUP($C995,Phone_by_Sentiment!$B$2:$B$37,Phone_by_Sentiment!K$2:K$37,"",0,1)),_xlfn.XLOOKUP($C995,Phone_by_Sentiment!$B$2:$B$37,Phone_by_Sentiment!K$2:K$37,"",0,1),0),$A995-TEXT(DATEVALUE($D995&amp;"-01"), "dd-mm-yyyy")),0),0)</f>
        <v>3405</v>
      </c>
      <c r="L995" cm="1">
        <f t="array" ref="L995">IF($Q995&gt;=0,IFERROR(generateSalesData($D995, IF(ISNUMBER(_xlfn.XLOOKUP($C995,Phone_by_Sentiment!$B$2:$B$37,Phone_by_Sentiment!L$2:L$37,"",0,1)),_xlfn.XLOOKUP($C995,Phone_by_Sentiment!$B$2:$B$37,Phone_by_Sentiment!L$2:L$37,"",0,1),0),$A995-TEXT(DATEVALUE($D995&amp;"-01"), "dd-mm-yyyy")),0),0)</f>
        <v>6033</v>
      </c>
      <c r="M995" cm="1">
        <f t="array" ref="M995">IF($Q995&gt;=0,IFERROR(generateSalesData($D995, IF(ISNUMBER(_xlfn.XLOOKUP($C995,Phone_by_Sentiment!$B$2:$B$37,Phone_by_Sentiment!M$2:M$37,"",0,1)),_xlfn.XLOOKUP($C995,Phone_by_Sentiment!$B$2:$B$37,Phone_by_Sentiment!M$2:M$37,"",0,1),0),$A995-TEXT(DATEVALUE($D995&amp;"-01"), "dd-mm-yyyy")),0),0)</f>
        <v>-123</v>
      </c>
      <c r="N995" cm="1">
        <f t="array" ref="N995">IF($Q995&gt;=0,IFERROR(generateSalesData($D995, IF(ISNUMBER(_xlfn.XLOOKUP($C995,Phone_by_Sentiment!$B$2:$B$37,Phone_by_Sentiment!N$2:N$37,"",0,1)),_xlfn.XLOOKUP($C995,Phone_by_Sentiment!$B$2:$B$37,Phone_by_Sentiment!N$2:N$37,"",0,1),0),$A995-TEXT(DATEVALUE($D995&amp;"-01"), "dd-mm-yyyy")),0),0)</f>
        <v>7100</v>
      </c>
      <c r="O995" cm="1">
        <f t="array" ref="O995">IF($Q995&gt;=0,IFERROR(generateSalesData($D995, IF(ISNUMBER(_xlfn.XLOOKUP($C995,Phone_by_Sentiment!$B$2:$B$37,Phone_by_Sentiment!O$2:O$37,"",0,1)),_xlfn.XLOOKUP($C995,Phone_by_Sentiment!$B$2:$B$37,Phone_by_Sentiment!O$2:O$37,"",0,1),0),$A995-TEXT(DATEVALUE($D995&amp;"-01"), "dd-mm-yyyy")),0),0)</f>
        <v>4304</v>
      </c>
      <c r="P995" s="1">
        <f t="shared" si="40"/>
        <v>44256</v>
      </c>
      <c r="Q995">
        <f t="shared" si="41"/>
        <v>61</v>
      </c>
    </row>
    <row r="996" spans="1:17" x14ac:dyDescent="0.25">
      <c r="A996" s="1">
        <f t="shared" si="42"/>
        <v>44317</v>
      </c>
      <c r="B996" t="s">
        <v>145</v>
      </c>
      <c r="C996" t="str">
        <f>_xlfn.XLOOKUP(B996,Phone_by_Price!$A$2:$A$34,Phone_by_Price!$B$2:$B$34,"-",0,1)</f>
        <v>OPPO A54</v>
      </c>
      <c r="D996" t="str">
        <f>_xlfn.XLOOKUP(C996,Phone_by_Sentiment!$B$2:$B$37,Phone_by_Sentiment!$A$2:$A$37,"-",0,1)</f>
        <v>2021-04</v>
      </c>
      <c r="E996" cm="1">
        <f t="array" ref="E996">IF($Q996&gt;=0,IFERROR(generateSalesData($D996, IF(ISNUMBER(_xlfn.XLOOKUP($C996,Phone_by_Sentiment!$B$2:$B$37,Phone_by_Sentiment!E$2:E$37,"",0,1)),_xlfn.XLOOKUP($C996,Phone_by_Sentiment!$B$2:$B$37,Phone_by_Sentiment!E$2:E$37,"",0,1),0),$A996-TEXT(DATEVALUE($D996&amp;"-01"), "dd-mm-yyyy")),0),0)</f>
        <v>4510</v>
      </c>
      <c r="F996" cm="1">
        <f t="array" ref="F996">IF($Q996&gt;=0,IFERROR(generateSalesData($D996, IF(ISNUMBER(_xlfn.XLOOKUP($C996,Phone_by_Sentiment!$B$2:$B$37,Phone_by_Sentiment!F$2:F$37,"",0,1)),_xlfn.XLOOKUP($C996,Phone_by_Sentiment!$B$2:$B$37,Phone_by_Sentiment!F$2:F$37,"",0,1),0),$A996-TEXT(DATEVALUE($D996&amp;"-01"), "dd-mm-yyyy")),0),0)</f>
        <v>-380</v>
      </c>
      <c r="G996" cm="1">
        <f t="array" ref="G996">IF($Q996&gt;=0,IFERROR(generateSalesData($D996, IF(ISNUMBER(_xlfn.XLOOKUP($C996,Phone_by_Sentiment!$B$2:$B$37,Phone_by_Sentiment!G$2:G$37,"",0,1)),_xlfn.XLOOKUP($C996,Phone_by_Sentiment!$B$2:$B$37,Phone_by_Sentiment!G$2:G$37,"",0,1),0),$A996-TEXT(DATEVALUE($D996&amp;"-01"), "dd-mm-yyyy")),0),0)</f>
        <v>1628</v>
      </c>
      <c r="H996" cm="1">
        <f t="array" ref="H996">IF($Q996&gt;=0,IFERROR(generateSalesData($D996, IF(ISNUMBER(_xlfn.XLOOKUP($C996,Phone_by_Sentiment!$B$2:$B$37,Phone_by_Sentiment!H$2:H$37,"",0,1)),_xlfn.XLOOKUP($C996,Phone_by_Sentiment!$B$2:$B$37,Phone_by_Sentiment!H$2:H$37,"",0,1),0),$A996-TEXT(DATEVALUE($D996&amp;"-01"), "dd-mm-yyyy")),0),0)</f>
        <v>3791</v>
      </c>
      <c r="I996" cm="1">
        <f t="array" ref="I996">IF($Q996&gt;=0,IFERROR(generateSalesData($D996, IF(ISNUMBER(_xlfn.XLOOKUP($C996,Phone_by_Sentiment!$B$2:$B$37,Phone_by_Sentiment!I$2:I$37,"",0,1)),_xlfn.XLOOKUP($C996,Phone_by_Sentiment!$B$2:$B$37,Phone_by_Sentiment!I$2:I$37,"",0,1),0),$A996-TEXT(DATEVALUE($D996&amp;"-01"), "dd-mm-yyyy")),0),0)</f>
        <v>2918</v>
      </c>
      <c r="J996" cm="1">
        <f t="array" ref="J996">IF($Q996&gt;=0,IFERROR(generateSalesData($D996, IF(ISNUMBER(_xlfn.XLOOKUP($C996,Phone_by_Sentiment!$B$2:$B$37,Phone_by_Sentiment!J$2:J$37,"",0,1)),_xlfn.XLOOKUP($C996,Phone_by_Sentiment!$B$2:$B$37,Phone_by_Sentiment!J$2:J$37,"",0,1),0),$A996-TEXT(DATEVALUE($D996&amp;"-01"), "dd-mm-yyyy")),0),0)</f>
        <v>2772</v>
      </c>
      <c r="K996" cm="1">
        <f t="array" ref="K996">IF($Q996&gt;=0,IFERROR(generateSalesData($D996, IF(ISNUMBER(_xlfn.XLOOKUP($C996,Phone_by_Sentiment!$B$2:$B$37,Phone_by_Sentiment!K$2:K$37,"",0,1)),_xlfn.XLOOKUP($C996,Phone_by_Sentiment!$B$2:$B$37,Phone_by_Sentiment!K$2:K$37,"",0,1),0),$A996-TEXT(DATEVALUE($D996&amp;"-01"), "dd-mm-yyyy")),0),0)</f>
        <v>3688</v>
      </c>
      <c r="L996" cm="1">
        <f t="array" ref="L996">IF($Q996&gt;=0,IFERROR(generateSalesData($D996, IF(ISNUMBER(_xlfn.XLOOKUP($C996,Phone_by_Sentiment!$B$2:$B$37,Phone_by_Sentiment!L$2:L$37,"",0,1)),_xlfn.XLOOKUP($C996,Phone_by_Sentiment!$B$2:$B$37,Phone_by_Sentiment!L$2:L$37,"",0,1),0),$A996-TEXT(DATEVALUE($D996&amp;"-01"), "dd-mm-yyyy")),0),0)</f>
        <v>5478</v>
      </c>
      <c r="M996" cm="1">
        <f t="array" ref="M996">IF($Q996&gt;=0,IFERROR(generateSalesData($D996, IF(ISNUMBER(_xlfn.XLOOKUP($C996,Phone_by_Sentiment!$B$2:$B$37,Phone_by_Sentiment!M$2:M$37,"",0,1)),_xlfn.XLOOKUP($C996,Phone_by_Sentiment!$B$2:$B$37,Phone_by_Sentiment!M$2:M$37,"",0,1),0),$A996-TEXT(DATEVALUE($D996&amp;"-01"), "dd-mm-yyyy")),0),0)</f>
        <v>3227</v>
      </c>
      <c r="N996" cm="1">
        <f t="array" ref="N996">IF($Q996&gt;=0,IFERROR(generateSalesData($D996, IF(ISNUMBER(_xlfn.XLOOKUP($C996,Phone_by_Sentiment!$B$2:$B$37,Phone_by_Sentiment!N$2:N$37,"",0,1)),_xlfn.XLOOKUP($C996,Phone_by_Sentiment!$B$2:$B$37,Phone_by_Sentiment!N$2:N$37,"",0,1),0),$A996-TEXT(DATEVALUE($D996&amp;"-01"), "dd-mm-yyyy")),0),0)</f>
        <v>8474</v>
      </c>
      <c r="O996" cm="1">
        <f t="array" ref="O996">IF($Q996&gt;=0,IFERROR(generateSalesData($D996, IF(ISNUMBER(_xlfn.XLOOKUP($C996,Phone_by_Sentiment!$B$2:$B$37,Phone_by_Sentiment!O$2:O$37,"",0,1)),_xlfn.XLOOKUP($C996,Phone_by_Sentiment!$B$2:$B$37,Phone_by_Sentiment!O$2:O$37,"",0,1),0),$A996-TEXT(DATEVALUE($D996&amp;"-01"), "dd-mm-yyyy")),0),0)</f>
        <v>5436</v>
      </c>
      <c r="P996" s="1">
        <f t="shared" si="40"/>
        <v>44287</v>
      </c>
      <c r="Q996">
        <f t="shared" si="41"/>
        <v>30</v>
      </c>
    </row>
    <row r="997" spans="1:17" x14ac:dyDescent="0.25">
      <c r="A997" s="1">
        <f t="shared" si="42"/>
        <v>44317</v>
      </c>
      <c r="B997" t="s">
        <v>146</v>
      </c>
      <c r="C997" t="str">
        <f>_xlfn.XLOOKUP(B997,Phone_by_Price!$A$2:$A$34,Phone_by_Price!$B$2:$B$34,"-",0,1)</f>
        <v>Vivo Y20</v>
      </c>
      <c r="D997" t="str">
        <f>_xlfn.XLOOKUP(C997,Phone_by_Sentiment!$B$2:$B$37,Phone_by_Sentiment!$A$2:$A$37,"-",0,1)</f>
        <v>2020-09</v>
      </c>
      <c r="E997" cm="1">
        <f t="array" ref="E997">IF($Q997&gt;=0,IFERROR(generateSalesData($D997, IF(ISNUMBER(_xlfn.XLOOKUP($C997,Phone_by_Sentiment!$B$2:$B$37,Phone_by_Sentiment!E$2:E$37,"",0,1)),_xlfn.XLOOKUP($C997,Phone_by_Sentiment!$B$2:$B$37,Phone_by_Sentiment!E$2:E$37,"",0,1),0),$A997-TEXT(DATEVALUE($D997&amp;"-01"), "dd-mm-yyyy")),0),0)</f>
        <v>1020</v>
      </c>
      <c r="F997" cm="1">
        <f t="array" ref="F997">IF($Q997&gt;=0,IFERROR(generateSalesData($D997, IF(ISNUMBER(_xlfn.XLOOKUP($C997,Phone_by_Sentiment!$B$2:$B$37,Phone_by_Sentiment!F$2:F$37,"",0,1)),_xlfn.XLOOKUP($C997,Phone_by_Sentiment!$B$2:$B$37,Phone_by_Sentiment!F$2:F$37,"",0,1),0),$A997-TEXT(DATEVALUE($D997&amp;"-01"), "dd-mm-yyyy")),0),0)</f>
        <v>1116</v>
      </c>
      <c r="G997" cm="1">
        <f t="array" ref="G997">IF($Q997&gt;=0,IFERROR(generateSalesData($D997, IF(ISNUMBER(_xlfn.XLOOKUP($C997,Phone_by_Sentiment!$B$2:$B$37,Phone_by_Sentiment!G$2:G$37,"",0,1)),_xlfn.XLOOKUP($C997,Phone_by_Sentiment!$B$2:$B$37,Phone_by_Sentiment!G$2:G$37,"",0,1),0),$A997-TEXT(DATEVALUE($D997&amp;"-01"), "dd-mm-yyyy")),0),0)</f>
        <v>418</v>
      </c>
      <c r="H997" cm="1">
        <f t="array" ref="H997">IF($Q997&gt;=0,IFERROR(generateSalesData($D997, IF(ISNUMBER(_xlfn.XLOOKUP($C997,Phone_by_Sentiment!$B$2:$B$37,Phone_by_Sentiment!H$2:H$37,"",0,1)),_xlfn.XLOOKUP($C997,Phone_by_Sentiment!$B$2:$B$37,Phone_by_Sentiment!H$2:H$37,"",0,1),0),$A997-TEXT(DATEVALUE($D997&amp;"-01"), "dd-mm-yyyy")),0),0)</f>
        <v>319</v>
      </c>
      <c r="I997" cm="1">
        <f t="array" ref="I997">IF($Q997&gt;=0,IFERROR(generateSalesData($D997, IF(ISNUMBER(_xlfn.XLOOKUP($C997,Phone_by_Sentiment!$B$2:$B$37,Phone_by_Sentiment!I$2:I$37,"",0,1)),_xlfn.XLOOKUP($C997,Phone_by_Sentiment!$B$2:$B$37,Phone_by_Sentiment!I$2:I$37,"",0,1),0),$A997-TEXT(DATEVALUE($D997&amp;"-01"), "dd-mm-yyyy")),0),0)</f>
        <v>130</v>
      </c>
      <c r="J997" cm="1">
        <f t="array" ref="J997">IF($Q997&gt;=0,IFERROR(generateSalesData($D997, IF(ISNUMBER(_xlfn.XLOOKUP($C997,Phone_by_Sentiment!$B$2:$B$37,Phone_by_Sentiment!J$2:J$37,"",0,1)),_xlfn.XLOOKUP($C997,Phone_by_Sentiment!$B$2:$B$37,Phone_by_Sentiment!J$2:J$37,"",0,1),0),$A997-TEXT(DATEVALUE($D997&amp;"-01"), "dd-mm-yyyy")),0),0)</f>
        <v>157</v>
      </c>
      <c r="K997" cm="1">
        <f t="array" ref="K997">IF($Q997&gt;=0,IFERROR(generateSalesData($D997, IF(ISNUMBER(_xlfn.XLOOKUP($C997,Phone_by_Sentiment!$B$2:$B$37,Phone_by_Sentiment!K$2:K$37,"",0,1)),_xlfn.XLOOKUP($C997,Phone_by_Sentiment!$B$2:$B$37,Phone_by_Sentiment!K$2:K$37,"",0,1),0),$A997-TEXT(DATEVALUE($D997&amp;"-01"), "dd-mm-yyyy")),0),0)</f>
        <v>42</v>
      </c>
      <c r="L997" cm="1">
        <f t="array" ref="L997">IF($Q997&gt;=0,IFERROR(generateSalesData($D997, IF(ISNUMBER(_xlfn.XLOOKUP($C997,Phone_by_Sentiment!$B$2:$B$37,Phone_by_Sentiment!L$2:L$37,"",0,1)),_xlfn.XLOOKUP($C997,Phone_by_Sentiment!$B$2:$B$37,Phone_by_Sentiment!L$2:L$37,"",0,1),0),$A997-TEXT(DATEVALUE($D997&amp;"-01"), "dd-mm-yyyy")),0),0)</f>
        <v>638</v>
      </c>
      <c r="M997" cm="1">
        <f t="array" ref="M997">IF($Q997&gt;=0,IFERROR(generateSalesData($D997, IF(ISNUMBER(_xlfn.XLOOKUP($C997,Phone_by_Sentiment!$B$2:$B$37,Phone_by_Sentiment!M$2:M$37,"",0,1)),_xlfn.XLOOKUP($C997,Phone_by_Sentiment!$B$2:$B$37,Phone_by_Sentiment!M$2:M$37,"",0,1),0),$A997-TEXT(DATEVALUE($D997&amp;"-01"), "dd-mm-yyyy")),0),0)</f>
        <v>343</v>
      </c>
      <c r="N997" cm="1">
        <f t="array" ref="N997">IF($Q997&gt;=0,IFERROR(generateSalesData($D997, IF(ISNUMBER(_xlfn.XLOOKUP($C997,Phone_by_Sentiment!$B$2:$B$37,Phone_by_Sentiment!N$2:N$37,"",0,1)),_xlfn.XLOOKUP($C997,Phone_by_Sentiment!$B$2:$B$37,Phone_by_Sentiment!N$2:N$37,"",0,1),0),$A997-TEXT(DATEVALUE($D997&amp;"-01"), "dd-mm-yyyy")),0),0)</f>
        <v>49</v>
      </c>
      <c r="O997" cm="1">
        <f t="array" ref="O997">IF($Q997&gt;=0,IFERROR(generateSalesData($D997, IF(ISNUMBER(_xlfn.XLOOKUP($C997,Phone_by_Sentiment!$B$2:$B$37,Phone_by_Sentiment!O$2:O$37,"",0,1)),_xlfn.XLOOKUP($C997,Phone_by_Sentiment!$B$2:$B$37,Phone_by_Sentiment!O$2:O$37,"",0,1),0),$A997-TEXT(DATEVALUE($D997&amp;"-01"), "dd-mm-yyyy")),0),0)</f>
        <v>277</v>
      </c>
      <c r="P997" s="1">
        <f t="shared" si="40"/>
        <v>44075</v>
      </c>
      <c r="Q997">
        <f t="shared" si="41"/>
        <v>242</v>
      </c>
    </row>
    <row r="998" spans="1:17" x14ac:dyDescent="0.25">
      <c r="A998" s="1">
        <f t="shared" si="42"/>
        <v>44317</v>
      </c>
      <c r="B998" t="s">
        <v>147</v>
      </c>
      <c r="C998" t="str">
        <f>_xlfn.XLOOKUP(B998,Phone_by_Price!$A$2:$A$34,Phone_by_Price!$B$2:$B$34,"-",0,1)</f>
        <v>Huawei Y9a</v>
      </c>
      <c r="D998" t="str">
        <f>_xlfn.XLOOKUP(C998,Phone_by_Sentiment!$B$2:$B$37,Phone_by_Sentiment!$A$2:$A$37,"-",0,1)</f>
        <v>2020-02</v>
      </c>
      <c r="E998" cm="1">
        <f t="array" ref="E998">IF($Q998&gt;=0,IFERROR(generateSalesData($D998, IF(ISNUMBER(_xlfn.XLOOKUP($C998,Phone_by_Sentiment!$B$2:$B$37,Phone_by_Sentiment!E$2:E$37,"",0,1)),_xlfn.XLOOKUP($C998,Phone_by_Sentiment!$B$2:$B$37,Phone_by_Sentiment!E$2:E$37,"",0,1),0),$A998-TEXT(DATEVALUE($D998&amp;"-01"), "dd-mm-yyyy")),0),0)</f>
        <v>128</v>
      </c>
      <c r="F998" cm="1">
        <f t="array" ref="F998">IF($Q998&gt;=0,IFERROR(generateSalesData($D998, IF(ISNUMBER(_xlfn.XLOOKUP($C998,Phone_by_Sentiment!$B$2:$B$37,Phone_by_Sentiment!F$2:F$37,"",0,1)),_xlfn.XLOOKUP($C998,Phone_by_Sentiment!$B$2:$B$37,Phone_by_Sentiment!F$2:F$37,"",0,1),0),$A998-TEXT(DATEVALUE($D998&amp;"-01"), "dd-mm-yyyy")),0),0)</f>
        <v>627</v>
      </c>
      <c r="G998" cm="1">
        <f t="array" ref="G998">IF($Q998&gt;=0,IFERROR(generateSalesData($D998, IF(ISNUMBER(_xlfn.XLOOKUP($C998,Phone_by_Sentiment!$B$2:$B$37,Phone_by_Sentiment!G$2:G$37,"",0,1)),_xlfn.XLOOKUP($C998,Phone_by_Sentiment!$B$2:$B$37,Phone_by_Sentiment!G$2:G$37,"",0,1),0),$A998-TEXT(DATEVALUE($D998&amp;"-01"), "dd-mm-yyyy")),0),0)</f>
        <v>265</v>
      </c>
      <c r="H998" cm="1">
        <f t="array" ref="H998">IF($Q998&gt;=0,IFERROR(generateSalesData($D998, IF(ISNUMBER(_xlfn.XLOOKUP($C998,Phone_by_Sentiment!$B$2:$B$37,Phone_by_Sentiment!H$2:H$37,"",0,1)),_xlfn.XLOOKUP($C998,Phone_by_Sentiment!$B$2:$B$37,Phone_by_Sentiment!H$2:H$37,"",0,1),0),$A998-TEXT(DATEVALUE($D998&amp;"-01"), "dd-mm-yyyy")),0),0)</f>
        <v>69</v>
      </c>
      <c r="I998" cm="1">
        <f t="array" ref="I998">IF($Q998&gt;=0,IFERROR(generateSalesData($D998, IF(ISNUMBER(_xlfn.XLOOKUP($C998,Phone_by_Sentiment!$B$2:$B$37,Phone_by_Sentiment!I$2:I$37,"",0,1)),_xlfn.XLOOKUP($C998,Phone_by_Sentiment!$B$2:$B$37,Phone_by_Sentiment!I$2:I$37,"",0,1),0),$A998-TEXT(DATEVALUE($D998&amp;"-01"), "dd-mm-yyyy")),0),0)</f>
        <v>76</v>
      </c>
      <c r="J998" cm="1">
        <f t="array" ref="J998">IF($Q998&gt;=0,IFERROR(generateSalesData($D998, IF(ISNUMBER(_xlfn.XLOOKUP($C998,Phone_by_Sentiment!$B$2:$B$37,Phone_by_Sentiment!J$2:J$37,"",0,1)),_xlfn.XLOOKUP($C998,Phone_by_Sentiment!$B$2:$B$37,Phone_by_Sentiment!J$2:J$37,"",0,1),0),$A998-TEXT(DATEVALUE($D998&amp;"-01"), "dd-mm-yyyy")),0),0)</f>
        <v>129</v>
      </c>
      <c r="K998" cm="1">
        <f t="array" ref="K998">IF($Q998&gt;=0,IFERROR(generateSalesData($D998, IF(ISNUMBER(_xlfn.XLOOKUP($C998,Phone_by_Sentiment!$B$2:$B$37,Phone_by_Sentiment!K$2:K$37,"",0,1)),_xlfn.XLOOKUP($C998,Phone_by_Sentiment!$B$2:$B$37,Phone_by_Sentiment!K$2:K$37,"",0,1),0),$A998-TEXT(DATEVALUE($D998&amp;"-01"), "dd-mm-yyyy")),0),0)</f>
        <v>148</v>
      </c>
      <c r="L998" cm="1">
        <f t="array" ref="L998">IF($Q998&gt;=0,IFERROR(generateSalesData($D998, IF(ISNUMBER(_xlfn.XLOOKUP($C998,Phone_by_Sentiment!$B$2:$B$37,Phone_by_Sentiment!L$2:L$37,"",0,1)),_xlfn.XLOOKUP($C998,Phone_by_Sentiment!$B$2:$B$37,Phone_by_Sentiment!L$2:L$37,"",0,1),0),$A998-TEXT(DATEVALUE($D998&amp;"-01"), "dd-mm-yyyy")),0),0)</f>
        <v>214</v>
      </c>
      <c r="M998" cm="1">
        <f t="array" ref="M998">IF($Q998&gt;=0,IFERROR(generateSalesData($D998, IF(ISNUMBER(_xlfn.XLOOKUP($C998,Phone_by_Sentiment!$B$2:$B$37,Phone_by_Sentiment!M$2:M$37,"",0,1)),_xlfn.XLOOKUP($C998,Phone_by_Sentiment!$B$2:$B$37,Phone_by_Sentiment!M$2:M$37,"",0,1),0),$A998-TEXT(DATEVALUE($D998&amp;"-01"), "dd-mm-yyyy")),0),0)</f>
        <v>80</v>
      </c>
      <c r="N998" cm="1">
        <f t="array" ref="N998">IF($Q998&gt;=0,IFERROR(generateSalesData($D998, IF(ISNUMBER(_xlfn.XLOOKUP($C998,Phone_by_Sentiment!$B$2:$B$37,Phone_by_Sentiment!N$2:N$37,"",0,1)),_xlfn.XLOOKUP($C998,Phone_by_Sentiment!$B$2:$B$37,Phone_by_Sentiment!N$2:N$37,"",0,1),0),$A998-TEXT(DATEVALUE($D998&amp;"-01"), "dd-mm-yyyy")),0),0)</f>
        <v>201</v>
      </c>
      <c r="O998" cm="1">
        <f t="array" ref="O998">IF($Q998&gt;=0,IFERROR(generateSalesData($D998, IF(ISNUMBER(_xlfn.XLOOKUP($C998,Phone_by_Sentiment!$B$2:$B$37,Phone_by_Sentiment!O$2:O$37,"",0,1)),_xlfn.XLOOKUP($C998,Phone_by_Sentiment!$B$2:$B$37,Phone_by_Sentiment!O$2:O$37,"",0,1),0),$A998-TEXT(DATEVALUE($D998&amp;"-01"), "dd-mm-yyyy")),0),0)</f>
        <v>29</v>
      </c>
      <c r="P998" s="1">
        <f t="shared" si="40"/>
        <v>43862</v>
      </c>
      <c r="Q998">
        <f t="shared" si="41"/>
        <v>455</v>
      </c>
    </row>
    <row r="999" spans="1:17" x14ac:dyDescent="0.25">
      <c r="A999" s="1">
        <f t="shared" si="42"/>
        <v>44317</v>
      </c>
      <c r="B999" t="s">
        <v>148</v>
      </c>
      <c r="C999" t="str">
        <f>_xlfn.XLOOKUP(B999,Phone_by_Price!$A$2:$A$34,Phone_by_Price!$B$2:$B$34,"-",0,1)</f>
        <v>Xiaomi Redmi 10</v>
      </c>
      <c r="D999" t="str">
        <f>_xlfn.XLOOKUP(C999,Phone_by_Sentiment!$B$2:$B$37,Phone_by_Sentiment!$A$2:$A$37,"-",0,1)</f>
        <v>2021-03</v>
      </c>
      <c r="E999" cm="1">
        <f t="array" ref="E999">IF($Q999&gt;=0,IFERROR(generateSalesData($D999, IF(ISNUMBER(_xlfn.XLOOKUP($C999,Phone_by_Sentiment!$B$2:$B$37,Phone_by_Sentiment!E$2:E$37,"",0,1)),_xlfn.XLOOKUP($C999,Phone_by_Sentiment!$B$2:$B$37,Phone_by_Sentiment!E$2:E$37,"",0,1),0),$A999-TEXT(DATEVALUE($D999&amp;"-01"), "dd-mm-yyyy")),0),0)</f>
        <v>1335</v>
      </c>
      <c r="F999" cm="1">
        <f t="array" ref="F999">IF($Q999&gt;=0,IFERROR(generateSalesData($D999, IF(ISNUMBER(_xlfn.XLOOKUP($C999,Phone_by_Sentiment!$B$2:$B$37,Phone_by_Sentiment!F$2:F$37,"",0,1)),_xlfn.XLOOKUP($C999,Phone_by_Sentiment!$B$2:$B$37,Phone_by_Sentiment!F$2:F$37,"",0,1),0),$A999-TEXT(DATEVALUE($D999&amp;"-01"), "dd-mm-yyyy")),0),0)</f>
        <v>2111</v>
      </c>
      <c r="G999" cm="1">
        <f t="array" ref="G999">IF($Q999&gt;=0,IFERROR(generateSalesData($D999, IF(ISNUMBER(_xlfn.XLOOKUP($C999,Phone_by_Sentiment!$B$2:$B$37,Phone_by_Sentiment!G$2:G$37,"",0,1)),_xlfn.XLOOKUP($C999,Phone_by_Sentiment!$B$2:$B$37,Phone_by_Sentiment!G$2:G$37,"",0,1),0),$A999-TEXT(DATEVALUE($D999&amp;"-01"), "dd-mm-yyyy")),0),0)</f>
        <v>1500</v>
      </c>
      <c r="H999" cm="1">
        <f t="array" ref="H999">IF($Q999&gt;=0,IFERROR(generateSalesData($D999, IF(ISNUMBER(_xlfn.XLOOKUP($C999,Phone_by_Sentiment!$B$2:$B$37,Phone_by_Sentiment!H$2:H$37,"",0,1)),_xlfn.XLOOKUP($C999,Phone_by_Sentiment!$B$2:$B$37,Phone_by_Sentiment!H$2:H$37,"",0,1),0),$A999-TEXT(DATEVALUE($D999&amp;"-01"), "dd-mm-yyyy")),0),0)</f>
        <v>6549</v>
      </c>
      <c r="I999" cm="1">
        <f t="array" ref="I999">IF($Q999&gt;=0,IFERROR(generateSalesData($D999, IF(ISNUMBER(_xlfn.XLOOKUP($C999,Phone_by_Sentiment!$B$2:$B$37,Phone_by_Sentiment!I$2:I$37,"",0,1)),_xlfn.XLOOKUP($C999,Phone_by_Sentiment!$B$2:$B$37,Phone_by_Sentiment!I$2:I$37,"",0,1),0),$A999-TEXT(DATEVALUE($D999&amp;"-01"), "dd-mm-yyyy")),0),0)</f>
        <v>889</v>
      </c>
      <c r="J999" cm="1">
        <f t="array" ref="J999">IF($Q999&gt;=0,IFERROR(generateSalesData($D999, IF(ISNUMBER(_xlfn.XLOOKUP($C999,Phone_by_Sentiment!$B$2:$B$37,Phone_by_Sentiment!J$2:J$37,"",0,1)),_xlfn.XLOOKUP($C999,Phone_by_Sentiment!$B$2:$B$37,Phone_by_Sentiment!J$2:J$37,"",0,1),0),$A999-TEXT(DATEVALUE($D999&amp;"-01"), "dd-mm-yyyy")),0),0)</f>
        <v>1212</v>
      </c>
      <c r="K999" cm="1">
        <f t="array" ref="K999">IF($Q999&gt;=0,IFERROR(generateSalesData($D999, IF(ISNUMBER(_xlfn.XLOOKUP($C999,Phone_by_Sentiment!$B$2:$B$37,Phone_by_Sentiment!K$2:K$37,"",0,1)),_xlfn.XLOOKUP($C999,Phone_by_Sentiment!$B$2:$B$37,Phone_by_Sentiment!K$2:K$37,"",0,1),0),$A999-TEXT(DATEVALUE($D999&amp;"-01"), "dd-mm-yyyy")),0),0)</f>
        <v>3079</v>
      </c>
      <c r="L999" cm="1">
        <f t="array" ref="L999">IF($Q999&gt;=0,IFERROR(generateSalesData($D999, IF(ISNUMBER(_xlfn.XLOOKUP($C999,Phone_by_Sentiment!$B$2:$B$37,Phone_by_Sentiment!L$2:L$37,"",0,1)),_xlfn.XLOOKUP($C999,Phone_by_Sentiment!$B$2:$B$37,Phone_by_Sentiment!L$2:L$37,"",0,1),0),$A999-TEXT(DATEVALUE($D999&amp;"-01"), "dd-mm-yyyy")),0),0)</f>
        <v>1181</v>
      </c>
      <c r="M999" cm="1">
        <f t="array" ref="M999">IF($Q999&gt;=0,IFERROR(generateSalesData($D999, IF(ISNUMBER(_xlfn.XLOOKUP($C999,Phone_by_Sentiment!$B$2:$B$37,Phone_by_Sentiment!M$2:M$37,"",0,1)),_xlfn.XLOOKUP($C999,Phone_by_Sentiment!$B$2:$B$37,Phone_by_Sentiment!M$2:M$37,"",0,1),0),$A999-TEXT(DATEVALUE($D999&amp;"-01"), "dd-mm-yyyy")),0),0)</f>
        <v>723</v>
      </c>
      <c r="N999" cm="1">
        <f t="array" ref="N999">IF($Q999&gt;=0,IFERROR(generateSalesData($D999, IF(ISNUMBER(_xlfn.XLOOKUP($C999,Phone_by_Sentiment!$B$2:$B$37,Phone_by_Sentiment!N$2:N$37,"",0,1)),_xlfn.XLOOKUP($C999,Phone_by_Sentiment!$B$2:$B$37,Phone_by_Sentiment!N$2:N$37,"",0,1),0),$A999-TEXT(DATEVALUE($D999&amp;"-01"), "dd-mm-yyyy")),0),0)</f>
        <v>6165</v>
      </c>
      <c r="O999" cm="1">
        <f t="array" ref="O999">IF($Q999&gt;=0,IFERROR(generateSalesData($D999, IF(ISNUMBER(_xlfn.XLOOKUP($C999,Phone_by_Sentiment!$B$2:$B$37,Phone_by_Sentiment!O$2:O$37,"",0,1)),_xlfn.XLOOKUP($C999,Phone_by_Sentiment!$B$2:$B$37,Phone_by_Sentiment!O$2:O$37,"",0,1),0),$A999-TEXT(DATEVALUE($D999&amp;"-01"), "dd-mm-yyyy")),0),0)</f>
        <v>4147</v>
      </c>
      <c r="P999" s="1">
        <f t="shared" si="40"/>
        <v>44256</v>
      </c>
      <c r="Q999">
        <f t="shared" si="41"/>
        <v>61</v>
      </c>
    </row>
    <row r="1000" spans="1:17" x14ac:dyDescent="0.25">
      <c r="A1000" s="1">
        <f t="shared" si="42"/>
        <v>44317</v>
      </c>
      <c r="B1000" t="s">
        <v>149</v>
      </c>
      <c r="C1000" t="str">
        <f>_xlfn.XLOOKUP(B1000,Phone_by_Price!$A$2:$A$34,Phone_by_Price!$B$2:$B$34,"-",0,1)</f>
        <v>Samsung Galaxy A52</v>
      </c>
      <c r="D1000" t="str">
        <f>_xlfn.XLOOKUP(C1000,Phone_by_Sentiment!$B$2:$B$37,Phone_by_Sentiment!$A$2:$A$37,"-",0,1)</f>
        <v>2021-03</v>
      </c>
      <c r="E1000" cm="1">
        <f t="array" ref="E1000">IF($Q1000&gt;=0,IFERROR(generateSalesData($D1000, IF(ISNUMBER(_xlfn.XLOOKUP($C1000,Phone_by_Sentiment!$B$2:$B$37,Phone_by_Sentiment!E$2:E$37,"",0,1)),_xlfn.XLOOKUP($C1000,Phone_by_Sentiment!$B$2:$B$37,Phone_by_Sentiment!E$2:E$37,"",0,1),0),$A1000-TEXT(DATEVALUE($D1000&amp;"-01"), "dd-mm-yyyy")),0),0)</f>
        <v>2021</v>
      </c>
      <c r="F1000" cm="1">
        <f t="array" ref="F1000">IF($Q1000&gt;=0,IFERROR(generateSalesData($D1000, IF(ISNUMBER(_xlfn.XLOOKUP($C1000,Phone_by_Sentiment!$B$2:$B$37,Phone_by_Sentiment!F$2:F$37,"",0,1)),_xlfn.XLOOKUP($C1000,Phone_by_Sentiment!$B$2:$B$37,Phone_by_Sentiment!F$2:F$37,"",0,1),0),$A1000-TEXT(DATEVALUE($D1000&amp;"-01"), "dd-mm-yyyy")),0),0)</f>
        <v>3586</v>
      </c>
      <c r="G1000" cm="1">
        <f t="array" ref="G1000">IF($Q1000&gt;=0,IFERROR(generateSalesData($D1000, IF(ISNUMBER(_xlfn.XLOOKUP($C1000,Phone_by_Sentiment!$B$2:$B$37,Phone_by_Sentiment!G$2:G$37,"",0,1)),_xlfn.XLOOKUP($C1000,Phone_by_Sentiment!$B$2:$B$37,Phone_by_Sentiment!G$2:G$37,"",0,1),0),$A1000-TEXT(DATEVALUE($D1000&amp;"-01"), "dd-mm-yyyy")),0),0)</f>
        <v>1291</v>
      </c>
      <c r="H1000" cm="1">
        <f t="array" ref="H1000">IF($Q1000&gt;=0,IFERROR(generateSalesData($D1000, IF(ISNUMBER(_xlfn.XLOOKUP($C1000,Phone_by_Sentiment!$B$2:$B$37,Phone_by_Sentiment!H$2:H$37,"",0,1)),_xlfn.XLOOKUP($C1000,Phone_by_Sentiment!$B$2:$B$37,Phone_by_Sentiment!H$2:H$37,"",0,1),0),$A1000-TEXT(DATEVALUE($D1000&amp;"-01"), "dd-mm-yyyy")),0),0)</f>
        <v>6119</v>
      </c>
      <c r="I1000" cm="1">
        <f t="array" ref="I1000">IF($Q1000&gt;=0,IFERROR(generateSalesData($D1000, IF(ISNUMBER(_xlfn.XLOOKUP($C1000,Phone_by_Sentiment!$B$2:$B$37,Phone_by_Sentiment!I$2:I$37,"",0,1)),_xlfn.XLOOKUP($C1000,Phone_by_Sentiment!$B$2:$B$37,Phone_by_Sentiment!I$2:I$37,"",0,1),0),$A1000-TEXT(DATEVALUE($D1000&amp;"-01"), "dd-mm-yyyy")),0),0)</f>
        <v>6051</v>
      </c>
      <c r="J1000" cm="1">
        <f t="array" ref="J1000">IF($Q1000&gt;=0,IFERROR(generateSalesData($D1000, IF(ISNUMBER(_xlfn.XLOOKUP($C1000,Phone_by_Sentiment!$B$2:$B$37,Phone_by_Sentiment!J$2:J$37,"",0,1)),_xlfn.XLOOKUP($C1000,Phone_by_Sentiment!$B$2:$B$37,Phone_by_Sentiment!J$2:J$37,"",0,1),0),$A1000-TEXT(DATEVALUE($D1000&amp;"-01"), "dd-mm-yyyy")),0),0)</f>
        <v>3033</v>
      </c>
      <c r="K1000" cm="1">
        <f t="array" ref="K1000">IF($Q1000&gt;=0,IFERROR(generateSalesData($D1000, IF(ISNUMBER(_xlfn.XLOOKUP($C1000,Phone_by_Sentiment!$B$2:$B$37,Phone_by_Sentiment!K$2:K$37,"",0,1)),_xlfn.XLOOKUP($C1000,Phone_by_Sentiment!$B$2:$B$37,Phone_by_Sentiment!K$2:K$37,"",0,1),0),$A1000-TEXT(DATEVALUE($D1000&amp;"-01"), "dd-mm-yyyy")),0),0)</f>
        <v>4373</v>
      </c>
      <c r="L1000" cm="1">
        <f t="array" ref="L1000">IF($Q1000&gt;=0,IFERROR(generateSalesData($D1000, IF(ISNUMBER(_xlfn.XLOOKUP($C1000,Phone_by_Sentiment!$B$2:$B$37,Phone_by_Sentiment!L$2:L$37,"",0,1)),_xlfn.XLOOKUP($C1000,Phone_by_Sentiment!$B$2:$B$37,Phone_by_Sentiment!L$2:L$37,"",0,1),0),$A1000-TEXT(DATEVALUE($D1000&amp;"-01"), "dd-mm-yyyy")),0),0)</f>
        <v>5802</v>
      </c>
      <c r="M1000" cm="1">
        <f t="array" ref="M1000">IF($Q1000&gt;=0,IFERROR(generateSalesData($D1000, IF(ISNUMBER(_xlfn.XLOOKUP($C1000,Phone_by_Sentiment!$B$2:$B$37,Phone_by_Sentiment!M$2:M$37,"",0,1)),_xlfn.XLOOKUP($C1000,Phone_by_Sentiment!$B$2:$B$37,Phone_by_Sentiment!M$2:M$37,"",0,1),0),$A1000-TEXT(DATEVALUE($D1000&amp;"-01"), "dd-mm-yyyy")),0),0)</f>
        <v>3700</v>
      </c>
      <c r="N1000" cm="1">
        <f t="array" ref="N1000">IF($Q1000&gt;=0,IFERROR(generateSalesData($D1000, IF(ISNUMBER(_xlfn.XLOOKUP($C1000,Phone_by_Sentiment!$B$2:$B$37,Phone_by_Sentiment!N$2:N$37,"",0,1)),_xlfn.XLOOKUP($C1000,Phone_by_Sentiment!$B$2:$B$37,Phone_by_Sentiment!N$2:N$37,"",0,1),0),$A1000-TEXT(DATEVALUE($D1000&amp;"-01"), "dd-mm-yyyy")),0),0)</f>
        <v>1845</v>
      </c>
      <c r="O1000" cm="1">
        <f t="array" ref="O1000">IF($Q1000&gt;=0,IFERROR(generateSalesData($D1000, IF(ISNUMBER(_xlfn.XLOOKUP($C1000,Phone_by_Sentiment!$B$2:$B$37,Phone_by_Sentiment!O$2:O$37,"",0,1)),_xlfn.XLOOKUP($C1000,Phone_by_Sentiment!$B$2:$B$37,Phone_by_Sentiment!O$2:O$37,"",0,1),0),$A1000-TEXT(DATEVALUE($D1000&amp;"-01"), "dd-mm-yyyy")),0),0)</f>
        <v>1824</v>
      </c>
      <c r="P1000" s="1">
        <f t="shared" si="40"/>
        <v>44256</v>
      </c>
      <c r="Q1000">
        <f t="shared" si="41"/>
        <v>61</v>
      </c>
    </row>
    <row r="1001" spans="1:17" x14ac:dyDescent="0.25">
      <c r="A1001" s="1">
        <f t="shared" si="42"/>
        <v>44317</v>
      </c>
      <c r="B1001" t="s">
        <v>150</v>
      </c>
      <c r="C1001" t="str">
        <f>_xlfn.XLOOKUP(B1001,Phone_by_Price!$A$2:$A$34,Phone_by_Price!$B$2:$B$34,"-",0,1)</f>
        <v>Vivo Y33s</v>
      </c>
      <c r="D1001" t="str">
        <f>_xlfn.XLOOKUP(C1001,Phone_by_Sentiment!$B$2:$B$37,Phone_by_Sentiment!$A$2:$A$37,"-",0,1)</f>
        <v>2021-05</v>
      </c>
      <c r="E1001" cm="1">
        <f t="array" ref="E1001">IF($Q1001&gt;=0,IFERROR(generateSalesData($D1001, IF(ISNUMBER(_xlfn.XLOOKUP($C1001,Phone_by_Sentiment!$B$2:$B$37,Phone_by_Sentiment!E$2:E$37,"",0,1)),_xlfn.XLOOKUP($C1001,Phone_by_Sentiment!$B$2:$B$37,Phone_by_Sentiment!E$2:E$37,"",0,1),0),$A1001-TEXT(DATEVALUE($D1001&amp;"-01"), "dd-mm-yyyy")),0),0)</f>
        <v>3918</v>
      </c>
      <c r="F1001" cm="1">
        <f t="array" ref="F1001">IF($Q1001&gt;=0,IFERROR(generateSalesData($D1001, IF(ISNUMBER(_xlfn.XLOOKUP($C1001,Phone_by_Sentiment!$B$2:$B$37,Phone_by_Sentiment!F$2:F$37,"",0,1)),_xlfn.XLOOKUP($C1001,Phone_by_Sentiment!$B$2:$B$37,Phone_by_Sentiment!F$2:F$37,"",0,1),0),$A1001-TEXT(DATEVALUE($D1001&amp;"-01"), "dd-mm-yyyy")),0),0)</f>
        <v>2787</v>
      </c>
      <c r="G1001" cm="1">
        <f t="array" ref="G1001">IF($Q1001&gt;=0,IFERROR(generateSalesData($D1001, IF(ISNUMBER(_xlfn.XLOOKUP($C1001,Phone_by_Sentiment!$B$2:$B$37,Phone_by_Sentiment!G$2:G$37,"",0,1)),_xlfn.XLOOKUP($C1001,Phone_by_Sentiment!$B$2:$B$37,Phone_by_Sentiment!G$2:G$37,"",0,1),0),$A1001-TEXT(DATEVALUE($D1001&amp;"-01"), "dd-mm-yyyy")),0),0)</f>
        <v>2338</v>
      </c>
      <c r="H1001" cm="1">
        <f t="array" ref="H1001">IF($Q1001&gt;=0,IFERROR(generateSalesData($D1001, IF(ISNUMBER(_xlfn.XLOOKUP($C1001,Phone_by_Sentiment!$B$2:$B$37,Phone_by_Sentiment!H$2:H$37,"",0,1)),_xlfn.XLOOKUP($C1001,Phone_by_Sentiment!$B$2:$B$37,Phone_by_Sentiment!H$2:H$37,"",0,1),0),$A1001-TEXT(DATEVALUE($D1001&amp;"-01"), "dd-mm-yyyy")),0),0)</f>
        <v>7395</v>
      </c>
      <c r="I1001" cm="1">
        <f t="array" ref="I1001">IF($Q1001&gt;=0,IFERROR(generateSalesData($D1001, IF(ISNUMBER(_xlfn.XLOOKUP($C1001,Phone_by_Sentiment!$B$2:$B$37,Phone_by_Sentiment!I$2:I$37,"",0,1)),_xlfn.XLOOKUP($C1001,Phone_by_Sentiment!$B$2:$B$37,Phone_by_Sentiment!I$2:I$37,"",0,1),0),$A1001-TEXT(DATEVALUE($D1001&amp;"-01"), "dd-mm-yyyy")),0),0)</f>
        <v>1383</v>
      </c>
      <c r="J1001" cm="1">
        <f t="array" ref="J1001">IF($Q1001&gt;=0,IFERROR(generateSalesData($D1001, IF(ISNUMBER(_xlfn.XLOOKUP($C1001,Phone_by_Sentiment!$B$2:$B$37,Phone_by_Sentiment!J$2:J$37,"",0,1)),_xlfn.XLOOKUP($C1001,Phone_by_Sentiment!$B$2:$B$37,Phone_by_Sentiment!J$2:J$37,"",0,1),0),$A1001-TEXT(DATEVALUE($D1001&amp;"-01"), "dd-mm-yyyy")),0),0)</f>
        <v>2062</v>
      </c>
      <c r="K1001" cm="1">
        <f t="array" ref="K1001">IF($Q1001&gt;=0,IFERROR(generateSalesData($D1001, IF(ISNUMBER(_xlfn.XLOOKUP($C1001,Phone_by_Sentiment!$B$2:$B$37,Phone_by_Sentiment!K$2:K$37,"",0,1)),_xlfn.XLOOKUP($C1001,Phone_by_Sentiment!$B$2:$B$37,Phone_by_Sentiment!K$2:K$37,"",0,1),0),$A1001-TEXT(DATEVALUE($D1001&amp;"-01"), "dd-mm-yyyy")),0),0)</f>
        <v>2347</v>
      </c>
      <c r="L1001" cm="1">
        <f t="array" ref="L1001">IF($Q1001&gt;=0,IFERROR(generateSalesData($D1001, IF(ISNUMBER(_xlfn.XLOOKUP($C1001,Phone_by_Sentiment!$B$2:$B$37,Phone_by_Sentiment!L$2:L$37,"",0,1)),_xlfn.XLOOKUP($C1001,Phone_by_Sentiment!$B$2:$B$37,Phone_by_Sentiment!L$2:L$37,"",0,1),0),$A1001-TEXT(DATEVALUE($D1001&amp;"-01"), "dd-mm-yyyy")),0),0)</f>
        <v>2721</v>
      </c>
      <c r="M1001" cm="1">
        <f t="array" ref="M1001">IF($Q1001&gt;=0,IFERROR(generateSalesData($D1001, IF(ISNUMBER(_xlfn.XLOOKUP($C1001,Phone_by_Sentiment!$B$2:$B$37,Phone_by_Sentiment!M$2:M$37,"",0,1)),_xlfn.XLOOKUP($C1001,Phone_by_Sentiment!$B$2:$B$37,Phone_by_Sentiment!M$2:M$37,"",0,1),0),$A1001-TEXT(DATEVALUE($D1001&amp;"-01"), "dd-mm-yyyy")),0),0)</f>
        <v>2927</v>
      </c>
      <c r="N1001" cm="1">
        <f t="array" ref="N1001">IF($Q1001&gt;=0,IFERROR(generateSalesData($D1001, IF(ISNUMBER(_xlfn.XLOOKUP($C1001,Phone_by_Sentiment!$B$2:$B$37,Phone_by_Sentiment!N$2:N$37,"",0,1)),_xlfn.XLOOKUP($C1001,Phone_by_Sentiment!$B$2:$B$37,Phone_by_Sentiment!N$2:N$37,"",0,1),0),$A1001-TEXT(DATEVALUE($D1001&amp;"-01"), "dd-mm-yyyy")),0),0)</f>
        <v>557</v>
      </c>
      <c r="O1001" cm="1">
        <f t="array" ref="O1001">IF($Q1001&gt;=0,IFERROR(generateSalesData($D1001, IF(ISNUMBER(_xlfn.XLOOKUP($C1001,Phone_by_Sentiment!$B$2:$B$37,Phone_by_Sentiment!O$2:O$37,"",0,1)),_xlfn.XLOOKUP($C1001,Phone_by_Sentiment!$B$2:$B$37,Phone_by_Sentiment!O$2:O$37,"",0,1),0),$A1001-TEXT(DATEVALUE($D1001&amp;"-01"), "dd-mm-yyyy")),0),0)</f>
        <v>10819</v>
      </c>
      <c r="P1001" s="1">
        <f t="shared" si="40"/>
        <v>44317</v>
      </c>
      <c r="Q1001">
        <f t="shared" si="41"/>
        <v>0</v>
      </c>
    </row>
    <row r="1002" spans="1:17" x14ac:dyDescent="0.25">
      <c r="A1002" s="1">
        <f t="shared" si="42"/>
        <v>44317</v>
      </c>
      <c r="B1002" t="s">
        <v>151</v>
      </c>
      <c r="C1002" t="str">
        <f>_xlfn.XLOOKUP(B1002,Phone_by_Price!$A$2:$A$34,Phone_by_Price!$B$2:$B$34,"-",0,1)</f>
        <v>Vivo Y11s</v>
      </c>
      <c r="D1002" t="str">
        <f>_xlfn.XLOOKUP(C1002,Phone_by_Sentiment!$B$2:$B$37,Phone_by_Sentiment!$A$2:$A$37,"-",0,1)</f>
        <v>2020-11</v>
      </c>
      <c r="E1002" cm="1">
        <f t="array" ref="E1002">IF($Q1002&gt;=0,IFERROR(generateSalesData($D1002, IF(ISNUMBER(_xlfn.XLOOKUP($C1002,Phone_by_Sentiment!$B$2:$B$37,Phone_by_Sentiment!E$2:E$37,"",0,1)),_xlfn.XLOOKUP($C1002,Phone_by_Sentiment!$B$2:$B$37,Phone_by_Sentiment!E$2:E$37,"",0,1),0),$A1002-TEXT(DATEVALUE($D1002&amp;"-01"), "dd-mm-yyyy")),0),0)</f>
        <v>228</v>
      </c>
      <c r="F1002" cm="1">
        <f t="array" ref="F1002">IF($Q1002&gt;=0,IFERROR(generateSalesData($D1002, IF(ISNUMBER(_xlfn.XLOOKUP($C1002,Phone_by_Sentiment!$B$2:$B$37,Phone_by_Sentiment!F$2:F$37,"",0,1)),_xlfn.XLOOKUP($C1002,Phone_by_Sentiment!$B$2:$B$37,Phone_by_Sentiment!F$2:F$37,"",0,1),0),$A1002-TEXT(DATEVALUE($D1002&amp;"-01"), "dd-mm-yyyy")),0),0)</f>
        <v>109</v>
      </c>
      <c r="G1002" cm="1">
        <f t="array" ref="G1002">IF($Q1002&gt;=0,IFERROR(generateSalesData($D1002, IF(ISNUMBER(_xlfn.XLOOKUP($C1002,Phone_by_Sentiment!$B$2:$B$37,Phone_by_Sentiment!G$2:G$37,"",0,1)),_xlfn.XLOOKUP($C1002,Phone_by_Sentiment!$B$2:$B$37,Phone_by_Sentiment!G$2:G$37,"",0,1),0),$A1002-TEXT(DATEVALUE($D1002&amp;"-01"), "dd-mm-yyyy")),0),0)</f>
        <v>446</v>
      </c>
      <c r="H1002" cm="1">
        <f t="array" ref="H1002">IF($Q1002&gt;=0,IFERROR(generateSalesData($D1002, IF(ISNUMBER(_xlfn.XLOOKUP($C1002,Phone_by_Sentiment!$B$2:$B$37,Phone_by_Sentiment!H$2:H$37,"",0,1)),_xlfn.XLOOKUP($C1002,Phone_by_Sentiment!$B$2:$B$37,Phone_by_Sentiment!H$2:H$37,"",0,1),0),$A1002-TEXT(DATEVALUE($D1002&amp;"-01"), "dd-mm-yyyy")),0),0)</f>
        <v>408</v>
      </c>
      <c r="I1002" cm="1">
        <f t="array" ref="I1002">IF($Q1002&gt;=0,IFERROR(generateSalesData($D1002, IF(ISNUMBER(_xlfn.XLOOKUP($C1002,Phone_by_Sentiment!$B$2:$B$37,Phone_by_Sentiment!I$2:I$37,"",0,1)),_xlfn.XLOOKUP($C1002,Phone_by_Sentiment!$B$2:$B$37,Phone_by_Sentiment!I$2:I$37,"",0,1),0),$A1002-TEXT(DATEVALUE($D1002&amp;"-01"), "dd-mm-yyyy")),0),0)</f>
        <v>1270</v>
      </c>
      <c r="J1002" cm="1">
        <f t="array" ref="J1002">IF($Q1002&gt;=0,IFERROR(generateSalesData($D1002, IF(ISNUMBER(_xlfn.XLOOKUP($C1002,Phone_by_Sentiment!$B$2:$B$37,Phone_by_Sentiment!J$2:J$37,"",0,1)),_xlfn.XLOOKUP($C1002,Phone_by_Sentiment!$B$2:$B$37,Phone_by_Sentiment!J$2:J$37,"",0,1),0),$A1002-TEXT(DATEVALUE($D1002&amp;"-01"), "dd-mm-yyyy")),0),0)</f>
        <v>55</v>
      </c>
      <c r="K1002" cm="1">
        <f t="array" ref="K1002">IF($Q1002&gt;=0,IFERROR(generateSalesData($D1002, IF(ISNUMBER(_xlfn.XLOOKUP($C1002,Phone_by_Sentiment!$B$2:$B$37,Phone_by_Sentiment!K$2:K$37,"",0,1)),_xlfn.XLOOKUP($C1002,Phone_by_Sentiment!$B$2:$B$37,Phone_by_Sentiment!K$2:K$37,"",0,1),0),$A1002-TEXT(DATEVALUE($D1002&amp;"-01"), "dd-mm-yyyy")),0),0)</f>
        <v>215</v>
      </c>
      <c r="L1002" cm="1">
        <f t="array" ref="L1002">IF($Q1002&gt;=0,IFERROR(generateSalesData($D1002, IF(ISNUMBER(_xlfn.XLOOKUP($C1002,Phone_by_Sentiment!$B$2:$B$37,Phone_by_Sentiment!L$2:L$37,"",0,1)),_xlfn.XLOOKUP($C1002,Phone_by_Sentiment!$B$2:$B$37,Phone_by_Sentiment!L$2:L$37,"",0,1),0),$A1002-TEXT(DATEVALUE($D1002&amp;"-01"), "dd-mm-yyyy")),0),0)</f>
        <v>448</v>
      </c>
      <c r="M1002" cm="1">
        <f t="array" ref="M1002">IF($Q1002&gt;=0,IFERROR(generateSalesData($D1002, IF(ISNUMBER(_xlfn.XLOOKUP($C1002,Phone_by_Sentiment!$B$2:$B$37,Phone_by_Sentiment!M$2:M$37,"",0,1)),_xlfn.XLOOKUP($C1002,Phone_by_Sentiment!$B$2:$B$37,Phone_by_Sentiment!M$2:M$37,"",0,1),0),$A1002-TEXT(DATEVALUE($D1002&amp;"-01"), "dd-mm-yyyy")),0),0)</f>
        <v>785</v>
      </c>
      <c r="N1002" cm="1">
        <f t="array" ref="N1002">IF($Q1002&gt;=0,IFERROR(generateSalesData($D1002, IF(ISNUMBER(_xlfn.XLOOKUP($C1002,Phone_by_Sentiment!$B$2:$B$37,Phone_by_Sentiment!N$2:N$37,"",0,1)),_xlfn.XLOOKUP($C1002,Phone_by_Sentiment!$B$2:$B$37,Phone_by_Sentiment!N$2:N$37,"",0,1),0),$A1002-TEXT(DATEVALUE($D1002&amp;"-01"), "dd-mm-yyyy")),0),0)</f>
        <v>373</v>
      </c>
      <c r="O1002" cm="1">
        <f t="array" ref="O1002">IF($Q1002&gt;=0,IFERROR(generateSalesData($D1002, IF(ISNUMBER(_xlfn.XLOOKUP($C1002,Phone_by_Sentiment!$B$2:$B$37,Phone_by_Sentiment!O$2:O$37,"",0,1)),_xlfn.XLOOKUP($C1002,Phone_by_Sentiment!$B$2:$B$37,Phone_by_Sentiment!O$2:O$37,"",0,1),0),$A1002-TEXT(DATEVALUE($D1002&amp;"-01"), "dd-mm-yyyy")),0),0)</f>
        <v>417</v>
      </c>
      <c r="P1002" s="1">
        <f t="shared" si="40"/>
        <v>44136</v>
      </c>
      <c r="Q1002">
        <f t="shared" si="41"/>
        <v>181</v>
      </c>
    </row>
    <row r="1003" spans="1:17" x14ac:dyDescent="0.25">
      <c r="A1003" s="1">
        <f t="shared" si="42"/>
        <v>44317</v>
      </c>
      <c r="B1003" t="s">
        <v>152</v>
      </c>
      <c r="C1003" t="str">
        <f>_xlfn.XLOOKUP(B1003,Phone_by_Price!$A$2:$A$34,Phone_by_Price!$B$2:$B$34,"-",0,1)</f>
        <v>Huawei Nova 7i</v>
      </c>
      <c r="D1003" t="str">
        <f>_xlfn.XLOOKUP(C1003,Phone_by_Sentiment!$B$2:$B$37,Phone_by_Sentiment!$A$2:$A$37,"-",0,1)</f>
        <v>2020-02</v>
      </c>
      <c r="E1003" cm="1">
        <f t="array" ref="E1003">IF($Q1003&gt;=0,IFERROR(generateSalesData($D1003, IF(ISNUMBER(_xlfn.XLOOKUP($C1003,Phone_by_Sentiment!$B$2:$B$37,Phone_by_Sentiment!E$2:E$37,"",0,1)),_xlfn.XLOOKUP($C1003,Phone_by_Sentiment!$B$2:$B$37,Phone_by_Sentiment!E$2:E$37,"",0,1),0),$A1003-TEXT(DATEVALUE($D1003&amp;"-01"), "dd-mm-yyyy")),0),0)</f>
        <v>49</v>
      </c>
      <c r="F1003" cm="1">
        <f t="array" ref="F1003">IF($Q1003&gt;=0,IFERROR(generateSalesData($D1003, IF(ISNUMBER(_xlfn.XLOOKUP($C1003,Phone_by_Sentiment!$B$2:$B$37,Phone_by_Sentiment!F$2:F$37,"",0,1)),_xlfn.XLOOKUP($C1003,Phone_by_Sentiment!$B$2:$B$37,Phone_by_Sentiment!F$2:F$37,"",0,1),0),$A1003-TEXT(DATEVALUE($D1003&amp;"-01"), "dd-mm-yyyy")),0),0)</f>
        <v>84</v>
      </c>
      <c r="G1003" cm="1">
        <f t="array" ref="G1003">IF($Q1003&gt;=0,IFERROR(generateSalesData($D1003, IF(ISNUMBER(_xlfn.XLOOKUP($C1003,Phone_by_Sentiment!$B$2:$B$37,Phone_by_Sentiment!G$2:G$37,"",0,1)),_xlfn.XLOOKUP($C1003,Phone_by_Sentiment!$B$2:$B$37,Phone_by_Sentiment!G$2:G$37,"",0,1),0),$A1003-TEXT(DATEVALUE($D1003&amp;"-01"), "dd-mm-yyyy")),0),0)</f>
        <v>97</v>
      </c>
      <c r="H1003" cm="1">
        <f t="array" ref="H1003">IF($Q1003&gt;=0,IFERROR(generateSalesData($D1003, IF(ISNUMBER(_xlfn.XLOOKUP($C1003,Phone_by_Sentiment!$B$2:$B$37,Phone_by_Sentiment!H$2:H$37,"",0,1)),_xlfn.XLOOKUP($C1003,Phone_by_Sentiment!$B$2:$B$37,Phone_by_Sentiment!H$2:H$37,"",0,1),0),$A1003-TEXT(DATEVALUE($D1003&amp;"-01"), "dd-mm-yyyy")),0),0)</f>
        <v>241</v>
      </c>
      <c r="I1003" cm="1">
        <f t="array" ref="I1003">IF($Q1003&gt;=0,IFERROR(generateSalesData($D1003, IF(ISNUMBER(_xlfn.XLOOKUP($C1003,Phone_by_Sentiment!$B$2:$B$37,Phone_by_Sentiment!I$2:I$37,"",0,1)),_xlfn.XLOOKUP($C1003,Phone_by_Sentiment!$B$2:$B$37,Phone_by_Sentiment!I$2:I$37,"",0,1),0),$A1003-TEXT(DATEVALUE($D1003&amp;"-01"), "dd-mm-yyyy")),0),0)</f>
        <v>186</v>
      </c>
      <c r="J1003" cm="1">
        <f t="array" ref="J1003">IF($Q1003&gt;=0,IFERROR(generateSalesData($D1003, IF(ISNUMBER(_xlfn.XLOOKUP($C1003,Phone_by_Sentiment!$B$2:$B$37,Phone_by_Sentiment!J$2:J$37,"",0,1)),_xlfn.XLOOKUP($C1003,Phone_by_Sentiment!$B$2:$B$37,Phone_by_Sentiment!J$2:J$37,"",0,1),0),$A1003-TEXT(DATEVALUE($D1003&amp;"-01"), "dd-mm-yyyy")),0),0)</f>
        <v>15</v>
      </c>
      <c r="K1003" cm="1">
        <f t="array" ref="K1003">IF($Q1003&gt;=0,IFERROR(generateSalesData($D1003, IF(ISNUMBER(_xlfn.XLOOKUP($C1003,Phone_by_Sentiment!$B$2:$B$37,Phone_by_Sentiment!K$2:K$37,"",0,1)),_xlfn.XLOOKUP($C1003,Phone_by_Sentiment!$B$2:$B$37,Phone_by_Sentiment!K$2:K$37,"",0,1),0),$A1003-TEXT(DATEVALUE($D1003&amp;"-01"), "dd-mm-yyyy")),0),0)</f>
        <v>112</v>
      </c>
      <c r="L1003" cm="1">
        <f t="array" ref="L1003">IF($Q1003&gt;=0,IFERROR(generateSalesData($D1003, IF(ISNUMBER(_xlfn.XLOOKUP($C1003,Phone_by_Sentiment!$B$2:$B$37,Phone_by_Sentiment!L$2:L$37,"",0,1)),_xlfn.XLOOKUP($C1003,Phone_by_Sentiment!$B$2:$B$37,Phone_by_Sentiment!L$2:L$37,"",0,1),0),$A1003-TEXT(DATEVALUE($D1003&amp;"-01"), "dd-mm-yyyy")),0),0)</f>
        <v>105</v>
      </c>
      <c r="M1003" cm="1">
        <f t="array" ref="M1003">IF($Q1003&gt;=0,IFERROR(generateSalesData($D1003, IF(ISNUMBER(_xlfn.XLOOKUP($C1003,Phone_by_Sentiment!$B$2:$B$37,Phone_by_Sentiment!M$2:M$37,"",0,1)),_xlfn.XLOOKUP($C1003,Phone_by_Sentiment!$B$2:$B$37,Phone_by_Sentiment!M$2:M$37,"",0,1),0),$A1003-TEXT(DATEVALUE($D1003&amp;"-01"), "dd-mm-yyyy")),0),0)</f>
        <v>189</v>
      </c>
      <c r="N1003" cm="1">
        <f t="array" ref="N1003">IF($Q1003&gt;=0,IFERROR(generateSalesData($D1003, IF(ISNUMBER(_xlfn.XLOOKUP($C1003,Phone_by_Sentiment!$B$2:$B$37,Phone_by_Sentiment!N$2:N$37,"",0,1)),_xlfn.XLOOKUP($C1003,Phone_by_Sentiment!$B$2:$B$37,Phone_by_Sentiment!N$2:N$37,"",0,1),0),$A1003-TEXT(DATEVALUE($D1003&amp;"-01"), "dd-mm-yyyy")),0),0)</f>
        <v>226</v>
      </c>
      <c r="O1003" cm="1">
        <f t="array" ref="O1003">IF($Q1003&gt;=0,IFERROR(generateSalesData($D1003, IF(ISNUMBER(_xlfn.XLOOKUP($C1003,Phone_by_Sentiment!$B$2:$B$37,Phone_by_Sentiment!O$2:O$37,"",0,1)),_xlfn.XLOOKUP($C1003,Phone_by_Sentiment!$B$2:$B$37,Phone_by_Sentiment!O$2:O$37,"",0,1),0),$A1003-TEXT(DATEVALUE($D1003&amp;"-01"), "dd-mm-yyyy")),0),0)</f>
        <v>153</v>
      </c>
      <c r="P1003" s="1">
        <f t="shared" si="40"/>
        <v>43862</v>
      </c>
      <c r="Q1003">
        <f t="shared" si="41"/>
        <v>455</v>
      </c>
    </row>
    <row r="1004" spans="1:17" x14ac:dyDescent="0.25">
      <c r="A1004" s="1">
        <f t="shared" si="42"/>
        <v>44317</v>
      </c>
      <c r="B1004" t="s">
        <v>153</v>
      </c>
      <c r="C1004" t="str">
        <f>_xlfn.XLOOKUP(B1004,Phone_by_Price!$A$2:$A$34,Phone_by_Price!$B$2:$B$34,"-",0,1)</f>
        <v>iPhone 13</v>
      </c>
      <c r="D1004" t="str">
        <f>_xlfn.XLOOKUP(C1004,Phone_by_Sentiment!$B$2:$B$37,Phone_by_Sentiment!$A$2:$A$37,"-",0,1)</f>
        <v>2021-09</v>
      </c>
      <c r="E1004" cm="1">
        <f t="array" ref="E1004">IF($Q1004&gt;=0,IFERROR(generateSalesData($D1004, IF(ISNUMBER(_xlfn.XLOOKUP($C1004,Phone_by_Sentiment!$B$2:$B$37,Phone_by_Sentiment!E$2:E$37,"",0,1)),_xlfn.XLOOKUP($C1004,Phone_by_Sentiment!$B$2:$B$37,Phone_by_Sentiment!E$2:E$37,"",0,1),0),$A1004-TEXT(DATEVALUE($D1004&amp;"-01"), "dd-mm-yyyy")),0),0)</f>
        <v>0</v>
      </c>
      <c r="F1004" cm="1">
        <f t="array" ref="F1004">IF($Q1004&gt;=0,IFERROR(generateSalesData($D1004, IF(ISNUMBER(_xlfn.XLOOKUP($C1004,Phone_by_Sentiment!$B$2:$B$37,Phone_by_Sentiment!F$2:F$37,"",0,1)),_xlfn.XLOOKUP($C1004,Phone_by_Sentiment!$B$2:$B$37,Phone_by_Sentiment!F$2:F$37,"",0,1),0),$A1004-TEXT(DATEVALUE($D1004&amp;"-01"), "dd-mm-yyyy")),0),0)</f>
        <v>0</v>
      </c>
      <c r="G1004" cm="1">
        <f t="array" ref="G1004">IF($Q1004&gt;=0,IFERROR(generateSalesData($D1004, IF(ISNUMBER(_xlfn.XLOOKUP($C1004,Phone_by_Sentiment!$B$2:$B$37,Phone_by_Sentiment!G$2:G$37,"",0,1)),_xlfn.XLOOKUP($C1004,Phone_by_Sentiment!$B$2:$B$37,Phone_by_Sentiment!G$2:G$37,"",0,1),0),$A1004-TEXT(DATEVALUE($D1004&amp;"-01"), "dd-mm-yyyy")),0),0)</f>
        <v>0</v>
      </c>
      <c r="H1004" cm="1">
        <f t="array" ref="H1004">IF($Q1004&gt;=0,IFERROR(generateSalesData($D1004, IF(ISNUMBER(_xlfn.XLOOKUP($C1004,Phone_by_Sentiment!$B$2:$B$37,Phone_by_Sentiment!H$2:H$37,"",0,1)),_xlfn.XLOOKUP($C1004,Phone_by_Sentiment!$B$2:$B$37,Phone_by_Sentiment!H$2:H$37,"",0,1),0),$A1004-TEXT(DATEVALUE($D1004&amp;"-01"), "dd-mm-yyyy")),0),0)</f>
        <v>0</v>
      </c>
      <c r="I1004" cm="1">
        <f t="array" ref="I1004">IF($Q1004&gt;=0,IFERROR(generateSalesData($D1004, IF(ISNUMBER(_xlfn.XLOOKUP($C1004,Phone_by_Sentiment!$B$2:$B$37,Phone_by_Sentiment!I$2:I$37,"",0,1)),_xlfn.XLOOKUP($C1004,Phone_by_Sentiment!$B$2:$B$37,Phone_by_Sentiment!I$2:I$37,"",0,1),0),$A1004-TEXT(DATEVALUE($D1004&amp;"-01"), "dd-mm-yyyy")),0),0)</f>
        <v>0</v>
      </c>
      <c r="J1004" cm="1">
        <f t="array" ref="J1004">IF($Q1004&gt;=0,IFERROR(generateSalesData($D1004, IF(ISNUMBER(_xlfn.XLOOKUP($C1004,Phone_by_Sentiment!$B$2:$B$37,Phone_by_Sentiment!J$2:J$37,"",0,1)),_xlfn.XLOOKUP($C1004,Phone_by_Sentiment!$B$2:$B$37,Phone_by_Sentiment!J$2:J$37,"",0,1),0),$A1004-TEXT(DATEVALUE($D1004&amp;"-01"), "dd-mm-yyyy")),0),0)</f>
        <v>0</v>
      </c>
      <c r="K1004" cm="1">
        <f t="array" ref="K1004">IF($Q1004&gt;=0,IFERROR(generateSalesData($D1004, IF(ISNUMBER(_xlfn.XLOOKUP($C1004,Phone_by_Sentiment!$B$2:$B$37,Phone_by_Sentiment!K$2:K$37,"",0,1)),_xlfn.XLOOKUP($C1004,Phone_by_Sentiment!$B$2:$B$37,Phone_by_Sentiment!K$2:K$37,"",0,1),0),$A1004-TEXT(DATEVALUE($D1004&amp;"-01"), "dd-mm-yyyy")),0),0)</f>
        <v>0</v>
      </c>
      <c r="L1004" cm="1">
        <f t="array" ref="L1004">IF($Q1004&gt;=0,IFERROR(generateSalesData($D1004, IF(ISNUMBER(_xlfn.XLOOKUP($C1004,Phone_by_Sentiment!$B$2:$B$37,Phone_by_Sentiment!L$2:L$37,"",0,1)),_xlfn.XLOOKUP($C1004,Phone_by_Sentiment!$B$2:$B$37,Phone_by_Sentiment!L$2:L$37,"",0,1),0),$A1004-TEXT(DATEVALUE($D1004&amp;"-01"), "dd-mm-yyyy")),0),0)</f>
        <v>0</v>
      </c>
      <c r="M1004" cm="1">
        <f t="array" ref="M1004">IF($Q1004&gt;=0,IFERROR(generateSalesData($D1004, IF(ISNUMBER(_xlfn.XLOOKUP($C1004,Phone_by_Sentiment!$B$2:$B$37,Phone_by_Sentiment!M$2:M$37,"",0,1)),_xlfn.XLOOKUP($C1004,Phone_by_Sentiment!$B$2:$B$37,Phone_by_Sentiment!M$2:M$37,"",0,1),0),$A1004-TEXT(DATEVALUE($D1004&amp;"-01"), "dd-mm-yyyy")),0),0)</f>
        <v>0</v>
      </c>
      <c r="N1004" cm="1">
        <f t="array" ref="N1004">IF($Q1004&gt;=0,IFERROR(generateSalesData($D1004, IF(ISNUMBER(_xlfn.XLOOKUP($C1004,Phone_by_Sentiment!$B$2:$B$37,Phone_by_Sentiment!N$2:N$37,"",0,1)),_xlfn.XLOOKUP($C1004,Phone_by_Sentiment!$B$2:$B$37,Phone_by_Sentiment!N$2:N$37,"",0,1),0),$A1004-TEXT(DATEVALUE($D1004&amp;"-01"), "dd-mm-yyyy")),0),0)</f>
        <v>0</v>
      </c>
      <c r="O1004" cm="1">
        <f t="array" ref="O1004">IF($Q1004&gt;=0,IFERROR(generateSalesData($D1004, IF(ISNUMBER(_xlfn.XLOOKUP($C1004,Phone_by_Sentiment!$B$2:$B$37,Phone_by_Sentiment!O$2:O$37,"",0,1)),_xlfn.XLOOKUP($C1004,Phone_by_Sentiment!$B$2:$B$37,Phone_by_Sentiment!O$2:O$37,"",0,1),0),$A1004-TEXT(DATEVALUE($D1004&amp;"-01"), "dd-mm-yyyy")),0),0)</f>
        <v>0</v>
      </c>
      <c r="P1004" s="1">
        <f t="shared" si="40"/>
        <v>44440</v>
      </c>
      <c r="Q1004">
        <f t="shared" si="41"/>
        <v>-123</v>
      </c>
    </row>
    <row r="1005" spans="1:17" x14ac:dyDescent="0.25">
      <c r="A1005" s="1">
        <f t="shared" si="42"/>
        <v>44317</v>
      </c>
      <c r="B1005" t="s">
        <v>154</v>
      </c>
      <c r="C1005" t="str">
        <f>_xlfn.XLOOKUP(B1005,Phone_by_Price!$A$2:$A$34,Phone_by_Price!$B$2:$B$34,"-",0,1)</f>
        <v>Samsung Galaxy S21</v>
      </c>
      <c r="D1005" t="str">
        <f>_xlfn.XLOOKUP(C1005,Phone_by_Sentiment!$B$2:$B$37,Phone_by_Sentiment!$A$2:$A$37,"-",0,1)</f>
        <v>2021-01</v>
      </c>
      <c r="E1005" cm="1">
        <f t="array" ref="E1005">IF($Q1005&gt;=0,IFERROR(generateSalesData($D1005, IF(ISNUMBER(_xlfn.XLOOKUP($C1005,Phone_by_Sentiment!$B$2:$B$37,Phone_by_Sentiment!E$2:E$37,"",0,1)),_xlfn.XLOOKUP($C1005,Phone_by_Sentiment!$B$2:$B$37,Phone_by_Sentiment!E$2:E$37,"",0,1),0),$A1005-TEXT(DATEVALUE($D1005&amp;"-01"), "dd-mm-yyyy")),0),0)</f>
        <v>3307</v>
      </c>
      <c r="F1005" cm="1">
        <f t="array" ref="F1005">IF($Q1005&gt;=0,IFERROR(generateSalesData($D1005, IF(ISNUMBER(_xlfn.XLOOKUP($C1005,Phone_by_Sentiment!$B$2:$B$37,Phone_by_Sentiment!F$2:F$37,"",0,1)),_xlfn.XLOOKUP($C1005,Phone_by_Sentiment!$B$2:$B$37,Phone_by_Sentiment!F$2:F$37,"",0,1),0),$A1005-TEXT(DATEVALUE($D1005&amp;"-01"), "dd-mm-yyyy")),0),0)</f>
        <v>2882</v>
      </c>
      <c r="G1005" cm="1">
        <f t="array" ref="G1005">IF($Q1005&gt;=0,IFERROR(generateSalesData($D1005, IF(ISNUMBER(_xlfn.XLOOKUP($C1005,Phone_by_Sentiment!$B$2:$B$37,Phone_by_Sentiment!G$2:G$37,"",0,1)),_xlfn.XLOOKUP($C1005,Phone_by_Sentiment!$B$2:$B$37,Phone_by_Sentiment!G$2:G$37,"",0,1),0),$A1005-TEXT(DATEVALUE($D1005&amp;"-01"), "dd-mm-yyyy")),0),0)</f>
        <v>362</v>
      </c>
      <c r="H1005" cm="1">
        <f t="array" ref="H1005">IF($Q1005&gt;=0,IFERROR(generateSalesData($D1005, IF(ISNUMBER(_xlfn.XLOOKUP($C1005,Phone_by_Sentiment!$B$2:$B$37,Phone_by_Sentiment!H$2:H$37,"",0,1)),_xlfn.XLOOKUP($C1005,Phone_by_Sentiment!$B$2:$B$37,Phone_by_Sentiment!H$2:H$37,"",0,1),0),$A1005-TEXT(DATEVALUE($D1005&amp;"-01"), "dd-mm-yyyy")),0),0)</f>
        <v>2375</v>
      </c>
      <c r="I1005" cm="1">
        <f t="array" ref="I1005">IF($Q1005&gt;=0,IFERROR(generateSalesData($D1005, IF(ISNUMBER(_xlfn.XLOOKUP($C1005,Phone_by_Sentiment!$B$2:$B$37,Phone_by_Sentiment!I$2:I$37,"",0,1)),_xlfn.XLOOKUP($C1005,Phone_by_Sentiment!$B$2:$B$37,Phone_by_Sentiment!I$2:I$37,"",0,1),0),$A1005-TEXT(DATEVALUE($D1005&amp;"-01"), "dd-mm-yyyy")),0),0)</f>
        <v>1886</v>
      </c>
      <c r="J1005" cm="1">
        <f t="array" ref="J1005">IF($Q1005&gt;=0,IFERROR(generateSalesData($D1005, IF(ISNUMBER(_xlfn.XLOOKUP($C1005,Phone_by_Sentiment!$B$2:$B$37,Phone_by_Sentiment!J$2:J$37,"",0,1)),_xlfn.XLOOKUP($C1005,Phone_by_Sentiment!$B$2:$B$37,Phone_by_Sentiment!J$2:J$37,"",0,1),0),$A1005-TEXT(DATEVALUE($D1005&amp;"-01"), "dd-mm-yyyy")),0),0)</f>
        <v>2482</v>
      </c>
      <c r="K1005" cm="1">
        <f t="array" ref="K1005">IF($Q1005&gt;=0,IFERROR(generateSalesData($D1005, IF(ISNUMBER(_xlfn.XLOOKUP($C1005,Phone_by_Sentiment!$B$2:$B$37,Phone_by_Sentiment!K$2:K$37,"",0,1)),_xlfn.XLOOKUP($C1005,Phone_by_Sentiment!$B$2:$B$37,Phone_by_Sentiment!K$2:K$37,"",0,1),0),$A1005-TEXT(DATEVALUE($D1005&amp;"-01"), "dd-mm-yyyy")),0),0)</f>
        <v>558</v>
      </c>
      <c r="L1005" cm="1">
        <f t="array" ref="L1005">IF($Q1005&gt;=0,IFERROR(generateSalesData($D1005, IF(ISNUMBER(_xlfn.XLOOKUP($C1005,Phone_by_Sentiment!$B$2:$B$37,Phone_by_Sentiment!L$2:L$37,"",0,1)),_xlfn.XLOOKUP($C1005,Phone_by_Sentiment!$B$2:$B$37,Phone_by_Sentiment!L$2:L$37,"",0,1),0),$A1005-TEXT(DATEVALUE($D1005&amp;"-01"), "dd-mm-yyyy")),0),0)</f>
        <v>2522</v>
      </c>
      <c r="M1005" cm="1">
        <f t="array" ref="M1005">IF($Q1005&gt;=0,IFERROR(generateSalesData($D1005, IF(ISNUMBER(_xlfn.XLOOKUP($C1005,Phone_by_Sentiment!$B$2:$B$37,Phone_by_Sentiment!M$2:M$37,"",0,1)),_xlfn.XLOOKUP($C1005,Phone_by_Sentiment!$B$2:$B$37,Phone_by_Sentiment!M$2:M$37,"",0,1),0),$A1005-TEXT(DATEVALUE($D1005&amp;"-01"), "dd-mm-yyyy")),0),0)</f>
        <v>649</v>
      </c>
      <c r="N1005" cm="1">
        <f t="array" ref="N1005">IF($Q1005&gt;=0,IFERROR(generateSalesData($D1005, IF(ISNUMBER(_xlfn.XLOOKUP($C1005,Phone_by_Sentiment!$B$2:$B$37,Phone_by_Sentiment!N$2:N$37,"",0,1)),_xlfn.XLOOKUP($C1005,Phone_by_Sentiment!$B$2:$B$37,Phone_by_Sentiment!N$2:N$37,"",0,1),0),$A1005-TEXT(DATEVALUE($D1005&amp;"-01"), "dd-mm-yyyy")),0),0)</f>
        <v>1856</v>
      </c>
      <c r="O1005" cm="1">
        <f t="array" ref="O1005">IF($Q1005&gt;=0,IFERROR(generateSalesData($D1005, IF(ISNUMBER(_xlfn.XLOOKUP($C1005,Phone_by_Sentiment!$B$2:$B$37,Phone_by_Sentiment!O$2:O$37,"",0,1)),_xlfn.XLOOKUP($C1005,Phone_by_Sentiment!$B$2:$B$37,Phone_by_Sentiment!O$2:O$37,"",0,1),0),$A1005-TEXT(DATEVALUE($D1005&amp;"-01"), "dd-mm-yyyy")),0),0)</f>
        <v>2078</v>
      </c>
      <c r="P1005" s="1">
        <f t="shared" si="40"/>
        <v>44197</v>
      </c>
      <c r="Q1005">
        <f t="shared" si="41"/>
        <v>120</v>
      </c>
    </row>
    <row r="1006" spans="1:17" x14ac:dyDescent="0.25">
      <c r="A1006" s="1">
        <f t="shared" si="42"/>
        <v>44317</v>
      </c>
      <c r="B1006" t="s">
        <v>155</v>
      </c>
      <c r="C1006" t="str">
        <f>_xlfn.XLOOKUP(B1006,Phone_by_Price!$A$2:$A$34,Phone_by_Price!$B$2:$B$34,"-",0,1)</f>
        <v>Google Pixel 6</v>
      </c>
      <c r="D1006" t="str">
        <f>_xlfn.XLOOKUP(C1006,Phone_by_Sentiment!$B$2:$B$37,Phone_by_Sentiment!$A$2:$A$37,"-",0,1)</f>
        <v>2021-10</v>
      </c>
      <c r="E1006" cm="1">
        <f t="array" ref="E1006">IF($Q1006&gt;=0,IFERROR(generateSalesData($D1006, IF(ISNUMBER(_xlfn.XLOOKUP($C1006,Phone_by_Sentiment!$B$2:$B$37,Phone_by_Sentiment!E$2:E$37,"",0,1)),_xlfn.XLOOKUP($C1006,Phone_by_Sentiment!$B$2:$B$37,Phone_by_Sentiment!E$2:E$37,"",0,1),0),$A1006-TEXT(DATEVALUE($D1006&amp;"-01"), "dd-mm-yyyy")),0),0)</f>
        <v>0</v>
      </c>
      <c r="F1006" cm="1">
        <f t="array" ref="F1006">IF($Q1006&gt;=0,IFERROR(generateSalesData($D1006, IF(ISNUMBER(_xlfn.XLOOKUP($C1006,Phone_by_Sentiment!$B$2:$B$37,Phone_by_Sentiment!F$2:F$37,"",0,1)),_xlfn.XLOOKUP($C1006,Phone_by_Sentiment!$B$2:$B$37,Phone_by_Sentiment!F$2:F$37,"",0,1),0),$A1006-TEXT(DATEVALUE($D1006&amp;"-01"), "dd-mm-yyyy")),0),0)</f>
        <v>0</v>
      </c>
      <c r="G1006" cm="1">
        <f t="array" ref="G1006">IF($Q1006&gt;=0,IFERROR(generateSalesData($D1006, IF(ISNUMBER(_xlfn.XLOOKUP($C1006,Phone_by_Sentiment!$B$2:$B$37,Phone_by_Sentiment!G$2:G$37,"",0,1)),_xlfn.XLOOKUP($C1006,Phone_by_Sentiment!$B$2:$B$37,Phone_by_Sentiment!G$2:G$37,"",0,1),0),$A1006-TEXT(DATEVALUE($D1006&amp;"-01"), "dd-mm-yyyy")),0),0)</f>
        <v>0</v>
      </c>
      <c r="H1006" cm="1">
        <f t="array" ref="H1006">IF($Q1006&gt;=0,IFERROR(generateSalesData($D1006, IF(ISNUMBER(_xlfn.XLOOKUP($C1006,Phone_by_Sentiment!$B$2:$B$37,Phone_by_Sentiment!H$2:H$37,"",0,1)),_xlfn.XLOOKUP($C1006,Phone_by_Sentiment!$B$2:$B$37,Phone_by_Sentiment!H$2:H$37,"",0,1),0),$A1006-TEXT(DATEVALUE($D1006&amp;"-01"), "dd-mm-yyyy")),0),0)</f>
        <v>0</v>
      </c>
      <c r="I1006" cm="1">
        <f t="array" ref="I1006">IF($Q1006&gt;=0,IFERROR(generateSalesData($D1006, IF(ISNUMBER(_xlfn.XLOOKUP($C1006,Phone_by_Sentiment!$B$2:$B$37,Phone_by_Sentiment!I$2:I$37,"",0,1)),_xlfn.XLOOKUP($C1006,Phone_by_Sentiment!$B$2:$B$37,Phone_by_Sentiment!I$2:I$37,"",0,1),0),$A1006-TEXT(DATEVALUE($D1006&amp;"-01"), "dd-mm-yyyy")),0),0)</f>
        <v>0</v>
      </c>
      <c r="J1006" cm="1">
        <f t="array" ref="J1006">IF($Q1006&gt;=0,IFERROR(generateSalesData($D1006, IF(ISNUMBER(_xlfn.XLOOKUP($C1006,Phone_by_Sentiment!$B$2:$B$37,Phone_by_Sentiment!J$2:J$37,"",0,1)),_xlfn.XLOOKUP($C1006,Phone_by_Sentiment!$B$2:$B$37,Phone_by_Sentiment!J$2:J$37,"",0,1),0),$A1006-TEXT(DATEVALUE($D1006&amp;"-01"), "dd-mm-yyyy")),0),0)</f>
        <v>0</v>
      </c>
      <c r="K1006" cm="1">
        <f t="array" ref="K1006">IF($Q1006&gt;=0,IFERROR(generateSalesData($D1006, IF(ISNUMBER(_xlfn.XLOOKUP($C1006,Phone_by_Sentiment!$B$2:$B$37,Phone_by_Sentiment!K$2:K$37,"",0,1)),_xlfn.XLOOKUP($C1006,Phone_by_Sentiment!$B$2:$B$37,Phone_by_Sentiment!K$2:K$37,"",0,1),0),$A1006-TEXT(DATEVALUE($D1006&amp;"-01"), "dd-mm-yyyy")),0),0)</f>
        <v>0</v>
      </c>
      <c r="L1006" cm="1">
        <f t="array" ref="L1006">IF($Q1006&gt;=0,IFERROR(generateSalesData($D1006, IF(ISNUMBER(_xlfn.XLOOKUP($C1006,Phone_by_Sentiment!$B$2:$B$37,Phone_by_Sentiment!L$2:L$37,"",0,1)),_xlfn.XLOOKUP($C1006,Phone_by_Sentiment!$B$2:$B$37,Phone_by_Sentiment!L$2:L$37,"",0,1),0),$A1006-TEXT(DATEVALUE($D1006&amp;"-01"), "dd-mm-yyyy")),0),0)</f>
        <v>0</v>
      </c>
      <c r="M1006" cm="1">
        <f t="array" ref="M1006">IF($Q1006&gt;=0,IFERROR(generateSalesData($D1006, IF(ISNUMBER(_xlfn.XLOOKUP($C1006,Phone_by_Sentiment!$B$2:$B$37,Phone_by_Sentiment!M$2:M$37,"",0,1)),_xlfn.XLOOKUP($C1006,Phone_by_Sentiment!$B$2:$B$37,Phone_by_Sentiment!M$2:M$37,"",0,1),0),$A1006-TEXT(DATEVALUE($D1006&amp;"-01"), "dd-mm-yyyy")),0),0)</f>
        <v>0</v>
      </c>
      <c r="N1006" cm="1">
        <f t="array" ref="N1006">IF($Q1006&gt;=0,IFERROR(generateSalesData($D1006, IF(ISNUMBER(_xlfn.XLOOKUP($C1006,Phone_by_Sentiment!$B$2:$B$37,Phone_by_Sentiment!N$2:N$37,"",0,1)),_xlfn.XLOOKUP($C1006,Phone_by_Sentiment!$B$2:$B$37,Phone_by_Sentiment!N$2:N$37,"",0,1),0),$A1006-TEXT(DATEVALUE($D1006&amp;"-01"), "dd-mm-yyyy")),0),0)</f>
        <v>0</v>
      </c>
      <c r="O1006" cm="1">
        <f t="array" ref="O1006">IF($Q1006&gt;=0,IFERROR(generateSalesData($D1006, IF(ISNUMBER(_xlfn.XLOOKUP($C1006,Phone_by_Sentiment!$B$2:$B$37,Phone_by_Sentiment!O$2:O$37,"",0,1)),_xlfn.XLOOKUP($C1006,Phone_by_Sentiment!$B$2:$B$37,Phone_by_Sentiment!O$2:O$37,"",0,1),0),$A1006-TEXT(DATEVALUE($D1006&amp;"-01"), "dd-mm-yyyy")),0),0)</f>
        <v>0</v>
      </c>
      <c r="P1006" s="1">
        <f t="shared" si="40"/>
        <v>44470</v>
      </c>
      <c r="Q1006">
        <f t="shared" si="41"/>
        <v>-153</v>
      </c>
    </row>
    <row r="1007" spans="1:17" x14ac:dyDescent="0.25">
      <c r="A1007" s="1">
        <f t="shared" si="42"/>
        <v>44317</v>
      </c>
      <c r="B1007" t="s">
        <v>156</v>
      </c>
      <c r="C1007" t="str">
        <f>_xlfn.XLOOKUP(B1007,Phone_by_Price!$A$2:$A$34,Phone_by_Price!$B$2:$B$34,"-",0,1)</f>
        <v>OnePlus Nord CE</v>
      </c>
      <c r="D1007" t="str">
        <f>_xlfn.XLOOKUP(C1007,Phone_by_Sentiment!$B$2:$B$37,Phone_by_Sentiment!$A$2:$A$37,"-",0,1)</f>
        <v>2021-06</v>
      </c>
      <c r="E1007" cm="1">
        <f t="array" ref="E1007">IF($Q1007&gt;=0,IFERROR(generateSalesData($D1007, IF(ISNUMBER(_xlfn.XLOOKUP($C1007,Phone_by_Sentiment!$B$2:$B$37,Phone_by_Sentiment!E$2:E$37,"",0,1)),_xlfn.XLOOKUP($C1007,Phone_by_Sentiment!$B$2:$B$37,Phone_by_Sentiment!E$2:E$37,"",0,1),0),$A1007-TEXT(DATEVALUE($D1007&amp;"-01"), "dd-mm-yyyy")),0),0)</f>
        <v>0</v>
      </c>
      <c r="F1007" cm="1">
        <f t="array" ref="F1007">IF($Q1007&gt;=0,IFERROR(generateSalesData($D1007, IF(ISNUMBER(_xlfn.XLOOKUP($C1007,Phone_by_Sentiment!$B$2:$B$37,Phone_by_Sentiment!F$2:F$37,"",0,1)),_xlfn.XLOOKUP($C1007,Phone_by_Sentiment!$B$2:$B$37,Phone_by_Sentiment!F$2:F$37,"",0,1),0),$A1007-TEXT(DATEVALUE($D1007&amp;"-01"), "dd-mm-yyyy")),0),0)</f>
        <v>0</v>
      </c>
      <c r="G1007" cm="1">
        <f t="array" ref="G1007">IF($Q1007&gt;=0,IFERROR(generateSalesData($D1007, IF(ISNUMBER(_xlfn.XLOOKUP($C1007,Phone_by_Sentiment!$B$2:$B$37,Phone_by_Sentiment!G$2:G$37,"",0,1)),_xlfn.XLOOKUP($C1007,Phone_by_Sentiment!$B$2:$B$37,Phone_by_Sentiment!G$2:G$37,"",0,1),0),$A1007-TEXT(DATEVALUE($D1007&amp;"-01"), "dd-mm-yyyy")),0),0)</f>
        <v>0</v>
      </c>
      <c r="H1007" cm="1">
        <f t="array" ref="H1007">IF($Q1007&gt;=0,IFERROR(generateSalesData($D1007, IF(ISNUMBER(_xlfn.XLOOKUP($C1007,Phone_by_Sentiment!$B$2:$B$37,Phone_by_Sentiment!H$2:H$37,"",0,1)),_xlfn.XLOOKUP($C1007,Phone_by_Sentiment!$B$2:$B$37,Phone_by_Sentiment!H$2:H$37,"",0,1),0),$A1007-TEXT(DATEVALUE($D1007&amp;"-01"), "dd-mm-yyyy")),0),0)</f>
        <v>0</v>
      </c>
      <c r="I1007" cm="1">
        <f t="array" ref="I1007">IF($Q1007&gt;=0,IFERROR(generateSalesData($D1007, IF(ISNUMBER(_xlfn.XLOOKUP($C1007,Phone_by_Sentiment!$B$2:$B$37,Phone_by_Sentiment!I$2:I$37,"",0,1)),_xlfn.XLOOKUP($C1007,Phone_by_Sentiment!$B$2:$B$37,Phone_by_Sentiment!I$2:I$37,"",0,1),0),$A1007-TEXT(DATEVALUE($D1007&amp;"-01"), "dd-mm-yyyy")),0),0)</f>
        <v>0</v>
      </c>
      <c r="J1007" cm="1">
        <f t="array" ref="J1007">IF($Q1007&gt;=0,IFERROR(generateSalesData($D1007, IF(ISNUMBER(_xlfn.XLOOKUP($C1007,Phone_by_Sentiment!$B$2:$B$37,Phone_by_Sentiment!J$2:J$37,"",0,1)),_xlfn.XLOOKUP($C1007,Phone_by_Sentiment!$B$2:$B$37,Phone_by_Sentiment!J$2:J$37,"",0,1),0),$A1007-TEXT(DATEVALUE($D1007&amp;"-01"), "dd-mm-yyyy")),0),0)</f>
        <v>0</v>
      </c>
      <c r="K1007" cm="1">
        <f t="array" ref="K1007">IF($Q1007&gt;=0,IFERROR(generateSalesData($D1007, IF(ISNUMBER(_xlfn.XLOOKUP($C1007,Phone_by_Sentiment!$B$2:$B$37,Phone_by_Sentiment!K$2:K$37,"",0,1)),_xlfn.XLOOKUP($C1007,Phone_by_Sentiment!$B$2:$B$37,Phone_by_Sentiment!K$2:K$37,"",0,1),0),$A1007-TEXT(DATEVALUE($D1007&amp;"-01"), "dd-mm-yyyy")),0),0)</f>
        <v>0</v>
      </c>
      <c r="L1007" cm="1">
        <f t="array" ref="L1007">IF($Q1007&gt;=0,IFERROR(generateSalesData($D1007, IF(ISNUMBER(_xlfn.XLOOKUP($C1007,Phone_by_Sentiment!$B$2:$B$37,Phone_by_Sentiment!L$2:L$37,"",0,1)),_xlfn.XLOOKUP($C1007,Phone_by_Sentiment!$B$2:$B$37,Phone_by_Sentiment!L$2:L$37,"",0,1),0),$A1007-TEXT(DATEVALUE($D1007&amp;"-01"), "dd-mm-yyyy")),0),0)</f>
        <v>0</v>
      </c>
      <c r="M1007" cm="1">
        <f t="array" ref="M1007">IF($Q1007&gt;=0,IFERROR(generateSalesData($D1007, IF(ISNUMBER(_xlfn.XLOOKUP($C1007,Phone_by_Sentiment!$B$2:$B$37,Phone_by_Sentiment!M$2:M$37,"",0,1)),_xlfn.XLOOKUP($C1007,Phone_by_Sentiment!$B$2:$B$37,Phone_by_Sentiment!M$2:M$37,"",0,1),0),$A1007-TEXT(DATEVALUE($D1007&amp;"-01"), "dd-mm-yyyy")),0),0)</f>
        <v>0</v>
      </c>
      <c r="N1007" cm="1">
        <f t="array" ref="N1007">IF($Q1007&gt;=0,IFERROR(generateSalesData($D1007, IF(ISNUMBER(_xlfn.XLOOKUP($C1007,Phone_by_Sentiment!$B$2:$B$37,Phone_by_Sentiment!N$2:N$37,"",0,1)),_xlfn.XLOOKUP($C1007,Phone_by_Sentiment!$B$2:$B$37,Phone_by_Sentiment!N$2:N$37,"",0,1),0),$A1007-TEXT(DATEVALUE($D1007&amp;"-01"), "dd-mm-yyyy")),0),0)</f>
        <v>0</v>
      </c>
      <c r="O1007" cm="1">
        <f t="array" ref="O1007">IF($Q1007&gt;=0,IFERROR(generateSalesData($D1007, IF(ISNUMBER(_xlfn.XLOOKUP($C1007,Phone_by_Sentiment!$B$2:$B$37,Phone_by_Sentiment!O$2:O$37,"",0,1)),_xlfn.XLOOKUP($C1007,Phone_by_Sentiment!$B$2:$B$37,Phone_by_Sentiment!O$2:O$37,"",0,1),0),$A1007-TEXT(DATEVALUE($D1007&amp;"-01"), "dd-mm-yyyy")),0),0)</f>
        <v>0</v>
      </c>
      <c r="P1007" s="1">
        <f t="shared" si="40"/>
        <v>44348</v>
      </c>
      <c r="Q1007">
        <f t="shared" si="41"/>
        <v>-31</v>
      </c>
    </row>
    <row r="1008" spans="1:17" x14ac:dyDescent="0.25">
      <c r="A1008" s="1">
        <f t="shared" si="42"/>
        <v>44317</v>
      </c>
      <c r="B1008" t="s">
        <v>157</v>
      </c>
      <c r="C1008" t="str">
        <f>_xlfn.XLOOKUP(B1008,Phone_by_Price!$A$2:$A$34,Phone_by_Price!$B$2:$B$34,"-",0,1)</f>
        <v>Apple iPhone 13 Pro</v>
      </c>
      <c r="D1008" t="str">
        <f>_xlfn.XLOOKUP(C1008,Phone_by_Sentiment!$B$2:$B$37,Phone_by_Sentiment!$A$2:$A$37,"-",0,1)</f>
        <v>2021-09</v>
      </c>
      <c r="E1008" cm="1">
        <f t="array" ref="E1008">IF($Q1008&gt;=0,IFERROR(generateSalesData($D1008, IF(ISNUMBER(_xlfn.XLOOKUP($C1008,Phone_by_Sentiment!$B$2:$B$37,Phone_by_Sentiment!E$2:E$37,"",0,1)),_xlfn.XLOOKUP($C1008,Phone_by_Sentiment!$B$2:$B$37,Phone_by_Sentiment!E$2:E$37,"",0,1),0),$A1008-TEXT(DATEVALUE($D1008&amp;"-01"), "dd-mm-yyyy")),0),0)</f>
        <v>0</v>
      </c>
      <c r="F1008" cm="1">
        <f t="array" ref="F1008">IF($Q1008&gt;=0,IFERROR(generateSalesData($D1008, IF(ISNUMBER(_xlfn.XLOOKUP($C1008,Phone_by_Sentiment!$B$2:$B$37,Phone_by_Sentiment!F$2:F$37,"",0,1)),_xlfn.XLOOKUP($C1008,Phone_by_Sentiment!$B$2:$B$37,Phone_by_Sentiment!F$2:F$37,"",0,1),0),$A1008-TEXT(DATEVALUE($D1008&amp;"-01"), "dd-mm-yyyy")),0),0)</f>
        <v>0</v>
      </c>
      <c r="G1008" cm="1">
        <f t="array" ref="G1008">IF($Q1008&gt;=0,IFERROR(generateSalesData($D1008, IF(ISNUMBER(_xlfn.XLOOKUP($C1008,Phone_by_Sentiment!$B$2:$B$37,Phone_by_Sentiment!G$2:G$37,"",0,1)),_xlfn.XLOOKUP($C1008,Phone_by_Sentiment!$B$2:$B$37,Phone_by_Sentiment!G$2:G$37,"",0,1),0),$A1008-TEXT(DATEVALUE($D1008&amp;"-01"), "dd-mm-yyyy")),0),0)</f>
        <v>0</v>
      </c>
      <c r="H1008" cm="1">
        <f t="array" ref="H1008">IF($Q1008&gt;=0,IFERROR(generateSalesData($D1008, IF(ISNUMBER(_xlfn.XLOOKUP($C1008,Phone_by_Sentiment!$B$2:$B$37,Phone_by_Sentiment!H$2:H$37,"",0,1)),_xlfn.XLOOKUP($C1008,Phone_by_Sentiment!$B$2:$B$37,Phone_by_Sentiment!H$2:H$37,"",0,1),0),$A1008-TEXT(DATEVALUE($D1008&amp;"-01"), "dd-mm-yyyy")),0),0)</f>
        <v>0</v>
      </c>
      <c r="I1008" cm="1">
        <f t="array" ref="I1008">IF($Q1008&gt;=0,IFERROR(generateSalesData($D1008, IF(ISNUMBER(_xlfn.XLOOKUP($C1008,Phone_by_Sentiment!$B$2:$B$37,Phone_by_Sentiment!I$2:I$37,"",0,1)),_xlfn.XLOOKUP($C1008,Phone_by_Sentiment!$B$2:$B$37,Phone_by_Sentiment!I$2:I$37,"",0,1),0),$A1008-TEXT(DATEVALUE($D1008&amp;"-01"), "dd-mm-yyyy")),0),0)</f>
        <v>0</v>
      </c>
      <c r="J1008" cm="1">
        <f t="array" ref="J1008">IF($Q1008&gt;=0,IFERROR(generateSalesData($D1008, IF(ISNUMBER(_xlfn.XLOOKUP($C1008,Phone_by_Sentiment!$B$2:$B$37,Phone_by_Sentiment!J$2:J$37,"",0,1)),_xlfn.XLOOKUP($C1008,Phone_by_Sentiment!$B$2:$B$37,Phone_by_Sentiment!J$2:J$37,"",0,1),0),$A1008-TEXT(DATEVALUE($D1008&amp;"-01"), "dd-mm-yyyy")),0),0)</f>
        <v>0</v>
      </c>
      <c r="K1008" cm="1">
        <f t="array" ref="K1008">IF($Q1008&gt;=0,IFERROR(generateSalesData($D1008, IF(ISNUMBER(_xlfn.XLOOKUP($C1008,Phone_by_Sentiment!$B$2:$B$37,Phone_by_Sentiment!K$2:K$37,"",0,1)),_xlfn.XLOOKUP($C1008,Phone_by_Sentiment!$B$2:$B$37,Phone_by_Sentiment!K$2:K$37,"",0,1),0),$A1008-TEXT(DATEVALUE($D1008&amp;"-01"), "dd-mm-yyyy")),0),0)</f>
        <v>0</v>
      </c>
      <c r="L1008" cm="1">
        <f t="array" ref="L1008">IF($Q1008&gt;=0,IFERROR(generateSalesData($D1008, IF(ISNUMBER(_xlfn.XLOOKUP($C1008,Phone_by_Sentiment!$B$2:$B$37,Phone_by_Sentiment!L$2:L$37,"",0,1)),_xlfn.XLOOKUP($C1008,Phone_by_Sentiment!$B$2:$B$37,Phone_by_Sentiment!L$2:L$37,"",0,1),0),$A1008-TEXT(DATEVALUE($D1008&amp;"-01"), "dd-mm-yyyy")),0),0)</f>
        <v>0</v>
      </c>
      <c r="M1008" cm="1">
        <f t="array" ref="M1008">IF($Q1008&gt;=0,IFERROR(generateSalesData($D1008, IF(ISNUMBER(_xlfn.XLOOKUP($C1008,Phone_by_Sentiment!$B$2:$B$37,Phone_by_Sentiment!M$2:M$37,"",0,1)),_xlfn.XLOOKUP($C1008,Phone_by_Sentiment!$B$2:$B$37,Phone_by_Sentiment!M$2:M$37,"",0,1),0),$A1008-TEXT(DATEVALUE($D1008&amp;"-01"), "dd-mm-yyyy")),0),0)</f>
        <v>0</v>
      </c>
      <c r="N1008" cm="1">
        <f t="array" ref="N1008">IF($Q1008&gt;=0,IFERROR(generateSalesData($D1008, IF(ISNUMBER(_xlfn.XLOOKUP($C1008,Phone_by_Sentiment!$B$2:$B$37,Phone_by_Sentiment!N$2:N$37,"",0,1)),_xlfn.XLOOKUP($C1008,Phone_by_Sentiment!$B$2:$B$37,Phone_by_Sentiment!N$2:N$37,"",0,1),0),$A1008-TEXT(DATEVALUE($D1008&amp;"-01"), "dd-mm-yyyy")),0),0)</f>
        <v>0</v>
      </c>
      <c r="O1008" cm="1">
        <f t="array" ref="O1008">IF($Q1008&gt;=0,IFERROR(generateSalesData($D1008, IF(ISNUMBER(_xlfn.XLOOKUP($C1008,Phone_by_Sentiment!$B$2:$B$37,Phone_by_Sentiment!O$2:O$37,"",0,1)),_xlfn.XLOOKUP($C1008,Phone_by_Sentiment!$B$2:$B$37,Phone_by_Sentiment!O$2:O$37,"",0,1),0),$A1008-TEXT(DATEVALUE($D1008&amp;"-01"), "dd-mm-yyyy")),0),0)</f>
        <v>0</v>
      </c>
      <c r="P1008" s="1">
        <f t="shared" si="40"/>
        <v>44440</v>
      </c>
      <c r="Q1008">
        <f t="shared" si="41"/>
        <v>-123</v>
      </c>
    </row>
    <row r="1009" spans="1:17" x14ac:dyDescent="0.25">
      <c r="A1009" s="1">
        <f t="shared" si="42"/>
        <v>44317</v>
      </c>
      <c r="B1009" t="s">
        <v>158</v>
      </c>
      <c r="C1009" t="str">
        <f>_xlfn.XLOOKUP(B1009,Phone_by_Price!$A$2:$A$34,Phone_by_Price!$B$2:$B$34,"-",0,1)</f>
        <v>Samsung Galaxy A32 5G</v>
      </c>
      <c r="D1009" t="str">
        <f>_xlfn.XLOOKUP(C1009,Phone_by_Sentiment!$B$2:$B$37,Phone_by_Sentiment!$A$2:$A$37,"-",0,1)</f>
        <v>2021-02</v>
      </c>
      <c r="E1009" cm="1">
        <f t="array" ref="E1009">IF($Q1009&gt;=0,IFERROR(generateSalesData($D1009, IF(ISNUMBER(_xlfn.XLOOKUP($C1009,Phone_by_Sentiment!$B$2:$B$37,Phone_by_Sentiment!E$2:E$37,"",0,1)),_xlfn.XLOOKUP($C1009,Phone_by_Sentiment!$B$2:$B$37,Phone_by_Sentiment!E$2:E$37,"",0,1),0),$A1009-TEXT(DATEVALUE($D1009&amp;"-01"), "dd-mm-yyyy")),0),0)</f>
        <v>3126</v>
      </c>
      <c r="F1009" cm="1">
        <f t="array" ref="F1009">IF($Q1009&gt;=0,IFERROR(generateSalesData($D1009, IF(ISNUMBER(_xlfn.XLOOKUP($C1009,Phone_by_Sentiment!$B$2:$B$37,Phone_by_Sentiment!F$2:F$37,"",0,1)),_xlfn.XLOOKUP($C1009,Phone_by_Sentiment!$B$2:$B$37,Phone_by_Sentiment!F$2:F$37,"",0,1),0),$A1009-TEXT(DATEVALUE($D1009&amp;"-01"), "dd-mm-yyyy")),0),0)</f>
        <v>2444</v>
      </c>
      <c r="G1009" cm="1">
        <f t="array" ref="G1009">IF($Q1009&gt;=0,IFERROR(generateSalesData($D1009, IF(ISNUMBER(_xlfn.XLOOKUP($C1009,Phone_by_Sentiment!$B$2:$B$37,Phone_by_Sentiment!G$2:G$37,"",0,1)),_xlfn.XLOOKUP($C1009,Phone_by_Sentiment!$B$2:$B$37,Phone_by_Sentiment!G$2:G$37,"",0,1),0),$A1009-TEXT(DATEVALUE($D1009&amp;"-01"), "dd-mm-yyyy")),0),0)</f>
        <v>473</v>
      </c>
      <c r="H1009" cm="1">
        <f t="array" ref="H1009">IF($Q1009&gt;=0,IFERROR(generateSalesData($D1009, IF(ISNUMBER(_xlfn.XLOOKUP($C1009,Phone_by_Sentiment!$B$2:$B$37,Phone_by_Sentiment!H$2:H$37,"",0,1)),_xlfn.XLOOKUP($C1009,Phone_by_Sentiment!$B$2:$B$37,Phone_by_Sentiment!H$2:H$37,"",0,1),0),$A1009-TEXT(DATEVALUE($D1009&amp;"-01"), "dd-mm-yyyy")),0),0)</f>
        <v>1410</v>
      </c>
      <c r="I1009" cm="1">
        <f t="array" ref="I1009">IF($Q1009&gt;=0,IFERROR(generateSalesData($D1009, IF(ISNUMBER(_xlfn.XLOOKUP($C1009,Phone_by_Sentiment!$B$2:$B$37,Phone_by_Sentiment!I$2:I$37,"",0,1)),_xlfn.XLOOKUP($C1009,Phone_by_Sentiment!$B$2:$B$37,Phone_by_Sentiment!I$2:I$37,"",0,1),0),$A1009-TEXT(DATEVALUE($D1009&amp;"-01"), "dd-mm-yyyy")),0),0)</f>
        <v>1219</v>
      </c>
      <c r="J1009" cm="1">
        <f t="array" ref="J1009">IF($Q1009&gt;=0,IFERROR(generateSalesData($D1009, IF(ISNUMBER(_xlfn.XLOOKUP($C1009,Phone_by_Sentiment!$B$2:$B$37,Phone_by_Sentiment!J$2:J$37,"",0,1)),_xlfn.XLOOKUP($C1009,Phone_by_Sentiment!$B$2:$B$37,Phone_by_Sentiment!J$2:J$37,"",0,1),0),$A1009-TEXT(DATEVALUE($D1009&amp;"-01"), "dd-mm-yyyy")),0),0)</f>
        <v>-335</v>
      </c>
      <c r="K1009" cm="1">
        <f t="array" ref="K1009">IF($Q1009&gt;=0,IFERROR(generateSalesData($D1009, IF(ISNUMBER(_xlfn.XLOOKUP($C1009,Phone_by_Sentiment!$B$2:$B$37,Phone_by_Sentiment!K$2:K$37,"",0,1)),_xlfn.XLOOKUP($C1009,Phone_by_Sentiment!$B$2:$B$37,Phone_by_Sentiment!K$2:K$37,"",0,1),0),$A1009-TEXT(DATEVALUE($D1009&amp;"-01"), "dd-mm-yyyy")),0),0)</f>
        <v>2691</v>
      </c>
      <c r="L1009" cm="1">
        <f t="array" ref="L1009">IF($Q1009&gt;=0,IFERROR(generateSalesData($D1009, IF(ISNUMBER(_xlfn.XLOOKUP($C1009,Phone_by_Sentiment!$B$2:$B$37,Phone_by_Sentiment!L$2:L$37,"",0,1)),_xlfn.XLOOKUP($C1009,Phone_by_Sentiment!$B$2:$B$37,Phone_by_Sentiment!L$2:L$37,"",0,1),0),$A1009-TEXT(DATEVALUE($D1009&amp;"-01"), "dd-mm-yyyy")),0),0)</f>
        <v>2566</v>
      </c>
      <c r="M1009" cm="1">
        <f t="array" ref="M1009">IF($Q1009&gt;=0,IFERROR(generateSalesData($D1009, IF(ISNUMBER(_xlfn.XLOOKUP($C1009,Phone_by_Sentiment!$B$2:$B$37,Phone_by_Sentiment!M$2:M$37,"",0,1)),_xlfn.XLOOKUP($C1009,Phone_by_Sentiment!$B$2:$B$37,Phone_by_Sentiment!M$2:M$37,"",0,1),0),$A1009-TEXT(DATEVALUE($D1009&amp;"-01"), "dd-mm-yyyy")),0),0)</f>
        <v>2479</v>
      </c>
      <c r="N1009" cm="1">
        <f t="array" ref="N1009">IF($Q1009&gt;=0,IFERROR(generateSalesData($D1009, IF(ISNUMBER(_xlfn.XLOOKUP($C1009,Phone_by_Sentiment!$B$2:$B$37,Phone_by_Sentiment!N$2:N$37,"",0,1)),_xlfn.XLOOKUP($C1009,Phone_by_Sentiment!$B$2:$B$37,Phone_by_Sentiment!N$2:N$37,"",0,1),0),$A1009-TEXT(DATEVALUE($D1009&amp;"-01"), "dd-mm-yyyy")),0),0)</f>
        <v>4444</v>
      </c>
      <c r="O1009" cm="1">
        <f t="array" ref="O1009">IF($Q1009&gt;=0,IFERROR(generateSalesData($D1009, IF(ISNUMBER(_xlfn.XLOOKUP($C1009,Phone_by_Sentiment!$B$2:$B$37,Phone_by_Sentiment!O$2:O$37,"",0,1)),_xlfn.XLOOKUP($C1009,Phone_by_Sentiment!$B$2:$B$37,Phone_by_Sentiment!O$2:O$37,"",0,1),0),$A1009-TEXT(DATEVALUE($D1009&amp;"-01"), "dd-mm-yyyy")),0),0)</f>
        <v>2514</v>
      </c>
      <c r="P1009" s="1">
        <f t="shared" si="40"/>
        <v>44228</v>
      </c>
      <c r="Q1009">
        <f t="shared" si="41"/>
        <v>89</v>
      </c>
    </row>
    <row r="1010" spans="1:17" x14ac:dyDescent="0.25">
      <c r="A1010" s="1">
        <f t="shared" si="42"/>
        <v>44317</v>
      </c>
      <c r="B1010" t="s">
        <v>159</v>
      </c>
      <c r="C1010" t="str">
        <f>_xlfn.XLOOKUP(B1010,Phone_by_Price!$A$2:$A$34,Phone_by_Price!$B$2:$B$34,"-",0,1)</f>
        <v>Realme C25</v>
      </c>
      <c r="D1010" t="str">
        <f>_xlfn.XLOOKUP(C1010,Phone_by_Sentiment!$B$2:$B$37,Phone_by_Sentiment!$A$2:$A$37,"-",0,1)</f>
        <v>2021-03</v>
      </c>
      <c r="E1010" cm="1">
        <f t="array" ref="E1010">IF($Q1010&gt;=0,IFERROR(generateSalesData($D1010, IF(ISNUMBER(_xlfn.XLOOKUP($C1010,Phone_by_Sentiment!$B$2:$B$37,Phone_by_Sentiment!E$2:E$37,"",0,1)),_xlfn.XLOOKUP($C1010,Phone_by_Sentiment!$B$2:$B$37,Phone_by_Sentiment!E$2:E$37,"",0,1),0),$A1010-TEXT(DATEVALUE($D1010&amp;"-01"), "dd-mm-yyyy")),0),0)</f>
        <v>1020</v>
      </c>
      <c r="F1010" cm="1">
        <f t="array" ref="F1010">IF($Q1010&gt;=0,IFERROR(generateSalesData($D1010, IF(ISNUMBER(_xlfn.XLOOKUP($C1010,Phone_by_Sentiment!$B$2:$B$37,Phone_by_Sentiment!F$2:F$37,"",0,1)),_xlfn.XLOOKUP($C1010,Phone_by_Sentiment!$B$2:$B$37,Phone_by_Sentiment!F$2:F$37,"",0,1),0),$A1010-TEXT(DATEVALUE($D1010&amp;"-01"), "dd-mm-yyyy")),0),0)</f>
        <v>3585</v>
      </c>
      <c r="G1010" cm="1">
        <f t="array" ref="G1010">IF($Q1010&gt;=0,IFERROR(generateSalesData($D1010, IF(ISNUMBER(_xlfn.XLOOKUP($C1010,Phone_by_Sentiment!$B$2:$B$37,Phone_by_Sentiment!G$2:G$37,"",0,1)),_xlfn.XLOOKUP($C1010,Phone_by_Sentiment!$B$2:$B$37,Phone_by_Sentiment!G$2:G$37,"",0,1),0),$A1010-TEXT(DATEVALUE($D1010&amp;"-01"), "dd-mm-yyyy")),0),0)</f>
        <v>1159</v>
      </c>
      <c r="H1010" cm="1">
        <f t="array" ref="H1010">IF($Q1010&gt;=0,IFERROR(generateSalesData($D1010, IF(ISNUMBER(_xlfn.XLOOKUP($C1010,Phone_by_Sentiment!$B$2:$B$37,Phone_by_Sentiment!H$2:H$37,"",0,1)),_xlfn.XLOOKUP($C1010,Phone_by_Sentiment!$B$2:$B$37,Phone_by_Sentiment!H$2:H$37,"",0,1),0),$A1010-TEXT(DATEVALUE($D1010&amp;"-01"), "dd-mm-yyyy")),0),0)</f>
        <v>6459</v>
      </c>
      <c r="I1010" cm="1">
        <f t="array" ref="I1010">IF($Q1010&gt;=0,IFERROR(generateSalesData($D1010, IF(ISNUMBER(_xlfn.XLOOKUP($C1010,Phone_by_Sentiment!$B$2:$B$37,Phone_by_Sentiment!I$2:I$37,"",0,1)),_xlfn.XLOOKUP($C1010,Phone_by_Sentiment!$B$2:$B$37,Phone_by_Sentiment!I$2:I$37,"",0,1),0),$A1010-TEXT(DATEVALUE($D1010&amp;"-01"), "dd-mm-yyyy")),0),0)</f>
        <v>5190</v>
      </c>
      <c r="J1010" cm="1">
        <f t="array" ref="J1010">IF($Q1010&gt;=0,IFERROR(generateSalesData($D1010, IF(ISNUMBER(_xlfn.XLOOKUP($C1010,Phone_by_Sentiment!$B$2:$B$37,Phone_by_Sentiment!J$2:J$37,"",0,1)),_xlfn.XLOOKUP($C1010,Phone_by_Sentiment!$B$2:$B$37,Phone_by_Sentiment!J$2:J$37,"",0,1),0),$A1010-TEXT(DATEVALUE($D1010&amp;"-01"), "dd-mm-yyyy")),0),0)</f>
        <v>1078</v>
      </c>
      <c r="K1010" cm="1">
        <f t="array" ref="K1010">IF($Q1010&gt;=0,IFERROR(generateSalesData($D1010, IF(ISNUMBER(_xlfn.XLOOKUP($C1010,Phone_by_Sentiment!$B$2:$B$37,Phone_by_Sentiment!K$2:K$37,"",0,1)),_xlfn.XLOOKUP($C1010,Phone_by_Sentiment!$B$2:$B$37,Phone_by_Sentiment!K$2:K$37,"",0,1),0),$A1010-TEXT(DATEVALUE($D1010&amp;"-01"), "dd-mm-yyyy")),0),0)</f>
        <v>1511</v>
      </c>
      <c r="L1010" cm="1">
        <f t="array" ref="L1010">IF($Q1010&gt;=0,IFERROR(generateSalesData($D1010, IF(ISNUMBER(_xlfn.XLOOKUP($C1010,Phone_by_Sentiment!$B$2:$B$37,Phone_by_Sentiment!L$2:L$37,"",0,1)),_xlfn.XLOOKUP($C1010,Phone_by_Sentiment!$B$2:$B$37,Phone_by_Sentiment!L$2:L$37,"",0,1),0),$A1010-TEXT(DATEVALUE($D1010&amp;"-01"), "dd-mm-yyyy")),0),0)</f>
        <v>4030</v>
      </c>
      <c r="M1010" cm="1">
        <f t="array" ref="M1010">IF($Q1010&gt;=0,IFERROR(generateSalesData($D1010, IF(ISNUMBER(_xlfn.XLOOKUP($C1010,Phone_by_Sentiment!$B$2:$B$37,Phone_by_Sentiment!M$2:M$37,"",0,1)),_xlfn.XLOOKUP($C1010,Phone_by_Sentiment!$B$2:$B$37,Phone_by_Sentiment!M$2:M$37,"",0,1),0),$A1010-TEXT(DATEVALUE($D1010&amp;"-01"), "dd-mm-yyyy")),0),0)</f>
        <v>636</v>
      </c>
      <c r="N1010" cm="1">
        <f t="array" ref="N1010">IF($Q1010&gt;=0,IFERROR(generateSalesData($D1010, IF(ISNUMBER(_xlfn.XLOOKUP($C1010,Phone_by_Sentiment!$B$2:$B$37,Phone_by_Sentiment!N$2:N$37,"",0,1)),_xlfn.XLOOKUP($C1010,Phone_by_Sentiment!$B$2:$B$37,Phone_by_Sentiment!N$2:N$37,"",0,1),0),$A1010-TEXT(DATEVALUE($D1010&amp;"-01"), "dd-mm-yyyy")),0),0)</f>
        <v>2608</v>
      </c>
      <c r="O1010" cm="1">
        <f t="array" ref="O1010">IF($Q1010&gt;=0,IFERROR(generateSalesData($D1010, IF(ISNUMBER(_xlfn.XLOOKUP($C1010,Phone_by_Sentiment!$B$2:$B$37,Phone_by_Sentiment!O$2:O$37,"",0,1)),_xlfn.XLOOKUP($C1010,Phone_by_Sentiment!$B$2:$B$37,Phone_by_Sentiment!O$2:O$37,"",0,1),0),$A1010-TEXT(DATEVALUE($D1010&amp;"-01"), "dd-mm-yyyy")),0),0)</f>
        <v>1171</v>
      </c>
      <c r="P1010" s="1">
        <f t="shared" si="40"/>
        <v>44256</v>
      </c>
      <c r="Q1010">
        <f t="shared" si="41"/>
        <v>61</v>
      </c>
    </row>
    <row r="1011" spans="1:17" x14ac:dyDescent="0.25">
      <c r="A1011" s="1">
        <f t="shared" si="42"/>
        <v>44317</v>
      </c>
      <c r="B1011" t="s">
        <v>160</v>
      </c>
      <c r="C1011" t="str">
        <f>_xlfn.XLOOKUP(B1011,Phone_by_Price!$A$2:$A$34,Phone_by_Price!$B$2:$B$34,"-",0,1)</f>
        <v>Xiaomi Poco X3 Pro</v>
      </c>
      <c r="D1011" t="str">
        <f>_xlfn.XLOOKUP(C1011,Phone_by_Sentiment!$B$2:$B$37,Phone_by_Sentiment!$A$2:$A$37,"-",0,1)</f>
        <v>2021-05</v>
      </c>
      <c r="E1011" cm="1">
        <f t="array" ref="E1011">IF($Q1011&gt;=0,IFERROR(generateSalesData($D1011, IF(ISNUMBER(_xlfn.XLOOKUP($C1011,Phone_by_Sentiment!$B$2:$B$37,Phone_by_Sentiment!E$2:E$37,"",0,1)),_xlfn.XLOOKUP($C1011,Phone_by_Sentiment!$B$2:$B$37,Phone_by_Sentiment!E$2:E$37,"",0,1),0),$A1011-TEXT(DATEVALUE($D1011&amp;"-01"), "dd-mm-yyyy")),0),0)</f>
        <v>7947</v>
      </c>
      <c r="F1011" cm="1">
        <f t="array" ref="F1011">IF($Q1011&gt;=0,IFERROR(generateSalesData($D1011, IF(ISNUMBER(_xlfn.XLOOKUP($C1011,Phone_by_Sentiment!$B$2:$B$37,Phone_by_Sentiment!F$2:F$37,"",0,1)),_xlfn.XLOOKUP($C1011,Phone_by_Sentiment!$B$2:$B$37,Phone_by_Sentiment!F$2:F$37,"",0,1),0),$A1011-TEXT(DATEVALUE($D1011&amp;"-01"), "dd-mm-yyyy")),0),0)</f>
        <v>2473</v>
      </c>
      <c r="G1011" cm="1">
        <f t="array" ref="G1011">IF($Q1011&gt;=0,IFERROR(generateSalesData($D1011, IF(ISNUMBER(_xlfn.XLOOKUP($C1011,Phone_by_Sentiment!$B$2:$B$37,Phone_by_Sentiment!G$2:G$37,"",0,1)),_xlfn.XLOOKUP($C1011,Phone_by_Sentiment!$B$2:$B$37,Phone_by_Sentiment!G$2:G$37,"",0,1),0),$A1011-TEXT(DATEVALUE($D1011&amp;"-01"), "dd-mm-yyyy")),0),0)</f>
        <v>2858</v>
      </c>
      <c r="H1011" cm="1">
        <f t="array" ref="H1011">IF($Q1011&gt;=0,IFERROR(generateSalesData($D1011, IF(ISNUMBER(_xlfn.XLOOKUP($C1011,Phone_by_Sentiment!$B$2:$B$37,Phone_by_Sentiment!H$2:H$37,"",0,1)),_xlfn.XLOOKUP($C1011,Phone_by_Sentiment!$B$2:$B$37,Phone_by_Sentiment!H$2:H$37,"",0,1),0),$A1011-TEXT(DATEVALUE($D1011&amp;"-01"), "dd-mm-yyyy")),0),0)</f>
        <v>12699</v>
      </c>
      <c r="I1011" cm="1">
        <f t="array" ref="I1011">IF($Q1011&gt;=0,IFERROR(generateSalesData($D1011, IF(ISNUMBER(_xlfn.XLOOKUP($C1011,Phone_by_Sentiment!$B$2:$B$37,Phone_by_Sentiment!I$2:I$37,"",0,1)),_xlfn.XLOOKUP($C1011,Phone_by_Sentiment!$B$2:$B$37,Phone_by_Sentiment!I$2:I$37,"",0,1),0),$A1011-TEXT(DATEVALUE($D1011&amp;"-01"), "dd-mm-yyyy")),0),0)</f>
        <v>4854</v>
      </c>
      <c r="J1011" cm="1">
        <f t="array" ref="J1011">IF($Q1011&gt;=0,IFERROR(generateSalesData($D1011, IF(ISNUMBER(_xlfn.XLOOKUP($C1011,Phone_by_Sentiment!$B$2:$B$37,Phone_by_Sentiment!J$2:J$37,"",0,1)),_xlfn.XLOOKUP($C1011,Phone_by_Sentiment!$B$2:$B$37,Phone_by_Sentiment!J$2:J$37,"",0,1),0),$A1011-TEXT(DATEVALUE($D1011&amp;"-01"), "dd-mm-yyyy")),0),0)</f>
        <v>3315</v>
      </c>
      <c r="K1011" cm="1">
        <f t="array" ref="K1011">IF($Q1011&gt;=0,IFERROR(generateSalesData($D1011, IF(ISNUMBER(_xlfn.XLOOKUP($C1011,Phone_by_Sentiment!$B$2:$B$37,Phone_by_Sentiment!K$2:K$37,"",0,1)),_xlfn.XLOOKUP($C1011,Phone_by_Sentiment!$B$2:$B$37,Phone_by_Sentiment!K$2:K$37,"",0,1),0),$A1011-TEXT(DATEVALUE($D1011&amp;"-01"), "dd-mm-yyyy")),0),0)</f>
        <v>9505</v>
      </c>
      <c r="L1011" cm="1">
        <f t="array" ref="L1011">IF($Q1011&gt;=0,IFERROR(generateSalesData($D1011, IF(ISNUMBER(_xlfn.XLOOKUP($C1011,Phone_by_Sentiment!$B$2:$B$37,Phone_by_Sentiment!L$2:L$37,"",0,1)),_xlfn.XLOOKUP($C1011,Phone_by_Sentiment!$B$2:$B$37,Phone_by_Sentiment!L$2:L$37,"",0,1),0),$A1011-TEXT(DATEVALUE($D1011&amp;"-01"), "dd-mm-yyyy")),0),0)</f>
        <v>527</v>
      </c>
      <c r="M1011" cm="1">
        <f t="array" ref="M1011">IF($Q1011&gt;=0,IFERROR(generateSalesData($D1011, IF(ISNUMBER(_xlfn.XLOOKUP($C1011,Phone_by_Sentiment!$B$2:$B$37,Phone_by_Sentiment!M$2:M$37,"",0,1)),_xlfn.XLOOKUP($C1011,Phone_by_Sentiment!$B$2:$B$37,Phone_by_Sentiment!M$2:M$37,"",0,1),0),$A1011-TEXT(DATEVALUE($D1011&amp;"-01"), "dd-mm-yyyy")),0),0)</f>
        <v>8601</v>
      </c>
      <c r="N1011" cm="1">
        <f t="array" ref="N1011">IF($Q1011&gt;=0,IFERROR(generateSalesData($D1011, IF(ISNUMBER(_xlfn.XLOOKUP($C1011,Phone_by_Sentiment!$B$2:$B$37,Phone_by_Sentiment!N$2:N$37,"",0,1)),_xlfn.XLOOKUP($C1011,Phone_by_Sentiment!$B$2:$B$37,Phone_by_Sentiment!N$2:N$37,"",0,1),0),$A1011-TEXT(DATEVALUE($D1011&amp;"-01"), "dd-mm-yyyy")),0),0)</f>
        <v>2844</v>
      </c>
      <c r="O1011" cm="1">
        <f t="array" ref="O1011">IF($Q1011&gt;=0,IFERROR(generateSalesData($D1011, IF(ISNUMBER(_xlfn.XLOOKUP($C1011,Phone_by_Sentiment!$B$2:$B$37,Phone_by_Sentiment!O$2:O$37,"",0,1)),_xlfn.XLOOKUP($C1011,Phone_by_Sentiment!$B$2:$B$37,Phone_by_Sentiment!O$2:O$37,"",0,1),0),$A1011-TEXT(DATEVALUE($D1011&amp;"-01"), "dd-mm-yyyy")),0),0)</f>
        <v>3810</v>
      </c>
      <c r="P1011" s="1">
        <f t="shared" si="40"/>
        <v>44317</v>
      </c>
      <c r="Q1011">
        <f t="shared" si="41"/>
        <v>0</v>
      </c>
    </row>
    <row r="1012" spans="1:17" x14ac:dyDescent="0.25">
      <c r="A1012" s="1">
        <f t="shared" si="42"/>
        <v>44317</v>
      </c>
      <c r="B1012" t="s">
        <v>161</v>
      </c>
      <c r="C1012" t="str">
        <f>_xlfn.XLOOKUP(B1012,Phone_by_Price!$A$2:$A$34,Phone_by_Price!$B$2:$B$34,"-",0,1)</f>
        <v>Samsung Galaxy Z Flip 3</v>
      </c>
      <c r="D1012" t="str">
        <f>_xlfn.XLOOKUP(C1012,Phone_by_Sentiment!$B$2:$B$37,Phone_by_Sentiment!$A$2:$A$37,"-",0,1)</f>
        <v>2021-09</v>
      </c>
      <c r="E1012" cm="1">
        <f t="array" ref="E1012">IF($Q1012&gt;=0,IFERROR(generateSalesData($D1012, IF(ISNUMBER(_xlfn.XLOOKUP($C1012,Phone_by_Sentiment!$B$2:$B$37,Phone_by_Sentiment!E$2:E$37,"",0,1)),_xlfn.XLOOKUP($C1012,Phone_by_Sentiment!$B$2:$B$37,Phone_by_Sentiment!E$2:E$37,"",0,1),0),$A1012-TEXT(DATEVALUE($D1012&amp;"-01"), "dd-mm-yyyy")),0),0)</f>
        <v>0</v>
      </c>
      <c r="F1012" cm="1">
        <f t="array" ref="F1012">IF($Q1012&gt;=0,IFERROR(generateSalesData($D1012, IF(ISNUMBER(_xlfn.XLOOKUP($C1012,Phone_by_Sentiment!$B$2:$B$37,Phone_by_Sentiment!F$2:F$37,"",0,1)),_xlfn.XLOOKUP($C1012,Phone_by_Sentiment!$B$2:$B$37,Phone_by_Sentiment!F$2:F$37,"",0,1),0),$A1012-TEXT(DATEVALUE($D1012&amp;"-01"), "dd-mm-yyyy")),0),0)</f>
        <v>0</v>
      </c>
      <c r="G1012" cm="1">
        <f t="array" ref="G1012">IF($Q1012&gt;=0,IFERROR(generateSalesData($D1012, IF(ISNUMBER(_xlfn.XLOOKUP($C1012,Phone_by_Sentiment!$B$2:$B$37,Phone_by_Sentiment!G$2:G$37,"",0,1)),_xlfn.XLOOKUP($C1012,Phone_by_Sentiment!$B$2:$B$37,Phone_by_Sentiment!G$2:G$37,"",0,1),0),$A1012-TEXT(DATEVALUE($D1012&amp;"-01"), "dd-mm-yyyy")),0),0)</f>
        <v>0</v>
      </c>
      <c r="H1012" cm="1">
        <f t="array" ref="H1012">IF($Q1012&gt;=0,IFERROR(generateSalesData($D1012, IF(ISNUMBER(_xlfn.XLOOKUP($C1012,Phone_by_Sentiment!$B$2:$B$37,Phone_by_Sentiment!H$2:H$37,"",0,1)),_xlfn.XLOOKUP($C1012,Phone_by_Sentiment!$B$2:$B$37,Phone_by_Sentiment!H$2:H$37,"",0,1),0),$A1012-TEXT(DATEVALUE($D1012&amp;"-01"), "dd-mm-yyyy")),0),0)</f>
        <v>0</v>
      </c>
      <c r="I1012" cm="1">
        <f t="array" ref="I1012">IF($Q1012&gt;=0,IFERROR(generateSalesData($D1012, IF(ISNUMBER(_xlfn.XLOOKUP($C1012,Phone_by_Sentiment!$B$2:$B$37,Phone_by_Sentiment!I$2:I$37,"",0,1)),_xlfn.XLOOKUP($C1012,Phone_by_Sentiment!$B$2:$B$37,Phone_by_Sentiment!I$2:I$37,"",0,1),0),$A1012-TEXT(DATEVALUE($D1012&amp;"-01"), "dd-mm-yyyy")),0),0)</f>
        <v>0</v>
      </c>
      <c r="J1012" cm="1">
        <f t="array" ref="J1012">IF($Q1012&gt;=0,IFERROR(generateSalesData($D1012, IF(ISNUMBER(_xlfn.XLOOKUP($C1012,Phone_by_Sentiment!$B$2:$B$37,Phone_by_Sentiment!J$2:J$37,"",0,1)),_xlfn.XLOOKUP($C1012,Phone_by_Sentiment!$B$2:$B$37,Phone_by_Sentiment!J$2:J$37,"",0,1),0),$A1012-TEXT(DATEVALUE($D1012&amp;"-01"), "dd-mm-yyyy")),0),0)</f>
        <v>0</v>
      </c>
      <c r="K1012" cm="1">
        <f t="array" ref="K1012">IF($Q1012&gt;=0,IFERROR(generateSalesData($D1012, IF(ISNUMBER(_xlfn.XLOOKUP($C1012,Phone_by_Sentiment!$B$2:$B$37,Phone_by_Sentiment!K$2:K$37,"",0,1)),_xlfn.XLOOKUP($C1012,Phone_by_Sentiment!$B$2:$B$37,Phone_by_Sentiment!K$2:K$37,"",0,1),0),$A1012-TEXT(DATEVALUE($D1012&amp;"-01"), "dd-mm-yyyy")),0),0)</f>
        <v>0</v>
      </c>
      <c r="L1012" cm="1">
        <f t="array" ref="L1012">IF($Q1012&gt;=0,IFERROR(generateSalesData($D1012, IF(ISNUMBER(_xlfn.XLOOKUP($C1012,Phone_by_Sentiment!$B$2:$B$37,Phone_by_Sentiment!L$2:L$37,"",0,1)),_xlfn.XLOOKUP($C1012,Phone_by_Sentiment!$B$2:$B$37,Phone_by_Sentiment!L$2:L$37,"",0,1),0),$A1012-TEXT(DATEVALUE($D1012&amp;"-01"), "dd-mm-yyyy")),0),0)</f>
        <v>0</v>
      </c>
      <c r="M1012" cm="1">
        <f t="array" ref="M1012">IF($Q1012&gt;=0,IFERROR(generateSalesData($D1012, IF(ISNUMBER(_xlfn.XLOOKUP($C1012,Phone_by_Sentiment!$B$2:$B$37,Phone_by_Sentiment!M$2:M$37,"",0,1)),_xlfn.XLOOKUP($C1012,Phone_by_Sentiment!$B$2:$B$37,Phone_by_Sentiment!M$2:M$37,"",0,1),0),$A1012-TEXT(DATEVALUE($D1012&amp;"-01"), "dd-mm-yyyy")),0),0)</f>
        <v>0</v>
      </c>
      <c r="N1012" cm="1">
        <f t="array" ref="N1012">IF($Q1012&gt;=0,IFERROR(generateSalesData($D1012, IF(ISNUMBER(_xlfn.XLOOKUP($C1012,Phone_by_Sentiment!$B$2:$B$37,Phone_by_Sentiment!N$2:N$37,"",0,1)),_xlfn.XLOOKUP($C1012,Phone_by_Sentiment!$B$2:$B$37,Phone_by_Sentiment!N$2:N$37,"",0,1),0),$A1012-TEXT(DATEVALUE($D1012&amp;"-01"), "dd-mm-yyyy")),0),0)</f>
        <v>0</v>
      </c>
      <c r="O1012" cm="1">
        <f t="array" ref="O1012">IF($Q1012&gt;=0,IFERROR(generateSalesData($D1012, IF(ISNUMBER(_xlfn.XLOOKUP($C1012,Phone_by_Sentiment!$B$2:$B$37,Phone_by_Sentiment!O$2:O$37,"",0,1)),_xlfn.XLOOKUP($C1012,Phone_by_Sentiment!$B$2:$B$37,Phone_by_Sentiment!O$2:O$37,"",0,1),0),$A1012-TEXT(DATEVALUE($D1012&amp;"-01"), "dd-mm-yyyy")),0),0)</f>
        <v>0</v>
      </c>
      <c r="P1012" s="1">
        <f t="shared" si="40"/>
        <v>44440</v>
      </c>
      <c r="Q1012">
        <f t="shared" si="41"/>
        <v>-123</v>
      </c>
    </row>
    <row r="1013" spans="1:17" x14ac:dyDescent="0.25">
      <c r="A1013" s="1">
        <f t="shared" si="42"/>
        <v>44317</v>
      </c>
      <c r="B1013" t="s">
        <v>162</v>
      </c>
      <c r="C1013" t="str">
        <f>_xlfn.XLOOKUP(B1013,Phone_by_Price!$A$2:$A$34,Phone_by_Price!$B$2:$B$34,"-",0,1)</f>
        <v>Xiaomi Poco X3 NFC</v>
      </c>
      <c r="D1013" t="str">
        <f>_xlfn.XLOOKUP(C1013,Phone_by_Sentiment!$B$2:$B$37,Phone_by_Sentiment!$A$2:$A$37,"-",0,1)</f>
        <v>2020-08</v>
      </c>
      <c r="E1013" cm="1">
        <f t="array" ref="E1013">IF($Q1013&gt;=0,IFERROR(generateSalesData($D1013, IF(ISNUMBER(_xlfn.XLOOKUP($C1013,Phone_by_Sentiment!$B$2:$B$37,Phone_by_Sentiment!E$2:E$37,"",0,1)),_xlfn.XLOOKUP($C1013,Phone_by_Sentiment!$B$2:$B$37,Phone_by_Sentiment!E$2:E$37,"",0,1),0),$A1013-TEXT(DATEVALUE($D1013&amp;"-01"), "dd-mm-yyyy")),0),0)</f>
        <v>173</v>
      </c>
      <c r="F1013" cm="1">
        <f t="array" ref="F1013">IF($Q1013&gt;=0,IFERROR(generateSalesData($D1013, IF(ISNUMBER(_xlfn.XLOOKUP($C1013,Phone_by_Sentiment!$B$2:$B$37,Phone_by_Sentiment!F$2:F$37,"",0,1)),_xlfn.XLOOKUP($C1013,Phone_by_Sentiment!$B$2:$B$37,Phone_by_Sentiment!F$2:F$37,"",0,1),0),$A1013-TEXT(DATEVALUE($D1013&amp;"-01"), "dd-mm-yyyy")),0),0)</f>
        <v>311</v>
      </c>
      <c r="G1013" cm="1">
        <f t="array" ref="G1013">IF($Q1013&gt;=0,IFERROR(generateSalesData($D1013, IF(ISNUMBER(_xlfn.XLOOKUP($C1013,Phone_by_Sentiment!$B$2:$B$37,Phone_by_Sentiment!G$2:G$37,"",0,1)),_xlfn.XLOOKUP($C1013,Phone_by_Sentiment!$B$2:$B$37,Phone_by_Sentiment!G$2:G$37,"",0,1),0),$A1013-TEXT(DATEVALUE($D1013&amp;"-01"), "dd-mm-yyyy")),0),0)</f>
        <v>106</v>
      </c>
      <c r="H1013" cm="1">
        <f t="array" ref="H1013">IF($Q1013&gt;=0,IFERROR(generateSalesData($D1013, IF(ISNUMBER(_xlfn.XLOOKUP($C1013,Phone_by_Sentiment!$B$2:$B$37,Phone_by_Sentiment!H$2:H$37,"",0,1)),_xlfn.XLOOKUP($C1013,Phone_by_Sentiment!$B$2:$B$37,Phone_by_Sentiment!H$2:H$37,"",0,1),0),$A1013-TEXT(DATEVALUE($D1013&amp;"-01"), "dd-mm-yyyy")),0),0)</f>
        <v>323</v>
      </c>
      <c r="I1013" cm="1">
        <f t="array" ref="I1013">IF($Q1013&gt;=0,IFERROR(generateSalesData($D1013, IF(ISNUMBER(_xlfn.XLOOKUP($C1013,Phone_by_Sentiment!$B$2:$B$37,Phone_by_Sentiment!I$2:I$37,"",0,1)),_xlfn.XLOOKUP($C1013,Phone_by_Sentiment!$B$2:$B$37,Phone_by_Sentiment!I$2:I$37,"",0,1),0),$A1013-TEXT(DATEVALUE($D1013&amp;"-01"), "dd-mm-yyyy")),0),0)</f>
        <v>480</v>
      </c>
      <c r="J1013" cm="1">
        <f t="array" ref="J1013">IF($Q1013&gt;=0,IFERROR(generateSalesData($D1013, IF(ISNUMBER(_xlfn.XLOOKUP($C1013,Phone_by_Sentiment!$B$2:$B$37,Phone_by_Sentiment!J$2:J$37,"",0,1)),_xlfn.XLOOKUP($C1013,Phone_by_Sentiment!$B$2:$B$37,Phone_by_Sentiment!J$2:J$37,"",0,1),0),$A1013-TEXT(DATEVALUE($D1013&amp;"-01"), "dd-mm-yyyy")),0),0)</f>
        <v>324</v>
      </c>
      <c r="K1013" cm="1">
        <f t="array" ref="K1013">IF($Q1013&gt;=0,IFERROR(generateSalesData($D1013, IF(ISNUMBER(_xlfn.XLOOKUP($C1013,Phone_by_Sentiment!$B$2:$B$37,Phone_by_Sentiment!K$2:K$37,"",0,1)),_xlfn.XLOOKUP($C1013,Phone_by_Sentiment!$B$2:$B$37,Phone_by_Sentiment!K$2:K$37,"",0,1),0),$A1013-TEXT(DATEVALUE($D1013&amp;"-01"), "dd-mm-yyyy")),0),0)</f>
        <v>539</v>
      </c>
      <c r="L1013" cm="1">
        <f t="array" ref="L1013">IF($Q1013&gt;=0,IFERROR(generateSalesData($D1013, IF(ISNUMBER(_xlfn.XLOOKUP($C1013,Phone_by_Sentiment!$B$2:$B$37,Phone_by_Sentiment!L$2:L$37,"",0,1)),_xlfn.XLOOKUP($C1013,Phone_by_Sentiment!$B$2:$B$37,Phone_by_Sentiment!L$2:L$37,"",0,1),0),$A1013-TEXT(DATEVALUE($D1013&amp;"-01"), "dd-mm-yyyy")),0),0)</f>
        <v>250</v>
      </c>
      <c r="M1013" cm="1">
        <f t="array" ref="M1013">IF($Q1013&gt;=0,IFERROR(generateSalesData($D1013, IF(ISNUMBER(_xlfn.XLOOKUP($C1013,Phone_by_Sentiment!$B$2:$B$37,Phone_by_Sentiment!M$2:M$37,"",0,1)),_xlfn.XLOOKUP($C1013,Phone_by_Sentiment!$B$2:$B$37,Phone_by_Sentiment!M$2:M$37,"",0,1),0),$A1013-TEXT(DATEVALUE($D1013&amp;"-01"), "dd-mm-yyyy")),0),0)</f>
        <v>980</v>
      </c>
      <c r="N1013" cm="1">
        <f t="array" ref="N1013">IF($Q1013&gt;=0,IFERROR(generateSalesData($D1013, IF(ISNUMBER(_xlfn.XLOOKUP($C1013,Phone_by_Sentiment!$B$2:$B$37,Phone_by_Sentiment!N$2:N$37,"",0,1)),_xlfn.XLOOKUP($C1013,Phone_by_Sentiment!$B$2:$B$37,Phone_by_Sentiment!N$2:N$37,"",0,1),0),$A1013-TEXT(DATEVALUE($D1013&amp;"-01"), "dd-mm-yyyy")),0),0)</f>
        <v>21</v>
      </c>
      <c r="O1013" cm="1">
        <f t="array" ref="O1013">IF($Q1013&gt;=0,IFERROR(generateSalesData($D1013, IF(ISNUMBER(_xlfn.XLOOKUP($C1013,Phone_by_Sentiment!$B$2:$B$37,Phone_by_Sentiment!O$2:O$37,"",0,1)),_xlfn.XLOOKUP($C1013,Phone_by_Sentiment!$B$2:$B$37,Phone_by_Sentiment!O$2:O$37,"",0,1),0),$A1013-TEXT(DATEVALUE($D1013&amp;"-01"), "dd-mm-yyyy")),0),0)</f>
        <v>720</v>
      </c>
      <c r="P1013" s="1">
        <f t="shared" si="40"/>
        <v>44044</v>
      </c>
      <c r="Q1013">
        <f t="shared" si="41"/>
        <v>273</v>
      </c>
    </row>
    <row r="1014" spans="1:17" x14ac:dyDescent="0.25">
      <c r="A1014" s="1">
        <f t="shared" si="42"/>
        <v>44317</v>
      </c>
      <c r="B1014" t="s">
        <v>163</v>
      </c>
      <c r="C1014" t="str">
        <f>_xlfn.XLOOKUP(B1014,Phone_by_Price!$A$2:$A$34,Phone_by_Price!$B$2:$B$34,"-",0,1)</f>
        <v>OPPO A93</v>
      </c>
      <c r="D1014" t="str">
        <f>_xlfn.XLOOKUP(C1014,Phone_by_Sentiment!$B$2:$B$37,Phone_by_Sentiment!$A$2:$A$37,"-",0,1)</f>
        <v>2021-02</v>
      </c>
      <c r="E1014" cm="1">
        <f t="array" ref="E1014">IF($Q1014&gt;=0,IFERROR(generateSalesData($D1014, IF(ISNUMBER(_xlfn.XLOOKUP($C1014,Phone_by_Sentiment!$B$2:$B$37,Phone_by_Sentiment!E$2:E$37,"",0,1)),_xlfn.XLOOKUP($C1014,Phone_by_Sentiment!$B$2:$B$37,Phone_by_Sentiment!E$2:E$37,"",0,1),0),$A1014-TEXT(DATEVALUE($D1014&amp;"-01"), "dd-mm-yyyy")),0),0)</f>
        <v>2094</v>
      </c>
      <c r="F1014" cm="1">
        <f t="array" ref="F1014">IF($Q1014&gt;=0,IFERROR(generateSalesData($D1014, IF(ISNUMBER(_xlfn.XLOOKUP($C1014,Phone_by_Sentiment!$B$2:$B$37,Phone_by_Sentiment!F$2:F$37,"",0,1)),_xlfn.XLOOKUP($C1014,Phone_by_Sentiment!$B$2:$B$37,Phone_by_Sentiment!F$2:F$37,"",0,1),0),$A1014-TEXT(DATEVALUE($D1014&amp;"-01"), "dd-mm-yyyy")),0),0)</f>
        <v>657</v>
      </c>
      <c r="G1014" cm="1">
        <f t="array" ref="G1014">IF($Q1014&gt;=0,IFERROR(generateSalesData($D1014, IF(ISNUMBER(_xlfn.XLOOKUP($C1014,Phone_by_Sentiment!$B$2:$B$37,Phone_by_Sentiment!G$2:G$37,"",0,1)),_xlfn.XLOOKUP($C1014,Phone_by_Sentiment!$B$2:$B$37,Phone_by_Sentiment!G$2:G$37,"",0,1),0),$A1014-TEXT(DATEVALUE($D1014&amp;"-01"), "dd-mm-yyyy")),0),0)</f>
        <v>1100</v>
      </c>
      <c r="H1014" cm="1">
        <f t="array" ref="H1014">IF($Q1014&gt;=0,IFERROR(generateSalesData($D1014, IF(ISNUMBER(_xlfn.XLOOKUP($C1014,Phone_by_Sentiment!$B$2:$B$37,Phone_by_Sentiment!H$2:H$37,"",0,1)),_xlfn.XLOOKUP($C1014,Phone_by_Sentiment!$B$2:$B$37,Phone_by_Sentiment!H$2:H$37,"",0,1),0),$A1014-TEXT(DATEVALUE($D1014&amp;"-01"), "dd-mm-yyyy")),0),0)</f>
        <v>1889</v>
      </c>
      <c r="I1014" cm="1">
        <f t="array" ref="I1014">IF($Q1014&gt;=0,IFERROR(generateSalesData($D1014, IF(ISNUMBER(_xlfn.XLOOKUP($C1014,Phone_by_Sentiment!$B$2:$B$37,Phone_by_Sentiment!I$2:I$37,"",0,1)),_xlfn.XLOOKUP($C1014,Phone_by_Sentiment!$B$2:$B$37,Phone_by_Sentiment!I$2:I$37,"",0,1),0),$A1014-TEXT(DATEVALUE($D1014&amp;"-01"), "dd-mm-yyyy")),0),0)</f>
        <v>3646</v>
      </c>
      <c r="J1014" cm="1">
        <f t="array" ref="J1014">IF($Q1014&gt;=0,IFERROR(generateSalesData($D1014, IF(ISNUMBER(_xlfn.XLOOKUP($C1014,Phone_by_Sentiment!$B$2:$B$37,Phone_by_Sentiment!J$2:J$37,"",0,1)),_xlfn.XLOOKUP($C1014,Phone_by_Sentiment!$B$2:$B$37,Phone_by_Sentiment!J$2:J$37,"",0,1),0),$A1014-TEXT(DATEVALUE($D1014&amp;"-01"), "dd-mm-yyyy")),0),0)</f>
        <v>787</v>
      </c>
      <c r="K1014" cm="1">
        <f t="array" ref="K1014">IF($Q1014&gt;=0,IFERROR(generateSalesData($D1014, IF(ISNUMBER(_xlfn.XLOOKUP($C1014,Phone_by_Sentiment!$B$2:$B$37,Phone_by_Sentiment!K$2:K$37,"",0,1)),_xlfn.XLOOKUP($C1014,Phone_by_Sentiment!$B$2:$B$37,Phone_by_Sentiment!K$2:K$37,"",0,1),0),$A1014-TEXT(DATEVALUE($D1014&amp;"-01"), "dd-mm-yyyy")),0),0)</f>
        <v>400</v>
      </c>
      <c r="L1014" cm="1">
        <f t="array" ref="L1014">IF($Q1014&gt;=0,IFERROR(generateSalesData($D1014, IF(ISNUMBER(_xlfn.XLOOKUP($C1014,Phone_by_Sentiment!$B$2:$B$37,Phone_by_Sentiment!L$2:L$37,"",0,1)),_xlfn.XLOOKUP($C1014,Phone_by_Sentiment!$B$2:$B$37,Phone_by_Sentiment!L$2:L$37,"",0,1),0),$A1014-TEXT(DATEVALUE($D1014&amp;"-01"), "dd-mm-yyyy")),0),0)</f>
        <v>898</v>
      </c>
      <c r="M1014" cm="1">
        <f t="array" ref="M1014">IF($Q1014&gt;=0,IFERROR(generateSalesData($D1014, IF(ISNUMBER(_xlfn.XLOOKUP($C1014,Phone_by_Sentiment!$B$2:$B$37,Phone_by_Sentiment!M$2:M$37,"",0,1)),_xlfn.XLOOKUP($C1014,Phone_by_Sentiment!$B$2:$B$37,Phone_by_Sentiment!M$2:M$37,"",0,1),0),$A1014-TEXT(DATEVALUE($D1014&amp;"-01"), "dd-mm-yyyy")),0),0)</f>
        <v>2758</v>
      </c>
      <c r="N1014" cm="1">
        <f t="array" ref="N1014">IF($Q1014&gt;=0,IFERROR(generateSalesData($D1014, IF(ISNUMBER(_xlfn.XLOOKUP($C1014,Phone_by_Sentiment!$B$2:$B$37,Phone_by_Sentiment!N$2:N$37,"",0,1)),_xlfn.XLOOKUP($C1014,Phone_by_Sentiment!$B$2:$B$37,Phone_by_Sentiment!N$2:N$37,"",0,1),0),$A1014-TEXT(DATEVALUE($D1014&amp;"-01"), "dd-mm-yyyy")),0),0)</f>
        <v>4203</v>
      </c>
      <c r="O1014" cm="1">
        <f t="array" ref="O1014">IF($Q1014&gt;=0,IFERROR(generateSalesData($D1014, IF(ISNUMBER(_xlfn.XLOOKUP($C1014,Phone_by_Sentiment!$B$2:$B$37,Phone_by_Sentiment!O$2:O$37,"",0,1)),_xlfn.XLOOKUP($C1014,Phone_by_Sentiment!$B$2:$B$37,Phone_by_Sentiment!O$2:O$37,"",0,1),0),$A1014-TEXT(DATEVALUE($D1014&amp;"-01"), "dd-mm-yyyy")),0),0)</f>
        <v>306</v>
      </c>
      <c r="P1014" s="1">
        <f t="shared" si="40"/>
        <v>44228</v>
      </c>
      <c r="Q1014">
        <f t="shared" si="41"/>
        <v>89</v>
      </c>
    </row>
    <row r="1015" spans="1:17" x14ac:dyDescent="0.25">
      <c r="A1015" s="1">
        <f t="shared" si="42"/>
        <v>44317</v>
      </c>
      <c r="B1015" t="s">
        <v>164</v>
      </c>
      <c r="C1015" t="str">
        <f>_xlfn.XLOOKUP(B1015,Phone_by_Price!$A$2:$A$34,Phone_by_Price!$B$2:$B$34,"-",0,1)</f>
        <v>Vivo V20</v>
      </c>
      <c r="D1015" t="str">
        <f>_xlfn.XLOOKUP(C1015,Phone_by_Sentiment!$B$2:$B$37,Phone_by_Sentiment!$A$2:$A$37,"-",0,1)</f>
        <v>2020-10</v>
      </c>
      <c r="E1015" cm="1">
        <f t="array" ref="E1015">IF($Q1015&gt;=0,IFERROR(generateSalesData($D1015, IF(ISNUMBER(_xlfn.XLOOKUP($C1015,Phone_by_Sentiment!$B$2:$B$37,Phone_by_Sentiment!E$2:E$37,"",0,1)),_xlfn.XLOOKUP($C1015,Phone_by_Sentiment!$B$2:$B$37,Phone_by_Sentiment!E$2:E$37,"",0,1),0),$A1015-TEXT(DATEVALUE($D1015&amp;"-01"), "dd-mm-yyyy")),0),0)</f>
        <v>1152</v>
      </c>
      <c r="F1015" cm="1">
        <f t="array" ref="F1015">IF($Q1015&gt;=0,IFERROR(generateSalesData($D1015, IF(ISNUMBER(_xlfn.XLOOKUP($C1015,Phone_by_Sentiment!$B$2:$B$37,Phone_by_Sentiment!F$2:F$37,"",0,1)),_xlfn.XLOOKUP($C1015,Phone_by_Sentiment!$B$2:$B$37,Phone_by_Sentiment!F$2:F$37,"",0,1),0),$A1015-TEXT(DATEVALUE($D1015&amp;"-01"), "dd-mm-yyyy")),0),0)</f>
        <v>502</v>
      </c>
      <c r="G1015" cm="1">
        <f t="array" ref="G1015">IF($Q1015&gt;=0,IFERROR(generateSalesData($D1015, IF(ISNUMBER(_xlfn.XLOOKUP($C1015,Phone_by_Sentiment!$B$2:$B$37,Phone_by_Sentiment!G$2:G$37,"",0,1)),_xlfn.XLOOKUP($C1015,Phone_by_Sentiment!$B$2:$B$37,Phone_by_Sentiment!G$2:G$37,"",0,1),0),$A1015-TEXT(DATEVALUE($D1015&amp;"-01"), "dd-mm-yyyy")),0),0)</f>
        <v>88</v>
      </c>
      <c r="H1015" cm="1">
        <f t="array" ref="H1015">IF($Q1015&gt;=0,IFERROR(generateSalesData($D1015, IF(ISNUMBER(_xlfn.XLOOKUP($C1015,Phone_by_Sentiment!$B$2:$B$37,Phone_by_Sentiment!H$2:H$37,"",0,1)),_xlfn.XLOOKUP($C1015,Phone_by_Sentiment!$B$2:$B$37,Phone_by_Sentiment!H$2:H$37,"",0,1),0),$A1015-TEXT(DATEVALUE($D1015&amp;"-01"), "dd-mm-yyyy")),0),0)</f>
        <v>197</v>
      </c>
      <c r="I1015" cm="1">
        <f t="array" ref="I1015">IF($Q1015&gt;=0,IFERROR(generateSalesData($D1015, IF(ISNUMBER(_xlfn.XLOOKUP($C1015,Phone_by_Sentiment!$B$2:$B$37,Phone_by_Sentiment!I$2:I$37,"",0,1)),_xlfn.XLOOKUP($C1015,Phone_by_Sentiment!$B$2:$B$37,Phone_by_Sentiment!I$2:I$37,"",0,1),0),$A1015-TEXT(DATEVALUE($D1015&amp;"-01"), "dd-mm-yyyy")),0),0)</f>
        <v>446</v>
      </c>
      <c r="J1015" cm="1">
        <f t="array" ref="J1015">IF($Q1015&gt;=0,IFERROR(generateSalesData($D1015, IF(ISNUMBER(_xlfn.XLOOKUP($C1015,Phone_by_Sentiment!$B$2:$B$37,Phone_by_Sentiment!J$2:J$37,"",0,1)),_xlfn.XLOOKUP($C1015,Phone_by_Sentiment!$B$2:$B$37,Phone_by_Sentiment!J$2:J$37,"",0,1),0),$A1015-TEXT(DATEVALUE($D1015&amp;"-01"), "dd-mm-yyyy")),0),0)</f>
        <v>161</v>
      </c>
      <c r="K1015" cm="1">
        <f t="array" ref="K1015">IF($Q1015&gt;=0,IFERROR(generateSalesData($D1015, IF(ISNUMBER(_xlfn.XLOOKUP($C1015,Phone_by_Sentiment!$B$2:$B$37,Phone_by_Sentiment!K$2:K$37,"",0,1)),_xlfn.XLOOKUP($C1015,Phone_by_Sentiment!$B$2:$B$37,Phone_by_Sentiment!K$2:K$37,"",0,1),0),$A1015-TEXT(DATEVALUE($D1015&amp;"-01"), "dd-mm-yyyy")),0),0)</f>
        <v>246</v>
      </c>
      <c r="L1015" cm="1">
        <f t="array" ref="L1015">IF($Q1015&gt;=0,IFERROR(generateSalesData($D1015, IF(ISNUMBER(_xlfn.XLOOKUP($C1015,Phone_by_Sentiment!$B$2:$B$37,Phone_by_Sentiment!L$2:L$37,"",0,1)),_xlfn.XLOOKUP($C1015,Phone_by_Sentiment!$B$2:$B$37,Phone_by_Sentiment!L$2:L$37,"",0,1),0),$A1015-TEXT(DATEVALUE($D1015&amp;"-01"), "dd-mm-yyyy")),0),0)</f>
        <v>114</v>
      </c>
      <c r="M1015" cm="1">
        <f t="array" ref="M1015">IF($Q1015&gt;=0,IFERROR(generateSalesData($D1015, IF(ISNUMBER(_xlfn.XLOOKUP($C1015,Phone_by_Sentiment!$B$2:$B$37,Phone_by_Sentiment!M$2:M$37,"",0,1)),_xlfn.XLOOKUP($C1015,Phone_by_Sentiment!$B$2:$B$37,Phone_by_Sentiment!M$2:M$37,"",0,1),0),$A1015-TEXT(DATEVALUE($D1015&amp;"-01"), "dd-mm-yyyy")),0),0)</f>
        <v>165</v>
      </c>
      <c r="N1015" cm="1">
        <f t="array" ref="N1015">IF($Q1015&gt;=0,IFERROR(generateSalesData($D1015, IF(ISNUMBER(_xlfn.XLOOKUP($C1015,Phone_by_Sentiment!$B$2:$B$37,Phone_by_Sentiment!N$2:N$37,"",0,1)),_xlfn.XLOOKUP($C1015,Phone_by_Sentiment!$B$2:$B$37,Phone_by_Sentiment!N$2:N$37,"",0,1),0),$A1015-TEXT(DATEVALUE($D1015&amp;"-01"), "dd-mm-yyyy")),0),0)</f>
        <v>155</v>
      </c>
      <c r="O1015" cm="1">
        <f t="array" ref="O1015">IF($Q1015&gt;=0,IFERROR(generateSalesData($D1015, IF(ISNUMBER(_xlfn.XLOOKUP($C1015,Phone_by_Sentiment!$B$2:$B$37,Phone_by_Sentiment!O$2:O$37,"",0,1)),_xlfn.XLOOKUP($C1015,Phone_by_Sentiment!$B$2:$B$37,Phone_by_Sentiment!O$2:O$37,"",0,1),0),$A1015-TEXT(DATEVALUE($D1015&amp;"-01"), "dd-mm-yyyy")),0),0)</f>
        <v>372</v>
      </c>
      <c r="P1015" s="1">
        <f t="shared" si="40"/>
        <v>44105</v>
      </c>
      <c r="Q1015">
        <f t="shared" si="41"/>
        <v>212</v>
      </c>
    </row>
    <row r="1016" spans="1:17" x14ac:dyDescent="0.25">
      <c r="A1016" s="1">
        <f t="shared" si="42"/>
        <v>44348</v>
      </c>
      <c r="B1016" t="s">
        <v>165</v>
      </c>
      <c r="C1016" t="str">
        <f>_xlfn.XLOOKUP(B1016,Phone_by_Price!$A$2:$A$34,Phone_by_Price!$B$2:$B$34,"-",0,1)</f>
        <v>Samsung Galaxy A50</v>
      </c>
      <c r="D1016" t="str">
        <f>_xlfn.XLOOKUP(C1016,Phone_by_Sentiment!$B$2:$B$37,Phone_by_Sentiment!$A$2:$A$37,"-",0,1)</f>
        <v>2019-05</v>
      </c>
      <c r="E1016" cm="1">
        <f t="array" ref="E1016">IF($Q1016&gt;=0,IFERROR(generateSalesData($D1016, IF(ISNUMBER(_xlfn.XLOOKUP($C1016,Phone_by_Sentiment!$B$2:$B$37,Phone_by_Sentiment!E$2:E$37,"",0,1)),_xlfn.XLOOKUP($C1016,Phone_by_Sentiment!$B$2:$B$37,Phone_by_Sentiment!E$2:E$37,"",0,1),0),$A1016-TEXT(DATEVALUE($D1016&amp;"-01"), "dd-mm-yyyy")),0),0)</f>
        <v>510</v>
      </c>
      <c r="F1016" cm="1">
        <f t="array" ref="F1016">IF($Q1016&gt;=0,IFERROR(generateSalesData($D1016, IF(ISNUMBER(_xlfn.XLOOKUP($C1016,Phone_by_Sentiment!$B$2:$B$37,Phone_by_Sentiment!F$2:F$37,"",0,1)),_xlfn.XLOOKUP($C1016,Phone_by_Sentiment!$B$2:$B$37,Phone_by_Sentiment!F$2:F$37,"",0,1),0),$A1016-TEXT(DATEVALUE($D1016&amp;"-01"), "dd-mm-yyyy")),0),0)</f>
        <v>106</v>
      </c>
      <c r="G1016" cm="1">
        <f t="array" ref="G1016">IF($Q1016&gt;=0,IFERROR(generateSalesData($D1016, IF(ISNUMBER(_xlfn.XLOOKUP($C1016,Phone_by_Sentiment!$B$2:$B$37,Phone_by_Sentiment!G$2:G$37,"",0,1)),_xlfn.XLOOKUP($C1016,Phone_by_Sentiment!$B$2:$B$37,Phone_by_Sentiment!G$2:G$37,"",0,1),0),$A1016-TEXT(DATEVALUE($D1016&amp;"-01"), "dd-mm-yyyy")),0),0)</f>
        <v>115</v>
      </c>
      <c r="H1016" cm="1">
        <f t="array" ref="H1016">IF($Q1016&gt;=0,IFERROR(generateSalesData($D1016, IF(ISNUMBER(_xlfn.XLOOKUP($C1016,Phone_by_Sentiment!$B$2:$B$37,Phone_by_Sentiment!H$2:H$37,"",0,1)),_xlfn.XLOOKUP($C1016,Phone_by_Sentiment!$B$2:$B$37,Phone_by_Sentiment!H$2:H$37,"",0,1),0),$A1016-TEXT(DATEVALUE($D1016&amp;"-01"), "dd-mm-yyyy")),0),0)</f>
        <v>236</v>
      </c>
      <c r="I1016" cm="1">
        <f t="array" ref="I1016">IF($Q1016&gt;=0,IFERROR(generateSalesData($D1016, IF(ISNUMBER(_xlfn.XLOOKUP($C1016,Phone_by_Sentiment!$B$2:$B$37,Phone_by_Sentiment!I$2:I$37,"",0,1)),_xlfn.XLOOKUP($C1016,Phone_by_Sentiment!$B$2:$B$37,Phone_by_Sentiment!I$2:I$37,"",0,1),0),$A1016-TEXT(DATEVALUE($D1016&amp;"-01"), "dd-mm-yyyy")),0),0)</f>
        <v>343</v>
      </c>
      <c r="J1016" cm="1">
        <f t="array" ref="J1016">IF($Q1016&gt;=0,IFERROR(generateSalesData($D1016, IF(ISNUMBER(_xlfn.XLOOKUP($C1016,Phone_by_Sentiment!$B$2:$B$37,Phone_by_Sentiment!J$2:J$37,"",0,1)),_xlfn.XLOOKUP($C1016,Phone_by_Sentiment!$B$2:$B$37,Phone_by_Sentiment!J$2:J$37,"",0,1),0),$A1016-TEXT(DATEVALUE($D1016&amp;"-01"), "dd-mm-yyyy")),0),0)</f>
        <v>88</v>
      </c>
      <c r="K1016" cm="1">
        <f t="array" ref="K1016">IF($Q1016&gt;=0,IFERROR(generateSalesData($D1016, IF(ISNUMBER(_xlfn.XLOOKUP($C1016,Phone_by_Sentiment!$B$2:$B$37,Phone_by_Sentiment!K$2:K$37,"",0,1)),_xlfn.XLOOKUP($C1016,Phone_by_Sentiment!$B$2:$B$37,Phone_by_Sentiment!K$2:K$37,"",0,1),0),$A1016-TEXT(DATEVALUE($D1016&amp;"-01"), "dd-mm-yyyy")),0),0)</f>
        <v>92</v>
      </c>
      <c r="L1016" cm="1">
        <f t="array" ref="L1016">IF($Q1016&gt;=0,IFERROR(generateSalesData($D1016, IF(ISNUMBER(_xlfn.XLOOKUP($C1016,Phone_by_Sentiment!$B$2:$B$37,Phone_by_Sentiment!L$2:L$37,"",0,1)),_xlfn.XLOOKUP($C1016,Phone_by_Sentiment!$B$2:$B$37,Phone_by_Sentiment!L$2:L$37,"",0,1),0),$A1016-TEXT(DATEVALUE($D1016&amp;"-01"), "dd-mm-yyyy")),0),0)</f>
        <v>204</v>
      </c>
      <c r="M1016" cm="1">
        <f t="array" ref="M1016">IF($Q1016&gt;=0,IFERROR(generateSalesData($D1016, IF(ISNUMBER(_xlfn.XLOOKUP($C1016,Phone_by_Sentiment!$B$2:$B$37,Phone_by_Sentiment!M$2:M$37,"",0,1)),_xlfn.XLOOKUP($C1016,Phone_by_Sentiment!$B$2:$B$37,Phone_by_Sentiment!M$2:M$37,"",0,1),0),$A1016-TEXT(DATEVALUE($D1016&amp;"-01"), "dd-mm-yyyy")),0),0)</f>
        <v>103</v>
      </c>
      <c r="N1016" cm="1">
        <f t="array" ref="N1016">IF($Q1016&gt;=0,IFERROR(generateSalesData($D1016, IF(ISNUMBER(_xlfn.XLOOKUP($C1016,Phone_by_Sentiment!$B$2:$B$37,Phone_by_Sentiment!N$2:N$37,"",0,1)),_xlfn.XLOOKUP($C1016,Phone_by_Sentiment!$B$2:$B$37,Phone_by_Sentiment!N$2:N$37,"",0,1),0),$A1016-TEXT(DATEVALUE($D1016&amp;"-01"), "dd-mm-yyyy")),0),0)</f>
        <v>168</v>
      </c>
      <c r="O1016" cm="1">
        <f t="array" ref="O1016">IF($Q1016&gt;=0,IFERROR(generateSalesData($D1016, IF(ISNUMBER(_xlfn.XLOOKUP($C1016,Phone_by_Sentiment!$B$2:$B$37,Phone_by_Sentiment!O$2:O$37,"",0,1)),_xlfn.XLOOKUP($C1016,Phone_by_Sentiment!$B$2:$B$37,Phone_by_Sentiment!O$2:O$37,"",0,1),0),$A1016-TEXT(DATEVALUE($D1016&amp;"-01"), "dd-mm-yyyy")),0),0)</f>
        <v>158</v>
      </c>
      <c r="P1016" s="1">
        <f t="shared" si="40"/>
        <v>43586</v>
      </c>
      <c r="Q1016">
        <f t="shared" si="41"/>
        <v>762</v>
      </c>
    </row>
    <row r="1017" spans="1:17" x14ac:dyDescent="0.25">
      <c r="A1017" s="1">
        <f t="shared" si="42"/>
        <v>44348</v>
      </c>
      <c r="B1017" t="s">
        <v>166</v>
      </c>
      <c r="C1017" t="str">
        <f>_xlfn.XLOOKUP(B1017,Phone_by_Price!$A$2:$A$34,Phone_by_Price!$B$2:$B$34,"-",0,1)</f>
        <v>Xiaomi Redmi Note 7</v>
      </c>
      <c r="D1017" t="str">
        <f>_xlfn.XLOOKUP(C1017,Phone_by_Sentiment!$B$2:$B$37,Phone_by_Sentiment!$A$2:$A$37,"-",0,1)</f>
        <v>2019-08</v>
      </c>
      <c r="E1017" cm="1">
        <f t="array" ref="E1017">IF($Q1017&gt;=0,IFERROR(generateSalesData($D1017, IF(ISNUMBER(_xlfn.XLOOKUP($C1017,Phone_by_Sentiment!$B$2:$B$37,Phone_by_Sentiment!E$2:E$37,"",0,1)),_xlfn.XLOOKUP($C1017,Phone_by_Sentiment!$B$2:$B$37,Phone_by_Sentiment!E$2:E$37,"",0,1),0),$A1017-TEXT(DATEVALUE($D1017&amp;"-01"), "dd-mm-yyyy")),0),0)</f>
        <v>88</v>
      </c>
      <c r="F1017" cm="1">
        <f t="array" ref="F1017">IF($Q1017&gt;=0,IFERROR(generateSalesData($D1017, IF(ISNUMBER(_xlfn.XLOOKUP($C1017,Phone_by_Sentiment!$B$2:$B$37,Phone_by_Sentiment!F$2:F$37,"",0,1)),_xlfn.XLOOKUP($C1017,Phone_by_Sentiment!$B$2:$B$37,Phone_by_Sentiment!F$2:F$37,"",0,1),0),$A1017-TEXT(DATEVALUE($D1017&amp;"-01"), "dd-mm-yyyy")),0),0)</f>
        <v>152</v>
      </c>
      <c r="G1017" cm="1">
        <f t="array" ref="G1017">IF($Q1017&gt;=0,IFERROR(generateSalesData($D1017, IF(ISNUMBER(_xlfn.XLOOKUP($C1017,Phone_by_Sentiment!$B$2:$B$37,Phone_by_Sentiment!G$2:G$37,"",0,1)),_xlfn.XLOOKUP($C1017,Phone_by_Sentiment!$B$2:$B$37,Phone_by_Sentiment!G$2:G$37,"",0,1),0),$A1017-TEXT(DATEVALUE($D1017&amp;"-01"), "dd-mm-yyyy")),0),0)</f>
        <v>107</v>
      </c>
      <c r="H1017" cm="1">
        <f t="array" ref="H1017">IF($Q1017&gt;=0,IFERROR(generateSalesData($D1017, IF(ISNUMBER(_xlfn.XLOOKUP($C1017,Phone_by_Sentiment!$B$2:$B$37,Phone_by_Sentiment!H$2:H$37,"",0,1)),_xlfn.XLOOKUP($C1017,Phone_by_Sentiment!$B$2:$B$37,Phone_by_Sentiment!H$2:H$37,"",0,1),0),$A1017-TEXT(DATEVALUE($D1017&amp;"-01"), "dd-mm-yyyy")),0),0)</f>
        <v>663</v>
      </c>
      <c r="I1017" cm="1">
        <f t="array" ref="I1017">IF($Q1017&gt;=0,IFERROR(generateSalesData($D1017, IF(ISNUMBER(_xlfn.XLOOKUP($C1017,Phone_by_Sentiment!$B$2:$B$37,Phone_by_Sentiment!I$2:I$37,"",0,1)),_xlfn.XLOOKUP($C1017,Phone_by_Sentiment!$B$2:$B$37,Phone_by_Sentiment!I$2:I$37,"",0,1),0),$A1017-TEXT(DATEVALUE($D1017&amp;"-01"), "dd-mm-yyyy")),0),0)</f>
        <v>154</v>
      </c>
      <c r="J1017" cm="1">
        <f t="array" ref="J1017">IF($Q1017&gt;=0,IFERROR(generateSalesData($D1017, IF(ISNUMBER(_xlfn.XLOOKUP($C1017,Phone_by_Sentiment!$B$2:$B$37,Phone_by_Sentiment!J$2:J$37,"",0,1)),_xlfn.XLOOKUP($C1017,Phone_by_Sentiment!$B$2:$B$37,Phone_by_Sentiment!J$2:J$37,"",0,1),0),$A1017-TEXT(DATEVALUE($D1017&amp;"-01"), "dd-mm-yyyy")),0),0)</f>
        <v>49</v>
      </c>
      <c r="K1017" cm="1">
        <f t="array" ref="K1017">IF($Q1017&gt;=0,IFERROR(generateSalesData($D1017, IF(ISNUMBER(_xlfn.XLOOKUP($C1017,Phone_by_Sentiment!$B$2:$B$37,Phone_by_Sentiment!K$2:K$37,"",0,1)),_xlfn.XLOOKUP($C1017,Phone_by_Sentiment!$B$2:$B$37,Phone_by_Sentiment!K$2:K$37,"",0,1),0),$A1017-TEXT(DATEVALUE($D1017&amp;"-01"), "dd-mm-yyyy")),0),0)</f>
        <v>364</v>
      </c>
      <c r="L1017" cm="1">
        <f t="array" ref="L1017">IF($Q1017&gt;=0,IFERROR(generateSalesData($D1017, IF(ISNUMBER(_xlfn.XLOOKUP($C1017,Phone_by_Sentiment!$B$2:$B$37,Phone_by_Sentiment!L$2:L$37,"",0,1)),_xlfn.XLOOKUP($C1017,Phone_by_Sentiment!$B$2:$B$37,Phone_by_Sentiment!L$2:L$37,"",0,1),0),$A1017-TEXT(DATEVALUE($D1017&amp;"-01"), "dd-mm-yyyy")),0),0)</f>
        <v>31</v>
      </c>
      <c r="M1017" cm="1">
        <f t="array" ref="M1017">IF($Q1017&gt;=0,IFERROR(generateSalesData($D1017, IF(ISNUMBER(_xlfn.XLOOKUP($C1017,Phone_by_Sentiment!$B$2:$B$37,Phone_by_Sentiment!M$2:M$37,"",0,1)),_xlfn.XLOOKUP($C1017,Phone_by_Sentiment!$B$2:$B$37,Phone_by_Sentiment!M$2:M$37,"",0,1),0),$A1017-TEXT(DATEVALUE($D1017&amp;"-01"), "dd-mm-yyyy")),0),0)</f>
        <v>338</v>
      </c>
      <c r="N1017" cm="1">
        <f t="array" ref="N1017">IF($Q1017&gt;=0,IFERROR(generateSalesData($D1017, IF(ISNUMBER(_xlfn.XLOOKUP($C1017,Phone_by_Sentiment!$B$2:$B$37,Phone_by_Sentiment!N$2:N$37,"",0,1)),_xlfn.XLOOKUP($C1017,Phone_by_Sentiment!$B$2:$B$37,Phone_by_Sentiment!N$2:N$37,"",0,1),0),$A1017-TEXT(DATEVALUE($D1017&amp;"-01"), "dd-mm-yyyy")),0),0)</f>
        <v>160</v>
      </c>
      <c r="O1017" cm="1">
        <f t="array" ref="O1017">IF($Q1017&gt;=0,IFERROR(generateSalesData($D1017, IF(ISNUMBER(_xlfn.XLOOKUP($C1017,Phone_by_Sentiment!$B$2:$B$37,Phone_by_Sentiment!O$2:O$37,"",0,1)),_xlfn.XLOOKUP($C1017,Phone_by_Sentiment!$B$2:$B$37,Phone_by_Sentiment!O$2:O$37,"",0,1),0),$A1017-TEXT(DATEVALUE($D1017&amp;"-01"), "dd-mm-yyyy")),0),0)</f>
        <v>304</v>
      </c>
      <c r="P1017" s="1">
        <f t="shared" si="40"/>
        <v>43678</v>
      </c>
      <c r="Q1017">
        <f t="shared" si="41"/>
        <v>670</v>
      </c>
    </row>
    <row r="1018" spans="1:17" x14ac:dyDescent="0.25">
      <c r="A1018" s="1">
        <f t="shared" si="42"/>
        <v>44348</v>
      </c>
      <c r="B1018" t="s">
        <v>167</v>
      </c>
      <c r="C1018" t="str">
        <f>_xlfn.XLOOKUP(B1018,Phone_by_Price!$A$2:$A$34,Phone_by_Price!$B$2:$B$34,"-",0,1)</f>
        <v>Realme C21</v>
      </c>
      <c r="D1018" t="str">
        <f>_xlfn.XLOOKUP(C1018,Phone_by_Sentiment!$B$2:$B$37,Phone_by_Sentiment!$A$2:$A$37,"-",0,1)</f>
        <v>2021-04</v>
      </c>
      <c r="E1018" cm="1">
        <f t="array" ref="E1018">IF($Q1018&gt;=0,IFERROR(generateSalesData($D1018, IF(ISNUMBER(_xlfn.XLOOKUP($C1018,Phone_by_Sentiment!$B$2:$B$37,Phone_by_Sentiment!E$2:E$37,"",0,1)),_xlfn.XLOOKUP($C1018,Phone_by_Sentiment!$B$2:$B$37,Phone_by_Sentiment!E$2:E$37,"",0,1),0),$A1018-TEXT(DATEVALUE($D1018&amp;"-01"), "dd-mm-yyyy")),0),0)</f>
        <v>625</v>
      </c>
      <c r="F1018" cm="1">
        <f t="array" ref="F1018">IF($Q1018&gt;=0,IFERROR(generateSalesData($D1018, IF(ISNUMBER(_xlfn.XLOOKUP($C1018,Phone_by_Sentiment!$B$2:$B$37,Phone_by_Sentiment!F$2:F$37,"",0,1)),_xlfn.XLOOKUP($C1018,Phone_by_Sentiment!$B$2:$B$37,Phone_by_Sentiment!F$2:F$37,"",0,1),0),$A1018-TEXT(DATEVALUE($D1018&amp;"-01"), "dd-mm-yyyy")),0),0)</f>
        <v>900</v>
      </c>
      <c r="G1018" cm="1">
        <f t="array" ref="G1018">IF($Q1018&gt;=0,IFERROR(generateSalesData($D1018, IF(ISNUMBER(_xlfn.XLOOKUP($C1018,Phone_by_Sentiment!$B$2:$B$37,Phone_by_Sentiment!G$2:G$37,"",0,1)),_xlfn.XLOOKUP($C1018,Phone_by_Sentiment!$B$2:$B$37,Phone_by_Sentiment!G$2:G$37,"",0,1),0),$A1018-TEXT(DATEVALUE($D1018&amp;"-01"), "dd-mm-yyyy")),0),0)</f>
        <v>2039</v>
      </c>
      <c r="H1018" cm="1">
        <f t="array" ref="H1018">IF($Q1018&gt;=0,IFERROR(generateSalesData($D1018, IF(ISNUMBER(_xlfn.XLOOKUP($C1018,Phone_by_Sentiment!$B$2:$B$37,Phone_by_Sentiment!H$2:H$37,"",0,1)),_xlfn.XLOOKUP($C1018,Phone_by_Sentiment!$B$2:$B$37,Phone_by_Sentiment!H$2:H$37,"",0,1),0),$A1018-TEXT(DATEVALUE($D1018&amp;"-01"), "dd-mm-yyyy")),0),0)</f>
        <v>4043</v>
      </c>
      <c r="I1018" cm="1">
        <f t="array" ref="I1018">IF($Q1018&gt;=0,IFERROR(generateSalesData($D1018, IF(ISNUMBER(_xlfn.XLOOKUP($C1018,Phone_by_Sentiment!$B$2:$B$37,Phone_by_Sentiment!I$2:I$37,"",0,1)),_xlfn.XLOOKUP($C1018,Phone_by_Sentiment!$B$2:$B$37,Phone_by_Sentiment!I$2:I$37,"",0,1),0),$A1018-TEXT(DATEVALUE($D1018&amp;"-01"), "dd-mm-yyyy")),0),0)</f>
        <v>2569</v>
      </c>
      <c r="J1018" cm="1">
        <f t="array" ref="J1018">IF($Q1018&gt;=0,IFERROR(generateSalesData($D1018, IF(ISNUMBER(_xlfn.XLOOKUP($C1018,Phone_by_Sentiment!$B$2:$B$37,Phone_by_Sentiment!J$2:J$37,"",0,1)),_xlfn.XLOOKUP($C1018,Phone_by_Sentiment!$B$2:$B$37,Phone_by_Sentiment!J$2:J$37,"",0,1),0),$A1018-TEXT(DATEVALUE($D1018&amp;"-01"), "dd-mm-yyyy")),0),0)</f>
        <v>525</v>
      </c>
      <c r="K1018" cm="1">
        <f t="array" ref="K1018">IF($Q1018&gt;=0,IFERROR(generateSalesData($D1018, IF(ISNUMBER(_xlfn.XLOOKUP($C1018,Phone_by_Sentiment!$B$2:$B$37,Phone_by_Sentiment!K$2:K$37,"",0,1)),_xlfn.XLOOKUP($C1018,Phone_by_Sentiment!$B$2:$B$37,Phone_by_Sentiment!K$2:K$37,"",0,1),0),$A1018-TEXT(DATEVALUE($D1018&amp;"-01"), "dd-mm-yyyy")),0),0)</f>
        <v>4606</v>
      </c>
      <c r="L1018" cm="1">
        <f t="array" ref="L1018">IF($Q1018&gt;=0,IFERROR(generateSalesData($D1018, IF(ISNUMBER(_xlfn.XLOOKUP($C1018,Phone_by_Sentiment!$B$2:$B$37,Phone_by_Sentiment!L$2:L$37,"",0,1)),_xlfn.XLOOKUP($C1018,Phone_by_Sentiment!$B$2:$B$37,Phone_by_Sentiment!L$2:L$37,"",0,1),0),$A1018-TEXT(DATEVALUE($D1018&amp;"-01"), "dd-mm-yyyy")),0),0)</f>
        <v>2388</v>
      </c>
      <c r="M1018" cm="1">
        <f t="array" ref="M1018">IF($Q1018&gt;=0,IFERROR(generateSalesData($D1018, IF(ISNUMBER(_xlfn.XLOOKUP($C1018,Phone_by_Sentiment!$B$2:$B$37,Phone_by_Sentiment!M$2:M$37,"",0,1)),_xlfn.XLOOKUP($C1018,Phone_by_Sentiment!$B$2:$B$37,Phone_by_Sentiment!M$2:M$37,"",0,1),0),$A1018-TEXT(DATEVALUE($D1018&amp;"-01"), "dd-mm-yyyy")),0),0)</f>
        <v>1693</v>
      </c>
      <c r="N1018" cm="1">
        <f t="array" ref="N1018">IF($Q1018&gt;=0,IFERROR(generateSalesData($D1018, IF(ISNUMBER(_xlfn.XLOOKUP($C1018,Phone_by_Sentiment!$B$2:$B$37,Phone_by_Sentiment!N$2:N$37,"",0,1)),_xlfn.XLOOKUP($C1018,Phone_by_Sentiment!$B$2:$B$37,Phone_by_Sentiment!N$2:N$37,"",0,1),0),$A1018-TEXT(DATEVALUE($D1018&amp;"-01"), "dd-mm-yyyy")),0),0)</f>
        <v>6112</v>
      </c>
      <c r="O1018" cm="1">
        <f t="array" ref="O1018">IF($Q1018&gt;=0,IFERROR(generateSalesData($D1018, IF(ISNUMBER(_xlfn.XLOOKUP($C1018,Phone_by_Sentiment!$B$2:$B$37,Phone_by_Sentiment!O$2:O$37,"",0,1)),_xlfn.XLOOKUP($C1018,Phone_by_Sentiment!$B$2:$B$37,Phone_by_Sentiment!O$2:O$37,"",0,1),0),$A1018-TEXT(DATEVALUE($D1018&amp;"-01"), "dd-mm-yyyy")),0),0)</f>
        <v>1050</v>
      </c>
      <c r="P1018" s="1">
        <f t="shared" si="40"/>
        <v>44287</v>
      </c>
      <c r="Q1018">
        <f t="shared" si="41"/>
        <v>61</v>
      </c>
    </row>
    <row r="1019" spans="1:17" x14ac:dyDescent="0.25">
      <c r="A1019" s="1">
        <f t="shared" si="42"/>
        <v>44348</v>
      </c>
      <c r="B1019" t="s">
        <v>168</v>
      </c>
      <c r="C1019" t="str">
        <f>_xlfn.XLOOKUP(B1019,Phone_by_Price!$A$2:$A$34,Phone_by_Price!$B$2:$B$34,"-",0,1)</f>
        <v>Google Pixel 4</v>
      </c>
      <c r="D1019" t="str">
        <f>_xlfn.XLOOKUP(C1019,Phone_by_Sentiment!$B$2:$B$37,Phone_by_Sentiment!$A$2:$A$37,"-",0,1)</f>
        <v>2019-09</v>
      </c>
      <c r="E1019" cm="1">
        <f t="array" ref="E1019">IF($Q1019&gt;=0,IFERROR(generateSalesData($D1019, IF(ISNUMBER(_xlfn.XLOOKUP($C1019,Phone_by_Sentiment!$B$2:$B$37,Phone_by_Sentiment!E$2:E$37,"",0,1)),_xlfn.XLOOKUP($C1019,Phone_by_Sentiment!$B$2:$B$37,Phone_by_Sentiment!E$2:E$37,"",0,1),0),$A1019-TEXT(DATEVALUE($D1019&amp;"-01"), "dd-mm-yyyy")),0),0)</f>
        <v>404</v>
      </c>
      <c r="F1019" cm="1">
        <f t="array" ref="F1019">IF($Q1019&gt;=0,IFERROR(generateSalesData($D1019, IF(ISNUMBER(_xlfn.XLOOKUP($C1019,Phone_by_Sentiment!$B$2:$B$37,Phone_by_Sentiment!F$2:F$37,"",0,1)),_xlfn.XLOOKUP($C1019,Phone_by_Sentiment!$B$2:$B$37,Phone_by_Sentiment!F$2:F$37,"",0,1),0),$A1019-TEXT(DATEVALUE($D1019&amp;"-01"), "dd-mm-yyyy")),0),0)</f>
        <v>142</v>
      </c>
      <c r="G1019" cm="1">
        <f t="array" ref="G1019">IF($Q1019&gt;=0,IFERROR(generateSalesData($D1019, IF(ISNUMBER(_xlfn.XLOOKUP($C1019,Phone_by_Sentiment!$B$2:$B$37,Phone_by_Sentiment!G$2:G$37,"",0,1)),_xlfn.XLOOKUP($C1019,Phone_by_Sentiment!$B$2:$B$37,Phone_by_Sentiment!G$2:G$37,"",0,1),0),$A1019-TEXT(DATEVALUE($D1019&amp;"-01"), "dd-mm-yyyy")),0),0)</f>
        <v>88</v>
      </c>
      <c r="H1019" cm="1">
        <f t="array" ref="H1019">IF($Q1019&gt;=0,IFERROR(generateSalesData($D1019, IF(ISNUMBER(_xlfn.XLOOKUP($C1019,Phone_by_Sentiment!$B$2:$B$37,Phone_by_Sentiment!H$2:H$37,"",0,1)),_xlfn.XLOOKUP($C1019,Phone_by_Sentiment!$B$2:$B$37,Phone_by_Sentiment!H$2:H$37,"",0,1),0),$A1019-TEXT(DATEVALUE($D1019&amp;"-01"), "dd-mm-yyyy")),0),0)</f>
        <v>148</v>
      </c>
      <c r="I1019" cm="1">
        <f t="array" ref="I1019">IF($Q1019&gt;=0,IFERROR(generateSalesData($D1019, IF(ISNUMBER(_xlfn.XLOOKUP($C1019,Phone_by_Sentiment!$B$2:$B$37,Phone_by_Sentiment!I$2:I$37,"",0,1)),_xlfn.XLOOKUP($C1019,Phone_by_Sentiment!$B$2:$B$37,Phone_by_Sentiment!I$2:I$37,"",0,1),0),$A1019-TEXT(DATEVALUE($D1019&amp;"-01"), "dd-mm-yyyy")),0),0)</f>
        <v>130</v>
      </c>
      <c r="J1019" cm="1">
        <f t="array" ref="J1019">IF($Q1019&gt;=0,IFERROR(generateSalesData($D1019, IF(ISNUMBER(_xlfn.XLOOKUP($C1019,Phone_by_Sentiment!$B$2:$B$37,Phone_by_Sentiment!J$2:J$37,"",0,1)),_xlfn.XLOOKUP($C1019,Phone_by_Sentiment!$B$2:$B$37,Phone_by_Sentiment!J$2:J$37,"",0,1),0),$A1019-TEXT(DATEVALUE($D1019&amp;"-01"), "dd-mm-yyyy")),0),0)</f>
        <v>39</v>
      </c>
      <c r="K1019" cm="1">
        <f t="array" ref="K1019">IF($Q1019&gt;=0,IFERROR(generateSalesData($D1019, IF(ISNUMBER(_xlfn.XLOOKUP($C1019,Phone_by_Sentiment!$B$2:$B$37,Phone_by_Sentiment!K$2:K$37,"",0,1)),_xlfn.XLOOKUP($C1019,Phone_by_Sentiment!$B$2:$B$37,Phone_by_Sentiment!K$2:K$37,"",0,1),0),$A1019-TEXT(DATEVALUE($D1019&amp;"-01"), "dd-mm-yyyy")),0),0)</f>
        <v>158</v>
      </c>
      <c r="L1019" cm="1">
        <f t="array" ref="L1019">IF($Q1019&gt;=0,IFERROR(generateSalesData($D1019, IF(ISNUMBER(_xlfn.XLOOKUP($C1019,Phone_by_Sentiment!$B$2:$B$37,Phone_by_Sentiment!L$2:L$37,"",0,1)),_xlfn.XLOOKUP($C1019,Phone_by_Sentiment!$B$2:$B$37,Phone_by_Sentiment!L$2:L$37,"",0,1),0),$A1019-TEXT(DATEVALUE($D1019&amp;"-01"), "dd-mm-yyyy")),0),0)</f>
        <v>578</v>
      </c>
      <c r="M1019" cm="1">
        <f t="array" ref="M1019">IF($Q1019&gt;=0,IFERROR(generateSalesData($D1019, IF(ISNUMBER(_xlfn.XLOOKUP($C1019,Phone_by_Sentiment!$B$2:$B$37,Phone_by_Sentiment!M$2:M$37,"",0,1)),_xlfn.XLOOKUP($C1019,Phone_by_Sentiment!$B$2:$B$37,Phone_by_Sentiment!M$2:M$37,"",0,1),0),$A1019-TEXT(DATEVALUE($D1019&amp;"-01"), "dd-mm-yyyy")),0),0)</f>
        <v>116</v>
      </c>
      <c r="N1019" cm="1">
        <f t="array" ref="N1019">IF($Q1019&gt;=0,IFERROR(generateSalesData($D1019, IF(ISNUMBER(_xlfn.XLOOKUP($C1019,Phone_by_Sentiment!$B$2:$B$37,Phone_by_Sentiment!N$2:N$37,"",0,1)),_xlfn.XLOOKUP($C1019,Phone_by_Sentiment!$B$2:$B$37,Phone_by_Sentiment!N$2:N$37,"",0,1),0),$A1019-TEXT(DATEVALUE($D1019&amp;"-01"), "dd-mm-yyyy")),0),0)</f>
        <v>315</v>
      </c>
      <c r="O1019" cm="1">
        <f t="array" ref="O1019">IF($Q1019&gt;=0,IFERROR(generateSalesData($D1019, IF(ISNUMBER(_xlfn.XLOOKUP($C1019,Phone_by_Sentiment!$B$2:$B$37,Phone_by_Sentiment!O$2:O$37,"",0,1)),_xlfn.XLOOKUP($C1019,Phone_by_Sentiment!$B$2:$B$37,Phone_by_Sentiment!O$2:O$37,"",0,1),0),$A1019-TEXT(DATEVALUE($D1019&amp;"-01"), "dd-mm-yyyy")),0),0)</f>
        <v>133</v>
      </c>
      <c r="P1019" s="1">
        <f t="shared" si="40"/>
        <v>43709</v>
      </c>
      <c r="Q1019">
        <f t="shared" si="41"/>
        <v>639</v>
      </c>
    </row>
    <row r="1020" spans="1:17" x14ac:dyDescent="0.25">
      <c r="A1020" s="1">
        <f t="shared" si="42"/>
        <v>44348</v>
      </c>
      <c r="B1020" t="s">
        <v>169</v>
      </c>
      <c r="C1020" t="str">
        <f>_xlfn.XLOOKUP(B1020,Phone_by_Price!$A$2:$A$34,Phone_by_Price!$B$2:$B$34,"-",0,1)</f>
        <v>Samsung Galaxy A10s</v>
      </c>
      <c r="D1020" t="str">
        <f>_xlfn.XLOOKUP(C1020,Phone_by_Sentiment!$B$2:$B$37,Phone_by_Sentiment!$A$2:$A$37,"-",0,1)</f>
        <v>2019-08</v>
      </c>
      <c r="E1020" cm="1">
        <f t="array" ref="E1020">IF($Q1020&gt;=0,IFERROR(generateSalesData($D1020, IF(ISNUMBER(_xlfn.XLOOKUP($C1020,Phone_by_Sentiment!$B$2:$B$37,Phone_by_Sentiment!E$2:E$37,"",0,1)),_xlfn.XLOOKUP($C1020,Phone_by_Sentiment!$B$2:$B$37,Phone_by_Sentiment!E$2:E$37,"",0,1),0),$A1020-TEXT(DATEVALUE($D1020&amp;"-01"), "dd-mm-yyyy")),0),0)</f>
        <v>159</v>
      </c>
      <c r="F1020" cm="1">
        <f t="array" ref="F1020">IF($Q1020&gt;=0,IFERROR(generateSalesData($D1020, IF(ISNUMBER(_xlfn.XLOOKUP($C1020,Phone_by_Sentiment!$B$2:$B$37,Phone_by_Sentiment!F$2:F$37,"",0,1)),_xlfn.XLOOKUP($C1020,Phone_by_Sentiment!$B$2:$B$37,Phone_by_Sentiment!F$2:F$37,"",0,1),0),$A1020-TEXT(DATEVALUE($D1020&amp;"-01"), "dd-mm-yyyy")),0),0)</f>
        <v>39</v>
      </c>
      <c r="G1020" cm="1">
        <f t="array" ref="G1020">IF($Q1020&gt;=0,IFERROR(generateSalesData($D1020, IF(ISNUMBER(_xlfn.XLOOKUP($C1020,Phone_by_Sentiment!$B$2:$B$37,Phone_by_Sentiment!G$2:G$37,"",0,1)),_xlfn.XLOOKUP($C1020,Phone_by_Sentiment!$B$2:$B$37,Phone_by_Sentiment!G$2:G$37,"",0,1),0),$A1020-TEXT(DATEVALUE($D1020&amp;"-01"), "dd-mm-yyyy")),0),0)</f>
        <v>104</v>
      </c>
      <c r="H1020" cm="1">
        <f t="array" ref="H1020">IF($Q1020&gt;=0,IFERROR(generateSalesData($D1020, IF(ISNUMBER(_xlfn.XLOOKUP($C1020,Phone_by_Sentiment!$B$2:$B$37,Phone_by_Sentiment!H$2:H$37,"",0,1)),_xlfn.XLOOKUP($C1020,Phone_by_Sentiment!$B$2:$B$37,Phone_by_Sentiment!H$2:H$37,"",0,1),0),$A1020-TEXT(DATEVALUE($D1020&amp;"-01"), "dd-mm-yyyy")),0),0)</f>
        <v>289</v>
      </c>
      <c r="I1020" cm="1">
        <f t="array" ref="I1020">IF($Q1020&gt;=0,IFERROR(generateSalesData($D1020, IF(ISNUMBER(_xlfn.XLOOKUP($C1020,Phone_by_Sentiment!$B$2:$B$37,Phone_by_Sentiment!I$2:I$37,"",0,1)),_xlfn.XLOOKUP($C1020,Phone_by_Sentiment!$B$2:$B$37,Phone_by_Sentiment!I$2:I$37,"",0,1),0),$A1020-TEXT(DATEVALUE($D1020&amp;"-01"), "dd-mm-yyyy")),0),0)</f>
        <v>242</v>
      </c>
      <c r="J1020" cm="1">
        <f t="array" ref="J1020">IF($Q1020&gt;=0,IFERROR(generateSalesData($D1020, IF(ISNUMBER(_xlfn.XLOOKUP($C1020,Phone_by_Sentiment!$B$2:$B$37,Phone_by_Sentiment!J$2:J$37,"",0,1)),_xlfn.XLOOKUP($C1020,Phone_by_Sentiment!$B$2:$B$37,Phone_by_Sentiment!J$2:J$37,"",0,1),0),$A1020-TEXT(DATEVALUE($D1020&amp;"-01"), "dd-mm-yyyy")),0),0)</f>
        <v>200</v>
      </c>
      <c r="K1020" cm="1">
        <f t="array" ref="K1020">IF($Q1020&gt;=0,IFERROR(generateSalesData($D1020, IF(ISNUMBER(_xlfn.XLOOKUP($C1020,Phone_by_Sentiment!$B$2:$B$37,Phone_by_Sentiment!K$2:K$37,"",0,1)),_xlfn.XLOOKUP($C1020,Phone_by_Sentiment!$B$2:$B$37,Phone_by_Sentiment!K$2:K$37,"",0,1),0),$A1020-TEXT(DATEVALUE($D1020&amp;"-01"), "dd-mm-yyyy")),0),0)</f>
        <v>397</v>
      </c>
      <c r="L1020" cm="1">
        <f t="array" ref="L1020">IF($Q1020&gt;=0,IFERROR(generateSalesData($D1020, IF(ISNUMBER(_xlfn.XLOOKUP($C1020,Phone_by_Sentiment!$B$2:$B$37,Phone_by_Sentiment!L$2:L$37,"",0,1)),_xlfn.XLOOKUP($C1020,Phone_by_Sentiment!$B$2:$B$37,Phone_by_Sentiment!L$2:L$37,"",0,1),0),$A1020-TEXT(DATEVALUE($D1020&amp;"-01"), "dd-mm-yyyy")),0),0)</f>
        <v>177</v>
      </c>
      <c r="M1020" cm="1">
        <f t="array" ref="M1020">IF($Q1020&gt;=0,IFERROR(generateSalesData($D1020, IF(ISNUMBER(_xlfn.XLOOKUP($C1020,Phone_by_Sentiment!$B$2:$B$37,Phone_by_Sentiment!M$2:M$37,"",0,1)),_xlfn.XLOOKUP($C1020,Phone_by_Sentiment!$B$2:$B$37,Phone_by_Sentiment!M$2:M$37,"",0,1),0),$A1020-TEXT(DATEVALUE($D1020&amp;"-01"), "dd-mm-yyyy")),0),0)</f>
        <v>398</v>
      </c>
      <c r="N1020" cm="1">
        <f t="array" ref="N1020">IF($Q1020&gt;=0,IFERROR(generateSalesData($D1020, IF(ISNUMBER(_xlfn.XLOOKUP($C1020,Phone_by_Sentiment!$B$2:$B$37,Phone_by_Sentiment!N$2:N$37,"",0,1)),_xlfn.XLOOKUP($C1020,Phone_by_Sentiment!$B$2:$B$37,Phone_by_Sentiment!N$2:N$37,"",0,1),0),$A1020-TEXT(DATEVALUE($D1020&amp;"-01"), "dd-mm-yyyy")),0),0)</f>
        <v>0</v>
      </c>
      <c r="O1020" cm="1">
        <f t="array" ref="O1020">IF($Q1020&gt;=0,IFERROR(generateSalesData($D1020, IF(ISNUMBER(_xlfn.XLOOKUP($C1020,Phone_by_Sentiment!$B$2:$B$37,Phone_by_Sentiment!O$2:O$37,"",0,1)),_xlfn.XLOOKUP($C1020,Phone_by_Sentiment!$B$2:$B$37,Phone_by_Sentiment!O$2:O$37,"",0,1),0),$A1020-TEXT(DATEVALUE($D1020&amp;"-01"), "dd-mm-yyyy")),0),0)</f>
        <v>449</v>
      </c>
      <c r="P1020" s="1">
        <f t="shared" si="40"/>
        <v>43678</v>
      </c>
      <c r="Q1020">
        <f t="shared" si="41"/>
        <v>670</v>
      </c>
    </row>
    <row r="1021" spans="1:17" x14ac:dyDescent="0.25">
      <c r="A1021" s="1">
        <f t="shared" si="42"/>
        <v>44348</v>
      </c>
      <c r="B1021" t="s">
        <v>170</v>
      </c>
      <c r="C1021" t="str">
        <f>_xlfn.XLOOKUP(B1021,Phone_by_Price!$A$2:$A$34,Phone_by_Price!$B$2:$B$34,"-",0,1)</f>
        <v>Realme Narzo 30A</v>
      </c>
      <c r="D1021" t="str">
        <f>_xlfn.XLOOKUP(C1021,Phone_by_Sentiment!$B$2:$B$37,Phone_by_Sentiment!$A$2:$A$37,"-",0,1)</f>
        <v>2021-02</v>
      </c>
      <c r="E1021" cm="1">
        <f t="array" ref="E1021">IF($Q1021&gt;=0,IFERROR(generateSalesData($D1021, IF(ISNUMBER(_xlfn.XLOOKUP($C1021,Phone_by_Sentiment!$B$2:$B$37,Phone_by_Sentiment!E$2:E$37,"",0,1)),_xlfn.XLOOKUP($C1021,Phone_by_Sentiment!$B$2:$B$37,Phone_by_Sentiment!E$2:E$37,"",0,1),0),$A1021-TEXT(DATEVALUE($D1021&amp;"-01"), "dd-mm-yyyy")),0),0)</f>
        <v>-193</v>
      </c>
      <c r="F1021" cm="1">
        <f t="array" ref="F1021">IF($Q1021&gt;=0,IFERROR(generateSalesData($D1021, IF(ISNUMBER(_xlfn.XLOOKUP($C1021,Phone_by_Sentiment!$B$2:$B$37,Phone_by_Sentiment!F$2:F$37,"",0,1)),_xlfn.XLOOKUP($C1021,Phone_by_Sentiment!$B$2:$B$37,Phone_by_Sentiment!F$2:F$37,"",0,1),0),$A1021-TEXT(DATEVALUE($D1021&amp;"-01"), "dd-mm-yyyy")),0),0)</f>
        <v>416</v>
      </c>
      <c r="G1021" cm="1">
        <f t="array" ref="G1021">IF($Q1021&gt;=0,IFERROR(generateSalesData($D1021, IF(ISNUMBER(_xlfn.XLOOKUP($C1021,Phone_by_Sentiment!$B$2:$B$37,Phone_by_Sentiment!G$2:G$37,"",0,1)),_xlfn.XLOOKUP($C1021,Phone_by_Sentiment!$B$2:$B$37,Phone_by_Sentiment!G$2:G$37,"",0,1),0),$A1021-TEXT(DATEVALUE($D1021&amp;"-01"), "dd-mm-yyyy")),0),0)</f>
        <v>374</v>
      </c>
      <c r="H1021" cm="1">
        <f t="array" ref="H1021">IF($Q1021&gt;=0,IFERROR(generateSalesData($D1021, IF(ISNUMBER(_xlfn.XLOOKUP($C1021,Phone_by_Sentiment!$B$2:$B$37,Phone_by_Sentiment!H$2:H$37,"",0,1)),_xlfn.XLOOKUP($C1021,Phone_by_Sentiment!$B$2:$B$37,Phone_by_Sentiment!H$2:H$37,"",0,1),0),$A1021-TEXT(DATEVALUE($D1021&amp;"-01"), "dd-mm-yyyy")),0),0)</f>
        <v>2824</v>
      </c>
      <c r="I1021" cm="1">
        <f t="array" ref="I1021">IF($Q1021&gt;=0,IFERROR(generateSalesData($D1021, IF(ISNUMBER(_xlfn.XLOOKUP($C1021,Phone_by_Sentiment!$B$2:$B$37,Phone_by_Sentiment!I$2:I$37,"",0,1)),_xlfn.XLOOKUP($C1021,Phone_by_Sentiment!$B$2:$B$37,Phone_by_Sentiment!I$2:I$37,"",0,1),0),$A1021-TEXT(DATEVALUE($D1021&amp;"-01"), "dd-mm-yyyy")),0),0)</f>
        <v>1094</v>
      </c>
      <c r="J1021" cm="1">
        <f t="array" ref="J1021">IF($Q1021&gt;=0,IFERROR(generateSalesData($D1021, IF(ISNUMBER(_xlfn.XLOOKUP($C1021,Phone_by_Sentiment!$B$2:$B$37,Phone_by_Sentiment!J$2:J$37,"",0,1)),_xlfn.XLOOKUP($C1021,Phone_by_Sentiment!$B$2:$B$37,Phone_by_Sentiment!J$2:J$37,"",0,1),0),$A1021-TEXT(DATEVALUE($D1021&amp;"-01"), "dd-mm-yyyy")),0),0)</f>
        <v>354</v>
      </c>
      <c r="K1021" cm="1">
        <f t="array" ref="K1021">IF($Q1021&gt;=0,IFERROR(generateSalesData($D1021, IF(ISNUMBER(_xlfn.XLOOKUP($C1021,Phone_by_Sentiment!$B$2:$B$37,Phone_by_Sentiment!K$2:K$37,"",0,1)),_xlfn.XLOOKUP($C1021,Phone_by_Sentiment!$B$2:$B$37,Phone_by_Sentiment!K$2:K$37,"",0,1),0),$A1021-TEXT(DATEVALUE($D1021&amp;"-01"), "dd-mm-yyyy")),0),0)</f>
        <v>2330</v>
      </c>
      <c r="L1021" cm="1">
        <f t="array" ref="L1021">IF($Q1021&gt;=0,IFERROR(generateSalesData($D1021, IF(ISNUMBER(_xlfn.XLOOKUP($C1021,Phone_by_Sentiment!$B$2:$B$37,Phone_by_Sentiment!L$2:L$37,"",0,1)),_xlfn.XLOOKUP($C1021,Phone_by_Sentiment!$B$2:$B$37,Phone_by_Sentiment!L$2:L$37,"",0,1),0),$A1021-TEXT(DATEVALUE($D1021&amp;"-01"), "dd-mm-yyyy")),0),0)</f>
        <v>1725</v>
      </c>
      <c r="M1021" cm="1">
        <f t="array" ref="M1021">IF($Q1021&gt;=0,IFERROR(generateSalesData($D1021, IF(ISNUMBER(_xlfn.XLOOKUP($C1021,Phone_by_Sentiment!$B$2:$B$37,Phone_by_Sentiment!M$2:M$37,"",0,1)),_xlfn.XLOOKUP($C1021,Phone_by_Sentiment!$B$2:$B$37,Phone_by_Sentiment!M$2:M$37,"",0,1),0),$A1021-TEXT(DATEVALUE($D1021&amp;"-01"), "dd-mm-yyyy")),0),0)</f>
        <v>781</v>
      </c>
      <c r="N1021" cm="1">
        <f t="array" ref="N1021">IF($Q1021&gt;=0,IFERROR(generateSalesData($D1021, IF(ISNUMBER(_xlfn.XLOOKUP($C1021,Phone_by_Sentiment!$B$2:$B$37,Phone_by_Sentiment!N$2:N$37,"",0,1)),_xlfn.XLOOKUP($C1021,Phone_by_Sentiment!$B$2:$B$37,Phone_by_Sentiment!N$2:N$37,"",0,1),0),$A1021-TEXT(DATEVALUE($D1021&amp;"-01"), "dd-mm-yyyy")),0),0)</f>
        <v>2046</v>
      </c>
      <c r="O1021" cm="1">
        <f t="array" ref="O1021">IF($Q1021&gt;=0,IFERROR(generateSalesData($D1021, IF(ISNUMBER(_xlfn.XLOOKUP($C1021,Phone_by_Sentiment!$B$2:$B$37,Phone_by_Sentiment!O$2:O$37,"",0,1)),_xlfn.XLOOKUP($C1021,Phone_by_Sentiment!$B$2:$B$37,Phone_by_Sentiment!O$2:O$37,"",0,1),0),$A1021-TEXT(DATEVALUE($D1021&amp;"-01"), "dd-mm-yyyy")),0),0)</f>
        <v>388</v>
      </c>
      <c r="P1021" s="1">
        <f t="shared" si="40"/>
        <v>44228</v>
      </c>
      <c r="Q1021">
        <f t="shared" si="41"/>
        <v>120</v>
      </c>
    </row>
    <row r="1022" spans="1:17" x14ac:dyDescent="0.25">
      <c r="A1022" s="1">
        <f t="shared" si="42"/>
        <v>44348</v>
      </c>
      <c r="B1022" t="s">
        <v>171</v>
      </c>
      <c r="C1022" t="str">
        <f>_xlfn.XLOOKUP(B1022,Phone_by_Price!$A$2:$A$34,Phone_by_Price!$B$2:$B$34,"-",0,1)</f>
        <v>Samsung Galaxy A22 5G</v>
      </c>
      <c r="D1022" t="str">
        <f>_xlfn.XLOOKUP(C1022,Phone_by_Sentiment!$B$2:$B$37,Phone_by_Sentiment!$A$2:$A$37,"-",0,1)</f>
        <v>2021-05</v>
      </c>
      <c r="E1022" cm="1">
        <f t="array" ref="E1022">IF($Q1022&gt;=0,IFERROR(generateSalesData($D1022, IF(ISNUMBER(_xlfn.XLOOKUP($C1022,Phone_by_Sentiment!$B$2:$B$37,Phone_by_Sentiment!E$2:E$37,"",0,1)),_xlfn.XLOOKUP($C1022,Phone_by_Sentiment!$B$2:$B$37,Phone_by_Sentiment!E$2:E$37,"",0,1),0),$A1022-TEXT(DATEVALUE($D1022&amp;"-01"), "dd-mm-yyyy")),0),0)</f>
        <v>9191</v>
      </c>
      <c r="F1022" cm="1">
        <f t="array" ref="F1022">IF($Q1022&gt;=0,IFERROR(generateSalesData($D1022, IF(ISNUMBER(_xlfn.XLOOKUP($C1022,Phone_by_Sentiment!$B$2:$B$37,Phone_by_Sentiment!F$2:F$37,"",0,1)),_xlfn.XLOOKUP($C1022,Phone_by_Sentiment!$B$2:$B$37,Phone_by_Sentiment!F$2:F$37,"",0,1),0),$A1022-TEXT(DATEVALUE($D1022&amp;"-01"), "dd-mm-yyyy")),0),0)</f>
        <v>5371</v>
      </c>
      <c r="G1022" cm="1">
        <f t="array" ref="G1022">IF($Q1022&gt;=0,IFERROR(generateSalesData($D1022, IF(ISNUMBER(_xlfn.XLOOKUP($C1022,Phone_by_Sentiment!$B$2:$B$37,Phone_by_Sentiment!G$2:G$37,"",0,1)),_xlfn.XLOOKUP($C1022,Phone_by_Sentiment!$B$2:$B$37,Phone_by_Sentiment!G$2:G$37,"",0,1),0),$A1022-TEXT(DATEVALUE($D1022&amp;"-01"), "dd-mm-yyyy")),0),0)</f>
        <v>671</v>
      </c>
      <c r="H1022" cm="1">
        <f t="array" ref="H1022">IF($Q1022&gt;=0,IFERROR(generateSalesData($D1022, IF(ISNUMBER(_xlfn.XLOOKUP($C1022,Phone_by_Sentiment!$B$2:$B$37,Phone_by_Sentiment!H$2:H$37,"",0,1)),_xlfn.XLOOKUP($C1022,Phone_by_Sentiment!$B$2:$B$37,Phone_by_Sentiment!H$2:H$37,"",0,1),0),$A1022-TEXT(DATEVALUE($D1022&amp;"-01"), "dd-mm-yyyy")),0),0)</f>
        <v>8265</v>
      </c>
      <c r="I1022" cm="1">
        <f t="array" ref="I1022">IF($Q1022&gt;=0,IFERROR(generateSalesData($D1022, IF(ISNUMBER(_xlfn.XLOOKUP($C1022,Phone_by_Sentiment!$B$2:$B$37,Phone_by_Sentiment!I$2:I$37,"",0,1)),_xlfn.XLOOKUP($C1022,Phone_by_Sentiment!$B$2:$B$37,Phone_by_Sentiment!I$2:I$37,"",0,1),0),$A1022-TEXT(DATEVALUE($D1022&amp;"-01"), "dd-mm-yyyy")),0),0)</f>
        <v>333</v>
      </c>
      <c r="J1022" cm="1">
        <f t="array" ref="J1022">IF($Q1022&gt;=0,IFERROR(generateSalesData($D1022, IF(ISNUMBER(_xlfn.XLOOKUP($C1022,Phone_by_Sentiment!$B$2:$B$37,Phone_by_Sentiment!J$2:J$37,"",0,1)),_xlfn.XLOOKUP($C1022,Phone_by_Sentiment!$B$2:$B$37,Phone_by_Sentiment!J$2:J$37,"",0,1),0),$A1022-TEXT(DATEVALUE($D1022&amp;"-01"), "dd-mm-yyyy")),0),0)</f>
        <v>8336</v>
      </c>
      <c r="K1022" cm="1">
        <f t="array" ref="K1022">IF($Q1022&gt;=0,IFERROR(generateSalesData($D1022, IF(ISNUMBER(_xlfn.XLOOKUP($C1022,Phone_by_Sentiment!$B$2:$B$37,Phone_by_Sentiment!K$2:K$37,"",0,1)),_xlfn.XLOOKUP($C1022,Phone_by_Sentiment!$B$2:$B$37,Phone_by_Sentiment!K$2:K$37,"",0,1),0),$A1022-TEXT(DATEVALUE($D1022&amp;"-01"), "dd-mm-yyyy")),0),0)</f>
        <v>4037</v>
      </c>
      <c r="L1022" cm="1">
        <f t="array" ref="L1022">IF($Q1022&gt;=0,IFERROR(generateSalesData($D1022, IF(ISNUMBER(_xlfn.XLOOKUP($C1022,Phone_by_Sentiment!$B$2:$B$37,Phone_by_Sentiment!L$2:L$37,"",0,1)),_xlfn.XLOOKUP($C1022,Phone_by_Sentiment!$B$2:$B$37,Phone_by_Sentiment!L$2:L$37,"",0,1),0),$A1022-TEXT(DATEVALUE($D1022&amp;"-01"), "dd-mm-yyyy")),0),0)</f>
        <v>5742</v>
      </c>
      <c r="M1022" cm="1">
        <f t="array" ref="M1022">IF($Q1022&gt;=0,IFERROR(generateSalesData($D1022, IF(ISNUMBER(_xlfn.XLOOKUP($C1022,Phone_by_Sentiment!$B$2:$B$37,Phone_by_Sentiment!M$2:M$37,"",0,1)),_xlfn.XLOOKUP($C1022,Phone_by_Sentiment!$B$2:$B$37,Phone_by_Sentiment!M$2:M$37,"",0,1),0),$A1022-TEXT(DATEVALUE($D1022&amp;"-01"), "dd-mm-yyyy")),0),0)</f>
        <v>4863</v>
      </c>
      <c r="N1022" cm="1">
        <f t="array" ref="N1022">IF($Q1022&gt;=0,IFERROR(generateSalesData($D1022, IF(ISNUMBER(_xlfn.XLOOKUP($C1022,Phone_by_Sentiment!$B$2:$B$37,Phone_by_Sentiment!N$2:N$37,"",0,1)),_xlfn.XLOOKUP($C1022,Phone_by_Sentiment!$B$2:$B$37,Phone_by_Sentiment!N$2:N$37,"",0,1),0),$A1022-TEXT(DATEVALUE($D1022&amp;"-01"), "dd-mm-yyyy")),0),0)</f>
        <v>1552</v>
      </c>
      <c r="O1022" cm="1">
        <f t="array" ref="O1022">IF($Q1022&gt;=0,IFERROR(generateSalesData($D1022, IF(ISNUMBER(_xlfn.XLOOKUP($C1022,Phone_by_Sentiment!$B$2:$B$37,Phone_by_Sentiment!O$2:O$37,"",0,1)),_xlfn.XLOOKUP($C1022,Phone_by_Sentiment!$B$2:$B$37,Phone_by_Sentiment!O$2:O$37,"",0,1),0),$A1022-TEXT(DATEVALUE($D1022&amp;"-01"), "dd-mm-yyyy")),0),0)</f>
        <v>6291</v>
      </c>
      <c r="P1022" s="1">
        <f t="shared" si="40"/>
        <v>44317</v>
      </c>
      <c r="Q1022">
        <f t="shared" si="41"/>
        <v>31</v>
      </c>
    </row>
    <row r="1023" spans="1:17" x14ac:dyDescent="0.25">
      <c r="A1023" s="1">
        <f t="shared" si="42"/>
        <v>44348</v>
      </c>
      <c r="B1023" t="s">
        <v>172</v>
      </c>
      <c r="C1023" t="str">
        <f>_xlfn.XLOOKUP(B1023,Phone_by_Price!$A$2:$A$34,Phone_by_Price!$B$2:$B$34,"-",0,1)</f>
        <v>Xiaomi Redmi 9</v>
      </c>
      <c r="D1023" t="str">
        <f>_xlfn.XLOOKUP(C1023,Phone_by_Sentiment!$B$2:$B$37,Phone_by_Sentiment!$A$2:$A$37,"-",0,1)</f>
        <v>2020-08</v>
      </c>
      <c r="E1023" cm="1">
        <f t="array" ref="E1023">IF($Q1023&gt;=0,IFERROR(generateSalesData($D1023, IF(ISNUMBER(_xlfn.XLOOKUP($C1023,Phone_by_Sentiment!$B$2:$B$37,Phone_by_Sentiment!E$2:E$37,"",0,1)),_xlfn.XLOOKUP($C1023,Phone_by_Sentiment!$B$2:$B$37,Phone_by_Sentiment!E$2:E$37,"",0,1),0),$A1023-TEXT(DATEVALUE($D1023&amp;"-01"), "dd-mm-yyyy")),0),0)</f>
        <v>316</v>
      </c>
      <c r="F1023" cm="1">
        <f t="array" ref="F1023">IF($Q1023&gt;=0,IFERROR(generateSalesData($D1023, IF(ISNUMBER(_xlfn.XLOOKUP($C1023,Phone_by_Sentiment!$B$2:$B$37,Phone_by_Sentiment!F$2:F$37,"",0,1)),_xlfn.XLOOKUP($C1023,Phone_by_Sentiment!$B$2:$B$37,Phone_by_Sentiment!F$2:F$37,"",0,1),0),$A1023-TEXT(DATEVALUE($D1023&amp;"-01"), "dd-mm-yyyy")),0),0)</f>
        <v>85</v>
      </c>
      <c r="G1023" cm="1">
        <f t="array" ref="G1023">IF($Q1023&gt;=0,IFERROR(generateSalesData($D1023, IF(ISNUMBER(_xlfn.XLOOKUP($C1023,Phone_by_Sentiment!$B$2:$B$37,Phone_by_Sentiment!G$2:G$37,"",0,1)),_xlfn.XLOOKUP($C1023,Phone_by_Sentiment!$B$2:$B$37,Phone_by_Sentiment!G$2:G$37,"",0,1),0),$A1023-TEXT(DATEVALUE($D1023&amp;"-01"), "dd-mm-yyyy")),0),0)</f>
        <v>339</v>
      </c>
      <c r="H1023" cm="1">
        <f t="array" ref="H1023">IF($Q1023&gt;=0,IFERROR(generateSalesData($D1023, IF(ISNUMBER(_xlfn.XLOOKUP($C1023,Phone_by_Sentiment!$B$2:$B$37,Phone_by_Sentiment!H$2:H$37,"",0,1)),_xlfn.XLOOKUP($C1023,Phone_by_Sentiment!$B$2:$B$37,Phone_by_Sentiment!H$2:H$37,"",0,1),0),$A1023-TEXT(DATEVALUE($D1023&amp;"-01"), "dd-mm-yyyy")),0),0)</f>
        <v>590</v>
      </c>
      <c r="I1023" cm="1">
        <f t="array" ref="I1023">IF($Q1023&gt;=0,IFERROR(generateSalesData($D1023, IF(ISNUMBER(_xlfn.XLOOKUP($C1023,Phone_by_Sentiment!$B$2:$B$37,Phone_by_Sentiment!I$2:I$37,"",0,1)),_xlfn.XLOOKUP($C1023,Phone_by_Sentiment!$B$2:$B$37,Phone_by_Sentiment!I$2:I$37,"",0,1),0),$A1023-TEXT(DATEVALUE($D1023&amp;"-01"), "dd-mm-yyyy")),0),0)</f>
        <v>343</v>
      </c>
      <c r="J1023" cm="1">
        <f t="array" ref="J1023">IF($Q1023&gt;=0,IFERROR(generateSalesData($D1023, IF(ISNUMBER(_xlfn.XLOOKUP($C1023,Phone_by_Sentiment!$B$2:$B$37,Phone_by_Sentiment!J$2:J$37,"",0,1)),_xlfn.XLOOKUP($C1023,Phone_by_Sentiment!$B$2:$B$37,Phone_by_Sentiment!J$2:J$37,"",0,1),0),$A1023-TEXT(DATEVALUE($D1023&amp;"-01"), "dd-mm-yyyy")),0),0)</f>
        <v>217</v>
      </c>
      <c r="K1023" cm="1">
        <f t="array" ref="K1023">IF($Q1023&gt;=0,IFERROR(generateSalesData($D1023, IF(ISNUMBER(_xlfn.XLOOKUP($C1023,Phone_by_Sentiment!$B$2:$B$37,Phone_by_Sentiment!K$2:K$37,"",0,1)),_xlfn.XLOOKUP($C1023,Phone_by_Sentiment!$B$2:$B$37,Phone_by_Sentiment!K$2:K$37,"",0,1),0),$A1023-TEXT(DATEVALUE($D1023&amp;"-01"), "dd-mm-yyyy")),0),0)</f>
        <v>914</v>
      </c>
      <c r="L1023" cm="1">
        <f t="array" ref="L1023">IF($Q1023&gt;=0,IFERROR(generateSalesData($D1023, IF(ISNUMBER(_xlfn.XLOOKUP($C1023,Phone_by_Sentiment!$B$2:$B$37,Phone_by_Sentiment!L$2:L$37,"",0,1)),_xlfn.XLOOKUP($C1023,Phone_by_Sentiment!$B$2:$B$37,Phone_by_Sentiment!L$2:L$37,"",0,1),0),$A1023-TEXT(DATEVALUE($D1023&amp;"-01"), "dd-mm-yyyy")),0),0)</f>
        <v>216</v>
      </c>
      <c r="M1023" cm="1">
        <f t="array" ref="M1023">IF($Q1023&gt;=0,IFERROR(generateSalesData($D1023, IF(ISNUMBER(_xlfn.XLOOKUP($C1023,Phone_by_Sentiment!$B$2:$B$37,Phone_by_Sentiment!M$2:M$37,"",0,1)),_xlfn.XLOOKUP($C1023,Phone_by_Sentiment!$B$2:$B$37,Phone_by_Sentiment!M$2:M$37,"",0,1),0),$A1023-TEXT(DATEVALUE($D1023&amp;"-01"), "dd-mm-yyyy")),0),0)</f>
        <v>1471</v>
      </c>
      <c r="N1023" cm="1">
        <f t="array" ref="N1023">IF($Q1023&gt;=0,IFERROR(generateSalesData($D1023, IF(ISNUMBER(_xlfn.XLOOKUP($C1023,Phone_by_Sentiment!$B$2:$B$37,Phone_by_Sentiment!N$2:N$37,"",0,1)),_xlfn.XLOOKUP($C1023,Phone_by_Sentiment!$B$2:$B$37,Phone_by_Sentiment!N$2:N$37,"",0,1),0),$A1023-TEXT(DATEVALUE($D1023&amp;"-01"), "dd-mm-yyyy")),0),0)</f>
        <v>183</v>
      </c>
      <c r="O1023" cm="1">
        <f t="array" ref="O1023">IF($Q1023&gt;=0,IFERROR(generateSalesData($D1023, IF(ISNUMBER(_xlfn.XLOOKUP($C1023,Phone_by_Sentiment!$B$2:$B$37,Phone_by_Sentiment!O$2:O$37,"",0,1)),_xlfn.XLOOKUP($C1023,Phone_by_Sentiment!$B$2:$B$37,Phone_by_Sentiment!O$2:O$37,"",0,1),0),$A1023-TEXT(DATEVALUE($D1023&amp;"-01"), "dd-mm-yyyy")),0),0)</f>
        <v>1206</v>
      </c>
      <c r="P1023" s="1">
        <f t="shared" si="40"/>
        <v>44044</v>
      </c>
      <c r="Q1023">
        <f t="shared" si="41"/>
        <v>304</v>
      </c>
    </row>
    <row r="1024" spans="1:17" x14ac:dyDescent="0.25">
      <c r="A1024" s="1">
        <f t="shared" si="42"/>
        <v>44348</v>
      </c>
      <c r="B1024" t="s">
        <v>173</v>
      </c>
      <c r="C1024" t="str">
        <f>_xlfn.XLOOKUP(B1024,Phone_by_Price!$A$2:$A$34,Phone_by_Price!$B$2:$B$34,"-",0,1)</f>
        <v>Realme C3</v>
      </c>
      <c r="D1024" t="str">
        <f>_xlfn.XLOOKUP(C1024,Phone_by_Sentiment!$B$2:$B$37,Phone_by_Sentiment!$A$2:$A$37,"-",0,1)</f>
        <v>2020-02</v>
      </c>
      <c r="E1024" cm="1">
        <f t="array" ref="E1024">IF($Q1024&gt;=0,IFERROR(generateSalesData($D1024, IF(ISNUMBER(_xlfn.XLOOKUP($C1024,Phone_by_Sentiment!$B$2:$B$37,Phone_by_Sentiment!E$2:E$37,"",0,1)),_xlfn.XLOOKUP($C1024,Phone_by_Sentiment!$B$2:$B$37,Phone_by_Sentiment!E$2:E$37,"",0,1),0),$A1024-TEXT(DATEVALUE($D1024&amp;"-01"), "dd-mm-yyyy")),0),0)</f>
        <v>69</v>
      </c>
      <c r="F1024" cm="1">
        <f t="array" ref="F1024">IF($Q1024&gt;=0,IFERROR(generateSalesData($D1024, IF(ISNUMBER(_xlfn.XLOOKUP($C1024,Phone_by_Sentiment!$B$2:$B$37,Phone_by_Sentiment!F$2:F$37,"",0,1)),_xlfn.XLOOKUP($C1024,Phone_by_Sentiment!$B$2:$B$37,Phone_by_Sentiment!F$2:F$37,"",0,1),0),$A1024-TEXT(DATEVALUE($D1024&amp;"-01"), "dd-mm-yyyy")),0),0)</f>
        <v>-1</v>
      </c>
      <c r="G1024" cm="1">
        <f t="array" ref="G1024">IF($Q1024&gt;=0,IFERROR(generateSalesData($D1024, IF(ISNUMBER(_xlfn.XLOOKUP($C1024,Phone_by_Sentiment!$B$2:$B$37,Phone_by_Sentiment!G$2:G$37,"",0,1)),_xlfn.XLOOKUP($C1024,Phone_by_Sentiment!$B$2:$B$37,Phone_by_Sentiment!G$2:G$37,"",0,1),0),$A1024-TEXT(DATEVALUE($D1024&amp;"-01"), "dd-mm-yyyy")),0),0)</f>
        <v>128</v>
      </c>
      <c r="H1024" cm="1">
        <f t="array" ref="H1024">IF($Q1024&gt;=0,IFERROR(generateSalesData($D1024, IF(ISNUMBER(_xlfn.XLOOKUP($C1024,Phone_by_Sentiment!$B$2:$B$37,Phone_by_Sentiment!H$2:H$37,"",0,1)),_xlfn.XLOOKUP($C1024,Phone_by_Sentiment!$B$2:$B$37,Phone_by_Sentiment!H$2:H$37,"",0,1),0),$A1024-TEXT(DATEVALUE($D1024&amp;"-01"), "dd-mm-yyyy")),0),0)</f>
        <v>230</v>
      </c>
      <c r="I1024" cm="1">
        <f t="array" ref="I1024">IF($Q1024&gt;=0,IFERROR(generateSalesData($D1024, IF(ISNUMBER(_xlfn.XLOOKUP($C1024,Phone_by_Sentiment!$B$2:$B$37,Phone_by_Sentiment!I$2:I$37,"",0,1)),_xlfn.XLOOKUP($C1024,Phone_by_Sentiment!$B$2:$B$37,Phone_by_Sentiment!I$2:I$37,"",0,1),0),$A1024-TEXT(DATEVALUE($D1024&amp;"-01"), "dd-mm-yyyy")),0),0)</f>
        <v>730</v>
      </c>
      <c r="J1024" cm="1">
        <f t="array" ref="J1024">IF($Q1024&gt;=0,IFERROR(generateSalesData($D1024, IF(ISNUMBER(_xlfn.XLOOKUP($C1024,Phone_by_Sentiment!$B$2:$B$37,Phone_by_Sentiment!J$2:J$37,"",0,1)),_xlfn.XLOOKUP($C1024,Phone_by_Sentiment!$B$2:$B$37,Phone_by_Sentiment!J$2:J$37,"",0,1),0),$A1024-TEXT(DATEVALUE($D1024&amp;"-01"), "dd-mm-yyyy")),0),0)</f>
        <v>53</v>
      </c>
      <c r="K1024" cm="1">
        <f t="array" ref="K1024">IF($Q1024&gt;=0,IFERROR(generateSalesData($D1024, IF(ISNUMBER(_xlfn.XLOOKUP($C1024,Phone_by_Sentiment!$B$2:$B$37,Phone_by_Sentiment!K$2:K$37,"",0,1)),_xlfn.XLOOKUP($C1024,Phone_by_Sentiment!$B$2:$B$37,Phone_by_Sentiment!K$2:K$37,"",0,1),0),$A1024-TEXT(DATEVALUE($D1024&amp;"-01"), "dd-mm-yyyy")),0),0)</f>
        <v>433</v>
      </c>
      <c r="L1024" cm="1">
        <f t="array" ref="L1024">IF($Q1024&gt;=0,IFERROR(generateSalesData($D1024, IF(ISNUMBER(_xlfn.XLOOKUP($C1024,Phone_by_Sentiment!$B$2:$B$37,Phone_by_Sentiment!L$2:L$37,"",0,1)),_xlfn.XLOOKUP($C1024,Phone_by_Sentiment!$B$2:$B$37,Phone_by_Sentiment!L$2:L$37,"",0,1),0),$A1024-TEXT(DATEVALUE($D1024&amp;"-01"), "dd-mm-yyyy")),0),0)</f>
        <v>351</v>
      </c>
      <c r="M1024" cm="1">
        <f t="array" ref="M1024">IF($Q1024&gt;=0,IFERROR(generateSalesData($D1024, IF(ISNUMBER(_xlfn.XLOOKUP($C1024,Phone_by_Sentiment!$B$2:$B$37,Phone_by_Sentiment!M$2:M$37,"",0,1)),_xlfn.XLOOKUP($C1024,Phone_by_Sentiment!$B$2:$B$37,Phone_by_Sentiment!M$2:M$37,"",0,1),0),$A1024-TEXT(DATEVALUE($D1024&amp;"-01"), "dd-mm-yyyy")),0),0)</f>
        <v>73</v>
      </c>
      <c r="N1024" cm="1">
        <f t="array" ref="N1024">IF($Q1024&gt;=0,IFERROR(generateSalesData($D1024, IF(ISNUMBER(_xlfn.XLOOKUP($C1024,Phone_by_Sentiment!$B$2:$B$37,Phone_by_Sentiment!N$2:N$37,"",0,1)),_xlfn.XLOOKUP($C1024,Phone_by_Sentiment!$B$2:$B$37,Phone_by_Sentiment!N$2:N$37,"",0,1),0),$A1024-TEXT(DATEVALUE($D1024&amp;"-01"), "dd-mm-yyyy")),0),0)</f>
        <v>273</v>
      </c>
      <c r="O1024" cm="1">
        <f t="array" ref="O1024">IF($Q1024&gt;=0,IFERROR(generateSalesData($D1024, IF(ISNUMBER(_xlfn.XLOOKUP($C1024,Phone_by_Sentiment!$B$2:$B$37,Phone_by_Sentiment!O$2:O$37,"",0,1)),_xlfn.XLOOKUP($C1024,Phone_by_Sentiment!$B$2:$B$37,Phone_by_Sentiment!O$2:O$37,"",0,1),0),$A1024-TEXT(DATEVALUE($D1024&amp;"-01"), "dd-mm-yyyy")),0),0)</f>
        <v>164</v>
      </c>
      <c r="P1024" s="1">
        <f t="shared" si="40"/>
        <v>43862</v>
      </c>
      <c r="Q1024">
        <f t="shared" si="41"/>
        <v>486</v>
      </c>
    </row>
    <row r="1025" spans="1:17" x14ac:dyDescent="0.25">
      <c r="A1025" s="1">
        <f t="shared" si="42"/>
        <v>44348</v>
      </c>
      <c r="B1025" t="s">
        <v>174</v>
      </c>
      <c r="C1025" t="str">
        <f>_xlfn.XLOOKUP(B1025,Phone_by_Price!$A$2:$A$34,Phone_by_Price!$B$2:$B$34,"-",0,1)</f>
        <v>Samsung Galaxy A7</v>
      </c>
      <c r="D1025" t="str">
        <f>_xlfn.XLOOKUP(C1025,Phone_by_Sentiment!$B$2:$B$37,Phone_by_Sentiment!$A$2:$A$37,"-",0,1)</f>
        <v>2018-10</v>
      </c>
      <c r="E1025" cm="1">
        <f t="array" ref="E1025">IF($Q1025&gt;=0,IFERROR(generateSalesData($D1025, IF(ISNUMBER(_xlfn.XLOOKUP($C1025,Phone_by_Sentiment!$B$2:$B$37,Phone_by_Sentiment!E$2:E$37,"",0,1)),_xlfn.XLOOKUP($C1025,Phone_by_Sentiment!$B$2:$B$37,Phone_by_Sentiment!E$2:E$37,"",0,1),0),$A1025-TEXT(DATEVALUE($D1025&amp;"-01"), "dd-mm-yyyy")),0),0)</f>
        <v>44</v>
      </c>
      <c r="F1025" cm="1">
        <f t="array" ref="F1025">IF($Q1025&gt;=0,IFERROR(generateSalesData($D1025, IF(ISNUMBER(_xlfn.XLOOKUP($C1025,Phone_by_Sentiment!$B$2:$B$37,Phone_by_Sentiment!F$2:F$37,"",0,1)),_xlfn.XLOOKUP($C1025,Phone_by_Sentiment!$B$2:$B$37,Phone_by_Sentiment!F$2:F$37,"",0,1),0),$A1025-TEXT(DATEVALUE($D1025&amp;"-01"), "dd-mm-yyyy")),0),0)</f>
        <v>103</v>
      </c>
      <c r="G1025" cm="1">
        <f t="array" ref="G1025">IF($Q1025&gt;=0,IFERROR(generateSalesData($D1025, IF(ISNUMBER(_xlfn.XLOOKUP($C1025,Phone_by_Sentiment!$B$2:$B$37,Phone_by_Sentiment!G$2:G$37,"",0,1)),_xlfn.XLOOKUP($C1025,Phone_by_Sentiment!$B$2:$B$37,Phone_by_Sentiment!G$2:G$37,"",0,1),0),$A1025-TEXT(DATEVALUE($D1025&amp;"-01"), "dd-mm-yyyy")),0),0)</f>
        <v>16</v>
      </c>
      <c r="H1025" cm="1">
        <f t="array" ref="H1025">IF($Q1025&gt;=0,IFERROR(generateSalesData($D1025, IF(ISNUMBER(_xlfn.XLOOKUP($C1025,Phone_by_Sentiment!$B$2:$B$37,Phone_by_Sentiment!H$2:H$37,"",0,1)),_xlfn.XLOOKUP($C1025,Phone_by_Sentiment!$B$2:$B$37,Phone_by_Sentiment!H$2:H$37,"",0,1),0),$A1025-TEXT(DATEVALUE($D1025&amp;"-01"), "dd-mm-yyyy")),0),0)</f>
        <v>313</v>
      </c>
      <c r="I1025" cm="1">
        <f t="array" ref="I1025">IF($Q1025&gt;=0,IFERROR(generateSalesData($D1025, IF(ISNUMBER(_xlfn.XLOOKUP($C1025,Phone_by_Sentiment!$B$2:$B$37,Phone_by_Sentiment!I$2:I$37,"",0,1)),_xlfn.XLOOKUP($C1025,Phone_by_Sentiment!$B$2:$B$37,Phone_by_Sentiment!I$2:I$37,"",0,1),0),$A1025-TEXT(DATEVALUE($D1025&amp;"-01"), "dd-mm-yyyy")),0),0)</f>
        <v>146</v>
      </c>
      <c r="J1025" cm="1">
        <f t="array" ref="J1025">IF($Q1025&gt;=0,IFERROR(generateSalesData($D1025, IF(ISNUMBER(_xlfn.XLOOKUP($C1025,Phone_by_Sentiment!$B$2:$B$37,Phone_by_Sentiment!J$2:J$37,"",0,1)),_xlfn.XLOOKUP($C1025,Phone_by_Sentiment!$B$2:$B$37,Phone_by_Sentiment!J$2:J$37,"",0,1),0),$A1025-TEXT(DATEVALUE($D1025&amp;"-01"), "dd-mm-yyyy")),0),0)</f>
        <v>56</v>
      </c>
      <c r="K1025" cm="1">
        <f t="array" ref="K1025">IF($Q1025&gt;=0,IFERROR(generateSalesData($D1025, IF(ISNUMBER(_xlfn.XLOOKUP($C1025,Phone_by_Sentiment!$B$2:$B$37,Phone_by_Sentiment!K$2:K$37,"",0,1)),_xlfn.XLOOKUP($C1025,Phone_by_Sentiment!$B$2:$B$37,Phone_by_Sentiment!K$2:K$37,"",0,1),0),$A1025-TEXT(DATEVALUE($D1025&amp;"-01"), "dd-mm-yyyy")),0),0)</f>
        <v>27</v>
      </c>
      <c r="L1025" cm="1">
        <f t="array" ref="L1025">IF($Q1025&gt;=0,IFERROR(generateSalesData($D1025, IF(ISNUMBER(_xlfn.XLOOKUP($C1025,Phone_by_Sentiment!$B$2:$B$37,Phone_by_Sentiment!L$2:L$37,"",0,1)),_xlfn.XLOOKUP($C1025,Phone_by_Sentiment!$B$2:$B$37,Phone_by_Sentiment!L$2:L$37,"",0,1),0),$A1025-TEXT(DATEVALUE($D1025&amp;"-01"), "dd-mm-yyyy")),0),0)</f>
        <v>75</v>
      </c>
      <c r="M1025" cm="1">
        <f t="array" ref="M1025">IF($Q1025&gt;=0,IFERROR(generateSalesData($D1025, IF(ISNUMBER(_xlfn.XLOOKUP($C1025,Phone_by_Sentiment!$B$2:$B$37,Phone_by_Sentiment!M$2:M$37,"",0,1)),_xlfn.XLOOKUP($C1025,Phone_by_Sentiment!$B$2:$B$37,Phone_by_Sentiment!M$2:M$37,"",0,1),0),$A1025-TEXT(DATEVALUE($D1025&amp;"-01"), "dd-mm-yyyy")),0),0)</f>
        <v>270</v>
      </c>
      <c r="N1025" cm="1">
        <f t="array" ref="N1025">IF($Q1025&gt;=0,IFERROR(generateSalesData($D1025, IF(ISNUMBER(_xlfn.XLOOKUP($C1025,Phone_by_Sentiment!$B$2:$B$37,Phone_by_Sentiment!N$2:N$37,"",0,1)),_xlfn.XLOOKUP($C1025,Phone_by_Sentiment!$B$2:$B$37,Phone_by_Sentiment!N$2:N$37,"",0,1),0),$A1025-TEXT(DATEVALUE($D1025&amp;"-01"), "dd-mm-yyyy")),0),0)</f>
        <v>319</v>
      </c>
      <c r="O1025" cm="1">
        <f t="array" ref="O1025">IF($Q1025&gt;=0,IFERROR(generateSalesData($D1025, IF(ISNUMBER(_xlfn.XLOOKUP($C1025,Phone_by_Sentiment!$B$2:$B$37,Phone_by_Sentiment!O$2:O$37,"",0,1)),_xlfn.XLOOKUP($C1025,Phone_by_Sentiment!$B$2:$B$37,Phone_by_Sentiment!O$2:O$37,"",0,1),0),$A1025-TEXT(DATEVALUE($D1025&amp;"-01"), "dd-mm-yyyy")),0),0)</f>
        <v>154</v>
      </c>
      <c r="P1025" s="1">
        <f t="shared" si="40"/>
        <v>43374</v>
      </c>
      <c r="Q1025">
        <f t="shared" si="41"/>
        <v>974</v>
      </c>
    </row>
    <row r="1026" spans="1:17" x14ac:dyDescent="0.25">
      <c r="A1026" s="1">
        <f t="shared" si="42"/>
        <v>44348</v>
      </c>
      <c r="B1026" t="s">
        <v>142</v>
      </c>
      <c r="C1026" t="str">
        <f>_xlfn.XLOOKUP(B1026,Phone_by_Price!$A$2:$A$34,Phone_by_Price!$B$2:$B$34,"-",0,1)</f>
        <v>iPhone 11</v>
      </c>
      <c r="D1026" t="str">
        <f>_xlfn.XLOOKUP(C1026,Phone_by_Sentiment!$B$2:$B$37,Phone_by_Sentiment!$A$2:$A$37,"-",0,1)</f>
        <v>2019-09</v>
      </c>
      <c r="E1026" cm="1">
        <f t="array" ref="E1026">IF($Q1026&gt;=0,IFERROR(generateSalesData($D1026, IF(ISNUMBER(_xlfn.XLOOKUP($C1026,Phone_by_Sentiment!$B$2:$B$37,Phone_by_Sentiment!E$2:E$37,"",0,1)),_xlfn.XLOOKUP($C1026,Phone_by_Sentiment!$B$2:$B$37,Phone_by_Sentiment!E$2:E$37,"",0,1),0),$A1026-TEXT(DATEVALUE($D1026&amp;"-01"), "dd-mm-yyyy")),0),0)</f>
        <v>289</v>
      </c>
      <c r="F1026" cm="1">
        <f t="array" ref="F1026">IF($Q1026&gt;=0,IFERROR(generateSalesData($D1026, IF(ISNUMBER(_xlfn.XLOOKUP($C1026,Phone_by_Sentiment!$B$2:$B$37,Phone_by_Sentiment!F$2:F$37,"",0,1)),_xlfn.XLOOKUP($C1026,Phone_by_Sentiment!$B$2:$B$37,Phone_by_Sentiment!F$2:F$37,"",0,1),0),$A1026-TEXT(DATEVALUE($D1026&amp;"-01"), "dd-mm-yyyy")),0),0)</f>
        <v>17</v>
      </c>
      <c r="G1026" cm="1">
        <f t="array" ref="G1026">IF($Q1026&gt;=0,IFERROR(generateSalesData($D1026, IF(ISNUMBER(_xlfn.XLOOKUP($C1026,Phone_by_Sentiment!$B$2:$B$37,Phone_by_Sentiment!G$2:G$37,"",0,1)),_xlfn.XLOOKUP($C1026,Phone_by_Sentiment!$B$2:$B$37,Phone_by_Sentiment!G$2:G$37,"",0,1),0),$A1026-TEXT(DATEVALUE($D1026&amp;"-01"), "dd-mm-yyyy")),0),0)</f>
        <v>94</v>
      </c>
      <c r="H1026" cm="1">
        <f t="array" ref="H1026">IF($Q1026&gt;=0,IFERROR(generateSalesData($D1026, IF(ISNUMBER(_xlfn.XLOOKUP($C1026,Phone_by_Sentiment!$B$2:$B$37,Phone_by_Sentiment!H$2:H$37,"",0,1)),_xlfn.XLOOKUP($C1026,Phone_by_Sentiment!$B$2:$B$37,Phone_by_Sentiment!H$2:H$37,"",0,1),0),$A1026-TEXT(DATEVALUE($D1026&amp;"-01"), "dd-mm-yyyy")),0),0)</f>
        <v>223</v>
      </c>
      <c r="I1026" cm="1">
        <f t="array" ref="I1026">IF($Q1026&gt;=0,IFERROR(generateSalesData($D1026, IF(ISNUMBER(_xlfn.XLOOKUP($C1026,Phone_by_Sentiment!$B$2:$B$37,Phone_by_Sentiment!I$2:I$37,"",0,1)),_xlfn.XLOOKUP($C1026,Phone_by_Sentiment!$B$2:$B$37,Phone_by_Sentiment!I$2:I$37,"",0,1),0),$A1026-TEXT(DATEVALUE($D1026&amp;"-01"), "dd-mm-yyyy")),0),0)</f>
        <v>454</v>
      </c>
      <c r="J1026" cm="1">
        <f t="array" ref="J1026">IF($Q1026&gt;=0,IFERROR(generateSalesData($D1026, IF(ISNUMBER(_xlfn.XLOOKUP($C1026,Phone_by_Sentiment!$B$2:$B$37,Phone_by_Sentiment!J$2:J$37,"",0,1)),_xlfn.XLOOKUP($C1026,Phone_by_Sentiment!$B$2:$B$37,Phone_by_Sentiment!J$2:J$37,"",0,1),0),$A1026-TEXT(DATEVALUE($D1026&amp;"-01"), "dd-mm-yyyy")),0),0)</f>
        <v>334</v>
      </c>
      <c r="K1026" cm="1">
        <f t="array" ref="K1026">IF($Q1026&gt;=0,IFERROR(generateSalesData($D1026, IF(ISNUMBER(_xlfn.XLOOKUP($C1026,Phone_by_Sentiment!$B$2:$B$37,Phone_by_Sentiment!K$2:K$37,"",0,1)),_xlfn.XLOOKUP($C1026,Phone_by_Sentiment!$B$2:$B$37,Phone_by_Sentiment!K$2:K$37,"",0,1),0),$A1026-TEXT(DATEVALUE($D1026&amp;"-01"), "dd-mm-yyyy")),0),0)</f>
        <v>47</v>
      </c>
      <c r="L1026" cm="1">
        <f t="array" ref="L1026">IF($Q1026&gt;=0,IFERROR(generateSalesData($D1026, IF(ISNUMBER(_xlfn.XLOOKUP($C1026,Phone_by_Sentiment!$B$2:$B$37,Phone_by_Sentiment!L$2:L$37,"",0,1)),_xlfn.XLOOKUP($C1026,Phone_by_Sentiment!$B$2:$B$37,Phone_by_Sentiment!L$2:L$37,"",0,1),0),$A1026-TEXT(DATEVALUE($D1026&amp;"-01"), "dd-mm-yyyy")),0),0)</f>
        <v>265</v>
      </c>
      <c r="M1026" cm="1">
        <f t="array" ref="M1026">IF($Q1026&gt;=0,IFERROR(generateSalesData($D1026, IF(ISNUMBER(_xlfn.XLOOKUP($C1026,Phone_by_Sentiment!$B$2:$B$37,Phone_by_Sentiment!M$2:M$37,"",0,1)),_xlfn.XLOOKUP($C1026,Phone_by_Sentiment!$B$2:$B$37,Phone_by_Sentiment!M$2:M$37,"",0,1),0),$A1026-TEXT(DATEVALUE($D1026&amp;"-01"), "dd-mm-yyyy")),0),0)</f>
        <v>603</v>
      </c>
      <c r="N1026" cm="1">
        <f t="array" ref="N1026">IF($Q1026&gt;=0,IFERROR(generateSalesData($D1026, IF(ISNUMBER(_xlfn.XLOOKUP($C1026,Phone_by_Sentiment!$B$2:$B$37,Phone_by_Sentiment!N$2:N$37,"",0,1)),_xlfn.XLOOKUP($C1026,Phone_by_Sentiment!$B$2:$B$37,Phone_by_Sentiment!N$2:N$37,"",0,1),0),$A1026-TEXT(DATEVALUE($D1026&amp;"-01"), "dd-mm-yyyy")),0),0)</f>
        <v>382</v>
      </c>
      <c r="O1026" cm="1">
        <f t="array" ref="O1026">IF($Q1026&gt;=0,IFERROR(generateSalesData($D1026, IF(ISNUMBER(_xlfn.XLOOKUP($C1026,Phone_by_Sentiment!$B$2:$B$37,Phone_by_Sentiment!O$2:O$37,"",0,1)),_xlfn.XLOOKUP($C1026,Phone_by_Sentiment!$B$2:$B$37,Phone_by_Sentiment!O$2:O$37,"",0,1),0),$A1026-TEXT(DATEVALUE($D1026&amp;"-01"), "dd-mm-yyyy")),0),0)</f>
        <v>249</v>
      </c>
      <c r="P1026" s="1">
        <f t="shared" si="40"/>
        <v>43709</v>
      </c>
      <c r="Q1026">
        <f t="shared" si="41"/>
        <v>639</v>
      </c>
    </row>
    <row r="1027" spans="1:17" x14ac:dyDescent="0.25">
      <c r="A1027" s="1">
        <f t="shared" si="42"/>
        <v>44348</v>
      </c>
      <c r="B1027" t="s">
        <v>143</v>
      </c>
      <c r="C1027" t="str">
        <f>_xlfn.XLOOKUP(B1027,Phone_by_Price!$A$2:$A$34,Phone_by_Price!$B$2:$B$34,"-",0,1)</f>
        <v>Samsung Galaxy S20 Ultra</v>
      </c>
      <c r="D1027" t="str">
        <f>_xlfn.XLOOKUP(C1027,Phone_by_Sentiment!$B$2:$B$37,Phone_by_Sentiment!$A$2:$A$37,"-",0,1)</f>
        <v>2020-02</v>
      </c>
      <c r="E1027" cm="1">
        <f t="array" ref="E1027">IF($Q1027&gt;=0,IFERROR(generateSalesData($D1027, IF(ISNUMBER(_xlfn.XLOOKUP($C1027,Phone_by_Sentiment!$B$2:$B$37,Phone_by_Sentiment!E$2:E$37,"",0,1)),_xlfn.XLOOKUP($C1027,Phone_by_Sentiment!$B$2:$B$37,Phone_by_Sentiment!E$2:E$37,"",0,1),0),$A1027-TEXT(DATEVALUE($D1027&amp;"-01"), "dd-mm-yyyy")),0),0)</f>
        <v>332</v>
      </c>
      <c r="F1027" cm="1">
        <f t="array" ref="F1027">IF($Q1027&gt;=0,IFERROR(generateSalesData($D1027, IF(ISNUMBER(_xlfn.XLOOKUP($C1027,Phone_by_Sentiment!$B$2:$B$37,Phone_by_Sentiment!F$2:F$37,"",0,1)),_xlfn.XLOOKUP($C1027,Phone_by_Sentiment!$B$2:$B$37,Phone_by_Sentiment!F$2:F$37,"",0,1),0),$A1027-TEXT(DATEVALUE($D1027&amp;"-01"), "dd-mm-yyyy")),0),0)</f>
        <v>539</v>
      </c>
      <c r="G1027" cm="1">
        <f t="array" ref="G1027">IF($Q1027&gt;=0,IFERROR(generateSalesData($D1027, IF(ISNUMBER(_xlfn.XLOOKUP($C1027,Phone_by_Sentiment!$B$2:$B$37,Phone_by_Sentiment!G$2:G$37,"",0,1)),_xlfn.XLOOKUP($C1027,Phone_by_Sentiment!$B$2:$B$37,Phone_by_Sentiment!G$2:G$37,"",0,1),0),$A1027-TEXT(DATEVALUE($D1027&amp;"-01"), "dd-mm-yyyy")),0),0)</f>
        <v>152</v>
      </c>
      <c r="H1027" cm="1">
        <f t="array" ref="H1027">IF($Q1027&gt;=0,IFERROR(generateSalesData($D1027, IF(ISNUMBER(_xlfn.XLOOKUP($C1027,Phone_by_Sentiment!$B$2:$B$37,Phone_by_Sentiment!H$2:H$37,"",0,1)),_xlfn.XLOOKUP($C1027,Phone_by_Sentiment!$B$2:$B$37,Phone_by_Sentiment!H$2:H$37,"",0,1),0),$A1027-TEXT(DATEVALUE($D1027&amp;"-01"), "dd-mm-yyyy")),0),0)</f>
        <v>355</v>
      </c>
      <c r="I1027" cm="1">
        <f t="array" ref="I1027">IF($Q1027&gt;=0,IFERROR(generateSalesData($D1027, IF(ISNUMBER(_xlfn.XLOOKUP($C1027,Phone_by_Sentiment!$B$2:$B$37,Phone_by_Sentiment!I$2:I$37,"",0,1)),_xlfn.XLOOKUP($C1027,Phone_by_Sentiment!$B$2:$B$37,Phone_by_Sentiment!I$2:I$37,"",0,1),0),$A1027-TEXT(DATEVALUE($D1027&amp;"-01"), "dd-mm-yyyy")),0),0)</f>
        <v>607</v>
      </c>
      <c r="J1027" cm="1">
        <f t="array" ref="J1027">IF($Q1027&gt;=0,IFERROR(generateSalesData($D1027, IF(ISNUMBER(_xlfn.XLOOKUP($C1027,Phone_by_Sentiment!$B$2:$B$37,Phone_by_Sentiment!J$2:J$37,"",0,1)),_xlfn.XLOOKUP($C1027,Phone_by_Sentiment!$B$2:$B$37,Phone_by_Sentiment!J$2:J$37,"",0,1),0),$A1027-TEXT(DATEVALUE($D1027&amp;"-01"), "dd-mm-yyyy")),0),0)</f>
        <v>286</v>
      </c>
      <c r="K1027" cm="1">
        <f t="array" ref="K1027">IF($Q1027&gt;=0,IFERROR(generateSalesData($D1027, IF(ISNUMBER(_xlfn.XLOOKUP($C1027,Phone_by_Sentiment!$B$2:$B$37,Phone_by_Sentiment!K$2:K$37,"",0,1)),_xlfn.XLOOKUP($C1027,Phone_by_Sentiment!$B$2:$B$37,Phone_by_Sentiment!K$2:K$37,"",0,1),0),$A1027-TEXT(DATEVALUE($D1027&amp;"-01"), "dd-mm-yyyy")),0),0)</f>
        <v>170</v>
      </c>
      <c r="L1027" cm="1">
        <f t="array" ref="L1027">IF($Q1027&gt;=0,IFERROR(generateSalesData($D1027, IF(ISNUMBER(_xlfn.XLOOKUP($C1027,Phone_by_Sentiment!$B$2:$B$37,Phone_by_Sentiment!L$2:L$37,"",0,1)),_xlfn.XLOOKUP($C1027,Phone_by_Sentiment!$B$2:$B$37,Phone_by_Sentiment!L$2:L$37,"",0,1),0),$A1027-TEXT(DATEVALUE($D1027&amp;"-01"), "dd-mm-yyyy")),0),0)</f>
        <v>488</v>
      </c>
      <c r="M1027" cm="1">
        <f t="array" ref="M1027">IF($Q1027&gt;=0,IFERROR(generateSalesData($D1027, IF(ISNUMBER(_xlfn.XLOOKUP($C1027,Phone_by_Sentiment!$B$2:$B$37,Phone_by_Sentiment!M$2:M$37,"",0,1)),_xlfn.XLOOKUP($C1027,Phone_by_Sentiment!$B$2:$B$37,Phone_by_Sentiment!M$2:M$37,"",0,1),0),$A1027-TEXT(DATEVALUE($D1027&amp;"-01"), "dd-mm-yyyy")),0),0)</f>
        <v>315</v>
      </c>
      <c r="N1027" cm="1">
        <f t="array" ref="N1027">IF($Q1027&gt;=0,IFERROR(generateSalesData($D1027, IF(ISNUMBER(_xlfn.XLOOKUP($C1027,Phone_by_Sentiment!$B$2:$B$37,Phone_by_Sentiment!N$2:N$37,"",0,1)),_xlfn.XLOOKUP($C1027,Phone_by_Sentiment!$B$2:$B$37,Phone_by_Sentiment!N$2:N$37,"",0,1),0),$A1027-TEXT(DATEVALUE($D1027&amp;"-01"), "dd-mm-yyyy")),0),0)</f>
        <v>492</v>
      </c>
      <c r="O1027" cm="1">
        <f t="array" ref="O1027">IF($Q1027&gt;=0,IFERROR(generateSalesData($D1027, IF(ISNUMBER(_xlfn.XLOOKUP($C1027,Phone_by_Sentiment!$B$2:$B$37,Phone_by_Sentiment!O$2:O$37,"",0,1)),_xlfn.XLOOKUP($C1027,Phone_by_Sentiment!$B$2:$B$37,Phone_by_Sentiment!O$2:O$37,"",0,1),0),$A1027-TEXT(DATEVALUE($D1027&amp;"-01"), "dd-mm-yyyy")),0),0)</f>
        <v>743</v>
      </c>
      <c r="P1027" s="1">
        <f t="shared" si="40"/>
        <v>43862</v>
      </c>
      <c r="Q1027">
        <f t="shared" si="41"/>
        <v>486</v>
      </c>
    </row>
    <row r="1028" spans="1:17" x14ac:dyDescent="0.25">
      <c r="A1028" s="1">
        <f t="shared" si="42"/>
        <v>44348</v>
      </c>
      <c r="B1028" t="s">
        <v>144</v>
      </c>
      <c r="C1028" t="str">
        <f>_xlfn.XLOOKUP(B1028,Phone_by_Price!$A$2:$A$34,Phone_by_Price!$B$2:$B$34,"-",0,1)</f>
        <v>Xiaomi Redmi Note 10</v>
      </c>
      <c r="D1028" t="str">
        <f>_xlfn.XLOOKUP(C1028,Phone_by_Sentiment!$B$2:$B$37,Phone_by_Sentiment!$A$2:$A$37,"-",0,1)</f>
        <v>2021-03</v>
      </c>
      <c r="E1028" cm="1">
        <f t="array" ref="E1028">IF($Q1028&gt;=0,IFERROR(generateSalesData($D1028, IF(ISNUMBER(_xlfn.XLOOKUP($C1028,Phone_by_Sentiment!$B$2:$B$37,Phone_by_Sentiment!E$2:E$37,"",0,1)),_xlfn.XLOOKUP($C1028,Phone_by_Sentiment!$B$2:$B$37,Phone_by_Sentiment!E$2:E$37,"",0,1),0),$A1028-TEXT(DATEVALUE($D1028&amp;"-01"), "dd-mm-yyyy")),0),0)</f>
        <v>2570</v>
      </c>
      <c r="F1028" cm="1">
        <f t="array" ref="F1028">IF($Q1028&gt;=0,IFERROR(generateSalesData($D1028, IF(ISNUMBER(_xlfn.XLOOKUP($C1028,Phone_by_Sentiment!$B$2:$B$37,Phone_by_Sentiment!F$2:F$37,"",0,1)),_xlfn.XLOOKUP($C1028,Phone_by_Sentiment!$B$2:$B$37,Phone_by_Sentiment!F$2:F$37,"",0,1),0),$A1028-TEXT(DATEVALUE($D1028&amp;"-01"), "dd-mm-yyyy")),0),0)</f>
        <v>412</v>
      </c>
      <c r="G1028" cm="1">
        <f t="array" ref="G1028">IF($Q1028&gt;=0,IFERROR(generateSalesData($D1028, IF(ISNUMBER(_xlfn.XLOOKUP($C1028,Phone_by_Sentiment!$B$2:$B$37,Phone_by_Sentiment!G$2:G$37,"",0,1)),_xlfn.XLOOKUP($C1028,Phone_by_Sentiment!$B$2:$B$37,Phone_by_Sentiment!G$2:G$37,"",0,1),0),$A1028-TEXT(DATEVALUE($D1028&amp;"-01"), "dd-mm-yyyy")),0),0)</f>
        <v>450</v>
      </c>
      <c r="H1028" cm="1">
        <f t="array" ref="H1028">IF($Q1028&gt;=0,IFERROR(generateSalesData($D1028, IF(ISNUMBER(_xlfn.XLOOKUP($C1028,Phone_by_Sentiment!$B$2:$B$37,Phone_by_Sentiment!H$2:H$37,"",0,1)),_xlfn.XLOOKUP($C1028,Phone_by_Sentiment!$B$2:$B$37,Phone_by_Sentiment!H$2:H$37,"",0,1),0),$A1028-TEXT(DATEVALUE($D1028&amp;"-01"), "dd-mm-yyyy")),0),0)</f>
        <v>-327</v>
      </c>
      <c r="I1028" cm="1">
        <f t="array" ref="I1028">IF($Q1028&gt;=0,IFERROR(generateSalesData($D1028, IF(ISNUMBER(_xlfn.XLOOKUP($C1028,Phone_by_Sentiment!$B$2:$B$37,Phone_by_Sentiment!I$2:I$37,"",0,1)),_xlfn.XLOOKUP($C1028,Phone_by_Sentiment!$B$2:$B$37,Phone_by_Sentiment!I$2:I$37,"",0,1),0),$A1028-TEXT(DATEVALUE($D1028&amp;"-01"), "dd-mm-yyyy")),0),0)</f>
        <v>2676</v>
      </c>
      <c r="J1028" cm="1">
        <f t="array" ref="J1028">IF($Q1028&gt;=0,IFERROR(generateSalesData($D1028, IF(ISNUMBER(_xlfn.XLOOKUP($C1028,Phone_by_Sentiment!$B$2:$B$37,Phone_by_Sentiment!J$2:J$37,"",0,1)),_xlfn.XLOOKUP($C1028,Phone_by_Sentiment!$B$2:$B$37,Phone_by_Sentiment!J$2:J$37,"",0,1),0),$A1028-TEXT(DATEVALUE($D1028&amp;"-01"), "dd-mm-yyyy")),0),0)</f>
        <v>425</v>
      </c>
      <c r="K1028" cm="1">
        <f t="array" ref="K1028">IF($Q1028&gt;=0,IFERROR(generateSalesData($D1028, IF(ISNUMBER(_xlfn.XLOOKUP($C1028,Phone_by_Sentiment!$B$2:$B$37,Phone_by_Sentiment!K$2:K$37,"",0,1)),_xlfn.XLOOKUP($C1028,Phone_by_Sentiment!$B$2:$B$37,Phone_by_Sentiment!K$2:K$37,"",0,1),0),$A1028-TEXT(DATEVALUE($D1028&amp;"-01"), "dd-mm-yyyy")),0),0)</f>
        <v>4135</v>
      </c>
      <c r="L1028" cm="1">
        <f t="array" ref="L1028">IF($Q1028&gt;=0,IFERROR(generateSalesData($D1028, IF(ISNUMBER(_xlfn.XLOOKUP($C1028,Phone_by_Sentiment!$B$2:$B$37,Phone_by_Sentiment!L$2:L$37,"",0,1)),_xlfn.XLOOKUP($C1028,Phone_by_Sentiment!$B$2:$B$37,Phone_by_Sentiment!L$2:L$37,"",0,1),0),$A1028-TEXT(DATEVALUE($D1028&amp;"-01"), "dd-mm-yyyy")),0),0)</f>
        <v>2608</v>
      </c>
      <c r="M1028" cm="1">
        <f t="array" ref="M1028">IF($Q1028&gt;=0,IFERROR(generateSalesData($D1028, IF(ISNUMBER(_xlfn.XLOOKUP($C1028,Phone_by_Sentiment!$B$2:$B$37,Phone_by_Sentiment!M$2:M$37,"",0,1)),_xlfn.XLOOKUP($C1028,Phone_by_Sentiment!$B$2:$B$37,Phone_by_Sentiment!M$2:M$37,"",0,1),0),$A1028-TEXT(DATEVALUE($D1028&amp;"-01"), "dd-mm-yyyy")),0),0)</f>
        <v>169</v>
      </c>
      <c r="N1028" cm="1">
        <f t="array" ref="N1028">IF($Q1028&gt;=0,IFERROR(generateSalesData($D1028, IF(ISNUMBER(_xlfn.XLOOKUP($C1028,Phone_by_Sentiment!$B$2:$B$37,Phone_by_Sentiment!N$2:N$37,"",0,1)),_xlfn.XLOOKUP($C1028,Phone_by_Sentiment!$B$2:$B$37,Phone_by_Sentiment!N$2:N$37,"",0,1),0),$A1028-TEXT(DATEVALUE($D1028&amp;"-01"), "dd-mm-yyyy")),0),0)</f>
        <v>3754</v>
      </c>
      <c r="O1028" cm="1">
        <f t="array" ref="O1028">IF($Q1028&gt;=0,IFERROR(generateSalesData($D1028, IF(ISNUMBER(_xlfn.XLOOKUP($C1028,Phone_by_Sentiment!$B$2:$B$37,Phone_by_Sentiment!O$2:O$37,"",0,1)),_xlfn.XLOOKUP($C1028,Phone_by_Sentiment!$B$2:$B$37,Phone_by_Sentiment!O$2:O$37,"",0,1),0),$A1028-TEXT(DATEVALUE($D1028&amp;"-01"), "dd-mm-yyyy")),0),0)</f>
        <v>2947</v>
      </c>
      <c r="P1028" s="1">
        <f t="shared" ref="P1028:P1091" si="43">DATEVALUE($D1028&amp;"-01")</f>
        <v>44256</v>
      </c>
      <c r="Q1028">
        <f t="shared" ref="Q1028:Q1091" si="44">A1028-P1028</f>
        <v>92</v>
      </c>
    </row>
    <row r="1029" spans="1:17" x14ac:dyDescent="0.25">
      <c r="A1029" s="1">
        <f t="shared" si="42"/>
        <v>44348</v>
      </c>
      <c r="B1029" t="s">
        <v>145</v>
      </c>
      <c r="C1029" t="str">
        <f>_xlfn.XLOOKUP(B1029,Phone_by_Price!$A$2:$A$34,Phone_by_Price!$B$2:$B$34,"-",0,1)</f>
        <v>OPPO A54</v>
      </c>
      <c r="D1029" t="str">
        <f>_xlfn.XLOOKUP(C1029,Phone_by_Sentiment!$B$2:$B$37,Phone_by_Sentiment!$A$2:$A$37,"-",0,1)</f>
        <v>2021-04</v>
      </c>
      <c r="E1029" cm="1">
        <f t="array" ref="E1029">IF($Q1029&gt;=0,IFERROR(generateSalesData($D1029, IF(ISNUMBER(_xlfn.XLOOKUP($C1029,Phone_by_Sentiment!$B$2:$B$37,Phone_by_Sentiment!E$2:E$37,"",0,1)),_xlfn.XLOOKUP($C1029,Phone_by_Sentiment!$B$2:$B$37,Phone_by_Sentiment!E$2:E$37,"",0,1),0),$A1029-TEXT(DATEVALUE($D1029&amp;"-01"), "dd-mm-yyyy")),0),0)</f>
        <v>1962</v>
      </c>
      <c r="F1029" cm="1">
        <f t="array" ref="F1029">IF($Q1029&gt;=0,IFERROR(generateSalesData($D1029, IF(ISNUMBER(_xlfn.XLOOKUP($C1029,Phone_by_Sentiment!$B$2:$B$37,Phone_by_Sentiment!F$2:F$37,"",0,1)),_xlfn.XLOOKUP($C1029,Phone_by_Sentiment!$B$2:$B$37,Phone_by_Sentiment!F$2:F$37,"",0,1),0),$A1029-TEXT(DATEVALUE($D1029&amp;"-01"), "dd-mm-yyyy")),0),0)</f>
        <v>912</v>
      </c>
      <c r="G1029" cm="1">
        <f t="array" ref="G1029">IF($Q1029&gt;=0,IFERROR(generateSalesData($D1029, IF(ISNUMBER(_xlfn.XLOOKUP($C1029,Phone_by_Sentiment!$B$2:$B$37,Phone_by_Sentiment!G$2:G$37,"",0,1)),_xlfn.XLOOKUP($C1029,Phone_by_Sentiment!$B$2:$B$37,Phone_by_Sentiment!G$2:G$37,"",0,1),0),$A1029-TEXT(DATEVALUE($D1029&amp;"-01"), "dd-mm-yyyy")),0),0)</f>
        <v>1363</v>
      </c>
      <c r="H1029" cm="1">
        <f t="array" ref="H1029">IF($Q1029&gt;=0,IFERROR(generateSalesData($D1029, IF(ISNUMBER(_xlfn.XLOOKUP($C1029,Phone_by_Sentiment!$B$2:$B$37,Phone_by_Sentiment!H$2:H$37,"",0,1)),_xlfn.XLOOKUP($C1029,Phone_by_Sentiment!$B$2:$B$37,Phone_by_Sentiment!H$2:H$37,"",0,1),0),$A1029-TEXT(DATEVALUE($D1029&amp;"-01"), "dd-mm-yyyy")),0),0)</f>
        <v>3386</v>
      </c>
      <c r="I1029" cm="1">
        <f t="array" ref="I1029">IF($Q1029&gt;=0,IFERROR(generateSalesData($D1029, IF(ISNUMBER(_xlfn.XLOOKUP($C1029,Phone_by_Sentiment!$B$2:$B$37,Phone_by_Sentiment!I$2:I$37,"",0,1)),_xlfn.XLOOKUP($C1029,Phone_by_Sentiment!$B$2:$B$37,Phone_by_Sentiment!I$2:I$37,"",0,1),0),$A1029-TEXT(DATEVALUE($D1029&amp;"-01"), "dd-mm-yyyy")),0),0)</f>
        <v>4509</v>
      </c>
      <c r="J1029" cm="1">
        <f t="array" ref="J1029">IF($Q1029&gt;=0,IFERROR(generateSalesData($D1029, IF(ISNUMBER(_xlfn.XLOOKUP($C1029,Phone_by_Sentiment!$B$2:$B$37,Phone_by_Sentiment!J$2:J$37,"",0,1)),_xlfn.XLOOKUP($C1029,Phone_by_Sentiment!$B$2:$B$37,Phone_by_Sentiment!J$2:J$37,"",0,1),0),$A1029-TEXT(DATEVALUE($D1029&amp;"-01"), "dd-mm-yyyy")),0),0)</f>
        <v>1294</v>
      </c>
      <c r="K1029" cm="1">
        <f t="array" ref="K1029">IF($Q1029&gt;=0,IFERROR(generateSalesData($D1029, IF(ISNUMBER(_xlfn.XLOOKUP($C1029,Phone_by_Sentiment!$B$2:$B$37,Phone_by_Sentiment!K$2:K$37,"",0,1)),_xlfn.XLOOKUP($C1029,Phone_by_Sentiment!$B$2:$B$37,Phone_by_Sentiment!K$2:K$37,"",0,1),0),$A1029-TEXT(DATEVALUE($D1029&amp;"-01"), "dd-mm-yyyy")),0),0)</f>
        <v>1287</v>
      </c>
      <c r="L1029" cm="1">
        <f t="array" ref="L1029">IF($Q1029&gt;=0,IFERROR(generateSalesData($D1029, IF(ISNUMBER(_xlfn.XLOOKUP($C1029,Phone_by_Sentiment!$B$2:$B$37,Phone_by_Sentiment!L$2:L$37,"",0,1)),_xlfn.XLOOKUP($C1029,Phone_by_Sentiment!$B$2:$B$37,Phone_by_Sentiment!L$2:L$37,"",0,1),0),$A1029-TEXT(DATEVALUE($D1029&amp;"-01"), "dd-mm-yyyy")),0),0)</f>
        <v>3922</v>
      </c>
      <c r="M1029" cm="1">
        <f t="array" ref="M1029">IF($Q1029&gt;=0,IFERROR(generateSalesData($D1029, IF(ISNUMBER(_xlfn.XLOOKUP($C1029,Phone_by_Sentiment!$B$2:$B$37,Phone_by_Sentiment!M$2:M$37,"",0,1)),_xlfn.XLOOKUP($C1029,Phone_by_Sentiment!$B$2:$B$37,Phone_by_Sentiment!M$2:M$37,"",0,1),0),$A1029-TEXT(DATEVALUE($D1029&amp;"-01"), "dd-mm-yyyy")),0),0)</f>
        <v>1145</v>
      </c>
      <c r="N1029" cm="1">
        <f t="array" ref="N1029">IF($Q1029&gt;=0,IFERROR(generateSalesData($D1029, IF(ISNUMBER(_xlfn.XLOOKUP($C1029,Phone_by_Sentiment!$B$2:$B$37,Phone_by_Sentiment!N$2:N$37,"",0,1)),_xlfn.XLOOKUP($C1029,Phone_by_Sentiment!$B$2:$B$37,Phone_by_Sentiment!N$2:N$37,"",0,1),0),$A1029-TEXT(DATEVALUE($D1029&amp;"-01"), "dd-mm-yyyy")),0),0)</f>
        <v>2700</v>
      </c>
      <c r="O1029" cm="1">
        <f t="array" ref="O1029">IF($Q1029&gt;=0,IFERROR(generateSalesData($D1029, IF(ISNUMBER(_xlfn.XLOOKUP($C1029,Phone_by_Sentiment!$B$2:$B$37,Phone_by_Sentiment!O$2:O$37,"",0,1)),_xlfn.XLOOKUP($C1029,Phone_by_Sentiment!$B$2:$B$37,Phone_by_Sentiment!O$2:O$37,"",0,1),0),$A1029-TEXT(DATEVALUE($D1029&amp;"-01"), "dd-mm-yyyy")),0),0)</f>
        <v>1311</v>
      </c>
      <c r="P1029" s="1">
        <f t="shared" si="43"/>
        <v>44287</v>
      </c>
      <c r="Q1029">
        <f t="shared" si="44"/>
        <v>61</v>
      </c>
    </row>
    <row r="1030" spans="1:17" x14ac:dyDescent="0.25">
      <c r="A1030" s="1">
        <f t="shared" si="42"/>
        <v>44348</v>
      </c>
      <c r="B1030" t="s">
        <v>146</v>
      </c>
      <c r="C1030" t="str">
        <f>_xlfn.XLOOKUP(B1030,Phone_by_Price!$A$2:$A$34,Phone_by_Price!$B$2:$B$34,"-",0,1)</f>
        <v>Vivo Y20</v>
      </c>
      <c r="D1030" t="str">
        <f>_xlfn.XLOOKUP(C1030,Phone_by_Sentiment!$B$2:$B$37,Phone_by_Sentiment!$A$2:$A$37,"-",0,1)</f>
        <v>2020-09</v>
      </c>
      <c r="E1030" cm="1">
        <f t="array" ref="E1030">IF($Q1030&gt;=0,IFERROR(generateSalesData($D1030, IF(ISNUMBER(_xlfn.XLOOKUP($C1030,Phone_by_Sentiment!$B$2:$B$37,Phone_by_Sentiment!E$2:E$37,"",0,1)),_xlfn.XLOOKUP($C1030,Phone_by_Sentiment!$B$2:$B$37,Phone_by_Sentiment!E$2:E$37,"",0,1),0),$A1030-TEXT(DATEVALUE($D1030&amp;"-01"), "dd-mm-yyyy")),0),0)</f>
        <v>292</v>
      </c>
      <c r="F1030" cm="1">
        <f t="array" ref="F1030">IF($Q1030&gt;=0,IFERROR(generateSalesData($D1030, IF(ISNUMBER(_xlfn.XLOOKUP($C1030,Phone_by_Sentiment!$B$2:$B$37,Phone_by_Sentiment!F$2:F$37,"",0,1)),_xlfn.XLOOKUP($C1030,Phone_by_Sentiment!$B$2:$B$37,Phone_by_Sentiment!F$2:F$37,"",0,1),0),$A1030-TEXT(DATEVALUE($D1030&amp;"-01"), "dd-mm-yyyy")),0),0)</f>
        <v>1112</v>
      </c>
      <c r="G1030" cm="1">
        <f t="array" ref="G1030">IF($Q1030&gt;=0,IFERROR(generateSalesData($D1030, IF(ISNUMBER(_xlfn.XLOOKUP($C1030,Phone_by_Sentiment!$B$2:$B$37,Phone_by_Sentiment!G$2:G$37,"",0,1)),_xlfn.XLOOKUP($C1030,Phone_by_Sentiment!$B$2:$B$37,Phone_by_Sentiment!G$2:G$37,"",0,1),0),$A1030-TEXT(DATEVALUE($D1030&amp;"-01"), "dd-mm-yyyy")),0),0)</f>
        <v>110</v>
      </c>
      <c r="H1030" cm="1">
        <f t="array" ref="H1030">IF($Q1030&gt;=0,IFERROR(generateSalesData($D1030, IF(ISNUMBER(_xlfn.XLOOKUP($C1030,Phone_by_Sentiment!$B$2:$B$37,Phone_by_Sentiment!H$2:H$37,"",0,1)),_xlfn.XLOOKUP($C1030,Phone_by_Sentiment!$B$2:$B$37,Phone_by_Sentiment!H$2:H$37,"",0,1),0),$A1030-TEXT(DATEVALUE($D1030&amp;"-01"), "dd-mm-yyyy")),0),0)</f>
        <v>198</v>
      </c>
      <c r="I1030" cm="1">
        <f t="array" ref="I1030">IF($Q1030&gt;=0,IFERROR(generateSalesData($D1030, IF(ISNUMBER(_xlfn.XLOOKUP($C1030,Phone_by_Sentiment!$B$2:$B$37,Phone_by_Sentiment!I$2:I$37,"",0,1)),_xlfn.XLOOKUP($C1030,Phone_by_Sentiment!$B$2:$B$37,Phone_by_Sentiment!I$2:I$37,"",0,1),0),$A1030-TEXT(DATEVALUE($D1030&amp;"-01"), "dd-mm-yyyy")),0),0)</f>
        <v>193</v>
      </c>
      <c r="J1030" cm="1">
        <f t="array" ref="J1030">IF($Q1030&gt;=0,IFERROR(generateSalesData($D1030, IF(ISNUMBER(_xlfn.XLOOKUP($C1030,Phone_by_Sentiment!$B$2:$B$37,Phone_by_Sentiment!J$2:J$37,"",0,1)),_xlfn.XLOOKUP($C1030,Phone_by_Sentiment!$B$2:$B$37,Phone_by_Sentiment!J$2:J$37,"",0,1),0),$A1030-TEXT(DATEVALUE($D1030&amp;"-01"), "dd-mm-yyyy")),0),0)</f>
        <v>338</v>
      </c>
      <c r="K1030" cm="1">
        <f t="array" ref="K1030">IF($Q1030&gt;=0,IFERROR(generateSalesData($D1030, IF(ISNUMBER(_xlfn.XLOOKUP($C1030,Phone_by_Sentiment!$B$2:$B$37,Phone_by_Sentiment!K$2:K$37,"",0,1)),_xlfn.XLOOKUP($C1030,Phone_by_Sentiment!$B$2:$B$37,Phone_by_Sentiment!K$2:K$37,"",0,1),0),$A1030-TEXT(DATEVALUE($D1030&amp;"-01"), "dd-mm-yyyy")),0),0)</f>
        <v>249</v>
      </c>
      <c r="L1030" cm="1">
        <f t="array" ref="L1030">IF($Q1030&gt;=0,IFERROR(generateSalesData($D1030, IF(ISNUMBER(_xlfn.XLOOKUP($C1030,Phone_by_Sentiment!$B$2:$B$37,Phone_by_Sentiment!L$2:L$37,"",0,1)),_xlfn.XLOOKUP($C1030,Phone_by_Sentiment!$B$2:$B$37,Phone_by_Sentiment!L$2:L$37,"",0,1),0),$A1030-TEXT(DATEVALUE($D1030&amp;"-01"), "dd-mm-yyyy")),0),0)</f>
        <v>847</v>
      </c>
      <c r="M1030" cm="1">
        <f t="array" ref="M1030">IF($Q1030&gt;=0,IFERROR(generateSalesData($D1030, IF(ISNUMBER(_xlfn.XLOOKUP($C1030,Phone_by_Sentiment!$B$2:$B$37,Phone_by_Sentiment!M$2:M$37,"",0,1)),_xlfn.XLOOKUP($C1030,Phone_by_Sentiment!$B$2:$B$37,Phone_by_Sentiment!M$2:M$37,"",0,1),0),$A1030-TEXT(DATEVALUE($D1030&amp;"-01"), "dd-mm-yyyy")),0),0)</f>
        <v>227</v>
      </c>
      <c r="N1030" cm="1">
        <f t="array" ref="N1030">IF($Q1030&gt;=0,IFERROR(generateSalesData($D1030, IF(ISNUMBER(_xlfn.XLOOKUP($C1030,Phone_by_Sentiment!$B$2:$B$37,Phone_by_Sentiment!N$2:N$37,"",0,1)),_xlfn.XLOOKUP($C1030,Phone_by_Sentiment!$B$2:$B$37,Phone_by_Sentiment!N$2:N$37,"",0,1),0),$A1030-TEXT(DATEVALUE($D1030&amp;"-01"), "dd-mm-yyyy")),0),0)</f>
        <v>146</v>
      </c>
      <c r="O1030" cm="1">
        <f t="array" ref="O1030">IF($Q1030&gt;=0,IFERROR(generateSalesData($D1030, IF(ISNUMBER(_xlfn.XLOOKUP($C1030,Phone_by_Sentiment!$B$2:$B$37,Phone_by_Sentiment!O$2:O$37,"",0,1)),_xlfn.XLOOKUP($C1030,Phone_by_Sentiment!$B$2:$B$37,Phone_by_Sentiment!O$2:O$37,"",0,1),0),$A1030-TEXT(DATEVALUE($D1030&amp;"-01"), "dd-mm-yyyy")),0),0)</f>
        <v>345</v>
      </c>
      <c r="P1030" s="1">
        <f t="shared" si="43"/>
        <v>44075</v>
      </c>
      <c r="Q1030">
        <f t="shared" si="44"/>
        <v>273</v>
      </c>
    </row>
    <row r="1031" spans="1:17" x14ac:dyDescent="0.25">
      <c r="A1031" s="1">
        <f t="shared" si="42"/>
        <v>44348</v>
      </c>
      <c r="B1031" t="s">
        <v>147</v>
      </c>
      <c r="C1031" t="str">
        <f>_xlfn.XLOOKUP(B1031,Phone_by_Price!$A$2:$A$34,Phone_by_Price!$B$2:$B$34,"-",0,1)</f>
        <v>Huawei Y9a</v>
      </c>
      <c r="D1031" t="str">
        <f>_xlfn.XLOOKUP(C1031,Phone_by_Sentiment!$B$2:$B$37,Phone_by_Sentiment!$A$2:$A$37,"-",0,1)</f>
        <v>2020-02</v>
      </c>
      <c r="E1031" cm="1">
        <f t="array" ref="E1031">IF($Q1031&gt;=0,IFERROR(generateSalesData($D1031, IF(ISNUMBER(_xlfn.XLOOKUP($C1031,Phone_by_Sentiment!$B$2:$B$37,Phone_by_Sentiment!E$2:E$37,"",0,1)),_xlfn.XLOOKUP($C1031,Phone_by_Sentiment!$B$2:$B$37,Phone_by_Sentiment!E$2:E$37,"",0,1),0),$A1031-TEXT(DATEVALUE($D1031&amp;"-01"), "dd-mm-yyyy")),0),0)</f>
        <v>853</v>
      </c>
      <c r="F1031" cm="1">
        <f t="array" ref="F1031">IF($Q1031&gt;=0,IFERROR(generateSalesData($D1031, IF(ISNUMBER(_xlfn.XLOOKUP($C1031,Phone_by_Sentiment!$B$2:$B$37,Phone_by_Sentiment!F$2:F$37,"",0,1)),_xlfn.XLOOKUP($C1031,Phone_by_Sentiment!$B$2:$B$37,Phone_by_Sentiment!F$2:F$37,"",0,1),0),$A1031-TEXT(DATEVALUE($D1031&amp;"-01"), "dd-mm-yyyy")),0),0)</f>
        <v>667</v>
      </c>
      <c r="G1031" cm="1">
        <f t="array" ref="G1031">IF($Q1031&gt;=0,IFERROR(generateSalesData($D1031, IF(ISNUMBER(_xlfn.XLOOKUP($C1031,Phone_by_Sentiment!$B$2:$B$37,Phone_by_Sentiment!G$2:G$37,"",0,1)),_xlfn.XLOOKUP($C1031,Phone_by_Sentiment!$B$2:$B$37,Phone_by_Sentiment!G$2:G$37,"",0,1),0),$A1031-TEXT(DATEVALUE($D1031&amp;"-01"), "dd-mm-yyyy")),0),0)</f>
        <v>35</v>
      </c>
      <c r="H1031" cm="1">
        <f t="array" ref="H1031">IF($Q1031&gt;=0,IFERROR(generateSalesData($D1031, IF(ISNUMBER(_xlfn.XLOOKUP($C1031,Phone_by_Sentiment!$B$2:$B$37,Phone_by_Sentiment!H$2:H$37,"",0,1)),_xlfn.XLOOKUP($C1031,Phone_by_Sentiment!$B$2:$B$37,Phone_by_Sentiment!H$2:H$37,"",0,1),0),$A1031-TEXT(DATEVALUE($D1031&amp;"-01"), "dd-mm-yyyy")),0),0)</f>
        <v>145</v>
      </c>
      <c r="I1031" cm="1">
        <f t="array" ref="I1031">IF($Q1031&gt;=0,IFERROR(generateSalesData($D1031, IF(ISNUMBER(_xlfn.XLOOKUP($C1031,Phone_by_Sentiment!$B$2:$B$37,Phone_by_Sentiment!I$2:I$37,"",0,1)),_xlfn.XLOOKUP($C1031,Phone_by_Sentiment!$B$2:$B$37,Phone_by_Sentiment!I$2:I$37,"",0,1),0),$A1031-TEXT(DATEVALUE($D1031&amp;"-01"), "dd-mm-yyyy")),0),0)</f>
        <v>109</v>
      </c>
      <c r="J1031" cm="1">
        <f t="array" ref="J1031">IF($Q1031&gt;=0,IFERROR(generateSalesData($D1031, IF(ISNUMBER(_xlfn.XLOOKUP($C1031,Phone_by_Sentiment!$B$2:$B$37,Phone_by_Sentiment!J$2:J$37,"",0,1)),_xlfn.XLOOKUP($C1031,Phone_by_Sentiment!$B$2:$B$37,Phone_by_Sentiment!J$2:J$37,"",0,1),0),$A1031-TEXT(DATEVALUE($D1031&amp;"-01"), "dd-mm-yyyy")),0),0)</f>
        <v>120</v>
      </c>
      <c r="K1031" cm="1">
        <f t="array" ref="K1031">IF($Q1031&gt;=0,IFERROR(generateSalesData($D1031, IF(ISNUMBER(_xlfn.XLOOKUP($C1031,Phone_by_Sentiment!$B$2:$B$37,Phone_by_Sentiment!K$2:K$37,"",0,1)),_xlfn.XLOOKUP($C1031,Phone_by_Sentiment!$B$2:$B$37,Phone_by_Sentiment!K$2:K$37,"",0,1),0),$A1031-TEXT(DATEVALUE($D1031&amp;"-01"), "dd-mm-yyyy")),0),0)</f>
        <v>60</v>
      </c>
      <c r="L1031" cm="1">
        <f t="array" ref="L1031">IF($Q1031&gt;=0,IFERROR(generateSalesData($D1031, IF(ISNUMBER(_xlfn.XLOOKUP($C1031,Phone_by_Sentiment!$B$2:$B$37,Phone_by_Sentiment!L$2:L$37,"",0,1)),_xlfn.XLOOKUP($C1031,Phone_by_Sentiment!$B$2:$B$37,Phone_by_Sentiment!L$2:L$37,"",0,1),0),$A1031-TEXT(DATEVALUE($D1031&amp;"-01"), "dd-mm-yyyy")),0),0)</f>
        <v>150</v>
      </c>
      <c r="M1031" cm="1">
        <f t="array" ref="M1031">IF($Q1031&gt;=0,IFERROR(generateSalesData($D1031, IF(ISNUMBER(_xlfn.XLOOKUP($C1031,Phone_by_Sentiment!$B$2:$B$37,Phone_by_Sentiment!M$2:M$37,"",0,1)),_xlfn.XLOOKUP($C1031,Phone_by_Sentiment!$B$2:$B$37,Phone_by_Sentiment!M$2:M$37,"",0,1),0),$A1031-TEXT(DATEVALUE($D1031&amp;"-01"), "dd-mm-yyyy")),0),0)</f>
        <v>145</v>
      </c>
      <c r="N1031" cm="1">
        <f t="array" ref="N1031">IF($Q1031&gt;=0,IFERROR(generateSalesData($D1031, IF(ISNUMBER(_xlfn.XLOOKUP($C1031,Phone_by_Sentiment!$B$2:$B$37,Phone_by_Sentiment!N$2:N$37,"",0,1)),_xlfn.XLOOKUP($C1031,Phone_by_Sentiment!$B$2:$B$37,Phone_by_Sentiment!N$2:N$37,"",0,1),0),$A1031-TEXT(DATEVALUE($D1031&amp;"-01"), "dd-mm-yyyy")),0),0)</f>
        <v>91</v>
      </c>
      <c r="O1031" cm="1">
        <f t="array" ref="O1031">IF($Q1031&gt;=0,IFERROR(generateSalesData($D1031, IF(ISNUMBER(_xlfn.XLOOKUP($C1031,Phone_by_Sentiment!$B$2:$B$37,Phone_by_Sentiment!O$2:O$37,"",0,1)),_xlfn.XLOOKUP($C1031,Phone_by_Sentiment!$B$2:$B$37,Phone_by_Sentiment!O$2:O$37,"",0,1),0),$A1031-TEXT(DATEVALUE($D1031&amp;"-01"), "dd-mm-yyyy")),0),0)</f>
        <v>212</v>
      </c>
      <c r="P1031" s="1">
        <f t="shared" si="43"/>
        <v>43862</v>
      </c>
      <c r="Q1031">
        <f t="shared" si="44"/>
        <v>486</v>
      </c>
    </row>
    <row r="1032" spans="1:17" x14ac:dyDescent="0.25">
      <c r="A1032" s="1">
        <f t="shared" si="42"/>
        <v>44348</v>
      </c>
      <c r="B1032" t="s">
        <v>148</v>
      </c>
      <c r="C1032" t="str">
        <f>_xlfn.XLOOKUP(B1032,Phone_by_Price!$A$2:$A$34,Phone_by_Price!$B$2:$B$34,"-",0,1)</f>
        <v>Xiaomi Redmi 10</v>
      </c>
      <c r="D1032" t="str">
        <f>_xlfn.XLOOKUP(C1032,Phone_by_Sentiment!$B$2:$B$37,Phone_by_Sentiment!$A$2:$A$37,"-",0,1)</f>
        <v>2021-03</v>
      </c>
      <c r="E1032" cm="1">
        <f t="array" ref="E1032">IF($Q1032&gt;=0,IFERROR(generateSalesData($D1032, IF(ISNUMBER(_xlfn.XLOOKUP($C1032,Phone_by_Sentiment!$B$2:$B$37,Phone_by_Sentiment!E$2:E$37,"",0,1)),_xlfn.XLOOKUP($C1032,Phone_by_Sentiment!$B$2:$B$37,Phone_by_Sentiment!E$2:E$37,"",0,1),0),$A1032-TEXT(DATEVALUE($D1032&amp;"-01"), "dd-mm-yyyy")),0),0)</f>
        <v>2761</v>
      </c>
      <c r="F1032" cm="1">
        <f t="array" ref="F1032">IF($Q1032&gt;=0,IFERROR(generateSalesData($D1032, IF(ISNUMBER(_xlfn.XLOOKUP($C1032,Phone_by_Sentiment!$B$2:$B$37,Phone_by_Sentiment!F$2:F$37,"",0,1)),_xlfn.XLOOKUP($C1032,Phone_by_Sentiment!$B$2:$B$37,Phone_by_Sentiment!F$2:F$37,"",0,1),0),$A1032-TEXT(DATEVALUE($D1032&amp;"-01"), "dd-mm-yyyy")),0),0)</f>
        <v>2078</v>
      </c>
      <c r="G1032" cm="1">
        <f t="array" ref="G1032">IF($Q1032&gt;=0,IFERROR(generateSalesData($D1032, IF(ISNUMBER(_xlfn.XLOOKUP($C1032,Phone_by_Sentiment!$B$2:$B$37,Phone_by_Sentiment!G$2:G$37,"",0,1)),_xlfn.XLOOKUP($C1032,Phone_by_Sentiment!$B$2:$B$37,Phone_by_Sentiment!G$2:G$37,"",0,1),0),$A1032-TEXT(DATEVALUE($D1032&amp;"-01"), "dd-mm-yyyy")),0),0)</f>
        <v>396</v>
      </c>
      <c r="H1032" cm="1">
        <f t="array" ref="H1032">IF($Q1032&gt;=0,IFERROR(generateSalesData($D1032, IF(ISNUMBER(_xlfn.XLOOKUP($C1032,Phone_by_Sentiment!$B$2:$B$37,Phone_by_Sentiment!H$2:H$37,"",0,1)),_xlfn.XLOOKUP($C1032,Phone_by_Sentiment!$B$2:$B$37,Phone_by_Sentiment!H$2:H$37,"",0,1),0),$A1032-TEXT(DATEVALUE($D1032&amp;"-01"), "dd-mm-yyyy")),0),0)</f>
        <v>3203</v>
      </c>
      <c r="I1032" cm="1">
        <f t="array" ref="I1032">IF($Q1032&gt;=0,IFERROR(generateSalesData($D1032, IF(ISNUMBER(_xlfn.XLOOKUP($C1032,Phone_by_Sentiment!$B$2:$B$37,Phone_by_Sentiment!I$2:I$37,"",0,1)),_xlfn.XLOOKUP($C1032,Phone_by_Sentiment!$B$2:$B$37,Phone_by_Sentiment!I$2:I$37,"",0,1),0),$A1032-TEXT(DATEVALUE($D1032&amp;"-01"), "dd-mm-yyyy")),0),0)</f>
        <v>1062</v>
      </c>
      <c r="J1032" cm="1">
        <f t="array" ref="J1032">IF($Q1032&gt;=0,IFERROR(generateSalesData($D1032, IF(ISNUMBER(_xlfn.XLOOKUP($C1032,Phone_by_Sentiment!$B$2:$B$37,Phone_by_Sentiment!J$2:J$37,"",0,1)),_xlfn.XLOOKUP($C1032,Phone_by_Sentiment!$B$2:$B$37,Phone_by_Sentiment!J$2:J$37,"",0,1),0),$A1032-TEXT(DATEVALUE($D1032&amp;"-01"), "dd-mm-yyyy")),0),0)</f>
        <v>568</v>
      </c>
      <c r="K1032" cm="1">
        <f t="array" ref="K1032">IF($Q1032&gt;=0,IFERROR(generateSalesData($D1032, IF(ISNUMBER(_xlfn.XLOOKUP($C1032,Phone_by_Sentiment!$B$2:$B$37,Phone_by_Sentiment!K$2:K$37,"",0,1)),_xlfn.XLOOKUP($C1032,Phone_by_Sentiment!$B$2:$B$37,Phone_by_Sentiment!K$2:K$37,"",0,1),0),$A1032-TEXT(DATEVALUE($D1032&amp;"-01"), "dd-mm-yyyy")),0),0)</f>
        <v>2441</v>
      </c>
      <c r="L1032" cm="1">
        <f t="array" ref="L1032">IF($Q1032&gt;=0,IFERROR(generateSalesData($D1032, IF(ISNUMBER(_xlfn.XLOOKUP($C1032,Phone_by_Sentiment!$B$2:$B$37,Phone_by_Sentiment!L$2:L$37,"",0,1)),_xlfn.XLOOKUP($C1032,Phone_by_Sentiment!$B$2:$B$37,Phone_by_Sentiment!L$2:L$37,"",0,1),0),$A1032-TEXT(DATEVALUE($D1032&amp;"-01"), "dd-mm-yyyy")),0),0)</f>
        <v>559</v>
      </c>
      <c r="M1032" cm="1">
        <f t="array" ref="M1032">IF($Q1032&gt;=0,IFERROR(generateSalesData($D1032, IF(ISNUMBER(_xlfn.XLOOKUP($C1032,Phone_by_Sentiment!$B$2:$B$37,Phone_by_Sentiment!M$2:M$37,"",0,1)),_xlfn.XLOOKUP($C1032,Phone_by_Sentiment!$B$2:$B$37,Phone_by_Sentiment!M$2:M$37,"",0,1),0),$A1032-TEXT(DATEVALUE($D1032&amp;"-01"), "dd-mm-yyyy")),0),0)</f>
        <v>1136</v>
      </c>
      <c r="N1032" cm="1">
        <f t="array" ref="N1032">IF($Q1032&gt;=0,IFERROR(generateSalesData($D1032, IF(ISNUMBER(_xlfn.XLOOKUP($C1032,Phone_by_Sentiment!$B$2:$B$37,Phone_by_Sentiment!N$2:N$37,"",0,1)),_xlfn.XLOOKUP($C1032,Phone_by_Sentiment!$B$2:$B$37,Phone_by_Sentiment!N$2:N$37,"",0,1),0),$A1032-TEXT(DATEVALUE($D1032&amp;"-01"), "dd-mm-yyyy")),0),0)</f>
        <v>3833</v>
      </c>
      <c r="O1032" cm="1">
        <f t="array" ref="O1032">IF($Q1032&gt;=0,IFERROR(generateSalesData($D1032, IF(ISNUMBER(_xlfn.XLOOKUP($C1032,Phone_by_Sentiment!$B$2:$B$37,Phone_by_Sentiment!O$2:O$37,"",0,1)),_xlfn.XLOOKUP($C1032,Phone_by_Sentiment!$B$2:$B$37,Phone_by_Sentiment!O$2:O$37,"",0,1),0),$A1032-TEXT(DATEVALUE($D1032&amp;"-01"), "dd-mm-yyyy")),0),0)</f>
        <v>792</v>
      </c>
      <c r="P1032" s="1">
        <f t="shared" si="43"/>
        <v>44256</v>
      </c>
      <c r="Q1032">
        <f t="shared" si="44"/>
        <v>92</v>
      </c>
    </row>
    <row r="1033" spans="1:17" x14ac:dyDescent="0.25">
      <c r="A1033" s="1">
        <f t="shared" ref="A1033:A1091" si="45">DATE(YEAR($A$1), MONTH($A$1) + INT((ROW()-1)/35), DAY($A$1))</f>
        <v>44348</v>
      </c>
      <c r="B1033" t="s">
        <v>149</v>
      </c>
      <c r="C1033" t="str">
        <f>_xlfn.XLOOKUP(B1033,Phone_by_Price!$A$2:$A$34,Phone_by_Price!$B$2:$B$34,"-",0,1)</f>
        <v>Samsung Galaxy A52</v>
      </c>
      <c r="D1033" t="str">
        <f>_xlfn.XLOOKUP(C1033,Phone_by_Sentiment!$B$2:$B$37,Phone_by_Sentiment!$A$2:$A$37,"-",0,1)</f>
        <v>2021-03</v>
      </c>
      <c r="E1033" cm="1">
        <f t="array" ref="E1033">IF($Q1033&gt;=0,IFERROR(generateSalesData($D1033, IF(ISNUMBER(_xlfn.XLOOKUP($C1033,Phone_by_Sentiment!$B$2:$B$37,Phone_by_Sentiment!E$2:E$37,"",0,1)),_xlfn.XLOOKUP($C1033,Phone_by_Sentiment!$B$2:$B$37,Phone_by_Sentiment!E$2:E$37,"",0,1),0),$A1033-TEXT(DATEVALUE($D1033&amp;"-01"), "dd-mm-yyyy")),0),0)</f>
        <v>-195</v>
      </c>
      <c r="F1033" cm="1">
        <f t="array" ref="F1033">IF($Q1033&gt;=0,IFERROR(generateSalesData($D1033, IF(ISNUMBER(_xlfn.XLOOKUP($C1033,Phone_by_Sentiment!$B$2:$B$37,Phone_by_Sentiment!F$2:F$37,"",0,1)),_xlfn.XLOOKUP($C1033,Phone_by_Sentiment!$B$2:$B$37,Phone_by_Sentiment!F$2:F$37,"",0,1),0),$A1033-TEXT(DATEVALUE($D1033&amp;"-01"), "dd-mm-yyyy")),0),0)</f>
        <v>1371</v>
      </c>
      <c r="G1033" cm="1">
        <f t="array" ref="G1033">IF($Q1033&gt;=0,IFERROR(generateSalesData($D1033, IF(ISNUMBER(_xlfn.XLOOKUP($C1033,Phone_by_Sentiment!$B$2:$B$37,Phone_by_Sentiment!G$2:G$37,"",0,1)),_xlfn.XLOOKUP($C1033,Phone_by_Sentiment!$B$2:$B$37,Phone_by_Sentiment!G$2:G$37,"",0,1),0),$A1033-TEXT(DATEVALUE($D1033&amp;"-01"), "dd-mm-yyyy")),0),0)</f>
        <v>732</v>
      </c>
      <c r="H1033" cm="1">
        <f t="array" ref="H1033">IF($Q1033&gt;=0,IFERROR(generateSalesData($D1033, IF(ISNUMBER(_xlfn.XLOOKUP($C1033,Phone_by_Sentiment!$B$2:$B$37,Phone_by_Sentiment!H$2:H$37,"",0,1)),_xlfn.XLOOKUP($C1033,Phone_by_Sentiment!$B$2:$B$37,Phone_by_Sentiment!H$2:H$37,"",0,1),0),$A1033-TEXT(DATEVALUE($D1033&amp;"-01"), "dd-mm-yyyy")),0),0)</f>
        <v>2382</v>
      </c>
      <c r="I1033" cm="1">
        <f t="array" ref="I1033">IF($Q1033&gt;=0,IFERROR(generateSalesData($D1033, IF(ISNUMBER(_xlfn.XLOOKUP($C1033,Phone_by_Sentiment!$B$2:$B$37,Phone_by_Sentiment!I$2:I$37,"",0,1)),_xlfn.XLOOKUP($C1033,Phone_by_Sentiment!$B$2:$B$37,Phone_by_Sentiment!I$2:I$37,"",0,1),0),$A1033-TEXT(DATEVALUE($D1033&amp;"-01"), "dd-mm-yyyy")),0),0)</f>
        <v>1165</v>
      </c>
      <c r="J1033" cm="1">
        <f t="array" ref="J1033">IF($Q1033&gt;=0,IFERROR(generateSalesData($D1033, IF(ISNUMBER(_xlfn.XLOOKUP($C1033,Phone_by_Sentiment!$B$2:$B$37,Phone_by_Sentiment!J$2:J$37,"",0,1)),_xlfn.XLOOKUP($C1033,Phone_by_Sentiment!$B$2:$B$37,Phone_by_Sentiment!J$2:J$37,"",0,1),0),$A1033-TEXT(DATEVALUE($D1033&amp;"-01"), "dd-mm-yyyy")),0),0)</f>
        <v>1337</v>
      </c>
      <c r="K1033" cm="1">
        <f t="array" ref="K1033">IF($Q1033&gt;=0,IFERROR(generateSalesData($D1033, IF(ISNUMBER(_xlfn.XLOOKUP($C1033,Phone_by_Sentiment!$B$2:$B$37,Phone_by_Sentiment!K$2:K$37,"",0,1)),_xlfn.XLOOKUP($C1033,Phone_by_Sentiment!$B$2:$B$37,Phone_by_Sentiment!K$2:K$37,"",0,1),0),$A1033-TEXT(DATEVALUE($D1033&amp;"-01"), "dd-mm-yyyy")),0),0)</f>
        <v>3261</v>
      </c>
      <c r="L1033" cm="1">
        <f t="array" ref="L1033">IF($Q1033&gt;=0,IFERROR(generateSalesData($D1033, IF(ISNUMBER(_xlfn.XLOOKUP($C1033,Phone_by_Sentiment!$B$2:$B$37,Phone_by_Sentiment!L$2:L$37,"",0,1)),_xlfn.XLOOKUP($C1033,Phone_by_Sentiment!$B$2:$B$37,Phone_by_Sentiment!L$2:L$37,"",0,1),0),$A1033-TEXT(DATEVALUE($D1033&amp;"-01"), "dd-mm-yyyy")),0),0)</f>
        <v>1841</v>
      </c>
      <c r="M1033" cm="1">
        <f t="array" ref="M1033">IF($Q1033&gt;=0,IFERROR(generateSalesData($D1033, IF(ISNUMBER(_xlfn.XLOOKUP($C1033,Phone_by_Sentiment!$B$2:$B$37,Phone_by_Sentiment!M$2:M$37,"",0,1)),_xlfn.XLOOKUP($C1033,Phone_by_Sentiment!$B$2:$B$37,Phone_by_Sentiment!M$2:M$37,"",0,1),0),$A1033-TEXT(DATEVALUE($D1033&amp;"-01"), "dd-mm-yyyy")),0),0)</f>
        <v>5459</v>
      </c>
      <c r="N1033" cm="1">
        <f t="array" ref="N1033">IF($Q1033&gt;=0,IFERROR(generateSalesData($D1033, IF(ISNUMBER(_xlfn.XLOOKUP($C1033,Phone_by_Sentiment!$B$2:$B$37,Phone_by_Sentiment!N$2:N$37,"",0,1)),_xlfn.XLOOKUP($C1033,Phone_by_Sentiment!$B$2:$B$37,Phone_by_Sentiment!N$2:N$37,"",0,1),0),$A1033-TEXT(DATEVALUE($D1033&amp;"-01"), "dd-mm-yyyy")),0),0)</f>
        <v>3278</v>
      </c>
      <c r="O1033" cm="1">
        <f t="array" ref="O1033">IF($Q1033&gt;=0,IFERROR(generateSalesData($D1033, IF(ISNUMBER(_xlfn.XLOOKUP($C1033,Phone_by_Sentiment!$B$2:$B$37,Phone_by_Sentiment!O$2:O$37,"",0,1)),_xlfn.XLOOKUP($C1033,Phone_by_Sentiment!$B$2:$B$37,Phone_by_Sentiment!O$2:O$37,"",0,1),0),$A1033-TEXT(DATEVALUE($D1033&amp;"-01"), "dd-mm-yyyy")),0),0)</f>
        <v>-21</v>
      </c>
      <c r="P1033" s="1">
        <f t="shared" si="43"/>
        <v>44256</v>
      </c>
      <c r="Q1033">
        <f t="shared" si="44"/>
        <v>92</v>
      </c>
    </row>
    <row r="1034" spans="1:17" x14ac:dyDescent="0.25">
      <c r="A1034" s="1">
        <f t="shared" si="45"/>
        <v>44348</v>
      </c>
      <c r="B1034" t="s">
        <v>150</v>
      </c>
      <c r="C1034" t="str">
        <f>_xlfn.XLOOKUP(B1034,Phone_by_Price!$A$2:$A$34,Phone_by_Price!$B$2:$B$34,"-",0,1)</f>
        <v>Vivo Y33s</v>
      </c>
      <c r="D1034" t="str">
        <f>_xlfn.XLOOKUP(C1034,Phone_by_Sentiment!$B$2:$B$37,Phone_by_Sentiment!$A$2:$A$37,"-",0,1)</f>
        <v>2021-05</v>
      </c>
      <c r="E1034" cm="1">
        <f t="array" ref="E1034">IF($Q1034&gt;=0,IFERROR(generateSalesData($D1034, IF(ISNUMBER(_xlfn.XLOOKUP($C1034,Phone_by_Sentiment!$B$2:$B$37,Phone_by_Sentiment!E$2:E$37,"",0,1)),_xlfn.XLOOKUP($C1034,Phone_by_Sentiment!$B$2:$B$37,Phone_by_Sentiment!E$2:E$37,"",0,1),0),$A1034-TEXT(DATEVALUE($D1034&amp;"-01"), "dd-mm-yyyy")),0),0)</f>
        <v>5438</v>
      </c>
      <c r="F1034" cm="1">
        <f t="array" ref="F1034">IF($Q1034&gt;=0,IFERROR(generateSalesData($D1034, IF(ISNUMBER(_xlfn.XLOOKUP($C1034,Phone_by_Sentiment!$B$2:$B$37,Phone_by_Sentiment!F$2:F$37,"",0,1)),_xlfn.XLOOKUP($C1034,Phone_by_Sentiment!$B$2:$B$37,Phone_by_Sentiment!F$2:F$37,"",0,1),0),$A1034-TEXT(DATEVALUE($D1034&amp;"-01"), "dd-mm-yyyy")),0),0)</f>
        <v>3141</v>
      </c>
      <c r="G1034" cm="1">
        <f t="array" ref="G1034">IF($Q1034&gt;=0,IFERROR(generateSalesData($D1034, IF(ISNUMBER(_xlfn.XLOOKUP($C1034,Phone_by_Sentiment!$B$2:$B$37,Phone_by_Sentiment!G$2:G$37,"",0,1)),_xlfn.XLOOKUP($C1034,Phone_by_Sentiment!$B$2:$B$37,Phone_by_Sentiment!G$2:G$37,"",0,1),0),$A1034-TEXT(DATEVALUE($D1034&amp;"-01"), "dd-mm-yyyy")),0),0)</f>
        <v>1859</v>
      </c>
      <c r="H1034" cm="1">
        <f t="array" ref="H1034">IF($Q1034&gt;=0,IFERROR(generateSalesData($D1034, IF(ISNUMBER(_xlfn.XLOOKUP($C1034,Phone_by_Sentiment!$B$2:$B$37,Phone_by_Sentiment!H$2:H$37,"",0,1)),_xlfn.XLOOKUP($C1034,Phone_by_Sentiment!$B$2:$B$37,Phone_by_Sentiment!H$2:H$37,"",0,1),0),$A1034-TEXT(DATEVALUE($D1034&amp;"-01"), "dd-mm-yyyy")),0),0)</f>
        <v>5396</v>
      </c>
      <c r="I1034" cm="1">
        <f t="array" ref="I1034">IF($Q1034&gt;=0,IFERROR(generateSalesData($D1034, IF(ISNUMBER(_xlfn.XLOOKUP($C1034,Phone_by_Sentiment!$B$2:$B$37,Phone_by_Sentiment!I$2:I$37,"",0,1)),_xlfn.XLOOKUP($C1034,Phone_by_Sentiment!$B$2:$B$37,Phone_by_Sentiment!I$2:I$37,"",0,1),0),$A1034-TEXT(DATEVALUE($D1034&amp;"-01"), "dd-mm-yyyy")),0),0)</f>
        <v>1376</v>
      </c>
      <c r="J1034" cm="1">
        <f t="array" ref="J1034">IF($Q1034&gt;=0,IFERROR(generateSalesData($D1034, IF(ISNUMBER(_xlfn.XLOOKUP($C1034,Phone_by_Sentiment!$B$2:$B$37,Phone_by_Sentiment!J$2:J$37,"",0,1)),_xlfn.XLOOKUP($C1034,Phone_by_Sentiment!$B$2:$B$37,Phone_by_Sentiment!J$2:J$37,"",0,1),0),$A1034-TEXT(DATEVALUE($D1034&amp;"-01"), "dd-mm-yyyy")),0),0)</f>
        <v>2911</v>
      </c>
      <c r="K1034" cm="1">
        <f t="array" ref="K1034">IF($Q1034&gt;=0,IFERROR(generateSalesData($D1034, IF(ISNUMBER(_xlfn.XLOOKUP($C1034,Phone_by_Sentiment!$B$2:$B$37,Phone_by_Sentiment!K$2:K$37,"",0,1)),_xlfn.XLOOKUP($C1034,Phone_by_Sentiment!$B$2:$B$37,Phone_by_Sentiment!K$2:K$37,"",0,1),0),$A1034-TEXT(DATEVALUE($D1034&amp;"-01"), "dd-mm-yyyy")),0),0)</f>
        <v>2523</v>
      </c>
      <c r="L1034" cm="1">
        <f t="array" ref="L1034">IF($Q1034&gt;=0,IFERROR(generateSalesData($D1034, IF(ISNUMBER(_xlfn.XLOOKUP($C1034,Phone_by_Sentiment!$B$2:$B$37,Phone_by_Sentiment!L$2:L$37,"",0,1)),_xlfn.XLOOKUP($C1034,Phone_by_Sentiment!$B$2:$B$37,Phone_by_Sentiment!L$2:L$37,"",0,1),0),$A1034-TEXT(DATEVALUE($D1034&amp;"-01"), "dd-mm-yyyy")),0),0)</f>
        <v>1353</v>
      </c>
      <c r="M1034" cm="1">
        <f t="array" ref="M1034">IF($Q1034&gt;=0,IFERROR(generateSalesData($D1034, IF(ISNUMBER(_xlfn.XLOOKUP($C1034,Phone_by_Sentiment!$B$2:$B$37,Phone_by_Sentiment!M$2:M$37,"",0,1)),_xlfn.XLOOKUP($C1034,Phone_by_Sentiment!$B$2:$B$37,Phone_by_Sentiment!M$2:M$37,"",0,1),0),$A1034-TEXT(DATEVALUE($D1034&amp;"-01"), "dd-mm-yyyy")),0),0)</f>
        <v>1071</v>
      </c>
      <c r="N1034" cm="1">
        <f t="array" ref="N1034">IF($Q1034&gt;=0,IFERROR(generateSalesData($D1034, IF(ISNUMBER(_xlfn.XLOOKUP($C1034,Phone_by_Sentiment!$B$2:$B$37,Phone_by_Sentiment!N$2:N$37,"",0,1)),_xlfn.XLOOKUP($C1034,Phone_by_Sentiment!$B$2:$B$37,Phone_by_Sentiment!N$2:N$37,"",0,1),0),$A1034-TEXT(DATEVALUE($D1034&amp;"-01"), "dd-mm-yyyy")),0),0)</f>
        <v>535</v>
      </c>
      <c r="O1034" cm="1">
        <f t="array" ref="O1034">IF($Q1034&gt;=0,IFERROR(generateSalesData($D1034, IF(ISNUMBER(_xlfn.XLOOKUP($C1034,Phone_by_Sentiment!$B$2:$B$37,Phone_by_Sentiment!O$2:O$37,"",0,1)),_xlfn.XLOOKUP($C1034,Phone_by_Sentiment!$B$2:$B$37,Phone_by_Sentiment!O$2:O$37,"",0,1),0),$A1034-TEXT(DATEVALUE($D1034&amp;"-01"), "dd-mm-yyyy")),0),0)</f>
        <v>3949</v>
      </c>
      <c r="P1034" s="1">
        <f t="shared" si="43"/>
        <v>44317</v>
      </c>
      <c r="Q1034">
        <f t="shared" si="44"/>
        <v>31</v>
      </c>
    </row>
    <row r="1035" spans="1:17" x14ac:dyDescent="0.25">
      <c r="A1035" s="1">
        <f t="shared" si="45"/>
        <v>44348</v>
      </c>
      <c r="B1035" t="s">
        <v>151</v>
      </c>
      <c r="C1035" t="str">
        <f>_xlfn.XLOOKUP(B1035,Phone_by_Price!$A$2:$A$34,Phone_by_Price!$B$2:$B$34,"-",0,1)</f>
        <v>Vivo Y11s</v>
      </c>
      <c r="D1035" t="str">
        <f>_xlfn.XLOOKUP(C1035,Phone_by_Sentiment!$B$2:$B$37,Phone_by_Sentiment!$A$2:$A$37,"-",0,1)</f>
        <v>2020-11</v>
      </c>
      <c r="E1035" cm="1">
        <f t="array" ref="E1035">IF($Q1035&gt;=0,IFERROR(generateSalesData($D1035, IF(ISNUMBER(_xlfn.XLOOKUP($C1035,Phone_by_Sentiment!$B$2:$B$37,Phone_by_Sentiment!E$2:E$37,"",0,1)),_xlfn.XLOOKUP($C1035,Phone_by_Sentiment!$B$2:$B$37,Phone_by_Sentiment!E$2:E$37,"",0,1),0),$A1035-TEXT(DATEVALUE($D1035&amp;"-01"), "dd-mm-yyyy")),0),0)</f>
        <v>439</v>
      </c>
      <c r="F1035" cm="1">
        <f t="array" ref="F1035">IF($Q1035&gt;=0,IFERROR(generateSalesData($D1035, IF(ISNUMBER(_xlfn.XLOOKUP($C1035,Phone_by_Sentiment!$B$2:$B$37,Phone_by_Sentiment!F$2:F$37,"",0,1)),_xlfn.XLOOKUP($C1035,Phone_by_Sentiment!$B$2:$B$37,Phone_by_Sentiment!F$2:F$37,"",0,1),0),$A1035-TEXT(DATEVALUE($D1035&amp;"-01"), "dd-mm-yyyy")),0),0)</f>
        <v>238</v>
      </c>
      <c r="G1035" cm="1">
        <f t="array" ref="G1035">IF($Q1035&gt;=0,IFERROR(generateSalesData($D1035, IF(ISNUMBER(_xlfn.XLOOKUP($C1035,Phone_by_Sentiment!$B$2:$B$37,Phone_by_Sentiment!G$2:G$37,"",0,1)),_xlfn.XLOOKUP($C1035,Phone_by_Sentiment!$B$2:$B$37,Phone_by_Sentiment!G$2:G$37,"",0,1),0),$A1035-TEXT(DATEVALUE($D1035&amp;"-01"), "dd-mm-yyyy")),0),0)</f>
        <v>278</v>
      </c>
      <c r="H1035" cm="1">
        <f t="array" ref="H1035">IF($Q1035&gt;=0,IFERROR(generateSalesData($D1035, IF(ISNUMBER(_xlfn.XLOOKUP($C1035,Phone_by_Sentiment!$B$2:$B$37,Phone_by_Sentiment!H$2:H$37,"",0,1)),_xlfn.XLOOKUP($C1035,Phone_by_Sentiment!$B$2:$B$37,Phone_by_Sentiment!H$2:H$37,"",0,1),0),$A1035-TEXT(DATEVALUE($D1035&amp;"-01"), "dd-mm-yyyy")),0),0)</f>
        <v>218</v>
      </c>
      <c r="I1035" cm="1">
        <f t="array" ref="I1035">IF($Q1035&gt;=0,IFERROR(generateSalesData($D1035, IF(ISNUMBER(_xlfn.XLOOKUP($C1035,Phone_by_Sentiment!$B$2:$B$37,Phone_by_Sentiment!I$2:I$37,"",0,1)),_xlfn.XLOOKUP($C1035,Phone_by_Sentiment!$B$2:$B$37,Phone_by_Sentiment!I$2:I$37,"",0,1),0),$A1035-TEXT(DATEVALUE($D1035&amp;"-01"), "dd-mm-yyyy")),0),0)</f>
        <v>1128</v>
      </c>
      <c r="J1035" cm="1">
        <f t="array" ref="J1035">IF($Q1035&gt;=0,IFERROR(generateSalesData($D1035, IF(ISNUMBER(_xlfn.XLOOKUP($C1035,Phone_by_Sentiment!$B$2:$B$37,Phone_by_Sentiment!J$2:J$37,"",0,1)),_xlfn.XLOOKUP($C1035,Phone_by_Sentiment!$B$2:$B$37,Phone_by_Sentiment!J$2:J$37,"",0,1),0),$A1035-TEXT(DATEVALUE($D1035&amp;"-01"), "dd-mm-yyyy")),0),0)</f>
        <v>387</v>
      </c>
      <c r="K1035" cm="1">
        <f t="array" ref="K1035">IF($Q1035&gt;=0,IFERROR(generateSalesData($D1035, IF(ISNUMBER(_xlfn.XLOOKUP($C1035,Phone_by_Sentiment!$B$2:$B$37,Phone_by_Sentiment!K$2:K$37,"",0,1)),_xlfn.XLOOKUP($C1035,Phone_by_Sentiment!$B$2:$B$37,Phone_by_Sentiment!K$2:K$37,"",0,1),0),$A1035-TEXT(DATEVALUE($D1035&amp;"-01"), "dd-mm-yyyy")),0),0)</f>
        <v>142</v>
      </c>
      <c r="L1035" cm="1">
        <f t="array" ref="L1035">IF($Q1035&gt;=0,IFERROR(generateSalesData($D1035, IF(ISNUMBER(_xlfn.XLOOKUP($C1035,Phone_by_Sentiment!$B$2:$B$37,Phone_by_Sentiment!L$2:L$37,"",0,1)),_xlfn.XLOOKUP($C1035,Phone_by_Sentiment!$B$2:$B$37,Phone_by_Sentiment!L$2:L$37,"",0,1),0),$A1035-TEXT(DATEVALUE($D1035&amp;"-01"), "dd-mm-yyyy")),0),0)</f>
        <v>294</v>
      </c>
      <c r="M1035" cm="1">
        <f t="array" ref="M1035">IF($Q1035&gt;=0,IFERROR(generateSalesData($D1035, IF(ISNUMBER(_xlfn.XLOOKUP($C1035,Phone_by_Sentiment!$B$2:$B$37,Phone_by_Sentiment!M$2:M$37,"",0,1)),_xlfn.XLOOKUP($C1035,Phone_by_Sentiment!$B$2:$B$37,Phone_by_Sentiment!M$2:M$37,"",0,1),0),$A1035-TEXT(DATEVALUE($D1035&amp;"-01"), "dd-mm-yyyy")),0),0)</f>
        <v>2157</v>
      </c>
      <c r="N1035" cm="1">
        <f t="array" ref="N1035">IF($Q1035&gt;=0,IFERROR(generateSalesData($D1035, IF(ISNUMBER(_xlfn.XLOOKUP($C1035,Phone_by_Sentiment!$B$2:$B$37,Phone_by_Sentiment!N$2:N$37,"",0,1)),_xlfn.XLOOKUP($C1035,Phone_by_Sentiment!$B$2:$B$37,Phone_by_Sentiment!N$2:N$37,"",0,1),0),$A1035-TEXT(DATEVALUE($D1035&amp;"-01"), "dd-mm-yyyy")),0),0)</f>
        <v>3</v>
      </c>
      <c r="O1035" cm="1">
        <f t="array" ref="O1035">IF($Q1035&gt;=0,IFERROR(generateSalesData($D1035, IF(ISNUMBER(_xlfn.XLOOKUP($C1035,Phone_by_Sentiment!$B$2:$B$37,Phone_by_Sentiment!O$2:O$37,"",0,1)),_xlfn.XLOOKUP($C1035,Phone_by_Sentiment!$B$2:$B$37,Phone_by_Sentiment!O$2:O$37,"",0,1),0),$A1035-TEXT(DATEVALUE($D1035&amp;"-01"), "dd-mm-yyyy")),0),0)</f>
        <v>521</v>
      </c>
      <c r="P1035" s="1">
        <f t="shared" si="43"/>
        <v>44136</v>
      </c>
      <c r="Q1035">
        <f t="shared" si="44"/>
        <v>212</v>
      </c>
    </row>
    <row r="1036" spans="1:17" x14ac:dyDescent="0.25">
      <c r="A1036" s="1">
        <f t="shared" si="45"/>
        <v>44348</v>
      </c>
      <c r="B1036" t="s">
        <v>152</v>
      </c>
      <c r="C1036" t="str">
        <f>_xlfn.XLOOKUP(B1036,Phone_by_Price!$A$2:$A$34,Phone_by_Price!$B$2:$B$34,"-",0,1)</f>
        <v>Huawei Nova 7i</v>
      </c>
      <c r="D1036" t="str">
        <f>_xlfn.XLOOKUP(C1036,Phone_by_Sentiment!$B$2:$B$37,Phone_by_Sentiment!$A$2:$A$37,"-",0,1)</f>
        <v>2020-02</v>
      </c>
      <c r="E1036" cm="1">
        <f t="array" ref="E1036">IF($Q1036&gt;=0,IFERROR(generateSalesData($D1036, IF(ISNUMBER(_xlfn.XLOOKUP($C1036,Phone_by_Sentiment!$B$2:$B$37,Phone_by_Sentiment!E$2:E$37,"",0,1)),_xlfn.XLOOKUP($C1036,Phone_by_Sentiment!$B$2:$B$37,Phone_by_Sentiment!E$2:E$37,"",0,1),0),$A1036-TEXT(DATEVALUE($D1036&amp;"-01"), "dd-mm-yyyy")),0),0)</f>
        <v>133</v>
      </c>
      <c r="F1036" cm="1">
        <f t="array" ref="F1036">IF($Q1036&gt;=0,IFERROR(generateSalesData($D1036, IF(ISNUMBER(_xlfn.XLOOKUP($C1036,Phone_by_Sentiment!$B$2:$B$37,Phone_by_Sentiment!F$2:F$37,"",0,1)),_xlfn.XLOOKUP($C1036,Phone_by_Sentiment!$B$2:$B$37,Phone_by_Sentiment!F$2:F$37,"",0,1),0),$A1036-TEXT(DATEVALUE($D1036&amp;"-01"), "dd-mm-yyyy")),0),0)</f>
        <v>127</v>
      </c>
      <c r="G1036" cm="1">
        <f t="array" ref="G1036">IF($Q1036&gt;=0,IFERROR(generateSalesData($D1036, IF(ISNUMBER(_xlfn.XLOOKUP($C1036,Phone_by_Sentiment!$B$2:$B$37,Phone_by_Sentiment!G$2:G$37,"",0,1)),_xlfn.XLOOKUP($C1036,Phone_by_Sentiment!$B$2:$B$37,Phone_by_Sentiment!G$2:G$37,"",0,1),0),$A1036-TEXT(DATEVALUE($D1036&amp;"-01"), "dd-mm-yyyy")),0),0)</f>
        <v>35</v>
      </c>
      <c r="H1036" cm="1">
        <f t="array" ref="H1036">IF($Q1036&gt;=0,IFERROR(generateSalesData($D1036, IF(ISNUMBER(_xlfn.XLOOKUP($C1036,Phone_by_Sentiment!$B$2:$B$37,Phone_by_Sentiment!H$2:H$37,"",0,1)),_xlfn.XLOOKUP($C1036,Phone_by_Sentiment!$B$2:$B$37,Phone_by_Sentiment!H$2:H$37,"",0,1),0),$A1036-TEXT(DATEVALUE($D1036&amp;"-01"), "dd-mm-yyyy")),0),0)</f>
        <v>534</v>
      </c>
      <c r="I1036" cm="1">
        <f t="array" ref="I1036">IF($Q1036&gt;=0,IFERROR(generateSalesData($D1036, IF(ISNUMBER(_xlfn.XLOOKUP($C1036,Phone_by_Sentiment!$B$2:$B$37,Phone_by_Sentiment!I$2:I$37,"",0,1)),_xlfn.XLOOKUP($C1036,Phone_by_Sentiment!$B$2:$B$37,Phone_by_Sentiment!I$2:I$37,"",0,1),0),$A1036-TEXT(DATEVALUE($D1036&amp;"-01"), "dd-mm-yyyy")),0),0)</f>
        <v>83</v>
      </c>
      <c r="J1036" cm="1">
        <f t="array" ref="J1036">IF($Q1036&gt;=0,IFERROR(generateSalesData($D1036, IF(ISNUMBER(_xlfn.XLOOKUP($C1036,Phone_by_Sentiment!$B$2:$B$37,Phone_by_Sentiment!J$2:J$37,"",0,1)),_xlfn.XLOOKUP($C1036,Phone_by_Sentiment!$B$2:$B$37,Phone_by_Sentiment!J$2:J$37,"",0,1),0),$A1036-TEXT(DATEVALUE($D1036&amp;"-01"), "dd-mm-yyyy")),0),0)</f>
        <v>127</v>
      </c>
      <c r="K1036" cm="1">
        <f t="array" ref="K1036">IF($Q1036&gt;=0,IFERROR(generateSalesData($D1036, IF(ISNUMBER(_xlfn.XLOOKUP($C1036,Phone_by_Sentiment!$B$2:$B$37,Phone_by_Sentiment!K$2:K$37,"",0,1)),_xlfn.XLOOKUP($C1036,Phone_by_Sentiment!$B$2:$B$37,Phone_by_Sentiment!K$2:K$37,"",0,1),0),$A1036-TEXT(DATEVALUE($D1036&amp;"-01"), "dd-mm-yyyy")),0),0)</f>
        <v>59</v>
      </c>
      <c r="L1036" cm="1">
        <f t="array" ref="L1036">IF($Q1036&gt;=0,IFERROR(generateSalesData($D1036, IF(ISNUMBER(_xlfn.XLOOKUP($C1036,Phone_by_Sentiment!$B$2:$B$37,Phone_by_Sentiment!L$2:L$37,"",0,1)),_xlfn.XLOOKUP($C1036,Phone_by_Sentiment!$B$2:$B$37,Phone_by_Sentiment!L$2:L$37,"",0,1),0),$A1036-TEXT(DATEVALUE($D1036&amp;"-01"), "dd-mm-yyyy")),0),0)</f>
        <v>73</v>
      </c>
      <c r="M1036" cm="1">
        <f t="array" ref="M1036">IF($Q1036&gt;=0,IFERROR(generateSalesData($D1036, IF(ISNUMBER(_xlfn.XLOOKUP($C1036,Phone_by_Sentiment!$B$2:$B$37,Phone_by_Sentiment!M$2:M$37,"",0,1)),_xlfn.XLOOKUP($C1036,Phone_by_Sentiment!$B$2:$B$37,Phone_by_Sentiment!M$2:M$37,"",0,1),0),$A1036-TEXT(DATEVALUE($D1036&amp;"-01"), "dd-mm-yyyy")),0),0)</f>
        <v>120</v>
      </c>
      <c r="N1036" cm="1">
        <f t="array" ref="N1036">IF($Q1036&gt;=0,IFERROR(generateSalesData($D1036, IF(ISNUMBER(_xlfn.XLOOKUP($C1036,Phone_by_Sentiment!$B$2:$B$37,Phone_by_Sentiment!N$2:N$37,"",0,1)),_xlfn.XLOOKUP($C1036,Phone_by_Sentiment!$B$2:$B$37,Phone_by_Sentiment!N$2:N$37,"",0,1),0),$A1036-TEXT(DATEVALUE($D1036&amp;"-01"), "dd-mm-yyyy")),0),0)</f>
        <v>96</v>
      </c>
      <c r="O1036" cm="1">
        <f t="array" ref="O1036">IF($Q1036&gt;=0,IFERROR(generateSalesData($D1036, IF(ISNUMBER(_xlfn.XLOOKUP($C1036,Phone_by_Sentiment!$B$2:$B$37,Phone_by_Sentiment!O$2:O$37,"",0,1)),_xlfn.XLOOKUP($C1036,Phone_by_Sentiment!$B$2:$B$37,Phone_by_Sentiment!O$2:O$37,"",0,1),0),$A1036-TEXT(DATEVALUE($D1036&amp;"-01"), "dd-mm-yyyy")),0),0)</f>
        <v>93</v>
      </c>
      <c r="P1036" s="1">
        <f t="shared" si="43"/>
        <v>43862</v>
      </c>
      <c r="Q1036">
        <f t="shared" si="44"/>
        <v>486</v>
      </c>
    </row>
    <row r="1037" spans="1:17" x14ac:dyDescent="0.25">
      <c r="A1037" s="1">
        <f t="shared" si="45"/>
        <v>44348</v>
      </c>
      <c r="B1037" t="s">
        <v>153</v>
      </c>
      <c r="C1037" t="str">
        <f>_xlfn.XLOOKUP(B1037,Phone_by_Price!$A$2:$A$34,Phone_by_Price!$B$2:$B$34,"-",0,1)</f>
        <v>iPhone 13</v>
      </c>
      <c r="D1037" t="str">
        <f>_xlfn.XLOOKUP(C1037,Phone_by_Sentiment!$B$2:$B$37,Phone_by_Sentiment!$A$2:$A$37,"-",0,1)</f>
        <v>2021-09</v>
      </c>
      <c r="E1037" cm="1">
        <f t="array" ref="E1037">IF($Q1037&gt;=0,IFERROR(generateSalesData($D1037, IF(ISNUMBER(_xlfn.XLOOKUP($C1037,Phone_by_Sentiment!$B$2:$B$37,Phone_by_Sentiment!E$2:E$37,"",0,1)),_xlfn.XLOOKUP($C1037,Phone_by_Sentiment!$B$2:$B$37,Phone_by_Sentiment!E$2:E$37,"",0,1),0),$A1037-TEXT(DATEVALUE($D1037&amp;"-01"), "dd-mm-yyyy")),0),0)</f>
        <v>0</v>
      </c>
      <c r="F1037" cm="1">
        <f t="array" ref="F1037">IF($Q1037&gt;=0,IFERROR(generateSalesData($D1037, IF(ISNUMBER(_xlfn.XLOOKUP($C1037,Phone_by_Sentiment!$B$2:$B$37,Phone_by_Sentiment!F$2:F$37,"",0,1)),_xlfn.XLOOKUP($C1037,Phone_by_Sentiment!$B$2:$B$37,Phone_by_Sentiment!F$2:F$37,"",0,1),0),$A1037-TEXT(DATEVALUE($D1037&amp;"-01"), "dd-mm-yyyy")),0),0)</f>
        <v>0</v>
      </c>
      <c r="G1037" cm="1">
        <f t="array" ref="G1037">IF($Q1037&gt;=0,IFERROR(generateSalesData($D1037, IF(ISNUMBER(_xlfn.XLOOKUP($C1037,Phone_by_Sentiment!$B$2:$B$37,Phone_by_Sentiment!G$2:G$37,"",0,1)),_xlfn.XLOOKUP($C1037,Phone_by_Sentiment!$B$2:$B$37,Phone_by_Sentiment!G$2:G$37,"",0,1),0),$A1037-TEXT(DATEVALUE($D1037&amp;"-01"), "dd-mm-yyyy")),0),0)</f>
        <v>0</v>
      </c>
      <c r="H1037" cm="1">
        <f t="array" ref="H1037">IF($Q1037&gt;=0,IFERROR(generateSalesData($D1037, IF(ISNUMBER(_xlfn.XLOOKUP($C1037,Phone_by_Sentiment!$B$2:$B$37,Phone_by_Sentiment!H$2:H$37,"",0,1)),_xlfn.XLOOKUP($C1037,Phone_by_Sentiment!$B$2:$B$37,Phone_by_Sentiment!H$2:H$37,"",0,1),0),$A1037-TEXT(DATEVALUE($D1037&amp;"-01"), "dd-mm-yyyy")),0),0)</f>
        <v>0</v>
      </c>
      <c r="I1037" cm="1">
        <f t="array" ref="I1037">IF($Q1037&gt;=0,IFERROR(generateSalesData($D1037, IF(ISNUMBER(_xlfn.XLOOKUP($C1037,Phone_by_Sentiment!$B$2:$B$37,Phone_by_Sentiment!I$2:I$37,"",0,1)),_xlfn.XLOOKUP($C1037,Phone_by_Sentiment!$B$2:$B$37,Phone_by_Sentiment!I$2:I$37,"",0,1),0),$A1037-TEXT(DATEVALUE($D1037&amp;"-01"), "dd-mm-yyyy")),0),0)</f>
        <v>0</v>
      </c>
      <c r="J1037" cm="1">
        <f t="array" ref="J1037">IF($Q1037&gt;=0,IFERROR(generateSalesData($D1037, IF(ISNUMBER(_xlfn.XLOOKUP($C1037,Phone_by_Sentiment!$B$2:$B$37,Phone_by_Sentiment!J$2:J$37,"",0,1)),_xlfn.XLOOKUP($C1037,Phone_by_Sentiment!$B$2:$B$37,Phone_by_Sentiment!J$2:J$37,"",0,1),0),$A1037-TEXT(DATEVALUE($D1037&amp;"-01"), "dd-mm-yyyy")),0),0)</f>
        <v>0</v>
      </c>
      <c r="K1037" cm="1">
        <f t="array" ref="K1037">IF($Q1037&gt;=0,IFERROR(generateSalesData($D1037, IF(ISNUMBER(_xlfn.XLOOKUP($C1037,Phone_by_Sentiment!$B$2:$B$37,Phone_by_Sentiment!K$2:K$37,"",0,1)),_xlfn.XLOOKUP($C1037,Phone_by_Sentiment!$B$2:$B$37,Phone_by_Sentiment!K$2:K$37,"",0,1),0),$A1037-TEXT(DATEVALUE($D1037&amp;"-01"), "dd-mm-yyyy")),0),0)</f>
        <v>0</v>
      </c>
      <c r="L1037" cm="1">
        <f t="array" ref="L1037">IF($Q1037&gt;=0,IFERROR(generateSalesData($D1037, IF(ISNUMBER(_xlfn.XLOOKUP($C1037,Phone_by_Sentiment!$B$2:$B$37,Phone_by_Sentiment!L$2:L$37,"",0,1)),_xlfn.XLOOKUP($C1037,Phone_by_Sentiment!$B$2:$B$37,Phone_by_Sentiment!L$2:L$37,"",0,1),0),$A1037-TEXT(DATEVALUE($D1037&amp;"-01"), "dd-mm-yyyy")),0),0)</f>
        <v>0</v>
      </c>
      <c r="M1037" cm="1">
        <f t="array" ref="M1037">IF($Q1037&gt;=0,IFERROR(generateSalesData($D1037, IF(ISNUMBER(_xlfn.XLOOKUP($C1037,Phone_by_Sentiment!$B$2:$B$37,Phone_by_Sentiment!M$2:M$37,"",0,1)),_xlfn.XLOOKUP($C1037,Phone_by_Sentiment!$B$2:$B$37,Phone_by_Sentiment!M$2:M$37,"",0,1),0),$A1037-TEXT(DATEVALUE($D1037&amp;"-01"), "dd-mm-yyyy")),0),0)</f>
        <v>0</v>
      </c>
      <c r="N1037" cm="1">
        <f t="array" ref="N1037">IF($Q1037&gt;=0,IFERROR(generateSalesData($D1037, IF(ISNUMBER(_xlfn.XLOOKUP($C1037,Phone_by_Sentiment!$B$2:$B$37,Phone_by_Sentiment!N$2:N$37,"",0,1)),_xlfn.XLOOKUP($C1037,Phone_by_Sentiment!$B$2:$B$37,Phone_by_Sentiment!N$2:N$37,"",0,1),0),$A1037-TEXT(DATEVALUE($D1037&amp;"-01"), "dd-mm-yyyy")),0),0)</f>
        <v>0</v>
      </c>
      <c r="O1037" cm="1">
        <f t="array" ref="O1037">IF($Q1037&gt;=0,IFERROR(generateSalesData($D1037, IF(ISNUMBER(_xlfn.XLOOKUP($C1037,Phone_by_Sentiment!$B$2:$B$37,Phone_by_Sentiment!O$2:O$37,"",0,1)),_xlfn.XLOOKUP($C1037,Phone_by_Sentiment!$B$2:$B$37,Phone_by_Sentiment!O$2:O$37,"",0,1),0),$A1037-TEXT(DATEVALUE($D1037&amp;"-01"), "dd-mm-yyyy")),0),0)</f>
        <v>0</v>
      </c>
      <c r="P1037" s="1">
        <f t="shared" si="43"/>
        <v>44440</v>
      </c>
      <c r="Q1037">
        <f t="shared" si="44"/>
        <v>-92</v>
      </c>
    </row>
    <row r="1038" spans="1:17" x14ac:dyDescent="0.25">
      <c r="A1038" s="1">
        <f t="shared" si="45"/>
        <v>44348</v>
      </c>
      <c r="B1038" t="s">
        <v>154</v>
      </c>
      <c r="C1038" t="str">
        <f>_xlfn.XLOOKUP(B1038,Phone_by_Price!$A$2:$A$34,Phone_by_Price!$B$2:$B$34,"-",0,1)</f>
        <v>Samsung Galaxy S21</v>
      </c>
      <c r="D1038" t="str">
        <f>_xlfn.XLOOKUP(C1038,Phone_by_Sentiment!$B$2:$B$37,Phone_by_Sentiment!$A$2:$A$37,"-",0,1)</f>
        <v>2021-01</v>
      </c>
      <c r="E1038" cm="1">
        <f t="array" ref="E1038">IF($Q1038&gt;=0,IFERROR(generateSalesData($D1038, IF(ISNUMBER(_xlfn.XLOOKUP($C1038,Phone_by_Sentiment!$B$2:$B$37,Phone_by_Sentiment!E$2:E$37,"",0,1)),_xlfn.XLOOKUP($C1038,Phone_by_Sentiment!$B$2:$B$37,Phone_by_Sentiment!E$2:E$37,"",0,1),0),$A1038-TEXT(DATEVALUE($D1038&amp;"-01"), "dd-mm-yyyy")),0),0)</f>
        <v>1784</v>
      </c>
      <c r="F1038" cm="1">
        <f t="array" ref="F1038">IF($Q1038&gt;=0,IFERROR(generateSalesData($D1038, IF(ISNUMBER(_xlfn.XLOOKUP($C1038,Phone_by_Sentiment!$B$2:$B$37,Phone_by_Sentiment!F$2:F$37,"",0,1)),_xlfn.XLOOKUP($C1038,Phone_by_Sentiment!$B$2:$B$37,Phone_by_Sentiment!F$2:F$37,"",0,1),0),$A1038-TEXT(DATEVALUE($D1038&amp;"-01"), "dd-mm-yyyy")),0),0)</f>
        <v>1774</v>
      </c>
      <c r="G1038" cm="1">
        <f t="array" ref="G1038">IF($Q1038&gt;=0,IFERROR(generateSalesData($D1038, IF(ISNUMBER(_xlfn.XLOOKUP($C1038,Phone_by_Sentiment!$B$2:$B$37,Phone_by_Sentiment!G$2:G$37,"",0,1)),_xlfn.XLOOKUP($C1038,Phone_by_Sentiment!$B$2:$B$37,Phone_by_Sentiment!G$2:G$37,"",0,1),0),$A1038-TEXT(DATEVALUE($D1038&amp;"-01"), "dd-mm-yyyy")),0),0)</f>
        <v>529</v>
      </c>
      <c r="H1038" cm="1">
        <f t="array" ref="H1038">IF($Q1038&gt;=0,IFERROR(generateSalesData($D1038, IF(ISNUMBER(_xlfn.XLOOKUP($C1038,Phone_by_Sentiment!$B$2:$B$37,Phone_by_Sentiment!H$2:H$37,"",0,1)),_xlfn.XLOOKUP($C1038,Phone_by_Sentiment!$B$2:$B$37,Phone_by_Sentiment!H$2:H$37,"",0,1),0),$A1038-TEXT(DATEVALUE($D1038&amp;"-01"), "dd-mm-yyyy")),0),0)</f>
        <v>1880</v>
      </c>
      <c r="I1038" cm="1">
        <f t="array" ref="I1038">IF($Q1038&gt;=0,IFERROR(generateSalesData($D1038, IF(ISNUMBER(_xlfn.XLOOKUP($C1038,Phone_by_Sentiment!$B$2:$B$37,Phone_by_Sentiment!I$2:I$37,"",0,1)),_xlfn.XLOOKUP($C1038,Phone_by_Sentiment!$B$2:$B$37,Phone_by_Sentiment!I$2:I$37,"",0,1),0),$A1038-TEXT(DATEVALUE($D1038&amp;"-01"), "dd-mm-yyyy")),0),0)</f>
        <v>1867</v>
      </c>
      <c r="J1038" cm="1">
        <f t="array" ref="J1038">IF($Q1038&gt;=0,IFERROR(generateSalesData($D1038, IF(ISNUMBER(_xlfn.XLOOKUP($C1038,Phone_by_Sentiment!$B$2:$B$37,Phone_by_Sentiment!J$2:J$37,"",0,1)),_xlfn.XLOOKUP($C1038,Phone_by_Sentiment!$B$2:$B$37,Phone_by_Sentiment!J$2:J$37,"",0,1),0),$A1038-TEXT(DATEVALUE($D1038&amp;"-01"), "dd-mm-yyyy")),0),0)</f>
        <v>59</v>
      </c>
      <c r="K1038" cm="1">
        <f t="array" ref="K1038">IF($Q1038&gt;=0,IFERROR(generateSalesData($D1038, IF(ISNUMBER(_xlfn.XLOOKUP($C1038,Phone_by_Sentiment!$B$2:$B$37,Phone_by_Sentiment!K$2:K$37,"",0,1)),_xlfn.XLOOKUP($C1038,Phone_by_Sentiment!$B$2:$B$37,Phone_by_Sentiment!K$2:K$37,"",0,1),0),$A1038-TEXT(DATEVALUE($D1038&amp;"-01"), "dd-mm-yyyy")),0),0)</f>
        <v>329</v>
      </c>
      <c r="L1038" cm="1">
        <f t="array" ref="L1038">IF($Q1038&gt;=0,IFERROR(generateSalesData($D1038, IF(ISNUMBER(_xlfn.XLOOKUP($C1038,Phone_by_Sentiment!$B$2:$B$37,Phone_by_Sentiment!L$2:L$37,"",0,1)),_xlfn.XLOOKUP($C1038,Phone_by_Sentiment!$B$2:$B$37,Phone_by_Sentiment!L$2:L$37,"",0,1),0),$A1038-TEXT(DATEVALUE($D1038&amp;"-01"), "dd-mm-yyyy")),0),0)</f>
        <v>-524</v>
      </c>
      <c r="M1038" cm="1">
        <f t="array" ref="M1038">IF($Q1038&gt;=0,IFERROR(generateSalesData($D1038, IF(ISNUMBER(_xlfn.XLOOKUP($C1038,Phone_by_Sentiment!$B$2:$B$37,Phone_by_Sentiment!M$2:M$37,"",0,1)),_xlfn.XLOOKUP($C1038,Phone_by_Sentiment!$B$2:$B$37,Phone_by_Sentiment!M$2:M$37,"",0,1),0),$A1038-TEXT(DATEVALUE($D1038&amp;"-01"), "dd-mm-yyyy")),0),0)</f>
        <v>1322</v>
      </c>
      <c r="N1038" cm="1">
        <f t="array" ref="N1038">IF($Q1038&gt;=0,IFERROR(generateSalesData($D1038, IF(ISNUMBER(_xlfn.XLOOKUP($C1038,Phone_by_Sentiment!$B$2:$B$37,Phone_by_Sentiment!N$2:N$37,"",0,1)),_xlfn.XLOOKUP($C1038,Phone_by_Sentiment!$B$2:$B$37,Phone_by_Sentiment!N$2:N$37,"",0,1),0),$A1038-TEXT(DATEVALUE($D1038&amp;"-01"), "dd-mm-yyyy")),0),0)</f>
        <v>1480</v>
      </c>
      <c r="O1038" cm="1">
        <f t="array" ref="O1038">IF($Q1038&gt;=0,IFERROR(generateSalesData($D1038, IF(ISNUMBER(_xlfn.XLOOKUP($C1038,Phone_by_Sentiment!$B$2:$B$37,Phone_by_Sentiment!O$2:O$37,"",0,1)),_xlfn.XLOOKUP($C1038,Phone_by_Sentiment!$B$2:$B$37,Phone_by_Sentiment!O$2:O$37,"",0,1),0),$A1038-TEXT(DATEVALUE($D1038&amp;"-01"), "dd-mm-yyyy")),0),0)</f>
        <v>1830</v>
      </c>
      <c r="P1038" s="1">
        <f t="shared" si="43"/>
        <v>44197</v>
      </c>
      <c r="Q1038">
        <f t="shared" si="44"/>
        <v>151</v>
      </c>
    </row>
    <row r="1039" spans="1:17" x14ac:dyDescent="0.25">
      <c r="A1039" s="1">
        <f t="shared" si="45"/>
        <v>44348</v>
      </c>
      <c r="B1039" t="s">
        <v>155</v>
      </c>
      <c r="C1039" t="str">
        <f>_xlfn.XLOOKUP(B1039,Phone_by_Price!$A$2:$A$34,Phone_by_Price!$B$2:$B$34,"-",0,1)</f>
        <v>Google Pixel 6</v>
      </c>
      <c r="D1039" t="str">
        <f>_xlfn.XLOOKUP(C1039,Phone_by_Sentiment!$B$2:$B$37,Phone_by_Sentiment!$A$2:$A$37,"-",0,1)</f>
        <v>2021-10</v>
      </c>
      <c r="E1039" cm="1">
        <f t="array" ref="E1039">IF($Q1039&gt;=0,IFERROR(generateSalesData($D1039, IF(ISNUMBER(_xlfn.XLOOKUP($C1039,Phone_by_Sentiment!$B$2:$B$37,Phone_by_Sentiment!E$2:E$37,"",0,1)),_xlfn.XLOOKUP($C1039,Phone_by_Sentiment!$B$2:$B$37,Phone_by_Sentiment!E$2:E$37,"",0,1),0),$A1039-TEXT(DATEVALUE($D1039&amp;"-01"), "dd-mm-yyyy")),0),0)</f>
        <v>0</v>
      </c>
      <c r="F1039" cm="1">
        <f t="array" ref="F1039">IF($Q1039&gt;=0,IFERROR(generateSalesData($D1039, IF(ISNUMBER(_xlfn.XLOOKUP($C1039,Phone_by_Sentiment!$B$2:$B$37,Phone_by_Sentiment!F$2:F$37,"",0,1)),_xlfn.XLOOKUP($C1039,Phone_by_Sentiment!$B$2:$B$37,Phone_by_Sentiment!F$2:F$37,"",0,1),0),$A1039-TEXT(DATEVALUE($D1039&amp;"-01"), "dd-mm-yyyy")),0),0)</f>
        <v>0</v>
      </c>
      <c r="G1039" cm="1">
        <f t="array" ref="G1039">IF($Q1039&gt;=0,IFERROR(generateSalesData($D1039, IF(ISNUMBER(_xlfn.XLOOKUP($C1039,Phone_by_Sentiment!$B$2:$B$37,Phone_by_Sentiment!G$2:G$37,"",0,1)),_xlfn.XLOOKUP($C1039,Phone_by_Sentiment!$B$2:$B$37,Phone_by_Sentiment!G$2:G$37,"",0,1),0),$A1039-TEXT(DATEVALUE($D1039&amp;"-01"), "dd-mm-yyyy")),0),0)</f>
        <v>0</v>
      </c>
      <c r="H1039" cm="1">
        <f t="array" ref="H1039">IF($Q1039&gt;=0,IFERROR(generateSalesData($D1039, IF(ISNUMBER(_xlfn.XLOOKUP($C1039,Phone_by_Sentiment!$B$2:$B$37,Phone_by_Sentiment!H$2:H$37,"",0,1)),_xlfn.XLOOKUP($C1039,Phone_by_Sentiment!$B$2:$B$37,Phone_by_Sentiment!H$2:H$37,"",0,1),0),$A1039-TEXT(DATEVALUE($D1039&amp;"-01"), "dd-mm-yyyy")),0),0)</f>
        <v>0</v>
      </c>
      <c r="I1039" cm="1">
        <f t="array" ref="I1039">IF($Q1039&gt;=0,IFERROR(generateSalesData($D1039, IF(ISNUMBER(_xlfn.XLOOKUP($C1039,Phone_by_Sentiment!$B$2:$B$37,Phone_by_Sentiment!I$2:I$37,"",0,1)),_xlfn.XLOOKUP($C1039,Phone_by_Sentiment!$B$2:$B$37,Phone_by_Sentiment!I$2:I$37,"",0,1),0),$A1039-TEXT(DATEVALUE($D1039&amp;"-01"), "dd-mm-yyyy")),0),0)</f>
        <v>0</v>
      </c>
      <c r="J1039" cm="1">
        <f t="array" ref="J1039">IF($Q1039&gt;=0,IFERROR(generateSalesData($D1039, IF(ISNUMBER(_xlfn.XLOOKUP($C1039,Phone_by_Sentiment!$B$2:$B$37,Phone_by_Sentiment!J$2:J$37,"",0,1)),_xlfn.XLOOKUP($C1039,Phone_by_Sentiment!$B$2:$B$37,Phone_by_Sentiment!J$2:J$37,"",0,1),0),$A1039-TEXT(DATEVALUE($D1039&amp;"-01"), "dd-mm-yyyy")),0),0)</f>
        <v>0</v>
      </c>
      <c r="K1039" cm="1">
        <f t="array" ref="K1039">IF($Q1039&gt;=0,IFERROR(generateSalesData($D1039, IF(ISNUMBER(_xlfn.XLOOKUP($C1039,Phone_by_Sentiment!$B$2:$B$37,Phone_by_Sentiment!K$2:K$37,"",0,1)),_xlfn.XLOOKUP($C1039,Phone_by_Sentiment!$B$2:$B$37,Phone_by_Sentiment!K$2:K$37,"",0,1),0),$A1039-TEXT(DATEVALUE($D1039&amp;"-01"), "dd-mm-yyyy")),0),0)</f>
        <v>0</v>
      </c>
      <c r="L1039" cm="1">
        <f t="array" ref="L1039">IF($Q1039&gt;=0,IFERROR(generateSalesData($D1039, IF(ISNUMBER(_xlfn.XLOOKUP($C1039,Phone_by_Sentiment!$B$2:$B$37,Phone_by_Sentiment!L$2:L$37,"",0,1)),_xlfn.XLOOKUP($C1039,Phone_by_Sentiment!$B$2:$B$37,Phone_by_Sentiment!L$2:L$37,"",0,1),0),$A1039-TEXT(DATEVALUE($D1039&amp;"-01"), "dd-mm-yyyy")),0),0)</f>
        <v>0</v>
      </c>
      <c r="M1039" cm="1">
        <f t="array" ref="M1039">IF($Q1039&gt;=0,IFERROR(generateSalesData($D1039, IF(ISNUMBER(_xlfn.XLOOKUP($C1039,Phone_by_Sentiment!$B$2:$B$37,Phone_by_Sentiment!M$2:M$37,"",0,1)),_xlfn.XLOOKUP($C1039,Phone_by_Sentiment!$B$2:$B$37,Phone_by_Sentiment!M$2:M$37,"",0,1),0),$A1039-TEXT(DATEVALUE($D1039&amp;"-01"), "dd-mm-yyyy")),0),0)</f>
        <v>0</v>
      </c>
      <c r="N1039" cm="1">
        <f t="array" ref="N1039">IF($Q1039&gt;=0,IFERROR(generateSalesData($D1039, IF(ISNUMBER(_xlfn.XLOOKUP($C1039,Phone_by_Sentiment!$B$2:$B$37,Phone_by_Sentiment!N$2:N$37,"",0,1)),_xlfn.XLOOKUP($C1039,Phone_by_Sentiment!$B$2:$B$37,Phone_by_Sentiment!N$2:N$37,"",0,1),0),$A1039-TEXT(DATEVALUE($D1039&amp;"-01"), "dd-mm-yyyy")),0),0)</f>
        <v>0</v>
      </c>
      <c r="O1039" cm="1">
        <f t="array" ref="O1039">IF($Q1039&gt;=0,IFERROR(generateSalesData($D1039, IF(ISNUMBER(_xlfn.XLOOKUP($C1039,Phone_by_Sentiment!$B$2:$B$37,Phone_by_Sentiment!O$2:O$37,"",0,1)),_xlfn.XLOOKUP($C1039,Phone_by_Sentiment!$B$2:$B$37,Phone_by_Sentiment!O$2:O$37,"",0,1),0),$A1039-TEXT(DATEVALUE($D1039&amp;"-01"), "dd-mm-yyyy")),0),0)</f>
        <v>0</v>
      </c>
      <c r="P1039" s="1">
        <f t="shared" si="43"/>
        <v>44470</v>
      </c>
      <c r="Q1039">
        <f t="shared" si="44"/>
        <v>-122</v>
      </c>
    </row>
    <row r="1040" spans="1:17" x14ac:dyDescent="0.25">
      <c r="A1040" s="1">
        <f t="shared" si="45"/>
        <v>44348</v>
      </c>
      <c r="B1040" t="s">
        <v>156</v>
      </c>
      <c r="C1040" t="str">
        <f>_xlfn.XLOOKUP(B1040,Phone_by_Price!$A$2:$A$34,Phone_by_Price!$B$2:$B$34,"-",0,1)</f>
        <v>OnePlus Nord CE</v>
      </c>
      <c r="D1040" t="str">
        <f>_xlfn.XLOOKUP(C1040,Phone_by_Sentiment!$B$2:$B$37,Phone_by_Sentiment!$A$2:$A$37,"-",0,1)</f>
        <v>2021-06</v>
      </c>
      <c r="E1040" cm="1">
        <f t="array" ref="E1040">IF($Q1040&gt;=0,IFERROR(generateSalesData($D1040, IF(ISNUMBER(_xlfn.XLOOKUP($C1040,Phone_by_Sentiment!$B$2:$B$37,Phone_by_Sentiment!E$2:E$37,"",0,1)),_xlfn.XLOOKUP($C1040,Phone_by_Sentiment!$B$2:$B$37,Phone_by_Sentiment!E$2:E$37,"",0,1),0),$A1040-TEXT(DATEVALUE($D1040&amp;"-01"), "dd-mm-yyyy")),0),0)</f>
        <v>1047</v>
      </c>
      <c r="F1040" cm="1">
        <f t="array" ref="F1040">IF($Q1040&gt;=0,IFERROR(generateSalesData($D1040, IF(ISNUMBER(_xlfn.XLOOKUP($C1040,Phone_by_Sentiment!$B$2:$B$37,Phone_by_Sentiment!F$2:F$37,"",0,1)),_xlfn.XLOOKUP($C1040,Phone_by_Sentiment!$B$2:$B$37,Phone_by_Sentiment!F$2:F$37,"",0,1),0),$A1040-TEXT(DATEVALUE($D1040&amp;"-01"), "dd-mm-yyyy")),0),0)</f>
        <v>984</v>
      </c>
      <c r="G1040" cm="1">
        <f t="array" ref="G1040">IF($Q1040&gt;=0,IFERROR(generateSalesData($D1040, IF(ISNUMBER(_xlfn.XLOOKUP($C1040,Phone_by_Sentiment!$B$2:$B$37,Phone_by_Sentiment!G$2:G$37,"",0,1)),_xlfn.XLOOKUP($C1040,Phone_by_Sentiment!$B$2:$B$37,Phone_by_Sentiment!G$2:G$37,"",0,1),0),$A1040-TEXT(DATEVALUE($D1040&amp;"-01"), "dd-mm-yyyy")),0),0)</f>
        <v>1053</v>
      </c>
      <c r="H1040" cm="1">
        <f t="array" ref="H1040">IF($Q1040&gt;=0,IFERROR(generateSalesData($D1040, IF(ISNUMBER(_xlfn.XLOOKUP($C1040,Phone_by_Sentiment!$B$2:$B$37,Phone_by_Sentiment!H$2:H$37,"",0,1)),_xlfn.XLOOKUP($C1040,Phone_by_Sentiment!$B$2:$B$37,Phone_by_Sentiment!H$2:H$37,"",0,1),0),$A1040-TEXT(DATEVALUE($D1040&amp;"-01"), "dd-mm-yyyy")),0),0)</f>
        <v>8501</v>
      </c>
      <c r="I1040" cm="1">
        <f t="array" ref="I1040">IF($Q1040&gt;=0,IFERROR(generateSalesData($D1040, IF(ISNUMBER(_xlfn.XLOOKUP($C1040,Phone_by_Sentiment!$B$2:$B$37,Phone_by_Sentiment!I$2:I$37,"",0,1)),_xlfn.XLOOKUP($C1040,Phone_by_Sentiment!$B$2:$B$37,Phone_by_Sentiment!I$2:I$37,"",0,1),0),$A1040-TEXT(DATEVALUE($D1040&amp;"-01"), "dd-mm-yyyy")),0),0)</f>
        <v>1683</v>
      </c>
      <c r="J1040" cm="1">
        <f t="array" ref="J1040">IF($Q1040&gt;=0,IFERROR(generateSalesData($D1040, IF(ISNUMBER(_xlfn.XLOOKUP($C1040,Phone_by_Sentiment!$B$2:$B$37,Phone_by_Sentiment!J$2:J$37,"",0,1)),_xlfn.XLOOKUP($C1040,Phone_by_Sentiment!$B$2:$B$37,Phone_by_Sentiment!J$2:J$37,"",0,1),0),$A1040-TEXT(DATEVALUE($D1040&amp;"-01"), "dd-mm-yyyy")),0),0)</f>
        <v>2175</v>
      </c>
      <c r="K1040" cm="1">
        <f t="array" ref="K1040">IF($Q1040&gt;=0,IFERROR(generateSalesData($D1040, IF(ISNUMBER(_xlfn.XLOOKUP($C1040,Phone_by_Sentiment!$B$2:$B$37,Phone_by_Sentiment!K$2:K$37,"",0,1)),_xlfn.XLOOKUP($C1040,Phone_by_Sentiment!$B$2:$B$37,Phone_by_Sentiment!K$2:K$37,"",0,1),0),$A1040-TEXT(DATEVALUE($D1040&amp;"-01"), "dd-mm-yyyy")),0),0)</f>
        <v>445</v>
      </c>
      <c r="L1040" cm="1">
        <f t="array" ref="L1040">IF($Q1040&gt;=0,IFERROR(generateSalesData($D1040, IF(ISNUMBER(_xlfn.XLOOKUP($C1040,Phone_by_Sentiment!$B$2:$B$37,Phone_by_Sentiment!L$2:L$37,"",0,1)),_xlfn.XLOOKUP($C1040,Phone_by_Sentiment!$B$2:$B$37,Phone_by_Sentiment!L$2:L$37,"",0,1),0),$A1040-TEXT(DATEVALUE($D1040&amp;"-01"), "dd-mm-yyyy")),0),0)</f>
        <v>1106</v>
      </c>
      <c r="M1040" cm="1">
        <f t="array" ref="M1040">IF($Q1040&gt;=0,IFERROR(generateSalesData($D1040, IF(ISNUMBER(_xlfn.XLOOKUP($C1040,Phone_by_Sentiment!$B$2:$B$37,Phone_by_Sentiment!M$2:M$37,"",0,1)),_xlfn.XLOOKUP($C1040,Phone_by_Sentiment!$B$2:$B$37,Phone_by_Sentiment!M$2:M$37,"",0,1),0),$A1040-TEXT(DATEVALUE($D1040&amp;"-01"), "dd-mm-yyyy")),0),0)</f>
        <v>189</v>
      </c>
      <c r="N1040" cm="1">
        <f t="array" ref="N1040">IF($Q1040&gt;=0,IFERROR(generateSalesData($D1040, IF(ISNUMBER(_xlfn.XLOOKUP($C1040,Phone_by_Sentiment!$B$2:$B$37,Phone_by_Sentiment!N$2:N$37,"",0,1)),_xlfn.XLOOKUP($C1040,Phone_by_Sentiment!$B$2:$B$37,Phone_by_Sentiment!N$2:N$37,"",0,1),0),$A1040-TEXT(DATEVALUE($D1040&amp;"-01"), "dd-mm-yyyy")),0),0)</f>
        <v>274</v>
      </c>
      <c r="O1040" cm="1">
        <f t="array" ref="O1040">IF($Q1040&gt;=0,IFERROR(generateSalesData($D1040, IF(ISNUMBER(_xlfn.XLOOKUP($C1040,Phone_by_Sentiment!$B$2:$B$37,Phone_by_Sentiment!O$2:O$37,"",0,1)),_xlfn.XLOOKUP($C1040,Phone_by_Sentiment!$B$2:$B$37,Phone_by_Sentiment!O$2:O$37,"",0,1),0),$A1040-TEXT(DATEVALUE($D1040&amp;"-01"), "dd-mm-yyyy")),0),0)</f>
        <v>424</v>
      </c>
      <c r="P1040" s="1">
        <f t="shared" si="43"/>
        <v>44348</v>
      </c>
      <c r="Q1040">
        <f t="shared" si="44"/>
        <v>0</v>
      </c>
    </row>
    <row r="1041" spans="1:17" x14ac:dyDescent="0.25">
      <c r="A1041" s="1">
        <f t="shared" si="45"/>
        <v>44348</v>
      </c>
      <c r="B1041" t="s">
        <v>157</v>
      </c>
      <c r="C1041" t="str">
        <f>_xlfn.XLOOKUP(B1041,Phone_by_Price!$A$2:$A$34,Phone_by_Price!$B$2:$B$34,"-",0,1)</f>
        <v>Apple iPhone 13 Pro</v>
      </c>
      <c r="D1041" t="str">
        <f>_xlfn.XLOOKUP(C1041,Phone_by_Sentiment!$B$2:$B$37,Phone_by_Sentiment!$A$2:$A$37,"-",0,1)</f>
        <v>2021-09</v>
      </c>
      <c r="E1041" cm="1">
        <f t="array" ref="E1041">IF($Q1041&gt;=0,IFERROR(generateSalesData($D1041, IF(ISNUMBER(_xlfn.XLOOKUP($C1041,Phone_by_Sentiment!$B$2:$B$37,Phone_by_Sentiment!E$2:E$37,"",0,1)),_xlfn.XLOOKUP($C1041,Phone_by_Sentiment!$B$2:$B$37,Phone_by_Sentiment!E$2:E$37,"",0,1),0),$A1041-TEXT(DATEVALUE($D1041&amp;"-01"), "dd-mm-yyyy")),0),0)</f>
        <v>0</v>
      </c>
      <c r="F1041" cm="1">
        <f t="array" ref="F1041">IF($Q1041&gt;=0,IFERROR(generateSalesData($D1041, IF(ISNUMBER(_xlfn.XLOOKUP($C1041,Phone_by_Sentiment!$B$2:$B$37,Phone_by_Sentiment!F$2:F$37,"",0,1)),_xlfn.XLOOKUP($C1041,Phone_by_Sentiment!$B$2:$B$37,Phone_by_Sentiment!F$2:F$37,"",0,1),0),$A1041-TEXT(DATEVALUE($D1041&amp;"-01"), "dd-mm-yyyy")),0),0)</f>
        <v>0</v>
      </c>
      <c r="G1041" cm="1">
        <f t="array" ref="G1041">IF($Q1041&gt;=0,IFERROR(generateSalesData($D1041, IF(ISNUMBER(_xlfn.XLOOKUP($C1041,Phone_by_Sentiment!$B$2:$B$37,Phone_by_Sentiment!G$2:G$37,"",0,1)),_xlfn.XLOOKUP($C1041,Phone_by_Sentiment!$B$2:$B$37,Phone_by_Sentiment!G$2:G$37,"",0,1),0),$A1041-TEXT(DATEVALUE($D1041&amp;"-01"), "dd-mm-yyyy")),0),0)</f>
        <v>0</v>
      </c>
      <c r="H1041" cm="1">
        <f t="array" ref="H1041">IF($Q1041&gt;=0,IFERROR(generateSalesData($D1041, IF(ISNUMBER(_xlfn.XLOOKUP($C1041,Phone_by_Sentiment!$B$2:$B$37,Phone_by_Sentiment!H$2:H$37,"",0,1)),_xlfn.XLOOKUP($C1041,Phone_by_Sentiment!$B$2:$B$37,Phone_by_Sentiment!H$2:H$37,"",0,1),0),$A1041-TEXT(DATEVALUE($D1041&amp;"-01"), "dd-mm-yyyy")),0),0)</f>
        <v>0</v>
      </c>
      <c r="I1041" cm="1">
        <f t="array" ref="I1041">IF($Q1041&gt;=0,IFERROR(generateSalesData($D1041, IF(ISNUMBER(_xlfn.XLOOKUP($C1041,Phone_by_Sentiment!$B$2:$B$37,Phone_by_Sentiment!I$2:I$37,"",0,1)),_xlfn.XLOOKUP($C1041,Phone_by_Sentiment!$B$2:$B$37,Phone_by_Sentiment!I$2:I$37,"",0,1),0),$A1041-TEXT(DATEVALUE($D1041&amp;"-01"), "dd-mm-yyyy")),0),0)</f>
        <v>0</v>
      </c>
      <c r="J1041" cm="1">
        <f t="array" ref="J1041">IF($Q1041&gt;=0,IFERROR(generateSalesData($D1041, IF(ISNUMBER(_xlfn.XLOOKUP($C1041,Phone_by_Sentiment!$B$2:$B$37,Phone_by_Sentiment!J$2:J$37,"",0,1)),_xlfn.XLOOKUP($C1041,Phone_by_Sentiment!$B$2:$B$37,Phone_by_Sentiment!J$2:J$37,"",0,1),0),$A1041-TEXT(DATEVALUE($D1041&amp;"-01"), "dd-mm-yyyy")),0),0)</f>
        <v>0</v>
      </c>
      <c r="K1041" cm="1">
        <f t="array" ref="K1041">IF($Q1041&gt;=0,IFERROR(generateSalesData($D1041, IF(ISNUMBER(_xlfn.XLOOKUP($C1041,Phone_by_Sentiment!$B$2:$B$37,Phone_by_Sentiment!K$2:K$37,"",0,1)),_xlfn.XLOOKUP($C1041,Phone_by_Sentiment!$B$2:$B$37,Phone_by_Sentiment!K$2:K$37,"",0,1),0),$A1041-TEXT(DATEVALUE($D1041&amp;"-01"), "dd-mm-yyyy")),0),0)</f>
        <v>0</v>
      </c>
      <c r="L1041" cm="1">
        <f t="array" ref="L1041">IF($Q1041&gt;=0,IFERROR(generateSalesData($D1041, IF(ISNUMBER(_xlfn.XLOOKUP($C1041,Phone_by_Sentiment!$B$2:$B$37,Phone_by_Sentiment!L$2:L$37,"",0,1)),_xlfn.XLOOKUP($C1041,Phone_by_Sentiment!$B$2:$B$37,Phone_by_Sentiment!L$2:L$37,"",0,1),0),$A1041-TEXT(DATEVALUE($D1041&amp;"-01"), "dd-mm-yyyy")),0),0)</f>
        <v>0</v>
      </c>
      <c r="M1041" cm="1">
        <f t="array" ref="M1041">IF($Q1041&gt;=0,IFERROR(generateSalesData($D1041, IF(ISNUMBER(_xlfn.XLOOKUP($C1041,Phone_by_Sentiment!$B$2:$B$37,Phone_by_Sentiment!M$2:M$37,"",0,1)),_xlfn.XLOOKUP($C1041,Phone_by_Sentiment!$B$2:$B$37,Phone_by_Sentiment!M$2:M$37,"",0,1),0),$A1041-TEXT(DATEVALUE($D1041&amp;"-01"), "dd-mm-yyyy")),0),0)</f>
        <v>0</v>
      </c>
      <c r="N1041" cm="1">
        <f t="array" ref="N1041">IF($Q1041&gt;=0,IFERROR(generateSalesData($D1041, IF(ISNUMBER(_xlfn.XLOOKUP($C1041,Phone_by_Sentiment!$B$2:$B$37,Phone_by_Sentiment!N$2:N$37,"",0,1)),_xlfn.XLOOKUP($C1041,Phone_by_Sentiment!$B$2:$B$37,Phone_by_Sentiment!N$2:N$37,"",0,1),0),$A1041-TEXT(DATEVALUE($D1041&amp;"-01"), "dd-mm-yyyy")),0),0)</f>
        <v>0</v>
      </c>
      <c r="O1041" cm="1">
        <f t="array" ref="O1041">IF($Q1041&gt;=0,IFERROR(generateSalesData($D1041, IF(ISNUMBER(_xlfn.XLOOKUP($C1041,Phone_by_Sentiment!$B$2:$B$37,Phone_by_Sentiment!O$2:O$37,"",0,1)),_xlfn.XLOOKUP($C1041,Phone_by_Sentiment!$B$2:$B$37,Phone_by_Sentiment!O$2:O$37,"",0,1),0),$A1041-TEXT(DATEVALUE($D1041&amp;"-01"), "dd-mm-yyyy")),0),0)</f>
        <v>0</v>
      </c>
      <c r="P1041" s="1">
        <f t="shared" si="43"/>
        <v>44440</v>
      </c>
      <c r="Q1041">
        <f t="shared" si="44"/>
        <v>-92</v>
      </c>
    </row>
    <row r="1042" spans="1:17" x14ac:dyDescent="0.25">
      <c r="A1042" s="1">
        <f t="shared" si="45"/>
        <v>44348</v>
      </c>
      <c r="B1042" t="s">
        <v>158</v>
      </c>
      <c r="C1042" t="str">
        <f>_xlfn.XLOOKUP(B1042,Phone_by_Price!$A$2:$A$34,Phone_by_Price!$B$2:$B$34,"-",0,1)</f>
        <v>Samsung Galaxy A32 5G</v>
      </c>
      <c r="D1042" t="str">
        <f>_xlfn.XLOOKUP(C1042,Phone_by_Sentiment!$B$2:$B$37,Phone_by_Sentiment!$A$2:$A$37,"-",0,1)</f>
        <v>2021-02</v>
      </c>
      <c r="E1042" cm="1">
        <f t="array" ref="E1042">IF($Q1042&gt;=0,IFERROR(generateSalesData($D1042, IF(ISNUMBER(_xlfn.XLOOKUP($C1042,Phone_by_Sentiment!$B$2:$B$37,Phone_by_Sentiment!E$2:E$37,"",0,1)),_xlfn.XLOOKUP($C1042,Phone_by_Sentiment!$B$2:$B$37,Phone_by_Sentiment!E$2:E$37,"",0,1),0),$A1042-TEXT(DATEVALUE($D1042&amp;"-01"), "dd-mm-yyyy")),0),0)</f>
        <v>1338</v>
      </c>
      <c r="F1042" cm="1">
        <f t="array" ref="F1042">IF($Q1042&gt;=0,IFERROR(generateSalesData($D1042, IF(ISNUMBER(_xlfn.XLOOKUP($C1042,Phone_by_Sentiment!$B$2:$B$37,Phone_by_Sentiment!F$2:F$37,"",0,1)),_xlfn.XLOOKUP($C1042,Phone_by_Sentiment!$B$2:$B$37,Phone_by_Sentiment!F$2:F$37,"",0,1),0),$A1042-TEXT(DATEVALUE($D1042&amp;"-01"), "dd-mm-yyyy")),0),0)</f>
        <v>1173</v>
      </c>
      <c r="G1042" cm="1">
        <f t="array" ref="G1042">IF($Q1042&gt;=0,IFERROR(generateSalesData($D1042, IF(ISNUMBER(_xlfn.XLOOKUP($C1042,Phone_by_Sentiment!$B$2:$B$37,Phone_by_Sentiment!G$2:G$37,"",0,1)),_xlfn.XLOOKUP($C1042,Phone_by_Sentiment!$B$2:$B$37,Phone_by_Sentiment!G$2:G$37,"",0,1),0),$A1042-TEXT(DATEVALUE($D1042&amp;"-01"), "dd-mm-yyyy")),0),0)</f>
        <v>498</v>
      </c>
      <c r="H1042" cm="1">
        <f t="array" ref="H1042">IF($Q1042&gt;=0,IFERROR(generateSalesData($D1042, IF(ISNUMBER(_xlfn.XLOOKUP($C1042,Phone_by_Sentiment!$B$2:$B$37,Phone_by_Sentiment!H$2:H$37,"",0,1)),_xlfn.XLOOKUP($C1042,Phone_by_Sentiment!$B$2:$B$37,Phone_by_Sentiment!H$2:H$37,"",0,1),0),$A1042-TEXT(DATEVALUE($D1042&amp;"-01"), "dd-mm-yyyy")),0),0)</f>
        <v>2016</v>
      </c>
      <c r="I1042" cm="1">
        <f t="array" ref="I1042">IF($Q1042&gt;=0,IFERROR(generateSalesData($D1042, IF(ISNUMBER(_xlfn.XLOOKUP($C1042,Phone_by_Sentiment!$B$2:$B$37,Phone_by_Sentiment!I$2:I$37,"",0,1)),_xlfn.XLOOKUP($C1042,Phone_by_Sentiment!$B$2:$B$37,Phone_by_Sentiment!I$2:I$37,"",0,1),0),$A1042-TEXT(DATEVALUE($D1042&amp;"-01"), "dd-mm-yyyy")),0),0)</f>
        <v>1374</v>
      </c>
      <c r="J1042" cm="1">
        <f t="array" ref="J1042">IF($Q1042&gt;=0,IFERROR(generateSalesData($D1042, IF(ISNUMBER(_xlfn.XLOOKUP($C1042,Phone_by_Sentiment!$B$2:$B$37,Phone_by_Sentiment!J$2:J$37,"",0,1)),_xlfn.XLOOKUP($C1042,Phone_by_Sentiment!$B$2:$B$37,Phone_by_Sentiment!J$2:J$37,"",0,1),0),$A1042-TEXT(DATEVALUE($D1042&amp;"-01"), "dd-mm-yyyy")),0),0)</f>
        <v>2200</v>
      </c>
      <c r="K1042" cm="1">
        <f t="array" ref="K1042">IF($Q1042&gt;=0,IFERROR(generateSalesData($D1042, IF(ISNUMBER(_xlfn.XLOOKUP($C1042,Phone_by_Sentiment!$B$2:$B$37,Phone_by_Sentiment!K$2:K$37,"",0,1)),_xlfn.XLOOKUP($C1042,Phone_by_Sentiment!$B$2:$B$37,Phone_by_Sentiment!K$2:K$37,"",0,1),0),$A1042-TEXT(DATEVALUE($D1042&amp;"-01"), "dd-mm-yyyy")),0),0)</f>
        <v>1808</v>
      </c>
      <c r="L1042" cm="1">
        <f t="array" ref="L1042">IF($Q1042&gt;=0,IFERROR(generateSalesData($D1042, IF(ISNUMBER(_xlfn.XLOOKUP($C1042,Phone_by_Sentiment!$B$2:$B$37,Phone_by_Sentiment!L$2:L$37,"",0,1)),_xlfn.XLOOKUP($C1042,Phone_by_Sentiment!$B$2:$B$37,Phone_by_Sentiment!L$2:L$37,"",0,1),0),$A1042-TEXT(DATEVALUE($D1042&amp;"-01"), "dd-mm-yyyy")),0),0)</f>
        <v>2843</v>
      </c>
      <c r="M1042" cm="1">
        <f t="array" ref="M1042">IF($Q1042&gt;=0,IFERROR(generateSalesData($D1042, IF(ISNUMBER(_xlfn.XLOOKUP($C1042,Phone_by_Sentiment!$B$2:$B$37,Phone_by_Sentiment!M$2:M$37,"",0,1)),_xlfn.XLOOKUP($C1042,Phone_by_Sentiment!$B$2:$B$37,Phone_by_Sentiment!M$2:M$37,"",0,1),0),$A1042-TEXT(DATEVALUE($D1042&amp;"-01"), "dd-mm-yyyy")),0),0)</f>
        <v>1976</v>
      </c>
      <c r="N1042" cm="1">
        <f t="array" ref="N1042">IF($Q1042&gt;=0,IFERROR(generateSalesData($D1042, IF(ISNUMBER(_xlfn.XLOOKUP($C1042,Phone_by_Sentiment!$B$2:$B$37,Phone_by_Sentiment!N$2:N$37,"",0,1)),_xlfn.XLOOKUP($C1042,Phone_by_Sentiment!$B$2:$B$37,Phone_by_Sentiment!N$2:N$37,"",0,1),0),$A1042-TEXT(DATEVALUE($D1042&amp;"-01"), "dd-mm-yyyy")),0),0)</f>
        <v>3052</v>
      </c>
      <c r="O1042" cm="1">
        <f t="array" ref="O1042">IF($Q1042&gt;=0,IFERROR(generateSalesData($D1042, IF(ISNUMBER(_xlfn.XLOOKUP($C1042,Phone_by_Sentiment!$B$2:$B$37,Phone_by_Sentiment!O$2:O$37,"",0,1)),_xlfn.XLOOKUP($C1042,Phone_by_Sentiment!$B$2:$B$37,Phone_by_Sentiment!O$2:O$37,"",0,1),0),$A1042-TEXT(DATEVALUE($D1042&amp;"-01"), "dd-mm-yyyy")),0),0)</f>
        <v>2227</v>
      </c>
      <c r="P1042" s="1">
        <f t="shared" si="43"/>
        <v>44228</v>
      </c>
      <c r="Q1042">
        <f t="shared" si="44"/>
        <v>120</v>
      </c>
    </row>
    <row r="1043" spans="1:17" x14ac:dyDescent="0.25">
      <c r="A1043" s="1">
        <f t="shared" si="45"/>
        <v>44348</v>
      </c>
      <c r="B1043" t="s">
        <v>159</v>
      </c>
      <c r="C1043" t="str">
        <f>_xlfn.XLOOKUP(B1043,Phone_by_Price!$A$2:$A$34,Phone_by_Price!$B$2:$B$34,"-",0,1)</f>
        <v>Realme C25</v>
      </c>
      <c r="D1043" t="str">
        <f>_xlfn.XLOOKUP(C1043,Phone_by_Sentiment!$B$2:$B$37,Phone_by_Sentiment!$A$2:$A$37,"-",0,1)</f>
        <v>2021-03</v>
      </c>
      <c r="E1043" cm="1">
        <f t="array" ref="E1043">IF($Q1043&gt;=0,IFERROR(generateSalesData($D1043, IF(ISNUMBER(_xlfn.XLOOKUP($C1043,Phone_by_Sentiment!$B$2:$B$37,Phone_by_Sentiment!E$2:E$37,"",0,1)),_xlfn.XLOOKUP($C1043,Phone_by_Sentiment!$B$2:$B$37,Phone_by_Sentiment!E$2:E$37,"",0,1),0),$A1043-TEXT(DATEVALUE($D1043&amp;"-01"), "dd-mm-yyyy")),0),0)</f>
        <v>783</v>
      </c>
      <c r="F1043" cm="1">
        <f t="array" ref="F1043">IF($Q1043&gt;=0,IFERROR(generateSalesData($D1043, IF(ISNUMBER(_xlfn.XLOOKUP($C1043,Phone_by_Sentiment!$B$2:$B$37,Phone_by_Sentiment!F$2:F$37,"",0,1)),_xlfn.XLOOKUP($C1043,Phone_by_Sentiment!$B$2:$B$37,Phone_by_Sentiment!F$2:F$37,"",0,1),0),$A1043-TEXT(DATEVALUE($D1043&amp;"-01"), "dd-mm-yyyy")),0),0)</f>
        <v>2969</v>
      </c>
      <c r="G1043" cm="1">
        <f t="array" ref="G1043">IF($Q1043&gt;=0,IFERROR(generateSalesData($D1043, IF(ISNUMBER(_xlfn.XLOOKUP($C1043,Phone_by_Sentiment!$B$2:$B$37,Phone_by_Sentiment!G$2:G$37,"",0,1)),_xlfn.XLOOKUP($C1043,Phone_by_Sentiment!$B$2:$B$37,Phone_by_Sentiment!G$2:G$37,"",0,1),0),$A1043-TEXT(DATEVALUE($D1043&amp;"-01"), "dd-mm-yyyy")),0),0)</f>
        <v>1130</v>
      </c>
      <c r="H1043" cm="1">
        <f t="array" ref="H1043">IF($Q1043&gt;=0,IFERROR(generateSalesData($D1043, IF(ISNUMBER(_xlfn.XLOOKUP($C1043,Phone_by_Sentiment!$B$2:$B$37,Phone_by_Sentiment!H$2:H$37,"",0,1)),_xlfn.XLOOKUP($C1043,Phone_by_Sentiment!$B$2:$B$37,Phone_by_Sentiment!H$2:H$37,"",0,1),0),$A1043-TEXT(DATEVALUE($D1043&amp;"-01"), "dd-mm-yyyy")),0),0)</f>
        <v>4355</v>
      </c>
      <c r="I1043" cm="1">
        <f t="array" ref="I1043">IF($Q1043&gt;=0,IFERROR(generateSalesData($D1043, IF(ISNUMBER(_xlfn.XLOOKUP($C1043,Phone_by_Sentiment!$B$2:$B$37,Phone_by_Sentiment!I$2:I$37,"",0,1)),_xlfn.XLOOKUP($C1043,Phone_by_Sentiment!$B$2:$B$37,Phone_by_Sentiment!I$2:I$37,"",0,1),0),$A1043-TEXT(DATEVALUE($D1043&amp;"-01"), "dd-mm-yyyy")),0),0)</f>
        <v>1748</v>
      </c>
      <c r="J1043" cm="1">
        <f t="array" ref="J1043">IF($Q1043&gt;=0,IFERROR(generateSalesData($D1043, IF(ISNUMBER(_xlfn.XLOOKUP($C1043,Phone_by_Sentiment!$B$2:$B$37,Phone_by_Sentiment!J$2:J$37,"",0,1)),_xlfn.XLOOKUP($C1043,Phone_by_Sentiment!$B$2:$B$37,Phone_by_Sentiment!J$2:J$37,"",0,1),0),$A1043-TEXT(DATEVALUE($D1043&amp;"-01"), "dd-mm-yyyy")),0),0)</f>
        <v>949</v>
      </c>
      <c r="K1043" cm="1">
        <f t="array" ref="K1043">IF($Q1043&gt;=0,IFERROR(generateSalesData($D1043, IF(ISNUMBER(_xlfn.XLOOKUP($C1043,Phone_by_Sentiment!$B$2:$B$37,Phone_by_Sentiment!K$2:K$37,"",0,1)),_xlfn.XLOOKUP($C1043,Phone_by_Sentiment!$B$2:$B$37,Phone_by_Sentiment!K$2:K$37,"",0,1),0),$A1043-TEXT(DATEVALUE($D1043&amp;"-01"), "dd-mm-yyyy")),0),0)</f>
        <v>2111</v>
      </c>
      <c r="L1043" cm="1">
        <f t="array" ref="L1043">IF($Q1043&gt;=0,IFERROR(generateSalesData($D1043, IF(ISNUMBER(_xlfn.XLOOKUP($C1043,Phone_by_Sentiment!$B$2:$B$37,Phone_by_Sentiment!L$2:L$37,"",0,1)),_xlfn.XLOOKUP($C1043,Phone_by_Sentiment!$B$2:$B$37,Phone_by_Sentiment!L$2:L$37,"",0,1),0),$A1043-TEXT(DATEVALUE($D1043&amp;"-01"), "dd-mm-yyyy")),0),0)</f>
        <v>2085</v>
      </c>
      <c r="M1043" cm="1">
        <f t="array" ref="M1043">IF($Q1043&gt;=0,IFERROR(generateSalesData($D1043, IF(ISNUMBER(_xlfn.XLOOKUP($C1043,Phone_by_Sentiment!$B$2:$B$37,Phone_by_Sentiment!M$2:M$37,"",0,1)),_xlfn.XLOOKUP($C1043,Phone_by_Sentiment!$B$2:$B$37,Phone_by_Sentiment!M$2:M$37,"",0,1),0),$A1043-TEXT(DATEVALUE($D1043&amp;"-01"), "dd-mm-yyyy")),0),0)</f>
        <v>358</v>
      </c>
      <c r="N1043" cm="1">
        <f t="array" ref="N1043">IF($Q1043&gt;=0,IFERROR(generateSalesData($D1043, IF(ISNUMBER(_xlfn.XLOOKUP($C1043,Phone_by_Sentiment!$B$2:$B$37,Phone_by_Sentiment!N$2:N$37,"",0,1)),_xlfn.XLOOKUP($C1043,Phone_by_Sentiment!$B$2:$B$37,Phone_by_Sentiment!N$2:N$37,"",0,1),0),$A1043-TEXT(DATEVALUE($D1043&amp;"-01"), "dd-mm-yyyy")),0),0)</f>
        <v>3536</v>
      </c>
      <c r="O1043" cm="1">
        <f t="array" ref="O1043">IF($Q1043&gt;=0,IFERROR(generateSalesData($D1043, IF(ISNUMBER(_xlfn.XLOOKUP($C1043,Phone_by_Sentiment!$B$2:$B$37,Phone_by_Sentiment!O$2:O$37,"",0,1)),_xlfn.XLOOKUP($C1043,Phone_by_Sentiment!$B$2:$B$37,Phone_by_Sentiment!O$2:O$37,"",0,1),0),$A1043-TEXT(DATEVALUE($D1043&amp;"-01"), "dd-mm-yyyy")),0),0)</f>
        <v>207</v>
      </c>
      <c r="P1043" s="1">
        <f t="shared" si="43"/>
        <v>44256</v>
      </c>
      <c r="Q1043">
        <f t="shared" si="44"/>
        <v>92</v>
      </c>
    </row>
    <row r="1044" spans="1:17" x14ac:dyDescent="0.25">
      <c r="A1044" s="1">
        <f t="shared" si="45"/>
        <v>44348</v>
      </c>
      <c r="B1044" t="s">
        <v>160</v>
      </c>
      <c r="C1044" t="str">
        <f>_xlfn.XLOOKUP(B1044,Phone_by_Price!$A$2:$A$34,Phone_by_Price!$B$2:$B$34,"-",0,1)</f>
        <v>Xiaomi Poco X3 Pro</v>
      </c>
      <c r="D1044" t="str">
        <f>_xlfn.XLOOKUP(C1044,Phone_by_Sentiment!$B$2:$B$37,Phone_by_Sentiment!$A$2:$A$37,"-",0,1)</f>
        <v>2021-05</v>
      </c>
      <c r="E1044" cm="1">
        <f t="array" ref="E1044">IF($Q1044&gt;=0,IFERROR(generateSalesData($D1044, IF(ISNUMBER(_xlfn.XLOOKUP($C1044,Phone_by_Sentiment!$B$2:$B$37,Phone_by_Sentiment!E$2:E$37,"",0,1)),_xlfn.XLOOKUP($C1044,Phone_by_Sentiment!$B$2:$B$37,Phone_by_Sentiment!E$2:E$37,"",0,1),0),$A1044-TEXT(DATEVALUE($D1044&amp;"-01"), "dd-mm-yyyy")),0),0)</f>
        <v>3384</v>
      </c>
      <c r="F1044" cm="1">
        <f t="array" ref="F1044">IF($Q1044&gt;=0,IFERROR(generateSalesData($D1044, IF(ISNUMBER(_xlfn.XLOOKUP($C1044,Phone_by_Sentiment!$B$2:$B$37,Phone_by_Sentiment!F$2:F$37,"",0,1)),_xlfn.XLOOKUP($C1044,Phone_by_Sentiment!$B$2:$B$37,Phone_by_Sentiment!F$2:F$37,"",0,1),0),$A1044-TEXT(DATEVALUE($D1044&amp;"-01"), "dd-mm-yyyy")),0),0)</f>
        <v>2467</v>
      </c>
      <c r="G1044" cm="1">
        <f t="array" ref="G1044">IF($Q1044&gt;=0,IFERROR(generateSalesData($D1044, IF(ISNUMBER(_xlfn.XLOOKUP($C1044,Phone_by_Sentiment!$B$2:$B$37,Phone_by_Sentiment!G$2:G$37,"",0,1)),_xlfn.XLOOKUP($C1044,Phone_by_Sentiment!$B$2:$B$37,Phone_by_Sentiment!G$2:G$37,"",0,1),0),$A1044-TEXT(DATEVALUE($D1044&amp;"-01"), "dd-mm-yyyy")),0),0)</f>
        <v>2035</v>
      </c>
      <c r="H1044" cm="1">
        <f t="array" ref="H1044">IF($Q1044&gt;=0,IFERROR(generateSalesData($D1044, IF(ISNUMBER(_xlfn.XLOOKUP($C1044,Phone_by_Sentiment!$B$2:$B$37,Phone_by_Sentiment!H$2:H$37,"",0,1)),_xlfn.XLOOKUP($C1044,Phone_by_Sentiment!$B$2:$B$37,Phone_by_Sentiment!H$2:H$37,"",0,1),0),$A1044-TEXT(DATEVALUE($D1044&amp;"-01"), "dd-mm-yyyy")),0),0)</f>
        <v>10841</v>
      </c>
      <c r="I1044" cm="1">
        <f t="array" ref="I1044">IF($Q1044&gt;=0,IFERROR(generateSalesData($D1044, IF(ISNUMBER(_xlfn.XLOOKUP($C1044,Phone_by_Sentiment!$B$2:$B$37,Phone_by_Sentiment!I$2:I$37,"",0,1)),_xlfn.XLOOKUP($C1044,Phone_by_Sentiment!$B$2:$B$37,Phone_by_Sentiment!I$2:I$37,"",0,1),0),$A1044-TEXT(DATEVALUE($D1044&amp;"-01"), "dd-mm-yyyy")),0),0)</f>
        <v>3552</v>
      </c>
      <c r="J1044" cm="1">
        <f t="array" ref="J1044">IF($Q1044&gt;=0,IFERROR(generateSalesData($D1044, IF(ISNUMBER(_xlfn.XLOOKUP($C1044,Phone_by_Sentiment!$B$2:$B$37,Phone_by_Sentiment!J$2:J$37,"",0,1)),_xlfn.XLOOKUP($C1044,Phone_by_Sentiment!$B$2:$B$37,Phone_by_Sentiment!J$2:J$37,"",0,1),0),$A1044-TEXT(DATEVALUE($D1044&amp;"-01"), "dd-mm-yyyy")),0),0)</f>
        <v>1114</v>
      </c>
      <c r="K1044" cm="1">
        <f t="array" ref="K1044">IF($Q1044&gt;=0,IFERROR(generateSalesData($D1044, IF(ISNUMBER(_xlfn.XLOOKUP($C1044,Phone_by_Sentiment!$B$2:$B$37,Phone_by_Sentiment!K$2:K$37,"",0,1)),_xlfn.XLOOKUP($C1044,Phone_by_Sentiment!$B$2:$B$37,Phone_by_Sentiment!K$2:K$37,"",0,1),0),$A1044-TEXT(DATEVALUE($D1044&amp;"-01"), "dd-mm-yyyy")),0),0)</f>
        <v>1460</v>
      </c>
      <c r="L1044" cm="1">
        <f t="array" ref="L1044">IF($Q1044&gt;=0,IFERROR(generateSalesData($D1044, IF(ISNUMBER(_xlfn.XLOOKUP($C1044,Phone_by_Sentiment!$B$2:$B$37,Phone_by_Sentiment!L$2:L$37,"",0,1)),_xlfn.XLOOKUP($C1044,Phone_by_Sentiment!$B$2:$B$37,Phone_by_Sentiment!L$2:L$37,"",0,1),0),$A1044-TEXT(DATEVALUE($D1044&amp;"-01"), "dd-mm-yyyy")),0),0)</f>
        <v>1686</v>
      </c>
      <c r="M1044" cm="1">
        <f t="array" ref="M1044">IF($Q1044&gt;=0,IFERROR(generateSalesData($D1044, IF(ISNUMBER(_xlfn.XLOOKUP($C1044,Phone_by_Sentiment!$B$2:$B$37,Phone_by_Sentiment!M$2:M$37,"",0,1)),_xlfn.XLOOKUP($C1044,Phone_by_Sentiment!$B$2:$B$37,Phone_by_Sentiment!M$2:M$37,"",0,1),0),$A1044-TEXT(DATEVALUE($D1044&amp;"-01"), "dd-mm-yyyy")),0),0)</f>
        <v>553</v>
      </c>
      <c r="N1044" cm="1">
        <f t="array" ref="N1044">IF($Q1044&gt;=0,IFERROR(generateSalesData($D1044, IF(ISNUMBER(_xlfn.XLOOKUP($C1044,Phone_by_Sentiment!$B$2:$B$37,Phone_by_Sentiment!N$2:N$37,"",0,1)),_xlfn.XLOOKUP($C1044,Phone_by_Sentiment!$B$2:$B$37,Phone_by_Sentiment!N$2:N$37,"",0,1),0),$A1044-TEXT(DATEVALUE($D1044&amp;"-01"), "dd-mm-yyyy")),0),0)</f>
        <v>1770</v>
      </c>
      <c r="O1044" cm="1">
        <f t="array" ref="O1044">IF($Q1044&gt;=0,IFERROR(generateSalesData($D1044, IF(ISNUMBER(_xlfn.XLOOKUP($C1044,Phone_by_Sentiment!$B$2:$B$37,Phone_by_Sentiment!O$2:O$37,"",0,1)),_xlfn.XLOOKUP($C1044,Phone_by_Sentiment!$B$2:$B$37,Phone_by_Sentiment!O$2:O$37,"",0,1),0),$A1044-TEXT(DATEVALUE($D1044&amp;"-01"), "dd-mm-yyyy")),0),0)</f>
        <v>6595</v>
      </c>
      <c r="P1044" s="1">
        <f t="shared" si="43"/>
        <v>44317</v>
      </c>
      <c r="Q1044">
        <f t="shared" si="44"/>
        <v>31</v>
      </c>
    </row>
    <row r="1045" spans="1:17" x14ac:dyDescent="0.25">
      <c r="A1045" s="1">
        <f t="shared" si="45"/>
        <v>44348</v>
      </c>
      <c r="B1045" t="s">
        <v>161</v>
      </c>
      <c r="C1045" t="str">
        <f>_xlfn.XLOOKUP(B1045,Phone_by_Price!$A$2:$A$34,Phone_by_Price!$B$2:$B$34,"-",0,1)</f>
        <v>Samsung Galaxy Z Flip 3</v>
      </c>
      <c r="D1045" t="str">
        <f>_xlfn.XLOOKUP(C1045,Phone_by_Sentiment!$B$2:$B$37,Phone_by_Sentiment!$A$2:$A$37,"-",0,1)</f>
        <v>2021-09</v>
      </c>
      <c r="E1045" cm="1">
        <f t="array" ref="E1045">IF($Q1045&gt;=0,IFERROR(generateSalesData($D1045, IF(ISNUMBER(_xlfn.XLOOKUP($C1045,Phone_by_Sentiment!$B$2:$B$37,Phone_by_Sentiment!E$2:E$37,"",0,1)),_xlfn.XLOOKUP($C1045,Phone_by_Sentiment!$B$2:$B$37,Phone_by_Sentiment!E$2:E$37,"",0,1),0),$A1045-TEXT(DATEVALUE($D1045&amp;"-01"), "dd-mm-yyyy")),0),0)</f>
        <v>0</v>
      </c>
      <c r="F1045" cm="1">
        <f t="array" ref="F1045">IF($Q1045&gt;=0,IFERROR(generateSalesData($D1045, IF(ISNUMBER(_xlfn.XLOOKUP($C1045,Phone_by_Sentiment!$B$2:$B$37,Phone_by_Sentiment!F$2:F$37,"",0,1)),_xlfn.XLOOKUP($C1045,Phone_by_Sentiment!$B$2:$B$37,Phone_by_Sentiment!F$2:F$37,"",0,1),0),$A1045-TEXT(DATEVALUE($D1045&amp;"-01"), "dd-mm-yyyy")),0),0)</f>
        <v>0</v>
      </c>
      <c r="G1045" cm="1">
        <f t="array" ref="G1045">IF($Q1045&gt;=0,IFERROR(generateSalesData($D1045, IF(ISNUMBER(_xlfn.XLOOKUP($C1045,Phone_by_Sentiment!$B$2:$B$37,Phone_by_Sentiment!G$2:G$37,"",0,1)),_xlfn.XLOOKUP($C1045,Phone_by_Sentiment!$B$2:$B$37,Phone_by_Sentiment!G$2:G$37,"",0,1),0),$A1045-TEXT(DATEVALUE($D1045&amp;"-01"), "dd-mm-yyyy")),0),0)</f>
        <v>0</v>
      </c>
      <c r="H1045" cm="1">
        <f t="array" ref="H1045">IF($Q1045&gt;=0,IFERROR(generateSalesData($D1045, IF(ISNUMBER(_xlfn.XLOOKUP($C1045,Phone_by_Sentiment!$B$2:$B$37,Phone_by_Sentiment!H$2:H$37,"",0,1)),_xlfn.XLOOKUP($C1045,Phone_by_Sentiment!$B$2:$B$37,Phone_by_Sentiment!H$2:H$37,"",0,1),0),$A1045-TEXT(DATEVALUE($D1045&amp;"-01"), "dd-mm-yyyy")),0),0)</f>
        <v>0</v>
      </c>
      <c r="I1045" cm="1">
        <f t="array" ref="I1045">IF($Q1045&gt;=0,IFERROR(generateSalesData($D1045, IF(ISNUMBER(_xlfn.XLOOKUP($C1045,Phone_by_Sentiment!$B$2:$B$37,Phone_by_Sentiment!I$2:I$37,"",0,1)),_xlfn.XLOOKUP($C1045,Phone_by_Sentiment!$B$2:$B$37,Phone_by_Sentiment!I$2:I$37,"",0,1),0),$A1045-TEXT(DATEVALUE($D1045&amp;"-01"), "dd-mm-yyyy")),0),0)</f>
        <v>0</v>
      </c>
      <c r="J1045" cm="1">
        <f t="array" ref="J1045">IF($Q1045&gt;=0,IFERROR(generateSalesData($D1045, IF(ISNUMBER(_xlfn.XLOOKUP($C1045,Phone_by_Sentiment!$B$2:$B$37,Phone_by_Sentiment!J$2:J$37,"",0,1)),_xlfn.XLOOKUP($C1045,Phone_by_Sentiment!$B$2:$B$37,Phone_by_Sentiment!J$2:J$37,"",0,1),0),$A1045-TEXT(DATEVALUE($D1045&amp;"-01"), "dd-mm-yyyy")),0),0)</f>
        <v>0</v>
      </c>
      <c r="K1045" cm="1">
        <f t="array" ref="K1045">IF($Q1045&gt;=0,IFERROR(generateSalesData($D1045, IF(ISNUMBER(_xlfn.XLOOKUP($C1045,Phone_by_Sentiment!$B$2:$B$37,Phone_by_Sentiment!K$2:K$37,"",0,1)),_xlfn.XLOOKUP($C1045,Phone_by_Sentiment!$B$2:$B$37,Phone_by_Sentiment!K$2:K$37,"",0,1),0),$A1045-TEXT(DATEVALUE($D1045&amp;"-01"), "dd-mm-yyyy")),0),0)</f>
        <v>0</v>
      </c>
      <c r="L1045" cm="1">
        <f t="array" ref="L1045">IF($Q1045&gt;=0,IFERROR(generateSalesData($D1045, IF(ISNUMBER(_xlfn.XLOOKUP($C1045,Phone_by_Sentiment!$B$2:$B$37,Phone_by_Sentiment!L$2:L$37,"",0,1)),_xlfn.XLOOKUP($C1045,Phone_by_Sentiment!$B$2:$B$37,Phone_by_Sentiment!L$2:L$37,"",0,1),0),$A1045-TEXT(DATEVALUE($D1045&amp;"-01"), "dd-mm-yyyy")),0),0)</f>
        <v>0</v>
      </c>
      <c r="M1045" cm="1">
        <f t="array" ref="M1045">IF($Q1045&gt;=0,IFERROR(generateSalesData($D1045, IF(ISNUMBER(_xlfn.XLOOKUP($C1045,Phone_by_Sentiment!$B$2:$B$37,Phone_by_Sentiment!M$2:M$37,"",0,1)),_xlfn.XLOOKUP($C1045,Phone_by_Sentiment!$B$2:$B$37,Phone_by_Sentiment!M$2:M$37,"",0,1),0),$A1045-TEXT(DATEVALUE($D1045&amp;"-01"), "dd-mm-yyyy")),0),0)</f>
        <v>0</v>
      </c>
      <c r="N1045" cm="1">
        <f t="array" ref="N1045">IF($Q1045&gt;=0,IFERROR(generateSalesData($D1045, IF(ISNUMBER(_xlfn.XLOOKUP($C1045,Phone_by_Sentiment!$B$2:$B$37,Phone_by_Sentiment!N$2:N$37,"",0,1)),_xlfn.XLOOKUP($C1045,Phone_by_Sentiment!$B$2:$B$37,Phone_by_Sentiment!N$2:N$37,"",0,1),0),$A1045-TEXT(DATEVALUE($D1045&amp;"-01"), "dd-mm-yyyy")),0),0)</f>
        <v>0</v>
      </c>
      <c r="O1045" cm="1">
        <f t="array" ref="O1045">IF($Q1045&gt;=0,IFERROR(generateSalesData($D1045, IF(ISNUMBER(_xlfn.XLOOKUP($C1045,Phone_by_Sentiment!$B$2:$B$37,Phone_by_Sentiment!O$2:O$37,"",0,1)),_xlfn.XLOOKUP($C1045,Phone_by_Sentiment!$B$2:$B$37,Phone_by_Sentiment!O$2:O$37,"",0,1),0),$A1045-TEXT(DATEVALUE($D1045&amp;"-01"), "dd-mm-yyyy")),0),0)</f>
        <v>0</v>
      </c>
      <c r="P1045" s="1">
        <f t="shared" si="43"/>
        <v>44440</v>
      </c>
      <c r="Q1045">
        <f t="shared" si="44"/>
        <v>-92</v>
      </c>
    </row>
    <row r="1046" spans="1:17" x14ac:dyDescent="0.25">
      <c r="A1046" s="1">
        <f t="shared" si="45"/>
        <v>44348</v>
      </c>
      <c r="B1046" t="s">
        <v>162</v>
      </c>
      <c r="C1046" t="str">
        <f>_xlfn.XLOOKUP(B1046,Phone_by_Price!$A$2:$A$34,Phone_by_Price!$B$2:$B$34,"-",0,1)</f>
        <v>Xiaomi Poco X3 NFC</v>
      </c>
      <c r="D1046" t="str">
        <f>_xlfn.XLOOKUP(C1046,Phone_by_Sentiment!$B$2:$B$37,Phone_by_Sentiment!$A$2:$A$37,"-",0,1)</f>
        <v>2020-08</v>
      </c>
      <c r="E1046" cm="1">
        <f t="array" ref="E1046">IF($Q1046&gt;=0,IFERROR(generateSalesData($D1046, IF(ISNUMBER(_xlfn.XLOOKUP($C1046,Phone_by_Sentiment!$B$2:$B$37,Phone_by_Sentiment!E$2:E$37,"",0,1)),_xlfn.XLOOKUP($C1046,Phone_by_Sentiment!$B$2:$B$37,Phone_by_Sentiment!E$2:E$37,"",0,1),0),$A1046-TEXT(DATEVALUE($D1046&amp;"-01"), "dd-mm-yyyy")),0),0)</f>
        <v>294</v>
      </c>
      <c r="F1046" cm="1">
        <f t="array" ref="F1046">IF($Q1046&gt;=0,IFERROR(generateSalesData($D1046, IF(ISNUMBER(_xlfn.XLOOKUP($C1046,Phone_by_Sentiment!$B$2:$B$37,Phone_by_Sentiment!F$2:F$37,"",0,1)),_xlfn.XLOOKUP($C1046,Phone_by_Sentiment!$B$2:$B$37,Phone_by_Sentiment!F$2:F$37,"",0,1),0),$A1046-TEXT(DATEVALUE($D1046&amp;"-01"), "dd-mm-yyyy")),0),0)</f>
        <v>139</v>
      </c>
      <c r="G1046" cm="1">
        <f t="array" ref="G1046">IF($Q1046&gt;=0,IFERROR(generateSalesData($D1046, IF(ISNUMBER(_xlfn.XLOOKUP($C1046,Phone_by_Sentiment!$B$2:$B$37,Phone_by_Sentiment!G$2:G$37,"",0,1)),_xlfn.XLOOKUP($C1046,Phone_by_Sentiment!$B$2:$B$37,Phone_by_Sentiment!G$2:G$37,"",0,1),0),$A1046-TEXT(DATEVALUE($D1046&amp;"-01"), "dd-mm-yyyy")),0),0)</f>
        <v>222</v>
      </c>
      <c r="H1046" cm="1">
        <f t="array" ref="H1046">IF($Q1046&gt;=0,IFERROR(generateSalesData($D1046, IF(ISNUMBER(_xlfn.XLOOKUP($C1046,Phone_by_Sentiment!$B$2:$B$37,Phone_by_Sentiment!H$2:H$37,"",0,1)),_xlfn.XLOOKUP($C1046,Phone_by_Sentiment!$B$2:$B$37,Phone_by_Sentiment!H$2:H$37,"",0,1),0),$A1046-TEXT(DATEVALUE($D1046&amp;"-01"), "dd-mm-yyyy")),0),0)</f>
        <v>797</v>
      </c>
      <c r="I1046" cm="1">
        <f t="array" ref="I1046">IF($Q1046&gt;=0,IFERROR(generateSalesData($D1046, IF(ISNUMBER(_xlfn.XLOOKUP($C1046,Phone_by_Sentiment!$B$2:$B$37,Phone_by_Sentiment!I$2:I$37,"",0,1)),_xlfn.XLOOKUP($C1046,Phone_by_Sentiment!$B$2:$B$37,Phone_by_Sentiment!I$2:I$37,"",0,1),0),$A1046-TEXT(DATEVALUE($D1046&amp;"-01"), "dd-mm-yyyy")),0),0)</f>
        <v>156</v>
      </c>
      <c r="J1046" cm="1">
        <f t="array" ref="J1046">IF($Q1046&gt;=0,IFERROR(generateSalesData($D1046, IF(ISNUMBER(_xlfn.XLOOKUP($C1046,Phone_by_Sentiment!$B$2:$B$37,Phone_by_Sentiment!J$2:J$37,"",0,1)),_xlfn.XLOOKUP($C1046,Phone_by_Sentiment!$B$2:$B$37,Phone_by_Sentiment!J$2:J$37,"",0,1),0),$A1046-TEXT(DATEVALUE($D1046&amp;"-01"), "dd-mm-yyyy")),0),0)</f>
        <v>222</v>
      </c>
      <c r="K1046" cm="1">
        <f t="array" ref="K1046">IF($Q1046&gt;=0,IFERROR(generateSalesData($D1046, IF(ISNUMBER(_xlfn.XLOOKUP($C1046,Phone_by_Sentiment!$B$2:$B$37,Phone_by_Sentiment!K$2:K$37,"",0,1)),_xlfn.XLOOKUP($C1046,Phone_by_Sentiment!$B$2:$B$37,Phone_by_Sentiment!K$2:K$37,"",0,1),0),$A1046-TEXT(DATEVALUE($D1046&amp;"-01"), "dd-mm-yyyy")),0),0)</f>
        <v>621</v>
      </c>
      <c r="L1046" cm="1">
        <f t="array" ref="L1046">IF($Q1046&gt;=0,IFERROR(generateSalesData($D1046, IF(ISNUMBER(_xlfn.XLOOKUP($C1046,Phone_by_Sentiment!$B$2:$B$37,Phone_by_Sentiment!L$2:L$37,"",0,1)),_xlfn.XLOOKUP($C1046,Phone_by_Sentiment!$B$2:$B$37,Phone_by_Sentiment!L$2:L$37,"",0,1),0),$A1046-TEXT(DATEVALUE($D1046&amp;"-01"), "dd-mm-yyyy")),0),0)</f>
        <v>210</v>
      </c>
      <c r="M1046" cm="1">
        <f t="array" ref="M1046">IF($Q1046&gt;=0,IFERROR(generateSalesData($D1046, IF(ISNUMBER(_xlfn.XLOOKUP($C1046,Phone_by_Sentiment!$B$2:$B$37,Phone_by_Sentiment!M$2:M$37,"",0,1)),_xlfn.XLOOKUP($C1046,Phone_by_Sentiment!$B$2:$B$37,Phone_by_Sentiment!M$2:M$37,"",0,1),0),$A1046-TEXT(DATEVALUE($D1046&amp;"-01"), "dd-mm-yyyy")),0),0)</f>
        <v>926</v>
      </c>
      <c r="N1046" cm="1">
        <f t="array" ref="N1046">IF($Q1046&gt;=0,IFERROR(generateSalesData($D1046, IF(ISNUMBER(_xlfn.XLOOKUP($C1046,Phone_by_Sentiment!$B$2:$B$37,Phone_by_Sentiment!N$2:N$37,"",0,1)),_xlfn.XLOOKUP($C1046,Phone_by_Sentiment!$B$2:$B$37,Phone_by_Sentiment!N$2:N$37,"",0,1),0),$A1046-TEXT(DATEVALUE($D1046&amp;"-01"), "dd-mm-yyyy")),0),0)</f>
        <v>70</v>
      </c>
      <c r="O1046" cm="1">
        <f t="array" ref="O1046">IF($Q1046&gt;=0,IFERROR(generateSalesData($D1046, IF(ISNUMBER(_xlfn.XLOOKUP($C1046,Phone_by_Sentiment!$B$2:$B$37,Phone_by_Sentiment!O$2:O$37,"",0,1)),_xlfn.XLOOKUP($C1046,Phone_by_Sentiment!$B$2:$B$37,Phone_by_Sentiment!O$2:O$37,"",0,1),0),$A1046-TEXT(DATEVALUE($D1046&amp;"-01"), "dd-mm-yyyy")),0),0)</f>
        <v>768</v>
      </c>
      <c r="P1046" s="1">
        <f t="shared" si="43"/>
        <v>44044</v>
      </c>
      <c r="Q1046">
        <f t="shared" si="44"/>
        <v>304</v>
      </c>
    </row>
    <row r="1047" spans="1:17" x14ac:dyDescent="0.25">
      <c r="A1047" s="1">
        <f t="shared" si="45"/>
        <v>44348</v>
      </c>
      <c r="B1047" t="s">
        <v>163</v>
      </c>
      <c r="C1047" t="str">
        <f>_xlfn.XLOOKUP(B1047,Phone_by_Price!$A$2:$A$34,Phone_by_Price!$B$2:$B$34,"-",0,1)</f>
        <v>OPPO A93</v>
      </c>
      <c r="D1047" t="str">
        <f>_xlfn.XLOOKUP(C1047,Phone_by_Sentiment!$B$2:$B$37,Phone_by_Sentiment!$A$2:$A$37,"-",0,1)</f>
        <v>2021-02</v>
      </c>
      <c r="E1047" cm="1">
        <f t="array" ref="E1047">IF($Q1047&gt;=0,IFERROR(generateSalesData($D1047, IF(ISNUMBER(_xlfn.XLOOKUP($C1047,Phone_by_Sentiment!$B$2:$B$37,Phone_by_Sentiment!E$2:E$37,"",0,1)),_xlfn.XLOOKUP($C1047,Phone_by_Sentiment!$B$2:$B$37,Phone_by_Sentiment!E$2:E$37,"",0,1),0),$A1047-TEXT(DATEVALUE($D1047&amp;"-01"), "dd-mm-yyyy")),0),0)</f>
        <v>3077</v>
      </c>
      <c r="F1047" cm="1">
        <f t="array" ref="F1047">IF($Q1047&gt;=0,IFERROR(generateSalesData($D1047, IF(ISNUMBER(_xlfn.XLOOKUP($C1047,Phone_by_Sentiment!$B$2:$B$37,Phone_by_Sentiment!F$2:F$37,"",0,1)),_xlfn.XLOOKUP($C1047,Phone_by_Sentiment!$B$2:$B$37,Phone_by_Sentiment!F$2:F$37,"",0,1),0),$A1047-TEXT(DATEVALUE($D1047&amp;"-01"), "dd-mm-yyyy")),0),0)</f>
        <v>206</v>
      </c>
      <c r="G1047" cm="1">
        <f t="array" ref="G1047">IF($Q1047&gt;=0,IFERROR(generateSalesData($D1047, IF(ISNUMBER(_xlfn.XLOOKUP($C1047,Phone_by_Sentiment!$B$2:$B$37,Phone_by_Sentiment!G$2:G$37,"",0,1)),_xlfn.XLOOKUP($C1047,Phone_by_Sentiment!$B$2:$B$37,Phone_by_Sentiment!G$2:G$37,"",0,1),0),$A1047-TEXT(DATEVALUE($D1047&amp;"-01"), "dd-mm-yyyy")),0),0)</f>
        <v>674</v>
      </c>
      <c r="H1047" cm="1">
        <f t="array" ref="H1047">IF($Q1047&gt;=0,IFERROR(generateSalesData($D1047, IF(ISNUMBER(_xlfn.XLOOKUP($C1047,Phone_by_Sentiment!$B$2:$B$37,Phone_by_Sentiment!H$2:H$37,"",0,1)),_xlfn.XLOOKUP($C1047,Phone_by_Sentiment!$B$2:$B$37,Phone_by_Sentiment!H$2:H$37,"",0,1),0),$A1047-TEXT(DATEVALUE($D1047&amp;"-01"), "dd-mm-yyyy")),0),0)</f>
        <v>1196</v>
      </c>
      <c r="I1047" cm="1">
        <f t="array" ref="I1047">IF($Q1047&gt;=0,IFERROR(generateSalesData($D1047, IF(ISNUMBER(_xlfn.XLOOKUP($C1047,Phone_by_Sentiment!$B$2:$B$37,Phone_by_Sentiment!I$2:I$37,"",0,1)),_xlfn.XLOOKUP($C1047,Phone_by_Sentiment!$B$2:$B$37,Phone_by_Sentiment!I$2:I$37,"",0,1),0),$A1047-TEXT(DATEVALUE($D1047&amp;"-01"), "dd-mm-yyyy")),0),0)</f>
        <v>2540</v>
      </c>
      <c r="J1047" cm="1">
        <f t="array" ref="J1047">IF($Q1047&gt;=0,IFERROR(generateSalesData($D1047, IF(ISNUMBER(_xlfn.XLOOKUP($C1047,Phone_by_Sentiment!$B$2:$B$37,Phone_by_Sentiment!J$2:J$37,"",0,1)),_xlfn.XLOOKUP($C1047,Phone_by_Sentiment!$B$2:$B$37,Phone_by_Sentiment!J$2:J$37,"",0,1),0),$A1047-TEXT(DATEVALUE($D1047&amp;"-01"), "dd-mm-yyyy")),0),0)</f>
        <v>804</v>
      </c>
      <c r="K1047" cm="1">
        <f t="array" ref="K1047">IF($Q1047&gt;=0,IFERROR(generateSalesData($D1047, IF(ISNUMBER(_xlfn.XLOOKUP($C1047,Phone_by_Sentiment!$B$2:$B$37,Phone_by_Sentiment!K$2:K$37,"",0,1)),_xlfn.XLOOKUP($C1047,Phone_by_Sentiment!$B$2:$B$37,Phone_by_Sentiment!K$2:K$37,"",0,1),0),$A1047-TEXT(DATEVALUE($D1047&amp;"-01"), "dd-mm-yyyy")),0),0)</f>
        <v>538</v>
      </c>
      <c r="L1047" cm="1">
        <f t="array" ref="L1047">IF($Q1047&gt;=0,IFERROR(generateSalesData($D1047, IF(ISNUMBER(_xlfn.XLOOKUP($C1047,Phone_by_Sentiment!$B$2:$B$37,Phone_by_Sentiment!L$2:L$37,"",0,1)),_xlfn.XLOOKUP($C1047,Phone_by_Sentiment!$B$2:$B$37,Phone_by_Sentiment!L$2:L$37,"",0,1),0),$A1047-TEXT(DATEVALUE($D1047&amp;"-01"), "dd-mm-yyyy")),0),0)</f>
        <v>270</v>
      </c>
      <c r="M1047" cm="1">
        <f t="array" ref="M1047">IF($Q1047&gt;=0,IFERROR(generateSalesData($D1047, IF(ISNUMBER(_xlfn.XLOOKUP($C1047,Phone_by_Sentiment!$B$2:$B$37,Phone_by_Sentiment!M$2:M$37,"",0,1)),_xlfn.XLOOKUP($C1047,Phone_by_Sentiment!$B$2:$B$37,Phone_by_Sentiment!M$2:M$37,"",0,1),0),$A1047-TEXT(DATEVALUE($D1047&amp;"-01"), "dd-mm-yyyy")),0),0)</f>
        <v>2209</v>
      </c>
      <c r="N1047" cm="1">
        <f t="array" ref="N1047">IF($Q1047&gt;=0,IFERROR(generateSalesData($D1047, IF(ISNUMBER(_xlfn.XLOOKUP($C1047,Phone_by_Sentiment!$B$2:$B$37,Phone_by_Sentiment!N$2:N$37,"",0,1)),_xlfn.XLOOKUP($C1047,Phone_by_Sentiment!$B$2:$B$37,Phone_by_Sentiment!N$2:N$37,"",0,1),0),$A1047-TEXT(DATEVALUE($D1047&amp;"-01"), "dd-mm-yyyy")),0),0)</f>
        <v>3035</v>
      </c>
      <c r="O1047" cm="1">
        <f t="array" ref="O1047">IF($Q1047&gt;=0,IFERROR(generateSalesData($D1047, IF(ISNUMBER(_xlfn.XLOOKUP($C1047,Phone_by_Sentiment!$B$2:$B$37,Phone_by_Sentiment!O$2:O$37,"",0,1)),_xlfn.XLOOKUP($C1047,Phone_by_Sentiment!$B$2:$B$37,Phone_by_Sentiment!O$2:O$37,"",0,1),0),$A1047-TEXT(DATEVALUE($D1047&amp;"-01"), "dd-mm-yyyy")),0),0)</f>
        <v>-35</v>
      </c>
      <c r="P1047" s="1">
        <f t="shared" si="43"/>
        <v>44228</v>
      </c>
      <c r="Q1047">
        <f t="shared" si="44"/>
        <v>120</v>
      </c>
    </row>
    <row r="1048" spans="1:17" x14ac:dyDescent="0.25">
      <c r="A1048" s="1">
        <f t="shared" si="45"/>
        <v>44348</v>
      </c>
      <c r="B1048" t="s">
        <v>164</v>
      </c>
      <c r="C1048" t="str">
        <f>_xlfn.XLOOKUP(B1048,Phone_by_Price!$A$2:$A$34,Phone_by_Price!$B$2:$B$34,"-",0,1)</f>
        <v>Vivo V20</v>
      </c>
      <c r="D1048" t="str">
        <f>_xlfn.XLOOKUP(C1048,Phone_by_Sentiment!$B$2:$B$37,Phone_by_Sentiment!$A$2:$A$37,"-",0,1)</f>
        <v>2020-10</v>
      </c>
      <c r="E1048" cm="1">
        <f t="array" ref="E1048">IF($Q1048&gt;=0,IFERROR(generateSalesData($D1048, IF(ISNUMBER(_xlfn.XLOOKUP($C1048,Phone_by_Sentiment!$B$2:$B$37,Phone_by_Sentiment!E$2:E$37,"",0,1)),_xlfn.XLOOKUP($C1048,Phone_by_Sentiment!$B$2:$B$37,Phone_by_Sentiment!E$2:E$37,"",0,1),0),$A1048-TEXT(DATEVALUE($D1048&amp;"-01"), "dd-mm-yyyy")),0),0)</f>
        <v>878</v>
      </c>
      <c r="F1048" cm="1">
        <f t="array" ref="F1048">IF($Q1048&gt;=0,IFERROR(generateSalesData($D1048, IF(ISNUMBER(_xlfn.XLOOKUP($C1048,Phone_by_Sentiment!$B$2:$B$37,Phone_by_Sentiment!F$2:F$37,"",0,1)),_xlfn.XLOOKUP($C1048,Phone_by_Sentiment!$B$2:$B$37,Phone_by_Sentiment!F$2:F$37,"",0,1),0),$A1048-TEXT(DATEVALUE($D1048&amp;"-01"), "dd-mm-yyyy")),0),0)</f>
        <v>325</v>
      </c>
      <c r="G1048" cm="1">
        <f t="array" ref="G1048">IF($Q1048&gt;=0,IFERROR(generateSalesData($D1048, IF(ISNUMBER(_xlfn.XLOOKUP($C1048,Phone_by_Sentiment!$B$2:$B$37,Phone_by_Sentiment!G$2:G$37,"",0,1)),_xlfn.XLOOKUP($C1048,Phone_by_Sentiment!$B$2:$B$37,Phone_by_Sentiment!G$2:G$37,"",0,1),0),$A1048-TEXT(DATEVALUE($D1048&amp;"-01"), "dd-mm-yyyy")),0),0)</f>
        <v>193</v>
      </c>
      <c r="H1048" cm="1">
        <f t="array" ref="H1048">IF($Q1048&gt;=0,IFERROR(generateSalesData($D1048, IF(ISNUMBER(_xlfn.XLOOKUP($C1048,Phone_by_Sentiment!$B$2:$B$37,Phone_by_Sentiment!H$2:H$37,"",0,1)),_xlfn.XLOOKUP($C1048,Phone_by_Sentiment!$B$2:$B$37,Phone_by_Sentiment!H$2:H$37,"",0,1),0),$A1048-TEXT(DATEVALUE($D1048&amp;"-01"), "dd-mm-yyyy")),0),0)</f>
        <v>272</v>
      </c>
      <c r="I1048" cm="1">
        <f t="array" ref="I1048">IF($Q1048&gt;=0,IFERROR(generateSalesData($D1048, IF(ISNUMBER(_xlfn.XLOOKUP($C1048,Phone_by_Sentiment!$B$2:$B$37,Phone_by_Sentiment!I$2:I$37,"",0,1)),_xlfn.XLOOKUP($C1048,Phone_by_Sentiment!$B$2:$B$37,Phone_by_Sentiment!I$2:I$37,"",0,1),0),$A1048-TEXT(DATEVALUE($D1048&amp;"-01"), "dd-mm-yyyy")),0),0)</f>
        <v>336</v>
      </c>
      <c r="J1048" cm="1">
        <f t="array" ref="J1048">IF($Q1048&gt;=0,IFERROR(generateSalesData($D1048, IF(ISNUMBER(_xlfn.XLOOKUP($C1048,Phone_by_Sentiment!$B$2:$B$37,Phone_by_Sentiment!J$2:J$37,"",0,1)),_xlfn.XLOOKUP($C1048,Phone_by_Sentiment!$B$2:$B$37,Phone_by_Sentiment!J$2:J$37,"",0,1),0),$A1048-TEXT(DATEVALUE($D1048&amp;"-01"), "dd-mm-yyyy")),0),0)</f>
        <v>230</v>
      </c>
      <c r="K1048" cm="1">
        <f t="array" ref="K1048">IF($Q1048&gt;=0,IFERROR(generateSalesData($D1048, IF(ISNUMBER(_xlfn.XLOOKUP($C1048,Phone_by_Sentiment!$B$2:$B$37,Phone_by_Sentiment!K$2:K$37,"",0,1)),_xlfn.XLOOKUP($C1048,Phone_by_Sentiment!$B$2:$B$37,Phone_by_Sentiment!K$2:K$37,"",0,1),0),$A1048-TEXT(DATEVALUE($D1048&amp;"-01"), "dd-mm-yyyy")),0),0)</f>
        <v>307</v>
      </c>
      <c r="L1048" cm="1">
        <f t="array" ref="L1048">IF($Q1048&gt;=0,IFERROR(generateSalesData($D1048, IF(ISNUMBER(_xlfn.XLOOKUP($C1048,Phone_by_Sentiment!$B$2:$B$37,Phone_by_Sentiment!L$2:L$37,"",0,1)),_xlfn.XLOOKUP($C1048,Phone_by_Sentiment!$B$2:$B$37,Phone_by_Sentiment!L$2:L$37,"",0,1),0),$A1048-TEXT(DATEVALUE($D1048&amp;"-01"), "dd-mm-yyyy")),0),0)</f>
        <v>217</v>
      </c>
      <c r="M1048" cm="1">
        <f t="array" ref="M1048">IF($Q1048&gt;=0,IFERROR(generateSalesData($D1048, IF(ISNUMBER(_xlfn.XLOOKUP($C1048,Phone_by_Sentiment!$B$2:$B$37,Phone_by_Sentiment!M$2:M$37,"",0,1)),_xlfn.XLOOKUP($C1048,Phone_by_Sentiment!$B$2:$B$37,Phone_by_Sentiment!M$2:M$37,"",0,1),0),$A1048-TEXT(DATEVALUE($D1048&amp;"-01"), "dd-mm-yyyy")),0),0)</f>
        <v>308</v>
      </c>
      <c r="N1048" cm="1">
        <f t="array" ref="N1048">IF($Q1048&gt;=0,IFERROR(generateSalesData($D1048, IF(ISNUMBER(_xlfn.XLOOKUP($C1048,Phone_by_Sentiment!$B$2:$B$37,Phone_by_Sentiment!N$2:N$37,"",0,1)),_xlfn.XLOOKUP($C1048,Phone_by_Sentiment!$B$2:$B$37,Phone_by_Sentiment!N$2:N$37,"",0,1),0),$A1048-TEXT(DATEVALUE($D1048&amp;"-01"), "dd-mm-yyyy")),0),0)</f>
        <v>506</v>
      </c>
      <c r="O1048" cm="1">
        <f t="array" ref="O1048">IF($Q1048&gt;=0,IFERROR(generateSalesData($D1048, IF(ISNUMBER(_xlfn.XLOOKUP($C1048,Phone_by_Sentiment!$B$2:$B$37,Phone_by_Sentiment!O$2:O$37,"",0,1)),_xlfn.XLOOKUP($C1048,Phone_by_Sentiment!$B$2:$B$37,Phone_by_Sentiment!O$2:O$37,"",0,1),0),$A1048-TEXT(DATEVALUE($D1048&amp;"-01"), "dd-mm-yyyy")),0),0)</f>
        <v>430</v>
      </c>
      <c r="P1048" s="1">
        <f t="shared" si="43"/>
        <v>44105</v>
      </c>
      <c r="Q1048">
        <f t="shared" si="44"/>
        <v>243</v>
      </c>
    </row>
    <row r="1049" spans="1:17" x14ac:dyDescent="0.25">
      <c r="A1049" s="1">
        <f t="shared" si="45"/>
        <v>44348</v>
      </c>
      <c r="B1049" t="s">
        <v>165</v>
      </c>
      <c r="C1049" t="str">
        <f>_xlfn.XLOOKUP(B1049,Phone_by_Price!$A$2:$A$34,Phone_by_Price!$B$2:$B$34,"-",0,1)</f>
        <v>Samsung Galaxy A50</v>
      </c>
      <c r="D1049" t="str">
        <f>_xlfn.XLOOKUP(C1049,Phone_by_Sentiment!$B$2:$B$37,Phone_by_Sentiment!$A$2:$A$37,"-",0,1)</f>
        <v>2019-05</v>
      </c>
      <c r="E1049" cm="1">
        <f t="array" ref="E1049">IF($Q1049&gt;=0,IFERROR(generateSalesData($D1049, IF(ISNUMBER(_xlfn.XLOOKUP($C1049,Phone_by_Sentiment!$B$2:$B$37,Phone_by_Sentiment!E$2:E$37,"",0,1)),_xlfn.XLOOKUP($C1049,Phone_by_Sentiment!$B$2:$B$37,Phone_by_Sentiment!E$2:E$37,"",0,1),0),$A1049-TEXT(DATEVALUE($D1049&amp;"-01"), "dd-mm-yyyy")),0),0)</f>
        <v>433</v>
      </c>
      <c r="F1049" cm="1">
        <f t="array" ref="F1049">IF($Q1049&gt;=0,IFERROR(generateSalesData($D1049, IF(ISNUMBER(_xlfn.XLOOKUP($C1049,Phone_by_Sentiment!$B$2:$B$37,Phone_by_Sentiment!F$2:F$37,"",0,1)),_xlfn.XLOOKUP($C1049,Phone_by_Sentiment!$B$2:$B$37,Phone_by_Sentiment!F$2:F$37,"",0,1),0),$A1049-TEXT(DATEVALUE($D1049&amp;"-01"), "dd-mm-yyyy")),0),0)</f>
        <v>88</v>
      </c>
      <c r="G1049" cm="1">
        <f t="array" ref="G1049">IF($Q1049&gt;=0,IFERROR(generateSalesData($D1049, IF(ISNUMBER(_xlfn.XLOOKUP($C1049,Phone_by_Sentiment!$B$2:$B$37,Phone_by_Sentiment!G$2:G$37,"",0,1)),_xlfn.XLOOKUP($C1049,Phone_by_Sentiment!$B$2:$B$37,Phone_by_Sentiment!G$2:G$37,"",0,1),0),$A1049-TEXT(DATEVALUE($D1049&amp;"-01"), "dd-mm-yyyy")),0),0)</f>
        <v>98</v>
      </c>
      <c r="H1049" cm="1">
        <f t="array" ref="H1049">IF($Q1049&gt;=0,IFERROR(generateSalesData($D1049, IF(ISNUMBER(_xlfn.XLOOKUP($C1049,Phone_by_Sentiment!$B$2:$B$37,Phone_by_Sentiment!H$2:H$37,"",0,1)),_xlfn.XLOOKUP($C1049,Phone_by_Sentiment!$B$2:$B$37,Phone_by_Sentiment!H$2:H$37,"",0,1),0),$A1049-TEXT(DATEVALUE($D1049&amp;"-01"), "dd-mm-yyyy")),0),0)</f>
        <v>87</v>
      </c>
      <c r="I1049" cm="1">
        <f t="array" ref="I1049">IF($Q1049&gt;=0,IFERROR(generateSalesData($D1049, IF(ISNUMBER(_xlfn.XLOOKUP($C1049,Phone_by_Sentiment!$B$2:$B$37,Phone_by_Sentiment!I$2:I$37,"",0,1)),_xlfn.XLOOKUP($C1049,Phone_by_Sentiment!$B$2:$B$37,Phone_by_Sentiment!I$2:I$37,"",0,1),0),$A1049-TEXT(DATEVALUE($D1049&amp;"-01"), "dd-mm-yyyy")),0),0)</f>
        <v>230</v>
      </c>
      <c r="J1049" cm="1">
        <f t="array" ref="J1049">IF($Q1049&gt;=0,IFERROR(generateSalesData($D1049, IF(ISNUMBER(_xlfn.XLOOKUP($C1049,Phone_by_Sentiment!$B$2:$B$37,Phone_by_Sentiment!J$2:J$37,"",0,1)),_xlfn.XLOOKUP($C1049,Phone_by_Sentiment!$B$2:$B$37,Phone_by_Sentiment!J$2:J$37,"",0,1),0),$A1049-TEXT(DATEVALUE($D1049&amp;"-01"), "dd-mm-yyyy")),0),0)</f>
        <v>147</v>
      </c>
      <c r="K1049" cm="1">
        <f t="array" ref="K1049">IF($Q1049&gt;=0,IFERROR(generateSalesData($D1049, IF(ISNUMBER(_xlfn.XLOOKUP($C1049,Phone_by_Sentiment!$B$2:$B$37,Phone_by_Sentiment!K$2:K$37,"",0,1)),_xlfn.XLOOKUP($C1049,Phone_by_Sentiment!$B$2:$B$37,Phone_by_Sentiment!K$2:K$37,"",0,1),0),$A1049-TEXT(DATEVALUE($D1049&amp;"-01"), "dd-mm-yyyy")),0),0)</f>
        <v>99</v>
      </c>
      <c r="L1049" cm="1">
        <f t="array" ref="L1049">IF($Q1049&gt;=0,IFERROR(generateSalesData($D1049, IF(ISNUMBER(_xlfn.XLOOKUP($C1049,Phone_by_Sentiment!$B$2:$B$37,Phone_by_Sentiment!L$2:L$37,"",0,1)),_xlfn.XLOOKUP($C1049,Phone_by_Sentiment!$B$2:$B$37,Phone_by_Sentiment!L$2:L$37,"",0,1),0),$A1049-TEXT(DATEVALUE($D1049&amp;"-01"), "dd-mm-yyyy")),0),0)</f>
        <v>285</v>
      </c>
      <c r="M1049" cm="1">
        <f t="array" ref="M1049">IF($Q1049&gt;=0,IFERROR(generateSalesData($D1049, IF(ISNUMBER(_xlfn.XLOOKUP($C1049,Phone_by_Sentiment!$B$2:$B$37,Phone_by_Sentiment!M$2:M$37,"",0,1)),_xlfn.XLOOKUP($C1049,Phone_by_Sentiment!$B$2:$B$37,Phone_by_Sentiment!M$2:M$37,"",0,1),0),$A1049-TEXT(DATEVALUE($D1049&amp;"-01"), "dd-mm-yyyy")),0),0)</f>
        <v>38</v>
      </c>
      <c r="N1049" cm="1">
        <f t="array" ref="N1049">IF($Q1049&gt;=0,IFERROR(generateSalesData($D1049, IF(ISNUMBER(_xlfn.XLOOKUP($C1049,Phone_by_Sentiment!$B$2:$B$37,Phone_by_Sentiment!N$2:N$37,"",0,1)),_xlfn.XLOOKUP($C1049,Phone_by_Sentiment!$B$2:$B$37,Phone_by_Sentiment!N$2:N$37,"",0,1),0),$A1049-TEXT(DATEVALUE($D1049&amp;"-01"), "dd-mm-yyyy")),0),0)</f>
        <v>245</v>
      </c>
      <c r="O1049" cm="1">
        <f t="array" ref="O1049">IF($Q1049&gt;=0,IFERROR(generateSalesData($D1049, IF(ISNUMBER(_xlfn.XLOOKUP($C1049,Phone_by_Sentiment!$B$2:$B$37,Phone_by_Sentiment!O$2:O$37,"",0,1)),_xlfn.XLOOKUP($C1049,Phone_by_Sentiment!$B$2:$B$37,Phone_by_Sentiment!O$2:O$37,"",0,1),0),$A1049-TEXT(DATEVALUE($D1049&amp;"-01"), "dd-mm-yyyy")),0),0)</f>
        <v>376</v>
      </c>
      <c r="P1049" s="1">
        <f t="shared" si="43"/>
        <v>43586</v>
      </c>
      <c r="Q1049">
        <f t="shared" si="44"/>
        <v>762</v>
      </c>
    </row>
    <row r="1050" spans="1:17" x14ac:dyDescent="0.25">
      <c r="A1050" s="1">
        <f t="shared" si="45"/>
        <v>44348</v>
      </c>
      <c r="B1050" t="s">
        <v>166</v>
      </c>
      <c r="C1050" t="str">
        <f>_xlfn.XLOOKUP(B1050,Phone_by_Price!$A$2:$A$34,Phone_by_Price!$B$2:$B$34,"-",0,1)</f>
        <v>Xiaomi Redmi Note 7</v>
      </c>
      <c r="D1050" t="str">
        <f>_xlfn.XLOOKUP(C1050,Phone_by_Sentiment!$B$2:$B$37,Phone_by_Sentiment!$A$2:$A$37,"-",0,1)</f>
        <v>2019-08</v>
      </c>
      <c r="E1050" cm="1">
        <f t="array" ref="E1050">IF($Q1050&gt;=0,IFERROR(generateSalesData($D1050, IF(ISNUMBER(_xlfn.XLOOKUP($C1050,Phone_by_Sentiment!$B$2:$B$37,Phone_by_Sentiment!E$2:E$37,"",0,1)),_xlfn.XLOOKUP($C1050,Phone_by_Sentiment!$B$2:$B$37,Phone_by_Sentiment!E$2:E$37,"",0,1),0),$A1050-TEXT(DATEVALUE($D1050&amp;"-01"), "dd-mm-yyyy")),0),0)</f>
        <v>102</v>
      </c>
      <c r="F1050" cm="1">
        <f t="array" ref="F1050">IF($Q1050&gt;=0,IFERROR(generateSalesData($D1050, IF(ISNUMBER(_xlfn.XLOOKUP($C1050,Phone_by_Sentiment!$B$2:$B$37,Phone_by_Sentiment!F$2:F$37,"",0,1)),_xlfn.XLOOKUP($C1050,Phone_by_Sentiment!$B$2:$B$37,Phone_by_Sentiment!F$2:F$37,"",0,1),0),$A1050-TEXT(DATEVALUE($D1050&amp;"-01"), "dd-mm-yyyy")),0),0)</f>
        <v>75</v>
      </c>
      <c r="G1050" cm="1">
        <f t="array" ref="G1050">IF($Q1050&gt;=0,IFERROR(generateSalesData($D1050, IF(ISNUMBER(_xlfn.XLOOKUP($C1050,Phone_by_Sentiment!$B$2:$B$37,Phone_by_Sentiment!G$2:G$37,"",0,1)),_xlfn.XLOOKUP($C1050,Phone_by_Sentiment!$B$2:$B$37,Phone_by_Sentiment!G$2:G$37,"",0,1),0),$A1050-TEXT(DATEVALUE($D1050&amp;"-01"), "dd-mm-yyyy")),0),0)</f>
        <v>34</v>
      </c>
      <c r="H1050" cm="1">
        <f t="array" ref="H1050">IF($Q1050&gt;=0,IFERROR(generateSalesData($D1050, IF(ISNUMBER(_xlfn.XLOOKUP($C1050,Phone_by_Sentiment!$B$2:$B$37,Phone_by_Sentiment!H$2:H$37,"",0,1)),_xlfn.XLOOKUP($C1050,Phone_by_Sentiment!$B$2:$B$37,Phone_by_Sentiment!H$2:H$37,"",0,1),0),$A1050-TEXT(DATEVALUE($D1050&amp;"-01"), "dd-mm-yyyy")),0),0)</f>
        <v>224</v>
      </c>
      <c r="I1050" cm="1">
        <f t="array" ref="I1050">IF($Q1050&gt;=0,IFERROR(generateSalesData($D1050, IF(ISNUMBER(_xlfn.XLOOKUP($C1050,Phone_by_Sentiment!$B$2:$B$37,Phone_by_Sentiment!I$2:I$37,"",0,1)),_xlfn.XLOOKUP($C1050,Phone_by_Sentiment!$B$2:$B$37,Phone_by_Sentiment!I$2:I$37,"",0,1),0),$A1050-TEXT(DATEVALUE($D1050&amp;"-01"), "dd-mm-yyyy")),0),0)</f>
        <v>64</v>
      </c>
      <c r="J1050" cm="1">
        <f t="array" ref="J1050">IF($Q1050&gt;=0,IFERROR(generateSalesData($D1050, IF(ISNUMBER(_xlfn.XLOOKUP($C1050,Phone_by_Sentiment!$B$2:$B$37,Phone_by_Sentiment!J$2:J$37,"",0,1)),_xlfn.XLOOKUP($C1050,Phone_by_Sentiment!$B$2:$B$37,Phone_by_Sentiment!J$2:J$37,"",0,1),0),$A1050-TEXT(DATEVALUE($D1050&amp;"-01"), "dd-mm-yyyy")),0),0)</f>
        <v>105</v>
      </c>
      <c r="K1050" cm="1">
        <f t="array" ref="K1050">IF($Q1050&gt;=0,IFERROR(generateSalesData($D1050, IF(ISNUMBER(_xlfn.XLOOKUP($C1050,Phone_by_Sentiment!$B$2:$B$37,Phone_by_Sentiment!K$2:K$37,"",0,1)),_xlfn.XLOOKUP($C1050,Phone_by_Sentiment!$B$2:$B$37,Phone_by_Sentiment!K$2:K$37,"",0,1),0),$A1050-TEXT(DATEVALUE($D1050&amp;"-01"), "dd-mm-yyyy")),0),0)</f>
        <v>248</v>
      </c>
      <c r="L1050" cm="1">
        <f t="array" ref="L1050">IF($Q1050&gt;=0,IFERROR(generateSalesData($D1050, IF(ISNUMBER(_xlfn.XLOOKUP($C1050,Phone_by_Sentiment!$B$2:$B$37,Phone_by_Sentiment!L$2:L$37,"",0,1)),_xlfn.XLOOKUP($C1050,Phone_by_Sentiment!$B$2:$B$37,Phone_by_Sentiment!L$2:L$37,"",0,1),0),$A1050-TEXT(DATEVALUE($D1050&amp;"-01"), "dd-mm-yyyy")),0),0)</f>
        <v>113</v>
      </c>
      <c r="M1050" cm="1">
        <f t="array" ref="M1050">IF($Q1050&gt;=0,IFERROR(generateSalesData($D1050, IF(ISNUMBER(_xlfn.XLOOKUP($C1050,Phone_by_Sentiment!$B$2:$B$37,Phone_by_Sentiment!M$2:M$37,"",0,1)),_xlfn.XLOOKUP($C1050,Phone_by_Sentiment!$B$2:$B$37,Phone_by_Sentiment!M$2:M$37,"",0,1),0),$A1050-TEXT(DATEVALUE($D1050&amp;"-01"), "dd-mm-yyyy")),0),0)</f>
        <v>187</v>
      </c>
      <c r="N1050" cm="1">
        <f t="array" ref="N1050">IF($Q1050&gt;=0,IFERROR(generateSalesData($D1050, IF(ISNUMBER(_xlfn.XLOOKUP($C1050,Phone_by_Sentiment!$B$2:$B$37,Phone_by_Sentiment!N$2:N$37,"",0,1)),_xlfn.XLOOKUP($C1050,Phone_by_Sentiment!$B$2:$B$37,Phone_by_Sentiment!N$2:N$37,"",0,1),0),$A1050-TEXT(DATEVALUE($D1050&amp;"-01"), "dd-mm-yyyy")),0),0)</f>
        <v>46</v>
      </c>
      <c r="O1050" cm="1">
        <f t="array" ref="O1050">IF($Q1050&gt;=0,IFERROR(generateSalesData($D1050, IF(ISNUMBER(_xlfn.XLOOKUP($C1050,Phone_by_Sentiment!$B$2:$B$37,Phone_by_Sentiment!O$2:O$37,"",0,1)),_xlfn.XLOOKUP($C1050,Phone_by_Sentiment!$B$2:$B$37,Phone_by_Sentiment!O$2:O$37,"",0,1),0),$A1050-TEXT(DATEVALUE($D1050&amp;"-01"), "dd-mm-yyyy")),0),0)</f>
        <v>49</v>
      </c>
      <c r="P1050" s="1">
        <f t="shared" si="43"/>
        <v>43678</v>
      </c>
      <c r="Q1050">
        <f t="shared" si="44"/>
        <v>670</v>
      </c>
    </row>
    <row r="1051" spans="1:17" x14ac:dyDescent="0.25">
      <c r="A1051" s="1">
        <f t="shared" si="45"/>
        <v>44378</v>
      </c>
      <c r="B1051" t="s">
        <v>167</v>
      </c>
      <c r="C1051" t="str">
        <f>_xlfn.XLOOKUP(B1051,Phone_by_Price!$A$2:$A$34,Phone_by_Price!$B$2:$B$34,"-",0,1)</f>
        <v>Realme C21</v>
      </c>
      <c r="D1051" t="str">
        <f>_xlfn.XLOOKUP(C1051,Phone_by_Sentiment!$B$2:$B$37,Phone_by_Sentiment!$A$2:$A$37,"-",0,1)</f>
        <v>2021-04</v>
      </c>
      <c r="E1051" cm="1">
        <f t="array" ref="E1051">IF($Q1051&gt;=0,IFERROR(generateSalesData($D1051, IF(ISNUMBER(_xlfn.XLOOKUP($C1051,Phone_by_Sentiment!$B$2:$B$37,Phone_by_Sentiment!E$2:E$37,"",0,1)),_xlfn.XLOOKUP($C1051,Phone_by_Sentiment!$B$2:$B$37,Phone_by_Sentiment!E$2:E$37,"",0,1),0),$A1051-TEXT(DATEVALUE($D1051&amp;"-01"), "dd-mm-yyyy")),0),0)</f>
        <v>90</v>
      </c>
      <c r="F1051" cm="1">
        <f t="array" ref="F1051">IF($Q1051&gt;=0,IFERROR(generateSalesData($D1051, IF(ISNUMBER(_xlfn.XLOOKUP($C1051,Phone_by_Sentiment!$B$2:$B$37,Phone_by_Sentiment!F$2:F$37,"",0,1)),_xlfn.XLOOKUP($C1051,Phone_by_Sentiment!$B$2:$B$37,Phone_by_Sentiment!F$2:F$37,"",0,1),0),$A1051-TEXT(DATEVALUE($D1051&amp;"-01"), "dd-mm-yyyy")),0),0)</f>
        <v>914</v>
      </c>
      <c r="G1051" cm="1">
        <f t="array" ref="G1051">IF($Q1051&gt;=0,IFERROR(generateSalesData($D1051, IF(ISNUMBER(_xlfn.XLOOKUP($C1051,Phone_by_Sentiment!$B$2:$B$37,Phone_by_Sentiment!G$2:G$37,"",0,1)),_xlfn.XLOOKUP($C1051,Phone_by_Sentiment!$B$2:$B$37,Phone_by_Sentiment!G$2:G$37,"",0,1),0),$A1051-TEXT(DATEVALUE($D1051&amp;"-01"), "dd-mm-yyyy")),0),0)</f>
        <v>59</v>
      </c>
      <c r="H1051" cm="1">
        <f t="array" ref="H1051">IF($Q1051&gt;=0,IFERROR(generateSalesData($D1051, IF(ISNUMBER(_xlfn.XLOOKUP($C1051,Phone_by_Sentiment!$B$2:$B$37,Phone_by_Sentiment!H$2:H$37,"",0,1)),_xlfn.XLOOKUP($C1051,Phone_by_Sentiment!$B$2:$B$37,Phone_by_Sentiment!H$2:H$37,"",0,1),0),$A1051-TEXT(DATEVALUE($D1051&amp;"-01"), "dd-mm-yyyy")),0),0)</f>
        <v>2549</v>
      </c>
      <c r="I1051" cm="1">
        <f t="array" ref="I1051">IF($Q1051&gt;=0,IFERROR(generateSalesData($D1051, IF(ISNUMBER(_xlfn.XLOOKUP($C1051,Phone_by_Sentiment!$B$2:$B$37,Phone_by_Sentiment!I$2:I$37,"",0,1)),_xlfn.XLOOKUP($C1051,Phone_by_Sentiment!$B$2:$B$37,Phone_by_Sentiment!I$2:I$37,"",0,1),0),$A1051-TEXT(DATEVALUE($D1051&amp;"-01"), "dd-mm-yyyy")),0),0)</f>
        <v>2786</v>
      </c>
      <c r="J1051" cm="1">
        <f t="array" ref="J1051">IF($Q1051&gt;=0,IFERROR(generateSalesData($D1051, IF(ISNUMBER(_xlfn.XLOOKUP($C1051,Phone_by_Sentiment!$B$2:$B$37,Phone_by_Sentiment!J$2:J$37,"",0,1)),_xlfn.XLOOKUP($C1051,Phone_by_Sentiment!$B$2:$B$37,Phone_by_Sentiment!J$2:J$37,"",0,1),0),$A1051-TEXT(DATEVALUE($D1051&amp;"-01"), "dd-mm-yyyy")),0),0)</f>
        <v>570</v>
      </c>
      <c r="K1051" cm="1">
        <f t="array" ref="K1051">IF($Q1051&gt;=0,IFERROR(generateSalesData($D1051, IF(ISNUMBER(_xlfn.XLOOKUP($C1051,Phone_by_Sentiment!$B$2:$B$37,Phone_by_Sentiment!K$2:K$37,"",0,1)),_xlfn.XLOOKUP($C1051,Phone_by_Sentiment!$B$2:$B$37,Phone_by_Sentiment!K$2:K$37,"",0,1),0),$A1051-TEXT(DATEVALUE($D1051&amp;"-01"), "dd-mm-yyyy")),0),0)</f>
        <v>125</v>
      </c>
      <c r="L1051" cm="1">
        <f t="array" ref="L1051">IF($Q1051&gt;=0,IFERROR(generateSalesData($D1051, IF(ISNUMBER(_xlfn.XLOOKUP($C1051,Phone_by_Sentiment!$B$2:$B$37,Phone_by_Sentiment!L$2:L$37,"",0,1)),_xlfn.XLOOKUP($C1051,Phone_by_Sentiment!$B$2:$B$37,Phone_by_Sentiment!L$2:L$37,"",0,1),0),$A1051-TEXT(DATEVALUE($D1051&amp;"-01"), "dd-mm-yyyy")),0),0)</f>
        <v>1458</v>
      </c>
      <c r="M1051" cm="1">
        <f t="array" ref="M1051">IF($Q1051&gt;=0,IFERROR(generateSalesData($D1051, IF(ISNUMBER(_xlfn.XLOOKUP($C1051,Phone_by_Sentiment!$B$2:$B$37,Phone_by_Sentiment!M$2:M$37,"",0,1)),_xlfn.XLOOKUP($C1051,Phone_by_Sentiment!$B$2:$B$37,Phone_by_Sentiment!M$2:M$37,"",0,1),0),$A1051-TEXT(DATEVALUE($D1051&amp;"-01"), "dd-mm-yyyy")),0),0)</f>
        <v>401</v>
      </c>
      <c r="N1051" cm="1">
        <f t="array" ref="N1051">IF($Q1051&gt;=0,IFERROR(generateSalesData($D1051, IF(ISNUMBER(_xlfn.XLOOKUP($C1051,Phone_by_Sentiment!$B$2:$B$37,Phone_by_Sentiment!N$2:N$37,"",0,1)),_xlfn.XLOOKUP($C1051,Phone_by_Sentiment!$B$2:$B$37,Phone_by_Sentiment!N$2:N$37,"",0,1),0),$A1051-TEXT(DATEVALUE($D1051&amp;"-01"), "dd-mm-yyyy")),0),0)</f>
        <v>1284</v>
      </c>
      <c r="O1051" cm="1">
        <f t="array" ref="O1051">IF($Q1051&gt;=0,IFERROR(generateSalesData($D1051, IF(ISNUMBER(_xlfn.XLOOKUP($C1051,Phone_by_Sentiment!$B$2:$B$37,Phone_by_Sentiment!O$2:O$37,"",0,1)),_xlfn.XLOOKUP($C1051,Phone_by_Sentiment!$B$2:$B$37,Phone_by_Sentiment!O$2:O$37,"",0,1),0),$A1051-TEXT(DATEVALUE($D1051&amp;"-01"), "dd-mm-yyyy")),0),0)</f>
        <v>525</v>
      </c>
      <c r="P1051" s="1">
        <f t="shared" si="43"/>
        <v>44287</v>
      </c>
      <c r="Q1051">
        <f t="shared" si="44"/>
        <v>91</v>
      </c>
    </row>
    <row r="1052" spans="1:17" x14ac:dyDescent="0.25">
      <c r="A1052" s="1">
        <f t="shared" si="45"/>
        <v>44378</v>
      </c>
      <c r="B1052" t="s">
        <v>168</v>
      </c>
      <c r="C1052" t="str">
        <f>_xlfn.XLOOKUP(B1052,Phone_by_Price!$A$2:$A$34,Phone_by_Price!$B$2:$B$34,"-",0,1)</f>
        <v>Google Pixel 4</v>
      </c>
      <c r="D1052" t="str">
        <f>_xlfn.XLOOKUP(C1052,Phone_by_Sentiment!$B$2:$B$37,Phone_by_Sentiment!$A$2:$A$37,"-",0,1)</f>
        <v>2019-09</v>
      </c>
      <c r="E1052" cm="1">
        <f t="array" ref="E1052">IF($Q1052&gt;=0,IFERROR(generateSalesData($D1052, IF(ISNUMBER(_xlfn.XLOOKUP($C1052,Phone_by_Sentiment!$B$2:$B$37,Phone_by_Sentiment!E$2:E$37,"",0,1)),_xlfn.XLOOKUP($C1052,Phone_by_Sentiment!$B$2:$B$37,Phone_by_Sentiment!E$2:E$37,"",0,1),0),$A1052-TEXT(DATEVALUE($D1052&amp;"-01"), "dd-mm-yyyy")),0),0)</f>
        <v>270</v>
      </c>
      <c r="F1052" cm="1">
        <f t="array" ref="F1052">IF($Q1052&gt;=0,IFERROR(generateSalesData($D1052, IF(ISNUMBER(_xlfn.XLOOKUP($C1052,Phone_by_Sentiment!$B$2:$B$37,Phone_by_Sentiment!F$2:F$37,"",0,1)),_xlfn.XLOOKUP($C1052,Phone_by_Sentiment!$B$2:$B$37,Phone_by_Sentiment!F$2:F$37,"",0,1),0),$A1052-TEXT(DATEVALUE($D1052&amp;"-01"), "dd-mm-yyyy")),0),0)</f>
        <v>84</v>
      </c>
      <c r="G1052" cm="1">
        <f t="array" ref="G1052">IF($Q1052&gt;=0,IFERROR(generateSalesData($D1052, IF(ISNUMBER(_xlfn.XLOOKUP($C1052,Phone_by_Sentiment!$B$2:$B$37,Phone_by_Sentiment!G$2:G$37,"",0,1)),_xlfn.XLOOKUP($C1052,Phone_by_Sentiment!$B$2:$B$37,Phone_by_Sentiment!G$2:G$37,"",0,1),0),$A1052-TEXT(DATEVALUE($D1052&amp;"-01"), "dd-mm-yyyy")),0),0)</f>
        <v>124</v>
      </c>
      <c r="H1052" cm="1">
        <f t="array" ref="H1052">IF($Q1052&gt;=0,IFERROR(generateSalesData($D1052, IF(ISNUMBER(_xlfn.XLOOKUP($C1052,Phone_by_Sentiment!$B$2:$B$37,Phone_by_Sentiment!H$2:H$37,"",0,1)),_xlfn.XLOOKUP($C1052,Phone_by_Sentiment!$B$2:$B$37,Phone_by_Sentiment!H$2:H$37,"",0,1),0),$A1052-TEXT(DATEVALUE($D1052&amp;"-01"), "dd-mm-yyyy")),0),0)</f>
        <v>123</v>
      </c>
      <c r="I1052" cm="1">
        <f t="array" ref="I1052">IF($Q1052&gt;=0,IFERROR(generateSalesData($D1052, IF(ISNUMBER(_xlfn.XLOOKUP($C1052,Phone_by_Sentiment!$B$2:$B$37,Phone_by_Sentiment!I$2:I$37,"",0,1)),_xlfn.XLOOKUP($C1052,Phone_by_Sentiment!$B$2:$B$37,Phone_by_Sentiment!I$2:I$37,"",0,1),0),$A1052-TEXT(DATEVALUE($D1052&amp;"-01"), "dd-mm-yyyy")),0),0)</f>
        <v>151</v>
      </c>
      <c r="J1052" cm="1">
        <f t="array" ref="J1052">IF($Q1052&gt;=0,IFERROR(generateSalesData($D1052, IF(ISNUMBER(_xlfn.XLOOKUP($C1052,Phone_by_Sentiment!$B$2:$B$37,Phone_by_Sentiment!J$2:J$37,"",0,1)),_xlfn.XLOOKUP($C1052,Phone_by_Sentiment!$B$2:$B$37,Phone_by_Sentiment!J$2:J$37,"",0,1),0),$A1052-TEXT(DATEVALUE($D1052&amp;"-01"), "dd-mm-yyyy")),0),0)</f>
        <v>113</v>
      </c>
      <c r="K1052" cm="1">
        <f t="array" ref="K1052">IF($Q1052&gt;=0,IFERROR(generateSalesData($D1052, IF(ISNUMBER(_xlfn.XLOOKUP($C1052,Phone_by_Sentiment!$B$2:$B$37,Phone_by_Sentiment!K$2:K$37,"",0,1)),_xlfn.XLOOKUP($C1052,Phone_by_Sentiment!$B$2:$B$37,Phone_by_Sentiment!K$2:K$37,"",0,1),0),$A1052-TEXT(DATEVALUE($D1052&amp;"-01"), "dd-mm-yyyy")),0),0)</f>
        <v>132</v>
      </c>
      <c r="L1052" cm="1">
        <f t="array" ref="L1052">IF($Q1052&gt;=0,IFERROR(generateSalesData($D1052, IF(ISNUMBER(_xlfn.XLOOKUP($C1052,Phone_by_Sentiment!$B$2:$B$37,Phone_by_Sentiment!L$2:L$37,"",0,1)),_xlfn.XLOOKUP($C1052,Phone_by_Sentiment!$B$2:$B$37,Phone_by_Sentiment!L$2:L$37,"",0,1),0),$A1052-TEXT(DATEVALUE($D1052&amp;"-01"), "dd-mm-yyyy")),0),0)</f>
        <v>444</v>
      </c>
      <c r="M1052" cm="1">
        <f t="array" ref="M1052">IF($Q1052&gt;=0,IFERROR(generateSalesData($D1052, IF(ISNUMBER(_xlfn.XLOOKUP($C1052,Phone_by_Sentiment!$B$2:$B$37,Phone_by_Sentiment!M$2:M$37,"",0,1)),_xlfn.XLOOKUP($C1052,Phone_by_Sentiment!$B$2:$B$37,Phone_by_Sentiment!M$2:M$37,"",0,1),0),$A1052-TEXT(DATEVALUE($D1052&amp;"-01"), "dd-mm-yyyy")),0),0)</f>
        <v>154</v>
      </c>
      <c r="N1052" cm="1">
        <f t="array" ref="N1052">IF($Q1052&gt;=0,IFERROR(generateSalesData($D1052, IF(ISNUMBER(_xlfn.XLOOKUP($C1052,Phone_by_Sentiment!$B$2:$B$37,Phone_by_Sentiment!N$2:N$37,"",0,1)),_xlfn.XLOOKUP($C1052,Phone_by_Sentiment!$B$2:$B$37,Phone_by_Sentiment!N$2:N$37,"",0,1),0),$A1052-TEXT(DATEVALUE($D1052&amp;"-01"), "dd-mm-yyyy")),0),0)</f>
        <v>309</v>
      </c>
      <c r="O1052" cm="1">
        <f t="array" ref="O1052">IF($Q1052&gt;=0,IFERROR(generateSalesData($D1052, IF(ISNUMBER(_xlfn.XLOOKUP($C1052,Phone_by_Sentiment!$B$2:$B$37,Phone_by_Sentiment!O$2:O$37,"",0,1)),_xlfn.XLOOKUP($C1052,Phone_by_Sentiment!$B$2:$B$37,Phone_by_Sentiment!O$2:O$37,"",0,1),0),$A1052-TEXT(DATEVALUE($D1052&amp;"-01"), "dd-mm-yyyy")),0),0)</f>
        <v>55</v>
      </c>
      <c r="P1052" s="1">
        <f t="shared" si="43"/>
        <v>43709</v>
      </c>
      <c r="Q1052">
        <f t="shared" si="44"/>
        <v>669</v>
      </c>
    </row>
    <row r="1053" spans="1:17" x14ac:dyDescent="0.25">
      <c r="A1053" s="1">
        <f t="shared" si="45"/>
        <v>44378</v>
      </c>
      <c r="B1053" t="s">
        <v>169</v>
      </c>
      <c r="C1053" t="str">
        <f>_xlfn.XLOOKUP(B1053,Phone_by_Price!$A$2:$A$34,Phone_by_Price!$B$2:$B$34,"-",0,1)</f>
        <v>Samsung Galaxy A10s</v>
      </c>
      <c r="D1053" t="str">
        <f>_xlfn.XLOOKUP(C1053,Phone_by_Sentiment!$B$2:$B$37,Phone_by_Sentiment!$A$2:$A$37,"-",0,1)</f>
        <v>2019-08</v>
      </c>
      <c r="E1053" cm="1">
        <f t="array" ref="E1053">IF($Q1053&gt;=0,IFERROR(generateSalesData($D1053, IF(ISNUMBER(_xlfn.XLOOKUP($C1053,Phone_by_Sentiment!$B$2:$B$37,Phone_by_Sentiment!E$2:E$37,"",0,1)),_xlfn.XLOOKUP($C1053,Phone_by_Sentiment!$B$2:$B$37,Phone_by_Sentiment!E$2:E$37,"",0,1),0),$A1053-TEXT(DATEVALUE($D1053&amp;"-01"), "dd-mm-yyyy")),0),0)</f>
        <v>92</v>
      </c>
      <c r="F1053" cm="1">
        <f t="array" ref="F1053">IF($Q1053&gt;=0,IFERROR(generateSalesData($D1053, IF(ISNUMBER(_xlfn.XLOOKUP($C1053,Phone_by_Sentiment!$B$2:$B$37,Phone_by_Sentiment!F$2:F$37,"",0,1)),_xlfn.XLOOKUP($C1053,Phone_by_Sentiment!$B$2:$B$37,Phone_by_Sentiment!F$2:F$37,"",0,1),0),$A1053-TEXT(DATEVALUE($D1053&amp;"-01"), "dd-mm-yyyy")),0),0)</f>
        <v>386</v>
      </c>
      <c r="G1053" cm="1">
        <f t="array" ref="G1053">IF($Q1053&gt;=0,IFERROR(generateSalesData($D1053, IF(ISNUMBER(_xlfn.XLOOKUP($C1053,Phone_by_Sentiment!$B$2:$B$37,Phone_by_Sentiment!G$2:G$37,"",0,1)),_xlfn.XLOOKUP($C1053,Phone_by_Sentiment!$B$2:$B$37,Phone_by_Sentiment!G$2:G$37,"",0,1),0),$A1053-TEXT(DATEVALUE($D1053&amp;"-01"), "dd-mm-yyyy")),0),0)</f>
        <v>49</v>
      </c>
      <c r="H1053" cm="1">
        <f t="array" ref="H1053">IF($Q1053&gt;=0,IFERROR(generateSalesData($D1053, IF(ISNUMBER(_xlfn.XLOOKUP($C1053,Phone_by_Sentiment!$B$2:$B$37,Phone_by_Sentiment!H$2:H$37,"",0,1)),_xlfn.XLOOKUP($C1053,Phone_by_Sentiment!$B$2:$B$37,Phone_by_Sentiment!H$2:H$37,"",0,1),0),$A1053-TEXT(DATEVALUE($D1053&amp;"-01"), "dd-mm-yyyy")),0),0)</f>
        <v>302</v>
      </c>
      <c r="I1053" cm="1">
        <f t="array" ref="I1053">IF($Q1053&gt;=0,IFERROR(generateSalesData($D1053, IF(ISNUMBER(_xlfn.XLOOKUP($C1053,Phone_by_Sentiment!$B$2:$B$37,Phone_by_Sentiment!I$2:I$37,"",0,1)),_xlfn.XLOOKUP($C1053,Phone_by_Sentiment!$B$2:$B$37,Phone_by_Sentiment!I$2:I$37,"",0,1),0),$A1053-TEXT(DATEVALUE($D1053&amp;"-01"), "dd-mm-yyyy")),0),0)</f>
        <v>514</v>
      </c>
      <c r="J1053" cm="1">
        <f t="array" ref="J1053">IF($Q1053&gt;=0,IFERROR(generateSalesData($D1053, IF(ISNUMBER(_xlfn.XLOOKUP($C1053,Phone_by_Sentiment!$B$2:$B$37,Phone_by_Sentiment!J$2:J$37,"",0,1)),_xlfn.XLOOKUP($C1053,Phone_by_Sentiment!$B$2:$B$37,Phone_by_Sentiment!J$2:J$37,"",0,1),0),$A1053-TEXT(DATEVALUE($D1053&amp;"-01"), "dd-mm-yyyy")),0),0)</f>
        <v>466</v>
      </c>
      <c r="K1053" cm="1">
        <f t="array" ref="K1053">IF($Q1053&gt;=0,IFERROR(generateSalesData($D1053, IF(ISNUMBER(_xlfn.XLOOKUP($C1053,Phone_by_Sentiment!$B$2:$B$37,Phone_by_Sentiment!K$2:K$37,"",0,1)),_xlfn.XLOOKUP($C1053,Phone_by_Sentiment!$B$2:$B$37,Phone_by_Sentiment!K$2:K$37,"",0,1),0),$A1053-TEXT(DATEVALUE($D1053&amp;"-01"), "dd-mm-yyyy")),0),0)</f>
        <v>159</v>
      </c>
      <c r="L1053" cm="1">
        <f t="array" ref="L1053">IF($Q1053&gt;=0,IFERROR(generateSalesData($D1053, IF(ISNUMBER(_xlfn.XLOOKUP($C1053,Phone_by_Sentiment!$B$2:$B$37,Phone_by_Sentiment!L$2:L$37,"",0,1)),_xlfn.XLOOKUP($C1053,Phone_by_Sentiment!$B$2:$B$37,Phone_by_Sentiment!L$2:L$37,"",0,1),0),$A1053-TEXT(DATEVALUE($D1053&amp;"-01"), "dd-mm-yyyy")),0),0)</f>
        <v>114</v>
      </c>
      <c r="M1053" cm="1">
        <f t="array" ref="M1053">IF($Q1053&gt;=0,IFERROR(generateSalesData($D1053, IF(ISNUMBER(_xlfn.XLOOKUP($C1053,Phone_by_Sentiment!$B$2:$B$37,Phone_by_Sentiment!M$2:M$37,"",0,1)),_xlfn.XLOOKUP($C1053,Phone_by_Sentiment!$B$2:$B$37,Phone_by_Sentiment!M$2:M$37,"",0,1),0),$A1053-TEXT(DATEVALUE($D1053&amp;"-01"), "dd-mm-yyyy")),0),0)</f>
        <v>444</v>
      </c>
      <c r="N1053" cm="1">
        <f t="array" ref="N1053">IF($Q1053&gt;=0,IFERROR(generateSalesData($D1053, IF(ISNUMBER(_xlfn.XLOOKUP($C1053,Phone_by_Sentiment!$B$2:$B$37,Phone_by_Sentiment!N$2:N$37,"",0,1)),_xlfn.XLOOKUP($C1053,Phone_by_Sentiment!$B$2:$B$37,Phone_by_Sentiment!N$2:N$37,"",0,1),0),$A1053-TEXT(DATEVALUE($D1053&amp;"-01"), "dd-mm-yyyy")),0),0)</f>
        <v>127</v>
      </c>
      <c r="O1053" cm="1">
        <f t="array" ref="O1053">IF($Q1053&gt;=0,IFERROR(generateSalesData($D1053, IF(ISNUMBER(_xlfn.XLOOKUP($C1053,Phone_by_Sentiment!$B$2:$B$37,Phone_by_Sentiment!O$2:O$37,"",0,1)),_xlfn.XLOOKUP($C1053,Phone_by_Sentiment!$B$2:$B$37,Phone_by_Sentiment!O$2:O$37,"",0,1),0),$A1053-TEXT(DATEVALUE($D1053&amp;"-01"), "dd-mm-yyyy")),0),0)</f>
        <v>225</v>
      </c>
      <c r="P1053" s="1">
        <f t="shared" si="43"/>
        <v>43678</v>
      </c>
      <c r="Q1053">
        <f t="shared" si="44"/>
        <v>700</v>
      </c>
    </row>
    <row r="1054" spans="1:17" x14ac:dyDescent="0.25">
      <c r="A1054" s="1">
        <f t="shared" si="45"/>
        <v>44378</v>
      </c>
      <c r="B1054" t="s">
        <v>170</v>
      </c>
      <c r="C1054" t="str">
        <f>_xlfn.XLOOKUP(B1054,Phone_by_Price!$A$2:$A$34,Phone_by_Price!$B$2:$B$34,"-",0,1)</f>
        <v>Realme Narzo 30A</v>
      </c>
      <c r="D1054" t="str">
        <f>_xlfn.XLOOKUP(C1054,Phone_by_Sentiment!$B$2:$B$37,Phone_by_Sentiment!$A$2:$A$37,"-",0,1)</f>
        <v>2021-02</v>
      </c>
      <c r="E1054" cm="1">
        <f t="array" ref="E1054">IF($Q1054&gt;=0,IFERROR(generateSalesData($D1054, IF(ISNUMBER(_xlfn.XLOOKUP($C1054,Phone_by_Sentiment!$B$2:$B$37,Phone_by_Sentiment!E$2:E$37,"",0,1)),_xlfn.XLOOKUP($C1054,Phone_by_Sentiment!$B$2:$B$37,Phone_by_Sentiment!E$2:E$37,"",0,1),0),$A1054-TEXT(DATEVALUE($D1054&amp;"-01"), "dd-mm-yyyy")),0),0)</f>
        <v>423</v>
      </c>
      <c r="F1054" cm="1">
        <f t="array" ref="F1054">IF($Q1054&gt;=0,IFERROR(generateSalesData($D1054, IF(ISNUMBER(_xlfn.XLOOKUP($C1054,Phone_by_Sentiment!$B$2:$B$37,Phone_by_Sentiment!F$2:F$37,"",0,1)),_xlfn.XLOOKUP($C1054,Phone_by_Sentiment!$B$2:$B$37,Phone_by_Sentiment!F$2:F$37,"",0,1),0),$A1054-TEXT(DATEVALUE($D1054&amp;"-01"), "dd-mm-yyyy")),0),0)</f>
        <v>150</v>
      </c>
      <c r="G1054" cm="1">
        <f t="array" ref="G1054">IF($Q1054&gt;=0,IFERROR(generateSalesData($D1054, IF(ISNUMBER(_xlfn.XLOOKUP($C1054,Phone_by_Sentiment!$B$2:$B$37,Phone_by_Sentiment!G$2:G$37,"",0,1)),_xlfn.XLOOKUP($C1054,Phone_by_Sentiment!$B$2:$B$37,Phone_by_Sentiment!G$2:G$37,"",0,1),0),$A1054-TEXT(DATEVALUE($D1054&amp;"-01"), "dd-mm-yyyy")),0),0)</f>
        <v>449</v>
      </c>
      <c r="H1054" cm="1">
        <f t="array" ref="H1054">IF($Q1054&gt;=0,IFERROR(generateSalesData($D1054, IF(ISNUMBER(_xlfn.XLOOKUP($C1054,Phone_by_Sentiment!$B$2:$B$37,Phone_by_Sentiment!H$2:H$37,"",0,1)),_xlfn.XLOOKUP($C1054,Phone_by_Sentiment!$B$2:$B$37,Phone_by_Sentiment!H$2:H$37,"",0,1),0),$A1054-TEXT(DATEVALUE($D1054&amp;"-01"), "dd-mm-yyyy")),0),0)</f>
        <v>2362</v>
      </c>
      <c r="I1054" cm="1">
        <f t="array" ref="I1054">IF($Q1054&gt;=0,IFERROR(generateSalesData($D1054, IF(ISNUMBER(_xlfn.XLOOKUP($C1054,Phone_by_Sentiment!$B$2:$B$37,Phone_by_Sentiment!I$2:I$37,"",0,1)),_xlfn.XLOOKUP($C1054,Phone_by_Sentiment!$B$2:$B$37,Phone_by_Sentiment!I$2:I$37,"",0,1),0),$A1054-TEXT(DATEVALUE($D1054&amp;"-01"), "dd-mm-yyyy")),0),0)</f>
        <v>1590</v>
      </c>
      <c r="J1054" cm="1">
        <f t="array" ref="J1054">IF($Q1054&gt;=0,IFERROR(generateSalesData($D1054, IF(ISNUMBER(_xlfn.XLOOKUP($C1054,Phone_by_Sentiment!$B$2:$B$37,Phone_by_Sentiment!J$2:J$37,"",0,1)),_xlfn.XLOOKUP($C1054,Phone_by_Sentiment!$B$2:$B$37,Phone_by_Sentiment!J$2:J$37,"",0,1),0),$A1054-TEXT(DATEVALUE($D1054&amp;"-01"), "dd-mm-yyyy")),0),0)</f>
        <v>634</v>
      </c>
      <c r="K1054" cm="1">
        <f t="array" ref="K1054">IF($Q1054&gt;=0,IFERROR(generateSalesData($D1054, IF(ISNUMBER(_xlfn.XLOOKUP($C1054,Phone_by_Sentiment!$B$2:$B$37,Phone_by_Sentiment!K$2:K$37,"",0,1)),_xlfn.XLOOKUP($C1054,Phone_by_Sentiment!$B$2:$B$37,Phone_by_Sentiment!K$2:K$37,"",0,1),0),$A1054-TEXT(DATEVALUE($D1054&amp;"-01"), "dd-mm-yyyy")),0),0)</f>
        <v>59</v>
      </c>
      <c r="L1054" cm="1">
        <f t="array" ref="L1054">IF($Q1054&gt;=0,IFERROR(generateSalesData($D1054, IF(ISNUMBER(_xlfn.XLOOKUP($C1054,Phone_by_Sentiment!$B$2:$B$37,Phone_by_Sentiment!L$2:L$37,"",0,1)),_xlfn.XLOOKUP($C1054,Phone_by_Sentiment!$B$2:$B$37,Phone_by_Sentiment!L$2:L$37,"",0,1),0),$A1054-TEXT(DATEVALUE($D1054&amp;"-01"), "dd-mm-yyyy")),0),0)</f>
        <v>2812</v>
      </c>
      <c r="M1054" cm="1">
        <f t="array" ref="M1054">IF($Q1054&gt;=0,IFERROR(generateSalesData($D1054, IF(ISNUMBER(_xlfn.XLOOKUP($C1054,Phone_by_Sentiment!$B$2:$B$37,Phone_by_Sentiment!M$2:M$37,"",0,1)),_xlfn.XLOOKUP($C1054,Phone_by_Sentiment!$B$2:$B$37,Phone_by_Sentiment!M$2:M$37,"",0,1),0),$A1054-TEXT(DATEVALUE($D1054&amp;"-01"), "dd-mm-yyyy")),0),0)</f>
        <v>431</v>
      </c>
      <c r="N1054" cm="1">
        <f t="array" ref="N1054">IF($Q1054&gt;=0,IFERROR(generateSalesData($D1054, IF(ISNUMBER(_xlfn.XLOOKUP($C1054,Phone_by_Sentiment!$B$2:$B$37,Phone_by_Sentiment!N$2:N$37,"",0,1)),_xlfn.XLOOKUP($C1054,Phone_by_Sentiment!$B$2:$B$37,Phone_by_Sentiment!N$2:N$37,"",0,1),0),$A1054-TEXT(DATEVALUE($D1054&amp;"-01"), "dd-mm-yyyy")),0),0)</f>
        <v>1610</v>
      </c>
      <c r="O1054" cm="1">
        <f t="array" ref="O1054">IF($Q1054&gt;=0,IFERROR(generateSalesData($D1054, IF(ISNUMBER(_xlfn.XLOOKUP($C1054,Phone_by_Sentiment!$B$2:$B$37,Phone_by_Sentiment!O$2:O$37,"",0,1)),_xlfn.XLOOKUP($C1054,Phone_by_Sentiment!$B$2:$B$37,Phone_by_Sentiment!O$2:O$37,"",0,1),0),$A1054-TEXT(DATEVALUE($D1054&amp;"-01"), "dd-mm-yyyy")),0),0)</f>
        <v>690</v>
      </c>
      <c r="P1054" s="1">
        <f t="shared" si="43"/>
        <v>44228</v>
      </c>
      <c r="Q1054">
        <f t="shared" si="44"/>
        <v>150</v>
      </c>
    </row>
    <row r="1055" spans="1:17" x14ac:dyDescent="0.25">
      <c r="A1055" s="1">
        <f t="shared" si="45"/>
        <v>44378</v>
      </c>
      <c r="B1055" t="s">
        <v>171</v>
      </c>
      <c r="C1055" t="str">
        <f>_xlfn.XLOOKUP(B1055,Phone_by_Price!$A$2:$A$34,Phone_by_Price!$B$2:$B$34,"-",0,1)</f>
        <v>Samsung Galaxy A22 5G</v>
      </c>
      <c r="D1055" t="str">
        <f>_xlfn.XLOOKUP(C1055,Phone_by_Sentiment!$B$2:$B$37,Phone_by_Sentiment!$A$2:$A$37,"-",0,1)</f>
        <v>2021-05</v>
      </c>
      <c r="E1055" cm="1">
        <f t="array" ref="E1055">IF($Q1055&gt;=0,IFERROR(generateSalesData($D1055, IF(ISNUMBER(_xlfn.XLOOKUP($C1055,Phone_by_Sentiment!$B$2:$B$37,Phone_by_Sentiment!E$2:E$37,"",0,1)),_xlfn.XLOOKUP($C1055,Phone_by_Sentiment!$B$2:$B$37,Phone_by_Sentiment!E$2:E$37,"",0,1),0),$A1055-TEXT(DATEVALUE($D1055&amp;"-01"), "dd-mm-yyyy")),0),0)</f>
        <v>5933</v>
      </c>
      <c r="F1055" cm="1">
        <f t="array" ref="F1055">IF($Q1055&gt;=0,IFERROR(generateSalesData($D1055, IF(ISNUMBER(_xlfn.XLOOKUP($C1055,Phone_by_Sentiment!$B$2:$B$37,Phone_by_Sentiment!F$2:F$37,"",0,1)),_xlfn.XLOOKUP($C1055,Phone_by_Sentiment!$B$2:$B$37,Phone_by_Sentiment!F$2:F$37,"",0,1),0),$A1055-TEXT(DATEVALUE($D1055&amp;"-01"), "dd-mm-yyyy")),0),0)</f>
        <v>2902</v>
      </c>
      <c r="G1055" cm="1">
        <f t="array" ref="G1055">IF($Q1055&gt;=0,IFERROR(generateSalesData($D1055, IF(ISNUMBER(_xlfn.XLOOKUP($C1055,Phone_by_Sentiment!$B$2:$B$37,Phone_by_Sentiment!G$2:G$37,"",0,1)),_xlfn.XLOOKUP($C1055,Phone_by_Sentiment!$B$2:$B$37,Phone_by_Sentiment!G$2:G$37,"",0,1),0),$A1055-TEXT(DATEVALUE($D1055&amp;"-01"), "dd-mm-yyyy")),0),0)</f>
        <v>186</v>
      </c>
      <c r="H1055" cm="1">
        <f t="array" ref="H1055">IF($Q1055&gt;=0,IFERROR(generateSalesData($D1055, IF(ISNUMBER(_xlfn.XLOOKUP($C1055,Phone_by_Sentiment!$B$2:$B$37,Phone_by_Sentiment!H$2:H$37,"",0,1)),_xlfn.XLOOKUP($C1055,Phone_by_Sentiment!$B$2:$B$37,Phone_by_Sentiment!H$2:H$37,"",0,1),0),$A1055-TEXT(DATEVALUE($D1055&amp;"-01"), "dd-mm-yyyy")),0),0)</f>
        <v>3584</v>
      </c>
      <c r="I1055" cm="1">
        <f t="array" ref="I1055">IF($Q1055&gt;=0,IFERROR(generateSalesData($D1055, IF(ISNUMBER(_xlfn.XLOOKUP($C1055,Phone_by_Sentiment!$B$2:$B$37,Phone_by_Sentiment!I$2:I$37,"",0,1)),_xlfn.XLOOKUP($C1055,Phone_by_Sentiment!$B$2:$B$37,Phone_by_Sentiment!I$2:I$37,"",0,1),0),$A1055-TEXT(DATEVALUE($D1055&amp;"-01"), "dd-mm-yyyy")),0),0)</f>
        <v>3877</v>
      </c>
      <c r="J1055" cm="1">
        <f t="array" ref="J1055">IF($Q1055&gt;=0,IFERROR(generateSalesData($D1055, IF(ISNUMBER(_xlfn.XLOOKUP($C1055,Phone_by_Sentiment!$B$2:$B$37,Phone_by_Sentiment!J$2:J$37,"",0,1)),_xlfn.XLOOKUP($C1055,Phone_by_Sentiment!$B$2:$B$37,Phone_by_Sentiment!J$2:J$37,"",0,1),0),$A1055-TEXT(DATEVALUE($D1055&amp;"-01"), "dd-mm-yyyy")),0),0)</f>
        <v>6178</v>
      </c>
      <c r="K1055" cm="1">
        <f t="array" ref="K1055">IF($Q1055&gt;=0,IFERROR(generateSalesData($D1055, IF(ISNUMBER(_xlfn.XLOOKUP($C1055,Phone_by_Sentiment!$B$2:$B$37,Phone_by_Sentiment!K$2:K$37,"",0,1)),_xlfn.XLOOKUP($C1055,Phone_by_Sentiment!$B$2:$B$37,Phone_by_Sentiment!K$2:K$37,"",0,1),0),$A1055-TEXT(DATEVALUE($D1055&amp;"-01"), "dd-mm-yyyy")),0),0)</f>
        <v>3193</v>
      </c>
      <c r="L1055" cm="1">
        <f t="array" ref="L1055">IF($Q1055&gt;=0,IFERROR(generateSalesData($D1055, IF(ISNUMBER(_xlfn.XLOOKUP($C1055,Phone_by_Sentiment!$B$2:$B$37,Phone_by_Sentiment!L$2:L$37,"",0,1)),_xlfn.XLOOKUP($C1055,Phone_by_Sentiment!$B$2:$B$37,Phone_by_Sentiment!L$2:L$37,"",0,1),0),$A1055-TEXT(DATEVALUE($D1055&amp;"-01"), "dd-mm-yyyy")),0),0)</f>
        <v>2264</v>
      </c>
      <c r="M1055" cm="1">
        <f t="array" ref="M1055">IF($Q1055&gt;=0,IFERROR(generateSalesData($D1055, IF(ISNUMBER(_xlfn.XLOOKUP($C1055,Phone_by_Sentiment!$B$2:$B$37,Phone_by_Sentiment!M$2:M$37,"",0,1)),_xlfn.XLOOKUP($C1055,Phone_by_Sentiment!$B$2:$B$37,Phone_by_Sentiment!M$2:M$37,"",0,1),0),$A1055-TEXT(DATEVALUE($D1055&amp;"-01"), "dd-mm-yyyy")),0),0)</f>
        <v>6960</v>
      </c>
      <c r="N1055" cm="1">
        <f t="array" ref="N1055">IF($Q1055&gt;=0,IFERROR(generateSalesData($D1055, IF(ISNUMBER(_xlfn.XLOOKUP($C1055,Phone_by_Sentiment!$B$2:$B$37,Phone_by_Sentiment!N$2:N$37,"",0,1)),_xlfn.XLOOKUP($C1055,Phone_by_Sentiment!$B$2:$B$37,Phone_by_Sentiment!N$2:N$37,"",0,1),0),$A1055-TEXT(DATEVALUE($D1055&amp;"-01"), "dd-mm-yyyy")),0),0)</f>
        <v>4235</v>
      </c>
      <c r="O1055" cm="1">
        <f t="array" ref="O1055">IF($Q1055&gt;=0,IFERROR(generateSalesData($D1055, IF(ISNUMBER(_xlfn.XLOOKUP($C1055,Phone_by_Sentiment!$B$2:$B$37,Phone_by_Sentiment!O$2:O$37,"",0,1)),_xlfn.XLOOKUP($C1055,Phone_by_Sentiment!$B$2:$B$37,Phone_by_Sentiment!O$2:O$37,"",0,1),0),$A1055-TEXT(DATEVALUE($D1055&amp;"-01"), "dd-mm-yyyy")),0),0)</f>
        <v>5198</v>
      </c>
      <c r="P1055" s="1">
        <f t="shared" si="43"/>
        <v>44317</v>
      </c>
      <c r="Q1055">
        <f t="shared" si="44"/>
        <v>61</v>
      </c>
    </row>
    <row r="1056" spans="1:17" x14ac:dyDescent="0.25">
      <c r="A1056" s="1">
        <f t="shared" si="45"/>
        <v>44378</v>
      </c>
      <c r="B1056" t="s">
        <v>172</v>
      </c>
      <c r="C1056" t="str">
        <f>_xlfn.XLOOKUP(B1056,Phone_by_Price!$A$2:$A$34,Phone_by_Price!$B$2:$B$34,"-",0,1)</f>
        <v>Xiaomi Redmi 9</v>
      </c>
      <c r="D1056" t="str">
        <f>_xlfn.XLOOKUP(C1056,Phone_by_Sentiment!$B$2:$B$37,Phone_by_Sentiment!$A$2:$A$37,"-",0,1)</f>
        <v>2020-08</v>
      </c>
      <c r="E1056" cm="1">
        <f t="array" ref="E1056">IF($Q1056&gt;=0,IFERROR(generateSalesData($D1056, IF(ISNUMBER(_xlfn.XLOOKUP($C1056,Phone_by_Sentiment!$B$2:$B$37,Phone_by_Sentiment!E$2:E$37,"",0,1)),_xlfn.XLOOKUP($C1056,Phone_by_Sentiment!$B$2:$B$37,Phone_by_Sentiment!E$2:E$37,"",0,1),0),$A1056-TEXT(DATEVALUE($D1056&amp;"-01"), "dd-mm-yyyy")),0),0)</f>
        <v>164</v>
      </c>
      <c r="F1056" cm="1">
        <f t="array" ref="F1056">IF($Q1056&gt;=0,IFERROR(generateSalesData($D1056, IF(ISNUMBER(_xlfn.XLOOKUP($C1056,Phone_by_Sentiment!$B$2:$B$37,Phone_by_Sentiment!F$2:F$37,"",0,1)),_xlfn.XLOOKUP($C1056,Phone_by_Sentiment!$B$2:$B$37,Phone_by_Sentiment!F$2:F$37,"",0,1),0),$A1056-TEXT(DATEVALUE($D1056&amp;"-01"), "dd-mm-yyyy")),0),0)</f>
        <v>152</v>
      </c>
      <c r="G1056" cm="1">
        <f t="array" ref="G1056">IF($Q1056&gt;=0,IFERROR(generateSalesData($D1056, IF(ISNUMBER(_xlfn.XLOOKUP($C1056,Phone_by_Sentiment!$B$2:$B$37,Phone_by_Sentiment!G$2:G$37,"",0,1)),_xlfn.XLOOKUP($C1056,Phone_by_Sentiment!$B$2:$B$37,Phone_by_Sentiment!G$2:G$37,"",0,1),0),$A1056-TEXT(DATEVALUE($D1056&amp;"-01"), "dd-mm-yyyy")),0),0)</f>
        <v>116</v>
      </c>
      <c r="H1056" cm="1">
        <f t="array" ref="H1056">IF($Q1056&gt;=0,IFERROR(generateSalesData($D1056, IF(ISNUMBER(_xlfn.XLOOKUP($C1056,Phone_by_Sentiment!$B$2:$B$37,Phone_by_Sentiment!H$2:H$37,"",0,1)),_xlfn.XLOOKUP($C1056,Phone_by_Sentiment!$B$2:$B$37,Phone_by_Sentiment!H$2:H$37,"",0,1),0),$A1056-TEXT(DATEVALUE($D1056&amp;"-01"), "dd-mm-yyyy")),0),0)</f>
        <v>440</v>
      </c>
      <c r="I1056" cm="1">
        <f t="array" ref="I1056">IF($Q1056&gt;=0,IFERROR(generateSalesData($D1056, IF(ISNUMBER(_xlfn.XLOOKUP($C1056,Phone_by_Sentiment!$B$2:$B$37,Phone_by_Sentiment!I$2:I$37,"",0,1)),_xlfn.XLOOKUP($C1056,Phone_by_Sentiment!$B$2:$B$37,Phone_by_Sentiment!I$2:I$37,"",0,1),0),$A1056-TEXT(DATEVALUE($D1056&amp;"-01"), "dd-mm-yyyy")),0),0)</f>
        <v>118</v>
      </c>
      <c r="J1056" cm="1">
        <f t="array" ref="J1056">IF($Q1056&gt;=0,IFERROR(generateSalesData($D1056, IF(ISNUMBER(_xlfn.XLOOKUP($C1056,Phone_by_Sentiment!$B$2:$B$37,Phone_by_Sentiment!J$2:J$37,"",0,1)),_xlfn.XLOOKUP($C1056,Phone_by_Sentiment!$B$2:$B$37,Phone_by_Sentiment!J$2:J$37,"",0,1),0),$A1056-TEXT(DATEVALUE($D1056&amp;"-01"), "dd-mm-yyyy")),0),0)</f>
        <v>184</v>
      </c>
      <c r="K1056" cm="1">
        <f t="array" ref="K1056">IF($Q1056&gt;=0,IFERROR(generateSalesData($D1056, IF(ISNUMBER(_xlfn.XLOOKUP($C1056,Phone_by_Sentiment!$B$2:$B$37,Phone_by_Sentiment!K$2:K$37,"",0,1)),_xlfn.XLOOKUP($C1056,Phone_by_Sentiment!$B$2:$B$37,Phone_by_Sentiment!K$2:K$37,"",0,1),0),$A1056-TEXT(DATEVALUE($D1056&amp;"-01"), "dd-mm-yyyy")),0),0)</f>
        <v>310</v>
      </c>
      <c r="L1056" cm="1">
        <f t="array" ref="L1056">IF($Q1056&gt;=0,IFERROR(generateSalesData($D1056, IF(ISNUMBER(_xlfn.XLOOKUP($C1056,Phone_by_Sentiment!$B$2:$B$37,Phone_by_Sentiment!L$2:L$37,"",0,1)),_xlfn.XLOOKUP($C1056,Phone_by_Sentiment!$B$2:$B$37,Phone_by_Sentiment!L$2:L$37,"",0,1),0),$A1056-TEXT(DATEVALUE($D1056&amp;"-01"), "dd-mm-yyyy")),0),0)</f>
        <v>43</v>
      </c>
      <c r="M1056" cm="1">
        <f t="array" ref="M1056">IF($Q1056&gt;=0,IFERROR(generateSalesData($D1056, IF(ISNUMBER(_xlfn.XLOOKUP($C1056,Phone_by_Sentiment!$B$2:$B$37,Phone_by_Sentiment!M$2:M$37,"",0,1)),_xlfn.XLOOKUP($C1056,Phone_by_Sentiment!$B$2:$B$37,Phone_by_Sentiment!M$2:M$37,"",0,1),0),$A1056-TEXT(DATEVALUE($D1056&amp;"-01"), "dd-mm-yyyy")),0),0)</f>
        <v>564</v>
      </c>
      <c r="N1056" cm="1">
        <f t="array" ref="N1056">IF($Q1056&gt;=0,IFERROR(generateSalesData($D1056, IF(ISNUMBER(_xlfn.XLOOKUP($C1056,Phone_by_Sentiment!$B$2:$B$37,Phone_by_Sentiment!N$2:N$37,"",0,1)),_xlfn.XLOOKUP($C1056,Phone_by_Sentiment!$B$2:$B$37,Phone_by_Sentiment!N$2:N$37,"",0,1),0),$A1056-TEXT(DATEVALUE($D1056&amp;"-01"), "dd-mm-yyyy")),0),0)</f>
        <v>108</v>
      </c>
      <c r="O1056" cm="1">
        <f t="array" ref="O1056">IF($Q1056&gt;=0,IFERROR(generateSalesData($D1056, IF(ISNUMBER(_xlfn.XLOOKUP($C1056,Phone_by_Sentiment!$B$2:$B$37,Phone_by_Sentiment!O$2:O$37,"",0,1)),_xlfn.XLOOKUP($C1056,Phone_by_Sentiment!$B$2:$B$37,Phone_by_Sentiment!O$2:O$37,"",0,1),0),$A1056-TEXT(DATEVALUE($D1056&amp;"-01"), "dd-mm-yyyy")),0),0)</f>
        <v>347</v>
      </c>
      <c r="P1056" s="1">
        <f t="shared" si="43"/>
        <v>44044</v>
      </c>
      <c r="Q1056">
        <f t="shared" si="44"/>
        <v>334</v>
      </c>
    </row>
    <row r="1057" spans="1:17" x14ac:dyDescent="0.25">
      <c r="A1057" s="1">
        <f t="shared" si="45"/>
        <v>44378</v>
      </c>
      <c r="B1057" t="s">
        <v>173</v>
      </c>
      <c r="C1057" t="str">
        <f>_xlfn.XLOOKUP(B1057,Phone_by_Price!$A$2:$A$34,Phone_by_Price!$B$2:$B$34,"-",0,1)</f>
        <v>Realme C3</v>
      </c>
      <c r="D1057" t="str">
        <f>_xlfn.XLOOKUP(C1057,Phone_by_Sentiment!$B$2:$B$37,Phone_by_Sentiment!$A$2:$A$37,"-",0,1)</f>
        <v>2020-02</v>
      </c>
      <c r="E1057" cm="1">
        <f t="array" ref="E1057">IF($Q1057&gt;=0,IFERROR(generateSalesData($D1057, IF(ISNUMBER(_xlfn.XLOOKUP($C1057,Phone_by_Sentiment!$B$2:$B$37,Phone_by_Sentiment!E$2:E$37,"",0,1)),_xlfn.XLOOKUP($C1057,Phone_by_Sentiment!$B$2:$B$37,Phone_by_Sentiment!E$2:E$37,"",0,1),0),$A1057-TEXT(DATEVALUE($D1057&amp;"-01"), "dd-mm-yyyy")),0),0)</f>
        <v>93</v>
      </c>
      <c r="F1057" cm="1">
        <f t="array" ref="F1057">IF($Q1057&gt;=0,IFERROR(generateSalesData($D1057, IF(ISNUMBER(_xlfn.XLOOKUP($C1057,Phone_by_Sentiment!$B$2:$B$37,Phone_by_Sentiment!F$2:F$37,"",0,1)),_xlfn.XLOOKUP($C1057,Phone_by_Sentiment!$B$2:$B$37,Phone_by_Sentiment!F$2:F$37,"",0,1),0),$A1057-TEXT(DATEVALUE($D1057&amp;"-01"), "dd-mm-yyyy")),0),0)</f>
        <v>111</v>
      </c>
      <c r="G1057" cm="1">
        <f t="array" ref="G1057">IF($Q1057&gt;=0,IFERROR(generateSalesData($D1057, IF(ISNUMBER(_xlfn.XLOOKUP($C1057,Phone_by_Sentiment!$B$2:$B$37,Phone_by_Sentiment!G$2:G$37,"",0,1)),_xlfn.XLOOKUP($C1057,Phone_by_Sentiment!$B$2:$B$37,Phone_by_Sentiment!G$2:G$37,"",0,1),0),$A1057-TEXT(DATEVALUE($D1057&amp;"-01"), "dd-mm-yyyy")),0),0)</f>
        <v>121</v>
      </c>
      <c r="H1057" cm="1">
        <f t="array" ref="H1057">IF($Q1057&gt;=0,IFERROR(generateSalesData($D1057, IF(ISNUMBER(_xlfn.XLOOKUP($C1057,Phone_by_Sentiment!$B$2:$B$37,Phone_by_Sentiment!H$2:H$37,"",0,1)),_xlfn.XLOOKUP($C1057,Phone_by_Sentiment!$B$2:$B$37,Phone_by_Sentiment!H$2:H$37,"",0,1),0),$A1057-TEXT(DATEVALUE($D1057&amp;"-01"), "dd-mm-yyyy")),0),0)</f>
        <v>20</v>
      </c>
      <c r="I1057" cm="1">
        <f t="array" ref="I1057">IF($Q1057&gt;=0,IFERROR(generateSalesData($D1057, IF(ISNUMBER(_xlfn.XLOOKUP($C1057,Phone_by_Sentiment!$B$2:$B$37,Phone_by_Sentiment!I$2:I$37,"",0,1)),_xlfn.XLOOKUP($C1057,Phone_by_Sentiment!$B$2:$B$37,Phone_by_Sentiment!I$2:I$37,"",0,1),0),$A1057-TEXT(DATEVALUE($D1057&amp;"-01"), "dd-mm-yyyy")),0),0)</f>
        <v>221</v>
      </c>
      <c r="J1057" cm="1">
        <f t="array" ref="J1057">IF($Q1057&gt;=0,IFERROR(generateSalesData($D1057, IF(ISNUMBER(_xlfn.XLOOKUP($C1057,Phone_by_Sentiment!$B$2:$B$37,Phone_by_Sentiment!J$2:J$37,"",0,1)),_xlfn.XLOOKUP($C1057,Phone_by_Sentiment!$B$2:$B$37,Phone_by_Sentiment!J$2:J$37,"",0,1),0),$A1057-TEXT(DATEVALUE($D1057&amp;"-01"), "dd-mm-yyyy")),0),0)</f>
        <v>57</v>
      </c>
      <c r="K1057" cm="1">
        <f t="array" ref="K1057">IF($Q1057&gt;=0,IFERROR(generateSalesData($D1057, IF(ISNUMBER(_xlfn.XLOOKUP($C1057,Phone_by_Sentiment!$B$2:$B$37,Phone_by_Sentiment!K$2:K$37,"",0,1)),_xlfn.XLOOKUP($C1057,Phone_by_Sentiment!$B$2:$B$37,Phone_by_Sentiment!K$2:K$37,"",0,1),0),$A1057-TEXT(DATEVALUE($D1057&amp;"-01"), "dd-mm-yyyy")),0),0)</f>
        <v>257</v>
      </c>
      <c r="L1057" cm="1">
        <f t="array" ref="L1057">IF($Q1057&gt;=0,IFERROR(generateSalesData($D1057, IF(ISNUMBER(_xlfn.XLOOKUP($C1057,Phone_by_Sentiment!$B$2:$B$37,Phone_by_Sentiment!L$2:L$37,"",0,1)),_xlfn.XLOOKUP($C1057,Phone_by_Sentiment!$B$2:$B$37,Phone_by_Sentiment!L$2:L$37,"",0,1),0),$A1057-TEXT(DATEVALUE($D1057&amp;"-01"), "dd-mm-yyyy")),0),0)</f>
        <v>542</v>
      </c>
      <c r="M1057" cm="1">
        <f t="array" ref="M1057">IF($Q1057&gt;=0,IFERROR(generateSalesData($D1057, IF(ISNUMBER(_xlfn.XLOOKUP($C1057,Phone_by_Sentiment!$B$2:$B$37,Phone_by_Sentiment!M$2:M$37,"",0,1)),_xlfn.XLOOKUP($C1057,Phone_by_Sentiment!$B$2:$B$37,Phone_by_Sentiment!M$2:M$37,"",0,1),0),$A1057-TEXT(DATEVALUE($D1057&amp;"-01"), "dd-mm-yyyy")),0),0)</f>
        <v>42</v>
      </c>
      <c r="N1057" cm="1">
        <f t="array" ref="N1057">IF($Q1057&gt;=0,IFERROR(generateSalesData($D1057, IF(ISNUMBER(_xlfn.XLOOKUP($C1057,Phone_by_Sentiment!$B$2:$B$37,Phone_by_Sentiment!N$2:N$37,"",0,1)),_xlfn.XLOOKUP($C1057,Phone_by_Sentiment!$B$2:$B$37,Phone_by_Sentiment!N$2:N$37,"",0,1),0),$A1057-TEXT(DATEVALUE($D1057&amp;"-01"), "dd-mm-yyyy")),0),0)</f>
        <v>217</v>
      </c>
      <c r="O1057" cm="1">
        <f t="array" ref="O1057">IF($Q1057&gt;=0,IFERROR(generateSalesData($D1057, IF(ISNUMBER(_xlfn.XLOOKUP($C1057,Phone_by_Sentiment!$B$2:$B$37,Phone_by_Sentiment!O$2:O$37,"",0,1)),_xlfn.XLOOKUP($C1057,Phone_by_Sentiment!$B$2:$B$37,Phone_by_Sentiment!O$2:O$37,"",0,1),0),$A1057-TEXT(DATEVALUE($D1057&amp;"-01"), "dd-mm-yyyy")),0),0)</f>
        <v>-8</v>
      </c>
      <c r="P1057" s="1">
        <f t="shared" si="43"/>
        <v>43862</v>
      </c>
      <c r="Q1057">
        <f t="shared" si="44"/>
        <v>516</v>
      </c>
    </row>
    <row r="1058" spans="1:17" x14ac:dyDescent="0.25">
      <c r="A1058" s="1">
        <f t="shared" si="45"/>
        <v>44378</v>
      </c>
      <c r="B1058" t="s">
        <v>174</v>
      </c>
      <c r="C1058" t="str">
        <f>_xlfn.XLOOKUP(B1058,Phone_by_Price!$A$2:$A$34,Phone_by_Price!$B$2:$B$34,"-",0,1)</f>
        <v>Samsung Galaxy A7</v>
      </c>
      <c r="D1058" t="str">
        <f>_xlfn.XLOOKUP(C1058,Phone_by_Sentiment!$B$2:$B$37,Phone_by_Sentiment!$A$2:$A$37,"-",0,1)</f>
        <v>2018-10</v>
      </c>
      <c r="E1058" cm="1">
        <f t="array" ref="E1058">IF($Q1058&gt;=0,IFERROR(generateSalesData($D1058, IF(ISNUMBER(_xlfn.XLOOKUP($C1058,Phone_by_Sentiment!$B$2:$B$37,Phone_by_Sentiment!E$2:E$37,"",0,1)),_xlfn.XLOOKUP($C1058,Phone_by_Sentiment!$B$2:$B$37,Phone_by_Sentiment!E$2:E$37,"",0,1),0),$A1058-TEXT(DATEVALUE($D1058&amp;"-01"), "dd-mm-yyyy")),0),0)</f>
        <v>21</v>
      </c>
      <c r="F1058" cm="1">
        <f t="array" ref="F1058">IF($Q1058&gt;=0,IFERROR(generateSalesData($D1058, IF(ISNUMBER(_xlfn.XLOOKUP($C1058,Phone_by_Sentiment!$B$2:$B$37,Phone_by_Sentiment!F$2:F$37,"",0,1)),_xlfn.XLOOKUP($C1058,Phone_by_Sentiment!$B$2:$B$37,Phone_by_Sentiment!F$2:F$37,"",0,1),0),$A1058-TEXT(DATEVALUE($D1058&amp;"-01"), "dd-mm-yyyy")),0),0)</f>
        <v>28</v>
      </c>
      <c r="G1058" cm="1">
        <f t="array" ref="G1058">IF($Q1058&gt;=0,IFERROR(generateSalesData($D1058, IF(ISNUMBER(_xlfn.XLOOKUP($C1058,Phone_by_Sentiment!$B$2:$B$37,Phone_by_Sentiment!G$2:G$37,"",0,1)),_xlfn.XLOOKUP($C1058,Phone_by_Sentiment!$B$2:$B$37,Phone_by_Sentiment!G$2:G$37,"",0,1),0),$A1058-TEXT(DATEVALUE($D1058&amp;"-01"), "dd-mm-yyyy")),0),0)</f>
        <v>58</v>
      </c>
      <c r="H1058" cm="1">
        <f t="array" ref="H1058">IF($Q1058&gt;=0,IFERROR(generateSalesData($D1058, IF(ISNUMBER(_xlfn.XLOOKUP($C1058,Phone_by_Sentiment!$B$2:$B$37,Phone_by_Sentiment!H$2:H$37,"",0,1)),_xlfn.XLOOKUP($C1058,Phone_by_Sentiment!$B$2:$B$37,Phone_by_Sentiment!H$2:H$37,"",0,1),0),$A1058-TEXT(DATEVALUE($D1058&amp;"-01"), "dd-mm-yyyy")),0),0)</f>
        <v>466</v>
      </c>
      <c r="I1058" cm="1">
        <f t="array" ref="I1058">IF($Q1058&gt;=0,IFERROR(generateSalesData($D1058, IF(ISNUMBER(_xlfn.XLOOKUP($C1058,Phone_by_Sentiment!$B$2:$B$37,Phone_by_Sentiment!I$2:I$37,"",0,1)),_xlfn.XLOOKUP($C1058,Phone_by_Sentiment!$B$2:$B$37,Phone_by_Sentiment!I$2:I$37,"",0,1),0),$A1058-TEXT(DATEVALUE($D1058&amp;"-01"), "dd-mm-yyyy")),0),0)</f>
        <v>188</v>
      </c>
      <c r="J1058" cm="1">
        <f t="array" ref="J1058">IF($Q1058&gt;=0,IFERROR(generateSalesData($D1058, IF(ISNUMBER(_xlfn.XLOOKUP($C1058,Phone_by_Sentiment!$B$2:$B$37,Phone_by_Sentiment!J$2:J$37,"",0,1)),_xlfn.XLOOKUP($C1058,Phone_by_Sentiment!$B$2:$B$37,Phone_by_Sentiment!J$2:J$37,"",0,1),0),$A1058-TEXT(DATEVALUE($D1058&amp;"-01"), "dd-mm-yyyy")),0),0)</f>
        <v>33</v>
      </c>
      <c r="K1058" cm="1">
        <f t="array" ref="K1058">IF($Q1058&gt;=0,IFERROR(generateSalesData($D1058, IF(ISNUMBER(_xlfn.XLOOKUP($C1058,Phone_by_Sentiment!$B$2:$B$37,Phone_by_Sentiment!K$2:K$37,"",0,1)),_xlfn.XLOOKUP($C1058,Phone_by_Sentiment!$B$2:$B$37,Phone_by_Sentiment!K$2:K$37,"",0,1),0),$A1058-TEXT(DATEVALUE($D1058&amp;"-01"), "dd-mm-yyyy")),0),0)</f>
        <v>35</v>
      </c>
      <c r="L1058" cm="1">
        <f t="array" ref="L1058">IF($Q1058&gt;=0,IFERROR(generateSalesData($D1058, IF(ISNUMBER(_xlfn.XLOOKUP($C1058,Phone_by_Sentiment!$B$2:$B$37,Phone_by_Sentiment!L$2:L$37,"",0,1)),_xlfn.XLOOKUP($C1058,Phone_by_Sentiment!$B$2:$B$37,Phone_by_Sentiment!L$2:L$37,"",0,1),0),$A1058-TEXT(DATEVALUE($D1058&amp;"-01"), "dd-mm-yyyy")),0),0)</f>
        <v>109</v>
      </c>
      <c r="M1058" cm="1">
        <f t="array" ref="M1058">IF($Q1058&gt;=0,IFERROR(generateSalesData($D1058, IF(ISNUMBER(_xlfn.XLOOKUP($C1058,Phone_by_Sentiment!$B$2:$B$37,Phone_by_Sentiment!M$2:M$37,"",0,1)),_xlfn.XLOOKUP($C1058,Phone_by_Sentiment!$B$2:$B$37,Phone_by_Sentiment!M$2:M$37,"",0,1),0),$A1058-TEXT(DATEVALUE($D1058&amp;"-01"), "dd-mm-yyyy")),0),0)</f>
        <v>128</v>
      </c>
      <c r="N1058" cm="1">
        <f t="array" ref="N1058">IF($Q1058&gt;=0,IFERROR(generateSalesData($D1058, IF(ISNUMBER(_xlfn.XLOOKUP($C1058,Phone_by_Sentiment!$B$2:$B$37,Phone_by_Sentiment!N$2:N$37,"",0,1)),_xlfn.XLOOKUP($C1058,Phone_by_Sentiment!$B$2:$B$37,Phone_by_Sentiment!N$2:N$37,"",0,1),0),$A1058-TEXT(DATEVALUE($D1058&amp;"-01"), "dd-mm-yyyy")),0),0)</f>
        <v>254</v>
      </c>
      <c r="O1058" cm="1">
        <f t="array" ref="O1058">IF($Q1058&gt;=0,IFERROR(generateSalesData($D1058, IF(ISNUMBER(_xlfn.XLOOKUP($C1058,Phone_by_Sentiment!$B$2:$B$37,Phone_by_Sentiment!O$2:O$37,"",0,1)),_xlfn.XLOOKUP($C1058,Phone_by_Sentiment!$B$2:$B$37,Phone_by_Sentiment!O$2:O$37,"",0,1),0),$A1058-TEXT(DATEVALUE($D1058&amp;"-01"), "dd-mm-yyyy")),0),0)</f>
        <v>142</v>
      </c>
      <c r="P1058" s="1">
        <f t="shared" si="43"/>
        <v>43374</v>
      </c>
      <c r="Q1058">
        <f t="shared" si="44"/>
        <v>1004</v>
      </c>
    </row>
    <row r="1059" spans="1:17" x14ac:dyDescent="0.25">
      <c r="A1059" s="1">
        <f t="shared" si="45"/>
        <v>44378</v>
      </c>
      <c r="B1059" t="s">
        <v>142</v>
      </c>
      <c r="C1059" t="str">
        <f>_xlfn.XLOOKUP(B1059,Phone_by_Price!$A$2:$A$34,Phone_by_Price!$B$2:$B$34,"-",0,1)</f>
        <v>iPhone 11</v>
      </c>
      <c r="D1059" t="str">
        <f>_xlfn.XLOOKUP(C1059,Phone_by_Sentiment!$B$2:$B$37,Phone_by_Sentiment!$A$2:$A$37,"-",0,1)</f>
        <v>2019-09</v>
      </c>
      <c r="E1059" cm="1">
        <f t="array" ref="E1059">IF($Q1059&gt;=0,IFERROR(generateSalesData($D1059, IF(ISNUMBER(_xlfn.XLOOKUP($C1059,Phone_by_Sentiment!$B$2:$B$37,Phone_by_Sentiment!E$2:E$37,"",0,1)),_xlfn.XLOOKUP($C1059,Phone_by_Sentiment!$B$2:$B$37,Phone_by_Sentiment!E$2:E$37,"",0,1),0),$A1059-TEXT(DATEVALUE($D1059&amp;"-01"), "dd-mm-yyyy")),0),0)</f>
        <v>482</v>
      </c>
      <c r="F1059" cm="1">
        <f t="array" ref="F1059">IF($Q1059&gt;=0,IFERROR(generateSalesData($D1059, IF(ISNUMBER(_xlfn.XLOOKUP($C1059,Phone_by_Sentiment!$B$2:$B$37,Phone_by_Sentiment!F$2:F$37,"",0,1)),_xlfn.XLOOKUP($C1059,Phone_by_Sentiment!$B$2:$B$37,Phone_by_Sentiment!F$2:F$37,"",0,1),0),$A1059-TEXT(DATEVALUE($D1059&amp;"-01"), "dd-mm-yyyy")),0),0)</f>
        <v>434</v>
      </c>
      <c r="G1059" cm="1">
        <f t="array" ref="G1059">IF($Q1059&gt;=0,IFERROR(generateSalesData($D1059, IF(ISNUMBER(_xlfn.XLOOKUP($C1059,Phone_by_Sentiment!$B$2:$B$37,Phone_by_Sentiment!G$2:G$37,"",0,1)),_xlfn.XLOOKUP($C1059,Phone_by_Sentiment!$B$2:$B$37,Phone_by_Sentiment!G$2:G$37,"",0,1),0),$A1059-TEXT(DATEVALUE($D1059&amp;"-01"), "dd-mm-yyyy")),0),0)</f>
        <v>134</v>
      </c>
      <c r="H1059" cm="1">
        <f t="array" ref="H1059">IF($Q1059&gt;=0,IFERROR(generateSalesData($D1059, IF(ISNUMBER(_xlfn.XLOOKUP($C1059,Phone_by_Sentiment!$B$2:$B$37,Phone_by_Sentiment!H$2:H$37,"",0,1)),_xlfn.XLOOKUP($C1059,Phone_by_Sentiment!$B$2:$B$37,Phone_by_Sentiment!H$2:H$37,"",0,1),0),$A1059-TEXT(DATEVALUE($D1059&amp;"-01"), "dd-mm-yyyy")),0),0)</f>
        <v>458</v>
      </c>
      <c r="I1059" cm="1">
        <f t="array" ref="I1059">IF($Q1059&gt;=0,IFERROR(generateSalesData($D1059, IF(ISNUMBER(_xlfn.XLOOKUP($C1059,Phone_by_Sentiment!$B$2:$B$37,Phone_by_Sentiment!I$2:I$37,"",0,1)),_xlfn.XLOOKUP($C1059,Phone_by_Sentiment!$B$2:$B$37,Phone_by_Sentiment!I$2:I$37,"",0,1),0),$A1059-TEXT(DATEVALUE($D1059&amp;"-01"), "dd-mm-yyyy")),0),0)</f>
        <v>327</v>
      </c>
      <c r="J1059" cm="1">
        <f t="array" ref="J1059">IF($Q1059&gt;=0,IFERROR(generateSalesData($D1059, IF(ISNUMBER(_xlfn.XLOOKUP($C1059,Phone_by_Sentiment!$B$2:$B$37,Phone_by_Sentiment!J$2:J$37,"",0,1)),_xlfn.XLOOKUP($C1059,Phone_by_Sentiment!$B$2:$B$37,Phone_by_Sentiment!J$2:J$37,"",0,1),0),$A1059-TEXT(DATEVALUE($D1059&amp;"-01"), "dd-mm-yyyy")),0),0)</f>
        <v>408</v>
      </c>
      <c r="K1059" cm="1">
        <f t="array" ref="K1059">IF($Q1059&gt;=0,IFERROR(generateSalesData($D1059, IF(ISNUMBER(_xlfn.XLOOKUP($C1059,Phone_by_Sentiment!$B$2:$B$37,Phone_by_Sentiment!K$2:K$37,"",0,1)),_xlfn.XLOOKUP($C1059,Phone_by_Sentiment!$B$2:$B$37,Phone_by_Sentiment!K$2:K$37,"",0,1),0),$A1059-TEXT(DATEVALUE($D1059&amp;"-01"), "dd-mm-yyyy")),0),0)</f>
        <v>121</v>
      </c>
      <c r="L1059" cm="1">
        <f t="array" ref="L1059">IF($Q1059&gt;=0,IFERROR(generateSalesData($D1059, IF(ISNUMBER(_xlfn.XLOOKUP($C1059,Phone_by_Sentiment!$B$2:$B$37,Phone_by_Sentiment!L$2:L$37,"",0,1)),_xlfn.XLOOKUP($C1059,Phone_by_Sentiment!$B$2:$B$37,Phone_by_Sentiment!L$2:L$37,"",0,1),0),$A1059-TEXT(DATEVALUE($D1059&amp;"-01"), "dd-mm-yyyy")),0),0)</f>
        <v>465</v>
      </c>
      <c r="M1059" cm="1">
        <f t="array" ref="M1059">IF($Q1059&gt;=0,IFERROR(generateSalesData($D1059, IF(ISNUMBER(_xlfn.XLOOKUP($C1059,Phone_by_Sentiment!$B$2:$B$37,Phone_by_Sentiment!M$2:M$37,"",0,1)),_xlfn.XLOOKUP($C1059,Phone_by_Sentiment!$B$2:$B$37,Phone_by_Sentiment!M$2:M$37,"",0,1),0),$A1059-TEXT(DATEVALUE($D1059&amp;"-01"), "dd-mm-yyyy")),0),0)</f>
        <v>422</v>
      </c>
      <c r="N1059" cm="1">
        <f t="array" ref="N1059">IF($Q1059&gt;=0,IFERROR(generateSalesData($D1059, IF(ISNUMBER(_xlfn.XLOOKUP($C1059,Phone_by_Sentiment!$B$2:$B$37,Phone_by_Sentiment!N$2:N$37,"",0,1)),_xlfn.XLOOKUP($C1059,Phone_by_Sentiment!$B$2:$B$37,Phone_by_Sentiment!N$2:N$37,"",0,1),0),$A1059-TEXT(DATEVALUE($D1059&amp;"-01"), "dd-mm-yyyy")),0),0)</f>
        <v>344</v>
      </c>
      <c r="O1059" cm="1">
        <f t="array" ref="O1059">IF($Q1059&gt;=0,IFERROR(generateSalesData($D1059, IF(ISNUMBER(_xlfn.XLOOKUP($C1059,Phone_by_Sentiment!$B$2:$B$37,Phone_by_Sentiment!O$2:O$37,"",0,1)),_xlfn.XLOOKUP($C1059,Phone_by_Sentiment!$B$2:$B$37,Phone_by_Sentiment!O$2:O$37,"",0,1),0),$A1059-TEXT(DATEVALUE($D1059&amp;"-01"), "dd-mm-yyyy")),0),0)</f>
        <v>373</v>
      </c>
      <c r="P1059" s="1">
        <f t="shared" si="43"/>
        <v>43709</v>
      </c>
      <c r="Q1059">
        <f t="shared" si="44"/>
        <v>669</v>
      </c>
    </row>
    <row r="1060" spans="1:17" x14ac:dyDescent="0.25">
      <c r="A1060" s="1">
        <f t="shared" si="45"/>
        <v>44378</v>
      </c>
      <c r="B1060" t="s">
        <v>143</v>
      </c>
      <c r="C1060" t="str">
        <f>_xlfn.XLOOKUP(B1060,Phone_by_Price!$A$2:$A$34,Phone_by_Price!$B$2:$B$34,"-",0,1)</f>
        <v>Samsung Galaxy S20 Ultra</v>
      </c>
      <c r="D1060" t="str">
        <f>_xlfn.XLOOKUP(C1060,Phone_by_Sentiment!$B$2:$B$37,Phone_by_Sentiment!$A$2:$A$37,"-",0,1)</f>
        <v>2020-02</v>
      </c>
      <c r="E1060" cm="1">
        <f t="array" ref="E1060">IF($Q1060&gt;=0,IFERROR(generateSalesData($D1060, IF(ISNUMBER(_xlfn.XLOOKUP($C1060,Phone_by_Sentiment!$B$2:$B$37,Phone_by_Sentiment!E$2:E$37,"",0,1)),_xlfn.XLOOKUP($C1060,Phone_by_Sentiment!$B$2:$B$37,Phone_by_Sentiment!E$2:E$37,"",0,1),0),$A1060-TEXT(DATEVALUE($D1060&amp;"-01"), "dd-mm-yyyy")),0),0)</f>
        <v>496</v>
      </c>
      <c r="F1060" cm="1">
        <f t="array" ref="F1060">IF($Q1060&gt;=0,IFERROR(generateSalesData($D1060, IF(ISNUMBER(_xlfn.XLOOKUP($C1060,Phone_by_Sentiment!$B$2:$B$37,Phone_by_Sentiment!F$2:F$37,"",0,1)),_xlfn.XLOOKUP($C1060,Phone_by_Sentiment!$B$2:$B$37,Phone_by_Sentiment!F$2:F$37,"",0,1),0),$A1060-TEXT(DATEVALUE($D1060&amp;"-01"), "dd-mm-yyyy")),0),0)</f>
        <v>429</v>
      </c>
      <c r="G1060" cm="1">
        <f t="array" ref="G1060">IF($Q1060&gt;=0,IFERROR(generateSalesData($D1060, IF(ISNUMBER(_xlfn.XLOOKUP($C1060,Phone_by_Sentiment!$B$2:$B$37,Phone_by_Sentiment!G$2:G$37,"",0,1)),_xlfn.XLOOKUP($C1060,Phone_by_Sentiment!$B$2:$B$37,Phone_by_Sentiment!G$2:G$37,"",0,1),0),$A1060-TEXT(DATEVALUE($D1060&amp;"-01"), "dd-mm-yyyy")),0),0)</f>
        <v>138</v>
      </c>
      <c r="H1060" cm="1">
        <f t="array" ref="H1060">IF($Q1060&gt;=0,IFERROR(generateSalesData($D1060, IF(ISNUMBER(_xlfn.XLOOKUP($C1060,Phone_by_Sentiment!$B$2:$B$37,Phone_by_Sentiment!H$2:H$37,"",0,1)),_xlfn.XLOOKUP($C1060,Phone_by_Sentiment!$B$2:$B$37,Phone_by_Sentiment!H$2:H$37,"",0,1),0),$A1060-TEXT(DATEVALUE($D1060&amp;"-01"), "dd-mm-yyyy")),0),0)</f>
        <v>470</v>
      </c>
      <c r="I1060" cm="1">
        <f t="array" ref="I1060">IF($Q1060&gt;=0,IFERROR(generateSalesData($D1060, IF(ISNUMBER(_xlfn.XLOOKUP($C1060,Phone_by_Sentiment!$B$2:$B$37,Phone_by_Sentiment!I$2:I$37,"",0,1)),_xlfn.XLOOKUP($C1060,Phone_by_Sentiment!$B$2:$B$37,Phone_by_Sentiment!I$2:I$37,"",0,1),0),$A1060-TEXT(DATEVALUE($D1060&amp;"-01"), "dd-mm-yyyy")),0),0)</f>
        <v>351</v>
      </c>
      <c r="J1060" cm="1">
        <f t="array" ref="J1060">IF($Q1060&gt;=0,IFERROR(generateSalesData($D1060, IF(ISNUMBER(_xlfn.XLOOKUP($C1060,Phone_by_Sentiment!$B$2:$B$37,Phone_by_Sentiment!J$2:J$37,"",0,1)),_xlfn.XLOOKUP($C1060,Phone_by_Sentiment!$B$2:$B$37,Phone_by_Sentiment!J$2:J$37,"",0,1),0),$A1060-TEXT(DATEVALUE($D1060&amp;"-01"), "dd-mm-yyyy")),0),0)</f>
        <v>638</v>
      </c>
      <c r="K1060" cm="1">
        <f t="array" ref="K1060">IF($Q1060&gt;=0,IFERROR(generateSalesData($D1060, IF(ISNUMBER(_xlfn.XLOOKUP($C1060,Phone_by_Sentiment!$B$2:$B$37,Phone_by_Sentiment!K$2:K$37,"",0,1)),_xlfn.XLOOKUP($C1060,Phone_by_Sentiment!$B$2:$B$37,Phone_by_Sentiment!K$2:K$37,"",0,1),0),$A1060-TEXT(DATEVALUE($D1060&amp;"-01"), "dd-mm-yyyy")),0),0)</f>
        <v>135</v>
      </c>
      <c r="L1060" cm="1">
        <f t="array" ref="L1060">IF($Q1060&gt;=0,IFERROR(generateSalesData($D1060, IF(ISNUMBER(_xlfn.XLOOKUP($C1060,Phone_by_Sentiment!$B$2:$B$37,Phone_by_Sentiment!L$2:L$37,"",0,1)),_xlfn.XLOOKUP($C1060,Phone_by_Sentiment!$B$2:$B$37,Phone_by_Sentiment!L$2:L$37,"",0,1),0),$A1060-TEXT(DATEVALUE($D1060&amp;"-01"), "dd-mm-yyyy")),0),0)</f>
        <v>473</v>
      </c>
      <c r="M1060" cm="1">
        <f t="array" ref="M1060">IF($Q1060&gt;=0,IFERROR(generateSalesData($D1060, IF(ISNUMBER(_xlfn.XLOOKUP($C1060,Phone_by_Sentiment!$B$2:$B$37,Phone_by_Sentiment!M$2:M$37,"",0,1)),_xlfn.XLOOKUP($C1060,Phone_by_Sentiment!$B$2:$B$37,Phone_by_Sentiment!M$2:M$37,"",0,1),0),$A1060-TEXT(DATEVALUE($D1060&amp;"-01"), "dd-mm-yyyy")),0),0)</f>
        <v>620</v>
      </c>
      <c r="N1060" cm="1">
        <f t="array" ref="N1060">IF($Q1060&gt;=0,IFERROR(generateSalesData($D1060, IF(ISNUMBER(_xlfn.XLOOKUP($C1060,Phone_by_Sentiment!$B$2:$B$37,Phone_by_Sentiment!N$2:N$37,"",0,1)),_xlfn.XLOOKUP($C1060,Phone_by_Sentiment!$B$2:$B$37,Phone_by_Sentiment!N$2:N$37,"",0,1),0),$A1060-TEXT(DATEVALUE($D1060&amp;"-01"), "dd-mm-yyyy")),0),0)</f>
        <v>415</v>
      </c>
      <c r="O1060" cm="1">
        <f t="array" ref="O1060">IF($Q1060&gt;=0,IFERROR(generateSalesData($D1060, IF(ISNUMBER(_xlfn.XLOOKUP($C1060,Phone_by_Sentiment!$B$2:$B$37,Phone_by_Sentiment!O$2:O$37,"",0,1)),_xlfn.XLOOKUP($C1060,Phone_by_Sentiment!$B$2:$B$37,Phone_by_Sentiment!O$2:O$37,"",0,1),0),$A1060-TEXT(DATEVALUE($D1060&amp;"-01"), "dd-mm-yyyy")),0),0)</f>
        <v>492</v>
      </c>
      <c r="P1060" s="1">
        <f t="shared" si="43"/>
        <v>43862</v>
      </c>
      <c r="Q1060">
        <f t="shared" si="44"/>
        <v>516</v>
      </c>
    </row>
    <row r="1061" spans="1:17" x14ac:dyDescent="0.25">
      <c r="A1061" s="1">
        <f t="shared" si="45"/>
        <v>44378</v>
      </c>
      <c r="B1061" t="s">
        <v>144</v>
      </c>
      <c r="C1061" t="str">
        <f>_xlfn.XLOOKUP(B1061,Phone_by_Price!$A$2:$A$34,Phone_by_Price!$B$2:$B$34,"-",0,1)</f>
        <v>Xiaomi Redmi Note 10</v>
      </c>
      <c r="D1061" t="str">
        <f>_xlfn.XLOOKUP(C1061,Phone_by_Sentiment!$B$2:$B$37,Phone_by_Sentiment!$A$2:$A$37,"-",0,1)</f>
        <v>2021-03</v>
      </c>
      <c r="E1061" cm="1">
        <f t="array" ref="E1061">IF($Q1061&gt;=0,IFERROR(generateSalesData($D1061, IF(ISNUMBER(_xlfn.XLOOKUP($C1061,Phone_by_Sentiment!$B$2:$B$37,Phone_by_Sentiment!E$2:E$37,"",0,1)),_xlfn.XLOOKUP($C1061,Phone_by_Sentiment!$B$2:$B$37,Phone_by_Sentiment!E$2:E$37,"",0,1),0),$A1061-TEXT(DATEVALUE($D1061&amp;"-01"), "dd-mm-yyyy")),0),0)</f>
        <v>1544</v>
      </c>
      <c r="F1061" cm="1">
        <f t="array" ref="F1061">IF($Q1061&gt;=0,IFERROR(generateSalesData($D1061, IF(ISNUMBER(_xlfn.XLOOKUP($C1061,Phone_by_Sentiment!$B$2:$B$37,Phone_by_Sentiment!F$2:F$37,"",0,1)),_xlfn.XLOOKUP($C1061,Phone_by_Sentiment!$B$2:$B$37,Phone_by_Sentiment!F$2:F$37,"",0,1),0),$A1061-TEXT(DATEVALUE($D1061&amp;"-01"), "dd-mm-yyyy")),0),0)</f>
        <v>504</v>
      </c>
      <c r="G1061" cm="1">
        <f t="array" ref="G1061">IF($Q1061&gt;=0,IFERROR(generateSalesData($D1061, IF(ISNUMBER(_xlfn.XLOOKUP($C1061,Phone_by_Sentiment!$B$2:$B$37,Phone_by_Sentiment!G$2:G$37,"",0,1)),_xlfn.XLOOKUP($C1061,Phone_by_Sentiment!$B$2:$B$37,Phone_by_Sentiment!G$2:G$37,"",0,1),0),$A1061-TEXT(DATEVALUE($D1061&amp;"-01"), "dd-mm-yyyy")),0),0)</f>
        <v>140</v>
      </c>
      <c r="H1061" cm="1">
        <f t="array" ref="H1061">IF($Q1061&gt;=0,IFERROR(generateSalesData($D1061, IF(ISNUMBER(_xlfn.XLOOKUP($C1061,Phone_by_Sentiment!$B$2:$B$37,Phone_by_Sentiment!H$2:H$37,"",0,1)),_xlfn.XLOOKUP($C1061,Phone_by_Sentiment!$B$2:$B$37,Phone_by_Sentiment!H$2:H$37,"",0,1),0),$A1061-TEXT(DATEVALUE($D1061&amp;"-01"), "dd-mm-yyyy")),0),0)</f>
        <v>841</v>
      </c>
      <c r="I1061" cm="1">
        <f t="array" ref="I1061">IF($Q1061&gt;=0,IFERROR(generateSalesData($D1061, IF(ISNUMBER(_xlfn.XLOOKUP($C1061,Phone_by_Sentiment!$B$2:$B$37,Phone_by_Sentiment!I$2:I$37,"",0,1)),_xlfn.XLOOKUP($C1061,Phone_by_Sentiment!$B$2:$B$37,Phone_by_Sentiment!I$2:I$37,"",0,1),0),$A1061-TEXT(DATEVALUE($D1061&amp;"-01"), "dd-mm-yyyy")),0),0)</f>
        <v>817</v>
      </c>
      <c r="J1061" cm="1">
        <f t="array" ref="J1061">IF($Q1061&gt;=0,IFERROR(generateSalesData($D1061, IF(ISNUMBER(_xlfn.XLOOKUP($C1061,Phone_by_Sentiment!$B$2:$B$37,Phone_by_Sentiment!J$2:J$37,"",0,1)),_xlfn.XLOOKUP($C1061,Phone_by_Sentiment!$B$2:$B$37,Phone_by_Sentiment!J$2:J$37,"",0,1),0),$A1061-TEXT(DATEVALUE($D1061&amp;"-01"), "dd-mm-yyyy")),0),0)</f>
        <v>718</v>
      </c>
      <c r="K1061" cm="1">
        <f t="array" ref="K1061">IF($Q1061&gt;=0,IFERROR(generateSalesData($D1061, IF(ISNUMBER(_xlfn.XLOOKUP($C1061,Phone_by_Sentiment!$B$2:$B$37,Phone_by_Sentiment!K$2:K$37,"",0,1)),_xlfn.XLOOKUP($C1061,Phone_by_Sentiment!$B$2:$B$37,Phone_by_Sentiment!K$2:K$37,"",0,1),0),$A1061-TEXT(DATEVALUE($D1061&amp;"-01"), "dd-mm-yyyy")),0),0)</f>
        <v>395</v>
      </c>
      <c r="L1061" cm="1">
        <f t="array" ref="L1061">IF($Q1061&gt;=0,IFERROR(generateSalesData($D1061, IF(ISNUMBER(_xlfn.XLOOKUP($C1061,Phone_by_Sentiment!$B$2:$B$37,Phone_by_Sentiment!L$2:L$37,"",0,1)),_xlfn.XLOOKUP($C1061,Phone_by_Sentiment!$B$2:$B$37,Phone_by_Sentiment!L$2:L$37,"",0,1),0),$A1061-TEXT(DATEVALUE($D1061&amp;"-01"), "dd-mm-yyyy")),0),0)</f>
        <v>20</v>
      </c>
      <c r="M1061" cm="1">
        <f t="array" ref="M1061">IF($Q1061&gt;=0,IFERROR(generateSalesData($D1061, IF(ISNUMBER(_xlfn.XLOOKUP($C1061,Phone_by_Sentiment!$B$2:$B$37,Phone_by_Sentiment!M$2:M$37,"",0,1)),_xlfn.XLOOKUP($C1061,Phone_by_Sentiment!$B$2:$B$37,Phone_by_Sentiment!M$2:M$37,"",0,1),0),$A1061-TEXT(DATEVALUE($D1061&amp;"-01"), "dd-mm-yyyy")),0),0)</f>
        <v>156</v>
      </c>
      <c r="N1061" cm="1">
        <f t="array" ref="N1061">IF($Q1061&gt;=0,IFERROR(generateSalesData($D1061, IF(ISNUMBER(_xlfn.XLOOKUP($C1061,Phone_by_Sentiment!$B$2:$B$37,Phone_by_Sentiment!N$2:N$37,"",0,1)),_xlfn.XLOOKUP($C1061,Phone_by_Sentiment!$B$2:$B$37,Phone_by_Sentiment!N$2:N$37,"",0,1),0),$A1061-TEXT(DATEVALUE($D1061&amp;"-01"), "dd-mm-yyyy")),0),0)</f>
        <v>1948</v>
      </c>
      <c r="O1061" cm="1">
        <f t="array" ref="O1061">IF($Q1061&gt;=0,IFERROR(generateSalesData($D1061, IF(ISNUMBER(_xlfn.XLOOKUP($C1061,Phone_by_Sentiment!$B$2:$B$37,Phone_by_Sentiment!O$2:O$37,"",0,1)),_xlfn.XLOOKUP($C1061,Phone_by_Sentiment!$B$2:$B$37,Phone_by_Sentiment!O$2:O$37,"",0,1),0),$A1061-TEXT(DATEVALUE($D1061&amp;"-01"), "dd-mm-yyyy")),0),0)</f>
        <v>1476</v>
      </c>
      <c r="P1061" s="1">
        <f t="shared" si="43"/>
        <v>44256</v>
      </c>
      <c r="Q1061">
        <f t="shared" si="44"/>
        <v>122</v>
      </c>
    </row>
    <row r="1062" spans="1:17" x14ac:dyDescent="0.25">
      <c r="A1062" s="1">
        <f t="shared" si="45"/>
        <v>44378</v>
      </c>
      <c r="B1062" t="s">
        <v>145</v>
      </c>
      <c r="C1062" t="str">
        <f>_xlfn.XLOOKUP(B1062,Phone_by_Price!$A$2:$A$34,Phone_by_Price!$B$2:$B$34,"-",0,1)</f>
        <v>OPPO A54</v>
      </c>
      <c r="D1062" t="str">
        <f>_xlfn.XLOOKUP(C1062,Phone_by_Sentiment!$B$2:$B$37,Phone_by_Sentiment!$A$2:$A$37,"-",0,1)</f>
        <v>2021-04</v>
      </c>
      <c r="E1062" cm="1">
        <f t="array" ref="E1062">IF($Q1062&gt;=0,IFERROR(generateSalesData($D1062, IF(ISNUMBER(_xlfn.XLOOKUP($C1062,Phone_by_Sentiment!$B$2:$B$37,Phone_by_Sentiment!E$2:E$37,"",0,1)),_xlfn.XLOOKUP($C1062,Phone_by_Sentiment!$B$2:$B$37,Phone_by_Sentiment!E$2:E$37,"",0,1),0),$A1062-TEXT(DATEVALUE($D1062&amp;"-01"), "dd-mm-yyyy")),0),0)</f>
        <v>3088</v>
      </c>
      <c r="F1062" cm="1">
        <f t="array" ref="F1062">IF($Q1062&gt;=0,IFERROR(generateSalesData($D1062, IF(ISNUMBER(_xlfn.XLOOKUP($C1062,Phone_by_Sentiment!$B$2:$B$37,Phone_by_Sentiment!F$2:F$37,"",0,1)),_xlfn.XLOOKUP($C1062,Phone_by_Sentiment!$B$2:$B$37,Phone_by_Sentiment!F$2:F$37,"",0,1),0),$A1062-TEXT(DATEVALUE($D1062&amp;"-01"), "dd-mm-yyyy")),0),0)</f>
        <v>892</v>
      </c>
      <c r="G1062" cm="1">
        <f t="array" ref="G1062">IF($Q1062&gt;=0,IFERROR(generateSalesData($D1062, IF(ISNUMBER(_xlfn.XLOOKUP($C1062,Phone_by_Sentiment!$B$2:$B$37,Phone_by_Sentiment!G$2:G$37,"",0,1)),_xlfn.XLOOKUP($C1062,Phone_by_Sentiment!$B$2:$B$37,Phone_by_Sentiment!G$2:G$37,"",0,1),0),$A1062-TEXT(DATEVALUE($D1062&amp;"-01"), "dd-mm-yyyy")),0),0)</f>
        <v>365</v>
      </c>
      <c r="H1062" cm="1">
        <f t="array" ref="H1062">IF($Q1062&gt;=0,IFERROR(generateSalesData($D1062, IF(ISNUMBER(_xlfn.XLOOKUP($C1062,Phone_by_Sentiment!$B$2:$B$37,Phone_by_Sentiment!H$2:H$37,"",0,1)),_xlfn.XLOOKUP($C1062,Phone_by_Sentiment!$B$2:$B$37,Phone_by_Sentiment!H$2:H$37,"",0,1),0),$A1062-TEXT(DATEVALUE($D1062&amp;"-01"), "dd-mm-yyyy")),0),0)</f>
        <v>3088</v>
      </c>
      <c r="I1062" cm="1">
        <f t="array" ref="I1062">IF($Q1062&gt;=0,IFERROR(generateSalesData($D1062, IF(ISNUMBER(_xlfn.XLOOKUP($C1062,Phone_by_Sentiment!$B$2:$B$37,Phone_by_Sentiment!I$2:I$37,"",0,1)),_xlfn.XLOOKUP($C1062,Phone_by_Sentiment!$B$2:$B$37,Phone_by_Sentiment!I$2:I$37,"",0,1),0),$A1062-TEXT(DATEVALUE($D1062&amp;"-01"), "dd-mm-yyyy")),0),0)</f>
        <v>2645</v>
      </c>
      <c r="J1062" cm="1">
        <f t="array" ref="J1062">IF($Q1062&gt;=0,IFERROR(generateSalesData($D1062, IF(ISNUMBER(_xlfn.XLOOKUP($C1062,Phone_by_Sentiment!$B$2:$B$37,Phone_by_Sentiment!J$2:J$37,"",0,1)),_xlfn.XLOOKUP($C1062,Phone_by_Sentiment!$B$2:$B$37,Phone_by_Sentiment!J$2:J$37,"",0,1),0),$A1062-TEXT(DATEVALUE($D1062&amp;"-01"), "dd-mm-yyyy")),0),0)</f>
        <v>734</v>
      </c>
      <c r="K1062" cm="1">
        <f t="array" ref="K1062">IF($Q1062&gt;=0,IFERROR(generateSalesData($D1062, IF(ISNUMBER(_xlfn.XLOOKUP($C1062,Phone_by_Sentiment!$B$2:$B$37,Phone_by_Sentiment!K$2:K$37,"",0,1)),_xlfn.XLOOKUP($C1062,Phone_by_Sentiment!$B$2:$B$37,Phone_by_Sentiment!K$2:K$37,"",0,1),0),$A1062-TEXT(DATEVALUE($D1062&amp;"-01"), "dd-mm-yyyy")),0),0)</f>
        <v>556</v>
      </c>
      <c r="L1062" cm="1">
        <f t="array" ref="L1062">IF($Q1062&gt;=0,IFERROR(generateSalesData($D1062, IF(ISNUMBER(_xlfn.XLOOKUP($C1062,Phone_by_Sentiment!$B$2:$B$37,Phone_by_Sentiment!L$2:L$37,"",0,1)),_xlfn.XLOOKUP($C1062,Phone_by_Sentiment!$B$2:$B$37,Phone_by_Sentiment!L$2:L$37,"",0,1),0),$A1062-TEXT(DATEVALUE($D1062&amp;"-01"), "dd-mm-yyyy")),0),0)</f>
        <v>2160</v>
      </c>
      <c r="M1062" cm="1">
        <f t="array" ref="M1062">IF($Q1062&gt;=0,IFERROR(generateSalesData($D1062, IF(ISNUMBER(_xlfn.XLOOKUP($C1062,Phone_by_Sentiment!$B$2:$B$37,Phone_by_Sentiment!M$2:M$37,"",0,1)),_xlfn.XLOOKUP($C1062,Phone_by_Sentiment!$B$2:$B$37,Phone_by_Sentiment!M$2:M$37,"",0,1),0),$A1062-TEXT(DATEVALUE($D1062&amp;"-01"), "dd-mm-yyyy")),0),0)</f>
        <v>272</v>
      </c>
      <c r="N1062" cm="1">
        <f t="array" ref="N1062">IF($Q1062&gt;=0,IFERROR(generateSalesData($D1062, IF(ISNUMBER(_xlfn.XLOOKUP($C1062,Phone_by_Sentiment!$B$2:$B$37,Phone_by_Sentiment!N$2:N$37,"",0,1)),_xlfn.XLOOKUP($C1062,Phone_by_Sentiment!$B$2:$B$37,Phone_by_Sentiment!N$2:N$37,"",0,1),0),$A1062-TEXT(DATEVALUE($D1062&amp;"-01"), "dd-mm-yyyy")),0),0)</f>
        <v>1801</v>
      </c>
      <c r="O1062" cm="1">
        <f t="array" ref="O1062">IF($Q1062&gt;=0,IFERROR(generateSalesData($D1062, IF(ISNUMBER(_xlfn.XLOOKUP($C1062,Phone_by_Sentiment!$B$2:$B$37,Phone_by_Sentiment!O$2:O$37,"",0,1)),_xlfn.XLOOKUP($C1062,Phone_by_Sentiment!$B$2:$B$37,Phone_by_Sentiment!O$2:O$37,"",0,1),0),$A1062-TEXT(DATEVALUE($D1062&amp;"-01"), "dd-mm-yyyy")),0),0)</f>
        <v>337</v>
      </c>
      <c r="P1062" s="1">
        <f t="shared" si="43"/>
        <v>44287</v>
      </c>
      <c r="Q1062">
        <f t="shared" si="44"/>
        <v>91</v>
      </c>
    </row>
    <row r="1063" spans="1:17" x14ac:dyDescent="0.25">
      <c r="A1063" s="1">
        <f t="shared" si="45"/>
        <v>44378</v>
      </c>
      <c r="B1063" t="s">
        <v>146</v>
      </c>
      <c r="C1063" t="str">
        <f>_xlfn.XLOOKUP(B1063,Phone_by_Price!$A$2:$A$34,Phone_by_Price!$B$2:$B$34,"-",0,1)</f>
        <v>Vivo Y20</v>
      </c>
      <c r="D1063" t="str">
        <f>_xlfn.XLOOKUP(C1063,Phone_by_Sentiment!$B$2:$B$37,Phone_by_Sentiment!$A$2:$A$37,"-",0,1)</f>
        <v>2020-09</v>
      </c>
      <c r="E1063" cm="1">
        <f t="array" ref="E1063">IF($Q1063&gt;=0,IFERROR(generateSalesData($D1063, IF(ISNUMBER(_xlfn.XLOOKUP($C1063,Phone_by_Sentiment!$B$2:$B$37,Phone_by_Sentiment!E$2:E$37,"",0,1)),_xlfn.XLOOKUP($C1063,Phone_by_Sentiment!$B$2:$B$37,Phone_by_Sentiment!E$2:E$37,"",0,1),0),$A1063-TEXT(DATEVALUE($D1063&amp;"-01"), "dd-mm-yyyy")),0),0)</f>
        <v>228</v>
      </c>
      <c r="F1063" cm="1">
        <f t="array" ref="F1063">IF($Q1063&gt;=0,IFERROR(generateSalesData($D1063, IF(ISNUMBER(_xlfn.XLOOKUP($C1063,Phone_by_Sentiment!$B$2:$B$37,Phone_by_Sentiment!F$2:F$37,"",0,1)),_xlfn.XLOOKUP($C1063,Phone_by_Sentiment!$B$2:$B$37,Phone_by_Sentiment!F$2:F$37,"",0,1),0),$A1063-TEXT(DATEVALUE($D1063&amp;"-01"), "dd-mm-yyyy")),0),0)</f>
        <v>698</v>
      </c>
      <c r="G1063" cm="1">
        <f t="array" ref="G1063">IF($Q1063&gt;=0,IFERROR(generateSalesData($D1063, IF(ISNUMBER(_xlfn.XLOOKUP($C1063,Phone_by_Sentiment!$B$2:$B$37,Phone_by_Sentiment!G$2:G$37,"",0,1)),_xlfn.XLOOKUP($C1063,Phone_by_Sentiment!$B$2:$B$37,Phone_by_Sentiment!G$2:G$37,"",0,1),0),$A1063-TEXT(DATEVALUE($D1063&amp;"-01"), "dd-mm-yyyy")),0),0)</f>
        <v>225</v>
      </c>
      <c r="H1063" cm="1">
        <f t="array" ref="H1063">IF($Q1063&gt;=0,IFERROR(generateSalesData($D1063, IF(ISNUMBER(_xlfn.XLOOKUP($C1063,Phone_by_Sentiment!$B$2:$B$37,Phone_by_Sentiment!H$2:H$37,"",0,1)),_xlfn.XLOOKUP($C1063,Phone_by_Sentiment!$B$2:$B$37,Phone_by_Sentiment!H$2:H$37,"",0,1),0),$A1063-TEXT(DATEVALUE($D1063&amp;"-01"), "dd-mm-yyyy")),0),0)</f>
        <v>239</v>
      </c>
      <c r="I1063" cm="1">
        <f t="array" ref="I1063">IF($Q1063&gt;=0,IFERROR(generateSalesData($D1063, IF(ISNUMBER(_xlfn.XLOOKUP($C1063,Phone_by_Sentiment!$B$2:$B$37,Phone_by_Sentiment!I$2:I$37,"",0,1)),_xlfn.XLOOKUP($C1063,Phone_by_Sentiment!$B$2:$B$37,Phone_by_Sentiment!I$2:I$37,"",0,1),0),$A1063-TEXT(DATEVALUE($D1063&amp;"-01"), "dd-mm-yyyy")),0),0)</f>
        <v>227</v>
      </c>
      <c r="J1063" cm="1">
        <f t="array" ref="J1063">IF($Q1063&gt;=0,IFERROR(generateSalesData($D1063, IF(ISNUMBER(_xlfn.XLOOKUP($C1063,Phone_by_Sentiment!$B$2:$B$37,Phone_by_Sentiment!J$2:J$37,"",0,1)),_xlfn.XLOOKUP($C1063,Phone_by_Sentiment!$B$2:$B$37,Phone_by_Sentiment!J$2:J$37,"",0,1),0),$A1063-TEXT(DATEVALUE($D1063&amp;"-01"), "dd-mm-yyyy")),0),0)</f>
        <v>236</v>
      </c>
      <c r="K1063" cm="1">
        <f t="array" ref="K1063">IF($Q1063&gt;=0,IFERROR(generateSalesData($D1063, IF(ISNUMBER(_xlfn.XLOOKUP($C1063,Phone_by_Sentiment!$B$2:$B$37,Phone_by_Sentiment!K$2:K$37,"",0,1)),_xlfn.XLOOKUP($C1063,Phone_by_Sentiment!$B$2:$B$37,Phone_by_Sentiment!K$2:K$37,"",0,1),0),$A1063-TEXT(DATEVALUE($D1063&amp;"-01"), "dd-mm-yyyy")),0),0)</f>
        <v>180</v>
      </c>
      <c r="L1063" cm="1">
        <f t="array" ref="L1063">IF($Q1063&gt;=0,IFERROR(generateSalesData($D1063, IF(ISNUMBER(_xlfn.XLOOKUP($C1063,Phone_by_Sentiment!$B$2:$B$37,Phone_by_Sentiment!L$2:L$37,"",0,1)),_xlfn.XLOOKUP($C1063,Phone_by_Sentiment!$B$2:$B$37,Phone_by_Sentiment!L$2:L$37,"",0,1),0),$A1063-TEXT(DATEVALUE($D1063&amp;"-01"), "dd-mm-yyyy")),0),0)</f>
        <v>798</v>
      </c>
      <c r="M1063" cm="1">
        <f t="array" ref="M1063">IF($Q1063&gt;=0,IFERROR(generateSalesData($D1063, IF(ISNUMBER(_xlfn.XLOOKUP($C1063,Phone_by_Sentiment!$B$2:$B$37,Phone_by_Sentiment!M$2:M$37,"",0,1)),_xlfn.XLOOKUP($C1063,Phone_by_Sentiment!$B$2:$B$37,Phone_by_Sentiment!M$2:M$37,"",0,1),0),$A1063-TEXT(DATEVALUE($D1063&amp;"-01"), "dd-mm-yyyy")),0),0)</f>
        <v>201</v>
      </c>
      <c r="N1063" cm="1">
        <f t="array" ref="N1063">IF($Q1063&gt;=0,IFERROR(generateSalesData($D1063, IF(ISNUMBER(_xlfn.XLOOKUP($C1063,Phone_by_Sentiment!$B$2:$B$37,Phone_by_Sentiment!N$2:N$37,"",0,1)),_xlfn.XLOOKUP($C1063,Phone_by_Sentiment!$B$2:$B$37,Phone_by_Sentiment!N$2:N$37,"",0,1),0),$A1063-TEXT(DATEVALUE($D1063&amp;"-01"), "dd-mm-yyyy")),0),0)</f>
        <v>99</v>
      </c>
      <c r="O1063" cm="1">
        <f t="array" ref="O1063">IF($Q1063&gt;=0,IFERROR(generateSalesData($D1063, IF(ISNUMBER(_xlfn.XLOOKUP($C1063,Phone_by_Sentiment!$B$2:$B$37,Phone_by_Sentiment!O$2:O$37,"",0,1)),_xlfn.XLOOKUP($C1063,Phone_by_Sentiment!$B$2:$B$37,Phone_by_Sentiment!O$2:O$37,"",0,1),0),$A1063-TEXT(DATEVALUE($D1063&amp;"-01"), "dd-mm-yyyy")),0),0)</f>
        <v>287</v>
      </c>
      <c r="P1063" s="1">
        <f t="shared" si="43"/>
        <v>44075</v>
      </c>
      <c r="Q1063">
        <f t="shared" si="44"/>
        <v>303</v>
      </c>
    </row>
    <row r="1064" spans="1:17" x14ac:dyDescent="0.25">
      <c r="A1064" s="1">
        <f t="shared" si="45"/>
        <v>44378</v>
      </c>
      <c r="B1064" t="s">
        <v>147</v>
      </c>
      <c r="C1064" t="str">
        <f>_xlfn.XLOOKUP(B1064,Phone_by_Price!$A$2:$A$34,Phone_by_Price!$B$2:$B$34,"-",0,1)</f>
        <v>Huawei Y9a</v>
      </c>
      <c r="D1064" t="str">
        <f>_xlfn.XLOOKUP(C1064,Phone_by_Sentiment!$B$2:$B$37,Phone_by_Sentiment!$A$2:$A$37,"-",0,1)</f>
        <v>2020-02</v>
      </c>
      <c r="E1064" cm="1">
        <f t="array" ref="E1064">IF($Q1064&gt;=0,IFERROR(generateSalesData($D1064, IF(ISNUMBER(_xlfn.XLOOKUP($C1064,Phone_by_Sentiment!$B$2:$B$37,Phone_by_Sentiment!E$2:E$37,"",0,1)),_xlfn.XLOOKUP($C1064,Phone_by_Sentiment!$B$2:$B$37,Phone_by_Sentiment!E$2:E$37,"",0,1),0),$A1064-TEXT(DATEVALUE($D1064&amp;"-01"), "dd-mm-yyyy")),0),0)</f>
        <v>289</v>
      </c>
      <c r="F1064" cm="1">
        <f t="array" ref="F1064">IF($Q1064&gt;=0,IFERROR(generateSalesData($D1064, IF(ISNUMBER(_xlfn.XLOOKUP($C1064,Phone_by_Sentiment!$B$2:$B$37,Phone_by_Sentiment!F$2:F$37,"",0,1)),_xlfn.XLOOKUP($C1064,Phone_by_Sentiment!$B$2:$B$37,Phone_by_Sentiment!F$2:F$37,"",0,1),0),$A1064-TEXT(DATEVALUE($D1064&amp;"-01"), "dd-mm-yyyy")),0),0)</f>
        <v>276</v>
      </c>
      <c r="G1064" cm="1">
        <f t="array" ref="G1064">IF($Q1064&gt;=0,IFERROR(generateSalesData($D1064, IF(ISNUMBER(_xlfn.XLOOKUP($C1064,Phone_by_Sentiment!$B$2:$B$37,Phone_by_Sentiment!G$2:G$37,"",0,1)),_xlfn.XLOOKUP($C1064,Phone_by_Sentiment!$B$2:$B$37,Phone_by_Sentiment!G$2:G$37,"",0,1),0),$A1064-TEXT(DATEVALUE($D1064&amp;"-01"), "dd-mm-yyyy")),0),0)</f>
        <v>119</v>
      </c>
      <c r="H1064" cm="1">
        <f t="array" ref="H1064">IF($Q1064&gt;=0,IFERROR(generateSalesData($D1064, IF(ISNUMBER(_xlfn.XLOOKUP($C1064,Phone_by_Sentiment!$B$2:$B$37,Phone_by_Sentiment!H$2:H$37,"",0,1)),_xlfn.XLOOKUP($C1064,Phone_by_Sentiment!$B$2:$B$37,Phone_by_Sentiment!H$2:H$37,"",0,1),0),$A1064-TEXT(DATEVALUE($D1064&amp;"-01"), "dd-mm-yyyy")),0),0)</f>
        <v>148</v>
      </c>
      <c r="I1064" cm="1">
        <f t="array" ref="I1064">IF($Q1064&gt;=0,IFERROR(generateSalesData($D1064, IF(ISNUMBER(_xlfn.XLOOKUP($C1064,Phone_by_Sentiment!$B$2:$B$37,Phone_by_Sentiment!I$2:I$37,"",0,1)),_xlfn.XLOOKUP($C1064,Phone_by_Sentiment!$B$2:$B$37,Phone_by_Sentiment!I$2:I$37,"",0,1),0),$A1064-TEXT(DATEVALUE($D1064&amp;"-01"), "dd-mm-yyyy")),0),0)</f>
        <v>75</v>
      </c>
      <c r="J1064" cm="1">
        <f t="array" ref="J1064">IF($Q1064&gt;=0,IFERROR(generateSalesData($D1064, IF(ISNUMBER(_xlfn.XLOOKUP($C1064,Phone_by_Sentiment!$B$2:$B$37,Phone_by_Sentiment!J$2:J$37,"",0,1)),_xlfn.XLOOKUP($C1064,Phone_by_Sentiment!$B$2:$B$37,Phone_by_Sentiment!J$2:J$37,"",0,1),0),$A1064-TEXT(DATEVALUE($D1064&amp;"-01"), "dd-mm-yyyy")),0),0)</f>
        <v>129</v>
      </c>
      <c r="K1064" cm="1">
        <f t="array" ref="K1064">IF($Q1064&gt;=0,IFERROR(generateSalesData($D1064, IF(ISNUMBER(_xlfn.XLOOKUP($C1064,Phone_by_Sentiment!$B$2:$B$37,Phone_by_Sentiment!K$2:K$37,"",0,1)),_xlfn.XLOOKUP($C1064,Phone_by_Sentiment!$B$2:$B$37,Phone_by_Sentiment!K$2:K$37,"",0,1),0),$A1064-TEXT(DATEVALUE($D1064&amp;"-01"), "dd-mm-yyyy")),0),0)</f>
        <v>236</v>
      </c>
      <c r="L1064" cm="1">
        <f t="array" ref="L1064">IF($Q1064&gt;=0,IFERROR(generateSalesData($D1064, IF(ISNUMBER(_xlfn.XLOOKUP($C1064,Phone_by_Sentiment!$B$2:$B$37,Phone_by_Sentiment!L$2:L$37,"",0,1)),_xlfn.XLOOKUP($C1064,Phone_by_Sentiment!$B$2:$B$37,Phone_by_Sentiment!L$2:L$37,"",0,1),0),$A1064-TEXT(DATEVALUE($D1064&amp;"-01"), "dd-mm-yyyy")),0),0)</f>
        <v>-12</v>
      </c>
      <c r="M1064" cm="1">
        <f t="array" ref="M1064">IF($Q1064&gt;=0,IFERROR(generateSalesData($D1064, IF(ISNUMBER(_xlfn.XLOOKUP($C1064,Phone_by_Sentiment!$B$2:$B$37,Phone_by_Sentiment!M$2:M$37,"",0,1)),_xlfn.XLOOKUP($C1064,Phone_by_Sentiment!$B$2:$B$37,Phone_by_Sentiment!M$2:M$37,"",0,1),0),$A1064-TEXT(DATEVALUE($D1064&amp;"-01"), "dd-mm-yyyy")),0),0)</f>
        <v>48</v>
      </c>
      <c r="N1064" cm="1">
        <f t="array" ref="N1064">IF($Q1064&gt;=0,IFERROR(generateSalesData($D1064, IF(ISNUMBER(_xlfn.XLOOKUP($C1064,Phone_by_Sentiment!$B$2:$B$37,Phone_by_Sentiment!N$2:N$37,"",0,1)),_xlfn.XLOOKUP($C1064,Phone_by_Sentiment!$B$2:$B$37,Phone_by_Sentiment!N$2:N$37,"",0,1),0),$A1064-TEXT(DATEVALUE($D1064&amp;"-01"), "dd-mm-yyyy")),0),0)</f>
        <v>167</v>
      </c>
      <c r="O1064" cm="1">
        <f t="array" ref="O1064">IF($Q1064&gt;=0,IFERROR(generateSalesData($D1064, IF(ISNUMBER(_xlfn.XLOOKUP($C1064,Phone_by_Sentiment!$B$2:$B$37,Phone_by_Sentiment!O$2:O$37,"",0,1)),_xlfn.XLOOKUP($C1064,Phone_by_Sentiment!$B$2:$B$37,Phone_by_Sentiment!O$2:O$37,"",0,1),0),$A1064-TEXT(DATEVALUE($D1064&amp;"-01"), "dd-mm-yyyy")),0),0)</f>
        <v>79</v>
      </c>
      <c r="P1064" s="1">
        <f t="shared" si="43"/>
        <v>43862</v>
      </c>
      <c r="Q1064">
        <f t="shared" si="44"/>
        <v>516</v>
      </c>
    </row>
    <row r="1065" spans="1:17" x14ac:dyDescent="0.25">
      <c r="A1065" s="1">
        <f t="shared" si="45"/>
        <v>44378</v>
      </c>
      <c r="B1065" t="s">
        <v>148</v>
      </c>
      <c r="C1065" t="str">
        <f>_xlfn.XLOOKUP(B1065,Phone_by_Price!$A$2:$A$34,Phone_by_Price!$B$2:$B$34,"-",0,1)</f>
        <v>Xiaomi Redmi 10</v>
      </c>
      <c r="D1065" t="str">
        <f>_xlfn.XLOOKUP(C1065,Phone_by_Sentiment!$B$2:$B$37,Phone_by_Sentiment!$A$2:$A$37,"-",0,1)</f>
        <v>2021-03</v>
      </c>
      <c r="E1065" cm="1">
        <f t="array" ref="E1065">IF($Q1065&gt;=0,IFERROR(generateSalesData($D1065, IF(ISNUMBER(_xlfn.XLOOKUP($C1065,Phone_by_Sentiment!$B$2:$B$37,Phone_by_Sentiment!E$2:E$37,"",0,1)),_xlfn.XLOOKUP($C1065,Phone_by_Sentiment!$B$2:$B$37,Phone_by_Sentiment!E$2:E$37,"",0,1),0),$A1065-TEXT(DATEVALUE($D1065&amp;"-01"), "dd-mm-yyyy")),0),0)</f>
        <v>921</v>
      </c>
      <c r="F1065" cm="1">
        <f t="array" ref="F1065">IF($Q1065&gt;=0,IFERROR(generateSalesData($D1065, IF(ISNUMBER(_xlfn.XLOOKUP($C1065,Phone_by_Sentiment!$B$2:$B$37,Phone_by_Sentiment!F$2:F$37,"",0,1)),_xlfn.XLOOKUP($C1065,Phone_by_Sentiment!$B$2:$B$37,Phone_by_Sentiment!F$2:F$37,"",0,1),0),$A1065-TEXT(DATEVALUE($D1065&amp;"-01"), "dd-mm-yyyy")),0),0)</f>
        <v>2809</v>
      </c>
      <c r="G1065" cm="1">
        <f t="array" ref="G1065">IF($Q1065&gt;=0,IFERROR(generateSalesData($D1065, IF(ISNUMBER(_xlfn.XLOOKUP($C1065,Phone_by_Sentiment!$B$2:$B$37,Phone_by_Sentiment!G$2:G$37,"",0,1)),_xlfn.XLOOKUP($C1065,Phone_by_Sentiment!$B$2:$B$37,Phone_by_Sentiment!G$2:G$37,"",0,1),0),$A1065-TEXT(DATEVALUE($D1065&amp;"-01"), "dd-mm-yyyy")),0),0)</f>
        <v>219</v>
      </c>
      <c r="H1065" cm="1">
        <f t="array" ref="H1065">IF($Q1065&gt;=0,IFERROR(generateSalesData($D1065, IF(ISNUMBER(_xlfn.XLOOKUP($C1065,Phone_by_Sentiment!$B$2:$B$37,Phone_by_Sentiment!H$2:H$37,"",0,1)),_xlfn.XLOOKUP($C1065,Phone_by_Sentiment!$B$2:$B$37,Phone_by_Sentiment!H$2:H$37,"",0,1),0),$A1065-TEXT(DATEVALUE($D1065&amp;"-01"), "dd-mm-yyyy")),0),0)</f>
        <v>1333</v>
      </c>
      <c r="I1065" cm="1">
        <f t="array" ref="I1065">IF($Q1065&gt;=0,IFERROR(generateSalesData($D1065, IF(ISNUMBER(_xlfn.XLOOKUP($C1065,Phone_by_Sentiment!$B$2:$B$37,Phone_by_Sentiment!I$2:I$37,"",0,1)),_xlfn.XLOOKUP($C1065,Phone_by_Sentiment!$B$2:$B$37,Phone_by_Sentiment!I$2:I$37,"",0,1),0),$A1065-TEXT(DATEVALUE($D1065&amp;"-01"), "dd-mm-yyyy")),0),0)</f>
        <v>477</v>
      </c>
      <c r="J1065" cm="1">
        <f t="array" ref="J1065">IF($Q1065&gt;=0,IFERROR(generateSalesData($D1065, IF(ISNUMBER(_xlfn.XLOOKUP($C1065,Phone_by_Sentiment!$B$2:$B$37,Phone_by_Sentiment!J$2:J$37,"",0,1)),_xlfn.XLOOKUP($C1065,Phone_by_Sentiment!$B$2:$B$37,Phone_by_Sentiment!J$2:J$37,"",0,1),0),$A1065-TEXT(DATEVALUE($D1065&amp;"-01"), "dd-mm-yyyy")),0),0)</f>
        <v>732</v>
      </c>
      <c r="K1065" cm="1">
        <f t="array" ref="K1065">IF($Q1065&gt;=0,IFERROR(generateSalesData($D1065, IF(ISNUMBER(_xlfn.XLOOKUP($C1065,Phone_by_Sentiment!$B$2:$B$37,Phone_by_Sentiment!K$2:K$37,"",0,1)),_xlfn.XLOOKUP($C1065,Phone_by_Sentiment!$B$2:$B$37,Phone_by_Sentiment!K$2:K$37,"",0,1),0),$A1065-TEXT(DATEVALUE($D1065&amp;"-01"), "dd-mm-yyyy")),0),0)</f>
        <v>1736</v>
      </c>
      <c r="L1065" cm="1">
        <f t="array" ref="L1065">IF($Q1065&gt;=0,IFERROR(generateSalesData($D1065, IF(ISNUMBER(_xlfn.XLOOKUP($C1065,Phone_by_Sentiment!$B$2:$B$37,Phone_by_Sentiment!L$2:L$37,"",0,1)),_xlfn.XLOOKUP($C1065,Phone_by_Sentiment!$B$2:$B$37,Phone_by_Sentiment!L$2:L$37,"",0,1),0),$A1065-TEXT(DATEVALUE($D1065&amp;"-01"), "dd-mm-yyyy")),0),0)</f>
        <v>117</v>
      </c>
      <c r="M1065" cm="1">
        <f t="array" ref="M1065">IF($Q1065&gt;=0,IFERROR(generateSalesData($D1065, IF(ISNUMBER(_xlfn.XLOOKUP($C1065,Phone_by_Sentiment!$B$2:$B$37,Phone_by_Sentiment!M$2:M$37,"",0,1)),_xlfn.XLOOKUP($C1065,Phone_by_Sentiment!$B$2:$B$37,Phone_by_Sentiment!M$2:M$37,"",0,1),0),$A1065-TEXT(DATEVALUE($D1065&amp;"-01"), "dd-mm-yyyy")),0),0)</f>
        <v>323</v>
      </c>
      <c r="N1065" cm="1">
        <f t="array" ref="N1065">IF($Q1065&gt;=0,IFERROR(generateSalesData($D1065, IF(ISNUMBER(_xlfn.XLOOKUP($C1065,Phone_by_Sentiment!$B$2:$B$37,Phone_by_Sentiment!N$2:N$37,"",0,1)),_xlfn.XLOOKUP($C1065,Phone_by_Sentiment!$B$2:$B$37,Phone_by_Sentiment!N$2:N$37,"",0,1),0),$A1065-TEXT(DATEVALUE($D1065&amp;"-01"), "dd-mm-yyyy")),0),0)</f>
        <v>455</v>
      </c>
      <c r="O1065" cm="1">
        <f t="array" ref="O1065">IF($Q1065&gt;=0,IFERROR(generateSalesData($D1065, IF(ISNUMBER(_xlfn.XLOOKUP($C1065,Phone_by_Sentiment!$B$2:$B$37,Phone_by_Sentiment!O$2:O$37,"",0,1)),_xlfn.XLOOKUP($C1065,Phone_by_Sentiment!$B$2:$B$37,Phone_by_Sentiment!O$2:O$37,"",0,1),0),$A1065-TEXT(DATEVALUE($D1065&amp;"-01"), "dd-mm-yyyy")),0),0)</f>
        <v>3683</v>
      </c>
      <c r="P1065" s="1">
        <f t="shared" si="43"/>
        <v>44256</v>
      </c>
      <c r="Q1065">
        <f t="shared" si="44"/>
        <v>122</v>
      </c>
    </row>
    <row r="1066" spans="1:17" x14ac:dyDescent="0.25">
      <c r="A1066" s="1">
        <f t="shared" si="45"/>
        <v>44378</v>
      </c>
      <c r="B1066" t="s">
        <v>149</v>
      </c>
      <c r="C1066" t="str">
        <f>_xlfn.XLOOKUP(B1066,Phone_by_Price!$A$2:$A$34,Phone_by_Price!$B$2:$B$34,"-",0,1)</f>
        <v>Samsung Galaxy A52</v>
      </c>
      <c r="D1066" t="str">
        <f>_xlfn.XLOOKUP(C1066,Phone_by_Sentiment!$B$2:$B$37,Phone_by_Sentiment!$A$2:$A$37,"-",0,1)</f>
        <v>2021-03</v>
      </c>
      <c r="E1066" cm="1">
        <f t="array" ref="E1066">IF($Q1066&gt;=0,IFERROR(generateSalesData($D1066, IF(ISNUMBER(_xlfn.XLOOKUP($C1066,Phone_by_Sentiment!$B$2:$B$37,Phone_by_Sentiment!E$2:E$37,"",0,1)),_xlfn.XLOOKUP($C1066,Phone_by_Sentiment!$B$2:$B$37,Phone_by_Sentiment!E$2:E$37,"",0,1),0),$A1066-TEXT(DATEVALUE($D1066&amp;"-01"), "dd-mm-yyyy")),0),0)</f>
        <v>3765</v>
      </c>
      <c r="F1066" cm="1">
        <f t="array" ref="F1066">IF($Q1066&gt;=0,IFERROR(generateSalesData($D1066, IF(ISNUMBER(_xlfn.XLOOKUP($C1066,Phone_by_Sentiment!$B$2:$B$37,Phone_by_Sentiment!F$2:F$37,"",0,1)),_xlfn.XLOOKUP($C1066,Phone_by_Sentiment!$B$2:$B$37,Phone_by_Sentiment!F$2:F$37,"",0,1),0),$A1066-TEXT(DATEVALUE($D1066&amp;"-01"), "dd-mm-yyyy")),0),0)</f>
        <v>2239</v>
      </c>
      <c r="G1066" cm="1">
        <f t="array" ref="G1066">IF($Q1066&gt;=0,IFERROR(generateSalesData($D1066, IF(ISNUMBER(_xlfn.XLOOKUP($C1066,Phone_by_Sentiment!$B$2:$B$37,Phone_by_Sentiment!G$2:G$37,"",0,1)),_xlfn.XLOOKUP($C1066,Phone_by_Sentiment!$B$2:$B$37,Phone_by_Sentiment!G$2:G$37,"",0,1),0),$A1066-TEXT(DATEVALUE($D1066&amp;"-01"), "dd-mm-yyyy")),0),0)</f>
        <v>4</v>
      </c>
      <c r="H1066" cm="1">
        <f t="array" ref="H1066">IF($Q1066&gt;=0,IFERROR(generateSalesData($D1066, IF(ISNUMBER(_xlfn.XLOOKUP($C1066,Phone_by_Sentiment!$B$2:$B$37,Phone_by_Sentiment!H$2:H$37,"",0,1)),_xlfn.XLOOKUP($C1066,Phone_by_Sentiment!$B$2:$B$37,Phone_by_Sentiment!H$2:H$37,"",0,1),0),$A1066-TEXT(DATEVALUE($D1066&amp;"-01"), "dd-mm-yyyy")),0),0)</f>
        <v>1802</v>
      </c>
      <c r="I1066" cm="1">
        <f t="array" ref="I1066">IF($Q1066&gt;=0,IFERROR(generateSalesData($D1066, IF(ISNUMBER(_xlfn.XLOOKUP($C1066,Phone_by_Sentiment!$B$2:$B$37,Phone_by_Sentiment!I$2:I$37,"",0,1)),_xlfn.XLOOKUP($C1066,Phone_by_Sentiment!$B$2:$B$37,Phone_by_Sentiment!I$2:I$37,"",0,1),0),$A1066-TEXT(DATEVALUE($D1066&amp;"-01"), "dd-mm-yyyy")),0),0)</f>
        <v>2086</v>
      </c>
      <c r="J1066" cm="1">
        <f t="array" ref="J1066">IF($Q1066&gt;=0,IFERROR(generateSalesData($D1066, IF(ISNUMBER(_xlfn.XLOOKUP($C1066,Phone_by_Sentiment!$B$2:$B$37,Phone_by_Sentiment!J$2:J$37,"",0,1)),_xlfn.XLOOKUP($C1066,Phone_by_Sentiment!$B$2:$B$37,Phone_by_Sentiment!J$2:J$37,"",0,1),0),$A1066-TEXT(DATEVALUE($D1066&amp;"-01"), "dd-mm-yyyy")),0),0)</f>
        <v>2736</v>
      </c>
      <c r="K1066" cm="1">
        <f t="array" ref="K1066">IF($Q1066&gt;=0,IFERROR(generateSalesData($D1066, IF(ISNUMBER(_xlfn.XLOOKUP($C1066,Phone_by_Sentiment!$B$2:$B$37,Phone_by_Sentiment!K$2:K$37,"",0,1)),_xlfn.XLOOKUP($C1066,Phone_by_Sentiment!$B$2:$B$37,Phone_by_Sentiment!K$2:K$37,"",0,1),0),$A1066-TEXT(DATEVALUE($D1066&amp;"-01"), "dd-mm-yyyy")),0),0)</f>
        <v>1062</v>
      </c>
      <c r="L1066" cm="1">
        <f t="array" ref="L1066">IF($Q1066&gt;=0,IFERROR(generateSalesData($D1066, IF(ISNUMBER(_xlfn.XLOOKUP($C1066,Phone_by_Sentiment!$B$2:$B$37,Phone_by_Sentiment!L$2:L$37,"",0,1)),_xlfn.XLOOKUP($C1066,Phone_by_Sentiment!$B$2:$B$37,Phone_by_Sentiment!L$2:L$37,"",0,1),0),$A1066-TEXT(DATEVALUE($D1066&amp;"-01"), "dd-mm-yyyy")),0),0)</f>
        <v>2648</v>
      </c>
      <c r="M1066" cm="1">
        <f t="array" ref="M1066">IF($Q1066&gt;=0,IFERROR(generateSalesData($D1066, IF(ISNUMBER(_xlfn.XLOOKUP($C1066,Phone_by_Sentiment!$B$2:$B$37,Phone_by_Sentiment!M$2:M$37,"",0,1)),_xlfn.XLOOKUP($C1066,Phone_by_Sentiment!$B$2:$B$37,Phone_by_Sentiment!M$2:M$37,"",0,1),0),$A1066-TEXT(DATEVALUE($D1066&amp;"-01"), "dd-mm-yyyy")),0),0)</f>
        <v>2189</v>
      </c>
      <c r="N1066" cm="1">
        <f t="array" ref="N1066">IF($Q1066&gt;=0,IFERROR(generateSalesData($D1066, IF(ISNUMBER(_xlfn.XLOOKUP($C1066,Phone_by_Sentiment!$B$2:$B$37,Phone_by_Sentiment!N$2:N$37,"",0,1)),_xlfn.XLOOKUP($C1066,Phone_by_Sentiment!$B$2:$B$37,Phone_by_Sentiment!N$2:N$37,"",0,1),0),$A1066-TEXT(DATEVALUE($D1066&amp;"-01"), "dd-mm-yyyy")),0),0)</f>
        <v>4349</v>
      </c>
      <c r="O1066" cm="1">
        <f t="array" ref="O1066">IF($Q1066&gt;=0,IFERROR(generateSalesData($D1066, IF(ISNUMBER(_xlfn.XLOOKUP($C1066,Phone_by_Sentiment!$B$2:$B$37,Phone_by_Sentiment!O$2:O$37,"",0,1)),_xlfn.XLOOKUP($C1066,Phone_by_Sentiment!$B$2:$B$37,Phone_by_Sentiment!O$2:O$37,"",0,1),0),$A1066-TEXT(DATEVALUE($D1066&amp;"-01"), "dd-mm-yyyy")),0),0)</f>
        <v>358</v>
      </c>
      <c r="P1066" s="1">
        <f t="shared" si="43"/>
        <v>44256</v>
      </c>
      <c r="Q1066">
        <f t="shared" si="44"/>
        <v>122</v>
      </c>
    </row>
    <row r="1067" spans="1:17" x14ac:dyDescent="0.25">
      <c r="A1067" s="1">
        <f t="shared" si="45"/>
        <v>44378</v>
      </c>
      <c r="B1067" t="s">
        <v>150</v>
      </c>
      <c r="C1067" t="str">
        <f>_xlfn.XLOOKUP(B1067,Phone_by_Price!$A$2:$A$34,Phone_by_Price!$B$2:$B$34,"-",0,1)</f>
        <v>Vivo Y33s</v>
      </c>
      <c r="D1067" t="str">
        <f>_xlfn.XLOOKUP(C1067,Phone_by_Sentiment!$B$2:$B$37,Phone_by_Sentiment!$A$2:$A$37,"-",0,1)</f>
        <v>2021-05</v>
      </c>
      <c r="E1067" cm="1">
        <f t="array" ref="E1067">IF($Q1067&gt;=0,IFERROR(generateSalesData($D1067, IF(ISNUMBER(_xlfn.XLOOKUP($C1067,Phone_by_Sentiment!$B$2:$B$37,Phone_by_Sentiment!E$2:E$37,"",0,1)),_xlfn.XLOOKUP($C1067,Phone_by_Sentiment!$B$2:$B$37,Phone_by_Sentiment!E$2:E$37,"",0,1),0),$A1067-TEXT(DATEVALUE($D1067&amp;"-01"), "dd-mm-yyyy")),0),0)</f>
        <v>4756</v>
      </c>
      <c r="F1067" cm="1">
        <f t="array" ref="F1067">IF($Q1067&gt;=0,IFERROR(generateSalesData($D1067, IF(ISNUMBER(_xlfn.XLOOKUP($C1067,Phone_by_Sentiment!$B$2:$B$37,Phone_by_Sentiment!F$2:F$37,"",0,1)),_xlfn.XLOOKUP($C1067,Phone_by_Sentiment!$B$2:$B$37,Phone_by_Sentiment!F$2:F$37,"",0,1),0),$A1067-TEXT(DATEVALUE($D1067&amp;"-01"), "dd-mm-yyyy")),0),0)</f>
        <v>1306</v>
      </c>
      <c r="G1067" cm="1">
        <f t="array" ref="G1067">IF($Q1067&gt;=0,IFERROR(generateSalesData($D1067, IF(ISNUMBER(_xlfn.XLOOKUP($C1067,Phone_by_Sentiment!$B$2:$B$37,Phone_by_Sentiment!G$2:G$37,"",0,1)),_xlfn.XLOOKUP($C1067,Phone_by_Sentiment!$B$2:$B$37,Phone_by_Sentiment!G$2:G$37,"",0,1),0),$A1067-TEXT(DATEVALUE($D1067&amp;"-01"), "dd-mm-yyyy")),0),0)</f>
        <v>771</v>
      </c>
      <c r="H1067" cm="1">
        <f t="array" ref="H1067">IF($Q1067&gt;=0,IFERROR(generateSalesData($D1067, IF(ISNUMBER(_xlfn.XLOOKUP($C1067,Phone_by_Sentiment!$B$2:$B$37,Phone_by_Sentiment!H$2:H$37,"",0,1)),_xlfn.XLOOKUP($C1067,Phone_by_Sentiment!$B$2:$B$37,Phone_by_Sentiment!H$2:H$37,"",0,1),0),$A1067-TEXT(DATEVALUE($D1067&amp;"-01"), "dd-mm-yyyy")),0),0)</f>
        <v>3077</v>
      </c>
      <c r="I1067" cm="1">
        <f t="array" ref="I1067">IF($Q1067&gt;=0,IFERROR(generateSalesData($D1067, IF(ISNUMBER(_xlfn.XLOOKUP($C1067,Phone_by_Sentiment!$B$2:$B$37,Phone_by_Sentiment!I$2:I$37,"",0,1)),_xlfn.XLOOKUP($C1067,Phone_by_Sentiment!$B$2:$B$37,Phone_by_Sentiment!I$2:I$37,"",0,1),0),$A1067-TEXT(DATEVALUE($D1067&amp;"-01"), "dd-mm-yyyy")),0),0)</f>
        <v>1071</v>
      </c>
      <c r="J1067" cm="1">
        <f t="array" ref="J1067">IF($Q1067&gt;=0,IFERROR(generateSalesData($D1067, IF(ISNUMBER(_xlfn.XLOOKUP($C1067,Phone_by_Sentiment!$B$2:$B$37,Phone_by_Sentiment!J$2:J$37,"",0,1)),_xlfn.XLOOKUP($C1067,Phone_by_Sentiment!$B$2:$B$37,Phone_by_Sentiment!J$2:J$37,"",0,1),0),$A1067-TEXT(DATEVALUE($D1067&amp;"-01"), "dd-mm-yyyy")),0),0)</f>
        <v>815</v>
      </c>
      <c r="K1067" cm="1">
        <f t="array" ref="K1067">IF($Q1067&gt;=0,IFERROR(generateSalesData($D1067, IF(ISNUMBER(_xlfn.XLOOKUP($C1067,Phone_by_Sentiment!$B$2:$B$37,Phone_by_Sentiment!K$2:K$37,"",0,1)),_xlfn.XLOOKUP($C1067,Phone_by_Sentiment!$B$2:$B$37,Phone_by_Sentiment!K$2:K$37,"",0,1),0),$A1067-TEXT(DATEVALUE($D1067&amp;"-01"), "dd-mm-yyyy")),0),0)</f>
        <v>1024</v>
      </c>
      <c r="L1067" cm="1">
        <f t="array" ref="L1067">IF($Q1067&gt;=0,IFERROR(generateSalesData($D1067, IF(ISNUMBER(_xlfn.XLOOKUP($C1067,Phone_by_Sentiment!$B$2:$B$37,Phone_by_Sentiment!L$2:L$37,"",0,1)),_xlfn.XLOOKUP($C1067,Phone_by_Sentiment!$B$2:$B$37,Phone_by_Sentiment!L$2:L$37,"",0,1),0),$A1067-TEXT(DATEVALUE($D1067&amp;"-01"), "dd-mm-yyyy")),0),0)</f>
        <v>180</v>
      </c>
      <c r="M1067" cm="1">
        <f t="array" ref="M1067">IF($Q1067&gt;=0,IFERROR(generateSalesData($D1067, IF(ISNUMBER(_xlfn.XLOOKUP($C1067,Phone_by_Sentiment!$B$2:$B$37,Phone_by_Sentiment!M$2:M$37,"",0,1)),_xlfn.XLOOKUP($C1067,Phone_by_Sentiment!$B$2:$B$37,Phone_by_Sentiment!M$2:M$37,"",0,1),0),$A1067-TEXT(DATEVALUE($D1067&amp;"-01"), "dd-mm-yyyy")),0),0)</f>
        <v>1065</v>
      </c>
      <c r="N1067" cm="1">
        <f t="array" ref="N1067">IF($Q1067&gt;=0,IFERROR(generateSalesData($D1067, IF(ISNUMBER(_xlfn.XLOOKUP($C1067,Phone_by_Sentiment!$B$2:$B$37,Phone_by_Sentiment!N$2:N$37,"",0,1)),_xlfn.XLOOKUP($C1067,Phone_by_Sentiment!$B$2:$B$37,Phone_by_Sentiment!N$2:N$37,"",0,1),0),$A1067-TEXT(DATEVALUE($D1067&amp;"-01"), "dd-mm-yyyy")),0),0)</f>
        <v>624</v>
      </c>
      <c r="O1067" cm="1">
        <f t="array" ref="O1067">IF($Q1067&gt;=0,IFERROR(generateSalesData($D1067, IF(ISNUMBER(_xlfn.XLOOKUP($C1067,Phone_by_Sentiment!$B$2:$B$37,Phone_by_Sentiment!O$2:O$37,"",0,1)),_xlfn.XLOOKUP($C1067,Phone_by_Sentiment!$B$2:$B$37,Phone_by_Sentiment!O$2:O$37,"",0,1),0),$A1067-TEXT(DATEVALUE($D1067&amp;"-01"), "dd-mm-yyyy")),0),0)</f>
        <v>3793</v>
      </c>
      <c r="P1067" s="1">
        <f t="shared" si="43"/>
        <v>44317</v>
      </c>
      <c r="Q1067">
        <f t="shared" si="44"/>
        <v>61</v>
      </c>
    </row>
    <row r="1068" spans="1:17" x14ac:dyDescent="0.25">
      <c r="A1068" s="1">
        <f t="shared" si="45"/>
        <v>44378</v>
      </c>
      <c r="B1068" t="s">
        <v>151</v>
      </c>
      <c r="C1068" t="str">
        <f>_xlfn.XLOOKUP(B1068,Phone_by_Price!$A$2:$A$34,Phone_by_Price!$B$2:$B$34,"-",0,1)</f>
        <v>Vivo Y11s</v>
      </c>
      <c r="D1068" t="str">
        <f>_xlfn.XLOOKUP(C1068,Phone_by_Sentiment!$B$2:$B$37,Phone_by_Sentiment!$A$2:$A$37,"-",0,1)</f>
        <v>2020-11</v>
      </c>
      <c r="E1068" cm="1">
        <f t="array" ref="E1068">IF($Q1068&gt;=0,IFERROR(generateSalesData($D1068, IF(ISNUMBER(_xlfn.XLOOKUP($C1068,Phone_by_Sentiment!$B$2:$B$37,Phone_by_Sentiment!E$2:E$37,"",0,1)),_xlfn.XLOOKUP($C1068,Phone_by_Sentiment!$B$2:$B$37,Phone_by_Sentiment!E$2:E$37,"",0,1),0),$A1068-TEXT(DATEVALUE($D1068&amp;"-01"), "dd-mm-yyyy")),0),0)</f>
        <v>137</v>
      </c>
      <c r="F1068" cm="1">
        <f t="array" ref="F1068">IF($Q1068&gt;=0,IFERROR(generateSalesData($D1068, IF(ISNUMBER(_xlfn.XLOOKUP($C1068,Phone_by_Sentiment!$B$2:$B$37,Phone_by_Sentiment!F$2:F$37,"",0,1)),_xlfn.XLOOKUP($C1068,Phone_by_Sentiment!$B$2:$B$37,Phone_by_Sentiment!F$2:F$37,"",0,1),0),$A1068-TEXT(DATEVALUE($D1068&amp;"-01"), "dd-mm-yyyy")),0),0)</f>
        <v>410</v>
      </c>
      <c r="G1068" cm="1">
        <f t="array" ref="G1068">IF($Q1068&gt;=0,IFERROR(generateSalesData($D1068, IF(ISNUMBER(_xlfn.XLOOKUP($C1068,Phone_by_Sentiment!$B$2:$B$37,Phone_by_Sentiment!G$2:G$37,"",0,1)),_xlfn.XLOOKUP($C1068,Phone_by_Sentiment!$B$2:$B$37,Phone_by_Sentiment!G$2:G$37,"",0,1),0),$A1068-TEXT(DATEVALUE($D1068&amp;"-01"), "dd-mm-yyyy")),0),0)</f>
        <v>279</v>
      </c>
      <c r="H1068" cm="1">
        <f t="array" ref="H1068">IF($Q1068&gt;=0,IFERROR(generateSalesData($D1068, IF(ISNUMBER(_xlfn.XLOOKUP($C1068,Phone_by_Sentiment!$B$2:$B$37,Phone_by_Sentiment!H$2:H$37,"",0,1)),_xlfn.XLOOKUP($C1068,Phone_by_Sentiment!$B$2:$B$37,Phone_by_Sentiment!H$2:H$37,"",0,1),0),$A1068-TEXT(DATEVALUE($D1068&amp;"-01"), "dd-mm-yyyy")),0),0)</f>
        <v>151</v>
      </c>
      <c r="I1068" cm="1">
        <f t="array" ref="I1068">IF($Q1068&gt;=0,IFERROR(generateSalesData($D1068, IF(ISNUMBER(_xlfn.XLOOKUP($C1068,Phone_by_Sentiment!$B$2:$B$37,Phone_by_Sentiment!I$2:I$37,"",0,1)),_xlfn.XLOOKUP($C1068,Phone_by_Sentiment!$B$2:$B$37,Phone_by_Sentiment!I$2:I$37,"",0,1),0),$A1068-TEXT(DATEVALUE($D1068&amp;"-01"), "dd-mm-yyyy")),0),0)</f>
        <v>1268</v>
      </c>
      <c r="J1068" cm="1">
        <f t="array" ref="J1068">IF($Q1068&gt;=0,IFERROR(generateSalesData($D1068, IF(ISNUMBER(_xlfn.XLOOKUP($C1068,Phone_by_Sentiment!$B$2:$B$37,Phone_by_Sentiment!J$2:J$37,"",0,1)),_xlfn.XLOOKUP($C1068,Phone_by_Sentiment!$B$2:$B$37,Phone_by_Sentiment!J$2:J$37,"",0,1),0),$A1068-TEXT(DATEVALUE($D1068&amp;"-01"), "dd-mm-yyyy")),0),0)</f>
        <v>268</v>
      </c>
      <c r="K1068" cm="1">
        <f t="array" ref="K1068">IF($Q1068&gt;=0,IFERROR(generateSalesData($D1068, IF(ISNUMBER(_xlfn.XLOOKUP($C1068,Phone_by_Sentiment!$B$2:$B$37,Phone_by_Sentiment!K$2:K$37,"",0,1)),_xlfn.XLOOKUP($C1068,Phone_by_Sentiment!$B$2:$B$37,Phone_by_Sentiment!K$2:K$37,"",0,1),0),$A1068-TEXT(DATEVALUE($D1068&amp;"-01"), "dd-mm-yyyy")),0),0)</f>
        <v>247</v>
      </c>
      <c r="L1068" cm="1">
        <f t="array" ref="L1068">IF($Q1068&gt;=0,IFERROR(generateSalesData($D1068, IF(ISNUMBER(_xlfn.XLOOKUP($C1068,Phone_by_Sentiment!$B$2:$B$37,Phone_by_Sentiment!L$2:L$37,"",0,1)),_xlfn.XLOOKUP($C1068,Phone_by_Sentiment!$B$2:$B$37,Phone_by_Sentiment!L$2:L$37,"",0,1),0),$A1068-TEXT(DATEVALUE($D1068&amp;"-01"), "dd-mm-yyyy")),0),0)</f>
        <v>325</v>
      </c>
      <c r="M1068" cm="1">
        <f t="array" ref="M1068">IF($Q1068&gt;=0,IFERROR(generateSalesData($D1068, IF(ISNUMBER(_xlfn.XLOOKUP($C1068,Phone_by_Sentiment!$B$2:$B$37,Phone_by_Sentiment!M$2:M$37,"",0,1)),_xlfn.XLOOKUP($C1068,Phone_by_Sentiment!$B$2:$B$37,Phone_by_Sentiment!M$2:M$37,"",0,1),0),$A1068-TEXT(DATEVALUE($D1068&amp;"-01"), "dd-mm-yyyy")),0),0)</f>
        <v>1091</v>
      </c>
      <c r="N1068" cm="1">
        <f t="array" ref="N1068">IF($Q1068&gt;=0,IFERROR(generateSalesData($D1068, IF(ISNUMBER(_xlfn.XLOOKUP($C1068,Phone_by_Sentiment!$B$2:$B$37,Phone_by_Sentiment!N$2:N$37,"",0,1)),_xlfn.XLOOKUP($C1068,Phone_by_Sentiment!$B$2:$B$37,Phone_by_Sentiment!N$2:N$37,"",0,1),0),$A1068-TEXT(DATEVALUE($D1068&amp;"-01"), "dd-mm-yyyy")),0),0)</f>
        <v>538</v>
      </c>
      <c r="O1068" cm="1">
        <f t="array" ref="O1068">IF($Q1068&gt;=0,IFERROR(generateSalesData($D1068, IF(ISNUMBER(_xlfn.XLOOKUP($C1068,Phone_by_Sentiment!$B$2:$B$37,Phone_by_Sentiment!O$2:O$37,"",0,1)),_xlfn.XLOOKUP($C1068,Phone_by_Sentiment!$B$2:$B$37,Phone_by_Sentiment!O$2:O$37,"",0,1),0),$A1068-TEXT(DATEVALUE($D1068&amp;"-01"), "dd-mm-yyyy")),0),0)</f>
        <v>392</v>
      </c>
      <c r="P1068" s="1">
        <f t="shared" si="43"/>
        <v>44136</v>
      </c>
      <c r="Q1068">
        <f t="shared" si="44"/>
        <v>242</v>
      </c>
    </row>
    <row r="1069" spans="1:17" x14ac:dyDescent="0.25">
      <c r="A1069" s="1">
        <f t="shared" si="45"/>
        <v>44378</v>
      </c>
      <c r="B1069" t="s">
        <v>152</v>
      </c>
      <c r="C1069" t="str">
        <f>_xlfn.XLOOKUP(B1069,Phone_by_Price!$A$2:$A$34,Phone_by_Price!$B$2:$B$34,"-",0,1)</f>
        <v>Huawei Nova 7i</v>
      </c>
      <c r="D1069" t="str">
        <f>_xlfn.XLOOKUP(C1069,Phone_by_Sentiment!$B$2:$B$37,Phone_by_Sentiment!$A$2:$A$37,"-",0,1)</f>
        <v>2020-02</v>
      </c>
      <c r="E1069" cm="1">
        <f t="array" ref="E1069">IF($Q1069&gt;=0,IFERROR(generateSalesData($D1069, IF(ISNUMBER(_xlfn.XLOOKUP($C1069,Phone_by_Sentiment!$B$2:$B$37,Phone_by_Sentiment!E$2:E$37,"",0,1)),_xlfn.XLOOKUP($C1069,Phone_by_Sentiment!$B$2:$B$37,Phone_by_Sentiment!E$2:E$37,"",0,1),0),$A1069-TEXT(DATEVALUE($D1069&amp;"-01"), "dd-mm-yyyy")),0),0)</f>
        <v>189</v>
      </c>
      <c r="F1069" cm="1">
        <f t="array" ref="F1069">IF($Q1069&gt;=0,IFERROR(generateSalesData($D1069, IF(ISNUMBER(_xlfn.XLOOKUP($C1069,Phone_by_Sentiment!$B$2:$B$37,Phone_by_Sentiment!F$2:F$37,"",0,1)),_xlfn.XLOOKUP($C1069,Phone_by_Sentiment!$B$2:$B$37,Phone_by_Sentiment!F$2:F$37,"",0,1),0),$A1069-TEXT(DATEVALUE($D1069&amp;"-01"), "dd-mm-yyyy")),0),0)</f>
        <v>120</v>
      </c>
      <c r="G1069" cm="1">
        <f t="array" ref="G1069">IF($Q1069&gt;=0,IFERROR(generateSalesData($D1069, IF(ISNUMBER(_xlfn.XLOOKUP($C1069,Phone_by_Sentiment!$B$2:$B$37,Phone_by_Sentiment!G$2:G$37,"",0,1)),_xlfn.XLOOKUP($C1069,Phone_by_Sentiment!$B$2:$B$37,Phone_by_Sentiment!G$2:G$37,"",0,1),0),$A1069-TEXT(DATEVALUE($D1069&amp;"-01"), "dd-mm-yyyy")),0),0)</f>
        <v>205</v>
      </c>
      <c r="H1069" cm="1">
        <f t="array" ref="H1069">IF($Q1069&gt;=0,IFERROR(generateSalesData($D1069, IF(ISNUMBER(_xlfn.XLOOKUP($C1069,Phone_by_Sentiment!$B$2:$B$37,Phone_by_Sentiment!H$2:H$37,"",0,1)),_xlfn.XLOOKUP($C1069,Phone_by_Sentiment!$B$2:$B$37,Phone_by_Sentiment!H$2:H$37,"",0,1),0),$A1069-TEXT(DATEVALUE($D1069&amp;"-01"), "dd-mm-yyyy")),0),0)</f>
        <v>373</v>
      </c>
      <c r="I1069" cm="1">
        <f t="array" ref="I1069">IF($Q1069&gt;=0,IFERROR(generateSalesData($D1069, IF(ISNUMBER(_xlfn.XLOOKUP($C1069,Phone_by_Sentiment!$B$2:$B$37,Phone_by_Sentiment!I$2:I$37,"",0,1)),_xlfn.XLOOKUP($C1069,Phone_by_Sentiment!$B$2:$B$37,Phone_by_Sentiment!I$2:I$37,"",0,1),0),$A1069-TEXT(DATEVALUE($D1069&amp;"-01"), "dd-mm-yyyy")),0),0)</f>
        <v>13</v>
      </c>
      <c r="J1069" cm="1">
        <f t="array" ref="J1069">IF($Q1069&gt;=0,IFERROR(generateSalesData($D1069, IF(ISNUMBER(_xlfn.XLOOKUP($C1069,Phone_by_Sentiment!$B$2:$B$37,Phone_by_Sentiment!J$2:J$37,"",0,1)),_xlfn.XLOOKUP($C1069,Phone_by_Sentiment!$B$2:$B$37,Phone_by_Sentiment!J$2:J$37,"",0,1),0),$A1069-TEXT(DATEVALUE($D1069&amp;"-01"), "dd-mm-yyyy")),0),0)</f>
        <v>210</v>
      </c>
      <c r="K1069" cm="1">
        <f t="array" ref="K1069">IF($Q1069&gt;=0,IFERROR(generateSalesData($D1069, IF(ISNUMBER(_xlfn.XLOOKUP($C1069,Phone_by_Sentiment!$B$2:$B$37,Phone_by_Sentiment!K$2:K$37,"",0,1)),_xlfn.XLOOKUP($C1069,Phone_by_Sentiment!$B$2:$B$37,Phone_by_Sentiment!K$2:K$37,"",0,1),0),$A1069-TEXT(DATEVALUE($D1069&amp;"-01"), "dd-mm-yyyy")),0),0)</f>
        <v>74</v>
      </c>
      <c r="L1069" cm="1">
        <f t="array" ref="L1069">IF($Q1069&gt;=0,IFERROR(generateSalesData($D1069, IF(ISNUMBER(_xlfn.XLOOKUP($C1069,Phone_by_Sentiment!$B$2:$B$37,Phone_by_Sentiment!L$2:L$37,"",0,1)),_xlfn.XLOOKUP($C1069,Phone_by_Sentiment!$B$2:$B$37,Phone_by_Sentiment!L$2:L$37,"",0,1),0),$A1069-TEXT(DATEVALUE($D1069&amp;"-01"), "dd-mm-yyyy")),0),0)</f>
        <v>100</v>
      </c>
      <c r="M1069" cm="1">
        <f t="array" ref="M1069">IF($Q1069&gt;=0,IFERROR(generateSalesData($D1069, IF(ISNUMBER(_xlfn.XLOOKUP($C1069,Phone_by_Sentiment!$B$2:$B$37,Phone_by_Sentiment!M$2:M$37,"",0,1)),_xlfn.XLOOKUP($C1069,Phone_by_Sentiment!$B$2:$B$37,Phone_by_Sentiment!M$2:M$37,"",0,1),0),$A1069-TEXT(DATEVALUE($D1069&amp;"-01"), "dd-mm-yyyy")),0),0)</f>
        <v>184</v>
      </c>
      <c r="N1069" cm="1">
        <f t="array" ref="N1069">IF($Q1069&gt;=0,IFERROR(generateSalesData($D1069, IF(ISNUMBER(_xlfn.XLOOKUP($C1069,Phone_by_Sentiment!$B$2:$B$37,Phone_by_Sentiment!N$2:N$37,"",0,1)),_xlfn.XLOOKUP($C1069,Phone_by_Sentiment!$B$2:$B$37,Phone_by_Sentiment!N$2:N$37,"",0,1),0),$A1069-TEXT(DATEVALUE($D1069&amp;"-01"), "dd-mm-yyyy")),0),0)</f>
        <v>180</v>
      </c>
      <c r="O1069" cm="1">
        <f t="array" ref="O1069">IF($Q1069&gt;=0,IFERROR(generateSalesData($D1069, IF(ISNUMBER(_xlfn.XLOOKUP($C1069,Phone_by_Sentiment!$B$2:$B$37,Phone_by_Sentiment!O$2:O$37,"",0,1)),_xlfn.XLOOKUP($C1069,Phone_by_Sentiment!$B$2:$B$37,Phone_by_Sentiment!O$2:O$37,"",0,1),0),$A1069-TEXT(DATEVALUE($D1069&amp;"-01"), "dd-mm-yyyy")),0),0)</f>
        <v>205</v>
      </c>
      <c r="P1069" s="1">
        <f t="shared" si="43"/>
        <v>43862</v>
      </c>
      <c r="Q1069">
        <f t="shared" si="44"/>
        <v>516</v>
      </c>
    </row>
    <row r="1070" spans="1:17" x14ac:dyDescent="0.25">
      <c r="A1070" s="1">
        <f t="shared" si="45"/>
        <v>44378</v>
      </c>
      <c r="B1070" t="s">
        <v>153</v>
      </c>
      <c r="C1070" t="str">
        <f>_xlfn.XLOOKUP(B1070,Phone_by_Price!$A$2:$A$34,Phone_by_Price!$B$2:$B$34,"-",0,1)</f>
        <v>iPhone 13</v>
      </c>
      <c r="D1070" t="str">
        <f>_xlfn.XLOOKUP(C1070,Phone_by_Sentiment!$B$2:$B$37,Phone_by_Sentiment!$A$2:$A$37,"-",0,1)</f>
        <v>2021-09</v>
      </c>
      <c r="E1070" cm="1">
        <f t="array" ref="E1070">IF($Q1070&gt;=0,IFERROR(generateSalesData($D1070, IF(ISNUMBER(_xlfn.XLOOKUP($C1070,Phone_by_Sentiment!$B$2:$B$37,Phone_by_Sentiment!E$2:E$37,"",0,1)),_xlfn.XLOOKUP($C1070,Phone_by_Sentiment!$B$2:$B$37,Phone_by_Sentiment!E$2:E$37,"",0,1),0),$A1070-TEXT(DATEVALUE($D1070&amp;"-01"), "dd-mm-yyyy")),0),0)</f>
        <v>0</v>
      </c>
      <c r="F1070" cm="1">
        <f t="array" ref="F1070">IF($Q1070&gt;=0,IFERROR(generateSalesData($D1070, IF(ISNUMBER(_xlfn.XLOOKUP($C1070,Phone_by_Sentiment!$B$2:$B$37,Phone_by_Sentiment!F$2:F$37,"",0,1)),_xlfn.XLOOKUP($C1070,Phone_by_Sentiment!$B$2:$B$37,Phone_by_Sentiment!F$2:F$37,"",0,1),0),$A1070-TEXT(DATEVALUE($D1070&amp;"-01"), "dd-mm-yyyy")),0),0)</f>
        <v>0</v>
      </c>
      <c r="G1070" cm="1">
        <f t="array" ref="G1070">IF($Q1070&gt;=0,IFERROR(generateSalesData($D1070, IF(ISNUMBER(_xlfn.XLOOKUP($C1070,Phone_by_Sentiment!$B$2:$B$37,Phone_by_Sentiment!G$2:G$37,"",0,1)),_xlfn.XLOOKUP($C1070,Phone_by_Sentiment!$B$2:$B$37,Phone_by_Sentiment!G$2:G$37,"",0,1),0),$A1070-TEXT(DATEVALUE($D1070&amp;"-01"), "dd-mm-yyyy")),0),0)</f>
        <v>0</v>
      </c>
      <c r="H1070" cm="1">
        <f t="array" ref="H1070">IF($Q1070&gt;=0,IFERROR(generateSalesData($D1070, IF(ISNUMBER(_xlfn.XLOOKUP($C1070,Phone_by_Sentiment!$B$2:$B$37,Phone_by_Sentiment!H$2:H$37,"",0,1)),_xlfn.XLOOKUP($C1070,Phone_by_Sentiment!$B$2:$B$37,Phone_by_Sentiment!H$2:H$37,"",0,1),0),$A1070-TEXT(DATEVALUE($D1070&amp;"-01"), "dd-mm-yyyy")),0),0)</f>
        <v>0</v>
      </c>
      <c r="I1070" cm="1">
        <f t="array" ref="I1070">IF($Q1070&gt;=0,IFERROR(generateSalesData($D1070, IF(ISNUMBER(_xlfn.XLOOKUP($C1070,Phone_by_Sentiment!$B$2:$B$37,Phone_by_Sentiment!I$2:I$37,"",0,1)),_xlfn.XLOOKUP($C1070,Phone_by_Sentiment!$B$2:$B$37,Phone_by_Sentiment!I$2:I$37,"",0,1),0),$A1070-TEXT(DATEVALUE($D1070&amp;"-01"), "dd-mm-yyyy")),0),0)</f>
        <v>0</v>
      </c>
      <c r="J1070" cm="1">
        <f t="array" ref="J1070">IF($Q1070&gt;=0,IFERROR(generateSalesData($D1070, IF(ISNUMBER(_xlfn.XLOOKUP($C1070,Phone_by_Sentiment!$B$2:$B$37,Phone_by_Sentiment!J$2:J$37,"",0,1)),_xlfn.XLOOKUP($C1070,Phone_by_Sentiment!$B$2:$B$37,Phone_by_Sentiment!J$2:J$37,"",0,1),0),$A1070-TEXT(DATEVALUE($D1070&amp;"-01"), "dd-mm-yyyy")),0),0)</f>
        <v>0</v>
      </c>
      <c r="K1070" cm="1">
        <f t="array" ref="K1070">IF($Q1070&gt;=0,IFERROR(generateSalesData($D1070, IF(ISNUMBER(_xlfn.XLOOKUP($C1070,Phone_by_Sentiment!$B$2:$B$37,Phone_by_Sentiment!K$2:K$37,"",0,1)),_xlfn.XLOOKUP($C1070,Phone_by_Sentiment!$B$2:$B$37,Phone_by_Sentiment!K$2:K$37,"",0,1),0),$A1070-TEXT(DATEVALUE($D1070&amp;"-01"), "dd-mm-yyyy")),0),0)</f>
        <v>0</v>
      </c>
      <c r="L1070" cm="1">
        <f t="array" ref="L1070">IF($Q1070&gt;=0,IFERROR(generateSalesData($D1070, IF(ISNUMBER(_xlfn.XLOOKUP($C1070,Phone_by_Sentiment!$B$2:$B$37,Phone_by_Sentiment!L$2:L$37,"",0,1)),_xlfn.XLOOKUP($C1070,Phone_by_Sentiment!$B$2:$B$37,Phone_by_Sentiment!L$2:L$37,"",0,1),0),$A1070-TEXT(DATEVALUE($D1070&amp;"-01"), "dd-mm-yyyy")),0),0)</f>
        <v>0</v>
      </c>
      <c r="M1070" cm="1">
        <f t="array" ref="M1070">IF($Q1070&gt;=0,IFERROR(generateSalesData($D1070, IF(ISNUMBER(_xlfn.XLOOKUP($C1070,Phone_by_Sentiment!$B$2:$B$37,Phone_by_Sentiment!M$2:M$37,"",0,1)),_xlfn.XLOOKUP($C1070,Phone_by_Sentiment!$B$2:$B$37,Phone_by_Sentiment!M$2:M$37,"",0,1),0),$A1070-TEXT(DATEVALUE($D1070&amp;"-01"), "dd-mm-yyyy")),0),0)</f>
        <v>0</v>
      </c>
      <c r="N1070" cm="1">
        <f t="array" ref="N1070">IF($Q1070&gt;=0,IFERROR(generateSalesData($D1070, IF(ISNUMBER(_xlfn.XLOOKUP($C1070,Phone_by_Sentiment!$B$2:$B$37,Phone_by_Sentiment!N$2:N$37,"",0,1)),_xlfn.XLOOKUP($C1070,Phone_by_Sentiment!$B$2:$B$37,Phone_by_Sentiment!N$2:N$37,"",0,1),0),$A1070-TEXT(DATEVALUE($D1070&amp;"-01"), "dd-mm-yyyy")),0),0)</f>
        <v>0</v>
      </c>
      <c r="O1070" cm="1">
        <f t="array" ref="O1070">IF($Q1070&gt;=0,IFERROR(generateSalesData($D1070, IF(ISNUMBER(_xlfn.XLOOKUP($C1070,Phone_by_Sentiment!$B$2:$B$37,Phone_by_Sentiment!O$2:O$37,"",0,1)),_xlfn.XLOOKUP($C1070,Phone_by_Sentiment!$B$2:$B$37,Phone_by_Sentiment!O$2:O$37,"",0,1),0),$A1070-TEXT(DATEVALUE($D1070&amp;"-01"), "dd-mm-yyyy")),0),0)</f>
        <v>0</v>
      </c>
      <c r="P1070" s="1">
        <f t="shared" si="43"/>
        <v>44440</v>
      </c>
      <c r="Q1070">
        <f t="shared" si="44"/>
        <v>-62</v>
      </c>
    </row>
    <row r="1071" spans="1:17" x14ac:dyDescent="0.25">
      <c r="A1071" s="1">
        <f t="shared" si="45"/>
        <v>44378</v>
      </c>
      <c r="B1071" t="s">
        <v>154</v>
      </c>
      <c r="C1071" t="str">
        <f>_xlfn.XLOOKUP(B1071,Phone_by_Price!$A$2:$A$34,Phone_by_Price!$B$2:$B$34,"-",0,1)</f>
        <v>Samsung Galaxy S21</v>
      </c>
      <c r="D1071" t="str">
        <f>_xlfn.XLOOKUP(C1071,Phone_by_Sentiment!$B$2:$B$37,Phone_by_Sentiment!$A$2:$A$37,"-",0,1)</f>
        <v>2021-01</v>
      </c>
      <c r="E1071" cm="1">
        <f t="array" ref="E1071">IF($Q1071&gt;=0,IFERROR(generateSalesData($D1071, IF(ISNUMBER(_xlfn.XLOOKUP($C1071,Phone_by_Sentiment!$B$2:$B$37,Phone_by_Sentiment!E$2:E$37,"",0,1)),_xlfn.XLOOKUP($C1071,Phone_by_Sentiment!$B$2:$B$37,Phone_by_Sentiment!E$2:E$37,"",0,1),0),$A1071-TEXT(DATEVALUE($D1071&amp;"-01"), "dd-mm-yyyy")),0),0)</f>
        <v>899</v>
      </c>
      <c r="F1071" cm="1">
        <f t="array" ref="F1071">IF($Q1071&gt;=0,IFERROR(generateSalesData($D1071, IF(ISNUMBER(_xlfn.XLOOKUP($C1071,Phone_by_Sentiment!$B$2:$B$37,Phone_by_Sentiment!F$2:F$37,"",0,1)),_xlfn.XLOOKUP($C1071,Phone_by_Sentiment!$B$2:$B$37,Phone_by_Sentiment!F$2:F$37,"",0,1),0),$A1071-TEXT(DATEVALUE($D1071&amp;"-01"), "dd-mm-yyyy")),0),0)</f>
        <v>751</v>
      </c>
      <c r="G1071" cm="1">
        <f t="array" ref="G1071">IF($Q1071&gt;=0,IFERROR(generateSalesData($D1071, IF(ISNUMBER(_xlfn.XLOOKUP($C1071,Phone_by_Sentiment!$B$2:$B$37,Phone_by_Sentiment!G$2:G$37,"",0,1)),_xlfn.XLOOKUP($C1071,Phone_by_Sentiment!$B$2:$B$37,Phone_by_Sentiment!G$2:G$37,"",0,1),0),$A1071-TEXT(DATEVALUE($D1071&amp;"-01"), "dd-mm-yyyy")),0),0)</f>
        <v>9</v>
      </c>
      <c r="H1071" cm="1">
        <f t="array" ref="H1071">IF($Q1071&gt;=0,IFERROR(generateSalesData($D1071, IF(ISNUMBER(_xlfn.XLOOKUP($C1071,Phone_by_Sentiment!$B$2:$B$37,Phone_by_Sentiment!H$2:H$37,"",0,1)),_xlfn.XLOOKUP($C1071,Phone_by_Sentiment!$B$2:$B$37,Phone_by_Sentiment!H$2:H$37,"",0,1),0),$A1071-TEXT(DATEVALUE($D1071&amp;"-01"), "dd-mm-yyyy")),0),0)</f>
        <v>868</v>
      </c>
      <c r="I1071" cm="1">
        <f t="array" ref="I1071">IF($Q1071&gt;=0,IFERROR(generateSalesData($D1071, IF(ISNUMBER(_xlfn.XLOOKUP($C1071,Phone_by_Sentiment!$B$2:$B$37,Phone_by_Sentiment!I$2:I$37,"",0,1)),_xlfn.XLOOKUP($C1071,Phone_by_Sentiment!$B$2:$B$37,Phone_by_Sentiment!I$2:I$37,"",0,1),0),$A1071-TEXT(DATEVALUE($D1071&amp;"-01"), "dd-mm-yyyy")),0),0)</f>
        <v>832</v>
      </c>
      <c r="J1071" cm="1">
        <f t="array" ref="J1071">IF($Q1071&gt;=0,IFERROR(generateSalesData($D1071, IF(ISNUMBER(_xlfn.XLOOKUP($C1071,Phone_by_Sentiment!$B$2:$B$37,Phone_by_Sentiment!J$2:J$37,"",0,1)),_xlfn.XLOOKUP($C1071,Phone_by_Sentiment!$B$2:$B$37,Phone_by_Sentiment!J$2:J$37,"",0,1),0),$A1071-TEXT(DATEVALUE($D1071&amp;"-01"), "dd-mm-yyyy")),0),0)</f>
        <v>1089</v>
      </c>
      <c r="K1071" cm="1">
        <f t="array" ref="K1071">IF($Q1071&gt;=0,IFERROR(generateSalesData($D1071, IF(ISNUMBER(_xlfn.XLOOKUP($C1071,Phone_by_Sentiment!$B$2:$B$37,Phone_by_Sentiment!K$2:K$37,"",0,1)),_xlfn.XLOOKUP($C1071,Phone_by_Sentiment!$B$2:$B$37,Phone_by_Sentiment!K$2:K$37,"",0,1),0),$A1071-TEXT(DATEVALUE($D1071&amp;"-01"), "dd-mm-yyyy")),0),0)</f>
        <v>282</v>
      </c>
      <c r="L1071" cm="1">
        <f t="array" ref="L1071">IF($Q1071&gt;=0,IFERROR(generateSalesData($D1071, IF(ISNUMBER(_xlfn.XLOOKUP($C1071,Phone_by_Sentiment!$B$2:$B$37,Phone_by_Sentiment!L$2:L$37,"",0,1)),_xlfn.XLOOKUP($C1071,Phone_by_Sentiment!$B$2:$B$37,Phone_by_Sentiment!L$2:L$37,"",0,1),0),$A1071-TEXT(DATEVALUE($D1071&amp;"-01"), "dd-mm-yyyy")),0),0)</f>
        <v>287</v>
      </c>
      <c r="M1071" cm="1">
        <f t="array" ref="M1071">IF($Q1071&gt;=0,IFERROR(generateSalesData($D1071, IF(ISNUMBER(_xlfn.XLOOKUP($C1071,Phone_by_Sentiment!$B$2:$B$37,Phone_by_Sentiment!M$2:M$37,"",0,1)),_xlfn.XLOOKUP($C1071,Phone_by_Sentiment!$B$2:$B$37,Phone_by_Sentiment!M$2:M$37,"",0,1),0),$A1071-TEXT(DATEVALUE($D1071&amp;"-01"), "dd-mm-yyyy")),0),0)</f>
        <v>1267</v>
      </c>
      <c r="N1071" cm="1">
        <f t="array" ref="N1071">IF($Q1071&gt;=0,IFERROR(generateSalesData($D1071, IF(ISNUMBER(_xlfn.XLOOKUP($C1071,Phone_by_Sentiment!$B$2:$B$37,Phone_by_Sentiment!N$2:N$37,"",0,1)),_xlfn.XLOOKUP($C1071,Phone_by_Sentiment!$B$2:$B$37,Phone_by_Sentiment!N$2:N$37,"",0,1),0),$A1071-TEXT(DATEVALUE($D1071&amp;"-01"), "dd-mm-yyyy")),0),0)</f>
        <v>2395</v>
      </c>
      <c r="O1071" cm="1">
        <f t="array" ref="O1071">IF($Q1071&gt;=0,IFERROR(generateSalesData($D1071, IF(ISNUMBER(_xlfn.XLOOKUP($C1071,Phone_by_Sentiment!$B$2:$B$37,Phone_by_Sentiment!O$2:O$37,"",0,1)),_xlfn.XLOOKUP($C1071,Phone_by_Sentiment!$B$2:$B$37,Phone_by_Sentiment!O$2:O$37,"",0,1),0),$A1071-TEXT(DATEVALUE($D1071&amp;"-01"), "dd-mm-yyyy")),0),0)</f>
        <v>374</v>
      </c>
      <c r="P1071" s="1">
        <f t="shared" si="43"/>
        <v>44197</v>
      </c>
      <c r="Q1071">
        <f t="shared" si="44"/>
        <v>181</v>
      </c>
    </row>
    <row r="1072" spans="1:17" x14ac:dyDescent="0.25">
      <c r="A1072" s="1">
        <f t="shared" si="45"/>
        <v>44378</v>
      </c>
      <c r="B1072" t="s">
        <v>155</v>
      </c>
      <c r="C1072" t="str">
        <f>_xlfn.XLOOKUP(B1072,Phone_by_Price!$A$2:$A$34,Phone_by_Price!$B$2:$B$34,"-",0,1)</f>
        <v>Google Pixel 6</v>
      </c>
      <c r="D1072" t="str">
        <f>_xlfn.XLOOKUP(C1072,Phone_by_Sentiment!$B$2:$B$37,Phone_by_Sentiment!$A$2:$A$37,"-",0,1)</f>
        <v>2021-10</v>
      </c>
      <c r="E1072" cm="1">
        <f t="array" ref="E1072">IF($Q1072&gt;=0,IFERROR(generateSalesData($D1072, IF(ISNUMBER(_xlfn.XLOOKUP($C1072,Phone_by_Sentiment!$B$2:$B$37,Phone_by_Sentiment!E$2:E$37,"",0,1)),_xlfn.XLOOKUP($C1072,Phone_by_Sentiment!$B$2:$B$37,Phone_by_Sentiment!E$2:E$37,"",0,1),0),$A1072-TEXT(DATEVALUE($D1072&amp;"-01"), "dd-mm-yyyy")),0),0)</f>
        <v>0</v>
      </c>
      <c r="F1072" cm="1">
        <f t="array" ref="F1072">IF($Q1072&gt;=0,IFERROR(generateSalesData($D1072, IF(ISNUMBER(_xlfn.XLOOKUP($C1072,Phone_by_Sentiment!$B$2:$B$37,Phone_by_Sentiment!F$2:F$37,"",0,1)),_xlfn.XLOOKUP($C1072,Phone_by_Sentiment!$B$2:$B$37,Phone_by_Sentiment!F$2:F$37,"",0,1),0),$A1072-TEXT(DATEVALUE($D1072&amp;"-01"), "dd-mm-yyyy")),0),0)</f>
        <v>0</v>
      </c>
      <c r="G1072" cm="1">
        <f t="array" ref="G1072">IF($Q1072&gt;=0,IFERROR(generateSalesData($D1072, IF(ISNUMBER(_xlfn.XLOOKUP($C1072,Phone_by_Sentiment!$B$2:$B$37,Phone_by_Sentiment!G$2:G$37,"",0,1)),_xlfn.XLOOKUP($C1072,Phone_by_Sentiment!$B$2:$B$37,Phone_by_Sentiment!G$2:G$37,"",0,1),0),$A1072-TEXT(DATEVALUE($D1072&amp;"-01"), "dd-mm-yyyy")),0),0)</f>
        <v>0</v>
      </c>
      <c r="H1072" cm="1">
        <f t="array" ref="H1072">IF($Q1072&gt;=0,IFERROR(generateSalesData($D1072, IF(ISNUMBER(_xlfn.XLOOKUP($C1072,Phone_by_Sentiment!$B$2:$B$37,Phone_by_Sentiment!H$2:H$37,"",0,1)),_xlfn.XLOOKUP($C1072,Phone_by_Sentiment!$B$2:$B$37,Phone_by_Sentiment!H$2:H$37,"",0,1),0),$A1072-TEXT(DATEVALUE($D1072&amp;"-01"), "dd-mm-yyyy")),0),0)</f>
        <v>0</v>
      </c>
      <c r="I1072" cm="1">
        <f t="array" ref="I1072">IF($Q1072&gt;=0,IFERROR(generateSalesData($D1072, IF(ISNUMBER(_xlfn.XLOOKUP($C1072,Phone_by_Sentiment!$B$2:$B$37,Phone_by_Sentiment!I$2:I$37,"",0,1)),_xlfn.XLOOKUP($C1072,Phone_by_Sentiment!$B$2:$B$37,Phone_by_Sentiment!I$2:I$37,"",0,1),0),$A1072-TEXT(DATEVALUE($D1072&amp;"-01"), "dd-mm-yyyy")),0),0)</f>
        <v>0</v>
      </c>
      <c r="J1072" cm="1">
        <f t="array" ref="J1072">IF($Q1072&gt;=0,IFERROR(generateSalesData($D1072, IF(ISNUMBER(_xlfn.XLOOKUP($C1072,Phone_by_Sentiment!$B$2:$B$37,Phone_by_Sentiment!J$2:J$37,"",0,1)),_xlfn.XLOOKUP($C1072,Phone_by_Sentiment!$B$2:$B$37,Phone_by_Sentiment!J$2:J$37,"",0,1),0),$A1072-TEXT(DATEVALUE($D1072&amp;"-01"), "dd-mm-yyyy")),0),0)</f>
        <v>0</v>
      </c>
      <c r="K1072" cm="1">
        <f t="array" ref="K1072">IF($Q1072&gt;=0,IFERROR(generateSalesData($D1072, IF(ISNUMBER(_xlfn.XLOOKUP($C1072,Phone_by_Sentiment!$B$2:$B$37,Phone_by_Sentiment!K$2:K$37,"",0,1)),_xlfn.XLOOKUP($C1072,Phone_by_Sentiment!$B$2:$B$37,Phone_by_Sentiment!K$2:K$37,"",0,1),0),$A1072-TEXT(DATEVALUE($D1072&amp;"-01"), "dd-mm-yyyy")),0),0)</f>
        <v>0</v>
      </c>
      <c r="L1072" cm="1">
        <f t="array" ref="L1072">IF($Q1072&gt;=0,IFERROR(generateSalesData($D1072, IF(ISNUMBER(_xlfn.XLOOKUP($C1072,Phone_by_Sentiment!$B$2:$B$37,Phone_by_Sentiment!L$2:L$37,"",0,1)),_xlfn.XLOOKUP($C1072,Phone_by_Sentiment!$B$2:$B$37,Phone_by_Sentiment!L$2:L$37,"",0,1),0),$A1072-TEXT(DATEVALUE($D1072&amp;"-01"), "dd-mm-yyyy")),0),0)</f>
        <v>0</v>
      </c>
      <c r="M1072" cm="1">
        <f t="array" ref="M1072">IF($Q1072&gt;=0,IFERROR(generateSalesData($D1072, IF(ISNUMBER(_xlfn.XLOOKUP($C1072,Phone_by_Sentiment!$B$2:$B$37,Phone_by_Sentiment!M$2:M$37,"",0,1)),_xlfn.XLOOKUP($C1072,Phone_by_Sentiment!$B$2:$B$37,Phone_by_Sentiment!M$2:M$37,"",0,1),0),$A1072-TEXT(DATEVALUE($D1072&amp;"-01"), "dd-mm-yyyy")),0),0)</f>
        <v>0</v>
      </c>
      <c r="N1072" cm="1">
        <f t="array" ref="N1072">IF($Q1072&gt;=0,IFERROR(generateSalesData($D1072, IF(ISNUMBER(_xlfn.XLOOKUP($C1072,Phone_by_Sentiment!$B$2:$B$37,Phone_by_Sentiment!N$2:N$37,"",0,1)),_xlfn.XLOOKUP($C1072,Phone_by_Sentiment!$B$2:$B$37,Phone_by_Sentiment!N$2:N$37,"",0,1),0),$A1072-TEXT(DATEVALUE($D1072&amp;"-01"), "dd-mm-yyyy")),0),0)</f>
        <v>0</v>
      </c>
      <c r="O1072" cm="1">
        <f t="array" ref="O1072">IF($Q1072&gt;=0,IFERROR(generateSalesData($D1072, IF(ISNUMBER(_xlfn.XLOOKUP($C1072,Phone_by_Sentiment!$B$2:$B$37,Phone_by_Sentiment!O$2:O$37,"",0,1)),_xlfn.XLOOKUP($C1072,Phone_by_Sentiment!$B$2:$B$37,Phone_by_Sentiment!O$2:O$37,"",0,1),0),$A1072-TEXT(DATEVALUE($D1072&amp;"-01"), "dd-mm-yyyy")),0),0)</f>
        <v>0</v>
      </c>
      <c r="P1072" s="1">
        <f t="shared" si="43"/>
        <v>44470</v>
      </c>
      <c r="Q1072">
        <f t="shared" si="44"/>
        <v>-92</v>
      </c>
    </row>
    <row r="1073" spans="1:17" x14ac:dyDescent="0.25">
      <c r="A1073" s="1">
        <f t="shared" si="45"/>
        <v>44378</v>
      </c>
      <c r="B1073" t="s">
        <v>156</v>
      </c>
      <c r="C1073" t="str">
        <f>_xlfn.XLOOKUP(B1073,Phone_by_Price!$A$2:$A$34,Phone_by_Price!$B$2:$B$34,"-",0,1)</f>
        <v>OnePlus Nord CE</v>
      </c>
      <c r="D1073" t="str">
        <f>_xlfn.XLOOKUP(C1073,Phone_by_Sentiment!$B$2:$B$37,Phone_by_Sentiment!$A$2:$A$37,"-",0,1)</f>
        <v>2021-06</v>
      </c>
      <c r="E1073" cm="1">
        <f t="array" ref="E1073">IF($Q1073&gt;=0,IFERROR(generateSalesData($D1073, IF(ISNUMBER(_xlfn.XLOOKUP($C1073,Phone_by_Sentiment!$B$2:$B$37,Phone_by_Sentiment!E$2:E$37,"",0,1)),_xlfn.XLOOKUP($C1073,Phone_by_Sentiment!$B$2:$B$37,Phone_by_Sentiment!E$2:E$37,"",0,1),0),$A1073-TEXT(DATEVALUE($D1073&amp;"-01"), "dd-mm-yyyy")),0),0)</f>
        <v>974</v>
      </c>
      <c r="F1073" cm="1">
        <f t="array" ref="F1073">IF($Q1073&gt;=0,IFERROR(generateSalesData($D1073, IF(ISNUMBER(_xlfn.XLOOKUP($C1073,Phone_by_Sentiment!$B$2:$B$37,Phone_by_Sentiment!F$2:F$37,"",0,1)),_xlfn.XLOOKUP($C1073,Phone_by_Sentiment!$B$2:$B$37,Phone_by_Sentiment!F$2:F$37,"",0,1),0),$A1073-TEXT(DATEVALUE($D1073&amp;"-01"), "dd-mm-yyyy")),0),0)</f>
        <v>292</v>
      </c>
      <c r="G1073" cm="1">
        <f t="array" ref="G1073">IF($Q1073&gt;=0,IFERROR(generateSalesData($D1073, IF(ISNUMBER(_xlfn.XLOOKUP($C1073,Phone_by_Sentiment!$B$2:$B$37,Phone_by_Sentiment!G$2:G$37,"",0,1)),_xlfn.XLOOKUP($C1073,Phone_by_Sentiment!$B$2:$B$37,Phone_by_Sentiment!G$2:G$37,"",0,1),0),$A1073-TEXT(DATEVALUE($D1073&amp;"-01"), "dd-mm-yyyy")),0),0)</f>
        <v>601</v>
      </c>
      <c r="H1073" cm="1">
        <f t="array" ref="H1073">IF($Q1073&gt;=0,IFERROR(generateSalesData($D1073, IF(ISNUMBER(_xlfn.XLOOKUP($C1073,Phone_by_Sentiment!$B$2:$B$37,Phone_by_Sentiment!H$2:H$37,"",0,1)),_xlfn.XLOOKUP($C1073,Phone_by_Sentiment!$B$2:$B$37,Phone_by_Sentiment!H$2:H$37,"",0,1),0),$A1073-TEXT(DATEVALUE($D1073&amp;"-01"), "dd-mm-yyyy")),0),0)</f>
        <v>14249</v>
      </c>
      <c r="I1073" cm="1">
        <f t="array" ref="I1073">IF($Q1073&gt;=0,IFERROR(generateSalesData($D1073, IF(ISNUMBER(_xlfn.XLOOKUP($C1073,Phone_by_Sentiment!$B$2:$B$37,Phone_by_Sentiment!I$2:I$37,"",0,1)),_xlfn.XLOOKUP($C1073,Phone_by_Sentiment!$B$2:$B$37,Phone_by_Sentiment!I$2:I$37,"",0,1),0),$A1073-TEXT(DATEVALUE($D1073&amp;"-01"), "dd-mm-yyyy")),0),0)</f>
        <v>370</v>
      </c>
      <c r="J1073" cm="1">
        <f t="array" ref="J1073">IF($Q1073&gt;=0,IFERROR(generateSalesData($D1073, IF(ISNUMBER(_xlfn.XLOOKUP($C1073,Phone_by_Sentiment!$B$2:$B$37,Phone_by_Sentiment!J$2:J$37,"",0,1)),_xlfn.XLOOKUP($C1073,Phone_by_Sentiment!$B$2:$B$37,Phone_by_Sentiment!J$2:J$37,"",0,1),0),$A1073-TEXT(DATEVALUE($D1073&amp;"-01"), "dd-mm-yyyy")),0),0)</f>
        <v>1427</v>
      </c>
      <c r="K1073" cm="1">
        <f t="array" ref="K1073">IF($Q1073&gt;=0,IFERROR(generateSalesData($D1073, IF(ISNUMBER(_xlfn.XLOOKUP($C1073,Phone_by_Sentiment!$B$2:$B$37,Phone_by_Sentiment!K$2:K$37,"",0,1)),_xlfn.XLOOKUP($C1073,Phone_by_Sentiment!$B$2:$B$37,Phone_by_Sentiment!K$2:K$37,"",0,1),0),$A1073-TEXT(DATEVALUE($D1073&amp;"-01"), "dd-mm-yyyy")),0),0)</f>
        <v>872</v>
      </c>
      <c r="L1073" cm="1">
        <f t="array" ref="L1073">IF($Q1073&gt;=0,IFERROR(generateSalesData($D1073, IF(ISNUMBER(_xlfn.XLOOKUP($C1073,Phone_by_Sentiment!$B$2:$B$37,Phone_by_Sentiment!L$2:L$37,"",0,1)),_xlfn.XLOOKUP($C1073,Phone_by_Sentiment!$B$2:$B$37,Phone_by_Sentiment!L$2:L$37,"",0,1),0),$A1073-TEXT(DATEVALUE($D1073&amp;"-01"), "dd-mm-yyyy")),0),0)</f>
        <v>1244</v>
      </c>
      <c r="M1073" cm="1">
        <f t="array" ref="M1073">IF($Q1073&gt;=0,IFERROR(generateSalesData($D1073, IF(ISNUMBER(_xlfn.XLOOKUP($C1073,Phone_by_Sentiment!$B$2:$B$37,Phone_by_Sentiment!M$2:M$37,"",0,1)),_xlfn.XLOOKUP($C1073,Phone_by_Sentiment!$B$2:$B$37,Phone_by_Sentiment!M$2:M$37,"",0,1),0),$A1073-TEXT(DATEVALUE($D1073&amp;"-01"), "dd-mm-yyyy")),0),0)</f>
        <v>1160</v>
      </c>
      <c r="N1073" cm="1">
        <f t="array" ref="N1073">IF($Q1073&gt;=0,IFERROR(generateSalesData($D1073, IF(ISNUMBER(_xlfn.XLOOKUP($C1073,Phone_by_Sentiment!$B$2:$B$37,Phone_by_Sentiment!N$2:N$37,"",0,1)),_xlfn.XLOOKUP($C1073,Phone_by_Sentiment!$B$2:$B$37,Phone_by_Sentiment!N$2:N$37,"",0,1),0),$A1073-TEXT(DATEVALUE($D1073&amp;"-01"), "dd-mm-yyyy")),0),0)</f>
        <v>10734</v>
      </c>
      <c r="O1073" cm="1">
        <f t="array" ref="O1073">IF($Q1073&gt;=0,IFERROR(generateSalesData($D1073, IF(ISNUMBER(_xlfn.XLOOKUP($C1073,Phone_by_Sentiment!$B$2:$B$37,Phone_by_Sentiment!O$2:O$37,"",0,1)),_xlfn.XLOOKUP($C1073,Phone_by_Sentiment!$B$2:$B$37,Phone_by_Sentiment!O$2:O$37,"",0,1),0),$A1073-TEXT(DATEVALUE($D1073&amp;"-01"), "dd-mm-yyyy")),0),0)</f>
        <v>869</v>
      </c>
      <c r="P1073" s="1">
        <f t="shared" si="43"/>
        <v>44348</v>
      </c>
      <c r="Q1073">
        <f t="shared" si="44"/>
        <v>30</v>
      </c>
    </row>
    <row r="1074" spans="1:17" x14ac:dyDescent="0.25">
      <c r="A1074" s="1">
        <f t="shared" si="45"/>
        <v>44378</v>
      </c>
      <c r="B1074" t="s">
        <v>157</v>
      </c>
      <c r="C1074" t="str">
        <f>_xlfn.XLOOKUP(B1074,Phone_by_Price!$A$2:$A$34,Phone_by_Price!$B$2:$B$34,"-",0,1)</f>
        <v>Apple iPhone 13 Pro</v>
      </c>
      <c r="D1074" t="str">
        <f>_xlfn.XLOOKUP(C1074,Phone_by_Sentiment!$B$2:$B$37,Phone_by_Sentiment!$A$2:$A$37,"-",0,1)</f>
        <v>2021-09</v>
      </c>
      <c r="E1074" cm="1">
        <f t="array" ref="E1074">IF($Q1074&gt;=0,IFERROR(generateSalesData($D1074, IF(ISNUMBER(_xlfn.XLOOKUP($C1074,Phone_by_Sentiment!$B$2:$B$37,Phone_by_Sentiment!E$2:E$37,"",0,1)),_xlfn.XLOOKUP($C1074,Phone_by_Sentiment!$B$2:$B$37,Phone_by_Sentiment!E$2:E$37,"",0,1),0),$A1074-TEXT(DATEVALUE($D1074&amp;"-01"), "dd-mm-yyyy")),0),0)</f>
        <v>0</v>
      </c>
      <c r="F1074" cm="1">
        <f t="array" ref="F1074">IF($Q1074&gt;=0,IFERROR(generateSalesData($D1074, IF(ISNUMBER(_xlfn.XLOOKUP($C1074,Phone_by_Sentiment!$B$2:$B$37,Phone_by_Sentiment!F$2:F$37,"",0,1)),_xlfn.XLOOKUP($C1074,Phone_by_Sentiment!$B$2:$B$37,Phone_by_Sentiment!F$2:F$37,"",0,1),0),$A1074-TEXT(DATEVALUE($D1074&amp;"-01"), "dd-mm-yyyy")),0),0)</f>
        <v>0</v>
      </c>
      <c r="G1074" cm="1">
        <f t="array" ref="G1074">IF($Q1074&gt;=0,IFERROR(generateSalesData($D1074, IF(ISNUMBER(_xlfn.XLOOKUP($C1074,Phone_by_Sentiment!$B$2:$B$37,Phone_by_Sentiment!G$2:G$37,"",0,1)),_xlfn.XLOOKUP($C1074,Phone_by_Sentiment!$B$2:$B$37,Phone_by_Sentiment!G$2:G$37,"",0,1),0),$A1074-TEXT(DATEVALUE($D1074&amp;"-01"), "dd-mm-yyyy")),0),0)</f>
        <v>0</v>
      </c>
      <c r="H1074" cm="1">
        <f t="array" ref="H1074">IF($Q1074&gt;=0,IFERROR(generateSalesData($D1074, IF(ISNUMBER(_xlfn.XLOOKUP($C1074,Phone_by_Sentiment!$B$2:$B$37,Phone_by_Sentiment!H$2:H$37,"",0,1)),_xlfn.XLOOKUP($C1074,Phone_by_Sentiment!$B$2:$B$37,Phone_by_Sentiment!H$2:H$37,"",0,1),0),$A1074-TEXT(DATEVALUE($D1074&amp;"-01"), "dd-mm-yyyy")),0),0)</f>
        <v>0</v>
      </c>
      <c r="I1074" cm="1">
        <f t="array" ref="I1074">IF($Q1074&gt;=0,IFERROR(generateSalesData($D1074, IF(ISNUMBER(_xlfn.XLOOKUP($C1074,Phone_by_Sentiment!$B$2:$B$37,Phone_by_Sentiment!I$2:I$37,"",0,1)),_xlfn.XLOOKUP($C1074,Phone_by_Sentiment!$B$2:$B$37,Phone_by_Sentiment!I$2:I$37,"",0,1),0),$A1074-TEXT(DATEVALUE($D1074&amp;"-01"), "dd-mm-yyyy")),0),0)</f>
        <v>0</v>
      </c>
      <c r="J1074" cm="1">
        <f t="array" ref="J1074">IF($Q1074&gt;=0,IFERROR(generateSalesData($D1074, IF(ISNUMBER(_xlfn.XLOOKUP($C1074,Phone_by_Sentiment!$B$2:$B$37,Phone_by_Sentiment!J$2:J$37,"",0,1)),_xlfn.XLOOKUP($C1074,Phone_by_Sentiment!$B$2:$B$37,Phone_by_Sentiment!J$2:J$37,"",0,1),0),$A1074-TEXT(DATEVALUE($D1074&amp;"-01"), "dd-mm-yyyy")),0),0)</f>
        <v>0</v>
      </c>
      <c r="K1074" cm="1">
        <f t="array" ref="K1074">IF($Q1074&gt;=0,IFERROR(generateSalesData($D1074, IF(ISNUMBER(_xlfn.XLOOKUP($C1074,Phone_by_Sentiment!$B$2:$B$37,Phone_by_Sentiment!K$2:K$37,"",0,1)),_xlfn.XLOOKUP($C1074,Phone_by_Sentiment!$B$2:$B$37,Phone_by_Sentiment!K$2:K$37,"",0,1),0),$A1074-TEXT(DATEVALUE($D1074&amp;"-01"), "dd-mm-yyyy")),0),0)</f>
        <v>0</v>
      </c>
      <c r="L1074" cm="1">
        <f t="array" ref="L1074">IF($Q1074&gt;=0,IFERROR(generateSalesData($D1074, IF(ISNUMBER(_xlfn.XLOOKUP($C1074,Phone_by_Sentiment!$B$2:$B$37,Phone_by_Sentiment!L$2:L$37,"",0,1)),_xlfn.XLOOKUP($C1074,Phone_by_Sentiment!$B$2:$B$37,Phone_by_Sentiment!L$2:L$37,"",0,1),0),$A1074-TEXT(DATEVALUE($D1074&amp;"-01"), "dd-mm-yyyy")),0),0)</f>
        <v>0</v>
      </c>
      <c r="M1074" cm="1">
        <f t="array" ref="M1074">IF($Q1074&gt;=0,IFERROR(generateSalesData($D1074, IF(ISNUMBER(_xlfn.XLOOKUP($C1074,Phone_by_Sentiment!$B$2:$B$37,Phone_by_Sentiment!M$2:M$37,"",0,1)),_xlfn.XLOOKUP($C1074,Phone_by_Sentiment!$B$2:$B$37,Phone_by_Sentiment!M$2:M$37,"",0,1),0),$A1074-TEXT(DATEVALUE($D1074&amp;"-01"), "dd-mm-yyyy")),0),0)</f>
        <v>0</v>
      </c>
      <c r="N1074" cm="1">
        <f t="array" ref="N1074">IF($Q1074&gt;=0,IFERROR(generateSalesData($D1074, IF(ISNUMBER(_xlfn.XLOOKUP($C1074,Phone_by_Sentiment!$B$2:$B$37,Phone_by_Sentiment!N$2:N$37,"",0,1)),_xlfn.XLOOKUP($C1074,Phone_by_Sentiment!$B$2:$B$37,Phone_by_Sentiment!N$2:N$37,"",0,1),0),$A1074-TEXT(DATEVALUE($D1074&amp;"-01"), "dd-mm-yyyy")),0),0)</f>
        <v>0</v>
      </c>
      <c r="O1074" cm="1">
        <f t="array" ref="O1074">IF($Q1074&gt;=0,IFERROR(generateSalesData($D1074, IF(ISNUMBER(_xlfn.XLOOKUP($C1074,Phone_by_Sentiment!$B$2:$B$37,Phone_by_Sentiment!O$2:O$37,"",0,1)),_xlfn.XLOOKUP($C1074,Phone_by_Sentiment!$B$2:$B$37,Phone_by_Sentiment!O$2:O$37,"",0,1),0),$A1074-TEXT(DATEVALUE($D1074&amp;"-01"), "dd-mm-yyyy")),0),0)</f>
        <v>0</v>
      </c>
      <c r="P1074" s="1">
        <f t="shared" si="43"/>
        <v>44440</v>
      </c>
      <c r="Q1074">
        <f t="shared" si="44"/>
        <v>-62</v>
      </c>
    </row>
    <row r="1075" spans="1:17" x14ac:dyDescent="0.25">
      <c r="A1075" s="1">
        <f t="shared" si="45"/>
        <v>44378</v>
      </c>
      <c r="B1075" t="s">
        <v>158</v>
      </c>
      <c r="C1075" t="str">
        <f>_xlfn.XLOOKUP(B1075,Phone_by_Price!$A$2:$A$34,Phone_by_Price!$B$2:$B$34,"-",0,1)</f>
        <v>Samsung Galaxy A32 5G</v>
      </c>
      <c r="D1075" t="str">
        <f>_xlfn.XLOOKUP(C1075,Phone_by_Sentiment!$B$2:$B$37,Phone_by_Sentiment!$A$2:$A$37,"-",0,1)</f>
        <v>2021-02</v>
      </c>
      <c r="E1075" cm="1">
        <f t="array" ref="E1075">IF($Q1075&gt;=0,IFERROR(generateSalesData($D1075, IF(ISNUMBER(_xlfn.XLOOKUP($C1075,Phone_by_Sentiment!$B$2:$B$37,Phone_by_Sentiment!E$2:E$37,"",0,1)),_xlfn.XLOOKUP($C1075,Phone_by_Sentiment!$B$2:$B$37,Phone_by_Sentiment!E$2:E$37,"",0,1),0),$A1075-TEXT(DATEVALUE($D1075&amp;"-01"), "dd-mm-yyyy")),0),0)</f>
        <v>1914</v>
      </c>
      <c r="F1075" cm="1">
        <f t="array" ref="F1075">IF($Q1075&gt;=0,IFERROR(generateSalesData($D1075, IF(ISNUMBER(_xlfn.XLOOKUP($C1075,Phone_by_Sentiment!$B$2:$B$37,Phone_by_Sentiment!F$2:F$37,"",0,1)),_xlfn.XLOOKUP($C1075,Phone_by_Sentiment!$B$2:$B$37,Phone_by_Sentiment!F$2:F$37,"",0,1),0),$A1075-TEXT(DATEVALUE($D1075&amp;"-01"), "dd-mm-yyyy")),0),0)</f>
        <v>976</v>
      </c>
      <c r="G1075" cm="1">
        <f t="array" ref="G1075">IF($Q1075&gt;=0,IFERROR(generateSalesData($D1075, IF(ISNUMBER(_xlfn.XLOOKUP($C1075,Phone_by_Sentiment!$B$2:$B$37,Phone_by_Sentiment!G$2:G$37,"",0,1)),_xlfn.XLOOKUP($C1075,Phone_by_Sentiment!$B$2:$B$37,Phone_by_Sentiment!G$2:G$37,"",0,1),0),$A1075-TEXT(DATEVALUE($D1075&amp;"-01"), "dd-mm-yyyy")),0),0)</f>
        <v>421</v>
      </c>
      <c r="H1075" cm="1">
        <f t="array" ref="H1075">IF($Q1075&gt;=0,IFERROR(generateSalesData($D1075, IF(ISNUMBER(_xlfn.XLOOKUP($C1075,Phone_by_Sentiment!$B$2:$B$37,Phone_by_Sentiment!H$2:H$37,"",0,1)),_xlfn.XLOOKUP($C1075,Phone_by_Sentiment!$B$2:$B$37,Phone_by_Sentiment!H$2:H$37,"",0,1),0),$A1075-TEXT(DATEVALUE($D1075&amp;"-01"), "dd-mm-yyyy")),0),0)</f>
        <v>1688</v>
      </c>
      <c r="I1075" cm="1">
        <f t="array" ref="I1075">IF($Q1075&gt;=0,IFERROR(generateSalesData($D1075, IF(ISNUMBER(_xlfn.XLOOKUP($C1075,Phone_by_Sentiment!$B$2:$B$37,Phone_by_Sentiment!I$2:I$37,"",0,1)),_xlfn.XLOOKUP($C1075,Phone_by_Sentiment!$B$2:$B$37,Phone_by_Sentiment!I$2:I$37,"",0,1),0),$A1075-TEXT(DATEVALUE($D1075&amp;"-01"), "dd-mm-yyyy")),0),0)</f>
        <v>1760</v>
      </c>
      <c r="J1075" cm="1">
        <f t="array" ref="J1075">IF($Q1075&gt;=0,IFERROR(generateSalesData($D1075, IF(ISNUMBER(_xlfn.XLOOKUP($C1075,Phone_by_Sentiment!$B$2:$B$37,Phone_by_Sentiment!J$2:J$37,"",0,1)),_xlfn.XLOOKUP($C1075,Phone_by_Sentiment!$B$2:$B$37,Phone_by_Sentiment!J$2:J$37,"",0,1),0),$A1075-TEXT(DATEVALUE($D1075&amp;"-01"), "dd-mm-yyyy")),0),0)</f>
        <v>1126</v>
      </c>
      <c r="K1075" cm="1">
        <f t="array" ref="K1075">IF($Q1075&gt;=0,IFERROR(generateSalesData($D1075, IF(ISNUMBER(_xlfn.XLOOKUP($C1075,Phone_by_Sentiment!$B$2:$B$37,Phone_by_Sentiment!K$2:K$37,"",0,1)),_xlfn.XLOOKUP($C1075,Phone_by_Sentiment!$B$2:$B$37,Phone_by_Sentiment!K$2:K$37,"",0,1),0),$A1075-TEXT(DATEVALUE($D1075&amp;"-01"), "dd-mm-yyyy")),0),0)</f>
        <v>-405</v>
      </c>
      <c r="L1075" cm="1">
        <f t="array" ref="L1075">IF($Q1075&gt;=0,IFERROR(generateSalesData($D1075, IF(ISNUMBER(_xlfn.XLOOKUP($C1075,Phone_by_Sentiment!$B$2:$B$37,Phone_by_Sentiment!L$2:L$37,"",0,1)),_xlfn.XLOOKUP($C1075,Phone_by_Sentiment!$B$2:$B$37,Phone_by_Sentiment!L$2:L$37,"",0,1),0),$A1075-TEXT(DATEVALUE($D1075&amp;"-01"), "dd-mm-yyyy")),0),0)</f>
        <v>887</v>
      </c>
      <c r="M1075" cm="1">
        <f t="array" ref="M1075">IF($Q1075&gt;=0,IFERROR(generateSalesData($D1075, IF(ISNUMBER(_xlfn.XLOOKUP($C1075,Phone_by_Sentiment!$B$2:$B$37,Phone_by_Sentiment!M$2:M$37,"",0,1)),_xlfn.XLOOKUP($C1075,Phone_by_Sentiment!$B$2:$B$37,Phone_by_Sentiment!M$2:M$37,"",0,1),0),$A1075-TEXT(DATEVALUE($D1075&amp;"-01"), "dd-mm-yyyy")),0),0)</f>
        <v>916</v>
      </c>
      <c r="N1075" cm="1">
        <f t="array" ref="N1075">IF($Q1075&gt;=0,IFERROR(generateSalesData($D1075, IF(ISNUMBER(_xlfn.XLOOKUP($C1075,Phone_by_Sentiment!$B$2:$B$37,Phone_by_Sentiment!N$2:N$37,"",0,1)),_xlfn.XLOOKUP($C1075,Phone_by_Sentiment!$B$2:$B$37,Phone_by_Sentiment!N$2:N$37,"",0,1),0),$A1075-TEXT(DATEVALUE($D1075&amp;"-01"), "dd-mm-yyyy")),0),0)</f>
        <v>1986</v>
      </c>
      <c r="O1075" cm="1">
        <f t="array" ref="O1075">IF($Q1075&gt;=0,IFERROR(generateSalesData($D1075, IF(ISNUMBER(_xlfn.XLOOKUP($C1075,Phone_by_Sentiment!$B$2:$B$37,Phone_by_Sentiment!O$2:O$37,"",0,1)),_xlfn.XLOOKUP($C1075,Phone_by_Sentiment!$B$2:$B$37,Phone_by_Sentiment!O$2:O$37,"",0,1),0),$A1075-TEXT(DATEVALUE($D1075&amp;"-01"), "dd-mm-yyyy")),0),0)</f>
        <v>2266</v>
      </c>
      <c r="P1075" s="1">
        <f t="shared" si="43"/>
        <v>44228</v>
      </c>
      <c r="Q1075">
        <f t="shared" si="44"/>
        <v>150</v>
      </c>
    </row>
    <row r="1076" spans="1:17" x14ac:dyDescent="0.25">
      <c r="A1076" s="1">
        <f t="shared" si="45"/>
        <v>44378</v>
      </c>
      <c r="B1076" t="s">
        <v>159</v>
      </c>
      <c r="C1076" t="str">
        <f>_xlfn.XLOOKUP(B1076,Phone_by_Price!$A$2:$A$34,Phone_by_Price!$B$2:$B$34,"-",0,1)</f>
        <v>Realme C25</v>
      </c>
      <c r="D1076" t="str">
        <f>_xlfn.XLOOKUP(C1076,Phone_by_Sentiment!$B$2:$B$37,Phone_by_Sentiment!$A$2:$A$37,"-",0,1)</f>
        <v>2021-03</v>
      </c>
      <c r="E1076" cm="1">
        <f t="array" ref="E1076">IF($Q1076&gt;=0,IFERROR(generateSalesData($D1076, IF(ISNUMBER(_xlfn.XLOOKUP($C1076,Phone_by_Sentiment!$B$2:$B$37,Phone_by_Sentiment!E$2:E$37,"",0,1)),_xlfn.XLOOKUP($C1076,Phone_by_Sentiment!$B$2:$B$37,Phone_by_Sentiment!E$2:E$37,"",0,1),0),$A1076-TEXT(DATEVALUE($D1076&amp;"-01"), "dd-mm-yyyy")),0),0)</f>
        <v>602</v>
      </c>
      <c r="F1076" cm="1">
        <f t="array" ref="F1076">IF($Q1076&gt;=0,IFERROR(generateSalesData($D1076, IF(ISNUMBER(_xlfn.XLOOKUP($C1076,Phone_by_Sentiment!$B$2:$B$37,Phone_by_Sentiment!F$2:F$37,"",0,1)),_xlfn.XLOOKUP($C1076,Phone_by_Sentiment!$B$2:$B$37,Phone_by_Sentiment!F$2:F$37,"",0,1),0),$A1076-TEXT(DATEVALUE($D1076&amp;"-01"), "dd-mm-yyyy")),0),0)</f>
        <v>1861</v>
      </c>
      <c r="G1076" cm="1">
        <f t="array" ref="G1076">IF($Q1076&gt;=0,IFERROR(generateSalesData($D1076, IF(ISNUMBER(_xlfn.XLOOKUP($C1076,Phone_by_Sentiment!$B$2:$B$37,Phone_by_Sentiment!G$2:G$37,"",0,1)),_xlfn.XLOOKUP($C1076,Phone_by_Sentiment!$B$2:$B$37,Phone_by_Sentiment!G$2:G$37,"",0,1),0),$A1076-TEXT(DATEVALUE($D1076&amp;"-01"), "dd-mm-yyyy")),0),0)</f>
        <v>220</v>
      </c>
      <c r="H1076" cm="1">
        <f t="array" ref="H1076">IF($Q1076&gt;=0,IFERROR(generateSalesData($D1076, IF(ISNUMBER(_xlfn.XLOOKUP($C1076,Phone_by_Sentiment!$B$2:$B$37,Phone_by_Sentiment!H$2:H$37,"",0,1)),_xlfn.XLOOKUP($C1076,Phone_by_Sentiment!$B$2:$B$37,Phone_by_Sentiment!H$2:H$37,"",0,1),0),$A1076-TEXT(DATEVALUE($D1076&amp;"-01"), "dd-mm-yyyy")),0),0)</f>
        <v>3016</v>
      </c>
      <c r="I1076" cm="1">
        <f t="array" ref="I1076">IF($Q1076&gt;=0,IFERROR(generateSalesData($D1076, IF(ISNUMBER(_xlfn.XLOOKUP($C1076,Phone_by_Sentiment!$B$2:$B$37,Phone_by_Sentiment!I$2:I$37,"",0,1)),_xlfn.XLOOKUP($C1076,Phone_by_Sentiment!$B$2:$B$37,Phone_by_Sentiment!I$2:I$37,"",0,1),0),$A1076-TEXT(DATEVALUE($D1076&amp;"-01"), "dd-mm-yyyy")),0),0)</f>
        <v>466</v>
      </c>
      <c r="J1076" cm="1">
        <f t="array" ref="J1076">IF($Q1076&gt;=0,IFERROR(generateSalesData($D1076, IF(ISNUMBER(_xlfn.XLOOKUP($C1076,Phone_by_Sentiment!$B$2:$B$37,Phone_by_Sentiment!J$2:J$37,"",0,1)),_xlfn.XLOOKUP($C1076,Phone_by_Sentiment!$B$2:$B$37,Phone_by_Sentiment!J$2:J$37,"",0,1),0),$A1076-TEXT(DATEVALUE($D1076&amp;"-01"), "dd-mm-yyyy")),0),0)</f>
        <v>716</v>
      </c>
      <c r="K1076" cm="1">
        <f t="array" ref="K1076">IF($Q1076&gt;=0,IFERROR(generateSalesData($D1076, IF(ISNUMBER(_xlfn.XLOOKUP($C1076,Phone_by_Sentiment!$B$2:$B$37,Phone_by_Sentiment!K$2:K$37,"",0,1)),_xlfn.XLOOKUP($C1076,Phone_by_Sentiment!$B$2:$B$37,Phone_by_Sentiment!K$2:K$37,"",0,1),0),$A1076-TEXT(DATEVALUE($D1076&amp;"-01"), "dd-mm-yyyy")),0),0)</f>
        <v>2025</v>
      </c>
      <c r="L1076" cm="1">
        <f t="array" ref="L1076">IF($Q1076&gt;=0,IFERROR(generateSalesData($D1076, IF(ISNUMBER(_xlfn.XLOOKUP($C1076,Phone_by_Sentiment!$B$2:$B$37,Phone_by_Sentiment!L$2:L$37,"",0,1)),_xlfn.XLOOKUP($C1076,Phone_by_Sentiment!$B$2:$B$37,Phone_by_Sentiment!L$2:L$37,"",0,1),0),$A1076-TEXT(DATEVALUE($D1076&amp;"-01"), "dd-mm-yyyy")),0),0)</f>
        <v>1729</v>
      </c>
      <c r="M1076" cm="1">
        <f t="array" ref="M1076">IF($Q1076&gt;=0,IFERROR(generateSalesData($D1076, IF(ISNUMBER(_xlfn.XLOOKUP($C1076,Phone_by_Sentiment!$B$2:$B$37,Phone_by_Sentiment!M$2:M$37,"",0,1)),_xlfn.XLOOKUP($C1076,Phone_by_Sentiment!$B$2:$B$37,Phone_by_Sentiment!M$2:M$37,"",0,1),0),$A1076-TEXT(DATEVALUE($D1076&amp;"-01"), "dd-mm-yyyy")),0),0)</f>
        <v>725</v>
      </c>
      <c r="N1076" cm="1">
        <f t="array" ref="N1076">IF($Q1076&gt;=0,IFERROR(generateSalesData($D1076, IF(ISNUMBER(_xlfn.XLOOKUP($C1076,Phone_by_Sentiment!$B$2:$B$37,Phone_by_Sentiment!N$2:N$37,"",0,1)),_xlfn.XLOOKUP($C1076,Phone_by_Sentiment!$B$2:$B$37,Phone_by_Sentiment!N$2:N$37,"",0,1),0),$A1076-TEXT(DATEVALUE($D1076&amp;"-01"), "dd-mm-yyyy")),0),0)</f>
        <v>2427</v>
      </c>
      <c r="O1076" cm="1">
        <f t="array" ref="O1076">IF($Q1076&gt;=0,IFERROR(generateSalesData($D1076, IF(ISNUMBER(_xlfn.XLOOKUP($C1076,Phone_by_Sentiment!$B$2:$B$37,Phone_by_Sentiment!O$2:O$37,"",0,1)),_xlfn.XLOOKUP($C1076,Phone_by_Sentiment!$B$2:$B$37,Phone_by_Sentiment!O$2:O$37,"",0,1),0),$A1076-TEXT(DATEVALUE($D1076&amp;"-01"), "dd-mm-yyyy")),0),0)</f>
        <v>472</v>
      </c>
      <c r="P1076" s="1">
        <f t="shared" si="43"/>
        <v>44256</v>
      </c>
      <c r="Q1076">
        <f t="shared" si="44"/>
        <v>122</v>
      </c>
    </row>
    <row r="1077" spans="1:17" x14ac:dyDescent="0.25">
      <c r="A1077" s="1">
        <f t="shared" si="45"/>
        <v>44378</v>
      </c>
      <c r="B1077" t="s">
        <v>160</v>
      </c>
      <c r="C1077" t="str">
        <f>_xlfn.XLOOKUP(B1077,Phone_by_Price!$A$2:$A$34,Phone_by_Price!$B$2:$B$34,"-",0,1)</f>
        <v>Xiaomi Poco X3 Pro</v>
      </c>
      <c r="D1077" t="str">
        <f>_xlfn.XLOOKUP(C1077,Phone_by_Sentiment!$B$2:$B$37,Phone_by_Sentiment!$A$2:$A$37,"-",0,1)</f>
        <v>2021-05</v>
      </c>
      <c r="E1077" cm="1">
        <f t="array" ref="E1077">IF($Q1077&gt;=0,IFERROR(generateSalesData($D1077, IF(ISNUMBER(_xlfn.XLOOKUP($C1077,Phone_by_Sentiment!$B$2:$B$37,Phone_by_Sentiment!E$2:E$37,"",0,1)),_xlfn.XLOOKUP($C1077,Phone_by_Sentiment!$B$2:$B$37,Phone_by_Sentiment!E$2:E$37,"",0,1),0),$A1077-TEXT(DATEVALUE($D1077&amp;"-01"), "dd-mm-yyyy")),0),0)</f>
        <v>3358</v>
      </c>
      <c r="F1077" cm="1">
        <f t="array" ref="F1077">IF($Q1077&gt;=0,IFERROR(generateSalesData($D1077, IF(ISNUMBER(_xlfn.XLOOKUP($C1077,Phone_by_Sentiment!$B$2:$B$37,Phone_by_Sentiment!F$2:F$37,"",0,1)),_xlfn.XLOOKUP($C1077,Phone_by_Sentiment!$B$2:$B$37,Phone_by_Sentiment!F$2:F$37,"",0,1),0),$A1077-TEXT(DATEVALUE($D1077&amp;"-01"), "dd-mm-yyyy")),0),0)</f>
        <v>956</v>
      </c>
      <c r="G1077" cm="1">
        <f t="array" ref="G1077">IF($Q1077&gt;=0,IFERROR(generateSalesData($D1077, IF(ISNUMBER(_xlfn.XLOOKUP($C1077,Phone_by_Sentiment!$B$2:$B$37,Phone_by_Sentiment!G$2:G$37,"",0,1)),_xlfn.XLOOKUP($C1077,Phone_by_Sentiment!$B$2:$B$37,Phone_by_Sentiment!G$2:G$37,"",0,1),0),$A1077-TEXT(DATEVALUE($D1077&amp;"-01"), "dd-mm-yyyy")),0),0)</f>
        <v>944</v>
      </c>
      <c r="H1077" cm="1">
        <f t="array" ref="H1077">IF($Q1077&gt;=0,IFERROR(generateSalesData($D1077, IF(ISNUMBER(_xlfn.XLOOKUP($C1077,Phone_by_Sentiment!$B$2:$B$37,Phone_by_Sentiment!H$2:H$37,"",0,1)),_xlfn.XLOOKUP($C1077,Phone_by_Sentiment!$B$2:$B$37,Phone_by_Sentiment!H$2:H$37,"",0,1),0),$A1077-TEXT(DATEVALUE($D1077&amp;"-01"), "dd-mm-yyyy")),0),0)</f>
        <v>3208</v>
      </c>
      <c r="I1077" cm="1">
        <f t="array" ref="I1077">IF($Q1077&gt;=0,IFERROR(generateSalesData($D1077, IF(ISNUMBER(_xlfn.XLOOKUP($C1077,Phone_by_Sentiment!$B$2:$B$37,Phone_by_Sentiment!I$2:I$37,"",0,1)),_xlfn.XLOOKUP($C1077,Phone_by_Sentiment!$B$2:$B$37,Phone_by_Sentiment!I$2:I$37,"",0,1),0),$A1077-TEXT(DATEVALUE($D1077&amp;"-01"), "dd-mm-yyyy")),0),0)</f>
        <v>101</v>
      </c>
      <c r="J1077" cm="1">
        <f t="array" ref="J1077">IF($Q1077&gt;=0,IFERROR(generateSalesData($D1077, IF(ISNUMBER(_xlfn.XLOOKUP($C1077,Phone_by_Sentiment!$B$2:$B$37,Phone_by_Sentiment!J$2:J$37,"",0,1)),_xlfn.XLOOKUP($C1077,Phone_by_Sentiment!$B$2:$B$37,Phone_by_Sentiment!J$2:J$37,"",0,1),0),$A1077-TEXT(DATEVALUE($D1077&amp;"-01"), "dd-mm-yyyy")),0),0)</f>
        <v>489</v>
      </c>
      <c r="K1077" cm="1">
        <f t="array" ref="K1077">IF($Q1077&gt;=0,IFERROR(generateSalesData($D1077, IF(ISNUMBER(_xlfn.XLOOKUP($C1077,Phone_by_Sentiment!$B$2:$B$37,Phone_by_Sentiment!K$2:K$37,"",0,1)),_xlfn.XLOOKUP($C1077,Phone_by_Sentiment!$B$2:$B$37,Phone_by_Sentiment!K$2:K$37,"",0,1),0),$A1077-TEXT(DATEVALUE($D1077&amp;"-01"), "dd-mm-yyyy")),0),0)</f>
        <v>2360</v>
      </c>
      <c r="L1077" cm="1">
        <f t="array" ref="L1077">IF($Q1077&gt;=0,IFERROR(generateSalesData($D1077, IF(ISNUMBER(_xlfn.XLOOKUP($C1077,Phone_by_Sentiment!$B$2:$B$37,Phone_by_Sentiment!L$2:L$37,"",0,1)),_xlfn.XLOOKUP($C1077,Phone_by_Sentiment!$B$2:$B$37,Phone_by_Sentiment!L$2:L$37,"",0,1),0),$A1077-TEXT(DATEVALUE($D1077&amp;"-01"), "dd-mm-yyyy")),0),0)</f>
        <v>291</v>
      </c>
      <c r="M1077" cm="1">
        <f t="array" ref="M1077">IF($Q1077&gt;=0,IFERROR(generateSalesData($D1077, IF(ISNUMBER(_xlfn.XLOOKUP($C1077,Phone_by_Sentiment!$B$2:$B$37,Phone_by_Sentiment!M$2:M$37,"",0,1)),_xlfn.XLOOKUP($C1077,Phone_by_Sentiment!$B$2:$B$37,Phone_by_Sentiment!M$2:M$37,"",0,1),0),$A1077-TEXT(DATEVALUE($D1077&amp;"-01"), "dd-mm-yyyy")),0),0)</f>
        <v>3730</v>
      </c>
      <c r="N1077" cm="1">
        <f t="array" ref="N1077">IF($Q1077&gt;=0,IFERROR(generateSalesData($D1077, IF(ISNUMBER(_xlfn.XLOOKUP($C1077,Phone_by_Sentiment!$B$2:$B$37,Phone_by_Sentiment!N$2:N$37,"",0,1)),_xlfn.XLOOKUP($C1077,Phone_by_Sentiment!$B$2:$B$37,Phone_by_Sentiment!N$2:N$37,"",0,1),0),$A1077-TEXT(DATEVALUE($D1077&amp;"-01"), "dd-mm-yyyy")),0),0)</f>
        <v>824</v>
      </c>
      <c r="O1077" cm="1">
        <f t="array" ref="O1077">IF($Q1077&gt;=0,IFERROR(generateSalesData($D1077, IF(ISNUMBER(_xlfn.XLOOKUP($C1077,Phone_by_Sentiment!$B$2:$B$37,Phone_by_Sentiment!O$2:O$37,"",0,1)),_xlfn.XLOOKUP($C1077,Phone_by_Sentiment!$B$2:$B$37,Phone_by_Sentiment!O$2:O$37,"",0,1),0),$A1077-TEXT(DATEVALUE($D1077&amp;"-01"), "dd-mm-yyyy")),0),0)</f>
        <v>6182</v>
      </c>
      <c r="P1077" s="1">
        <f t="shared" si="43"/>
        <v>44317</v>
      </c>
      <c r="Q1077">
        <f t="shared" si="44"/>
        <v>61</v>
      </c>
    </row>
    <row r="1078" spans="1:17" x14ac:dyDescent="0.25">
      <c r="A1078" s="1">
        <f t="shared" si="45"/>
        <v>44378</v>
      </c>
      <c r="B1078" t="s">
        <v>161</v>
      </c>
      <c r="C1078" t="str">
        <f>_xlfn.XLOOKUP(B1078,Phone_by_Price!$A$2:$A$34,Phone_by_Price!$B$2:$B$34,"-",0,1)</f>
        <v>Samsung Galaxy Z Flip 3</v>
      </c>
      <c r="D1078" t="str">
        <f>_xlfn.XLOOKUP(C1078,Phone_by_Sentiment!$B$2:$B$37,Phone_by_Sentiment!$A$2:$A$37,"-",0,1)</f>
        <v>2021-09</v>
      </c>
      <c r="E1078" cm="1">
        <f t="array" ref="E1078">IF($Q1078&gt;=0,IFERROR(generateSalesData($D1078, IF(ISNUMBER(_xlfn.XLOOKUP($C1078,Phone_by_Sentiment!$B$2:$B$37,Phone_by_Sentiment!E$2:E$37,"",0,1)),_xlfn.XLOOKUP($C1078,Phone_by_Sentiment!$B$2:$B$37,Phone_by_Sentiment!E$2:E$37,"",0,1),0),$A1078-TEXT(DATEVALUE($D1078&amp;"-01"), "dd-mm-yyyy")),0),0)</f>
        <v>0</v>
      </c>
      <c r="F1078" cm="1">
        <f t="array" ref="F1078">IF($Q1078&gt;=0,IFERROR(generateSalesData($D1078, IF(ISNUMBER(_xlfn.XLOOKUP($C1078,Phone_by_Sentiment!$B$2:$B$37,Phone_by_Sentiment!F$2:F$37,"",0,1)),_xlfn.XLOOKUP($C1078,Phone_by_Sentiment!$B$2:$B$37,Phone_by_Sentiment!F$2:F$37,"",0,1),0),$A1078-TEXT(DATEVALUE($D1078&amp;"-01"), "dd-mm-yyyy")),0),0)</f>
        <v>0</v>
      </c>
      <c r="G1078" cm="1">
        <f t="array" ref="G1078">IF($Q1078&gt;=0,IFERROR(generateSalesData($D1078, IF(ISNUMBER(_xlfn.XLOOKUP($C1078,Phone_by_Sentiment!$B$2:$B$37,Phone_by_Sentiment!G$2:G$37,"",0,1)),_xlfn.XLOOKUP($C1078,Phone_by_Sentiment!$B$2:$B$37,Phone_by_Sentiment!G$2:G$37,"",0,1),0),$A1078-TEXT(DATEVALUE($D1078&amp;"-01"), "dd-mm-yyyy")),0),0)</f>
        <v>0</v>
      </c>
      <c r="H1078" cm="1">
        <f t="array" ref="H1078">IF($Q1078&gt;=0,IFERROR(generateSalesData($D1078, IF(ISNUMBER(_xlfn.XLOOKUP($C1078,Phone_by_Sentiment!$B$2:$B$37,Phone_by_Sentiment!H$2:H$37,"",0,1)),_xlfn.XLOOKUP($C1078,Phone_by_Sentiment!$B$2:$B$37,Phone_by_Sentiment!H$2:H$37,"",0,1),0),$A1078-TEXT(DATEVALUE($D1078&amp;"-01"), "dd-mm-yyyy")),0),0)</f>
        <v>0</v>
      </c>
      <c r="I1078" cm="1">
        <f t="array" ref="I1078">IF($Q1078&gt;=0,IFERROR(generateSalesData($D1078, IF(ISNUMBER(_xlfn.XLOOKUP($C1078,Phone_by_Sentiment!$B$2:$B$37,Phone_by_Sentiment!I$2:I$37,"",0,1)),_xlfn.XLOOKUP($C1078,Phone_by_Sentiment!$B$2:$B$37,Phone_by_Sentiment!I$2:I$37,"",0,1),0),$A1078-TEXT(DATEVALUE($D1078&amp;"-01"), "dd-mm-yyyy")),0),0)</f>
        <v>0</v>
      </c>
      <c r="J1078" cm="1">
        <f t="array" ref="J1078">IF($Q1078&gt;=0,IFERROR(generateSalesData($D1078, IF(ISNUMBER(_xlfn.XLOOKUP($C1078,Phone_by_Sentiment!$B$2:$B$37,Phone_by_Sentiment!J$2:J$37,"",0,1)),_xlfn.XLOOKUP($C1078,Phone_by_Sentiment!$B$2:$B$37,Phone_by_Sentiment!J$2:J$37,"",0,1),0),$A1078-TEXT(DATEVALUE($D1078&amp;"-01"), "dd-mm-yyyy")),0),0)</f>
        <v>0</v>
      </c>
      <c r="K1078" cm="1">
        <f t="array" ref="K1078">IF($Q1078&gt;=0,IFERROR(generateSalesData($D1078, IF(ISNUMBER(_xlfn.XLOOKUP($C1078,Phone_by_Sentiment!$B$2:$B$37,Phone_by_Sentiment!K$2:K$37,"",0,1)),_xlfn.XLOOKUP($C1078,Phone_by_Sentiment!$B$2:$B$37,Phone_by_Sentiment!K$2:K$37,"",0,1),0),$A1078-TEXT(DATEVALUE($D1078&amp;"-01"), "dd-mm-yyyy")),0),0)</f>
        <v>0</v>
      </c>
      <c r="L1078" cm="1">
        <f t="array" ref="L1078">IF($Q1078&gt;=0,IFERROR(generateSalesData($D1078, IF(ISNUMBER(_xlfn.XLOOKUP($C1078,Phone_by_Sentiment!$B$2:$B$37,Phone_by_Sentiment!L$2:L$37,"",0,1)),_xlfn.XLOOKUP($C1078,Phone_by_Sentiment!$B$2:$B$37,Phone_by_Sentiment!L$2:L$37,"",0,1),0),$A1078-TEXT(DATEVALUE($D1078&amp;"-01"), "dd-mm-yyyy")),0),0)</f>
        <v>0</v>
      </c>
      <c r="M1078" cm="1">
        <f t="array" ref="M1078">IF($Q1078&gt;=0,IFERROR(generateSalesData($D1078, IF(ISNUMBER(_xlfn.XLOOKUP($C1078,Phone_by_Sentiment!$B$2:$B$37,Phone_by_Sentiment!M$2:M$37,"",0,1)),_xlfn.XLOOKUP($C1078,Phone_by_Sentiment!$B$2:$B$37,Phone_by_Sentiment!M$2:M$37,"",0,1),0),$A1078-TEXT(DATEVALUE($D1078&amp;"-01"), "dd-mm-yyyy")),0),0)</f>
        <v>0</v>
      </c>
      <c r="N1078" cm="1">
        <f t="array" ref="N1078">IF($Q1078&gt;=0,IFERROR(generateSalesData($D1078, IF(ISNUMBER(_xlfn.XLOOKUP($C1078,Phone_by_Sentiment!$B$2:$B$37,Phone_by_Sentiment!N$2:N$37,"",0,1)),_xlfn.XLOOKUP($C1078,Phone_by_Sentiment!$B$2:$B$37,Phone_by_Sentiment!N$2:N$37,"",0,1),0),$A1078-TEXT(DATEVALUE($D1078&amp;"-01"), "dd-mm-yyyy")),0),0)</f>
        <v>0</v>
      </c>
      <c r="O1078" cm="1">
        <f t="array" ref="O1078">IF($Q1078&gt;=0,IFERROR(generateSalesData($D1078, IF(ISNUMBER(_xlfn.XLOOKUP($C1078,Phone_by_Sentiment!$B$2:$B$37,Phone_by_Sentiment!O$2:O$37,"",0,1)),_xlfn.XLOOKUP($C1078,Phone_by_Sentiment!$B$2:$B$37,Phone_by_Sentiment!O$2:O$37,"",0,1),0),$A1078-TEXT(DATEVALUE($D1078&amp;"-01"), "dd-mm-yyyy")),0),0)</f>
        <v>0</v>
      </c>
      <c r="P1078" s="1">
        <f t="shared" si="43"/>
        <v>44440</v>
      </c>
      <c r="Q1078">
        <f t="shared" si="44"/>
        <v>-62</v>
      </c>
    </row>
    <row r="1079" spans="1:17" x14ac:dyDescent="0.25">
      <c r="A1079" s="1">
        <f t="shared" si="45"/>
        <v>44378</v>
      </c>
      <c r="B1079" t="s">
        <v>162</v>
      </c>
      <c r="C1079" t="str">
        <f>_xlfn.XLOOKUP(B1079,Phone_by_Price!$A$2:$A$34,Phone_by_Price!$B$2:$B$34,"-",0,1)</f>
        <v>Xiaomi Poco X3 NFC</v>
      </c>
      <c r="D1079" t="str">
        <f>_xlfn.XLOOKUP(C1079,Phone_by_Sentiment!$B$2:$B$37,Phone_by_Sentiment!$A$2:$A$37,"-",0,1)</f>
        <v>2020-08</v>
      </c>
      <c r="E1079" cm="1">
        <f t="array" ref="E1079">IF($Q1079&gt;=0,IFERROR(generateSalesData($D1079, IF(ISNUMBER(_xlfn.XLOOKUP($C1079,Phone_by_Sentiment!$B$2:$B$37,Phone_by_Sentiment!E$2:E$37,"",0,1)),_xlfn.XLOOKUP($C1079,Phone_by_Sentiment!$B$2:$B$37,Phone_by_Sentiment!E$2:E$37,"",0,1),0),$A1079-TEXT(DATEVALUE($D1079&amp;"-01"), "dd-mm-yyyy")),0),0)</f>
        <v>146</v>
      </c>
      <c r="F1079" cm="1">
        <f t="array" ref="F1079">IF($Q1079&gt;=0,IFERROR(generateSalesData($D1079, IF(ISNUMBER(_xlfn.XLOOKUP($C1079,Phone_by_Sentiment!$B$2:$B$37,Phone_by_Sentiment!F$2:F$37,"",0,1)),_xlfn.XLOOKUP($C1079,Phone_by_Sentiment!$B$2:$B$37,Phone_by_Sentiment!F$2:F$37,"",0,1),0),$A1079-TEXT(DATEVALUE($D1079&amp;"-01"), "dd-mm-yyyy")),0),0)</f>
        <v>75</v>
      </c>
      <c r="G1079" cm="1">
        <f t="array" ref="G1079">IF($Q1079&gt;=0,IFERROR(generateSalesData($D1079, IF(ISNUMBER(_xlfn.XLOOKUP($C1079,Phone_by_Sentiment!$B$2:$B$37,Phone_by_Sentiment!G$2:G$37,"",0,1)),_xlfn.XLOOKUP($C1079,Phone_by_Sentiment!$B$2:$B$37,Phone_by_Sentiment!G$2:G$37,"",0,1),0),$A1079-TEXT(DATEVALUE($D1079&amp;"-01"), "dd-mm-yyyy")),0),0)</f>
        <v>299</v>
      </c>
      <c r="H1079" cm="1">
        <f t="array" ref="H1079">IF($Q1079&gt;=0,IFERROR(generateSalesData($D1079, IF(ISNUMBER(_xlfn.XLOOKUP($C1079,Phone_by_Sentiment!$B$2:$B$37,Phone_by_Sentiment!H$2:H$37,"",0,1)),_xlfn.XLOOKUP($C1079,Phone_by_Sentiment!$B$2:$B$37,Phone_by_Sentiment!H$2:H$37,"",0,1),0),$A1079-TEXT(DATEVALUE($D1079&amp;"-01"), "dd-mm-yyyy")),0),0)</f>
        <v>825</v>
      </c>
      <c r="I1079" cm="1">
        <f t="array" ref="I1079">IF($Q1079&gt;=0,IFERROR(generateSalesData($D1079, IF(ISNUMBER(_xlfn.XLOOKUP($C1079,Phone_by_Sentiment!$B$2:$B$37,Phone_by_Sentiment!I$2:I$37,"",0,1)),_xlfn.XLOOKUP($C1079,Phone_by_Sentiment!$B$2:$B$37,Phone_by_Sentiment!I$2:I$37,"",0,1),0),$A1079-TEXT(DATEVALUE($D1079&amp;"-01"), "dd-mm-yyyy")),0),0)</f>
        <v>204</v>
      </c>
      <c r="J1079" cm="1">
        <f t="array" ref="J1079">IF($Q1079&gt;=0,IFERROR(generateSalesData($D1079, IF(ISNUMBER(_xlfn.XLOOKUP($C1079,Phone_by_Sentiment!$B$2:$B$37,Phone_by_Sentiment!J$2:J$37,"",0,1)),_xlfn.XLOOKUP($C1079,Phone_by_Sentiment!$B$2:$B$37,Phone_by_Sentiment!J$2:J$37,"",0,1),0),$A1079-TEXT(DATEVALUE($D1079&amp;"-01"), "dd-mm-yyyy")),0),0)</f>
        <v>173</v>
      </c>
      <c r="K1079" cm="1">
        <f t="array" ref="K1079">IF($Q1079&gt;=0,IFERROR(generateSalesData($D1079, IF(ISNUMBER(_xlfn.XLOOKUP($C1079,Phone_by_Sentiment!$B$2:$B$37,Phone_by_Sentiment!K$2:K$37,"",0,1)),_xlfn.XLOOKUP($C1079,Phone_by_Sentiment!$B$2:$B$37,Phone_by_Sentiment!K$2:K$37,"",0,1),0),$A1079-TEXT(DATEVALUE($D1079&amp;"-01"), "dd-mm-yyyy")),0),0)</f>
        <v>1131</v>
      </c>
      <c r="L1079" cm="1">
        <f t="array" ref="L1079">IF($Q1079&gt;=0,IFERROR(generateSalesData($D1079, IF(ISNUMBER(_xlfn.XLOOKUP($C1079,Phone_by_Sentiment!$B$2:$B$37,Phone_by_Sentiment!L$2:L$37,"",0,1)),_xlfn.XLOOKUP($C1079,Phone_by_Sentiment!$B$2:$B$37,Phone_by_Sentiment!L$2:L$37,"",0,1),0),$A1079-TEXT(DATEVALUE($D1079&amp;"-01"), "dd-mm-yyyy")),0),0)</f>
        <v>240</v>
      </c>
      <c r="M1079" cm="1">
        <f t="array" ref="M1079">IF($Q1079&gt;=0,IFERROR(generateSalesData($D1079, IF(ISNUMBER(_xlfn.XLOOKUP($C1079,Phone_by_Sentiment!$B$2:$B$37,Phone_by_Sentiment!M$2:M$37,"",0,1)),_xlfn.XLOOKUP($C1079,Phone_by_Sentiment!$B$2:$B$37,Phone_by_Sentiment!M$2:M$37,"",0,1),0),$A1079-TEXT(DATEVALUE($D1079&amp;"-01"), "dd-mm-yyyy")),0),0)</f>
        <v>865</v>
      </c>
      <c r="N1079" cm="1">
        <f t="array" ref="N1079">IF($Q1079&gt;=0,IFERROR(generateSalesData($D1079, IF(ISNUMBER(_xlfn.XLOOKUP($C1079,Phone_by_Sentiment!$B$2:$B$37,Phone_by_Sentiment!N$2:N$37,"",0,1)),_xlfn.XLOOKUP($C1079,Phone_by_Sentiment!$B$2:$B$37,Phone_by_Sentiment!N$2:N$37,"",0,1),0),$A1079-TEXT(DATEVALUE($D1079&amp;"-01"), "dd-mm-yyyy")),0),0)</f>
        <v>129</v>
      </c>
      <c r="O1079" cm="1">
        <f t="array" ref="O1079">IF($Q1079&gt;=0,IFERROR(generateSalesData($D1079, IF(ISNUMBER(_xlfn.XLOOKUP($C1079,Phone_by_Sentiment!$B$2:$B$37,Phone_by_Sentiment!O$2:O$37,"",0,1)),_xlfn.XLOOKUP($C1079,Phone_by_Sentiment!$B$2:$B$37,Phone_by_Sentiment!O$2:O$37,"",0,1),0),$A1079-TEXT(DATEVALUE($D1079&amp;"-01"), "dd-mm-yyyy")),0),0)</f>
        <v>218</v>
      </c>
      <c r="P1079" s="1">
        <f t="shared" si="43"/>
        <v>44044</v>
      </c>
      <c r="Q1079">
        <f t="shared" si="44"/>
        <v>334</v>
      </c>
    </row>
    <row r="1080" spans="1:17" x14ac:dyDescent="0.25">
      <c r="A1080" s="1">
        <f t="shared" si="45"/>
        <v>44378</v>
      </c>
      <c r="B1080" t="s">
        <v>163</v>
      </c>
      <c r="C1080" t="str">
        <f>_xlfn.XLOOKUP(B1080,Phone_by_Price!$A$2:$A$34,Phone_by_Price!$B$2:$B$34,"-",0,1)</f>
        <v>OPPO A93</v>
      </c>
      <c r="D1080" t="str">
        <f>_xlfn.XLOOKUP(C1080,Phone_by_Sentiment!$B$2:$B$37,Phone_by_Sentiment!$A$2:$A$37,"-",0,1)</f>
        <v>2021-02</v>
      </c>
      <c r="E1080" cm="1">
        <f t="array" ref="E1080">IF($Q1080&gt;=0,IFERROR(generateSalesData($D1080, IF(ISNUMBER(_xlfn.XLOOKUP($C1080,Phone_by_Sentiment!$B$2:$B$37,Phone_by_Sentiment!E$2:E$37,"",0,1)),_xlfn.XLOOKUP($C1080,Phone_by_Sentiment!$B$2:$B$37,Phone_by_Sentiment!E$2:E$37,"",0,1),0),$A1080-TEXT(DATEVALUE($D1080&amp;"-01"), "dd-mm-yyyy")),0),0)</f>
        <v>1476</v>
      </c>
      <c r="F1080" cm="1">
        <f t="array" ref="F1080">IF($Q1080&gt;=0,IFERROR(generateSalesData($D1080, IF(ISNUMBER(_xlfn.XLOOKUP($C1080,Phone_by_Sentiment!$B$2:$B$37,Phone_by_Sentiment!F$2:F$37,"",0,1)),_xlfn.XLOOKUP($C1080,Phone_by_Sentiment!$B$2:$B$37,Phone_by_Sentiment!F$2:F$37,"",0,1),0),$A1080-TEXT(DATEVALUE($D1080&amp;"-01"), "dd-mm-yyyy")),0),0)</f>
        <v>383</v>
      </c>
      <c r="G1080" cm="1">
        <f t="array" ref="G1080">IF($Q1080&gt;=0,IFERROR(generateSalesData($D1080, IF(ISNUMBER(_xlfn.XLOOKUP($C1080,Phone_by_Sentiment!$B$2:$B$37,Phone_by_Sentiment!G$2:G$37,"",0,1)),_xlfn.XLOOKUP($C1080,Phone_by_Sentiment!$B$2:$B$37,Phone_by_Sentiment!G$2:G$37,"",0,1),0),$A1080-TEXT(DATEVALUE($D1080&amp;"-01"), "dd-mm-yyyy")),0),0)</f>
        <v>548</v>
      </c>
      <c r="H1080" cm="1">
        <f t="array" ref="H1080">IF($Q1080&gt;=0,IFERROR(generateSalesData($D1080, IF(ISNUMBER(_xlfn.XLOOKUP($C1080,Phone_by_Sentiment!$B$2:$B$37,Phone_by_Sentiment!H$2:H$37,"",0,1)),_xlfn.XLOOKUP($C1080,Phone_by_Sentiment!$B$2:$B$37,Phone_by_Sentiment!H$2:H$37,"",0,1),0),$A1080-TEXT(DATEVALUE($D1080&amp;"-01"), "dd-mm-yyyy")),0),0)</f>
        <v>627</v>
      </c>
      <c r="I1080" cm="1">
        <f t="array" ref="I1080">IF($Q1080&gt;=0,IFERROR(generateSalesData($D1080, IF(ISNUMBER(_xlfn.XLOOKUP($C1080,Phone_by_Sentiment!$B$2:$B$37,Phone_by_Sentiment!I$2:I$37,"",0,1)),_xlfn.XLOOKUP($C1080,Phone_by_Sentiment!$B$2:$B$37,Phone_by_Sentiment!I$2:I$37,"",0,1),0),$A1080-TEXT(DATEVALUE($D1080&amp;"-01"), "dd-mm-yyyy")),0),0)</f>
        <v>1948</v>
      </c>
      <c r="J1080" cm="1">
        <f t="array" ref="J1080">IF($Q1080&gt;=0,IFERROR(generateSalesData($D1080, IF(ISNUMBER(_xlfn.XLOOKUP($C1080,Phone_by_Sentiment!$B$2:$B$37,Phone_by_Sentiment!J$2:J$37,"",0,1)),_xlfn.XLOOKUP($C1080,Phone_by_Sentiment!$B$2:$B$37,Phone_by_Sentiment!J$2:J$37,"",0,1),0),$A1080-TEXT(DATEVALUE($D1080&amp;"-01"), "dd-mm-yyyy")),0),0)</f>
        <v>398</v>
      </c>
      <c r="K1080" cm="1">
        <f t="array" ref="K1080">IF($Q1080&gt;=0,IFERROR(generateSalesData($D1080, IF(ISNUMBER(_xlfn.XLOOKUP($C1080,Phone_by_Sentiment!$B$2:$B$37,Phone_by_Sentiment!K$2:K$37,"",0,1)),_xlfn.XLOOKUP($C1080,Phone_by_Sentiment!$B$2:$B$37,Phone_by_Sentiment!K$2:K$37,"",0,1),0),$A1080-TEXT(DATEVALUE($D1080&amp;"-01"), "dd-mm-yyyy")),0),0)</f>
        <v>507</v>
      </c>
      <c r="L1080" cm="1">
        <f t="array" ref="L1080">IF($Q1080&gt;=0,IFERROR(generateSalesData($D1080, IF(ISNUMBER(_xlfn.XLOOKUP($C1080,Phone_by_Sentiment!$B$2:$B$37,Phone_by_Sentiment!L$2:L$37,"",0,1)),_xlfn.XLOOKUP($C1080,Phone_by_Sentiment!$B$2:$B$37,Phone_by_Sentiment!L$2:L$37,"",0,1),0),$A1080-TEXT(DATEVALUE($D1080&amp;"-01"), "dd-mm-yyyy")),0),0)</f>
        <v>751</v>
      </c>
      <c r="M1080" cm="1">
        <f t="array" ref="M1080">IF($Q1080&gt;=0,IFERROR(generateSalesData($D1080, IF(ISNUMBER(_xlfn.XLOOKUP($C1080,Phone_by_Sentiment!$B$2:$B$37,Phone_by_Sentiment!M$2:M$37,"",0,1)),_xlfn.XLOOKUP($C1080,Phone_by_Sentiment!$B$2:$B$37,Phone_by_Sentiment!M$2:M$37,"",0,1),0),$A1080-TEXT(DATEVALUE($D1080&amp;"-01"), "dd-mm-yyyy")),0),0)</f>
        <v>1260</v>
      </c>
      <c r="N1080" cm="1">
        <f t="array" ref="N1080">IF($Q1080&gt;=0,IFERROR(generateSalesData($D1080, IF(ISNUMBER(_xlfn.XLOOKUP($C1080,Phone_by_Sentiment!$B$2:$B$37,Phone_by_Sentiment!N$2:N$37,"",0,1)),_xlfn.XLOOKUP($C1080,Phone_by_Sentiment!$B$2:$B$37,Phone_by_Sentiment!N$2:N$37,"",0,1),0),$A1080-TEXT(DATEVALUE($D1080&amp;"-01"), "dd-mm-yyyy")),0),0)</f>
        <v>1384</v>
      </c>
      <c r="O1080" cm="1">
        <f t="array" ref="O1080">IF($Q1080&gt;=0,IFERROR(generateSalesData($D1080, IF(ISNUMBER(_xlfn.XLOOKUP($C1080,Phone_by_Sentiment!$B$2:$B$37,Phone_by_Sentiment!O$2:O$37,"",0,1)),_xlfn.XLOOKUP($C1080,Phone_by_Sentiment!$B$2:$B$37,Phone_by_Sentiment!O$2:O$37,"",0,1),0),$A1080-TEXT(DATEVALUE($D1080&amp;"-01"), "dd-mm-yyyy")),0),0)</f>
        <v>289</v>
      </c>
      <c r="P1080" s="1">
        <f t="shared" si="43"/>
        <v>44228</v>
      </c>
      <c r="Q1080">
        <f t="shared" si="44"/>
        <v>150</v>
      </c>
    </row>
    <row r="1081" spans="1:17" x14ac:dyDescent="0.25">
      <c r="A1081" s="1">
        <f t="shared" si="45"/>
        <v>44378</v>
      </c>
      <c r="B1081" t="s">
        <v>164</v>
      </c>
      <c r="C1081" t="str">
        <f>_xlfn.XLOOKUP(B1081,Phone_by_Price!$A$2:$A$34,Phone_by_Price!$B$2:$B$34,"-",0,1)</f>
        <v>Vivo V20</v>
      </c>
      <c r="D1081" t="str">
        <f>_xlfn.XLOOKUP(C1081,Phone_by_Sentiment!$B$2:$B$37,Phone_by_Sentiment!$A$2:$A$37,"-",0,1)</f>
        <v>2020-10</v>
      </c>
      <c r="E1081" cm="1">
        <f t="array" ref="E1081">IF($Q1081&gt;=0,IFERROR(generateSalesData($D1081, IF(ISNUMBER(_xlfn.XLOOKUP($C1081,Phone_by_Sentiment!$B$2:$B$37,Phone_by_Sentiment!E$2:E$37,"",0,1)),_xlfn.XLOOKUP($C1081,Phone_by_Sentiment!$B$2:$B$37,Phone_by_Sentiment!E$2:E$37,"",0,1),0),$A1081-TEXT(DATEVALUE($D1081&amp;"-01"), "dd-mm-yyyy")),0),0)</f>
        <v>1150</v>
      </c>
      <c r="F1081" cm="1">
        <f t="array" ref="F1081">IF($Q1081&gt;=0,IFERROR(generateSalesData($D1081, IF(ISNUMBER(_xlfn.XLOOKUP($C1081,Phone_by_Sentiment!$B$2:$B$37,Phone_by_Sentiment!F$2:F$37,"",0,1)),_xlfn.XLOOKUP($C1081,Phone_by_Sentiment!$B$2:$B$37,Phone_by_Sentiment!F$2:F$37,"",0,1),0),$A1081-TEXT(DATEVALUE($D1081&amp;"-01"), "dd-mm-yyyy")),0),0)</f>
        <v>236</v>
      </c>
      <c r="G1081" cm="1">
        <f t="array" ref="G1081">IF($Q1081&gt;=0,IFERROR(generateSalesData($D1081, IF(ISNUMBER(_xlfn.XLOOKUP($C1081,Phone_by_Sentiment!$B$2:$B$37,Phone_by_Sentiment!G$2:G$37,"",0,1)),_xlfn.XLOOKUP($C1081,Phone_by_Sentiment!$B$2:$B$37,Phone_by_Sentiment!G$2:G$37,"",0,1),0),$A1081-TEXT(DATEVALUE($D1081&amp;"-01"), "dd-mm-yyyy")),0),0)</f>
        <v>240</v>
      </c>
      <c r="H1081" cm="1">
        <f t="array" ref="H1081">IF($Q1081&gt;=0,IFERROR(generateSalesData($D1081, IF(ISNUMBER(_xlfn.XLOOKUP($C1081,Phone_by_Sentiment!$B$2:$B$37,Phone_by_Sentiment!H$2:H$37,"",0,1)),_xlfn.XLOOKUP($C1081,Phone_by_Sentiment!$B$2:$B$37,Phone_by_Sentiment!H$2:H$37,"",0,1),0),$A1081-TEXT(DATEVALUE($D1081&amp;"-01"), "dd-mm-yyyy")),0),0)</f>
        <v>255</v>
      </c>
      <c r="I1081" cm="1">
        <f t="array" ref="I1081">IF($Q1081&gt;=0,IFERROR(generateSalesData($D1081, IF(ISNUMBER(_xlfn.XLOOKUP($C1081,Phone_by_Sentiment!$B$2:$B$37,Phone_by_Sentiment!I$2:I$37,"",0,1)),_xlfn.XLOOKUP($C1081,Phone_by_Sentiment!$B$2:$B$37,Phone_by_Sentiment!I$2:I$37,"",0,1),0),$A1081-TEXT(DATEVALUE($D1081&amp;"-01"), "dd-mm-yyyy")),0),0)</f>
        <v>123</v>
      </c>
      <c r="J1081" cm="1">
        <f t="array" ref="J1081">IF($Q1081&gt;=0,IFERROR(generateSalesData($D1081, IF(ISNUMBER(_xlfn.XLOOKUP($C1081,Phone_by_Sentiment!$B$2:$B$37,Phone_by_Sentiment!J$2:J$37,"",0,1)),_xlfn.XLOOKUP($C1081,Phone_by_Sentiment!$B$2:$B$37,Phone_by_Sentiment!J$2:J$37,"",0,1),0),$A1081-TEXT(DATEVALUE($D1081&amp;"-01"), "dd-mm-yyyy")),0),0)</f>
        <v>301</v>
      </c>
      <c r="K1081" cm="1">
        <f t="array" ref="K1081">IF($Q1081&gt;=0,IFERROR(generateSalesData($D1081, IF(ISNUMBER(_xlfn.XLOOKUP($C1081,Phone_by_Sentiment!$B$2:$B$37,Phone_by_Sentiment!K$2:K$37,"",0,1)),_xlfn.XLOOKUP($C1081,Phone_by_Sentiment!$B$2:$B$37,Phone_by_Sentiment!K$2:K$37,"",0,1),0),$A1081-TEXT(DATEVALUE($D1081&amp;"-01"), "dd-mm-yyyy")),0),0)</f>
        <v>278</v>
      </c>
      <c r="L1081" cm="1">
        <f t="array" ref="L1081">IF($Q1081&gt;=0,IFERROR(generateSalesData($D1081, IF(ISNUMBER(_xlfn.XLOOKUP($C1081,Phone_by_Sentiment!$B$2:$B$37,Phone_by_Sentiment!L$2:L$37,"",0,1)),_xlfn.XLOOKUP($C1081,Phone_by_Sentiment!$B$2:$B$37,Phone_by_Sentiment!L$2:L$37,"",0,1),0),$A1081-TEXT(DATEVALUE($D1081&amp;"-01"), "dd-mm-yyyy")),0),0)</f>
        <v>308</v>
      </c>
      <c r="M1081" cm="1">
        <f t="array" ref="M1081">IF($Q1081&gt;=0,IFERROR(generateSalesData($D1081, IF(ISNUMBER(_xlfn.XLOOKUP($C1081,Phone_by_Sentiment!$B$2:$B$37,Phone_by_Sentiment!M$2:M$37,"",0,1)),_xlfn.XLOOKUP($C1081,Phone_by_Sentiment!$B$2:$B$37,Phone_by_Sentiment!M$2:M$37,"",0,1),0),$A1081-TEXT(DATEVALUE($D1081&amp;"-01"), "dd-mm-yyyy")),0),0)</f>
        <v>160</v>
      </c>
      <c r="N1081" cm="1">
        <f t="array" ref="N1081">IF($Q1081&gt;=0,IFERROR(generateSalesData($D1081, IF(ISNUMBER(_xlfn.XLOOKUP($C1081,Phone_by_Sentiment!$B$2:$B$37,Phone_by_Sentiment!N$2:N$37,"",0,1)),_xlfn.XLOOKUP($C1081,Phone_by_Sentiment!$B$2:$B$37,Phone_by_Sentiment!N$2:N$37,"",0,1),0),$A1081-TEXT(DATEVALUE($D1081&amp;"-01"), "dd-mm-yyyy")),0),0)</f>
        <v>269</v>
      </c>
      <c r="O1081" cm="1">
        <f t="array" ref="O1081">IF($Q1081&gt;=0,IFERROR(generateSalesData($D1081, IF(ISNUMBER(_xlfn.XLOOKUP($C1081,Phone_by_Sentiment!$B$2:$B$37,Phone_by_Sentiment!O$2:O$37,"",0,1)),_xlfn.XLOOKUP($C1081,Phone_by_Sentiment!$B$2:$B$37,Phone_by_Sentiment!O$2:O$37,"",0,1),0),$A1081-TEXT(DATEVALUE($D1081&amp;"-01"), "dd-mm-yyyy")),0),0)</f>
        <v>374</v>
      </c>
      <c r="P1081" s="1">
        <f t="shared" si="43"/>
        <v>44105</v>
      </c>
      <c r="Q1081">
        <f t="shared" si="44"/>
        <v>273</v>
      </c>
    </row>
    <row r="1082" spans="1:17" x14ac:dyDescent="0.25">
      <c r="A1082" s="1">
        <f t="shared" si="45"/>
        <v>44378</v>
      </c>
      <c r="B1082" t="s">
        <v>165</v>
      </c>
      <c r="C1082" t="str">
        <f>_xlfn.XLOOKUP(B1082,Phone_by_Price!$A$2:$A$34,Phone_by_Price!$B$2:$B$34,"-",0,1)</f>
        <v>Samsung Galaxy A50</v>
      </c>
      <c r="D1082" t="str">
        <f>_xlfn.XLOOKUP(C1082,Phone_by_Sentiment!$B$2:$B$37,Phone_by_Sentiment!$A$2:$A$37,"-",0,1)</f>
        <v>2019-05</v>
      </c>
      <c r="E1082" cm="1">
        <f t="array" ref="E1082">IF($Q1082&gt;=0,IFERROR(generateSalesData($D1082, IF(ISNUMBER(_xlfn.XLOOKUP($C1082,Phone_by_Sentiment!$B$2:$B$37,Phone_by_Sentiment!E$2:E$37,"",0,1)),_xlfn.XLOOKUP($C1082,Phone_by_Sentiment!$B$2:$B$37,Phone_by_Sentiment!E$2:E$37,"",0,1),0),$A1082-TEXT(DATEVALUE($D1082&amp;"-01"), "dd-mm-yyyy")),0),0)</f>
        <v>190</v>
      </c>
      <c r="F1082" cm="1">
        <f t="array" ref="F1082">IF($Q1082&gt;=0,IFERROR(generateSalesData($D1082, IF(ISNUMBER(_xlfn.XLOOKUP($C1082,Phone_by_Sentiment!$B$2:$B$37,Phone_by_Sentiment!F$2:F$37,"",0,1)),_xlfn.XLOOKUP($C1082,Phone_by_Sentiment!$B$2:$B$37,Phone_by_Sentiment!F$2:F$37,"",0,1),0),$A1082-TEXT(DATEVALUE($D1082&amp;"-01"), "dd-mm-yyyy")),0),0)</f>
        <v>122</v>
      </c>
      <c r="G1082" cm="1">
        <f t="array" ref="G1082">IF($Q1082&gt;=0,IFERROR(generateSalesData($D1082, IF(ISNUMBER(_xlfn.XLOOKUP($C1082,Phone_by_Sentiment!$B$2:$B$37,Phone_by_Sentiment!G$2:G$37,"",0,1)),_xlfn.XLOOKUP($C1082,Phone_by_Sentiment!$B$2:$B$37,Phone_by_Sentiment!G$2:G$37,"",0,1),0),$A1082-TEXT(DATEVALUE($D1082&amp;"-01"), "dd-mm-yyyy")),0),0)</f>
        <v>65</v>
      </c>
      <c r="H1082" cm="1">
        <f t="array" ref="H1082">IF($Q1082&gt;=0,IFERROR(generateSalesData($D1082, IF(ISNUMBER(_xlfn.XLOOKUP($C1082,Phone_by_Sentiment!$B$2:$B$37,Phone_by_Sentiment!H$2:H$37,"",0,1)),_xlfn.XLOOKUP($C1082,Phone_by_Sentiment!$B$2:$B$37,Phone_by_Sentiment!H$2:H$37,"",0,1),0),$A1082-TEXT(DATEVALUE($D1082&amp;"-01"), "dd-mm-yyyy")),0),0)</f>
        <v>385</v>
      </c>
      <c r="I1082" cm="1">
        <f t="array" ref="I1082">IF($Q1082&gt;=0,IFERROR(generateSalesData($D1082, IF(ISNUMBER(_xlfn.XLOOKUP($C1082,Phone_by_Sentiment!$B$2:$B$37,Phone_by_Sentiment!I$2:I$37,"",0,1)),_xlfn.XLOOKUP($C1082,Phone_by_Sentiment!$B$2:$B$37,Phone_by_Sentiment!I$2:I$37,"",0,1),0),$A1082-TEXT(DATEVALUE($D1082&amp;"-01"), "dd-mm-yyyy")),0),0)</f>
        <v>445</v>
      </c>
      <c r="J1082" cm="1">
        <f t="array" ref="J1082">IF($Q1082&gt;=0,IFERROR(generateSalesData($D1082, IF(ISNUMBER(_xlfn.XLOOKUP($C1082,Phone_by_Sentiment!$B$2:$B$37,Phone_by_Sentiment!J$2:J$37,"",0,1)),_xlfn.XLOOKUP($C1082,Phone_by_Sentiment!$B$2:$B$37,Phone_by_Sentiment!J$2:J$37,"",0,1),0),$A1082-TEXT(DATEVALUE($D1082&amp;"-01"), "dd-mm-yyyy")),0),0)</f>
        <v>98</v>
      </c>
      <c r="K1082" cm="1">
        <f t="array" ref="K1082">IF($Q1082&gt;=0,IFERROR(generateSalesData($D1082, IF(ISNUMBER(_xlfn.XLOOKUP($C1082,Phone_by_Sentiment!$B$2:$B$37,Phone_by_Sentiment!K$2:K$37,"",0,1)),_xlfn.XLOOKUP($C1082,Phone_by_Sentiment!$B$2:$B$37,Phone_by_Sentiment!K$2:K$37,"",0,1),0),$A1082-TEXT(DATEVALUE($D1082&amp;"-01"), "dd-mm-yyyy")),0),0)</f>
        <v>21</v>
      </c>
      <c r="L1082" cm="1">
        <f t="array" ref="L1082">IF($Q1082&gt;=0,IFERROR(generateSalesData($D1082, IF(ISNUMBER(_xlfn.XLOOKUP($C1082,Phone_by_Sentiment!$B$2:$B$37,Phone_by_Sentiment!L$2:L$37,"",0,1)),_xlfn.XLOOKUP($C1082,Phone_by_Sentiment!$B$2:$B$37,Phone_by_Sentiment!L$2:L$37,"",0,1),0),$A1082-TEXT(DATEVALUE($D1082&amp;"-01"), "dd-mm-yyyy")),0),0)</f>
        <v>-169</v>
      </c>
      <c r="M1082" cm="1">
        <f t="array" ref="M1082">IF($Q1082&gt;=0,IFERROR(generateSalesData($D1082, IF(ISNUMBER(_xlfn.XLOOKUP($C1082,Phone_by_Sentiment!$B$2:$B$37,Phone_by_Sentiment!M$2:M$37,"",0,1)),_xlfn.XLOOKUP($C1082,Phone_by_Sentiment!$B$2:$B$37,Phone_by_Sentiment!M$2:M$37,"",0,1),0),$A1082-TEXT(DATEVALUE($D1082&amp;"-01"), "dd-mm-yyyy")),0),0)</f>
        <v>111</v>
      </c>
      <c r="N1082" cm="1">
        <f t="array" ref="N1082">IF($Q1082&gt;=0,IFERROR(generateSalesData($D1082, IF(ISNUMBER(_xlfn.XLOOKUP($C1082,Phone_by_Sentiment!$B$2:$B$37,Phone_by_Sentiment!N$2:N$37,"",0,1)),_xlfn.XLOOKUP($C1082,Phone_by_Sentiment!$B$2:$B$37,Phone_by_Sentiment!N$2:N$37,"",0,1),0),$A1082-TEXT(DATEVALUE($D1082&amp;"-01"), "dd-mm-yyyy")),0),0)</f>
        <v>309</v>
      </c>
      <c r="O1082" cm="1">
        <f t="array" ref="O1082">IF($Q1082&gt;=0,IFERROR(generateSalesData($D1082, IF(ISNUMBER(_xlfn.XLOOKUP($C1082,Phone_by_Sentiment!$B$2:$B$37,Phone_by_Sentiment!O$2:O$37,"",0,1)),_xlfn.XLOOKUP($C1082,Phone_by_Sentiment!$B$2:$B$37,Phone_by_Sentiment!O$2:O$37,"",0,1),0),$A1082-TEXT(DATEVALUE($D1082&amp;"-01"), "dd-mm-yyyy")),0),0)</f>
        <v>330</v>
      </c>
      <c r="P1082" s="1">
        <f t="shared" si="43"/>
        <v>43586</v>
      </c>
      <c r="Q1082">
        <f t="shared" si="44"/>
        <v>792</v>
      </c>
    </row>
    <row r="1083" spans="1:17" x14ac:dyDescent="0.25">
      <c r="A1083" s="1">
        <f t="shared" si="45"/>
        <v>44378</v>
      </c>
      <c r="B1083" t="s">
        <v>166</v>
      </c>
      <c r="C1083" t="str">
        <f>_xlfn.XLOOKUP(B1083,Phone_by_Price!$A$2:$A$34,Phone_by_Price!$B$2:$B$34,"-",0,1)</f>
        <v>Xiaomi Redmi Note 7</v>
      </c>
      <c r="D1083" t="str">
        <f>_xlfn.XLOOKUP(C1083,Phone_by_Sentiment!$B$2:$B$37,Phone_by_Sentiment!$A$2:$A$37,"-",0,1)</f>
        <v>2019-08</v>
      </c>
      <c r="E1083" cm="1">
        <f t="array" ref="E1083">IF($Q1083&gt;=0,IFERROR(generateSalesData($D1083, IF(ISNUMBER(_xlfn.XLOOKUP($C1083,Phone_by_Sentiment!$B$2:$B$37,Phone_by_Sentiment!E$2:E$37,"",0,1)),_xlfn.XLOOKUP($C1083,Phone_by_Sentiment!$B$2:$B$37,Phone_by_Sentiment!E$2:E$37,"",0,1),0),$A1083-TEXT(DATEVALUE($D1083&amp;"-01"), "dd-mm-yyyy")),0),0)</f>
        <v>166</v>
      </c>
      <c r="F1083" cm="1">
        <f t="array" ref="F1083">IF($Q1083&gt;=0,IFERROR(generateSalesData($D1083, IF(ISNUMBER(_xlfn.XLOOKUP($C1083,Phone_by_Sentiment!$B$2:$B$37,Phone_by_Sentiment!F$2:F$37,"",0,1)),_xlfn.XLOOKUP($C1083,Phone_by_Sentiment!$B$2:$B$37,Phone_by_Sentiment!F$2:F$37,"",0,1),0),$A1083-TEXT(DATEVALUE($D1083&amp;"-01"), "dd-mm-yyyy")),0),0)</f>
        <v>95</v>
      </c>
      <c r="G1083" cm="1">
        <f t="array" ref="G1083">IF($Q1083&gt;=0,IFERROR(generateSalesData($D1083, IF(ISNUMBER(_xlfn.XLOOKUP($C1083,Phone_by_Sentiment!$B$2:$B$37,Phone_by_Sentiment!G$2:G$37,"",0,1)),_xlfn.XLOOKUP($C1083,Phone_by_Sentiment!$B$2:$B$37,Phone_by_Sentiment!G$2:G$37,"",0,1),0),$A1083-TEXT(DATEVALUE($D1083&amp;"-01"), "dd-mm-yyyy")),0),0)</f>
        <v>85</v>
      </c>
      <c r="H1083" cm="1">
        <f t="array" ref="H1083">IF($Q1083&gt;=0,IFERROR(generateSalesData($D1083, IF(ISNUMBER(_xlfn.XLOOKUP($C1083,Phone_by_Sentiment!$B$2:$B$37,Phone_by_Sentiment!H$2:H$37,"",0,1)),_xlfn.XLOOKUP($C1083,Phone_by_Sentiment!$B$2:$B$37,Phone_by_Sentiment!H$2:H$37,"",0,1),0),$A1083-TEXT(DATEVALUE($D1083&amp;"-01"), "dd-mm-yyyy")),0),0)</f>
        <v>344</v>
      </c>
      <c r="I1083" cm="1">
        <f t="array" ref="I1083">IF($Q1083&gt;=0,IFERROR(generateSalesData($D1083, IF(ISNUMBER(_xlfn.XLOOKUP($C1083,Phone_by_Sentiment!$B$2:$B$37,Phone_by_Sentiment!I$2:I$37,"",0,1)),_xlfn.XLOOKUP($C1083,Phone_by_Sentiment!$B$2:$B$37,Phone_by_Sentiment!I$2:I$37,"",0,1),0),$A1083-TEXT(DATEVALUE($D1083&amp;"-01"), "dd-mm-yyyy")),0),0)</f>
        <v>155</v>
      </c>
      <c r="J1083" cm="1">
        <f t="array" ref="J1083">IF($Q1083&gt;=0,IFERROR(generateSalesData($D1083, IF(ISNUMBER(_xlfn.XLOOKUP($C1083,Phone_by_Sentiment!$B$2:$B$37,Phone_by_Sentiment!J$2:J$37,"",0,1)),_xlfn.XLOOKUP($C1083,Phone_by_Sentiment!$B$2:$B$37,Phone_by_Sentiment!J$2:J$37,"",0,1),0),$A1083-TEXT(DATEVALUE($D1083&amp;"-01"), "dd-mm-yyyy")),0),0)</f>
        <v>71</v>
      </c>
      <c r="K1083" cm="1">
        <f t="array" ref="K1083">IF($Q1083&gt;=0,IFERROR(generateSalesData($D1083, IF(ISNUMBER(_xlfn.XLOOKUP($C1083,Phone_by_Sentiment!$B$2:$B$37,Phone_by_Sentiment!K$2:K$37,"",0,1)),_xlfn.XLOOKUP($C1083,Phone_by_Sentiment!$B$2:$B$37,Phone_by_Sentiment!K$2:K$37,"",0,1),0),$A1083-TEXT(DATEVALUE($D1083&amp;"-01"), "dd-mm-yyyy")),0),0)</f>
        <v>361</v>
      </c>
      <c r="L1083" cm="1">
        <f t="array" ref="L1083">IF($Q1083&gt;=0,IFERROR(generateSalesData($D1083, IF(ISNUMBER(_xlfn.XLOOKUP($C1083,Phone_by_Sentiment!$B$2:$B$37,Phone_by_Sentiment!L$2:L$37,"",0,1)),_xlfn.XLOOKUP($C1083,Phone_by_Sentiment!$B$2:$B$37,Phone_by_Sentiment!L$2:L$37,"",0,1),0),$A1083-TEXT(DATEVALUE($D1083&amp;"-01"), "dd-mm-yyyy")),0),0)</f>
        <v>53</v>
      </c>
      <c r="M1083" cm="1">
        <f t="array" ref="M1083">IF($Q1083&gt;=0,IFERROR(generateSalesData($D1083, IF(ISNUMBER(_xlfn.XLOOKUP($C1083,Phone_by_Sentiment!$B$2:$B$37,Phone_by_Sentiment!M$2:M$37,"",0,1)),_xlfn.XLOOKUP($C1083,Phone_by_Sentiment!$B$2:$B$37,Phone_by_Sentiment!M$2:M$37,"",0,1),0),$A1083-TEXT(DATEVALUE($D1083&amp;"-01"), "dd-mm-yyyy")),0),0)</f>
        <v>242</v>
      </c>
      <c r="N1083" cm="1">
        <f t="array" ref="N1083">IF($Q1083&gt;=0,IFERROR(generateSalesData($D1083, IF(ISNUMBER(_xlfn.XLOOKUP($C1083,Phone_by_Sentiment!$B$2:$B$37,Phone_by_Sentiment!N$2:N$37,"",0,1)),_xlfn.XLOOKUP($C1083,Phone_by_Sentiment!$B$2:$B$37,Phone_by_Sentiment!N$2:N$37,"",0,1),0),$A1083-TEXT(DATEVALUE($D1083&amp;"-01"), "dd-mm-yyyy")),0),0)</f>
        <v>95</v>
      </c>
      <c r="O1083" cm="1">
        <f t="array" ref="O1083">IF($Q1083&gt;=0,IFERROR(generateSalesData($D1083, IF(ISNUMBER(_xlfn.XLOOKUP($C1083,Phone_by_Sentiment!$B$2:$B$37,Phone_by_Sentiment!O$2:O$37,"",0,1)),_xlfn.XLOOKUP($C1083,Phone_by_Sentiment!$B$2:$B$37,Phone_by_Sentiment!O$2:O$37,"",0,1),0),$A1083-TEXT(DATEVALUE($D1083&amp;"-01"), "dd-mm-yyyy")),0),0)</f>
        <v>393</v>
      </c>
      <c r="P1083" s="1">
        <f t="shared" si="43"/>
        <v>43678</v>
      </c>
      <c r="Q1083">
        <f t="shared" si="44"/>
        <v>700</v>
      </c>
    </row>
    <row r="1084" spans="1:17" x14ac:dyDescent="0.25">
      <c r="A1084" s="1">
        <f t="shared" si="45"/>
        <v>44378</v>
      </c>
      <c r="B1084" t="s">
        <v>167</v>
      </c>
      <c r="C1084" t="str">
        <f>_xlfn.XLOOKUP(B1084,Phone_by_Price!$A$2:$A$34,Phone_by_Price!$B$2:$B$34,"-",0,1)</f>
        <v>Realme C21</v>
      </c>
      <c r="D1084" t="str">
        <f>_xlfn.XLOOKUP(C1084,Phone_by_Sentiment!$B$2:$B$37,Phone_by_Sentiment!$A$2:$A$37,"-",0,1)</f>
        <v>2021-04</v>
      </c>
      <c r="E1084" cm="1">
        <f t="array" ref="E1084">IF($Q1084&gt;=0,IFERROR(generateSalesData($D1084, IF(ISNUMBER(_xlfn.XLOOKUP($C1084,Phone_by_Sentiment!$B$2:$B$37,Phone_by_Sentiment!E$2:E$37,"",0,1)),_xlfn.XLOOKUP($C1084,Phone_by_Sentiment!$B$2:$B$37,Phone_by_Sentiment!E$2:E$37,"",0,1),0),$A1084-TEXT(DATEVALUE($D1084&amp;"-01"), "dd-mm-yyyy")),0),0)</f>
        <v>330</v>
      </c>
      <c r="F1084" cm="1">
        <f t="array" ref="F1084">IF($Q1084&gt;=0,IFERROR(generateSalesData($D1084, IF(ISNUMBER(_xlfn.XLOOKUP($C1084,Phone_by_Sentiment!$B$2:$B$37,Phone_by_Sentiment!F$2:F$37,"",0,1)),_xlfn.XLOOKUP($C1084,Phone_by_Sentiment!$B$2:$B$37,Phone_by_Sentiment!F$2:F$37,"",0,1),0),$A1084-TEXT(DATEVALUE($D1084&amp;"-01"), "dd-mm-yyyy")),0),0)</f>
        <v>73</v>
      </c>
      <c r="G1084" cm="1">
        <f t="array" ref="G1084">IF($Q1084&gt;=0,IFERROR(generateSalesData($D1084, IF(ISNUMBER(_xlfn.XLOOKUP($C1084,Phone_by_Sentiment!$B$2:$B$37,Phone_by_Sentiment!G$2:G$37,"",0,1)),_xlfn.XLOOKUP($C1084,Phone_by_Sentiment!$B$2:$B$37,Phone_by_Sentiment!G$2:G$37,"",0,1),0),$A1084-TEXT(DATEVALUE($D1084&amp;"-01"), "dd-mm-yyyy")),0),0)</f>
        <v>1048</v>
      </c>
      <c r="H1084" cm="1">
        <f t="array" ref="H1084">IF($Q1084&gt;=0,IFERROR(generateSalesData($D1084, IF(ISNUMBER(_xlfn.XLOOKUP($C1084,Phone_by_Sentiment!$B$2:$B$37,Phone_by_Sentiment!H$2:H$37,"",0,1)),_xlfn.XLOOKUP($C1084,Phone_by_Sentiment!$B$2:$B$37,Phone_by_Sentiment!H$2:H$37,"",0,1),0),$A1084-TEXT(DATEVALUE($D1084&amp;"-01"), "dd-mm-yyyy")),0),0)</f>
        <v>2621</v>
      </c>
      <c r="I1084" cm="1">
        <f t="array" ref="I1084">IF($Q1084&gt;=0,IFERROR(generateSalesData($D1084, IF(ISNUMBER(_xlfn.XLOOKUP($C1084,Phone_by_Sentiment!$B$2:$B$37,Phone_by_Sentiment!I$2:I$37,"",0,1)),_xlfn.XLOOKUP($C1084,Phone_by_Sentiment!$B$2:$B$37,Phone_by_Sentiment!I$2:I$37,"",0,1),0),$A1084-TEXT(DATEVALUE($D1084&amp;"-01"), "dd-mm-yyyy")),0),0)</f>
        <v>1571</v>
      </c>
      <c r="J1084" cm="1">
        <f t="array" ref="J1084">IF($Q1084&gt;=0,IFERROR(generateSalesData($D1084, IF(ISNUMBER(_xlfn.XLOOKUP($C1084,Phone_by_Sentiment!$B$2:$B$37,Phone_by_Sentiment!J$2:J$37,"",0,1)),_xlfn.XLOOKUP($C1084,Phone_by_Sentiment!$B$2:$B$37,Phone_by_Sentiment!J$2:J$37,"",0,1),0),$A1084-TEXT(DATEVALUE($D1084&amp;"-01"), "dd-mm-yyyy")),0),0)</f>
        <v>362</v>
      </c>
      <c r="K1084" cm="1">
        <f t="array" ref="K1084">IF($Q1084&gt;=0,IFERROR(generateSalesData($D1084, IF(ISNUMBER(_xlfn.XLOOKUP($C1084,Phone_by_Sentiment!$B$2:$B$37,Phone_by_Sentiment!K$2:K$37,"",0,1)),_xlfn.XLOOKUP($C1084,Phone_by_Sentiment!$B$2:$B$37,Phone_by_Sentiment!K$2:K$37,"",0,1),0),$A1084-TEXT(DATEVALUE($D1084&amp;"-01"), "dd-mm-yyyy")),0),0)</f>
        <v>3226</v>
      </c>
      <c r="L1084" cm="1">
        <f t="array" ref="L1084">IF($Q1084&gt;=0,IFERROR(generateSalesData($D1084, IF(ISNUMBER(_xlfn.XLOOKUP($C1084,Phone_by_Sentiment!$B$2:$B$37,Phone_by_Sentiment!L$2:L$37,"",0,1)),_xlfn.XLOOKUP($C1084,Phone_by_Sentiment!$B$2:$B$37,Phone_by_Sentiment!L$2:L$37,"",0,1),0),$A1084-TEXT(DATEVALUE($D1084&amp;"-01"), "dd-mm-yyyy")),0),0)</f>
        <v>3705</v>
      </c>
      <c r="M1084" cm="1">
        <f t="array" ref="M1084">IF($Q1084&gt;=0,IFERROR(generateSalesData($D1084, IF(ISNUMBER(_xlfn.XLOOKUP($C1084,Phone_by_Sentiment!$B$2:$B$37,Phone_by_Sentiment!M$2:M$37,"",0,1)),_xlfn.XLOOKUP($C1084,Phone_by_Sentiment!$B$2:$B$37,Phone_by_Sentiment!M$2:M$37,"",0,1),0),$A1084-TEXT(DATEVALUE($D1084&amp;"-01"), "dd-mm-yyyy")),0),0)</f>
        <v>573</v>
      </c>
      <c r="N1084" cm="1">
        <f t="array" ref="N1084">IF($Q1084&gt;=0,IFERROR(generateSalesData($D1084, IF(ISNUMBER(_xlfn.XLOOKUP($C1084,Phone_by_Sentiment!$B$2:$B$37,Phone_by_Sentiment!N$2:N$37,"",0,1)),_xlfn.XLOOKUP($C1084,Phone_by_Sentiment!$B$2:$B$37,Phone_by_Sentiment!N$2:N$37,"",0,1),0),$A1084-TEXT(DATEVALUE($D1084&amp;"-01"), "dd-mm-yyyy")),0),0)</f>
        <v>2445</v>
      </c>
      <c r="O1084" cm="1">
        <f t="array" ref="O1084">IF($Q1084&gt;=0,IFERROR(generateSalesData($D1084, IF(ISNUMBER(_xlfn.XLOOKUP($C1084,Phone_by_Sentiment!$B$2:$B$37,Phone_by_Sentiment!O$2:O$37,"",0,1)),_xlfn.XLOOKUP($C1084,Phone_by_Sentiment!$B$2:$B$37,Phone_by_Sentiment!O$2:O$37,"",0,1),0),$A1084-TEXT(DATEVALUE($D1084&amp;"-01"), "dd-mm-yyyy")),0),0)</f>
        <v>394</v>
      </c>
      <c r="P1084" s="1">
        <f t="shared" si="43"/>
        <v>44287</v>
      </c>
      <c r="Q1084">
        <f t="shared" si="44"/>
        <v>91</v>
      </c>
    </row>
    <row r="1085" spans="1:17" x14ac:dyDescent="0.25">
      <c r="A1085" s="1">
        <f t="shared" si="45"/>
        <v>44378</v>
      </c>
      <c r="B1085" t="s">
        <v>168</v>
      </c>
      <c r="C1085" t="str">
        <f>_xlfn.XLOOKUP(B1085,Phone_by_Price!$A$2:$A$34,Phone_by_Price!$B$2:$B$34,"-",0,1)</f>
        <v>Google Pixel 4</v>
      </c>
      <c r="D1085" t="str">
        <f>_xlfn.XLOOKUP(C1085,Phone_by_Sentiment!$B$2:$B$37,Phone_by_Sentiment!$A$2:$A$37,"-",0,1)</f>
        <v>2019-09</v>
      </c>
      <c r="E1085" cm="1">
        <f t="array" ref="E1085">IF($Q1085&gt;=0,IFERROR(generateSalesData($D1085, IF(ISNUMBER(_xlfn.XLOOKUP($C1085,Phone_by_Sentiment!$B$2:$B$37,Phone_by_Sentiment!E$2:E$37,"",0,1)),_xlfn.XLOOKUP($C1085,Phone_by_Sentiment!$B$2:$B$37,Phone_by_Sentiment!E$2:E$37,"",0,1),0),$A1085-TEXT(DATEVALUE($D1085&amp;"-01"), "dd-mm-yyyy")),0),0)</f>
        <v>103</v>
      </c>
      <c r="F1085" cm="1">
        <f t="array" ref="F1085">IF($Q1085&gt;=0,IFERROR(generateSalesData($D1085, IF(ISNUMBER(_xlfn.XLOOKUP($C1085,Phone_by_Sentiment!$B$2:$B$37,Phone_by_Sentiment!F$2:F$37,"",0,1)),_xlfn.XLOOKUP($C1085,Phone_by_Sentiment!$B$2:$B$37,Phone_by_Sentiment!F$2:F$37,"",0,1),0),$A1085-TEXT(DATEVALUE($D1085&amp;"-01"), "dd-mm-yyyy")),0),0)</f>
        <v>104</v>
      </c>
      <c r="G1085" cm="1">
        <f t="array" ref="G1085">IF($Q1085&gt;=0,IFERROR(generateSalesData($D1085, IF(ISNUMBER(_xlfn.XLOOKUP($C1085,Phone_by_Sentiment!$B$2:$B$37,Phone_by_Sentiment!G$2:G$37,"",0,1)),_xlfn.XLOOKUP($C1085,Phone_by_Sentiment!$B$2:$B$37,Phone_by_Sentiment!G$2:G$37,"",0,1),0),$A1085-TEXT(DATEVALUE($D1085&amp;"-01"), "dd-mm-yyyy")),0),0)</f>
        <v>108</v>
      </c>
      <c r="H1085" cm="1">
        <f t="array" ref="H1085">IF($Q1085&gt;=0,IFERROR(generateSalesData($D1085, IF(ISNUMBER(_xlfn.XLOOKUP($C1085,Phone_by_Sentiment!$B$2:$B$37,Phone_by_Sentiment!H$2:H$37,"",0,1)),_xlfn.XLOOKUP($C1085,Phone_by_Sentiment!$B$2:$B$37,Phone_by_Sentiment!H$2:H$37,"",0,1),0),$A1085-TEXT(DATEVALUE($D1085&amp;"-01"), "dd-mm-yyyy")),0),0)</f>
        <v>155</v>
      </c>
      <c r="I1085" cm="1">
        <f t="array" ref="I1085">IF($Q1085&gt;=0,IFERROR(generateSalesData($D1085, IF(ISNUMBER(_xlfn.XLOOKUP($C1085,Phone_by_Sentiment!$B$2:$B$37,Phone_by_Sentiment!I$2:I$37,"",0,1)),_xlfn.XLOOKUP($C1085,Phone_by_Sentiment!$B$2:$B$37,Phone_by_Sentiment!I$2:I$37,"",0,1),0),$A1085-TEXT(DATEVALUE($D1085&amp;"-01"), "dd-mm-yyyy")),0),0)</f>
        <v>72</v>
      </c>
      <c r="J1085" cm="1">
        <f t="array" ref="J1085">IF($Q1085&gt;=0,IFERROR(generateSalesData($D1085, IF(ISNUMBER(_xlfn.XLOOKUP($C1085,Phone_by_Sentiment!$B$2:$B$37,Phone_by_Sentiment!J$2:J$37,"",0,1)),_xlfn.XLOOKUP($C1085,Phone_by_Sentiment!$B$2:$B$37,Phone_by_Sentiment!J$2:J$37,"",0,1),0),$A1085-TEXT(DATEVALUE($D1085&amp;"-01"), "dd-mm-yyyy")),0),0)</f>
        <v>59</v>
      </c>
      <c r="K1085" cm="1">
        <f t="array" ref="K1085">IF($Q1085&gt;=0,IFERROR(generateSalesData($D1085, IF(ISNUMBER(_xlfn.XLOOKUP($C1085,Phone_by_Sentiment!$B$2:$B$37,Phone_by_Sentiment!K$2:K$37,"",0,1)),_xlfn.XLOOKUP($C1085,Phone_by_Sentiment!$B$2:$B$37,Phone_by_Sentiment!K$2:K$37,"",0,1),0),$A1085-TEXT(DATEVALUE($D1085&amp;"-01"), "dd-mm-yyyy")),0),0)</f>
        <v>97</v>
      </c>
      <c r="L1085" cm="1">
        <f t="array" ref="L1085">IF($Q1085&gt;=0,IFERROR(generateSalesData($D1085, IF(ISNUMBER(_xlfn.XLOOKUP($C1085,Phone_by_Sentiment!$B$2:$B$37,Phone_by_Sentiment!L$2:L$37,"",0,1)),_xlfn.XLOOKUP($C1085,Phone_by_Sentiment!$B$2:$B$37,Phone_by_Sentiment!L$2:L$37,"",0,1),0),$A1085-TEXT(DATEVALUE($D1085&amp;"-01"), "dd-mm-yyyy")),0),0)</f>
        <v>368</v>
      </c>
      <c r="M1085" cm="1">
        <f t="array" ref="M1085">IF($Q1085&gt;=0,IFERROR(generateSalesData($D1085, IF(ISNUMBER(_xlfn.XLOOKUP($C1085,Phone_by_Sentiment!$B$2:$B$37,Phone_by_Sentiment!M$2:M$37,"",0,1)),_xlfn.XLOOKUP($C1085,Phone_by_Sentiment!$B$2:$B$37,Phone_by_Sentiment!M$2:M$37,"",0,1),0),$A1085-TEXT(DATEVALUE($D1085&amp;"-01"), "dd-mm-yyyy")),0),0)</f>
        <v>87</v>
      </c>
      <c r="N1085" cm="1">
        <f t="array" ref="N1085">IF($Q1085&gt;=0,IFERROR(generateSalesData($D1085, IF(ISNUMBER(_xlfn.XLOOKUP($C1085,Phone_by_Sentiment!$B$2:$B$37,Phone_by_Sentiment!N$2:N$37,"",0,1)),_xlfn.XLOOKUP($C1085,Phone_by_Sentiment!$B$2:$B$37,Phone_by_Sentiment!N$2:N$37,"",0,1),0),$A1085-TEXT(DATEVALUE($D1085&amp;"-01"), "dd-mm-yyyy")),0),0)</f>
        <v>166</v>
      </c>
      <c r="O1085" cm="1">
        <f t="array" ref="O1085">IF($Q1085&gt;=0,IFERROR(generateSalesData($D1085, IF(ISNUMBER(_xlfn.XLOOKUP($C1085,Phone_by_Sentiment!$B$2:$B$37,Phone_by_Sentiment!O$2:O$37,"",0,1)),_xlfn.XLOOKUP($C1085,Phone_by_Sentiment!$B$2:$B$37,Phone_by_Sentiment!O$2:O$37,"",0,1),0),$A1085-TEXT(DATEVALUE($D1085&amp;"-01"), "dd-mm-yyyy")),0),0)</f>
        <v>78</v>
      </c>
      <c r="P1085" s="1">
        <f t="shared" si="43"/>
        <v>43709</v>
      </c>
      <c r="Q1085">
        <f t="shared" si="44"/>
        <v>669</v>
      </c>
    </row>
    <row r="1086" spans="1:17" x14ac:dyDescent="0.25">
      <c r="A1086" s="1">
        <f t="shared" si="45"/>
        <v>44409</v>
      </c>
      <c r="B1086" t="s">
        <v>169</v>
      </c>
      <c r="C1086" t="str">
        <f>_xlfn.XLOOKUP(B1086,Phone_by_Price!$A$2:$A$34,Phone_by_Price!$B$2:$B$34,"-",0,1)</f>
        <v>Samsung Galaxy A10s</v>
      </c>
      <c r="D1086" t="str">
        <f>_xlfn.XLOOKUP(C1086,Phone_by_Sentiment!$B$2:$B$37,Phone_by_Sentiment!$A$2:$A$37,"-",0,1)</f>
        <v>2019-08</v>
      </c>
      <c r="E1086" cm="1">
        <f t="array" ref="E1086">IF($Q1086&gt;=0,IFERROR(generateSalesData($D1086, IF(ISNUMBER(_xlfn.XLOOKUP($C1086,Phone_by_Sentiment!$B$2:$B$37,Phone_by_Sentiment!E$2:E$37,"",0,1)),_xlfn.XLOOKUP($C1086,Phone_by_Sentiment!$B$2:$B$37,Phone_by_Sentiment!E$2:E$37,"",0,1),0),$A1086-TEXT(DATEVALUE($D1086&amp;"-01"), "dd-mm-yyyy")),0),0)</f>
        <v>62</v>
      </c>
      <c r="F1086" cm="1">
        <f t="array" ref="F1086">IF($Q1086&gt;=0,IFERROR(generateSalesData($D1086, IF(ISNUMBER(_xlfn.XLOOKUP($C1086,Phone_by_Sentiment!$B$2:$B$37,Phone_by_Sentiment!F$2:F$37,"",0,1)),_xlfn.XLOOKUP($C1086,Phone_by_Sentiment!$B$2:$B$37,Phone_by_Sentiment!F$2:F$37,"",0,1),0),$A1086-TEXT(DATEVALUE($D1086&amp;"-01"), "dd-mm-yyyy")),0),0)</f>
        <v>212</v>
      </c>
      <c r="G1086" cm="1">
        <f t="array" ref="G1086">IF($Q1086&gt;=0,IFERROR(generateSalesData($D1086, IF(ISNUMBER(_xlfn.XLOOKUP($C1086,Phone_by_Sentiment!$B$2:$B$37,Phone_by_Sentiment!G$2:G$37,"",0,1)),_xlfn.XLOOKUP($C1086,Phone_by_Sentiment!$B$2:$B$37,Phone_by_Sentiment!G$2:G$37,"",0,1),0),$A1086-TEXT(DATEVALUE($D1086&amp;"-01"), "dd-mm-yyyy")),0),0)</f>
        <v>128</v>
      </c>
      <c r="H1086" cm="1">
        <f t="array" ref="H1086">IF($Q1086&gt;=0,IFERROR(generateSalesData($D1086, IF(ISNUMBER(_xlfn.XLOOKUP($C1086,Phone_by_Sentiment!$B$2:$B$37,Phone_by_Sentiment!H$2:H$37,"",0,1)),_xlfn.XLOOKUP($C1086,Phone_by_Sentiment!$B$2:$B$37,Phone_by_Sentiment!H$2:H$37,"",0,1),0),$A1086-TEXT(DATEVALUE($D1086&amp;"-01"), "dd-mm-yyyy")),0),0)</f>
        <v>387</v>
      </c>
      <c r="I1086" cm="1">
        <f t="array" ref="I1086">IF($Q1086&gt;=0,IFERROR(generateSalesData($D1086, IF(ISNUMBER(_xlfn.XLOOKUP($C1086,Phone_by_Sentiment!$B$2:$B$37,Phone_by_Sentiment!I$2:I$37,"",0,1)),_xlfn.XLOOKUP($C1086,Phone_by_Sentiment!$B$2:$B$37,Phone_by_Sentiment!I$2:I$37,"",0,1),0),$A1086-TEXT(DATEVALUE($D1086&amp;"-01"), "dd-mm-yyyy")),0),0)</f>
        <v>603</v>
      </c>
      <c r="J1086" cm="1">
        <f t="array" ref="J1086">IF($Q1086&gt;=0,IFERROR(generateSalesData($D1086, IF(ISNUMBER(_xlfn.XLOOKUP($C1086,Phone_by_Sentiment!$B$2:$B$37,Phone_by_Sentiment!J$2:J$37,"",0,1)),_xlfn.XLOOKUP($C1086,Phone_by_Sentiment!$B$2:$B$37,Phone_by_Sentiment!J$2:J$37,"",0,1),0),$A1086-TEXT(DATEVALUE($D1086&amp;"-01"), "dd-mm-yyyy")),0),0)</f>
        <v>253</v>
      </c>
      <c r="K1086" cm="1">
        <f t="array" ref="K1086">IF($Q1086&gt;=0,IFERROR(generateSalesData($D1086, IF(ISNUMBER(_xlfn.XLOOKUP($C1086,Phone_by_Sentiment!$B$2:$B$37,Phone_by_Sentiment!K$2:K$37,"",0,1)),_xlfn.XLOOKUP($C1086,Phone_by_Sentiment!$B$2:$B$37,Phone_by_Sentiment!K$2:K$37,"",0,1),0),$A1086-TEXT(DATEVALUE($D1086&amp;"-01"), "dd-mm-yyyy")),0),0)</f>
        <v>29</v>
      </c>
      <c r="L1086" cm="1">
        <f t="array" ref="L1086">IF($Q1086&gt;=0,IFERROR(generateSalesData($D1086, IF(ISNUMBER(_xlfn.XLOOKUP($C1086,Phone_by_Sentiment!$B$2:$B$37,Phone_by_Sentiment!L$2:L$37,"",0,1)),_xlfn.XLOOKUP($C1086,Phone_by_Sentiment!$B$2:$B$37,Phone_by_Sentiment!L$2:L$37,"",0,1),0),$A1086-TEXT(DATEVALUE($D1086&amp;"-01"), "dd-mm-yyyy")),0),0)</f>
        <v>123</v>
      </c>
      <c r="M1086" cm="1">
        <f t="array" ref="M1086">IF($Q1086&gt;=0,IFERROR(generateSalesData($D1086, IF(ISNUMBER(_xlfn.XLOOKUP($C1086,Phone_by_Sentiment!$B$2:$B$37,Phone_by_Sentiment!M$2:M$37,"",0,1)),_xlfn.XLOOKUP($C1086,Phone_by_Sentiment!$B$2:$B$37,Phone_by_Sentiment!M$2:M$37,"",0,1),0),$A1086-TEXT(DATEVALUE($D1086&amp;"-01"), "dd-mm-yyyy")),0),0)</f>
        <v>290</v>
      </c>
      <c r="N1086" cm="1">
        <f t="array" ref="N1086">IF($Q1086&gt;=0,IFERROR(generateSalesData($D1086, IF(ISNUMBER(_xlfn.XLOOKUP($C1086,Phone_by_Sentiment!$B$2:$B$37,Phone_by_Sentiment!N$2:N$37,"",0,1)),_xlfn.XLOOKUP($C1086,Phone_by_Sentiment!$B$2:$B$37,Phone_by_Sentiment!N$2:N$37,"",0,1),0),$A1086-TEXT(DATEVALUE($D1086&amp;"-01"), "dd-mm-yyyy")),0),0)</f>
        <v>69</v>
      </c>
      <c r="O1086" cm="1">
        <f t="array" ref="O1086">IF($Q1086&gt;=0,IFERROR(generateSalesData($D1086, IF(ISNUMBER(_xlfn.XLOOKUP($C1086,Phone_by_Sentiment!$B$2:$B$37,Phone_by_Sentiment!O$2:O$37,"",0,1)),_xlfn.XLOOKUP($C1086,Phone_by_Sentiment!$B$2:$B$37,Phone_by_Sentiment!O$2:O$37,"",0,1),0),$A1086-TEXT(DATEVALUE($D1086&amp;"-01"), "dd-mm-yyyy")),0),0)</f>
        <v>79</v>
      </c>
      <c r="P1086" s="1">
        <f t="shared" si="43"/>
        <v>43678</v>
      </c>
      <c r="Q1086">
        <f t="shared" si="44"/>
        <v>731</v>
      </c>
    </row>
    <row r="1087" spans="1:17" x14ac:dyDescent="0.25">
      <c r="A1087" s="1">
        <f t="shared" si="45"/>
        <v>44409</v>
      </c>
      <c r="B1087" t="s">
        <v>170</v>
      </c>
      <c r="C1087" t="str">
        <f>_xlfn.XLOOKUP(B1087,Phone_by_Price!$A$2:$A$34,Phone_by_Price!$B$2:$B$34,"-",0,1)</f>
        <v>Realme Narzo 30A</v>
      </c>
      <c r="D1087" t="str">
        <f>_xlfn.XLOOKUP(C1087,Phone_by_Sentiment!$B$2:$B$37,Phone_by_Sentiment!$A$2:$A$37,"-",0,1)</f>
        <v>2021-02</v>
      </c>
      <c r="E1087" cm="1">
        <f t="array" ref="E1087">IF($Q1087&gt;=0,IFERROR(generateSalesData($D1087, IF(ISNUMBER(_xlfn.XLOOKUP($C1087,Phone_by_Sentiment!$B$2:$B$37,Phone_by_Sentiment!E$2:E$37,"",0,1)),_xlfn.XLOOKUP($C1087,Phone_by_Sentiment!$B$2:$B$37,Phone_by_Sentiment!E$2:E$37,"",0,1),0),$A1087-TEXT(DATEVALUE($D1087&amp;"-01"), "dd-mm-yyyy")),0),0)</f>
        <v>293</v>
      </c>
      <c r="F1087" cm="1">
        <f t="array" ref="F1087">IF($Q1087&gt;=0,IFERROR(generateSalesData($D1087, IF(ISNUMBER(_xlfn.XLOOKUP($C1087,Phone_by_Sentiment!$B$2:$B$37,Phone_by_Sentiment!F$2:F$37,"",0,1)),_xlfn.XLOOKUP($C1087,Phone_by_Sentiment!$B$2:$B$37,Phone_by_Sentiment!F$2:F$37,"",0,1),0),$A1087-TEXT(DATEVALUE($D1087&amp;"-01"), "dd-mm-yyyy")),0),0)</f>
        <v>667</v>
      </c>
      <c r="G1087" cm="1">
        <f t="array" ref="G1087">IF($Q1087&gt;=0,IFERROR(generateSalesData($D1087, IF(ISNUMBER(_xlfn.XLOOKUP($C1087,Phone_by_Sentiment!$B$2:$B$37,Phone_by_Sentiment!G$2:G$37,"",0,1)),_xlfn.XLOOKUP($C1087,Phone_by_Sentiment!$B$2:$B$37,Phone_by_Sentiment!G$2:G$37,"",0,1),0),$A1087-TEXT(DATEVALUE($D1087&amp;"-01"), "dd-mm-yyyy")),0),0)</f>
        <v>143</v>
      </c>
      <c r="H1087" cm="1">
        <f t="array" ref="H1087">IF($Q1087&gt;=0,IFERROR(generateSalesData($D1087, IF(ISNUMBER(_xlfn.XLOOKUP($C1087,Phone_by_Sentiment!$B$2:$B$37,Phone_by_Sentiment!H$2:H$37,"",0,1)),_xlfn.XLOOKUP($C1087,Phone_by_Sentiment!$B$2:$B$37,Phone_by_Sentiment!H$2:H$37,"",0,1),0),$A1087-TEXT(DATEVALUE($D1087&amp;"-01"), "dd-mm-yyyy")),0),0)</f>
        <v>127</v>
      </c>
      <c r="I1087" cm="1">
        <f t="array" ref="I1087">IF($Q1087&gt;=0,IFERROR(generateSalesData($D1087, IF(ISNUMBER(_xlfn.XLOOKUP($C1087,Phone_by_Sentiment!$B$2:$B$37,Phone_by_Sentiment!I$2:I$37,"",0,1)),_xlfn.XLOOKUP($C1087,Phone_by_Sentiment!$B$2:$B$37,Phone_by_Sentiment!I$2:I$37,"",0,1),0),$A1087-TEXT(DATEVALUE($D1087&amp;"-01"), "dd-mm-yyyy")),0),0)</f>
        <v>502</v>
      </c>
      <c r="J1087" cm="1">
        <f t="array" ref="J1087">IF($Q1087&gt;=0,IFERROR(generateSalesData($D1087, IF(ISNUMBER(_xlfn.XLOOKUP($C1087,Phone_by_Sentiment!$B$2:$B$37,Phone_by_Sentiment!J$2:J$37,"",0,1)),_xlfn.XLOOKUP($C1087,Phone_by_Sentiment!$B$2:$B$37,Phone_by_Sentiment!J$2:J$37,"",0,1),0),$A1087-TEXT(DATEVALUE($D1087&amp;"-01"), "dd-mm-yyyy")),0),0)</f>
        <v>540</v>
      </c>
      <c r="K1087" cm="1">
        <f t="array" ref="K1087">IF($Q1087&gt;=0,IFERROR(generateSalesData($D1087, IF(ISNUMBER(_xlfn.XLOOKUP($C1087,Phone_by_Sentiment!$B$2:$B$37,Phone_by_Sentiment!K$2:K$37,"",0,1)),_xlfn.XLOOKUP($C1087,Phone_by_Sentiment!$B$2:$B$37,Phone_by_Sentiment!K$2:K$37,"",0,1),0),$A1087-TEXT(DATEVALUE($D1087&amp;"-01"), "dd-mm-yyyy")),0),0)</f>
        <v>1024</v>
      </c>
      <c r="L1087" cm="1">
        <f t="array" ref="L1087">IF($Q1087&gt;=0,IFERROR(generateSalesData($D1087, IF(ISNUMBER(_xlfn.XLOOKUP($C1087,Phone_by_Sentiment!$B$2:$B$37,Phone_by_Sentiment!L$2:L$37,"",0,1)),_xlfn.XLOOKUP($C1087,Phone_by_Sentiment!$B$2:$B$37,Phone_by_Sentiment!L$2:L$37,"",0,1),0),$A1087-TEXT(DATEVALUE($D1087&amp;"-01"), "dd-mm-yyyy")),0),0)</f>
        <v>1484</v>
      </c>
      <c r="M1087" cm="1">
        <f t="array" ref="M1087">IF($Q1087&gt;=0,IFERROR(generateSalesData($D1087, IF(ISNUMBER(_xlfn.XLOOKUP($C1087,Phone_by_Sentiment!$B$2:$B$37,Phone_by_Sentiment!M$2:M$37,"",0,1)),_xlfn.XLOOKUP($C1087,Phone_by_Sentiment!$B$2:$B$37,Phone_by_Sentiment!M$2:M$37,"",0,1),0),$A1087-TEXT(DATEVALUE($D1087&amp;"-01"), "dd-mm-yyyy")),0),0)</f>
        <v>479</v>
      </c>
      <c r="N1087" cm="1">
        <f t="array" ref="N1087">IF($Q1087&gt;=0,IFERROR(generateSalesData($D1087, IF(ISNUMBER(_xlfn.XLOOKUP($C1087,Phone_by_Sentiment!$B$2:$B$37,Phone_by_Sentiment!N$2:N$37,"",0,1)),_xlfn.XLOOKUP($C1087,Phone_by_Sentiment!$B$2:$B$37,Phone_by_Sentiment!N$2:N$37,"",0,1),0),$A1087-TEXT(DATEVALUE($D1087&amp;"-01"), "dd-mm-yyyy")),0),0)</f>
        <v>949</v>
      </c>
      <c r="O1087" cm="1">
        <f t="array" ref="O1087">IF($Q1087&gt;=0,IFERROR(generateSalesData($D1087, IF(ISNUMBER(_xlfn.XLOOKUP($C1087,Phone_by_Sentiment!$B$2:$B$37,Phone_by_Sentiment!O$2:O$37,"",0,1)),_xlfn.XLOOKUP($C1087,Phone_by_Sentiment!$B$2:$B$37,Phone_by_Sentiment!O$2:O$37,"",0,1),0),$A1087-TEXT(DATEVALUE($D1087&amp;"-01"), "dd-mm-yyyy")),0),0)</f>
        <v>326</v>
      </c>
      <c r="P1087" s="1">
        <f t="shared" si="43"/>
        <v>44228</v>
      </c>
      <c r="Q1087">
        <f t="shared" si="44"/>
        <v>181</v>
      </c>
    </row>
    <row r="1088" spans="1:17" x14ac:dyDescent="0.25">
      <c r="A1088" s="1">
        <f t="shared" si="45"/>
        <v>44409</v>
      </c>
      <c r="B1088" t="s">
        <v>171</v>
      </c>
      <c r="C1088" t="str">
        <f>_xlfn.XLOOKUP(B1088,Phone_by_Price!$A$2:$A$34,Phone_by_Price!$B$2:$B$34,"-",0,1)</f>
        <v>Samsung Galaxy A22 5G</v>
      </c>
      <c r="D1088" t="str">
        <f>_xlfn.XLOOKUP(C1088,Phone_by_Sentiment!$B$2:$B$37,Phone_by_Sentiment!$A$2:$A$37,"-",0,1)</f>
        <v>2021-05</v>
      </c>
      <c r="E1088" cm="1">
        <f t="array" ref="E1088">IF($Q1088&gt;=0,IFERROR(generateSalesData($D1088, IF(ISNUMBER(_xlfn.XLOOKUP($C1088,Phone_by_Sentiment!$B$2:$B$37,Phone_by_Sentiment!E$2:E$37,"",0,1)),_xlfn.XLOOKUP($C1088,Phone_by_Sentiment!$B$2:$B$37,Phone_by_Sentiment!E$2:E$37,"",0,1),0),$A1088-TEXT(DATEVALUE($D1088&amp;"-01"), "dd-mm-yyyy")),0),0)</f>
        <v>1834</v>
      </c>
      <c r="F1088" cm="1">
        <f t="array" ref="F1088">IF($Q1088&gt;=0,IFERROR(generateSalesData($D1088, IF(ISNUMBER(_xlfn.XLOOKUP($C1088,Phone_by_Sentiment!$B$2:$B$37,Phone_by_Sentiment!F$2:F$37,"",0,1)),_xlfn.XLOOKUP($C1088,Phone_by_Sentiment!$B$2:$B$37,Phone_by_Sentiment!F$2:F$37,"",0,1),0),$A1088-TEXT(DATEVALUE($D1088&amp;"-01"), "dd-mm-yyyy")),0),0)</f>
        <v>1803</v>
      </c>
      <c r="G1088" cm="1">
        <f t="array" ref="G1088">IF($Q1088&gt;=0,IFERROR(generateSalesData($D1088, IF(ISNUMBER(_xlfn.XLOOKUP($C1088,Phone_by_Sentiment!$B$2:$B$37,Phone_by_Sentiment!G$2:G$37,"",0,1)),_xlfn.XLOOKUP($C1088,Phone_by_Sentiment!$B$2:$B$37,Phone_by_Sentiment!G$2:G$37,"",0,1),0),$A1088-TEXT(DATEVALUE($D1088&amp;"-01"), "dd-mm-yyyy")),0),0)</f>
        <v>750</v>
      </c>
      <c r="H1088" cm="1">
        <f t="array" ref="H1088">IF($Q1088&gt;=0,IFERROR(generateSalesData($D1088, IF(ISNUMBER(_xlfn.XLOOKUP($C1088,Phone_by_Sentiment!$B$2:$B$37,Phone_by_Sentiment!H$2:H$37,"",0,1)),_xlfn.XLOOKUP($C1088,Phone_by_Sentiment!$B$2:$B$37,Phone_by_Sentiment!H$2:H$37,"",0,1),0),$A1088-TEXT(DATEVALUE($D1088&amp;"-01"), "dd-mm-yyyy")),0),0)</f>
        <v>2477</v>
      </c>
      <c r="I1088" cm="1">
        <f t="array" ref="I1088">IF($Q1088&gt;=0,IFERROR(generateSalesData($D1088, IF(ISNUMBER(_xlfn.XLOOKUP($C1088,Phone_by_Sentiment!$B$2:$B$37,Phone_by_Sentiment!I$2:I$37,"",0,1)),_xlfn.XLOOKUP($C1088,Phone_by_Sentiment!$B$2:$B$37,Phone_by_Sentiment!I$2:I$37,"",0,1),0),$A1088-TEXT(DATEVALUE($D1088&amp;"-01"), "dd-mm-yyyy")),0),0)</f>
        <v>2454</v>
      </c>
      <c r="J1088" cm="1">
        <f t="array" ref="J1088">IF($Q1088&gt;=0,IFERROR(generateSalesData($D1088, IF(ISNUMBER(_xlfn.XLOOKUP($C1088,Phone_by_Sentiment!$B$2:$B$37,Phone_by_Sentiment!J$2:J$37,"",0,1)),_xlfn.XLOOKUP($C1088,Phone_by_Sentiment!$B$2:$B$37,Phone_by_Sentiment!J$2:J$37,"",0,1),0),$A1088-TEXT(DATEVALUE($D1088&amp;"-01"), "dd-mm-yyyy")),0),0)</f>
        <v>227</v>
      </c>
      <c r="K1088" cm="1">
        <f t="array" ref="K1088">IF($Q1088&gt;=0,IFERROR(generateSalesData($D1088, IF(ISNUMBER(_xlfn.XLOOKUP($C1088,Phone_by_Sentiment!$B$2:$B$37,Phone_by_Sentiment!K$2:K$37,"",0,1)),_xlfn.XLOOKUP($C1088,Phone_by_Sentiment!$B$2:$B$37,Phone_by_Sentiment!K$2:K$37,"",0,1),0),$A1088-TEXT(DATEVALUE($D1088&amp;"-01"), "dd-mm-yyyy")),0),0)</f>
        <v>2841</v>
      </c>
      <c r="L1088" cm="1">
        <f t="array" ref="L1088">IF($Q1088&gt;=0,IFERROR(generateSalesData($D1088, IF(ISNUMBER(_xlfn.XLOOKUP($C1088,Phone_by_Sentiment!$B$2:$B$37,Phone_by_Sentiment!L$2:L$37,"",0,1)),_xlfn.XLOOKUP($C1088,Phone_by_Sentiment!$B$2:$B$37,Phone_by_Sentiment!L$2:L$37,"",0,1),0),$A1088-TEXT(DATEVALUE($D1088&amp;"-01"), "dd-mm-yyyy")),0),0)</f>
        <v>2408</v>
      </c>
      <c r="M1088" cm="1">
        <f t="array" ref="M1088">IF($Q1088&gt;=0,IFERROR(generateSalesData($D1088, IF(ISNUMBER(_xlfn.XLOOKUP($C1088,Phone_by_Sentiment!$B$2:$B$37,Phone_by_Sentiment!M$2:M$37,"",0,1)),_xlfn.XLOOKUP($C1088,Phone_by_Sentiment!$B$2:$B$37,Phone_by_Sentiment!M$2:M$37,"",0,1),0),$A1088-TEXT(DATEVALUE($D1088&amp;"-01"), "dd-mm-yyyy")),0),0)</f>
        <v>1456</v>
      </c>
      <c r="N1088" cm="1">
        <f t="array" ref="N1088">IF($Q1088&gt;=0,IFERROR(generateSalesData($D1088, IF(ISNUMBER(_xlfn.XLOOKUP($C1088,Phone_by_Sentiment!$B$2:$B$37,Phone_by_Sentiment!N$2:N$37,"",0,1)),_xlfn.XLOOKUP($C1088,Phone_by_Sentiment!$B$2:$B$37,Phone_by_Sentiment!N$2:N$37,"",0,1),0),$A1088-TEXT(DATEVALUE($D1088&amp;"-01"), "dd-mm-yyyy")),0),0)</f>
        <v>2839</v>
      </c>
      <c r="O1088" cm="1">
        <f t="array" ref="O1088">IF($Q1088&gt;=0,IFERROR(generateSalesData($D1088, IF(ISNUMBER(_xlfn.XLOOKUP($C1088,Phone_by_Sentiment!$B$2:$B$37,Phone_by_Sentiment!O$2:O$37,"",0,1)),_xlfn.XLOOKUP($C1088,Phone_by_Sentiment!$B$2:$B$37,Phone_by_Sentiment!O$2:O$37,"",0,1),0),$A1088-TEXT(DATEVALUE($D1088&amp;"-01"), "dd-mm-yyyy")),0),0)</f>
        <v>2910</v>
      </c>
      <c r="P1088" s="1">
        <f t="shared" si="43"/>
        <v>44317</v>
      </c>
      <c r="Q1088">
        <f t="shared" si="44"/>
        <v>92</v>
      </c>
    </row>
    <row r="1089" spans="1:17" x14ac:dyDescent="0.25">
      <c r="A1089" s="1">
        <f t="shared" si="45"/>
        <v>44409</v>
      </c>
      <c r="B1089" t="s">
        <v>172</v>
      </c>
      <c r="C1089" t="str">
        <f>_xlfn.XLOOKUP(B1089,Phone_by_Price!$A$2:$A$34,Phone_by_Price!$B$2:$B$34,"-",0,1)</f>
        <v>Xiaomi Redmi 9</v>
      </c>
      <c r="D1089" t="str">
        <f>_xlfn.XLOOKUP(C1089,Phone_by_Sentiment!$B$2:$B$37,Phone_by_Sentiment!$A$2:$A$37,"-",0,1)</f>
        <v>2020-08</v>
      </c>
      <c r="E1089" cm="1">
        <f t="array" ref="E1089">IF($Q1089&gt;=0,IFERROR(generateSalesData($D1089, IF(ISNUMBER(_xlfn.XLOOKUP($C1089,Phone_by_Sentiment!$B$2:$B$37,Phone_by_Sentiment!E$2:E$37,"",0,1)),_xlfn.XLOOKUP($C1089,Phone_by_Sentiment!$B$2:$B$37,Phone_by_Sentiment!E$2:E$37,"",0,1),0),$A1089-TEXT(DATEVALUE($D1089&amp;"-01"), "dd-mm-yyyy")),0),0)</f>
        <v>140</v>
      </c>
      <c r="F1089" cm="1">
        <f t="array" ref="F1089">IF($Q1089&gt;=0,IFERROR(generateSalesData($D1089, IF(ISNUMBER(_xlfn.XLOOKUP($C1089,Phone_by_Sentiment!$B$2:$B$37,Phone_by_Sentiment!F$2:F$37,"",0,1)),_xlfn.XLOOKUP($C1089,Phone_by_Sentiment!$B$2:$B$37,Phone_by_Sentiment!F$2:F$37,"",0,1),0),$A1089-TEXT(DATEVALUE($D1089&amp;"-01"), "dd-mm-yyyy")),0),0)</f>
        <v>199</v>
      </c>
      <c r="G1089" cm="1">
        <f t="array" ref="G1089">IF($Q1089&gt;=0,IFERROR(generateSalesData($D1089, IF(ISNUMBER(_xlfn.XLOOKUP($C1089,Phone_by_Sentiment!$B$2:$B$37,Phone_by_Sentiment!G$2:G$37,"",0,1)),_xlfn.XLOOKUP($C1089,Phone_by_Sentiment!$B$2:$B$37,Phone_by_Sentiment!G$2:G$37,"",0,1),0),$A1089-TEXT(DATEVALUE($D1089&amp;"-01"), "dd-mm-yyyy")),0),0)</f>
        <v>233</v>
      </c>
      <c r="H1089" cm="1">
        <f t="array" ref="H1089">IF($Q1089&gt;=0,IFERROR(generateSalesData($D1089, IF(ISNUMBER(_xlfn.XLOOKUP($C1089,Phone_by_Sentiment!$B$2:$B$37,Phone_by_Sentiment!H$2:H$37,"",0,1)),_xlfn.XLOOKUP($C1089,Phone_by_Sentiment!$B$2:$B$37,Phone_by_Sentiment!H$2:H$37,"",0,1),0),$A1089-TEXT(DATEVALUE($D1089&amp;"-01"), "dd-mm-yyyy")),0),0)</f>
        <v>583</v>
      </c>
      <c r="I1089" cm="1">
        <f t="array" ref="I1089">IF($Q1089&gt;=0,IFERROR(generateSalesData($D1089, IF(ISNUMBER(_xlfn.XLOOKUP($C1089,Phone_by_Sentiment!$B$2:$B$37,Phone_by_Sentiment!I$2:I$37,"",0,1)),_xlfn.XLOOKUP($C1089,Phone_by_Sentiment!$B$2:$B$37,Phone_by_Sentiment!I$2:I$37,"",0,1),0),$A1089-TEXT(DATEVALUE($D1089&amp;"-01"), "dd-mm-yyyy")),0),0)</f>
        <v>118</v>
      </c>
      <c r="J1089" cm="1">
        <f t="array" ref="J1089">IF($Q1089&gt;=0,IFERROR(generateSalesData($D1089, IF(ISNUMBER(_xlfn.XLOOKUP($C1089,Phone_by_Sentiment!$B$2:$B$37,Phone_by_Sentiment!J$2:J$37,"",0,1)),_xlfn.XLOOKUP($C1089,Phone_by_Sentiment!$B$2:$B$37,Phone_by_Sentiment!J$2:J$37,"",0,1),0),$A1089-TEXT(DATEVALUE($D1089&amp;"-01"), "dd-mm-yyyy")),0),0)</f>
        <v>96</v>
      </c>
      <c r="K1089" cm="1">
        <f t="array" ref="K1089">IF($Q1089&gt;=0,IFERROR(generateSalesData($D1089, IF(ISNUMBER(_xlfn.XLOOKUP($C1089,Phone_by_Sentiment!$B$2:$B$37,Phone_by_Sentiment!K$2:K$37,"",0,1)),_xlfn.XLOOKUP($C1089,Phone_by_Sentiment!$B$2:$B$37,Phone_by_Sentiment!K$2:K$37,"",0,1),0),$A1089-TEXT(DATEVALUE($D1089&amp;"-01"), "dd-mm-yyyy")),0),0)</f>
        <v>1315</v>
      </c>
      <c r="L1089" cm="1">
        <f t="array" ref="L1089">IF($Q1089&gt;=0,IFERROR(generateSalesData($D1089, IF(ISNUMBER(_xlfn.XLOOKUP($C1089,Phone_by_Sentiment!$B$2:$B$37,Phone_by_Sentiment!L$2:L$37,"",0,1)),_xlfn.XLOOKUP($C1089,Phone_by_Sentiment!$B$2:$B$37,Phone_by_Sentiment!L$2:L$37,"",0,1),0),$A1089-TEXT(DATEVALUE($D1089&amp;"-01"), "dd-mm-yyyy")),0),0)</f>
        <v>325</v>
      </c>
      <c r="M1089" cm="1">
        <f t="array" ref="M1089">IF($Q1089&gt;=0,IFERROR(generateSalesData($D1089, IF(ISNUMBER(_xlfn.XLOOKUP($C1089,Phone_by_Sentiment!$B$2:$B$37,Phone_by_Sentiment!M$2:M$37,"",0,1)),_xlfn.XLOOKUP($C1089,Phone_by_Sentiment!$B$2:$B$37,Phone_by_Sentiment!M$2:M$37,"",0,1),0),$A1089-TEXT(DATEVALUE($D1089&amp;"-01"), "dd-mm-yyyy")),0),0)</f>
        <v>438</v>
      </c>
      <c r="N1089" cm="1">
        <f t="array" ref="N1089">IF($Q1089&gt;=0,IFERROR(generateSalesData($D1089, IF(ISNUMBER(_xlfn.XLOOKUP($C1089,Phone_by_Sentiment!$B$2:$B$37,Phone_by_Sentiment!N$2:N$37,"",0,1)),_xlfn.XLOOKUP($C1089,Phone_by_Sentiment!$B$2:$B$37,Phone_by_Sentiment!N$2:N$37,"",0,1),0),$A1089-TEXT(DATEVALUE($D1089&amp;"-01"), "dd-mm-yyyy")),0),0)</f>
        <v>115</v>
      </c>
      <c r="O1089" cm="1">
        <f t="array" ref="O1089">IF($Q1089&gt;=0,IFERROR(generateSalesData($D1089, IF(ISNUMBER(_xlfn.XLOOKUP($C1089,Phone_by_Sentiment!$B$2:$B$37,Phone_by_Sentiment!O$2:O$37,"",0,1)),_xlfn.XLOOKUP($C1089,Phone_by_Sentiment!$B$2:$B$37,Phone_by_Sentiment!O$2:O$37,"",0,1),0),$A1089-TEXT(DATEVALUE($D1089&amp;"-01"), "dd-mm-yyyy")),0),0)</f>
        <v>692</v>
      </c>
      <c r="P1089" s="1">
        <f t="shared" si="43"/>
        <v>44044</v>
      </c>
      <c r="Q1089">
        <f t="shared" si="44"/>
        <v>365</v>
      </c>
    </row>
    <row r="1090" spans="1:17" x14ac:dyDescent="0.25">
      <c r="A1090" s="1">
        <f t="shared" si="45"/>
        <v>44409</v>
      </c>
      <c r="B1090" t="s">
        <v>173</v>
      </c>
      <c r="C1090" t="str">
        <f>_xlfn.XLOOKUP(B1090,Phone_by_Price!$A$2:$A$34,Phone_by_Price!$B$2:$B$34,"-",0,1)</f>
        <v>Realme C3</v>
      </c>
      <c r="D1090" t="str">
        <f>_xlfn.XLOOKUP(C1090,Phone_by_Sentiment!$B$2:$B$37,Phone_by_Sentiment!$A$2:$A$37,"-",0,1)</f>
        <v>2020-02</v>
      </c>
      <c r="E1090" cm="1">
        <f t="array" ref="E1090">IF($Q1090&gt;=0,IFERROR(generateSalesData($D1090, IF(ISNUMBER(_xlfn.XLOOKUP($C1090,Phone_by_Sentiment!$B$2:$B$37,Phone_by_Sentiment!E$2:E$37,"",0,1)),_xlfn.XLOOKUP($C1090,Phone_by_Sentiment!$B$2:$B$37,Phone_by_Sentiment!E$2:E$37,"",0,1),0),$A1090-TEXT(DATEVALUE($D1090&amp;"-01"), "dd-mm-yyyy")),0),0)</f>
        <v>37</v>
      </c>
      <c r="F1090" cm="1">
        <f t="array" ref="F1090">IF($Q1090&gt;=0,IFERROR(generateSalesData($D1090, IF(ISNUMBER(_xlfn.XLOOKUP($C1090,Phone_by_Sentiment!$B$2:$B$37,Phone_by_Sentiment!F$2:F$37,"",0,1)),_xlfn.XLOOKUP($C1090,Phone_by_Sentiment!$B$2:$B$37,Phone_by_Sentiment!F$2:F$37,"",0,1),0),$A1090-TEXT(DATEVALUE($D1090&amp;"-01"), "dd-mm-yyyy")),0),0)</f>
        <v>116</v>
      </c>
      <c r="G1090" cm="1">
        <f t="array" ref="G1090">IF($Q1090&gt;=0,IFERROR(generateSalesData($D1090, IF(ISNUMBER(_xlfn.XLOOKUP($C1090,Phone_by_Sentiment!$B$2:$B$37,Phone_by_Sentiment!G$2:G$37,"",0,1)),_xlfn.XLOOKUP($C1090,Phone_by_Sentiment!$B$2:$B$37,Phone_by_Sentiment!G$2:G$37,"",0,1),0),$A1090-TEXT(DATEVALUE($D1090&amp;"-01"), "dd-mm-yyyy")),0),0)</f>
        <v>187</v>
      </c>
      <c r="H1090" cm="1">
        <f t="array" ref="H1090">IF($Q1090&gt;=0,IFERROR(generateSalesData($D1090, IF(ISNUMBER(_xlfn.XLOOKUP($C1090,Phone_by_Sentiment!$B$2:$B$37,Phone_by_Sentiment!H$2:H$37,"",0,1)),_xlfn.XLOOKUP($C1090,Phone_by_Sentiment!$B$2:$B$37,Phone_by_Sentiment!H$2:H$37,"",0,1),0),$A1090-TEXT(DATEVALUE($D1090&amp;"-01"), "dd-mm-yyyy")),0),0)</f>
        <v>-64</v>
      </c>
      <c r="I1090" cm="1">
        <f t="array" ref="I1090">IF($Q1090&gt;=0,IFERROR(generateSalesData($D1090, IF(ISNUMBER(_xlfn.XLOOKUP($C1090,Phone_by_Sentiment!$B$2:$B$37,Phone_by_Sentiment!I$2:I$37,"",0,1)),_xlfn.XLOOKUP($C1090,Phone_by_Sentiment!$B$2:$B$37,Phone_by_Sentiment!I$2:I$37,"",0,1),0),$A1090-TEXT(DATEVALUE($D1090&amp;"-01"), "dd-mm-yyyy")),0),0)</f>
        <v>568</v>
      </c>
      <c r="J1090" cm="1">
        <f t="array" ref="J1090">IF($Q1090&gt;=0,IFERROR(generateSalesData($D1090, IF(ISNUMBER(_xlfn.XLOOKUP($C1090,Phone_by_Sentiment!$B$2:$B$37,Phone_by_Sentiment!J$2:J$37,"",0,1)),_xlfn.XLOOKUP($C1090,Phone_by_Sentiment!$B$2:$B$37,Phone_by_Sentiment!J$2:J$37,"",0,1),0),$A1090-TEXT(DATEVALUE($D1090&amp;"-01"), "dd-mm-yyyy")),0),0)</f>
        <v>115</v>
      </c>
      <c r="K1090" cm="1">
        <f t="array" ref="K1090">IF($Q1090&gt;=0,IFERROR(generateSalesData($D1090, IF(ISNUMBER(_xlfn.XLOOKUP($C1090,Phone_by_Sentiment!$B$2:$B$37,Phone_by_Sentiment!K$2:K$37,"",0,1)),_xlfn.XLOOKUP($C1090,Phone_by_Sentiment!$B$2:$B$37,Phone_by_Sentiment!K$2:K$37,"",0,1),0),$A1090-TEXT(DATEVALUE($D1090&amp;"-01"), "dd-mm-yyyy")),0),0)</f>
        <v>225</v>
      </c>
      <c r="L1090" cm="1">
        <f t="array" ref="L1090">IF($Q1090&gt;=0,IFERROR(generateSalesData($D1090, IF(ISNUMBER(_xlfn.XLOOKUP($C1090,Phone_by_Sentiment!$B$2:$B$37,Phone_by_Sentiment!L$2:L$37,"",0,1)),_xlfn.XLOOKUP($C1090,Phone_by_Sentiment!$B$2:$B$37,Phone_by_Sentiment!L$2:L$37,"",0,1),0),$A1090-TEXT(DATEVALUE($D1090&amp;"-01"), "dd-mm-yyyy")),0),0)</f>
        <v>562</v>
      </c>
      <c r="M1090" cm="1">
        <f t="array" ref="M1090">IF($Q1090&gt;=0,IFERROR(generateSalesData($D1090, IF(ISNUMBER(_xlfn.XLOOKUP($C1090,Phone_by_Sentiment!$B$2:$B$37,Phone_by_Sentiment!M$2:M$37,"",0,1)),_xlfn.XLOOKUP($C1090,Phone_by_Sentiment!$B$2:$B$37,Phone_by_Sentiment!M$2:M$37,"",0,1),0),$A1090-TEXT(DATEVALUE($D1090&amp;"-01"), "dd-mm-yyyy")),0),0)</f>
        <v>171</v>
      </c>
      <c r="N1090" cm="1">
        <f t="array" ref="N1090">IF($Q1090&gt;=0,IFERROR(generateSalesData($D1090, IF(ISNUMBER(_xlfn.XLOOKUP($C1090,Phone_by_Sentiment!$B$2:$B$37,Phone_by_Sentiment!N$2:N$37,"",0,1)),_xlfn.XLOOKUP($C1090,Phone_by_Sentiment!$B$2:$B$37,Phone_by_Sentiment!N$2:N$37,"",0,1),0),$A1090-TEXT(DATEVALUE($D1090&amp;"-01"), "dd-mm-yyyy")),0),0)</f>
        <v>130</v>
      </c>
      <c r="O1090" cm="1">
        <f t="array" ref="O1090">IF($Q1090&gt;=0,IFERROR(generateSalesData($D1090, IF(ISNUMBER(_xlfn.XLOOKUP($C1090,Phone_by_Sentiment!$B$2:$B$37,Phone_by_Sentiment!O$2:O$37,"",0,1)),_xlfn.XLOOKUP($C1090,Phone_by_Sentiment!$B$2:$B$37,Phone_by_Sentiment!O$2:O$37,"",0,1),0),$A1090-TEXT(DATEVALUE($D1090&amp;"-01"), "dd-mm-yyyy")),0),0)</f>
        <v>112</v>
      </c>
      <c r="P1090" s="1">
        <f t="shared" si="43"/>
        <v>43862</v>
      </c>
      <c r="Q1090">
        <f t="shared" si="44"/>
        <v>547</v>
      </c>
    </row>
    <row r="1091" spans="1:17" x14ac:dyDescent="0.25">
      <c r="A1091" s="1">
        <f t="shared" si="45"/>
        <v>44409</v>
      </c>
      <c r="B1091" t="s">
        <v>174</v>
      </c>
      <c r="C1091" t="str">
        <f>_xlfn.XLOOKUP(B1091,Phone_by_Price!$A$2:$A$34,Phone_by_Price!$B$2:$B$34,"-",0,1)</f>
        <v>Samsung Galaxy A7</v>
      </c>
      <c r="D1091" t="str">
        <f>_xlfn.XLOOKUP(C1091,Phone_by_Sentiment!$B$2:$B$37,Phone_by_Sentiment!$A$2:$A$37,"-",0,1)</f>
        <v>2018-10</v>
      </c>
      <c r="E1091" cm="1">
        <f t="array" ref="E1091">IF($Q1091&gt;=0,IFERROR(generateSalesData($D1091, IF(ISNUMBER(_xlfn.XLOOKUP($C1091,Phone_by_Sentiment!$B$2:$B$37,Phone_by_Sentiment!E$2:E$37,"",0,1)),_xlfn.XLOOKUP($C1091,Phone_by_Sentiment!$B$2:$B$37,Phone_by_Sentiment!E$2:E$37,"",0,1),0),$A1091-TEXT(DATEVALUE($D1091&amp;"-01"), "dd-mm-yyyy")),0),0)</f>
        <v>54</v>
      </c>
      <c r="F1091" cm="1">
        <f t="array" ref="F1091">IF($Q1091&gt;=0,IFERROR(generateSalesData($D1091, IF(ISNUMBER(_xlfn.XLOOKUP($C1091,Phone_by_Sentiment!$B$2:$B$37,Phone_by_Sentiment!F$2:F$37,"",0,1)),_xlfn.XLOOKUP($C1091,Phone_by_Sentiment!$B$2:$B$37,Phone_by_Sentiment!F$2:F$37,"",0,1),0),$A1091-TEXT(DATEVALUE($D1091&amp;"-01"), "dd-mm-yyyy")),0),0)</f>
        <v>44</v>
      </c>
      <c r="G1091" cm="1">
        <f t="array" ref="G1091">IF($Q1091&gt;=0,IFERROR(generateSalesData($D1091, IF(ISNUMBER(_xlfn.XLOOKUP($C1091,Phone_by_Sentiment!$B$2:$B$37,Phone_by_Sentiment!G$2:G$37,"",0,1)),_xlfn.XLOOKUP($C1091,Phone_by_Sentiment!$B$2:$B$37,Phone_by_Sentiment!G$2:G$37,"",0,1),0),$A1091-TEXT(DATEVALUE($D1091&amp;"-01"), "dd-mm-yyyy")),0),0)</f>
        <v>58</v>
      </c>
      <c r="H1091" cm="1">
        <f t="array" ref="H1091">IF($Q1091&gt;=0,IFERROR(generateSalesData($D1091, IF(ISNUMBER(_xlfn.XLOOKUP($C1091,Phone_by_Sentiment!$B$2:$B$37,Phone_by_Sentiment!H$2:H$37,"",0,1)),_xlfn.XLOOKUP($C1091,Phone_by_Sentiment!$B$2:$B$37,Phone_by_Sentiment!H$2:H$37,"",0,1),0),$A1091-TEXT(DATEVALUE($D1091&amp;"-01"), "dd-mm-yyyy")),0),0)</f>
        <v>79</v>
      </c>
      <c r="I1091" cm="1">
        <f t="array" ref="I1091">IF($Q1091&gt;=0,IFERROR(generateSalesData($D1091, IF(ISNUMBER(_xlfn.XLOOKUP($C1091,Phone_by_Sentiment!$B$2:$B$37,Phone_by_Sentiment!I$2:I$37,"",0,1)),_xlfn.XLOOKUP($C1091,Phone_by_Sentiment!$B$2:$B$37,Phone_by_Sentiment!I$2:I$37,"",0,1),0),$A1091-TEXT(DATEVALUE($D1091&amp;"-01"), "dd-mm-yyyy")),0),0)</f>
        <v>347</v>
      </c>
      <c r="J1091" cm="1">
        <f t="array" ref="J1091">IF($Q1091&gt;=0,IFERROR(generateSalesData($D1091, IF(ISNUMBER(_xlfn.XLOOKUP($C1091,Phone_by_Sentiment!$B$2:$B$37,Phone_by_Sentiment!J$2:J$37,"",0,1)),_xlfn.XLOOKUP($C1091,Phone_by_Sentiment!$B$2:$B$37,Phone_by_Sentiment!J$2:J$37,"",0,1),0),$A1091-TEXT(DATEVALUE($D1091&amp;"-01"), "dd-mm-yyyy")),0),0)</f>
        <v>17</v>
      </c>
      <c r="K1091" cm="1">
        <f t="array" ref="K1091">IF($Q1091&gt;=0,IFERROR(generateSalesData($D1091, IF(ISNUMBER(_xlfn.XLOOKUP($C1091,Phone_by_Sentiment!$B$2:$B$37,Phone_by_Sentiment!K$2:K$37,"",0,1)),_xlfn.XLOOKUP($C1091,Phone_by_Sentiment!$B$2:$B$37,Phone_by_Sentiment!K$2:K$37,"",0,1),0),$A1091-TEXT(DATEVALUE($D1091&amp;"-01"), "dd-mm-yyyy")),0),0)</f>
        <v>71</v>
      </c>
      <c r="L1091" cm="1">
        <f t="array" ref="L1091">IF($Q1091&gt;=0,IFERROR(generateSalesData($D1091, IF(ISNUMBER(_xlfn.XLOOKUP($C1091,Phone_by_Sentiment!$B$2:$B$37,Phone_by_Sentiment!L$2:L$37,"",0,1)),_xlfn.XLOOKUP($C1091,Phone_by_Sentiment!$B$2:$B$37,Phone_by_Sentiment!L$2:L$37,"",0,1),0),$A1091-TEXT(DATEVALUE($D1091&amp;"-01"), "dd-mm-yyyy")),0),0)</f>
        <v>96</v>
      </c>
      <c r="M1091" cm="1">
        <f t="array" ref="M1091">IF($Q1091&gt;=0,IFERROR(generateSalesData($D1091, IF(ISNUMBER(_xlfn.XLOOKUP($C1091,Phone_by_Sentiment!$B$2:$B$37,Phone_by_Sentiment!M$2:M$37,"",0,1)),_xlfn.XLOOKUP($C1091,Phone_by_Sentiment!$B$2:$B$37,Phone_by_Sentiment!M$2:M$37,"",0,1),0),$A1091-TEXT(DATEVALUE($D1091&amp;"-01"), "dd-mm-yyyy")),0),0)</f>
        <v>353</v>
      </c>
      <c r="N1091" cm="1">
        <f t="array" ref="N1091">IF($Q1091&gt;=0,IFERROR(generateSalesData($D1091, IF(ISNUMBER(_xlfn.XLOOKUP($C1091,Phone_by_Sentiment!$B$2:$B$37,Phone_by_Sentiment!N$2:N$37,"",0,1)),_xlfn.XLOOKUP($C1091,Phone_by_Sentiment!$B$2:$B$37,Phone_by_Sentiment!N$2:N$37,"",0,1),0),$A1091-TEXT(DATEVALUE($D1091&amp;"-01"), "dd-mm-yyyy")),0),0)</f>
        <v>363</v>
      </c>
      <c r="O1091" cm="1">
        <f t="array" ref="O1091">IF($Q1091&gt;=0,IFERROR(generateSalesData($D1091, IF(ISNUMBER(_xlfn.XLOOKUP($C1091,Phone_by_Sentiment!$B$2:$B$37,Phone_by_Sentiment!O$2:O$37,"",0,1)),_xlfn.XLOOKUP($C1091,Phone_by_Sentiment!$B$2:$B$37,Phone_by_Sentiment!O$2:O$37,"",0,1),0),$A1091-TEXT(DATEVALUE($D1091&amp;"-01"), "dd-mm-yyyy")),0),0)</f>
        <v>256</v>
      </c>
      <c r="P1091" s="1">
        <f t="shared" si="43"/>
        <v>43374</v>
      </c>
      <c r="Q1091">
        <f t="shared" si="44"/>
        <v>1035</v>
      </c>
    </row>
    <row r="1092" spans="1:17" x14ac:dyDescent="0.25">
      <c r="A1092" s="1">
        <f>DATE(YEAR($A$1), MONTH($A$1) + INT((ROW()-1)/35), DAY($A$1))</f>
        <v>44409</v>
      </c>
      <c r="B1092" t="s">
        <v>142</v>
      </c>
      <c r="C1092" t="str">
        <f>_xlfn.XLOOKUP(B1092,Phone_by_Price!$A$2:$A$34,Phone_by_Price!$B$2:$B$34,"-",0,1)</f>
        <v>iPhone 11</v>
      </c>
      <c r="D1092" t="str">
        <f>_xlfn.XLOOKUP(C1092,Phone_by_Sentiment!$B$2:$B$37,Phone_by_Sentiment!$A$2:$A$37,"-",0,1)</f>
        <v>2019-09</v>
      </c>
      <c r="E1092" cm="1">
        <f t="array" ref="E1092">IF($Q1092&gt;=0,IFERROR(generateSalesData($D1092, IF(ISNUMBER(_xlfn.XLOOKUP($C1092,Phone_by_Sentiment!$B$2:$B$37,Phone_by_Sentiment!E$2:E$37,"",0,1)),_xlfn.XLOOKUP($C1092,Phone_by_Sentiment!$B$2:$B$37,Phone_by_Sentiment!E$2:E$37,"",0,1),0),$A1092-TEXT(DATEVALUE($D1092&amp;"-01"), "dd-mm-yyyy")),0),0)</f>
        <v>207</v>
      </c>
      <c r="F1092" cm="1">
        <f t="array" ref="F1092">IF($Q1092&gt;=0,IFERROR(generateSalesData($D1092, IF(ISNUMBER(_xlfn.XLOOKUP($C1092,Phone_by_Sentiment!$B$2:$B$37,Phone_by_Sentiment!F$2:F$37,"",0,1)),_xlfn.XLOOKUP($C1092,Phone_by_Sentiment!$B$2:$B$37,Phone_by_Sentiment!F$2:F$37,"",0,1),0),$A1092-TEXT(DATEVALUE($D1092&amp;"-01"), "dd-mm-yyyy")),0),0)</f>
        <v>395</v>
      </c>
      <c r="G1092" cm="1">
        <f t="array" ref="G1092">IF($Q1092&gt;=0,IFERROR(generateSalesData($D1092, IF(ISNUMBER(_xlfn.XLOOKUP($C1092,Phone_by_Sentiment!$B$2:$B$37,Phone_by_Sentiment!G$2:G$37,"",0,1)),_xlfn.XLOOKUP($C1092,Phone_by_Sentiment!$B$2:$B$37,Phone_by_Sentiment!G$2:G$37,"",0,1),0),$A1092-TEXT(DATEVALUE($D1092&amp;"-01"), "dd-mm-yyyy")),0),0)</f>
        <v>103</v>
      </c>
      <c r="H1092" cm="1">
        <f t="array" ref="H1092">IF($Q1092&gt;=0,IFERROR(generateSalesData($D1092, IF(ISNUMBER(_xlfn.XLOOKUP($C1092,Phone_by_Sentiment!$B$2:$B$37,Phone_by_Sentiment!H$2:H$37,"",0,1)),_xlfn.XLOOKUP($C1092,Phone_by_Sentiment!$B$2:$B$37,Phone_by_Sentiment!H$2:H$37,"",0,1),0),$A1092-TEXT(DATEVALUE($D1092&amp;"-01"), "dd-mm-yyyy")),0),0)</f>
        <v>503</v>
      </c>
      <c r="I1092" cm="1">
        <f t="array" ref="I1092">IF($Q1092&gt;=0,IFERROR(generateSalesData($D1092, IF(ISNUMBER(_xlfn.XLOOKUP($C1092,Phone_by_Sentiment!$B$2:$B$37,Phone_by_Sentiment!I$2:I$37,"",0,1)),_xlfn.XLOOKUP($C1092,Phone_by_Sentiment!$B$2:$B$37,Phone_by_Sentiment!I$2:I$37,"",0,1),0),$A1092-TEXT(DATEVALUE($D1092&amp;"-01"), "dd-mm-yyyy")),0),0)</f>
        <v>319</v>
      </c>
      <c r="J1092" cm="1">
        <f t="array" ref="J1092">IF($Q1092&gt;=0,IFERROR(generateSalesData($D1092, IF(ISNUMBER(_xlfn.XLOOKUP($C1092,Phone_by_Sentiment!$B$2:$B$37,Phone_by_Sentiment!J$2:J$37,"",0,1)),_xlfn.XLOOKUP($C1092,Phone_by_Sentiment!$B$2:$B$37,Phone_by_Sentiment!J$2:J$37,"",0,1),0),$A1092-TEXT(DATEVALUE($D1092&amp;"-01"), "dd-mm-yyyy")),0),0)</f>
        <v>536</v>
      </c>
      <c r="K1092" cm="1">
        <f t="array" ref="K1092">IF($Q1092&gt;=0,IFERROR(generateSalesData($D1092, IF(ISNUMBER(_xlfn.XLOOKUP($C1092,Phone_by_Sentiment!$B$2:$B$37,Phone_by_Sentiment!K$2:K$37,"",0,1)),_xlfn.XLOOKUP($C1092,Phone_by_Sentiment!$B$2:$B$37,Phone_by_Sentiment!K$2:K$37,"",0,1),0),$A1092-TEXT(DATEVALUE($D1092&amp;"-01"), "dd-mm-yyyy")),0),0)</f>
        <v>128</v>
      </c>
      <c r="L1092" cm="1">
        <f t="array" ref="L1092">IF($Q1092&gt;=0,IFERROR(generateSalesData($D1092, IF(ISNUMBER(_xlfn.XLOOKUP($C1092,Phone_by_Sentiment!$B$2:$B$37,Phone_by_Sentiment!L$2:L$37,"",0,1)),_xlfn.XLOOKUP($C1092,Phone_by_Sentiment!$B$2:$B$37,Phone_by_Sentiment!L$2:L$37,"",0,1),0),$A1092-TEXT(DATEVALUE($D1092&amp;"-01"), "dd-mm-yyyy")),0),0)</f>
        <v>83</v>
      </c>
      <c r="M1092" cm="1">
        <f t="array" ref="M1092">IF($Q1092&gt;=0,IFERROR(generateSalesData($D1092, IF(ISNUMBER(_xlfn.XLOOKUP($C1092,Phone_by_Sentiment!$B$2:$B$37,Phone_by_Sentiment!M$2:M$37,"",0,1)),_xlfn.XLOOKUP($C1092,Phone_by_Sentiment!$B$2:$B$37,Phone_by_Sentiment!M$2:M$37,"",0,1),0),$A1092-TEXT(DATEVALUE($D1092&amp;"-01"), "dd-mm-yyyy")),0),0)</f>
        <v>356</v>
      </c>
      <c r="N1092" cm="1">
        <f t="array" ref="N1092">IF($Q1092&gt;=0,IFERROR(generateSalesData($D1092, IF(ISNUMBER(_xlfn.XLOOKUP($C1092,Phone_by_Sentiment!$B$2:$B$37,Phone_by_Sentiment!N$2:N$37,"",0,1)),_xlfn.XLOOKUP($C1092,Phone_by_Sentiment!$B$2:$B$37,Phone_by_Sentiment!N$2:N$37,"",0,1),0),$A1092-TEXT(DATEVALUE($D1092&amp;"-01"), "dd-mm-yyyy")),0),0)</f>
        <v>511</v>
      </c>
      <c r="O1092" cm="1">
        <f t="array" ref="O1092">IF($Q1092&gt;=0,IFERROR(generateSalesData($D1092, IF(ISNUMBER(_xlfn.XLOOKUP($C1092,Phone_by_Sentiment!$B$2:$B$37,Phone_by_Sentiment!O$2:O$37,"",0,1)),_xlfn.XLOOKUP($C1092,Phone_by_Sentiment!$B$2:$B$37,Phone_by_Sentiment!O$2:O$37,"",0,1),0),$A1092-TEXT(DATEVALUE($D1092&amp;"-01"), "dd-mm-yyyy")),0),0)</f>
        <v>462</v>
      </c>
      <c r="P1092" s="1">
        <f t="shared" ref="P1092:P1155" si="46">DATEVALUE($D1092&amp;"-01")</f>
        <v>43709</v>
      </c>
      <c r="Q1092">
        <f t="shared" ref="Q1092:Q1155" si="47">A1092-P1092</f>
        <v>700</v>
      </c>
    </row>
    <row r="1093" spans="1:17" x14ac:dyDescent="0.25">
      <c r="A1093" s="1">
        <f t="shared" ref="A1093:A1353" si="48">DATE(YEAR($A$1), MONTH($A$1) + INT((ROW()-1)/35), DAY($A$1))</f>
        <v>44409</v>
      </c>
      <c r="B1093" t="s">
        <v>143</v>
      </c>
      <c r="C1093" t="str">
        <f>_xlfn.XLOOKUP(B1093,Phone_by_Price!$A$2:$A$34,Phone_by_Price!$B$2:$B$34,"-",0,1)</f>
        <v>Samsung Galaxy S20 Ultra</v>
      </c>
      <c r="D1093" t="str">
        <f>_xlfn.XLOOKUP(C1093,Phone_by_Sentiment!$B$2:$B$37,Phone_by_Sentiment!$A$2:$A$37,"-",0,1)</f>
        <v>2020-02</v>
      </c>
      <c r="E1093" cm="1">
        <f t="array" ref="E1093">IF($Q1093&gt;=0,IFERROR(generateSalesData($D1093, IF(ISNUMBER(_xlfn.XLOOKUP($C1093,Phone_by_Sentiment!$B$2:$B$37,Phone_by_Sentiment!E$2:E$37,"",0,1)),_xlfn.XLOOKUP($C1093,Phone_by_Sentiment!$B$2:$B$37,Phone_by_Sentiment!E$2:E$37,"",0,1),0),$A1093-TEXT(DATEVALUE($D1093&amp;"-01"), "dd-mm-yyyy")),0),0)</f>
        <v>471</v>
      </c>
      <c r="F1093" cm="1">
        <f t="array" ref="F1093">IF($Q1093&gt;=0,IFERROR(generateSalesData($D1093, IF(ISNUMBER(_xlfn.XLOOKUP($C1093,Phone_by_Sentiment!$B$2:$B$37,Phone_by_Sentiment!F$2:F$37,"",0,1)),_xlfn.XLOOKUP($C1093,Phone_by_Sentiment!$B$2:$B$37,Phone_by_Sentiment!F$2:F$37,"",0,1),0),$A1093-TEXT(DATEVALUE($D1093&amp;"-01"), "dd-mm-yyyy")),0),0)</f>
        <v>462</v>
      </c>
      <c r="G1093" cm="1">
        <f t="array" ref="G1093">IF($Q1093&gt;=0,IFERROR(generateSalesData($D1093, IF(ISNUMBER(_xlfn.XLOOKUP($C1093,Phone_by_Sentiment!$B$2:$B$37,Phone_by_Sentiment!G$2:G$37,"",0,1)),_xlfn.XLOOKUP($C1093,Phone_by_Sentiment!$B$2:$B$37,Phone_by_Sentiment!G$2:G$37,"",0,1),0),$A1093-TEXT(DATEVALUE($D1093&amp;"-01"), "dd-mm-yyyy")),0),0)</f>
        <v>42</v>
      </c>
      <c r="H1093" cm="1">
        <f t="array" ref="H1093">IF($Q1093&gt;=0,IFERROR(generateSalesData($D1093, IF(ISNUMBER(_xlfn.XLOOKUP($C1093,Phone_by_Sentiment!$B$2:$B$37,Phone_by_Sentiment!H$2:H$37,"",0,1)),_xlfn.XLOOKUP($C1093,Phone_by_Sentiment!$B$2:$B$37,Phone_by_Sentiment!H$2:H$37,"",0,1),0),$A1093-TEXT(DATEVALUE($D1093&amp;"-01"), "dd-mm-yyyy")),0),0)</f>
        <v>432</v>
      </c>
      <c r="I1093" cm="1">
        <f t="array" ref="I1093">IF($Q1093&gt;=0,IFERROR(generateSalesData($D1093, IF(ISNUMBER(_xlfn.XLOOKUP($C1093,Phone_by_Sentiment!$B$2:$B$37,Phone_by_Sentiment!I$2:I$37,"",0,1)),_xlfn.XLOOKUP($C1093,Phone_by_Sentiment!$B$2:$B$37,Phone_by_Sentiment!I$2:I$37,"",0,1),0),$A1093-TEXT(DATEVALUE($D1093&amp;"-01"), "dd-mm-yyyy")),0),0)</f>
        <v>619</v>
      </c>
      <c r="J1093" cm="1">
        <f t="array" ref="J1093">IF($Q1093&gt;=0,IFERROR(generateSalesData($D1093, IF(ISNUMBER(_xlfn.XLOOKUP($C1093,Phone_by_Sentiment!$B$2:$B$37,Phone_by_Sentiment!J$2:J$37,"",0,1)),_xlfn.XLOOKUP($C1093,Phone_by_Sentiment!$B$2:$B$37,Phone_by_Sentiment!J$2:J$37,"",0,1),0),$A1093-TEXT(DATEVALUE($D1093&amp;"-01"), "dd-mm-yyyy")),0),0)</f>
        <v>297</v>
      </c>
      <c r="K1093" cm="1">
        <f t="array" ref="K1093">IF($Q1093&gt;=0,IFERROR(generateSalesData($D1093, IF(ISNUMBER(_xlfn.XLOOKUP($C1093,Phone_by_Sentiment!$B$2:$B$37,Phone_by_Sentiment!K$2:K$37,"",0,1)),_xlfn.XLOOKUP($C1093,Phone_by_Sentiment!$B$2:$B$37,Phone_by_Sentiment!K$2:K$37,"",0,1),0),$A1093-TEXT(DATEVALUE($D1093&amp;"-01"), "dd-mm-yyyy")),0),0)</f>
        <v>158</v>
      </c>
      <c r="L1093" cm="1">
        <f t="array" ref="L1093">IF($Q1093&gt;=0,IFERROR(generateSalesData($D1093, IF(ISNUMBER(_xlfn.XLOOKUP($C1093,Phone_by_Sentiment!$B$2:$B$37,Phone_by_Sentiment!L$2:L$37,"",0,1)),_xlfn.XLOOKUP($C1093,Phone_by_Sentiment!$B$2:$B$37,Phone_by_Sentiment!L$2:L$37,"",0,1),0),$A1093-TEXT(DATEVALUE($D1093&amp;"-01"), "dd-mm-yyyy")),0),0)</f>
        <v>368</v>
      </c>
      <c r="M1093" cm="1">
        <f t="array" ref="M1093">IF($Q1093&gt;=0,IFERROR(generateSalesData($D1093, IF(ISNUMBER(_xlfn.XLOOKUP($C1093,Phone_by_Sentiment!$B$2:$B$37,Phone_by_Sentiment!M$2:M$37,"",0,1)),_xlfn.XLOOKUP($C1093,Phone_by_Sentiment!$B$2:$B$37,Phone_by_Sentiment!M$2:M$37,"",0,1),0),$A1093-TEXT(DATEVALUE($D1093&amp;"-01"), "dd-mm-yyyy")),0),0)</f>
        <v>305</v>
      </c>
      <c r="N1093" cm="1">
        <f t="array" ref="N1093">IF($Q1093&gt;=0,IFERROR(generateSalesData($D1093, IF(ISNUMBER(_xlfn.XLOOKUP($C1093,Phone_by_Sentiment!$B$2:$B$37,Phone_by_Sentiment!N$2:N$37,"",0,1)),_xlfn.XLOOKUP($C1093,Phone_by_Sentiment!$B$2:$B$37,Phone_by_Sentiment!N$2:N$37,"",0,1),0),$A1093-TEXT(DATEVALUE($D1093&amp;"-01"), "dd-mm-yyyy")),0),0)</f>
        <v>538</v>
      </c>
      <c r="O1093" cm="1">
        <f t="array" ref="O1093">IF($Q1093&gt;=0,IFERROR(generateSalesData($D1093, IF(ISNUMBER(_xlfn.XLOOKUP($C1093,Phone_by_Sentiment!$B$2:$B$37,Phone_by_Sentiment!O$2:O$37,"",0,1)),_xlfn.XLOOKUP($C1093,Phone_by_Sentiment!$B$2:$B$37,Phone_by_Sentiment!O$2:O$37,"",0,1),0),$A1093-TEXT(DATEVALUE($D1093&amp;"-01"), "dd-mm-yyyy")),0),0)</f>
        <v>516</v>
      </c>
      <c r="P1093" s="1">
        <f t="shared" si="46"/>
        <v>43862</v>
      </c>
      <c r="Q1093">
        <f t="shared" si="47"/>
        <v>547</v>
      </c>
    </row>
    <row r="1094" spans="1:17" x14ac:dyDescent="0.25">
      <c r="A1094" s="1">
        <f t="shared" si="48"/>
        <v>44409</v>
      </c>
      <c r="B1094" t="s">
        <v>144</v>
      </c>
      <c r="C1094" t="str">
        <f>_xlfn.XLOOKUP(B1094,Phone_by_Price!$A$2:$A$34,Phone_by_Price!$B$2:$B$34,"-",0,1)</f>
        <v>Xiaomi Redmi Note 10</v>
      </c>
      <c r="D1094" t="str">
        <f>_xlfn.XLOOKUP(C1094,Phone_by_Sentiment!$B$2:$B$37,Phone_by_Sentiment!$A$2:$A$37,"-",0,1)</f>
        <v>2021-03</v>
      </c>
      <c r="E1094" cm="1">
        <f t="array" ref="E1094">IF($Q1094&gt;=0,IFERROR(generateSalesData($D1094, IF(ISNUMBER(_xlfn.XLOOKUP($C1094,Phone_by_Sentiment!$B$2:$B$37,Phone_by_Sentiment!E$2:E$37,"",0,1)),_xlfn.XLOOKUP($C1094,Phone_by_Sentiment!$B$2:$B$37,Phone_by_Sentiment!E$2:E$37,"",0,1),0),$A1094-TEXT(DATEVALUE($D1094&amp;"-01"), "dd-mm-yyyy")),0),0)</f>
        <v>2745</v>
      </c>
      <c r="F1094" cm="1">
        <f t="array" ref="F1094">IF($Q1094&gt;=0,IFERROR(generateSalesData($D1094, IF(ISNUMBER(_xlfn.XLOOKUP($C1094,Phone_by_Sentiment!$B$2:$B$37,Phone_by_Sentiment!F$2:F$37,"",0,1)),_xlfn.XLOOKUP($C1094,Phone_by_Sentiment!$B$2:$B$37,Phone_by_Sentiment!F$2:F$37,"",0,1),0),$A1094-TEXT(DATEVALUE($D1094&amp;"-01"), "dd-mm-yyyy")),0),0)</f>
        <v>153</v>
      </c>
      <c r="G1094" cm="1">
        <f t="array" ref="G1094">IF($Q1094&gt;=0,IFERROR(generateSalesData($D1094, IF(ISNUMBER(_xlfn.XLOOKUP($C1094,Phone_by_Sentiment!$B$2:$B$37,Phone_by_Sentiment!G$2:G$37,"",0,1)),_xlfn.XLOOKUP($C1094,Phone_by_Sentiment!$B$2:$B$37,Phone_by_Sentiment!G$2:G$37,"",0,1),0),$A1094-TEXT(DATEVALUE($D1094&amp;"-01"), "dd-mm-yyyy")),0),0)</f>
        <v>302</v>
      </c>
      <c r="H1094" cm="1">
        <f t="array" ref="H1094">IF($Q1094&gt;=0,IFERROR(generateSalesData($D1094, IF(ISNUMBER(_xlfn.XLOOKUP($C1094,Phone_by_Sentiment!$B$2:$B$37,Phone_by_Sentiment!H$2:H$37,"",0,1)),_xlfn.XLOOKUP($C1094,Phone_by_Sentiment!$B$2:$B$37,Phone_by_Sentiment!H$2:H$37,"",0,1),0),$A1094-TEXT(DATEVALUE($D1094&amp;"-01"), "dd-mm-yyyy")),0),0)</f>
        <v>294</v>
      </c>
      <c r="I1094" cm="1">
        <f t="array" ref="I1094">IF($Q1094&gt;=0,IFERROR(generateSalesData($D1094, IF(ISNUMBER(_xlfn.XLOOKUP($C1094,Phone_by_Sentiment!$B$2:$B$37,Phone_by_Sentiment!I$2:I$37,"",0,1)),_xlfn.XLOOKUP($C1094,Phone_by_Sentiment!$B$2:$B$37,Phone_by_Sentiment!I$2:I$37,"",0,1),0),$A1094-TEXT(DATEVALUE($D1094&amp;"-01"), "dd-mm-yyyy")),0),0)</f>
        <v>903</v>
      </c>
      <c r="J1094" cm="1">
        <f t="array" ref="J1094">IF($Q1094&gt;=0,IFERROR(generateSalesData($D1094, IF(ISNUMBER(_xlfn.XLOOKUP($C1094,Phone_by_Sentiment!$B$2:$B$37,Phone_by_Sentiment!J$2:J$37,"",0,1)),_xlfn.XLOOKUP($C1094,Phone_by_Sentiment!$B$2:$B$37,Phone_by_Sentiment!J$2:J$37,"",0,1),0),$A1094-TEXT(DATEVALUE($D1094&amp;"-01"), "dd-mm-yyyy")),0),0)</f>
        <v>2145</v>
      </c>
      <c r="K1094" cm="1">
        <f t="array" ref="K1094">IF($Q1094&gt;=0,IFERROR(generateSalesData($D1094, IF(ISNUMBER(_xlfn.XLOOKUP($C1094,Phone_by_Sentiment!$B$2:$B$37,Phone_by_Sentiment!K$2:K$37,"",0,1)),_xlfn.XLOOKUP($C1094,Phone_by_Sentiment!$B$2:$B$37,Phone_by_Sentiment!K$2:K$37,"",0,1),0),$A1094-TEXT(DATEVALUE($D1094&amp;"-01"), "dd-mm-yyyy")),0),0)</f>
        <v>1498</v>
      </c>
      <c r="L1094" cm="1">
        <f t="array" ref="L1094">IF($Q1094&gt;=0,IFERROR(generateSalesData($D1094, IF(ISNUMBER(_xlfn.XLOOKUP($C1094,Phone_by_Sentiment!$B$2:$B$37,Phone_by_Sentiment!L$2:L$37,"",0,1)),_xlfn.XLOOKUP($C1094,Phone_by_Sentiment!$B$2:$B$37,Phone_by_Sentiment!L$2:L$37,"",0,1),0),$A1094-TEXT(DATEVALUE($D1094&amp;"-01"), "dd-mm-yyyy")),0),0)</f>
        <v>425</v>
      </c>
      <c r="M1094" cm="1">
        <f t="array" ref="M1094">IF($Q1094&gt;=0,IFERROR(generateSalesData($D1094, IF(ISNUMBER(_xlfn.XLOOKUP($C1094,Phone_by_Sentiment!$B$2:$B$37,Phone_by_Sentiment!M$2:M$37,"",0,1)),_xlfn.XLOOKUP($C1094,Phone_by_Sentiment!$B$2:$B$37,Phone_by_Sentiment!M$2:M$37,"",0,1),0),$A1094-TEXT(DATEVALUE($D1094&amp;"-01"), "dd-mm-yyyy")),0),0)</f>
        <v>479</v>
      </c>
      <c r="N1094" cm="1">
        <f t="array" ref="N1094">IF($Q1094&gt;=0,IFERROR(generateSalesData($D1094, IF(ISNUMBER(_xlfn.XLOOKUP($C1094,Phone_by_Sentiment!$B$2:$B$37,Phone_by_Sentiment!N$2:N$37,"",0,1)),_xlfn.XLOOKUP($C1094,Phone_by_Sentiment!$B$2:$B$37,Phone_by_Sentiment!N$2:N$37,"",0,1),0),$A1094-TEXT(DATEVALUE($D1094&amp;"-01"), "dd-mm-yyyy")),0),0)</f>
        <v>2508</v>
      </c>
      <c r="O1094" cm="1">
        <f t="array" ref="O1094">IF($Q1094&gt;=0,IFERROR(generateSalesData($D1094, IF(ISNUMBER(_xlfn.XLOOKUP($C1094,Phone_by_Sentiment!$B$2:$B$37,Phone_by_Sentiment!O$2:O$37,"",0,1)),_xlfn.XLOOKUP($C1094,Phone_by_Sentiment!$B$2:$B$37,Phone_by_Sentiment!O$2:O$37,"",0,1),0),$A1094-TEXT(DATEVALUE($D1094&amp;"-01"), "dd-mm-yyyy")),0),0)</f>
        <v>481</v>
      </c>
      <c r="P1094" s="1">
        <f t="shared" si="46"/>
        <v>44256</v>
      </c>
      <c r="Q1094">
        <f t="shared" si="47"/>
        <v>153</v>
      </c>
    </row>
    <row r="1095" spans="1:17" x14ac:dyDescent="0.25">
      <c r="A1095" s="1">
        <f t="shared" si="48"/>
        <v>44409</v>
      </c>
      <c r="B1095" t="s">
        <v>145</v>
      </c>
      <c r="C1095" t="str">
        <f>_xlfn.XLOOKUP(B1095,Phone_by_Price!$A$2:$A$34,Phone_by_Price!$B$2:$B$34,"-",0,1)</f>
        <v>OPPO A54</v>
      </c>
      <c r="D1095" t="str">
        <f>_xlfn.XLOOKUP(C1095,Phone_by_Sentiment!$B$2:$B$37,Phone_by_Sentiment!$A$2:$A$37,"-",0,1)</f>
        <v>2021-04</v>
      </c>
      <c r="E1095" cm="1">
        <f t="array" ref="E1095">IF($Q1095&gt;=0,IFERROR(generateSalesData($D1095, IF(ISNUMBER(_xlfn.XLOOKUP($C1095,Phone_by_Sentiment!$B$2:$B$37,Phone_by_Sentiment!E$2:E$37,"",0,1)),_xlfn.XLOOKUP($C1095,Phone_by_Sentiment!$B$2:$B$37,Phone_by_Sentiment!E$2:E$37,"",0,1),0),$A1095-TEXT(DATEVALUE($D1095&amp;"-01"), "dd-mm-yyyy")),0),0)</f>
        <v>1257</v>
      </c>
      <c r="F1095" cm="1">
        <f t="array" ref="F1095">IF($Q1095&gt;=0,IFERROR(generateSalesData($D1095, IF(ISNUMBER(_xlfn.XLOOKUP($C1095,Phone_by_Sentiment!$B$2:$B$37,Phone_by_Sentiment!F$2:F$37,"",0,1)),_xlfn.XLOOKUP($C1095,Phone_by_Sentiment!$B$2:$B$37,Phone_by_Sentiment!F$2:F$37,"",0,1),0),$A1095-TEXT(DATEVALUE($D1095&amp;"-01"), "dd-mm-yyyy")),0),0)</f>
        <v>586</v>
      </c>
      <c r="G1095" cm="1">
        <f t="array" ref="G1095">IF($Q1095&gt;=0,IFERROR(generateSalesData($D1095, IF(ISNUMBER(_xlfn.XLOOKUP($C1095,Phone_by_Sentiment!$B$2:$B$37,Phone_by_Sentiment!G$2:G$37,"",0,1)),_xlfn.XLOOKUP($C1095,Phone_by_Sentiment!$B$2:$B$37,Phone_by_Sentiment!G$2:G$37,"",0,1),0),$A1095-TEXT(DATEVALUE($D1095&amp;"-01"), "dd-mm-yyyy")),0),0)</f>
        <v>585</v>
      </c>
      <c r="H1095" cm="1">
        <f t="array" ref="H1095">IF($Q1095&gt;=0,IFERROR(generateSalesData($D1095, IF(ISNUMBER(_xlfn.XLOOKUP($C1095,Phone_by_Sentiment!$B$2:$B$37,Phone_by_Sentiment!H$2:H$37,"",0,1)),_xlfn.XLOOKUP($C1095,Phone_by_Sentiment!$B$2:$B$37,Phone_by_Sentiment!H$2:H$37,"",0,1),0),$A1095-TEXT(DATEVALUE($D1095&amp;"-01"), "dd-mm-yyyy")),0),0)</f>
        <v>872</v>
      </c>
      <c r="I1095" cm="1">
        <f t="array" ref="I1095">IF($Q1095&gt;=0,IFERROR(generateSalesData($D1095, IF(ISNUMBER(_xlfn.XLOOKUP($C1095,Phone_by_Sentiment!$B$2:$B$37,Phone_by_Sentiment!I$2:I$37,"",0,1)),_xlfn.XLOOKUP($C1095,Phone_by_Sentiment!$B$2:$B$37,Phone_by_Sentiment!I$2:I$37,"",0,1),0),$A1095-TEXT(DATEVALUE($D1095&amp;"-01"), "dd-mm-yyyy")),0),0)</f>
        <v>1767</v>
      </c>
      <c r="J1095" cm="1">
        <f t="array" ref="J1095">IF($Q1095&gt;=0,IFERROR(generateSalesData($D1095, IF(ISNUMBER(_xlfn.XLOOKUP($C1095,Phone_by_Sentiment!$B$2:$B$37,Phone_by_Sentiment!J$2:J$37,"",0,1)),_xlfn.XLOOKUP($C1095,Phone_by_Sentiment!$B$2:$B$37,Phone_by_Sentiment!J$2:J$37,"",0,1),0),$A1095-TEXT(DATEVALUE($D1095&amp;"-01"), "dd-mm-yyyy")),0),0)</f>
        <v>525</v>
      </c>
      <c r="K1095" cm="1">
        <f t="array" ref="K1095">IF($Q1095&gt;=0,IFERROR(generateSalesData($D1095, IF(ISNUMBER(_xlfn.XLOOKUP($C1095,Phone_by_Sentiment!$B$2:$B$37,Phone_by_Sentiment!K$2:K$37,"",0,1)),_xlfn.XLOOKUP($C1095,Phone_by_Sentiment!$B$2:$B$37,Phone_by_Sentiment!K$2:K$37,"",0,1),0),$A1095-TEXT(DATEVALUE($D1095&amp;"-01"), "dd-mm-yyyy")),0),0)</f>
        <v>550</v>
      </c>
      <c r="L1095" cm="1">
        <f t="array" ref="L1095">IF($Q1095&gt;=0,IFERROR(generateSalesData($D1095, IF(ISNUMBER(_xlfn.XLOOKUP($C1095,Phone_by_Sentiment!$B$2:$B$37,Phone_by_Sentiment!L$2:L$37,"",0,1)),_xlfn.XLOOKUP($C1095,Phone_by_Sentiment!$B$2:$B$37,Phone_by_Sentiment!L$2:L$37,"",0,1),0),$A1095-TEXT(DATEVALUE($D1095&amp;"-01"), "dd-mm-yyyy")),0),0)</f>
        <v>1768</v>
      </c>
      <c r="M1095" cm="1">
        <f t="array" ref="M1095">IF($Q1095&gt;=0,IFERROR(generateSalesData($D1095, IF(ISNUMBER(_xlfn.XLOOKUP($C1095,Phone_by_Sentiment!$B$2:$B$37,Phone_by_Sentiment!M$2:M$37,"",0,1)),_xlfn.XLOOKUP($C1095,Phone_by_Sentiment!$B$2:$B$37,Phone_by_Sentiment!M$2:M$37,"",0,1),0),$A1095-TEXT(DATEVALUE($D1095&amp;"-01"), "dd-mm-yyyy")),0),0)</f>
        <v>1071</v>
      </c>
      <c r="N1095" cm="1">
        <f t="array" ref="N1095">IF($Q1095&gt;=0,IFERROR(generateSalesData($D1095, IF(ISNUMBER(_xlfn.XLOOKUP($C1095,Phone_by_Sentiment!$B$2:$B$37,Phone_by_Sentiment!N$2:N$37,"",0,1)),_xlfn.XLOOKUP($C1095,Phone_by_Sentiment!$B$2:$B$37,Phone_by_Sentiment!N$2:N$37,"",0,1),0),$A1095-TEXT(DATEVALUE($D1095&amp;"-01"), "dd-mm-yyyy")),0),0)</f>
        <v>1278</v>
      </c>
      <c r="O1095" cm="1">
        <f t="array" ref="O1095">IF($Q1095&gt;=0,IFERROR(generateSalesData($D1095, IF(ISNUMBER(_xlfn.XLOOKUP($C1095,Phone_by_Sentiment!$B$2:$B$37,Phone_by_Sentiment!O$2:O$37,"",0,1)),_xlfn.XLOOKUP($C1095,Phone_by_Sentiment!$B$2:$B$37,Phone_by_Sentiment!O$2:O$37,"",0,1),0),$A1095-TEXT(DATEVALUE($D1095&amp;"-01"), "dd-mm-yyyy")),0),0)</f>
        <v>500</v>
      </c>
      <c r="P1095" s="1">
        <f t="shared" si="46"/>
        <v>44287</v>
      </c>
      <c r="Q1095">
        <f t="shared" si="47"/>
        <v>122</v>
      </c>
    </row>
    <row r="1096" spans="1:17" x14ac:dyDescent="0.25">
      <c r="A1096" s="1">
        <f t="shared" si="48"/>
        <v>44409</v>
      </c>
      <c r="B1096" t="s">
        <v>146</v>
      </c>
      <c r="C1096" t="str">
        <f>_xlfn.XLOOKUP(B1096,Phone_by_Price!$A$2:$A$34,Phone_by_Price!$B$2:$B$34,"-",0,1)</f>
        <v>Vivo Y20</v>
      </c>
      <c r="D1096" t="str">
        <f>_xlfn.XLOOKUP(C1096,Phone_by_Sentiment!$B$2:$B$37,Phone_by_Sentiment!$A$2:$A$37,"-",0,1)</f>
        <v>2020-09</v>
      </c>
      <c r="E1096" cm="1">
        <f t="array" ref="E1096">IF($Q1096&gt;=0,IFERROR(generateSalesData($D1096, IF(ISNUMBER(_xlfn.XLOOKUP($C1096,Phone_by_Sentiment!$B$2:$B$37,Phone_by_Sentiment!E$2:E$37,"",0,1)),_xlfn.XLOOKUP($C1096,Phone_by_Sentiment!$B$2:$B$37,Phone_by_Sentiment!E$2:E$37,"",0,1),0),$A1096-TEXT(DATEVALUE($D1096&amp;"-01"), "dd-mm-yyyy")),0),0)</f>
        <v>929</v>
      </c>
      <c r="F1096" cm="1">
        <f t="array" ref="F1096">IF($Q1096&gt;=0,IFERROR(generateSalesData($D1096, IF(ISNUMBER(_xlfn.XLOOKUP($C1096,Phone_by_Sentiment!$B$2:$B$37,Phone_by_Sentiment!F$2:F$37,"",0,1)),_xlfn.XLOOKUP($C1096,Phone_by_Sentiment!$B$2:$B$37,Phone_by_Sentiment!F$2:F$37,"",0,1),0),$A1096-TEXT(DATEVALUE($D1096&amp;"-01"), "dd-mm-yyyy")),0),0)</f>
        <v>380</v>
      </c>
      <c r="G1096" cm="1">
        <f t="array" ref="G1096">IF($Q1096&gt;=0,IFERROR(generateSalesData($D1096, IF(ISNUMBER(_xlfn.XLOOKUP($C1096,Phone_by_Sentiment!$B$2:$B$37,Phone_by_Sentiment!G$2:G$37,"",0,1)),_xlfn.XLOOKUP($C1096,Phone_by_Sentiment!$B$2:$B$37,Phone_by_Sentiment!G$2:G$37,"",0,1),0),$A1096-TEXT(DATEVALUE($D1096&amp;"-01"), "dd-mm-yyyy")),0),0)</f>
        <v>187</v>
      </c>
      <c r="H1096" cm="1">
        <f t="array" ref="H1096">IF($Q1096&gt;=0,IFERROR(generateSalesData($D1096, IF(ISNUMBER(_xlfn.XLOOKUP($C1096,Phone_by_Sentiment!$B$2:$B$37,Phone_by_Sentiment!H$2:H$37,"",0,1)),_xlfn.XLOOKUP($C1096,Phone_by_Sentiment!$B$2:$B$37,Phone_by_Sentiment!H$2:H$37,"",0,1),0),$A1096-TEXT(DATEVALUE($D1096&amp;"-01"), "dd-mm-yyyy")),0),0)</f>
        <v>243</v>
      </c>
      <c r="I1096" cm="1">
        <f t="array" ref="I1096">IF($Q1096&gt;=0,IFERROR(generateSalesData($D1096, IF(ISNUMBER(_xlfn.XLOOKUP($C1096,Phone_by_Sentiment!$B$2:$B$37,Phone_by_Sentiment!I$2:I$37,"",0,1)),_xlfn.XLOOKUP($C1096,Phone_by_Sentiment!$B$2:$B$37,Phone_by_Sentiment!I$2:I$37,"",0,1),0),$A1096-TEXT(DATEVALUE($D1096&amp;"-01"), "dd-mm-yyyy")),0),0)</f>
        <v>142</v>
      </c>
      <c r="J1096" cm="1">
        <f t="array" ref="J1096">IF($Q1096&gt;=0,IFERROR(generateSalesData($D1096, IF(ISNUMBER(_xlfn.XLOOKUP($C1096,Phone_by_Sentiment!$B$2:$B$37,Phone_by_Sentiment!J$2:J$37,"",0,1)),_xlfn.XLOOKUP($C1096,Phone_by_Sentiment!$B$2:$B$37,Phone_by_Sentiment!J$2:J$37,"",0,1),0),$A1096-TEXT(DATEVALUE($D1096&amp;"-01"), "dd-mm-yyyy")),0),0)</f>
        <v>174</v>
      </c>
      <c r="K1096" cm="1">
        <f t="array" ref="K1096">IF($Q1096&gt;=0,IFERROR(generateSalesData($D1096, IF(ISNUMBER(_xlfn.XLOOKUP($C1096,Phone_by_Sentiment!$B$2:$B$37,Phone_by_Sentiment!K$2:K$37,"",0,1)),_xlfn.XLOOKUP($C1096,Phone_by_Sentiment!$B$2:$B$37,Phone_by_Sentiment!K$2:K$37,"",0,1),0),$A1096-TEXT(DATEVALUE($D1096&amp;"-01"), "dd-mm-yyyy")),0),0)</f>
        <v>149</v>
      </c>
      <c r="L1096" cm="1">
        <f t="array" ref="L1096">IF($Q1096&gt;=0,IFERROR(generateSalesData($D1096, IF(ISNUMBER(_xlfn.XLOOKUP($C1096,Phone_by_Sentiment!$B$2:$B$37,Phone_by_Sentiment!L$2:L$37,"",0,1)),_xlfn.XLOOKUP($C1096,Phone_by_Sentiment!$B$2:$B$37,Phone_by_Sentiment!L$2:L$37,"",0,1),0),$A1096-TEXT(DATEVALUE($D1096&amp;"-01"), "dd-mm-yyyy")),0),0)</f>
        <v>750</v>
      </c>
      <c r="M1096" cm="1">
        <f t="array" ref="M1096">IF($Q1096&gt;=0,IFERROR(generateSalesData($D1096, IF(ISNUMBER(_xlfn.XLOOKUP($C1096,Phone_by_Sentiment!$B$2:$B$37,Phone_by_Sentiment!M$2:M$37,"",0,1)),_xlfn.XLOOKUP($C1096,Phone_by_Sentiment!$B$2:$B$37,Phone_by_Sentiment!M$2:M$37,"",0,1),0),$A1096-TEXT(DATEVALUE($D1096&amp;"-01"), "dd-mm-yyyy")),0),0)</f>
        <v>191</v>
      </c>
      <c r="N1096" cm="1">
        <f t="array" ref="N1096">IF($Q1096&gt;=0,IFERROR(generateSalesData($D1096, IF(ISNUMBER(_xlfn.XLOOKUP($C1096,Phone_by_Sentiment!$B$2:$B$37,Phone_by_Sentiment!N$2:N$37,"",0,1)),_xlfn.XLOOKUP($C1096,Phone_by_Sentiment!$B$2:$B$37,Phone_by_Sentiment!N$2:N$37,"",0,1),0),$A1096-TEXT(DATEVALUE($D1096&amp;"-01"), "dd-mm-yyyy")),0),0)</f>
        <v>109</v>
      </c>
      <c r="O1096" cm="1">
        <f t="array" ref="O1096">IF($Q1096&gt;=0,IFERROR(generateSalesData($D1096, IF(ISNUMBER(_xlfn.XLOOKUP($C1096,Phone_by_Sentiment!$B$2:$B$37,Phone_by_Sentiment!O$2:O$37,"",0,1)),_xlfn.XLOOKUP($C1096,Phone_by_Sentiment!$B$2:$B$37,Phone_by_Sentiment!O$2:O$37,"",0,1),0),$A1096-TEXT(DATEVALUE($D1096&amp;"-01"), "dd-mm-yyyy")),0),0)</f>
        <v>139</v>
      </c>
      <c r="P1096" s="1">
        <f t="shared" si="46"/>
        <v>44075</v>
      </c>
      <c r="Q1096">
        <f t="shared" si="47"/>
        <v>334</v>
      </c>
    </row>
    <row r="1097" spans="1:17" x14ac:dyDescent="0.25">
      <c r="A1097" s="1">
        <f t="shared" si="48"/>
        <v>44409</v>
      </c>
      <c r="B1097" t="s">
        <v>147</v>
      </c>
      <c r="C1097" t="str">
        <f>_xlfn.XLOOKUP(B1097,Phone_by_Price!$A$2:$A$34,Phone_by_Price!$B$2:$B$34,"-",0,1)</f>
        <v>Huawei Y9a</v>
      </c>
      <c r="D1097" t="str">
        <f>_xlfn.XLOOKUP(C1097,Phone_by_Sentiment!$B$2:$B$37,Phone_by_Sentiment!$A$2:$A$37,"-",0,1)</f>
        <v>2020-02</v>
      </c>
      <c r="E1097" cm="1">
        <f t="array" ref="E1097">IF($Q1097&gt;=0,IFERROR(generateSalesData($D1097, IF(ISNUMBER(_xlfn.XLOOKUP($C1097,Phone_by_Sentiment!$B$2:$B$37,Phone_by_Sentiment!E$2:E$37,"",0,1)),_xlfn.XLOOKUP($C1097,Phone_by_Sentiment!$B$2:$B$37,Phone_by_Sentiment!E$2:E$37,"",0,1),0),$A1097-TEXT(DATEVALUE($D1097&amp;"-01"), "dd-mm-yyyy")),0),0)</f>
        <v>422</v>
      </c>
      <c r="F1097" cm="1">
        <f t="array" ref="F1097">IF($Q1097&gt;=0,IFERROR(generateSalesData($D1097, IF(ISNUMBER(_xlfn.XLOOKUP($C1097,Phone_by_Sentiment!$B$2:$B$37,Phone_by_Sentiment!F$2:F$37,"",0,1)),_xlfn.XLOOKUP($C1097,Phone_by_Sentiment!$B$2:$B$37,Phone_by_Sentiment!F$2:F$37,"",0,1),0),$A1097-TEXT(DATEVALUE($D1097&amp;"-01"), "dd-mm-yyyy")),0),0)</f>
        <v>657</v>
      </c>
      <c r="G1097" cm="1">
        <f t="array" ref="G1097">IF($Q1097&gt;=0,IFERROR(generateSalesData($D1097, IF(ISNUMBER(_xlfn.XLOOKUP($C1097,Phone_by_Sentiment!$B$2:$B$37,Phone_by_Sentiment!G$2:G$37,"",0,1)),_xlfn.XLOOKUP($C1097,Phone_by_Sentiment!$B$2:$B$37,Phone_by_Sentiment!G$2:G$37,"",0,1),0),$A1097-TEXT(DATEVALUE($D1097&amp;"-01"), "dd-mm-yyyy")),0),0)</f>
        <v>70</v>
      </c>
      <c r="H1097" cm="1">
        <f t="array" ref="H1097">IF($Q1097&gt;=0,IFERROR(generateSalesData($D1097, IF(ISNUMBER(_xlfn.XLOOKUP($C1097,Phone_by_Sentiment!$B$2:$B$37,Phone_by_Sentiment!H$2:H$37,"",0,1)),_xlfn.XLOOKUP($C1097,Phone_by_Sentiment!$B$2:$B$37,Phone_by_Sentiment!H$2:H$37,"",0,1),0),$A1097-TEXT(DATEVALUE($D1097&amp;"-01"), "dd-mm-yyyy")),0),0)</f>
        <v>76</v>
      </c>
      <c r="I1097" cm="1">
        <f t="array" ref="I1097">IF($Q1097&gt;=0,IFERROR(generateSalesData($D1097, IF(ISNUMBER(_xlfn.XLOOKUP($C1097,Phone_by_Sentiment!$B$2:$B$37,Phone_by_Sentiment!I$2:I$37,"",0,1)),_xlfn.XLOOKUP($C1097,Phone_by_Sentiment!$B$2:$B$37,Phone_by_Sentiment!I$2:I$37,"",0,1),0),$A1097-TEXT(DATEVALUE($D1097&amp;"-01"), "dd-mm-yyyy")),0),0)</f>
        <v>53</v>
      </c>
      <c r="J1097" cm="1">
        <f t="array" ref="J1097">IF($Q1097&gt;=0,IFERROR(generateSalesData($D1097, IF(ISNUMBER(_xlfn.XLOOKUP($C1097,Phone_by_Sentiment!$B$2:$B$37,Phone_by_Sentiment!J$2:J$37,"",0,1)),_xlfn.XLOOKUP($C1097,Phone_by_Sentiment!$B$2:$B$37,Phone_by_Sentiment!J$2:J$37,"",0,1),0),$A1097-TEXT(DATEVALUE($D1097&amp;"-01"), "dd-mm-yyyy")),0),0)</f>
        <v>103</v>
      </c>
      <c r="K1097" cm="1">
        <f t="array" ref="K1097">IF($Q1097&gt;=0,IFERROR(generateSalesData($D1097, IF(ISNUMBER(_xlfn.XLOOKUP($C1097,Phone_by_Sentiment!$B$2:$B$37,Phone_by_Sentiment!K$2:K$37,"",0,1)),_xlfn.XLOOKUP($C1097,Phone_by_Sentiment!$B$2:$B$37,Phone_by_Sentiment!K$2:K$37,"",0,1),0),$A1097-TEXT(DATEVALUE($D1097&amp;"-01"), "dd-mm-yyyy")),0),0)</f>
        <v>85</v>
      </c>
      <c r="L1097" cm="1">
        <f t="array" ref="L1097">IF($Q1097&gt;=0,IFERROR(generateSalesData($D1097, IF(ISNUMBER(_xlfn.XLOOKUP($C1097,Phone_by_Sentiment!$B$2:$B$37,Phone_by_Sentiment!L$2:L$37,"",0,1)),_xlfn.XLOOKUP($C1097,Phone_by_Sentiment!$B$2:$B$37,Phone_by_Sentiment!L$2:L$37,"",0,1),0),$A1097-TEXT(DATEVALUE($D1097&amp;"-01"), "dd-mm-yyyy")),0),0)</f>
        <v>104</v>
      </c>
      <c r="M1097" cm="1">
        <f t="array" ref="M1097">IF($Q1097&gt;=0,IFERROR(generateSalesData($D1097, IF(ISNUMBER(_xlfn.XLOOKUP($C1097,Phone_by_Sentiment!$B$2:$B$37,Phone_by_Sentiment!M$2:M$37,"",0,1)),_xlfn.XLOOKUP($C1097,Phone_by_Sentiment!$B$2:$B$37,Phone_by_Sentiment!M$2:M$37,"",0,1),0),$A1097-TEXT(DATEVALUE($D1097&amp;"-01"), "dd-mm-yyyy")),0),0)</f>
        <v>73</v>
      </c>
      <c r="N1097" cm="1">
        <f t="array" ref="N1097">IF($Q1097&gt;=0,IFERROR(generateSalesData($D1097, IF(ISNUMBER(_xlfn.XLOOKUP($C1097,Phone_by_Sentiment!$B$2:$B$37,Phone_by_Sentiment!N$2:N$37,"",0,1)),_xlfn.XLOOKUP($C1097,Phone_by_Sentiment!$B$2:$B$37,Phone_by_Sentiment!N$2:N$37,"",0,1),0),$A1097-TEXT(DATEVALUE($D1097&amp;"-01"), "dd-mm-yyyy")),0),0)</f>
        <v>112</v>
      </c>
      <c r="O1097" cm="1">
        <f t="array" ref="O1097">IF($Q1097&gt;=0,IFERROR(generateSalesData($D1097, IF(ISNUMBER(_xlfn.XLOOKUP($C1097,Phone_by_Sentiment!$B$2:$B$37,Phone_by_Sentiment!O$2:O$37,"",0,1)),_xlfn.XLOOKUP($C1097,Phone_by_Sentiment!$B$2:$B$37,Phone_by_Sentiment!O$2:O$37,"",0,1),0),$A1097-TEXT(DATEVALUE($D1097&amp;"-01"), "dd-mm-yyyy")),0),0)</f>
        <v>35</v>
      </c>
      <c r="P1097" s="1">
        <f t="shared" si="46"/>
        <v>43862</v>
      </c>
      <c r="Q1097">
        <f t="shared" si="47"/>
        <v>547</v>
      </c>
    </row>
    <row r="1098" spans="1:17" x14ac:dyDescent="0.25">
      <c r="A1098" s="1">
        <f t="shared" si="48"/>
        <v>44409</v>
      </c>
      <c r="B1098" t="s">
        <v>148</v>
      </c>
      <c r="C1098" t="str">
        <f>_xlfn.XLOOKUP(B1098,Phone_by_Price!$A$2:$A$34,Phone_by_Price!$B$2:$B$34,"-",0,1)</f>
        <v>Xiaomi Redmi 10</v>
      </c>
      <c r="D1098" t="str">
        <f>_xlfn.XLOOKUP(C1098,Phone_by_Sentiment!$B$2:$B$37,Phone_by_Sentiment!$A$2:$A$37,"-",0,1)</f>
        <v>2021-03</v>
      </c>
      <c r="E1098" cm="1">
        <f t="array" ref="E1098">IF($Q1098&gt;=0,IFERROR(generateSalesData($D1098, IF(ISNUMBER(_xlfn.XLOOKUP($C1098,Phone_by_Sentiment!$B$2:$B$37,Phone_by_Sentiment!E$2:E$37,"",0,1)),_xlfn.XLOOKUP($C1098,Phone_by_Sentiment!$B$2:$B$37,Phone_by_Sentiment!E$2:E$37,"",0,1),0),$A1098-TEXT(DATEVALUE($D1098&amp;"-01"), "dd-mm-yyyy")),0),0)</f>
        <v>566</v>
      </c>
      <c r="F1098" cm="1">
        <f t="array" ref="F1098">IF($Q1098&gt;=0,IFERROR(generateSalesData($D1098, IF(ISNUMBER(_xlfn.XLOOKUP($C1098,Phone_by_Sentiment!$B$2:$B$37,Phone_by_Sentiment!F$2:F$37,"",0,1)),_xlfn.XLOOKUP($C1098,Phone_by_Sentiment!$B$2:$B$37,Phone_by_Sentiment!F$2:F$37,"",0,1),0),$A1098-TEXT(DATEVALUE($D1098&amp;"-01"), "dd-mm-yyyy")),0),0)</f>
        <v>3389</v>
      </c>
      <c r="G1098" cm="1">
        <f t="array" ref="G1098">IF($Q1098&gt;=0,IFERROR(generateSalesData($D1098, IF(ISNUMBER(_xlfn.XLOOKUP($C1098,Phone_by_Sentiment!$B$2:$B$37,Phone_by_Sentiment!G$2:G$37,"",0,1)),_xlfn.XLOOKUP($C1098,Phone_by_Sentiment!$B$2:$B$37,Phone_by_Sentiment!G$2:G$37,"",0,1),0),$A1098-TEXT(DATEVALUE($D1098&amp;"-01"), "dd-mm-yyyy")),0),0)</f>
        <v>253</v>
      </c>
      <c r="H1098" cm="1">
        <f t="array" ref="H1098">IF($Q1098&gt;=0,IFERROR(generateSalesData($D1098, IF(ISNUMBER(_xlfn.XLOOKUP($C1098,Phone_by_Sentiment!$B$2:$B$37,Phone_by_Sentiment!H$2:H$37,"",0,1)),_xlfn.XLOOKUP($C1098,Phone_by_Sentiment!$B$2:$B$37,Phone_by_Sentiment!H$2:H$37,"",0,1),0),$A1098-TEXT(DATEVALUE($D1098&amp;"-01"), "dd-mm-yyyy")),0),0)</f>
        <v>1688</v>
      </c>
      <c r="I1098" cm="1">
        <f t="array" ref="I1098">IF($Q1098&gt;=0,IFERROR(generateSalesData($D1098, IF(ISNUMBER(_xlfn.XLOOKUP($C1098,Phone_by_Sentiment!$B$2:$B$37,Phone_by_Sentiment!I$2:I$37,"",0,1)),_xlfn.XLOOKUP($C1098,Phone_by_Sentiment!$B$2:$B$37,Phone_by_Sentiment!I$2:I$37,"",0,1),0),$A1098-TEXT(DATEVALUE($D1098&amp;"-01"), "dd-mm-yyyy")),0),0)</f>
        <v>638</v>
      </c>
      <c r="J1098" cm="1">
        <f t="array" ref="J1098">IF($Q1098&gt;=0,IFERROR(generateSalesData($D1098, IF(ISNUMBER(_xlfn.XLOOKUP($C1098,Phone_by_Sentiment!$B$2:$B$37,Phone_by_Sentiment!J$2:J$37,"",0,1)),_xlfn.XLOOKUP($C1098,Phone_by_Sentiment!$B$2:$B$37,Phone_by_Sentiment!J$2:J$37,"",0,1),0),$A1098-TEXT(DATEVALUE($D1098&amp;"-01"), "dd-mm-yyyy")),0),0)</f>
        <v>385</v>
      </c>
      <c r="K1098" cm="1">
        <f t="array" ref="K1098">IF($Q1098&gt;=0,IFERROR(generateSalesData($D1098, IF(ISNUMBER(_xlfn.XLOOKUP($C1098,Phone_by_Sentiment!$B$2:$B$37,Phone_by_Sentiment!K$2:K$37,"",0,1)),_xlfn.XLOOKUP($C1098,Phone_by_Sentiment!$B$2:$B$37,Phone_by_Sentiment!K$2:K$37,"",0,1),0),$A1098-TEXT(DATEVALUE($D1098&amp;"-01"), "dd-mm-yyyy")),0),0)</f>
        <v>1205</v>
      </c>
      <c r="L1098" cm="1">
        <f t="array" ref="L1098">IF($Q1098&gt;=0,IFERROR(generateSalesData($D1098, IF(ISNUMBER(_xlfn.XLOOKUP($C1098,Phone_by_Sentiment!$B$2:$B$37,Phone_by_Sentiment!L$2:L$37,"",0,1)),_xlfn.XLOOKUP($C1098,Phone_by_Sentiment!$B$2:$B$37,Phone_by_Sentiment!L$2:L$37,"",0,1),0),$A1098-TEXT(DATEVALUE($D1098&amp;"-01"), "dd-mm-yyyy")),0),0)</f>
        <v>438</v>
      </c>
      <c r="M1098" cm="1">
        <f t="array" ref="M1098">IF($Q1098&gt;=0,IFERROR(generateSalesData($D1098, IF(ISNUMBER(_xlfn.XLOOKUP($C1098,Phone_by_Sentiment!$B$2:$B$37,Phone_by_Sentiment!M$2:M$37,"",0,1)),_xlfn.XLOOKUP($C1098,Phone_by_Sentiment!$B$2:$B$37,Phone_by_Sentiment!M$2:M$37,"",0,1),0),$A1098-TEXT(DATEVALUE($D1098&amp;"-01"), "dd-mm-yyyy")),0),0)</f>
        <v>475</v>
      </c>
      <c r="N1098" cm="1">
        <f t="array" ref="N1098">IF($Q1098&gt;=0,IFERROR(generateSalesData($D1098, IF(ISNUMBER(_xlfn.XLOOKUP($C1098,Phone_by_Sentiment!$B$2:$B$37,Phone_by_Sentiment!N$2:N$37,"",0,1)),_xlfn.XLOOKUP($C1098,Phone_by_Sentiment!$B$2:$B$37,Phone_by_Sentiment!N$2:N$37,"",0,1),0),$A1098-TEXT(DATEVALUE($D1098&amp;"-01"), "dd-mm-yyyy")),0),0)</f>
        <v>1267</v>
      </c>
      <c r="O1098" cm="1">
        <f t="array" ref="O1098">IF($Q1098&gt;=0,IFERROR(generateSalesData($D1098, IF(ISNUMBER(_xlfn.XLOOKUP($C1098,Phone_by_Sentiment!$B$2:$B$37,Phone_by_Sentiment!O$2:O$37,"",0,1)),_xlfn.XLOOKUP($C1098,Phone_by_Sentiment!$B$2:$B$37,Phone_by_Sentiment!O$2:O$37,"",0,1),0),$A1098-TEXT(DATEVALUE($D1098&amp;"-01"), "dd-mm-yyyy")),0),0)</f>
        <v>313</v>
      </c>
      <c r="P1098" s="1">
        <f t="shared" si="46"/>
        <v>44256</v>
      </c>
      <c r="Q1098">
        <f t="shared" si="47"/>
        <v>153</v>
      </c>
    </row>
    <row r="1099" spans="1:17" x14ac:dyDescent="0.25">
      <c r="A1099" s="1">
        <f t="shared" si="48"/>
        <v>44409</v>
      </c>
      <c r="B1099" t="s">
        <v>149</v>
      </c>
      <c r="C1099" t="str">
        <f>_xlfn.XLOOKUP(B1099,Phone_by_Price!$A$2:$A$34,Phone_by_Price!$B$2:$B$34,"-",0,1)</f>
        <v>Samsung Galaxy A52</v>
      </c>
      <c r="D1099" t="str">
        <f>_xlfn.XLOOKUP(C1099,Phone_by_Sentiment!$B$2:$B$37,Phone_by_Sentiment!$A$2:$A$37,"-",0,1)</f>
        <v>2021-03</v>
      </c>
      <c r="E1099" cm="1">
        <f t="array" ref="E1099">IF($Q1099&gt;=0,IFERROR(generateSalesData($D1099, IF(ISNUMBER(_xlfn.XLOOKUP($C1099,Phone_by_Sentiment!$B$2:$B$37,Phone_by_Sentiment!E$2:E$37,"",0,1)),_xlfn.XLOOKUP($C1099,Phone_by_Sentiment!$B$2:$B$37,Phone_by_Sentiment!E$2:E$37,"",0,1),0),$A1099-TEXT(DATEVALUE($D1099&amp;"-01"), "dd-mm-yyyy")),0),0)</f>
        <v>2193</v>
      </c>
      <c r="F1099" cm="1">
        <f t="array" ref="F1099">IF($Q1099&gt;=0,IFERROR(generateSalesData($D1099, IF(ISNUMBER(_xlfn.XLOOKUP($C1099,Phone_by_Sentiment!$B$2:$B$37,Phone_by_Sentiment!F$2:F$37,"",0,1)),_xlfn.XLOOKUP($C1099,Phone_by_Sentiment!$B$2:$B$37,Phone_by_Sentiment!F$2:F$37,"",0,1),0),$A1099-TEXT(DATEVALUE($D1099&amp;"-01"), "dd-mm-yyyy")),0),0)</f>
        <v>1150</v>
      </c>
      <c r="G1099" cm="1">
        <f t="array" ref="G1099">IF($Q1099&gt;=0,IFERROR(generateSalesData($D1099, IF(ISNUMBER(_xlfn.XLOOKUP($C1099,Phone_by_Sentiment!$B$2:$B$37,Phone_by_Sentiment!G$2:G$37,"",0,1)),_xlfn.XLOOKUP($C1099,Phone_by_Sentiment!$B$2:$B$37,Phone_by_Sentiment!G$2:G$37,"",0,1),0),$A1099-TEXT(DATEVALUE($D1099&amp;"-01"), "dd-mm-yyyy")),0),0)</f>
        <v>713</v>
      </c>
      <c r="H1099" cm="1">
        <f t="array" ref="H1099">IF($Q1099&gt;=0,IFERROR(generateSalesData($D1099, IF(ISNUMBER(_xlfn.XLOOKUP($C1099,Phone_by_Sentiment!$B$2:$B$37,Phone_by_Sentiment!H$2:H$37,"",0,1)),_xlfn.XLOOKUP($C1099,Phone_by_Sentiment!$B$2:$B$37,Phone_by_Sentiment!H$2:H$37,"",0,1),0),$A1099-TEXT(DATEVALUE($D1099&amp;"-01"), "dd-mm-yyyy")),0),0)</f>
        <v>1158</v>
      </c>
      <c r="I1099" cm="1">
        <f t="array" ref="I1099">IF($Q1099&gt;=0,IFERROR(generateSalesData($D1099, IF(ISNUMBER(_xlfn.XLOOKUP($C1099,Phone_by_Sentiment!$B$2:$B$37,Phone_by_Sentiment!I$2:I$37,"",0,1)),_xlfn.XLOOKUP($C1099,Phone_by_Sentiment!$B$2:$B$37,Phone_by_Sentiment!I$2:I$37,"",0,1),0),$A1099-TEXT(DATEVALUE($D1099&amp;"-01"), "dd-mm-yyyy")),0),0)</f>
        <v>1445</v>
      </c>
      <c r="J1099" cm="1">
        <f t="array" ref="J1099">IF($Q1099&gt;=0,IFERROR(generateSalesData($D1099, IF(ISNUMBER(_xlfn.XLOOKUP($C1099,Phone_by_Sentiment!$B$2:$B$37,Phone_by_Sentiment!J$2:J$37,"",0,1)),_xlfn.XLOOKUP($C1099,Phone_by_Sentiment!$B$2:$B$37,Phone_by_Sentiment!J$2:J$37,"",0,1),0),$A1099-TEXT(DATEVALUE($D1099&amp;"-01"), "dd-mm-yyyy")),0),0)</f>
        <v>1412</v>
      </c>
      <c r="K1099" cm="1">
        <f t="array" ref="K1099">IF($Q1099&gt;=0,IFERROR(generateSalesData($D1099, IF(ISNUMBER(_xlfn.XLOOKUP($C1099,Phone_by_Sentiment!$B$2:$B$37,Phone_by_Sentiment!K$2:K$37,"",0,1)),_xlfn.XLOOKUP($C1099,Phone_by_Sentiment!$B$2:$B$37,Phone_by_Sentiment!K$2:K$37,"",0,1),0),$A1099-TEXT(DATEVALUE($D1099&amp;"-01"), "dd-mm-yyyy")),0),0)</f>
        <v>2696</v>
      </c>
      <c r="L1099" cm="1">
        <f t="array" ref="L1099">IF($Q1099&gt;=0,IFERROR(generateSalesData($D1099, IF(ISNUMBER(_xlfn.XLOOKUP($C1099,Phone_by_Sentiment!$B$2:$B$37,Phone_by_Sentiment!L$2:L$37,"",0,1)),_xlfn.XLOOKUP($C1099,Phone_by_Sentiment!$B$2:$B$37,Phone_by_Sentiment!L$2:L$37,"",0,1),0),$A1099-TEXT(DATEVALUE($D1099&amp;"-01"), "dd-mm-yyyy")),0),0)</f>
        <v>1997</v>
      </c>
      <c r="M1099" cm="1">
        <f t="array" ref="M1099">IF($Q1099&gt;=0,IFERROR(generateSalesData($D1099, IF(ISNUMBER(_xlfn.XLOOKUP($C1099,Phone_by_Sentiment!$B$2:$B$37,Phone_by_Sentiment!M$2:M$37,"",0,1)),_xlfn.XLOOKUP($C1099,Phone_by_Sentiment!$B$2:$B$37,Phone_by_Sentiment!M$2:M$37,"",0,1),0),$A1099-TEXT(DATEVALUE($D1099&amp;"-01"), "dd-mm-yyyy")),0),0)</f>
        <v>355</v>
      </c>
      <c r="N1099" cm="1">
        <f t="array" ref="N1099">IF($Q1099&gt;=0,IFERROR(generateSalesData($D1099, IF(ISNUMBER(_xlfn.XLOOKUP($C1099,Phone_by_Sentiment!$B$2:$B$37,Phone_by_Sentiment!N$2:N$37,"",0,1)),_xlfn.XLOOKUP($C1099,Phone_by_Sentiment!$B$2:$B$37,Phone_by_Sentiment!N$2:N$37,"",0,1),0),$A1099-TEXT(DATEVALUE($D1099&amp;"-01"), "dd-mm-yyyy")),0),0)</f>
        <v>1235</v>
      </c>
      <c r="O1099" cm="1">
        <f t="array" ref="O1099">IF($Q1099&gt;=0,IFERROR(generateSalesData($D1099, IF(ISNUMBER(_xlfn.XLOOKUP($C1099,Phone_by_Sentiment!$B$2:$B$37,Phone_by_Sentiment!O$2:O$37,"",0,1)),_xlfn.XLOOKUP($C1099,Phone_by_Sentiment!$B$2:$B$37,Phone_by_Sentiment!O$2:O$37,"",0,1),0),$A1099-TEXT(DATEVALUE($D1099&amp;"-01"), "dd-mm-yyyy")),0),0)</f>
        <v>1626</v>
      </c>
      <c r="P1099" s="1">
        <f t="shared" si="46"/>
        <v>44256</v>
      </c>
      <c r="Q1099">
        <f t="shared" si="47"/>
        <v>153</v>
      </c>
    </row>
    <row r="1100" spans="1:17" x14ac:dyDescent="0.25">
      <c r="A1100" s="1">
        <f t="shared" si="48"/>
        <v>44409</v>
      </c>
      <c r="B1100" t="s">
        <v>150</v>
      </c>
      <c r="C1100" t="str">
        <f>_xlfn.XLOOKUP(B1100,Phone_by_Price!$A$2:$A$34,Phone_by_Price!$B$2:$B$34,"-",0,1)</f>
        <v>Vivo Y33s</v>
      </c>
      <c r="D1100" t="str">
        <f>_xlfn.XLOOKUP(C1100,Phone_by_Sentiment!$B$2:$B$37,Phone_by_Sentiment!$A$2:$A$37,"-",0,1)</f>
        <v>2021-05</v>
      </c>
      <c r="E1100" cm="1">
        <f t="array" ref="E1100">IF($Q1100&gt;=0,IFERROR(generateSalesData($D1100, IF(ISNUMBER(_xlfn.XLOOKUP($C1100,Phone_by_Sentiment!$B$2:$B$37,Phone_by_Sentiment!E$2:E$37,"",0,1)),_xlfn.XLOOKUP($C1100,Phone_by_Sentiment!$B$2:$B$37,Phone_by_Sentiment!E$2:E$37,"",0,1),0),$A1100-TEXT(DATEVALUE($D1100&amp;"-01"), "dd-mm-yyyy")),0),0)</f>
        <v>1358</v>
      </c>
      <c r="F1100" cm="1">
        <f t="array" ref="F1100">IF($Q1100&gt;=0,IFERROR(generateSalesData($D1100, IF(ISNUMBER(_xlfn.XLOOKUP($C1100,Phone_by_Sentiment!$B$2:$B$37,Phone_by_Sentiment!F$2:F$37,"",0,1)),_xlfn.XLOOKUP($C1100,Phone_by_Sentiment!$B$2:$B$37,Phone_by_Sentiment!F$2:F$37,"",0,1),0),$A1100-TEXT(DATEVALUE($D1100&amp;"-01"), "dd-mm-yyyy")),0),0)</f>
        <v>511</v>
      </c>
      <c r="G1100" cm="1">
        <f t="array" ref="G1100">IF($Q1100&gt;=0,IFERROR(generateSalesData($D1100, IF(ISNUMBER(_xlfn.XLOOKUP($C1100,Phone_by_Sentiment!$B$2:$B$37,Phone_by_Sentiment!G$2:G$37,"",0,1)),_xlfn.XLOOKUP($C1100,Phone_by_Sentiment!$B$2:$B$37,Phone_by_Sentiment!G$2:G$37,"",0,1),0),$A1100-TEXT(DATEVALUE($D1100&amp;"-01"), "dd-mm-yyyy")),0),0)</f>
        <v>623</v>
      </c>
      <c r="H1100" cm="1">
        <f t="array" ref="H1100">IF($Q1100&gt;=0,IFERROR(generateSalesData($D1100, IF(ISNUMBER(_xlfn.XLOOKUP($C1100,Phone_by_Sentiment!$B$2:$B$37,Phone_by_Sentiment!H$2:H$37,"",0,1)),_xlfn.XLOOKUP($C1100,Phone_by_Sentiment!$B$2:$B$37,Phone_by_Sentiment!H$2:H$37,"",0,1),0),$A1100-TEXT(DATEVALUE($D1100&amp;"-01"), "dd-mm-yyyy")),0),0)</f>
        <v>1266</v>
      </c>
      <c r="I1100" cm="1">
        <f t="array" ref="I1100">IF($Q1100&gt;=0,IFERROR(generateSalesData($D1100, IF(ISNUMBER(_xlfn.XLOOKUP($C1100,Phone_by_Sentiment!$B$2:$B$37,Phone_by_Sentiment!I$2:I$37,"",0,1)),_xlfn.XLOOKUP($C1100,Phone_by_Sentiment!$B$2:$B$37,Phone_by_Sentiment!I$2:I$37,"",0,1),0),$A1100-TEXT(DATEVALUE($D1100&amp;"-01"), "dd-mm-yyyy")),0),0)</f>
        <v>404</v>
      </c>
      <c r="J1100" cm="1">
        <f t="array" ref="J1100">IF($Q1100&gt;=0,IFERROR(generateSalesData($D1100, IF(ISNUMBER(_xlfn.XLOOKUP($C1100,Phone_by_Sentiment!$B$2:$B$37,Phone_by_Sentiment!J$2:J$37,"",0,1)),_xlfn.XLOOKUP($C1100,Phone_by_Sentiment!$B$2:$B$37,Phone_by_Sentiment!J$2:J$37,"",0,1),0),$A1100-TEXT(DATEVALUE($D1100&amp;"-01"), "dd-mm-yyyy")),0),0)</f>
        <v>478</v>
      </c>
      <c r="K1100" cm="1">
        <f t="array" ref="K1100">IF($Q1100&gt;=0,IFERROR(generateSalesData($D1100, IF(ISNUMBER(_xlfn.XLOOKUP($C1100,Phone_by_Sentiment!$B$2:$B$37,Phone_by_Sentiment!K$2:K$37,"",0,1)),_xlfn.XLOOKUP($C1100,Phone_by_Sentiment!$B$2:$B$37,Phone_by_Sentiment!K$2:K$37,"",0,1),0),$A1100-TEXT(DATEVALUE($D1100&amp;"-01"), "dd-mm-yyyy")),0),0)</f>
        <v>580</v>
      </c>
      <c r="L1100" cm="1">
        <f t="array" ref="L1100">IF($Q1100&gt;=0,IFERROR(generateSalesData($D1100, IF(ISNUMBER(_xlfn.XLOOKUP($C1100,Phone_by_Sentiment!$B$2:$B$37,Phone_by_Sentiment!L$2:L$37,"",0,1)),_xlfn.XLOOKUP($C1100,Phone_by_Sentiment!$B$2:$B$37,Phone_by_Sentiment!L$2:L$37,"",0,1),0),$A1100-TEXT(DATEVALUE($D1100&amp;"-01"), "dd-mm-yyyy")),0),0)</f>
        <v>569</v>
      </c>
      <c r="M1100" cm="1">
        <f t="array" ref="M1100">IF($Q1100&gt;=0,IFERROR(generateSalesData($D1100, IF(ISNUMBER(_xlfn.XLOOKUP($C1100,Phone_by_Sentiment!$B$2:$B$37,Phone_by_Sentiment!M$2:M$37,"",0,1)),_xlfn.XLOOKUP($C1100,Phone_by_Sentiment!$B$2:$B$37,Phone_by_Sentiment!M$2:M$37,"",0,1),0),$A1100-TEXT(DATEVALUE($D1100&amp;"-01"), "dd-mm-yyyy")),0),0)</f>
        <v>610</v>
      </c>
      <c r="N1100" cm="1">
        <f t="array" ref="N1100">IF($Q1100&gt;=0,IFERROR(generateSalesData($D1100, IF(ISNUMBER(_xlfn.XLOOKUP($C1100,Phone_by_Sentiment!$B$2:$B$37,Phone_by_Sentiment!N$2:N$37,"",0,1)),_xlfn.XLOOKUP($C1100,Phone_by_Sentiment!$B$2:$B$37,Phone_by_Sentiment!N$2:N$37,"",0,1),0),$A1100-TEXT(DATEVALUE($D1100&amp;"-01"), "dd-mm-yyyy")),0),0)</f>
        <v>405</v>
      </c>
      <c r="O1100" cm="1">
        <f t="array" ref="O1100">IF($Q1100&gt;=0,IFERROR(generateSalesData($D1100, IF(ISNUMBER(_xlfn.XLOOKUP($C1100,Phone_by_Sentiment!$B$2:$B$37,Phone_by_Sentiment!O$2:O$37,"",0,1)),_xlfn.XLOOKUP($C1100,Phone_by_Sentiment!$B$2:$B$37,Phone_by_Sentiment!O$2:O$37,"",0,1),0),$A1100-TEXT(DATEVALUE($D1100&amp;"-01"), "dd-mm-yyyy")),0),0)</f>
        <v>3113</v>
      </c>
      <c r="P1100" s="1">
        <f t="shared" si="46"/>
        <v>44317</v>
      </c>
      <c r="Q1100">
        <f t="shared" si="47"/>
        <v>92</v>
      </c>
    </row>
    <row r="1101" spans="1:17" x14ac:dyDescent="0.25">
      <c r="A1101" s="1">
        <f t="shared" si="48"/>
        <v>44409</v>
      </c>
      <c r="B1101" t="s">
        <v>151</v>
      </c>
      <c r="C1101" t="str">
        <f>_xlfn.XLOOKUP(B1101,Phone_by_Price!$A$2:$A$34,Phone_by_Price!$B$2:$B$34,"-",0,1)</f>
        <v>Vivo Y11s</v>
      </c>
      <c r="D1101" t="str">
        <f>_xlfn.XLOOKUP(C1101,Phone_by_Sentiment!$B$2:$B$37,Phone_by_Sentiment!$A$2:$A$37,"-",0,1)</f>
        <v>2020-11</v>
      </c>
      <c r="E1101" cm="1">
        <f t="array" ref="E1101">IF($Q1101&gt;=0,IFERROR(generateSalesData($D1101, IF(ISNUMBER(_xlfn.XLOOKUP($C1101,Phone_by_Sentiment!$B$2:$B$37,Phone_by_Sentiment!E$2:E$37,"",0,1)),_xlfn.XLOOKUP($C1101,Phone_by_Sentiment!$B$2:$B$37,Phone_by_Sentiment!E$2:E$37,"",0,1),0),$A1101-TEXT(DATEVALUE($D1101&amp;"-01"), "dd-mm-yyyy")),0),0)</f>
        <v>273</v>
      </c>
      <c r="F1101" cm="1">
        <f t="array" ref="F1101">IF($Q1101&gt;=0,IFERROR(generateSalesData($D1101, IF(ISNUMBER(_xlfn.XLOOKUP($C1101,Phone_by_Sentiment!$B$2:$B$37,Phone_by_Sentiment!F$2:F$37,"",0,1)),_xlfn.XLOOKUP($C1101,Phone_by_Sentiment!$B$2:$B$37,Phone_by_Sentiment!F$2:F$37,"",0,1),0),$A1101-TEXT(DATEVALUE($D1101&amp;"-01"), "dd-mm-yyyy")),0),0)</f>
        <v>303</v>
      </c>
      <c r="G1101" cm="1">
        <f t="array" ref="G1101">IF($Q1101&gt;=0,IFERROR(generateSalesData($D1101, IF(ISNUMBER(_xlfn.XLOOKUP($C1101,Phone_by_Sentiment!$B$2:$B$37,Phone_by_Sentiment!G$2:G$37,"",0,1)),_xlfn.XLOOKUP($C1101,Phone_by_Sentiment!$B$2:$B$37,Phone_by_Sentiment!G$2:G$37,"",0,1),0),$A1101-TEXT(DATEVALUE($D1101&amp;"-01"), "dd-mm-yyyy")),0),0)</f>
        <v>73</v>
      </c>
      <c r="H1101" cm="1">
        <f t="array" ref="H1101">IF($Q1101&gt;=0,IFERROR(generateSalesData($D1101, IF(ISNUMBER(_xlfn.XLOOKUP($C1101,Phone_by_Sentiment!$B$2:$B$37,Phone_by_Sentiment!H$2:H$37,"",0,1)),_xlfn.XLOOKUP($C1101,Phone_by_Sentiment!$B$2:$B$37,Phone_by_Sentiment!H$2:H$37,"",0,1),0),$A1101-TEXT(DATEVALUE($D1101&amp;"-01"), "dd-mm-yyyy")),0),0)</f>
        <v>83</v>
      </c>
      <c r="I1101" cm="1">
        <f t="array" ref="I1101">IF($Q1101&gt;=0,IFERROR(generateSalesData($D1101, IF(ISNUMBER(_xlfn.XLOOKUP($C1101,Phone_by_Sentiment!$B$2:$B$37,Phone_by_Sentiment!I$2:I$37,"",0,1)),_xlfn.XLOOKUP($C1101,Phone_by_Sentiment!$B$2:$B$37,Phone_by_Sentiment!I$2:I$37,"",0,1),0),$A1101-TEXT(DATEVALUE($D1101&amp;"-01"), "dd-mm-yyyy")),0),0)</f>
        <v>167</v>
      </c>
      <c r="J1101" cm="1">
        <f t="array" ref="J1101">IF($Q1101&gt;=0,IFERROR(generateSalesData($D1101, IF(ISNUMBER(_xlfn.XLOOKUP($C1101,Phone_by_Sentiment!$B$2:$B$37,Phone_by_Sentiment!J$2:J$37,"",0,1)),_xlfn.XLOOKUP($C1101,Phone_by_Sentiment!$B$2:$B$37,Phone_by_Sentiment!J$2:J$37,"",0,1),0),$A1101-TEXT(DATEVALUE($D1101&amp;"-01"), "dd-mm-yyyy")),0),0)</f>
        <v>154</v>
      </c>
      <c r="K1101" cm="1">
        <f t="array" ref="K1101">IF($Q1101&gt;=0,IFERROR(generateSalesData($D1101, IF(ISNUMBER(_xlfn.XLOOKUP($C1101,Phone_by_Sentiment!$B$2:$B$37,Phone_by_Sentiment!K$2:K$37,"",0,1)),_xlfn.XLOOKUP($C1101,Phone_by_Sentiment!$B$2:$B$37,Phone_by_Sentiment!K$2:K$37,"",0,1),0),$A1101-TEXT(DATEVALUE($D1101&amp;"-01"), "dd-mm-yyyy")),0),0)</f>
        <v>235</v>
      </c>
      <c r="L1101" cm="1">
        <f t="array" ref="L1101">IF($Q1101&gt;=0,IFERROR(generateSalesData($D1101, IF(ISNUMBER(_xlfn.XLOOKUP($C1101,Phone_by_Sentiment!$B$2:$B$37,Phone_by_Sentiment!L$2:L$37,"",0,1)),_xlfn.XLOOKUP($C1101,Phone_by_Sentiment!$B$2:$B$37,Phone_by_Sentiment!L$2:L$37,"",0,1),0),$A1101-TEXT(DATEVALUE($D1101&amp;"-01"), "dd-mm-yyyy")),0),0)</f>
        <v>170</v>
      </c>
      <c r="M1101" cm="1">
        <f t="array" ref="M1101">IF($Q1101&gt;=0,IFERROR(generateSalesData($D1101, IF(ISNUMBER(_xlfn.XLOOKUP($C1101,Phone_by_Sentiment!$B$2:$B$37,Phone_by_Sentiment!M$2:M$37,"",0,1)),_xlfn.XLOOKUP($C1101,Phone_by_Sentiment!$B$2:$B$37,Phone_by_Sentiment!M$2:M$37,"",0,1),0),$A1101-TEXT(DATEVALUE($D1101&amp;"-01"), "dd-mm-yyyy")),0),0)</f>
        <v>832</v>
      </c>
      <c r="N1101" cm="1">
        <f t="array" ref="N1101">IF($Q1101&gt;=0,IFERROR(generateSalesData($D1101, IF(ISNUMBER(_xlfn.XLOOKUP($C1101,Phone_by_Sentiment!$B$2:$B$37,Phone_by_Sentiment!N$2:N$37,"",0,1)),_xlfn.XLOOKUP($C1101,Phone_by_Sentiment!$B$2:$B$37,Phone_by_Sentiment!N$2:N$37,"",0,1),0),$A1101-TEXT(DATEVALUE($D1101&amp;"-01"), "dd-mm-yyyy")),0),0)</f>
        <v>292</v>
      </c>
      <c r="O1101" cm="1">
        <f t="array" ref="O1101">IF($Q1101&gt;=0,IFERROR(generateSalesData($D1101, IF(ISNUMBER(_xlfn.XLOOKUP($C1101,Phone_by_Sentiment!$B$2:$B$37,Phone_by_Sentiment!O$2:O$37,"",0,1)),_xlfn.XLOOKUP($C1101,Phone_by_Sentiment!$B$2:$B$37,Phone_by_Sentiment!O$2:O$37,"",0,1),0),$A1101-TEXT(DATEVALUE($D1101&amp;"-01"), "dd-mm-yyyy")),0),0)</f>
        <v>114</v>
      </c>
      <c r="P1101" s="1">
        <f t="shared" si="46"/>
        <v>44136</v>
      </c>
      <c r="Q1101">
        <f t="shared" si="47"/>
        <v>273</v>
      </c>
    </row>
    <row r="1102" spans="1:17" x14ac:dyDescent="0.25">
      <c r="A1102" s="1">
        <f t="shared" si="48"/>
        <v>44409</v>
      </c>
      <c r="B1102" t="s">
        <v>152</v>
      </c>
      <c r="C1102" t="str">
        <f>_xlfn.XLOOKUP(B1102,Phone_by_Price!$A$2:$A$34,Phone_by_Price!$B$2:$B$34,"-",0,1)</f>
        <v>Huawei Nova 7i</v>
      </c>
      <c r="D1102" t="str">
        <f>_xlfn.XLOOKUP(C1102,Phone_by_Sentiment!$B$2:$B$37,Phone_by_Sentiment!$A$2:$A$37,"-",0,1)</f>
        <v>2020-02</v>
      </c>
      <c r="E1102" cm="1">
        <f t="array" ref="E1102">IF($Q1102&gt;=0,IFERROR(generateSalesData($D1102, IF(ISNUMBER(_xlfn.XLOOKUP($C1102,Phone_by_Sentiment!$B$2:$B$37,Phone_by_Sentiment!E$2:E$37,"",0,1)),_xlfn.XLOOKUP($C1102,Phone_by_Sentiment!$B$2:$B$37,Phone_by_Sentiment!E$2:E$37,"",0,1),0),$A1102-TEXT(DATEVALUE($D1102&amp;"-01"), "dd-mm-yyyy")),0),0)</f>
        <v>85</v>
      </c>
      <c r="F1102" cm="1">
        <f t="array" ref="F1102">IF($Q1102&gt;=0,IFERROR(generateSalesData($D1102, IF(ISNUMBER(_xlfn.XLOOKUP($C1102,Phone_by_Sentiment!$B$2:$B$37,Phone_by_Sentiment!F$2:F$37,"",0,1)),_xlfn.XLOOKUP($C1102,Phone_by_Sentiment!$B$2:$B$37,Phone_by_Sentiment!F$2:F$37,"",0,1),0),$A1102-TEXT(DATEVALUE($D1102&amp;"-01"), "dd-mm-yyyy")),0),0)</f>
        <v>92</v>
      </c>
      <c r="G1102" cm="1">
        <f t="array" ref="G1102">IF($Q1102&gt;=0,IFERROR(generateSalesData($D1102, IF(ISNUMBER(_xlfn.XLOOKUP($C1102,Phone_by_Sentiment!$B$2:$B$37,Phone_by_Sentiment!G$2:G$37,"",0,1)),_xlfn.XLOOKUP($C1102,Phone_by_Sentiment!$B$2:$B$37,Phone_by_Sentiment!G$2:G$37,"",0,1),0),$A1102-TEXT(DATEVALUE($D1102&amp;"-01"), "dd-mm-yyyy")),0),0)</f>
        <v>132</v>
      </c>
      <c r="H1102" cm="1">
        <f t="array" ref="H1102">IF($Q1102&gt;=0,IFERROR(generateSalesData($D1102, IF(ISNUMBER(_xlfn.XLOOKUP($C1102,Phone_by_Sentiment!$B$2:$B$37,Phone_by_Sentiment!H$2:H$37,"",0,1)),_xlfn.XLOOKUP($C1102,Phone_by_Sentiment!$B$2:$B$37,Phone_by_Sentiment!H$2:H$37,"",0,1),0),$A1102-TEXT(DATEVALUE($D1102&amp;"-01"), "dd-mm-yyyy")),0),0)</f>
        <v>375</v>
      </c>
      <c r="I1102" cm="1">
        <f t="array" ref="I1102">IF($Q1102&gt;=0,IFERROR(generateSalesData($D1102, IF(ISNUMBER(_xlfn.XLOOKUP($C1102,Phone_by_Sentiment!$B$2:$B$37,Phone_by_Sentiment!I$2:I$37,"",0,1)),_xlfn.XLOOKUP($C1102,Phone_by_Sentiment!$B$2:$B$37,Phone_by_Sentiment!I$2:I$37,"",0,1),0),$A1102-TEXT(DATEVALUE($D1102&amp;"-01"), "dd-mm-yyyy")),0),0)</f>
        <v>100</v>
      </c>
      <c r="J1102" cm="1">
        <f t="array" ref="J1102">IF($Q1102&gt;=0,IFERROR(generateSalesData($D1102, IF(ISNUMBER(_xlfn.XLOOKUP($C1102,Phone_by_Sentiment!$B$2:$B$37,Phone_by_Sentiment!J$2:J$37,"",0,1)),_xlfn.XLOOKUP($C1102,Phone_by_Sentiment!$B$2:$B$37,Phone_by_Sentiment!J$2:J$37,"",0,1),0),$A1102-TEXT(DATEVALUE($D1102&amp;"-01"), "dd-mm-yyyy")),0),0)</f>
        <v>108</v>
      </c>
      <c r="K1102" cm="1">
        <f t="array" ref="K1102">IF($Q1102&gt;=0,IFERROR(generateSalesData($D1102, IF(ISNUMBER(_xlfn.XLOOKUP($C1102,Phone_by_Sentiment!$B$2:$B$37,Phone_by_Sentiment!K$2:K$37,"",0,1)),_xlfn.XLOOKUP($C1102,Phone_by_Sentiment!$B$2:$B$37,Phone_by_Sentiment!K$2:K$37,"",0,1),0),$A1102-TEXT(DATEVALUE($D1102&amp;"-01"), "dd-mm-yyyy")),0),0)</f>
        <v>84</v>
      </c>
      <c r="L1102" cm="1">
        <f t="array" ref="L1102">IF($Q1102&gt;=0,IFERROR(generateSalesData($D1102, IF(ISNUMBER(_xlfn.XLOOKUP($C1102,Phone_by_Sentiment!$B$2:$B$37,Phone_by_Sentiment!L$2:L$37,"",0,1)),_xlfn.XLOOKUP($C1102,Phone_by_Sentiment!$B$2:$B$37,Phone_by_Sentiment!L$2:L$37,"",0,1),0),$A1102-TEXT(DATEVALUE($D1102&amp;"-01"), "dd-mm-yyyy")),0),0)</f>
        <v>237</v>
      </c>
      <c r="M1102" cm="1">
        <f t="array" ref="M1102">IF($Q1102&gt;=0,IFERROR(generateSalesData($D1102, IF(ISNUMBER(_xlfn.XLOOKUP($C1102,Phone_by_Sentiment!$B$2:$B$37,Phone_by_Sentiment!M$2:M$37,"",0,1)),_xlfn.XLOOKUP($C1102,Phone_by_Sentiment!$B$2:$B$37,Phone_by_Sentiment!M$2:M$37,"",0,1),0),$A1102-TEXT(DATEVALUE($D1102&amp;"-01"), "dd-mm-yyyy")),0),0)</f>
        <v>58</v>
      </c>
      <c r="N1102" cm="1">
        <f t="array" ref="N1102">IF($Q1102&gt;=0,IFERROR(generateSalesData($D1102, IF(ISNUMBER(_xlfn.XLOOKUP($C1102,Phone_by_Sentiment!$B$2:$B$37,Phone_by_Sentiment!N$2:N$37,"",0,1)),_xlfn.XLOOKUP($C1102,Phone_by_Sentiment!$B$2:$B$37,Phone_by_Sentiment!N$2:N$37,"",0,1),0),$A1102-TEXT(DATEVALUE($D1102&amp;"-01"), "dd-mm-yyyy")),0),0)</f>
        <v>172</v>
      </c>
      <c r="O1102" cm="1">
        <f t="array" ref="O1102">IF($Q1102&gt;=0,IFERROR(generateSalesData($D1102, IF(ISNUMBER(_xlfn.XLOOKUP($C1102,Phone_by_Sentiment!$B$2:$B$37,Phone_by_Sentiment!O$2:O$37,"",0,1)),_xlfn.XLOOKUP($C1102,Phone_by_Sentiment!$B$2:$B$37,Phone_by_Sentiment!O$2:O$37,"",0,1),0),$A1102-TEXT(DATEVALUE($D1102&amp;"-01"), "dd-mm-yyyy")),0),0)</f>
        <v>261</v>
      </c>
      <c r="P1102" s="1">
        <f t="shared" si="46"/>
        <v>43862</v>
      </c>
      <c r="Q1102">
        <f t="shared" si="47"/>
        <v>547</v>
      </c>
    </row>
    <row r="1103" spans="1:17" x14ac:dyDescent="0.25">
      <c r="A1103" s="1">
        <f t="shared" si="48"/>
        <v>44409</v>
      </c>
      <c r="B1103" t="s">
        <v>153</v>
      </c>
      <c r="C1103" t="str">
        <f>_xlfn.XLOOKUP(B1103,Phone_by_Price!$A$2:$A$34,Phone_by_Price!$B$2:$B$34,"-",0,1)</f>
        <v>iPhone 13</v>
      </c>
      <c r="D1103" t="str">
        <f>_xlfn.XLOOKUP(C1103,Phone_by_Sentiment!$B$2:$B$37,Phone_by_Sentiment!$A$2:$A$37,"-",0,1)</f>
        <v>2021-09</v>
      </c>
      <c r="E1103" cm="1">
        <f t="array" ref="E1103">IF($Q1103&gt;=0,IFERROR(generateSalesData($D1103, IF(ISNUMBER(_xlfn.XLOOKUP($C1103,Phone_by_Sentiment!$B$2:$B$37,Phone_by_Sentiment!E$2:E$37,"",0,1)),_xlfn.XLOOKUP($C1103,Phone_by_Sentiment!$B$2:$B$37,Phone_by_Sentiment!E$2:E$37,"",0,1),0),$A1103-TEXT(DATEVALUE($D1103&amp;"-01"), "dd-mm-yyyy")),0),0)</f>
        <v>0</v>
      </c>
      <c r="F1103" cm="1">
        <f t="array" ref="F1103">IF($Q1103&gt;=0,IFERROR(generateSalesData($D1103, IF(ISNUMBER(_xlfn.XLOOKUP($C1103,Phone_by_Sentiment!$B$2:$B$37,Phone_by_Sentiment!F$2:F$37,"",0,1)),_xlfn.XLOOKUP($C1103,Phone_by_Sentiment!$B$2:$B$37,Phone_by_Sentiment!F$2:F$37,"",0,1),0),$A1103-TEXT(DATEVALUE($D1103&amp;"-01"), "dd-mm-yyyy")),0),0)</f>
        <v>0</v>
      </c>
      <c r="G1103" cm="1">
        <f t="array" ref="G1103">IF($Q1103&gt;=0,IFERROR(generateSalesData($D1103, IF(ISNUMBER(_xlfn.XLOOKUP($C1103,Phone_by_Sentiment!$B$2:$B$37,Phone_by_Sentiment!G$2:G$37,"",0,1)),_xlfn.XLOOKUP($C1103,Phone_by_Sentiment!$B$2:$B$37,Phone_by_Sentiment!G$2:G$37,"",0,1),0),$A1103-TEXT(DATEVALUE($D1103&amp;"-01"), "dd-mm-yyyy")),0),0)</f>
        <v>0</v>
      </c>
      <c r="H1103" cm="1">
        <f t="array" ref="H1103">IF($Q1103&gt;=0,IFERROR(generateSalesData($D1103, IF(ISNUMBER(_xlfn.XLOOKUP($C1103,Phone_by_Sentiment!$B$2:$B$37,Phone_by_Sentiment!H$2:H$37,"",0,1)),_xlfn.XLOOKUP($C1103,Phone_by_Sentiment!$B$2:$B$37,Phone_by_Sentiment!H$2:H$37,"",0,1),0),$A1103-TEXT(DATEVALUE($D1103&amp;"-01"), "dd-mm-yyyy")),0),0)</f>
        <v>0</v>
      </c>
      <c r="I1103" cm="1">
        <f t="array" ref="I1103">IF($Q1103&gt;=0,IFERROR(generateSalesData($D1103, IF(ISNUMBER(_xlfn.XLOOKUP($C1103,Phone_by_Sentiment!$B$2:$B$37,Phone_by_Sentiment!I$2:I$37,"",0,1)),_xlfn.XLOOKUP($C1103,Phone_by_Sentiment!$B$2:$B$37,Phone_by_Sentiment!I$2:I$37,"",0,1),0),$A1103-TEXT(DATEVALUE($D1103&amp;"-01"), "dd-mm-yyyy")),0),0)</f>
        <v>0</v>
      </c>
      <c r="J1103" cm="1">
        <f t="array" ref="J1103">IF($Q1103&gt;=0,IFERROR(generateSalesData($D1103, IF(ISNUMBER(_xlfn.XLOOKUP($C1103,Phone_by_Sentiment!$B$2:$B$37,Phone_by_Sentiment!J$2:J$37,"",0,1)),_xlfn.XLOOKUP($C1103,Phone_by_Sentiment!$B$2:$B$37,Phone_by_Sentiment!J$2:J$37,"",0,1),0),$A1103-TEXT(DATEVALUE($D1103&amp;"-01"), "dd-mm-yyyy")),0),0)</f>
        <v>0</v>
      </c>
      <c r="K1103" cm="1">
        <f t="array" ref="K1103">IF($Q1103&gt;=0,IFERROR(generateSalesData($D1103, IF(ISNUMBER(_xlfn.XLOOKUP($C1103,Phone_by_Sentiment!$B$2:$B$37,Phone_by_Sentiment!K$2:K$37,"",0,1)),_xlfn.XLOOKUP($C1103,Phone_by_Sentiment!$B$2:$B$37,Phone_by_Sentiment!K$2:K$37,"",0,1),0),$A1103-TEXT(DATEVALUE($D1103&amp;"-01"), "dd-mm-yyyy")),0),0)</f>
        <v>0</v>
      </c>
      <c r="L1103" cm="1">
        <f t="array" ref="L1103">IF($Q1103&gt;=0,IFERROR(generateSalesData($D1103, IF(ISNUMBER(_xlfn.XLOOKUP($C1103,Phone_by_Sentiment!$B$2:$B$37,Phone_by_Sentiment!L$2:L$37,"",0,1)),_xlfn.XLOOKUP($C1103,Phone_by_Sentiment!$B$2:$B$37,Phone_by_Sentiment!L$2:L$37,"",0,1),0),$A1103-TEXT(DATEVALUE($D1103&amp;"-01"), "dd-mm-yyyy")),0),0)</f>
        <v>0</v>
      </c>
      <c r="M1103" cm="1">
        <f t="array" ref="M1103">IF($Q1103&gt;=0,IFERROR(generateSalesData($D1103, IF(ISNUMBER(_xlfn.XLOOKUP($C1103,Phone_by_Sentiment!$B$2:$B$37,Phone_by_Sentiment!M$2:M$37,"",0,1)),_xlfn.XLOOKUP($C1103,Phone_by_Sentiment!$B$2:$B$37,Phone_by_Sentiment!M$2:M$37,"",0,1),0),$A1103-TEXT(DATEVALUE($D1103&amp;"-01"), "dd-mm-yyyy")),0),0)</f>
        <v>0</v>
      </c>
      <c r="N1103" cm="1">
        <f t="array" ref="N1103">IF($Q1103&gt;=0,IFERROR(generateSalesData($D1103, IF(ISNUMBER(_xlfn.XLOOKUP($C1103,Phone_by_Sentiment!$B$2:$B$37,Phone_by_Sentiment!N$2:N$37,"",0,1)),_xlfn.XLOOKUP($C1103,Phone_by_Sentiment!$B$2:$B$37,Phone_by_Sentiment!N$2:N$37,"",0,1),0),$A1103-TEXT(DATEVALUE($D1103&amp;"-01"), "dd-mm-yyyy")),0),0)</f>
        <v>0</v>
      </c>
      <c r="O1103" cm="1">
        <f t="array" ref="O1103">IF($Q1103&gt;=0,IFERROR(generateSalesData($D1103, IF(ISNUMBER(_xlfn.XLOOKUP($C1103,Phone_by_Sentiment!$B$2:$B$37,Phone_by_Sentiment!O$2:O$37,"",0,1)),_xlfn.XLOOKUP($C1103,Phone_by_Sentiment!$B$2:$B$37,Phone_by_Sentiment!O$2:O$37,"",0,1),0),$A1103-TEXT(DATEVALUE($D1103&amp;"-01"), "dd-mm-yyyy")),0),0)</f>
        <v>0</v>
      </c>
      <c r="P1103" s="1">
        <f t="shared" si="46"/>
        <v>44440</v>
      </c>
      <c r="Q1103">
        <f t="shared" si="47"/>
        <v>-31</v>
      </c>
    </row>
    <row r="1104" spans="1:17" x14ac:dyDescent="0.25">
      <c r="A1104" s="1">
        <f t="shared" si="48"/>
        <v>44409</v>
      </c>
      <c r="B1104" t="s">
        <v>154</v>
      </c>
      <c r="C1104" t="str">
        <f>_xlfn.XLOOKUP(B1104,Phone_by_Price!$A$2:$A$34,Phone_by_Price!$B$2:$B$34,"-",0,1)</f>
        <v>Samsung Galaxy S21</v>
      </c>
      <c r="D1104" t="str">
        <f>_xlfn.XLOOKUP(C1104,Phone_by_Sentiment!$B$2:$B$37,Phone_by_Sentiment!$A$2:$A$37,"-",0,1)</f>
        <v>2021-01</v>
      </c>
      <c r="E1104" cm="1">
        <f t="array" ref="E1104">IF($Q1104&gt;=0,IFERROR(generateSalesData($D1104, IF(ISNUMBER(_xlfn.XLOOKUP($C1104,Phone_by_Sentiment!$B$2:$B$37,Phone_by_Sentiment!E$2:E$37,"",0,1)),_xlfn.XLOOKUP($C1104,Phone_by_Sentiment!$B$2:$B$37,Phone_by_Sentiment!E$2:E$37,"",0,1),0),$A1104-TEXT(DATEVALUE($D1104&amp;"-01"), "dd-mm-yyyy")),0),0)</f>
        <v>983</v>
      </c>
      <c r="F1104" cm="1">
        <f t="array" ref="F1104">IF($Q1104&gt;=0,IFERROR(generateSalesData($D1104, IF(ISNUMBER(_xlfn.XLOOKUP($C1104,Phone_by_Sentiment!$B$2:$B$37,Phone_by_Sentiment!F$2:F$37,"",0,1)),_xlfn.XLOOKUP($C1104,Phone_by_Sentiment!$B$2:$B$37,Phone_by_Sentiment!F$2:F$37,"",0,1),0),$A1104-TEXT(DATEVALUE($D1104&amp;"-01"), "dd-mm-yyyy")),0),0)</f>
        <v>1131</v>
      </c>
      <c r="G1104" cm="1">
        <f t="array" ref="G1104">IF($Q1104&gt;=0,IFERROR(generateSalesData($D1104, IF(ISNUMBER(_xlfn.XLOOKUP($C1104,Phone_by_Sentiment!$B$2:$B$37,Phone_by_Sentiment!G$2:G$37,"",0,1)),_xlfn.XLOOKUP($C1104,Phone_by_Sentiment!$B$2:$B$37,Phone_by_Sentiment!G$2:G$37,"",0,1),0),$A1104-TEXT(DATEVALUE($D1104&amp;"-01"), "dd-mm-yyyy")),0),0)</f>
        <v>36</v>
      </c>
      <c r="H1104" cm="1">
        <f t="array" ref="H1104">IF($Q1104&gt;=0,IFERROR(generateSalesData($D1104, IF(ISNUMBER(_xlfn.XLOOKUP($C1104,Phone_by_Sentiment!$B$2:$B$37,Phone_by_Sentiment!H$2:H$37,"",0,1)),_xlfn.XLOOKUP($C1104,Phone_by_Sentiment!$B$2:$B$37,Phone_by_Sentiment!H$2:H$37,"",0,1),0),$A1104-TEXT(DATEVALUE($D1104&amp;"-01"), "dd-mm-yyyy")),0),0)</f>
        <v>958</v>
      </c>
      <c r="I1104" cm="1">
        <f t="array" ref="I1104">IF($Q1104&gt;=0,IFERROR(generateSalesData($D1104, IF(ISNUMBER(_xlfn.XLOOKUP($C1104,Phone_by_Sentiment!$B$2:$B$37,Phone_by_Sentiment!I$2:I$37,"",0,1)),_xlfn.XLOOKUP($C1104,Phone_by_Sentiment!$B$2:$B$37,Phone_by_Sentiment!I$2:I$37,"",0,1),0),$A1104-TEXT(DATEVALUE($D1104&amp;"-01"), "dd-mm-yyyy")),0),0)</f>
        <v>1883</v>
      </c>
      <c r="J1104" cm="1">
        <f t="array" ref="J1104">IF($Q1104&gt;=0,IFERROR(generateSalesData($D1104, IF(ISNUMBER(_xlfn.XLOOKUP($C1104,Phone_by_Sentiment!$B$2:$B$37,Phone_by_Sentiment!J$2:J$37,"",0,1)),_xlfn.XLOOKUP($C1104,Phone_by_Sentiment!$B$2:$B$37,Phone_by_Sentiment!J$2:J$37,"",0,1),0),$A1104-TEXT(DATEVALUE($D1104&amp;"-01"), "dd-mm-yyyy")),0),0)</f>
        <v>2057</v>
      </c>
      <c r="K1104" cm="1">
        <f t="array" ref="K1104">IF($Q1104&gt;=0,IFERROR(generateSalesData($D1104, IF(ISNUMBER(_xlfn.XLOOKUP($C1104,Phone_by_Sentiment!$B$2:$B$37,Phone_by_Sentiment!K$2:K$37,"",0,1)),_xlfn.XLOOKUP($C1104,Phone_by_Sentiment!$B$2:$B$37,Phone_by_Sentiment!K$2:K$37,"",0,1),0),$A1104-TEXT(DATEVALUE($D1104&amp;"-01"), "dd-mm-yyyy")),0),0)</f>
        <v>338</v>
      </c>
      <c r="L1104" cm="1">
        <f t="array" ref="L1104">IF($Q1104&gt;=0,IFERROR(generateSalesData($D1104, IF(ISNUMBER(_xlfn.XLOOKUP($C1104,Phone_by_Sentiment!$B$2:$B$37,Phone_by_Sentiment!L$2:L$37,"",0,1)),_xlfn.XLOOKUP($C1104,Phone_by_Sentiment!$B$2:$B$37,Phone_by_Sentiment!L$2:L$37,"",0,1),0),$A1104-TEXT(DATEVALUE($D1104&amp;"-01"), "dd-mm-yyyy")),0),0)</f>
        <v>962</v>
      </c>
      <c r="M1104" cm="1">
        <f t="array" ref="M1104">IF($Q1104&gt;=0,IFERROR(generateSalesData($D1104, IF(ISNUMBER(_xlfn.XLOOKUP($C1104,Phone_by_Sentiment!$B$2:$B$37,Phone_by_Sentiment!M$2:M$37,"",0,1)),_xlfn.XLOOKUP($C1104,Phone_by_Sentiment!$B$2:$B$37,Phone_by_Sentiment!M$2:M$37,"",0,1),0),$A1104-TEXT(DATEVALUE($D1104&amp;"-01"), "dd-mm-yyyy")),0),0)</f>
        <v>1124</v>
      </c>
      <c r="N1104" cm="1">
        <f t="array" ref="N1104">IF($Q1104&gt;=0,IFERROR(generateSalesData($D1104, IF(ISNUMBER(_xlfn.XLOOKUP($C1104,Phone_by_Sentiment!$B$2:$B$37,Phone_by_Sentiment!N$2:N$37,"",0,1)),_xlfn.XLOOKUP($C1104,Phone_by_Sentiment!$B$2:$B$37,Phone_by_Sentiment!N$2:N$37,"",0,1),0),$A1104-TEXT(DATEVALUE($D1104&amp;"-01"), "dd-mm-yyyy")),0),0)</f>
        <v>1495</v>
      </c>
      <c r="O1104" cm="1">
        <f t="array" ref="O1104">IF($Q1104&gt;=0,IFERROR(generateSalesData($D1104, IF(ISNUMBER(_xlfn.XLOOKUP($C1104,Phone_by_Sentiment!$B$2:$B$37,Phone_by_Sentiment!O$2:O$37,"",0,1)),_xlfn.XLOOKUP($C1104,Phone_by_Sentiment!$B$2:$B$37,Phone_by_Sentiment!O$2:O$37,"",0,1),0),$A1104-TEXT(DATEVALUE($D1104&amp;"-01"), "dd-mm-yyyy")),0),0)</f>
        <v>1921</v>
      </c>
      <c r="P1104" s="1">
        <f t="shared" si="46"/>
        <v>44197</v>
      </c>
      <c r="Q1104">
        <f t="shared" si="47"/>
        <v>212</v>
      </c>
    </row>
    <row r="1105" spans="1:17" x14ac:dyDescent="0.25">
      <c r="A1105" s="1">
        <f t="shared" si="48"/>
        <v>44409</v>
      </c>
      <c r="B1105" t="s">
        <v>155</v>
      </c>
      <c r="C1105" t="str">
        <f>_xlfn.XLOOKUP(B1105,Phone_by_Price!$A$2:$A$34,Phone_by_Price!$B$2:$B$34,"-",0,1)</f>
        <v>Google Pixel 6</v>
      </c>
      <c r="D1105" t="str">
        <f>_xlfn.XLOOKUP(C1105,Phone_by_Sentiment!$B$2:$B$37,Phone_by_Sentiment!$A$2:$A$37,"-",0,1)</f>
        <v>2021-10</v>
      </c>
      <c r="E1105" cm="1">
        <f t="array" ref="E1105">IF($Q1105&gt;=0,IFERROR(generateSalesData($D1105, IF(ISNUMBER(_xlfn.XLOOKUP($C1105,Phone_by_Sentiment!$B$2:$B$37,Phone_by_Sentiment!E$2:E$37,"",0,1)),_xlfn.XLOOKUP($C1105,Phone_by_Sentiment!$B$2:$B$37,Phone_by_Sentiment!E$2:E$37,"",0,1),0),$A1105-TEXT(DATEVALUE($D1105&amp;"-01"), "dd-mm-yyyy")),0),0)</f>
        <v>0</v>
      </c>
      <c r="F1105" cm="1">
        <f t="array" ref="F1105">IF($Q1105&gt;=0,IFERROR(generateSalesData($D1105, IF(ISNUMBER(_xlfn.XLOOKUP($C1105,Phone_by_Sentiment!$B$2:$B$37,Phone_by_Sentiment!F$2:F$37,"",0,1)),_xlfn.XLOOKUP($C1105,Phone_by_Sentiment!$B$2:$B$37,Phone_by_Sentiment!F$2:F$37,"",0,1),0),$A1105-TEXT(DATEVALUE($D1105&amp;"-01"), "dd-mm-yyyy")),0),0)</f>
        <v>0</v>
      </c>
      <c r="G1105" cm="1">
        <f t="array" ref="G1105">IF($Q1105&gt;=0,IFERROR(generateSalesData($D1105, IF(ISNUMBER(_xlfn.XLOOKUP($C1105,Phone_by_Sentiment!$B$2:$B$37,Phone_by_Sentiment!G$2:G$37,"",0,1)),_xlfn.XLOOKUP($C1105,Phone_by_Sentiment!$B$2:$B$37,Phone_by_Sentiment!G$2:G$37,"",0,1),0),$A1105-TEXT(DATEVALUE($D1105&amp;"-01"), "dd-mm-yyyy")),0),0)</f>
        <v>0</v>
      </c>
      <c r="H1105" cm="1">
        <f t="array" ref="H1105">IF($Q1105&gt;=0,IFERROR(generateSalesData($D1105, IF(ISNUMBER(_xlfn.XLOOKUP($C1105,Phone_by_Sentiment!$B$2:$B$37,Phone_by_Sentiment!H$2:H$37,"",0,1)),_xlfn.XLOOKUP($C1105,Phone_by_Sentiment!$B$2:$B$37,Phone_by_Sentiment!H$2:H$37,"",0,1),0),$A1105-TEXT(DATEVALUE($D1105&amp;"-01"), "dd-mm-yyyy")),0),0)</f>
        <v>0</v>
      </c>
      <c r="I1105" cm="1">
        <f t="array" ref="I1105">IF($Q1105&gt;=0,IFERROR(generateSalesData($D1105, IF(ISNUMBER(_xlfn.XLOOKUP($C1105,Phone_by_Sentiment!$B$2:$B$37,Phone_by_Sentiment!I$2:I$37,"",0,1)),_xlfn.XLOOKUP($C1105,Phone_by_Sentiment!$B$2:$B$37,Phone_by_Sentiment!I$2:I$37,"",0,1),0),$A1105-TEXT(DATEVALUE($D1105&amp;"-01"), "dd-mm-yyyy")),0),0)</f>
        <v>0</v>
      </c>
      <c r="J1105" cm="1">
        <f t="array" ref="J1105">IF($Q1105&gt;=0,IFERROR(generateSalesData($D1105, IF(ISNUMBER(_xlfn.XLOOKUP($C1105,Phone_by_Sentiment!$B$2:$B$37,Phone_by_Sentiment!J$2:J$37,"",0,1)),_xlfn.XLOOKUP($C1105,Phone_by_Sentiment!$B$2:$B$37,Phone_by_Sentiment!J$2:J$37,"",0,1),0),$A1105-TEXT(DATEVALUE($D1105&amp;"-01"), "dd-mm-yyyy")),0),0)</f>
        <v>0</v>
      </c>
      <c r="K1105" cm="1">
        <f t="array" ref="K1105">IF($Q1105&gt;=0,IFERROR(generateSalesData($D1105, IF(ISNUMBER(_xlfn.XLOOKUP($C1105,Phone_by_Sentiment!$B$2:$B$37,Phone_by_Sentiment!K$2:K$37,"",0,1)),_xlfn.XLOOKUP($C1105,Phone_by_Sentiment!$B$2:$B$37,Phone_by_Sentiment!K$2:K$37,"",0,1),0),$A1105-TEXT(DATEVALUE($D1105&amp;"-01"), "dd-mm-yyyy")),0),0)</f>
        <v>0</v>
      </c>
      <c r="L1105" cm="1">
        <f t="array" ref="L1105">IF($Q1105&gt;=0,IFERROR(generateSalesData($D1105, IF(ISNUMBER(_xlfn.XLOOKUP($C1105,Phone_by_Sentiment!$B$2:$B$37,Phone_by_Sentiment!L$2:L$37,"",0,1)),_xlfn.XLOOKUP($C1105,Phone_by_Sentiment!$B$2:$B$37,Phone_by_Sentiment!L$2:L$37,"",0,1),0),$A1105-TEXT(DATEVALUE($D1105&amp;"-01"), "dd-mm-yyyy")),0),0)</f>
        <v>0</v>
      </c>
      <c r="M1105" cm="1">
        <f t="array" ref="M1105">IF($Q1105&gt;=0,IFERROR(generateSalesData($D1105, IF(ISNUMBER(_xlfn.XLOOKUP($C1105,Phone_by_Sentiment!$B$2:$B$37,Phone_by_Sentiment!M$2:M$37,"",0,1)),_xlfn.XLOOKUP($C1105,Phone_by_Sentiment!$B$2:$B$37,Phone_by_Sentiment!M$2:M$37,"",0,1),0),$A1105-TEXT(DATEVALUE($D1105&amp;"-01"), "dd-mm-yyyy")),0),0)</f>
        <v>0</v>
      </c>
      <c r="N1105" cm="1">
        <f t="array" ref="N1105">IF($Q1105&gt;=0,IFERROR(generateSalesData($D1105, IF(ISNUMBER(_xlfn.XLOOKUP($C1105,Phone_by_Sentiment!$B$2:$B$37,Phone_by_Sentiment!N$2:N$37,"",0,1)),_xlfn.XLOOKUP($C1105,Phone_by_Sentiment!$B$2:$B$37,Phone_by_Sentiment!N$2:N$37,"",0,1),0),$A1105-TEXT(DATEVALUE($D1105&amp;"-01"), "dd-mm-yyyy")),0),0)</f>
        <v>0</v>
      </c>
      <c r="O1105" cm="1">
        <f t="array" ref="O1105">IF($Q1105&gt;=0,IFERROR(generateSalesData($D1105, IF(ISNUMBER(_xlfn.XLOOKUP($C1105,Phone_by_Sentiment!$B$2:$B$37,Phone_by_Sentiment!O$2:O$37,"",0,1)),_xlfn.XLOOKUP($C1105,Phone_by_Sentiment!$B$2:$B$37,Phone_by_Sentiment!O$2:O$37,"",0,1),0),$A1105-TEXT(DATEVALUE($D1105&amp;"-01"), "dd-mm-yyyy")),0),0)</f>
        <v>0</v>
      </c>
      <c r="P1105" s="1">
        <f t="shared" si="46"/>
        <v>44470</v>
      </c>
      <c r="Q1105">
        <f t="shared" si="47"/>
        <v>-61</v>
      </c>
    </row>
    <row r="1106" spans="1:17" x14ac:dyDescent="0.25">
      <c r="A1106" s="1">
        <f t="shared" si="48"/>
        <v>44409</v>
      </c>
      <c r="B1106" t="s">
        <v>156</v>
      </c>
      <c r="C1106" t="str">
        <f>_xlfn.XLOOKUP(B1106,Phone_by_Price!$A$2:$A$34,Phone_by_Price!$B$2:$B$34,"-",0,1)</f>
        <v>OnePlus Nord CE</v>
      </c>
      <c r="D1106" t="str">
        <f>_xlfn.XLOOKUP(C1106,Phone_by_Sentiment!$B$2:$B$37,Phone_by_Sentiment!$A$2:$A$37,"-",0,1)</f>
        <v>2021-06</v>
      </c>
      <c r="E1106" cm="1">
        <f t="array" ref="E1106">IF($Q1106&gt;=0,IFERROR(generateSalesData($D1106, IF(ISNUMBER(_xlfn.XLOOKUP($C1106,Phone_by_Sentiment!$B$2:$B$37,Phone_by_Sentiment!E$2:E$37,"",0,1)),_xlfn.XLOOKUP($C1106,Phone_by_Sentiment!$B$2:$B$37,Phone_by_Sentiment!E$2:E$37,"",0,1),0),$A1106-TEXT(DATEVALUE($D1106&amp;"-01"), "dd-mm-yyyy")),0),0)</f>
        <v>347</v>
      </c>
      <c r="F1106" cm="1">
        <f t="array" ref="F1106">IF($Q1106&gt;=0,IFERROR(generateSalesData($D1106, IF(ISNUMBER(_xlfn.XLOOKUP($C1106,Phone_by_Sentiment!$B$2:$B$37,Phone_by_Sentiment!F$2:F$37,"",0,1)),_xlfn.XLOOKUP($C1106,Phone_by_Sentiment!$B$2:$B$37,Phone_by_Sentiment!F$2:F$37,"",0,1),0),$A1106-TEXT(DATEVALUE($D1106&amp;"-01"), "dd-mm-yyyy")),0),0)</f>
        <v>381</v>
      </c>
      <c r="G1106" cm="1">
        <f t="array" ref="G1106">IF($Q1106&gt;=0,IFERROR(generateSalesData($D1106, IF(ISNUMBER(_xlfn.XLOOKUP($C1106,Phone_by_Sentiment!$B$2:$B$37,Phone_by_Sentiment!G$2:G$37,"",0,1)),_xlfn.XLOOKUP($C1106,Phone_by_Sentiment!$B$2:$B$37,Phone_by_Sentiment!G$2:G$37,"",0,1),0),$A1106-TEXT(DATEVALUE($D1106&amp;"-01"), "dd-mm-yyyy")),0),0)</f>
        <v>311</v>
      </c>
      <c r="H1106" cm="1">
        <f t="array" ref="H1106">IF($Q1106&gt;=0,IFERROR(generateSalesData($D1106, IF(ISNUMBER(_xlfn.XLOOKUP($C1106,Phone_by_Sentiment!$B$2:$B$37,Phone_by_Sentiment!H$2:H$37,"",0,1)),_xlfn.XLOOKUP($C1106,Phone_by_Sentiment!$B$2:$B$37,Phone_by_Sentiment!H$2:H$37,"",0,1),0),$A1106-TEXT(DATEVALUE($D1106&amp;"-01"), "dd-mm-yyyy")),0),0)</f>
        <v>3127</v>
      </c>
      <c r="I1106" cm="1">
        <f t="array" ref="I1106">IF($Q1106&gt;=0,IFERROR(generateSalesData($D1106, IF(ISNUMBER(_xlfn.XLOOKUP($C1106,Phone_by_Sentiment!$B$2:$B$37,Phone_by_Sentiment!I$2:I$37,"",0,1)),_xlfn.XLOOKUP($C1106,Phone_by_Sentiment!$B$2:$B$37,Phone_by_Sentiment!I$2:I$37,"",0,1),0),$A1106-TEXT(DATEVALUE($D1106&amp;"-01"), "dd-mm-yyyy")),0),0)</f>
        <v>679</v>
      </c>
      <c r="J1106" cm="1">
        <f t="array" ref="J1106">IF($Q1106&gt;=0,IFERROR(generateSalesData($D1106, IF(ISNUMBER(_xlfn.XLOOKUP($C1106,Phone_by_Sentiment!$B$2:$B$37,Phone_by_Sentiment!J$2:J$37,"",0,1)),_xlfn.XLOOKUP($C1106,Phone_by_Sentiment!$B$2:$B$37,Phone_by_Sentiment!J$2:J$37,"",0,1),0),$A1106-TEXT(DATEVALUE($D1106&amp;"-01"), "dd-mm-yyyy")),0),0)</f>
        <v>447</v>
      </c>
      <c r="K1106" cm="1">
        <f t="array" ref="K1106">IF($Q1106&gt;=0,IFERROR(generateSalesData($D1106, IF(ISNUMBER(_xlfn.XLOOKUP($C1106,Phone_by_Sentiment!$B$2:$B$37,Phone_by_Sentiment!K$2:K$37,"",0,1)),_xlfn.XLOOKUP($C1106,Phone_by_Sentiment!$B$2:$B$37,Phone_by_Sentiment!K$2:K$37,"",0,1),0),$A1106-TEXT(DATEVALUE($D1106&amp;"-01"), "dd-mm-yyyy")),0),0)</f>
        <v>251</v>
      </c>
      <c r="L1106" cm="1">
        <f t="array" ref="L1106">IF($Q1106&gt;=0,IFERROR(generateSalesData($D1106, IF(ISNUMBER(_xlfn.XLOOKUP($C1106,Phone_by_Sentiment!$B$2:$B$37,Phone_by_Sentiment!L$2:L$37,"",0,1)),_xlfn.XLOOKUP($C1106,Phone_by_Sentiment!$B$2:$B$37,Phone_by_Sentiment!L$2:L$37,"",0,1),0),$A1106-TEXT(DATEVALUE($D1106&amp;"-01"), "dd-mm-yyyy")),0),0)</f>
        <v>484</v>
      </c>
      <c r="M1106" cm="1">
        <f t="array" ref="M1106">IF($Q1106&gt;=0,IFERROR(generateSalesData($D1106, IF(ISNUMBER(_xlfn.XLOOKUP($C1106,Phone_by_Sentiment!$B$2:$B$37,Phone_by_Sentiment!M$2:M$37,"",0,1)),_xlfn.XLOOKUP($C1106,Phone_by_Sentiment!$B$2:$B$37,Phone_by_Sentiment!M$2:M$37,"",0,1),0),$A1106-TEXT(DATEVALUE($D1106&amp;"-01"), "dd-mm-yyyy")),0),0)</f>
        <v>509</v>
      </c>
      <c r="N1106" cm="1">
        <f t="array" ref="N1106">IF($Q1106&gt;=0,IFERROR(generateSalesData($D1106, IF(ISNUMBER(_xlfn.XLOOKUP($C1106,Phone_by_Sentiment!$B$2:$B$37,Phone_by_Sentiment!N$2:N$37,"",0,1)),_xlfn.XLOOKUP($C1106,Phone_by_Sentiment!$B$2:$B$37,Phone_by_Sentiment!N$2:N$37,"",0,1),0),$A1106-TEXT(DATEVALUE($D1106&amp;"-01"), "dd-mm-yyyy")),0),0)</f>
        <v>5941</v>
      </c>
      <c r="O1106" cm="1">
        <f t="array" ref="O1106">IF($Q1106&gt;=0,IFERROR(generateSalesData($D1106, IF(ISNUMBER(_xlfn.XLOOKUP($C1106,Phone_by_Sentiment!$B$2:$B$37,Phone_by_Sentiment!O$2:O$37,"",0,1)),_xlfn.XLOOKUP($C1106,Phone_by_Sentiment!$B$2:$B$37,Phone_by_Sentiment!O$2:O$37,"",0,1),0),$A1106-TEXT(DATEVALUE($D1106&amp;"-01"), "dd-mm-yyyy")),0),0)</f>
        <v>797</v>
      </c>
      <c r="P1106" s="1">
        <f t="shared" si="46"/>
        <v>44348</v>
      </c>
      <c r="Q1106">
        <f t="shared" si="47"/>
        <v>61</v>
      </c>
    </row>
    <row r="1107" spans="1:17" x14ac:dyDescent="0.25">
      <c r="A1107" s="1">
        <f t="shared" si="48"/>
        <v>44409</v>
      </c>
      <c r="B1107" t="s">
        <v>157</v>
      </c>
      <c r="C1107" t="str">
        <f>_xlfn.XLOOKUP(B1107,Phone_by_Price!$A$2:$A$34,Phone_by_Price!$B$2:$B$34,"-",0,1)</f>
        <v>Apple iPhone 13 Pro</v>
      </c>
      <c r="D1107" t="str">
        <f>_xlfn.XLOOKUP(C1107,Phone_by_Sentiment!$B$2:$B$37,Phone_by_Sentiment!$A$2:$A$37,"-",0,1)</f>
        <v>2021-09</v>
      </c>
      <c r="E1107" cm="1">
        <f t="array" ref="E1107">IF($Q1107&gt;=0,IFERROR(generateSalesData($D1107, IF(ISNUMBER(_xlfn.XLOOKUP($C1107,Phone_by_Sentiment!$B$2:$B$37,Phone_by_Sentiment!E$2:E$37,"",0,1)),_xlfn.XLOOKUP($C1107,Phone_by_Sentiment!$B$2:$B$37,Phone_by_Sentiment!E$2:E$37,"",0,1),0),$A1107-TEXT(DATEVALUE($D1107&amp;"-01"), "dd-mm-yyyy")),0),0)</f>
        <v>0</v>
      </c>
      <c r="F1107" cm="1">
        <f t="array" ref="F1107">IF($Q1107&gt;=0,IFERROR(generateSalesData($D1107, IF(ISNUMBER(_xlfn.XLOOKUP($C1107,Phone_by_Sentiment!$B$2:$B$37,Phone_by_Sentiment!F$2:F$37,"",0,1)),_xlfn.XLOOKUP($C1107,Phone_by_Sentiment!$B$2:$B$37,Phone_by_Sentiment!F$2:F$37,"",0,1),0),$A1107-TEXT(DATEVALUE($D1107&amp;"-01"), "dd-mm-yyyy")),0),0)</f>
        <v>0</v>
      </c>
      <c r="G1107" cm="1">
        <f t="array" ref="G1107">IF($Q1107&gt;=0,IFERROR(generateSalesData($D1107, IF(ISNUMBER(_xlfn.XLOOKUP($C1107,Phone_by_Sentiment!$B$2:$B$37,Phone_by_Sentiment!G$2:G$37,"",0,1)),_xlfn.XLOOKUP($C1107,Phone_by_Sentiment!$B$2:$B$37,Phone_by_Sentiment!G$2:G$37,"",0,1),0),$A1107-TEXT(DATEVALUE($D1107&amp;"-01"), "dd-mm-yyyy")),0),0)</f>
        <v>0</v>
      </c>
      <c r="H1107" cm="1">
        <f t="array" ref="H1107">IF($Q1107&gt;=0,IFERROR(generateSalesData($D1107, IF(ISNUMBER(_xlfn.XLOOKUP($C1107,Phone_by_Sentiment!$B$2:$B$37,Phone_by_Sentiment!H$2:H$37,"",0,1)),_xlfn.XLOOKUP($C1107,Phone_by_Sentiment!$B$2:$B$37,Phone_by_Sentiment!H$2:H$37,"",0,1),0),$A1107-TEXT(DATEVALUE($D1107&amp;"-01"), "dd-mm-yyyy")),0),0)</f>
        <v>0</v>
      </c>
      <c r="I1107" cm="1">
        <f t="array" ref="I1107">IF($Q1107&gt;=0,IFERROR(generateSalesData($D1107, IF(ISNUMBER(_xlfn.XLOOKUP($C1107,Phone_by_Sentiment!$B$2:$B$37,Phone_by_Sentiment!I$2:I$37,"",0,1)),_xlfn.XLOOKUP($C1107,Phone_by_Sentiment!$B$2:$B$37,Phone_by_Sentiment!I$2:I$37,"",0,1),0),$A1107-TEXT(DATEVALUE($D1107&amp;"-01"), "dd-mm-yyyy")),0),0)</f>
        <v>0</v>
      </c>
      <c r="J1107" cm="1">
        <f t="array" ref="J1107">IF($Q1107&gt;=0,IFERROR(generateSalesData($D1107, IF(ISNUMBER(_xlfn.XLOOKUP($C1107,Phone_by_Sentiment!$B$2:$B$37,Phone_by_Sentiment!J$2:J$37,"",0,1)),_xlfn.XLOOKUP($C1107,Phone_by_Sentiment!$B$2:$B$37,Phone_by_Sentiment!J$2:J$37,"",0,1),0),$A1107-TEXT(DATEVALUE($D1107&amp;"-01"), "dd-mm-yyyy")),0),0)</f>
        <v>0</v>
      </c>
      <c r="K1107" cm="1">
        <f t="array" ref="K1107">IF($Q1107&gt;=0,IFERROR(generateSalesData($D1107, IF(ISNUMBER(_xlfn.XLOOKUP($C1107,Phone_by_Sentiment!$B$2:$B$37,Phone_by_Sentiment!K$2:K$37,"",0,1)),_xlfn.XLOOKUP($C1107,Phone_by_Sentiment!$B$2:$B$37,Phone_by_Sentiment!K$2:K$37,"",0,1),0),$A1107-TEXT(DATEVALUE($D1107&amp;"-01"), "dd-mm-yyyy")),0),0)</f>
        <v>0</v>
      </c>
      <c r="L1107" cm="1">
        <f t="array" ref="L1107">IF($Q1107&gt;=0,IFERROR(generateSalesData($D1107, IF(ISNUMBER(_xlfn.XLOOKUP($C1107,Phone_by_Sentiment!$B$2:$B$37,Phone_by_Sentiment!L$2:L$37,"",0,1)),_xlfn.XLOOKUP($C1107,Phone_by_Sentiment!$B$2:$B$37,Phone_by_Sentiment!L$2:L$37,"",0,1),0),$A1107-TEXT(DATEVALUE($D1107&amp;"-01"), "dd-mm-yyyy")),0),0)</f>
        <v>0</v>
      </c>
      <c r="M1107" cm="1">
        <f t="array" ref="M1107">IF($Q1107&gt;=0,IFERROR(generateSalesData($D1107, IF(ISNUMBER(_xlfn.XLOOKUP($C1107,Phone_by_Sentiment!$B$2:$B$37,Phone_by_Sentiment!M$2:M$37,"",0,1)),_xlfn.XLOOKUP($C1107,Phone_by_Sentiment!$B$2:$B$37,Phone_by_Sentiment!M$2:M$37,"",0,1),0),$A1107-TEXT(DATEVALUE($D1107&amp;"-01"), "dd-mm-yyyy")),0),0)</f>
        <v>0</v>
      </c>
      <c r="N1107" cm="1">
        <f t="array" ref="N1107">IF($Q1107&gt;=0,IFERROR(generateSalesData($D1107, IF(ISNUMBER(_xlfn.XLOOKUP($C1107,Phone_by_Sentiment!$B$2:$B$37,Phone_by_Sentiment!N$2:N$37,"",0,1)),_xlfn.XLOOKUP($C1107,Phone_by_Sentiment!$B$2:$B$37,Phone_by_Sentiment!N$2:N$37,"",0,1),0),$A1107-TEXT(DATEVALUE($D1107&amp;"-01"), "dd-mm-yyyy")),0),0)</f>
        <v>0</v>
      </c>
      <c r="O1107" cm="1">
        <f t="array" ref="O1107">IF($Q1107&gt;=0,IFERROR(generateSalesData($D1107, IF(ISNUMBER(_xlfn.XLOOKUP($C1107,Phone_by_Sentiment!$B$2:$B$37,Phone_by_Sentiment!O$2:O$37,"",0,1)),_xlfn.XLOOKUP($C1107,Phone_by_Sentiment!$B$2:$B$37,Phone_by_Sentiment!O$2:O$37,"",0,1),0),$A1107-TEXT(DATEVALUE($D1107&amp;"-01"), "dd-mm-yyyy")),0),0)</f>
        <v>0</v>
      </c>
      <c r="P1107" s="1">
        <f t="shared" si="46"/>
        <v>44440</v>
      </c>
      <c r="Q1107">
        <f t="shared" si="47"/>
        <v>-31</v>
      </c>
    </row>
    <row r="1108" spans="1:17" x14ac:dyDescent="0.25">
      <c r="A1108" s="1">
        <f t="shared" si="48"/>
        <v>44409</v>
      </c>
      <c r="B1108" t="s">
        <v>158</v>
      </c>
      <c r="C1108" t="str">
        <f>_xlfn.XLOOKUP(B1108,Phone_by_Price!$A$2:$A$34,Phone_by_Price!$B$2:$B$34,"-",0,1)</f>
        <v>Samsung Galaxy A32 5G</v>
      </c>
      <c r="D1108" t="str">
        <f>_xlfn.XLOOKUP(C1108,Phone_by_Sentiment!$B$2:$B$37,Phone_by_Sentiment!$A$2:$A$37,"-",0,1)</f>
        <v>2021-02</v>
      </c>
      <c r="E1108" cm="1">
        <f t="array" ref="E1108">IF($Q1108&gt;=0,IFERROR(generateSalesData($D1108, IF(ISNUMBER(_xlfn.XLOOKUP($C1108,Phone_by_Sentiment!$B$2:$B$37,Phone_by_Sentiment!E$2:E$37,"",0,1)),_xlfn.XLOOKUP($C1108,Phone_by_Sentiment!$B$2:$B$37,Phone_by_Sentiment!E$2:E$37,"",0,1),0),$A1108-TEXT(DATEVALUE($D1108&amp;"-01"), "dd-mm-yyyy")),0),0)</f>
        <v>1011</v>
      </c>
      <c r="F1108" cm="1">
        <f t="array" ref="F1108">IF($Q1108&gt;=0,IFERROR(generateSalesData($D1108, IF(ISNUMBER(_xlfn.XLOOKUP($C1108,Phone_by_Sentiment!$B$2:$B$37,Phone_by_Sentiment!F$2:F$37,"",0,1)),_xlfn.XLOOKUP($C1108,Phone_by_Sentiment!$B$2:$B$37,Phone_by_Sentiment!F$2:F$37,"",0,1),0),$A1108-TEXT(DATEVALUE($D1108&amp;"-01"), "dd-mm-yyyy")),0),0)</f>
        <v>963</v>
      </c>
      <c r="G1108" cm="1">
        <f t="array" ref="G1108">IF($Q1108&gt;=0,IFERROR(generateSalesData($D1108, IF(ISNUMBER(_xlfn.XLOOKUP($C1108,Phone_by_Sentiment!$B$2:$B$37,Phone_by_Sentiment!G$2:G$37,"",0,1)),_xlfn.XLOOKUP($C1108,Phone_by_Sentiment!$B$2:$B$37,Phone_by_Sentiment!G$2:G$37,"",0,1),0),$A1108-TEXT(DATEVALUE($D1108&amp;"-01"), "dd-mm-yyyy")),0),0)</f>
        <v>369</v>
      </c>
      <c r="H1108" cm="1">
        <f t="array" ref="H1108">IF($Q1108&gt;=0,IFERROR(generateSalesData($D1108, IF(ISNUMBER(_xlfn.XLOOKUP($C1108,Phone_by_Sentiment!$B$2:$B$37,Phone_by_Sentiment!H$2:H$37,"",0,1)),_xlfn.XLOOKUP($C1108,Phone_by_Sentiment!$B$2:$B$37,Phone_by_Sentiment!H$2:H$37,"",0,1),0),$A1108-TEXT(DATEVALUE($D1108&amp;"-01"), "dd-mm-yyyy")),0),0)</f>
        <v>1022</v>
      </c>
      <c r="I1108" cm="1">
        <f t="array" ref="I1108">IF($Q1108&gt;=0,IFERROR(generateSalesData($D1108, IF(ISNUMBER(_xlfn.XLOOKUP($C1108,Phone_by_Sentiment!$B$2:$B$37,Phone_by_Sentiment!I$2:I$37,"",0,1)),_xlfn.XLOOKUP($C1108,Phone_by_Sentiment!$B$2:$B$37,Phone_by_Sentiment!I$2:I$37,"",0,1),0),$A1108-TEXT(DATEVALUE($D1108&amp;"-01"), "dd-mm-yyyy")),0),0)</f>
        <v>1110</v>
      </c>
      <c r="J1108" cm="1">
        <f t="array" ref="J1108">IF($Q1108&gt;=0,IFERROR(generateSalesData($D1108, IF(ISNUMBER(_xlfn.XLOOKUP($C1108,Phone_by_Sentiment!$B$2:$B$37,Phone_by_Sentiment!J$2:J$37,"",0,1)),_xlfn.XLOOKUP($C1108,Phone_by_Sentiment!$B$2:$B$37,Phone_by_Sentiment!J$2:J$37,"",0,1),0),$A1108-TEXT(DATEVALUE($D1108&amp;"-01"), "dd-mm-yyyy")),0),0)</f>
        <v>1066</v>
      </c>
      <c r="K1108" cm="1">
        <f t="array" ref="K1108">IF($Q1108&gt;=0,IFERROR(generateSalesData($D1108, IF(ISNUMBER(_xlfn.XLOOKUP($C1108,Phone_by_Sentiment!$B$2:$B$37,Phone_by_Sentiment!K$2:K$37,"",0,1)),_xlfn.XLOOKUP($C1108,Phone_by_Sentiment!$B$2:$B$37,Phone_by_Sentiment!K$2:K$37,"",0,1),0),$A1108-TEXT(DATEVALUE($D1108&amp;"-01"), "dd-mm-yyyy")),0),0)</f>
        <v>937</v>
      </c>
      <c r="L1108" cm="1">
        <f t="array" ref="L1108">IF($Q1108&gt;=0,IFERROR(generateSalesData($D1108, IF(ISNUMBER(_xlfn.XLOOKUP($C1108,Phone_by_Sentiment!$B$2:$B$37,Phone_by_Sentiment!L$2:L$37,"",0,1)),_xlfn.XLOOKUP($C1108,Phone_by_Sentiment!$B$2:$B$37,Phone_by_Sentiment!L$2:L$37,"",0,1),0),$A1108-TEXT(DATEVALUE($D1108&amp;"-01"), "dd-mm-yyyy")),0),0)</f>
        <v>1021</v>
      </c>
      <c r="M1108" cm="1">
        <f t="array" ref="M1108">IF($Q1108&gt;=0,IFERROR(generateSalesData($D1108, IF(ISNUMBER(_xlfn.XLOOKUP($C1108,Phone_by_Sentiment!$B$2:$B$37,Phone_by_Sentiment!M$2:M$37,"",0,1)),_xlfn.XLOOKUP($C1108,Phone_by_Sentiment!$B$2:$B$37,Phone_by_Sentiment!M$2:M$37,"",0,1),0),$A1108-TEXT(DATEVALUE($D1108&amp;"-01"), "dd-mm-yyyy")),0),0)</f>
        <v>407</v>
      </c>
      <c r="N1108" cm="1">
        <f t="array" ref="N1108">IF($Q1108&gt;=0,IFERROR(generateSalesData($D1108, IF(ISNUMBER(_xlfn.XLOOKUP($C1108,Phone_by_Sentiment!$B$2:$B$37,Phone_by_Sentiment!N$2:N$37,"",0,1)),_xlfn.XLOOKUP($C1108,Phone_by_Sentiment!$B$2:$B$37,Phone_by_Sentiment!N$2:N$37,"",0,1),0),$A1108-TEXT(DATEVALUE($D1108&amp;"-01"), "dd-mm-yyyy")),0),0)</f>
        <v>-402</v>
      </c>
      <c r="O1108" cm="1">
        <f t="array" ref="O1108">IF($Q1108&gt;=0,IFERROR(generateSalesData($D1108, IF(ISNUMBER(_xlfn.XLOOKUP($C1108,Phone_by_Sentiment!$B$2:$B$37,Phone_by_Sentiment!O$2:O$37,"",0,1)),_xlfn.XLOOKUP($C1108,Phone_by_Sentiment!$B$2:$B$37,Phone_by_Sentiment!O$2:O$37,"",0,1),0),$A1108-TEXT(DATEVALUE($D1108&amp;"-01"), "dd-mm-yyyy")),0),0)</f>
        <v>1018</v>
      </c>
      <c r="P1108" s="1">
        <f t="shared" si="46"/>
        <v>44228</v>
      </c>
      <c r="Q1108">
        <f t="shared" si="47"/>
        <v>181</v>
      </c>
    </row>
    <row r="1109" spans="1:17" x14ac:dyDescent="0.25">
      <c r="A1109" s="1">
        <f t="shared" si="48"/>
        <v>44409</v>
      </c>
      <c r="B1109" t="s">
        <v>159</v>
      </c>
      <c r="C1109" t="str">
        <f>_xlfn.XLOOKUP(B1109,Phone_by_Price!$A$2:$A$34,Phone_by_Price!$B$2:$B$34,"-",0,1)</f>
        <v>Realme C25</v>
      </c>
      <c r="D1109" t="str">
        <f>_xlfn.XLOOKUP(C1109,Phone_by_Sentiment!$B$2:$B$37,Phone_by_Sentiment!$A$2:$A$37,"-",0,1)</f>
        <v>2021-03</v>
      </c>
      <c r="E1109" cm="1">
        <f t="array" ref="E1109">IF($Q1109&gt;=0,IFERROR(generateSalesData($D1109, IF(ISNUMBER(_xlfn.XLOOKUP($C1109,Phone_by_Sentiment!$B$2:$B$37,Phone_by_Sentiment!E$2:E$37,"",0,1)),_xlfn.XLOOKUP($C1109,Phone_by_Sentiment!$B$2:$B$37,Phone_by_Sentiment!E$2:E$37,"",0,1),0),$A1109-TEXT(DATEVALUE($D1109&amp;"-01"), "dd-mm-yyyy")),0),0)</f>
        <v>393</v>
      </c>
      <c r="F1109" cm="1">
        <f t="array" ref="F1109">IF($Q1109&gt;=0,IFERROR(generateSalesData($D1109, IF(ISNUMBER(_xlfn.XLOOKUP($C1109,Phone_by_Sentiment!$B$2:$B$37,Phone_by_Sentiment!F$2:F$37,"",0,1)),_xlfn.XLOOKUP($C1109,Phone_by_Sentiment!$B$2:$B$37,Phone_by_Sentiment!F$2:F$37,"",0,1),0),$A1109-TEXT(DATEVALUE($D1109&amp;"-01"), "dd-mm-yyyy")),0),0)</f>
        <v>-892</v>
      </c>
      <c r="G1109" cm="1">
        <f t="array" ref="G1109">IF($Q1109&gt;=0,IFERROR(generateSalesData($D1109, IF(ISNUMBER(_xlfn.XLOOKUP($C1109,Phone_by_Sentiment!$B$2:$B$37,Phone_by_Sentiment!G$2:G$37,"",0,1)),_xlfn.XLOOKUP($C1109,Phone_by_Sentiment!$B$2:$B$37,Phone_by_Sentiment!G$2:G$37,"",0,1),0),$A1109-TEXT(DATEVALUE($D1109&amp;"-01"), "dd-mm-yyyy")),0),0)</f>
        <v>447</v>
      </c>
      <c r="H1109" cm="1">
        <f t="array" ref="H1109">IF($Q1109&gt;=0,IFERROR(generateSalesData($D1109, IF(ISNUMBER(_xlfn.XLOOKUP($C1109,Phone_by_Sentiment!$B$2:$B$37,Phone_by_Sentiment!H$2:H$37,"",0,1)),_xlfn.XLOOKUP($C1109,Phone_by_Sentiment!$B$2:$B$37,Phone_by_Sentiment!H$2:H$37,"",0,1),0),$A1109-TEXT(DATEVALUE($D1109&amp;"-01"), "dd-mm-yyyy")),0),0)</f>
        <v>2164</v>
      </c>
      <c r="I1109" cm="1">
        <f t="array" ref="I1109">IF($Q1109&gt;=0,IFERROR(generateSalesData($D1109, IF(ISNUMBER(_xlfn.XLOOKUP($C1109,Phone_by_Sentiment!$B$2:$B$37,Phone_by_Sentiment!I$2:I$37,"",0,1)),_xlfn.XLOOKUP($C1109,Phone_by_Sentiment!$B$2:$B$37,Phone_by_Sentiment!I$2:I$37,"",0,1),0),$A1109-TEXT(DATEVALUE($D1109&amp;"-01"), "dd-mm-yyyy")),0),0)</f>
        <v>1197</v>
      </c>
      <c r="J1109" cm="1">
        <f t="array" ref="J1109">IF($Q1109&gt;=0,IFERROR(generateSalesData($D1109, IF(ISNUMBER(_xlfn.XLOOKUP($C1109,Phone_by_Sentiment!$B$2:$B$37,Phone_by_Sentiment!J$2:J$37,"",0,1)),_xlfn.XLOOKUP($C1109,Phone_by_Sentiment!$B$2:$B$37,Phone_by_Sentiment!J$2:J$37,"",0,1),0),$A1109-TEXT(DATEVALUE($D1109&amp;"-01"), "dd-mm-yyyy")),0),0)</f>
        <v>24</v>
      </c>
      <c r="K1109" cm="1">
        <f t="array" ref="K1109">IF($Q1109&gt;=0,IFERROR(generateSalesData($D1109, IF(ISNUMBER(_xlfn.XLOOKUP($C1109,Phone_by_Sentiment!$B$2:$B$37,Phone_by_Sentiment!K$2:K$37,"",0,1)),_xlfn.XLOOKUP($C1109,Phone_by_Sentiment!$B$2:$B$37,Phone_by_Sentiment!K$2:K$37,"",0,1),0),$A1109-TEXT(DATEVALUE($D1109&amp;"-01"), "dd-mm-yyyy")),0),0)</f>
        <v>1026</v>
      </c>
      <c r="L1109" cm="1">
        <f t="array" ref="L1109">IF($Q1109&gt;=0,IFERROR(generateSalesData($D1109, IF(ISNUMBER(_xlfn.XLOOKUP($C1109,Phone_by_Sentiment!$B$2:$B$37,Phone_by_Sentiment!L$2:L$37,"",0,1)),_xlfn.XLOOKUP($C1109,Phone_by_Sentiment!$B$2:$B$37,Phone_by_Sentiment!L$2:L$37,"",0,1),0),$A1109-TEXT(DATEVALUE($D1109&amp;"-01"), "dd-mm-yyyy")),0),0)</f>
        <v>2920</v>
      </c>
      <c r="M1109" cm="1">
        <f t="array" ref="M1109">IF($Q1109&gt;=0,IFERROR(generateSalesData($D1109, IF(ISNUMBER(_xlfn.XLOOKUP($C1109,Phone_by_Sentiment!$B$2:$B$37,Phone_by_Sentiment!M$2:M$37,"",0,1)),_xlfn.XLOOKUP($C1109,Phone_by_Sentiment!$B$2:$B$37,Phone_by_Sentiment!M$2:M$37,"",0,1),0),$A1109-TEXT(DATEVALUE($D1109&amp;"-01"), "dd-mm-yyyy")),0),0)</f>
        <v>617</v>
      </c>
      <c r="N1109" cm="1">
        <f t="array" ref="N1109">IF($Q1109&gt;=0,IFERROR(generateSalesData($D1109, IF(ISNUMBER(_xlfn.XLOOKUP($C1109,Phone_by_Sentiment!$B$2:$B$37,Phone_by_Sentiment!N$2:N$37,"",0,1)),_xlfn.XLOOKUP($C1109,Phone_by_Sentiment!$B$2:$B$37,Phone_by_Sentiment!N$2:N$37,"",0,1),0),$A1109-TEXT(DATEVALUE($D1109&amp;"-01"), "dd-mm-yyyy")),0),0)</f>
        <v>1271</v>
      </c>
      <c r="O1109" cm="1">
        <f t="array" ref="O1109">IF($Q1109&gt;=0,IFERROR(generateSalesData($D1109, IF(ISNUMBER(_xlfn.XLOOKUP($C1109,Phone_by_Sentiment!$B$2:$B$37,Phone_by_Sentiment!O$2:O$37,"",0,1)),_xlfn.XLOOKUP($C1109,Phone_by_Sentiment!$B$2:$B$37,Phone_by_Sentiment!O$2:O$37,"",0,1),0),$A1109-TEXT(DATEVALUE($D1109&amp;"-01"), "dd-mm-yyyy")),0),0)</f>
        <v>592</v>
      </c>
      <c r="P1109" s="1">
        <f t="shared" si="46"/>
        <v>44256</v>
      </c>
      <c r="Q1109">
        <f t="shared" si="47"/>
        <v>153</v>
      </c>
    </row>
    <row r="1110" spans="1:17" x14ac:dyDescent="0.25">
      <c r="A1110" s="1">
        <f t="shared" si="48"/>
        <v>44409</v>
      </c>
      <c r="B1110" t="s">
        <v>160</v>
      </c>
      <c r="C1110" t="str">
        <f>_xlfn.XLOOKUP(B1110,Phone_by_Price!$A$2:$A$34,Phone_by_Price!$B$2:$B$34,"-",0,1)</f>
        <v>Xiaomi Poco X3 Pro</v>
      </c>
      <c r="D1110" t="str">
        <f>_xlfn.XLOOKUP(C1110,Phone_by_Sentiment!$B$2:$B$37,Phone_by_Sentiment!$A$2:$A$37,"-",0,1)</f>
        <v>2021-05</v>
      </c>
      <c r="E1110" cm="1">
        <f t="array" ref="E1110">IF($Q1110&gt;=0,IFERROR(generateSalesData($D1110, IF(ISNUMBER(_xlfn.XLOOKUP($C1110,Phone_by_Sentiment!$B$2:$B$37,Phone_by_Sentiment!E$2:E$37,"",0,1)),_xlfn.XLOOKUP($C1110,Phone_by_Sentiment!$B$2:$B$37,Phone_by_Sentiment!E$2:E$37,"",0,1),0),$A1110-TEXT(DATEVALUE($D1110&amp;"-01"), "dd-mm-yyyy")),0),0)</f>
        <v>2538</v>
      </c>
      <c r="F1110" cm="1">
        <f t="array" ref="F1110">IF($Q1110&gt;=0,IFERROR(generateSalesData($D1110, IF(ISNUMBER(_xlfn.XLOOKUP($C1110,Phone_by_Sentiment!$B$2:$B$37,Phone_by_Sentiment!F$2:F$37,"",0,1)),_xlfn.XLOOKUP($C1110,Phone_by_Sentiment!$B$2:$B$37,Phone_by_Sentiment!F$2:F$37,"",0,1),0),$A1110-TEXT(DATEVALUE($D1110&amp;"-01"), "dd-mm-yyyy")),0),0)</f>
        <v>1048</v>
      </c>
      <c r="G1110" cm="1">
        <f t="array" ref="G1110">IF($Q1110&gt;=0,IFERROR(generateSalesData($D1110, IF(ISNUMBER(_xlfn.XLOOKUP($C1110,Phone_by_Sentiment!$B$2:$B$37,Phone_by_Sentiment!G$2:G$37,"",0,1)),_xlfn.XLOOKUP($C1110,Phone_by_Sentiment!$B$2:$B$37,Phone_by_Sentiment!G$2:G$37,"",0,1),0),$A1110-TEXT(DATEVALUE($D1110&amp;"-01"), "dd-mm-yyyy")),0),0)</f>
        <v>673</v>
      </c>
      <c r="H1110" cm="1">
        <f t="array" ref="H1110">IF($Q1110&gt;=0,IFERROR(generateSalesData($D1110, IF(ISNUMBER(_xlfn.XLOOKUP($C1110,Phone_by_Sentiment!$B$2:$B$37,Phone_by_Sentiment!H$2:H$37,"",0,1)),_xlfn.XLOOKUP($C1110,Phone_by_Sentiment!$B$2:$B$37,Phone_by_Sentiment!H$2:H$37,"",0,1),0),$A1110-TEXT(DATEVALUE($D1110&amp;"-01"), "dd-mm-yyyy")),0),0)</f>
        <v>1158</v>
      </c>
      <c r="I1110" cm="1">
        <f t="array" ref="I1110">IF($Q1110&gt;=0,IFERROR(generateSalesData($D1110, IF(ISNUMBER(_xlfn.XLOOKUP($C1110,Phone_by_Sentiment!$B$2:$B$37,Phone_by_Sentiment!I$2:I$37,"",0,1)),_xlfn.XLOOKUP($C1110,Phone_by_Sentiment!$B$2:$B$37,Phone_by_Sentiment!I$2:I$37,"",0,1),0),$A1110-TEXT(DATEVALUE($D1110&amp;"-01"), "dd-mm-yyyy")),0),0)</f>
        <v>2700</v>
      </c>
      <c r="J1110" cm="1">
        <f t="array" ref="J1110">IF($Q1110&gt;=0,IFERROR(generateSalesData($D1110, IF(ISNUMBER(_xlfn.XLOOKUP($C1110,Phone_by_Sentiment!$B$2:$B$37,Phone_by_Sentiment!J$2:J$37,"",0,1)),_xlfn.XLOOKUP($C1110,Phone_by_Sentiment!$B$2:$B$37,Phone_by_Sentiment!J$2:J$37,"",0,1),0),$A1110-TEXT(DATEVALUE($D1110&amp;"-01"), "dd-mm-yyyy")),0),0)</f>
        <v>1217</v>
      </c>
      <c r="K1110" cm="1">
        <f t="array" ref="K1110">IF($Q1110&gt;=0,IFERROR(generateSalesData($D1110, IF(ISNUMBER(_xlfn.XLOOKUP($C1110,Phone_by_Sentiment!$B$2:$B$37,Phone_by_Sentiment!K$2:K$37,"",0,1)),_xlfn.XLOOKUP($C1110,Phone_by_Sentiment!$B$2:$B$37,Phone_by_Sentiment!K$2:K$37,"",0,1),0),$A1110-TEXT(DATEVALUE($D1110&amp;"-01"), "dd-mm-yyyy")),0),0)</f>
        <v>965</v>
      </c>
      <c r="L1110" cm="1">
        <f t="array" ref="L1110">IF($Q1110&gt;=0,IFERROR(generateSalesData($D1110, IF(ISNUMBER(_xlfn.XLOOKUP($C1110,Phone_by_Sentiment!$B$2:$B$37,Phone_by_Sentiment!L$2:L$37,"",0,1)),_xlfn.XLOOKUP($C1110,Phone_by_Sentiment!$B$2:$B$37,Phone_by_Sentiment!L$2:L$37,"",0,1),0),$A1110-TEXT(DATEVALUE($D1110&amp;"-01"), "dd-mm-yyyy")),0),0)</f>
        <v>562</v>
      </c>
      <c r="M1110" cm="1">
        <f t="array" ref="M1110">IF($Q1110&gt;=0,IFERROR(generateSalesData($D1110, IF(ISNUMBER(_xlfn.XLOOKUP($C1110,Phone_by_Sentiment!$B$2:$B$37,Phone_by_Sentiment!M$2:M$37,"",0,1)),_xlfn.XLOOKUP($C1110,Phone_by_Sentiment!$B$2:$B$37,Phone_by_Sentiment!M$2:M$37,"",0,1),0),$A1110-TEXT(DATEVALUE($D1110&amp;"-01"), "dd-mm-yyyy")),0),0)</f>
        <v>4891</v>
      </c>
      <c r="N1110" cm="1">
        <f t="array" ref="N1110">IF($Q1110&gt;=0,IFERROR(generateSalesData($D1110, IF(ISNUMBER(_xlfn.XLOOKUP($C1110,Phone_by_Sentiment!$B$2:$B$37,Phone_by_Sentiment!N$2:N$37,"",0,1)),_xlfn.XLOOKUP($C1110,Phone_by_Sentiment!$B$2:$B$37,Phone_by_Sentiment!N$2:N$37,"",0,1),0),$A1110-TEXT(DATEVALUE($D1110&amp;"-01"), "dd-mm-yyyy")),0),0)</f>
        <v>452</v>
      </c>
      <c r="O1110" cm="1">
        <f t="array" ref="O1110">IF($Q1110&gt;=0,IFERROR(generateSalesData($D1110, IF(ISNUMBER(_xlfn.XLOOKUP($C1110,Phone_by_Sentiment!$B$2:$B$37,Phone_by_Sentiment!O$2:O$37,"",0,1)),_xlfn.XLOOKUP($C1110,Phone_by_Sentiment!$B$2:$B$37,Phone_by_Sentiment!O$2:O$37,"",0,1),0),$A1110-TEXT(DATEVALUE($D1110&amp;"-01"), "dd-mm-yyyy")),0),0)</f>
        <v>1803</v>
      </c>
      <c r="P1110" s="1">
        <f t="shared" si="46"/>
        <v>44317</v>
      </c>
      <c r="Q1110">
        <f t="shared" si="47"/>
        <v>92</v>
      </c>
    </row>
    <row r="1111" spans="1:17" x14ac:dyDescent="0.25">
      <c r="A1111" s="1">
        <f t="shared" si="48"/>
        <v>44409</v>
      </c>
      <c r="B1111" t="s">
        <v>161</v>
      </c>
      <c r="C1111" t="str">
        <f>_xlfn.XLOOKUP(B1111,Phone_by_Price!$A$2:$A$34,Phone_by_Price!$B$2:$B$34,"-",0,1)</f>
        <v>Samsung Galaxy Z Flip 3</v>
      </c>
      <c r="D1111" t="str">
        <f>_xlfn.XLOOKUP(C1111,Phone_by_Sentiment!$B$2:$B$37,Phone_by_Sentiment!$A$2:$A$37,"-",0,1)</f>
        <v>2021-09</v>
      </c>
      <c r="E1111" cm="1">
        <f t="array" ref="E1111">IF($Q1111&gt;=0,IFERROR(generateSalesData($D1111, IF(ISNUMBER(_xlfn.XLOOKUP($C1111,Phone_by_Sentiment!$B$2:$B$37,Phone_by_Sentiment!E$2:E$37,"",0,1)),_xlfn.XLOOKUP($C1111,Phone_by_Sentiment!$B$2:$B$37,Phone_by_Sentiment!E$2:E$37,"",0,1),0),$A1111-TEXT(DATEVALUE($D1111&amp;"-01"), "dd-mm-yyyy")),0),0)</f>
        <v>0</v>
      </c>
      <c r="F1111" cm="1">
        <f t="array" ref="F1111">IF($Q1111&gt;=0,IFERROR(generateSalesData($D1111, IF(ISNUMBER(_xlfn.XLOOKUP($C1111,Phone_by_Sentiment!$B$2:$B$37,Phone_by_Sentiment!F$2:F$37,"",0,1)),_xlfn.XLOOKUP($C1111,Phone_by_Sentiment!$B$2:$B$37,Phone_by_Sentiment!F$2:F$37,"",0,1),0),$A1111-TEXT(DATEVALUE($D1111&amp;"-01"), "dd-mm-yyyy")),0),0)</f>
        <v>0</v>
      </c>
      <c r="G1111" cm="1">
        <f t="array" ref="G1111">IF($Q1111&gt;=0,IFERROR(generateSalesData($D1111, IF(ISNUMBER(_xlfn.XLOOKUP($C1111,Phone_by_Sentiment!$B$2:$B$37,Phone_by_Sentiment!G$2:G$37,"",0,1)),_xlfn.XLOOKUP($C1111,Phone_by_Sentiment!$B$2:$B$37,Phone_by_Sentiment!G$2:G$37,"",0,1),0),$A1111-TEXT(DATEVALUE($D1111&amp;"-01"), "dd-mm-yyyy")),0),0)</f>
        <v>0</v>
      </c>
      <c r="H1111" cm="1">
        <f t="array" ref="H1111">IF($Q1111&gt;=0,IFERROR(generateSalesData($D1111, IF(ISNUMBER(_xlfn.XLOOKUP($C1111,Phone_by_Sentiment!$B$2:$B$37,Phone_by_Sentiment!H$2:H$37,"",0,1)),_xlfn.XLOOKUP($C1111,Phone_by_Sentiment!$B$2:$B$37,Phone_by_Sentiment!H$2:H$37,"",0,1),0),$A1111-TEXT(DATEVALUE($D1111&amp;"-01"), "dd-mm-yyyy")),0),0)</f>
        <v>0</v>
      </c>
      <c r="I1111" cm="1">
        <f t="array" ref="I1111">IF($Q1111&gt;=0,IFERROR(generateSalesData($D1111, IF(ISNUMBER(_xlfn.XLOOKUP($C1111,Phone_by_Sentiment!$B$2:$B$37,Phone_by_Sentiment!I$2:I$37,"",0,1)),_xlfn.XLOOKUP($C1111,Phone_by_Sentiment!$B$2:$B$37,Phone_by_Sentiment!I$2:I$37,"",0,1),0),$A1111-TEXT(DATEVALUE($D1111&amp;"-01"), "dd-mm-yyyy")),0),0)</f>
        <v>0</v>
      </c>
      <c r="J1111" cm="1">
        <f t="array" ref="J1111">IF($Q1111&gt;=0,IFERROR(generateSalesData($D1111, IF(ISNUMBER(_xlfn.XLOOKUP($C1111,Phone_by_Sentiment!$B$2:$B$37,Phone_by_Sentiment!J$2:J$37,"",0,1)),_xlfn.XLOOKUP($C1111,Phone_by_Sentiment!$B$2:$B$37,Phone_by_Sentiment!J$2:J$37,"",0,1),0),$A1111-TEXT(DATEVALUE($D1111&amp;"-01"), "dd-mm-yyyy")),0),0)</f>
        <v>0</v>
      </c>
      <c r="K1111" cm="1">
        <f t="array" ref="K1111">IF($Q1111&gt;=0,IFERROR(generateSalesData($D1111, IF(ISNUMBER(_xlfn.XLOOKUP($C1111,Phone_by_Sentiment!$B$2:$B$37,Phone_by_Sentiment!K$2:K$37,"",0,1)),_xlfn.XLOOKUP($C1111,Phone_by_Sentiment!$B$2:$B$37,Phone_by_Sentiment!K$2:K$37,"",0,1),0),$A1111-TEXT(DATEVALUE($D1111&amp;"-01"), "dd-mm-yyyy")),0),0)</f>
        <v>0</v>
      </c>
      <c r="L1111" cm="1">
        <f t="array" ref="L1111">IF($Q1111&gt;=0,IFERROR(generateSalesData($D1111, IF(ISNUMBER(_xlfn.XLOOKUP($C1111,Phone_by_Sentiment!$B$2:$B$37,Phone_by_Sentiment!L$2:L$37,"",0,1)),_xlfn.XLOOKUP($C1111,Phone_by_Sentiment!$B$2:$B$37,Phone_by_Sentiment!L$2:L$37,"",0,1),0),$A1111-TEXT(DATEVALUE($D1111&amp;"-01"), "dd-mm-yyyy")),0),0)</f>
        <v>0</v>
      </c>
      <c r="M1111" cm="1">
        <f t="array" ref="M1111">IF($Q1111&gt;=0,IFERROR(generateSalesData($D1111, IF(ISNUMBER(_xlfn.XLOOKUP($C1111,Phone_by_Sentiment!$B$2:$B$37,Phone_by_Sentiment!M$2:M$37,"",0,1)),_xlfn.XLOOKUP($C1111,Phone_by_Sentiment!$B$2:$B$37,Phone_by_Sentiment!M$2:M$37,"",0,1),0),$A1111-TEXT(DATEVALUE($D1111&amp;"-01"), "dd-mm-yyyy")),0),0)</f>
        <v>0</v>
      </c>
      <c r="N1111" cm="1">
        <f t="array" ref="N1111">IF($Q1111&gt;=0,IFERROR(generateSalesData($D1111, IF(ISNUMBER(_xlfn.XLOOKUP($C1111,Phone_by_Sentiment!$B$2:$B$37,Phone_by_Sentiment!N$2:N$37,"",0,1)),_xlfn.XLOOKUP($C1111,Phone_by_Sentiment!$B$2:$B$37,Phone_by_Sentiment!N$2:N$37,"",0,1),0),$A1111-TEXT(DATEVALUE($D1111&amp;"-01"), "dd-mm-yyyy")),0),0)</f>
        <v>0</v>
      </c>
      <c r="O1111" cm="1">
        <f t="array" ref="O1111">IF($Q1111&gt;=0,IFERROR(generateSalesData($D1111, IF(ISNUMBER(_xlfn.XLOOKUP($C1111,Phone_by_Sentiment!$B$2:$B$37,Phone_by_Sentiment!O$2:O$37,"",0,1)),_xlfn.XLOOKUP($C1111,Phone_by_Sentiment!$B$2:$B$37,Phone_by_Sentiment!O$2:O$37,"",0,1),0),$A1111-TEXT(DATEVALUE($D1111&amp;"-01"), "dd-mm-yyyy")),0),0)</f>
        <v>0</v>
      </c>
      <c r="P1111" s="1">
        <f t="shared" si="46"/>
        <v>44440</v>
      </c>
      <c r="Q1111">
        <f t="shared" si="47"/>
        <v>-31</v>
      </c>
    </row>
    <row r="1112" spans="1:17" x14ac:dyDescent="0.25">
      <c r="A1112" s="1">
        <f t="shared" si="48"/>
        <v>44409</v>
      </c>
      <c r="B1112" t="s">
        <v>162</v>
      </c>
      <c r="C1112" t="str">
        <f>_xlfn.XLOOKUP(B1112,Phone_by_Price!$A$2:$A$34,Phone_by_Price!$B$2:$B$34,"-",0,1)</f>
        <v>Xiaomi Poco X3 NFC</v>
      </c>
      <c r="D1112" t="str">
        <f>_xlfn.XLOOKUP(C1112,Phone_by_Sentiment!$B$2:$B$37,Phone_by_Sentiment!$A$2:$A$37,"-",0,1)</f>
        <v>2020-08</v>
      </c>
      <c r="E1112" cm="1">
        <f t="array" ref="E1112">IF($Q1112&gt;=0,IFERROR(generateSalesData($D1112, IF(ISNUMBER(_xlfn.XLOOKUP($C1112,Phone_by_Sentiment!$B$2:$B$37,Phone_by_Sentiment!E$2:E$37,"",0,1)),_xlfn.XLOOKUP($C1112,Phone_by_Sentiment!$B$2:$B$37,Phone_by_Sentiment!E$2:E$37,"",0,1),0),$A1112-TEXT(DATEVALUE($D1112&amp;"-01"), "dd-mm-yyyy")),0),0)</f>
        <v>78</v>
      </c>
      <c r="F1112" cm="1">
        <f t="array" ref="F1112">IF($Q1112&gt;=0,IFERROR(generateSalesData($D1112, IF(ISNUMBER(_xlfn.XLOOKUP($C1112,Phone_by_Sentiment!$B$2:$B$37,Phone_by_Sentiment!F$2:F$37,"",0,1)),_xlfn.XLOOKUP($C1112,Phone_by_Sentiment!$B$2:$B$37,Phone_by_Sentiment!F$2:F$37,"",0,1),0),$A1112-TEXT(DATEVALUE($D1112&amp;"-01"), "dd-mm-yyyy")),0),0)</f>
        <v>157</v>
      </c>
      <c r="G1112" cm="1">
        <f t="array" ref="G1112">IF($Q1112&gt;=0,IFERROR(generateSalesData($D1112, IF(ISNUMBER(_xlfn.XLOOKUP($C1112,Phone_by_Sentiment!$B$2:$B$37,Phone_by_Sentiment!G$2:G$37,"",0,1)),_xlfn.XLOOKUP($C1112,Phone_by_Sentiment!$B$2:$B$37,Phone_by_Sentiment!G$2:G$37,"",0,1),0),$A1112-TEXT(DATEVALUE($D1112&amp;"-01"), "dd-mm-yyyy")),0),0)</f>
        <v>178</v>
      </c>
      <c r="H1112" cm="1">
        <f t="array" ref="H1112">IF($Q1112&gt;=0,IFERROR(generateSalesData($D1112, IF(ISNUMBER(_xlfn.XLOOKUP($C1112,Phone_by_Sentiment!$B$2:$B$37,Phone_by_Sentiment!H$2:H$37,"",0,1)),_xlfn.XLOOKUP($C1112,Phone_by_Sentiment!$B$2:$B$37,Phone_by_Sentiment!H$2:H$37,"",0,1),0),$A1112-TEXT(DATEVALUE($D1112&amp;"-01"), "dd-mm-yyyy")),0),0)</f>
        <v>1141</v>
      </c>
      <c r="I1112" cm="1">
        <f t="array" ref="I1112">IF($Q1112&gt;=0,IFERROR(generateSalesData($D1112, IF(ISNUMBER(_xlfn.XLOOKUP($C1112,Phone_by_Sentiment!$B$2:$B$37,Phone_by_Sentiment!I$2:I$37,"",0,1)),_xlfn.XLOOKUP($C1112,Phone_by_Sentiment!$B$2:$B$37,Phone_by_Sentiment!I$2:I$37,"",0,1),0),$A1112-TEXT(DATEVALUE($D1112&amp;"-01"), "dd-mm-yyyy")),0),0)</f>
        <v>271</v>
      </c>
      <c r="J1112" cm="1">
        <f t="array" ref="J1112">IF($Q1112&gt;=0,IFERROR(generateSalesData($D1112, IF(ISNUMBER(_xlfn.XLOOKUP($C1112,Phone_by_Sentiment!$B$2:$B$37,Phone_by_Sentiment!J$2:J$37,"",0,1)),_xlfn.XLOOKUP($C1112,Phone_by_Sentiment!$B$2:$B$37,Phone_by_Sentiment!J$2:J$37,"",0,1),0),$A1112-TEXT(DATEVALUE($D1112&amp;"-01"), "dd-mm-yyyy")),0),0)</f>
        <v>274</v>
      </c>
      <c r="K1112" cm="1">
        <f t="array" ref="K1112">IF($Q1112&gt;=0,IFERROR(generateSalesData($D1112, IF(ISNUMBER(_xlfn.XLOOKUP($C1112,Phone_by_Sentiment!$B$2:$B$37,Phone_by_Sentiment!K$2:K$37,"",0,1)),_xlfn.XLOOKUP($C1112,Phone_by_Sentiment!$B$2:$B$37,Phone_by_Sentiment!K$2:K$37,"",0,1),0),$A1112-TEXT(DATEVALUE($D1112&amp;"-01"), "dd-mm-yyyy")),0),0)</f>
        <v>1028</v>
      </c>
      <c r="L1112" cm="1">
        <f t="array" ref="L1112">IF($Q1112&gt;=0,IFERROR(generateSalesData($D1112, IF(ISNUMBER(_xlfn.XLOOKUP($C1112,Phone_by_Sentiment!$B$2:$B$37,Phone_by_Sentiment!L$2:L$37,"",0,1)),_xlfn.XLOOKUP($C1112,Phone_by_Sentiment!$B$2:$B$37,Phone_by_Sentiment!L$2:L$37,"",0,1),0),$A1112-TEXT(DATEVALUE($D1112&amp;"-01"), "dd-mm-yyyy")),0),0)</f>
        <v>165</v>
      </c>
      <c r="M1112" cm="1">
        <f t="array" ref="M1112">IF($Q1112&gt;=0,IFERROR(generateSalesData($D1112, IF(ISNUMBER(_xlfn.XLOOKUP($C1112,Phone_by_Sentiment!$B$2:$B$37,Phone_by_Sentiment!M$2:M$37,"",0,1)),_xlfn.XLOOKUP($C1112,Phone_by_Sentiment!$B$2:$B$37,Phone_by_Sentiment!M$2:M$37,"",0,1),0),$A1112-TEXT(DATEVALUE($D1112&amp;"-01"), "dd-mm-yyyy")),0),0)</f>
        <v>-12</v>
      </c>
      <c r="N1112" cm="1">
        <f t="array" ref="N1112">IF($Q1112&gt;=0,IFERROR(generateSalesData($D1112, IF(ISNUMBER(_xlfn.XLOOKUP($C1112,Phone_by_Sentiment!$B$2:$B$37,Phone_by_Sentiment!N$2:N$37,"",0,1)),_xlfn.XLOOKUP($C1112,Phone_by_Sentiment!$B$2:$B$37,Phone_by_Sentiment!N$2:N$37,"",0,1),0),$A1112-TEXT(DATEVALUE($D1112&amp;"-01"), "dd-mm-yyyy")),0),0)</f>
        <v>91</v>
      </c>
      <c r="O1112" cm="1">
        <f t="array" ref="O1112">IF($Q1112&gt;=0,IFERROR(generateSalesData($D1112, IF(ISNUMBER(_xlfn.XLOOKUP($C1112,Phone_by_Sentiment!$B$2:$B$37,Phone_by_Sentiment!O$2:O$37,"",0,1)),_xlfn.XLOOKUP($C1112,Phone_by_Sentiment!$B$2:$B$37,Phone_by_Sentiment!O$2:O$37,"",0,1),0),$A1112-TEXT(DATEVALUE($D1112&amp;"-01"), "dd-mm-yyyy")),0),0)</f>
        <v>337</v>
      </c>
      <c r="P1112" s="1">
        <f t="shared" si="46"/>
        <v>44044</v>
      </c>
      <c r="Q1112">
        <f t="shared" si="47"/>
        <v>365</v>
      </c>
    </row>
    <row r="1113" spans="1:17" x14ac:dyDescent="0.25">
      <c r="A1113" s="1">
        <f t="shared" si="48"/>
        <v>44409</v>
      </c>
      <c r="B1113" t="s">
        <v>163</v>
      </c>
      <c r="C1113" t="str">
        <f>_xlfn.XLOOKUP(B1113,Phone_by_Price!$A$2:$A$34,Phone_by_Price!$B$2:$B$34,"-",0,1)</f>
        <v>OPPO A93</v>
      </c>
      <c r="D1113" t="str">
        <f>_xlfn.XLOOKUP(C1113,Phone_by_Sentiment!$B$2:$B$37,Phone_by_Sentiment!$A$2:$A$37,"-",0,1)</f>
        <v>2021-02</v>
      </c>
      <c r="E1113" cm="1">
        <f t="array" ref="E1113">IF($Q1113&gt;=0,IFERROR(generateSalesData($D1113, IF(ISNUMBER(_xlfn.XLOOKUP($C1113,Phone_by_Sentiment!$B$2:$B$37,Phone_by_Sentiment!E$2:E$37,"",0,1)),_xlfn.XLOOKUP($C1113,Phone_by_Sentiment!$B$2:$B$37,Phone_by_Sentiment!E$2:E$37,"",0,1),0),$A1113-TEXT(DATEVALUE($D1113&amp;"-01"), "dd-mm-yyyy")),0),0)</f>
        <v>1466</v>
      </c>
      <c r="F1113" cm="1">
        <f t="array" ref="F1113">IF($Q1113&gt;=0,IFERROR(generateSalesData($D1113, IF(ISNUMBER(_xlfn.XLOOKUP($C1113,Phone_by_Sentiment!$B$2:$B$37,Phone_by_Sentiment!F$2:F$37,"",0,1)),_xlfn.XLOOKUP($C1113,Phone_by_Sentiment!$B$2:$B$37,Phone_by_Sentiment!F$2:F$37,"",0,1),0),$A1113-TEXT(DATEVALUE($D1113&amp;"-01"), "dd-mm-yyyy")),0),0)</f>
        <v>391</v>
      </c>
      <c r="G1113" cm="1">
        <f t="array" ref="G1113">IF($Q1113&gt;=0,IFERROR(generateSalesData($D1113, IF(ISNUMBER(_xlfn.XLOOKUP($C1113,Phone_by_Sentiment!$B$2:$B$37,Phone_by_Sentiment!G$2:G$37,"",0,1)),_xlfn.XLOOKUP($C1113,Phone_by_Sentiment!$B$2:$B$37,Phone_by_Sentiment!G$2:G$37,"",0,1),0),$A1113-TEXT(DATEVALUE($D1113&amp;"-01"), "dd-mm-yyyy")),0),0)</f>
        <v>514</v>
      </c>
      <c r="H1113" cm="1">
        <f t="array" ref="H1113">IF($Q1113&gt;=0,IFERROR(generateSalesData($D1113, IF(ISNUMBER(_xlfn.XLOOKUP($C1113,Phone_by_Sentiment!$B$2:$B$37,Phone_by_Sentiment!H$2:H$37,"",0,1)),_xlfn.XLOOKUP($C1113,Phone_by_Sentiment!$B$2:$B$37,Phone_by_Sentiment!H$2:H$37,"",0,1),0),$A1113-TEXT(DATEVALUE($D1113&amp;"-01"), "dd-mm-yyyy")),0),0)</f>
        <v>732</v>
      </c>
      <c r="I1113" cm="1">
        <f t="array" ref="I1113">IF($Q1113&gt;=0,IFERROR(generateSalesData($D1113, IF(ISNUMBER(_xlfn.XLOOKUP($C1113,Phone_by_Sentiment!$B$2:$B$37,Phone_by_Sentiment!I$2:I$37,"",0,1)),_xlfn.XLOOKUP($C1113,Phone_by_Sentiment!$B$2:$B$37,Phone_by_Sentiment!I$2:I$37,"",0,1),0),$A1113-TEXT(DATEVALUE($D1113&amp;"-01"), "dd-mm-yyyy")),0),0)</f>
        <v>1695</v>
      </c>
      <c r="J1113" cm="1">
        <f t="array" ref="J1113">IF($Q1113&gt;=0,IFERROR(generateSalesData($D1113, IF(ISNUMBER(_xlfn.XLOOKUP($C1113,Phone_by_Sentiment!$B$2:$B$37,Phone_by_Sentiment!J$2:J$37,"",0,1)),_xlfn.XLOOKUP($C1113,Phone_by_Sentiment!$B$2:$B$37,Phone_by_Sentiment!J$2:J$37,"",0,1),0),$A1113-TEXT(DATEVALUE($D1113&amp;"-01"), "dd-mm-yyyy")),0),0)</f>
        <v>206</v>
      </c>
      <c r="K1113" cm="1">
        <f t="array" ref="K1113">IF($Q1113&gt;=0,IFERROR(generateSalesData($D1113, IF(ISNUMBER(_xlfn.XLOOKUP($C1113,Phone_by_Sentiment!$B$2:$B$37,Phone_by_Sentiment!K$2:K$37,"",0,1)),_xlfn.XLOOKUP($C1113,Phone_by_Sentiment!$B$2:$B$37,Phone_by_Sentiment!K$2:K$37,"",0,1),0),$A1113-TEXT(DATEVALUE($D1113&amp;"-01"), "dd-mm-yyyy")),0),0)</f>
        <v>403</v>
      </c>
      <c r="L1113" cm="1">
        <f t="array" ref="L1113">IF($Q1113&gt;=0,IFERROR(generateSalesData($D1113, IF(ISNUMBER(_xlfn.XLOOKUP($C1113,Phone_by_Sentiment!$B$2:$B$37,Phone_by_Sentiment!L$2:L$37,"",0,1)),_xlfn.XLOOKUP($C1113,Phone_by_Sentiment!$B$2:$B$37,Phone_by_Sentiment!L$2:L$37,"",0,1),0),$A1113-TEXT(DATEVALUE($D1113&amp;"-01"), "dd-mm-yyyy")),0),0)</f>
        <v>290</v>
      </c>
      <c r="M1113" cm="1">
        <f t="array" ref="M1113">IF($Q1113&gt;=0,IFERROR(generateSalesData($D1113, IF(ISNUMBER(_xlfn.XLOOKUP($C1113,Phone_by_Sentiment!$B$2:$B$37,Phone_by_Sentiment!M$2:M$37,"",0,1)),_xlfn.XLOOKUP($C1113,Phone_by_Sentiment!$B$2:$B$37,Phone_by_Sentiment!M$2:M$37,"",0,1),0),$A1113-TEXT(DATEVALUE($D1113&amp;"-01"), "dd-mm-yyyy")),0),0)</f>
        <v>476</v>
      </c>
      <c r="N1113" cm="1">
        <f t="array" ref="N1113">IF($Q1113&gt;=0,IFERROR(generateSalesData($D1113, IF(ISNUMBER(_xlfn.XLOOKUP($C1113,Phone_by_Sentiment!$B$2:$B$37,Phone_by_Sentiment!N$2:N$37,"",0,1)),_xlfn.XLOOKUP($C1113,Phone_by_Sentiment!$B$2:$B$37,Phone_by_Sentiment!N$2:N$37,"",0,1),0),$A1113-TEXT(DATEVALUE($D1113&amp;"-01"), "dd-mm-yyyy")),0),0)</f>
        <v>1268</v>
      </c>
      <c r="O1113" cm="1">
        <f t="array" ref="O1113">IF($Q1113&gt;=0,IFERROR(generateSalesData($D1113, IF(ISNUMBER(_xlfn.XLOOKUP($C1113,Phone_by_Sentiment!$B$2:$B$37,Phone_by_Sentiment!O$2:O$37,"",0,1)),_xlfn.XLOOKUP($C1113,Phone_by_Sentiment!$B$2:$B$37,Phone_by_Sentiment!O$2:O$37,"",0,1),0),$A1113-TEXT(DATEVALUE($D1113&amp;"-01"), "dd-mm-yyyy")),0),0)</f>
        <v>155</v>
      </c>
      <c r="P1113" s="1">
        <f t="shared" si="46"/>
        <v>44228</v>
      </c>
      <c r="Q1113">
        <f t="shared" si="47"/>
        <v>181</v>
      </c>
    </row>
    <row r="1114" spans="1:17" x14ac:dyDescent="0.25">
      <c r="A1114" s="1">
        <f t="shared" si="48"/>
        <v>44409</v>
      </c>
      <c r="B1114" t="s">
        <v>164</v>
      </c>
      <c r="C1114" t="str">
        <f>_xlfn.XLOOKUP(B1114,Phone_by_Price!$A$2:$A$34,Phone_by_Price!$B$2:$B$34,"-",0,1)</f>
        <v>Vivo V20</v>
      </c>
      <c r="D1114" t="str">
        <f>_xlfn.XLOOKUP(C1114,Phone_by_Sentiment!$B$2:$B$37,Phone_by_Sentiment!$A$2:$A$37,"-",0,1)</f>
        <v>2020-10</v>
      </c>
      <c r="E1114" cm="1">
        <f t="array" ref="E1114">IF($Q1114&gt;=0,IFERROR(generateSalesData($D1114, IF(ISNUMBER(_xlfn.XLOOKUP($C1114,Phone_by_Sentiment!$B$2:$B$37,Phone_by_Sentiment!E$2:E$37,"",0,1)),_xlfn.XLOOKUP($C1114,Phone_by_Sentiment!$B$2:$B$37,Phone_by_Sentiment!E$2:E$37,"",0,1),0),$A1114-TEXT(DATEVALUE($D1114&amp;"-01"), "dd-mm-yyyy")),0),0)</f>
        <v>891</v>
      </c>
      <c r="F1114" cm="1">
        <f t="array" ref="F1114">IF($Q1114&gt;=0,IFERROR(generateSalesData($D1114, IF(ISNUMBER(_xlfn.XLOOKUP($C1114,Phone_by_Sentiment!$B$2:$B$37,Phone_by_Sentiment!F$2:F$37,"",0,1)),_xlfn.XLOOKUP($C1114,Phone_by_Sentiment!$B$2:$B$37,Phone_by_Sentiment!F$2:F$37,"",0,1),0),$A1114-TEXT(DATEVALUE($D1114&amp;"-01"), "dd-mm-yyyy")),0),0)</f>
        <v>51</v>
      </c>
      <c r="G1114" cm="1">
        <f t="array" ref="G1114">IF($Q1114&gt;=0,IFERROR(generateSalesData($D1114, IF(ISNUMBER(_xlfn.XLOOKUP($C1114,Phone_by_Sentiment!$B$2:$B$37,Phone_by_Sentiment!G$2:G$37,"",0,1)),_xlfn.XLOOKUP($C1114,Phone_by_Sentiment!$B$2:$B$37,Phone_by_Sentiment!G$2:G$37,"",0,1),0),$A1114-TEXT(DATEVALUE($D1114&amp;"-01"), "dd-mm-yyyy")),0),0)</f>
        <v>365</v>
      </c>
      <c r="H1114" cm="1">
        <f t="array" ref="H1114">IF($Q1114&gt;=0,IFERROR(generateSalesData($D1114, IF(ISNUMBER(_xlfn.XLOOKUP($C1114,Phone_by_Sentiment!$B$2:$B$37,Phone_by_Sentiment!H$2:H$37,"",0,1)),_xlfn.XLOOKUP($C1114,Phone_by_Sentiment!$B$2:$B$37,Phone_by_Sentiment!H$2:H$37,"",0,1),0),$A1114-TEXT(DATEVALUE($D1114&amp;"-01"), "dd-mm-yyyy")),0),0)</f>
        <v>240</v>
      </c>
      <c r="I1114" cm="1">
        <f t="array" ref="I1114">IF($Q1114&gt;=0,IFERROR(generateSalesData($D1114, IF(ISNUMBER(_xlfn.XLOOKUP($C1114,Phone_by_Sentiment!$B$2:$B$37,Phone_by_Sentiment!I$2:I$37,"",0,1)),_xlfn.XLOOKUP($C1114,Phone_by_Sentiment!$B$2:$B$37,Phone_by_Sentiment!I$2:I$37,"",0,1),0),$A1114-TEXT(DATEVALUE($D1114&amp;"-01"), "dd-mm-yyyy")),0),0)</f>
        <v>231</v>
      </c>
      <c r="J1114" cm="1">
        <f t="array" ref="J1114">IF($Q1114&gt;=0,IFERROR(generateSalesData($D1114, IF(ISNUMBER(_xlfn.XLOOKUP($C1114,Phone_by_Sentiment!$B$2:$B$37,Phone_by_Sentiment!J$2:J$37,"",0,1)),_xlfn.XLOOKUP($C1114,Phone_by_Sentiment!$B$2:$B$37,Phone_by_Sentiment!J$2:J$37,"",0,1),0),$A1114-TEXT(DATEVALUE($D1114&amp;"-01"), "dd-mm-yyyy")),0),0)</f>
        <v>117</v>
      </c>
      <c r="K1114" cm="1">
        <f t="array" ref="K1114">IF($Q1114&gt;=0,IFERROR(generateSalesData($D1114, IF(ISNUMBER(_xlfn.XLOOKUP($C1114,Phone_by_Sentiment!$B$2:$B$37,Phone_by_Sentiment!K$2:K$37,"",0,1)),_xlfn.XLOOKUP($C1114,Phone_by_Sentiment!$B$2:$B$37,Phone_by_Sentiment!K$2:K$37,"",0,1),0),$A1114-TEXT(DATEVALUE($D1114&amp;"-01"), "dd-mm-yyyy")),0),0)</f>
        <v>252</v>
      </c>
      <c r="L1114" cm="1">
        <f t="array" ref="L1114">IF($Q1114&gt;=0,IFERROR(generateSalesData($D1114, IF(ISNUMBER(_xlfn.XLOOKUP($C1114,Phone_by_Sentiment!$B$2:$B$37,Phone_by_Sentiment!L$2:L$37,"",0,1)),_xlfn.XLOOKUP($C1114,Phone_by_Sentiment!$B$2:$B$37,Phone_by_Sentiment!L$2:L$37,"",0,1),0),$A1114-TEXT(DATEVALUE($D1114&amp;"-01"), "dd-mm-yyyy")),0),0)</f>
        <v>253</v>
      </c>
      <c r="M1114" cm="1">
        <f t="array" ref="M1114">IF($Q1114&gt;=0,IFERROR(generateSalesData($D1114, IF(ISNUMBER(_xlfn.XLOOKUP($C1114,Phone_by_Sentiment!$B$2:$B$37,Phone_by_Sentiment!M$2:M$37,"",0,1)),_xlfn.XLOOKUP($C1114,Phone_by_Sentiment!$B$2:$B$37,Phone_by_Sentiment!M$2:M$37,"",0,1),0),$A1114-TEXT(DATEVALUE($D1114&amp;"-01"), "dd-mm-yyyy")),0),0)</f>
        <v>144</v>
      </c>
      <c r="N1114" cm="1">
        <f t="array" ref="N1114">IF($Q1114&gt;=0,IFERROR(generateSalesData($D1114, IF(ISNUMBER(_xlfn.XLOOKUP($C1114,Phone_by_Sentiment!$B$2:$B$37,Phone_by_Sentiment!N$2:N$37,"",0,1)),_xlfn.XLOOKUP($C1114,Phone_by_Sentiment!$B$2:$B$37,Phone_by_Sentiment!N$2:N$37,"",0,1),0),$A1114-TEXT(DATEVALUE($D1114&amp;"-01"), "dd-mm-yyyy")),0),0)</f>
        <v>287</v>
      </c>
      <c r="O1114" cm="1">
        <f t="array" ref="O1114">IF($Q1114&gt;=0,IFERROR(generateSalesData($D1114, IF(ISNUMBER(_xlfn.XLOOKUP($C1114,Phone_by_Sentiment!$B$2:$B$37,Phone_by_Sentiment!O$2:O$37,"",0,1)),_xlfn.XLOOKUP($C1114,Phone_by_Sentiment!$B$2:$B$37,Phone_by_Sentiment!O$2:O$37,"",0,1),0),$A1114-TEXT(DATEVALUE($D1114&amp;"-01"), "dd-mm-yyyy")),0),0)</f>
        <v>265</v>
      </c>
      <c r="P1114" s="1">
        <f t="shared" si="46"/>
        <v>44105</v>
      </c>
      <c r="Q1114">
        <f t="shared" si="47"/>
        <v>304</v>
      </c>
    </row>
    <row r="1115" spans="1:17" x14ac:dyDescent="0.25">
      <c r="A1115" s="1">
        <f t="shared" si="48"/>
        <v>44409</v>
      </c>
      <c r="B1115" t="s">
        <v>165</v>
      </c>
      <c r="C1115" t="str">
        <f>_xlfn.XLOOKUP(B1115,Phone_by_Price!$A$2:$A$34,Phone_by_Price!$B$2:$B$34,"-",0,1)</f>
        <v>Samsung Galaxy A50</v>
      </c>
      <c r="D1115" t="str">
        <f>_xlfn.XLOOKUP(C1115,Phone_by_Sentiment!$B$2:$B$37,Phone_by_Sentiment!$A$2:$A$37,"-",0,1)</f>
        <v>2019-05</v>
      </c>
      <c r="E1115" cm="1">
        <f t="array" ref="E1115">IF($Q1115&gt;=0,IFERROR(generateSalesData($D1115, IF(ISNUMBER(_xlfn.XLOOKUP($C1115,Phone_by_Sentiment!$B$2:$B$37,Phone_by_Sentiment!E$2:E$37,"",0,1)),_xlfn.XLOOKUP($C1115,Phone_by_Sentiment!$B$2:$B$37,Phone_by_Sentiment!E$2:E$37,"",0,1),0),$A1115-TEXT(DATEVALUE($D1115&amp;"-01"), "dd-mm-yyyy")),0),0)</f>
        <v>246</v>
      </c>
      <c r="F1115" cm="1">
        <f t="array" ref="F1115">IF($Q1115&gt;=0,IFERROR(generateSalesData($D1115, IF(ISNUMBER(_xlfn.XLOOKUP($C1115,Phone_by_Sentiment!$B$2:$B$37,Phone_by_Sentiment!F$2:F$37,"",0,1)),_xlfn.XLOOKUP($C1115,Phone_by_Sentiment!$B$2:$B$37,Phone_by_Sentiment!F$2:F$37,"",0,1),0),$A1115-TEXT(DATEVALUE($D1115&amp;"-01"), "dd-mm-yyyy")),0),0)</f>
        <v>104</v>
      </c>
      <c r="G1115" cm="1">
        <f t="array" ref="G1115">IF($Q1115&gt;=0,IFERROR(generateSalesData($D1115, IF(ISNUMBER(_xlfn.XLOOKUP($C1115,Phone_by_Sentiment!$B$2:$B$37,Phone_by_Sentiment!G$2:G$37,"",0,1)),_xlfn.XLOOKUP($C1115,Phone_by_Sentiment!$B$2:$B$37,Phone_by_Sentiment!G$2:G$37,"",0,1),0),$A1115-TEXT(DATEVALUE($D1115&amp;"-01"), "dd-mm-yyyy")),0),0)</f>
        <v>106</v>
      </c>
      <c r="H1115" cm="1">
        <f t="array" ref="H1115">IF($Q1115&gt;=0,IFERROR(generateSalesData($D1115, IF(ISNUMBER(_xlfn.XLOOKUP($C1115,Phone_by_Sentiment!$B$2:$B$37,Phone_by_Sentiment!H$2:H$37,"",0,1)),_xlfn.XLOOKUP($C1115,Phone_by_Sentiment!$B$2:$B$37,Phone_by_Sentiment!H$2:H$37,"",0,1),0),$A1115-TEXT(DATEVALUE($D1115&amp;"-01"), "dd-mm-yyyy")),0),0)</f>
        <v>155</v>
      </c>
      <c r="I1115" cm="1">
        <f t="array" ref="I1115">IF($Q1115&gt;=0,IFERROR(generateSalesData($D1115, IF(ISNUMBER(_xlfn.XLOOKUP($C1115,Phone_by_Sentiment!$B$2:$B$37,Phone_by_Sentiment!I$2:I$37,"",0,1)),_xlfn.XLOOKUP($C1115,Phone_by_Sentiment!$B$2:$B$37,Phone_by_Sentiment!I$2:I$37,"",0,1),0),$A1115-TEXT(DATEVALUE($D1115&amp;"-01"), "dd-mm-yyyy")),0),0)</f>
        <v>374</v>
      </c>
      <c r="J1115" cm="1">
        <f t="array" ref="J1115">IF($Q1115&gt;=0,IFERROR(generateSalesData($D1115, IF(ISNUMBER(_xlfn.XLOOKUP($C1115,Phone_by_Sentiment!$B$2:$B$37,Phone_by_Sentiment!J$2:J$37,"",0,1)),_xlfn.XLOOKUP($C1115,Phone_by_Sentiment!$B$2:$B$37,Phone_by_Sentiment!J$2:J$37,"",0,1),0),$A1115-TEXT(DATEVALUE($D1115&amp;"-01"), "dd-mm-yyyy")),0),0)</f>
        <v>89</v>
      </c>
      <c r="K1115" cm="1">
        <f t="array" ref="K1115">IF($Q1115&gt;=0,IFERROR(generateSalesData($D1115, IF(ISNUMBER(_xlfn.XLOOKUP($C1115,Phone_by_Sentiment!$B$2:$B$37,Phone_by_Sentiment!K$2:K$37,"",0,1)),_xlfn.XLOOKUP($C1115,Phone_by_Sentiment!$B$2:$B$37,Phone_by_Sentiment!K$2:K$37,"",0,1),0),$A1115-TEXT(DATEVALUE($D1115&amp;"-01"), "dd-mm-yyyy")),0),0)</f>
        <v>79</v>
      </c>
      <c r="L1115" cm="1">
        <f t="array" ref="L1115">IF($Q1115&gt;=0,IFERROR(generateSalesData($D1115, IF(ISNUMBER(_xlfn.XLOOKUP($C1115,Phone_by_Sentiment!$B$2:$B$37,Phone_by_Sentiment!L$2:L$37,"",0,1)),_xlfn.XLOOKUP($C1115,Phone_by_Sentiment!$B$2:$B$37,Phone_by_Sentiment!L$2:L$37,"",0,1),0),$A1115-TEXT(DATEVALUE($D1115&amp;"-01"), "dd-mm-yyyy")),0),0)</f>
        <v>71</v>
      </c>
      <c r="M1115" cm="1">
        <f t="array" ref="M1115">IF($Q1115&gt;=0,IFERROR(generateSalesData($D1115, IF(ISNUMBER(_xlfn.XLOOKUP($C1115,Phone_by_Sentiment!$B$2:$B$37,Phone_by_Sentiment!M$2:M$37,"",0,1)),_xlfn.XLOOKUP($C1115,Phone_by_Sentiment!$B$2:$B$37,Phone_by_Sentiment!M$2:M$37,"",0,1),0),$A1115-TEXT(DATEVALUE($D1115&amp;"-01"), "dd-mm-yyyy")),0),0)</f>
        <v>35</v>
      </c>
      <c r="N1115" cm="1">
        <f t="array" ref="N1115">IF($Q1115&gt;=0,IFERROR(generateSalesData($D1115, IF(ISNUMBER(_xlfn.XLOOKUP($C1115,Phone_by_Sentiment!$B$2:$B$37,Phone_by_Sentiment!N$2:N$37,"",0,1)),_xlfn.XLOOKUP($C1115,Phone_by_Sentiment!$B$2:$B$37,Phone_by_Sentiment!N$2:N$37,"",0,1),0),$A1115-TEXT(DATEVALUE($D1115&amp;"-01"), "dd-mm-yyyy")),0),0)</f>
        <v>44</v>
      </c>
      <c r="O1115" cm="1">
        <f t="array" ref="O1115">IF($Q1115&gt;=0,IFERROR(generateSalesData($D1115, IF(ISNUMBER(_xlfn.XLOOKUP($C1115,Phone_by_Sentiment!$B$2:$B$37,Phone_by_Sentiment!O$2:O$37,"",0,1)),_xlfn.XLOOKUP($C1115,Phone_by_Sentiment!$B$2:$B$37,Phone_by_Sentiment!O$2:O$37,"",0,1),0),$A1115-TEXT(DATEVALUE($D1115&amp;"-01"), "dd-mm-yyyy")),0),0)</f>
        <v>82</v>
      </c>
      <c r="P1115" s="1">
        <f t="shared" si="46"/>
        <v>43586</v>
      </c>
      <c r="Q1115">
        <f t="shared" si="47"/>
        <v>823</v>
      </c>
    </row>
    <row r="1116" spans="1:17" x14ac:dyDescent="0.25">
      <c r="A1116" s="1">
        <f t="shared" si="48"/>
        <v>44409</v>
      </c>
      <c r="B1116" t="s">
        <v>166</v>
      </c>
      <c r="C1116" t="str">
        <f>_xlfn.XLOOKUP(B1116,Phone_by_Price!$A$2:$A$34,Phone_by_Price!$B$2:$B$34,"-",0,1)</f>
        <v>Xiaomi Redmi Note 7</v>
      </c>
      <c r="D1116" t="str">
        <f>_xlfn.XLOOKUP(C1116,Phone_by_Sentiment!$B$2:$B$37,Phone_by_Sentiment!$A$2:$A$37,"-",0,1)</f>
        <v>2019-08</v>
      </c>
      <c r="E1116" cm="1">
        <f t="array" ref="E1116">IF($Q1116&gt;=0,IFERROR(generateSalesData($D1116, IF(ISNUMBER(_xlfn.XLOOKUP($C1116,Phone_by_Sentiment!$B$2:$B$37,Phone_by_Sentiment!E$2:E$37,"",0,1)),_xlfn.XLOOKUP($C1116,Phone_by_Sentiment!$B$2:$B$37,Phone_by_Sentiment!E$2:E$37,"",0,1),0),$A1116-TEXT(DATEVALUE($D1116&amp;"-01"), "dd-mm-yyyy")),0),0)</f>
        <v>19</v>
      </c>
      <c r="F1116" cm="1">
        <f t="array" ref="F1116">IF($Q1116&gt;=0,IFERROR(generateSalesData($D1116, IF(ISNUMBER(_xlfn.XLOOKUP($C1116,Phone_by_Sentiment!$B$2:$B$37,Phone_by_Sentiment!F$2:F$37,"",0,1)),_xlfn.XLOOKUP($C1116,Phone_by_Sentiment!$B$2:$B$37,Phone_by_Sentiment!F$2:F$37,"",0,1),0),$A1116-TEXT(DATEVALUE($D1116&amp;"-01"), "dd-mm-yyyy")),0),0)</f>
        <v>51</v>
      </c>
      <c r="G1116" cm="1">
        <f t="array" ref="G1116">IF($Q1116&gt;=0,IFERROR(generateSalesData($D1116, IF(ISNUMBER(_xlfn.XLOOKUP($C1116,Phone_by_Sentiment!$B$2:$B$37,Phone_by_Sentiment!G$2:G$37,"",0,1)),_xlfn.XLOOKUP($C1116,Phone_by_Sentiment!$B$2:$B$37,Phone_by_Sentiment!G$2:G$37,"",0,1),0),$A1116-TEXT(DATEVALUE($D1116&amp;"-01"), "dd-mm-yyyy")),0),0)</f>
        <v>106</v>
      </c>
      <c r="H1116" cm="1">
        <f t="array" ref="H1116">IF($Q1116&gt;=0,IFERROR(generateSalesData($D1116, IF(ISNUMBER(_xlfn.XLOOKUP($C1116,Phone_by_Sentiment!$B$2:$B$37,Phone_by_Sentiment!H$2:H$37,"",0,1)),_xlfn.XLOOKUP($C1116,Phone_by_Sentiment!$B$2:$B$37,Phone_by_Sentiment!H$2:H$37,"",0,1),0),$A1116-TEXT(DATEVALUE($D1116&amp;"-01"), "dd-mm-yyyy")),0),0)</f>
        <v>623</v>
      </c>
      <c r="I1116" cm="1">
        <f t="array" ref="I1116">IF($Q1116&gt;=0,IFERROR(generateSalesData($D1116, IF(ISNUMBER(_xlfn.XLOOKUP($C1116,Phone_by_Sentiment!$B$2:$B$37,Phone_by_Sentiment!I$2:I$37,"",0,1)),_xlfn.XLOOKUP($C1116,Phone_by_Sentiment!$B$2:$B$37,Phone_by_Sentiment!I$2:I$37,"",0,1),0),$A1116-TEXT(DATEVALUE($D1116&amp;"-01"), "dd-mm-yyyy")),0),0)</f>
        <v>174</v>
      </c>
      <c r="J1116" cm="1">
        <f t="array" ref="J1116">IF($Q1116&gt;=0,IFERROR(generateSalesData($D1116, IF(ISNUMBER(_xlfn.XLOOKUP($C1116,Phone_by_Sentiment!$B$2:$B$37,Phone_by_Sentiment!J$2:J$37,"",0,1)),_xlfn.XLOOKUP($C1116,Phone_by_Sentiment!$B$2:$B$37,Phone_by_Sentiment!J$2:J$37,"",0,1),0),$A1116-TEXT(DATEVALUE($D1116&amp;"-01"), "dd-mm-yyyy")),0),0)</f>
        <v>123</v>
      </c>
      <c r="K1116" cm="1">
        <f t="array" ref="K1116">IF($Q1116&gt;=0,IFERROR(generateSalesData($D1116, IF(ISNUMBER(_xlfn.XLOOKUP($C1116,Phone_by_Sentiment!$B$2:$B$37,Phone_by_Sentiment!K$2:K$37,"",0,1)),_xlfn.XLOOKUP($C1116,Phone_by_Sentiment!$B$2:$B$37,Phone_by_Sentiment!K$2:K$37,"",0,1),0),$A1116-TEXT(DATEVALUE($D1116&amp;"-01"), "dd-mm-yyyy")),0),0)</f>
        <v>464</v>
      </c>
      <c r="L1116" cm="1">
        <f t="array" ref="L1116">IF($Q1116&gt;=0,IFERROR(generateSalesData($D1116, IF(ISNUMBER(_xlfn.XLOOKUP($C1116,Phone_by_Sentiment!$B$2:$B$37,Phone_by_Sentiment!L$2:L$37,"",0,1)),_xlfn.XLOOKUP($C1116,Phone_by_Sentiment!$B$2:$B$37,Phone_by_Sentiment!L$2:L$37,"",0,1),0),$A1116-TEXT(DATEVALUE($D1116&amp;"-01"), "dd-mm-yyyy")),0),0)</f>
        <v>99</v>
      </c>
      <c r="M1116" cm="1">
        <f t="array" ref="M1116">IF($Q1116&gt;=0,IFERROR(generateSalesData($D1116, IF(ISNUMBER(_xlfn.XLOOKUP($C1116,Phone_by_Sentiment!$B$2:$B$37,Phone_by_Sentiment!M$2:M$37,"",0,1)),_xlfn.XLOOKUP($C1116,Phone_by_Sentiment!$B$2:$B$37,Phone_by_Sentiment!M$2:M$37,"",0,1),0),$A1116-TEXT(DATEVALUE($D1116&amp;"-01"), "dd-mm-yyyy")),0),0)</f>
        <v>62</v>
      </c>
      <c r="N1116" cm="1">
        <f t="array" ref="N1116">IF($Q1116&gt;=0,IFERROR(generateSalesData($D1116, IF(ISNUMBER(_xlfn.XLOOKUP($C1116,Phone_by_Sentiment!$B$2:$B$37,Phone_by_Sentiment!N$2:N$37,"",0,1)),_xlfn.XLOOKUP($C1116,Phone_by_Sentiment!$B$2:$B$37,Phone_by_Sentiment!N$2:N$37,"",0,1),0),$A1116-TEXT(DATEVALUE($D1116&amp;"-01"), "dd-mm-yyyy")),0),0)</f>
        <v>142</v>
      </c>
      <c r="O1116" cm="1">
        <f t="array" ref="O1116">IF($Q1116&gt;=0,IFERROR(generateSalesData($D1116, IF(ISNUMBER(_xlfn.XLOOKUP($C1116,Phone_by_Sentiment!$B$2:$B$37,Phone_by_Sentiment!O$2:O$37,"",0,1)),_xlfn.XLOOKUP($C1116,Phone_by_Sentiment!$B$2:$B$37,Phone_by_Sentiment!O$2:O$37,"",0,1),0),$A1116-TEXT(DATEVALUE($D1116&amp;"-01"), "dd-mm-yyyy")),0),0)</f>
        <v>348</v>
      </c>
      <c r="P1116" s="1">
        <f t="shared" si="46"/>
        <v>43678</v>
      </c>
      <c r="Q1116">
        <f t="shared" si="47"/>
        <v>731</v>
      </c>
    </row>
    <row r="1117" spans="1:17" x14ac:dyDescent="0.25">
      <c r="A1117" s="1">
        <f t="shared" si="48"/>
        <v>44409</v>
      </c>
      <c r="B1117" t="s">
        <v>167</v>
      </c>
      <c r="C1117" t="str">
        <f>_xlfn.XLOOKUP(B1117,Phone_by_Price!$A$2:$A$34,Phone_by_Price!$B$2:$B$34,"-",0,1)</f>
        <v>Realme C21</v>
      </c>
      <c r="D1117" t="str">
        <f>_xlfn.XLOOKUP(C1117,Phone_by_Sentiment!$B$2:$B$37,Phone_by_Sentiment!$A$2:$A$37,"-",0,1)</f>
        <v>2021-04</v>
      </c>
      <c r="E1117" cm="1">
        <f t="array" ref="E1117">IF($Q1117&gt;=0,IFERROR(generateSalesData($D1117, IF(ISNUMBER(_xlfn.XLOOKUP($C1117,Phone_by_Sentiment!$B$2:$B$37,Phone_by_Sentiment!E$2:E$37,"",0,1)),_xlfn.XLOOKUP($C1117,Phone_by_Sentiment!$B$2:$B$37,Phone_by_Sentiment!E$2:E$37,"",0,1),0),$A1117-TEXT(DATEVALUE($D1117&amp;"-01"), "dd-mm-yyyy")),0),0)</f>
        <v>727</v>
      </c>
      <c r="F1117" cm="1">
        <f t="array" ref="F1117">IF($Q1117&gt;=0,IFERROR(generateSalesData($D1117, IF(ISNUMBER(_xlfn.XLOOKUP($C1117,Phone_by_Sentiment!$B$2:$B$37,Phone_by_Sentiment!F$2:F$37,"",0,1)),_xlfn.XLOOKUP($C1117,Phone_by_Sentiment!$B$2:$B$37,Phone_by_Sentiment!F$2:F$37,"",0,1),0),$A1117-TEXT(DATEVALUE($D1117&amp;"-01"), "dd-mm-yyyy")),0),0)</f>
        <v>511</v>
      </c>
      <c r="G1117" cm="1">
        <f t="array" ref="G1117">IF($Q1117&gt;=0,IFERROR(generateSalesData($D1117, IF(ISNUMBER(_xlfn.XLOOKUP($C1117,Phone_by_Sentiment!$B$2:$B$37,Phone_by_Sentiment!G$2:G$37,"",0,1)),_xlfn.XLOOKUP($C1117,Phone_by_Sentiment!$B$2:$B$37,Phone_by_Sentiment!G$2:G$37,"",0,1),0),$A1117-TEXT(DATEVALUE($D1117&amp;"-01"), "dd-mm-yyyy")),0),0)</f>
        <v>569</v>
      </c>
      <c r="H1117" cm="1">
        <f t="array" ref="H1117">IF($Q1117&gt;=0,IFERROR(generateSalesData($D1117, IF(ISNUMBER(_xlfn.XLOOKUP($C1117,Phone_by_Sentiment!$B$2:$B$37,Phone_by_Sentiment!H$2:H$37,"",0,1)),_xlfn.XLOOKUP($C1117,Phone_by_Sentiment!$B$2:$B$37,Phone_by_Sentiment!H$2:H$37,"",0,1),0),$A1117-TEXT(DATEVALUE($D1117&amp;"-01"), "dd-mm-yyyy")),0),0)</f>
        <v>375</v>
      </c>
      <c r="I1117" cm="1">
        <f t="array" ref="I1117">IF($Q1117&gt;=0,IFERROR(generateSalesData($D1117, IF(ISNUMBER(_xlfn.XLOOKUP($C1117,Phone_by_Sentiment!$B$2:$B$37,Phone_by_Sentiment!I$2:I$37,"",0,1)),_xlfn.XLOOKUP($C1117,Phone_by_Sentiment!$B$2:$B$37,Phone_by_Sentiment!I$2:I$37,"",0,1),0),$A1117-TEXT(DATEVALUE($D1117&amp;"-01"), "dd-mm-yyyy")),0),0)</f>
        <v>2928</v>
      </c>
      <c r="J1117" cm="1">
        <f t="array" ref="J1117">IF($Q1117&gt;=0,IFERROR(generateSalesData($D1117, IF(ISNUMBER(_xlfn.XLOOKUP($C1117,Phone_by_Sentiment!$B$2:$B$37,Phone_by_Sentiment!J$2:J$37,"",0,1)),_xlfn.XLOOKUP($C1117,Phone_by_Sentiment!$B$2:$B$37,Phone_by_Sentiment!J$2:J$37,"",0,1),0),$A1117-TEXT(DATEVALUE($D1117&amp;"-01"), "dd-mm-yyyy")),0),0)</f>
        <v>558</v>
      </c>
      <c r="K1117" cm="1">
        <f t="array" ref="K1117">IF($Q1117&gt;=0,IFERROR(generateSalesData($D1117, IF(ISNUMBER(_xlfn.XLOOKUP($C1117,Phone_by_Sentiment!$B$2:$B$37,Phone_by_Sentiment!K$2:K$37,"",0,1)),_xlfn.XLOOKUP($C1117,Phone_by_Sentiment!$B$2:$B$37,Phone_by_Sentiment!K$2:K$37,"",0,1),0),$A1117-TEXT(DATEVALUE($D1117&amp;"-01"), "dd-mm-yyyy")),0),0)</f>
        <v>632</v>
      </c>
      <c r="L1117" cm="1">
        <f t="array" ref="L1117">IF($Q1117&gt;=0,IFERROR(generateSalesData($D1117, IF(ISNUMBER(_xlfn.XLOOKUP($C1117,Phone_by_Sentiment!$B$2:$B$37,Phone_by_Sentiment!L$2:L$37,"",0,1)),_xlfn.XLOOKUP($C1117,Phone_by_Sentiment!$B$2:$B$37,Phone_by_Sentiment!L$2:L$37,"",0,1),0),$A1117-TEXT(DATEVALUE($D1117&amp;"-01"), "dd-mm-yyyy")),0),0)</f>
        <v>2104</v>
      </c>
      <c r="M1117" cm="1">
        <f t="array" ref="M1117">IF($Q1117&gt;=0,IFERROR(generateSalesData($D1117, IF(ISNUMBER(_xlfn.XLOOKUP($C1117,Phone_by_Sentiment!$B$2:$B$37,Phone_by_Sentiment!M$2:M$37,"",0,1)),_xlfn.XLOOKUP($C1117,Phone_by_Sentiment!$B$2:$B$37,Phone_by_Sentiment!M$2:M$37,"",0,1),0),$A1117-TEXT(DATEVALUE($D1117&amp;"-01"), "dd-mm-yyyy")),0),0)</f>
        <v>1172</v>
      </c>
      <c r="N1117" cm="1">
        <f t="array" ref="N1117">IF($Q1117&gt;=0,IFERROR(generateSalesData($D1117, IF(ISNUMBER(_xlfn.XLOOKUP($C1117,Phone_by_Sentiment!$B$2:$B$37,Phone_by_Sentiment!N$2:N$37,"",0,1)),_xlfn.XLOOKUP($C1117,Phone_by_Sentiment!$B$2:$B$37,Phone_by_Sentiment!N$2:N$37,"",0,1),0),$A1117-TEXT(DATEVALUE($D1117&amp;"-01"), "dd-mm-yyyy")),0),0)</f>
        <v>1508</v>
      </c>
      <c r="O1117" cm="1">
        <f t="array" ref="O1117">IF($Q1117&gt;=0,IFERROR(generateSalesData($D1117, IF(ISNUMBER(_xlfn.XLOOKUP($C1117,Phone_by_Sentiment!$B$2:$B$37,Phone_by_Sentiment!O$2:O$37,"",0,1)),_xlfn.XLOOKUP($C1117,Phone_by_Sentiment!$B$2:$B$37,Phone_by_Sentiment!O$2:O$37,"",0,1),0),$A1117-TEXT(DATEVALUE($D1117&amp;"-01"), "dd-mm-yyyy")),0),0)</f>
        <v>711</v>
      </c>
      <c r="P1117" s="1">
        <f t="shared" si="46"/>
        <v>44287</v>
      </c>
      <c r="Q1117">
        <f t="shared" si="47"/>
        <v>122</v>
      </c>
    </row>
    <row r="1118" spans="1:17" x14ac:dyDescent="0.25">
      <c r="A1118" s="1">
        <f t="shared" si="48"/>
        <v>44409</v>
      </c>
      <c r="B1118" t="s">
        <v>168</v>
      </c>
      <c r="C1118" t="str">
        <f>_xlfn.XLOOKUP(B1118,Phone_by_Price!$A$2:$A$34,Phone_by_Price!$B$2:$B$34,"-",0,1)</f>
        <v>Google Pixel 4</v>
      </c>
      <c r="D1118" t="str">
        <f>_xlfn.XLOOKUP(C1118,Phone_by_Sentiment!$B$2:$B$37,Phone_by_Sentiment!$A$2:$A$37,"-",0,1)</f>
        <v>2019-09</v>
      </c>
      <c r="E1118" cm="1">
        <f t="array" ref="E1118">IF($Q1118&gt;=0,IFERROR(generateSalesData($D1118, IF(ISNUMBER(_xlfn.XLOOKUP($C1118,Phone_by_Sentiment!$B$2:$B$37,Phone_by_Sentiment!E$2:E$37,"",0,1)),_xlfn.XLOOKUP($C1118,Phone_by_Sentiment!$B$2:$B$37,Phone_by_Sentiment!E$2:E$37,"",0,1),0),$A1118-TEXT(DATEVALUE($D1118&amp;"-01"), "dd-mm-yyyy")),0),0)</f>
        <v>368</v>
      </c>
      <c r="F1118" cm="1">
        <f t="array" ref="F1118">IF($Q1118&gt;=0,IFERROR(generateSalesData($D1118, IF(ISNUMBER(_xlfn.XLOOKUP($C1118,Phone_by_Sentiment!$B$2:$B$37,Phone_by_Sentiment!F$2:F$37,"",0,1)),_xlfn.XLOOKUP($C1118,Phone_by_Sentiment!$B$2:$B$37,Phone_by_Sentiment!F$2:F$37,"",0,1),0),$A1118-TEXT(DATEVALUE($D1118&amp;"-01"), "dd-mm-yyyy")),0),0)</f>
        <v>58</v>
      </c>
      <c r="G1118" cm="1">
        <f t="array" ref="G1118">IF($Q1118&gt;=0,IFERROR(generateSalesData($D1118, IF(ISNUMBER(_xlfn.XLOOKUP($C1118,Phone_by_Sentiment!$B$2:$B$37,Phone_by_Sentiment!G$2:G$37,"",0,1)),_xlfn.XLOOKUP($C1118,Phone_by_Sentiment!$B$2:$B$37,Phone_by_Sentiment!G$2:G$37,"",0,1),0),$A1118-TEXT(DATEVALUE($D1118&amp;"-01"), "dd-mm-yyyy")),0),0)</f>
        <v>94</v>
      </c>
      <c r="H1118" cm="1">
        <f t="array" ref="H1118">IF($Q1118&gt;=0,IFERROR(generateSalesData($D1118, IF(ISNUMBER(_xlfn.XLOOKUP($C1118,Phone_by_Sentiment!$B$2:$B$37,Phone_by_Sentiment!H$2:H$37,"",0,1)),_xlfn.XLOOKUP($C1118,Phone_by_Sentiment!$B$2:$B$37,Phone_by_Sentiment!H$2:H$37,"",0,1),0),$A1118-TEXT(DATEVALUE($D1118&amp;"-01"), "dd-mm-yyyy")),0),0)</f>
        <v>147</v>
      </c>
      <c r="I1118" cm="1">
        <f t="array" ref="I1118">IF($Q1118&gt;=0,IFERROR(generateSalesData($D1118, IF(ISNUMBER(_xlfn.XLOOKUP($C1118,Phone_by_Sentiment!$B$2:$B$37,Phone_by_Sentiment!I$2:I$37,"",0,1)),_xlfn.XLOOKUP($C1118,Phone_by_Sentiment!$B$2:$B$37,Phone_by_Sentiment!I$2:I$37,"",0,1),0),$A1118-TEXT(DATEVALUE($D1118&amp;"-01"), "dd-mm-yyyy")),0),0)</f>
        <v>54</v>
      </c>
      <c r="J1118" cm="1">
        <f t="array" ref="J1118">IF($Q1118&gt;=0,IFERROR(generateSalesData($D1118, IF(ISNUMBER(_xlfn.XLOOKUP($C1118,Phone_by_Sentiment!$B$2:$B$37,Phone_by_Sentiment!J$2:J$37,"",0,1)),_xlfn.XLOOKUP($C1118,Phone_by_Sentiment!$B$2:$B$37,Phone_by_Sentiment!J$2:J$37,"",0,1),0),$A1118-TEXT(DATEVALUE($D1118&amp;"-01"), "dd-mm-yyyy")),0),0)</f>
        <v>98</v>
      </c>
      <c r="K1118" cm="1">
        <f t="array" ref="K1118">IF($Q1118&gt;=0,IFERROR(generateSalesData($D1118, IF(ISNUMBER(_xlfn.XLOOKUP($C1118,Phone_by_Sentiment!$B$2:$B$37,Phone_by_Sentiment!K$2:K$37,"",0,1)),_xlfn.XLOOKUP($C1118,Phone_by_Sentiment!$B$2:$B$37,Phone_by_Sentiment!K$2:K$37,"",0,1),0),$A1118-TEXT(DATEVALUE($D1118&amp;"-01"), "dd-mm-yyyy")),0),0)</f>
        <v>65</v>
      </c>
      <c r="L1118" cm="1">
        <f t="array" ref="L1118">IF($Q1118&gt;=0,IFERROR(generateSalesData($D1118, IF(ISNUMBER(_xlfn.XLOOKUP($C1118,Phone_by_Sentiment!$B$2:$B$37,Phone_by_Sentiment!L$2:L$37,"",0,1)),_xlfn.XLOOKUP($C1118,Phone_by_Sentiment!$B$2:$B$37,Phone_by_Sentiment!L$2:L$37,"",0,1),0),$A1118-TEXT(DATEVALUE($D1118&amp;"-01"), "dd-mm-yyyy")),0),0)</f>
        <v>207</v>
      </c>
      <c r="M1118" cm="1">
        <f t="array" ref="M1118">IF($Q1118&gt;=0,IFERROR(generateSalesData($D1118, IF(ISNUMBER(_xlfn.XLOOKUP($C1118,Phone_by_Sentiment!$B$2:$B$37,Phone_by_Sentiment!M$2:M$37,"",0,1)),_xlfn.XLOOKUP($C1118,Phone_by_Sentiment!$B$2:$B$37,Phone_by_Sentiment!M$2:M$37,"",0,1),0),$A1118-TEXT(DATEVALUE($D1118&amp;"-01"), "dd-mm-yyyy")),0),0)</f>
        <v>56</v>
      </c>
      <c r="N1118" cm="1">
        <f t="array" ref="N1118">IF($Q1118&gt;=0,IFERROR(generateSalesData($D1118, IF(ISNUMBER(_xlfn.XLOOKUP($C1118,Phone_by_Sentiment!$B$2:$B$37,Phone_by_Sentiment!N$2:N$37,"",0,1)),_xlfn.XLOOKUP($C1118,Phone_by_Sentiment!$B$2:$B$37,Phone_by_Sentiment!N$2:N$37,"",0,1),0),$A1118-TEXT(DATEVALUE($D1118&amp;"-01"), "dd-mm-yyyy")),0),0)</f>
        <v>244</v>
      </c>
      <c r="O1118" cm="1">
        <f t="array" ref="O1118">IF($Q1118&gt;=0,IFERROR(generateSalesData($D1118, IF(ISNUMBER(_xlfn.XLOOKUP($C1118,Phone_by_Sentiment!$B$2:$B$37,Phone_by_Sentiment!O$2:O$37,"",0,1)),_xlfn.XLOOKUP($C1118,Phone_by_Sentiment!$B$2:$B$37,Phone_by_Sentiment!O$2:O$37,"",0,1),0),$A1118-TEXT(DATEVALUE($D1118&amp;"-01"), "dd-mm-yyyy")),0),0)</f>
        <v>121</v>
      </c>
      <c r="P1118" s="1">
        <f t="shared" si="46"/>
        <v>43709</v>
      </c>
      <c r="Q1118">
        <f t="shared" si="47"/>
        <v>700</v>
      </c>
    </row>
    <row r="1119" spans="1:17" x14ac:dyDescent="0.25">
      <c r="A1119" s="1">
        <f t="shared" si="48"/>
        <v>44409</v>
      </c>
      <c r="B1119" t="s">
        <v>169</v>
      </c>
      <c r="C1119" t="str">
        <f>_xlfn.XLOOKUP(B1119,Phone_by_Price!$A$2:$A$34,Phone_by_Price!$B$2:$B$34,"-",0,1)</f>
        <v>Samsung Galaxy A10s</v>
      </c>
      <c r="D1119" t="str">
        <f>_xlfn.XLOOKUP(C1119,Phone_by_Sentiment!$B$2:$B$37,Phone_by_Sentiment!$A$2:$A$37,"-",0,1)</f>
        <v>2019-08</v>
      </c>
      <c r="E1119" cm="1">
        <f t="array" ref="E1119">IF($Q1119&gt;=0,IFERROR(generateSalesData($D1119, IF(ISNUMBER(_xlfn.XLOOKUP($C1119,Phone_by_Sentiment!$B$2:$B$37,Phone_by_Sentiment!E$2:E$37,"",0,1)),_xlfn.XLOOKUP($C1119,Phone_by_Sentiment!$B$2:$B$37,Phone_by_Sentiment!E$2:E$37,"",0,1),0),$A1119-TEXT(DATEVALUE($D1119&amp;"-01"), "dd-mm-yyyy")),0),0)</f>
        <v>68</v>
      </c>
      <c r="F1119" cm="1">
        <f t="array" ref="F1119">IF($Q1119&gt;=0,IFERROR(generateSalesData($D1119, IF(ISNUMBER(_xlfn.XLOOKUP($C1119,Phone_by_Sentiment!$B$2:$B$37,Phone_by_Sentiment!F$2:F$37,"",0,1)),_xlfn.XLOOKUP($C1119,Phone_by_Sentiment!$B$2:$B$37,Phone_by_Sentiment!F$2:F$37,"",0,1),0),$A1119-TEXT(DATEVALUE($D1119&amp;"-01"), "dd-mm-yyyy")),0),0)</f>
        <v>34</v>
      </c>
      <c r="G1119" cm="1">
        <f t="array" ref="G1119">IF($Q1119&gt;=0,IFERROR(generateSalesData($D1119, IF(ISNUMBER(_xlfn.XLOOKUP($C1119,Phone_by_Sentiment!$B$2:$B$37,Phone_by_Sentiment!G$2:G$37,"",0,1)),_xlfn.XLOOKUP($C1119,Phone_by_Sentiment!$B$2:$B$37,Phone_by_Sentiment!G$2:G$37,"",0,1),0),$A1119-TEXT(DATEVALUE($D1119&amp;"-01"), "dd-mm-yyyy")),0),0)</f>
        <v>32</v>
      </c>
      <c r="H1119" cm="1">
        <f t="array" ref="H1119">IF($Q1119&gt;=0,IFERROR(generateSalesData($D1119, IF(ISNUMBER(_xlfn.XLOOKUP($C1119,Phone_by_Sentiment!$B$2:$B$37,Phone_by_Sentiment!H$2:H$37,"",0,1)),_xlfn.XLOOKUP($C1119,Phone_by_Sentiment!$B$2:$B$37,Phone_by_Sentiment!H$2:H$37,"",0,1),0),$A1119-TEXT(DATEVALUE($D1119&amp;"-01"), "dd-mm-yyyy")),0),0)</f>
        <v>202</v>
      </c>
      <c r="I1119" cm="1">
        <f t="array" ref="I1119">IF($Q1119&gt;=0,IFERROR(generateSalesData($D1119, IF(ISNUMBER(_xlfn.XLOOKUP($C1119,Phone_by_Sentiment!$B$2:$B$37,Phone_by_Sentiment!I$2:I$37,"",0,1)),_xlfn.XLOOKUP($C1119,Phone_by_Sentiment!$B$2:$B$37,Phone_by_Sentiment!I$2:I$37,"",0,1),0),$A1119-TEXT(DATEVALUE($D1119&amp;"-01"), "dd-mm-yyyy")),0),0)</f>
        <v>174</v>
      </c>
      <c r="J1119" cm="1">
        <f t="array" ref="J1119">IF($Q1119&gt;=0,IFERROR(generateSalesData($D1119, IF(ISNUMBER(_xlfn.XLOOKUP($C1119,Phone_by_Sentiment!$B$2:$B$37,Phone_by_Sentiment!J$2:J$37,"",0,1)),_xlfn.XLOOKUP($C1119,Phone_by_Sentiment!$B$2:$B$37,Phone_by_Sentiment!J$2:J$37,"",0,1),0),$A1119-TEXT(DATEVALUE($D1119&amp;"-01"), "dd-mm-yyyy")),0),0)</f>
        <v>432</v>
      </c>
      <c r="K1119" cm="1">
        <f t="array" ref="K1119">IF($Q1119&gt;=0,IFERROR(generateSalesData($D1119, IF(ISNUMBER(_xlfn.XLOOKUP($C1119,Phone_by_Sentiment!$B$2:$B$37,Phone_by_Sentiment!K$2:K$37,"",0,1)),_xlfn.XLOOKUP($C1119,Phone_by_Sentiment!$B$2:$B$37,Phone_by_Sentiment!K$2:K$37,"",0,1),0),$A1119-TEXT(DATEVALUE($D1119&amp;"-01"), "dd-mm-yyyy")),0),0)</f>
        <v>224</v>
      </c>
      <c r="L1119" cm="1">
        <f t="array" ref="L1119">IF($Q1119&gt;=0,IFERROR(generateSalesData($D1119, IF(ISNUMBER(_xlfn.XLOOKUP($C1119,Phone_by_Sentiment!$B$2:$B$37,Phone_by_Sentiment!L$2:L$37,"",0,1)),_xlfn.XLOOKUP($C1119,Phone_by_Sentiment!$B$2:$B$37,Phone_by_Sentiment!L$2:L$37,"",0,1),0),$A1119-TEXT(DATEVALUE($D1119&amp;"-01"), "dd-mm-yyyy")),0),0)</f>
        <v>129</v>
      </c>
      <c r="M1119" cm="1">
        <f t="array" ref="M1119">IF($Q1119&gt;=0,IFERROR(generateSalesData($D1119, IF(ISNUMBER(_xlfn.XLOOKUP($C1119,Phone_by_Sentiment!$B$2:$B$37,Phone_by_Sentiment!M$2:M$37,"",0,1)),_xlfn.XLOOKUP($C1119,Phone_by_Sentiment!$B$2:$B$37,Phone_by_Sentiment!M$2:M$37,"",0,1),0),$A1119-TEXT(DATEVALUE($D1119&amp;"-01"), "dd-mm-yyyy")),0),0)</f>
        <v>110</v>
      </c>
      <c r="N1119" cm="1">
        <f t="array" ref="N1119">IF($Q1119&gt;=0,IFERROR(generateSalesData($D1119, IF(ISNUMBER(_xlfn.XLOOKUP($C1119,Phone_by_Sentiment!$B$2:$B$37,Phone_by_Sentiment!N$2:N$37,"",0,1)),_xlfn.XLOOKUP($C1119,Phone_by_Sentiment!$B$2:$B$37,Phone_by_Sentiment!N$2:N$37,"",0,1),0),$A1119-TEXT(DATEVALUE($D1119&amp;"-01"), "dd-mm-yyyy")),0),0)</f>
        <v>47</v>
      </c>
      <c r="O1119" cm="1">
        <f t="array" ref="O1119">IF($Q1119&gt;=0,IFERROR(generateSalesData($D1119, IF(ISNUMBER(_xlfn.XLOOKUP($C1119,Phone_by_Sentiment!$B$2:$B$37,Phone_by_Sentiment!O$2:O$37,"",0,1)),_xlfn.XLOOKUP($C1119,Phone_by_Sentiment!$B$2:$B$37,Phone_by_Sentiment!O$2:O$37,"",0,1),0),$A1119-TEXT(DATEVALUE($D1119&amp;"-01"), "dd-mm-yyyy")),0),0)</f>
        <v>180</v>
      </c>
      <c r="P1119" s="1">
        <f t="shared" si="46"/>
        <v>43678</v>
      </c>
      <c r="Q1119">
        <f t="shared" si="47"/>
        <v>731</v>
      </c>
    </row>
    <row r="1120" spans="1:17" x14ac:dyDescent="0.25">
      <c r="A1120" s="1">
        <f t="shared" si="48"/>
        <v>44409</v>
      </c>
      <c r="B1120" t="s">
        <v>170</v>
      </c>
      <c r="C1120" t="str">
        <f>_xlfn.XLOOKUP(B1120,Phone_by_Price!$A$2:$A$34,Phone_by_Price!$B$2:$B$34,"-",0,1)</f>
        <v>Realme Narzo 30A</v>
      </c>
      <c r="D1120" t="str">
        <f>_xlfn.XLOOKUP(C1120,Phone_by_Sentiment!$B$2:$B$37,Phone_by_Sentiment!$A$2:$A$37,"-",0,1)</f>
        <v>2021-02</v>
      </c>
      <c r="E1120" cm="1">
        <f t="array" ref="E1120">IF($Q1120&gt;=0,IFERROR(generateSalesData($D1120, IF(ISNUMBER(_xlfn.XLOOKUP($C1120,Phone_by_Sentiment!$B$2:$B$37,Phone_by_Sentiment!E$2:E$37,"",0,1)),_xlfn.XLOOKUP($C1120,Phone_by_Sentiment!$B$2:$B$37,Phone_by_Sentiment!E$2:E$37,"",0,1),0),$A1120-TEXT(DATEVALUE($D1120&amp;"-01"), "dd-mm-yyyy")),0),0)</f>
        <v>138</v>
      </c>
      <c r="F1120" cm="1">
        <f t="array" ref="F1120">IF($Q1120&gt;=0,IFERROR(generateSalesData($D1120, IF(ISNUMBER(_xlfn.XLOOKUP($C1120,Phone_by_Sentiment!$B$2:$B$37,Phone_by_Sentiment!F$2:F$37,"",0,1)),_xlfn.XLOOKUP($C1120,Phone_by_Sentiment!$B$2:$B$37,Phone_by_Sentiment!F$2:F$37,"",0,1),0),$A1120-TEXT(DATEVALUE($D1120&amp;"-01"), "dd-mm-yyyy")),0),0)</f>
        <v>153</v>
      </c>
      <c r="G1120" cm="1">
        <f t="array" ref="G1120">IF($Q1120&gt;=0,IFERROR(generateSalesData($D1120, IF(ISNUMBER(_xlfn.XLOOKUP($C1120,Phone_by_Sentiment!$B$2:$B$37,Phone_by_Sentiment!G$2:G$37,"",0,1)),_xlfn.XLOOKUP($C1120,Phone_by_Sentiment!$B$2:$B$37,Phone_by_Sentiment!G$2:G$37,"",0,1),0),$A1120-TEXT(DATEVALUE($D1120&amp;"-01"), "dd-mm-yyyy")),0),0)</f>
        <v>322</v>
      </c>
      <c r="H1120" cm="1">
        <f t="array" ref="H1120">IF($Q1120&gt;=0,IFERROR(generateSalesData($D1120, IF(ISNUMBER(_xlfn.XLOOKUP($C1120,Phone_by_Sentiment!$B$2:$B$37,Phone_by_Sentiment!H$2:H$37,"",0,1)),_xlfn.XLOOKUP($C1120,Phone_by_Sentiment!$B$2:$B$37,Phone_by_Sentiment!H$2:H$37,"",0,1),0),$A1120-TEXT(DATEVALUE($D1120&amp;"-01"), "dd-mm-yyyy")),0),0)</f>
        <v>2026</v>
      </c>
      <c r="I1120" cm="1">
        <f t="array" ref="I1120">IF($Q1120&gt;=0,IFERROR(generateSalesData($D1120, IF(ISNUMBER(_xlfn.XLOOKUP($C1120,Phone_by_Sentiment!$B$2:$B$37,Phone_by_Sentiment!I$2:I$37,"",0,1)),_xlfn.XLOOKUP($C1120,Phone_by_Sentiment!$B$2:$B$37,Phone_by_Sentiment!I$2:I$37,"",0,1),0),$A1120-TEXT(DATEVALUE($D1120&amp;"-01"), "dd-mm-yyyy")),0),0)</f>
        <v>633</v>
      </c>
      <c r="J1120" cm="1">
        <f t="array" ref="J1120">IF($Q1120&gt;=0,IFERROR(generateSalesData($D1120, IF(ISNUMBER(_xlfn.XLOOKUP($C1120,Phone_by_Sentiment!$B$2:$B$37,Phone_by_Sentiment!J$2:J$37,"",0,1)),_xlfn.XLOOKUP($C1120,Phone_by_Sentiment!$B$2:$B$37,Phone_by_Sentiment!J$2:J$37,"",0,1),0),$A1120-TEXT(DATEVALUE($D1120&amp;"-01"), "dd-mm-yyyy")),0),0)</f>
        <v>317</v>
      </c>
      <c r="K1120" cm="1">
        <f t="array" ref="K1120">IF($Q1120&gt;=0,IFERROR(generateSalesData($D1120, IF(ISNUMBER(_xlfn.XLOOKUP($C1120,Phone_by_Sentiment!$B$2:$B$37,Phone_by_Sentiment!K$2:K$37,"",0,1)),_xlfn.XLOOKUP($C1120,Phone_by_Sentiment!$B$2:$B$37,Phone_by_Sentiment!K$2:K$37,"",0,1),0),$A1120-TEXT(DATEVALUE($D1120&amp;"-01"), "dd-mm-yyyy")),0),0)</f>
        <v>814</v>
      </c>
      <c r="L1120" cm="1">
        <f t="array" ref="L1120">IF($Q1120&gt;=0,IFERROR(generateSalesData($D1120, IF(ISNUMBER(_xlfn.XLOOKUP($C1120,Phone_by_Sentiment!$B$2:$B$37,Phone_by_Sentiment!L$2:L$37,"",0,1)),_xlfn.XLOOKUP($C1120,Phone_by_Sentiment!$B$2:$B$37,Phone_by_Sentiment!L$2:L$37,"",0,1),0),$A1120-TEXT(DATEVALUE($D1120&amp;"-01"), "dd-mm-yyyy")),0),0)</f>
        <v>852</v>
      </c>
      <c r="M1120" cm="1">
        <f t="array" ref="M1120">IF($Q1120&gt;=0,IFERROR(generateSalesData($D1120, IF(ISNUMBER(_xlfn.XLOOKUP($C1120,Phone_by_Sentiment!$B$2:$B$37,Phone_by_Sentiment!M$2:M$37,"",0,1)),_xlfn.XLOOKUP($C1120,Phone_by_Sentiment!$B$2:$B$37,Phone_by_Sentiment!M$2:M$37,"",0,1),0),$A1120-TEXT(DATEVALUE($D1120&amp;"-01"), "dd-mm-yyyy")),0),0)</f>
        <v>512</v>
      </c>
      <c r="N1120" cm="1">
        <f t="array" ref="N1120">IF($Q1120&gt;=0,IFERROR(generateSalesData($D1120, IF(ISNUMBER(_xlfn.XLOOKUP($C1120,Phone_by_Sentiment!$B$2:$B$37,Phone_by_Sentiment!N$2:N$37,"",0,1)),_xlfn.XLOOKUP($C1120,Phone_by_Sentiment!$B$2:$B$37,Phone_by_Sentiment!N$2:N$37,"",0,1),0),$A1120-TEXT(DATEVALUE($D1120&amp;"-01"), "dd-mm-yyyy")),0),0)</f>
        <v>832</v>
      </c>
      <c r="O1120" cm="1">
        <f t="array" ref="O1120">IF($Q1120&gt;=0,IFERROR(generateSalesData($D1120, IF(ISNUMBER(_xlfn.XLOOKUP($C1120,Phone_by_Sentiment!$B$2:$B$37,Phone_by_Sentiment!O$2:O$37,"",0,1)),_xlfn.XLOOKUP($C1120,Phone_by_Sentiment!$B$2:$B$37,Phone_by_Sentiment!O$2:O$37,"",0,1),0),$A1120-TEXT(DATEVALUE($D1120&amp;"-01"), "dd-mm-yyyy")),0),0)</f>
        <v>369</v>
      </c>
      <c r="P1120" s="1">
        <f t="shared" si="46"/>
        <v>44228</v>
      </c>
      <c r="Q1120">
        <f t="shared" si="47"/>
        <v>181</v>
      </c>
    </row>
    <row r="1121" spans="1:17" x14ac:dyDescent="0.25">
      <c r="A1121" s="1">
        <f t="shared" si="48"/>
        <v>44440</v>
      </c>
      <c r="B1121" t="s">
        <v>171</v>
      </c>
      <c r="C1121" t="str">
        <f>_xlfn.XLOOKUP(B1121,Phone_by_Price!$A$2:$A$34,Phone_by_Price!$B$2:$B$34,"-",0,1)</f>
        <v>Samsung Galaxy A22 5G</v>
      </c>
      <c r="D1121" t="str">
        <f>_xlfn.XLOOKUP(C1121,Phone_by_Sentiment!$B$2:$B$37,Phone_by_Sentiment!$A$2:$A$37,"-",0,1)</f>
        <v>2021-05</v>
      </c>
      <c r="E1121" cm="1">
        <f t="array" ref="E1121">IF($Q1121&gt;=0,IFERROR(generateSalesData($D1121, IF(ISNUMBER(_xlfn.XLOOKUP($C1121,Phone_by_Sentiment!$B$2:$B$37,Phone_by_Sentiment!E$2:E$37,"",0,1)),_xlfn.XLOOKUP($C1121,Phone_by_Sentiment!$B$2:$B$37,Phone_by_Sentiment!E$2:E$37,"",0,1),0),$A1121-TEXT(DATEVALUE($D1121&amp;"-01"), "dd-mm-yyyy")),0),0)</f>
        <v>2394</v>
      </c>
      <c r="F1121" cm="1">
        <f t="array" ref="F1121">IF($Q1121&gt;=0,IFERROR(generateSalesData($D1121, IF(ISNUMBER(_xlfn.XLOOKUP($C1121,Phone_by_Sentiment!$B$2:$B$37,Phone_by_Sentiment!F$2:F$37,"",0,1)),_xlfn.XLOOKUP($C1121,Phone_by_Sentiment!$B$2:$B$37,Phone_by_Sentiment!F$2:F$37,"",0,1),0),$A1121-TEXT(DATEVALUE($D1121&amp;"-01"), "dd-mm-yyyy")),0),0)</f>
        <v>1699</v>
      </c>
      <c r="G1121" cm="1">
        <f t="array" ref="G1121">IF($Q1121&gt;=0,IFERROR(generateSalesData($D1121, IF(ISNUMBER(_xlfn.XLOOKUP($C1121,Phone_by_Sentiment!$B$2:$B$37,Phone_by_Sentiment!G$2:G$37,"",0,1)),_xlfn.XLOOKUP($C1121,Phone_by_Sentiment!$B$2:$B$37,Phone_by_Sentiment!G$2:G$37,"",0,1),0),$A1121-TEXT(DATEVALUE($D1121&amp;"-01"), "dd-mm-yyyy")),0),0)</f>
        <v>221</v>
      </c>
      <c r="H1121" cm="1">
        <f t="array" ref="H1121">IF($Q1121&gt;=0,IFERROR(generateSalesData($D1121, IF(ISNUMBER(_xlfn.XLOOKUP($C1121,Phone_by_Sentiment!$B$2:$B$37,Phone_by_Sentiment!H$2:H$37,"",0,1)),_xlfn.XLOOKUP($C1121,Phone_by_Sentiment!$B$2:$B$37,Phone_by_Sentiment!H$2:H$37,"",0,1),0),$A1121-TEXT(DATEVALUE($D1121&amp;"-01"), "dd-mm-yyyy")),0),0)</f>
        <v>1035</v>
      </c>
      <c r="I1121" cm="1">
        <f t="array" ref="I1121">IF($Q1121&gt;=0,IFERROR(generateSalesData($D1121, IF(ISNUMBER(_xlfn.XLOOKUP($C1121,Phone_by_Sentiment!$B$2:$B$37,Phone_by_Sentiment!I$2:I$37,"",0,1)),_xlfn.XLOOKUP($C1121,Phone_by_Sentiment!$B$2:$B$37,Phone_by_Sentiment!I$2:I$37,"",0,1),0),$A1121-TEXT(DATEVALUE($D1121&amp;"-01"), "dd-mm-yyyy")),0),0)</f>
        <v>2776</v>
      </c>
      <c r="J1121" cm="1">
        <f t="array" ref="J1121">IF($Q1121&gt;=0,IFERROR(generateSalesData($D1121, IF(ISNUMBER(_xlfn.XLOOKUP($C1121,Phone_by_Sentiment!$B$2:$B$37,Phone_by_Sentiment!J$2:J$37,"",0,1)),_xlfn.XLOOKUP($C1121,Phone_by_Sentiment!$B$2:$B$37,Phone_by_Sentiment!J$2:J$37,"",0,1),0),$A1121-TEXT(DATEVALUE($D1121&amp;"-01"), "dd-mm-yyyy")),0),0)</f>
        <v>2336</v>
      </c>
      <c r="K1121" cm="1">
        <f t="array" ref="K1121">IF($Q1121&gt;=0,IFERROR(generateSalesData($D1121, IF(ISNUMBER(_xlfn.XLOOKUP($C1121,Phone_by_Sentiment!$B$2:$B$37,Phone_by_Sentiment!K$2:K$37,"",0,1)),_xlfn.XLOOKUP($C1121,Phone_by_Sentiment!$B$2:$B$37,Phone_by_Sentiment!K$2:K$37,"",0,1),0),$A1121-TEXT(DATEVALUE($D1121&amp;"-01"), "dd-mm-yyyy")),0),0)</f>
        <v>1999</v>
      </c>
      <c r="L1121" cm="1">
        <f t="array" ref="L1121">IF($Q1121&gt;=0,IFERROR(generateSalesData($D1121, IF(ISNUMBER(_xlfn.XLOOKUP($C1121,Phone_by_Sentiment!$B$2:$B$37,Phone_by_Sentiment!L$2:L$37,"",0,1)),_xlfn.XLOOKUP($C1121,Phone_by_Sentiment!$B$2:$B$37,Phone_by_Sentiment!L$2:L$37,"",0,1),0),$A1121-TEXT(DATEVALUE($D1121&amp;"-01"), "dd-mm-yyyy")),0),0)</f>
        <v>2742</v>
      </c>
      <c r="M1121" cm="1">
        <f t="array" ref="M1121">IF($Q1121&gt;=0,IFERROR(generateSalesData($D1121, IF(ISNUMBER(_xlfn.XLOOKUP($C1121,Phone_by_Sentiment!$B$2:$B$37,Phone_by_Sentiment!M$2:M$37,"",0,1)),_xlfn.XLOOKUP($C1121,Phone_by_Sentiment!$B$2:$B$37,Phone_by_Sentiment!M$2:M$37,"",0,1),0),$A1121-TEXT(DATEVALUE($D1121&amp;"-01"), "dd-mm-yyyy")),0),0)</f>
        <v>1475</v>
      </c>
      <c r="N1121" cm="1">
        <f t="array" ref="N1121">IF($Q1121&gt;=0,IFERROR(generateSalesData($D1121, IF(ISNUMBER(_xlfn.XLOOKUP($C1121,Phone_by_Sentiment!$B$2:$B$37,Phone_by_Sentiment!N$2:N$37,"",0,1)),_xlfn.XLOOKUP($C1121,Phone_by_Sentiment!$B$2:$B$37,Phone_by_Sentiment!N$2:N$37,"",0,1),0),$A1121-TEXT(DATEVALUE($D1121&amp;"-01"), "dd-mm-yyyy")),0),0)</f>
        <v>1499</v>
      </c>
      <c r="O1121" cm="1">
        <f t="array" ref="O1121">IF($Q1121&gt;=0,IFERROR(generateSalesData($D1121, IF(ISNUMBER(_xlfn.XLOOKUP($C1121,Phone_by_Sentiment!$B$2:$B$37,Phone_by_Sentiment!O$2:O$37,"",0,1)),_xlfn.XLOOKUP($C1121,Phone_by_Sentiment!$B$2:$B$37,Phone_by_Sentiment!O$2:O$37,"",0,1),0),$A1121-TEXT(DATEVALUE($D1121&amp;"-01"), "dd-mm-yyyy")),0),0)</f>
        <v>2473</v>
      </c>
      <c r="P1121" s="1">
        <f t="shared" si="46"/>
        <v>44317</v>
      </c>
      <c r="Q1121">
        <f t="shared" si="47"/>
        <v>123</v>
      </c>
    </row>
    <row r="1122" spans="1:17" x14ac:dyDescent="0.25">
      <c r="A1122" s="1">
        <f t="shared" si="48"/>
        <v>44440</v>
      </c>
      <c r="B1122" t="s">
        <v>172</v>
      </c>
      <c r="C1122" t="str">
        <f>_xlfn.XLOOKUP(B1122,Phone_by_Price!$A$2:$A$34,Phone_by_Price!$B$2:$B$34,"-",0,1)</f>
        <v>Xiaomi Redmi 9</v>
      </c>
      <c r="D1122" t="str">
        <f>_xlfn.XLOOKUP(C1122,Phone_by_Sentiment!$B$2:$B$37,Phone_by_Sentiment!$A$2:$A$37,"-",0,1)</f>
        <v>2020-08</v>
      </c>
      <c r="E1122" cm="1">
        <f t="array" ref="E1122">IF($Q1122&gt;=0,IFERROR(generateSalesData($D1122, IF(ISNUMBER(_xlfn.XLOOKUP($C1122,Phone_by_Sentiment!$B$2:$B$37,Phone_by_Sentiment!E$2:E$37,"",0,1)),_xlfn.XLOOKUP($C1122,Phone_by_Sentiment!$B$2:$B$37,Phone_by_Sentiment!E$2:E$37,"",0,1),0),$A1122-TEXT(DATEVALUE($D1122&amp;"-01"), "dd-mm-yyyy")),0),0)</f>
        <v>54</v>
      </c>
      <c r="F1122" cm="1">
        <f t="array" ref="F1122">IF($Q1122&gt;=0,IFERROR(generateSalesData($D1122, IF(ISNUMBER(_xlfn.XLOOKUP($C1122,Phone_by_Sentiment!$B$2:$B$37,Phone_by_Sentiment!F$2:F$37,"",0,1)),_xlfn.XLOOKUP($C1122,Phone_by_Sentiment!$B$2:$B$37,Phone_by_Sentiment!F$2:F$37,"",0,1),0),$A1122-TEXT(DATEVALUE($D1122&amp;"-01"), "dd-mm-yyyy")),0),0)</f>
        <v>231</v>
      </c>
      <c r="G1122" cm="1">
        <f t="array" ref="G1122">IF($Q1122&gt;=0,IFERROR(generateSalesData($D1122, IF(ISNUMBER(_xlfn.XLOOKUP($C1122,Phone_by_Sentiment!$B$2:$B$37,Phone_by_Sentiment!G$2:G$37,"",0,1)),_xlfn.XLOOKUP($C1122,Phone_by_Sentiment!$B$2:$B$37,Phone_by_Sentiment!G$2:G$37,"",0,1),0),$A1122-TEXT(DATEVALUE($D1122&amp;"-01"), "dd-mm-yyyy")),0),0)</f>
        <v>262</v>
      </c>
      <c r="H1122" cm="1">
        <f t="array" ref="H1122">IF($Q1122&gt;=0,IFERROR(generateSalesData($D1122, IF(ISNUMBER(_xlfn.XLOOKUP($C1122,Phone_by_Sentiment!$B$2:$B$37,Phone_by_Sentiment!H$2:H$37,"",0,1)),_xlfn.XLOOKUP($C1122,Phone_by_Sentiment!$B$2:$B$37,Phone_by_Sentiment!H$2:H$37,"",0,1),0),$A1122-TEXT(DATEVALUE($D1122&amp;"-01"), "dd-mm-yyyy")),0),0)</f>
        <v>733</v>
      </c>
      <c r="I1122" cm="1">
        <f t="array" ref="I1122">IF($Q1122&gt;=0,IFERROR(generateSalesData($D1122, IF(ISNUMBER(_xlfn.XLOOKUP($C1122,Phone_by_Sentiment!$B$2:$B$37,Phone_by_Sentiment!I$2:I$37,"",0,1)),_xlfn.XLOOKUP($C1122,Phone_by_Sentiment!$B$2:$B$37,Phone_by_Sentiment!I$2:I$37,"",0,1),0),$A1122-TEXT(DATEVALUE($D1122&amp;"-01"), "dd-mm-yyyy")),0),0)</f>
        <v>80</v>
      </c>
      <c r="J1122" cm="1">
        <f t="array" ref="J1122">IF($Q1122&gt;=0,IFERROR(generateSalesData($D1122, IF(ISNUMBER(_xlfn.XLOOKUP($C1122,Phone_by_Sentiment!$B$2:$B$37,Phone_by_Sentiment!J$2:J$37,"",0,1)),_xlfn.XLOOKUP($C1122,Phone_by_Sentiment!$B$2:$B$37,Phone_by_Sentiment!J$2:J$37,"",0,1),0),$A1122-TEXT(DATEVALUE($D1122&amp;"-01"), "dd-mm-yyyy")),0),0)</f>
        <v>88</v>
      </c>
      <c r="K1122" cm="1">
        <f t="array" ref="K1122">IF($Q1122&gt;=0,IFERROR(generateSalesData($D1122, IF(ISNUMBER(_xlfn.XLOOKUP($C1122,Phone_by_Sentiment!$B$2:$B$37,Phone_by_Sentiment!K$2:K$37,"",0,1)),_xlfn.XLOOKUP($C1122,Phone_by_Sentiment!$B$2:$B$37,Phone_by_Sentiment!K$2:K$37,"",0,1),0),$A1122-TEXT(DATEVALUE($D1122&amp;"-01"), "dd-mm-yyyy")),0),0)</f>
        <v>548</v>
      </c>
      <c r="L1122" cm="1">
        <f t="array" ref="L1122">IF($Q1122&gt;=0,IFERROR(generateSalesData($D1122, IF(ISNUMBER(_xlfn.XLOOKUP($C1122,Phone_by_Sentiment!$B$2:$B$37,Phone_by_Sentiment!L$2:L$37,"",0,1)),_xlfn.XLOOKUP($C1122,Phone_by_Sentiment!$B$2:$B$37,Phone_by_Sentiment!L$2:L$37,"",0,1),0),$A1122-TEXT(DATEVALUE($D1122&amp;"-01"), "dd-mm-yyyy")),0),0)</f>
        <v>128</v>
      </c>
      <c r="M1122" cm="1">
        <f t="array" ref="M1122">IF($Q1122&gt;=0,IFERROR(generateSalesData($D1122, IF(ISNUMBER(_xlfn.XLOOKUP($C1122,Phone_by_Sentiment!$B$2:$B$37,Phone_by_Sentiment!M$2:M$37,"",0,1)),_xlfn.XLOOKUP($C1122,Phone_by_Sentiment!$B$2:$B$37,Phone_by_Sentiment!M$2:M$37,"",0,1),0),$A1122-TEXT(DATEVALUE($D1122&amp;"-01"), "dd-mm-yyyy")),0),0)</f>
        <v>501</v>
      </c>
      <c r="N1122" cm="1">
        <f t="array" ref="N1122">IF($Q1122&gt;=0,IFERROR(generateSalesData($D1122, IF(ISNUMBER(_xlfn.XLOOKUP($C1122,Phone_by_Sentiment!$B$2:$B$37,Phone_by_Sentiment!N$2:N$37,"",0,1)),_xlfn.XLOOKUP($C1122,Phone_by_Sentiment!$B$2:$B$37,Phone_by_Sentiment!N$2:N$37,"",0,1),0),$A1122-TEXT(DATEVALUE($D1122&amp;"-01"), "dd-mm-yyyy")),0),0)</f>
        <v>185</v>
      </c>
      <c r="O1122" cm="1">
        <f t="array" ref="O1122">IF($Q1122&gt;=0,IFERROR(generateSalesData($D1122, IF(ISNUMBER(_xlfn.XLOOKUP($C1122,Phone_by_Sentiment!$B$2:$B$37,Phone_by_Sentiment!O$2:O$37,"",0,1)),_xlfn.XLOOKUP($C1122,Phone_by_Sentiment!$B$2:$B$37,Phone_by_Sentiment!O$2:O$37,"",0,1),0),$A1122-TEXT(DATEVALUE($D1122&amp;"-01"), "dd-mm-yyyy")),0),0)</f>
        <v>763</v>
      </c>
      <c r="P1122" s="1">
        <f t="shared" si="46"/>
        <v>44044</v>
      </c>
      <c r="Q1122">
        <f t="shared" si="47"/>
        <v>396</v>
      </c>
    </row>
    <row r="1123" spans="1:17" x14ac:dyDescent="0.25">
      <c r="A1123" s="1">
        <f t="shared" si="48"/>
        <v>44440</v>
      </c>
      <c r="B1123" t="s">
        <v>173</v>
      </c>
      <c r="C1123" t="str">
        <f>_xlfn.XLOOKUP(B1123,Phone_by_Price!$A$2:$A$34,Phone_by_Price!$B$2:$B$34,"-",0,1)</f>
        <v>Realme C3</v>
      </c>
      <c r="D1123" t="str">
        <f>_xlfn.XLOOKUP(C1123,Phone_by_Sentiment!$B$2:$B$37,Phone_by_Sentiment!$A$2:$A$37,"-",0,1)</f>
        <v>2020-02</v>
      </c>
      <c r="E1123" cm="1">
        <f t="array" ref="E1123">IF($Q1123&gt;=0,IFERROR(generateSalesData($D1123, IF(ISNUMBER(_xlfn.XLOOKUP($C1123,Phone_by_Sentiment!$B$2:$B$37,Phone_by_Sentiment!E$2:E$37,"",0,1)),_xlfn.XLOOKUP($C1123,Phone_by_Sentiment!$B$2:$B$37,Phone_by_Sentiment!E$2:E$37,"",0,1),0),$A1123-TEXT(DATEVALUE($D1123&amp;"-01"), "dd-mm-yyyy")),0),0)</f>
        <v>172</v>
      </c>
      <c r="F1123" cm="1">
        <f t="array" ref="F1123">IF($Q1123&gt;=0,IFERROR(generateSalesData($D1123, IF(ISNUMBER(_xlfn.XLOOKUP($C1123,Phone_by_Sentiment!$B$2:$B$37,Phone_by_Sentiment!F$2:F$37,"",0,1)),_xlfn.XLOOKUP($C1123,Phone_by_Sentiment!$B$2:$B$37,Phone_by_Sentiment!F$2:F$37,"",0,1),0),$A1123-TEXT(DATEVALUE($D1123&amp;"-01"), "dd-mm-yyyy")),0),0)</f>
        <v>88</v>
      </c>
      <c r="G1123" cm="1">
        <f t="array" ref="G1123">IF($Q1123&gt;=0,IFERROR(generateSalesData($D1123, IF(ISNUMBER(_xlfn.XLOOKUP($C1123,Phone_by_Sentiment!$B$2:$B$37,Phone_by_Sentiment!G$2:G$37,"",0,1)),_xlfn.XLOOKUP($C1123,Phone_by_Sentiment!$B$2:$B$37,Phone_by_Sentiment!G$2:G$37,"",0,1),0),$A1123-TEXT(DATEVALUE($D1123&amp;"-01"), "dd-mm-yyyy")),0),0)</f>
        <v>-1</v>
      </c>
      <c r="H1123" cm="1">
        <f t="array" ref="H1123">IF($Q1123&gt;=0,IFERROR(generateSalesData($D1123, IF(ISNUMBER(_xlfn.XLOOKUP($C1123,Phone_by_Sentiment!$B$2:$B$37,Phone_by_Sentiment!H$2:H$37,"",0,1)),_xlfn.XLOOKUP($C1123,Phone_by_Sentiment!$B$2:$B$37,Phone_by_Sentiment!H$2:H$37,"",0,1),0),$A1123-TEXT(DATEVALUE($D1123&amp;"-01"), "dd-mm-yyyy")),0),0)</f>
        <v>301</v>
      </c>
      <c r="I1123" cm="1">
        <f t="array" ref="I1123">IF($Q1123&gt;=0,IFERROR(generateSalesData($D1123, IF(ISNUMBER(_xlfn.XLOOKUP($C1123,Phone_by_Sentiment!$B$2:$B$37,Phone_by_Sentiment!I$2:I$37,"",0,1)),_xlfn.XLOOKUP($C1123,Phone_by_Sentiment!$B$2:$B$37,Phone_by_Sentiment!I$2:I$37,"",0,1),0),$A1123-TEXT(DATEVALUE($D1123&amp;"-01"), "dd-mm-yyyy")),0),0)</f>
        <v>754</v>
      </c>
      <c r="J1123" cm="1">
        <f t="array" ref="J1123">IF($Q1123&gt;=0,IFERROR(generateSalesData($D1123, IF(ISNUMBER(_xlfn.XLOOKUP($C1123,Phone_by_Sentiment!$B$2:$B$37,Phone_by_Sentiment!J$2:J$37,"",0,1)),_xlfn.XLOOKUP($C1123,Phone_by_Sentiment!$B$2:$B$37,Phone_by_Sentiment!J$2:J$37,"",0,1),0),$A1123-TEXT(DATEVALUE($D1123&amp;"-01"), "dd-mm-yyyy")),0),0)</f>
        <v>52</v>
      </c>
      <c r="K1123" cm="1">
        <f t="array" ref="K1123">IF($Q1123&gt;=0,IFERROR(generateSalesData($D1123, IF(ISNUMBER(_xlfn.XLOOKUP($C1123,Phone_by_Sentiment!$B$2:$B$37,Phone_by_Sentiment!K$2:K$37,"",0,1)),_xlfn.XLOOKUP($C1123,Phone_by_Sentiment!$B$2:$B$37,Phone_by_Sentiment!K$2:K$37,"",0,1),0),$A1123-TEXT(DATEVALUE($D1123&amp;"-01"), "dd-mm-yyyy")),0),0)</f>
        <v>104</v>
      </c>
      <c r="L1123" cm="1">
        <f t="array" ref="L1123">IF($Q1123&gt;=0,IFERROR(generateSalesData($D1123, IF(ISNUMBER(_xlfn.XLOOKUP($C1123,Phone_by_Sentiment!$B$2:$B$37,Phone_by_Sentiment!L$2:L$37,"",0,1)),_xlfn.XLOOKUP($C1123,Phone_by_Sentiment!$B$2:$B$37,Phone_by_Sentiment!L$2:L$37,"",0,1),0),$A1123-TEXT(DATEVALUE($D1123&amp;"-01"), "dd-mm-yyyy")),0),0)</f>
        <v>301</v>
      </c>
      <c r="M1123" cm="1">
        <f t="array" ref="M1123">IF($Q1123&gt;=0,IFERROR(generateSalesData($D1123, IF(ISNUMBER(_xlfn.XLOOKUP($C1123,Phone_by_Sentiment!$B$2:$B$37,Phone_by_Sentiment!M$2:M$37,"",0,1)),_xlfn.XLOOKUP($C1123,Phone_by_Sentiment!$B$2:$B$37,Phone_by_Sentiment!M$2:M$37,"",0,1),0),$A1123-TEXT(DATEVALUE($D1123&amp;"-01"), "dd-mm-yyyy")),0),0)</f>
        <v>92</v>
      </c>
      <c r="N1123" cm="1">
        <f t="array" ref="N1123">IF($Q1123&gt;=0,IFERROR(generateSalesData($D1123, IF(ISNUMBER(_xlfn.XLOOKUP($C1123,Phone_by_Sentiment!$B$2:$B$37,Phone_by_Sentiment!N$2:N$37,"",0,1)),_xlfn.XLOOKUP($C1123,Phone_by_Sentiment!$B$2:$B$37,Phone_by_Sentiment!N$2:N$37,"",0,1),0),$A1123-TEXT(DATEVALUE($D1123&amp;"-01"), "dd-mm-yyyy")),0),0)</f>
        <v>198</v>
      </c>
      <c r="O1123" cm="1">
        <f t="array" ref="O1123">IF($Q1123&gt;=0,IFERROR(generateSalesData($D1123, IF(ISNUMBER(_xlfn.XLOOKUP($C1123,Phone_by_Sentiment!$B$2:$B$37,Phone_by_Sentiment!O$2:O$37,"",0,1)),_xlfn.XLOOKUP($C1123,Phone_by_Sentiment!$B$2:$B$37,Phone_by_Sentiment!O$2:O$37,"",0,1),0),$A1123-TEXT(DATEVALUE($D1123&amp;"-01"), "dd-mm-yyyy")),0),0)</f>
        <v>66</v>
      </c>
      <c r="P1123" s="1">
        <f t="shared" si="46"/>
        <v>43862</v>
      </c>
      <c r="Q1123">
        <f t="shared" si="47"/>
        <v>578</v>
      </c>
    </row>
    <row r="1124" spans="1:17" x14ac:dyDescent="0.25">
      <c r="A1124" s="1">
        <f t="shared" si="48"/>
        <v>44440</v>
      </c>
      <c r="B1124" t="s">
        <v>174</v>
      </c>
      <c r="C1124" t="str">
        <f>_xlfn.XLOOKUP(B1124,Phone_by_Price!$A$2:$A$34,Phone_by_Price!$B$2:$B$34,"-",0,1)</f>
        <v>Samsung Galaxy A7</v>
      </c>
      <c r="D1124" t="str">
        <f>_xlfn.XLOOKUP(C1124,Phone_by_Sentiment!$B$2:$B$37,Phone_by_Sentiment!$A$2:$A$37,"-",0,1)</f>
        <v>2018-10</v>
      </c>
      <c r="E1124" cm="1">
        <f t="array" ref="E1124">IF($Q1124&gt;=0,IFERROR(generateSalesData($D1124, IF(ISNUMBER(_xlfn.XLOOKUP($C1124,Phone_by_Sentiment!$B$2:$B$37,Phone_by_Sentiment!E$2:E$37,"",0,1)),_xlfn.XLOOKUP($C1124,Phone_by_Sentiment!$B$2:$B$37,Phone_by_Sentiment!E$2:E$37,"",0,1),0),$A1124-TEXT(DATEVALUE($D1124&amp;"-01"), "dd-mm-yyyy")),0),0)</f>
        <v>49</v>
      </c>
      <c r="F1124" cm="1">
        <f t="array" ref="F1124">IF($Q1124&gt;=0,IFERROR(generateSalesData($D1124, IF(ISNUMBER(_xlfn.XLOOKUP($C1124,Phone_by_Sentiment!$B$2:$B$37,Phone_by_Sentiment!F$2:F$37,"",0,1)),_xlfn.XLOOKUP($C1124,Phone_by_Sentiment!$B$2:$B$37,Phone_by_Sentiment!F$2:F$37,"",0,1),0),$A1124-TEXT(DATEVALUE($D1124&amp;"-01"), "dd-mm-yyyy")),0),0)</f>
        <v>60</v>
      </c>
      <c r="G1124" cm="1">
        <f t="array" ref="G1124">IF($Q1124&gt;=0,IFERROR(generateSalesData($D1124, IF(ISNUMBER(_xlfn.XLOOKUP($C1124,Phone_by_Sentiment!$B$2:$B$37,Phone_by_Sentiment!G$2:G$37,"",0,1)),_xlfn.XLOOKUP($C1124,Phone_by_Sentiment!$B$2:$B$37,Phone_by_Sentiment!G$2:G$37,"",0,1),0),$A1124-TEXT(DATEVALUE($D1124&amp;"-01"), "dd-mm-yyyy")),0),0)</f>
        <v>38</v>
      </c>
      <c r="H1124" cm="1">
        <f t="array" ref="H1124">IF($Q1124&gt;=0,IFERROR(generateSalesData($D1124, IF(ISNUMBER(_xlfn.XLOOKUP($C1124,Phone_by_Sentiment!$B$2:$B$37,Phone_by_Sentiment!H$2:H$37,"",0,1)),_xlfn.XLOOKUP($C1124,Phone_by_Sentiment!$B$2:$B$37,Phone_by_Sentiment!H$2:H$37,"",0,1),0),$A1124-TEXT(DATEVALUE($D1124&amp;"-01"), "dd-mm-yyyy")),0),0)</f>
        <v>369</v>
      </c>
      <c r="I1124" cm="1">
        <f t="array" ref="I1124">IF($Q1124&gt;=0,IFERROR(generateSalesData($D1124, IF(ISNUMBER(_xlfn.XLOOKUP($C1124,Phone_by_Sentiment!$B$2:$B$37,Phone_by_Sentiment!I$2:I$37,"",0,1)),_xlfn.XLOOKUP($C1124,Phone_by_Sentiment!$B$2:$B$37,Phone_by_Sentiment!I$2:I$37,"",0,1),0),$A1124-TEXT(DATEVALUE($D1124&amp;"-01"), "dd-mm-yyyy")),0),0)</f>
        <v>241</v>
      </c>
      <c r="J1124" cm="1">
        <f t="array" ref="J1124">IF($Q1124&gt;=0,IFERROR(generateSalesData($D1124, IF(ISNUMBER(_xlfn.XLOOKUP($C1124,Phone_by_Sentiment!$B$2:$B$37,Phone_by_Sentiment!J$2:J$37,"",0,1)),_xlfn.XLOOKUP($C1124,Phone_by_Sentiment!$B$2:$B$37,Phone_by_Sentiment!J$2:J$37,"",0,1),0),$A1124-TEXT(DATEVALUE($D1124&amp;"-01"), "dd-mm-yyyy")),0),0)</f>
        <v>83</v>
      </c>
      <c r="K1124" cm="1">
        <f t="array" ref="K1124">IF($Q1124&gt;=0,IFERROR(generateSalesData($D1124, IF(ISNUMBER(_xlfn.XLOOKUP($C1124,Phone_by_Sentiment!$B$2:$B$37,Phone_by_Sentiment!K$2:K$37,"",0,1)),_xlfn.XLOOKUP($C1124,Phone_by_Sentiment!$B$2:$B$37,Phone_by_Sentiment!K$2:K$37,"",0,1),0),$A1124-TEXT(DATEVALUE($D1124&amp;"-01"), "dd-mm-yyyy")),0),0)</f>
        <v>42</v>
      </c>
      <c r="L1124" cm="1">
        <f t="array" ref="L1124">IF($Q1124&gt;=0,IFERROR(generateSalesData($D1124, IF(ISNUMBER(_xlfn.XLOOKUP($C1124,Phone_by_Sentiment!$B$2:$B$37,Phone_by_Sentiment!L$2:L$37,"",0,1)),_xlfn.XLOOKUP($C1124,Phone_by_Sentiment!$B$2:$B$37,Phone_by_Sentiment!L$2:L$37,"",0,1),0),$A1124-TEXT(DATEVALUE($D1124&amp;"-01"), "dd-mm-yyyy")),0),0)</f>
        <v>86</v>
      </c>
      <c r="M1124" cm="1">
        <f t="array" ref="M1124">IF($Q1124&gt;=0,IFERROR(generateSalesData($D1124, IF(ISNUMBER(_xlfn.XLOOKUP($C1124,Phone_by_Sentiment!$B$2:$B$37,Phone_by_Sentiment!M$2:M$37,"",0,1)),_xlfn.XLOOKUP($C1124,Phone_by_Sentiment!$B$2:$B$37,Phone_by_Sentiment!M$2:M$37,"",0,1),0),$A1124-TEXT(DATEVALUE($D1124&amp;"-01"), "dd-mm-yyyy")),0),0)</f>
        <v>108</v>
      </c>
      <c r="N1124" cm="1">
        <f t="array" ref="N1124">IF($Q1124&gt;=0,IFERROR(generateSalesData($D1124, IF(ISNUMBER(_xlfn.XLOOKUP($C1124,Phone_by_Sentiment!$B$2:$B$37,Phone_by_Sentiment!N$2:N$37,"",0,1)),_xlfn.XLOOKUP($C1124,Phone_by_Sentiment!$B$2:$B$37,Phone_by_Sentiment!N$2:N$37,"",0,1),0),$A1124-TEXT(DATEVALUE($D1124&amp;"-01"), "dd-mm-yyyy")),0),0)</f>
        <v>163</v>
      </c>
      <c r="O1124" cm="1">
        <f t="array" ref="O1124">IF($Q1124&gt;=0,IFERROR(generateSalesData($D1124, IF(ISNUMBER(_xlfn.XLOOKUP($C1124,Phone_by_Sentiment!$B$2:$B$37,Phone_by_Sentiment!O$2:O$37,"",0,1)),_xlfn.XLOOKUP($C1124,Phone_by_Sentiment!$B$2:$B$37,Phone_by_Sentiment!O$2:O$37,"",0,1),0),$A1124-TEXT(DATEVALUE($D1124&amp;"-01"), "dd-mm-yyyy")),0),0)</f>
        <v>172</v>
      </c>
      <c r="P1124" s="1">
        <f t="shared" si="46"/>
        <v>43374</v>
      </c>
      <c r="Q1124">
        <f t="shared" si="47"/>
        <v>1066</v>
      </c>
    </row>
    <row r="1125" spans="1:17" x14ac:dyDescent="0.25">
      <c r="A1125" s="1">
        <f t="shared" si="48"/>
        <v>44440</v>
      </c>
      <c r="B1125" t="s">
        <v>142</v>
      </c>
      <c r="C1125" t="str">
        <f>_xlfn.XLOOKUP(B1125,Phone_by_Price!$A$2:$A$34,Phone_by_Price!$B$2:$B$34,"-",0,1)</f>
        <v>iPhone 11</v>
      </c>
      <c r="D1125" t="str">
        <f>_xlfn.XLOOKUP(C1125,Phone_by_Sentiment!$B$2:$B$37,Phone_by_Sentiment!$A$2:$A$37,"-",0,1)</f>
        <v>2019-09</v>
      </c>
      <c r="E1125" cm="1">
        <f t="array" ref="E1125">IF($Q1125&gt;=0,IFERROR(generateSalesData($D1125, IF(ISNUMBER(_xlfn.XLOOKUP($C1125,Phone_by_Sentiment!$B$2:$B$37,Phone_by_Sentiment!E$2:E$37,"",0,1)),_xlfn.XLOOKUP($C1125,Phone_by_Sentiment!$B$2:$B$37,Phone_by_Sentiment!E$2:E$37,"",0,1),0),$A1125-TEXT(DATEVALUE($D1125&amp;"-01"), "dd-mm-yyyy")),0),0)</f>
        <v>398</v>
      </c>
      <c r="F1125" cm="1">
        <f t="array" ref="F1125">IF($Q1125&gt;=0,IFERROR(generateSalesData($D1125, IF(ISNUMBER(_xlfn.XLOOKUP($C1125,Phone_by_Sentiment!$B$2:$B$37,Phone_by_Sentiment!F$2:F$37,"",0,1)),_xlfn.XLOOKUP($C1125,Phone_by_Sentiment!$B$2:$B$37,Phone_by_Sentiment!F$2:F$37,"",0,1),0),$A1125-TEXT(DATEVALUE($D1125&amp;"-01"), "dd-mm-yyyy")),0),0)</f>
        <v>196</v>
      </c>
      <c r="G1125" cm="1">
        <f t="array" ref="G1125">IF($Q1125&gt;=0,IFERROR(generateSalesData($D1125, IF(ISNUMBER(_xlfn.XLOOKUP($C1125,Phone_by_Sentiment!$B$2:$B$37,Phone_by_Sentiment!G$2:G$37,"",0,1)),_xlfn.XLOOKUP($C1125,Phone_by_Sentiment!$B$2:$B$37,Phone_by_Sentiment!G$2:G$37,"",0,1),0),$A1125-TEXT(DATEVALUE($D1125&amp;"-01"), "dd-mm-yyyy")),0),0)</f>
        <v>61</v>
      </c>
      <c r="H1125" cm="1">
        <f t="array" ref="H1125">IF($Q1125&gt;=0,IFERROR(generateSalesData($D1125, IF(ISNUMBER(_xlfn.XLOOKUP($C1125,Phone_by_Sentiment!$B$2:$B$37,Phone_by_Sentiment!H$2:H$37,"",0,1)),_xlfn.XLOOKUP($C1125,Phone_by_Sentiment!$B$2:$B$37,Phone_by_Sentiment!H$2:H$37,"",0,1),0),$A1125-TEXT(DATEVALUE($D1125&amp;"-01"), "dd-mm-yyyy")),0),0)</f>
        <v>351</v>
      </c>
      <c r="I1125" cm="1">
        <f t="array" ref="I1125">IF($Q1125&gt;=0,IFERROR(generateSalesData($D1125, IF(ISNUMBER(_xlfn.XLOOKUP($C1125,Phone_by_Sentiment!$B$2:$B$37,Phone_by_Sentiment!I$2:I$37,"",0,1)),_xlfn.XLOOKUP($C1125,Phone_by_Sentiment!$B$2:$B$37,Phone_by_Sentiment!I$2:I$37,"",0,1),0),$A1125-TEXT(DATEVALUE($D1125&amp;"-01"), "dd-mm-yyyy")),0),0)</f>
        <v>685</v>
      </c>
      <c r="J1125" cm="1">
        <f t="array" ref="J1125">IF($Q1125&gt;=0,IFERROR(generateSalesData($D1125, IF(ISNUMBER(_xlfn.XLOOKUP($C1125,Phone_by_Sentiment!$B$2:$B$37,Phone_by_Sentiment!J$2:J$37,"",0,1)),_xlfn.XLOOKUP($C1125,Phone_by_Sentiment!$B$2:$B$37,Phone_by_Sentiment!J$2:J$37,"",0,1),0),$A1125-TEXT(DATEVALUE($D1125&amp;"-01"), "dd-mm-yyyy")),0),0)</f>
        <v>259</v>
      </c>
      <c r="K1125" cm="1">
        <f t="array" ref="K1125">IF($Q1125&gt;=0,IFERROR(generateSalesData($D1125, IF(ISNUMBER(_xlfn.XLOOKUP($C1125,Phone_by_Sentiment!$B$2:$B$37,Phone_by_Sentiment!K$2:K$37,"",0,1)),_xlfn.XLOOKUP($C1125,Phone_by_Sentiment!$B$2:$B$37,Phone_by_Sentiment!K$2:K$37,"",0,1),0),$A1125-TEXT(DATEVALUE($D1125&amp;"-01"), "dd-mm-yyyy")),0),0)</f>
        <v>92</v>
      </c>
      <c r="L1125" cm="1">
        <f t="array" ref="L1125">IF($Q1125&gt;=0,IFERROR(generateSalesData($D1125, IF(ISNUMBER(_xlfn.XLOOKUP($C1125,Phone_by_Sentiment!$B$2:$B$37,Phone_by_Sentiment!L$2:L$37,"",0,1)),_xlfn.XLOOKUP($C1125,Phone_by_Sentiment!$B$2:$B$37,Phone_by_Sentiment!L$2:L$37,"",0,1),0),$A1125-TEXT(DATEVALUE($D1125&amp;"-01"), "dd-mm-yyyy")),0),0)</f>
        <v>417</v>
      </c>
      <c r="M1125" cm="1">
        <f t="array" ref="M1125">IF($Q1125&gt;=0,IFERROR(generateSalesData($D1125, IF(ISNUMBER(_xlfn.XLOOKUP($C1125,Phone_by_Sentiment!$B$2:$B$37,Phone_by_Sentiment!M$2:M$37,"",0,1)),_xlfn.XLOOKUP($C1125,Phone_by_Sentiment!$B$2:$B$37,Phone_by_Sentiment!M$2:M$37,"",0,1),0),$A1125-TEXT(DATEVALUE($D1125&amp;"-01"), "dd-mm-yyyy")),0),0)</f>
        <v>440</v>
      </c>
      <c r="N1125" cm="1">
        <f t="array" ref="N1125">IF($Q1125&gt;=0,IFERROR(generateSalesData($D1125, IF(ISNUMBER(_xlfn.XLOOKUP($C1125,Phone_by_Sentiment!$B$2:$B$37,Phone_by_Sentiment!N$2:N$37,"",0,1)),_xlfn.XLOOKUP($C1125,Phone_by_Sentiment!$B$2:$B$37,Phone_by_Sentiment!N$2:N$37,"",0,1),0),$A1125-TEXT(DATEVALUE($D1125&amp;"-01"), "dd-mm-yyyy")),0),0)</f>
        <v>324</v>
      </c>
      <c r="O1125" cm="1">
        <f t="array" ref="O1125">IF($Q1125&gt;=0,IFERROR(generateSalesData($D1125, IF(ISNUMBER(_xlfn.XLOOKUP($C1125,Phone_by_Sentiment!$B$2:$B$37,Phone_by_Sentiment!O$2:O$37,"",0,1)),_xlfn.XLOOKUP($C1125,Phone_by_Sentiment!$B$2:$B$37,Phone_by_Sentiment!O$2:O$37,"",0,1),0),$A1125-TEXT(DATEVALUE($D1125&amp;"-01"), "dd-mm-yyyy")),0),0)</f>
        <v>463</v>
      </c>
      <c r="P1125" s="1">
        <f t="shared" si="46"/>
        <v>43709</v>
      </c>
      <c r="Q1125">
        <f t="shared" si="47"/>
        <v>731</v>
      </c>
    </row>
    <row r="1126" spans="1:17" x14ac:dyDescent="0.25">
      <c r="A1126" s="1">
        <f t="shared" si="48"/>
        <v>44440</v>
      </c>
      <c r="B1126" t="s">
        <v>143</v>
      </c>
      <c r="C1126" t="str">
        <f>_xlfn.XLOOKUP(B1126,Phone_by_Price!$A$2:$A$34,Phone_by_Price!$B$2:$B$34,"-",0,1)</f>
        <v>Samsung Galaxy S20 Ultra</v>
      </c>
      <c r="D1126" t="str">
        <f>_xlfn.XLOOKUP(C1126,Phone_by_Sentiment!$B$2:$B$37,Phone_by_Sentiment!$A$2:$A$37,"-",0,1)</f>
        <v>2020-02</v>
      </c>
      <c r="E1126" cm="1">
        <f t="array" ref="E1126">IF($Q1126&gt;=0,IFERROR(generateSalesData($D1126, IF(ISNUMBER(_xlfn.XLOOKUP($C1126,Phone_by_Sentiment!$B$2:$B$37,Phone_by_Sentiment!E$2:E$37,"",0,1)),_xlfn.XLOOKUP($C1126,Phone_by_Sentiment!$B$2:$B$37,Phone_by_Sentiment!E$2:E$37,"",0,1),0),$A1126-TEXT(DATEVALUE($D1126&amp;"-01"), "dd-mm-yyyy")),0),0)</f>
        <v>479</v>
      </c>
      <c r="F1126" cm="1">
        <f t="array" ref="F1126">IF($Q1126&gt;=0,IFERROR(generateSalesData($D1126, IF(ISNUMBER(_xlfn.XLOOKUP($C1126,Phone_by_Sentiment!$B$2:$B$37,Phone_by_Sentiment!F$2:F$37,"",0,1)),_xlfn.XLOOKUP($C1126,Phone_by_Sentiment!$B$2:$B$37,Phone_by_Sentiment!F$2:F$37,"",0,1),0),$A1126-TEXT(DATEVALUE($D1126&amp;"-01"), "dd-mm-yyyy")),0),0)</f>
        <v>239</v>
      </c>
      <c r="G1126" cm="1">
        <f t="array" ref="G1126">IF($Q1126&gt;=0,IFERROR(generateSalesData($D1126, IF(ISNUMBER(_xlfn.XLOOKUP($C1126,Phone_by_Sentiment!$B$2:$B$37,Phone_by_Sentiment!G$2:G$37,"",0,1)),_xlfn.XLOOKUP($C1126,Phone_by_Sentiment!$B$2:$B$37,Phone_by_Sentiment!G$2:G$37,"",0,1),0),$A1126-TEXT(DATEVALUE($D1126&amp;"-01"), "dd-mm-yyyy")),0),0)</f>
        <v>35</v>
      </c>
      <c r="H1126" cm="1">
        <f t="array" ref="H1126">IF($Q1126&gt;=0,IFERROR(generateSalesData($D1126, IF(ISNUMBER(_xlfn.XLOOKUP($C1126,Phone_by_Sentiment!$B$2:$B$37,Phone_by_Sentiment!H$2:H$37,"",0,1)),_xlfn.XLOOKUP($C1126,Phone_by_Sentiment!$B$2:$B$37,Phone_by_Sentiment!H$2:H$37,"",0,1),0),$A1126-TEXT(DATEVALUE($D1126&amp;"-01"), "dd-mm-yyyy")),0),0)</f>
        <v>576</v>
      </c>
      <c r="I1126" cm="1">
        <f t="array" ref="I1126">IF($Q1126&gt;=0,IFERROR(generateSalesData($D1126, IF(ISNUMBER(_xlfn.XLOOKUP($C1126,Phone_by_Sentiment!$B$2:$B$37,Phone_by_Sentiment!I$2:I$37,"",0,1)),_xlfn.XLOOKUP($C1126,Phone_by_Sentiment!$B$2:$B$37,Phone_by_Sentiment!I$2:I$37,"",0,1),0),$A1126-TEXT(DATEVALUE($D1126&amp;"-01"), "dd-mm-yyyy")),0),0)</f>
        <v>443</v>
      </c>
      <c r="J1126" cm="1">
        <f t="array" ref="J1126">IF($Q1126&gt;=0,IFERROR(generateSalesData($D1126, IF(ISNUMBER(_xlfn.XLOOKUP($C1126,Phone_by_Sentiment!$B$2:$B$37,Phone_by_Sentiment!J$2:J$37,"",0,1)),_xlfn.XLOOKUP($C1126,Phone_by_Sentiment!$B$2:$B$37,Phone_by_Sentiment!J$2:J$37,"",0,1),0),$A1126-TEXT(DATEVALUE($D1126&amp;"-01"), "dd-mm-yyyy")),0),0)</f>
        <v>476</v>
      </c>
      <c r="K1126" cm="1">
        <f t="array" ref="K1126">IF($Q1126&gt;=0,IFERROR(generateSalesData($D1126, IF(ISNUMBER(_xlfn.XLOOKUP($C1126,Phone_by_Sentiment!$B$2:$B$37,Phone_by_Sentiment!K$2:K$37,"",0,1)),_xlfn.XLOOKUP($C1126,Phone_by_Sentiment!$B$2:$B$37,Phone_by_Sentiment!K$2:K$37,"",0,1),0),$A1126-TEXT(DATEVALUE($D1126&amp;"-01"), "dd-mm-yyyy")),0),0)</f>
        <v>121</v>
      </c>
      <c r="L1126" cm="1">
        <f t="array" ref="L1126">IF($Q1126&gt;=0,IFERROR(generateSalesData($D1126, IF(ISNUMBER(_xlfn.XLOOKUP($C1126,Phone_by_Sentiment!$B$2:$B$37,Phone_by_Sentiment!L$2:L$37,"",0,1)),_xlfn.XLOOKUP($C1126,Phone_by_Sentiment!$B$2:$B$37,Phone_by_Sentiment!L$2:L$37,"",0,1),0),$A1126-TEXT(DATEVALUE($D1126&amp;"-01"), "dd-mm-yyyy")),0),0)</f>
        <v>111</v>
      </c>
      <c r="M1126" cm="1">
        <f t="array" ref="M1126">IF($Q1126&gt;=0,IFERROR(generateSalesData($D1126, IF(ISNUMBER(_xlfn.XLOOKUP($C1126,Phone_by_Sentiment!$B$2:$B$37,Phone_by_Sentiment!M$2:M$37,"",0,1)),_xlfn.XLOOKUP($C1126,Phone_by_Sentiment!$B$2:$B$37,Phone_by_Sentiment!M$2:M$37,"",0,1),0),$A1126-TEXT(DATEVALUE($D1126&amp;"-01"), "dd-mm-yyyy")),0),0)</f>
        <v>317</v>
      </c>
      <c r="N1126" cm="1">
        <f t="array" ref="N1126">IF($Q1126&gt;=0,IFERROR(generateSalesData($D1126, IF(ISNUMBER(_xlfn.XLOOKUP($C1126,Phone_by_Sentiment!$B$2:$B$37,Phone_by_Sentiment!N$2:N$37,"",0,1)),_xlfn.XLOOKUP($C1126,Phone_by_Sentiment!$B$2:$B$37,Phone_by_Sentiment!N$2:N$37,"",0,1),0),$A1126-TEXT(DATEVALUE($D1126&amp;"-01"), "dd-mm-yyyy")),0),0)</f>
        <v>386</v>
      </c>
      <c r="O1126" cm="1">
        <f t="array" ref="O1126">IF($Q1126&gt;=0,IFERROR(generateSalesData($D1126, IF(ISNUMBER(_xlfn.XLOOKUP($C1126,Phone_by_Sentiment!$B$2:$B$37,Phone_by_Sentiment!O$2:O$37,"",0,1)),_xlfn.XLOOKUP($C1126,Phone_by_Sentiment!$B$2:$B$37,Phone_by_Sentiment!O$2:O$37,"",0,1),0),$A1126-TEXT(DATEVALUE($D1126&amp;"-01"), "dd-mm-yyyy")),0),0)</f>
        <v>626</v>
      </c>
      <c r="P1126" s="1">
        <f t="shared" si="46"/>
        <v>43862</v>
      </c>
      <c r="Q1126">
        <f t="shared" si="47"/>
        <v>578</v>
      </c>
    </row>
    <row r="1127" spans="1:17" x14ac:dyDescent="0.25">
      <c r="A1127" s="1">
        <f t="shared" si="48"/>
        <v>44440</v>
      </c>
      <c r="B1127" t="s">
        <v>144</v>
      </c>
      <c r="C1127" t="str">
        <f>_xlfn.XLOOKUP(B1127,Phone_by_Price!$A$2:$A$34,Phone_by_Price!$B$2:$B$34,"-",0,1)</f>
        <v>Xiaomi Redmi Note 10</v>
      </c>
      <c r="D1127" t="str">
        <f>_xlfn.XLOOKUP(C1127,Phone_by_Sentiment!$B$2:$B$37,Phone_by_Sentiment!$A$2:$A$37,"-",0,1)</f>
        <v>2021-03</v>
      </c>
      <c r="E1127" cm="1">
        <f t="array" ref="E1127">IF($Q1127&gt;=0,IFERROR(generateSalesData($D1127, IF(ISNUMBER(_xlfn.XLOOKUP($C1127,Phone_by_Sentiment!$B$2:$B$37,Phone_by_Sentiment!E$2:E$37,"",0,1)),_xlfn.XLOOKUP($C1127,Phone_by_Sentiment!$B$2:$B$37,Phone_by_Sentiment!E$2:E$37,"",0,1),0),$A1127-TEXT(DATEVALUE($D1127&amp;"-01"), "dd-mm-yyyy")),0),0)</f>
        <v>-144</v>
      </c>
      <c r="F1127" cm="1">
        <f t="array" ref="F1127">IF($Q1127&gt;=0,IFERROR(generateSalesData($D1127, IF(ISNUMBER(_xlfn.XLOOKUP($C1127,Phone_by_Sentiment!$B$2:$B$37,Phone_by_Sentiment!F$2:F$37,"",0,1)),_xlfn.XLOOKUP($C1127,Phone_by_Sentiment!$B$2:$B$37,Phone_by_Sentiment!F$2:F$37,"",0,1),0),$A1127-TEXT(DATEVALUE($D1127&amp;"-01"), "dd-mm-yyyy")),0),0)</f>
        <v>243</v>
      </c>
      <c r="G1127" cm="1">
        <f t="array" ref="G1127">IF($Q1127&gt;=0,IFERROR(generateSalesData($D1127, IF(ISNUMBER(_xlfn.XLOOKUP($C1127,Phone_by_Sentiment!$B$2:$B$37,Phone_by_Sentiment!G$2:G$37,"",0,1)),_xlfn.XLOOKUP($C1127,Phone_by_Sentiment!$B$2:$B$37,Phone_by_Sentiment!G$2:G$37,"",0,1),0),$A1127-TEXT(DATEVALUE($D1127&amp;"-01"), "dd-mm-yyyy")),0),0)</f>
        <v>38</v>
      </c>
      <c r="H1127" cm="1">
        <f t="array" ref="H1127">IF($Q1127&gt;=0,IFERROR(generateSalesData($D1127, IF(ISNUMBER(_xlfn.XLOOKUP($C1127,Phone_by_Sentiment!$B$2:$B$37,Phone_by_Sentiment!H$2:H$37,"",0,1)),_xlfn.XLOOKUP($C1127,Phone_by_Sentiment!$B$2:$B$37,Phone_by_Sentiment!H$2:H$37,"",0,1),0),$A1127-TEXT(DATEVALUE($D1127&amp;"-01"), "dd-mm-yyyy")),0),0)</f>
        <v>727</v>
      </c>
      <c r="I1127" cm="1">
        <f t="array" ref="I1127">IF($Q1127&gt;=0,IFERROR(generateSalesData($D1127, IF(ISNUMBER(_xlfn.XLOOKUP($C1127,Phone_by_Sentiment!$B$2:$B$37,Phone_by_Sentiment!I$2:I$37,"",0,1)),_xlfn.XLOOKUP($C1127,Phone_by_Sentiment!$B$2:$B$37,Phone_by_Sentiment!I$2:I$37,"",0,1),0),$A1127-TEXT(DATEVALUE($D1127&amp;"-01"), "dd-mm-yyyy")),0),0)</f>
        <v>1634</v>
      </c>
      <c r="J1127" cm="1">
        <f t="array" ref="J1127">IF($Q1127&gt;=0,IFERROR(generateSalesData($D1127, IF(ISNUMBER(_xlfn.XLOOKUP($C1127,Phone_by_Sentiment!$B$2:$B$37,Phone_by_Sentiment!J$2:J$37,"",0,1)),_xlfn.XLOOKUP($C1127,Phone_by_Sentiment!$B$2:$B$37,Phone_by_Sentiment!J$2:J$37,"",0,1),0),$A1127-TEXT(DATEVALUE($D1127&amp;"-01"), "dd-mm-yyyy")),0),0)</f>
        <v>1542</v>
      </c>
      <c r="K1127" cm="1">
        <f t="array" ref="K1127">IF($Q1127&gt;=0,IFERROR(generateSalesData($D1127, IF(ISNUMBER(_xlfn.XLOOKUP($C1127,Phone_by_Sentiment!$B$2:$B$37,Phone_by_Sentiment!K$2:K$37,"",0,1)),_xlfn.XLOOKUP($C1127,Phone_by_Sentiment!$B$2:$B$37,Phone_by_Sentiment!K$2:K$37,"",0,1),0),$A1127-TEXT(DATEVALUE($D1127&amp;"-01"), "dd-mm-yyyy")),0),0)</f>
        <v>1557</v>
      </c>
      <c r="L1127" cm="1">
        <f t="array" ref="L1127">IF($Q1127&gt;=0,IFERROR(generateSalesData($D1127, IF(ISNUMBER(_xlfn.XLOOKUP($C1127,Phone_by_Sentiment!$B$2:$B$37,Phone_by_Sentiment!L$2:L$37,"",0,1)),_xlfn.XLOOKUP($C1127,Phone_by_Sentiment!$B$2:$B$37,Phone_by_Sentiment!L$2:L$37,"",0,1),0),$A1127-TEXT(DATEVALUE($D1127&amp;"-01"), "dd-mm-yyyy")),0),0)</f>
        <v>1235</v>
      </c>
      <c r="M1127" cm="1">
        <f t="array" ref="M1127">IF($Q1127&gt;=0,IFERROR(generateSalesData($D1127, IF(ISNUMBER(_xlfn.XLOOKUP($C1127,Phone_by_Sentiment!$B$2:$B$37,Phone_by_Sentiment!M$2:M$37,"",0,1)),_xlfn.XLOOKUP($C1127,Phone_by_Sentiment!$B$2:$B$37,Phone_by_Sentiment!M$2:M$37,"",0,1),0),$A1127-TEXT(DATEVALUE($D1127&amp;"-01"), "dd-mm-yyyy")),0),0)</f>
        <v>383</v>
      </c>
      <c r="N1127" cm="1">
        <f t="array" ref="N1127">IF($Q1127&gt;=0,IFERROR(generateSalesData($D1127, IF(ISNUMBER(_xlfn.XLOOKUP($C1127,Phone_by_Sentiment!$B$2:$B$37,Phone_by_Sentiment!N$2:N$37,"",0,1)),_xlfn.XLOOKUP($C1127,Phone_by_Sentiment!$B$2:$B$37,Phone_by_Sentiment!N$2:N$37,"",0,1),0),$A1127-TEXT(DATEVALUE($D1127&amp;"-01"), "dd-mm-yyyy")),0),0)</f>
        <v>1565</v>
      </c>
      <c r="O1127" cm="1">
        <f t="array" ref="O1127">IF($Q1127&gt;=0,IFERROR(generateSalesData($D1127, IF(ISNUMBER(_xlfn.XLOOKUP($C1127,Phone_by_Sentiment!$B$2:$B$37,Phone_by_Sentiment!O$2:O$37,"",0,1)),_xlfn.XLOOKUP($C1127,Phone_by_Sentiment!$B$2:$B$37,Phone_by_Sentiment!O$2:O$37,"",0,1),0),$A1127-TEXT(DATEVALUE($D1127&amp;"-01"), "dd-mm-yyyy")),0),0)</f>
        <v>822</v>
      </c>
      <c r="P1127" s="1">
        <f t="shared" si="46"/>
        <v>44256</v>
      </c>
      <c r="Q1127">
        <f t="shared" si="47"/>
        <v>184</v>
      </c>
    </row>
    <row r="1128" spans="1:17" x14ac:dyDescent="0.25">
      <c r="A1128" s="1">
        <f t="shared" si="48"/>
        <v>44440</v>
      </c>
      <c r="B1128" t="s">
        <v>145</v>
      </c>
      <c r="C1128" t="str">
        <f>_xlfn.XLOOKUP(B1128,Phone_by_Price!$A$2:$A$34,Phone_by_Price!$B$2:$B$34,"-",0,1)</f>
        <v>OPPO A54</v>
      </c>
      <c r="D1128" t="str">
        <f>_xlfn.XLOOKUP(C1128,Phone_by_Sentiment!$B$2:$B$37,Phone_by_Sentiment!$A$2:$A$37,"-",0,1)</f>
        <v>2021-04</v>
      </c>
      <c r="E1128" cm="1">
        <f t="array" ref="E1128">IF($Q1128&gt;=0,IFERROR(generateSalesData($D1128, IF(ISNUMBER(_xlfn.XLOOKUP($C1128,Phone_by_Sentiment!$B$2:$B$37,Phone_by_Sentiment!E$2:E$37,"",0,1)),_xlfn.XLOOKUP($C1128,Phone_by_Sentiment!$B$2:$B$37,Phone_by_Sentiment!E$2:E$37,"",0,1),0),$A1128-TEXT(DATEVALUE($D1128&amp;"-01"), "dd-mm-yyyy")),0),0)</f>
        <v>1142</v>
      </c>
      <c r="F1128" cm="1">
        <f t="array" ref="F1128">IF($Q1128&gt;=0,IFERROR(generateSalesData($D1128, IF(ISNUMBER(_xlfn.XLOOKUP($C1128,Phone_by_Sentiment!$B$2:$B$37,Phone_by_Sentiment!F$2:F$37,"",0,1)),_xlfn.XLOOKUP($C1128,Phone_by_Sentiment!$B$2:$B$37,Phone_by_Sentiment!F$2:F$37,"",0,1),0),$A1128-TEXT(DATEVALUE($D1128&amp;"-01"), "dd-mm-yyyy")),0),0)</f>
        <v>299</v>
      </c>
      <c r="G1128" cm="1">
        <f t="array" ref="G1128">IF($Q1128&gt;=0,IFERROR(generateSalesData($D1128, IF(ISNUMBER(_xlfn.XLOOKUP($C1128,Phone_by_Sentiment!$B$2:$B$37,Phone_by_Sentiment!G$2:G$37,"",0,1)),_xlfn.XLOOKUP($C1128,Phone_by_Sentiment!$B$2:$B$37,Phone_by_Sentiment!G$2:G$37,"",0,1),0),$A1128-TEXT(DATEVALUE($D1128&amp;"-01"), "dd-mm-yyyy")),0),0)</f>
        <v>397</v>
      </c>
      <c r="H1128" cm="1">
        <f t="array" ref="H1128">IF($Q1128&gt;=0,IFERROR(generateSalesData($D1128, IF(ISNUMBER(_xlfn.XLOOKUP($C1128,Phone_by_Sentiment!$B$2:$B$37,Phone_by_Sentiment!H$2:H$37,"",0,1)),_xlfn.XLOOKUP($C1128,Phone_by_Sentiment!$B$2:$B$37,Phone_by_Sentiment!H$2:H$37,"",0,1),0),$A1128-TEXT(DATEVALUE($D1128&amp;"-01"), "dd-mm-yyyy")),0),0)</f>
        <v>977</v>
      </c>
      <c r="I1128" cm="1">
        <f t="array" ref="I1128">IF($Q1128&gt;=0,IFERROR(generateSalesData($D1128, IF(ISNUMBER(_xlfn.XLOOKUP($C1128,Phone_by_Sentiment!$B$2:$B$37,Phone_by_Sentiment!I$2:I$37,"",0,1)),_xlfn.XLOOKUP($C1128,Phone_by_Sentiment!$B$2:$B$37,Phone_by_Sentiment!I$2:I$37,"",0,1),0),$A1128-TEXT(DATEVALUE($D1128&amp;"-01"), "dd-mm-yyyy")),0),0)</f>
        <v>355</v>
      </c>
      <c r="J1128" cm="1">
        <f t="array" ref="J1128">IF($Q1128&gt;=0,IFERROR(generateSalesData($D1128, IF(ISNUMBER(_xlfn.XLOOKUP($C1128,Phone_by_Sentiment!$B$2:$B$37,Phone_by_Sentiment!J$2:J$37,"",0,1)),_xlfn.XLOOKUP($C1128,Phone_by_Sentiment!$B$2:$B$37,Phone_by_Sentiment!J$2:J$37,"",0,1),0),$A1128-TEXT(DATEVALUE($D1128&amp;"-01"), "dd-mm-yyyy")),0),0)</f>
        <v>484</v>
      </c>
      <c r="K1128" cm="1">
        <f t="array" ref="K1128">IF($Q1128&gt;=0,IFERROR(generateSalesData($D1128, IF(ISNUMBER(_xlfn.XLOOKUP($C1128,Phone_by_Sentiment!$B$2:$B$37,Phone_by_Sentiment!K$2:K$37,"",0,1)),_xlfn.XLOOKUP($C1128,Phone_by_Sentiment!$B$2:$B$37,Phone_by_Sentiment!K$2:K$37,"",0,1),0),$A1128-TEXT(DATEVALUE($D1128&amp;"-01"), "dd-mm-yyyy")),0),0)</f>
        <v>497</v>
      </c>
      <c r="L1128" cm="1">
        <f t="array" ref="L1128">IF($Q1128&gt;=0,IFERROR(generateSalesData($D1128, IF(ISNUMBER(_xlfn.XLOOKUP($C1128,Phone_by_Sentiment!$B$2:$B$37,Phone_by_Sentiment!L$2:L$37,"",0,1)),_xlfn.XLOOKUP($C1128,Phone_by_Sentiment!$B$2:$B$37,Phone_by_Sentiment!L$2:L$37,"",0,1),0),$A1128-TEXT(DATEVALUE($D1128&amp;"-01"), "dd-mm-yyyy")),0),0)</f>
        <v>1516</v>
      </c>
      <c r="M1128" cm="1">
        <f t="array" ref="M1128">IF($Q1128&gt;=0,IFERROR(generateSalesData($D1128, IF(ISNUMBER(_xlfn.XLOOKUP($C1128,Phone_by_Sentiment!$B$2:$B$37,Phone_by_Sentiment!M$2:M$37,"",0,1)),_xlfn.XLOOKUP($C1128,Phone_by_Sentiment!$B$2:$B$37,Phone_by_Sentiment!M$2:M$37,"",0,1),0),$A1128-TEXT(DATEVALUE($D1128&amp;"-01"), "dd-mm-yyyy")),0),0)</f>
        <v>358</v>
      </c>
      <c r="N1128" cm="1">
        <f t="array" ref="N1128">IF($Q1128&gt;=0,IFERROR(generateSalesData($D1128, IF(ISNUMBER(_xlfn.XLOOKUP($C1128,Phone_by_Sentiment!$B$2:$B$37,Phone_by_Sentiment!N$2:N$37,"",0,1)),_xlfn.XLOOKUP($C1128,Phone_by_Sentiment!$B$2:$B$37,Phone_by_Sentiment!N$2:N$37,"",0,1),0),$A1128-TEXT(DATEVALUE($D1128&amp;"-01"), "dd-mm-yyyy")),0),0)</f>
        <v>838</v>
      </c>
      <c r="O1128" cm="1">
        <f t="array" ref="O1128">IF($Q1128&gt;=0,IFERROR(generateSalesData($D1128, IF(ISNUMBER(_xlfn.XLOOKUP($C1128,Phone_by_Sentiment!$B$2:$B$37,Phone_by_Sentiment!O$2:O$37,"",0,1)),_xlfn.XLOOKUP($C1128,Phone_by_Sentiment!$B$2:$B$37,Phone_by_Sentiment!O$2:O$37,"",0,1),0),$A1128-TEXT(DATEVALUE($D1128&amp;"-01"), "dd-mm-yyyy")),0),0)</f>
        <v>635</v>
      </c>
      <c r="P1128" s="1">
        <f t="shared" si="46"/>
        <v>44287</v>
      </c>
      <c r="Q1128">
        <f t="shared" si="47"/>
        <v>153</v>
      </c>
    </row>
    <row r="1129" spans="1:17" x14ac:dyDescent="0.25">
      <c r="A1129" s="1">
        <f t="shared" si="48"/>
        <v>44440</v>
      </c>
      <c r="B1129" t="s">
        <v>146</v>
      </c>
      <c r="C1129" t="str">
        <f>_xlfn.XLOOKUP(B1129,Phone_by_Price!$A$2:$A$34,Phone_by_Price!$B$2:$B$34,"-",0,1)</f>
        <v>Vivo Y20</v>
      </c>
      <c r="D1129" t="str">
        <f>_xlfn.XLOOKUP(C1129,Phone_by_Sentiment!$B$2:$B$37,Phone_by_Sentiment!$A$2:$A$37,"-",0,1)</f>
        <v>2020-09</v>
      </c>
      <c r="E1129" cm="1">
        <f t="array" ref="E1129">IF($Q1129&gt;=0,IFERROR(generateSalesData($D1129, IF(ISNUMBER(_xlfn.XLOOKUP($C1129,Phone_by_Sentiment!$B$2:$B$37,Phone_by_Sentiment!E$2:E$37,"",0,1)),_xlfn.XLOOKUP($C1129,Phone_by_Sentiment!$B$2:$B$37,Phone_by_Sentiment!E$2:E$37,"",0,1),0),$A1129-TEXT(DATEVALUE($D1129&amp;"-01"), "dd-mm-yyyy")),0),0)</f>
        <v>963</v>
      </c>
      <c r="F1129" cm="1">
        <f t="array" ref="F1129">IF($Q1129&gt;=0,IFERROR(generateSalesData($D1129, IF(ISNUMBER(_xlfn.XLOOKUP($C1129,Phone_by_Sentiment!$B$2:$B$37,Phone_by_Sentiment!F$2:F$37,"",0,1)),_xlfn.XLOOKUP($C1129,Phone_by_Sentiment!$B$2:$B$37,Phone_by_Sentiment!F$2:F$37,"",0,1),0),$A1129-TEXT(DATEVALUE($D1129&amp;"-01"), "dd-mm-yyyy")),0),0)</f>
        <v>228</v>
      </c>
      <c r="G1129" cm="1">
        <f t="array" ref="G1129">IF($Q1129&gt;=0,IFERROR(generateSalesData($D1129, IF(ISNUMBER(_xlfn.XLOOKUP($C1129,Phone_by_Sentiment!$B$2:$B$37,Phone_by_Sentiment!G$2:G$37,"",0,1)),_xlfn.XLOOKUP($C1129,Phone_by_Sentiment!$B$2:$B$37,Phone_by_Sentiment!G$2:G$37,"",0,1),0),$A1129-TEXT(DATEVALUE($D1129&amp;"-01"), "dd-mm-yyyy")),0),0)</f>
        <v>83</v>
      </c>
      <c r="H1129" cm="1">
        <f t="array" ref="H1129">IF($Q1129&gt;=0,IFERROR(generateSalesData($D1129, IF(ISNUMBER(_xlfn.XLOOKUP($C1129,Phone_by_Sentiment!$B$2:$B$37,Phone_by_Sentiment!H$2:H$37,"",0,1)),_xlfn.XLOOKUP($C1129,Phone_by_Sentiment!$B$2:$B$37,Phone_by_Sentiment!H$2:H$37,"",0,1),0),$A1129-TEXT(DATEVALUE($D1129&amp;"-01"), "dd-mm-yyyy")),0),0)</f>
        <v>26</v>
      </c>
      <c r="I1129" cm="1">
        <f t="array" ref="I1129">IF($Q1129&gt;=0,IFERROR(generateSalesData($D1129, IF(ISNUMBER(_xlfn.XLOOKUP($C1129,Phone_by_Sentiment!$B$2:$B$37,Phone_by_Sentiment!I$2:I$37,"",0,1)),_xlfn.XLOOKUP($C1129,Phone_by_Sentiment!$B$2:$B$37,Phone_by_Sentiment!I$2:I$37,"",0,1),0),$A1129-TEXT(DATEVALUE($D1129&amp;"-01"), "dd-mm-yyyy")),0),0)</f>
        <v>73</v>
      </c>
      <c r="J1129" cm="1">
        <f t="array" ref="J1129">IF($Q1129&gt;=0,IFERROR(generateSalesData($D1129, IF(ISNUMBER(_xlfn.XLOOKUP($C1129,Phone_by_Sentiment!$B$2:$B$37,Phone_by_Sentiment!J$2:J$37,"",0,1)),_xlfn.XLOOKUP($C1129,Phone_by_Sentiment!$B$2:$B$37,Phone_by_Sentiment!J$2:J$37,"",0,1),0),$A1129-TEXT(DATEVALUE($D1129&amp;"-01"), "dd-mm-yyyy")),0),0)</f>
        <v>180</v>
      </c>
      <c r="K1129" cm="1">
        <f t="array" ref="K1129">IF($Q1129&gt;=0,IFERROR(generateSalesData($D1129, IF(ISNUMBER(_xlfn.XLOOKUP($C1129,Phone_by_Sentiment!$B$2:$B$37,Phone_by_Sentiment!K$2:K$37,"",0,1)),_xlfn.XLOOKUP($C1129,Phone_by_Sentiment!$B$2:$B$37,Phone_by_Sentiment!K$2:K$37,"",0,1),0),$A1129-TEXT(DATEVALUE($D1129&amp;"-01"), "dd-mm-yyyy")),0),0)</f>
        <v>140</v>
      </c>
      <c r="L1129" cm="1">
        <f t="array" ref="L1129">IF($Q1129&gt;=0,IFERROR(generateSalesData($D1129, IF(ISNUMBER(_xlfn.XLOOKUP($C1129,Phone_by_Sentiment!$B$2:$B$37,Phone_by_Sentiment!L$2:L$37,"",0,1)),_xlfn.XLOOKUP($C1129,Phone_by_Sentiment!$B$2:$B$37,Phone_by_Sentiment!L$2:L$37,"",0,1),0),$A1129-TEXT(DATEVALUE($D1129&amp;"-01"), "dd-mm-yyyy")),0),0)</f>
        <v>419</v>
      </c>
      <c r="M1129" cm="1">
        <f t="array" ref="M1129">IF($Q1129&gt;=0,IFERROR(generateSalesData($D1129, IF(ISNUMBER(_xlfn.XLOOKUP($C1129,Phone_by_Sentiment!$B$2:$B$37,Phone_by_Sentiment!M$2:M$37,"",0,1)),_xlfn.XLOOKUP($C1129,Phone_by_Sentiment!$B$2:$B$37,Phone_by_Sentiment!M$2:M$37,"",0,1),0),$A1129-TEXT(DATEVALUE($D1129&amp;"-01"), "dd-mm-yyyy")),0),0)</f>
        <v>203</v>
      </c>
      <c r="N1129" cm="1">
        <f t="array" ref="N1129">IF($Q1129&gt;=0,IFERROR(generateSalesData($D1129, IF(ISNUMBER(_xlfn.XLOOKUP($C1129,Phone_by_Sentiment!$B$2:$B$37,Phone_by_Sentiment!N$2:N$37,"",0,1)),_xlfn.XLOOKUP($C1129,Phone_by_Sentiment!$B$2:$B$37,Phone_by_Sentiment!N$2:N$37,"",0,1),0),$A1129-TEXT(DATEVALUE($D1129&amp;"-01"), "dd-mm-yyyy")),0),0)</f>
        <v>257</v>
      </c>
      <c r="O1129" cm="1">
        <f t="array" ref="O1129">IF($Q1129&gt;=0,IFERROR(generateSalesData($D1129, IF(ISNUMBER(_xlfn.XLOOKUP($C1129,Phone_by_Sentiment!$B$2:$B$37,Phone_by_Sentiment!O$2:O$37,"",0,1)),_xlfn.XLOOKUP($C1129,Phone_by_Sentiment!$B$2:$B$37,Phone_by_Sentiment!O$2:O$37,"",0,1),0),$A1129-TEXT(DATEVALUE($D1129&amp;"-01"), "dd-mm-yyyy")),0),0)</f>
        <v>213</v>
      </c>
      <c r="P1129" s="1">
        <f t="shared" si="46"/>
        <v>44075</v>
      </c>
      <c r="Q1129">
        <f t="shared" si="47"/>
        <v>365</v>
      </c>
    </row>
    <row r="1130" spans="1:17" x14ac:dyDescent="0.25">
      <c r="A1130" s="1">
        <f t="shared" si="48"/>
        <v>44440</v>
      </c>
      <c r="B1130" t="s">
        <v>147</v>
      </c>
      <c r="C1130" t="str">
        <f>_xlfn.XLOOKUP(B1130,Phone_by_Price!$A$2:$A$34,Phone_by_Price!$B$2:$B$34,"-",0,1)</f>
        <v>Huawei Y9a</v>
      </c>
      <c r="D1130" t="str">
        <f>_xlfn.XLOOKUP(C1130,Phone_by_Sentiment!$B$2:$B$37,Phone_by_Sentiment!$A$2:$A$37,"-",0,1)</f>
        <v>2020-02</v>
      </c>
      <c r="E1130" cm="1">
        <f t="array" ref="E1130">IF($Q1130&gt;=0,IFERROR(generateSalesData($D1130, IF(ISNUMBER(_xlfn.XLOOKUP($C1130,Phone_by_Sentiment!$B$2:$B$37,Phone_by_Sentiment!E$2:E$37,"",0,1)),_xlfn.XLOOKUP($C1130,Phone_by_Sentiment!$B$2:$B$37,Phone_by_Sentiment!E$2:E$37,"",0,1),0),$A1130-TEXT(DATEVALUE($D1130&amp;"-01"), "dd-mm-yyyy")),0),0)</f>
        <v>355</v>
      </c>
      <c r="F1130" cm="1">
        <f t="array" ref="F1130">IF($Q1130&gt;=0,IFERROR(generateSalesData($D1130, IF(ISNUMBER(_xlfn.XLOOKUP($C1130,Phone_by_Sentiment!$B$2:$B$37,Phone_by_Sentiment!F$2:F$37,"",0,1)),_xlfn.XLOOKUP($C1130,Phone_by_Sentiment!$B$2:$B$37,Phone_by_Sentiment!F$2:F$37,"",0,1),0),$A1130-TEXT(DATEVALUE($D1130&amp;"-01"), "dd-mm-yyyy")),0),0)</f>
        <v>326</v>
      </c>
      <c r="G1130" cm="1">
        <f t="array" ref="G1130">IF($Q1130&gt;=0,IFERROR(generateSalesData($D1130, IF(ISNUMBER(_xlfn.XLOOKUP($C1130,Phone_by_Sentiment!$B$2:$B$37,Phone_by_Sentiment!G$2:G$37,"",0,1)),_xlfn.XLOOKUP($C1130,Phone_by_Sentiment!$B$2:$B$37,Phone_by_Sentiment!G$2:G$37,"",0,1),0),$A1130-TEXT(DATEVALUE($D1130&amp;"-01"), "dd-mm-yyyy")),0),0)</f>
        <v>162</v>
      </c>
      <c r="H1130" cm="1">
        <f t="array" ref="H1130">IF($Q1130&gt;=0,IFERROR(generateSalesData($D1130, IF(ISNUMBER(_xlfn.XLOOKUP($C1130,Phone_by_Sentiment!$B$2:$B$37,Phone_by_Sentiment!H$2:H$37,"",0,1)),_xlfn.XLOOKUP($C1130,Phone_by_Sentiment!$B$2:$B$37,Phone_by_Sentiment!H$2:H$37,"",0,1),0),$A1130-TEXT(DATEVALUE($D1130&amp;"-01"), "dd-mm-yyyy")),0),0)</f>
        <v>110</v>
      </c>
      <c r="I1130" cm="1">
        <f t="array" ref="I1130">IF($Q1130&gt;=0,IFERROR(generateSalesData($D1130, IF(ISNUMBER(_xlfn.XLOOKUP($C1130,Phone_by_Sentiment!$B$2:$B$37,Phone_by_Sentiment!I$2:I$37,"",0,1)),_xlfn.XLOOKUP($C1130,Phone_by_Sentiment!$B$2:$B$37,Phone_by_Sentiment!I$2:I$37,"",0,1),0),$A1130-TEXT(DATEVALUE($D1130&amp;"-01"), "dd-mm-yyyy")),0),0)</f>
        <v>-9</v>
      </c>
      <c r="J1130" cm="1">
        <f t="array" ref="J1130">IF($Q1130&gt;=0,IFERROR(generateSalesData($D1130, IF(ISNUMBER(_xlfn.XLOOKUP($C1130,Phone_by_Sentiment!$B$2:$B$37,Phone_by_Sentiment!J$2:J$37,"",0,1)),_xlfn.XLOOKUP($C1130,Phone_by_Sentiment!$B$2:$B$37,Phone_by_Sentiment!J$2:J$37,"",0,1),0),$A1130-TEXT(DATEVALUE($D1130&amp;"-01"), "dd-mm-yyyy")),0),0)</f>
        <v>81</v>
      </c>
      <c r="K1130" cm="1">
        <f t="array" ref="K1130">IF($Q1130&gt;=0,IFERROR(generateSalesData($D1130, IF(ISNUMBER(_xlfn.XLOOKUP($C1130,Phone_by_Sentiment!$B$2:$B$37,Phone_by_Sentiment!K$2:K$37,"",0,1)),_xlfn.XLOOKUP($C1130,Phone_by_Sentiment!$B$2:$B$37,Phone_by_Sentiment!K$2:K$37,"",0,1),0),$A1130-TEXT(DATEVALUE($D1130&amp;"-01"), "dd-mm-yyyy")),0),0)</f>
        <v>126</v>
      </c>
      <c r="L1130" cm="1">
        <f t="array" ref="L1130">IF($Q1130&gt;=0,IFERROR(generateSalesData($D1130, IF(ISNUMBER(_xlfn.XLOOKUP($C1130,Phone_by_Sentiment!$B$2:$B$37,Phone_by_Sentiment!L$2:L$37,"",0,1)),_xlfn.XLOOKUP($C1130,Phone_by_Sentiment!$B$2:$B$37,Phone_by_Sentiment!L$2:L$37,"",0,1),0),$A1130-TEXT(DATEVALUE($D1130&amp;"-01"), "dd-mm-yyyy")),0),0)</f>
        <v>146</v>
      </c>
      <c r="M1130" cm="1">
        <f t="array" ref="M1130">IF($Q1130&gt;=0,IFERROR(generateSalesData($D1130, IF(ISNUMBER(_xlfn.XLOOKUP($C1130,Phone_by_Sentiment!$B$2:$B$37,Phone_by_Sentiment!M$2:M$37,"",0,1)),_xlfn.XLOOKUP($C1130,Phone_by_Sentiment!$B$2:$B$37,Phone_by_Sentiment!M$2:M$37,"",0,1),0),$A1130-TEXT(DATEVALUE($D1130&amp;"-01"), "dd-mm-yyyy")),0),0)</f>
        <v>123</v>
      </c>
      <c r="N1130" cm="1">
        <f t="array" ref="N1130">IF($Q1130&gt;=0,IFERROR(generateSalesData($D1130, IF(ISNUMBER(_xlfn.XLOOKUP($C1130,Phone_by_Sentiment!$B$2:$B$37,Phone_by_Sentiment!N$2:N$37,"",0,1)),_xlfn.XLOOKUP($C1130,Phone_by_Sentiment!$B$2:$B$37,Phone_by_Sentiment!N$2:N$37,"",0,1),0),$A1130-TEXT(DATEVALUE($D1130&amp;"-01"), "dd-mm-yyyy")),0),0)</f>
        <v>175</v>
      </c>
      <c r="O1130" cm="1">
        <f t="array" ref="O1130">IF($Q1130&gt;=0,IFERROR(generateSalesData($D1130, IF(ISNUMBER(_xlfn.XLOOKUP($C1130,Phone_by_Sentiment!$B$2:$B$37,Phone_by_Sentiment!O$2:O$37,"",0,1)),_xlfn.XLOOKUP($C1130,Phone_by_Sentiment!$B$2:$B$37,Phone_by_Sentiment!O$2:O$37,"",0,1),0),$A1130-TEXT(DATEVALUE($D1130&amp;"-01"), "dd-mm-yyyy")),0),0)</f>
        <v>145</v>
      </c>
      <c r="P1130" s="1">
        <f t="shared" si="46"/>
        <v>43862</v>
      </c>
      <c r="Q1130">
        <f t="shared" si="47"/>
        <v>578</v>
      </c>
    </row>
    <row r="1131" spans="1:17" x14ac:dyDescent="0.25">
      <c r="A1131" s="1">
        <f t="shared" si="48"/>
        <v>44440</v>
      </c>
      <c r="B1131" t="s">
        <v>148</v>
      </c>
      <c r="C1131" t="str">
        <f>_xlfn.XLOOKUP(B1131,Phone_by_Price!$A$2:$A$34,Phone_by_Price!$B$2:$B$34,"-",0,1)</f>
        <v>Xiaomi Redmi 10</v>
      </c>
      <c r="D1131" t="str">
        <f>_xlfn.XLOOKUP(C1131,Phone_by_Sentiment!$B$2:$B$37,Phone_by_Sentiment!$A$2:$A$37,"-",0,1)</f>
        <v>2021-03</v>
      </c>
      <c r="E1131" cm="1">
        <f t="array" ref="E1131">IF($Q1131&gt;=0,IFERROR(generateSalesData($D1131, IF(ISNUMBER(_xlfn.XLOOKUP($C1131,Phone_by_Sentiment!$B$2:$B$37,Phone_by_Sentiment!E$2:E$37,"",0,1)),_xlfn.XLOOKUP($C1131,Phone_by_Sentiment!$B$2:$B$37,Phone_by_Sentiment!E$2:E$37,"",0,1),0),$A1131-TEXT(DATEVALUE($D1131&amp;"-01"), "dd-mm-yyyy")),0),0)</f>
        <v>754</v>
      </c>
      <c r="F1131" cm="1">
        <f t="array" ref="F1131">IF($Q1131&gt;=0,IFERROR(generateSalesData($D1131, IF(ISNUMBER(_xlfn.XLOOKUP($C1131,Phone_by_Sentiment!$B$2:$B$37,Phone_by_Sentiment!F$2:F$37,"",0,1)),_xlfn.XLOOKUP($C1131,Phone_by_Sentiment!$B$2:$B$37,Phone_by_Sentiment!F$2:F$37,"",0,1),0),$A1131-TEXT(DATEVALUE($D1131&amp;"-01"), "dd-mm-yyyy")),0),0)</f>
        <v>1166</v>
      </c>
      <c r="G1131" cm="1">
        <f t="array" ref="G1131">IF($Q1131&gt;=0,IFERROR(generateSalesData($D1131, IF(ISNUMBER(_xlfn.XLOOKUP($C1131,Phone_by_Sentiment!$B$2:$B$37,Phone_by_Sentiment!G$2:G$37,"",0,1)),_xlfn.XLOOKUP($C1131,Phone_by_Sentiment!$B$2:$B$37,Phone_by_Sentiment!G$2:G$37,"",0,1),0),$A1131-TEXT(DATEVALUE($D1131&amp;"-01"), "dd-mm-yyyy")),0),0)</f>
        <v>308</v>
      </c>
      <c r="H1131" cm="1">
        <f t="array" ref="H1131">IF($Q1131&gt;=0,IFERROR(generateSalesData($D1131, IF(ISNUMBER(_xlfn.XLOOKUP($C1131,Phone_by_Sentiment!$B$2:$B$37,Phone_by_Sentiment!H$2:H$37,"",0,1)),_xlfn.XLOOKUP($C1131,Phone_by_Sentiment!$B$2:$B$37,Phone_by_Sentiment!H$2:H$37,"",0,1),0),$A1131-TEXT(DATEVALUE($D1131&amp;"-01"), "dd-mm-yyyy")),0),0)</f>
        <v>1222</v>
      </c>
      <c r="I1131" cm="1">
        <f t="array" ref="I1131">IF($Q1131&gt;=0,IFERROR(generateSalesData($D1131, IF(ISNUMBER(_xlfn.XLOOKUP($C1131,Phone_by_Sentiment!$B$2:$B$37,Phone_by_Sentiment!I$2:I$37,"",0,1)),_xlfn.XLOOKUP($C1131,Phone_by_Sentiment!$B$2:$B$37,Phone_by_Sentiment!I$2:I$37,"",0,1),0),$A1131-TEXT(DATEVALUE($D1131&amp;"-01"), "dd-mm-yyyy")),0),0)</f>
        <v>512</v>
      </c>
      <c r="J1131" cm="1">
        <f t="array" ref="J1131">IF($Q1131&gt;=0,IFERROR(generateSalesData($D1131, IF(ISNUMBER(_xlfn.XLOOKUP($C1131,Phone_by_Sentiment!$B$2:$B$37,Phone_by_Sentiment!J$2:J$37,"",0,1)),_xlfn.XLOOKUP($C1131,Phone_by_Sentiment!$B$2:$B$37,Phone_by_Sentiment!J$2:J$37,"",0,1),0),$A1131-TEXT(DATEVALUE($D1131&amp;"-01"), "dd-mm-yyyy")),0),0)</f>
        <v>515</v>
      </c>
      <c r="K1131" cm="1">
        <f t="array" ref="K1131">IF($Q1131&gt;=0,IFERROR(generateSalesData($D1131, IF(ISNUMBER(_xlfn.XLOOKUP($C1131,Phone_by_Sentiment!$B$2:$B$37,Phone_by_Sentiment!K$2:K$37,"",0,1)),_xlfn.XLOOKUP($C1131,Phone_by_Sentiment!$B$2:$B$37,Phone_by_Sentiment!K$2:K$37,"",0,1),0),$A1131-TEXT(DATEVALUE($D1131&amp;"-01"), "dd-mm-yyyy")),0),0)</f>
        <v>1442</v>
      </c>
      <c r="L1131" cm="1">
        <f t="array" ref="L1131">IF($Q1131&gt;=0,IFERROR(generateSalesData($D1131, IF(ISNUMBER(_xlfn.XLOOKUP($C1131,Phone_by_Sentiment!$B$2:$B$37,Phone_by_Sentiment!L$2:L$37,"",0,1)),_xlfn.XLOOKUP($C1131,Phone_by_Sentiment!$B$2:$B$37,Phone_by_Sentiment!L$2:L$37,"",0,1),0),$A1131-TEXT(DATEVALUE($D1131&amp;"-01"), "dd-mm-yyyy")),0),0)</f>
        <v>326</v>
      </c>
      <c r="M1131" cm="1">
        <f t="array" ref="M1131">IF($Q1131&gt;=0,IFERROR(generateSalesData($D1131, IF(ISNUMBER(_xlfn.XLOOKUP($C1131,Phone_by_Sentiment!$B$2:$B$37,Phone_by_Sentiment!M$2:M$37,"",0,1)),_xlfn.XLOOKUP($C1131,Phone_by_Sentiment!$B$2:$B$37,Phone_by_Sentiment!M$2:M$37,"",0,1),0),$A1131-TEXT(DATEVALUE($D1131&amp;"-01"), "dd-mm-yyyy")),0),0)</f>
        <v>247</v>
      </c>
      <c r="N1131" cm="1">
        <f t="array" ref="N1131">IF($Q1131&gt;=0,IFERROR(generateSalesData($D1131, IF(ISNUMBER(_xlfn.XLOOKUP($C1131,Phone_by_Sentiment!$B$2:$B$37,Phone_by_Sentiment!N$2:N$37,"",0,1)),_xlfn.XLOOKUP($C1131,Phone_by_Sentiment!$B$2:$B$37,Phone_by_Sentiment!N$2:N$37,"",0,1),0),$A1131-TEXT(DATEVALUE($D1131&amp;"-01"), "dd-mm-yyyy")),0),0)</f>
        <v>775</v>
      </c>
      <c r="O1131" cm="1">
        <f t="array" ref="O1131">IF($Q1131&gt;=0,IFERROR(generateSalesData($D1131, IF(ISNUMBER(_xlfn.XLOOKUP($C1131,Phone_by_Sentiment!$B$2:$B$37,Phone_by_Sentiment!O$2:O$37,"",0,1)),_xlfn.XLOOKUP($C1131,Phone_by_Sentiment!$B$2:$B$37,Phone_by_Sentiment!O$2:O$37,"",0,1),0),$A1131-TEXT(DATEVALUE($D1131&amp;"-01"), "dd-mm-yyyy")),0),0)</f>
        <v>1501</v>
      </c>
      <c r="P1131" s="1">
        <f t="shared" si="46"/>
        <v>44256</v>
      </c>
      <c r="Q1131">
        <f t="shared" si="47"/>
        <v>184</v>
      </c>
    </row>
    <row r="1132" spans="1:17" x14ac:dyDescent="0.25">
      <c r="A1132" s="1">
        <f t="shared" si="48"/>
        <v>44440</v>
      </c>
      <c r="B1132" t="s">
        <v>149</v>
      </c>
      <c r="C1132" t="str">
        <f>_xlfn.XLOOKUP(B1132,Phone_by_Price!$A$2:$A$34,Phone_by_Price!$B$2:$B$34,"-",0,1)</f>
        <v>Samsung Galaxy A52</v>
      </c>
      <c r="D1132" t="str">
        <f>_xlfn.XLOOKUP(C1132,Phone_by_Sentiment!$B$2:$B$37,Phone_by_Sentiment!$A$2:$A$37,"-",0,1)</f>
        <v>2021-03</v>
      </c>
      <c r="E1132" cm="1">
        <f t="array" ref="E1132">IF($Q1132&gt;=0,IFERROR(generateSalesData($D1132, IF(ISNUMBER(_xlfn.XLOOKUP($C1132,Phone_by_Sentiment!$B$2:$B$37,Phone_by_Sentiment!E$2:E$37,"",0,1)),_xlfn.XLOOKUP($C1132,Phone_by_Sentiment!$B$2:$B$37,Phone_by_Sentiment!E$2:E$37,"",0,1),0),$A1132-TEXT(DATEVALUE($D1132&amp;"-01"), "dd-mm-yyyy")),0),0)</f>
        <v>1235</v>
      </c>
      <c r="F1132" cm="1">
        <f t="array" ref="F1132">IF($Q1132&gt;=0,IFERROR(generateSalesData($D1132, IF(ISNUMBER(_xlfn.XLOOKUP($C1132,Phone_by_Sentiment!$B$2:$B$37,Phone_by_Sentiment!F$2:F$37,"",0,1)),_xlfn.XLOOKUP($C1132,Phone_by_Sentiment!$B$2:$B$37,Phone_by_Sentiment!F$2:F$37,"",0,1),0),$A1132-TEXT(DATEVALUE($D1132&amp;"-01"), "dd-mm-yyyy")),0),0)</f>
        <v>2306</v>
      </c>
      <c r="G1132" cm="1">
        <f t="array" ref="G1132">IF($Q1132&gt;=0,IFERROR(generateSalesData($D1132, IF(ISNUMBER(_xlfn.XLOOKUP($C1132,Phone_by_Sentiment!$B$2:$B$37,Phone_by_Sentiment!G$2:G$37,"",0,1)),_xlfn.XLOOKUP($C1132,Phone_by_Sentiment!$B$2:$B$37,Phone_by_Sentiment!G$2:G$37,"",0,1),0),$A1132-TEXT(DATEVALUE($D1132&amp;"-01"), "dd-mm-yyyy")),0),0)</f>
        <v>414</v>
      </c>
      <c r="H1132" cm="1">
        <f t="array" ref="H1132">IF($Q1132&gt;=0,IFERROR(generateSalesData($D1132, IF(ISNUMBER(_xlfn.XLOOKUP($C1132,Phone_by_Sentiment!$B$2:$B$37,Phone_by_Sentiment!H$2:H$37,"",0,1)),_xlfn.XLOOKUP($C1132,Phone_by_Sentiment!$B$2:$B$37,Phone_by_Sentiment!H$2:H$37,"",0,1),0),$A1132-TEXT(DATEVALUE($D1132&amp;"-01"), "dd-mm-yyyy")),0),0)</f>
        <v>1265</v>
      </c>
      <c r="I1132" cm="1">
        <f t="array" ref="I1132">IF($Q1132&gt;=0,IFERROR(generateSalesData($D1132, IF(ISNUMBER(_xlfn.XLOOKUP($C1132,Phone_by_Sentiment!$B$2:$B$37,Phone_by_Sentiment!I$2:I$37,"",0,1)),_xlfn.XLOOKUP($C1132,Phone_by_Sentiment!$B$2:$B$37,Phone_by_Sentiment!I$2:I$37,"",0,1),0),$A1132-TEXT(DATEVALUE($D1132&amp;"-01"), "dd-mm-yyyy")),0),0)</f>
        <v>-403</v>
      </c>
      <c r="J1132" cm="1">
        <f t="array" ref="J1132">IF($Q1132&gt;=0,IFERROR(generateSalesData($D1132, IF(ISNUMBER(_xlfn.XLOOKUP($C1132,Phone_by_Sentiment!$B$2:$B$37,Phone_by_Sentiment!J$2:J$37,"",0,1)),_xlfn.XLOOKUP($C1132,Phone_by_Sentiment!$B$2:$B$37,Phone_by_Sentiment!J$2:J$37,"",0,1),0),$A1132-TEXT(DATEVALUE($D1132&amp;"-01"), "dd-mm-yyyy")),0),0)</f>
        <v>1378</v>
      </c>
      <c r="K1132" cm="1">
        <f t="array" ref="K1132">IF($Q1132&gt;=0,IFERROR(generateSalesData($D1132, IF(ISNUMBER(_xlfn.XLOOKUP($C1132,Phone_by_Sentiment!$B$2:$B$37,Phone_by_Sentiment!K$2:K$37,"",0,1)),_xlfn.XLOOKUP($C1132,Phone_by_Sentiment!$B$2:$B$37,Phone_by_Sentiment!K$2:K$37,"",0,1),0),$A1132-TEXT(DATEVALUE($D1132&amp;"-01"), "dd-mm-yyyy")),0),0)</f>
        <v>720</v>
      </c>
      <c r="L1132" cm="1">
        <f t="array" ref="L1132">IF($Q1132&gt;=0,IFERROR(generateSalesData($D1132, IF(ISNUMBER(_xlfn.XLOOKUP($C1132,Phone_by_Sentiment!$B$2:$B$37,Phone_by_Sentiment!L$2:L$37,"",0,1)),_xlfn.XLOOKUP($C1132,Phone_by_Sentiment!$B$2:$B$37,Phone_by_Sentiment!L$2:L$37,"",0,1),0),$A1132-TEXT(DATEVALUE($D1132&amp;"-01"), "dd-mm-yyyy")),0),0)</f>
        <v>1140</v>
      </c>
      <c r="M1132" cm="1">
        <f t="array" ref="M1132">IF($Q1132&gt;=0,IFERROR(generateSalesData($D1132, IF(ISNUMBER(_xlfn.XLOOKUP($C1132,Phone_by_Sentiment!$B$2:$B$37,Phone_by_Sentiment!M$2:M$37,"",0,1)),_xlfn.XLOOKUP($C1132,Phone_by_Sentiment!$B$2:$B$37,Phone_by_Sentiment!M$2:M$37,"",0,1),0),$A1132-TEXT(DATEVALUE($D1132&amp;"-01"), "dd-mm-yyyy")),0),0)</f>
        <v>1082</v>
      </c>
      <c r="N1132" cm="1">
        <f t="array" ref="N1132">IF($Q1132&gt;=0,IFERROR(generateSalesData($D1132, IF(ISNUMBER(_xlfn.XLOOKUP($C1132,Phone_by_Sentiment!$B$2:$B$37,Phone_by_Sentiment!N$2:N$37,"",0,1)),_xlfn.XLOOKUP($C1132,Phone_by_Sentiment!$B$2:$B$37,Phone_by_Sentiment!N$2:N$37,"",0,1),0),$A1132-TEXT(DATEVALUE($D1132&amp;"-01"), "dd-mm-yyyy")),0),0)</f>
        <v>-130</v>
      </c>
      <c r="O1132" cm="1">
        <f t="array" ref="O1132">IF($Q1132&gt;=0,IFERROR(generateSalesData($D1132, IF(ISNUMBER(_xlfn.XLOOKUP($C1132,Phone_by_Sentiment!$B$2:$B$37,Phone_by_Sentiment!O$2:O$37,"",0,1)),_xlfn.XLOOKUP($C1132,Phone_by_Sentiment!$B$2:$B$37,Phone_by_Sentiment!O$2:O$37,"",0,1),0),$A1132-TEXT(DATEVALUE($D1132&amp;"-01"), "dd-mm-yyyy")),0),0)</f>
        <v>1446</v>
      </c>
      <c r="P1132" s="1">
        <f t="shared" si="46"/>
        <v>44256</v>
      </c>
      <c r="Q1132">
        <f t="shared" si="47"/>
        <v>184</v>
      </c>
    </row>
    <row r="1133" spans="1:17" x14ac:dyDescent="0.25">
      <c r="A1133" s="1">
        <f t="shared" si="48"/>
        <v>44440</v>
      </c>
      <c r="B1133" t="s">
        <v>150</v>
      </c>
      <c r="C1133" t="str">
        <f>_xlfn.XLOOKUP(B1133,Phone_by_Price!$A$2:$A$34,Phone_by_Price!$B$2:$B$34,"-",0,1)</f>
        <v>Vivo Y33s</v>
      </c>
      <c r="D1133" t="str">
        <f>_xlfn.XLOOKUP(C1133,Phone_by_Sentiment!$B$2:$B$37,Phone_by_Sentiment!$A$2:$A$37,"-",0,1)</f>
        <v>2021-05</v>
      </c>
      <c r="E1133" cm="1">
        <f t="array" ref="E1133">IF($Q1133&gt;=0,IFERROR(generateSalesData($D1133, IF(ISNUMBER(_xlfn.XLOOKUP($C1133,Phone_by_Sentiment!$B$2:$B$37,Phone_by_Sentiment!E$2:E$37,"",0,1)),_xlfn.XLOOKUP($C1133,Phone_by_Sentiment!$B$2:$B$37,Phone_by_Sentiment!E$2:E$37,"",0,1),0),$A1133-TEXT(DATEVALUE($D1133&amp;"-01"), "dd-mm-yyyy")),0),0)</f>
        <v>1392</v>
      </c>
      <c r="F1133" cm="1">
        <f t="array" ref="F1133">IF($Q1133&gt;=0,IFERROR(generateSalesData($D1133, IF(ISNUMBER(_xlfn.XLOOKUP($C1133,Phone_by_Sentiment!$B$2:$B$37,Phone_by_Sentiment!F$2:F$37,"",0,1)),_xlfn.XLOOKUP($C1133,Phone_by_Sentiment!$B$2:$B$37,Phone_by_Sentiment!F$2:F$37,"",0,1),0),$A1133-TEXT(DATEVALUE($D1133&amp;"-01"), "dd-mm-yyyy")),0),0)</f>
        <v>-13</v>
      </c>
      <c r="G1133" cm="1">
        <f t="array" ref="G1133">IF($Q1133&gt;=0,IFERROR(generateSalesData($D1133, IF(ISNUMBER(_xlfn.XLOOKUP($C1133,Phone_by_Sentiment!$B$2:$B$37,Phone_by_Sentiment!G$2:G$37,"",0,1)),_xlfn.XLOOKUP($C1133,Phone_by_Sentiment!$B$2:$B$37,Phone_by_Sentiment!G$2:G$37,"",0,1),0),$A1133-TEXT(DATEVALUE($D1133&amp;"-01"), "dd-mm-yyyy")),0),0)</f>
        <v>508</v>
      </c>
      <c r="H1133" cm="1">
        <f t="array" ref="H1133">IF($Q1133&gt;=0,IFERROR(generateSalesData($D1133, IF(ISNUMBER(_xlfn.XLOOKUP($C1133,Phone_by_Sentiment!$B$2:$B$37,Phone_by_Sentiment!H$2:H$37,"",0,1)),_xlfn.XLOOKUP($C1133,Phone_by_Sentiment!$B$2:$B$37,Phone_by_Sentiment!H$2:H$37,"",0,1),0),$A1133-TEXT(DATEVALUE($D1133&amp;"-01"), "dd-mm-yyyy")),0),0)</f>
        <v>2119</v>
      </c>
      <c r="I1133" cm="1">
        <f t="array" ref="I1133">IF($Q1133&gt;=0,IFERROR(generateSalesData($D1133, IF(ISNUMBER(_xlfn.XLOOKUP($C1133,Phone_by_Sentiment!$B$2:$B$37,Phone_by_Sentiment!I$2:I$37,"",0,1)),_xlfn.XLOOKUP($C1133,Phone_by_Sentiment!$B$2:$B$37,Phone_by_Sentiment!I$2:I$37,"",0,1),0),$A1133-TEXT(DATEVALUE($D1133&amp;"-01"), "dd-mm-yyyy")),0),0)</f>
        <v>323</v>
      </c>
      <c r="J1133" cm="1">
        <f t="array" ref="J1133">IF($Q1133&gt;=0,IFERROR(generateSalesData($D1133, IF(ISNUMBER(_xlfn.XLOOKUP($C1133,Phone_by_Sentiment!$B$2:$B$37,Phone_by_Sentiment!J$2:J$37,"",0,1)),_xlfn.XLOOKUP($C1133,Phone_by_Sentiment!$B$2:$B$37,Phone_by_Sentiment!J$2:J$37,"",0,1),0),$A1133-TEXT(DATEVALUE($D1133&amp;"-01"), "dd-mm-yyyy")),0),0)</f>
        <v>557</v>
      </c>
      <c r="K1133" cm="1">
        <f t="array" ref="K1133">IF($Q1133&gt;=0,IFERROR(generateSalesData($D1133, IF(ISNUMBER(_xlfn.XLOOKUP($C1133,Phone_by_Sentiment!$B$2:$B$37,Phone_by_Sentiment!K$2:K$37,"",0,1)),_xlfn.XLOOKUP($C1133,Phone_by_Sentiment!$B$2:$B$37,Phone_by_Sentiment!K$2:K$37,"",0,1),0),$A1133-TEXT(DATEVALUE($D1133&amp;"-01"), "dd-mm-yyyy")),0),0)</f>
        <v>294</v>
      </c>
      <c r="L1133" cm="1">
        <f t="array" ref="L1133">IF($Q1133&gt;=0,IFERROR(generateSalesData($D1133, IF(ISNUMBER(_xlfn.XLOOKUP($C1133,Phone_by_Sentiment!$B$2:$B$37,Phone_by_Sentiment!L$2:L$37,"",0,1)),_xlfn.XLOOKUP($C1133,Phone_by_Sentiment!$B$2:$B$37,Phone_by_Sentiment!L$2:L$37,"",0,1),0),$A1133-TEXT(DATEVALUE($D1133&amp;"-01"), "dd-mm-yyyy")),0),0)</f>
        <v>636</v>
      </c>
      <c r="M1133" cm="1">
        <f t="array" ref="M1133">IF($Q1133&gt;=0,IFERROR(generateSalesData($D1133, IF(ISNUMBER(_xlfn.XLOOKUP($C1133,Phone_by_Sentiment!$B$2:$B$37,Phone_by_Sentiment!M$2:M$37,"",0,1)),_xlfn.XLOOKUP($C1133,Phone_by_Sentiment!$B$2:$B$37,Phone_by_Sentiment!M$2:M$37,"",0,1),0),$A1133-TEXT(DATEVALUE($D1133&amp;"-01"), "dd-mm-yyyy")),0),0)</f>
        <v>700</v>
      </c>
      <c r="N1133" cm="1">
        <f t="array" ref="N1133">IF($Q1133&gt;=0,IFERROR(generateSalesData($D1133, IF(ISNUMBER(_xlfn.XLOOKUP($C1133,Phone_by_Sentiment!$B$2:$B$37,Phone_by_Sentiment!N$2:N$37,"",0,1)),_xlfn.XLOOKUP($C1133,Phone_by_Sentiment!$B$2:$B$37,Phone_by_Sentiment!N$2:N$37,"",0,1),0),$A1133-TEXT(DATEVALUE($D1133&amp;"-01"), "dd-mm-yyyy")),0),0)</f>
        <v>704</v>
      </c>
      <c r="O1133" cm="1">
        <f t="array" ref="O1133">IF($Q1133&gt;=0,IFERROR(generateSalesData($D1133, IF(ISNUMBER(_xlfn.XLOOKUP($C1133,Phone_by_Sentiment!$B$2:$B$37,Phone_by_Sentiment!O$2:O$37,"",0,1)),_xlfn.XLOOKUP($C1133,Phone_by_Sentiment!$B$2:$B$37,Phone_by_Sentiment!O$2:O$37,"",0,1),0),$A1133-TEXT(DATEVALUE($D1133&amp;"-01"), "dd-mm-yyyy")),0),0)</f>
        <v>1707</v>
      </c>
      <c r="P1133" s="1">
        <f t="shared" si="46"/>
        <v>44317</v>
      </c>
      <c r="Q1133">
        <f t="shared" si="47"/>
        <v>123</v>
      </c>
    </row>
    <row r="1134" spans="1:17" x14ac:dyDescent="0.25">
      <c r="A1134" s="1">
        <f t="shared" si="48"/>
        <v>44440</v>
      </c>
      <c r="B1134" t="s">
        <v>151</v>
      </c>
      <c r="C1134" t="str">
        <f>_xlfn.XLOOKUP(B1134,Phone_by_Price!$A$2:$A$34,Phone_by_Price!$B$2:$B$34,"-",0,1)</f>
        <v>Vivo Y11s</v>
      </c>
      <c r="D1134" t="str">
        <f>_xlfn.XLOOKUP(C1134,Phone_by_Sentiment!$B$2:$B$37,Phone_by_Sentiment!$A$2:$A$37,"-",0,1)</f>
        <v>2020-11</v>
      </c>
      <c r="E1134" cm="1">
        <f t="array" ref="E1134">IF($Q1134&gt;=0,IFERROR(generateSalesData($D1134, IF(ISNUMBER(_xlfn.XLOOKUP($C1134,Phone_by_Sentiment!$B$2:$B$37,Phone_by_Sentiment!E$2:E$37,"",0,1)),_xlfn.XLOOKUP($C1134,Phone_by_Sentiment!$B$2:$B$37,Phone_by_Sentiment!E$2:E$37,"",0,1),0),$A1134-TEXT(DATEVALUE($D1134&amp;"-01"), "dd-mm-yyyy")),0),0)</f>
        <v>155</v>
      </c>
      <c r="F1134" cm="1">
        <f t="array" ref="F1134">IF($Q1134&gt;=0,IFERROR(generateSalesData($D1134, IF(ISNUMBER(_xlfn.XLOOKUP($C1134,Phone_by_Sentiment!$B$2:$B$37,Phone_by_Sentiment!F$2:F$37,"",0,1)),_xlfn.XLOOKUP($C1134,Phone_by_Sentiment!$B$2:$B$37,Phone_by_Sentiment!F$2:F$37,"",0,1),0),$A1134-TEXT(DATEVALUE($D1134&amp;"-01"), "dd-mm-yyyy")),0),0)</f>
        <v>1</v>
      </c>
      <c r="G1134" cm="1">
        <f t="array" ref="G1134">IF($Q1134&gt;=0,IFERROR(generateSalesData($D1134, IF(ISNUMBER(_xlfn.XLOOKUP($C1134,Phone_by_Sentiment!$B$2:$B$37,Phone_by_Sentiment!G$2:G$37,"",0,1)),_xlfn.XLOOKUP($C1134,Phone_by_Sentiment!$B$2:$B$37,Phone_by_Sentiment!G$2:G$37,"",0,1),0),$A1134-TEXT(DATEVALUE($D1134&amp;"-01"), "dd-mm-yyyy")),0),0)</f>
        <v>269</v>
      </c>
      <c r="H1134" cm="1">
        <f t="array" ref="H1134">IF($Q1134&gt;=0,IFERROR(generateSalesData($D1134, IF(ISNUMBER(_xlfn.XLOOKUP($C1134,Phone_by_Sentiment!$B$2:$B$37,Phone_by_Sentiment!H$2:H$37,"",0,1)),_xlfn.XLOOKUP($C1134,Phone_by_Sentiment!$B$2:$B$37,Phone_by_Sentiment!H$2:H$37,"",0,1),0),$A1134-TEXT(DATEVALUE($D1134&amp;"-01"), "dd-mm-yyyy")),0),0)</f>
        <v>173</v>
      </c>
      <c r="I1134" cm="1">
        <f t="array" ref="I1134">IF($Q1134&gt;=0,IFERROR(generateSalesData($D1134, IF(ISNUMBER(_xlfn.XLOOKUP($C1134,Phone_by_Sentiment!$B$2:$B$37,Phone_by_Sentiment!I$2:I$37,"",0,1)),_xlfn.XLOOKUP($C1134,Phone_by_Sentiment!$B$2:$B$37,Phone_by_Sentiment!I$2:I$37,"",0,1),0),$A1134-TEXT(DATEVALUE($D1134&amp;"-01"), "dd-mm-yyyy")),0),0)</f>
        <v>694</v>
      </c>
      <c r="J1134" cm="1">
        <f t="array" ref="J1134">IF($Q1134&gt;=0,IFERROR(generateSalesData($D1134, IF(ISNUMBER(_xlfn.XLOOKUP($C1134,Phone_by_Sentiment!$B$2:$B$37,Phone_by_Sentiment!J$2:J$37,"",0,1)),_xlfn.XLOOKUP($C1134,Phone_by_Sentiment!$B$2:$B$37,Phone_by_Sentiment!J$2:J$37,"",0,1),0),$A1134-TEXT(DATEVALUE($D1134&amp;"-01"), "dd-mm-yyyy")),0),0)</f>
        <v>29</v>
      </c>
      <c r="K1134" cm="1">
        <f t="array" ref="K1134">IF($Q1134&gt;=0,IFERROR(generateSalesData($D1134, IF(ISNUMBER(_xlfn.XLOOKUP($C1134,Phone_by_Sentiment!$B$2:$B$37,Phone_by_Sentiment!K$2:K$37,"",0,1)),_xlfn.XLOOKUP($C1134,Phone_by_Sentiment!$B$2:$B$37,Phone_by_Sentiment!K$2:K$37,"",0,1),0),$A1134-TEXT(DATEVALUE($D1134&amp;"-01"), "dd-mm-yyyy")),0),0)</f>
        <v>229</v>
      </c>
      <c r="L1134" cm="1">
        <f t="array" ref="L1134">IF($Q1134&gt;=0,IFERROR(generateSalesData($D1134, IF(ISNUMBER(_xlfn.XLOOKUP($C1134,Phone_by_Sentiment!$B$2:$B$37,Phone_by_Sentiment!L$2:L$37,"",0,1)),_xlfn.XLOOKUP($C1134,Phone_by_Sentiment!$B$2:$B$37,Phone_by_Sentiment!L$2:L$37,"",0,1),0),$A1134-TEXT(DATEVALUE($D1134&amp;"-01"), "dd-mm-yyyy")),0),0)</f>
        <v>312</v>
      </c>
      <c r="M1134" cm="1">
        <f t="array" ref="M1134">IF($Q1134&gt;=0,IFERROR(generateSalesData($D1134, IF(ISNUMBER(_xlfn.XLOOKUP($C1134,Phone_by_Sentiment!$B$2:$B$37,Phone_by_Sentiment!M$2:M$37,"",0,1)),_xlfn.XLOOKUP($C1134,Phone_by_Sentiment!$B$2:$B$37,Phone_by_Sentiment!M$2:M$37,"",0,1),0),$A1134-TEXT(DATEVALUE($D1134&amp;"-01"), "dd-mm-yyyy")),0),0)</f>
        <v>506</v>
      </c>
      <c r="N1134" cm="1">
        <f t="array" ref="N1134">IF($Q1134&gt;=0,IFERROR(generateSalesData($D1134, IF(ISNUMBER(_xlfn.XLOOKUP($C1134,Phone_by_Sentiment!$B$2:$B$37,Phone_by_Sentiment!N$2:N$37,"",0,1)),_xlfn.XLOOKUP($C1134,Phone_by_Sentiment!$B$2:$B$37,Phone_by_Sentiment!N$2:N$37,"",0,1),0),$A1134-TEXT(DATEVALUE($D1134&amp;"-01"), "dd-mm-yyyy")),0),0)</f>
        <v>188</v>
      </c>
      <c r="O1134" cm="1">
        <f t="array" ref="O1134">IF($Q1134&gt;=0,IFERROR(generateSalesData($D1134, IF(ISNUMBER(_xlfn.XLOOKUP($C1134,Phone_by_Sentiment!$B$2:$B$37,Phone_by_Sentiment!O$2:O$37,"",0,1)),_xlfn.XLOOKUP($C1134,Phone_by_Sentiment!$B$2:$B$37,Phone_by_Sentiment!O$2:O$37,"",0,1),0),$A1134-TEXT(DATEVALUE($D1134&amp;"-01"), "dd-mm-yyyy")),0),0)</f>
        <v>236</v>
      </c>
      <c r="P1134" s="1">
        <f t="shared" si="46"/>
        <v>44136</v>
      </c>
      <c r="Q1134">
        <f t="shared" si="47"/>
        <v>304</v>
      </c>
    </row>
    <row r="1135" spans="1:17" x14ac:dyDescent="0.25">
      <c r="A1135" s="1">
        <f t="shared" si="48"/>
        <v>44440</v>
      </c>
      <c r="B1135" t="s">
        <v>152</v>
      </c>
      <c r="C1135" t="str">
        <f>_xlfn.XLOOKUP(B1135,Phone_by_Price!$A$2:$A$34,Phone_by_Price!$B$2:$B$34,"-",0,1)</f>
        <v>Huawei Nova 7i</v>
      </c>
      <c r="D1135" t="str">
        <f>_xlfn.XLOOKUP(C1135,Phone_by_Sentiment!$B$2:$B$37,Phone_by_Sentiment!$A$2:$A$37,"-",0,1)</f>
        <v>2020-02</v>
      </c>
      <c r="E1135" cm="1">
        <f t="array" ref="E1135">IF($Q1135&gt;=0,IFERROR(generateSalesData($D1135, IF(ISNUMBER(_xlfn.XLOOKUP($C1135,Phone_by_Sentiment!$B$2:$B$37,Phone_by_Sentiment!E$2:E$37,"",0,1)),_xlfn.XLOOKUP($C1135,Phone_by_Sentiment!$B$2:$B$37,Phone_by_Sentiment!E$2:E$37,"",0,1),0),$A1135-TEXT(DATEVALUE($D1135&amp;"-01"), "dd-mm-yyyy")),0),0)</f>
        <v>5</v>
      </c>
      <c r="F1135" cm="1">
        <f t="array" ref="F1135">IF($Q1135&gt;=0,IFERROR(generateSalesData($D1135, IF(ISNUMBER(_xlfn.XLOOKUP($C1135,Phone_by_Sentiment!$B$2:$B$37,Phone_by_Sentiment!F$2:F$37,"",0,1)),_xlfn.XLOOKUP($C1135,Phone_by_Sentiment!$B$2:$B$37,Phone_by_Sentiment!F$2:F$37,"",0,1),0),$A1135-TEXT(DATEVALUE($D1135&amp;"-01"), "dd-mm-yyyy")),0),0)</f>
        <v>115</v>
      </c>
      <c r="G1135" cm="1">
        <f t="array" ref="G1135">IF($Q1135&gt;=0,IFERROR(generateSalesData($D1135, IF(ISNUMBER(_xlfn.XLOOKUP($C1135,Phone_by_Sentiment!$B$2:$B$37,Phone_by_Sentiment!G$2:G$37,"",0,1)),_xlfn.XLOOKUP($C1135,Phone_by_Sentiment!$B$2:$B$37,Phone_by_Sentiment!G$2:G$37,"",0,1),0),$A1135-TEXT(DATEVALUE($D1135&amp;"-01"), "dd-mm-yyyy")),0),0)</f>
        <v>64</v>
      </c>
      <c r="H1135" cm="1">
        <f t="array" ref="H1135">IF($Q1135&gt;=0,IFERROR(generateSalesData($D1135, IF(ISNUMBER(_xlfn.XLOOKUP($C1135,Phone_by_Sentiment!$B$2:$B$37,Phone_by_Sentiment!H$2:H$37,"",0,1)),_xlfn.XLOOKUP($C1135,Phone_by_Sentiment!$B$2:$B$37,Phone_by_Sentiment!H$2:H$37,"",0,1),0),$A1135-TEXT(DATEVALUE($D1135&amp;"-01"), "dd-mm-yyyy")),0),0)</f>
        <v>277</v>
      </c>
      <c r="I1135" cm="1">
        <f t="array" ref="I1135">IF($Q1135&gt;=0,IFERROR(generateSalesData($D1135, IF(ISNUMBER(_xlfn.XLOOKUP($C1135,Phone_by_Sentiment!$B$2:$B$37,Phone_by_Sentiment!I$2:I$37,"",0,1)),_xlfn.XLOOKUP($C1135,Phone_by_Sentiment!$B$2:$B$37,Phone_by_Sentiment!I$2:I$37,"",0,1),0),$A1135-TEXT(DATEVALUE($D1135&amp;"-01"), "dd-mm-yyyy")),0),0)</f>
        <v>137</v>
      </c>
      <c r="J1135" cm="1">
        <f t="array" ref="J1135">IF($Q1135&gt;=0,IFERROR(generateSalesData($D1135, IF(ISNUMBER(_xlfn.XLOOKUP($C1135,Phone_by_Sentiment!$B$2:$B$37,Phone_by_Sentiment!J$2:J$37,"",0,1)),_xlfn.XLOOKUP($C1135,Phone_by_Sentiment!$B$2:$B$37,Phone_by_Sentiment!J$2:J$37,"",0,1),0),$A1135-TEXT(DATEVALUE($D1135&amp;"-01"), "dd-mm-yyyy")),0),0)</f>
        <v>77</v>
      </c>
      <c r="K1135" cm="1">
        <f t="array" ref="K1135">IF($Q1135&gt;=0,IFERROR(generateSalesData($D1135, IF(ISNUMBER(_xlfn.XLOOKUP($C1135,Phone_by_Sentiment!$B$2:$B$37,Phone_by_Sentiment!K$2:K$37,"",0,1)),_xlfn.XLOOKUP($C1135,Phone_by_Sentiment!$B$2:$B$37,Phone_by_Sentiment!K$2:K$37,"",0,1),0),$A1135-TEXT(DATEVALUE($D1135&amp;"-01"), "dd-mm-yyyy")),0),0)</f>
        <v>164</v>
      </c>
      <c r="L1135" cm="1">
        <f t="array" ref="L1135">IF($Q1135&gt;=0,IFERROR(generateSalesData($D1135, IF(ISNUMBER(_xlfn.XLOOKUP($C1135,Phone_by_Sentiment!$B$2:$B$37,Phone_by_Sentiment!L$2:L$37,"",0,1)),_xlfn.XLOOKUP($C1135,Phone_by_Sentiment!$B$2:$B$37,Phone_by_Sentiment!L$2:L$37,"",0,1),0),$A1135-TEXT(DATEVALUE($D1135&amp;"-01"), "dd-mm-yyyy")),0),0)</f>
        <v>76</v>
      </c>
      <c r="M1135" cm="1">
        <f t="array" ref="M1135">IF($Q1135&gt;=0,IFERROR(generateSalesData($D1135, IF(ISNUMBER(_xlfn.XLOOKUP($C1135,Phone_by_Sentiment!$B$2:$B$37,Phone_by_Sentiment!M$2:M$37,"",0,1)),_xlfn.XLOOKUP($C1135,Phone_by_Sentiment!$B$2:$B$37,Phone_by_Sentiment!M$2:M$37,"",0,1),0),$A1135-TEXT(DATEVALUE($D1135&amp;"-01"), "dd-mm-yyyy")),0),0)</f>
        <v>80</v>
      </c>
      <c r="N1135" cm="1">
        <f t="array" ref="N1135">IF($Q1135&gt;=0,IFERROR(generateSalesData($D1135, IF(ISNUMBER(_xlfn.XLOOKUP($C1135,Phone_by_Sentiment!$B$2:$B$37,Phone_by_Sentiment!N$2:N$37,"",0,1)),_xlfn.XLOOKUP($C1135,Phone_by_Sentiment!$B$2:$B$37,Phone_by_Sentiment!N$2:N$37,"",0,1),0),$A1135-TEXT(DATEVALUE($D1135&amp;"-01"), "dd-mm-yyyy")),0),0)</f>
        <v>72</v>
      </c>
      <c r="O1135" cm="1">
        <f t="array" ref="O1135">IF($Q1135&gt;=0,IFERROR(generateSalesData($D1135, IF(ISNUMBER(_xlfn.XLOOKUP($C1135,Phone_by_Sentiment!$B$2:$B$37,Phone_by_Sentiment!O$2:O$37,"",0,1)),_xlfn.XLOOKUP($C1135,Phone_by_Sentiment!$B$2:$B$37,Phone_by_Sentiment!O$2:O$37,"",0,1),0),$A1135-TEXT(DATEVALUE($D1135&amp;"-01"), "dd-mm-yyyy")),0),0)</f>
        <v>1</v>
      </c>
      <c r="P1135" s="1">
        <f t="shared" si="46"/>
        <v>43862</v>
      </c>
      <c r="Q1135">
        <f t="shared" si="47"/>
        <v>578</v>
      </c>
    </row>
    <row r="1136" spans="1:17" x14ac:dyDescent="0.25">
      <c r="A1136" s="1">
        <f t="shared" si="48"/>
        <v>44440</v>
      </c>
      <c r="B1136" t="s">
        <v>153</v>
      </c>
      <c r="C1136" t="str">
        <f>_xlfn.XLOOKUP(B1136,Phone_by_Price!$A$2:$A$34,Phone_by_Price!$B$2:$B$34,"-",0,1)</f>
        <v>iPhone 13</v>
      </c>
      <c r="D1136" t="str">
        <f>_xlfn.XLOOKUP(C1136,Phone_by_Sentiment!$B$2:$B$37,Phone_by_Sentiment!$A$2:$A$37,"-",0,1)</f>
        <v>2021-09</v>
      </c>
      <c r="E1136" cm="1">
        <f t="array" ref="E1136">IF($Q1136&gt;=0,IFERROR(generateSalesData($D1136, IF(ISNUMBER(_xlfn.XLOOKUP($C1136,Phone_by_Sentiment!$B$2:$B$37,Phone_by_Sentiment!E$2:E$37,"",0,1)),_xlfn.XLOOKUP($C1136,Phone_by_Sentiment!$B$2:$B$37,Phone_by_Sentiment!E$2:E$37,"",0,1),0),$A1136-TEXT(DATEVALUE($D1136&amp;"-01"), "dd-mm-yyyy")),0),0)</f>
        <v>2735</v>
      </c>
      <c r="F1136" cm="1">
        <f t="array" ref="F1136">IF($Q1136&gt;=0,IFERROR(generateSalesData($D1136, IF(ISNUMBER(_xlfn.XLOOKUP($C1136,Phone_by_Sentiment!$B$2:$B$37,Phone_by_Sentiment!F$2:F$37,"",0,1)),_xlfn.XLOOKUP($C1136,Phone_by_Sentiment!$B$2:$B$37,Phone_by_Sentiment!F$2:F$37,"",0,1),0),$A1136-TEXT(DATEVALUE($D1136&amp;"-01"), "dd-mm-yyyy")),0),0)</f>
        <v>1712</v>
      </c>
      <c r="G1136" cm="1">
        <f t="array" ref="G1136">IF($Q1136&gt;=0,IFERROR(generateSalesData($D1136, IF(ISNUMBER(_xlfn.XLOOKUP($C1136,Phone_by_Sentiment!$B$2:$B$37,Phone_by_Sentiment!G$2:G$37,"",0,1)),_xlfn.XLOOKUP($C1136,Phone_by_Sentiment!$B$2:$B$37,Phone_by_Sentiment!G$2:G$37,"",0,1),0),$A1136-TEXT(DATEVALUE($D1136&amp;"-01"), "dd-mm-yyyy")),0),0)</f>
        <v>2710</v>
      </c>
      <c r="H1136" cm="1">
        <f t="array" ref="H1136">IF($Q1136&gt;=0,IFERROR(generateSalesData($D1136, IF(ISNUMBER(_xlfn.XLOOKUP($C1136,Phone_by_Sentiment!$B$2:$B$37,Phone_by_Sentiment!H$2:H$37,"",0,1)),_xlfn.XLOOKUP($C1136,Phone_by_Sentiment!$B$2:$B$37,Phone_by_Sentiment!H$2:H$37,"",0,1),0),$A1136-TEXT(DATEVALUE($D1136&amp;"-01"), "dd-mm-yyyy")),0),0)</f>
        <v>7681</v>
      </c>
      <c r="I1136" cm="1">
        <f t="array" ref="I1136">IF($Q1136&gt;=0,IFERROR(generateSalesData($D1136, IF(ISNUMBER(_xlfn.XLOOKUP($C1136,Phone_by_Sentiment!$B$2:$B$37,Phone_by_Sentiment!I$2:I$37,"",0,1)),_xlfn.XLOOKUP($C1136,Phone_by_Sentiment!$B$2:$B$37,Phone_by_Sentiment!I$2:I$37,"",0,1),0),$A1136-TEXT(DATEVALUE($D1136&amp;"-01"), "dd-mm-yyyy")),0),0)</f>
        <v>1270</v>
      </c>
      <c r="J1136" cm="1">
        <f t="array" ref="J1136">IF($Q1136&gt;=0,IFERROR(generateSalesData($D1136, IF(ISNUMBER(_xlfn.XLOOKUP($C1136,Phone_by_Sentiment!$B$2:$B$37,Phone_by_Sentiment!J$2:J$37,"",0,1)),_xlfn.XLOOKUP($C1136,Phone_by_Sentiment!$B$2:$B$37,Phone_by_Sentiment!J$2:J$37,"",0,1),0),$A1136-TEXT(DATEVALUE($D1136&amp;"-01"), "dd-mm-yyyy")),0),0)</f>
        <v>6912</v>
      </c>
      <c r="K1136" cm="1">
        <f t="array" ref="K1136">IF($Q1136&gt;=0,IFERROR(generateSalesData($D1136, IF(ISNUMBER(_xlfn.XLOOKUP($C1136,Phone_by_Sentiment!$B$2:$B$37,Phone_by_Sentiment!K$2:K$37,"",0,1)),_xlfn.XLOOKUP($C1136,Phone_by_Sentiment!$B$2:$B$37,Phone_by_Sentiment!K$2:K$37,"",0,1),0),$A1136-TEXT(DATEVALUE($D1136&amp;"-01"), "dd-mm-yyyy")),0),0)</f>
        <v>1282</v>
      </c>
      <c r="L1136" cm="1">
        <f t="array" ref="L1136">IF($Q1136&gt;=0,IFERROR(generateSalesData($D1136, IF(ISNUMBER(_xlfn.XLOOKUP($C1136,Phone_by_Sentiment!$B$2:$B$37,Phone_by_Sentiment!L$2:L$37,"",0,1)),_xlfn.XLOOKUP($C1136,Phone_by_Sentiment!$B$2:$B$37,Phone_by_Sentiment!L$2:L$37,"",0,1),0),$A1136-TEXT(DATEVALUE($D1136&amp;"-01"), "dd-mm-yyyy")),0),0)</f>
        <v>2610</v>
      </c>
      <c r="M1136" cm="1">
        <f t="array" ref="M1136">IF($Q1136&gt;=0,IFERROR(generateSalesData($D1136, IF(ISNUMBER(_xlfn.XLOOKUP($C1136,Phone_by_Sentiment!$B$2:$B$37,Phone_by_Sentiment!M$2:M$37,"",0,1)),_xlfn.XLOOKUP($C1136,Phone_by_Sentiment!$B$2:$B$37,Phone_by_Sentiment!M$2:M$37,"",0,1),0),$A1136-TEXT(DATEVALUE($D1136&amp;"-01"), "dd-mm-yyyy")),0),0)</f>
        <v>17356</v>
      </c>
      <c r="N1136" cm="1">
        <f t="array" ref="N1136">IF($Q1136&gt;=0,IFERROR(generateSalesData($D1136, IF(ISNUMBER(_xlfn.XLOOKUP($C1136,Phone_by_Sentiment!$B$2:$B$37,Phone_by_Sentiment!N$2:N$37,"",0,1)),_xlfn.XLOOKUP($C1136,Phone_by_Sentiment!$B$2:$B$37,Phone_by_Sentiment!N$2:N$37,"",0,1),0),$A1136-TEXT(DATEVALUE($D1136&amp;"-01"), "dd-mm-yyyy")),0),0)</f>
        <v>2282</v>
      </c>
      <c r="O1136" cm="1">
        <f t="array" ref="O1136">IF($Q1136&gt;=0,IFERROR(generateSalesData($D1136, IF(ISNUMBER(_xlfn.XLOOKUP($C1136,Phone_by_Sentiment!$B$2:$B$37,Phone_by_Sentiment!O$2:O$37,"",0,1)),_xlfn.XLOOKUP($C1136,Phone_by_Sentiment!$B$2:$B$37,Phone_by_Sentiment!O$2:O$37,"",0,1),0),$A1136-TEXT(DATEVALUE($D1136&amp;"-01"), "dd-mm-yyyy")),0),0)</f>
        <v>5776</v>
      </c>
      <c r="P1136" s="1">
        <f t="shared" si="46"/>
        <v>44440</v>
      </c>
      <c r="Q1136">
        <f t="shared" si="47"/>
        <v>0</v>
      </c>
    </row>
    <row r="1137" spans="1:17" x14ac:dyDescent="0.25">
      <c r="A1137" s="1">
        <f t="shared" si="48"/>
        <v>44440</v>
      </c>
      <c r="B1137" t="s">
        <v>154</v>
      </c>
      <c r="C1137" t="str">
        <f>_xlfn.XLOOKUP(B1137,Phone_by_Price!$A$2:$A$34,Phone_by_Price!$B$2:$B$34,"-",0,1)</f>
        <v>Samsung Galaxy S21</v>
      </c>
      <c r="D1137" t="str">
        <f>_xlfn.XLOOKUP(C1137,Phone_by_Sentiment!$B$2:$B$37,Phone_by_Sentiment!$A$2:$A$37,"-",0,1)</f>
        <v>2021-01</v>
      </c>
      <c r="E1137" cm="1">
        <f t="array" ref="E1137">IF($Q1137&gt;=0,IFERROR(generateSalesData($D1137, IF(ISNUMBER(_xlfn.XLOOKUP($C1137,Phone_by_Sentiment!$B$2:$B$37,Phone_by_Sentiment!E$2:E$37,"",0,1)),_xlfn.XLOOKUP($C1137,Phone_by_Sentiment!$B$2:$B$37,Phone_by_Sentiment!E$2:E$37,"",0,1),0),$A1137-TEXT(DATEVALUE($D1137&amp;"-01"), "dd-mm-yyyy")),0),0)</f>
        <v>1759</v>
      </c>
      <c r="F1137" cm="1">
        <f t="array" ref="F1137">IF($Q1137&gt;=0,IFERROR(generateSalesData($D1137, IF(ISNUMBER(_xlfn.XLOOKUP($C1137,Phone_by_Sentiment!$B$2:$B$37,Phone_by_Sentiment!F$2:F$37,"",0,1)),_xlfn.XLOOKUP($C1137,Phone_by_Sentiment!$B$2:$B$37,Phone_by_Sentiment!F$2:F$37,"",0,1),0),$A1137-TEXT(DATEVALUE($D1137&amp;"-01"), "dd-mm-yyyy")),0),0)</f>
        <v>985</v>
      </c>
      <c r="G1137" cm="1">
        <f t="array" ref="G1137">IF($Q1137&gt;=0,IFERROR(generateSalesData($D1137, IF(ISNUMBER(_xlfn.XLOOKUP($C1137,Phone_by_Sentiment!$B$2:$B$37,Phone_by_Sentiment!G$2:G$37,"",0,1)),_xlfn.XLOOKUP($C1137,Phone_by_Sentiment!$B$2:$B$37,Phone_by_Sentiment!G$2:G$37,"",0,1),0),$A1137-TEXT(DATEVALUE($D1137&amp;"-01"), "dd-mm-yyyy")),0),0)</f>
        <v>299</v>
      </c>
      <c r="H1137" cm="1">
        <f t="array" ref="H1137">IF($Q1137&gt;=0,IFERROR(generateSalesData($D1137, IF(ISNUMBER(_xlfn.XLOOKUP($C1137,Phone_by_Sentiment!$B$2:$B$37,Phone_by_Sentiment!H$2:H$37,"",0,1)),_xlfn.XLOOKUP($C1137,Phone_by_Sentiment!$B$2:$B$37,Phone_by_Sentiment!H$2:H$37,"",0,1),0),$A1137-TEXT(DATEVALUE($D1137&amp;"-01"), "dd-mm-yyyy")),0),0)</f>
        <v>416</v>
      </c>
      <c r="I1137" cm="1">
        <f t="array" ref="I1137">IF($Q1137&gt;=0,IFERROR(generateSalesData($D1137, IF(ISNUMBER(_xlfn.XLOOKUP($C1137,Phone_by_Sentiment!$B$2:$B$37,Phone_by_Sentiment!I$2:I$37,"",0,1)),_xlfn.XLOOKUP($C1137,Phone_by_Sentiment!$B$2:$B$37,Phone_by_Sentiment!I$2:I$37,"",0,1),0),$A1137-TEXT(DATEVALUE($D1137&amp;"-01"), "dd-mm-yyyy")),0),0)</f>
        <v>821</v>
      </c>
      <c r="J1137" cm="1">
        <f t="array" ref="J1137">IF($Q1137&gt;=0,IFERROR(generateSalesData($D1137, IF(ISNUMBER(_xlfn.XLOOKUP($C1137,Phone_by_Sentiment!$B$2:$B$37,Phone_by_Sentiment!J$2:J$37,"",0,1)),_xlfn.XLOOKUP($C1137,Phone_by_Sentiment!$B$2:$B$37,Phone_by_Sentiment!J$2:J$37,"",0,1),0),$A1137-TEXT(DATEVALUE($D1137&amp;"-01"), "dd-mm-yyyy")),0),0)</f>
        <v>895</v>
      </c>
      <c r="K1137" cm="1">
        <f t="array" ref="K1137">IF($Q1137&gt;=0,IFERROR(generateSalesData($D1137, IF(ISNUMBER(_xlfn.XLOOKUP($C1137,Phone_by_Sentiment!$B$2:$B$37,Phone_by_Sentiment!K$2:K$37,"",0,1)),_xlfn.XLOOKUP($C1137,Phone_by_Sentiment!$B$2:$B$37,Phone_by_Sentiment!K$2:K$37,"",0,1),0),$A1137-TEXT(DATEVALUE($D1137&amp;"-01"), "dd-mm-yyyy")),0),0)</f>
        <v>328</v>
      </c>
      <c r="L1137" cm="1">
        <f t="array" ref="L1137">IF($Q1137&gt;=0,IFERROR(generateSalesData($D1137, IF(ISNUMBER(_xlfn.XLOOKUP($C1137,Phone_by_Sentiment!$B$2:$B$37,Phone_by_Sentiment!L$2:L$37,"",0,1)),_xlfn.XLOOKUP($C1137,Phone_by_Sentiment!$B$2:$B$37,Phone_by_Sentiment!L$2:L$37,"",0,1),0),$A1137-TEXT(DATEVALUE($D1137&amp;"-01"), "dd-mm-yyyy")),0),0)</f>
        <v>684</v>
      </c>
      <c r="M1137" cm="1">
        <f t="array" ref="M1137">IF($Q1137&gt;=0,IFERROR(generateSalesData($D1137, IF(ISNUMBER(_xlfn.XLOOKUP($C1137,Phone_by_Sentiment!$B$2:$B$37,Phone_by_Sentiment!M$2:M$37,"",0,1)),_xlfn.XLOOKUP($C1137,Phone_by_Sentiment!$B$2:$B$37,Phone_by_Sentiment!M$2:M$37,"",0,1),0),$A1137-TEXT(DATEVALUE($D1137&amp;"-01"), "dd-mm-yyyy")),0),0)</f>
        <v>469</v>
      </c>
      <c r="N1137" cm="1">
        <f t="array" ref="N1137">IF($Q1137&gt;=0,IFERROR(generateSalesData($D1137, IF(ISNUMBER(_xlfn.XLOOKUP($C1137,Phone_by_Sentiment!$B$2:$B$37,Phone_by_Sentiment!N$2:N$37,"",0,1)),_xlfn.XLOOKUP($C1137,Phone_by_Sentiment!$B$2:$B$37,Phone_by_Sentiment!N$2:N$37,"",0,1),0),$A1137-TEXT(DATEVALUE($D1137&amp;"-01"), "dd-mm-yyyy")),0),0)</f>
        <v>1065</v>
      </c>
      <c r="O1137" cm="1">
        <f t="array" ref="O1137">IF($Q1137&gt;=0,IFERROR(generateSalesData($D1137, IF(ISNUMBER(_xlfn.XLOOKUP($C1137,Phone_by_Sentiment!$B$2:$B$37,Phone_by_Sentiment!O$2:O$37,"",0,1)),_xlfn.XLOOKUP($C1137,Phone_by_Sentiment!$B$2:$B$37,Phone_by_Sentiment!O$2:O$37,"",0,1),0),$A1137-TEXT(DATEVALUE($D1137&amp;"-01"), "dd-mm-yyyy")),0),0)</f>
        <v>596</v>
      </c>
      <c r="P1137" s="1">
        <f t="shared" si="46"/>
        <v>44197</v>
      </c>
      <c r="Q1137">
        <f t="shared" si="47"/>
        <v>243</v>
      </c>
    </row>
    <row r="1138" spans="1:17" x14ac:dyDescent="0.25">
      <c r="A1138" s="1">
        <f t="shared" si="48"/>
        <v>44440</v>
      </c>
      <c r="B1138" t="s">
        <v>155</v>
      </c>
      <c r="C1138" t="str">
        <f>_xlfn.XLOOKUP(B1138,Phone_by_Price!$A$2:$A$34,Phone_by_Price!$B$2:$B$34,"-",0,1)</f>
        <v>Google Pixel 6</v>
      </c>
      <c r="D1138" t="str">
        <f>_xlfn.XLOOKUP(C1138,Phone_by_Sentiment!$B$2:$B$37,Phone_by_Sentiment!$A$2:$A$37,"-",0,1)</f>
        <v>2021-10</v>
      </c>
      <c r="E1138" cm="1">
        <f t="array" ref="E1138">IF($Q1138&gt;=0,IFERROR(generateSalesData($D1138, IF(ISNUMBER(_xlfn.XLOOKUP($C1138,Phone_by_Sentiment!$B$2:$B$37,Phone_by_Sentiment!E$2:E$37,"",0,1)),_xlfn.XLOOKUP($C1138,Phone_by_Sentiment!$B$2:$B$37,Phone_by_Sentiment!E$2:E$37,"",0,1),0),$A1138-TEXT(DATEVALUE($D1138&amp;"-01"), "dd-mm-yyyy")),0),0)</f>
        <v>0</v>
      </c>
      <c r="F1138" cm="1">
        <f t="array" ref="F1138">IF($Q1138&gt;=0,IFERROR(generateSalesData($D1138, IF(ISNUMBER(_xlfn.XLOOKUP($C1138,Phone_by_Sentiment!$B$2:$B$37,Phone_by_Sentiment!F$2:F$37,"",0,1)),_xlfn.XLOOKUP($C1138,Phone_by_Sentiment!$B$2:$B$37,Phone_by_Sentiment!F$2:F$37,"",0,1),0),$A1138-TEXT(DATEVALUE($D1138&amp;"-01"), "dd-mm-yyyy")),0),0)</f>
        <v>0</v>
      </c>
      <c r="G1138" cm="1">
        <f t="array" ref="G1138">IF($Q1138&gt;=0,IFERROR(generateSalesData($D1138, IF(ISNUMBER(_xlfn.XLOOKUP($C1138,Phone_by_Sentiment!$B$2:$B$37,Phone_by_Sentiment!G$2:G$37,"",0,1)),_xlfn.XLOOKUP($C1138,Phone_by_Sentiment!$B$2:$B$37,Phone_by_Sentiment!G$2:G$37,"",0,1),0),$A1138-TEXT(DATEVALUE($D1138&amp;"-01"), "dd-mm-yyyy")),0),0)</f>
        <v>0</v>
      </c>
      <c r="H1138" cm="1">
        <f t="array" ref="H1138">IF($Q1138&gt;=0,IFERROR(generateSalesData($D1138, IF(ISNUMBER(_xlfn.XLOOKUP($C1138,Phone_by_Sentiment!$B$2:$B$37,Phone_by_Sentiment!H$2:H$37,"",0,1)),_xlfn.XLOOKUP($C1138,Phone_by_Sentiment!$B$2:$B$37,Phone_by_Sentiment!H$2:H$37,"",0,1),0),$A1138-TEXT(DATEVALUE($D1138&amp;"-01"), "dd-mm-yyyy")),0),0)</f>
        <v>0</v>
      </c>
      <c r="I1138" cm="1">
        <f t="array" ref="I1138">IF($Q1138&gt;=0,IFERROR(generateSalesData($D1138, IF(ISNUMBER(_xlfn.XLOOKUP($C1138,Phone_by_Sentiment!$B$2:$B$37,Phone_by_Sentiment!I$2:I$37,"",0,1)),_xlfn.XLOOKUP($C1138,Phone_by_Sentiment!$B$2:$B$37,Phone_by_Sentiment!I$2:I$37,"",0,1),0),$A1138-TEXT(DATEVALUE($D1138&amp;"-01"), "dd-mm-yyyy")),0),0)</f>
        <v>0</v>
      </c>
      <c r="J1138" cm="1">
        <f t="array" ref="J1138">IF($Q1138&gt;=0,IFERROR(generateSalesData($D1138, IF(ISNUMBER(_xlfn.XLOOKUP($C1138,Phone_by_Sentiment!$B$2:$B$37,Phone_by_Sentiment!J$2:J$37,"",0,1)),_xlfn.XLOOKUP($C1138,Phone_by_Sentiment!$B$2:$B$37,Phone_by_Sentiment!J$2:J$37,"",0,1),0),$A1138-TEXT(DATEVALUE($D1138&amp;"-01"), "dd-mm-yyyy")),0),0)</f>
        <v>0</v>
      </c>
      <c r="K1138" cm="1">
        <f t="array" ref="K1138">IF($Q1138&gt;=0,IFERROR(generateSalesData($D1138, IF(ISNUMBER(_xlfn.XLOOKUP($C1138,Phone_by_Sentiment!$B$2:$B$37,Phone_by_Sentiment!K$2:K$37,"",0,1)),_xlfn.XLOOKUP($C1138,Phone_by_Sentiment!$B$2:$B$37,Phone_by_Sentiment!K$2:K$37,"",0,1),0),$A1138-TEXT(DATEVALUE($D1138&amp;"-01"), "dd-mm-yyyy")),0),0)</f>
        <v>0</v>
      </c>
      <c r="L1138" cm="1">
        <f t="array" ref="L1138">IF($Q1138&gt;=0,IFERROR(generateSalesData($D1138, IF(ISNUMBER(_xlfn.XLOOKUP($C1138,Phone_by_Sentiment!$B$2:$B$37,Phone_by_Sentiment!L$2:L$37,"",0,1)),_xlfn.XLOOKUP($C1138,Phone_by_Sentiment!$B$2:$B$37,Phone_by_Sentiment!L$2:L$37,"",0,1),0),$A1138-TEXT(DATEVALUE($D1138&amp;"-01"), "dd-mm-yyyy")),0),0)</f>
        <v>0</v>
      </c>
      <c r="M1138" cm="1">
        <f t="array" ref="M1138">IF($Q1138&gt;=0,IFERROR(generateSalesData($D1138, IF(ISNUMBER(_xlfn.XLOOKUP($C1138,Phone_by_Sentiment!$B$2:$B$37,Phone_by_Sentiment!M$2:M$37,"",0,1)),_xlfn.XLOOKUP($C1138,Phone_by_Sentiment!$B$2:$B$37,Phone_by_Sentiment!M$2:M$37,"",0,1),0),$A1138-TEXT(DATEVALUE($D1138&amp;"-01"), "dd-mm-yyyy")),0),0)</f>
        <v>0</v>
      </c>
      <c r="N1138" cm="1">
        <f t="array" ref="N1138">IF($Q1138&gt;=0,IFERROR(generateSalesData($D1138, IF(ISNUMBER(_xlfn.XLOOKUP($C1138,Phone_by_Sentiment!$B$2:$B$37,Phone_by_Sentiment!N$2:N$37,"",0,1)),_xlfn.XLOOKUP($C1138,Phone_by_Sentiment!$B$2:$B$37,Phone_by_Sentiment!N$2:N$37,"",0,1),0),$A1138-TEXT(DATEVALUE($D1138&amp;"-01"), "dd-mm-yyyy")),0),0)</f>
        <v>0</v>
      </c>
      <c r="O1138" cm="1">
        <f t="array" ref="O1138">IF($Q1138&gt;=0,IFERROR(generateSalesData($D1138, IF(ISNUMBER(_xlfn.XLOOKUP($C1138,Phone_by_Sentiment!$B$2:$B$37,Phone_by_Sentiment!O$2:O$37,"",0,1)),_xlfn.XLOOKUP($C1138,Phone_by_Sentiment!$B$2:$B$37,Phone_by_Sentiment!O$2:O$37,"",0,1),0),$A1138-TEXT(DATEVALUE($D1138&amp;"-01"), "dd-mm-yyyy")),0),0)</f>
        <v>0</v>
      </c>
      <c r="P1138" s="1">
        <f t="shared" si="46"/>
        <v>44470</v>
      </c>
      <c r="Q1138">
        <f t="shared" si="47"/>
        <v>-30</v>
      </c>
    </row>
    <row r="1139" spans="1:17" x14ac:dyDescent="0.25">
      <c r="A1139" s="1">
        <f t="shared" si="48"/>
        <v>44440</v>
      </c>
      <c r="B1139" t="s">
        <v>156</v>
      </c>
      <c r="C1139" t="str">
        <f>_xlfn.XLOOKUP(B1139,Phone_by_Price!$A$2:$A$34,Phone_by_Price!$B$2:$B$34,"-",0,1)</f>
        <v>OnePlus Nord CE</v>
      </c>
      <c r="D1139" t="str">
        <f>_xlfn.XLOOKUP(C1139,Phone_by_Sentiment!$B$2:$B$37,Phone_by_Sentiment!$A$2:$A$37,"-",0,1)</f>
        <v>2021-06</v>
      </c>
      <c r="E1139" cm="1">
        <f t="array" ref="E1139">IF($Q1139&gt;=0,IFERROR(generateSalesData($D1139, IF(ISNUMBER(_xlfn.XLOOKUP($C1139,Phone_by_Sentiment!$B$2:$B$37,Phone_by_Sentiment!E$2:E$37,"",0,1)),_xlfn.XLOOKUP($C1139,Phone_by_Sentiment!$B$2:$B$37,Phone_by_Sentiment!E$2:E$37,"",0,1),0),$A1139-TEXT(DATEVALUE($D1139&amp;"-01"), "dd-mm-yyyy")),0),0)</f>
        <v>219</v>
      </c>
      <c r="F1139" cm="1">
        <f t="array" ref="F1139">IF($Q1139&gt;=0,IFERROR(generateSalesData($D1139, IF(ISNUMBER(_xlfn.XLOOKUP($C1139,Phone_by_Sentiment!$B$2:$B$37,Phone_by_Sentiment!F$2:F$37,"",0,1)),_xlfn.XLOOKUP($C1139,Phone_by_Sentiment!$B$2:$B$37,Phone_by_Sentiment!F$2:F$37,"",0,1),0),$A1139-TEXT(DATEVALUE($D1139&amp;"-01"), "dd-mm-yyyy")),0),0)</f>
        <v>237</v>
      </c>
      <c r="G1139" cm="1">
        <f t="array" ref="G1139">IF($Q1139&gt;=0,IFERROR(generateSalesData($D1139, IF(ISNUMBER(_xlfn.XLOOKUP($C1139,Phone_by_Sentiment!$B$2:$B$37,Phone_by_Sentiment!G$2:G$37,"",0,1)),_xlfn.XLOOKUP($C1139,Phone_by_Sentiment!$B$2:$B$37,Phone_by_Sentiment!G$2:G$37,"",0,1),0),$A1139-TEXT(DATEVALUE($D1139&amp;"-01"), "dd-mm-yyyy")),0),0)</f>
        <v>290</v>
      </c>
      <c r="H1139" cm="1">
        <f t="array" ref="H1139">IF($Q1139&gt;=0,IFERROR(generateSalesData($D1139, IF(ISNUMBER(_xlfn.XLOOKUP($C1139,Phone_by_Sentiment!$B$2:$B$37,Phone_by_Sentiment!H$2:H$37,"",0,1)),_xlfn.XLOOKUP($C1139,Phone_by_Sentiment!$B$2:$B$37,Phone_by_Sentiment!H$2:H$37,"",0,1),0),$A1139-TEXT(DATEVALUE($D1139&amp;"-01"), "dd-mm-yyyy")),0),0)</f>
        <v>2248</v>
      </c>
      <c r="I1139" cm="1">
        <f t="array" ref="I1139">IF($Q1139&gt;=0,IFERROR(generateSalesData($D1139, IF(ISNUMBER(_xlfn.XLOOKUP($C1139,Phone_by_Sentiment!$B$2:$B$37,Phone_by_Sentiment!I$2:I$37,"",0,1)),_xlfn.XLOOKUP($C1139,Phone_by_Sentiment!$B$2:$B$37,Phone_by_Sentiment!I$2:I$37,"",0,1),0),$A1139-TEXT(DATEVALUE($D1139&amp;"-01"), "dd-mm-yyyy")),0),0)</f>
        <v>338</v>
      </c>
      <c r="J1139" cm="1">
        <f t="array" ref="J1139">IF($Q1139&gt;=0,IFERROR(generateSalesData($D1139, IF(ISNUMBER(_xlfn.XLOOKUP($C1139,Phone_by_Sentiment!$B$2:$B$37,Phone_by_Sentiment!J$2:J$37,"",0,1)),_xlfn.XLOOKUP($C1139,Phone_by_Sentiment!$B$2:$B$37,Phone_by_Sentiment!J$2:J$37,"",0,1),0),$A1139-TEXT(DATEVALUE($D1139&amp;"-01"), "dd-mm-yyyy")),0),0)</f>
        <v>480</v>
      </c>
      <c r="K1139" cm="1">
        <f t="array" ref="K1139">IF($Q1139&gt;=0,IFERROR(generateSalesData($D1139, IF(ISNUMBER(_xlfn.XLOOKUP($C1139,Phone_by_Sentiment!$B$2:$B$37,Phone_by_Sentiment!K$2:K$37,"",0,1)),_xlfn.XLOOKUP($C1139,Phone_by_Sentiment!$B$2:$B$37,Phone_by_Sentiment!K$2:K$37,"",0,1),0),$A1139-TEXT(DATEVALUE($D1139&amp;"-01"), "dd-mm-yyyy")),0),0)</f>
        <v>111</v>
      </c>
      <c r="L1139" cm="1">
        <f t="array" ref="L1139">IF($Q1139&gt;=0,IFERROR(generateSalesData($D1139, IF(ISNUMBER(_xlfn.XLOOKUP($C1139,Phone_by_Sentiment!$B$2:$B$37,Phone_by_Sentiment!L$2:L$37,"",0,1)),_xlfn.XLOOKUP($C1139,Phone_by_Sentiment!$B$2:$B$37,Phone_by_Sentiment!L$2:L$37,"",0,1),0),$A1139-TEXT(DATEVALUE($D1139&amp;"-01"), "dd-mm-yyyy")),0),0)</f>
        <v>341</v>
      </c>
      <c r="M1139" cm="1">
        <f t="array" ref="M1139">IF($Q1139&gt;=0,IFERROR(generateSalesData($D1139, IF(ISNUMBER(_xlfn.XLOOKUP($C1139,Phone_by_Sentiment!$B$2:$B$37,Phone_by_Sentiment!M$2:M$37,"",0,1)),_xlfn.XLOOKUP($C1139,Phone_by_Sentiment!$B$2:$B$37,Phone_by_Sentiment!M$2:M$37,"",0,1),0),$A1139-TEXT(DATEVALUE($D1139&amp;"-01"), "dd-mm-yyyy")),0),0)</f>
        <v>478</v>
      </c>
      <c r="N1139" cm="1">
        <f t="array" ref="N1139">IF($Q1139&gt;=0,IFERROR(generateSalesData($D1139, IF(ISNUMBER(_xlfn.XLOOKUP($C1139,Phone_by_Sentiment!$B$2:$B$37,Phone_by_Sentiment!N$2:N$37,"",0,1)),_xlfn.XLOOKUP($C1139,Phone_by_Sentiment!$B$2:$B$37,Phone_by_Sentiment!N$2:N$37,"",0,1),0),$A1139-TEXT(DATEVALUE($D1139&amp;"-01"), "dd-mm-yyyy")),0),0)</f>
        <v>523</v>
      </c>
      <c r="O1139" cm="1">
        <f t="array" ref="O1139">IF($Q1139&gt;=0,IFERROR(generateSalesData($D1139, IF(ISNUMBER(_xlfn.XLOOKUP($C1139,Phone_by_Sentiment!$B$2:$B$37,Phone_by_Sentiment!O$2:O$37,"",0,1)),_xlfn.XLOOKUP($C1139,Phone_by_Sentiment!$B$2:$B$37,Phone_by_Sentiment!O$2:O$37,"",0,1),0),$A1139-TEXT(DATEVALUE($D1139&amp;"-01"), "dd-mm-yyyy")),0),0)</f>
        <v>324</v>
      </c>
      <c r="P1139" s="1">
        <f t="shared" si="46"/>
        <v>44348</v>
      </c>
      <c r="Q1139">
        <f t="shared" si="47"/>
        <v>92</v>
      </c>
    </row>
    <row r="1140" spans="1:17" x14ac:dyDescent="0.25">
      <c r="A1140" s="1">
        <f t="shared" si="48"/>
        <v>44440</v>
      </c>
      <c r="B1140" t="s">
        <v>157</v>
      </c>
      <c r="C1140" t="str">
        <f>_xlfn.XLOOKUP(B1140,Phone_by_Price!$A$2:$A$34,Phone_by_Price!$B$2:$B$34,"-",0,1)</f>
        <v>Apple iPhone 13 Pro</v>
      </c>
      <c r="D1140" t="str">
        <f>_xlfn.XLOOKUP(C1140,Phone_by_Sentiment!$B$2:$B$37,Phone_by_Sentiment!$A$2:$A$37,"-",0,1)</f>
        <v>2021-09</v>
      </c>
      <c r="E1140" cm="1">
        <f t="array" ref="E1140">IF($Q1140&gt;=0,IFERROR(generateSalesData($D1140, IF(ISNUMBER(_xlfn.XLOOKUP($C1140,Phone_by_Sentiment!$B$2:$B$37,Phone_by_Sentiment!E$2:E$37,"",0,1)),_xlfn.XLOOKUP($C1140,Phone_by_Sentiment!$B$2:$B$37,Phone_by_Sentiment!E$2:E$37,"",0,1),0),$A1140-TEXT(DATEVALUE($D1140&amp;"-01"), "dd-mm-yyyy")),0),0)</f>
        <v>15170</v>
      </c>
      <c r="F1140" cm="1">
        <f t="array" ref="F1140">IF($Q1140&gt;=0,IFERROR(generateSalesData($D1140, IF(ISNUMBER(_xlfn.XLOOKUP($C1140,Phone_by_Sentiment!$B$2:$B$37,Phone_by_Sentiment!F$2:F$37,"",0,1)),_xlfn.XLOOKUP($C1140,Phone_by_Sentiment!$B$2:$B$37,Phone_by_Sentiment!F$2:F$37,"",0,1),0),$A1140-TEXT(DATEVALUE($D1140&amp;"-01"), "dd-mm-yyyy")),0),0)</f>
        <v>5727</v>
      </c>
      <c r="G1140" cm="1">
        <f t="array" ref="G1140">IF($Q1140&gt;=0,IFERROR(generateSalesData($D1140, IF(ISNUMBER(_xlfn.XLOOKUP($C1140,Phone_by_Sentiment!$B$2:$B$37,Phone_by_Sentiment!G$2:G$37,"",0,1)),_xlfn.XLOOKUP($C1140,Phone_by_Sentiment!$B$2:$B$37,Phone_by_Sentiment!G$2:G$37,"",0,1),0),$A1140-TEXT(DATEVALUE($D1140&amp;"-01"), "dd-mm-yyyy")),0),0)</f>
        <v>2710</v>
      </c>
      <c r="H1140" cm="1">
        <f t="array" ref="H1140">IF($Q1140&gt;=0,IFERROR(generateSalesData($D1140, IF(ISNUMBER(_xlfn.XLOOKUP($C1140,Phone_by_Sentiment!$B$2:$B$37,Phone_by_Sentiment!H$2:H$37,"",0,1)),_xlfn.XLOOKUP($C1140,Phone_by_Sentiment!$B$2:$B$37,Phone_by_Sentiment!H$2:H$37,"",0,1),0),$A1140-TEXT(DATEVALUE($D1140&amp;"-01"), "dd-mm-yyyy")),0),0)</f>
        <v>10686</v>
      </c>
      <c r="I1140" cm="1">
        <f t="array" ref="I1140">IF($Q1140&gt;=0,IFERROR(generateSalesData($D1140, IF(ISNUMBER(_xlfn.XLOOKUP($C1140,Phone_by_Sentiment!$B$2:$B$37,Phone_by_Sentiment!I$2:I$37,"",0,1)),_xlfn.XLOOKUP($C1140,Phone_by_Sentiment!$B$2:$B$37,Phone_by_Sentiment!I$2:I$37,"",0,1),0),$A1140-TEXT(DATEVALUE($D1140&amp;"-01"), "dd-mm-yyyy")),0),0)</f>
        <v>7497</v>
      </c>
      <c r="J1140" cm="1">
        <f t="array" ref="J1140">IF($Q1140&gt;=0,IFERROR(generateSalesData($D1140, IF(ISNUMBER(_xlfn.XLOOKUP($C1140,Phone_by_Sentiment!$B$2:$B$37,Phone_by_Sentiment!J$2:J$37,"",0,1)),_xlfn.XLOOKUP($C1140,Phone_by_Sentiment!$B$2:$B$37,Phone_by_Sentiment!J$2:J$37,"",0,1),0),$A1140-TEXT(DATEVALUE($D1140&amp;"-01"), "dd-mm-yyyy")),0),0)</f>
        <v>8497</v>
      </c>
      <c r="K1140" cm="1">
        <f t="array" ref="K1140">IF($Q1140&gt;=0,IFERROR(generateSalesData($D1140, IF(ISNUMBER(_xlfn.XLOOKUP($C1140,Phone_by_Sentiment!$B$2:$B$37,Phone_by_Sentiment!K$2:K$37,"",0,1)),_xlfn.XLOOKUP($C1140,Phone_by_Sentiment!$B$2:$B$37,Phone_by_Sentiment!K$2:K$37,"",0,1),0),$A1140-TEXT(DATEVALUE($D1140&amp;"-01"), "dd-mm-yyyy")),0),0)</f>
        <v>1453</v>
      </c>
      <c r="L1140" cm="1">
        <f t="array" ref="L1140">IF($Q1140&gt;=0,IFERROR(generateSalesData($D1140, IF(ISNUMBER(_xlfn.XLOOKUP($C1140,Phone_by_Sentiment!$B$2:$B$37,Phone_by_Sentiment!L$2:L$37,"",0,1)),_xlfn.XLOOKUP($C1140,Phone_by_Sentiment!$B$2:$B$37,Phone_by_Sentiment!L$2:L$37,"",0,1),0),$A1140-TEXT(DATEVALUE($D1140&amp;"-01"), "dd-mm-yyyy")),0),0)</f>
        <v>14619</v>
      </c>
      <c r="M1140" cm="1">
        <f t="array" ref="M1140">IF($Q1140&gt;=0,IFERROR(generateSalesData($D1140, IF(ISNUMBER(_xlfn.XLOOKUP($C1140,Phone_by_Sentiment!$B$2:$B$37,Phone_by_Sentiment!M$2:M$37,"",0,1)),_xlfn.XLOOKUP($C1140,Phone_by_Sentiment!$B$2:$B$37,Phone_by_Sentiment!M$2:M$37,"",0,1),0),$A1140-TEXT(DATEVALUE($D1140&amp;"-01"), "dd-mm-yyyy")),0),0)</f>
        <v>2380</v>
      </c>
      <c r="N1140" cm="1">
        <f t="array" ref="N1140">IF($Q1140&gt;=0,IFERROR(generateSalesData($D1140, IF(ISNUMBER(_xlfn.XLOOKUP($C1140,Phone_by_Sentiment!$B$2:$B$37,Phone_by_Sentiment!N$2:N$37,"",0,1)),_xlfn.XLOOKUP($C1140,Phone_by_Sentiment!$B$2:$B$37,Phone_by_Sentiment!N$2:N$37,"",0,1),0),$A1140-TEXT(DATEVALUE($D1140&amp;"-01"), "dd-mm-yyyy")),0),0)</f>
        <v>4042</v>
      </c>
      <c r="O1140" cm="1">
        <f t="array" ref="O1140">IF($Q1140&gt;=0,IFERROR(generateSalesData($D1140, IF(ISNUMBER(_xlfn.XLOOKUP($C1140,Phone_by_Sentiment!$B$2:$B$37,Phone_by_Sentiment!O$2:O$37,"",0,1)),_xlfn.XLOOKUP($C1140,Phone_by_Sentiment!$B$2:$B$37,Phone_by_Sentiment!O$2:O$37,"",0,1),0),$A1140-TEXT(DATEVALUE($D1140&amp;"-01"), "dd-mm-yyyy")),0),0)</f>
        <v>-1822</v>
      </c>
      <c r="P1140" s="1">
        <f t="shared" si="46"/>
        <v>44440</v>
      </c>
      <c r="Q1140">
        <f t="shared" si="47"/>
        <v>0</v>
      </c>
    </row>
    <row r="1141" spans="1:17" x14ac:dyDescent="0.25">
      <c r="A1141" s="1">
        <f t="shared" si="48"/>
        <v>44440</v>
      </c>
      <c r="B1141" t="s">
        <v>158</v>
      </c>
      <c r="C1141" t="str">
        <f>_xlfn.XLOOKUP(B1141,Phone_by_Price!$A$2:$A$34,Phone_by_Price!$B$2:$B$34,"-",0,1)</f>
        <v>Samsung Galaxy A32 5G</v>
      </c>
      <c r="D1141" t="str">
        <f>_xlfn.XLOOKUP(C1141,Phone_by_Sentiment!$B$2:$B$37,Phone_by_Sentiment!$A$2:$A$37,"-",0,1)</f>
        <v>2021-02</v>
      </c>
      <c r="E1141" cm="1">
        <f t="array" ref="E1141">IF($Q1141&gt;=0,IFERROR(generateSalesData($D1141, IF(ISNUMBER(_xlfn.XLOOKUP($C1141,Phone_by_Sentiment!$B$2:$B$37,Phone_by_Sentiment!E$2:E$37,"",0,1)),_xlfn.XLOOKUP($C1141,Phone_by_Sentiment!$B$2:$B$37,Phone_by_Sentiment!E$2:E$37,"",0,1),0),$A1141-TEXT(DATEVALUE($D1141&amp;"-01"), "dd-mm-yyyy")),0),0)</f>
        <v>960</v>
      </c>
      <c r="F1141" cm="1">
        <f t="array" ref="F1141">IF($Q1141&gt;=0,IFERROR(generateSalesData($D1141, IF(ISNUMBER(_xlfn.XLOOKUP($C1141,Phone_by_Sentiment!$B$2:$B$37,Phone_by_Sentiment!F$2:F$37,"",0,1)),_xlfn.XLOOKUP($C1141,Phone_by_Sentiment!$B$2:$B$37,Phone_by_Sentiment!F$2:F$37,"",0,1),0),$A1141-TEXT(DATEVALUE($D1141&amp;"-01"), "dd-mm-yyyy")),0),0)</f>
        <v>1438</v>
      </c>
      <c r="G1141" cm="1">
        <f t="array" ref="G1141">IF($Q1141&gt;=0,IFERROR(generateSalesData($D1141, IF(ISNUMBER(_xlfn.XLOOKUP($C1141,Phone_by_Sentiment!$B$2:$B$37,Phone_by_Sentiment!G$2:G$37,"",0,1)),_xlfn.XLOOKUP($C1141,Phone_by_Sentiment!$B$2:$B$37,Phone_by_Sentiment!G$2:G$37,"",0,1),0),$A1141-TEXT(DATEVALUE($D1141&amp;"-01"), "dd-mm-yyyy")),0),0)</f>
        <v>394</v>
      </c>
      <c r="H1141" cm="1">
        <f t="array" ref="H1141">IF($Q1141&gt;=0,IFERROR(generateSalesData($D1141, IF(ISNUMBER(_xlfn.XLOOKUP($C1141,Phone_by_Sentiment!$B$2:$B$37,Phone_by_Sentiment!H$2:H$37,"",0,1)),_xlfn.XLOOKUP($C1141,Phone_by_Sentiment!$B$2:$B$37,Phone_by_Sentiment!H$2:H$37,"",0,1),0),$A1141-TEXT(DATEVALUE($D1141&amp;"-01"), "dd-mm-yyyy")),0),0)</f>
        <v>889</v>
      </c>
      <c r="I1141" cm="1">
        <f t="array" ref="I1141">IF($Q1141&gt;=0,IFERROR(generateSalesData($D1141, IF(ISNUMBER(_xlfn.XLOOKUP($C1141,Phone_by_Sentiment!$B$2:$B$37,Phone_by_Sentiment!I$2:I$37,"",0,1)),_xlfn.XLOOKUP($C1141,Phone_by_Sentiment!$B$2:$B$37,Phone_by_Sentiment!I$2:I$37,"",0,1),0),$A1141-TEXT(DATEVALUE($D1141&amp;"-01"), "dd-mm-yyyy")),0),0)</f>
        <v>1888</v>
      </c>
      <c r="J1141" cm="1">
        <f t="array" ref="J1141">IF($Q1141&gt;=0,IFERROR(generateSalesData($D1141, IF(ISNUMBER(_xlfn.XLOOKUP($C1141,Phone_by_Sentiment!$B$2:$B$37,Phone_by_Sentiment!J$2:J$37,"",0,1)),_xlfn.XLOOKUP($C1141,Phone_by_Sentiment!$B$2:$B$37,Phone_by_Sentiment!J$2:J$37,"",0,1),0),$A1141-TEXT(DATEVALUE($D1141&amp;"-01"), "dd-mm-yyyy")),0),0)</f>
        <v>1282</v>
      </c>
      <c r="K1141" cm="1">
        <f t="array" ref="K1141">IF($Q1141&gt;=0,IFERROR(generateSalesData($D1141, IF(ISNUMBER(_xlfn.XLOOKUP($C1141,Phone_by_Sentiment!$B$2:$B$37,Phone_by_Sentiment!K$2:K$37,"",0,1)),_xlfn.XLOOKUP($C1141,Phone_by_Sentiment!$B$2:$B$37,Phone_by_Sentiment!K$2:K$37,"",0,1),0),$A1141-TEXT(DATEVALUE($D1141&amp;"-01"), "dd-mm-yyyy")),0),0)</f>
        <v>735</v>
      </c>
      <c r="L1141" cm="1">
        <f t="array" ref="L1141">IF($Q1141&gt;=0,IFERROR(generateSalesData($D1141, IF(ISNUMBER(_xlfn.XLOOKUP($C1141,Phone_by_Sentiment!$B$2:$B$37,Phone_by_Sentiment!L$2:L$37,"",0,1)),_xlfn.XLOOKUP($C1141,Phone_by_Sentiment!$B$2:$B$37,Phone_by_Sentiment!L$2:L$37,"",0,1),0),$A1141-TEXT(DATEVALUE($D1141&amp;"-01"), "dd-mm-yyyy")),0),0)</f>
        <v>572</v>
      </c>
      <c r="M1141" cm="1">
        <f t="array" ref="M1141">IF($Q1141&gt;=0,IFERROR(generateSalesData($D1141, IF(ISNUMBER(_xlfn.XLOOKUP($C1141,Phone_by_Sentiment!$B$2:$B$37,Phone_by_Sentiment!M$2:M$37,"",0,1)),_xlfn.XLOOKUP($C1141,Phone_by_Sentiment!$B$2:$B$37,Phone_by_Sentiment!M$2:M$37,"",0,1),0),$A1141-TEXT(DATEVALUE($D1141&amp;"-01"), "dd-mm-yyyy")),0),0)</f>
        <v>727</v>
      </c>
      <c r="N1141" cm="1">
        <f t="array" ref="N1141">IF($Q1141&gt;=0,IFERROR(generateSalesData($D1141, IF(ISNUMBER(_xlfn.XLOOKUP($C1141,Phone_by_Sentiment!$B$2:$B$37,Phone_by_Sentiment!N$2:N$37,"",0,1)),_xlfn.XLOOKUP($C1141,Phone_by_Sentiment!$B$2:$B$37,Phone_by_Sentiment!N$2:N$37,"",0,1),0),$A1141-TEXT(DATEVALUE($D1141&amp;"-01"), "dd-mm-yyyy")),0),0)</f>
        <v>1014</v>
      </c>
      <c r="O1141" cm="1">
        <f t="array" ref="O1141">IF($Q1141&gt;=0,IFERROR(generateSalesData($D1141, IF(ISNUMBER(_xlfn.XLOOKUP($C1141,Phone_by_Sentiment!$B$2:$B$37,Phone_by_Sentiment!O$2:O$37,"",0,1)),_xlfn.XLOOKUP($C1141,Phone_by_Sentiment!$B$2:$B$37,Phone_by_Sentiment!O$2:O$37,"",0,1),0),$A1141-TEXT(DATEVALUE($D1141&amp;"-01"), "dd-mm-yyyy")),0),0)</f>
        <v>732</v>
      </c>
      <c r="P1141" s="1">
        <f t="shared" si="46"/>
        <v>44228</v>
      </c>
      <c r="Q1141">
        <f t="shared" si="47"/>
        <v>212</v>
      </c>
    </row>
    <row r="1142" spans="1:17" x14ac:dyDescent="0.25">
      <c r="A1142" s="1">
        <f t="shared" si="48"/>
        <v>44440</v>
      </c>
      <c r="B1142" t="s">
        <v>159</v>
      </c>
      <c r="C1142" t="str">
        <f>_xlfn.XLOOKUP(B1142,Phone_by_Price!$A$2:$A$34,Phone_by_Price!$B$2:$B$34,"-",0,1)</f>
        <v>Realme C25</v>
      </c>
      <c r="D1142" t="str">
        <f>_xlfn.XLOOKUP(C1142,Phone_by_Sentiment!$B$2:$B$37,Phone_by_Sentiment!$A$2:$A$37,"-",0,1)</f>
        <v>2021-03</v>
      </c>
      <c r="E1142" cm="1">
        <f t="array" ref="E1142">IF($Q1142&gt;=0,IFERROR(generateSalesData($D1142, IF(ISNUMBER(_xlfn.XLOOKUP($C1142,Phone_by_Sentiment!$B$2:$B$37,Phone_by_Sentiment!E$2:E$37,"",0,1)),_xlfn.XLOOKUP($C1142,Phone_by_Sentiment!$B$2:$B$37,Phone_by_Sentiment!E$2:E$37,"",0,1),0),$A1142-TEXT(DATEVALUE($D1142&amp;"-01"), "dd-mm-yyyy")),0),0)</f>
        <v>410</v>
      </c>
      <c r="F1142" cm="1">
        <f t="array" ref="F1142">IF($Q1142&gt;=0,IFERROR(generateSalesData($D1142, IF(ISNUMBER(_xlfn.XLOOKUP($C1142,Phone_by_Sentiment!$B$2:$B$37,Phone_by_Sentiment!F$2:F$37,"",0,1)),_xlfn.XLOOKUP($C1142,Phone_by_Sentiment!$B$2:$B$37,Phone_by_Sentiment!F$2:F$37,"",0,1),0),$A1142-TEXT(DATEVALUE($D1142&amp;"-01"), "dd-mm-yyyy")),0),0)</f>
        <v>795</v>
      </c>
      <c r="G1142" cm="1">
        <f t="array" ref="G1142">IF($Q1142&gt;=0,IFERROR(generateSalesData($D1142, IF(ISNUMBER(_xlfn.XLOOKUP($C1142,Phone_by_Sentiment!$B$2:$B$37,Phone_by_Sentiment!G$2:G$37,"",0,1)),_xlfn.XLOOKUP($C1142,Phone_by_Sentiment!$B$2:$B$37,Phone_by_Sentiment!G$2:G$37,"",0,1),0),$A1142-TEXT(DATEVALUE($D1142&amp;"-01"), "dd-mm-yyyy")),0),0)</f>
        <v>308</v>
      </c>
      <c r="H1142" cm="1">
        <f t="array" ref="H1142">IF($Q1142&gt;=0,IFERROR(generateSalesData($D1142, IF(ISNUMBER(_xlfn.XLOOKUP($C1142,Phone_by_Sentiment!$B$2:$B$37,Phone_by_Sentiment!H$2:H$37,"",0,1)),_xlfn.XLOOKUP($C1142,Phone_by_Sentiment!$B$2:$B$37,Phone_by_Sentiment!H$2:H$37,"",0,1),0),$A1142-TEXT(DATEVALUE($D1142&amp;"-01"), "dd-mm-yyyy")),0),0)</f>
        <v>822</v>
      </c>
      <c r="I1142" cm="1">
        <f t="array" ref="I1142">IF($Q1142&gt;=0,IFERROR(generateSalesData($D1142, IF(ISNUMBER(_xlfn.XLOOKUP($C1142,Phone_by_Sentiment!$B$2:$B$37,Phone_by_Sentiment!I$2:I$37,"",0,1)),_xlfn.XLOOKUP($C1142,Phone_by_Sentiment!$B$2:$B$37,Phone_by_Sentiment!I$2:I$37,"",0,1),0),$A1142-TEXT(DATEVALUE($D1142&amp;"-01"), "dd-mm-yyyy")),0),0)</f>
        <v>765</v>
      </c>
      <c r="J1142" cm="1">
        <f t="array" ref="J1142">IF($Q1142&gt;=0,IFERROR(generateSalesData($D1142, IF(ISNUMBER(_xlfn.XLOOKUP($C1142,Phone_by_Sentiment!$B$2:$B$37,Phone_by_Sentiment!J$2:J$37,"",0,1)),_xlfn.XLOOKUP($C1142,Phone_by_Sentiment!$B$2:$B$37,Phone_by_Sentiment!J$2:J$37,"",0,1),0),$A1142-TEXT(DATEVALUE($D1142&amp;"-01"), "dd-mm-yyyy")),0),0)</f>
        <v>442</v>
      </c>
      <c r="K1142" cm="1">
        <f t="array" ref="K1142">IF($Q1142&gt;=0,IFERROR(generateSalesData($D1142, IF(ISNUMBER(_xlfn.XLOOKUP($C1142,Phone_by_Sentiment!$B$2:$B$37,Phone_by_Sentiment!K$2:K$37,"",0,1)),_xlfn.XLOOKUP($C1142,Phone_by_Sentiment!$B$2:$B$37,Phone_by_Sentiment!K$2:K$37,"",0,1),0),$A1142-TEXT(DATEVALUE($D1142&amp;"-01"), "dd-mm-yyyy")),0),0)</f>
        <v>1214</v>
      </c>
      <c r="L1142" cm="1">
        <f t="array" ref="L1142">IF($Q1142&gt;=0,IFERROR(generateSalesData($D1142, IF(ISNUMBER(_xlfn.XLOOKUP($C1142,Phone_by_Sentiment!$B$2:$B$37,Phone_by_Sentiment!L$2:L$37,"",0,1)),_xlfn.XLOOKUP($C1142,Phone_by_Sentiment!$B$2:$B$37,Phone_by_Sentiment!L$2:L$37,"",0,1),0),$A1142-TEXT(DATEVALUE($D1142&amp;"-01"), "dd-mm-yyyy")),0),0)</f>
        <v>1479</v>
      </c>
      <c r="M1142" cm="1">
        <f t="array" ref="M1142">IF($Q1142&gt;=0,IFERROR(generateSalesData($D1142, IF(ISNUMBER(_xlfn.XLOOKUP($C1142,Phone_by_Sentiment!$B$2:$B$37,Phone_by_Sentiment!M$2:M$37,"",0,1)),_xlfn.XLOOKUP($C1142,Phone_by_Sentiment!$B$2:$B$37,Phone_by_Sentiment!M$2:M$37,"",0,1),0),$A1142-TEXT(DATEVALUE($D1142&amp;"-01"), "dd-mm-yyyy")),0),0)</f>
        <v>343</v>
      </c>
      <c r="N1142" cm="1">
        <f t="array" ref="N1142">IF($Q1142&gt;=0,IFERROR(generateSalesData($D1142, IF(ISNUMBER(_xlfn.XLOOKUP($C1142,Phone_by_Sentiment!$B$2:$B$37,Phone_by_Sentiment!N$2:N$37,"",0,1)),_xlfn.XLOOKUP($C1142,Phone_by_Sentiment!$B$2:$B$37,Phone_by_Sentiment!N$2:N$37,"",0,1),0),$A1142-TEXT(DATEVALUE($D1142&amp;"-01"), "dd-mm-yyyy")),0),0)</f>
        <v>871</v>
      </c>
      <c r="O1142" cm="1">
        <f t="array" ref="O1142">IF($Q1142&gt;=0,IFERROR(generateSalesData($D1142, IF(ISNUMBER(_xlfn.XLOOKUP($C1142,Phone_by_Sentiment!$B$2:$B$37,Phone_by_Sentiment!O$2:O$37,"",0,1)),_xlfn.XLOOKUP($C1142,Phone_by_Sentiment!$B$2:$B$37,Phone_by_Sentiment!O$2:O$37,"",0,1),0),$A1142-TEXT(DATEVALUE($D1142&amp;"-01"), "dd-mm-yyyy")),0),0)</f>
        <v>147</v>
      </c>
      <c r="P1142" s="1">
        <f t="shared" si="46"/>
        <v>44256</v>
      </c>
      <c r="Q1142">
        <f t="shared" si="47"/>
        <v>184</v>
      </c>
    </row>
    <row r="1143" spans="1:17" x14ac:dyDescent="0.25">
      <c r="A1143" s="1">
        <f t="shared" si="48"/>
        <v>44440</v>
      </c>
      <c r="B1143" t="s">
        <v>160</v>
      </c>
      <c r="C1143" t="str">
        <f>_xlfn.XLOOKUP(B1143,Phone_by_Price!$A$2:$A$34,Phone_by_Price!$B$2:$B$34,"-",0,1)</f>
        <v>Xiaomi Poco X3 Pro</v>
      </c>
      <c r="D1143" t="str">
        <f>_xlfn.XLOOKUP(C1143,Phone_by_Sentiment!$B$2:$B$37,Phone_by_Sentiment!$A$2:$A$37,"-",0,1)</f>
        <v>2021-05</v>
      </c>
      <c r="E1143" cm="1">
        <f t="array" ref="E1143">IF($Q1143&gt;=0,IFERROR(generateSalesData($D1143, IF(ISNUMBER(_xlfn.XLOOKUP($C1143,Phone_by_Sentiment!$B$2:$B$37,Phone_by_Sentiment!E$2:E$37,"",0,1)),_xlfn.XLOOKUP($C1143,Phone_by_Sentiment!$B$2:$B$37,Phone_by_Sentiment!E$2:E$37,"",0,1),0),$A1143-TEXT(DATEVALUE($D1143&amp;"-01"), "dd-mm-yyyy")),0),0)</f>
        <v>1559</v>
      </c>
      <c r="F1143" cm="1">
        <f t="array" ref="F1143">IF($Q1143&gt;=0,IFERROR(generateSalesData($D1143, IF(ISNUMBER(_xlfn.XLOOKUP($C1143,Phone_by_Sentiment!$B$2:$B$37,Phone_by_Sentiment!F$2:F$37,"",0,1)),_xlfn.XLOOKUP($C1143,Phone_by_Sentiment!$B$2:$B$37,Phone_by_Sentiment!F$2:F$37,"",0,1),0),$A1143-TEXT(DATEVALUE($D1143&amp;"-01"), "dd-mm-yyyy")),0),0)</f>
        <v>333</v>
      </c>
      <c r="G1143" cm="1">
        <f t="array" ref="G1143">IF($Q1143&gt;=0,IFERROR(generateSalesData($D1143, IF(ISNUMBER(_xlfn.XLOOKUP($C1143,Phone_by_Sentiment!$B$2:$B$37,Phone_by_Sentiment!G$2:G$37,"",0,1)),_xlfn.XLOOKUP($C1143,Phone_by_Sentiment!$B$2:$B$37,Phone_by_Sentiment!G$2:G$37,"",0,1),0),$A1143-TEXT(DATEVALUE($D1143&amp;"-01"), "dd-mm-yyyy")),0),0)</f>
        <v>23</v>
      </c>
      <c r="H1143" cm="1">
        <f t="array" ref="H1143">IF($Q1143&gt;=0,IFERROR(generateSalesData($D1143, IF(ISNUMBER(_xlfn.XLOOKUP($C1143,Phone_by_Sentiment!$B$2:$B$37,Phone_by_Sentiment!H$2:H$37,"",0,1)),_xlfn.XLOOKUP($C1143,Phone_by_Sentiment!$B$2:$B$37,Phone_by_Sentiment!H$2:H$37,"",0,1),0),$A1143-TEXT(DATEVALUE($D1143&amp;"-01"), "dd-mm-yyyy")),0),0)</f>
        <v>960</v>
      </c>
      <c r="I1143" cm="1">
        <f t="array" ref="I1143">IF($Q1143&gt;=0,IFERROR(generateSalesData($D1143, IF(ISNUMBER(_xlfn.XLOOKUP($C1143,Phone_by_Sentiment!$B$2:$B$37,Phone_by_Sentiment!I$2:I$37,"",0,1)),_xlfn.XLOOKUP($C1143,Phone_by_Sentiment!$B$2:$B$37,Phone_by_Sentiment!I$2:I$37,"",0,1),0),$A1143-TEXT(DATEVALUE($D1143&amp;"-01"), "dd-mm-yyyy")),0),0)</f>
        <v>2592</v>
      </c>
      <c r="J1143" cm="1">
        <f t="array" ref="J1143">IF($Q1143&gt;=0,IFERROR(generateSalesData($D1143, IF(ISNUMBER(_xlfn.XLOOKUP($C1143,Phone_by_Sentiment!$B$2:$B$37,Phone_by_Sentiment!J$2:J$37,"",0,1)),_xlfn.XLOOKUP($C1143,Phone_by_Sentiment!$B$2:$B$37,Phone_by_Sentiment!J$2:J$37,"",0,1),0),$A1143-TEXT(DATEVALUE($D1143&amp;"-01"), "dd-mm-yyyy")),0),0)</f>
        <v>712</v>
      </c>
      <c r="K1143" cm="1">
        <f t="array" ref="K1143">IF($Q1143&gt;=0,IFERROR(generateSalesData($D1143, IF(ISNUMBER(_xlfn.XLOOKUP($C1143,Phone_by_Sentiment!$B$2:$B$37,Phone_by_Sentiment!K$2:K$37,"",0,1)),_xlfn.XLOOKUP($C1143,Phone_by_Sentiment!$B$2:$B$37,Phone_by_Sentiment!K$2:K$37,"",0,1),0),$A1143-TEXT(DATEVALUE($D1143&amp;"-01"), "dd-mm-yyyy")),0),0)</f>
        <v>2109</v>
      </c>
      <c r="L1143" cm="1">
        <f t="array" ref="L1143">IF($Q1143&gt;=0,IFERROR(generateSalesData($D1143, IF(ISNUMBER(_xlfn.XLOOKUP($C1143,Phone_by_Sentiment!$B$2:$B$37,Phone_by_Sentiment!L$2:L$37,"",0,1)),_xlfn.XLOOKUP($C1143,Phone_by_Sentiment!$B$2:$B$37,Phone_by_Sentiment!L$2:L$37,"",0,1),0),$A1143-TEXT(DATEVALUE($D1143&amp;"-01"), "dd-mm-yyyy")),0),0)</f>
        <v>701</v>
      </c>
      <c r="M1143" cm="1">
        <f t="array" ref="M1143">IF($Q1143&gt;=0,IFERROR(generateSalesData($D1143, IF(ISNUMBER(_xlfn.XLOOKUP($C1143,Phone_by_Sentiment!$B$2:$B$37,Phone_by_Sentiment!M$2:M$37,"",0,1)),_xlfn.XLOOKUP($C1143,Phone_by_Sentiment!$B$2:$B$37,Phone_by_Sentiment!M$2:M$37,"",0,1),0),$A1143-TEXT(DATEVALUE($D1143&amp;"-01"), "dd-mm-yyyy")),0),0)</f>
        <v>2190</v>
      </c>
      <c r="N1143" cm="1">
        <f t="array" ref="N1143">IF($Q1143&gt;=0,IFERROR(generateSalesData($D1143, IF(ISNUMBER(_xlfn.XLOOKUP($C1143,Phone_by_Sentiment!$B$2:$B$37,Phone_by_Sentiment!N$2:N$37,"",0,1)),_xlfn.XLOOKUP($C1143,Phone_by_Sentiment!$B$2:$B$37,Phone_by_Sentiment!N$2:N$37,"",0,1),0),$A1143-TEXT(DATEVALUE($D1143&amp;"-01"), "dd-mm-yyyy")),0),0)</f>
        <v>143</v>
      </c>
      <c r="O1143" cm="1">
        <f t="array" ref="O1143">IF($Q1143&gt;=0,IFERROR(generateSalesData($D1143, IF(ISNUMBER(_xlfn.XLOOKUP($C1143,Phone_by_Sentiment!$B$2:$B$37,Phone_by_Sentiment!O$2:O$37,"",0,1)),_xlfn.XLOOKUP($C1143,Phone_by_Sentiment!$B$2:$B$37,Phone_by_Sentiment!O$2:O$37,"",0,1),0),$A1143-TEXT(DATEVALUE($D1143&amp;"-01"), "dd-mm-yyyy")),0),0)</f>
        <v>1906</v>
      </c>
      <c r="P1143" s="1">
        <f t="shared" si="46"/>
        <v>44317</v>
      </c>
      <c r="Q1143">
        <f t="shared" si="47"/>
        <v>123</v>
      </c>
    </row>
    <row r="1144" spans="1:17" x14ac:dyDescent="0.25">
      <c r="A1144" s="1">
        <f t="shared" si="48"/>
        <v>44440</v>
      </c>
      <c r="B1144" t="s">
        <v>161</v>
      </c>
      <c r="C1144" t="str">
        <f>_xlfn.XLOOKUP(B1144,Phone_by_Price!$A$2:$A$34,Phone_by_Price!$B$2:$B$34,"-",0,1)</f>
        <v>Samsung Galaxy Z Flip 3</v>
      </c>
      <c r="D1144" t="str">
        <f>_xlfn.XLOOKUP(C1144,Phone_by_Sentiment!$B$2:$B$37,Phone_by_Sentiment!$A$2:$A$37,"-",0,1)</f>
        <v>2021-09</v>
      </c>
      <c r="E1144" cm="1">
        <f t="array" ref="E1144">IF($Q1144&gt;=0,IFERROR(generateSalesData($D1144, IF(ISNUMBER(_xlfn.XLOOKUP($C1144,Phone_by_Sentiment!$B$2:$B$37,Phone_by_Sentiment!E$2:E$37,"",0,1)),_xlfn.XLOOKUP($C1144,Phone_by_Sentiment!$B$2:$B$37,Phone_by_Sentiment!E$2:E$37,"",0,1),0),$A1144-TEXT(DATEVALUE($D1144&amp;"-01"), "dd-mm-yyyy")),0),0)</f>
        <v>8094</v>
      </c>
      <c r="F1144" cm="1">
        <f t="array" ref="F1144">IF($Q1144&gt;=0,IFERROR(generateSalesData($D1144, IF(ISNUMBER(_xlfn.XLOOKUP($C1144,Phone_by_Sentiment!$B$2:$B$37,Phone_by_Sentiment!F$2:F$37,"",0,1)),_xlfn.XLOOKUP($C1144,Phone_by_Sentiment!$B$2:$B$37,Phone_by_Sentiment!F$2:F$37,"",0,1),0),$A1144-TEXT(DATEVALUE($D1144&amp;"-01"), "dd-mm-yyyy")),0),0)</f>
        <v>14348</v>
      </c>
      <c r="G1144" cm="1">
        <f t="array" ref="G1144">IF($Q1144&gt;=0,IFERROR(generateSalesData($D1144, IF(ISNUMBER(_xlfn.XLOOKUP($C1144,Phone_by_Sentiment!$B$2:$B$37,Phone_by_Sentiment!G$2:G$37,"",0,1)),_xlfn.XLOOKUP($C1144,Phone_by_Sentiment!$B$2:$B$37,Phone_by_Sentiment!G$2:G$37,"",0,1),0),$A1144-TEXT(DATEVALUE($D1144&amp;"-01"), "dd-mm-yyyy")),0),0)</f>
        <v>2914</v>
      </c>
      <c r="H1144" cm="1">
        <f t="array" ref="H1144">IF($Q1144&gt;=0,IFERROR(generateSalesData($D1144, IF(ISNUMBER(_xlfn.XLOOKUP($C1144,Phone_by_Sentiment!$B$2:$B$37,Phone_by_Sentiment!H$2:H$37,"",0,1)),_xlfn.XLOOKUP($C1144,Phone_by_Sentiment!$B$2:$B$37,Phone_by_Sentiment!H$2:H$37,"",0,1),0),$A1144-TEXT(DATEVALUE($D1144&amp;"-01"), "dd-mm-yyyy")),0),0)</f>
        <v>7504</v>
      </c>
      <c r="I1144" cm="1">
        <f t="array" ref="I1144">IF($Q1144&gt;=0,IFERROR(generateSalesData($D1144, IF(ISNUMBER(_xlfn.XLOOKUP($C1144,Phone_by_Sentiment!$B$2:$B$37,Phone_by_Sentiment!I$2:I$37,"",0,1)),_xlfn.XLOOKUP($C1144,Phone_by_Sentiment!$B$2:$B$37,Phone_by_Sentiment!I$2:I$37,"",0,1),0),$A1144-TEXT(DATEVALUE($D1144&amp;"-01"), "dd-mm-yyyy")),0),0)</f>
        <v>14967</v>
      </c>
      <c r="J1144" cm="1">
        <f t="array" ref="J1144">IF($Q1144&gt;=0,IFERROR(generateSalesData($D1144, IF(ISNUMBER(_xlfn.XLOOKUP($C1144,Phone_by_Sentiment!$B$2:$B$37,Phone_by_Sentiment!J$2:J$37,"",0,1)),_xlfn.XLOOKUP($C1144,Phone_by_Sentiment!$B$2:$B$37,Phone_by_Sentiment!J$2:J$37,"",0,1),0),$A1144-TEXT(DATEVALUE($D1144&amp;"-01"), "dd-mm-yyyy")),0),0)</f>
        <v>7345</v>
      </c>
      <c r="K1144" cm="1">
        <f t="array" ref="K1144">IF($Q1144&gt;=0,IFERROR(generateSalesData($D1144, IF(ISNUMBER(_xlfn.XLOOKUP($C1144,Phone_by_Sentiment!$B$2:$B$37,Phone_by_Sentiment!K$2:K$37,"",0,1)),_xlfn.XLOOKUP($C1144,Phone_by_Sentiment!$B$2:$B$37,Phone_by_Sentiment!K$2:K$37,"",0,1),0),$A1144-TEXT(DATEVALUE($D1144&amp;"-01"), "dd-mm-yyyy")),0),0)</f>
        <v>13114</v>
      </c>
      <c r="L1144" cm="1">
        <f t="array" ref="L1144">IF($Q1144&gt;=0,IFERROR(generateSalesData($D1144, IF(ISNUMBER(_xlfn.XLOOKUP($C1144,Phone_by_Sentiment!$B$2:$B$37,Phone_by_Sentiment!L$2:L$37,"",0,1)),_xlfn.XLOOKUP($C1144,Phone_by_Sentiment!$B$2:$B$37,Phone_by_Sentiment!L$2:L$37,"",0,1),0),$A1144-TEXT(DATEVALUE($D1144&amp;"-01"), "dd-mm-yyyy")),0),0)</f>
        <v>15043</v>
      </c>
      <c r="M1144" cm="1">
        <f t="array" ref="M1144">IF($Q1144&gt;=0,IFERROR(generateSalesData($D1144, IF(ISNUMBER(_xlfn.XLOOKUP($C1144,Phone_by_Sentiment!$B$2:$B$37,Phone_by_Sentiment!M$2:M$37,"",0,1)),_xlfn.XLOOKUP($C1144,Phone_by_Sentiment!$B$2:$B$37,Phone_by_Sentiment!M$2:M$37,"",0,1),0),$A1144-TEXT(DATEVALUE($D1144&amp;"-01"), "dd-mm-yyyy")),0),0)</f>
        <v>9377</v>
      </c>
      <c r="N1144" cm="1">
        <f t="array" ref="N1144">IF($Q1144&gt;=0,IFERROR(generateSalesData($D1144, IF(ISNUMBER(_xlfn.XLOOKUP($C1144,Phone_by_Sentiment!$B$2:$B$37,Phone_by_Sentiment!N$2:N$37,"",0,1)),_xlfn.XLOOKUP($C1144,Phone_by_Sentiment!$B$2:$B$37,Phone_by_Sentiment!N$2:N$37,"",0,1),0),$A1144-TEXT(DATEVALUE($D1144&amp;"-01"), "dd-mm-yyyy")),0),0)</f>
        <v>7955</v>
      </c>
      <c r="O1144" cm="1">
        <f t="array" ref="O1144">IF($Q1144&gt;=0,IFERROR(generateSalesData($D1144, IF(ISNUMBER(_xlfn.XLOOKUP($C1144,Phone_by_Sentiment!$B$2:$B$37,Phone_by_Sentiment!O$2:O$37,"",0,1)),_xlfn.XLOOKUP($C1144,Phone_by_Sentiment!$B$2:$B$37,Phone_by_Sentiment!O$2:O$37,"",0,1),0),$A1144-TEXT(DATEVALUE($D1144&amp;"-01"), "dd-mm-yyyy")),0),0)</f>
        <v>5929</v>
      </c>
      <c r="P1144" s="1">
        <f t="shared" si="46"/>
        <v>44440</v>
      </c>
      <c r="Q1144">
        <f t="shared" si="47"/>
        <v>0</v>
      </c>
    </row>
    <row r="1145" spans="1:17" x14ac:dyDescent="0.25">
      <c r="A1145" s="1">
        <f t="shared" si="48"/>
        <v>44440</v>
      </c>
      <c r="B1145" t="s">
        <v>162</v>
      </c>
      <c r="C1145" t="str">
        <f>_xlfn.XLOOKUP(B1145,Phone_by_Price!$A$2:$A$34,Phone_by_Price!$B$2:$B$34,"-",0,1)</f>
        <v>Xiaomi Poco X3 NFC</v>
      </c>
      <c r="D1145" t="str">
        <f>_xlfn.XLOOKUP(C1145,Phone_by_Sentiment!$B$2:$B$37,Phone_by_Sentiment!$A$2:$A$37,"-",0,1)</f>
        <v>2020-08</v>
      </c>
      <c r="E1145" cm="1">
        <f t="array" ref="E1145">IF($Q1145&gt;=0,IFERROR(generateSalesData($D1145, IF(ISNUMBER(_xlfn.XLOOKUP($C1145,Phone_by_Sentiment!$B$2:$B$37,Phone_by_Sentiment!E$2:E$37,"",0,1)),_xlfn.XLOOKUP($C1145,Phone_by_Sentiment!$B$2:$B$37,Phone_by_Sentiment!E$2:E$37,"",0,1),0),$A1145-TEXT(DATEVALUE($D1145&amp;"-01"), "dd-mm-yyyy")),0),0)</f>
        <v>72</v>
      </c>
      <c r="F1145" cm="1">
        <f t="array" ref="F1145">IF($Q1145&gt;=0,IFERROR(generateSalesData($D1145, IF(ISNUMBER(_xlfn.XLOOKUP($C1145,Phone_by_Sentiment!$B$2:$B$37,Phone_by_Sentiment!F$2:F$37,"",0,1)),_xlfn.XLOOKUP($C1145,Phone_by_Sentiment!$B$2:$B$37,Phone_by_Sentiment!F$2:F$37,"",0,1),0),$A1145-TEXT(DATEVALUE($D1145&amp;"-01"), "dd-mm-yyyy")),0),0)</f>
        <v>245</v>
      </c>
      <c r="G1145" cm="1">
        <f t="array" ref="G1145">IF($Q1145&gt;=0,IFERROR(generateSalesData($D1145, IF(ISNUMBER(_xlfn.XLOOKUP($C1145,Phone_by_Sentiment!$B$2:$B$37,Phone_by_Sentiment!G$2:G$37,"",0,1)),_xlfn.XLOOKUP($C1145,Phone_by_Sentiment!$B$2:$B$37,Phone_by_Sentiment!G$2:G$37,"",0,1),0),$A1145-TEXT(DATEVALUE($D1145&amp;"-01"), "dd-mm-yyyy")),0),0)</f>
        <v>108</v>
      </c>
      <c r="H1145" cm="1">
        <f t="array" ref="H1145">IF($Q1145&gt;=0,IFERROR(generateSalesData($D1145, IF(ISNUMBER(_xlfn.XLOOKUP($C1145,Phone_by_Sentiment!$B$2:$B$37,Phone_by_Sentiment!H$2:H$37,"",0,1)),_xlfn.XLOOKUP($C1145,Phone_by_Sentiment!$B$2:$B$37,Phone_by_Sentiment!H$2:H$37,"",0,1),0),$A1145-TEXT(DATEVALUE($D1145&amp;"-01"), "dd-mm-yyyy")),0),0)</f>
        <v>167</v>
      </c>
      <c r="I1145" cm="1">
        <f t="array" ref="I1145">IF($Q1145&gt;=0,IFERROR(generateSalesData($D1145, IF(ISNUMBER(_xlfn.XLOOKUP($C1145,Phone_by_Sentiment!$B$2:$B$37,Phone_by_Sentiment!I$2:I$37,"",0,1)),_xlfn.XLOOKUP($C1145,Phone_by_Sentiment!$B$2:$B$37,Phone_by_Sentiment!I$2:I$37,"",0,1),0),$A1145-TEXT(DATEVALUE($D1145&amp;"-01"), "dd-mm-yyyy")),0),0)</f>
        <v>132</v>
      </c>
      <c r="J1145" cm="1">
        <f t="array" ref="J1145">IF($Q1145&gt;=0,IFERROR(generateSalesData($D1145, IF(ISNUMBER(_xlfn.XLOOKUP($C1145,Phone_by_Sentiment!$B$2:$B$37,Phone_by_Sentiment!J$2:J$37,"",0,1)),_xlfn.XLOOKUP($C1145,Phone_by_Sentiment!$B$2:$B$37,Phone_by_Sentiment!J$2:J$37,"",0,1),0),$A1145-TEXT(DATEVALUE($D1145&amp;"-01"), "dd-mm-yyyy")),0),0)</f>
        <v>196</v>
      </c>
      <c r="K1145" cm="1">
        <f t="array" ref="K1145">IF($Q1145&gt;=0,IFERROR(generateSalesData($D1145, IF(ISNUMBER(_xlfn.XLOOKUP($C1145,Phone_by_Sentiment!$B$2:$B$37,Phone_by_Sentiment!K$2:K$37,"",0,1)),_xlfn.XLOOKUP($C1145,Phone_by_Sentiment!$B$2:$B$37,Phone_by_Sentiment!K$2:K$37,"",0,1),0),$A1145-TEXT(DATEVALUE($D1145&amp;"-01"), "dd-mm-yyyy")),0),0)</f>
        <v>975</v>
      </c>
      <c r="L1145" cm="1">
        <f t="array" ref="L1145">IF($Q1145&gt;=0,IFERROR(generateSalesData($D1145, IF(ISNUMBER(_xlfn.XLOOKUP($C1145,Phone_by_Sentiment!$B$2:$B$37,Phone_by_Sentiment!L$2:L$37,"",0,1)),_xlfn.XLOOKUP($C1145,Phone_by_Sentiment!$B$2:$B$37,Phone_by_Sentiment!L$2:L$37,"",0,1),0),$A1145-TEXT(DATEVALUE($D1145&amp;"-01"), "dd-mm-yyyy")),0),0)</f>
        <v>198</v>
      </c>
      <c r="M1145" cm="1">
        <f t="array" ref="M1145">IF($Q1145&gt;=0,IFERROR(generateSalesData($D1145, IF(ISNUMBER(_xlfn.XLOOKUP($C1145,Phone_by_Sentiment!$B$2:$B$37,Phone_by_Sentiment!M$2:M$37,"",0,1)),_xlfn.XLOOKUP($C1145,Phone_by_Sentiment!$B$2:$B$37,Phone_by_Sentiment!M$2:M$37,"",0,1),0),$A1145-TEXT(DATEVALUE($D1145&amp;"-01"), "dd-mm-yyyy")),0),0)</f>
        <v>579</v>
      </c>
      <c r="N1145" cm="1">
        <f t="array" ref="N1145">IF($Q1145&gt;=0,IFERROR(generateSalesData($D1145, IF(ISNUMBER(_xlfn.XLOOKUP($C1145,Phone_by_Sentiment!$B$2:$B$37,Phone_by_Sentiment!N$2:N$37,"",0,1)),_xlfn.XLOOKUP($C1145,Phone_by_Sentiment!$B$2:$B$37,Phone_by_Sentiment!N$2:N$37,"",0,1),0),$A1145-TEXT(DATEVALUE($D1145&amp;"-01"), "dd-mm-yyyy")),0),0)</f>
        <v>288</v>
      </c>
      <c r="O1145" cm="1">
        <f t="array" ref="O1145">IF($Q1145&gt;=0,IFERROR(generateSalesData($D1145, IF(ISNUMBER(_xlfn.XLOOKUP($C1145,Phone_by_Sentiment!$B$2:$B$37,Phone_by_Sentiment!O$2:O$37,"",0,1)),_xlfn.XLOOKUP($C1145,Phone_by_Sentiment!$B$2:$B$37,Phone_by_Sentiment!O$2:O$37,"",0,1),0),$A1145-TEXT(DATEVALUE($D1145&amp;"-01"), "dd-mm-yyyy")),0),0)</f>
        <v>217</v>
      </c>
      <c r="P1145" s="1">
        <f t="shared" si="46"/>
        <v>44044</v>
      </c>
      <c r="Q1145">
        <f t="shared" si="47"/>
        <v>396</v>
      </c>
    </row>
    <row r="1146" spans="1:17" x14ac:dyDescent="0.25">
      <c r="A1146" s="1">
        <f t="shared" si="48"/>
        <v>44440</v>
      </c>
      <c r="B1146" t="s">
        <v>163</v>
      </c>
      <c r="C1146" t="str">
        <f>_xlfn.XLOOKUP(B1146,Phone_by_Price!$A$2:$A$34,Phone_by_Price!$B$2:$B$34,"-",0,1)</f>
        <v>OPPO A93</v>
      </c>
      <c r="D1146" t="str">
        <f>_xlfn.XLOOKUP(C1146,Phone_by_Sentiment!$B$2:$B$37,Phone_by_Sentiment!$A$2:$A$37,"-",0,1)</f>
        <v>2021-02</v>
      </c>
      <c r="E1146" cm="1">
        <f t="array" ref="E1146">IF($Q1146&gt;=0,IFERROR(generateSalesData($D1146, IF(ISNUMBER(_xlfn.XLOOKUP($C1146,Phone_by_Sentiment!$B$2:$B$37,Phone_by_Sentiment!E$2:E$37,"",0,1)),_xlfn.XLOOKUP($C1146,Phone_by_Sentiment!$B$2:$B$37,Phone_by_Sentiment!E$2:E$37,"",0,1),0),$A1146-TEXT(DATEVALUE($D1146&amp;"-01"), "dd-mm-yyyy")),0),0)</f>
        <v>1785</v>
      </c>
      <c r="F1146" cm="1">
        <f t="array" ref="F1146">IF($Q1146&gt;=0,IFERROR(generateSalesData($D1146, IF(ISNUMBER(_xlfn.XLOOKUP($C1146,Phone_by_Sentiment!$B$2:$B$37,Phone_by_Sentiment!F$2:F$37,"",0,1)),_xlfn.XLOOKUP($C1146,Phone_by_Sentiment!$B$2:$B$37,Phone_by_Sentiment!F$2:F$37,"",0,1),0),$A1146-TEXT(DATEVALUE($D1146&amp;"-01"), "dd-mm-yyyy")),0),0)</f>
        <v>315</v>
      </c>
      <c r="G1146" cm="1">
        <f t="array" ref="G1146">IF($Q1146&gt;=0,IFERROR(generateSalesData($D1146, IF(ISNUMBER(_xlfn.XLOOKUP($C1146,Phone_by_Sentiment!$B$2:$B$37,Phone_by_Sentiment!G$2:G$37,"",0,1)),_xlfn.XLOOKUP($C1146,Phone_by_Sentiment!$B$2:$B$37,Phone_by_Sentiment!G$2:G$37,"",0,1),0),$A1146-TEXT(DATEVALUE($D1146&amp;"-01"), "dd-mm-yyyy")),0),0)</f>
        <v>375</v>
      </c>
      <c r="H1146" cm="1">
        <f t="array" ref="H1146">IF($Q1146&gt;=0,IFERROR(generateSalesData($D1146, IF(ISNUMBER(_xlfn.XLOOKUP($C1146,Phone_by_Sentiment!$B$2:$B$37,Phone_by_Sentiment!H$2:H$37,"",0,1)),_xlfn.XLOOKUP($C1146,Phone_by_Sentiment!$B$2:$B$37,Phone_by_Sentiment!H$2:H$37,"",0,1),0),$A1146-TEXT(DATEVALUE($D1146&amp;"-01"), "dd-mm-yyyy")),0),0)</f>
        <v>784</v>
      </c>
      <c r="I1146" cm="1">
        <f t="array" ref="I1146">IF($Q1146&gt;=0,IFERROR(generateSalesData($D1146, IF(ISNUMBER(_xlfn.XLOOKUP($C1146,Phone_by_Sentiment!$B$2:$B$37,Phone_by_Sentiment!I$2:I$37,"",0,1)),_xlfn.XLOOKUP($C1146,Phone_by_Sentiment!$B$2:$B$37,Phone_by_Sentiment!I$2:I$37,"",0,1),0),$A1146-TEXT(DATEVALUE($D1146&amp;"-01"), "dd-mm-yyyy")),0),0)</f>
        <v>1366</v>
      </c>
      <c r="J1146" cm="1">
        <f t="array" ref="J1146">IF($Q1146&gt;=0,IFERROR(generateSalesData($D1146, IF(ISNUMBER(_xlfn.XLOOKUP($C1146,Phone_by_Sentiment!$B$2:$B$37,Phone_by_Sentiment!J$2:J$37,"",0,1)),_xlfn.XLOOKUP($C1146,Phone_by_Sentiment!$B$2:$B$37,Phone_by_Sentiment!J$2:J$37,"",0,1),0),$A1146-TEXT(DATEVALUE($D1146&amp;"-01"), "dd-mm-yyyy")),0),0)</f>
        <v>214</v>
      </c>
      <c r="K1146" cm="1">
        <f t="array" ref="K1146">IF($Q1146&gt;=0,IFERROR(generateSalesData($D1146, IF(ISNUMBER(_xlfn.XLOOKUP($C1146,Phone_by_Sentiment!$B$2:$B$37,Phone_by_Sentiment!K$2:K$37,"",0,1)),_xlfn.XLOOKUP($C1146,Phone_by_Sentiment!$B$2:$B$37,Phone_by_Sentiment!K$2:K$37,"",0,1),0),$A1146-TEXT(DATEVALUE($D1146&amp;"-01"), "dd-mm-yyyy")),0),0)</f>
        <v>147</v>
      </c>
      <c r="L1146" cm="1">
        <f t="array" ref="L1146">IF($Q1146&gt;=0,IFERROR(generateSalesData($D1146, IF(ISNUMBER(_xlfn.XLOOKUP($C1146,Phone_by_Sentiment!$B$2:$B$37,Phone_by_Sentiment!L$2:L$37,"",0,1)),_xlfn.XLOOKUP($C1146,Phone_by_Sentiment!$B$2:$B$37,Phone_by_Sentiment!L$2:L$37,"",0,1),0),$A1146-TEXT(DATEVALUE($D1146&amp;"-01"), "dd-mm-yyyy")),0),0)</f>
        <v>348</v>
      </c>
      <c r="M1146" cm="1">
        <f t="array" ref="M1146">IF($Q1146&gt;=0,IFERROR(generateSalesData($D1146, IF(ISNUMBER(_xlfn.XLOOKUP($C1146,Phone_by_Sentiment!$B$2:$B$37,Phone_by_Sentiment!M$2:M$37,"",0,1)),_xlfn.XLOOKUP($C1146,Phone_by_Sentiment!$B$2:$B$37,Phone_by_Sentiment!M$2:M$37,"",0,1),0),$A1146-TEXT(DATEVALUE($D1146&amp;"-01"), "dd-mm-yyyy")),0),0)</f>
        <v>1041</v>
      </c>
      <c r="N1146" cm="1">
        <f t="array" ref="N1146">IF($Q1146&gt;=0,IFERROR(generateSalesData($D1146, IF(ISNUMBER(_xlfn.XLOOKUP($C1146,Phone_by_Sentiment!$B$2:$B$37,Phone_by_Sentiment!N$2:N$37,"",0,1)),_xlfn.XLOOKUP($C1146,Phone_by_Sentiment!$B$2:$B$37,Phone_by_Sentiment!N$2:N$37,"",0,1),0),$A1146-TEXT(DATEVALUE($D1146&amp;"-01"), "dd-mm-yyyy")),0),0)</f>
        <v>1563</v>
      </c>
      <c r="O1146" cm="1">
        <f t="array" ref="O1146">IF($Q1146&gt;=0,IFERROR(generateSalesData($D1146, IF(ISNUMBER(_xlfn.XLOOKUP($C1146,Phone_by_Sentiment!$B$2:$B$37,Phone_by_Sentiment!O$2:O$37,"",0,1)),_xlfn.XLOOKUP($C1146,Phone_by_Sentiment!$B$2:$B$37,Phone_by_Sentiment!O$2:O$37,"",0,1),0),$A1146-TEXT(DATEVALUE($D1146&amp;"-01"), "dd-mm-yyyy")),0),0)</f>
        <v>131</v>
      </c>
      <c r="P1146" s="1">
        <f t="shared" si="46"/>
        <v>44228</v>
      </c>
      <c r="Q1146">
        <f t="shared" si="47"/>
        <v>212</v>
      </c>
    </row>
    <row r="1147" spans="1:17" x14ac:dyDescent="0.25">
      <c r="A1147" s="1">
        <f t="shared" si="48"/>
        <v>44440</v>
      </c>
      <c r="B1147" t="s">
        <v>164</v>
      </c>
      <c r="C1147" t="str">
        <f>_xlfn.XLOOKUP(B1147,Phone_by_Price!$A$2:$A$34,Phone_by_Price!$B$2:$B$34,"-",0,1)</f>
        <v>Vivo V20</v>
      </c>
      <c r="D1147" t="str">
        <f>_xlfn.XLOOKUP(C1147,Phone_by_Sentiment!$B$2:$B$37,Phone_by_Sentiment!$A$2:$A$37,"-",0,1)</f>
        <v>2020-10</v>
      </c>
      <c r="E1147" cm="1">
        <f t="array" ref="E1147">IF($Q1147&gt;=0,IFERROR(generateSalesData($D1147, IF(ISNUMBER(_xlfn.XLOOKUP($C1147,Phone_by_Sentiment!$B$2:$B$37,Phone_by_Sentiment!E$2:E$37,"",0,1)),_xlfn.XLOOKUP($C1147,Phone_by_Sentiment!$B$2:$B$37,Phone_by_Sentiment!E$2:E$37,"",0,1),0),$A1147-TEXT(DATEVALUE($D1147&amp;"-01"), "dd-mm-yyyy")),0),0)</f>
        <v>985</v>
      </c>
      <c r="F1147" cm="1">
        <f t="array" ref="F1147">IF($Q1147&gt;=0,IFERROR(generateSalesData($D1147, IF(ISNUMBER(_xlfn.XLOOKUP($C1147,Phone_by_Sentiment!$B$2:$B$37,Phone_by_Sentiment!F$2:F$37,"",0,1)),_xlfn.XLOOKUP($C1147,Phone_by_Sentiment!$B$2:$B$37,Phone_by_Sentiment!F$2:F$37,"",0,1),0),$A1147-TEXT(DATEVALUE($D1147&amp;"-01"), "dd-mm-yyyy")),0),0)</f>
        <v>257</v>
      </c>
      <c r="G1147" cm="1">
        <f t="array" ref="G1147">IF($Q1147&gt;=0,IFERROR(generateSalesData($D1147, IF(ISNUMBER(_xlfn.XLOOKUP($C1147,Phone_by_Sentiment!$B$2:$B$37,Phone_by_Sentiment!G$2:G$37,"",0,1)),_xlfn.XLOOKUP($C1147,Phone_by_Sentiment!$B$2:$B$37,Phone_by_Sentiment!G$2:G$37,"",0,1),0),$A1147-TEXT(DATEVALUE($D1147&amp;"-01"), "dd-mm-yyyy")),0),0)</f>
        <v>217</v>
      </c>
      <c r="H1147" cm="1">
        <f t="array" ref="H1147">IF($Q1147&gt;=0,IFERROR(generateSalesData($D1147, IF(ISNUMBER(_xlfn.XLOOKUP($C1147,Phone_by_Sentiment!$B$2:$B$37,Phone_by_Sentiment!H$2:H$37,"",0,1)),_xlfn.XLOOKUP($C1147,Phone_by_Sentiment!$B$2:$B$37,Phone_by_Sentiment!H$2:H$37,"",0,1),0),$A1147-TEXT(DATEVALUE($D1147&amp;"-01"), "dd-mm-yyyy")),0),0)</f>
        <v>148</v>
      </c>
      <c r="I1147" cm="1">
        <f t="array" ref="I1147">IF($Q1147&gt;=0,IFERROR(generateSalesData($D1147, IF(ISNUMBER(_xlfn.XLOOKUP($C1147,Phone_by_Sentiment!$B$2:$B$37,Phone_by_Sentiment!I$2:I$37,"",0,1)),_xlfn.XLOOKUP($C1147,Phone_by_Sentiment!$B$2:$B$37,Phone_by_Sentiment!I$2:I$37,"",0,1),0),$A1147-TEXT(DATEVALUE($D1147&amp;"-01"), "dd-mm-yyyy")),0),0)</f>
        <v>201</v>
      </c>
      <c r="J1147" cm="1">
        <f t="array" ref="J1147">IF($Q1147&gt;=0,IFERROR(generateSalesData($D1147, IF(ISNUMBER(_xlfn.XLOOKUP($C1147,Phone_by_Sentiment!$B$2:$B$37,Phone_by_Sentiment!J$2:J$37,"",0,1)),_xlfn.XLOOKUP($C1147,Phone_by_Sentiment!$B$2:$B$37,Phone_by_Sentiment!J$2:J$37,"",0,1),0),$A1147-TEXT(DATEVALUE($D1147&amp;"-01"), "dd-mm-yyyy")),0),0)</f>
        <v>129</v>
      </c>
      <c r="K1147" cm="1">
        <f t="array" ref="K1147">IF($Q1147&gt;=0,IFERROR(generateSalesData($D1147, IF(ISNUMBER(_xlfn.XLOOKUP($C1147,Phone_by_Sentiment!$B$2:$B$37,Phone_by_Sentiment!K$2:K$37,"",0,1)),_xlfn.XLOOKUP($C1147,Phone_by_Sentiment!$B$2:$B$37,Phone_by_Sentiment!K$2:K$37,"",0,1),0),$A1147-TEXT(DATEVALUE($D1147&amp;"-01"), "dd-mm-yyyy")),0),0)</f>
        <v>201</v>
      </c>
      <c r="L1147" cm="1">
        <f t="array" ref="L1147">IF($Q1147&gt;=0,IFERROR(generateSalesData($D1147, IF(ISNUMBER(_xlfn.XLOOKUP($C1147,Phone_by_Sentiment!$B$2:$B$37,Phone_by_Sentiment!L$2:L$37,"",0,1)),_xlfn.XLOOKUP($C1147,Phone_by_Sentiment!$B$2:$B$37,Phone_by_Sentiment!L$2:L$37,"",0,1),0),$A1147-TEXT(DATEVALUE($D1147&amp;"-01"), "dd-mm-yyyy")),0),0)</f>
        <v>59</v>
      </c>
      <c r="M1147" cm="1">
        <f t="array" ref="M1147">IF($Q1147&gt;=0,IFERROR(generateSalesData($D1147, IF(ISNUMBER(_xlfn.XLOOKUP($C1147,Phone_by_Sentiment!$B$2:$B$37,Phone_by_Sentiment!M$2:M$37,"",0,1)),_xlfn.XLOOKUP($C1147,Phone_by_Sentiment!$B$2:$B$37,Phone_by_Sentiment!M$2:M$37,"",0,1),0),$A1147-TEXT(DATEVALUE($D1147&amp;"-01"), "dd-mm-yyyy")),0),0)</f>
        <v>104</v>
      </c>
      <c r="N1147" cm="1">
        <f t="array" ref="N1147">IF($Q1147&gt;=0,IFERROR(generateSalesData($D1147, IF(ISNUMBER(_xlfn.XLOOKUP($C1147,Phone_by_Sentiment!$B$2:$B$37,Phone_by_Sentiment!N$2:N$37,"",0,1)),_xlfn.XLOOKUP($C1147,Phone_by_Sentiment!$B$2:$B$37,Phone_by_Sentiment!N$2:N$37,"",0,1),0),$A1147-TEXT(DATEVALUE($D1147&amp;"-01"), "dd-mm-yyyy")),0),0)</f>
        <v>72</v>
      </c>
      <c r="O1147" cm="1">
        <f t="array" ref="O1147">IF($Q1147&gt;=0,IFERROR(generateSalesData($D1147, IF(ISNUMBER(_xlfn.XLOOKUP($C1147,Phone_by_Sentiment!$B$2:$B$37,Phone_by_Sentiment!O$2:O$37,"",0,1)),_xlfn.XLOOKUP($C1147,Phone_by_Sentiment!$B$2:$B$37,Phone_by_Sentiment!O$2:O$37,"",0,1),0),$A1147-TEXT(DATEVALUE($D1147&amp;"-01"), "dd-mm-yyyy")),0),0)</f>
        <v>134</v>
      </c>
      <c r="P1147" s="1">
        <f t="shared" si="46"/>
        <v>44105</v>
      </c>
      <c r="Q1147">
        <f t="shared" si="47"/>
        <v>335</v>
      </c>
    </row>
    <row r="1148" spans="1:17" x14ac:dyDescent="0.25">
      <c r="A1148" s="1">
        <f t="shared" si="48"/>
        <v>44440</v>
      </c>
      <c r="B1148" t="s">
        <v>165</v>
      </c>
      <c r="C1148" t="str">
        <f>_xlfn.XLOOKUP(B1148,Phone_by_Price!$A$2:$A$34,Phone_by_Price!$B$2:$B$34,"-",0,1)</f>
        <v>Samsung Galaxy A50</v>
      </c>
      <c r="D1148" t="str">
        <f>_xlfn.XLOOKUP(C1148,Phone_by_Sentiment!$B$2:$B$37,Phone_by_Sentiment!$A$2:$A$37,"-",0,1)</f>
        <v>2019-05</v>
      </c>
      <c r="E1148" cm="1">
        <f t="array" ref="E1148">IF($Q1148&gt;=0,IFERROR(generateSalesData($D1148, IF(ISNUMBER(_xlfn.XLOOKUP($C1148,Phone_by_Sentiment!$B$2:$B$37,Phone_by_Sentiment!E$2:E$37,"",0,1)),_xlfn.XLOOKUP($C1148,Phone_by_Sentiment!$B$2:$B$37,Phone_by_Sentiment!E$2:E$37,"",0,1),0),$A1148-TEXT(DATEVALUE($D1148&amp;"-01"), "dd-mm-yyyy")),0),0)</f>
        <v>352</v>
      </c>
      <c r="F1148" cm="1">
        <f t="array" ref="F1148">IF($Q1148&gt;=0,IFERROR(generateSalesData($D1148, IF(ISNUMBER(_xlfn.XLOOKUP($C1148,Phone_by_Sentiment!$B$2:$B$37,Phone_by_Sentiment!F$2:F$37,"",0,1)),_xlfn.XLOOKUP($C1148,Phone_by_Sentiment!$B$2:$B$37,Phone_by_Sentiment!F$2:F$37,"",0,1),0),$A1148-TEXT(DATEVALUE($D1148&amp;"-01"), "dd-mm-yyyy")),0),0)</f>
        <v>0</v>
      </c>
      <c r="G1148" cm="1">
        <f t="array" ref="G1148">IF($Q1148&gt;=0,IFERROR(generateSalesData($D1148, IF(ISNUMBER(_xlfn.XLOOKUP($C1148,Phone_by_Sentiment!$B$2:$B$37,Phone_by_Sentiment!G$2:G$37,"",0,1)),_xlfn.XLOOKUP($C1148,Phone_by_Sentiment!$B$2:$B$37,Phone_by_Sentiment!G$2:G$37,"",0,1),0),$A1148-TEXT(DATEVALUE($D1148&amp;"-01"), "dd-mm-yyyy")),0),0)</f>
        <v>40</v>
      </c>
      <c r="H1148" cm="1">
        <f t="array" ref="H1148">IF($Q1148&gt;=0,IFERROR(generateSalesData($D1148, IF(ISNUMBER(_xlfn.XLOOKUP($C1148,Phone_by_Sentiment!$B$2:$B$37,Phone_by_Sentiment!H$2:H$37,"",0,1)),_xlfn.XLOOKUP($C1148,Phone_by_Sentiment!$B$2:$B$37,Phone_by_Sentiment!H$2:H$37,"",0,1),0),$A1148-TEXT(DATEVALUE($D1148&amp;"-01"), "dd-mm-yyyy")),0),0)</f>
        <v>129</v>
      </c>
      <c r="I1148" cm="1">
        <f t="array" ref="I1148">IF($Q1148&gt;=0,IFERROR(generateSalesData($D1148, IF(ISNUMBER(_xlfn.XLOOKUP($C1148,Phone_by_Sentiment!$B$2:$B$37,Phone_by_Sentiment!I$2:I$37,"",0,1)),_xlfn.XLOOKUP($C1148,Phone_by_Sentiment!$B$2:$B$37,Phone_by_Sentiment!I$2:I$37,"",0,1),0),$A1148-TEXT(DATEVALUE($D1148&amp;"-01"), "dd-mm-yyyy")),0),0)</f>
        <v>109</v>
      </c>
      <c r="J1148" cm="1">
        <f t="array" ref="J1148">IF($Q1148&gt;=0,IFERROR(generateSalesData($D1148, IF(ISNUMBER(_xlfn.XLOOKUP($C1148,Phone_by_Sentiment!$B$2:$B$37,Phone_by_Sentiment!J$2:J$37,"",0,1)),_xlfn.XLOOKUP($C1148,Phone_by_Sentiment!$B$2:$B$37,Phone_by_Sentiment!J$2:J$37,"",0,1),0),$A1148-TEXT(DATEVALUE($D1148&amp;"-01"), "dd-mm-yyyy")),0),0)</f>
        <v>144</v>
      </c>
      <c r="K1148" cm="1">
        <f t="array" ref="K1148">IF($Q1148&gt;=0,IFERROR(generateSalesData($D1148, IF(ISNUMBER(_xlfn.XLOOKUP($C1148,Phone_by_Sentiment!$B$2:$B$37,Phone_by_Sentiment!K$2:K$37,"",0,1)),_xlfn.XLOOKUP($C1148,Phone_by_Sentiment!$B$2:$B$37,Phone_by_Sentiment!K$2:K$37,"",0,1),0),$A1148-TEXT(DATEVALUE($D1148&amp;"-01"), "dd-mm-yyyy")),0),0)</f>
        <v>88</v>
      </c>
      <c r="L1148" cm="1">
        <f t="array" ref="L1148">IF($Q1148&gt;=0,IFERROR(generateSalesData($D1148, IF(ISNUMBER(_xlfn.XLOOKUP($C1148,Phone_by_Sentiment!$B$2:$B$37,Phone_by_Sentiment!L$2:L$37,"",0,1)),_xlfn.XLOOKUP($C1148,Phone_by_Sentiment!$B$2:$B$37,Phone_by_Sentiment!L$2:L$37,"",0,1),0),$A1148-TEXT(DATEVALUE($D1148&amp;"-01"), "dd-mm-yyyy")),0),0)</f>
        <v>352</v>
      </c>
      <c r="M1148" cm="1">
        <f t="array" ref="M1148">IF($Q1148&gt;=0,IFERROR(generateSalesData($D1148, IF(ISNUMBER(_xlfn.XLOOKUP($C1148,Phone_by_Sentiment!$B$2:$B$37,Phone_by_Sentiment!M$2:M$37,"",0,1)),_xlfn.XLOOKUP($C1148,Phone_by_Sentiment!$B$2:$B$37,Phone_by_Sentiment!M$2:M$37,"",0,1),0),$A1148-TEXT(DATEVALUE($D1148&amp;"-01"), "dd-mm-yyyy")),0),0)</f>
        <v>78</v>
      </c>
      <c r="N1148" cm="1">
        <f t="array" ref="N1148">IF($Q1148&gt;=0,IFERROR(generateSalesData($D1148, IF(ISNUMBER(_xlfn.XLOOKUP($C1148,Phone_by_Sentiment!$B$2:$B$37,Phone_by_Sentiment!N$2:N$37,"",0,1)),_xlfn.XLOOKUP($C1148,Phone_by_Sentiment!$B$2:$B$37,Phone_by_Sentiment!N$2:N$37,"",0,1),0),$A1148-TEXT(DATEVALUE($D1148&amp;"-01"), "dd-mm-yyyy")),0),0)</f>
        <v>340</v>
      </c>
      <c r="O1148" cm="1">
        <f t="array" ref="O1148">IF($Q1148&gt;=0,IFERROR(generateSalesData($D1148, IF(ISNUMBER(_xlfn.XLOOKUP($C1148,Phone_by_Sentiment!$B$2:$B$37,Phone_by_Sentiment!O$2:O$37,"",0,1)),_xlfn.XLOOKUP($C1148,Phone_by_Sentiment!$B$2:$B$37,Phone_by_Sentiment!O$2:O$37,"",0,1),0),$A1148-TEXT(DATEVALUE($D1148&amp;"-01"), "dd-mm-yyyy")),0),0)</f>
        <v>142</v>
      </c>
      <c r="P1148" s="1">
        <f t="shared" si="46"/>
        <v>43586</v>
      </c>
      <c r="Q1148">
        <f t="shared" si="47"/>
        <v>854</v>
      </c>
    </row>
    <row r="1149" spans="1:17" x14ac:dyDescent="0.25">
      <c r="A1149" s="1">
        <f t="shared" si="48"/>
        <v>44440</v>
      </c>
      <c r="B1149" t="s">
        <v>166</v>
      </c>
      <c r="C1149" t="str">
        <f>_xlfn.XLOOKUP(B1149,Phone_by_Price!$A$2:$A$34,Phone_by_Price!$B$2:$B$34,"-",0,1)</f>
        <v>Xiaomi Redmi Note 7</v>
      </c>
      <c r="D1149" t="str">
        <f>_xlfn.XLOOKUP(C1149,Phone_by_Sentiment!$B$2:$B$37,Phone_by_Sentiment!$A$2:$A$37,"-",0,1)</f>
        <v>2019-08</v>
      </c>
      <c r="E1149" cm="1">
        <f t="array" ref="E1149">IF($Q1149&gt;=0,IFERROR(generateSalesData($D1149, IF(ISNUMBER(_xlfn.XLOOKUP($C1149,Phone_by_Sentiment!$B$2:$B$37,Phone_by_Sentiment!E$2:E$37,"",0,1)),_xlfn.XLOOKUP($C1149,Phone_by_Sentiment!$B$2:$B$37,Phone_by_Sentiment!E$2:E$37,"",0,1),0),$A1149-TEXT(DATEVALUE($D1149&amp;"-01"), "dd-mm-yyyy")),0),0)</f>
        <v>144</v>
      </c>
      <c r="F1149" cm="1">
        <f t="array" ref="F1149">IF($Q1149&gt;=0,IFERROR(generateSalesData($D1149, IF(ISNUMBER(_xlfn.XLOOKUP($C1149,Phone_by_Sentiment!$B$2:$B$37,Phone_by_Sentiment!F$2:F$37,"",0,1)),_xlfn.XLOOKUP($C1149,Phone_by_Sentiment!$B$2:$B$37,Phone_by_Sentiment!F$2:F$37,"",0,1),0),$A1149-TEXT(DATEVALUE($D1149&amp;"-01"), "dd-mm-yyyy")),0),0)</f>
        <v>103</v>
      </c>
      <c r="G1149" cm="1">
        <f t="array" ref="G1149">IF($Q1149&gt;=0,IFERROR(generateSalesData($D1149, IF(ISNUMBER(_xlfn.XLOOKUP($C1149,Phone_by_Sentiment!$B$2:$B$37,Phone_by_Sentiment!G$2:G$37,"",0,1)),_xlfn.XLOOKUP($C1149,Phone_by_Sentiment!$B$2:$B$37,Phone_by_Sentiment!G$2:G$37,"",0,1),0),$A1149-TEXT(DATEVALUE($D1149&amp;"-01"), "dd-mm-yyyy")),0),0)</f>
        <v>98</v>
      </c>
      <c r="H1149" cm="1">
        <f t="array" ref="H1149">IF($Q1149&gt;=0,IFERROR(generateSalesData($D1149, IF(ISNUMBER(_xlfn.XLOOKUP($C1149,Phone_by_Sentiment!$B$2:$B$37,Phone_by_Sentiment!H$2:H$37,"",0,1)),_xlfn.XLOOKUP($C1149,Phone_by_Sentiment!$B$2:$B$37,Phone_by_Sentiment!H$2:H$37,"",0,1),0),$A1149-TEXT(DATEVALUE($D1149&amp;"-01"), "dd-mm-yyyy")),0),0)</f>
        <v>74</v>
      </c>
      <c r="I1149" cm="1">
        <f t="array" ref="I1149">IF($Q1149&gt;=0,IFERROR(generateSalesData($D1149, IF(ISNUMBER(_xlfn.XLOOKUP($C1149,Phone_by_Sentiment!$B$2:$B$37,Phone_by_Sentiment!I$2:I$37,"",0,1)),_xlfn.XLOOKUP($C1149,Phone_by_Sentiment!$B$2:$B$37,Phone_by_Sentiment!I$2:I$37,"",0,1),0),$A1149-TEXT(DATEVALUE($D1149&amp;"-01"), "dd-mm-yyyy")),0),0)</f>
        <v>111</v>
      </c>
      <c r="J1149" cm="1">
        <f t="array" ref="J1149">IF($Q1149&gt;=0,IFERROR(generateSalesData($D1149, IF(ISNUMBER(_xlfn.XLOOKUP($C1149,Phone_by_Sentiment!$B$2:$B$37,Phone_by_Sentiment!J$2:J$37,"",0,1)),_xlfn.XLOOKUP($C1149,Phone_by_Sentiment!$B$2:$B$37,Phone_by_Sentiment!J$2:J$37,"",0,1),0),$A1149-TEXT(DATEVALUE($D1149&amp;"-01"), "dd-mm-yyyy")),0),0)</f>
        <v>34</v>
      </c>
      <c r="K1149" cm="1">
        <f t="array" ref="K1149">IF($Q1149&gt;=0,IFERROR(generateSalesData($D1149, IF(ISNUMBER(_xlfn.XLOOKUP($C1149,Phone_by_Sentiment!$B$2:$B$37,Phone_by_Sentiment!K$2:K$37,"",0,1)),_xlfn.XLOOKUP($C1149,Phone_by_Sentiment!$B$2:$B$37,Phone_by_Sentiment!K$2:K$37,"",0,1),0),$A1149-TEXT(DATEVALUE($D1149&amp;"-01"), "dd-mm-yyyy")),0),0)</f>
        <v>224</v>
      </c>
      <c r="L1149" cm="1">
        <f t="array" ref="L1149">IF($Q1149&gt;=0,IFERROR(generateSalesData($D1149, IF(ISNUMBER(_xlfn.XLOOKUP($C1149,Phone_by_Sentiment!$B$2:$B$37,Phone_by_Sentiment!L$2:L$37,"",0,1)),_xlfn.XLOOKUP($C1149,Phone_by_Sentiment!$B$2:$B$37,Phone_by_Sentiment!L$2:L$37,"",0,1),0),$A1149-TEXT(DATEVALUE($D1149&amp;"-01"), "dd-mm-yyyy")),0),0)</f>
        <v>28</v>
      </c>
      <c r="M1149" cm="1">
        <f t="array" ref="M1149">IF($Q1149&gt;=0,IFERROR(generateSalesData($D1149, IF(ISNUMBER(_xlfn.XLOOKUP($C1149,Phone_by_Sentiment!$B$2:$B$37,Phone_by_Sentiment!M$2:M$37,"",0,1)),_xlfn.XLOOKUP($C1149,Phone_by_Sentiment!$B$2:$B$37,Phone_by_Sentiment!M$2:M$37,"",0,1),0),$A1149-TEXT(DATEVALUE($D1149&amp;"-01"), "dd-mm-yyyy")),0),0)</f>
        <v>317</v>
      </c>
      <c r="N1149" cm="1">
        <f t="array" ref="N1149">IF($Q1149&gt;=0,IFERROR(generateSalesData($D1149, IF(ISNUMBER(_xlfn.XLOOKUP($C1149,Phone_by_Sentiment!$B$2:$B$37,Phone_by_Sentiment!N$2:N$37,"",0,1)),_xlfn.XLOOKUP($C1149,Phone_by_Sentiment!$B$2:$B$37,Phone_by_Sentiment!N$2:N$37,"",0,1),0),$A1149-TEXT(DATEVALUE($D1149&amp;"-01"), "dd-mm-yyyy")),0),0)</f>
        <v>10</v>
      </c>
      <c r="O1149" cm="1">
        <f t="array" ref="O1149">IF($Q1149&gt;=0,IFERROR(generateSalesData($D1149, IF(ISNUMBER(_xlfn.XLOOKUP($C1149,Phone_by_Sentiment!$B$2:$B$37,Phone_by_Sentiment!O$2:O$37,"",0,1)),_xlfn.XLOOKUP($C1149,Phone_by_Sentiment!$B$2:$B$37,Phone_by_Sentiment!O$2:O$37,"",0,1),0),$A1149-TEXT(DATEVALUE($D1149&amp;"-01"), "dd-mm-yyyy")),0),0)</f>
        <v>346</v>
      </c>
      <c r="P1149" s="1">
        <f t="shared" si="46"/>
        <v>43678</v>
      </c>
      <c r="Q1149">
        <f t="shared" si="47"/>
        <v>762</v>
      </c>
    </row>
    <row r="1150" spans="1:17" x14ac:dyDescent="0.25">
      <c r="A1150" s="1">
        <f t="shared" si="48"/>
        <v>44440</v>
      </c>
      <c r="B1150" t="s">
        <v>167</v>
      </c>
      <c r="C1150" t="str">
        <f>_xlfn.XLOOKUP(B1150,Phone_by_Price!$A$2:$A$34,Phone_by_Price!$B$2:$B$34,"-",0,1)</f>
        <v>Realme C21</v>
      </c>
      <c r="D1150" t="str">
        <f>_xlfn.XLOOKUP(C1150,Phone_by_Sentiment!$B$2:$B$37,Phone_by_Sentiment!$A$2:$A$37,"-",0,1)</f>
        <v>2021-04</v>
      </c>
      <c r="E1150" cm="1">
        <f t="array" ref="E1150">IF($Q1150&gt;=0,IFERROR(generateSalesData($D1150, IF(ISNUMBER(_xlfn.XLOOKUP($C1150,Phone_by_Sentiment!$B$2:$B$37,Phone_by_Sentiment!E$2:E$37,"",0,1)),_xlfn.XLOOKUP($C1150,Phone_by_Sentiment!$B$2:$B$37,Phone_by_Sentiment!E$2:E$37,"",0,1),0),$A1150-TEXT(DATEVALUE($D1150&amp;"-01"), "dd-mm-yyyy")),0),0)</f>
        <v>371</v>
      </c>
      <c r="F1150" cm="1">
        <f t="array" ref="F1150">IF($Q1150&gt;=0,IFERROR(generateSalesData($D1150, IF(ISNUMBER(_xlfn.XLOOKUP($C1150,Phone_by_Sentiment!$B$2:$B$37,Phone_by_Sentiment!F$2:F$37,"",0,1)),_xlfn.XLOOKUP($C1150,Phone_by_Sentiment!$B$2:$B$37,Phone_by_Sentiment!F$2:F$37,"",0,1),0),$A1150-TEXT(DATEVALUE($D1150&amp;"-01"), "dd-mm-yyyy")),0),0)</f>
        <v>302</v>
      </c>
      <c r="G1150" cm="1">
        <f t="array" ref="G1150">IF($Q1150&gt;=0,IFERROR(generateSalesData($D1150, IF(ISNUMBER(_xlfn.XLOOKUP($C1150,Phone_by_Sentiment!$B$2:$B$37,Phone_by_Sentiment!G$2:G$37,"",0,1)),_xlfn.XLOOKUP($C1150,Phone_by_Sentiment!$B$2:$B$37,Phone_by_Sentiment!G$2:G$37,"",0,1),0),$A1150-TEXT(DATEVALUE($D1150&amp;"-01"), "dd-mm-yyyy")),0),0)</f>
        <v>291</v>
      </c>
      <c r="H1150" cm="1">
        <f t="array" ref="H1150">IF($Q1150&gt;=0,IFERROR(generateSalesData($D1150, IF(ISNUMBER(_xlfn.XLOOKUP($C1150,Phone_by_Sentiment!$B$2:$B$37,Phone_by_Sentiment!H$2:H$37,"",0,1)),_xlfn.XLOOKUP($C1150,Phone_by_Sentiment!$B$2:$B$37,Phone_by_Sentiment!H$2:H$37,"",0,1),0),$A1150-TEXT(DATEVALUE($D1150&amp;"-01"), "dd-mm-yyyy")),0),0)</f>
        <v>1376</v>
      </c>
      <c r="I1150" cm="1">
        <f t="array" ref="I1150">IF($Q1150&gt;=0,IFERROR(generateSalesData($D1150, IF(ISNUMBER(_xlfn.XLOOKUP($C1150,Phone_by_Sentiment!$B$2:$B$37,Phone_by_Sentiment!I$2:I$37,"",0,1)),_xlfn.XLOOKUP($C1150,Phone_by_Sentiment!$B$2:$B$37,Phone_by_Sentiment!I$2:I$37,"",0,1),0),$A1150-TEXT(DATEVALUE($D1150&amp;"-01"), "dd-mm-yyyy")),0),0)</f>
        <v>2482</v>
      </c>
      <c r="J1150" cm="1">
        <f t="array" ref="J1150">IF($Q1150&gt;=0,IFERROR(generateSalesData($D1150, IF(ISNUMBER(_xlfn.XLOOKUP($C1150,Phone_by_Sentiment!$B$2:$B$37,Phone_by_Sentiment!J$2:J$37,"",0,1)),_xlfn.XLOOKUP($C1150,Phone_by_Sentiment!$B$2:$B$37,Phone_by_Sentiment!J$2:J$37,"",0,1),0),$A1150-TEXT(DATEVALUE($D1150&amp;"-01"), "dd-mm-yyyy")),0),0)</f>
        <v>423</v>
      </c>
      <c r="K1150" cm="1">
        <f t="array" ref="K1150">IF($Q1150&gt;=0,IFERROR(generateSalesData($D1150, IF(ISNUMBER(_xlfn.XLOOKUP($C1150,Phone_by_Sentiment!$B$2:$B$37,Phone_by_Sentiment!K$2:K$37,"",0,1)),_xlfn.XLOOKUP($C1150,Phone_by_Sentiment!$B$2:$B$37,Phone_by_Sentiment!K$2:K$37,"",0,1),0),$A1150-TEXT(DATEVALUE($D1150&amp;"-01"), "dd-mm-yyyy")),0),0)</f>
        <v>1240</v>
      </c>
      <c r="L1150" cm="1">
        <f t="array" ref="L1150">IF($Q1150&gt;=0,IFERROR(generateSalesData($D1150, IF(ISNUMBER(_xlfn.XLOOKUP($C1150,Phone_by_Sentiment!$B$2:$B$37,Phone_by_Sentiment!L$2:L$37,"",0,1)),_xlfn.XLOOKUP($C1150,Phone_by_Sentiment!$B$2:$B$37,Phone_by_Sentiment!L$2:L$37,"",0,1),0),$A1150-TEXT(DATEVALUE($D1150&amp;"-01"), "dd-mm-yyyy")),0),0)</f>
        <v>1504</v>
      </c>
      <c r="M1150" cm="1">
        <f t="array" ref="M1150">IF($Q1150&gt;=0,IFERROR(generateSalesData($D1150, IF(ISNUMBER(_xlfn.XLOOKUP($C1150,Phone_by_Sentiment!$B$2:$B$37,Phone_by_Sentiment!M$2:M$37,"",0,1)),_xlfn.XLOOKUP($C1150,Phone_by_Sentiment!$B$2:$B$37,Phone_by_Sentiment!M$2:M$37,"",0,1),0),$A1150-TEXT(DATEVALUE($D1150&amp;"-01"), "dd-mm-yyyy")),0),0)</f>
        <v>360</v>
      </c>
      <c r="N1150" cm="1">
        <f t="array" ref="N1150">IF($Q1150&gt;=0,IFERROR(generateSalesData($D1150, IF(ISNUMBER(_xlfn.XLOOKUP($C1150,Phone_by_Sentiment!$B$2:$B$37,Phone_by_Sentiment!N$2:N$37,"",0,1)),_xlfn.XLOOKUP($C1150,Phone_by_Sentiment!$B$2:$B$37,Phone_by_Sentiment!N$2:N$37,"",0,1),0),$A1150-TEXT(DATEVALUE($D1150&amp;"-01"), "dd-mm-yyyy")),0),0)</f>
        <v>2679</v>
      </c>
      <c r="O1150" cm="1">
        <f t="array" ref="O1150">IF($Q1150&gt;=0,IFERROR(generateSalesData($D1150, IF(ISNUMBER(_xlfn.XLOOKUP($C1150,Phone_by_Sentiment!$B$2:$B$37,Phone_by_Sentiment!O$2:O$37,"",0,1)),_xlfn.XLOOKUP($C1150,Phone_by_Sentiment!$B$2:$B$37,Phone_by_Sentiment!O$2:O$37,"",0,1),0),$A1150-TEXT(DATEVALUE($D1150&amp;"-01"), "dd-mm-yyyy")),0),0)</f>
        <v>479</v>
      </c>
      <c r="P1150" s="1">
        <f t="shared" si="46"/>
        <v>44287</v>
      </c>
      <c r="Q1150">
        <f t="shared" si="47"/>
        <v>153</v>
      </c>
    </row>
    <row r="1151" spans="1:17" x14ac:dyDescent="0.25">
      <c r="A1151" s="1">
        <f t="shared" si="48"/>
        <v>44440</v>
      </c>
      <c r="B1151" t="s">
        <v>168</v>
      </c>
      <c r="C1151" t="str">
        <f>_xlfn.XLOOKUP(B1151,Phone_by_Price!$A$2:$A$34,Phone_by_Price!$B$2:$B$34,"-",0,1)</f>
        <v>Google Pixel 4</v>
      </c>
      <c r="D1151" t="str">
        <f>_xlfn.XLOOKUP(C1151,Phone_by_Sentiment!$B$2:$B$37,Phone_by_Sentiment!$A$2:$A$37,"-",0,1)</f>
        <v>2019-09</v>
      </c>
      <c r="E1151" cm="1">
        <f t="array" ref="E1151">IF($Q1151&gt;=0,IFERROR(generateSalesData($D1151, IF(ISNUMBER(_xlfn.XLOOKUP($C1151,Phone_by_Sentiment!$B$2:$B$37,Phone_by_Sentiment!E$2:E$37,"",0,1)),_xlfn.XLOOKUP($C1151,Phone_by_Sentiment!$B$2:$B$37,Phone_by_Sentiment!E$2:E$37,"",0,1),0),$A1151-TEXT(DATEVALUE($D1151&amp;"-01"), "dd-mm-yyyy")),0),0)</f>
        <v>159</v>
      </c>
      <c r="F1151" cm="1">
        <f t="array" ref="F1151">IF($Q1151&gt;=0,IFERROR(generateSalesData($D1151, IF(ISNUMBER(_xlfn.XLOOKUP($C1151,Phone_by_Sentiment!$B$2:$B$37,Phone_by_Sentiment!F$2:F$37,"",0,1)),_xlfn.XLOOKUP($C1151,Phone_by_Sentiment!$B$2:$B$37,Phone_by_Sentiment!F$2:F$37,"",0,1),0),$A1151-TEXT(DATEVALUE($D1151&amp;"-01"), "dd-mm-yyyy")),0),0)</f>
        <v>61</v>
      </c>
      <c r="G1151" cm="1">
        <f t="array" ref="G1151">IF($Q1151&gt;=0,IFERROR(generateSalesData($D1151, IF(ISNUMBER(_xlfn.XLOOKUP($C1151,Phone_by_Sentiment!$B$2:$B$37,Phone_by_Sentiment!G$2:G$37,"",0,1)),_xlfn.XLOOKUP($C1151,Phone_by_Sentiment!$B$2:$B$37,Phone_by_Sentiment!G$2:G$37,"",0,1),0),$A1151-TEXT(DATEVALUE($D1151&amp;"-01"), "dd-mm-yyyy")),0),0)</f>
        <v>127</v>
      </c>
      <c r="H1151" cm="1">
        <f t="array" ref="H1151">IF($Q1151&gt;=0,IFERROR(generateSalesData($D1151, IF(ISNUMBER(_xlfn.XLOOKUP($C1151,Phone_by_Sentiment!$B$2:$B$37,Phone_by_Sentiment!H$2:H$37,"",0,1)),_xlfn.XLOOKUP($C1151,Phone_by_Sentiment!$B$2:$B$37,Phone_by_Sentiment!H$2:H$37,"",0,1),0),$A1151-TEXT(DATEVALUE($D1151&amp;"-01"), "dd-mm-yyyy")),0),0)</f>
        <v>81</v>
      </c>
      <c r="I1151" cm="1">
        <f t="array" ref="I1151">IF($Q1151&gt;=0,IFERROR(generateSalesData($D1151, IF(ISNUMBER(_xlfn.XLOOKUP($C1151,Phone_by_Sentiment!$B$2:$B$37,Phone_by_Sentiment!I$2:I$37,"",0,1)),_xlfn.XLOOKUP($C1151,Phone_by_Sentiment!$B$2:$B$37,Phone_by_Sentiment!I$2:I$37,"",0,1),0),$A1151-TEXT(DATEVALUE($D1151&amp;"-01"), "dd-mm-yyyy")),0),0)</f>
        <v>36</v>
      </c>
      <c r="J1151" cm="1">
        <f t="array" ref="J1151">IF($Q1151&gt;=0,IFERROR(generateSalesData($D1151, IF(ISNUMBER(_xlfn.XLOOKUP($C1151,Phone_by_Sentiment!$B$2:$B$37,Phone_by_Sentiment!J$2:J$37,"",0,1)),_xlfn.XLOOKUP($C1151,Phone_by_Sentiment!$B$2:$B$37,Phone_by_Sentiment!J$2:J$37,"",0,1),0),$A1151-TEXT(DATEVALUE($D1151&amp;"-01"), "dd-mm-yyyy")),0),0)</f>
        <v>-13</v>
      </c>
      <c r="K1151" cm="1">
        <f t="array" ref="K1151">IF($Q1151&gt;=0,IFERROR(generateSalesData($D1151, IF(ISNUMBER(_xlfn.XLOOKUP($C1151,Phone_by_Sentiment!$B$2:$B$37,Phone_by_Sentiment!K$2:K$37,"",0,1)),_xlfn.XLOOKUP($C1151,Phone_by_Sentiment!$B$2:$B$37,Phone_by_Sentiment!K$2:K$37,"",0,1),0),$A1151-TEXT(DATEVALUE($D1151&amp;"-01"), "dd-mm-yyyy")),0),0)</f>
        <v>56</v>
      </c>
      <c r="L1151" cm="1">
        <f t="array" ref="L1151">IF($Q1151&gt;=0,IFERROR(generateSalesData($D1151, IF(ISNUMBER(_xlfn.XLOOKUP($C1151,Phone_by_Sentiment!$B$2:$B$37,Phone_by_Sentiment!L$2:L$37,"",0,1)),_xlfn.XLOOKUP($C1151,Phone_by_Sentiment!$B$2:$B$37,Phone_by_Sentiment!L$2:L$37,"",0,1),0),$A1151-TEXT(DATEVALUE($D1151&amp;"-01"), "dd-mm-yyyy")),0),0)</f>
        <v>234</v>
      </c>
      <c r="M1151" cm="1">
        <f t="array" ref="M1151">IF($Q1151&gt;=0,IFERROR(generateSalesData($D1151, IF(ISNUMBER(_xlfn.XLOOKUP($C1151,Phone_by_Sentiment!$B$2:$B$37,Phone_by_Sentiment!M$2:M$37,"",0,1)),_xlfn.XLOOKUP($C1151,Phone_by_Sentiment!$B$2:$B$37,Phone_by_Sentiment!M$2:M$37,"",0,1),0),$A1151-TEXT(DATEVALUE($D1151&amp;"-01"), "dd-mm-yyyy")),0),0)</f>
        <v>143</v>
      </c>
      <c r="N1151" cm="1">
        <f t="array" ref="N1151">IF($Q1151&gt;=0,IFERROR(generateSalesData($D1151, IF(ISNUMBER(_xlfn.XLOOKUP($C1151,Phone_by_Sentiment!$B$2:$B$37,Phone_by_Sentiment!N$2:N$37,"",0,1)),_xlfn.XLOOKUP($C1151,Phone_by_Sentiment!$B$2:$B$37,Phone_by_Sentiment!N$2:N$37,"",0,1),0),$A1151-TEXT(DATEVALUE($D1151&amp;"-01"), "dd-mm-yyyy")),0),0)</f>
        <v>179</v>
      </c>
      <c r="O1151" cm="1">
        <f t="array" ref="O1151">IF($Q1151&gt;=0,IFERROR(generateSalesData($D1151, IF(ISNUMBER(_xlfn.XLOOKUP($C1151,Phone_by_Sentiment!$B$2:$B$37,Phone_by_Sentiment!O$2:O$37,"",0,1)),_xlfn.XLOOKUP($C1151,Phone_by_Sentiment!$B$2:$B$37,Phone_by_Sentiment!O$2:O$37,"",0,1),0),$A1151-TEXT(DATEVALUE($D1151&amp;"-01"), "dd-mm-yyyy")),0),0)</f>
        <v>125</v>
      </c>
      <c r="P1151" s="1">
        <f t="shared" si="46"/>
        <v>43709</v>
      </c>
      <c r="Q1151">
        <f t="shared" si="47"/>
        <v>731</v>
      </c>
    </row>
    <row r="1152" spans="1:17" x14ac:dyDescent="0.25">
      <c r="A1152" s="1">
        <f t="shared" si="48"/>
        <v>44440</v>
      </c>
      <c r="B1152" t="s">
        <v>169</v>
      </c>
      <c r="C1152" t="str">
        <f>_xlfn.XLOOKUP(B1152,Phone_by_Price!$A$2:$A$34,Phone_by_Price!$B$2:$B$34,"-",0,1)</f>
        <v>Samsung Galaxy A10s</v>
      </c>
      <c r="D1152" t="str">
        <f>_xlfn.XLOOKUP(C1152,Phone_by_Sentiment!$B$2:$B$37,Phone_by_Sentiment!$A$2:$A$37,"-",0,1)</f>
        <v>2019-08</v>
      </c>
      <c r="E1152" cm="1">
        <f t="array" ref="E1152">IF($Q1152&gt;=0,IFERROR(generateSalesData($D1152, IF(ISNUMBER(_xlfn.XLOOKUP($C1152,Phone_by_Sentiment!$B$2:$B$37,Phone_by_Sentiment!E$2:E$37,"",0,1)),_xlfn.XLOOKUP($C1152,Phone_by_Sentiment!$B$2:$B$37,Phone_by_Sentiment!E$2:E$37,"",0,1),0),$A1152-TEXT(DATEVALUE($D1152&amp;"-01"), "dd-mm-yyyy")),0),0)</f>
        <v>120</v>
      </c>
      <c r="F1152" cm="1">
        <f t="array" ref="F1152">IF($Q1152&gt;=0,IFERROR(generateSalesData($D1152, IF(ISNUMBER(_xlfn.XLOOKUP($C1152,Phone_by_Sentiment!$B$2:$B$37,Phone_by_Sentiment!F$2:F$37,"",0,1)),_xlfn.XLOOKUP($C1152,Phone_by_Sentiment!$B$2:$B$37,Phone_by_Sentiment!F$2:F$37,"",0,1),0),$A1152-TEXT(DATEVALUE($D1152&amp;"-01"), "dd-mm-yyyy")),0),0)</f>
        <v>252</v>
      </c>
      <c r="G1152" cm="1">
        <f t="array" ref="G1152">IF($Q1152&gt;=0,IFERROR(generateSalesData($D1152, IF(ISNUMBER(_xlfn.XLOOKUP($C1152,Phone_by_Sentiment!$B$2:$B$37,Phone_by_Sentiment!G$2:G$37,"",0,1)),_xlfn.XLOOKUP($C1152,Phone_by_Sentiment!$B$2:$B$37,Phone_by_Sentiment!G$2:G$37,"",0,1),0),$A1152-TEXT(DATEVALUE($D1152&amp;"-01"), "dd-mm-yyyy")),0),0)</f>
        <v>201</v>
      </c>
      <c r="H1152" cm="1">
        <f t="array" ref="H1152">IF($Q1152&gt;=0,IFERROR(generateSalesData($D1152, IF(ISNUMBER(_xlfn.XLOOKUP($C1152,Phone_by_Sentiment!$B$2:$B$37,Phone_by_Sentiment!H$2:H$37,"",0,1)),_xlfn.XLOOKUP($C1152,Phone_by_Sentiment!$B$2:$B$37,Phone_by_Sentiment!H$2:H$37,"",0,1),0),$A1152-TEXT(DATEVALUE($D1152&amp;"-01"), "dd-mm-yyyy")),0),0)</f>
        <v>-47</v>
      </c>
      <c r="I1152" cm="1">
        <f t="array" ref="I1152">IF($Q1152&gt;=0,IFERROR(generateSalesData($D1152, IF(ISNUMBER(_xlfn.XLOOKUP($C1152,Phone_by_Sentiment!$B$2:$B$37,Phone_by_Sentiment!I$2:I$37,"",0,1)),_xlfn.XLOOKUP($C1152,Phone_by_Sentiment!$B$2:$B$37,Phone_by_Sentiment!I$2:I$37,"",0,1),0),$A1152-TEXT(DATEVALUE($D1152&amp;"-01"), "dd-mm-yyyy")),0),0)</f>
        <v>243</v>
      </c>
      <c r="J1152" cm="1">
        <f t="array" ref="J1152">IF($Q1152&gt;=0,IFERROR(generateSalesData($D1152, IF(ISNUMBER(_xlfn.XLOOKUP($C1152,Phone_by_Sentiment!$B$2:$B$37,Phone_by_Sentiment!J$2:J$37,"",0,1)),_xlfn.XLOOKUP($C1152,Phone_by_Sentiment!$B$2:$B$37,Phone_by_Sentiment!J$2:J$37,"",0,1),0),$A1152-TEXT(DATEVALUE($D1152&amp;"-01"), "dd-mm-yyyy")),0),0)</f>
        <v>280</v>
      </c>
      <c r="K1152" cm="1">
        <f t="array" ref="K1152">IF($Q1152&gt;=0,IFERROR(generateSalesData($D1152, IF(ISNUMBER(_xlfn.XLOOKUP($C1152,Phone_by_Sentiment!$B$2:$B$37,Phone_by_Sentiment!K$2:K$37,"",0,1)),_xlfn.XLOOKUP($C1152,Phone_by_Sentiment!$B$2:$B$37,Phone_by_Sentiment!K$2:K$37,"",0,1),0),$A1152-TEXT(DATEVALUE($D1152&amp;"-01"), "dd-mm-yyyy")),0),0)</f>
        <v>348</v>
      </c>
      <c r="L1152" cm="1">
        <f t="array" ref="L1152">IF($Q1152&gt;=0,IFERROR(generateSalesData($D1152, IF(ISNUMBER(_xlfn.XLOOKUP($C1152,Phone_by_Sentiment!$B$2:$B$37,Phone_by_Sentiment!L$2:L$37,"",0,1)),_xlfn.XLOOKUP($C1152,Phone_by_Sentiment!$B$2:$B$37,Phone_by_Sentiment!L$2:L$37,"",0,1),0),$A1152-TEXT(DATEVALUE($D1152&amp;"-01"), "dd-mm-yyyy")),0),0)</f>
        <v>76</v>
      </c>
      <c r="M1152" cm="1">
        <f t="array" ref="M1152">IF($Q1152&gt;=0,IFERROR(generateSalesData($D1152, IF(ISNUMBER(_xlfn.XLOOKUP($C1152,Phone_by_Sentiment!$B$2:$B$37,Phone_by_Sentiment!M$2:M$37,"",0,1)),_xlfn.XLOOKUP($C1152,Phone_by_Sentiment!$B$2:$B$37,Phone_by_Sentiment!M$2:M$37,"",0,1),0),$A1152-TEXT(DATEVALUE($D1152&amp;"-01"), "dd-mm-yyyy")),0),0)</f>
        <v>228</v>
      </c>
      <c r="N1152" cm="1">
        <f t="array" ref="N1152">IF($Q1152&gt;=0,IFERROR(generateSalesData($D1152, IF(ISNUMBER(_xlfn.XLOOKUP($C1152,Phone_by_Sentiment!$B$2:$B$37,Phone_by_Sentiment!N$2:N$37,"",0,1)),_xlfn.XLOOKUP($C1152,Phone_by_Sentiment!$B$2:$B$37,Phone_by_Sentiment!N$2:N$37,"",0,1),0),$A1152-TEXT(DATEVALUE($D1152&amp;"-01"), "dd-mm-yyyy")),0),0)</f>
        <v>46</v>
      </c>
      <c r="O1152" cm="1">
        <f t="array" ref="O1152">IF($Q1152&gt;=0,IFERROR(generateSalesData($D1152, IF(ISNUMBER(_xlfn.XLOOKUP($C1152,Phone_by_Sentiment!$B$2:$B$37,Phone_by_Sentiment!O$2:O$37,"",0,1)),_xlfn.XLOOKUP($C1152,Phone_by_Sentiment!$B$2:$B$37,Phone_by_Sentiment!O$2:O$37,"",0,1),0),$A1152-TEXT(DATEVALUE($D1152&amp;"-01"), "dd-mm-yyyy")),0),0)</f>
        <v>312</v>
      </c>
      <c r="P1152" s="1">
        <f t="shared" si="46"/>
        <v>43678</v>
      </c>
      <c r="Q1152">
        <f t="shared" si="47"/>
        <v>762</v>
      </c>
    </row>
    <row r="1153" spans="1:17" x14ac:dyDescent="0.25">
      <c r="A1153" s="1">
        <f t="shared" si="48"/>
        <v>44440</v>
      </c>
      <c r="B1153" t="s">
        <v>170</v>
      </c>
      <c r="C1153" t="str">
        <f>_xlfn.XLOOKUP(B1153,Phone_by_Price!$A$2:$A$34,Phone_by_Price!$B$2:$B$34,"-",0,1)</f>
        <v>Realme Narzo 30A</v>
      </c>
      <c r="D1153" t="str">
        <f>_xlfn.XLOOKUP(C1153,Phone_by_Sentiment!$B$2:$B$37,Phone_by_Sentiment!$A$2:$A$37,"-",0,1)</f>
        <v>2021-02</v>
      </c>
      <c r="E1153" cm="1">
        <f t="array" ref="E1153">IF($Q1153&gt;=0,IFERROR(generateSalesData($D1153, IF(ISNUMBER(_xlfn.XLOOKUP($C1153,Phone_by_Sentiment!$B$2:$B$37,Phone_by_Sentiment!E$2:E$37,"",0,1)),_xlfn.XLOOKUP($C1153,Phone_by_Sentiment!$B$2:$B$37,Phone_by_Sentiment!E$2:E$37,"",0,1),0),$A1153-TEXT(DATEVALUE($D1153&amp;"-01"), "dd-mm-yyyy")),0),0)</f>
        <v>384</v>
      </c>
      <c r="F1153" cm="1">
        <f t="array" ref="F1153">IF($Q1153&gt;=0,IFERROR(generateSalesData($D1153, IF(ISNUMBER(_xlfn.XLOOKUP($C1153,Phone_by_Sentiment!$B$2:$B$37,Phone_by_Sentiment!F$2:F$37,"",0,1)),_xlfn.XLOOKUP($C1153,Phone_by_Sentiment!$B$2:$B$37,Phone_by_Sentiment!F$2:F$37,"",0,1),0),$A1153-TEXT(DATEVALUE($D1153&amp;"-01"), "dd-mm-yyyy")),0),0)</f>
        <v>218</v>
      </c>
      <c r="G1153" cm="1">
        <f t="array" ref="G1153">IF($Q1153&gt;=0,IFERROR(generateSalesData($D1153, IF(ISNUMBER(_xlfn.XLOOKUP($C1153,Phone_by_Sentiment!$B$2:$B$37,Phone_by_Sentiment!G$2:G$37,"",0,1)),_xlfn.XLOOKUP($C1153,Phone_by_Sentiment!$B$2:$B$37,Phone_by_Sentiment!G$2:G$37,"",0,1),0),$A1153-TEXT(DATEVALUE($D1153&amp;"-01"), "dd-mm-yyyy")),0),0)</f>
        <v>207</v>
      </c>
      <c r="H1153" cm="1">
        <f t="array" ref="H1153">IF($Q1153&gt;=0,IFERROR(generateSalesData($D1153, IF(ISNUMBER(_xlfn.XLOOKUP($C1153,Phone_by_Sentiment!$B$2:$B$37,Phone_by_Sentiment!H$2:H$37,"",0,1)),_xlfn.XLOOKUP($C1153,Phone_by_Sentiment!$B$2:$B$37,Phone_by_Sentiment!H$2:H$37,"",0,1),0),$A1153-TEXT(DATEVALUE($D1153&amp;"-01"), "dd-mm-yyyy")),0),0)</f>
        <v>1346</v>
      </c>
      <c r="I1153" cm="1">
        <f t="array" ref="I1153">IF($Q1153&gt;=0,IFERROR(generateSalesData($D1153, IF(ISNUMBER(_xlfn.XLOOKUP($C1153,Phone_by_Sentiment!$B$2:$B$37,Phone_by_Sentiment!I$2:I$37,"",0,1)),_xlfn.XLOOKUP($C1153,Phone_by_Sentiment!$B$2:$B$37,Phone_by_Sentiment!I$2:I$37,"",0,1),0),$A1153-TEXT(DATEVALUE($D1153&amp;"-01"), "dd-mm-yyyy")),0),0)</f>
        <v>630</v>
      </c>
      <c r="J1153" cm="1">
        <f t="array" ref="J1153">IF($Q1153&gt;=0,IFERROR(generateSalesData($D1153, IF(ISNUMBER(_xlfn.XLOOKUP($C1153,Phone_by_Sentiment!$B$2:$B$37,Phone_by_Sentiment!J$2:J$37,"",0,1)),_xlfn.XLOOKUP($C1153,Phone_by_Sentiment!$B$2:$B$37,Phone_by_Sentiment!J$2:J$37,"",0,1),0),$A1153-TEXT(DATEVALUE($D1153&amp;"-01"), "dd-mm-yyyy")),0),0)</f>
        <v>476</v>
      </c>
      <c r="K1153" cm="1">
        <f t="array" ref="K1153">IF($Q1153&gt;=0,IFERROR(generateSalesData($D1153, IF(ISNUMBER(_xlfn.XLOOKUP($C1153,Phone_by_Sentiment!$B$2:$B$37,Phone_by_Sentiment!K$2:K$37,"",0,1)),_xlfn.XLOOKUP($C1153,Phone_by_Sentiment!$B$2:$B$37,Phone_by_Sentiment!K$2:K$37,"",0,1),0),$A1153-TEXT(DATEVALUE($D1153&amp;"-01"), "dd-mm-yyyy")),0),0)</f>
        <v>1320</v>
      </c>
      <c r="L1153" cm="1">
        <f t="array" ref="L1153">IF($Q1153&gt;=0,IFERROR(generateSalesData($D1153, IF(ISNUMBER(_xlfn.XLOOKUP($C1153,Phone_by_Sentiment!$B$2:$B$37,Phone_by_Sentiment!L$2:L$37,"",0,1)),_xlfn.XLOOKUP($C1153,Phone_by_Sentiment!$B$2:$B$37,Phone_by_Sentiment!L$2:L$37,"",0,1),0),$A1153-TEXT(DATEVALUE($D1153&amp;"-01"), "dd-mm-yyyy")),0),0)</f>
        <v>211</v>
      </c>
      <c r="M1153" cm="1">
        <f t="array" ref="M1153">IF($Q1153&gt;=0,IFERROR(generateSalesData($D1153, IF(ISNUMBER(_xlfn.XLOOKUP($C1153,Phone_by_Sentiment!$B$2:$B$37,Phone_by_Sentiment!M$2:M$37,"",0,1)),_xlfn.XLOOKUP($C1153,Phone_by_Sentiment!$B$2:$B$37,Phone_by_Sentiment!M$2:M$37,"",0,1),0),$A1153-TEXT(DATEVALUE($D1153&amp;"-01"), "dd-mm-yyyy")),0),0)</f>
        <v>334</v>
      </c>
      <c r="N1153" cm="1">
        <f t="array" ref="N1153">IF($Q1153&gt;=0,IFERROR(generateSalesData($D1153, IF(ISNUMBER(_xlfn.XLOOKUP($C1153,Phone_by_Sentiment!$B$2:$B$37,Phone_by_Sentiment!N$2:N$37,"",0,1)),_xlfn.XLOOKUP($C1153,Phone_by_Sentiment!$B$2:$B$37,Phone_by_Sentiment!N$2:N$37,"",0,1),0),$A1153-TEXT(DATEVALUE($D1153&amp;"-01"), "dd-mm-yyyy")),0),0)</f>
        <v>993</v>
      </c>
      <c r="O1153" cm="1">
        <f t="array" ref="O1153">IF($Q1153&gt;=0,IFERROR(generateSalesData($D1153, IF(ISNUMBER(_xlfn.XLOOKUP($C1153,Phone_by_Sentiment!$B$2:$B$37,Phone_by_Sentiment!O$2:O$37,"",0,1)),_xlfn.XLOOKUP($C1153,Phone_by_Sentiment!$B$2:$B$37,Phone_by_Sentiment!O$2:O$37,"",0,1),0),$A1153-TEXT(DATEVALUE($D1153&amp;"-01"), "dd-mm-yyyy")),0),0)</f>
        <v>274</v>
      </c>
      <c r="P1153" s="1">
        <f t="shared" si="46"/>
        <v>44228</v>
      </c>
      <c r="Q1153">
        <f t="shared" si="47"/>
        <v>212</v>
      </c>
    </row>
    <row r="1154" spans="1:17" x14ac:dyDescent="0.25">
      <c r="A1154" s="1">
        <f t="shared" si="48"/>
        <v>44440</v>
      </c>
      <c r="B1154" t="s">
        <v>171</v>
      </c>
      <c r="C1154" t="str">
        <f>_xlfn.XLOOKUP(B1154,Phone_by_Price!$A$2:$A$34,Phone_by_Price!$B$2:$B$34,"-",0,1)</f>
        <v>Samsung Galaxy A22 5G</v>
      </c>
      <c r="D1154" t="str">
        <f>_xlfn.XLOOKUP(C1154,Phone_by_Sentiment!$B$2:$B$37,Phone_by_Sentiment!$A$2:$A$37,"-",0,1)</f>
        <v>2021-05</v>
      </c>
      <c r="E1154" cm="1">
        <f t="array" ref="E1154">IF($Q1154&gt;=0,IFERROR(generateSalesData($D1154, IF(ISNUMBER(_xlfn.XLOOKUP($C1154,Phone_by_Sentiment!$B$2:$B$37,Phone_by_Sentiment!E$2:E$37,"",0,1)),_xlfn.XLOOKUP($C1154,Phone_by_Sentiment!$B$2:$B$37,Phone_by_Sentiment!E$2:E$37,"",0,1),0),$A1154-TEXT(DATEVALUE($D1154&amp;"-01"), "dd-mm-yyyy")),0),0)</f>
        <v>1682</v>
      </c>
      <c r="F1154" cm="1">
        <f t="array" ref="F1154">IF($Q1154&gt;=0,IFERROR(generateSalesData($D1154, IF(ISNUMBER(_xlfn.XLOOKUP($C1154,Phone_by_Sentiment!$B$2:$B$37,Phone_by_Sentiment!F$2:F$37,"",0,1)),_xlfn.XLOOKUP($C1154,Phone_by_Sentiment!$B$2:$B$37,Phone_by_Sentiment!F$2:F$37,"",0,1),0),$A1154-TEXT(DATEVALUE($D1154&amp;"-01"), "dd-mm-yyyy")),0),0)</f>
        <v>2180</v>
      </c>
      <c r="G1154" cm="1">
        <f t="array" ref="G1154">IF($Q1154&gt;=0,IFERROR(generateSalesData($D1154, IF(ISNUMBER(_xlfn.XLOOKUP($C1154,Phone_by_Sentiment!$B$2:$B$37,Phone_by_Sentiment!G$2:G$37,"",0,1)),_xlfn.XLOOKUP($C1154,Phone_by_Sentiment!$B$2:$B$37,Phone_by_Sentiment!G$2:G$37,"",0,1),0),$A1154-TEXT(DATEVALUE($D1154&amp;"-01"), "dd-mm-yyyy")),0),0)</f>
        <v>538</v>
      </c>
      <c r="H1154" cm="1">
        <f t="array" ref="H1154">IF($Q1154&gt;=0,IFERROR(generateSalesData($D1154, IF(ISNUMBER(_xlfn.XLOOKUP($C1154,Phone_by_Sentiment!$B$2:$B$37,Phone_by_Sentiment!H$2:H$37,"",0,1)),_xlfn.XLOOKUP($C1154,Phone_by_Sentiment!$B$2:$B$37,Phone_by_Sentiment!H$2:H$37,"",0,1),0),$A1154-TEXT(DATEVALUE($D1154&amp;"-01"), "dd-mm-yyyy")),0),0)</f>
        <v>2770</v>
      </c>
      <c r="I1154" cm="1">
        <f t="array" ref="I1154">IF($Q1154&gt;=0,IFERROR(generateSalesData($D1154, IF(ISNUMBER(_xlfn.XLOOKUP($C1154,Phone_by_Sentiment!$B$2:$B$37,Phone_by_Sentiment!I$2:I$37,"",0,1)),_xlfn.XLOOKUP($C1154,Phone_by_Sentiment!$B$2:$B$37,Phone_by_Sentiment!I$2:I$37,"",0,1),0),$A1154-TEXT(DATEVALUE($D1154&amp;"-01"), "dd-mm-yyyy")),0),0)</f>
        <v>1366</v>
      </c>
      <c r="J1154" cm="1">
        <f t="array" ref="J1154">IF($Q1154&gt;=0,IFERROR(generateSalesData($D1154, IF(ISNUMBER(_xlfn.XLOOKUP($C1154,Phone_by_Sentiment!$B$2:$B$37,Phone_by_Sentiment!J$2:J$37,"",0,1)),_xlfn.XLOOKUP($C1154,Phone_by_Sentiment!$B$2:$B$37,Phone_by_Sentiment!J$2:J$37,"",0,1),0),$A1154-TEXT(DATEVALUE($D1154&amp;"-01"), "dd-mm-yyyy")),0),0)</f>
        <v>1606</v>
      </c>
      <c r="K1154" cm="1">
        <f t="array" ref="K1154">IF($Q1154&gt;=0,IFERROR(generateSalesData($D1154, IF(ISNUMBER(_xlfn.XLOOKUP($C1154,Phone_by_Sentiment!$B$2:$B$37,Phone_by_Sentiment!K$2:K$37,"",0,1)),_xlfn.XLOOKUP($C1154,Phone_by_Sentiment!$B$2:$B$37,Phone_by_Sentiment!K$2:K$37,"",0,1),0),$A1154-TEXT(DATEVALUE($D1154&amp;"-01"), "dd-mm-yyyy")),0),0)</f>
        <v>2904</v>
      </c>
      <c r="L1154" cm="1">
        <f t="array" ref="L1154">IF($Q1154&gt;=0,IFERROR(generateSalesData($D1154, IF(ISNUMBER(_xlfn.XLOOKUP($C1154,Phone_by_Sentiment!$B$2:$B$37,Phone_by_Sentiment!L$2:L$37,"",0,1)),_xlfn.XLOOKUP($C1154,Phone_by_Sentiment!$B$2:$B$37,Phone_by_Sentiment!L$2:L$37,"",0,1),0),$A1154-TEXT(DATEVALUE($D1154&amp;"-01"), "dd-mm-yyyy")),0),0)</f>
        <v>1471</v>
      </c>
      <c r="M1154" cm="1">
        <f t="array" ref="M1154">IF($Q1154&gt;=0,IFERROR(generateSalesData($D1154, IF(ISNUMBER(_xlfn.XLOOKUP($C1154,Phone_by_Sentiment!$B$2:$B$37,Phone_by_Sentiment!M$2:M$37,"",0,1)),_xlfn.XLOOKUP($C1154,Phone_by_Sentiment!$B$2:$B$37,Phone_by_Sentiment!M$2:M$37,"",0,1),0),$A1154-TEXT(DATEVALUE($D1154&amp;"-01"), "dd-mm-yyyy")),0),0)</f>
        <v>1362</v>
      </c>
      <c r="N1154" cm="1">
        <f t="array" ref="N1154">IF($Q1154&gt;=0,IFERROR(generateSalesData($D1154, IF(ISNUMBER(_xlfn.XLOOKUP($C1154,Phone_by_Sentiment!$B$2:$B$37,Phone_by_Sentiment!N$2:N$37,"",0,1)),_xlfn.XLOOKUP($C1154,Phone_by_Sentiment!$B$2:$B$37,Phone_by_Sentiment!N$2:N$37,"",0,1),0),$A1154-TEXT(DATEVALUE($D1154&amp;"-01"), "dd-mm-yyyy")),0),0)</f>
        <v>2506</v>
      </c>
      <c r="O1154" cm="1">
        <f t="array" ref="O1154">IF($Q1154&gt;=0,IFERROR(generateSalesData($D1154, IF(ISNUMBER(_xlfn.XLOOKUP($C1154,Phone_by_Sentiment!$B$2:$B$37,Phone_by_Sentiment!O$2:O$37,"",0,1)),_xlfn.XLOOKUP($C1154,Phone_by_Sentiment!$B$2:$B$37,Phone_by_Sentiment!O$2:O$37,"",0,1),0),$A1154-TEXT(DATEVALUE($D1154&amp;"-01"), "dd-mm-yyyy")),0),0)</f>
        <v>1294</v>
      </c>
      <c r="P1154" s="1">
        <f t="shared" si="46"/>
        <v>44317</v>
      </c>
      <c r="Q1154">
        <f t="shared" si="47"/>
        <v>123</v>
      </c>
    </row>
    <row r="1155" spans="1:17" x14ac:dyDescent="0.25">
      <c r="A1155" s="1">
        <f t="shared" si="48"/>
        <v>44440</v>
      </c>
      <c r="B1155" t="s">
        <v>172</v>
      </c>
      <c r="C1155" t="str">
        <f>_xlfn.XLOOKUP(B1155,Phone_by_Price!$A$2:$A$34,Phone_by_Price!$B$2:$B$34,"-",0,1)</f>
        <v>Xiaomi Redmi 9</v>
      </c>
      <c r="D1155" t="str">
        <f>_xlfn.XLOOKUP(C1155,Phone_by_Sentiment!$B$2:$B$37,Phone_by_Sentiment!$A$2:$A$37,"-",0,1)</f>
        <v>2020-08</v>
      </c>
      <c r="E1155" cm="1">
        <f t="array" ref="E1155">IF($Q1155&gt;=0,IFERROR(generateSalesData($D1155, IF(ISNUMBER(_xlfn.XLOOKUP($C1155,Phone_by_Sentiment!$B$2:$B$37,Phone_by_Sentiment!E$2:E$37,"",0,1)),_xlfn.XLOOKUP($C1155,Phone_by_Sentiment!$B$2:$B$37,Phone_by_Sentiment!E$2:E$37,"",0,1),0),$A1155-TEXT(DATEVALUE($D1155&amp;"-01"), "dd-mm-yyyy")),0),0)</f>
        <v>136</v>
      </c>
      <c r="F1155" cm="1">
        <f t="array" ref="F1155">IF($Q1155&gt;=0,IFERROR(generateSalesData($D1155, IF(ISNUMBER(_xlfn.XLOOKUP($C1155,Phone_by_Sentiment!$B$2:$B$37,Phone_by_Sentiment!F$2:F$37,"",0,1)),_xlfn.XLOOKUP($C1155,Phone_by_Sentiment!$B$2:$B$37,Phone_by_Sentiment!F$2:F$37,"",0,1),0),$A1155-TEXT(DATEVALUE($D1155&amp;"-01"), "dd-mm-yyyy")),0),0)</f>
        <v>140</v>
      </c>
      <c r="G1155" cm="1">
        <f t="array" ref="G1155">IF($Q1155&gt;=0,IFERROR(generateSalesData($D1155, IF(ISNUMBER(_xlfn.XLOOKUP($C1155,Phone_by_Sentiment!$B$2:$B$37,Phone_by_Sentiment!G$2:G$37,"",0,1)),_xlfn.XLOOKUP($C1155,Phone_by_Sentiment!$B$2:$B$37,Phone_by_Sentiment!G$2:G$37,"",0,1),0),$A1155-TEXT(DATEVALUE($D1155&amp;"-01"), "dd-mm-yyyy")),0),0)</f>
        <v>9</v>
      </c>
      <c r="H1155" cm="1">
        <f t="array" ref="H1155">IF($Q1155&gt;=0,IFERROR(generateSalesData($D1155, IF(ISNUMBER(_xlfn.XLOOKUP($C1155,Phone_by_Sentiment!$B$2:$B$37,Phone_by_Sentiment!H$2:H$37,"",0,1)),_xlfn.XLOOKUP($C1155,Phone_by_Sentiment!$B$2:$B$37,Phone_by_Sentiment!H$2:H$37,"",0,1),0),$A1155-TEXT(DATEVALUE($D1155&amp;"-01"), "dd-mm-yyyy")),0),0)</f>
        <v>511</v>
      </c>
      <c r="I1155" cm="1">
        <f t="array" ref="I1155">IF($Q1155&gt;=0,IFERROR(generateSalesData($D1155, IF(ISNUMBER(_xlfn.XLOOKUP($C1155,Phone_by_Sentiment!$B$2:$B$37,Phone_by_Sentiment!I$2:I$37,"",0,1)),_xlfn.XLOOKUP($C1155,Phone_by_Sentiment!$B$2:$B$37,Phone_by_Sentiment!I$2:I$37,"",0,1),0),$A1155-TEXT(DATEVALUE($D1155&amp;"-01"), "dd-mm-yyyy")),0),0)</f>
        <v>166</v>
      </c>
      <c r="J1155" cm="1">
        <f t="array" ref="J1155">IF($Q1155&gt;=0,IFERROR(generateSalesData($D1155, IF(ISNUMBER(_xlfn.XLOOKUP($C1155,Phone_by_Sentiment!$B$2:$B$37,Phone_by_Sentiment!J$2:J$37,"",0,1)),_xlfn.XLOOKUP($C1155,Phone_by_Sentiment!$B$2:$B$37,Phone_by_Sentiment!J$2:J$37,"",0,1),0),$A1155-TEXT(DATEVALUE($D1155&amp;"-01"), "dd-mm-yyyy")),0),0)</f>
        <v>131</v>
      </c>
      <c r="K1155" cm="1">
        <f t="array" ref="K1155">IF($Q1155&gt;=0,IFERROR(generateSalesData($D1155, IF(ISNUMBER(_xlfn.XLOOKUP($C1155,Phone_by_Sentiment!$B$2:$B$37,Phone_by_Sentiment!K$2:K$37,"",0,1)),_xlfn.XLOOKUP($C1155,Phone_by_Sentiment!$B$2:$B$37,Phone_by_Sentiment!K$2:K$37,"",0,1),0),$A1155-TEXT(DATEVALUE($D1155&amp;"-01"), "dd-mm-yyyy")),0),0)</f>
        <v>534</v>
      </c>
      <c r="L1155" cm="1">
        <f t="array" ref="L1155">IF($Q1155&gt;=0,IFERROR(generateSalesData($D1155, IF(ISNUMBER(_xlfn.XLOOKUP($C1155,Phone_by_Sentiment!$B$2:$B$37,Phone_by_Sentiment!L$2:L$37,"",0,1)),_xlfn.XLOOKUP($C1155,Phone_by_Sentiment!$B$2:$B$37,Phone_by_Sentiment!L$2:L$37,"",0,1),0),$A1155-TEXT(DATEVALUE($D1155&amp;"-01"), "dd-mm-yyyy")),0),0)</f>
        <v>63</v>
      </c>
      <c r="M1155" cm="1">
        <f t="array" ref="M1155">IF($Q1155&gt;=0,IFERROR(generateSalesData($D1155, IF(ISNUMBER(_xlfn.XLOOKUP($C1155,Phone_by_Sentiment!$B$2:$B$37,Phone_by_Sentiment!M$2:M$37,"",0,1)),_xlfn.XLOOKUP($C1155,Phone_by_Sentiment!$B$2:$B$37,Phone_by_Sentiment!M$2:M$37,"",0,1),0),$A1155-TEXT(DATEVALUE($D1155&amp;"-01"), "dd-mm-yyyy")),0),0)</f>
        <v>1053</v>
      </c>
      <c r="N1155" cm="1">
        <f t="array" ref="N1155">IF($Q1155&gt;=0,IFERROR(generateSalesData($D1155, IF(ISNUMBER(_xlfn.XLOOKUP($C1155,Phone_by_Sentiment!$B$2:$B$37,Phone_by_Sentiment!N$2:N$37,"",0,1)),_xlfn.XLOOKUP($C1155,Phone_by_Sentiment!$B$2:$B$37,Phone_by_Sentiment!N$2:N$37,"",0,1),0),$A1155-TEXT(DATEVALUE($D1155&amp;"-01"), "dd-mm-yyyy")),0),0)</f>
        <v>149</v>
      </c>
      <c r="O1155" cm="1">
        <f t="array" ref="O1155">IF($Q1155&gt;=0,IFERROR(generateSalesData($D1155, IF(ISNUMBER(_xlfn.XLOOKUP($C1155,Phone_by_Sentiment!$B$2:$B$37,Phone_by_Sentiment!O$2:O$37,"",0,1)),_xlfn.XLOOKUP($C1155,Phone_by_Sentiment!$B$2:$B$37,Phone_by_Sentiment!O$2:O$37,"",0,1),0),$A1155-TEXT(DATEVALUE($D1155&amp;"-01"), "dd-mm-yyyy")),0),0)</f>
        <v>489</v>
      </c>
      <c r="P1155" s="1">
        <f t="shared" si="46"/>
        <v>44044</v>
      </c>
      <c r="Q1155">
        <f t="shared" si="47"/>
        <v>396</v>
      </c>
    </row>
    <row r="1156" spans="1:17" x14ac:dyDescent="0.25">
      <c r="A1156" s="1">
        <f t="shared" si="48"/>
        <v>44470</v>
      </c>
      <c r="B1156" t="s">
        <v>173</v>
      </c>
      <c r="C1156" t="str">
        <f>_xlfn.XLOOKUP(B1156,Phone_by_Price!$A$2:$A$34,Phone_by_Price!$B$2:$B$34,"-",0,1)</f>
        <v>Realme C3</v>
      </c>
      <c r="D1156" t="str">
        <f>_xlfn.XLOOKUP(C1156,Phone_by_Sentiment!$B$2:$B$37,Phone_by_Sentiment!$A$2:$A$37,"-",0,1)</f>
        <v>2020-02</v>
      </c>
      <c r="E1156" cm="1">
        <f t="array" ref="E1156">IF($Q1156&gt;=0,IFERROR(generateSalesData($D1156, IF(ISNUMBER(_xlfn.XLOOKUP($C1156,Phone_by_Sentiment!$B$2:$B$37,Phone_by_Sentiment!E$2:E$37,"",0,1)),_xlfn.XLOOKUP($C1156,Phone_by_Sentiment!$B$2:$B$37,Phone_by_Sentiment!E$2:E$37,"",0,1),0),$A1156-TEXT(DATEVALUE($D1156&amp;"-01"), "dd-mm-yyyy")),0),0)</f>
        <v>127</v>
      </c>
      <c r="F1156" cm="1">
        <f t="array" ref="F1156">IF($Q1156&gt;=0,IFERROR(generateSalesData($D1156, IF(ISNUMBER(_xlfn.XLOOKUP($C1156,Phone_by_Sentiment!$B$2:$B$37,Phone_by_Sentiment!F$2:F$37,"",0,1)),_xlfn.XLOOKUP($C1156,Phone_by_Sentiment!$B$2:$B$37,Phone_by_Sentiment!F$2:F$37,"",0,1),0),$A1156-TEXT(DATEVALUE($D1156&amp;"-01"), "dd-mm-yyyy")),0),0)</f>
        <v>112</v>
      </c>
      <c r="G1156" cm="1">
        <f t="array" ref="G1156">IF($Q1156&gt;=0,IFERROR(generateSalesData($D1156, IF(ISNUMBER(_xlfn.XLOOKUP($C1156,Phone_by_Sentiment!$B$2:$B$37,Phone_by_Sentiment!G$2:G$37,"",0,1)),_xlfn.XLOOKUP($C1156,Phone_by_Sentiment!$B$2:$B$37,Phone_by_Sentiment!G$2:G$37,"",0,1),0),$A1156-TEXT(DATEVALUE($D1156&amp;"-01"), "dd-mm-yyyy")),0),0)</f>
        <v>98</v>
      </c>
      <c r="H1156" cm="1">
        <f t="array" ref="H1156">IF($Q1156&gt;=0,IFERROR(generateSalesData($D1156, IF(ISNUMBER(_xlfn.XLOOKUP($C1156,Phone_by_Sentiment!$B$2:$B$37,Phone_by_Sentiment!H$2:H$37,"",0,1)),_xlfn.XLOOKUP($C1156,Phone_by_Sentiment!$B$2:$B$37,Phone_by_Sentiment!H$2:H$37,"",0,1),0),$A1156-TEXT(DATEVALUE($D1156&amp;"-01"), "dd-mm-yyyy")),0),0)</f>
        <v>569</v>
      </c>
      <c r="I1156" cm="1">
        <f t="array" ref="I1156">IF($Q1156&gt;=0,IFERROR(generateSalesData($D1156, IF(ISNUMBER(_xlfn.XLOOKUP($C1156,Phone_by_Sentiment!$B$2:$B$37,Phone_by_Sentiment!I$2:I$37,"",0,1)),_xlfn.XLOOKUP($C1156,Phone_by_Sentiment!$B$2:$B$37,Phone_by_Sentiment!I$2:I$37,"",0,1),0),$A1156-TEXT(DATEVALUE($D1156&amp;"-01"), "dd-mm-yyyy")),0),0)</f>
        <v>416</v>
      </c>
      <c r="J1156" cm="1">
        <f t="array" ref="J1156">IF($Q1156&gt;=0,IFERROR(generateSalesData($D1156, IF(ISNUMBER(_xlfn.XLOOKUP($C1156,Phone_by_Sentiment!$B$2:$B$37,Phone_by_Sentiment!J$2:J$37,"",0,1)),_xlfn.XLOOKUP($C1156,Phone_by_Sentiment!$B$2:$B$37,Phone_by_Sentiment!J$2:J$37,"",0,1),0),$A1156-TEXT(DATEVALUE($D1156&amp;"-01"), "dd-mm-yyyy")),0),0)</f>
        <v>177</v>
      </c>
      <c r="K1156" cm="1">
        <f t="array" ref="K1156">IF($Q1156&gt;=0,IFERROR(generateSalesData($D1156, IF(ISNUMBER(_xlfn.XLOOKUP($C1156,Phone_by_Sentiment!$B$2:$B$37,Phone_by_Sentiment!K$2:K$37,"",0,1)),_xlfn.XLOOKUP($C1156,Phone_by_Sentiment!$B$2:$B$37,Phone_by_Sentiment!K$2:K$37,"",0,1),0),$A1156-TEXT(DATEVALUE($D1156&amp;"-01"), "dd-mm-yyyy")),0),0)</f>
        <v>553</v>
      </c>
      <c r="L1156" cm="1">
        <f t="array" ref="L1156">IF($Q1156&gt;=0,IFERROR(generateSalesData($D1156, IF(ISNUMBER(_xlfn.XLOOKUP($C1156,Phone_by_Sentiment!$B$2:$B$37,Phone_by_Sentiment!L$2:L$37,"",0,1)),_xlfn.XLOOKUP($C1156,Phone_by_Sentiment!$B$2:$B$37,Phone_by_Sentiment!L$2:L$37,"",0,1),0),$A1156-TEXT(DATEVALUE($D1156&amp;"-01"), "dd-mm-yyyy")),0),0)</f>
        <v>362</v>
      </c>
      <c r="M1156" cm="1">
        <f t="array" ref="M1156">IF($Q1156&gt;=0,IFERROR(generateSalesData($D1156, IF(ISNUMBER(_xlfn.XLOOKUP($C1156,Phone_by_Sentiment!$B$2:$B$37,Phone_by_Sentiment!M$2:M$37,"",0,1)),_xlfn.XLOOKUP($C1156,Phone_by_Sentiment!$B$2:$B$37,Phone_by_Sentiment!M$2:M$37,"",0,1),0),$A1156-TEXT(DATEVALUE($D1156&amp;"-01"), "dd-mm-yyyy")),0),0)</f>
        <v>149</v>
      </c>
      <c r="N1156" cm="1">
        <f t="array" ref="N1156">IF($Q1156&gt;=0,IFERROR(generateSalesData($D1156, IF(ISNUMBER(_xlfn.XLOOKUP($C1156,Phone_by_Sentiment!$B$2:$B$37,Phone_by_Sentiment!N$2:N$37,"",0,1)),_xlfn.XLOOKUP($C1156,Phone_by_Sentiment!$B$2:$B$37,Phone_by_Sentiment!N$2:N$37,"",0,1),0),$A1156-TEXT(DATEVALUE($D1156&amp;"-01"), "dd-mm-yyyy")),0),0)</f>
        <v>463</v>
      </c>
      <c r="O1156" cm="1">
        <f t="array" ref="O1156">IF($Q1156&gt;=0,IFERROR(generateSalesData($D1156, IF(ISNUMBER(_xlfn.XLOOKUP($C1156,Phone_by_Sentiment!$B$2:$B$37,Phone_by_Sentiment!O$2:O$37,"",0,1)),_xlfn.XLOOKUP($C1156,Phone_by_Sentiment!$B$2:$B$37,Phone_by_Sentiment!O$2:O$37,"",0,1),0),$A1156-TEXT(DATEVALUE($D1156&amp;"-01"), "dd-mm-yyyy")),0),0)</f>
        <v>160</v>
      </c>
      <c r="P1156" s="1">
        <f t="shared" ref="P1156:P1219" si="49">DATEVALUE($D1156&amp;"-01")</f>
        <v>43862</v>
      </c>
      <c r="Q1156">
        <f t="shared" ref="Q1156:Q1219" si="50">A1156-P1156</f>
        <v>608</v>
      </c>
    </row>
    <row r="1157" spans="1:17" x14ac:dyDescent="0.25">
      <c r="A1157" s="1">
        <f t="shared" si="48"/>
        <v>44470</v>
      </c>
      <c r="B1157" t="s">
        <v>174</v>
      </c>
      <c r="C1157" t="str">
        <f>_xlfn.XLOOKUP(B1157,Phone_by_Price!$A$2:$A$34,Phone_by_Price!$B$2:$B$34,"-",0,1)</f>
        <v>Samsung Galaxy A7</v>
      </c>
      <c r="D1157" t="str">
        <f>_xlfn.XLOOKUP(C1157,Phone_by_Sentiment!$B$2:$B$37,Phone_by_Sentiment!$A$2:$A$37,"-",0,1)</f>
        <v>2018-10</v>
      </c>
      <c r="E1157" cm="1">
        <f t="array" ref="E1157">IF($Q1157&gt;=0,IFERROR(generateSalesData($D1157, IF(ISNUMBER(_xlfn.XLOOKUP($C1157,Phone_by_Sentiment!$B$2:$B$37,Phone_by_Sentiment!E$2:E$37,"",0,1)),_xlfn.XLOOKUP($C1157,Phone_by_Sentiment!$B$2:$B$37,Phone_by_Sentiment!E$2:E$37,"",0,1),0),$A1157-TEXT(DATEVALUE($D1157&amp;"-01"), "dd-mm-yyyy")),0),0)</f>
        <v>45</v>
      </c>
      <c r="F1157" cm="1">
        <f t="array" ref="F1157">IF($Q1157&gt;=0,IFERROR(generateSalesData($D1157, IF(ISNUMBER(_xlfn.XLOOKUP($C1157,Phone_by_Sentiment!$B$2:$B$37,Phone_by_Sentiment!F$2:F$37,"",0,1)),_xlfn.XLOOKUP($C1157,Phone_by_Sentiment!$B$2:$B$37,Phone_by_Sentiment!F$2:F$37,"",0,1),0),$A1157-TEXT(DATEVALUE($D1157&amp;"-01"), "dd-mm-yyyy")),0),0)</f>
        <v>-4</v>
      </c>
      <c r="G1157" cm="1">
        <f t="array" ref="G1157">IF($Q1157&gt;=0,IFERROR(generateSalesData($D1157, IF(ISNUMBER(_xlfn.XLOOKUP($C1157,Phone_by_Sentiment!$B$2:$B$37,Phone_by_Sentiment!G$2:G$37,"",0,1)),_xlfn.XLOOKUP($C1157,Phone_by_Sentiment!$B$2:$B$37,Phone_by_Sentiment!G$2:G$37,"",0,1),0),$A1157-TEXT(DATEVALUE($D1157&amp;"-01"), "dd-mm-yyyy")),0),0)</f>
        <v>45</v>
      </c>
      <c r="H1157" cm="1">
        <f t="array" ref="H1157">IF($Q1157&gt;=0,IFERROR(generateSalesData($D1157, IF(ISNUMBER(_xlfn.XLOOKUP($C1157,Phone_by_Sentiment!$B$2:$B$37,Phone_by_Sentiment!H$2:H$37,"",0,1)),_xlfn.XLOOKUP($C1157,Phone_by_Sentiment!$B$2:$B$37,Phone_by_Sentiment!H$2:H$37,"",0,1),0),$A1157-TEXT(DATEVALUE($D1157&amp;"-01"), "dd-mm-yyyy")),0),0)</f>
        <v>5</v>
      </c>
      <c r="I1157" cm="1">
        <f t="array" ref="I1157">IF($Q1157&gt;=0,IFERROR(generateSalesData($D1157, IF(ISNUMBER(_xlfn.XLOOKUP($C1157,Phone_by_Sentiment!$B$2:$B$37,Phone_by_Sentiment!I$2:I$37,"",0,1)),_xlfn.XLOOKUP($C1157,Phone_by_Sentiment!$B$2:$B$37,Phone_by_Sentiment!I$2:I$37,"",0,1),0),$A1157-TEXT(DATEVALUE($D1157&amp;"-01"), "dd-mm-yyyy")),0),0)</f>
        <v>172</v>
      </c>
      <c r="J1157" cm="1">
        <f t="array" ref="J1157">IF($Q1157&gt;=0,IFERROR(generateSalesData($D1157, IF(ISNUMBER(_xlfn.XLOOKUP($C1157,Phone_by_Sentiment!$B$2:$B$37,Phone_by_Sentiment!J$2:J$37,"",0,1)),_xlfn.XLOOKUP($C1157,Phone_by_Sentiment!$B$2:$B$37,Phone_by_Sentiment!J$2:J$37,"",0,1),0),$A1157-TEXT(DATEVALUE($D1157&amp;"-01"), "dd-mm-yyyy")),0),0)</f>
        <v>79</v>
      </c>
      <c r="K1157" cm="1">
        <f t="array" ref="K1157">IF($Q1157&gt;=0,IFERROR(generateSalesData($D1157, IF(ISNUMBER(_xlfn.XLOOKUP($C1157,Phone_by_Sentiment!$B$2:$B$37,Phone_by_Sentiment!K$2:K$37,"",0,1)),_xlfn.XLOOKUP($C1157,Phone_by_Sentiment!$B$2:$B$37,Phone_by_Sentiment!K$2:K$37,"",0,1),0),$A1157-TEXT(DATEVALUE($D1157&amp;"-01"), "dd-mm-yyyy")),0),0)</f>
        <v>62</v>
      </c>
      <c r="L1157" cm="1">
        <f t="array" ref="L1157">IF($Q1157&gt;=0,IFERROR(generateSalesData($D1157, IF(ISNUMBER(_xlfn.XLOOKUP($C1157,Phone_by_Sentiment!$B$2:$B$37,Phone_by_Sentiment!L$2:L$37,"",0,1)),_xlfn.XLOOKUP($C1157,Phone_by_Sentiment!$B$2:$B$37,Phone_by_Sentiment!L$2:L$37,"",0,1),0),$A1157-TEXT(DATEVALUE($D1157&amp;"-01"), "dd-mm-yyyy")),0),0)</f>
        <v>27</v>
      </c>
      <c r="M1157" cm="1">
        <f t="array" ref="M1157">IF($Q1157&gt;=0,IFERROR(generateSalesData($D1157, IF(ISNUMBER(_xlfn.XLOOKUP($C1157,Phone_by_Sentiment!$B$2:$B$37,Phone_by_Sentiment!M$2:M$37,"",0,1)),_xlfn.XLOOKUP($C1157,Phone_by_Sentiment!$B$2:$B$37,Phone_by_Sentiment!M$2:M$37,"",0,1),0),$A1157-TEXT(DATEVALUE($D1157&amp;"-01"), "dd-mm-yyyy")),0),0)</f>
        <v>355</v>
      </c>
      <c r="N1157" cm="1">
        <f t="array" ref="N1157">IF($Q1157&gt;=0,IFERROR(generateSalesData($D1157, IF(ISNUMBER(_xlfn.XLOOKUP($C1157,Phone_by_Sentiment!$B$2:$B$37,Phone_by_Sentiment!N$2:N$37,"",0,1)),_xlfn.XLOOKUP($C1157,Phone_by_Sentiment!$B$2:$B$37,Phone_by_Sentiment!N$2:N$37,"",0,1),0),$A1157-TEXT(DATEVALUE($D1157&amp;"-01"), "dd-mm-yyyy")),0),0)</f>
        <v>252</v>
      </c>
      <c r="O1157" cm="1">
        <f t="array" ref="O1157">IF($Q1157&gt;=0,IFERROR(generateSalesData($D1157, IF(ISNUMBER(_xlfn.XLOOKUP($C1157,Phone_by_Sentiment!$B$2:$B$37,Phone_by_Sentiment!O$2:O$37,"",0,1)),_xlfn.XLOOKUP($C1157,Phone_by_Sentiment!$B$2:$B$37,Phone_by_Sentiment!O$2:O$37,"",0,1),0),$A1157-TEXT(DATEVALUE($D1157&amp;"-01"), "dd-mm-yyyy")),0),0)</f>
        <v>330</v>
      </c>
      <c r="P1157" s="1">
        <f t="shared" si="49"/>
        <v>43374</v>
      </c>
      <c r="Q1157">
        <f t="shared" si="50"/>
        <v>1096</v>
      </c>
    </row>
    <row r="1158" spans="1:17" x14ac:dyDescent="0.25">
      <c r="A1158" s="1">
        <f t="shared" si="48"/>
        <v>44470</v>
      </c>
      <c r="B1158" t="s">
        <v>142</v>
      </c>
      <c r="C1158" t="str">
        <f>_xlfn.XLOOKUP(B1158,Phone_by_Price!$A$2:$A$34,Phone_by_Price!$B$2:$B$34,"-",0,1)</f>
        <v>iPhone 11</v>
      </c>
      <c r="D1158" t="str">
        <f>_xlfn.XLOOKUP(C1158,Phone_by_Sentiment!$B$2:$B$37,Phone_by_Sentiment!$A$2:$A$37,"-",0,1)</f>
        <v>2019-09</v>
      </c>
      <c r="E1158" cm="1">
        <f t="array" ref="E1158">IF($Q1158&gt;=0,IFERROR(generateSalesData($D1158, IF(ISNUMBER(_xlfn.XLOOKUP($C1158,Phone_by_Sentiment!$B$2:$B$37,Phone_by_Sentiment!E$2:E$37,"",0,1)),_xlfn.XLOOKUP($C1158,Phone_by_Sentiment!$B$2:$B$37,Phone_by_Sentiment!E$2:E$37,"",0,1),0),$A1158-TEXT(DATEVALUE($D1158&amp;"-01"), "dd-mm-yyyy")),0),0)</f>
        <v>170</v>
      </c>
      <c r="F1158" cm="1">
        <f t="array" ref="F1158">IF($Q1158&gt;=0,IFERROR(generateSalesData($D1158, IF(ISNUMBER(_xlfn.XLOOKUP($C1158,Phone_by_Sentiment!$B$2:$B$37,Phone_by_Sentiment!F$2:F$37,"",0,1)),_xlfn.XLOOKUP($C1158,Phone_by_Sentiment!$B$2:$B$37,Phone_by_Sentiment!F$2:F$37,"",0,1),0),$A1158-TEXT(DATEVALUE($D1158&amp;"-01"), "dd-mm-yyyy")),0),0)</f>
        <v>58</v>
      </c>
      <c r="G1158" cm="1">
        <f t="array" ref="G1158">IF($Q1158&gt;=0,IFERROR(generateSalesData($D1158, IF(ISNUMBER(_xlfn.XLOOKUP($C1158,Phone_by_Sentiment!$B$2:$B$37,Phone_by_Sentiment!G$2:G$37,"",0,1)),_xlfn.XLOOKUP($C1158,Phone_by_Sentiment!$B$2:$B$37,Phone_by_Sentiment!G$2:G$37,"",0,1),0),$A1158-TEXT(DATEVALUE($D1158&amp;"-01"), "dd-mm-yyyy")),0),0)</f>
        <v>109</v>
      </c>
      <c r="H1158" cm="1">
        <f t="array" ref="H1158">IF($Q1158&gt;=0,IFERROR(generateSalesData($D1158, IF(ISNUMBER(_xlfn.XLOOKUP($C1158,Phone_by_Sentiment!$B$2:$B$37,Phone_by_Sentiment!H$2:H$37,"",0,1)),_xlfn.XLOOKUP($C1158,Phone_by_Sentiment!$B$2:$B$37,Phone_by_Sentiment!H$2:H$37,"",0,1),0),$A1158-TEXT(DATEVALUE($D1158&amp;"-01"), "dd-mm-yyyy")),0),0)</f>
        <v>333</v>
      </c>
      <c r="I1158" cm="1">
        <f t="array" ref="I1158">IF($Q1158&gt;=0,IFERROR(generateSalesData($D1158, IF(ISNUMBER(_xlfn.XLOOKUP($C1158,Phone_by_Sentiment!$B$2:$B$37,Phone_by_Sentiment!I$2:I$37,"",0,1)),_xlfn.XLOOKUP($C1158,Phone_by_Sentiment!$B$2:$B$37,Phone_by_Sentiment!I$2:I$37,"",0,1),0),$A1158-TEXT(DATEVALUE($D1158&amp;"-01"), "dd-mm-yyyy")),0),0)</f>
        <v>222</v>
      </c>
      <c r="J1158" cm="1">
        <f t="array" ref="J1158">IF($Q1158&gt;=0,IFERROR(generateSalesData($D1158, IF(ISNUMBER(_xlfn.XLOOKUP($C1158,Phone_by_Sentiment!$B$2:$B$37,Phone_by_Sentiment!J$2:J$37,"",0,1)),_xlfn.XLOOKUP($C1158,Phone_by_Sentiment!$B$2:$B$37,Phone_by_Sentiment!J$2:J$37,"",0,1),0),$A1158-TEXT(DATEVALUE($D1158&amp;"-01"), "dd-mm-yyyy")),0),0)</f>
        <v>222</v>
      </c>
      <c r="K1158" cm="1">
        <f t="array" ref="K1158">IF($Q1158&gt;=0,IFERROR(generateSalesData($D1158, IF(ISNUMBER(_xlfn.XLOOKUP($C1158,Phone_by_Sentiment!$B$2:$B$37,Phone_by_Sentiment!K$2:K$37,"",0,1)),_xlfn.XLOOKUP($C1158,Phone_by_Sentiment!$B$2:$B$37,Phone_by_Sentiment!K$2:K$37,"",0,1),0),$A1158-TEXT(DATEVALUE($D1158&amp;"-01"), "dd-mm-yyyy")),0),0)</f>
        <v>58</v>
      </c>
      <c r="L1158" cm="1">
        <f t="array" ref="L1158">IF($Q1158&gt;=0,IFERROR(generateSalesData($D1158, IF(ISNUMBER(_xlfn.XLOOKUP($C1158,Phone_by_Sentiment!$B$2:$B$37,Phone_by_Sentiment!L$2:L$37,"",0,1)),_xlfn.XLOOKUP($C1158,Phone_by_Sentiment!$B$2:$B$37,Phone_by_Sentiment!L$2:L$37,"",0,1),0),$A1158-TEXT(DATEVALUE($D1158&amp;"-01"), "dd-mm-yyyy")),0),0)</f>
        <v>304</v>
      </c>
      <c r="M1158" cm="1">
        <f t="array" ref="M1158">IF($Q1158&gt;=0,IFERROR(generateSalesData($D1158, IF(ISNUMBER(_xlfn.XLOOKUP($C1158,Phone_by_Sentiment!$B$2:$B$37,Phone_by_Sentiment!M$2:M$37,"",0,1)),_xlfn.XLOOKUP($C1158,Phone_by_Sentiment!$B$2:$B$37,Phone_by_Sentiment!M$2:M$37,"",0,1),0),$A1158-TEXT(DATEVALUE($D1158&amp;"-01"), "dd-mm-yyyy")),0),0)</f>
        <v>177</v>
      </c>
      <c r="N1158" cm="1">
        <f t="array" ref="N1158">IF($Q1158&gt;=0,IFERROR(generateSalesData($D1158, IF(ISNUMBER(_xlfn.XLOOKUP($C1158,Phone_by_Sentiment!$B$2:$B$37,Phone_by_Sentiment!N$2:N$37,"",0,1)),_xlfn.XLOOKUP($C1158,Phone_by_Sentiment!$B$2:$B$37,Phone_by_Sentiment!N$2:N$37,"",0,1),0),$A1158-TEXT(DATEVALUE($D1158&amp;"-01"), "dd-mm-yyyy")),0),0)</f>
        <v>174</v>
      </c>
      <c r="O1158" cm="1">
        <f t="array" ref="O1158">IF($Q1158&gt;=0,IFERROR(generateSalesData($D1158, IF(ISNUMBER(_xlfn.XLOOKUP($C1158,Phone_by_Sentiment!$B$2:$B$37,Phone_by_Sentiment!O$2:O$37,"",0,1)),_xlfn.XLOOKUP($C1158,Phone_by_Sentiment!$B$2:$B$37,Phone_by_Sentiment!O$2:O$37,"",0,1),0),$A1158-TEXT(DATEVALUE($D1158&amp;"-01"), "dd-mm-yyyy")),0),0)</f>
        <v>496</v>
      </c>
      <c r="P1158" s="1">
        <f t="shared" si="49"/>
        <v>43709</v>
      </c>
      <c r="Q1158">
        <f t="shared" si="50"/>
        <v>761</v>
      </c>
    </row>
    <row r="1159" spans="1:17" x14ac:dyDescent="0.25">
      <c r="A1159" s="1">
        <f t="shared" si="48"/>
        <v>44470</v>
      </c>
      <c r="B1159" t="s">
        <v>143</v>
      </c>
      <c r="C1159" t="str">
        <f>_xlfn.XLOOKUP(B1159,Phone_by_Price!$A$2:$A$34,Phone_by_Price!$B$2:$B$34,"-",0,1)</f>
        <v>Samsung Galaxy S20 Ultra</v>
      </c>
      <c r="D1159" t="str">
        <f>_xlfn.XLOOKUP(C1159,Phone_by_Sentiment!$B$2:$B$37,Phone_by_Sentiment!$A$2:$A$37,"-",0,1)</f>
        <v>2020-02</v>
      </c>
      <c r="E1159" cm="1">
        <f t="array" ref="E1159">IF($Q1159&gt;=0,IFERROR(generateSalesData($D1159, IF(ISNUMBER(_xlfn.XLOOKUP($C1159,Phone_by_Sentiment!$B$2:$B$37,Phone_by_Sentiment!E$2:E$37,"",0,1)),_xlfn.XLOOKUP($C1159,Phone_by_Sentiment!$B$2:$B$37,Phone_by_Sentiment!E$2:E$37,"",0,1),0),$A1159-TEXT(DATEVALUE($D1159&amp;"-01"), "dd-mm-yyyy")),0),0)</f>
        <v>330</v>
      </c>
      <c r="F1159" cm="1">
        <f t="array" ref="F1159">IF($Q1159&gt;=0,IFERROR(generateSalesData($D1159, IF(ISNUMBER(_xlfn.XLOOKUP($C1159,Phone_by_Sentiment!$B$2:$B$37,Phone_by_Sentiment!F$2:F$37,"",0,1)),_xlfn.XLOOKUP($C1159,Phone_by_Sentiment!$B$2:$B$37,Phone_by_Sentiment!F$2:F$37,"",0,1),0),$A1159-TEXT(DATEVALUE($D1159&amp;"-01"), "dd-mm-yyyy")),0),0)</f>
        <v>312</v>
      </c>
      <c r="G1159" cm="1">
        <f t="array" ref="G1159">IF($Q1159&gt;=0,IFERROR(generateSalesData($D1159, IF(ISNUMBER(_xlfn.XLOOKUP($C1159,Phone_by_Sentiment!$B$2:$B$37,Phone_by_Sentiment!G$2:G$37,"",0,1)),_xlfn.XLOOKUP($C1159,Phone_by_Sentiment!$B$2:$B$37,Phone_by_Sentiment!G$2:G$37,"",0,1),0),$A1159-TEXT(DATEVALUE($D1159&amp;"-01"), "dd-mm-yyyy")),0),0)</f>
        <v>61</v>
      </c>
      <c r="H1159" cm="1">
        <f t="array" ref="H1159">IF($Q1159&gt;=0,IFERROR(generateSalesData($D1159, IF(ISNUMBER(_xlfn.XLOOKUP($C1159,Phone_by_Sentiment!$B$2:$B$37,Phone_by_Sentiment!H$2:H$37,"",0,1)),_xlfn.XLOOKUP($C1159,Phone_by_Sentiment!$B$2:$B$37,Phone_by_Sentiment!H$2:H$37,"",0,1),0),$A1159-TEXT(DATEVALUE($D1159&amp;"-01"), "dd-mm-yyyy")),0),0)</f>
        <v>792</v>
      </c>
      <c r="I1159" cm="1">
        <f t="array" ref="I1159">IF($Q1159&gt;=0,IFERROR(generateSalesData($D1159, IF(ISNUMBER(_xlfn.XLOOKUP($C1159,Phone_by_Sentiment!$B$2:$B$37,Phone_by_Sentiment!I$2:I$37,"",0,1)),_xlfn.XLOOKUP($C1159,Phone_by_Sentiment!$B$2:$B$37,Phone_by_Sentiment!I$2:I$37,"",0,1),0),$A1159-TEXT(DATEVALUE($D1159&amp;"-01"), "dd-mm-yyyy")),0),0)</f>
        <v>647</v>
      </c>
      <c r="J1159" cm="1">
        <f t="array" ref="J1159">IF($Q1159&gt;=0,IFERROR(generateSalesData($D1159, IF(ISNUMBER(_xlfn.XLOOKUP($C1159,Phone_by_Sentiment!$B$2:$B$37,Phone_by_Sentiment!J$2:J$37,"",0,1)),_xlfn.XLOOKUP($C1159,Phone_by_Sentiment!$B$2:$B$37,Phone_by_Sentiment!J$2:J$37,"",0,1),0),$A1159-TEXT(DATEVALUE($D1159&amp;"-01"), "dd-mm-yyyy")),0),0)</f>
        <v>319</v>
      </c>
      <c r="K1159" cm="1">
        <f t="array" ref="K1159">IF($Q1159&gt;=0,IFERROR(generateSalesData($D1159, IF(ISNUMBER(_xlfn.XLOOKUP($C1159,Phone_by_Sentiment!$B$2:$B$37,Phone_by_Sentiment!K$2:K$37,"",0,1)),_xlfn.XLOOKUP($C1159,Phone_by_Sentiment!$B$2:$B$37,Phone_by_Sentiment!K$2:K$37,"",0,1),0),$A1159-TEXT(DATEVALUE($D1159&amp;"-01"), "dd-mm-yyyy")),0),0)</f>
        <v>143</v>
      </c>
      <c r="L1159" cm="1">
        <f t="array" ref="L1159">IF($Q1159&gt;=0,IFERROR(generateSalesData($D1159, IF(ISNUMBER(_xlfn.XLOOKUP($C1159,Phone_by_Sentiment!$B$2:$B$37,Phone_by_Sentiment!L$2:L$37,"",0,1)),_xlfn.XLOOKUP($C1159,Phone_by_Sentiment!$B$2:$B$37,Phone_by_Sentiment!L$2:L$37,"",0,1),0),$A1159-TEXT(DATEVALUE($D1159&amp;"-01"), "dd-mm-yyyy")),0),0)</f>
        <v>509</v>
      </c>
      <c r="M1159" cm="1">
        <f t="array" ref="M1159">IF($Q1159&gt;=0,IFERROR(generateSalesData($D1159, IF(ISNUMBER(_xlfn.XLOOKUP($C1159,Phone_by_Sentiment!$B$2:$B$37,Phone_by_Sentiment!M$2:M$37,"",0,1)),_xlfn.XLOOKUP($C1159,Phone_by_Sentiment!$B$2:$B$37,Phone_by_Sentiment!M$2:M$37,"",0,1),0),$A1159-TEXT(DATEVALUE($D1159&amp;"-01"), "dd-mm-yyyy")),0),0)</f>
        <v>209</v>
      </c>
      <c r="N1159" cm="1">
        <f t="array" ref="N1159">IF($Q1159&gt;=0,IFERROR(generateSalesData($D1159, IF(ISNUMBER(_xlfn.XLOOKUP($C1159,Phone_by_Sentiment!$B$2:$B$37,Phone_by_Sentiment!N$2:N$37,"",0,1)),_xlfn.XLOOKUP($C1159,Phone_by_Sentiment!$B$2:$B$37,Phone_by_Sentiment!N$2:N$37,"",0,1),0),$A1159-TEXT(DATEVALUE($D1159&amp;"-01"), "dd-mm-yyyy")),0),0)</f>
        <v>330</v>
      </c>
      <c r="O1159" cm="1">
        <f t="array" ref="O1159">IF($Q1159&gt;=0,IFERROR(generateSalesData($D1159, IF(ISNUMBER(_xlfn.XLOOKUP($C1159,Phone_by_Sentiment!$B$2:$B$37,Phone_by_Sentiment!O$2:O$37,"",0,1)),_xlfn.XLOOKUP($C1159,Phone_by_Sentiment!$B$2:$B$37,Phone_by_Sentiment!O$2:O$37,"",0,1),0),$A1159-TEXT(DATEVALUE($D1159&amp;"-01"), "dd-mm-yyyy")),0),0)</f>
        <v>424</v>
      </c>
      <c r="P1159" s="1">
        <f t="shared" si="49"/>
        <v>43862</v>
      </c>
      <c r="Q1159">
        <f t="shared" si="50"/>
        <v>608</v>
      </c>
    </row>
    <row r="1160" spans="1:17" x14ac:dyDescent="0.25">
      <c r="A1160" s="1">
        <f t="shared" si="48"/>
        <v>44470</v>
      </c>
      <c r="B1160" t="s">
        <v>144</v>
      </c>
      <c r="C1160" t="str">
        <f>_xlfn.XLOOKUP(B1160,Phone_by_Price!$A$2:$A$34,Phone_by_Price!$B$2:$B$34,"-",0,1)</f>
        <v>Xiaomi Redmi Note 10</v>
      </c>
      <c r="D1160" t="str">
        <f>_xlfn.XLOOKUP(C1160,Phone_by_Sentiment!$B$2:$B$37,Phone_by_Sentiment!$A$2:$A$37,"-",0,1)</f>
        <v>2021-03</v>
      </c>
      <c r="E1160" cm="1">
        <f t="array" ref="E1160">IF($Q1160&gt;=0,IFERROR(generateSalesData($D1160, IF(ISNUMBER(_xlfn.XLOOKUP($C1160,Phone_by_Sentiment!$B$2:$B$37,Phone_by_Sentiment!E$2:E$37,"",0,1)),_xlfn.XLOOKUP($C1160,Phone_by_Sentiment!$B$2:$B$37,Phone_by_Sentiment!E$2:E$37,"",0,1),0),$A1160-TEXT(DATEVALUE($D1160&amp;"-01"), "dd-mm-yyyy")),0),0)</f>
        <v>1805</v>
      </c>
      <c r="F1160" cm="1">
        <f t="array" ref="F1160">IF($Q1160&gt;=0,IFERROR(generateSalesData($D1160, IF(ISNUMBER(_xlfn.XLOOKUP($C1160,Phone_by_Sentiment!$B$2:$B$37,Phone_by_Sentiment!F$2:F$37,"",0,1)),_xlfn.XLOOKUP($C1160,Phone_by_Sentiment!$B$2:$B$37,Phone_by_Sentiment!F$2:F$37,"",0,1),0),$A1160-TEXT(DATEVALUE($D1160&amp;"-01"), "dd-mm-yyyy")),0),0)</f>
        <v>345</v>
      </c>
      <c r="G1160" cm="1">
        <f t="array" ref="G1160">IF($Q1160&gt;=0,IFERROR(generateSalesData($D1160, IF(ISNUMBER(_xlfn.XLOOKUP($C1160,Phone_by_Sentiment!$B$2:$B$37,Phone_by_Sentiment!G$2:G$37,"",0,1)),_xlfn.XLOOKUP($C1160,Phone_by_Sentiment!$B$2:$B$37,Phone_by_Sentiment!G$2:G$37,"",0,1),0),$A1160-TEXT(DATEVALUE($D1160&amp;"-01"), "dd-mm-yyyy")),0),0)</f>
        <v>-26</v>
      </c>
      <c r="H1160" cm="1">
        <f t="array" ref="H1160">IF($Q1160&gt;=0,IFERROR(generateSalesData($D1160, IF(ISNUMBER(_xlfn.XLOOKUP($C1160,Phone_by_Sentiment!$B$2:$B$37,Phone_by_Sentiment!H$2:H$37,"",0,1)),_xlfn.XLOOKUP($C1160,Phone_by_Sentiment!$B$2:$B$37,Phone_by_Sentiment!H$2:H$37,"",0,1),0),$A1160-TEXT(DATEVALUE($D1160&amp;"-01"), "dd-mm-yyyy")),0),0)</f>
        <v>479</v>
      </c>
      <c r="I1160" cm="1">
        <f t="array" ref="I1160">IF($Q1160&gt;=0,IFERROR(generateSalesData($D1160, IF(ISNUMBER(_xlfn.XLOOKUP($C1160,Phone_by_Sentiment!$B$2:$B$37,Phone_by_Sentiment!I$2:I$37,"",0,1)),_xlfn.XLOOKUP($C1160,Phone_by_Sentiment!$B$2:$B$37,Phone_by_Sentiment!I$2:I$37,"",0,1),0),$A1160-TEXT(DATEVALUE($D1160&amp;"-01"), "dd-mm-yyyy")),0),0)</f>
        <v>939</v>
      </c>
      <c r="J1160" cm="1">
        <f t="array" ref="J1160">IF($Q1160&gt;=0,IFERROR(generateSalesData($D1160, IF(ISNUMBER(_xlfn.XLOOKUP($C1160,Phone_by_Sentiment!$B$2:$B$37,Phone_by_Sentiment!J$2:J$37,"",0,1)),_xlfn.XLOOKUP($C1160,Phone_by_Sentiment!$B$2:$B$37,Phone_by_Sentiment!J$2:J$37,"",0,1),0),$A1160-TEXT(DATEVALUE($D1160&amp;"-01"), "dd-mm-yyyy")),0),0)</f>
        <v>250</v>
      </c>
      <c r="K1160" cm="1">
        <f t="array" ref="K1160">IF($Q1160&gt;=0,IFERROR(generateSalesData($D1160, IF(ISNUMBER(_xlfn.XLOOKUP($C1160,Phone_by_Sentiment!$B$2:$B$37,Phone_by_Sentiment!K$2:K$37,"",0,1)),_xlfn.XLOOKUP($C1160,Phone_by_Sentiment!$B$2:$B$37,Phone_by_Sentiment!K$2:K$37,"",0,1),0),$A1160-TEXT(DATEVALUE($D1160&amp;"-01"), "dd-mm-yyyy")),0),0)</f>
        <v>1602</v>
      </c>
      <c r="L1160" cm="1">
        <f t="array" ref="L1160">IF($Q1160&gt;=0,IFERROR(generateSalesData($D1160, IF(ISNUMBER(_xlfn.XLOOKUP($C1160,Phone_by_Sentiment!$B$2:$B$37,Phone_by_Sentiment!L$2:L$37,"",0,1)),_xlfn.XLOOKUP($C1160,Phone_by_Sentiment!$B$2:$B$37,Phone_by_Sentiment!L$2:L$37,"",0,1),0),$A1160-TEXT(DATEVALUE($D1160&amp;"-01"), "dd-mm-yyyy")),0),0)</f>
        <v>-122</v>
      </c>
      <c r="M1160" cm="1">
        <f t="array" ref="M1160">IF($Q1160&gt;=0,IFERROR(generateSalesData($D1160, IF(ISNUMBER(_xlfn.XLOOKUP($C1160,Phone_by_Sentiment!$B$2:$B$37,Phone_by_Sentiment!M$2:M$37,"",0,1)),_xlfn.XLOOKUP($C1160,Phone_by_Sentiment!$B$2:$B$37,Phone_by_Sentiment!M$2:M$37,"",0,1),0),$A1160-TEXT(DATEVALUE($D1160&amp;"-01"), "dd-mm-yyyy")),0),0)</f>
        <v>383</v>
      </c>
      <c r="N1160" cm="1">
        <f t="array" ref="N1160">IF($Q1160&gt;=0,IFERROR(generateSalesData($D1160, IF(ISNUMBER(_xlfn.XLOOKUP($C1160,Phone_by_Sentiment!$B$2:$B$37,Phone_by_Sentiment!N$2:N$37,"",0,1)),_xlfn.XLOOKUP($C1160,Phone_by_Sentiment!$B$2:$B$37,Phone_by_Sentiment!N$2:N$37,"",0,1),0),$A1160-TEXT(DATEVALUE($D1160&amp;"-01"), "dd-mm-yyyy")),0),0)</f>
        <v>515</v>
      </c>
      <c r="O1160" cm="1">
        <f t="array" ref="O1160">IF($Q1160&gt;=0,IFERROR(generateSalesData($D1160, IF(ISNUMBER(_xlfn.XLOOKUP($C1160,Phone_by_Sentiment!$B$2:$B$37,Phone_by_Sentiment!O$2:O$37,"",0,1)),_xlfn.XLOOKUP($C1160,Phone_by_Sentiment!$B$2:$B$37,Phone_by_Sentiment!O$2:O$37,"",0,1),0),$A1160-TEXT(DATEVALUE($D1160&amp;"-01"), "dd-mm-yyyy")),0),0)</f>
        <v>1688</v>
      </c>
      <c r="P1160" s="1">
        <f t="shared" si="49"/>
        <v>44256</v>
      </c>
      <c r="Q1160">
        <f t="shared" si="50"/>
        <v>214</v>
      </c>
    </row>
    <row r="1161" spans="1:17" x14ac:dyDescent="0.25">
      <c r="A1161" s="1">
        <f t="shared" si="48"/>
        <v>44470</v>
      </c>
      <c r="B1161" t="s">
        <v>145</v>
      </c>
      <c r="C1161" t="str">
        <f>_xlfn.XLOOKUP(B1161,Phone_by_Price!$A$2:$A$34,Phone_by_Price!$B$2:$B$34,"-",0,1)</f>
        <v>OPPO A54</v>
      </c>
      <c r="D1161" t="str">
        <f>_xlfn.XLOOKUP(C1161,Phone_by_Sentiment!$B$2:$B$37,Phone_by_Sentiment!$A$2:$A$37,"-",0,1)</f>
        <v>2021-04</v>
      </c>
      <c r="E1161" cm="1">
        <f t="array" ref="E1161">IF($Q1161&gt;=0,IFERROR(generateSalesData($D1161, IF(ISNUMBER(_xlfn.XLOOKUP($C1161,Phone_by_Sentiment!$B$2:$B$37,Phone_by_Sentiment!E$2:E$37,"",0,1)),_xlfn.XLOOKUP($C1161,Phone_by_Sentiment!$B$2:$B$37,Phone_by_Sentiment!E$2:E$37,"",0,1),0),$A1161-TEXT(DATEVALUE($D1161&amp;"-01"), "dd-mm-yyyy")),0),0)</f>
        <v>773</v>
      </c>
      <c r="F1161" cm="1">
        <f t="array" ref="F1161">IF($Q1161&gt;=0,IFERROR(generateSalesData($D1161, IF(ISNUMBER(_xlfn.XLOOKUP($C1161,Phone_by_Sentiment!$B$2:$B$37,Phone_by_Sentiment!F$2:F$37,"",0,1)),_xlfn.XLOOKUP($C1161,Phone_by_Sentiment!$B$2:$B$37,Phone_by_Sentiment!F$2:F$37,"",0,1),0),$A1161-TEXT(DATEVALUE($D1161&amp;"-01"), "dd-mm-yyyy")),0),0)</f>
        <v>-78</v>
      </c>
      <c r="G1161" cm="1">
        <f t="array" ref="G1161">IF($Q1161&gt;=0,IFERROR(generateSalesData($D1161, IF(ISNUMBER(_xlfn.XLOOKUP($C1161,Phone_by_Sentiment!$B$2:$B$37,Phone_by_Sentiment!G$2:G$37,"",0,1)),_xlfn.XLOOKUP($C1161,Phone_by_Sentiment!$B$2:$B$37,Phone_by_Sentiment!G$2:G$37,"",0,1),0),$A1161-TEXT(DATEVALUE($D1161&amp;"-01"), "dd-mm-yyyy")),0),0)</f>
        <v>85</v>
      </c>
      <c r="H1161" cm="1">
        <f t="array" ref="H1161">IF($Q1161&gt;=0,IFERROR(generateSalesData($D1161, IF(ISNUMBER(_xlfn.XLOOKUP($C1161,Phone_by_Sentiment!$B$2:$B$37,Phone_by_Sentiment!H$2:H$37,"",0,1)),_xlfn.XLOOKUP($C1161,Phone_by_Sentiment!$B$2:$B$37,Phone_by_Sentiment!H$2:H$37,"",0,1),0),$A1161-TEXT(DATEVALUE($D1161&amp;"-01"), "dd-mm-yyyy")),0),0)</f>
        <v>703</v>
      </c>
      <c r="I1161" cm="1">
        <f t="array" ref="I1161">IF($Q1161&gt;=0,IFERROR(generateSalesData($D1161, IF(ISNUMBER(_xlfn.XLOOKUP($C1161,Phone_by_Sentiment!$B$2:$B$37,Phone_by_Sentiment!I$2:I$37,"",0,1)),_xlfn.XLOOKUP($C1161,Phone_by_Sentiment!$B$2:$B$37,Phone_by_Sentiment!I$2:I$37,"",0,1),0),$A1161-TEXT(DATEVALUE($D1161&amp;"-01"), "dd-mm-yyyy")),0),0)</f>
        <v>1389</v>
      </c>
      <c r="J1161" cm="1">
        <f t="array" ref="J1161">IF($Q1161&gt;=0,IFERROR(generateSalesData($D1161, IF(ISNUMBER(_xlfn.XLOOKUP($C1161,Phone_by_Sentiment!$B$2:$B$37,Phone_by_Sentiment!J$2:J$37,"",0,1)),_xlfn.XLOOKUP($C1161,Phone_by_Sentiment!$B$2:$B$37,Phone_by_Sentiment!J$2:J$37,"",0,1),0),$A1161-TEXT(DATEVALUE($D1161&amp;"-01"), "dd-mm-yyyy")),0),0)</f>
        <v>184</v>
      </c>
      <c r="K1161" cm="1">
        <f t="array" ref="K1161">IF($Q1161&gt;=0,IFERROR(generateSalesData($D1161, IF(ISNUMBER(_xlfn.XLOOKUP($C1161,Phone_by_Sentiment!$B$2:$B$37,Phone_by_Sentiment!K$2:K$37,"",0,1)),_xlfn.XLOOKUP($C1161,Phone_by_Sentiment!$B$2:$B$37,Phone_by_Sentiment!K$2:K$37,"",0,1),0),$A1161-TEXT(DATEVALUE($D1161&amp;"-01"), "dd-mm-yyyy")),0),0)</f>
        <v>260</v>
      </c>
      <c r="L1161" cm="1">
        <f t="array" ref="L1161">IF($Q1161&gt;=0,IFERROR(generateSalesData($D1161, IF(ISNUMBER(_xlfn.XLOOKUP($C1161,Phone_by_Sentiment!$B$2:$B$37,Phone_by_Sentiment!L$2:L$37,"",0,1)),_xlfn.XLOOKUP($C1161,Phone_by_Sentiment!$B$2:$B$37,Phone_by_Sentiment!L$2:L$37,"",0,1),0),$A1161-TEXT(DATEVALUE($D1161&amp;"-01"), "dd-mm-yyyy")),0),0)</f>
        <v>78</v>
      </c>
      <c r="M1161" cm="1">
        <f t="array" ref="M1161">IF($Q1161&gt;=0,IFERROR(generateSalesData($D1161, IF(ISNUMBER(_xlfn.XLOOKUP($C1161,Phone_by_Sentiment!$B$2:$B$37,Phone_by_Sentiment!M$2:M$37,"",0,1)),_xlfn.XLOOKUP($C1161,Phone_by_Sentiment!$B$2:$B$37,Phone_by_Sentiment!M$2:M$37,"",0,1),0),$A1161-TEXT(DATEVALUE($D1161&amp;"-01"), "dd-mm-yyyy")),0),0)</f>
        <v>194</v>
      </c>
      <c r="N1161" cm="1">
        <f t="array" ref="N1161">IF($Q1161&gt;=0,IFERROR(generateSalesData($D1161, IF(ISNUMBER(_xlfn.XLOOKUP($C1161,Phone_by_Sentiment!$B$2:$B$37,Phone_by_Sentiment!N$2:N$37,"",0,1)),_xlfn.XLOOKUP($C1161,Phone_by_Sentiment!$B$2:$B$37,Phone_by_Sentiment!N$2:N$37,"",0,1),0),$A1161-TEXT(DATEVALUE($D1161&amp;"-01"), "dd-mm-yyyy")),0),0)</f>
        <v>528</v>
      </c>
      <c r="O1161" cm="1">
        <f t="array" ref="O1161">IF($Q1161&gt;=0,IFERROR(generateSalesData($D1161, IF(ISNUMBER(_xlfn.XLOOKUP($C1161,Phone_by_Sentiment!$B$2:$B$37,Phone_by_Sentiment!O$2:O$37,"",0,1)),_xlfn.XLOOKUP($C1161,Phone_by_Sentiment!$B$2:$B$37,Phone_by_Sentiment!O$2:O$37,"",0,1),0),$A1161-TEXT(DATEVALUE($D1161&amp;"-01"), "dd-mm-yyyy")),0),0)</f>
        <v>427</v>
      </c>
      <c r="P1161" s="1">
        <f t="shared" si="49"/>
        <v>44287</v>
      </c>
      <c r="Q1161">
        <f t="shared" si="50"/>
        <v>183</v>
      </c>
    </row>
    <row r="1162" spans="1:17" x14ac:dyDescent="0.25">
      <c r="A1162" s="1">
        <f t="shared" si="48"/>
        <v>44470</v>
      </c>
      <c r="B1162" t="s">
        <v>146</v>
      </c>
      <c r="C1162" t="str">
        <f>_xlfn.XLOOKUP(B1162,Phone_by_Price!$A$2:$A$34,Phone_by_Price!$B$2:$B$34,"-",0,1)</f>
        <v>Vivo Y20</v>
      </c>
      <c r="D1162" t="str">
        <f>_xlfn.XLOOKUP(C1162,Phone_by_Sentiment!$B$2:$B$37,Phone_by_Sentiment!$A$2:$A$37,"-",0,1)</f>
        <v>2020-09</v>
      </c>
      <c r="E1162" cm="1">
        <f t="array" ref="E1162">IF($Q1162&gt;=0,IFERROR(generateSalesData($D1162, IF(ISNUMBER(_xlfn.XLOOKUP($C1162,Phone_by_Sentiment!$B$2:$B$37,Phone_by_Sentiment!E$2:E$37,"",0,1)),_xlfn.XLOOKUP($C1162,Phone_by_Sentiment!$B$2:$B$37,Phone_by_Sentiment!E$2:E$37,"",0,1),0),$A1162-TEXT(DATEVALUE($D1162&amp;"-01"), "dd-mm-yyyy")),0),0)</f>
        <v>170</v>
      </c>
      <c r="F1162" cm="1">
        <f t="array" ref="F1162">IF($Q1162&gt;=0,IFERROR(generateSalesData($D1162, IF(ISNUMBER(_xlfn.XLOOKUP($C1162,Phone_by_Sentiment!$B$2:$B$37,Phone_by_Sentiment!F$2:F$37,"",0,1)),_xlfn.XLOOKUP($C1162,Phone_by_Sentiment!$B$2:$B$37,Phone_by_Sentiment!F$2:F$37,"",0,1),0),$A1162-TEXT(DATEVALUE($D1162&amp;"-01"), "dd-mm-yyyy")),0),0)</f>
        <v>332</v>
      </c>
      <c r="G1162" cm="1">
        <f t="array" ref="G1162">IF($Q1162&gt;=0,IFERROR(generateSalesData($D1162, IF(ISNUMBER(_xlfn.XLOOKUP($C1162,Phone_by_Sentiment!$B$2:$B$37,Phone_by_Sentiment!G$2:G$37,"",0,1)),_xlfn.XLOOKUP($C1162,Phone_by_Sentiment!$B$2:$B$37,Phone_by_Sentiment!G$2:G$37,"",0,1),0),$A1162-TEXT(DATEVALUE($D1162&amp;"-01"), "dd-mm-yyyy")),0),0)</f>
        <v>194</v>
      </c>
      <c r="H1162" cm="1">
        <f t="array" ref="H1162">IF($Q1162&gt;=0,IFERROR(generateSalesData($D1162, IF(ISNUMBER(_xlfn.XLOOKUP($C1162,Phone_by_Sentiment!$B$2:$B$37,Phone_by_Sentiment!H$2:H$37,"",0,1)),_xlfn.XLOOKUP($C1162,Phone_by_Sentiment!$B$2:$B$37,Phone_by_Sentiment!H$2:H$37,"",0,1),0),$A1162-TEXT(DATEVALUE($D1162&amp;"-01"), "dd-mm-yyyy")),0),0)</f>
        <v>10</v>
      </c>
      <c r="I1162" cm="1">
        <f t="array" ref="I1162">IF($Q1162&gt;=0,IFERROR(generateSalesData($D1162, IF(ISNUMBER(_xlfn.XLOOKUP($C1162,Phone_by_Sentiment!$B$2:$B$37,Phone_by_Sentiment!I$2:I$37,"",0,1)),_xlfn.XLOOKUP($C1162,Phone_by_Sentiment!$B$2:$B$37,Phone_by_Sentiment!I$2:I$37,"",0,1),0),$A1162-TEXT(DATEVALUE($D1162&amp;"-01"), "dd-mm-yyyy")),0),0)</f>
        <v>167</v>
      </c>
      <c r="J1162" cm="1">
        <f t="array" ref="J1162">IF($Q1162&gt;=0,IFERROR(generateSalesData($D1162, IF(ISNUMBER(_xlfn.XLOOKUP($C1162,Phone_by_Sentiment!$B$2:$B$37,Phone_by_Sentiment!J$2:J$37,"",0,1)),_xlfn.XLOOKUP($C1162,Phone_by_Sentiment!$B$2:$B$37,Phone_by_Sentiment!J$2:J$37,"",0,1),0),$A1162-TEXT(DATEVALUE($D1162&amp;"-01"), "dd-mm-yyyy")),0),0)</f>
        <v>89</v>
      </c>
      <c r="K1162" cm="1">
        <f t="array" ref="K1162">IF($Q1162&gt;=0,IFERROR(generateSalesData($D1162, IF(ISNUMBER(_xlfn.XLOOKUP($C1162,Phone_by_Sentiment!$B$2:$B$37,Phone_by_Sentiment!K$2:K$37,"",0,1)),_xlfn.XLOOKUP($C1162,Phone_by_Sentiment!$B$2:$B$37,Phone_by_Sentiment!K$2:K$37,"",0,1),0),$A1162-TEXT(DATEVALUE($D1162&amp;"-01"), "dd-mm-yyyy")),0),0)</f>
        <v>105</v>
      </c>
      <c r="L1162" cm="1">
        <f t="array" ref="L1162">IF($Q1162&gt;=0,IFERROR(generateSalesData($D1162, IF(ISNUMBER(_xlfn.XLOOKUP($C1162,Phone_by_Sentiment!$B$2:$B$37,Phone_by_Sentiment!L$2:L$37,"",0,1)),_xlfn.XLOOKUP($C1162,Phone_by_Sentiment!$B$2:$B$37,Phone_by_Sentiment!L$2:L$37,"",0,1),0),$A1162-TEXT(DATEVALUE($D1162&amp;"-01"), "dd-mm-yyyy")),0),0)</f>
        <v>227</v>
      </c>
      <c r="M1162" cm="1">
        <f t="array" ref="M1162">IF($Q1162&gt;=0,IFERROR(generateSalesData($D1162, IF(ISNUMBER(_xlfn.XLOOKUP($C1162,Phone_by_Sentiment!$B$2:$B$37,Phone_by_Sentiment!M$2:M$37,"",0,1)),_xlfn.XLOOKUP($C1162,Phone_by_Sentiment!$B$2:$B$37,Phone_by_Sentiment!M$2:M$37,"",0,1),0),$A1162-TEXT(DATEVALUE($D1162&amp;"-01"), "dd-mm-yyyy")),0),0)</f>
        <v>81</v>
      </c>
      <c r="N1162" cm="1">
        <f t="array" ref="N1162">IF($Q1162&gt;=0,IFERROR(generateSalesData($D1162, IF(ISNUMBER(_xlfn.XLOOKUP($C1162,Phone_by_Sentiment!$B$2:$B$37,Phone_by_Sentiment!N$2:N$37,"",0,1)),_xlfn.XLOOKUP($C1162,Phone_by_Sentiment!$B$2:$B$37,Phone_by_Sentiment!N$2:N$37,"",0,1),0),$A1162-TEXT(DATEVALUE($D1162&amp;"-01"), "dd-mm-yyyy")),0),0)</f>
        <v>-44</v>
      </c>
      <c r="O1162" cm="1">
        <f t="array" ref="O1162">IF($Q1162&gt;=0,IFERROR(generateSalesData($D1162, IF(ISNUMBER(_xlfn.XLOOKUP($C1162,Phone_by_Sentiment!$B$2:$B$37,Phone_by_Sentiment!O$2:O$37,"",0,1)),_xlfn.XLOOKUP($C1162,Phone_by_Sentiment!$B$2:$B$37,Phone_by_Sentiment!O$2:O$37,"",0,1),0),$A1162-TEXT(DATEVALUE($D1162&amp;"-01"), "dd-mm-yyyy")),0),0)</f>
        <v>208</v>
      </c>
      <c r="P1162" s="1">
        <f t="shared" si="49"/>
        <v>44075</v>
      </c>
      <c r="Q1162">
        <f t="shared" si="50"/>
        <v>395</v>
      </c>
    </row>
    <row r="1163" spans="1:17" x14ac:dyDescent="0.25">
      <c r="A1163" s="1">
        <f t="shared" si="48"/>
        <v>44470</v>
      </c>
      <c r="B1163" t="s">
        <v>147</v>
      </c>
      <c r="C1163" t="str">
        <f>_xlfn.XLOOKUP(B1163,Phone_by_Price!$A$2:$A$34,Phone_by_Price!$B$2:$B$34,"-",0,1)</f>
        <v>Huawei Y9a</v>
      </c>
      <c r="D1163" t="str">
        <f>_xlfn.XLOOKUP(C1163,Phone_by_Sentiment!$B$2:$B$37,Phone_by_Sentiment!$A$2:$A$37,"-",0,1)</f>
        <v>2020-02</v>
      </c>
      <c r="E1163" cm="1">
        <f t="array" ref="E1163">IF($Q1163&gt;=0,IFERROR(generateSalesData($D1163, IF(ISNUMBER(_xlfn.XLOOKUP($C1163,Phone_by_Sentiment!$B$2:$B$37,Phone_by_Sentiment!E$2:E$37,"",0,1)),_xlfn.XLOOKUP($C1163,Phone_by_Sentiment!$B$2:$B$37,Phone_by_Sentiment!E$2:E$37,"",0,1),0),$A1163-TEXT(DATEVALUE($D1163&amp;"-01"), "dd-mm-yyyy")),0),0)</f>
        <v>343</v>
      </c>
      <c r="F1163" cm="1">
        <f t="array" ref="F1163">IF($Q1163&gt;=0,IFERROR(generateSalesData($D1163, IF(ISNUMBER(_xlfn.XLOOKUP($C1163,Phone_by_Sentiment!$B$2:$B$37,Phone_by_Sentiment!F$2:F$37,"",0,1)),_xlfn.XLOOKUP($C1163,Phone_by_Sentiment!$B$2:$B$37,Phone_by_Sentiment!F$2:F$37,"",0,1),0),$A1163-TEXT(DATEVALUE($D1163&amp;"-01"), "dd-mm-yyyy")),0),0)</f>
        <v>278</v>
      </c>
      <c r="G1163" cm="1">
        <f t="array" ref="G1163">IF($Q1163&gt;=0,IFERROR(generateSalesData($D1163, IF(ISNUMBER(_xlfn.XLOOKUP($C1163,Phone_by_Sentiment!$B$2:$B$37,Phone_by_Sentiment!G$2:G$37,"",0,1)),_xlfn.XLOOKUP($C1163,Phone_by_Sentiment!$B$2:$B$37,Phone_by_Sentiment!G$2:G$37,"",0,1),0),$A1163-TEXT(DATEVALUE($D1163&amp;"-01"), "dd-mm-yyyy")),0),0)</f>
        <v>152</v>
      </c>
      <c r="H1163" cm="1">
        <f t="array" ref="H1163">IF($Q1163&gt;=0,IFERROR(generateSalesData($D1163, IF(ISNUMBER(_xlfn.XLOOKUP($C1163,Phone_by_Sentiment!$B$2:$B$37,Phone_by_Sentiment!H$2:H$37,"",0,1)),_xlfn.XLOOKUP($C1163,Phone_by_Sentiment!$B$2:$B$37,Phone_by_Sentiment!H$2:H$37,"",0,1),0),$A1163-TEXT(DATEVALUE($D1163&amp;"-01"), "dd-mm-yyyy")),0),0)</f>
        <v>131</v>
      </c>
      <c r="I1163" cm="1">
        <f t="array" ref="I1163">IF($Q1163&gt;=0,IFERROR(generateSalesData($D1163, IF(ISNUMBER(_xlfn.XLOOKUP($C1163,Phone_by_Sentiment!$B$2:$B$37,Phone_by_Sentiment!I$2:I$37,"",0,1)),_xlfn.XLOOKUP($C1163,Phone_by_Sentiment!$B$2:$B$37,Phone_by_Sentiment!I$2:I$37,"",0,1),0),$A1163-TEXT(DATEVALUE($D1163&amp;"-01"), "dd-mm-yyyy")),0),0)</f>
        <v>71</v>
      </c>
      <c r="J1163" cm="1">
        <f t="array" ref="J1163">IF($Q1163&gt;=0,IFERROR(generateSalesData($D1163, IF(ISNUMBER(_xlfn.XLOOKUP($C1163,Phone_by_Sentiment!$B$2:$B$37,Phone_by_Sentiment!J$2:J$37,"",0,1)),_xlfn.XLOOKUP($C1163,Phone_by_Sentiment!$B$2:$B$37,Phone_by_Sentiment!J$2:J$37,"",0,1),0),$A1163-TEXT(DATEVALUE($D1163&amp;"-01"), "dd-mm-yyyy")),0),0)</f>
        <v>35</v>
      </c>
      <c r="K1163" cm="1">
        <f t="array" ref="K1163">IF($Q1163&gt;=0,IFERROR(generateSalesData($D1163, IF(ISNUMBER(_xlfn.XLOOKUP($C1163,Phone_by_Sentiment!$B$2:$B$37,Phone_by_Sentiment!K$2:K$37,"",0,1)),_xlfn.XLOOKUP($C1163,Phone_by_Sentiment!$B$2:$B$37,Phone_by_Sentiment!K$2:K$37,"",0,1),0),$A1163-TEXT(DATEVALUE($D1163&amp;"-01"), "dd-mm-yyyy")),0),0)</f>
        <v>130</v>
      </c>
      <c r="L1163" cm="1">
        <f t="array" ref="L1163">IF($Q1163&gt;=0,IFERROR(generateSalesData($D1163, IF(ISNUMBER(_xlfn.XLOOKUP($C1163,Phone_by_Sentiment!$B$2:$B$37,Phone_by_Sentiment!L$2:L$37,"",0,1)),_xlfn.XLOOKUP($C1163,Phone_by_Sentiment!$B$2:$B$37,Phone_by_Sentiment!L$2:L$37,"",0,1),0),$A1163-TEXT(DATEVALUE($D1163&amp;"-01"), "dd-mm-yyyy")),0),0)</f>
        <v>123</v>
      </c>
      <c r="M1163" cm="1">
        <f t="array" ref="M1163">IF($Q1163&gt;=0,IFERROR(generateSalesData($D1163, IF(ISNUMBER(_xlfn.XLOOKUP($C1163,Phone_by_Sentiment!$B$2:$B$37,Phone_by_Sentiment!M$2:M$37,"",0,1)),_xlfn.XLOOKUP($C1163,Phone_by_Sentiment!$B$2:$B$37,Phone_by_Sentiment!M$2:M$37,"",0,1),0),$A1163-TEXT(DATEVALUE($D1163&amp;"-01"), "dd-mm-yyyy")),0),0)</f>
        <v>100</v>
      </c>
      <c r="N1163" cm="1">
        <f t="array" ref="N1163">IF($Q1163&gt;=0,IFERROR(generateSalesData($D1163, IF(ISNUMBER(_xlfn.XLOOKUP($C1163,Phone_by_Sentiment!$B$2:$B$37,Phone_by_Sentiment!N$2:N$37,"",0,1)),_xlfn.XLOOKUP($C1163,Phone_by_Sentiment!$B$2:$B$37,Phone_by_Sentiment!N$2:N$37,"",0,1),0),$A1163-TEXT(DATEVALUE($D1163&amp;"-01"), "dd-mm-yyyy")),0),0)</f>
        <v>131</v>
      </c>
      <c r="O1163" cm="1">
        <f t="array" ref="O1163">IF($Q1163&gt;=0,IFERROR(generateSalesData($D1163, IF(ISNUMBER(_xlfn.XLOOKUP($C1163,Phone_by_Sentiment!$B$2:$B$37,Phone_by_Sentiment!O$2:O$37,"",0,1)),_xlfn.XLOOKUP($C1163,Phone_by_Sentiment!$B$2:$B$37,Phone_by_Sentiment!O$2:O$37,"",0,1),0),$A1163-TEXT(DATEVALUE($D1163&amp;"-01"), "dd-mm-yyyy")),0),0)</f>
        <v>156</v>
      </c>
      <c r="P1163" s="1">
        <f t="shared" si="49"/>
        <v>43862</v>
      </c>
      <c r="Q1163">
        <f t="shared" si="50"/>
        <v>608</v>
      </c>
    </row>
    <row r="1164" spans="1:17" x14ac:dyDescent="0.25">
      <c r="A1164" s="1">
        <f t="shared" si="48"/>
        <v>44470</v>
      </c>
      <c r="B1164" t="s">
        <v>148</v>
      </c>
      <c r="C1164" t="str">
        <f>_xlfn.XLOOKUP(B1164,Phone_by_Price!$A$2:$A$34,Phone_by_Price!$B$2:$B$34,"-",0,1)</f>
        <v>Xiaomi Redmi 10</v>
      </c>
      <c r="D1164" t="str">
        <f>_xlfn.XLOOKUP(C1164,Phone_by_Sentiment!$B$2:$B$37,Phone_by_Sentiment!$A$2:$A$37,"-",0,1)</f>
        <v>2021-03</v>
      </c>
      <c r="E1164" cm="1">
        <f t="array" ref="E1164">IF($Q1164&gt;=0,IFERROR(generateSalesData($D1164, IF(ISNUMBER(_xlfn.XLOOKUP($C1164,Phone_by_Sentiment!$B$2:$B$37,Phone_by_Sentiment!E$2:E$37,"",0,1)),_xlfn.XLOOKUP($C1164,Phone_by_Sentiment!$B$2:$B$37,Phone_by_Sentiment!E$2:E$37,"",0,1),0),$A1164-TEXT(DATEVALUE($D1164&amp;"-01"), "dd-mm-yyyy")),0),0)</f>
        <v>1391</v>
      </c>
      <c r="F1164" cm="1">
        <f t="array" ref="F1164">IF($Q1164&gt;=0,IFERROR(generateSalesData($D1164, IF(ISNUMBER(_xlfn.XLOOKUP($C1164,Phone_by_Sentiment!$B$2:$B$37,Phone_by_Sentiment!F$2:F$37,"",0,1)),_xlfn.XLOOKUP($C1164,Phone_by_Sentiment!$B$2:$B$37,Phone_by_Sentiment!F$2:F$37,"",0,1),0),$A1164-TEXT(DATEVALUE($D1164&amp;"-01"), "dd-mm-yyyy")),0),0)</f>
        <v>111</v>
      </c>
      <c r="G1164" cm="1">
        <f t="array" ref="G1164">IF($Q1164&gt;=0,IFERROR(generateSalesData($D1164, IF(ISNUMBER(_xlfn.XLOOKUP($C1164,Phone_by_Sentiment!$B$2:$B$37,Phone_by_Sentiment!G$2:G$37,"",0,1)),_xlfn.XLOOKUP($C1164,Phone_by_Sentiment!$B$2:$B$37,Phone_by_Sentiment!G$2:G$37,"",0,1),0),$A1164-TEXT(DATEVALUE($D1164&amp;"-01"), "dd-mm-yyyy")),0),0)</f>
        <v>503</v>
      </c>
      <c r="H1164" cm="1">
        <f t="array" ref="H1164">IF($Q1164&gt;=0,IFERROR(generateSalesData($D1164, IF(ISNUMBER(_xlfn.XLOOKUP($C1164,Phone_by_Sentiment!$B$2:$B$37,Phone_by_Sentiment!H$2:H$37,"",0,1)),_xlfn.XLOOKUP($C1164,Phone_by_Sentiment!$B$2:$B$37,Phone_by_Sentiment!H$2:H$37,"",0,1),0),$A1164-TEXT(DATEVALUE($D1164&amp;"-01"), "dd-mm-yyyy")),0),0)</f>
        <v>2311</v>
      </c>
      <c r="I1164" cm="1">
        <f t="array" ref="I1164">IF($Q1164&gt;=0,IFERROR(generateSalesData($D1164, IF(ISNUMBER(_xlfn.XLOOKUP($C1164,Phone_by_Sentiment!$B$2:$B$37,Phone_by_Sentiment!I$2:I$37,"",0,1)),_xlfn.XLOOKUP($C1164,Phone_by_Sentiment!$B$2:$B$37,Phone_by_Sentiment!I$2:I$37,"",0,1),0),$A1164-TEXT(DATEVALUE($D1164&amp;"-01"), "dd-mm-yyyy")),0),0)</f>
        <v>289</v>
      </c>
      <c r="J1164" cm="1">
        <f t="array" ref="J1164">IF($Q1164&gt;=0,IFERROR(generateSalesData($D1164, IF(ISNUMBER(_xlfn.XLOOKUP($C1164,Phone_by_Sentiment!$B$2:$B$37,Phone_by_Sentiment!J$2:J$37,"",0,1)),_xlfn.XLOOKUP($C1164,Phone_by_Sentiment!$B$2:$B$37,Phone_by_Sentiment!J$2:J$37,"",0,1),0),$A1164-TEXT(DATEVALUE($D1164&amp;"-01"), "dd-mm-yyyy")),0),0)</f>
        <v>321</v>
      </c>
      <c r="K1164" cm="1">
        <f t="array" ref="K1164">IF($Q1164&gt;=0,IFERROR(generateSalesData($D1164, IF(ISNUMBER(_xlfn.XLOOKUP($C1164,Phone_by_Sentiment!$B$2:$B$37,Phone_by_Sentiment!K$2:K$37,"",0,1)),_xlfn.XLOOKUP($C1164,Phone_by_Sentiment!$B$2:$B$37,Phone_by_Sentiment!K$2:K$37,"",0,1),0),$A1164-TEXT(DATEVALUE($D1164&amp;"-01"), "dd-mm-yyyy")),0),0)</f>
        <v>1894</v>
      </c>
      <c r="L1164" cm="1">
        <f t="array" ref="L1164">IF($Q1164&gt;=0,IFERROR(generateSalesData($D1164, IF(ISNUMBER(_xlfn.XLOOKUP($C1164,Phone_by_Sentiment!$B$2:$B$37,Phone_by_Sentiment!L$2:L$37,"",0,1)),_xlfn.XLOOKUP($C1164,Phone_by_Sentiment!$B$2:$B$37,Phone_by_Sentiment!L$2:L$37,"",0,1),0),$A1164-TEXT(DATEVALUE($D1164&amp;"-01"), "dd-mm-yyyy")),0),0)</f>
        <v>354</v>
      </c>
      <c r="M1164" cm="1">
        <f t="array" ref="M1164">IF($Q1164&gt;=0,IFERROR(generateSalesData($D1164, IF(ISNUMBER(_xlfn.XLOOKUP($C1164,Phone_by_Sentiment!$B$2:$B$37,Phone_by_Sentiment!M$2:M$37,"",0,1)),_xlfn.XLOOKUP($C1164,Phone_by_Sentiment!$B$2:$B$37,Phone_by_Sentiment!M$2:M$37,"",0,1),0),$A1164-TEXT(DATEVALUE($D1164&amp;"-01"), "dd-mm-yyyy")),0),0)</f>
        <v>57</v>
      </c>
      <c r="N1164" cm="1">
        <f t="array" ref="N1164">IF($Q1164&gt;=0,IFERROR(generateSalesData($D1164, IF(ISNUMBER(_xlfn.XLOOKUP($C1164,Phone_by_Sentiment!$B$2:$B$37,Phone_by_Sentiment!N$2:N$37,"",0,1)),_xlfn.XLOOKUP($C1164,Phone_by_Sentiment!$B$2:$B$37,Phone_by_Sentiment!N$2:N$37,"",0,1),0),$A1164-TEXT(DATEVALUE($D1164&amp;"-01"), "dd-mm-yyyy")),0),0)</f>
        <v>670</v>
      </c>
      <c r="O1164" cm="1">
        <f t="array" ref="O1164">IF($Q1164&gt;=0,IFERROR(generateSalesData($D1164, IF(ISNUMBER(_xlfn.XLOOKUP($C1164,Phone_by_Sentiment!$B$2:$B$37,Phone_by_Sentiment!O$2:O$37,"",0,1)),_xlfn.XLOOKUP($C1164,Phone_by_Sentiment!$B$2:$B$37,Phone_by_Sentiment!O$2:O$37,"",0,1),0),$A1164-TEXT(DATEVALUE($D1164&amp;"-01"), "dd-mm-yyyy")),0),0)</f>
        <v>564</v>
      </c>
      <c r="P1164" s="1">
        <f t="shared" si="49"/>
        <v>44256</v>
      </c>
      <c r="Q1164">
        <f t="shared" si="50"/>
        <v>214</v>
      </c>
    </row>
    <row r="1165" spans="1:17" x14ac:dyDescent="0.25">
      <c r="A1165" s="1">
        <f t="shared" si="48"/>
        <v>44470</v>
      </c>
      <c r="B1165" t="s">
        <v>149</v>
      </c>
      <c r="C1165" t="str">
        <f>_xlfn.XLOOKUP(B1165,Phone_by_Price!$A$2:$A$34,Phone_by_Price!$B$2:$B$34,"-",0,1)</f>
        <v>Samsung Galaxy A52</v>
      </c>
      <c r="D1165" t="str">
        <f>_xlfn.XLOOKUP(C1165,Phone_by_Sentiment!$B$2:$B$37,Phone_by_Sentiment!$A$2:$A$37,"-",0,1)</f>
        <v>2021-03</v>
      </c>
      <c r="E1165" cm="1">
        <f t="array" ref="E1165">IF($Q1165&gt;=0,IFERROR(generateSalesData($D1165, IF(ISNUMBER(_xlfn.XLOOKUP($C1165,Phone_by_Sentiment!$B$2:$B$37,Phone_by_Sentiment!E$2:E$37,"",0,1)),_xlfn.XLOOKUP($C1165,Phone_by_Sentiment!$B$2:$B$37,Phone_by_Sentiment!E$2:E$37,"",0,1),0),$A1165-TEXT(DATEVALUE($D1165&amp;"-01"), "dd-mm-yyyy")),0),0)</f>
        <v>328</v>
      </c>
      <c r="F1165" cm="1">
        <f t="array" ref="F1165">IF($Q1165&gt;=0,IFERROR(generateSalesData($D1165, IF(ISNUMBER(_xlfn.XLOOKUP($C1165,Phone_by_Sentiment!$B$2:$B$37,Phone_by_Sentiment!F$2:F$37,"",0,1)),_xlfn.XLOOKUP($C1165,Phone_by_Sentiment!$B$2:$B$37,Phone_by_Sentiment!F$2:F$37,"",0,1),0),$A1165-TEXT(DATEVALUE($D1165&amp;"-01"), "dd-mm-yyyy")),0),0)</f>
        <v>361</v>
      </c>
      <c r="G1165" cm="1">
        <f t="array" ref="G1165">IF($Q1165&gt;=0,IFERROR(generateSalesData($D1165, IF(ISNUMBER(_xlfn.XLOOKUP($C1165,Phone_by_Sentiment!$B$2:$B$37,Phone_by_Sentiment!G$2:G$37,"",0,1)),_xlfn.XLOOKUP($C1165,Phone_by_Sentiment!$B$2:$B$37,Phone_by_Sentiment!G$2:G$37,"",0,1),0),$A1165-TEXT(DATEVALUE($D1165&amp;"-01"), "dd-mm-yyyy")),0),0)</f>
        <v>396</v>
      </c>
      <c r="H1165" cm="1">
        <f t="array" ref="H1165">IF($Q1165&gt;=0,IFERROR(generateSalesData($D1165, IF(ISNUMBER(_xlfn.XLOOKUP($C1165,Phone_by_Sentiment!$B$2:$B$37,Phone_by_Sentiment!H$2:H$37,"",0,1)),_xlfn.XLOOKUP($C1165,Phone_by_Sentiment!$B$2:$B$37,Phone_by_Sentiment!H$2:H$37,"",0,1),0),$A1165-TEXT(DATEVALUE($D1165&amp;"-01"), "dd-mm-yyyy")),0),0)</f>
        <v>470</v>
      </c>
      <c r="I1165" cm="1">
        <f t="array" ref="I1165">IF($Q1165&gt;=0,IFERROR(generateSalesData($D1165, IF(ISNUMBER(_xlfn.XLOOKUP($C1165,Phone_by_Sentiment!$B$2:$B$37,Phone_by_Sentiment!I$2:I$37,"",0,1)),_xlfn.XLOOKUP($C1165,Phone_by_Sentiment!$B$2:$B$37,Phone_by_Sentiment!I$2:I$37,"",0,1),0),$A1165-TEXT(DATEVALUE($D1165&amp;"-01"), "dd-mm-yyyy")),0),0)</f>
        <v>231</v>
      </c>
      <c r="J1165" cm="1">
        <f t="array" ref="J1165">IF($Q1165&gt;=0,IFERROR(generateSalesData($D1165, IF(ISNUMBER(_xlfn.XLOOKUP($C1165,Phone_by_Sentiment!$B$2:$B$37,Phone_by_Sentiment!J$2:J$37,"",0,1)),_xlfn.XLOOKUP($C1165,Phone_by_Sentiment!$B$2:$B$37,Phone_by_Sentiment!J$2:J$37,"",0,1),0),$A1165-TEXT(DATEVALUE($D1165&amp;"-01"), "dd-mm-yyyy")),0),0)</f>
        <v>920</v>
      </c>
      <c r="K1165" cm="1">
        <f t="array" ref="K1165">IF($Q1165&gt;=0,IFERROR(generateSalesData($D1165, IF(ISNUMBER(_xlfn.XLOOKUP($C1165,Phone_by_Sentiment!$B$2:$B$37,Phone_by_Sentiment!K$2:K$37,"",0,1)),_xlfn.XLOOKUP($C1165,Phone_by_Sentiment!$B$2:$B$37,Phone_by_Sentiment!K$2:K$37,"",0,1),0),$A1165-TEXT(DATEVALUE($D1165&amp;"-01"), "dd-mm-yyyy")),0),0)</f>
        <v>1014</v>
      </c>
      <c r="L1165" cm="1">
        <f t="array" ref="L1165">IF($Q1165&gt;=0,IFERROR(generateSalesData($D1165, IF(ISNUMBER(_xlfn.XLOOKUP($C1165,Phone_by_Sentiment!$B$2:$B$37,Phone_by_Sentiment!L$2:L$37,"",0,1)),_xlfn.XLOOKUP($C1165,Phone_by_Sentiment!$B$2:$B$37,Phone_by_Sentiment!L$2:L$37,"",0,1),0),$A1165-TEXT(DATEVALUE($D1165&amp;"-01"), "dd-mm-yyyy")),0),0)</f>
        <v>1384</v>
      </c>
      <c r="M1165" cm="1">
        <f t="array" ref="M1165">IF($Q1165&gt;=0,IFERROR(generateSalesData($D1165, IF(ISNUMBER(_xlfn.XLOOKUP($C1165,Phone_by_Sentiment!$B$2:$B$37,Phone_by_Sentiment!M$2:M$37,"",0,1)),_xlfn.XLOOKUP($C1165,Phone_by_Sentiment!$B$2:$B$37,Phone_by_Sentiment!M$2:M$37,"",0,1),0),$A1165-TEXT(DATEVALUE($D1165&amp;"-01"), "dd-mm-yyyy")),0),0)</f>
        <v>1802</v>
      </c>
      <c r="N1165" cm="1">
        <f t="array" ref="N1165">IF($Q1165&gt;=0,IFERROR(generateSalesData($D1165, IF(ISNUMBER(_xlfn.XLOOKUP($C1165,Phone_by_Sentiment!$B$2:$B$37,Phone_by_Sentiment!N$2:N$37,"",0,1)),_xlfn.XLOOKUP($C1165,Phone_by_Sentiment!$B$2:$B$37,Phone_by_Sentiment!N$2:N$37,"",0,1),0),$A1165-TEXT(DATEVALUE($D1165&amp;"-01"), "dd-mm-yyyy")),0),0)</f>
        <v>483</v>
      </c>
      <c r="O1165" cm="1">
        <f t="array" ref="O1165">IF($Q1165&gt;=0,IFERROR(generateSalesData($D1165, IF(ISNUMBER(_xlfn.XLOOKUP($C1165,Phone_by_Sentiment!$B$2:$B$37,Phone_by_Sentiment!O$2:O$37,"",0,1)),_xlfn.XLOOKUP($C1165,Phone_by_Sentiment!$B$2:$B$37,Phone_by_Sentiment!O$2:O$37,"",0,1),0),$A1165-TEXT(DATEVALUE($D1165&amp;"-01"), "dd-mm-yyyy")),0),0)</f>
        <v>888</v>
      </c>
      <c r="P1165" s="1">
        <f t="shared" si="49"/>
        <v>44256</v>
      </c>
      <c r="Q1165">
        <f t="shared" si="50"/>
        <v>214</v>
      </c>
    </row>
    <row r="1166" spans="1:17" x14ac:dyDescent="0.25">
      <c r="A1166" s="1">
        <f t="shared" si="48"/>
        <v>44470</v>
      </c>
      <c r="B1166" t="s">
        <v>150</v>
      </c>
      <c r="C1166" t="str">
        <f>_xlfn.XLOOKUP(B1166,Phone_by_Price!$A$2:$A$34,Phone_by_Price!$B$2:$B$34,"-",0,1)</f>
        <v>Vivo Y33s</v>
      </c>
      <c r="D1166" t="str">
        <f>_xlfn.XLOOKUP(C1166,Phone_by_Sentiment!$B$2:$B$37,Phone_by_Sentiment!$A$2:$A$37,"-",0,1)</f>
        <v>2021-05</v>
      </c>
      <c r="E1166" cm="1">
        <f t="array" ref="E1166">IF($Q1166&gt;=0,IFERROR(generateSalesData($D1166, IF(ISNUMBER(_xlfn.XLOOKUP($C1166,Phone_by_Sentiment!$B$2:$B$37,Phone_by_Sentiment!E$2:E$37,"",0,1)),_xlfn.XLOOKUP($C1166,Phone_by_Sentiment!$B$2:$B$37,Phone_by_Sentiment!E$2:E$37,"",0,1),0),$A1166-TEXT(DATEVALUE($D1166&amp;"-01"), "dd-mm-yyyy")),0),0)</f>
        <v>374</v>
      </c>
      <c r="F1166" cm="1">
        <f t="array" ref="F1166">IF($Q1166&gt;=0,IFERROR(generateSalesData($D1166, IF(ISNUMBER(_xlfn.XLOOKUP($C1166,Phone_by_Sentiment!$B$2:$B$37,Phone_by_Sentiment!F$2:F$37,"",0,1)),_xlfn.XLOOKUP($C1166,Phone_by_Sentiment!$B$2:$B$37,Phone_by_Sentiment!F$2:F$37,"",0,1),0),$A1166-TEXT(DATEVALUE($D1166&amp;"-01"), "dd-mm-yyyy")),0),0)</f>
        <v>602</v>
      </c>
      <c r="G1166" cm="1">
        <f t="array" ref="G1166">IF($Q1166&gt;=0,IFERROR(generateSalesData($D1166, IF(ISNUMBER(_xlfn.XLOOKUP($C1166,Phone_by_Sentiment!$B$2:$B$37,Phone_by_Sentiment!G$2:G$37,"",0,1)),_xlfn.XLOOKUP($C1166,Phone_by_Sentiment!$B$2:$B$37,Phone_by_Sentiment!G$2:G$37,"",0,1),0),$A1166-TEXT(DATEVALUE($D1166&amp;"-01"), "dd-mm-yyyy")),0),0)</f>
        <v>477</v>
      </c>
      <c r="H1166" cm="1">
        <f t="array" ref="H1166">IF($Q1166&gt;=0,IFERROR(generateSalesData($D1166, IF(ISNUMBER(_xlfn.XLOOKUP($C1166,Phone_by_Sentiment!$B$2:$B$37,Phone_by_Sentiment!H$2:H$37,"",0,1)),_xlfn.XLOOKUP($C1166,Phone_by_Sentiment!$B$2:$B$37,Phone_by_Sentiment!H$2:H$37,"",0,1),0),$A1166-TEXT(DATEVALUE($D1166&amp;"-01"), "dd-mm-yyyy")),0),0)</f>
        <v>-210</v>
      </c>
      <c r="I1166" cm="1">
        <f t="array" ref="I1166">IF($Q1166&gt;=0,IFERROR(generateSalesData($D1166, IF(ISNUMBER(_xlfn.XLOOKUP($C1166,Phone_by_Sentiment!$B$2:$B$37,Phone_by_Sentiment!I$2:I$37,"",0,1)),_xlfn.XLOOKUP($C1166,Phone_by_Sentiment!$B$2:$B$37,Phone_by_Sentiment!I$2:I$37,"",0,1),0),$A1166-TEXT(DATEVALUE($D1166&amp;"-01"), "dd-mm-yyyy")),0),0)</f>
        <v>648</v>
      </c>
      <c r="J1166" cm="1">
        <f t="array" ref="J1166">IF($Q1166&gt;=0,IFERROR(generateSalesData($D1166, IF(ISNUMBER(_xlfn.XLOOKUP($C1166,Phone_by_Sentiment!$B$2:$B$37,Phone_by_Sentiment!J$2:J$37,"",0,1)),_xlfn.XLOOKUP($C1166,Phone_by_Sentiment!$B$2:$B$37,Phone_by_Sentiment!J$2:J$37,"",0,1),0),$A1166-TEXT(DATEVALUE($D1166&amp;"-01"), "dd-mm-yyyy")),0),0)</f>
        <v>710</v>
      </c>
      <c r="K1166" cm="1">
        <f t="array" ref="K1166">IF($Q1166&gt;=0,IFERROR(generateSalesData($D1166, IF(ISNUMBER(_xlfn.XLOOKUP($C1166,Phone_by_Sentiment!$B$2:$B$37,Phone_by_Sentiment!K$2:K$37,"",0,1)),_xlfn.XLOOKUP($C1166,Phone_by_Sentiment!$B$2:$B$37,Phone_by_Sentiment!K$2:K$37,"",0,1),0),$A1166-TEXT(DATEVALUE($D1166&amp;"-01"), "dd-mm-yyyy")),0),0)</f>
        <v>238</v>
      </c>
      <c r="L1166" cm="1">
        <f t="array" ref="L1166">IF($Q1166&gt;=0,IFERROR(generateSalesData($D1166, IF(ISNUMBER(_xlfn.XLOOKUP($C1166,Phone_by_Sentiment!$B$2:$B$37,Phone_by_Sentiment!L$2:L$37,"",0,1)),_xlfn.XLOOKUP($C1166,Phone_by_Sentiment!$B$2:$B$37,Phone_by_Sentiment!L$2:L$37,"",0,1),0),$A1166-TEXT(DATEVALUE($D1166&amp;"-01"), "dd-mm-yyyy")),0),0)</f>
        <v>186</v>
      </c>
      <c r="M1166" cm="1">
        <f t="array" ref="M1166">IF($Q1166&gt;=0,IFERROR(generateSalesData($D1166, IF(ISNUMBER(_xlfn.XLOOKUP($C1166,Phone_by_Sentiment!$B$2:$B$37,Phone_by_Sentiment!M$2:M$37,"",0,1)),_xlfn.XLOOKUP($C1166,Phone_by_Sentiment!$B$2:$B$37,Phone_by_Sentiment!M$2:M$37,"",0,1),0),$A1166-TEXT(DATEVALUE($D1166&amp;"-01"), "dd-mm-yyyy")),0),0)</f>
        <v>231</v>
      </c>
      <c r="N1166" cm="1">
        <f t="array" ref="N1166">IF($Q1166&gt;=0,IFERROR(generateSalesData($D1166, IF(ISNUMBER(_xlfn.XLOOKUP($C1166,Phone_by_Sentiment!$B$2:$B$37,Phone_by_Sentiment!N$2:N$37,"",0,1)),_xlfn.XLOOKUP($C1166,Phone_by_Sentiment!$B$2:$B$37,Phone_by_Sentiment!N$2:N$37,"",0,1),0),$A1166-TEXT(DATEVALUE($D1166&amp;"-01"), "dd-mm-yyyy")),0),0)</f>
        <v>558</v>
      </c>
      <c r="O1166" cm="1">
        <f t="array" ref="O1166">IF($Q1166&gt;=0,IFERROR(generateSalesData($D1166, IF(ISNUMBER(_xlfn.XLOOKUP($C1166,Phone_by_Sentiment!$B$2:$B$37,Phone_by_Sentiment!O$2:O$37,"",0,1)),_xlfn.XLOOKUP($C1166,Phone_by_Sentiment!$B$2:$B$37,Phone_by_Sentiment!O$2:O$37,"",0,1),0),$A1166-TEXT(DATEVALUE($D1166&amp;"-01"), "dd-mm-yyyy")),0),0)</f>
        <v>727</v>
      </c>
      <c r="P1166" s="1">
        <f t="shared" si="49"/>
        <v>44317</v>
      </c>
      <c r="Q1166">
        <f t="shared" si="50"/>
        <v>153</v>
      </c>
    </row>
    <row r="1167" spans="1:17" x14ac:dyDescent="0.25">
      <c r="A1167" s="1">
        <f t="shared" si="48"/>
        <v>44470</v>
      </c>
      <c r="B1167" t="s">
        <v>151</v>
      </c>
      <c r="C1167" t="str">
        <f>_xlfn.XLOOKUP(B1167,Phone_by_Price!$A$2:$A$34,Phone_by_Price!$B$2:$B$34,"-",0,1)</f>
        <v>Vivo Y11s</v>
      </c>
      <c r="D1167" t="str">
        <f>_xlfn.XLOOKUP(C1167,Phone_by_Sentiment!$B$2:$B$37,Phone_by_Sentiment!$A$2:$A$37,"-",0,1)</f>
        <v>2020-11</v>
      </c>
      <c r="E1167" cm="1">
        <f t="array" ref="E1167">IF($Q1167&gt;=0,IFERROR(generateSalesData($D1167, IF(ISNUMBER(_xlfn.XLOOKUP($C1167,Phone_by_Sentiment!$B$2:$B$37,Phone_by_Sentiment!E$2:E$37,"",0,1)),_xlfn.XLOOKUP($C1167,Phone_by_Sentiment!$B$2:$B$37,Phone_by_Sentiment!E$2:E$37,"",0,1),0),$A1167-TEXT(DATEVALUE($D1167&amp;"-01"), "dd-mm-yyyy")),0),0)</f>
        <v>229</v>
      </c>
      <c r="F1167" cm="1">
        <f t="array" ref="F1167">IF($Q1167&gt;=0,IFERROR(generateSalesData($D1167, IF(ISNUMBER(_xlfn.XLOOKUP($C1167,Phone_by_Sentiment!$B$2:$B$37,Phone_by_Sentiment!F$2:F$37,"",0,1)),_xlfn.XLOOKUP($C1167,Phone_by_Sentiment!$B$2:$B$37,Phone_by_Sentiment!F$2:F$37,"",0,1),0),$A1167-TEXT(DATEVALUE($D1167&amp;"-01"), "dd-mm-yyyy")),0),0)</f>
        <v>179</v>
      </c>
      <c r="G1167" cm="1">
        <f t="array" ref="G1167">IF($Q1167&gt;=0,IFERROR(generateSalesData($D1167, IF(ISNUMBER(_xlfn.XLOOKUP($C1167,Phone_by_Sentiment!$B$2:$B$37,Phone_by_Sentiment!G$2:G$37,"",0,1)),_xlfn.XLOOKUP($C1167,Phone_by_Sentiment!$B$2:$B$37,Phone_by_Sentiment!G$2:G$37,"",0,1),0),$A1167-TEXT(DATEVALUE($D1167&amp;"-01"), "dd-mm-yyyy")),0),0)</f>
        <v>186</v>
      </c>
      <c r="H1167" cm="1">
        <f t="array" ref="H1167">IF($Q1167&gt;=0,IFERROR(generateSalesData($D1167, IF(ISNUMBER(_xlfn.XLOOKUP($C1167,Phone_by_Sentiment!$B$2:$B$37,Phone_by_Sentiment!H$2:H$37,"",0,1)),_xlfn.XLOOKUP($C1167,Phone_by_Sentiment!$B$2:$B$37,Phone_by_Sentiment!H$2:H$37,"",0,1),0),$A1167-TEXT(DATEVALUE($D1167&amp;"-01"), "dd-mm-yyyy")),0),0)</f>
        <v>193</v>
      </c>
      <c r="I1167" cm="1">
        <f t="array" ref="I1167">IF($Q1167&gt;=0,IFERROR(generateSalesData($D1167, IF(ISNUMBER(_xlfn.XLOOKUP($C1167,Phone_by_Sentiment!$B$2:$B$37,Phone_by_Sentiment!I$2:I$37,"",0,1)),_xlfn.XLOOKUP($C1167,Phone_by_Sentiment!$B$2:$B$37,Phone_by_Sentiment!I$2:I$37,"",0,1),0),$A1167-TEXT(DATEVALUE($D1167&amp;"-01"), "dd-mm-yyyy")),0),0)</f>
        <v>159</v>
      </c>
      <c r="J1167" cm="1">
        <f t="array" ref="J1167">IF($Q1167&gt;=0,IFERROR(generateSalesData($D1167, IF(ISNUMBER(_xlfn.XLOOKUP($C1167,Phone_by_Sentiment!$B$2:$B$37,Phone_by_Sentiment!J$2:J$37,"",0,1)),_xlfn.XLOOKUP($C1167,Phone_by_Sentiment!$B$2:$B$37,Phone_by_Sentiment!J$2:J$37,"",0,1),0),$A1167-TEXT(DATEVALUE($D1167&amp;"-01"), "dd-mm-yyyy")),0),0)</f>
        <v>180</v>
      </c>
      <c r="K1167" cm="1">
        <f t="array" ref="K1167">IF($Q1167&gt;=0,IFERROR(generateSalesData($D1167, IF(ISNUMBER(_xlfn.XLOOKUP($C1167,Phone_by_Sentiment!$B$2:$B$37,Phone_by_Sentiment!K$2:K$37,"",0,1)),_xlfn.XLOOKUP($C1167,Phone_by_Sentiment!$B$2:$B$37,Phone_by_Sentiment!K$2:K$37,"",0,1),0),$A1167-TEXT(DATEVALUE($D1167&amp;"-01"), "dd-mm-yyyy")),0),0)</f>
        <v>-9</v>
      </c>
      <c r="L1167" cm="1">
        <f t="array" ref="L1167">IF($Q1167&gt;=0,IFERROR(generateSalesData($D1167, IF(ISNUMBER(_xlfn.XLOOKUP($C1167,Phone_by_Sentiment!$B$2:$B$37,Phone_by_Sentiment!L$2:L$37,"",0,1)),_xlfn.XLOOKUP($C1167,Phone_by_Sentiment!$B$2:$B$37,Phone_by_Sentiment!L$2:L$37,"",0,1),0),$A1167-TEXT(DATEVALUE($D1167&amp;"-01"), "dd-mm-yyyy")),0),0)</f>
        <v>51</v>
      </c>
      <c r="M1167" cm="1">
        <f t="array" ref="M1167">IF($Q1167&gt;=0,IFERROR(generateSalesData($D1167, IF(ISNUMBER(_xlfn.XLOOKUP($C1167,Phone_by_Sentiment!$B$2:$B$37,Phone_by_Sentiment!M$2:M$37,"",0,1)),_xlfn.XLOOKUP($C1167,Phone_by_Sentiment!$B$2:$B$37,Phone_by_Sentiment!M$2:M$37,"",0,1),0),$A1167-TEXT(DATEVALUE($D1167&amp;"-01"), "dd-mm-yyyy")),0),0)</f>
        <v>629</v>
      </c>
      <c r="N1167" cm="1">
        <f t="array" ref="N1167">IF($Q1167&gt;=0,IFERROR(generateSalesData($D1167, IF(ISNUMBER(_xlfn.XLOOKUP($C1167,Phone_by_Sentiment!$B$2:$B$37,Phone_by_Sentiment!N$2:N$37,"",0,1)),_xlfn.XLOOKUP($C1167,Phone_by_Sentiment!$B$2:$B$37,Phone_by_Sentiment!N$2:N$37,"",0,1),0),$A1167-TEXT(DATEVALUE($D1167&amp;"-01"), "dd-mm-yyyy")),0),0)</f>
        <v>154</v>
      </c>
      <c r="O1167" cm="1">
        <f t="array" ref="O1167">IF($Q1167&gt;=0,IFERROR(generateSalesData($D1167, IF(ISNUMBER(_xlfn.XLOOKUP($C1167,Phone_by_Sentiment!$B$2:$B$37,Phone_by_Sentiment!O$2:O$37,"",0,1)),_xlfn.XLOOKUP($C1167,Phone_by_Sentiment!$B$2:$B$37,Phone_by_Sentiment!O$2:O$37,"",0,1),0),$A1167-TEXT(DATEVALUE($D1167&amp;"-01"), "dd-mm-yyyy")),0),0)</f>
        <v>124</v>
      </c>
      <c r="P1167" s="1">
        <f t="shared" si="49"/>
        <v>44136</v>
      </c>
      <c r="Q1167">
        <f t="shared" si="50"/>
        <v>334</v>
      </c>
    </row>
    <row r="1168" spans="1:17" x14ac:dyDescent="0.25">
      <c r="A1168" s="1">
        <f t="shared" si="48"/>
        <v>44470</v>
      </c>
      <c r="B1168" t="s">
        <v>152</v>
      </c>
      <c r="C1168" t="str">
        <f>_xlfn.XLOOKUP(B1168,Phone_by_Price!$A$2:$A$34,Phone_by_Price!$B$2:$B$34,"-",0,1)</f>
        <v>Huawei Nova 7i</v>
      </c>
      <c r="D1168" t="str">
        <f>_xlfn.XLOOKUP(C1168,Phone_by_Sentiment!$B$2:$B$37,Phone_by_Sentiment!$A$2:$A$37,"-",0,1)</f>
        <v>2020-02</v>
      </c>
      <c r="E1168" cm="1">
        <f t="array" ref="E1168">IF($Q1168&gt;=0,IFERROR(generateSalesData($D1168, IF(ISNUMBER(_xlfn.XLOOKUP($C1168,Phone_by_Sentiment!$B$2:$B$37,Phone_by_Sentiment!E$2:E$37,"",0,1)),_xlfn.XLOOKUP($C1168,Phone_by_Sentiment!$B$2:$B$37,Phone_by_Sentiment!E$2:E$37,"",0,1),0),$A1168-TEXT(DATEVALUE($D1168&amp;"-01"), "dd-mm-yyyy")),0),0)</f>
        <v>75</v>
      </c>
      <c r="F1168" cm="1">
        <f t="array" ref="F1168">IF($Q1168&gt;=0,IFERROR(generateSalesData($D1168, IF(ISNUMBER(_xlfn.XLOOKUP($C1168,Phone_by_Sentiment!$B$2:$B$37,Phone_by_Sentiment!F$2:F$37,"",0,1)),_xlfn.XLOOKUP($C1168,Phone_by_Sentiment!$B$2:$B$37,Phone_by_Sentiment!F$2:F$37,"",0,1),0),$A1168-TEXT(DATEVALUE($D1168&amp;"-01"), "dd-mm-yyyy")),0),0)</f>
        <v>130</v>
      </c>
      <c r="G1168" cm="1">
        <f t="array" ref="G1168">IF($Q1168&gt;=0,IFERROR(generateSalesData($D1168, IF(ISNUMBER(_xlfn.XLOOKUP($C1168,Phone_by_Sentiment!$B$2:$B$37,Phone_by_Sentiment!G$2:G$37,"",0,1)),_xlfn.XLOOKUP($C1168,Phone_by_Sentiment!$B$2:$B$37,Phone_by_Sentiment!G$2:G$37,"",0,1),0),$A1168-TEXT(DATEVALUE($D1168&amp;"-01"), "dd-mm-yyyy")),0),0)</f>
        <v>97</v>
      </c>
      <c r="H1168" cm="1">
        <f t="array" ref="H1168">IF($Q1168&gt;=0,IFERROR(generateSalesData($D1168, IF(ISNUMBER(_xlfn.XLOOKUP($C1168,Phone_by_Sentiment!$B$2:$B$37,Phone_by_Sentiment!H$2:H$37,"",0,1)),_xlfn.XLOOKUP($C1168,Phone_by_Sentiment!$B$2:$B$37,Phone_by_Sentiment!H$2:H$37,"",0,1),0),$A1168-TEXT(DATEVALUE($D1168&amp;"-01"), "dd-mm-yyyy")),0),0)</f>
        <v>595</v>
      </c>
      <c r="I1168" cm="1">
        <f t="array" ref="I1168">IF($Q1168&gt;=0,IFERROR(generateSalesData($D1168, IF(ISNUMBER(_xlfn.XLOOKUP($C1168,Phone_by_Sentiment!$B$2:$B$37,Phone_by_Sentiment!I$2:I$37,"",0,1)),_xlfn.XLOOKUP($C1168,Phone_by_Sentiment!$B$2:$B$37,Phone_by_Sentiment!I$2:I$37,"",0,1),0),$A1168-TEXT(DATEVALUE($D1168&amp;"-01"), "dd-mm-yyyy")),0),0)</f>
        <v>82</v>
      </c>
      <c r="J1168" cm="1">
        <f t="array" ref="J1168">IF($Q1168&gt;=0,IFERROR(generateSalesData($D1168, IF(ISNUMBER(_xlfn.XLOOKUP($C1168,Phone_by_Sentiment!$B$2:$B$37,Phone_by_Sentiment!J$2:J$37,"",0,1)),_xlfn.XLOOKUP($C1168,Phone_by_Sentiment!$B$2:$B$37,Phone_by_Sentiment!J$2:J$37,"",0,1),0),$A1168-TEXT(DATEVALUE($D1168&amp;"-01"), "dd-mm-yyyy")),0),0)</f>
        <v>92</v>
      </c>
      <c r="K1168" cm="1">
        <f t="array" ref="K1168">IF($Q1168&gt;=0,IFERROR(generateSalesData($D1168, IF(ISNUMBER(_xlfn.XLOOKUP($C1168,Phone_by_Sentiment!$B$2:$B$37,Phone_by_Sentiment!K$2:K$37,"",0,1)),_xlfn.XLOOKUP($C1168,Phone_by_Sentiment!$B$2:$B$37,Phone_by_Sentiment!K$2:K$37,"",0,1),0),$A1168-TEXT(DATEVALUE($D1168&amp;"-01"), "dd-mm-yyyy")),0),0)</f>
        <v>151</v>
      </c>
      <c r="L1168" cm="1">
        <f t="array" ref="L1168">IF($Q1168&gt;=0,IFERROR(generateSalesData($D1168, IF(ISNUMBER(_xlfn.XLOOKUP($C1168,Phone_by_Sentiment!$B$2:$B$37,Phone_by_Sentiment!L$2:L$37,"",0,1)),_xlfn.XLOOKUP($C1168,Phone_by_Sentiment!$B$2:$B$37,Phone_by_Sentiment!L$2:L$37,"",0,1),0),$A1168-TEXT(DATEVALUE($D1168&amp;"-01"), "dd-mm-yyyy")),0),0)</f>
        <v>70</v>
      </c>
      <c r="M1168" cm="1">
        <f t="array" ref="M1168">IF($Q1168&gt;=0,IFERROR(generateSalesData($D1168, IF(ISNUMBER(_xlfn.XLOOKUP($C1168,Phone_by_Sentiment!$B$2:$B$37,Phone_by_Sentiment!M$2:M$37,"",0,1)),_xlfn.XLOOKUP($C1168,Phone_by_Sentiment!$B$2:$B$37,Phone_by_Sentiment!M$2:M$37,"",0,1),0),$A1168-TEXT(DATEVALUE($D1168&amp;"-01"), "dd-mm-yyyy")),0),0)</f>
        <v>107</v>
      </c>
      <c r="N1168" cm="1">
        <f t="array" ref="N1168">IF($Q1168&gt;=0,IFERROR(generateSalesData($D1168, IF(ISNUMBER(_xlfn.XLOOKUP($C1168,Phone_by_Sentiment!$B$2:$B$37,Phone_by_Sentiment!N$2:N$37,"",0,1)),_xlfn.XLOOKUP($C1168,Phone_by_Sentiment!$B$2:$B$37,Phone_by_Sentiment!N$2:N$37,"",0,1),0),$A1168-TEXT(DATEVALUE($D1168&amp;"-01"), "dd-mm-yyyy")),0),0)</f>
        <v>151</v>
      </c>
      <c r="O1168" cm="1">
        <f t="array" ref="O1168">IF($Q1168&gt;=0,IFERROR(generateSalesData($D1168, IF(ISNUMBER(_xlfn.XLOOKUP($C1168,Phone_by_Sentiment!$B$2:$B$37,Phone_by_Sentiment!O$2:O$37,"",0,1)),_xlfn.XLOOKUP($C1168,Phone_by_Sentiment!$B$2:$B$37,Phone_by_Sentiment!O$2:O$37,"",0,1),0),$A1168-TEXT(DATEVALUE($D1168&amp;"-01"), "dd-mm-yyyy")),0),0)</f>
        <v>65</v>
      </c>
      <c r="P1168" s="1">
        <f t="shared" si="49"/>
        <v>43862</v>
      </c>
      <c r="Q1168">
        <f t="shared" si="50"/>
        <v>608</v>
      </c>
    </row>
    <row r="1169" spans="1:17" x14ac:dyDescent="0.25">
      <c r="A1169" s="1">
        <f t="shared" si="48"/>
        <v>44470</v>
      </c>
      <c r="B1169" t="s">
        <v>153</v>
      </c>
      <c r="C1169" t="str">
        <f>_xlfn.XLOOKUP(B1169,Phone_by_Price!$A$2:$A$34,Phone_by_Price!$B$2:$B$34,"-",0,1)</f>
        <v>iPhone 13</v>
      </c>
      <c r="D1169" t="str">
        <f>_xlfn.XLOOKUP(C1169,Phone_by_Sentiment!$B$2:$B$37,Phone_by_Sentiment!$A$2:$A$37,"-",0,1)</f>
        <v>2021-09</v>
      </c>
      <c r="E1169" cm="1">
        <f t="array" ref="E1169">IF($Q1169&gt;=0,IFERROR(generateSalesData($D1169, IF(ISNUMBER(_xlfn.XLOOKUP($C1169,Phone_by_Sentiment!$B$2:$B$37,Phone_by_Sentiment!E$2:E$37,"",0,1)),_xlfn.XLOOKUP($C1169,Phone_by_Sentiment!$B$2:$B$37,Phone_by_Sentiment!E$2:E$37,"",0,1),0),$A1169-TEXT(DATEVALUE($D1169&amp;"-01"), "dd-mm-yyyy")),0),0)</f>
        <v>3403</v>
      </c>
      <c r="F1169" cm="1">
        <f t="array" ref="F1169">IF($Q1169&gt;=0,IFERROR(generateSalesData($D1169, IF(ISNUMBER(_xlfn.XLOOKUP($C1169,Phone_by_Sentiment!$B$2:$B$37,Phone_by_Sentiment!F$2:F$37,"",0,1)),_xlfn.XLOOKUP($C1169,Phone_by_Sentiment!$B$2:$B$37,Phone_by_Sentiment!F$2:F$37,"",0,1),0),$A1169-TEXT(DATEVALUE($D1169&amp;"-01"), "dd-mm-yyyy")),0),0)</f>
        <v>2388</v>
      </c>
      <c r="G1169" cm="1">
        <f t="array" ref="G1169">IF($Q1169&gt;=0,IFERROR(generateSalesData($D1169, IF(ISNUMBER(_xlfn.XLOOKUP($C1169,Phone_by_Sentiment!$B$2:$B$37,Phone_by_Sentiment!G$2:G$37,"",0,1)),_xlfn.XLOOKUP($C1169,Phone_by_Sentiment!$B$2:$B$37,Phone_by_Sentiment!G$2:G$37,"",0,1),0),$A1169-TEXT(DATEVALUE($D1169&amp;"-01"), "dd-mm-yyyy")),0),0)</f>
        <v>5434</v>
      </c>
      <c r="H1169" cm="1">
        <f t="array" ref="H1169">IF($Q1169&gt;=0,IFERROR(generateSalesData($D1169, IF(ISNUMBER(_xlfn.XLOOKUP($C1169,Phone_by_Sentiment!$B$2:$B$37,Phone_by_Sentiment!H$2:H$37,"",0,1)),_xlfn.XLOOKUP($C1169,Phone_by_Sentiment!$B$2:$B$37,Phone_by_Sentiment!H$2:H$37,"",0,1),0),$A1169-TEXT(DATEVALUE($D1169&amp;"-01"), "dd-mm-yyyy")),0),0)</f>
        <v>19014</v>
      </c>
      <c r="I1169" cm="1">
        <f t="array" ref="I1169">IF($Q1169&gt;=0,IFERROR(generateSalesData($D1169, IF(ISNUMBER(_xlfn.XLOOKUP($C1169,Phone_by_Sentiment!$B$2:$B$37,Phone_by_Sentiment!I$2:I$37,"",0,1)),_xlfn.XLOOKUP($C1169,Phone_by_Sentiment!$B$2:$B$37,Phone_by_Sentiment!I$2:I$37,"",0,1),0),$A1169-TEXT(DATEVALUE($D1169&amp;"-01"), "dd-mm-yyyy")),0),0)</f>
        <v>1651</v>
      </c>
      <c r="J1169" cm="1">
        <f t="array" ref="J1169">IF($Q1169&gt;=0,IFERROR(generateSalesData($D1169, IF(ISNUMBER(_xlfn.XLOOKUP($C1169,Phone_by_Sentiment!$B$2:$B$37,Phone_by_Sentiment!J$2:J$37,"",0,1)),_xlfn.XLOOKUP($C1169,Phone_by_Sentiment!$B$2:$B$37,Phone_by_Sentiment!J$2:J$37,"",0,1),0),$A1169-TEXT(DATEVALUE($D1169&amp;"-01"), "dd-mm-yyyy")),0),0)</f>
        <v>11981</v>
      </c>
      <c r="K1169" cm="1">
        <f t="array" ref="K1169">IF($Q1169&gt;=0,IFERROR(generateSalesData($D1169, IF(ISNUMBER(_xlfn.XLOOKUP($C1169,Phone_by_Sentiment!$B$2:$B$37,Phone_by_Sentiment!K$2:K$37,"",0,1)),_xlfn.XLOOKUP($C1169,Phone_by_Sentiment!$B$2:$B$37,Phone_by_Sentiment!K$2:K$37,"",0,1),0),$A1169-TEXT(DATEVALUE($D1169&amp;"-01"), "dd-mm-yyyy")),0),0)</f>
        <v>2060</v>
      </c>
      <c r="L1169" cm="1">
        <f t="array" ref="L1169">IF($Q1169&gt;=0,IFERROR(generateSalesData($D1169, IF(ISNUMBER(_xlfn.XLOOKUP($C1169,Phone_by_Sentiment!$B$2:$B$37,Phone_by_Sentiment!L$2:L$37,"",0,1)),_xlfn.XLOOKUP($C1169,Phone_by_Sentiment!$B$2:$B$37,Phone_by_Sentiment!L$2:L$37,"",0,1),0),$A1169-TEXT(DATEVALUE($D1169&amp;"-01"), "dd-mm-yyyy")),0),0)</f>
        <v>6156</v>
      </c>
      <c r="M1169" cm="1">
        <f t="array" ref="M1169">IF($Q1169&gt;=0,IFERROR(generateSalesData($D1169, IF(ISNUMBER(_xlfn.XLOOKUP($C1169,Phone_by_Sentiment!$B$2:$B$37,Phone_by_Sentiment!M$2:M$37,"",0,1)),_xlfn.XLOOKUP($C1169,Phone_by_Sentiment!$B$2:$B$37,Phone_by_Sentiment!M$2:M$37,"",0,1),0),$A1169-TEXT(DATEVALUE($D1169&amp;"-01"), "dd-mm-yyyy")),0),0)</f>
        <v>8047</v>
      </c>
      <c r="N1169" cm="1">
        <f t="array" ref="N1169">IF($Q1169&gt;=0,IFERROR(generateSalesData($D1169, IF(ISNUMBER(_xlfn.XLOOKUP($C1169,Phone_by_Sentiment!$B$2:$B$37,Phone_by_Sentiment!N$2:N$37,"",0,1)),_xlfn.XLOOKUP($C1169,Phone_by_Sentiment!$B$2:$B$37,Phone_by_Sentiment!N$2:N$37,"",0,1),0),$A1169-TEXT(DATEVALUE($D1169&amp;"-01"), "dd-mm-yyyy")),0),0)</f>
        <v>3206</v>
      </c>
      <c r="O1169" cm="1">
        <f t="array" ref="O1169">IF($Q1169&gt;=0,IFERROR(generateSalesData($D1169, IF(ISNUMBER(_xlfn.XLOOKUP($C1169,Phone_by_Sentiment!$B$2:$B$37,Phone_by_Sentiment!O$2:O$37,"",0,1)),_xlfn.XLOOKUP($C1169,Phone_by_Sentiment!$B$2:$B$37,Phone_by_Sentiment!O$2:O$37,"",0,1),0),$A1169-TEXT(DATEVALUE($D1169&amp;"-01"), "dd-mm-yyyy")),0),0)</f>
        <v>16871</v>
      </c>
      <c r="P1169" s="1">
        <f t="shared" si="49"/>
        <v>44440</v>
      </c>
      <c r="Q1169">
        <f t="shared" si="50"/>
        <v>30</v>
      </c>
    </row>
    <row r="1170" spans="1:17" x14ac:dyDescent="0.25">
      <c r="A1170" s="1">
        <f t="shared" si="48"/>
        <v>44470</v>
      </c>
      <c r="B1170" t="s">
        <v>154</v>
      </c>
      <c r="C1170" t="str">
        <f>_xlfn.XLOOKUP(B1170,Phone_by_Price!$A$2:$A$34,Phone_by_Price!$B$2:$B$34,"-",0,1)</f>
        <v>Samsung Galaxy S21</v>
      </c>
      <c r="D1170" t="str">
        <f>_xlfn.XLOOKUP(C1170,Phone_by_Sentiment!$B$2:$B$37,Phone_by_Sentiment!$A$2:$A$37,"-",0,1)</f>
        <v>2021-01</v>
      </c>
      <c r="E1170" cm="1">
        <f t="array" ref="E1170">IF($Q1170&gt;=0,IFERROR(generateSalesData($D1170, IF(ISNUMBER(_xlfn.XLOOKUP($C1170,Phone_by_Sentiment!$B$2:$B$37,Phone_by_Sentiment!E$2:E$37,"",0,1)),_xlfn.XLOOKUP($C1170,Phone_by_Sentiment!$B$2:$B$37,Phone_by_Sentiment!E$2:E$37,"",0,1),0),$A1170-TEXT(DATEVALUE($D1170&amp;"-01"), "dd-mm-yyyy")),0),0)</f>
        <v>958</v>
      </c>
      <c r="F1170" cm="1">
        <f t="array" ref="F1170">IF($Q1170&gt;=0,IFERROR(generateSalesData($D1170, IF(ISNUMBER(_xlfn.XLOOKUP($C1170,Phone_by_Sentiment!$B$2:$B$37,Phone_by_Sentiment!F$2:F$37,"",0,1)),_xlfn.XLOOKUP($C1170,Phone_by_Sentiment!$B$2:$B$37,Phone_by_Sentiment!F$2:F$37,"",0,1),0),$A1170-TEXT(DATEVALUE($D1170&amp;"-01"), "dd-mm-yyyy")),0),0)</f>
        <v>974</v>
      </c>
      <c r="G1170" cm="1">
        <f t="array" ref="G1170">IF($Q1170&gt;=0,IFERROR(generateSalesData($D1170, IF(ISNUMBER(_xlfn.XLOOKUP($C1170,Phone_by_Sentiment!$B$2:$B$37,Phone_by_Sentiment!G$2:G$37,"",0,1)),_xlfn.XLOOKUP($C1170,Phone_by_Sentiment!$B$2:$B$37,Phone_by_Sentiment!G$2:G$37,"",0,1),0),$A1170-TEXT(DATEVALUE($D1170&amp;"-01"), "dd-mm-yyyy")),0),0)</f>
        <v>173</v>
      </c>
      <c r="H1170" cm="1">
        <f t="array" ref="H1170">IF($Q1170&gt;=0,IFERROR(generateSalesData($D1170, IF(ISNUMBER(_xlfn.XLOOKUP($C1170,Phone_by_Sentiment!$B$2:$B$37,Phone_by_Sentiment!H$2:H$37,"",0,1)),_xlfn.XLOOKUP($C1170,Phone_by_Sentiment!$B$2:$B$37,Phone_by_Sentiment!H$2:H$37,"",0,1),0),$A1170-TEXT(DATEVALUE($D1170&amp;"-01"), "dd-mm-yyyy")),0),0)</f>
        <v>561</v>
      </c>
      <c r="I1170" cm="1">
        <f t="array" ref="I1170">IF($Q1170&gt;=0,IFERROR(generateSalesData($D1170, IF(ISNUMBER(_xlfn.XLOOKUP($C1170,Phone_by_Sentiment!$B$2:$B$37,Phone_by_Sentiment!I$2:I$37,"",0,1)),_xlfn.XLOOKUP($C1170,Phone_by_Sentiment!$B$2:$B$37,Phone_by_Sentiment!I$2:I$37,"",0,1),0),$A1170-TEXT(DATEVALUE($D1170&amp;"-01"), "dd-mm-yyyy")),0),0)</f>
        <v>1149</v>
      </c>
      <c r="J1170" cm="1">
        <f t="array" ref="J1170">IF($Q1170&gt;=0,IFERROR(generateSalesData($D1170, IF(ISNUMBER(_xlfn.XLOOKUP($C1170,Phone_by_Sentiment!$B$2:$B$37,Phone_by_Sentiment!J$2:J$37,"",0,1)),_xlfn.XLOOKUP($C1170,Phone_by_Sentiment!$B$2:$B$37,Phone_by_Sentiment!J$2:J$37,"",0,1),0),$A1170-TEXT(DATEVALUE($D1170&amp;"-01"), "dd-mm-yyyy")),0),0)</f>
        <v>811</v>
      </c>
      <c r="K1170" cm="1">
        <f t="array" ref="K1170">IF($Q1170&gt;=0,IFERROR(generateSalesData($D1170, IF(ISNUMBER(_xlfn.XLOOKUP($C1170,Phone_by_Sentiment!$B$2:$B$37,Phone_by_Sentiment!K$2:K$37,"",0,1)),_xlfn.XLOOKUP($C1170,Phone_by_Sentiment!$B$2:$B$37,Phone_by_Sentiment!K$2:K$37,"",0,1),0),$A1170-TEXT(DATEVALUE($D1170&amp;"-01"), "dd-mm-yyyy")),0),0)</f>
        <v>175</v>
      </c>
      <c r="L1170" cm="1">
        <f t="array" ref="L1170">IF($Q1170&gt;=0,IFERROR(generateSalesData($D1170, IF(ISNUMBER(_xlfn.XLOOKUP($C1170,Phone_by_Sentiment!$B$2:$B$37,Phone_by_Sentiment!L$2:L$37,"",0,1)),_xlfn.XLOOKUP($C1170,Phone_by_Sentiment!$B$2:$B$37,Phone_by_Sentiment!L$2:L$37,"",0,1),0),$A1170-TEXT(DATEVALUE($D1170&amp;"-01"), "dd-mm-yyyy")),0),0)</f>
        <v>263</v>
      </c>
      <c r="M1170" cm="1">
        <f t="array" ref="M1170">IF($Q1170&gt;=0,IFERROR(generateSalesData($D1170, IF(ISNUMBER(_xlfn.XLOOKUP($C1170,Phone_by_Sentiment!$B$2:$B$37,Phone_by_Sentiment!M$2:M$37,"",0,1)),_xlfn.XLOOKUP($C1170,Phone_by_Sentiment!$B$2:$B$37,Phone_by_Sentiment!M$2:M$37,"",0,1),0),$A1170-TEXT(DATEVALUE($D1170&amp;"-01"), "dd-mm-yyyy")),0),0)</f>
        <v>751</v>
      </c>
      <c r="N1170" cm="1">
        <f t="array" ref="N1170">IF($Q1170&gt;=0,IFERROR(generateSalesData($D1170, IF(ISNUMBER(_xlfn.XLOOKUP($C1170,Phone_by_Sentiment!$B$2:$B$37,Phone_by_Sentiment!N$2:N$37,"",0,1)),_xlfn.XLOOKUP($C1170,Phone_by_Sentiment!$B$2:$B$37,Phone_by_Sentiment!N$2:N$37,"",0,1),0),$A1170-TEXT(DATEVALUE($D1170&amp;"-01"), "dd-mm-yyyy")),0),0)</f>
        <v>702</v>
      </c>
      <c r="O1170" cm="1">
        <f t="array" ref="O1170">IF($Q1170&gt;=0,IFERROR(generateSalesData($D1170, IF(ISNUMBER(_xlfn.XLOOKUP($C1170,Phone_by_Sentiment!$B$2:$B$37,Phone_by_Sentiment!O$2:O$37,"",0,1)),_xlfn.XLOOKUP($C1170,Phone_by_Sentiment!$B$2:$B$37,Phone_by_Sentiment!O$2:O$37,"",0,1),0),$A1170-TEXT(DATEVALUE($D1170&amp;"-01"), "dd-mm-yyyy")),0),0)</f>
        <v>465</v>
      </c>
      <c r="P1170" s="1">
        <f t="shared" si="49"/>
        <v>44197</v>
      </c>
      <c r="Q1170">
        <f t="shared" si="50"/>
        <v>273</v>
      </c>
    </row>
    <row r="1171" spans="1:17" x14ac:dyDescent="0.25">
      <c r="A1171" s="1">
        <f t="shared" si="48"/>
        <v>44470</v>
      </c>
      <c r="B1171" t="s">
        <v>155</v>
      </c>
      <c r="C1171" t="str">
        <f>_xlfn.XLOOKUP(B1171,Phone_by_Price!$A$2:$A$34,Phone_by_Price!$B$2:$B$34,"-",0,1)</f>
        <v>Google Pixel 6</v>
      </c>
      <c r="D1171" t="str">
        <f>_xlfn.XLOOKUP(C1171,Phone_by_Sentiment!$B$2:$B$37,Phone_by_Sentiment!$A$2:$A$37,"-",0,1)</f>
        <v>2021-10</v>
      </c>
      <c r="E1171" cm="1">
        <f t="array" ref="E1171">IF($Q1171&gt;=0,IFERROR(generateSalesData($D1171, IF(ISNUMBER(_xlfn.XLOOKUP($C1171,Phone_by_Sentiment!$B$2:$B$37,Phone_by_Sentiment!E$2:E$37,"",0,1)),_xlfn.XLOOKUP($C1171,Phone_by_Sentiment!$B$2:$B$37,Phone_by_Sentiment!E$2:E$37,"",0,1),0),$A1171-TEXT(DATEVALUE($D1171&amp;"-01"), "dd-mm-yyyy")),0),0)</f>
        <v>493</v>
      </c>
      <c r="F1171" cm="1">
        <f t="array" ref="F1171">IF($Q1171&gt;=0,IFERROR(generateSalesData($D1171, IF(ISNUMBER(_xlfn.XLOOKUP($C1171,Phone_by_Sentiment!$B$2:$B$37,Phone_by_Sentiment!F$2:F$37,"",0,1)),_xlfn.XLOOKUP($C1171,Phone_by_Sentiment!$B$2:$B$37,Phone_by_Sentiment!F$2:F$37,"",0,1),0),$A1171-TEXT(DATEVALUE($D1171&amp;"-01"), "dd-mm-yyyy")),0),0)</f>
        <v>1307</v>
      </c>
      <c r="G1171" cm="1">
        <f t="array" ref="G1171">IF($Q1171&gt;=0,IFERROR(generateSalesData($D1171, IF(ISNUMBER(_xlfn.XLOOKUP($C1171,Phone_by_Sentiment!$B$2:$B$37,Phone_by_Sentiment!G$2:G$37,"",0,1)),_xlfn.XLOOKUP($C1171,Phone_by_Sentiment!$B$2:$B$37,Phone_by_Sentiment!G$2:G$37,"",0,1),0),$A1171-TEXT(DATEVALUE($D1171&amp;"-01"), "dd-mm-yyyy")),0),0)</f>
        <v>1250</v>
      </c>
      <c r="H1171" cm="1">
        <f t="array" ref="H1171">IF($Q1171&gt;=0,IFERROR(generateSalesData($D1171, IF(ISNUMBER(_xlfn.XLOOKUP($C1171,Phone_by_Sentiment!$B$2:$B$37,Phone_by_Sentiment!H$2:H$37,"",0,1)),_xlfn.XLOOKUP($C1171,Phone_by_Sentiment!$B$2:$B$37,Phone_by_Sentiment!H$2:H$37,"",0,1),0),$A1171-TEXT(DATEVALUE($D1171&amp;"-01"), "dd-mm-yyyy")),0),0)</f>
        <v>698</v>
      </c>
      <c r="I1171" cm="1">
        <f t="array" ref="I1171">IF($Q1171&gt;=0,IFERROR(generateSalesData($D1171, IF(ISNUMBER(_xlfn.XLOOKUP($C1171,Phone_by_Sentiment!$B$2:$B$37,Phone_by_Sentiment!I$2:I$37,"",0,1)),_xlfn.XLOOKUP($C1171,Phone_by_Sentiment!$B$2:$B$37,Phone_by_Sentiment!I$2:I$37,"",0,1),0),$A1171-TEXT(DATEVALUE($D1171&amp;"-01"), "dd-mm-yyyy")),0),0)</f>
        <v>1594</v>
      </c>
      <c r="J1171" cm="1">
        <f t="array" ref="J1171">IF($Q1171&gt;=0,IFERROR(generateSalesData($D1171, IF(ISNUMBER(_xlfn.XLOOKUP($C1171,Phone_by_Sentiment!$B$2:$B$37,Phone_by_Sentiment!J$2:J$37,"",0,1)),_xlfn.XLOOKUP($C1171,Phone_by_Sentiment!$B$2:$B$37,Phone_by_Sentiment!J$2:J$37,"",0,1),0),$A1171-TEXT(DATEVALUE($D1171&amp;"-01"), "dd-mm-yyyy")),0),0)</f>
        <v>368</v>
      </c>
      <c r="K1171" cm="1">
        <f t="array" ref="K1171">IF($Q1171&gt;=0,IFERROR(generateSalesData($D1171, IF(ISNUMBER(_xlfn.XLOOKUP($C1171,Phone_by_Sentiment!$B$2:$B$37,Phone_by_Sentiment!K$2:K$37,"",0,1)),_xlfn.XLOOKUP($C1171,Phone_by_Sentiment!$B$2:$B$37,Phone_by_Sentiment!K$2:K$37,"",0,1),0),$A1171-TEXT(DATEVALUE($D1171&amp;"-01"), "dd-mm-yyyy")),0),0)</f>
        <v>810</v>
      </c>
      <c r="L1171" cm="1">
        <f t="array" ref="L1171">IF($Q1171&gt;=0,IFERROR(generateSalesData($D1171, IF(ISNUMBER(_xlfn.XLOOKUP($C1171,Phone_by_Sentiment!$B$2:$B$37,Phone_by_Sentiment!L$2:L$37,"",0,1)),_xlfn.XLOOKUP($C1171,Phone_by_Sentiment!$B$2:$B$37,Phone_by_Sentiment!L$2:L$37,"",0,1),0),$A1171-TEXT(DATEVALUE($D1171&amp;"-01"), "dd-mm-yyyy")),0),0)</f>
        <v>750</v>
      </c>
      <c r="M1171" cm="1">
        <f t="array" ref="M1171">IF($Q1171&gt;=0,IFERROR(generateSalesData($D1171, IF(ISNUMBER(_xlfn.XLOOKUP($C1171,Phone_by_Sentiment!$B$2:$B$37,Phone_by_Sentiment!M$2:M$37,"",0,1)),_xlfn.XLOOKUP($C1171,Phone_by_Sentiment!$B$2:$B$37,Phone_by_Sentiment!M$2:M$37,"",0,1),0),$A1171-TEXT(DATEVALUE($D1171&amp;"-01"), "dd-mm-yyyy")),0),0)</f>
        <v>15951</v>
      </c>
      <c r="N1171" cm="1">
        <f t="array" ref="N1171">IF($Q1171&gt;=0,IFERROR(generateSalesData($D1171, IF(ISNUMBER(_xlfn.XLOOKUP($C1171,Phone_by_Sentiment!$B$2:$B$37,Phone_by_Sentiment!N$2:N$37,"",0,1)),_xlfn.XLOOKUP($C1171,Phone_by_Sentiment!$B$2:$B$37,Phone_by_Sentiment!N$2:N$37,"",0,1),0),$A1171-TEXT(DATEVALUE($D1171&amp;"-01"), "dd-mm-yyyy")),0),0)</f>
        <v>1366</v>
      </c>
      <c r="O1171" cm="1">
        <f t="array" ref="O1171">IF($Q1171&gt;=0,IFERROR(generateSalesData($D1171, IF(ISNUMBER(_xlfn.XLOOKUP($C1171,Phone_by_Sentiment!$B$2:$B$37,Phone_by_Sentiment!O$2:O$37,"",0,1)),_xlfn.XLOOKUP($C1171,Phone_by_Sentiment!$B$2:$B$37,Phone_by_Sentiment!O$2:O$37,"",0,1),0),$A1171-TEXT(DATEVALUE($D1171&amp;"-01"), "dd-mm-yyyy")),0),0)</f>
        <v>538</v>
      </c>
      <c r="P1171" s="1">
        <f t="shared" si="49"/>
        <v>44470</v>
      </c>
      <c r="Q1171">
        <f t="shared" si="50"/>
        <v>0</v>
      </c>
    </row>
    <row r="1172" spans="1:17" x14ac:dyDescent="0.25">
      <c r="A1172" s="1">
        <f t="shared" si="48"/>
        <v>44470</v>
      </c>
      <c r="B1172" t="s">
        <v>156</v>
      </c>
      <c r="C1172" t="str">
        <f>_xlfn.XLOOKUP(B1172,Phone_by_Price!$A$2:$A$34,Phone_by_Price!$B$2:$B$34,"-",0,1)</f>
        <v>OnePlus Nord CE</v>
      </c>
      <c r="D1172" t="str">
        <f>_xlfn.XLOOKUP(C1172,Phone_by_Sentiment!$B$2:$B$37,Phone_by_Sentiment!$A$2:$A$37,"-",0,1)</f>
        <v>2021-06</v>
      </c>
      <c r="E1172" cm="1">
        <f t="array" ref="E1172">IF($Q1172&gt;=0,IFERROR(generateSalesData($D1172, IF(ISNUMBER(_xlfn.XLOOKUP($C1172,Phone_by_Sentiment!$B$2:$B$37,Phone_by_Sentiment!E$2:E$37,"",0,1)),_xlfn.XLOOKUP($C1172,Phone_by_Sentiment!$B$2:$B$37,Phone_by_Sentiment!E$2:E$37,"",0,1),0),$A1172-TEXT(DATEVALUE($D1172&amp;"-01"), "dd-mm-yyyy")),0),0)</f>
        <v>177</v>
      </c>
      <c r="F1172" cm="1">
        <f t="array" ref="F1172">IF($Q1172&gt;=0,IFERROR(generateSalesData($D1172, IF(ISNUMBER(_xlfn.XLOOKUP($C1172,Phone_by_Sentiment!$B$2:$B$37,Phone_by_Sentiment!F$2:F$37,"",0,1)),_xlfn.XLOOKUP($C1172,Phone_by_Sentiment!$B$2:$B$37,Phone_by_Sentiment!F$2:F$37,"",0,1),0),$A1172-TEXT(DATEVALUE($D1172&amp;"-01"), "dd-mm-yyyy")),0),0)</f>
        <v>252</v>
      </c>
      <c r="G1172" cm="1">
        <f t="array" ref="G1172">IF($Q1172&gt;=0,IFERROR(generateSalesData($D1172, IF(ISNUMBER(_xlfn.XLOOKUP($C1172,Phone_by_Sentiment!$B$2:$B$37,Phone_by_Sentiment!G$2:G$37,"",0,1)),_xlfn.XLOOKUP($C1172,Phone_by_Sentiment!$B$2:$B$37,Phone_by_Sentiment!G$2:G$37,"",0,1),0),$A1172-TEXT(DATEVALUE($D1172&amp;"-01"), "dd-mm-yyyy")),0),0)</f>
        <v>470</v>
      </c>
      <c r="H1172" cm="1">
        <f t="array" ref="H1172">IF($Q1172&gt;=0,IFERROR(generateSalesData($D1172, IF(ISNUMBER(_xlfn.XLOOKUP($C1172,Phone_by_Sentiment!$B$2:$B$37,Phone_by_Sentiment!H$2:H$37,"",0,1)),_xlfn.XLOOKUP($C1172,Phone_by_Sentiment!$B$2:$B$37,Phone_by_Sentiment!H$2:H$37,"",0,1),0),$A1172-TEXT(DATEVALUE($D1172&amp;"-01"), "dd-mm-yyyy")),0),0)</f>
        <v>3659</v>
      </c>
      <c r="I1172" cm="1">
        <f t="array" ref="I1172">IF($Q1172&gt;=0,IFERROR(generateSalesData($D1172, IF(ISNUMBER(_xlfn.XLOOKUP($C1172,Phone_by_Sentiment!$B$2:$B$37,Phone_by_Sentiment!I$2:I$37,"",0,1)),_xlfn.XLOOKUP($C1172,Phone_by_Sentiment!$B$2:$B$37,Phone_by_Sentiment!I$2:I$37,"",0,1),0),$A1172-TEXT(DATEVALUE($D1172&amp;"-01"), "dd-mm-yyyy")),0),0)</f>
        <v>375</v>
      </c>
      <c r="J1172" cm="1">
        <f t="array" ref="J1172">IF($Q1172&gt;=0,IFERROR(generateSalesData($D1172, IF(ISNUMBER(_xlfn.XLOOKUP($C1172,Phone_by_Sentiment!$B$2:$B$37,Phone_by_Sentiment!J$2:J$37,"",0,1)),_xlfn.XLOOKUP($C1172,Phone_by_Sentiment!$B$2:$B$37,Phone_by_Sentiment!J$2:J$37,"",0,1),0),$A1172-TEXT(DATEVALUE($D1172&amp;"-01"), "dd-mm-yyyy")),0),0)</f>
        <v>83</v>
      </c>
      <c r="K1172" cm="1">
        <f t="array" ref="K1172">IF($Q1172&gt;=0,IFERROR(generateSalesData($D1172, IF(ISNUMBER(_xlfn.XLOOKUP($C1172,Phone_by_Sentiment!$B$2:$B$37,Phone_by_Sentiment!K$2:K$37,"",0,1)),_xlfn.XLOOKUP($C1172,Phone_by_Sentiment!$B$2:$B$37,Phone_by_Sentiment!K$2:K$37,"",0,1),0),$A1172-TEXT(DATEVALUE($D1172&amp;"-01"), "dd-mm-yyyy")),0),0)</f>
        <v>272</v>
      </c>
      <c r="L1172" cm="1">
        <f t="array" ref="L1172">IF($Q1172&gt;=0,IFERROR(generateSalesData($D1172, IF(ISNUMBER(_xlfn.XLOOKUP($C1172,Phone_by_Sentiment!$B$2:$B$37,Phone_by_Sentiment!L$2:L$37,"",0,1)),_xlfn.XLOOKUP($C1172,Phone_by_Sentiment!$B$2:$B$37,Phone_by_Sentiment!L$2:L$37,"",0,1),0),$A1172-TEXT(DATEVALUE($D1172&amp;"-01"), "dd-mm-yyyy")),0),0)</f>
        <v>180</v>
      </c>
      <c r="M1172" cm="1">
        <f t="array" ref="M1172">IF($Q1172&gt;=0,IFERROR(generateSalesData($D1172, IF(ISNUMBER(_xlfn.XLOOKUP($C1172,Phone_by_Sentiment!$B$2:$B$37,Phone_by_Sentiment!M$2:M$37,"",0,1)),_xlfn.XLOOKUP($C1172,Phone_by_Sentiment!$B$2:$B$37,Phone_by_Sentiment!M$2:M$37,"",0,1),0),$A1172-TEXT(DATEVALUE($D1172&amp;"-01"), "dd-mm-yyyy")),0),0)</f>
        <v>124</v>
      </c>
      <c r="N1172" cm="1">
        <f t="array" ref="N1172">IF($Q1172&gt;=0,IFERROR(generateSalesData($D1172, IF(ISNUMBER(_xlfn.XLOOKUP($C1172,Phone_by_Sentiment!$B$2:$B$37,Phone_by_Sentiment!N$2:N$37,"",0,1)),_xlfn.XLOOKUP($C1172,Phone_by_Sentiment!$B$2:$B$37,Phone_by_Sentiment!N$2:N$37,"",0,1),0),$A1172-TEXT(DATEVALUE($D1172&amp;"-01"), "dd-mm-yyyy")),0),0)</f>
        <v>828</v>
      </c>
      <c r="O1172" cm="1">
        <f t="array" ref="O1172">IF($Q1172&gt;=0,IFERROR(generateSalesData($D1172, IF(ISNUMBER(_xlfn.XLOOKUP($C1172,Phone_by_Sentiment!$B$2:$B$37,Phone_by_Sentiment!O$2:O$37,"",0,1)),_xlfn.XLOOKUP($C1172,Phone_by_Sentiment!$B$2:$B$37,Phone_by_Sentiment!O$2:O$37,"",0,1),0),$A1172-TEXT(DATEVALUE($D1172&amp;"-01"), "dd-mm-yyyy")),0),0)</f>
        <v>274</v>
      </c>
      <c r="P1172" s="1">
        <f t="shared" si="49"/>
        <v>44348</v>
      </c>
      <c r="Q1172">
        <f t="shared" si="50"/>
        <v>122</v>
      </c>
    </row>
    <row r="1173" spans="1:17" x14ac:dyDescent="0.25">
      <c r="A1173" s="1">
        <f t="shared" si="48"/>
        <v>44470</v>
      </c>
      <c r="B1173" t="s">
        <v>157</v>
      </c>
      <c r="C1173" t="str">
        <f>_xlfn.XLOOKUP(B1173,Phone_by_Price!$A$2:$A$34,Phone_by_Price!$B$2:$B$34,"-",0,1)</f>
        <v>Apple iPhone 13 Pro</v>
      </c>
      <c r="D1173" t="str">
        <f>_xlfn.XLOOKUP(C1173,Phone_by_Sentiment!$B$2:$B$37,Phone_by_Sentiment!$A$2:$A$37,"-",0,1)</f>
        <v>2021-09</v>
      </c>
      <c r="E1173" cm="1">
        <f t="array" ref="E1173">IF($Q1173&gt;=0,IFERROR(generateSalesData($D1173, IF(ISNUMBER(_xlfn.XLOOKUP($C1173,Phone_by_Sentiment!$B$2:$B$37,Phone_by_Sentiment!E$2:E$37,"",0,1)),_xlfn.XLOOKUP($C1173,Phone_by_Sentiment!$B$2:$B$37,Phone_by_Sentiment!E$2:E$37,"",0,1),0),$A1173-TEXT(DATEVALUE($D1173&amp;"-01"), "dd-mm-yyyy")),0),0)</f>
        <v>11486</v>
      </c>
      <c r="F1173" cm="1">
        <f t="array" ref="F1173">IF($Q1173&gt;=0,IFERROR(generateSalesData($D1173, IF(ISNUMBER(_xlfn.XLOOKUP($C1173,Phone_by_Sentiment!$B$2:$B$37,Phone_by_Sentiment!F$2:F$37,"",0,1)),_xlfn.XLOOKUP($C1173,Phone_by_Sentiment!$B$2:$B$37,Phone_by_Sentiment!F$2:F$37,"",0,1),0),$A1173-TEXT(DATEVALUE($D1173&amp;"-01"), "dd-mm-yyyy")),0),0)</f>
        <v>13136</v>
      </c>
      <c r="G1173" cm="1">
        <f t="array" ref="G1173">IF($Q1173&gt;=0,IFERROR(generateSalesData($D1173, IF(ISNUMBER(_xlfn.XLOOKUP($C1173,Phone_by_Sentiment!$B$2:$B$37,Phone_by_Sentiment!G$2:G$37,"",0,1)),_xlfn.XLOOKUP($C1173,Phone_by_Sentiment!$B$2:$B$37,Phone_by_Sentiment!G$2:G$37,"",0,1),0),$A1173-TEXT(DATEVALUE($D1173&amp;"-01"), "dd-mm-yyyy")),0),0)</f>
        <v>2330</v>
      </c>
      <c r="H1173" cm="1">
        <f t="array" ref="H1173">IF($Q1173&gt;=0,IFERROR(generateSalesData($D1173, IF(ISNUMBER(_xlfn.XLOOKUP($C1173,Phone_by_Sentiment!$B$2:$B$37,Phone_by_Sentiment!H$2:H$37,"",0,1)),_xlfn.XLOOKUP($C1173,Phone_by_Sentiment!$B$2:$B$37,Phone_by_Sentiment!H$2:H$37,"",0,1),0),$A1173-TEXT(DATEVALUE($D1173&amp;"-01"), "dd-mm-yyyy")),0),0)</f>
        <v>11648</v>
      </c>
      <c r="I1173" cm="1">
        <f t="array" ref="I1173">IF($Q1173&gt;=0,IFERROR(generateSalesData($D1173, IF(ISNUMBER(_xlfn.XLOOKUP($C1173,Phone_by_Sentiment!$B$2:$B$37,Phone_by_Sentiment!I$2:I$37,"",0,1)),_xlfn.XLOOKUP($C1173,Phone_by_Sentiment!$B$2:$B$37,Phone_by_Sentiment!I$2:I$37,"",0,1),0),$A1173-TEXT(DATEVALUE($D1173&amp;"-01"), "dd-mm-yyyy")),0),0)</f>
        <v>13537</v>
      </c>
      <c r="J1173" cm="1">
        <f t="array" ref="J1173">IF($Q1173&gt;=0,IFERROR(generateSalesData($D1173, IF(ISNUMBER(_xlfn.XLOOKUP($C1173,Phone_by_Sentiment!$B$2:$B$37,Phone_by_Sentiment!J$2:J$37,"",0,1)),_xlfn.XLOOKUP($C1173,Phone_by_Sentiment!$B$2:$B$37,Phone_by_Sentiment!J$2:J$37,"",0,1),0),$A1173-TEXT(DATEVALUE($D1173&amp;"-01"), "dd-mm-yyyy")),0),0)</f>
        <v>11636</v>
      </c>
      <c r="K1173" cm="1">
        <f t="array" ref="K1173">IF($Q1173&gt;=0,IFERROR(generateSalesData($D1173, IF(ISNUMBER(_xlfn.XLOOKUP($C1173,Phone_by_Sentiment!$B$2:$B$37,Phone_by_Sentiment!K$2:K$37,"",0,1)),_xlfn.XLOOKUP($C1173,Phone_by_Sentiment!$B$2:$B$37,Phone_by_Sentiment!K$2:K$37,"",0,1),0),$A1173-TEXT(DATEVALUE($D1173&amp;"-01"), "dd-mm-yyyy")),0),0)</f>
        <v>9629</v>
      </c>
      <c r="L1173" cm="1">
        <f t="array" ref="L1173">IF($Q1173&gt;=0,IFERROR(generateSalesData($D1173, IF(ISNUMBER(_xlfn.XLOOKUP($C1173,Phone_by_Sentiment!$B$2:$B$37,Phone_by_Sentiment!L$2:L$37,"",0,1)),_xlfn.XLOOKUP($C1173,Phone_by_Sentiment!$B$2:$B$37,Phone_by_Sentiment!L$2:L$37,"",0,1),0),$A1173-TEXT(DATEVALUE($D1173&amp;"-01"), "dd-mm-yyyy")),0),0)</f>
        <v>5459</v>
      </c>
      <c r="M1173" cm="1">
        <f t="array" ref="M1173">IF($Q1173&gt;=0,IFERROR(generateSalesData($D1173, IF(ISNUMBER(_xlfn.XLOOKUP($C1173,Phone_by_Sentiment!$B$2:$B$37,Phone_by_Sentiment!M$2:M$37,"",0,1)),_xlfn.XLOOKUP($C1173,Phone_by_Sentiment!$B$2:$B$37,Phone_by_Sentiment!M$2:M$37,"",0,1),0),$A1173-TEXT(DATEVALUE($D1173&amp;"-01"), "dd-mm-yyyy")),0),0)</f>
        <v>16736</v>
      </c>
      <c r="N1173" cm="1">
        <f t="array" ref="N1173">IF($Q1173&gt;=0,IFERROR(generateSalesData($D1173, IF(ISNUMBER(_xlfn.XLOOKUP($C1173,Phone_by_Sentiment!$B$2:$B$37,Phone_by_Sentiment!N$2:N$37,"",0,1)),_xlfn.XLOOKUP($C1173,Phone_by_Sentiment!$B$2:$B$37,Phone_by_Sentiment!N$2:N$37,"",0,1),0),$A1173-TEXT(DATEVALUE($D1173&amp;"-01"), "dd-mm-yyyy")),0),0)</f>
        <v>23003</v>
      </c>
      <c r="O1173" cm="1">
        <f t="array" ref="O1173">IF($Q1173&gt;=0,IFERROR(generateSalesData($D1173, IF(ISNUMBER(_xlfn.XLOOKUP($C1173,Phone_by_Sentiment!$B$2:$B$37,Phone_by_Sentiment!O$2:O$37,"",0,1)),_xlfn.XLOOKUP($C1173,Phone_by_Sentiment!$B$2:$B$37,Phone_by_Sentiment!O$2:O$37,"",0,1),0),$A1173-TEXT(DATEVALUE($D1173&amp;"-01"), "dd-mm-yyyy")),0),0)</f>
        <v>12895</v>
      </c>
      <c r="P1173" s="1">
        <f t="shared" si="49"/>
        <v>44440</v>
      </c>
      <c r="Q1173">
        <f t="shared" si="50"/>
        <v>30</v>
      </c>
    </row>
    <row r="1174" spans="1:17" x14ac:dyDescent="0.25">
      <c r="A1174" s="1">
        <f t="shared" si="48"/>
        <v>44470</v>
      </c>
      <c r="B1174" t="s">
        <v>158</v>
      </c>
      <c r="C1174" t="str">
        <f>_xlfn.XLOOKUP(B1174,Phone_by_Price!$A$2:$A$34,Phone_by_Price!$B$2:$B$34,"-",0,1)</f>
        <v>Samsung Galaxy A32 5G</v>
      </c>
      <c r="D1174" t="str">
        <f>_xlfn.XLOOKUP(C1174,Phone_by_Sentiment!$B$2:$B$37,Phone_by_Sentiment!$A$2:$A$37,"-",0,1)</f>
        <v>2021-02</v>
      </c>
      <c r="E1174" cm="1">
        <f t="array" ref="E1174">IF($Q1174&gt;=0,IFERROR(generateSalesData($D1174, IF(ISNUMBER(_xlfn.XLOOKUP($C1174,Phone_by_Sentiment!$B$2:$B$37,Phone_by_Sentiment!E$2:E$37,"",0,1)),_xlfn.XLOOKUP($C1174,Phone_by_Sentiment!$B$2:$B$37,Phone_by_Sentiment!E$2:E$37,"",0,1),0),$A1174-TEXT(DATEVALUE($D1174&amp;"-01"), "dd-mm-yyyy")),0),0)</f>
        <v>1597</v>
      </c>
      <c r="F1174" cm="1">
        <f t="array" ref="F1174">IF($Q1174&gt;=0,IFERROR(generateSalesData($D1174, IF(ISNUMBER(_xlfn.XLOOKUP($C1174,Phone_by_Sentiment!$B$2:$B$37,Phone_by_Sentiment!F$2:F$37,"",0,1)),_xlfn.XLOOKUP($C1174,Phone_by_Sentiment!$B$2:$B$37,Phone_by_Sentiment!F$2:F$37,"",0,1),0),$A1174-TEXT(DATEVALUE($D1174&amp;"-01"), "dd-mm-yyyy")),0),0)</f>
        <v>758</v>
      </c>
      <c r="G1174" cm="1">
        <f t="array" ref="G1174">IF($Q1174&gt;=0,IFERROR(generateSalesData($D1174, IF(ISNUMBER(_xlfn.XLOOKUP($C1174,Phone_by_Sentiment!$B$2:$B$37,Phone_by_Sentiment!G$2:G$37,"",0,1)),_xlfn.XLOOKUP($C1174,Phone_by_Sentiment!$B$2:$B$37,Phone_by_Sentiment!G$2:G$37,"",0,1),0),$A1174-TEXT(DATEVALUE($D1174&amp;"-01"), "dd-mm-yyyy")),0),0)</f>
        <v>93</v>
      </c>
      <c r="H1174" cm="1">
        <f t="array" ref="H1174">IF($Q1174&gt;=0,IFERROR(generateSalesData($D1174, IF(ISNUMBER(_xlfn.XLOOKUP($C1174,Phone_by_Sentiment!$B$2:$B$37,Phone_by_Sentiment!H$2:H$37,"",0,1)),_xlfn.XLOOKUP($C1174,Phone_by_Sentiment!$B$2:$B$37,Phone_by_Sentiment!H$2:H$37,"",0,1),0),$A1174-TEXT(DATEVALUE($D1174&amp;"-01"), "dd-mm-yyyy")),0),0)</f>
        <v>648</v>
      </c>
      <c r="I1174" cm="1">
        <f t="array" ref="I1174">IF($Q1174&gt;=0,IFERROR(generateSalesData($D1174, IF(ISNUMBER(_xlfn.XLOOKUP($C1174,Phone_by_Sentiment!$B$2:$B$37,Phone_by_Sentiment!I$2:I$37,"",0,1)),_xlfn.XLOOKUP($C1174,Phone_by_Sentiment!$B$2:$B$37,Phone_by_Sentiment!I$2:I$37,"",0,1),0),$A1174-TEXT(DATEVALUE($D1174&amp;"-01"), "dd-mm-yyyy")),0),0)</f>
        <v>1545</v>
      </c>
      <c r="J1174" cm="1">
        <f t="array" ref="J1174">IF($Q1174&gt;=0,IFERROR(generateSalesData($D1174, IF(ISNUMBER(_xlfn.XLOOKUP($C1174,Phone_by_Sentiment!$B$2:$B$37,Phone_by_Sentiment!J$2:J$37,"",0,1)),_xlfn.XLOOKUP($C1174,Phone_by_Sentiment!$B$2:$B$37,Phone_by_Sentiment!J$2:J$37,"",0,1),0),$A1174-TEXT(DATEVALUE($D1174&amp;"-01"), "dd-mm-yyyy")),0),0)</f>
        <v>1470</v>
      </c>
      <c r="K1174" cm="1">
        <f t="array" ref="K1174">IF($Q1174&gt;=0,IFERROR(generateSalesData($D1174, IF(ISNUMBER(_xlfn.XLOOKUP($C1174,Phone_by_Sentiment!$B$2:$B$37,Phone_by_Sentiment!K$2:K$37,"",0,1)),_xlfn.XLOOKUP($C1174,Phone_by_Sentiment!$B$2:$B$37,Phone_by_Sentiment!K$2:K$37,"",0,1),0),$A1174-TEXT(DATEVALUE($D1174&amp;"-01"), "dd-mm-yyyy")),0),0)</f>
        <v>385</v>
      </c>
      <c r="L1174" cm="1">
        <f t="array" ref="L1174">IF($Q1174&gt;=0,IFERROR(generateSalesData($D1174, IF(ISNUMBER(_xlfn.XLOOKUP($C1174,Phone_by_Sentiment!$B$2:$B$37,Phone_by_Sentiment!L$2:L$37,"",0,1)),_xlfn.XLOOKUP($C1174,Phone_by_Sentiment!$B$2:$B$37,Phone_by_Sentiment!L$2:L$37,"",0,1),0),$A1174-TEXT(DATEVALUE($D1174&amp;"-01"), "dd-mm-yyyy")),0),0)</f>
        <v>335</v>
      </c>
      <c r="M1174" cm="1">
        <f t="array" ref="M1174">IF($Q1174&gt;=0,IFERROR(generateSalesData($D1174, IF(ISNUMBER(_xlfn.XLOOKUP($C1174,Phone_by_Sentiment!$B$2:$B$37,Phone_by_Sentiment!M$2:M$37,"",0,1)),_xlfn.XLOOKUP($C1174,Phone_by_Sentiment!$B$2:$B$37,Phone_by_Sentiment!M$2:M$37,"",0,1),0),$A1174-TEXT(DATEVALUE($D1174&amp;"-01"), "dd-mm-yyyy")),0),0)</f>
        <v>1455</v>
      </c>
      <c r="N1174" cm="1">
        <f t="array" ref="N1174">IF($Q1174&gt;=0,IFERROR(generateSalesData($D1174, IF(ISNUMBER(_xlfn.XLOOKUP($C1174,Phone_by_Sentiment!$B$2:$B$37,Phone_by_Sentiment!N$2:N$37,"",0,1)),_xlfn.XLOOKUP($C1174,Phone_by_Sentiment!$B$2:$B$37,Phone_by_Sentiment!N$2:N$37,"",0,1),0),$A1174-TEXT(DATEVALUE($D1174&amp;"-01"), "dd-mm-yyyy")),0),0)</f>
        <v>827</v>
      </c>
      <c r="O1174" cm="1">
        <f t="array" ref="O1174">IF($Q1174&gt;=0,IFERROR(generateSalesData($D1174, IF(ISNUMBER(_xlfn.XLOOKUP($C1174,Phone_by_Sentiment!$B$2:$B$37,Phone_by_Sentiment!O$2:O$37,"",0,1)),_xlfn.XLOOKUP($C1174,Phone_by_Sentiment!$B$2:$B$37,Phone_by_Sentiment!O$2:O$37,"",0,1),0),$A1174-TEXT(DATEVALUE($D1174&amp;"-01"), "dd-mm-yyyy")),0),0)</f>
        <v>1371</v>
      </c>
      <c r="P1174" s="1">
        <f t="shared" si="49"/>
        <v>44228</v>
      </c>
      <c r="Q1174">
        <f t="shared" si="50"/>
        <v>242</v>
      </c>
    </row>
    <row r="1175" spans="1:17" x14ac:dyDescent="0.25">
      <c r="A1175" s="1">
        <f t="shared" si="48"/>
        <v>44470</v>
      </c>
      <c r="B1175" t="s">
        <v>159</v>
      </c>
      <c r="C1175" t="str">
        <f>_xlfn.XLOOKUP(B1175,Phone_by_Price!$A$2:$A$34,Phone_by_Price!$B$2:$B$34,"-",0,1)</f>
        <v>Realme C25</v>
      </c>
      <c r="D1175" t="str">
        <f>_xlfn.XLOOKUP(C1175,Phone_by_Sentiment!$B$2:$B$37,Phone_by_Sentiment!$A$2:$A$37,"-",0,1)</f>
        <v>2021-03</v>
      </c>
      <c r="E1175" cm="1">
        <f t="array" ref="E1175">IF($Q1175&gt;=0,IFERROR(generateSalesData($D1175, IF(ISNUMBER(_xlfn.XLOOKUP($C1175,Phone_by_Sentiment!$B$2:$B$37,Phone_by_Sentiment!E$2:E$37,"",0,1)),_xlfn.XLOOKUP($C1175,Phone_by_Sentiment!$B$2:$B$37,Phone_by_Sentiment!E$2:E$37,"",0,1),0),$A1175-TEXT(DATEVALUE($D1175&amp;"-01"), "dd-mm-yyyy")),0),0)</f>
        <v>238</v>
      </c>
      <c r="F1175" cm="1">
        <f t="array" ref="F1175">IF($Q1175&gt;=0,IFERROR(generateSalesData($D1175, IF(ISNUMBER(_xlfn.XLOOKUP($C1175,Phone_by_Sentiment!$B$2:$B$37,Phone_by_Sentiment!F$2:F$37,"",0,1)),_xlfn.XLOOKUP($C1175,Phone_by_Sentiment!$B$2:$B$37,Phone_by_Sentiment!F$2:F$37,"",0,1),0),$A1175-TEXT(DATEVALUE($D1175&amp;"-01"), "dd-mm-yyyy")),0),0)</f>
        <v>1005</v>
      </c>
      <c r="G1175" cm="1">
        <f t="array" ref="G1175">IF($Q1175&gt;=0,IFERROR(generateSalesData($D1175, IF(ISNUMBER(_xlfn.XLOOKUP($C1175,Phone_by_Sentiment!$B$2:$B$37,Phone_by_Sentiment!G$2:G$37,"",0,1)),_xlfn.XLOOKUP($C1175,Phone_by_Sentiment!$B$2:$B$37,Phone_by_Sentiment!G$2:G$37,"",0,1),0),$A1175-TEXT(DATEVALUE($D1175&amp;"-01"), "dd-mm-yyyy")),0),0)</f>
        <v>174</v>
      </c>
      <c r="H1175" cm="1">
        <f t="array" ref="H1175">IF($Q1175&gt;=0,IFERROR(generateSalesData($D1175, IF(ISNUMBER(_xlfn.XLOOKUP($C1175,Phone_by_Sentiment!$B$2:$B$37,Phone_by_Sentiment!H$2:H$37,"",0,1)),_xlfn.XLOOKUP($C1175,Phone_by_Sentiment!$B$2:$B$37,Phone_by_Sentiment!H$2:H$37,"",0,1),0),$A1175-TEXT(DATEVALUE($D1175&amp;"-01"), "dd-mm-yyyy")),0),0)</f>
        <v>1032</v>
      </c>
      <c r="I1175" cm="1">
        <f t="array" ref="I1175">IF($Q1175&gt;=0,IFERROR(generateSalesData($D1175, IF(ISNUMBER(_xlfn.XLOOKUP($C1175,Phone_by_Sentiment!$B$2:$B$37,Phone_by_Sentiment!I$2:I$37,"",0,1)),_xlfn.XLOOKUP($C1175,Phone_by_Sentiment!$B$2:$B$37,Phone_by_Sentiment!I$2:I$37,"",0,1),0),$A1175-TEXT(DATEVALUE($D1175&amp;"-01"), "dd-mm-yyyy")),0),0)</f>
        <v>1004</v>
      </c>
      <c r="J1175" cm="1">
        <f t="array" ref="J1175">IF($Q1175&gt;=0,IFERROR(generateSalesData($D1175, IF(ISNUMBER(_xlfn.XLOOKUP($C1175,Phone_by_Sentiment!$B$2:$B$37,Phone_by_Sentiment!J$2:J$37,"",0,1)),_xlfn.XLOOKUP($C1175,Phone_by_Sentiment!$B$2:$B$37,Phone_by_Sentiment!J$2:J$37,"",0,1),0),$A1175-TEXT(DATEVALUE($D1175&amp;"-01"), "dd-mm-yyyy")),0),0)</f>
        <v>465</v>
      </c>
      <c r="K1175" cm="1">
        <f t="array" ref="K1175">IF($Q1175&gt;=0,IFERROR(generateSalesData($D1175, IF(ISNUMBER(_xlfn.XLOOKUP($C1175,Phone_by_Sentiment!$B$2:$B$37,Phone_by_Sentiment!K$2:K$37,"",0,1)),_xlfn.XLOOKUP($C1175,Phone_by_Sentiment!$B$2:$B$37,Phone_by_Sentiment!K$2:K$37,"",0,1),0),$A1175-TEXT(DATEVALUE($D1175&amp;"-01"), "dd-mm-yyyy")),0),0)</f>
        <v>1198</v>
      </c>
      <c r="L1175" cm="1">
        <f t="array" ref="L1175">IF($Q1175&gt;=0,IFERROR(generateSalesData($D1175, IF(ISNUMBER(_xlfn.XLOOKUP($C1175,Phone_by_Sentiment!$B$2:$B$37,Phone_by_Sentiment!L$2:L$37,"",0,1)),_xlfn.XLOOKUP($C1175,Phone_by_Sentiment!$B$2:$B$37,Phone_by_Sentiment!L$2:L$37,"",0,1),0),$A1175-TEXT(DATEVALUE($D1175&amp;"-01"), "dd-mm-yyyy")),0),0)</f>
        <v>1191</v>
      </c>
      <c r="M1175" cm="1">
        <f t="array" ref="M1175">IF($Q1175&gt;=0,IFERROR(generateSalesData($D1175, IF(ISNUMBER(_xlfn.XLOOKUP($C1175,Phone_by_Sentiment!$B$2:$B$37,Phone_by_Sentiment!M$2:M$37,"",0,1)),_xlfn.XLOOKUP($C1175,Phone_by_Sentiment!$B$2:$B$37,Phone_by_Sentiment!M$2:M$37,"",0,1),0),$A1175-TEXT(DATEVALUE($D1175&amp;"-01"), "dd-mm-yyyy")),0),0)</f>
        <v>204</v>
      </c>
      <c r="N1175" cm="1">
        <f t="array" ref="N1175">IF($Q1175&gt;=0,IFERROR(generateSalesData($D1175, IF(ISNUMBER(_xlfn.XLOOKUP($C1175,Phone_by_Sentiment!$B$2:$B$37,Phone_by_Sentiment!N$2:N$37,"",0,1)),_xlfn.XLOOKUP($C1175,Phone_by_Sentiment!$B$2:$B$37,Phone_by_Sentiment!N$2:N$37,"",0,1),0),$A1175-TEXT(DATEVALUE($D1175&amp;"-01"), "dd-mm-yyyy")),0),0)</f>
        <v>1288</v>
      </c>
      <c r="O1175" cm="1">
        <f t="array" ref="O1175">IF($Q1175&gt;=0,IFERROR(generateSalesData($D1175, IF(ISNUMBER(_xlfn.XLOOKUP($C1175,Phone_by_Sentiment!$B$2:$B$37,Phone_by_Sentiment!O$2:O$37,"",0,1)),_xlfn.XLOOKUP($C1175,Phone_by_Sentiment!$B$2:$B$37,Phone_by_Sentiment!O$2:O$37,"",0,1),0),$A1175-TEXT(DATEVALUE($D1175&amp;"-01"), "dd-mm-yyyy")),0),0)</f>
        <v>31</v>
      </c>
      <c r="P1175" s="1">
        <f t="shared" si="49"/>
        <v>44256</v>
      </c>
      <c r="Q1175">
        <f t="shared" si="50"/>
        <v>214</v>
      </c>
    </row>
    <row r="1176" spans="1:17" x14ac:dyDescent="0.25">
      <c r="A1176" s="1">
        <f t="shared" si="48"/>
        <v>44470</v>
      </c>
      <c r="B1176" t="s">
        <v>160</v>
      </c>
      <c r="C1176" t="str">
        <f>_xlfn.XLOOKUP(B1176,Phone_by_Price!$A$2:$A$34,Phone_by_Price!$B$2:$B$34,"-",0,1)</f>
        <v>Xiaomi Poco X3 Pro</v>
      </c>
      <c r="D1176" t="str">
        <f>_xlfn.XLOOKUP(C1176,Phone_by_Sentiment!$B$2:$B$37,Phone_by_Sentiment!$A$2:$A$37,"-",0,1)</f>
        <v>2021-05</v>
      </c>
      <c r="E1176" cm="1">
        <f t="array" ref="E1176">IF($Q1176&gt;=0,IFERROR(generateSalesData($D1176, IF(ISNUMBER(_xlfn.XLOOKUP($C1176,Phone_by_Sentiment!$B$2:$B$37,Phone_by_Sentiment!E$2:E$37,"",0,1)),_xlfn.XLOOKUP($C1176,Phone_by_Sentiment!$B$2:$B$37,Phone_by_Sentiment!E$2:E$37,"",0,1),0),$A1176-TEXT(DATEVALUE($D1176&amp;"-01"), "dd-mm-yyyy")),0),0)</f>
        <v>1269</v>
      </c>
      <c r="F1176" cm="1">
        <f t="array" ref="F1176">IF($Q1176&gt;=0,IFERROR(generateSalesData($D1176, IF(ISNUMBER(_xlfn.XLOOKUP($C1176,Phone_by_Sentiment!$B$2:$B$37,Phone_by_Sentiment!F$2:F$37,"",0,1)),_xlfn.XLOOKUP($C1176,Phone_by_Sentiment!$B$2:$B$37,Phone_by_Sentiment!F$2:F$37,"",0,1),0),$A1176-TEXT(DATEVALUE($D1176&amp;"-01"), "dd-mm-yyyy")),0),0)</f>
        <v>576</v>
      </c>
      <c r="G1176" cm="1">
        <f t="array" ref="G1176">IF($Q1176&gt;=0,IFERROR(generateSalesData($D1176, IF(ISNUMBER(_xlfn.XLOOKUP($C1176,Phone_by_Sentiment!$B$2:$B$37,Phone_by_Sentiment!G$2:G$37,"",0,1)),_xlfn.XLOOKUP($C1176,Phone_by_Sentiment!$B$2:$B$37,Phone_by_Sentiment!G$2:G$37,"",0,1),0),$A1176-TEXT(DATEVALUE($D1176&amp;"-01"), "dd-mm-yyyy")),0),0)</f>
        <v>278</v>
      </c>
      <c r="H1176" cm="1">
        <f t="array" ref="H1176">IF($Q1176&gt;=0,IFERROR(generateSalesData($D1176, IF(ISNUMBER(_xlfn.XLOOKUP($C1176,Phone_by_Sentiment!$B$2:$B$37,Phone_by_Sentiment!H$2:H$37,"",0,1)),_xlfn.XLOOKUP($C1176,Phone_by_Sentiment!$B$2:$B$37,Phone_by_Sentiment!H$2:H$37,"",0,1),0),$A1176-TEXT(DATEVALUE($D1176&amp;"-01"), "dd-mm-yyyy")),0),0)</f>
        <v>1612</v>
      </c>
      <c r="I1176" cm="1">
        <f t="array" ref="I1176">IF($Q1176&gt;=0,IFERROR(generateSalesData($D1176, IF(ISNUMBER(_xlfn.XLOOKUP($C1176,Phone_by_Sentiment!$B$2:$B$37,Phone_by_Sentiment!I$2:I$37,"",0,1)),_xlfn.XLOOKUP($C1176,Phone_by_Sentiment!$B$2:$B$37,Phone_by_Sentiment!I$2:I$37,"",0,1),0),$A1176-TEXT(DATEVALUE($D1176&amp;"-01"), "dd-mm-yyyy")),0),0)</f>
        <v>1441</v>
      </c>
      <c r="J1176" cm="1">
        <f t="array" ref="J1176">IF($Q1176&gt;=0,IFERROR(generateSalesData($D1176, IF(ISNUMBER(_xlfn.XLOOKUP($C1176,Phone_by_Sentiment!$B$2:$B$37,Phone_by_Sentiment!J$2:J$37,"",0,1)),_xlfn.XLOOKUP($C1176,Phone_by_Sentiment!$B$2:$B$37,Phone_by_Sentiment!J$2:J$37,"",0,1),0),$A1176-TEXT(DATEVALUE($D1176&amp;"-01"), "dd-mm-yyyy")),0),0)</f>
        <v>186</v>
      </c>
      <c r="K1176" cm="1">
        <f t="array" ref="K1176">IF($Q1176&gt;=0,IFERROR(generateSalesData($D1176, IF(ISNUMBER(_xlfn.XLOOKUP($C1176,Phone_by_Sentiment!$B$2:$B$37,Phone_by_Sentiment!K$2:K$37,"",0,1)),_xlfn.XLOOKUP($C1176,Phone_by_Sentiment!$B$2:$B$37,Phone_by_Sentiment!K$2:K$37,"",0,1),0),$A1176-TEXT(DATEVALUE($D1176&amp;"-01"), "dd-mm-yyyy")),0),0)</f>
        <v>1406</v>
      </c>
      <c r="L1176" cm="1">
        <f t="array" ref="L1176">IF($Q1176&gt;=0,IFERROR(generateSalesData($D1176, IF(ISNUMBER(_xlfn.XLOOKUP($C1176,Phone_by_Sentiment!$B$2:$B$37,Phone_by_Sentiment!L$2:L$37,"",0,1)),_xlfn.XLOOKUP($C1176,Phone_by_Sentiment!$B$2:$B$37,Phone_by_Sentiment!L$2:L$37,"",0,1),0),$A1176-TEXT(DATEVALUE($D1176&amp;"-01"), "dd-mm-yyyy")),0),0)</f>
        <v>551</v>
      </c>
      <c r="M1176" cm="1">
        <f t="array" ref="M1176">IF($Q1176&gt;=0,IFERROR(generateSalesData($D1176, IF(ISNUMBER(_xlfn.XLOOKUP($C1176,Phone_by_Sentiment!$B$2:$B$37,Phone_by_Sentiment!M$2:M$37,"",0,1)),_xlfn.XLOOKUP($C1176,Phone_by_Sentiment!$B$2:$B$37,Phone_by_Sentiment!M$2:M$37,"",0,1),0),$A1176-TEXT(DATEVALUE($D1176&amp;"-01"), "dd-mm-yyyy")),0),0)</f>
        <v>2427</v>
      </c>
      <c r="N1176" cm="1">
        <f t="array" ref="N1176">IF($Q1176&gt;=0,IFERROR(generateSalesData($D1176, IF(ISNUMBER(_xlfn.XLOOKUP($C1176,Phone_by_Sentiment!$B$2:$B$37,Phone_by_Sentiment!N$2:N$37,"",0,1)),_xlfn.XLOOKUP($C1176,Phone_by_Sentiment!$B$2:$B$37,Phone_by_Sentiment!N$2:N$37,"",0,1),0),$A1176-TEXT(DATEVALUE($D1176&amp;"-01"), "dd-mm-yyyy")),0),0)</f>
        <v>464</v>
      </c>
      <c r="O1176" cm="1">
        <f t="array" ref="O1176">IF($Q1176&gt;=0,IFERROR(generateSalesData($D1176, IF(ISNUMBER(_xlfn.XLOOKUP($C1176,Phone_by_Sentiment!$B$2:$B$37,Phone_by_Sentiment!O$2:O$37,"",0,1)),_xlfn.XLOOKUP($C1176,Phone_by_Sentiment!$B$2:$B$37,Phone_by_Sentiment!O$2:O$37,"",0,1),0),$A1176-TEXT(DATEVALUE($D1176&amp;"-01"), "dd-mm-yyyy")),0),0)</f>
        <v>1905</v>
      </c>
      <c r="P1176" s="1">
        <f t="shared" si="49"/>
        <v>44317</v>
      </c>
      <c r="Q1176">
        <f t="shared" si="50"/>
        <v>153</v>
      </c>
    </row>
    <row r="1177" spans="1:17" x14ac:dyDescent="0.25">
      <c r="A1177" s="1">
        <f t="shared" si="48"/>
        <v>44470</v>
      </c>
      <c r="B1177" t="s">
        <v>161</v>
      </c>
      <c r="C1177" t="str">
        <f>_xlfn.XLOOKUP(B1177,Phone_by_Price!$A$2:$A$34,Phone_by_Price!$B$2:$B$34,"-",0,1)</f>
        <v>Samsung Galaxy Z Flip 3</v>
      </c>
      <c r="D1177" t="str">
        <f>_xlfn.XLOOKUP(C1177,Phone_by_Sentiment!$B$2:$B$37,Phone_by_Sentiment!$A$2:$A$37,"-",0,1)</f>
        <v>2021-09</v>
      </c>
      <c r="E1177" cm="1">
        <f t="array" ref="E1177">IF($Q1177&gt;=0,IFERROR(generateSalesData($D1177, IF(ISNUMBER(_xlfn.XLOOKUP($C1177,Phone_by_Sentiment!$B$2:$B$37,Phone_by_Sentiment!E$2:E$37,"",0,1)),_xlfn.XLOOKUP($C1177,Phone_by_Sentiment!$B$2:$B$37,Phone_by_Sentiment!E$2:E$37,"",0,1),0),$A1177-TEXT(DATEVALUE($D1177&amp;"-01"), "dd-mm-yyyy")),0),0)</f>
        <v>8574</v>
      </c>
      <c r="F1177" cm="1">
        <f t="array" ref="F1177">IF($Q1177&gt;=0,IFERROR(generateSalesData($D1177, IF(ISNUMBER(_xlfn.XLOOKUP($C1177,Phone_by_Sentiment!$B$2:$B$37,Phone_by_Sentiment!F$2:F$37,"",0,1)),_xlfn.XLOOKUP($C1177,Phone_by_Sentiment!$B$2:$B$37,Phone_by_Sentiment!F$2:F$37,"",0,1),0),$A1177-TEXT(DATEVALUE($D1177&amp;"-01"), "dd-mm-yyyy")),0),0)</f>
        <v>8455</v>
      </c>
      <c r="G1177" cm="1">
        <f t="array" ref="G1177">IF($Q1177&gt;=0,IFERROR(generateSalesData($D1177, IF(ISNUMBER(_xlfn.XLOOKUP($C1177,Phone_by_Sentiment!$B$2:$B$37,Phone_by_Sentiment!G$2:G$37,"",0,1)),_xlfn.XLOOKUP($C1177,Phone_by_Sentiment!$B$2:$B$37,Phone_by_Sentiment!G$2:G$37,"",0,1),0),$A1177-TEXT(DATEVALUE($D1177&amp;"-01"), "dd-mm-yyyy")),0),0)</f>
        <v>1516</v>
      </c>
      <c r="H1177" cm="1">
        <f t="array" ref="H1177">IF($Q1177&gt;=0,IFERROR(generateSalesData($D1177, IF(ISNUMBER(_xlfn.XLOOKUP($C1177,Phone_by_Sentiment!$B$2:$B$37,Phone_by_Sentiment!H$2:H$37,"",0,1)),_xlfn.XLOOKUP($C1177,Phone_by_Sentiment!$B$2:$B$37,Phone_by_Sentiment!H$2:H$37,"",0,1),0),$A1177-TEXT(DATEVALUE($D1177&amp;"-01"), "dd-mm-yyyy")),0),0)</f>
        <v>19775</v>
      </c>
      <c r="I1177" cm="1">
        <f t="array" ref="I1177">IF($Q1177&gt;=0,IFERROR(generateSalesData($D1177, IF(ISNUMBER(_xlfn.XLOOKUP($C1177,Phone_by_Sentiment!$B$2:$B$37,Phone_by_Sentiment!I$2:I$37,"",0,1)),_xlfn.XLOOKUP($C1177,Phone_by_Sentiment!$B$2:$B$37,Phone_by_Sentiment!I$2:I$37,"",0,1),0),$A1177-TEXT(DATEVALUE($D1177&amp;"-01"), "dd-mm-yyyy")),0),0)</f>
        <v>7760</v>
      </c>
      <c r="J1177" cm="1">
        <f t="array" ref="J1177">IF($Q1177&gt;=0,IFERROR(generateSalesData($D1177, IF(ISNUMBER(_xlfn.XLOOKUP($C1177,Phone_by_Sentiment!$B$2:$B$37,Phone_by_Sentiment!J$2:J$37,"",0,1)),_xlfn.XLOOKUP($C1177,Phone_by_Sentiment!$B$2:$B$37,Phone_by_Sentiment!J$2:J$37,"",0,1),0),$A1177-TEXT(DATEVALUE($D1177&amp;"-01"), "dd-mm-yyyy")),0),0)</f>
        <v>2294</v>
      </c>
      <c r="K1177" cm="1">
        <f t="array" ref="K1177">IF($Q1177&gt;=0,IFERROR(generateSalesData($D1177, IF(ISNUMBER(_xlfn.XLOOKUP($C1177,Phone_by_Sentiment!$B$2:$B$37,Phone_by_Sentiment!K$2:K$37,"",0,1)),_xlfn.XLOOKUP($C1177,Phone_by_Sentiment!$B$2:$B$37,Phone_by_Sentiment!K$2:K$37,"",0,1),0),$A1177-TEXT(DATEVALUE($D1177&amp;"-01"), "dd-mm-yyyy")),0),0)</f>
        <v>3122</v>
      </c>
      <c r="L1177" cm="1">
        <f t="array" ref="L1177">IF($Q1177&gt;=0,IFERROR(generateSalesData($D1177, IF(ISNUMBER(_xlfn.XLOOKUP($C1177,Phone_by_Sentiment!$B$2:$B$37,Phone_by_Sentiment!L$2:L$37,"",0,1)),_xlfn.XLOOKUP($C1177,Phone_by_Sentiment!$B$2:$B$37,Phone_by_Sentiment!L$2:L$37,"",0,1),0),$A1177-TEXT(DATEVALUE($D1177&amp;"-01"), "dd-mm-yyyy")),0),0)</f>
        <v>7164</v>
      </c>
      <c r="M1177" cm="1">
        <f t="array" ref="M1177">IF($Q1177&gt;=0,IFERROR(generateSalesData($D1177, IF(ISNUMBER(_xlfn.XLOOKUP($C1177,Phone_by_Sentiment!$B$2:$B$37,Phone_by_Sentiment!M$2:M$37,"",0,1)),_xlfn.XLOOKUP($C1177,Phone_by_Sentiment!$B$2:$B$37,Phone_by_Sentiment!M$2:M$37,"",0,1),0),$A1177-TEXT(DATEVALUE($D1177&amp;"-01"), "dd-mm-yyyy")),0),0)</f>
        <v>19460</v>
      </c>
      <c r="N1177" cm="1">
        <f t="array" ref="N1177">IF($Q1177&gt;=0,IFERROR(generateSalesData($D1177, IF(ISNUMBER(_xlfn.XLOOKUP($C1177,Phone_by_Sentiment!$B$2:$B$37,Phone_by_Sentiment!N$2:N$37,"",0,1)),_xlfn.XLOOKUP($C1177,Phone_by_Sentiment!$B$2:$B$37,Phone_by_Sentiment!N$2:N$37,"",0,1),0),$A1177-TEXT(DATEVALUE($D1177&amp;"-01"), "dd-mm-yyyy")),0),0)</f>
        <v>9322</v>
      </c>
      <c r="O1177" cm="1">
        <f t="array" ref="O1177">IF($Q1177&gt;=0,IFERROR(generateSalesData($D1177, IF(ISNUMBER(_xlfn.XLOOKUP($C1177,Phone_by_Sentiment!$B$2:$B$37,Phone_by_Sentiment!O$2:O$37,"",0,1)),_xlfn.XLOOKUP($C1177,Phone_by_Sentiment!$B$2:$B$37,Phone_by_Sentiment!O$2:O$37,"",0,1),0),$A1177-TEXT(DATEVALUE($D1177&amp;"-01"), "dd-mm-yyyy")),0),0)</f>
        <v>13178</v>
      </c>
      <c r="P1177" s="1">
        <f t="shared" si="49"/>
        <v>44440</v>
      </c>
      <c r="Q1177">
        <f t="shared" si="50"/>
        <v>30</v>
      </c>
    </row>
    <row r="1178" spans="1:17" x14ac:dyDescent="0.25">
      <c r="A1178" s="1">
        <f t="shared" si="48"/>
        <v>44470</v>
      </c>
      <c r="B1178" t="s">
        <v>162</v>
      </c>
      <c r="C1178" t="str">
        <f>_xlfn.XLOOKUP(B1178,Phone_by_Price!$A$2:$A$34,Phone_by_Price!$B$2:$B$34,"-",0,1)</f>
        <v>Xiaomi Poco X3 NFC</v>
      </c>
      <c r="D1178" t="str">
        <f>_xlfn.XLOOKUP(C1178,Phone_by_Sentiment!$B$2:$B$37,Phone_by_Sentiment!$A$2:$A$37,"-",0,1)</f>
        <v>2020-08</v>
      </c>
      <c r="E1178" cm="1">
        <f t="array" ref="E1178">IF($Q1178&gt;=0,IFERROR(generateSalesData($D1178, IF(ISNUMBER(_xlfn.XLOOKUP($C1178,Phone_by_Sentiment!$B$2:$B$37,Phone_by_Sentiment!E$2:E$37,"",0,1)),_xlfn.XLOOKUP($C1178,Phone_by_Sentiment!$B$2:$B$37,Phone_by_Sentiment!E$2:E$37,"",0,1),0),$A1178-TEXT(DATEVALUE($D1178&amp;"-01"), "dd-mm-yyyy")),0),0)</f>
        <v>40</v>
      </c>
      <c r="F1178" cm="1">
        <f t="array" ref="F1178">IF($Q1178&gt;=0,IFERROR(generateSalesData($D1178, IF(ISNUMBER(_xlfn.XLOOKUP($C1178,Phone_by_Sentiment!$B$2:$B$37,Phone_by_Sentiment!F$2:F$37,"",0,1)),_xlfn.XLOOKUP($C1178,Phone_by_Sentiment!$B$2:$B$37,Phone_by_Sentiment!F$2:F$37,"",0,1),0),$A1178-TEXT(DATEVALUE($D1178&amp;"-01"), "dd-mm-yyyy")),0),0)</f>
        <v>167</v>
      </c>
      <c r="G1178" cm="1">
        <f t="array" ref="G1178">IF($Q1178&gt;=0,IFERROR(generateSalesData($D1178, IF(ISNUMBER(_xlfn.XLOOKUP($C1178,Phone_by_Sentiment!$B$2:$B$37,Phone_by_Sentiment!G$2:G$37,"",0,1)),_xlfn.XLOOKUP($C1178,Phone_by_Sentiment!$B$2:$B$37,Phone_by_Sentiment!G$2:G$37,"",0,1),0),$A1178-TEXT(DATEVALUE($D1178&amp;"-01"), "dd-mm-yyyy")),0),0)</f>
        <v>229</v>
      </c>
      <c r="H1178" cm="1">
        <f t="array" ref="H1178">IF($Q1178&gt;=0,IFERROR(generateSalesData($D1178, IF(ISNUMBER(_xlfn.XLOOKUP($C1178,Phone_by_Sentiment!$B$2:$B$37,Phone_by_Sentiment!H$2:H$37,"",0,1)),_xlfn.XLOOKUP($C1178,Phone_by_Sentiment!$B$2:$B$37,Phone_by_Sentiment!H$2:H$37,"",0,1),0),$A1178-TEXT(DATEVALUE($D1178&amp;"-01"), "dd-mm-yyyy")),0),0)</f>
        <v>216</v>
      </c>
      <c r="I1178" cm="1">
        <f t="array" ref="I1178">IF($Q1178&gt;=0,IFERROR(generateSalesData($D1178, IF(ISNUMBER(_xlfn.XLOOKUP($C1178,Phone_by_Sentiment!$B$2:$B$37,Phone_by_Sentiment!I$2:I$37,"",0,1)),_xlfn.XLOOKUP($C1178,Phone_by_Sentiment!$B$2:$B$37,Phone_by_Sentiment!I$2:I$37,"",0,1),0),$A1178-TEXT(DATEVALUE($D1178&amp;"-01"), "dd-mm-yyyy")),0),0)</f>
        <v>185</v>
      </c>
      <c r="J1178" cm="1">
        <f t="array" ref="J1178">IF($Q1178&gt;=0,IFERROR(generateSalesData($D1178, IF(ISNUMBER(_xlfn.XLOOKUP($C1178,Phone_by_Sentiment!$B$2:$B$37,Phone_by_Sentiment!J$2:J$37,"",0,1)),_xlfn.XLOOKUP($C1178,Phone_by_Sentiment!$B$2:$B$37,Phone_by_Sentiment!J$2:J$37,"",0,1),0),$A1178-TEXT(DATEVALUE($D1178&amp;"-01"), "dd-mm-yyyy")),0),0)</f>
        <v>274</v>
      </c>
      <c r="K1178" cm="1">
        <f t="array" ref="K1178">IF($Q1178&gt;=0,IFERROR(generateSalesData($D1178, IF(ISNUMBER(_xlfn.XLOOKUP($C1178,Phone_by_Sentiment!$B$2:$B$37,Phone_by_Sentiment!K$2:K$37,"",0,1)),_xlfn.XLOOKUP($C1178,Phone_by_Sentiment!$B$2:$B$37,Phone_by_Sentiment!K$2:K$37,"",0,1),0),$A1178-TEXT(DATEVALUE($D1178&amp;"-01"), "dd-mm-yyyy")),0),0)</f>
        <v>408</v>
      </c>
      <c r="L1178" cm="1">
        <f t="array" ref="L1178">IF($Q1178&gt;=0,IFERROR(generateSalesData($D1178, IF(ISNUMBER(_xlfn.XLOOKUP($C1178,Phone_by_Sentiment!$B$2:$B$37,Phone_by_Sentiment!L$2:L$37,"",0,1)),_xlfn.XLOOKUP($C1178,Phone_by_Sentiment!$B$2:$B$37,Phone_by_Sentiment!L$2:L$37,"",0,1),0),$A1178-TEXT(DATEVALUE($D1178&amp;"-01"), "dd-mm-yyyy")),0),0)</f>
        <v>69</v>
      </c>
      <c r="M1178" cm="1">
        <f t="array" ref="M1178">IF($Q1178&gt;=0,IFERROR(generateSalesData($D1178, IF(ISNUMBER(_xlfn.XLOOKUP($C1178,Phone_by_Sentiment!$B$2:$B$37,Phone_by_Sentiment!M$2:M$37,"",0,1)),_xlfn.XLOOKUP($C1178,Phone_by_Sentiment!$B$2:$B$37,Phone_by_Sentiment!M$2:M$37,"",0,1),0),$A1178-TEXT(DATEVALUE($D1178&amp;"-01"), "dd-mm-yyyy")),0),0)</f>
        <v>268</v>
      </c>
      <c r="N1178" cm="1">
        <f t="array" ref="N1178">IF($Q1178&gt;=0,IFERROR(generateSalesData($D1178, IF(ISNUMBER(_xlfn.XLOOKUP($C1178,Phone_by_Sentiment!$B$2:$B$37,Phone_by_Sentiment!N$2:N$37,"",0,1)),_xlfn.XLOOKUP($C1178,Phone_by_Sentiment!$B$2:$B$37,Phone_by_Sentiment!N$2:N$37,"",0,1),0),$A1178-TEXT(DATEVALUE($D1178&amp;"-01"), "dd-mm-yyyy")),0),0)</f>
        <v>100</v>
      </c>
      <c r="O1178" cm="1">
        <f t="array" ref="O1178">IF($Q1178&gt;=0,IFERROR(generateSalesData($D1178, IF(ISNUMBER(_xlfn.XLOOKUP($C1178,Phone_by_Sentiment!$B$2:$B$37,Phone_by_Sentiment!O$2:O$37,"",0,1)),_xlfn.XLOOKUP($C1178,Phone_by_Sentiment!$B$2:$B$37,Phone_by_Sentiment!O$2:O$37,"",0,1),0),$A1178-TEXT(DATEVALUE($D1178&amp;"-01"), "dd-mm-yyyy")),0),0)</f>
        <v>135</v>
      </c>
      <c r="P1178" s="1">
        <f t="shared" si="49"/>
        <v>44044</v>
      </c>
      <c r="Q1178">
        <f t="shared" si="50"/>
        <v>426</v>
      </c>
    </row>
    <row r="1179" spans="1:17" x14ac:dyDescent="0.25">
      <c r="A1179" s="1">
        <f t="shared" si="48"/>
        <v>44470</v>
      </c>
      <c r="B1179" t="s">
        <v>163</v>
      </c>
      <c r="C1179" t="str">
        <f>_xlfn.XLOOKUP(B1179,Phone_by_Price!$A$2:$A$34,Phone_by_Price!$B$2:$B$34,"-",0,1)</f>
        <v>OPPO A93</v>
      </c>
      <c r="D1179" t="str">
        <f>_xlfn.XLOOKUP(C1179,Phone_by_Sentiment!$B$2:$B$37,Phone_by_Sentiment!$A$2:$A$37,"-",0,1)</f>
        <v>2021-02</v>
      </c>
      <c r="E1179" cm="1">
        <f t="array" ref="E1179">IF($Q1179&gt;=0,IFERROR(generateSalesData($D1179, IF(ISNUMBER(_xlfn.XLOOKUP($C1179,Phone_by_Sentiment!$B$2:$B$37,Phone_by_Sentiment!E$2:E$37,"",0,1)),_xlfn.XLOOKUP($C1179,Phone_by_Sentiment!$B$2:$B$37,Phone_by_Sentiment!E$2:E$37,"",0,1),0),$A1179-TEXT(DATEVALUE($D1179&amp;"-01"), "dd-mm-yyyy")),0),0)</f>
        <v>348</v>
      </c>
      <c r="F1179" cm="1">
        <f t="array" ref="F1179">IF($Q1179&gt;=0,IFERROR(generateSalesData($D1179, IF(ISNUMBER(_xlfn.XLOOKUP($C1179,Phone_by_Sentiment!$B$2:$B$37,Phone_by_Sentiment!F$2:F$37,"",0,1)),_xlfn.XLOOKUP($C1179,Phone_by_Sentiment!$B$2:$B$37,Phone_by_Sentiment!F$2:F$37,"",0,1),0),$A1179-TEXT(DATEVALUE($D1179&amp;"-01"), "dd-mm-yyyy")),0),0)</f>
        <v>88</v>
      </c>
      <c r="G1179" cm="1">
        <f t="array" ref="G1179">IF($Q1179&gt;=0,IFERROR(generateSalesData($D1179, IF(ISNUMBER(_xlfn.XLOOKUP($C1179,Phone_by_Sentiment!$B$2:$B$37,Phone_by_Sentiment!G$2:G$37,"",0,1)),_xlfn.XLOOKUP($C1179,Phone_by_Sentiment!$B$2:$B$37,Phone_by_Sentiment!G$2:G$37,"",0,1),0),$A1179-TEXT(DATEVALUE($D1179&amp;"-01"), "dd-mm-yyyy")),0),0)</f>
        <v>123</v>
      </c>
      <c r="H1179" cm="1">
        <f t="array" ref="H1179">IF($Q1179&gt;=0,IFERROR(generateSalesData($D1179, IF(ISNUMBER(_xlfn.XLOOKUP($C1179,Phone_by_Sentiment!$B$2:$B$37,Phone_by_Sentiment!H$2:H$37,"",0,1)),_xlfn.XLOOKUP($C1179,Phone_by_Sentiment!$B$2:$B$37,Phone_by_Sentiment!H$2:H$37,"",0,1),0),$A1179-TEXT(DATEVALUE($D1179&amp;"-01"), "dd-mm-yyyy")),0),0)</f>
        <v>1107</v>
      </c>
      <c r="I1179" cm="1">
        <f t="array" ref="I1179">IF($Q1179&gt;=0,IFERROR(generateSalesData($D1179, IF(ISNUMBER(_xlfn.XLOOKUP($C1179,Phone_by_Sentiment!$B$2:$B$37,Phone_by_Sentiment!I$2:I$37,"",0,1)),_xlfn.XLOOKUP($C1179,Phone_by_Sentiment!$B$2:$B$37,Phone_by_Sentiment!I$2:I$37,"",0,1),0),$A1179-TEXT(DATEVALUE($D1179&amp;"-01"), "dd-mm-yyyy")),0),0)</f>
        <v>932</v>
      </c>
      <c r="J1179" cm="1">
        <f t="array" ref="J1179">IF($Q1179&gt;=0,IFERROR(generateSalesData($D1179, IF(ISNUMBER(_xlfn.XLOOKUP($C1179,Phone_by_Sentiment!$B$2:$B$37,Phone_by_Sentiment!J$2:J$37,"",0,1)),_xlfn.XLOOKUP($C1179,Phone_by_Sentiment!$B$2:$B$37,Phone_by_Sentiment!J$2:J$37,"",0,1),0),$A1179-TEXT(DATEVALUE($D1179&amp;"-01"), "dd-mm-yyyy")),0),0)</f>
        <v>222</v>
      </c>
      <c r="K1179" cm="1">
        <f t="array" ref="K1179">IF($Q1179&gt;=0,IFERROR(generateSalesData($D1179, IF(ISNUMBER(_xlfn.XLOOKUP($C1179,Phone_by_Sentiment!$B$2:$B$37,Phone_by_Sentiment!K$2:K$37,"",0,1)),_xlfn.XLOOKUP($C1179,Phone_by_Sentiment!$B$2:$B$37,Phone_by_Sentiment!K$2:K$37,"",0,1),0),$A1179-TEXT(DATEVALUE($D1179&amp;"-01"), "dd-mm-yyyy")),0),0)</f>
        <v>187</v>
      </c>
      <c r="L1179" cm="1">
        <f t="array" ref="L1179">IF($Q1179&gt;=0,IFERROR(generateSalesData($D1179, IF(ISNUMBER(_xlfn.XLOOKUP($C1179,Phone_by_Sentiment!$B$2:$B$37,Phone_by_Sentiment!L$2:L$37,"",0,1)),_xlfn.XLOOKUP($C1179,Phone_by_Sentiment!$B$2:$B$37,Phone_by_Sentiment!L$2:L$37,"",0,1),0),$A1179-TEXT(DATEVALUE($D1179&amp;"-01"), "dd-mm-yyyy")),0),0)</f>
        <v>172</v>
      </c>
      <c r="M1179" cm="1">
        <f t="array" ref="M1179">IF($Q1179&gt;=0,IFERROR(generateSalesData($D1179, IF(ISNUMBER(_xlfn.XLOOKUP($C1179,Phone_by_Sentiment!$B$2:$B$37,Phone_by_Sentiment!M$2:M$37,"",0,1)),_xlfn.XLOOKUP($C1179,Phone_by_Sentiment!$B$2:$B$37,Phone_by_Sentiment!M$2:M$37,"",0,1),0),$A1179-TEXT(DATEVALUE($D1179&amp;"-01"), "dd-mm-yyyy")),0),0)</f>
        <v>799</v>
      </c>
      <c r="N1179" cm="1">
        <f t="array" ref="N1179">IF($Q1179&gt;=0,IFERROR(generateSalesData($D1179, IF(ISNUMBER(_xlfn.XLOOKUP($C1179,Phone_by_Sentiment!$B$2:$B$37,Phone_by_Sentiment!N$2:N$37,"",0,1)),_xlfn.XLOOKUP($C1179,Phone_by_Sentiment!$B$2:$B$37,Phone_by_Sentiment!N$2:N$37,"",0,1),0),$A1179-TEXT(DATEVALUE($D1179&amp;"-01"), "dd-mm-yyyy")),0),0)</f>
        <v>1279</v>
      </c>
      <c r="O1179" cm="1">
        <f t="array" ref="O1179">IF($Q1179&gt;=0,IFERROR(generateSalesData($D1179, IF(ISNUMBER(_xlfn.XLOOKUP($C1179,Phone_by_Sentiment!$B$2:$B$37,Phone_by_Sentiment!O$2:O$37,"",0,1)),_xlfn.XLOOKUP($C1179,Phone_by_Sentiment!$B$2:$B$37,Phone_by_Sentiment!O$2:O$37,"",0,1),0),$A1179-TEXT(DATEVALUE($D1179&amp;"-01"), "dd-mm-yyyy")),0),0)</f>
        <v>169</v>
      </c>
      <c r="P1179" s="1">
        <f t="shared" si="49"/>
        <v>44228</v>
      </c>
      <c r="Q1179">
        <f t="shared" si="50"/>
        <v>242</v>
      </c>
    </row>
    <row r="1180" spans="1:17" x14ac:dyDescent="0.25">
      <c r="A1180" s="1">
        <f t="shared" si="48"/>
        <v>44470</v>
      </c>
      <c r="B1180" t="s">
        <v>164</v>
      </c>
      <c r="C1180" t="str">
        <f>_xlfn.XLOOKUP(B1180,Phone_by_Price!$A$2:$A$34,Phone_by_Price!$B$2:$B$34,"-",0,1)</f>
        <v>Vivo V20</v>
      </c>
      <c r="D1180" t="str">
        <f>_xlfn.XLOOKUP(C1180,Phone_by_Sentiment!$B$2:$B$37,Phone_by_Sentiment!$A$2:$A$37,"-",0,1)</f>
        <v>2020-10</v>
      </c>
      <c r="E1180" cm="1">
        <f t="array" ref="E1180">IF($Q1180&gt;=0,IFERROR(generateSalesData($D1180, IF(ISNUMBER(_xlfn.XLOOKUP($C1180,Phone_by_Sentiment!$B$2:$B$37,Phone_by_Sentiment!E$2:E$37,"",0,1)),_xlfn.XLOOKUP($C1180,Phone_by_Sentiment!$B$2:$B$37,Phone_by_Sentiment!E$2:E$37,"",0,1),0),$A1180-TEXT(DATEVALUE($D1180&amp;"-01"), "dd-mm-yyyy")),0),0)</f>
        <v>666</v>
      </c>
      <c r="F1180" cm="1">
        <f t="array" ref="F1180">IF($Q1180&gt;=0,IFERROR(generateSalesData($D1180, IF(ISNUMBER(_xlfn.XLOOKUP($C1180,Phone_by_Sentiment!$B$2:$B$37,Phone_by_Sentiment!F$2:F$37,"",0,1)),_xlfn.XLOOKUP($C1180,Phone_by_Sentiment!$B$2:$B$37,Phone_by_Sentiment!F$2:F$37,"",0,1),0),$A1180-TEXT(DATEVALUE($D1180&amp;"-01"), "dd-mm-yyyy")),0),0)</f>
        <v>290</v>
      </c>
      <c r="G1180" cm="1">
        <f t="array" ref="G1180">IF($Q1180&gt;=0,IFERROR(generateSalesData($D1180, IF(ISNUMBER(_xlfn.XLOOKUP($C1180,Phone_by_Sentiment!$B$2:$B$37,Phone_by_Sentiment!G$2:G$37,"",0,1)),_xlfn.XLOOKUP($C1180,Phone_by_Sentiment!$B$2:$B$37,Phone_by_Sentiment!G$2:G$37,"",0,1),0),$A1180-TEXT(DATEVALUE($D1180&amp;"-01"), "dd-mm-yyyy")),0),0)</f>
        <v>124</v>
      </c>
      <c r="H1180" cm="1">
        <f t="array" ref="H1180">IF($Q1180&gt;=0,IFERROR(generateSalesData($D1180, IF(ISNUMBER(_xlfn.XLOOKUP($C1180,Phone_by_Sentiment!$B$2:$B$37,Phone_by_Sentiment!H$2:H$37,"",0,1)),_xlfn.XLOOKUP($C1180,Phone_by_Sentiment!$B$2:$B$37,Phone_by_Sentiment!H$2:H$37,"",0,1),0),$A1180-TEXT(DATEVALUE($D1180&amp;"-01"), "dd-mm-yyyy")),0),0)</f>
        <v>258</v>
      </c>
      <c r="I1180" cm="1">
        <f t="array" ref="I1180">IF($Q1180&gt;=0,IFERROR(generateSalesData($D1180, IF(ISNUMBER(_xlfn.XLOOKUP($C1180,Phone_by_Sentiment!$B$2:$B$37,Phone_by_Sentiment!I$2:I$37,"",0,1)),_xlfn.XLOOKUP($C1180,Phone_by_Sentiment!$B$2:$B$37,Phone_by_Sentiment!I$2:I$37,"",0,1),0),$A1180-TEXT(DATEVALUE($D1180&amp;"-01"), "dd-mm-yyyy")),0),0)</f>
        <v>227</v>
      </c>
      <c r="J1180" cm="1">
        <f t="array" ref="J1180">IF($Q1180&gt;=0,IFERROR(generateSalesData($D1180, IF(ISNUMBER(_xlfn.XLOOKUP($C1180,Phone_by_Sentiment!$B$2:$B$37,Phone_by_Sentiment!J$2:J$37,"",0,1)),_xlfn.XLOOKUP($C1180,Phone_by_Sentiment!$B$2:$B$37,Phone_by_Sentiment!J$2:J$37,"",0,1),0),$A1180-TEXT(DATEVALUE($D1180&amp;"-01"), "dd-mm-yyyy")),0),0)</f>
        <v>202</v>
      </c>
      <c r="K1180" cm="1">
        <f t="array" ref="K1180">IF($Q1180&gt;=0,IFERROR(generateSalesData($D1180, IF(ISNUMBER(_xlfn.XLOOKUP($C1180,Phone_by_Sentiment!$B$2:$B$37,Phone_by_Sentiment!K$2:K$37,"",0,1)),_xlfn.XLOOKUP($C1180,Phone_by_Sentiment!$B$2:$B$37,Phone_by_Sentiment!K$2:K$37,"",0,1),0),$A1180-TEXT(DATEVALUE($D1180&amp;"-01"), "dd-mm-yyyy")),0),0)</f>
        <v>270</v>
      </c>
      <c r="L1180" cm="1">
        <f t="array" ref="L1180">IF($Q1180&gt;=0,IFERROR(generateSalesData($D1180, IF(ISNUMBER(_xlfn.XLOOKUP($C1180,Phone_by_Sentiment!$B$2:$B$37,Phone_by_Sentiment!L$2:L$37,"",0,1)),_xlfn.XLOOKUP($C1180,Phone_by_Sentiment!$B$2:$B$37,Phone_by_Sentiment!L$2:L$37,"",0,1),0),$A1180-TEXT(DATEVALUE($D1180&amp;"-01"), "dd-mm-yyyy")),0),0)</f>
        <v>122</v>
      </c>
      <c r="M1180" cm="1">
        <f t="array" ref="M1180">IF($Q1180&gt;=0,IFERROR(generateSalesData($D1180, IF(ISNUMBER(_xlfn.XLOOKUP($C1180,Phone_by_Sentiment!$B$2:$B$37,Phone_by_Sentiment!M$2:M$37,"",0,1)),_xlfn.XLOOKUP($C1180,Phone_by_Sentiment!$B$2:$B$37,Phone_by_Sentiment!M$2:M$37,"",0,1),0),$A1180-TEXT(DATEVALUE($D1180&amp;"-01"), "dd-mm-yyyy")),0),0)</f>
        <v>200</v>
      </c>
      <c r="N1180" cm="1">
        <f t="array" ref="N1180">IF($Q1180&gt;=0,IFERROR(generateSalesData($D1180, IF(ISNUMBER(_xlfn.XLOOKUP($C1180,Phone_by_Sentiment!$B$2:$B$37,Phone_by_Sentiment!N$2:N$37,"",0,1)),_xlfn.XLOOKUP($C1180,Phone_by_Sentiment!$B$2:$B$37,Phone_by_Sentiment!N$2:N$37,"",0,1),0),$A1180-TEXT(DATEVALUE($D1180&amp;"-01"), "dd-mm-yyyy")),0),0)</f>
        <v>165</v>
      </c>
      <c r="O1180" cm="1">
        <f t="array" ref="O1180">IF($Q1180&gt;=0,IFERROR(generateSalesData($D1180, IF(ISNUMBER(_xlfn.XLOOKUP($C1180,Phone_by_Sentiment!$B$2:$B$37,Phone_by_Sentiment!O$2:O$37,"",0,1)),_xlfn.XLOOKUP($C1180,Phone_by_Sentiment!$B$2:$B$37,Phone_by_Sentiment!O$2:O$37,"",0,1),0),$A1180-TEXT(DATEVALUE($D1180&amp;"-01"), "dd-mm-yyyy")),0),0)</f>
        <v>166</v>
      </c>
      <c r="P1180" s="1">
        <f t="shared" si="49"/>
        <v>44105</v>
      </c>
      <c r="Q1180">
        <f t="shared" si="50"/>
        <v>365</v>
      </c>
    </row>
    <row r="1181" spans="1:17" x14ac:dyDescent="0.25">
      <c r="A1181" s="1">
        <f t="shared" si="48"/>
        <v>44470</v>
      </c>
      <c r="B1181" t="s">
        <v>165</v>
      </c>
      <c r="C1181" t="str">
        <f>_xlfn.XLOOKUP(B1181,Phone_by_Price!$A$2:$A$34,Phone_by_Price!$B$2:$B$34,"-",0,1)</f>
        <v>Samsung Galaxy A50</v>
      </c>
      <c r="D1181" t="str">
        <f>_xlfn.XLOOKUP(C1181,Phone_by_Sentiment!$B$2:$B$37,Phone_by_Sentiment!$A$2:$A$37,"-",0,1)</f>
        <v>2019-05</v>
      </c>
      <c r="E1181" cm="1">
        <f t="array" ref="E1181">IF($Q1181&gt;=0,IFERROR(generateSalesData($D1181, IF(ISNUMBER(_xlfn.XLOOKUP($C1181,Phone_by_Sentiment!$B$2:$B$37,Phone_by_Sentiment!E$2:E$37,"",0,1)),_xlfn.XLOOKUP($C1181,Phone_by_Sentiment!$B$2:$B$37,Phone_by_Sentiment!E$2:E$37,"",0,1),0),$A1181-TEXT(DATEVALUE($D1181&amp;"-01"), "dd-mm-yyyy")),0),0)</f>
        <v>80</v>
      </c>
      <c r="F1181" cm="1">
        <f t="array" ref="F1181">IF($Q1181&gt;=0,IFERROR(generateSalesData($D1181, IF(ISNUMBER(_xlfn.XLOOKUP($C1181,Phone_by_Sentiment!$B$2:$B$37,Phone_by_Sentiment!F$2:F$37,"",0,1)),_xlfn.XLOOKUP($C1181,Phone_by_Sentiment!$B$2:$B$37,Phone_by_Sentiment!F$2:F$37,"",0,1),0),$A1181-TEXT(DATEVALUE($D1181&amp;"-01"), "dd-mm-yyyy")),0),0)</f>
        <v>86</v>
      </c>
      <c r="G1181" cm="1">
        <f t="array" ref="G1181">IF($Q1181&gt;=0,IFERROR(generateSalesData($D1181, IF(ISNUMBER(_xlfn.XLOOKUP($C1181,Phone_by_Sentiment!$B$2:$B$37,Phone_by_Sentiment!G$2:G$37,"",0,1)),_xlfn.XLOOKUP($C1181,Phone_by_Sentiment!$B$2:$B$37,Phone_by_Sentiment!G$2:G$37,"",0,1),0),$A1181-TEXT(DATEVALUE($D1181&amp;"-01"), "dd-mm-yyyy")),0),0)</f>
        <v>102</v>
      </c>
      <c r="H1181" cm="1">
        <f t="array" ref="H1181">IF($Q1181&gt;=0,IFERROR(generateSalesData($D1181, IF(ISNUMBER(_xlfn.XLOOKUP($C1181,Phone_by_Sentiment!$B$2:$B$37,Phone_by_Sentiment!H$2:H$37,"",0,1)),_xlfn.XLOOKUP($C1181,Phone_by_Sentiment!$B$2:$B$37,Phone_by_Sentiment!H$2:H$37,"",0,1),0),$A1181-TEXT(DATEVALUE($D1181&amp;"-01"), "dd-mm-yyyy")),0),0)</f>
        <v>224</v>
      </c>
      <c r="I1181" cm="1">
        <f t="array" ref="I1181">IF($Q1181&gt;=0,IFERROR(generateSalesData($D1181, IF(ISNUMBER(_xlfn.XLOOKUP($C1181,Phone_by_Sentiment!$B$2:$B$37,Phone_by_Sentiment!I$2:I$37,"",0,1)),_xlfn.XLOOKUP($C1181,Phone_by_Sentiment!$B$2:$B$37,Phone_by_Sentiment!I$2:I$37,"",0,1),0),$A1181-TEXT(DATEVALUE($D1181&amp;"-01"), "dd-mm-yyyy")),0),0)</f>
        <v>178</v>
      </c>
      <c r="J1181" cm="1">
        <f t="array" ref="J1181">IF($Q1181&gt;=0,IFERROR(generateSalesData($D1181, IF(ISNUMBER(_xlfn.XLOOKUP($C1181,Phone_by_Sentiment!$B$2:$B$37,Phone_by_Sentiment!J$2:J$37,"",0,1)),_xlfn.XLOOKUP($C1181,Phone_by_Sentiment!$B$2:$B$37,Phone_by_Sentiment!J$2:J$37,"",0,1),0),$A1181-TEXT(DATEVALUE($D1181&amp;"-01"), "dd-mm-yyyy")),0),0)</f>
        <v>41</v>
      </c>
      <c r="K1181" cm="1">
        <f t="array" ref="K1181">IF($Q1181&gt;=0,IFERROR(generateSalesData($D1181, IF(ISNUMBER(_xlfn.XLOOKUP($C1181,Phone_by_Sentiment!$B$2:$B$37,Phone_by_Sentiment!K$2:K$37,"",0,1)),_xlfn.XLOOKUP($C1181,Phone_by_Sentiment!$B$2:$B$37,Phone_by_Sentiment!K$2:K$37,"",0,1),0),$A1181-TEXT(DATEVALUE($D1181&amp;"-01"), "dd-mm-yyyy")),0),0)</f>
        <v>129</v>
      </c>
      <c r="L1181" cm="1">
        <f t="array" ref="L1181">IF($Q1181&gt;=0,IFERROR(generateSalesData($D1181, IF(ISNUMBER(_xlfn.XLOOKUP($C1181,Phone_by_Sentiment!$B$2:$B$37,Phone_by_Sentiment!L$2:L$37,"",0,1)),_xlfn.XLOOKUP($C1181,Phone_by_Sentiment!$B$2:$B$37,Phone_by_Sentiment!L$2:L$37,"",0,1),0),$A1181-TEXT(DATEVALUE($D1181&amp;"-01"), "dd-mm-yyyy")),0),0)</f>
        <v>69</v>
      </c>
      <c r="M1181" cm="1">
        <f t="array" ref="M1181">IF($Q1181&gt;=0,IFERROR(generateSalesData($D1181, IF(ISNUMBER(_xlfn.XLOOKUP($C1181,Phone_by_Sentiment!$B$2:$B$37,Phone_by_Sentiment!M$2:M$37,"",0,1)),_xlfn.XLOOKUP($C1181,Phone_by_Sentiment!$B$2:$B$37,Phone_by_Sentiment!M$2:M$37,"",0,1),0),$A1181-TEXT(DATEVALUE($D1181&amp;"-01"), "dd-mm-yyyy")),0),0)</f>
        <v>60</v>
      </c>
      <c r="N1181" cm="1">
        <f t="array" ref="N1181">IF($Q1181&gt;=0,IFERROR(generateSalesData($D1181, IF(ISNUMBER(_xlfn.XLOOKUP($C1181,Phone_by_Sentiment!$B$2:$B$37,Phone_by_Sentiment!N$2:N$37,"",0,1)),_xlfn.XLOOKUP($C1181,Phone_by_Sentiment!$B$2:$B$37,Phone_by_Sentiment!N$2:N$37,"",0,1),0),$A1181-TEXT(DATEVALUE($D1181&amp;"-01"), "dd-mm-yyyy")),0),0)</f>
        <v>69</v>
      </c>
      <c r="O1181" cm="1">
        <f t="array" ref="O1181">IF($Q1181&gt;=0,IFERROR(generateSalesData($D1181, IF(ISNUMBER(_xlfn.XLOOKUP($C1181,Phone_by_Sentiment!$B$2:$B$37,Phone_by_Sentiment!O$2:O$37,"",0,1)),_xlfn.XLOOKUP($C1181,Phone_by_Sentiment!$B$2:$B$37,Phone_by_Sentiment!O$2:O$37,"",0,1),0),$A1181-TEXT(DATEVALUE($D1181&amp;"-01"), "dd-mm-yyyy")),0),0)</f>
        <v>256</v>
      </c>
      <c r="P1181" s="1">
        <f t="shared" si="49"/>
        <v>43586</v>
      </c>
      <c r="Q1181">
        <f t="shared" si="50"/>
        <v>884</v>
      </c>
    </row>
    <row r="1182" spans="1:17" x14ac:dyDescent="0.25">
      <c r="A1182" s="1">
        <f t="shared" si="48"/>
        <v>44470</v>
      </c>
      <c r="B1182" t="s">
        <v>166</v>
      </c>
      <c r="C1182" t="str">
        <f>_xlfn.XLOOKUP(B1182,Phone_by_Price!$A$2:$A$34,Phone_by_Price!$B$2:$B$34,"-",0,1)</f>
        <v>Xiaomi Redmi Note 7</v>
      </c>
      <c r="D1182" t="str">
        <f>_xlfn.XLOOKUP(C1182,Phone_by_Sentiment!$B$2:$B$37,Phone_by_Sentiment!$A$2:$A$37,"-",0,1)</f>
        <v>2019-08</v>
      </c>
      <c r="E1182" cm="1">
        <f t="array" ref="E1182">IF($Q1182&gt;=0,IFERROR(generateSalesData($D1182, IF(ISNUMBER(_xlfn.XLOOKUP($C1182,Phone_by_Sentiment!$B$2:$B$37,Phone_by_Sentiment!E$2:E$37,"",0,1)),_xlfn.XLOOKUP($C1182,Phone_by_Sentiment!$B$2:$B$37,Phone_by_Sentiment!E$2:E$37,"",0,1),0),$A1182-TEXT(DATEVALUE($D1182&amp;"-01"), "dd-mm-yyyy")),0),0)</f>
        <v>114</v>
      </c>
      <c r="F1182" cm="1">
        <f t="array" ref="F1182">IF($Q1182&gt;=0,IFERROR(generateSalesData($D1182, IF(ISNUMBER(_xlfn.XLOOKUP($C1182,Phone_by_Sentiment!$B$2:$B$37,Phone_by_Sentiment!F$2:F$37,"",0,1)),_xlfn.XLOOKUP($C1182,Phone_by_Sentiment!$B$2:$B$37,Phone_by_Sentiment!F$2:F$37,"",0,1),0),$A1182-TEXT(DATEVALUE($D1182&amp;"-01"), "dd-mm-yyyy")),0),0)</f>
        <v>25</v>
      </c>
      <c r="G1182" cm="1">
        <f t="array" ref="G1182">IF($Q1182&gt;=0,IFERROR(generateSalesData($D1182, IF(ISNUMBER(_xlfn.XLOOKUP($C1182,Phone_by_Sentiment!$B$2:$B$37,Phone_by_Sentiment!G$2:G$37,"",0,1)),_xlfn.XLOOKUP($C1182,Phone_by_Sentiment!$B$2:$B$37,Phone_by_Sentiment!G$2:G$37,"",0,1),0),$A1182-TEXT(DATEVALUE($D1182&amp;"-01"), "dd-mm-yyyy")),0),0)</f>
        <v>7</v>
      </c>
      <c r="H1182" cm="1">
        <f t="array" ref="H1182">IF($Q1182&gt;=0,IFERROR(generateSalesData($D1182, IF(ISNUMBER(_xlfn.XLOOKUP($C1182,Phone_by_Sentiment!$B$2:$B$37,Phone_by_Sentiment!H$2:H$37,"",0,1)),_xlfn.XLOOKUP($C1182,Phone_by_Sentiment!$B$2:$B$37,Phone_by_Sentiment!H$2:H$37,"",0,1),0),$A1182-TEXT(DATEVALUE($D1182&amp;"-01"), "dd-mm-yyyy")),0),0)</f>
        <v>268</v>
      </c>
      <c r="I1182" cm="1">
        <f t="array" ref="I1182">IF($Q1182&gt;=0,IFERROR(generateSalesData($D1182, IF(ISNUMBER(_xlfn.XLOOKUP($C1182,Phone_by_Sentiment!$B$2:$B$37,Phone_by_Sentiment!I$2:I$37,"",0,1)),_xlfn.XLOOKUP($C1182,Phone_by_Sentiment!$B$2:$B$37,Phone_by_Sentiment!I$2:I$37,"",0,1),0),$A1182-TEXT(DATEVALUE($D1182&amp;"-01"), "dd-mm-yyyy")),0),0)</f>
        <v>34</v>
      </c>
      <c r="J1182" cm="1">
        <f t="array" ref="J1182">IF($Q1182&gt;=0,IFERROR(generateSalesData($D1182, IF(ISNUMBER(_xlfn.XLOOKUP($C1182,Phone_by_Sentiment!$B$2:$B$37,Phone_by_Sentiment!J$2:J$37,"",0,1)),_xlfn.XLOOKUP($C1182,Phone_by_Sentiment!$B$2:$B$37,Phone_by_Sentiment!J$2:J$37,"",0,1),0),$A1182-TEXT(DATEVALUE($D1182&amp;"-01"), "dd-mm-yyyy")),0),0)</f>
        <v>100</v>
      </c>
      <c r="K1182" cm="1">
        <f t="array" ref="K1182">IF($Q1182&gt;=0,IFERROR(generateSalesData($D1182, IF(ISNUMBER(_xlfn.XLOOKUP($C1182,Phone_by_Sentiment!$B$2:$B$37,Phone_by_Sentiment!K$2:K$37,"",0,1)),_xlfn.XLOOKUP($C1182,Phone_by_Sentiment!$B$2:$B$37,Phone_by_Sentiment!K$2:K$37,"",0,1),0),$A1182-TEXT(DATEVALUE($D1182&amp;"-01"), "dd-mm-yyyy")),0),0)</f>
        <v>398</v>
      </c>
      <c r="L1182" cm="1">
        <f t="array" ref="L1182">IF($Q1182&gt;=0,IFERROR(generateSalesData($D1182, IF(ISNUMBER(_xlfn.XLOOKUP($C1182,Phone_by_Sentiment!$B$2:$B$37,Phone_by_Sentiment!L$2:L$37,"",0,1)),_xlfn.XLOOKUP($C1182,Phone_by_Sentiment!$B$2:$B$37,Phone_by_Sentiment!L$2:L$37,"",0,1),0),$A1182-TEXT(DATEVALUE($D1182&amp;"-01"), "dd-mm-yyyy")),0),0)</f>
        <v>62</v>
      </c>
      <c r="M1182" cm="1">
        <f t="array" ref="M1182">IF($Q1182&gt;=0,IFERROR(generateSalesData($D1182, IF(ISNUMBER(_xlfn.XLOOKUP($C1182,Phone_by_Sentiment!$B$2:$B$37,Phone_by_Sentiment!M$2:M$37,"",0,1)),_xlfn.XLOOKUP($C1182,Phone_by_Sentiment!$B$2:$B$37,Phone_by_Sentiment!M$2:M$37,"",0,1),0),$A1182-TEXT(DATEVALUE($D1182&amp;"-01"), "dd-mm-yyyy")),0),0)</f>
        <v>112</v>
      </c>
      <c r="N1182" cm="1">
        <f t="array" ref="N1182">IF($Q1182&gt;=0,IFERROR(generateSalesData($D1182, IF(ISNUMBER(_xlfn.XLOOKUP($C1182,Phone_by_Sentiment!$B$2:$B$37,Phone_by_Sentiment!N$2:N$37,"",0,1)),_xlfn.XLOOKUP($C1182,Phone_by_Sentiment!$B$2:$B$37,Phone_by_Sentiment!N$2:N$37,"",0,1),0),$A1182-TEXT(DATEVALUE($D1182&amp;"-01"), "dd-mm-yyyy")),0),0)</f>
        <v>96</v>
      </c>
      <c r="O1182" cm="1">
        <f t="array" ref="O1182">IF($Q1182&gt;=0,IFERROR(generateSalesData($D1182, IF(ISNUMBER(_xlfn.XLOOKUP($C1182,Phone_by_Sentiment!$B$2:$B$37,Phone_by_Sentiment!O$2:O$37,"",0,1)),_xlfn.XLOOKUP($C1182,Phone_by_Sentiment!$B$2:$B$37,Phone_by_Sentiment!O$2:O$37,"",0,1),0),$A1182-TEXT(DATEVALUE($D1182&amp;"-01"), "dd-mm-yyyy")),0),0)</f>
        <v>370</v>
      </c>
      <c r="P1182" s="1">
        <f t="shared" si="49"/>
        <v>43678</v>
      </c>
      <c r="Q1182">
        <f t="shared" si="50"/>
        <v>792</v>
      </c>
    </row>
    <row r="1183" spans="1:17" x14ac:dyDescent="0.25">
      <c r="A1183" s="1">
        <f t="shared" si="48"/>
        <v>44470</v>
      </c>
      <c r="B1183" t="s">
        <v>167</v>
      </c>
      <c r="C1183" t="str">
        <f>_xlfn.XLOOKUP(B1183,Phone_by_Price!$A$2:$A$34,Phone_by_Price!$B$2:$B$34,"-",0,1)</f>
        <v>Realme C21</v>
      </c>
      <c r="D1183" t="str">
        <f>_xlfn.XLOOKUP(C1183,Phone_by_Sentiment!$B$2:$B$37,Phone_by_Sentiment!$A$2:$A$37,"-",0,1)</f>
        <v>2021-04</v>
      </c>
      <c r="E1183" cm="1">
        <f t="array" ref="E1183">IF($Q1183&gt;=0,IFERROR(generateSalesData($D1183, IF(ISNUMBER(_xlfn.XLOOKUP($C1183,Phone_by_Sentiment!$B$2:$B$37,Phone_by_Sentiment!E$2:E$37,"",0,1)),_xlfn.XLOOKUP($C1183,Phone_by_Sentiment!$B$2:$B$37,Phone_by_Sentiment!E$2:E$37,"",0,1),0),$A1183-TEXT(DATEVALUE($D1183&amp;"-01"), "dd-mm-yyyy")),0),0)</f>
        <v>374</v>
      </c>
      <c r="F1183" cm="1">
        <f t="array" ref="F1183">IF($Q1183&gt;=0,IFERROR(generateSalesData($D1183, IF(ISNUMBER(_xlfn.XLOOKUP($C1183,Phone_by_Sentiment!$B$2:$B$37,Phone_by_Sentiment!F$2:F$37,"",0,1)),_xlfn.XLOOKUP($C1183,Phone_by_Sentiment!$B$2:$B$37,Phone_by_Sentiment!F$2:F$37,"",0,1),0),$A1183-TEXT(DATEVALUE($D1183&amp;"-01"), "dd-mm-yyyy")),0),0)</f>
        <v>53</v>
      </c>
      <c r="G1183" cm="1">
        <f t="array" ref="G1183">IF($Q1183&gt;=0,IFERROR(generateSalesData($D1183, IF(ISNUMBER(_xlfn.XLOOKUP($C1183,Phone_by_Sentiment!$B$2:$B$37,Phone_by_Sentiment!G$2:G$37,"",0,1)),_xlfn.XLOOKUP($C1183,Phone_by_Sentiment!$B$2:$B$37,Phone_by_Sentiment!G$2:G$37,"",0,1),0),$A1183-TEXT(DATEVALUE($D1183&amp;"-01"), "dd-mm-yyyy")),0),0)</f>
        <v>193</v>
      </c>
      <c r="H1183" cm="1">
        <f t="array" ref="H1183">IF($Q1183&gt;=0,IFERROR(generateSalesData($D1183, IF(ISNUMBER(_xlfn.XLOOKUP($C1183,Phone_by_Sentiment!$B$2:$B$37,Phone_by_Sentiment!H$2:H$37,"",0,1)),_xlfn.XLOOKUP($C1183,Phone_by_Sentiment!$B$2:$B$37,Phone_by_Sentiment!H$2:H$37,"",0,1),0),$A1183-TEXT(DATEVALUE($D1183&amp;"-01"), "dd-mm-yyyy")),0),0)</f>
        <v>1356</v>
      </c>
      <c r="I1183" cm="1">
        <f t="array" ref="I1183">IF($Q1183&gt;=0,IFERROR(generateSalesData($D1183, IF(ISNUMBER(_xlfn.XLOOKUP($C1183,Phone_by_Sentiment!$B$2:$B$37,Phone_by_Sentiment!I$2:I$37,"",0,1)),_xlfn.XLOOKUP($C1183,Phone_by_Sentiment!$B$2:$B$37,Phone_by_Sentiment!I$2:I$37,"",0,1),0),$A1183-TEXT(DATEVALUE($D1183&amp;"-01"), "dd-mm-yyyy")),0),0)</f>
        <v>1372</v>
      </c>
      <c r="J1183" cm="1">
        <f t="array" ref="J1183">IF($Q1183&gt;=0,IFERROR(generateSalesData($D1183, IF(ISNUMBER(_xlfn.XLOOKUP($C1183,Phone_by_Sentiment!$B$2:$B$37,Phone_by_Sentiment!J$2:J$37,"",0,1)),_xlfn.XLOOKUP($C1183,Phone_by_Sentiment!$B$2:$B$37,Phone_by_Sentiment!J$2:J$37,"",0,1),0),$A1183-TEXT(DATEVALUE($D1183&amp;"-01"), "dd-mm-yyyy")),0),0)</f>
        <v>393</v>
      </c>
      <c r="K1183" cm="1">
        <f t="array" ref="K1183">IF($Q1183&gt;=0,IFERROR(generateSalesData($D1183, IF(ISNUMBER(_xlfn.XLOOKUP($C1183,Phone_by_Sentiment!$B$2:$B$37,Phone_by_Sentiment!K$2:K$37,"",0,1)),_xlfn.XLOOKUP($C1183,Phone_by_Sentiment!$B$2:$B$37,Phone_by_Sentiment!K$2:K$37,"",0,1),0),$A1183-TEXT(DATEVALUE($D1183&amp;"-01"), "dd-mm-yyyy")),0),0)</f>
        <v>1096</v>
      </c>
      <c r="L1183" cm="1">
        <f t="array" ref="L1183">IF($Q1183&gt;=0,IFERROR(generateSalesData($D1183, IF(ISNUMBER(_xlfn.XLOOKUP($C1183,Phone_by_Sentiment!$B$2:$B$37,Phone_by_Sentiment!L$2:L$37,"",0,1)),_xlfn.XLOOKUP($C1183,Phone_by_Sentiment!$B$2:$B$37,Phone_by_Sentiment!L$2:L$37,"",0,1),0),$A1183-TEXT(DATEVALUE($D1183&amp;"-01"), "dd-mm-yyyy")),0),0)</f>
        <v>1597</v>
      </c>
      <c r="M1183" cm="1">
        <f t="array" ref="M1183">IF($Q1183&gt;=0,IFERROR(generateSalesData($D1183, IF(ISNUMBER(_xlfn.XLOOKUP($C1183,Phone_by_Sentiment!$B$2:$B$37,Phone_by_Sentiment!M$2:M$37,"",0,1)),_xlfn.XLOOKUP($C1183,Phone_by_Sentiment!$B$2:$B$37,Phone_by_Sentiment!M$2:M$37,"",0,1),0),$A1183-TEXT(DATEVALUE($D1183&amp;"-01"), "dd-mm-yyyy")),0),0)</f>
        <v>337</v>
      </c>
      <c r="N1183" cm="1">
        <f t="array" ref="N1183">IF($Q1183&gt;=0,IFERROR(generateSalesData($D1183, IF(ISNUMBER(_xlfn.XLOOKUP($C1183,Phone_by_Sentiment!$B$2:$B$37,Phone_by_Sentiment!N$2:N$37,"",0,1)),_xlfn.XLOOKUP($C1183,Phone_by_Sentiment!$B$2:$B$37,Phone_by_Sentiment!N$2:N$37,"",0,1),0),$A1183-TEXT(DATEVALUE($D1183&amp;"-01"), "dd-mm-yyyy")),0),0)</f>
        <v>1435</v>
      </c>
      <c r="O1183" cm="1">
        <f t="array" ref="O1183">IF($Q1183&gt;=0,IFERROR(generateSalesData($D1183, IF(ISNUMBER(_xlfn.XLOOKUP($C1183,Phone_by_Sentiment!$B$2:$B$37,Phone_by_Sentiment!O$2:O$37,"",0,1)),_xlfn.XLOOKUP($C1183,Phone_by_Sentiment!$B$2:$B$37,Phone_by_Sentiment!O$2:O$37,"",0,1),0),$A1183-TEXT(DATEVALUE($D1183&amp;"-01"), "dd-mm-yyyy")),0),0)</f>
        <v>469</v>
      </c>
      <c r="P1183" s="1">
        <f t="shared" si="49"/>
        <v>44287</v>
      </c>
      <c r="Q1183">
        <f t="shared" si="50"/>
        <v>183</v>
      </c>
    </row>
    <row r="1184" spans="1:17" x14ac:dyDescent="0.25">
      <c r="A1184" s="1">
        <f t="shared" si="48"/>
        <v>44470</v>
      </c>
      <c r="B1184" t="s">
        <v>168</v>
      </c>
      <c r="C1184" t="str">
        <f>_xlfn.XLOOKUP(B1184,Phone_by_Price!$A$2:$A$34,Phone_by_Price!$B$2:$B$34,"-",0,1)</f>
        <v>Google Pixel 4</v>
      </c>
      <c r="D1184" t="str">
        <f>_xlfn.XLOOKUP(C1184,Phone_by_Sentiment!$B$2:$B$37,Phone_by_Sentiment!$A$2:$A$37,"-",0,1)</f>
        <v>2019-09</v>
      </c>
      <c r="E1184" cm="1">
        <f t="array" ref="E1184">IF($Q1184&gt;=0,IFERROR(generateSalesData($D1184, IF(ISNUMBER(_xlfn.XLOOKUP($C1184,Phone_by_Sentiment!$B$2:$B$37,Phone_by_Sentiment!E$2:E$37,"",0,1)),_xlfn.XLOOKUP($C1184,Phone_by_Sentiment!$B$2:$B$37,Phone_by_Sentiment!E$2:E$37,"",0,1),0),$A1184-TEXT(DATEVALUE($D1184&amp;"-01"), "dd-mm-yyyy")),0),0)</f>
        <v>426</v>
      </c>
      <c r="F1184" cm="1">
        <f t="array" ref="F1184">IF($Q1184&gt;=0,IFERROR(generateSalesData($D1184, IF(ISNUMBER(_xlfn.XLOOKUP($C1184,Phone_by_Sentiment!$B$2:$B$37,Phone_by_Sentiment!F$2:F$37,"",0,1)),_xlfn.XLOOKUP($C1184,Phone_by_Sentiment!$B$2:$B$37,Phone_by_Sentiment!F$2:F$37,"",0,1),0),$A1184-TEXT(DATEVALUE($D1184&amp;"-01"), "dd-mm-yyyy")),0),0)</f>
        <v>97</v>
      </c>
      <c r="G1184" cm="1">
        <f t="array" ref="G1184">IF($Q1184&gt;=0,IFERROR(generateSalesData($D1184, IF(ISNUMBER(_xlfn.XLOOKUP($C1184,Phone_by_Sentiment!$B$2:$B$37,Phone_by_Sentiment!G$2:G$37,"",0,1)),_xlfn.XLOOKUP($C1184,Phone_by_Sentiment!$B$2:$B$37,Phone_by_Sentiment!G$2:G$37,"",0,1),0),$A1184-TEXT(DATEVALUE($D1184&amp;"-01"), "dd-mm-yyyy")),0),0)</f>
        <v>50</v>
      </c>
      <c r="H1184" cm="1">
        <f t="array" ref="H1184">IF($Q1184&gt;=0,IFERROR(generateSalesData($D1184, IF(ISNUMBER(_xlfn.XLOOKUP($C1184,Phone_by_Sentiment!$B$2:$B$37,Phone_by_Sentiment!H$2:H$37,"",0,1)),_xlfn.XLOOKUP($C1184,Phone_by_Sentiment!$B$2:$B$37,Phone_by_Sentiment!H$2:H$37,"",0,1),0),$A1184-TEXT(DATEVALUE($D1184&amp;"-01"), "dd-mm-yyyy")),0),0)</f>
        <v>96</v>
      </c>
      <c r="I1184" cm="1">
        <f t="array" ref="I1184">IF($Q1184&gt;=0,IFERROR(generateSalesData($D1184, IF(ISNUMBER(_xlfn.XLOOKUP($C1184,Phone_by_Sentiment!$B$2:$B$37,Phone_by_Sentiment!I$2:I$37,"",0,1)),_xlfn.XLOOKUP($C1184,Phone_by_Sentiment!$B$2:$B$37,Phone_by_Sentiment!I$2:I$37,"",0,1),0),$A1184-TEXT(DATEVALUE($D1184&amp;"-01"), "dd-mm-yyyy")),0),0)</f>
        <v>61</v>
      </c>
      <c r="J1184" cm="1">
        <f t="array" ref="J1184">IF($Q1184&gt;=0,IFERROR(generateSalesData($D1184, IF(ISNUMBER(_xlfn.XLOOKUP($C1184,Phone_by_Sentiment!$B$2:$B$37,Phone_by_Sentiment!J$2:J$37,"",0,1)),_xlfn.XLOOKUP($C1184,Phone_by_Sentiment!$B$2:$B$37,Phone_by_Sentiment!J$2:J$37,"",0,1),0),$A1184-TEXT(DATEVALUE($D1184&amp;"-01"), "dd-mm-yyyy")),0),0)</f>
        <v>67</v>
      </c>
      <c r="K1184" cm="1">
        <f t="array" ref="K1184">IF($Q1184&gt;=0,IFERROR(generateSalesData($D1184, IF(ISNUMBER(_xlfn.XLOOKUP($C1184,Phone_by_Sentiment!$B$2:$B$37,Phone_by_Sentiment!K$2:K$37,"",0,1)),_xlfn.XLOOKUP($C1184,Phone_by_Sentiment!$B$2:$B$37,Phone_by_Sentiment!K$2:K$37,"",0,1),0),$A1184-TEXT(DATEVALUE($D1184&amp;"-01"), "dd-mm-yyyy")),0),0)</f>
        <v>69</v>
      </c>
      <c r="L1184" cm="1">
        <f t="array" ref="L1184">IF($Q1184&gt;=0,IFERROR(generateSalesData($D1184, IF(ISNUMBER(_xlfn.XLOOKUP($C1184,Phone_by_Sentiment!$B$2:$B$37,Phone_by_Sentiment!L$2:L$37,"",0,1)),_xlfn.XLOOKUP($C1184,Phone_by_Sentiment!$B$2:$B$37,Phone_by_Sentiment!L$2:L$37,"",0,1),0),$A1184-TEXT(DATEVALUE($D1184&amp;"-01"), "dd-mm-yyyy")),0),0)</f>
        <v>433</v>
      </c>
      <c r="M1184" cm="1">
        <f t="array" ref="M1184">IF($Q1184&gt;=0,IFERROR(generateSalesData($D1184, IF(ISNUMBER(_xlfn.XLOOKUP($C1184,Phone_by_Sentiment!$B$2:$B$37,Phone_by_Sentiment!M$2:M$37,"",0,1)),_xlfn.XLOOKUP($C1184,Phone_by_Sentiment!$B$2:$B$37,Phone_by_Sentiment!M$2:M$37,"",0,1),0),$A1184-TEXT(DATEVALUE($D1184&amp;"-01"), "dd-mm-yyyy")),0),0)</f>
        <v>46</v>
      </c>
      <c r="N1184" cm="1">
        <f t="array" ref="N1184">IF($Q1184&gt;=0,IFERROR(generateSalesData($D1184, IF(ISNUMBER(_xlfn.XLOOKUP($C1184,Phone_by_Sentiment!$B$2:$B$37,Phone_by_Sentiment!N$2:N$37,"",0,1)),_xlfn.XLOOKUP($C1184,Phone_by_Sentiment!$B$2:$B$37,Phone_by_Sentiment!N$2:N$37,"",0,1),0),$A1184-TEXT(DATEVALUE($D1184&amp;"-01"), "dd-mm-yyyy")),0),0)</f>
        <v>429</v>
      </c>
      <c r="O1184" cm="1">
        <f t="array" ref="O1184">IF($Q1184&gt;=0,IFERROR(generateSalesData($D1184, IF(ISNUMBER(_xlfn.XLOOKUP($C1184,Phone_by_Sentiment!$B$2:$B$37,Phone_by_Sentiment!O$2:O$37,"",0,1)),_xlfn.XLOOKUP($C1184,Phone_by_Sentiment!$B$2:$B$37,Phone_by_Sentiment!O$2:O$37,"",0,1),0),$A1184-TEXT(DATEVALUE($D1184&amp;"-01"), "dd-mm-yyyy")),0),0)</f>
        <v>126</v>
      </c>
      <c r="P1184" s="1">
        <f t="shared" si="49"/>
        <v>43709</v>
      </c>
      <c r="Q1184">
        <f t="shared" si="50"/>
        <v>761</v>
      </c>
    </row>
    <row r="1185" spans="1:17" x14ac:dyDescent="0.25">
      <c r="A1185" s="1">
        <f t="shared" si="48"/>
        <v>44470</v>
      </c>
      <c r="B1185" t="s">
        <v>169</v>
      </c>
      <c r="C1185" t="str">
        <f>_xlfn.XLOOKUP(B1185,Phone_by_Price!$A$2:$A$34,Phone_by_Price!$B$2:$B$34,"-",0,1)</f>
        <v>Samsung Galaxy A10s</v>
      </c>
      <c r="D1185" t="str">
        <f>_xlfn.XLOOKUP(C1185,Phone_by_Sentiment!$B$2:$B$37,Phone_by_Sentiment!$A$2:$A$37,"-",0,1)</f>
        <v>2019-08</v>
      </c>
      <c r="E1185" cm="1">
        <f t="array" ref="E1185">IF($Q1185&gt;=0,IFERROR(generateSalesData($D1185, IF(ISNUMBER(_xlfn.XLOOKUP($C1185,Phone_by_Sentiment!$B$2:$B$37,Phone_by_Sentiment!E$2:E$37,"",0,1)),_xlfn.XLOOKUP($C1185,Phone_by_Sentiment!$B$2:$B$37,Phone_by_Sentiment!E$2:E$37,"",0,1),0),$A1185-TEXT(DATEVALUE($D1185&amp;"-01"), "dd-mm-yyyy")),0),0)</f>
        <v>99</v>
      </c>
      <c r="F1185" cm="1">
        <f t="array" ref="F1185">IF($Q1185&gt;=0,IFERROR(generateSalesData($D1185, IF(ISNUMBER(_xlfn.XLOOKUP($C1185,Phone_by_Sentiment!$B$2:$B$37,Phone_by_Sentiment!F$2:F$37,"",0,1)),_xlfn.XLOOKUP($C1185,Phone_by_Sentiment!$B$2:$B$37,Phone_by_Sentiment!F$2:F$37,"",0,1),0),$A1185-TEXT(DATEVALUE($D1185&amp;"-01"), "dd-mm-yyyy")),0),0)</f>
        <v>325</v>
      </c>
      <c r="G1185" cm="1">
        <f t="array" ref="G1185">IF($Q1185&gt;=0,IFERROR(generateSalesData($D1185, IF(ISNUMBER(_xlfn.XLOOKUP($C1185,Phone_by_Sentiment!$B$2:$B$37,Phone_by_Sentiment!G$2:G$37,"",0,1)),_xlfn.XLOOKUP($C1185,Phone_by_Sentiment!$B$2:$B$37,Phone_by_Sentiment!G$2:G$37,"",0,1),0),$A1185-TEXT(DATEVALUE($D1185&amp;"-01"), "dd-mm-yyyy")),0),0)</f>
        <v>61</v>
      </c>
      <c r="H1185" cm="1">
        <f t="array" ref="H1185">IF($Q1185&gt;=0,IFERROR(generateSalesData($D1185, IF(ISNUMBER(_xlfn.XLOOKUP($C1185,Phone_by_Sentiment!$B$2:$B$37,Phone_by_Sentiment!H$2:H$37,"",0,1)),_xlfn.XLOOKUP($C1185,Phone_by_Sentiment!$B$2:$B$37,Phone_by_Sentiment!H$2:H$37,"",0,1),0),$A1185-TEXT(DATEVALUE($D1185&amp;"-01"), "dd-mm-yyyy")),0),0)</f>
        <v>240</v>
      </c>
      <c r="I1185" cm="1">
        <f t="array" ref="I1185">IF($Q1185&gt;=0,IFERROR(generateSalesData($D1185, IF(ISNUMBER(_xlfn.XLOOKUP($C1185,Phone_by_Sentiment!$B$2:$B$37,Phone_by_Sentiment!I$2:I$37,"",0,1)),_xlfn.XLOOKUP($C1185,Phone_by_Sentiment!$B$2:$B$37,Phone_by_Sentiment!I$2:I$37,"",0,1),0),$A1185-TEXT(DATEVALUE($D1185&amp;"-01"), "dd-mm-yyyy")),0),0)</f>
        <v>198</v>
      </c>
      <c r="J1185" cm="1">
        <f t="array" ref="J1185">IF($Q1185&gt;=0,IFERROR(generateSalesData($D1185, IF(ISNUMBER(_xlfn.XLOOKUP($C1185,Phone_by_Sentiment!$B$2:$B$37,Phone_by_Sentiment!J$2:J$37,"",0,1)),_xlfn.XLOOKUP($C1185,Phone_by_Sentiment!$B$2:$B$37,Phone_by_Sentiment!J$2:J$37,"",0,1),0),$A1185-TEXT(DATEVALUE($D1185&amp;"-01"), "dd-mm-yyyy")),0),0)</f>
        <v>257</v>
      </c>
      <c r="K1185" cm="1">
        <f t="array" ref="K1185">IF($Q1185&gt;=0,IFERROR(generateSalesData($D1185, IF(ISNUMBER(_xlfn.XLOOKUP($C1185,Phone_by_Sentiment!$B$2:$B$37,Phone_by_Sentiment!K$2:K$37,"",0,1)),_xlfn.XLOOKUP($C1185,Phone_by_Sentiment!$B$2:$B$37,Phone_by_Sentiment!K$2:K$37,"",0,1),0),$A1185-TEXT(DATEVALUE($D1185&amp;"-01"), "dd-mm-yyyy")),0),0)</f>
        <v>18</v>
      </c>
      <c r="L1185" cm="1">
        <f t="array" ref="L1185">IF($Q1185&gt;=0,IFERROR(generateSalesData($D1185, IF(ISNUMBER(_xlfn.XLOOKUP($C1185,Phone_by_Sentiment!$B$2:$B$37,Phone_by_Sentiment!L$2:L$37,"",0,1)),_xlfn.XLOOKUP($C1185,Phone_by_Sentiment!$B$2:$B$37,Phone_by_Sentiment!L$2:L$37,"",0,1),0),$A1185-TEXT(DATEVALUE($D1185&amp;"-01"), "dd-mm-yyyy")),0),0)</f>
        <v>117</v>
      </c>
      <c r="M1185" cm="1">
        <f t="array" ref="M1185">IF($Q1185&gt;=0,IFERROR(generateSalesData($D1185, IF(ISNUMBER(_xlfn.XLOOKUP($C1185,Phone_by_Sentiment!$B$2:$B$37,Phone_by_Sentiment!M$2:M$37,"",0,1)),_xlfn.XLOOKUP($C1185,Phone_by_Sentiment!$B$2:$B$37,Phone_by_Sentiment!M$2:M$37,"",0,1),0),$A1185-TEXT(DATEVALUE($D1185&amp;"-01"), "dd-mm-yyyy")),0),0)</f>
        <v>-13</v>
      </c>
      <c r="N1185" cm="1">
        <f t="array" ref="N1185">IF($Q1185&gt;=0,IFERROR(generateSalesData($D1185, IF(ISNUMBER(_xlfn.XLOOKUP($C1185,Phone_by_Sentiment!$B$2:$B$37,Phone_by_Sentiment!N$2:N$37,"",0,1)),_xlfn.XLOOKUP($C1185,Phone_by_Sentiment!$B$2:$B$37,Phone_by_Sentiment!N$2:N$37,"",0,1),0),$A1185-TEXT(DATEVALUE($D1185&amp;"-01"), "dd-mm-yyyy")),0),0)</f>
        <v>69</v>
      </c>
      <c r="O1185" cm="1">
        <f t="array" ref="O1185">IF($Q1185&gt;=0,IFERROR(generateSalesData($D1185, IF(ISNUMBER(_xlfn.XLOOKUP($C1185,Phone_by_Sentiment!$B$2:$B$37,Phone_by_Sentiment!O$2:O$37,"",0,1)),_xlfn.XLOOKUP($C1185,Phone_by_Sentiment!$B$2:$B$37,Phone_by_Sentiment!O$2:O$37,"",0,1),0),$A1185-TEXT(DATEVALUE($D1185&amp;"-01"), "dd-mm-yyyy")),0),0)</f>
        <v>88</v>
      </c>
      <c r="P1185" s="1">
        <f t="shared" si="49"/>
        <v>43678</v>
      </c>
      <c r="Q1185">
        <f t="shared" si="50"/>
        <v>792</v>
      </c>
    </row>
    <row r="1186" spans="1:17" x14ac:dyDescent="0.25">
      <c r="A1186" s="1">
        <f t="shared" si="48"/>
        <v>44470</v>
      </c>
      <c r="B1186" t="s">
        <v>170</v>
      </c>
      <c r="C1186" t="str">
        <f>_xlfn.XLOOKUP(B1186,Phone_by_Price!$A$2:$A$34,Phone_by_Price!$B$2:$B$34,"-",0,1)</f>
        <v>Realme Narzo 30A</v>
      </c>
      <c r="D1186" t="str">
        <f>_xlfn.XLOOKUP(C1186,Phone_by_Sentiment!$B$2:$B$37,Phone_by_Sentiment!$A$2:$A$37,"-",0,1)</f>
        <v>2021-02</v>
      </c>
      <c r="E1186" cm="1">
        <f t="array" ref="E1186">IF($Q1186&gt;=0,IFERROR(generateSalesData($D1186, IF(ISNUMBER(_xlfn.XLOOKUP($C1186,Phone_by_Sentiment!$B$2:$B$37,Phone_by_Sentiment!E$2:E$37,"",0,1)),_xlfn.XLOOKUP($C1186,Phone_by_Sentiment!$B$2:$B$37,Phone_by_Sentiment!E$2:E$37,"",0,1),0),$A1186-TEXT(DATEVALUE($D1186&amp;"-01"), "dd-mm-yyyy")),0),0)</f>
        <v>164</v>
      </c>
      <c r="F1186" cm="1">
        <f t="array" ref="F1186">IF($Q1186&gt;=0,IFERROR(generateSalesData($D1186, IF(ISNUMBER(_xlfn.XLOOKUP($C1186,Phone_by_Sentiment!$B$2:$B$37,Phone_by_Sentiment!F$2:F$37,"",0,1)),_xlfn.XLOOKUP($C1186,Phone_by_Sentiment!$B$2:$B$37,Phone_by_Sentiment!F$2:F$37,"",0,1),0),$A1186-TEXT(DATEVALUE($D1186&amp;"-01"), "dd-mm-yyyy")),0),0)</f>
        <v>368</v>
      </c>
      <c r="G1186" cm="1">
        <f t="array" ref="G1186">IF($Q1186&gt;=0,IFERROR(generateSalesData($D1186, IF(ISNUMBER(_xlfn.XLOOKUP($C1186,Phone_by_Sentiment!$B$2:$B$37,Phone_by_Sentiment!G$2:G$37,"",0,1)),_xlfn.XLOOKUP($C1186,Phone_by_Sentiment!$B$2:$B$37,Phone_by_Sentiment!G$2:G$37,"",0,1),0),$A1186-TEXT(DATEVALUE($D1186&amp;"-01"), "dd-mm-yyyy")),0),0)</f>
        <v>410</v>
      </c>
      <c r="H1186" cm="1">
        <f t="array" ref="H1186">IF($Q1186&gt;=0,IFERROR(generateSalesData($D1186, IF(ISNUMBER(_xlfn.XLOOKUP($C1186,Phone_by_Sentiment!$B$2:$B$37,Phone_by_Sentiment!H$2:H$37,"",0,1)),_xlfn.XLOOKUP($C1186,Phone_by_Sentiment!$B$2:$B$37,Phone_by_Sentiment!H$2:H$37,"",0,1),0),$A1186-TEXT(DATEVALUE($D1186&amp;"-01"), "dd-mm-yyyy")),0),0)</f>
        <v>161</v>
      </c>
      <c r="I1186" cm="1">
        <f t="array" ref="I1186">IF($Q1186&gt;=0,IFERROR(generateSalesData($D1186, IF(ISNUMBER(_xlfn.XLOOKUP($C1186,Phone_by_Sentiment!$B$2:$B$37,Phone_by_Sentiment!I$2:I$37,"",0,1)),_xlfn.XLOOKUP($C1186,Phone_by_Sentiment!$B$2:$B$37,Phone_by_Sentiment!I$2:I$37,"",0,1),0),$A1186-TEXT(DATEVALUE($D1186&amp;"-01"), "dd-mm-yyyy")),0),0)</f>
        <v>1326</v>
      </c>
      <c r="J1186" cm="1">
        <f t="array" ref="J1186">IF($Q1186&gt;=0,IFERROR(generateSalesData($D1186, IF(ISNUMBER(_xlfn.XLOOKUP($C1186,Phone_by_Sentiment!$B$2:$B$37,Phone_by_Sentiment!J$2:J$37,"",0,1)),_xlfn.XLOOKUP($C1186,Phone_by_Sentiment!$B$2:$B$37,Phone_by_Sentiment!J$2:J$37,"",0,1),0),$A1186-TEXT(DATEVALUE($D1186&amp;"-01"), "dd-mm-yyyy")),0),0)</f>
        <v>233</v>
      </c>
      <c r="K1186" cm="1">
        <f t="array" ref="K1186">IF($Q1186&gt;=0,IFERROR(generateSalesData($D1186, IF(ISNUMBER(_xlfn.XLOOKUP($C1186,Phone_by_Sentiment!$B$2:$B$37,Phone_by_Sentiment!K$2:K$37,"",0,1)),_xlfn.XLOOKUP($C1186,Phone_by_Sentiment!$B$2:$B$37,Phone_by_Sentiment!K$2:K$37,"",0,1),0),$A1186-TEXT(DATEVALUE($D1186&amp;"-01"), "dd-mm-yyyy")),0),0)</f>
        <v>467</v>
      </c>
      <c r="L1186" cm="1">
        <f t="array" ref="L1186">IF($Q1186&gt;=0,IFERROR(generateSalesData($D1186, IF(ISNUMBER(_xlfn.XLOOKUP($C1186,Phone_by_Sentiment!$B$2:$B$37,Phone_by_Sentiment!L$2:L$37,"",0,1)),_xlfn.XLOOKUP($C1186,Phone_by_Sentiment!$B$2:$B$37,Phone_by_Sentiment!L$2:L$37,"",0,1),0),$A1186-TEXT(DATEVALUE($D1186&amp;"-01"), "dd-mm-yyyy")),0),0)</f>
        <v>723</v>
      </c>
      <c r="M1186" cm="1">
        <f t="array" ref="M1186">IF($Q1186&gt;=0,IFERROR(generateSalesData($D1186, IF(ISNUMBER(_xlfn.XLOOKUP($C1186,Phone_by_Sentiment!$B$2:$B$37,Phone_by_Sentiment!M$2:M$37,"",0,1)),_xlfn.XLOOKUP($C1186,Phone_by_Sentiment!$B$2:$B$37,Phone_by_Sentiment!M$2:M$37,"",0,1),0),$A1186-TEXT(DATEVALUE($D1186&amp;"-01"), "dd-mm-yyyy")),0),0)</f>
        <v>300</v>
      </c>
      <c r="N1186" cm="1">
        <f t="array" ref="N1186">IF($Q1186&gt;=0,IFERROR(generateSalesData($D1186, IF(ISNUMBER(_xlfn.XLOOKUP($C1186,Phone_by_Sentiment!$B$2:$B$37,Phone_by_Sentiment!N$2:N$37,"",0,1)),_xlfn.XLOOKUP($C1186,Phone_by_Sentiment!$B$2:$B$37,Phone_by_Sentiment!N$2:N$37,"",0,1),0),$A1186-TEXT(DATEVALUE($D1186&amp;"-01"), "dd-mm-yyyy")),0),0)</f>
        <v>1204</v>
      </c>
      <c r="O1186" cm="1">
        <f t="array" ref="O1186">IF($Q1186&gt;=0,IFERROR(generateSalesData($D1186, IF(ISNUMBER(_xlfn.XLOOKUP($C1186,Phone_by_Sentiment!$B$2:$B$37,Phone_by_Sentiment!O$2:O$37,"",0,1)),_xlfn.XLOOKUP($C1186,Phone_by_Sentiment!$B$2:$B$37,Phone_by_Sentiment!O$2:O$37,"",0,1),0),$A1186-TEXT(DATEVALUE($D1186&amp;"-01"), "dd-mm-yyyy")),0),0)</f>
        <v>212</v>
      </c>
      <c r="P1186" s="1">
        <f t="shared" si="49"/>
        <v>44228</v>
      </c>
      <c r="Q1186">
        <f t="shared" si="50"/>
        <v>242</v>
      </c>
    </row>
    <row r="1187" spans="1:17" x14ac:dyDescent="0.25">
      <c r="A1187" s="1">
        <f t="shared" si="48"/>
        <v>44470</v>
      </c>
      <c r="B1187" t="s">
        <v>171</v>
      </c>
      <c r="C1187" t="str">
        <f>_xlfn.XLOOKUP(B1187,Phone_by_Price!$A$2:$A$34,Phone_by_Price!$B$2:$B$34,"-",0,1)</f>
        <v>Samsung Galaxy A22 5G</v>
      </c>
      <c r="D1187" t="str">
        <f>_xlfn.XLOOKUP(C1187,Phone_by_Sentiment!$B$2:$B$37,Phone_by_Sentiment!$A$2:$A$37,"-",0,1)</f>
        <v>2021-05</v>
      </c>
      <c r="E1187" cm="1">
        <f t="array" ref="E1187">IF($Q1187&gt;=0,IFERROR(generateSalesData($D1187, IF(ISNUMBER(_xlfn.XLOOKUP($C1187,Phone_by_Sentiment!$B$2:$B$37,Phone_by_Sentiment!E$2:E$37,"",0,1)),_xlfn.XLOOKUP($C1187,Phone_by_Sentiment!$B$2:$B$37,Phone_by_Sentiment!E$2:E$37,"",0,1),0),$A1187-TEXT(DATEVALUE($D1187&amp;"-01"), "dd-mm-yyyy")),0),0)</f>
        <v>429</v>
      </c>
      <c r="F1187" cm="1">
        <f t="array" ref="F1187">IF($Q1187&gt;=0,IFERROR(generateSalesData($D1187, IF(ISNUMBER(_xlfn.XLOOKUP($C1187,Phone_by_Sentiment!$B$2:$B$37,Phone_by_Sentiment!F$2:F$37,"",0,1)),_xlfn.XLOOKUP($C1187,Phone_by_Sentiment!$B$2:$B$37,Phone_by_Sentiment!F$2:F$37,"",0,1),0),$A1187-TEXT(DATEVALUE($D1187&amp;"-01"), "dd-mm-yyyy")),0),0)</f>
        <v>1375</v>
      </c>
      <c r="G1187" cm="1">
        <f t="array" ref="G1187">IF($Q1187&gt;=0,IFERROR(generateSalesData($D1187, IF(ISNUMBER(_xlfn.XLOOKUP($C1187,Phone_by_Sentiment!$B$2:$B$37,Phone_by_Sentiment!G$2:G$37,"",0,1)),_xlfn.XLOOKUP($C1187,Phone_by_Sentiment!$B$2:$B$37,Phone_by_Sentiment!G$2:G$37,"",0,1),0),$A1187-TEXT(DATEVALUE($D1187&amp;"-01"), "dd-mm-yyyy")),0),0)</f>
        <v>293</v>
      </c>
      <c r="H1187" cm="1">
        <f t="array" ref="H1187">IF($Q1187&gt;=0,IFERROR(generateSalesData($D1187, IF(ISNUMBER(_xlfn.XLOOKUP($C1187,Phone_by_Sentiment!$B$2:$B$37,Phone_by_Sentiment!H$2:H$37,"",0,1)),_xlfn.XLOOKUP($C1187,Phone_by_Sentiment!$B$2:$B$37,Phone_by_Sentiment!H$2:H$37,"",0,1),0),$A1187-TEXT(DATEVALUE($D1187&amp;"-01"), "dd-mm-yyyy")),0),0)</f>
        <v>943</v>
      </c>
      <c r="I1187" cm="1">
        <f t="array" ref="I1187">IF($Q1187&gt;=0,IFERROR(generateSalesData($D1187, IF(ISNUMBER(_xlfn.XLOOKUP($C1187,Phone_by_Sentiment!$B$2:$B$37,Phone_by_Sentiment!I$2:I$37,"",0,1)),_xlfn.XLOOKUP($C1187,Phone_by_Sentiment!$B$2:$B$37,Phone_by_Sentiment!I$2:I$37,"",0,1),0),$A1187-TEXT(DATEVALUE($D1187&amp;"-01"), "dd-mm-yyyy")),0),0)</f>
        <v>1507</v>
      </c>
      <c r="J1187" cm="1">
        <f t="array" ref="J1187">IF($Q1187&gt;=0,IFERROR(generateSalesData($D1187, IF(ISNUMBER(_xlfn.XLOOKUP($C1187,Phone_by_Sentiment!$B$2:$B$37,Phone_by_Sentiment!J$2:J$37,"",0,1)),_xlfn.XLOOKUP($C1187,Phone_by_Sentiment!$B$2:$B$37,Phone_by_Sentiment!J$2:J$37,"",0,1),0),$A1187-TEXT(DATEVALUE($D1187&amp;"-01"), "dd-mm-yyyy")),0),0)</f>
        <v>2594</v>
      </c>
      <c r="K1187" cm="1">
        <f t="array" ref="K1187">IF($Q1187&gt;=0,IFERROR(generateSalesData($D1187, IF(ISNUMBER(_xlfn.XLOOKUP($C1187,Phone_by_Sentiment!$B$2:$B$37,Phone_by_Sentiment!K$2:K$37,"",0,1)),_xlfn.XLOOKUP($C1187,Phone_by_Sentiment!$B$2:$B$37,Phone_by_Sentiment!K$2:K$37,"",0,1),0),$A1187-TEXT(DATEVALUE($D1187&amp;"-01"), "dd-mm-yyyy")),0),0)</f>
        <v>1009</v>
      </c>
      <c r="L1187" cm="1">
        <f t="array" ref="L1187">IF($Q1187&gt;=0,IFERROR(generateSalesData($D1187, IF(ISNUMBER(_xlfn.XLOOKUP($C1187,Phone_by_Sentiment!$B$2:$B$37,Phone_by_Sentiment!L$2:L$37,"",0,1)),_xlfn.XLOOKUP($C1187,Phone_by_Sentiment!$B$2:$B$37,Phone_by_Sentiment!L$2:L$37,"",0,1),0),$A1187-TEXT(DATEVALUE($D1187&amp;"-01"), "dd-mm-yyyy")),0),0)</f>
        <v>1461</v>
      </c>
      <c r="M1187" cm="1">
        <f t="array" ref="M1187">IF($Q1187&gt;=0,IFERROR(generateSalesData($D1187, IF(ISNUMBER(_xlfn.XLOOKUP($C1187,Phone_by_Sentiment!$B$2:$B$37,Phone_by_Sentiment!M$2:M$37,"",0,1)),_xlfn.XLOOKUP($C1187,Phone_by_Sentiment!$B$2:$B$37,Phone_by_Sentiment!M$2:M$37,"",0,1),0),$A1187-TEXT(DATEVALUE($D1187&amp;"-01"), "dd-mm-yyyy")),0),0)</f>
        <v>2100</v>
      </c>
      <c r="N1187" cm="1">
        <f t="array" ref="N1187">IF($Q1187&gt;=0,IFERROR(generateSalesData($D1187, IF(ISNUMBER(_xlfn.XLOOKUP($C1187,Phone_by_Sentiment!$B$2:$B$37,Phone_by_Sentiment!N$2:N$37,"",0,1)),_xlfn.XLOOKUP($C1187,Phone_by_Sentiment!$B$2:$B$37,Phone_by_Sentiment!N$2:N$37,"",0,1),0),$A1187-TEXT(DATEVALUE($D1187&amp;"-01"), "dd-mm-yyyy")),0),0)</f>
        <v>1388</v>
      </c>
      <c r="O1187" cm="1">
        <f t="array" ref="O1187">IF($Q1187&gt;=0,IFERROR(generateSalesData($D1187, IF(ISNUMBER(_xlfn.XLOOKUP($C1187,Phone_by_Sentiment!$B$2:$B$37,Phone_by_Sentiment!O$2:O$37,"",0,1)),_xlfn.XLOOKUP($C1187,Phone_by_Sentiment!$B$2:$B$37,Phone_by_Sentiment!O$2:O$37,"",0,1),0),$A1187-TEXT(DATEVALUE($D1187&amp;"-01"), "dd-mm-yyyy")),0),0)</f>
        <v>1892</v>
      </c>
      <c r="P1187" s="1">
        <f t="shared" si="49"/>
        <v>44317</v>
      </c>
      <c r="Q1187">
        <f t="shared" si="50"/>
        <v>153</v>
      </c>
    </row>
    <row r="1188" spans="1:17" x14ac:dyDescent="0.25">
      <c r="A1188" s="1">
        <f t="shared" si="48"/>
        <v>44470</v>
      </c>
      <c r="B1188" t="s">
        <v>172</v>
      </c>
      <c r="C1188" t="str">
        <f>_xlfn.XLOOKUP(B1188,Phone_by_Price!$A$2:$A$34,Phone_by_Price!$B$2:$B$34,"-",0,1)</f>
        <v>Xiaomi Redmi 9</v>
      </c>
      <c r="D1188" t="str">
        <f>_xlfn.XLOOKUP(C1188,Phone_by_Sentiment!$B$2:$B$37,Phone_by_Sentiment!$A$2:$A$37,"-",0,1)</f>
        <v>2020-08</v>
      </c>
      <c r="E1188" cm="1">
        <f t="array" ref="E1188">IF($Q1188&gt;=0,IFERROR(generateSalesData($D1188, IF(ISNUMBER(_xlfn.XLOOKUP($C1188,Phone_by_Sentiment!$B$2:$B$37,Phone_by_Sentiment!E$2:E$37,"",0,1)),_xlfn.XLOOKUP($C1188,Phone_by_Sentiment!$B$2:$B$37,Phone_by_Sentiment!E$2:E$37,"",0,1),0),$A1188-TEXT(DATEVALUE($D1188&amp;"-01"), "dd-mm-yyyy")),0),0)</f>
        <v>155</v>
      </c>
      <c r="F1188" cm="1">
        <f t="array" ref="F1188">IF($Q1188&gt;=0,IFERROR(generateSalesData($D1188, IF(ISNUMBER(_xlfn.XLOOKUP($C1188,Phone_by_Sentiment!$B$2:$B$37,Phone_by_Sentiment!F$2:F$37,"",0,1)),_xlfn.XLOOKUP($C1188,Phone_by_Sentiment!$B$2:$B$37,Phone_by_Sentiment!F$2:F$37,"",0,1),0),$A1188-TEXT(DATEVALUE($D1188&amp;"-01"), "dd-mm-yyyy")),0),0)</f>
        <v>93</v>
      </c>
      <c r="G1188" cm="1">
        <f t="array" ref="G1188">IF($Q1188&gt;=0,IFERROR(generateSalesData($D1188, IF(ISNUMBER(_xlfn.XLOOKUP($C1188,Phone_by_Sentiment!$B$2:$B$37,Phone_by_Sentiment!G$2:G$37,"",0,1)),_xlfn.XLOOKUP($C1188,Phone_by_Sentiment!$B$2:$B$37,Phone_by_Sentiment!G$2:G$37,"",0,1),0),$A1188-TEXT(DATEVALUE($D1188&amp;"-01"), "dd-mm-yyyy")),0),0)</f>
        <v>45</v>
      </c>
      <c r="H1188" cm="1">
        <f t="array" ref="H1188">IF($Q1188&gt;=0,IFERROR(generateSalesData($D1188, IF(ISNUMBER(_xlfn.XLOOKUP($C1188,Phone_by_Sentiment!$B$2:$B$37,Phone_by_Sentiment!H$2:H$37,"",0,1)),_xlfn.XLOOKUP($C1188,Phone_by_Sentiment!$B$2:$B$37,Phone_by_Sentiment!H$2:H$37,"",0,1),0),$A1188-TEXT(DATEVALUE($D1188&amp;"-01"), "dd-mm-yyyy")),0),0)</f>
        <v>341</v>
      </c>
      <c r="I1188" cm="1">
        <f t="array" ref="I1188">IF($Q1188&gt;=0,IFERROR(generateSalesData($D1188, IF(ISNUMBER(_xlfn.XLOOKUP($C1188,Phone_by_Sentiment!$B$2:$B$37,Phone_by_Sentiment!I$2:I$37,"",0,1)),_xlfn.XLOOKUP($C1188,Phone_by_Sentiment!$B$2:$B$37,Phone_by_Sentiment!I$2:I$37,"",0,1),0),$A1188-TEXT(DATEVALUE($D1188&amp;"-01"), "dd-mm-yyyy")),0),0)</f>
        <v>58</v>
      </c>
      <c r="J1188" cm="1">
        <f t="array" ref="J1188">IF($Q1188&gt;=0,IFERROR(generateSalesData($D1188, IF(ISNUMBER(_xlfn.XLOOKUP($C1188,Phone_by_Sentiment!$B$2:$B$37,Phone_by_Sentiment!J$2:J$37,"",0,1)),_xlfn.XLOOKUP($C1188,Phone_by_Sentiment!$B$2:$B$37,Phone_by_Sentiment!J$2:J$37,"",0,1),0),$A1188-TEXT(DATEVALUE($D1188&amp;"-01"), "dd-mm-yyyy")),0),0)</f>
        <v>81</v>
      </c>
      <c r="K1188" cm="1">
        <f t="array" ref="K1188">IF($Q1188&gt;=0,IFERROR(generateSalesData($D1188, IF(ISNUMBER(_xlfn.XLOOKUP($C1188,Phone_by_Sentiment!$B$2:$B$37,Phone_by_Sentiment!K$2:K$37,"",0,1)),_xlfn.XLOOKUP($C1188,Phone_by_Sentiment!$B$2:$B$37,Phone_by_Sentiment!K$2:K$37,"",0,1),0),$A1188-TEXT(DATEVALUE($D1188&amp;"-01"), "dd-mm-yyyy")),0),0)</f>
        <v>493</v>
      </c>
      <c r="L1188" cm="1">
        <f t="array" ref="L1188">IF($Q1188&gt;=0,IFERROR(generateSalesData($D1188, IF(ISNUMBER(_xlfn.XLOOKUP($C1188,Phone_by_Sentiment!$B$2:$B$37,Phone_by_Sentiment!L$2:L$37,"",0,1)),_xlfn.XLOOKUP($C1188,Phone_by_Sentiment!$B$2:$B$37,Phone_by_Sentiment!L$2:L$37,"",0,1),0),$A1188-TEXT(DATEVALUE($D1188&amp;"-01"), "dd-mm-yyyy")),0),0)</f>
        <v>210</v>
      </c>
      <c r="M1188" cm="1">
        <f t="array" ref="M1188">IF($Q1188&gt;=0,IFERROR(generateSalesData($D1188, IF(ISNUMBER(_xlfn.XLOOKUP($C1188,Phone_by_Sentiment!$B$2:$B$37,Phone_by_Sentiment!M$2:M$37,"",0,1)),_xlfn.XLOOKUP($C1188,Phone_by_Sentiment!$B$2:$B$37,Phone_by_Sentiment!M$2:M$37,"",0,1),0),$A1188-TEXT(DATEVALUE($D1188&amp;"-01"), "dd-mm-yyyy")),0),0)</f>
        <v>192</v>
      </c>
      <c r="N1188" cm="1">
        <f t="array" ref="N1188">IF($Q1188&gt;=0,IFERROR(generateSalesData($D1188, IF(ISNUMBER(_xlfn.XLOOKUP($C1188,Phone_by_Sentiment!$B$2:$B$37,Phone_by_Sentiment!N$2:N$37,"",0,1)),_xlfn.XLOOKUP($C1188,Phone_by_Sentiment!$B$2:$B$37,Phone_by_Sentiment!N$2:N$37,"",0,1),0),$A1188-TEXT(DATEVALUE($D1188&amp;"-01"), "dd-mm-yyyy")),0),0)</f>
        <v>69</v>
      </c>
      <c r="O1188" cm="1">
        <f t="array" ref="O1188">IF($Q1188&gt;=0,IFERROR(generateSalesData($D1188, IF(ISNUMBER(_xlfn.XLOOKUP($C1188,Phone_by_Sentiment!$B$2:$B$37,Phone_by_Sentiment!O$2:O$37,"",0,1)),_xlfn.XLOOKUP($C1188,Phone_by_Sentiment!$B$2:$B$37,Phone_by_Sentiment!O$2:O$37,"",0,1),0),$A1188-TEXT(DATEVALUE($D1188&amp;"-01"), "dd-mm-yyyy")),0),0)</f>
        <v>314</v>
      </c>
      <c r="P1188" s="1">
        <f t="shared" si="49"/>
        <v>44044</v>
      </c>
      <c r="Q1188">
        <f t="shared" si="50"/>
        <v>426</v>
      </c>
    </row>
    <row r="1189" spans="1:17" x14ac:dyDescent="0.25">
      <c r="A1189" s="1">
        <f t="shared" si="48"/>
        <v>44470</v>
      </c>
      <c r="B1189" t="s">
        <v>173</v>
      </c>
      <c r="C1189" t="str">
        <f>_xlfn.XLOOKUP(B1189,Phone_by_Price!$A$2:$A$34,Phone_by_Price!$B$2:$B$34,"-",0,1)</f>
        <v>Realme C3</v>
      </c>
      <c r="D1189" t="str">
        <f>_xlfn.XLOOKUP(C1189,Phone_by_Sentiment!$B$2:$B$37,Phone_by_Sentiment!$A$2:$A$37,"-",0,1)</f>
        <v>2020-02</v>
      </c>
      <c r="E1189" cm="1">
        <f t="array" ref="E1189">IF($Q1189&gt;=0,IFERROR(generateSalesData($D1189, IF(ISNUMBER(_xlfn.XLOOKUP($C1189,Phone_by_Sentiment!$B$2:$B$37,Phone_by_Sentiment!E$2:E$37,"",0,1)),_xlfn.XLOOKUP($C1189,Phone_by_Sentiment!$B$2:$B$37,Phone_by_Sentiment!E$2:E$37,"",0,1),0),$A1189-TEXT(DATEVALUE($D1189&amp;"-01"), "dd-mm-yyyy")),0),0)</f>
        <v>105</v>
      </c>
      <c r="F1189" cm="1">
        <f t="array" ref="F1189">IF($Q1189&gt;=0,IFERROR(generateSalesData($D1189, IF(ISNUMBER(_xlfn.XLOOKUP($C1189,Phone_by_Sentiment!$B$2:$B$37,Phone_by_Sentiment!F$2:F$37,"",0,1)),_xlfn.XLOOKUP($C1189,Phone_by_Sentiment!$B$2:$B$37,Phone_by_Sentiment!F$2:F$37,"",0,1),0),$A1189-TEXT(DATEVALUE($D1189&amp;"-01"), "dd-mm-yyyy")),0),0)</f>
        <v>79</v>
      </c>
      <c r="G1189" cm="1">
        <f t="array" ref="G1189">IF($Q1189&gt;=0,IFERROR(generateSalesData($D1189, IF(ISNUMBER(_xlfn.XLOOKUP($C1189,Phone_by_Sentiment!$B$2:$B$37,Phone_by_Sentiment!G$2:G$37,"",0,1)),_xlfn.XLOOKUP($C1189,Phone_by_Sentiment!$B$2:$B$37,Phone_by_Sentiment!G$2:G$37,"",0,1),0),$A1189-TEXT(DATEVALUE($D1189&amp;"-01"), "dd-mm-yyyy")),0),0)</f>
        <v>116</v>
      </c>
      <c r="H1189" cm="1">
        <f t="array" ref="H1189">IF($Q1189&gt;=0,IFERROR(generateSalesData($D1189, IF(ISNUMBER(_xlfn.XLOOKUP($C1189,Phone_by_Sentiment!$B$2:$B$37,Phone_by_Sentiment!H$2:H$37,"",0,1)),_xlfn.XLOOKUP($C1189,Phone_by_Sentiment!$B$2:$B$37,Phone_by_Sentiment!H$2:H$37,"",0,1),0),$A1189-TEXT(DATEVALUE($D1189&amp;"-01"), "dd-mm-yyyy")),0),0)</f>
        <v>485</v>
      </c>
      <c r="I1189" cm="1">
        <f t="array" ref="I1189">IF($Q1189&gt;=0,IFERROR(generateSalesData($D1189, IF(ISNUMBER(_xlfn.XLOOKUP($C1189,Phone_by_Sentiment!$B$2:$B$37,Phone_by_Sentiment!I$2:I$37,"",0,1)),_xlfn.XLOOKUP($C1189,Phone_by_Sentiment!$B$2:$B$37,Phone_by_Sentiment!I$2:I$37,"",0,1),0),$A1189-TEXT(DATEVALUE($D1189&amp;"-01"), "dd-mm-yyyy")),0),0)</f>
        <v>301</v>
      </c>
      <c r="J1189" cm="1">
        <f t="array" ref="J1189">IF($Q1189&gt;=0,IFERROR(generateSalesData($D1189, IF(ISNUMBER(_xlfn.XLOOKUP($C1189,Phone_by_Sentiment!$B$2:$B$37,Phone_by_Sentiment!J$2:J$37,"",0,1)),_xlfn.XLOOKUP($C1189,Phone_by_Sentiment!$B$2:$B$37,Phone_by_Sentiment!J$2:J$37,"",0,1),0),$A1189-TEXT(DATEVALUE($D1189&amp;"-01"), "dd-mm-yyyy")),0),0)</f>
        <v>125</v>
      </c>
      <c r="K1189" cm="1">
        <f t="array" ref="K1189">IF($Q1189&gt;=0,IFERROR(generateSalesData($D1189, IF(ISNUMBER(_xlfn.XLOOKUP($C1189,Phone_by_Sentiment!$B$2:$B$37,Phone_by_Sentiment!K$2:K$37,"",0,1)),_xlfn.XLOOKUP($C1189,Phone_by_Sentiment!$B$2:$B$37,Phone_by_Sentiment!K$2:K$37,"",0,1),0),$A1189-TEXT(DATEVALUE($D1189&amp;"-01"), "dd-mm-yyyy")),0),0)</f>
        <v>411</v>
      </c>
      <c r="L1189" cm="1">
        <f t="array" ref="L1189">IF($Q1189&gt;=0,IFERROR(generateSalesData($D1189, IF(ISNUMBER(_xlfn.XLOOKUP($C1189,Phone_by_Sentiment!$B$2:$B$37,Phone_by_Sentiment!L$2:L$37,"",0,1)),_xlfn.XLOOKUP($C1189,Phone_by_Sentiment!$B$2:$B$37,Phone_by_Sentiment!L$2:L$37,"",0,1),0),$A1189-TEXT(DATEVALUE($D1189&amp;"-01"), "dd-mm-yyyy")),0),0)</f>
        <v>307</v>
      </c>
      <c r="M1189" cm="1">
        <f t="array" ref="M1189">IF($Q1189&gt;=0,IFERROR(generateSalesData($D1189, IF(ISNUMBER(_xlfn.XLOOKUP($C1189,Phone_by_Sentiment!$B$2:$B$37,Phone_by_Sentiment!M$2:M$37,"",0,1)),_xlfn.XLOOKUP($C1189,Phone_by_Sentiment!$B$2:$B$37,Phone_by_Sentiment!M$2:M$37,"",0,1),0),$A1189-TEXT(DATEVALUE($D1189&amp;"-01"), "dd-mm-yyyy")),0),0)</f>
        <v>81</v>
      </c>
      <c r="N1189" cm="1">
        <f t="array" ref="N1189">IF($Q1189&gt;=0,IFERROR(generateSalesData($D1189, IF(ISNUMBER(_xlfn.XLOOKUP($C1189,Phone_by_Sentiment!$B$2:$B$37,Phone_by_Sentiment!N$2:N$37,"",0,1)),_xlfn.XLOOKUP($C1189,Phone_by_Sentiment!$B$2:$B$37,Phone_by_Sentiment!N$2:N$37,"",0,1),0),$A1189-TEXT(DATEVALUE($D1189&amp;"-01"), "dd-mm-yyyy")),0),0)</f>
        <v>251</v>
      </c>
      <c r="O1189" cm="1">
        <f t="array" ref="O1189">IF($Q1189&gt;=0,IFERROR(generateSalesData($D1189, IF(ISNUMBER(_xlfn.XLOOKUP($C1189,Phone_by_Sentiment!$B$2:$B$37,Phone_by_Sentiment!O$2:O$37,"",0,1)),_xlfn.XLOOKUP($C1189,Phone_by_Sentiment!$B$2:$B$37,Phone_by_Sentiment!O$2:O$37,"",0,1),0),$A1189-TEXT(DATEVALUE($D1189&amp;"-01"), "dd-mm-yyyy")),0),0)</f>
        <v>116</v>
      </c>
      <c r="P1189" s="1">
        <f t="shared" si="49"/>
        <v>43862</v>
      </c>
      <c r="Q1189">
        <f t="shared" si="50"/>
        <v>608</v>
      </c>
    </row>
    <row r="1190" spans="1:17" x14ac:dyDescent="0.25">
      <c r="A1190" s="1">
        <f t="shared" si="48"/>
        <v>44470</v>
      </c>
      <c r="B1190" t="s">
        <v>174</v>
      </c>
      <c r="C1190" t="str">
        <f>_xlfn.XLOOKUP(B1190,Phone_by_Price!$A$2:$A$34,Phone_by_Price!$B$2:$B$34,"-",0,1)</f>
        <v>Samsung Galaxy A7</v>
      </c>
      <c r="D1190" t="str">
        <f>_xlfn.XLOOKUP(C1190,Phone_by_Sentiment!$B$2:$B$37,Phone_by_Sentiment!$A$2:$A$37,"-",0,1)</f>
        <v>2018-10</v>
      </c>
      <c r="E1190" cm="1">
        <f t="array" ref="E1190">IF($Q1190&gt;=0,IFERROR(generateSalesData($D1190, IF(ISNUMBER(_xlfn.XLOOKUP($C1190,Phone_by_Sentiment!$B$2:$B$37,Phone_by_Sentiment!E$2:E$37,"",0,1)),_xlfn.XLOOKUP($C1190,Phone_by_Sentiment!$B$2:$B$37,Phone_by_Sentiment!E$2:E$37,"",0,1),0),$A1190-TEXT(DATEVALUE($D1190&amp;"-01"), "dd-mm-yyyy")),0),0)</f>
        <v>97</v>
      </c>
      <c r="F1190" cm="1">
        <f t="array" ref="F1190">IF($Q1190&gt;=0,IFERROR(generateSalesData($D1190, IF(ISNUMBER(_xlfn.XLOOKUP($C1190,Phone_by_Sentiment!$B$2:$B$37,Phone_by_Sentiment!F$2:F$37,"",0,1)),_xlfn.XLOOKUP($C1190,Phone_by_Sentiment!$B$2:$B$37,Phone_by_Sentiment!F$2:F$37,"",0,1),0),$A1190-TEXT(DATEVALUE($D1190&amp;"-01"), "dd-mm-yyyy")),0),0)</f>
        <v>78</v>
      </c>
      <c r="G1190" cm="1">
        <f t="array" ref="G1190">IF($Q1190&gt;=0,IFERROR(generateSalesData($D1190, IF(ISNUMBER(_xlfn.XLOOKUP($C1190,Phone_by_Sentiment!$B$2:$B$37,Phone_by_Sentiment!G$2:G$37,"",0,1)),_xlfn.XLOOKUP($C1190,Phone_by_Sentiment!$B$2:$B$37,Phone_by_Sentiment!G$2:G$37,"",0,1),0),$A1190-TEXT(DATEVALUE($D1190&amp;"-01"), "dd-mm-yyyy")),0),0)</f>
        <v>68</v>
      </c>
      <c r="H1190" cm="1">
        <f t="array" ref="H1190">IF($Q1190&gt;=0,IFERROR(generateSalesData($D1190, IF(ISNUMBER(_xlfn.XLOOKUP($C1190,Phone_by_Sentiment!$B$2:$B$37,Phone_by_Sentiment!H$2:H$37,"",0,1)),_xlfn.XLOOKUP($C1190,Phone_by_Sentiment!$B$2:$B$37,Phone_by_Sentiment!H$2:H$37,"",0,1),0),$A1190-TEXT(DATEVALUE($D1190&amp;"-01"), "dd-mm-yyyy")),0),0)</f>
        <v>168</v>
      </c>
      <c r="I1190" cm="1">
        <f t="array" ref="I1190">IF($Q1190&gt;=0,IFERROR(generateSalesData($D1190, IF(ISNUMBER(_xlfn.XLOOKUP($C1190,Phone_by_Sentiment!$B$2:$B$37,Phone_by_Sentiment!I$2:I$37,"",0,1)),_xlfn.XLOOKUP($C1190,Phone_by_Sentiment!$B$2:$B$37,Phone_by_Sentiment!I$2:I$37,"",0,1),0),$A1190-TEXT(DATEVALUE($D1190&amp;"-01"), "dd-mm-yyyy")),0),0)</f>
        <v>171</v>
      </c>
      <c r="J1190" cm="1">
        <f t="array" ref="J1190">IF($Q1190&gt;=0,IFERROR(generateSalesData($D1190, IF(ISNUMBER(_xlfn.XLOOKUP($C1190,Phone_by_Sentiment!$B$2:$B$37,Phone_by_Sentiment!J$2:J$37,"",0,1)),_xlfn.XLOOKUP($C1190,Phone_by_Sentiment!$B$2:$B$37,Phone_by_Sentiment!J$2:J$37,"",0,1),0),$A1190-TEXT(DATEVALUE($D1190&amp;"-01"), "dd-mm-yyyy")),0),0)</f>
        <v>61</v>
      </c>
      <c r="K1190" cm="1">
        <f t="array" ref="K1190">IF($Q1190&gt;=0,IFERROR(generateSalesData($D1190, IF(ISNUMBER(_xlfn.XLOOKUP($C1190,Phone_by_Sentiment!$B$2:$B$37,Phone_by_Sentiment!K$2:K$37,"",0,1)),_xlfn.XLOOKUP($C1190,Phone_by_Sentiment!$B$2:$B$37,Phone_by_Sentiment!K$2:K$37,"",0,1),0),$A1190-TEXT(DATEVALUE($D1190&amp;"-01"), "dd-mm-yyyy")),0),0)</f>
        <v>32</v>
      </c>
      <c r="L1190" cm="1">
        <f t="array" ref="L1190">IF($Q1190&gt;=0,IFERROR(generateSalesData($D1190, IF(ISNUMBER(_xlfn.XLOOKUP($C1190,Phone_by_Sentiment!$B$2:$B$37,Phone_by_Sentiment!L$2:L$37,"",0,1)),_xlfn.XLOOKUP($C1190,Phone_by_Sentiment!$B$2:$B$37,Phone_by_Sentiment!L$2:L$37,"",0,1),0),$A1190-TEXT(DATEVALUE($D1190&amp;"-01"), "dd-mm-yyyy")),0),0)</f>
        <v>91</v>
      </c>
      <c r="M1190" cm="1">
        <f t="array" ref="M1190">IF($Q1190&gt;=0,IFERROR(generateSalesData($D1190, IF(ISNUMBER(_xlfn.XLOOKUP($C1190,Phone_by_Sentiment!$B$2:$B$37,Phone_by_Sentiment!M$2:M$37,"",0,1)),_xlfn.XLOOKUP($C1190,Phone_by_Sentiment!$B$2:$B$37,Phone_by_Sentiment!M$2:M$37,"",0,1),0),$A1190-TEXT(DATEVALUE($D1190&amp;"-01"), "dd-mm-yyyy")),0),0)</f>
        <v>141</v>
      </c>
      <c r="N1190" cm="1">
        <f t="array" ref="N1190">IF($Q1190&gt;=0,IFERROR(generateSalesData($D1190, IF(ISNUMBER(_xlfn.XLOOKUP($C1190,Phone_by_Sentiment!$B$2:$B$37,Phone_by_Sentiment!N$2:N$37,"",0,1)),_xlfn.XLOOKUP($C1190,Phone_by_Sentiment!$B$2:$B$37,Phone_by_Sentiment!N$2:N$37,"",0,1),0),$A1190-TEXT(DATEVALUE($D1190&amp;"-01"), "dd-mm-yyyy")),0),0)</f>
        <v>148</v>
      </c>
      <c r="O1190" cm="1">
        <f t="array" ref="O1190">IF($Q1190&gt;=0,IFERROR(generateSalesData($D1190, IF(ISNUMBER(_xlfn.XLOOKUP($C1190,Phone_by_Sentiment!$B$2:$B$37,Phone_by_Sentiment!O$2:O$37,"",0,1)),_xlfn.XLOOKUP($C1190,Phone_by_Sentiment!$B$2:$B$37,Phone_by_Sentiment!O$2:O$37,"",0,1),0),$A1190-TEXT(DATEVALUE($D1190&amp;"-01"), "dd-mm-yyyy")),0),0)</f>
        <v>159</v>
      </c>
      <c r="P1190" s="1">
        <f t="shared" si="49"/>
        <v>43374</v>
      </c>
      <c r="Q1190">
        <f t="shared" si="50"/>
        <v>1096</v>
      </c>
    </row>
    <row r="1191" spans="1:17" x14ac:dyDescent="0.25">
      <c r="A1191" s="1">
        <f t="shared" si="48"/>
        <v>44501</v>
      </c>
      <c r="B1191" t="s">
        <v>142</v>
      </c>
      <c r="C1191" t="str">
        <f>_xlfn.XLOOKUP(B1191,Phone_by_Price!$A$2:$A$34,Phone_by_Price!$B$2:$B$34,"-",0,1)</f>
        <v>iPhone 11</v>
      </c>
      <c r="D1191" t="str">
        <f>_xlfn.XLOOKUP(C1191,Phone_by_Sentiment!$B$2:$B$37,Phone_by_Sentiment!$A$2:$A$37,"-",0,1)</f>
        <v>2019-09</v>
      </c>
      <c r="E1191" cm="1">
        <f t="array" ref="E1191">IF($Q1191&gt;=0,IFERROR(generateSalesData($D1191, IF(ISNUMBER(_xlfn.XLOOKUP($C1191,Phone_by_Sentiment!$B$2:$B$37,Phone_by_Sentiment!E$2:E$37,"",0,1)),_xlfn.XLOOKUP($C1191,Phone_by_Sentiment!$B$2:$B$37,Phone_by_Sentiment!E$2:E$37,"",0,1),0),$A1191-TEXT(DATEVALUE($D1191&amp;"-01"), "dd-mm-yyyy")),0),0)</f>
        <v>263</v>
      </c>
      <c r="F1191" cm="1">
        <f t="array" ref="F1191">IF($Q1191&gt;=0,IFERROR(generateSalesData($D1191, IF(ISNUMBER(_xlfn.XLOOKUP($C1191,Phone_by_Sentiment!$B$2:$B$37,Phone_by_Sentiment!F$2:F$37,"",0,1)),_xlfn.XLOOKUP($C1191,Phone_by_Sentiment!$B$2:$B$37,Phone_by_Sentiment!F$2:F$37,"",0,1),0),$A1191-TEXT(DATEVALUE($D1191&amp;"-01"), "dd-mm-yyyy")),0),0)</f>
        <v>163</v>
      </c>
      <c r="G1191" cm="1">
        <f t="array" ref="G1191">IF($Q1191&gt;=0,IFERROR(generateSalesData($D1191, IF(ISNUMBER(_xlfn.XLOOKUP($C1191,Phone_by_Sentiment!$B$2:$B$37,Phone_by_Sentiment!G$2:G$37,"",0,1)),_xlfn.XLOOKUP($C1191,Phone_by_Sentiment!$B$2:$B$37,Phone_by_Sentiment!G$2:G$37,"",0,1),0),$A1191-TEXT(DATEVALUE($D1191&amp;"-01"), "dd-mm-yyyy")),0),0)</f>
        <v>43</v>
      </c>
      <c r="H1191" cm="1">
        <f t="array" ref="H1191">IF($Q1191&gt;=0,IFERROR(generateSalesData($D1191, IF(ISNUMBER(_xlfn.XLOOKUP($C1191,Phone_by_Sentiment!$B$2:$B$37,Phone_by_Sentiment!H$2:H$37,"",0,1)),_xlfn.XLOOKUP($C1191,Phone_by_Sentiment!$B$2:$B$37,Phone_by_Sentiment!H$2:H$37,"",0,1),0),$A1191-TEXT(DATEVALUE($D1191&amp;"-01"), "dd-mm-yyyy")),0),0)</f>
        <v>142</v>
      </c>
      <c r="I1191" cm="1">
        <f t="array" ref="I1191">IF($Q1191&gt;=0,IFERROR(generateSalesData($D1191, IF(ISNUMBER(_xlfn.XLOOKUP($C1191,Phone_by_Sentiment!$B$2:$B$37,Phone_by_Sentiment!I$2:I$37,"",0,1)),_xlfn.XLOOKUP($C1191,Phone_by_Sentiment!$B$2:$B$37,Phone_by_Sentiment!I$2:I$37,"",0,1),0),$A1191-TEXT(DATEVALUE($D1191&amp;"-01"), "dd-mm-yyyy")),0),0)</f>
        <v>388</v>
      </c>
      <c r="J1191" cm="1">
        <f t="array" ref="J1191">IF($Q1191&gt;=0,IFERROR(generateSalesData($D1191, IF(ISNUMBER(_xlfn.XLOOKUP($C1191,Phone_by_Sentiment!$B$2:$B$37,Phone_by_Sentiment!J$2:J$37,"",0,1)),_xlfn.XLOOKUP($C1191,Phone_by_Sentiment!$B$2:$B$37,Phone_by_Sentiment!J$2:J$37,"",0,1),0),$A1191-TEXT(DATEVALUE($D1191&amp;"-01"), "dd-mm-yyyy")),0),0)</f>
        <v>306</v>
      </c>
      <c r="K1191" cm="1">
        <f t="array" ref="K1191">IF($Q1191&gt;=0,IFERROR(generateSalesData($D1191, IF(ISNUMBER(_xlfn.XLOOKUP($C1191,Phone_by_Sentiment!$B$2:$B$37,Phone_by_Sentiment!K$2:K$37,"",0,1)),_xlfn.XLOOKUP($C1191,Phone_by_Sentiment!$B$2:$B$37,Phone_by_Sentiment!K$2:K$37,"",0,1),0),$A1191-TEXT(DATEVALUE($D1191&amp;"-01"), "dd-mm-yyyy")),0),0)</f>
        <v>141</v>
      </c>
      <c r="L1191" cm="1">
        <f t="array" ref="L1191">IF($Q1191&gt;=0,IFERROR(generateSalesData($D1191, IF(ISNUMBER(_xlfn.XLOOKUP($C1191,Phone_by_Sentiment!$B$2:$B$37,Phone_by_Sentiment!L$2:L$37,"",0,1)),_xlfn.XLOOKUP($C1191,Phone_by_Sentiment!$B$2:$B$37,Phone_by_Sentiment!L$2:L$37,"",0,1),0),$A1191-TEXT(DATEVALUE($D1191&amp;"-01"), "dd-mm-yyyy")),0),0)</f>
        <v>280</v>
      </c>
      <c r="M1191" cm="1">
        <f t="array" ref="M1191">IF($Q1191&gt;=0,IFERROR(generateSalesData($D1191, IF(ISNUMBER(_xlfn.XLOOKUP($C1191,Phone_by_Sentiment!$B$2:$B$37,Phone_by_Sentiment!M$2:M$37,"",0,1)),_xlfn.XLOOKUP($C1191,Phone_by_Sentiment!$B$2:$B$37,Phone_by_Sentiment!M$2:M$37,"",0,1),0),$A1191-TEXT(DATEVALUE($D1191&amp;"-01"), "dd-mm-yyyy")),0),0)</f>
        <v>215</v>
      </c>
      <c r="N1191" cm="1">
        <f t="array" ref="N1191">IF($Q1191&gt;=0,IFERROR(generateSalesData($D1191, IF(ISNUMBER(_xlfn.XLOOKUP($C1191,Phone_by_Sentiment!$B$2:$B$37,Phone_by_Sentiment!N$2:N$37,"",0,1)),_xlfn.XLOOKUP($C1191,Phone_by_Sentiment!$B$2:$B$37,Phone_by_Sentiment!N$2:N$37,"",0,1),0),$A1191-TEXT(DATEVALUE($D1191&amp;"-01"), "dd-mm-yyyy")),0),0)</f>
        <v>79</v>
      </c>
      <c r="O1191" cm="1">
        <f t="array" ref="O1191">IF($Q1191&gt;=0,IFERROR(generateSalesData($D1191, IF(ISNUMBER(_xlfn.XLOOKUP($C1191,Phone_by_Sentiment!$B$2:$B$37,Phone_by_Sentiment!O$2:O$37,"",0,1)),_xlfn.XLOOKUP($C1191,Phone_by_Sentiment!$B$2:$B$37,Phone_by_Sentiment!O$2:O$37,"",0,1),0),$A1191-TEXT(DATEVALUE($D1191&amp;"-01"), "dd-mm-yyyy")),0),0)</f>
        <v>575</v>
      </c>
      <c r="P1191" s="1">
        <f t="shared" si="49"/>
        <v>43709</v>
      </c>
      <c r="Q1191">
        <f t="shared" si="50"/>
        <v>792</v>
      </c>
    </row>
    <row r="1192" spans="1:17" x14ac:dyDescent="0.25">
      <c r="A1192" s="1">
        <f t="shared" si="48"/>
        <v>44501</v>
      </c>
      <c r="B1192" t="s">
        <v>143</v>
      </c>
      <c r="C1192" t="str">
        <f>_xlfn.XLOOKUP(B1192,Phone_by_Price!$A$2:$A$34,Phone_by_Price!$B$2:$B$34,"-",0,1)</f>
        <v>Samsung Galaxy S20 Ultra</v>
      </c>
      <c r="D1192" t="str">
        <f>_xlfn.XLOOKUP(C1192,Phone_by_Sentiment!$B$2:$B$37,Phone_by_Sentiment!$A$2:$A$37,"-",0,1)</f>
        <v>2020-02</v>
      </c>
      <c r="E1192" cm="1">
        <f t="array" ref="E1192">IF($Q1192&gt;=0,IFERROR(generateSalesData($D1192, IF(ISNUMBER(_xlfn.XLOOKUP($C1192,Phone_by_Sentiment!$B$2:$B$37,Phone_by_Sentiment!E$2:E$37,"",0,1)),_xlfn.XLOOKUP($C1192,Phone_by_Sentiment!$B$2:$B$37,Phone_by_Sentiment!E$2:E$37,"",0,1),0),$A1192-TEXT(DATEVALUE($D1192&amp;"-01"), "dd-mm-yyyy")),0),0)</f>
        <v>621</v>
      </c>
      <c r="F1192" cm="1">
        <f t="array" ref="F1192">IF($Q1192&gt;=0,IFERROR(generateSalesData($D1192, IF(ISNUMBER(_xlfn.XLOOKUP($C1192,Phone_by_Sentiment!$B$2:$B$37,Phone_by_Sentiment!F$2:F$37,"",0,1)),_xlfn.XLOOKUP($C1192,Phone_by_Sentiment!$B$2:$B$37,Phone_by_Sentiment!F$2:F$37,"",0,1),0),$A1192-TEXT(DATEVALUE($D1192&amp;"-01"), "dd-mm-yyyy")),0),0)</f>
        <v>487</v>
      </c>
      <c r="G1192" cm="1">
        <f t="array" ref="G1192">IF($Q1192&gt;=0,IFERROR(generateSalesData($D1192, IF(ISNUMBER(_xlfn.XLOOKUP($C1192,Phone_by_Sentiment!$B$2:$B$37,Phone_by_Sentiment!G$2:G$37,"",0,1)),_xlfn.XLOOKUP($C1192,Phone_by_Sentiment!$B$2:$B$37,Phone_by_Sentiment!G$2:G$37,"",0,1),0),$A1192-TEXT(DATEVALUE($D1192&amp;"-01"), "dd-mm-yyyy")),0),0)</f>
        <v>46</v>
      </c>
      <c r="H1192" cm="1">
        <f t="array" ref="H1192">IF($Q1192&gt;=0,IFERROR(generateSalesData($D1192, IF(ISNUMBER(_xlfn.XLOOKUP($C1192,Phone_by_Sentiment!$B$2:$B$37,Phone_by_Sentiment!H$2:H$37,"",0,1)),_xlfn.XLOOKUP($C1192,Phone_by_Sentiment!$B$2:$B$37,Phone_by_Sentiment!H$2:H$37,"",0,1),0),$A1192-TEXT(DATEVALUE($D1192&amp;"-01"), "dd-mm-yyyy")),0),0)</f>
        <v>362</v>
      </c>
      <c r="I1192" cm="1">
        <f t="array" ref="I1192">IF($Q1192&gt;=0,IFERROR(generateSalesData($D1192, IF(ISNUMBER(_xlfn.XLOOKUP($C1192,Phone_by_Sentiment!$B$2:$B$37,Phone_by_Sentiment!I$2:I$37,"",0,1)),_xlfn.XLOOKUP($C1192,Phone_by_Sentiment!$B$2:$B$37,Phone_by_Sentiment!I$2:I$37,"",0,1),0),$A1192-TEXT(DATEVALUE($D1192&amp;"-01"), "dd-mm-yyyy")),0),0)</f>
        <v>761</v>
      </c>
      <c r="J1192" cm="1">
        <f t="array" ref="J1192">IF($Q1192&gt;=0,IFERROR(generateSalesData($D1192, IF(ISNUMBER(_xlfn.XLOOKUP($C1192,Phone_by_Sentiment!$B$2:$B$37,Phone_by_Sentiment!J$2:J$37,"",0,1)),_xlfn.XLOOKUP($C1192,Phone_by_Sentiment!$B$2:$B$37,Phone_by_Sentiment!J$2:J$37,"",0,1),0),$A1192-TEXT(DATEVALUE($D1192&amp;"-01"), "dd-mm-yyyy")),0),0)</f>
        <v>598</v>
      </c>
      <c r="K1192" cm="1">
        <f t="array" ref="K1192">IF($Q1192&gt;=0,IFERROR(generateSalesData($D1192, IF(ISNUMBER(_xlfn.XLOOKUP($C1192,Phone_by_Sentiment!$B$2:$B$37,Phone_by_Sentiment!K$2:K$37,"",0,1)),_xlfn.XLOOKUP($C1192,Phone_by_Sentiment!$B$2:$B$37,Phone_by_Sentiment!K$2:K$37,"",0,1),0),$A1192-TEXT(DATEVALUE($D1192&amp;"-01"), "dd-mm-yyyy")),0),0)</f>
        <v>63</v>
      </c>
      <c r="L1192" cm="1">
        <f t="array" ref="L1192">IF($Q1192&gt;=0,IFERROR(generateSalesData($D1192, IF(ISNUMBER(_xlfn.XLOOKUP($C1192,Phone_by_Sentiment!$B$2:$B$37,Phone_by_Sentiment!L$2:L$37,"",0,1)),_xlfn.XLOOKUP($C1192,Phone_by_Sentiment!$B$2:$B$37,Phone_by_Sentiment!L$2:L$37,"",0,1),0),$A1192-TEXT(DATEVALUE($D1192&amp;"-01"), "dd-mm-yyyy")),0),0)</f>
        <v>368</v>
      </c>
      <c r="M1192" cm="1">
        <f t="array" ref="M1192">IF($Q1192&gt;=0,IFERROR(generateSalesData($D1192, IF(ISNUMBER(_xlfn.XLOOKUP($C1192,Phone_by_Sentiment!$B$2:$B$37,Phone_by_Sentiment!M$2:M$37,"",0,1)),_xlfn.XLOOKUP($C1192,Phone_by_Sentiment!$B$2:$B$37,Phone_by_Sentiment!M$2:M$37,"",0,1),0),$A1192-TEXT(DATEVALUE($D1192&amp;"-01"), "dd-mm-yyyy")),0),0)</f>
        <v>-51</v>
      </c>
      <c r="N1192" cm="1">
        <f t="array" ref="N1192">IF($Q1192&gt;=0,IFERROR(generateSalesData($D1192, IF(ISNUMBER(_xlfn.XLOOKUP($C1192,Phone_by_Sentiment!$B$2:$B$37,Phone_by_Sentiment!N$2:N$37,"",0,1)),_xlfn.XLOOKUP($C1192,Phone_by_Sentiment!$B$2:$B$37,Phone_by_Sentiment!N$2:N$37,"",0,1),0),$A1192-TEXT(DATEVALUE($D1192&amp;"-01"), "dd-mm-yyyy")),0),0)</f>
        <v>512</v>
      </c>
      <c r="O1192" cm="1">
        <f t="array" ref="O1192">IF($Q1192&gt;=0,IFERROR(generateSalesData($D1192, IF(ISNUMBER(_xlfn.XLOOKUP($C1192,Phone_by_Sentiment!$B$2:$B$37,Phone_by_Sentiment!O$2:O$37,"",0,1)),_xlfn.XLOOKUP($C1192,Phone_by_Sentiment!$B$2:$B$37,Phone_by_Sentiment!O$2:O$37,"",0,1),0),$A1192-TEXT(DATEVALUE($D1192&amp;"-01"), "dd-mm-yyyy")),0),0)</f>
        <v>487</v>
      </c>
      <c r="P1192" s="1">
        <f t="shared" si="49"/>
        <v>43862</v>
      </c>
      <c r="Q1192">
        <f t="shared" si="50"/>
        <v>639</v>
      </c>
    </row>
    <row r="1193" spans="1:17" x14ac:dyDescent="0.25">
      <c r="A1193" s="1">
        <f t="shared" si="48"/>
        <v>44501</v>
      </c>
      <c r="B1193" t="s">
        <v>144</v>
      </c>
      <c r="C1193" t="str">
        <f>_xlfn.XLOOKUP(B1193,Phone_by_Price!$A$2:$A$34,Phone_by_Price!$B$2:$B$34,"-",0,1)</f>
        <v>Xiaomi Redmi Note 10</v>
      </c>
      <c r="D1193" t="str">
        <f>_xlfn.XLOOKUP(C1193,Phone_by_Sentiment!$B$2:$B$37,Phone_by_Sentiment!$A$2:$A$37,"-",0,1)</f>
        <v>2021-03</v>
      </c>
      <c r="E1193" cm="1">
        <f t="array" ref="E1193">IF($Q1193&gt;=0,IFERROR(generateSalesData($D1193, IF(ISNUMBER(_xlfn.XLOOKUP($C1193,Phone_by_Sentiment!$B$2:$B$37,Phone_by_Sentiment!E$2:E$37,"",0,1)),_xlfn.XLOOKUP($C1193,Phone_by_Sentiment!$B$2:$B$37,Phone_by_Sentiment!E$2:E$37,"",0,1),0),$A1193-TEXT(DATEVALUE($D1193&amp;"-01"), "dd-mm-yyyy")),0),0)</f>
        <v>1113</v>
      </c>
      <c r="F1193" cm="1">
        <f t="array" ref="F1193">IF($Q1193&gt;=0,IFERROR(generateSalesData($D1193, IF(ISNUMBER(_xlfn.XLOOKUP($C1193,Phone_by_Sentiment!$B$2:$B$37,Phone_by_Sentiment!F$2:F$37,"",0,1)),_xlfn.XLOOKUP($C1193,Phone_by_Sentiment!$B$2:$B$37,Phone_by_Sentiment!F$2:F$37,"",0,1),0),$A1193-TEXT(DATEVALUE($D1193&amp;"-01"), "dd-mm-yyyy")),0),0)</f>
        <v>255</v>
      </c>
      <c r="G1193" cm="1">
        <f t="array" ref="G1193">IF($Q1193&gt;=0,IFERROR(generateSalesData($D1193, IF(ISNUMBER(_xlfn.XLOOKUP($C1193,Phone_by_Sentiment!$B$2:$B$37,Phone_by_Sentiment!G$2:G$37,"",0,1)),_xlfn.XLOOKUP($C1193,Phone_by_Sentiment!$B$2:$B$37,Phone_by_Sentiment!G$2:G$37,"",0,1),0),$A1193-TEXT(DATEVALUE($D1193&amp;"-01"), "dd-mm-yyyy")),0),0)</f>
        <v>344</v>
      </c>
      <c r="H1193" cm="1">
        <f t="array" ref="H1193">IF($Q1193&gt;=0,IFERROR(generateSalesData($D1193, IF(ISNUMBER(_xlfn.XLOOKUP($C1193,Phone_by_Sentiment!$B$2:$B$37,Phone_by_Sentiment!H$2:H$37,"",0,1)),_xlfn.XLOOKUP($C1193,Phone_by_Sentiment!$B$2:$B$37,Phone_by_Sentiment!H$2:H$37,"",0,1),0),$A1193-TEXT(DATEVALUE($D1193&amp;"-01"), "dd-mm-yyyy")),0),0)</f>
        <v>1068</v>
      </c>
      <c r="I1193" cm="1">
        <f t="array" ref="I1193">IF($Q1193&gt;=0,IFERROR(generateSalesData($D1193, IF(ISNUMBER(_xlfn.XLOOKUP($C1193,Phone_by_Sentiment!$B$2:$B$37,Phone_by_Sentiment!I$2:I$37,"",0,1)),_xlfn.XLOOKUP($C1193,Phone_by_Sentiment!$B$2:$B$37,Phone_by_Sentiment!I$2:I$37,"",0,1),0),$A1193-TEXT(DATEVALUE($D1193&amp;"-01"), "dd-mm-yyyy")),0),0)</f>
        <v>776</v>
      </c>
      <c r="J1193" cm="1">
        <f t="array" ref="J1193">IF($Q1193&gt;=0,IFERROR(generateSalesData($D1193, IF(ISNUMBER(_xlfn.XLOOKUP($C1193,Phone_by_Sentiment!$B$2:$B$37,Phone_by_Sentiment!J$2:J$37,"",0,1)),_xlfn.XLOOKUP($C1193,Phone_by_Sentiment!$B$2:$B$37,Phone_by_Sentiment!J$2:J$37,"",0,1),0),$A1193-TEXT(DATEVALUE($D1193&amp;"-01"), "dd-mm-yyyy")),0),0)</f>
        <v>1482</v>
      </c>
      <c r="K1193" cm="1">
        <f t="array" ref="K1193">IF($Q1193&gt;=0,IFERROR(generateSalesData($D1193, IF(ISNUMBER(_xlfn.XLOOKUP($C1193,Phone_by_Sentiment!$B$2:$B$37,Phone_by_Sentiment!K$2:K$37,"",0,1)),_xlfn.XLOOKUP($C1193,Phone_by_Sentiment!$B$2:$B$37,Phone_by_Sentiment!K$2:K$37,"",0,1),0),$A1193-TEXT(DATEVALUE($D1193&amp;"-01"), "dd-mm-yyyy")),0),0)</f>
        <v>710</v>
      </c>
      <c r="L1193" cm="1">
        <f t="array" ref="L1193">IF($Q1193&gt;=0,IFERROR(generateSalesData($D1193, IF(ISNUMBER(_xlfn.XLOOKUP($C1193,Phone_by_Sentiment!$B$2:$B$37,Phone_by_Sentiment!L$2:L$37,"",0,1)),_xlfn.XLOOKUP($C1193,Phone_by_Sentiment!$B$2:$B$37,Phone_by_Sentiment!L$2:L$37,"",0,1),0),$A1193-TEXT(DATEVALUE($D1193&amp;"-01"), "dd-mm-yyyy")),0),0)</f>
        <v>1335</v>
      </c>
      <c r="M1193" cm="1">
        <f t="array" ref="M1193">IF($Q1193&gt;=0,IFERROR(generateSalesData($D1193, IF(ISNUMBER(_xlfn.XLOOKUP($C1193,Phone_by_Sentiment!$B$2:$B$37,Phone_by_Sentiment!M$2:M$37,"",0,1)),_xlfn.XLOOKUP($C1193,Phone_by_Sentiment!$B$2:$B$37,Phone_by_Sentiment!M$2:M$37,"",0,1),0),$A1193-TEXT(DATEVALUE($D1193&amp;"-01"), "dd-mm-yyyy")),0),0)</f>
        <v>334</v>
      </c>
      <c r="N1193" cm="1">
        <f t="array" ref="N1193">IF($Q1193&gt;=0,IFERROR(generateSalesData($D1193, IF(ISNUMBER(_xlfn.XLOOKUP($C1193,Phone_by_Sentiment!$B$2:$B$37,Phone_by_Sentiment!N$2:N$37,"",0,1)),_xlfn.XLOOKUP($C1193,Phone_by_Sentiment!$B$2:$B$37,Phone_by_Sentiment!N$2:N$37,"",0,1),0),$A1193-TEXT(DATEVALUE($D1193&amp;"-01"), "dd-mm-yyyy")),0),0)</f>
        <v>781</v>
      </c>
      <c r="O1193" cm="1">
        <f t="array" ref="O1193">IF($Q1193&gt;=0,IFERROR(generateSalesData($D1193, IF(ISNUMBER(_xlfn.XLOOKUP($C1193,Phone_by_Sentiment!$B$2:$B$37,Phone_by_Sentiment!O$2:O$37,"",0,1)),_xlfn.XLOOKUP($C1193,Phone_by_Sentiment!$B$2:$B$37,Phone_by_Sentiment!O$2:O$37,"",0,1),0),$A1193-TEXT(DATEVALUE($D1193&amp;"-01"), "dd-mm-yyyy")),0),0)</f>
        <v>1175</v>
      </c>
      <c r="P1193" s="1">
        <f t="shared" si="49"/>
        <v>44256</v>
      </c>
      <c r="Q1193">
        <f t="shared" si="50"/>
        <v>245</v>
      </c>
    </row>
    <row r="1194" spans="1:17" x14ac:dyDescent="0.25">
      <c r="A1194" s="1">
        <f t="shared" si="48"/>
        <v>44501</v>
      </c>
      <c r="B1194" t="s">
        <v>145</v>
      </c>
      <c r="C1194" t="str">
        <f>_xlfn.XLOOKUP(B1194,Phone_by_Price!$A$2:$A$34,Phone_by_Price!$B$2:$B$34,"-",0,1)</f>
        <v>OPPO A54</v>
      </c>
      <c r="D1194" t="str">
        <f>_xlfn.XLOOKUP(C1194,Phone_by_Sentiment!$B$2:$B$37,Phone_by_Sentiment!$A$2:$A$37,"-",0,1)</f>
        <v>2021-04</v>
      </c>
      <c r="E1194" cm="1">
        <f t="array" ref="E1194">IF($Q1194&gt;=0,IFERROR(generateSalesData($D1194, IF(ISNUMBER(_xlfn.XLOOKUP($C1194,Phone_by_Sentiment!$B$2:$B$37,Phone_by_Sentiment!E$2:E$37,"",0,1)),_xlfn.XLOOKUP($C1194,Phone_by_Sentiment!$B$2:$B$37,Phone_by_Sentiment!E$2:E$37,"",0,1),0),$A1194-TEXT(DATEVALUE($D1194&amp;"-01"), "dd-mm-yyyy")),0),0)</f>
        <v>860</v>
      </c>
      <c r="F1194" cm="1">
        <f t="array" ref="F1194">IF($Q1194&gt;=0,IFERROR(generateSalesData($D1194, IF(ISNUMBER(_xlfn.XLOOKUP($C1194,Phone_by_Sentiment!$B$2:$B$37,Phone_by_Sentiment!F$2:F$37,"",0,1)),_xlfn.XLOOKUP($C1194,Phone_by_Sentiment!$B$2:$B$37,Phone_by_Sentiment!F$2:F$37,"",0,1),0),$A1194-TEXT(DATEVALUE($D1194&amp;"-01"), "dd-mm-yyyy")),0),0)</f>
        <v>31</v>
      </c>
      <c r="G1194" cm="1">
        <f t="array" ref="G1194">IF($Q1194&gt;=0,IFERROR(generateSalesData($D1194, IF(ISNUMBER(_xlfn.XLOOKUP($C1194,Phone_by_Sentiment!$B$2:$B$37,Phone_by_Sentiment!G$2:G$37,"",0,1)),_xlfn.XLOOKUP($C1194,Phone_by_Sentiment!$B$2:$B$37,Phone_by_Sentiment!G$2:G$37,"",0,1),0),$A1194-TEXT(DATEVALUE($D1194&amp;"-01"), "dd-mm-yyyy")),0),0)</f>
        <v>216</v>
      </c>
      <c r="H1194" cm="1">
        <f t="array" ref="H1194">IF($Q1194&gt;=0,IFERROR(generateSalesData($D1194, IF(ISNUMBER(_xlfn.XLOOKUP($C1194,Phone_by_Sentiment!$B$2:$B$37,Phone_by_Sentiment!H$2:H$37,"",0,1)),_xlfn.XLOOKUP($C1194,Phone_by_Sentiment!$B$2:$B$37,Phone_by_Sentiment!H$2:H$37,"",0,1),0),$A1194-TEXT(DATEVALUE($D1194&amp;"-01"), "dd-mm-yyyy")),0),0)</f>
        <v>1580</v>
      </c>
      <c r="I1194" cm="1">
        <f t="array" ref="I1194">IF($Q1194&gt;=0,IFERROR(generateSalesData($D1194, IF(ISNUMBER(_xlfn.XLOOKUP($C1194,Phone_by_Sentiment!$B$2:$B$37,Phone_by_Sentiment!I$2:I$37,"",0,1)),_xlfn.XLOOKUP($C1194,Phone_by_Sentiment!$B$2:$B$37,Phone_by_Sentiment!I$2:I$37,"",0,1),0),$A1194-TEXT(DATEVALUE($D1194&amp;"-01"), "dd-mm-yyyy")),0),0)</f>
        <v>174</v>
      </c>
      <c r="J1194" cm="1">
        <f t="array" ref="J1194">IF($Q1194&gt;=0,IFERROR(generateSalesData($D1194, IF(ISNUMBER(_xlfn.XLOOKUP($C1194,Phone_by_Sentiment!$B$2:$B$37,Phone_by_Sentiment!J$2:J$37,"",0,1)),_xlfn.XLOOKUP($C1194,Phone_by_Sentiment!$B$2:$B$37,Phone_by_Sentiment!J$2:J$37,"",0,1),0),$A1194-TEXT(DATEVALUE($D1194&amp;"-01"), "dd-mm-yyyy")),0),0)</f>
        <v>431</v>
      </c>
      <c r="K1194" cm="1">
        <f t="array" ref="K1194">IF($Q1194&gt;=0,IFERROR(generateSalesData($D1194, IF(ISNUMBER(_xlfn.XLOOKUP($C1194,Phone_by_Sentiment!$B$2:$B$37,Phone_by_Sentiment!K$2:K$37,"",0,1)),_xlfn.XLOOKUP($C1194,Phone_by_Sentiment!$B$2:$B$37,Phone_by_Sentiment!K$2:K$37,"",0,1),0),$A1194-TEXT(DATEVALUE($D1194&amp;"-01"), "dd-mm-yyyy")),0),0)</f>
        <v>289</v>
      </c>
      <c r="L1194" cm="1">
        <f t="array" ref="L1194">IF($Q1194&gt;=0,IFERROR(generateSalesData($D1194, IF(ISNUMBER(_xlfn.XLOOKUP($C1194,Phone_by_Sentiment!$B$2:$B$37,Phone_by_Sentiment!L$2:L$37,"",0,1)),_xlfn.XLOOKUP($C1194,Phone_by_Sentiment!$B$2:$B$37,Phone_by_Sentiment!L$2:L$37,"",0,1),0),$A1194-TEXT(DATEVALUE($D1194&amp;"-01"), "dd-mm-yyyy")),0),0)</f>
        <v>1138</v>
      </c>
      <c r="M1194" cm="1">
        <f t="array" ref="M1194">IF($Q1194&gt;=0,IFERROR(generateSalesData($D1194, IF(ISNUMBER(_xlfn.XLOOKUP($C1194,Phone_by_Sentiment!$B$2:$B$37,Phone_by_Sentiment!M$2:M$37,"",0,1)),_xlfn.XLOOKUP($C1194,Phone_by_Sentiment!$B$2:$B$37,Phone_by_Sentiment!M$2:M$37,"",0,1),0),$A1194-TEXT(DATEVALUE($D1194&amp;"-01"), "dd-mm-yyyy")),0),0)</f>
        <v>551</v>
      </c>
      <c r="N1194" cm="1">
        <f t="array" ref="N1194">IF($Q1194&gt;=0,IFERROR(generateSalesData($D1194, IF(ISNUMBER(_xlfn.XLOOKUP($C1194,Phone_by_Sentiment!$B$2:$B$37,Phone_by_Sentiment!N$2:N$37,"",0,1)),_xlfn.XLOOKUP($C1194,Phone_by_Sentiment!$B$2:$B$37,Phone_by_Sentiment!N$2:N$37,"",0,1),0),$A1194-TEXT(DATEVALUE($D1194&amp;"-01"), "dd-mm-yyyy")),0),0)</f>
        <v>667</v>
      </c>
      <c r="O1194" cm="1">
        <f t="array" ref="O1194">IF($Q1194&gt;=0,IFERROR(generateSalesData($D1194, IF(ISNUMBER(_xlfn.XLOOKUP($C1194,Phone_by_Sentiment!$B$2:$B$37,Phone_by_Sentiment!O$2:O$37,"",0,1)),_xlfn.XLOOKUP($C1194,Phone_by_Sentiment!$B$2:$B$37,Phone_by_Sentiment!O$2:O$37,"",0,1),0),$A1194-TEXT(DATEVALUE($D1194&amp;"-01"), "dd-mm-yyyy")),0),0)</f>
        <v>-8</v>
      </c>
      <c r="P1194" s="1">
        <f t="shared" si="49"/>
        <v>44287</v>
      </c>
      <c r="Q1194">
        <f t="shared" si="50"/>
        <v>214</v>
      </c>
    </row>
    <row r="1195" spans="1:17" x14ac:dyDescent="0.25">
      <c r="A1195" s="1">
        <f t="shared" si="48"/>
        <v>44501</v>
      </c>
      <c r="B1195" t="s">
        <v>146</v>
      </c>
      <c r="C1195" t="str">
        <f>_xlfn.XLOOKUP(B1195,Phone_by_Price!$A$2:$A$34,Phone_by_Price!$B$2:$B$34,"-",0,1)</f>
        <v>Vivo Y20</v>
      </c>
      <c r="D1195" t="str">
        <f>_xlfn.XLOOKUP(C1195,Phone_by_Sentiment!$B$2:$B$37,Phone_by_Sentiment!$A$2:$A$37,"-",0,1)</f>
        <v>2020-09</v>
      </c>
      <c r="E1195" cm="1">
        <f t="array" ref="E1195">IF($Q1195&gt;=0,IFERROR(generateSalesData($D1195, IF(ISNUMBER(_xlfn.XLOOKUP($C1195,Phone_by_Sentiment!$B$2:$B$37,Phone_by_Sentiment!E$2:E$37,"",0,1)),_xlfn.XLOOKUP($C1195,Phone_by_Sentiment!$B$2:$B$37,Phone_by_Sentiment!E$2:E$37,"",0,1),0),$A1195-TEXT(DATEVALUE($D1195&amp;"-01"), "dd-mm-yyyy")),0),0)</f>
        <v>835</v>
      </c>
      <c r="F1195" cm="1">
        <f t="array" ref="F1195">IF($Q1195&gt;=0,IFERROR(generateSalesData($D1195, IF(ISNUMBER(_xlfn.XLOOKUP($C1195,Phone_by_Sentiment!$B$2:$B$37,Phone_by_Sentiment!F$2:F$37,"",0,1)),_xlfn.XLOOKUP($C1195,Phone_by_Sentiment!$B$2:$B$37,Phone_by_Sentiment!F$2:F$37,"",0,1),0),$A1195-TEXT(DATEVALUE($D1195&amp;"-01"), "dd-mm-yyyy")),0),0)</f>
        <v>1013</v>
      </c>
      <c r="G1195" cm="1">
        <f t="array" ref="G1195">IF($Q1195&gt;=0,IFERROR(generateSalesData($D1195, IF(ISNUMBER(_xlfn.XLOOKUP($C1195,Phone_by_Sentiment!$B$2:$B$37,Phone_by_Sentiment!G$2:G$37,"",0,1)),_xlfn.XLOOKUP($C1195,Phone_by_Sentiment!$B$2:$B$37,Phone_by_Sentiment!G$2:G$37,"",0,1),0),$A1195-TEXT(DATEVALUE($D1195&amp;"-01"), "dd-mm-yyyy")),0),0)</f>
        <v>173</v>
      </c>
      <c r="H1195" cm="1">
        <f t="array" ref="H1195">IF($Q1195&gt;=0,IFERROR(generateSalesData($D1195, IF(ISNUMBER(_xlfn.XLOOKUP($C1195,Phone_by_Sentiment!$B$2:$B$37,Phone_by_Sentiment!H$2:H$37,"",0,1)),_xlfn.XLOOKUP($C1195,Phone_by_Sentiment!$B$2:$B$37,Phone_by_Sentiment!H$2:H$37,"",0,1),0),$A1195-TEXT(DATEVALUE($D1195&amp;"-01"), "dd-mm-yyyy")),0),0)</f>
        <v>148</v>
      </c>
      <c r="I1195" cm="1">
        <f t="array" ref="I1195">IF($Q1195&gt;=0,IFERROR(generateSalesData($D1195, IF(ISNUMBER(_xlfn.XLOOKUP($C1195,Phone_by_Sentiment!$B$2:$B$37,Phone_by_Sentiment!I$2:I$37,"",0,1)),_xlfn.XLOOKUP($C1195,Phone_by_Sentiment!$B$2:$B$37,Phone_by_Sentiment!I$2:I$37,"",0,1),0),$A1195-TEXT(DATEVALUE($D1195&amp;"-01"), "dd-mm-yyyy")),0),0)</f>
        <v>120</v>
      </c>
      <c r="J1195" cm="1">
        <f t="array" ref="J1195">IF($Q1195&gt;=0,IFERROR(generateSalesData($D1195, IF(ISNUMBER(_xlfn.XLOOKUP($C1195,Phone_by_Sentiment!$B$2:$B$37,Phone_by_Sentiment!J$2:J$37,"",0,1)),_xlfn.XLOOKUP($C1195,Phone_by_Sentiment!$B$2:$B$37,Phone_by_Sentiment!J$2:J$37,"",0,1),0),$A1195-TEXT(DATEVALUE($D1195&amp;"-01"), "dd-mm-yyyy")),0),0)</f>
        <v>268</v>
      </c>
      <c r="K1195" cm="1">
        <f t="array" ref="K1195">IF($Q1195&gt;=0,IFERROR(generateSalesData($D1195, IF(ISNUMBER(_xlfn.XLOOKUP($C1195,Phone_by_Sentiment!$B$2:$B$37,Phone_by_Sentiment!K$2:K$37,"",0,1)),_xlfn.XLOOKUP($C1195,Phone_by_Sentiment!$B$2:$B$37,Phone_by_Sentiment!K$2:K$37,"",0,1),0),$A1195-TEXT(DATEVALUE($D1195&amp;"-01"), "dd-mm-yyyy")),0),0)</f>
        <v>261</v>
      </c>
      <c r="L1195" cm="1">
        <f t="array" ref="L1195">IF($Q1195&gt;=0,IFERROR(generateSalesData($D1195, IF(ISNUMBER(_xlfn.XLOOKUP($C1195,Phone_by_Sentiment!$B$2:$B$37,Phone_by_Sentiment!L$2:L$37,"",0,1)),_xlfn.XLOOKUP($C1195,Phone_by_Sentiment!$B$2:$B$37,Phone_by_Sentiment!L$2:L$37,"",0,1),0),$A1195-TEXT(DATEVALUE($D1195&amp;"-01"), "dd-mm-yyyy")),0),0)</f>
        <v>483</v>
      </c>
      <c r="M1195" cm="1">
        <f t="array" ref="M1195">IF($Q1195&gt;=0,IFERROR(generateSalesData($D1195, IF(ISNUMBER(_xlfn.XLOOKUP($C1195,Phone_by_Sentiment!$B$2:$B$37,Phone_by_Sentiment!M$2:M$37,"",0,1)),_xlfn.XLOOKUP($C1195,Phone_by_Sentiment!$B$2:$B$37,Phone_by_Sentiment!M$2:M$37,"",0,1),0),$A1195-TEXT(DATEVALUE($D1195&amp;"-01"), "dd-mm-yyyy")),0),0)</f>
        <v>103</v>
      </c>
      <c r="N1195" cm="1">
        <f t="array" ref="N1195">IF($Q1195&gt;=0,IFERROR(generateSalesData($D1195, IF(ISNUMBER(_xlfn.XLOOKUP($C1195,Phone_by_Sentiment!$B$2:$B$37,Phone_by_Sentiment!N$2:N$37,"",0,1)),_xlfn.XLOOKUP($C1195,Phone_by_Sentiment!$B$2:$B$37,Phone_by_Sentiment!N$2:N$37,"",0,1),0),$A1195-TEXT(DATEVALUE($D1195&amp;"-01"), "dd-mm-yyyy")),0),0)</f>
        <v>104</v>
      </c>
      <c r="O1195" cm="1">
        <f t="array" ref="O1195">IF($Q1195&gt;=0,IFERROR(generateSalesData($D1195, IF(ISNUMBER(_xlfn.XLOOKUP($C1195,Phone_by_Sentiment!$B$2:$B$37,Phone_by_Sentiment!O$2:O$37,"",0,1)),_xlfn.XLOOKUP($C1195,Phone_by_Sentiment!$B$2:$B$37,Phone_by_Sentiment!O$2:O$37,"",0,1),0),$A1195-TEXT(DATEVALUE($D1195&amp;"-01"), "dd-mm-yyyy")),0),0)</f>
        <v>156</v>
      </c>
      <c r="P1195" s="1">
        <f t="shared" si="49"/>
        <v>44075</v>
      </c>
      <c r="Q1195">
        <f t="shared" si="50"/>
        <v>426</v>
      </c>
    </row>
    <row r="1196" spans="1:17" x14ac:dyDescent="0.25">
      <c r="A1196" s="1">
        <f t="shared" si="48"/>
        <v>44501</v>
      </c>
      <c r="B1196" t="s">
        <v>147</v>
      </c>
      <c r="C1196" t="str">
        <f>_xlfn.XLOOKUP(B1196,Phone_by_Price!$A$2:$A$34,Phone_by_Price!$B$2:$B$34,"-",0,1)</f>
        <v>Huawei Y9a</v>
      </c>
      <c r="D1196" t="str">
        <f>_xlfn.XLOOKUP(C1196,Phone_by_Sentiment!$B$2:$B$37,Phone_by_Sentiment!$A$2:$A$37,"-",0,1)</f>
        <v>2020-02</v>
      </c>
      <c r="E1196" cm="1">
        <f t="array" ref="E1196">IF($Q1196&gt;=0,IFERROR(generateSalesData($D1196, IF(ISNUMBER(_xlfn.XLOOKUP($C1196,Phone_by_Sentiment!$B$2:$B$37,Phone_by_Sentiment!E$2:E$37,"",0,1)),_xlfn.XLOOKUP($C1196,Phone_by_Sentiment!$B$2:$B$37,Phone_by_Sentiment!E$2:E$37,"",0,1),0),$A1196-TEXT(DATEVALUE($D1196&amp;"-01"), "dd-mm-yyyy")),0),0)</f>
        <v>283</v>
      </c>
      <c r="F1196" cm="1">
        <f t="array" ref="F1196">IF($Q1196&gt;=0,IFERROR(generateSalesData($D1196, IF(ISNUMBER(_xlfn.XLOOKUP($C1196,Phone_by_Sentiment!$B$2:$B$37,Phone_by_Sentiment!F$2:F$37,"",0,1)),_xlfn.XLOOKUP($C1196,Phone_by_Sentiment!$B$2:$B$37,Phone_by_Sentiment!F$2:F$37,"",0,1),0),$A1196-TEXT(DATEVALUE($D1196&amp;"-01"), "dd-mm-yyyy")),0),0)</f>
        <v>501</v>
      </c>
      <c r="G1196" cm="1">
        <f t="array" ref="G1196">IF($Q1196&gt;=0,IFERROR(generateSalesData($D1196, IF(ISNUMBER(_xlfn.XLOOKUP($C1196,Phone_by_Sentiment!$B$2:$B$37,Phone_by_Sentiment!G$2:G$37,"",0,1)),_xlfn.XLOOKUP($C1196,Phone_by_Sentiment!$B$2:$B$37,Phone_by_Sentiment!G$2:G$37,"",0,1),0),$A1196-TEXT(DATEVALUE($D1196&amp;"-01"), "dd-mm-yyyy")),0),0)</f>
        <v>96</v>
      </c>
      <c r="H1196" cm="1">
        <f t="array" ref="H1196">IF($Q1196&gt;=0,IFERROR(generateSalesData($D1196, IF(ISNUMBER(_xlfn.XLOOKUP($C1196,Phone_by_Sentiment!$B$2:$B$37,Phone_by_Sentiment!H$2:H$37,"",0,1)),_xlfn.XLOOKUP($C1196,Phone_by_Sentiment!$B$2:$B$37,Phone_by_Sentiment!H$2:H$37,"",0,1),0),$A1196-TEXT(DATEVALUE($D1196&amp;"-01"), "dd-mm-yyyy")),0),0)</f>
        <v>87</v>
      </c>
      <c r="I1196" cm="1">
        <f t="array" ref="I1196">IF($Q1196&gt;=0,IFERROR(generateSalesData($D1196, IF(ISNUMBER(_xlfn.XLOOKUP($C1196,Phone_by_Sentiment!$B$2:$B$37,Phone_by_Sentiment!I$2:I$37,"",0,1)),_xlfn.XLOOKUP($C1196,Phone_by_Sentiment!$B$2:$B$37,Phone_by_Sentiment!I$2:I$37,"",0,1),0),$A1196-TEXT(DATEVALUE($D1196&amp;"-01"), "dd-mm-yyyy")),0),0)</f>
        <v>75</v>
      </c>
      <c r="J1196" cm="1">
        <f t="array" ref="J1196">IF($Q1196&gt;=0,IFERROR(generateSalesData($D1196, IF(ISNUMBER(_xlfn.XLOOKUP($C1196,Phone_by_Sentiment!$B$2:$B$37,Phone_by_Sentiment!J$2:J$37,"",0,1)),_xlfn.XLOOKUP($C1196,Phone_by_Sentiment!$B$2:$B$37,Phone_by_Sentiment!J$2:J$37,"",0,1),0),$A1196-TEXT(DATEVALUE($D1196&amp;"-01"), "dd-mm-yyyy")),0),0)</f>
        <v>76</v>
      </c>
      <c r="K1196" cm="1">
        <f t="array" ref="K1196">IF($Q1196&gt;=0,IFERROR(generateSalesData($D1196, IF(ISNUMBER(_xlfn.XLOOKUP($C1196,Phone_by_Sentiment!$B$2:$B$37,Phone_by_Sentiment!K$2:K$37,"",0,1)),_xlfn.XLOOKUP($C1196,Phone_by_Sentiment!$B$2:$B$37,Phone_by_Sentiment!K$2:K$37,"",0,1),0),$A1196-TEXT(DATEVALUE($D1196&amp;"-01"), "dd-mm-yyyy")),0),0)</f>
        <v>46</v>
      </c>
      <c r="L1196" cm="1">
        <f t="array" ref="L1196">IF($Q1196&gt;=0,IFERROR(generateSalesData($D1196, IF(ISNUMBER(_xlfn.XLOOKUP($C1196,Phone_by_Sentiment!$B$2:$B$37,Phone_by_Sentiment!L$2:L$37,"",0,1)),_xlfn.XLOOKUP($C1196,Phone_by_Sentiment!$B$2:$B$37,Phone_by_Sentiment!L$2:L$37,"",0,1),0),$A1196-TEXT(DATEVALUE($D1196&amp;"-01"), "dd-mm-yyyy")),0),0)</f>
        <v>108</v>
      </c>
      <c r="M1196" cm="1">
        <f t="array" ref="M1196">IF($Q1196&gt;=0,IFERROR(generateSalesData($D1196, IF(ISNUMBER(_xlfn.XLOOKUP($C1196,Phone_by_Sentiment!$B$2:$B$37,Phone_by_Sentiment!M$2:M$37,"",0,1)),_xlfn.XLOOKUP($C1196,Phone_by_Sentiment!$B$2:$B$37,Phone_by_Sentiment!M$2:M$37,"",0,1),0),$A1196-TEXT(DATEVALUE($D1196&amp;"-01"), "dd-mm-yyyy")),0),0)</f>
        <v>30</v>
      </c>
      <c r="N1196" cm="1">
        <f t="array" ref="N1196">IF($Q1196&gt;=0,IFERROR(generateSalesData($D1196, IF(ISNUMBER(_xlfn.XLOOKUP($C1196,Phone_by_Sentiment!$B$2:$B$37,Phone_by_Sentiment!N$2:N$37,"",0,1)),_xlfn.XLOOKUP($C1196,Phone_by_Sentiment!$B$2:$B$37,Phone_by_Sentiment!N$2:N$37,"",0,1),0),$A1196-TEXT(DATEVALUE($D1196&amp;"-01"), "dd-mm-yyyy")),0),0)</f>
        <v>70</v>
      </c>
      <c r="O1196" cm="1">
        <f t="array" ref="O1196">IF($Q1196&gt;=0,IFERROR(generateSalesData($D1196, IF(ISNUMBER(_xlfn.XLOOKUP($C1196,Phone_by_Sentiment!$B$2:$B$37,Phone_by_Sentiment!O$2:O$37,"",0,1)),_xlfn.XLOOKUP($C1196,Phone_by_Sentiment!$B$2:$B$37,Phone_by_Sentiment!O$2:O$37,"",0,1),0),$A1196-TEXT(DATEVALUE($D1196&amp;"-01"), "dd-mm-yyyy")),0),0)</f>
        <v>156</v>
      </c>
      <c r="P1196" s="1">
        <f t="shared" si="49"/>
        <v>43862</v>
      </c>
      <c r="Q1196">
        <f t="shared" si="50"/>
        <v>639</v>
      </c>
    </row>
    <row r="1197" spans="1:17" x14ac:dyDescent="0.25">
      <c r="A1197" s="1">
        <f t="shared" si="48"/>
        <v>44501</v>
      </c>
      <c r="B1197" t="s">
        <v>148</v>
      </c>
      <c r="C1197" t="str">
        <f>_xlfn.XLOOKUP(B1197,Phone_by_Price!$A$2:$A$34,Phone_by_Price!$B$2:$B$34,"-",0,1)</f>
        <v>Xiaomi Redmi 10</v>
      </c>
      <c r="D1197" t="str">
        <f>_xlfn.XLOOKUP(C1197,Phone_by_Sentiment!$B$2:$B$37,Phone_by_Sentiment!$A$2:$A$37,"-",0,1)</f>
        <v>2021-03</v>
      </c>
      <c r="E1197" cm="1">
        <f t="array" ref="E1197">IF($Q1197&gt;=0,IFERROR(generateSalesData($D1197, IF(ISNUMBER(_xlfn.XLOOKUP($C1197,Phone_by_Sentiment!$B$2:$B$37,Phone_by_Sentiment!E$2:E$37,"",0,1)),_xlfn.XLOOKUP($C1197,Phone_by_Sentiment!$B$2:$B$37,Phone_by_Sentiment!E$2:E$37,"",0,1),0),$A1197-TEXT(DATEVALUE($D1197&amp;"-01"), "dd-mm-yyyy")),0),0)</f>
        <v>1034</v>
      </c>
      <c r="F1197" cm="1">
        <f t="array" ref="F1197">IF($Q1197&gt;=0,IFERROR(generateSalesData($D1197, IF(ISNUMBER(_xlfn.XLOOKUP($C1197,Phone_by_Sentiment!$B$2:$B$37,Phone_by_Sentiment!F$2:F$37,"",0,1)),_xlfn.XLOOKUP($C1197,Phone_by_Sentiment!$B$2:$B$37,Phone_by_Sentiment!F$2:F$37,"",0,1),0),$A1197-TEXT(DATEVALUE($D1197&amp;"-01"), "dd-mm-yyyy")),0),0)</f>
        <v>1167</v>
      </c>
      <c r="G1197" cm="1">
        <f t="array" ref="G1197">IF($Q1197&gt;=0,IFERROR(generateSalesData($D1197, IF(ISNUMBER(_xlfn.XLOOKUP($C1197,Phone_by_Sentiment!$B$2:$B$37,Phone_by_Sentiment!G$2:G$37,"",0,1)),_xlfn.XLOOKUP($C1197,Phone_by_Sentiment!$B$2:$B$37,Phone_by_Sentiment!G$2:G$37,"",0,1),0),$A1197-TEXT(DATEVALUE($D1197&amp;"-01"), "dd-mm-yyyy")),0),0)</f>
        <v>206</v>
      </c>
      <c r="H1197" cm="1">
        <f t="array" ref="H1197">IF($Q1197&gt;=0,IFERROR(generateSalesData($D1197, IF(ISNUMBER(_xlfn.XLOOKUP($C1197,Phone_by_Sentiment!$B$2:$B$37,Phone_by_Sentiment!H$2:H$37,"",0,1)),_xlfn.XLOOKUP($C1197,Phone_by_Sentiment!$B$2:$B$37,Phone_by_Sentiment!H$2:H$37,"",0,1),0),$A1197-TEXT(DATEVALUE($D1197&amp;"-01"), "dd-mm-yyyy")),0),0)</f>
        <v>652</v>
      </c>
      <c r="I1197" cm="1">
        <f t="array" ref="I1197">IF($Q1197&gt;=0,IFERROR(generateSalesData($D1197, IF(ISNUMBER(_xlfn.XLOOKUP($C1197,Phone_by_Sentiment!$B$2:$B$37,Phone_by_Sentiment!I$2:I$37,"",0,1)),_xlfn.XLOOKUP($C1197,Phone_by_Sentiment!$B$2:$B$37,Phone_by_Sentiment!I$2:I$37,"",0,1),0),$A1197-TEXT(DATEVALUE($D1197&amp;"-01"), "dd-mm-yyyy")),0),0)</f>
        <v>13</v>
      </c>
      <c r="J1197" cm="1">
        <f t="array" ref="J1197">IF($Q1197&gt;=0,IFERROR(generateSalesData($D1197, IF(ISNUMBER(_xlfn.XLOOKUP($C1197,Phone_by_Sentiment!$B$2:$B$37,Phone_by_Sentiment!J$2:J$37,"",0,1)),_xlfn.XLOOKUP($C1197,Phone_by_Sentiment!$B$2:$B$37,Phone_by_Sentiment!J$2:J$37,"",0,1),0),$A1197-TEXT(DATEVALUE($D1197&amp;"-01"), "dd-mm-yyyy")),0),0)</f>
        <v>0</v>
      </c>
      <c r="K1197" cm="1">
        <f t="array" ref="K1197">IF($Q1197&gt;=0,IFERROR(generateSalesData($D1197, IF(ISNUMBER(_xlfn.XLOOKUP($C1197,Phone_by_Sentiment!$B$2:$B$37,Phone_by_Sentiment!K$2:K$37,"",0,1)),_xlfn.XLOOKUP($C1197,Phone_by_Sentiment!$B$2:$B$37,Phone_by_Sentiment!K$2:K$37,"",0,1),0),$A1197-TEXT(DATEVALUE($D1197&amp;"-01"), "dd-mm-yyyy")),0),0)</f>
        <v>727</v>
      </c>
      <c r="L1197" cm="1">
        <f t="array" ref="L1197">IF($Q1197&gt;=0,IFERROR(generateSalesData($D1197, IF(ISNUMBER(_xlfn.XLOOKUP($C1197,Phone_by_Sentiment!$B$2:$B$37,Phone_by_Sentiment!L$2:L$37,"",0,1)),_xlfn.XLOOKUP($C1197,Phone_by_Sentiment!$B$2:$B$37,Phone_by_Sentiment!L$2:L$37,"",0,1),0),$A1197-TEXT(DATEVALUE($D1197&amp;"-01"), "dd-mm-yyyy")),0),0)</f>
        <v>260</v>
      </c>
      <c r="M1197" cm="1">
        <f t="array" ref="M1197">IF($Q1197&gt;=0,IFERROR(generateSalesData($D1197, IF(ISNUMBER(_xlfn.XLOOKUP($C1197,Phone_by_Sentiment!$B$2:$B$37,Phone_by_Sentiment!M$2:M$37,"",0,1)),_xlfn.XLOOKUP($C1197,Phone_by_Sentiment!$B$2:$B$37,Phone_by_Sentiment!M$2:M$37,"",0,1),0),$A1197-TEXT(DATEVALUE($D1197&amp;"-01"), "dd-mm-yyyy")),0),0)</f>
        <v>256</v>
      </c>
      <c r="N1197" cm="1">
        <f t="array" ref="N1197">IF($Q1197&gt;=0,IFERROR(generateSalesData($D1197, IF(ISNUMBER(_xlfn.XLOOKUP($C1197,Phone_by_Sentiment!$B$2:$B$37,Phone_by_Sentiment!N$2:N$37,"",0,1)),_xlfn.XLOOKUP($C1197,Phone_by_Sentiment!$B$2:$B$37,Phone_by_Sentiment!N$2:N$37,"",0,1),0),$A1197-TEXT(DATEVALUE($D1197&amp;"-01"), "dd-mm-yyyy")),0),0)</f>
        <v>1147</v>
      </c>
      <c r="O1197" cm="1">
        <f t="array" ref="O1197">IF($Q1197&gt;=0,IFERROR(generateSalesData($D1197, IF(ISNUMBER(_xlfn.XLOOKUP($C1197,Phone_by_Sentiment!$B$2:$B$37,Phone_by_Sentiment!O$2:O$37,"",0,1)),_xlfn.XLOOKUP($C1197,Phone_by_Sentiment!$B$2:$B$37,Phone_by_Sentiment!O$2:O$37,"",0,1),0),$A1197-TEXT(DATEVALUE($D1197&amp;"-01"), "dd-mm-yyyy")),0),0)</f>
        <v>454</v>
      </c>
      <c r="P1197" s="1">
        <f t="shared" si="49"/>
        <v>44256</v>
      </c>
      <c r="Q1197">
        <f t="shared" si="50"/>
        <v>245</v>
      </c>
    </row>
    <row r="1198" spans="1:17" x14ac:dyDescent="0.25">
      <c r="A1198" s="1">
        <f t="shared" si="48"/>
        <v>44501</v>
      </c>
      <c r="B1198" t="s">
        <v>149</v>
      </c>
      <c r="C1198" t="str">
        <f>_xlfn.XLOOKUP(B1198,Phone_by_Price!$A$2:$A$34,Phone_by_Price!$B$2:$B$34,"-",0,1)</f>
        <v>Samsung Galaxy A52</v>
      </c>
      <c r="D1198" t="str">
        <f>_xlfn.XLOOKUP(C1198,Phone_by_Sentiment!$B$2:$B$37,Phone_by_Sentiment!$A$2:$A$37,"-",0,1)</f>
        <v>2021-03</v>
      </c>
      <c r="E1198" cm="1">
        <f t="array" ref="E1198">IF($Q1198&gt;=0,IFERROR(generateSalesData($D1198, IF(ISNUMBER(_xlfn.XLOOKUP($C1198,Phone_by_Sentiment!$B$2:$B$37,Phone_by_Sentiment!E$2:E$37,"",0,1)),_xlfn.XLOOKUP($C1198,Phone_by_Sentiment!$B$2:$B$37,Phone_by_Sentiment!E$2:E$37,"",0,1),0),$A1198-TEXT(DATEVALUE($D1198&amp;"-01"), "dd-mm-yyyy")),0),0)</f>
        <v>529</v>
      </c>
      <c r="F1198" cm="1">
        <f t="array" ref="F1198">IF($Q1198&gt;=0,IFERROR(generateSalesData($D1198, IF(ISNUMBER(_xlfn.XLOOKUP($C1198,Phone_by_Sentiment!$B$2:$B$37,Phone_by_Sentiment!F$2:F$37,"",0,1)),_xlfn.XLOOKUP($C1198,Phone_by_Sentiment!$B$2:$B$37,Phone_by_Sentiment!F$2:F$37,"",0,1),0),$A1198-TEXT(DATEVALUE($D1198&amp;"-01"), "dd-mm-yyyy")),0),0)</f>
        <v>1238</v>
      </c>
      <c r="G1198" cm="1">
        <f t="array" ref="G1198">IF($Q1198&gt;=0,IFERROR(generateSalesData($D1198, IF(ISNUMBER(_xlfn.XLOOKUP($C1198,Phone_by_Sentiment!$B$2:$B$37,Phone_by_Sentiment!G$2:G$37,"",0,1)),_xlfn.XLOOKUP($C1198,Phone_by_Sentiment!$B$2:$B$37,Phone_by_Sentiment!G$2:G$37,"",0,1),0),$A1198-TEXT(DATEVALUE($D1198&amp;"-01"), "dd-mm-yyyy")),0),0)</f>
        <v>138</v>
      </c>
      <c r="H1198" cm="1">
        <f t="array" ref="H1198">IF($Q1198&gt;=0,IFERROR(generateSalesData($D1198, IF(ISNUMBER(_xlfn.XLOOKUP($C1198,Phone_by_Sentiment!$B$2:$B$37,Phone_by_Sentiment!H$2:H$37,"",0,1)),_xlfn.XLOOKUP($C1198,Phone_by_Sentiment!$B$2:$B$37,Phone_by_Sentiment!H$2:H$37,"",0,1),0),$A1198-TEXT(DATEVALUE($D1198&amp;"-01"), "dd-mm-yyyy")),0),0)</f>
        <v>600</v>
      </c>
      <c r="I1198" cm="1">
        <f t="array" ref="I1198">IF($Q1198&gt;=0,IFERROR(generateSalesData($D1198, IF(ISNUMBER(_xlfn.XLOOKUP($C1198,Phone_by_Sentiment!$B$2:$B$37,Phone_by_Sentiment!I$2:I$37,"",0,1)),_xlfn.XLOOKUP($C1198,Phone_by_Sentiment!$B$2:$B$37,Phone_by_Sentiment!I$2:I$37,"",0,1),0),$A1198-TEXT(DATEVALUE($D1198&amp;"-01"), "dd-mm-yyyy")),0),0)</f>
        <v>1716</v>
      </c>
      <c r="J1198" cm="1">
        <f t="array" ref="J1198">IF($Q1198&gt;=0,IFERROR(generateSalesData($D1198, IF(ISNUMBER(_xlfn.XLOOKUP($C1198,Phone_by_Sentiment!$B$2:$B$37,Phone_by_Sentiment!J$2:J$37,"",0,1)),_xlfn.XLOOKUP($C1198,Phone_by_Sentiment!$B$2:$B$37,Phone_by_Sentiment!J$2:J$37,"",0,1),0),$A1198-TEXT(DATEVALUE($D1198&amp;"-01"), "dd-mm-yyyy")),0),0)</f>
        <v>569</v>
      </c>
      <c r="K1198" cm="1">
        <f t="array" ref="K1198">IF($Q1198&gt;=0,IFERROR(generateSalesData($D1198, IF(ISNUMBER(_xlfn.XLOOKUP($C1198,Phone_by_Sentiment!$B$2:$B$37,Phone_by_Sentiment!K$2:K$37,"",0,1)),_xlfn.XLOOKUP($C1198,Phone_by_Sentiment!$B$2:$B$37,Phone_by_Sentiment!K$2:K$37,"",0,1),0),$A1198-TEXT(DATEVALUE($D1198&amp;"-01"), "dd-mm-yyyy")),0),0)</f>
        <v>1577</v>
      </c>
      <c r="L1198" cm="1">
        <f t="array" ref="L1198">IF($Q1198&gt;=0,IFERROR(generateSalesData($D1198, IF(ISNUMBER(_xlfn.XLOOKUP($C1198,Phone_by_Sentiment!$B$2:$B$37,Phone_by_Sentiment!L$2:L$37,"",0,1)),_xlfn.XLOOKUP($C1198,Phone_by_Sentiment!$B$2:$B$37,Phone_by_Sentiment!L$2:L$37,"",0,1),0),$A1198-TEXT(DATEVALUE($D1198&amp;"-01"), "dd-mm-yyyy")),0),0)</f>
        <v>234</v>
      </c>
      <c r="M1198" cm="1">
        <f t="array" ref="M1198">IF($Q1198&gt;=0,IFERROR(generateSalesData($D1198, IF(ISNUMBER(_xlfn.XLOOKUP($C1198,Phone_by_Sentiment!$B$2:$B$37,Phone_by_Sentiment!M$2:M$37,"",0,1)),_xlfn.XLOOKUP($C1198,Phone_by_Sentiment!$B$2:$B$37,Phone_by_Sentiment!M$2:M$37,"",0,1),0),$A1198-TEXT(DATEVALUE($D1198&amp;"-01"), "dd-mm-yyyy")),0),0)</f>
        <v>716</v>
      </c>
      <c r="N1198" cm="1">
        <f t="array" ref="N1198">IF($Q1198&gt;=0,IFERROR(generateSalesData($D1198, IF(ISNUMBER(_xlfn.XLOOKUP($C1198,Phone_by_Sentiment!$B$2:$B$37,Phone_by_Sentiment!N$2:N$37,"",0,1)),_xlfn.XLOOKUP($C1198,Phone_by_Sentiment!$B$2:$B$37,Phone_by_Sentiment!N$2:N$37,"",0,1),0),$A1198-TEXT(DATEVALUE($D1198&amp;"-01"), "dd-mm-yyyy")),0),0)</f>
        <v>404</v>
      </c>
      <c r="O1198" cm="1">
        <f t="array" ref="O1198">IF($Q1198&gt;=0,IFERROR(generateSalesData($D1198, IF(ISNUMBER(_xlfn.XLOOKUP($C1198,Phone_by_Sentiment!$B$2:$B$37,Phone_by_Sentiment!O$2:O$37,"",0,1)),_xlfn.XLOOKUP($C1198,Phone_by_Sentiment!$B$2:$B$37,Phone_by_Sentiment!O$2:O$37,"",0,1),0),$A1198-TEXT(DATEVALUE($D1198&amp;"-01"), "dd-mm-yyyy")),0),0)</f>
        <v>993</v>
      </c>
      <c r="P1198" s="1">
        <f t="shared" si="49"/>
        <v>44256</v>
      </c>
      <c r="Q1198">
        <f t="shared" si="50"/>
        <v>245</v>
      </c>
    </row>
    <row r="1199" spans="1:17" x14ac:dyDescent="0.25">
      <c r="A1199" s="1">
        <f t="shared" si="48"/>
        <v>44501</v>
      </c>
      <c r="B1199" t="s">
        <v>150</v>
      </c>
      <c r="C1199" t="str">
        <f>_xlfn.XLOOKUP(B1199,Phone_by_Price!$A$2:$A$34,Phone_by_Price!$B$2:$B$34,"-",0,1)</f>
        <v>Vivo Y33s</v>
      </c>
      <c r="D1199" t="str">
        <f>_xlfn.XLOOKUP(C1199,Phone_by_Sentiment!$B$2:$B$37,Phone_by_Sentiment!$A$2:$A$37,"-",0,1)</f>
        <v>2021-05</v>
      </c>
      <c r="E1199" cm="1">
        <f t="array" ref="E1199">IF($Q1199&gt;=0,IFERROR(generateSalesData($D1199, IF(ISNUMBER(_xlfn.XLOOKUP($C1199,Phone_by_Sentiment!$B$2:$B$37,Phone_by_Sentiment!E$2:E$37,"",0,1)),_xlfn.XLOOKUP($C1199,Phone_by_Sentiment!$B$2:$B$37,Phone_by_Sentiment!E$2:E$37,"",0,1),0),$A1199-TEXT(DATEVALUE($D1199&amp;"-01"), "dd-mm-yyyy")),0),0)</f>
        <v>930</v>
      </c>
      <c r="F1199" cm="1">
        <f t="array" ref="F1199">IF($Q1199&gt;=0,IFERROR(generateSalesData($D1199, IF(ISNUMBER(_xlfn.XLOOKUP($C1199,Phone_by_Sentiment!$B$2:$B$37,Phone_by_Sentiment!F$2:F$37,"",0,1)),_xlfn.XLOOKUP($C1199,Phone_by_Sentiment!$B$2:$B$37,Phone_by_Sentiment!F$2:F$37,"",0,1),0),$A1199-TEXT(DATEVALUE($D1199&amp;"-01"), "dd-mm-yyyy")),0),0)</f>
        <v>360</v>
      </c>
      <c r="G1199" cm="1">
        <f t="array" ref="G1199">IF($Q1199&gt;=0,IFERROR(generateSalesData($D1199, IF(ISNUMBER(_xlfn.XLOOKUP($C1199,Phone_by_Sentiment!$B$2:$B$37,Phone_by_Sentiment!G$2:G$37,"",0,1)),_xlfn.XLOOKUP($C1199,Phone_by_Sentiment!$B$2:$B$37,Phone_by_Sentiment!G$2:G$37,"",0,1),0),$A1199-TEXT(DATEVALUE($D1199&amp;"-01"), "dd-mm-yyyy")),0),0)</f>
        <v>479</v>
      </c>
      <c r="H1199" cm="1">
        <f t="array" ref="H1199">IF($Q1199&gt;=0,IFERROR(generateSalesData($D1199, IF(ISNUMBER(_xlfn.XLOOKUP($C1199,Phone_by_Sentiment!$B$2:$B$37,Phone_by_Sentiment!H$2:H$37,"",0,1)),_xlfn.XLOOKUP($C1199,Phone_by_Sentiment!$B$2:$B$37,Phone_by_Sentiment!H$2:H$37,"",0,1),0),$A1199-TEXT(DATEVALUE($D1199&amp;"-01"), "dd-mm-yyyy")),0),0)</f>
        <v>1284</v>
      </c>
      <c r="I1199" cm="1">
        <f t="array" ref="I1199">IF($Q1199&gt;=0,IFERROR(generateSalesData($D1199, IF(ISNUMBER(_xlfn.XLOOKUP($C1199,Phone_by_Sentiment!$B$2:$B$37,Phone_by_Sentiment!I$2:I$37,"",0,1)),_xlfn.XLOOKUP($C1199,Phone_by_Sentiment!$B$2:$B$37,Phone_by_Sentiment!I$2:I$37,"",0,1),0),$A1199-TEXT(DATEVALUE($D1199&amp;"-01"), "dd-mm-yyyy")),0),0)</f>
        <v>616</v>
      </c>
      <c r="J1199" cm="1">
        <f t="array" ref="J1199">IF($Q1199&gt;=0,IFERROR(generateSalesData($D1199, IF(ISNUMBER(_xlfn.XLOOKUP($C1199,Phone_by_Sentiment!$B$2:$B$37,Phone_by_Sentiment!J$2:J$37,"",0,1)),_xlfn.XLOOKUP($C1199,Phone_by_Sentiment!$B$2:$B$37,Phone_by_Sentiment!J$2:J$37,"",0,1),0),$A1199-TEXT(DATEVALUE($D1199&amp;"-01"), "dd-mm-yyyy")),0),0)</f>
        <v>347</v>
      </c>
      <c r="K1199" cm="1">
        <f t="array" ref="K1199">IF($Q1199&gt;=0,IFERROR(generateSalesData($D1199, IF(ISNUMBER(_xlfn.XLOOKUP($C1199,Phone_by_Sentiment!$B$2:$B$37,Phone_by_Sentiment!K$2:K$37,"",0,1)),_xlfn.XLOOKUP($C1199,Phone_by_Sentiment!$B$2:$B$37,Phone_by_Sentiment!K$2:K$37,"",0,1),0),$A1199-TEXT(DATEVALUE($D1199&amp;"-01"), "dd-mm-yyyy")),0),0)</f>
        <v>487</v>
      </c>
      <c r="L1199" cm="1">
        <f t="array" ref="L1199">IF($Q1199&gt;=0,IFERROR(generateSalesData($D1199, IF(ISNUMBER(_xlfn.XLOOKUP($C1199,Phone_by_Sentiment!$B$2:$B$37,Phone_by_Sentiment!L$2:L$37,"",0,1)),_xlfn.XLOOKUP($C1199,Phone_by_Sentiment!$B$2:$B$37,Phone_by_Sentiment!L$2:L$37,"",0,1),0),$A1199-TEXT(DATEVALUE($D1199&amp;"-01"), "dd-mm-yyyy")),0),0)</f>
        <v>328</v>
      </c>
      <c r="M1199" cm="1">
        <f t="array" ref="M1199">IF($Q1199&gt;=0,IFERROR(generateSalesData($D1199, IF(ISNUMBER(_xlfn.XLOOKUP($C1199,Phone_by_Sentiment!$B$2:$B$37,Phone_by_Sentiment!M$2:M$37,"",0,1)),_xlfn.XLOOKUP($C1199,Phone_by_Sentiment!$B$2:$B$37,Phone_by_Sentiment!M$2:M$37,"",0,1),0),$A1199-TEXT(DATEVALUE($D1199&amp;"-01"), "dd-mm-yyyy")),0),0)</f>
        <v>408</v>
      </c>
      <c r="N1199" cm="1">
        <f t="array" ref="N1199">IF($Q1199&gt;=0,IFERROR(generateSalesData($D1199, IF(ISNUMBER(_xlfn.XLOOKUP($C1199,Phone_by_Sentiment!$B$2:$B$37,Phone_by_Sentiment!N$2:N$37,"",0,1)),_xlfn.XLOOKUP($C1199,Phone_by_Sentiment!$B$2:$B$37,Phone_by_Sentiment!N$2:N$37,"",0,1),0),$A1199-TEXT(DATEVALUE($D1199&amp;"-01"), "dd-mm-yyyy")),0),0)</f>
        <v>300</v>
      </c>
      <c r="O1199" cm="1">
        <f t="array" ref="O1199">IF($Q1199&gt;=0,IFERROR(generateSalesData($D1199, IF(ISNUMBER(_xlfn.XLOOKUP($C1199,Phone_by_Sentiment!$B$2:$B$37,Phone_by_Sentiment!O$2:O$37,"",0,1)),_xlfn.XLOOKUP($C1199,Phone_by_Sentiment!$B$2:$B$37,Phone_by_Sentiment!O$2:O$37,"",0,1),0),$A1199-TEXT(DATEVALUE($D1199&amp;"-01"), "dd-mm-yyyy")),0),0)</f>
        <v>1017</v>
      </c>
      <c r="P1199" s="1">
        <f t="shared" si="49"/>
        <v>44317</v>
      </c>
      <c r="Q1199">
        <f t="shared" si="50"/>
        <v>184</v>
      </c>
    </row>
    <row r="1200" spans="1:17" x14ac:dyDescent="0.25">
      <c r="A1200" s="1">
        <f t="shared" si="48"/>
        <v>44501</v>
      </c>
      <c r="B1200" t="s">
        <v>151</v>
      </c>
      <c r="C1200" t="str">
        <f>_xlfn.XLOOKUP(B1200,Phone_by_Price!$A$2:$A$34,Phone_by_Price!$B$2:$B$34,"-",0,1)</f>
        <v>Vivo Y11s</v>
      </c>
      <c r="D1200" t="str">
        <f>_xlfn.XLOOKUP(C1200,Phone_by_Sentiment!$B$2:$B$37,Phone_by_Sentiment!$A$2:$A$37,"-",0,1)</f>
        <v>2020-11</v>
      </c>
      <c r="E1200" cm="1">
        <f t="array" ref="E1200">IF($Q1200&gt;=0,IFERROR(generateSalesData($D1200, IF(ISNUMBER(_xlfn.XLOOKUP($C1200,Phone_by_Sentiment!$B$2:$B$37,Phone_by_Sentiment!E$2:E$37,"",0,1)),_xlfn.XLOOKUP($C1200,Phone_by_Sentiment!$B$2:$B$37,Phone_by_Sentiment!E$2:E$37,"",0,1),0),$A1200-TEXT(DATEVALUE($D1200&amp;"-01"), "dd-mm-yyyy")),0),0)</f>
        <v>52</v>
      </c>
      <c r="F1200" cm="1">
        <f t="array" ref="F1200">IF($Q1200&gt;=0,IFERROR(generateSalesData($D1200, IF(ISNUMBER(_xlfn.XLOOKUP($C1200,Phone_by_Sentiment!$B$2:$B$37,Phone_by_Sentiment!F$2:F$37,"",0,1)),_xlfn.XLOOKUP($C1200,Phone_by_Sentiment!$B$2:$B$37,Phone_by_Sentiment!F$2:F$37,"",0,1),0),$A1200-TEXT(DATEVALUE($D1200&amp;"-01"), "dd-mm-yyyy")),0),0)</f>
        <v>155</v>
      </c>
      <c r="G1200" cm="1">
        <f t="array" ref="G1200">IF($Q1200&gt;=0,IFERROR(generateSalesData($D1200, IF(ISNUMBER(_xlfn.XLOOKUP($C1200,Phone_by_Sentiment!$B$2:$B$37,Phone_by_Sentiment!G$2:G$37,"",0,1)),_xlfn.XLOOKUP($C1200,Phone_by_Sentiment!$B$2:$B$37,Phone_by_Sentiment!G$2:G$37,"",0,1),0),$A1200-TEXT(DATEVALUE($D1200&amp;"-01"), "dd-mm-yyyy")),0),0)</f>
        <v>179</v>
      </c>
      <c r="H1200" cm="1">
        <f t="array" ref="H1200">IF($Q1200&gt;=0,IFERROR(generateSalesData($D1200, IF(ISNUMBER(_xlfn.XLOOKUP($C1200,Phone_by_Sentiment!$B$2:$B$37,Phone_by_Sentiment!H$2:H$37,"",0,1)),_xlfn.XLOOKUP($C1200,Phone_by_Sentiment!$B$2:$B$37,Phone_by_Sentiment!H$2:H$37,"",0,1),0),$A1200-TEXT(DATEVALUE($D1200&amp;"-01"), "dd-mm-yyyy")),0),0)</f>
        <v>72</v>
      </c>
      <c r="I1200" cm="1">
        <f t="array" ref="I1200">IF($Q1200&gt;=0,IFERROR(generateSalesData($D1200, IF(ISNUMBER(_xlfn.XLOOKUP($C1200,Phone_by_Sentiment!$B$2:$B$37,Phone_by_Sentiment!I$2:I$37,"",0,1)),_xlfn.XLOOKUP($C1200,Phone_by_Sentiment!$B$2:$B$37,Phone_by_Sentiment!I$2:I$37,"",0,1),0),$A1200-TEXT(DATEVALUE($D1200&amp;"-01"), "dd-mm-yyyy")),0),0)</f>
        <v>520</v>
      </c>
      <c r="J1200" cm="1">
        <f t="array" ref="J1200">IF($Q1200&gt;=0,IFERROR(generateSalesData($D1200, IF(ISNUMBER(_xlfn.XLOOKUP($C1200,Phone_by_Sentiment!$B$2:$B$37,Phone_by_Sentiment!J$2:J$37,"",0,1)),_xlfn.XLOOKUP($C1200,Phone_by_Sentiment!$B$2:$B$37,Phone_by_Sentiment!J$2:J$37,"",0,1),0),$A1200-TEXT(DATEVALUE($D1200&amp;"-01"), "dd-mm-yyyy")),0),0)</f>
        <v>125</v>
      </c>
      <c r="K1200" cm="1">
        <f t="array" ref="K1200">IF($Q1200&gt;=0,IFERROR(generateSalesData($D1200, IF(ISNUMBER(_xlfn.XLOOKUP($C1200,Phone_by_Sentiment!$B$2:$B$37,Phone_by_Sentiment!K$2:K$37,"",0,1)),_xlfn.XLOOKUP($C1200,Phone_by_Sentiment!$B$2:$B$37,Phone_by_Sentiment!K$2:K$37,"",0,1),0),$A1200-TEXT(DATEVALUE($D1200&amp;"-01"), "dd-mm-yyyy")),0),0)</f>
        <v>298</v>
      </c>
      <c r="L1200" cm="1">
        <f t="array" ref="L1200">IF($Q1200&gt;=0,IFERROR(generateSalesData($D1200, IF(ISNUMBER(_xlfn.XLOOKUP($C1200,Phone_by_Sentiment!$B$2:$B$37,Phone_by_Sentiment!L$2:L$37,"",0,1)),_xlfn.XLOOKUP($C1200,Phone_by_Sentiment!$B$2:$B$37,Phone_by_Sentiment!L$2:L$37,"",0,1),0),$A1200-TEXT(DATEVALUE($D1200&amp;"-01"), "dd-mm-yyyy")),0),0)</f>
        <v>85</v>
      </c>
      <c r="M1200" cm="1">
        <f t="array" ref="M1200">IF($Q1200&gt;=0,IFERROR(generateSalesData($D1200, IF(ISNUMBER(_xlfn.XLOOKUP($C1200,Phone_by_Sentiment!$B$2:$B$37,Phone_by_Sentiment!M$2:M$37,"",0,1)),_xlfn.XLOOKUP($C1200,Phone_by_Sentiment!$B$2:$B$37,Phone_by_Sentiment!M$2:M$37,"",0,1),0),$A1200-TEXT(DATEVALUE($D1200&amp;"-01"), "dd-mm-yyyy")),0),0)</f>
        <v>455</v>
      </c>
      <c r="N1200" cm="1">
        <f t="array" ref="N1200">IF($Q1200&gt;=0,IFERROR(generateSalesData($D1200, IF(ISNUMBER(_xlfn.XLOOKUP($C1200,Phone_by_Sentiment!$B$2:$B$37,Phone_by_Sentiment!N$2:N$37,"",0,1)),_xlfn.XLOOKUP($C1200,Phone_by_Sentiment!$B$2:$B$37,Phone_by_Sentiment!N$2:N$37,"",0,1),0),$A1200-TEXT(DATEVALUE($D1200&amp;"-01"), "dd-mm-yyyy")),0),0)</f>
        <v>199</v>
      </c>
      <c r="O1200" cm="1">
        <f t="array" ref="O1200">IF($Q1200&gt;=0,IFERROR(generateSalesData($D1200, IF(ISNUMBER(_xlfn.XLOOKUP($C1200,Phone_by_Sentiment!$B$2:$B$37,Phone_by_Sentiment!O$2:O$37,"",0,1)),_xlfn.XLOOKUP($C1200,Phone_by_Sentiment!$B$2:$B$37,Phone_by_Sentiment!O$2:O$37,"",0,1),0),$A1200-TEXT(DATEVALUE($D1200&amp;"-01"), "dd-mm-yyyy")),0),0)</f>
        <v>103</v>
      </c>
      <c r="P1200" s="1">
        <f t="shared" si="49"/>
        <v>44136</v>
      </c>
      <c r="Q1200">
        <f t="shared" si="50"/>
        <v>365</v>
      </c>
    </row>
    <row r="1201" spans="1:17" x14ac:dyDescent="0.25">
      <c r="A1201" s="1">
        <f t="shared" si="48"/>
        <v>44501</v>
      </c>
      <c r="B1201" t="s">
        <v>152</v>
      </c>
      <c r="C1201" t="str">
        <f>_xlfn.XLOOKUP(B1201,Phone_by_Price!$A$2:$A$34,Phone_by_Price!$B$2:$B$34,"-",0,1)</f>
        <v>Huawei Nova 7i</v>
      </c>
      <c r="D1201" t="str">
        <f>_xlfn.XLOOKUP(C1201,Phone_by_Sentiment!$B$2:$B$37,Phone_by_Sentiment!$A$2:$A$37,"-",0,1)</f>
        <v>2020-02</v>
      </c>
      <c r="E1201" cm="1">
        <f t="array" ref="E1201">IF($Q1201&gt;=0,IFERROR(generateSalesData($D1201, IF(ISNUMBER(_xlfn.XLOOKUP($C1201,Phone_by_Sentiment!$B$2:$B$37,Phone_by_Sentiment!E$2:E$37,"",0,1)),_xlfn.XLOOKUP($C1201,Phone_by_Sentiment!$B$2:$B$37,Phone_by_Sentiment!E$2:E$37,"",0,1),0),$A1201-TEXT(DATEVALUE($D1201&amp;"-01"), "dd-mm-yyyy")),0),0)</f>
        <v>27</v>
      </c>
      <c r="F1201" cm="1">
        <f t="array" ref="F1201">IF($Q1201&gt;=0,IFERROR(generateSalesData($D1201, IF(ISNUMBER(_xlfn.XLOOKUP($C1201,Phone_by_Sentiment!$B$2:$B$37,Phone_by_Sentiment!F$2:F$37,"",0,1)),_xlfn.XLOOKUP($C1201,Phone_by_Sentiment!$B$2:$B$37,Phone_by_Sentiment!F$2:F$37,"",0,1),0),$A1201-TEXT(DATEVALUE($D1201&amp;"-01"), "dd-mm-yyyy")),0),0)</f>
        <v>61</v>
      </c>
      <c r="G1201" cm="1">
        <f t="array" ref="G1201">IF($Q1201&gt;=0,IFERROR(generateSalesData($D1201, IF(ISNUMBER(_xlfn.XLOOKUP($C1201,Phone_by_Sentiment!$B$2:$B$37,Phone_by_Sentiment!G$2:G$37,"",0,1)),_xlfn.XLOOKUP($C1201,Phone_by_Sentiment!$B$2:$B$37,Phone_by_Sentiment!G$2:G$37,"",0,1),0),$A1201-TEXT(DATEVALUE($D1201&amp;"-01"), "dd-mm-yyyy")),0),0)</f>
        <v>52</v>
      </c>
      <c r="H1201" cm="1">
        <f t="array" ref="H1201">IF($Q1201&gt;=0,IFERROR(generateSalesData($D1201, IF(ISNUMBER(_xlfn.XLOOKUP($C1201,Phone_by_Sentiment!$B$2:$B$37,Phone_by_Sentiment!H$2:H$37,"",0,1)),_xlfn.XLOOKUP($C1201,Phone_by_Sentiment!$B$2:$B$37,Phone_by_Sentiment!H$2:H$37,"",0,1),0),$A1201-TEXT(DATEVALUE($D1201&amp;"-01"), "dd-mm-yyyy")),0),0)</f>
        <v>299</v>
      </c>
      <c r="I1201" cm="1">
        <f t="array" ref="I1201">IF($Q1201&gt;=0,IFERROR(generateSalesData($D1201, IF(ISNUMBER(_xlfn.XLOOKUP($C1201,Phone_by_Sentiment!$B$2:$B$37,Phone_by_Sentiment!I$2:I$37,"",0,1)),_xlfn.XLOOKUP($C1201,Phone_by_Sentiment!$B$2:$B$37,Phone_by_Sentiment!I$2:I$37,"",0,1),0),$A1201-TEXT(DATEVALUE($D1201&amp;"-01"), "dd-mm-yyyy")),0),0)</f>
        <v>91</v>
      </c>
      <c r="J1201" cm="1">
        <f t="array" ref="J1201">IF($Q1201&gt;=0,IFERROR(generateSalesData($D1201, IF(ISNUMBER(_xlfn.XLOOKUP($C1201,Phone_by_Sentiment!$B$2:$B$37,Phone_by_Sentiment!J$2:J$37,"",0,1)),_xlfn.XLOOKUP($C1201,Phone_by_Sentiment!$B$2:$B$37,Phone_by_Sentiment!J$2:J$37,"",0,1),0),$A1201-TEXT(DATEVALUE($D1201&amp;"-01"), "dd-mm-yyyy")),0),0)</f>
        <v>119</v>
      </c>
      <c r="K1201" cm="1">
        <f t="array" ref="K1201">IF($Q1201&gt;=0,IFERROR(generateSalesData($D1201, IF(ISNUMBER(_xlfn.XLOOKUP($C1201,Phone_by_Sentiment!$B$2:$B$37,Phone_by_Sentiment!K$2:K$37,"",0,1)),_xlfn.XLOOKUP($C1201,Phone_by_Sentiment!$B$2:$B$37,Phone_by_Sentiment!K$2:K$37,"",0,1),0),$A1201-TEXT(DATEVALUE($D1201&amp;"-01"), "dd-mm-yyyy")),0),0)</f>
        <v>192</v>
      </c>
      <c r="L1201" cm="1">
        <f t="array" ref="L1201">IF($Q1201&gt;=0,IFERROR(generateSalesData($D1201, IF(ISNUMBER(_xlfn.XLOOKUP($C1201,Phone_by_Sentiment!$B$2:$B$37,Phone_by_Sentiment!L$2:L$37,"",0,1)),_xlfn.XLOOKUP($C1201,Phone_by_Sentiment!$B$2:$B$37,Phone_by_Sentiment!L$2:L$37,"",0,1),0),$A1201-TEXT(DATEVALUE($D1201&amp;"-01"), "dd-mm-yyyy")),0),0)</f>
        <v>11</v>
      </c>
      <c r="M1201" cm="1">
        <f t="array" ref="M1201">IF($Q1201&gt;=0,IFERROR(generateSalesData($D1201, IF(ISNUMBER(_xlfn.XLOOKUP($C1201,Phone_by_Sentiment!$B$2:$B$37,Phone_by_Sentiment!M$2:M$37,"",0,1)),_xlfn.XLOOKUP($C1201,Phone_by_Sentiment!$B$2:$B$37,Phone_by_Sentiment!M$2:M$37,"",0,1),0),$A1201-TEXT(DATEVALUE($D1201&amp;"-01"), "dd-mm-yyyy")),0),0)</f>
        <v>45</v>
      </c>
      <c r="N1201" cm="1">
        <f t="array" ref="N1201">IF($Q1201&gt;=0,IFERROR(generateSalesData($D1201, IF(ISNUMBER(_xlfn.XLOOKUP($C1201,Phone_by_Sentiment!$B$2:$B$37,Phone_by_Sentiment!N$2:N$37,"",0,1)),_xlfn.XLOOKUP($C1201,Phone_by_Sentiment!$B$2:$B$37,Phone_by_Sentiment!N$2:N$37,"",0,1),0),$A1201-TEXT(DATEVALUE($D1201&amp;"-01"), "dd-mm-yyyy")),0),0)</f>
        <v>92</v>
      </c>
      <c r="O1201" cm="1">
        <f t="array" ref="O1201">IF($Q1201&gt;=0,IFERROR(generateSalesData($D1201, IF(ISNUMBER(_xlfn.XLOOKUP($C1201,Phone_by_Sentiment!$B$2:$B$37,Phone_by_Sentiment!O$2:O$37,"",0,1)),_xlfn.XLOOKUP($C1201,Phone_by_Sentiment!$B$2:$B$37,Phone_by_Sentiment!O$2:O$37,"",0,1),0),$A1201-TEXT(DATEVALUE($D1201&amp;"-01"), "dd-mm-yyyy")),0),0)</f>
        <v>181</v>
      </c>
      <c r="P1201" s="1">
        <f t="shared" si="49"/>
        <v>43862</v>
      </c>
      <c r="Q1201">
        <f t="shared" si="50"/>
        <v>639</v>
      </c>
    </row>
    <row r="1202" spans="1:17" x14ac:dyDescent="0.25">
      <c r="A1202" s="1">
        <f t="shared" si="48"/>
        <v>44501</v>
      </c>
      <c r="B1202" t="s">
        <v>153</v>
      </c>
      <c r="C1202" t="str">
        <f>_xlfn.XLOOKUP(B1202,Phone_by_Price!$A$2:$A$34,Phone_by_Price!$B$2:$B$34,"-",0,1)</f>
        <v>iPhone 13</v>
      </c>
      <c r="D1202" t="str">
        <f>_xlfn.XLOOKUP(C1202,Phone_by_Sentiment!$B$2:$B$37,Phone_by_Sentiment!$A$2:$A$37,"-",0,1)</f>
        <v>2021-09</v>
      </c>
      <c r="E1202" cm="1">
        <f t="array" ref="E1202">IF($Q1202&gt;=0,IFERROR(generateSalesData($D1202, IF(ISNUMBER(_xlfn.XLOOKUP($C1202,Phone_by_Sentiment!$B$2:$B$37,Phone_by_Sentiment!E$2:E$37,"",0,1)),_xlfn.XLOOKUP($C1202,Phone_by_Sentiment!$B$2:$B$37,Phone_by_Sentiment!E$2:E$37,"",0,1),0),$A1202-TEXT(DATEVALUE($D1202&amp;"-01"), "dd-mm-yyyy")),0),0)</f>
        <v>874</v>
      </c>
      <c r="F1202" cm="1">
        <f t="array" ref="F1202">IF($Q1202&gt;=0,IFERROR(generateSalesData($D1202, IF(ISNUMBER(_xlfn.XLOOKUP($C1202,Phone_by_Sentiment!$B$2:$B$37,Phone_by_Sentiment!F$2:F$37,"",0,1)),_xlfn.XLOOKUP($C1202,Phone_by_Sentiment!$B$2:$B$37,Phone_by_Sentiment!F$2:F$37,"",0,1),0),$A1202-TEXT(DATEVALUE($D1202&amp;"-01"), "dd-mm-yyyy")),0),0)</f>
        <v>576</v>
      </c>
      <c r="G1202" cm="1">
        <f t="array" ref="G1202">IF($Q1202&gt;=0,IFERROR(generateSalesData($D1202, IF(ISNUMBER(_xlfn.XLOOKUP($C1202,Phone_by_Sentiment!$B$2:$B$37,Phone_by_Sentiment!G$2:G$37,"",0,1)),_xlfn.XLOOKUP($C1202,Phone_by_Sentiment!$B$2:$B$37,Phone_by_Sentiment!G$2:G$37,"",0,1),0),$A1202-TEXT(DATEVALUE($D1202&amp;"-01"), "dd-mm-yyyy")),0),0)</f>
        <v>1131</v>
      </c>
      <c r="H1202" cm="1">
        <f t="array" ref="H1202">IF($Q1202&gt;=0,IFERROR(generateSalesData($D1202, IF(ISNUMBER(_xlfn.XLOOKUP($C1202,Phone_by_Sentiment!$B$2:$B$37,Phone_by_Sentiment!H$2:H$37,"",0,1)),_xlfn.XLOOKUP($C1202,Phone_by_Sentiment!$B$2:$B$37,Phone_by_Sentiment!H$2:H$37,"",0,1),0),$A1202-TEXT(DATEVALUE($D1202&amp;"-01"), "dd-mm-yyyy")),0),0)</f>
        <v>6572</v>
      </c>
      <c r="I1202" cm="1">
        <f t="array" ref="I1202">IF($Q1202&gt;=0,IFERROR(generateSalesData($D1202, IF(ISNUMBER(_xlfn.XLOOKUP($C1202,Phone_by_Sentiment!$B$2:$B$37,Phone_by_Sentiment!I$2:I$37,"",0,1)),_xlfn.XLOOKUP($C1202,Phone_by_Sentiment!$B$2:$B$37,Phone_by_Sentiment!I$2:I$37,"",0,1),0),$A1202-TEXT(DATEVALUE($D1202&amp;"-01"), "dd-mm-yyyy")),0),0)</f>
        <v>1072</v>
      </c>
      <c r="J1202" cm="1">
        <f t="array" ref="J1202">IF($Q1202&gt;=0,IFERROR(generateSalesData($D1202, IF(ISNUMBER(_xlfn.XLOOKUP($C1202,Phone_by_Sentiment!$B$2:$B$37,Phone_by_Sentiment!J$2:J$37,"",0,1)),_xlfn.XLOOKUP($C1202,Phone_by_Sentiment!$B$2:$B$37,Phone_by_Sentiment!J$2:J$37,"",0,1),0),$A1202-TEXT(DATEVALUE($D1202&amp;"-01"), "dd-mm-yyyy")),0),0)</f>
        <v>6739</v>
      </c>
      <c r="K1202" cm="1">
        <f t="array" ref="K1202">IF($Q1202&gt;=0,IFERROR(generateSalesData($D1202, IF(ISNUMBER(_xlfn.XLOOKUP($C1202,Phone_by_Sentiment!$B$2:$B$37,Phone_by_Sentiment!K$2:K$37,"",0,1)),_xlfn.XLOOKUP($C1202,Phone_by_Sentiment!$B$2:$B$37,Phone_by_Sentiment!K$2:K$37,"",0,1),0),$A1202-TEXT(DATEVALUE($D1202&amp;"-01"), "dd-mm-yyyy")),0),0)</f>
        <v>1395</v>
      </c>
      <c r="L1202" cm="1">
        <f t="array" ref="L1202">IF($Q1202&gt;=0,IFERROR(generateSalesData($D1202, IF(ISNUMBER(_xlfn.XLOOKUP($C1202,Phone_by_Sentiment!$B$2:$B$37,Phone_by_Sentiment!L$2:L$37,"",0,1)),_xlfn.XLOOKUP($C1202,Phone_by_Sentiment!$B$2:$B$37,Phone_by_Sentiment!L$2:L$37,"",0,1),0),$A1202-TEXT(DATEVALUE($D1202&amp;"-01"), "dd-mm-yyyy")),0),0)</f>
        <v>2498</v>
      </c>
      <c r="M1202" cm="1">
        <f t="array" ref="M1202">IF($Q1202&gt;=0,IFERROR(generateSalesData($D1202, IF(ISNUMBER(_xlfn.XLOOKUP($C1202,Phone_by_Sentiment!$B$2:$B$37,Phone_by_Sentiment!M$2:M$37,"",0,1)),_xlfn.XLOOKUP($C1202,Phone_by_Sentiment!$B$2:$B$37,Phone_by_Sentiment!M$2:M$37,"",0,1),0),$A1202-TEXT(DATEVALUE($D1202&amp;"-01"), "dd-mm-yyyy")),0),0)</f>
        <v>8896</v>
      </c>
      <c r="N1202" cm="1">
        <f t="array" ref="N1202">IF($Q1202&gt;=0,IFERROR(generateSalesData($D1202, IF(ISNUMBER(_xlfn.XLOOKUP($C1202,Phone_by_Sentiment!$B$2:$B$37,Phone_by_Sentiment!N$2:N$37,"",0,1)),_xlfn.XLOOKUP($C1202,Phone_by_Sentiment!$B$2:$B$37,Phone_by_Sentiment!N$2:N$37,"",0,1),0),$A1202-TEXT(DATEVALUE($D1202&amp;"-01"), "dd-mm-yyyy")),0),0)</f>
        <v>255</v>
      </c>
      <c r="O1202" cm="1">
        <f t="array" ref="O1202">IF($Q1202&gt;=0,IFERROR(generateSalesData($D1202, IF(ISNUMBER(_xlfn.XLOOKUP($C1202,Phone_by_Sentiment!$B$2:$B$37,Phone_by_Sentiment!O$2:O$37,"",0,1)),_xlfn.XLOOKUP($C1202,Phone_by_Sentiment!$B$2:$B$37,Phone_by_Sentiment!O$2:O$37,"",0,1),0),$A1202-TEXT(DATEVALUE($D1202&amp;"-01"), "dd-mm-yyyy")),0),0)</f>
        <v>154</v>
      </c>
      <c r="P1202" s="1">
        <f t="shared" si="49"/>
        <v>44440</v>
      </c>
      <c r="Q1202">
        <f t="shared" si="50"/>
        <v>61</v>
      </c>
    </row>
    <row r="1203" spans="1:17" x14ac:dyDescent="0.25">
      <c r="A1203" s="1">
        <f t="shared" si="48"/>
        <v>44501</v>
      </c>
      <c r="B1203" t="s">
        <v>154</v>
      </c>
      <c r="C1203" t="str">
        <f>_xlfn.XLOOKUP(B1203,Phone_by_Price!$A$2:$A$34,Phone_by_Price!$B$2:$B$34,"-",0,1)</f>
        <v>Samsung Galaxy S21</v>
      </c>
      <c r="D1203" t="str">
        <f>_xlfn.XLOOKUP(C1203,Phone_by_Sentiment!$B$2:$B$37,Phone_by_Sentiment!$A$2:$A$37,"-",0,1)</f>
        <v>2021-01</v>
      </c>
      <c r="E1203" cm="1">
        <f t="array" ref="E1203">IF($Q1203&gt;=0,IFERROR(generateSalesData($D1203, IF(ISNUMBER(_xlfn.XLOOKUP($C1203,Phone_by_Sentiment!$B$2:$B$37,Phone_by_Sentiment!E$2:E$37,"",0,1)),_xlfn.XLOOKUP($C1203,Phone_by_Sentiment!$B$2:$B$37,Phone_by_Sentiment!E$2:E$37,"",0,1),0),$A1203-TEXT(DATEVALUE($D1203&amp;"-01"), "dd-mm-yyyy")),0),0)</f>
        <v>451</v>
      </c>
      <c r="F1203" cm="1">
        <f t="array" ref="F1203">IF($Q1203&gt;=0,IFERROR(generateSalesData($D1203, IF(ISNUMBER(_xlfn.XLOOKUP($C1203,Phone_by_Sentiment!$B$2:$B$37,Phone_by_Sentiment!F$2:F$37,"",0,1)),_xlfn.XLOOKUP($C1203,Phone_by_Sentiment!$B$2:$B$37,Phone_by_Sentiment!F$2:F$37,"",0,1),0),$A1203-TEXT(DATEVALUE($D1203&amp;"-01"), "dd-mm-yyyy")),0),0)</f>
        <v>991</v>
      </c>
      <c r="G1203" cm="1">
        <f t="array" ref="G1203">IF($Q1203&gt;=0,IFERROR(generateSalesData($D1203, IF(ISNUMBER(_xlfn.XLOOKUP($C1203,Phone_by_Sentiment!$B$2:$B$37,Phone_by_Sentiment!G$2:G$37,"",0,1)),_xlfn.XLOOKUP($C1203,Phone_by_Sentiment!$B$2:$B$37,Phone_by_Sentiment!G$2:G$37,"",0,1),0),$A1203-TEXT(DATEVALUE($D1203&amp;"-01"), "dd-mm-yyyy")),0),0)</f>
        <v>261</v>
      </c>
      <c r="H1203" cm="1">
        <f t="array" ref="H1203">IF($Q1203&gt;=0,IFERROR(generateSalesData($D1203, IF(ISNUMBER(_xlfn.XLOOKUP($C1203,Phone_by_Sentiment!$B$2:$B$37,Phone_by_Sentiment!H$2:H$37,"",0,1)),_xlfn.XLOOKUP($C1203,Phone_by_Sentiment!$B$2:$B$37,Phone_by_Sentiment!H$2:H$37,"",0,1),0),$A1203-TEXT(DATEVALUE($D1203&amp;"-01"), "dd-mm-yyyy")),0),0)</f>
        <v>1006</v>
      </c>
      <c r="I1203" cm="1">
        <f t="array" ref="I1203">IF($Q1203&gt;=0,IFERROR(generateSalesData($D1203, IF(ISNUMBER(_xlfn.XLOOKUP($C1203,Phone_by_Sentiment!$B$2:$B$37,Phone_by_Sentiment!I$2:I$37,"",0,1)),_xlfn.XLOOKUP($C1203,Phone_by_Sentiment!$B$2:$B$37,Phone_by_Sentiment!I$2:I$37,"",0,1),0),$A1203-TEXT(DATEVALUE($D1203&amp;"-01"), "dd-mm-yyyy")),0),0)</f>
        <v>714</v>
      </c>
      <c r="J1203" cm="1">
        <f t="array" ref="J1203">IF($Q1203&gt;=0,IFERROR(generateSalesData($D1203, IF(ISNUMBER(_xlfn.XLOOKUP($C1203,Phone_by_Sentiment!$B$2:$B$37,Phone_by_Sentiment!J$2:J$37,"",0,1)),_xlfn.XLOOKUP($C1203,Phone_by_Sentiment!$B$2:$B$37,Phone_by_Sentiment!J$2:J$37,"",0,1),0),$A1203-TEXT(DATEVALUE($D1203&amp;"-01"), "dd-mm-yyyy")),0),0)</f>
        <v>1217</v>
      </c>
      <c r="K1203" cm="1">
        <f t="array" ref="K1203">IF($Q1203&gt;=0,IFERROR(generateSalesData($D1203, IF(ISNUMBER(_xlfn.XLOOKUP($C1203,Phone_by_Sentiment!$B$2:$B$37,Phone_by_Sentiment!K$2:K$37,"",0,1)),_xlfn.XLOOKUP($C1203,Phone_by_Sentiment!$B$2:$B$37,Phone_by_Sentiment!K$2:K$37,"",0,1),0),$A1203-TEXT(DATEVALUE($D1203&amp;"-01"), "dd-mm-yyyy")),0),0)</f>
        <v>330</v>
      </c>
      <c r="L1203" cm="1">
        <f t="array" ref="L1203">IF($Q1203&gt;=0,IFERROR(generateSalesData($D1203, IF(ISNUMBER(_xlfn.XLOOKUP($C1203,Phone_by_Sentiment!$B$2:$B$37,Phone_by_Sentiment!L$2:L$37,"",0,1)),_xlfn.XLOOKUP($C1203,Phone_by_Sentiment!$B$2:$B$37,Phone_by_Sentiment!L$2:L$37,"",0,1),0),$A1203-TEXT(DATEVALUE($D1203&amp;"-01"), "dd-mm-yyyy")),0),0)</f>
        <v>657</v>
      </c>
      <c r="M1203" cm="1">
        <f t="array" ref="M1203">IF($Q1203&gt;=0,IFERROR(generateSalesData($D1203, IF(ISNUMBER(_xlfn.XLOOKUP($C1203,Phone_by_Sentiment!$B$2:$B$37,Phone_by_Sentiment!M$2:M$37,"",0,1)),_xlfn.XLOOKUP($C1203,Phone_by_Sentiment!$B$2:$B$37,Phone_by_Sentiment!M$2:M$37,"",0,1),0),$A1203-TEXT(DATEVALUE($D1203&amp;"-01"), "dd-mm-yyyy")),0),0)</f>
        <v>843</v>
      </c>
      <c r="N1203" cm="1">
        <f t="array" ref="N1203">IF($Q1203&gt;=0,IFERROR(generateSalesData($D1203, IF(ISNUMBER(_xlfn.XLOOKUP($C1203,Phone_by_Sentiment!$B$2:$B$37,Phone_by_Sentiment!N$2:N$37,"",0,1)),_xlfn.XLOOKUP($C1203,Phone_by_Sentiment!$B$2:$B$37,Phone_by_Sentiment!N$2:N$37,"",0,1),0),$A1203-TEXT(DATEVALUE($D1203&amp;"-01"), "dd-mm-yyyy")),0),0)</f>
        <v>1014</v>
      </c>
      <c r="O1203" cm="1">
        <f t="array" ref="O1203">IF($Q1203&gt;=0,IFERROR(generateSalesData($D1203, IF(ISNUMBER(_xlfn.XLOOKUP($C1203,Phone_by_Sentiment!$B$2:$B$37,Phone_by_Sentiment!O$2:O$37,"",0,1)),_xlfn.XLOOKUP($C1203,Phone_by_Sentiment!$B$2:$B$37,Phone_by_Sentiment!O$2:O$37,"",0,1),0),$A1203-TEXT(DATEVALUE($D1203&amp;"-01"), "dd-mm-yyyy")),0),0)</f>
        <v>131</v>
      </c>
      <c r="P1203" s="1">
        <f t="shared" si="49"/>
        <v>44197</v>
      </c>
      <c r="Q1203">
        <f t="shared" si="50"/>
        <v>304</v>
      </c>
    </row>
    <row r="1204" spans="1:17" x14ac:dyDescent="0.25">
      <c r="A1204" s="1">
        <f t="shared" si="48"/>
        <v>44501</v>
      </c>
      <c r="B1204" t="s">
        <v>155</v>
      </c>
      <c r="C1204" t="str">
        <f>_xlfn.XLOOKUP(B1204,Phone_by_Price!$A$2:$A$34,Phone_by_Price!$B$2:$B$34,"-",0,1)</f>
        <v>Google Pixel 6</v>
      </c>
      <c r="D1204" t="str">
        <f>_xlfn.XLOOKUP(C1204,Phone_by_Sentiment!$B$2:$B$37,Phone_by_Sentiment!$A$2:$A$37,"-",0,1)</f>
        <v>2021-10</v>
      </c>
      <c r="E1204" cm="1">
        <f t="array" ref="E1204">IF($Q1204&gt;=0,IFERROR(generateSalesData($D1204, IF(ISNUMBER(_xlfn.XLOOKUP($C1204,Phone_by_Sentiment!$B$2:$B$37,Phone_by_Sentiment!E$2:E$37,"",0,1)),_xlfn.XLOOKUP($C1204,Phone_by_Sentiment!$B$2:$B$37,Phone_by_Sentiment!E$2:E$37,"",0,1),0),$A1204-TEXT(DATEVALUE($D1204&amp;"-01"), "dd-mm-yyyy")),0),0)</f>
        <v>970</v>
      </c>
      <c r="F1204" cm="1">
        <f t="array" ref="F1204">IF($Q1204&gt;=0,IFERROR(generateSalesData($D1204, IF(ISNUMBER(_xlfn.XLOOKUP($C1204,Phone_by_Sentiment!$B$2:$B$37,Phone_by_Sentiment!F$2:F$37,"",0,1)),_xlfn.XLOOKUP($C1204,Phone_by_Sentiment!$B$2:$B$37,Phone_by_Sentiment!F$2:F$37,"",0,1),0),$A1204-TEXT(DATEVALUE($D1204&amp;"-01"), "dd-mm-yyyy")),0),0)</f>
        <v>977</v>
      </c>
      <c r="G1204" cm="1">
        <f t="array" ref="G1204">IF($Q1204&gt;=0,IFERROR(generateSalesData($D1204, IF(ISNUMBER(_xlfn.XLOOKUP($C1204,Phone_by_Sentiment!$B$2:$B$37,Phone_by_Sentiment!G$2:G$37,"",0,1)),_xlfn.XLOOKUP($C1204,Phone_by_Sentiment!$B$2:$B$37,Phone_by_Sentiment!G$2:G$37,"",0,1),0),$A1204-TEXT(DATEVALUE($D1204&amp;"-01"), "dd-mm-yyyy")),0),0)</f>
        <v>475</v>
      </c>
      <c r="H1204" cm="1">
        <f t="array" ref="H1204">IF($Q1204&gt;=0,IFERROR(generateSalesData($D1204, IF(ISNUMBER(_xlfn.XLOOKUP($C1204,Phone_by_Sentiment!$B$2:$B$37,Phone_by_Sentiment!H$2:H$37,"",0,1)),_xlfn.XLOOKUP($C1204,Phone_by_Sentiment!$B$2:$B$37,Phone_by_Sentiment!H$2:H$37,"",0,1),0),$A1204-TEXT(DATEVALUE($D1204&amp;"-01"), "dd-mm-yyyy")),0),0)</f>
        <v>1608</v>
      </c>
      <c r="I1204" cm="1">
        <f t="array" ref="I1204">IF($Q1204&gt;=0,IFERROR(generateSalesData($D1204, IF(ISNUMBER(_xlfn.XLOOKUP($C1204,Phone_by_Sentiment!$B$2:$B$37,Phone_by_Sentiment!I$2:I$37,"",0,1)),_xlfn.XLOOKUP($C1204,Phone_by_Sentiment!$B$2:$B$37,Phone_by_Sentiment!I$2:I$37,"",0,1),0),$A1204-TEXT(DATEVALUE($D1204&amp;"-01"), "dd-mm-yyyy")),0),0)</f>
        <v>1181</v>
      </c>
      <c r="J1204" cm="1">
        <f t="array" ref="J1204">IF($Q1204&gt;=0,IFERROR(generateSalesData($D1204, IF(ISNUMBER(_xlfn.XLOOKUP($C1204,Phone_by_Sentiment!$B$2:$B$37,Phone_by_Sentiment!J$2:J$37,"",0,1)),_xlfn.XLOOKUP($C1204,Phone_by_Sentiment!$B$2:$B$37,Phone_by_Sentiment!J$2:J$37,"",0,1),0),$A1204-TEXT(DATEVALUE($D1204&amp;"-01"), "dd-mm-yyyy")),0),0)</f>
        <v>553</v>
      </c>
      <c r="K1204" cm="1">
        <f t="array" ref="K1204">IF($Q1204&gt;=0,IFERROR(generateSalesData($D1204, IF(ISNUMBER(_xlfn.XLOOKUP($C1204,Phone_by_Sentiment!$B$2:$B$37,Phone_by_Sentiment!K$2:K$37,"",0,1)),_xlfn.XLOOKUP($C1204,Phone_by_Sentiment!$B$2:$B$37,Phone_by_Sentiment!K$2:K$37,"",0,1),0),$A1204-TEXT(DATEVALUE($D1204&amp;"-01"), "dd-mm-yyyy")),0),0)</f>
        <v>979</v>
      </c>
      <c r="L1204" cm="1">
        <f t="array" ref="L1204">IF($Q1204&gt;=0,IFERROR(generateSalesData($D1204, IF(ISNUMBER(_xlfn.XLOOKUP($C1204,Phone_by_Sentiment!$B$2:$B$37,Phone_by_Sentiment!L$2:L$37,"",0,1)),_xlfn.XLOOKUP($C1204,Phone_by_Sentiment!$B$2:$B$37,Phone_by_Sentiment!L$2:L$37,"",0,1),0),$A1204-TEXT(DATEVALUE($D1204&amp;"-01"), "dd-mm-yyyy")),0),0)</f>
        <v>1458</v>
      </c>
      <c r="M1204" cm="1">
        <f t="array" ref="M1204">IF($Q1204&gt;=0,IFERROR(generateSalesData($D1204, IF(ISNUMBER(_xlfn.XLOOKUP($C1204,Phone_by_Sentiment!$B$2:$B$37,Phone_by_Sentiment!M$2:M$37,"",0,1)),_xlfn.XLOOKUP($C1204,Phone_by_Sentiment!$B$2:$B$37,Phone_by_Sentiment!M$2:M$37,"",0,1),0),$A1204-TEXT(DATEVALUE($D1204&amp;"-01"), "dd-mm-yyyy")),0),0)</f>
        <v>5455</v>
      </c>
      <c r="N1204" cm="1">
        <f t="array" ref="N1204">IF($Q1204&gt;=0,IFERROR(generateSalesData($D1204, IF(ISNUMBER(_xlfn.XLOOKUP($C1204,Phone_by_Sentiment!$B$2:$B$37,Phone_by_Sentiment!N$2:N$37,"",0,1)),_xlfn.XLOOKUP($C1204,Phone_by_Sentiment!$B$2:$B$37,Phone_by_Sentiment!N$2:N$37,"",0,1),0),$A1204-TEXT(DATEVALUE($D1204&amp;"-01"), "dd-mm-yyyy")),0),0)</f>
        <v>942</v>
      </c>
      <c r="O1204" cm="1">
        <f t="array" ref="O1204">IF($Q1204&gt;=0,IFERROR(generateSalesData($D1204, IF(ISNUMBER(_xlfn.XLOOKUP($C1204,Phone_by_Sentiment!$B$2:$B$37,Phone_by_Sentiment!O$2:O$37,"",0,1)),_xlfn.XLOOKUP($C1204,Phone_by_Sentiment!$B$2:$B$37,Phone_by_Sentiment!O$2:O$37,"",0,1),0),$A1204-TEXT(DATEVALUE($D1204&amp;"-01"), "dd-mm-yyyy")),0),0)</f>
        <v>1316</v>
      </c>
      <c r="P1204" s="1">
        <f t="shared" si="49"/>
        <v>44470</v>
      </c>
      <c r="Q1204">
        <f t="shared" si="50"/>
        <v>31</v>
      </c>
    </row>
    <row r="1205" spans="1:17" x14ac:dyDescent="0.25">
      <c r="A1205" s="1">
        <f t="shared" si="48"/>
        <v>44501</v>
      </c>
      <c r="B1205" t="s">
        <v>156</v>
      </c>
      <c r="C1205" t="str">
        <f>_xlfn.XLOOKUP(B1205,Phone_by_Price!$A$2:$A$34,Phone_by_Price!$B$2:$B$34,"-",0,1)</f>
        <v>OnePlus Nord CE</v>
      </c>
      <c r="D1205" t="str">
        <f>_xlfn.XLOOKUP(C1205,Phone_by_Sentiment!$B$2:$B$37,Phone_by_Sentiment!$A$2:$A$37,"-",0,1)</f>
        <v>2021-06</v>
      </c>
      <c r="E1205" cm="1">
        <f t="array" ref="E1205">IF($Q1205&gt;=0,IFERROR(generateSalesData($D1205, IF(ISNUMBER(_xlfn.XLOOKUP($C1205,Phone_by_Sentiment!$B$2:$B$37,Phone_by_Sentiment!E$2:E$37,"",0,1)),_xlfn.XLOOKUP($C1205,Phone_by_Sentiment!$B$2:$B$37,Phone_by_Sentiment!E$2:E$37,"",0,1),0),$A1205-TEXT(DATEVALUE($D1205&amp;"-01"), "dd-mm-yyyy")),0),0)</f>
        <v>25</v>
      </c>
      <c r="F1205" cm="1">
        <f t="array" ref="F1205">IF($Q1205&gt;=0,IFERROR(generateSalesData($D1205, IF(ISNUMBER(_xlfn.XLOOKUP($C1205,Phone_by_Sentiment!$B$2:$B$37,Phone_by_Sentiment!F$2:F$37,"",0,1)),_xlfn.XLOOKUP($C1205,Phone_by_Sentiment!$B$2:$B$37,Phone_by_Sentiment!F$2:F$37,"",0,1),0),$A1205-TEXT(DATEVALUE($D1205&amp;"-01"), "dd-mm-yyyy")),0),0)</f>
        <v>-20</v>
      </c>
      <c r="G1205" cm="1">
        <f t="array" ref="G1205">IF($Q1205&gt;=0,IFERROR(generateSalesData($D1205, IF(ISNUMBER(_xlfn.XLOOKUP($C1205,Phone_by_Sentiment!$B$2:$B$37,Phone_by_Sentiment!G$2:G$37,"",0,1)),_xlfn.XLOOKUP($C1205,Phone_by_Sentiment!$B$2:$B$37,Phone_by_Sentiment!G$2:G$37,"",0,1),0),$A1205-TEXT(DATEVALUE($D1205&amp;"-01"), "dd-mm-yyyy")),0),0)</f>
        <v>345</v>
      </c>
      <c r="H1205" cm="1">
        <f t="array" ref="H1205">IF($Q1205&gt;=0,IFERROR(generateSalesData($D1205, IF(ISNUMBER(_xlfn.XLOOKUP($C1205,Phone_by_Sentiment!$B$2:$B$37,Phone_by_Sentiment!H$2:H$37,"",0,1)),_xlfn.XLOOKUP($C1205,Phone_by_Sentiment!$B$2:$B$37,Phone_by_Sentiment!H$2:H$37,"",0,1),0),$A1205-TEXT(DATEVALUE($D1205&amp;"-01"), "dd-mm-yyyy")),0),0)</f>
        <v>2094</v>
      </c>
      <c r="I1205" cm="1">
        <f t="array" ref="I1205">IF($Q1205&gt;=0,IFERROR(generateSalesData($D1205, IF(ISNUMBER(_xlfn.XLOOKUP($C1205,Phone_by_Sentiment!$B$2:$B$37,Phone_by_Sentiment!I$2:I$37,"",0,1)),_xlfn.XLOOKUP($C1205,Phone_by_Sentiment!$B$2:$B$37,Phone_by_Sentiment!I$2:I$37,"",0,1),0),$A1205-TEXT(DATEVALUE($D1205&amp;"-01"), "dd-mm-yyyy")),0),0)</f>
        <v>291</v>
      </c>
      <c r="J1205" cm="1">
        <f t="array" ref="J1205">IF($Q1205&gt;=0,IFERROR(generateSalesData($D1205, IF(ISNUMBER(_xlfn.XLOOKUP($C1205,Phone_by_Sentiment!$B$2:$B$37,Phone_by_Sentiment!J$2:J$37,"",0,1)),_xlfn.XLOOKUP($C1205,Phone_by_Sentiment!$B$2:$B$37,Phone_by_Sentiment!J$2:J$37,"",0,1),0),$A1205-TEXT(DATEVALUE($D1205&amp;"-01"), "dd-mm-yyyy")),0),0)</f>
        <v>297</v>
      </c>
      <c r="K1205" cm="1">
        <f t="array" ref="K1205">IF($Q1205&gt;=0,IFERROR(generateSalesData($D1205, IF(ISNUMBER(_xlfn.XLOOKUP($C1205,Phone_by_Sentiment!$B$2:$B$37,Phone_by_Sentiment!K$2:K$37,"",0,1)),_xlfn.XLOOKUP($C1205,Phone_by_Sentiment!$B$2:$B$37,Phone_by_Sentiment!K$2:K$37,"",0,1),0),$A1205-TEXT(DATEVALUE($D1205&amp;"-01"), "dd-mm-yyyy")),0),0)</f>
        <v>230</v>
      </c>
      <c r="L1205" cm="1">
        <f t="array" ref="L1205">IF($Q1205&gt;=0,IFERROR(generateSalesData($D1205, IF(ISNUMBER(_xlfn.XLOOKUP($C1205,Phone_by_Sentiment!$B$2:$B$37,Phone_by_Sentiment!L$2:L$37,"",0,1)),_xlfn.XLOOKUP($C1205,Phone_by_Sentiment!$B$2:$B$37,Phone_by_Sentiment!L$2:L$37,"",0,1),0),$A1205-TEXT(DATEVALUE($D1205&amp;"-01"), "dd-mm-yyyy")),0),0)</f>
        <v>259</v>
      </c>
      <c r="M1205" cm="1">
        <f t="array" ref="M1205">IF($Q1205&gt;=0,IFERROR(generateSalesData($D1205, IF(ISNUMBER(_xlfn.XLOOKUP($C1205,Phone_by_Sentiment!$B$2:$B$37,Phone_by_Sentiment!M$2:M$37,"",0,1)),_xlfn.XLOOKUP($C1205,Phone_by_Sentiment!$B$2:$B$37,Phone_by_Sentiment!M$2:M$37,"",0,1),0),$A1205-TEXT(DATEVALUE($D1205&amp;"-01"), "dd-mm-yyyy")),0),0)</f>
        <v>66</v>
      </c>
      <c r="N1205" cm="1">
        <f t="array" ref="N1205">IF($Q1205&gt;=0,IFERROR(generateSalesData($D1205, IF(ISNUMBER(_xlfn.XLOOKUP($C1205,Phone_by_Sentiment!$B$2:$B$37,Phone_by_Sentiment!N$2:N$37,"",0,1)),_xlfn.XLOOKUP($C1205,Phone_by_Sentiment!$B$2:$B$37,Phone_by_Sentiment!N$2:N$37,"",0,1),0),$A1205-TEXT(DATEVALUE($D1205&amp;"-01"), "dd-mm-yyyy")),0),0)</f>
        <v>466</v>
      </c>
      <c r="O1205" cm="1">
        <f t="array" ref="O1205">IF($Q1205&gt;=0,IFERROR(generateSalesData($D1205, IF(ISNUMBER(_xlfn.XLOOKUP($C1205,Phone_by_Sentiment!$B$2:$B$37,Phone_by_Sentiment!O$2:O$37,"",0,1)),_xlfn.XLOOKUP($C1205,Phone_by_Sentiment!$B$2:$B$37,Phone_by_Sentiment!O$2:O$37,"",0,1),0),$A1205-TEXT(DATEVALUE($D1205&amp;"-01"), "dd-mm-yyyy")),0),0)</f>
        <v>58</v>
      </c>
      <c r="P1205" s="1">
        <f t="shared" si="49"/>
        <v>44348</v>
      </c>
      <c r="Q1205">
        <f t="shared" si="50"/>
        <v>153</v>
      </c>
    </row>
    <row r="1206" spans="1:17" x14ac:dyDescent="0.25">
      <c r="A1206" s="1">
        <f t="shared" si="48"/>
        <v>44501</v>
      </c>
      <c r="B1206" t="s">
        <v>157</v>
      </c>
      <c r="C1206" t="str">
        <f>_xlfn.XLOOKUP(B1206,Phone_by_Price!$A$2:$A$34,Phone_by_Price!$B$2:$B$34,"-",0,1)</f>
        <v>Apple iPhone 13 Pro</v>
      </c>
      <c r="D1206" t="str">
        <f>_xlfn.XLOOKUP(C1206,Phone_by_Sentiment!$B$2:$B$37,Phone_by_Sentiment!$A$2:$A$37,"-",0,1)</f>
        <v>2021-09</v>
      </c>
      <c r="E1206" cm="1">
        <f t="array" ref="E1206">IF($Q1206&gt;=0,IFERROR(generateSalesData($D1206, IF(ISNUMBER(_xlfn.XLOOKUP($C1206,Phone_by_Sentiment!$B$2:$B$37,Phone_by_Sentiment!E$2:E$37,"",0,1)),_xlfn.XLOOKUP($C1206,Phone_by_Sentiment!$B$2:$B$37,Phone_by_Sentiment!E$2:E$37,"",0,1),0),$A1206-TEXT(DATEVALUE($D1206&amp;"-01"), "dd-mm-yyyy")),0),0)</f>
        <v>1961</v>
      </c>
      <c r="F1206" cm="1">
        <f t="array" ref="F1206">IF($Q1206&gt;=0,IFERROR(generateSalesData($D1206, IF(ISNUMBER(_xlfn.XLOOKUP($C1206,Phone_by_Sentiment!$B$2:$B$37,Phone_by_Sentiment!F$2:F$37,"",0,1)),_xlfn.XLOOKUP($C1206,Phone_by_Sentiment!$B$2:$B$37,Phone_by_Sentiment!F$2:F$37,"",0,1),0),$A1206-TEXT(DATEVALUE($D1206&amp;"-01"), "dd-mm-yyyy")),0),0)</f>
        <v>5468</v>
      </c>
      <c r="G1206" cm="1">
        <f t="array" ref="G1206">IF($Q1206&gt;=0,IFERROR(generateSalesData($D1206, IF(ISNUMBER(_xlfn.XLOOKUP($C1206,Phone_by_Sentiment!$B$2:$B$37,Phone_by_Sentiment!G$2:G$37,"",0,1)),_xlfn.XLOOKUP($C1206,Phone_by_Sentiment!$B$2:$B$37,Phone_by_Sentiment!G$2:G$37,"",0,1),0),$A1206-TEXT(DATEVALUE($D1206&amp;"-01"), "dd-mm-yyyy")),0),0)</f>
        <v>1318</v>
      </c>
      <c r="H1206" cm="1">
        <f t="array" ref="H1206">IF($Q1206&gt;=0,IFERROR(generateSalesData($D1206, IF(ISNUMBER(_xlfn.XLOOKUP($C1206,Phone_by_Sentiment!$B$2:$B$37,Phone_by_Sentiment!H$2:H$37,"",0,1)),_xlfn.XLOOKUP($C1206,Phone_by_Sentiment!$B$2:$B$37,Phone_by_Sentiment!H$2:H$37,"",0,1),0),$A1206-TEXT(DATEVALUE($D1206&amp;"-01"), "dd-mm-yyyy")),0),0)</f>
        <v>5730</v>
      </c>
      <c r="I1206" cm="1">
        <f t="array" ref="I1206">IF($Q1206&gt;=0,IFERROR(generateSalesData($D1206, IF(ISNUMBER(_xlfn.XLOOKUP($C1206,Phone_by_Sentiment!$B$2:$B$37,Phone_by_Sentiment!I$2:I$37,"",0,1)),_xlfn.XLOOKUP($C1206,Phone_by_Sentiment!$B$2:$B$37,Phone_by_Sentiment!I$2:I$37,"",0,1),0),$A1206-TEXT(DATEVALUE($D1206&amp;"-01"), "dd-mm-yyyy")),0),0)</f>
        <v>1088</v>
      </c>
      <c r="J1206" cm="1">
        <f t="array" ref="J1206">IF($Q1206&gt;=0,IFERROR(generateSalesData($D1206, IF(ISNUMBER(_xlfn.XLOOKUP($C1206,Phone_by_Sentiment!$B$2:$B$37,Phone_by_Sentiment!J$2:J$37,"",0,1)),_xlfn.XLOOKUP($C1206,Phone_by_Sentiment!$B$2:$B$37,Phone_by_Sentiment!J$2:J$37,"",0,1),0),$A1206-TEXT(DATEVALUE($D1206&amp;"-01"), "dd-mm-yyyy")),0),0)</f>
        <v>3677</v>
      </c>
      <c r="K1206" cm="1">
        <f t="array" ref="K1206">IF($Q1206&gt;=0,IFERROR(generateSalesData($D1206, IF(ISNUMBER(_xlfn.XLOOKUP($C1206,Phone_by_Sentiment!$B$2:$B$37,Phone_by_Sentiment!K$2:K$37,"",0,1)),_xlfn.XLOOKUP($C1206,Phone_by_Sentiment!$B$2:$B$37,Phone_by_Sentiment!K$2:K$37,"",0,1),0),$A1206-TEXT(DATEVALUE($D1206&amp;"-01"), "dd-mm-yyyy")),0),0)</f>
        <v>5746</v>
      </c>
      <c r="L1206" cm="1">
        <f t="array" ref="L1206">IF($Q1206&gt;=0,IFERROR(generateSalesData($D1206, IF(ISNUMBER(_xlfn.XLOOKUP($C1206,Phone_by_Sentiment!$B$2:$B$37,Phone_by_Sentiment!L$2:L$37,"",0,1)),_xlfn.XLOOKUP($C1206,Phone_by_Sentiment!$B$2:$B$37,Phone_by_Sentiment!L$2:L$37,"",0,1),0),$A1206-TEXT(DATEVALUE($D1206&amp;"-01"), "dd-mm-yyyy")),0),0)</f>
        <v>6683</v>
      </c>
      <c r="M1206" cm="1">
        <f t="array" ref="M1206">IF($Q1206&gt;=0,IFERROR(generateSalesData($D1206, IF(ISNUMBER(_xlfn.XLOOKUP($C1206,Phone_by_Sentiment!$B$2:$B$37,Phone_by_Sentiment!M$2:M$37,"",0,1)),_xlfn.XLOOKUP($C1206,Phone_by_Sentiment!$B$2:$B$37,Phone_by_Sentiment!M$2:M$37,"",0,1),0),$A1206-TEXT(DATEVALUE($D1206&amp;"-01"), "dd-mm-yyyy")),0),0)</f>
        <v>4267</v>
      </c>
      <c r="N1206" cm="1">
        <f t="array" ref="N1206">IF($Q1206&gt;=0,IFERROR(generateSalesData($D1206, IF(ISNUMBER(_xlfn.XLOOKUP($C1206,Phone_by_Sentiment!$B$2:$B$37,Phone_by_Sentiment!N$2:N$37,"",0,1)),_xlfn.XLOOKUP($C1206,Phone_by_Sentiment!$B$2:$B$37,Phone_by_Sentiment!N$2:N$37,"",0,1),0),$A1206-TEXT(DATEVALUE($D1206&amp;"-01"), "dd-mm-yyyy")),0),0)</f>
        <v>1996</v>
      </c>
      <c r="O1206" cm="1">
        <f t="array" ref="O1206">IF($Q1206&gt;=0,IFERROR(generateSalesData($D1206, IF(ISNUMBER(_xlfn.XLOOKUP($C1206,Phone_by_Sentiment!$B$2:$B$37,Phone_by_Sentiment!O$2:O$37,"",0,1)),_xlfn.XLOOKUP($C1206,Phone_by_Sentiment!$B$2:$B$37,Phone_by_Sentiment!O$2:O$37,"",0,1),0),$A1206-TEXT(DATEVALUE($D1206&amp;"-01"), "dd-mm-yyyy")),0),0)</f>
        <v>7494</v>
      </c>
      <c r="P1206" s="1">
        <f t="shared" si="49"/>
        <v>44440</v>
      </c>
      <c r="Q1206">
        <f t="shared" si="50"/>
        <v>61</v>
      </c>
    </row>
    <row r="1207" spans="1:17" x14ac:dyDescent="0.25">
      <c r="A1207" s="1">
        <f t="shared" si="48"/>
        <v>44501</v>
      </c>
      <c r="B1207" t="s">
        <v>158</v>
      </c>
      <c r="C1207" t="str">
        <f>_xlfn.XLOOKUP(B1207,Phone_by_Price!$A$2:$A$34,Phone_by_Price!$B$2:$B$34,"-",0,1)</f>
        <v>Samsung Galaxy A32 5G</v>
      </c>
      <c r="D1207" t="str">
        <f>_xlfn.XLOOKUP(C1207,Phone_by_Sentiment!$B$2:$B$37,Phone_by_Sentiment!$A$2:$A$37,"-",0,1)</f>
        <v>2021-02</v>
      </c>
      <c r="E1207" cm="1">
        <f t="array" ref="E1207">IF($Q1207&gt;=0,IFERROR(generateSalesData($D1207, IF(ISNUMBER(_xlfn.XLOOKUP($C1207,Phone_by_Sentiment!$B$2:$B$37,Phone_by_Sentiment!E$2:E$37,"",0,1)),_xlfn.XLOOKUP($C1207,Phone_by_Sentiment!$B$2:$B$37,Phone_by_Sentiment!E$2:E$37,"",0,1),0),$A1207-TEXT(DATEVALUE($D1207&amp;"-01"), "dd-mm-yyyy")),0),0)</f>
        <v>1054</v>
      </c>
      <c r="F1207" cm="1">
        <f t="array" ref="F1207">IF($Q1207&gt;=0,IFERROR(generateSalesData($D1207, IF(ISNUMBER(_xlfn.XLOOKUP($C1207,Phone_by_Sentiment!$B$2:$B$37,Phone_by_Sentiment!F$2:F$37,"",0,1)),_xlfn.XLOOKUP($C1207,Phone_by_Sentiment!$B$2:$B$37,Phone_by_Sentiment!F$2:F$37,"",0,1),0),$A1207-TEXT(DATEVALUE($D1207&amp;"-01"), "dd-mm-yyyy")),0),0)</f>
        <v>624</v>
      </c>
      <c r="G1207" cm="1">
        <f t="array" ref="G1207">IF($Q1207&gt;=0,IFERROR(generateSalesData($D1207, IF(ISNUMBER(_xlfn.XLOOKUP($C1207,Phone_by_Sentiment!$B$2:$B$37,Phone_by_Sentiment!G$2:G$37,"",0,1)),_xlfn.XLOOKUP($C1207,Phone_by_Sentiment!$B$2:$B$37,Phone_by_Sentiment!G$2:G$37,"",0,1),0),$A1207-TEXT(DATEVALUE($D1207&amp;"-01"), "dd-mm-yyyy")),0),0)</f>
        <v>134</v>
      </c>
      <c r="H1207" cm="1">
        <f t="array" ref="H1207">IF($Q1207&gt;=0,IFERROR(generateSalesData($D1207, IF(ISNUMBER(_xlfn.XLOOKUP($C1207,Phone_by_Sentiment!$B$2:$B$37,Phone_by_Sentiment!H$2:H$37,"",0,1)),_xlfn.XLOOKUP($C1207,Phone_by_Sentiment!$B$2:$B$37,Phone_by_Sentiment!H$2:H$37,"",0,1),0),$A1207-TEXT(DATEVALUE($D1207&amp;"-01"), "dd-mm-yyyy")),0),0)</f>
        <v>311</v>
      </c>
      <c r="I1207" cm="1">
        <f t="array" ref="I1207">IF($Q1207&gt;=0,IFERROR(generateSalesData($D1207, IF(ISNUMBER(_xlfn.XLOOKUP($C1207,Phone_by_Sentiment!$B$2:$B$37,Phone_by_Sentiment!I$2:I$37,"",0,1)),_xlfn.XLOOKUP($C1207,Phone_by_Sentiment!$B$2:$B$37,Phone_by_Sentiment!I$2:I$37,"",0,1),0),$A1207-TEXT(DATEVALUE($D1207&amp;"-01"), "dd-mm-yyyy")),0),0)</f>
        <v>640</v>
      </c>
      <c r="J1207" cm="1">
        <f t="array" ref="J1207">IF($Q1207&gt;=0,IFERROR(generateSalesData($D1207, IF(ISNUMBER(_xlfn.XLOOKUP($C1207,Phone_by_Sentiment!$B$2:$B$37,Phone_by_Sentiment!J$2:J$37,"",0,1)),_xlfn.XLOOKUP($C1207,Phone_by_Sentiment!$B$2:$B$37,Phone_by_Sentiment!J$2:J$37,"",0,1),0),$A1207-TEXT(DATEVALUE($D1207&amp;"-01"), "dd-mm-yyyy")),0),0)</f>
        <v>1254</v>
      </c>
      <c r="K1207" cm="1">
        <f t="array" ref="K1207">IF($Q1207&gt;=0,IFERROR(generateSalesData($D1207, IF(ISNUMBER(_xlfn.XLOOKUP($C1207,Phone_by_Sentiment!$B$2:$B$37,Phone_by_Sentiment!K$2:K$37,"",0,1)),_xlfn.XLOOKUP($C1207,Phone_by_Sentiment!$B$2:$B$37,Phone_by_Sentiment!K$2:K$37,"",0,1),0),$A1207-TEXT(DATEVALUE($D1207&amp;"-01"), "dd-mm-yyyy")),0),0)</f>
        <v>467</v>
      </c>
      <c r="L1207" cm="1">
        <f t="array" ref="L1207">IF($Q1207&gt;=0,IFERROR(generateSalesData($D1207, IF(ISNUMBER(_xlfn.XLOOKUP($C1207,Phone_by_Sentiment!$B$2:$B$37,Phone_by_Sentiment!L$2:L$37,"",0,1)),_xlfn.XLOOKUP($C1207,Phone_by_Sentiment!$B$2:$B$37,Phone_by_Sentiment!L$2:L$37,"",0,1),0),$A1207-TEXT(DATEVALUE($D1207&amp;"-01"), "dd-mm-yyyy")),0),0)</f>
        <v>873</v>
      </c>
      <c r="M1207" cm="1">
        <f t="array" ref="M1207">IF($Q1207&gt;=0,IFERROR(generateSalesData($D1207, IF(ISNUMBER(_xlfn.XLOOKUP($C1207,Phone_by_Sentiment!$B$2:$B$37,Phone_by_Sentiment!M$2:M$37,"",0,1)),_xlfn.XLOOKUP($C1207,Phone_by_Sentiment!$B$2:$B$37,Phone_by_Sentiment!M$2:M$37,"",0,1),0),$A1207-TEXT(DATEVALUE($D1207&amp;"-01"), "dd-mm-yyyy")),0),0)</f>
        <v>511</v>
      </c>
      <c r="N1207" cm="1">
        <f t="array" ref="N1207">IF($Q1207&gt;=0,IFERROR(generateSalesData($D1207, IF(ISNUMBER(_xlfn.XLOOKUP($C1207,Phone_by_Sentiment!$B$2:$B$37,Phone_by_Sentiment!N$2:N$37,"",0,1)),_xlfn.XLOOKUP($C1207,Phone_by_Sentiment!$B$2:$B$37,Phone_by_Sentiment!N$2:N$37,"",0,1),0),$A1207-TEXT(DATEVALUE($D1207&amp;"-01"), "dd-mm-yyyy")),0),0)</f>
        <v>531</v>
      </c>
      <c r="O1207" cm="1">
        <f t="array" ref="O1207">IF($Q1207&gt;=0,IFERROR(generateSalesData($D1207, IF(ISNUMBER(_xlfn.XLOOKUP($C1207,Phone_by_Sentiment!$B$2:$B$37,Phone_by_Sentiment!O$2:O$37,"",0,1)),_xlfn.XLOOKUP($C1207,Phone_by_Sentiment!$B$2:$B$37,Phone_by_Sentiment!O$2:O$37,"",0,1),0),$A1207-TEXT(DATEVALUE($D1207&amp;"-01"), "dd-mm-yyyy")),0),0)</f>
        <v>394</v>
      </c>
      <c r="P1207" s="1">
        <f t="shared" si="49"/>
        <v>44228</v>
      </c>
      <c r="Q1207">
        <f t="shared" si="50"/>
        <v>273</v>
      </c>
    </row>
    <row r="1208" spans="1:17" x14ac:dyDescent="0.25">
      <c r="A1208" s="1">
        <f t="shared" si="48"/>
        <v>44501</v>
      </c>
      <c r="B1208" t="s">
        <v>159</v>
      </c>
      <c r="C1208" t="str">
        <f>_xlfn.XLOOKUP(B1208,Phone_by_Price!$A$2:$A$34,Phone_by_Price!$B$2:$B$34,"-",0,1)</f>
        <v>Realme C25</v>
      </c>
      <c r="D1208" t="str">
        <f>_xlfn.XLOOKUP(C1208,Phone_by_Sentiment!$B$2:$B$37,Phone_by_Sentiment!$A$2:$A$37,"-",0,1)</f>
        <v>2021-03</v>
      </c>
      <c r="E1208" cm="1">
        <f t="array" ref="E1208">IF($Q1208&gt;=0,IFERROR(generateSalesData($D1208, IF(ISNUMBER(_xlfn.XLOOKUP($C1208,Phone_by_Sentiment!$B$2:$B$37,Phone_by_Sentiment!E$2:E$37,"",0,1)),_xlfn.XLOOKUP($C1208,Phone_by_Sentiment!$B$2:$B$37,Phone_by_Sentiment!E$2:E$37,"",0,1),0),$A1208-TEXT(DATEVALUE($D1208&amp;"-01"), "dd-mm-yyyy")),0),0)</f>
        <v>205</v>
      </c>
      <c r="F1208" cm="1">
        <f t="array" ref="F1208">IF($Q1208&gt;=0,IFERROR(generateSalesData($D1208, IF(ISNUMBER(_xlfn.XLOOKUP($C1208,Phone_by_Sentiment!$B$2:$B$37,Phone_by_Sentiment!F$2:F$37,"",0,1)),_xlfn.XLOOKUP($C1208,Phone_by_Sentiment!$B$2:$B$37,Phone_by_Sentiment!F$2:F$37,"",0,1),0),$A1208-TEXT(DATEVALUE($D1208&amp;"-01"), "dd-mm-yyyy")),0),0)</f>
        <v>625</v>
      </c>
      <c r="G1208" cm="1">
        <f t="array" ref="G1208">IF($Q1208&gt;=0,IFERROR(generateSalesData($D1208, IF(ISNUMBER(_xlfn.XLOOKUP($C1208,Phone_by_Sentiment!$B$2:$B$37,Phone_by_Sentiment!G$2:G$37,"",0,1)),_xlfn.XLOOKUP($C1208,Phone_by_Sentiment!$B$2:$B$37,Phone_by_Sentiment!G$2:G$37,"",0,1),0),$A1208-TEXT(DATEVALUE($D1208&amp;"-01"), "dd-mm-yyyy")),0),0)</f>
        <v>235</v>
      </c>
      <c r="H1208" cm="1">
        <f t="array" ref="H1208">IF($Q1208&gt;=0,IFERROR(generateSalesData($D1208, IF(ISNUMBER(_xlfn.XLOOKUP($C1208,Phone_by_Sentiment!$B$2:$B$37,Phone_by_Sentiment!H$2:H$37,"",0,1)),_xlfn.XLOOKUP($C1208,Phone_by_Sentiment!$B$2:$B$37,Phone_by_Sentiment!H$2:H$37,"",0,1),0),$A1208-TEXT(DATEVALUE($D1208&amp;"-01"), "dd-mm-yyyy")),0),0)</f>
        <v>845</v>
      </c>
      <c r="I1208" cm="1">
        <f t="array" ref="I1208">IF($Q1208&gt;=0,IFERROR(generateSalesData($D1208, IF(ISNUMBER(_xlfn.XLOOKUP($C1208,Phone_by_Sentiment!$B$2:$B$37,Phone_by_Sentiment!I$2:I$37,"",0,1)),_xlfn.XLOOKUP($C1208,Phone_by_Sentiment!$B$2:$B$37,Phone_by_Sentiment!I$2:I$37,"",0,1),0),$A1208-TEXT(DATEVALUE($D1208&amp;"-01"), "dd-mm-yyyy")),0),0)</f>
        <v>584</v>
      </c>
      <c r="J1208" cm="1">
        <f t="array" ref="J1208">IF($Q1208&gt;=0,IFERROR(generateSalesData($D1208, IF(ISNUMBER(_xlfn.XLOOKUP($C1208,Phone_by_Sentiment!$B$2:$B$37,Phone_by_Sentiment!J$2:J$37,"",0,1)),_xlfn.XLOOKUP($C1208,Phone_by_Sentiment!$B$2:$B$37,Phone_by_Sentiment!J$2:J$37,"",0,1),0),$A1208-TEXT(DATEVALUE($D1208&amp;"-01"), "dd-mm-yyyy")),0),0)</f>
        <v>470</v>
      </c>
      <c r="K1208" cm="1">
        <f t="array" ref="K1208">IF($Q1208&gt;=0,IFERROR(generateSalesData($D1208, IF(ISNUMBER(_xlfn.XLOOKUP($C1208,Phone_by_Sentiment!$B$2:$B$37,Phone_by_Sentiment!K$2:K$37,"",0,1)),_xlfn.XLOOKUP($C1208,Phone_by_Sentiment!$B$2:$B$37,Phone_by_Sentiment!K$2:K$37,"",0,1),0),$A1208-TEXT(DATEVALUE($D1208&amp;"-01"), "dd-mm-yyyy")),0),0)</f>
        <v>1080</v>
      </c>
      <c r="L1208" cm="1">
        <f t="array" ref="L1208">IF($Q1208&gt;=0,IFERROR(generateSalesData($D1208, IF(ISNUMBER(_xlfn.XLOOKUP($C1208,Phone_by_Sentiment!$B$2:$B$37,Phone_by_Sentiment!L$2:L$37,"",0,1)),_xlfn.XLOOKUP($C1208,Phone_by_Sentiment!$B$2:$B$37,Phone_by_Sentiment!L$2:L$37,"",0,1),0),$A1208-TEXT(DATEVALUE($D1208&amp;"-01"), "dd-mm-yyyy")),0),0)</f>
        <v>419</v>
      </c>
      <c r="M1208" cm="1">
        <f t="array" ref="M1208">IF($Q1208&gt;=0,IFERROR(generateSalesData($D1208, IF(ISNUMBER(_xlfn.XLOOKUP($C1208,Phone_by_Sentiment!$B$2:$B$37,Phone_by_Sentiment!M$2:M$37,"",0,1)),_xlfn.XLOOKUP($C1208,Phone_by_Sentiment!$B$2:$B$37,Phone_by_Sentiment!M$2:M$37,"",0,1),0),$A1208-TEXT(DATEVALUE($D1208&amp;"-01"), "dd-mm-yyyy")),0),0)</f>
        <v>266</v>
      </c>
      <c r="N1208" cm="1">
        <f t="array" ref="N1208">IF($Q1208&gt;=0,IFERROR(generateSalesData($D1208, IF(ISNUMBER(_xlfn.XLOOKUP($C1208,Phone_by_Sentiment!$B$2:$B$37,Phone_by_Sentiment!N$2:N$37,"",0,1)),_xlfn.XLOOKUP($C1208,Phone_by_Sentiment!$B$2:$B$37,Phone_by_Sentiment!N$2:N$37,"",0,1),0),$A1208-TEXT(DATEVALUE($D1208&amp;"-01"), "dd-mm-yyyy")),0),0)</f>
        <v>1714</v>
      </c>
      <c r="O1208" cm="1">
        <f t="array" ref="O1208">IF($Q1208&gt;=0,IFERROR(generateSalesData($D1208, IF(ISNUMBER(_xlfn.XLOOKUP($C1208,Phone_by_Sentiment!$B$2:$B$37,Phone_by_Sentiment!O$2:O$37,"",0,1)),_xlfn.XLOOKUP($C1208,Phone_by_Sentiment!$B$2:$B$37,Phone_by_Sentiment!O$2:O$37,"",0,1),0),$A1208-TEXT(DATEVALUE($D1208&amp;"-01"), "dd-mm-yyyy")),0),0)</f>
        <v>205</v>
      </c>
      <c r="P1208" s="1">
        <f t="shared" si="49"/>
        <v>44256</v>
      </c>
      <c r="Q1208">
        <f t="shared" si="50"/>
        <v>245</v>
      </c>
    </row>
    <row r="1209" spans="1:17" x14ac:dyDescent="0.25">
      <c r="A1209" s="1">
        <f t="shared" si="48"/>
        <v>44501</v>
      </c>
      <c r="B1209" t="s">
        <v>160</v>
      </c>
      <c r="C1209" t="str">
        <f>_xlfn.XLOOKUP(B1209,Phone_by_Price!$A$2:$A$34,Phone_by_Price!$B$2:$B$34,"-",0,1)</f>
        <v>Xiaomi Poco X3 Pro</v>
      </c>
      <c r="D1209" t="str">
        <f>_xlfn.XLOOKUP(C1209,Phone_by_Sentiment!$B$2:$B$37,Phone_by_Sentiment!$A$2:$A$37,"-",0,1)</f>
        <v>2021-05</v>
      </c>
      <c r="E1209" cm="1">
        <f t="array" ref="E1209">IF($Q1209&gt;=0,IFERROR(generateSalesData($D1209, IF(ISNUMBER(_xlfn.XLOOKUP($C1209,Phone_by_Sentiment!$B$2:$B$37,Phone_by_Sentiment!E$2:E$37,"",0,1)),_xlfn.XLOOKUP($C1209,Phone_by_Sentiment!$B$2:$B$37,Phone_by_Sentiment!E$2:E$37,"",0,1),0),$A1209-TEXT(DATEVALUE($D1209&amp;"-01"), "dd-mm-yyyy")),0),0)</f>
        <v>1198</v>
      </c>
      <c r="F1209" cm="1">
        <f t="array" ref="F1209">IF($Q1209&gt;=0,IFERROR(generateSalesData($D1209, IF(ISNUMBER(_xlfn.XLOOKUP($C1209,Phone_by_Sentiment!$B$2:$B$37,Phone_by_Sentiment!F$2:F$37,"",0,1)),_xlfn.XLOOKUP($C1209,Phone_by_Sentiment!$B$2:$B$37,Phone_by_Sentiment!F$2:F$37,"",0,1),0),$A1209-TEXT(DATEVALUE($D1209&amp;"-01"), "dd-mm-yyyy")),0),0)</f>
        <v>381</v>
      </c>
      <c r="G1209" cm="1">
        <f t="array" ref="G1209">IF($Q1209&gt;=0,IFERROR(generateSalesData($D1209, IF(ISNUMBER(_xlfn.XLOOKUP($C1209,Phone_by_Sentiment!$B$2:$B$37,Phone_by_Sentiment!G$2:G$37,"",0,1)),_xlfn.XLOOKUP($C1209,Phone_by_Sentiment!$B$2:$B$37,Phone_by_Sentiment!G$2:G$37,"",0,1),0),$A1209-TEXT(DATEVALUE($D1209&amp;"-01"), "dd-mm-yyyy")),0),0)</f>
        <v>408</v>
      </c>
      <c r="H1209" cm="1">
        <f t="array" ref="H1209">IF($Q1209&gt;=0,IFERROR(generateSalesData($D1209, IF(ISNUMBER(_xlfn.XLOOKUP($C1209,Phone_by_Sentiment!$B$2:$B$37,Phone_by_Sentiment!H$2:H$37,"",0,1)),_xlfn.XLOOKUP($C1209,Phone_by_Sentiment!$B$2:$B$37,Phone_by_Sentiment!H$2:H$37,"",0,1),0),$A1209-TEXT(DATEVALUE($D1209&amp;"-01"), "dd-mm-yyyy")),0),0)</f>
        <v>1105</v>
      </c>
      <c r="I1209" cm="1">
        <f t="array" ref="I1209">IF($Q1209&gt;=0,IFERROR(generateSalesData($D1209, IF(ISNUMBER(_xlfn.XLOOKUP($C1209,Phone_by_Sentiment!$B$2:$B$37,Phone_by_Sentiment!I$2:I$37,"",0,1)),_xlfn.XLOOKUP($C1209,Phone_by_Sentiment!$B$2:$B$37,Phone_by_Sentiment!I$2:I$37,"",0,1),0),$A1209-TEXT(DATEVALUE($D1209&amp;"-01"), "dd-mm-yyyy")),0),0)</f>
        <v>1061</v>
      </c>
      <c r="J1209" cm="1">
        <f t="array" ref="J1209">IF($Q1209&gt;=0,IFERROR(generateSalesData($D1209, IF(ISNUMBER(_xlfn.XLOOKUP($C1209,Phone_by_Sentiment!$B$2:$B$37,Phone_by_Sentiment!J$2:J$37,"",0,1)),_xlfn.XLOOKUP($C1209,Phone_by_Sentiment!$B$2:$B$37,Phone_by_Sentiment!J$2:J$37,"",0,1),0),$A1209-TEXT(DATEVALUE($D1209&amp;"-01"), "dd-mm-yyyy")),0),0)</f>
        <v>231</v>
      </c>
      <c r="K1209" cm="1">
        <f t="array" ref="K1209">IF($Q1209&gt;=0,IFERROR(generateSalesData($D1209, IF(ISNUMBER(_xlfn.XLOOKUP($C1209,Phone_by_Sentiment!$B$2:$B$37,Phone_by_Sentiment!K$2:K$37,"",0,1)),_xlfn.XLOOKUP($C1209,Phone_by_Sentiment!$B$2:$B$37,Phone_by_Sentiment!K$2:K$37,"",0,1),0),$A1209-TEXT(DATEVALUE($D1209&amp;"-01"), "dd-mm-yyyy")),0),0)</f>
        <v>1133</v>
      </c>
      <c r="L1209" cm="1">
        <f t="array" ref="L1209">IF($Q1209&gt;=0,IFERROR(generateSalesData($D1209, IF(ISNUMBER(_xlfn.XLOOKUP($C1209,Phone_by_Sentiment!$B$2:$B$37,Phone_by_Sentiment!L$2:L$37,"",0,1)),_xlfn.XLOOKUP($C1209,Phone_by_Sentiment!$B$2:$B$37,Phone_by_Sentiment!L$2:L$37,"",0,1),0),$A1209-TEXT(DATEVALUE($D1209&amp;"-01"), "dd-mm-yyyy")),0),0)</f>
        <v>311</v>
      </c>
      <c r="M1209" cm="1">
        <f t="array" ref="M1209">IF($Q1209&gt;=0,IFERROR(generateSalesData($D1209, IF(ISNUMBER(_xlfn.XLOOKUP($C1209,Phone_by_Sentiment!$B$2:$B$37,Phone_by_Sentiment!M$2:M$37,"",0,1)),_xlfn.XLOOKUP($C1209,Phone_by_Sentiment!$B$2:$B$37,Phone_by_Sentiment!M$2:M$37,"",0,1),0),$A1209-TEXT(DATEVALUE($D1209&amp;"-01"), "dd-mm-yyyy")),0),0)</f>
        <v>725</v>
      </c>
      <c r="N1209" cm="1">
        <f t="array" ref="N1209">IF($Q1209&gt;=0,IFERROR(generateSalesData($D1209, IF(ISNUMBER(_xlfn.XLOOKUP($C1209,Phone_by_Sentiment!$B$2:$B$37,Phone_by_Sentiment!N$2:N$37,"",0,1)),_xlfn.XLOOKUP($C1209,Phone_by_Sentiment!$B$2:$B$37,Phone_by_Sentiment!N$2:N$37,"",0,1),0),$A1209-TEXT(DATEVALUE($D1209&amp;"-01"), "dd-mm-yyyy")),0),0)</f>
        <v>445</v>
      </c>
      <c r="O1209" cm="1">
        <f t="array" ref="O1209">IF($Q1209&gt;=0,IFERROR(generateSalesData($D1209, IF(ISNUMBER(_xlfn.XLOOKUP($C1209,Phone_by_Sentiment!$B$2:$B$37,Phone_by_Sentiment!O$2:O$37,"",0,1)),_xlfn.XLOOKUP($C1209,Phone_by_Sentiment!$B$2:$B$37,Phone_by_Sentiment!O$2:O$37,"",0,1),0),$A1209-TEXT(DATEVALUE($D1209&amp;"-01"), "dd-mm-yyyy")),0),0)</f>
        <v>296</v>
      </c>
      <c r="P1209" s="1">
        <f t="shared" si="49"/>
        <v>44317</v>
      </c>
      <c r="Q1209">
        <f t="shared" si="50"/>
        <v>184</v>
      </c>
    </row>
    <row r="1210" spans="1:17" x14ac:dyDescent="0.25">
      <c r="A1210" s="1">
        <f t="shared" si="48"/>
        <v>44501</v>
      </c>
      <c r="B1210" t="s">
        <v>161</v>
      </c>
      <c r="C1210" t="str">
        <f>_xlfn.XLOOKUP(B1210,Phone_by_Price!$A$2:$A$34,Phone_by_Price!$B$2:$B$34,"-",0,1)</f>
        <v>Samsung Galaxy Z Flip 3</v>
      </c>
      <c r="D1210" t="str">
        <f>_xlfn.XLOOKUP(C1210,Phone_by_Sentiment!$B$2:$B$37,Phone_by_Sentiment!$A$2:$A$37,"-",0,1)</f>
        <v>2021-09</v>
      </c>
      <c r="E1210" cm="1">
        <f t="array" ref="E1210">IF($Q1210&gt;=0,IFERROR(generateSalesData($D1210, IF(ISNUMBER(_xlfn.XLOOKUP($C1210,Phone_by_Sentiment!$B$2:$B$37,Phone_by_Sentiment!E$2:E$37,"",0,1)),_xlfn.XLOOKUP($C1210,Phone_by_Sentiment!$B$2:$B$37,Phone_by_Sentiment!E$2:E$37,"",0,1),0),$A1210-TEXT(DATEVALUE($D1210&amp;"-01"), "dd-mm-yyyy")),0),0)</f>
        <v>4169</v>
      </c>
      <c r="F1210" cm="1">
        <f t="array" ref="F1210">IF($Q1210&gt;=0,IFERROR(generateSalesData($D1210, IF(ISNUMBER(_xlfn.XLOOKUP($C1210,Phone_by_Sentiment!$B$2:$B$37,Phone_by_Sentiment!F$2:F$37,"",0,1)),_xlfn.XLOOKUP($C1210,Phone_by_Sentiment!$B$2:$B$37,Phone_by_Sentiment!F$2:F$37,"",0,1),0),$A1210-TEXT(DATEVALUE($D1210&amp;"-01"), "dd-mm-yyyy")),0),0)</f>
        <v>4545</v>
      </c>
      <c r="G1210" cm="1">
        <f t="array" ref="G1210">IF($Q1210&gt;=0,IFERROR(generateSalesData($D1210, IF(ISNUMBER(_xlfn.XLOOKUP($C1210,Phone_by_Sentiment!$B$2:$B$37,Phone_by_Sentiment!G$2:G$37,"",0,1)),_xlfn.XLOOKUP($C1210,Phone_by_Sentiment!$B$2:$B$37,Phone_by_Sentiment!G$2:G$37,"",0,1),0),$A1210-TEXT(DATEVALUE($D1210&amp;"-01"), "dd-mm-yyyy")),0),0)</f>
        <v>1531</v>
      </c>
      <c r="H1210" cm="1">
        <f t="array" ref="H1210">IF($Q1210&gt;=0,IFERROR(generateSalesData($D1210, IF(ISNUMBER(_xlfn.XLOOKUP($C1210,Phone_by_Sentiment!$B$2:$B$37,Phone_by_Sentiment!H$2:H$37,"",0,1)),_xlfn.XLOOKUP($C1210,Phone_by_Sentiment!$B$2:$B$37,Phone_by_Sentiment!H$2:H$37,"",0,1),0),$A1210-TEXT(DATEVALUE($D1210&amp;"-01"), "dd-mm-yyyy")),0),0)</f>
        <v>5459</v>
      </c>
      <c r="I1210" cm="1">
        <f t="array" ref="I1210">IF($Q1210&gt;=0,IFERROR(generateSalesData($D1210, IF(ISNUMBER(_xlfn.XLOOKUP($C1210,Phone_by_Sentiment!$B$2:$B$37,Phone_by_Sentiment!I$2:I$37,"",0,1)),_xlfn.XLOOKUP($C1210,Phone_by_Sentiment!$B$2:$B$37,Phone_by_Sentiment!I$2:I$37,"",0,1),0),$A1210-TEXT(DATEVALUE($D1210&amp;"-01"), "dd-mm-yyyy")),0),0)</f>
        <v>9741</v>
      </c>
      <c r="J1210" cm="1">
        <f t="array" ref="J1210">IF($Q1210&gt;=0,IFERROR(generateSalesData($D1210, IF(ISNUMBER(_xlfn.XLOOKUP($C1210,Phone_by_Sentiment!$B$2:$B$37,Phone_by_Sentiment!J$2:J$37,"",0,1)),_xlfn.XLOOKUP($C1210,Phone_by_Sentiment!$B$2:$B$37,Phone_by_Sentiment!J$2:J$37,"",0,1),0),$A1210-TEXT(DATEVALUE($D1210&amp;"-01"), "dd-mm-yyyy")),0),0)</f>
        <v>3364</v>
      </c>
      <c r="K1210" cm="1">
        <f t="array" ref="K1210">IF($Q1210&gt;=0,IFERROR(generateSalesData($D1210, IF(ISNUMBER(_xlfn.XLOOKUP($C1210,Phone_by_Sentiment!$B$2:$B$37,Phone_by_Sentiment!K$2:K$37,"",0,1)),_xlfn.XLOOKUP($C1210,Phone_by_Sentiment!$B$2:$B$37,Phone_by_Sentiment!K$2:K$37,"",0,1),0),$A1210-TEXT(DATEVALUE($D1210&amp;"-01"), "dd-mm-yyyy")),0),0)</f>
        <v>3679</v>
      </c>
      <c r="L1210" cm="1">
        <f t="array" ref="L1210">IF($Q1210&gt;=0,IFERROR(generateSalesData($D1210, IF(ISNUMBER(_xlfn.XLOOKUP($C1210,Phone_by_Sentiment!$B$2:$B$37,Phone_by_Sentiment!L$2:L$37,"",0,1)),_xlfn.XLOOKUP($C1210,Phone_by_Sentiment!$B$2:$B$37,Phone_by_Sentiment!L$2:L$37,"",0,1),0),$A1210-TEXT(DATEVALUE($D1210&amp;"-01"), "dd-mm-yyyy")),0),0)</f>
        <v>8117</v>
      </c>
      <c r="M1210" cm="1">
        <f t="array" ref="M1210">IF($Q1210&gt;=0,IFERROR(generateSalesData($D1210, IF(ISNUMBER(_xlfn.XLOOKUP($C1210,Phone_by_Sentiment!$B$2:$B$37,Phone_by_Sentiment!M$2:M$37,"",0,1)),_xlfn.XLOOKUP($C1210,Phone_by_Sentiment!$B$2:$B$37,Phone_by_Sentiment!M$2:M$37,"",0,1),0),$A1210-TEXT(DATEVALUE($D1210&amp;"-01"), "dd-mm-yyyy")),0),0)</f>
        <v>6007</v>
      </c>
      <c r="N1210" cm="1">
        <f t="array" ref="N1210">IF($Q1210&gt;=0,IFERROR(generateSalesData($D1210, IF(ISNUMBER(_xlfn.XLOOKUP($C1210,Phone_by_Sentiment!$B$2:$B$37,Phone_by_Sentiment!N$2:N$37,"",0,1)),_xlfn.XLOOKUP($C1210,Phone_by_Sentiment!$B$2:$B$37,Phone_by_Sentiment!N$2:N$37,"",0,1),0),$A1210-TEXT(DATEVALUE($D1210&amp;"-01"), "dd-mm-yyyy")),0),0)</f>
        <v>1753</v>
      </c>
      <c r="O1210" cm="1">
        <f t="array" ref="O1210">IF($Q1210&gt;=0,IFERROR(generateSalesData($D1210, IF(ISNUMBER(_xlfn.XLOOKUP($C1210,Phone_by_Sentiment!$B$2:$B$37,Phone_by_Sentiment!O$2:O$37,"",0,1)),_xlfn.XLOOKUP($C1210,Phone_by_Sentiment!$B$2:$B$37,Phone_by_Sentiment!O$2:O$37,"",0,1),0),$A1210-TEXT(DATEVALUE($D1210&amp;"-01"), "dd-mm-yyyy")),0),0)</f>
        <v>5136</v>
      </c>
      <c r="P1210" s="1">
        <f t="shared" si="49"/>
        <v>44440</v>
      </c>
      <c r="Q1210">
        <f t="shared" si="50"/>
        <v>61</v>
      </c>
    </row>
    <row r="1211" spans="1:17" x14ac:dyDescent="0.25">
      <c r="A1211" s="1">
        <f t="shared" si="48"/>
        <v>44501</v>
      </c>
      <c r="B1211" t="s">
        <v>162</v>
      </c>
      <c r="C1211" t="str">
        <f>_xlfn.XLOOKUP(B1211,Phone_by_Price!$A$2:$A$34,Phone_by_Price!$B$2:$B$34,"-",0,1)</f>
        <v>Xiaomi Poco X3 NFC</v>
      </c>
      <c r="D1211" t="str">
        <f>_xlfn.XLOOKUP(C1211,Phone_by_Sentiment!$B$2:$B$37,Phone_by_Sentiment!$A$2:$A$37,"-",0,1)</f>
        <v>2020-08</v>
      </c>
      <c r="E1211" cm="1">
        <f t="array" ref="E1211">IF($Q1211&gt;=0,IFERROR(generateSalesData($D1211, IF(ISNUMBER(_xlfn.XLOOKUP($C1211,Phone_by_Sentiment!$B$2:$B$37,Phone_by_Sentiment!E$2:E$37,"",0,1)),_xlfn.XLOOKUP($C1211,Phone_by_Sentiment!$B$2:$B$37,Phone_by_Sentiment!E$2:E$37,"",0,1),0),$A1211-TEXT(DATEVALUE($D1211&amp;"-01"), "dd-mm-yyyy")),0),0)</f>
        <v>193</v>
      </c>
      <c r="F1211" cm="1">
        <f t="array" ref="F1211">IF($Q1211&gt;=0,IFERROR(generateSalesData($D1211, IF(ISNUMBER(_xlfn.XLOOKUP($C1211,Phone_by_Sentiment!$B$2:$B$37,Phone_by_Sentiment!F$2:F$37,"",0,1)),_xlfn.XLOOKUP($C1211,Phone_by_Sentiment!$B$2:$B$37,Phone_by_Sentiment!F$2:F$37,"",0,1),0),$A1211-TEXT(DATEVALUE($D1211&amp;"-01"), "dd-mm-yyyy")),0),0)</f>
        <v>228</v>
      </c>
      <c r="G1211" cm="1">
        <f t="array" ref="G1211">IF($Q1211&gt;=0,IFERROR(generateSalesData($D1211, IF(ISNUMBER(_xlfn.XLOOKUP($C1211,Phone_by_Sentiment!$B$2:$B$37,Phone_by_Sentiment!G$2:G$37,"",0,1)),_xlfn.XLOOKUP($C1211,Phone_by_Sentiment!$B$2:$B$37,Phone_by_Sentiment!G$2:G$37,"",0,1),0),$A1211-TEXT(DATEVALUE($D1211&amp;"-01"), "dd-mm-yyyy")),0),0)</f>
        <v>231</v>
      </c>
      <c r="H1211" cm="1">
        <f t="array" ref="H1211">IF($Q1211&gt;=0,IFERROR(generateSalesData($D1211, IF(ISNUMBER(_xlfn.XLOOKUP($C1211,Phone_by_Sentiment!$B$2:$B$37,Phone_by_Sentiment!H$2:H$37,"",0,1)),_xlfn.XLOOKUP($C1211,Phone_by_Sentiment!$B$2:$B$37,Phone_by_Sentiment!H$2:H$37,"",0,1),0),$A1211-TEXT(DATEVALUE($D1211&amp;"-01"), "dd-mm-yyyy")),0),0)</f>
        <v>396</v>
      </c>
      <c r="I1211" cm="1">
        <f t="array" ref="I1211">IF($Q1211&gt;=0,IFERROR(generateSalesData($D1211, IF(ISNUMBER(_xlfn.XLOOKUP($C1211,Phone_by_Sentiment!$B$2:$B$37,Phone_by_Sentiment!I$2:I$37,"",0,1)),_xlfn.XLOOKUP($C1211,Phone_by_Sentiment!$B$2:$B$37,Phone_by_Sentiment!I$2:I$37,"",0,1),0),$A1211-TEXT(DATEVALUE($D1211&amp;"-01"), "dd-mm-yyyy")),0),0)</f>
        <v>83</v>
      </c>
      <c r="J1211" cm="1">
        <f t="array" ref="J1211">IF($Q1211&gt;=0,IFERROR(generateSalesData($D1211, IF(ISNUMBER(_xlfn.XLOOKUP($C1211,Phone_by_Sentiment!$B$2:$B$37,Phone_by_Sentiment!J$2:J$37,"",0,1)),_xlfn.XLOOKUP($C1211,Phone_by_Sentiment!$B$2:$B$37,Phone_by_Sentiment!J$2:J$37,"",0,1),0),$A1211-TEXT(DATEVALUE($D1211&amp;"-01"), "dd-mm-yyyy")),0),0)</f>
        <v>117</v>
      </c>
      <c r="K1211" cm="1">
        <f t="array" ref="K1211">IF($Q1211&gt;=0,IFERROR(generateSalesData($D1211, IF(ISNUMBER(_xlfn.XLOOKUP($C1211,Phone_by_Sentiment!$B$2:$B$37,Phone_by_Sentiment!K$2:K$37,"",0,1)),_xlfn.XLOOKUP($C1211,Phone_by_Sentiment!$B$2:$B$37,Phone_by_Sentiment!K$2:K$37,"",0,1),0),$A1211-TEXT(DATEVALUE($D1211&amp;"-01"), "dd-mm-yyyy")),0),0)</f>
        <v>502</v>
      </c>
      <c r="L1211" cm="1">
        <f t="array" ref="L1211">IF($Q1211&gt;=0,IFERROR(generateSalesData($D1211, IF(ISNUMBER(_xlfn.XLOOKUP($C1211,Phone_by_Sentiment!$B$2:$B$37,Phone_by_Sentiment!L$2:L$37,"",0,1)),_xlfn.XLOOKUP($C1211,Phone_by_Sentiment!$B$2:$B$37,Phone_by_Sentiment!L$2:L$37,"",0,1),0),$A1211-TEXT(DATEVALUE($D1211&amp;"-01"), "dd-mm-yyyy")),0),0)</f>
        <v>139</v>
      </c>
      <c r="M1211" cm="1">
        <f t="array" ref="M1211">IF($Q1211&gt;=0,IFERROR(generateSalesData($D1211, IF(ISNUMBER(_xlfn.XLOOKUP($C1211,Phone_by_Sentiment!$B$2:$B$37,Phone_by_Sentiment!M$2:M$37,"",0,1)),_xlfn.XLOOKUP($C1211,Phone_by_Sentiment!$B$2:$B$37,Phone_by_Sentiment!M$2:M$37,"",0,1),0),$A1211-TEXT(DATEVALUE($D1211&amp;"-01"), "dd-mm-yyyy")),0),0)</f>
        <v>223</v>
      </c>
      <c r="N1211" cm="1">
        <f t="array" ref="N1211">IF($Q1211&gt;=0,IFERROR(generateSalesData($D1211, IF(ISNUMBER(_xlfn.XLOOKUP($C1211,Phone_by_Sentiment!$B$2:$B$37,Phone_by_Sentiment!N$2:N$37,"",0,1)),_xlfn.XLOOKUP($C1211,Phone_by_Sentiment!$B$2:$B$37,Phone_by_Sentiment!N$2:N$37,"",0,1),0),$A1211-TEXT(DATEVALUE($D1211&amp;"-01"), "dd-mm-yyyy")),0),0)</f>
        <v>71</v>
      </c>
      <c r="O1211" cm="1">
        <f t="array" ref="O1211">IF($Q1211&gt;=0,IFERROR(generateSalesData($D1211, IF(ISNUMBER(_xlfn.XLOOKUP($C1211,Phone_by_Sentiment!$B$2:$B$37,Phone_by_Sentiment!O$2:O$37,"",0,1)),_xlfn.XLOOKUP($C1211,Phone_by_Sentiment!$B$2:$B$37,Phone_by_Sentiment!O$2:O$37,"",0,1),0),$A1211-TEXT(DATEVALUE($D1211&amp;"-01"), "dd-mm-yyyy")),0),0)</f>
        <v>163</v>
      </c>
      <c r="P1211" s="1">
        <f t="shared" si="49"/>
        <v>44044</v>
      </c>
      <c r="Q1211">
        <f t="shared" si="50"/>
        <v>457</v>
      </c>
    </row>
    <row r="1212" spans="1:17" x14ac:dyDescent="0.25">
      <c r="A1212" s="1">
        <f t="shared" si="48"/>
        <v>44501</v>
      </c>
      <c r="B1212" t="s">
        <v>163</v>
      </c>
      <c r="C1212" t="str">
        <f>_xlfn.XLOOKUP(B1212,Phone_by_Price!$A$2:$A$34,Phone_by_Price!$B$2:$B$34,"-",0,1)</f>
        <v>OPPO A93</v>
      </c>
      <c r="D1212" t="str">
        <f>_xlfn.XLOOKUP(C1212,Phone_by_Sentiment!$B$2:$B$37,Phone_by_Sentiment!$A$2:$A$37,"-",0,1)</f>
        <v>2021-02</v>
      </c>
      <c r="E1212" cm="1">
        <f t="array" ref="E1212">IF($Q1212&gt;=0,IFERROR(generateSalesData($D1212, IF(ISNUMBER(_xlfn.XLOOKUP($C1212,Phone_by_Sentiment!$B$2:$B$37,Phone_by_Sentiment!E$2:E$37,"",0,1)),_xlfn.XLOOKUP($C1212,Phone_by_Sentiment!$B$2:$B$37,Phone_by_Sentiment!E$2:E$37,"",0,1),0),$A1212-TEXT(DATEVALUE($D1212&amp;"-01"), "dd-mm-yyyy")),0),0)</f>
        <v>-186</v>
      </c>
      <c r="F1212" cm="1">
        <f t="array" ref="F1212">IF($Q1212&gt;=0,IFERROR(generateSalesData($D1212, IF(ISNUMBER(_xlfn.XLOOKUP($C1212,Phone_by_Sentiment!$B$2:$B$37,Phone_by_Sentiment!F$2:F$37,"",0,1)),_xlfn.XLOOKUP($C1212,Phone_by_Sentiment!$B$2:$B$37,Phone_by_Sentiment!F$2:F$37,"",0,1),0),$A1212-TEXT(DATEVALUE($D1212&amp;"-01"), "dd-mm-yyyy")),0),0)</f>
        <v>223</v>
      </c>
      <c r="G1212" cm="1">
        <f t="array" ref="G1212">IF($Q1212&gt;=0,IFERROR(generateSalesData($D1212, IF(ISNUMBER(_xlfn.XLOOKUP($C1212,Phone_by_Sentiment!$B$2:$B$37,Phone_by_Sentiment!G$2:G$37,"",0,1)),_xlfn.XLOOKUP($C1212,Phone_by_Sentiment!$B$2:$B$37,Phone_by_Sentiment!G$2:G$37,"",0,1),0),$A1212-TEXT(DATEVALUE($D1212&amp;"-01"), "dd-mm-yyyy")),0),0)</f>
        <v>255</v>
      </c>
      <c r="H1212" cm="1">
        <f t="array" ref="H1212">IF($Q1212&gt;=0,IFERROR(generateSalesData($D1212, IF(ISNUMBER(_xlfn.XLOOKUP($C1212,Phone_by_Sentiment!$B$2:$B$37,Phone_by_Sentiment!H$2:H$37,"",0,1)),_xlfn.XLOOKUP($C1212,Phone_by_Sentiment!$B$2:$B$37,Phone_by_Sentiment!H$2:H$37,"",0,1),0),$A1212-TEXT(DATEVALUE($D1212&amp;"-01"), "dd-mm-yyyy")),0),0)</f>
        <v>542</v>
      </c>
      <c r="I1212" cm="1">
        <f t="array" ref="I1212">IF($Q1212&gt;=0,IFERROR(generateSalesData($D1212, IF(ISNUMBER(_xlfn.XLOOKUP($C1212,Phone_by_Sentiment!$B$2:$B$37,Phone_by_Sentiment!I$2:I$37,"",0,1)),_xlfn.XLOOKUP($C1212,Phone_by_Sentiment!$B$2:$B$37,Phone_by_Sentiment!I$2:I$37,"",0,1),0),$A1212-TEXT(DATEVALUE($D1212&amp;"-01"), "dd-mm-yyyy")),0),0)</f>
        <v>902</v>
      </c>
      <c r="J1212" cm="1">
        <f t="array" ref="J1212">IF($Q1212&gt;=0,IFERROR(generateSalesData($D1212, IF(ISNUMBER(_xlfn.XLOOKUP($C1212,Phone_by_Sentiment!$B$2:$B$37,Phone_by_Sentiment!J$2:J$37,"",0,1)),_xlfn.XLOOKUP($C1212,Phone_by_Sentiment!$B$2:$B$37,Phone_by_Sentiment!J$2:J$37,"",0,1),0),$A1212-TEXT(DATEVALUE($D1212&amp;"-01"), "dd-mm-yyyy")),0),0)</f>
        <v>249</v>
      </c>
      <c r="K1212" cm="1">
        <f t="array" ref="K1212">IF($Q1212&gt;=0,IFERROR(generateSalesData($D1212, IF(ISNUMBER(_xlfn.XLOOKUP($C1212,Phone_by_Sentiment!$B$2:$B$37,Phone_by_Sentiment!K$2:K$37,"",0,1)),_xlfn.XLOOKUP($C1212,Phone_by_Sentiment!$B$2:$B$37,Phone_by_Sentiment!K$2:K$37,"",0,1),0),$A1212-TEXT(DATEVALUE($D1212&amp;"-01"), "dd-mm-yyyy")),0),0)</f>
        <v>100</v>
      </c>
      <c r="L1212" cm="1">
        <f t="array" ref="L1212">IF($Q1212&gt;=0,IFERROR(generateSalesData($D1212, IF(ISNUMBER(_xlfn.XLOOKUP($C1212,Phone_by_Sentiment!$B$2:$B$37,Phone_by_Sentiment!L$2:L$37,"",0,1)),_xlfn.XLOOKUP($C1212,Phone_by_Sentiment!$B$2:$B$37,Phone_by_Sentiment!L$2:L$37,"",0,1),0),$A1212-TEXT(DATEVALUE($D1212&amp;"-01"), "dd-mm-yyyy")),0),0)</f>
        <v>24</v>
      </c>
      <c r="M1212" cm="1">
        <f t="array" ref="M1212">IF($Q1212&gt;=0,IFERROR(generateSalesData($D1212, IF(ISNUMBER(_xlfn.XLOOKUP($C1212,Phone_by_Sentiment!$B$2:$B$37,Phone_by_Sentiment!M$2:M$37,"",0,1)),_xlfn.XLOOKUP($C1212,Phone_by_Sentiment!$B$2:$B$37,Phone_by_Sentiment!M$2:M$37,"",0,1),0),$A1212-TEXT(DATEVALUE($D1212&amp;"-01"), "dd-mm-yyyy")),0),0)</f>
        <v>981</v>
      </c>
      <c r="N1212" cm="1">
        <f t="array" ref="N1212">IF($Q1212&gt;=0,IFERROR(generateSalesData($D1212, IF(ISNUMBER(_xlfn.XLOOKUP($C1212,Phone_by_Sentiment!$B$2:$B$37,Phone_by_Sentiment!N$2:N$37,"",0,1)),_xlfn.XLOOKUP($C1212,Phone_by_Sentiment!$B$2:$B$37,Phone_by_Sentiment!N$2:N$37,"",0,1),0),$A1212-TEXT(DATEVALUE($D1212&amp;"-01"), "dd-mm-yyyy")),0),0)</f>
        <v>1557</v>
      </c>
      <c r="O1212" cm="1">
        <f t="array" ref="O1212">IF($Q1212&gt;=0,IFERROR(generateSalesData($D1212, IF(ISNUMBER(_xlfn.XLOOKUP($C1212,Phone_by_Sentiment!$B$2:$B$37,Phone_by_Sentiment!O$2:O$37,"",0,1)),_xlfn.XLOOKUP($C1212,Phone_by_Sentiment!$B$2:$B$37,Phone_by_Sentiment!O$2:O$37,"",0,1),0),$A1212-TEXT(DATEVALUE($D1212&amp;"-01"), "dd-mm-yyyy")),0),0)</f>
        <v>245</v>
      </c>
      <c r="P1212" s="1">
        <f t="shared" si="49"/>
        <v>44228</v>
      </c>
      <c r="Q1212">
        <f t="shared" si="50"/>
        <v>273</v>
      </c>
    </row>
    <row r="1213" spans="1:17" x14ac:dyDescent="0.25">
      <c r="A1213" s="1">
        <f t="shared" si="48"/>
        <v>44501</v>
      </c>
      <c r="B1213" t="s">
        <v>164</v>
      </c>
      <c r="C1213" t="str">
        <f>_xlfn.XLOOKUP(B1213,Phone_by_Price!$A$2:$A$34,Phone_by_Price!$B$2:$B$34,"-",0,1)</f>
        <v>Vivo V20</v>
      </c>
      <c r="D1213" t="str">
        <f>_xlfn.XLOOKUP(C1213,Phone_by_Sentiment!$B$2:$B$37,Phone_by_Sentiment!$A$2:$A$37,"-",0,1)</f>
        <v>2020-10</v>
      </c>
      <c r="E1213" cm="1">
        <f t="array" ref="E1213">IF($Q1213&gt;=0,IFERROR(generateSalesData($D1213, IF(ISNUMBER(_xlfn.XLOOKUP($C1213,Phone_by_Sentiment!$B$2:$B$37,Phone_by_Sentiment!E$2:E$37,"",0,1)),_xlfn.XLOOKUP($C1213,Phone_by_Sentiment!$B$2:$B$37,Phone_by_Sentiment!E$2:E$37,"",0,1),0),$A1213-TEXT(DATEVALUE($D1213&amp;"-01"), "dd-mm-yyyy")),0),0)</f>
        <v>385</v>
      </c>
      <c r="F1213" cm="1">
        <f t="array" ref="F1213">IF($Q1213&gt;=0,IFERROR(generateSalesData($D1213, IF(ISNUMBER(_xlfn.XLOOKUP($C1213,Phone_by_Sentiment!$B$2:$B$37,Phone_by_Sentiment!F$2:F$37,"",0,1)),_xlfn.XLOOKUP($C1213,Phone_by_Sentiment!$B$2:$B$37,Phone_by_Sentiment!F$2:F$37,"",0,1),0),$A1213-TEXT(DATEVALUE($D1213&amp;"-01"), "dd-mm-yyyy")),0),0)</f>
        <v>-15</v>
      </c>
      <c r="G1213" cm="1">
        <f t="array" ref="G1213">IF($Q1213&gt;=0,IFERROR(generateSalesData($D1213, IF(ISNUMBER(_xlfn.XLOOKUP($C1213,Phone_by_Sentiment!$B$2:$B$37,Phone_by_Sentiment!G$2:G$37,"",0,1)),_xlfn.XLOOKUP($C1213,Phone_by_Sentiment!$B$2:$B$37,Phone_by_Sentiment!G$2:G$37,"",0,1),0),$A1213-TEXT(DATEVALUE($D1213&amp;"-01"), "dd-mm-yyyy")),0),0)</f>
        <v>212</v>
      </c>
      <c r="H1213" cm="1">
        <f t="array" ref="H1213">IF($Q1213&gt;=0,IFERROR(generateSalesData($D1213, IF(ISNUMBER(_xlfn.XLOOKUP($C1213,Phone_by_Sentiment!$B$2:$B$37,Phone_by_Sentiment!H$2:H$37,"",0,1)),_xlfn.XLOOKUP($C1213,Phone_by_Sentiment!$B$2:$B$37,Phone_by_Sentiment!H$2:H$37,"",0,1),0),$A1213-TEXT(DATEVALUE($D1213&amp;"-01"), "dd-mm-yyyy")),0),0)</f>
        <v>266</v>
      </c>
      <c r="I1213" cm="1">
        <f t="array" ref="I1213">IF($Q1213&gt;=0,IFERROR(generateSalesData($D1213, IF(ISNUMBER(_xlfn.XLOOKUP($C1213,Phone_by_Sentiment!$B$2:$B$37,Phone_by_Sentiment!I$2:I$37,"",0,1)),_xlfn.XLOOKUP($C1213,Phone_by_Sentiment!$B$2:$B$37,Phone_by_Sentiment!I$2:I$37,"",0,1),0),$A1213-TEXT(DATEVALUE($D1213&amp;"-01"), "dd-mm-yyyy")),0),0)</f>
        <v>141</v>
      </c>
      <c r="J1213" cm="1">
        <f t="array" ref="J1213">IF($Q1213&gt;=0,IFERROR(generateSalesData($D1213, IF(ISNUMBER(_xlfn.XLOOKUP($C1213,Phone_by_Sentiment!$B$2:$B$37,Phone_by_Sentiment!J$2:J$37,"",0,1)),_xlfn.XLOOKUP($C1213,Phone_by_Sentiment!$B$2:$B$37,Phone_by_Sentiment!J$2:J$37,"",0,1),0),$A1213-TEXT(DATEVALUE($D1213&amp;"-01"), "dd-mm-yyyy")),0),0)</f>
        <v>75</v>
      </c>
      <c r="K1213" cm="1">
        <f t="array" ref="K1213">IF($Q1213&gt;=0,IFERROR(generateSalesData($D1213, IF(ISNUMBER(_xlfn.XLOOKUP($C1213,Phone_by_Sentiment!$B$2:$B$37,Phone_by_Sentiment!K$2:K$37,"",0,1)),_xlfn.XLOOKUP($C1213,Phone_by_Sentiment!$B$2:$B$37,Phone_by_Sentiment!K$2:K$37,"",0,1),0),$A1213-TEXT(DATEVALUE($D1213&amp;"-01"), "dd-mm-yyyy")),0),0)</f>
        <v>165</v>
      </c>
      <c r="L1213" cm="1">
        <f t="array" ref="L1213">IF($Q1213&gt;=0,IFERROR(generateSalesData($D1213, IF(ISNUMBER(_xlfn.XLOOKUP($C1213,Phone_by_Sentiment!$B$2:$B$37,Phone_by_Sentiment!L$2:L$37,"",0,1)),_xlfn.XLOOKUP($C1213,Phone_by_Sentiment!$B$2:$B$37,Phone_by_Sentiment!L$2:L$37,"",0,1),0),$A1213-TEXT(DATEVALUE($D1213&amp;"-01"), "dd-mm-yyyy")),0),0)</f>
        <v>41</v>
      </c>
      <c r="M1213" cm="1">
        <f t="array" ref="M1213">IF($Q1213&gt;=0,IFERROR(generateSalesData($D1213, IF(ISNUMBER(_xlfn.XLOOKUP($C1213,Phone_by_Sentiment!$B$2:$B$37,Phone_by_Sentiment!M$2:M$37,"",0,1)),_xlfn.XLOOKUP($C1213,Phone_by_Sentiment!$B$2:$B$37,Phone_by_Sentiment!M$2:M$37,"",0,1),0),$A1213-TEXT(DATEVALUE($D1213&amp;"-01"), "dd-mm-yyyy")),0),0)</f>
        <v>116</v>
      </c>
      <c r="N1213" cm="1">
        <f t="array" ref="N1213">IF($Q1213&gt;=0,IFERROR(generateSalesData($D1213, IF(ISNUMBER(_xlfn.XLOOKUP($C1213,Phone_by_Sentiment!$B$2:$B$37,Phone_by_Sentiment!N$2:N$37,"",0,1)),_xlfn.XLOOKUP($C1213,Phone_by_Sentiment!$B$2:$B$37,Phone_by_Sentiment!N$2:N$37,"",0,1),0),$A1213-TEXT(DATEVALUE($D1213&amp;"-01"), "dd-mm-yyyy")),0),0)</f>
        <v>58</v>
      </c>
      <c r="O1213" cm="1">
        <f t="array" ref="O1213">IF($Q1213&gt;=0,IFERROR(generateSalesData($D1213, IF(ISNUMBER(_xlfn.XLOOKUP($C1213,Phone_by_Sentiment!$B$2:$B$37,Phone_by_Sentiment!O$2:O$37,"",0,1)),_xlfn.XLOOKUP($C1213,Phone_by_Sentiment!$B$2:$B$37,Phone_by_Sentiment!O$2:O$37,"",0,1),0),$A1213-TEXT(DATEVALUE($D1213&amp;"-01"), "dd-mm-yyyy")),0),0)</f>
        <v>96</v>
      </c>
      <c r="P1213" s="1">
        <f t="shared" si="49"/>
        <v>44105</v>
      </c>
      <c r="Q1213">
        <f t="shared" si="50"/>
        <v>396</v>
      </c>
    </row>
    <row r="1214" spans="1:17" x14ac:dyDescent="0.25">
      <c r="A1214" s="1">
        <f t="shared" si="48"/>
        <v>44501</v>
      </c>
      <c r="B1214" t="s">
        <v>165</v>
      </c>
      <c r="C1214" t="str">
        <f>_xlfn.XLOOKUP(B1214,Phone_by_Price!$A$2:$A$34,Phone_by_Price!$B$2:$B$34,"-",0,1)</f>
        <v>Samsung Galaxy A50</v>
      </c>
      <c r="D1214" t="str">
        <f>_xlfn.XLOOKUP(C1214,Phone_by_Sentiment!$B$2:$B$37,Phone_by_Sentiment!$A$2:$A$37,"-",0,1)</f>
        <v>2019-05</v>
      </c>
      <c r="E1214" cm="1">
        <f t="array" ref="E1214">IF($Q1214&gt;=0,IFERROR(generateSalesData($D1214, IF(ISNUMBER(_xlfn.XLOOKUP($C1214,Phone_by_Sentiment!$B$2:$B$37,Phone_by_Sentiment!E$2:E$37,"",0,1)),_xlfn.XLOOKUP($C1214,Phone_by_Sentiment!$B$2:$B$37,Phone_by_Sentiment!E$2:E$37,"",0,1),0),$A1214-TEXT(DATEVALUE($D1214&amp;"-01"), "dd-mm-yyyy")),0),0)</f>
        <v>414</v>
      </c>
      <c r="F1214" cm="1">
        <f t="array" ref="F1214">IF($Q1214&gt;=0,IFERROR(generateSalesData($D1214, IF(ISNUMBER(_xlfn.XLOOKUP($C1214,Phone_by_Sentiment!$B$2:$B$37,Phone_by_Sentiment!F$2:F$37,"",0,1)),_xlfn.XLOOKUP($C1214,Phone_by_Sentiment!$B$2:$B$37,Phone_by_Sentiment!F$2:F$37,"",0,1),0),$A1214-TEXT(DATEVALUE($D1214&amp;"-01"), "dd-mm-yyyy")),0),0)</f>
        <v>55</v>
      </c>
      <c r="G1214" cm="1">
        <f t="array" ref="G1214">IF($Q1214&gt;=0,IFERROR(generateSalesData($D1214, IF(ISNUMBER(_xlfn.XLOOKUP($C1214,Phone_by_Sentiment!$B$2:$B$37,Phone_by_Sentiment!G$2:G$37,"",0,1)),_xlfn.XLOOKUP($C1214,Phone_by_Sentiment!$B$2:$B$37,Phone_by_Sentiment!G$2:G$37,"",0,1),0),$A1214-TEXT(DATEVALUE($D1214&amp;"-01"), "dd-mm-yyyy")),0),0)</f>
        <v>124</v>
      </c>
      <c r="H1214" cm="1">
        <f t="array" ref="H1214">IF($Q1214&gt;=0,IFERROR(generateSalesData($D1214, IF(ISNUMBER(_xlfn.XLOOKUP($C1214,Phone_by_Sentiment!$B$2:$B$37,Phone_by_Sentiment!H$2:H$37,"",0,1)),_xlfn.XLOOKUP($C1214,Phone_by_Sentiment!$B$2:$B$37,Phone_by_Sentiment!H$2:H$37,"",0,1),0),$A1214-TEXT(DATEVALUE($D1214&amp;"-01"), "dd-mm-yyyy")),0),0)</f>
        <v>266</v>
      </c>
      <c r="I1214" cm="1">
        <f t="array" ref="I1214">IF($Q1214&gt;=0,IFERROR(generateSalesData($D1214, IF(ISNUMBER(_xlfn.XLOOKUP($C1214,Phone_by_Sentiment!$B$2:$B$37,Phone_by_Sentiment!I$2:I$37,"",0,1)),_xlfn.XLOOKUP($C1214,Phone_by_Sentiment!$B$2:$B$37,Phone_by_Sentiment!I$2:I$37,"",0,1),0),$A1214-TEXT(DATEVALUE($D1214&amp;"-01"), "dd-mm-yyyy")),0),0)</f>
        <v>250</v>
      </c>
      <c r="J1214" cm="1">
        <f t="array" ref="J1214">IF($Q1214&gt;=0,IFERROR(generateSalesData($D1214, IF(ISNUMBER(_xlfn.XLOOKUP($C1214,Phone_by_Sentiment!$B$2:$B$37,Phone_by_Sentiment!J$2:J$37,"",0,1)),_xlfn.XLOOKUP($C1214,Phone_by_Sentiment!$B$2:$B$37,Phone_by_Sentiment!J$2:J$37,"",0,1),0),$A1214-TEXT(DATEVALUE($D1214&amp;"-01"), "dd-mm-yyyy")),0),0)</f>
        <v>59</v>
      </c>
      <c r="K1214" cm="1">
        <f t="array" ref="K1214">IF($Q1214&gt;=0,IFERROR(generateSalesData($D1214, IF(ISNUMBER(_xlfn.XLOOKUP($C1214,Phone_by_Sentiment!$B$2:$B$37,Phone_by_Sentiment!K$2:K$37,"",0,1)),_xlfn.XLOOKUP($C1214,Phone_by_Sentiment!$B$2:$B$37,Phone_by_Sentiment!K$2:K$37,"",0,1),0),$A1214-TEXT(DATEVALUE($D1214&amp;"-01"), "dd-mm-yyyy")),0),0)</f>
        <v>94</v>
      </c>
      <c r="L1214" cm="1">
        <f t="array" ref="L1214">IF($Q1214&gt;=0,IFERROR(generateSalesData($D1214, IF(ISNUMBER(_xlfn.XLOOKUP($C1214,Phone_by_Sentiment!$B$2:$B$37,Phone_by_Sentiment!L$2:L$37,"",0,1)),_xlfn.XLOOKUP($C1214,Phone_by_Sentiment!$B$2:$B$37,Phone_by_Sentiment!L$2:L$37,"",0,1),0),$A1214-TEXT(DATEVALUE($D1214&amp;"-01"), "dd-mm-yyyy")),0),0)</f>
        <v>358</v>
      </c>
      <c r="M1214" cm="1">
        <f t="array" ref="M1214">IF($Q1214&gt;=0,IFERROR(generateSalesData($D1214, IF(ISNUMBER(_xlfn.XLOOKUP($C1214,Phone_by_Sentiment!$B$2:$B$37,Phone_by_Sentiment!M$2:M$37,"",0,1)),_xlfn.XLOOKUP($C1214,Phone_by_Sentiment!$B$2:$B$37,Phone_by_Sentiment!M$2:M$37,"",0,1),0),$A1214-TEXT(DATEVALUE($D1214&amp;"-01"), "dd-mm-yyyy")),0),0)</f>
        <v>49</v>
      </c>
      <c r="N1214" cm="1">
        <f t="array" ref="N1214">IF($Q1214&gt;=0,IFERROR(generateSalesData($D1214, IF(ISNUMBER(_xlfn.XLOOKUP($C1214,Phone_by_Sentiment!$B$2:$B$37,Phone_by_Sentiment!N$2:N$37,"",0,1)),_xlfn.XLOOKUP($C1214,Phone_by_Sentiment!$B$2:$B$37,Phone_by_Sentiment!N$2:N$37,"",0,1),0),$A1214-TEXT(DATEVALUE($D1214&amp;"-01"), "dd-mm-yyyy")),0),0)</f>
        <v>141</v>
      </c>
      <c r="O1214" cm="1">
        <f t="array" ref="O1214">IF($Q1214&gt;=0,IFERROR(generateSalesData($D1214, IF(ISNUMBER(_xlfn.XLOOKUP($C1214,Phone_by_Sentiment!$B$2:$B$37,Phone_by_Sentiment!O$2:O$37,"",0,1)),_xlfn.XLOOKUP($C1214,Phone_by_Sentiment!$B$2:$B$37,Phone_by_Sentiment!O$2:O$37,"",0,1),0),$A1214-TEXT(DATEVALUE($D1214&amp;"-01"), "dd-mm-yyyy")),0),0)</f>
        <v>211</v>
      </c>
      <c r="P1214" s="1">
        <f t="shared" si="49"/>
        <v>43586</v>
      </c>
      <c r="Q1214">
        <f t="shared" si="50"/>
        <v>915</v>
      </c>
    </row>
    <row r="1215" spans="1:17" x14ac:dyDescent="0.25">
      <c r="A1215" s="1">
        <f t="shared" si="48"/>
        <v>44501</v>
      </c>
      <c r="B1215" t="s">
        <v>166</v>
      </c>
      <c r="C1215" t="str">
        <f>_xlfn.XLOOKUP(B1215,Phone_by_Price!$A$2:$A$34,Phone_by_Price!$B$2:$B$34,"-",0,1)</f>
        <v>Xiaomi Redmi Note 7</v>
      </c>
      <c r="D1215" t="str">
        <f>_xlfn.XLOOKUP(C1215,Phone_by_Sentiment!$B$2:$B$37,Phone_by_Sentiment!$A$2:$A$37,"-",0,1)</f>
        <v>2019-08</v>
      </c>
      <c r="E1215" cm="1">
        <f t="array" ref="E1215">IF($Q1215&gt;=0,IFERROR(generateSalesData($D1215, IF(ISNUMBER(_xlfn.XLOOKUP($C1215,Phone_by_Sentiment!$B$2:$B$37,Phone_by_Sentiment!E$2:E$37,"",0,1)),_xlfn.XLOOKUP($C1215,Phone_by_Sentiment!$B$2:$B$37,Phone_by_Sentiment!E$2:E$37,"",0,1),0),$A1215-TEXT(DATEVALUE($D1215&amp;"-01"), "dd-mm-yyyy")),0),0)</f>
        <v>55</v>
      </c>
      <c r="F1215" cm="1">
        <f t="array" ref="F1215">IF($Q1215&gt;=0,IFERROR(generateSalesData($D1215, IF(ISNUMBER(_xlfn.XLOOKUP($C1215,Phone_by_Sentiment!$B$2:$B$37,Phone_by_Sentiment!F$2:F$37,"",0,1)),_xlfn.XLOOKUP($C1215,Phone_by_Sentiment!$B$2:$B$37,Phone_by_Sentiment!F$2:F$37,"",0,1),0),$A1215-TEXT(DATEVALUE($D1215&amp;"-01"), "dd-mm-yyyy")),0),0)</f>
        <v>134</v>
      </c>
      <c r="G1215" cm="1">
        <f t="array" ref="G1215">IF($Q1215&gt;=0,IFERROR(generateSalesData($D1215, IF(ISNUMBER(_xlfn.XLOOKUP($C1215,Phone_by_Sentiment!$B$2:$B$37,Phone_by_Sentiment!G$2:G$37,"",0,1)),_xlfn.XLOOKUP($C1215,Phone_by_Sentiment!$B$2:$B$37,Phone_by_Sentiment!G$2:G$37,"",0,1),0),$A1215-TEXT(DATEVALUE($D1215&amp;"-01"), "dd-mm-yyyy")),0),0)</f>
        <v>122</v>
      </c>
      <c r="H1215" cm="1">
        <f t="array" ref="H1215">IF($Q1215&gt;=0,IFERROR(generateSalesData($D1215, IF(ISNUMBER(_xlfn.XLOOKUP($C1215,Phone_by_Sentiment!$B$2:$B$37,Phone_by_Sentiment!H$2:H$37,"",0,1)),_xlfn.XLOOKUP($C1215,Phone_by_Sentiment!$B$2:$B$37,Phone_by_Sentiment!H$2:H$37,"",0,1),0),$A1215-TEXT(DATEVALUE($D1215&amp;"-01"), "dd-mm-yyyy")),0),0)</f>
        <v>347</v>
      </c>
      <c r="I1215" cm="1">
        <f t="array" ref="I1215">IF($Q1215&gt;=0,IFERROR(generateSalesData($D1215, IF(ISNUMBER(_xlfn.XLOOKUP($C1215,Phone_by_Sentiment!$B$2:$B$37,Phone_by_Sentiment!I$2:I$37,"",0,1)),_xlfn.XLOOKUP($C1215,Phone_by_Sentiment!$B$2:$B$37,Phone_by_Sentiment!I$2:I$37,"",0,1),0),$A1215-TEXT(DATEVALUE($D1215&amp;"-01"), "dd-mm-yyyy")),0),0)</f>
        <v>76</v>
      </c>
      <c r="J1215" cm="1">
        <f t="array" ref="J1215">IF($Q1215&gt;=0,IFERROR(generateSalesData($D1215, IF(ISNUMBER(_xlfn.XLOOKUP($C1215,Phone_by_Sentiment!$B$2:$B$37,Phone_by_Sentiment!J$2:J$37,"",0,1)),_xlfn.XLOOKUP($C1215,Phone_by_Sentiment!$B$2:$B$37,Phone_by_Sentiment!J$2:J$37,"",0,1),0),$A1215-TEXT(DATEVALUE($D1215&amp;"-01"), "dd-mm-yyyy")),0),0)</f>
        <v>96</v>
      </c>
      <c r="K1215" cm="1">
        <f t="array" ref="K1215">IF($Q1215&gt;=0,IFERROR(generateSalesData($D1215, IF(ISNUMBER(_xlfn.XLOOKUP($C1215,Phone_by_Sentiment!$B$2:$B$37,Phone_by_Sentiment!K$2:K$37,"",0,1)),_xlfn.XLOOKUP($C1215,Phone_by_Sentiment!$B$2:$B$37,Phone_by_Sentiment!K$2:K$37,"",0,1),0),$A1215-TEXT(DATEVALUE($D1215&amp;"-01"), "dd-mm-yyyy")),0),0)</f>
        <v>122</v>
      </c>
      <c r="L1215" cm="1">
        <f t="array" ref="L1215">IF($Q1215&gt;=0,IFERROR(generateSalesData($D1215, IF(ISNUMBER(_xlfn.XLOOKUP($C1215,Phone_by_Sentiment!$B$2:$B$37,Phone_by_Sentiment!L$2:L$37,"",0,1)),_xlfn.XLOOKUP($C1215,Phone_by_Sentiment!$B$2:$B$37,Phone_by_Sentiment!L$2:L$37,"",0,1),0),$A1215-TEXT(DATEVALUE($D1215&amp;"-01"), "dd-mm-yyyy")),0),0)</f>
        <v>52</v>
      </c>
      <c r="M1215" cm="1">
        <f t="array" ref="M1215">IF($Q1215&gt;=0,IFERROR(generateSalesData($D1215, IF(ISNUMBER(_xlfn.XLOOKUP($C1215,Phone_by_Sentiment!$B$2:$B$37,Phone_by_Sentiment!M$2:M$37,"",0,1)),_xlfn.XLOOKUP($C1215,Phone_by_Sentiment!$B$2:$B$37,Phone_by_Sentiment!M$2:M$37,"",0,1),0),$A1215-TEXT(DATEVALUE($D1215&amp;"-01"), "dd-mm-yyyy")),0),0)</f>
        <v>246</v>
      </c>
      <c r="N1215" cm="1">
        <f t="array" ref="N1215">IF($Q1215&gt;=0,IFERROR(generateSalesData($D1215, IF(ISNUMBER(_xlfn.XLOOKUP($C1215,Phone_by_Sentiment!$B$2:$B$37,Phone_by_Sentiment!N$2:N$37,"",0,1)),_xlfn.XLOOKUP($C1215,Phone_by_Sentiment!$B$2:$B$37,Phone_by_Sentiment!N$2:N$37,"",0,1),0),$A1215-TEXT(DATEVALUE($D1215&amp;"-01"), "dd-mm-yyyy")),0),0)</f>
        <v>104</v>
      </c>
      <c r="O1215" cm="1">
        <f t="array" ref="O1215">IF($Q1215&gt;=0,IFERROR(generateSalesData($D1215, IF(ISNUMBER(_xlfn.XLOOKUP($C1215,Phone_by_Sentiment!$B$2:$B$37,Phone_by_Sentiment!O$2:O$37,"",0,1)),_xlfn.XLOOKUP($C1215,Phone_by_Sentiment!$B$2:$B$37,Phone_by_Sentiment!O$2:O$37,"",0,1),0),$A1215-TEXT(DATEVALUE($D1215&amp;"-01"), "dd-mm-yyyy")),0),0)</f>
        <v>349</v>
      </c>
      <c r="P1215" s="1">
        <f t="shared" si="49"/>
        <v>43678</v>
      </c>
      <c r="Q1215">
        <f t="shared" si="50"/>
        <v>823</v>
      </c>
    </row>
    <row r="1216" spans="1:17" x14ac:dyDescent="0.25">
      <c r="A1216" s="1">
        <f t="shared" si="48"/>
        <v>44501</v>
      </c>
      <c r="B1216" t="s">
        <v>167</v>
      </c>
      <c r="C1216" t="str">
        <f>_xlfn.XLOOKUP(B1216,Phone_by_Price!$A$2:$A$34,Phone_by_Price!$B$2:$B$34,"-",0,1)</f>
        <v>Realme C21</v>
      </c>
      <c r="D1216" t="str">
        <f>_xlfn.XLOOKUP(C1216,Phone_by_Sentiment!$B$2:$B$37,Phone_by_Sentiment!$A$2:$A$37,"-",0,1)</f>
        <v>2021-04</v>
      </c>
      <c r="E1216" cm="1">
        <f t="array" ref="E1216">IF($Q1216&gt;=0,IFERROR(generateSalesData($D1216, IF(ISNUMBER(_xlfn.XLOOKUP($C1216,Phone_by_Sentiment!$B$2:$B$37,Phone_by_Sentiment!E$2:E$37,"",0,1)),_xlfn.XLOOKUP($C1216,Phone_by_Sentiment!$B$2:$B$37,Phone_by_Sentiment!E$2:E$37,"",0,1),0),$A1216-TEXT(DATEVALUE($D1216&amp;"-01"), "dd-mm-yyyy")),0),0)</f>
        <v>341</v>
      </c>
      <c r="F1216" cm="1">
        <f t="array" ref="F1216">IF($Q1216&gt;=0,IFERROR(generateSalesData($D1216, IF(ISNUMBER(_xlfn.XLOOKUP($C1216,Phone_by_Sentiment!$B$2:$B$37,Phone_by_Sentiment!F$2:F$37,"",0,1)),_xlfn.XLOOKUP($C1216,Phone_by_Sentiment!$B$2:$B$37,Phone_by_Sentiment!F$2:F$37,"",0,1),0),$A1216-TEXT(DATEVALUE($D1216&amp;"-01"), "dd-mm-yyyy")),0),0)</f>
        <v>159</v>
      </c>
      <c r="G1216" cm="1">
        <f t="array" ref="G1216">IF($Q1216&gt;=0,IFERROR(generateSalesData($D1216, IF(ISNUMBER(_xlfn.XLOOKUP($C1216,Phone_by_Sentiment!$B$2:$B$37,Phone_by_Sentiment!G$2:G$37,"",0,1)),_xlfn.XLOOKUP($C1216,Phone_by_Sentiment!$B$2:$B$37,Phone_by_Sentiment!G$2:G$37,"",0,1),0),$A1216-TEXT(DATEVALUE($D1216&amp;"-01"), "dd-mm-yyyy")),0),0)</f>
        <v>209</v>
      </c>
      <c r="H1216" cm="1">
        <f t="array" ref="H1216">IF($Q1216&gt;=0,IFERROR(generateSalesData($D1216, IF(ISNUMBER(_xlfn.XLOOKUP($C1216,Phone_by_Sentiment!$B$2:$B$37,Phone_by_Sentiment!H$2:H$37,"",0,1)),_xlfn.XLOOKUP($C1216,Phone_by_Sentiment!$B$2:$B$37,Phone_by_Sentiment!H$2:H$37,"",0,1),0),$A1216-TEXT(DATEVALUE($D1216&amp;"-01"), "dd-mm-yyyy")),0),0)</f>
        <v>1434</v>
      </c>
      <c r="I1216" cm="1">
        <f t="array" ref="I1216">IF($Q1216&gt;=0,IFERROR(generateSalesData($D1216, IF(ISNUMBER(_xlfn.XLOOKUP($C1216,Phone_by_Sentiment!$B$2:$B$37,Phone_by_Sentiment!I$2:I$37,"",0,1)),_xlfn.XLOOKUP($C1216,Phone_by_Sentiment!$B$2:$B$37,Phone_by_Sentiment!I$2:I$37,"",0,1),0),$A1216-TEXT(DATEVALUE($D1216&amp;"-01"), "dd-mm-yyyy")),0),0)</f>
        <v>610</v>
      </c>
      <c r="J1216" cm="1">
        <f t="array" ref="J1216">IF($Q1216&gt;=0,IFERROR(generateSalesData($D1216, IF(ISNUMBER(_xlfn.XLOOKUP($C1216,Phone_by_Sentiment!$B$2:$B$37,Phone_by_Sentiment!J$2:J$37,"",0,1)),_xlfn.XLOOKUP($C1216,Phone_by_Sentiment!$B$2:$B$37,Phone_by_Sentiment!J$2:J$37,"",0,1),0),$A1216-TEXT(DATEVALUE($D1216&amp;"-01"), "dd-mm-yyyy")),0),0)</f>
        <v>176</v>
      </c>
      <c r="K1216" cm="1">
        <f t="array" ref="K1216">IF($Q1216&gt;=0,IFERROR(generateSalesData($D1216, IF(ISNUMBER(_xlfn.XLOOKUP($C1216,Phone_by_Sentiment!$B$2:$B$37,Phone_by_Sentiment!K$2:K$37,"",0,1)),_xlfn.XLOOKUP($C1216,Phone_by_Sentiment!$B$2:$B$37,Phone_by_Sentiment!K$2:K$37,"",0,1),0),$A1216-TEXT(DATEVALUE($D1216&amp;"-01"), "dd-mm-yyyy")),0),0)</f>
        <v>1136</v>
      </c>
      <c r="L1216" cm="1">
        <f t="array" ref="L1216">IF($Q1216&gt;=0,IFERROR(generateSalesData($D1216, IF(ISNUMBER(_xlfn.XLOOKUP($C1216,Phone_by_Sentiment!$B$2:$B$37,Phone_by_Sentiment!L$2:L$37,"",0,1)),_xlfn.XLOOKUP($C1216,Phone_by_Sentiment!$B$2:$B$37,Phone_by_Sentiment!L$2:L$37,"",0,1),0),$A1216-TEXT(DATEVALUE($D1216&amp;"-01"), "dd-mm-yyyy")),0),0)</f>
        <v>826</v>
      </c>
      <c r="M1216" cm="1">
        <f t="array" ref="M1216">IF($Q1216&gt;=0,IFERROR(generateSalesData($D1216, IF(ISNUMBER(_xlfn.XLOOKUP($C1216,Phone_by_Sentiment!$B$2:$B$37,Phone_by_Sentiment!M$2:M$37,"",0,1)),_xlfn.XLOOKUP($C1216,Phone_by_Sentiment!$B$2:$B$37,Phone_by_Sentiment!M$2:M$37,"",0,1),0),$A1216-TEXT(DATEVALUE($D1216&amp;"-01"), "dd-mm-yyyy")),0),0)</f>
        <v>80</v>
      </c>
      <c r="N1216" cm="1">
        <f t="array" ref="N1216">IF($Q1216&gt;=0,IFERROR(generateSalesData($D1216, IF(ISNUMBER(_xlfn.XLOOKUP($C1216,Phone_by_Sentiment!$B$2:$B$37,Phone_by_Sentiment!N$2:N$37,"",0,1)),_xlfn.XLOOKUP($C1216,Phone_by_Sentiment!$B$2:$B$37,Phone_by_Sentiment!N$2:N$37,"",0,1),0),$A1216-TEXT(DATEVALUE($D1216&amp;"-01"), "dd-mm-yyyy")),0),0)</f>
        <v>1558</v>
      </c>
      <c r="O1216" cm="1">
        <f t="array" ref="O1216">IF($Q1216&gt;=0,IFERROR(generateSalesData($D1216, IF(ISNUMBER(_xlfn.XLOOKUP($C1216,Phone_by_Sentiment!$B$2:$B$37,Phone_by_Sentiment!O$2:O$37,"",0,1)),_xlfn.XLOOKUP($C1216,Phone_by_Sentiment!$B$2:$B$37,Phone_by_Sentiment!O$2:O$37,"",0,1),0),$A1216-TEXT(DATEVALUE($D1216&amp;"-01"), "dd-mm-yyyy")),0),0)</f>
        <v>243</v>
      </c>
      <c r="P1216" s="1">
        <f t="shared" si="49"/>
        <v>44287</v>
      </c>
      <c r="Q1216">
        <f t="shared" si="50"/>
        <v>214</v>
      </c>
    </row>
    <row r="1217" spans="1:17" x14ac:dyDescent="0.25">
      <c r="A1217" s="1">
        <f t="shared" si="48"/>
        <v>44501</v>
      </c>
      <c r="B1217" t="s">
        <v>168</v>
      </c>
      <c r="C1217" t="str">
        <f>_xlfn.XLOOKUP(B1217,Phone_by_Price!$A$2:$A$34,Phone_by_Price!$B$2:$B$34,"-",0,1)</f>
        <v>Google Pixel 4</v>
      </c>
      <c r="D1217" t="str">
        <f>_xlfn.XLOOKUP(C1217,Phone_by_Sentiment!$B$2:$B$37,Phone_by_Sentiment!$A$2:$A$37,"-",0,1)</f>
        <v>2019-09</v>
      </c>
      <c r="E1217" cm="1">
        <f t="array" ref="E1217">IF($Q1217&gt;=0,IFERROR(generateSalesData($D1217, IF(ISNUMBER(_xlfn.XLOOKUP($C1217,Phone_by_Sentiment!$B$2:$B$37,Phone_by_Sentiment!E$2:E$37,"",0,1)),_xlfn.XLOOKUP($C1217,Phone_by_Sentiment!$B$2:$B$37,Phone_by_Sentiment!E$2:E$37,"",0,1),0),$A1217-TEXT(DATEVALUE($D1217&amp;"-01"), "dd-mm-yyyy")),0),0)</f>
        <v>188</v>
      </c>
      <c r="F1217" cm="1">
        <f t="array" ref="F1217">IF($Q1217&gt;=0,IFERROR(generateSalesData($D1217, IF(ISNUMBER(_xlfn.XLOOKUP($C1217,Phone_by_Sentiment!$B$2:$B$37,Phone_by_Sentiment!F$2:F$37,"",0,1)),_xlfn.XLOOKUP($C1217,Phone_by_Sentiment!$B$2:$B$37,Phone_by_Sentiment!F$2:F$37,"",0,1),0),$A1217-TEXT(DATEVALUE($D1217&amp;"-01"), "dd-mm-yyyy")),0),0)</f>
        <v>94</v>
      </c>
      <c r="G1217" cm="1">
        <f t="array" ref="G1217">IF($Q1217&gt;=0,IFERROR(generateSalesData($D1217, IF(ISNUMBER(_xlfn.XLOOKUP($C1217,Phone_by_Sentiment!$B$2:$B$37,Phone_by_Sentiment!G$2:G$37,"",0,1)),_xlfn.XLOOKUP($C1217,Phone_by_Sentiment!$B$2:$B$37,Phone_by_Sentiment!G$2:G$37,"",0,1),0),$A1217-TEXT(DATEVALUE($D1217&amp;"-01"), "dd-mm-yyyy")),0),0)</f>
        <v>35</v>
      </c>
      <c r="H1217" cm="1">
        <f t="array" ref="H1217">IF($Q1217&gt;=0,IFERROR(generateSalesData($D1217, IF(ISNUMBER(_xlfn.XLOOKUP($C1217,Phone_by_Sentiment!$B$2:$B$37,Phone_by_Sentiment!H$2:H$37,"",0,1)),_xlfn.XLOOKUP($C1217,Phone_by_Sentiment!$B$2:$B$37,Phone_by_Sentiment!H$2:H$37,"",0,1),0),$A1217-TEXT(DATEVALUE($D1217&amp;"-01"), "dd-mm-yyyy")),0),0)</f>
        <v>17</v>
      </c>
      <c r="I1217" cm="1">
        <f t="array" ref="I1217">IF($Q1217&gt;=0,IFERROR(generateSalesData($D1217, IF(ISNUMBER(_xlfn.XLOOKUP($C1217,Phone_by_Sentiment!$B$2:$B$37,Phone_by_Sentiment!I$2:I$37,"",0,1)),_xlfn.XLOOKUP($C1217,Phone_by_Sentiment!$B$2:$B$37,Phone_by_Sentiment!I$2:I$37,"",0,1),0),$A1217-TEXT(DATEVALUE($D1217&amp;"-01"), "dd-mm-yyyy")),0),0)</f>
        <v>60</v>
      </c>
      <c r="J1217" cm="1">
        <f t="array" ref="J1217">IF($Q1217&gt;=0,IFERROR(generateSalesData($D1217, IF(ISNUMBER(_xlfn.XLOOKUP($C1217,Phone_by_Sentiment!$B$2:$B$37,Phone_by_Sentiment!J$2:J$37,"",0,1)),_xlfn.XLOOKUP($C1217,Phone_by_Sentiment!$B$2:$B$37,Phone_by_Sentiment!J$2:J$37,"",0,1),0),$A1217-TEXT(DATEVALUE($D1217&amp;"-01"), "dd-mm-yyyy")),0),0)</f>
        <v>108</v>
      </c>
      <c r="K1217" cm="1">
        <f t="array" ref="K1217">IF($Q1217&gt;=0,IFERROR(generateSalesData($D1217, IF(ISNUMBER(_xlfn.XLOOKUP($C1217,Phone_by_Sentiment!$B$2:$B$37,Phone_by_Sentiment!K$2:K$37,"",0,1)),_xlfn.XLOOKUP($C1217,Phone_by_Sentiment!$B$2:$B$37,Phone_by_Sentiment!K$2:K$37,"",0,1),0),$A1217-TEXT(DATEVALUE($D1217&amp;"-01"), "dd-mm-yyyy")),0),0)</f>
        <v>166</v>
      </c>
      <c r="L1217" cm="1">
        <f t="array" ref="L1217">IF($Q1217&gt;=0,IFERROR(generateSalesData($D1217, IF(ISNUMBER(_xlfn.XLOOKUP($C1217,Phone_by_Sentiment!$B$2:$B$37,Phone_by_Sentiment!L$2:L$37,"",0,1)),_xlfn.XLOOKUP($C1217,Phone_by_Sentiment!$B$2:$B$37,Phone_by_Sentiment!L$2:L$37,"",0,1),0),$A1217-TEXT(DATEVALUE($D1217&amp;"-01"), "dd-mm-yyyy")),0),0)</f>
        <v>233</v>
      </c>
      <c r="M1217" cm="1">
        <f t="array" ref="M1217">IF($Q1217&gt;=0,IFERROR(generateSalesData($D1217, IF(ISNUMBER(_xlfn.XLOOKUP($C1217,Phone_by_Sentiment!$B$2:$B$37,Phone_by_Sentiment!M$2:M$37,"",0,1)),_xlfn.XLOOKUP($C1217,Phone_by_Sentiment!$B$2:$B$37,Phone_by_Sentiment!M$2:M$37,"",0,1),0),$A1217-TEXT(DATEVALUE($D1217&amp;"-01"), "dd-mm-yyyy")),0),0)</f>
        <v>102</v>
      </c>
      <c r="N1217" cm="1">
        <f t="array" ref="N1217">IF($Q1217&gt;=0,IFERROR(generateSalesData($D1217, IF(ISNUMBER(_xlfn.XLOOKUP($C1217,Phone_by_Sentiment!$B$2:$B$37,Phone_by_Sentiment!N$2:N$37,"",0,1)),_xlfn.XLOOKUP($C1217,Phone_by_Sentiment!$B$2:$B$37,Phone_by_Sentiment!N$2:N$37,"",0,1),0),$A1217-TEXT(DATEVALUE($D1217&amp;"-01"), "dd-mm-yyyy")),0),0)</f>
        <v>378</v>
      </c>
      <c r="O1217" cm="1">
        <f t="array" ref="O1217">IF($Q1217&gt;=0,IFERROR(generateSalesData($D1217, IF(ISNUMBER(_xlfn.XLOOKUP($C1217,Phone_by_Sentiment!$B$2:$B$37,Phone_by_Sentiment!O$2:O$37,"",0,1)),_xlfn.XLOOKUP($C1217,Phone_by_Sentiment!$B$2:$B$37,Phone_by_Sentiment!O$2:O$37,"",0,1),0),$A1217-TEXT(DATEVALUE($D1217&amp;"-01"), "dd-mm-yyyy")),0),0)</f>
        <v>84</v>
      </c>
      <c r="P1217" s="1">
        <f t="shared" si="49"/>
        <v>43709</v>
      </c>
      <c r="Q1217">
        <f t="shared" si="50"/>
        <v>792</v>
      </c>
    </row>
    <row r="1218" spans="1:17" x14ac:dyDescent="0.25">
      <c r="A1218" s="1">
        <f t="shared" si="48"/>
        <v>44501</v>
      </c>
      <c r="B1218" t="s">
        <v>169</v>
      </c>
      <c r="C1218" t="str">
        <f>_xlfn.XLOOKUP(B1218,Phone_by_Price!$A$2:$A$34,Phone_by_Price!$B$2:$B$34,"-",0,1)</f>
        <v>Samsung Galaxy A10s</v>
      </c>
      <c r="D1218" t="str">
        <f>_xlfn.XLOOKUP(C1218,Phone_by_Sentiment!$B$2:$B$37,Phone_by_Sentiment!$A$2:$A$37,"-",0,1)</f>
        <v>2019-08</v>
      </c>
      <c r="E1218" cm="1">
        <f t="array" ref="E1218">IF($Q1218&gt;=0,IFERROR(generateSalesData($D1218, IF(ISNUMBER(_xlfn.XLOOKUP($C1218,Phone_by_Sentiment!$B$2:$B$37,Phone_by_Sentiment!E$2:E$37,"",0,1)),_xlfn.XLOOKUP($C1218,Phone_by_Sentiment!$B$2:$B$37,Phone_by_Sentiment!E$2:E$37,"",0,1),0),$A1218-TEXT(DATEVALUE($D1218&amp;"-01"), "dd-mm-yyyy")),0),0)</f>
        <v>77</v>
      </c>
      <c r="F1218" cm="1">
        <f t="array" ref="F1218">IF($Q1218&gt;=0,IFERROR(generateSalesData($D1218, IF(ISNUMBER(_xlfn.XLOOKUP($C1218,Phone_by_Sentiment!$B$2:$B$37,Phone_by_Sentiment!F$2:F$37,"",0,1)),_xlfn.XLOOKUP($C1218,Phone_by_Sentiment!$B$2:$B$37,Phone_by_Sentiment!F$2:F$37,"",0,1),0),$A1218-TEXT(DATEVALUE($D1218&amp;"-01"), "dd-mm-yyyy")),0),0)</f>
        <v>547</v>
      </c>
      <c r="G1218" cm="1">
        <f t="array" ref="G1218">IF($Q1218&gt;=0,IFERROR(generateSalesData($D1218, IF(ISNUMBER(_xlfn.XLOOKUP($C1218,Phone_by_Sentiment!$B$2:$B$37,Phone_by_Sentiment!G$2:G$37,"",0,1)),_xlfn.XLOOKUP($C1218,Phone_by_Sentiment!$B$2:$B$37,Phone_by_Sentiment!G$2:G$37,"",0,1),0),$A1218-TEXT(DATEVALUE($D1218&amp;"-01"), "dd-mm-yyyy")),0),0)</f>
        <v>127</v>
      </c>
      <c r="H1218" cm="1">
        <f t="array" ref="H1218">IF($Q1218&gt;=0,IFERROR(generateSalesData($D1218, IF(ISNUMBER(_xlfn.XLOOKUP($C1218,Phone_by_Sentiment!$B$2:$B$37,Phone_by_Sentiment!H$2:H$37,"",0,1)),_xlfn.XLOOKUP($C1218,Phone_by_Sentiment!$B$2:$B$37,Phone_by_Sentiment!H$2:H$37,"",0,1),0),$A1218-TEXT(DATEVALUE($D1218&amp;"-01"), "dd-mm-yyyy")),0),0)</f>
        <v>228</v>
      </c>
      <c r="I1218" cm="1">
        <f t="array" ref="I1218">IF($Q1218&gt;=0,IFERROR(generateSalesData($D1218, IF(ISNUMBER(_xlfn.XLOOKUP($C1218,Phone_by_Sentiment!$B$2:$B$37,Phone_by_Sentiment!I$2:I$37,"",0,1)),_xlfn.XLOOKUP($C1218,Phone_by_Sentiment!$B$2:$B$37,Phone_by_Sentiment!I$2:I$37,"",0,1),0),$A1218-TEXT(DATEVALUE($D1218&amp;"-01"), "dd-mm-yyyy")),0),0)</f>
        <v>359</v>
      </c>
      <c r="J1218" cm="1">
        <f t="array" ref="J1218">IF($Q1218&gt;=0,IFERROR(generateSalesData($D1218, IF(ISNUMBER(_xlfn.XLOOKUP($C1218,Phone_by_Sentiment!$B$2:$B$37,Phone_by_Sentiment!J$2:J$37,"",0,1)),_xlfn.XLOOKUP($C1218,Phone_by_Sentiment!$B$2:$B$37,Phone_by_Sentiment!J$2:J$37,"",0,1),0),$A1218-TEXT(DATEVALUE($D1218&amp;"-01"), "dd-mm-yyyy")),0),0)</f>
        <v>63</v>
      </c>
      <c r="K1218" cm="1">
        <f t="array" ref="K1218">IF($Q1218&gt;=0,IFERROR(generateSalesData($D1218, IF(ISNUMBER(_xlfn.XLOOKUP($C1218,Phone_by_Sentiment!$B$2:$B$37,Phone_by_Sentiment!K$2:K$37,"",0,1)),_xlfn.XLOOKUP($C1218,Phone_by_Sentiment!$B$2:$B$37,Phone_by_Sentiment!K$2:K$37,"",0,1),0),$A1218-TEXT(DATEVALUE($D1218&amp;"-01"), "dd-mm-yyyy")),0),0)</f>
        <v>134</v>
      </c>
      <c r="L1218" cm="1">
        <f t="array" ref="L1218">IF($Q1218&gt;=0,IFERROR(generateSalesData($D1218, IF(ISNUMBER(_xlfn.XLOOKUP($C1218,Phone_by_Sentiment!$B$2:$B$37,Phone_by_Sentiment!L$2:L$37,"",0,1)),_xlfn.XLOOKUP($C1218,Phone_by_Sentiment!$B$2:$B$37,Phone_by_Sentiment!L$2:L$37,"",0,1),0),$A1218-TEXT(DATEVALUE($D1218&amp;"-01"), "dd-mm-yyyy")),0),0)</f>
        <v>132</v>
      </c>
      <c r="M1218" cm="1">
        <f t="array" ref="M1218">IF($Q1218&gt;=0,IFERROR(generateSalesData($D1218, IF(ISNUMBER(_xlfn.XLOOKUP($C1218,Phone_by_Sentiment!$B$2:$B$37,Phone_by_Sentiment!M$2:M$37,"",0,1)),_xlfn.XLOOKUP($C1218,Phone_by_Sentiment!$B$2:$B$37,Phone_by_Sentiment!M$2:M$37,"",0,1),0),$A1218-TEXT(DATEVALUE($D1218&amp;"-01"), "dd-mm-yyyy")),0),0)</f>
        <v>293</v>
      </c>
      <c r="N1218" cm="1">
        <f t="array" ref="N1218">IF($Q1218&gt;=0,IFERROR(generateSalesData($D1218, IF(ISNUMBER(_xlfn.XLOOKUP($C1218,Phone_by_Sentiment!$B$2:$B$37,Phone_by_Sentiment!N$2:N$37,"",0,1)),_xlfn.XLOOKUP($C1218,Phone_by_Sentiment!$B$2:$B$37,Phone_by_Sentiment!N$2:N$37,"",0,1),0),$A1218-TEXT(DATEVALUE($D1218&amp;"-01"), "dd-mm-yyyy")),0),0)</f>
        <v>132</v>
      </c>
      <c r="O1218" cm="1">
        <f t="array" ref="O1218">IF($Q1218&gt;=0,IFERROR(generateSalesData($D1218, IF(ISNUMBER(_xlfn.XLOOKUP($C1218,Phone_by_Sentiment!$B$2:$B$37,Phone_by_Sentiment!O$2:O$37,"",0,1)),_xlfn.XLOOKUP($C1218,Phone_by_Sentiment!$B$2:$B$37,Phone_by_Sentiment!O$2:O$37,"",0,1),0),$A1218-TEXT(DATEVALUE($D1218&amp;"-01"), "dd-mm-yyyy")),0),0)</f>
        <v>307</v>
      </c>
      <c r="P1218" s="1">
        <f t="shared" si="49"/>
        <v>43678</v>
      </c>
      <c r="Q1218">
        <f t="shared" si="50"/>
        <v>823</v>
      </c>
    </row>
    <row r="1219" spans="1:17" x14ac:dyDescent="0.25">
      <c r="A1219" s="1">
        <f t="shared" si="48"/>
        <v>44501</v>
      </c>
      <c r="B1219" t="s">
        <v>170</v>
      </c>
      <c r="C1219" t="str">
        <f>_xlfn.XLOOKUP(B1219,Phone_by_Price!$A$2:$A$34,Phone_by_Price!$B$2:$B$34,"-",0,1)</f>
        <v>Realme Narzo 30A</v>
      </c>
      <c r="D1219" t="str">
        <f>_xlfn.XLOOKUP(C1219,Phone_by_Sentiment!$B$2:$B$37,Phone_by_Sentiment!$A$2:$A$37,"-",0,1)</f>
        <v>2021-02</v>
      </c>
      <c r="E1219" cm="1">
        <f t="array" ref="E1219">IF($Q1219&gt;=0,IFERROR(generateSalesData($D1219, IF(ISNUMBER(_xlfn.XLOOKUP($C1219,Phone_by_Sentiment!$B$2:$B$37,Phone_by_Sentiment!E$2:E$37,"",0,1)),_xlfn.XLOOKUP($C1219,Phone_by_Sentiment!$B$2:$B$37,Phone_by_Sentiment!E$2:E$37,"",0,1),0),$A1219-TEXT(DATEVALUE($D1219&amp;"-01"), "dd-mm-yyyy")),0),0)</f>
        <v>343</v>
      </c>
      <c r="F1219" cm="1">
        <f t="array" ref="F1219">IF($Q1219&gt;=0,IFERROR(generateSalesData($D1219, IF(ISNUMBER(_xlfn.XLOOKUP($C1219,Phone_by_Sentiment!$B$2:$B$37,Phone_by_Sentiment!F$2:F$37,"",0,1)),_xlfn.XLOOKUP($C1219,Phone_by_Sentiment!$B$2:$B$37,Phone_by_Sentiment!F$2:F$37,"",0,1),0),$A1219-TEXT(DATEVALUE($D1219&amp;"-01"), "dd-mm-yyyy")),0),0)</f>
        <v>238</v>
      </c>
      <c r="G1219" cm="1">
        <f t="array" ref="G1219">IF($Q1219&gt;=0,IFERROR(generateSalesData($D1219, IF(ISNUMBER(_xlfn.XLOOKUP($C1219,Phone_by_Sentiment!$B$2:$B$37,Phone_by_Sentiment!G$2:G$37,"",0,1)),_xlfn.XLOOKUP($C1219,Phone_by_Sentiment!$B$2:$B$37,Phone_by_Sentiment!G$2:G$37,"",0,1),0),$A1219-TEXT(DATEVALUE($D1219&amp;"-01"), "dd-mm-yyyy")),0),0)</f>
        <v>389</v>
      </c>
      <c r="H1219" cm="1">
        <f t="array" ref="H1219">IF($Q1219&gt;=0,IFERROR(generateSalesData($D1219, IF(ISNUMBER(_xlfn.XLOOKUP($C1219,Phone_by_Sentiment!$B$2:$B$37,Phone_by_Sentiment!H$2:H$37,"",0,1)),_xlfn.XLOOKUP($C1219,Phone_by_Sentiment!$B$2:$B$37,Phone_by_Sentiment!H$2:H$37,"",0,1),0),$A1219-TEXT(DATEVALUE($D1219&amp;"-01"), "dd-mm-yyyy")),0),0)</f>
        <v>226</v>
      </c>
      <c r="I1219" cm="1">
        <f t="array" ref="I1219">IF($Q1219&gt;=0,IFERROR(generateSalesData($D1219, IF(ISNUMBER(_xlfn.XLOOKUP($C1219,Phone_by_Sentiment!$B$2:$B$37,Phone_by_Sentiment!I$2:I$37,"",0,1)),_xlfn.XLOOKUP($C1219,Phone_by_Sentiment!$B$2:$B$37,Phone_by_Sentiment!I$2:I$37,"",0,1),0),$A1219-TEXT(DATEVALUE($D1219&amp;"-01"), "dd-mm-yyyy")),0),0)</f>
        <v>827</v>
      </c>
      <c r="J1219" cm="1">
        <f t="array" ref="J1219">IF($Q1219&gt;=0,IFERROR(generateSalesData($D1219, IF(ISNUMBER(_xlfn.XLOOKUP($C1219,Phone_by_Sentiment!$B$2:$B$37,Phone_by_Sentiment!J$2:J$37,"",0,1)),_xlfn.XLOOKUP($C1219,Phone_by_Sentiment!$B$2:$B$37,Phone_by_Sentiment!J$2:J$37,"",0,1),0),$A1219-TEXT(DATEVALUE($D1219&amp;"-01"), "dd-mm-yyyy")),0),0)</f>
        <v>47</v>
      </c>
      <c r="K1219" cm="1">
        <f t="array" ref="K1219">IF($Q1219&gt;=0,IFERROR(generateSalesData($D1219, IF(ISNUMBER(_xlfn.XLOOKUP($C1219,Phone_by_Sentiment!$B$2:$B$37,Phone_by_Sentiment!K$2:K$37,"",0,1)),_xlfn.XLOOKUP($C1219,Phone_by_Sentiment!$B$2:$B$37,Phone_by_Sentiment!K$2:K$37,"",0,1),0),$A1219-TEXT(DATEVALUE($D1219&amp;"-01"), "dd-mm-yyyy")),0),0)</f>
        <v>1213</v>
      </c>
      <c r="L1219" cm="1">
        <f t="array" ref="L1219">IF($Q1219&gt;=0,IFERROR(generateSalesData($D1219, IF(ISNUMBER(_xlfn.XLOOKUP($C1219,Phone_by_Sentiment!$B$2:$B$37,Phone_by_Sentiment!L$2:L$37,"",0,1)),_xlfn.XLOOKUP($C1219,Phone_by_Sentiment!$B$2:$B$37,Phone_by_Sentiment!L$2:L$37,"",0,1),0),$A1219-TEXT(DATEVALUE($D1219&amp;"-01"), "dd-mm-yyyy")),0),0)</f>
        <v>397</v>
      </c>
      <c r="M1219" cm="1">
        <f t="array" ref="M1219">IF($Q1219&gt;=0,IFERROR(generateSalesData($D1219, IF(ISNUMBER(_xlfn.XLOOKUP($C1219,Phone_by_Sentiment!$B$2:$B$37,Phone_by_Sentiment!M$2:M$37,"",0,1)),_xlfn.XLOOKUP($C1219,Phone_by_Sentiment!$B$2:$B$37,Phone_by_Sentiment!M$2:M$37,"",0,1),0),$A1219-TEXT(DATEVALUE($D1219&amp;"-01"), "dd-mm-yyyy")),0),0)</f>
        <v>197</v>
      </c>
      <c r="N1219" cm="1">
        <f t="array" ref="N1219">IF($Q1219&gt;=0,IFERROR(generateSalesData($D1219, IF(ISNUMBER(_xlfn.XLOOKUP($C1219,Phone_by_Sentiment!$B$2:$B$37,Phone_by_Sentiment!N$2:N$37,"",0,1)),_xlfn.XLOOKUP($C1219,Phone_by_Sentiment!$B$2:$B$37,Phone_by_Sentiment!N$2:N$37,"",0,1),0),$A1219-TEXT(DATEVALUE($D1219&amp;"-01"), "dd-mm-yyyy")),0),0)</f>
        <v>983</v>
      </c>
      <c r="O1219" cm="1">
        <f t="array" ref="O1219">IF($Q1219&gt;=0,IFERROR(generateSalesData($D1219, IF(ISNUMBER(_xlfn.XLOOKUP($C1219,Phone_by_Sentiment!$B$2:$B$37,Phone_by_Sentiment!O$2:O$37,"",0,1)),_xlfn.XLOOKUP($C1219,Phone_by_Sentiment!$B$2:$B$37,Phone_by_Sentiment!O$2:O$37,"",0,1),0),$A1219-TEXT(DATEVALUE($D1219&amp;"-01"), "dd-mm-yyyy")),0),0)</f>
        <v>342</v>
      </c>
      <c r="P1219" s="1">
        <f t="shared" si="49"/>
        <v>44228</v>
      </c>
      <c r="Q1219">
        <f t="shared" si="50"/>
        <v>273</v>
      </c>
    </row>
    <row r="1220" spans="1:17" x14ac:dyDescent="0.25">
      <c r="A1220" s="1">
        <f t="shared" si="48"/>
        <v>44501</v>
      </c>
      <c r="B1220" t="s">
        <v>171</v>
      </c>
      <c r="C1220" t="str">
        <f>_xlfn.XLOOKUP(B1220,Phone_by_Price!$A$2:$A$34,Phone_by_Price!$B$2:$B$34,"-",0,1)</f>
        <v>Samsung Galaxy A22 5G</v>
      </c>
      <c r="D1220" t="str">
        <f>_xlfn.XLOOKUP(C1220,Phone_by_Sentiment!$B$2:$B$37,Phone_by_Sentiment!$A$2:$A$37,"-",0,1)</f>
        <v>2021-05</v>
      </c>
      <c r="E1220" cm="1">
        <f t="array" ref="E1220">IF($Q1220&gt;=0,IFERROR(generateSalesData($D1220, IF(ISNUMBER(_xlfn.XLOOKUP($C1220,Phone_by_Sentiment!$B$2:$B$37,Phone_by_Sentiment!E$2:E$37,"",0,1)),_xlfn.XLOOKUP($C1220,Phone_by_Sentiment!$B$2:$B$37,Phone_by_Sentiment!E$2:E$37,"",0,1),0),$A1220-TEXT(DATEVALUE($D1220&amp;"-01"), "dd-mm-yyyy")),0),0)</f>
        <v>1018</v>
      </c>
      <c r="F1220" cm="1">
        <f t="array" ref="F1220">IF($Q1220&gt;=0,IFERROR(generateSalesData($D1220, IF(ISNUMBER(_xlfn.XLOOKUP($C1220,Phone_by_Sentiment!$B$2:$B$37,Phone_by_Sentiment!F$2:F$37,"",0,1)),_xlfn.XLOOKUP($C1220,Phone_by_Sentiment!$B$2:$B$37,Phone_by_Sentiment!F$2:F$37,"",0,1),0),$A1220-TEXT(DATEVALUE($D1220&amp;"-01"), "dd-mm-yyyy")),0),0)</f>
        <v>1387</v>
      </c>
      <c r="G1220" cm="1">
        <f t="array" ref="G1220">IF($Q1220&gt;=0,IFERROR(generateSalesData($D1220, IF(ISNUMBER(_xlfn.XLOOKUP($C1220,Phone_by_Sentiment!$B$2:$B$37,Phone_by_Sentiment!G$2:G$37,"",0,1)),_xlfn.XLOOKUP($C1220,Phone_by_Sentiment!$B$2:$B$37,Phone_by_Sentiment!G$2:G$37,"",0,1),0),$A1220-TEXT(DATEVALUE($D1220&amp;"-01"), "dd-mm-yyyy")),0),0)</f>
        <v>410</v>
      </c>
      <c r="H1220" cm="1">
        <f t="array" ref="H1220">IF($Q1220&gt;=0,IFERROR(generateSalesData($D1220, IF(ISNUMBER(_xlfn.XLOOKUP($C1220,Phone_by_Sentiment!$B$2:$B$37,Phone_by_Sentiment!H$2:H$37,"",0,1)),_xlfn.XLOOKUP($C1220,Phone_by_Sentiment!$B$2:$B$37,Phone_by_Sentiment!H$2:H$37,"",0,1),0),$A1220-TEXT(DATEVALUE($D1220&amp;"-01"), "dd-mm-yyyy")),0),0)</f>
        <v>1653</v>
      </c>
      <c r="I1220" cm="1">
        <f t="array" ref="I1220">IF($Q1220&gt;=0,IFERROR(generateSalesData($D1220, IF(ISNUMBER(_xlfn.XLOOKUP($C1220,Phone_by_Sentiment!$B$2:$B$37,Phone_by_Sentiment!I$2:I$37,"",0,1)),_xlfn.XLOOKUP($C1220,Phone_by_Sentiment!$B$2:$B$37,Phone_by_Sentiment!I$2:I$37,"",0,1),0),$A1220-TEXT(DATEVALUE($D1220&amp;"-01"), "dd-mm-yyyy")),0),0)</f>
        <v>1393</v>
      </c>
      <c r="J1220" cm="1">
        <f t="array" ref="J1220">IF($Q1220&gt;=0,IFERROR(generateSalesData($D1220, IF(ISNUMBER(_xlfn.XLOOKUP($C1220,Phone_by_Sentiment!$B$2:$B$37,Phone_by_Sentiment!J$2:J$37,"",0,1)),_xlfn.XLOOKUP($C1220,Phone_by_Sentiment!$B$2:$B$37,Phone_by_Sentiment!J$2:J$37,"",0,1),0),$A1220-TEXT(DATEVALUE($D1220&amp;"-01"), "dd-mm-yyyy")),0),0)</f>
        <v>1670</v>
      </c>
      <c r="K1220" cm="1">
        <f t="array" ref="K1220">IF($Q1220&gt;=0,IFERROR(generateSalesData($D1220, IF(ISNUMBER(_xlfn.XLOOKUP($C1220,Phone_by_Sentiment!$B$2:$B$37,Phone_by_Sentiment!K$2:K$37,"",0,1)),_xlfn.XLOOKUP($C1220,Phone_by_Sentiment!$B$2:$B$37,Phone_by_Sentiment!K$2:K$37,"",0,1),0),$A1220-TEXT(DATEVALUE($D1220&amp;"-01"), "dd-mm-yyyy")),0),0)</f>
        <v>1115</v>
      </c>
      <c r="L1220" cm="1">
        <f t="array" ref="L1220">IF($Q1220&gt;=0,IFERROR(generateSalesData($D1220, IF(ISNUMBER(_xlfn.XLOOKUP($C1220,Phone_by_Sentiment!$B$2:$B$37,Phone_by_Sentiment!L$2:L$37,"",0,1)),_xlfn.XLOOKUP($C1220,Phone_by_Sentiment!$B$2:$B$37,Phone_by_Sentiment!L$2:L$37,"",0,1),0),$A1220-TEXT(DATEVALUE($D1220&amp;"-01"), "dd-mm-yyyy")),0),0)</f>
        <v>981</v>
      </c>
      <c r="M1220" cm="1">
        <f t="array" ref="M1220">IF($Q1220&gt;=0,IFERROR(generateSalesData($D1220, IF(ISNUMBER(_xlfn.XLOOKUP($C1220,Phone_by_Sentiment!$B$2:$B$37,Phone_by_Sentiment!M$2:M$37,"",0,1)),_xlfn.XLOOKUP($C1220,Phone_by_Sentiment!$B$2:$B$37,Phone_by_Sentiment!M$2:M$37,"",0,1),0),$A1220-TEXT(DATEVALUE($D1220&amp;"-01"), "dd-mm-yyyy")),0),0)</f>
        <v>1061</v>
      </c>
      <c r="N1220" cm="1">
        <f t="array" ref="N1220">IF($Q1220&gt;=0,IFERROR(generateSalesData($D1220, IF(ISNUMBER(_xlfn.XLOOKUP($C1220,Phone_by_Sentiment!$B$2:$B$37,Phone_by_Sentiment!N$2:N$37,"",0,1)),_xlfn.XLOOKUP($C1220,Phone_by_Sentiment!$B$2:$B$37,Phone_by_Sentiment!N$2:N$37,"",0,1),0),$A1220-TEXT(DATEVALUE($D1220&amp;"-01"), "dd-mm-yyyy")),0),0)</f>
        <v>646</v>
      </c>
      <c r="O1220" cm="1">
        <f t="array" ref="O1220">IF($Q1220&gt;=0,IFERROR(generateSalesData($D1220, IF(ISNUMBER(_xlfn.XLOOKUP($C1220,Phone_by_Sentiment!$B$2:$B$37,Phone_by_Sentiment!O$2:O$37,"",0,1)),_xlfn.XLOOKUP($C1220,Phone_by_Sentiment!$B$2:$B$37,Phone_by_Sentiment!O$2:O$37,"",0,1),0),$A1220-TEXT(DATEVALUE($D1220&amp;"-01"), "dd-mm-yyyy")),0),0)</f>
        <v>1681</v>
      </c>
      <c r="P1220" s="1">
        <f t="shared" ref="P1220:P1474" si="51">DATEVALUE($D1220&amp;"-01")</f>
        <v>44317</v>
      </c>
      <c r="Q1220">
        <f t="shared" ref="Q1220:Q1283" si="52">A1220-P1220</f>
        <v>184</v>
      </c>
    </row>
    <row r="1221" spans="1:17" x14ac:dyDescent="0.25">
      <c r="A1221" s="1">
        <f t="shared" si="48"/>
        <v>44501</v>
      </c>
      <c r="B1221" t="s">
        <v>172</v>
      </c>
      <c r="C1221" t="str">
        <f>_xlfn.XLOOKUP(B1221,Phone_by_Price!$A$2:$A$34,Phone_by_Price!$B$2:$B$34,"-",0,1)</f>
        <v>Xiaomi Redmi 9</v>
      </c>
      <c r="D1221" t="str">
        <f>_xlfn.XLOOKUP(C1221,Phone_by_Sentiment!$B$2:$B$37,Phone_by_Sentiment!$A$2:$A$37,"-",0,1)</f>
        <v>2020-08</v>
      </c>
      <c r="E1221" cm="1">
        <f t="array" ref="E1221">IF($Q1221&gt;=0,IFERROR(generateSalesData($D1221, IF(ISNUMBER(_xlfn.XLOOKUP($C1221,Phone_by_Sentiment!$B$2:$B$37,Phone_by_Sentiment!E$2:E$37,"",0,1)),_xlfn.XLOOKUP($C1221,Phone_by_Sentiment!$B$2:$B$37,Phone_by_Sentiment!E$2:E$37,"",0,1),0),$A1221-TEXT(DATEVALUE($D1221&amp;"-01"), "dd-mm-yyyy")),0),0)</f>
        <v>115</v>
      </c>
      <c r="F1221" cm="1">
        <f t="array" ref="F1221">IF($Q1221&gt;=0,IFERROR(generateSalesData($D1221, IF(ISNUMBER(_xlfn.XLOOKUP($C1221,Phone_by_Sentiment!$B$2:$B$37,Phone_by_Sentiment!F$2:F$37,"",0,1)),_xlfn.XLOOKUP($C1221,Phone_by_Sentiment!$B$2:$B$37,Phone_by_Sentiment!F$2:F$37,"",0,1),0),$A1221-TEXT(DATEVALUE($D1221&amp;"-01"), "dd-mm-yyyy")),0),0)</f>
        <v>139</v>
      </c>
      <c r="G1221" cm="1">
        <f t="array" ref="G1221">IF($Q1221&gt;=0,IFERROR(generateSalesData($D1221, IF(ISNUMBER(_xlfn.XLOOKUP($C1221,Phone_by_Sentiment!$B$2:$B$37,Phone_by_Sentiment!G$2:G$37,"",0,1)),_xlfn.XLOOKUP($C1221,Phone_by_Sentiment!$B$2:$B$37,Phone_by_Sentiment!G$2:G$37,"",0,1),0),$A1221-TEXT(DATEVALUE($D1221&amp;"-01"), "dd-mm-yyyy")),0),0)</f>
        <v>148</v>
      </c>
      <c r="H1221" cm="1">
        <f t="array" ref="H1221">IF($Q1221&gt;=0,IFERROR(generateSalesData($D1221, IF(ISNUMBER(_xlfn.XLOOKUP($C1221,Phone_by_Sentiment!$B$2:$B$37,Phone_by_Sentiment!H$2:H$37,"",0,1)),_xlfn.XLOOKUP($C1221,Phone_by_Sentiment!$B$2:$B$37,Phone_by_Sentiment!H$2:H$37,"",0,1),0),$A1221-TEXT(DATEVALUE($D1221&amp;"-01"), "dd-mm-yyyy")),0),0)</f>
        <v>544</v>
      </c>
      <c r="I1221" cm="1">
        <f t="array" ref="I1221">IF($Q1221&gt;=0,IFERROR(generateSalesData($D1221, IF(ISNUMBER(_xlfn.XLOOKUP($C1221,Phone_by_Sentiment!$B$2:$B$37,Phone_by_Sentiment!I$2:I$37,"",0,1)),_xlfn.XLOOKUP($C1221,Phone_by_Sentiment!$B$2:$B$37,Phone_by_Sentiment!I$2:I$37,"",0,1),0),$A1221-TEXT(DATEVALUE($D1221&amp;"-01"), "dd-mm-yyyy")),0),0)</f>
        <v>181</v>
      </c>
      <c r="J1221" cm="1">
        <f t="array" ref="J1221">IF($Q1221&gt;=0,IFERROR(generateSalesData($D1221, IF(ISNUMBER(_xlfn.XLOOKUP($C1221,Phone_by_Sentiment!$B$2:$B$37,Phone_by_Sentiment!J$2:J$37,"",0,1)),_xlfn.XLOOKUP($C1221,Phone_by_Sentiment!$B$2:$B$37,Phone_by_Sentiment!J$2:J$37,"",0,1),0),$A1221-TEXT(DATEVALUE($D1221&amp;"-01"), "dd-mm-yyyy")),0),0)</f>
        <v>216</v>
      </c>
      <c r="K1221" cm="1">
        <f t="array" ref="K1221">IF($Q1221&gt;=0,IFERROR(generateSalesData($D1221, IF(ISNUMBER(_xlfn.XLOOKUP($C1221,Phone_by_Sentiment!$B$2:$B$37,Phone_by_Sentiment!K$2:K$37,"",0,1)),_xlfn.XLOOKUP($C1221,Phone_by_Sentiment!$B$2:$B$37,Phone_by_Sentiment!K$2:K$37,"",0,1),0),$A1221-TEXT(DATEVALUE($D1221&amp;"-01"), "dd-mm-yyyy")),0),0)</f>
        <v>372</v>
      </c>
      <c r="L1221" cm="1">
        <f t="array" ref="L1221">IF($Q1221&gt;=0,IFERROR(generateSalesData($D1221, IF(ISNUMBER(_xlfn.XLOOKUP($C1221,Phone_by_Sentiment!$B$2:$B$37,Phone_by_Sentiment!L$2:L$37,"",0,1)),_xlfn.XLOOKUP($C1221,Phone_by_Sentiment!$B$2:$B$37,Phone_by_Sentiment!L$2:L$37,"",0,1),0),$A1221-TEXT(DATEVALUE($D1221&amp;"-01"), "dd-mm-yyyy")),0),0)</f>
        <v>84</v>
      </c>
      <c r="M1221" cm="1">
        <f t="array" ref="M1221">IF($Q1221&gt;=0,IFERROR(generateSalesData($D1221, IF(ISNUMBER(_xlfn.XLOOKUP($C1221,Phone_by_Sentiment!$B$2:$B$37,Phone_by_Sentiment!M$2:M$37,"",0,1)),_xlfn.XLOOKUP($C1221,Phone_by_Sentiment!$B$2:$B$37,Phone_by_Sentiment!M$2:M$37,"",0,1),0),$A1221-TEXT(DATEVALUE($D1221&amp;"-01"), "dd-mm-yyyy")),0),0)</f>
        <v>-111</v>
      </c>
      <c r="N1221" cm="1">
        <f t="array" ref="N1221">IF($Q1221&gt;=0,IFERROR(generateSalesData($D1221, IF(ISNUMBER(_xlfn.XLOOKUP($C1221,Phone_by_Sentiment!$B$2:$B$37,Phone_by_Sentiment!N$2:N$37,"",0,1)),_xlfn.XLOOKUP($C1221,Phone_by_Sentiment!$B$2:$B$37,Phone_by_Sentiment!N$2:N$37,"",0,1),0),$A1221-TEXT(DATEVALUE($D1221&amp;"-01"), "dd-mm-yyyy")),0),0)</f>
        <v>139</v>
      </c>
      <c r="O1221" cm="1">
        <f t="array" ref="O1221">IF($Q1221&gt;=0,IFERROR(generateSalesData($D1221, IF(ISNUMBER(_xlfn.XLOOKUP($C1221,Phone_by_Sentiment!$B$2:$B$37,Phone_by_Sentiment!O$2:O$37,"",0,1)),_xlfn.XLOOKUP($C1221,Phone_by_Sentiment!$B$2:$B$37,Phone_by_Sentiment!O$2:O$37,"",0,1),0),$A1221-TEXT(DATEVALUE($D1221&amp;"-01"), "dd-mm-yyyy")),0),0)</f>
        <v>572</v>
      </c>
      <c r="P1221" s="1">
        <f t="shared" si="51"/>
        <v>44044</v>
      </c>
      <c r="Q1221">
        <f t="shared" si="52"/>
        <v>457</v>
      </c>
    </row>
    <row r="1222" spans="1:17" x14ac:dyDescent="0.25">
      <c r="A1222" s="1">
        <f t="shared" si="48"/>
        <v>44501</v>
      </c>
      <c r="B1222" t="s">
        <v>173</v>
      </c>
      <c r="C1222" t="str">
        <f>_xlfn.XLOOKUP(B1222,Phone_by_Price!$A$2:$A$34,Phone_by_Price!$B$2:$B$34,"-",0,1)</f>
        <v>Realme C3</v>
      </c>
      <c r="D1222" t="str">
        <f>_xlfn.XLOOKUP(C1222,Phone_by_Sentiment!$B$2:$B$37,Phone_by_Sentiment!$A$2:$A$37,"-",0,1)</f>
        <v>2020-02</v>
      </c>
      <c r="E1222" cm="1">
        <f t="array" ref="E1222">IF($Q1222&gt;=0,IFERROR(generateSalesData($D1222, IF(ISNUMBER(_xlfn.XLOOKUP($C1222,Phone_by_Sentiment!$B$2:$B$37,Phone_by_Sentiment!E$2:E$37,"",0,1)),_xlfn.XLOOKUP($C1222,Phone_by_Sentiment!$B$2:$B$37,Phone_by_Sentiment!E$2:E$37,"",0,1),0),$A1222-TEXT(DATEVALUE($D1222&amp;"-01"), "dd-mm-yyyy")),0),0)</f>
        <v>95</v>
      </c>
      <c r="F1222" cm="1">
        <f t="array" ref="F1222">IF($Q1222&gt;=0,IFERROR(generateSalesData($D1222, IF(ISNUMBER(_xlfn.XLOOKUP($C1222,Phone_by_Sentiment!$B$2:$B$37,Phone_by_Sentiment!F$2:F$37,"",0,1)),_xlfn.XLOOKUP($C1222,Phone_by_Sentiment!$B$2:$B$37,Phone_by_Sentiment!F$2:F$37,"",0,1),0),$A1222-TEXT(DATEVALUE($D1222&amp;"-01"), "dd-mm-yyyy")),0),0)</f>
        <v>171</v>
      </c>
      <c r="G1222" cm="1">
        <f t="array" ref="G1222">IF($Q1222&gt;=0,IFERROR(generateSalesData($D1222, IF(ISNUMBER(_xlfn.XLOOKUP($C1222,Phone_by_Sentiment!$B$2:$B$37,Phone_by_Sentiment!G$2:G$37,"",0,1)),_xlfn.XLOOKUP($C1222,Phone_by_Sentiment!$B$2:$B$37,Phone_by_Sentiment!G$2:G$37,"",0,1),0),$A1222-TEXT(DATEVALUE($D1222&amp;"-01"), "dd-mm-yyyy")),0),0)</f>
        <v>107</v>
      </c>
      <c r="H1222" cm="1">
        <f t="array" ref="H1222">IF($Q1222&gt;=0,IFERROR(generateSalesData($D1222, IF(ISNUMBER(_xlfn.XLOOKUP($C1222,Phone_by_Sentiment!$B$2:$B$37,Phone_by_Sentiment!H$2:H$37,"",0,1)),_xlfn.XLOOKUP($C1222,Phone_by_Sentiment!$B$2:$B$37,Phone_by_Sentiment!H$2:H$37,"",0,1),0),$A1222-TEXT(DATEVALUE($D1222&amp;"-01"), "dd-mm-yyyy")),0),0)</f>
        <v>120</v>
      </c>
      <c r="I1222" cm="1">
        <f t="array" ref="I1222">IF($Q1222&gt;=0,IFERROR(generateSalesData($D1222, IF(ISNUMBER(_xlfn.XLOOKUP($C1222,Phone_by_Sentiment!$B$2:$B$37,Phone_by_Sentiment!I$2:I$37,"",0,1)),_xlfn.XLOOKUP($C1222,Phone_by_Sentiment!$B$2:$B$37,Phone_by_Sentiment!I$2:I$37,"",0,1),0),$A1222-TEXT(DATEVALUE($D1222&amp;"-01"), "dd-mm-yyyy")),0),0)</f>
        <v>352</v>
      </c>
      <c r="J1222" cm="1">
        <f t="array" ref="J1222">IF($Q1222&gt;=0,IFERROR(generateSalesData($D1222, IF(ISNUMBER(_xlfn.XLOOKUP($C1222,Phone_by_Sentiment!$B$2:$B$37,Phone_by_Sentiment!J$2:J$37,"",0,1)),_xlfn.XLOOKUP($C1222,Phone_by_Sentiment!$B$2:$B$37,Phone_by_Sentiment!J$2:J$37,"",0,1),0),$A1222-TEXT(DATEVALUE($D1222&amp;"-01"), "dd-mm-yyyy")),0),0)</f>
        <v>84</v>
      </c>
      <c r="K1222" cm="1">
        <f t="array" ref="K1222">IF($Q1222&gt;=0,IFERROR(generateSalesData($D1222, IF(ISNUMBER(_xlfn.XLOOKUP($C1222,Phone_by_Sentiment!$B$2:$B$37,Phone_by_Sentiment!K$2:K$37,"",0,1)),_xlfn.XLOOKUP($C1222,Phone_by_Sentiment!$B$2:$B$37,Phone_by_Sentiment!K$2:K$37,"",0,1),0),$A1222-TEXT(DATEVALUE($D1222&amp;"-01"), "dd-mm-yyyy")),0),0)</f>
        <v>184</v>
      </c>
      <c r="L1222" cm="1">
        <f t="array" ref="L1222">IF($Q1222&gt;=0,IFERROR(generateSalesData($D1222, IF(ISNUMBER(_xlfn.XLOOKUP($C1222,Phone_by_Sentiment!$B$2:$B$37,Phone_by_Sentiment!L$2:L$37,"",0,1)),_xlfn.XLOOKUP($C1222,Phone_by_Sentiment!$B$2:$B$37,Phone_by_Sentiment!L$2:L$37,"",0,1),0),$A1222-TEXT(DATEVALUE($D1222&amp;"-01"), "dd-mm-yyyy")),0),0)</f>
        <v>214</v>
      </c>
      <c r="M1222" cm="1">
        <f t="array" ref="M1222">IF($Q1222&gt;=0,IFERROR(generateSalesData($D1222, IF(ISNUMBER(_xlfn.XLOOKUP($C1222,Phone_by_Sentiment!$B$2:$B$37,Phone_by_Sentiment!M$2:M$37,"",0,1)),_xlfn.XLOOKUP($C1222,Phone_by_Sentiment!$B$2:$B$37,Phone_by_Sentiment!M$2:M$37,"",0,1),0),$A1222-TEXT(DATEVALUE($D1222&amp;"-01"), "dd-mm-yyyy")),0),0)</f>
        <v>41</v>
      </c>
      <c r="N1222" cm="1">
        <f t="array" ref="N1222">IF($Q1222&gt;=0,IFERROR(generateSalesData($D1222, IF(ISNUMBER(_xlfn.XLOOKUP($C1222,Phone_by_Sentiment!$B$2:$B$37,Phone_by_Sentiment!N$2:N$37,"",0,1)),_xlfn.XLOOKUP($C1222,Phone_by_Sentiment!$B$2:$B$37,Phone_by_Sentiment!N$2:N$37,"",0,1),0),$A1222-TEXT(DATEVALUE($D1222&amp;"-01"), "dd-mm-yyyy")),0),0)</f>
        <v>598</v>
      </c>
      <c r="O1222" cm="1">
        <f t="array" ref="O1222">IF($Q1222&gt;=0,IFERROR(generateSalesData($D1222, IF(ISNUMBER(_xlfn.XLOOKUP($C1222,Phone_by_Sentiment!$B$2:$B$37,Phone_by_Sentiment!O$2:O$37,"",0,1)),_xlfn.XLOOKUP($C1222,Phone_by_Sentiment!$B$2:$B$37,Phone_by_Sentiment!O$2:O$37,"",0,1),0),$A1222-TEXT(DATEVALUE($D1222&amp;"-01"), "dd-mm-yyyy")),0),0)</f>
        <v>85</v>
      </c>
      <c r="P1222" s="1">
        <f t="shared" si="51"/>
        <v>43862</v>
      </c>
      <c r="Q1222">
        <f t="shared" si="52"/>
        <v>639</v>
      </c>
    </row>
    <row r="1223" spans="1:17" x14ac:dyDescent="0.25">
      <c r="A1223" s="1">
        <f t="shared" si="48"/>
        <v>44501</v>
      </c>
      <c r="B1223" t="s">
        <v>174</v>
      </c>
      <c r="C1223" t="str">
        <f>_xlfn.XLOOKUP(B1223,Phone_by_Price!$A$2:$A$34,Phone_by_Price!$B$2:$B$34,"-",0,1)</f>
        <v>Samsung Galaxy A7</v>
      </c>
      <c r="D1223" t="str">
        <f>_xlfn.XLOOKUP(C1223,Phone_by_Sentiment!$B$2:$B$37,Phone_by_Sentiment!$A$2:$A$37,"-",0,1)</f>
        <v>2018-10</v>
      </c>
      <c r="E1223" cm="1">
        <f t="array" ref="E1223">IF($Q1223&gt;=0,IFERROR(generateSalesData($D1223, IF(ISNUMBER(_xlfn.XLOOKUP($C1223,Phone_by_Sentiment!$B$2:$B$37,Phone_by_Sentiment!E$2:E$37,"",0,1)),_xlfn.XLOOKUP($C1223,Phone_by_Sentiment!$B$2:$B$37,Phone_by_Sentiment!E$2:E$37,"",0,1),0),$A1223-TEXT(DATEVALUE($D1223&amp;"-01"), "dd-mm-yyyy")),0),0)</f>
        <v>27</v>
      </c>
      <c r="F1223" cm="1">
        <f t="array" ref="F1223">IF($Q1223&gt;=0,IFERROR(generateSalesData($D1223, IF(ISNUMBER(_xlfn.XLOOKUP($C1223,Phone_by_Sentiment!$B$2:$B$37,Phone_by_Sentiment!F$2:F$37,"",0,1)),_xlfn.XLOOKUP($C1223,Phone_by_Sentiment!$B$2:$B$37,Phone_by_Sentiment!F$2:F$37,"",0,1),0),$A1223-TEXT(DATEVALUE($D1223&amp;"-01"), "dd-mm-yyyy")),0),0)</f>
        <v>29</v>
      </c>
      <c r="G1223" cm="1">
        <f t="array" ref="G1223">IF($Q1223&gt;=0,IFERROR(generateSalesData($D1223, IF(ISNUMBER(_xlfn.XLOOKUP($C1223,Phone_by_Sentiment!$B$2:$B$37,Phone_by_Sentiment!G$2:G$37,"",0,1)),_xlfn.XLOOKUP($C1223,Phone_by_Sentiment!$B$2:$B$37,Phone_by_Sentiment!G$2:G$37,"",0,1),0),$A1223-TEXT(DATEVALUE($D1223&amp;"-01"), "dd-mm-yyyy")),0),0)</f>
        <v>92</v>
      </c>
      <c r="H1223" cm="1">
        <f t="array" ref="H1223">IF($Q1223&gt;=0,IFERROR(generateSalesData($D1223, IF(ISNUMBER(_xlfn.XLOOKUP($C1223,Phone_by_Sentiment!$B$2:$B$37,Phone_by_Sentiment!H$2:H$37,"",0,1)),_xlfn.XLOOKUP($C1223,Phone_by_Sentiment!$B$2:$B$37,Phone_by_Sentiment!H$2:H$37,"",0,1),0),$A1223-TEXT(DATEVALUE($D1223&amp;"-01"), "dd-mm-yyyy")),0),0)</f>
        <v>9</v>
      </c>
      <c r="I1223" cm="1">
        <f t="array" ref="I1223">IF($Q1223&gt;=0,IFERROR(generateSalesData($D1223, IF(ISNUMBER(_xlfn.XLOOKUP($C1223,Phone_by_Sentiment!$B$2:$B$37,Phone_by_Sentiment!I$2:I$37,"",0,1)),_xlfn.XLOOKUP($C1223,Phone_by_Sentiment!$B$2:$B$37,Phone_by_Sentiment!I$2:I$37,"",0,1),0),$A1223-TEXT(DATEVALUE($D1223&amp;"-01"), "dd-mm-yyyy")),0),0)</f>
        <v>202</v>
      </c>
      <c r="J1223" cm="1">
        <f t="array" ref="J1223">IF($Q1223&gt;=0,IFERROR(generateSalesData($D1223, IF(ISNUMBER(_xlfn.XLOOKUP($C1223,Phone_by_Sentiment!$B$2:$B$37,Phone_by_Sentiment!J$2:J$37,"",0,1)),_xlfn.XLOOKUP($C1223,Phone_by_Sentiment!$B$2:$B$37,Phone_by_Sentiment!J$2:J$37,"",0,1),0),$A1223-TEXT(DATEVALUE($D1223&amp;"-01"), "dd-mm-yyyy")),0),0)</f>
        <v>79</v>
      </c>
      <c r="K1223" cm="1">
        <f t="array" ref="K1223">IF($Q1223&gt;=0,IFERROR(generateSalesData($D1223, IF(ISNUMBER(_xlfn.XLOOKUP($C1223,Phone_by_Sentiment!$B$2:$B$37,Phone_by_Sentiment!K$2:K$37,"",0,1)),_xlfn.XLOOKUP($C1223,Phone_by_Sentiment!$B$2:$B$37,Phone_by_Sentiment!K$2:K$37,"",0,1),0),$A1223-TEXT(DATEVALUE($D1223&amp;"-01"), "dd-mm-yyyy")),0),0)</f>
        <v>80</v>
      </c>
      <c r="L1223" cm="1">
        <f t="array" ref="L1223">IF($Q1223&gt;=0,IFERROR(generateSalesData($D1223, IF(ISNUMBER(_xlfn.XLOOKUP($C1223,Phone_by_Sentiment!$B$2:$B$37,Phone_by_Sentiment!L$2:L$37,"",0,1)),_xlfn.XLOOKUP($C1223,Phone_by_Sentiment!$B$2:$B$37,Phone_by_Sentiment!L$2:L$37,"",0,1),0),$A1223-TEXT(DATEVALUE($D1223&amp;"-01"), "dd-mm-yyyy")),0),0)</f>
        <v>38</v>
      </c>
      <c r="M1223" cm="1">
        <f t="array" ref="M1223">IF($Q1223&gt;=0,IFERROR(generateSalesData($D1223, IF(ISNUMBER(_xlfn.XLOOKUP($C1223,Phone_by_Sentiment!$B$2:$B$37,Phone_by_Sentiment!M$2:M$37,"",0,1)),_xlfn.XLOOKUP($C1223,Phone_by_Sentiment!$B$2:$B$37,Phone_by_Sentiment!M$2:M$37,"",0,1),0),$A1223-TEXT(DATEVALUE($D1223&amp;"-01"), "dd-mm-yyyy")),0),0)</f>
        <v>165</v>
      </c>
      <c r="N1223" cm="1">
        <f t="array" ref="N1223">IF($Q1223&gt;=0,IFERROR(generateSalesData($D1223, IF(ISNUMBER(_xlfn.XLOOKUP($C1223,Phone_by_Sentiment!$B$2:$B$37,Phone_by_Sentiment!N$2:N$37,"",0,1)),_xlfn.XLOOKUP($C1223,Phone_by_Sentiment!$B$2:$B$37,Phone_by_Sentiment!N$2:N$37,"",0,1),0),$A1223-TEXT(DATEVALUE($D1223&amp;"-01"), "dd-mm-yyyy")),0),0)</f>
        <v>88</v>
      </c>
      <c r="O1223" cm="1">
        <f t="array" ref="O1223">IF($Q1223&gt;=0,IFERROR(generateSalesData($D1223, IF(ISNUMBER(_xlfn.XLOOKUP($C1223,Phone_by_Sentiment!$B$2:$B$37,Phone_by_Sentiment!O$2:O$37,"",0,1)),_xlfn.XLOOKUP($C1223,Phone_by_Sentiment!$B$2:$B$37,Phone_by_Sentiment!O$2:O$37,"",0,1),0),$A1223-TEXT(DATEVALUE($D1223&amp;"-01"), "dd-mm-yyyy")),0),0)</f>
        <v>48</v>
      </c>
      <c r="P1223" s="1">
        <f t="shared" si="51"/>
        <v>43374</v>
      </c>
      <c r="Q1223">
        <f t="shared" si="52"/>
        <v>1127</v>
      </c>
    </row>
    <row r="1224" spans="1:17" x14ac:dyDescent="0.25">
      <c r="A1224" s="1">
        <f t="shared" si="48"/>
        <v>44501</v>
      </c>
      <c r="B1224" t="s">
        <v>142</v>
      </c>
      <c r="C1224" t="str">
        <f>_xlfn.XLOOKUP(B1224,Phone_by_Price!$A$2:$A$34,Phone_by_Price!$B$2:$B$34,"-",0,1)</f>
        <v>iPhone 11</v>
      </c>
      <c r="D1224" t="str">
        <f>_xlfn.XLOOKUP(C1224,Phone_by_Sentiment!$B$2:$B$37,Phone_by_Sentiment!$A$2:$A$37,"-",0,1)</f>
        <v>2019-09</v>
      </c>
      <c r="E1224" cm="1">
        <f t="array" ref="E1224">IF($Q1224&gt;=0,IFERROR(generateSalesData($D1224, IF(ISNUMBER(_xlfn.XLOOKUP($C1224,Phone_by_Sentiment!$B$2:$B$37,Phone_by_Sentiment!E$2:E$37,"",0,1)),_xlfn.XLOOKUP($C1224,Phone_by_Sentiment!$B$2:$B$37,Phone_by_Sentiment!E$2:E$37,"",0,1),0),$A1224-TEXT(DATEVALUE($D1224&amp;"-01"), "dd-mm-yyyy")),0),0)</f>
        <v>263</v>
      </c>
      <c r="F1224" cm="1">
        <f t="array" ref="F1224">IF($Q1224&gt;=0,IFERROR(generateSalesData($D1224, IF(ISNUMBER(_xlfn.XLOOKUP($C1224,Phone_by_Sentiment!$B$2:$B$37,Phone_by_Sentiment!F$2:F$37,"",0,1)),_xlfn.XLOOKUP($C1224,Phone_by_Sentiment!$B$2:$B$37,Phone_by_Sentiment!F$2:F$37,"",0,1),0),$A1224-TEXT(DATEVALUE($D1224&amp;"-01"), "dd-mm-yyyy")),0),0)</f>
        <v>307</v>
      </c>
      <c r="G1224" cm="1">
        <f t="array" ref="G1224">IF($Q1224&gt;=0,IFERROR(generateSalesData($D1224, IF(ISNUMBER(_xlfn.XLOOKUP($C1224,Phone_by_Sentiment!$B$2:$B$37,Phone_by_Sentiment!G$2:G$37,"",0,1)),_xlfn.XLOOKUP($C1224,Phone_by_Sentiment!$B$2:$B$37,Phone_by_Sentiment!G$2:G$37,"",0,1),0),$A1224-TEXT(DATEVALUE($D1224&amp;"-01"), "dd-mm-yyyy")),0),0)</f>
        <v>133</v>
      </c>
      <c r="H1224" cm="1">
        <f t="array" ref="H1224">IF($Q1224&gt;=0,IFERROR(generateSalesData($D1224, IF(ISNUMBER(_xlfn.XLOOKUP($C1224,Phone_by_Sentiment!$B$2:$B$37,Phone_by_Sentiment!H$2:H$37,"",0,1)),_xlfn.XLOOKUP($C1224,Phone_by_Sentiment!$B$2:$B$37,Phone_by_Sentiment!H$2:H$37,"",0,1),0),$A1224-TEXT(DATEVALUE($D1224&amp;"-01"), "dd-mm-yyyy")),0),0)</f>
        <v>365</v>
      </c>
      <c r="I1224" cm="1">
        <f t="array" ref="I1224">IF($Q1224&gt;=0,IFERROR(generateSalesData($D1224, IF(ISNUMBER(_xlfn.XLOOKUP($C1224,Phone_by_Sentiment!$B$2:$B$37,Phone_by_Sentiment!I$2:I$37,"",0,1)),_xlfn.XLOOKUP($C1224,Phone_by_Sentiment!$B$2:$B$37,Phone_by_Sentiment!I$2:I$37,"",0,1),0),$A1224-TEXT(DATEVALUE($D1224&amp;"-01"), "dd-mm-yyyy")),0),0)</f>
        <v>290</v>
      </c>
      <c r="J1224" cm="1">
        <f t="array" ref="J1224">IF($Q1224&gt;=0,IFERROR(generateSalesData($D1224, IF(ISNUMBER(_xlfn.XLOOKUP($C1224,Phone_by_Sentiment!$B$2:$B$37,Phone_by_Sentiment!J$2:J$37,"",0,1)),_xlfn.XLOOKUP($C1224,Phone_by_Sentiment!$B$2:$B$37,Phone_by_Sentiment!J$2:J$37,"",0,1),0),$A1224-TEXT(DATEVALUE($D1224&amp;"-01"), "dd-mm-yyyy")),0),0)</f>
        <v>457</v>
      </c>
      <c r="K1224" cm="1">
        <f t="array" ref="K1224">IF($Q1224&gt;=0,IFERROR(generateSalesData($D1224, IF(ISNUMBER(_xlfn.XLOOKUP($C1224,Phone_by_Sentiment!$B$2:$B$37,Phone_by_Sentiment!K$2:K$37,"",0,1)),_xlfn.XLOOKUP($C1224,Phone_by_Sentiment!$B$2:$B$37,Phone_by_Sentiment!K$2:K$37,"",0,1),0),$A1224-TEXT(DATEVALUE($D1224&amp;"-01"), "dd-mm-yyyy")),0),0)</f>
        <v>17</v>
      </c>
      <c r="L1224" cm="1">
        <f t="array" ref="L1224">IF($Q1224&gt;=0,IFERROR(generateSalesData($D1224, IF(ISNUMBER(_xlfn.XLOOKUP($C1224,Phone_by_Sentiment!$B$2:$B$37,Phone_by_Sentiment!L$2:L$37,"",0,1)),_xlfn.XLOOKUP($C1224,Phone_by_Sentiment!$B$2:$B$37,Phone_by_Sentiment!L$2:L$37,"",0,1),0),$A1224-TEXT(DATEVALUE($D1224&amp;"-01"), "dd-mm-yyyy")),0),0)</f>
        <v>88</v>
      </c>
      <c r="M1224" cm="1">
        <f t="array" ref="M1224">IF($Q1224&gt;=0,IFERROR(generateSalesData($D1224, IF(ISNUMBER(_xlfn.XLOOKUP($C1224,Phone_by_Sentiment!$B$2:$B$37,Phone_by_Sentiment!M$2:M$37,"",0,1)),_xlfn.XLOOKUP($C1224,Phone_by_Sentiment!$B$2:$B$37,Phone_by_Sentiment!M$2:M$37,"",0,1),0),$A1224-TEXT(DATEVALUE($D1224&amp;"-01"), "dd-mm-yyyy")),0),0)</f>
        <v>182</v>
      </c>
      <c r="N1224" cm="1">
        <f t="array" ref="N1224">IF($Q1224&gt;=0,IFERROR(generateSalesData($D1224, IF(ISNUMBER(_xlfn.XLOOKUP($C1224,Phone_by_Sentiment!$B$2:$B$37,Phone_by_Sentiment!N$2:N$37,"",0,1)),_xlfn.XLOOKUP($C1224,Phone_by_Sentiment!$B$2:$B$37,Phone_by_Sentiment!N$2:N$37,"",0,1),0),$A1224-TEXT(DATEVALUE($D1224&amp;"-01"), "dd-mm-yyyy")),0),0)</f>
        <v>518</v>
      </c>
      <c r="O1224" cm="1">
        <f t="array" ref="O1224">IF($Q1224&gt;=0,IFERROR(generateSalesData($D1224, IF(ISNUMBER(_xlfn.XLOOKUP($C1224,Phone_by_Sentiment!$B$2:$B$37,Phone_by_Sentiment!O$2:O$37,"",0,1)),_xlfn.XLOOKUP($C1224,Phone_by_Sentiment!$B$2:$B$37,Phone_by_Sentiment!O$2:O$37,"",0,1),0),$A1224-TEXT(DATEVALUE($D1224&amp;"-01"), "dd-mm-yyyy")),0),0)</f>
        <v>401</v>
      </c>
      <c r="P1224" s="1">
        <f t="shared" si="51"/>
        <v>43709</v>
      </c>
      <c r="Q1224">
        <f t="shared" si="52"/>
        <v>792</v>
      </c>
    </row>
    <row r="1225" spans="1:17" x14ac:dyDescent="0.25">
      <c r="A1225" s="1">
        <f t="shared" si="48"/>
        <v>44501</v>
      </c>
      <c r="B1225" t="s">
        <v>143</v>
      </c>
      <c r="C1225" t="str">
        <f>_xlfn.XLOOKUP(B1225,Phone_by_Price!$A$2:$A$34,Phone_by_Price!$B$2:$B$34,"-",0,1)</f>
        <v>Samsung Galaxy S20 Ultra</v>
      </c>
      <c r="D1225" t="str">
        <f>_xlfn.XLOOKUP(C1225,Phone_by_Sentiment!$B$2:$B$37,Phone_by_Sentiment!$A$2:$A$37,"-",0,1)</f>
        <v>2020-02</v>
      </c>
      <c r="E1225" cm="1">
        <f t="array" ref="E1225">IF($Q1225&gt;=0,IFERROR(generateSalesData($D1225, IF(ISNUMBER(_xlfn.XLOOKUP($C1225,Phone_by_Sentiment!$B$2:$B$37,Phone_by_Sentiment!E$2:E$37,"",0,1)),_xlfn.XLOOKUP($C1225,Phone_by_Sentiment!$B$2:$B$37,Phone_by_Sentiment!E$2:E$37,"",0,1),0),$A1225-TEXT(DATEVALUE($D1225&amp;"-01"), "dd-mm-yyyy")),0),0)</f>
        <v>687</v>
      </c>
      <c r="F1225" cm="1">
        <f t="array" ref="F1225">IF($Q1225&gt;=0,IFERROR(generateSalesData($D1225, IF(ISNUMBER(_xlfn.XLOOKUP($C1225,Phone_by_Sentiment!$B$2:$B$37,Phone_by_Sentiment!F$2:F$37,"",0,1)),_xlfn.XLOOKUP($C1225,Phone_by_Sentiment!$B$2:$B$37,Phone_by_Sentiment!F$2:F$37,"",0,1),0),$A1225-TEXT(DATEVALUE($D1225&amp;"-01"), "dd-mm-yyyy")),0),0)</f>
        <v>170</v>
      </c>
      <c r="G1225" cm="1">
        <f t="array" ref="G1225">IF($Q1225&gt;=0,IFERROR(generateSalesData($D1225, IF(ISNUMBER(_xlfn.XLOOKUP($C1225,Phone_by_Sentiment!$B$2:$B$37,Phone_by_Sentiment!G$2:G$37,"",0,1)),_xlfn.XLOOKUP($C1225,Phone_by_Sentiment!$B$2:$B$37,Phone_by_Sentiment!G$2:G$37,"",0,1),0),$A1225-TEXT(DATEVALUE($D1225&amp;"-01"), "dd-mm-yyyy")),0),0)</f>
        <v>77</v>
      </c>
      <c r="H1225" cm="1">
        <f t="array" ref="H1225">IF($Q1225&gt;=0,IFERROR(generateSalesData($D1225, IF(ISNUMBER(_xlfn.XLOOKUP($C1225,Phone_by_Sentiment!$B$2:$B$37,Phone_by_Sentiment!H$2:H$37,"",0,1)),_xlfn.XLOOKUP($C1225,Phone_by_Sentiment!$B$2:$B$37,Phone_by_Sentiment!H$2:H$37,"",0,1),0),$A1225-TEXT(DATEVALUE($D1225&amp;"-01"), "dd-mm-yyyy")),0),0)</f>
        <v>210</v>
      </c>
      <c r="I1225" cm="1">
        <f t="array" ref="I1225">IF($Q1225&gt;=0,IFERROR(generateSalesData($D1225, IF(ISNUMBER(_xlfn.XLOOKUP($C1225,Phone_by_Sentiment!$B$2:$B$37,Phone_by_Sentiment!I$2:I$37,"",0,1)),_xlfn.XLOOKUP($C1225,Phone_by_Sentiment!$B$2:$B$37,Phone_by_Sentiment!I$2:I$37,"",0,1),0),$A1225-TEXT(DATEVALUE($D1225&amp;"-01"), "dd-mm-yyyy")),0),0)</f>
        <v>794</v>
      </c>
      <c r="J1225" cm="1">
        <f t="array" ref="J1225">IF($Q1225&gt;=0,IFERROR(generateSalesData($D1225, IF(ISNUMBER(_xlfn.XLOOKUP($C1225,Phone_by_Sentiment!$B$2:$B$37,Phone_by_Sentiment!J$2:J$37,"",0,1)),_xlfn.XLOOKUP($C1225,Phone_by_Sentiment!$B$2:$B$37,Phone_by_Sentiment!J$2:J$37,"",0,1),0),$A1225-TEXT(DATEVALUE($D1225&amp;"-01"), "dd-mm-yyyy")),0),0)</f>
        <v>425</v>
      </c>
      <c r="K1225" cm="1">
        <f t="array" ref="K1225">IF($Q1225&gt;=0,IFERROR(generateSalesData($D1225, IF(ISNUMBER(_xlfn.XLOOKUP($C1225,Phone_by_Sentiment!$B$2:$B$37,Phone_by_Sentiment!K$2:K$37,"",0,1)),_xlfn.XLOOKUP($C1225,Phone_by_Sentiment!$B$2:$B$37,Phone_by_Sentiment!K$2:K$37,"",0,1),0),$A1225-TEXT(DATEVALUE($D1225&amp;"-01"), "dd-mm-yyyy")),0),0)</f>
        <v>24</v>
      </c>
      <c r="L1225" cm="1">
        <f t="array" ref="L1225">IF($Q1225&gt;=0,IFERROR(generateSalesData($D1225, IF(ISNUMBER(_xlfn.XLOOKUP($C1225,Phone_by_Sentiment!$B$2:$B$37,Phone_by_Sentiment!L$2:L$37,"",0,1)),_xlfn.XLOOKUP($C1225,Phone_by_Sentiment!$B$2:$B$37,Phone_by_Sentiment!L$2:L$37,"",0,1),0),$A1225-TEXT(DATEVALUE($D1225&amp;"-01"), "dd-mm-yyyy")),0),0)</f>
        <v>405</v>
      </c>
      <c r="M1225" cm="1">
        <f t="array" ref="M1225">IF($Q1225&gt;=0,IFERROR(generateSalesData($D1225, IF(ISNUMBER(_xlfn.XLOOKUP($C1225,Phone_by_Sentiment!$B$2:$B$37,Phone_by_Sentiment!M$2:M$37,"",0,1)),_xlfn.XLOOKUP($C1225,Phone_by_Sentiment!$B$2:$B$37,Phone_by_Sentiment!M$2:M$37,"",0,1),0),$A1225-TEXT(DATEVALUE($D1225&amp;"-01"), "dd-mm-yyyy")),0),0)</f>
        <v>712</v>
      </c>
      <c r="N1225" cm="1">
        <f t="array" ref="N1225">IF($Q1225&gt;=0,IFERROR(generateSalesData($D1225, IF(ISNUMBER(_xlfn.XLOOKUP($C1225,Phone_by_Sentiment!$B$2:$B$37,Phone_by_Sentiment!N$2:N$37,"",0,1)),_xlfn.XLOOKUP($C1225,Phone_by_Sentiment!$B$2:$B$37,Phone_by_Sentiment!N$2:N$37,"",0,1),0),$A1225-TEXT(DATEVALUE($D1225&amp;"-01"), "dd-mm-yyyy")),0),0)</f>
        <v>68</v>
      </c>
      <c r="O1225" cm="1">
        <f t="array" ref="O1225">IF($Q1225&gt;=0,IFERROR(generateSalesData($D1225, IF(ISNUMBER(_xlfn.XLOOKUP($C1225,Phone_by_Sentiment!$B$2:$B$37,Phone_by_Sentiment!O$2:O$37,"",0,1)),_xlfn.XLOOKUP($C1225,Phone_by_Sentiment!$B$2:$B$37,Phone_by_Sentiment!O$2:O$37,"",0,1),0),$A1225-TEXT(DATEVALUE($D1225&amp;"-01"), "dd-mm-yyyy")),0),0)</f>
        <v>536</v>
      </c>
      <c r="P1225" s="1">
        <f t="shared" si="51"/>
        <v>43862</v>
      </c>
      <c r="Q1225">
        <f t="shared" si="52"/>
        <v>639</v>
      </c>
    </row>
    <row r="1226" spans="1:17" x14ac:dyDescent="0.25">
      <c r="A1226" s="1">
        <f t="shared" si="48"/>
        <v>44531</v>
      </c>
      <c r="B1226" t="s">
        <v>144</v>
      </c>
      <c r="C1226" t="str">
        <f>_xlfn.XLOOKUP(B1226,Phone_by_Price!$A$2:$A$34,Phone_by_Price!$B$2:$B$34,"-",0,1)</f>
        <v>Xiaomi Redmi Note 10</v>
      </c>
      <c r="D1226" t="str">
        <f>_xlfn.XLOOKUP(C1226,Phone_by_Sentiment!$B$2:$B$37,Phone_by_Sentiment!$A$2:$A$37,"-",0,1)</f>
        <v>2021-03</v>
      </c>
      <c r="E1226" cm="1">
        <f t="array" ref="E1226">IF($Q1226&gt;=0,IFERROR(generateSalesData($D1226, IF(ISNUMBER(_xlfn.XLOOKUP($C1226,Phone_by_Sentiment!$B$2:$B$37,Phone_by_Sentiment!E$2:E$37,"",0,1)),_xlfn.XLOOKUP($C1226,Phone_by_Sentiment!$B$2:$B$37,Phone_by_Sentiment!E$2:E$37,"",0,1),0),$A1226-TEXT(DATEVALUE($D1226&amp;"-01"), "dd-mm-yyyy")),0),0)</f>
        <v>534</v>
      </c>
      <c r="F1226" cm="1">
        <f t="array" ref="F1226">IF($Q1226&gt;=0,IFERROR(generateSalesData($D1226, IF(ISNUMBER(_xlfn.XLOOKUP($C1226,Phone_by_Sentiment!$B$2:$B$37,Phone_by_Sentiment!F$2:F$37,"",0,1)),_xlfn.XLOOKUP($C1226,Phone_by_Sentiment!$B$2:$B$37,Phone_by_Sentiment!F$2:F$37,"",0,1),0),$A1226-TEXT(DATEVALUE($D1226&amp;"-01"), "dd-mm-yyyy")),0),0)</f>
        <v>24</v>
      </c>
      <c r="G1226" cm="1">
        <f t="array" ref="G1226">IF($Q1226&gt;=0,IFERROR(generateSalesData($D1226, IF(ISNUMBER(_xlfn.XLOOKUP($C1226,Phone_by_Sentiment!$B$2:$B$37,Phone_by_Sentiment!G$2:G$37,"",0,1)),_xlfn.XLOOKUP($C1226,Phone_by_Sentiment!$B$2:$B$37,Phone_by_Sentiment!G$2:G$37,"",0,1),0),$A1226-TEXT(DATEVALUE($D1226&amp;"-01"), "dd-mm-yyyy")),0),0)</f>
        <v>209</v>
      </c>
      <c r="H1226" cm="1">
        <f t="array" ref="H1226">IF($Q1226&gt;=0,IFERROR(generateSalesData($D1226, IF(ISNUMBER(_xlfn.XLOOKUP($C1226,Phone_by_Sentiment!$B$2:$B$37,Phone_by_Sentiment!H$2:H$37,"",0,1)),_xlfn.XLOOKUP($C1226,Phone_by_Sentiment!$B$2:$B$37,Phone_by_Sentiment!H$2:H$37,"",0,1),0),$A1226-TEXT(DATEVALUE($D1226&amp;"-01"), "dd-mm-yyyy")),0),0)</f>
        <v>443</v>
      </c>
      <c r="I1226" cm="1">
        <f t="array" ref="I1226">IF($Q1226&gt;=0,IFERROR(generateSalesData($D1226, IF(ISNUMBER(_xlfn.XLOOKUP($C1226,Phone_by_Sentiment!$B$2:$B$37,Phone_by_Sentiment!I$2:I$37,"",0,1)),_xlfn.XLOOKUP($C1226,Phone_by_Sentiment!$B$2:$B$37,Phone_by_Sentiment!I$2:I$37,"",0,1),0),$A1226-TEXT(DATEVALUE($D1226&amp;"-01"), "dd-mm-yyyy")),0),0)</f>
        <v>1072</v>
      </c>
      <c r="J1226" cm="1">
        <f t="array" ref="J1226">IF($Q1226&gt;=0,IFERROR(generateSalesData($D1226, IF(ISNUMBER(_xlfn.XLOOKUP($C1226,Phone_by_Sentiment!$B$2:$B$37,Phone_by_Sentiment!J$2:J$37,"",0,1)),_xlfn.XLOOKUP($C1226,Phone_by_Sentiment!$B$2:$B$37,Phone_by_Sentiment!J$2:J$37,"",0,1),0),$A1226-TEXT(DATEVALUE($D1226&amp;"-01"), "dd-mm-yyyy")),0),0)</f>
        <v>648</v>
      </c>
      <c r="K1226" cm="1">
        <f t="array" ref="K1226">IF($Q1226&gt;=0,IFERROR(generateSalesData($D1226, IF(ISNUMBER(_xlfn.XLOOKUP($C1226,Phone_by_Sentiment!$B$2:$B$37,Phone_by_Sentiment!K$2:K$37,"",0,1)),_xlfn.XLOOKUP($C1226,Phone_by_Sentiment!$B$2:$B$37,Phone_by_Sentiment!K$2:K$37,"",0,1),0),$A1226-TEXT(DATEVALUE($D1226&amp;"-01"), "dd-mm-yyyy")),0),0)</f>
        <v>378</v>
      </c>
      <c r="L1226" cm="1">
        <f t="array" ref="L1226">IF($Q1226&gt;=0,IFERROR(generateSalesData($D1226, IF(ISNUMBER(_xlfn.XLOOKUP($C1226,Phone_by_Sentiment!$B$2:$B$37,Phone_by_Sentiment!L$2:L$37,"",0,1)),_xlfn.XLOOKUP($C1226,Phone_by_Sentiment!$B$2:$B$37,Phone_by_Sentiment!L$2:L$37,"",0,1),0),$A1226-TEXT(DATEVALUE($D1226&amp;"-01"), "dd-mm-yyyy")),0),0)</f>
        <v>587</v>
      </c>
      <c r="M1226" cm="1">
        <f t="array" ref="M1226">IF($Q1226&gt;=0,IFERROR(generateSalesData($D1226, IF(ISNUMBER(_xlfn.XLOOKUP($C1226,Phone_by_Sentiment!$B$2:$B$37,Phone_by_Sentiment!M$2:M$37,"",0,1)),_xlfn.XLOOKUP($C1226,Phone_by_Sentiment!$B$2:$B$37,Phone_by_Sentiment!M$2:M$37,"",0,1),0),$A1226-TEXT(DATEVALUE($D1226&amp;"-01"), "dd-mm-yyyy")),0),0)</f>
        <v>134</v>
      </c>
      <c r="N1226" cm="1">
        <f t="array" ref="N1226">IF($Q1226&gt;=0,IFERROR(generateSalesData($D1226, IF(ISNUMBER(_xlfn.XLOOKUP($C1226,Phone_by_Sentiment!$B$2:$B$37,Phone_by_Sentiment!N$2:N$37,"",0,1)),_xlfn.XLOOKUP($C1226,Phone_by_Sentiment!$B$2:$B$37,Phone_by_Sentiment!N$2:N$37,"",0,1),0),$A1226-TEXT(DATEVALUE($D1226&amp;"-01"), "dd-mm-yyyy")),0),0)</f>
        <v>681</v>
      </c>
      <c r="O1226" cm="1">
        <f t="array" ref="O1226">IF($Q1226&gt;=0,IFERROR(generateSalesData($D1226, IF(ISNUMBER(_xlfn.XLOOKUP($C1226,Phone_by_Sentiment!$B$2:$B$37,Phone_by_Sentiment!O$2:O$37,"",0,1)),_xlfn.XLOOKUP($C1226,Phone_by_Sentiment!$B$2:$B$37,Phone_by_Sentiment!O$2:O$37,"",0,1),0),$A1226-TEXT(DATEVALUE($D1226&amp;"-01"), "dd-mm-yyyy")),0),0)</f>
        <v>359</v>
      </c>
      <c r="P1226" s="1">
        <f t="shared" si="51"/>
        <v>44256</v>
      </c>
      <c r="Q1226">
        <f t="shared" si="52"/>
        <v>275</v>
      </c>
    </row>
    <row r="1227" spans="1:17" x14ac:dyDescent="0.25">
      <c r="A1227" s="1">
        <f t="shared" si="48"/>
        <v>44531</v>
      </c>
      <c r="B1227" t="s">
        <v>145</v>
      </c>
      <c r="C1227" t="str">
        <f>_xlfn.XLOOKUP(B1227,Phone_by_Price!$A$2:$A$34,Phone_by_Price!$B$2:$B$34,"-",0,1)</f>
        <v>OPPO A54</v>
      </c>
      <c r="D1227" t="str">
        <f>_xlfn.XLOOKUP(C1227,Phone_by_Sentiment!$B$2:$B$37,Phone_by_Sentiment!$A$2:$A$37,"-",0,1)</f>
        <v>2021-04</v>
      </c>
      <c r="E1227" cm="1">
        <f t="array" ref="E1227">IF($Q1227&gt;=0,IFERROR(generateSalesData($D1227, IF(ISNUMBER(_xlfn.XLOOKUP($C1227,Phone_by_Sentiment!$B$2:$B$37,Phone_by_Sentiment!E$2:E$37,"",0,1)),_xlfn.XLOOKUP($C1227,Phone_by_Sentiment!$B$2:$B$37,Phone_by_Sentiment!E$2:E$37,"",0,1),0),$A1227-TEXT(DATEVALUE($D1227&amp;"-01"), "dd-mm-yyyy")),0),0)</f>
        <v>193</v>
      </c>
      <c r="F1227" cm="1">
        <f t="array" ref="F1227">IF($Q1227&gt;=0,IFERROR(generateSalesData($D1227, IF(ISNUMBER(_xlfn.XLOOKUP($C1227,Phone_by_Sentiment!$B$2:$B$37,Phone_by_Sentiment!F$2:F$37,"",0,1)),_xlfn.XLOOKUP($C1227,Phone_by_Sentiment!$B$2:$B$37,Phone_by_Sentiment!F$2:F$37,"",0,1),0),$A1227-TEXT(DATEVALUE($D1227&amp;"-01"), "dd-mm-yyyy")),0),0)</f>
        <v>177</v>
      </c>
      <c r="G1227" cm="1">
        <f t="array" ref="G1227">IF($Q1227&gt;=0,IFERROR(generateSalesData($D1227, IF(ISNUMBER(_xlfn.XLOOKUP($C1227,Phone_by_Sentiment!$B$2:$B$37,Phone_by_Sentiment!G$2:G$37,"",0,1)),_xlfn.XLOOKUP($C1227,Phone_by_Sentiment!$B$2:$B$37,Phone_by_Sentiment!G$2:G$37,"",0,1),0),$A1227-TEXT(DATEVALUE($D1227&amp;"-01"), "dd-mm-yyyy")),0),0)</f>
        <v>501</v>
      </c>
      <c r="H1227" cm="1">
        <f t="array" ref="H1227">IF($Q1227&gt;=0,IFERROR(generateSalesData($D1227, IF(ISNUMBER(_xlfn.XLOOKUP($C1227,Phone_by_Sentiment!$B$2:$B$37,Phone_by_Sentiment!H$2:H$37,"",0,1)),_xlfn.XLOOKUP($C1227,Phone_by_Sentiment!$B$2:$B$37,Phone_by_Sentiment!H$2:H$37,"",0,1),0),$A1227-TEXT(DATEVALUE($D1227&amp;"-01"), "dd-mm-yyyy")),0),0)</f>
        <v>989</v>
      </c>
      <c r="I1227" cm="1">
        <f t="array" ref="I1227">IF($Q1227&gt;=0,IFERROR(generateSalesData($D1227, IF(ISNUMBER(_xlfn.XLOOKUP($C1227,Phone_by_Sentiment!$B$2:$B$37,Phone_by_Sentiment!I$2:I$37,"",0,1)),_xlfn.XLOOKUP($C1227,Phone_by_Sentiment!$B$2:$B$37,Phone_by_Sentiment!I$2:I$37,"",0,1),0),$A1227-TEXT(DATEVALUE($D1227&amp;"-01"), "dd-mm-yyyy")),0),0)</f>
        <v>794</v>
      </c>
      <c r="J1227" cm="1">
        <f t="array" ref="J1227">IF($Q1227&gt;=0,IFERROR(generateSalesData($D1227, IF(ISNUMBER(_xlfn.XLOOKUP($C1227,Phone_by_Sentiment!$B$2:$B$37,Phone_by_Sentiment!J$2:J$37,"",0,1)),_xlfn.XLOOKUP($C1227,Phone_by_Sentiment!$B$2:$B$37,Phone_by_Sentiment!J$2:J$37,"",0,1),0),$A1227-TEXT(DATEVALUE($D1227&amp;"-01"), "dd-mm-yyyy")),0),0)</f>
        <v>383</v>
      </c>
      <c r="K1227" cm="1">
        <f t="array" ref="K1227">IF($Q1227&gt;=0,IFERROR(generateSalesData($D1227, IF(ISNUMBER(_xlfn.XLOOKUP($C1227,Phone_by_Sentiment!$B$2:$B$37,Phone_by_Sentiment!K$2:K$37,"",0,1)),_xlfn.XLOOKUP($C1227,Phone_by_Sentiment!$B$2:$B$37,Phone_by_Sentiment!K$2:K$37,"",0,1),0),$A1227-TEXT(DATEVALUE($D1227&amp;"-01"), "dd-mm-yyyy")),0),0)</f>
        <v>307</v>
      </c>
      <c r="L1227" cm="1">
        <f t="array" ref="L1227">IF($Q1227&gt;=0,IFERROR(generateSalesData($D1227, IF(ISNUMBER(_xlfn.XLOOKUP($C1227,Phone_by_Sentiment!$B$2:$B$37,Phone_by_Sentiment!L$2:L$37,"",0,1)),_xlfn.XLOOKUP($C1227,Phone_by_Sentiment!$B$2:$B$37,Phone_by_Sentiment!L$2:L$37,"",0,1),0),$A1227-TEXT(DATEVALUE($D1227&amp;"-01"), "dd-mm-yyyy")),0),0)</f>
        <v>960</v>
      </c>
      <c r="M1227" cm="1">
        <f t="array" ref="M1227">IF($Q1227&gt;=0,IFERROR(generateSalesData($D1227, IF(ISNUMBER(_xlfn.XLOOKUP($C1227,Phone_by_Sentiment!$B$2:$B$37,Phone_by_Sentiment!M$2:M$37,"",0,1)),_xlfn.XLOOKUP($C1227,Phone_by_Sentiment!$B$2:$B$37,Phone_by_Sentiment!M$2:M$37,"",0,1),0),$A1227-TEXT(DATEVALUE($D1227&amp;"-01"), "dd-mm-yyyy")),0),0)</f>
        <v>257</v>
      </c>
      <c r="N1227" cm="1">
        <f t="array" ref="N1227">IF($Q1227&gt;=0,IFERROR(generateSalesData($D1227, IF(ISNUMBER(_xlfn.XLOOKUP($C1227,Phone_by_Sentiment!$B$2:$B$37,Phone_by_Sentiment!N$2:N$37,"",0,1)),_xlfn.XLOOKUP($C1227,Phone_by_Sentiment!$B$2:$B$37,Phone_by_Sentiment!N$2:N$37,"",0,1),0),$A1227-TEXT(DATEVALUE($D1227&amp;"-01"), "dd-mm-yyyy")),0),0)</f>
        <v>879</v>
      </c>
      <c r="O1227" cm="1">
        <f t="array" ref="O1227">IF($Q1227&gt;=0,IFERROR(generateSalesData($D1227, IF(ISNUMBER(_xlfn.XLOOKUP($C1227,Phone_by_Sentiment!$B$2:$B$37,Phone_by_Sentiment!O$2:O$37,"",0,1)),_xlfn.XLOOKUP($C1227,Phone_by_Sentiment!$B$2:$B$37,Phone_by_Sentiment!O$2:O$37,"",0,1),0),$A1227-TEXT(DATEVALUE($D1227&amp;"-01"), "dd-mm-yyyy")),0),0)</f>
        <v>248</v>
      </c>
      <c r="P1227" s="1">
        <f t="shared" si="51"/>
        <v>44287</v>
      </c>
      <c r="Q1227">
        <f t="shared" si="52"/>
        <v>244</v>
      </c>
    </row>
    <row r="1228" spans="1:17" x14ac:dyDescent="0.25">
      <c r="A1228" s="1">
        <f t="shared" si="48"/>
        <v>44531</v>
      </c>
      <c r="B1228" t="s">
        <v>146</v>
      </c>
      <c r="C1228" t="str">
        <f>_xlfn.XLOOKUP(B1228,Phone_by_Price!$A$2:$A$34,Phone_by_Price!$B$2:$B$34,"-",0,1)</f>
        <v>Vivo Y20</v>
      </c>
      <c r="D1228" t="str">
        <f>_xlfn.XLOOKUP(C1228,Phone_by_Sentiment!$B$2:$B$37,Phone_by_Sentiment!$A$2:$A$37,"-",0,1)</f>
        <v>2020-09</v>
      </c>
      <c r="E1228" cm="1">
        <f t="array" ref="E1228">IF($Q1228&gt;=0,IFERROR(generateSalesData($D1228, IF(ISNUMBER(_xlfn.XLOOKUP($C1228,Phone_by_Sentiment!$B$2:$B$37,Phone_by_Sentiment!E$2:E$37,"",0,1)),_xlfn.XLOOKUP($C1228,Phone_by_Sentiment!$B$2:$B$37,Phone_by_Sentiment!E$2:E$37,"",0,1),0),$A1228-TEXT(DATEVALUE($D1228&amp;"-01"), "dd-mm-yyyy")),0),0)</f>
        <v>303</v>
      </c>
      <c r="F1228" cm="1">
        <f t="array" ref="F1228">IF($Q1228&gt;=0,IFERROR(generateSalesData($D1228, IF(ISNUMBER(_xlfn.XLOOKUP($C1228,Phone_by_Sentiment!$B$2:$B$37,Phone_by_Sentiment!F$2:F$37,"",0,1)),_xlfn.XLOOKUP($C1228,Phone_by_Sentiment!$B$2:$B$37,Phone_by_Sentiment!F$2:F$37,"",0,1),0),$A1228-TEXT(DATEVALUE($D1228&amp;"-01"), "dd-mm-yyyy")),0),0)</f>
        <v>367</v>
      </c>
      <c r="G1228" cm="1">
        <f t="array" ref="G1228">IF($Q1228&gt;=0,IFERROR(generateSalesData($D1228, IF(ISNUMBER(_xlfn.XLOOKUP($C1228,Phone_by_Sentiment!$B$2:$B$37,Phone_by_Sentiment!G$2:G$37,"",0,1)),_xlfn.XLOOKUP($C1228,Phone_by_Sentiment!$B$2:$B$37,Phone_by_Sentiment!G$2:G$37,"",0,1),0),$A1228-TEXT(DATEVALUE($D1228&amp;"-01"), "dd-mm-yyyy")),0),0)</f>
        <v>216</v>
      </c>
      <c r="H1228" cm="1">
        <f t="array" ref="H1228">IF($Q1228&gt;=0,IFERROR(generateSalesData($D1228, IF(ISNUMBER(_xlfn.XLOOKUP($C1228,Phone_by_Sentiment!$B$2:$B$37,Phone_by_Sentiment!H$2:H$37,"",0,1)),_xlfn.XLOOKUP($C1228,Phone_by_Sentiment!$B$2:$B$37,Phone_by_Sentiment!H$2:H$37,"",0,1),0),$A1228-TEXT(DATEVALUE($D1228&amp;"-01"), "dd-mm-yyyy")),0),0)</f>
        <v>180</v>
      </c>
      <c r="I1228" cm="1">
        <f t="array" ref="I1228">IF($Q1228&gt;=0,IFERROR(generateSalesData($D1228, IF(ISNUMBER(_xlfn.XLOOKUP($C1228,Phone_by_Sentiment!$B$2:$B$37,Phone_by_Sentiment!I$2:I$37,"",0,1)),_xlfn.XLOOKUP($C1228,Phone_by_Sentiment!$B$2:$B$37,Phone_by_Sentiment!I$2:I$37,"",0,1),0),$A1228-TEXT(DATEVALUE($D1228&amp;"-01"), "dd-mm-yyyy")),0),0)</f>
        <v>101</v>
      </c>
      <c r="J1228" cm="1">
        <f t="array" ref="J1228">IF($Q1228&gt;=0,IFERROR(generateSalesData($D1228, IF(ISNUMBER(_xlfn.XLOOKUP($C1228,Phone_by_Sentiment!$B$2:$B$37,Phone_by_Sentiment!J$2:J$37,"",0,1)),_xlfn.XLOOKUP($C1228,Phone_by_Sentiment!$B$2:$B$37,Phone_by_Sentiment!J$2:J$37,"",0,1),0),$A1228-TEXT(DATEVALUE($D1228&amp;"-01"), "dd-mm-yyyy")),0),0)</f>
        <v>-125</v>
      </c>
      <c r="K1228" cm="1">
        <f t="array" ref="K1228">IF($Q1228&gt;=0,IFERROR(generateSalesData($D1228, IF(ISNUMBER(_xlfn.XLOOKUP($C1228,Phone_by_Sentiment!$B$2:$B$37,Phone_by_Sentiment!K$2:K$37,"",0,1)),_xlfn.XLOOKUP($C1228,Phone_by_Sentiment!$B$2:$B$37,Phone_by_Sentiment!K$2:K$37,"",0,1),0),$A1228-TEXT(DATEVALUE($D1228&amp;"-01"), "dd-mm-yyyy")),0),0)</f>
        <v>-14</v>
      </c>
      <c r="L1228" cm="1">
        <f t="array" ref="L1228">IF($Q1228&gt;=0,IFERROR(generateSalesData($D1228, IF(ISNUMBER(_xlfn.XLOOKUP($C1228,Phone_by_Sentiment!$B$2:$B$37,Phone_by_Sentiment!L$2:L$37,"",0,1)),_xlfn.XLOOKUP($C1228,Phone_by_Sentiment!$B$2:$B$37,Phone_by_Sentiment!L$2:L$37,"",0,1),0),$A1228-TEXT(DATEVALUE($D1228&amp;"-01"), "dd-mm-yyyy")),0),0)</f>
        <v>171</v>
      </c>
      <c r="M1228" cm="1">
        <f t="array" ref="M1228">IF($Q1228&gt;=0,IFERROR(generateSalesData($D1228, IF(ISNUMBER(_xlfn.XLOOKUP($C1228,Phone_by_Sentiment!$B$2:$B$37,Phone_by_Sentiment!M$2:M$37,"",0,1)),_xlfn.XLOOKUP($C1228,Phone_by_Sentiment!$B$2:$B$37,Phone_by_Sentiment!M$2:M$37,"",0,1),0),$A1228-TEXT(DATEVALUE($D1228&amp;"-01"), "dd-mm-yyyy")),0),0)</f>
        <v>76</v>
      </c>
      <c r="N1228" cm="1">
        <f t="array" ref="N1228">IF($Q1228&gt;=0,IFERROR(generateSalesData($D1228, IF(ISNUMBER(_xlfn.XLOOKUP($C1228,Phone_by_Sentiment!$B$2:$B$37,Phone_by_Sentiment!N$2:N$37,"",0,1)),_xlfn.XLOOKUP($C1228,Phone_by_Sentiment!$B$2:$B$37,Phone_by_Sentiment!N$2:N$37,"",0,1),0),$A1228-TEXT(DATEVALUE($D1228&amp;"-01"), "dd-mm-yyyy")),0),0)</f>
        <v>95</v>
      </c>
      <c r="O1228" cm="1">
        <f t="array" ref="O1228">IF($Q1228&gt;=0,IFERROR(generateSalesData($D1228, IF(ISNUMBER(_xlfn.XLOOKUP($C1228,Phone_by_Sentiment!$B$2:$B$37,Phone_by_Sentiment!O$2:O$37,"",0,1)),_xlfn.XLOOKUP($C1228,Phone_by_Sentiment!$B$2:$B$37,Phone_by_Sentiment!O$2:O$37,"",0,1),0),$A1228-TEXT(DATEVALUE($D1228&amp;"-01"), "dd-mm-yyyy")),0),0)</f>
        <v>356</v>
      </c>
      <c r="P1228" s="1">
        <f t="shared" si="51"/>
        <v>44075</v>
      </c>
      <c r="Q1228">
        <f t="shared" si="52"/>
        <v>456</v>
      </c>
    </row>
    <row r="1229" spans="1:17" x14ac:dyDescent="0.25">
      <c r="A1229" s="1">
        <f t="shared" si="48"/>
        <v>44531</v>
      </c>
      <c r="B1229" t="s">
        <v>147</v>
      </c>
      <c r="C1229" t="str">
        <f>_xlfn.XLOOKUP(B1229,Phone_by_Price!$A$2:$A$34,Phone_by_Price!$B$2:$B$34,"-",0,1)</f>
        <v>Huawei Y9a</v>
      </c>
      <c r="D1229" t="str">
        <f>_xlfn.XLOOKUP(C1229,Phone_by_Sentiment!$B$2:$B$37,Phone_by_Sentiment!$A$2:$A$37,"-",0,1)</f>
        <v>2020-02</v>
      </c>
      <c r="E1229" cm="1">
        <f t="array" ref="E1229">IF($Q1229&gt;=0,IFERROR(generateSalesData($D1229, IF(ISNUMBER(_xlfn.XLOOKUP($C1229,Phone_by_Sentiment!$B$2:$B$37,Phone_by_Sentiment!E$2:E$37,"",0,1)),_xlfn.XLOOKUP($C1229,Phone_by_Sentiment!$B$2:$B$37,Phone_by_Sentiment!E$2:E$37,"",0,1),0),$A1229-TEXT(DATEVALUE($D1229&amp;"-01"), "dd-mm-yyyy")),0),0)</f>
        <v>298</v>
      </c>
      <c r="F1229" cm="1">
        <f t="array" ref="F1229">IF($Q1229&gt;=0,IFERROR(generateSalesData($D1229, IF(ISNUMBER(_xlfn.XLOOKUP($C1229,Phone_by_Sentiment!$B$2:$B$37,Phone_by_Sentiment!F$2:F$37,"",0,1)),_xlfn.XLOOKUP($C1229,Phone_by_Sentiment!$B$2:$B$37,Phone_by_Sentiment!F$2:F$37,"",0,1),0),$A1229-TEXT(DATEVALUE($D1229&amp;"-01"), "dd-mm-yyyy")),0),0)</f>
        <v>188</v>
      </c>
      <c r="G1229" cm="1">
        <f t="array" ref="G1229">IF($Q1229&gt;=0,IFERROR(generateSalesData($D1229, IF(ISNUMBER(_xlfn.XLOOKUP($C1229,Phone_by_Sentiment!$B$2:$B$37,Phone_by_Sentiment!G$2:G$37,"",0,1)),_xlfn.XLOOKUP($C1229,Phone_by_Sentiment!$B$2:$B$37,Phone_by_Sentiment!G$2:G$37,"",0,1),0),$A1229-TEXT(DATEVALUE($D1229&amp;"-01"), "dd-mm-yyyy")),0),0)</f>
        <v>82</v>
      </c>
      <c r="H1229" cm="1">
        <f t="array" ref="H1229">IF($Q1229&gt;=0,IFERROR(generateSalesData($D1229, IF(ISNUMBER(_xlfn.XLOOKUP($C1229,Phone_by_Sentiment!$B$2:$B$37,Phone_by_Sentiment!H$2:H$37,"",0,1)),_xlfn.XLOOKUP($C1229,Phone_by_Sentiment!$B$2:$B$37,Phone_by_Sentiment!H$2:H$37,"",0,1),0),$A1229-TEXT(DATEVALUE($D1229&amp;"-01"), "dd-mm-yyyy")),0),0)</f>
        <v>87</v>
      </c>
      <c r="I1229" cm="1">
        <f t="array" ref="I1229">IF($Q1229&gt;=0,IFERROR(generateSalesData($D1229, IF(ISNUMBER(_xlfn.XLOOKUP($C1229,Phone_by_Sentiment!$B$2:$B$37,Phone_by_Sentiment!I$2:I$37,"",0,1)),_xlfn.XLOOKUP($C1229,Phone_by_Sentiment!$B$2:$B$37,Phone_by_Sentiment!I$2:I$37,"",0,1),0),$A1229-TEXT(DATEVALUE($D1229&amp;"-01"), "dd-mm-yyyy")),0),0)</f>
        <v>50</v>
      </c>
      <c r="J1229" cm="1">
        <f t="array" ref="J1229">IF($Q1229&gt;=0,IFERROR(generateSalesData($D1229, IF(ISNUMBER(_xlfn.XLOOKUP($C1229,Phone_by_Sentiment!$B$2:$B$37,Phone_by_Sentiment!J$2:J$37,"",0,1)),_xlfn.XLOOKUP($C1229,Phone_by_Sentiment!$B$2:$B$37,Phone_by_Sentiment!J$2:J$37,"",0,1),0),$A1229-TEXT(DATEVALUE($D1229&amp;"-01"), "dd-mm-yyyy")),0),0)</f>
        <v>70</v>
      </c>
      <c r="K1229" cm="1">
        <f t="array" ref="K1229">IF($Q1229&gt;=0,IFERROR(generateSalesData($D1229, IF(ISNUMBER(_xlfn.XLOOKUP($C1229,Phone_by_Sentiment!$B$2:$B$37,Phone_by_Sentiment!K$2:K$37,"",0,1)),_xlfn.XLOOKUP($C1229,Phone_by_Sentiment!$B$2:$B$37,Phone_by_Sentiment!K$2:K$37,"",0,1),0),$A1229-TEXT(DATEVALUE($D1229&amp;"-01"), "dd-mm-yyyy")),0),0)</f>
        <v>165</v>
      </c>
      <c r="L1229" cm="1">
        <f t="array" ref="L1229">IF($Q1229&gt;=0,IFERROR(generateSalesData($D1229, IF(ISNUMBER(_xlfn.XLOOKUP($C1229,Phone_by_Sentiment!$B$2:$B$37,Phone_by_Sentiment!L$2:L$37,"",0,1)),_xlfn.XLOOKUP($C1229,Phone_by_Sentiment!$B$2:$B$37,Phone_by_Sentiment!L$2:L$37,"",0,1),0),$A1229-TEXT(DATEVALUE($D1229&amp;"-01"), "dd-mm-yyyy")),0),0)</f>
        <v>109</v>
      </c>
      <c r="M1229" cm="1">
        <f t="array" ref="M1229">IF($Q1229&gt;=0,IFERROR(generateSalesData($D1229, IF(ISNUMBER(_xlfn.XLOOKUP($C1229,Phone_by_Sentiment!$B$2:$B$37,Phone_by_Sentiment!M$2:M$37,"",0,1)),_xlfn.XLOOKUP($C1229,Phone_by_Sentiment!$B$2:$B$37,Phone_by_Sentiment!M$2:M$37,"",0,1),0),$A1229-TEXT(DATEVALUE($D1229&amp;"-01"), "dd-mm-yyyy")),0),0)</f>
        <v>113</v>
      </c>
      <c r="N1229" cm="1">
        <f t="array" ref="N1229">IF($Q1229&gt;=0,IFERROR(generateSalesData($D1229, IF(ISNUMBER(_xlfn.XLOOKUP($C1229,Phone_by_Sentiment!$B$2:$B$37,Phone_by_Sentiment!N$2:N$37,"",0,1)),_xlfn.XLOOKUP($C1229,Phone_by_Sentiment!$B$2:$B$37,Phone_by_Sentiment!N$2:N$37,"",0,1),0),$A1229-TEXT(DATEVALUE($D1229&amp;"-01"), "dd-mm-yyyy")),0),0)</f>
        <v>117</v>
      </c>
      <c r="O1229" cm="1">
        <f t="array" ref="O1229">IF($Q1229&gt;=0,IFERROR(generateSalesData($D1229, IF(ISNUMBER(_xlfn.XLOOKUP($C1229,Phone_by_Sentiment!$B$2:$B$37,Phone_by_Sentiment!O$2:O$37,"",0,1)),_xlfn.XLOOKUP($C1229,Phone_by_Sentiment!$B$2:$B$37,Phone_by_Sentiment!O$2:O$37,"",0,1),0),$A1229-TEXT(DATEVALUE($D1229&amp;"-01"), "dd-mm-yyyy")),0),0)</f>
        <v>88</v>
      </c>
      <c r="P1229" s="1">
        <f t="shared" si="51"/>
        <v>43862</v>
      </c>
      <c r="Q1229">
        <f t="shared" si="52"/>
        <v>669</v>
      </c>
    </row>
    <row r="1230" spans="1:17" x14ac:dyDescent="0.25">
      <c r="A1230" s="1">
        <f t="shared" si="48"/>
        <v>44531</v>
      </c>
      <c r="B1230" t="s">
        <v>148</v>
      </c>
      <c r="C1230" t="str">
        <f>_xlfn.XLOOKUP(B1230,Phone_by_Price!$A$2:$A$34,Phone_by_Price!$B$2:$B$34,"-",0,1)</f>
        <v>Xiaomi Redmi 10</v>
      </c>
      <c r="D1230" t="str">
        <f>_xlfn.XLOOKUP(C1230,Phone_by_Sentiment!$B$2:$B$37,Phone_by_Sentiment!$A$2:$A$37,"-",0,1)</f>
        <v>2021-03</v>
      </c>
      <c r="E1230" cm="1">
        <f t="array" ref="E1230">IF($Q1230&gt;=0,IFERROR(generateSalesData($D1230, IF(ISNUMBER(_xlfn.XLOOKUP($C1230,Phone_by_Sentiment!$B$2:$B$37,Phone_by_Sentiment!E$2:E$37,"",0,1)),_xlfn.XLOOKUP($C1230,Phone_by_Sentiment!$B$2:$B$37,Phone_by_Sentiment!E$2:E$37,"",0,1),0),$A1230-TEXT(DATEVALUE($D1230&amp;"-01"), "dd-mm-yyyy")),0),0)</f>
        <v>420</v>
      </c>
      <c r="F1230" cm="1">
        <f t="array" ref="F1230">IF($Q1230&gt;=0,IFERROR(generateSalesData($D1230, IF(ISNUMBER(_xlfn.XLOOKUP($C1230,Phone_by_Sentiment!$B$2:$B$37,Phone_by_Sentiment!F$2:F$37,"",0,1)),_xlfn.XLOOKUP($C1230,Phone_by_Sentiment!$B$2:$B$37,Phone_by_Sentiment!F$2:F$37,"",0,1),0),$A1230-TEXT(DATEVALUE($D1230&amp;"-01"), "dd-mm-yyyy")),0),0)</f>
        <v>534</v>
      </c>
      <c r="G1230" cm="1">
        <f t="array" ref="G1230">IF($Q1230&gt;=0,IFERROR(generateSalesData($D1230, IF(ISNUMBER(_xlfn.XLOOKUP($C1230,Phone_by_Sentiment!$B$2:$B$37,Phone_by_Sentiment!G$2:G$37,"",0,1)),_xlfn.XLOOKUP($C1230,Phone_by_Sentiment!$B$2:$B$37,Phone_by_Sentiment!G$2:G$37,"",0,1),0),$A1230-TEXT(DATEVALUE($D1230&amp;"-01"), "dd-mm-yyyy")),0),0)</f>
        <v>168</v>
      </c>
      <c r="H1230" cm="1">
        <f t="array" ref="H1230">IF($Q1230&gt;=0,IFERROR(generateSalesData($D1230, IF(ISNUMBER(_xlfn.XLOOKUP($C1230,Phone_by_Sentiment!$B$2:$B$37,Phone_by_Sentiment!H$2:H$37,"",0,1)),_xlfn.XLOOKUP($C1230,Phone_by_Sentiment!$B$2:$B$37,Phone_by_Sentiment!H$2:H$37,"",0,1),0),$A1230-TEXT(DATEVALUE($D1230&amp;"-01"), "dd-mm-yyyy")),0),0)</f>
        <v>850</v>
      </c>
      <c r="I1230" cm="1">
        <f t="array" ref="I1230">IF($Q1230&gt;=0,IFERROR(generateSalesData($D1230, IF(ISNUMBER(_xlfn.XLOOKUP($C1230,Phone_by_Sentiment!$B$2:$B$37,Phone_by_Sentiment!I$2:I$37,"",0,1)),_xlfn.XLOOKUP($C1230,Phone_by_Sentiment!$B$2:$B$37,Phone_by_Sentiment!I$2:I$37,"",0,1),0),$A1230-TEXT(DATEVALUE($D1230&amp;"-01"), "dd-mm-yyyy")),0),0)</f>
        <v>331</v>
      </c>
      <c r="J1230" cm="1">
        <f t="array" ref="J1230">IF($Q1230&gt;=0,IFERROR(generateSalesData($D1230, IF(ISNUMBER(_xlfn.XLOOKUP($C1230,Phone_by_Sentiment!$B$2:$B$37,Phone_by_Sentiment!J$2:J$37,"",0,1)),_xlfn.XLOOKUP($C1230,Phone_by_Sentiment!$B$2:$B$37,Phone_by_Sentiment!J$2:J$37,"",0,1),0),$A1230-TEXT(DATEVALUE($D1230&amp;"-01"), "dd-mm-yyyy")),0),0)</f>
        <v>315</v>
      </c>
      <c r="K1230" cm="1">
        <f t="array" ref="K1230">IF($Q1230&gt;=0,IFERROR(generateSalesData($D1230, IF(ISNUMBER(_xlfn.XLOOKUP($C1230,Phone_by_Sentiment!$B$2:$B$37,Phone_by_Sentiment!K$2:K$37,"",0,1)),_xlfn.XLOOKUP($C1230,Phone_by_Sentiment!$B$2:$B$37,Phone_by_Sentiment!K$2:K$37,"",0,1),0),$A1230-TEXT(DATEVALUE($D1230&amp;"-01"), "dd-mm-yyyy")),0),0)</f>
        <v>1014</v>
      </c>
      <c r="L1230" cm="1">
        <f t="array" ref="L1230">IF($Q1230&gt;=0,IFERROR(generateSalesData($D1230, IF(ISNUMBER(_xlfn.XLOOKUP($C1230,Phone_by_Sentiment!$B$2:$B$37,Phone_by_Sentiment!L$2:L$37,"",0,1)),_xlfn.XLOOKUP($C1230,Phone_by_Sentiment!$B$2:$B$37,Phone_by_Sentiment!L$2:L$37,"",0,1),0),$A1230-TEXT(DATEVALUE($D1230&amp;"-01"), "dd-mm-yyyy")),0),0)</f>
        <v>337</v>
      </c>
      <c r="M1230" cm="1">
        <f t="array" ref="M1230">IF($Q1230&gt;=0,IFERROR(generateSalesData($D1230, IF(ISNUMBER(_xlfn.XLOOKUP($C1230,Phone_by_Sentiment!$B$2:$B$37,Phone_by_Sentiment!M$2:M$37,"",0,1)),_xlfn.XLOOKUP($C1230,Phone_by_Sentiment!$B$2:$B$37,Phone_by_Sentiment!M$2:M$37,"",0,1),0),$A1230-TEXT(DATEVALUE($D1230&amp;"-01"), "dd-mm-yyyy")),0),0)</f>
        <v>308</v>
      </c>
      <c r="N1230" cm="1">
        <f t="array" ref="N1230">IF($Q1230&gt;=0,IFERROR(generateSalesData($D1230, IF(ISNUMBER(_xlfn.XLOOKUP($C1230,Phone_by_Sentiment!$B$2:$B$37,Phone_by_Sentiment!N$2:N$37,"",0,1)),_xlfn.XLOOKUP($C1230,Phone_by_Sentiment!$B$2:$B$37,Phone_by_Sentiment!N$2:N$37,"",0,1),0),$A1230-TEXT(DATEVALUE($D1230&amp;"-01"), "dd-mm-yyyy")),0),0)</f>
        <v>1002</v>
      </c>
      <c r="O1230" cm="1">
        <f t="array" ref="O1230">IF($Q1230&gt;=0,IFERROR(generateSalesData($D1230, IF(ISNUMBER(_xlfn.XLOOKUP($C1230,Phone_by_Sentiment!$B$2:$B$37,Phone_by_Sentiment!O$2:O$37,"",0,1)),_xlfn.XLOOKUP($C1230,Phone_by_Sentiment!$B$2:$B$37,Phone_by_Sentiment!O$2:O$37,"",0,1),0),$A1230-TEXT(DATEVALUE($D1230&amp;"-01"), "dd-mm-yyyy")),0),0)</f>
        <v>1299</v>
      </c>
      <c r="P1230" s="1">
        <f t="shared" si="51"/>
        <v>44256</v>
      </c>
      <c r="Q1230">
        <f t="shared" si="52"/>
        <v>275</v>
      </c>
    </row>
    <row r="1231" spans="1:17" x14ac:dyDescent="0.25">
      <c r="A1231" s="1">
        <f t="shared" si="48"/>
        <v>44531</v>
      </c>
      <c r="B1231" t="s">
        <v>149</v>
      </c>
      <c r="C1231" t="str">
        <f>_xlfn.XLOOKUP(B1231,Phone_by_Price!$A$2:$A$34,Phone_by_Price!$B$2:$B$34,"-",0,1)</f>
        <v>Samsung Galaxy A52</v>
      </c>
      <c r="D1231" t="str">
        <f>_xlfn.XLOOKUP(C1231,Phone_by_Sentiment!$B$2:$B$37,Phone_by_Sentiment!$A$2:$A$37,"-",0,1)</f>
        <v>2021-03</v>
      </c>
      <c r="E1231" cm="1">
        <f t="array" ref="E1231">IF($Q1231&gt;=0,IFERROR(generateSalesData($D1231, IF(ISNUMBER(_xlfn.XLOOKUP($C1231,Phone_by_Sentiment!$B$2:$B$37,Phone_by_Sentiment!E$2:E$37,"",0,1)),_xlfn.XLOOKUP($C1231,Phone_by_Sentiment!$B$2:$B$37,Phone_by_Sentiment!E$2:E$37,"",0,1),0),$A1231-TEXT(DATEVALUE($D1231&amp;"-01"), "dd-mm-yyyy")),0),0)</f>
        <v>1434</v>
      </c>
      <c r="F1231" cm="1">
        <f t="array" ref="F1231">IF($Q1231&gt;=0,IFERROR(generateSalesData($D1231, IF(ISNUMBER(_xlfn.XLOOKUP($C1231,Phone_by_Sentiment!$B$2:$B$37,Phone_by_Sentiment!F$2:F$37,"",0,1)),_xlfn.XLOOKUP($C1231,Phone_by_Sentiment!$B$2:$B$37,Phone_by_Sentiment!F$2:F$37,"",0,1),0),$A1231-TEXT(DATEVALUE($D1231&amp;"-01"), "dd-mm-yyyy")),0),0)</f>
        <v>971</v>
      </c>
      <c r="G1231" cm="1">
        <f t="array" ref="G1231">IF($Q1231&gt;=0,IFERROR(generateSalesData($D1231, IF(ISNUMBER(_xlfn.XLOOKUP($C1231,Phone_by_Sentiment!$B$2:$B$37,Phone_by_Sentiment!G$2:G$37,"",0,1)),_xlfn.XLOOKUP($C1231,Phone_by_Sentiment!$B$2:$B$37,Phone_by_Sentiment!G$2:G$37,"",0,1),0),$A1231-TEXT(DATEVALUE($D1231&amp;"-01"), "dd-mm-yyyy")),0),0)</f>
        <v>119</v>
      </c>
      <c r="H1231" cm="1">
        <f t="array" ref="H1231">IF($Q1231&gt;=0,IFERROR(generateSalesData($D1231, IF(ISNUMBER(_xlfn.XLOOKUP($C1231,Phone_by_Sentiment!$B$2:$B$37,Phone_by_Sentiment!H$2:H$37,"",0,1)),_xlfn.XLOOKUP($C1231,Phone_by_Sentiment!$B$2:$B$37,Phone_by_Sentiment!H$2:H$37,"",0,1),0),$A1231-TEXT(DATEVALUE($D1231&amp;"-01"), "dd-mm-yyyy")),0),0)</f>
        <v>366</v>
      </c>
      <c r="I1231" cm="1">
        <f t="array" ref="I1231">IF($Q1231&gt;=0,IFERROR(generateSalesData($D1231, IF(ISNUMBER(_xlfn.XLOOKUP($C1231,Phone_by_Sentiment!$B$2:$B$37,Phone_by_Sentiment!I$2:I$37,"",0,1)),_xlfn.XLOOKUP($C1231,Phone_by_Sentiment!$B$2:$B$37,Phone_by_Sentiment!I$2:I$37,"",0,1),0),$A1231-TEXT(DATEVALUE($D1231&amp;"-01"), "dd-mm-yyyy")),0),0)</f>
        <v>289</v>
      </c>
      <c r="J1231" cm="1">
        <f t="array" ref="J1231">IF($Q1231&gt;=0,IFERROR(generateSalesData($D1231, IF(ISNUMBER(_xlfn.XLOOKUP($C1231,Phone_by_Sentiment!$B$2:$B$37,Phone_by_Sentiment!J$2:J$37,"",0,1)),_xlfn.XLOOKUP($C1231,Phone_by_Sentiment!$B$2:$B$37,Phone_by_Sentiment!J$2:J$37,"",0,1),0),$A1231-TEXT(DATEVALUE($D1231&amp;"-01"), "dd-mm-yyyy")),0),0)</f>
        <v>955</v>
      </c>
      <c r="K1231" cm="1">
        <f t="array" ref="K1231">IF($Q1231&gt;=0,IFERROR(generateSalesData($D1231, IF(ISNUMBER(_xlfn.XLOOKUP($C1231,Phone_by_Sentiment!$B$2:$B$37,Phone_by_Sentiment!K$2:K$37,"",0,1)),_xlfn.XLOOKUP($C1231,Phone_by_Sentiment!$B$2:$B$37,Phone_by_Sentiment!K$2:K$37,"",0,1),0),$A1231-TEXT(DATEVALUE($D1231&amp;"-01"), "dd-mm-yyyy")),0),0)</f>
        <v>1395</v>
      </c>
      <c r="L1231" cm="1">
        <f t="array" ref="L1231">IF($Q1231&gt;=0,IFERROR(generateSalesData($D1231, IF(ISNUMBER(_xlfn.XLOOKUP($C1231,Phone_by_Sentiment!$B$2:$B$37,Phone_by_Sentiment!L$2:L$37,"",0,1)),_xlfn.XLOOKUP($C1231,Phone_by_Sentiment!$B$2:$B$37,Phone_by_Sentiment!L$2:L$37,"",0,1),0),$A1231-TEXT(DATEVALUE($D1231&amp;"-01"), "dd-mm-yyyy")),0),0)</f>
        <v>822</v>
      </c>
      <c r="M1231" cm="1">
        <f t="array" ref="M1231">IF($Q1231&gt;=0,IFERROR(generateSalesData($D1231, IF(ISNUMBER(_xlfn.XLOOKUP($C1231,Phone_by_Sentiment!$B$2:$B$37,Phone_by_Sentiment!M$2:M$37,"",0,1)),_xlfn.XLOOKUP($C1231,Phone_by_Sentiment!$B$2:$B$37,Phone_by_Sentiment!M$2:M$37,"",0,1),0),$A1231-TEXT(DATEVALUE($D1231&amp;"-01"), "dd-mm-yyyy")),0),0)</f>
        <v>1518</v>
      </c>
      <c r="N1231" cm="1">
        <f t="array" ref="N1231">IF($Q1231&gt;=0,IFERROR(generateSalesData($D1231, IF(ISNUMBER(_xlfn.XLOOKUP($C1231,Phone_by_Sentiment!$B$2:$B$37,Phone_by_Sentiment!N$2:N$37,"",0,1)),_xlfn.XLOOKUP($C1231,Phone_by_Sentiment!$B$2:$B$37,Phone_by_Sentiment!N$2:N$37,"",0,1),0),$A1231-TEXT(DATEVALUE($D1231&amp;"-01"), "dd-mm-yyyy")),0),0)</f>
        <v>498</v>
      </c>
      <c r="O1231" cm="1">
        <f t="array" ref="O1231">IF($Q1231&gt;=0,IFERROR(generateSalesData($D1231, IF(ISNUMBER(_xlfn.XLOOKUP($C1231,Phone_by_Sentiment!$B$2:$B$37,Phone_by_Sentiment!O$2:O$37,"",0,1)),_xlfn.XLOOKUP($C1231,Phone_by_Sentiment!$B$2:$B$37,Phone_by_Sentiment!O$2:O$37,"",0,1),0),$A1231-TEXT(DATEVALUE($D1231&amp;"-01"), "dd-mm-yyyy")),0),0)</f>
        <v>1070</v>
      </c>
      <c r="P1231" s="1">
        <f t="shared" si="51"/>
        <v>44256</v>
      </c>
      <c r="Q1231">
        <f t="shared" si="52"/>
        <v>275</v>
      </c>
    </row>
    <row r="1232" spans="1:17" x14ac:dyDescent="0.25">
      <c r="A1232" s="1">
        <f t="shared" si="48"/>
        <v>44531</v>
      </c>
      <c r="B1232" t="s">
        <v>150</v>
      </c>
      <c r="C1232" t="str">
        <f>_xlfn.XLOOKUP(B1232,Phone_by_Price!$A$2:$A$34,Phone_by_Price!$B$2:$B$34,"-",0,1)</f>
        <v>Vivo Y33s</v>
      </c>
      <c r="D1232" t="str">
        <f>_xlfn.XLOOKUP(C1232,Phone_by_Sentiment!$B$2:$B$37,Phone_by_Sentiment!$A$2:$A$37,"-",0,1)</f>
        <v>2021-05</v>
      </c>
      <c r="E1232" cm="1">
        <f t="array" ref="E1232">IF($Q1232&gt;=0,IFERROR(generateSalesData($D1232, IF(ISNUMBER(_xlfn.XLOOKUP($C1232,Phone_by_Sentiment!$B$2:$B$37,Phone_by_Sentiment!E$2:E$37,"",0,1)),_xlfn.XLOOKUP($C1232,Phone_by_Sentiment!$B$2:$B$37,Phone_by_Sentiment!E$2:E$37,"",0,1),0),$A1232-TEXT(DATEVALUE($D1232&amp;"-01"), "dd-mm-yyyy")),0),0)</f>
        <v>875</v>
      </c>
      <c r="F1232" cm="1">
        <f t="array" ref="F1232">IF($Q1232&gt;=0,IFERROR(generateSalesData($D1232, IF(ISNUMBER(_xlfn.XLOOKUP($C1232,Phone_by_Sentiment!$B$2:$B$37,Phone_by_Sentiment!F$2:F$37,"",0,1)),_xlfn.XLOOKUP($C1232,Phone_by_Sentiment!$B$2:$B$37,Phone_by_Sentiment!F$2:F$37,"",0,1),0),$A1232-TEXT(DATEVALUE($D1232&amp;"-01"), "dd-mm-yyyy")),0),0)</f>
        <v>595</v>
      </c>
      <c r="G1232" cm="1">
        <f t="array" ref="G1232">IF($Q1232&gt;=0,IFERROR(generateSalesData($D1232, IF(ISNUMBER(_xlfn.XLOOKUP($C1232,Phone_by_Sentiment!$B$2:$B$37,Phone_by_Sentiment!G$2:G$37,"",0,1)),_xlfn.XLOOKUP($C1232,Phone_by_Sentiment!$B$2:$B$37,Phone_by_Sentiment!G$2:G$37,"",0,1),0),$A1232-TEXT(DATEVALUE($D1232&amp;"-01"), "dd-mm-yyyy")),0),0)</f>
        <v>251</v>
      </c>
      <c r="H1232" cm="1">
        <f t="array" ref="H1232">IF($Q1232&gt;=0,IFERROR(generateSalesData($D1232, IF(ISNUMBER(_xlfn.XLOOKUP($C1232,Phone_by_Sentiment!$B$2:$B$37,Phone_by_Sentiment!H$2:H$37,"",0,1)),_xlfn.XLOOKUP($C1232,Phone_by_Sentiment!$B$2:$B$37,Phone_by_Sentiment!H$2:H$37,"",0,1),0),$A1232-TEXT(DATEVALUE($D1232&amp;"-01"), "dd-mm-yyyy")),0),0)</f>
        <v>1816</v>
      </c>
      <c r="I1232" cm="1">
        <f t="array" ref="I1232">IF($Q1232&gt;=0,IFERROR(generateSalesData($D1232, IF(ISNUMBER(_xlfn.XLOOKUP($C1232,Phone_by_Sentiment!$B$2:$B$37,Phone_by_Sentiment!I$2:I$37,"",0,1)),_xlfn.XLOOKUP($C1232,Phone_by_Sentiment!$B$2:$B$37,Phone_by_Sentiment!I$2:I$37,"",0,1),0),$A1232-TEXT(DATEVALUE($D1232&amp;"-01"), "dd-mm-yyyy")),0),0)</f>
        <v>83</v>
      </c>
      <c r="J1232" cm="1">
        <f t="array" ref="J1232">IF($Q1232&gt;=0,IFERROR(generateSalesData($D1232, IF(ISNUMBER(_xlfn.XLOOKUP($C1232,Phone_by_Sentiment!$B$2:$B$37,Phone_by_Sentiment!J$2:J$37,"",0,1)),_xlfn.XLOOKUP($C1232,Phone_by_Sentiment!$B$2:$B$37,Phone_by_Sentiment!J$2:J$37,"",0,1),0),$A1232-TEXT(DATEVALUE($D1232&amp;"-01"), "dd-mm-yyyy")),0),0)</f>
        <v>105</v>
      </c>
      <c r="K1232" cm="1">
        <f t="array" ref="K1232">IF($Q1232&gt;=0,IFERROR(generateSalesData($D1232, IF(ISNUMBER(_xlfn.XLOOKUP($C1232,Phone_by_Sentiment!$B$2:$B$37,Phone_by_Sentiment!K$2:K$37,"",0,1)),_xlfn.XLOOKUP($C1232,Phone_by_Sentiment!$B$2:$B$37,Phone_by_Sentiment!K$2:K$37,"",0,1),0),$A1232-TEXT(DATEVALUE($D1232&amp;"-01"), "dd-mm-yyyy")),0),0)</f>
        <v>556</v>
      </c>
      <c r="L1232" cm="1">
        <f t="array" ref="L1232">IF($Q1232&gt;=0,IFERROR(generateSalesData($D1232, IF(ISNUMBER(_xlfn.XLOOKUP($C1232,Phone_by_Sentiment!$B$2:$B$37,Phone_by_Sentiment!L$2:L$37,"",0,1)),_xlfn.XLOOKUP($C1232,Phone_by_Sentiment!$B$2:$B$37,Phone_by_Sentiment!L$2:L$37,"",0,1),0),$A1232-TEXT(DATEVALUE($D1232&amp;"-01"), "dd-mm-yyyy")),0),0)</f>
        <v>229</v>
      </c>
      <c r="M1232" cm="1">
        <f t="array" ref="M1232">IF($Q1232&gt;=0,IFERROR(generateSalesData($D1232, IF(ISNUMBER(_xlfn.XLOOKUP($C1232,Phone_by_Sentiment!$B$2:$B$37,Phone_by_Sentiment!M$2:M$37,"",0,1)),_xlfn.XLOOKUP($C1232,Phone_by_Sentiment!$B$2:$B$37,Phone_by_Sentiment!M$2:M$37,"",0,1),0),$A1232-TEXT(DATEVALUE($D1232&amp;"-01"), "dd-mm-yyyy")),0),0)</f>
        <v>267</v>
      </c>
      <c r="N1232" cm="1">
        <f t="array" ref="N1232">IF($Q1232&gt;=0,IFERROR(generateSalesData($D1232, IF(ISNUMBER(_xlfn.XLOOKUP($C1232,Phone_by_Sentiment!$B$2:$B$37,Phone_by_Sentiment!N$2:N$37,"",0,1)),_xlfn.XLOOKUP($C1232,Phone_by_Sentiment!$B$2:$B$37,Phone_by_Sentiment!N$2:N$37,"",0,1),0),$A1232-TEXT(DATEVALUE($D1232&amp;"-01"), "dd-mm-yyyy")),0),0)</f>
        <v>92</v>
      </c>
      <c r="O1232" cm="1">
        <f t="array" ref="O1232">IF($Q1232&gt;=0,IFERROR(generateSalesData($D1232, IF(ISNUMBER(_xlfn.XLOOKUP($C1232,Phone_by_Sentiment!$B$2:$B$37,Phone_by_Sentiment!O$2:O$37,"",0,1)),_xlfn.XLOOKUP($C1232,Phone_by_Sentiment!$B$2:$B$37,Phone_by_Sentiment!O$2:O$37,"",0,1),0),$A1232-TEXT(DATEVALUE($D1232&amp;"-01"), "dd-mm-yyyy")),0),0)</f>
        <v>534</v>
      </c>
      <c r="P1232" s="1">
        <f t="shared" si="51"/>
        <v>44317</v>
      </c>
      <c r="Q1232">
        <f t="shared" si="52"/>
        <v>214</v>
      </c>
    </row>
    <row r="1233" spans="1:17" x14ac:dyDescent="0.25">
      <c r="A1233" s="1">
        <f t="shared" si="48"/>
        <v>44531</v>
      </c>
      <c r="B1233" t="s">
        <v>151</v>
      </c>
      <c r="C1233" t="str">
        <f>_xlfn.XLOOKUP(B1233,Phone_by_Price!$A$2:$A$34,Phone_by_Price!$B$2:$B$34,"-",0,1)</f>
        <v>Vivo Y11s</v>
      </c>
      <c r="D1233" t="str">
        <f>_xlfn.XLOOKUP(C1233,Phone_by_Sentiment!$B$2:$B$37,Phone_by_Sentiment!$A$2:$A$37,"-",0,1)</f>
        <v>2020-11</v>
      </c>
      <c r="E1233" cm="1">
        <f t="array" ref="E1233">IF($Q1233&gt;=0,IFERROR(generateSalesData($D1233, IF(ISNUMBER(_xlfn.XLOOKUP($C1233,Phone_by_Sentiment!$B$2:$B$37,Phone_by_Sentiment!E$2:E$37,"",0,1)),_xlfn.XLOOKUP($C1233,Phone_by_Sentiment!$B$2:$B$37,Phone_by_Sentiment!E$2:E$37,"",0,1),0),$A1233-TEXT(DATEVALUE($D1233&amp;"-01"), "dd-mm-yyyy")),0),0)</f>
        <v>239</v>
      </c>
      <c r="F1233" cm="1">
        <f t="array" ref="F1233">IF($Q1233&gt;=0,IFERROR(generateSalesData($D1233, IF(ISNUMBER(_xlfn.XLOOKUP($C1233,Phone_by_Sentiment!$B$2:$B$37,Phone_by_Sentiment!F$2:F$37,"",0,1)),_xlfn.XLOOKUP($C1233,Phone_by_Sentiment!$B$2:$B$37,Phone_by_Sentiment!F$2:F$37,"",0,1),0),$A1233-TEXT(DATEVALUE($D1233&amp;"-01"), "dd-mm-yyyy")),0),0)</f>
        <v>89</v>
      </c>
      <c r="G1233" cm="1">
        <f t="array" ref="G1233">IF($Q1233&gt;=0,IFERROR(generateSalesData($D1233, IF(ISNUMBER(_xlfn.XLOOKUP($C1233,Phone_by_Sentiment!$B$2:$B$37,Phone_by_Sentiment!G$2:G$37,"",0,1)),_xlfn.XLOOKUP($C1233,Phone_by_Sentiment!$B$2:$B$37,Phone_by_Sentiment!G$2:G$37,"",0,1),0),$A1233-TEXT(DATEVALUE($D1233&amp;"-01"), "dd-mm-yyyy")),0),0)</f>
        <v>117</v>
      </c>
      <c r="H1233" cm="1">
        <f t="array" ref="H1233">IF($Q1233&gt;=0,IFERROR(generateSalesData($D1233, IF(ISNUMBER(_xlfn.XLOOKUP($C1233,Phone_by_Sentiment!$B$2:$B$37,Phone_by_Sentiment!H$2:H$37,"",0,1)),_xlfn.XLOOKUP($C1233,Phone_by_Sentiment!$B$2:$B$37,Phone_by_Sentiment!H$2:H$37,"",0,1),0),$A1233-TEXT(DATEVALUE($D1233&amp;"-01"), "dd-mm-yyyy")),0),0)</f>
        <v>135</v>
      </c>
      <c r="I1233" cm="1">
        <f t="array" ref="I1233">IF($Q1233&gt;=0,IFERROR(generateSalesData($D1233, IF(ISNUMBER(_xlfn.XLOOKUP($C1233,Phone_by_Sentiment!$B$2:$B$37,Phone_by_Sentiment!I$2:I$37,"",0,1)),_xlfn.XLOOKUP($C1233,Phone_by_Sentiment!$B$2:$B$37,Phone_by_Sentiment!I$2:I$37,"",0,1),0),$A1233-TEXT(DATEVALUE($D1233&amp;"-01"), "dd-mm-yyyy")),0),0)</f>
        <v>534</v>
      </c>
      <c r="J1233" cm="1">
        <f t="array" ref="J1233">IF($Q1233&gt;=0,IFERROR(generateSalesData($D1233, IF(ISNUMBER(_xlfn.XLOOKUP($C1233,Phone_by_Sentiment!$B$2:$B$37,Phone_by_Sentiment!J$2:J$37,"",0,1)),_xlfn.XLOOKUP($C1233,Phone_by_Sentiment!$B$2:$B$37,Phone_by_Sentiment!J$2:J$37,"",0,1),0),$A1233-TEXT(DATEVALUE($D1233&amp;"-01"), "dd-mm-yyyy")),0),0)</f>
        <v>174</v>
      </c>
      <c r="K1233" cm="1">
        <f t="array" ref="K1233">IF($Q1233&gt;=0,IFERROR(generateSalesData($D1233, IF(ISNUMBER(_xlfn.XLOOKUP($C1233,Phone_by_Sentiment!$B$2:$B$37,Phone_by_Sentiment!K$2:K$37,"",0,1)),_xlfn.XLOOKUP($C1233,Phone_by_Sentiment!$B$2:$B$37,Phone_by_Sentiment!K$2:K$37,"",0,1),0),$A1233-TEXT(DATEVALUE($D1233&amp;"-01"), "dd-mm-yyyy")),0),0)</f>
        <v>195</v>
      </c>
      <c r="L1233" cm="1">
        <f t="array" ref="L1233">IF($Q1233&gt;=0,IFERROR(generateSalesData($D1233, IF(ISNUMBER(_xlfn.XLOOKUP($C1233,Phone_by_Sentiment!$B$2:$B$37,Phone_by_Sentiment!L$2:L$37,"",0,1)),_xlfn.XLOOKUP($C1233,Phone_by_Sentiment!$B$2:$B$37,Phone_by_Sentiment!L$2:L$37,"",0,1),0),$A1233-TEXT(DATEVALUE($D1233&amp;"-01"), "dd-mm-yyyy")),0),0)</f>
        <v>81</v>
      </c>
      <c r="M1233" cm="1">
        <f t="array" ref="M1233">IF($Q1233&gt;=0,IFERROR(generateSalesData($D1233, IF(ISNUMBER(_xlfn.XLOOKUP($C1233,Phone_by_Sentiment!$B$2:$B$37,Phone_by_Sentiment!M$2:M$37,"",0,1)),_xlfn.XLOOKUP($C1233,Phone_by_Sentiment!$B$2:$B$37,Phone_by_Sentiment!M$2:M$37,"",0,1),0),$A1233-TEXT(DATEVALUE($D1233&amp;"-01"), "dd-mm-yyyy")),0),0)</f>
        <v>460</v>
      </c>
      <c r="N1233" cm="1">
        <f t="array" ref="N1233">IF($Q1233&gt;=0,IFERROR(generateSalesData($D1233, IF(ISNUMBER(_xlfn.XLOOKUP($C1233,Phone_by_Sentiment!$B$2:$B$37,Phone_by_Sentiment!N$2:N$37,"",0,1)),_xlfn.XLOOKUP($C1233,Phone_by_Sentiment!$B$2:$B$37,Phone_by_Sentiment!N$2:N$37,"",0,1),0),$A1233-TEXT(DATEVALUE($D1233&amp;"-01"), "dd-mm-yyyy")),0),0)</f>
        <v>69</v>
      </c>
      <c r="O1233" cm="1">
        <f t="array" ref="O1233">IF($Q1233&gt;=0,IFERROR(generateSalesData($D1233, IF(ISNUMBER(_xlfn.XLOOKUP($C1233,Phone_by_Sentiment!$B$2:$B$37,Phone_by_Sentiment!O$2:O$37,"",0,1)),_xlfn.XLOOKUP($C1233,Phone_by_Sentiment!$B$2:$B$37,Phone_by_Sentiment!O$2:O$37,"",0,1),0),$A1233-TEXT(DATEVALUE($D1233&amp;"-01"), "dd-mm-yyyy")),0),0)</f>
        <v>218</v>
      </c>
      <c r="P1233" s="1">
        <f t="shared" si="51"/>
        <v>44136</v>
      </c>
      <c r="Q1233">
        <f t="shared" si="52"/>
        <v>395</v>
      </c>
    </row>
    <row r="1234" spans="1:17" x14ac:dyDescent="0.25">
      <c r="A1234" s="1">
        <f t="shared" si="48"/>
        <v>44531</v>
      </c>
      <c r="B1234" t="s">
        <v>152</v>
      </c>
      <c r="C1234" t="str">
        <f>_xlfn.XLOOKUP(B1234,Phone_by_Price!$A$2:$A$34,Phone_by_Price!$B$2:$B$34,"-",0,1)</f>
        <v>Huawei Nova 7i</v>
      </c>
      <c r="D1234" t="str">
        <f>_xlfn.XLOOKUP(C1234,Phone_by_Sentiment!$B$2:$B$37,Phone_by_Sentiment!$A$2:$A$37,"-",0,1)</f>
        <v>2020-02</v>
      </c>
      <c r="E1234" cm="1">
        <f t="array" ref="E1234">IF($Q1234&gt;=0,IFERROR(generateSalesData($D1234, IF(ISNUMBER(_xlfn.XLOOKUP($C1234,Phone_by_Sentiment!$B$2:$B$37,Phone_by_Sentiment!E$2:E$37,"",0,1)),_xlfn.XLOOKUP($C1234,Phone_by_Sentiment!$B$2:$B$37,Phone_by_Sentiment!E$2:E$37,"",0,1),0),$A1234-TEXT(DATEVALUE($D1234&amp;"-01"), "dd-mm-yyyy")),0),0)</f>
        <v>93</v>
      </c>
      <c r="F1234" cm="1">
        <f t="array" ref="F1234">IF($Q1234&gt;=0,IFERROR(generateSalesData($D1234, IF(ISNUMBER(_xlfn.XLOOKUP($C1234,Phone_by_Sentiment!$B$2:$B$37,Phone_by_Sentiment!F$2:F$37,"",0,1)),_xlfn.XLOOKUP($C1234,Phone_by_Sentiment!$B$2:$B$37,Phone_by_Sentiment!F$2:F$37,"",0,1),0),$A1234-TEXT(DATEVALUE($D1234&amp;"-01"), "dd-mm-yyyy")),0),0)</f>
        <v>84</v>
      </c>
      <c r="G1234" cm="1">
        <f t="array" ref="G1234">IF($Q1234&gt;=0,IFERROR(generateSalesData($D1234, IF(ISNUMBER(_xlfn.XLOOKUP($C1234,Phone_by_Sentiment!$B$2:$B$37,Phone_by_Sentiment!G$2:G$37,"",0,1)),_xlfn.XLOOKUP($C1234,Phone_by_Sentiment!$B$2:$B$37,Phone_by_Sentiment!G$2:G$37,"",0,1),0),$A1234-TEXT(DATEVALUE($D1234&amp;"-01"), "dd-mm-yyyy")),0),0)</f>
        <v>39</v>
      </c>
      <c r="H1234" cm="1">
        <f t="array" ref="H1234">IF($Q1234&gt;=0,IFERROR(generateSalesData($D1234, IF(ISNUMBER(_xlfn.XLOOKUP($C1234,Phone_by_Sentiment!$B$2:$B$37,Phone_by_Sentiment!H$2:H$37,"",0,1)),_xlfn.XLOOKUP($C1234,Phone_by_Sentiment!$B$2:$B$37,Phone_by_Sentiment!H$2:H$37,"",0,1),0),$A1234-TEXT(DATEVALUE($D1234&amp;"-01"), "dd-mm-yyyy")),0),0)</f>
        <v>385</v>
      </c>
      <c r="I1234" cm="1">
        <f t="array" ref="I1234">IF($Q1234&gt;=0,IFERROR(generateSalesData($D1234, IF(ISNUMBER(_xlfn.XLOOKUP($C1234,Phone_by_Sentiment!$B$2:$B$37,Phone_by_Sentiment!I$2:I$37,"",0,1)),_xlfn.XLOOKUP($C1234,Phone_by_Sentiment!$B$2:$B$37,Phone_by_Sentiment!I$2:I$37,"",0,1),0),$A1234-TEXT(DATEVALUE($D1234&amp;"-01"), "dd-mm-yyyy")),0),0)</f>
        <v>3</v>
      </c>
      <c r="J1234" cm="1">
        <f t="array" ref="J1234">IF($Q1234&gt;=0,IFERROR(generateSalesData($D1234, IF(ISNUMBER(_xlfn.XLOOKUP($C1234,Phone_by_Sentiment!$B$2:$B$37,Phone_by_Sentiment!J$2:J$37,"",0,1)),_xlfn.XLOOKUP($C1234,Phone_by_Sentiment!$B$2:$B$37,Phone_by_Sentiment!J$2:J$37,"",0,1),0),$A1234-TEXT(DATEVALUE($D1234&amp;"-01"), "dd-mm-yyyy")),0),0)</f>
        <v>73</v>
      </c>
      <c r="K1234" cm="1">
        <f t="array" ref="K1234">IF($Q1234&gt;=0,IFERROR(generateSalesData($D1234, IF(ISNUMBER(_xlfn.XLOOKUP($C1234,Phone_by_Sentiment!$B$2:$B$37,Phone_by_Sentiment!K$2:K$37,"",0,1)),_xlfn.XLOOKUP($C1234,Phone_by_Sentiment!$B$2:$B$37,Phone_by_Sentiment!K$2:K$37,"",0,1),0),$A1234-TEXT(DATEVALUE($D1234&amp;"-01"), "dd-mm-yyyy")),0),0)</f>
        <v>72</v>
      </c>
      <c r="L1234" cm="1">
        <f t="array" ref="L1234">IF($Q1234&gt;=0,IFERROR(generateSalesData($D1234, IF(ISNUMBER(_xlfn.XLOOKUP($C1234,Phone_by_Sentiment!$B$2:$B$37,Phone_by_Sentiment!L$2:L$37,"",0,1)),_xlfn.XLOOKUP($C1234,Phone_by_Sentiment!$B$2:$B$37,Phone_by_Sentiment!L$2:L$37,"",0,1),0),$A1234-TEXT(DATEVALUE($D1234&amp;"-01"), "dd-mm-yyyy")),0),0)</f>
        <v>94</v>
      </c>
      <c r="M1234" cm="1">
        <f t="array" ref="M1234">IF($Q1234&gt;=0,IFERROR(generateSalesData($D1234, IF(ISNUMBER(_xlfn.XLOOKUP($C1234,Phone_by_Sentiment!$B$2:$B$37,Phone_by_Sentiment!M$2:M$37,"",0,1)),_xlfn.XLOOKUP($C1234,Phone_by_Sentiment!$B$2:$B$37,Phone_by_Sentiment!M$2:M$37,"",0,1),0),$A1234-TEXT(DATEVALUE($D1234&amp;"-01"), "dd-mm-yyyy")),0),0)</f>
        <v>86</v>
      </c>
      <c r="N1234" cm="1">
        <f t="array" ref="N1234">IF($Q1234&gt;=0,IFERROR(generateSalesData($D1234, IF(ISNUMBER(_xlfn.XLOOKUP($C1234,Phone_by_Sentiment!$B$2:$B$37,Phone_by_Sentiment!N$2:N$37,"",0,1)),_xlfn.XLOOKUP($C1234,Phone_by_Sentiment!$B$2:$B$37,Phone_by_Sentiment!N$2:N$37,"",0,1),0),$A1234-TEXT(DATEVALUE($D1234&amp;"-01"), "dd-mm-yyyy")),0),0)</f>
        <v>95</v>
      </c>
      <c r="O1234" cm="1">
        <f t="array" ref="O1234">IF($Q1234&gt;=0,IFERROR(generateSalesData($D1234, IF(ISNUMBER(_xlfn.XLOOKUP($C1234,Phone_by_Sentiment!$B$2:$B$37,Phone_by_Sentiment!O$2:O$37,"",0,1)),_xlfn.XLOOKUP($C1234,Phone_by_Sentiment!$B$2:$B$37,Phone_by_Sentiment!O$2:O$37,"",0,1),0),$A1234-TEXT(DATEVALUE($D1234&amp;"-01"), "dd-mm-yyyy")),0),0)</f>
        <v>123</v>
      </c>
      <c r="P1234" s="1">
        <f t="shared" si="51"/>
        <v>43862</v>
      </c>
      <c r="Q1234">
        <f t="shared" si="52"/>
        <v>669</v>
      </c>
    </row>
    <row r="1235" spans="1:17" x14ac:dyDescent="0.25">
      <c r="A1235" s="1">
        <f t="shared" si="48"/>
        <v>44531</v>
      </c>
      <c r="B1235" t="s">
        <v>153</v>
      </c>
      <c r="C1235" t="str">
        <f>_xlfn.XLOOKUP(B1235,Phone_by_Price!$A$2:$A$34,Phone_by_Price!$B$2:$B$34,"-",0,1)</f>
        <v>iPhone 13</v>
      </c>
      <c r="D1235" t="str">
        <f>_xlfn.XLOOKUP(C1235,Phone_by_Sentiment!$B$2:$B$37,Phone_by_Sentiment!$A$2:$A$37,"-",0,1)</f>
        <v>2021-09</v>
      </c>
      <c r="E1235" cm="1">
        <f t="array" ref="E1235">IF($Q1235&gt;=0,IFERROR(generateSalesData($D1235, IF(ISNUMBER(_xlfn.XLOOKUP($C1235,Phone_by_Sentiment!$B$2:$B$37,Phone_by_Sentiment!E$2:E$37,"",0,1)),_xlfn.XLOOKUP($C1235,Phone_by_Sentiment!$B$2:$B$37,Phone_by_Sentiment!E$2:E$37,"",0,1),0),$A1235-TEXT(DATEVALUE($D1235&amp;"-01"), "dd-mm-yyyy")),0),0)</f>
        <v>315</v>
      </c>
      <c r="F1235" cm="1">
        <f t="array" ref="F1235">IF($Q1235&gt;=0,IFERROR(generateSalesData($D1235, IF(ISNUMBER(_xlfn.XLOOKUP($C1235,Phone_by_Sentiment!$B$2:$B$37,Phone_by_Sentiment!F$2:F$37,"",0,1)),_xlfn.XLOOKUP($C1235,Phone_by_Sentiment!$B$2:$B$37,Phone_by_Sentiment!F$2:F$37,"",0,1),0),$A1235-TEXT(DATEVALUE($D1235&amp;"-01"), "dd-mm-yyyy")),0),0)</f>
        <v>601</v>
      </c>
      <c r="G1235" cm="1">
        <f t="array" ref="G1235">IF($Q1235&gt;=0,IFERROR(generateSalesData($D1235, IF(ISNUMBER(_xlfn.XLOOKUP($C1235,Phone_by_Sentiment!$B$2:$B$37,Phone_by_Sentiment!G$2:G$37,"",0,1)),_xlfn.XLOOKUP($C1235,Phone_by_Sentiment!$B$2:$B$37,Phone_by_Sentiment!G$2:G$37,"",0,1),0),$A1235-TEXT(DATEVALUE($D1235&amp;"-01"), "dd-mm-yyyy")),0),0)</f>
        <v>789</v>
      </c>
      <c r="H1235" cm="1">
        <f t="array" ref="H1235">IF($Q1235&gt;=0,IFERROR(generateSalesData($D1235, IF(ISNUMBER(_xlfn.XLOOKUP($C1235,Phone_by_Sentiment!$B$2:$B$37,Phone_by_Sentiment!H$2:H$37,"",0,1)),_xlfn.XLOOKUP($C1235,Phone_by_Sentiment!$B$2:$B$37,Phone_by_Sentiment!H$2:H$37,"",0,1),0),$A1235-TEXT(DATEVALUE($D1235&amp;"-01"), "dd-mm-yyyy")),0),0)</f>
        <v>2063</v>
      </c>
      <c r="I1235" cm="1">
        <f t="array" ref="I1235">IF($Q1235&gt;=0,IFERROR(generateSalesData($D1235, IF(ISNUMBER(_xlfn.XLOOKUP($C1235,Phone_by_Sentiment!$B$2:$B$37,Phone_by_Sentiment!I$2:I$37,"",0,1)),_xlfn.XLOOKUP($C1235,Phone_by_Sentiment!$B$2:$B$37,Phone_by_Sentiment!I$2:I$37,"",0,1),0),$A1235-TEXT(DATEVALUE($D1235&amp;"-01"), "dd-mm-yyyy")),0),0)</f>
        <v>751</v>
      </c>
      <c r="J1235" cm="1">
        <f t="array" ref="J1235">IF($Q1235&gt;=0,IFERROR(generateSalesData($D1235, IF(ISNUMBER(_xlfn.XLOOKUP($C1235,Phone_by_Sentiment!$B$2:$B$37,Phone_by_Sentiment!J$2:J$37,"",0,1)),_xlfn.XLOOKUP($C1235,Phone_by_Sentiment!$B$2:$B$37,Phone_by_Sentiment!J$2:J$37,"",0,1),0),$A1235-TEXT(DATEVALUE($D1235&amp;"-01"), "dd-mm-yyyy")),0),0)</f>
        <v>2661</v>
      </c>
      <c r="K1235" cm="1">
        <f t="array" ref="K1235">IF($Q1235&gt;=0,IFERROR(generateSalesData($D1235, IF(ISNUMBER(_xlfn.XLOOKUP($C1235,Phone_by_Sentiment!$B$2:$B$37,Phone_by_Sentiment!K$2:K$37,"",0,1)),_xlfn.XLOOKUP($C1235,Phone_by_Sentiment!$B$2:$B$37,Phone_by_Sentiment!K$2:K$37,"",0,1),0),$A1235-TEXT(DATEVALUE($D1235&amp;"-01"), "dd-mm-yyyy")),0),0)</f>
        <v>1034</v>
      </c>
      <c r="L1235" cm="1">
        <f t="array" ref="L1235">IF($Q1235&gt;=0,IFERROR(generateSalesData($D1235, IF(ISNUMBER(_xlfn.XLOOKUP($C1235,Phone_by_Sentiment!$B$2:$B$37,Phone_by_Sentiment!L$2:L$37,"",0,1)),_xlfn.XLOOKUP($C1235,Phone_by_Sentiment!$B$2:$B$37,Phone_by_Sentiment!L$2:L$37,"",0,1),0),$A1235-TEXT(DATEVALUE($D1235&amp;"-01"), "dd-mm-yyyy")),0),0)</f>
        <v>3056</v>
      </c>
      <c r="M1235" cm="1">
        <f t="array" ref="M1235">IF($Q1235&gt;=0,IFERROR(generateSalesData($D1235, IF(ISNUMBER(_xlfn.XLOOKUP($C1235,Phone_by_Sentiment!$B$2:$B$37,Phone_by_Sentiment!M$2:M$37,"",0,1)),_xlfn.XLOOKUP($C1235,Phone_by_Sentiment!$B$2:$B$37,Phone_by_Sentiment!M$2:M$37,"",0,1),0),$A1235-TEXT(DATEVALUE($D1235&amp;"-01"), "dd-mm-yyyy")),0),0)</f>
        <v>2643</v>
      </c>
      <c r="N1235" cm="1">
        <f t="array" ref="N1235">IF($Q1235&gt;=0,IFERROR(generateSalesData($D1235, IF(ISNUMBER(_xlfn.XLOOKUP($C1235,Phone_by_Sentiment!$B$2:$B$37,Phone_by_Sentiment!N$2:N$37,"",0,1)),_xlfn.XLOOKUP($C1235,Phone_by_Sentiment!$B$2:$B$37,Phone_by_Sentiment!N$2:N$37,"",0,1),0),$A1235-TEXT(DATEVALUE($D1235&amp;"-01"), "dd-mm-yyyy")),0),0)</f>
        <v>284</v>
      </c>
      <c r="O1235" cm="1">
        <f t="array" ref="O1235">IF($Q1235&gt;=0,IFERROR(generateSalesData($D1235, IF(ISNUMBER(_xlfn.XLOOKUP($C1235,Phone_by_Sentiment!$B$2:$B$37,Phone_by_Sentiment!O$2:O$37,"",0,1)),_xlfn.XLOOKUP($C1235,Phone_by_Sentiment!$B$2:$B$37,Phone_by_Sentiment!O$2:O$37,"",0,1),0),$A1235-TEXT(DATEVALUE($D1235&amp;"-01"), "dd-mm-yyyy")),0),0)</f>
        <v>2520</v>
      </c>
      <c r="P1235" s="1">
        <f t="shared" si="51"/>
        <v>44440</v>
      </c>
      <c r="Q1235">
        <f t="shared" si="52"/>
        <v>91</v>
      </c>
    </row>
    <row r="1236" spans="1:17" x14ac:dyDescent="0.25">
      <c r="A1236" s="1">
        <f t="shared" si="48"/>
        <v>44531</v>
      </c>
      <c r="B1236" t="s">
        <v>154</v>
      </c>
      <c r="C1236" t="str">
        <f>_xlfn.XLOOKUP(B1236,Phone_by_Price!$A$2:$A$34,Phone_by_Price!$B$2:$B$34,"-",0,1)</f>
        <v>Samsung Galaxy S21</v>
      </c>
      <c r="D1236" t="str">
        <f>_xlfn.XLOOKUP(C1236,Phone_by_Sentiment!$B$2:$B$37,Phone_by_Sentiment!$A$2:$A$37,"-",0,1)</f>
        <v>2021-01</v>
      </c>
      <c r="E1236" cm="1">
        <f t="array" ref="E1236">IF($Q1236&gt;=0,IFERROR(generateSalesData($D1236, IF(ISNUMBER(_xlfn.XLOOKUP($C1236,Phone_by_Sentiment!$B$2:$B$37,Phone_by_Sentiment!E$2:E$37,"",0,1)),_xlfn.XLOOKUP($C1236,Phone_by_Sentiment!$B$2:$B$37,Phone_by_Sentiment!E$2:E$37,"",0,1),0),$A1236-TEXT(DATEVALUE($D1236&amp;"-01"), "dd-mm-yyyy")),0),0)</f>
        <v>851</v>
      </c>
      <c r="F1236" cm="1">
        <f t="array" ref="F1236">IF($Q1236&gt;=0,IFERROR(generateSalesData($D1236, IF(ISNUMBER(_xlfn.XLOOKUP($C1236,Phone_by_Sentiment!$B$2:$B$37,Phone_by_Sentiment!F$2:F$37,"",0,1)),_xlfn.XLOOKUP($C1236,Phone_by_Sentiment!$B$2:$B$37,Phone_by_Sentiment!F$2:F$37,"",0,1),0),$A1236-TEXT(DATEVALUE($D1236&amp;"-01"), "dd-mm-yyyy")),0),0)</f>
        <v>738</v>
      </c>
      <c r="G1236" cm="1">
        <f t="array" ref="G1236">IF($Q1236&gt;=0,IFERROR(generateSalesData($D1236, IF(ISNUMBER(_xlfn.XLOOKUP($C1236,Phone_by_Sentiment!$B$2:$B$37,Phone_by_Sentiment!G$2:G$37,"",0,1)),_xlfn.XLOOKUP($C1236,Phone_by_Sentiment!$B$2:$B$37,Phone_by_Sentiment!G$2:G$37,"",0,1),0),$A1236-TEXT(DATEVALUE($D1236&amp;"-01"), "dd-mm-yyyy")),0),0)</f>
        <v>153</v>
      </c>
      <c r="H1236" cm="1">
        <f t="array" ref="H1236">IF($Q1236&gt;=0,IFERROR(generateSalesData($D1236, IF(ISNUMBER(_xlfn.XLOOKUP($C1236,Phone_by_Sentiment!$B$2:$B$37,Phone_by_Sentiment!H$2:H$37,"",0,1)),_xlfn.XLOOKUP($C1236,Phone_by_Sentiment!$B$2:$B$37,Phone_by_Sentiment!H$2:H$37,"",0,1),0),$A1236-TEXT(DATEVALUE($D1236&amp;"-01"), "dd-mm-yyyy")),0),0)</f>
        <v>107</v>
      </c>
      <c r="I1236" cm="1">
        <f t="array" ref="I1236">IF($Q1236&gt;=0,IFERROR(generateSalesData($D1236, IF(ISNUMBER(_xlfn.XLOOKUP($C1236,Phone_by_Sentiment!$B$2:$B$37,Phone_by_Sentiment!I$2:I$37,"",0,1)),_xlfn.XLOOKUP($C1236,Phone_by_Sentiment!$B$2:$B$37,Phone_by_Sentiment!I$2:I$37,"",0,1),0),$A1236-TEXT(DATEVALUE($D1236&amp;"-01"), "dd-mm-yyyy")),0),0)</f>
        <v>834</v>
      </c>
      <c r="J1236" cm="1">
        <f t="array" ref="J1236">IF($Q1236&gt;=0,IFERROR(generateSalesData($D1236, IF(ISNUMBER(_xlfn.XLOOKUP($C1236,Phone_by_Sentiment!$B$2:$B$37,Phone_by_Sentiment!J$2:J$37,"",0,1)),_xlfn.XLOOKUP($C1236,Phone_by_Sentiment!$B$2:$B$37,Phone_by_Sentiment!J$2:J$37,"",0,1),0),$A1236-TEXT(DATEVALUE($D1236&amp;"-01"), "dd-mm-yyyy")),0),0)</f>
        <v>300</v>
      </c>
      <c r="K1236" cm="1">
        <f t="array" ref="K1236">IF($Q1236&gt;=0,IFERROR(generateSalesData($D1236, IF(ISNUMBER(_xlfn.XLOOKUP($C1236,Phone_by_Sentiment!$B$2:$B$37,Phone_by_Sentiment!K$2:K$37,"",0,1)),_xlfn.XLOOKUP($C1236,Phone_by_Sentiment!$B$2:$B$37,Phone_by_Sentiment!K$2:K$37,"",0,1),0),$A1236-TEXT(DATEVALUE($D1236&amp;"-01"), "dd-mm-yyyy")),0),0)</f>
        <v>237</v>
      </c>
      <c r="L1236" cm="1">
        <f t="array" ref="L1236">IF($Q1236&gt;=0,IFERROR(generateSalesData($D1236, IF(ISNUMBER(_xlfn.XLOOKUP($C1236,Phone_by_Sentiment!$B$2:$B$37,Phone_by_Sentiment!L$2:L$37,"",0,1)),_xlfn.XLOOKUP($C1236,Phone_by_Sentiment!$B$2:$B$37,Phone_by_Sentiment!L$2:L$37,"",0,1),0),$A1236-TEXT(DATEVALUE($D1236&amp;"-01"), "dd-mm-yyyy")),0),0)</f>
        <v>1591</v>
      </c>
      <c r="M1236" cm="1">
        <f t="array" ref="M1236">IF($Q1236&gt;=0,IFERROR(generateSalesData($D1236, IF(ISNUMBER(_xlfn.XLOOKUP($C1236,Phone_by_Sentiment!$B$2:$B$37,Phone_by_Sentiment!M$2:M$37,"",0,1)),_xlfn.XLOOKUP($C1236,Phone_by_Sentiment!$B$2:$B$37,Phone_by_Sentiment!M$2:M$37,"",0,1),0),$A1236-TEXT(DATEVALUE($D1236&amp;"-01"), "dd-mm-yyyy")),0),0)</f>
        <v>1080</v>
      </c>
      <c r="N1236" cm="1">
        <f t="array" ref="N1236">IF($Q1236&gt;=0,IFERROR(generateSalesData($D1236, IF(ISNUMBER(_xlfn.XLOOKUP($C1236,Phone_by_Sentiment!$B$2:$B$37,Phone_by_Sentiment!N$2:N$37,"",0,1)),_xlfn.XLOOKUP($C1236,Phone_by_Sentiment!$B$2:$B$37,Phone_by_Sentiment!N$2:N$37,"",0,1),0),$A1236-TEXT(DATEVALUE($D1236&amp;"-01"), "dd-mm-yyyy")),0),0)</f>
        <v>1001</v>
      </c>
      <c r="O1236" cm="1">
        <f t="array" ref="O1236">IF($Q1236&gt;=0,IFERROR(generateSalesData($D1236, IF(ISNUMBER(_xlfn.XLOOKUP($C1236,Phone_by_Sentiment!$B$2:$B$37,Phone_by_Sentiment!O$2:O$37,"",0,1)),_xlfn.XLOOKUP($C1236,Phone_by_Sentiment!$B$2:$B$37,Phone_by_Sentiment!O$2:O$37,"",0,1),0),$A1236-TEXT(DATEVALUE($D1236&amp;"-01"), "dd-mm-yyyy")),0),0)</f>
        <v>670</v>
      </c>
      <c r="P1236" s="1">
        <f t="shared" si="51"/>
        <v>44197</v>
      </c>
      <c r="Q1236">
        <f t="shared" si="52"/>
        <v>334</v>
      </c>
    </row>
    <row r="1237" spans="1:17" x14ac:dyDescent="0.25">
      <c r="A1237" s="1">
        <f t="shared" si="48"/>
        <v>44531</v>
      </c>
      <c r="B1237" t="s">
        <v>155</v>
      </c>
      <c r="C1237" t="str">
        <f>_xlfn.XLOOKUP(B1237,Phone_by_Price!$A$2:$A$34,Phone_by_Price!$B$2:$B$34,"-",0,1)</f>
        <v>Google Pixel 6</v>
      </c>
      <c r="D1237" t="str">
        <f>_xlfn.XLOOKUP(C1237,Phone_by_Sentiment!$B$2:$B$37,Phone_by_Sentiment!$A$2:$A$37,"-",0,1)</f>
        <v>2021-10</v>
      </c>
      <c r="E1237" cm="1">
        <f t="array" ref="E1237">IF($Q1237&gt;=0,IFERROR(generateSalesData($D1237, IF(ISNUMBER(_xlfn.XLOOKUP($C1237,Phone_by_Sentiment!$B$2:$B$37,Phone_by_Sentiment!E$2:E$37,"",0,1)),_xlfn.XLOOKUP($C1237,Phone_by_Sentiment!$B$2:$B$37,Phone_by_Sentiment!E$2:E$37,"",0,1),0),$A1237-TEXT(DATEVALUE($D1237&amp;"-01"), "dd-mm-yyyy")),0),0)</f>
        <v>623</v>
      </c>
      <c r="F1237" cm="1">
        <f t="array" ref="F1237">IF($Q1237&gt;=0,IFERROR(generateSalesData($D1237, IF(ISNUMBER(_xlfn.XLOOKUP($C1237,Phone_by_Sentiment!$B$2:$B$37,Phone_by_Sentiment!F$2:F$37,"",0,1)),_xlfn.XLOOKUP($C1237,Phone_by_Sentiment!$B$2:$B$37,Phone_by_Sentiment!F$2:F$37,"",0,1),0),$A1237-TEXT(DATEVALUE($D1237&amp;"-01"), "dd-mm-yyyy")),0),0)</f>
        <v>670</v>
      </c>
      <c r="G1237" cm="1">
        <f t="array" ref="G1237">IF($Q1237&gt;=0,IFERROR(generateSalesData($D1237, IF(ISNUMBER(_xlfn.XLOOKUP($C1237,Phone_by_Sentiment!$B$2:$B$37,Phone_by_Sentiment!G$2:G$37,"",0,1)),_xlfn.XLOOKUP($C1237,Phone_by_Sentiment!$B$2:$B$37,Phone_by_Sentiment!G$2:G$37,"",0,1),0),$A1237-TEXT(DATEVALUE($D1237&amp;"-01"), "dd-mm-yyyy")),0),0)</f>
        <v>360</v>
      </c>
      <c r="H1237" cm="1">
        <f t="array" ref="H1237">IF($Q1237&gt;=0,IFERROR(generateSalesData($D1237, IF(ISNUMBER(_xlfn.XLOOKUP($C1237,Phone_by_Sentiment!$B$2:$B$37,Phone_by_Sentiment!H$2:H$37,"",0,1)),_xlfn.XLOOKUP($C1237,Phone_by_Sentiment!$B$2:$B$37,Phone_by_Sentiment!H$2:H$37,"",0,1),0),$A1237-TEXT(DATEVALUE($D1237&amp;"-01"), "dd-mm-yyyy")),0),0)</f>
        <v>583</v>
      </c>
      <c r="I1237" cm="1">
        <f t="array" ref="I1237">IF($Q1237&gt;=0,IFERROR(generateSalesData($D1237, IF(ISNUMBER(_xlfn.XLOOKUP($C1237,Phone_by_Sentiment!$B$2:$B$37,Phone_by_Sentiment!I$2:I$37,"",0,1)),_xlfn.XLOOKUP($C1237,Phone_by_Sentiment!$B$2:$B$37,Phone_by_Sentiment!I$2:I$37,"",0,1),0),$A1237-TEXT(DATEVALUE($D1237&amp;"-01"), "dd-mm-yyyy")),0),0)</f>
        <v>469</v>
      </c>
      <c r="J1237" cm="1">
        <f t="array" ref="J1237">IF($Q1237&gt;=0,IFERROR(generateSalesData($D1237, IF(ISNUMBER(_xlfn.XLOOKUP($C1237,Phone_by_Sentiment!$B$2:$B$37,Phone_by_Sentiment!J$2:J$37,"",0,1)),_xlfn.XLOOKUP($C1237,Phone_by_Sentiment!$B$2:$B$37,Phone_by_Sentiment!J$2:J$37,"",0,1),0),$A1237-TEXT(DATEVALUE($D1237&amp;"-01"), "dd-mm-yyyy")),0),0)</f>
        <v>452</v>
      </c>
      <c r="K1237" cm="1">
        <f t="array" ref="K1237">IF($Q1237&gt;=0,IFERROR(generateSalesData($D1237, IF(ISNUMBER(_xlfn.XLOOKUP($C1237,Phone_by_Sentiment!$B$2:$B$37,Phone_by_Sentiment!K$2:K$37,"",0,1)),_xlfn.XLOOKUP($C1237,Phone_by_Sentiment!$B$2:$B$37,Phone_by_Sentiment!K$2:K$37,"",0,1),0),$A1237-TEXT(DATEVALUE($D1237&amp;"-01"), "dd-mm-yyyy")),0),0)</f>
        <v>583</v>
      </c>
      <c r="L1237" cm="1">
        <f t="array" ref="L1237">IF($Q1237&gt;=0,IFERROR(generateSalesData($D1237, IF(ISNUMBER(_xlfn.XLOOKUP($C1237,Phone_by_Sentiment!$B$2:$B$37,Phone_by_Sentiment!L$2:L$37,"",0,1)),_xlfn.XLOOKUP($C1237,Phone_by_Sentiment!$B$2:$B$37,Phone_by_Sentiment!L$2:L$37,"",0,1),0),$A1237-TEXT(DATEVALUE($D1237&amp;"-01"), "dd-mm-yyyy")),0),0)</f>
        <v>569</v>
      </c>
      <c r="M1237" cm="1">
        <f t="array" ref="M1237">IF($Q1237&gt;=0,IFERROR(generateSalesData($D1237, IF(ISNUMBER(_xlfn.XLOOKUP($C1237,Phone_by_Sentiment!$B$2:$B$37,Phone_by_Sentiment!M$2:M$37,"",0,1)),_xlfn.XLOOKUP($C1237,Phone_by_Sentiment!$B$2:$B$37,Phone_by_Sentiment!M$2:M$37,"",0,1),0),$A1237-TEXT(DATEVALUE($D1237&amp;"-01"), "dd-mm-yyyy")),0),0)</f>
        <v>6887</v>
      </c>
      <c r="N1237" cm="1">
        <f t="array" ref="N1237">IF($Q1237&gt;=0,IFERROR(generateSalesData($D1237, IF(ISNUMBER(_xlfn.XLOOKUP($C1237,Phone_by_Sentiment!$B$2:$B$37,Phone_by_Sentiment!N$2:N$37,"",0,1)),_xlfn.XLOOKUP($C1237,Phone_by_Sentiment!$B$2:$B$37,Phone_by_Sentiment!N$2:N$37,"",0,1),0),$A1237-TEXT(DATEVALUE($D1237&amp;"-01"), "dd-mm-yyyy")),0),0)</f>
        <v>472</v>
      </c>
      <c r="O1237" cm="1">
        <f t="array" ref="O1237">IF($Q1237&gt;=0,IFERROR(generateSalesData($D1237, IF(ISNUMBER(_xlfn.XLOOKUP($C1237,Phone_by_Sentiment!$B$2:$B$37,Phone_by_Sentiment!O$2:O$37,"",0,1)),_xlfn.XLOOKUP($C1237,Phone_by_Sentiment!$B$2:$B$37,Phone_by_Sentiment!O$2:O$37,"",0,1),0),$A1237-TEXT(DATEVALUE($D1237&amp;"-01"), "dd-mm-yyyy")),0),0)</f>
        <v>886</v>
      </c>
      <c r="P1237" s="1">
        <f t="shared" si="51"/>
        <v>44470</v>
      </c>
      <c r="Q1237">
        <f t="shared" si="52"/>
        <v>61</v>
      </c>
    </row>
    <row r="1238" spans="1:17" x14ac:dyDescent="0.25">
      <c r="A1238" s="1">
        <f t="shared" si="48"/>
        <v>44531</v>
      </c>
      <c r="B1238" t="s">
        <v>156</v>
      </c>
      <c r="C1238" t="str">
        <f>_xlfn.XLOOKUP(B1238,Phone_by_Price!$A$2:$A$34,Phone_by_Price!$B$2:$B$34,"-",0,1)</f>
        <v>OnePlus Nord CE</v>
      </c>
      <c r="D1238" t="str">
        <f>_xlfn.XLOOKUP(C1238,Phone_by_Sentiment!$B$2:$B$37,Phone_by_Sentiment!$A$2:$A$37,"-",0,1)</f>
        <v>2021-06</v>
      </c>
      <c r="E1238" cm="1">
        <f t="array" ref="E1238">IF($Q1238&gt;=0,IFERROR(generateSalesData($D1238, IF(ISNUMBER(_xlfn.XLOOKUP($C1238,Phone_by_Sentiment!$B$2:$B$37,Phone_by_Sentiment!E$2:E$37,"",0,1)),_xlfn.XLOOKUP($C1238,Phone_by_Sentiment!$B$2:$B$37,Phone_by_Sentiment!E$2:E$37,"",0,1),0),$A1238-TEXT(DATEVALUE($D1238&amp;"-01"), "dd-mm-yyyy")),0),0)</f>
        <v>41</v>
      </c>
      <c r="F1238" cm="1">
        <f t="array" ref="F1238">IF($Q1238&gt;=0,IFERROR(generateSalesData($D1238, IF(ISNUMBER(_xlfn.XLOOKUP($C1238,Phone_by_Sentiment!$B$2:$B$37,Phone_by_Sentiment!F$2:F$37,"",0,1)),_xlfn.XLOOKUP($C1238,Phone_by_Sentiment!$B$2:$B$37,Phone_by_Sentiment!F$2:F$37,"",0,1),0),$A1238-TEXT(DATEVALUE($D1238&amp;"-01"), "dd-mm-yyyy")),0),0)</f>
        <v>151</v>
      </c>
      <c r="G1238" cm="1">
        <f t="array" ref="G1238">IF($Q1238&gt;=0,IFERROR(generateSalesData($D1238, IF(ISNUMBER(_xlfn.XLOOKUP($C1238,Phone_by_Sentiment!$B$2:$B$37,Phone_by_Sentiment!G$2:G$37,"",0,1)),_xlfn.XLOOKUP($C1238,Phone_by_Sentiment!$B$2:$B$37,Phone_by_Sentiment!G$2:G$37,"",0,1),0),$A1238-TEXT(DATEVALUE($D1238&amp;"-01"), "dd-mm-yyyy")),0),0)</f>
        <v>164</v>
      </c>
      <c r="H1238" cm="1">
        <f t="array" ref="H1238">IF($Q1238&gt;=0,IFERROR(generateSalesData($D1238, IF(ISNUMBER(_xlfn.XLOOKUP($C1238,Phone_by_Sentiment!$B$2:$B$37,Phone_by_Sentiment!H$2:H$37,"",0,1)),_xlfn.XLOOKUP($C1238,Phone_by_Sentiment!$B$2:$B$37,Phone_by_Sentiment!H$2:H$37,"",0,1),0),$A1238-TEXT(DATEVALUE($D1238&amp;"-01"), "dd-mm-yyyy")),0),0)</f>
        <v>2260</v>
      </c>
      <c r="I1238" cm="1">
        <f t="array" ref="I1238">IF($Q1238&gt;=0,IFERROR(generateSalesData($D1238, IF(ISNUMBER(_xlfn.XLOOKUP($C1238,Phone_by_Sentiment!$B$2:$B$37,Phone_by_Sentiment!I$2:I$37,"",0,1)),_xlfn.XLOOKUP($C1238,Phone_by_Sentiment!$B$2:$B$37,Phone_by_Sentiment!I$2:I$37,"",0,1),0),$A1238-TEXT(DATEVALUE($D1238&amp;"-01"), "dd-mm-yyyy")),0),0)</f>
        <v>197</v>
      </c>
      <c r="J1238" cm="1">
        <f t="array" ref="J1238">IF($Q1238&gt;=0,IFERROR(generateSalesData($D1238, IF(ISNUMBER(_xlfn.XLOOKUP($C1238,Phone_by_Sentiment!$B$2:$B$37,Phone_by_Sentiment!J$2:J$37,"",0,1)),_xlfn.XLOOKUP($C1238,Phone_by_Sentiment!$B$2:$B$37,Phone_by_Sentiment!J$2:J$37,"",0,1),0),$A1238-TEXT(DATEVALUE($D1238&amp;"-01"), "dd-mm-yyyy")),0),0)</f>
        <v>63</v>
      </c>
      <c r="K1238" cm="1">
        <f t="array" ref="K1238">IF($Q1238&gt;=0,IFERROR(generateSalesData($D1238, IF(ISNUMBER(_xlfn.XLOOKUP($C1238,Phone_by_Sentiment!$B$2:$B$37,Phone_by_Sentiment!K$2:K$37,"",0,1)),_xlfn.XLOOKUP($C1238,Phone_by_Sentiment!$B$2:$B$37,Phone_by_Sentiment!K$2:K$37,"",0,1),0),$A1238-TEXT(DATEVALUE($D1238&amp;"-01"), "dd-mm-yyyy")),0),0)</f>
        <v>168</v>
      </c>
      <c r="L1238" cm="1">
        <f t="array" ref="L1238">IF($Q1238&gt;=0,IFERROR(generateSalesData($D1238, IF(ISNUMBER(_xlfn.XLOOKUP($C1238,Phone_by_Sentiment!$B$2:$B$37,Phone_by_Sentiment!L$2:L$37,"",0,1)),_xlfn.XLOOKUP($C1238,Phone_by_Sentiment!$B$2:$B$37,Phone_by_Sentiment!L$2:L$37,"",0,1),0),$A1238-TEXT(DATEVALUE($D1238&amp;"-01"), "dd-mm-yyyy")),0),0)</f>
        <v>53</v>
      </c>
      <c r="M1238" cm="1">
        <f t="array" ref="M1238">IF($Q1238&gt;=0,IFERROR(generateSalesData($D1238, IF(ISNUMBER(_xlfn.XLOOKUP($C1238,Phone_by_Sentiment!$B$2:$B$37,Phone_by_Sentiment!M$2:M$37,"",0,1)),_xlfn.XLOOKUP($C1238,Phone_by_Sentiment!$B$2:$B$37,Phone_by_Sentiment!M$2:M$37,"",0,1),0),$A1238-TEXT(DATEVALUE($D1238&amp;"-01"), "dd-mm-yyyy")),0),0)</f>
        <v>271</v>
      </c>
      <c r="N1238" cm="1">
        <f t="array" ref="N1238">IF($Q1238&gt;=0,IFERROR(generateSalesData($D1238, IF(ISNUMBER(_xlfn.XLOOKUP($C1238,Phone_by_Sentiment!$B$2:$B$37,Phone_by_Sentiment!N$2:N$37,"",0,1)),_xlfn.XLOOKUP($C1238,Phone_by_Sentiment!$B$2:$B$37,Phone_by_Sentiment!N$2:N$37,"",0,1),0),$A1238-TEXT(DATEVALUE($D1238&amp;"-01"), "dd-mm-yyyy")),0),0)</f>
        <v>1979</v>
      </c>
      <c r="O1238" cm="1">
        <f t="array" ref="O1238">IF($Q1238&gt;=0,IFERROR(generateSalesData($D1238, IF(ISNUMBER(_xlfn.XLOOKUP($C1238,Phone_by_Sentiment!$B$2:$B$37,Phone_by_Sentiment!O$2:O$37,"",0,1)),_xlfn.XLOOKUP($C1238,Phone_by_Sentiment!$B$2:$B$37,Phone_by_Sentiment!O$2:O$37,"",0,1),0),$A1238-TEXT(DATEVALUE($D1238&amp;"-01"), "dd-mm-yyyy")),0),0)</f>
        <v>113</v>
      </c>
      <c r="P1238" s="1">
        <f t="shared" si="51"/>
        <v>44348</v>
      </c>
      <c r="Q1238">
        <f t="shared" si="52"/>
        <v>183</v>
      </c>
    </row>
    <row r="1239" spans="1:17" x14ac:dyDescent="0.25">
      <c r="A1239" s="1">
        <f t="shared" si="48"/>
        <v>44531</v>
      </c>
      <c r="B1239" t="s">
        <v>157</v>
      </c>
      <c r="C1239" t="str">
        <f>_xlfn.XLOOKUP(B1239,Phone_by_Price!$A$2:$A$34,Phone_by_Price!$B$2:$B$34,"-",0,1)</f>
        <v>Apple iPhone 13 Pro</v>
      </c>
      <c r="D1239" t="str">
        <f>_xlfn.XLOOKUP(C1239,Phone_by_Sentiment!$B$2:$B$37,Phone_by_Sentiment!$A$2:$A$37,"-",0,1)</f>
        <v>2021-09</v>
      </c>
      <c r="E1239" cm="1">
        <f t="array" ref="E1239">IF($Q1239&gt;=0,IFERROR(generateSalesData($D1239, IF(ISNUMBER(_xlfn.XLOOKUP($C1239,Phone_by_Sentiment!$B$2:$B$37,Phone_by_Sentiment!E$2:E$37,"",0,1)),_xlfn.XLOOKUP($C1239,Phone_by_Sentiment!$B$2:$B$37,Phone_by_Sentiment!E$2:E$37,"",0,1),0),$A1239-TEXT(DATEVALUE($D1239&amp;"-01"), "dd-mm-yyyy")),0),0)</f>
        <v>5327</v>
      </c>
      <c r="F1239" cm="1">
        <f t="array" ref="F1239">IF($Q1239&gt;=0,IFERROR(generateSalesData($D1239, IF(ISNUMBER(_xlfn.XLOOKUP($C1239,Phone_by_Sentiment!$B$2:$B$37,Phone_by_Sentiment!F$2:F$37,"",0,1)),_xlfn.XLOOKUP($C1239,Phone_by_Sentiment!$B$2:$B$37,Phone_by_Sentiment!F$2:F$37,"",0,1),0),$A1239-TEXT(DATEVALUE($D1239&amp;"-01"), "dd-mm-yyyy")),0),0)</f>
        <v>771</v>
      </c>
      <c r="G1239" cm="1">
        <f t="array" ref="G1239">IF($Q1239&gt;=0,IFERROR(generateSalesData($D1239, IF(ISNUMBER(_xlfn.XLOOKUP($C1239,Phone_by_Sentiment!$B$2:$B$37,Phone_by_Sentiment!G$2:G$37,"",0,1)),_xlfn.XLOOKUP($C1239,Phone_by_Sentiment!$B$2:$B$37,Phone_by_Sentiment!G$2:G$37,"",0,1),0),$A1239-TEXT(DATEVALUE($D1239&amp;"-01"), "dd-mm-yyyy")),0),0)</f>
        <v>-7</v>
      </c>
      <c r="H1239" cm="1">
        <f t="array" ref="H1239">IF($Q1239&gt;=0,IFERROR(generateSalesData($D1239, IF(ISNUMBER(_xlfn.XLOOKUP($C1239,Phone_by_Sentiment!$B$2:$B$37,Phone_by_Sentiment!H$2:H$37,"",0,1)),_xlfn.XLOOKUP($C1239,Phone_by_Sentiment!$B$2:$B$37,Phone_by_Sentiment!H$2:H$37,"",0,1),0),$A1239-TEXT(DATEVALUE($D1239&amp;"-01"), "dd-mm-yyyy")),0),0)</f>
        <v>6502</v>
      </c>
      <c r="I1239" cm="1">
        <f t="array" ref="I1239">IF($Q1239&gt;=0,IFERROR(generateSalesData($D1239, IF(ISNUMBER(_xlfn.XLOOKUP($C1239,Phone_by_Sentiment!$B$2:$B$37,Phone_by_Sentiment!I$2:I$37,"",0,1)),_xlfn.XLOOKUP($C1239,Phone_by_Sentiment!$B$2:$B$37,Phone_by_Sentiment!I$2:I$37,"",0,1),0),$A1239-TEXT(DATEVALUE($D1239&amp;"-01"), "dd-mm-yyyy")),0),0)</f>
        <v>2351</v>
      </c>
      <c r="J1239" cm="1">
        <f t="array" ref="J1239">IF($Q1239&gt;=0,IFERROR(generateSalesData($D1239, IF(ISNUMBER(_xlfn.XLOOKUP($C1239,Phone_by_Sentiment!$B$2:$B$37,Phone_by_Sentiment!J$2:J$37,"",0,1)),_xlfn.XLOOKUP($C1239,Phone_by_Sentiment!$B$2:$B$37,Phone_by_Sentiment!J$2:J$37,"",0,1),0),$A1239-TEXT(DATEVALUE($D1239&amp;"-01"), "dd-mm-yyyy")),0),0)</f>
        <v>3528</v>
      </c>
      <c r="K1239" cm="1">
        <f t="array" ref="K1239">IF($Q1239&gt;=0,IFERROR(generateSalesData($D1239, IF(ISNUMBER(_xlfn.XLOOKUP($C1239,Phone_by_Sentiment!$B$2:$B$37,Phone_by_Sentiment!K$2:K$37,"",0,1)),_xlfn.XLOOKUP($C1239,Phone_by_Sentiment!$B$2:$B$37,Phone_by_Sentiment!K$2:K$37,"",0,1),0),$A1239-TEXT(DATEVALUE($D1239&amp;"-01"), "dd-mm-yyyy")),0),0)</f>
        <v>4312</v>
      </c>
      <c r="L1239" cm="1">
        <f t="array" ref="L1239">IF($Q1239&gt;=0,IFERROR(generateSalesData($D1239, IF(ISNUMBER(_xlfn.XLOOKUP($C1239,Phone_by_Sentiment!$B$2:$B$37,Phone_by_Sentiment!L$2:L$37,"",0,1)),_xlfn.XLOOKUP($C1239,Phone_by_Sentiment!$B$2:$B$37,Phone_by_Sentiment!L$2:L$37,"",0,1),0),$A1239-TEXT(DATEVALUE($D1239&amp;"-01"), "dd-mm-yyyy")),0),0)</f>
        <v>3077</v>
      </c>
      <c r="M1239" cm="1">
        <f t="array" ref="M1239">IF($Q1239&gt;=0,IFERROR(generateSalesData($D1239, IF(ISNUMBER(_xlfn.XLOOKUP($C1239,Phone_by_Sentiment!$B$2:$B$37,Phone_by_Sentiment!M$2:M$37,"",0,1)),_xlfn.XLOOKUP($C1239,Phone_by_Sentiment!$B$2:$B$37,Phone_by_Sentiment!M$2:M$37,"",0,1),0),$A1239-TEXT(DATEVALUE($D1239&amp;"-01"), "dd-mm-yyyy")),0),0)</f>
        <v>4718</v>
      </c>
      <c r="N1239" cm="1">
        <f t="array" ref="N1239">IF($Q1239&gt;=0,IFERROR(generateSalesData($D1239, IF(ISNUMBER(_xlfn.XLOOKUP($C1239,Phone_by_Sentiment!$B$2:$B$37,Phone_by_Sentiment!N$2:N$37,"",0,1)),_xlfn.XLOOKUP($C1239,Phone_by_Sentiment!$B$2:$B$37,Phone_by_Sentiment!N$2:N$37,"",0,1),0),$A1239-TEXT(DATEVALUE($D1239&amp;"-01"), "dd-mm-yyyy")),0),0)</f>
        <v>2759</v>
      </c>
      <c r="O1239" cm="1">
        <f t="array" ref="O1239">IF($Q1239&gt;=0,IFERROR(generateSalesData($D1239, IF(ISNUMBER(_xlfn.XLOOKUP($C1239,Phone_by_Sentiment!$B$2:$B$37,Phone_by_Sentiment!O$2:O$37,"",0,1)),_xlfn.XLOOKUP($C1239,Phone_by_Sentiment!$B$2:$B$37,Phone_by_Sentiment!O$2:O$37,"",0,1),0),$A1239-TEXT(DATEVALUE($D1239&amp;"-01"), "dd-mm-yyyy")),0),0)</f>
        <v>3509</v>
      </c>
      <c r="P1239" s="1">
        <f t="shared" si="51"/>
        <v>44440</v>
      </c>
      <c r="Q1239">
        <f t="shared" si="52"/>
        <v>91</v>
      </c>
    </row>
    <row r="1240" spans="1:17" x14ac:dyDescent="0.25">
      <c r="A1240" s="1">
        <f t="shared" si="48"/>
        <v>44531</v>
      </c>
      <c r="B1240" t="s">
        <v>158</v>
      </c>
      <c r="C1240" t="str">
        <f>_xlfn.XLOOKUP(B1240,Phone_by_Price!$A$2:$A$34,Phone_by_Price!$B$2:$B$34,"-",0,1)</f>
        <v>Samsung Galaxy A32 5G</v>
      </c>
      <c r="D1240" t="str">
        <f>_xlfn.XLOOKUP(C1240,Phone_by_Sentiment!$B$2:$B$37,Phone_by_Sentiment!$A$2:$A$37,"-",0,1)</f>
        <v>2021-02</v>
      </c>
      <c r="E1240" cm="1">
        <f t="array" ref="E1240">IF($Q1240&gt;=0,IFERROR(generateSalesData($D1240, IF(ISNUMBER(_xlfn.XLOOKUP($C1240,Phone_by_Sentiment!$B$2:$B$37,Phone_by_Sentiment!E$2:E$37,"",0,1)),_xlfn.XLOOKUP($C1240,Phone_by_Sentiment!$B$2:$B$37,Phone_by_Sentiment!E$2:E$37,"",0,1),0),$A1240-TEXT(DATEVALUE($D1240&amp;"-01"), "dd-mm-yyyy")),0),0)</f>
        <v>402</v>
      </c>
      <c r="F1240" cm="1">
        <f t="array" ref="F1240">IF($Q1240&gt;=0,IFERROR(generateSalesData($D1240, IF(ISNUMBER(_xlfn.XLOOKUP($C1240,Phone_by_Sentiment!$B$2:$B$37,Phone_by_Sentiment!F$2:F$37,"",0,1)),_xlfn.XLOOKUP($C1240,Phone_by_Sentiment!$B$2:$B$37,Phone_by_Sentiment!F$2:F$37,"",0,1),0),$A1240-TEXT(DATEVALUE($D1240&amp;"-01"), "dd-mm-yyyy")),0),0)</f>
        <v>73</v>
      </c>
      <c r="G1240" cm="1">
        <f t="array" ref="G1240">IF($Q1240&gt;=0,IFERROR(generateSalesData($D1240, IF(ISNUMBER(_xlfn.XLOOKUP($C1240,Phone_by_Sentiment!$B$2:$B$37,Phone_by_Sentiment!G$2:G$37,"",0,1)),_xlfn.XLOOKUP($C1240,Phone_by_Sentiment!$B$2:$B$37,Phone_by_Sentiment!G$2:G$37,"",0,1),0),$A1240-TEXT(DATEVALUE($D1240&amp;"-01"), "dd-mm-yyyy")),0),0)</f>
        <v>176</v>
      </c>
      <c r="H1240" cm="1">
        <f t="array" ref="H1240">IF($Q1240&gt;=0,IFERROR(generateSalesData($D1240, IF(ISNUMBER(_xlfn.XLOOKUP($C1240,Phone_by_Sentiment!$B$2:$B$37,Phone_by_Sentiment!H$2:H$37,"",0,1)),_xlfn.XLOOKUP($C1240,Phone_by_Sentiment!$B$2:$B$37,Phone_by_Sentiment!H$2:H$37,"",0,1),0),$A1240-TEXT(DATEVALUE($D1240&amp;"-01"), "dd-mm-yyyy")),0),0)</f>
        <v>517</v>
      </c>
      <c r="I1240" cm="1">
        <f t="array" ref="I1240">IF($Q1240&gt;=0,IFERROR(generateSalesData($D1240, IF(ISNUMBER(_xlfn.XLOOKUP($C1240,Phone_by_Sentiment!$B$2:$B$37,Phone_by_Sentiment!I$2:I$37,"",0,1)),_xlfn.XLOOKUP($C1240,Phone_by_Sentiment!$B$2:$B$37,Phone_by_Sentiment!I$2:I$37,"",0,1),0),$A1240-TEXT(DATEVALUE($D1240&amp;"-01"), "dd-mm-yyyy")),0),0)</f>
        <v>1198</v>
      </c>
      <c r="J1240" cm="1">
        <f t="array" ref="J1240">IF($Q1240&gt;=0,IFERROR(generateSalesData($D1240, IF(ISNUMBER(_xlfn.XLOOKUP($C1240,Phone_by_Sentiment!$B$2:$B$37,Phone_by_Sentiment!J$2:J$37,"",0,1)),_xlfn.XLOOKUP($C1240,Phone_by_Sentiment!$B$2:$B$37,Phone_by_Sentiment!J$2:J$37,"",0,1),0),$A1240-TEXT(DATEVALUE($D1240&amp;"-01"), "dd-mm-yyyy")),0),0)</f>
        <v>491</v>
      </c>
      <c r="K1240" cm="1">
        <f t="array" ref="K1240">IF($Q1240&gt;=0,IFERROR(generateSalesData($D1240, IF(ISNUMBER(_xlfn.XLOOKUP($C1240,Phone_by_Sentiment!$B$2:$B$37,Phone_by_Sentiment!K$2:K$37,"",0,1)),_xlfn.XLOOKUP($C1240,Phone_by_Sentiment!$B$2:$B$37,Phone_by_Sentiment!K$2:K$37,"",0,1),0),$A1240-TEXT(DATEVALUE($D1240&amp;"-01"), "dd-mm-yyyy")),0),0)</f>
        <v>963</v>
      </c>
      <c r="L1240" cm="1">
        <f t="array" ref="L1240">IF($Q1240&gt;=0,IFERROR(generateSalesData($D1240, IF(ISNUMBER(_xlfn.XLOOKUP($C1240,Phone_by_Sentiment!$B$2:$B$37,Phone_by_Sentiment!L$2:L$37,"",0,1)),_xlfn.XLOOKUP($C1240,Phone_by_Sentiment!$B$2:$B$37,Phone_by_Sentiment!L$2:L$37,"",0,1),0),$A1240-TEXT(DATEVALUE($D1240&amp;"-01"), "dd-mm-yyyy")),0),0)</f>
        <v>994</v>
      </c>
      <c r="M1240" cm="1">
        <f t="array" ref="M1240">IF($Q1240&gt;=0,IFERROR(generateSalesData($D1240, IF(ISNUMBER(_xlfn.XLOOKUP($C1240,Phone_by_Sentiment!$B$2:$B$37,Phone_by_Sentiment!M$2:M$37,"",0,1)),_xlfn.XLOOKUP($C1240,Phone_by_Sentiment!$B$2:$B$37,Phone_by_Sentiment!M$2:M$37,"",0,1),0),$A1240-TEXT(DATEVALUE($D1240&amp;"-01"), "dd-mm-yyyy")),0),0)</f>
        <v>472</v>
      </c>
      <c r="N1240" cm="1">
        <f t="array" ref="N1240">IF($Q1240&gt;=0,IFERROR(generateSalesData($D1240, IF(ISNUMBER(_xlfn.XLOOKUP($C1240,Phone_by_Sentiment!$B$2:$B$37,Phone_by_Sentiment!N$2:N$37,"",0,1)),_xlfn.XLOOKUP($C1240,Phone_by_Sentiment!$B$2:$B$37,Phone_by_Sentiment!N$2:N$37,"",0,1),0),$A1240-TEXT(DATEVALUE($D1240&amp;"-01"), "dd-mm-yyyy")),0),0)</f>
        <v>947</v>
      </c>
      <c r="O1240" cm="1">
        <f t="array" ref="O1240">IF($Q1240&gt;=0,IFERROR(generateSalesData($D1240, IF(ISNUMBER(_xlfn.XLOOKUP($C1240,Phone_by_Sentiment!$B$2:$B$37,Phone_by_Sentiment!O$2:O$37,"",0,1)),_xlfn.XLOOKUP($C1240,Phone_by_Sentiment!$B$2:$B$37,Phone_by_Sentiment!O$2:O$37,"",0,1),0),$A1240-TEXT(DATEVALUE($D1240&amp;"-01"), "dd-mm-yyyy")),0),0)</f>
        <v>339</v>
      </c>
      <c r="P1240" s="1">
        <f t="shared" si="51"/>
        <v>44228</v>
      </c>
      <c r="Q1240">
        <f t="shared" si="52"/>
        <v>303</v>
      </c>
    </row>
    <row r="1241" spans="1:17" x14ac:dyDescent="0.25">
      <c r="A1241" s="1">
        <f t="shared" si="48"/>
        <v>44531</v>
      </c>
      <c r="B1241" t="s">
        <v>159</v>
      </c>
      <c r="C1241" t="str">
        <f>_xlfn.XLOOKUP(B1241,Phone_by_Price!$A$2:$A$34,Phone_by_Price!$B$2:$B$34,"-",0,1)</f>
        <v>Realme C25</v>
      </c>
      <c r="D1241" t="str">
        <f>_xlfn.XLOOKUP(C1241,Phone_by_Sentiment!$B$2:$B$37,Phone_by_Sentiment!$A$2:$A$37,"-",0,1)</f>
        <v>2021-03</v>
      </c>
      <c r="E1241" cm="1">
        <f t="array" ref="E1241">IF($Q1241&gt;=0,IFERROR(generateSalesData($D1241, IF(ISNUMBER(_xlfn.XLOOKUP($C1241,Phone_by_Sentiment!$B$2:$B$37,Phone_by_Sentiment!E$2:E$37,"",0,1)),_xlfn.XLOOKUP($C1241,Phone_by_Sentiment!$B$2:$B$37,Phone_by_Sentiment!E$2:E$37,"",0,1),0),$A1241-TEXT(DATEVALUE($D1241&amp;"-01"), "dd-mm-yyyy")),0),0)</f>
        <v>378</v>
      </c>
      <c r="F1241" cm="1">
        <f t="array" ref="F1241">IF($Q1241&gt;=0,IFERROR(generateSalesData($D1241, IF(ISNUMBER(_xlfn.XLOOKUP($C1241,Phone_by_Sentiment!$B$2:$B$37,Phone_by_Sentiment!F$2:F$37,"",0,1)),_xlfn.XLOOKUP($C1241,Phone_by_Sentiment!$B$2:$B$37,Phone_by_Sentiment!F$2:F$37,"",0,1),0),$A1241-TEXT(DATEVALUE($D1241&amp;"-01"), "dd-mm-yyyy")),0),0)</f>
        <v>701</v>
      </c>
      <c r="G1241" cm="1">
        <f t="array" ref="G1241">IF($Q1241&gt;=0,IFERROR(generateSalesData($D1241, IF(ISNUMBER(_xlfn.XLOOKUP($C1241,Phone_by_Sentiment!$B$2:$B$37,Phone_by_Sentiment!G$2:G$37,"",0,1)),_xlfn.XLOOKUP($C1241,Phone_by_Sentiment!$B$2:$B$37,Phone_by_Sentiment!G$2:G$37,"",0,1),0),$A1241-TEXT(DATEVALUE($D1241&amp;"-01"), "dd-mm-yyyy")),0),0)</f>
        <v>367</v>
      </c>
      <c r="H1241" cm="1">
        <f t="array" ref="H1241">IF($Q1241&gt;=0,IFERROR(generateSalesData($D1241, IF(ISNUMBER(_xlfn.XLOOKUP($C1241,Phone_by_Sentiment!$B$2:$B$37,Phone_by_Sentiment!H$2:H$37,"",0,1)),_xlfn.XLOOKUP($C1241,Phone_by_Sentiment!$B$2:$B$37,Phone_by_Sentiment!H$2:H$37,"",0,1),0),$A1241-TEXT(DATEVALUE($D1241&amp;"-01"), "dd-mm-yyyy")),0),0)</f>
        <v>392</v>
      </c>
      <c r="I1241" cm="1">
        <f t="array" ref="I1241">IF($Q1241&gt;=0,IFERROR(generateSalesData($D1241, IF(ISNUMBER(_xlfn.XLOOKUP($C1241,Phone_by_Sentiment!$B$2:$B$37,Phone_by_Sentiment!I$2:I$37,"",0,1)),_xlfn.XLOOKUP($C1241,Phone_by_Sentiment!$B$2:$B$37,Phone_by_Sentiment!I$2:I$37,"",0,1),0),$A1241-TEXT(DATEVALUE($D1241&amp;"-01"), "dd-mm-yyyy")),0),0)</f>
        <v>797</v>
      </c>
      <c r="J1241" cm="1">
        <f t="array" ref="J1241">IF($Q1241&gt;=0,IFERROR(generateSalesData($D1241, IF(ISNUMBER(_xlfn.XLOOKUP($C1241,Phone_by_Sentiment!$B$2:$B$37,Phone_by_Sentiment!J$2:J$37,"",0,1)),_xlfn.XLOOKUP($C1241,Phone_by_Sentiment!$B$2:$B$37,Phone_by_Sentiment!J$2:J$37,"",0,1),0),$A1241-TEXT(DATEVALUE($D1241&amp;"-01"), "dd-mm-yyyy")),0),0)</f>
        <v>267</v>
      </c>
      <c r="K1241" cm="1">
        <f t="array" ref="K1241">IF($Q1241&gt;=0,IFERROR(generateSalesData($D1241, IF(ISNUMBER(_xlfn.XLOOKUP($C1241,Phone_by_Sentiment!$B$2:$B$37,Phone_by_Sentiment!K$2:K$37,"",0,1)),_xlfn.XLOOKUP($C1241,Phone_by_Sentiment!$B$2:$B$37,Phone_by_Sentiment!K$2:K$37,"",0,1),0),$A1241-TEXT(DATEVALUE($D1241&amp;"-01"), "dd-mm-yyyy")),0),0)</f>
        <v>770</v>
      </c>
      <c r="L1241" cm="1">
        <f t="array" ref="L1241">IF($Q1241&gt;=0,IFERROR(generateSalesData($D1241, IF(ISNUMBER(_xlfn.XLOOKUP($C1241,Phone_by_Sentiment!$B$2:$B$37,Phone_by_Sentiment!L$2:L$37,"",0,1)),_xlfn.XLOOKUP($C1241,Phone_by_Sentiment!$B$2:$B$37,Phone_by_Sentiment!L$2:L$37,"",0,1),0),$A1241-TEXT(DATEVALUE($D1241&amp;"-01"), "dd-mm-yyyy")),0),0)</f>
        <v>862</v>
      </c>
      <c r="M1241" cm="1">
        <f t="array" ref="M1241">IF($Q1241&gt;=0,IFERROR(generateSalesData($D1241, IF(ISNUMBER(_xlfn.XLOOKUP($C1241,Phone_by_Sentiment!$B$2:$B$37,Phone_by_Sentiment!M$2:M$37,"",0,1)),_xlfn.XLOOKUP($C1241,Phone_by_Sentiment!$B$2:$B$37,Phone_by_Sentiment!M$2:M$37,"",0,1),0),$A1241-TEXT(DATEVALUE($D1241&amp;"-01"), "dd-mm-yyyy")),0),0)</f>
        <v>369</v>
      </c>
      <c r="N1241" cm="1">
        <f t="array" ref="N1241">IF($Q1241&gt;=0,IFERROR(generateSalesData($D1241, IF(ISNUMBER(_xlfn.XLOOKUP($C1241,Phone_by_Sentiment!$B$2:$B$37,Phone_by_Sentiment!N$2:N$37,"",0,1)),_xlfn.XLOOKUP($C1241,Phone_by_Sentiment!$B$2:$B$37,Phone_by_Sentiment!N$2:N$37,"",0,1),0),$A1241-TEXT(DATEVALUE($D1241&amp;"-01"), "dd-mm-yyyy")),0),0)</f>
        <v>297</v>
      </c>
      <c r="O1241" cm="1">
        <f t="array" ref="O1241">IF($Q1241&gt;=0,IFERROR(generateSalesData($D1241, IF(ISNUMBER(_xlfn.XLOOKUP($C1241,Phone_by_Sentiment!$B$2:$B$37,Phone_by_Sentiment!O$2:O$37,"",0,1)),_xlfn.XLOOKUP($C1241,Phone_by_Sentiment!$B$2:$B$37,Phone_by_Sentiment!O$2:O$37,"",0,1),0),$A1241-TEXT(DATEVALUE($D1241&amp;"-01"), "dd-mm-yyyy")),0),0)</f>
        <v>356</v>
      </c>
      <c r="P1241" s="1">
        <f t="shared" si="51"/>
        <v>44256</v>
      </c>
      <c r="Q1241">
        <f t="shared" si="52"/>
        <v>275</v>
      </c>
    </row>
    <row r="1242" spans="1:17" x14ac:dyDescent="0.25">
      <c r="A1242" s="1">
        <f t="shared" si="48"/>
        <v>44531</v>
      </c>
      <c r="B1242" t="s">
        <v>160</v>
      </c>
      <c r="C1242" t="str">
        <f>_xlfn.XLOOKUP(B1242,Phone_by_Price!$A$2:$A$34,Phone_by_Price!$B$2:$B$34,"-",0,1)</f>
        <v>Xiaomi Poco X3 Pro</v>
      </c>
      <c r="D1242" t="str">
        <f>_xlfn.XLOOKUP(C1242,Phone_by_Sentiment!$B$2:$B$37,Phone_by_Sentiment!$A$2:$A$37,"-",0,1)</f>
        <v>2021-05</v>
      </c>
      <c r="E1242" cm="1">
        <f t="array" ref="E1242">IF($Q1242&gt;=0,IFERROR(generateSalesData($D1242, IF(ISNUMBER(_xlfn.XLOOKUP($C1242,Phone_by_Sentiment!$B$2:$B$37,Phone_by_Sentiment!E$2:E$37,"",0,1)),_xlfn.XLOOKUP($C1242,Phone_by_Sentiment!$B$2:$B$37,Phone_by_Sentiment!E$2:E$37,"",0,1),0),$A1242-TEXT(DATEVALUE($D1242&amp;"-01"), "dd-mm-yyyy")),0),0)</f>
        <v>1141</v>
      </c>
      <c r="F1242" cm="1">
        <f t="array" ref="F1242">IF($Q1242&gt;=0,IFERROR(generateSalesData($D1242, IF(ISNUMBER(_xlfn.XLOOKUP($C1242,Phone_by_Sentiment!$B$2:$B$37,Phone_by_Sentiment!F$2:F$37,"",0,1)),_xlfn.XLOOKUP($C1242,Phone_by_Sentiment!$B$2:$B$37,Phone_by_Sentiment!F$2:F$37,"",0,1),0),$A1242-TEXT(DATEVALUE($D1242&amp;"-01"), "dd-mm-yyyy")),0),0)</f>
        <v>336</v>
      </c>
      <c r="G1242" cm="1">
        <f t="array" ref="G1242">IF($Q1242&gt;=0,IFERROR(generateSalesData($D1242, IF(ISNUMBER(_xlfn.XLOOKUP($C1242,Phone_by_Sentiment!$B$2:$B$37,Phone_by_Sentiment!G$2:G$37,"",0,1)),_xlfn.XLOOKUP($C1242,Phone_by_Sentiment!$B$2:$B$37,Phone_by_Sentiment!G$2:G$37,"",0,1),0),$A1242-TEXT(DATEVALUE($D1242&amp;"-01"), "dd-mm-yyyy")),0),0)</f>
        <v>158</v>
      </c>
      <c r="H1242" cm="1">
        <f t="array" ref="H1242">IF($Q1242&gt;=0,IFERROR(generateSalesData($D1242, IF(ISNUMBER(_xlfn.XLOOKUP($C1242,Phone_by_Sentiment!$B$2:$B$37,Phone_by_Sentiment!H$2:H$37,"",0,1)),_xlfn.XLOOKUP($C1242,Phone_by_Sentiment!$B$2:$B$37,Phone_by_Sentiment!H$2:H$37,"",0,1),0),$A1242-TEXT(DATEVALUE($D1242&amp;"-01"), "dd-mm-yyyy")),0),0)</f>
        <v>1550</v>
      </c>
      <c r="I1242" cm="1">
        <f t="array" ref="I1242">IF($Q1242&gt;=0,IFERROR(generateSalesData($D1242, IF(ISNUMBER(_xlfn.XLOOKUP($C1242,Phone_by_Sentiment!$B$2:$B$37,Phone_by_Sentiment!I$2:I$37,"",0,1)),_xlfn.XLOOKUP($C1242,Phone_by_Sentiment!$B$2:$B$37,Phone_by_Sentiment!I$2:I$37,"",0,1),0),$A1242-TEXT(DATEVALUE($D1242&amp;"-01"), "dd-mm-yyyy")),0),0)</f>
        <v>1422</v>
      </c>
      <c r="J1242" cm="1">
        <f t="array" ref="J1242">IF($Q1242&gt;=0,IFERROR(generateSalesData($D1242, IF(ISNUMBER(_xlfn.XLOOKUP($C1242,Phone_by_Sentiment!$B$2:$B$37,Phone_by_Sentiment!J$2:J$37,"",0,1)),_xlfn.XLOOKUP($C1242,Phone_by_Sentiment!$B$2:$B$37,Phone_by_Sentiment!J$2:J$37,"",0,1),0),$A1242-TEXT(DATEVALUE($D1242&amp;"-01"), "dd-mm-yyyy")),0),0)</f>
        <v>318</v>
      </c>
      <c r="K1242" cm="1">
        <f t="array" ref="K1242">IF($Q1242&gt;=0,IFERROR(generateSalesData($D1242, IF(ISNUMBER(_xlfn.XLOOKUP($C1242,Phone_by_Sentiment!$B$2:$B$37,Phone_by_Sentiment!K$2:K$37,"",0,1)),_xlfn.XLOOKUP($C1242,Phone_by_Sentiment!$B$2:$B$37,Phone_by_Sentiment!K$2:K$37,"",0,1),0),$A1242-TEXT(DATEVALUE($D1242&amp;"-01"), "dd-mm-yyyy")),0),0)</f>
        <v>511</v>
      </c>
      <c r="L1242" cm="1">
        <f t="array" ref="L1242">IF($Q1242&gt;=0,IFERROR(generateSalesData($D1242, IF(ISNUMBER(_xlfn.XLOOKUP($C1242,Phone_by_Sentiment!$B$2:$B$37,Phone_by_Sentiment!L$2:L$37,"",0,1)),_xlfn.XLOOKUP($C1242,Phone_by_Sentiment!$B$2:$B$37,Phone_by_Sentiment!L$2:L$37,"",0,1),0),$A1242-TEXT(DATEVALUE($D1242&amp;"-01"), "dd-mm-yyyy")),0),0)</f>
        <v>453</v>
      </c>
      <c r="M1242" cm="1">
        <f t="array" ref="M1242">IF($Q1242&gt;=0,IFERROR(generateSalesData($D1242, IF(ISNUMBER(_xlfn.XLOOKUP($C1242,Phone_by_Sentiment!$B$2:$B$37,Phone_by_Sentiment!M$2:M$37,"",0,1)),_xlfn.XLOOKUP($C1242,Phone_by_Sentiment!$B$2:$B$37,Phone_by_Sentiment!M$2:M$37,"",0,1),0),$A1242-TEXT(DATEVALUE($D1242&amp;"-01"), "dd-mm-yyyy")),0),0)</f>
        <v>1562</v>
      </c>
      <c r="N1242" cm="1">
        <f t="array" ref="N1242">IF($Q1242&gt;=0,IFERROR(generateSalesData($D1242, IF(ISNUMBER(_xlfn.XLOOKUP($C1242,Phone_by_Sentiment!$B$2:$B$37,Phone_by_Sentiment!N$2:N$37,"",0,1)),_xlfn.XLOOKUP($C1242,Phone_by_Sentiment!$B$2:$B$37,Phone_by_Sentiment!N$2:N$37,"",0,1),0),$A1242-TEXT(DATEVALUE($D1242&amp;"-01"), "dd-mm-yyyy")),0),0)</f>
        <v>717</v>
      </c>
      <c r="O1242" cm="1">
        <f t="array" ref="O1242">IF($Q1242&gt;=0,IFERROR(generateSalesData($D1242, IF(ISNUMBER(_xlfn.XLOOKUP($C1242,Phone_by_Sentiment!$B$2:$B$37,Phone_by_Sentiment!O$2:O$37,"",0,1)),_xlfn.XLOOKUP($C1242,Phone_by_Sentiment!$B$2:$B$37,Phone_by_Sentiment!O$2:O$37,"",0,1),0),$A1242-TEXT(DATEVALUE($D1242&amp;"-01"), "dd-mm-yyyy")),0),0)</f>
        <v>1034</v>
      </c>
      <c r="P1242" s="1">
        <f t="shared" si="51"/>
        <v>44317</v>
      </c>
      <c r="Q1242">
        <f t="shared" si="52"/>
        <v>214</v>
      </c>
    </row>
    <row r="1243" spans="1:17" x14ac:dyDescent="0.25">
      <c r="A1243" s="1">
        <f t="shared" si="48"/>
        <v>44531</v>
      </c>
      <c r="B1243" t="s">
        <v>161</v>
      </c>
      <c r="C1243" t="str">
        <f>_xlfn.XLOOKUP(B1243,Phone_by_Price!$A$2:$A$34,Phone_by_Price!$B$2:$B$34,"-",0,1)</f>
        <v>Samsung Galaxy Z Flip 3</v>
      </c>
      <c r="D1243" t="str">
        <f>_xlfn.XLOOKUP(C1243,Phone_by_Sentiment!$B$2:$B$37,Phone_by_Sentiment!$A$2:$A$37,"-",0,1)</f>
        <v>2021-09</v>
      </c>
      <c r="E1243" cm="1">
        <f t="array" ref="E1243">IF($Q1243&gt;=0,IFERROR(generateSalesData($D1243, IF(ISNUMBER(_xlfn.XLOOKUP($C1243,Phone_by_Sentiment!$B$2:$B$37,Phone_by_Sentiment!E$2:E$37,"",0,1)),_xlfn.XLOOKUP($C1243,Phone_by_Sentiment!$B$2:$B$37,Phone_by_Sentiment!E$2:E$37,"",0,1),0),$A1243-TEXT(DATEVALUE($D1243&amp;"-01"), "dd-mm-yyyy")),0),0)</f>
        <v>2722</v>
      </c>
      <c r="F1243" cm="1">
        <f t="array" ref="F1243">IF($Q1243&gt;=0,IFERROR(generateSalesData($D1243, IF(ISNUMBER(_xlfn.XLOOKUP($C1243,Phone_by_Sentiment!$B$2:$B$37,Phone_by_Sentiment!F$2:F$37,"",0,1)),_xlfn.XLOOKUP($C1243,Phone_by_Sentiment!$B$2:$B$37,Phone_by_Sentiment!F$2:F$37,"",0,1),0),$A1243-TEXT(DATEVALUE($D1243&amp;"-01"), "dd-mm-yyyy")),0),0)</f>
        <v>3742</v>
      </c>
      <c r="G1243" cm="1">
        <f t="array" ref="G1243">IF($Q1243&gt;=0,IFERROR(generateSalesData($D1243, IF(ISNUMBER(_xlfn.XLOOKUP($C1243,Phone_by_Sentiment!$B$2:$B$37,Phone_by_Sentiment!G$2:G$37,"",0,1)),_xlfn.XLOOKUP($C1243,Phone_by_Sentiment!$B$2:$B$37,Phone_by_Sentiment!G$2:G$37,"",0,1),0),$A1243-TEXT(DATEVALUE($D1243&amp;"-01"), "dd-mm-yyyy")),0),0)</f>
        <v>946</v>
      </c>
      <c r="H1243" cm="1">
        <f t="array" ref="H1243">IF($Q1243&gt;=0,IFERROR(generateSalesData($D1243, IF(ISNUMBER(_xlfn.XLOOKUP($C1243,Phone_by_Sentiment!$B$2:$B$37,Phone_by_Sentiment!H$2:H$37,"",0,1)),_xlfn.XLOOKUP($C1243,Phone_by_Sentiment!$B$2:$B$37,Phone_by_Sentiment!H$2:H$37,"",0,1),0),$A1243-TEXT(DATEVALUE($D1243&amp;"-01"), "dd-mm-yyyy")),0),0)</f>
        <v>2786</v>
      </c>
      <c r="I1243" cm="1">
        <f t="array" ref="I1243">IF($Q1243&gt;=0,IFERROR(generateSalesData($D1243, IF(ISNUMBER(_xlfn.XLOOKUP($C1243,Phone_by_Sentiment!$B$2:$B$37,Phone_by_Sentiment!I$2:I$37,"",0,1)),_xlfn.XLOOKUP($C1243,Phone_by_Sentiment!$B$2:$B$37,Phone_by_Sentiment!I$2:I$37,"",0,1),0),$A1243-TEXT(DATEVALUE($D1243&amp;"-01"), "dd-mm-yyyy")),0),0)</f>
        <v>517</v>
      </c>
      <c r="J1243" cm="1">
        <f t="array" ref="J1243">IF($Q1243&gt;=0,IFERROR(generateSalesData($D1243, IF(ISNUMBER(_xlfn.XLOOKUP($C1243,Phone_by_Sentiment!$B$2:$B$37,Phone_by_Sentiment!J$2:J$37,"",0,1)),_xlfn.XLOOKUP($C1243,Phone_by_Sentiment!$B$2:$B$37,Phone_by_Sentiment!J$2:J$37,"",0,1),0),$A1243-TEXT(DATEVALUE($D1243&amp;"-01"), "dd-mm-yyyy")),0),0)</f>
        <v>1927</v>
      </c>
      <c r="K1243" cm="1">
        <f t="array" ref="K1243">IF($Q1243&gt;=0,IFERROR(generateSalesData($D1243, IF(ISNUMBER(_xlfn.XLOOKUP($C1243,Phone_by_Sentiment!$B$2:$B$37,Phone_by_Sentiment!K$2:K$37,"",0,1)),_xlfn.XLOOKUP($C1243,Phone_by_Sentiment!$B$2:$B$37,Phone_by_Sentiment!K$2:K$37,"",0,1),0),$A1243-TEXT(DATEVALUE($D1243&amp;"-01"), "dd-mm-yyyy")),0),0)</f>
        <v>2018</v>
      </c>
      <c r="L1243" cm="1">
        <f t="array" ref="L1243">IF($Q1243&gt;=0,IFERROR(generateSalesData($D1243, IF(ISNUMBER(_xlfn.XLOOKUP($C1243,Phone_by_Sentiment!$B$2:$B$37,Phone_by_Sentiment!L$2:L$37,"",0,1)),_xlfn.XLOOKUP($C1243,Phone_by_Sentiment!$B$2:$B$37,Phone_by_Sentiment!L$2:L$37,"",0,1),0),$A1243-TEXT(DATEVALUE($D1243&amp;"-01"), "dd-mm-yyyy")),0),0)</f>
        <v>3804</v>
      </c>
      <c r="M1243" cm="1">
        <f t="array" ref="M1243">IF($Q1243&gt;=0,IFERROR(generateSalesData($D1243, IF(ISNUMBER(_xlfn.XLOOKUP($C1243,Phone_by_Sentiment!$B$2:$B$37,Phone_by_Sentiment!M$2:M$37,"",0,1)),_xlfn.XLOOKUP($C1243,Phone_by_Sentiment!$B$2:$B$37,Phone_by_Sentiment!M$2:M$37,"",0,1),0),$A1243-TEXT(DATEVALUE($D1243&amp;"-01"), "dd-mm-yyyy")),0),0)</f>
        <v>2468</v>
      </c>
      <c r="N1243" cm="1">
        <f t="array" ref="N1243">IF($Q1243&gt;=0,IFERROR(generateSalesData($D1243, IF(ISNUMBER(_xlfn.XLOOKUP($C1243,Phone_by_Sentiment!$B$2:$B$37,Phone_by_Sentiment!N$2:N$37,"",0,1)),_xlfn.XLOOKUP($C1243,Phone_by_Sentiment!$B$2:$B$37,Phone_by_Sentiment!N$2:N$37,"",0,1),0),$A1243-TEXT(DATEVALUE($D1243&amp;"-01"), "dd-mm-yyyy")),0),0)</f>
        <v>-62</v>
      </c>
      <c r="O1243" cm="1">
        <f t="array" ref="O1243">IF($Q1243&gt;=0,IFERROR(generateSalesData($D1243, IF(ISNUMBER(_xlfn.XLOOKUP($C1243,Phone_by_Sentiment!$B$2:$B$37,Phone_by_Sentiment!O$2:O$37,"",0,1)),_xlfn.XLOOKUP($C1243,Phone_by_Sentiment!$B$2:$B$37,Phone_by_Sentiment!O$2:O$37,"",0,1),0),$A1243-TEXT(DATEVALUE($D1243&amp;"-01"), "dd-mm-yyyy")),0),0)</f>
        <v>4168</v>
      </c>
      <c r="P1243" s="1">
        <f t="shared" si="51"/>
        <v>44440</v>
      </c>
      <c r="Q1243">
        <f t="shared" si="52"/>
        <v>91</v>
      </c>
    </row>
    <row r="1244" spans="1:17" x14ac:dyDescent="0.25">
      <c r="A1244" s="1">
        <f t="shared" si="48"/>
        <v>44531</v>
      </c>
      <c r="B1244" t="s">
        <v>162</v>
      </c>
      <c r="C1244" t="str">
        <f>_xlfn.XLOOKUP(B1244,Phone_by_Price!$A$2:$A$34,Phone_by_Price!$B$2:$B$34,"-",0,1)</f>
        <v>Xiaomi Poco X3 NFC</v>
      </c>
      <c r="D1244" t="str">
        <f>_xlfn.XLOOKUP(C1244,Phone_by_Sentiment!$B$2:$B$37,Phone_by_Sentiment!$A$2:$A$37,"-",0,1)</f>
        <v>2020-08</v>
      </c>
      <c r="E1244" cm="1">
        <f t="array" ref="E1244">IF($Q1244&gt;=0,IFERROR(generateSalesData($D1244, IF(ISNUMBER(_xlfn.XLOOKUP($C1244,Phone_by_Sentiment!$B$2:$B$37,Phone_by_Sentiment!E$2:E$37,"",0,1)),_xlfn.XLOOKUP($C1244,Phone_by_Sentiment!$B$2:$B$37,Phone_by_Sentiment!E$2:E$37,"",0,1),0),$A1244-TEXT(DATEVALUE($D1244&amp;"-01"), "dd-mm-yyyy")),0),0)</f>
        <v>69</v>
      </c>
      <c r="F1244" cm="1">
        <f t="array" ref="F1244">IF($Q1244&gt;=0,IFERROR(generateSalesData($D1244, IF(ISNUMBER(_xlfn.XLOOKUP($C1244,Phone_by_Sentiment!$B$2:$B$37,Phone_by_Sentiment!F$2:F$37,"",0,1)),_xlfn.XLOOKUP($C1244,Phone_by_Sentiment!$B$2:$B$37,Phone_by_Sentiment!F$2:F$37,"",0,1),0),$A1244-TEXT(DATEVALUE($D1244&amp;"-01"), "dd-mm-yyyy")),0),0)</f>
        <v>137</v>
      </c>
      <c r="G1244" cm="1">
        <f t="array" ref="G1244">IF($Q1244&gt;=0,IFERROR(generateSalesData($D1244, IF(ISNUMBER(_xlfn.XLOOKUP($C1244,Phone_by_Sentiment!$B$2:$B$37,Phone_by_Sentiment!G$2:G$37,"",0,1)),_xlfn.XLOOKUP($C1244,Phone_by_Sentiment!$B$2:$B$37,Phone_by_Sentiment!G$2:G$37,"",0,1),0),$A1244-TEXT(DATEVALUE($D1244&amp;"-01"), "dd-mm-yyyy")),0),0)</f>
        <v>223</v>
      </c>
      <c r="H1244" cm="1">
        <f t="array" ref="H1244">IF($Q1244&gt;=0,IFERROR(generateSalesData($D1244, IF(ISNUMBER(_xlfn.XLOOKUP($C1244,Phone_by_Sentiment!$B$2:$B$37,Phone_by_Sentiment!H$2:H$37,"",0,1)),_xlfn.XLOOKUP($C1244,Phone_by_Sentiment!$B$2:$B$37,Phone_by_Sentiment!H$2:H$37,"",0,1),0),$A1244-TEXT(DATEVALUE($D1244&amp;"-01"), "dd-mm-yyyy")),0),0)</f>
        <v>467</v>
      </c>
      <c r="I1244" cm="1">
        <f t="array" ref="I1244">IF($Q1244&gt;=0,IFERROR(generateSalesData($D1244, IF(ISNUMBER(_xlfn.XLOOKUP($C1244,Phone_by_Sentiment!$B$2:$B$37,Phone_by_Sentiment!I$2:I$37,"",0,1)),_xlfn.XLOOKUP($C1244,Phone_by_Sentiment!$B$2:$B$37,Phone_by_Sentiment!I$2:I$37,"",0,1),0),$A1244-TEXT(DATEVALUE($D1244&amp;"-01"), "dd-mm-yyyy")),0),0)</f>
        <v>145</v>
      </c>
      <c r="J1244" cm="1">
        <f t="array" ref="J1244">IF($Q1244&gt;=0,IFERROR(generateSalesData($D1244, IF(ISNUMBER(_xlfn.XLOOKUP($C1244,Phone_by_Sentiment!$B$2:$B$37,Phone_by_Sentiment!J$2:J$37,"",0,1)),_xlfn.XLOOKUP($C1244,Phone_by_Sentiment!$B$2:$B$37,Phone_by_Sentiment!J$2:J$37,"",0,1),0),$A1244-TEXT(DATEVALUE($D1244&amp;"-01"), "dd-mm-yyyy")),0),0)</f>
        <v>81</v>
      </c>
      <c r="K1244" cm="1">
        <f t="array" ref="K1244">IF($Q1244&gt;=0,IFERROR(generateSalesData($D1244, IF(ISNUMBER(_xlfn.XLOOKUP($C1244,Phone_by_Sentiment!$B$2:$B$37,Phone_by_Sentiment!K$2:K$37,"",0,1)),_xlfn.XLOOKUP($C1244,Phone_by_Sentiment!$B$2:$B$37,Phone_by_Sentiment!K$2:K$37,"",0,1),0),$A1244-TEXT(DATEVALUE($D1244&amp;"-01"), "dd-mm-yyyy")),0),0)</f>
        <v>477</v>
      </c>
      <c r="L1244" cm="1">
        <f t="array" ref="L1244">IF($Q1244&gt;=0,IFERROR(generateSalesData($D1244, IF(ISNUMBER(_xlfn.XLOOKUP($C1244,Phone_by_Sentiment!$B$2:$B$37,Phone_by_Sentiment!L$2:L$37,"",0,1)),_xlfn.XLOOKUP($C1244,Phone_by_Sentiment!$B$2:$B$37,Phone_by_Sentiment!L$2:L$37,"",0,1),0),$A1244-TEXT(DATEVALUE($D1244&amp;"-01"), "dd-mm-yyyy")),0),0)</f>
        <v>122</v>
      </c>
      <c r="M1244" cm="1">
        <f t="array" ref="M1244">IF($Q1244&gt;=0,IFERROR(generateSalesData($D1244, IF(ISNUMBER(_xlfn.XLOOKUP($C1244,Phone_by_Sentiment!$B$2:$B$37,Phone_by_Sentiment!M$2:M$37,"",0,1)),_xlfn.XLOOKUP($C1244,Phone_by_Sentiment!$B$2:$B$37,Phone_by_Sentiment!M$2:M$37,"",0,1),0),$A1244-TEXT(DATEVALUE($D1244&amp;"-01"), "dd-mm-yyyy")),0),0)</f>
        <v>435</v>
      </c>
      <c r="N1244" cm="1">
        <f t="array" ref="N1244">IF($Q1244&gt;=0,IFERROR(generateSalesData($D1244, IF(ISNUMBER(_xlfn.XLOOKUP($C1244,Phone_by_Sentiment!$B$2:$B$37,Phone_by_Sentiment!N$2:N$37,"",0,1)),_xlfn.XLOOKUP($C1244,Phone_by_Sentiment!$B$2:$B$37,Phone_by_Sentiment!N$2:N$37,"",0,1),0),$A1244-TEXT(DATEVALUE($D1244&amp;"-01"), "dd-mm-yyyy")),0),0)</f>
        <v>147</v>
      </c>
      <c r="O1244" cm="1">
        <f t="array" ref="O1244">IF($Q1244&gt;=0,IFERROR(generateSalesData($D1244, IF(ISNUMBER(_xlfn.XLOOKUP($C1244,Phone_by_Sentiment!$B$2:$B$37,Phone_by_Sentiment!O$2:O$37,"",0,1)),_xlfn.XLOOKUP($C1244,Phone_by_Sentiment!$B$2:$B$37,Phone_by_Sentiment!O$2:O$37,"",0,1),0),$A1244-TEXT(DATEVALUE($D1244&amp;"-01"), "dd-mm-yyyy")),0),0)</f>
        <v>515</v>
      </c>
      <c r="P1244" s="1">
        <f t="shared" si="51"/>
        <v>44044</v>
      </c>
      <c r="Q1244">
        <f t="shared" si="52"/>
        <v>487</v>
      </c>
    </row>
    <row r="1245" spans="1:17" x14ac:dyDescent="0.25">
      <c r="A1245" s="1">
        <f t="shared" si="48"/>
        <v>44531</v>
      </c>
      <c r="B1245" t="s">
        <v>163</v>
      </c>
      <c r="C1245" t="str">
        <f>_xlfn.XLOOKUP(B1245,Phone_by_Price!$A$2:$A$34,Phone_by_Price!$B$2:$B$34,"-",0,1)</f>
        <v>OPPO A93</v>
      </c>
      <c r="D1245" t="str">
        <f>_xlfn.XLOOKUP(C1245,Phone_by_Sentiment!$B$2:$B$37,Phone_by_Sentiment!$A$2:$A$37,"-",0,1)</f>
        <v>2021-02</v>
      </c>
      <c r="E1245" cm="1">
        <f t="array" ref="E1245">IF($Q1245&gt;=0,IFERROR(generateSalesData($D1245, IF(ISNUMBER(_xlfn.XLOOKUP($C1245,Phone_by_Sentiment!$B$2:$B$37,Phone_by_Sentiment!E$2:E$37,"",0,1)),_xlfn.XLOOKUP($C1245,Phone_by_Sentiment!$B$2:$B$37,Phone_by_Sentiment!E$2:E$37,"",0,1),0),$A1245-TEXT(DATEVALUE($D1245&amp;"-01"), "dd-mm-yyyy")),0),0)</f>
        <v>695</v>
      </c>
      <c r="F1245" cm="1">
        <f t="array" ref="F1245">IF($Q1245&gt;=0,IFERROR(generateSalesData($D1245, IF(ISNUMBER(_xlfn.XLOOKUP($C1245,Phone_by_Sentiment!$B$2:$B$37,Phone_by_Sentiment!F$2:F$37,"",0,1)),_xlfn.XLOOKUP($C1245,Phone_by_Sentiment!$B$2:$B$37,Phone_by_Sentiment!F$2:F$37,"",0,1),0),$A1245-TEXT(DATEVALUE($D1245&amp;"-01"), "dd-mm-yyyy")),0),0)</f>
        <v>186</v>
      </c>
      <c r="G1245" cm="1">
        <f t="array" ref="G1245">IF($Q1245&gt;=0,IFERROR(generateSalesData($D1245, IF(ISNUMBER(_xlfn.XLOOKUP($C1245,Phone_by_Sentiment!$B$2:$B$37,Phone_by_Sentiment!G$2:G$37,"",0,1)),_xlfn.XLOOKUP($C1245,Phone_by_Sentiment!$B$2:$B$37,Phone_by_Sentiment!G$2:G$37,"",0,1),0),$A1245-TEXT(DATEVALUE($D1245&amp;"-01"), "dd-mm-yyyy")),0),0)</f>
        <v>504</v>
      </c>
      <c r="H1245" cm="1">
        <f t="array" ref="H1245">IF($Q1245&gt;=0,IFERROR(generateSalesData($D1245, IF(ISNUMBER(_xlfn.XLOOKUP($C1245,Phone_by_Sentiment!$B$2:$B$37,Phone_by_Sentiment!H$2:H$37,"",0,1)),_xlfn.XLOOKUP($C1245,Phone_by_Sentiment!$B$2:$B$37,Phone_by_Sentiment!H$2:H$37,"",0,1),0),$A1245-TEXT(DATEVALUE($D1245&amp;"-01"), "dd-mm-yyyy")),0),0)</f>
        <v>731</v>
      </c>
      <c r="I1245" cm="1">
        <f t="array" ref="I1245">IF($Q1245&gt;=0,IFERROR(generateSalesData($D1245, IF(ISNUMBER(_xlfn.XLOOKUP($C1245,Phone_by_Sentiment!$B$2:$B$37,Phone_by_Sentiment!I$2:I$37,"",0,1)),_xlfn.XLOOKUP($C1245,Phone_by_Sentiment!$B$2:$B$37,Phone_by_Sentiment!I$2:I$37,"",0,1),0),$A1245-TEXT(DATEVALUE($D1245&amp;"-01"), "dd-mm-yyyy")),0),0)</f>
        <v>389</v>
      </c>
      <c r="J1245" cm="1">
        <f t="array" ref="J1245">IF($Q1245&gt;=0,IFERROR(generateSalesData($D1245, IF(ISNUMBER(_xlfn.XLOOKUP($C1245,Phone_by_Sentiment!$B$2:$B$37,Phone_by_Sentiment!J$2:J$37,"",0,1)),_xlfn.XLOOKUP($C1245,Phone_by_Sentiment!$B$2:$B$37,Phone_by_Sentiment!J$2:J$37,"",0,1),0),$A1245-TEXT(DATEVALUE($D1245&amp;"-01"), "dd-mm-yyyy")),0),0)</f>
        <v>548</v>
      </c>
      <c r="K1245" cm="1">
        <f t="array" ref="K1245">IF($Q1245&gt;=0,IFERROR(generateSalesData($D1245, IF(ISNUMBER(_xlfn.XLOOKUP($C1245,Phone_by_Sentiment!$B$2:$B$37,Phone_by_Sentiment!K$2:K$37,"",0,1)),_xlfn.XLOOKUP($C1245,Phone_by_Sentiment!$B$2:$B$37,Phone_by_Sentiment!K$2:K$37,"",0,1),0),$A1245-TEXT(DATEVALUE($D1245&amp;"-01"), "dd-mm-yyyy")),0),0)</f>
        <v>139</v>
      </c>
      <c r="L1245" cm="1">
        <f t="array" ref="L1245">IF($Q1245&gt;=0,IFERROR(generateSalesData($D1245, IF(ISNUMBER(_xlfn.XLOOKUP($C1245,Phone_by_Sentiment!$B$2:$B$37,Phone_by_Sentiment!L$2:L$37,"",0,1)),_xlfn.XLOOKUP($C1245,Phone_by_Sentiment!$B$2:$B$37,Phone_by_Sentiment!L$2:L$37,"",0,1),0),$A1245-TEXT(DATEVALUE($D1245&amp;"-01"), "dd-mm-yyyy")),0),0)</f>
        <v>51</v>
      </c>
      <c r="M1245" cm="1">
        <f t="array" ref="M1245">IF($Q1245&gt;=0,IFERROR(generateSalesData($D1245, IF(ISNUMBER(_xlfn.XLOOKUP($C1245,Phone_by_Sentiment!$B$2:$B$37,Phone_by_Sentiment!M$2:M$37,"",0,1)),_xlfn.XLOOKUP($C1245,Phone_by_Sentiment!$B$2:$B$37,Phone_by_Sentiment!M$2:M$37,"",0,1),0),$A1245-TEXT(DATEVALUE($D1245&amp;"-01"), "dd-mm-yyyy")),0),0)</f>
        <v>915</v>
      </c>
      <c r="N1245" cm="1">
        <f t="array" ref="N1245">IF($Q1245&gt;=0,IFERROR(generateSalesData($D1245, IF(ISNUMBER(_xlfn.XLOOKUP($C1245,Phone_by_Sentiment!$B$2:$B$37,Phone_by_Sentiment!N$2:N$37,"",0,1)),_xlfn.XLOOKUP($C1245,Phone_by_Sentiment!$B$2:$B$37,Phone_by_Sentiment!N$2:N$37,"",0,1),0),$A1245-TEXT(DATEVALUE($D1245&amp;"-01"), "dd-mm-yyyy")),0),0)</f>
        <v>255</v>
      </c>
      <c r="O1245" cm="1">
        <f t="array" ref="O1245">IF($Q1245&gt;=0,IFERROR(generateSalesData($D1245, IF(ISNUMBER(_xlfn.XLOOKUP($C1245,Phone_by_Sentiment!$B$2:$B$37,Phone_by_Sentiment!O$2:O$37,"",0,1)),_xlfn.XLOOKUP($C1245,Phone_by_Sentiment!$B$2:$B$37,Phone_by_Sentiment!O$2:O$37,"",0,1),0),$A1245-TEXT(DATEVALUE($D1245&amp;"-01"), "dd-mm-yyyy")),0),0)</f>
        <v>168</v>
      </c>
      <c r="P1245" s="1">
        <f t="shared" si="51"/>
        <v>44228</v>
      </c>
      <c r="Q1245">
        <f t="shared" si="52"/>
        <v>303</v>
      </c>
    </row>
    <row r="1246" spans="1:17" x14ac:dyDescent="0.25">
      <c r="A1246" s="1">
        <f t="shared" si="48"/>
        <v>44531</v>
      </c>
      <c r="B1246" t="s">
        <v>164</v>
      </c>
      <c r="C1246" t="str">
        <f>_xlfn.XLOOKUP(B1246,Phone_by_Price!$A$2:$A$34,Phone_by_Price!$B$2:$B$34,"-",0,1)</f>
        <v>Vivo V20</v>
      </c>
      <c r="D1246" t="str">
        <f>_xlfn.XLOOKUP(C1246,Phone_by_Sentiment!$B$2:$B$37,Phone_by_Sentiment!$A$2:$A$37,"-",0,1)</f>
        <v>2020-10</v>
      </c>
      <c r="E1246" cm="1">
        <f t="array" ref="E1246">IF($Q1246&gt;=0,IFERROR(generateSalesData($D1246, IF(ISNUMBER(_xlfn.XLOOKUP($C1246,Phone_by_Sentiment!$B$2:$B$37,Phone_by_Sentiment!E$2:E$37,"",0,1)),_xlfn.XLOOKUP($C1246,Phone_by_Sentiment!$B$2:$B$37,Phone_by_Sentiment!E$2:E$37,"",0,1),0),$A1246-TEXT(DATEVALUE($D1246&amp;"-01"), "dd-mm-yyyy")),0),0)</f>
        <v>708</v>
      </c>
      <c r="F1246" cm="1">
        <f t="array" ref="F1246">IF($Q1246&gt;=0,IFERROR(generateSalesData($D1246, IF(ISNUMBER(_xlfn.XLOOKUP($C1246,Phone_by_Sentiment!$B$2:$B$37,Phone_by_Sentiment!F$2:F$37,"",0,1)),_xlfn.XLOOKUP($C1246,Phone_by_Sentiment!$B$2:$B$37,Phone_by_Sentiment!F$2:F$37,"",0,1),0),$A1246-TEXT(DATEVALUE($D1246&amp;"-01"), "dd-mm-yyyy")),0),0)</f>
        <v>152</v>
      </c>
      <c r="G1246" cm="1">
        <f t="array" ref="G1246">IF($Q1246&gt;=0,IFERROR(generateSalesData($D1246, IF(ISNUMBER(_xlfn.XLOOKUP($C1246,Phone_by_Sentiment!$B$2:$B$37,Phone_by_Sentiment!G$2:G$37,"",0,1)),_xlfn.XLOOKUP($C1246,Phone_by_Sentiment!$B$2:$B$37,Phone_by_Sentiment!G$2:G$37,"",0,1),0),$A1246-TEXT(DATEVALUE($D1246&amp;"-01"), "dd-mm-yyyy")),0),0)</f>
        <v>37</v>
      </c>
      <c r="H1246" cm="1">
        <f t="array" ref="H1246">IF($Q1246&gt;=0,IFERROR(generateSalesData($D1246, IF(ISNUMBER(_xlfn.XLOOKUP($C1246,Phone_by_Sentiment!$B$2:$B$37,Phone_by_Sentiment!H$2:H$37,"",0,1)),_xlfn.XLOOKUP($C1246,Phone_by_Sentiment!$B$2:$B$37,Phone_by_Sentiment!H$2:H$37,"",0,1),0),$A1246-TEXT(DATEVALUE($D1246&amp;"-01"), "dd-mm-yyyy")),0),0)</f>
        <v>161</v>
      </c>
      <c r="I1246" cm="1">
        <f t="array" ref="I1246">IF($Q1246&gt;=0,IFERROR(generateSalesData($D1246, IF(ISNUMBER(_xlfn.XLOOKUP($C1246,Phone_by_Sentiment!$B$2:$B$37,Phone_by_Sentiment!I$2:I$37,"",0,1)),_xlfn.XLOOKUP($C1246,Phone_by_Sentiment!$B$2:$B$37,Phone_by_Sentiment!I$2:I$37,"",0,1),0),$A1246-TEXT(DATEVALUE($D1246&amp;"-01"), "dd-mm-yyyy")),0),0)</f>
        <v>119</v>
      </c>
      <c r="J1246" cm="1">
        <f t="array" ref="J1246">IF($Q1246&gt;=0,IFERROR(generateSalesData($D1246, IF(ISNUMBER(_xlfn.XLOOKUP($C1246,Phone_by_Sentiment!$B$2:$B$37,Phone_by_Sentiment!J$2:J$37,"",0,1)),_xlfn.XLOOKUP($C1246,Phone_by_Sentiment!$B$2:$B$37,Phone_by_Sentiment!J$2:J$37,"",0,1),0),$A1246-TEXT(DATEVALUE($D1246&amp;"-01"), "dd-mm-yyyy")),0),0)</f>
        <v>164</v>
      </c>
      <c r="K1246" cm="1">
        <f t="array" ref="K1246">IF($Q1246&gt;=0,IFERROR(generateSalesData($D1246, IF(ISNUMBER(_xlfn.XLOOKUP($C1246,Phone_by_Sentiment!$B$2:$B$37,Phone_by_Sentiment!K$2:K$37,"",0,1)),_xlfn.XLOOKUP($C1246,Phone_by_Sentiment!$B$2:$B$37,Phone_by_Sentiment!K$2:K$37,"",0,1),0),$A1246-TEXT(DATEVALUE($D1246&amp;"-01"), "dd-mm-yyyy")),0),0)</f>
        <v>174</v>
      </c>
      <c r="L1246" cm="1">
        <f t="array" ref="L1246">IF($Q1246&gt;=0,IFERROR(generateSalesData($D1246, IF(ISNUMBER(_xlfn.XLOOKUP($C1246,Phone_by_Sentiment!$B$2:$B$37,Phone_by_Sentiment!L$2:L$37,"",0,1)),_xlfn.XLOOKUP($C1246,Phone_by_Sentiment!$B$2:$B$37,Phone_by_Sentiment!L$2:L$37,"",0,1),0),$A1246-TEXT(DATEVALUE($D1246&amp;"-01"), "dd-mm-yyyy")),0),0)</f>
        <v>136</v>
      </c>
      <c r="M1246" cm="1">
        <f t="array" ref="M1246">IF($Q1246&gt;=0,IFERROR(generateSalesData($D1246, IF(ISNUMBER(_xlfn.XLOOKUP($C1246,Phone_by_Sentiment!$B$2:$B$37,Phone_by_Sentiment!M$2:M$37,"",0,1)),_xlfn.XLOOKUP($C1246,Phone_by_Sentiment!$B$2:$B$37,Phone_by_Sentiment!M$2:M$37,"",0,1),0),$A1246-TEXT(DATEVALUE($D1246&amp;"-01"), "dd-mm-yyyy")),0),0)</f>
        <v>147</v>
      </c>
      <c r="N1246" cm="1">
        <f t="array" ref="N1246">IF($Q1246&gt;=0,IFERROR(generateSalesData($D1246, IF(ISNUMBER(_xlfn.XLOOKUP($C1246,Phone_by_Sentiment!$B$2:$B$37,Phone_by_Sentiment!N$2:N$37,"",0,1)),_xlfn.XLOOKUP($C1246,Phone_by_Sentiment!$B$2:$B$37,Phone_by_Sentiment!N$2:N$37,"",0,1),0),$A1246-TEXT(DATEVALUE($D1246&amp;"-01"), "dd-mm-yyyy")),0),0)</f>
        <v>106</v>
      </c>
      <c r="O1246" cm="1">
        <f t="array" ref="O1246">IF($Q1246&gt;=0,IFERROR(generateSalesData($D1246, IF(ISNUMBER(_xlfn.XLOOKUP($C1246,Phone_by_Sentiment!$B$2:$B$37,Phone_by_Sentiment!O$2:O$37,"",0,1)),_xlfn.XLOOKUP($C1246,Phone_by_Sentiment!$B$2:$B$37,Phone_by_Sentiment!O$2:O$37,"",0,1),0),$A1246-TEXT(DATEVALUE($D1246&amp;"-01"), "dd-mm-yyyy")),0),0)</f>
        <v>80</v>
      </c>
      <c r="P1246" s="1">
        <f t="shared" si="51"/>
        <v>44105</v>
      </c>
      <c r="Q1246">
        <f t="shared" si="52"/>
        <v>426</v>
      </c>
    </row>
    <row r="1247" spans="1:17" x14ac:dyDescent="0.25">
      <c r="A1247" s="1">
        <f t="shared" si="48"/>
        <v>44531</v>
      </c>
      <c r="B1247" t="s">
        <v>165</v>
      </c>
      <c r="C1247" t="str">
        <f>_xlfn.XLOOKUP(B1247,Phone_by_Price!$A$2:$A$34,Phone_by_Price!$B$2:$B$34,"-",0,1)</f>
        <v>Samsung Galaxy A50</v>
      </c>
      <c r="D1247" t="str">
        <f>_xlfn.XLOOKUP(C1247,Phone_by_Sentiment!$B$2:$B$37,Phone_by_Sentiment!$A$2:$A$37,"-",0,1)</f>
        <v>2019-05</v>
      </c>
      <c r="E1247" cm="1">
        <f t="array" ref="E1247">IF($Q1247&gt;=0,IFERROR(generateSalesData($D1247, IF(ISNUMBER(_xlfn.XLOOKUP($C1247,Phone_by_Sentiment!$B$2:$B$37,Phone_by_Sentiment!E$2:E$37,"",0,1)),_xlfn.XLOOKUP($C1247,Phone_by_Sentiment!$B$2:$B$37,Phone_by_Sentiment!E$2:E$37,"",0,1),0),$A1247-TEXT(DATEVALUE($D1247&amp;"-01"), "dd-mm-yyyy")),0),0)</f>
        <v>229</v>
      </c>
      <c r="F1247" cm="1">
        <f t="array" ref="F1247">IF($Q1247&gt;=0,IFERROR(generateSalesData($D1247, IF(ISNUMBER(_xlfn.XLOOKUP($C1247,Phone_by_Sentiment!$B$2:$B$37,Phone_by_Sentiment!F$2:F$37,"",0,1)),_xlfn.XLOOKUP($C1247,Phone_by_Sentiment!$B$2:$B$37,Phone_by_Sentiment!F$2:F$37,"",0,1),0),$A1247-TEXT(DATEVALUE($D1247&amp;"-01"), "dd-mm-yyyy")),0),0)</f>
        <v>57</v>
      </c>
      <c r="G1247" cm="1">
        <f t="array" ref="G1247">IF($Q1247&gt;=0,IFERROR(generateSalesData($D1247, IF(ISNUMBER(_xlfn.XLOOKUP($C1247,Phone_by_Sentiment!$B$2:$B$37,Phone_by_Sentiment!G$2:G$37,"",0,1)),_xlfn.XLOOKUP($C1247,Phone_by_Sentiment!$B$2:$B$37,Phone_by_Sentiment!G$2:G$37,"",0,1),0),$A1247-TEXT(DATEVALUE($D1247&amp;"-01"), "dd-mm-yyyy")),0),0)</f>
        <v>-28</v>
      </c>
      <c r="H1247" cm="1">
        <f t="array" ref="H1247">IF($Q1247&gt;=0,IFERROR(generateSalesData($D1247, IF(ISNUMBER(_xlfn.XLOOKUP($C1247,Phone_by_Sentiment!$B$2:$B$37,Phone_by_Sentiment!H$2:H$37,"",0,1)),_xlfn.XLOOKUP($C1247,Phone_by_Sentiment!$B$2:$B$37,Phone_by_Sentiment!H$2:H$37,"",0,1),0),$A1247-TEXT(DATEVALUE($D1247&amp;"-01"), "dd-mm-yyyy")),0),0)</f>
        <v>92</v>
      </c>
      <c r="I1247" cm="1">
        <f t="array" ref="I1247">IF($Q1247&gt;=0,IFERROR(generateSalesData($D1247, IF(ISNUMBER(_xlfn.XLOOKUP($C1247,Phone_by_Sentiment!$B$2:$B$37,Phone_by_Sentiment!I$2:I$37,"",0,1)),_xlfn.XLOOKUP($C1247,Phone_by_Sentiment!$B$2:$B$37,Phone_by_Sentiment!I$2:I$37,"",0,1),0),$A1247-TEXT(DATEVALUE($D1247&amp;"-01"), "dd-mm-yyyy")),0),0)</f>
        <v>290</v>
      </c>
      <c r="J1247" cm="1">
        <f t="array" ref="J1247">IF($Q1247&gt;=0,IFERROR(generateSalesData($D1247, IF(ISNUMBER(_xlfn.XLOOKUP($C1247,Phone_by_Sentiment!$B$2:$B$37,Phone_by_Sentiment!J$2:J$37,"",0,1)),_xlfn.XLOOKUP($C1247,Phone_by_Sentiment!$B$2:$B$37,Phone_by_Sentiment!J$2:J$37,"",0,1),0),$A1247-TEXT(DATEVALUE($D1247&amp;"-01"), "dd-mm-yyyy")),0),0)</f>
        <v>71</v>
      </c>
      <c r="K1247" cm="1">
        <f t="array" ref="K1247">IF($Q1247&gt;=0,IFERROR(generateSalesData($D1247, IF(ISNUMBER(_xlfn.XLOOKUP($C1247,Phone_by_Sentiment!$B$2:$B$37,Phone_by_Sentiment!K$2:K$37,"",0,1)),_xlfn.XLOOKUP($C1247,Phone_by_Sentiment!$B$2:$B$37,Phone_by_Sentiment!K$2:K$37,"",0,1),0),$A1247-TEXT(DATEVALUE($D1247&amp;"-01"), "dd-mm-yyyy")),0),0)</f>
        <v>86</v>
      </c>
      <c r="L1247" cm="1">
        <f t="array" ref="L1247">IF($Q1247&gt;=0,IFERROR(generateSalesData($D1247, IF(ISNUMBER(_xlfn.XLOOKUP($C1247,Phone_by_Sentiment!$B$2:$B$37,Phone_by_Sentiment!L$2:L$37,"",0,1)),_xlfn.XLOOKUP($C1247,Phone_by_Sentiment!$B$2:$B$37,Phone_by_Sentiment!L$2:L$37,"",0,1),0),$A1247-TEXT(DATEVALUE($D1247&amp;"-01"), "dd-mm-yyyy")),0),0)</f>
        <v>411</v>
      </c>
      <c r="M1247" cm="1">
        <f t="array" ref="M1247">IF($Q1247&gt;=0,IFERROR(generateSalesData($D1247, IF(ISNUMBER(_xlfn.XLOOKUP($C1247,Phone_by_Sentiment!$B$2:$B$37,Phone_by_Sentiment!M$2:M$37,"",0,1)),_xlfn.XLOOKUP($C1247,Phone_by_Sentiment!$B$2:$B$37,Phone_by_Sentiment!M$2:M$37,"",0,1),0),$A1247-TEXT(DATEVALUE($D1247&amp;"-01"), "dd-mm-yyyy")),0),0)</f>
        <v>27</v>
      </c>
      <c r="N1247" cm="1">
        <f t="array" ref="N1247">IF($Q1247&gt;=0,IFERROR(generateSalesData($D1247, IF(ISNUMBER(_xlfn.XLOOKUP($C1247,Phone_by_Sentiment!$B$2:$B$37,Phone_by_Sentiment!N$2:N$37,"",0,1)),_xlfn.XLOOKUP($C1247,Phone_by_Sentiment!$B$2:$B$37,Phone_by_Sentiment!N$2:N$37,"",0,1),0),$A1247-TEXT(DATEVALUE($D1247&amp;"-01"), "dd-mm-yyyy")),0),0)</f>
        <v>180</v>
      </c>
      <c r="O1247" cm="1">
        <f t="array" ref="O1247">IF($Q1247&gt;=0,IFERROR(generateSalesData($D1247, IF(ISNUMBER(_xlfn.XLOOKUP($C1247,Phone_by_Sentiment!$B$2:$B$37,Phone_by_Sentiment!O$2:O$37,"",0,1)),_xlfn.XLOOKUP($C1247,Phone_by_Sentiment!$B$2:$B$37,Phone_by_Sentiment!O$2:O$37,"",0,1),0),$A1247-TEXT(DATEVALUE($D1247&amp;"-01"), "dd-mm-yyyy")),0),0)</f>
        <v>231</v>
      </c>
      <c r="P1247" s="1">
        <f t="shared" si="51"/>
        <v>43586</v>
      </c>
      <c r="Q1247">
        <f t="shared" si="52"/>
        <v>945</v>
      </c>
    </row>
    <row r="1248" spans="1:17" x14ac:dyDescent="0.25">
      <c r="A1248" s="1">
        <f t="shared" si="48"/>
        <v>44531</v>
      </c>
      <c r="B1248" t="s">
        <v>166</v>
      </c>
      <c r="C1248" t="str">
        <f>_xlfn.XLOOKUP(B1248,Phone_by_Price!$A$2:$A$34,Phone_by_Price!$B$2:$B$34,"-",0,1)</f>
        <v>Xiaomi Redmi Note 7</v>
      </c>
      <c r="D1248" t="str">
        <f>_xlfn.XLOOKUP(C1248,Phone_by_Sentiment!$B$2:$B$37,Phone_by_Sentiment!$A$2:$A$37,"-",0,1)</f>
        <v>2019-08</v>
      </c>
      <c r="E1248" cm="1">
        <f t="array" ref="E1248">IF($Q1248&gt;=0,IFERROR(generateSalesData($D1248, IF(ISNUMBER(_xlfn.XLOOKUP($C1248,Phone_by_Sentiment!$B$2:$B$37,Phone_by_Sentiment!E$2:E$37,"",0,1)),_xlfn.XLOOKUP($C1248,Phone_by_Sentiment!$B$2:$B$37,Phone_by_Sentiment!E$2:E$37,"",0,1),0),$A1248-TEXT(DATEVALUE($D1248&amp;"-01"), "dd-mm-yyyy")),0),0)</f>
        <v>82</v>
      </c>
      <c r="F1248" cm="1">
        <f t="array" ref="F1248">IF($Q1248&gt;=0,IFERROR(generateSalesData($D1248, IF(ISNUMBER(_xlfn.XLOOKUP($C1248,Phone_by_Sentiment!$B$2:$B$37,Phone_by_Sentiment!F$2:F$37,"",0,1)),_xlfn.XLOOKUP($C1248,Phone_by_Sentiment!$B$2:$B$37,Phone_by_Sentiment!F$2:F$37,"",0,1),0),$A1248-TEXT(DATEVALUE($D1248&amp;"-01"), "dd-mm-yyyy")),0),0)</f>
        <v>91</v>
      </c>
      <c r="G1248" cm="1">
        <f t="array" ref="G1248">IF($Q1248&gt;=0,IFERROR(generateSalesData($D1248, IF(ISNUMBER(_xlfn.XLOOKUP($C1248,Phone_by_Sentiment!$B$2:$B$37,Phone_by_Sentiment!G$2:G$37,"",0,1)),_xlfn.XLOOKUP($C1248,Phone_by_Sentiment!$B$2:$B$37,Phone_by_Sentiment!G$2:G$37,"",0,1),0),$A1248-TEXT(DATEVALUE($D1248&amp;"-01"), "dd-mm-yyyy")),0),0)</f>
        <v>78</v>
      </c>
      <c r="H1248" cm="1">
        <f t="array" ref="H1248">IF($Q1248&gt;=0,IFERROR(generateSalesData($D1248, IF(ISNUMBER(_xlfn.XLOOKUP($C1248,Phone_by_Sentiment!$B$2:$B$37,Phone_by_Sentiment!H$2:H$37,"",0,1)),_xlfn.XLOOKUP($C1248,Phone_by_Sentiment!$B$2:$B$37,Phone_by_Sentiment!H$2:H$37,"",0,1),0),$A1248-TEXT(DATEVALUE($D1248&amp;"-01"), "dd-mm-yyyy")),0),0)</f>
        <v>144</v>
      </c>
      <c r="I1248" cm="1">
        <f t="array" ref="I1248">IF($Q1248&gt;=0,IFERROR(generateSalesData($D1248, IF(ISNUMBER(_xlfn.XLOOKUP($C1248,Phone_by_Sentiment!$B$2:$B$37,Phone_by_Sentiment!I$2:I$37,"",0,1)),_xlfn.XLOOKUP($C1248,Phone_by_Sentiment!$B$2:$B$37,Phone_by_Sentiment!I$2:I$37,"",0,1),0),$A1248-TEXT(DATEVALUE($D1248&amp;"-01"), "dd-mm-yyyy")),0),0)</f>
        <v>61</v>
      </c>
      <c r="J1248" cm="1">
        <f t="array" ref="J1248">IF($Q1248&gt;=0,IFERROR(generateSalesData($D1248, IF(ISNUMBER(_xlfn.XLOOKUP($C1248,Phone_by_Sentiment!$B$2:$B$37,Phone_by_Sentiment!J$2:J$37,"",0,1)),_xlfn.XLOOKUP($C1248,Phone_by_Sentiment!$B$2:$B$37,Phone_by_Sentiment!J$2:J$37,"",0,1),0),$A1248-TEXT(DATEVALUE($D1248&amp;"-01"), "dd-mm-yyyy")),0),0)</f>
        <v>14</v>
      </c>
      <c r="K1248" cm="1">
        <f t="array" ref="K1248">IF($Q1248&gt;=0,IFERROR(generateSalesData($D1248, IF(ISNUMBER(_xlfn.XLOOKUP($C1248,Phone_by_Sentiment!$B$2:$B$37,Phone_by_Sentiment!K$2:K$37,"",0,1)),_xlfn.XLOOKUP($C1248,Phone_by_Sentiment!$B$2:$B$37,Phone_by_Sentiment!K$2:K$37,"",0,1),0),$A1248-TEXT(DATEVALUE($D1248&amp;"-01"), "dd-mm-yyyy")),0),0)</f>
        <v>231</v>
      </c>
      <c r="L1248" cm="1">
        <f t="array" ref="L1248">IF($Q1248&gt;=0,IFERROR(generateSalesData($D1248, IF(ISNUMBER(_xlfn.XLOOKUP($C1248,Phone_by_Sentiment!$B$2:$B$37,Phone_by_Sentiment!L$2:L$37,"",0,1)),_xlfn.XLOOKUP($C1248,Phone_by_Sentiment!$B$2:$B$37,Phone_by_Sentiment!L$2:L$37,"",0,1),0),$A1248-TEXT(DATEVALUE($D1248&amp;"-01"), "dd-mm-yyyy")),0),0)</f>
        <v>69</v>
      </c>
      <c r="M1248" cm="1">
        <f t="array" ref="M1248">IF($Q1248&gt;=0,IFERROR(generateSalesData($D1248, IF(ISNUMBER(_xlfn.XLOOKUP($C1248,Phone_by_Sentiment!$B$2:$B$37,Phone_by_Sentiment!M$2:M$37,"",0,1)),_xlfn.XLOOKUP($C1248,Phone_by_Sentiment!$B$2:$B$37,Phone_by_Sentiment!M$2:M$37,"",0,1),0),$A1248-TEXT(DATEVALUE($D1248&amp;"-01"), "dd-mm-yyyy")),0),0)</f>
        <v>333</v>
      </c>
      <c r="N1248" cm="1">
        <f t="array" ref="N1248">IF($Q1248&gt;=0,IFERROR(generateSalesData($D1248, IF(ISNUMBER(_xlfn.XLOOKUP($C1248,Phone_by_Sentiment!$B$2:$B$37,Phone_by_Sentiment!N$2:N$37,"",0,1)),_xlfn.XLOOKUP($C1248,Phone_by_Sentiment!$B$2:$B$37,Phone_by_Sentiment!N$2:N$37,"",0,1),0),$A1248-TEXT(DATEVALUE($D1248&amp;"-01"), "dd-mm-yyyy")),0),0)</f>
        <v>84</v>
      </c>
      <c r="O1248" cm="1">
        <f t="array" ref="O1248">IF($Q1248&gt;=0,IFERROR(generateSalesData($D1248, IF(ISNUMBER(_xlfn.XLOOKUP($C1248,Phone_by_Sentiment!$B$2:$B$37,Phone_by_Sentiment!O$2:O$37,"",0,1)),_xlfn.XLOOKUP($C1248,Phone_by_Sentiment!$B$2:$B$37,Phone_by_Sentiment!O$2:O$37,"",0,1),0),$A1248-TEXT(DATEVALUE($D1248&amp;"-01"), "dd-mm-yyyy")),0),0)</f>
        <v>236</v>
      </c>
      <c r="P1248" s="1">
        <f t="shared" si="51"/>
        <v>43678</v>
      </c>
      <c r="Q1248">
        <f t="shared" si="52"/>
        <v>853</v>
      </c>
    </row>
    <row r="1249" spans="1:17" x14ac:dyDescent="0.25">
      <c r="A1249" s="1">
        <f t="shared" si="48"/>
        <v>44531</v>
      </c>
      <c r="B1249" t="s">
        <v>167</v>
      </c>
      <c r="C1249" t="str">
        <f>_xlfn.XLOOKUP(B1249,Phone_by_Price!$A$2:$A$34,Phone_by_Price!$B$2:$B$34,"-",0,1)</f>
        <v>Realme C21</v>
      </c>
      <c r="D1249" t="str">
        <f>_xlfn.XLOOKUP(C1249,Phone_by_Sentiment!$B$2:$B$37,Phone_by_Sentiment!$A$2:$A$37,"-",0,1)</f>
        <v>2021-04</v>
      </c>
      <c r="E1249" cm="1">
        <f t="array" ref="E1249">IF($Q1249&gt;=0,IFERROR(generateSalesData($D1249, IF(ISNUMBER(_xlfn.XLOOKUP($C1249,Phone_by_Sentiment!$B$2:$B$37,Phone_by_Sentiment!E$2:E$37,"",0,1)),_xlfn.XLOOKUP($C1249,Phone_by_Sentiment!$B$2:$B$37,Phone_by_Sentiment!E$2:E$37,"",0,1),0),$A1249-TEXT(DATEVALUE($D1249&amp;"-01"), "dd-mm-yyyy")),0),0)</f>
        <v>253</v>
      </c>
      <c r="F1249" cm="1">
        <f t="array" ref="F1249">IF($Q1249&gt;=0,IFERROR(generateSalesData($D1249, IF(ISNUMBER(_xlfn.XLOOKUP($C1249,Phone_by_Sentiment!$B$2:$B$37,Phone_by_Sentiment!F$2:F$37,"",0,1)),_xlfn.XLOOKUP($C1249,Phone_by_Sentiment!$B$2:$B$37,Phone_by_Sentiment!F$2:F$37,"",0,1),0),$A1249-TEXT(DATEVALUE($D1249&amp;"-01"), "dd-mm-yyyy")),0),0)</f>
        <v>180</v>
      </c>
      <c r="G1249" cm="1">
        <f t="array" ref="G1249">IF($Q1249&gt;=0,IFERROR(generateSalesData($D1249, IF(ISNUMBER(_xlfn.XLOOKUP($C1249,Phone_by_Sentiment!$B$2:$B$37,Phone_by_Sentiment!G$2:G$37,"",0,1)),_xlfn.XLOOKUP($C1249,Phone_by_Sentiment!$B$2:$B$37,Phone_by_Sentiment!G$2:G$37,"",0,1),0),$A1249-TEXT(DATEVALUE($D1249&amp;"-01"), "dd-mm-yyyy")),0),0)</f>
        <v>407</v>
      </c>
      <c r="H1249" cm="1">
        <f t="array" ref="H1249">IF($Q1249&gt;=0,IFERROR(generateSalesData($D1249, IF(ISNUMBER(_xlfn.XLOOKUP($C1249,Phone_by_Sentiment!$B$2:$B$37,Phone_by_Sentiment!H$2:H$37,"",0,1)),_xlfn.XLOOKUP($C1249,Phone_by_Sentiment!$B$2:$B$37,Phone_by_Sentiment!H$2:H$37,"",0,1),0),$A1249-TEXT(DATEVALUE($D1249&amp;"-01"), "dd-mm-yyyy")),0),0)</f>
        <v>680</v>
      </c>
      <c r="I1249" cm="1">
        <f t="array" ref="I1249">IF($Q1249&gt;=0,IFERROR(generateSalesData($D1249, IF(ISNUMBER(_xlfn.XLOOKUP($C1249,Phone_by_Sentiment!$B$2:$B$37,Phone_by_Sentiment!I$2:I$37,"",0,1)),_xlfn.XLOOKUP($C1249,Phone_by_Sentiment!$B$2:$B$37,Phone_by_Sentiment!I$2:I$37,"",0,1),0),$A1249-TEXT(DATEVALUE($D1249&amp;"-01"), "dd-mm-yyyy")),0),0)</f>
        <v>353</v>
      </c>
      <c r="J1249" cm="1">
        <f t="array" ref="J1249">IF($Q1249&gt;=0,IFERROR(generateSalesData($D1249, IF(ISNUMBER(_xlfn.XLOOKUP($C1249,Phone_by_Sentiment!$B$2:$B$37,Phone_by_Sentiment!J$2:J$37,"",0,1)),_xlfn.XLOOKUP($C1249,Phone_by_Sentiment!$B$2:$B$37,Phone_by_Sentiment!J$2:J$37,"",0,1),0),$A1249-TEXT(DATEVALUE($D1249&amp;"-01"), "dd-mm-yyyy")),0),0)</f>
        <v>240</v>
      </c>
      <c r="K1249" cm="1">
        <f t="array" ref="K1249">IF($Q1249&gt;=0,IFERROR(generateSalesData($D1249, IF(ISNUMBER(_xlfn.XLOOKUP($C1249,Phone_by_Sentiment!$B$2:$B$37,Phone_by_Sentiment!K$2:K$37,"",0,1)),_xlfn.XLOOKUP($C1249,Phone_by_Sentiment!$B$2:$B$37,Phone_by_Sentiment!K$2:K$37,"",0,1),0),$A1249-TEXT(DATEVALUE($D1249&amp;"-01"), "dd-mm-yyyy")),0),0)</f>
        <v>526</v>
      </c>
      <c r="L1249" cm="1">
        <f t="array" ref="L1249">IF($Q1249&gt;=0,IFERROR(generateSalesData($D1249, IF(ISNUMBER(_xlfn.XLOOKUP($C1249,Phone_by_Sentiment!$B$2:$B$37,Phone_by_Sentiment!L$2:L$37,"",0,1)),_xlfn.XLOOKUP($C1249,Phone_by_Sentiment!$B$2:$B$37,Phone_by_Sentiment!L$2:L$37,"",0,1),0),$A1249-TEXT(DATEVALUE($D1249&amp;"-01"), "dd-mm-yyyy")),0),0)</f>
        <v>1380</v>
      </c>
      <c r="M1249" cm="1">
        <f t="array" ref="M1249">IF($Q1249&gt;=0,IFERROR(generateSalesData($D1249, IF(ISNUMBER(_xlfn.XLOOKUP($C1249,Phone_by_Sentiment!$B$2:$B$37,Phone_by_Sentiment!M$2:M$37,"",0,1)),_xlfn.XLOOKUP($C1249,Phone_by_Sentiment!$B$2:$B$37,Phone_by_Sentiment!M$2:M$37,"",0,1),0),$A1249-TEXT(DATEVALUE($D1249&amp;"-01"), "dd-mm-yyyy")),0),0)</f>
        <v>323</v>
      </c>
      <c r="N1249" cm="1">
        <f t="array" ref="N1249">IF($Q1249&gt;=0,IFERROR(generateSalesData($D1249, IF(ISNUMBER(_xlfn.XLOOKUP($C1249,Phone_by_Sentiment!$B$2:$B$37,Phone_by_Sentiment!N$2:N$37,"",0,1)),_xlfn.XLOOKUP($C1249,Phone_by_Sentiment!$B$2:$B$37,Phone_by_Sentiment!N$2:N$37,"",0,1),0),$A1249-TEXT(DATEVALUE($D1249&amp;"-01"), "dd-mm-yyyy")),0),0)</f>
        <v>1067</v>
      </c>
      <c r="O1249" cm="1">
        <f t="array" ref="O1249">IF($Q1249&gt;=0,IFERROR(generateSalesData($D1249, IF(ISNUMBER(_xlfn.XLOOKUP($C1249,Phone_by_Sentiment!$B$2:$B$37,Phone_by_Sentiment!O$2:O$37,"",0,1)),_xlfn.XLOOKUP($C1249,Phone_by_Sentiment!$B$2:$B$37,Phone_by_Sentiment!O$2:O$37,"",0,1),0),$A1249-TEXT(DATEVALUE($D1249&amp;"-01"), "dd-mm-yyyy")),0),0)</f>
        <v>347</v>
      </c>
      <c r="P1249" s="1">
        <f t="shared" si="51"/>
        <v>44287</v>
      </c>
      <c r="Q1249">
        <f t="shared" si="52"/>
        <v>244</v>
      </c>
    </row>
    <row r="1250" spans="1:17" x14ac:dyDescent="0.25">
      <c r="A1250" s="1">
        <f t="shared" si="48"/>
        <v>44531</v>
      </c>
      <c r="B1250" t="s">
        <v>168</v>
      </c>
      <c r="C1250" t="str">
        <f>_xlfn.XLOOKUP(B1250,Phone_by_Price!$A$2:$A$34,Phone_by_Price!$B$2:$B$34,"-",0,1)</f>
        <v>Google Pixel 4</v>
      </c>
      <c r="D1250" t="str">
        <f>_xlfn.XLOOKUP(C1250,Phone_by_Sentiment!$B$2:$B$37,Phone_by_Sentiment!$A$2:$A$37,"-",0,1)</f>
        <v>2019-09</v>
      </c>
      <c r="E1250" cm="1">
        <f t="array" ref="E1250">IF($Q1250&gt;=0,IFERROR(generateSalesData($D1250, IF(ISNUMBER(_xlfn.XLOOKUP($C1250,Phone_by_Sentiment!$B$2:$B$37,Phone_by_Sentiment!E$2:E$37,"",0,1)),_xlfn.XLOOKUP($C1250,Phone_by_Sentiment!$B$2:$B$37,Phone_by_Sentiment!E$2:E$37,"",0,1),0),$A1250-TEXT(DATEVALUE($D1250&amp;"-01"), "dd-mm-yyyy")),0),0)</f>
        <v>260</v>
      </c>
      <c r="F1250" cm="1">
        <f t="array" ref="F1250">IF($Q1250&gt;=0,IFERROR(generateSalesData($D1250, IF(ISNUMBER(_xlfn.XLOOKUP($C1250,Phone_by_Sentiment!$B$2:$B$37,Phone_by_Sentiment!F$2:F$37,"",0,1)),_xlfn.XLOOKUP($C1250,Phone_by_Sentiment!$B$2:$B$37,Phone_by_Sentiment!F$2:F$37,"",0,1),0),$A1250-TEXT(DATEVALUE($D1250&amp;"-01"), "dd-mm-yyyy")),0),0)</f>
        <v>38</v>
      </c>
      <c r="G1250" cm="1">
        <f t="array" ref="G1250">IF($Q1250&gt;=0,IFERROR(generateSalesData($D1250, IF(ISNUMBER(_xlfn.XLOOKUP($C1250,Phone_by_Sentiment!$B$2:$B$37,Phone_by_Sentiment!G$2:G$37,"",0,1)),_xlfn.XLOOKUP($C1250,Phone_by_Sentiment!$B$2:$B$37,Phone_by_Sentiment!G$2:G$37,"",0,1),0),$A1250-TEXT(DATEVALUE($D1250&amp;"-01"), "dd-mm-yyyy")),0),0)</f>
        <v>21</v>
      </c>
      <c r="H1250" cm="1">
        <f t="array" ref="H1250">IF($Q1250&gt;=0,IFERROR(generateSalesData($D1250, IF(ISNUMBER(_xlfn.XLOOKUP($C1250,Phone_by_Sentiment!$B$2:$B$37,Phone_by_Sentiment!H$2:H$37,"",0,1)),_xlfn.XLOOKUP($C1250,Phone_by_Sentiment!$B$2:$B$37,Phone_by_Sentiment!H$2:H$37,"",0,1),0),$A1250-TEXT(DATEVALUE($D1250&amp;"-01"), "dd-mm-yyyy")),0),0)</f>
        <v>71</v>
      </c>
      <c r="I1250" cm="1">
        <f t="array" ref="I1250">IF($Q1250&gt;=0,IFERROR(generateSalesData($D1250, IF(ISNUMBER(_xlfn.XLOOKUP($C1250,Phone_by_Sentiment!$B$2:$B$37,Phone_by_Sentiment!I$2:I$37,"",0,1)),_xlfn.XLOOKUP($C1250,Phone_by_Sentiment!$B$2:$B$37,Phone_by_Sentiment!I$2:I$37,"",0,1),0),$A1250-TEXT(DATEVALUE($D1250&amp;"-01"), "dd-mm-yyyy")),0),0)</f>
        <v>35</v>
      </c>
      <c r="J1250" cm="1">
        <f t="array" ref="J1250">IF($Q1250&gt;=0,IFERROR(generateSalesData($D1250, IF(ISNUMBER(_xlfn.XLOOKUP($C1250,Phone_by_Sentiment!$B$2:$B$37,Phone_by_Sentiment!J$2:J$37,"",0,1)),_xlfn.XLOOKUP($C1250,Phone_by_Sentiment!$B$2:$B$37,Phone_by_Sentiment!J$2:J$37,"",0,1),0),$A1250-TEXT(DATEVALUE($D1250&amp;"-01"), "dd-mm-yyyy")),0),0)</f>
        <v>90</v>
      </c>
      <c r="K1250" cm="1">
        <f t="array" ref="K1250">IF($Q1250&gt;=0,IFERROR(generateSalesData($D1250, IF(ISNUMBER(_xlfn.XLOOKUP($C1250,Phone_by_Sentiment!$B$2:$B$37,Phone_by_Sentiment!K$2:K$37,"",0,1)),_xlfn.XLOOKUP($C1250,Phone_by_Sentiment!$B$2:$B$37,Phone_by_Sentiment!K$2:K$37,"",0,1),0),$A1250-TEXT(DATEVALUE($D1250&amp;"-01"), "dd-mm-yyyy")),0),0)</f>
        <v>37</v>
      </c>
      <c r="L1250" cm="1">
        <f t="array" ref="L1250">IF($Q1250&gt;=0,IFERROR(generateSalesData($D1250, IF(ISNUMBER(_xlfn.XLOOKUP($C1250,Phone_by_Sentiment!$B$2:$B$37,Phone_by_Sentiment!L$2:L$37,"",0,1)),_xlfn.XLOOKUP($C1250,Phone_by_Sentiment!$B$2:$B$37,Phone_by_Sentiment!L$2:L$37,"",0,1),0),$A1250-TEXT(DATEVALUE($D1250&amp;"-01"), "dd-mm-yyyy")),0),0)</f>
        <v>251</v>
      </c>
      <c r="M1250" cm="1">
        <f t="array" ref="M1250">IF($Q1250&gt;=0,IFERROR(generateSalesData($D1250, IF(ISNUMBER(_xlfn.XLOOKUP($C1250,Phone_by_Sentiment!$B$2:$B$37,Phone_by_Sentiment!M$2:M$37,"",0,1)),_xlfn.XLOOKUP($C1250,Phone_by_Sentiment!$B$2:$B$37,Phone_by_Sentiment!M$2:M$37,"",0,1),0),$A1250-TEXT(DATEVALUE($D1250&amp;"-01"), "dd-mm-yyyy")),0),0)</f>
        <v>56</v>
      </c>
      <c r="N1250" cm="1">
        <f t="array" ref="N1250">IF($Q1250&gt;=0,IFERROR(generateSalesData($D1250, IF(ISNUMBER(_xlfn.XLOOKUP($C1250,Phone_by_Sentiment!$B$2:$B$37,Phone_by_Sentiment!N$2:N$37,"",0,1)),_xlfn.XLOOKUP($C1250,Phone_by_Sentiment!$B$2:$B$37,Phone_by_Sentiment!N$2:N$37,"",0,1),0),$A1250-TEXT(DATEVALUE($D1250&amp;"-01"), "dd-mm-yyyy")),0),0)</f>
        <v>367</v>
      </c>
      <c r="O1250" cm="1">
        <f t="array" ref="O1250">IF($Q1250&gt;=0,IFERROR(generateSalesData($D1250, IF(ISNUMBER(_xlfn.XLOOKUP($C1250,Phone_by_Sentiment!$B$2:$B$37,Phone_by_Sentiment!O$2:O$37,"",0,1)),_xlfn.XLOOKUP($C1250,Phone_by_Sentiment!$B$2:$B$37,Phone_by_Sentiment!O$2:O$37,"",0,1),0),$A1250-TEXT(DATEVALUE($D1250&amp;"-01"), "dd-mm-yyyy")),0),0)</f>
        <v>17</v>
      </c>
      <c r="P1250" s="1">
        <f t="shared" si="51"/>
        <v>43709</v>
      </c>
      <c r="Q1250">
        <f t="shared" si="52"/>
        <v>822</v>
      </c>
    </row>
    <row r="1251" spans="1:17" x14ac:dyDescent="0.25">
      <c r="A1251" s="1">
        <f t="shared" si="48"/>
        <v>44531</v>
      </c>
      <c r="B1251" t="s">
        <v>169</v>
      </c>
      <c r="C1251" t="str">
        <f>_xlfn.XLOOKUP(B1251,Phone_by_Price!$A$2:$A$34,Phone_by_Price!$B$2:$B$34,"-",0,1)</f>
        <v>Samsung Galaxy A10s</v>
      </c>
      <c r="D1251" t="str">
        <f>_xlfn.XLOOKUP(C1251,Phone_by_Sentiment!$B$2:$B$37,Phone_by_Sentiment!$A$2:$A$37,"-",0,1)</f>
        <v>2019-08</v>
      </c>
      <c r="E1251" cm="1">
        <f t="array" ref="E1251">IF($Q1251&gt;=0,IFERROR(generateSalesData($D1251, IF(ISNUMBER(_xlfn.XLOOKUP($C1251,Phone_by_Sentiment!$B$2:$B$37,Phone_by_Sentiment!E$2:E$37,"",0,1)),_xlfn.XLOOKUP($C1251,Phone_by_Sentiment!$B$2:$B$37,Phone_by_Sentiment!E$2:E$37,"",0,1),0),$A1251-TEXT(DATEVALUE($D1251&amp;"-01"), "dd-mm-yyyy")),0),0)</f>
        <v>35</v>
      </c>
      <c r="F1251" cm="1">
        <f t="array" ref="F1251">IF($Q1251&gt;=0,IFERROR(generateSalesData($D1251, IF(ISNUMBER(_xlfn.XLOOKUP($C1251,Phone_by_Sentiment!$B$2:$B$37,Phone_by_Sentiment!F$2:F$37,"",0,1)),_xlfn.XLOOKUP($C1251,Phone_by_Sentiment!$B$2:$B$37,Phone_by_Sentiment!F$2:F$37,"",0,1),0),$A1251-TEXT(DATEVALUE($D1251&amp;"-01"), "dd-mm-yyyy")),0),0)</f>
        <v>299</v>
      </c>
      <c r="G1251" cm="1">
        <f t="array" ref="G1251">IF($Q1251&gt;=0,IFERROR(generateSalesData($D1251, IF(ISNUMBER(_xlfn.XLOOKUP($C1251,Phone_by_Sentiment!$B$2:$B$37,Phone_by_Sentiment!G$2:G$37,"",0,1)),_xlfn.XLOOKUP($C1251,Phone_by_Sentiment!$B$2:$B$37,Phone_by_Sentiment!G$2:G$37,"",0,1),0),$A1251-TEXT(DATEVALUE($D1251&amp;"-01"), "dd-mm-yyyy")),0),0)</f>
        <v>-16</v>
      </c>
      <c r="H1251" cm="1">
        <f t="array" ref="H1251">IF($Q1251&gt;=0,IFERROR(generateSalesData($D1251, IF(ISNUMBER(_xlfn.XLOOKUP($C1251,Phone_by_Sentiment!$B$2:$B$37,Phone_by_Sentiment!H$2:H$37,"",0,1)),_xlfn.XLOOKUP($C1251,Phone_by_Sentiment!$B$2:$B$37,Phone_by_Sentiment!H$2:H$37,"",0,1),0),$A1251-TEXT(DATEVALUE($D1251&amp;"-01"), "dd-mm-yyyy")),0),0)</f>
        <v>282</v>
      </c>
      <c r="I1251" cm="1">
        <f t="array" ref="I1251">IF($Q1251&gt;=0,IFERROR(generateSalesData($D1251, IF(ISNUMBER(_xlfn.XLOOKUP($C1251,Phone_by_Sentiment!$B$2:$B$37,Phone_by_Sentiment!I$2:I$37,"",0,1)),_xlfn.XLOOKUP($C1251,Phone_by_Sentiment!$B$2:$B$37,Phone_by_Sentiment!I$2:I$37,"",0,1),0),$A1251-TEXT(DATEVALUE($D1251&amp;"-01"), "dd-mm-yyyy")),0),0)</f>
        <v>185</v>
      </c>
      <c r="J1251" cm="1">
        <f t="array" ref="J1251">IF($Q1251&gt;=0,IFERROR(generateSalesData($D1251, IF(ISNUMBER(_xlfn.XLOOKUP($C1251,Phone_by_Sentiment!$B$2:$B$37,Phone_by_Sentiment!J$2:J$37,"",0,1)),_xlfn.XLOOKUP($C1251,Phone_by_Sentiment!$B$2:$B$37,Phone_by_Sentiment!J$2:J$37,"",0,1),0),$A1251-TEXT(DATEVALUE($D1251&amp;"-01"), "dd-mm-yyyy")),0),0)</f>
        <v>259</v>
      </c>
      <c r="K1251" cm="1">
        <f t="array" ref="K1251">IF($Q1251&gt;=0,IFERROR(generateSalesData($D1251, IF(ISNUMBER(_xlfn.XLOOKUP($C1251,Phone_by_Sentiment!$B$2:$B$37,Phone_by_Sentiment!K$2:K$37,"",0,1)),_xlfn.XLOOKUP($C1251,Phone_by_Sentiment!$B$2:$B$37,Phone_by_Sentiment!K$2:K$37,"",0,1),0),$A1251-TEXT(DATEVALUE($D1251&amp;"-01"), "dd-mm-yyyy")),0),0)</f>
        <v>165</v>
      </c>
      <c r="L1251" cm="1">
        <f t="array" ref="L1251">IF($Q1251&gt;=0,IFERROR(generateSalesData($D1251, IF(ISNUMBER(_xlfn.XLOOKUP($C1251,Phone_by_Sentiment!$B$2:$B$37,Phone_by_Sentiment!L$2:L$37,"",0,1)),_xlfn.XLOOKUP($C1251,Phone_by_Sentiment!$B$2:$B$37,Phone_by_Sentiment!L$2:L$37,"",0,1),0),$A1251-TEXT(DATEVALUE($D1251&amp;"-01"), "dd-mm-yyyy")),0),0)</f>
        <v>59</v>
      </c>
      <c r="M1251" cm="1">
        <f t="array" ref="M1251">IF($Q1251&gt;=0,IFERROR(generateSalesData($D1251, IF(ISNUMBER(_xlfn.XLOOKUP($C1251,Phone_by_Sentiment!$B$2:$B$37,Phone_by_Sentiment!M$2:M$37,"",0,1)),_xlfn.XLOOKUP($C1251,Phone_by_Sentiment!$B$2:$B$37,Phone_by_Sentiment!M$2:M$37,"",0,1),0),$A1251-TEXT(DATEVALUE($D1251&amp;"-01"), "dd-mm-yyyy")),0),0)</f>
        <v>380</v>
      </c>
      <c r="N1251" cm="1">
        <f t="array" ref="N1251">IF($Q1251&gt;=0,IFERROR(generateSalesData($D1251, IF(ISNUMBER(_xlfn.XLOOKUP($C1251,Phone_by_Sentiment!$B$2:$B$37,Phone_by_Sentiment!N$2:N$37,"",0,1)),_xlfn.XLOOKUP($C1251,Phone_by_Sentiment!$B$2:$B$37,Phone_by_Sentiment!N$2:N$37,"",0,1),0),$A1251-TEXT(DATEVALUE($D1251&amp;"-01"), "dd-mm-yyyy")),0),0)</f>
        <v>42</v>
      </c>
      <c r="O1251" cm="1">
        <f t="array" ref="O1251">IF($Q1251&gt;=0,IFERROR(generateSalesData($D1251, IF(ISNUMBER(_xlfn.XLOOKUP($C1251,Phone_by_Sentiment!$B$2:$B$37,Phone_by_Sentiment!O$2:O$37,"",0,1)),_xlfn.XLOOKUP($C1251,Phone_by_Sentiment!$B$2:$B$37,Phone_by_Sentiment!O$2:O$37,"",0,1),0),$A1251-TEXT(DATEVALUE($D1251&amp;"-01"), "dd-mm-yyyy")),0),0)</f>
        <v>260</v>
      </c>
      <c r="P1251" s="1">
        <f t="shared" si="51"/>
        <v>43678</v>
      </c>
      <c r="Q1251">
        <f t="shared" si="52"/>
        <v>853</v>
      </c>
    </row>
    <row r="1252" spans="1:17" x14ac:dyDescent="0.25">
      <c r="A1252" s="1">
        <f t="shared" si="48"/>
        <v>44531</v>
      </c>
      <c r="B1252" t="s">
        <v>170</v>
      </c>
      <c r="C1252" t="str">
        <f>_xlfn.XLOOKUP(B1252,Phone_by_Price!$A$2:$A$34,Phone_by_Price!$B$2:$B$34,"-",0,1)</f>
        <v>Realme Narzo 30A</v>
      </c>
      <c r="D1252" t="str">
        <f>_xlfn.XLOOKUP(C1252,Phone_by_Sentiment!$B$2:$B$37,Phone_by_Sentiment!$A$2:$A$37,"-",0,1)</f>
        <v>2021-02</v>
      </c>
      <c r="E1252" cm="1">
        <f t="array" ref="E1252">IF($Q1252&gt;=0,IFERROR(generateSalesData($D1252, IF(ISNUMBER(_xlfn.XLOOKUP($C1252,Phone_by_Sentiment!$B$2:$B$37,Phone_by_Sentiment!E$2:E$37,"",0,1)),_xlfn.XLOOKUP($C1252,Phone_by_Sentiment!$B$2:$B$37,Phone_by_Sentiment!E$2:E$37,"",0,1),0),$A1252-TEXT(DATEVALUE($D1252&amp;"-01"), "dd-mm-yyyy")),0),0)</f>
        <v>81</v>
      </c>
      <c r="F1252" cm="1">
        <f t="array" ref="F1252">IF($Q1252&gt;=0,IFERROR(generateSalesData($D1252, IF(ISNUMBER(_xlfn.XLOOKUP($C1252,Phone_by_Sentiment!$B$2:$B$37,Phone_by_Sentiment!F$2:F$37,"",0,1)),_xlfn.XLOOKUP($C1252,Phone_by_Sentiment!$B$2:$B$37,Phone_by_Sentiment!F$2:F$37,"",0,1),0),$A1252-TEXT(DATEVALUE($D1252&amp;"-01"), "dd-mm-yyyy")),0),0)</f>
        <v>154</v>
      </c>
      <c r="G1252" cm="1">
        <f t="array" ref="G1252">IF($Q1252&gt;=0,IFERROR(generateSalesData($D1252, IF(ISNUMBER(_xlfn.XLOOKUP($C1252,Phone_by_Sentiment!$B$2:$B$37,Phone_by_Sentiment!G$2:G$37,"",0,1)),_xlfn.XLOOKUP($C1252,Phone_by_Sentiment!$B$2:$B$37,Phone_by_Sentiment!G$2:G$37,"",0,1),0),$A1252-TEXT(DATEVALUE($D1252&amp;"-01"), "dd-mm-yyyy")),0),0)</f>
        <v>324</v>
      </c>
      <c r="H1252" cm="1">
        <f t="array" ref="H1252">IF($Q1252&gt;=0,IFERROR(generateSalesData($D1252, IF(ISNUMBER(_xlfn.XLOOKUP($C1252,Phone_by_Sentiment!$B$2:$B$37,Phone_by_Sentiment!H$2:H$37,"",0,1)),_xlfn.XLOOKUP($C1252,Phone_by_Sentiment!$B$2:$B$37,Phone_by_Sentiment!H$2:H$37,"",0,1),0),$A1252-TEXT(DATEVALUE($D1252&amp;"-01"), "dd-mm-yyyy")),0),0)</f>
        <v>171</v>
      </c>
      <c r="I1252" cm="1">
        <f t="array" ref="I1252">IF($Q1252&gt;=0,IFERROR(generateSalesData($D1252, IF(ISNUMBER(_xlfn.XLOOKUP($C1252,Phone_by_Sentiment!$B$2:$B$37,Phone_by_Sentiment!I$2:I$37,"",0,1)),_xlfn.XLOOKUP($C1252,Phone_by_Sentiment!$B$2:$B$37,Phone_by_Sentiment!I$2:I$37,"",0,1),0),$A1252-TEXT(DATEVALUE($D1252&amp;"-01"), "dd-mm-yyyy")),0),0)</f>
        <v>1203</v>
      </c>
      <c r="J1252" cm="1">
        <f t="array" ref="J1252">IF($Q1252&gt;=0,IFERROR(generateSalesData($D1252, IF(ISNUMBER(_xlfn.XLOOKUP($C1252,Phone_by_Sentiment!$B$2:$B$37,Phone_by_Sentiment!J$2:J$37,"",0,1)),_xlfn.XLOOKUP($C1252,Phone_by_Sentiment!$B$2:$B$37,Phone_by_Sentiment!J$2:J$37,"",0,1),0),$A1252-TEXT(DATEVALUE($D1252&amp;"-01"), "dd-mm-yyyy")),0),0)</f>
        <v>340</v>
      </c>
      <c r="K1252" cm="1">
        <f t="array" ref="K1252">IF($Q1252&gt;=0,IFERROR(generateSalesData($D1252, IF(ISNUMBER(_xlfn.XLOOKUP($C1252,Phone_by_Sentiment!$B$2:$B$37,Phone_by_Sentiment!K$2:K$37,"",0,1)),_xlfn.XLOOKUP($C1252,Phone_by_Sentiment!$B$2:$B$37,Phone_by_Sentiment!K$2:K$37,"",0,1),0),$A1252-TEXT(DATEVALUE($D1252&amp;"-01"), "dd-mm-yyyy")),0),0)</f>
        <v>372</v>
      </c>
      <c r="L1252" cm="1">
        <f t="array" ref="L1252">IF($Q1252&gt;=0,IFERROR(generateSalesData($D1252, IF(ISNUMBER(_xlfn.XLOOKUP($C1252,Phone_by_Sentiment!$B$2:$B$37,Phone_by_Sentiment!L$2:L$37,"",0,1)),_xlfn.XLOOKUP($C1252,Phone_by_Sentiment!$B$2:$B$37,Phone_by_Sentiment!L$2:L$37,"",0,1),0),$A1252-TEXT(DATEVALUE($D1252&amp;"-01"), "dd-mm-yyyy")),0),0)</f>
        <v>63</v>
      </c>
      <c r="M1252" cm="1">
        <f t="array" ref="M1252">IF($Q1252&gt;=0,IFERROR(generateSalesData($D1252, IF(ISNUMBER(_xlfn.XLOOKUP($C1252,Phone_by_Sentiment!$B$2:$B$37,Phone_by_Sentiment!M$2:M$37,"",0,1)),_xlfn.XLOOKUP($C1252,Phone_by_Sentiment!$B$2:$B$37,Phone_by_Sentiment!M$2:M$37,"",0,1),0),$A1252-TEXT(DATEVALUE($D1252&amp;"-01"), "dd-mm-yyyy")),0),0)</f>
        <v>336</v>
      </c>
      <c r="N1252" cm="1">
        <f t="array" ref="N1252">IF($Q1252&gt;=0,IFERROR(generateSalesData($D1252, IF(ISNUMBER(_xlfn.XLOOKUP($C1252,Phone_by_Sentiment!$B$2:$B$37,Phone_by_Sentiment!N$2:N$37,"",0,1)),_xlfn.XLOOKUP($C1252,Phone_by_Sentiment!$B$2:$B$37,Phone_by_Sentiment!N$2:N$37,"",0,1),0),$A1252-TEXT(DATEVALUE($D1252&amp;"-01"), "dd-mm-yyyy")),0),0)</f>
        <v>484</v>
      </c>
      <c r="O1252" cm="1">
        <f t="array" ref="O1252">IF($Q1252&gt;=0,IFERROR(generateSalesData($D1252, IF(ISNUMBER(_xlfn.XLOOKUP($C1252,Phone_by_Sentiment!$B$2:$B$37,Phone_by_Sentiment!O$2:O$37,"",0,1)),_xlfn.XLOOKUP($C1252,Phone_by_Sentiment!$B$2:$B$37,Phone_by_Sentiment!O$2:O$37,"",0,1),0),$A1252-TEXT(DATEVALUE($D1252&amp;"-01"), "dd-mm-yyyy")),0),0)</f>
        <v>211</v>
      </c>
      <c r="P1252" s="1">
        <f t="shared" si="51"/>
        <v>44228</v>
      </c>
      <c r="Q1252">
        <f t="shared" si="52"/>
        <v>303</v>
      </c>
    </row>
    <row r="1253" spans="1:17" x14ac:dyDescent="0.25">
      <c r="A1253" s="1">
        <f t="shared" si="48"/>
        <v>44531</v>
      </c>
      <c r="B1253" t="s">
        <v>171</v>
      </c>
      <c r="C1253" t="str">
        <f>_xlfn.XLOOKUP(B1253,Phone_by_Price!$A$2:$A$34,Phone_by_Price!$B$2:$B$34,"-",0,1)</f>
        <v>Samsung Galaxy A22 5G</v>
      </c>
      <c r="D1253" t="str">
        <f>_xlfn.XLOOKUP(C1253,Phone_by_Sentiment!$B$2:$B$37,Phone_by_Sentiment!$A$2:$A$37,"-",0,1)</f>
        <v>2021-05</v>
      </c>
      <c r="E1253" cm="1">
        <f t="array" ref="E1253">IF($Q1253&gt;=0,IFERROR(generateSalesData($D1253, IF(ISNUMBER(_xlfn.XLOOKUP($C1253,Phone_by_Sentiment!$B$2:$B$37,Phone_by_Sentiment!E$2:E$37,"",0,1)),_xlfn.XLOOKUP($C1253,Phone_by_Sentiment!$B$2:$B$37,Phone_by_Sentiment!E$2:E$37,"",0,1),0),$A1253-TEXT(DATEVALUE($D1253&amp;"-01"), "dd-mm-yyyy")),0),0)</f>
        <v>577</v>
      </c>
      <c r="F1253" cm="1">
        <f t="array" ref="F1253">IF($Q1253&gt;=0,IFERROR(generateSalesData($D1253, IF(ISNUMBER(_xlfn.XLOOKUP($C1253,Phone_by_Sentiment!$B$2:$B$37,Phone_by_Sentiment!F$2:F$37,"",0,1)),_xlfn.XLOOKUP($C1253,Phone_by_Sentiment!$B$2:$B$37,Phone_by_Sentiment!F$2:F$37,"",0,1),0),$A1253-TEXT(DATEVALUE($D1253&amp;"-01"), "dd-mm-yyyy")),0),0)</f>
        <v>7</v>
      </c>
      <c r="G1253" cm="1">
        <f t="array" ref="G1253">IF($Q1253&gt;=0,IFERROR(generateSalesData($D1253, IF(ISNUMBER(_xlfn.XLOOKUP($C1253,Phone_by_Sentiment!$B$2:$B$37,Phone_by_Sentiment!G$2:G$37,"",0,1)),_xlfn.XLOOKUP($C1253,Phone_by_Sentiment!$B$2:$B$37,Phone_by_Sentiment!G$2:G$37,"",0,1),0),$A1253-TEXT(DATEVALUE($D1253&amp;"-01"), "dd-mm-yyyy")),0),0)</f>
        <v>173</v>
      </c>
      <c r="H1253" cm="1">
        <f t="array" ref="H1253">IF($Q1253&gt;=0,IFERROR(generateSalesData($D1253, IF(ISNUMBER(_xlfn.XLOOKUP($C1253,Phone_by_Sentiment!$B$2:$B$37,Phone_by_Sentiment!H$2:H$37,"",0,1)),_xlfn.XLOOKUP($C1253,Phone_by_Sentiment!$B$2:$B$37,Phone_by_Sentiment!H$2:H$37,"",0,1),0),$A1253-TEXT(DATEVALUE($D1253&amp;"-01"), "dd-mm-yyyy")),0),0)</f>
        <v>889</v>
      </c>
      <c r="I1253" cm="1">
        <f t="array" ref="I1253">IF($Q1253&gt;=0,IFERROR(generateSalesData($D1253, IF(ISNUMBER(_xlfn.XLOOKUP($C1253,Phone_by_Sentiment!$B$2:$B$37,Phone_by_Sentiment!I$2:I$37,"",0,1)),_xlfn.XLOOKUP($C1253,Phone_by_Sentiment!$B$2:$B$37,Phone_by_Sentiment!I$2:I$37,"",0,1),0),$A1253-TEXT(DATEVALUE($D1253&amp;"-01"), "dd-mm-yyyy")),0),0)</f>
        <v>521</v>
      </c>
      <c r="J1253" cm="1">
        <f t="array" ref="J1253">IF($Q1253&gt;=0,IFERROR(generateSalesData($D1253, IF(ISNUMBER(_xlfn.XLOOKUP($C1253,Phone_by_Sentiment!$B$2:$B$37,Phone_by_Sentiment!J$2:J$37,"",0,1)),_xlfn.XLOOKUP($C1253,Phone_by_Sentiment!$B$2:$B$37,Phone_by_Sentiment!J$2:J$37,"",0,1),0),$A1253-TEXT(DATEVALUE($D1253&amp;"-01"), "dd-mm-yyyy")),0),0)</f>
        <v>1482</v>
      </c>
      <c r="K1253" cm="1">
        <f t="array" ref="K1253">IF($Q1253&gt;=0,IFERROR(generateSalesData($D1253, IF(ISNUMBER(_xlfn.XLOOKUP($C1253,Phone_by_Sentiment!$B$2:$B$37,Phone_by_Sentiment!K$2:K$37,"",0,1)),_xlfn.XLOOKUP($C1253,Phone_by_Sentiment!$B$2:$B$37,Phone_by_Sentiment!K$2:K$37,"",0,1),0),$A1253-TEXT(DATEVALUE($D1253&amp;"-01"), "dd-mm-yyyy")),0),0)</f>
        <v>1366</v>
      </c>
      <c r="L1253" cm="1">
        <f t="array" ref="L1253">IF($Q1253&gt;=0,IFERROR(generateSalesData($D1253, IF(ISNUMBER(_xlfn.XLOOKUP($C1253,Phone_by_Sentiment!$B$2:$B$37,Phone_by_Sentiment!L$2:L$37,"",0,1)),_xlfn.XLOOKUP($C1253,Phone_by_Sentiment!$B$2:$B$37,Phone_by_Sentiment!L$2:L$37,"",0,1),0),$A1253-TEXT(DATEVALUE($D1253&amp;"-01"), "dd-mm-yyyy")),0),0)</f>
        <v>799</v>
      </c>
      <c r="M1253" cm="1">
        <f t="array" ref="M1253">IF($Q1253&gt;=0,IFERROR(generateSalesData($D1253, IF(ISNUMBER(_xlfn.XLOOKUP($C1253,Phone_by_Sentiment!$B$2:$B$37,Phone_by_Sentiment!M$2:M$37,"",0,1)),_xlfn.XLOOKUP($C1253,Phone_by_Sentiment!$B$2:$B$37,Phone_by_Sentiment!M$2:M$37,"",0,1),0),$A1253-TEXT(DATEVALUE($D1253&amp;"-01"), "dd-mm-yyyy")),0),0)</f>
        <v>1212</v>
      </c>
      <c r="N1253" cm="1">
        <f t="array" ref="N1253">IF($Q1253&gt;=0,IFERROR(generateSalesData($D1253, IF(ISNUMBER(_xlfn.XLOOKUP($C1253,Phone_by_Sentiment!$B$2:$B$37,Phone_by_Sentiment!N$2:N$37,"",0,1)),_xlfn.XLOOKUP($C1253,Phone_by_Sentiment!$B$2:$B$37,Phone_by_Sentiment!N$2:N$37,"",0,1),0),$A1253-TEXT(DATEVALUE($D1253&amp;"-01"), "dd-mm-yyyy")),0),0)</f>
        <v>1181</v>
      </c>
      <c r="O1253" cm="1">
        <f t="array" ref="O1253">IF($Q1253&gt;=0,IFERROR(generateSalesData($D1253, IF(ISNUMBER(_xlfn.XLOOKUP($C1253,Phone_by_Sentiment!$B$2:$B$37,Phone_by_Sentiment!O$2:O$37,"",0,1)),_xlfn.XLOOKUP($C1253,Phone_by_Sentiment!$B$2:$B$37,Phone_by_Sentiment!O$2:O$37,"",0,1),0),$A1253-TEXT(DATEVALUE($D1253&amp;"-01"), "dd-mm-yyyy")),0),0)</f>
        <v>1435</v>
      </c>
      <c r="P1253" s="1">
        <f t="shared" si="51"/>
        <v>44317</v>
      </c>
      <c r="Q1253">
        <f t="shared" si="52"/>
        <v>214</v>
      </c>
    </row>
    <row r="1254" spans="1:17" x14ac:dyDescent="0.25">
      <c r="A1254" s="1">
        <f t="shared" si="48"/>
        <v>44531</v>
      </c>
      <c r="B1254" t="s">
        <v>172</v>
      </c>
      <c r="C1254" t="str">
        <f>_xlfn.XLOOKUP(B1254,Phone_by_Price!$A$2:$A$34,Phone_by_Price!$B$2:$B$34,"-",0,1)</f>
        <v>Xiaomi Redmi 9</v>
      </c>
      <c r="D1254" t="str">
        <f>_xlfn.XLOOKUP(C1254,Phone_by_Sentiment!$B$2:$B$37,Phone_by_Sentiment!$A$2:$A$37,"-",0,1)</f>
        <v>2020-08</v>
      </c>
      <c r="E1254" cm="1">
        <f t="array" ref="E1254">IF($Q1254&gt;=0,IFERROR(generateSalesData($D1254, IF(ISNUMBER(_xlfn.XLOOKUP($C1254,Phone_by_Sentiment!$B$2:$B$37,Phone_by_Sentiment!E$2:E$37,"",0,1)),_xlfn.XLOOKUP($C1254,Phone_by_Sentiment!$B$2:$B$37,Phone_by_Sentiment!E$2:E$37,"",0,1),0),$A1254-TEXT(DATEVALUE($D1254&amp;"-01"), "dd-mm-yyyy")),0),0)</f>
        <v>163</v>
      </c>
      <c r="F1254" cm="1">
        <f t="array" ref="F1254">IF($Q1254&gt;=0,IFERROR(generateSalesData($D1254, IF(ISNUMBER(_xlfn.XLOOKUP($C1254,Phone_by_Sentiment!$B$2:$B$37,Phone_by_Sentiment!F$2:F$37,"",0,1)),_xlfn.XLOOKUP($C1254,Phone_by_Sentiment!$B$2:$B$37,Phone_by_Sentiment!F$2:F$37,"",0,1),0),$A1254-TEXT(DATEVALUE($D1254&amp;"-01"), "dd-mm-yyyy")),0),0)</f>
        <v>2</v>
      </c>
      <c r="G1254" cm="1">
        <f t="array" ref="G1254">IF($Q1254&gt;=0,IFERROR(generateSalesData($D1254, IF(ISNUMBER(_xlfn.XLOOKUP($C1254,Phone_by_Sentiment!$B$2:$B$37,Phone_by_Sentiment!G$2:G$37,"",0,1)),_xlfn.XLOOKUP($C1254,Phone_by_Sentiment!$B$2:$B$37,Phone_by_Sentiment!G$2:G$37,"",0,1),0),$A1254-TEXT(DATEVALUE($D1254&amp;"-01"), "dd-mm-yyyy")),0),0)</f>
        <v>84</v>
      </c>
      <c r="H1254" cm="1">
        <f t="array" ref="H1254">IF($Q1254&gt;=0,IFERROR(generateSalesData($D1254, IF(ISNUMBER(_xlfn.XLOOKUP($C1254,Phone_by_Sentiment!$B$2:$B$37,Phone_by_Sentiment!H$2:H$37,"",0,1)),_xlfn.XLOOKUP($C1254,Phone_by_Sentiment!$B$2:$B$37,Phone_by_Sentiment!H$2:H$37,"",0,1),0),$A1254-TEXT(DATEVALUE($D1254&amp;"-01"), "dd-mm-yyyy")),0),0)</f>
        <v>465</v>
      </c>
      <c r="I1254" cm="1">
        <f t="array" ref="I1254">IF($Q1254&gt;=0,IFERROR(generateSalesData($D1254, IF(ISNUMBER(_xlfn.XLOOKUP($C1254,Phone_by_Sentiment!$B$2:$B$37,Phone_by_Sentiment!I$2:I$37,"",0,1)),_xlfn.XLOOKUP($C1254,Phone_by_Sentiment!$B$2:$B$37,Phone_by_Sentiment!I$2:I$37,"",0,1),0),$A1254-TEXT(DATEVALUE($D1254&amp;"-01"), "dd-mm-yyyy")),0),0)</f>
        <v>108</v>
      </c>
      <c r="J1254" cm="1">
        <f t="array" ref="J1254">IF($Q1254&gt;=0,IFERROR(generateSalesData($D1254, IF(ISNUMBER(_xlfn.XLOOKUP($C1254,Phone_by_Sentiment!$B$2:$B$37,Phone_by_Sentiment!J$2:J$37,"",0,1)),_xlfn.XLOOKUP($C1254,Phone_by_Sentiment!$B$2:$B$37,Phone_by_Sentiment!J$2:J$37,"",0,1),0),$A1254-TEXT(DATEVALUE($D1254&amp;"-01"), "dd-mm-yyyy")),0),0)</f>
        <v>159</v>
      </c>
      <c r="K1254" cm="1">
        <f t="array" ref="K1254">IF($Q1254&gt;=0,IFERROR(generateSalesData($D1254, IF(ISNUMBER(_xlfn.XLOOKUP($C1254,Phone_by_Sentiment!$B$2:$B$37,Phone_by_Sentiment!K$2:K$37,"",0,1)),_xlfn.XLOOKUP($C1254,Phone_by_Sentiment!$B$2:$B$37,Phone_by_Sentiment!K$2:K$37,"",0,1),0),$A1254-TEXT(DATEVALUE($D1254&amp;"-01"), "dd-mm-yyyy")),0),0)</f>
        <v>378</v>
      </c>
      <c r="L1254" cm="1">
        <f t="array" ref="L1254">IF($Q1254&gt;=0,IFERROR(generateSalesData($D1254, IF(ISNUMBER(_xlfn.XLOOKUP($C1254,Phone_by_Sentiment!$B$2:$B$37,Phone_by_Sentiment!L$2:L$37,"",0,1)),_xlfn.XLOOKUP($C1254,Phone_by_Sentiment!$B$2:$B$37,Phone_by_Sentiment!L$2:L$37,"",0,1),0),$A1254-TEXT(DATEVALUE($D1254&amp;"-01"), "dd-mm-yyyy")),0),0)</f>
        <v>53</v>
      </c>
      <c r="M1254" cm="1">
        <f t="array" ref="M1254">IF($Q1254&gt;=0,IFERROR(generateSalesData($D1254, IF(ISNUMBER(_xlfn.XLOOKUP($C1254,Phone_by_Sentiment!$B$2:$B$37,Phone_by_Sentiment!M$2:M$37,"",0,1)),_xlfn.XLOOKUP($C1254,Phone_by_Sentiment!$B$2:$B$37,Phone_by_Sentiment!M$2:M$37,"",0,1),0),$A1254-TEXT(DATEVALUE($D1254&amp;"-01"), "dd-mm-yyyy")),0),0)</f>
        <v>636</v>
      </c>
      <c r="N1254" cm="1">
        <f t="array" ref="N1254">IF($Q1254&gt;=0,IFERROR(generateSalesData($D1254, IF(ISNUMBER(_xlfn.XLOOKUP($C1254,Phone_by_Sentiment!$B$2:$B$37,Phone_by_Sentiment!N$2:N$37,"",0,1)),_xlfn.XLOOKUP($C1254,Phone_by_Sentiment!$B$2:$B$37,Phone_by_Sentiment!N$2:N$37,"",0,1),0),$A1254-TEXT(DATEVALUE($D1254&amp;"-01"), "dd-mm-yyyy")),0),0)</f>
        <v>131</v>
      </c>
      <c r="O1254" cm="1">
        <f t="array" ref="O1254">IF($Q1254&gt;=0,IFERROR(generateSalesData($D1254, IF(ISNUMBER(_xlfn.XLOOKUP($C1254,Phone_by_Sentiment!$B$2:$B$37,Phone_by_Sentiment!O$2:O$37,"",0,1)),_xlfn.XLOOKUP($C1254,Phone_by_Sentiment!$B$2:$B$37,Phone_by_Sentiment!O$2:O$37,"",0,1),0),$A1254-TEXT(DATEVALUE($D1254&amp;"-01"), "dd-mm-yyyy")),0),0)</f>
        <v>324</v>
      </c>
      <c r="P1254" s="1">
        <f t="shared" si="51"/>
        <v>44044</v>
      </c>
      <c r="Q1254">
        <f t="shared" si="52"/>
        <v>487</v>
      </c>
    </row>
    <row r="1255" spans="1:17" x14ac:dyDescent="0.25">
      <c r="A1255" s="1">
        <f t="shared" si="48"/>
        <v>44531</v>
      </c>
      <c r="B1255" t="s">
        <v>173</v>
      </c>
      <c r="C1255" t="str">
        <f>_xlfn.XLOOKUP(B1255,Phone_by_Price!$A$2:$A$34,Phone_by_Price!$B$2:$B$34,"-",0,1)</f>
        <v>Realme C3</v>
      </c>
      <c r="D1255" t="str">
        <f>_xlfn.XLOOKUP(C1255,Phone_by_Sentiment!$B$2:$B$37,Phone_by_Sentiment!$A$2:$A$37,"-",0,1)</f>
        <v>2020-02</v>
      </c>
      <c r="E1255" cm="1">
        <f t="array" ref="E1255">IF($Q1255&gt;=0,IFERROR(generateSalesData($D1255, IF(ISNUMBER(_xlfn.XLOOKUP($C1255,Phone_by_Sentiment!$B$2:$B$37,Phone_by_Sentiment!E$2:E$37,"",0,1)),_xlfn.XLOOKUP($C1255,Phone_by_Sentiment!$B$2:$B$37,Phone_by_Sentiment!E$2:E$37,"",0,1),0),$A1255-TEXT(DATEVALUE($D1255&amp;"-01"), "dd-mm-yyyy")),0),0)</f>
        <v>98</v>
      </c>
      <c r="F1255" cm="1">
        <f t="array" ref="F1255">IF($Q1255&gt;=0,IFERROR(generateSalesData($D1255, IF(ISNUMBER(_xlfn.XLOOKUP($C1255,Phone_by_Sentiment!$B$2:$B$37,Phone_by_Sentiment!F$2:F$37,"",0,1)),_xlfn.XLOOKUP($C1255,Phone_by_Sentiment!$B$2:$B$37,Phone_by_Sentiment!F$2:F$37,"",0,1),0),$A1255-TEXT(DATEVALUE($D1255&amp;"-01"), "dd-mm-yyyy")),0),0)</f>
        <v>16</v>
      </c>
      <c r="G1255" cm="1">
        <f t="array" ref="G1255">IF($Q1255&gt;=0,IFERROR(generateSalesData($D1255, IF(ISNUMBER(_xlfn.XLOOKUP($C1255,Phone_by_Sentiment!$B$2:$B$37,Phone_by_Sentiment!G$2:G$37,"",0,1)),_xlfn.XLOOKUP($C1255,Phone_by_Sentiment!$B$2:$B$37,Phone_by_Sentiment!G$2:G$37,"",0,1),0),$A1255-TEXT(DATEVALUE($D1255&amp;"-01"), "dd-mm-yyyy")),0),0)</f>
        <v>96</v>
      </c>
      <c r="H1255" cm="1">
        <f t="array" ref="H1255">IF($Q1255&gt;=0,IFERROR(generateSalesData($D1255, IF(ISNUMBER(_xlfn.XLOOKUP($C1255,Phone_by_Sentiment!$B$2:$B$37,Phone_by_Sentiment!H$2:H$37,"",0,1)),_xlfn.XLOOKUP($C1255,Phone_by_Sentiment!$B$2:$B$37,Phone_by_Sentiment!H$2:H$37,"",0,1),0),$A1255-TEXT(DATEVALUE($D1255&amp;"-01"), "dd-mm-yyyy")),0),0)</f>
        <v>536</v>
      </c>
      <c r="I1255" cm="1">
        <f t="array" ref="I1255">IF($Q1255&gt;=0,IFERROR(generateSalesData($D1255, IF(ISNUMBER(_xlfn.XLOOKUP($C1255,Phone_by_Sentiment!$B$2:$B$37,Phone_by_Sentiment!I$2:I$37,"",0,1)),_xlfn.XLOOKUP($C1255,Phone_by_Sentiment!$B$2:$B$37,Phone_by_Sentiment!I$2:I$37,"",0,1),0),$A1255-TEXT(DATEVALUE($D1255&amp;"-01"), "dd-mm-yyyy")),0),0)</f>
        <v>291</v>
      </c>
      <c r="J1255" cm="1">
        <f t="array" ref="J1255">IF($Q1255&gt;=0,IFERROR(generateSalesData($D1255, IF(ISNUMBER(_xlfn.XLOOKUP($C1255,Phone_by_Sentiment!$B$2:$B$37,Phone_by_Sentiment!J$2:J$37,"",0,1)),_xlfn.XLOOKUP($C1255,Phone_by_Sentiment!$B$2:$B$37,Phone_by_Sentiment!J$2:J$37,"",0,1),0),$A1255-TEXT(DATEVALUE($D1255&amp;"-01"), "dd-mm-yyyy")),0),0)</f>
        <v>97</v>
      </c>
      <c r="K1255" cm="1">
        <f t="array" ref="K1255">IF($Q1255&gt;=0,IFERROR(generateSalesData($D1255, IF(ISNUMBER(_xlfn.XLOOKUP($C1255,Phone_by_Sentiment!$B$2:$B$37,Phone_by_Sentiment!K$2:K$37,"",0,1)),_xlfn.XLOOKUP($C1255,Phone_by_Sentiment!$B$2:$B$37,Phone_by_Sentiment!K$2:K$37,"",0,1),0),$A1255-TEXT(DATEVALUE($D1255&amp;"-01"), "dd-mm-yyyy")),0),0)</f>
        <v>68</v>
      </c>
      <c r="L1255" cm="1">
        <f t="array" ref="L1255">IF($Q1255&gt;=0,IFERROR(generateSalesData($D1255, IF(ISNUMBER(_xlfn.XLOOKUP($C1255,Phone_by_Sentiment!$B$2:$B$37,Phone_by_Sentiment!L$2:L$37,"",0,1)),_xlfn.XLOOKUP($C1255,Phone_by_Sentiment!$B$2:$B$37,Phone_by_Sentiment!L$2:L$37,"",0,1),0),$A1255-TEXT(DATEVALUE($D1255&amp;"-01"), "dd-mm-yyyy")),0),0)</f>
        <v>372</v>
      </c>
      <c r="M1255" cm="1">
        <f t="array" ref="M1255">IF($Q1255&gt;=0,IFERROR(generateSalesData($D1255, IF(ISNUMBER(_xlfn.XLOOKUP($C1255,Phone_by_Sentiment!$B$2:$B$37,Phone_by_Sentiment!M$2:M$37,"",0,1)),_xlfn.XLOOKUP($C1255,Phone_by_Sentiment!$B$2:$B$37,Phone_by_Sentiment!M$2:M$37,"",0,1),0),$A1255-TEXT(DATEVALUE($D1255&amp;"-01"), "dd-mm-yyyy")),0),0)</f>
        <v>74</v>
      </c>
      <c r="N1255" cm="1">
        <f t="array" ref="N1255">IF($Q1255&gt;=0,IFERROR(generateSalesData($D1255, IF(ISNUMBER(_xlfn.XLOOKUP($C1255,Phone_by_Sentiment!$B$2:$B$37,Phone_by_Sentiment!N$2:N$37,"",0,1)),_xlfn.XLOOKUP($C1255,Phone_by_Sentiment!$B$2:$B$37,Phone_by_Sentiment!N$2:N$37,"",0,1),0),$A1255-TEXT(DATEVALUE($D1255&amp;"-01"), "dd-mm-yyyy")),0),0)</f>
        <v>377</v>
      </c>
      <c r="O1255" cm="1">
        <f t="array" ref="O1255">IF($Q1255&gt;=0,IFERROR(generateSalesData($D1255, IF(ISNUMBER(_xlfn.XLOOKUP($C1255,Phone_by_Sentiment!$B$2:$B$37,Phone_by_Sentiment!O$2:O$37,"",0,1)),_xlfn.XLOOKUP($C1255,Phone_by_Sentiment!$B$2:$B$37,Phone_by_Sentiment!O$2:O$37,"",0,1),0),$A1255-TEXT(DATEVALUE($D1255&amp;"-01"), "dd-mm-yyyy")),0),0)</f>
        <v>111</v>
      </c>
      <c r="P1255" s="1">
        <f t="shared" si="51"/>
        <v>43862</v>
      </c>
      <c r="Q1255">
        <f t="shared" si="52"/>
        <v>669</v>
      </c>
    </row>
    <row r="1256" spans="1:17" x14ac:dyDescent="0.25">
      <c r="A1256" s="1">
        <f t="shared" si="48"/>
        <v>44531</v>
      </c>
      <c r="B1256" t="s">
        <v>174</v>
      </c>
      <c r="C1256" t="str">
        <f>_xlfn.XLOOKUP(B1256,Phone_by_Price!$A$2:$A$34,Phone_by_Price!$B$2:$B$34,"-",0,1)</f>
        <v>Samsung Galaxy A7</v>
      </c>
      <c r="D1256" t="str">
        <f>_xlfn.XLOOKUP(C1256,Phone_by_Sentiment!$B$2:$B$37,Phone_by_Sentiment!$A$2:$A$37,"-",0,1)</f>
        <v>2018-10</v>
      </c>
      <c r="E1256" cm="1">
        <f t="array" ref="E1256">IF($Q1256&gt;=0,IFERROR(generateSalesData($D1256, IF(ISNUMBER(_xlfn.XLOOKUP($C1256,Phone_by_Sentiment!$B$2:$B$37,Phone_by_Sentiment!E$2:E$37,"",0,1)),_xlfn.XLOOKUP($C1256,Phone_by_Sentiment!$B$2:$B$37,Phone_by_Sentiment!E$2:E$37,"",0,1),0),$A1256-TEXT(DATEVALUE($D1256&amp;"-01"), "dd-mm-yyyy")),0),0)</f>
        <v>9</v>
      </c>
      <c r="F1256" cm="1">
        <f t="array" ref="F1256">IF($Q1256&gt;=0,IFERROR(generateSalesData($D1256, IF(ISNUMBER(_xlfn.XLOOKUP($C1256,Phone_by_Sentiment!$B$2:$B$37,Phone_by_Sentiment!F$2:F$37,"",0,1)),_xlfn.XLOOKUP($C1256,Phone_by_Sentiment!$B$2:$B$37,Phone_by_Sentiment!F$2:F$37,"",0,1),0),$A1256-TEXT(DATEVALUE($D1256&amp;"-01"), "dd-mm-yyyy")),0),0)</f>
        <v>18</v>
      </c>
      <c r="G1256" cm="1">
        <f t="array" ref="G1256">IF($Q1256&gt;=0,IFERROR(generateSalesData($D1256, IF(ISNUMBER(_xlfn.XLOOKUP($C1256,Phone_by_Sentiment!$B$2:$B$37,Phone_by_Sentiment!G$2:G$37,"",0,1)),_xlfn.XLOOKUP($C1256,Phone_by_Sentiment!$B$2:$B$37,Phone_by_Sentiment!G$2:G$37,"",0,1),0),$A1256-TEXT(DATEVALUE($D1256&amp;"-01"), "dd-mm-yyyy")),0),0)</f>
        <v>45</v>
      </c>
      <c r="H1256" cm="1">
        <f t="array" ref="H1256">IF($Q1256&gt;=0,IFERROR(generateSalesData($D1256, IF(ISNUMBER(_xlfn.XLOOKUP($C1256,Phone_by_Sentiment!$B$2:$B$37,Phone_by_Sentiment!H$2:H$37,"",0,1)),_xlfn.XLOOKUP($C1256,Phone_by_Sentiment!$B$2:$B$37,Phone_by_Sentiment!H$2:H$37,"",0,1),0),$A1256-TEXT(DATEVALUE($D1256&amp;"-01"), "dd-mm-yyyy")),0),0)</f>
        <v>143</v>
      </c>
      <c r="I1256" cm="1">
        <f t="array" ref="I1256">IF($Q1256&gt;=0,IFERROR(generateSalesData($D1256, IF(ISNUMBER(_xlfn.XLOOKUP($C1256,Phone_by_Sentiment!$B$2:$B$37,Phone_by_Sentiment!I$2:I$37,"",0,1)),_xlfn.XLOOKUP($C1256,Phone_by_Sentiment!$B$2:$B$37,Phone_by_Sentiment!I$2:I$37,"",0,1),0),$A1256-TEXT(DATEVALUE($D1256&amp;"-01"), "dd-mm-yyyy")),0),0)</f>
        <v>199</v>
      </c>
      <c r="J1256" cm="1">
        <f t="array" ref="J1256">IF($Q1256&gt;=0,IFERROR(generateSalesData($D1256, IF(ISNUMBER(_xlfn.XLOOKUP($C1256,Phone_by_Sentiment!$B$2:$B$37,Phone_by_Sentiment!J$2:J$37,"",0,1)),_xlfn.XLOOKUP($C1256,Phone_by_Sentiment!$B$2:$B$37,Phone_by_Sentiment!J$2:J$37,"",0,1),0),$A1256-TEXT(DATEVALUE($D1256&amp;"-01"), "dd-mm-yyyy")),0),0)</f>
        <v>-29</v>
      </c>
      <c r="K1256" cm="1">
        <f t="array" ref="K1256">IF($Q1256&gt;=0,IFERROR(generateSalesData($D1256, IF(ISNUMBER(_xlfn.XLOOKUP($C1256,Phone_by_Sentiment!$B$2:$B$37,Phone_by_Sentiment!K$2:K$37,"",0,1)),_xlfn.XLOOKUP($C1256,Phone_by_Sentiment!$B$2:$B$37,Phone_by_Sentiment!K$2:K$37,"",0,1),0),$A1256-TEXT(DATEVALUE($D1256&amp;"-01"), "dd-mm-yyyy")),0),0)</f>
        <v>41</v>
      </c>
      <c r="L1256" cm="1">
        <f t="array" ref="L1256">IF($Q1256&gt;=0,IFERROR(generateSalesData($D1256, IF(ISNUMBER(_xlfn.XLOOKUP($C1256,Phone_by_Sentiment!$B$2:$B$37,Phone_by_Sentiment!L$2:L$37,"",0,1)),_xlfn.XLOOKUP($C1256,Phone_by_Sentiment!$B$2:$B$37,Phone_by_Sentiment!L$2:L$37,"",0,1),0),$A1256-TEXT(DATEVALUE($D1256&amp;"-01"), "dd-mm-yyyy")),0),0)</f>
        <v>54</v>
      </c>
      <c r="M1256" cm="1">
        <f t="array" ref="M1256">IF($Q1256&gt;=0,IFERROR(generateSalesData($D1256, IF(ISNUMBER(_xlfn.XLOOKUP($C1256,Phone_by_Sentiment!$B$2:$B$37,Phone_by_Sentiment!M$2:M$37,"",0,1)),_xlfn.XLOOKUP($C1256,Phone_by_Sentiment!$B$2:$B$37,Phone_by_Sentiment!M$2:M$37,"",0,1),0),$A1256-TEXT(DATEVALUE($D1256&amp;"-01"), "dd-mm-yyyy")),0),0)</f>
        <v>278</v>
      </c>
      <c r="N1256" cm="1">
        <f t="array" ref="N1256">IF($Q1256&gt;=0,IFERROR(generateSalesData($D1256, IF(ISNUMBER(_xlfn.XLOOKUP($C1256,Phone_by_Sentiment!$B$2:$B$37,Phone_by_Sentiment!N$2:N$37,"",0,1)),_xlfn.XLOOKUP($C1256,Phone_by_Sentiment!$B$2:$B$37,Phone_by_Sentiment!N$2:N$37,"",0,1),0),$A1256-TEXT(DATEVALUE($D1256&amp;"-01"), "dd-mm-yyyy")),0),0)</f>
        <v>139</v>
      </c>
      <c r="O1256" cm="1">
        <f t="array" ref="O1256">IF($Q1256&gt;=0,IFERROR(generateSalesData($D1256, IF(ISNUMBER(_xlfn.XLOOKUP($C1256,Phone_by_Sentiment!$B$2:$B$37,Phone_by_Sentiment!O$2:O$37,"",0,1)),_xlfn.XLOOKUP($C1256,Phone_by_Sentiment!$B$2:$B$37,Phone_by_Sentiment!O$2:O$37,"",0,1),0),$A1256-TEXT(DATEVALUE($D1256&amp;"-01"), "dd-mm-yyyy")),0),0)</f>
        <v>309</v>
      </c>
      <c r="P1256" s="1">
        <f t="shared" si="51"/>
        <v>43374</v>
      </c>
      <c r="Q1256">
        <f t="shared" si="52"/>
        <v>1157</v>
      </c>
    </row>
    <row r="1257" spans="1:17" x14ac:dyDescent="0.25">
      <c r="A1257" s="1">
        <f t="shared" si="48"/>
        <v>44531</v>
      </c>
      <c r="B1257" t="s">
        <v>142</v>
      </c>
      <c r="C1257" t="str">
        <f>_xlfn.XLOOKUP(B1257,Phone_by_Price!$A$2:$A$34,Phone_by_Price!$B$2:$B$34,"-",0,1)</f>
        <v>iPhone 11</v>
      </c>
      <c r="D1257" t="str">
        <f>_xlfn.XLOOKUP(C1257,Phone_by_Sentiment!$B$2:$B$37,Phone_by_Sentiment!$A$2:$A$37,"-",0,1)</f>
        <v>2019-09</v>
      </c>
      <c r="E1257" cm="1">
        <f t="array" ref="E1257">IF($Q1257&gt;=0,IFERROR(generateSalesData($D1257, IF(ISNUMBER(_xlfn.XLOOKUP($C1257,Phone_by_Sentiment!$B$2:$B$37,Phone_by_Sentiment!E$2:E$37,"",0,1)),_xlfn.XLOOKUP($C1257,Phone_by_Sentiment!$B$2:$B$37,Phone_by_Sentiment!E$2:E$37,"",0,1),0),$A1257-TEXT(DATEVALUE($D1257&amp;"-01"), "dd-mm-yyyy")),0),0)</f>
        <v>221</v>
      </c>
      <c r="F1257" cm="1">
        <f t="array" ref="F1257">IF($Q1257&gt;=0,IFERROR(generateSalesData($D1257, IF(ISNUMBER(_xlfn.XLOOKUP($C1257,Phone_by_Sentiment!$B$2:$B$37,Phone_by_Sentiment!F$2:F$37,"",0,1)),_xlfn.XLOOKUP($C1257,Phone_by_Sentiment!$B$2:$B$37,Phone_by_Sentiment!F$2:F$37,"",0,1),0),$A1257-TEXT(DATEVALUE($D1257&amp;"-01"), "dd-mm-yyyy")),0),0)</f>
        <v>108</v>
      </c>
      <c r="G1257" cm="1">
        <f t="array" ref="G1257">IF($Q1257&gt;=0,IFERROR(generateSalesData($D1257, IF(ISNUMBER(_xlfn.XLOOKUP($C1257,Phone_by_Sentiment!$B$2:$B$37,Phone_by_Sentiment!G$2:G$37,"",0,1)),_xlfn.XLOOKUP($C1257,Phone_by_Sentiment!$B$2:$B$37,Phone_by_Sentiment!G$2:G$37,"",0,1),0),$A1257-TEXT(DATEVALUE($D1257&amp;"-01"), "dd-mm-yyyy")),0),0)</f>
        <v>105</v>
      </c>
      <c r="H1257" cm="1">
        <f t="array" ref="H1257">IF($Q1257&gt;=0,IFERROR(generateSalesData($D1257, IF(ISNUMBER(_xlfn.XLOOKUP($C1257,Phone_by_Sentiment!$B$2:$B$37,Phone_by_Sentiment!H$2:H$37,"",0,1)),_xlfn.XLOOKUP($C1257,Phone_by_Sentiment!$B$2:$B$37,Phone_by_Sentiment!H$2:H$37,"",0,1),0),$A1257-TEXT(DATEVALUE($D1257&amp;"-01"), "dd-mm-yyyy")),0),0)</f>
        <v>463</v>
      </c>
      <c r="I1257" cm="1">
        <f t="array" ref="I1257">IF($Q1257&gt;=0,IFERROR(generateSalesData($D1257, IF(ISNUMBER(_xlfn.XLOOKUP($C1257,Phone_by_Sentiment!$B$2:$B$37,Phone_by_Sentiment!I$2:I$37,"",0,1)),_xlfn.XLOOKUP($C1257,Phone_by_Sentiment!$B$2:$B$37,Phone_by_Sentiment!I$2:I$37,"",0,1),0),$A1257-TEXT(DATEVALUE($D1257&amp;"-01"), "dd-mm-yyyy")),0),0)</f>
        <v>310</v>
      </c>
      <c r="J1257" cm="1">
        <f t="array" ref="J1257">IF($Q1257&gt;=0,IFERROR(generateSalesData($D1257, IF(ISNUMBER(_xlfn.XLOOKUP($C1257,Phone_by_Sentiment!$B$2:$B$37,Phone_by_Sentiment!J$2:J$37,"",0,1)),_xlfn.XLOOKUP($C1257,Phone_by_Sentiment!$B$2:$B$37,Phone_by_Sentiment!J$2:J$37,"",0,1),0),$A1257-TEXT(DATEVALUE($D1257&amp;"-01"), "dd-mm-yyyy")),0),0)</f>
        <v>282</v>
      </c>
      <c r="K1257" cm="1">
        <f t="array" ref="K1257">IF($Q1257&gt;=0,IFERROR(generateSalesData($D1257, IF(ISNUMBER(_xlfn.XLOOKUP($C1257,Phone_by_Sentiment!$B$2:$B$37,Phone_by_Sentiment!K$2:K$37,"",0,1)),_xlfn.XLOOKUP($C1257,Phone_by_Sentiment!$B$2:$B$37,Phone_by_Sentiment!K$2:K$37,"",0,1),0),$A1257-TEXT(DATEVALUE($D1257&amp;"-01"), "dd-mm-yyyy")),0),0)</f>
        <v>44</v>
      </c>
      <c r="L1257" cm="1">
        <f t="array" ref="L1257">IF($Q1257&gt;=0,IFERROR(generateSalesData($D1257, IF(ISNUMBER(_xlfn.XLOOKUP($C1257,Phone_by_Sentiment!$B$2:$B$37,Phone_by_Sentiment!L$2:L$37,"",0,1)),_xlfn.XLOOKUP($C1257,Phone_by_Sentiment!$B$2:$B$37,Phone_by_Sentiment!L$2:L$37,"",0,1),0),$A1257-TEXT(DATEVALUE($D1257&amp;"-01"), "dd-mm-yyyy")),0),0)</f>
        <v>685</v>
      </c>
      <c r="M1257" cm="1">
        <f t="array" ref="M1257">IF($Q1257&gt;=0,IFERROR(generateSalesData($D1257, IF(ISNUMBER(_xlfn.XLOOKUP($C1257,Phone_by_Sentiment!$B$2:$B$37,Phone_by_Sentiment!M$2:M$37,"",0,1)),_xlfn.XLOOKUP($C1257,Phone_by_Sentiment!$B$2:$B$37,Phone_by_Sentiment!M$2:M$37,"",0,1),0),$A1257-TEXT(DATEVALUE($D1257&amp;"-01"), "dd-mm-yyyy")),0),0)</f>
        <v>478</v>
      </c>
      <c r="N1257" cm="1">
        <f t="array" ref="N1257">IF($Q1257&gt;=0,IFERROR(generateSalesData($D1257, IF(ISNUMBER(_xlfn.XLOOKUP($C1257,Phone_by_Sentiment!$B$2:$B$37,Phone_by_Sentiment!N$2:N$37,"",0,1)),_xlfn.XLOOKUP($C1257,Phone_by_Sentiment!$B$2:$B$37,Phone_by_Sentiment!N$2:N$37,"",0,1),0),$A1257-TEXT(DATEVALUE($D1257&amp;"-01"), "dd-mm-yyyy")),0),0)</f>
        <v>487</v>
      </c>
      <c r="O1257" cm="1">
        <f t="array" ref="O1257">IF($Q1257&gt;=0,IFERROR(generateSalesData($D1257, IF(ISNUMBER(_xlfn.XLOOKUP($C1257,Phone_by_Sentiment!$B$2:$B$37,Phone_by_Sentiment!O$2:O$37,"",0,1)),_xlfn.XLOOKUP($C1257,Phone_by_Sentiment!$B$2:$B$37,Phone_by_Sentiment!O$2:O$37,"",0,1),0),$A1257-TEXT(DATEVALUE($D1257&amp;"-01"), "dd-mm-yyyy")),0),0)</f>
        <v>547</v>
      </c>
      <c r="P1257" s="1">
        <f t="shared" si="51"/>
        <v>43709</v>
      </c>
      <c r="Q1257">
        <f t="shared" si="52"/>
        <v>822</v>
      </c>
    </row>
    <row r="1258" spans="1:17" x14ac:dyDescent="0.25">
      <c r="A1258" s="1">
        <f t="shared" si="48"/>
        <v>44531</v>
      </c>
      <c r="B1258" t="s">
        <v>143</v>
      </c>
      <c r="C1258" t="str">
        <f>_xlfn.XLOOKUP(B1258,Phone_by_Price!$A$2:$A$34,Phone_by_Price!$B$2:$B$34,"-",0,1)</f>
        <v>Samsung Galaxy S20 Ultra</v>
      </c>
      <c r="D1258" t="str">
        <f>_xlfn.XLOOKUP(C1258,Phone_by_Sentiment!$B$2:$B$37,Phone_by_Sentiment!$A$2:$A$37,"-",0,1)</f>
        <v>2020-02</v>
      </c>
      <c r="E1258" cm="1">
        <f t="array" ref="E1258">IF($Q1258&gt;=0,IFERROR(generateSalesData($D1258, IF(ISNUMBER(_xlfn.XLOOKUP($C1258,Phone_by_Sentiment!$B$2:$B$37,Phone_by_Sentiment!E$2:E$37,"",0,1)),_xlfn.XLOOKUP($C1258,Phone_by_Sentiment!$B$2:$B$37,Phone_by_Sentiment!E$2:E$37,"",0,1),0),$A1258-TEXT(DATEVALUE($D1258&amp;"-01"), "dd-mm-yyyy")),0),0)</f>
        <v>251</v>
      </c>
      <c r="F1258" cm="1">
        <f t="array" ref="F1258">IF($Q1258&gt;=0,IFERROR(generateSalesData($D1258, IF(ISNUMBER(_xlfn.XLOOKUP($C1258,Phone_by_Sentiment!$B$2:$B$37,Phone_by_Sentiment!F$2:F$37,"",0,1)),_xlfn.XLOOKUP($C1258,Phone_by_Sentiment!$B$2:$B$37,Phone_by_Sentiment!F$2:F$37,"",0,1),0),$A1258-TEXT(DATEVALUE($D1258&amp;"-01"), "dd-mm-yyyy")),0),0)</f>
        <v>430</v>
      </c>
      <c r="G1258" cm="1">
        <f t="array" ref="G1258">IF($Q1258&gt;=0,IFERROR(generateSalesData($D1258, IF(ISNUMBER(_xlfn.XLOOKUP($C1258,Phone_by_Sentiment!$B$2:$B$37,Phone_by_Sentiment!G$2:G$37,"",0,1)),_xlfn.XLOOKUP($C1258,Phone_by_Sentiment!$B$2:$B$37,Phone_by_Sentiment!G$2:G$37,"",0,1),0),$A1258-TEXT(DATEVALUE($D1258&amp;"-01"), "dd-mm-yyyy")),0),0)</f>
        <v>100</v>
      </c>
      <c r="H1258" cm="1">
        <f t="array" ref="H1258">IF($Q1258&gt;=0,IFERROR(generateSalesData($D1258, IF(ISNUMBER(_xlfn.XLOOKUP($C1258,Phone_by_Sentiment!$B$2:$B$37,Phone_by_Sentiment!H$2:H$37,"",0,1)),_xlfn.XLOOKUP($C1258,Phone_by_Sentiment!$B$2:$B$37,Phone_by_Sentiment!H$2:H$37,"",0,1),0),$A1258-TEXT(DATEVALUE($D1258&amp;"-01"), "dd-mm-yyyy")),0),0)</f>
        <v>420</v>
      </c>
      <c r="I1258" cm="1">
        <f t="array" ref="I1258">IF($Q1258&gt;=0,IFERROR(generateSalesData($D1258, IF(ISNUMBER(_xlfn.XLOOKUP($C1258,Phone_by_Sentiment!$B$2:$B$37,Phone_by_Sentiment!I$2:I$37,"",0,1)),_xlfn.XLOOKUP($C1258,Phone_by_Sentiment!$B$2:$B$37,Phone_by_Sentiment!I$2:I$37,"",0,1),0),$A1258-TEXT(DATEVALUE($D1258&amp;"-01"), "dd-mm-yyyy")),0),0)</f>
        <v>423</v>
      </c>
      <c r="J1258" cm="1">
        <f t="array" ref="J1258">IF($Q1258&gt;=0,IFERROR(generateSalesData($D1258, IF(ISNUMBER(_xlfn.XLOOKUP($C1258,Phone_by_Sentiment!$B$2:$B$37,Phone_by_Sentiment!J$2:J$37,"",0,1)),_xlfn.XLOOKUP($C1258,Phone_by_Sentiment!$B$2:$B$37,Phone_by_Sentiment!J$2:J$37,"",0,1),0),$A1258-TEXT(DATEVALUE($D1258&amp;"-01"), "dd-mm-yyyy")),0),0)</f>
        <v>234</v>
      </c>
      <c r="K1258" cm="1">
        <f t="array" ref="K1258">IF($Q1258&gt;=0,IFERROR(generateSalesData($D1258, IF(ISNUMBER(_xlfn.XLOOKUP($C1258,Phone_by_Sentiment!$B$2:$B$37,Phone_by_Sentiment!K$2:K$37,"",0,1)),_xlfn.XLOOKUP($C1258,Phone_by_Sentiment!$B$2:$B$37,Phone_by_Sentiment!K$2:K$37,"",0,1),0),$A1258-TEXT(DATEVALUE($D1258&amp;"-01"), "dd-mm-yyyy")),0),0)</f>
        <v>62</v>
      </c>
      <c r="L1258" cm="1">
        <f t="array" ref="L1258">IF($Q1258&gt;=0,IFERROR(generateSalesData($D1258, IF(ISNUMBER(_xlfn.XLOOKUP($C1258,Phone_by_Sentiment!$B$2:$B$37,Phone_by_Sentiment!L$2:L$37,"",0,1)),_xlfn.XLOOKUP($C1258,Phone_by_Sentiment!$B$2:$B$37,Phone_by_Sentiment!L$2:L$37,"",0,1),0),$A1258-TEXT(DATEVALUE($D1258&amp;"-01"), "dd-mm-yyyy")),0),0)</f>
        <v>160</v>
      </c>
      <c r="M1258" cm="1">
        <f t="array" ref="M1258">IF($Q1258&gt;=0,IFERROR(generateSalesData($D1258, IF(ISNUMBER(_xlfn.XLOOKUP($C1258,Phone_by_Sentiment!$B$2:$B$37,Phone_by_Sentiment!M$2:M$37,"",0,1)),_xlfn.XLOOKUP($C1258,Phone_by_Sentiment!$B$2:$B$37,Phone_by_Sentiment!M$2:M$37,"",0,1),0),$A1258-TEXT(DATEVALUE($D1258&amp;"-01"), "dd-mm-yyyy")),0),0)</f>
        <v>466</v>
      </c>
      <c r="N1258" cm="1">
        <f t="array" ref="N1258">IF($Q1258&gt;=0,IFERROR(generateSalesData($D1258, IF(ISNUMBER(_xlfn.XLOOKUP($C1258,Phone_by_Sentiment!$B$2:$B$37,Phone_by_Sentiment!N$2:N$37,"",0,1)),_xlfn.XLOOKUP($C1258,Phone_by_Sentiment!$B$2:$B$37,Phone_by_Sentiment!N$2:N$37,"",0,1),0),$A1258-TEXT(DATEVALUE($D1258&amp;"-01"), "dd-mm-yyyy")),0),0)</f>
        <v>521</v>
      </c>
      <c r="O1258" cm="1">
        <f t="array" ref="O1258">IF($Q1258&gt;=0,IFERROR(generateSalesData($D1258, IF(ISNUMBER(_xlfn.XLOOKUP($C1258,Phone_by_Sentiment!$B$2:$B$37,Phone_by_Sentiment!O$2:O$37,"",0,1)),_xlfn.XLOOKUP($C1258,Phone_by_Sentiment!$B$2:$B$37,Phone_by_Sentiment!O$2:O$37,"",0,1),0),$A1258-TEXT(DATEVALUE($D1258&amp;"-01"), "dd-mm-yyyy")),0),0)</f>
        <v>354</v>
      </c>
      <c r="P1258" s="1">
        <f t="shared" si="51"/>
        <v>43862</v>
      </c>
      <c r="Q1258">
        <f t="shared" si="52"/>
        <v>669</v>
      </c>
    </row>
    <row r="1259" spans="1:17" x14ac:dyDescent="0.25">
      <c r="A1259" s="1">
        <f t="shared" si="48"/>
        <v>44531</v>
      </c>
      <c r="B1259" t="s">
        <v>144</v>
      </c>
      <c r="C1259" t="str">
        <f>_xlfn.XLOOKUP(B1259,Phone_by_Price!$A$2:$A$34,Phone_by_Price!$B$2:$B$34,"-",0,1)</f>
        <v>Xiaomi Redmi Note 10</v>
      </c>
      <c r="D1259" t="str">
        <f>_xlfn.XLOOKUP(C1259,Phone_by_Sentiment!$B$2:$B$37,Phone_by_Sentiment!$A$2:$A$37,"-",0,1)</f>
        <v>2021-03</v>
      </c>
      <c r="E1259" cm="1">
        <f t="array" ref="E1259">IF($Q1259&gt;=0,IFERROR(generateSalesData($D1259, IF(ISNUMBER(_xlfn.XLOOKUP($C1259,Phone_by_Sentiment!$B$2:$B$37,Phone_by_Sentiment!E$2:E$37,"",0,1)),_xlfn.XLOOKUP($C1259,Phone_by_Sentiment!$B$2:$B$37,Phone_by_Sentiment!E$2:E$37,"",0,1),0),$A1259-TEXT(DATEVALUE($D1259&amp;"-01"), "dd-mm-yyyy")),0),0)</f>
        <v>932</v>
      </c>
      <c r="F1259" cm="1">
        <f t="array" ref="F1259">IF($Q1259&gt;=0,IFERROR(generateSalesData($D1259, IF(ISNUMBER(_xlfn.XLOOKUP($C1259,Phone_by_Sentiment!$B$2:$B$37,Phone_by_Sentiment!F$2:F$37,"",0,1)),_xlfn.XLOOKUP($C1259,Phone_by_Sentiment!$B$2:$B$37,Phone_by_Sentiment!F$2:F$37,"",0,1),0),$A1259-TEXT(DATEVALUE($D1259&amp;"-01"), "dd-mm-yyyy")),0),0)</f>
        <v>94</v>
      </c>
      <c r="G1259" cm="1">
        <f t="array" ref="G1259">IF($Q1259&gt;=0,IFERROR(generateSalesData($D1259, IF(ISNUMBER(_xlfn.XLOOKUP($C1259,Phone_by_Sentiment!$B$2:$B$37,Phone_by_Sentiment!G$2:G$37,"",0,1)),_xlfn.XLOOKUP($C1259,Phone_by_Sentiment!$B$2:$B$37,Phone_by_Sentiment!G$2:G$37,"",0,1),0),$A1259-TEXT(DATEVALUE($D1259&amp;"-01"), "dd-mm-yyyy")),0),0)</f>
        <v>270</v>
      </c>
      <c r="H1259" cm="1">
        <f t="array" ref="H1259">IF($Q1259&gt;=0,IFERROR(generateSalesData($D1259, IF(ISNUMBER(_xlfn.XLOOKUP($C1259,Phone_by_Sentiment!$B$2:$B$37,Phone_by_Sentiment!H$2:H$37,"",0,1)),_xlfn.XLOOKUP($C1259,Phone_by_Sentiment!$B$2:$B$37,Phone_by_Sentiment!H$2:H$37,"",0,1),0),$A1259-TEXT(DATEVALUE($D1259&amp;"-01"), "dd-mm-yyyy")),0),0)</f>
        <v>606</v>
      </c>
      <c r="I1259" cm="1">
        <f t="array" ref="I1259">IF($Q1259&gt;=0,IFERROR(generateSalesData($D1259, IF(ISNUMBER(_xlfn.XLOOKUP($C1259,Phone_by_Sentiment!$B$2:$B$37,Phone_by_Sentiment!I$2:I$37,"",0,1)),_xlfn.XLOOKUP($C1259,Phone_by_Sentiment!$B$2:$B$37,Phone_by_Sentiment!I$2:I$37,"",0,1),0),$A1259-TEXT(DATEVALUE($D1259&amp;"-01"), "dd-mm-yyyy")),0),0)</f>
        <v>640</v>
      </c>
      <c r="J1259" cm="1">
        <f t="array" ref="J1259">IF($Q1259&gt;=0,IFERROR(generateSalesData($D1259, IF(ISNUMBER(_xlfn.XLOOKUP($C1259,Phone_by_Sentiment!$B$2:$B$37,Phone_by_Sentiment!J$2:J$37,"",0,1)),_xlfn.XLOOKUP($C1259,Phone_by_Sentiment!$B$2:$B$37,Phone_by_Sentiment!J$2:J$37,"",0,1),0),$A1259-TEXT(DATEVALUE($D1259&amp;"-01"), "dd-mm-yyyy")),0),0)</f>
        <v>759</v>
      </c>
      <c r="K1259" cm="1">
        <f t="array" ref="K1259">IF($Q1259&gt;=0,IFERROR(generateSalesData($D1259, IF(ISNUMBER(_xlfn.XLOOKUP($C1259,Phone_by_Sentiment!$B$2:$B$37,Phone_by_Sentiment!K$2:K$37,"",0,1)),_xlfn.XLOOKUP($C1259,Phone_by_Sentiment!$B$2:$B$37,Phone_by_Sentiment!K$2:K$37,"",0,1),0),$A1259-TEXT(DATEVALUE($D1259&amp;"-01"), "dd-mm-yyyy")),0),0)</f>
        <v>1235</v>
      </c>
      <c r="L1259" cm="1">
        <f t="array" ref="L1259">IF($Q1259&gt;=0,IFERROR(generateSalesData($D1259, IF(ISNUMBER(_xlfn.XLOOKUP($C1259,Phone_by_Sentiment!$B$2:$B$37,Phone_by_Sentiment!L$2:L$37,"",0,1)),_xlfn.XLOOKUP($C1259,Phone_by_Sentiment!$B$2:$B$37,Phone_by_Sentiment!L$2:L$37,"",0,1),0),$A1259-TEXT(DATEVALUE($D1259&amp;"-01"), "dd-mm-yyyy")),0),0)</f>
        <v>320</v>
      </c>
      <c r="M1259" cm="1">
        <f t="array" ref="M1259">IF($Q1259&gt;=0,IFERROR(generateSalesData($D1259, IF(ISNUMBER(_xlfn.XLOOKUP($C1259,Phone_by_Sentiment!$B$2:$B$37,Phone_by_Sentiment!M$2:M$37,"",0,1)),_xlfn.XLOOKUP($C1259,Phone_by_Sentiment!$B$2:$B$37,Phone_by_Sentiment!M$2:M$37,"",0,1),0),$A1259-TEXT(DATEVALUE($D1259&amp;"-01"), "dd-mm-yyyy")),0),0)</f>
        <v>180</v>
      </c>
      <c r="N1259" cm="1">
        <f t="array" ref="N1259">IF($Q1259&gt;=0,IFERROR(generateSalesData($D1259, IF(ISNUMBER(_xlfn.XLOOKUP($C1259,Phone_by_Sentiment!$B$2:$B$37,Phone_by_Sentiment!N$2:N$37,"",0,1)),_xlfn.XLOOKUP($C1259,Phone_by_Sentiment!$B$2:$B$37,Phone_by_Sentiment!N$2:N$37,"",0,1),0),$A1259-TEXT(DATEVALUE($D1259&amp;"-01"), "dd-mm-yyyy")),0),0)</f>
        <v>813</v>
      </c>
      <c r="O1259" cm="1">
        <f t="array" ref="O1259">IF($Q1259&gt;=0,IFERROR(generateSalesData($D1259, IF(ISNUMBER(_xlfn.XLOOKUP($C1259,Phone_by_Sentiment!$B$2:$B$37,Phone_by_Sentiment!O$2:O$37,"",0,1)),_xlfn.XLOOKUP($C1259,Phone_by_Sentiment!$B$2:$B$37,Phone_by_Sentiment!O$2:O$37,"",0,1),0),$A1259-TEXT(DATEVALUE($D1259&amp;"-01"), "dd-mm-yyyy")),0),0)</f>
        <v>825</v>
      </c>
      <c r="P1259" s="1">
        <f t="shared" si="51"/>
        <v>44256</v>
      </c>
      <c r="Q1259">
        <f t="shared" si="52"/>
        <v>275</v>
      </c>
    </row>
    <row r="1260" spans="1:17" x14ac:dyDescent="0.25">
      <c r="A1260" s="1">
        <f t="shared" si="48"/>
        <v>44531</v>
      </c>
      <c r="B1260" t="s">
        <v>145</v>
      </c>
      <c r="C1260" t="str">
        <f>_xlfn.XLOOKUP(B1260,Phone_by_Price!$A$2:$A$34,Phone_by_Price!$B$2:$B$34,"-",0,1)</f>
        <v>OPPO A54</v>
      </c>
      <c r="D1260" t="str">
        <f>_xlfn.XLOOKUP(C1260,Phone_by_Sentiment!$B$2:$B$37,Phone_by_Sentiment!$A$2:$A$37,"-",0,1)</f>
        <v>2021-04</v>
      </c>
      <c r="E1260" cm="1">
        <f t="array" ref="E1260">IF($Q1260&gt;=0,IFERROR(generateSalesData($D1260, IF(ISNUMBER(_xlfn.XLOOKUP($C1260,Phone_by_Sentiment!$B$2:$B$37,Phone_by_Sentiment!E$2:E$37,"",0,1)),_xlfn.XLOOKUP($C1260,Phone_by_Sentiment!$B$2:$B$37,Phone_by_Sentiment!E$2:E$37,"",0,1),0),$A1260-TEXT(DATEVALUE($D1260&amp;"-01"), "dd-mm-yyyy")),0),0)</f>
        <v>600</v>
      </c>
      <c r="F1260" cm="1">
        <f t="array" ref="F1260">IF($Q1260&gt;=0,IFERROR(generateSalesData($D1260, IF(ISNUMBER(_xlfn.XLOOKUP($C1260,Phone_by_Sentiment!$B$2:$B$37,Phone_by_Sentiment!F$2:F$37,"",0,1)),_xlfn.XLOOKUP($C1260,Phone_by_Sentiment!$B$2:$B$37,Phone_by_Sentiment!F$2:F$37,"",0,1),0),$A1260-TEXT(DATEVALUE($D1260&amp;"-01"), "dd-mm-yyyy")),0),0)</f>
        <v>38</v>
      </c>
      <c r="G1260" cm="1">
        <f t="array" ref="G1260">IF($Q1260&gt;=0,IFERROR(generateSalesData($D1260, IF(ISNUMBER(_xlfn.XLOOKUP($C1260,Phone_by_Sentiment!$B$2:$B$37,Phone_by_Sentiment!G$2:G$37,"",0,1)),_xlfn.XLOOKUP($C1260,Phone_by_Sentiment!$B$2:$B$37,Phone_by_Sentiment!G$2:G$37,"",0,1),0),$A1260-TEXT(DATEVALUE($D1260&amp;"-01"), "dd-mm-yyyy")),0),0)</f>
        <v>359</v>
      </c>
      <c r="H1260" cm="1">
        <f t="array" ref="H1260">IF($Q1260&gt;=0,IFERROR(generateSalesData($D1260, IF(ISNUMBER(_xlfn.XLOOKUP($C1260,Phone_by_Sentiment!$B$2:$B$37,Phone_by_Sentiment!H$2:H$37,"",0,1)),_xlfn.XLOOKUP($C1260,Phone_by_Sentiment!$B$2:$B$37,Phone_by_Sentiment!H$2:H$37,"",0,1),0),$A1260-TEXT(DATEVALUE($D1260&amp;"-01"), "dd-mm-yyyy")),0),0)</f>
        <v>144</v>
      </c>
      <c r="I1260" cm="1">
        <f t="array" ref="I1260">IF($Q1260&gt;=0,IFERROR(generateSalesData($D1260, IF(ISNUMBER(_xlfn.XLOOKUP($C1260,Phone_by_Sentiment!$B$2:$B$37,Phone_by_Sentiment!I$2:I$37,"",0,1)),_xlfn.XLOOKUP($C1260,Phone_by_Sentiment!$B$2:$B$37,Phone_by_Sentiment!I$2:I$37,"",0,1),0),$A1260-TEXT(DATEVALUE($D1260&amp;"-01"), "dd-mm-yyyy")),0),0)</f>
        <v>981</v>
      </c>
      <c r="J1260" cm="1">
        <f t="array" ref="J1260">IF($Q1260&gt;=0,IFERROR(generateSalesData($D1260, IF(ISNUMBER(_xlfn.XLOOKUP($C1260,Phone_by_Sentiment!$B$2:$B$37,Phone_by_Sentiment!J$2:J$37,"",0,1)),_xlfn.XLOOKUP($C1260,Phone_by_Sentiment!$B$2:$B$37,Phone_by_Sentiment!J$2:J$37,"",0,1),0),$A1260-TEXT(DATEVALUE($D1260&amp;"-01"), "dd-mm-yyyy")),0),0)</f>
        <v>398</v>
      </c>
      <c r="K1260" cm="1">
        <f t="array" ref="K1260">IF($Q1260&gt;=0,IFERROR(generateSalesData($D1260, IF(ISNUMBER(_xlfn.XLOOKUP($C1260,Phone_by_Sentiment!$B$2:$B$37,Phone_by_Sentiment!K$2:K$37,"",0,1)),_xlfn.XLOOKUP($C1260,Phone_by_Sentiment!$B$2:$B$37,Phone_by_Sentiment!K$2:K$37,"",0,1),0),$A1260-TEXT(DATEVALUE($D1260&amp;"-01"), "dd-mm-yyyy")),0),0)</f>
        <v>390</v>
      </c>
      <c r="L1260" cm="1">
        <f t="array" ref="L1260">IF($Q1260&gt;=0,IFERROR(generateSalesData($D1260, IF(ISNUMBER(_xlfn.XLOOKUP($C1260,Phone_by_Sentiment!$B$2:$B$37,Phone_by_Sentiment!L$2:L$37,"",0,1)),_xlfn.XLOOKUP($C1260,Phone_by_Sentiment!$B$2:$B$37,Phone_by_Sentiment!L$2:L$37,"",0,1),0),$A1260-TEXT(DATEVALUE($D1260&amp;"-01"), "dd-mm-yyyy")),0),0)</f>
        <v>1021</v>
      </c>
      <c r="M1260" cm="1">
        <f t="array" ref="M1260">IF($Q1260&gt;=0,IFERROR(generateSalesData($D1260, IF(ISNUMBER(_xlfn.XLOOKUP($C1260,Phone_by_Sentiment!$B$2:$B$37,Phone_by_Sentiment!M$2:M$37,"",0,1)),_xlfn.XLOOKUP($C1260,Phone_by_Sentiment!$B$2:$B$37,Phone_by_Sentiment!M$2:M$37,"",0,1),0),$A1260-TEXT(DATEVALUE($D1260&amp;"-01"), "dd-mm-yyyy")),0),0)</f>
        <v>128</v>
      </c>
      <c r="N1260" cm="1">
        <f t="array" ref="N1260">IF($Q1260&gt;=0,IFERROR(generateSalesData($D1260, IF(ISNUMBER(_xlfn.XLOOKUP($C1260,Phone_by_Sentiment!$B$2:$B$37,Phone_by_Sentiment!N$2:N$37,"",0,1)),_xlfn.XLOOKUP($C1260,Phone_by_Sentiment!$B$2:$B$37,Phone_by_Sentiment!N$2:N$37,"",0,1),0),$A1260-TEXT(DATEVALUE($D1260&amp;"-01"), "dd-mm-yyyy")),0),0)</f>
        <v>752</v>
      </c>
      <c r="O1260" cm="1">
        <f t="array" ref="O1260">IF($Q1260&gt;=0,IFERROR(generateSalesData($D1260, IF(ISNUMBER(_xlfn.XLOOKUP($C1260,Phone_by_Sentiment!$B$2:$B$37,Phone_by_Sentiment!O$2:O$37,"",0,1)),_xlfn.XLOOKUP($C1260,Phone_by_Sentiment!$B$2:$B$37,Phone_by_Sentiment!O$2:O$37,"",0,1),0),$A1260-TEXT(DATEVALUE($D1260&amp;"-01"), "dd-mm-yyyy")),0),0)</f>
        <v>140</v>
      </c>
      <c r="P1260" s="1">
        <f t="shared" si="51"/>
        <v>44287</v>
      </c>
      <c r="Q1260">
        <f t="shared" si="52"/>
        <v>244</v>
      </c>
    </row>
    <row r="1261" spans="1:17" x14ac:dyDescent="0.25">
      <c r="A1261" s="1">
        <f t="shared" si="48"/>
        <v>44562</v>
      </c>
      <c r="B1261" t="s">
        <v>144</v>
      </c>
      <c r="C1261" t="str">
        <f>_xlfn.XLOOKUP(B1261,Phone_by_Price!$A$2:$A$34,Phone_by_Price!$B$2:$B$34,"-",0,1)</f>
        <v>Xiaomi Redmi Note 10</v>
      </c>
      <c r="D1261" t="str">
        <f>_xlfn.XLOOKUP(C1261,Phone_by_Sentiment!$B$2:$B$37,Phone_by_Sentiment!$A$2:$A$37,"-",0,1)</f>
        <v>2021-03</v>
      </c>
      <c r="E1261" cm="1">
        <f t="array" ref="E1261">IF($Q1261&gt;=0,IFERROR(generateSalesData($D1261, IF(ISNUMBER(_xlfn.XLOOKUP($C1261,Phone_by_Sentiment!$B$2:$B$37,Phone_by_Sentiment!E$2:E$37,"",0,1)),_xlfn.XLOOKUP($C1261,Phone_by_Sentiment!$B$2:$B$37,Phone_by_Sentiment!E$2:E$37,"",0,1),0),$A1261-TEXT(DATEVALUE($D1261&amp;"-01"), "dd-mm-yyyy")),0),0)</f>
        <v>1274</v>
      </c>
      <c r="F1261" cm="1">
        <f t="array" ref="F1261">IF($Q1261&gt;=0,IFERROR(generateSalesData($D1261, IF(ISNUMBER(_xlfn.XLOOKUP($C1261,Phone_by_Sentiment!$B$2:$B$37,Phone_by_Sentiment!F$2:F$37,"",0,1)),_xlfn.XLOOKUP($C1261,Phone_by_Sentiment!$B$2:$B$37,Phone_by_Sentiment!F$2:F$37,"",0,1),0),$A1261-TEXT(DATEVALUE($D1261&amp;"-01"), "dd-mm-yyyy")),0),0)</f>
        <v>50</v>
      </c>
      <c r="G1261" cm="1">
        <f t="array" ref="G1261">IF($Q1261&gt;=0,IFERROR(generateSalesData($D1261, IF(ISNUMBER(_xlfn.XLOOKUP($C1261,Phone_by_Sentiment!$B$2:$B$37,Phone_by_Sentiment!G$2:G$37,"",0,1)),_xlfn.XLOOKUP($C1261,Phone_by_Sentiment!$B$2:$B$37,Phone_by_Sentiment!G$2:G$37,"",0,1),0),$A1261-TEXT(DATEVALUE($D1261&amp;"-01"), "dd-mm-yyyy")),0),0)</f>
        <v>244</v>
      </c>
      <c r="H1261" cm="1">
        <f t="array" ref="H1261">IF($Q1261&gt;=0,IFERROR(generateSalesData($D1261, IF(ISNUMBER(_xlfn.XLOOKUP($C1261,Phone_by_Sentiment!$B$2:$B$37,Phone_by_Sentiment!H$2:H$37,"",0,1)),_xlfn.XLOOKUP($C1261,Phone_by_Sentiment!$B$2:$B$37,Phone_by_Sentiment!H$2:H$37,"",0,1),0),$A1261-TEXT(DATEVALUE($D1261&amp;"-01"), "dd-mm-yyyy")),0),0)</f>
        <v>782</v>
      </c>
      <c r="I1261" cm="1">
        <f t="array" ref="I1261">IF($Q1261&gt;=0,IFERROR(generateSalesData($D1261, IF(ISNUMBER(_xlfn.XLOOKUP($C1261,Phone_by_Sentiment!$B$2:$B$37,Phone_by_Sentiment!I$2:I$37,"",0,1)),_xlfn.XLOOKUP($C1261,Phone_by_Sentiment!$B$2:$B$37,Phone_by_Sentiment!I$2:I$37,"",0,1),0),$A1261-TEXT(DATEVALUE($D1261&amp;"-01"), "dd-mm-yyyy")),0),0)</f>
        <v>946</v>
      </c>
      <c r="J1261" cm="1">
        <f t="array" ref="J1261">IF($Q1261&gt;=0,IFERROR(generateSalesData($D1261, IF(ISNUMBER(_xlfn.XLOOKUP($C1261,Phone_by_Sentiment!$B$2:$B$37,Phone_by_Sentiment!J$2:J$37,"",0,1)),_xlfn.XLOOKUP($C1261,Phone_by_Sentiment!$B$2:$B$37,Phone_by_Sentiment!J$2:J$37,"",0,1),0),$A1261-TEXT(DATEVALUE($D1261&amp;"-01"), "dd-mm-yyyy")),0),0)</f>
        <v>748</v>
      </c>
      <c r="K1261" cm="1">
        <f t="array" ref="K1261">IF($Q1261&gt;=0,IFERROR(generateSalesData($D1261, IF(ISNUMBER(_xlfn.XLOOKUP($C1261,Phone_by_Sentiment!$B$2:$B$37,Phone_by_Sentiment!K$2:K$37,"",0,1)),_xlfn.XLOOKUP($C1261,Phone_by_Sentiment!$B$2:$B$37,Phone_by_Sentiment!K$2:K$37,"",0,1),0),$A1261-TEXT(DATEVALUE($D1261&amp;"-01"), "dd-mm-yyyy")),0),0)</f>
        <v>476</v>
      </c>
      <c r="L1261" cm="1">
        <f t="array" ref="L1261">IF($Q1261&gt;=0,IFERROR(generateSalesData($D1261, IF(ISNUMBER(_xlfn.XLOOKUP($C1261,Phone_by_Sentiment!$B$2:$B$37,Phone_by_Sentiment!L$2:L$37,"",0,1)),_xlfn.XLOOKUP($C1261,Phone_by_Sentiment!$B$2:$B$37,Phone_by_Sentiment!L$2:L$37,"",0,1),0),$A1261-TEXT(DATEVALUE($D1261&amp;"-01"), "dd-mm-yyyy")),0),0)</f>
        <v>797</v>
      </c>
      <c r="M1261" cm="1">
        <f t="array" ref="M1261">IF($Q1261&gt;=0,IFERROR(generateSalesData($D1261, IF(ISNUMBER(_xlfn.XLOOKUP($C1261,Phone_by_Sentiment!$B$2:$B$37,Phone_by_Sentiment!M$2:M$37,"",0,1)),_xlfn.XLOOKUP($C1261,Phone_by_Sentiment!$B$2:$B$37,Phone_by_Sentiment!M$2:M$37,"",0,1),0),$A1261-TEXT(DATEVALUE($D1261&amp;"-01"), "dd-mm-yyyy")),0),0)</f>
        <v>165</v>
      </c>
      <c r="N1261" cm="1">
        <f t="array" ref="N1261">IF($Q1261&gt;=0,IFERROR(generateSalesData($D1261, IF(ISNUMBER(_xlfn.XLOOKUP($C1261,Phone_by_Sentiment!$B$2:$B$37,Phone_by_Sentiment!N$2:N$37,"",0,1)),_xlfn.XLOOKUP($C1261,Phone_by_Sentiment!$B$2:$B$37,Phone_by_Sentiment!N$2:N$37,"",0,1),0),$A1261-TEXT(DATEVALUE($D1261&amp;"-01"), "dd-mm-yyyy")),0),0)</f>
        <v>918</v>
      </c>
      <c r="O1261" cm="1">
        <f t="array" ref="O1261">IF($Q1261&gt;=0,IFERROR(generateSalesData($D1261, IF(ISNUMBER(_xlfn.XLOOKUP($C1261,Phone_by_Sentiment!$B$2:$B$37,Phone_by_Sentiment!O$2:O$37,"",0,1)),_xlfn.XLOOKUP($C1261,Phone_by_Sentiment!$B$2:$B$37,Phone_by_Sentiment!O$2:O$37,"",0,1),0),$A1261-TEXT(DATEVALUE($D1261&amp;"-01"), "dd-mm-yyyy")),0),0)</f>
        <v>802</v>
      </c>
      <c r="P1261" s="1">
        <f t="shared" si="51"/>
        <v>44256</v>
      </c>
      <c r="Q1261">
        <f t="shared" si="52"/>
        <v>306</v>
      </c>
    </row>
    <row r="1262" spans="1:17" x14ac:dyDescent="0.25">
      <c r="A1262" s="1">
        <f t="shared" si="48"/>
        <v>44562</v>
      </c>
      <c r="B1262" t="s">
        <v>145</v>
      </c>
      <c r="C1262" t="str">
        <f>_xlfn.XLOOKUP(B1262,Phone_by_Price!$A$2:$A$34,Phone_by_Price!$B$2:$B$34,"-",0,1)</f>
        <v>OPPO A54</v>
      </c>
      <c r="D1262" t="str">
        <f>_xlfn.XLOOKUP(C1262,Phone_by_Sentiment!$B$2:$B$37,Phone_by_Sentiment!$A$2:$A$37,"-",0,1)</f>
        <v>2021-04</v>
      </c>
      <c r="E1262" cm="1">
        <f t="array" ref="E1262">IF($Q1262&gt;=0,IFERROR(generateSalesData($D1262, IF(ISNUMBER(_xlfn.XLOOKUP($C1262,Phone_by_Sentiment!$B$2:$B$37,Phone_by_Sentiment!E$2:E$37,"",0,1)),_xlfn.XLOOKUP($C1262,Phone_by_Sentiment!$B$2:$B$37,Phone_by_Sentiment!E$2:E$37,"",0,1),0),$A1262-TEXT(DATEVALUE($D1262&amp;"-01"), "dd-mm-yyyy")),0),0)</f>
        <v>1009</v>
      </c>
      <c r="F1262" cm="1">
        <f t="array" ref="F1262">IF($Q1262&gt;=0,IFERROR(generateSalesData($D1262, IF(ISNUMBER(_xlfn.XLOOKUP($C1262,Phone_by_Sentiment!$B$2:$B$37,Phone_by_Sentiment!F$2:F$37,"",0,1)),_xlfn.XLOOKUP($C1262,Phone_by_Sentiment!$B$2:$B$37,Phone_by_Sentiment!F$2:F$37,"",0,1),0),$A1262-TEXT(DATEVALUE($D1262&amp;"-01"), "dd-mm-yyyy")),0),0)</f>
        <v>127</v>
      </c>
      <c r="G1262" cm="1">
        <f t="array" ref="G1262">IF($Q1262&gt;=0,IFERROR(generateSalesData($D1262, IF(ISNUMBER(_xlfn.XLOOKUP($C1262,Phone_by_Sentiment!$B$2:$B$37,Phone_by_Sentiment!G$2:G$37,"",0,1)),_xlfn.XLOOKUP($C1262,Phone_by_Sentiment!$B$2:$B$37,Phone_by_Sentiment!G$2:G$37,"",0,1),0),$A1262-TEXT(DATEVALUE($D1262&amp;"-01"), "dd-mm-yyyy")),0),0)</f>
        <v>280</v>
      </c>
      <c r="H1262" cm="1">
        <f t="array" ref="H1262">IF($Q1262&gt;=0,IFERROR(generateSalesData($D1262, IF(ISNUMBER(_xlfn.XLOOKUP($C1262,Phone_by_Sentiment!$B$2:$B$37,Phone_by_Sentiment!H$2:H$37,"",0,1)),_xlfn.XLOOKUP($C1262,Phone_by_Sentiment!$B$2:$B$37,Phone_by_Sentiment!H$2:H$37,"",0,1),0),$A1262-TEXT(DATEVALUE($D1262&amp;"-01"), "dd-mm-yyyy")),0),0)</f>
        <v>1187</v>
      </c>
      <c r="I1262" cm="1">
        <f t="array" ref="I1262">IF($Q1262&gt;=0,IFERROR(generateSalesData($D1262, IF(ISNUMBER(_xlfn.XLOOKUP($C1262,Phone_by_Sentiment!$B$2:$B$37,Phone_by_Sentiment!I$2:I$37,"",0,1)),_xlfn.XLOOKUP($C1262,Phone_by_Sentiment!$B$2:$B$37,Phone_by_Sentiment!I$2:I$37,"",0,1),0),$A1262-TEXT(DATEVALUE($D1262&amp;"-01"), "dd-mm-yyyy")),0),0)</f>
        <v>1561</v>
      </c>
      <c r="J1262" cm="1">
        <f t="array" ref="J1262">IF($Q1262&gt;=0,IFERROR(generateSalesData($D1262, IF(ISNUMBER(_xlfn.XLOOKUP($C1262,Phone_by_Sentiment!$B$2:$B$37,Phone_by_Sentiment!J$2:J$37,"",0,1)),_xlfn.XLOOKUP($C1262,Phone_by_Sentiment!$B$2:$B$37,Phone_by_Sentiment!J$2:J$37,"",0,1),0),$A1262-TEXT(DATEVALUE($D1262&amp;"-01"), "dd-mm-yyyy")),0),0)</f>
        <v>160</v>
      </c>
      <c r="K1262" cm="1">
        <f t="array" ref="K1262">IF($Q1262&gt;=0,IFERROR(generateSalesData($D1262, IF(ISNUMBER(_xlfn.XLOOKUP($C1262,Phone_by_Sentiment!$B$2:$B$37,Phone_by_Sentiment!K$2:K$37,"",0,1)),_xlfn.XLOOKUP($C1262,Phone_by_Sentiment!$B$2:$B$37,Phone_by_Sentiment!K$2:K$37,"",0,1),0),$A1262-TEXT(DATEVALUE($D1262&amp;"-01"), "dd-mm-yyyy")),0),0)</f>
        <v>363</v>
      </c>
      <c r="L1262" cm="1">
        <f t="array" ref="L1262">IF($Q1262&gt;=0,IFERROR(generateSalesData($D1262, IF(ISNUMBER(_xlfn.XLOOKUP($C1262,Phone_by_Sentiment!$B$2:$B$37,Phone_by_Sentiment!L$2:L$37,"",0,1)),_xlfn.XLOOKUP($C1262,Phone_by_Sentiment!$B$2:$B$37,Phone_by_Sentiment!L$2:L$37,"",0,1),0),$A1262-TEXT(DATEVALUE($D1262&amp;"-01"), "dd-mm-yyyy")),0),0)</f>
        <v>894</v>
      </c>
      <c r="M1262" cm="1">
        <f t="array" ref="M1262">IF($Q1262&gt;=0,IFERROR(generateSalesData($D1262, IF(ISNUMBER(_xlfn.XLOOKUP($C1262,Phone_by_Sentiment!$B$2:$B$37,Phone_by_Sentiment!M$2:M$37,"",0,1)),_xlfn.XLOOKUP($C1262,Phone_by_Sentiment!$B$2:$B$37,Phone_by_Sentiment!M$2:M$37,"",0,1),0),$A1262-TEXT(DATEVALUE($D1262&amp;"-01"), "dd-mm-yyyy")),0),0)</f>
        <v>411</v>
      </c>
      <c r="N1262" cm="1">
        <f t="array" ref="N1262">IF($Q1262&gt;=0,IFERROR(generateSalesData($D1262, IF(ISNUMBER(_xlfn.XLOOKUP($C1262,Phone_by_Sentiment!$B$2:$B$37,Phone_by_Sentiment!N$2:N$37,"",0,1)),_xlfn.XLOOKUP($C1262,Phone_by_Sentiment!$B$2:$B$37,Phone_by_Sentiment!N$2:N$37,"",0,1),0),$A1262-TEXT(DATEVALUE($D1262&amp;"-01"), "dd-mm-yyyy")),0),0)</f>
        <v>835</v>
      </c>
      <c r="O1262" cm="1">
        <f t="array" ref="O1262">IF($Q1262&gt;=0,IFERROR(generateSalesData($D1262, IF(ISNUMBER(_xlfn.XLOOKUP($C1262,Phone_by_Sentiment!$B$2:$B$37,Phone_by_Sentiment!O$2:O$37,"",0,1)),_xlfn.XLOOKUP($C1262,Phone_by_Sentiment!$B$2:$B$37,Phone_by_Sentiment!O$2:O$37,"",0,1),0),$A1262-TEXT(DATEVALUE($D1262&amp;"-01"), "dd-mm-yyyy")),0),0)</f>
        <v>269</v>
      </c>
      <c r="P1262" s="1">
        <f t="shared" si="51"/>
        <v>44287</v>
      </c>
      <c r="Q1262">
        <f t="shared" si="52"/>
        <v>275</v>
      </c>
    </row>
    <row r="1263" spans="1:17" x14ac:dyDescent="0.25">
      <c r="A1263" s="1">
        <f t="shared" si="48"/>
        <v>44562</v>
      </c>
      <c r="B1263" t="s">
        <v>146</v>
      </c>
      <c r="C1263" t="str">
        <f>_xlfn.XLOOKUP(B1263,Phone_by_Price!$A$2:$A$34,Phone_by_Price!$B$2:$B$34,"-",0,1)</f>
        <v>Vivo Y20</v>
      </c>
      <c r="D1263" t="str">
        <f>_xlfn.XLOOKUP(C1263,Phone_by_Sentiment!$B$2:$B$37,Phone_by_Sentiment!$A$2:$A$37,"-",0,1)</f>
        <v>2020-09</v>
      </c>
      <c r="E1263" cm="1">
        <f t="array" ref="E1263">IF($Q1263&gt;=0,IFERROR(generateSalesData($D1263, IF(ISNUMBER(_xlfn.XLOOKUP($C1263,Phone_by_Sentiment!$B$2:$B$37,Phone_by_Sentiment!E$2:E$37,"",0,1)),_xlfn.XLOOKUP($C1263,Phone_by_Sentiment!$B$2:$B$37,Phone_by_Sentiment!E$2:E$37,"",0,1),0),$A1263-TEXT(DATEVALUE($D1263&amp;"-01"), "dd-mm-yyyy")),0),0)</f>
        <v>458</v>
      </c>
      <c r="F1263" cm="1">
        <f t="array" ref="F1263">IF($Q1263&gt;=0,IFERROR(generateSalesData($D1263, IF(ISNUMBER(_xlfn.XLOOKUP($C1263,Phone_by_Sentiment!$B$2:$B$37,Phone_by_Sentiment!F$2:F$37,"",0,1)),_xlfn.XLOOKUP($C1263,Phone_by_Sentiment!$B$2:$B$37,Phone_by_Sentiment!F$2:F$37,"",0,1),0),$A1263-TEXT(DATEVALUE($D1263&amp;"-01"), "dd-mm-yyyy")),0),0)</f>
        <v>456</v>
      </c>
      <c r="G1263" cm="1">
        <f t="array" ref="G1263">IF($Q1263&gt;=0,IFERROR(generateSalesData($D1263, IF(ISNUMBER(_xlfn.XLOOKUP($C1263,Phone_by_Sentiment!$B$2:$B$37,Phone_by_Sentiment!G$2:G$37,"",0,1)),_xlfn.XLOOKUP($C1263,Phone_by_Sentiment!$B$2:$B$37,Phone_by_Sentiment!G$2:G$37,"",0,1),0),$A1263-TEXT(DATEVALUE($D1263&amp;"-01"), "dd-mm-yyyy")),0),0)</f>
        <v>144</v>
      </c>
      <c r="H1263" cm="1">
        <f t="array" ref="H1263">IF($Q1263&gt;=0,IFERROR(generateSalesData($D1263, IF(ISNUMBER(_xlfn.XLOOKUP($C1263,Phone_by_Sentiment!$B$2:$B$37,Phone_by_Sentiment!H$2:H$37,"",0,1)),_xlfn.XLOOKUP($C1263,Phone_by_Sentiment!$B$2:$B$37,Phone_by_Sentiment!H$2:H$37,"",0,1),0),$A1263-TEXT(DATEVALUE($D1263&amp;"-01"), "dd-mm-yyyy")),0),0)</f>
        <v>195</v>
      </c>
      <c r="I1263" cm="1">
        <f t="array" ref="I1263">IF($Q1263&gt;=0,IFERROR(generateSalesData($D1263, IF(ISNUMBER(_xlfn.XLOOKUP($C1263,Phone_by_Sentiment!$B$2:$B$37,Phone_by_Sentiment!I$2:I$37,"",0,1)),_xlfn.XLOOKUP($C1263,Phone_by_Sentiment!$B$2:$B$37,Phone_by_Sentiment!I$2:I$37,"",0,1),0),$A1263-TEXT(DATEVALUE($D1263&amp;"-01"), "dd-mm-yyyy")),0),0)</f>
        <v>107</v>
      </c>
      <c r="J1263" cm="1">
        <f t="array" ref="J1263">IF($Q1263&gt;=0,IFERROR(generateSalesData($D1263, IF(ISNUMBER(_xlfn.XLOOKUP($C1263,Phone_by_Sentiment!$B$2:$B$37,Phone_by_Sentiment!J$2:J$37,"",0,1)),_xlfn.XLOOKUP($C1263,Phone_by_Sentiment!$B$2:$B$37,Phone_by_Sentiment!J$2:J$37,"",0,1),0),$A1263-TEXT(DATEVALUE($D1263&amp;"-01"), "dd-mm-yyyy")),0),0)</f>
        <v>121</v>
      </c>
      <c r="K1263" cm="1">
        <f t="array" ref="K1263">IF($Q1263&gt;=0,IFERROR(generateSalesData($D1263, IF(ISNUMBER(_xlfn.XLOOKUP($C1263,Phone_by_Sentiment!$B$2:$B$37,Phone_by_Sentiment!K$2:K$37,"",0,1)),_xlfn.XLOOKUP($C1263,Phone_by_Sentiment!$B$2:$B$37,Phone_by_Sentiment!K$2:K$37,"",0,1),0),$A1263-TEXT(DATEVALUE($D1263&amp;"-01"), "dd-mm-yyyy")),0),0)</f>
        <v>66</v>
      </c>
      <c r="L1263" cm="1">
        <f t="array" ref="L1263">IF($Q1263&gt;=0,IFERROR(generateSalesData($D1263, IF(ISNUMBER(_xlfn.XLOOKUP($C1263,Phone_by_Sentiment!$B$2:$B$37,Phone_by_Sentiment!L$2:L$37,"",0,1)),_xlfn.XLOOKUP($C1263,Phone_by_Sentiment!$B$2:$B$37,Phone_by_Sentiment!L$2:L$37,"",0,1),0),$A1263-TEXT(DATEVALUE($D1263&amp;"-01"), "dd-mm-yyyy")),0),0)</f>
        <v>211</v>
      </c>
      <c r="M1263" cm="1">
        <f t="array" ref="M1263">IF($Q1263&gt;=0,IFERROR(generateSalesData($D1263, IF(ISNUMBER(_xlfn.XLOOKUP($C1263,Phone_by_Sentiment!$B$2:$B$37,Phone_by_Sentiment!M$2:M$37,"",0,1)),_xlfn.XLOOKUP($C1263,Phone_by_Sentiment!$B$2:$B$37,Phone_by_Sentiment!M$2:M$37,"",0,1),0),$A1263-TEXT(DATEVALUE($D1263&amp;"-01"), "dd-mm-yyyy")),0),0)</f>
        <v>144</v>
      </c>
      <c r="N1263" cm="1">
        <f t="array" ref="N1263">IF($Q1263&gt;=0,IFERROR(generateSalesData($D1263, IF(ISNUMBER(_xlfn.XLOOKUP($C1263,Phone_by_Sentiment!$B$2:$B$37,Phone_by_Sentiment!N$2:N$37,"",0,1)),_xlfn.XLOOKUP($C1263,Phone_by_Sentiment!$B$2:$B$37,Phone_by_Sentiment!N$2:N$37,"",0,1),0),$A1263-TEXT(DATEVALUE($D1263&amp;"-01"), "dd-mm-yyyy")),0),0)</f>
        <v>113</v>
      </c>
      <c r="O1263" cm="1">
        <f t="array" ref="O1263">IF($Q1263&gt;=0,IFERROR(generateSalesData($D1263, IF(ISNUMBER(_xlfn.XLOOKUP($C1263,Phone_by_Sentiment!$B$2:$B$37,Phone_by_Sentiment!O$2:O$37,"",0,1)),_xlfn.XLOOKUP($C1263,Phone_by_Sentiment!$B$2:$B$37,Phone_by_Sentiment!O$2:O$37,"",0,1),0),$A1263-TEXT(DATEVALUE($D1263&amp;"-01"), "dd-mm-yyyy")),0),0)</f>
        <v>171</v>
      </c>
      <c r="P1263" s="1">
        <f t="shared" si="51"/>
        <v>44075</v>
      </c>
      <c r="Q1263">
        <f t="shared" si="52"/>
        <v>487</v>
      </c>
    </row>
    <row r="1264" spans="1:17" x14ac:dyDescent="0.25">
      <c r="A1264" s="1">
        <f t="shared" si="48"/>
        <v>44562</v>
      </c>
      <c r="B1264" t="s">
        <v>147</v>
      </c>
      <c r="C1264" t="str">
        <f>_xlfn.XLOOKUP(B1264,Phone_by_Price!$A$2:$A$34,Phone_by_Price!$B$2:$B$34,"-",0,1)</f>
        <v>Huawei Y9a</v>
      </c>
      <c r="D1264" t="str">
        <f>_xlfn.XLOOKUP(C1264,Phone_by_Sentiment!$B$2:$B$37,Phone_by_Sentiment!$A$2:$A$37,"-",0,1)</f>
        <v>2020-02</v>
      </c>
      <c r="E1264" cm="1">
        <f t="array" ref="E1264">IF($Q1264&gt;=0,IFERROR(generateSalesData($D1264, IF(ISNUMBER(_xlfn.XLOOKUP($C1264,Phone_by_Sentiment!$B$2:$B$37,Phone_by_Sentiment!E$2:E$37,"",0,1)),_xlfn.XLOOKUP($C1264,Phone_by_Sentiment!$B$2:$B$37,Phone_by_Sentiment!E$2:E$37,"",0,1),0),$A1264-TEXT(DATEVALUE($D1264&amp;"-01"), "dd-mm-yyyy")),0),0)</f>
        <v>464</v>
      </c>
      <c r="F1264" cm="1">
        <f t="array" ref="F1264">IF($Q1264&gt;=0,IFERROR(generateSalesData($D1264, IF(ISNUMBER(_xlfn.XLOOKUP($C1264,Phone_by_Sentiment!$B$2:$B$37,Phone_by_Sentiment!F$2:F$37,"",0,1)),_xlfn.XLOOKUP($C1264,Phone_by_Sentiment!$B$2:$B$37,Phone_by_Sentiment!F$2:F$37,"",0,1),0),$A1264-TEXT(DATEVALUE($D1264&amp;"-01"), "dd-mm-yyyy")),0),0)</f>
        <v>185</v>
      </c>
      <c r="G1264" cm="1">
        <f t="array" ref="G1264">IF($Q1264&gt;=0,IFERROR(generateSalesData($D1264, IF(ISNUMBER(_xlfn.XLOOKUP($C1264,Phone_by_Sentiment!$B$2:$B$37,Phone_by_Sentiment!G$2:G$37,"",0,1)),_xlfn.XLOOKUP($C1264,Phone_by_Sentiment!$B$2:$B$37,Phone_by_Sentiment!G$2:G$37,"",0,1),0),$A1264-TEXT(DATEVALUE($D1264&amp;"-01"), "dd-mm-yyyy")),0),0)</f>
        <v>55</v>
      </c>
      <c r="H1264" cm="1">
        <f t="array" ref="H1264">IF($Q1264&gt;=0,IFERROR(generateSalesData($D1264, IF(ISNUMBER(_xlfn.XLOOKUP($C1264,Phone_by_Sentiment!$B$2:$B$37,Phone_by_Sentiment!H$2:H$37,"",0,1)),_xlfn.XLOOKUP($C1264,Phone_by_Sentiment!$B$2:$B$37,Phone_by_Sentiment!H$2:H$37,"",0,1),0),$A1264-TEXT(DATEVALUE($D1264&amp;"-01"), "dd-mm-yyyy")),0),0)</f>
        <v>32</v>
      </c>
      <c r="I1264" cm="1">
        <f t="array" ref="I1264">IF($Q1264&gt;=0,IFERROR(generateSalesData($D1264, IF(ISNUMBER(_xlfn.XLOOKUP($C1264,Phone_by_Sentiment!$B$2:$B$37,Phone_by_Sentiment!I$2:I$37,"",0,1)),_xlfn.XLOOKUP($C1264,Phone_by_Sentiment!$B$2:$B$37,Phone_by_Sentiment!I$2:I$37,"",0,1),0),$A1264-TEXT(DATEVALUE($D1264&amp;"-01"), "dd-mm-yyyy")),0),0)</f>
        <v>81</v>
      </c>
      <c r="J1264" cm="1">
        <f t="array" ref="J1264">IF($Q1264&gt;=0,IFERROR(generateSalesData($D1264, IF(ISNUMBER(_xlfn.XLOOKUP($C1264,Phone_by_Sentiment!$B$2:$B$37,Phone_by_Sentiment!J$2:J$37,"",0,1)),_xlfn.XLOOKUP($C1264,Phone_by_Sentiment!$B$2:$B$37,Phone_by_Sentiment!J$2:J$37,"",0,1),0),$A1264-TEXT(DATEVALUE($D1264&amp;"-01"), "dd-mm-yyyy")),0),0)</f>
        <v>52</v>
      </c>
      <c r="K1264" cm="1">
        <f t="array" ref="K1264">IF($Q1264&gt;=0,IFERROR(generateSalesData($D1264, IF(ISNUMBER(_xlfn.XLOOKUP($C1264,Phone_by_Sentiment!$B$2:$B$37,Phone_by_Sentiment!K$2:K$37,"",0,1)),_xlfn.XLOOKUP($C1264,Phone_by_Sentiment!$B$2:$B$37,Phone_by_Sentiment!K$2:K$37,"",0,1),0),$A1264-TEXT(DATEVALUE($D1264&amp;"-01"), "dd-mm-yyyy")),0),0)</f>
        <v>67</v>
      </c>
      <c r="L1264" cm="1">
        <f t="array" ref="L1264">IF($Q1264&gt;=0,IFERROR(generateSalesData($D1264, IF(ISNUMBER(_xlfn.XLOOKUP($C1264,Phone_by_Sentiment!$B$2:$B$37,Phone_by_Sentiment!L$2:L$37,"",0,1)),_xlfn.XLOOKUP($C1264,Phone_by_Sentiment!$B$2:$B$37,Phone_by_Sentiment!L$2:L$37,"",0,1),0),$A1264-TEXT(DATEVALUE($D1264&amp;"-01"), "dd-mm-yyyy")),0),0)</f>
        <v>62</v>
      </c>
      <c r="M1264" cm="1">
        <f t="array" ref="M1264">IF($Q1264&gt;=0,IFERROR(generateSalesData($D1264, IF(ISNUMBER(_xlfn.XLOOKUP($C1264,Phone_by_Sentiment!$B$2:$B$37,Phone_by_Sentiment!M$2:M$37,"",0,1)),_xlfn.XLOOKUP($C1264,Phone_by_Sentiment!$B$2:$B$37,Phone_by_Sentiment!M$2:M$37,"",0,1),0),$A1264-TEXT(DATEVALUE($D1264&amp;"-01"), "dd-mm-yyyy")),0),0)</f>
        <v>68</v>
      </c>
      <c r="N1264" cm="1">
        <f t="array" ref="N1264">IF($Q1264&gt;=0,IFERROR(generateSalesData($D1264, IF(ISNUMBER(_xlfn.XLOOKUP($C1264,Phone_by_Sentiment!$B$2:$B$37,Phone_by_Sentiment!N$2:N$37,"",0,1)),_xlfn.XLOOKUP($C1264,Phone_by_Sentiment!$B$2:$B$37,Phone_by_Sentiment!N$2:N$37,"",0,1),0),$A1264-TEXT(DATEVALUE($D1264&amp;"-01"), "dd-mm-yyyy")),0),0)</f>
        <v>26</v>
      </c>
      <c r="O1264" cm="1">
        <f t="array" ref="O1264">IF($Q1264&gt;=0,IFERROR(generateSalesData($D1264, IF(ISNUMBER(_xlfn.XLOOKUP($C1264,Phone_by_Sentiment!$B$2:$B$37,Phone_by_Sentiment!O$2:O$37,"",0,1)),_xlfn.XLOOKUP($C1264,Phone_by_Sentiment!$B$2:$B$37,Phone_by_Sentiment!O$2:O$37,"",0,1),0),$A1264-TEXT(DATEVALUE($D1264&amp;"-01"), "dd-mm-yyyy")),0),0)</f>
        <v>65</v>
      </c>
      <c r="P1264" s="1">
        <f t="shared" si="51"/>
        <v>43862</v>
      </c>
      <c r="Q1264">
        <f t="shared" si="52"/>
        <v>700</v>
      </c>
    </row>
    <row r="1265" spans="1:17" x14ac:dyDescent="0.25">
      <c r="A1265" s="1">
        <f t="shared" si="48"/>
        <v>44562</v>
      </c>
      <c r="B1265" t="s">
        <v>148</v>
      </c>
      <c r="C1265" t="str">
        <f>_xlfn.XLOOKUP(B1265,Phone_by_Price!$A$2:$A$34,Phone_by_Price!$B$2:$B$34,"-",0,1)</f>
        <v>Xiaomi Redmi 10</v>
      </c>
      <c r="D1265" t="str">
        <f>_xlfn.XLOOKUP(C1265,Phone_by_Sentiment!$B$2:$B$37,Phone_by_Sentiment!$A$2:$A$37,"-",0,1)</f>
        <v>2021-03</v>
      </c>
      <c r="E1265" cm="1">
        <f t="array" ref="E1265">IF($Q1265&gt;=0,IFERROR(generateSalesData($D1265, IF(ISNUMBER(_xlfn.XLOOKUP($C1265,Phone_by_Sentiment!$B$2:$B$37,Phone_by_Sentiment!E$2:E$37,"",0,1)),_xlfn.XLOOKUP($C1265,Phone_by_Sentiment!$B$2:$B$37,Phone_by_Sentiment!E$2:E$37,"",0,1),0),$A1265-TEXT(DATEVALUE($D1265&amp;"-01"), "dd-mm-yyyy")),0),0)</f>
        <v>1139</v>
      </c>
      <c r="F1265" cm="1">
        <f t="array" ref="F1265">IF($Q1265&gt;=0,IFERROR(generateSalesData($D1265, IF(ISNUMBER(_xlfn.XLOOKUP($C1265,Phone_by_Sentiment!$B$2:$B$37,Phone_by_Sentiment!F$2:F$37,"",0,1)),_xlfn.XLOOKUP($C1265,Phone_by_Sentiment!$B$2:$B$37,Phone_by_Sentiment!F$2:F$37,"",0,1),0),$A1265-TEXT(DATEVALUE($D1265&amp;"-01"), "dd-mm-yyyy")),0),0)</f>
        <v>1666</v>
      </c>
      <c r="G1265" cm="1">
        <f t="array" ref="G1265">IF($Q1265&gt;=0,IFERROR(generateSalesData($D1265, IF(ISNUMBER(_xlfn.XLOOKUP($C1265,Phone_by_Sentiment!$B$2:$B$37,Phone_by_Sentiment!G$2:G$37,"",0,1)),_xlfn.XLOOKUP($C1265,Phone_by_Sentiment!$B$2:$B$37,Phone_by_Sentiment!G$2:G$37,"",0,1),0),$A1265-TEXT(DATEVALUE($D1265&amp;"-01"), "dd-mm-yyyy")),0),0)</f>
        <v>153</v>
      </c>
      <c r="H1265" cm="1">
        <f t="array" ref="H1265">IF($Q1265&gt;=0,IFERROR(generateSalesData($D1265, IF(ISNUMBER(_xlfn.XLOOKUP($C1265,Phone_by_Sentiment!$B$2:$B$37,Phone_by_Sentiment!H$2:H$37,"",0,1)),_xlfn.XLOOKUP($C1265,Phone_by_Sentiment!$B$2:$B$37,Phone_by_Sentiment!H$2:H$37,"",0,1),0),$A1265-TEXT(DATEVALUE($D1265&amp;"-01"), "dd-mm-yyyy")),0),0)</f>
        <v>459</v>
      </c>
      <c r="I1265" cm="1">
        <f t="array" ref="I1265">IF($Q1265&gt;=0,IFERROR(generateSalesData($D1265, IF(ISNUMBER(_xlfn.XLOOKUP($C1265,Phone_by_Sentiment!$B$2:$B$37,Phone_by_Sentiment!I$2:I$37,"",0,1)),_xlfn.XLOOKUP($C1265,Phone_by_Sentiment!$B$2:$B$37,Phone_by_Sentiment!I$2:I$37,"",0,1),0),$A1265-TEXT(DATEVALUE($D1265&amp;"-01"), "dd-mm-yyyy")),0),0)</f>
        <v>113</v>
      </c>
      <c r="J1265" cm="1">
        <f t="array" ref="J1265">IF($Q1265&gt;=0,IFERROR(generateSalesData($D1265, IF(ISNUMBER(_xlfn.XLOOKUP($C1265,Phone_by_Sentiment!$B$2:$B$37,Phone_by_Sentiment!J$2:J$37,"",0,1)),_xlfn.XLOOKUP($C1265,Phone_by_Sentiment!$B$2:$B$37,Phone_by_Sentiment!J$2:J$37,"",0,1),0),$A1265-TEXT(DATEVALUE($D1265&amp;"-01"), "dd-mm-yyyy")),0),0)</f>
        <v>94</v>
      </c>
      <c r="K1265" cm="1">
        <f t="array" ref="K1265">IF($Q1265&gt;=0,IFERROR(generateSalesData($D1265, IF(ISNUMBER(_xlfn.XLOOKUP($C1265,Phone_by_Sentiment!$B$2:$B$37,Phone_by_Sentiment!K$2:K$37,"",0,1)),_xlfn.XLOOKUP($C1265,Phone_by_Sentiment!$B$2:$B$37,Phone_by_Sentiment!K$2:K$37,"",0,1),0),$A1265-TEXT(DATEVALUE($D1265&amp;"-01"), "dd-mm-yyyy")),0),0)</f>
        <v>48</v>
      </c>
      <c r="L1265" cm="1">
        <f t="array" ref="L1265">IF($Q1265&gt;=0,IFERROR(generateSalesData($D1265, IF(ISNUMBER(_xlfn.XLOOKUP($C1265,Phone_by_Sentiment!$B$2:$B$37,Phone_by_Sentiment!L$2:L$37,"",0,1)),_xlfn.XLOOKUP($C1265,Phone_by_Sentiment!$B$2:$B$37,Phone_by_Sentiment!L$2:L$37,"",0,1),0),$A1265-TEXT(DATEVALUE($D1265&amp;"-01"), "dd-mm-yyyy")),0),0)</f>
        <v>269</v>
      </c>
      <c r="M1265" cm="1">
        <f t="array" ref="M1265">IF($Q1265&gt;=0,IFERROR(generateSalesData($D1265, IF(ISNUMBER(_xlfn.XLOOKUP($C1265,Phone_by_Sentiment!$B$2:$B$37,Phone_by_Sentiment!M$2:M$37,"",0,1)),_xlfn.XLOOKUP($C1265,Phone_by_Sentiment!$B$2:$B$37,Phone_by_Sentiment!M$2:M$37,"",0,1),0),$A1265-TEXT(DATEVALUE($D1265&amp;"-01"), "dd-mm-yyyy")),0),0)</f>
        <v>257</v>
      </c>
      <c r="N1265" cm="1">
        <f t="array" ref="N1265">IF($Q1265&gt;=0,IFERROR(generateSalesData($D1265, IF(ISNUMBER(_xlfn.XLOOKUP($C1265,Phone_by_Sentiment!$B$2:$B$37,Phone_by_Sentiment!N$2:N$37,"",0,1)),_xlfn.XLOOKUP($C1265,Phone_by_Sentiment!$B$2:$B$37,Phone_by_Sentiment!N$2:N$37,"",0,1),0),$A1265-TEXT(DATEVALUE($D1265&amp;"-01"), "dd-mm-yyyy")),0),0)</f>
        <v>892</v>
      </c>
      <c r="O1265" cm="1">
        <f t="array" ref="O1265">IF($Q1265&gt;=0,IFERROR(generateSalesData($D1265, IF(ISNUMBER(_xlfn.XLOOKUP($C1265,Phone_by_Sentiment!$B$2:$B$37,Phone_by_Sentiment!O$2:O$37,"",0,1)),_xlfn.XLOOKUP($C1265,Phone_by_Sentiment!$B$2:$B$37,Phone_by_Sentiment!O$2:O$37,"",0,1),0),$A1265-TEXT(DATEVALUE($D1265&amp;"-01"), "dd-mm-yyyy")),0),0)</f>
        <v>1065</v>
      </c>
      <c r="P1265" s="1">
        <f t="shared" si="51"/>
        <v>44256</v>
      </c>
      <c r="Q1265">
        <f t="shared" si="52"/>
        <v>306</v>
      </c>
    </row>
    <row r="1266" spans="1:17" x14ac:dyDescent="0.25">
      <c r="A1266" s="1">
        <f t="shared" si="48"/>
        <v>44562</v>
      </c>
      <c r="B1266" t="s">
        <v>149</v>
      </c>
      <c r="C1266" t="str">
        <f>_xlfn.XLOOKUP(B1266,Phone_by_Price!$A$2:$A$34,Phone_by_Price!$B$2:$B$34,"-",0,1)</f>
        <v>Samsung Galaxy A52</v>
      </c>
      <c r="D1266" t="str">
        <f>_xlfn.XLOOKUP(C1266,Phone_by_Sentiment!$B$2:$B$37,Phone_by_Sentiment!$A$2:$A$37,"-",0,1)</f>
        <v>2021-03</v>
      </c>
      <c r="E1266" cm="1">
        <f t="array" ref="E1266">IF($Q1266&gt;=0,IFERROR(generateSalesData($D1266, IF(ISNUMBER(_xlfn.XLOOKUP($C1266,Phone_by_Sentiment!$B$2:$B$37,Phone_by_Sentiment!E$2:E$37,"",0,1)),_xlfn.XLOOKUP($C1266,Phone_by_Sentiment!$B$2:$B$37,Phone_by_Sentiment!E$2:E$37,"",0,1),0),$A1266-TEXT(DATEVALUE($D1266&amp;"-01"), "dd-mm-yyyy")),0),0)</f>
        <v>988</v>
      </c>
      <c r="F1266" cm="1">
        <f t="array" ref="F1266">IF($Q1266&gt;=0,IFERROR(generateSalesData($D1266, IF(ISNUMBER(_xlfn.XLOOKUP($C1266,Phone_by_Sentiment!$B$2:$B$37,Phone_by_Sentiment!F$2:F$37,"",0,1)),_xlfn.XLOOKUP($C1266,Phone_by_Sentiment!$B$2:$B$37,Phone_by_Sentiment!F$2:F$37,"",0,1),0),$A1266-TEXT(DATEVALUE($D1266&amp;"-01"), "dd-mm-yyyy")),0),0)</f>
        <v>1161</v>
      </c>
      <c r="G1266" cm="1">
        <f t="array" ref="G1266">IF($Q1266&gt;=0,IFERROR(generateSalesData($D1266, IF(ISNUMBER(_xlfn.XLOOKUP($C1266,Phone_by_Sentiment!$B$2:$B$37,Phone_by_Sentiment!G$2:G$37,"",0,1)),_xlfn.XLOOKUP($C1266,Phone_by_Sentiment!$B$2:$B$37,Phone_by_Sentiment!G$2:G$37,"",0,1),0),$A1266-TEXT(DATEVALUE($D1266&amp;"-01"), "dd-mm-yyyy")),0),0)</f>
        <v>82</v>
      </c>
      <c r="H1266" cm="1">
        <f t="array" ref="H1266">IF($Q1266&gt;=0,IFERROR(generateSalesData($D1266, IF(ISNUMBER(_xlfn.XLOOKUP($C1266,Phone_by_Sentiment!$B$2:$B$37,Phone_by_Sentiment!H$2:H$37,"",0,1)),_xlfn.XLOOKUP($C1266,Phone_by_Sentiment!$B$2:$B$37,Phone_by_Sentiment!H$2:H$37,"",0,1),0),$A1266-TEXT(DATEVALUE($D1266&amp;"-01"), "dd-mm-yyyy")),0),0)</f>
        <v>677</v>
      </c>
      <c r="I1266" cm="1">
        <f t="array" ref="I1266">IF($Q1266&gt;=0,IFERROR(generateSalesData($D1266, IF(ISNUMBER(_xlfn.XLOOKUP($C1266,Phone_by_Sentiment!$B$2:$B$37,Phone_by_Sentiment!I$2:I$37,"",0,1)),_xlfn.XLOOKUP($C1266,Phone_by_Sentiment!$B$2:$B$37,Phone_by_Sentiment!I$2:I$37,"",0,1),0),$A1266-TEXT(DATEVALUE($D1266&amp;"-01"), "dd-mm-yyyy")),0),0)</f>
        <v>770</v>
      </c>
      <c r="J1266" cm="1">
        <f t="array" ref="J1266">IF($Q1266&gt;=0,IFERROR(generateSalesData($D1266, IF(ISNUMBER(_xlfn.XLOOKUP($C1266,Phone_by_Sentiment!$B$2:$B$37,Phone_by_Sentiment!J$2:J$37,"",0,1)),_xlfn.XLOOKUP($C1266,Phone_by_Sentiment!$B$2:$B$37,Phone_by_Sentiment!J$2:J$37,"",0,1),0),$A1266-TEXT(DATEVALUE($D1266&amp;"-01"), "dd-mm-yyyy")),0),0)</f>
        <v>1136</v>
      </c>
      <c r="K1266" cm="1">
        <f t="array" ref="K1266">IF($Q1266&gt;=0,IFERROR(generateSalesData($D1266, IF(ISNUMBER(_xlfn.XLOOKUP($C1266,Phone_by_Sentiment!$B$2:$B$37,Phone_by_Sentiment!K$2:K$37,"",0,1)),_xlfn.XLOOKUP($C1266,Phone_by_Sentiment!$B$2:$B$37,Phone_by_Sentiment!K$2:K$37,"",0,1),0),$A1266-TEXT(DATEVALUE($D1266&amp;"-01"), "dd-mm-yyyy")),0),0)</f>
        <v>1115</v>
      </c>
      <c r="L1266" cm="1">
        <f t="array" ref="L1266">IF($Q1266&gt;=0,IFERROR(generateSalesData($D1266, IF(ISNUMBER(_xlfn.XLOOKUP($C1266,Phone_by_Sentiment!$B$2:$B$37,Phone_by_Sentiment!L$2:L$37,"",0,1)),_xlfn.XLOOKUP($C1266,Phone_by_Sentiment!$B$2:$B$37,Phone_by_Sentiment!L$2:L$37,"",0,1),0),$A1266-TEXT(DATEVALUE($D1266&amp;"-01"), "dd-mm-yyyy")),0),0)</f>
        <v>839</v>
      </c>
      <c r="M1266" cm="1">
        <f t="array" ref="M1266">IF($Q1266&gt;=0,IFERROR(generateSalesData($D1266, IF(ISNUMBER(_xlfn.XLOOKUP($C1266,Phone_by_Sentiment!$B$2:$B$37,Phone_by_Sentiment!M$2:M$37,"",0,1)),_xlfn.XLOOKUP($C1266,Phone_by_Sentiment!$B$2:$B$37,Phone_by_Sentiment!M$2:M$37,"",0,1),0),$A1266-TEXT(DATEVALUE($D1266&amp;"-01"), "dd-mm-yyyy")),0),0)</f>
        <v>43</v>
      </c>
      <c r="N1266" cm="1">
        <f t="array" ref="N1266">IF($Q1266&gt;=0,IFERROR(generateSalesData($D1266, IF(ISNUMBER(_xlfn.XLOOKUP($C1266,Phone_by_Sentiment!$B$2:$B$37,Phone_by_Sentiment!N$2:N$37,"",0,1)),_xlfn.XLOOKUP($C1266,Phone_by_Sentiment!$B$2:$B$37,Phone_by_Sentiment!N$2:N$37,"",0,1),0),$A1266-TEXT(DATEVALUE($D1266&amp;"-01"), "dd-mm-yyyy")),0),0)</f>
        <v>609</v>
      </c>
      <c r="O1266" cm="1">
        <f t="array" ref="O1266">IF($Q1266&gt;=0,IFERROR(generateSalesData($D1266, IF(ISNUMBER(_xlfn.XLOOKUP($C1266,Phone_by_Sentiment!$B$2:$B$37,Phone_by_Sentiment!O$2:O$37,"",0,1)),_xlfn.XLOOKUP($C1266,Phone_by_Sentiment!$B$2:$B$37,Phone_by_Sentiment!O$2:O$37,"",0,1),0),$A1266-TEXT(DATEVALUE($D1266&amp;"-01"), "dd-mm-yyyy")),0),0)</f>
        <v>845</v>
      </c>
      <c r="P1266" s="1">
        <f t="shared" si="51"/>
        <v>44256</v>
      </c>
      <c r="Q1266">
        <f t="shared" si="52"/>
        <v>306</v>
      </c>
    </row>
    <row r="1267" spans="1:17" x14ac:dyDescent="0.25">
      <c r="A1267" s="1">
        <f t="shared" si="48"/>
        <v>44562</v>
      </c>
      <c r="B1267" t="s">
        <v>150</v>
      </c>
      <c r="C1267" t="str">
        <f>_xlfn.XLOOKUP(B1267,Phone_by_Price!$A$2:$A$34,Phone_by_Price!$B$2:$B$34,"-",0,1)</f>
        <v>Vivo Y33s</v>
      </c>
      <c r="D1267" t="str">
        <f>_xlfn.XLOOKUP(C1267,Phone_by_Sentiment!$B$2:$B$37,Phone_by_Sentiment!$A$2:$A$37,"-",0,1)</f>
        <v>2021-05</v>
      </c>
      <c r="E1267" cm="1">
        <f t="array" ref="E1267">IF($Q1267&gt;=0,IFERROR(generateSalesData($D1267, IF(ISNUMBER(_xlfn.XLOOKUP($C1267,Phone_by_Sentiment!$B$2:$B$37,Phone_by_Sentiment!E$2:E$37,"",0,1)),_xlfn.XLOOKUP($C1267,Phone_by_Sentiment!$B$2:$B$37,Phone_by_Sentiment!E$2:E$37,"",0,1),0),$A1267-TEXT(DATEVALUE($D1267&amp;"-01"), "dd-mm-yyyy")),0),0)</f>
        <v>1271</v>
      </c>
      <c r="F1267" cm="1">
        <f t="array" ref="F1267">IF($Q1267&gt;=0,IFERROR(generateSalesData($D1267, IF(ISNUMBER(_xlfn.XLOOKUP($C1267,Phone_by_Sentiment!$B$2:$B$37,Phone_by_Sentiment!F$2:F$37,"",0,1)),_xlfn.XLOOKUP($C1267,Phone_by_Sentiment!$B$2:$B$37,Phone_by_Sentiment!F$2:F$37,"",0,1),0),$A1267-TEXT(DATEVALUE($D1267&amp;"-01"), "dd-mm-yyyy")),0),0)</f>
        <v>38</v>
      </c>
      <c r="G1267" cm="1">
        <f t="array" ref="G1267">IF($Q1267&gt;=0,IFERROR(generateSalesData($D1267, IF(ISNUMBER(_xlfn.XLOOKUP($C1267,Phone_by_Sentiment!$B$2:$B$37,Phone_by_Sentiment!G$2:G$37,"",0,1)),_xlfn.XLOOKUP($C1267,Phone_by_Sentiment!$B$2:$B$37,Phone_by_Sentiment!G$2:G$37,"",0,1),0),$A1267-TEXT(DATEVALUE($D1267&amp;"-01"), "dd-mm-yyyy")),0),0)</f>
        <v>149</v>
      </c>
      <c r="H1267" cm="1">
        <f t="array" ref="H1267">IF($Q1267&gt;=0,IFERROR(generateSalesData($D1267, IF(ISNUMBER(_xlfn.XLOOKUP($C1267,Phone_by_Sentiment!$B$2:$B$37,Phone_by_Sentiment!H$2:H$37,"",0,1)),_xlfn.XLOOKUP($C1267,Phone_by_Sentiment!$B$2:$B$37,Phone_by_Sentiment!H$2:H$37,"",0,1),0),$A1267-TEXT(DATEVALUE($D1267&amp;"-01"), "dd-mm-yyyy")),0),0)</f>
        <v>587</v>
      </c>
      <c r="I1267" cm="1">
        <f t="array" ref="I1267">IF($Q1267&gt;=0,IFERROR(generateSalesData($D1267, IF(ISNUMBER(_xlfn.XLOOKUP($C1267,Phone_by_Sentiment!$B$2:$B$37,Phone_by_Sentiment!I$2:I$37,"",0,1)),_xlfn.XLOOKUP($C1267,Phone_by_Sentiment!$B$2:$B$37,Phone_by_Sentiment!I$2:I$37,"",0,1),0),$A1267-TEXT(DATEVALUE($D1267&amp;"-01"), "dd-mm-yyyy")),0),0)</f>
        <v>-50</v>
      </c>
      <c r="J1267" cm="1">
        <f t="array" ref="J1267">IF($Q1267&gt;=0,IFERROR(generateSalesData($D1267, IF(ISNUMBER(_xlfn.XLOOKUP($C1267,Phone_by_Sentiment!$B$2:$B$37,Phone_by_Sentiment!J$2:J$37,"",0,1)),_xlfn.XLOOKUP($C1267,Phone_by_Sentiment!$B$2:$B$37,Phone_by_Sentiment!J$2:J$37,"",0,1),0),$A1267-TEXT(DATEVALUE($D1267&amp;"-01"), "dd-mm-yyyy")),0),0)</f>
        <v>371</v>
      </c>
      <c r="K1267" cm="1">
        <f t="array" ref="K1267">IF($Q1267&gt;=0,IFERROR(generateSalesData($D1267, IF(ISNUMBER(_xlfn.XLOOKUP($C1267,Phone_by_Sentiment!$B$2:$B$37,Phone_by_Sentiment!K$2:K$37,"",0,1)),_xlfn.XLOOKUP($C1267,Phone_by_Sentiment!$B$2:$B$37,Phone_by_Sentiment!K$2:K$37,"",0,1),0),$A1267-TEXT(DATEVALUE($D1267&amp;"-01"), "dd-mm-yyyy")),0),0)</f>
        <v>238</v>
      </c>
      <c r="L1267" cm="1">
        <f t="array" ref="L1267">IF($Q1267&gt;=0,IFERROR(generateSalesData($D1267, IF(ISNUMBER(_xlfn.XLOOKUP($C1267,Phone_by_Sentiment!$B$2:$B$37,Phone_by_Sentiment!L$2:L$37,"",0,1)),_xlfn.XLOOKUP($C1267,Phone_by_Sentiment!$B$2:$B$37,Phone_by_Sentiment!L$2:L$37,"",0,1),0),$A1267-TEXT(DATEVALUE($D1267&amp;"-01"), "dd-mm-yyyy")),0),0)</f>
        <v>91</v>
      </c>
      <c r="M1267" cm="1">
        <f t="array" ref="M1267">IF($Q1267&gt;=0,IFERROR(generateSalesData($D1267, IF(ISNUMBER(_xlfn.XLOOKUP($C1267,Phone_by_Sentiment!$B$2:$B$37,Phone_by_Sentiment!M$2:M$37,"",0,1)),_xlfn.XLOOKUP($C1267,Phone_by_Sentiment!$B$2:$B$37,Phone_by_Sentiment!M$2:M$37,"",0,1),0),$A1267-TEXT(DATEVALUE($D1267&amp;"-01"), "dd-mm-yyyy")),0),0)</f>
        <v>157</v>
      </c>
      <c r="N1267" cm="1">
        <f t="array" ref="N1267">IF($Q1267&gt;=0,IFERROR(generateSalesData($D1267, IF(ISNUMBER(_xlfn.XLOOKUP($C1267,Phone_by_Sentiment!$B$2:$B$37,Phone_by_Sentiment!N$2:N$37,"",0,1)),_xlfn.XLOOKUP($C1267,Phone_by_Sentiment!$B$2:$B$37,Phone_by_Sentiment!N$2:N$37,"",0,1),0),$A1267-TEXT(DATEVALUE($D1267&amp;"-01"), "dd-mm-yyyy")),0),0)</f>
        <v>269</v>
      </c>
      <c r="O1267" cm="1">
        <f t="array" ref="O1267">IF($Q1267&gt;=0,IFERROR(generateSalesData($D1267, IF(ISNUMBER(_xlfn.XLOOKUP($C1267,Phone_by_Sentiment!$B$2:$B$37,Phone_by_Sentiment!O$2:O$37,"",0,1)),_xlfn.XLOOKUP($C1267,Phone_by_Sentiment!$B$2:$B$37,Phone_by_Sentiment!O$2:O$37,"",0,1),0),$A1267-TEXT(DATEVALUE($D1267&amp;"-01"), "dd-mm-yyyy")),0),0)</f>
        <v>1511</v>
      </c>
      <c r="P1267" s="1">
        <f t="shared" si="51"/>
        <v>44317</v>
      </c>
      <c r="Q1267">
        <f t="shared" si="52"/>
        <v>245</v>
      </c>
    </row>
    <row r="1268" spans="1:17" x14ac:dyDescent="0.25">
      <c r="A1268" s="1">
        <f t="shared" si="48"/>
        <v>44562</v>
      </c>
      <c r="B1268" t="s">
        <v>151</v>
      </c>
      <c r="C1268" t="str">
        <f>_xlfn.XLOOKUP(B1268,Phone_by_Price!$A$2:$A$34,Phone_by_Price!$B$2:$B$34,"-",0,1)</f>
        <v>Vivo Y11s</v>
      </c>
      <c r="D1268" t="str">
        <f>_xlfn.XLOOKUP(C1268,Phone_by_Sentiment!$B$2:$B$37,Phone_by_Sentiment!$A$2:$A$37,"-",0,1)</f>
        <v>2020-11</v>
      </c>
      <c r="E1268" cm="1">
        <f t="array" ref="E1268">IF($Q1268&gt;=0,IFERROR(generateSalesData($D1268, IF(ISNUMBER(_xlfn.XLOOKUP($C1268,Phone_by_Sentiment!$B$2:$B$37,Phone_by_Sentiment!E$2:E$37,"",0,1)),_xlfn.XLOOKUP($C1268,Phone_by_Sentiment!$B$2:$B$37,Phone_by_Sentiment!E$2:E$37,"",0,1),0),$A1268-TEXT(DATEVALUE($D1268&amp;"-01"), "dd-mm-yyyy")),0),0)</f>
        <v>142</v>
      </c>
      <c r="F1268" cm="1">
        <f t="array" ref="F1268">IF($Q1268&gt;=0,IFERROR(generateSalesData($D1268, IF(ISNUMBER(_xlfn.XLOOKUP($C1268,Phone_by_Sentiment!$B$2:$B$37,Phone_by_Sentiment!F$2:F$37,"",0,1)),_xlfn.XLOOKUP($C1268,Phone_by_Sentiment!$B$2:$B$37,Phone_by_Sentiment!F$2:F$37,"",0,1),0),$A1268-TEXT(DATEVALUE($D1268&amp;"-01"), "dd-mm-yyyy")),0),0)</f>
        <v>239</v>
      </c>
      <c r="G1268" cm="1">
        <f t="array" ref="G1268">IF($Q1268&gt;=0,IFERROR(generateSalesData($D1268, IF(ISNUMBER(_xlfn.XLOOKUP($C1268,Phone_by_Sentiment!$B$2:$B$37,Phone_by_Sentiment!G$2:G$37,"",0,1)),_xlfn.XLOOKUP($C1268,Phone_by_Sentiment!$B$2:$B$37,Phone_by_Sentiment!G$2:G$37,"",0,1),0),$A1268-TEXT(DATEVALUE($D1268&amp;"-01"), "dd-mm-yyyy")),0),0)</f>
        <v>160</v>
      </c>
      <c r="H1268" cm="1">
        <f t="array" ref="H1268">IF($Q1268&gt;=0,IFERROR(generateSalesData($D1268, IF(ISNUMBER(_xlfn.XLOOKUP($C1268,Phone_by_Sentiment!$B$2:$B$37,Phone_by_Sentiment!H$2:H$37,"",0,1)),_xlfn.XLOOKUP($C1268,Phone_by_Sentiment!$B$2:$B$37,Phone_by_Sentiment!H$2:H$37,"",0,1),0),$A1268-TEXT(DATEVALUE($D1268&amp;"-01"), "dd-mm-yyyy")),0),0)</f>
        <v>146</v>
      </c>
      <c r="I1268" cm="1">
        <f t="array" ref="I1268">IF($Q1268&gt;=0,IFERROR(generateSalesData($D1268, IF(ISNUMBER(_xlfn.XLOOKUP($C1268,Phone_by_Sentiment!$B$2:$B$37,Phone_by_Sentiment!I$2:I$37,"",0,1)),_xlfn.XLOOKUP($C1268,Phone_by_Sentiment!$B$2:$B$37,Phone_by_Sentiment!I$2:I$37,"",0,1),0),$A1268-TEXT(DATEVALUE($D1268&amp;"-01"), "dd-mm-yyyy")),0),0)</f>
        <v>224</v>
      </c>
      <c r="J1268" cm="1">
        <f t="array" ref="J1268">IF($Q1268&gt;=0,IFERROR(generateSalesData($D1268, IF(ISNUMBER(_xlfn.XLOOKUP($C1268,Phone_by_Sentiment!$B$2:$B$37,Phone_by_Sentiment!J$2:J$37,"",0,1)),_xlfn.XLOOKUP($C1268,Phone_by_Sentiment!$B$2:$B$37,Phone_by_Sentiment!J$2:J$37,"",0,1),0),$A1268-TEXT(DATEVALUE($D1268&amp;"-01"), "dd-mm-yyyy")),0),0)</f>
        <v>-3</v>
      </c>
      <c r="K1268" cm="1">
        <f t="array" ref="K1268">IF($Q1268&gt;=0,IFERROR(generateSalesData($D1268, IF(ISNUMBER(_xlfn.XLOOKUP($C1268,Phone_by_Sentiment!$B$2:$B$37,Phone_by_Sentiment!K$2:K$37,"",0,1)),_xlfn.XLOOKUP($C1268,Phone_by_Sentiment!$B$2:$B$37,Phone_by_Sentiment!K$2:K$37,"",0,1),0),$A1268-TEXT(DATEVALUE($D1268&amp;"-01"), "dd-mm-yyyy")),0),0)</f>
        <v>200</v>
      </c>
      <c r="L1268" cm="1">
        <f t="array" ref="L1268">IF($Q1268&gt;=0,IFERROR(generateSalesData($D1268, IF(ISNUMBER(_xlfn.XLOOKUP($C1268,Phone_by_Sentiment!$B$2:$B$37,Phone_by_Sentiment!L$2:L$37,"",0,1)),_xlfn.XLOOKUP($C1268,Phone_by_Sentiment!$B$2:$B$37,Phone_by_Sentiment!L$2:L$37,"",0,1),0),$A1268-TEXT(DATEVALUE($D1268&amp;"-01"), "dd-mm-yyyy")),0),0)</f>
        <v>133</v>
      </c>
      <c r="M1268" cm="1">
        <f t="array" ref="M1268">IF($Q1268&gt;=0,IFERROR(generateSalesData($D1268, IF(ISNUMBER(_xlfn.XLOOKUP($C1268,Phone_by_Sentiment!$B$2:$B$37,Phone_by_Sentiment!M$2:M$37,"",0,1)),_xlfn.XLOOKUP($C1268,Phone_by_Sentiment!$B$2:$B$37,Phone_by_Sentiment!M$2:M$37,"",0,1),0),$A1268-TEXT(DATEVALUE($D1268&amp;"-01"), "dd-mm-yyyy")),0),0)</f>
        <v>570</v>
      </c>
      <c r="N1268" cm="1">
        <f t="array" ref="N1268">IF($Q1268&gt;=0,IFERROR(generateSalesData($D1268, IF(ISNUMBER(_xlfn.XLOOKUP($C1268,Phone_by_Sentiment!$B$2:$B$37,Phone_by_Sentiment!N$2:N$37,"",0,1)),_xlfn.XLOOKUP($C1268,Phone_by_Sentiment!$B$2:$B$37,Phone_by_Sentiment!N$2:N$37,"",0,1),0),$A1268-TEXT(DATEVALUE($D1268&amp;"-01"), "dd-mm-yyyy")),0),0)</f>
        <v>148</v>
      </c>
      <c r="O1268" cm="1">
        <f t="array" ref="O1268">IF($Q1268&gt;=0,IFERROR(generateSalesData($D1268, IF(ISNUMBER(_xlfn.XLOOKUP($C1268,Phone_by_Sentiment!$B$2:$B$37,Phone_by_Sentiment!O$2:O$37,"",0,1)),_xlfn.XLOOKUP($C1268,Phone_by_Sentiment!$B$2:$B$37,Phone_by_Sentiment!O$2:O$37,"",0,1),0),$A1268-TEXT(DATEVALUE($D1268&amp;"-01"), "dd-mm-yyyy")),0),0)</f>
        <v>173</v>
      </c>
      <c r="P1268" s="1">
        <f t="shared" si="51"/>
        <v>44136</v>
      </c>
      <c r="Q1268">
        <f t="shared" si="52"/>
        <v>426</v>
      </c>
    </row>
    <row r="1269" spans="1:17" x14ac:dyDescent="0.25">
      <c r="A1269" s="1">
        <f t="shared" si="48"/>
        <v>44562</v>
      </c>
      <c r="B1269" t="s">
        <v>152</v>
      </c>
      <c r="C1269" t="str">
        <f>_xlfn.XLOOKUP(B1269,Phone_by_Price!$A$2:$A$34,Phone_by_Price!$B$2:$B$34,"-",0,1)</f>
        <v>Huawei Nova 7i</v>
      </c>
      <c r="D1269" t="str">
        <f>_xlfn.XLOOKUP(C1269,Phone_by_Sentiment!$B$2:$B$37,Phone_by_Sentiment!$A$2:$A$37,"-",0,1)</f>
        <v>2020-02</v>
      </c>
      <c r="E1269" cm="1">
        <f t="array" ref="E1269">IF($Q1269&gt;=0,IFERROR(generateSalesData($D1269, IF(ISNUMBER(_xlfn.XLOOKUP($C1269,Phone_by_Sentiment!$B$2:$B$37,Phone_by_Sentiment!E$2:E$37,"",0,1)),_xlfn.XLOOKUP($C1269,Phone_by_Sentiment!$B$2:$B$37,Phone_by_Sentiment!E$2:E$37,"",0,1),0),$A1269-TEXT(DATEVALUE($D1269&amp;"-01"), "dd-mm-yyyy")),0),0)</f>
        <v>63</v>
      </c>
      <c r="F1269" cm="1">
        <f t="array" ref="F1269">IF($Q1269&gt;=0,IFERROR(generateSalesData($D1269, IF(ISNUMBER(_xlfn.XLOOKUP($C1269,Phone_by_Sentiment!$B$2:$B$37,Phone_by_Sentiment!F$2:F$37,"",0,1)),_xlfn.XLOOKUP($C1269,Phone_by_Sentiment!$B$2:$B$37,Phone_by_Sentiment!F$2:F$37,"",0,1),0),$A1269-TEXT(DATEVALUE($D1269&amp;"-01"), "dd-mm-yyyy")),0),0)</f>
        <v>51</v>
      </c>
      <c r="G1269" cm="1">
        <f t="array" ref="G1269">IF($Q1269&gt;=0,IFERROR(generateSalesData($D1269, IF(ISNUMBER(_xlfn.XLOOKUP($C1269,Phone_by_Sentiment!$B$2:$B$37,Phone_by_Sentiment!G$2:G$37,"",0,1)),_xlfn.XLOOKUP($C1269,Phone_by_Sentiment!$B$2:$B$37,Phone_by_Sentiment!G$2:G$37,"",0,1),0),$A1269-TEXT(DATEVALUE($D1269&amp;"-01"), "dd-mm-yyyy")),0),0)</f>
        <v>94</v>
      </c>
      <c r="H1269" cm="1">
        <f t="array" ref="H1269">IF($Q1269&gt;=0,IFERROR(generateSalesData($D1269, IF(ISNUMBER(_xlfn.XLOOKUP($C1269,Phone_by_Sentiment!$B$2:$B$37,Phone_by_Sentiment!H$2:H$37,"",0,1)),_xlfn.XLOOKUP($C1269,Phone_by_Sentiment!$B$2:$B$37,Phone_by_Sentiment!H$2:H$37,"",0,1),0),$A1269-TEXT(DATEVALUE($D1269&amp;"-01"), "dd-mm-yyyy")),0),0)</f>
        <v>368</v>
      </c>
      <c r="I1269" cm="1">
        <f t="array" ref="I1269">IF($Q1269&gt;=0,IFERROR(generateSalesData($D1269, IF(ISNUMBER(_xlfn.XLOOKUP($C1269,Phone_by_Sentiment!$B$2:$B$37,Phone_by_Sentiment!I$2:I$37,"",0,1)),_xlfn.XLOOKUP($C1269,Phone_by_Sentiment!$B$2:$B$37,Phone_by_Sentiment!I$2:I$37,"",0,1),0),$A1269-TEXT(DATEVALUE($D1269&amp;"-01"), "dd-mm-yyyy")),0),0)</f>
        <v>95</v>
      </c>
      <c r="J1269" cm="1">
        <f t="array" ref="J1269">IF($Q1269&gt;=0,IFERROR(generateSalesData($D1269, IF(ISNUMBER(_xlfn.XLOOKUP($C1269,Phone_by_Sentiment!$B$2:$B$37,Phone_by_Sentiment!J$2:J$37,"",0,1)),_xlfn.XLOOKUP($C1269,Phone_by_Sentiment!$B$2:$B$37,Phone_by_Sentiment!J$2:J$37,"",0,1),0),$A1269-TEXT(DATEVALUE($D1269&amp;"-01"), "dd-mm-yyyy")),0),0)</f>
        <v>80</v>
      </c>
      <c r="K1269" cm="1">
        <f t="array" ref="K1269">IF($Q1269&gt;=0,IFERROR(generateSalesData($D1269, IF(ISNUMBER(_xlfn.XLOOKUP($C1269,Phone_by_Sentiment!$B$2:$B$37,Phone_by_Sentiment!K$2:K$37,"",0,1)),_xlfn.XLOOKUP($C1269,Phone_by_Sentiment!$B$2:$B$37,Phone_by_Sentiment!K$2:K$37,"",0,1),0),$A1269-TEXT(DATEVALUE($D1269&amp;"-01"), "dd-mm-yyyy")),0),0)</f>
        <v>112</v>
      </c>
      <c r="L1269" cm="1">
        <f t="array" ref="L1269">IF($Q1269&gt;=0,IFERROR(generateSalesData($D1269, IF(ISNUMBER(_xlfn.XLOOKUP($C1269,Phone_by_Sentiment!$B$2:$B$37,Phone_by_Sentiment!L$2:L$37,"",0,1)),_xlfn.XLOOKUP($C1269,Phone_by_Sentiment!$B$2:$B$37,Phone_by_Sentiment!L$2:L$37,"",0,1),0),$A1269-TEXT(DATEVALUE($D1269&amp;"-01"), "dd-mm-yyyy")),0),0)</f>
        <v>91</v>
      </c>
      <c r="M1269" cm="1">
        <f t="array" ref="M1269">IF($Q1269&gt;=0,IFERROR(generateSalesData($D1269, IF(ISNUMBER(_xlfn.XLOOKUP($C1269,Phone_by_Sentiment!$B$2:$B$37,Phone_by_Sentiment!M$2:M$37,"",0,1)),_xlfn.XLOOKUP($C1269,Phone_by_Sentiment!$B$2:$B$37,Phone_by_Sentiment!M$2:M$37,"",0,1),0),$A1269-TEXT(DATEVALUE($D1269&amp;"-01"), "dd-mm-yyyy")),0),0)</f>
        <v>134</v>
      </c>
      <c r="N1269" cm="1">
        <f t="array" ref="N1269">IF($Q1269&gt;=0,IFERROR(generateSalesData($D1269, IF(ISNUMBER(_xlfn.XLOOKUP($C1269,Phone_by_Sentiment!$B$2:$B$37,Phone_by_Sentiment!N$2:N$37,"",0,1)),_xlfn.XLOOKUP($C1269,Phone_by_Sentiment!$B$2:$B$37,Phone_by_Sentiment!N$2:N$37,"",0,1),0),$A1269-TEXT(DATEVALUE($D1269&amp;"-01"), "dd-mm-yyyy")),0),0)</f>
        <v>38</v>
      </c>
      <c r="O1269" cm="1">
        <f t="array" ref="O1269">IF($Q1269&gt;=0,IFERROR(generateSalesData($D1269, IF(ISNUMBER(_xlfn.XLOOKUP($C1269,Phone_by_Sentiment!$B$2:$B$37,Phone_by_Sentiment!O$2:O$37,"",0,1)),_xlfn.XLOOKUP($C1269,Phone_by_Sentiment!$B$2:$B$37,Phone_by_Sentiment!O$2:O$37,"",0,1),0),$A1269-TEXT(DATEVALUE($D1269&amp;"-01"), "dd-mm-yyyy")),0),0)</f>
        <v>127</v>
      </c>
      <c r="P1269" s="1">
        <f t="shared" si="51"/>
        <v>43862</v>
      </c>
      <c r="Q1269">
        <f t="shared" si="52"/>
        <v>700</v>
      </c>
    </row>
    <row r="1270" spans="1:17" x14ac:dyDescent="0.25">
      <c r="A1270" s="1">
        <f t="shared" si="48"/>
        <v>44562</v>
      </c>
      <c r="B1270" t="s">
        <v>153</v>
      </c>
      <c r="C1270" t="str">
        <f>_xlfn.XLOOKUP(B1270,Phone_by_Price!$A$2:$A$34,Phone_by_Price!$B$2:$B$34,"-",0,1)</f>
        <v>iPhone 13</v>
      </c>
      <c r="D1270" t="str">
        <f>_xlfn.XLOOKUP(C1270,Phone_by_Sentiment!$B$2:$B$37,Phone_by_Sentiment!$A$2:$A$37,"-",0,1)</f>
        <v>2021-09</v>
      </c>
      <c r="E1270" cm="1">
        <f t="array" ref="E1270">IF($Q1270&gt;=0,IFERROR(generateSalesData($D1270, IF(ISNUMBER(_xlfn.XLOOKUP($C1270,Phone_by_Sentiment!$B$2:$B$37,Phone_by_Sentiment!E$2:E$37,"",0,1)),_xlfn.XLOOKUP($C1270,Phone_by_Sentiment!$B$2:$B$37,Phone_by_Sentiment!E$2:E$37,"",0,1),0),$A1270-TEXT(DATEVALUE($D1270&amp;"-01"), "dd-mm-yyyy")),0),0)</f>
        <v>774</v>
      </c>
      <c r="F1270" cm="1">
        <f t="array" ref="F1270">IF($Q1270&gt;=0,IFERROR(generateSalesData($D1270, IF(ISNUMBER(_xlfn.XLOOKUP($C1270,Phone_by_Sentiment!$B$2:$B$37,Phone_by_Sentiment!F$2:F$37,"",0,1)),_xlfn.XLOOKUP($C1270,Phone_by_Sentiment!$B$2:$B$37,Phone_by_Sentiment!F$2:F$37,"",0,1),0),$A1270-TEXT(DATEVALUE($D1270&amp;"-01"), "dd-mm-yyyy")),0),0)</f>
        <v>528</v>
      </c>
      <c r="G1270" cm="1">
        <f t="array" ref="G1270">IF($Q1270&gt;=0,IFERROR(generateSalesData($D1270, IF(ISNUMBER(_xlfn.XLOOKUP($C1270,Phone_by_Sentiment!$B$2:$B$37,Phone_by_Sentiment!G$2:G$37,"",0,1)),_xlfn.XLOOKUP($C1270,Phone_by_Sentiment!$B$2:$B$37,Phone_by_Sentiment!G$2:G$37,"",0,1),0),$A1270-TEXT(DATEVALUE($D1270&amp;"-01"), "dd-mm-yyyy")),0),0)</f>
        <v>165</v>
      </c>
      <c r="H1270" cm="1">
        <f t="array" ref="H1270">IF($Q1270&gt;=0,IFERROR(generateSalesData($D1270, IF(ISNUMBER(_xlfn.XLOOKUP($C1270,Phone_by_Sentiment!$B$2:$B$37,Phone_by_Sentiment!H$2:H$37,"",0,1)),_xlfn.XLOOKUP($C1270,Phone_by_Sentiment!$B$2:$B$37,Phone_by_Sentiment!H$2:H$37,"",0,1),0),$A1270-TEXT(DATEVALUE($D1270&amp;"-01"), "dd-mm-yyyy")),0),0)</f>
        <v>698</v>
      </c>
      <c r="I1270" cm="1">
        <f t="array" ref="I1270">IF($Q1270&gt;=0,IFERROR(generateSalesData($D1270, IF(ISNUMBER(_xlfn.XLOOKUP($C1270,Phone_by_Sentiment!$B$2:$B$37,Phone_by_Sentiment!I$2:I$37,"",0,1)),_xlfn.XLOOKUP($C1270,Phone_by_Sentiment!$B$2:$B$37,Phone_by_Sentiment!I$2:I$37,"",0,1),0),$A1270-TEXT(DATEVALUE($D1270&amp;"-01"), "dd-mm-yyyy")),0),0)</f>
        <v>206</v>
      </c>
      <c r="J1270" cm="1">
        <f t="array" ref="J1270">IF($Q1270&gt;=0,IFERROR(generateSalesData($D1270, IF(ISNUMBER(_xlfn.XLOOKUP($C1270,Phone_by_Sentiment!$B$2:$B$37,Phone_by_Sentiment!J$2:J$37,"",0,1)),_xlfn.XLOOKUP($C1270,Phone_by_Sentiment!$B$2:$B$37,Phone_by_Sentiment!J$2:J$37,"",0,1),0),$A1270-TEXT(DATEVALUE($D1270&amp;"-01"), "dd-mm-yyyy")),0),0)</f>
        <v>1601</v>
      </c>
      <c r="K1270" cm="1">
        <f t="array" ref="K1270">IF($Q1270&gt;=0,IFERROR(generateSalesData($D1270, IF(ISNUMBER(_xlfn.XLOOKUP($C1270,Phone_by_Sentiment!$B$2:$B$37,Phone_by_Sentiment!K$2:K$37,"",0,1)),_xlfn.XLOOKUP($C1270,Phone_by_Sentiment!$B$2:$B$37,Phone_by_Sentiment!K$2:K$37,"",0,1),0),$A1270-TEXT(DATEVALUE($D1270&amp;"-01"), "dd-mm-yyyy")),0),0)</f>
        <v>524</v>
      </c>
      <c r="L1270" cm="1">
        <f t="array" ref="L1270">IF($Q1270&gt;=0,IFERROR(generateSalesData($D1270, IF(ISNUMBER(_xlfn.XLOOKUP($C1270,Phone_by_Sentiment!$B$2:$B$37,Phone_by_Sentiment!L$2:L$37,"",0,1)),_xlfn.XLOOKUP($C1270,Phone_by_Sentiment!$B$2:$B$37,Phone_by_Sentiment!L$2:L$37,"",0,1),0),$A1270-TEXT(DATEVALUE($D1270&amp;"-01"), "dd-mm-yyyy")),0),0)</f>
        <v>331</v>
      </c>
      <c r="M1270" cm="1">
        <f t="array" ref="M1270">IF($Q1270&gt;=0,IFERROR(generateSalesData($D1270, IF(ISNUMBER(_xlfn.XLOOKUP($C1270,Phone_by_Sentiment!$B$2:$B$37,Phone_by_Sentiment!M$2:M$37,"",0,1)),_xlfn.XLOOKUP($C1270,Phone_by_Sentiment!$B$2:$B$37,Phone_by_Sentiment!M$2:M$37,"",0,1),0),$A1270-TEXT(DATEVALUE($D1270&amp;"-01"), "dd-mm-yyyy")),0),0)</f>
        <v>3076</v>
      </c>
      <c r="N1270" cm="1">
        <f t="array" ref="N1270">IF($Q1270&gt;=0,IFERROR(generateSalesData($D1270, IF(ISNUMBER(_xlfn.XLOOKUP($C1270,Phone_by_Sentiment!$B$2:$B$37,Phone_by_Sentiment!N$2:N$37,"",0,1)),_xlfn.XLOOKUP($C1270,Phone_by_Sentiment!$B$2:$B$37,Phone_by_Sentiment!N$2:N$37,"",0,1),0),$A1270-TEXT(DATEVALUE($D1270&amp;"-01"), "dd-mm-yyyy")),0),0)</f>
        <v>230</v>
      </c>
      <c r="O1270" cm="1">
        <f t="array" ref="O1270">IF($Q1270&gt;=0,IFERROR(generateSalesData($D1270, IF(ISNUMBER(_xlfn.XLOOKUP($C1270,Phone_by_Sentiment!$B$2:$B$37,Phone_by_Sentiment!O$2:O$37,"",0,1)),_xlfn.XLOOKUP($C1270,Phone_by_Sentiment!$B$2:$B$37,Phone_by_Sentiment!O$2:O$37,"",0,1),0),$A1270-TEXT(DATEVALUE($D1270&amp;"-01"), "dd-mm-yyyy")),0),0)</f>
        <v>3273</v>
      </c>
      <c r="P1270" s="1">
        <f t="shared" si="51"/>
        <v>44440</v>
      </c>
      <c r="Q1270">
        <f t="shared" si="52"/>
        <v>122</v>
      </c>
    </row>
    <row r="1271" spans="1:17" x14ac:dyDescent="0.25">
      <c r="A1271" s="1">
        <f t="shared" si="48"/>
        <v>44562</v>
      </c>
      <c r="B1271" t="s">
        <v>154</v>
      </c>
      <c r="C1271" t="str">
        <f>_xlfn.XLOOKUP(B1271,Phone_by_Price!$A$2:$A$34,Phone_by_Price!$B$2:$B$34,"-",0,1)</f>
        <v>Samsung Galaxy S21</v>
      </c>
      <c r="D1271" t="str">
        <f>_xlfn.XLOOKUP(C1271,Phone_by_Sentiment!$B$2:$B$37,Phone_by_Sentiment!$A$2:$A$37,"-",0,1)</f>
        <v>2021-01</v>
      </c>
      <c r="E1271" cm="1">
        <f t="array" ref="E1271">IF($Q1271&gt;=0,IFERROR(generateSalesData($D1271, IF(ISNUMBER(_xlfn.XLOOKUP($C1271,Phone_by_Sentiment!$B$2:$B$37,Phone_by_Sentiment!E$2:E$37,"",0,1)),_xlfn.XLOOKUP($C1271,Phone_by_Sentiment!$B$2:$B$37,Phone_by_Sentiment!E$2:E$37,"",0,1),0),$A1271-TEXT(DATEVALUE($D1271&amp;"-01"), "dd-mm-yyyy")),0),0)</f>
        <v>25</v>
      </c>
      <c r="F1271" cm="1">
        <f t="array" ref="F1271">IF($Q1271&gt;=0,IFERROR(generateSalesData($D1271, IF(ISNUMBER(_xlfn.XLOOKUP($C1271,Phone_by_Sentiment!$B$2:$B$37,Phone_by_Sentiment!F$2:F$37,"",0,1)),_xlfn.XLOOKUP($C1271,Phone_by_Sentiment!$B$2:$B$37,Phone_by_Sentiment!F$2:F$37,"",0,1),0),$A1271-TEXT(DATEVALUE($D1271&amp;"-01"), "dd-mm-yyyy")),0),0)</f>
        <v>387</v>
      </c>
      <c r="G1271" cm="1">
        <f t="array" ref="G1271">IF($Q1271&gt;=0,IFERROR(generateSalesData($D1271, IF(ISNUMBER(_xlfn.XLOOKUP($C1271,Phone_by_Sentiment!$B$2:$B$37,Phone_by_Sentiment!G$2:G$37,"",0,1)),_xlfn.XLOOKUP($C1271,Phone_by_Sentiment!$B$2:$B$37,Phone_by_Sentiment!G$2:G$37,"",0,1),0),$A1271-TEXT(DATEVALUE($D1271&amp;"-01"), "dd-mm-yyyy")),0),0)</f>
        <v>22</v>
      </c>
      <c r="H1271" cm="1">
        <f t="array" ref="H1271">IF($Q1271&gt;=0,IFERROR(generateSalesData($D1271, IF(ISNUMBER(_xlfn.XLOOKUP($C1271,Phone_by_Sentiment!$B$2:$B$37,Phone_by_Sentiment!H$2:H$37,"",0,1)),_xlfn.XLOOKUP($C1271,Phone_by_Sentiment!$B$2:$B$37,Phone_by_Sentiment!H$2:H$37,"",0,1),0),$A1271-TEXT(DATEVALUE($D1271&amp;"-01"), "dd-mm-yyyy")),0),0)</f>
        <v>377</v>
      </c>
      <c r="I1271" cm="1">
        <f t="array" ref="I1271">IF($Q1271&gt;=0,IFERROR(generateSalesData($D1271, IF(ISNUMBER(_xlfn.XLOOKUP($C1271,Phone_by_Sentiment!$B$2:$B$37,Phone_by_Sentiment!I$2:I$37,"",0,1)),_xlfn.XLOOKUP($C1271,Phone_by_Sentiment!$B$2:$B$37,Phone_by_Sentiment!I$2:I$37,"",0,1),0),$A1271-TEXT(DATEVALUE($D1271&amp;"-01"), "dd-mm-yyyy")),0),0)</f>
        <v>459</v>
      </c>
      <c r="J1271" cm="1">
        <f t="array" ref="J1271">IF($Q1271&gt;=0,IFERROR(generateSalesData($D1271, IF(ISNUMBER(_xlfn.XLOOKUP($C1271,Phone_by_Sentiment!$B$2:$B$37,Phone_by_Sentiment!J$2:J$37,"",0,1)),_xlfn.XLOOKUP($C1271,Phone_by_Sentiment!$B$2:$B$37,Phone_by_Sentiment!J$2:J$37,"",0,1),0),$A1271-TEXT(DATEVALUE($D1271&amp;"-01"), "dd-mm-yyyy")),0),0)</f>
        <v>83</v>
      </c>
      <c r="K1271" cm="1">
        <f t="array" ref="K1271">IF($Q1271&gt;=0,IFERROR(generateSalesData($D1271, IF(ISNUMBER(_xlfn.XLOOKUP($C1271,Phone_by_Sentiment!$B$2:$B$37,Phone_by_Sentiment!K$2:K$37,"",0,1)),_xlfn.XLOOKUP($C1271,Phone_by_Sentiment!$B$2:$B$37,Phone_by_Sentiment!K$2:K$37,"",0,1),0),$A1271-TEXT(DATEVALUE($D1271&amp;"-01"), "dd-mm-yyyy")),0),0)</f>
        <v>107</v>
      </c>
      <c r="L1271" cm="1">
        <f t="array" ref="L1271">IF($Q1271&gt;=0,IFERROR(generateSalesData($D1271, IF(ISNUMBER(_xlfn.XLOOKUP($C1271,Phone_by_Sentiment!$B$2:$B$37,Phone_by_Sentiment!L$2:L$37,"",0,1)),_xlfn.XLOOKUP($C1271,Phone_by_Sentiment!$B$2:$B$37,Phone_by_Sentiment!L$2:L$37,"",0,1),0),$A1271-TEXT(DATEVALUE($D1271&amp;"-01"), "dd-mm-yyyy")),0),0)</f>
        <v>614</v>
      </c>
      <c r="M1271" cm="1">
        <f t="array" ref="M1271">IF($Q1271&gt;=0,IFERROR(generateSalesData($D1271, IF(ISNUMBER(_xlfn.XLOOKUP($C1271,Phone_by_Sentiment!$B$2:$B$37,Phone_by_Sentiment!M$2:M$37,"",0,1)),_xlfn.XLOOKUP($C1271,Phone_by_Sentiment!$B$2:$B$37,Phone_by_Sentiment!M$2:M$37,"",0,1),0),$A1271-TEXT(DATEVALUE($D1271&amp;"-01"), "dd-mm-yyyy")),0),0)</f>
        <v>1142</v>
      </c>
      <c r="N1271" cm="1">
        <f t="array" ref="N1271">IF($Q1271&gt;=0,IFERROR(generateSalesData($D1271, IF(ISNUMBER(_xlfn.XLOOKUP($C1271,Phone_by_Sentiment!$B$2:$B$37,Phone_by_Sentiment!N$2:N$37,"",0,1)),_xlfn.XLOOKUP($C1271,Phone_by_Sentiment!$B$2:$B$37,Phone_by_Sentiment!N$2:N$37,"",0,1),0),$A1271-TEXT(DATEVALUE($D1271&amp;"-01"), "dd-mm-yyyy")),0),0)</f>
        <v>1055</v>
      </c>
      <c r="O1271" cm="1">
        <f t="array" ref="O1271">IF($Q1271&gt;=0,IFERROR(generateSalesData($D1271, IF(ISNUMBER(_xlfn.XLOOKUP($C1271,Phone_by_Sentiment!$B$2:$B$37,Phone_by_Sentiment!O$2:O$37,"",0,1)),_xlfn.XLOOKUP($C1271,Phone_by_Sentiment!$B$2:$B$37,Phone_by_Sentiment!O$2:O$37,"",0,1),0),$A1271-TEXT(DATEVALUE($D1271&amp;"-01"), "dd-mm-yyyy")),0),0)</f>
        <v>489</v>
      </c>
      <c r="P1271" s="1">
        <f t="shared" si="51"/>
        <v>44197</v>
      </c>
      <c r="Q1271">
        <f t="shared" si="52"/>
        <v>365</v>
      </c>
    </row>
    <row r="1272" spans="1:17" x14ac:dyDescent="0.25">
      <c r="A1272" s="1">
        <f t="shared" si="48"/>
        <v>44562</v>
      </c>
      <c r="B1272" t="s">
        <v>155</v>
      </c>
      <c r="C1272" t="str">
        <f>_xlfn.XLOOKUP(B1272,Phone_by_Price!$A$2:$A$34,Phone_by_Price!$B$2:$B$34,"-",0,1)</f>
        <v>Google Pixel 6</v>
      </c>
      <c r="D1272" t="str">
        <f>_xlfn.XLOOKUP(C1272,Phone_by_Sentiment!$B$2:$B$37,Phone_by_Sentiment!$A$2:$A$37,"-",0,1)</f>
        <v>2021-10</v>
      </c>
      <c r="E1272" cm="1">
        <f t="array" ref="E1272">IF($Q1272&gt;=0,IFERROR(generateSalesData($D1272, IF(ISNUMBER(_xlfn.XLOOKUP($C1272,Phone_by_Sentiment!$B$2:$B$37,Phone_by_Sentiment!E$2:E$37,"",0,1)),_xlfn.XLOOKUP($C1272,Phone_by_Sentiment!$B$2:$B$37,Phone_by_Sentiment!E$2:E$37,"",0,1),0),$A1272-TEXT(DATEVALUE($D1272&amp;"-01"), "dd-mm-yyyy")),0),0)</f>
        <v>185</v>
      </c>
      <c r="F1272" cm="1">
        <f t="array" ref="F1272">IF($Q1272&gt;=0,IFERROR(generateSalesData($D1272, IF(ISNUMBER(_xlfn.XLOOKUP($C1272,Phone_by_Sentiment!$B$2:$B$37,Phone_by_Sentiment!F$2:F$37,"",0,1)),_xlfn.XLOOKUP($C1272,Phone_by_Sentiment!$B$2:$B$37,Phone_by_Sentiment!F$2:F$37,"",0,1),0),$A1272-TEXT(DATEVALUE($D1272&amp;"-01"), "dd-mm-yyyy")),0),0)</f>
        <v>410</v>
      </c>
      <c r="G1272" cm="1">
        <f t="array" ref="G1272">IF($Q1272&gt;=0,IFERROR(generateSalesData($D1272, IF(ISNUMBER(_xlfn.XLOOKUP($C1272,Phone_by_Sentiment!$B$2:$B$37,Phone_by_Sentiment!G$2:G$37,"",0,1)),_xlfn.XLOOKUP($C1272,Phone_by_Sentiment!$B$2:$B$37,Phone_by_Sentiment!G$2:G$37,"",0,1),0),$A1272-TEXT(DATEVALUE($D1272&amp;"-01"), "dd-mm-yyyy")),0),0)</f>
        <v>643</v>
      </c>
      <c r="H1272" cm="1">
        <f t="array" ref="H1272">IF($Q1272&gt;=0,IFERROR(generateSalesData($D1272, IF(ISNUMBER(_xlfn.XLOOKUP($C1272,Phone_by_Sentiment!$B$2:$B$37,Phone_by_Sentiment!H$2:H$37,"",0,1)),_xlfn.XLOOKUP($C1272,Phone_by_Sentiment!$B$2:$B$37,Phone_by_Sentiment!H$2:H$37,"",0,1),0),$A1272-TEXT(DATEVALUE($D1272&amp;"-01"), "dd-mm-yyyy")),0),0)</f>
        <v>395</v>
      </c>
      <c r="I1272" cm="1">
        <f t="array" ref="I1272">IF($Q1272&gt;=0,IFERROR(generateSalesData($D1272, IF(ISNUMBER(_xlfn.XLOOKUP($C1272,Phone_by_Sentiment!$B$2:$B$37,Phone_by_Sentiment!I$2:I$37,"",0,1)),_xlfn.XLOOKUP($C1272,Phone_by_Sentiment!$B$2:$B$37,Phone_by_Sentiment!I$2:I$37,"",0,1),0),$A1272-TEXT(DATEVALUE($D1272&amp;"-01"), "dd-mm-yyyy")),0),0)</f>
        <v>284</v>
      </c>
      <c r="J1272" cm="1">
        <f t="array" ref="J1272">IF($Q1272&gt;=0,IFERROR(generateSalesData($D1272, IF(ISNUMBER(_xlfn.XLOOKUP($C1272,Phone_by_Sentiment!$B$2:$B$37,Phone_by_Sentiment!J$2:J$37,"",0,1)),_xlfn.XLOOKUP($C1272,Phone_by_Sentiment!$B$2:$B$37,Phone_by_Sentiment!J$2:J$37,"",0,1),0),$A1272-TEXT(DATEVALUE($D1272&amp;"-01"), "dd-mm-yyyy")),0),0)</f>
        <v>450</v>
      </c>
      <c r="K1272" cm="1">
        <f t="array" ref="K1272">IF($Q1272&gt;=0,IFERROR(generateSalesData($D1272, IF(ISNUMBER(_xlfn.XLOOKUP($C1272,Phone_by_Sentiment!$B$2:$B$37,Phone_by_Sentiment!K$2:K$37,"",0,1)),_xlfn.XLOOKUP($C1272,Phone_by_Sentiment!$B$2:$B$37,Phone_by_Sentiment!K$2:K$37,"",0,1),0),$A1272-TEXT(DATEVALUE($D1272&amp;"-01"), "dd-mm-yyyy")),0),0)</f>
        <v>-104</v>
      </c>
      <c r="L1272" cm="1">
        <f t="array" ref="L1272">IF($Q1272&gt;=0,IFERROR(generateSalesData($D1272, IF(ISNUMBER(_xlfn.XLOOKUP($C1272,Phone_by_Sentiment!$B$2:$B$37,Phone_by_Sentiment!L$2:L$37,"",0,1)),_xlfn.XLOOKUP($C1272,Phone_by_Sentiment!$B$2:$B$37,Phone_by_Sentiment!L$2:L$37,"",0,1),0),$A1272-TEXT(DATEVALUE($D1272&amp;"-01"), "dd-mm-yyyy")),0),0)</f>
        <v>469</v>
      </c>
      <c r="M1272" cm="1">
        <f t="array" ref="M1272">IF($Q1272&gt;=0,IFERROR(generateSalesData($D1272, IF(ISNUMBER(_xlfn.XLOOKUP($C1272,Phone_by_Sentiment!$B$2:$B$37,Phone_by_Sentiment!M$2:M$37,"",0,1)),_xlfn.XLOOKUP($C1272,Phone_by_Sentiment!$B$2:$B$37,Phone_by_Sentiment!M$2:M$37,"",0,1),0),$A1272-TEXT(DATEVALUE($D1272&amp;"-01"), "dd-mm-yyyy")),0),0)</f>
        <v>597</v>
      </c>
      <c r="N1272" cm="1">
        <f t="array" ref="N1272">IF($Q1272&gt;=0,IFERROR(generateSalesData($D1272, IF(ISNUMBER(_xlfn.XLOOKUP($C1272,Phone_by_Sentiment!$B$2:$B$37,Phone_by_Sentiment!N$2:N$37,"",0,1)),_xlfn.XLOOKUP($C1272,Phone_by_Sentiment!$B$2:$B$37,Phone_by_Sentiment!N$2:N$37,"",0,1),0),$A1272-TEXT(DATEVALUE($D1272&amp;"-01"), "dd-mm-yyyy")),0),0)</f>
        <v>223</v>
      </c>
      <c r="O1272" cm="1">
        <f t="array" ref="O1272">IF($Q1272&gt;=0,IFERROR(generateSalesData($D1272, IF(ISNUMBER(_xlfn.XLOOKUP($C1272,Phone_by_Sentiment!$B$2:$B$37,Phone_by_Sentiment!O$2:O$37,"",0,1)),_xlfn.XLOOKUP($C1272,Phone_by_Sentiment!$B$2:$B$37,Phone_by_Sentiment!O$2:O$37,"",0,1),0),$A1272-TEXT(DATEVALUE($D1272&amp;"-01"), "dd-mm-yyyy")),0),0)</f>
        <v>401</v>
      </c>
      <c r="P1272" s="1">
        <f t="shared" si="51"/>
        <v>44470</v>
      </c>
      <c r="Q1272">
        <f t="shared" si="52"/>
        <v>92</v>
      </c>
    </row>
    <row r="1273" spans="1:17" x14ac:dyDescent="0.25">
      <c r="A1273" s="1">
        <f t="shared" si="48"/>
        <v>44562</v>
      </c>
      <c r="B1273" t="s">
        <v>156</v>
      </c>
      <c r="C1273" t="str">
        <f>_xlfn.XLOOKUP(B1273,Phone_by_Price!$A$2:$A$34,Phone_by_Price!$B$2:$B$34,"-",0,1)</f>
        <v>OnePlus Nord CE</v>
      </c>
      <c r="D1273" t="str">
        <f>_xlfn.XLOOKUP(C1273,Phone_by_Sentiment!$B$2:$B$37,Phone_by_Sentiment!$A$2:$A$37,"-",0,1)</f>
        <v>2021-06</v>
      </c>
      <c r="E1273" cm="1">
        <f t="array" ref="E1273">IF($Q1273&gt;=0,IFERROR(generateSalesData($D1273, IF(ISNUMBER(_xlfn.XLOOKUP($C1273,Phone_by_Sentiment!$B$2:$B$37,Phone_by_Sentiment!E$2:E$37,"",0,1)),_xlfn.XLOOKUP($C1273,Phone_by_Sentiment!$B$2:$B$37,Phone_by_Sentiment!E$2:E$37,"",0,1),0),$A1273-TEXT(DATEVALUE($D1273&amp;"-01"), "dd-mm-yyyy")),0),0)</f>
        <v>64</v>
      </c>
      <c r="F1273" cm="1">
        <f t="array" ref="F1273">IF($Q1273&gt;=0,IFERROR(generateSalesData($D1273, IF(ISNUMBER(_xlfn.XLOOKUP($C1273,Phone_by_Sentiment!$B$2:$B$37,Phone_by_Sentiment!F$2:F$37,"",0,1)),_xlfn.XLOOKUP($C1273,Phone_by_Sentiment!$B$2:$B$37,Phone_by_Sentiment!F$2:F$37,"",0,1),0),$A1273-TEXT(DATEVALUE($D1273&amp;"-01"), "dd-mm-yyyy")),0),0)</f>
        <v>129</v>
      </c>
      <c r="G1273" cm="1">
        <f t="array" ref="G1273">IF($Q1273&gt;=0,IFERROR(generateSalesData($D1273, IF(ISNUMBER(_xlfn.XLOOKUP($C1273,Phone_by_Sentiment!$B$2:$B$37,Phone_by_Sentiment!G$2:G$37,"",0,1)),_xlfn.XLOOKUP($C1273,Phone_by_Sentiment!$B$2:$B$37,Phone_by_Sentiment!G$2:G$37,"",0,1),0),$A1273-TEXT(DATEVALUE($D1273&amp;"-01"), "dd-mm-yyyy")),0),0)</f>
        <v>104</v>
      </c>
      <c r="H1273" cm="1">
        <f t="array" ref="H1273">IF($Q1273&gt;=0,IFERROR(generateSalesData($D1273, IF(ISNUMBER(_xlfn.XLOOKUP($C1273,Phone_by_Sentiment!$B$2:$B$37,Phone_by_Sentiment!H$2:H$37,"",0,1)),_xlfn.XLOOKUP($C1273,Phone_by_Sentiment!$B$2:$B$37,Phone_by_Sentiment!H$2:H$37,"",0,1),0),$A1273-TEXT(DATEVALUE($D1273&amp;"-01"), "dd-mm-yyyy")),0),0)</f>
        <v>1026</v>
      </c>
      <c r="I1273" cm="1">
        <f t="array" ref="I1273">IF($Q1273&gt;=0,IFERROR(generateSalesData($D1273, IF(ISNUMBER(_xlfn.XLOOKUP($C1273,Phone_by_Sentiment!$B$2:$B$37,Phone_by_Sentiment!I$2:I$37,"",0,1)),_xlfn.XLOOKUP($C1273,Phone_by_Sentiment!$B$2:$B$37,Phone_by_Sentiment!I$2:I$37,"",0,1),0),$A1273-TEXT(DATEVALUE($D1273&amp;"-01"), "dd-mm-yyyy")),0),0)</f>
        <v>245</v>
      </c>
      <c r="J1273" cm="1">
        <f t="array" ref="J1273">IF($Q1273&gt;=0,IFERROR(generateSalesData($D1273, IF(ISNUMBER(_xlfn.XLOOKUP($C1273,Phone_by_Sentiment!$B$2:$B$37,Phone_by_Sentiment!J$2:J$37,"",0,1)),_xlfn.XLOOKUP($C1273,Phone_by_Sentiment!$B$2:$B$37,Phone_by_Sentiment!J$2:J$37,"",0,1),0),$A1273-TEXT(DATEVALUE($D1273&amp;"-01"), "dd-mm-yyyy")),0),0)</f>
        <v>117</v>
      </c>
      <c r="K1273" cm="1">
        <f t="array" ref="K1273">IF($Q1273&gt;=0,IFERROR(generateSalesData($D1273, IF(ISNUMBER(_xlfn.XLOOKUP($C1273,Phone_by_Sentiment!$B$2:$B$37,Phone_by_Sentiment!K$2:K$37,"",0,1)),_xlfn.XLOOKUP($C1273,Phone_by_Sentiment!$B$2:$B$37,Phone_by_Sentiment!K$2:K$37,"",0,1),0),$A1273-TEXT(DATEVALUE($D1273&amp;"-01"), "dd-mm-yyyy")),0),0)</f>
        <v>20</v>
      </c>
      <c r="L1273" cm="1">
        <f t="array" ref="L1273">IF($Q1273&gt;=0,IFERROR(generateSalesData($D1273, IF(ISNUMBER(_xlfn.XLOOKUP($C1273,Phone_by_Sentiment!$B$2:$B$37,Phone_by_Sentiment!L$2:L$37,"",0,1)),_xlfn.XLOOKUP($C1273,Phone_by_Sentiment!$B$2:$B$37,Phone_by_Sentiment!L$2:L$37,"",0,1),0),$A1273-TEXT(DATEVALUE($D1273&amp;"-01"), "dd-mm-yyyy")),0),0)</f>
        <v>131</v>
      </c>
      <c r="M1273" cm="1">
        <f t="array" ref="M1273">IF($Q1273&gt;=0,IFERROR(generateSalesData($D1273, IF(ISNUMBER(_xlfn.XLOOKUP($C1273,Phone_by_Sentiment!$B$2:$B$37,Phone_by_Sentiment!M$2:M$37,"",0,1)),_xlfn.XLOOKUP($C1273,Phone_by_Sentiment!$B$2:$B$37,Phone_by_Sentiment!M$2:M$37,"",0,1),0),$A1273-TEXT(DATEVALUE($D1273&amp;"-01"), "dd-mm-yyyy")),0),0)</f>
        <v>146</v>
      </c>
      <c r="N1273" cm="1">
        <f t="array" ref="N1273">IF($Q1273&gt;=0,IFERROR(generateSalesData($D1273, IF(ISNUMBER(_xlfn.XLOOKUP($C1273,Phone_by_Sentiment!$B$2:$B$37,Phone_by_Sentiment!N$2:N$37,"",0,1)),_xlfn.XLOOKUP($C1273,Phone_by_Sentiment!$B$2:$B$37,Phone_by_Sentiment!N$2:N$37,"",0,1),0),$A1273-TEXT(DATEVALUE($D1273&amp;"-01"), "dd-mm-yyyy")),0),0)</f>
        <v>1518</v>
      </c>
      <c r="O1273" cm="1">
        <f t="array" ref="O1273">IF($Q1273&gt;=0,IFERROR(generateSalesData($D1273, IF(ISNUMBER(_xlfn.XLOOKUP($C1273,Phone_by_Sentiment!$B$2:$B$37,Phone_by_Sentiment!O$2:O$37,"",0,1)),_xlfn.XLOOKUP($C1273,Phone_by_Sentiment!$B$2:$B$37,Phone_by_Sentiment!O$2:O$37,"",0,1),0),$A1273-TEXT(DATEVALUE($D1273&amp;"-01"), "dd-mm-yyyy")),0),0)</f>
        <v>101</v>
      </c>
      <c r="P1273" s="1">
        <f t="shared" si="51"/>
        <v>44348</v>
      </c>
      <c r="Q1273">
        <f t="shared" si="52"/>
        <v>214</v>
      </c>
    </row>
    <row r="1274" spans="1:17" x14ac:dyDescent="0.25">
      <c r="A1274" s="1">
        <f t="shared" si="48"/>
        <v>44562</v>
      </c>
      <c r="B1274" t="s">
        <v>157</v>
      </c>
      <c r="C1274" t="str">
        <f>_xlfn.XLOOKUP(B1274,Phone_by_Price!$A$2:$A$34,Phone_by_Price!$B$2:$B$34,"-",0,1)</f>
        <v>Apple iPhone 13 Pro</v>
      </c>
      <c r="D1274" t="str">
        <f>_xlfn.XLOOKUP(C1274,Phone_by_Sentiment!$B$2:$B$37,Phone_by_Sentiment!$A$2:$A$37,"-",0,1)</f>
        <v>2021-09</v>
      </c>
      <c r="E1274" cm="1">
        <f t="array" ref="E1274">IF($Q1274&gt;=0,IFERROR(generateSalesData($D1274, IF(ISNUMBER(_xlfn.XLOOKUP($C1274,Phone_by_Sentiment!$B$2:$B$37,Phone_by_Sentiment!E$2:E$37,"",0,1)),_xlfn.XLOOKUP($C1274,Phone_by_Sentiment!$B$2:$B$37,Phone_by_Sentiment!E$2:E$37,"",0,1),0),$A1274-TEXT(DATEVALUE($D1274&amp;"-01"), "dd-mm-yyyy")),0),0)</f>
        <v>2248</v>
      </c>
      <c r="F1274" cm="1">
        <f t="array" ref="F1274">IF($Q1274&gt;=0,IFERROR(generateSalesData($D1274, IF(ISNUMBER(_xlfn.XLOOKUP($C1274,Phone_by_Sentiment!$B$2:$B$37,Phone_by_Sentiment!F$2:F$37,"",0,1)),_xlfn.XLOOKUP($C1274,Phone_by_Sentiment!$B$2:$B$37,Phone_by_Sentiment!F$2:F$37,"",0,1),0),$A1274-TEXT(DATEVALUE($D1274&amp;"-01"), "dd-mm-yyyy")),0),0)</f>
        <v>1224</v>
      </c>
      <c r="G1274" cm="1">
        <f t="array" ref="G1274">IF($Q1274&gt;=0,IFERROR(generateSalesData($D1274, IF(ISNUMBER(_xlfn.XLOOKUP($C1274,Phone_by_Sentiment!$B$2:$B$37,Phone_by_Sentiment!G$2:G$37,"",0,1)),_xlfn.XLOOKUP($C1274,Phone_by_Sentiment!$B$2:$B$37,Phone_by_Sentiment!G$2:G$37,"",0,1),0),$A1274-TEXT(DATEVALUE($D1274&amp;"-01"), "dd-mm-yyyy")),0),0)</f>
        <v>412</v>
      </c>
      <c r="H1274" cm="1">
        <f t="array" ref="H1274">IF($Q1274&gt;=0,IFERROR(generateSalesData($D1274, IF(ISNUMBER(_xlfn.XLOOKUP($C1274,Phone_by_Sentiment!$B$2:$B$37,Phone_by_Sentiment!H$2:H$37,"",0,1)),_xlfn.XLOOKUP($C1274,Phone_by_Sentiment!$B$2:$B$37,Phone_by_Sentiment!H$2:H$37,"",0,1),0),$A1274-TEXT(DATEVALUE($D1274&amp;"-01"), "dd-mm-yyyy")),0),0)</f>
        <v>1218</v>
      </c>
      <c r="I1274" cm="1">
        <f t="array" ref="I1274">IF($Q1274&gt;=0,IFERROR(generateSalesData($D1274, IF(ISNUMBER(_xlfn.XLOOKUP($C1274,Phone_by_Sentiment!$B$2:$B$37,Phone_by_Sentiment!I$2:I$37,"",0,1)),_xlfn.XLOOKUP($C1274,Phone_by_Sentiment!$B$2:$B$37,Phone_by_Sentiment!I$2:I$37,"",0,1),0),$A1274-TEXT(DATEVALUE($D1274&amp;"-01"), "dd-mm-yyyy")),0),0)</f>
        <v>-1088</v>
      </c>
      <c r="J1274" cm="1">
        <f t="array" ref="J1274">IF($Q1274&gt;=0,IFERROR(generateSalesData($D1274, IF(ISNUMBER(_xlfn.XLOOKUP($C1274,Phone_by_Sentiment!$B$2:$B$37,Phone_by_Sentiment!J$2:J$37,"",0,1)),_xlfn.XLOOKUP($C1274,Phone_by_Sentiment!$B$2:$B$37,Phone_by_Sentiment!J$2:J$37,"",0,1),0),$A1274-TEXT(DATEVALUE($D1274&amp;"-01"), "dd-mm-yyyy")),0),0)</f>
        <v>3593</v>
      </c>
      <c r="K1274" cm="1">
        <f t="array" ref="K1274">IF($Q1274&gt;=0,IFERROR(generateSalesData($D1274, IF(ISNUMBER(_xlfn.XLOOKUP($C1274,Phone_by_Sentiment!$B$2:$B$37,Phone_by_Sentiment!K$2:K$37,"",0,1)),_xlfn.XLOOKUP($C1274,Phone_by_Sentiment!$B$2:$B$37,Phone_by_Sentiment!K$2:K$37,"",0,1),0),$A1274-TEXT(DATEVALUE($D1274&amp;"-01"), "dd-mm-yyyy")),0),0)</f>
        <v>3065</v>
      </c>
      <c r="L1274" cm="1">
        <f t="array" ref="L1274">IF($Q1274&gt;=0,IFERROR(generateSalesData($D1274, IF(ISNUMBER(_xlfn.XLOOKUP($C1274,Phone_by_Sentiment!$B$2:$B$37,Phone_by_Sentiment!L$2:L$37,"",0,1)),_xlfn.XLOOKUP($C1274,Phone_by_Sentiment!$B$2:$B$37,Phone_by_Sentiment!L$2:L$37,"",0,1),0),$A1274-TEXT(DATEVALUE($D1274&amp;"-01"), "dd-mm-yyyy")),0),0)</f>
        <v>2753</v>
      </c>
      <c r="M1274" cm="1">
        <f t="array" ref="M1274">IF($Q1274&gt;=0,IFERROR(generateSalesData($D1274, IF(ISNUMBER(_xlfn.XLOOKUP($C1274,Phone_by_Sentiment!$B$2:$B$37,Phone_by_Sentiment!M$2:M$37,"",0,1)),_xlfn.XLOOKUP($C1274,Phone_by_Sentiment!$B$2:$B$37,Phone_by_Sentiment!M$2:M$37,"",0,1),0),$A1274-TEXT(DATEVALUE($D1274&amp;"-01"), "dd-mm-yyyy")),0),0)</f>
        <v>1666</v>
      </c>
      <c r="N1274" cm="1">
        <f t="array" ref="N1274">IF($Q1274&gt;=0,IFERROR(generateSalesData($D1274, IF(ISNUMBER(_xlfn.XLOOKUP($C1274,Phone_by_Sentiment!$B$2:$B$37,Phone_by_Sentiment!N$2:N$37,"",0,1)),_xlfn.XLOOKUP($C1274,Phone_by_Sentiment!$B$2:$B$37,Phone_by_Sentiment!N$2:N$37,"",0,1),0),$A1274-TEXT(DATEVALUE($D1274&amp;"-01"), "dd-mm-yyyy")),0),0)</f>
        <v>4716</v>
      </c>
      <c r="O1274" cm="1">
        <f t="array" ref="O1274">IF($Q1274&gt;=0,IFERROR(generateSalesData($D1274, IF(ISNUMBER(_xlfn.XLOOKUP($C1274,Phone_by_Sentiment!$B$2:$B$37,Phone_by_Sentiment!O$2:O$37,"",0,1)),_xlfn.XLOOKUP($C1274,Phone_by_Sentiment!$B$2:$B$37,Phone_by_Sentiment!O$2:O$37,"",0,1),0),$A1274-TEXT(DATEVALUE($D1274&amp;"-01"), "dd-mm-yyyy")),0),0)</f>
        <v>1777</v>
      </c>
      <c r="P1274" s="1">
        <f t="shared" si="51"/>
        <v>44440</v>
      </c>
      <c r="Q1274">
        <f t="shared" si="52"/>
        <v>122</v>
      </c>
    </row>
    <row r="1275" spans="1:17" x14ac:dyDescent="0.25">
      <c r="A1275" s="1">
        <f t="shared" si="48"/>
        <v>44562</v>
      </c>
      <c r="B1275" t="s">
        <v>158</v>
      </c>
      <c r="C1275" t="str">
        <f>_xlfn.XLOOKUP(B1275,Phone_by_Price!$A$2:$A$34,Phone_by_Price!$B$2:$B$34,"-",0,1)</f>
        <v>Samsung Galaxy A32 5G</v>
      </c>
      <c r="D1275" t="str">
        <f>_xlfn.XLOOKUP(C1275,Phone_by_Sentiment!$B$2:$B$37,Phone_by_Sentiment!$A$2:$A$37,"-",0,1)</f>
        <v>2021-02</v>
      </c>
      <c r="E1275" cm="1">
        <f t="array" ref="E1275">IF($Q1275&gt;=0,IFERROR(generateSalesData($D1275, IF(ISNUMBER(_xlfn.XLOOKUP($C1275,Phone_by_Sentiment!$B$2:$B$37,Phone_by_Sentiment!E$2:E$37,"",0,1)),_xlfn.XLOOKUP($C1275,Phone_by_Sentiment!$B$2:$B$37,Phone_by_Sentiment!E$2:E$37,"",0,1),0),$A1275-TEXT(DATEVALUE($D1275&amp;"-01"), "dd-mm-yyyy")),0),0)</f>
        <v>825</v>
      </c>
      <c r="F1275" cm="1">
        <f t="array" ref="F1275">IF($Q1275&gt;=0,IFERROR(generateSalesData($D1275, IF(ISNUMBER(_xlfn.XLOOKUP($C1275,Phone_by_Sentiment!$B$2:$B$37,Phone_by_Sentiment!F$2:F$37,"",0,1)),_xlfn.XLOOKUP($C1275,Phone_by_Sentiment!$B$2:$B$37,Phone_by_Sentiment!F$2:F$37,"",0,1),0),$A1275-TEXT(DATEVALUE($D1275&amp;"-01"), "dd-mm-yyyy")),0),0)</f>
        <v>716</v>
      </c>
      <c r="G1275" cm="1">
        <f t="array" ref="G1275">IF($Q1275&gt;=0,IFERROR(generateSalesData($D1275, IF(ISNUMBER(_xlfn.XLOOKUP($C1275,Phone_by_Sentiment!$B$2:$B$37,Phone_by_Sentiment!G$2:G$37,"",0,1)),_xlfn.XLOOKUP($C1275,Phone_by_Sentiment!$B$2:$B$37,Phone_by_Sentiment!G$2:G$37,"",0,1),0),$A1275-TEXT(DATEVALUE($D1275&amp;"-01"), "dd-mm-yyyy")),0),0)</f>
        <v>284</v>
      </c>
      <c r="H1275" cm="1">
        <f t="array" ref="H1275">IF($Q1275&gt;=0,IFERROR(generateSalesData($D1275, IF(ISNUMBER(_xlfn.XLOOKUP($C1275,Phone_by_Sentiment!$B$2:$B$37,Phone_by_Sentiment!H$2:H$37,"",0,1)),_xlfn.XLOOKUP($C1275,Phone_by_Sentiment!$B$2:$B$37,Phone_by_Sentiment!H$2:H$37,"",0,1),0),$A1275-TEXT(DATEVALUE($D1275&amp;"-01"), "dd-mm-yyyy")),0),0)</f>
        <v>783</v>
      </c>
      <c r="I1275" cm="1">
        <f t="array" ref="I1275">IF($Q1275&gt;=0,IFERROR(generateSalesData($D1275, IF(ISNUMBER(_xlfn.XLOOKUP($C1275,Phone_by_Sentiment!$B$2:$B$37,Phone_by_Sentiment!I$2:I$37,"",0,1)),_xlfn.XLOOKUP($C1275,Phone_by_Sentiment!$B$2:$B$37,Phone_by_Sentiment!I$2:I$37,"",0,1),0),$A1275-TEXT(DATEVALUE($D1275&amp;"-01"), "dd-mm-yyyy")),0),0)</f>
        <v>1213</v>
      </c>
      <c r="J1275" cm="1">
        <f t="array" ref="J1275">IF($Q1275&gt;=0,IFERROR(generateSalesData($D1275, IF(ISNUMBER(_xlfn.XLOOKUP($C1275,Phone_by_Sentiment!$B$2:$B$37,Phone_by_Sentiment!J$2:J$37,"",0,1)),_xlfn.XLOOKUP($C1275,Phone_by_Sentiment!$B$2:$B$37,Phone_by_Sentiment!J$2:J$37,"",0,1),0),$A1275-TEXT(DATEVALUE($D1275&amp;"-01"), "dd-mm-yyyy")),0),0)</f>
        <v>676</v>
      </c>
      <c r="K1275" cm="1">
        <f t="array" ref="K1275">IF($Q1275&gt;=0,IFERROR(generateSalesData($D1275, IF(ISNUMBER(_xlfn.XLOOKUP($C1275,Phone_by_Sentiment!$B$2:$B$37,Phone_by_Sentiment!K$2:K$37,"",0,1)),_xlfn.XLOOKUP($C1275,Phone_by_Sentiment!$B$2:$B$37,Phone_by_Sentiment!K$2:K$37,"",0,1),0),$A1275-TEXT(DATEVALUE($D1275&amp;"-01"), "dd-mm-yyyy")),0),0)</f>
        <v>656</v>
      </c>
      <c r="L1275" cm="1">
        <f t="array" ref="L1275">IF($Q1275&gt;=0,IFERROR(generateSalesData($D1275, IF(ISNUMBER(_xlfn.XLOOKUP($C1275,Phone_by_Sentiment!$B$2:$B$37,Phone_by_Sentiment!L$2:L$37,"",0,1)),_xlfn.XLOOKUP($C1275,Phone_by_Sentiment!$B$2:$B$37,Phone_by_Sentiment!L$2:L$37,"",0,1),0),$A1275-TEXT(DATEVALUE($D1275&amp;"-01"), "dd-mm-yyyy")),0),0)</f>
        <v>511</v>
      </c>
      <c r="M1275" cm="1">
        <f t="array" ref="M1275">IF($Q1275&gt;=0,IFERROR(generateSalesData($D1275, IF(ISNUMBER(_xlfn.XLOOKUP($C1275,Phone_by_Sentiment!$B$2:$B$37,Phone_by_Sentiment!M$2:M$37,"",0,1)),_xlfn.XLOOKUP($C1275,Phone_by_Sentiment!$B$2:$B$37,Phone_by_Sentiment!M$2:M$37,"",0,1),0),$A1275-TEXT(DATEVALUE($D1275&amp;"-01"), "dd-mm-yyyy")),0),0)</f>
        <v>953</v>
      </c>
      <c r="N1275" cm="1">
        <f t="array" ref="N1275">IF($Q1275&gt;=0,IFERROR(generateSalesData($D1275, IF(ISNUMBER(_xlfn.XLOOKUP($C1275,Phone_by_Sentiment!$B$2:$B$37,Phone_by_Sentiment!N$2:N$37,"",0,1)),_xlfn.XLOOKUP($C1275,Phone_by_Sentiment!$B$2:$B$37,Phone_by_Sentiment!N$2:N$37,"",0,1),0),$A1275-TEXT(DATEVALUE($D1275&amp;"-01"), "dd-mm-yyyy")),0),0)</f>
        <v>416</v>
      </c>
      <c r="O1275" cm="1">
        <f t="array" ref="O1275">IF($Q1275&gt;=0,IFERROR(generateSalesData($D1275, IF(ISNUMBER(_xlfn.XLOOKUP($C1275,Phone_by_Sentiment!$B$2:$B$37,Phone_by_Sentiment!O$2:O$37,"",0,1)),_xlfn.XLOOKUP($C1275,Phone_by_Sentiment!$B$2:$B$37,Phone_by_Sentiment!O$2:O$37,"",0,1),0),$A1275-TEXT(DATEVALUE($D1275&amp;"-01"), "dd-mm-yyyy")),0),0)</f>
        <v>1401</v>
      </c>
      <c r="P1275" s="1">
        <f t="shared" si="51"/>
        <v>44228</v>
      </c>
      <c r="Q1275">
        <f t="shared" si="52"/>
        <v>334</v>
      </c>
    </row>
    <row r="1276" spans="1:17" x14ac:dyDescent="0.25">
      <c r="A1276" s="1">
        <f t="shared" si="48"/>
        <v>44562</v>
      </c>
      <c r="B1276" t="s">
        <v>159</v>
      </c>
      <c r="C1276" t="str">
        <f>_xlfn.XLOOKUP(B1276,Phone_by_Price!$A$2:$A$34,Phone_by_Price!$B$2:$B$34,"-",0,1)</f>
        <v>Realme C25</v>
      </c>
      <c r="D1276" t="str">
        <f>_xlfn.XLOOKUP(C1276,Phone_by_Sentiment!$B$2:$B$37,Phone_by_Sentiment!$A$2:$A$37,"-",0,1)</f>
        <v>2021-03</v>
      </c>
      <c r="E1276" cm="1">
        <f t="array" ref="E1276">IF($Q1276&gt;=0,IFERROR(generateSalesData($D1276, IF(ISNUMBER(_xlfn.XLOOKUP($C1276,Phone_by_Sentiment!$B$2:$B$37,Phone_by_Sentiment!E$2:E$37,"",0,1)),_xlfn.XLOOKUP($C1276,Phone_by_Sentiment!$B$2:$B$37,Phone_by_Sentiment!E$2:E$37,"",0,1),0),$A1276-TEXT(DATEVALUE($D1276&amp;"-01"), "dd-mm-yyyy")),0),0)</f>
        <v>327</v>
      </c>
      <c r="F1276" cm="1">
        <f t="array" ref="F1276">IF($Q1276&gt;=0,IFERROR(generateSalesData($D1276, IF(ISNUMBER(_xlfn.XLOOKUP($C1276,Phone_by_Sentiment!$B$2:$B$37,Phone_by_Sentiment!F$2:F$37,"",0,1)),_xlfn.XLOOKUP($C1276,Phone_by_Sentiment!$B$2:$B$37,Phone_by_Sentiment!F$2:F$37,"",0,1),0),$A1276-TEXT(DATEVALUE($D1276&amp;"-01"), "dd-mm-yyyy")),0),0)</f>
        <v>345</v>
      </c>
      <c r="G1276" cm="1">
        <f t="array" ref="G1276">IF($Q1276&gt;=0,IFERROR(generateSalesData($D1276, IF(ISNUMBER(_xlfn.XLOOKUP($C1276,Phone_by_Sentiment!$B$2:$B$37,Phone_by_Sentiment!G$2:G$37,"",0,1)),_xlfn.XLOOKUP($C1276,Phone_by_Sentiment!$B$2:$B$37,Phone_by_Sentiment!G$2:G$37,"",0,1),0),$A1276-TEXT(DATEVALUE($D1276&amp;"-01"), "dd-mm-yyyy")),0),0)</f>
        <v>129</v>
      </c>
      <c r="H1276" cm="1">
        <f t="array" ref="H1276">IF($Q1276&gt;=0,IFERROR(generateSalesData($D1276, IF(ISNUMBER(_xlfn.XLOOKUP($C1276,Phone_by_Sentiment!$B$2:$B$37,Phone_by_Sentiment!H$2:H$37,"",0,1)),_xlfn.XLOOKUP($C1276,Phone_by_Sentiment!$B$2:$B$37,Phone_by_Sentiment!H$2:H$37,"",0,1),0),$A1276-TEXT(DATEVALUE($D1276&amp;"-01"), "dd-mm-yyyy")),0),0)</f>
        <v>683</v>
      </c>
      <c r="I1276" cm="1">
        <f t="array" ref="I1276">IF($Q1276&gt;=0,IFERROR(generateSalesData($D1276, IF(ISNUMBER(_xlfn.XLOOKUP($C1276,Phone_by_Sentiment!$B$2:$B$37,Phone_by_Sentiment!I$2:I$37,"",0,1)),_xlfn.XLOOKUP($C1276,Phone_by_Sentiment!$B$2:$B$37,Phone_by_Sentiment!I$2:I$37,"",0,1),0),$A1276-TEXT(DATEVALUE($D1276&amp;"-01"), "dd-mm-yyyy")),0),0)</f>
        <v>1389</v>
      </c>
      <c r="J1276" cm="1">
        <f t="array" ref="J1276">IF($Q1276&gt;=0,IFERROR(generateSalesData($D1276, IF(ISNUMBER(_xlfn.XLOOKUP($C1276,Phone_by_Sentiment!$B$2:$B$37,Phone_by_Sentiment!J$2:J$37,"",0,1)),_xlfn.XLOOKUP($C1276,Phone_by_Sentiment!$B$2:$B$37,Phone_by_Sentiment!J$2:J$37,"",0,1),0),$A1276-TEXT(DATEVALUE($D1276&amp;"-01"), "dd-mm-yyyy")),0),0)</f>
        <v>181</v>
      </c>
      <c r="K1276" cm="1">
        <f t="array" ref="K1276">IF($Q1276&gt;=0,IFERROR(generateSalesData($D1276, IF(ISNUMBER(_xlfn.XLOOKUP($C1276,Phone_by_Sentiment!$B$2:$B$37,Phone_by_Sentiment!K$2:K$37,"",0,1)),_xlfn.XLOOKUP($C1276,Phone_by_Sentiment!$B$2:$B$37,Phone_by_Sentiment!K$2:K$37,"",0,1),0),$A1276-TEXT(DATEVALUE($D1276&amp;"-01"), "dd-mm-yyyy")),0),0)</f>
        <v>938</v>
      </c>
      <c r="L1276" cm="1">
        <f t="array" ref="L1276">IF($Q1276&gt;=0,IFERROR(generateSalesData($D1276, IF(ISNUMBER(_xlfn.XLOOKUP($C1276,Phone_by_Sentiment!$B$2:$B$37,Phone_by_Sentiment!L$2:L$37,"",0,1)),_xlfn.XLOOKUP($C1276,Phone_by_Sentiment!$B$2:$B$37,Phone_by_Sentiment!L$2:L$37,"",0,1),0),$A1276-TEXT(DATEVALUE($D1276&amp;"-01"), "dd-mm-yyyy")),0),0)</f>
        <v>170</v>
      </c>
      <c r="M1276" cm="1">
        <f t="array" ref="M1276">IF($Q1276&gt;=0,IFERROR(generateSalesData($D1276, IF(ISNUMBER(_xlfn.XLOOKUP($C1276,Phone_by_Sentiment!$B$2:$B$37,Phone_by_Sentiment!M$2:M$37,"",0,1)),_xlfn.XLOOKUP($C1276,Phone_by_Sentiment!$B$2:$B$37,Phone_by_Sentiment!M$2:M$37,"",0,1),0),$A1276-TEXT(DATEVALUE($D1276&amp;"-01"), "dd-mm-yyyy")),0),0)</f>
        <v>64</v>
      </c>
      <c r="N1276" cm="1">
        <f t="array" ref="N1276">IF($Q1276&gt;=0,IFERROR(generateSalesData($D1276, IF(ISNUMBER(_xlfn.XLOOKUP($C1276,Phone_by_Sentiment!$B$2:$B$37,Phone_by_Sentiment!N$2:N$37,"",0,1)),_xlfn.XLOOKUP($C1276,Phone_by_Sentiment!$B$2:$B$37,Phone_by_Sentiment!N$2:N$37,"",0,1),0),$A1276-TEXT(DATEVALUE($D1276&amp;"-01"), "dd-mm-yyyy")),0),0)</f>
        <v>862</v>
      </c>
      <c r="O1276" cm="1">
        <f t="array" ref="O1276">IF($Q1276&gt;=0,IFERROR(generateSalesData($D1276, IF(ISNUMBER(_xlfn.XLOOKUP($C1276,Phone_by_Sentiment!$B$2:$B$37,Phone_by_Sentiment!O$2:O$37,"",0,1)),_xlfn.XLOOKUP($C1276,Phone_by_Sentiment!$B$2:$B$37,Phone_by_Sentiment!O$2:O$37,"",0,1),0),$A1276-TEXT(DATEVALUE($D1276&amp;"-01"), "dd-mm-yyyy")),0),0)</f>
        <v>102</v>
      </c>
      <c r="P1276" s="1">
        <f t="shared" si="51"/>
        <v>44256</v>
      </c>
      <c r="Q1276">
        <f t="shared" si="52"/>
        <v>306</v>
      </c>
    </row>
    <row r="1277" spans="1:17" x14ac:dyDescent="0.25">
      <c r="A1277" s="1">
        <f t="shared" si="48"/>
        <v>44562</v>
      </c>
      <c r="B1277" t="s">
        <v>160</v>
      </c>
      <c r="C1277" t="str">
        <f>_xlfn.XLOOKUP(B1277,Phone_by_Price!$A$2:$A$34,Phone_by_Price!$B$2:$B$34,"-",0,1)</f>
        <v>Xiaomi Poco X3 Pro</v>
      </c>
      <c r="D1277" t="str">
        <f>_xlfn.XLOOKUP(C1277,Phone_by_Sentiment!$B$2:$B$37,Phone_by_Sentiment!$A$2:$A$37,"-",0,1)</f>
        <v>2021-05</v>
      </c>
      <c r="E1277" cm="1">
        <f t="array" ref="E1277">IF($Q1277&gt;=0,IFERROR(generateSalesData($D1277, IF(ISNUMBER(_xlfn.XLOOKUP($C1277,Phone_by_Sentiment!$B$2:$B$37,Phone_by_Sentiment!E$2:E$37,"",0,1)),_xlfn.XLOOKUP($C1277,Phone_by_Sentiment!$B$2:$B$37,Phone_by_Sentiment!E$2:E$37,"",0,1),0),$A1277-TEXT(DATEVALUE($D1277&amp;"-01"), "dd-mm-yyyy")),0),0)</f>
        <v>885</v>
      </c>
      <c r="F1277" cm="1">
        <f t="array" ref="F1277">IF($Q1277&gt;=0,IFERROR(generateSalesData($D1277, IF(ISNUMBER(_xlfn.XLOOKUP($C1277,Phone_by_Sentiment!$B$2:$B$37,Phone_by_Sentiment!F$2:F$37,"",0,1)),_xlfn.XLOOKUP($C1277,Phone_by_Sentiment!$B$2:$B$37,Phone_by_Sentiment!F$2:F$37,"",0,1),0),$A1277-TEXT(DATEVALUE($D1277&amp;"-01"), "dd-mm-yyyy")),0),0)</f>
        <v>341</v>
      </c>
      <c r="G1277" cm="1">
        <f t="array" ref="G1277">IF($Q1277&gt;=0,IFERROR(generateSalesData($D1277, IF(ISNUMBER(_xlfn.XLOOKUP($C1277,Phone_by_Sentiment!$B$2:$B$37,Phone_by_Sentiment!G$2:G$37,"",0,1)),_xlfn.XLOOKUP($C1277,Phone_by_Sentiment!$B$2:$B$37,Phone_by_Sentiment!G$2:G$37,"",0,1),0),$A1277-TEXT(DATEVALUE($D1277&amp;"-01"), "dd-mm-yyyy")),0),0)</f>
        <v>292</v>
      </c>
      <c r="H1277" cm="1">
        <f t="array" ref="H1277">IF($Q1277&gt;=0,IFERROR(generateSalesData($D1277, IF(ISNUMBER(_xlfn.XLOOKUP($C1277,Phone_by_Sentiment!$B$2:$B$37,Phone_by_Sentiment!H$2:H$37,"",0,1)),_xlfn.XLOOKUP($C1277,Phone_by_Sentiment!$B$2:$B$37,Phone_by_Sentiment!H$2:H$37,"",0,1),0),$A1277-TEXT(DATEVALUE($D1277&amp;"-01"), "dd-mm-yyyy")),0),0)</f>
        <v>1256</v>
      </c>
      <c r="I1277" cm="1">
        <f t="array" ref="I1277">IF($Q1277&gt;=0,IFERROR(generateSalesData($D1277, IF(ISNUMBER(_xlfn.XLOOKUP($C1277,Phone_by_Sentiment!$B$2:$B$37,Phone_by_Sentiment!I$2:I$37,"",0,1)),_xlfn.XLOOKUP($C1277,Phone_by_Sentiment!$B$2:$B$37,Phone_by_Sentiment!I$2:I$37,"",0,1),0),$A1277-TEXT(DATEVALUE($D1277&amp;"-01"), "dd-mm-yyyy")),0),0)</f>
        <v>1185</v>
      </c>
      <c r="J1277" cm="1">
        <f t="array" ref="J1277">IF($Q1277&gt;=0,IFERROR(generateSalesData($D1277, IF(ISNUMBER(_xlfn.XLOOKUP($C1277,Phone_by_Sentiment!$B$2:$B$37,Phone_by_Sentiment!J$2:J$37,"",0,1)),_xlfn.XLOOKUP($C1277,Phone_by_Sentiment!$B$2:$B$37,Phone_by_Sentiment!J$2:J$37,"",0,1),0),$A1277-TEXT(DATEVALUE($D1277&amp;"-01"), "dd-mm-yyyy")),0),0)</f>
        <v>205</v>
      </c>
      <c r="K1277" cm="1">
        <f t="array" ref="K1277">IF($Q1277&gt;=0,IFERROR(generateSalesData($D1277, IF(ISNUMBER(_xlfn.XLOOKUP($C1277,Phone_by_Sentiment!$B$2:$B$37,Phone_by_Sentiment!K$2:K$37,"",0,1)),_xlfn.XLOOKUP($C1277,Phone_by_Sentiment!$B$2:$B$37,Phone_by_Sentiment!K$2:K$37,"",0,1),0),$A1277-TEXT(DATEVALUE($D1277&amp;"-01"), "dd-mm-yyyy")),0),0)</f>
        <v>920</v>
      </c>
      <c r="L1277" cm="1">
        <f t="array" ref="L1277">IF($Q1277&gt;=0,IFERROR(generateSalesData($D1277, IF(ISNUMBER(_xlfn.XLOOKUP($C1277,Phone_by_Sentiment!$B$2:$B$37,Phone_by_Sentiment!L$2:L$37,"",0,1)),_xlfn.XLOOKUP($C1277,Phone_by_Sentiment!$B$2:$B$37,Phone_by_Sentiment!L$2:L$37,"",0,1),0),$A1277-TEXT(DATEVALUE($D1277&amp;"-01"), "dd-mm-yyyy")),0),0)</f>
        <v>359</v>
      </c>
      <c r="M1277" cm="1">
        <f t="array" ref="M1277">IF($Q1277&gt;=0,IFERROR(generateSalesData($D1277, IF(ISNUMBER(_xlfn.XLOOKUP($C1277,Phone_by_Sentiment!$B$2:$B$37,Phone_by_Sentiment!M$2:M$37,"",0,1)),_xlfn.XLOOKUP($C1277,Phone_by_Sentiment!$B$2:$B$37,Phone_by_Sentiment!M$2:M$37,"",0,1),0),$A1277-TEXT(DATEVALUE($D1277&amp;"-01"), "dd-mm-yyyy")),0),0)</f>
        <v>372</v>
      </c>
      <c r="N1277" cm="1">
        <f t="array" ref="N1277">IF($Q1277&gt;=0,IFERROR(generateSalesData($D1277, IF(ISNUMBER(_xlfn.XLOOKUP($C1277,Phone_by_Sentiment!$B$2:$B$37,Phone_by_Sentiment!N$2:N$37,"",0,1)),_xlfn.XLOOKUP($C1277,Phone_by_Sentiment!$B$2:$B$37,Phone_by_Sentiment!N$2:N$37,"",0,1),0),$A1277-TEXT(DATEVALUE($D1277&amp;"-01"), "dd-mm-yyyy")),0),0)</f>
        <v>268</v>
      </c>
      <c r="O1277" cm="1">
        <f t="array" ref="O1277">IF($Q1277&gt;=0,IFERROR(generateSalesData($D1277, IF(ISNUMBER(_xlfn.XLOOKUP($C1277,Phone_by_Sentiment!$B$2:$B$37,Phone_by_Sentiment!O$2:O$37,"",0,1)),_xlfn.XLOOKUP($C1277,Phone_by_Sentiment!$B$2:$B$37,Phone_by_Sentiment!O$2:O$37,"",0,1),0),$A1277-TEXT(DATEVALUE($D1277&amp;"-01"), "dd-mm-yyyy")),0),0)</f>
        <v>896</v>
      </c>
      <c r="P1277" s="1">
        <f t="shared" si="51"/>
        <v>44317</v>
      </c>
      <c r="Q1277">
        <f t="shared" si="52"/>
        <v>245</v>
      </c>
    </row>
    <row r="1278" spans="1:17" x14ac:dyDescent="0.25">
      <c r="A1278" s="1">
        <f t="shared" si="48"/>
        <v>44562</v>
      </c>
      <c r="B1278" t="s">
        <v>161</v>
      </c>
      <c r="C1278" t="str">
        <f>_xlfn.XLOOKUP(B1278,Phone_by_Price!$A$2:$A$34,Phone_by_Price!$B$2:$B$34,"-",0,1)</f>
        <v>Samsung Galaxy Z Flip 3</v>
      </c>
      <c r="D1278" t="str">
        <f>_xlfn.XLOOKUP(C1278,Phone_by_Sentiment!$B$2:$B$37,Phone_by_Sentiment!$A$2:$A$37,"-",0,1)</f>
        <v>2021-09</v>
      </c>
      <c r="E1278" cm="1">
        <f t="array" ref="E1278">IF($Q1278&gt;=0,IFERROR(generateSalesData($D1278, IF(ISNUMBER(_xlfn.XLOOKUP($C1278,Phone_by_Sentiment!$B$2:$B$37,Phone_by_Sentiment!E$2:E$37,"",0,1)),_xlfn.XLOOKUP($C1278,Phone_by_Sentiment!$B$2:$B$37,Phone_by_Sentiment!E$2:E$37,"",0,1),0),$A1278-TEXT(DATEVALUE($D1278&amp;"-01"), "dd-mm-yyyy")),0),0)</f>
        <v>390</v>
      </c>
      <c r="F1278" cm="1">
        <f t="array" ref="F1278">IF($Q1278&gt;=0,IFERROR(generateSalesData($D1278, IF(ISNUMBER(_xlfn.XLOOKUP($C1278,Phone_by_Sentiment!$B$2:$B$37,Phone_by_Sentiment!F$2:F$37,"",0,1)),_xlfn.XLOOKUP($C1278,Phone_by_Sentiment!$B$2:$B$37,Phone_by_Sentiment!F$2:F$37,"",0,1),0),$A1278-TEXT(DATEVALUE($D1278&amp;"-01"), "dd-mm-yyyy")),0),0)</f>
        <v>2012</v>
      </c>
      <c r="G1278" cm="1">
        <f t="array" ref="G1278">IF($Q1278&gt;=0,IFERROR(generateSalesData($D1278, IF(ISNUMBER(_xlfn.XLOOKUP($C1278,Phone_by_Sentiment!$B$2:$B$37,Phone_by_Sentiment!G$2:G$37,"",0,1)),_xlfn.XLOOKUP($C1278,Phone_by_Sentiment!$B$2:$B$37,Phone_by_Sentiment!G$2:G$37,"",0,1),0),$A1278-TEXT(DATEVALUE($D1278&amp;"-01"), "dd-mm-yyyy")),0),0)</f>
        <v>651</v>
      </c>
      <c r="H1278" cm="1">
        <f t="array" ref="H1278">IF($Q1278&gt;=0,IFERROR(generateSalesData($D1278, IF(ISNUMBER(_xlfn.XLOOKUP($C1278,Phone_by_Sentiment!$B$2:$B$37,Phone_by_Sentiment!H$2:H$37,"",0,1)),_xlfn.XLOOKUP($C1278,Phone_by_Sentiment!$B$2:$B$37,Phone_by_Sentiment!H$2:H$37,"",0,1),0),$A1278-TEXT(DATEVALUE($D1278&amp;"-01"), "dd-mm-yyyy")),0),0)</f>
        <v>1787</v>
      </c>
      <c r="I1278" cm="1">
        <f t="array" ref="I1278">IF($Q1278&gt;=0,IFERROR(generateSalesData($D1278, IF(ISNUMBER(_xlfn.XLOOKUP($C1278,Phone_by_Sentiment!$B$2:$B$37,Phone_by_Sentiment!I$2:I$37,"",0,1)),_xlfn.XLOOKUP($C1278,Phone_by_Sentiment!$B$2:$B$37,Phone_by_Sentiment!I$2:I$37,"",0,1),0),$A1278-TEXT(DATEVALUE($D1278&amp;"-01"), "dd-mm-yyyy")),0),0)</f>
        <v>2963</v>
      </c>
      <c r="J1278" cm="1">
        <f t="array" ref="J1278">IF($Q1278&gt;=0,IFERROR(generateSalesData($D1278, IF(ISNUMBER(_xlfn.XLOOKUP($C1278,Phone_by_Sentiment!$B$2:$B$37,Phone_by_Sentiment!J$2:J$37,"",0,1)),_xlfn.XLOOKUP($C1278,Phone_by_Sentiment!$B$2:$B$37,Phone_by_Sentiment!J$2:J$37,"",0,1),0),$A1278-TEXT(DATEVALUE($D1278&amp;"-01"), "dd-mm-yyyy")),0),0)</f>
        <v>1961</v>
      </c>
      <c r="K1278" cm="1">
        <f t="array" ref="K1278">IF($Q1278&gt;=0,IFERROR(generateSalesData($D1278, IF(ISNUMBER(_xlfn.XLOOKUP($C1278,Phone_by_Sentiment!$B$2:$B$37,Phone_by_Sentiment!K$2:K$37,"",0,1)),_xlfn.XLOOKUP($C1278,Phone_by_Sentiment!$B$2:$B$37,Phone_by_Sentiment!K$2:K$37,"",0,1),0),$A1278-TEXT(DATEVALUE($D1278&amp;"-01"), "dd-mm-yyyy")),0),0)</f>
        <v>2422</v>
      </c>
      <c r="L1278" cm="1">
        <f t="array" ref="L1278">IF($Q1278&gt;=0,IFERROR(generateSalesData($D1278, IF(ISNUMBER(_xlfn.XLOOKUP($C1278,Phone_by_Sentiment!$B$2:$B$37,Phone_by_Sentiment!L$2:L$37,"",0,1)),_xlfn.XLOOKUP($C1278,Phone_by_Sentiment!$B$2:$B$37,Phone_by_Sentiment!L$2:L$37,"",0,1),0),$A1278-TEXT(DATEVALUE($D1278&amp;"-01"), "dd-mm-yyyy")),0),0)</f>
        <v>1022</v>
      </c>
      <c r="M1278" cm="1">
        <f t="array" ref="M1278">IF($Q1278&gt;=0,IFERROR(generateSalesData($D1278, IF(ISNUMBER(_xlfn.XLOOKUP($C1278,Phone_by_Sentiment!$B$2:$B$37,Phone_by_Sentiment!M$2:M$37,"",0,1)),_xlfn.XLOOKUP($C1278,Phone_by_Sentiment!$B$2:$B$37,Phone_by_Sentiment!M$2:M$37,"",0,1),0),$A1278-TEXT(DATEVALUE($D1278&amp;"-01"), "dd-mm-yyyy")),0),0)</f>
        <v>3109</v>
      </c>
      <c r="N1278" cm="1">
        <f t="array" ref="N1278">IF($Q1278&gt;=0,IFERROR(generateSalesData($D1278, IF(ISNUMBER(_xlfn.XLOOKUP($C1278,Phone_by_Sentiment!$B$2:$B$37,Phone_by_Sentiment!N$2:N$37,"",0,1)),_xlfn.XLOOKUP($C1278,Phone_by_Sentiment!$B$2:$B$37,Phone_by_Sentiment!N$2:N$37,"",0,1),0),$A1278-TEXT(DATEVALUE($D1278&amp;"-01"), "dd-mm-yyyy")),0),0)</f>
        <v>3680</v>
      </c>
      <c r="O1278" cm="1">
        <f t="array" ref="O1278">IF($Q1278&gt;=0,IFERROR(generateSalesData($D1278, IF(ISNUMBER(_xlfn.XLOOKUP($C1278,Phone_by_Sentiment!$B$2:$B$37,Phone_by_Sentiment!O$2:O$37,"",0,1)),_xlfn.XLOOKUP($C1278,Phone_by_Sentiment!$B$2:$B$37,Phone_by_Sentiment!O$2:O$37,"",0,1),0),$A1278-TEXT(DATEVALUE($D1278&amp;"-01"), "dd-mm-yyyy")),0),0)</f>
        <v>1685</v>
      </c>
      <c r="P1278" s="1">
        <f t="shared" si="51"/>
        <v>44440</v>
      </c>
      <c r="Q1278">
        <f t="shared" si="52"/>
        <v>122</v>
      </c>
    </row>
    <row r="1279" spans="1:17" x14ac:dyDescent="0.25">
      <c r="A1279" s="1">
        <f t="shared" si="48"/>
        <v>44562</v>
      </c>
      <c r="B1279" t="s">
        <v>162</v>
      </c>
      <c r="C1279" t="str">
        <f>_xlfn.XLOOKUP(B1279,Phone_by_Price!$A$2:$A$34,Phone_by_Price!$B$2:$B$34,"-",0,1)</f>
        <v>Xiaomi Poco X3 NFC</v>
      </c>
      <c r="D1279" t="str">
        <f>_xlfn.XLOOKUP(C1279,Phone_by_Sentiment!$B$2:$B$37,Phone_by_Sentiment!$A$2:$A$37,"-",0,1)</f>
        <v>2020-08</v>
      </c>
      <c r="E1279" cm="1">
        <f t="array" ref="E1279">IF($Q1279&gt;=0,IFERROR(generateSalesData($D1279, IF(ISNUMBER(_xlfn.XLOOKUP($C1279,Phone_by_Sentiment!$B$2:$B$37,Phone_by_Sentiment!E$2:E$37,"",0,1)),_xlfn.XLOOKUP($C1279,Phone_by_Sentiment!$B$2:$B$37,Phone_by_Sentiment!E$2:E$37,"",0,1),0),$A1279-TEXT(DATEVALUE($D1279&amp;"-01"), "dd-mm-yyyy")),0),0)</f>
        <v>118</v>
      </c>
      <c r="F1279" cm="1">
        <f t="array" ref="F1279">IF($Q1279&gt;=0,IFERROR(generateSalesData($D1279, IF(ISNUMBER(_xlfn.XLOOKUP($C1279,Phone_by_Sentiment!$B$2:$B$37,Phone_by_Sentiment!F$2:F$37,"",0,1)),_xlfn.XLOOKUP($C1279,Phone_by_Sentiment!$B$2:$B$37,Phone_by_Sentiment!F$2:F$37,"",0,1),0),$A1279-TEXT(DATEVALUE($D1279&amp;"-01"), "dd-mm-yyyy")),0),0)</f>
        <v>138</v>
      </c>
      <c r="G1279" cm="1">
        <f t="array" ref="G1279">IF($Q1279&gt;=0,IFERROR(generateSalesData($D1279, IF(ISNUMBER(_xlfn.XLOOKUP($C1279,Phone_by_Sentiment!$B$2:$B$37,Phone_by_Sentiment!G$2:G$37,"",0,1)),_xlfn.XLOOKUP($C1279,Phone_by_Sentiment!$B$2:$B$37,Phone_by_Sentiment!G$2:G$37,"",0,1),0),$A1279-TEXT(DATEVALUE($D1279&amp;"-01"), "dd-mm-yyyy")),0),0)</f>
        <v>2</v>
      </c>
      <c r="H1279" cm="1">
        <f t="array" ref="H1279">IF($Q1279&gt;=0,IFERROR(generateSalesData($D1279, IF(ISNUMBER(_xlfn.XLOOKUP($C1279,Phone_by_Sentiment!$B$2:$B$37,Phone_by_Sentiment!H$2:H$37,"",0,1)),_xlfn.XLOOKUP($C1279,Phone_by_Sentiment!$B$2:$B$37,Phone_by_Sentiment!H$2:H$37,"",0,1),0),$A1279-TEXT(DATEVALUE($D1279&amp;"-01"), "dd-mm-yyyy")),0),0)</f>
        <v>193</v>
      </c>
      <c r="I1279" cm="1">
        <f t="array" ref="I1279">IF($Q1279&gt;=0,IFERROR(generateSalesData($D1279, IF(ISNUMBER(_xlfn.XLOOKUP($C1279,Phone_by_Sentiment!$B$2:$B$37,Phone_by_Sentiment!I$2:I$37,"",0,1)),_xlfn.XLOOKUP($C1279,Phone_by_Sentiment!$B$2:$B$37,Phone_by_Sentiment!I$2:I$37,"",0,1),0),$A1279-TEXT(DATEVALUE($D1279&amp;"-01"), "dd-mm-yyyy")),0),0)</f>
        <v>50</v>
      </c>
      <c r="J1279" cm="1">
        <f t="array" ref="J1279">IF($Q1279&gt;=0,IFERROR(generateSalesData($D1279, IF(ISNUMBER(_xlfn.XLOOKUP($C1279,Phone_by_Sentiment!$B$2:$B$37,Phone_by_Sentiment!J$2:J$37,"",0,1)),_xlfn.XLOOKUP($C1279,Phone_by_Sentiment!$B$2:$B$37,Phone_by_Sentiment!J$2:J$37,"",0,1),0),$A1279-TEXT(DATEVALUE($D1279&amp;"-01"), "dd-mm-yyyy")),0),0)</f>
        <v>91</v>
      </c>
      <c r="K1279" cm="1">
        <f t="array" ref="K1279">IF($Q1279&gt;=0,IFERROR(generateSalesData($D1279, IF(ISNUMBER(_xlfn.XLOOKUP($C1279,Phone_by_Sentiment!$B$2:$B$37,Phone_by_Sentiment!K$2:K$37,"",0,1)),_xlfn.XLOOKUP($C1279,Phone_by_Sentiment!$B$2:$B$37,Phone_by_Sentiment!K$2:K$37,"",0,1),0),$A1279-TEXT(DATEVALUE($D1279&amp;"-01"), "dd-mm-yyyy")),0),0)</f>
        <v>321</v>
      </c>
      <c r="L1279" cm="1">
        <f t="array" ref="L1279">IF($Q1279&gt;=0,IFERROR(generateSalesData($D1279, IF(ISNUMBER(_xlfn.XLOOKUP($C1279,Phone_by_Sentiment!$B$2:$B$37,Phone_by_Sentiment!L$2:L$37,"",0,1)),_xlfn.XLOOKUP($C1279,Phone_by_Sentiment!$B$2:$B$37,Phone_by_Sentiment!L$2:L$37,"",0,1),0),$A1279-TEXT(DATEVALUE($D1279&amp;"-01"), "dd-mm-yyyy")),0),0)</f>
        <v>67</v>
      </c>
      <c r="M1279" cm="1">
        <f t="array" ref="M1279">IF($Q1279&gt;=0,IFERROR(generateSalesData($D1279, IF(ISNUMBER(_xlfn.XLOOKUP($C1279,Phone_by_Sentiment!$B$2:$B$37,Phone_by_Sentiment!M$2:M$37,"",0,1)),_xlfn.XLOOKUP($C1279,Phone_by_Sentiment!$B$2:$B$37,Phone_by_Sentiment!M$2:M$37,"",0,1),0),$A1279-TEXT(DATEVALUE($D1279&amp;"-01"), "dd-mm-yyyy")),0),0)</f>
        <v>84</v>
      </c>
      <c r="N1279" cm="1">
        <f t="array" ref="N1279">IF($Q1279&gt;=0,IFERROR(generateSalesData($D1279, IF(ISNUMBER(_xlfn.XLOOKUP($C1279,Phone_by_Sentiment!$B$2:$B$37,Phone_by_Sentiment!N$2:N$37,"",0,1)),_xlfn.XLOOKUP($C1279,Phone_by_Sentiment!$B$2:$B$37,Phone_by_Sentiment!N$2:N$37,"",0,1),0),$A1279-TEXT(DATEVALUE($D1279&amp;"-01"), "dd-mm-yyyy")),0),0)</f>
        <v>279</v>
      </c>
      <c r="O1279" cm="1">
        <f t="array" ref="O1279">IF($Q1279&gt;=0,IFERROR(generateSalesData($D1279, IF(ISNUMBER(_xlfn.XLOOKUP($C1279,Phone_by_Sentiment!$B$2:$B$37,Phone_by_Sentiment!O$2:O$37,"",0,1)),_xlfn.XLOOKUP($C1279,Phone_by_Sentiment!$B$2:$B$37,Phone_by_Sentiment!O$2:O$37,"",0,1),0),$A1279-TEXT(DATEVALUE($D1279&amp;"-01"), "dd-mm-yyyy")),0),0)</f>
        <v>340</v>
      </c>
      <c r="P1279" s="1">
        <f t="shared" si="51"/>
        <v>44044</v>
      </c>
      <c r="Q1279">
        <f t="shared" si="52"/>
        <v>518</v>
      </c>
    </row>
    <row r="1280" spans="1:17" x14ac:dyDescent="0.25">
      <c r="A1280" s="1">
        <f t="shared" si="48"/>
        <v>44562</v>
      </c>
      <c r="B1280" t="s">
        <v>163</v>
      </c>
      <c r="C1280" t="str">
        <f>_xlfn.XLOOKUP(B1280,Phone_by_Price!$A$2:$A$34,Phone_by_Price!$B$2:$B$34,"-",0,1)</f>
        <v>OPPO A93</v>
      </c>
      <c r="D1280" t="str">
        <f>_xlfn.XLOOKUP(C1280,Phone_by_Sentiment!$B$2:$B$37,Phone_by_Sentiment!$A$2:$A$37,"-",0,1)</f>
        <v>2021-02</v>
      </c>
      <c r="E1280" cm="1">
        <f t="array" ref="E1280">IF($Q1280&gt;=0,IFERROR(generateSalesData($D1280, IF(ISNUMBER(_xlfn.XLOOKUP($C1280,Phone_by_Sentiment!$B$2:$B$37,Phone_by_Sentiment!E$2:E$37,"",0,1)),_xlfn.XLOOKUP($C1280,Phone_by_Sentiment!$B$2:$B$37,Phone_by_Sentiment!E$2:E$37,"",0,1),0),$A1280-TEXT(DATEVALUE($D1280&amp;"-01"), "dd-mm-yyyy")),0),0)</f>
        <v>981</v>
      </c>
      <c r="F1280" cm="1">
        <f t="array" ref="F1280">IF($Q1280&gt;=0,IFERROR(generateSalesData($D1280, IF(ISNUMBER(_xlfn.XLOOKUP($C1280,Phone_by_Sentiment!$B$2:$B$37,Phone_by_Sentiment!F$2:F$37,"",0,1)),_xlfn.XLOOKUP($C1280,Phone_by_Sentiment!$B$2:$B$37,Phone_by_Sentiment!F$2:F$37,"",0,1),0),$A1280-TEXT(DATEVALUE($D1280&amp;"-01"), "dd-mm-yyyy")),0),0)</f>
        <v>304</v>
      </c>
      <c r="G1280" cm="1">
        <f t="array" ref="G1280">IF($Q1280&gt;=0,IFERROR(generateSalesData($D1280, IF(ISNUMBER(_xlfn.XLOOKUP($C1280,Phone_by_Sentiment!$B$2:$B$37,Phone_by_Sentiment!G$2:G$37,"",0,1)),_xlfn.XLOOKUP($C1280,Phone_by_Sentiment!$B$2:$B$37,Phone_by_Sentiment!G$2:G$37,"",0,1),0),$A1280-TEXT(DATEVALUE($D1280&amp;"-01"), "dd-mm-yyyy")),0),0)</f>
        <v>134</v>
      </c>
      <c r="H1280" cm="1">
        <f t="array" ref="H1280">IF($Q1280&gt;=0,IFERROR(generateSalesData($D1280, IF(ISNUMBER(_xlfn.XLOOKUP($C1280,Phone_by_Sentiment!$B$2:$B$37,Phone_by_Sentiment!H$2:H$37,"",0,1)),_xlfn.XLOOKUP($C1280,Phone_by_Sentiment!$B$2:$B$37,Phone_by_Sentiment!H$2:H$37,"",0,1),0),$A1280-TEXT(DATEVALUE($D1280&amp;"-01"), "dd-mm-yyyy")),0),0)</f>
        <v>316</v>
      </c>
      <c r="I1280" cm="1">
        <f t="array" ref="I1280">IF($Q1280&gt;=0,IFERROR(generateSalesData($D1280, IF(ISNUMBER(_xlfn.XLOOKUP($C1280,Phone_by_Sentiment!$B$2:$B$37,Phone_by_Sentiment!I$2:I$37,"",0,1)),_xlfn.XLOOKUP($C1280,Phone_by_Sentiment!$B$2:$B$37,Phone_by_Sentiment!I$2:I$37,"",0,1),0),$A1280-TEXT(DATEVALUE($D1280&amp;"-01"), "dd-mm-yyyy")),0),0)</f>
        <v>484</v>
      </c>
      <c r="J1280" cm="1">
        <f t="array" ref="J1280">IF($Q1280&gt;=0,IFERROR(generateSalesData($D1280, IF(ISNUMBER(_xlfn.XLOOKUP($C1280,Phone_by_Sentiment!$B$2:$B$37,Phone_by_Sentiment!J$2:J$37,"",0,1)),_xlfn.XLOOKUP($C1280,Phone_by_Sentiment!$B$2:$B$37,Phone_by_Sentiment!J$2:J$37,"",0,1),0),$A1280-TEXT(DATEVALUE($D1280&amp;"-01"), "dd-mm-yyyy")),0),0)</f>
        <v>218</v>
      </c>
      <c r="K1280" cm="1">
        <f t="array" ref="K1280">IF($Q1280&gt;=0,IFERROR(generateSalesData($D1280, IF(ISNUMBER(_xlfn.XLOOKUP($C1280,Phone_by_Sentiment!$B$2:$B$37,Phone_by_Sentiment!K$2:K$37,"",0,1)),_xlfn.XLOOKUP($C1280,Phone_by_Sentiment!$B$2:$B$37,Phone_by_Sentiment!K$2:K$37,"",0,1),0),$A1280-TEXT(DATEVALUE($D1280&amp;"-01"), "dd-mm-yyyy")),0),0)</f>
        <v>185</v>
      </c>
      <c r="L1280" cm="1">
        <f t="array" ref="L1280">IF($Q1280&gt;=0,IFERROR(generateSalesData($D1280, IF(ISNUMBER(_xlfn.XLOOKUP($C1280,Phone_by_Sentiment!$B$2:$B$37,Phone_by_Sentiment!L$2:L$37,"",0,1)),_xlfn.XLOOKUP($C1280,Phone_by_Sentiment!$B$2:$B$37,Phone_by_Sentiment!L$2:L$37,"",0,1),0),$A1280-TEXT(DATEVALUE($D1280&amp;"-01"), "dd-mm-yyyy")),0),0)</f>
        <v>237</v>
      </c>
      <c r="M1280" cm="1">
        <f t="array" ref="M1280">IF($Q1280&gt;=0,IFERROR(generateSalesData($D1280, IF(ISNUMBER(_xlfn.XLOOKUP($C1280,Phone_by_Sentiment!$B$2:$B$37,Phone_by_Sentiment!M$2:M$37,"",0,1)),_xlfn.XLOOKUP($C1280,Phone_by_Sentiment!$B$2:$B$37,Phone_by_Sentiment!M$2:M$37,"",0,1),0),$A1280-TEXT(DATEVALUE($D1280&amp;"-01"), "dd-mm-yyyy")),0),0)</f>
        <v>898</v>
      </c>
      <c r="N1280" cm="1">
        <f t="array" ref="N1280">IF($Q1280&gt;=0,IFERROR(generateSalesData($D1280, IF(ISNUMBER(_xlfn.XLOOKUP($C1280,Phone_by_Sentiment!$B$2:$B$37,Phone_by_Sentiment!N$2:N$37,"",0,1)),_xlfn.XLOOKUP($C1280,Phone_by_Sentiment!$B$2:$B$37,Phone_by_Sentiment!N$2:N$37,"",0,1),0),$A1280-TEXT(DATEVALUE($D1280&amp;"-01"), "dd-mm-yyyy")),0),0)</f>
        <v>679</v>
      </c>
      <c r="O1280" cm="1">
        <f t="array" ref="O1280">IF($Q1280&gt;=0,IFERROR(generateSalesData($D1280, IF(ISNUMBER(_xlfn.XLOOKUP($C1280,Phone_by_Sentiment!$B$2:$B$37,Phone_by_Sentiment!O$2:O$37,"",0,1)),_xlfn.XLOOKUP($C1280,Phone_by_Sentiment!$B$2:$B$37,Phone_by_Sentiment!O$2:O$37,"",0,1),0),$A1280-TEXT(DATEVALUE($D1280&amp;"-01"), "dd-mm-yyyy")),0),0)</f>
        <v>82</v>
      </c>
      <c r="P1280" s="1">
        <f t="shared" si="51"/>
        <v>44228</v>
      </c>
      <c r="Q1280">
        <f t="shared" si="52"/>
        <v>334</v>
      </c>
    </row>
    <row r="1281" spans="1:17" x14ac:dyDescent="0.25">
      <c r="A1281" s="1">
        <f t="shared" si="48"/>
        <v>44562</v>
      </c>
      <c r="B1281" t="s">
        <v>164</v>
      </c>
      <c r="C1281" t="str">
        <f>_xlfn.XLOOKUP(B1281,Phone_by_Price!$A$2:$A$34,Phone_by_Price!$B$2:$B$34,"-",0,1)</f>
        <v>Vivo V20</v>
      </c>
      <c r="D1281" t="str">
        <f>_xlfn.XLOOKUP(C1281,Phone_by_Sentiment!$B$2:$B$37,Phone_by_Sentiment!$A$2:$A$37,"-",0,1)</f>
        <v>2020-10</v>
      </c>
      <c r="E1281" cm="1">
        <f t="array" ref="E1281">IF($Q1281&gt;=0,IFERROR(generateSalesData($D1281, IF(ISNUMBER(_xlfn.XLOOKUP($C1281,Phone_by_Sentiment!$B$2:$B$37,Phone_by_Sentiment!E$2:E$37,"",0,1)),_xlfn.XLOOKUP($C1281,Phone_by_Sentiment!$B$2:$B$37,Phone_by_Sentiment!E$2:E$37,"",0,1),0),$A1281-TEXT(DATEVALUE($D1281&amp;"-01"), "dd-mm-yyyy")),0),0)</f>
        <v>1082</v>
      </c>
      <c r="F1281" cm="1">
        <f t="array" ref="F1281">IF($Q1281&gt;=0,IFERROR(generateSalesData($D1281, IF(ISNUMBER(_xlfn.XLOOKUP($C1281,Phone_by_Sentiment!$B$2:$B$37,Phone_by_Sentiment!F$2:F$37,"",0,1)),_xlfn.XLOOKUP($C1281,Phone_by_Sentiment!$B$2:$B$37,Phone_by_Sentiment!F$2:F$37,"",0,1),0),$A1281-TEXT(DATEVALUE($D1281&amp;"-01"), "dd-mm-yyyy")),0),0)</f>
        <v>108</v>
      </c>
      <c r="G1281" cm="1">
        <f t="array" ref="G1281">IF($Q1281&gt;=0,IFERROR(generateSalesData($D1281, IF(ISNUMBER(_xlfn.XLOOKUP($C1281,Phone_by_Sentiment!$B$2:$B$37,Phone_by_Sentiment!G$2:G$37,"",0,1)),_xlfn.XLOOKUP($C1281,Phone_by_Sentiment!$B$2:$B$37,Phone_by_Sentiment!G$2:G$37,"",0,1),0),$A1281-TEXT(DATEVALUE($D1281&amp;"-01"), "dd-mm-yyyy")),0),0)</f>
        <v>154</v>
      </c>
      <c r="H1281" cm="1">
        <f t="array" ref="H1281">IF($Q1281&gt;=0,IFERROR(generateSalesData($D1281, IF(ISNUMBER(_xlfn.XLOOKUP($C1281,Phone_by_Sentiment!$B$2:$B$37,Phone_by_Sentiment!H$2:H$37,"",0,1)),_xlfn.XLOOKUP($C1281,Phone_by_Sentiment!$B$2:$B$37,Phone_by_Sentiment!H$2:H$37,"",0,1),0),$A1281-TEXT(DATEVALUE($D1281&amp;"-01"), "dd-mm-yyyy")),0),0)</f>
        <v>141</v>
      </c>
      <c r="I1281" cm="1">
        <f t="array" ref="I1281">IF($Q1281&gt;=0,IFERROR(generateSalesData($D1281, IF(ISNUMBER(_xlfn.XLOOKUP($C1281,Phone_by_Sentiment!$B$2:$B$37,Phone_by_Sentiment!I$2:I$37,"",0,1)),_xlfn.XLOOKUP($C1281,Phone_by_Sentiment!$B$2:$B$37,Phone_by_Sentiment!I$2:I$37,"",0,1),0),$A1281-TEXT(DATEVALUE($D1281&amp;"-01"), "dd-mm-yyyy")),0),0)</f>
        <v>23</v>
      </c>
      <c r="J1281" cm="1">
        <f t="array" ref="J1281">IF($Q1281&gt;=0,IFERROR(generateSalesData($D1281, IF(ISNUMBER(_xlfn.XLOOKUP($C1281,Phone_by_Sentiment!$B$2:$B$37,Phone_by_Sentiment!J$2:J$37,"",0,1)),_xlfn.XLOOKUP($C1281,Phone_by_Sentiment!$B$2:$B$37,Phone_by_Sentiment!J$2:J$37,"",0,1),0),$A1281-TEXT(DATEVALUE($D1281&amp;"-01"), "dd-mm-yyyy")),0),0)</f>
        <v>69</v>
      </c>
      <c r="K1281" cm="1">
        <f t="array" ref="K1281">IF($Q1281&gt;=0,IFERROR(generateSalesData($D1281, IF(ISNUMBER(_xlfn.XLOOKUP($C1281,Phone_by_Sentiment!$B$2:$B$37,Phone_by_Sentiment!K$2:K$37,"",0,1)),_xlfn.XLOOKUP($C1281,Phone_by_Sentiment!$B$2:$B$37,Phone_by_Sentiment!K$2:K$37,"",0,1),0),$A1281-TEXT(DATEVALUE($D1281&amp;"-01"), "dd-mm-yyyy")),0),0)</f>
        <v>94</v>
      </c>
      <c r="L1281" cm="1">
        <f t="array" ref="L1281">IF($Q1281&gt;=0,IFERROR(generateSalesData($D1281, IF(ISNUMBER(_xlfn.XLOOKUP($C1281,Phone_by_Sentiment!$B$2:$B$37,Phone_by_Sentiment!L$2:L$37,"",0,1)),_xlfn.XLOOKUP($C1281,Phone_by_Sentiment!$B$2:$B$37,Phone_by_Sentiment!L$2:L$37,"",0,1),0),$A1281-TEXT(DATEVALUE($D1281&amp;"-01"), "dd-mm-yyyy")),0),0)</f>
        <v>216</v>
      </c>
      <c r="M1281" cm="1">
        <f t="array" ref="M1281">IF($Q1281&gt;=0,IFERROR(generateSalesData($D1281, IF(ISNUMBER(_xlfn.XLOOKUP($C1281,Phone_by_Sentiment!$B$2:$B$37,Phone_by_Sentiment!M$2:M$37,"",0,1)),_xlfn.XLOOKUP($C1281,Phone_by_Sentiment!$B$2:$B$37,Phone_by_Sentiment!M$2:M$37,"",0,1),0),$A1281-TEXT(DATEVALUE($D1281&amp;"-01"), "dd-mm-yyyy")),0),0)</f>
        <v>202</v>
      </c>
      <c r="N1281" cm="1">
        <f t="array" ref="N1281">IF($Q1281&gt;=0,IFERROR(generateSalesData($D1281, IF(ISNUMBER(_xlfn.XLOOKUP($C1281,Phone_by_Sentiment!$B$2:$B$37,Phone_by_Sentiment!N$2:N$37,"",0,1)),_xlfn.XLOOKUP($C1281,Phone_by_Sentiment!$B$2:$B$37,Phone_by_Sentiment!N$2:N$37,"",0,1),0),$A1281-TEXT(DATEVALUE($D1281&amp;"-01"), "dd-mm-yyyy")),0),0)</f>
        <v>175</v>
      </c>
      <c r="O1281" cm="1">
        <f t="array" ref="O1281">IF($Q1281&gt;=0,IFERROR(generateSalesData($D1281, IF(ISNUMBER(_xlfn.XLOOKUP($C1281,Phone_by_Sentiment!$B$2:$B$37,Phone_by_Sentiment!O$2:O$37,"",0,1)),_xlfn.XLOOKUP($C1281,Phone_by_Sentiment!$B$2:$B$37,Phone_by_Sentiment!O$2:O$37,"",0,1),0),$A1281-TEXT(DATEVALUE($D1281&amp;"-01"), "dd-mm-yyyy")),0),0)</f>
        <v>239</v>
      </c>
      <c r="P1281" s="1">
        <f t="shared" si="51"/>
        <v>44105</v>
      </c>
      <c r="Q1281">
        <f t="shared" si="52"/>
        <v>457</v>
      </c>
    </row>
    <row r="1282" spans="1:17" x14ac:dyDescent="0.25">
      <c r="A1282" s="1">
        <f t="shared" si="48"/>
        <v>44562</v>
      </c>
      <c r="B1282" t="s">
        <v>165</v>
      </c>
      <c r="C1282" t="str">
        <f>_xlfn.XLOOKUP(B1282,Phone_by_Price!$A$2:$A$34,Phone_by_Price!$B$2:$B$34,"-",0,1)</f>
        <v>Samsung Galaxy A50</v>
      </c>
      <c r="D1282" t="str">
        <f>_xlfn.XLOOKUP(C1282,Phone_by_Sentiment!$B$2:$B$37,Phone_by_Sentiment!$A$2:$A$37,"-",0,1)</f>
        <v>2019-05</v>
      </c>
      <c r="E1282" cm="1">
        <f t="array" ref="E1282">IF($Q1282&gt;=0,IFERROR(generateSalesData($D1282, IF(ISNUMBER(_xlfn.XLOOKUP($C1282,Phone_by_Sentiment!$B$2:$B$37,Phone_by_Sentiment!E$2:E$37,"",0,1)),_xlfn.XLOOKUP($C1282,Phone_by_Sentiment!$B$2:$B$37,Phone_by_Sentiment!E$2:E$37,"",0,1),0),$A1282-TEXT(DATEVALUE($D1282&amp;"-01"), "dd-mm-yyyy")),0),0)</f>
        <v>449</v>
      </c>
      <c r="F1282" cm="1">
        <f t="array" ref="F1282">IF($Q1282&gt;=0,IFERROR(generateSalesData($D1282, IF(ISNUMBER(_xlfn.XLOOKUP($C1282,Phone_by_Sentiment!$B$2:$B$37,Phone_by_Sentiment!F$2:F$37,"",0,1)),_xlfn.XLOOKUP($C1282,Phone_by_Sentiment!$B$2:$B$37,Phone_by_Sentiment!F$2:F$37,"",0,1),0),$A1282-TEXT(DATEVALUE($D1282&amp;"-01"), "dd-mm-yyyy")),0),0)</f>
        <v>31</v>
      </c>
      <c r="G1282" cm="1">
        <f t="array" ref="G1282">IF($Q1282&gt;=0,IFERROR(generateSalesData($D1282, IF(ISNUMBER(_xlfn.XLOOKUP($C1282,Phone_by_Sentiment!$B$2:$B$37,Phone_by_Sentiment!G$2:G$37,"",0,1)),_xlfn.XLOOKUP($C1282,Phone_by_Sentiment!$B$2:$B$37,Phone_by_Sentiment!G$2:G$37,"",0,1),0),$A1282-TEXT(DATEVALUE($D1282&amp;"-01"), "dd-mm-yyyy")),0),0)</f>
        <v>80</v>
      </c>
      <c r="H1282" cm="1">
        <f t="array" ref="H1282">IF($Q1282&gt;=0,IFERROR(generateSalesData($D1282, IF(ISNUMBER(_xlfn.XLOOKUP($C1282,Phone_by_Sentiment!$B$2:$B$37,Phone_by_Sentiment!H$2:H$37,"",0,1)),_xlfn.XLOOKUP($C1282,Phone_by_Sentiment!$B$2:$B$37,Phone_by_Sentiment!H$2:H$37,"",0,1),0),$A1282-TEXT(DATEVALUE($D1282&amp;"-01"), "dd-mm-yyyy")),0),0)</f>
        <v>224</v>
      </c>
      <c r="I1282" cm="1">
        <f t="array" ref="I1282">IF($Q1282&gt;=0,IFERROR(generateSalesData($D1282, IF(ISNUMBER(_xlfn.XLOOKUP($C1282,Phone_by_Sentiment!$B$2:$B$37,Phone_by_Sentiment!I$2:I$37,"",0,1)),_xlfn.XLOOKUP($C1282,Phone_by_Sentiment!$B$2:$B$37,Phone_by_Sentiment!I$2:I$37,"",0,1),0),$A1282-TEXT(DATEVALUE($D1282&amp;"-01"), "dd-mm-yyyy")),0),0)</f>
        <v>302</v>
      </c>
      <c r="J1282" cm="1">
        <f t="array" ref="J1282">IF($Q1282&gt;=0,IFERROR(generateSalesData($D1282, IF(ISNUMBER(_xlfn.XLOOKUP($C1282,Phone_by_Sentiment!$B$2:$B$37,Phone_by_Sentiment!J$2:J$37,"",0,1)),_xlfn.XLOOKUP($C1282,Phone_by_Sentiment!$B$2:$B$37,Phone_by_Sentiment!J$2:J$37,"",0,1),0),$A1282-TEXT(DATEVALUE($D1282&amp;"-01"), "dd-mm-yyyy")),0),0)</f>
        <v>41</v>
      </c>
      <c r="K1282" cm="1">
        <f t="array" ref="K1282">IF($Q1282&gt;=0,IFERROR(generateSalesData($D1282, IF(ISNUMBER(_xlfn.XLOOKUP($C1282,Phone_by_Sentiment!$B$2:$B$37,Phone_by_Sentiment!K$2:K$37,"",0,1)),_xlfn.XLOOKUP($C1282,Phone_by_Sentiment!$B$2:$B$37,Phone_by_Sentiment!K$2:K$37,"",0,1),0),$A1282-TEXT(DATEVALUE($D1282&amp;"-01"), "dd-mm-yyyy")),0),0)</f>
        <v>81</v>
      </c>
      <c r="L1282" cm="1">
        <f t="array" ref="L1282">IF($Q1282&gt;=0,IFERROR(generateSalesData($D1282, IF(ISNUMBER(_xlfn.XLOOKUP($C1282,Phone_by_Sentiment!$B$2:$B$37,Phone_by_Sentiment!L$2:L$37,"",0,1)),_xlfn.XLOOKUP($C1282,Phone_by_Sentiment!$B$2:$B$37,Phone_by_Sentiment!L$2:L$37,"",0,1),0),$A1282-TEXT(DATEVALUE($D1282&amp;"-01"), "dd-mm-yyyy")),0),0)</f>
        <v>140</v>
      </c>
      <c r="M1282" cm="1">
        <f t="array" ref="M1282">IF($Q1282&gt;=0,IFERROR(generateSalesData($D1282, IF(ISNUMBER(_xlfn.XLOOKUP($C1282,Phone_by_Sentiment!$B$2:$B$37,Phone_by_Sentiment!M$2:M$37,"",0,1)),_xlfn.XLOOKUP($C1282,Phone_by_Sentiment!$B$2:$B$37,Phone_by_Sentiment!M$2:M$37,"",0,1),0),$A1282-TEXT(DATEVALUE($D1282&amp;"-01"), "dd-mm-yyyy")),0),0)</f>
        <v>64</v>
      </c>
      <c r="N1282" cm="1">
        <f t="array" ref="N1282">IF($Q1282&gt;=0,IFERROR(generateSalesData($D1282, IF(ISNUMBER(_xlfn.XLOOKUP($C1282,Phone_by_Sentiment!$B$2:$B$37,Phone_by_Sentiment!N$2:N$37,"",0,1)),_xlfn.XLOOKUP($C1282,Phone_by_Sentiment!$B$2:$B$37,Phone_by_Sentiment!N$2:N$37,"",0,1),0),$A1282-TEXT(DATEVALUE($D1282&amp;"-01"), "dd-mm-yyyy")),0),0)</f>
        <v>426</v>
      </c>
      <c r="O1282" cm="1">
        <f t="array" ref="O1282">IF($Q1282&gt;=0,IFERROR(generateSalesData($D1282, IF(ISNUMBER(_xlfn.XLOOKUP($C1282,Phone_by_Sentiment!$B$2:$B$37,Phone_by_Sentiment!O$2:O$37,"",0,1)),_xlfn.XLOOKUP($C1282,Phone_by_Sentiment!$B$2:$B$37,Phone_by_Sentiment!O$2:O$37,"",0,1),0),$A1282-TEXT(DATEVALUE($D1282&amp;"-01"), "dd-mm-yyyy")),0),0)</f>
        <v>208</v>
      </c>
      <c r="P1282" s="1">
        <f t="shared" si="51"/>
        <v>43586</v>
      </c>
      <c r="Q1282">
        <f t="shared" si="52"/>
        <v>976</v>
      </c>
    </row>
    <row r="1283" spans="1:17" x14ac:dyDescent="0.25">
      <c r="A1283" s="1">
        <f t="shared" si="48"/>
        <v>44562</v>
      </c>
      <c r="B1283" t="s">
        <v>166</v>
      </c>
      <c r="C1283" t="str">
        <f>_xlfn.XLOOKUP(B1283,Phone_by_Price!$A$2:$A$34,Phone_by_Price!$B$2:$B$34,"-",0,1)</f>
        <v>Xiaomi Redmi Note 7</v>
      </c>
      <c r="D1283" t="str">
        <f>_xlfn.XLOOKUP(C1283,Phone_by_Sentiment!$B$2:$B$37,Phone_by_Sentiment!$A$2:$A$37,"-",0,1)</f>
        <v>2019-08</v>
      </c>
      <c r="E1283" cm="1">
        <f t="array" ref="E1283">IF($Q1283&gt;=0,IFERROR(generateSalesData($D1283, IF(ISNUMBER(_xlfn.XLOOKUP($C1283,Phone_by_Sentiment!$B$2:$B$37,Phone_by_Sentiment!E$2:E$37,"",0,1)),_xlfn.XLOOKUP($C1283,Phone_by_Sentiment!$B$2:$B$37,Phone_by_Sentiment!E$2:E$37,"",0,1),0),$A1283-TEXT(DATEVALUE($D1283&amp;"-01"), "dd-mm-yyyy")),0),0)</f>
        <v>32</v>
      </c>
      <c r="F1283" cm="1">
        <f t="array" ref="F1283">IF($Q1283&gt;=0,IFERROR(generateSalesData($D1283, IF(ISNUMBER(_xlfn.XLOOKUP($C1283,Phone_by_Sentiment!$B$2:$B$37,Phone_by_Sentiment!F$2:F$37,"",0,1)),_xlfn.XLOOKUP($C1283,Phone_by_Sentiment!$B$2:$B$37,Phone_by_Sentiment!F$2:F$37,"",0,1),0),$A1283-TEXT(DATEVALUE($D1283&amp;"-01"), "dd-mm-yyyy")),0),0)</f>
        <v>42</v>
      </c>
      <c r="G1283" cm="1">
        <f t="array" ref="G1283">IF($Q1283&gt;=0,IFERROR(generateSalesData($D1283, IF(ISNUMBER(_xlfn.XLOOKUP($C1283,Phone_by_Sentiment!$B$2:$B$37,Phone_by_Sentiment!G$2:G$37,"",0,1)),_xlfn.XLOOKUP($C1283,Phone_by_Sentiment!$B$2:$B$37,Phone_by_Sentiment!G$2:G$37,"",0,1),0),$A1283-TEXT(DATEVALUE($D1283&amp;"-01"), "dd-mm-yyyy")),0),0)</f>
        <v>90</v>
      </c>
      <c r="H1283" cm="1">
        <f t="array" ref="H1283">IF($Q1283&gt;=0,IFERROR(generateSalesData($D1283, IF(ISNUMBER(_xlfn.XLOOKUP($C1283,Phone_by_Sentiment!$B$2:$B$37,Phone_by_Sentiment!H$2:H$37,"",0,1)),_xlfn.XLOOKUP($C1283,Phone_by_Sentiment!$B$2:$B$37,Phone_by_Sentiment!H$2:H$37,"",0,1),0),$A1283-TEXT(DATEVALUE($D1283&amp;"-01"), "dd-mm-yyyy")),0),0)</f>
        <v>787</v>
      </c>
      <c r="I1283" cm="1">
        <f t="array" ref="I1283">IF($Q1283&gt;=0,IFERROR(generateSalesData($D1283, IF(ISNUMBER(_xlfn.XLOOKUP($C1283,Phone_by_Sentiment!$B$2:$B$37,Phone_by_Sentiment!I$2:I$37,"",0,1)),_xlfn.XLOOKUP($C1283,Phone_by_Sentiment!$B$2:$B$37,Phone_by_Sentiment!I$2:I$37,"",0,1),0),$A1283-TEXT(DATEVALUE($D1283&amp;"-01"), "dd-mm-yyyy")),0),0)</f>
        <v>40</v>
      </c>
      <c r="J1283" cm="1">
        <f t="array" ref="J1283">IF($Q1283&gt;=0,IFERROR(generateSalesData($D1283, IF(ISNUMBER(_xlfn.XLOOKUP($C1283,Phone_by_Sentiment!$B$2:$B$37,Phone_by_Sentiment!J$2:J$37,"",0,1)),_xlfn.XLOOKUP($C1283,Phone_by_Sentiment!$B$2:$B$37,Phone_by_Sentiment!J$2:J$37,"",0,1),0),$A1283-TEXT(DATEVALUE($D1283&amp;"-01"), "dd-mm-yyyy")),0),0)</f>
        <v>127</v>
      </c>
      <c r="K1283" cm="1">
        <f t="array" ref="K1283">IF($Q1283&gt;=0,IFERROR(generateSalesData($D1283, IF(ISNUMBER(_xlfn.XLOOKUP($C1283,Phone_by_Sentiment!$B$2:$B$37,Phone_by_Sentiment!K$2:K$37,"",0,1)),_xlfn.XLOOKUP($C1283,Phone_by_Sentiment!$B$2:$B$37,Phone_by_Sentiment!K$2:K$37,"",0,1),0),$A1283-TEXT(DATEVALUE($D1283&amp;"-01"), "dd-mm-yyyy")),0),0)</f>
        <v>194</v>
      </c>
      <c r="L1283" cm="1">
        <f t="array" ref="L1283">IF($Q1283&gt;=0,IFERROR(generateSalesData($D1283, IF(ISNUMBER(_xlfn.XLOOKUP($C1283,Phone_by_Sentiment!$B$2:$B$37,Phone_by_Sentiment!L$2:L$37,"",0,1)),_xlfn.XLOOKUP($C1283,Phone_by_Sentiment!$B$2:$B$37,Phone_by_Sentiment!L$2:L$37,"",0,1),0),$A1283-TEXT(DATEVALUE($D1283&amp;"-01"), "dd-mm-yyyy")),0),0)</f>
        <v>80</v>
      </c>
      <c r="M1283" cm="1">
        <f t="array" ref="M1283">IF($Q1283&gt;=0,IFERROR(generateSalesData($D1283, IF(ISNUMBER(_xlfn.XLOOKUP($C1283,Phone_by_Sentiment!$B$2:$B$37,Phone_by_Sentiment!M$2:M$37,"",0,1)),_xlfn.XLOOKUP($C1283,Phone_by_Sentiment!$B$2:$B$37,Phone_by_Sentiment!M$2:M$37,"",0,1),0),$A1283-TEXT(DATEVALUE($D1283&amp;"-01"), "dd-mm-yyyy")),0),0)</f>
        <v>230</v>
      </c>
      <c r="N1283" cm="1">
        <f t="array" ref="N1283">IF($Q1283&gt;=0,IFERROR(generateSalesData($D1283, IF(ISNUMBER(_xlfn.XLOOKUP($C1283,Phone_by_Sentiment!$B$2:$B$37,Phone_by_Sentiment!N$2:N$37,"",0,1)),_xlfn.XLOOKUP($C1283,Phone_by_Sentiment!$B$2:$B$37,Phone_by_Sentiment!N$2:N$37,"",0,1),0),$A1283-TEXT(DATEVALUE($D1283&amp;"-01"), "dd-mm-yyyy")),0),0)</f>
        <v>38</v>
      </c>
      <c r="O1283" cm="1">
        <f t="array" ref="O1283">IF($Q1283&gt;=0,IFERROR(generateSalesData($D1283, IF(ISNUMBER(_xlfn.XLOOKUP($C1283,Phone_by_Sentiment!$B$2:$B$37,Phone_by_Sentiment!O$2:O$37,"",0,1)),_xlfn.XLOOKUP($C1283,Phone_by_Sentiment!$B$2:$B$37,Phone_by_Sentiment!O$2:O$37,"",0,1),0),$A1283-TEXT(DATEVALUE($D1283&amp;"-01"), "dd-mm-yyyy")),0),0)</f>
        <v>31</v>
      </c>
      <c r="P1283" s="1">
        <f t="shared" si="51"/>
        <v>43678</v>
      </c>
      <c r="Q1283">
        <f t="shared" si="52"/>
        <v>884</v>
      </c>
    </row>
    <row r="1284" spans="1:17" x14ac:dyDescent="0.25">
      <c r="A1284" s="1">
        <f t="shared" si="48"/>
        <v>44562</v>
      </c>
      <c r="B1284" t="s">
        <v>167</v>
      </c>
      <c r="C1284" t="str">
        <f>_xlfn.XLOOKUP(B1284,Phone_by_Price!$A$2:$A$34,Phone_by_Price!$B$2:$B$34,"-",0,1)</f>
        <v>Realme C21</v>
      </c>
      <c r="D1284" t="str">
        <f>_xlfn.XLOOKUP(C1284,Phone_by_Sentiment!$B$2:$B$37,Phone_by_Sentiment!$A$2:$A$37,"-",0,1)</f>
        <v>2021-04</v>
      </c>
      <c r="E1284" cm="1">
        <f t="array" ref="E1284">IF($Q1284&gt;=0,IFERROR(generateSalesData($D1284, IF(ISNUMBER(_xlfn.XLOOKUP($C1284,Phone_by_Sentiment!$B$2:$B$37,Phone_by_Sentiment!E$2:E$37,"",0,1)),_xlfn.XLOOKUP($C1284,Phone_by_Sentiment!$B$2:$B$37,Phone_by_Sentiment!E$2:E$37,"",0,1),0),$A1284-TEXT(DATEVALUE($D1284&amp;"-01"), "dd-mm-yyyy")),0),0)</f>
        <v>119</v>
      </c>
      <c r="F1284" cm="1">
        <f t="array" ref="F1284">IF($Q1284&gt;=0,IFERROR(generateSalesData($D1284, IF(ISNUMBER(_xlfn.XLOOKUP($C1284,Phone_by_Sentiment!$B$2:$B$37,Phone_by_Sentiment!F$2:F$37,"",0,1)),_xlfn.XLOOKUP($C1284,Phone_by_Sentiment!$B$2:$B$37,Phone_by_Sentiment!F$2:F$37,"",0,1),0),$A1284-TEXT(DATEVALUE($D1284&amp;"-01"), "dd-mm-yyyy")),0),0)</f>
        <v>293</v>
      </c>
      <c r="G1284" cm="1">
        <f t="array" ref="G1284">IF($Q1284&gt;=0,IFERROR(generateSalesData($D1284, IF(ISNUMBER(_xlfn.XLOOKUP($C1284,Phone_by_Sentiment!$B$2:$B$37,Phone_by_Sentiment!G$2:G$37,"",0,1)),_xlfn.XLOOKUP($C1284,Phone_by_Sentiment!$B$2:$B$37,Phone_by_Sentiment!G$2:G$37,"",0,1),0),$A1284-TEXT(DATEVALUE($D1284&amp;"-01"), "dd-mm-yyyy")),0),0)</f>
        <v>315</v>
      </c>
      <c r="H1284" cm="1">
        <f t="array" ref="H1284">IF($Q1284&gt;=0,IFERROR(generateSalesData($D1284, IF(ISNUMBER(_xlfn.XLOOKUP($C1284,Phone_by_Sentiment!$B$2:$B$37,Phone_by_Sentiment!H$2:H$37,"",0,1)),_xlfn.XLOOKUP($C1284,Phone_by_Sentiment!$B$2:$B$37,Phone_by_Sentiment!H$2:H$37,"",0,1),0),$A1284-TEXT(DATEVALUE($D1284&amp;"-01"), "dd-mm-yyyy")),0),0)</f>
        <v>1144</v>
      </c>
      <c r="I1284" cm="1">
        <f t="array" ref="I1284">IF($Q1284&gt;=0,IFERROR(generateSalesData($D1284, IF(ISNUMBER(_xlfn.XLOOKUP($C1284,Phone_by_Sentiment!$B$2:$B$37,Phone_by_Sentiment!I$2:I$37,"",0,1)),_xlfn.XLOOKUP($C1284,Phone_by_Sentiment!$B$2:$B$37,Phone_by_Sentiment!I$2:I$37,"",0,1),0),$A1284-TEXT(DATEVALUE($D1284&amp;"-01"), "dd-mm-yyyy")),0),0)</f>
        <v>646</v>
      </c>
      <c r="J1284" cm="1">
        <f t="array" ref="J1284">IF($Q1284&gt;=0,IFERROR(generateSalesData($D1284, IF(ISNUMBER(_xlfn.XLOOKUP($C1284,Phone_by_Sentiment!$B$2:$B$37,Phone_by_Sentiment!J$2:J$37,"",0,1)),_xlfn.XLOOKUP($C1284,Phone_by_Sentiment!$B$2:$B$37,Phone_by_Sentiment!J$2:J$37,"",0,1),0),$A1284-TEXT(DATEVALUE($D1284&amp;"-01"), "dd-mm-yyyy")),0),0)</f>
        <v>294</v>
      </c>
      <c r="K1284" cm="1">
        <f t="array" ref="K1284">IF($Q1284&gt;=0,IFERROR(generateSalesData($D1284, IF(ISNUMBER(_xlfn.XLOOKUP($C1284,Phone_by_Sentiment!$B$2:$B$37,Phone_by_Sentiment!K$2:K$37,"",0,1)),_xlfn.XLOOKUP($C1284,Phone_by_Sentiment!$B$2:$B$37,Phone_by_Sentiment!K$2:K$37,"",0,1),0),$A1284-TEXT(DATEVALUE($D1284&amp;"-01"), "dd-mm-yyyy")),0),0)</f>
        <v>589</v>
      </c>
      <c r="L1284" cm="1">
        <f t="array" ref="L1284">IF($Q1284&gt;=0,IFERROR(generateSalesData($D1284, IF(ISNUMBER(_xlfn.XLOOKUP($C1284,Phone_by_Sentiment!$B$2:$B$37,Phone_by_Sentiment!L$2:L$37,"",0,1)),_xlfn.XLOOKUP($C1284,Phone_by_Sentiment!$B$2:$B$37,Phone_by_Sentiment!L$2:L$37,"",0,1),0),$A1284-TEXT(DATEVALUE($D1284&amp;"-01"), "dd-mm-yyyy")),0),0)</f>
        <v>1038</v>
      </c>
      <c r="M1284" cm="1">
        <f t="array" ref="M1284">IF($Q1284&gt;=0,IFERROR(generateSalesData($D1284, IF(ISNUMBER(_xlfn.XLOOKUP($C1284,Phone_by_Sentiment!$B$2:$B$37,Phone_by_Sentiment!M$2:M$37,"",0,1)),_xlfn.XLOOKUP($C1284,Phone_by_Sentiment!$B$2:$B$37,Phone_by_Sentiment!M$2:M$37,"",0,1),0),$A1284-TEXT(DATEVALUE($D1284&amp;"-01"), "dd-mm-yyyy")),0),0)</f>
        <v>10</v>
      </c>
      <c r="N1284" cm="1">
        <f t="array" ref="N1284">IF($Q1284&gt;=0,IFERROR(generateSalesData($D1284, IF(ISNUMBER(_xlfn.XLOOKUP($C1284,Phone_by_Sentiment!$B$2:$B$37,Phone_by_Sentiment!N$2:N$37,"",0,1)),_xlfn.XLOOKUP($C1284,Phone_by_Sentiment!$B$2:$B$37,Phone_by_Sentiment!N$2:N$37,"",0,1),0),$A1284-TEXT(DATEVALUE($D1284&amp;"-01"), "dd-mm-yyyy")),0),0)</f>
        <v>978</v>
      </c>
      <c r="O1284" cm="1">
        <f t="array" ref="O1284">IF($Q1284&gt;=0,IFERROR(generateSalesData($D1284, IF(ISNUMBER(_xlfn.XLOOKUP($C1284,Phone_by_Sentiment!$B$2:$B$37,Phone_by_Sentiment!O$2:O$37,"",0,1)),_xlfn.XLOOKUP($C1284,Phone_by_Sentiment!$B$2:$B$37,Phone_by_Sentiment!O$2:O$37,"",0,1),0),$A1284-TEXT(DATEVALUE($D1284&amp;"-01"), "dd-mm-yyyy")),0),0)</f>
        <v>145</v>
      </c>
      <c r="P1284" s="1">
        <f t="shared" si="51"/>
        <v>44287</v>
      </c>
      <c r="Q1284">
        <f t="shared" ref="Q1284:Q1347" si="53">A1284-P1284</f>
        <v>275</v>
      </c>
    </row>
    <row r="1285" spans="1:17" x14ac:dyDescent="0.25">
      <c r="A1285" s="1">
        <f t="shared" si="48"/>
        <v>44562</v>
      </c>
      <c r="B1285" t="s">
        <v>168</v>
      </c>
      <c r="C1285" t="str">
        <f>_xlfn.XLOOKUP(B1285,Phone_by_Price!$A$2:$A$34,Phone_by_Price!$B$2:$B$34,"-",0,1)</f>
        <v>Google Pixel 4</v>
      </c>
      <c r="D1285" t="str">
        <f>_xlfn.XLOOKUP(C1285,Phone_by_Sentiment!$B$2:$B$37,Phone_by_Sentiment!$A$2:$A$37,"-",0,1)</f>
        <v>2019-09</v>
      </c>
      <c r="E1285" cm="1">
        <f t="array" ref="E1285">IF($Q1285&gt;=0,IFERROR(generateSalesData($D1285, IF(ISNUMBER(_xlfn.XLOOKUP($C1285,Phone_by_Sentiment!$B$2:$B$37,Phone_by_Sentiment!E$2:E$37,"",0,1)),_xlfn.XLOOKUP($C1285,Phone_by_Sentiment!$B$2:$B$37,Phone_by_Sentiment!E$2:E$37,"",0,1),0),$A1285-TEXT(DATEVALUE($D1285&amp;"-01"), "dd-mm-yyyy")),0),0)</f>
        <v>211</v>
      </c>
      <c r="F1285" cm="1">
        <f t="array" ref="F1285">IF($Q1285&gt;=0,IFERROR(generateSalesData($D1285, IF(ISNUMBER(_xlfn.XLOOKUP($C1285,Phone_by_Sentiment!$B$2:$B$37,Phone_by_Sentiment!F$2:F$37,"",0,1)),_xlfn.XLOOKUP($C1285,Phone_by_Sentiment!$B$2:$B$37,Phone_by_Sentiment!F$2:F$37,"",0,1),0),$A1285-TEXT(DATEVALUE($D1285&amp;"-01"), "dd-mm-yyyy")),0),0)</f>
        <v>139</v>
      </c>
      <c r="G1285" cm="1">
        <f t="array" ref="G1285">IF($Q1285&gt;=0,IFERROR(generateSalesData($D1285, IF(ISNUMBER(_xlfn.XLOOKUP($C1285,Phone_by_Sentiment!$B$2:$B$37,Phone_by_Sentiment!G$2:G$37,"",0,1)),_xlfn.XLOOKUP($C1285,Phone_by_Sentiment!$B$2:$B$37,Phone_by_Sentiment!G$2:G$37,"",0,1),0),$A1285-TEXT(DATEVALUE($D1285&amp;"-01"), "dd-mm-yyyy")),0),0)</f>
        <v>13</v>
      </c>
      <c r="H1285" cm="1">
        <f t="array" ref="H1285">IF($Q1285&gt;=0,IFERROR(generateSalesData($D1285, IF(ISNUMBER(_xlfn.XLOOKUP($C1285,Phone_by_Sentiment!$B$2:$B$37,Phone_by_Sentiment!H$2:H$37,"",0,1)),_xlfn.XLOOKUP($C1285,Phone_by_Sentiment!$B$2:$B$37,Phone_by_Sentiment!H$2:H$37,"",0,1),0),$A1285-TEXT(DATEVALUE($D1285&amp;"-01"), "dd-mm-yyyy")),0),0)</f>
        <v>34</v>
      </c>
      <c r="I1285" cm="1">
        <f t="array" ref="I1285">IF($Q1285&gt;=0,IFERROR(generateSalesData($D1285, IF(ISNUMBER(_xlfn.XLOOKUP($C1285,Phone_by_Sentiment!$B$2:$B$37,Phone_by_Sentiment!I$2:I$37,"",0,1)),_xlfn.XLOOKUP($C1285,Phone_by_Sentiment!$B$2:$B$37,Phone_by_Sentiment!I$2:I$37,"",0,1),0),$A1285-TEXT(DATEVALUE($D1285&amp;"-01"), "dd-mm-yyyy")),0),0)</f>
        <v>43</v>
      </c>
      <c r="J1285" cm="1">
        <f t="array" ref="J1285">IF($Q1285&gt;=0,IFERROR(generateSalesData($D1285, IF(ISNUMBER(_xlfn.XLOOKUP($C1285,Phone_by_Sentiment!$B$2:$B$37,Phone_by_Sentiment!J$2:J$37,"",0,1)),_xlfn.XLOOKUP($C1285,Phone_by_Sentiment!$B$2:$B$37,Phone_by_Sentiment!J$2:J$37,"",0,1),0),$A1285-TEXT(DATEVALUE($D1285&amp;"-01"), "dd-mm-yyyy")),0),0)</f>
        <v>43</v>
      </c>
      <c r="K1285" cm="1">
        <f t="array" ref="K1285">IF($Q1285&gt;=0,IFERROR(generateSalesData($D1285, IF(ISNUMBER(_xlfn.XLOOKUP($C1285,Phone_by_Sentiment!$B$2:$B$37,Phone_by_Sentiment!K$2:K$37,"",0,1)),_xlfn.XLOOKUP($C1285,Phone_by_Sentiment!$B$2:$B$37,Phone_by_Sentiment!K$2:K$37,"",0,1),0),$A1285-TEXT(DATEVALUE($D1285&amp;"-01"), "dd-mm-yyyy")),0),0)</f>
        <v>92</v>
      </c>
      <c r="L1285" cm="1">
        <f t="array" ref="L1285">IF($Q1285&gt;=0,IFERROR(generateSalesData($D1285, IF(ISNUMBER(_xlfn.XLOOKUP($C1285,Phone_by_Sentiment!$B$2:$B$37,Phone_by_Sentiment!L$2:L$37,"",0,1)),_xlfn.XLOOKUP($C1285,Phone_by_Sentiment!$B$2:$B$37,Phone_by_Sentiment!L$2:L$37,"",0,1),0),$A1285-TEXT(DATEVALUE($D1285&amp;"-01"), "dd-mm-yyyy")),0),0)</f>
        <v>304</v>
      </c>
      <c r="M1285" cm="1">
        <f t="array" ref="M1285">IF($Q1285&gt;=0,IFERROR(generateSalesData($D1285, IF(ISNUMBER(_xlfn.XLOOKUP($C1285,Phone_by_Sentiment!$B$2:$B$37,Phone_by_Sentiment!M$2:M$37,"",0,1)),_xlfn.XLOOKUP($C1285,Phone_by_Sentiment!$B$2:$B$37,Phone_by_Sentiment!M$2:M$37,"",0,1),0),$A1285-TEXT(DATEVALUE($D1285&amp;"-01"), "dd-mm-yyyy")),0),0)</f>
        <v>47</v>
      </c>
      <c r="N1285" cm="1">
        <f t="array" ref="N1285">IF($Q1285&gt;=0,IFERROR(generateSalesData($D1285, IF(ISNUMBER(_xlfn.XLOOKUP($C1285,Phone_by_Sentiment!$B$2:$B$37,Phone_by_Sentiment!N$2:N$37,"",0,1)),_xlfn.XLOOKUP($C1285,Phone_by_Sentiment!$B$2:$B$37,Phone_by_Sentiment!N$2:N$37,"",0,1),0),$A1285-TEXT(DATEVALUE($D1285&amp;"-01"), "dd-mm-yyyy")),0),0)</f>
        <v>295</v>
      </c>
      <c r="O1285" cm="1">
        <f t="array" ref="O1285">IF($Q1285&gt;=0,IFERROR(generateSalesData($D1285, IF(ISNUMBER(_xlfn.XLOOKUP($C1285,Phone_by_Sentiment!$B$2:$B$37,Phone_by_Sentiment!O$2:O$37,"",0,1)),_xlfn.XLOOKUP($C1285,Phone_by_Sentiment!$B$2:$B$37,Phone_by_Sentiment!O$2:O$37,"",0,1),0),$A1285-TEXT(DATEVALUE($D1285&amp;"-01"), "dd-mm-yyyy")),0),0)</f>
        <v>58</v>
      </c>
      <c r="P1285" s="1">
        <f t="shared" si="51"/>
        <v>43709</v>
      </c>
      <c r="Q1285">
        <f t="shared" si="53"/>
        <v>853</v>
      </c>
    </row>
    <row r="1286" spans="1:17" x14ac:dyDescent="0.25">
      <c r="A1286" s="1">
        <f t="shared" si="48"/>
        <v>44562</v>
      </c>
      <c r="B1286" t="s">
        <v>169</v>
      </c>
      <c r="C1286" t="str">
        <f>_xlfn.XLOOKUP(B1286,Phone_by_Price!$A$2:$A$34,Phone_by_Price!$B$2:$B$34,"-",0,1)</f>
        <v>Samsung Galaxy A10s</v>
      </c>
      <c r="D1286" t="str">
        <f>_xlfn.XLOOKUP(C1286,Phone_by_Sentiment!$B$2:$B$37,Phone_by_Sentiment!$A$2:$A$37,"-",0,1)</f>
        <v>2019-08</v>
      </c>
      <c r="E1286" cm="1">
        <f t="array" ref="E1286">IF($Q1286&gt;=0,IFERROR(generateSalesData($D1286, IF(ISNUMBER(_xlfn.XLOOKUP($C1286,Phone_by_Sentiment!$B$2:$B$37,Phone_by_Sentiment!E$2:E$37,"",0,1)),_xlfn.XLOOKUP($C1286,Phone_by_Sentiment!$B$2:$B$37,Phone_by_Sentiment!E$2:E$37,"",0,1),0),$A1286-TEXT(DATEVALUE($D1286&amp;"-01"), "dd-mm-yyyy")),0),0)</f>
        <v>80</v>
      </c>
      <c r="F1286" cm="1">
        <f t="array" ref="F1286">IF($Q1286&gt;=0,IFERROR(generateSalesData($D1286, IF(ISNUMBER(_xlfn.XLOOKUP($C1286,Phone_by_Sentiment!$B$2:$B$37,Phone_by_Sentiment!F$2:F$37,"",0,1)),_xlfn.XLOOKUP($C1286,Phone_by_Sentiment!$B$2:$B$37,Phone_by_Sentiment!F$2:F$37,"",0,1),0),$A1286-TEXT(DATEVALUE($D1286&amp;"-01"), "dd-mm-yyyy")),0),0)</f>
        <v>243</v>
      </c>
      <c r="G1286" cm="1">
        <f t="array" ref="G1286">IF($Q1286&gt;=0,IFERROR(generateSalesData($D1286, IF(ISNUMBER(_xlfn.XLOOKUP($C1286,Phone_by_Sentiment!$B$2:$B$37,Phone_by_Sentiment!G$2:G$37,"",0,1)),_xlfn.XLOOKUP($C1286,Phone_by_Sentiment!$B$2:$B$37,Phone_by_Sentiment!G$2:G$37,"",0,1),0),$A1286-TEXT(DATEVALUE($D1286&amp;"-01"), "dd-mm-yyyy")),0),0)</f>
        <v>-18</v>
      </c>
      <c r="H1286" cm="1">
        <f t="array" ref="H1286">IF($Q1286&gt;=0,IFERROR(generateSalesData($D1286, IF(ISNUMBER(_xlfn.XLOOKUP($C1286,Phone_by_Sentiment!$B$2:$B$37,Phone_by_Sentiment!H$2:H$37,"",0,1)),_xlfn.XLOOKUP($C1286,Phone_by_Sentiment!$B$2:$B$37,Phone_by_Sentiment!H$2:H$37,"",0,1),0),$A1286-TEXT(DATEVALUE($D1286&amp;"-01"), "dd-mm-yyyy")),0),0)</f>
        <v>23</v>
      </c>
      <c r="I1286" cm="1">
        <f t="array" ref="I1286">IF($Q1286&gt;=0,IFERROR(generateSalesData($D1286, IF(ISNUMBER(_xlfn.XLOOKUP($C1286,Phone_by_Sentiment!$B$2:$B$37,Phone_by_Sentiment!I$2:I$37,"",0,1)),_xlfn.XLOOKUP($C1286,Phone_by_Sentiment!$B$2:$B$37,Phone_by_Sentiment!I$2:I$37,"",0,1),0),$A1286-TEXT(DATEVALUE($D1286&amp;"-01"), "dd-mm-yyyy")),0),0)</f>
        <v>237</v>
      </c>
      <c r="J1286" cm="1">
        <f t="array" ref="J1286">IF($Q1286&gt;=0,IFERROR(generateSalesData($D1286, IF(ISNUMBER(_xlfn.XLOOKUP($C1286,Phone_by_Sentiment!$B$2:$B$37,Phone_by_Sentiment!J$2:J$37,"",0,1)),_xlfn.XLOOKUP($C1286,Phone_by_Sentiment!$B$2:$B$37,Phone_by_Sentiment!J$2:J$37,"",0,1),0),$A1286-TEXT(DATEVALUE($D1286&amp;"-01"), "dd-mm-yyyy")),0),0)</f>
        <v>139</v>
      </c>
      <c r="K1286" cm="1">
        <f t="array" ref="K1286">IF($Q1286&gt;=0,IFERROR(generateSalesData($D1286, IF(ISNUMBER(_xlfn.XLOOKUP($C1286,Phone_by_Sentiment!$B$2:$B$37,Phone_by_Sentiment!K$2:K$37,"",0,1)),_xlfn.XLOOKUP($C1286,Phone_by_Sentiment!$B$2:$B$37,Phone_by_Sentiment!K$2:K$37,"",0,1),0),$A1286-TEXT(DATEVALUE($D1286&amp;"-01"), "dd-mm-yyyy")),0),0)</f>
        <v>-10</v>
      </c>
      <c r="L1286" cm="1">
        <f t="array" ref="L1286">IF($Q1286&gt;=0,IFERROR(generateSalesData($D1286, IF(ISNUMBER(_xlfn.XLOOKUP($C1286,Phone_by_Sentiment!$B$2:$B$37,Phone_by_Sentiment!L$2:L$37,"",0,1)),_xlfn.XLOOKUP($C1286,Phone_by_Sentiment!$B$2:$B$37,Phone_by_Sentiment!L$2:L$37,"",0,1),0),$A1286-TEXT(DATEVALUE($D1286&amp;"-01"), "dd-mm-yyyy")),0),0)</f>
        <v>54</v>
      </c>
      <c r="M1286" cm="1">
        <f t="array" ref="M1286">IF($Q1286&gt;=0,IFERROR(generateSalesData($D1286, IF(ISNUMBER(_xlfn.XLOOKUP($C1286,Phone_by_Sentiment!$B$2:$B$37,Phone_by_Sentiment!M$2:M$37,"",0,1)),_xlfn.XLOOKUP($C1286,Phone_by_Sentiment!$B$2:$B$37,Phone_by_Sentiment!M$2:M$37,"",0,1),0),$A1286-TEXT(DATEVALUE($D1286&amp;"-01"), "dd-mm-yyyy")),0),0)</f>
        <v>326</v>
      </c>
      <c r="N1286" cm="1">
        <f t="array" ref="N1286">IF($Q1286&gt;=0,IFERROR(generateSalesData($D1286, IF(ISNUMBER(_xlfn.XLOOKUP($C1286,Phone_by_Sentiment!$B$2:$B$37,Phone_by_Sentiment!N$2:N$37,"",0,1)),_xlfn.XLOOKUP($C1286,Phone_by_Sentiment!$B$2:$B$37,Phone_by_Sentiment!N$2:N$37,"",0,1),0),$A1286-TEXT(DATEVALUE($D1286&amp;"-01"), "dd-mm-yyyy")),0),0)</f>
        <v>87</v>
      </c>
      <c r="O1286" cm="1">
        <f t="array" ref="O1286">IF($Q1286&gt;=0,IFERROR(generateSalesData($D1286, IF(ISNUMBER(_xlfn.XLOOKUP($C1286,Phone_by_Sentiment!$B$2:$B$37,Phone_by_Sentiment!O$2:O$37,"",0,1)),_xlfn.XLOOKUP($C1286,Phone_by_Sentiment!$B$2:$B$37,Phone_by_Sentiment!O$2:O$37,"",0,1),0),$A1286-TEXT(DATEVALUE($D1286&amp;"-01"), "dd-mm-yyyy")),0),0)</f>
        <v>314</v>
      </c>
      <c r="P1286" s="1">
        <f t="shared" si="51"/>
        <v>43678</v>
      </c>
      <c r="Q1286">
        <f t="shared" si="53"/>
        <v>884</v>
      </c>
    </row>
    <row r="1287" spans="1:17" x14ac:dyDescent="0.25">
      <c r="A1287" s="1">
        <f t="shared" si="48"/>
        <v>44562</v>
      </c>
      <c r="B1287" t="s">
        <v>170</v>
      </c>
      <c r="C1287" t="str">
        <f>_xlfn.XLOOKUP(B1287,Phone_by_Price!$A$2:$A$34,Phone_by_Price!$B$2:$B$34,"-",0,1)</f>
        <v>Realme Narzo 30A</v>
      </c>
      <c r="D1287" t="str">
        <f>_xlfn.XLOOKUP(C1287,Phone_by_Sentiment!$B$2:$B$37,Phone_by_Sentiment!$A$2:$A$37,"-",0,1)</f>
        <v>2021-02</v>
      </c>
      <c r="E1287" cm="1">
        <f t="array" ref="E1287">IF($Q1287&gt;=0,IFERROR(generateSalesData($D1287, IF(ISNUMBER(_xlfn.XLOOKUP($C1287,Phone_by_Sentiment!$B$2:$B$37,Phone_by_Sentiment!E$2:E$37,"",0,1)),_xlfn.XLOOKUP($C1287,Phone_by_Sentiment!$B$2:$B$37,Phone_by_Sentiment!E$2:E$37,"",0,1),0),$A1287-TEXT(DATEVALUE($D1287&amp;"-01"), "dd-mm-yyyy")),0),0)</f>
        <v>110</v>
      </c>
      <c r="F1287" cm="1">
        <f t="array" ref="F1287">IF($Q1287&gt;=0,IFERROR(generateSalesData($D1287, IF(ISNUMBER(_xlfn.XLOOKUP($C1287,Phone_by_Sentiment!$B$2:$B$37,Phone_by_Sentiment!F$2:F$37,"",0,1)),_xlfn.XLOOKUP($C1287,Phone_by_Sentiment!$B$2:$B$37,Phone_by_Sentiment!F$2:F$37,"",0,1),0),$A1287-TEXT(DATEVALUE($D1287&amp;"-01"), "dd-mm-yyyy")),0),0)</f>
        <v>194</v>
      </c>
      <c r="G1287" cm="1">
        <f t="array" ref="G1287">IF($Q1287&gt;=0,IFERROR(generateSalesData($D1287, IF(ISNUMBER(_xlfn.XLOOKUP($C1287,Phone_by_Sentiment!$B$2:$B$37,Phone_by_Sentiment!G$2:G$37,"",0,1)),_xlfn.XLOOKUP($C1287,Phone_by_Sentiment!$B$2:$B$37,Phone_by_Sentiment!G$2:G$37,"",0,1),0),$A1287-TEXT(DATEVALUE($D1287&amp;"-01"), "dd-mm-yyyy")),0),0)</f>
        <v>-29</v>
      </c>
      <c r="H1287" cm="1">
        <f t="array" ref="H1287">IF($Q1287&gt;=0,IFERROR(generateSalesData($D1287, IF(ISNUMBER(_xlfn.XLOOKUP($C1287,Phone_by_Sentiment!$B$2:$B$37,Phone_by_Sentiment!H$2:H$37,"",0,1)),_xlfn.XLOOKUP($C1287,Phone_by_Sentiment!$B$2:$B$37,Phone_by_Sentiment!H$2:H$37,"",0,1),0),$A1287-TEXT(DATEVALUE($D1287&amp;"-01"), "dd-mm-yyyy")),0),0)</f>
        <v>1026</v>
      </c>
      <c r="I1287" cm="1">
        <f t="array" ref="I1287">IF($Q1287&gt;=0,IFERROR(generateSalesData($D1287, IF(ISNUMBER(_xlfn.XLOOKUP($C1287,Phone_by_Sentiment!$B$2:$B$37,Phone_by_Sentiment!I$2:I$37,"",0,1)),_xlfn.XLOOKUP($C1287,Phone_by_Sentiment!$B$2:$B$37,Phone_by_Sentiment!I$2:I$37,"",0,1),0),$A1287-TEXT(DATEVALUE($D1287&amp;"-01"), "dd-mm-yyyy")),0),0)</f>
        <v>1150</v>
      </c>
      <c r="J1287" cm="1">
        <f t="array" ref="J1287">IF($Q1287&gt;=0,IFERROR(generateSalesData($D1287, IF(ISNUMBER(_xlfn.XLOOKUP($C1287,Phone_by_Sentiment!$B$2:$B$37,Phone_by_Sentiment!J$2:J$37,"",0,1)),_xlfn.XLOOKUP($C1287,Phone_by_Sentiment!$B$2:$B$37,Phone_by_Sentiment!J$2:J$37,"",0,1),0),$A1287-TEXT(DATEVALUE($D1287&amp;"-01"), "dd-mm-yyyy")),0),0)</f>
        <v>141</v>
      </c>
      <c r="K1287" cm="1">
        <f t="array" ref="K1287">IF($Q1287&gt;=0,IFERROR(generateSalesData($D1287, IF(ISNUMBER(_xlfn.XLOOKUP($C1287,Phone_by_Sentiment!$B$2:$B$37,Phone_by_Sentiment!K$2:K$37,"",0,1)),_xlfn.XLOOKUP($C1287,Phone_by_Sentiment!$B$2:$B$37,Phone_by_Sentiment!K$2:K$37,"",0,1),0),$A1287-TEXT(DATEVALUE($D1287&amp;"-01"), "dd-mm-yyyy")),0),0)</f>
        <v>743</v>
      </c>
      <c r="L1287" cm="1">
        <f t="array" ref="L1287">IF($Q1287&gt;=0,IFERROR(generateSalesData($D1287, IF(ISNUMBER(_xlfn.XLOOKUP($C1287,Phone_by_Sentiment!$B$2:$B$37,Phone_by_Sentiment!L$2:L$37,"",0,1)),_xlfn.XLOOKUP($C1287,Phone_by_Sentiment!$B$2:$B$37,Phone_by_Sentiment!L$2:L$37,"",0,1),0),$A1287-TEXT(DATEVALUE($D1287&amp;"-01"), "dd-mm-yyyy")),0),0)</f>
        <v>786</v>
      </c>
      <c r="M1287" cm="1">
        <f t="array" ref="M1287">IF($Q1287&gt;=0,IFERROR(generateSalesData($D1287, IF(ISNUMBER(_xlfn.XLOOKUP($C1287,Phone_by_Sentiment!$B$2:$B$37,Phone_by_Sentiment!M$2:M$37,"",0,1)),_xlfn.XLOOKUP($C1287,Phone_by_Sentiment!$B$2:$B$37,Phone_by_Sentiment!M$2:M$37,"",0,1),0),$A1287-TEXT(DATEVALUE($D1287&amp;"-01"), "dd-mm-yyyy")),0),0)</f>
        <v>217</v>
      </c>
      <c r="N1287" cm="1">
        <f t="array" ref="N1287">IF($Q1287&gt;=0,IFERROR(generateSalesData($D1287, IF(ISNUMBER(_xlfn.XLOOKUP($C1287,Phone_by_Sentiment!$B$2:$B$37,Phone_by_Sentiment!N$2:N$37,"",0,1)),_xlfn.XLOOKUP($C1287,Phone_by_Sentiment!$B$2:$B$37,Phone_by_Sentiment!N$2:N$37,"",0,1),0),$A1287-TEXT(DATEVALUE($D1287&amp;"-01"), "dd-mm-yyyy")),0),0)</f>
        <v>689</v>
      </c>
      <c r="O1287" cm="1">
        <f t="array" ref="O1287">IF($Q1287&gt;=0,IFERROR(generateSalesData($D1287, IF(ISNUMBER(_xlfn.XLOOKUP($C1287,Phone_by_Sentiment!$B$2:$B$37,Phone_by_Sentiment!O$2:O$37,"",0,1)),_xlfn.XLOOKUP($C1287,Phone_by_Sentiment!$B$2:$B$37,Phone_by_Sentiment!O$2:O$37,"",0,1),0),$A1287-TEXT(DATEVALUE($D1287&amp;"-01"), "dd-mm-yyyy")),0),0)</f>
        <v>184</v>
      </c>
      <c r="P1287" s="1">
        <f t="shared" si="51"/>
        <v>44228</v>
      </c>
      <c r="Q1287">
        <f t="shared" si="53"/>
        <v>334</v>
      </c>
    </row>
    <row r="1288" spans="1:17" x14ac:dyDescent="0.25">
      <c r="A1288" s="1">
        <f t="shared" si="48"/>
        <v>44562</v>
      </c>
      <c r="B1288" t="s">
        <v>171</v>
      </c>
      <c r="C1288" t="str">
        <f>_xlfn.XLOOKUP(B1288,Phone_by_Price!$A$2:$A$34,Phone_by_Price!$B$2:$B$34,"-",0,1)</f>
        <v>Samsung Galaxy A22 5G</v>
      </c>
      <c r="D1288" t="str">
        <f>_xlfn.XLOOKUP(C1288,Phone_by_Sentiment!$B$2:$B$37,Phone_by_Sentiment!$A$2:$A$37,"-",0,1)</f>
        <v>2021-05</v>
      </c>
      <c r="E1288" cm="1">
        <f t="array" ref="E1288">IF($Q1288&gt;=0,IFERROR(generateSalesData($D1288, IF(ISNUMBER(_xlfn.XLOOKUP($C1288,Phone_by_Sentiment!$B$2:$B$37,Phone_by_Sentiment!E$2:E$37,"",0,1)),_xlfn.XLOOKUP($C1288,Phone_by_Sentiment!$B$2:$B$37,Phone_by_Sentiment!E$2:E$37,"",0,1),0),$A1288-TEXT(DATEVALUE($D1288&amp;"-01"), "dd-mm-yyyy")),0),0)</f>
        <v>783</v>
      </c>
      <c r="F1288" cm="1">
        <f t="array" ref="F1288">IF($Q1288&gt;=0,IFERROR(generateSalesData($D1288, IF(ISNUMBER(_xlfn.XLOOKUP($C1288,Phone_by_Sentiment!$B$2:$B$37,Phone_by_Sentiment!F$2:F$37,"",0,1)),_xlfn.XLOOKUP($C1288,Phone_by_Sentiment!$B$2:$B$37,Phone_by_Sentiment!F$2:F$37,"",0,1),0),$A1288-TEXT(DATEVALUE($D1288&amp;"-01"), "dd-mm-yyyy")),0),0)</f>
        <v>1804</v>
      </c>
      <c r="G1288" cm="1">
        <f t="array" ref="G1288">IF($Q1288&gt;=0,IFERROR(generateSalesData($D1288, IF(ISNUMBER(_xlfn.XLOOKUP($C1288,Phone_by_Sentiment!$B$2:$B$37,Phone_by_Sentiment!G$2:G$37,"",0,1)),_xlfn.XLOOKUP($C1288,Phone_by_Sentiment!$B$2:$B$37,Phone_by_Sentiment!G$2:G$37,"",0,1),0),$A1288-TEXT(DATEVALUE($D1288&amp;"-01"), "dd-mm-yyyy")),0),0)</f>
        <v>143</v>
      </c>
      <c r="H1288" cm="1">
        <f t="array" ref="H1288">IF($Q1288&gt;=0,IFERROR(generateSalesData($D1288, IF(ISNUMBER(_xlfn.XLOOKUP($C1288,Phone_by_Sentiment!$B$2:$B$37,Phone_by_Sentiment!H$2:H$37,"",0,1)),_xlfn.XLOOKUP($C1288,Phone_by_Sentiment!$B$2:$B$37,Phone_by_Sentiment!H$2:H$37,"",0,1),0),$A1288-TEXT(DATEVALUE($D1288&amp;"-01"), "dd-mm-yyyy")),0),0)</f>
        <v>1213</v>
      </c>
      <c r="I1288" cm="1">
        <f t="array" ref="I1288">IF($Q1288&gt;=0,IFERROR(generateSalesData($D1288, IF(ISNUMBER(_xlfn.XLOOKUP($C1288,Phone_by_Sentiment!$B$2:$B$37,Phone_by_Sentiment!I$2:I$37,"",0,1)),_xlfn.XLOOKUP($C1288,Phone_by_Sentiment!$B$2:$B$37,Phone_by_Sentiment!I$2:I$37,"",0,1),0),$A1288-TEXT(DATEVALUE($D1288&amp;"-01"), "dd-mm-yyyy")),0),0)</f>
        <v>257</v>
      </c>
      <c r="J1288" cm="1">
        <f t="array" ref="J1288">IF($Q1288&gt;=0,IFERROR(generateSalesData($D1288, IF(ISNUMBER(_xlfn.XLOOKUP($C1288,Phone_by_Sentiment!$B$2:$B$37,Phone_by_Sentiment!J$2:J$37,"",0,1)),_xlfn.XLOOKUP($C1288,Phone_by_Sentiment!$B$2:$B$37,Phone_by_Sentiment!J$2:J$37,"",0,1),0),$A1288-TEXT(DATEVALUE($D1288&amp;"-01"), "dd-mm-yyyy")),0),0)</f>
        <v>596</v>
      </c>
      <c r="K1288" cm="1">
        <f t="array" ref="K1288">IF($Q1288&gt;=0,IFERROR(generateSalesData($D1288, IF(ISNUMBER(_xlfn.XLOOKUP($C1288,Phone_by_Sentiment!$B$2:$B$37,Phone_by_Sentiment!K$2:K$37,"",0,1)),_xlfn.XLOOKUP($C1288,Phone_by_Sentiment!$B$2:$B$37,Phone_by_Sentiment!K$2:K$37,"",0,1),0),$A1288-TEXT(DATEVALUE($D1288&amp;"-01"), "dd-mm-yyyy")),0),0)</f>
        <v>555</v>
      </c>
      <c r="L1288" cm="1">
        <f t="array" ref="L1288">IF($Q1288&gt;=0,IFERROR(generateSalesData($D1288, IF(ISNUMBER(_xlfn.XLOOKUP($C1288,Phone_by_Sentiment!$B$2:$B$37,Phone_by_Sentiment!L$2:L$37,"",0,1)),_xlfn.XLOOKUP($C1288,Phone_by_Sentiment!$B$2:$B$37,Phone_by_Sentiment!L$2:L$37,"",0,1),0),$A1288-TEXT(DATEVALUE($D1288&amp;"-01"), "dd-mm-yyyy")),0),0)</f>
        <v>1246</v>
      </c>
      <c r="M1288" cm="1">
        <f t="array" ref="M1288">IF($Q1288&gt;=0,IFERROR(generateSalesData($D1288, IF(ISNUMBER(_xlfn.XLOOKUP($C1288,Phone_by_Sentiment!$B$2:$B$37,Phone_by_Sentiment!M$2:M$37,"",0,1)),_xlfn.XLOOKUP($C1288,Phone_by_Sentiment!$B$2:$B$37,Phone_by_Sentiment!M$2:M$37,"",0,1),0),$A1288-TEXT(DATEVALUE($D1288&amp;"-01"), "dd-mm-yyyy")),0),0)</f>
        <v>629</v>
      </c>
      <c r="N1288" cm="1">
        <f t="array" ref="N1288">IF($Q1288&gt;=0,IFERROR(generateSalesData($D1288, IF(ISNUMBER(_xlfn.XLOOKUP($C1288,Phone_by_Sentiment!$B$2:$B$37,Phone_by_Sentiment!N$2:N$37,"",0,1)),_xlfn.XLOOKUP($C1288,Phone_by_Sentiment!$B$2:$B$37,Phone_by_Sentiment!N$2:N$37,"",0,1),0),$A1288-TEXT(DATEVALUE($D1288&amp;"-01"), "dd-mm-yyyy")),0),0)</f>
        <v>469</v>
      </c>
      <c r="O1288" cm="1">
        <f t="array" ref="O1288">IF($Q1288&gt;=0,IFERROR(generateSalesData($D1288, IF(ISNUMBER(_xlfn.XLOOKUP($C1288,Phone_by_Sentiment!$B$2:$B$37,Phone_by_Sentiment!O$2:O$37,"",0,1)),_xlfn.XLOOKUP($C1288,Phone_by_Sentiment!$B$2:$B$37,Phone_by_Sentiment!O$2:O$37,"",0,1),0),$A1288-TEXT(DATEVALUE($D1288&amp;"-01"), "dd-mm-yyyy")),0),0)</f>
        <v>1194</v>
      </c>
      <c r="P1288" s="1">
        <f t="shared" si="51"/>
        <v>44317</v>
      </c>
      <c r="Q1288">
        <f t="shared" si="53"/>
        <v>245</v>
      </c>
    </row>
    <row r="1289" spans="1:17" x14ac:dyDescent="0.25">
      <c r="A1289" s="1">
        <f t="shared" si="48"/>
        <v>44562</v>
      </c>
      <c r="B1289" t="s">
        <v>172</v>
      </c>
      <c r="C1289" t="str">
        <f>_xlfn.XLOOKUP(B1289,Phone_by_Price!$A$2:$A$34,Phone_by_Price!$B$2:$B$34,"-",0,1)</f>
        <v>Xiaomi Redmi 9</v>
      </c>
      <c r="D1289" t="str">
        <f>_xlfn.XLOOKUP(C1289,Phone_by_Sentiment!$B$2:$B$37,Phone_by_Sentiment!$A$2:$A$37,"-",0,1)</f>
        <v>2020-08</v>
      </c>
      <c r="E1289" cm="1">
        <f t="array" ref="E1289">IF($Q1289&gt;=0,IFERROR(generateSalesData($D1289, IF(ISNUMBER(_xlfn.XLOOKUP($C1289,Phone_by_Sentiment!$B$2:$B$37,Phone_by_Sentiment!E$2:E$37,"",0,1)),_xlfn.XLOOKUP($C1289,Phone_by_Sentiment!$B$2:$B$37,Phone_by_Sentiment!E$2:E$37,"",0,1),0),$A1289-TEXT(DATEVALUE($D1289&amp;"-01"), "dd-mm-yyyy")),0),0)</f>
        <v>117</v>
      </c>
      <c r="F1289" cm="1">
        <f t="array" ref="F1289">IF($Q1289&gt;=0,IFERROR(generateSalesData($D1289, IF(ISNUMBER(_xlfn.XLOOKUP($C1289,Phone_by_Sentiment!$B$2:$B$37,Phone_by_Sentiment!F$2:F$37,"",0,1)),_xlfn.XLOOKUP($C1289,Phone_by_Sentiment!$B$2:$B$37,Phone_by_Sentiment!F$2:F$37,"",0,1),0),$A1289-TEXT(DATEVALUE($D1289&amp;"-01"), "dd-mm-yyyy")),0),0)</f>
        <v>192</v>
      </c>
      <c r="G1289" cm="1">
        <f t="array" ref="G1289">IF($Q1289&gt;=0,IFERROR(generateSalesData($D1289, IF(ISNUMBER(_xlfn.XLOOKUP($C1289,Phone_by_Sentiment!$B$2:$B$37,Phone_by_Sentiment!G$2:G$37,"",0,1)),_xlfn.XLOOKUP($C1289,Phone_by_Sentiment!$B$2:$B$37,Phone_by_Sentiment!G$2:G$37,"",0,1),0),$A1289-TEXT(DATEVALUE($D1289&amp;"-01"), "dd-mm-yyyy")),0),0)</f>
        <v>208</v>
      </c>
      <c r="H1289" cm="1">
        <f t="array" ref="H1289">IF($Q1289&gt;=0,IFERROR(generateSalesData($D1289, IF(ISNUMBER(_xlfn.XLOOKUP($C1289,Phone_by_Sentiment!$B$2:$B$37,Phone_by_Sentiment!H$2:H$37,"",0,1)),_xlfn.XLOOKUP($C1289,Phone_by_Sentiment!$B$2:$B$37,Phone_by_Sentiment!H$2:H$37,"",0,1),0),$A1289-TEXT(DATEVALUE($D1289&amp;"-01"), "dd-mm-yyyy")),0),0)</f>
        <v>724</v>
      </c>
      <c r="I1289" cm="1">
        <f t="array" ref="I1289">IF($Q1289&gt;=0,IFERROR(generateSalesData($D1289, IF(ISNUMBER(_xlfn.XLOOKUP($C1289,Phone_by_Sentiment!$B$2:$B$37,Phone_by_Sentiment!I$2:I$37,"",0,1)),_xlfn.XLOOKUP($C1289,Phone_by_Sentiment!$B$2:$B$37,Phone_by_Sentiment!I$2:I$37,"",0,1),0),$A1289-TEXT(DATEVALUE($D1289&amp;"-01"), "dd-mm-yyyy")),0),0)</f>
        <v>213</v>
      </c>
      <c r="J1289" cm="1">
        <f t="array" ref="J1289">IF($Q1289&gt;=0,IFERROR(generateSalesData($D1289, IF(ISNUMBER(_xlfn.XLOOKUP($C1289,Phone_by_Sentiment!$B$2:$B$37,Phone_by_Sentiment!J$2:J$37,"",0,1)),_xlfn.XLOOKUP($C1289,Phone_by_Sentiment!$B$2:$B$37,Phone_by_Sentiment!J$2:J$37,"",0,1),0),$A1289-TEXT(DATEVALUE($D1289&amp;"-01"), "dd-mm-yyyy")),0),0)</f>
        <v>102</v>
      </c>
      <c r="K1289" cm="1">
        <f t="array" ref="K1289">IF($Q1289&gt;=0,IFERROR(generateSalesData($D1289, IF(ISNUMBER(_xlfn.XLOOKUP($C1289,Phone_by_Sentiment!$B$2:$B$37,Phone_by_Sentiment!K$2:K$37,"",0,1)),_xlfn.XLOOKUP($C1289,Phone_by_Sentiment!$B$2:$B$37,Phone_by_Sentiment!K$2:K$37,"",0,1),0),$A1289-TEXT(DATEVALUE($D1289&amp;"-01"), "dd-mm-yyyy")),0),0)</f>
        <v>542</v>
      </c>
      <c r="L1289" cm="1">
        <f t="array" ref="L1289">IF($Q1289&gt;=0,IFERROR(generateSalesData($D1289, IF(ISNUMBER(_xlfn.XLOOKUP($C1289,Phone_by_Sentiment!$B$2:$B$37,Phone_by_Sentiment!L$2:L$37,"",0,1)),_xlfn.XLOOKUP($C1289,Phone_by_Sentiment!$B$2:$B$37,Phone_by_Sentiment!L$2:L$37,"",0,1),0),$A1289-TEXT(DATEVALUE($D1289&amp;"-01"), "dd-mm-yyyy")),0),0)</f>
        <v>128</v>
      </c>
      <c r="M1289" cm="1">
        <f t="array" ref="M1289">IF($Q1289&gt;=0,IFERROR(generateSalesData($D1289, IF(ISNUMBER(_xlfn.XLOOKUP($C1289,Phone_by_Sentiment!$B$2:$B$37,Phone_by_Sentiment!M$2:M$37,"",0,1)),_xlfn.XLOOKUP($C1289,Phone_by_Sentiment!$B$2:$B$37,Phone_by_Sentiment!M$2:M$37,"",0,1),0),$A1289-TEXT(DATEVALUE($D1289&amp;"-01"), "dd-mm-yyyy")),0),0)</f>
        <v>592</v>
      </c>
      <c r="N1289" cm="1">
        <f t="array" ref="N1289">IF($Q1289&gt;=0,IFERROR(generateSalesData($D1289, IF(ISNUMBER(_xlfn.XLOOKUP($C1289,Phone_by_Sentiment!$B$2:$B$37,Phone_by_Sentiment!N$2:N$37,"",0,1)),_xlfn.XLOOKUP($C1289,Phone_by_Sentiment!$B$2:$B$37,Phone_by_Sentiment!N$2:N$37,"",0,1),0),$A1289-TEXT(DATEVALUE($D1289&amp;"-01"), "dd-mm-yyyy")),0),0)</f>
        <v>139</v>
      </c>
      <c r="O1289" cm="1">
        <f t="array" ref="O1289">IF($Q1289&gt;=0,IFERROR(generateSalesData($D1289, IF(ISNUMBER(_xlfn.XLOOKUP($C1289,Phone_by_Sentiment!$B$2:$B$37,Phone_by_Sentiment!O$2:O$37,"",0,1)),_xlfn.XLOOKUP($C1289,Phone_by_Sentiment!$B$2:$B$37,Phone_by_Sentiment!O$2:O$37,"",0,1),0),$A1289-TEXT(DATEVALUE($D1289&amp;"-01"), "dd-mm-yyyy")),0),0)</f>
        <v>349</v>
      </c>
      <c r="P1289" s="1">
        <f t="shared" si="51"/>
        <v>44044</v>
      </c>
      <c r="Q1289">
        <f t="shared" si="53"/>
        <v>518</v>
      </c>
    </row>
    <row r="1290" spans="1:17" x14ac:dyDescent="0.25">
      <c r="A1290" s="1">
        <f t="shared" si="48"/>
        <v>44562</v>
      </c>
      <c r="B1290" t="s">
        <v>173</v>
      </c>
      <c r="C1290" t="str">
        <f>_xlfn.XLOOKUP(B1290,Phone_by_Price!$A$2:$A$34,Phone_by_Price!$B$2:$B$34,"-",0,1)</f>
        <v>Realme C3</v>
      </c>
      <c r="D1290" t="str">
        <f>_xlfn.XLOOKUP(C1290,Phone_by_Sentiment!$B$2:$B$37,Phone_by_Sentiment!$A$2:$A$37,"-",0,1)</f>
        <v>2020-02</v>
      </c>
      <c r="E1290" cm="1">
        <f t="array" ref="E1290">IF($Q1290&gt;=0,IFERROR(generateSalesData($D1290, IF(ISNUMBER(_xlfn.XLOOKUP($C1290,Phone_by_Sentiment!$B$2:$B$37,Phone_by_Sentiment!E$2:E$37,"",0,1)),_xlfn.XLOOKUP($C1290,Phone_by_Sentiment!$B$2:$B$37,Phone_by_Sentiment!E$2:E$37,"",0,1),0),$A1290-TEXT(DATEVALUE($D1290&amp;"-01"), "dd-mm-yyyy")),0),0)</f>
        <v>100</v>
      </c>
      <c r="F1290" cm="1">
        <f t="array" ref="F1290">IF($Q1290&gt;=0,IFERROR(generateSalesData($D1290, IF(ISNUMBER(_xlfn.XLOOKUP($C1290,Phone_by_Sentiment!$B$2:$B$37,Phone_by_Sentiment!F$2:F$37,"",0,1)),_xlfn.XLOOKUP($C1290,Phone_by_Sentiment!$B$2:$B$37,Phone_by_Sentiment!F$2:F$37,"",0,1),0),$A1290-TEXT(DATEVALUE($D1290&amp;"-01"), "dd-mm-yyyy")),0),0)</f>
        <v>102</v>
      </c>
      <c r="G1290" cm="1">
        <f t="array" ref="G1290">IF($Q1290&gt;=0,IFERROR(generateSalesData($D1290, IF(ISNUMBER(_xlfn.XLOOKUP($C1290,Phone_by_Sentiment!$B$2:$B$37,Phone_by_Sentiment!G$2:G$37,"",0,1)),_xlfn.XLOOKUP($C1290,Phone_by_Sentiment!$B$2:$B$37,Phone_by_Sentiment!G$2:G$37,"",0,1),0),$A1290-TEXT(DATEVALUE($D1290&amp;"-01"), "dd-mm-yyyy")),0),0)</f>
        <v>69</v>
      </c>
      <c r="H1290" cm="1">
        <f t="array" ref="H1290">IF($Q1290&gt;=0,IFERROR(generateSalesData($D1290, IF(ISNUMBER(_xlfn.XLOOKUP($C1290,Phone_by_Sentiment!$B$2:$B$37,Phone_by_Sentiment!H$2:H$37,"",0,1)),_xlfn.XLOOKUP($C1290,Phone_by_Sentiment!$B$2:$B$37,Phone_by_Sentiment!H$2:H$37,"",0,1),0),$A1290-TEXT(DATEVALUE($D1290&amp;"-01"), "dd-mm-yyyy")),0),0)</f>
        <v>260</v>
      </c>
      <c r="I1290" cm="1">
        <f t="array" ref="I1290">IF($Q1290&gt;=0,IFERROR(generateSalesData($D1290, IF(ISNUMBER(_xlfn.XLOOKUP($C1290,Phone_by_Sentiment!$B$2:$B$37,Phone_by_Sentiment!I$2:I$37,"",0,1)),_xlfn.XLOOKUP($C1290,Phone_by_Sentiment!$B$2:$B$37,Phone_by_Sentiment!I$2:I$37,"",0,1),0),$A1290-TEXT(DATEVALUE($D1290&amp;"-01"), "dd-mm-yyyy")),0),0)</f>
        <v>323</v>
      </c>
      <c r="J1290" cm="1">
        <f t="array" ref="J1290">IF($Q1290&gt;=0,IFERROR(generateSalesData($D1290, IF(ISNUMBER(_xlfn.XLOOKUP($C1290,Phone_by_Sentiment!$B$2:$B$37,Phone_by_Sentiment!J$2:J$37,"",0,1)),_xlfn.XLOOKUP($C1290,Phone_by_Sentiment!$B$2:$B$37,Phone_by_Sentiment!J$2:J$37,"",0,1),0),$A1290-TEXT(DATEVALUE($D1290&amp;"-01"), "dd-mm-yyyy")),0),0)</f>
        <v>70</v>
      </c>
      <c r="K1290" cm="1">
        <f t="array" ref="K1290">IF($Q1290&gt;=0,IFERROR(generateSalesData($D1290, IF(ISNUMBER(_xlfn.XLOOKUP($C1290,Phone_by_Sentiment!$B$2:$B$37,Phone_by_Sentiment!K$2:K$37,"",0,1)),_xlfn.XLOOKUP($C1290,Phone_by_Sentiment!$B$2:$B$37,Phone_by_Sentiment!K$2:K$37,"",0,1),0),$A1290-TEXT(DATEVALUE($D1290&amp;"-01"), "dd-mm-yyyy")),0),0)</f>
        <v>215</v>
      </c>
      <c r="L1290" cm="1">
        <f t="array" ref="L1290">IF($Q1290&gt;=0,IFERROR(generateSalesData($D1290, IF(ISNUMBER(_xlfn.XLOOKUP($C1290,Phone_by_Sentiment!$B$2:$B$37,Phone_by_Sentiment!L$2:L$37,"",0,1)),_xlfn.XLOOKUP($C1290,Phone_by_Sentiment!$B$2:$B$37,Phone_by_Sentiment!L$2:L$37,"",0,1),0),$A1290-TEXT(DATEVALUE($D1290&amp;"-01"), "dd-mm-yyyy")),0),0)</f>
        <v>291</v>
      </c>
      <c r="M1290" cm="1">
        <f t="array" ref="M1290">IF($Q1290&gt;=0,IFERROR(generateSalesData($D1290, IF(ISNUMBER(_xlfn.XLOOKUP($C1290,Phone_by_Sentiment!$B$2:$B$37,Phone_by_Sentiment!M$2:M$37,"",0,1)),_xlfn.XLOOKUP($C1290,Phone_by_Sentiment!$B$2:$B$37,Phone_by_Sentiment!M$2:M$37,"",0,1),0),$A1290-TEXT(DATEVALUE($D1290&amp;"-01"), "dd-mm-yyyy")),0),0)</f>
        <v>163</v>
      </c>
      <c r="N1290" cm="1">
        <f t="array" ref="N1290">IF($Q1290&gt;=0,IFERROR(generateSalesData($D1290, IF(ISNUMBER(_xlfn.XLOOKUP($C1290,Phone_by_Sentiment!$B$2:$B$37,Phone_by_Sentiment!N$2:N$37,"",0,1)),_xlfn.XLOOKUP($C1290,Phone_by_Sentiment!$B$2:$B$37,Phone_by_Sentiment!N$2:N$37,"",0,1),0),$A1290-TEXT(DATEVALUE($D1290&amp;"-01"), "dd-mm-yyyy")),0),0)</f>
        <v>327</v>
      </c>
      <c r="O1290" cm="1">
        <f t="array" ref="O1290">IF($Q1290&gt;=0,IFERROR(generateSalesData($D1290, IF(ISNUMBER(_xlfn.XLOOKUP($C1290,Phone_by_Sentiment!$B$2:$B$37,Phone_by_Sentiment!O$2:O$37,"",0,1)),_xlfn.XLOOKUP($C1290,Phone_by_Sentiment!$B$2:$B$37,Phone_by_Sentiment!O$2:O$37,"",0,1),0),$A1290-TEXT(DATEVALUE($D1290&amp;"-01"), "dd-mm-yyyy")),0),0)</f>
        <v>143</v>
      </c>
      <c r="P1290" s="1">
        <f t="shared" si="51"/>
        <v>43862</v>
      </c>
      <c r="Q1290">
        <f t="shared" si="53"/>
        <v>700</v>
      </c>
    </row>
    <row r="1291" spans="1:17" x14ac:dyDescent="0.25">
      <c r="A1291" s="1">
        <f t="shared" si="48"/>
        <v>44562</v>
      </c>
      <c r="B1291" t="s">
        <v>174</v>
      </c>
      <c r="C1291" t="str">
        <f>_xlfn.XLOOKUP(B1291,Phone_by_Price!$A$2:$A$34,Phone_by_Price!$B$2:$B$34,"-",0,1)</f>
        <v>Samsung Galaxy A7</v>
      </c>
      <c r="D1291" t="str">
        <f>_xlfn.XLOOKUP(C1291,Phone_by_Sentiment!$B$2:$B$37,Phone_by_Sentiment!$A$2:$A$37,"-",0,1)</f>
        <v>2018-10</v>
      </c>
      <c r="E1291" cm="1">
        <f t="array" ref="E1291">IF($Q1291&gt;=0,IFERROR(generateSalesData($D1291, IF(ISNUMBER(_xlfn.XLOOKUP($C1291,Phone_by_Sentiment!$B$2:$B$37,Phone_by_Sentiment!E$2:E$37,"",0,1)),_xlfn.XLOOKUP($C1291,Phone_by_Sentiment!$B$2:$B$37,Phone_by_Sentiment!E$2:E$37,"",0,1),0),$A1291-TEXT(DATEVALUE($D1291&amp;"-01"), "dd-mm-yyyy")),0),0)</f>
        <v>22</v>
      </c>
      <c r="F1291" cm="1">
        <f t="array" ref="F1291">IF($Q1291&gt;=0,IFERROR(generateSalesData($D1291, IF(ISNUMBER(_xlfn.XLOOKUP($C1291,Phone_by_Sentiment!$B$2:$B$37,Phone_by_Sentiment!F$2:F$37,"",0,1)),_xlfn.XLOOKUP($C1291,Phone_by_Sentiment!$B$2:$B$37,Phone_by_Sentiment!F$2:F$37,"",0,1),0),$A1291-TEXT(DATEVALUE($D1291&amp;"-01"), "dd-mm-yyyy")),0),0)</f>
        <v>76</v>
      </c>
      <c r="G1291" cm="1">
        <f t="array" ref="G1291">IF($Q1291&gt;=0,IFERROR(generateSalesData($D1291, IF(ISNUMBER(_xlfn.XLOOKUP($C1291,Phone_by_Sentiment!$B$2:$B$37,Phone_by_Sentiment!G$2:G$37,"",0,1)),_xlfn.XLOOKUP($C1291,Phone_by_Sentiment!$B$2:$B$37,Phone_by_Sentiment!G$2:G$37,"",0,1),0),$A1291-TEXT(DATEVALUE($D1291&amp;"-01"), "dd-mm-yyyy")),0),0)</f>
        <v>51</v>
      </c>
      <c r="H1291" cm="1">
        <f t="array" ref="H1291">IF($Q1291&gt;=0,IFERROR(generateSalesData($D1291, IF(ISNUMBER(_xlfn.XLOOKUP($C1291,Phone_by_Sentiment!$B$2:$B$37,Phone_by_Sentiment!H$2:H$37,"",0,1)),_xlfn.XLOOKUP($C1291,Phone_by_Sentiment!$B$2:$B$37,Phone_by_Sentiment!H$2:H$37,"",0,1),0),$A1291-TEXT(DATEVALUE($D1291&amp;"-01"), "dd-mm-yyyy")),0),0)</f>
        <v>95</v>
      </c>
      <c r="I1291" cm="1">
        <f t="array" ref="I1291">IF($Q1291&gt;=0,IFERROR(generateSalesData($D1291, IF(ISNUMBER(_xlfn.XLOOKUP($C1291,Phone_by_Sentiment!$B$2:$B$37,Phone_by_Sentiment!I$2:I$37,"",0,1)),_xlfn.XLOOKUP($C1291,Phone_by_Sentiment!$B$2:$B$37,Phone_by_Sentiment!I$2:I$37,"",0,1),0),$A1291-TEXT(DATEVALUE($D1291&amp;"-01"), "dd-mm-yyyy")),0),0)</f>
        <v>193</v>
      </c>
      <c r="J1291" cm="1">
        <f t="array" ref="J1291">IF($Q1291&gt;=0,IFERROR(generateSalesData($D1291, IF(ISNUMBER(_xlfn.XLOOKUP($C1291,Phone_by_Sentiment!$B$2:$B$37,Phone_by_Sentiment!J$2:J$37,"",0,1)),_xlfn.XLOOKUP($C1291,Phone_by_Sentiment!$B$2:$B$37,Phone_by_Sentiment!J$2:J$37,"",0,1),0),$A1291-TEXT(DATEVALUE($D1291&amp;"-01"), "dd-mm-yyyy")),0),0)</f>
        <v>30</v>
      </c>
      <c r="K1291" cm="1">
        <f t="array" ref="K1291">IF($Q1291&gt;=0,IFERROR(generateSalesData($D1291, IF(ISNUMBER(_xlfn.XLOOKUP($C1291,Phone_by_Sentiment!$B$2:$B$37,Phone_by_Sentiment!K$2:K$37,"",0,1)),_xlfn.XLOOKUP($C1291,Phone_by_Sentiment!$B$2:$B$37,Phone_by_Sentiment!K$2:K$37,"",0,1),0),$A1291-TEXT(DATEVALUE($D1291&amp;"-01"), "dd-mm-yyyy")),0),0)</f>
        <v>47</v>
      </c>
      <c r="L1291" cm="1">
        <f t="array" ref="L1291">IF($Q1291&gt;=0,IFERROR(generateSalesData($D1291, IF(ISNUMBER(_xlfn.XLOOKUP($C1291,Phone_by_Sentiment!$B$2:$B$37,Phone_by_Sentiment!L$2:L$37,"",0,1)),_xlfn.XLOOKUP($C1291,Phone_by_Sentiment!$B$2:$B$37,Phone_by_Sentiment!L$2:L$37,"",0,1),0),$A1291-TEXT(DATEVALUE($D1291&amp;"-01"), "dd-mm-yyyy")),0),0)</f>
        <v>7</v>
      </c>
      <c r="M1291" cm="1">
        <f t="array" ref="M1291">IF($Q1291&gt;=0,IFERROR(generateSalesData($D1291, IF(ISNUMBER(_xlfn.XLOOKUP($C1291,Phone_by_Sentiment!$B$2:$B$37,Phone_by_Sentiment!M$2:M$37,"",0,1)),_xlfn.XLOOKUP($C1291,Phone_by_Sentiment!$B$2:$B$37,Phone_by_Sentiment!M$2:M$37,"",0,1),0),$A1291-TEXT(DATEVALUE($D1291&amp;"-01"), "dd-mm-yyyy")),0),0)</f>
        <v>112</v>
      </c>
      <c r="N1291" cm="1">
        <f t="array" ref="N1291">IF($Q1291&gt;=0,IFERROR(generateSalesData($D1291, IF(ISNUMBER(_xlfn.XLOOKUP($C1291,Phone_by_Sentiment!$B$2:$B$37,Phone_by_Sentiment!N$2:N$37,"",0,1)),_xlfn.XLOOKUP($C1291,Phone_by_Sentiment!$B$2:$B$37,Phone_by_Sentiment!N$2:N$37,"",0,1),0),$A1291-TEXT(DATEVALUE($D1291&amp;"-01"), "dd-mm-yyyy")),0),0)</f>
        <v>58</v>
      </c>
      <c r="O1291" cm="1">
        <f t="array" ref="O1291">IF($Q1291&gt;=0,IFERROR(generateSalesData($D1291, IF(ISNUMBER(_xlfn.XLOOKUP($C1291,Phone_by_Sentiment!$B$2:$B$37,Phone_by_Sentiment!O$2:O$37,"",0,1)),_xlfn.XLOOKUP($C1291,Phone_by_Sentiment!$B$2:$B$37,Phone_by_Sentiment!O$2:O$37,"",0,1),0),$A1291-TEXT(DATEVALUE($D1291&amp;"-01"), "dd-mm-yyyy")),0),0)</f>
        <v>246</v>
      </c>
      <c r="P1291" s="1">
        <f t="shared" si="51"/>
        <v>43374</v>
      </c>
      <c r="Q1291">
        <f t="shared" si="53"/>
        <v>1188</v>
      </c>
    </row>
    <row r="1292" spans="1:17" x14ac:dyDescent="0.25">
      <c r="A1292" s="1">
        <f t="shared" si="48"/>
        <v>44562</v>
      </c>
      <c r="B1292" t="s">
        <v>142</v>
      </c>
      <c r="C1292" t="str">
        <f>_xlfn.XLOOKUP(B1292,Phone_by_Price!$A$2:$A$34,Phone_by_Price!$B$2:$B$34,"-",0,1)</f>
        <v>iPhone 11</v>
      </c>
      <c r="D1292" t="str">
        <f>_xlfn.XLOOKUP(C1292,Phone_by_Sentiment!$B$2:$B$37,Phone_by_Sentiment!$A$2:$A$37,"-",0,1)</f>
        <v>2019-09</v>
      </c>
      <c r="E1292" cm="1">
        <f t="array" ref="E1292">IF($Q1292&gt;=0,IFERROR(generateSalesData($D1292, IF(ISNUMBER(_xlfn.XLOOKUP($C1292,Phone_by_Sentiment!$B$2:$B$37,Phone_by_Sentiment!E$2:E$37,"",0,1)),_xlfn.XLOOKUP($C1292,Phone_by_Sentiment!$B$2:$B$37,Phone_by_Sentiment!E$2:E$37,"",0,1),0),$A1292-TEXT(DATEVALUE($D1292&amp;"-01"), "dd-mm-yyyy")),0),0)</f>
        <v>184</v>
      </c>
      <c r="F1292" cm="1">
        <f t="array" ref="F1292">IF($Q1292&gt;=0,IFERROR(generateSalesData($D1292, IF(ISNUMBER(_xlfn.XLOOKUP($C1292,Phone_by_Sentiment!$B$2:$B$37,Phone_by_Sentiment!F$2:F$37,"",0,1)),_xlfn.XLOOKUP($C1292,Phone_by_Sentiment!$B$2:$B$37,Phone_by_Sentiment!F$2:F$37,"",0,1),0),$A1292-TEXT(DATEVALUE($D1292&amp;"-01"), "dd-mm-yyyy")),0),0)</f>
        <v>321</v>
      </c>
      <c r="G1292" cm="1">
        <f t="array" ref="G1292">IF($Q1292&gt;=0,IFERROR(generateSalesData($D1292, IF(ISNUMBER(_xlfn.XLOOKUP($C1292,Phone_by_Sentiment!$B$2:$B$37,Phone_by_Sentiment!G$2:G$37,"",0,1)),_xlfn.XLOOKUP($C1292,Phone_by_Sentiment!$B$2:$B$37,Phone_by_Sentiment!G$2:G$37,"",0,1),0),$A1292-TEXT(DATEVALUE($D1292&amp;"-01"), "dd-mm-yyyy")),0),0)</f>
        <v>32</v>
      </c>
      <c r="H1292" cm="1">
        <f t="array" ref="H1292">IF($Q1292&gt;=0,IFERROR(generateSalesData($D1292, IF(ISNUMBER(_xlfn.XLOOKUP($C1292,Phone_by_Sentiment!$B$2:$B$37,Phone_by_Sentiment!H$2:H$37,"",0,1)),_xlfn.XLOOKUP($C1292,Phone_by_Sentiment!$B$2:$B$37,Phone_by_Sentiment!H$2:H$37,"",0,1),0),$A1292-TEXT(DATEVALUE($D1292&amp;"-01"), "dd-mm-yyyy")),0),0)</f>
        <v>234</v>
      </c>
      <c r="I1292" cm="1">
        <f t="array" ref="I1292">IF($Q1292&gt;=0,IFERROR(generateSalesData($D1292, IF(ISNUMBER(_xlfn.XLOOKUP($C1292,Phone_by_Sentiment!$B$2:$B$37,Phone_by_Sentiment!I$2:I$37,"",0,1)),_xlfn.XLOOKUP($C1292,Phone_by_Sentiment!$B$2:$B$37,Phone_by_Sentiment!I$2:I$37,"",0,1),0),$A1292-TEXT(DATEVALUE($D1292&amp;"-01"), "dd-mm-yyyy")),0),0)</f>
        <v>395</v>
      </c>
      <c r="J1292" cm="1">
        <f t="array" ref="J1292">IF($Q1292&gt;=0,IFERROR(generateSalesData($D1292, IF(ISNUMBER(_xlfn.XLOOKUP($C1292,Phone_by_Sentiment!$B$2:$B$37,Phone_by_Sentiment!J$2:J$37,"",0,1)),_xlfn.XLOOKUP($C1292,Phone_by_Sentiment!$B$2:$B$37,Phone_by_Sentiment!J$2:J$37,"",0,1),0),$A1292-TEXT(DATEVALUE($D1292&amp;"-01"), "dd-mm-yyyy")),0),0)</f>
        <v>626</v>
      </c>
      <c r="K1292" cm="1">
        <f t="array" ref="K1292">IF($Q1292&gt;=0,IFERROR(generateSalesData($D1292, IF(ISNUMBER(_xlfn.XLOOKUP($C1292,Phone_by_Sentiment!$B$2:$B$37,Phone_by_Sentiment!K$2:K$37,"",0,1)),_xlfn.XLOOKUP($C1292,Phone_by_Sentiment!$B$2:$B$37,Phone_by_Sentiment!K$2:K$37,"",0,1),0),$A1292-TEXT(DATEVALUE($D1292&amp;"-01"), "dd-mm-yyyy")),0),0)</f>
        <v>110</v>
      </c>
      <c r="L1292" cm="1">
        <f t="array" ref="L1292">IF($Q1292&gt;=0,IFERROR(generateSalesData($D1292, IF(ISNUMBER(_xlfn.XLOOKUP($C1292,Phone_by_Sentiment!$B$2:$B$37,Phone_by_Sentiment!L$2:L$37,"",0,1)),_xlfn.XLOOKUP($C1292,Phone_by_Sentiment!$B$2:$B$37,Phone_by_Sentiment!L$2:L$37,"",0,1),0),$A1292-TEXT(DATEVALUE($D1292&amp;"-01"), "dd-mm-yyyy")),0),0)</f>
        <v>443</v>
      </c>
      <c r="M1292" cm="1">
        <f t="array" ref="M1292">IF($Q1292&gt;=0,IFERROR(generateSalesData($D1292, IF(ISNUMBER(_xlfn.XLOOKUP($C1292,Phone_by_Sentiment!$B$2:$B$37,Phone_by_Sentiment!M$2:M$37,"",0,1)),_xlfn.XLOOKUP($C1292,Phone_by_Sentiment!$B$2:$B$37,Phone_by_Sentiment!M$2:M$37,"",0,1),0),$A1292-TEXT(DATEVALUE($D1292&amp;"-01"), "dd-mm-yyyy")),0),0)</f>
        <v>214</v>
      </c>
      <c r="N1292" cm="1">
        <f t="array" ref="N1292">IF($Q1292&gt;=0,IFERROR(generateSalesData($D1292, IF(ISNUMBER(_xlfn.XLOOKUP($C1292,Phone_by_Sentiment!$B$2:$B$37,Phone_by_Sentiment!N$2:N$37,"",0,1)),_xlfn.XLOOKUP($C1292,Phone_by_Sentiment!$B$2:$B$37,Phone_by_Sentiment!N$2:N$37,"",0,1),0),$A1292-TEXT(DATEVALUE($D1292&amp;"-01"), "dd-mm-yyyy")),0),0)</f>
        <v>267</v>
      </c>
      <c r="O1292" cm="1">
        <f t="array" ref="O1292">IF($Q1292&gt;=0,IFERROR(generateSalesData($D1292, IF(ISNUMBER(_xlfn.XLOOKUP($C1292,Phone_by_Sentiment!$B$2:$B$37,Phone_by_Sentiment!O$2:O$37,"",0,1)),_xlfn.XLOOKUP($C1292,Phone_by_Sentiment!$B$2:$B$37,Phone_by_Sentiment!O$2:O$37,"",0,1),0),$A1292-TEXT(DATEVALUE($D1292&amp;"-01"), "dd-mm-yyyy")),0),0)</f>
        <v>390</v>
      </c>
      <c r="P1292" s="1">
        <f t="shared" si="51"/>
        <v>43709</v>
      </c>
      <c r="Q1292">
        <f t="shared" si="53"/>
        <v>853</v>
      </c>
    </row>
    <row r="1293" spans="1:17" x14ac:dyDescent="0.25">
      <c r="A1293" s="1">
        <f t="shared" si="48"/>
        <v>44562</v>
      </c>
      <c r="B1293" t="s">
        <v>143</v>
      </c>
      <c r="C1293" t="str">
        <f>_xlfn.XLOOKUP(B1293,Phone_by_Price!$A$2:$A$34,Phone_by_Price!$B$2:$B$34,"-",0,1)</f>
        <v>Samsung Galaxy S20 Ultra</v>
      </c>
      <c r="D1293" t="str">
        <f>_xlfn.XLOOKUP(C1293,Phone_by_Sentiment!$B$2:$B$37,Phone_by_Sentiment!$A$2:$A$37,"-",0,1)</f>
        <v>2020-02</v>
      </c>
      <c r="E1293" cm="1">
        <f t="array" ref="E1293">IF($Q1293&gt;=0,IFERROR(generateSalesData($D1293, IF(ISNUMBER(_xlfn.XLOOKUP($C1293,Phone_by_Sentiment!$B$2:$B$37,Phone_by_Sentiment!E$2:E$37,"",0,1)),_xlfn.XLOOKUP($C1293,Phone_by_Sentiment!$B$2:$B$37,Phone_by_Sentiment!E$2:E$37,"",0,1),0),$A1293-TEXT(DATEVALUE($D1293&amp;"-01"), "dd-mm-yyyy")),0),0)</f>
        <v>396</v>
      </c>
      <c r="F1293" cm="1">
        <f t="array" ref="F1293">IF($Q1293&gt;=0,IFERROR(generateSalesData($D1293, IF(ISNUMBER(_xlfn.XLOOKUP($C1293,Phone_by_Sentiment!$B$2:$B$37,Phone_by_Sentiment!F$2:F$37,"",0,1)),_xlfn.XLOOKUP($C1293,Phone_by_Sentiment!$B$2:$B$37,Phone_by_Sentiment!F$2:F$37,"",0,1),0),$A1293-TEXT(DATEVALUE($D1293&amp;"-01"), "dd-mm-yyyy")),0),0)</f>
        <v>335</v>
      </c>
      <c r="G1293" cm="1">
        <f t="array" ref="G1293">IF($Q1293&gt;=0,IFERROR(generateSalesData($D1293, IF(ISNUMBER(_xlfn.XLOOKUP($C1293,Phone_by_Sentiment!$B$2:$B$37,Phone_by_Sentiment!G$2:G$37,"",0,1)),_xlfn.XLOOKUP($C1293,Phone_by_Sentiment!$B$2:$B$37,Phone_by_Sentiment!G$2:G$37,"",0,1),0),$A1293-TEXT(DATEVALUE($D1293&amp;"-01"), "dd-mm-yyyy")),0),0)</f>
        <v>24</v>
      </c>
      <c r="H1293" cm="1">
        <f t="array" ref="H1293">IF($Q1293&gt;=0,IFERROR(generateSalesData($D1293, IF(ISNUMBER(_xlfn.XLOOKUP($C1293,Phone_by_Sentiment!$B$2:$B$37,Phone_by_Sentiment!H$2:H$37,"",0,1)),_xlfn.XLOOKUP($C1293,Phone_by_Sentiment!$B$2:$B$37,Phone_by_Sentiment!H$2:H$37,"",0,1),0),$A1293-TEXT(DATEVALUE($D1293&amp;"-01"), "dd-mm-yyyy")),0),0)</f>
        <v>531</v>
      </c>
      <c r="I1293" cm="1">
        <f t="array" ref="I1293">IF($Q1293&gt;=0,IFERROR(generateSalesData($D1293, IF(ISNUMBER(_xlfn.XLOOKUP($C1293,Phone_by_Sentiment!$B$2:$B$37,Phone_by_Sentiment!I$2:I$37,"",0,1)),_xlfn.XLOOKUP($C1293,Phone_by_Sentiment!$B$2:$B$37,Phone_by_Sentiment!I$2:I$37,"",0,1),0),$A1293-TEXT(DATEVALUE($D1293&amp;"-01"), "dd-mm-yyyy")),0),0)</f>
        <v>271</v>
      </c>
      <c r="J1293" cm="1">
        <f t="array" ref="J1293">IF($Q1293&gt;=0,IFERROR(generateSalesData($D1293, IF(ISNUMBER(_xlfn.XLOOKUP($C1293,Phone_by_Sentiment!$B$2:$B$37,Phone_by_Sentiment!J$2:J$37,"",0,1)),_xlfn.XLOOKUP($C1293,Phone_by_Sentiment!$B$2:$B$37,Phone_by_Sentiment!J$2:J$37,"",0,1),0),$A1293-TEXT(DATEVALUE($D1293&amp;"-01"), "dd-mm-yyyy")),0),0)</f>
        <v>476</v>
      </c>
      <c r="K1293" cm="1">
        <f t="array" ref="K1293">IF($Q1293&gt;=0,IFERROR(generateSalesData($D1293, IF(ISNUMBER(_xlfn.XLOOKUP($C1293,Phone_by_Sentiment!$B$2:$B$37,Phone_by_Sentiment!K$2:K$37,"",0,1)),_xlfn.XLOOKUP($C1293,Phone_by_Sentiment!$B$2:$B$37,Phone_by_Sentiment!K$2:K$37,"",0,1),0),$A1293-TEXT(DATEVALUE($D1293&amp;"-01"), "dd-mm-yyyy")),0),0)</f>
        <v>137</v>
      </c>
      <c r="L1293" cm="1">
        <f t="array" ref="L1293">IF($Q1293&gt;=0,IFERROR(generateSalesData($D1293, IF(ISNUMBER(_xlfn.XLOOKUP($C1293,Phone_by_Sentiment!$B$2:$B$37,Phone_by_Sentiment!L$2:L$37,"",0,1)),_xlfn.XLOOKUP($C1293,Phone_by_Sentiment!$B$2:$B$37,Phone_by_Sentiment!L$2:L$37,"",0,1),0),$A1293-TEXT(DATEVALUE($D1293&amp;"-01"), "dd-mm-yyyy")),0),0)</f>
        <v>203</v>
      </c>
      <c r="M1293" cm="1">
        <f t="array" ref="M1293">IF($Q1293&gt;=0,IFERROR(generateSalesData($D1293, IF(ISNUMBER(_xlfn.XLOOKUP($C1293,Phone_by_Sentiment!$B$2:$B$37,Phone_by_Sentiment!M$2:M$37,"",0,1)),_xlfn.XLOOKUP($C1293,Phone_by_Sentiment!$B$2:$B$37,Phone_by_Sentiment!M$2:M$37,"",0,1),0),$A1293-TEXT(DATEVALUE($D1293&amp;"-01"), "dd-mm-yyyy")),0),0)</f>
        <v>631</v>
      </c>
      <c r="N1293" cm="1">
        <f t="array" ref="N1293">IF($Q1293&gt;=0,IFERROR(generateSalesData($D1293, IF(ISNUMBER(_xlfn.XLOOKUP($C1293,Phone_by_Sentiment!$B$2:$B$37,Phone_by_Sentiment!N$2:N$37,"",0,1)),_xlfn.XLOOKUP($C1293,Phone_by_Sentiment!$B$2:$B$37,Phone_by_Sentiment!N$2:N$37,"",0,1),0),$A1293-TEXT(DATEVALUE($D1293&amp;"-01"), "dd-mm-yyyy")),0),0)</f>
        <v>182</v>
      </c>
      <c r="O1293" cm="1">
        <f t="array" ref="O1293">IF($Q1293&gt;=0,IFERROR(generateSalesData($D1293, IF(ISNUMBER(_xlfn.XLOOKUP($C1293,Phone_by_Sentiment!$B$2:$B$37,Phone_by_Sentiment!O$2:O$37,"",0,1)),_xlfn.XLOOKUP($C1293,Phone_by_Sentiment!$B$2:$B$37,Phone_by_Sentiment!O$2:O$37,"",0,1),0),$A1293-TEXT(DATEVALUE($D1293&amp;"-01"), "dd-mm-yyyy")),0),0)</f>
        <v>417</v>
      </c>
      <c r="P1293" s="1">
        <f t="shared" si="51"/>
        <v>43862</v>
      </c>
      <c r="Q1293">
        <f t="shared" si="53"/>
        <v>700</v>
      </c>
    </row>
    <row r="1294" spans="1:17" x14ac:dyDescent="0.25">
      <c r="A1294" s="1">
        <f t="shared" si="48"/>
        <v>44562</v>
      </c>
      <c r="B1294" t="s">
        <v>144</v>
      </c>
      <c r="C1294" t="str">
        <f>_xlfn.XLOOKUP(B1294,Phone_by_Price!$A$2:$A$34,Phone_by_Price!$B$2:$B$34,"-",0,1)</f>
        <v>Xiaomi Redmi Note 10</v>
      </c>
      <c r="D1294" t="str">
        <f>_xlfn.XLOOKUP(C1294,Phone_by_Sentiment!$B$2:$B$37,Phone_by_Sentiment!$A$2:$A$37,"-",0,1)</f>
        <v>2021-03</v>
      </c>
      <c r="E1294" cm="1">
        <f t="array" ref="E1294">IF($Q1294&gt;=0,IFERROR(generateSalesData($D1294, IF(ISNUMBER(_xlfn.XLOOKUP($C1294,Phone_by_Sentiment!$B$2:$B$37,Phone_by_Sentiment!E$2:E$37,"",0,1)),_xlfn.XLOOKUP($C1294,Phone_by_Sentiment!$B$2:$B$37,Phone_by_Sentiment!E$2:E$37,"",0,1),0),$A1294-TEXT(DATEVALUE($D1294&amp;"-01"), "dd-mm-yyyy")),0),0)</f>
        <v>1284</v>
      </c>
      <c r="F1294" cm="1">
        <f t="array" ref="F1294">IF($Q1294&gt;=0,IFERROR(generateSalesData($D1294, IF(ISNUMBER(_xlfn.XLOOKUP($C1294,Phone_by_Sentiment!$B$2:$B$37,Phone_by_Sentiment!F$2:F$37,"",0,1)),_xlfn.XLOOKUP($C1294,Phone_by_Sentiment!$B$2:$B$37,Phone_by_Sentiment!F$2:F$37,"",0,1),0),$A1294-TEXT(DATEVALUE($D1294&amp;"-01"), "dd-mm-yyyy")),0),0)</f>
        <v>233</v>
      </c>
      <c r="G1294" cm="1">
        <f t="array" ref="G1294">IF($Q1294&gt;=0,IFERROR(generateSalesData($D1294, IF(ISNUMBER(_xlfn.XLOOKUP($C1294,Phone_by_Sentiment!$B$2:$B$37,Phone_by_Sentiment!G$2:G$37,"",0,1)),_xlfn.XLOOKUP($C1294,Phone_by_Sentiment!$B$2:$B$37,Phone_by_Sentiment!G$2:G$37,"",0,1),0),$A1294-TEXT(DATEVALUE($D1294&amp;"-01"), "dd-mm-yyyy")),0),0)</f>
        <v>155</v>
      </c>
      <c r="H1294" cm="1">
        <f t="array" ref="H1294">IF($Q1294&gt;=0,IFERROR(generateSalesData($D1294, IF(ISNUMBER(_xlfn.XLOOKUP($C1294,Phone_by_Sentiment!$B$2:$B$37,Phone_by_Sentiment!H$2:H$37,"",0,1)),_xlfn.XLOOKUP($C1294,Phone_by_Sentiment!$B$2:$B$37,Phone_by_Sentiment!H$2:H$37,"",0,1),0),$A1294-TEXT(DATEVALUE($D1294&amp;"-01"), "dd-mm-yyyy")),0),0)</f>
        <v>637</v>
      </c>
      <c r="I1294" cm="1">
        <f t="array" ref="I1294">IF($Q1294&gt;=0,IFERROR(generateSalesData($D1294, IF(ISNUMBER(_xlfn.XLOOKUP($C1294,Phone_by_Sentiment!$B$2:$B$37,Phone_by_Sentiment!I$2:I$37,"",0,1)),_xlfn.XLOOKUP($C1294,Phone_by_Sentiment!$B$2:$B$37,Phone_by_Sentiment!I$2:I$37,"",0,1),0),$A1294-TEXT(DATEVALUE($D1294&amp;"-01"), "dd-mm-yyyy")),0),0)</f>
        <v>585</v>
      </c>
      <c r="J1294" cm="1">
        <f t="array" ref="J1294">IF($Q1294&gt;=0,IFERROR(generateSalesData($D1294, IF(ISNUMBER(_xlfn.XLOOKUP($C1294,Phone_by_Sentiment!$B$2:$B$37,Phone_by_Sentiment!J$2:J$37,"",0,1)),_xlfn.XLOOKUP($C1294,Phone_by_Sentiment!$B$2:$B$37,Phone_by_Sentiment!J$2:J$37,"",0,1),0),$A1294-TEXT(DATEVALUE($D1294&amp;"-01"), "dd-mm-yyyy")),0),0)</f>
        <v>1119</v>
      </c>
      <c r="K1294" cm="1">
        <f t="array" ref="K1294">IF($Q1294&gt;=0,IFERROR(generateSalesData($D1294, IF(ISNUMBER(_xlfn.XLOOKUP($C1294,Phone_by_Sentiment!$B$2:$B$37,Phone_by_Sentiment!K$2:K$37,"",0,1)),_xlfn.XLOOKUP($C1294,Phone_by_Sentiment!$B$2:$B$37,Phone_by_Sentiment!K$2:K$37,"",0,1),0),$A1294-TEXT(DATEVALUE($D1294&amp;"-01"), "dd-mm-yyyy")),0),0)</f>
        <v>982</v>
      </c>
      <c r="L1294" cm="1">
        <f t="array" ref="L1294">IF($Q1294&gt;=0,IFERROR(generateSalesData($D1294, IF(ISNUMBER(_xlfn.XLOOKUP($C1294,Phone_by_Sentiment!$B$2:$B$37,Phone_by_Sentiment!L$2:L$37,"",0,1)),_xlfn.XLOOKUP($C1294,Phone_by_Sentiment!$B$2:$B$37,Phone_by_Sentiment!L$2:L$37,"",0,1),0),$A1294-TEXT(DATEVALUE($D1294&amp;"-01"), "dd-mm-yyyy")),0),0)</f>
        <v>569</v>
      </c>
      <c r="M1294" cm="1">
        <f t="array" ref="M1294">IF($Q1294&gt;=0,IFERROR(generateSalesData($D1294, IF(ISNUMBER(_xlfn.XLOOKUP($C1294,Phone_by_Sentiment!$B$2:$B$37,Phone_by_Sentiment!M$2:M$37,"",0,1)),_xlfn.XLOOKUP($C1294,Phone_by_Sentiment!$B$2:$B$37,Phone_by_Sentiment!M$2:M$37,"",0,1),0),$A1294-TEXT(DATEVALUE($D1294&amp;"-01"), "dd-mm-yyyy")),0),0)</f>
        <v>206</v>
      </c>
      <c r="N1294" cm="1">
        <f t="array" ref="N1294">IF($Q1294&gt;=0,IFERROR(generateSalesData($D1294, IF(ISNUMBER(_xlfn.XLOOKUP($C1294,Phone_by_Sentiment!$B$2:$B$37,Phone_by_Sentiment!N$2:N$37,"",0,1)),_xlfn.XLOOKUP($C1294,Phone_by_Sentiment!$B$2:$B$37,Phone_by_Sentiment!N$2:N$37,"",0,1),0),$A1294-TEXT(DATEVALUE($D1294&amp;"-01"), "dd-mm-yyyy")),0),0)</f>
        <v>1726</v>
      </c>
      <c r="O1294" cm="1">
        <f t="array" ref="O1294">IF($Q1294&gt;=0,IFERROR(generateSalesData($D1294, IF(ISNUMBER(_xlfn.XLOOKUP($C1294,Phone_by_Sentiment!$B$2:$B$37,Phone_by_Sentiment!O$2:O$37,"",0,1)),_xlfn.XLOOKUP($C1294,Phone_by_Sentiment!$B$2:$B$37,Phone_by_Sentiment!O$2:O$37,"",0,1),0),$A1294-TEXT(DATEVALUE($D1294&amp;"-01"), "dd-mm-yyyy")),0),0)</f>
        <v>954</v>
      </c>
      <c r="P1294" s="1">
        <f t="shared" si="51"/>
        <v>44256</v>
      </c>
      <c r="Q1294">
        <f t="shared" si="53"/>
        <v>306</v>
      </c>
    </row>
    <row r="1295" spans="1:17" x14ac:dyDescent="0.25">
      <c r="A1295" s="1">
        <f t="shared" si="48"/>
        <v>44562</v>
      </c>
      <c r="B1295" t="s">
        <v>145</v>
      </c>
      <c r="C1295" t="str">
        <f>_xlfn.XLOOKUP(B1295,Phone_by_Price!$A$2:$A$34,Phone_by_Price!$B$2:$B$34,"-",0,1)</f>
        <v>OPPO A54</v>
      </c>
      <c r="D1295" t="str">
        <f>_xlfn.XLOOKUP(C1295,Phone_by_Sentiment!$B$2:$B$37,Phone_by_Sentiment!$A$2:$A$37,"-",0,1)</f>
        <v>2021-04</v>
      </c>
      <c r="E1295" cm="1">
        <f t="array" ref="E1295">IF($Q1295&gt;=0,IFERROR(generateSalesData($D1295, IF(ISNUMBER(_xlfn.XLOOKUP($C1295,Phone_by_Sentiment!$B$2:$B$37,Phone_by_Sentiment!E$2:E$37,"",0,1)),_xlfn.XLOOKUP($C1295,Phone_by_Sentiment!$B$2:$B$37,Phone_by_Sentiment!E$2:E$37,"",0,1),0),$A1295-TEXT(DATEVALUE($D1295&amp;"-01"), "dd-mm-yyyy")),0),0)</f>
        <v>1168</v>
      </c>
      <c r="F1295" cm="1">
        <f t="array" ref="F1295">IF($Q1295&gt;=0,IFERROR(generateSalesData($D1295, IF(ISNUMBER(_xlfn.XLOOKUP($C1295,Phone_by_Sentiment!$B$2:$B$37,Phone_by_Sentiment!F$2:F$37,"",0,1)),_xlfn.XLOOKUP($C1295,Phone_by_Sentiment!$B$2:$B$37,Phone_by_Sentiment!F$2:F$37,"",0,1),0),$A1295-TEXT(DATEVALUE($D1295&amp;"-01"), "dd-mm-yyyy")),0),0)</f>
        <v>90</v>
      </c>
      <c r="G1295" cm="1">
        <f t="array" ref="G1295">IF($Q1295&gt;=0,IFERROR(generateSalesData($D1295, IF(ISNUMBER(_xlfn.XLOOKUP($C1295,Phone_by_Sentiment!$B$2:$B$37,Phone_by_Sentiment!G$2:G$37,"",0,1)),_xlfn.XLOOKUP($C1295,Phone_by_Sentiment!$B$2:$B$37,Phone_by_Sentiment!G$2:G$37,"",0,1),0),$A1295-TEXT(DATEVALUE($D1295&amp;"-01"), "dd-mm-yyyy")),0),0)</f>
        <v>265</v>
      </c>
      <c r="H1295" cm="1">
        <f t="array" ref="H1295">IF($Q1295&gt;=0,IFERROR(generateSalesData($D1295, IF(ISNUMBER(_xlfn.XLOOKUP($C1295,Phone_by_Sentiment!$B$2:$B$37,Phone_by_Sentiment!H$2:H$37,"",0,1)),_xlfn.XLOOKUP($C1295,Phone_by_Sentiment!$B$2:$B$37,Phone_by_Sentiment!H$2:H$37,"",0,1),0),$A1295-TEXT(DATEVALUE($D1295&amp;"-01"), "dd-mm-yyyy")),0),0)</f>
        <v>-29</v>
      </c>
      <c r="I1295" cm="1">
        <f t="array" ref="I1295">IF($Q1295&gt;=0,IFERROR(generateSalesData($D1295, IF(ISNUMBER(_xlfn.XLOOKUP($C1295,Phone_by_Sentiment!$B$2:$B$37,Phone_by_Sentiment!I$2:I$37,"",0,1)),_xlfn.XLOOKUP($C1295,Phone_by_Sentiment!$B$2:$B$37,Phone_by_Sentiment!I$2:I$37,"",0,1),0),$A1295-TEXT(DATEVALUE($D1295&amp;"-01"), "dd-mm-yyyy")),0),0)</f>
        <v>653</v>
      </c>
      <c r="J1295" cm="1">
        <f t="array" ref="J1295">IF($Q1295&gt;=0,IFERROR(generateSalesData($D1295, IF(ISNUMBER(_xlfn.XLOOKUP($C1295,Phone_by_Sentiment!$B$2:$B$37,Phone_by_Sentiment!J$2:J$37,"",0,1)),_xlfn.XLOOKUP($C1295,Phone_by_Sentiment!$B$2:$B$37,Phone_by_Sentiment!J$2:J$37,"",0,1),0),$A1295-TEXT(DATEVALUE($D1295&amp;"-01"), "dd-mm-yyyy")),0),0)</f>
        <v>215</v>
      </c>
      <c r="K1295" cm="1">
        <f t="array" ref="K1295">IF($Q1295&gt;=0,IFERROR(generateSalesData($D1295, IF(ISNUMBER(_xlfn.XLOOKUP($C1295,Phone_by_Sentiment!$B$2:$B$37,Phone_by_Sentiment!K$2:K$37,"",0,1)),_xlfn.XLOOKUP($C1295,Phone_by_Sentiment!$B$2:$B$37,Phone_by_Sentiment!K$2:K$37,"",0,1),0),$A1295-TEXT(DATEVALUE($D1295&amp;"-01"), "dd-mm-yyyy")),0),0)</f>
        <v>51</v>
      </c>
      <c r="L1295" cm="1">
        <f t="array" ref="L1295">IF($Q1295&gt;=0,IFERROR(generateSalesData($D1295, IF(ISNUMBER(_xlfn.XLOOKUP($C1295,Phone_by_Sentiment!$B$2:$B$37,Phone_by_Sentiment!L$2:L$37,"",0,1)),_xlfn.XLOOKUP($C1295,Phone_by_Sentiment!$B$2:$B$37,Phone_by_Sentiment!L$2:L$37,"",0,1),0),$A1295-TEXT(DATEVALUE($D1295&amp;"-01"), "dd-mm-yyyy")),0),0)</f>
        <v>852</v>
      </c>
      <c r="M1295" cm="1">
        <f t="array" ref="M1295">IF($Q1295&gt;=0,IFERROR(generateSalesData($D1295, IF(ISNUMBER(_xlfn.XLOOKUP($C1295,Phone_by_Sentiment!$B$2:$B$37,Phone_by_Sentiment!M$2:M$37,"",0,1)),_xlfn.XLOOKUP($C1295,Phone_by_Sentiment!$B$2:$B$37,Phone_by_Sentiment!M$2:M$37,"",0,1),0),$A1295-TEXT(DATEVALUE($D1295&amp;"-01"), "dd-mm-yyyy")),0),0)</f>
        <v>267</v>
      </c>
      <c r="N1295" cm="1">
        <f t="array" ref="N1295">IF($Q1295&gt;=0,IFERROR(generateSalesData($D1295, IF(ISNUMBER(_xlfn.XLOOKUP($C1295,Phone_by_Sentiment!$B$2:$B$37,Phone_by_Sentiment!N$2:N$37,"",0,1)),_xlfn.XLOOKUP($C1295,Phone_by_Sentiment!$B$2:$B$37,Phone_by_Sentiment!N$2:N$37,"",0,1),0),$A1295-TEXT(DATEVALUE($D1295&amp;"-01"), "dd-mm-yyyy")),0),0)</f>
        <v>221</v>
      </c>
      <c r="O1295" cm="1">
        <f t="array" ref="O1295">IF($Q1295&gt;=0,IFERROR(generateSalesData($D1295, IF(ISNUMBER(_xlfn.XLOOKUP($C1295,Phone_by_Sentiment!$B$2:$B$37,Phone_by_Sentiment!O$2:O$37,"",0,1)),_xlfn.XLOOKUP($C1295,Phone_by_Sentiment!$B$2:$B$37,Phone_by_Sentiment!O$2:O$37,"",0,1),0),$A1295-TEXT(DATEVALUE($D1295&amp;"-01"), "dd-mm-yyyy")),0),0)</f>
        <v>147</v>
      </c>
      <c r="P1295" s="1">
        <f t="shared" si="51"/>
        <v>44287</v>
      </c>
      <c r="Q1295">
        <f t="shared" si="53"/>
        <v>275</v>
      </c>
    </row>
    <row r="1296" spans="1:17" x14ac:dyDescent="0.25">
      <c r="A1296" s="1">
        <f t="shared" si="48"/>
        <v>44593</v>
      </c>
      <c r="B1296" t="s">
        <v>144</v>
      </c>
      <c r="C1296" t="str">
        <f>_xlfn.XLOOKUP(B1296,Phone_by_Price!$A$2:$A$34,Phone_by_Price!$B$2:$B$34,"-",0,1)</f>
        <v>Xiaomi Redmi Note 10</v>
      </c>
      <c r="D1296" t="str">
        <f>_xlfn.XLOOKUP(C1296,Phone_by_Sentiment!$B$2:$B$37,Phone_by_Sentiment!$A$2:$A$37,"-",0,1)</f>
        <v>2021-03</v>
      </c>
      <c r="E1296" cm="1">
        <f t="array" ref="E1296">IF($Q1296&gt;=0,IFERROR(generateSalesData($D1296, IF(ISNUMBER(_xlfn.XLOOKUP($C1296,Phone_by_Sentiment!$B$2:$B$37,Phone_by_Sentiment!E$2:E$37,"",0,1)),_xlfn.XLOOKUP($C1296,Phone_by_Sentiment!$B$2:$B$37,Phone_by_Sentiment!E$2:E$37,"",0,1),0),$A1296-TEXT(DATEVALUE($D1296&amp;"-01"), "dd-mm-yyyy")),0),0)</f>
        <v>561</v>
      </c>
      <c r="F1296" cm="1">
        <f t="array" ref="F1296">IF($Q1296&gt;=0,IFERROR(generateSalesData($D1296, IF(ISNUMBER(_xlfn.XLOOKUP($C1296,Phone_by_Sentiment!$B$2:$B$37,Phone_by_Sentiment!F$2:F$37,"",0,1)),_xlfn.XLOOKUP($C1296,Phone_by_Sentiment!$B$2:$B$37,Phone_by_Sentiment!F$2:F$37,"",0,1),0),$A1296-TEXT(DATEVALUE($D1296&amp;"-01"), "dd-mm-yyyy")),0),0)</f>
        <v>93</v>
      </c>
      <c r="G1296" cm="1">
        <f t="array" ref="G1296">IF($Q1296&gt;=0,IFERROR(generateSalesData($D1296, IF(ISNUMBER(_xlfn.XLOOKUP($C1296,Phone_by_Sentiment!$B$2:$B$37,Phone_by_Sentiment!G$2:G$37,"",0,1)),_xlfn.XLOOKUP($C1296,Phone_by_Sentiment!$B$2:$B$37,Phone_by_Sentiment!G$2:G$37,"",0,1),0),$A1296-TEXT(DATEVALUE($D1296&amp;"-01"), "dd-mm-yyyy")),0),0)</f>
        <v>228</v>
      </c>
      <c r="H1296" cm="1">
        <f t="array" ref="H1296">IF($Q1296&gt;=0,IFERROR(generateSalesData($D1296, IF(ISNUMBER(_xlfn.XLOOKUP($C1296,Phone_by_Sentiment!$B$2:$B$37,Phone_by_Sentiment!H$2:H$37,"",0,1)),_xlfn.XLOOKUP($C1296,Phone_by_Sentiment!$B$2:$B$37,Phone_by_Sentiment!H$2:H$37,"",0,1),0),$A1296-TEXT(DATEVALUE($D1296&amp;"-01"), "dd-mm-yyyy")),0),0)</f>
        <v>991</v>
      </c>
      <c r="I1296" cm="1">
        <f t="array" ref="I1296">IF($Q1296&gt;=0,IFERROR(generateSalesData($D1296, IF(ISNUMBER(_xlfn.XLOOKUP($C1296,Phone_by_Sentiment!$B$2:$B$37,Phone_by_Sentiment!I$2:I$37,"",0,1)),_xlfn.XLOOKUP($C1296,Phone_by_Sentiment!$B$2:$B$37,Phone_by_Sentiment!I$2:I$37,"",0,1),0),$A1296-TEXT(DATEVALUE($D1296&amp;"-01"), "dd-mm-yyyy")),0),0)</f>
        <v>924</v>
      </c>
      <c r="J1296" cm="1">
        <f t="array" ref="J1296">IF($Q1296&gt;=0,IFERROR(generateSalesData($D1296, IF(ISNUMBER(_xlfn.XLOOKUP($C1296,Phone_by_Sentiment!$B$2:$B$37,Phone_by_Sentiment!J$2:J$37,"",0,1)),_xlfn.XLOOKUP($C1296,Phone_by_Sentiment!$B$2:$B$37,Phone_by_Sentiment!J$2:J$37,"",0,1),0),$A1296-TEXT(DATEVALUE($D1296&amp;"-01"), "dd-mm-yyyy")),0),0)</f>
        <v>858</v>
      </c>
      <c r="K1296" cm="1">
        <f t="array" ref="K1296">IF($Q1296&gt;=0,IFERROR(generateSalesData($D1296, IF(ISNUMBER(_xlfn.XLOOKUP($C1296,Phone_by_Sentiment!$B$2:$B$37,Phone_by_Sentiment!K$2:K$37,"",0,1)),_xlfn.XLOOKUP($C1296,Phone_by_Sentiment!$B$2:$B$37,Phone_by_Sentiment!K$2:K$37,"",0,1),0),$A1296-TEXT(DATEVALUE($D1296&amp;"-01"), "dd-mm-yyyy")),0),0)</f>
        <v>646</v>
      </c>
      <c r="L1296" cm="1">
        <f t="array" ref="L1296">IF($Q1296&gt;=0,IFERROR(generateSalesData($D1296, IF(ISNUMBER(_xlfn.XLOOKUP($C1296,Phone_by_Sentiment!$B$2:$B$37,Phone_by_Sentiment!L$2:L$37,"",0,1)),_xlfn.XLOOKUP($C1296,Phone_by_Sentiment!$B$2:$B$37,Phone_by_Sentiment!L$2:L$37,"",0,1),0),$A1296-TEXT(DATEVALUE($D1296&amp;"-01"), "dd-mm-yyyy")),0),0)</f>
        <v>700</v>
      </c>
      <c r="M1296" cm="1">
        <f t="array" ref="M1296">IF($Q1296&gt;=0,IFERROR(generateSalesData($D1296, IF(ISNUMBER(_xlfn.XLOOKUP($C1296,Phone_by_Sentiment!$B$2:$B$37,Phone_by_Sentiment!M$2:M$37,"",0,1)),_xlfn.XLOOKUP($C1296,Phone_by_Sentiment!$B$2:$B$37,Phone_by_Sentiment!M$2:M$37,"",0,1),0),$A1296-TEXT(DATEVALUE($D1296&amp;"-01"), "dd-mm-yyyy")),0),0)</f>
        <v>110</v>
      </c>
      <c r="N1296" cm="1">
        <f t="array" ref="N1296">IF($Q1296&gt;=0,IFERROR(generateSalesData($D1296, IF(ISNUMBER(_xlfn.XLOOKUP($C1296,Phone_by_Sentiment!$B$2:$B$37,Phone_by_Sentiment!N$2:N$37,"",0,1)),_xlfn.XLOOKUP($C1296,Phone_by_Sentiment!$B$2:$B$37,Phone_by_Sentiment!N$2:N$37,"",0,1),0),$A1296-TEXT(DATEVALUE($D1296&amp;"-01"), "dd-mm-yyyy")),0),0)</f>
        <v>347</v>
      </c>
      <c r="O1296" cm="1">
        <f t="array" ref="O1296">IF($Q1296&gt;=0,IFERROR(generateSalesData($D1296, IF(ISNUMBER(_xlfn.XLOOKUP($C1296,Phone_by_Sentiment!$B$2:$B$37,Phone_by_Sentiment!O$2:O$37,"",0,1)),_xlfn.XLOOKUP($C1296,Phone_by_Sentiment!$B$2:$B$37,Phone_by_Sentiment!O$2:O$37,"",0,1),0),$A1296-TEXT(DATEVALUE($D1296&amp;"-01"), "dd-mm-yyyy")),0),0)</f>
        <v>841</v>
      </c>
      <c r="P1296" s="1">
        <f t="shared" si="51"/>
        <v>44256</v>
      </c>
      <c r="Q1296">
        <f t="shared" si="53"/>
        <v>337</v>
      </c>
    </row>
    <row r="1297" spans="1:17" x14ac:dyDescent="0.25">
      <c r="A1297" s="1">
        <f t="shared" si="48"/>
        <v>44593</v>
      </c>
      <c r="B1297" t="s">
        <v>145</v>
      </c>
      <c r="C1297" t="str">
        <f>_xlfn.XLOOKUP(B1297,Phone_by_Price!$A$2:$A$34,Phone_by_Price!$B$2:$B$34,"-",0,1)</f>
        <v>OPPO A54</v>
      </c>
      <c r="D1297" t="str">
        <f>_xlfn.XLOOKUP(C1297,Phone_by_Sentiment!$B$2:$B$37,Phone_by_Sentiment!$A$2:$A$37,"-",0,1)</f>
        <v>2021-04</v>
      </c>
      <c r="E1297" cm="1">
        <f t="array" ref="E1297">IF($Q1297&gt;=0,IFERROR(generateSalesData($D1297, IF(ISNUMBER(_xlfn.XLOOKUP($C1297,Phone_by_Sentiment!$B$2:$B$37,Phone_by_Sentiment!E$2:E$37,"",0,1)),_xlfn.XLOOKUP($C1297,Phone_by_Sentiment!$B$2:$B$37,Phone_by_Sentiment!E$2:E$37,"",0,1),0),$A1297-TEXT(DATEVALUE($D1297&amp;"-01"), "dd-mm-yyyy")),0),0)</f>
        <v>459</v>
      </c>
      <c r="F1297" cm="1">
        <f t="array" ref="F1297">IF($Q1297&gt;=0,IFERROR(generateSalesData($D1297, IF(ISNUMBER(_xlfn.XLOOKUP($C1297,Phone_by_Sentiment!$B$2:$B$37,Phone_by_Sentiment!F$2:F$37,"",0,1)),_xlfn.XLOOKUP($C1297,Phone_by_Sentiment!$B$2:$B$37,Phone_by_Sentiment!F$2:F$37,"",0,1),0),$A1297-TEXT(DATEVALUE($D1297&amp;"-01"), "dd-mm-yyyy")),0),0)</f>
        <v>41</v>
      </c>
      <c r="G1297" cm="1">
        <f t="array" ref="G1297">IF($Q1297&gt;=0,IFERROR(generateSalesData($D1297, IF(ISNUMBER(_xlfn.XLOOKUP($C1297,Phone_by_Sentiment!$B$2:$B$37,Phone_by_Sentiment!G$2:G$37,"",0,1)),_xlfn.XLOOKUP($C1297,Phone_by_Sentiment!$B$2:$B$37,Phone_by_Sentiment!G$2:G$37,"",0,1),0),$A1297-TEXT(DATEVALUE($D1297&amp;"-01"), "dd-mm-yyyy")),0),0)</f>
        <v>184</v>
      </c>
      <c r="H1297" cm="1">
        <f t="array" ref="H1297">IF($Q1297&gt;=0,IFERROR(generateSalesData($D1297, IF(ISNUMBER(_xlfn.XLOOKUP($C1297,Phone_by_Sentiment!$B$2:$B$37,Phone_by_Sentiment!H$2:H$37,"",0,1)),_xlfn.XLOOKUP($C1297,Phone_by_Sentiment!$B$2:$B$37,Phone_by_Sentiment!H$2:H$37,"",0,1),0),$A1297-TEXT(DATEVALUE($D1297&amp;"-01"), "dd-mm-yyyy")),0),0)</f>
        <v>442</v>
      </c>
      <c r="I1297" cm="1">
        <f t="array" ref="I1297">IF($Q1297&gt;=0,IFERROR(generateSalesData($D1297, IF(ISNUMBER(_xlfn.XLOOKUP($C1297,Phone_by_Sentiment!$B$2:$B$37,Phone_by_Sentiment!I$2:I$37,"",0,1)),_xlfn.XLOOKUP($C1297,Phone_by_Sentiment!$B$2:$B$37,Phone_by_Sentiment!I$2:I$37,"",0,1),0),$A1297-TEXT(DATEVALUE($D1297&amp;"-01"), "dd-mm-yyyy")),0),0)</f>
        <v>1156</v>
      </c>
      <c r="J1297" cm="1">
        <f t="array" ref="J1297">IF($Q1297&gt;=0,IFERROR(generateSalesData($D1297, IF(ISNUMBER(_xlfn.XLOOKUP($C1297,Phone_by_Sentiment!$B$2:$B$37,Phone_by_Sentiment!J$2:J$37,"",0,1)),_xlfn.XLOOKUP($C1297,Phone_by_Sentiment!$B$2:$B$37,Phone_by_Sentiment!J$2:J$37,"",0,1),0),$A1297-TEXT(DATEVALUE($D1297&amp;"-01"), "dd-mm-yyyy")),0),0)</f>
        <v>300</v>
      </c>
      <c r="K1297" cm="1">
        <f t="array" ref="K1297">IF($Q1297&gt;=0,IFERROR(generateSalesData($D1297, IF(ISNUMBER(_xlfn.XLOOKUP($C1297,Phone_by_Sentiment!$B$2:$B$37,Phone_by_Sentiment!K$2:K$37,"",0,1)),_xlfn.XLOOKUP($C1297,Phone_by_Sentiment!$B$2:$B$37,Phone_by_Sentiment!K$2:K$37,"",0,1),0),$A1297-TEXT(DATEVALUE($D1297&amp;"-01"), "dd-mm-yyyy")),0),0)</f>
        <v>302</v>
      </c>
      <c r="L1297" cm="1">
        <f t="array" ref="L1297">IF($Q1297&gt;=0,IFERROR(generateSalesData($D1297, IF(ISNUMBER(_xlfn.XLOOKUP($C1297,Phone_by_Sentiment!$B$2:$B$37,Phone_by_Sentiment!L$2:L$37,"",0,1)),_xlfn.XLOOKUP($C1297,Phone_by_Sentiment!$B$2:$B$37,Phone_by_Sentiment!L$2:L$37,"",0,1),0),$A1297-TEXT(DATEVALUE($D1297&amp;"-01"), "dd-mm-yyyy")),0),0)</f>
        <v>779</v>
      </c>
      <c r="M1297" cm="1">
        <f t="array" ref="M1297">IF($Q1297&gt;=0,IFERROR(generateSalesData($D1297, IF(ISNUMBER(_xlfn.XLOOKUP($C1297,Phone_by_Sentiment!$B$2:$B$37,Phone_by_Sentiment!M$2:M$37,"",0,1)),_xlfn.XLOOKUP($C1297,Phone_by_Sentiment!$B$2:$B$37,Phone_by_Sentiment!M$2:M$37,"",0,1),0),$A1297-TEXT(DATEVALUE($D1297&amp;"-01"), "dd-mm-yyyy")),0),0)</f>
        <v>251</v>
      </c>
      <c r="N1297" cm="1">
        <f t="array" ref="N1297">IF($Q1297&gt;=0,IFERROR(generateSalesData($D1297, IF(ISNUMBER(_xlfn.XLOOKUP($C1297,Phone_by_Sentiment!$B$2:$B$37,Phone_by_Sentiment!N$2:N$37,"",0,1)),_xlfn.XLOOKUP($C1297,Phone_by_Sentiment!$B$2:$B$37,Phone_by_Sentiment!N$2:N$37,"",0,1),0),$A1297-TEXT(DATEVALUE($D1297&amp;"-01"), "dd-mm-yyyy")),0),0)</f>
        <v>421</v>
      </c>
      <c r="O1297" cm="1">
        <f t="array" ref="O1297">IF($Q1297&gt;=0,IFERROR(generateSalesData($D1297, IF(ISNUMBER(_xlfn.XLOOKUP($C1297,Phone_by_Sentiment!$B$2:$B$37,Phone_by_Sentiment!O$2:O$37,"",0,1)),_xlfn.XLOOKUP($C1297,Phone_by_Sentiment!$B$2:$B$37,Phone_by_Sentiment!O$2:O$37,"",0,1),0),$A1297-TEXT(DATEVALUE($D1297&amp;"-01"), "dd-mm-yyyy")),0),0)</f>
        <v>76</v>
      </c>
      <c r="P1297" s="1">
        <f t="shared" si="51"/>
        <v>44287</v>
      </c>
      <c r="Q1297">
        <f t="shared" si="53"/>
        <v>306</v>
      </c>
    </row>
    <row r="1298" spans="1:17" x14ac:dyDescent="0.25">
      <c r="A1298" s="1">
        <f t="shared" si="48"/>
        <v>44593</v>
      </c>
      <c r="B1298" t="s">
        <v>146</v>
      </c>
      <c r="C1298" t="str">
        <f>_xlfn.XLOOKUP(B1298,Phone_by_Price!$A$2:$A$34,Phone_by_Price!$B$2:$B$34,"-",0,1)</f>
        <v>Vivo Y20</v>
      </c>
      <c r="D1298" t="str">
        <f>_xlfn.XLOOKUP(C1298,Phone_by_Sentiment!$B$2:$B$37,Phone_by_Sentiment!$A$2:$A$37,"-",0,1)</f>
        <v>2020-09</v>
      </c>
      <c r="E1298" cm="1">
        <f t="array" ref="E1298">IF($Q1298&gt;=0,IFERROR(generateSalesData($D1298, IF(ISNUMBER(_xlfn.XLOOKUP($C1298,Phone_by_Sentiment!$B$2:$B$37,Phone_by_Sentiment!E$2:E$37,"",0,1)),_xlfn.XLOOKUP($C1298,Phone_by_Sentiment!$B$2:$B$37,Phone_by_Sentiment!E$2:E$37,"",0,1),0),$A1298-TEXT(DATEVALUE($D1298&amp;"-01"), "dd-mm-yyyy")),0),0)</f>
        <v>444</v>
      </c>
      <c r="F1298" cm="1">
        <f t="array" ref="F1298">IF($Q1298&gt;=0,IFERROR(generateSalesData($D1298, IF(ISNUMBER(_xlfn.XLOOKUP($C1298,Phone_by_Sentiment!$B$2:$B$37,Phone_by_Sentiment!F$2:F$37,"",0,1)),_xlfn.XLOOKUP($C1298,Phone_by_Sentiment!$B$2:$B$37,Phone_by_Sentiment!F$2:F$37,"",0,1),0),$A1298-TEXT(DATEVALUE($D1298&amp;"-01"), "dd-mm-yyyy")),0),0)</f>
        <v>145</v>
      </c>
      <c r="G1298" cm="1">
        <f t="array" ref="G1298">IF($Q1298&gt;=0,IFERROR(generateSalesData($D1298, IF(ISNUMBER(_xlfn.XLOOKUP($C1298,Phone_by_Sentiment!$B$2:$B$37,Phone_by_Sentiment!G$2:G$37,"",0,1)),_xlfn.XLOOKUP($C1298,Phone_by_Sentiment!$B$2:$B$37,Phone_by_Sentiment!G$2:G$37,"",0,1),0),$A1298-TEXT(DATEVALUE($D1298&amp;"-01"), "dd-mm-yyyy")),0),0)</f>
        <v>131</v>
      </c>
      <c r="H1298" cm="1">
        <f t="array" ref="H1298">IF($Q1298&gt;=0,IFERROR(generateSalesData($D1298, IF(ISNUMBER(_xlfn.XLOOKUP($C1298,Phone_by_Sentiment!$B$2:$B$37,Phone_by_Sentiment!H$2:H$37,"",0,1)),_xlfn.XLOOKUP($C1298,Phone_by_Sentiment!$B$2:$B$37,Phone_by_Sentiment!H$2:H$37,"",0,1),0),$A1298-TEXT(DATEVALUE($D1298&amp;"-01"), "dd-mm-yyyy")),0),0)</f>
        <v>53</v>
      </c>
      <c r="I1298" cm="1">
        <f t="array" ref="I1298">IF($Q1298&gt;=0,IFERROR(generateSalesData($D1298, IF(ISNUMBER(_xlfn.XLOOKUP($C1298,Phone_by_Sentiment!$B$2:$B$37,Phone_by_Sentiment!I$2:I$37,"",0,1)),_xlfn.XLOOKUP($C1298,Phone_by_Sentiment!$B$2:$B$37,Phone_by_Sentiment!I$2:I$37,"",0,1),0),$A1298-TEXT(DATEVALUE($D1298&amp;"-01"), "dd-mm-yyyy")),0),0)</f>
        <v>81</v>
      </c>
      <c r="J1298" cm="1">
        <f t="array" ref="J1298">IF($Q1298&gt;=0,IFERROR(generateSalesData($D1298, IF(ISNUMBER(_xlfn.XLOOKUP($C1298,Phone_by_Sentiment!$B$2:$B$37,Phone_by_Sentiment!J$2:J$37,"",0,1)),_xlfn.XLOOKUP($C1298,Phone_by_Sentiment!$B$2:$B$37,Phone_by_Sentiment!J$2:J$37,"",0,1),0),$A1298-TEXT(DATEVALUE($D1298&amp;"-01"), "dd-mm-yyyy")),0),0)</f>
        <v>123</v>
      </c>
      <c r="K1298" cm="1">
        <f t="array" ref="K1298">IF($Q1298&gt;=0,IFERROR(generateSalesData($D1298, IF(ISNUMBER(_xlfn.XLOOKUP($C1298,Phone_by_Sentiment!$B$2:$B$37,Phone_by_Sentiment!K$2:K$37,"",0,1)),_xlfn.XLOOKUP($C1298,Phone_by_Sentiment!$B$2:$B$37,Phone_by_Sentiment!K$2:K$37,"",0,1),0),$A1298-TEXT(DATEVALUE($D1298&amp;"-01"), "dd-mm-yyyy")),0),0)</f>
        <v>183</v>
      </c>
      <c r="L1298" cm="1">
        <f t="array" ref="L1298">IF($Q1298&gt;=0,IFERROR(generateSalesData($D1298, IF(ISNUMBER(_xlfn.XLOOKUP($C1298,Phone_by_Sentiment!$B$2:$B$37,Phone_by_Sentiment!L$2:L$37,"",0,1)),_xlfn.XLOOKUP($C1298,Phone_by_Sentiment!$B$2:$B$37,Phone_by_Sentiment!L$2:L$37,"",0,1),0),$A1298-TEXT(DATEVALUE($D1298&amp;"-01"), "dd-mm-yyyy")),0),0)</f>
        <v>379</v>
      </c>
      <c r="M1298" cm="1">
        <f t="array" ref="M1298">IF($Q1298&gt;=0,IFERROR(generateSalesData($D1298, IF(ISNUMBER(_xlfn.XLOOKUP($C1298,Phone_by_Sentiment!$B$2:$B$37,Phone_by_Sentiment!M$2:M$37,"",0,1)),_xlfn.XLOOKUP($C1298,Phone_by_Sentiment!$B$2:$B$37,Phone_by_Sentiment!M$2:M$37,"",0,1),0),$A1298-TEXT(DATEVALUE($D1298&amp;"-01"), "dd-mm-yyyy")),0),0)</f>
        <v>145</v>
      </c>
      <c r="N1298" cm="1">
        <f t="array" ref="N1298">IF($Q1298&gt;=0,IFERROR(generateSalesData($D1298, IF(ISNUMBER(_xlfn.XLOOKUP($C1298,Phone_by_Sentiment!$B$2:$B$37,Phone_by_Sentiment!N$2:N$37,"",0,1)),_xlfn.XLOOKUP($C1298,Phone_by_Sentiment!$B$2:$B$37,Phone_by_Sentiment!N$2:N$37,"",0,1),0),$A1298-TEXT(DATEVALUE($D1298&amp;"-01"), "dd-mm-yyyy")),0),0)</f>
        <v>24</v>
      </c>
      <c r="O1298" cm="1">
        <f t="array" ref="O1298">IF($Q1298&gt;=0,IFERROR(generateSalesData($D1298, IF(ISNUMBER(_xlfn.XLOOKUP($C1298,Phone_by_Sentiment!$B$2:$B$37,Phone_by_Sentiment!O$2:O$37,"",0,1)),_xlfn.XLOOKUP($C1298,Phone_by_Sentiment!$B$2:$B$37,Phone_by_Sentiment!O$2:O$37,"",0,1),0),$A1298-TEXT(DATEVALUE($D1298&amp;"-01"), "dd-mm-yyyy")),0),0)</f>
        <v>121</v>
      </c>
      <c r="P1298" s="1">
        <f t="shared" si="51"/>
        <v>44075</v>
      </c>
      <c r="Q1298">
        <f t="shared" si="53"/>
        <v>518</v>
      </c>
    </row>
    <row r="1299" spans="1:17" x14ac:dyDescent="0.25">
      <c r="A1299" s="1">
        <f t="shared" si="48"/>
        <v>44593</v>
      </c>
      <c r="B1299" t="s">
        <v>147</v>
      </c>
      <c r="C1299" t="str">
        <f>_xlfn.XLOOKUP(B1299,Phone_by_Price!$A$2:$A$34,Phone_by_Price!$B$2:$B$34,"-",0,1)</f>
        <v>Huawei Y9a</v>
      </c>
      <c r="D1299" t="str">
        <f>_xlfn.XLOOKUP(C1299,Phone_by_Sentiment!$B$2:$B$37,Phone_by_Sentiment!$A$2:$A$37,"-",0,1)</f>
        <v>2020-02</v>
      </c>
      <c r="E1299" cm="1">
        <f t="array" ref="E1299">IF($Q1299&gt;=0,IFERROR(generateSalesData($D1299, IF(ISNUMBER(_xlfn.XLOOKUP($C1299,Phone_by_Sentiment!$B$2:$B$37,Phone_by_Sentiment!E$2:E$37,"",0,1)),_xlfn.XLOOKUP($C1299,Phone_by_Sentiment!$B$2:$B$37,Phone_by_Sentiment!E$2:E$37,"",0,1),0),$A1299-TEXT(DATEVALUE($D1299&amp;"-01"), "dd-mm-yyyy")),0),0)</f>
        <v>122</v>
      </c>
      <c r="F1299" cm="1">
        <f t="array" ref="F1299">IF($Q1299&gt;=0,IFERROR(generateSalesData($D1299, IF(ISNUMBER(_xlfn.XLOOKUP($C1299,Phone_by_Sentiment!$B$2:$B$37,Phone_by_Sentiment!F$2:F$37,"",0,1)),_xlfn.XLOOKUP($C1299,Phone_by_Sentiment!$B$2:$B$37,Phone_by_Sentiment!F$2:F$37,"",0,1),0),$A1299-TEXT(DATEVALUE($D1299&amp;"-01"), "dd-mm-yyyy")),0),0)</f>
        <v>320</v>
      </c>
      <c r="G1299" cm="1">
        <f t="array" ref="G1299">IF($Q1299&gt;=0,IFERROR(generateSalesData($D1299, IF(ISNUMBER(_xlfn.XLOOKUP($C1299,Phone_by_Sentiment!$B$2:$B$37,Phone_by_Sentiment!G$2:G$37,"",0,1)),_xlfn.XLOOKUP($C1299,Phone_by_Sentiment!$B$2:$B$37,Phone_by_Sentiment!G$2:G$37,"",0,1),0),$A1299-TEXT(DATEVALUE($D1299&amp;"-01"), "dd-mm-yyyy")),0),0)</f>
        <v>64</v>
      </c>
      <c r="H1299" cm="1">
        <f t="array" ref="H1299">IF($Q1299&gt;=0,IFERROR(generateSalesData($D1299, IF(ISNUMBER(_xlfn.XLOOKUP($C1299,Phone_by_Sentiment!$B$2:$B$37,Phone_by_Sentiment!H$2:H$37,"",0,1)),_xlfn.XLOOKUP($C1299,Phone_by_Sentiment!$B$2:$B$37,Phone_by_Sentiment!H$2:H$37,"",0,1),0),$A1299-TEXT(DATEVALUE($D1299&amp;"-01"), "dd-mm-yyyy")),0),0)</f>
        <v>123</v>
      </c>
      <c r="I1299" cm="1">
        <f t="array" ref="I1299">IF($Q1299&gt;=0,IFERROR(generateSalesData($D1299, IF(ISNUMBER(_xlfn.XLOOKUP($C1299,Phone_by_Sentiment!$B$2:$B$37,Phone_by_Sentiment!I$2:I$37,"",0,1)),_xlfn.XLOOKUP($C1299,Phone_by_Sentiment!$B$2:$B$37,Phone_by_Sentiment!I$2:I$37,"",0,1),0),$A1299-TEXT(DATEVALUE($D1299&amp;"-01"), "dd-mm-yyyy")),0),0)</f>
        <v>94</v>
      </c>
      <c r="J1299" cm="1">
        <f t="array" ref="J1299">IF($Q1299&gt;=0,IFERROR(generateSalesData($D1299, IF(ISNUMBER(_xlfn.XLOOKUP($C1299,Phone_by_Sentiment!$B$2:$B$37,Phone_by_Sentiment!J$2:J$37,"",0,1)),_xlfn.XLOOKUP($C1299,Phone_by_Sentiment!$B$2:$B$37,Phone_by_Sentiment!J$2:J$37,"",0,1),0),$A1299-TEXT(DATEVALUE($D1299&amp;"-01"), "dd-mm-yyyy")),0),0)</f>
        <v>80</v>
      </c>
      <c r="K1299" cm="1">
        <f t="array" ref="K1299">IF($Q1299&gt;=0,IFERROR(generateSalesData($D1299, IF(ISNUMBER(_xlfn.XLOOKUP($C1299,Phone_by_Sentiment!$B$2:$B$37,Phone_by_Sentiment!K$2:K$37,"",0,1)),_xlfn.XLOOKUP($C1299,Phone_by_Sentiment!$B$2:$B$37,Phone_by_Sentiment!K$2:K$37,"",0,1),0),$A1299-TEXT(DATEVALUE($D1299&amp;"-01"), "dd-mm-yyyy")),0),0)</f>
        <v>59</v>
      </c>
      <c r="L1299" cm="1">
        <f t="array" ref="L1299">IF($Q1299&gt;=0,IFERROR(generateSalesData($D1299, IF(ISNUMBER(_xlfn.XLOOKUP($C1299,Phone_by_Sentiment!$B$2:$B$37,Phone_by_Sentiment!L$2:L$37,"",0,1)),_xlfn.XLOOKUP($C1299,Phone_by_Sentiment!$B$2:$B$37,Phone_by_Sentiment!L$2:L$37,"",0,1),0),$A1299-TEXT(DATEVALUE($D1299&amp;"-01"), "dd-mm-yyyy")),0),0)</f>
        <v>5</v>
      </c>
      <c r="M1299" cm="1">
        <f t="array" ref="M1299">IF($Q1299&gt;=0,IFERROR(generateSalesData($D1299, IF(ISNUMBER(_xlfn.XLOOKUP($C1299,Phone_by_Sentiment!$B$2:$B$37,Phone_by_Sentiment!M$2:M$37,"",0,1)),_xlfn.XLOOKUP($C1299,Phone_by_Sentiment!$B$2:$B$37,Phone_by_Sentiment!M$2:M$37,"",0,1),0),$A1299-TEXT(DATEVALUE($D1299&amp;"-01"), "dd-mm-yyyy")),0),0)</f>
        <v>41</v>
      </c>
      <c r="N1299" cm="1">
        <f t="array" ref="N1299">IF($Q1299&gt;=0,IFERROR(generateSalesData($D1299, IF(ISNUMBER(_xlfn.XLOOKUP($C1299,Phone_by_Sentiment!$B$2:$B$37,Phone_by_Sentiment!N$2:N$37,"",0,1)),_xlfn.XLOOKUP($C1299,Phone_by_Sentiment!$B$2:$B$37,Phone_by_Sentiment!N$2:N$37,"",0,1),0),$A1299-TEXT(DATEVALUE($D1299&amp;"-01"), "dd-mm-yyyy")),0),0)</f>
        <v>119</v>
      </c>
      <c r="O1299" cm="1">
        <f t="array" ref="O1299">IF($Q1299&gt;=0,IFERROR(generateSalesData($D1299, IF(ISNUMBER(_xlfn.XLOOKUP($C1299,Phone_by_Sentiment!$B$2:$B$37,Phone_by_Sentiment!O$2:O$37,"",0,1)),_xlfn.XLOOKUP($C1299,Phone_by_Sentiment!$B$2:$B$37,Phone_by_Sentiment!O$2:O$37,"",0,1),0),$A1299-TEXT(DATEVALUE($D1299&amp;"-01"), "dd-mm-yyyy")),0),0)</f>
        <v>125</v>
      </c>
      <c r="P1299" s="1">
        <f t="shared" si="51"/>
        <v>43862</v>
      </c>
      <c r="Q1299">
        <f t="shared" si="53"/>
        <v>731</v>
      </c>
    </row>
    <row r="1300" spans="1:17" x14ac:dyDescent="0.25">
      <c r="A1300" s="1">
        <f t="shared" si="48"/>
        <v>44593</v>
      </c>
      <c r="B1300" t="s">
        <v>148</v>
      </c>
      <c r="C1300" t="str">
        <f>_xlfn.XLOOKUP(B1300,Phone_by_Price!$A$2:$A$34,Phone_by_Price!$B$2:$B$34,"-",0,1)</f>
        <v>Xiaomi Redmi 10</v>
      </c>
      <c r="D1300" t="str">
        <f>_xlfn.XLOOKUP(C1300,Phone_by_Sentiment!$B$2:$B$37,Phone_by_Sentiment!$A$2:$A$37,"-",0,1)</f>
        <v>2021-03</v>
      </c>
      <c r="E1300" cm="1">
        <f t="array" ref="E1300">IF($Q1300&gt;=0,IFERROR(generateSalesData($D1300, IF(ISNUMBER(_xlfn.XLOOKUP($C1300,Phone_by_Sentiment!$B$2:$B$37,Phone_by_Sentiment!E$2:E$37,"",0,1)),_xlfn.XLOOKUP($C1300,Phone_by_Sentiment!$B$2:$B$37,Phone_by_Sentiment!E$2:E$37,"",0,1),0),$A1300-TEXT(DATEVALUE($D1300&amp;"-01"), "dd-mm-yyyy")),0),0)</f>
        <v>221</v>
      </c>
      <c r="F1300" cm="1">
        <f t="array" ref="F1300">IF($Q1300&gt;=0,IFERROR(generateSalesData($D1300, IF(ISNUMBER(_xlfn.XLOOKUP($C1300,Phone_by_Sentiment!$B$2:$B$37,Phone_by_Sentiment!F$2:F$37,"",0,1)),_xlfn.XLOOKUP($C1300,Phone_by_Sentiment!$B$2:$B$37,Phone_by_Sentiment!F$2:F$37,"",0,1),0),$A1300-TEXT(DATEVALUE($D1300&amp;"-01"), "dd-mm-yyyy")),0),0)</f>
        <v>219</v>
      </c>
      <c r="G1300" cm="1">
        <f t="array" ref="G1300">IF($Q1300&gt;=0,IFERROR(generateSalesData($D1300, IF(ISNUMBER(_xlfn.XLOOKUP($C1300,Phone_by_Sentiment!$B$2:$B$37,Phone_by_Sentiment!G$2:G$37,"",0,1)),_xlfn.XLOOKUP($C1300,Phone_by_Sentiment!$B$2:$B$37,Phone_by_Sentiment!G$2:G$37,"",0,1),0),$A1300-TEXT(DATEVALUE($D1300&amp;"-01"), "dd-mm-yyyy")),0),0)</f>
        <v>124</v>
      </c>
      <c r="H1300" cm="1">
        <f t="array" ref="H1300">IF($Q1300&gt;=0,IFERROR(generateSalesData($D1300, IF(ISNUMBER(_xlfn.XLOOKUP($C1300,Phone_by_Sentiment!$B$2:$B$37,Phone_by_Sentiment!H$2:H$37,"",0,1)),_xlfn.XLOOKUP($C1300,Phone_by_Sentiment!$B$2:$B$37,Phone_by_Sentiment!H$2:H$37,"",0,1),0),$A1300-TEXT(DATEVALUE($D1300&amp;"-01"), "dd-mm-yyyy")),0),0)</f>
        <v>384</v>
      </c>
      <c r="I1300" cm="1">
        <f t="array" ref="I1300">IF($Q1300&gt;=0,IFERROR(generateSalesData($D1300, IF(ISNUMBER(_xlfn.XLOOKUP($C1300,Phone_by_Sentiment!$B$2:$B$37,Phone_by_Sentiment!I$2:I$37,"",0,1)),_xlfn.XLOOKUP($C1300,Phone_by_Sentiment!$B$2:$B$37,Phone_by_Sentiment!I$2:I$37,"",0,1),0),$A1300-TEXT(DATEVALUE($D1300&amp;"-01"), "dd-mm-yyyy")),0),0)</f>
        <v>101</v>
      </c>
      <c r="J1300" cm="1">
        <f t="array" ref="J1300">IF($Q1300&gt;=0,IFERROR(generateSalesData($D1300, IF(ISNUMBER(_xlfn.XLOOKUP($C1300,Phone_by_Sentiment!$B$2:$B$37,Phone_by_Sentiment!J$2:J$37,"",0,1)),_xlfn.XLOOKUP($C1300,Phone_by_Sentiment!$B$2:$B$37,Phone_by_Sentiment!J$2:J$37,"",0,1),0),$A1300-TEXT(DATEVALUE($D1300&amp;"-01"), "dd-mm-yyyy")),0),0)</f>
        <v>140</v>
      </c>
      <c r="K1300" cm="1">
        <f t="array" ref="K1300">IF($Q1300&gt;=0,IFERROR(generateSalesData($D1300, IF(ISNUMBER(_xlfn.XLOOKUP($C1300,Phone_by_Sentiment!$B$2:$B$37,Phone_by_Sentiment!K$2:K$37,"",0,1)),_xlfn.XLOOKUP($C1300,Phone_by_Sentiment!$B$2:$B$37,Phone_by_Sentiment!K$2:K$37,"",0,1),0),$A1300-TEXT(DATEVALUE($D1300&amp;"-01"), "dd-mm-yyyy")),0),0)</f>
        <v>646</v>
      </c>
      <c r="L1300" cm="1">
        <f t="array" ref="L1300">IF($Q1300&gt;=0,IFERROR(generateSalesData($D1300, IF(ISNUMBER(_xlfn.XLOOKUP($C1300,Phone_by_Sentiment!$B$2:$B$37,Phone_by_Sentiment!L$2:L$37,"",0,1)),_xlfn.XLOOKUP($C1300,Phone_by_Sentiment!$B$2:$B$37,Phone_by_Sentiment!L$2:L$37,"",0,1),0),$A1300-TEXT(DATEVALUE($D1300&amp;"-01"), "dd-mm-yyyy")),0),0)</f>
        <v>207</v>
      </c>
      <c r="M1300" cm="1">
        <f t="array" ref="M1300">IF($Q1300&gt;=0,IFERROR(generateSalesData($D1300, IF(ISNUMBER(_xlfn.XLOOKUP($C1300,Phone_by_Sentiment!$B$2:$B$37,Phone_by_Sentiment!M$2:M$37,"",0,1)),_xlfn.XLOOKUP($C1300,Phone_by_Sentiment!$B$2:$B$37,Phone_by_Sentiment!M$2:M$37,"",0,1),0),$A1300-TEXT(DATEVALUE($D1300&amp;"-01"), "dd-mm-yyyy")),0),0)</f>
        <v>52</v>
      </c>
      <c r="N1300" cm="1">
        <f t="array" ref="N1300">IF($Q1300&gt;=0,IFERROR(generateSalesData($D1300, IF(ISNUMBER(_xlfn.XLOOKUP($C1300,Phone_by_Sentiment!$B$2:$B$37,Phone_by_Sentiment!N$2:N$37,"",0,1)),_xlfn.XLOOKUP($C1300,Phone_by_Sentiment!$B$2:$B$37,Phone_by_Sentiment!N$2:N$37,"",0,1),0),$A1300-TEXT(DATEVALUE($D1300&amp;"-01"), "dd-mm-yyyy")),0),0)</f>
        <v>603</v>
      </c>
      <c r="O1300" cm="1">
        <f t="array" ref="O1300">IF($Q1300&gt;=0,IFERROR(generateSalesData($D1300, IF(ISNUMBER(_xlfn.XLOOKUP($C1300,Phone_by_Sentiment!$B$2:$B$37,Phone_by_Sentiment!O$2:O$37,"",0,1)),_xlfn.XLOOKUP($C1300,Phone_by_Sentiment!$B$2:$B$37,Phone_by_Sentiment!O$2:O$37,"",0,1),0),$A1300-TEXT(DATEVALUE($D1300&amp;"-01"), "dd-mm-yyyy")),0),0)</f>
        <v>681</v>
      </c>
      <c r="P1300" s="1">
        <f t="shared" si="51"/>
        <v>44256</v>
      </c>
      <c r="Q1300">
        <f t="shared" si="53"/>
        <v>337</v>
      </c>
    </row>
    <row r="1301" spans="1:17" x14ac:dyDescent="0.25">
      <c r="A1301" s="1">
        <f t="shared" si="48"/>
        <v>44593</v>
      </c>
      <c r="B1301" t="s">
        <v>149</v>
      </c>
      <c r="C1301" t="str">
        <f>_xlfn.XLOOKUP(B1301,Phone_by_Price!$A$2:$A$34,Phone_by_Price!$B$2:$B$34,"-",0,1)</f>
        <v>Samsung Galaxy A52</v>
      </c>
      <c r="D1301" t="str">
        <f>_xlfn.XLOOKUP(C1301,Phone_by_Sentiment!$B$2:$B$37,Phone_by_Sentiment!$A$2:$A$37,"-",0,1)</f>
        <v>2021-03</v>
      </c>
      <c r="E1301" cm="1">
        <f t="array" ref="E1301">IF($Q1301&gt;=0,IFERROR(generateSalesData($D1301, IF(ISNUMBER(_xlfn.XLOOKUP($C1301,Phone_by_Sentiment!$B$2:$B$37,Phone_by_Sentiment!E$2:E$37,"",0,1)),_xlfn.XLOOKUP($C1301,Phone_by_Sentiment!$B$2:$B$37,Phone_by_Sentiment!E$2:E$37,"",0,1),0),$A1301-TEXT(DATEVALUE($D1301&amp;"-01"), "dd-mm-yyyy")),0),0)</f>
        <v>869</v>
      </c>
      <c r="F1301" cm="1">
        <f t="array" ref="F1301">IF($Q1301&gt;=0,IFERROR(generateSalesData($D1301, IF(ISNUMBER(_xlfn.XLOOKUP($C1301,Phone_by_Sentiment!$B$2:$B$37,Phone_by_Sentiment!F$2:F$37,"",0,1)),_xlfn.XLOOKUP($C1301,Phone_by_Sentiment!$B$2:$B$37,Phone_by_Sentiment!F$2:F$37,"",0,1),0),$A1301-TEXT(DATEVALUE($D1301&amp;"-01"), "dd-mm-yyyy")),0),0)</f>
        <v>567</v>
      </c>
      <c r="G1301" cm="1">
        <f t="array" ref="G1301">IF($Q1301&gt;=0,IFERROR(generateSalesData($D1301, IF(ISNUMBER(_xlfn.XLOOKUP($C1301,Phone_by_Sentiment!$B$2:$B$37,Phone_by_Sentiment!G$2:G$37,"",0,1)),_xlfn.XLOOKUP($C1301,Phone_by_Sentiment!$B$2:$B$37,Phone_by_Sentiment!G$2:G$37,"",0,1),0),$A1301-TEXT(DATEVALUE($D1301&amp;"-01"), "dd-mm-yyyy")),0),0)</f>
        <v>305</v>
      </c>
      <c r="H1301" cm="1">
        <f t="array" ref="H1301">IF($Q1301&gt;=0,IFERROR(generateSalesData($D1301, IF(ISNUMBER(_xlfn.XLOOKUP($C1301,Phone_by_Sentiment!$B$2:$B$37,Phone_by_Sentiment!H$2:H$37,"",0,1)),_xlfn.XLOOKUP($C1301,Phone_by_Sentiment!$B$2:$B$37,Phone_by_Sentiment!H$2:H$37,"",0,1),0),$A1301-TEXT(DATEVALUE($D1301&amp;"-01"), "dd-mm-yyyy")),0),0)</f>
        <v>86</v>
      </c>
      <c r="I1301" cm="1">
        <f t="array" ref="I1301">IF($Q1301&gt;=0,IFERROR(generateSalesData($D1301, IF(ISNUMBER(_xlfn.XLOOKUP($C1301,Phone_by_Sentiment!$B$2:$B$37,Phone_by_Sentiment!I$2:I$37,"",0,1)),_xlfn.XLOOKUP($C1301,Phone_by_Sentiment!$B$2:$B$37,Phone_by_Sentiment!I$2:I$37,"",0,1),0),$A1301-TEXT(DATEVALUE($D1301&amp;"-01"), "dd-mm-yyyy")),0),0)</f>
        <v>588</v>
      </c>
      <c r="J1301" cm="1">
        <f t="array" ref="J1301">IF($Q1301&gt;=0,IFERROR(generateSalesData($D1301, IF(ISNUMBER(_xlfn.XLOOKUP($C1301,Phone_by_Sentiment!$B$2:$B$37,Phone_by_Sentiment!J$2:J$37,"",0,1)),_xlfn.XLOOKUP($C1301,Phone_by_Sentiment!$B$2:$B$37,Phone_by_Sentiment!J$2:J$37,"",0,1),0),$A1301-TEXT(DATEVALUE($D1301&amp;"-01"), "dd-mm-yyyy")),0),0)</f>
        <v>800</v>
      </c>
      <c r="K1301" cm="1">
        <f t="array" ref="K1301">IF($Q1301&gt;=0,IFERROR(generateSalesData($D1301, IF(ISNUMBER(_xlfn.XLOOKUP($C1301,Phone_by_Sentiment!$B$2:$B$37,Phone_by_Sentiment!K$2:K$37,"",0,1)),_xlfn.XLOOKUP($C1301,Phone_by_Sentiment!$B$2:$B$37,Phone_by_Sentiment!K$2:K$37,"",0,1),0),$A1301-TEXT(DATEVALUE($D1301&amp;"-01"), "dd-mm-yyyy")),0),0)</f>
        <v>1200</v>
      </c>
      <c r="L1301" cm="1">
        <f t="array" ref="L1301">IF($Q1301&gt;=0,IFERROR(generateSalesData($D1301, IF(ISNUMBER(_xlfn.XLOOKUP($C1301,Phone_by_Sentiment!$B$2:$B$37,Phone_by_Sentiment!L$2:L$37,"",0,1)),_xlfn.XLOOKUP($C1301,Phone_by_Sentiment!$B$2:$B$37,Phone_by_Sentiment!L$2:L$37,"",0,1),0),$A1301-TEXT(DATEVALUE($D1301&amp;"-01"), "dd-mm-yyyy")),0),0)</f>
        <v>744</v>
      </c>
      <c r="M1301" cm="1">
        <f t="array" ref="M1301">IF($Q1301&gt;=0,IFERROR(generateSalesData($D1301, IF(ISNUMBER(_xlfn.XLOOKUP($C1301,Phone_by_Sentiment!$B$2:$B$37,Phone_by_Sentiment!M$2:M$37,"",0,1)),_xlfn.XLOOKUP($C1301,Phone_by_Sentiment!$B$2:$B$37,Phone_by_Sentiment!M$2:M$37,"",0,1),0),$A1301-TEXT(DATEVALUE($D1301&amp;"-01"), "dd-mm-yyyy")),0),0)</f>
        <v>885</v>
      </c>
      <c r="N1301" cm="1">
        <f t="array" ref="N1301">IF($Q1301&gt;=0,IFERROR(generateSalesData($D1301, IF(ISNUMBER(_xlfn.XLOOKUP($C1301,Phone_by_Sentiment!$B$2:$B$37,Phone_by_Sentiment!N$2:N$37,"",0,1)),_xlfn.XLOOKUP($C1301,Phone_by_Sentiment!$B$2:$B$37,Phone_by_Sentiment!N$2:N$37,"",0,1),0),$A1301-TEXT(DATEVALUE($D1301&amp;"-01"), "dd-mm-yyyy")),0),0)</f>
        <v>905</v>
      </c>
      <c r="O1301" cm="1">
        <f t="array" ref="O1301">IF($Q1301&gt;=0,IFERROR(generateSalesData($D1301, IF(ISNUMBER(_xlfn.XLOOKUP($C1301,Phone_by_Sentiment!$B$2:$B$37,Phone_by_Sentiment!O$2:O$37,"",0,1)),_xlfn.XLOOKUP($C1301,Phone_by_Sentiment!$B$2:$B$37,Phone_by_Sentiment!O$2:O$37,"",0,1),0),$A1301-TEXT(DATEVALUE($D1301&amp;"-01"), "dd-mm-yyyy")),0),0)</f>
        <v>910</v>
      </c>
      <c r="P1301" s="1">
        <f t="shared" si="51"/>
        <v>44256</v>
      </c>
      <c r="Q1301">
        <f t="shared" si="53"/>
        <v>337</v>
      </c>
    </row>
    <row r="1302" spans="1:17" x14ac:dyDescent="0.25">
      <c r="A1302" s="1">
        <f t="shared" si="48"/>
        <v>44593</v>
      </c>
      <c r="B1302" t="s">
        <v>150</v>
      </c>
      <c r="C1302" t="str">
        <f>_xlfn.XLOOKUP(B1302,Phone_by_Price!$A$2:$A$34,Phone_by_Price!$B$2:$B$34,"-",0,1)</f>
        <v>Vivo Y33s</v>
      </c>
      <c r="D1302" t="str">
        <f>_xlfn.XLOOKUP(C1302,Phone_by_Sentiment!$B$2:$B$37,Phone_by_Sentiment!$A$2:$A$37,"-",0,1)</f>
        <v>2021-05</v>
      </c>
      <c r="E1302" cm="1">
        <f t="array" ref="E1302">IF($Q1302&gt;=0,IFERROR(generateSalesData($D1302, IF(ISNUMBER(_xlfn.XLOOKUP($C1302,Phone_by_Sentiment!$B$2:$B$37,Phone_by_Sentiment!E$2:E$37,"",0,1)),_xlfn.XLOOKUP($C1302,Phone_by_Sentiment!$B$2:$B$37,Phone_by_Sentiment!E$2:E$37,"",0,1),0),$A1302-TEXT(DATEVALUE($D1302&amp;"-01"), "dd-mm-yyyy")),0),0)</f>
        <v>389</v>
      </c>
      <c r="F1302" cm="1">
        <f t="array" ref="F1302">IF($Q1302&gt;=0,IFERROR(generateSalesData($D1302, IF(ISNUMBER(_xlfn.XLOOKUP($C1302,Phone_by_Sentiment!$B$2:$B$37,Phone_by_Sentiment!F$2:F$37,"",0,1)),_xlfn.XLOOKUP($C1302,Phone_by_Sentiment!$B$2:$B$37,Phone_by_Sentiment!F$2:F$37,"",0,1),0),$A1302-TEXT(DATEVALUE($D1302&amp;"-01"), "dd-mm-yyyy")),0),0)</f>
        <v>225</v>
      </c>
      <c r="G1302" cm="1">
        <f t="array" ref="G1302">IF($Q1302&gt;=0,IFERROR(generateSalesData($D1302, IF(ISNUMBER(_xlfn.XLOOKUP($C1302,Phone_by_Sentiment!$B$2:$B$37,Phone_by_Sentiment!G$2:G$37,"",0,1)),_xlfn.XLOOKUP($C1302,Phone_by_Sentiment!$B$2:$B$37,Phone_by_Sentiment!G$2:G$37,"",0,1),0),$A1302-TEXT(DATEVALUE($D1302&amp;"-01"), "dd-mm-yyyy")),0),0)</f>
        <v>334</v>
      </c>
      <c r="H1302" cm="1">
        <f t="array" ref="H1302">IF($Q1302&gt;=0,IFERROR(generateSalesData($D1302, IF(ISNUMBER(_xlfn.XLOOKUP($C1302,Phone_by_Sentiment!$B$2:$B$37,Phone_by_Sentiment!H$2:H$37,"",0,1)),_xlfn.XLOOKUP($C1302,Phone_by_Sentiment!$B$2:$B$37,Phone_by_Sentiment!H$2:H$37,"",0,1),0),$A1302-TEXT(DATEVALUE($D1302&amp;"-01"), "dd-mm-yyyy")),0),0)</f>
        <v>639</v>
      </c>
      <c r="I1302" cm="1">
        <f t="array" ref="I1302">IF($Q1302&gt;=0,IFERROR(generateSalesData($D1302, IF(ISNUMBER(_xlfn.XLOOKUP($C1302,Phone_by_Sentiment!$B$2:$B$37,Phone_by_Sentiment!I$2:I$37,"",0,1)),_xlfn.XLOOKUP($C1302,Phone_by_Sentiment!$B$2:$B$37,Phone_by_Sentiment!I$2:I$37,"",0,1),0),$A1302-TEXT(DATEVALUE($D1302&amp;"-01"), "dd-mm-yyyy")),0),0)</f>
        <v>320</v>
      </c>
      <c r="J1302" cm="1">
        <f t="array" ref="J1302">IF($Q1302&gt;=0,IFERROR(generateSalesData($D1302, IF(ISNUMBER(_xlfn.XLOOKUP($C1302,Phone_by_Sentiment!$B$2:$B$37,Phone_by_Sentiment!J$2:J$37,"",0,1)),_xlfn.XLOOKUP($C1302,Phone_by_Sentiment!$B$2:$B$37,Phone_by_Sentiment!J$2:J$37,"",0,1),0),$A1302-TEXT(DATEVALUE($D1302&amp;"-01"), "dd-mm-yyyy")),0),0)</f>
        <v>307</v>
      </c>
      <c r="K1302" cm="1">
        <f t="array" ref="K1302">IF($Q1302&gt;=0,IFERROR(generateSalesData($D1302, IF(ISNUMBER(_xlfn.XLOOKUP($C1302,Phone_by_Sentiment!$B$2:$B$37,Phone_by_Sentiment!K$2:K$37,"",0,1)),_xlfn.XLOOKUP($C1302,Phone_by_Sentiment!$B$2:$B$37,Phone_by_Sentiment!K$2:K$37,"",0,1),0),$A1302-TEXT(DATEVALUE($D1302&amp;"-01"), "dd-mm-yyyy")),0),0)</f>
        <v>80</v>
      </c>
      <c r="L1302" cm="1">
        <f t="array" ref="L1302">IF($Q1302&gt;=0,IFERROR(generateSalesData($D1302, IF(ISNUMBER(_xlfn.XLOOKUP($C1302,Phone_by_Sentiment!$B$2:$B$37,Phone_by_Sentiment!L$2:L$37,"",0,1)),_xlfn.XLOOKUP($C1302,Phone_by_Sentiment!$B$2:$B$37,Phone_by_Sentiment!L$2:L$37,"",0,1),0),$A1302-TEXT(DATEVALUE($D1302&amp;"-01"), "dd-mm-yyyy")),0),0)</f>
        <v>90</v>
      </c>
      <c r="M1302" cm="1">
        <f t="array" ref="M1302">IF($Q1302&gt;=0,IFERROR(generateSalesData($D1302, IF(ISNUMBER(_xlfn.XLOOKUP($C1302,Phone_by_Sentiment!$B$2:$B$37,Phone_by_Sentiment!M$2:M$37,"",0,1)),_xlfn.XLOOKUP($C1302,Phone_by_Sentiment!$B$2:$B$37,Phone_by_Sentiment!M$2:M$37,"",0,1),0),$A1302-TEXT(DATEVALUE($D1302&amp;"-01"), "dd-mm-yyyy")),0),0)</f>
        <v>63</v>
      </c>
      <c r="N1302" cm="1">
        <f t="array" ref="N1302">IF($Q1302&gt;=0,IFERROR(generateSalesData($D1302, IF(ISNUMBER(_xlfn.XLOOKUP($C1302,Phone_by_Sentiment!$B$2:$B$37,Phone_by_Sentiment!N$2:N$37,"",0,1)),_xlfn.XLOOKUP($C1302,Phone_by_Sentiment!$B$2:$B$37,Phone_by_Sentiment!N$2:N$37,"",0,1),0),$A1302-TEXT(DATEVALUE($D1302&amp;"-01"), "dd-mm-yyyy")),0),0)</f>
        <v>277</v>
      </c>
      <c r="O1302" cm="1">
        <f t="array" ref="O1302">IF($Q1302&gt;=0,IFERROR(generateSalesData($D1302, IF(ISNUMBER(_xlfn.XLOOKUP($C1302,Phone_by_Sentiment!$B$2:$B$37,Phone_by_Sentiment!O$2:O$37,"",0,1)),_xlfn.XLOOKUP($C1302,Phone_by_Sentiment!$B$2:$B$37,Phone_by_Sentiment!O$2:O$37,"",0,1),0),$A1302-TEXT(DATEVALUE($D1302&amp;"-01"), "dd-mm-yyyy")),0),0)</f>
        <v>727</v>
      </c>
      <c r="P1302" s="1">
        <f t="shared" si="51"/>
        <v>44317</v>
      </c>
      <c r="Q1302">
        <f t="shared" si="53"/>
        <v>276</v>
      </c>
    </row>
    <row r="1303" spans="1:17" x14ac:dyDescent="0.25">
      <c r="A1303" s="1">
        <f t="shared" si="48"/>
        <v>44593</v>
      </c>
      <c r="B1303" t="s">
        <v>151</v>
      </c>
      <c r="C1303" t="str">
        <f>_xlfn.XLOOKUP(B1303,Phone_by_Price!$A$2:$A$34,Phone_by_Price!$B$2:$B$34,"-",0,1)</f>
        <v>Vivo Y11s</v>
      </c>
      <c r="D1303" t="str">
        <f>_xlfn.XLOOKUP(C1303,Phone_by_Sentiment!$B$2:$B$37,Phone_by_Sentiment!$A$2:$A$37,"-",0,1)</f>
        <v>2020-11</v>
      </c>
      <c r="E1303" cm="1">
        <f t="array" ref="E1303">IF($Q1303&gt;=0,IFERROR(generateSalesData($D1303, IF(ISNUMBER(_xlfn.XLOOKUP($C1303,Phone_by_Sentiment!$B$2:$B$37,Phone_by_Sentiment!E$2:E$37,"",0,1)),_xlfn.XLOOKUP($C1303,Phone_by_Sentiment!$B$2:$B$37,Phone_by_Sentiment!E$2:E$37,"",0,1),0),$A1303-TEXT(DATEVALUE($D1303&amp;"-01"), "dd-mm-yyyy")),0),0)</f>
        <v>160</v>
      </c>
      <c r="F1303" cm="1">
        <f t="array" ref="F1303">IF($Q1303&gt;=0,IFERROR(generateSalesData($D1303, IF(ISNUMBER(_xlfn.XLOOKUP($C1303,Phone_by_Sentiment!$B$2:$B$37,Phone_by_Sentiment!F$2:F$37,"",0,1)),_xlfn.XLOOKUP($C1303,Phone_by_Sentiment!$B$2:$B$37,Phone_by_Sentiment!F$2:F$37,"",0,1),0),$A1303-TEXT(DATEVALUE($D1303&amp;"-01"), "dd-mm-yyyy")),0),0)</f>
        <v>12</v>
      </c>
      <c r="G1303" cm="1">
        <f t="array" ref="G1303">IF($Q1303&gt;=0,IFERROR(generateSalesData($D1303, IF(ISNUMBER(_xlfn.XLOOKUP($C1303,Phone_by_Sentiment!$B$2:$B$37,Phone_by_Sentiment!G$2:G$37,"",0,1)),_xlfn.XLOOKUP($C1303,Phone_by_Sentiment!$B$2:$B$37,Phone_by_Sentiment!G$2:G$37,"",0,1),0),$A1303-TEXT(DATEVALUE($D1303&amp;"-01"), "dd-mm-yyyy")),0),0)</f>
        <v>326</v>
      </c>
      <c r="H1303" cm="1">
        <f t="array" ref="H1303">IF($Q1303&gt;=0,IFERROR(generateSalesData($D1303, IF(ISNUMBER(_xlfn.XLOOKUP($C1303,Phone_by_Sentiment!$B$2:$B$37,Phone_by_Sentiment!H$2:H$37,"",0,1)),_xlfn.XLOOKUP($C1303,Phone_by_Sentiment!$B$2:$B$37,Phone_by_Sentiment!H$2:H$37,"",0,1),0),$A1303-TEXT(DATEVALUE($D1303&amp;"-01"), "dd-mm-yyyy")),0),0)</f>
        <v>264</v>
      </c>
      <c r="I1303" cm="1">
        <f t="array" ref="I1303">IF($Q1303&gt;=0,IFERROR(generateSalesData($D1303, IF(ISNUMBER(_xlfn.XLOOKUP($C1303,Phone_by_Sentiment!$B$2:$B$37,Phone_by_Sentiment!I$2:I$37,"",0,1)),_xlfn.XLOOKUP($C1303,Phone_by_Sentiment!$B$2:$B$37,Phone_by_Sentiment!I$2:I$37,"",0,1),0),$A1303-TEXT(DATEVALUE($D1303&amp;"-01"), "dd-mm-yyyy")),0),0)</f>
        <v>202</v>
      </c>
      <c r="J1303" cm="1">
        <f t="array" ref="J1303">IF($Q1303&gt;=0,IFERROR(generateSalesData($D1303, IF(ISNUMBER(_xlfn.XLOOKUP($C1303,Phone_by_Sentiment!$B$2:$B$37,Phone_by_Sentiment!J$2:J$37,"",0,1)),_xlfn.XLOOKUP($C1303,Phone_by_Sentiment!$B$2:$B$37,Phone_by_Sentiment!J$2:J$37,"",0,1),0),$A1303-TEXT(DATEVALUE($D1303&amp;"-01"), "dd-mm-yyyy")),0),0)</f>
        <v>71</v>
      </c>
      <c r="K1303" cm="1">
        <f t="array" ref="K1303">IF($Q1303&gt;=0,IFERROR(generateSalesData($D1303, IF(ISNUMBER(_xlfn.XLOOKUP($C1303,Phone_by_Sentiment!$B$2:$B$37,Phone_by_Sentiment!K$2:K$37,"",0,1)),_xlfn.XLOOKUP($C1303,Phone_by_Sentiment!$B$2:$B$37,Phone_by_Sentiment!K$2:K$37,"",0,1),0),$A1303-TEXT(DATEVALUE($D1303&amp;"-01"), "dd-mm-yyyy")),0),0)</f>
        <v>21</v>
      </c>
      <c r="L1303" cm="1">
        <f t="array" ref="L1303">IF($Q1303&gt;=0,IFERROR(generateSalesData($D1303, IF(ISNUMBER(_xlfn.XLOOKUP($C1303,Phone_by_Sentiment!$B$2:$B$37,Phone_by_Sentiment!L$2:L$37,"",0,1)),_xlfn.XLOOKUP($C1303,Phone_by_Sentiment!$B$2:$B$37,Phone_by_Sentiment!L$2:L$37,"",0,1),0),$A1303-TEXT(DATEVALUE($D1303&amp;"-01"), "dd-mm-yyyy")),0),0)</f>
        <v>110</v>
      </c>
      <c r="M1303" cm="1">
        <f t="array" ref="M1303">IF($Q1303&gt;=0,IFERROR(generateSalesData($D1303, IF(ISNUMBER(_xlfn.XLOOKUP($C1303,Phone_by_Sentiment!$B$2:$B$37,Phone_by_Sentiment!M$2:M$37,"",0,1)),_xlfn.XLOOKUP($C1303,Phone_by_Sentiment!$B$2:$B$37,Phone_by_Sentiment!M$2:M$37,"",0,1),0),$A1303-TEXT(DATEVALUE($D1303&amp;"-01"), "dd-mm-yyyy")),0),0)</f>
        <v>400</v>
      </c>
      <c r="N1303" cm="1">
        <f t="array" ref="N1303">IF($Q1303&gt;=0,IFERROR(generateSalesData($D1303, IF(ISNUMBER(_xlfn.XLOOKUP($C1303,Phone_by_Sentiment!$B$2:$B$37,Phone_by_Sentiment!N$2:N$37,"",0,1)),_xlfn.XLOOKUP($C1303,Phone_by_Sentiment!$B$2:$B$37,Phone_by_Sentiment!N$2:N$37,"",0,1),0),$A1303-TEXT(DATEVALUE($D1303&amp;"-01"), "dd-mm-yyyy")),0),0)</f>
        <v>136</v>
      </c>
      <c r="O1303" cm="1">
        <f t="array" ref="O1303">IF($Q1303&gt;=0,IFERROR(generateSalesData($D1303, IF(ISNUMBER(_xlfn.XLOOKUP($C1303,Phone_by_Sentiment!$B$2:$B$37,Phone_by_Sentiment!O$2:O$37,"",0,1)),_xlfn.XLOOKUP($C1303,Phone_by_Sentiment!$B$2:$B$37,Phone_by_Sentiment!O$2:O$37,"",0,1),0),$A1303-TEXT(DATEVALUE($D1303&amp;"-01"), "dd-mm-yyyy")),0),0)</f>
        <v>172</v>
      </c>
      <c r="P1303" s="1">
        <f t="shared" si="51"/>
        <v>44136</v>
      </c>
      <c r="Q1303">
        <f t="shared" si="53"/>
        <v>457</v>
      </c>
    </row>
    <row r="1304" spans="1:17" x14ac:dyDescent="0.25">
      <c r="A1304" s="1">
        <f t="shared" si="48"/>
        <v>44593</v>
      </c>
      <c r="B1304" t="s">
        <v>152</v>
      </c>
      <c r="C1304" t="str">
        <f>_xlfn.XLOOKUP(B1304,Phone_by_Price!$A$2:$A$34,Phone_by_Price!$B$2:$B$34,"-",0,1)</f>
        <v>Huawei Nova 7i</v>
      </c>
      <c r="D1304" t="str">
        <f>_xlfn.XLOOKUP(C1304,Phone_by_Sentiment!$B$2:$B$37,Phone_by_Sentiment!$A$2:$A$37,"-",0,1)</f>
        <v>2020-02</v>
      </c>
      <c r="E1304" cm="1">
        <f t="array" ref="E1304">IF($Q1304&gt;=0,IFERROR(generateSalesData($D1304, IF(ISNUMBER(_xlfn.XLOOKUP($C1304,Phone_by_Sentiment!$B$2:$B$37,Phone_by_Sentiment!E$2:E$37,"",0,1)),_xlfn.XLOOKUP($C1304,Phone_by_Sentiment!$B$2:$B$37,Phone_by_Sentiment!E$2:E$37,"",0,1),0),$A1304-TEXT(DATEVALUE($D1304&amp;"-01"), "dd-mm-yyyy")),0),0)</f>
        <v>110</v>
      </c>
      <c r="F1304" cm="1">
        <f t="array" ref="F1304">IF($Q1304&gt;=0,IFERROR(generateSalesData($D1304, IF(ISNUMBER(_xlfn.XLOOKUP($C1304,Phone_by_Sentiment!$B$2:$B$37,Phone_by_Sentiment!F$2:F$37,"",0,1)),_xlfn.XLOOKUP($C1304,Phone_by_Sentiment!$B$2:$B$37,Phone_by_Sentiment!F$2:F$37,"",0,1),0),$A1304-TEXT(DATEVALUE($D1304&amp;"-01"), "dd-mm-yyyy")),0),0)</f>
        <v>138</v>
      </c>
      <c r="G1304" cm="1">
        <f t="array" ref="G1304">IF($Q1304&gt;=0,IFERROR(generateSalesData($D1304, IF(ISNUMBER(_xlfn.XLOOKUP($C1304,Phone_by_Sentiment!$B$2:$B$37,Phone_by_Sentiment!G$2:G$37,"",0,1)),_xlfn.XLOOKUP($C1304,Phone_by_Sentiment!$B$2:$B$37,Phone_by_Sentiment!G$2:G$37,"",0,1),0),$A1304-TEXT(DATEVALUE($D1304&amp;"-01"), "dd-mm-yyyy")),0),0)</f>
        <v>81</v>
      </c>
      <c r="H1304" cm="1">
        <f t="array" ref="H1304">IF($Q1304&gt;=0,IFERROR(generateSalesData($D1304, IF(ISNUMBER(_xlfn.XLOOKUP($C1304,Phone_by_Sentiment!$B$2:$B$37,Phone_by_Sentiment!H$2:H$37,"",0,1)),_xlfn.XLOOKUP($C1304,Phone_by_Sentiment!$B$2:$B$37,Phone_by_Sentiment!H$2:H$37,"",0,1),0),$A1304-TEXT(DATEVALUE($D1304&amp;"-01"), "dd-mm-yyyy")),0),0)</f>
        <v>228</v>
      </c>
      <c r="I1304" cm="1">
        <f t="array" ref="I1304">IF($Q1304&gt;=0,IFERROR(generateSalesData($D1304, IF(ISNUMBER(_xlfn.XLOOKUP($C1304,Phone_by_Sentiment!$B$2:$B$37,Phone_by_Sentiment!I$2:I$37,"",0,1)),_xlfn.XLOOKUP($C1304,Phone_by_Sentiment!$B$2:$B$37,Phone_by_Sentiment!I$2:I$37,"",0,1),0),$A1304-TEXT(DATEVALUE($D1304&amp;"-01"), "dd-mm-yyyy")),0),0)</f>
        <v>20</v>
      </c>
      <c r="J1304" cm="1">
        <f t="array" ref="J1304">IF($Q1304&gt;=0,IFERROR(generateSalesData($D1304, IF(ISNUMBER(_xlfn.XLOOKUP($C1304,Phone_by_Sentiment!$B$2:$B$37,Phone_by_Sentiment!J$2:J$37,"",0,1)),_xlfn.XLOOKUP($C1304,Phone_by_Sentiment!$B$2:$B$37,Phone_by_Sentiment!J$2:J$37,"",0,1),0),$A1304-TEXT(DATEVALUE($D1304&amp;"-01"), "dd-mm-yyyy")),0),0)</f>
        <v>115</v>
      </c>
      <c r="K1304" cm="1">
        <f t="array" ref="K1304">IF($Q1304&gt;=0,IFERROR(generateSalesData($D1304, IF(ISNUMBER(_xlfn.XLOOKUP($C1304,Phone_by_Sentiment!$B$2:$B$37,Phone_by_Sentiment!K$2:K$37,"",0,1)),_xlfn.XLOOKUP($C1304,Phone_by_Sentiment!$B$2:$B$37,Phone_by_Sentiment!K$2:K$37,"",0,1),0),$A1304-TEXT(DATEVALUE($D1304&amp;"-01"), "dd-mm-yyyy")),0),0)</f>
        <v>80</v>
      </c>
      <c r="L1304" cm="1">
        <f t="array" ref="L1304">IF($Q1304&gt;=0,IFERROR(generateSalesData($D1304, IF(ISNUMBER(_xlfn.XLOOKUP($C1304,Phone_by_Sentiment!$B$2:$B$37,Phone_by_Sentiment!L$2:L$37,"",0,1)),_xlfn.XLOOKUP($C1304,Phone_by_Sentiment!$B$2:$B$37,Phone_by_Sentiment!L$2:L$37,"",0,1),0),$A1304-TEXT(DATEVALUE($D1304&amp;"-01"), "dd-mm-yyyy")),0),0)</f>
        <v>35</v>
      </c>
      <c r="M1304" cm="1">
        <f t="array" ref="M1304">IF($Q1304&gt;=0,IFERROR(generateSalesData($D1304, IF(ISNUMBER(_xlfn.XLOOKUP($C1304,Phone_by_Sentiment!$B$2:$B$37,Phone_by_Sentiment!M$2:M$37,"",0,1)),_xlfn.XLOOKUP($C1304,Phone_by_Sentiment!$B$2:$B$37,Phone_by_Sentiment!M$2:M$37,"",0,1),0),$A1304-TEXT(DATEVALUE($D1304&amp;"-01"), "dd-mm-yyyy")),0),0)</f>
        <v>54</v>
      </c>
      <c r="N1304" cm="1">
        <f t="array" ref="N1304">IF($Q1304&gt;=0,IFERROR(generateSalesData($D1304, IF(ISNUMBER(_xlfn.XLOOKUP($C1304,Phone_by_Sentiment!$B$2:$B$37,Phone_by_Sentiment!N$2:N$37,"",0,1)),_xlfn.XLOOKUP($C1304,Phone_by_Sentiment!$B$2:$B$37,Phone_by_Sentiment!N$2:N$37,"",0,1),0),$A1304-TEXT(DATEVALUE($D1304&amp;"-01"), "dd-mm-yyyy")),0),0)</f>
        <v>39</v>
      </c>
      <c r="O1304" cm="1">
        <f t="array" ref="O1304">IF($Q1304&gt;=0,IFERROR(generateSalesData($D1304, IF(ISNUMBER(_xlfn.XLOOKUP($C1304,Phone_by_Sentiment!$B$2:$B$37,Phone_by_Sentiment!O$2:O$37,"",0,1)),_xlfn.XLOOKUP($C1304,Phone_by_Sentiment!$B$2:$B$37,Phone_by_Sentiment!O$2:O$37,"",0,1),0),$A1304-TEXT(DATEVALUE($D1304&amp;"-01"), "dd-mm-yyyy")),0),0)</f>
        <v>126</v>
      </c>
      <c r="P1304" s="1">
        <f t="shared" si="51"/>
        <v>43862</v>
      </c>
      <c r="Q1304">
        <f t="shared" si="53"/>
        <v>731</v>
      </c>
    </row>
    <row r="1305" spans="1:17" x14ac:dyDescent="0.25">
      <c r="A1305" s="1">
        <f t="shared" si="48"/>
        <v>44593</v>
      </c>
      <c r="B1305" t="s">
        <v>153</v>
      </c>
      <c r="C1305" t="str">
        <f>_xlfn.XLOOKUP(B1305,Phone_by_Price!$A$2:$A$34,Phone_by_Price!$B$2:$B$34,"-",0,1)</f>
        <v>iPhone 13</v>
      </c>
      <c r="D1305" t="str">
        <f>_xlfn.XLOOKUP(C1305,Phone_by_Sentiment!$B$2:$B$37,Phone_by_Sentiment!$A$2:$A$37,"-",0,1)</f>
        <v>2021-09</v>
      </c>
      <c r="E1305" cm="1">
        <f t="array" ref="E1305">IF($Q1305&gt;=0,IFERROR(generateSalesData($D1305, IF(ISNUMBER(_xlfn.XLOOKUP($C1305,Phone_by_Sentiment!$B$2:$B$37,Phone_by_Sentiment!E$2:E$37,"",0,1)),_xlfn.XLOOKUP($C1305,Phone_by_Sentiment!$B$2:$B$37,Phone_by_Sentiment!E$2:E$37,"",0,1),0),$A1305-TEXT(DATEVALUE($D1305&amp;"-01"), "dd-mm-yyyy")),0),0)</f>
        <v>340</v>
      </c>
      <c r="F1305" cm="1">
        <f t="array" ref="F1305">IF($Q1305&gt;=0,IFERROR(generateSalesData($D1305, IF(ISNUMBER(_xlfn.XLOOKUP($C1305,Phone_by_Sentiment!$B$2:$B$37,Phone_by_Sentiment!F$2:F$37,"",0,1)),_xlfn.XLOOKUP($C1305,Phone_by_Sentiment!$B$2:$B$37,Phone_by_Sentiment!F$2:F$37,"",0,1),0),$A1305-TEXT(DATEVALUE($D1305&amp;"-01"), "dd-mm-yyyy")),0),0)</f>
        <v>401</v>
      </c>
      <c r="G1305" cm="1">
        <f t="array" ref="G1305">IF($Q1305&gt;=0,IFERROR(generateSalesData($D1305, IF(ISNUMBER(_xlfn.XLOOKUP($C1305,Phone_by_Sentiment!$B$2:$B$37,Phone_by_Sentiment!G$2:G$37,"",0,1)),_xlfn.XLOOKUP($C1305,Phone_by_Sentiment!$B$2:$B$37,Phone_by_Sentiment!G$2:G$37,"",0,1),0),$A1305-TEXT(DATEVALUE($D1305&amp;"-01"), "dd-mm-yyyy")),0),0)</f>
        <v>433</v>
      </c>
      <c r="H1305" cm="1">
        <f t="array" ref="H1305">IF($Q1305&gt;=0,IFERROR(generateSalesData($D1305, IF(ISNUMBER(_xlfn.XLOOKUP($C1305,Phone_by_Sentiment!$B$2:$B$37,Phone_by_Sentiment!H$2:H$37,"",0,1)),_xlfn.XLOOKUP($C1305,Phone_by_Sentiment!$B$2:$B$37,Phone_by_Sentiment!H$2:H$37,"",0,1),0),$A1305-TEXT(DATEVALUE($D1305&amp;"-01"), "dd-mm-yyyy")),0),0)</f>
        <v>3024</v>
      </c>
      <c r="I1305" cm="1">
        <f t="array" ref="I1305">IF($Q1305&gt;=0,IFERROR(generateSalesData($D1305, IF(ISNUMBER(_xlfn.XLOOKUP($C1305,Phone_by_Sentiment!$B$2:$B$37,Phone_by_Sentiment!I$2:I$37,"",0,1)),_xlfn.XLOOKUP($C1305,Phone_by_Sentiment!$B$2:$B$37,Phone_by_Sentiment!I$2:I$37,"",0,1),0),$A1305-TEXT(DATEVALUE($D1305&amp;"-01"), "dd-mm-yyyy")),0),0)</f>
        <v>100</v>
      </c>
      <c r="J1305" cm="1">
        <f t="array" ref="J1305">IF($Q1305&gt;=0,IFERROR(generateSalesData($D1305, IF(ISNUMBER(_xlfn.XLOOKUP($C1305,Phone_by_Sentiment!$B$2:$B$37,Phone_by_Sentiment!J$2:J$37,"",0,1)),_xlfn.XLOOKUP($C1305,Phone_by_Sentiment!$B$2:$B$37,Phone_by_Sentiment!J$2:J$37,"",0,1),0),$A1305-TEXT(DATEVALUE($D1305&amp;"-01"), "dd-mm-yyyy")),0),0)</f>
        <v>1446</v>
      </c>
      <c r="K1305" cm="1">
        <f t="array" ref="K1305">IF($Q1305&gt;=0,IFERROR(generateSalesData($D1305, IF(ISNUMBER(_xlfn.XLOOKUP($C1305,Phone_by_Sentiment!$B$2:$B$37,Phone_by_Sentiment!K$2:K$37,"",0,1)),_xlfn.XLOOKUP($C1305,Phone_by_Sentiment!$B$2:$B$37,Phone_by_Sentiment!K$2:K$37,"",0,1),0),$A1305-TEXT(DATEVALUE($D1305&amp;"-01"), "dd-mm-yyyy")),0),0)</f>
        <v>319</v>
      </c>
      <c r="L1305" cm="1">
        <f t="array" ref="L1305">IF($Q1305&gt;=0,IFERROR(generateSalesData($D1305, IF(ISNUMBER(_xlfn.XLOOKUP($C1305,Phone_by_Sentiment!$B$2:$B$37,Phone_by_Sentiment!L$2:L$37,"",0,1)),_xlfn.XLOOKUP($C1305,Phone_by_Sentiment!$B$2:$B$37,Phone_by_Sentiment!L$2:L$37,"",0,1),0),$A1305-TEXT(DATEVALUE($D1305&amp;"-01"), "dd-mm-yyyy")),0),0)</f>
        <v>1708</v>
      </c>
      <c r="M1305" cm="1">
        <f t="array" ref="M1305">IF($Q1305&gt;=0,IFERROR(generateSalesData($D1305, IF(ISNUMBER(_xlfn.XLOOKUP($C1305,Phone_by_Sentiment!$B$2:$B$37,Phone_by_Sentiment!M$2:M$37,"",0,1)),_xlfn.XLOOKUP($C1305,Phone_by_Sentiment!$B$2:$B$37,Phone_by_Sentiment!M$2:M$37,"",0,1),0),$A1305-TEXT(DATEVALUE($D1305&amp;"-01"), "dd-mm-yyyy")),0),0)</f>
        <v>3126</v>
      </c>
      <c r="N1305" cm="1">
        <f t="array" ref="N1305">IF($Q1305&gt;=0,IFERROR(generateSalesData($D1305, IF(ISNUMBER(_xlfn.XLOOKUP($C1305,Phone_by_Sentiment!$B$2:$B$37,Phone_by_Sentiment!N$2:N$37,"",0,1)),_xlfn.XLOOKUP($C1305,Phone_by_Sentiment!$B$2:$B$37,Phone_by_Sentiment!N$2:N$37,"",0,1),0),$A1305-TEXT(DATEVALUE($D1305&amp;"-01"), "dd-mm-yyyy")),0),0)</f>
        <v>253</v>
      </c>
      <c r="O1305" cm="1">
        <f t="array" ref="O1305">IF($Q1305&gt;=0,IFERROR(generateSalesData($D1305, IF(ISNUMBER(_xlfn.XLOOKUP($C1305,Phone_by_Sentiment!$B$2:$B$37,Phone_by_Sentiment!O$2:O$37,"",0,1)),_xlfn.XLOOKUP($C1305,Phone_by_Sentiment!$B$2:$B$37,Phone_by_Sentiment!O$2:O$37,"",0,1),0),$A1305-TEXT(DATEVALUE($D1305&amp;"-01"), "dd-mm-yyyy")),0),0)</f>
        <v>811</v>
      </c>
      <c r="P1305" s="1">
        <f t="shared" si="51"/>
        <v>44440</v>
      </c>
      <c r="Q1305">
        <f t="shared" si="53"/>
        <v>153</v>
      </c>
    </row>
    <row r="1306" spans="1:17" x14ac:dyDescent="0.25">
      <c r="A1306" s="1">
        <f t="shared" si="48"/>
        <v>44593</v>
      </c>
      <c r="B1306" t="s">
        <v>154</v>
      </c>
      <c r="C1306" t="str">
        <f>_xlfn.XLOOKUP(B1306,Phone_by_Price!$A$2:$A$34,Phone_by_Price!$B$2:$B$34,"-",0,1)</f>
        <v>Samsung Galaxy S21</v>
      </c>
      <c r="D1306" t="str">
        <f>_xlfn.XLOOKUP(C1306,Phone_by_Sentiment!$B$2:$B$37,Phone_by_Sentiment!$A$2:$A$37,"-",0,1)</f>
        <v>2021-01</v>
      </c>
      <c r="E1306" cm="1">
        <f t="array" ref="E1306">IF($Q1306&gt;=0,IFERROR(generateSalesData($D1306, IF(ISNUMBER(_xlfn.XLOOKUP($C1306,Phone_by_Sentiment!$B$2:$B$37,Phone_by_Sentiment!E$2:E$37,"",0,1)),_xlfn.XLOOKUP($C1306,Phone_by_Sentiment!$B$2:$B$37,Phone_by_Sentiment!E$2:E$37,"",0,1),0),$A1306-TEXT(DATEVALUE($D1306&amp;"-01"), "dd-mm-yyyy")),0),0)</f>
        <v>-332</v>
      </c>
      <c r="F1306" cm="1">
        <f t="array" ref="F1306">IF($Q1306&gt;=0,IFERROR(generateSalesData($D1306, IF(ISNUMBER(_xlfn.XLOOKUP($C1306,Phone_by_Sentiment!$B$2:$B$37,Phone_by_Sentiment!F$2:F$37,"",0,1)),_xlfn.XLOOKUP($C1306,Phone_by_Sentiment!$B$2:$B$37,Phone_by_Sentiment!F$2:F$37,"",0,1),0),$A1306-TEXT(DATEVALUE($D1306&amp;"-01"), "dd-mm-yyyy")),0),0)</f>
        <v>935</v>
      </c>
      <c r="G1306" cm="1">
        <f t="array" ref="G1306">IF($Q1306&gt;=0,IFERROR(generateSalesData($D1306, IF(ISNUMBER(_xlfn.XLOOKUP($C1306,Phone_by_Sentiment!$B$2:$B$37,Phone_by_Sentiment!G$2:G$37,"",0,1)),_xlfn.XLOOKUP($C1306,Phone_by_Sentiment!$B$2:$B$37,Phone_by_Sentiment!G$2:G$37,"",0,1),0),$A1306-TEXT(DATEVALUE($D1306&amp;"-01"), "dd-mm-yyyy")),0),0)</f>
        <v>124</v>
      </c>
      <c r="H1306" cm="1">
        <f t="array" ref="H1306">IF($Q1306&gt;=0,IFERROR(generateSalesData($D1306, IF(ISNUMBER(_xlfn.XLOOKUP($C1306,Phone_by_Sentiment!$B$2:$B$37,Phone_by_Sentiment!H$2:H$37,"",0,1)),_xlfn.XLOOKUP($C1306,Phone_by_Sentiment!$B$2:$B$37,Phone_by_Sentiment!H$2:H$37,"",0,1),0),$A1306-TEXT(DATEVALUE($D1306&amp;"-01"), "dd-mm-yyyy")),0),0)</f>
        <v>115</v>
      </c>
      <c r="I1306" cm="1">
        <f t="array" ref="I1306">IF($Q1306&gt;=0,IFERROR(generateSalesData($D1306, IF(ISNUMBER(_xlfn.XLOOKUP($C1306,Phone_by_Sentiment!$B$2:$B$37,Phone_by_Sentiment!I$2:I$37,"",0,1)),_xlfn.XLOOKUP($C1306,Phone_by_Sentiment!$B$2:$B$37,Phone_by_Sentiment!I$2:I$37,"",0,1),0),$A1306-TEXT(DATEVALUE($D1306&amp;"-01"), "dd-mm-yyyy")),0),0)</f>
        <v>942</v>
      </c>
      <c r="J1306" cm="1">
        <f t="array" ref="J1306">IF($Q1306&gt;=0,IFERROR(generateSalesData($D1306, IF(ISNUMBER(_xlfn.XLOOKUP($C1306,Phone_by_Sentiment!$B$2:$B$37,Phone_by_Sentiment!J$2:J$37,"",0,1)),_xlfn.XLOOKUP($C1306,Phone_by_Sentiment!$B$2:$B$37,Phone_by_Sentiment!J$2:J$37,"",0,1),0),$A1306-TEXT(DATEVALUE($D1306&amp;"-01"), "dd-mm-yyyy")),0),0)</f>
        <v>752</v>
      </c>
      <c r="K1306" cm="1">
        <f t="array" ref="K1306">IF($Q1306&gt;=0,IFERROR(generateSalesData($D1306, IF(ISNUMBER(_xlfn.XLOOKUP($C1306,Phone_by_Sentiment!$B$2:$B$37,Phone_by_Sentiment!K$2:K$37,"",0,1)),_xlfn.XLOOKUP($C1306,Phone_by_Sentiment!$B$2:$B$37,Phone_by_Sentiment!K$2:K$37,"",0,1),0),$A1306-TEXT(DATEVALUE($D1306&amp;"-01"), "dd-mm-yyyy")),0),0)</f>
        <v>134</v>
      </c>
      <c r="L1306" cm="1">
        <f t="array" ref="L1306">IF($Q1306&gt;=0,IFERROR(generateSalesData($D1306, IF(ISNUMBER(_xlfn.XLOOKUP($C1306,Phone_by_Sentiment!$B$2:$B$37,Phone_by_Sentiment!L$2:L$37,"",0,1)),_xlfn.XLOOKUP($C1306,Phone_by_Sentiment!$B$2:$B$37,Phone_by_Sentiment!L$2:L$37,"",0,1),0),$A1306-TEXT(DATEVALUE($D1306&amp;"-01"), "dd-mm-yyyy")),0),0)</f>
        <v>303</v>
      </c>
      <c r="M1306" cm="1">
        <f t="array" ref="M1306">IF($Q1306&gt;=0,IFERROR(generateSalesData($D1306, IF(ISNUMBER(_xlfn.XLOOKUP($C1306,Phone_by_Sentiment!$B$2:$B$37,Phone_by_Sentiment!M$2:M$37,"",0,1)),_xlfn.XLOOKUP($C1306,Phone_by_Sentiment!$B$2:$B$37,Phone_by_Sentiment!M$2:M$37,"",0,1),0),$A1306-TEXT(DATEVALUE($D1306&amp;"-01"), "dd-mm-yyyy")),0),0)</f>
        <v>554</v>
      </c>
      <c r="N1306" cm="1">
        <f t="array" ref="N1306">IF($Q1306&gt;=0,IFERROR(generateSalesData($D1306, IF(ISNUMBER(_xlfn.XLOOKUP($C1306,Phone_by_Sentiment!$B$2:$B$37,Phone_by_Sentiment!N$2:N$37,"",0,1)),_xlfn.XLOOKUP($C1306,Phone_by_Sentiment!$B$2:$B$37,Phone_by_Sentiment!N$2:N$37,"",0,1),0),$A1306-TEXT(DATEVALUE($D1306&amp;"-01"), "dd-mm-yyyy")),0),0)</f>
        <v>519</v>
      </c>
      <c r="O1306" cm="1">
        <f t="array" ref="O1306">IF($Q1306&gt;=0,IFERROR(generateSalesData($D1306, IF(ISNUMBER(_xlfn.XLOOKUP($C1306,Phone_by_Sentiment!$B$2:$B$37,Phone_by_Sentiment!O$2:O$37,"",0,1)),_xlfn.XLOOKUP($C1306,Phone_by_Sentiment!$B$2:$B$37,Phone_by_Sentiment!O$2:O$37,"",0,1),0),$A1306-TEXT(DATEVALUE($D1306&amp;"-01"), "dd-mm-yyyy")),0),0)</f>
        <v>945</v>
      </c>
      <c r="P1306" s="1">
        <f t="shared" si="51"/>
        <v>44197</v>
      </c>
      <c r="Q1306">
        <f t="shared" si="53"/>
        <v>396</v>
      </c>
    </row>
    <row r="1307" spans="1:17" x14ac:dyDescent="0.25">
      <c r="A1307" s="1">
        <f t="shared" si="48"/>
        <v>44593</v>
      </c>
      <c r="B1307" t="s">
        <v>155</v>
      </c>
      <c r="C1307" t="str">
        <f>_xlfn.XLOOKUP(B1307,Phone_by_Price!$A$2:$A$34,Phone_by_Price!$B$2:$B$34,"-",0,1)</f>
        <v>Google Pixel 6</v>
      </c>
      <c r="D1307" t="str">
        <f>_xlfn.XLOOKUP(C1307,Phone_by_Sentiment!$B$2:$B$37,Phone_by_Sentiment!$A$2:$A$37,"-",0,1)</f>
        <v>2021-10</v>
      </c>
      <c r="E1307" cm="1">
        <f t="array" ref="E1307">IF($Q1307&gt;=0,IFERROR(generateSalesData($D1307, IF(ISNUMBER(_xlfn.XLOOKUP($C1307,Phone_by_Sentiment!$B$2:$B$37,Phone_by_Sentiment!E$2:E$37,"",0,1)),_xlfn.XLOOKUP($C1307,Phone_by_Sentiment!$B$2:$B$37,Phone_by_Sentiment!E$2:E$37,"",0,1),0),$A1307-TEXT(DATEVALUE($D1307&amp;"-01"), "dd-mm-yyyy")),0),0)</f>
        <v>120</v>
      </c>
      <c r="F1307" cm="1">
        <f t="array" ref="F1307">IF($Q1307&gt;=0,IFERROR(generateSalesData($D1307, IF(ISNUMBER(_xlfn.XLOOKUP($C1307,Phone_by_Sentiment!$B$2:$B$37,Phone_by_Sentiment!F$2:F$37,"",0,1)),_xlfn.XLOOKUP($C1307,Phone_by_Sentiment!$B$2:$B$37,Phone_by_Sentiment!F$2:F$37,"",0,1),0),$A1307-TEXT(DATEVALUE($D1307&amp;"-01"), "dd-mm-yyyy")),0),0)</f>
        <v>354</v>
      </c>
      <c r="G1307" cm="1">
        <f t="array" ref="G1307">IF($Q1307&gt;=0,IFERROR(generateSalesData($D1307, IF(ISNUMBER(_xlfn.XLOOKUP($C1307,Phone_by_Sentiment!$B$2:$B$37,Phone_by_Sentiment!G$2:G$37,"",0,1)),_xlfn.XLOOKUP($C1307,Phone_by_Sentiment!$B$2:$B$37,Phone_by_Sentiment!G$2:G$37,"",0,1),0),$A1307-TEXT(DATEVALUE($D1307&amp;"-01"), "dd-mm-yyyy")),0),0)</f>
        <v>288</v>
      </c>
      <c r="H1307" cm="1">
        <f t="array" ref="H1307">IF($Q1307&gt;=0,IFERROR(generateSalesData($D1307, IF(ISNUMBER(_xlfn.XLOOKUP($C1307,Phone_by_Sentiment!$B$2:$B$37,Phone_by_Sentiment!H$2:H$37,"",0,1)),_xlfn.XLOOKUP($C1307,Phone_by_Sentiment!$B$2:$B$37,Phone_by_Sentiment!H$2:H$37,"",0,1),0),$A1307-TEXT(DATEVALUE($D1307&amp;"-01"), "dd-mm-yyyy")),0),0)</f>
        <v>320</v>
      </c>
      <c r="I1307" cm="1">
        <f t="array" ref="I1307">IF($Q1307&gt;=0,IFERROR(generateSalesData($D1307, IF(ISNUMBER(_xlfn.XLOOKUP($C1307,Phone_by_Sentiment!$B$2:$B$37,Phone_by_Sentiment!I$2:I$37,"",0,1)),_xlfn.XLOOKUP($C1307,Phone_by_Sentiment!$B$2:$B$37,Phone_by_Sentiment!I$2:I$37,"",0,1),0),$A1307-TEXT(DATEVALUE($D1307&amp;"-01"), "dd-mm-yyyy")),0),0)</f>
        <v>252</v>
      </c>
      <c r="J1307" cm="1">
        <f t="array" ref="J1307">IF($Q1307&gt;=0,IFERROR(generateSalesData($D1307, IF(ISNUMBER(_xlfn.XLOOKUP($C1307,Phone_by_Sentiment!$B$2:$B$37,Phone_by_Sentiment!J$2:J$37,"",0,1)),_xlfn.XLOOKUP($C1307,Phone_by_Sentiment!$B$2:$B$37,Phone_by_Sentiment!J$2:J$37,"",0,1),0),$A1307-TEXT(DATEVALUE($D1307&amp;"-01"), "dd-mm-yyyy")),0),0)</f>
        <v>84</v>
      </c>
      <c r="K1307" cm="1">
        <f t="array" ref="K1307">IF($Q1307&gt;=0,IFERROR(generateSalesData($D1307, IF(ISNUMBER(_xlfn.XLOOKUP($C1307,Phone_by_Sentiment!$B$2:$B$37,Phone_by_Sentiment!K$2:K$37,"",0,1)),_xlfn.XLOOKUP($C1307,Phone_by_Sentiment!$B$2:$B$37,Phone_by_Sentiment!K$2:K$37,"",0,1),0),$A1307-TEXT(DATEVALUE($D1307&amp;"-01"), "dd-mm-yyyy")),0),0)</f>
        <v>130</v>
      </c>
      <c r="L1307" cm="1">
        <f t="array" ref="L1307">IF($Q1307&gt;=0,IFERROR(generateSalesData($D1307, IF(ISNUMBER(_xlfn.XLOOKUP($C1307,Phone_by_Sentiment!$B$2:$B$37,Phone_by_Sentiment!L$2:L$37,"",0,1)),_xlfn.XLOOKUP($C1307,Phone_by_Sentiment!$B$2:$B$37,Phone_by_Sentiment!L$2:L$37,"",0,1),0),$A1307-TEXT(DATEVALUE($D1307&amp;"-01"), "dd-mm-yyyy")),0),0)</f>
        <v>235</v>
      </c>
      <c r="M1307" cm="1">
        <f t="array" ref="M1307">IF($Q1307&gt;=0,IFERROR(generateSalesData($D1307, IF(ISNUMBER(_xlfn.XLOOKUP($C1307,Phone_by_Sentiment!$B$2:$B$37,Phone_by_Sentiment!M$2:M$37,"",0,1)),_xlfn.XLOOKUP($C1307,Phone_by_Sentiment!$B$2:$B$37,Phone_by_Sentiment!M$2:M$37,"",0,1),0),$A1307-TEXT(DATEVALUE($D1307&amp;"-01"), "dd-mm-yyyy")),0),0)</f>
        <v>2791</v>
      </c>
      <c r="N1307" cm="1">
        <f t="array" ref="N1307">IF($Q1307&gt;=0,IFERROR(generateSalesData($D1307, IF(ISNUMBER(_xlfn.XLOOKUP($C1307,Phone_by_Sentiment!$B$2:$B$37,Phone_by_Sentiment!N$2:N$37,"",0,1)),_xlfn.XLOOKUP($C1307,Phone_by_Sentiment!$B$2:$B$37,Phone_by_Sentiment!N$2:N$37,"",0,1),0),$A1307-TEXT(DATEVALUE($D1307&amp;"-01"), "dd-mm-yyyy")),0),0)</f>
        <v>152</v>
      </c>
      <c r="O1307" cm="1">
        <f t="array" ref="O1307">IF($Q1307&gt;=0,IFERROR(generateSalesData($D1307, IF(ISNUMBER(_xlfn.XLOOKUP($C1307,Phone_by_Sentiment!$B$2:$B$37,Phone_by_Sentiment!O$2:O$37,"",0,1)),_xlfn.XLOOKUP($C1307,Phone_by_Sentiment!$B$2:$B$37,Phone_by_Sentiment!O$2:O$37,"",0,1),0),$A1307-TEXT(DATEVALUE($D1307&amp;"-01"), "dd-mm-yyyy")),0),0)</f>
        <v>372</v>
      </c>
      <c r="P1307" s="1">
        <f t="shared" si="51"/>
        <v>44470</v>
      </c>
      <c r="Q1307">
        <f t="shared" si="53"/>
        <v>123</v>
      </c>
    </row>
    <row r="1308" spans="1:17" x14ac:dyDescent="0.25">
      <c r="A1308" s="1">
        <f t="shared" si="48"/>
        <v>44593</v>
      </c>
      <c r="B1308" t="s">
        <v>156</v>
      </c>
      <c r="C1308" t="str">
        <f>_xlfn.XLOOKUP(B1308,Phone_by_Price!$A$2:$A$34,Phone_by_Price!$B$2:$B$34,"-",0,1)</f>
        <v>OnePlus Nord CE</v>
      </c>
      <c r="D1308" t="str">
        <f>_xlfn.XLOOKUP(C1308,Phone_by_Sentiment!$B$2:$B$37,Phone_by_Sentiment!$A$2:$A$37,"-",0,1)</f>
        <v>2021-06</v>
      </c>
      <c r="E1308" cm="1">
        <f t="array" ref="E1308">IF($Q1308&gt;=0,IFERROR(generateSalesData($D1308, IF(ISNUMBER(_xlfn.XLOOKUP($C1308,Phone_by_Sentiment!$B$2:$B$37,Phone_by_Sentiment!E$2:E$37,"",0,1)),_xlfn.XLOOKUP($C1308,Phone_by_Sentiment!$B$2:$B$37,Phone_by_Sentiment!E$2:E$37,"",0,1),0),$A1308-TEXT(DATEVALUE($D1308&amp;"-01"), "dd-mm-yyyy")),0),0)</f>
        <v>119</v>
      </c>
      <c r="F1308" cm="1">
        <f t="array" ref="F1308">IF($Q1308&gt;=0,IFERROR(generateSalesData($D1308, IF(ISNUMBER(_xlfn.XLOOKUP($C1308,Phone_by_Sentiment!$B$2:$B$37,Phone_by_Sentiment!F$2:F$37,"",0,1)),_xlfn.XLOOKUP($C1308,Phone_by_Sentiment!$B$2:$B$37,Phone_by_Sentiment!F$2:F$37,"",0,1),0),$A1308-TEXT(DATEVALUE($D1308&amp;"-01"), "dd-mm-yyyy")),0),0)</f>
        <v>180</v>
      </c>
      <c r="G1308" cm="1">
        <f t="array" ref="G1308">IF($Q1308&gt;=0,IFERROR(generateSalesData($D1308, IF(ISNUMBER(_xlfn.XLOOKUP($C1308,Phone_by_Sentiment!$B$2:$B$37,Phone_by_Sentiment!G$2:G$37,"",0,1)),_xlfn.XLOOKUP($C1308,Phone_by_Sentiment!$B$2:$B$37,Phone_by_Sentiment!G$2:G$37,"",0,1),0),$A1308-TEXT(DATEVALUE($D1308&amp;"-01"), "dd-mm-yyyy")),0),0)</f>
        <v>240</v>
      </c>
      <c r="H1308" cm="1">
        <f t="array" ref="H1308">IF($Q1308&gt;=0,IFERROR(generateSalesData($D1308, IF(ISNUMBER(_xlfn.XLOOKUP($C1308,Phone_by_Sentiment!$B$2:$B$37,Phone_by_Sentiment!H$2:H$37,"",0,1)),_xlfn.XLOOKUP($C1308,Phone_by_Sentiment!$B$2:$B$37,Phone_by_Sentiment!H$2:H$37,"",0,1),0),$A1308-TEXT(DATEVALUE($D1308&amp;"-01"), "dd-mm-yyyy")),0),0)</f>
        <v>941</v>
      </c>
      <c r="I1308" cm="1">
        <f t="array" ref="I1308">IF($Q1308&gt;=0,IFERROR(generateSalesData($D1308, IF(ISNUMBER(_xlfn.XLOOKUP($C1308,Phone_by_Sentiment!$B$2:$B$37,Phone_by_Sentiment!I$2:I$37,"",0,1)),_xlfn.XLOOKUP($C1308,Phone_by_Sentiment!$B$2:$B$37,Phone_by_Sentiment!I$2:I$37,"",0,1),0),$A1308-TEXT(DATEVALUE($D1308&amp;"-01"), "dd-mm-yyyy")),0),0)</f>
        <v>39</v>
      </c>
      <c r="J1308" cm="1">
        <f t="array" ref="J1308">IF($Q1308&gt;=0,IFERROR(generateSalesData($D1308, IF(ISNUMBER(_xlfn.XLOOKUP($C1308,Phone_by_Sentiment!$B$2:$B$37,Phone_by_Sentiment!J$2:J$37,"",0,1)),_xlfn.XLOOKUP($C1308,Phone_by_Sentiment!$B$2:$B$37,Phone_by_Sentiment!J$2:J$37,"",0,1),0),$A1308-TEXT(DATEVALUE($D1308&amp;"-01"), "dd-mm-yyyy")),0),0)</f>
        <v>214</v>
      </c>
      <c r="K1308" cm="1">
        <f t="array" ref="K1308">IF($Q1308&gt;=0,IFERROR(generateSalesData($D1308, IF(ISNUMBER(_xlfn.XLOOKUP($C1308,Phone_by_Sentiment!$B$2:$B$37,Phone_by_Sentiment!K$2:K$37,"",0,1)),_xlfn.XLOOKUP($C1308,Phone_by_Sentiment!$B$2:$B$37,Phone_by_Sentiment!K$2:K$37,"",0,1),0),$A1308-TEXT(DATEVALUE($D1308&amp;"-01"), "dd-mm-yyyy")),0),0)</f>
        <v>129</v>
      </c>
      <c r="L1308" cm="1">
        <f t="array" ref="L1308">IF($Q1308&gt;=0,IFERROR(generateSalesData($D1308, IF(ISNUMBER(_xlfn.XLOOKUP($C1308,Phone_by_Sentiment!$B$2:$B$37,Phone_by_Sentiment!L$2:L$37,"",0,1)),_xlfn.XLOOKUP($C1308,Phone_by_Sentiment!$B$2:$B$37,Phone_by_Sentiment!L$2:L$37,"",0,1),0),$A1308-TEXT(DATEVALUE($D1308&amp;"-01"), "dd-mm-yyyy")),0),0)</f>
        <v>7</v>
      </c>
      <c r="M1308" cm="1">
        <f t="array" ref="M1308">IF($Q1308&gt;=0,IFERROR(generateSalesData($D1308, IF(ISNUMBER(_xlfn.XLOOKUP($C1308,Phone_by_Sentiment!$B$2:$B$37,Phone_by_Sentiment!M$2:M$37,"",0,1)),_xlfn.XLOOKUP($C1308,Phone_by_Sentiment!$B$2:$B$37,Phone_by_Sentiment!M$2:M$37,"",0,1),0),$A1308-TEXT(DATEVALUE($D1308&amp;"-01"), "dd-mm-yyyy")),0),0)</f>
        <v>68</v>
      </c>
      <c r="N1308" cm="1">
        <f t="array" ref="N1308">IF($Q1308&gt;=0,IFERROR(generateSalesData($D1308, IF(ISNUMBER(_xlfn.XLOOKUP($C1308,Phone_by_Sentiment!$B$2:$B$37,Phone_by_Sentiment!N$2:N$37,"",0,1)),_xlfn.XLOOKUP($C1308,Phone_by_Sentiment!$B$2:$B$37,Phone_by_Sentiment!N$2:N$37,"",0,1),0),$A1308-TEXT(DATEVALUE($D1308&amp;"-01"), "dd-mm-yyyy")),0),0)</f>
        <v>936</v>
      </c>
      <c r="O1308" cm="1">
        <f t="array" ref="O1308">IF($Q1308&gt;=0,IFERROR(generateSalesData($D1308, IF(ISNUMBER(_xlfn.XLOOKUP($C1308,Phone_by_Sentiment!$B$2:$B$37,Phone_by_Sentiment!O$2:O$37,"",0,1)),_xlfn.XLOOKUP($C1308,Phone_by_Sentiment!$B$2:$B$37,Phone_by_Sentiment!O$2:O$37,"",0,1),0),$A1308-TEXT(DATEVALUE($D1308&amp;"-01"), "dd-mm-yyyy")),0),0)</f>
        <v>112</v>
      </c>
      <c r="P1308" s="1">
        <f t="shared" si="51"/>
        <v>44348</v>
      </c>
      <c r="Q1308">
        <f t="shared" si="53"/>
        <v>245</v>
      </c>
    </row>
    <row r="1309" spans="1:17" x14ac:dyDescent="0.25">
      <c r="A1309" s="1">
        <f t="shared" si="48"/>
        <v>44593</v>
      </c>
      <c r="B1309" t="s">
        <v>157</v>
      </c>
      <c r="C1309" t="str">
        <f>_xlfn.XLOOKUP(B1309,Phone_by_Price!$A$2:$A$34,Phone_by_Price!$B$2:$B$34,"-",0,1)</f>
        <v>Apple iPhone 13 Pro</v>
      </c>
      <c r="D1309" t="str">
        <f>_xlfn.XLOOKUP(C1309,Phone_by_Sentiment!$B$2:$B$37,Phone_by_Sentiment!$A$2:$A$37,"-",0,1)</f>
        <v>2021-09</v>
      </c>
      <c r="E1309" cm="1">
        <f t="array" ref="E1309">IF($Q1309&gt;=0,IFERROR(generateSalesData($D1309, IF(ISNUMBER(_xlfn.XLOOKUP($C1309,Phone_by_Sentiment!$B$2:$B$37,Phone_by_Sentiment!E$2:E$37,"",0,1)),_xlfn.XLOOKUP($C1309,Phone_by_Sentiment!$B$2:$B$37,Phone_by_Sentiment!E$2:E$37,"",0,1),0),$A1309-TEXT(DATEVALUE($D1309&amp;"-01"), "dd-mm-yyyy")),0),0)</f>
        <v>1650</v>
      </c>
      <c r="F1309" cm="1">
        <f t="array" ref="F1309">IF($Q1309&gt;=0,IFERROR(generateSalesData($D1309, IF(ISNUMBER(_xlfn.XLOOKUP($C1309,Phone_by_Sentiment!$B$2:$B$37,Phone_by_Sentiment!F$2:F$37,"",0,1)),_xlfn.XLOOKUP($C1309,Phone_by_Sentiment!$B$2:$B$37,Phone_by_Sentiment!F$2:F$37,"",0,1),0),$A1309-TEXT(DATEVALUE($D1309&amp;"-01"), "dd-mm-yyyy")),0),0)</f>
        <v>2313</v>
      </c>
      <c r="G1309" cm="1">
        <f t="array" ref="G1309">IF($Q1309&gt;=0,IFERROR(generateSalesData($D1309, IF(ISNUMBER(_xlfn.XLOOKUP($C1309,Phone_by_Sentiment!$B$2:$B$37,Phone_by_Sentiment!G$2:G$37,"",0,1)),_xlfn.XLOOKUP($C1309,Phone_by_Sentiment!$B$2:$B$37,Phone_by_Sentiment!G$2:G$37,"",0,1),0),$A1309-TEXT(DATEVALUE($D1309&amp;"-01"), "dd-mm-yyyy")),0),0)</f>
        <v>261</v>
      </c>
      <c r="H1309" cm="1">
        <f t="array" ref="H1309">IF($Q1309&gt;=0,IFERROR(generateSalesData($D1309, IF(ISNUMBER(_xlfn.XLOOKUP($C1309,Phone_by_Sentiment!$B$2:$B$37,Phone_by_Sentiment!H$2:H$37,"",0,1)),_xlfn.XLOOKUP($C1309,Phone_by_Sentiment!$B$2:$B$37,Phone_by_Sentiment!H$2:H$37,"",0,1),0),$A1309-TEXT(DATEVALUE($D1309&amp;"-01"), "dd-mm-yyyy")),0),0)</f>
        <v>2488</v>
      </c>
      <c r="I1309" cm="1">
        <f t="array" ref="I1309">IF($Q1309&gt;=0,IFERROR(generateSalesData($D1309, IF(ISNUMBER(_xlfn.XLOOKUP($C1309,Phone_by_Sentiment!$B$2:$B$37,Phone_by_Sentiment!I$2:I$37,"",0,1)),_xlfn.XLOOKUP($C1309,Phone_by_Sentiment!$B$2:$B$37,Phone_by_Sentiment!I$2:I$37,"",0,1),0),$A1309-TEXT(DATEVALUE($D1309&amp;"-01"), "dd-mm-yyyy")),0),0)</f>
        <v>2534</v>
      </c>
      <c r="J1309" cm="1">
        <f t="array" ref="J1309">IF($Q1309&gt;=0,IFERROR(generateSalesData($D1309, IF(ISNUMBER(_xlfn.XLOOKUP($C1309,Phone_by_Sentiment!$B$2:$B$37,Phone_by_Sentiment!J$2:J$37,"",0,1)),_xlfn.XLOOKUP($C1309,Phone_by_Sentiment!$B$2:$B$37,Phone_by_Sentiment!J$2:J$37,"",0,1),0),$A1309-TEXT(DATEVALUE($D1309&amp;"-01"), "dd-mm-yyyy")),0),0)</f>
        <v>409</v>
      </c>
      <c r="K1309" cm="1">
        <f t="array" ref="K1309">IF($Q1309&gt;=0,IFERROR(generateSalesData($D1309, IF(ISNUMBER(_xlfn.XLOOKUP($C1309,Phone_by_Sentiment!$B$2:$B$37,Phone_by_Sentiment!K$2:K$37,"",0,1)),_xlfn.XLOOKUP($C1309,Phone_by_Sentiment!$B$2:$B$37,Phone_by_Sentiment!K$2:K$37,"",0,1),0),$A1309-TEXT(DATEVALUE($D1309&amp;"-01"), "dd-mm-yyyy")),0),0)</f>
        <v>2182</v>
      </c>
      <c r="L1309" cm="1">
        <f t="array" ref="L1309">IF($Q1309&gt;=0,IFERROR(generateSalesData($D1309, IF(ISNUMBER(_xlfn.XLOOKUP($C1309,Phone_by_Sentiment!$B$2:$B$37,Phone_by_Sentiment!L$2:L$37,"",0,1)),_xlfn.XLOOKUP($C1309,Phone_by_Sentiment!$B$2:$B$37,Phone_by_Sentiment!L$2:L$37,"",0,1),0),$A1309-TEXT(DATEVALUE($D1309&amp;"-01"), "dd-mm-yyyy")),0),0)</f>
        <v>1732</v>
      </c>
      <c r="M1309" cm="1">
        <f t="array" ref="M1309">IF($Q1309&gt;=0,IFERROR(generateSalesData($D1309, IF(ISNUMBER(_xlfn.XLOOKUP($C1309,Phone_by_Sentiment!$B$2:$B$37,Phone_by_Sentiment!M$2:M$37,"",0,1)),_xlfn.XLOOKUP($C1309,Phone_by_Sentiment!$B$2:$B$37,Phone_by_Sentiment!M$2:M$37,"",0,1),0),$A1309-TEXT(DATEVALUE($D1309&amp;"-01"), "dd-mm-yyyy")),0),0)</f>
        <v>1715</v>
      </c>
      <c r="N1309" cm="1">
        <f t="array" ref="N1309">IF($Q1309&gt;=0,IFERROR(generateSalesData($D1309, IF(ISNUMBER(_xlfn.XLOOKUP($C1309,Phone_by_Sentiment!$B$2:$B$37,Phone_by_Sentiment!N$2:N$37,"",0,1)),_xlfn.XLOOKUP($C1309,Phone_by_Sentiment!$B$2:$B$37,Phone_by_Sentiment!N$2:N$37,"",0,1),0),$A1309-TEXT(DATEVALUE($D1309&amp;"-01"), "dd-mm-yyyy")),0),0)</f>
        <v>2479</v>
      </c>
      <c r="O1309" cm="1">
        <f t="array" ref="O1309">IF($Q1309&gt;=0,IFERROR(generateSalesData($D1309, IF(ISNUMBER(_xlfn.XLOOKUP($C1309,Phone_by_Sentiment!$B$2:$B$37,Phone_by_Sentiment!O$2:O$37,"",0,1)),_xlfn.XLOOKUP($C1309,Phone_by_Sentiment!$B$2:$B$37,Phone_by_Sentiment!O$2:O$37,"",0,1),0),$A1309-TEXT(DATEVALUE($D1309&amp;"-01"), "dd-mm-yyyy")),0),0)</f>
        <v>3155</v>
      </c>
      <c r="P1309" s="1">
        <f t="shared" si="51"/>
        <v>44440</v>
      </c>
      <c r="Q1309">
        <f t="shared" si="53"/>
        <v>153</v>
      </c>
    </row>
    <row r="1310" spans="1:17" x14ac:dyDescent="0.25">
      <c r="A1310" s="1">
        <f t="shared" si="48"/>
        <v>44593</v>
      </c>
      <c r="B1310" t="s">
        <v>158</v>
      </c>
      <c r="C1310" t="str">
        <f>_xlfn.XLOOKUP(B1310,Phone_by_Price!$A$2:$A$34,Phone_by_Price!$B$2:$B$34,"-",0,1)</f>
        <v>Samsung Galaxy A32 5G</v>
      </c>
      <c r="D1310" t="str">
        <f>_xlfn.XLOOKUP(C1310,Phone_by_Sentiment!$B$2:$B$37,Phone_by_Sentiment!$A$2:$A$37,"-",0,1)</f>
        <v>2021-02</v>
      </c>
      <c r="E1310" cm="1">
        <f t="array" ref="E1310">IF($Q1310&gt;=0,IFERROR(generateSalesData($D1310, IF(ISNUMBER(_xlfn.XLOOKUP($C1310,Phone_by_Sentiment!$B$2:$B$37,Phone_by_Sentiment!E$2:E$37,"",0,1)),_xlfn.XLOOKUP($C1310,Phone_by_Sentiment!$B$2:$B$37,Phone_by_Sentiment!E$2:E$37,"",0,1),0),$A1310-TEXT(DATEVALUE($D1310&amp;"-01"), "dd-mm-yyyy")),0),0)</f>
        <v>589</v>
      </c>
      <c r="F1310" cm="1">
        <f t="array" ref="F1310">IF($Q1310&gt;=0,IFERROR(generateSalesData($D1310, IF(ISNUMBER(_xlfn.XLOOKUP($C1310,Phone_by_Sentiment!$B$2:$B$37,Phone_by_Sentiment!F$2:F$37,"",0,1)),_xlfn.XLOOKUP($C1310,Phone_by_Sentiment!$B$2:$B$37,Phone_by_Sentiment!F$2:F$37,"",0,1),0),$A1310-TEXT(DATEVALUE($D1310&amp;"-01"), "dd-mm-yyyy")),0),0)</f>
        <v>542</v>
      </c>
      <c r="G1310" cm="1">
        <f t="array" ref="G1310">IF($Q1310&gt;=0,IFERROR(generateSalesData($D1310, IF(ISNUMBER(_xlfn.XLOOKUP($C1310,Phone_by_Sentiment!$B$2:$B$37,Phone_by_Sentiment!G$2:G$37,"",0,1)),_xlfn.XLOOKUP($C1310,Phone_by_Sentiment!$B$2:$B$37,Phone_by_Sentiment!G$2:G$37,"",0,1),0),$A1310-TEXT(DATEVALUE($D1310&amp;"-01"), "dd-mm-yyyy")),0),0)</f>
        <v>116</v>
      </c>
      <c r="H1310" cm="1">
        <f t="array" ref="H1310">IF($Q1310&gt;=0,IFERROR(generateSalesData($D1310, IF(ISNUMBER(_xlfn.XLOOKUP($C1310,Phone_by_Sentiment!$B$2:$B$37,Phone_by_Sentiment!H$2:H$37,"",0,1)),_xlfn.XLOOKUP($C1310,Phone_by_Sentiment!$B$2:$B$37,Phone_by_Sentiment!H$2:H$37,"",0,1),0),$A1310-TEXT(DATEVALUE($D1310&amp;"-01"), "dd-mm-yyyy")),0),0)</f>
        <v>815</v>
      </c>
      <c r="I1310" cm="1">
        <f t="array" ref="I1310">IF($Q1310&gt;=0,IFERROR(generateSalesData($D1310, IF(ISNUMBER(_xlfn.XLOOKUP($C1310,Phone_by_Sentiment!$B$2:$B$37,Phone_by_Sentiment!I$2:I$37,"",0,1)),_xlfn.XLOOKUP($C1310,Phone_by_Sentiment!$B$2:$B$37,Phone_by_Sentiment!I$2:I$37,"",0,1),0),$A1310-TEXT(DATEVALUE($D1310&amp;"-01"), "dd-mm-yyyy")),0),0)</f>
        <v>280</v>
      </c>
      <c r="J1310" cm="1">
        <f t="array" ref="J1310">IF($Q1310&gt;=0,IFERROR(generateSalesData($D1310, IF(ISNUMBER(_xlfn.XLOOKUP($C1310,Phone_by_Sentiment!$B$2:$B$37,Phone_by_Sentiment!J$2:J$37,"",0,1)),_xlfn.XLOOKUP($C1310,Phone_by_Sentiment!$B$2:$B$37,Phone_by_Sentiment!J$2:J$37,"",0,1),0),$A1310-TEXT(DATEVALUE($D1310&amp;"-01"), "dd-mm-yyyy")),0),0)</f>
        <v>903</v>
      </c>
      <c r="K1310" cm="1">
        <f t="array" ref="K1310">IF($Q1310&gt;=0,IFERROR(generateSalesData($D1310, IF(ISNUMBER(_xlfn.XLOOKUP($C1310,Phone_by_Sentiment!$B$2:$B$37,Phone_by_Sentiment!K$2:K$37,"",0,1)),_xlfn.XLOOKUP($C1310,Phone_by_Sentiment!$B$2:$B$37,Phone_by_Sentiment!K$2:K$37,"",0,1),0),$A1310-TEXT(DATEVALUE($D1310&amp;"-01"), "dd-mm-yyyy")),0),0)</f>
        <v>407</v>
      </c>
      <c r="L1310" cm="1">
        <f t="array" ref="L1310">IF($Q1310&gt;=0,IFERROR(generateSalesData($D1310, IF(ISNUMBER(_xlfn.XLOOKUP($C1310,Phone_by_Sentiment!$B$2:$B$37,Phone_by_Sentiment!L$2:L$37,"",0,1)),_xlfn.XLOOKUP($C1310,Phone_by_Sentiment!$B$2:$B$37,Phone_by_Sentiment!L$2:L$37,"",0,1),0),$A1310-TEXT(DATEVALUE($D1310&amp;"-01"), "dd-mm-yyyy")),0),0)</f>
        <v>695</v>
      </c>
      <c r="M1310" cm="1">
        <f t="array" ref="M1310">IF($Q1310&gt;=0,IFERROR(generateSalesData($D1310, IF(ISNUMBER(_xlfn.XLOOKUP($C1310,Phone_by_Sentiment!$B$2:$B$37,Phone_by_Sentiment!M$2:M$37,"",0,1)),_xlfn.XLOOKUP($C1310,Phone_by_Sentiment!$B$2:$B$37,Phone_by_Sentiment!M$2:M$37,"",0,1),0),$A1310-TEXT(DATEVALUE($D1310&amp;"-01"), "dd-mm-yyyy")),0),0)</f>
        <v>599</v>
      </c>
      <c r="N1310" cm="1">
        <f t="array" ref="N1310">IF($Q1310&gt;=0,IFERROR(generateSalesData($D1310, IF(ISNUMBER(_xlfn.XLOOKUP($C1310,Phone_by_Sentiment!$B$2:$B$37,Phone_by_Sentiment!N$2:N$37,"",0,1)),_xlfn.XLOOKUP($C1310,Phone_by_Sentiment!$B$2:$B$37,Phone_by_Sentiment!N$2:N$37,"",0,1),0),$A1310-TEXT(DATEVALUE($D1310&amp;"-01"), "dd-mm-yyyy")),0),0)</f>
        <v>414</v>
      </c>
      <c r="O1310" cm="1">
        <f t="array" ref="O1310">IF($Q1310&gt;=0,IFERROR(generateSalesData($D1310, IF(ISNUMBER(_xlfn.XLOOKUP($C1310,Phone_by_Sentiment!$B$2:$B$37,Phone_by_Sentiment!O$2:O$37,"",0,1)),_xlfn.XLOOKUP($C1310,Phone_by_Sentiment!$B$2:$B$37,Phone_by_Sentiment!O$2:O$37,"",0,1),0),$A1310-TEXT(DATEVALUE($D1310&amp;"-01"), "dd-mm-yyyy")),0),0)</f>
        <v>519</v>
      </c>
      <c r="P1310" s="1">
        <f t="shared" si="51"/>
        <v>44228</v>
      </c>
      <c r="Q1310">
        <f t="shared" si="53"/>
        <v>365</v>
      </c>
    </row>
    <row r="1311" spans="1:17" x14ac:dyDescent="0.25">
      <c r="A1311" s="1">
        <f t="shared" si="48"/>
        <v>44593</v>
      </c>
      <c r="B1311" t="s">
        <v>159</v>
      </c>
      <c r="C1311" t="str">
        <f>_xlfn.XLOOKUP(B1311,Phone_by_Price!$A$2:$A$34,Phone_by_Price!$B$2:$B$34,"-",0,1)</f>
        <v>Realme C25</v>
      </c>
      <c r="D1311" t="str">
        <f>_xlfn.XLOOKUP(C1311,Phone_by_Sentiment!$B$2:$B$37,Phone_by_Sentiment!$A$2:$A$37,"-",0,1)</f>
        <v>2021-03</v>
      </c>
      <c r="E1311" cm="1">
        <f t="array" ref="E1311">IF($Q1311&gt;=0,IFERROR(generateSalesData($D1311, IF(ISNUMBER(_xlfn.XLOOKUP($C1311,Phone_by_Sentiment!$B$2:$B$37,Phone_by_Sentiment!E$2:E$37,"",0,1)),_xlfn.XLOOKUP($C1311,Phone_by_Sentiment!$B$2:$B$37,Phone_by_Sentiment!E$2:E$37,"",0,1),0),$A1311-TEXT(DATEVALUE($D1311&amp;"-01"), "dd-mm-yyyy")),0),0)</f>
        <v>211</v>
      </c>
      <c r="F1311" cm="1">
        <f t="array" ref="F1311">IF($Q1311&gt;=0,IFERROR(generateSalesData($D1311, IF(ISNUMBER(_xlfn.XLOOKUP($C1311,Phone_by_Sentiment!$B$2:$B$37,Phone_by_Sentiment!F$2:F$37,"",0,1)),_xlfn.XLOOKUP($C1311,Phone_by_Sentiment!$B$2:$B$37,Phone_by_Sentiment!F$2:F$37,"",0,1),0),$A1311-TEXT(DATEVALUE($D1311&amp;"-01"), "dd-mm-yyyy")),0),0)</f>
        <v>934</v>
      </c>
      <c r="G1311" cm="1">
        <f t="array" ref="G1311">IF($Q1311&gt;=0,IFERROR(generateSalesData($D1311, IF(ISNUMBER(_xlfn.XLOOKUP($C1311,Phone_by_Sentiment!$B$2:$B$37,Phone_by_Sentiment!G$2:G$37,"",0,1)),_xlfn.XLOOKUP($C1311,Phone_by_Sentiment!$B$2:$B$37,Phone_by_Sentiment!G$2:G$37,"",0,1),0),$A1311-TEXT(DATEVALUE($D1311&amp;"-01"), "dd-mm-yyyy")),0),0)</f>
        <v>71</v>
      </c>
      <c r="H1311" cm="1">
        <f t="array" ref="H1311">IF($Q1311&gt;=0,IFERROR(generateSalesData($D1311, IF(ISNUMBER(_xlfn.XLOOKUP($C1311,Phone_by_Sentiment!$B$2:$B$37,Phone_by_Sentiment!H$2:H$37,"",0,1)),_xlfn.XLOOKUP($C1311,Phone_by_Sentiment!$B$2:$B$37,Phone_by_Sentiment!H$2:H$37,"",0,1),0),$A1311-TEXT(DATEVALUE($D1311&amp;"-01"), "dd-mm-yyyy")),0),0)</f>
        <v>1292</v>
      </c>
      <c r="I1311" cm="1">
        <f t="array" ref="I1311">IF($Q1311&gt;=0,IFERROR(generateSalesData($D1311, IF(ISNUMBER(_xlfn.XLOOKUP($C1311,Phone_by_Sentiment!$B$2:$B$37,Phone_by_Sentiment!I$2:I$37,"",0,1)),_xlfn.XLOOKUP($C1311,Phone_by_Sentiment!$B$2:$B$37,Phone_by_Sentiment!I$2:I$37,"",0,1),0),$A1311-TEXT(DATEVALUE($D1311&amp;"-01"), "dd-mm-yyyy")),0),0)</f>
        <v>-1</v>
      </c>
      <c r="J1311" cm="1">
        <f t="array" ref="J1311">IF($Q1311&gt;=0,IFERROR(generateSalesData($D1311, IF(ISNUMBER(_xlfn.XLOOKUP($C1311,Phone_by_Sentiment!$B$2:$B$37,Phone_by_Sentiment!J$2:J$37,"",0,1)),_xlfn.XLOOKUP($C1311,Phone_by_Sentiment!$B$2:$B$37,Phone_by_Sentiment!J$2:J$37,"",0,1),0),$A1311-TEXT(DATEVALUE($D1311&amp;"-01"), "dd-mm-yyyy")),0),0)</f>
        <v>137</v>
      </c>
      <c r="K1311" cm="1">
        <f t="array" ref="K1311">IF($Q1311&gt;=0,IFERROR(generateSalesData($D1311, IF(ISNUMBER(_xlfn.XLOOKUP($C1311,Phone_by_Sentiment!$B$2:$B$37,Phone_by_Sentiment!K$2:K$37,"",0,1)),_xlfn.XLOOKUP($C1311,Phone_by_Sentiment!$B$2:$B$37,Phone_by_Sentiment!K$2:K$37,"",0,1),0),$A1311-TEXT(DATEVALUE($D1311&amp;"-01"), "dd-mm-yyyy")),0),0)</f>
        <v>280</v>
      </c>
      <c r="L1311" cm="1">
        <f t="array" ref="L1311">IF($Q1311&gt;=0,IFERROR(generateSalesData($D1311, IF(ISNUMBER(_xlfn.XLOOKUP($C1311,Phone_by_Sentiment!$B$2:$B$37,Phone_by_Sentiment!L$2:L$37,"",0,1)),_xlfn.XLOOKUP($C1311,Phone_by_Sentiment!$B$2:$B$37,Phone_by_Sentiment!L$2:L$37,"",0,1),0),$A1311-TEXT(DATEVALUE($D1311&amp;"-01"), "dd-mm-yyyy")),0),0)</f>
        <v>429</v>
      </c>
      <c r="M1311" cm="1">
        <f t="array" ref="M1311">IF($Q1311&gt;=0,IFERROR(generateSalesData($D1311, IF(ISNUMBER(_xlfn.XLOOKUP($C1311,Phone_by_Sentiment!$B$2:$B$37,Phone_by_Sentiment!M$2:M$37,"",0,1)),_xlfn.XLOOKUP($C1311,Phone_by_Sentiment!$B$2:$B$37,Phone_by_Sentiment!M$2:M$37,"",0,1),0),$A1311-TEXT(DATEVALUE($D1311&amp;"-01"), "dd-mm-yyyy")),0),0)</f>
        <v>128</v>
      </c>
      <c r="N1311" cm="1">
        <f t="array" ref="N1311">IF($Q1311&gt;=0,IFERROR(generateSalesData($D1311, IF(ISNUMBER(_xlfn.XLOOKUP($C1311,Phone_by_Sentiment!$B$2:$B$37,Phone_by_Sentiment!N$2:N$37,"",0,1)),_xlfn.XLOOKUP($C1311,Phone_by_Sentiment!$B$2:$B$37,Phone_by_Sentiment!N$2:N$37,"",0,1),0),$A1311-TEXT(DATEVALUE($D1311&amp;"-01"), "dd-mm-yyyy")),0),0)</f>
        <v>831</v>
      </c>
      <c r="O1311" cm="1">
        <f t="array" ref="O1311">IF($Q1311&gt;=0,IFERROR(generateSalesData($D1311, IF(ISNUMBER(_xlfn.XLOOKUP($C1311,Phone_by_Sentiment!$B$2:$B$37,Phone_by_Sentiment!O$2:O$37,"",0,1)),_xlfn.XLOOKUP($C1311,Phone_by_Sentiment!$B$2:$B$37,Phone_by_Sentiment!O$2:O$37,"",0,1),0),$A1311-TEXT(DATEVALUE($D1311&amp;"-01"), "dd-mm-yyyy")),0),0)</f>
        <v>193</v>
      </c>
      <c r="P1311" s="1">
        <f t="shared" si="51"/>
        <v>44256</v>
      </c>
      <c r="Q1311">
        <f t="shared" si="53"/>
        <v>337</v>
      </c>
    </row>
    <row r="1312" spans="1:17" x14ac:dyDescent="0.25">
      <c r="A1312" s="1">
        <f t="shared" si="48"/>
        <v>44593</v>
      </c>
      <c r="B1312" t="s">
        <v>160</v>
      </c>
      <c r="C1312" t="str">
        <f>_xlfn.XLOOKUP(B1312,Phone_by_Price!$A$2:$A$34,Phone_by_Price!$B$2:$B$34,"-",0,1)</f>
        <v>Xiaomi Poco X3 Pro</v>
      </c>
      <c r="D1312" t="str">
        <f>_xlfn.XLOOKUP(C1312,Phone_by_Sentiment!$B$2:$B$37,Phone_by_Sentiment!$A$2:$A$37,"-",0,1)</f>
        <v>2021-05</v>
      </c>
      <c r="E1312" cm="1">
        <f t="array" ref="E1312">IF($Q1312&gt;=0,IFERROR(generateSalesData($D1312, IF(ISNUMBER(_xlfn.XLOOKUP($C1312,Phone_by_Sentiment!$B$2:$B$37,Phone_by_Sentiment!E$2:E$37,"",0,1)),_xlfn.XLOOKUP($C1312,Phone_by_Sentiment!$B$2:$B$37,Phone_by_Sentiment!E$2:E$37,"",0,1),0),$A1312-TEXT(DATEVALUE($D1312&amp;"-01"), "dd-mm-yyyy")),0),0)</f>
        <v>1310</v>
      </c>
      <c r="F1312" cm="1">
        <f t="array" ref="F1312">IF($Q1312&gt;=0,IFERROR(generateSalesData($D1312, IF(ISNUMBER(_xlfn.XLOOKUP($C1312,Phone_by_Sentiment!$B$2:$B$37,Phone_by_Sentiment!F$2:F$37,"",0,1)),_xlfn.XLOOKUP($C1312,Phone_by_Sentiment!$B$2:$B$37,Phone_by_Sentiment!F$2:F$37,"",0,1),0),$A1312-TEXT(DATEVALUE($D1312&amp;"-01"), "dd-mm-yyyy")),0),0)</f>
        <v>186</v>
      </c>
      <c r="G1312" cm="1">
        <f t="array" ref="G1312">IF($Q1312&gt;=0,IFERROR(generateSalesData($D1312, IF(ISNUMBER(_xlfn.XLOOKUP($C1312,Phone_by_Sentiment!$B$2:$B$37,Phone_by_Sentiment!G$2:G$37,"",0,1)),_xlfn.XLOOKUP($C1312,Phone_by_Sentiment!$B$2:$B$37,Phone_by_Sentiment!G$2:G$37,"",0,1),0),$A1312-TEXT(DATEVALUE($D1312&amp;"-01"), "dd-mm-yyyy")),0),0)</f>
        <v>226</v>
      </c>
      <c r="H1312" cm="1">
        <f t="array" ref="H1312">IF($Q1312&gt;=0,IFERROR(generateSalesData($D1312, IF(ISNUMBER(_xlfn.XLOOKUP($C1312,Phone_by_Sentiment!$B$2:$B$37,Phone_by_Sentiment!H$2:H$37,"",0,1)),_xlfn.XLOOKUP($C1312,Phone_by_Sentiment!$B$2:$B$37,Phone_by_Sentiment!H$2:H$37,"",0,1),0),$A1312-TEXT(DATEVALUE($D1312&amp;"-01"), "dd-mm-yyyy")),0),0)</f>
        <v>723</v>
      </c>
      <c r="I1312" cm="1">
        <f t="array" ref="I1312">IF($Q1312&gt;=0,IFERROR(generateSalesData($D1312, IF(ISNUMBER(_xlfn.XLOOKUP($C1312,Phone_by_Sentiment!$B$2:$B$37,Phone_by_Sentiment!I$2:I$37,"",0,1)),_xlfn.XLOOKUP($C1312,Phone_by_Sentiment!$B$2:$B$37,Phone_by_Sentiment!I$2:I$37,"",0,1),0),$A1312-TEXT(DATEVALUE($D1312&amp;"-01"), "dd-mm-yyyy")),0),0)</f>
        <v>536</v>
      </c>
      <c r="J1312" cm="1">
        <f t="array" ref="J1312">IF($Q1312&gt;=0,IFERROR(generateSalesData($D1312, IF(ISNUMBER(_xlfn.XLOOKUP($C1312,Phone_by_Sentiment!$B$2:$B$37,Phone_by_Sentiment!J$2:J$37,"",0,1)),_xlfn.XLOOKUP($C1312,Phone_by_Sentiment!$B$2:$B$37,Phone_by_Sentiment!J$2:J$37,"",0,1),0),$A1312-TEXT(DATEVALUE($D1312&amp;"-01"), "dd-mm-yyyy")),0),0)</f>
        <v>-2</v>
      </c>
      <c r="K1312" cm="1">
        <f t="array" ref="K1312">IF($Q1312&gt;=0,IFERROR(generateSalesData($D1312, IF(ISNUMBER(_xlfn.XLOOKUP($C1312,Phone_by_Sentiment!$B$2:$B$37,Phone_by_Sentiment!K$2:K$37,"",0,1)),_xlfn.XLOOKUP($C1312,Phone_by_Sentiment!$B$2:$B$37,Phone_by_Sentiment!K$2:K$37,"",0,1),0),$A1312-TEXT(DATEVALUE($D1312&amp;"-01"), "dd-mm-yyyy")),0),0)</f>
        <v>945</v>
      </c>
      <c r="L1312" cm="1">
        <f t="array" ref="L1312">IF($Q1312&gt;=0,IFERROR(generateSalesData($D1312, IF(ISNUMBER(_xlfn.XLOOKUP($C1312,Phone_by_Sentiment!$B$2:$B$37,Phone_by_Sentiment!L$2:L$37,"",0,1)),_xlfn.XLOOKUP($C1312,Phone_by_Sentiment!$B$2:$B$37,Phone_by_Sentiment!L$2:L$37,"",0,1),0),$A1312-TEXT(DATEVALUE($D1312&amp;"-01"), "dd-mm-yyyy")),0),0)</f>
        <v>385</v>
      </c>
      <c r="M1312" cm="1">
        <f t="array" ref="M1312">IF($Q1312&gt;=0,IFERROR(generateSalesData($D1312, IF(ISNUMBER(_xlfn.XLOOKUP($C1312,Phone_by_Sentiment!$B$2:$B$37,Phone_by_Sentiment!M$2:M$37,"",0,1)),_xlfn.XLOOKUP($C1312,Phone_by_Sentiment!$B$2:$B$37,Phone_by_Sentiment!M$2:M$37,"",0,1),0),$A1312-TEXT(DATEVALUE($D1312&amp;"-01"), "dd-mm-yyyy")),0),0)</f>
        <v>1053</v>
      </c>
      <c r="N1312" cm="1">
        <f t="array" ref="N1312">IF($Q1312&gt;=0,IFERROR(generateSalesData($D1312, IF(ISNUMBER(_xlfn.XLOOKUP($C1312,Phone_by_Sentiment!$B$2:$B$37,Phone_by_Sentiment!N$2:N$37,"",0,1)),_xlfn.XLOOKUP($C1312,Phone_by_Sentiment!$B$2:$B$37,Phone_by_Sentiment!N$2:N$37,"",0,1),0),$A1312-TEXT(DATEVALUE($D1312&amp;"-01"), "dd-mm-yyyy")),0),0)</f>
        <v>-31</v>
      </c>
      <c r="O1312" cm="1">
        <f t="array" ref="O1312">IF($Q1312&gt;=0,IFERROR(generateSalesData($D1312, IF(ISNUMBER(_xlfn.XLOOKUP($C1312,Phone_by_Sentiment!$B$2:$B$37,Phone_by_Sentiment!O$2:O$37,"",0,1)),_xlfn.XLOOKUP($C1312,Phone_by_Sentiment!$B$2:$B$37,Phone_by_Sentiment!O$2:O$37,"",0,1),0),$A1312-TEXT(DATEVALUE($D1312&amp;"-01"), "dd-mm-yyyy")),0),0)</f>
        <v>799</v>
      </c>
      <c r="P1312" s="1">
        <f t="shared" si="51"/>
        <v>44317</v>
      </c>
      <c r="Q1312">
        <f t="shared" si="53"/>
        <v>276</v>
      </c>
    </row>
    <row r="1313" spans="1:17" x14ac:dyDescent="0.25">
      <c r="A1313" s="1">
        <f t="shared" si="48"/>
        <v>44593</v>
      </c>
      <c r="B1313" t="s">
        <v>161</v>
      </c>
      <c r="C1313" t="str">
        <f>_xlfn.XLOOKUP(B1313,Phone_by_Price!$A$2:$A$34,Phone_by_Price!$B$2:$B$34,"-",0,1)</f>
        <v>Samsung Galaxy Z Flip 3</v>
      </c>
      <c r="D1313" t="str">
        <f>_xlfn.XLOOKUP(C1313,Phone_by_Sentiment!$B$2:$B$37,Phone_by_Sentiment!$A$2:$A$37,"-",0,1)</f>
        <v>2021-09</v>
      </c>
      <c r="E1313" cm="1">
        <f t="array" ref="E1313">IF($Q1313&gt;=0,IFERROR(generateSalesData($D1313, IF(ISNUMBER(_xlfn.XLOOKUP($C1313,Phone_by_Sentiment!$B$2:$B$37,Phone_by_Sentiment!E$2:E$37,"",0,1)),_xlfn.XLOOKUP($C1313,Phone_by_Sentiment!$B$2:$B$37,Phone_by_Sentiment!E$2:E$37,"",0,1),0),$A1313-TEXT(DATEVALUE($D1313&amp;"-01"), "dd-mm-yyyy")),0),0)</f>
        <v>1043</v>
      </c>
      <c r="F1313" cm="1">
        <f t="array" ref="F1313">IF($Q1313&gt;=0,IFERROR(generateSalesData($D1313, IF(ISNUMBER(_xlfn.XLOOKUP($C1313,Phone_by_Sentiment!$B$2:$B$37,Phone_by_Sentiment!F$2:F$37,"",0,1)),_xlfn.XLOOKUP($C1313,Phone_by_Sentiment!$B$2:$B$37,Phone_by_Sentiment!F$2:F$37,"",0,1),0),$A1313-TEXT(DATEVALUE($D1313&amp;"-01"), "dd-mm-yyyy")),0),0)</f>
        <v>511</v>
      </c>
      <c r="G1313" cm="1">
        <f t="array" ref="G1313">IF($Q1313&gt;=0,IFERROR(generateSalesData($D1313, IF(ISNUMBER(_xlfn.XLOOKUP($C1313,Phone_by_Sentiment!$B$2:$B$37,Phone_by_Sentiment!G$2:G$37,"",0,1)),_xlfn.XLOOKUP($C1313,Phone_by_Sentiment!$B$2:$B$37,Phone_by_Sentiment!G$2:G$37,"",0,1),0),$A1313-TEXT(DATEVALUE($D1313&amp;"-01"), "dd-mm-yyyy")),0),0)</f>
        <v>345</v>
      </c>
      <c r="H1313" cm="1">
        <f t="array" ref="H1313">IF($Q1313&gt;=0,IFERROR(generateSalesData($D1313, IF(ISNUMBER(_xlfn.XLOOKUP($C1313,Phone_by_Sentiment!$B$2:$B$37,Phone_by_Sentiment!H$2:H$37,"",0,1)),_xlfn.XLOOKUP($C1313,Phone_by_Sentiment!$B$2:$B$37,Phone_by_Sentiment!H$2:H$37,"",0,1),0),$A1313-TEXT(DATEVALUE($D1313&amp;"-01"), "dd-mm-yyyy")),0),0)</f>
        <v>1780</v>
      </c>
      <c r="I1313" cm="1">
        <f t="array" ref="I1313">IF($Q1313&gt;=0,IFERROR(generateSalesData($D1313, IF(ISNUMBER(_xlfn.XLOOKUP($C1313,Phone_by_Sentiment!$B$2:$B$37,Phone_by_Sentiment!I$2:I$37,"",0,1)),_xlfn.XLOOKUP($C1313,Phone_by_Sentiment!$B$2:$B$37,Phone_by_Sentiment!I$2:I$37,"",0,1),0),$A1313-TEXT(DATEVALUE($D1313&amp;"-01"), "dd-mm-yyyy")),0),0)</f>
        <v>1895</v>
      </c>
      <c r="J1313" cm="1">
        <f t="array" ref="J1313">IF($Q1313&gt;=0,IFERROR(generateSalesData($D1313, IF(ISNUMBER(_xlfn.XLOOKUP($C1313,Phone_by_Sentiment!$B$2:$B$37,Phone_by_Sentiment!J$2:J$37,"",0,1)),_xlfn.XLOOKUP($C1313,Phone_by_Sentiment!$B$2:$B$37,Phone_by_Sentiment!J$2:J$37,"",0,1),0),$A1313-TEXT(DATEVALUE($D1313&amp;"-01"), "dd-mm-yyyy")),0),0)</f>
        <v>1015</v>
      </c>
      <c r="K1313" cm="1">
        <f t="array" ref="K1313">IF($Q1313&gt;=0,IFERROR(generateSalesData($D1313, IF(ISNUMBER(_xlfn.XLOOKUP($C1313,Phone_by_Sentiment!$B$2:$B$37,Phone_by_Sentiment!K$2:K$37,"",0,1)),_xlfn.XLOOKUP($C1313,Phone_by_Sentiment!$B$2:$B$37,Phone_by_Sentiment!K$2:K$37,"",0,1),0),$A1313-TEXT(DATEVALUE($D1313&amp;"-01"), "dd-mm-yyyy")),0),0)</f>
        <v>2673</v>
      </c>
      <c r="L1313" cm="1">
        <f t="array" ref="L1313">IF($Q1313&gt;=0,IFERROR(generateSalesData($D1313, IF(ISNUMBER(_xlfn.XLOOKUP($C1313,Phone_by_Sentiment!$B$2:$B$37,Phone_by_Sentiment!L$2:L$37,"",0,1)),_xlfn.XLOOKUP($C1313,Phone_by_Sentiment!$B$2:$B$37,Phone_by_Sentiment!L$2:L$37,"",0,1),0),$A1313-TEXT(DATEVALUE($D1313&amp;"-01"), "dd-mm-yyyy")),0),0)</f>
        <v>2713</v>
      </c>
      <c r="M1313" cm="1">
        <f t="array" ref="M1313">IF($Q1313&gt;=0,IFERROR(generateSalesData($D1313, IF(ISNUMBER(_xlfn.XLOOKUP($C1313,Phone_by_Sentiment!$B$2:$B$37,Phone_by_Sentiment!M$2:M$37,"",0,1)),_xlfn.XLOOKUP($C1313,Phone_by_Sentiment!$B$2:$B$37,Phone_by_Sentiment!M$2:M$37,"",0,1),0),$A1313-TEXT(DATEVALUE($D1313&amp;"-01"), "dd-mm-yyyy")),0),0)</f>
        <v>1283</v>
      </c>
      <c r="N1313" cm="1">
        <f t="array" ref="N1313">IF($Q1313&gt;=0,IFERROR(generateSalesData($D1313, IF(ISNUMBER(_xlfn.XLOOKUP($C1313,Phone_by_Sentiment!$B$2:$B$37,Phone_by_Sentiment!N$2:N$37,"",0,1)),_xlfn.XLOOKUP($C1313,Phone_by_Sentiment!$B$2:$B$37,Phone_by_Sentiment!N$2:N$37,"",0,1),0),$A1313-TEXT(DATEVALUE($D1313&amp;"-01"), "dd-mm-yyyy")),0),0)</f>
        <v>50</v>
      </c>
      <c r="O1313" cm="1">
        <f t="array" ref="O1313">IF($Q1313&gt;=0,IFERROR(generateSalesData($D1313, IF(ISNUMBER(_xlfn.XLOOKUP($C1313,Phone_by_Sentiment!$B$2:$B$37,Phone_by_Sentiment!O$2:O$37,"",0,1)),_xlfn.XLOOKUP($C1313,Phone_by_Sentiment!$B$2:$B$37,Phone_by_Sentiment!O$2:O$37,"",0,1),0),$A1313-TEXT(DATEVALUE($D1313&amp;"-01"), "dd-mm-yyyy")),0),0)</f>
        <v>3494</v>
      </c>
      <c r="P1313" s="1">
        <f t="shared" si="51"/>
        <v>44440</v>
      </c>
      <c r="Q1313">
        <f t="shared" si="53"/>
        <v>153</v>
      </c>
    </row>
    <row r="1314" spans="1:17" x14ac:dyDescent="0.25">
      <c r="A1314" s="1">
        <f t="shared" si="48"/>
        <v>44593</v>
      </c>
      <c r="B1314" t="s">
        <v>162</v>
      </c>
      <c r="C1314" t="str">
        <f>_xlfn.XLOOKUP(B1314,Phone_by_Price!$A$2:$A$34,Phone_by_Price!$B$2:$B$34,"-",0,1)</f>
        <v>Xiaomi Poco X3 NFC</v>
      </c>
      <c r="D1314" t="str">
        <f>_xlfn.XLOOKUP(C1314,Phone_by_Sentiment!$B$2:$B$37,Phone_by_Sentiment!$A$2:$A$37,"-",0,1)</f>
        <v>2020-08</v>
      </c>
      <c r="E1314" cm="1">
        <f t="array" ref="E1314">IF($Q1314&gt;=0,IFERROR(generateSalesData($D1314, IF(ISNUMBER(_xlfn.XLOOKUP($C1314,Phone_by_Sentiment!$B$2:$B$37,Phone_by_Sentiment!E$2:E$37,"",0,1)),_xlfn.XLOOKUP($C1314,Phone_by_Sentiment!$B$2:$B$37,Phone_by_Sentiment!E$2:E$37,"",0,1),0),$A1314-TEXT(DATEVALUE($D1314&amp;"-01"), "dd-mm-yyyy")),0),0)</f>
        <v>53</v>
      </c>
      <c r="F1314" cm="1">
        <f t="array" ref="F1314">IF($Q1314&gt;=0,IFERROR(generateSalesData($D1314, IF(ISNUMBER(_xlfn.XLOOKUP($C1314,Phone_by_Sentiment!$B$2:$B$37,Phone_by_Sentiment!F$2:F$37,"",0,1)),_xlfn.XLOOKUP($C1314,Phone_by_Sentiment!$B$2:$B$37,Phone_by_Sentiment!F$2:F$37,"",0,1),0),$A1314-TEXT(DATEVALUE($D1314&amp;"-01"), "dd-mm-yyyy")),0),0)</f>
        <v>107</v>
      </c>
      <c r="G1314" cm="1">
        <f t="array" ref="G1314">IF($Q1314&gt;=0,IFERROR(generateSalesData($D1314, IF(ISNUMBER(_xlfn.XLOOKUP($C1314,Phone_by_Sentiment!$B$2:$B$37,Phone_by_Sentiment!G$2:G$37,"",0,1)),_xlfn.XLOOKUP($C1314,Phone_by_Sentiment!$B$2:$B$37,Phone_by_Sentiment!G$2:G$37,"",0,1),0),$A1314-TEXT(DATEVALUE($D1314&amp;"-01"), "dd-mm-yyyy")),0),0)</f>
        <v>149</v>
      </c>
      <c r="H1314" cm="1">
        <f t="array" ref="H1314">IF($Q1314&gt;=0,IFERROR(generateSalesData($D1314, IF(ISNUMBER(_xlfn.XLOOKUP($C1314,Phone_by_Sentiment!$B$2:$B$37,Phone_by_Sentiment!H$2:H$37,"",0,1)),_xlfn.XLOOKUP($C1314,Phone_by_Sentiment!$B$2:$B$37,Phone_by_Sentiment!H$2:H$37,"",0,1),0),$A1314-TEXT(DATEVALUE($D1314&amp;"-01"), "dd-mm-yyyy")),0),0)</f>
        <v>264</v>
      </c>
      <c r="I1314" cm="1">
        <f t="array" ref="I1314">IF($Q1314&gt;=0,IFERROR(generateSalesData($D1314, IF(ISNUMBER(_xlfn.XLOOKUP($C1314,Phone_by_Sentiment!$B$2:$B$37,Phone_by_Sentiment!I$2:I$37,"",0,1)),_xlfn.XLOOKUP($C1314,Phone_by_Sentiment!$B$2:$B$37,Phone_by_Sentiment!I$2:I$37,"",0,1),0),$A1314-TEXT(DATEVALUE($D1314&amp;"-01"), "dd-mm-yyyy")),0),0)</f>
        <v>125</v>
      </c>
      <c r="J1314" cm="1">
        <f t="array" ref="J1314">IF($Q1314&gt;=0,IFERROR(generateSalesData($D1314, IF(ISNUMBER(_xlfn.XLOOKUP($C1314,Phone_by_Sentiment!$B$2:$B$37,Phone_by_Sentiment!J$2:J$37,"",0,1)),_xlfn.XLOOKUP($C1314,Phone_by_Sentiment!$B$2:$B$37,Phone_by_Sentiment!J$2:J$37,"",0,1),0),$A1314-TEXT(DATEVALUE($D1314&amp;"-01"), "dd-mm-yyyy")),0),0)</f>
        <v>131</v>
      </c>
      <c r="K1314" cm="1">
        <f t="array" ref="K1314">IF($Q1314&gt;=0,IFERROR(generateSalesData($D1314, IF(ISNUMBER(_xlfn.XLOOKUP($C1314,Phone_by_Sentiment!$B$2:$B$37,Phone_by_Sentiment!K$2:K$37,"",0,1)),_xlfn.XLOOKUP($C1314,Phone_by_Sentiment!$B$2:$B$37,Phone_by_Sentiment!K$2:K$37,"",0,1),0),$A1314-TEXT(DATEVALUE($D1314&amp;"-01"), "dd-mm-yyyy")),0),0)</f>
        <v>86</v>
      </c>
      <c r="L1314" cm="1">
        <f t="array" ref="L1314">IF($Q1314&gt;=0,IFERROR(generateSalesData($D1314, IF(ISNUMBER(_xlfn.XLOOKUP($C1314,Phone_by_Sentiment!$B$2:$B$37,Phone_by_Sentiment!L$2:L$37,"",0,1)),_xlfn.XLOOKUP($C1314,Phone_by_Sentiment!$B$2:$B$37,Phone_by_Sentiment!L$2:L$37,"",0,1),0),$A1314-TEXT(DATEVALUE($D1314&amp;"-01"), "dd-mm-yyyy")),0),0)</f>
        <v>78</v>
      </c>
      <c r="M1314" cm="1">
        <f t="array" ref="M1314">IF($Q1314&gt;=0,IFERROR(generateSalesData($D1314, IF(ISNUMBER(_xlfn.XLOOKUP($C1314,Phone_by_Sentiment!$B$2:$B$37,Phone_by_Sentiment!M$2:M$37,"",0,1)),_xlfn.XLOOKUP($C1314,Phone_by_Sentiment!$B$2:$B$37,Phone_by_Sentiment!M$2:M$37,"",0,1),0),$A1314-TEXT(DATEVALUE($D1314&amp;"-01"), "dd-mm-yyyy")),0),0)</f>
        <v>251</v>
      </c>
      <c r="N1314" cm="1">
        <f t="array" ref="N1314">IF($Q1314&gt;=0,IFERROR(generateSalesData($D1314, IF(ISNUMBER(_xlfn.XLOOKUP($C1314,Phone_by_Sentiment!$B$2:$B$37,Phone_by_Sentiment!N$2:N$37,"",0,1)),_xlfn.XLOOKUP($C1314,Phone_by_Sentiment!$B$2:$B$37,Phone_by_Sentiment!N$2:N$37,"",0,1),0),$A1314-TEXT(DATEVALUE($D1314&amp;"-01"), "dd-mm-yyyy")),0),0)</f>
        <v>124</v>
      </c>
      <c r="O1314" cm="1">
        <f t="array" ref="O1314">IF($Q1314&gt;=0,IFERROR(generateSalesData($D1314, IF(ISNUMBER(_xlfn.XLOOKUP($C1314,Phone_by_Sentiment!$B$2:$B$37,Phone_by_Sentiment!O$2:O$37,"",0,1)),_xlfn.XLOOKUP($C1314,Phone_by_Sentiment!$B$2:$B$37,Phone_by_Sentiment!O$2:O$37,"",0,1),0),$A1314-TEXT(DATEVALUE($D1314&amp;"-01"), "dd-mm-yyyy")),0),0)</f>
        <v>512</v>
      </c>
      <c r="P1314" s="1">
        <f t="shared" si="51"/>
        <v>44044</v>
      </c>
      <c r="Q1314">
        <f t="shared" si="53"/>
        <v>549</v>
      </c>
    </row>
    <row r="1315" spans="1:17" x14ac:dyDescent="0.25">
      <c r="A1315" s="1">
        <f t="shared" si="48"/>
        <v>44593</v>
      </c>
      <c r="B1315" t="s">
        <v>163</v>
      </c>
      <c r="C1315" t="str">
        <f>_xlfn.XLOOKUP(B1315,Phone_by_Price!$A$2:$A$34,Phone_by_Price!$B$2:$B$34,"-",0,1)</f>
        <v>OPPO A93</v>
      </c>
      <c r="D1315" t="str">
        <f>_xlfn.XLOOKUP(C1315,Phone_by_Sentiment!$B$2:$B$37,Phone_by_Sentiment!$A$2:$A$37,"-",0,1)</f>
        <v>2021-02</v>
      </c>
      <c r="E1315" cm="1">
        <f t="array" ref="E1315">IF($Q1315&gt;=0,IFERROR(generateSalesData($D1315, IF(ISNUMBER(_xlfn.XLOOKUP($C1315,Phone_by_Sentiment!$B$2:$B$37,Phone_by_Sentiment!E$2:E$37,"",0,1)),_xlfn.XLOOKUP($C1315,Phone_by_Sentiment!$B$2:$B$37,Phone_by_Sentiment!E$2:E$37,"",0,1),0),$A1315-TEXT(DATEVALUE($D1315&amp;"-01"), "dd-mm-yyyy")),0),0)</f>
        <v>398</v>
      </c>
      <c r="F1315" cm="1">
        <f t="array" ref="F1315">IF($Q1315&gt;=0,IFERROR(generateSalesData($D1315, IF(ISNUMBER(_xlfn.XLOOKUP($C1315,Phone_by_Sentiment!$B$2:$B$37,Phone_by_Sentiment!F$2:F$37,"",0,1)),_xlfn.XLOOKUP($C1315,Phone_by_Sentiment!$B$2:$B$37,Phone_by_Sentiment!F$2:F$37,"",0,1),0),$A1315-TEXT(DATEVALUE($D1315&amp;"-01"), "dd-mm-yyyy")),0),0)</f>
        <v>225</v>
      </c>
      <c r="G1315" cm="1">
        <f t="array" ref="G1315">IF($Q1315&gt;=0,IFERROR(generateSalesData($D1315, IF(ISNUMBER(_xlfn.XLOOKUP($C1315,Phone_by_Sentiment!$B$2:$B$37,Phone_by_Sentiment!G$2:G$37,"",0,1)),_xlfn.XLOOKUP($C1315,Phone_by_Sentiment!$B$2:$B$37,Phone_by_Sentiment!G$2:G$37,"",0,1),0),$A1315-TEXT(DATEVALUE($D1315&amp;"-01"), "dd-mm-yyyy")),0),0)</f>
        <v>114</v>
      </c>
      <c r="H1315" cm="1">
        <f t="array" ref="H1315">IF($Q1315&gt;=0,IFERROR(generateSalesData($D1315, IF(ISNUMBER(_xlfn.XLOOKUP($C1315,Phone_by_Sentiment!$B$2:$B$37,Phone_by_Sentiment!H$2:H$37,"",0,1)),_xlfn.XLOOKUP($C1315,Phone_by_Sentiment!$B$2:$B$37,Phone_by_Sentiment!H$2:H$37,"",0,1),0),$A1315-TEXT(DATEVALUE($D1315&amp;"-01"), "dd-mm-yyyy")),0),0)</f>
        <v>797</v>
      </c>
      <c r="I1315" cm="1">
        <f t="array" ref="I1315">IF($Q1315&gt;=0,IFERROR(generateSalesData($D1315, IF(ISNUMBER(_xlfn.XLOOKUP($C1315,Phone_by_Sentiment!$B$2:$B$37,Phone_by_Sentiment!I$2:I$37,"",0,1)),_xlfn.XLOOKUP($C1315,Phone_by_Sentiment!$B$2:$B$37,Phone_by_Sentiment!I$2:I$37,"",0,1),0),$A1315-TEXT(DATEVALUE($D1315&amp;"-01"), "dd-mm-yyyy")),0),0)</f>
        <v>1061</v>
      </c>
      <c r="J1315" cm="1">
        <f t="array" ref="J1315">IF($Q1315&gt;=0,IFERROR(generateSalesData($D1315, IF(ISNUMBER(_xlfn.XLOOKUP($C1315,Phone_by_Sentiment!$B$2:$B$37,Phone_by_Sentiment!J$2:J$37,"",0,1)),_xlfn.XLOOKUP($C1315,Phone_by_Sentiment!$B$2:$B$37,Phone_by_Sentiment!J$2:J$37,"",0,1),0),$A1315-TEXT(DATEVALUE($D1315&amp;"-01"), "dd-mm-yyyy")),0),0)</f>
        <v>69</v>
      </c>
      <c r="K1315" cm="1">
        <f t="array" ref="K1315">IF($Q1315&gt;=0,IFERROR(generateSalesData($D1315, IF(ISNUMBER(_xlfn.XLOOKUP($C1315,Phone_by_Sentiment!$B$2:$B$37,Phone_by_Sentiment!K$2:K$37,"",0,1)),_xlfn.XLOOKUP($C1315,Phone_by_Sentiment!$B$2:$B$37,Phone_by_Sentiment!K$2:K$37,"",0,1),0),$A1315-TEXT(DATEVALUE($D1315&amp;"-01"), "dd-mm-yyyy")),0),0)</f>
        <v>213</v>
      </c>
      <c r="L1315" cm="1">
        <f t="array" ref="L1315">IF($Q1315&gt;=0,IFERROR(generateSalesData($D1315, IF(ISNUMBER(_xlfn.XLOOKUP($C1315,Phone_by_Sentiment!$B$2:$B$37,Phone_by_Sentiment!L$2:L$37,"",0,1)),_xlfn.XLOOKUP($C1315,Phone_by_Sentiment!$B$2:$B$37,Phone_by_Sentiment!L$2:L$37,"",0,1),0),$A1315-TEXT(DATEVALUE($D1315&amp;"-01"), "dd-mm-yyyy")),0),0)</f>
        <v>177</v>
      </c>
      <c r="M1315" cm="1">
        <f t="array" ref="M1315">IF($Q1315&gt;=0,IFERROR(generateSalesData($D1315, IF(ISNUMBER(_xlfn.XLOOKUP($C1315,Phone_by_Sentiment!$B$2:$B$37,Phone_by_Sentiment!M$2:M$37,"",0,1)),_xlfn.XLOOKUP($C1315,Phone_by_Sentiment!$B$2:$B$37,Phone_by_Sentiment!M$2:M$37,"",0,1),0),$A1315-TEXT(DATEVALUE($D1315&amp;"-01"), "dd-mm-yyyy")),0),0)</f>
        <v>120</v>
      </c>
      <c r="N1315" cm="1">
        <f t="array" ref="N1315">IF($Q1315&gt;=0,IFERROR(generateSalesData($D1315, IF(ISNUMBER(_xlfn.XLOOKUP($C1315,Phone_by_Sentiment!$B$2:$B$37,Phone_by_Sentiment!N$2:N$37,"",0,1)),_xlfn.XLOOKUP($C1315,Phone_by_Sentiment!$B$2:$B$37,Phone_by_Sentiment!N$2:N$37,"",0,1),0),$A1315-TEXT(DATEVALUE($D1315&amp;"-01"), "dd-mm-yyyy")),0),0)</f>
        <v>-201</v>
      </c>
      <c r="O1315" cm="1">
        <f t="array" ref="O1315">IF($Q1315&gt;=0,IFERROR(generateSalesData($D1315, IF(ISNUMBER(_xlfn.XLOOKUP($C1315,Phone_by_Sentiment!$B$2:$B$37,Phone_by_Sentiment!O$2:O$37,"",0,1)),_xlfn.XLOOKUP($C1315,Phone_by_Sentiment!$B$2:$B$37,Phone_by_Sentiment!O$2:O$37,"",0,1),0),$A1315-TEXT(DATEVALUE($D1315&amp;"-01"), "dd-mm-yyyy")),0),0)</f>
        <v>214</v>
      </c>
      <c r="P1315" s="1">
        <f t="shared" si="51"/>
        <v>44228</v>
      </c>
      <c r="Q1315">
        <f t="shared" si="53"/>
        <v>365</v>
      </c>
    </row>
    <row r="1316" spans="1:17" x14ac:dyDescent="0.25">
      <c r="A1316" s="1">
        <f t="shared" si="48"/>
        <v>44593</v>
      </c>
      <c r="B1316" t="s">
        <v>164</v>
      </c>
      <c r="C1316" t="str">
        <f>_xlfn.XLOOKUP(B1316,Phone_by_Price!$A$2:$A$34,Phone_by_Price!$B$2:$B$34,"-",0,1)</f>
        <v>Vivo V20</v>
      </c>
      <c r="D1316" t="str">
        <f>_xlfn.XLOOKUP(C1316,Phone_by_Sentiment!$B$2:$B$37,Phone_by_Sentiment!$A$2:$A$37,"-",0,1)</f>
        <v>2020-10</v>
      </c>
      <c r="E1316" cm="1">
        <f t="array" ref="E1316">IF($Q1316&gt;=0,IFERROR(generateSalesData($D1316, IF(ISNUMBER(_xlfn.XLOOKUP($C1316,Phone_by_Sentiment!$B$2:$B$37,Phone_by_Sentiment!E$2:E$37,"",0,1)),_xlfn.XLOOKUP($C1316,Phone_by_Sentiment!$B$2:$B$37,Phone_by_Sentiment!E$2:E$37,"",0,1),0),$A1316-TEXT(DATEVALUE($D1316&amp;"-01"), "dd-mm-yyyy")),0),0)</f>
        <v>249</v>
      </c>
      <c r="F1316" cm="1">
        <f t="array" ref="F1316">IF($Q1316&gt;=0,IFERROR(generateSalesData($D1316, IF(ISNUMBER(_xlfn.XLOOKUP($C1316,Phone_by_Sentiment!$B$2:$B$37,Phone_by_Sentiment!F$2:F$37,"",0,1)),_xlfn.XLOOKUP($C1316,Phone_by_Sentiment!$B$2:$B$37,Phone_by_Sentiment!F$2:F$37,"",0,1),0),$A1316-TEXT(DATEVALUE($D1316&amp;"-01"), "dd-mm-yyyy")),0),0)</f>
        <v>124</v>
      </c>
      <c r="G1316" cm="1">
        <f t="array" ref="G1316">IF($Q1316&gt;=0,IFERROR(generateSalesData($D1316, IF(ISNUMBER(_xlfn.XLOOKUP($C1316,Phone_by_Sentiment!$B$2:$B$37,Phone_by_Sentiment!G$2:G$37,"",0,1)),_xlfn.XLOOKUP($C1316,Phone_by_Sentiment!$B$2:$B$37,Phone_by_Sentiment!G$2:G$37,"",0,1),0),$A1316-TEXT(DATEVALUE($D1316&amp;"-01"), "dd-mm-yyyy")),0),0)</f>
        <v>155</v>
      </c>
      <c r="H1316" cm="1">
        <f t="array" ref="H1316">IF($Q1316&gt;=0,IFERROR(generateSalesData($D1316, IF(ISNUMBER(_xlfn.XLOOKUP($C1316,Phone_by_Sentiment!$B$2:$B$37,Phone_by_Sentiment!H$2:H$37,"",0,1)),_xlfn.XLOOKUP($C1316,Phone_by_Sentiment!$B$2:$B$37,Phone_by_Sentiment!H$2:H$37,"",0,1),0),$A1316-TEXT(DATEVALUE($D1316&amp;"-01"), "dd-mm-yyyy")),0),0)</f>
        <v>216</v>
      </c>
      <c r="I1316" cm="1">
        <f t="array" ref="I1316">IF($Q1316&gt;=0,IFERROR(generateSalesData($D1316, IF(ISNUMBER(_xlfn.XLOOKUP($C1316,Phone_by_Sentiment!$B$2:$B$37,Phone_by_Sentiment!I$2:I$37,"",0,1)),_xlfn.XLOOKUP($C1316,Phone_by_Sentiment!$B$2:$B$37,Phone_by_Sentiment!I$2:I$37,"",0,1),0),$A1316-TEXT(DATEVALUE($D1316&amp;"-01"), "dd-mm-yyyy")),0),0)</f>
        <v>61</v>
      </c>
      <c r="J1316" cm="1">
        <f t="array" ref="J1316">IF($Q1316&gt;=0,IFERROR(generateSalesData($D1316, IF(ISNUMBER(_xlfn.XLOOKUP($C1316,Phone_by_Sentiment!$B$2:$B$37,Phone_by_Sentiment!J$2:J$37,"",0,1)),_xlfn.XLOOKUP($C1316,Phone_by_Sentiment!$B$2:$B$37,Phone_by_Sentiment!J$2:J$37,"",0,1),0),$A1316-TEXT(DATEVALUE($D1316&amp;"-01"), "dd-mm-yyyy")),0),0)</f>
        <v>82</v>
      </c>
      <c r="K1316" cm="1">
        <f t="array" ref="K1316">IF($Q1316&gt;=0,IFERROR(generateSalesData($D1316, IF(ISNUMBER(_xlfn.XLOOKUP($C1316,Phone_by_Sentiment!$B$2:$B$37,Phone_by_Sentiment!K$2:K$37,"",0,1)),_xlfn.XLOOKUP($C1316,Phone_by_Sentiment!$B$2:$B$37,Phone_by_Sentiment!K$2:K$37,"",0,1),0),$A1316-TEXT(DATEVALUE($D1316&amp;"-01"), "dd-mm-yyyy")),0),0)</f>
        <v>171</v>
      </c>
      <c r="L1316" cm="1">
        <f t="array" ref="L1316">IF($Q1316&gt;=0,IFERROR(generateSalesData($D1316, IF(ISNUMBER(_xlfn.XLOOKUP($C1316,Phone_by_Sentiment!$B$2:$B$37,Phone_by_Sentiment!L$2:L$37,"",0,1)),_xlfn.XLOOKUP($C1316,Phone_by_Sentiment!$B$2:$B$37,Phone_by_Sentiment!L$2:L$37,"",0,1),0),$A1316-TEXT(DATEVALUE($D1316&amp;"-01"), "dd-mm-yyyy")),0),0)</f>
        <v>35</v>
      </c>
      <c r="M1316" cm="1">
        <f t="array" ref="M1316">IF($Q1316&gt;=0,IFERROR(generateSalesData($D1316, IF(ISNUMBER(_xlfn.XLOOKUP($C1316,Phone_by_Sentiment!$B$2:$B$37,Phone_by_Sentiment!M$2:M$37,"",0,1)),_xlfn.XLOOKUP($C1316,Phone_by_Sentiment!$B$2:$B$37,Phone_by_Sentiment!M$2:M$37,"",0,1),0),$A1316-TEXT(DATEVALUE($D1316&amp;"-01"), "dd-mm-yyyy")),0),0)</f>
        <v>50</v>
      </c>
      <c r="N1316" cm="1">
        <f t="array" ref="N1316">IF($Q1316&gt;=0,IFERROR(generateSalesData($D1316, IF(ISNUMBER(_xlfn.XLOOKUP($C1316,Phone_by_Sentiment!$B$2:$B$37,Phone_by_Sentiment!N$2:N$37,"",0,1)),_xlfn.XLOOKUP($C1316,Phone_by_Sentiment!$B$2:$B$37,Phone_by_Sentiment!N$2:N$37,"",0,1),0),$A1316-TEXT(DATEVALUE($D1316&amp;"-01"), "dd-mm-yyyy")),0),0)</f>
        <v>135</v>
      </c>
      <c r="O1316" cm="1">
        <f t="array" ref="O1316">IF($Q1316&gt;=0,IFERROR(generateSalesData($D1316, IF(ISNUMBER(_xlfn.XLOOKUP($C1316,Phone_by_Sentiment!$B$2:$B$37,Phone_by_Sentiment!O$2:O$37,"",0,1)),_xlfn.XLOOKUP($C1316,Phone_by_Sentiment!$B$2:$B$37,Phone_by_Sentiment!O$2:O$37,"",0,1),0),$A1316-TEXT(DATEVALUE($D1316&amp;"-01"), "dd-mm-yyyy")),0),0)</f>
        <v>46</v>
      </c>
      <c r="P1316" s="1">
        <f t="shared" si="51"/>
        <v>44105</v>
      </c>
      <c r="Q1316">
        <f t="shared" si="53"/>
        <v>488</v>
      </c>
    </row>
    <row r="1317" spans="1:17" x14ac:dyDescent="0.25">
      <c r="A1317" s="1">
        <f t="shared" si="48"/>
        <v>44593</v>
      </c>
      <c r="B1317" t="s">
        <v>165</v>
      </c>
      <c r="C1317" t="str">
        <f>_xlfn.XLOOKUP(B1317,Phone_by_Price!$A$2:$A$34,Phone_by_Price!$B$2:$B$34,"-",0,1)</f>
        <v>Samsung Galaxy A50</v>
      </c>
      <c r="D1317" t="str">
        <f>_xlfn.XLOOKUP(C1317,Phone_by_Sentiment!$B$2:$B$37,Phone_by_Sentiment!$A$2:$A$37,"-",0,1)</f>
        <v>2019-05</v>
      </c>
      <c r="E1317" cm="1">
        <f t="array" ref="E1317">IF($Q1317&gt;=0,IFERROR(generateSalesData($D1317, IF(ISNUMBER(_xlfn.XLOOKUP($C1317,Phone_by_Sentiment!$B$2:$B$37,Phone_by_Sentiment!E$2:E$37,"",0,1)),_xlfn.XLOOKUP($C1317,Phone_by_Sentiment!$B$2:$B$37,Phone_by_Sentiment!E$2:E$37,"",0,1),0),$A1317-TEXT(DATEVALUE($D1317&amp;"-01"), "dd-mm-yyyy")),0),0)</f>
        <v>100</v>
      </c>
      <c r="F1317" cm="1">
        <f t="array" ref="F1317">IF($Q1317&gt;=0,IFERROR(generateSalesData($D1317, IF(ISNUMBER(_xlfn.XLOOKUP($C1317,Phone_by_Sentiment!$B$2:$B$37,Phone_by_Sentiment!F$2:F$37,"",0,1)),_xlfn.XLOOKUP($C1317,Phone_by_Sentiment!$B$2:$B$37,Phone_by_Sentiment!F$2:F$37,"",0,1),0),$A1317-TEXT(DATEVALUE($D1317&amp;"-01"), "dd-mm-yyyy")),0),0)</f>
        <v>66</v>
      </c>
      <c r="G1317" cm="1">
        <f t="array" ref="G1317">IF($Q1317&gt;=0,IFERROR(generateSalesData($D1317, IF(ISNUMBER(_xlfn.XLOOKUP($C1317,Phone_by_Sentiment!$B$2:$B$37,Phone_by_Sentiment!G$2:G$37,"",0,1)),_xlfn.XLOOKUP($C1317,Phone_by_Sentiment!$B$2:$B$37,Phone_by_Sentiment!G$2:G$37,"",0,1),0),$A1317-TEXT(DATEVALUE($D1317&amp;"-01"), "dd-mm-yyyy")),0),0)</f>
        <v>51</v>
      </c>
      <c r="H1317" cm="1">
        <f t="array" ref="H1317">IF($Q1317&gt;=0,IFERROR(generateSalesData($D1317, IF(ISNUMBER(_xlfn.XLOOKUP($C1317,Phone_by_Sentiment!$B$2:$B$37,Phone_by_Sentiment!H$2:H$37,"",0,1)),_xlfn.XLOOKUP($C1317,Phone_by_Sentiment!$B$2:$B$37,Phone_by_Sentiment!H$2:H$37,"",0,1),0),$A1317-TEXT(DATEVALUE($D1317&amp;"-01"), "dd-mm-yyyy")),0),0)</f>
        <v>233</v>
      </c>
      <c r="I1317" cm="1">
        <f t="array" ref="I1317">IF($Q1317&gt;=0,IFERROR(generateSalesData($D1317, IF(ISNUMBER(_xlfn.XLOOKUP($C1317,Phone_by_Sentiment!$B$2:$B$37,Phone_by_Sentiment!I$2:I$37,"",0,1)),_xlfn.XLOOKUP($C1317,Phone_by_Sentiment!$B$2:$B$37,Phone_by_Sentiment!I$2:I$37,"",0,1),0),$A1317-TEXT(DATEVALUE($D1317&amp;"-01"), "dd-mm-yyyy")),0),0)</f>
        <v>136</v>
      </c>
      <c r="J1317" cm="1">
        <f t="array" ref="J1317">IF($Q1317&gt;=0,IFERROR(generateSalesData($D1317, IF(ISNUMBER(_xlfn.XLOOKUP($C1317,Phone_by_Sentiment!$B$2:$B$37,Phone_by_Sentiment!J$2:J$37,"",0,1)),_xlfn.XLOOKUP($C1317,Phone_by_Sentiment!$B$2:$B$37,Phone_by_Sentiment!J$2:J$37,"",0,1),0),$A1317-TEXT(DATEVALUE($D1317&amp;"-01"), "dd-mm-yyyy")),0),0)</f>
        <v>39</v>
      </c>
      <c r="K1317" cm="1">
        <f t="array" ref="K1317">IF($Q1317&gt;=0,IFERROR(generateSalesData($D1317, IF(ISNUMBER(_xlfn.XLOOKUP($C1317,Phone_by_Sentiment!$B$2:$B$37,Phone_by_Sentiment!K$2:K$37,"",0,1)),_xlfn.XLOOKUP($C1317,Phone_by_Sentiment!$B$2:$B$37,Phone_by_Sentiment!K$2:K$37,"",0,1),0),$A1317-TEXT(DATEVALUE($D1317&amp;"-01"), "dd-mm-yyyy")),0),0)</f>
        <v>52</v>
      </c>
      <c r="L1317" cm="1">
        <f t="array" ref="L1317">IF($Q1317&gt;=0,IFERROR(generateSalesData($D1317, IF(ISNUMBER(_xlfn.XLOOKUP($C1317,Phone_by_Sentiment!$B$2:$B$37,Phone_by_Sentiment!L$2:L$37,"",0,1)),_xlfn.XLOOKUP($C1317,Phone_by_Sentiment!$B$2:$B$37,Phone_by_Sentiment!L$2:L$37,"",0,1),0),$A1317-TEXT(DATEVALUE($D1317&amp;"-01"), "dd-mm-yyyy")),0),0)</f>
        <v>193</v>
      </c>
      <c r="M1317" cm="1">
        <f t="array" ref="M1317">IF($Q1317&gt;=0,IFERROR(generateSalesData($D1317, IF(ISNUMBER(_xlfn.XLOOKUP($C1317,Phone_by_Sentiment!$B$2:$B$37,Phone_by_Sentiment!M$2:M$37,"",0,1)),_xlfn.XLOOKUP($C1317,Phone_by_Sentiment!$B$2:$B$37,Phone_by_Sentiment!M$2:M$37,"",0,1),0),$A1317-TEXT(DATEVALUE($D1317&amp;"-01"), "dd-mm-yyyy")),0),0)</f>
        <v>43</v>
      </c>
      <c r="N1317" cm="1">
        <f t="array" ref="N1317">IF($Q1317&gt;=0,IFERROR(generateSalesData($D1317, IF(ISNUMBER(_xlfn.XLOOKUP($C1317,Phone_by_Sentiment!$B$2:$B$37,Phone_by_Sentiment!N$2:N$37,"",0,1)),_xlfn.XLOOKUP($C1317,Phone_by_Sentiment!$B$2:$B$37,Phone_by_Sentiment!N$2:N$37,"",0,1),0),$A1317-TEXT(DATEVALUE($D1317&amp;"-01"), "dd-mm-yyyy")),0),0)</f>
        <v>237</v>
      </c>
      <c r="O1317" cm="1">
        <f t="array" ref="O1317">IF($Q1317&gt;=0,IFERROR(generateSalesData($D1317, IF(ISNUMBER(_xlfn.XLOOKUP($C1317,Phone_by_Sentiment!$B$2:$B$37,Phone_by_Sentiment!O$2:O$37,"",0,1)),_xlfn.XLOOKUP($C1317,Phone_by_Sentiment!$B$2:$B$37,Phone_by_Sentiment!O$2:O$37,"",0,1),0),$A1317-TEXT(DATEVALUE($D1317&amp;"-01"), "dd-mm-yyyy")),0),0)</f>
        <v>284</v>
      </c>
      <c r="P1317" s="1">
        <f t="shared" si="51"/>
        <v>43586</v>
      </c>
      <c r="Q1317">
        <f t="shared" si="53"/>
        <v>1007</v>
      </c>
    </row>
    <row r="1318" spans="1:17" x14ac:dyDescent="0.25">
      <c r="A1318" s="1">
        <f t="shared" si="48"/>
        <v>44593</v>
      </c>
      <c r="B1318" t="s">
        <v>166</v>
      </c>
      <c r="C1318" t="str">
        <f>_xlfn.XLOOKUP(B1318,Phone_by_Price!$A$2:$A$34,Phone_by_Price!$B$2:$B$34,"-",0,1)</f>
        <v>Xiaomi Redmi Note 7</v>
      </c>
      <c r="D1318" t="str">
        <f>_xlfn.XLOOKUP(C1318,Phone_by_Sentiment!$B$2:$B$37,Phone_by_Sentiment!$A$2:$A$37,"-",0,1)</f>
        <v>2019-08</v>
      </c>
      <c r="E1318" cm="1">
        <f t="array" ref="E1318">IF($Q1318&gt;=0,IFERROR(generateSalesData($D1318, IF(ISNUMBER(_xlfn.XLOOKUP($C1318,Phone_by_Sentiment!$B$2:$B$37,Phone_by_Sentiment!E$2:E$37,"",0,1)),_xlfn.XLOOKUP($C1318,Phone_by_Sentiment!$B$2:$B$37,Phone_by_Sentiment!E$2:E$37,"",0,1),0),$A1318-TEXT(DATEVALUE($D1318&amp;"-01"), "dd-mm-yyyy")),0),0)</f>
        <v>77</v>
      </c>
      <c r="F1318" cm="1">
        <f t="array" ref="F1318">IF($Q1318&gt;=0,IFERROR(generateSalesData($D1318, IF(ISNUMBER(_xlfn.XLOOKUP($C1318,Phone_by_Sentiment!$B$2:$B$37,Phone_by_Sentiment!F$2:F$37,"",0,1)),_xlfn.XLOOKUP($C1318,Phone_by_Sentiment!$B$2:$B$37,Phone_by_Sentiment!F$2:F$37,"",0,1),0),$A1318-TEXT(DATEVALUE($D1318&amp;"-01"), "dd-mm-yyyy")),0),0)</f>
        <v>0</v>
      </c>
      <c r="G1318" cm="1">
        <f t="array" ref="G1318">IF($Q1318&gt;=0,IFERROR(generateSalesData($D1318, IF(ISNUMBER(_xlfn.XLOOKUP($C1318,Phone_by_Sentiment!$B$2:$B$37,Phone_by_Sentiment!G$2:G$37,"",0,1)),_xlfn.XLOOKUP($C1318,Phone_by_Sentiment!$B$2:$B$37,Phone_by_Sentiment!G$2:G$37,"",0,1),0),$A1318-TEXT(DATEVALUE($D1318&amp;"-01"), "dd-mm-yyyy")),0),0)</f>
        <v>75</v>
      </c>
      <c r="H1318" cm="1">
        <f t="array" ref="H1318">IF($Q1318&gt;=0,IFERROR(generateSalesData($D1318, IF(ISNUMBER(_xlfn.XLOOKUP($C1318,Phone_by_Sentiment!$B$2:$B$37,Phone_by_Sentiment!H$2:H$37,"",0,1)),_xlfn.XLOOKUP($C1318,Phone_by_Sentiment!$B$2:$B$37,Phone_by_Sentiment!H$2:H$37,"",0,1),0),$A1318-TEXT(DATEVALUE($D1318&amp;"-01"), "dd-mm-yyyy")),0),0)</f>
        <v>444</v>
      </c>
      <c r="I1318" cm="1">
        <f t="array" ref="I1318">IF($Q1318&gt;=0,IFERROR(generateSalesData($D1318, IF(ISNUMBER(_xlfn.XLOOKUP($C1318,Phone_by_Sentiment!$B$2:$B$37,Phone_by_Sentiment!I$2:I$37,"",0,1)),_xlfn.XLOOKUP($C1318,Phone_by_Sentiment!$B$2:$B$37,Phone_by_Sentiment!I$2:I$37,"",0,1),0),$A1318-TEXT(DATEVALUE($D1318&amp;"-01"), "dd-mm-yyyy")),0),0)</f>
        <v>125</v>
      </c>
      <c r="J1318" cm="1">
        <f t="array" ref="J1318">IF($Q1318&gt;=0,IFERROR(generateSalesData($D1318, IF(ISNUMBER(_xlfn.XLOOKUP($C1318,Phone_by_Sentiment!$B$2:$B$37,Phone_by_Sentiment!J$2:J$37,"",0,1)),_xlfn.XLOOKUP($C1318,Phone_by_Sentiment!$B$2:$B$37,Phone_by_Sentiment!J$2:J$37,"",0,1),0),$A1318-TEXT(DATEVALUE($D1318&amp;"-01"), "dd-mm-yyyy")),0),0)</f>
        <v>59</v>
      </c>
      <c r="K1318" cm="1">
        <f t="array" ref="K1318">IF($Q1318&gt;=0,IFERROR(generateSalesData($D1318, IF(ISNUMBER(_xlfn.XLOOKUP($C1318,Phone_by_Sentiment!$B$2:$B$37,Phone_by_Sentiment!K$2:K$37,"",0,1)),_xlfn.XLOOKUP($C1318,Phone_by_Sentiment!$B$2:$B$37,Phone_by_Sentiment!K$2:K$37,"",0,1),0),$A1318-TEXT(DATEVALUE($D1318&amp;"-01"), "dd-mm-yyyy")),0),0)</f>
        <v>62</v>
      </c>
      <c r="L1318" cm="1">
        <f t="array" ref="L1318">IF($Q1318&gt;=0,IFERROR(generateSalesData($D1318, IF(ISNUMBER(_xlfn.XLOOKUP($C1318,Phone_by_Sentiment!$B$2:$B$37,Phone_by_Sentiment!L$2:L$37,"",0,1)),_xlfn.XLOOKUP($C1318,Phone_by_Sentiment!$B$2:$B$37,Phone_by_Sentiment!L$2:L$37,"",0,1),0),$A1318-TEXT(DATEVALUE($D1318&amp;"-01"), "dd-mm-yyyy")),0),0)</f>
        <v>80</v>
      </c>
      <c r="M1318" cm="1">
        <f t="array" ref="M1318">IF($Q1318&gt;=0,IFERROR(generateSalesData($D1318, IF(ISNUMBER(_xlfn.XLOOKUP($C1318,Phone_by_Sentiment!$B$2:$B$37,Phone_by_Sentiment!M$2:M$37,"",0,1)),_xlfn.XLOOKUP($C1318,Phone_by_Sentiment!$B$2:$B$37,Phone_by_Sentiment!M$2:M$37,"",0,1),0),$A1318-TEXT(DATEVALUE($D1318&amp;"-01"), "dd-mm-yyyy")),0),0)</f>
        <v>389</v>
      </c>
      <c r="N1318" cm="1">
        <f t="array" ref="N1318">IF($Q1318&gt;=0,IFERROR(generateSalesData($D1318, IF(ISNUMBER(_xlfn.XLOOKUP($C1318,Phone_by_Sentiment!$B$2:$B$37,Phone_by_Sentiment!N$2:N$37,"",0,1)),_xlfn.XLOOKUP($C1318,Phone_by_Sentiment!$B$2:$B$37,Phone_by_Sentiment!N$2:N$37,"",0,1),0),$A1318-TEXT(DATEVALUE($D1318&amp;"-01"), "dd-mm-yyyy")),0),0)</f>
        <v>48</v>
      </c>
      <c r="O1318" cm="1">
        <f t="array" ref="O1318">IF($Q1318&gt;=0,IFERROR(generateSalesData($D1318, IF(ISNUMBER(_xlfn.XLOOKUP($C1318,Phone_by_Sentiment!$B$2:$B$37,Phone_by_Sentiment!O$2:O$37,"",0,1)),_xlfn.XLOOKUP($C1318,Phone_by_Sentiment!$B$2:$B$37,Phone_by_Sentiment!O$2:O$37,"",0,1),0),$A1318-TEXT(DATEVALUE($D1318&amp;"-01"), "dd-mm-yyyy")),0),0)</f>
        <v>177</v>
      </c>
      <c r="P1318" s="1">
        <f t="shared" si="51"/>
        <v>43678</v>
      </c>
      <c r="Q1318">
        <f t="shared" si="53"/>
        <v>915</v>
      </c>
    </row>
    <row r="1319" spans="1:17" x14ac:dyDescent="0.25">
      <c r="A1319" s="1">
        <f t="shared" si="48"/>
        <v>44593</v>
      </c>
      <c r="B1319" t="s">
        <v>167</v>
      </c>
      <c r="C1319" t="str">
        <f>_xlfn.XLOOKUP(B1319,Phone_by_Price!$A$2:$A$34,Phone_by_Price!$B$2:$B$34,"-",0,1)</f>
        <v>Realme C21</v>
      </c>
      <c r="D1319" t="str">
        <f>_xlfn.XLOOKUP(C1319,Phone_by_Sentiment!$B$2:$B$37,Phone_by_Sentiment!$A$2:$A$37,"-",0,1)</f>
        <v>2021-04</v>
      </c>
      <c r="E1319" cm="1">
        <f t="array" ref="E1319">IF($Q1319&gt;=0,IFERROR(generateSalesData($D1319, IF(ISNUMBER(_xlfn.XLOOKUP($C1319,Phone_by_Sentiment!$B$2:$B$37,Phone_by_Sentiment!E$2:E$37,"",0,1)),_xlfn.XLOOKUP($C1319,Phone_by_Sentiment!$B$2:$B$37,Phone_by_Sentiment!E$2:E$37,"",0,1),0),$A1319-TEXT(DATEVALUE($D1319&amp;"-01"), "dd-mm-yyyy")),0),0)</f>
        <v>220</v>
      </c>
      <c r="F1319" cm="1">
        <f t="array" ref="F1319">IF($Q1319&gt;=0,IFERROR(generateSalesData($D1319, IF(ISNUMBER(_xlfn.XLOOKUP($C1319,Phone_by_Sentiment!$B$2:$B$37,Phone_by_Sentiment!F$2:F$37,"",0,1)),_xlfn.XLOOKUP($C1319,Phone_by_Sentiment!$B$2:$B$37,Phone_by_Sentiment!F$2:F$37,"",0,1),0),$A1319-TEXT(DATEVALUE($D1319&amp;"-01"), "dd-mm-yyyy")),0),0)</f>
        <v>254</v>
      </c>
      <c r="G1319" cm="1">
        <f t="array" ref="G1319">IF($Q1319&gt;=0,IFERROR(generateSalesData($D1319, IF(ISNUMBER(_xlfn.XLOOKUP($C1319,Phone_by_Sentiment!$B$2:$B$37,Phone_by_Sentiment!G$2:G$37,"",0,1)),_xlfn.XLOOKUP($C1319,Phone_by_Sentiment!$B$2:$B$37,Phone_by_Sentiment!G$2:G$37,"",0,1),0),$A1319-TEXT(DATEVALUE($D1319&amp;"-01"), "dd-mm-yyyy")),0),0)</f>
        <v>301</v>
      </c>
      <c r="H1319" cm="1">
        <f t="array" ref="H1319">IF($Q1319&gt;=0,IFERROR(generateSalesData($D1319, IF(ISNUMBER(_xlfn.XLOOKUP($C1319,Phone_by_Sentiment!$B$2:$B$37,Phone_by_Sentiment!H$2:H$37,"",0,1)),_xlfn.XLOOKUP($C1319,Phone_by_Sentiment!$B$2:$B$37,Phone_by_Sentiment!H$2:H$37,"",0,1),0),$A1319-TEXT(DATEVALUE($D1319&amp;"-01"), "dd-mm-yyyy")),0),0)</f>
        <v>1127</v>
      </c>
      <c r="I1319" cm="1">
        <f t="array" ref="I1319">IF($Q1319&gt;=0,IFERROR(generateSalesData($D1319, IF(ISNUMBER(_xlfn.XLOOKUP($C1319,Phone_by_Sentiment!$B$2:$B$37,Phone_by_Sentiment!I$2:I$37,"",0,1)),_xlfn.XLOOKUP($C1319,Phone_by_Sentiment!$B$2:$B$37,Phone_by_Sentiment!I$2:I$37,"",0,1),0),$A1319-TEXT(DATEVALUE($D1319&amp;"-01"), "dd-mm-yyyy")),0),0)</f>
        <v>193</v>
      </c>
      <c r="J1319" cm="1">
        <f t="array" ref="J1319">IF($Q1319&gt;=0,IFERROR(generateSalesData($D1319, IF(ISNUMBER(_xlfn.XLOOKUP($C1319,Phone_by_Sentiment!$B$2:$B$37,Phone_by_Sentiment!J$2:J$37,"",0,1)),_xlfn.XLOOKUP($C1319,Phone_by_Sentiment!$B$2:$B$37,Phone_by_Sentiment!J$2:J$37,"",0,1),0),$A1319-TEXT(DATEVALUE($D1319&amp;"-01"), "dd-mm-yyyy")),0),0)</f>
        <v>154</v>
      </c>
      <c r="K1319" cm="1">
        <f t="array" ref="K1319">IF($Q1319&gt;=0,IFERROR(generateSalesData($D1319, IF(ISNUMBER(_xlfn.XLOOKUP($C1319,Phone_by_Sentiment!$B$2:$B$37,Phone_by_Sentiment!K$2:K$37,"",0,1)),_xlfn.XLOOKUP($C1319,Phone_by_Sentiment!$B$2:$B$37,Phone_by_Sentiment!K$2:K$37,"",0,1),0),$A1319-TEXT(DATEVALUE($D1319&amp;"-01"), "dd-mm-yyyy")),0),0)</f>
        <v>619</v>
      </c>
      <c r="L1319" cm="1">
        <f t="array" ref="L1319">IF($Q1319&gt;=0,IFERROR(generateSalesData($D1319, IF(ISNUMBER(_xlfn.XLOOKUP($C1319,Phone_by_Sentiment!$B$2:$B$37,Phone_by_Sentiment!L$2:L$37,"",0,1)),_xlfn.XLOOKUP($C1319,Phone_by_Sentiment!$B$2:$B$37,Phone_by_Sentiment!L$2:L$37,"",0,1),0),$A1319-TEXT(DATEVALUE($D1319&amp;"-01"), "dd-mm-yyyy")),0),0)</f>
        <v>1009</v>
      </c>
      <c r="M1319" cm="1">
        <f t="array" ref="M1319">IF($Q1319&gt;=0,IFERROR(generateSalesData($D1319, IF(ISNUMBER(_xlfn.XLOOKUP($C1319,Phone_by_Sentiment!$B$2:$B$37,Phone_by_Sentiment!M$2:M$37,"",0,1)),_xlfn.XLOOKUP($C1319,Phone_by_Sentiment!$B$2:$B$37,Phone_by_Sentiment!M$2:M$37,"",0,1),0),$A1319-TEXT(DATEVALUE($D1319&amp;"-01"), "dd-mm-yyyy")),0),0)</f>
        <v>-15</v>
      </c>
      <c r="N1319" cm="1">
        <f t="array" ref="N1319">IF($Q1319&gt;=0,IFERROR(generateSalesData($D1319, IF(ISNUMBER(_xlfn.XLOOKUP($C1319,Phone_by_Sentiment!$B$2:$B$37,Phone_by_Sentiment!N$2:N$37,"",0,1)),_xlfn.XLOOKUP($C1319,Phone_by_Sentiment!$B$2:$B$37,Phone_by_Sentiment!N$2:N$37,"",0,1),0),$A1319-TEXT(DATEVALUE($D1319&amp;"-01"), "dd-mm-yyyy")),0),0)</f>
        <v>868</v>
      </c>
      <c r="O1319" cm="1">
        <f t="array" ref="O1319">IF($Q1319&gt;=0,IFERROR(generateSalesData($D1319, IF(ISNUMBER(_xlfn.XLOOKUP($C1319,Phone_by_Sentiment!$B$2:$B$37,Phone_by_Sentiment!O$2:O$37,"",0,1)),_xlfn.XLOOKUP($C1319,Phone_by_Sentiment!$B$2:$B$37,Phone_by_Sentiment!O$2:O$37,"",0,1),0),$A1319-TEXT(DATEVALUE($D1319&amp;"-01"), "dd-mm-yyyy")),0),0)</f>
        <v>206</v>
      </c>
      <c r="P1319" s="1">
        <f t="shared" si="51"/>
        <v>44287</v>
      </c>
      <c r="Q1319">
        <f t="shared" si="53"/>
        <v>306</v>
      </c>
    </row>
    <row r="1320" spans="1:17" x14ac:dyDescent="0.25">
      <c r="A1320" s="1">
        <f t="shared" si="48"/>
        <v>44593</v>
      </c>
      <c r="B1320" t="s">
        <v>168</v>
      </c>
      <c r="C1320" t="str">
        <f>_xlfn.XLOOKUP(B1320,Phone_by_Price!$A$2:$A$34,Phone_by_Price!$B$2:$B$34,"-",0,1)</f>
        <v>Google Pixel 4</v>
      </c>
      <c r="D1320" t="str">
        <f>_xlfn.XLOOKUP(C1320,Phone_by_Sentiment!$B$2:$B$37,Phone_by_Sentiment!$A$2:$A$37,"-",0,1)</f>
        <v>2019-09</v>
      </c>
      <c r="E1320" cm="1">
        <f t="array" ref="E1320">IF($Q1320&gt;=0,IFERROR(generateSalesData($D1320, IF(ISNUMBER(_xlfn.XLOOKUP($C1320,Phone_by_Sentiment!$B$2:$B$37,Phone_by_Sentiment!E$2:E$37,"",0,1)),_xlfn.XLOOKUP($C1320,Phone_by_Sentiment!$B$2:$B$37,Phone_by_Sentiment!E$2:E$37,"",0,1),0),$A1320-TEXT(DATEVALUE($D1320&amp;"-01"), "dd-mm-yyyy")),0),0)</f>
        <v>265</v>
      </c>
      <c r="F1320" cm="1">
        <f t="array" ref="F1320">IF($Q1320&gt;=0,IFERROR(generateSalesData($D1320, IF(ISNUMBER(_xlfn.XLOOKUP($C1320,Phone_by_Sentiment!$B$2:$B$37,Phone_by_Sentiment!F$2:F$37,"",0,1)),_xlfn.XLOOKUP($C1320,Phone_by_Sentiment!$B$2:$B$37,Phone_by_Sentiment!F$2:F$37,"",0,1),0),$A1320-TEXT(DATEVALUE($D1320&amp;"-01"), "dd-mm-yyyy")),0),0)</f>
        <v>81</v>
      </c>
      <c r="G1320" cm="1">
        <f t="array" ref="G1320">IF($Q1320&gt;=0,IFERROR(generateSalesData($D1320, IF(ISNUMBER(_xlfn.XLOOKUP($C1320,Phone_by_Sentiment!$B$2:$B$37,Phone_by_Sentiment!G$2:G$37,"",0,1)),_xlfn.XLOOKUP($C1320,Phone_by_Sentiment!$B$2:$B$37,Phone_by_Sentiment!G$2:G$37,"",0,1),0),$A1320-TEXT(DATEVALUE($D1320&amp;"-01"), "dd-mm-yyyy")),0),0)</f>
        <v>72</v>
      </c>
      <c r="H1320" cm="1">
        <f t="array" ref="H1320">IF($Q1320&gt;=0,IFERROR(generateSalesData($D1320, IF(ISNUMBER(_xlfn.XLOOKUP($C1320,Phone_by_Sentiment!$B$2:$B$37,Phone_by_Sentiment!H$2:H$37,"",0,1)),_xlfn.XLOOKUP($C1320,Phone_by_Sentiment!$B$2:$B$37,Phone_by_Sentiment!H$2:H$37,"",0,1),0),$A1320-TEXT(DATEVALUE($D1320&amp;"-01"), "dd-mm-yyyy")),0),0)</f>
        <v>90</v>
      </c>
      <c r="I1320" cm="1">
        <f t="array" ref="I1320">IF($Q1320&gt;=0,IFERROR(generateSalesData($D1320, IF(ISNUMBER(_xlfn.XLOOKUP($C1320,Phone_by_Sentiment!$B$2:$B$37,Phone_by_Sentiment!I$2:I$37,"",0,1)),_xlfn.XLOOKUP($C1320,Phone_by_Sentiment!$B$2:$B$37,Phone_by_Sentiment!I$2:I$37,"",0,1),0),$A1320-TEXT(DATEVALUE($D1320&amp;"-01"), "dd-mm-yyyy")),0),0)</f>
        <v>94</v>
      </c>
      <c r="J1320" cm="1">
        <f t="array" ref="J1320">IF($Q1320&gt;=0,IFERROR(generateSalesData($D1320, IF(ISNUMBER(_xlfn.XLOOKUP($C1320,Phone_by_Sentiment!$B$2:$B$37,Phone_by_Sentiment!J$2:J$37,"",0,1)),_xlfn.XLOOKUP($C1320,Phone_by_Sentiment!$B$2:$B$37,Phone_by_Sentiment!J$2:J$37,"",0,1),0),$A1320-TEXT(DATEVALUE($D1320&amp;"-01"), "dd-mm-yyyy")),0),0)</f>
        <v>46</v>
      </c>
      <c r="K1320" cm="1">
        <f t="array" ref="K1320">IF($Q1320&gt;=0,IFERROR(generateSalesData($D1320, IF(ISNUMBER(_xlfn.XLOOKUP($C1320,Phone_by_Sentiment!$B$2:$B$37,Phone_by_Sentiment!K$2:K$37,"",0,1)),_xlfn.XLOOKUP($C1320,Phone_by_Sentiment!$B$2:$B$37,Phone_by_Sentiment!K$2:K$37,"",0,1),0),$A1320-TEXT(DATEVALUE($D1320&amp;"-01"), "dd-mm-yyyy")),0),0)</f>
        <v>75</v>
      </c>
      <c r="L1320" cm="1">
        <f t="array" ref="L1320">IF($Q1320&gt;=0,IFERROR(generateSalesData($D1320, IF(ISNUMBER(_xlfn.XLOOKUP($C1320,Phone_by_Sentiment!$B$2:$B$37,Phone_by_Sentiment!L$2:L$37,"",0,1)),_xlfn.XLOOKUP($C1320,Phone_by_Sentiment!$B$2:$B$37,Phone_by_Sentiment!L$2:L$37,"",0,1),0),$A1320-TEXT(DATEVALUE($D1320&amp;"-01"), "dd-mm-yyyy")),0),0)</f>
        <v>248</v>
      </c>
      <c r="M1320" cm="1">
        <f t="array" ref="M1320">IF($Q1320&gt;=0,IFERROR(generateSalesData($D1320, IF(ISNUMBER(_xlfn.XLOOKUP($C1320,Phone_by_Sentiment!$B$2:$B$37,Phone_by_Sentiment!M$2:M$37,"",0,1)),_xlfn.XLOOKUP($C1320,Phone_by_Sentiment!$B$2:$B$37,Phone_by_Sentiment!M$2:M$37,"",0,1),0),$A1320-TEXT(DATEVALUE($D1320&amp;"-01"), "dd-mm-yyyy")),0),0)</f>
        <v>40</v>
      </c>
      <c r="N1320" cm="1">
        <f t="array" ref="N1320">IF($Q1320&gt;=0,IFERROR(generateSalesData($D1320, IF(ISNUMBER(_xlfn.XLOOKUP($C1320,Phone_by_Sentiment!$B$2:$B$37,Phone_by_Sentiment!N$2:N$37,"",0,1)),_xlfn.XLOOKUP($C1320,Phone_by_Sentiment!$B$2:$B$37,Phone_by_Sentiment!N$2:N$37,"",0,1),0),$A1320-TEXT(DATEVALUE($D1320&amp;"-01"), "dd-mm-yyyy")),0),0)</f>
        <v>337</v>
      </c>
      <c r="O1320" cm="1">
        <f t="array" ref="O1320">IF($Q1320&gt;=0,IFERROR(generateSalesData($D1320, IF(ISNUMBER(_xlfn.XLOOKUP($C1320,Phone_by_Sentiment!$B$2:$B$37,Phone_by_Sentiment!O$2:O$37,"",0,1)),_xlfn.XLOOKUP($C1320,Phone_by_Sentiment!$B$2:$B$37,Phone_by_Sentiment!O$2:O$37,"",0,1),0),$A1320-TEXT(DATEVALUE($D1320&amp;"-01"), "dd-mm-yyyy")),0),0)</f>
        <v>50</v>
      </c>
      <c r="P1320" s="1">
        <f t="shared" si="51"/>
        <v>43709</v>
      </c>
      <c r="Q1320">
        <f t="shared" si="53"/>
        <v>884</v>
      </c>
    </row>
    <row r="1321" spans="1:17" x14ac:dyDescent="0.25">
      <c r="A1321" s="1">
        <f t="shared" si="48"/>
        <v>44593</v>
      </c>
      <c r="B1321" t="s">
        <v>169</v>
      </c>
      <c r="C1321" t="str">
        <f>_xlfn.XLOOKUP(B1321,Phone_by_Price!$A$2:$A$34,Phone_by_Price!$B$2:$B$34,"-",0,1)</f>
        <v>Samsung Galaxy A10s</v>
      </c>
      <c r="D1321" t="str">
        <f>_xlfn.XLOOKUP(C1321,Phone_by_Sentiment!$B$2:$B$37,Phone_by_Sentiment!$A$2:$A$37,"-",0,1)</f>
        <v>2019-08</v>
      </c>
      <c r="E1321" cm="1">
        <f t="array" ref="E1321">IF($Q1321&gt;=0,IFERROR(generateSalesData($D1321, IF(ISNUMBER(_xlfn.XLOOKUP($C1321,Phone_by_Sentiment!$B$2:$B$37,Phone_by_Sentiment!E$2:E$37,"",0,1)),_xlfn.XLOOKUP($C1321,Phone_by_Sentiment!$B$2:$B$37,Phone_by_Sentiment!E$2:E$37,"",0,1),0),$A1321-TEXT(DATEVALUE($D1321&amp;"-01"), "dd-mm-yyyy")),0),0)</f>
        <v>61</v>
      </c>
      <c r="F1321" cm="1">
        <f t="array" ref="F1321">IF($Q1321&gt;=0,IFERROR(generateSalesData($D1321, IF(ISNUMBER(_xlfn.XLOOKUP($C1321,Phone_by_Sentiment!$B$2:$B$37,Phone_by_Sentiment!F$2:F$37,"",0,1)),_xlfn.XLOOKUP($C1321,Phone_by_Sentiment!$B$2:$B$37,Phone_by_Sentiment!F$2:F$37,"",0,1),0),$A1321-TEXT(DATEVALUE($D1321&amp;"-01"), "dd-mm-yyyy")),0),0)</f>
        <v>300</v>
      </c>
      <c r="G1321" cm="1">
        <f t="array" ref="G1321">IF($Q1321&gt;=0,IFERROR(generateSalesData($D1321, IF(ISNUMBER(_xlfn.XLOOKUP($C1321,Phone_by_Sentiment!$B$2:$B$37,Phone_by_Sentiment!G$2:G$37,"",0,1)),_xlfn.XLOOKUP($C1321,Phone_by_Sentiment!$B$2:$B$37,Phone_by_Sentiment!G$2:G$37,"",0,1),0),$A1321-TEXT(DATEVALUE($D1321&amp;"-01"), "dd-mm-yyyy")),0),0)</f>
        <v>-1</v>
      </c>
      <c r="H1321" cm="1">
        <f t="array" ref="H1321">IF($Q1321&gt;=0,IFERROR(generateSalesData($D1321, IF(ISNUMBER(_xlfn.XLOOKUP($C1321,Phone_by_Sentiment!$B$2:$B$37,Phone_by_Sentiment!H$2:H$37,"",0,1)),_xlfn.XLOOKUP($C1321,Phone_by_Sentiment!$B$2:$B$37,Phone_by_Sentiment!H$2:H$37,"",0,1),0),$A1321-TEXT(DATEVALUE($D1321&amp;"-01"), "dd-mm-yyyy")),0),0)</f>
        <v>329</v>
      </c>
      <c r="I1321" cm="1">
        <f t="array" ref="I1321">IF($Q1321&gt;=0,IFERROR(generateSalesData($D1321, IF(ISNUMBER(_xlfn.XLOOKUP($C1321,Phone_by_Sentiment!$B$2:$B$37,Phone_by_Sentiment!I$2:I$37,"",0,1)),_xlfn.XLOOKUP($C1321,Phone_by_Sentiment!$B$2:$B$37,Phone_by_Sentiment!I$2:I$37,"",0,1),0),$A1321-TEXT(DATEVALUE($D1321&amp;"-01"), "dd-mm-yyyy")),0),0)</f>
        <v>178</v>
      </c>
      <c r="J1321" cm="1">
        <f t="array" ref="J1321">IF($Q1321&gt;=0,IFERROR(generateSalesData($D1321, IF(ISNUMBER(_xlfn.XLOOKUP($C1321,Phone_by_Sentiment!$B$2:$B$37,Phone_by_Sentiment!J$2:J$37,"",0,1)),_xlfn.XLOOKUP($C1321,Phone_by_Sentiment!$B$2:$B$37,Phone_by_Sentiment!J$2:J$37,"",0,1),0),$A1321-TEXT(DATEVALUE($D1321&amp;"-01"), "dd-mm-yyyy")),0),0)</f>
        <v>105</v>
      </c>
      <c r="K1321" cm="1">
        <f t="array" ref="K1321">IF($Q1321&gt;=0,IFERROR(generateSalesData($D1321, IF(ISNUMBER(_xlfn.XLOOKUP($C1321,Phone_by_Sentiment!$B$2:$B$37,Phone_by_Sentiment!K$2:K$37,"",0,1)),_xlfn.XLOOKUP($C1321,Phone_by_Sentiment!$B$2:$B$37,Phone_by_Sentiment!K$2:K$37,"",0,1),0),$A1321-TEXT(DATEVALUE($D1321&amp;"-01"), "dd-mm-yyyy")),0),0)</f>
        <v>181</v>
      </c>
      <c r="L1321" cm="1">
        <f t="array" ref="L1321">IF($Q1321&gt;=0,IFERROR(generateSalesData($D1321, IF(ISNUMBER(_xlfn.XLOOKUP($C1321,Phone_by_Sentiment!$B$2:$B$37,Phone_by_Sentiment!L$2:L$37,"",0,1)),_xlfn.XLOOKUP($C1321,Phone_by_Sentiment!$B$2:$B$37,Phone_by_Sentiment!L$2:L$37,"",0,1),0),$A1321-TEXT(DATEVALUE($D1321&amp;"-01"), "dd-mm-yyyy")),0),0)</f>
        <v>35</v>
      </c>
      <c r="M1321" cm="1">
        <f t="array" ref="M1321">IF($Q1321&gt;=0,IFERROR(generateSalesData($D1321, IF(ISNUMBER(_xlfn.XLOOKUP($C1321,Phone_by_Sentiment!$B$2:$B$37,Phone_by_Sentiment!M$2:M$37,"",0,1)),_xlfn.XLOOKUP($C1321,Phone_by_Sentiment!$B$2:$B$37,Phone_by_Sentiment!M$2:M$37,"",0,1),0),$A1321-TEXT(DATEVALUE($D1321&amp;"-01"), "dd-mm-yyyy")),0),0)</f>
        <v>153</v>
      </c>
      <c r="N1321" cm="1">
        <f t="array" ref="N1321">IF($Q1321&gt;=0,IFERROR(generateSalesData($D1321, IF(ISNUMBER(_xlfn.XLOOKUP($C1321,Phone_by_Sentiment!$B$2:$B$37,Phone_by_Sentiment!N$2:N$37,"",0,1)),_xlfn.XLOOKUP($C1321,Phone_by_Sentiment!$B$2:$B$37,Phone_by_Sentiment!N$2:N$37,"",0,1),0),$A1321-TEXT(DATEVALUE($D1321&amp;"-01"), "dd-mm-yyyy")),0),0)</f>
        <v>8</v>
      </c>
      <c r="O1321" cm="1">
        <f t="array" ref="O1321">IF($Q1321&gt;=0,IFERROR(generateSalesData($D1321, IF(ISNUMBER(_xlfn.XLOOKUP($C1321,Phone_by_Sentiment!$B$2:$B$37,Phone_by_Sentiment!O$2:O$37,"",0,1)),_xlfn.XLOOKUP($C1321,Phone_by_Sentiment!$B$2:$B$37,Phone_by_Sentiment!O$2:O$37,"",0,1),0),$A1321-TEXT(DATEVALUE($D1321&amp;"-01"), "dd-mm-yyyy")),0),0)</f>
        <v>91</v>
      </c>
      <c r="P1321" s="1">
        <f t="shared" si="51"/>
        <v>43678</v>
      </c>
      <c r="Q1321">
        <f t="shared" si="53"/>
        <v>915</v>
      </c>
    </row>
    <row r="1322" spans="1:17" x14ac:dyDescent="0.25">
      <c r="A1322" s="1">
        <f t="shared" si="48"/>
        <v>44593</v>
      </c>
      <c r="B1322" t="s">
        <v>170</v>
      </c>
      <c r="C1322" t="str">
        <f>_xlfn.XLOOKUP(B1322,Phone_by_Price!$A$2:$A$34,Phone_by_Price!$B$2:$B$34,"-",0,1)</f>
        <v>Realme Narzo 30A</v>
      </c>
      <c r="D1322" t="str">
        <f>_xlfn.XLOOKUP(C1322,Phone_by_Sentiment!$B$2:$B$37,Phone_by_Sentiment!$A$2:$A$37,"-",0,1)</f>
        <v>2021-02</v>
      </c>
      <c r="E1322" cm="1">
        <f t="array" ref="E1322">IF($Q1322&gt;=0,IFERROR(generateSalesData($D1322, IF(ISNUMBER(_xlfn.XLOOKUP($C1322,Phone_by_Sentiment!$B$2:$B$37,Phone_by_Sentiment!E$2:E$37,"",0,1)),_xlfn.XLOOKUP($C1322,Phone_by_Sentiment!$B$2:$B$37,Phone_by_Sentiment!E$2:E$37,"",0,1),0),$A1322-TEXT(DATEVALUE($D1322&amp;"-01"), "dd-mm-yyyy")),0),0)</f>
        <v>172</v>
      </c>
      <c r="F1322" cm="1">
        <f t="array" ref="F1322">IF($Q1322&gt;=0,IFERROR(generateSalesData($D1322, IF(ISNUMBER(_xlfn.XLOOKUP($C1322,Phone_by_Sentiment!$B$2:$B$37,Phone_by_Sentiment!F$2:F$37,"",0,1)),_xlfn.XLOOKUP($C1322,Phone_by_Sentiment!$B$2:$B$37,Phone_by_Sentiment!F$2:F$37,"",0,1),0),$A1322-TEXT(DATEVALUE($D1322&amp;"-01"), "dd-mm-yyyy")),0),0)</f>
        <v>230</v>
      </c>
      <c r="G1322" cm="1">
        <f t="array" ref="G1322">IF($Q1322&gt;=0,IFERROR(generateSalesData($D1322, IF(ISNUMBER(_xlfn.XLOOKUP($C1322,Phone_by_Sentiment!$B$2:$B$37,Phone_by_Sentiment!G$2:G$37,"",0,1)),_xlfn.XLOOKUP($C1322,Phone_by_Sentiment!$B$2:$B$37,Phone_by_Sentiment!G$2:G$37,"",0,1),0),$A1322-TEXT(DATEVALUE($D1322&amp;"-01"), "dd-mm-yyyy")),0),0)</f>
        <v>178</v>
      </c>
      <c r="H1322" cm="1">
        <f t="array" ref="H1322">IF($Q1322&gt;=0,IFERROR(generateSalesData($D1322, IF(ISNUMBER(_xlfn.XLOOKUP($C1322,Phone_by_Sentiment!$B$2:$B$37,Phone_by_Sentiment!H$2:H$37,"",0,1)),_xlfn.XLOOKUP($C1322,Phone_by_Sentiment!$B$2:$B$37,Phone_by_Sentiment!H$2:H$37,"",0,1),0),$A1322-TEXT(DATEVALUE($D1322&amp;"-01"), "dd-mm-yyyy")),0),0)</f>
        <v>641</v>
      </c>
      <c r="I1322" cm="1">
        <f t="array" ref="I1322">IF($Q1322&gt;=0,IFERROR(generateSalesData($D1322, IF(ISNUMBER(_xlfn.XLOOKUP($C1322,Phone_by_Sentiment!$B$2:$B$37,Phone_by_Sentiment!I$2:I$37,"",0,1)),_xlfn.XLOOKUP($C1322,Phone_by_Sentiment!$B$2:$B$37,Phone_by_Sentiment!I$2:I$37,"",0,1),0),$A1322-TEXT(DATEVALUE($D1322&amp;"-01"), "dd-mm-yyyy")),0),0)</f>
        <v>878</v>
      </c>
      <c r="J1322" cm="1">
        <f t="array" ref="J1322">IF($Q1322&gt;=0,IFERROR(generateSalesData($D1322, IF(ISNUMBER(_xlfn.XLOOKUP($C1322,Phone_by_Sentiment!$B$2:$B$37,Phone_by_Sentiment!J$2:J$37,"",0,1)),_xlfn.XLOOKUP($C1322,Phone_by_Sentiment!$B$2:$B$37,Phone_by_Sentiment!J$2:J$37,"",0,1),0),$A1322-TEXT(DATEVALUE($D1322&amp;"-01"), "dd-mm-yyyy")),0),0)</f>
        <v>291</v>
      </c>
      <c r="K1322" cm="1">
        <f t="array" ref="K1322">IF($Q1322&gt;=0,IFERROR(generateSalesData($D1322, IF(ISNUMBER(_xlfn.XLOOKUP($C1322,Phone_by_Sentiment!$B$2:$B$37,Phone_by_Sentiment!K$2:K$37,"",0,1)),_xlfn.XLOOKUP($C1322,Phone_by_Sentiment!$B$2:$B$37,Phone_by_Sentiment!K$2:K$37,"",0,1),0),$A1322-TEXT(DATEVALUE($D1322&amp;"-01"), "dd-mm-yyyy")),0),0)</f>
        <v>463</v>
      </c>
      <c r="L1322" cm="1">
        <f t="array" ref="L1322">IF($Q1322&gt;=0,IFERROR(generateSalesData($D1322, IF(ISNUMBER(_xlfn.XLOOKUP($C1322,Phone_by_Sentiment!$B$2:$B$37,Phone_by_Sentiment!L$2:L$37,"",0,1)),_xlfn.XLOOKUP($C1322,Phone_by_Sentiment!$B$2:$B$37,Phone_by_Sentiment!L$2:L$37,"",0,1),0),$A1322-TEXT(DATEVALUE($D1322&amp;"-01"), "dd-mm-yyyy")),0),0)</f>
        <v>308</v>
      </c>
      <c r="M1322" cm="1">
        <f t="array" ref="M1322">IF($Q1322&gt;=0,IFERROR(generateSalesData($D1322, IF(ISNUMBER(_xlfn.XLOOKUP($C1322,Phone_by_Sentiment!$B$2:$B$37,Phone_by_Sentiment!M$2:M$37,"",0,1)),_xlfn.XLOOKUP($C1322,Phone_by_Sentiment!$B$2:$B$37,Phone_by_Sentiment!M$2:M$37,"",0,1),0),$A1322-TEXT(DATEVALUE($D1322&amp;"-01"), "dd-mm-yyyy")),0),0)</f>
        <v>265</v>
      </c>
      <c r="N1322" cm="1">
        <f t="array" ref="N1322">IF($Q1322&gt;=0,IFERROR(generateSalesData($D1322, IF(ISNUMBER(_xlfn.XLOOKUP($C1322,Phone_by_Sentiment!$B$2:$B$37,Phone_by_Sentiment!N$2:N$37,"",0,1)),_xlfn.XLOOKUP($C1322,Phone_by_Sentiment!$B$2:$B$37,Phone_by_Sentiment!N$2:N$37,"",0,1),0),$A1322-TEXT(DATEVALUE($D1322&amp;"-01"), "dd-mm-yyyy")),0),0)</f>
        <v>770</v>
      </c>
      <c r="O1322" cm="1">
        <f t="array" ref="O1322">IF($Q1322&gt;=0,IFERROR(generateSalesData($D1322, IF(ISNUMBER(_xlfn.XLOOKUP($C1322,Phone_by_Sentiment!$B$2:$B$37,Phone_by_Sentiment!O$2:O$37,"",0,1)),_xlfn.XLOOKUP($C1322,Phone_by_Sentiment!$B$2:$B$37,Phone_by_Sentiment!O$2:O$37,"",0,1),0),$A1322-TEXT(DATEVALUE($D1322&amp;"-01"), "dd-mm-yyyy")),0),0)</f>
        <v>242</v>
      </c>
      <c r="P1322" s="1">
        <f t="shared" si="51"/>
        <v>44228</v>
      </c>
      <c r="Q1322">
        <f t="shared" si="53"/>
        <v>365</v>
      </c>
    </row>
    <row r="1323" spans="1:17" x14ac:dyDescent="0.25">
      <c r="A1323" s="1">
        <f t="shared" si="48"/>
        <v>44593</v>
      </c>
      <c r="B1323" t="s">
        <v>171</v>
      </c>
      <c r="C1323" t="str">
        <f>_xlfn.XLOOKUP(B1323,Phone_by_Price!$A$2:$A$34,Phone_by_Price!$B$2:$B$34,"-",0,1)</f>
        <v>Samsung Galaxy A22 5G</v>
      </c>
      <c r="D1323" t="str">
        <f>_xlfn.XLOOKUP(C1323,Phone_by_Sentiment!$B$2:$B$37,Phone_by_Sentiment!$A$2:$A$37,"-",0,1)</f>
        <v>2021-05</v>
      </c>
      <c r="E1323" cm="1">
        <f t="array" ref="E1323">IF($Q1323&gt;=0,IFERROR(generateSalesData($D1323, IF(ISNUMBER(_xlfn.XLOOKUP($C1323,Phone_by_Sentiment!$B$2:$B$37,Phone_by_Sentiment!E$2:E$37,"",0,1)),_xlfn.XLOOKUP($C1323,Phone_by_Sentiment!$B$2:$B$37,Phone_by_Sentiment!E$2:E$37,"",0,1),0),$A1323-TEXT(DATEVALUE($D1323&amp;"-01"), "dd-mm-yyyy")),0),0)</f>
        <v>747</v>
      </c>
      <c r="F1323" cm="1">
        <f t="array" ref="F1323">IF($Q1323&gt;=0,IFERROR(generateSalesData($D1323, IF(ISNUMBER(_xlfn.XLOOKUP($C1323,Phone_by_Sentiment!$B$2:$B$37,Phone_by_Sentiment!F$2:F$37,"",0,1)),_xlfn.XLOOKUP($C1323,Phone_by_Sentiment!$B$2:$B$37,Phone_by_Sentiment!F$2:F$37,"",0,1),0),$A1323-TEXT(DATEVALUE($D1323&amp;"-01"), "dd-mm-yyyy")),0),0)</f>
        <v>776</v>
      </c>
      <c r="G1323" cm="1">
        <f t="array" ref="G1323">IF($Q1323&gt;=0,IFERROR(generateSalesData($D1323, IF(ISNUMBER(_xlfn.XLOOKUP($C1323,Phone_by_Sentiment!$B$2:$B$37,Phone_by_Sentiment!G$2:G$37,"",0,1)),_xlfn.XLOOKUP($C1323,Phone_by_Sentiment!$B$2:$B$37,Phone_by_Sentiment!G$2:G$37,"",0,1),0),$A1323-TEXT(DATEVALUE($D1323&amp;"-01"), "dd-mm-yyyy")),0),0)</f>
        <v>298</v>
      </c>
      <c r="H1323" cm="1">
        <f t="array" ref="H1323">IF($Q1323&gt;=0,IFERROR(generateSalesData($D1323, IF(ISNUMBER(_xlfn.XLOOKUP($C1323,Phone_by_Sentiment!$B$2:$B$37,Phone_by_Sentiment!H$2:H$37,"",0,1)),_xlfn.XLOOKUP($C1323,Phone_by_Sentiment!$B$2:$B$37,Phone_by_Sentiment!H$2:H$37,"",0,1),0),$A1323-TEXT(DATEVALUE($D1323&amp;"-01"), "dd-mm-yyyy")),0),0)</f>
        <v>1046</v>
      </c>
      <c r="I1323" cm="1">
        <f t="array" ref="I1323">IF($Q1323&gt;=0,IFERROR(generateSalesData($D1323, IF(ISNUMBER(_xlfn.XLOOKUP($C1323,Phone_by_Sentiment!$B$2:$B$37,Phone_by_Sentiment!I$2:I$37,"",0,1)),_xlfn.XLOOKUP($C1323,Phone_by_Sentiment!$B$2:$B$37,Phone_by_Sentiment!I$2:I$37,"",0,1),0),$A1323-TEXT(DATEVALUE($D1323&amp;"-01"), "dd-mm-yyyy")),0),0)</f>
        <v>637</v>
      </c>
      <c r="J1323" cm="1">
        <f t="array" ref="J1323">IF($Q1323&gt;=0,IFERROR(generateSalesData($D1323, IF(ISNUMBER(_xlfn.XLOOKUP($C1323,Phone_by_Sentiment!$B$2:$B$37,Phone_by_Sentiment!J$2:J$37,"",0,1)),_xlfn.XLOOKUP($C1323,Phone_by_Sentiment!$B$2:$B$37,Phone_by_Sentiment!J$2:J$37,"",0,1),0),$A1323-TEXT(DATEVALUE($D1323&amp;"-01"), "dd-mm-yyyy")),0),0)</f>
        <v>926</v>
      </c>
      <c r="K1323" cm="1">
        <f t="array" ref="K1323">IF($Q1323&gt;=0,IFERROR(generateSalesData($D1323, IF(ISNUMBER(_xlfn.XLOOKUP($C1323,Phone_by_Sentiment!$B$2:$B$37,Phone_by_Sentiment!K$2:K$37,"",0,1)),_xlfn.XLOOKUP($C1323,Phone_by_Sentiment!$B$2:$B$37,Phone_by_Sentiment!K$2:K$37,"",0,1),0),$A1323-TEXT(DATEVALUE($D1323&amp;"-01"), "dd-mm-yyyy")),0),0)</f>
        <v>924</v>
      </c>
      <c r="L1323" cm="1">
        <f t="array" ref="L1323">IF($Q1323&gt;=0,IFERROR(generateSalesData($D1323, IF(ISNUMBER(_xlfn.XLOOKUP($C1323,Phone_by_Sentiment!$B$2:$B$37,Phone_by_Sentiment!L$2:L$37,"",0,1)),_xlfn.XLOOKUP($C1323,Phone_by_Sentiment!$B$2:$B$37,Phone_by_Sentiment!L$2:L$37,"",0,1),0),$A1323-TEXT(DATEVALUE($D1323&amp;"-01"), "dd-mm-yyyy")),0),0)</f>
        <v>1132</v>
      </c>
      <c r="M1323" cm="1">
        <f t="array" ref="M1323">IF($Q1323&gt;=0,IFERROR(generateSalesData($D1323, IF(ISNUMBER(_xlfn.XLOOKUP($C1323,Phone_by_Sentiment!$B$2:$B$37,Phone_by_Sentiment!M$2:M$37,"",0,1)),_xlfn.XLOOKUP($C1323,Phone_by_Sentiment!$B$2:$B$37,Phone_by_Sentiment!M$2:M$37,"",0,1),0),$A1323-TEXT(DATEVALUE($D1323&amp;"-01"), "dd-mm-yyyy")),0),0)</f>
        <v>745</v>
      </c>
      <c r="N1323" cm="1">
        <f t="array" ref="N1323">IF($Q1323&gt;=0,IFERROR(generateSalesData($D1323, IF(ISNUMBER(_xlfn.XLOOKUP($C1323,Phone_by_Sentiment!$B$2:$B$37,Phone_by_Sentiment!N$2:N$37,"",0,1)),_xlfn.XLOOKUP($C1323,Phone_by_Sentiment!$B$2:$B$37,Phone_by_Sentiment!N$2:N$37,"",0,1),0),$A1323-TEXT(DATEVALUE($D1323&amp;"-01"), "dd-mm-yyyy")),0),0)</f>
        <v>472</v>
      </c>
      <c r="O1323" cm="1">
        <f t="array" ref="O1323">IF($Q1323&gt;=0,IFERROR(generateSalesData($D1323, IF(ISNUMBER(_xlfn.XLOOKUP($C1323,Phone_by_Sentiment!$B$2:$B$37,Phone_by_Sentiment!O$2:O$37,"",0,1)),_xlfn.XLOOKUP($C1323,Phone_by_Sentiment!$B$2:$B$37,Phone_by_Sentiment!O$2:O$37,"",0,1),0),$A1323-TEXT(DATEVALUE($D1323&amp;"-01"), "dd-mm-yyyy")),0),0)</f>
        <v>293</v>
      </c>
      <c r="P1323" s="1">
        <f t="shared" si="51"/>
        <v>44317</v>
      </c>
      <c r="Q1323">
        <f t="shared" si="53"/>
        <v>276</v>
      </c>
    </row>
    <row r="1324" spans="1:17" x14ac:dyDescent="0.25">
      <c r="A1324" s="1">
        <f t="shared" si="48"/>
        <v>44593</v>
      </c>
      <c r="B1324" t="s">
        <v>172</v>
      </c>
      <c r="C1324" t="str">
        <f>_xlfn.XLOOKUP(B1324,Phone_by_Price!$A$2:$A$34,Phone_by_Price!$B$2:$B$34,"-",0,1)</f>
        <v>Xiaomi Redmi 9</v>
      </c>
      <c r="D1324" t="str">
        <f>_xlfn.XLOOKUP(C1324,Phone_by_Sentiment!$B$2:$B$37,Phone_by_Sentiment!$A$2:$A$37,"-",0,1)</f>
        <v>2020-08</v>
      </c>
      <c r="E1324" cm="1">
        <f t="array" ref="E1324">IF($Q1324&gt;=0,IFERROR(generateSalesData($D1324, IF(ISNUMBER(_xlfn.XLOOKUP($C1324,Phone_by_Sentiment!$B$2:$B$37,Phone_by_Sentiment!E$2:E$37,"",0,1)),_xlfn.XLOOKUP($C1324,Phone_by_Sentiment!$B$2:$B$37,Phone_by_Sentiment!E$2:E$37,"",0,1),0),$A1324-TEXT(DATEVALUE($D1324&amp;"-01"), "dd-mm-yyyy")),0),0)</f>
        <v>99</v>
      </c>
      <c r="F1324" cm="1">
        <f t="array" ref="F1324">IF($Q1324&gt;=0,IFERROR(generateSalesData($D1324, IF(ISNUMBER(_xlfn.XLOOKUP($C1324,Phone_by_Sentiment!$B$2:$B$37,Phone_by_Sentiment!F$2:F$37,"",0,1)),_xlfn.XLOOKUP($C1324,Phone_by_Sentiment!$B$2:$B$37,Phone_by_Sentiment!F$2:F$37,"",0,1),0),$A1324-TEXT(DATEVALUE($D1324&amp;"-01"), "dd-mm-yyyy")),0),0)</f>
        <v>133</v>
      </c>
      <c r="G1324" cm="1">
        <f t="array" ref="G1324">IF($Q1324&gt;=0,IFERROR(generateSalesData($D1324, IF(ISNUMBER(_xlfn.XLOOKUP($C1324,Phone_by_Sentiment!$B$2:$B$37,Phone_by_Sentiment!G$2:G$37,"",0,1)),_xlfn.XLOOKUP($C1324,Phone_by_Sentiment!$B$2:$B$37,Phone_by_Sentiment!G$2:G$37,"",0,1),0),$A1324-TEXT(DATEVALUE($D1324&amp;"-01"), "dd-mm-yyyy")),0),0)</f>
        <v>116</v>
      </c>
      <c r="H1324" cm="1">
        <f t="array" ref="H1324">IF($Q1324&gt;=0,IFERROR(generateSalesData($D1324, IF(ISNUMBER(_xlfn.XLOOKUP($C1324,Phone_by_Sentiment!$B$2:$B$37,Phone_by_Sentiment!H$2:H$37,"",0,1)),_xlfn.XLOOKUP($C1324,Phone_by_Sentiment!$B$2:$B$37,Phone_by_Sentiment!H$2:H$37,"",0,1),0),$A1324-TEXT(DATEVALUE($D1324&amp;"-01"), "dd-mm-yyyy")),0),0)</f>
        <v>363</v>
      </c>
      <c r="I1324" cm="1">
        <f t="array" ref="I1324">IF($Q1324&gt;=0,IFERROR(generateSalesData($D1324, IF(ISNUMBER(_xlfn.XLOOKUP($C1324,Phone_by_Sentiment!$B$2:$B$37,Phone_by_Sentiment!I$2:I$37,"",0,1)),_xlfn.XLOOKUP($C1324,Phone_by_Sentiment!$B$2:$B$37,Phone_by_Sentiment!I$2:I$37,"",0,1),0),$A1324-TEXT(DATEVALUE($D1324&amp;"-01"), "dd-mm-yyyy")),0),0)</f>
        <v>114</v>
      </c>
      <c r="J1324" cm="1">
        <f t="array" ref="J1324">IF($Q1324&gt;=0,IFERROR(generateSalesData($D1324, IF(ISNUMBER(_xlfn.XLOOKUP($C1324,Phone_by_Sentiment!$B$2:$B$37,Phone_by_Sentiment!J$2:J$37,"",0,1)),_xlfn.XLOOKUP($C1324,Phone_by_Sentiment!$B$2:$B$37,Phone_by_Sentiment!J$2:J$37,"",0,1),0),$A1324-TEXT(DATEVALUE($D1324&amp;"-01"), "dd-mm-yyyy")),0),0)</f>
        <v>-22</v>
      </c>
      <c r="K1324" cm="1">
        <f t="array" ref="K1324">IF($Q1324&gt;=0,IFERROR(generateSalesData($D1324, IF(ISNUMBER(_xlfn.XLOOKUP($C1324,Phone_by_Sentiment!$B$2:$B$37,Phone_by_Sentiment!K$2:K$37,"",0,1)),_xlfn.XLOOKUP($C1324,Phone_by_Sentiment!$B$2:$B$37,Phone_by_Sentiment!K$2:K$37,"",0,1),0),$A1324-TEXT(DATEVALUE($D1324&amp;"-01"), "dd-mm-yyyy")),0),0)</f>
        <v>407</v>
      </c>
      <c r="L1324" cm="1">
        <f t="array" ref="L1324">IF($Q1324&gt;=0,IFERROR(generateSalesData($D1324, IF(ISNUMBER(_xlfn.XLOOKUP($C1324,Phone_by_Sentiment!$B$2:$B$37,Phone_by_Sentiment!L$2:L$37,"",0,1)),_xlfn.XLOOKUP($C1324,Phone_by_Sentiment!$B$2:$B$37,Phone_by_Sentiment!L$2:L$37,"",0,1),0),$A1324-TEXT(DATEVALUE($D1324&amp;"-01"), "dd-mm-yyyy")),0),0)</f>
        <v>89</v>
      </c>
      <c r="M1324" cm="1">
        <f t="array" ref="M1324">IF($Q1324&gt;=0,IFERROR(generateSalesData($D1324, IF(ISNUMBER(_xlfn.XLOOKUP($C1324,Phone_by_Sentiment!$B$2:$B$37,Phone_by_Sentiment!M$2:M$37,"",0,1)),_xlfn.XLOOKUP($C1324,Phone_by_Sentiment!$B$2:$B$37,Phone_by_Sentiment!M$2:M$37,"",0,1),0),$A1324-TEXT(DATEVALUE($D1324&amp;"-01"), "dd-mm-yyyy")),0),0)</f>
        <v>678</v>
      </c>
      <c r="N1324" cm="1">
        <f t="array" ref="N1324">IF($Q1324&gt;=0,IFERROR(generateSalesData($D1324, IF(ISNUMBER(_xlfn.XLOOKUP($C1324,Phone_by_Sentiment!$B$2:$B$37,Phone_by_Sentiment!N$2:N$37,"",0,1)),_xlfn.XLOOKUP($C1324,Phone_by_Sentiment!$B$2:$B$37,Phone_by_Sentiment!N$2:N$37,"",0,1),0),$A1324-TEXT(DATEVALUE($D1324&amp;"-01"), "dd-mm-yyyy")),0),0)</f>
        <v>83</v>
      </c>
      <c r="O1324" cm="1">
        <f t="array" ref="O1324">IF($Q1324&gt;=0,IFERROR(generateSalesData($D1324, IF(ISNUMBER(_xlfn.XLOOKUP($C1324,Phone_by_Sentiment!$B$2:$B$37,Phone_by_Sentiment!O$2:O$37,"",0,1)),_xlfn.XLOOKUP($C1324,Phone_by_Sentiment!$B$2:$B$37,Phone_by_Sentiment!O$2:O$37,"",0,1),0),$A1324-TEXT(DATEVALUE($D1324&amp;"-01"), "dd-mm-yyyy")),0),0)</f>
        <v>87</v>
      </c>
      <c r="P1324" s="1">
        <f t="shared" si="51"/>
        <v>44044</v>
      </c>
      <c r="Q1324">
        <f t="shared" si="53"/>
        <v>549</v>
      </c>
    </row>
    <row r="1325" spans="1:17" x14ac:dyDescent="0.25">
      <c r="A1325" s="1">
        <f t="shared" si="48"/>
        <v>44593</v>
      </c>
      <c r="B1325" t="s">
        <v>173</v>
      </c>
      <c r="C1325" t="str">
        <f>_xlfn.XLOOKUP(B1325,Phone_by_Price!$A$2:$A$34,Phone_by_Price!$B$2:$B$34,"-",0,1)</f>
        <v>Realme C3</v>
      </c>
      <c r="D1325" t="str">
        <f>_xlfn.XLOOKUP(C1325,Phone_by_Sentiment!$B$2:$B$37,Phone_by_Sentiment!$A$2:$A$37,"-",0,1)</f>
        <v>2020-02</v>
      </c>
      <c r="E1325" cm="1">
        <f t="array" ref="E1325">IF($Q1325&gt;=0,IFERROR(generateSalesData($D1325, IF(ISNUMBER(_xlfn.XLOOKUP($C1325,Phone_by_Sentiment!$B$2:$B$37,Phone_by_Sentiment!E$2:E$37,"",0,1)),_xlfn.XLOOKUP($C1325,Phone_by_Sentiment!$B$2:$B$37,Phone_by_Sentiment!E$2:E$37,"",0,1),0),$A1325-TEXT(DATEVALUE($D1325&amp;"-01"), "dd-mm-yyyy")),0),0)</f>
        <v>56</v>
      </c>
      <c r="F1325" cm="1">
        <f t="array" ref="F1325">IF($Q1325&gt;=0,IFERROR(generateSalesData($D1325, IF(ISNUMBER(_xlfn.XLOOKUP($C1325,Phone_by_Sentiment!$B$2:$B$37,Phone_by_Sentiment!F$2:F$37,"",0,1)),_xlfn.XLOOKUP($C1325,Phone_by_Sentiment!$B$2:$B$37,Phone_by_Sentiment!F$2:F$37,"",0,1),0),$A1325-TEXT(DATEVALUE($D1325&amp;"-01"), "dd-mm-yyyy")),0),0)</f>
        <v>128</v>
      </c>
      <c r="G1325" cm="1">
        <f t="array" ref="G1325">IF($Q1325&gt;=0,IFERROR(generateSalesData($D1325, IF(ISNUMBER(_xlfn.XLOOKUP($C1325,Phone_by_Sentiment!$B$2:$B$37,Phone_by_Sentiment!G$2:G$37,"",0,1)),_xlfn.XLOOKUP($C1325,Phone_by_Sentiment!$B$2:$B$37,Phone_by_Sentiment!G$2:G$37,"",0,1),0),$A1325-TEXT(DATEVALUE($D1325&amp;"-01"), "dd-mm-yyyy")),0),0)</f>
        <v>189</v>
      </c>
      <c r="H1325" cm="1">
        <f t="array" ref="H1325">IF($Q1325&gt;=0,IFERROR(generateSalesData($D1325, IF(ISNUMBER(_xlfn.XLOOKUP($C1325,Phone_by_Sentiment!$B$2:$B$37,Phone_by_Sentiment!H$2:H$37,"",0,1)),_xlfn.XLOOKUP($C1325,Phone_by_Sentiment!$B$2:$B$37,Phone_by_Sentiment!H$2:H$37,"",0,1),0),$A1325-TEXT(DATEVALUE($D1325&amp;"-01"), "dd-mm-yyyy")),0),0)</f>
        <v>231</v>
      </c>
      <c r="I1325" cm="1">
        <f t="array" ref="I1325">IF($Q1325&gt;=0,IFERROR(generateSalesData($D1325, IF(ISNUMBER(_xlfn.XLOOKUP($C1325,Phone_by_Sentiment!$B$2:$B$37,Phone_by_Sentiment!I$2:I$37,"",0,1)),_xlfn.XLOOKUP($C1325,Phone_by_Sentiment!$B$2:$B$37,Phone_by_Sentiment!I$2:I$37,"",0,1),0),$A1325-TEXT(DATEVALUE($D1325&amp;"-01"), "dd-mm-yyyy")),0),0)</f>
        <v>238</v>
      </c>
      <c r="J1325" cm="1">
        <f t="array" ref="J1325">IF($Q1325&gt;=0,IFERROR(generateSalesData($D1325, IF(ISNUMBER(_xlfn.XLOOKUP($C1325,Phone_by_Sentiment!$B$2:$B$37,Phone_by_Sentiment!J$2:J$37,"",0,1)),_xlfn.XLOOKUP($C1325,Phone_by_Sentiment!$B$2:$B$37,Phone_by_Sentiment!J$2:J$37,"",0,1),0),$A1325-TEXT(DATEVALUE($D1325&amp;"-01"), "dd-mm-yyyy")),0),0)</f>
        <v>120</v>
      </c>
      <c r="K1325" cm="1">
        <f t="array" ref="K1325">IF($Q1325&gt;=0,IFERROR(generateSalesData($D1325, IF(ISNUMBER(_xlfn.XLOOKUP($C1325,Phone_by_Sentiment!$B$2:$B$37,Phone_by_Sentiment!K$2:K$37,"",0,1)),_xlfn.XLOOKUP($C1325,Phone_by_Sentiment!$B$2:$B$37,Phone_by_Sentiment!K$2:K$37,"",0,1),0),$A1325-TEXT(DATEVALUE($D1325&amp;"-01"), "dd-mm-yyyy")),0),0)</f>
        <v>339</v>
      </c>
      <c r="L1325" cm="1">
        <f t="array" ref="L1325">IF($Q1325&gt;=0,IFERROR(generateSalesData($D1325, IF(ISNUMBER(_xlfn.XLOOKUP($C1325,Phone_by_Sentiment!$B$2:$B$37,Phone_by_Sentiment!L$2:L$37,"",0,1)),_xlfn.XLOOKUP($C1325,Phone_by_Sentiment!$B$2:$B$37,Phone_by_Sentiment!L$2:L$37,"",0,1),0),$A1325-TEXT(DATEVALUE($D1325&amp;"-01"), "dd-mm-yyyy")),0),0)</f>
        <v>263</v>
      </c>
      <c r="M1325" cm="1">
        <f t="array" ref="M1325">IF($Q1325&gt;=0,IFERROR(generateSalesData($D1325, IF(ISNUMBER(_xlfn.XLOOKUP($C1325,Phone_by_Sentiment!$B$2:$B$37,Phone_by_Sentiment!M$2:M$37,"",0,1)),_xlfn.XLOOKUP($C1325,Phone_by_Sentiment!$B$2:$B$37,Phone_by_Sentiment!M$2:M$37,"",0,1),0),$A1325-TEXT(DATEVALUE($D1325&amp;"-01"), "dd-mm-yyyy")),0),0)</f>
        <v>-1</v>
      </c>
      <c r="N1325" cm="1">
        <f t="array" ref="N1325">IF($Q1325&gt;=0,IFERROR(generateSalesData($D1325, IF(ISNUMBER(_xlfn.XLOOKUP($C1325,Phone_by_Sentiment!$B$2:$B$37,Phone_by_Sentiment!N$2:N$37,"",0,1)),_xlfn.XLOOKUP($C1325,Phone_by_Sentiment!$B$2:$B$37,Phone_by_Sentiment!N$2:N$37,"",0,1),0),$A1325-TEXT(DATEVALUE($D1325&amp;"-01"), "dd-mm-yyyy")),0),0)</f>
        <v>59</v>
      </c>
      <c r="O1325" cm="1">
        <f t="array" ref="O1325">IF($Q1325&gt;=0,IFERROR(generateSalesData($D1325, IF(ISNUMBER(_xlfn.XLOOKUP($C1325,Phone_by_Sentiment!$B$2:$B$37,Phone_by_Sentiment!O$2:O$37,"",0,1)),_xlfn.XLOOKUP($C1325,Phone_by_Sentiment!$B$2:$B$37,Phone_by_Sentiment!O$2:O$37,"",0,1),0),$A1325-TEXT(DATEVALUE($D1325&amp;"-01"), "dd-mm-yyyy")),0),0)</f>
        <v>116</v>
      </c>
      <c r="P1325" s="1">
        <f t="shared" si="51"/>
        <v>43862</v>
      </c>
      <c r="Q1325">
        <f t="shared" si="53"/>
        <v>731</v>
      </c>
    </row>
    <row r="1326" spans="1:17" x14ac:dyDescent="0.25">
      <c r="A1326" s="1">
        <f t="shared" si="48"/>
        <v>44593</v>
      </c>
      <c r="B1326" t="s">
        <v>174</v>
      </c>
      <c r="C1326" t="str">
        <f>_xlfn.XLOOKUP(B1326,Phone_by_Price!$A$2:$A$34,Phone_by_Price!$B$2:$B$34,"-",0,1)</f>
        <v>Samsung Galaxy A7</v>
      </c>
      <c r="D1326" t="str">
        <f>_xlfn.XLOOKUP(C1326,Phone_by_Sentiment!$B$2:$B$37,Phone_by_Sentiment!$A$2:$A$37,"-",0,1)</f>
        <v>2018-10</v>
      </c>
      <c r="E1326" cm="1">
        <f t="array" ref="E1326">IF($Q1326&gt;=0,IFERROR(generateSalesData($D1326, IF(ISNUMBER(_xlfn.XLOOKUP($C1326,Phone_by_Sentiment!$B$2:$B$37,Phone_by_Sentiment!E$2:E$37,"",0,1)),_xlfn.XLOOKUP($C1326,Phone_by_Sentiment!$B$2:$B$37,Phone_by_Sentiment!E$2:E$37,"",0,1),0),$A1326-TEXT(DATEVALUE($D1326&amp;"-01"), "dd-mm-yyyy")),0),0)</f>
        <v>87</v>
      </c>
      <c r="F1326" cm="1">
        <f t="array" ref="F1326">IF($Q1326&gt;=0,IFERROR(generateSalesData($D1326, IF(ISNUMBER(_xlfn.XLOOKUP($C1326,Phone_by_Sentiment!$B$2:$B$37,Phone_by_Sentiment!F$2:F$37,"",0,1)),_xlfn.XLOOKUP($C1326,Phone_by_Sentiment!$B$2:$B$37,Phone_by_Sentiment!F$2:F$37,"",0,1),0),$A1326-TEXT(DATEVALUE($D1326&amp;"-01"), "dd-mm-yyyy")),0),0)</f>
        <v>103</v>
      </c>
      <c r="G1326" cm="1">
        <f t="array" ref="G1326">IF($Q1326&gt;=0,IFERROR(generateSalesData($D1326, IF(ISNUMBER(_xlfn.XLOOKUP($C1326,Phone_by_Sentiment!$B$2:$B$37,Phone_by_Sentiment!G$2:G$37,"",0,1)),_xlfn.XLOOKUP($C1326,Phone_by_Sentiment!$B$2:$B$37,Phone_by_Sentiment!G$2:G$37,"",0,1),0),$A1326-TEXT(DATEVALUE($D1326&amp;"-01"), "dd-mm-yyyy")),0),0)</f>
        <v>67</v>
      </c>
      <c r="H1326" cm="1">
        <f t="array" ref="H1326">IF($Q1326&gt;=0,IFERROR(generateSalesData($D1326, IF(ISNUMBER(_xlfn.XLOOKUP($C1326,Phone_by_Sentiment!$B$2:$B$37,Phone_by_Sentiment!H$2:H$37,"",0,1)),_xlfn.XLOOKUP($C1326,Phone_by_Sentiment!$B$2:$B$37,Phone_by_Sentiment!H$2:H$37,"",0,1),0),$A1326-TEXT(DATEVALUE($D1326&amp;"-01"), "dd-mm-yyyy")),0),0)</f>
        <v>82</v>
      </c>
      <c r="I1326" cm="1">
        <f t="array" ref="I1326">IF($Q1326&gt;=0,IFERROR(generateSalesData($D1326, IF(ISNUMBER(_xlfn.XLOOKUP($C1326,Phone_by_Sentiment!$B$2:$B$37,Phone_by_Sentiment!I$2:I$37,"",0,1)),_xlfn.XLOOKUP($C1326,Phone_by_Sentiment!$B$2:$B$37,Phone_by_Sentiment!I$2:I$37,"",0,1),0),$A1326-TEXT(DATEVALUE($D1326&amp;"-01"), "dd-mm-yyyy")),0),0)</f>
        <v>93</v>
      </c>
      <c r="J1326" cm="1">
        <f t="array" ref="J1326">IF($Q1326&gt;=0,IFERROR(generateSalesData($D1326, IF(ISNUMBER(_xlfn.XLOOKUP($C1326,Phone_by_Sentiment!$B$2:$B$37,Phone_by_Sentiment!J$2:J$37,"",0,1)),_xlfn.XLOOKUP($C1326,Phone_by_Sentiment!$B$2:$B$37,Phone_by_Sentiment!J$2:J$37,"",0,1),0),$A1326-TEXT(DATEVALUE($D1326&amp;"-01"), "dd-mm-yyyy")),0),0)</f>
        <v>2</v>
      </c>
      <c r="K1326" cm="1">
        <f t="array" ref="K1326">IF($Q1326&gt;=0,IFERROR(generateSalesData($D1326, IF(ISNUMBER(_xlfn.XLOOKUP($C1326,Phone_by_Sentiment!$B$2:$B$37,Phone_by_Sentiment!K$2:K$37,"",0,1)),_xlfn.XLOOKUP($C1326,Phone_by_Sentiment!$B$2:$B$37,Phone_by_Sentiment!K$2:K$37,"",0,1),0),$A1326-TEXT(DATEVALUE($D1326&amp;"-01"), "dd-mm-yyyy")),0),0)</f>
        <v>46</v>
      </c>
      <c r="L1326" cm="1">
        <f t="array" ref="L1326">IF($Q1326&gt;=0,IFERROR(generateSalesData($D1326, IF(ISNUMBER(_xlfn.XLOOKUP($C1326,Phone_by_Sentiment!$B$2:$B$37,Phone_by_Sentiment!L$2:L$37,"",0,1)),_xlfn.XLOOKUP($C1326,Phone_by_Sentiment!$B$2:$B$37,Phone_by_Sentiment!L$2:L$37,"",0,1),0),$A1326-TEXT(DATEVALUE($D1326&amp;"-01"), "dd-mm-yyyy")),0),0)</f>
        <v>20</v>
      </c>
      <c r="M1326" cm="1">
        <f t="array" ref="M1326">IF($Q1326&gt;=0,IFERROR(generateSalesData($D1326, IF(ISNUMBER(_xlfn.XLOOKUP($C1326,Phone_by_Sentiment!$B$2:$B$37,Phone_by_Sentiment!M$2:M$37,"",0,1)),_xlfn.XLOOKUP($C1326,Phone_by_Sentiment!$B$2:$B$37,Phone_by_Sentiment!M$2:M$37,"",0,1),0),$A1326-TEXT(DATEVALUE($D1326&amp;"-01"), "dd-mm-yyyy")),0),0)</f>
        <v>144</v>
      </c>
      <c r="N1326" cm="1">
        <f t="array" ref="N1326">IF($Q1326&gt;=0,IFERROR(generateSalesData($D1326, IF(ISNUMBER(_xlfn.XLOOKUP($C1326,Phone_by_Sentiment!$B$2:$B$37,Phone_by_Sentiment!N$2:N$37,"",0,1)),_xlfn.XLOOKUP($C1326,Phone_by_Sentiment!$B$2:$B$37,Phone_by_Sentiment!N$2:N$37,"",0,1),0),$A1326-TEXT(DATEVALUE($D1326&amp;"-01"), "dd-mm-yyyy")),0),0)</f>
        <v>174</v>
      </c>
      <c r="O1326" cm="1">
        <f t="array" ref="O1326">IF($Q1326&gt;=0,IFERROR(generateSalesData($D1326, IF(ISNUMBER(_xlfn.XLOOKUP($C1326,Phone_by_Sentiment!$B$2:$B$37,Phone_by_Sentiment!O$2:O$37,"",0,1)),_xlfn.XLOOKUP($C1326,Phone_by_Sentiment!$B$2:$B$37,Phone_by_Sentiment!O$2:O$37,"",0,1),0),$A1326-TEXT(DATEVALUE($D1326&amp;"-01"), "dd-mm-yyyy")),0),0)</f>
        <v>-23</v>
      </c>
      <c r="P1326" s="1">
        <f t="shared" si="51"/>
        <v>43374</v>
      </c>
      <c r="Q1326">
        <f t="shared" si="53"/>
        <v>1219</v>
      </c>
    </row>
    <row r="1327" spans="1:17" x14ac:dyDescent="0.25">
      <c r="A1327" s="1">
        <f t="shared" si="48"/>
        <v>44593</v>
      </c>
      <c r="B1327" t="s">
        <v>142</v>
      </c>
      <c r="C1327" t="str">
        <f>_xlfn.XLOOKUP(B1327,Phone_by_Price!$A$2:$A$34,Phone_by_Price!$B$2:$B$34,"-",0,1)</f>
        <v>iPhone 11</v>
      </c>
      <c r="D1327" t="str">
        <f>_xlfn.XLOOKUP(C1327,Phone_by_Sentiment!$B$2:$B$37,Phone_by_Sentiment!$A$2:$A$37,"-",0,1)</f>
        <v>2019-09</v>
      </c>
      <c r="E1327" cm="1">
        <f t="array" ref="E1327">IF($Q1327&gt;=0,IFERROR(generateSalesData($D1327, IF(ISNUMBER(_xlfn.XLOOKUP($C1327,Phone_by_Sentiment!$B$2:$B$37,Phone_by_Sentiment!E$2:E$37,"",0,1)),_xlfn.XLOOKUP($C1327,Phone_by_Sentiment!$B$2:$B$37,Phone_by_Sentiment!E$2:E$37,"",0,1),0),$A1327-TEXT(DATEVALUE($D1327&amp;"-01"), "dd-mm-yyyy")),0),0)</f>
        <v>333</v>
      </c>
      <c r="F1327" cm="1">
        <f t="array" ref="F1327">IF($Q1327&gt;=0,IFERROR(generateSalesData($D1327, IF(ISNUMBER(_xlfn.XLOOKUP($C1327,Phone_by_Sentiment!$B$2:$B$37,Phone_by_Sentiment!F$2:F$37,"",0,1)),_xlfn.XLOOKUP($C1327,Phone_by_Sentiment!$B$2:$B$37,Phone_by_Sentiment!F$2:F$37,"",0,1),0),$A1327-TEXT(DATEVALUE($D1327&amp;"-01"), "dd-mm-yyyy")),0),0)</f>
        <v>166</v>
      </c>
      <c r="G1327" cm="1">
        <f t="array" ref="G1327">IF($Q1327&gt;=0,IFERROR(generateSalesData($D1327, IF(ISNUMBER(_xlfn.XLOOKUP($C1327,Phone_by_Sentiment!$B$2:$B$37,Phone_by_Sentiment!G$2:G$37,"",0,1)),_xlfn.XLOOKUP($C1327,Phone_by_Sentiment!$B$2:$B$37,Phone_by_Sentiment!G$2:G$37,"",0,1),0),$A1327-TEXT(DATEVALUE($D1327&amp;"-01"), "dd-mm-yyyy")),0),0)</f>
        <v>84</v>
      </c>
      <c r="H1327" cm="1">
        <f t="array" ref="H1327">IF($Q1327&gt;=0,IFERROR(generateSalesData($D1327, IF(ISNUMBER(_xlfn.XLOOKUP($C1327,Phone_by_Sentiment!$B$2:$B$37,Phone_by_Sentiment!H$2:H$37,"",0,1)),_xlfn.XLOOKUP($C1327,Phone_by_Sentiment!$B$2:$B$37,Phone_by_Sentiment!H$2:H$37,"",0,1),0),$A1327-TEXT(DATEVALUE($D1327&amp;"-01"), "dd-mm-yyyy")),0),0)</f>
        <v>24</v>
      </c>
      <c r="I1327" cm="1">
        <f t="array" ref="I1327">IF($Q1327&gt;=0,IFERROR(generateSalesData($D1327, IF(ISNUMBER(_xlfn.XLOOKUP($C1327,Phone_by_Sentiment!$B$2:$B$37,Phone_by_Sentiment!I$2:I$37,"",0,1)),_xlfn.XLOOKUP($C1327,Phone_by_Sentiment!$B$2:$B$37,Phone_by_Sentiment!I$2:I$37,"",0,1),0),$A1327-TEXT(DATEVALUE($D1327&amp;"-01"), "dd-mm-yyyy")),0),0)</f>
        <v>170</v>
      </c>
      <c r="J1327" cm="1">
        <f t="array" ref="J1327">IF($Q1327&gt;=0,IFERROR(generateSalesData($D1327, IF(ISNUMBER(_xlfn.XLOOKUP($C1327,Phone_by_Sentiment!$B$2:$B$37,Phone_by_Sentiment!J$2:J$37,"",0,1)),_xlfn.XLOOKUP($C1327,Phone_by_Sentiment!$B$2:$B$37,Phone_by_Sentiment!J$2:J$37,"",0,1),0),$A1327-TEXT(DATEVALUE($D1327&amp;"-01"), "dd-mm-yyyy")),0),0)</f>
        <v>306</v>
      </c>
      <c r="K1327" cm="1">
        <f t="array" ref="K1327">IF($Q1327&gt;=0,IFERROR(generateSalesData($D1327, IF(ISNUMBER(_xlfn.XLOOKUP($C1327,Phone_by_Sentiment!$B$2:$B$37,Phone_by_Sentiment!K$2:K$37,"",0,1)),_xlfn.XLOOKUP($C1327,Phone_by_Sentiment!$B$2:$B$37,Phone_by_Sentiment!K$2:K$37,"",0,1),0),$A1327-TEXT(DATEVALUE($D1327&amp;"-01"), "dd-mm-yyyy")),0),0)</f>
        <v>48</v>
      </c>
      <c r="L1327" cm="1">
        <f t="array" ref="L1327">IF($Q1327&gt;=0,IFERROR(generateSalesData($D1327, IF(ISNUMBER(_xlfn.XLOOKUP($C1327,Phone_by_Sentiment!$B$2:$B$37,Phone_by_Sentiment!L$2:L$37,"",0,1)),_xlfn.XLOOKUP($C1327,Phone_by_Sentiment!$B$2:$B$37,Phone_by_Sentiment!L$2:L$37,"",0,1),0),$A1327-TEXT(DATEVALUE($D1327&amp;"-01"), "dd-mm-yyyy")),0),0)</f>
        <v>236</v>
      </c>
      <c r="M1327" cm="1">
        <f t="array" ref="M1327">IF($Q1327&gt;=0,IFERROR(generateSalesData($D1327, IF(ISNUMBER(_xlfn.XLOOKUP($C1327,Phone_by_Sentiment!$B$2:$B$37,Phone_by_Sentiment!M$2:M$37,"",0,1)),_xlfn.XLOOKUP($C1327,Phone_by_Sentiment!$B$2:$B$37,Phone_by_Sentiment!M$2:M$37,"",0,1),0),$A1327-TEXT(DATEVALUE($D1327&amp;"-01"), "dd-mm-yyyy")),0),0)</f>
        <v>316</v>
      </c>
      <c r="N1327" cm="1">
        <f t="array" ref="N1327">IF($Q1327&gt;=0,IFERROR(generateSalesData($D1327, IF(ISNUMBER(_xlfn.XLOOKUP($C1327,Phone_by_Sentiment!$B$2:$B$37,Phone_by_Sentiment!N$2:N$37,"",0,1)),_xlfn.XLOOKUP($C1327,Phone_by_Sentiment!$B$2:$B$37,Phone_by_Sentiment!N$2:N$37,"",0,1),0),$A1327-TEXT(DATEVALUE($D1327&amp;"-01"), "dd-mm-yyyy")),0),0)</f>
        <v>305</v>
      </c>
      <c r="O1327" cm="1">
        <f t="array" ref="O1327">IF($Q1327&gt;=0,IFERROR(generateSalesData($D1327, IF(ISNUMBER(_xlfn.XLOOKUP($C1327,Phone_by_Sentiment!$B$2:$B$37,Phone_by_Sentiment!O$2:O$37,"",0,1)),_xlfn.XLOOKUP($C1327,Phone_by_Sentiment!$B$2:$B$37,Phone_by_Sentiment!O$2:O$37,"",0,1),0),$A1327-TEXT(DATEVALUE($D1327&amp;"-01"), "dd-mm-yyyy")),0),0)</f>
        <v>139</v>
      </c>
      <c r="P1327" s="1">
        <f t="shared" si="51"/>
        <v>43709</v>
      </c>
      <c r="Q1327">
        <f t="shared" si="53"/>
        <v>884</v>
      </c>
    </row>
    <row r="1328" spans="1:17" x14ac:dyDescent="0.25">
      <c r="A1328" s="1">
        <f t="shared" si="48"/>
        <v>44593</v>
      </c>
      <c r="B1328" t="s">
        <v>143</v>
      </c>
      <c r="C1328" t="str">
        <f>_xlfn.XLOOKUP(B1328,Phone_by_Price!$A$2:$A$34,Phone_by_Price!$B$2:$B$34,"-",0,1)</f>
        <v>Samsung Galaxy S20 Ultra</v>
      </c>
      <c r="D1328" t="str">
        <f>_xlfn.XLOOKUP(C1328,Phone_by_Sentiment!$B$2:$B$37,Phone_by_Sentiment!$A$2:$A$37,"-",0,1)</f>
        <v>2020-02</v>
      </c>
      <c r="E1328" cm="1">
        <f t="array" ref="E1328">IF($Q1328&gt;=0,IFERROR(generateSalesData($D1328, IF(ISNUMBER(_xlfn.XLOOKUP($C1328,Phone_by_Sentiment!$B$2:$B$37,Phone_by_Sentiment!E$2:E$37,"",0,1)),_xlfn.XLOOKUP($C1328,Phone_by_Sentiment!$B$2:$B$37,Phone_by_Sentiment!E$2:E$37,"",0,1),0),$A1328-TEXT(DATEVALUE($D1328&amp;"-01"), "dd-mm-yyyy")),0),0)</f>
        <v>228</v>
      </c>
      <c r="F1328" cm="1">
        <f t="array" ref="F1328">IF($Q1328&gt;=0,IFERROR(generateSalesData($D1328, IF(ISNUMBER(_xlfn.XLOOKUP($C1328,Phone_by_Sentiment!$B$2:$B$37,Phone_by_Sentiment!F$2:F$37,"",0,1)),_xlfn.XLOOKUP($C1328,Phone_by_Sentiment!$B$2:$B$37,Phone_by_Sentiment!F$2:F$37,"",0,1),0),$A1328-TEXT(DATEVALUE($D1328&amp;"-01"), "dd-mm-yyyy")),0),0)</f>
        <v>93</v>
      </c>
      <c r="G1328" cm="1">
        <f t="array" ref="G1328">IF($Q1328&gt;=0,IFERROR(generateSalesData($D1328, IF(ISNUMBER(_xlfn.XLOOKUP($C1328,Phone_by_Sentiment!$B$2:$B$37,Phone_by_Sentiment!G$2:G$37,"",0,1)),_xlfn.XLOOKUP($C1328,Phone_by_Sentiment!$B$2:$B$37,Phone_by_Sentiment!G$2:G$37,"",0,1),0),$A1328-TEXT(DATEVALUE($D1328&amp;"-01"), "dd-mm-yyyy")),0),0)</f>
        <v>31</v>
      </c>
      <c r="H1328" cm="1">
        <f t="array" ref="H1328">IF($Q1328&gt;=0,IFERROR(generateSalesData($D1328, IF(ISNUMBER(_xlfn.XLOOKUP($C1328,Phone_by_Sentiment!$B$2:$B$37,Phone_by_Sentiment!H$2:H$37,"",0,1)),_xlfn.XLOOKUP($C1328,Phone_by_Sentiment!$B$2:$B$37,Phone_by_Sentiment!H$2:H$37,"",0,1),0),$A1328-TEXT(DATEVALUE($D1328&amp;"-01"), "dd-mm-yyyy")),0),0)</f>
        <v>537</v>
      </c>
      <c r="I1328" cm="1">
        <f t="array" ref="I1328">IF($Q1328&gt;=0,IFERROR(generateSalesData($D1328, IF(ISNUMBER(_xlfn.XLOOKUP($C1328,Phone_by_Sentiment!$B$2:$B$37,Phone_by_Sentiment!I$2:I$37,"",0,1)),_xlfn.XLOOKUP($C1328,Phone_by_Sentiment!$B$2:$B$37,Phone_by_Sentiment!I$2:I$37,"",0,1),0),$A1328-TEXT(DATEVALUE($D1328&amp;"-01"), "dd-mm-yyyy")),0),0)</f>
        <v>553</v>
      </c>
      <c r="J1328" cm="1">
        <f t="array" ref="J1328">IF($Q1328&gt;=0,IFERROR(generateSalesData($D1328, IF(ISNUMBER(_xlfn.XLOOKUP($C1328,Phone_by_Sentiment!$B$2:$B$37,Phone_by_Sentiment!J$2:J$37,"",0,1)),_xlfn.XLOOKUP($C1328,Phone_by_Sentiment!$B$2:$B$37,Phone_by_Sentiment!J$2:J$37,"",0,1),0),$A1328-TEXT(DATEVALUE($D1328&amp;"-01"), "dd-mm-yyyy")),0),0)</f>
        <v>259</v>
      </c>
      <c r="K1328" cm="1">
        <f t="array" ref="K1328">IF($Q1328&gt;=0,IFERROR(generateSalesData($D1328, IF(ISNUMBER(_xlfn.XLOOKUP($C1328,Phone_by_Sentiment!$B$2:$B$37,Phone_by_Sentiment!K$2:K$37,"",0,1)),_xlfn.XLOOKUP($C1328,Phone_by_Sentiment!$B$2:$B$37,Phone_by_Sentiment!K$2:K$37,"",0,1),0),$A1328-TEXT(DATEVALUE($D1328&amp;"-01"), "dd-mm-yyyy")),0),0)</f>
        <v>101</v>
      </c>
      <c r="L1328" cm="1">
        <f t="array" ref="L1328">IF($Q1328&gt;=0,IFERROR(generateSalesData($D1328, IF(ISNUMBER(_xlfn.XLOOKUP($C1328,Phone_by_Sentiment!$B$2:$B$37,Phone_by_Sentiment!L$2:L$37,"",0,1)),_xlfn.XLOOKUP($C1328,Phone_by_Sentiment!$B$2:$B$37,Phone_by_Sentiment!L$2:L$37,"",0,1),0),$A1328-TEXT(DATEVALUE($D1328&amp;"-01"), "dd-mm-yyyy")),0),0)</f>
        <v>484</v>
      </c>
      <c r="M1328" cm="1">
        <f t="array" ref="M1328">IF($Q1328&gt;=0,IFERROR(generateSalesData($D1328, IF(ISNUMBER(_xlfn.XLOOKUP($C1328,Phone_by_Sentiment!$B$2:$B$37,Phone_by_Sentiment!M$2:M$37,"",0,1)),_xlfn.XLOOKUP($C1328,Phone_by_Sentiment!$B$2:$B$37,Phone_by_Sentiment!M$2:M$37,"",0,1),0),$A1328-TEXT(DATEVALUE($D1328&amp;"-01"), "dd-mm-yyyy")),0),0)</f>
        <v>201</v>
      </c>
      <c r="N1328" cm="1">
        <f t="array" ref="N1328">IF($Q1328&gt;=0,IFERROR(generateSalesData($D1328, IF(ISNUMBER(_xlfn.XLOOKUP($C1328,Phone_by_Sentiment!$B$2:$B$37,Phone_by_Sentiment!N$2:N$37,"",0,1)),_xlfn.XLOOKUP($C1328,Phone_by_Sentiment!$B$2:$B$37,Phone_by_Sentiment!N$2:N$37,"",0,1),0),$A1328-TEXT(DATEVALUE($D1328&amp;"-01"), "dd-mm-yyyy")),0),0)</f>
        <v>324</v>
      </c>
      <c r="O1328" cm="1">
        <f t="array" ref="O1328">IF($Q1328&gt;=0,IFERROR(generateSalesData($D1328, IF(ISNUMBER(_xlfn.XLOOKUP($C1328,Phone_by_Sentiment!$B$2:$B$37,Phone_by_Sentiment!O$2:O$37,"",0,1)),_xlfn.XLOOKUP($C1328,Phone_by_Sentiment!$B$2:$B$37,Phone_by_Sentiment!O$2:O$37,"",0,1),0),$A1328-TEXT(DATEVALUE($D1328&amp;"-01"), "dd-mm-yyyy")),0),0)</f>
        <v>-39</v>
      </c>
      <c r="P1328" s="1">
        <f t="shared" si="51"/>
        <v>43862</v>
      </c>
      <c r="Q1328">
        <f t="shared" si="53"/>
        <v>731</v>
      </c>
    </row>
    <row r="1329" spans="1:17" x14ac:dyDescent="0.25">
      <c r="A1329" s="1">
        <f t="shared" si="48"/>
        <v>44593</v>
      </c>
      <c r="B1329" t="s">
        <v>144</v>
      </c>
      <c r="C1329" t="str">
        <f>_xlfn.XLOOKUP(B1329,Phone_by_Price!$A$2:$A$34,Phone_by_Price!$B$2:$B$34,"-",0,1)</f>
        <v>Xiaomi Redmi Note 10</v>
      </c>
      <c r="D1329" t="str">
        <f>_xlfn.XLOOKUP(C1329,Phone_by_Sentiment!$B$2:$B$37,Phone_by_Sentiment!$A$2:$A$37,"-",0,1)</f>
        <v>2021-03</v>
      </c>
      <c r="E1329" cm="1">
        <f t="array" ref="E1329">IF($Q1329&gt;=0,IFERROR(generateSalesData($D1329, IF(ISNUMBER(_xlfn.XLOOKUP($C1329,Phone_by_Sentiment!$B$2:$B$37,Phone_by_Sentiment!E$2:E$37,"",0,1)),_xlfn.XLOOKUP($C1329,Phone_by_Sentiment!$B$2:$B$37,Phone_by_Sentiment!E$2:E$37,"",0,1),0),$A1329-TEXT(DATEVALUE($D1329&amp;"-01"), "dd-mm-yyyy")),0),0)</f>
        <v>671</v>
      </c>
      <c r="F1329" cm="1">
        <f t="array" ref="F1329">IF($Q1329&gt;=0,IFERROR(generateSalesData($D1329, IF(ISNUMBER(_xlfn.XLOOKUP($C1329,Phone_by_Sentiment!$B$2:$B$37,Phone_by_Sentiment!F$2:F$37,"",0,1)),_xlfn.XLOOKUP($C1329,Phone_by_Sentiment!$B$2:$B$37,Phone_by_Sentiment!F$2:F$37,"",0,1),0),$A1329-TEXT(DATEVALUE($D1329&amp;"-01"), "dd-mm-yyyy")),0),0)</f>
        <v>225</v>
      </c>
      <c r="G1329" cm="1">
        <f t="array" ref="G1329">IF($Q1329&gt;=0,IFERROR(generateSalesData($D1329, IF(ISNUMBER(_xlfn.XLOOKUP($C1329,Phone_by_Sentiment!$B$2:$B$37,Phone_by_Sentiment!G$2:G$37,"",0,1)),_xlfn.XLOOKUP($C1329,Phone_by_Sentiment!$B$2:$B$37,Phone_by_Sentiment!G$2:G$37,"",0,1),0),$A1329-TEXT(DATEVALUE($D1329&amp;"-01"), "dd-mm-yyyy")),0),0)</f>
        <v>200</v>
      </c>
      <c r="H1329" cm="1">
        <f t="array" ref="H1329">IF($Q1329&gt;=0,IFERROR(generateSalesData($D1329, IF(ISNUMBER(_xlfn.XLOOKUP($C1329,Phone_by_Sentiment!$B$2:$B$37,Phone_by_Sentiment!H$2:H$37,"",0,1)),_xlfn.XLOOKUP($C1329,Phone_by_Sentiment!$B$2:$B$37,Phone_by_Sentiment!H$2:H$37,"",0,1),0),$A1329-TEXT(DATEVALUE($D1329&amp;"-01"), "dd-mm-yyyy")),0),0)</f>
        <v>274</v>
      </c>
      <c r="I1329" cm="1">
        <f t="array" ref="I1329">IF($Q1329&gt;=0,IFERROR(generateSalesData($D1329, IF(ISNUMBER(_xlfn.XLOOKUP($C1329,Phone_by_Sentiment!$B$2:$B$37,Phone_by_Sentiment!I$2:I$37,"",0,1)),_xlfn.XLOOKUP($C1329,Phone_by_Sentiment!$B$2:$B$37,Phone_by_Sentiment!I$2:I$37,"",0,1),0),$A1329-TEXT(DATEVALUE($D1329&amp;"-01"), "dd-mm-yyyy")),0),0)</f>
        <v>951</v>
      </c>
      <c r="J1329" cm="1">
        <f t="array" ref="J1329">IF($Q1329&gt;=0,IFERROR(generateSalesData($D1329, IF(ISNUMBER(_xlfn.XLOOKUP($C1329,Phone_by_Sentiment!$B$2:$B$37,Phone_by_Sentiment!J$2:J$37,"",0,1)),_xlfn.XLOOKUP($C1329,Phone_by_Sentiment!$B$2:$B$37,Phone_by_Sentiment!J$2:J$37,"",0,1),0),$A1329-TEXT(DATEVALUE($D1329&amp;"-01"), "dd-mm-yyyy")),0),0)</f>
        <v>876</v>
      </c>
      <c r="K1329" cm="1">
        <f t="array" ref="K1329">IF($Q1329&gt;=0,IFERROR(generateSalesData($D1329, IF(ISNUMBER(_xlfn.XLOOKUP($C1329,Phone_by_Sentiment!$B$2:$B$37,Phone_by_Sentiment!K$2:K$37,"",0,1)),_xlfn.XLOOKUP($C1329,Phone_by_Sentiment!$B$2:$B$37,Phone_by_Sentiment!K$2:K$37,"",0,1),0),$A1329-TEXT(DATEVALUE($D1329&amp;"-01"), "dd-mm-yyyy")),0),0)</f>
        <v>785</v>
      </c>
      <c r="L1329" cm="1">
        <f t="array" ref="L1329">IF($Q1329&gt;=0,IFERROR(generateSalesData($D1329, IF(ISNUMBER(_xlfn.XLOOKUP($C1329,Phone_by_Sentiment!$B$2:$B$37,Phone_by_Sentiment!L$2:L$37,"",0,1)),_xlfn.XLOOKUP($C1329,Phone_by_Sentiment!$B$2:$B$37,Phone_by_Sentiment!L$2:L$37,"",0,1),0),$A1329-TEXT(DATEVALUE($D1329&amp;"-01"), "dd-mm-yyyy")),0),0)</f>
        <v>417</v>
      </c>
      <c r="M1329" cm="1">
        <f t="array" ref="M1329">IF($Q1329&gt;=0,IFERROR(generateSalesData($D1329, IF(ISNUMBER(_xlfn.XLOOKUP($C1329,Phone_by_Sentiment!$B$2:$B$37,Phone_by_Sentiment!M$2:M$37,"",0,1)),_xlfn.XLOOKUP($C1329,Phone_by_Sentiment!$B$2:$B$37,Phone_by_Sentiment!M$2:M$37,"",0,1),0),$A1329-TEXT(DATEVALUE($D1329&amp;"-01"), "dd-mm-yyyy")),0),0)</f>
        <v>281</v>
      </c>
      <c r="N1329" cm="1">
        <f t="array" ref="N1329">IF($Q1329&gt;=0,IFERROR(generateSalesData($D1329, IF(ISNUMBER(_xlfn.XLOOKUP($C1329,Phone_by_Sentiment!$B$2:$B$37,Phone_by_Sentiment!N$2:N$37,"",0,1)),_xlfn.XLOOKUP($C1329,Phone_by_Sentiment!$B$2:$B$37,Phone_by_Sentiment!N$2:N$37,"",0,1),0),$A1329-TEXT(DATEVALUE($D1329&amp;"-01"), "dd-mm-yyyy")),0),0)</f>
        <v>338</v>
      </c>
      <c r="O1329" cm="1">
        <f t="array" ref="O1329">IF($Q1329&gt;=0,IFERROR(generateSalesData($D1329, IF(ISNUMBER(_xlfn.XLOOKUP($C1329,Phone_by_Sentiment!$B$2:$B$37,Phone_by_Sentiment!O$2:O$37,"",0,1)),_xlfn.XLOOKUP($C1329,Phone_by_Sentiment!$B$2:$B$37,Phone_by_Sentiment!O$2:O$37,"",0,1),0),$A1329-TEXT(DATEVALUE($D1329&amp;"-01"), "dd-mm-yyyy")),0),0)</f>
        <v>782</v>
      </c>
      <c r="P1329" s="1">
        <f t="shared" si="51"/>
        <v>44256</v>
      </c>
      <c r="Q1329">
        <f t="shared" si="53"/>
        <v>337</v>
      </c>
    </row>
    <row r="1330" spans="1:17" x14ac:dyDescent="0.25">
      <c r="A1330" s="1">
        <f t="shared" si="48"/>
        <v>44593</v>
      </c>
      <c r="B1330" t="s">
        <v>145</v>
      </c>
      <c r="C1330" t="str">
        <f>_xlfn.XLOOKUP(B1330,Phone_by_Price!$A$2:$A$34,Phone_by_Price!$B$2:$B$34,"-",0,1)</f>
        <v>OPPO A54</v>
      </c>
      <c r="D1330" t="str">
        <f>_xlfn.XLOOKUP(C1330,Phone_by_Sentiment!$B$2:$B$37,Phone_by_Sentiment!$A$2:$A$37,"-",0,1)</f>
        <v>2021-04</v>
      </c>
      <c r="E1330" cm="1">
        <f t="array" ref="E1330">IF($Q1330&gt;=0,IFERROR(generateSalesData($D1330, IF(ISNUMBER(_xlfn.XLOOKUP($C1330,Phone_by_Sentiment!$B$2:$B$37,Phone_by_Sentiment!E$2:E$37,"",0,1)),_xlfn.XLOOKUP($C1330,Phone_by_Sentiment!$B$2:$B$37,Phone_by_Sentiment!E$2:E$37,"",0,1),0),$A1330-TEXT(DATEVALUE($D1330&amp;"-01"), "dd-mm-yyyy")),0),0)</f>
        <v>676</v>
      </c>
      <c r="F1330" cm="1">
        <f t="array" ref="F1330">IF($Q1330&gt;=0,IFERROR(generateSalesData($D1330, IF(ISNUMBER(_xlfn.XLOOKUP($C1330,Phone_by_Sentiment!$B$2:$B$37,Phone_by_Sentiment!F$2:F$37,"",0,1)),_xlfn.XLOOKUP($C1330,Phone_by_Sentiment!$B$2:$B$37,Phone_by_Sentiment!F$2:F$37,"",0,1),0),$A1330-TEXT(DATEVALUE($D1330&amp;"-01"), "dd-mm-yyyy")),0),0)</f>
        <v>245</v>
      </c>
      <c r="G1330" cm="1">
        <f t="array" ref="G1330">IF($Q1330&gt;=0,IFERROR(generateSalesData($D1330, IF(ISNUMBER(_xlfn.XLOOKUP($C1330,Phone_by_Sentiment!$B$2:$B$37,Phone_by_Sentiment!G$2:G$37,"",0,1)),_xlfn.XLOOKUP($C1330,Phone_by_Sentiment!$B$2:$B$37,Phone_by_Sentiment!G$2:G$37,"",0,1),0),$A1330-TEXT(DATEVALUE($D1330&amp;"-01"), "dd-mm-yyyy")),0),0)</f>
        <v>190</v>
      </c>
      <c r="H1330" cm="1">
        <f t="array" ref="H1330">IF($Q1330&gt;=0,IFERROR(generateSalesData($D1330, IF(ISNUMBER(_xlfn.XLOOKUP($C1330,Phone_by_Sentiment!$B$2:$B$37,Phone_by_Sentiment!H$2:H$37,"",0,1)),_xlfn.XLOOKUP($C1330,Phone_by_Sentiment!$B$2:$B$37,Phone_by_Sentiment!H$2:H$37,"",0,1),0),$A1330-TEXT(DATEVALUE($D1330&amp;"-01"), "dd-mm-yyyy")),0),0)</f>
        <v>479</v>
      </c>
      <c r="I1330" cm="1">
        <f t="array" ref="I1330">IF($Q1330&gt;=0,IFERROR(generateSalesData($D1330, IF(ISNUMBER(_xlfn.XLOOKUP($C1330,Phone_by_Sentiment!$B$2:$B$37,Phone_by_Sentiment!I$2:I$37,"",0,1)),_xlfn.XLOOKUP($C1330,Phone_by_Sentiment!$B$2:$B$37,Phone_by_Sentiment!I$2:I$37,"",0,1),0),$A1330-TEXT(DATEVALUE($D1330&amp;"-01"), "dd-mm-yyyy")),0),0)</f>
        <v>641</v>
      </c>
      <c r="J1330" cm="1">
        <f t="array" ref="J1330">IF($Q1330&gt;=0,IFERROR(generateSalesData($D1330, IF(ISNUMBER(_xlfn.XLOOKUP($C1330,Phone_by_Sentiment!$B$2:$B$37,Phone_by_Sentiment!J$2:J$37,"",0,1)),_xlfn.XLOOKUP($C1330,Phone_by_Sentiment!$B$2:$B$37,Phone_by_Sentiment!J$2:J$37,"",0,1),0),$A1330-TEXT(DATEVALUE($D1330&amp;"-01"), "dd-mm-yyyy")),0),0)</f>
        <v>235</v>
      </c>
      <c r="K1330" cm="1">
        <f t="array" ref="K1330">IF($Q1330&gt;=0,IFERROR(generateSalesData($D1330, IF(ISNUMBER(_xlfn.XLOOKUP($C1330,Phone_by_Sentiment!$B$2:$B$37,Phone_by_Sentiment!K$2:K$37,"",0,1)),_xlfn.XLOOKUP($C1330,Phone_by_Sentiment!$B$2:$B$37,Phone_by_Sentiment!K$2:K$37,"",0,1),0),$A1330-TEXT(DATEVALUE($D1330&amp;"-01"), "dd-mm-yyyy")),0),0)</f>
        <v>261</v>
      </c>
      <c r="L1330" cm="1">
        <f t="array" ref="L1330">IF($Q1330&gt;=0,IFERROR(generateSalesData($D1330, IF(ISNUMBER(_xlfn.XLOOKUP($C1330,Phone_by_Sentiment!$B$2:$B$37,Phone_by_Sentiment!L$2:L$37,"",0,1)),_xlfn.XLOOKUP($C1330,Phone_by_Sentiment!$B$2:$B$37,Phone_by_Sentiment!L$2:L$37,"",0,1),0),$A1330-TEXT(DATEVALUE($D1330&amp;"-01"), "dd-mm-yyyy")),0),0)</f>
        <v>636</v>
      </c>
      <c r="M1330" cm="1">
        <f t="array" ref="M1330">IF($Q1330&gt;=0,IFERROR(generateSalesData($D1330, IF(ISNUMBER(_xlfn.XLOOKUP($C1330,Phone_by_Sentiment!$B$2:$B$37,Phone_by_Sentiment!M$2:M$37,"",0,1)),_xlfn.XLOOKUP($C1330,Phone_by_Sentiment!$B$2:$B$37,Phone_by_Sentiment!M$2:M$37,"",0,1),0),$A1330-TEXT(DATEVALUE($D1330&amp;"-01"), "dd-mm-yyyy")),0),0)</f>
        <v>158</v>
      </c>
      <c r="N1330" cm="1">
        <f t="array" ref="N1330">IF($Q1330&gt;=0,IFERROR(generateSalesData($D1330, IF(ISNUMBER(_xlfn.XLOOKUP($C1330,Phone_by_Sentiment!$B$2:$B$37,Phone_by_Sentiment!N$2:N$37,"",0,1)),_xlfn.XLOOKUP($C1330,Phone_by_Sentiment!$B$2:$B$37,Phone_by_Sentiment!N$2:N$37,"",0,1),0),$A1330-TEXT(DATEVALUE($D1330&amp;"-01"), "dd-mm-yyyy")),0),0)</f>
        <v>804</v>
      </c>
      <c r="O1330" cm="1">
        <f t="array" ref="O1330">IF($Q1330&gt;=0,IFERROR(generateSalesData($D1330, IF(ISNUMBER(_xlfn.XLOOKUP($C1330,Phone_by_Sentiment!$B$2:$B$37,Phone_by_Sentiment!O$2:O$37,"",0,1)),_xlfn.XLOOKUP($C1330,Phone_by_Sentiment!$B$2:$B$37,Phone_by_Sentiment!O$2:O$37,"",0,1),0),$A1330-TEXT(DATEVALUE($D1330&amp;"-01"), "dd-mm-yyyy")),0),0)</f>
        <v>285</v>
      </c>
      <c r="P1330" s="1">
        <f t="shared" si="51"/>
        <v>44287</v>
      </c>
      <c r="Q1330">
        <f t="shared" si="53"/>
        <v>306</v>
      </c>
    </row>
    <row r="1331" spans="1:17" x14ac:dyDescent="0.25">
      <c r="A1331" s="1">
        <f t="shared" si="48"/>
        <v>44621</v>
      </c>
      <c r="B1331" t="s">
        <v>144</v>
      </c>
      <c r="C1331" t="str">
        <f>_xlfn.XLOOKUP(B1331,Phone_by_Price!$A$2:$A$34,Phone_by_Price!$B$2:$B$34,"-",0,1)</f>
        <v>Xiaomi Redmi Note 10</v>
      </c>
      <c r="D1331" t="str">
        <f>_xlfn.XLOOKUP(C1331,Phone_by_Sentiment!$B$2:$B$37,Phone_by_Sentiment!$A$2:$A$37,"-",0,1)</f>
        <v>2021-03</v>
      </c>
      <c r="E1331" cm="1">
        <f t="array" ref="E1331">IF($Q1331&gt;=0,IFERROR(generateSalesData($D1331, IF(ISNUMBER(_xlfn.XLOOKUP($C1331,Phone_by_Sentiment!$B$2:$B$37,Phone_by_Sentiment!E$2:E$37,"",0,1)),_xlfn.XLOOKUP($C1331,Phone_by_Sentiment!$B$2:$B$37,Phone_by_Sentiment!E$2:E$37,"",0,1),0),$A1331-TEXT(DATEVALUE($D1331&amp;"-01"), "dd-mm-yyyy")),0),0)</f>
        <v>840</v>
      </c>
      <c r="F1331" cm="1">
        <f t="array" ref="F1331">IF($Q1331&gt;=0,IFERROR(generateSalesData($D1331, IF(ISNUMBER(_xlfn.XLOOKUP($C1331,Phone_by_Sentiment!$B$2:$B$37,Phone_by_Sentiment!F$2:F$37,"",0,1)),_xlfn.XLOOKUP($C1331,Phone_by_Sentiment!$B$2:$B$37,Phone_by_Sentiment!F$2:F$37,"",0,1),0),$A1331-TEXT(DATEVALUE($D1331&amp;"-01"), "dd-mm-yyyy")),0),0)</f>
        <v>232</v>
      </c>
      <c r="G1331" cm="1">
        <f t="array" ref="G1331">IF($Q1331&gt;=0,IFERROR(generateSalesData($D1331, IF(ISNUMBER(_xlfn.XLOOKUP($C1331,Phone_by_Sentiment!$B$2:$B$37,Phone_by_Sentiment!G$2:G$37,"",0,1)),_xlfn.XLOOKUP($C1331,Phone_by_Sentiment!$B$2:$B$37,Phone_by_Sentiment!G$2:G$37,"",0,1),0),$A1331-TEXT(DATEVALUE($D1331&amp;"-01"), "dd-mm-yyyy")),0),0)</f>
        <v>176</v>
      </c>
      <c r="H1331" cm="1">
        <f t="array" ref="H1331">IF($Q1331&gt;=0,IFERROR(generateSalesData($D1331, IF(ISNUMBER(_xlfn.XLOOKUP($C1331,Phone_by_Sentiment!$B$2:$B$37,Phone_by_Sentiment!H$2:H$37,"",0,1)),_xlfn.XLOOKUP($C1331,Phone_by_Sentiment!$B$2:$B$37,Phone_by_Sentiment!H$2:H$37,"",0,1),0),$A1331-TEXT(DATEVALUE($D1331&amp;"-01"), "dd-mm-yyyy")),0),0)</f>
        <v>634</v>
      </c>
      <c r="I1331" cm="1">
        <f t="array" ref="I1331">IF($Q1331&gt;=0,IFERROR(generateSalesData($D1331, IF(ISNUMBER(_xlfn.XLOOKUP($C1331,Phone_by_Sentiment!$B$2:$B$37,Phone_by_Sentiment!I$2:I$37,"",0,1)),_xlfn.XLOOKUP($C1331,Phone_by_Sentiment!$B$2:$B$37,Phone_by_Sentiment!I$2:I$37,"",0,1),0),$A1331-TEXT(DATEVALUE($D1331&amp;"-01"), "dd-mm-yyyy")),0),0)</f>
        <v>1227</v>
      </c>
      <c r="J1331" cm="1">
        <f t="array" ref="J1331">IF($Q1331&gt;=0,IFERROR(generateSalesData($D1331, IF(ISNUMBER(_xlfn.XLOOKUP($C1331,Phone_by_Sentiment!$B$2:$B$37,Phone_by_Sentiment!J$2:J$37,"",0,1)),_xlfn.XLOOKUP($C1331,Phone_by_Sentiment!$B$2:$B$37,Phone_by_Sentiment!J$2:J$37,"",0,1),0),$A1331-TEXT(DATEVALUE($D1331&amp;"-01"), "dd-mm-yyyy")),0),0)</f>
        <v>1071</v>
      </c>
      <c r="K1331" cm="1">
        <f t="array" ref="K1331">IF($Q1331&gt;=0,IFERROR(generateSalesData($D1331, IF(ISNUMBER(_xlfn.XLOOKUP($C1331,Phone_by_Sentiment!$B$2:$B$37,Phone_by_Sentiment!K$2:K$37,"",0,1)),_xlfn.XLOOKUP($C1331,Phone_by_Sentiment!$B$2:$B$37,Phone_by_Sentiment!K$2:K$37,"",0,1),0),$A1331-TEXT(DATEVALUE($D1331&amp;"-01"), "dd-mm-yyyy")),0),0)</f>
        <v>682</v>
      </c>
      <c r="L1331" cm="1">
        <f t="array" ref="L1331">IF($Q1331&gt;=0,IFERROR(generateSalesData($D1331, IF(ISNUMBER(_xlfn.XLOOKUP($C1331,Phone_by_Sentiment!$B$2:$B$37,Phone_by_Sentiment!L$2:L$37,"",0,1)),_xlfn.XLOOKUP($C1331,Phone_by_Sentiment!$B$2:$B$37,Phone_by_Sentiment!L$2:L$37,"",0,1),0),$A1331-TEXT(DATEVALUE($D1331&amp;"-01"), "dd-mm-yyyy")),0),0)</f>
        <v>209</v>
      </c>
      <c r="M1331" cm="1">
        <f t="array" ref="M1331">IF($Q1331&gt;=0,IFERROR(generateSalesData($D1331, IF(ISNUMBER(_xlfn.XLOOKUP($C1331,Phone_by_Sentiment!$B$2:$B$37,Phone_by_Sentiment!M$2:M$37,"",0,1)),_xlfn.XLOOKUP($C1331,Phone_by_Sentiment!$B$2:$B$37,Phone_by_Sentiment!M$2:M$37,"",0,1),0),$A1331-TEXT(DATEVALUE($D1331&amp;"-01"), "dd-mm-yyyy")),0),0)</f>
        <v>65</v>
      </c>
      <c r="N1331" cm="1">
        <f t="array" ref="N1331">IF($Q1331&gt;=0,IFERROR(generateSalesData($D1331, IF(ISNUMBER(_xlfn.XLOOKUP($C1331,Phone_by_Sentiment!$B$2:$B$37,Phone_by_Sentiment!N$2:N$37,"",0,1)),_xlfn.XLOOKUP($C1331,Phone_by_Sentiment!$B$2:$B$37,Phone_by_Sentiment!N$2:N$37,"",0,1),0),$A1331-TEXT(DATEVALUE($D1331&amp;"-01"), "dd-mm-yyyy")),0),0)</f>
        <v>679</v>
      </c>
      <c r="O1331" cm="1">
        <f t="array" ref="O1331">IF($Q1331&gt;=0,IFERROR(generateSalesData($D1331, IF(ISNUMBER(_xlfn.XLOOKUP($C1331,Phone_by_Sentiment!$B$2:$B$37,Phone_by_Sentiment!O$2:O$37,"",0,1)),_xlfn.XLOOKUP($C1331,Phone_by_Sentiment!$B$2:$B$37,Phone_by_Sentiment!O$2:O$37,"",0,1),0),$A1331-TEXT(DATEVALUE($D1331&amp;"-01"), "dd-mm-yyyy")),0),0)</f>
        <v>961</v>
      </c>
      <c r="P1331" s="1">
        <f t="shared" si="51"/>
        <v>44256</v>
      </c>
      <c r="Q1331">
        <f t="shared" si="53"/>
        <v>365</v>
      </c>
    </row>
    <row r="1332" spans="1:17" x14ac:dyDescent="0.25">
      <c r="A1332" s="1">
        <f t="shared" si="48"/>
        <v>44621</v>
      </c>
      <c r="B1332" t="s">
        <v>145</v>
      </c>
      <c r="C1332" t="str">
        <f>_xlfn.XLOOKUP(B1332,Phone_by_Price!$A$2:$A$34,Phone_by_Price!$B$2:$B$34,"-",0,1)</f>
        <v>OPPO A54</v>
      </c>
      <c r="D1332" t="str">
        <f>_xlfn.XLOOKUP(C1332,Phone_by_Sentiment!$B$2:$B$37,Phone_by_Sentiment!$A$2:$A$37,"-",0,1)</f>
        <v>2021-04</v>
      </c>
      <c r="E1332" cm="1">
        <f t="array" ref="E1332">IF($Q1332&gt;=0,IFERROR(generateSalesData($D1332, IF(ISNUMBER(_xlfn.XLOOKUP($C1332,Phone_by_Sentiment!$B$2:$B$37,Phone_by_Sentiment!E$2:E$37,"",0,1)),_xlfn.XLOOKUP($C1332,Phone_by_Sentiment!$B$2:$B$37,Phone_by_Sentiment!E$2:E$37,"",0,1),0),$A1332-TEXT(DATEVALUE($D1332&amp;"-01"), "dd-mm-yyyy")),0),0)</f>
        <v>493</v>
      </c>
      <c r="F1332" cm="1">
        <f t="array" ref="F1332">IF($Q1332&gt;=0,IFERROR(generateSalesData($D1332, IF(ISNUMBER(_xlfn.XLOOKUP($C1332,Phone_by_Sentiment!$B$2:$B$37,Phone_by_Sentiment!F$2:F$37,"",0,1)),_xlfn.XLOOKUP($C1332,Phone_by_Sentiment!$B$2:$B$37,Phone_by_Sentiment!F$2:F$37,"",0,1),0),$A1332-TEXT(DATEVALUE($D1332&amp;"-01"), "dd-mm-yyyy")),0),0)</f>
        <v>43</v>
      </c>
      <c r="G1332" cm="1">
        <f t="array" ref="G1332">IF($Q1332&gt;=0,IFERROR(generateSalesData($D1332, IF(ISNUMBER(_xlfn.XLOOKUP($C1332,Phone_by_Sentiment!$B$2:$B$37,Phone_by_Sentiment!G$2:G$37,"",0,1)),_xlfn.XLOOKUP($C1332,Phone_by_Sentiment!$B$2:$B$37,Phone_by_Sentiment!G$2:G$37,"",0,1),0),$A1332-TEXT(DATEVALUE($D1332&amp;"-01"), "dd-mm-yyyy")),0),0)</f>
        <v>210</v>
      </c>
      <c r="H1332" cm="1">
        <f t="array" ref="H1332">IF($Q1332&gt;=0,IFERROR(generateSalesData($D1332, IF(ISNUMBER(_xlfn.XLOOKUP($C1332,Phone_by_Sentiment!$B$2:$B$37,Phone_by_Sentiment!H$2:H$37,"",0,1)),_xlfn.XLOOKUP($C1332,Phone_by_Sentiment!$B$2:$B$37,Phone_by_Sentiment!H$2:H$37,"",0,1),0),$A1332-TEXT(DATEVALUE($D1332&amp;"-01"), "dd-mm-yyyy")),0),0)</f>
        <v>986</v>
      </c>
      <c r="I1332" cm="1">
        <f t="array" ref="I1332">IF($Q1332&gt;=0,IFERROR(generateSalesData($D1332, IF(ISNUMBER(_xlfn.XLOOKUP($C1332,Phone_by_Sentiment!$B$2:$B$37,Phone_by_Sentiment!I$2:I$37,"",0,1)),_xlfn.XLOOKUP($C1332,Phone_by_Sentiment!$B$2:$B$37,Phone_by_Sentiment!I$2:I$37,"",0,1),0),$A1332-TEXT(DATEVALUE($D1332&amp;"-01"), "dd-mm-yyyy")),0),0)</f>
        <v>514</v>
      </c>
      <c r="J1332" cm="1">
        <f t="array" ref="J1332">IF($Q1332&gt;=0,IFERROR(generateSalesData($D1332, IF(ISNUMBER(_xlfn.XLOOKUP($C1332,Phone_by_Sentiment!$B$2:$B$37,Phone_by_Sentiment!J$2:J$37,"",0,1)),_xlfn.XLOOKUP($C1332,Phone_by_Sentiment!$B$2:$B$37,Phone_by_Sentiment!J$2:J$37,"",0,1),0),$A1332-TEXT(DATEVALUE($D1332&amp;"-01"), "dd-mm-yyyy")),0),0)</f>
        <v>104</v>
      </c>
      <c r="K1332" cm="1">
        <f t="array" ref="K1332">IF($Q1332&gt;=0,IFERROR(generateSalesData($D1332, IF(ISNUMBER(_xlfn.XLOOKUP($C1332,Phone_by_Sentiment!$B$2:$B$37,Phone_by_Sentiment!K$2:K$37,"",0,1)),_xlfn.XLOOKUP($C1332,Phone_by_Sentiment!$B$2:$B$37,Phone_by_Sentiment!K$2:K$37,"",0,1),0),$A1332-TEXT(DATEVALUE($D1332&amp;"-01"), "dd-mm-yyyy")),0),0)</f>
        <v>119</v>
      </c>
      <c r="L1332" cm="1">
        <f t="array" ref="L1332">IF($Q1332&gt;=0,IFERROR(generateSalesData($D1332, IF(ISNUMBER(_xlfn.XLOOKUP($C1332,Phone_by_Sentiment!$B$2:$B$37,Phone_by_Sentiment!L$2:L$37,"",0,1)),_xlfn.XLOOKUP($C1332,Phone_by_Sentiment!$B$2:$B$37,Phone_by_Sentiment!L$2:L$37,"",0,1),0),$A1332-TEXT(DATEVALUE($D1332&amp;"-01"), "dd-mm-yyyy")),0),0)</f>
        <v>586</v>
      </c>
      <c r="M1332" cm="1">
        <f t="array" ref="M1332">IF($Q1332&gt;=0,IFERROR(generateSalesData($D1332, IF(ISNUMBER(_xlfn.XLOOKUP($C1332,Phone_by_Sentiment!$B$2:$B$37,Phone_by_Sentiment!M$2:M$37,"",0,1)),_xlfn.XLOOKUP($C1332,Phone_by_Sentiment!$B$2:$B$37,Phone_by_Sentiment!M$2:M$37,"",0,1),0),$A1332-TEXT(DATEVALUE($D1332&amp;"-01"), "dd-mm-yyyy")),0),0)</f>
        <v>62</v>
      </c>
      <c r="N1332" cm="1">
        <f t="array" ref="N1332">IF($Q1332&gt;=0,IFERROR(generateSalesData($D1332, IF(ISNUMBER(_xlfn.XLOOKUP($C1332,Phone_by_Sentiment!$B$2:$B$37,Phone_by_Sentiment!N$2:N$37,"",0,1)),_xlfn.XLOOKUP($C1332,Phone_by_Sentiment!$B$2:$B$37,Phone_by_Sentiment!N$2:N$37,"",0,1),0),$A1332-TEXT(DATEVALUE($D1332&amp;"-01"), "dd-mm-yyyy")),0),0)</f>
        <v>321</v>
      </c>
      <c r="O1332" cm="1">
        <f t="array" ref="O1332">IF($Q1332&gt;=0,IFERROR(generateSalesData($D1332, IF(ISNUMBER(_xlfn.XLOOKUP($C1332,Phone_by_Sentiment!$B$2:$B$37,Phone_by_Sentiment!O$2:O$37,"",0,1)),_xlfn.XLOOKUP($C1332,Phone_by_Sentiment!$B$2:$B$37,Phone_by_Sentiment!O$2:O$37,"",0,1),0),$A1332-TEXT(DATEVALUE($D1332&amp;"-01"), "dd-mm-yyyy")),0),0)</f>
        <v>229</v>
      </c>
      <c r="P1332" s="1">
        <f t="shared" si="51"/>
        <v>44287</v>
      </c>
      <c r="Q1332">
        <f t="shared" si="53"/>
        <v>334</v>
      </c>
    </row>
    <row r="1333" spans="1:17" x14ac:dyDescent="0.25">
      <c r="A1333" s="1">
        <f t="shared" si="48"/>
        <v>44621</v>
      </c>
      <c r="B1333" t="s">
        <v>146</v>
      </c>
      <c r="C1333" t="str">
        <f>_xlfn.XLOOKUP(B1333,Phone_by_Price!$A$2:$A$34,Phone_by_Price!$B$2:$B$34,"-",0,1)</f>
        <v>Vivo Y20</v>
      </c>
      <c r="D1333" t="str">
        <f>_xlfn.XLOOKUP(C1333,Phone_by_Sentiment!$B$2:$B$37,Phone_by_Sentiment!$A$2:$A$37,"-",0,1)</f>
        <v>2020-09</v>
      </c>
      <c r="E1333" cm="1">
        <f t="array" ref="E1333">IF($Q1333&gt;=0,IFERROR(generateSalesData($D1333, IF(ISNUMBER(_xlfn.XLOOKUP($C1333,Phone_by_Sentiment!$B$2:$B$37,Phone_by_Sentiment!E$2:E$37,"",0,1)),_xlfn.XLOOKUP($C1333,Phone_by_Sentiment!$B$2:$B$37,Phone_by_Sentiment!E$2:E$37,"",0,1),0),$A1333-TEXT(DATEVALUE($D1333&amp;"-01"), "dd-mm-yyyy")),0),0)</f>
        <v>26</v>
      </c>
      <c r="F1333" cm="1">
        <f t="array" ref="F1333">IF($Q1333&gt;=0,IFERROR(generateSalesData($D1333, IF(ISNUMBER(_xlfn.XLOOKUP($C1333,Phone_by_Sentiment!$B$2:$B$37,Phone_by_Sentiment!F$2:F$37,"",0,1)),_xlfn.XLOOKUP($C1333,Phone_by_Sentiment!$B$2:$B$37,Phone_by_Sentiment!F$2:F$37,"",0,1),0),$A1333-TEXT(DATEVALUE($D1333&amp;"-01"), "dd-mm-yyyy")),0),0)</f>
        <v>141</v>
      </c>
      <c r="G1333" cm="1">
        <f t="array" ref="G1333">IF($Q1333&gt;=0,IFERROR(generateSalesData($D1333, IF(ISNUMBER(_xlfn.XLOOKUP($C1333,Phone_by_Sentiment!$B$2:$B$37,Phone_by_Sentiment!G$2:G$37,"",0,1)),_xlfn.XLOOKUP($C1333,Phone_by_Sentiment!$B$2:$B$37,Phone_by_Sentiment!G$2:G$37,"",0,1),0),$A1333-TEXT(DATEVALUE($D1333&amp;"-01"), "dd-mm-yyyy")),0),0)</f>
        <v>77</v>
      </c>
      <c r="H1333" cm="1">
        <f t="array" ref="H1333">IF($Q1333&gt;=0,IFERROR(generateSalesData($D1333, IF(ISNUMBER(_xlfn.XLOOKUP($C1333,Phone_by_Sentiment!$B$2:$B$37,Phone_by_Sentiment!H$2:H$37,"",0,1)),_xlfn.XLOOKUP($C1333,Phone_by_Sentiment!$B$2:$B$37,Phone_by_Sentiment!H$2:H$37,"",0,1),0),$A1333-TEXT(DATEVALUE($D1333&amp;"-01"), "dd-mm-yyyy")),0),0)</f>
        <v>61</v>
      </c>
      <c r="I1333" cm="1">
        <f t="array" ref="I1333">IF($Q1333&gt;=0,IFERROR(generateSalesData($D1333, IF(ISNUMBER(_xlfn.XLOOKUP($C1333,Phone_by_Sentiment!$B$2:$B$37,Phone_by_Sentiment!I$2:I$37,"",0,1)),_xlfn.XLOOKUP($C1333,Phone_by_Sentiment!$B$2:$B$37,Phone_by_Sentiment!I$2:I$37,"",0,1),0),$A1333-TEXT(DATEVALUE($D1333&amp;"-01"), "dd-mm-yyyy")),0),0)</f>
        <v>145</v>
      </c>
      <c r="J1333" cm="1">
        <f t="array" ref="J1333">IF($Q1333&gt;=0,IFERROR(generateSalesData($D1333, IF(ISNUMBER(_xlfn.XLOOKUP($C1333,Phone_by_Sentiment!$B$2:$B$37,Phone_by_Sentiment!J$2:J$37,"",0,1)),_xlfn.XLOOKUP($C1333,Phone_by_Sentiment!$B$2:$B$37,Phone_by_Sentiment!J$2:J$37,"",0,1),0),$A1333-TEXT(DATEVALUE($D1333&amp;"-01"), "dd-mm-yyyy")),0),0)</f>
        <v>214</v>
      </c>
      <c r="K1333" cm="1">
        <f t="array" ref="K1333">IF($Q1333&gt;=0,IFERROR(generateSalesData($D1333, IF(ISNUMBER(_xlfn.XLOOKUP($C1333,Phone_by_Sentiment!$B$2:$B$37,Phone_by_Sentiment!K$2:K$37,"",0,1)),_xlfn.XLOOKUP($C1333,Phone_by_Sentiment!$B$2:$B$37,Phone_by_Sentiment!K$2:K$37,"",0,1),0),$A1333-TEXT(DATEVALUE($D1333&amp;"-01"), "dd-mm-yyyy")),0),0)</f>
        <v>90</v>
      </c>
      <c r="L1333" cm="1">
        <f t="array" ref="L1333">IF($Q1333&gt;=0,IFERROR(generateSalesData($D1333, IF(ISNUMBER(_xlfn.XLOOKUP($C1333,Phone_by_Sentiment!$B$2:$B$37,Phone_by_Sentiment!L$2:L$37,"",0,1)),_xlfn.XLOOKUP($C1333,Phone_by_Sentiment!$B$2:$B$37,Phone_by_Sentiment!L$2:L$37,"",0,1),0),$A1333-TEXT(DATEVALUE($D1333&amp;"-01"), "dd-mm-yyyy")),0),0)</f>
        <v>144</v>
      </c>
      <c r="M1333" cm="1">
        <f t="array" ref="M1333">IF($Q1333&gt;=0,IFERROR(generateSalesData($D1333, IF(ISNUMBER(_xlfn.XLOOKUP($C1333,Phone_by_Sentiment!$B$2:$B$37,Phone_by_Sentiment!M$2:M$37,"",0,1)),_xlfn.XLOOKUP($C1333,Phone_by_Sentiment!$B$2:$B$37,Phone_by_Sentiment!M$2:M$37,"",0,1),0),$A1333-TEXT(DATEVALUE($D1333&amp;"-01"), "dd-mm-yyyy")),0),0)</f>
        <v>118</v>
      </c>
      <c r="N1333" cm="1">
        <f t="array" ref="N1333">IF($Q1333&gt;=0,IFERROR(generateSalesData($D1333, IF(ISNUMBER(_xlfn.XLOOKUP($C1333,Phone_by_Sentiment!$B$2:$B$37,Phone_by_Sentiment!N$2:N$37,"",0,1)),_xlfn.XLOOKUP($C1333,Phone_by_Sentiment!$B$2:$B$37,Phone_by_Sentiment!N$2:N$37,"",0,1),0),$A1333-TEXT(DATEVALUE($D1333&amp;"-01"), "dd-mm-yyyy")),0),0)</f>
        <v>106</v>
      </c>
      <c r="O1333" cm="1">
        <f t="array" ref="O1333">IF($Q1333&gt;=0,IFERROR(generateSalesData($D1333, IF(ISNUMBER(_xlfn.XLOOKUP($C1333,Phone_by_Sentiment!$B$2:$B$37,Phone_by_Sentiment!O$2:O$37,"",0,1)),_xlfn.XLOOKUP($C1333,Phone_by_Sentiment!$B$2:$B$37,Phone_by_Sentiment!O$2:O$37,"",0,1),0),$A1333-TEXT(DATEVALUE($D1333&amp;"-01"), "dd-mm-yyyy")),0),0)</f>
        <v>97</v>
      </c>
      <c r="P1333" s="1">
        <f t="shared" si="51"/>
        <v>44075</v>
      </c>
      <c r="Q1333">
        <f t="shared" si="53"/>
        <v>546</v>
      </c>
    </row>
    <row r="1334" spans="1:17" x14ac:dyDescent="0.25">
      <c r="A1334" s="1">
        <f t="shared" si="48"/>
        <v>44621</v>
      </c>
      <c r="B1334" t="s">
        <v>147</v>
      </c>
      <c r="C1334" t="str">
        <f>_xlfn.XLOOKUP(B1334,Phone_by_Price!$A$2:$A$34,Phone_by_Price!$B$2:$B$34,"-",0,1)</f>
        <v>Huawei Y9a</v>
      </c>
      <c r="D1334" t="str">
        <f>_xlfn.XLOOKUP(C1334,Phone_by_Sentiment!$B$2:$B$37,Phone_by_Sentiment!$A$2:$A$37,"-",0,1)</f>
        <v>2020-02</v>
      </c>
      <c r="E1334" cm="1">
        <f t="array" ref="E1334">IF($Q1334&gt;=0,IFERROR(generateSalesData($D1334, IF(ISNUMBER(_xlfn.XLOOKUP($C1334,Phone_by_Sentiment!$B$2:$B$37,Phone_by_Sentiment!E$2:E$37,"",0,1)),_xlfn.XLOOKUP($C1334,Phone_by_Sentiment!$B$2:$B$37,Phone_by_Sentiment!E$2:E$37,"",0,1),0),$A1334-TEXT(DATEVALUE($D1334&amp;"-01"), "dd-mm-yyyy")),0),0)</f>
        <v>241</v>
      </c>
      <c r="F1334" cm="1">
        <f t="array" ref="F1334">IF($Q1334&gt;=0,IFERROR(generateSalesData($D1334, IF(ISNUMBER(_xlfn.XLOOKUP($C1334,Phone_by_Sentiment!$B$2:$B$37,Phone_by_Sentiment!F$2:F$37,"",0,1)),_xlfn.XLOOKUP($C1334,Phone_by_Sentiment!$B$2:$B$37,Phone_by_Sentiment!F$2:F$37,"",0,1),0),$A1334-TEXT(DATEVALUE($D1334&amp;"-01"), "dd-mm-yyyy")),0),0)</f>
        <v>558</v>
      </c>
      <c r="G1334" cm="1">
        <f t="array" ref="G1334">IF($Q1334&gt;=0,IFERROR(generateSalesData($D1334, IF(ISNUMBER(_xlfn.XLOOKUP($C1334,Phone_by_Sentiment!$B$2:$B$37,Phone_by_Sentiment!G$2:G$37,"",0,1)),_xlfn.XLOOKUP($C1334,Phone_by_Sentiment!$B$2:$B$37,Phone_by_Sentiment!G$2:G$37,"",0,1),0),$A1334-TEXT(DATEVALUE($D1334&amp;"-01"), "dd-mm-yyyy")),0),0)</f>
        <v>142</v>
      </c>
      <c r="H1334" cm="1">
        <f t="array" ref="H1334">IF($Q1334&gt;=0,IFERROR(generateSalesData($D1334, IF(ISNUMBER(_xlfn.XLOOKUP($C1334,Phone_by_Sentiment!$B$2:$B$37,Phone_by_Sentiment!H$2:H$37,"",0,1)),_xlfn.XLOOKUP($C1334,Phone_by_Sentiment!$B$2:$B$37,Phone_by_Sentiment!H$2:H$37,"",0,1),0),$A1334-TEXT(DATEVALUE($D1334&amp;"-01"), "dd-mm-yyyy")),0),0)</f>
        <v>106</v>
      </c>
      <c r="I1334" cm="1">
        <f t="array" ref="I1334">IF($Q1334&gt;=0,IFERROR(generateSalesData($D1334, IF(ISNUMBER(_xlfn.XLOOKUP($C1334,Phone_by_Sentiment!$B$2:$B$37,Phone_by_Sentiment!I$2:I$37,"",0,1)),_xlfn.XLOOKUP($C1334,Phone_by_Sentiment!$B$2:$B$37,Phone_by_Sentiment!I$2:I$37,"",0,1),0),$A1334-TEXT(DATEVALUE($D1334&amp;"-01"), "dd-mm-yyyy")),0),0)</f>
        <v>74</v>
      </c>
      <c r="J1334" cm="1">
        <f t="array" ref="J1334">IF($Q1334&gt;=0,IFERROR(generateSalesData($D1334, IF(ISNUMBER(_xlfn.XLOOKUP($C1334,Phone_by_Sentiment!$B$2:$B$37,Phone_by_Sentiment!J$2:J$37,"",0,1)),_xlfn.XLOOKUP($C1334,Phone_by_Sentiment!$B$2:$B$37,Phone_by_Sentiment!J$2:J$37,"",0,1),0),$A1334-TEXT(DATEVALUE($D1334&amp;"-01"), "dd-mm-yyyy")),0),0)</f>
        <v>127</v>
      </c>
      <c r="K1334" cm="1">
        <f t="array" ref="K1334">IF($Q1334&gt;=0,IFERROR(generateSalesData($D1334, IF(ISNUMBER(_xlfn.XLOOKUP($C1334,Phone_by_Sentiment!$B$2:$B$37,Phone_by_Sentiment!K$2:K$37,"",0,1)),_xlfn.XLOOKUP($C1334,Phone_by_Sentiment!$B$2:$B$37,Phone_by_Sentiment!K$2:K$37,"",0,1),0),$A1334-TEXT(DATEVALUE($D1334&amp;"-01"), "dd-mm-yyyy")),0),0)</f>
        <v>32</v>
      </c>
      <c r="L1334" cm="1">
        <f t="array" ref="L1334">IF($Q1334&gt;=0,IFERROR(generateSalesData($D1334, IF(ISNUMBER(_xlfn.XLOOKUP($C1334,Phone_by_Sentiment!$B$2:$B$37,Phone_by_Sentiment!L$2:L$37,"",0,1)),_xlfn.XLOOKUP($C1334,Phone_by_Sentiment!$B$2:$B$37,Phone_by_Sentiment!L$2:L$37,"",0,1),0),$A1334-TEXT(DATEVALUE($D1334&amp;"-01"), "dd-mm-yyyy")),0),0)</f>
        <v>95</v>
      </c>
      <c r="M1334" cm="1">
        <f t="array" ref="M1334">IF($Q1334&gt;=0,IFERROR(generateSalesData($D1334, IF(ISNUMBER(_xlfn.XLOOKUP($C1334,Phone_by_Sentiment!$B$2:$B$37,Phone_by_Sentiment!M$2:M$37,"",0,1)),_xlfn.XLOOKUP($C1334,Phone_by_Sentiment!$B$2:$B$37,Phone_by_Sentiment!M$2:M$37,"",0,1),0),$A1334-TEXT(DATEVALUE($D1334&amp;"-01"), "dd-mm-yyyy")),0),0)</f>
        <v>91</v>
      </c>
      <c r="N1334" cm="1">
        <f t="array" ref="N1334">IF($Q1334&gt;=0,IFERROR(generateSalesData($D1334, IF(ISNUMBER(_xlfn.XLOOKUP($C1334,Phone_by_Sentiment!$B$2:$B$37,Phone_by_Sentiment!N$2:N$37,"",0,1)),_xlfn.XLOOKUP($C1334,Phone_by_Sentiment!$B$2:$B$37,Phone_by_Sentiment!N$2:N$37,"",0,1),0),$A1334-TEXT(DATEVALUE($D1334&amp;"-01"), "dd-mm-yyyy")),0),0)</f>
        <v>67</v>
      </c>
      <c r="O1334" cm="1">
        <f t="array" ref="O1334">IF($Q1334&gt;=0,IFERROR(generateSalesData($D1334, IF(ISNUMBER(_xlfn.XLOOKUP($C1334,Phone_by_Sentiment!$B$2:$B$37,Phone_by_Sentiment!O$2:O$37,"",0,1)),_xlfn.XLOOKUP($C1334,Phone_by_Sentiment!$B$2:$B$37,Phone_by_Sentiment!O$2:O$37,"",0,1),0),$A1334-TEXT(DATEVALUE($D1334&amp;"-01"), "dd-mm-yyyy")),0),0)</f>
        <v>31</v>
      </c>
      <c r="P1334" s="1">
        <f t="shared" si="51"/>
        <v>43862</v>
      </c>
      <c r="Q1334">
        <f t="shared" si="53"/>
        <v>759</v>
      </c>
    </row>
    <row r="1335" spans="1:17" x14ac:dyDescent="0.25">
      <c r="A1335" s="1">
        <f t="shared" si="48"/>
        <v>44621</v>
      </c>
      <c r="B1335" t="s">
        <v>148</v>
      </c>
      <c r="C1335" t="str">
        <f>_xlfn.XLOOKUP(B1335,Phone_by_Price!$A$2:$A$34,Phone_by_Price!$B$2:$B$34,"-",0,1)</f>
        <v>Xiaomi Redmi 10</v>
      </c>
      <c r="D1335" t="str">
        <f>_xlfn.XLOOKUP(C1335,Phone_by_Sentiment!$B$2:$B$37,Phone_by_Sentiment!$A$2:$A$37,"-",0,1)</f>
        <v>2021-03</v>
      </c>
      <c r="E1335" cm="1">
        <f t="array" ref="E1335">IF($Q1335&gt;=0,IFERROR(generateSalesData($D1335, IF(ISNUMBER(_xlfn.XLOOKUP($C1335,Phone_by_Sentiment!$B$2:$B$37,Phone_by_Sentiment!E$2:E$37,"",0,1)),_xlfn.XLOOKUP($C1335,Phone_by_Sentiment!$B$2:$B$37,Phone_by_Sentiment!E$2:E$37,"",0,1),0),$A1335-TEXT(DATEVALUE($D1335&amp;"-01"), "dd-mm-yyyy")),0),0)</f>
        <v>830</v>
      </c>
      <c r="F1335" cm="1">
        <f t="array" ref="F1335">IF($Q1335&gt;=0,IFERROR(generateSalesData($D1335, IF(ISNUMBER(_xlfn.XLOOKUP($C1335,Phone_by_Sentiment!$B$2:$B$37,Phone_by_Sentiment!F$2:F$37,"",0,1)),_xlfn.XLOOKUP($C1335,Phone_by_Sentiment!$B$2:$B$37,Phone_by_Sentiment!F$2:F$37,"",0,1),0),$A1335-TEXT(DATEVALUE($D1335&amp;"-01"), "dd-mm-yyyy")),0),0)</f>
        <v>408</v>
      </c>
      <c r="G1335" cm="1">
        <f t="array" ref="G1335">IF($Q1335&gt;=0,IFERROR(generateSalesData($D1335, IF(ISNUMBER(_xlfn.XLOOKUP($C1335,Phone_by_Sentiment!$B$2:$B$37,Phone_by_Sentiment!G$2:G$37,"",0,1)),_xlfn.XLOOKUP($C1335,Phone_by_Sentiment!$B$2:$B$37,Phone_by_Sentiment!G$2:G$37,"",0,1),0),$A1335-TEXT(DATEVALUE($D1335&amp;"-01"), "dd-mm-yyyy")),0),0)</f>
        <v>160</v>
      </c>
      <c r="H1335" cm="1">
        <f t="array" ref="H1335">IF($Q1335&gt;=0,IFERROR(generateSalesData($D1335, IF(ISNUMBER(_xlfn.XLOOKUP($C1335,Phone_by_Sentiment!$B$2:$B$37,Phone_by_Sentiment!H$2:H$37,"",0,1)),_xlfn.XLOOKUP($C1335,Phone_by_Sentiment!$B$2:$B$37,Phone_by_Sentiment!H$2:H$37,"",0,1),0),$A1335-TEXT(DATEVALUE($D1335&amp;"-01"), "dd-mm-yyyy")),0),0)</f>
        <v>1538</v>
      </c>
      <c r="I1335" cm="1">
        <f t="array" ref="I1335">IF($Q1335&gt;=0,IFERROR(generateSalesData($D1335, IF(ISNUMBER(_xlfn.XLOOKUP($C1335,Phone_by_Sentiment!$B$2:$B$37,Phone_by_Sentiment!I$2:I$37,"",0,1)),_xlfn.XLOOKUP($C1335,Phone_by_Sentiment!$B$2:$B$37,Phone_by_Sentiment!I$2:I$37,"",0,1),0),$A1335-TEXT(DATEVALUE($D1335&amp;"-01"), "dd-mm-yyyy")),0),0)</f>
        <v>140</v>
      </c>
      <c r="J1335" cm="1">
        <f t="array" ref="J1335">IF($Q1335&gt;=0,IFERROR(generateSalesData($D1335, IF(ISNUMBER(_xlfn.XLOOKUP($C1335,Phone_by_Sentiment!$B$2:$B$37,Phone_by_Sentiment!J$2:J$37,"",0,1)),_xlfn.XLOOKUP($C1335,Phone_by_Sentiment!$B$2:$B$37,Phone_by_Sentiment!J$2:J$37,"",0,1),0),$A1335-TEXT(DATEVALUE($D1335&amp;"-01"), "dd-mm-yyyy")),0),0)</f>
        <v>238</v>
      </c>
      <c r="K1335" cm="1">
        <f t="array" ref="K1335">IF($Q1335&gt;=0,IFERROR(generateSalesData($D1335, IF(ISNUMBER(_xlfn.XLOOKUP($C1335,Phone_by_Sentiment!$B$2:$B$37,Phone_by_Sentiment!K$2:K$37,"",0,1)),_xlfn.XLOOKUP($C1335,Phone_by_Sentiment!$B$2:$B$37,Phone_by_Sentiment!K$2:K$37,"",0,1),0),$A1335-TEXT(DATEVALUE($D1335&amp;"-01"), "dd-mm-yyyy")),0),0)</f>
        <v>510</v>
      </c>
      <c r="L1335" cm="1">
        <f t="array" ref="L1335">IF($Q1335&gt;=0,IFERROR(generateSalesData($D1335, IF(ISNUMBER(_xlfn.XLOOKUP($C1335,Phone_by_Sentiment!$B$2:$B$37,Phone_by_Sentiment!L$2:L$37,"",0,1)),_xlfn.XLOOKUP($C1335,Phone_by_Sentiment!$B$2:$B$37,Phone_by_Sentiment!L$2:L$37,"",0,1),0),$A1335-TEXT(DATEVALUE($D1335&amp;"-01"), "dd-mm-yyyy")),0),0)</f>
        <v>160</v>
      </c>
      <c r="M1335" cm="1">
        <f t="array" ref="M1335">IF($Q1335&gt;=0,IFERROR(generateSalesData($D1335, IF(ISNUMBER(_xlfn.XLOOKUP($C1335,Phone_by_Sentiment!$B$2:$B$37,Phone_by_Sentiment!M$2:M$37,"",0,1)),_xlfn.XLOOKUP($C1335,Phone_by_Sentiment!$B$2:$B$37,Phone_by_Sentiment!M$2:M$37,"",0,1),0),$A1335-TEXT(DATEVALUE($D1335&amp;"-01"), "dd-mm-yyyy")),0),0)</f>
        <v>125</v>
      </c>
      <c r="N1335" cm="1">
        <f t="array" ref="N1335">IF($Q1335&gt;=0,IFERROR(generateSalesData($D1335, IF(ISNUMBER(_xlfn.XLOOKUP($C1335,Phone_by_Sentiment!$B$2:$B$37,Phone_by_Sentiment!N$2:N$37,"",0,1)),_xlfn.XLOOKUP($C1335,Phone_by_Sentiment!$B$2:$B$37,Phone_by_Sentiment!N$2:N$37,"",0,1),0),$A1335-TEXT(DATEVALUE($D1335&amp;"-01"), "dd-mm-yyyy")),0),0)</f>
        <v>559</v>
      </c>
      <c r="O1335" cm="1">
        <f t="array" ref="O1335">IF($Q1335&gt;=0,IFERROR(generateSalesData($D1335, IF(ISNUMBER(_xlfn.XLOOKUP($C1335,Phone_by_Sentiment!$B$2:$B$37,Phone_by_Sentiment!O$2:O$37,"",0,1)),_xlfn.XLOOKUP($C1335,Phone_by_Sentiment!$B$2:$B$37,Phone_by_Sentiment!O$2:O$37,"",0,1),0),$A1335-TEXT(DATEVALUE($D1335&amp;"-01"), "dd-mm-yyyy")),0),0)</f>
        <v>429</v>
      </c>
      <c r="P1335" s="1">
        <f t="shared" si="51"/>
        <v>44256</v>
      </c>
      <c r="Q1335">
        <f t="shared" si="53"/>
        <v>365</v>
      </c>
    </row>
    <row r="1336" spans="1:17" x14ac:dyDescent="0.25">
      <c r="A1336" s="1">
        <f t="shared" si="48"/>
        <v>44621</v>
      </c>
      <c r="B1336" t="s">
        <v>149</v>
      </c>
      <c r="C1336" t="str">
        <f>_xlfn.XLOOKUP(B1336,Phone_by_Price!$A$2:$A$34,Phone_by_Price!$B$2:$B$34,"-",0,1)</f>
        <v>Samsung Galaxy A52</v>
      </c>
      <c r="D1336" t="str">
        <f>_xlfn.XLOOKUP(C1336,Phone_by_Sentiment!$B$2:$B$37,Phone_by_Sentiment!$A$2:$A$37,"-",0,1)</f>
        <v>2021-03</v>
      </c>
      <c r="E1336" cm="1">
        <f t="array" ref="E1336">IF($Q1336&gt;=0,IFERROR(generateSalesData($D1336, IF(ISNUMBER(_xlfn.XLOOKUP($C1336,Phone_by_Sentiment!$B$2:$B$37,Phone_by_Sentiment!E$2:E$37,"",0,1)),_xlfn.XLOOKUP($C1336,Phone_by_Sentiment!$B$2:$B$37,Phone_by_Sentiment!E$2:E$37,"",0,1),0),$A1336-TEXT(DATEVALUE($D1336&amp;"-01"), "dd-mm-yyyy")),0),0)</f>
        <v>321</v>
      </c>
      <c r="F1336" cm="1">
        <f t="array" ref="F1336">IF($Q1336&gt;=0,IFERROR(generateSalesData($D1336, IF(ISNUMBER(_xlfn.XLOOKUP($C1336,Phone_by_Sentiment!$B$2:$B$37,Phone_by_Sentiment!F$2:F$37,"",0,1)),_xlfn.XLOOKUP($C1336,Phone_by_Sentiment!$B$2:$B$37,Phone_by_Sentiment!F$2:F$37,"",0,1),0),$A1336-TEXT(DATEVALUE($D1336&amp;"-01"), "dd-mm-yyyy")),0),0)</f>
        <v>255</v>
      </c>
      <c r="G1336" cm="1">
        <f t="array" ref="G1336">IF($Q1336&gt;=0,IFERROR(generateSalesData($D1336, IF(ISNUMBER(_xlfn.XLOOKUP($C1336,Phone_by_Sentiment!$B$2:$B$37,Phone_by_Sentiment!G$2:G$37,"",0,1)),_xlfn.XLOOKUP($C1336,Phone_by_Sentiment!$B$2:$B$37,Phone_by_Sentiment!G$2:G$37,"",0,1),0),$A1336-TEXT(DATEVALUE($D1336&amp;"-01"), "dd-mm-yyyy")),0),0)</f>
        <v>257</v>
      </c>
      <c r="H1336" cm="1">
        <f t="array" ref="H1336">IF($Q1336&gt;=0,IFERROR(generateSalesData($D1336, IF(ISNUMBER(_xlfn.XLOOKUP($C1336,Phone_by_Sentiment!$B$2:$B$37,Phone_by_Sentiment!H$2:H$37,"",0,1)),_xlfn.XLOOKUP($C1336,Phone_by_Sentiment!$B$2:$B$37,Phone_by_Sentiment!H$2:H$37,"",0,1),0),$A1336-TEXT(DATEVALUE($D1336&amp;"-01"), "dd-mm-yyyy")),0),0)</f>
        <v>104</v>
      </c>
      <c r="I1336" cm="1">
        <f t="array" ref="I1336">IF($Q1336&gt;=0,IFERROR(generateSalesData($D1336, IF(ISNUMBER(_xlfn.XLOOKUP($C1336,Phone_by_Sentiment!$B$2:$B$37,Phone_by_Sentiment!I$2:I$37,"",0,1)),_xlfn.XLOOKUP($C1336,Phone_by_Sentiment!$B$2:$B$37,Phone_by_Sentiment!I$2:I$37,"",0,1),0),$A1336-TEXT(DATEVALUE($D1336&amp;"-01"), "dd-mm-yyyy")),0),0)</f>
        <v>391</v>
      </c>
      <c r="J1336" cm="1">
        <f t="array" ref="J1336">IF($Q1336&gt;=0,IFERROR(generateSalesData($D1336, IF(ISNUMBER(_xlfn.XLOOKUP($C1336,Phone_by_Sentiment!$B$2:$B$37,Phone_by_Sentiment!J$2:J$37,"",0,1)),_xlfn.XLOOKUP($C1336,Phone_by_Sentiment!$B$2:$B$37,Phone_by_Sentiment!J$2:J$37,"",0,1),0),$A1336-TEXT(DATEVALUE($D1336&amp;"-01"), "dd-mm-yyyy")),0),0)</f>
        <v>766</v>
      </c>
      <c r="K1336" cm="1">
        <f t="array" ref="K1336">IF($Q1336&gt;=0,IFERROR(generateSalesData($D1336, IF(ISNUMBER(_xlfn.XLOOKUP($C1336,Phone_by_Sentiment!$B$2:$B$37,Phone_by_Sentiment!K$2:K$37,"",0,1)),_xlfn.XLOOKUP($C1336,Phone_by_Sentiment!$B$2:$B$37,Phone_by_Sentiment!K$2:K$37,"",0,1),0),$A1336-TEXT(DATEVALUE($D1336&amp;"-01"), "dd-mm-yyyy")),0),0)</f>
        <v>876</v>
      </c>
      <c r="L1336" cm="1">
        <f t="array" ref="L1336">IF($Q1336&gt;=0,IFERROR(generateSalesData($D1336, IF(ISNUMBER(_xlfn.XLOOKUP($C1336,Phone_by_Sentiment!$B$2:$B$37,Phone_by_Sentiment!L$2:L$37,"",0,1)),_xlfn.XLOOKUP($C1336,Phone_by_Sentiment!$B$2:$B$37,Phone_by_Sentiment!L$2:L$37,"",0,1),0),$A1336-TEXT(DATEVALUE($D1336&amp;"-01"), "dd-mm-yyyy")),0),0)</f>
        <v>527</v>
      </c>
      <c r="M1336" cm="1">
        <f t="array" ref="M1336">IF($Q1336&gt;=0,IFERROR(generateSalesData($D1336, IF(ISNUMBER(_xlfn.XLOOKUP($C1336,Phone_by_Sentiment!$B$2:$B$37,Phone_by_Sentiment!M$2:M$37,"",0,1)),_xlfn.XLOOKUP($C1336,Phone_by_Sentiment!$B$2:$B$37,Phone_by_Sentiment!M$2:M$37,"",0,1),0),$A1336-TEXT(DATEVALUE($D1336&amp;"-01"), "dd-mm-yyyy")),0),0)</f>
        <v>1319</v>
      </c>
      <c r="N1336" cm="1">
        <f t="array" ref="N1336">IF($Q1336&gt;=0,IFERROR(generateSalesData($D1336, IF(ISNUMBER(_xlfn.XLOOKUP($C1336,Phone_by_Sentiment!$B$2:$B$37,Phone_by_Sentiment!N$2:N$37,"",0,1)),_xlfn.XLOOKUP($C1336,Phone_by_Sentiment!$B$2:$B$37,Phone_by_Sentiment!N$2:N$37,"",0,1),0),$A1336-TEXT(DATEVALUE($D1336&amp;"-01"), "dd-mm-yyyy")),0),0)</f>
        <v>607</v>
      </c>
      <c r="O1336" cm="1">
        <f t="array" ref="O1336">IF($Q1336&gt;=0,IFERROR(generateSalesData($D1336, IF(ISNUMBER(_xlfn.XLOOKUP($C1336,Phone_by_Sentiment!$B$2:$B$37,Phone_by_Sentiment!O$2:O$37,"",0,1)),_xlfn.XLOOKUP($C1336,Phone_by_Sentiment!$B$2:$B$37,Phone_by_Sentiment!O$2:O$37,"",0,1),0),$A1336-TEXT(DATEVALUE($D1336&amp;"-01"), "dd-mm-yyyy")),0),0)</f>
        <v>888</v>
      </c>
      <c r="P1336" s="1">
        <f t="shared" si="51"/>
        <v>44256</v>
      </c>
      <c r="Q1336">
        <f t="shared" si="53"/>
        <v>365</v>
      </c>
    </row>
    <row r="1337" spans="1:17" x14ac:dyDescent="0.25">
      <c r="A1337" s="1">
        <f t="shared" si="48"/>
        <v>44621</v>
      </c>
      <c r="B1337" t="s">
        <v>150</v>
      </c>
      <c r="C1337" t="str">
        <f>_xlfn.XLOOKUP(B1337,Phone_by_Price!$A$2:$A$34,Phone_by_Price!$B$2:$B$34,"-",0,1)</f>
        <v>Vivo Y33s</v>
      </c>
      <c r="D1337" t="str">
        <f>_xlfn.XLOOKUP(C1337,Phone_by_Sentiment!$B$2:$B$37,Phone_by_Sentiment!$A$2:$A$37,"-",0,1)</f>
        <v>2021-05</v>
      </c>
      <c r="E1337" cm="1">
        <f t="array" ref="E1337">IF($Q1337&gt;=0,IFERROR(generateSalesData($D1337, IF(ISNUMBER(_xlfn.XLOOKUP($C1337,Phone_by_Sentiment!$B$2:$B$37,Phone_by_Sentiment!E$2:E$37,"",0,1)),_xlfn.XLOOKUP($C1337,Phone_by_Sentiment!$B$2:$B$37,Phone_by_Sentiment!E$2:E$37,"",0,1),0),$A1337-TEXT(DATEVALUE($D1337&amp;"-01"), "dd-mm-yyyy")),0),0)</f>
        <v>792</v>
      </c>
      <c r="F1337" cm="1">
        <f t="array" ref="F1337">IF($Q1337&gt;=0,IFERROR(generateSalesData($D1337, IF(ISNUMBER(_xlfn.XLOOKUP($C1337,Phone_by_Sentiment!$B$2:$B$37,Phone_by_Sentiment!F$2:F$37,"",0,1)),_xlfn.XLOOKUP($C1337,Phone_by_Sentiment!$B$2:$B$37,Phone_by_Sentiment!F$2:F$37,"",0,1),0),$A1337-TEXT(DATEVALUE($D1337&amp;"-01"), "dd-mm-yyyy")),0),0)</f>
        <v>156</v>
      </c>
      <c r="G1337" cm="1">
        <f t="array" ref="G1337">IF($Q1337&gt;=0,IFERROR(generateSalesData($D1337, IF(ISNUMBER(_xlfn.XLOOKUP($C1337,Phone_by_Sentiment!$B$2:$B$37,Phone_by_Sentiment!G$2:G$37,"",0,1)),_xlfn.XLOOKUP($C1337,Phone_by_Sentiment!$B$2:$B$37,Phone_by_Sentiment!G$2:G$37,"",0,1),0),$A1337-TEXT(DATEVALUE($D1337&amp;"-01"), "dd-mm-yyyy")),0),0)</f>
        <v>393</v>
      </c>
      <c r="H1337" cm="1">
        <f t="array" ref="H1337">IF($Q1337&gt;=0,IFERROR(generateSalesData($D1337, IF(ISNUMBER(_xlfn.XLOOKUP($C1337,Phone_by_Sentiment!$B$2:$B$37,Phone_by_Sentiment!H$2:H$37,"",0,1)),_xlfn.XLOOKUP($C1337,Phone_by_Sentiment!$B$2:$B$37,Phone_by_Sentiment!H$2:H$37,"",0,1),0),$A1337-TEXT(DATEVALUE($D1337&amp;"-01"), "dd-mm-yyyy")),0),0)</f>
        <v>282</v>
      </c>
      <c r="I1337" cm="1">
        <f t="array" ref="I1337">IF($Q1337&gt;=0,IFERROR(generateSalesData($D1337, IF(ISNUMBER(_xlfn.XLOOKUP($C1337,Phone_by_Sentiment!$B$2:$B$37,Phone_by_Sentiment!I$2:I$37,"",0,1)),_xlfn.XLOOKUP($C1337,Phone_by_Sentiment!$B$2:$B$37,Phone_by_Sentiment!I$2:I$37,"",0,1),0),$A1337-TEXT(DATEVALUE($D1337&amp;"-01"), "dd-mm-yyyy")),0),0)</f>
        <v>272</v>
      </c>
      <c r="J1337" cm="1">
        <f t="array" ref="J1337">IF($Q1337&gt;=0,IFERROR(generateSalesData($D1337, IF(ISNUMBER(_xlfn.XLOOKUP($C1337,Phone_by_Sentiment!$B$2:$B$37,Phone_by_Sentiment!J$2:J$37,"",0,1)),_xlfn.XLOOKUP($C1337,Phone_by_Sentiment!$B$2:$B$37,Phone_by_Sentiment!J$2:J$37,"",0,1),0),$A1337-TEXT(DATEVALUE($D1337&amp;"-01"), "dd-mm-yyyy")),0),0)</f>
        <v>22</v>
      </c>
      <c r="K1337" cm="1">
        <f t="array" ref="K1337">IF($Q1337&gt;=0,IFERROR(generateSalesData($D1337, IF(ISNUMBER(_xlfn.XLOOKUP($C1337,Phone_by_Sentiment!$B$2:$B$37,Phone_by_Sentiment!K$2:K$37,"",0,1)),_xlfn.XLOOKUP($C1337,Phone_by_Sentiment!$B$2:$B$37,Phone_by_Sentiment!K$2:K$37,"",0,1),0),$A1337-TEXT(DATEVALUE($D1337&amp;"-01"), "dd-mm-yyyy")),0),0)</f>
        <v>288</v>
      </c>
      <c r="L1337" cm="1">
        <f t="array" ref="L1337">IF($Q1337&gt;=0,IFERROR(generateSalesData($D1337, IF(ISNUMBER(_xlfn.XLOOKUP($C1337,Phone_by_Sentiment!$B$2:$B$37,Phone_by_Sentiment!L$2:L$37,"",0,1)),_xlfn.XLOOKUP($C1337,Phone_by_Sentiment!$B$2:$B$37,Phone_by_Sentiment!L$2:L$37,"",0,1),0),$A1337-TEXT(DATEVALUE($D1337&amp;"-01"), "dd-mm-yyyy")),0),0)</f>
        <v>265</v>
      </c>
      <c r="M1337" cm="1">
        <f t="array" ref="M1337">IF($Q1337&gt;=0,IFERROR(generateSalesData($D1337, IF(ISNUMBER(_xlfn.XLOOKUP($C1337,Phone_by_Sentiment!$B$2:$B$37,Phone_by_Sentiment!M$2:M$37,"",0,1)),_xlfn.XLOOKUP($C1337,Phone_by_Sentiment!$B$2:$B$37,Phone_by_Sentiment!M$2:M$37,"",0,1),0),$A1337-TEXT(DATEVALUE($D1337&amp;"-01"), "dd-mm-yyyy")),0),0)</f>
        <v>165</v>
      </c>
      <c r="N1337" cm="1">
        <f t="array" ref="N1337">IF($Q1337&gt;=0,IFERROR(generateSalesData($D1337, IF(ISNUMBER(_xlfn.XLOOKUP($C1337,Phone_by_Sentiment!$B$2:$B$37,Phone_by_Sentiment!N$2:N$37,"",0,1)),_xlfn.XLOOKUP($C1337,Phone_by_Sentiment!$B$2:$B$37,Phone_by_Sentiment!N$2:N$37,"",0,1),0),$A1337-TEXT(DATEVALUE($D1337&amp;"-01"), "dd-mm-yyyy")),0),0)</f>
        <v>186</v>
      </c>
      <c r="O1337" cm="1">
        <f t="array" ref="O1337">IF($Q1337&gt;=0,IFERROR(generateSalesData($D1337, IF(ISNUMBER(_xlfn.XLOOKUP($C1337,Phone_by_Sentiment!$B$2:$B$37,Phone_by_Sentiment!O$2:O$37,"",0,1)),_xlfn.XLOOKUP($C1337,Phone_by_Sentiment!$B$2:$B$37,Phone_by_Sentiment!O$2:O$37,"",0,1),0),$A1337-TEXT(DATEVALUE($D1337&amp;"-01"), "dd-mm-yyyy")),0),0)</f>
        <v>589</v>
      </c>
      <c r="P1337" s="1">
        <f t="shared" si="51"/>
        <v>44317</v>
      </c>
      <c r="Q1337">
        <f t="shared" si="53"/>
        <v>304</v>
      </c>
    </row>
    <row r="1338" spans="1:17" x14ac:dyDescent="0.25">
      <c r="A1338" s="1">
        <f t="shared" si="48"/>
        <v>44621</v>
      </c>
      <c r="B1338" t="s">
        <v>151</v>
      </c>
      <c r="C1338" t="str">
        <f>_xlfn.XLOOKUP(B1338,Phone_by_Price!$A$2:$A$34,Phone_by_Price!$B$2:$B$34,"-",0,1)</f>
        <v>Vivo Y11s</v>
      </c>
      <c r="D1338" t="str">
        <f>_xlfn.XLOOKUP(C1338,Phone_by_Sentiment!$B$2:$B$37,Phone_by_Sentiment!$A$2:$A$37,"-",0,1)</f>
        <v>2020-11</v>
      </c>
      <c r="E1338" cm="1">
        <f t="array" ref="E1338">IF($Q1338&gt;=0,IFERROR(generateSalesData($D1338, IF(ISNUMBER(_xlfn.XLOOKUP($C1338,Phone_by_Sentiment!$B$2:$B$37,Phone_by_Sentiment!E$2:E$37,"",0,1)),_xlfn.XLOOKUP($C1338,Phone_by_Sentiment!$B$2:$B$37,Phone_by_Sentiment!E$2:E$37,"",0,1),0),$A1338-TEXT(DATEVALUE($D1338&amp;"-01"), "dd-mm-yyyy")),0),0)</f>
        <v>116</v>
      </c>
      <c r="F1338" cm="1">
        <f t="array" ref="F1338">IF($Q1338&gt;=0,IFERROR(generateSalesData($D1338, IF(ISNUMBER(_xlfn.XLOOKUP($C1338,Phone_by_Sentiment!$B$2:$B$37,Phone_by_Sentiment!F$2:F$37,"",0,1)),_xlfn.XLOOKUP($C1338,Phone_by_Sentiment!$B$2:$B$37,Phone_by_Sentiment!F$2:F$37,"",0,1),0),$A1338-TEXT(DATEVALUE($D1338&amp;"-01"), "dd-mm-yyyy")),0),0)</f>
        <v>154</v>
      </c>
      <c r="G1338" cm="1">
        <f t="array" ref="G1338">IF($Q1338&gt;=0,IFERROR(generateSalesData($D1338, IF(ISNUMBER(_xlfn.XLOOKUP($C1338,Phone_by_Sentiment!$B$2:$B$37,Phone_by_Sentiment!G$2:G$37,"",0,1)),_xlfn.XLOOKUP($C1338,Phone_by_Sentiment!$B$2:$B$37,Phone_by_Sentiment!G$2:G$37,"",0,1),0),$A1338-TEXT(DATEVALUE($D1338&amp;"-01"), "dd-mm-yyyy")),0),0)</f>
        <v>147</v>
      </c>
      <c r="H1338" cm="1">
        <f t="array" ref="H1338">IF($Q1338&gt;=0,IFERROR(generateSalesData($D1338, IF(ISNUMBER(_xlfn.XLOOKUP($C1338,Phone_by_Sentiment!$B$2:$B$37,Phone_by_Sentiment!H$2:H$37,"",0,1)),_xlfn.XLOOKUP($C1338,Phone_by_Sentiment!$B$2:$B$37,Phone_by_Sentiment!H$2:H$37,"",0,1),0),$A1338-TEXT(DATEVALUE($D1338&amp;"-01"), "dd-mm-yyyy")),0),0)</f>
        <v>154</v>
      </c>
      <c r="I1338" cm="1">
        <f t="array" ref="I1338">IF($Q1338&gt;=0,IFERROR(generateSalesData($D1338, IF(ISNUMBER(_xlfn.XLOOKUP($C1338,Phone_by_Sentiment!$B$2:$B$37,Phone_by_Sentiment!I$2:I$37,"",0,1)),_xlfn.XLOOKUP($C1338,Phone_by_Sentiment!$B$2:$B$37,Phone_by_Sentiment!I$2:I$37,"",0,1),0),$A1338-TEXT(DATEVALUE($D1338&amp;"-01"), "dd-mm-yyyy")),0),0)</f>
        <v>88</v>
      </c>
      <c r="J1338" cm="1">
        <f t="array" ref="J1338">IF($Q1338&gt;=0,IFERROR(generateSalesData($D1338, IF(ISNUMBER(_xlfn.XLOOKUP($C1338,Phone_by_Sentiment!$B$2:$B$37,Phone_by_Sentiment!J$2:J$37,"",0,1)),_xlfn.XLOOKUP($C1338,Phone_by_Sentiment!$B$2:$B$37,Phone_by_Sentiment!J$2:J$37,"",0,1),0),$A1338-TEXT(DATEVALUE($D1338&amp;"-01"), "dd-mm-yyyy")),0),0)</f>
        <v>208</v>
      </c>
      <c r="K1338" cm="1">
        <f t="array" ref="K1338">IF($Q1338&gt;=0,IFERROR(generateSalesData($D1338, IF(ISNUMBER(_xlfn.XLOOKUP($C1338,Phone_by_Sentiment!$B$2:$B$37,Phone_by_Sentiment!K$2:K$37,"",0,1)),_xlfn.XLOOKUP($C1338,Phone_by_Sentiment!$B$2:$B$37,Phone_by_Sentiment!K$2:K$37,"",0,1),0),$A1338-TEXT(DATEVALUE($D1338&amp;"-01"), "dd-mm-yyyy")),0),0)</f>
        <v>141</v>
      </c>
      <c r="L1338" cm="1">
        <f t="array" ref="L1338">IF($Q1338&gt;=0,IFERROR(generateSalesData($D1338, IF(ISNUMBER(_xlfn.XLOOKUP($C1338,Phone_by_Sentiment!$B$2:$B$37,Phone_by_Sentiment!L$2:L$37,"",0,1)),_xlfn.XLOOKUP($C1338,Phone_by_Sentiment!$B$2:$B$37,Phone_by_Sentiment!L$2:L$37,"",0,1),0),$A1338-TEXT(DATEVALUE($D1338&amp;"-01"), "dd-mm-yyyy")),0),0)</f>
        <v>194</v>
      </c>
      <c r="M1338" cm="1">
        <f t="array" ref="M1338">IF($Q1338&gt;=0,IFERROR(generateSalesData($D1338, IF(ISNUMBER(_xlfn.XLOOKUP($C1338,Phone_by_Sentiment!$B$2:$B$37,Phone_by_Sentiment!M$2:M$37,"",0,1)),_xlfn.XLOOKUP($C1338,Phone_by_Sentiment!$B$2:$B$37,Phone_by_Sentiment!M$2:M$37,"",0,1),0),$A1338-TEXT(DATEVALUE($D1338&amp;"-01"), "dd-mm-yyyy")),0),0)</f>
        <v>228</v>
      </c>
      <c r="N1338" cm="1">
        <f t="array" ref="N1338">IF($Q1338&gt;=0,IFERROR(generateSalesData($D1338, IF(ISNUMBER(_xlfn.XLOOKUP($C1338,Phone_by_Sentiment!$B$2:$B$37,Phone_by_Sentiment!N$2:N$37,"",0,1)),_xlfn.XLOOKUP($C1338,Phone_by_Sentiment!$B$2:$B$37,Phone_by_Sentiment!N$2:N$37,"",0,1),0),$A1338-TEXT(DATEVALUE($D1338&amp;"-01"), "dd-mm-yyyy")),0),0)</f>
        <v>76</v>
      </c>
      <c r="O1338" cm="1">
        <f t="array" ref="O1338">IF($Q1338&gt;=0,IFERROR(generateSalesData($D1338, IF(ISNUMBER(_xlfn.XLOOKUP($C1338,Phone_by_Sentiment!$B$2:$B$37,Phone_by_Sentiment!O$2:O$37,"",0,1)),_xlfn.XLOOKUP($C1338,Phone_by_Sentiment!$B$2:$B$37,Phone_by_Sentiment!O$2:O$37,"",0,1),0),$A1338-TEXT(DATEVALUE($D1338&amp;"-01"), "dd-mm-yyyy")),0),0)</f>
        <v>68</v>
      </c>
      <c r="P1338" s="1">
        <f t="shared" si="51"/>
        <v>44136</v>
      </c>
      <c r="Q1338">
        <f t="shared" si="53"/>
        <v>485</v>
      </c>
    </row>
    <row r="1339" spans="1:17" x14ac:dyDescent="0.25">
      <c r="A1339" s="1">
        <f t="shared" si="48"/>
        <v>44621</v>
      </c>
      <c r="B1339" t="s">
        <v>152</v>
      </c>
      <c r="C1339" t="str">
        <f>_xlfn.XLOOKUP(B1339,Phone_by_Price!$A$2:$A$34,Phone_by_Price!$B$2:$B$34,"-",0,1)</f>
        <v>Huawei Nova 7i</v>
      </c>
      <c r="D1339" t="str">
        <f>_xlfn.XLOOKUP(C1339,Phone_by_Sentiment!$B$2:$B$37,Phone_by_Sentiment!$A$2:$A$37,"-",0,1)</f>
        <v>2020-02</v>
      </c>
      <c r="E1339" cm="1">
        <f t="array" ref="E1339">IF($Q1339&gt;=0,IFERROR(generateSalesData($D1339, IF(ISNUMBER(_xlfn.XLOOKUP($C1339,Phone_by_Sentiment!$B$2:$B$37,Phone_by_Sentiment!E$2:E$37,"",0,1)),_xlfn.XLOOKUP($C1339,Phone_by_Sentiment!$B$2:$B$37,Phone_by_Sentiment!E$2:E$37,"",0,1),0),$A1339-TEXT(DATEVALUE($D1339&amp;"-01"), "dd-mm-yyyy")),0),0)</f>
        <v>122</v>
      </c>
      <c r="F1339" cm="1">
        <f t="array" ref="F1339">IF($Q1339&gt;=0,IFERROR(generateSalesData($D1339, IF(ISNUMBER(_xlfn.XLOOKUP($C1339,Phone_by_Sentiment!$B$2:$B$37,Phone_by_Sentiment!F$2:F$37,"",0,1)),_xlfn.XLOOKUP($C1339,Phone_by_Sentiment!$B$2:$B$37,Phone_by_Sentiment!F$2:F$37,"",0,1),0),$A1339-TEXT(DATEVALUE($D1339&amp;"-01"), "dd-mm-yyyy")),0),0)</f>
        <v>115</v>
      </c>
      <c r="G1339" cm="1">
        <f t="array" ref="G1339">IF($Q1339&gt;=0,IFERROR(generateSalesData($D1339, IF(ISNUMBER(_xlfn.XLOOKUP($C1339,Phone_by_Sentiment!$B$2:$B$37,Phone_by_Sentiment!G$2:G$37,"",0,1)),_xlfn.XLOOKUP($C1339,Phone_by_Sentiment!$B$2:$B$37,Phone_by_Sentiment!G$2:G$37,"",0,1),0),$A1339-TEXT(DATEVALUE($D1339&amp;"-01"), "dd-mm-yyyy")),0),0)</f>
        <v>76</v>
      </c>
      <c r="H1339" cm="1">
        <f t="array" ref="H1339">IF($Q1339&gt;=0,IFERROR(generateSalesData($D1339, IF(ISNUMBER(_xlfn.XLOOKUP($C1339,Phone_by_Sentiment!$B$2:$B$37,Phone_by_Sentiment!H$2:H$37,"",0,1)),_xlfn.XLOOKUP($C1339,Phone_by_Sentiment!$B$2:$B$37,Phone_by_Sentiment!H$2:H$37,"",0,1),0),$A1339-TEXT(DATEVALUE($D1339&amp;"-01"), "dd-mm-yyyy")),0),0)</f>
        <v>207</v>
      </c>
      <c r="I1339" cm="1">
        <f t="array" ref="I1339">IF($Q1339&gt;=0,IFERROR(generateSalesData($D1339, IF(ISNUMBER(_xlfn.XLOOKUP($C1339,Phone_by_Sentiment!$B$2:$B$37,Phone_by_Sentiment!I$2:I$37,"",0,1)),_xlfn.XLOOKUP($C1339,Phone_by_Sentiment!$B$2:$B$37,Phone_by_Sentiment!I$2:I$37,"",0,1),0),$A1339-TEXT(DATEVALUE($D1339&amp;"-01"), "dd-mm-yyyy")),0),0)</f>
        <v>90</v>
      </c>
      <c r="J1339" cm="1">
        <f t="array" ref="J1339">IF($Q1339&gt;=0,IFERROR(generateSalesData($D1339, IF(ISNUMBER(_xlfn.XLOOKUP($C1339,Phone_by_Sentiment!$B$2:$B$37,Phone_by_Sentiment!J$2:J$37,"",0,1)),_xlfn.XLOOKUP($C1339,Phone_by_Sentiment!$B$2:$B$37,Phone_by_Sentiment!J$2:J$37,"",0,1),0),$A1339-TEXT(DATEVALUE($D1339&amp;"-01"), "dd-mm-yyyy")),0),0)</f>
        <v>77</v>
      </c>
      <c r="K1339" cm="1">
        <f t="array" ref="K1339">IF($Q1339&gt;=0,IFERROR(generateSalesData($D1339, IF(ISNUMBER(_xlfn.XLOOKUP($C1339,Phone_by_Sentiment!$B$2:$B$37,Phone_by_Sentiment!K$2:K$37,"",0,1)),_xlfn.XLOOKUP($C1339,Phone_by_Sentiment!$B$2:$B$37,Phone_by_Sentiment!K$2:K$37,"",0,1),0),$A1339-TEXT(DATEVALUE($D1339&amp;"-01"), "dd-mm-yyyy")),0),0)</f>
        <v>-19</v>
      </c>
      <c r="L1339" cm="1">
        <f t="array" ref="L1339">IF($Q1339&gt;=0,IFERROR(generateSalesData($D1339, IF(ISNUMBER(_xlfn.XLOOKUP($C1339,Phone_by_Sentiment!$B$2:$B$37,Phone_by_Sentiment!L$2:L$37,"",0,1)),_xlfn.XLOOKUP($C1339,Phone_by_Sentiment!$B$2:$B$37,Phone_by_Sentiment!L$2:L$37,"",0,1),0),$A1339-TEXT(DATEVALUE($D1339&amp;"-01"), "dd-mm-yyyy")),0),0)</f>
        <v>67</v>
      </c>
      <c r="M1339" cm="1">
        <f t="array" ref="M1339">IF($Q1339&gt;=0,IFERROR(generateSalesData($D1339, IF(ISNUMBER(_xlfn.XLOOKUP($C1339,Phone_by_Sentiment!$B$2:$B$37,Phone_by_Sentiment!M$2:M$37,"",0,1)),_xlfn.XLOOKUP($C1339,Phone_by_Sentiment!$B$2:$B$37,Phone_by_Sentiment!M$2:M$37,"",0,1),0),$A1339-TEXT(DATEVALUE($D1339&amp;"-01"), "dd-mm-yyyy")),0),0)</f>
        <v>139</v>
      </c>
      <c r="N1339" cm="1">
        <f t="array" ref="N1339">IF($Q1339&gt;=0,IFERROR(generateSalesData($D1339, IF(ISNUMBER(_xlfn.XLOOKUP($C1339,Phone_by_Sentiment!$B$2:$B$37,Phone_by_Sentiment!N$2:N$37,"",0,1)),_xlfn.XLOOKUP($C1339,Phone_by_Sentiment!$B$2:$B$37,Phone_by_Sentiment!N$2:N$37,"",0,1),0),$A1339-TEXT(DATEVALUE($D1339&amp;"-01"), "dd-mm-yyyy")),0),0)</f>
        <v>9</v>
      </c>
      <c r="O1339" cm="1">
        <f t="array" ref="O1339">IF($Q1339&gt;=0,IFERROR(generateSalesData($D1339, IF(ISNUMBER(_xlfn.XLOOKUP($C1339,Phone_by_Sentiment!$B$2:$B$37,Phone_by_Sentiment!O$2:O$37,"",0,1)),_xlfn.XLOOKUP($C1339,Phone_by_Sentiment!$B$2:$B$37,Phone_by_Sentiment!O$2:O$37,"",0,1),0),$A1339-TEXT(DATEVALUE($D1339&amp;"-01"), "dd-mm-yyyy")),0),0)</f>
        <v>43</v>
      </c>
      <c r="P1339" s="1">
        <f t="shared" si="51"/>
        <v>43862</v>
      </c>
      <c r="Q1339">
        <f t="shared" si="53"/>
        <v>759</v>
      </c>
    </row>
    <row r="1340" spans="1:17" x14ac:dyDescent="0.25">
      <c r="A1340" s="1">
        <f t="shared" si="48"/>
        <v>44621</v>
      </c>
      <c r="B1340" t="s">
        <v>153</v>
      </c>
      <c r="C1340" t="str">
        <f>_xlfn.XLOOKUP(B1340,Phone_by_Price!$A$2:$A$34,Phone_by_Price!$B$2:$B$34,"-",0,1)</f>
        <v>iPhone 13</v>
      </c>
      <c r="D1340" t="str">
        <f>_xlfn.XLOOKUP(C1340,Phone_by_Sentiment!$B$2:$B$37,Phone_by_Sentiment!$A$2:$A$37,"-",0,1)</f>
        <v>2021-09</v>
      </c>
      <c r="E1340" cm="1">
        <f t="array" ref="E1340">IF($Q1340&gt;=0,IFERROR(generateSalesData($D1340, IF(ISNUMBER(_xlfn.XLOOKUP($C1340,Phone_by_Sentiment!$B$2:$B$37,Phone_by_Sentiment!E$2:E$37,"",0,1)),_xlfn.XLOOKUP($C1340,Phone_by_Sentiment!$B$2:$B$37,Phone_by_Sentiment!E$2:E$37,"",0,1),0),$A1340-TEXT(DATEVALUE($D1340&amp;"-01"), "dd-mm-yyyy")),0),0)</f>
        <v>610</v>
      </c>
      <c r="F1340" cm="1">
        <f t="array" ref="F1340">IF($Q1340&gt;=0,IFERROR(generateSalesData($D1340, IF(ISNUMBER(_xlfn.XLOOKUP($C1340,Phone_by_Sentiment!$B$2:$B$37,Phone_by_Sentiment!F$2:F$37,"",0,1)),_xlfn.XLOOKUP($C1340,Phone_by_Sentiment!$B$2:$B$37,Phone_by_Sentiment!F$2:F$37,"",0,1),0),$A1340-TEXT(DATEVALUE($D1340&amp;"-01"), "dd-mm-yyyy")),0),0)</f>
        <v>382</v>
      </c>
      <c r="G1340" cm="1">
        <f t="array" ref="G1340">IF($Q1340&gt;=0,IFERROR(generateSalesData($D1340, IF(ISNUMBER(_xlfn.XLOOKUP($C1340,Phone_by_Sentiment!$B$2:$B$37,Phone_by_Sentiment!G$2:G$37,"",0,1)),_xlfn.XLOOKUP($C1340,Phone_by_Sentiment!$B$2:$B$37,Phone_by_Sentiment!G$2:G$37,"",0,1),0),$A1340-TEXT(DATEVALUE($D1340&amp;"-01"), "dd-mm-yyyy")),0),0)</f>
        <v>383</v>
      </c>
      <c r="H1340" cm="1">
        <f t="array" ref="H1340">IF($Q1340&gt;=0,IFERROR(generateSalesData($D1340, IF(ISNUMBER(_xlfn.XLOOKUP($C1340,Phone_by_Sentiment!$B$2:$B$37,Phone_by_Sentiment!H$2:H$37,"",0,1)),_xlfn.XLOOKUP($C1340,Phone_by_Sentiment!$B$2:$B$37,Phone_by_Sentiment!H$2:H$37,"",0,1),0),$A1340-TEXT(DATEVALUE($D1340&amp;"-01"), "dd-mm-yyyy")),0),0)</f>
        <v>1912</v>
      </c>
      <c r="I1340" cm="1">
        <f t="array" ref="I1340">IF($Q1340&gt;=0,IFERROR(generateSalesData($D1340, IF(ISNUMBER(_xlfn.XLOOKUP($C1340,Phone_by_Sentiment!$B$2:$B$37,Phone_by_Sentiment!I$2:I$37,"",0,1)),_xlfn.XLOOKUP($C1340,Phone_by_Sentiment!$B$2:$B$37,Phone_by_Sentiment!I$2:I$37,"",0,1),0),$A1340-TEXT(DATEVALUE($D1340&amp;"-01"), "dd-mm-yyyy")),0),0)</f>
        <v>430</v>
      </c>
      <c r="J1340" cm="1">
        <f t="array" ref="J1340">IF($Q1340&gt;=0,IFERROR(generateSalesData($D1340, IF(ISNUMBER(_xlfn.XLOOKUP($C1340,Phone_by_Sentiment!$B$2:$B$37,Phone_by_Sentiment!J$2:J$37,"",0,1)),_xlfn.XLOOKUP($C1340,Phone_by_Sentiment!$B$2:$B$37,Phone_by_Sentiment!J$2:J$37,"",0,1),0),$A1340-TEXT(DATEVALUE($D1340&amp;"-01"), "dd-mm-yyyy")),0),0)</f>
        <v>974</v>
      </c>
      <c r="K1340" cm="1">
        <f t="array" ref="K1340">IF($Q1340&gt;=0,IFERROR(generateSalesData($D1340, IF(ISNUMBER(_xlfn.XLOOKUP($C1340,Phone_by_Sentiment!$B$2:$B$37,Phone_by_Sentiment!K$2:K$37,"",0,1)),_xlfn.XLOOKUP($C1340,Phone_by_Sentiment!$B$2:$B$37,Phone_by_Sentiment!K$2:K$37,"",0,1),0),$A1340-TEXT(DATEVALUE($D1340&amp;"-01"), "dd-mm-yyyy")),0),0)</f>
        <v>257</v>
      </c>
      <c r="L1340" cm="1">
        <f t="array" ref="L1340">IF($Q1340&gt;=0,IFERROR(generateSalesData($D1340, IF(ISNUMBER(_xlfn.XLOOKUP($C1340,Phone_by_Sentiment!$B$2:$B$37,Phone_by_Sentiment!L$2:L$37,"",0,1)),_xlfn.XLOOKUP($C1340,Phone_by_Sentiment!$B$2:$B$37,Phone_by_Sentiment!L$2:L$37,"",0,1),0),$A1340-TEXT(DATEVALUE($D1340&amp;"-01"), "dd-mm-yyyy")),0),0)</f>
        <v>2676</v>
      </c>
      <c r="M1340" cm="1">
        <f t="array" ref="M1340">IF($Q1340&gt;=0,IFERROR(generateSalesData($D1340, IF(ISNUMBER(_xlfn.XLOOKUP($C1340,Phone_by_Sentiment!$B$2:$B$37,Phone_by_Sentiment!M$2:M$37,"",0,1)),_xlfn.XLOOKUP($C1340,Phone_by_Sentiment!$B$2:$B$37,Phone_by_Sentiment!M$2:M$37,"",0,1),0),$A1340-TEXT(DATEVALUE($D1340&amp;"-01"), "dd-mm-yyyy")),0),0)</f>
        <v>16</v>
      </c>
      <c r="N1340" cm="1">
        <f t="array" ref="N1340">IF($Q1340&gt;=0,IFERROR(generateSalesData($D1340, IF(ISNUMBER(_xlfn.XLOOKUP($C1340,Phone_by_Sentiment!$B$2:$B$37,Phone_by_Sentiment!N$2:N$37,"",0,1)),_xlfn.XLOOKUP($C1340,Phone_by_Sentiment!$B$2:$B$37,Phone_by_Sentiment!N$2:N$37,"",0,1),0),$A1340-TEXT(DATEVALUE($D1340&amp;"-01"), "dd-mm-yyyy")),0),0)</f>
        <v>512</v>
      </c>
      <c r="O1340" cm="1">
        <f t="array" ref="O1340">IF($Q1340&gt;=0,IFERROR(generateSalesData($D1340, IF(ISNUMBER(_xlfn.XLOOKUP($C1340,Phone_by_Sentiment!$B$2:$B$37,Phone_by_Sentiment!O$2:O$37,"",0,1)),_xlfn.XLOOKUP($C1340,Phone_by_Sentiment!$B$2:$B$37,Phone_by_Sentiment!O$2:O$37,"",0,1),0),$A1340-TEXT(DATEVALUE($D1340&amp;"-01"), "dd-mm-yyyy")),0),0)</f>
        <v>1926</v>
      </c>
      <c r="P1340" s="1">
        <f t="shared" si="51"/>
        <v>44440</v>
      </c>
      <c r="Q1340">
        <f t="shared" si="53"/>
        <v>181</v>
      </c>
    </row>
    <row r="1341" spans="1:17" x14ac:dyDescent="0.25">
      <c r="A1341" s="1">
        <f t="shared" si="48"/>
        <v>44621</v>
      </c>
      <c r="B1341" t="s">
        <v>154</v>
      </c>
      <c r="C1341" t="str">
        <f>_xlfn.XLOOKUP(B1341,Phone_by_Price!$A$2:$A$34,Phone_by_Price!$B$2:$B$34,"-",0,1)</f>
        <v>Samsung Galaxy S21</v>
      </c>
      <c r="D1341" t="str">
        <f>_xlfn.XLOOKUP(C1341,Phone_by_Sentiment!$B$2:$B$37,Phone_by_Sentiment!$A$2:$A$37,"-",0,1)</f>
        <v>2021-01</v>
      </c>
      <c r="E1341" cm="1">
        <f t="array" ref="E1341">IF($Q1341&gt;=0,IFERROR(generateSalesData($D1341, IF(ISNUMBER(_xlfn.XLOOKUP($C1341,Phone_by_Sentiment!$B$2:$B$37,Phone_by_Sentiment!E$2:E$37,"",0,1)),_xlfn.XLOOKUP($C1341,Phone_by_Sentiment!$B$2:$B$37,Phone_by_Sentiment!E$2:E$37,"",0,1),0),$A1341-TEXT(DATEVALUE($D1341&amp;"-01"), "dd-mm-yyyy")),0),0)</f>
        <v>518</v>
      </c>
      <c r="F1341" cm="1">
        <f t="array" ref="F1341">IF($Q1341&gt;=0,IFERROR(generateSalesData($D1341, IF(ISNUMBER(_xlfn.XLOOKUP($C1341,Phone_by_Sentiment!$B$2:$B$37,Phone_by_Sentiment!F$2:F$37,"",0,1)),_xlfn.XLOOKUP($C1341,Phone_by_Sentiment!$B$2:$B$37,Phone_by_Sentiment!F$2:F$37,"",0,1),0),$A1341-TEXT(DATEVALUE($D1341&amp;"-01"), "dd-mm-yyyy")),0),0)</f>
        <v>1000</v>
      </c>
      <c r="G1341" cm="1">
        <f t="array" ref="G1341">IF($Q1341&gt;=0,IFERROR(generateSalesData($D1341, IF(ISNUMBER(_xlfn.XLOOKUP($C1341,Phone_by_Sentiment!$B$2:$B$37,Phone_by_Sentiment!G$2:G$37,"",0,1)),_xlfn.XLOOKUP($C1341,Phone_by_Sentiment!$B$2:$B$37,Phone_by_Sentiment!G$2:G$37,"",0,1),0),$A1341-TEXT(DATEVALUE($D1341&amp;"-01"), "dd-mm-yyyy")),0),0)</f>
        <v>65</v>
      </c>
      <c r="H1341" cm="1">
        <f t="array" ref="H1341">IF($Q1341&gt;=0,IFERROR(generateSalesData($D1341, IF(ISNUMBER(_xlfn.XLOOKUP($C1341,Phone_by_Sentiment!$B$2:$B$37,Phone_by_Sentiment!H$2:H$37,"",0,1)),_xlfn.XLOOKUP($C1341,Phone_by_Sentiment!$B$2:$B$37,Phone_by_Sentiment!H$2:H$37,"",0,1),0),$A1341-TEXT(DATEVALUE($D1341&amp;"-01"), "dd-mm-yyyy")),0),0)</f>
        <v>732</v>
      </c>
      <c r="I1341" cm="1">
        <f t="array" ref="I1341">IF($Q1341&gt;=0,IFERROR(generateSalesData($D1341, IF(ISNUMBER(_xlfn.XLOOKUP($C1341,Phone_by_Sentiment!$B$2:$B$37,Phone_by_Sentiment!I$2:I$37,"",0,1)),_xlfn.XLOOKUP($C1341,Phone_by_Sentiment!$B$2:$B$37,Phone_by_Sentiment!I$2:I$37,"",0,1),0),$A1341-TEXT(DATEVALUE($D1341&amp;"-01"), "dd-mm-yyyy")),0),0)</f>
        <v>128</v>
      </c>
      <c r="J1341" cm="1">
        <f t="array" ref="J1341">IF($Q1341&gt;=0,IFERROR(generateSalesData($D1341, IF(ISNUMBER(_xlfn.XLOOKUP($C1341,Phone_by_Sentiment!$B$2:$B$37,Phone_by_Sentiment!J$2:J$37,"",0,1)),_xlfn.XLOOKUP($C1341,Phone_by_Sentiment!$B$2:$B$37,Phone_by_Sentiment!J$2:J$37,"",0,1),0),$A1341-TEXT(DATEVALUE($D1341&amp;"-01"), "dd-mm-yyyy")),0),0)</f>
        <v>620</v>
      </c>
      <c r="K1341" cm="1">
        <f t="array" ref="K1341">IF($Q1341&gt;=0,IFERROR(generateSalesData($D1341, IF(ISNUMBER(_xlfn.XLOOKUP($C1341,Phone_by_Sentiment!$B$2:$B$37,Phone_by_Sentiment!K$2:K$37,"",0,1)),_xlfn.XLOOKUP($C1341,Phone_by_Sentiment!$B$2:$B$37,Phone_by_Sentiment!K$2:K$37,"",0,1),0),$A1341-TEXT(DATEVALUE($D1341&amp;"-01"), "dd-mm-yyyy")),0),0)</f>
        <v>233</v>
      </c>
      <c r="L1341" cm="1">
        <f t="array" ref="L1341">IF($Q1341&gt;=0,IFERROR(generateSalesData($D1341, IF(ISNUMBER(_xlfn.XLOOKUP($C1341,Phone_by_Sentiment!$B$2:$B$37,Phone_by_Sentiment!L$2:L$37,"",0,1)),_xlfn.XLOOKUP($C1341,Phone_by_Sentiment!$B$2:$B$37,Phone_by_Sentiment!L$2:L$37,"",0,1),0),$A1341-TEXT(DATEVALUE($D1341&amp;"-01"), "dd-mm-yyyy")),0),0)</f>
        <v>259</v>
      </c>
      <c r="M1341" cm="1">
        <f t="array" ref="M1341">IF($Q1341&gt;=0,IFERROR(generateSalesData($D1341, IF(ISNUMBER(_xlfn.XLOOKUP($C1341,Phone_by_Sentiment!$B$2:$B$37,Phone_by_Sentiment!M$2:M$37,"",0,1)),_xlfn.XLOOKUP($C1341,Phone_by_Sentiment!$B$2:$B$37,Phone_by_Sentiment!M$2:M$37,"",0,1),0),$A1341-TEXT(DATEVALUE($D1341&amp;"-01"), "dd-mm-yyyy")),0),0)</f>
        <v>261</v>
      </c>
      <c r="N1341" cm="1">
        <f t="array" ref="N1341">IF($Q1341&gt;=0,IFERROR(generateSalesData($D1341, IF(ISNUMBER(_xlfn.XLOOKUP($C1341,Phone_by_Sentiment!$B$2:$B$37,Phone_by_Sentiment!N$2:N$37,"",0,1)),_xlfn.XLOOKUP($C1341,Phone_by_Sentiment!$B$2:$B$37,Phone_by_Sentiment!N$2:N$37,"",0,1),0),$A1341-TEXT(DATEVALUE($D1341&amp;"-01"), "dd-mm-yyyy")),0),0)</f>
        <v>634</v>
      </c>
      <c r="O1341" cm="1">
        <f t="array" ref="O1341">IF($Q1341&gt;=0,IFERROR(generateSalesData($D1341, IF(ISNUMBER(_xlfn.XLOOKUP($C1341,Phone_by_Sentiment!$B$2:$B$37,Phone_by_Sentiment!O$2:O$37,"",0,1)),_xlfn.XLOOKUP($C1341,Phone_by_Sentiment!$B$2:$B$37,Phone_by_Sentiment!O$2:O$37,"",0,1),0),$A1341-TEXT(DATEVALUE($D1341&amp;"-01"), "dd-mm-yyyy")),0),0)</f>
        <v>732</v>
      </c>
      <c r="P1341" s="1">
        <f t="shared" si="51"/>
        <v>44197</v>
      </c>
      <c r="Q1341">
        <f t="shared" si="53"/>
        <v>424</v>
      </c>
    </row>
    <row r="1342" spans="1:17" x14ac:dyDescent="0.25">
      <c r="A1342" s="1">
        <f t="shared" si="48"/>
        <v>44621</v>
      </c>
      <c r="B1342" t="s">
        <v>155</v>
      </c>
      <c r="C1342" t="str">
        <f>_xlfn.XLOOKUP(B1342,Phone_by_Price!$A$2:$A$34,Phone_by_Price!$B$2:$B$34,"-",0,1)</f>
        <v>Google Pixel 6</v>
      </c>
      <c r="D1342" t="str">
        <f>_xlfn.XLOOKUP(C1342,Phone_by_Sentiment!$B$2:$B$37,Phone_by_Sentiment!$A$2:$A$37,"-",0,1)</f>
        <v>2021-10</v>
      </c>
      <c r="E1342" cm="1">
        <f t="array" ref="E1342">IF($Q1342&gt;=0,IFERROR(generateSalesData($D1342, IF(ISNUMBER(_xlfn.XLOOKUP($C1342,Phone_by_Sentiment!$B$2:$B$37,Phone_by_Sentiment!E$2:E$37,"",0,1)),_xlfn.XLOOKUP($C1342,Phone_by_Sentiment!$B$2:$B$37,Phone_by_Sentiment!E$2:E$37,"",0,1),0),$A1342-TEXT(DATEVALUE($D1342&amp;"-01"), "dd-mm-yyyy")),0),0)</f>
        <v>187</v>
      </c>
      <c r="F1342" cm="1">
        <f t="array" ref="F1342">IF($Q1342&gt;=0,IFERROR(generateSalesData($D1342, IF(ISNUMBER(_xlfn.XLOOKUP($C1342,Phone_by_Sentiment!$B$2:$B$37,Phone_by_Sentiment!F$2:F$37,"",0,1)),_xlfn.XLOOKUP($C1342,Phone_by_Sentiment!$B$2:$B$37,Phone_by_Sentiment!F$2:F$37,"",0,1),0),$A1342-TEXT(DATEVALUE($D1342&amp;"-01"), "dd-mm-yyyy")),0),0)</f>
        <v>203</v>
      </c>
      <c r="G1342" cm="1">
        <f t="array" ref="G1342">IF($Q1342&gt;=0,IFERROR(generateSalesData($D1342, IF(ISNUMBER(_xlfn.XLOOKUP($C1342,Phone_by_Sentiment!$B$2:$B$37,Phone_by_Sentiment!G$2:G$37,"",0,1)),_xlfn.XLOOKUP($C1342,Phone_by_Sentiment!$B$2:$B$37,Phone_by_Sentiment!G$2:G$37,"",0,1),0),$A1342-TEXT(DATEVALUE($D1342&amp;"-01"), "dd-mm-yyyy")),0),0)</f>
        <v>180</v>
      </c>
      <c r="H1342" cm="1">
        <f t="array" ref="H1342">IF($Q1342&gt;=0,IFERROR(generateSalesData($D1342, IF(ISNUMBER(_xlfn.XLOOKUP($C1342,Phone_by_Sentiment!$B$2:$B$37,Phone_by_Sentiment!H$2:H$37,"",0,1)),_xlfn.XLOOKUP($C1342,Phone_by_Sentiment!$B$2:$B$37,Phone_by_Sentiment!H$2:H$37,"",0,1),0),$A1342-TEXT(DATEVALUE($D1342&amp;"-01"), "dd-mm-yyyy")),0),0)</f>
        <v>284</v>
      </c>
      <c r="I1342" cm="1">
        <f t="array" ref="I1342">IF($Q1342&gt;=0,IFERROR(generateSalesData($D1342, IF(ISNUMBER(_xlfn.XLOOKUP($C1342,Phone_by_Sentiment!$B$2:$B$37,Phone_by_Sentiment!I$2:I$37,"",0,1)),_xlfn.XLOOKUP($C1342,Phone_by_Sentiment!$B$2:$B$37,Phone_by_Sentiment!I$2:I$37,"",0,1),0),$A1342-TEXT(DATEVALUE($D1342&amp;"-01"), "dd-mm-yyyy")),0),0)</f>
        <v>348</v>
      </c>
      <c r="J1342" cm="1">
        <f t="array" ref="J1342">IF($Q1342&gt;=0,IFERROR(generateSalesData($D1342, IF(ISNUMBER(_xlfn.XLOOKUP($C1342,Phone_by_Sentiment!$B$2:$B$37,Phone_by_Sentiment!J$2:J$37,"",0,1)),_xlfn.XLOOKUP($C1342,Phone_by_Sentiment!$B$2:$B$37,Phone_by_Sentiment!J$2:J$37,"",0,1),0),$A1342-TEXT(DATEVALUE($D1342&amp;"-01"), "dd-mm-yyyy")),0),0)</f>
        <v>286</v>
      </c>
      <c r="K1342" cm="1">
        <f t="array" ref="K1342">IF($Q1342&gt;=0,IFERROR(generateSalesData($D1342, IF(ISNUMBER(_xlfn.XLOOKUP($C1342,Phone_by_Sentiment!$B$2:$B$37,Phone_by_Sentiment!K$2:K$37,"",0,1)),_xlfn.XLOOKUP($C1342,Phone_by_Sentiment!$B$2:$B$37,Phone_by_Sentiment!K$2:K$37,"",0,1),0),$A1342-TEXT(DATEVALUE($D1342&amp;"-01"), "dd-mm-yyyy")),0),0)</f>
        <v>432</v>
      </c>
      <c r="L1342" cm="1">
        <f t="array" ref="L1342">IF($Q1342&gt;=0,IFERROR(generateSalesData($D1342, IF(ISNUMBER(_xlfn.XLOOKUP($C1342,Phone_by_Sentiment!$B$2:$B$37,Phone_by_Sentiment!L$2:L$37,"",0,1)),_xlfn.XLOOKUP($C1342,Phone_by_Sentiment!$B$2:$B$37,Phone_by_Sentiment!L$2:L$37,"",0,1),0),$A1342-TEXT(DATEVALUE($D1342&amp;"-01"), "dd-mm-yyyy")),0),0)</f>
        <v>194</v>
      </c>
      <c r="M1342" cm="1">
        <f t="array" ref="M1342">IF($Q1342&gt;=0,IFERROR(generateSalesData($D1342, IF(ISNUMBER(_xlfn.XLOOKUP($C1342,Phone_by_Sentiment!$B$2:$B$37,Phone_by_Sentiment!M$2:M$37,"",0,1)),_xlfn.XLOOKUP($C1342,Phone_by_Sentiment!$B$2:$B$37,Phone_by_Sentiment!M$2:M$37,"",0,1),0),$A1342-TEXT(DATEVALUE($D1342&amp;"-01"), "dd-mm-yyyy")),0),0)</f>
        <v>1245</v>
      </c>
      <c r="N1342" cm="1">
        <f t="array" ref="N1342">IF($Q1342&gt;=0,IFERROR(generateSalesData($D1342, IF(ISNUMBER(_xlfn.XLOOKUP($C1342,Phone_by_Sentiment!$B$2:$B$37,Phone_by_Sentiment!N$2:N$37,"",0,1)),_xlfn.XLOOKUP($C1342,Phone_by_Sentiment!$B$2:$B$37,Phone_by_Sentiment!N$2:N$37,"",0,1),0),$A1342-TEXT(DATEVALUE($D1342&amp;"-01"), "dd-mm-yyyy")),0),0)</f>
        <v>49</v>
      </c>
      <c r="O1342" cm="1">
        <f t="array" ref="O1342">IF($Q1342&gt;=0,IFERROR(generateSalesData($D1342, IF(ISNUMBER(_xlfn.XLOOKUP($C1342,Phone_by_Sentiment!$B$2:$B$37,Phone_by_Sentiment!O$2:O$37,"",0,1)),_xlfn.XLOOKUP($C1342,Phone_by_Sentiment!$B$2:$B$37,Phone_by_Sentiment!O$2:O$37,"",0,1),0),$A1342-TEXT(DATEVALUE($D1342&amp;"-01"), "dd-mm-yyyy")),0),0)</f>
        <v>211</v>
      </c>
      <c r="P1342" s="1">
        <f t="shared" si="51"/>
        <v>44470</v>
      </c>
      <c r="Q1342">
        <f t="shared" si="53"/>
        <v>151</v>
      </c>
    </row>
    <row r="1343" spans="1:17" x14ac:dyDescent="0.25">
      <c r="A1343" s="1">
        <f t="shared" si="48"/>
        <v>44621</v>
      </c>
      <c r="B1343" t="s">
        <v>156</v>
      </c>
      <c r="C1343" t="str">
        <f>_xlfn.XLOOKUP(B1343,Phone_by_Price!$A$2:$A$34,Phone_by_Price!$B$2:$B$34,"-",0,1)</f>
        <v>OnePlus Nord CE</v>
      </c>
      <c r="D1343" t="str">
        <f>_xlfn.XLOOKUP(C1343,Phone_by_Sentiment!$B$2:$B$37,Phone_by_Sentiment!$A$2:$A$37,"-",0,1)</f>
        <v>2021-06</v>
      </c>
      <c r="E1343" cm="1">
        <f t="array" ref="E1343">IF($Q1343&gt;=0,IFERROR(generateSalesData($D1343, IF(ISNUMBER(_xlfn.XLOOKUP($C1343,Phone_by_Sentiment!$B$2:$B$37,Phone_by_Sentiment!E$2:E$37,"",0,1)),_xlfn.XLOOKUP($C1343,Phone_by_Sentiment!$B$2:$B$37,Phone_by_Sentiment!E$2:E$37,"",0,1),0),$A1343-TEXT(DATEVALUE($D1343&amp;"-01"), "dd-mm-yyyy")),0),0)</f>
        <v>22</v>
      </c>
      <c r="F1343" cm="1">
        <f t="array" ref="F1343">IF($Q1343&gt;=0,IFERROR(generateSalesData($D1343, IF(ISNUMBER(_xlfn.XLOOKUP($C1343,Phone_by_Sentiment!$B$2:$B$37,Phone_by_Sentiment!F$2:F$37,"",0,1)),_xlfn.XLOOKUP($C1343,Phone_by_Sentiment!$B$2:$B$37,Phone_by_Sentiment!F$2:F$37,"",0,1),0),$A1343-TEXT(DATEVALUE($D1343&amp;"-01"), "dd-mm-yyyy")),0),0)</f>
        <v>128</v>
      </c>
      <c r="G1343" cm="1">
        <f t="array" ref="G1343">IF($Q1343&gt;=0,IFERROR(generateSalesData($D1343, IF(ISNUMBER(_xlfn.XLOOKUP($C1343,Phone_by_Sentiment!$B$2:$B$37,Phone_by_Sentiment!G$2:G$37,"",0,1)),_xlfn.XLOOKUP($C1343,Phone_by_Sentiment!$B$2:$B$37,Phone_by_Sentiment!G$2:G$37,"",0,1),0),$A1343-TEXT(DATEVALUE($D1343&amp;"-01"), "dd-mm-yyyy")),0),0)</f>
        <v>0</v>
      </c>
      <c r="H1343" cm="1">
        <f t="array" ref="H1343">IF($Q1343&gt;=0,IFERROR(generateSalesData($D1343, IF(ISNUMBER(_xlfn.XLOOKUP($C1343,Phone_by_Sentiment!$B$2:$B$37,Phone_by_Sentiment!H$2:H$37,"",0,1)),_xlfn.XLOOKUP($C1343,Phone_by_Sentiment!$B$2:$B$37,Phone_by_Sentiment!H$2:H$37,"",0,1),0),$A1343-TEXT(DATEVALUE($D1343&amp;"-01"), "dd-mm-yyyy")),0),0)</f>
        <v>1269</v>
      </c>
      <c r="I1343" cm="1">
        <f t="array" ref="I1343">IF($Q1343&gt;=0,IFERROR(generateSalesData($D1343, IF(ISNUMBER(_xlfn.XLOOKUP($C1343,Phone_by_Sentiment!$B$2:$B$37,Phone_by_Sentiment!I$2:I$37,"",0,1)),_xlfn.XLOOKUP($C1343,Phone_by_Sentiment!$B$2:$B$37,Phone_by_Sentiment!I$2:I$37,"",0,1),0),$A1343-TEXT(DATEVALUE($D1343&amp;"-01"), "dd-mm-yyyy")),0),0)</f>
        <v>110</v>
      </c>
      <c r="J1343" cm="1">
        <f t="array" ref="J1343">IF($Q1343&gt;=0,IFERROR(generateSalesData($D1343, IF(ISNUMBER(_xlfn.XLOOKUP($C1343,Phone_by_Sentiment!$B$2:$B$37,Phone_by_Sentiment!J$2:J$37,"",0,1)),_xlfn.XLOOKUP($C1343,Phone_by_Sentiment!$B$2:$B$37,Phone_by_Sentiment!J$2:J$37,"",0,1),0),$A1343-TEXT(DATEVALUE($D1343&amp;"-01"), "dd-mm-yyyy")),0),0)</f>
        <v>-56</v>
      </c>
      <c r="K1343" cm="1">
        <f t="array" ref="K1343">IF($Q1343&gt;=0,IFERROR(generateSalesData($D1343, IF(ISNUMBER(_xlfn.XLOOKUP($C1343,Phone_by_Sentiment!$B$2:$B$37,Phone_by_Sentiment!K$2:K$37,"",0,1)),_xlfn.XLOOKUP($C1343,Phone_by_Sentiment!$B$2:$B$37,Phone_by_Sentiment!K$2:K$37,"",0,1),0),$A1343-TEXT(DATEVALUE($D1343&amp;"-01"), "dd-mm-yyyy")),0),0)</f>
        <v>166</v>
      </c>
      <c r="L1343" cm="1">
        <f t="array" ref="L1343">IF($Q1343&gt;=0,IFERROR(generateSalesData($D1343, IF(ISNUMBER(_xlfn.XLOOKUP($C1343,Phone_by_Sentiment!$B$2:$B$37,Phone_by_Sentiment!L$2:L$37,"",0,1)),_xlfn.XLOOKUP($C1343,Phone_by_Sentiment!$B$2:$B$37,Phone_by_Sentiment!L$2:L$37,"",0,1),0),$A1343-TEXT(DATEVALUE($D1343&amp;"-01"), "dd-mm-yyyy")),0),0)</f>
        <v>105</v>
      </c>
      <c r="M1343" cm="1">
        <f t="array" ref="M1343">IF($Q1343&gt;=0,IFERROR(generateSalesData($D1343, IF(ISNUMBER(_xlfn.XLOOKUP($C1343,Phone_by_Sentiment!$B$2:$B$37,Phone_by_Sentiment!M$2:M$37,"",0,1)),_xlfn.XLOOKUP($C1343,Phone_by_Sentiment!$B$2:$B$37,Phone_by_Sentiment!M$2:M$37,"",0,1),0),$A1343-TEXT(DATEVALUE($D1343&amp;"-01"), "dd-mm-yyyy")),0),0)</f>
        <v>98</v>
      </c>
      <c r="N1343" cm="1">
        <f t="array" ref="N1343">IF($Q1343&gt;=0,IFERROR(generateSalesData($D1343, IF(ISNUMBER(_xlfn.XLOOKUP($C1343,Phone_by_Sentiment!$B$2:$B$37,Phone_by_Sentiment!N$2:N$37,"",0,1)),_xlfn.XLOOKUP($C1343,Phone_by_Sentiment!$B$2:$B$37,Phone_by_Sentiment!N$2:N$37,"",0,1),0),$A1343-TEXT(DATEVALUE($D1343&amp;"-01"), "dd-mm-yyyy")),0),0)</f>
        <v>1544</v>
      </c>
      <c r="O1343" cm="1">
        <f t="array" ref="O1343">IF($Q1343&gt;=0,IFERROR(generateSalesData($D1343, IF(ISNUMBER(_xlfn.XLOOKUP($C1343,Phone_by_Sentiment!$B$2:$B$37,Phone_by_Sentiment!O$2:O$37,"",0,1)),_xlfn.XLOOKUP($C1343,Phone_by_Sentiment!$B$2:$B$37,Phone_by_Sentiment!O$2:O$37,"",0,1),0),$A1343-TEXT(DATEVALUE($D1343&amp;"-01"), "dd-mm-yyyy")),0),0)</f>
        <v>175</v>
      </c>
      <c r="P1343" s="1">
        <f t="shared" si="51"/>
        <v>44348</v>
      </c>
      <c r="Q1343">
        <f t="shared" si="53"/>
        <v>273</v>
      </c>
    </row>
    <row r="1344" spans="1:17" x14ac:dyDescent="0.25">
      <c r="A1344" s="1">
        <f t="shared" si="48"/>
        <v>44621</v>
      </c>
      <c r="B1344" t="s">
        <v>157</v>
      </c>
      <c r="C1344" t="str">
        <f>_xlfn.XLOOKUP(B1344,Phone_by_Price!$A$2:$A$34,Phone_by_Price!$B$2:$B$34,"-",0,1)</f>
        <v>Apple iPhone 13 Pro</v>
      </c>
      <c r="D1344" t="str">
        <f>_xlfn.XLOOKUP(C1344,Phone_by_Sentiment!$B$2:$B$37,Phone_by_Sentiment!$A$2:$A$37,"-",0,1)</f>
        <v>2021-09</v>
      </c>
      <c r="E1344" cm="1">
        <f t="array" ref="E1344">IF($Q1344&gt;=0,IFERROR(generateSalesData($D1344, IF(ISNUMBER(_xlfn.XLOOKUP($C1344,Phone_by_Sentiment!$B$2:$B$37,Phone_by_Sentiment!E$2:E$37,"",0,1)),_xlfn.XLOOKUP($C1344,Phone_by_Sentiment!$B$2:$B$37,Phone_by_Sentiment!E$2:E$37,"",0,1),0),$A1344-TEXT(DATEVALUE($D1344&amp;"-01"), "dd-mm-yyyy")),0),0)</f>
        <v>1310</v>
      </c>
      <c r="F1344" cm="1">
        <f t="array" ref="F1344">IF($Q1344&gt;=0,IFERROR(generateSalesData($D1344, IF(ISNUMBER(_xlfn.XLOOKUP($C1344,Phone_by_Sentiment!$B$2:$B$37,Phone_by_Sentiment!F$2:F$37,"",0,1)),_xlfn.XLOOKUP($C1344,Phone_by_Sentiment!$B$2:$B$37,Phone_by_Sentiment!F$2:F$37,"",0,1),0),$A1344-TEXT(DATEVALUE($D1344&amp;"-01"), "dd-mm-yyyy")),0),0)</f>
        <v>1228</v>
      </c>
      <c r="G1344" cm="1">
        <f t="array" ref="G1344">IF($Q1344&gt;=0,IFERROR(generateSalesData($D1344, IF(ISNUMBER(_xlfn.XLOOKUP($C1344,Phone_by_Sentiment!$B$2:$B$37,Phone_by_Sentiment!G$2:G$37,"",0,1)),_xlfn.XLOOKUP($C1344,Phone_by_Sentiment!$B$2:$B$37,Phone_by_Sentiment!G$2:G$37,"",0,1),0),$A1344-TEXT(DATEVALUE($D1344&amp;"-01"), "dd-mm-yyyy")),0),0)</f>
        <v>52</v>
      </c>
      <c r="H1344" cm="1">
        <f t="array" ref="H1344">IF($Q1344&gt;=0,IFERROR(generateSalesData($D1344, IF(ISNUMBER(_xlfn.XLOOKUP($C1344,Phone_by_Sentiment!$B$2:$B$37,Phone_by_Sentiment!H$2:H$37,"",0,1)),_xlfn.XLOOKUP($C1344,Phone_by_Sentiment!$B$2:$B$37,Phone_by_Sentiment!H$2:H$37,"",0,1),0),$A1344-TEXT(DATEVALUE($D1344&amp;"-01"), "dd-mm-yyyy")),0),0)</f>
        <v>617</v>
      </c>
      <c r="I1344" cm="1">
        <f t="array" ref="I1344">IF($Q1344&gt;=0,IFERROR(generateSalesData($D1344, IF(ISNUMBER(_xlfn.XLOOKUP($C1344,Phone_by_Sentiment!$B$2:$B$37,Phone_by_Sentiment!I$2:I$37,"",0,1)),_xlfn.XLOOKUP($C1344,Phone_by_Sentiment!$B$2:$B$37,Phone_by_Sentiment!I$2:I$37,"",0,1),0),$A1344-TEXT(DATEVALUE($D1344&amp;"-01"), "dd-mm-yyyy")),0),0)</f>
        <v>1502</v>
      </c>
      <c r="J1344" cm="1">
        <f t="array" ref="J1344">IF($Q1344&gt;=0,IFERROR(generateSalesData($D1344, IF(ISNUMBER(_xlfn.XLOOKUP($C1344,Phone_by_Sentiment!$B$2:$B$37,Phone_by_Sentiment!J$2:J$37,"",0,1)),_xlfn.XLOOKUP($C1344,Phone_by_Sentiment!$B$2:$B$37,Phone_by_Sentiment!J$2:J$37,"",0,1),0),$A1344-TEXT(DATEVALUE($D1344&amp;"-01"), "dd-mm-yyyy")),0),0)</f>
        <v>591</v>
      </c>
      <c r="K1344" cm="1">
        <f t="array" ref="K1344">IF($Q1344&gt;=0,IFERROR(generateSalesData($D1344, IF(ISNUMBER(_xlfn.XLOOKUP($C1344,Phone_by_Sentiment!$B$2:$B$37,Phone_by_Sentiment!K$2:K$37,"",0,1)),_xlfn.XLOOKUP($C1344,Phone_by_Sentiment!$B$2:$B$37,Phone_by_Sentiment!K$2:K$37,"",0,1),0),$A1344-TEXT(DATEVALUE($D1344&amp;"-01"), "dd-mm-yyyy")),0),0)</f>
        <v>2286</v>
      </c>
      <c r="L1344" cm="1">
        <f t="array" ref="L1344">IF($Q1344&gt;=0,IFERROR(generateSalesData($D1344, IF(ISNUMBER(_xlfn.XLOOKUP($C1344,Phone_by_Sentiment!$B$2:$B$37,Phone_by_Sentiment!L$2:L$37,"",0,1)),_xlfn.XLOOKUP($C1344,Phone_by_Sentiment!$B$2:$B$37,Phone_by_Sentiment!L$2:L$37,"",0,1),0),$A1344-TEXT(DATEVALUE($D1344&amp;"-01"), "dd-mm-yyyy")),0),0)</f>
        <v>707</v>
      </c>
      <c r="M1344" cm="1">
        <f t="array" ref="M1344">IF($Q1344&gt;=0,IFERROR(generateSalesData($D1344, IF(ISNUMBER(_xlfn.XLOOKUP($C1344,Phone_by_Sentiment!$B$2:$B$37,Phone_by_Sentiment!M$2:M$37,"",0,1)),_xlfn.XLOOKUP($C1344,Phone_by_Sentiment!$B$2:$B$37,Phone_by_Sentiment!M$2:M$37,"",0,1),0),$A1344-TEXT(DATEVALUE($D1344&amp;"-01"), "dd-mm-yyyy")),0),0)</f>
        <v>336</v>
      </c>
      <c r="N1344" cm="1">
        <f t="array" ref="N1344">IF($Q1344&gt;=0,IFERROR(generateSalesData($D1344, IF(ISNUMBER(_xlfn.XLOOKUP($C1344,Phone_by_Sentiment!$B$2:$B$37,Phone_by_Sentiment!N$2:N$37,"",0,1)),_xlfn.XLOOKUP($C1344,Phone_by_Sentiment!$B$2:$B$37,Phone_by_Sentiment!N$2:N$37,"",0,1),0),$A1344-TEXT(DATEVALUE($D1344&amp;"-01"), "dd-mm-yyyy")),0),0)</f>
        <v>1467</v>
      </c>
      <c r="O1344" cm="1">
        <f t="array" ref="O1344">IF($Q1344&gt;=0,IFERROR(generateSalesData($D1344, IF(ISNUMBER(_xlfn.XLOOKUP($C1344,Phone_by_Sentiment!$B$2:$B$37,Phone_by_Sentiment!O$2:O$37,"",0,1)),_xlfn.XLOOKUP($C1344,Phone_by_Sentiment!$B$2:$B$37,Phone_by_Sentiment!O$2:O$37,"",0,1),0),$A1344-TEXT(DATEVALUE($D1344&amp;"-01"), "dd-mm-yyyy")),0),0)</f>
        <v>240</v>
      </c>
      <c r="P1344" s="1">
        <f t="shared" si="51"/>
        <v>44440</v>
      </c>
      <c r="Q1344">
        <f t="shared" si="53"/>
        <v>181</v>
      </c>
    </row>
    <row r="1345" spans="1:17" x14ac:dyDescent="0.25">
      <c r="A1345" s="1">
        <f t="shared" si="48"/>
        <v>44621</v>
      </c>
      <c r="B1345" t="s">
        <v>158</v>
      </c>
      <c r="C1345" t="str">
        <f>_xlfn.XLOOKUP(B1345,Phone_by_Price!$A$2:$A$34,Phone_by_Price!$B$2:$B$34,"-",0,1)</f>
        <v>Samsung Galaxy A32 5G</v>
      </c>
      <c r="D1345" t="str">
        <f>_xlfn.XLOOKUP(C1345,Phone_by_Sentiment!$B$2:$B$37,Phone_by_Sentiment!$A$2:$A$37,"-",0,1)</f>
        <v>2021-02</v>
      </c>
      <c r="E1345" cm="1">
        <f t="array" ref="E1345">IF($Q1345&gt;=0,IFERROR(generateSalesData($D1345, IF(ISNUMBER(_xlfn.XLOOKUP($C1345,Phone_by_Sentiment!$B$2:$B$37,Phone_by_Sentiment!E$2:E$37,"",0,1)),_xlfn.XLOOKUP($C1345,Phone_by_Sentiment!$B$2:$B$37,Phone_by_Sentiment!E$2:E$37,"",0,1),0),$A1345-TEXT(DATEVALUE($D1345&amp;"-01"), "dd-mm-yyyy")),0),0)</f>
        <v>717</v>
      </c>
      <c r="F1345" cm="1">
        <f t="array" ref="F1345">IF($Q1345&gt;=0,IFERROR(generateSalesData($D1345, IF(ISNUMBER(_xlfn.XLOOKUP($C1345,Phone_by_Sentiment!$B$2:$B$37,Phone_by_Sentiment!F$2:F$37,"",0,1)),_xlfn.XLOOKUP($C1345,Phone_by_Sentiment!$B$2:$B$37,Phone_by_Sentiment!F$2:F$37,"",0,1),0),$A1345-TEXT(DATEVALUE($D1345&amp;"-01"), "dd-mm-yyyy")),0),0)</f>
        <v>828</v>
      </c>
      <c r="G1345" cm="1">
        <f t="array" ref="G1345">IF($Q1345&gt;=0,IFERROR(generateSalesData($D1345, IF(ISNUMBER(_xlfn.XLOOKUP($C1345,Phone_by_Sentiment!$B$2:$B$37,Phone_by_Sentiment!G$2:G$37,"",0,1)),_xlfn.XLOOKUP($C1345,Phone_by_Sentiment!$B$2:$B$37,Phone_by_Sentiment!G$2:G$37,"",0,1),0),$A1345-TEXT(DATEVALUE($D1345&amp;"-01"), "dd-mm-yyyy")),0),0)</f>
        <v>128</v>
      </c>
      <c r="H1345" cm="1">
        <f t="array" ref="H1345">IF($Q1345&gt;=0,IFERROR(generateSalesData($D1345, IF(ISNUMBER(_xlfn.XLOOKUP($C1345,Phone_by_Sentiment!$B$2:$B$37,Phone_by_Sentiment!H$2:H$37,"",0,1)),_xlfn.XLOOKUP($C1345,Phone_by_Sentiment!$B$2:$B$37,Phone_by_Sentiment!H$2:H$37,"",0,1),0),$A1345-TEXT(DATEVALUE($D1345&amp;"-01"), "dd-mm-yyyy")),0),0)</f>
        <v>594</v>
      </c>
      <c r="I1345" cm="1">
        <f t="array" ref="I1345">IF($Q1345&gt;=0,IFERROR(generateSalesData($D1345, IF(ISNUMBER(_xlfn.XLOOKUP($C1345,Phone_by_Sentiment!$B$2:$B$37,Phone_by_Sentiment!I$2:I$37,"",0,1)),_xlfn.XLOOKUP($C1345,Phone_by_Sentiment!$B$2:$B$37,Phone_by_Sentiment!I$2:I$37,"",0,1),0),$A1345-TEXT(DATEVALUE($D1345&amp;"-01"), "dd-mm-yyyy")),0),0)</f>
        <v>504</v>
      </c>
      <c r="J1345" cm="1">
        <f t="array" ref="J1345">IF($Q1345&gt;=0,IFERROR(generateSalesData($D1345, IF(ISNUMBER(_xlfn.XLOOKUP($C1345,Phone_by_Sentiment!$B$2:$B$37,Phone_by_Sentiment!J$2:J$37,"",0,1)),_xlfn.XLOOKUP($C1345,Phone_by_Sentiment!$B$2:$B$37,Phone_by_Sentiment!J$2:J$37,"",0,1),0),$A1345-TEXT(DATEVALUE($D1345&amp;"-01"), "dd-mm-yyyy")),0),0)</f>
        <v>426</v>
      </c>
      <c r="K1345" cm="1">
        <f t="array" ref="K1345">IF($Q1345&gt;=0,IFERROR(generateSalesData($D1345, IF(ISNUMBER(_xlfn.XLOOKUP($C1345,Phone_by_Sentiment!$B$2:$B$37,Phone_by_Sentiment!K$2:K$37,"",0,1)),_xlfn.XLOOKUP($C1345,Phone_by_Sentiment!$B$2:$B$37,Phone_by_Sentiment!K$2:K$37,"",0,1),0),$A1345-TEXT(DATEVALUE($D1345&amp;"-01"), "dd-mm-yyyy")),0),0)</f>
        <v>420</v>
      </c>
      <c r="L1345" cm="1">
        <f t="array" ref="L1345">IF($Q1345&gt;=0,IFERROR(generateSalesData($D1345, IF(ISNUMBER(_xlfn.XLOOKUP($C1345,Phone_by_Sentiment!$B$2:$B$37,Phone_by_Sentiment!L$2:L$37,"",0,1)),_xlfn.XLOOKUP($C1345,Phone_by_Sentiment!$B$2:$B$37,Phone_by_Sentiment!L$2:L$37,"",0,1),0),$A1345-TEXT(DATEVALUE($D1345&amp;"-01"), "dd-mm-yyyy")),0),0)</f>
        <v>980</v>
      </c>
      <c r="M1345" cm="1">
        <f t="array" ref="M1345">IF($Q1345&gt;=0,IFERROR(generateSalesData($D1345, IF(ISNUMBER(_xlfn.XLOOKUP($C1345,Phone_by_Sentiment!$B$2:$B$37,Phone_by_Sentiment!M$2:M$37,"",0,1)),_xlfn.XLOOKUP($C1345,Phone_by_Sentiment!$B$2:$B$37,Phone_by_Sentiment!M$2:M$37,"",0,1),0),$A1345-TEXT(DATEVALUE($D1345&amp;"-01"), "dd-mm-yyyy")),0),0)</f>
        <v>870</v>
      </c>
      <c r="N1345" cm="1">
        <f t="array" ref="N1345">IF($Q1345&gt;=0,IFERROR(generateSalesData($D1345, IF(ISNUMBER(_xlfn.XLOOKUP($C1345,Phone_by_Sentiment!$B$2:$B$37,Phone_by_Sentiment!N$2:N$37,"",0,1)),_xlfn.XLOOKUP($C1345,Phone_by_Sentiment!$B$2:$B$37,Phone_by_Sentiment!N$2:N$37,"",0,1),0),$A1345-TEXT(DATEVALUE($D1345&amp;"-01"), "dd-mm-yyyy")),0),0)</f>
        <v>780</v>
      </c>
      <c r="O1345" cm="1">
        <f t="array" ref="O1345">IF($Q1345&gt;=0,IFERROR(generateSalesData($D1345, IF(ISNUMBER(_xlfn.XLOOKUP($C1345,Phone_by_Sentiment!$B$2:$B$37,Phone_by_Sentiment!O$2:O$37,"",0,1)),_xlfn.XLOOKUP($C1345,Phone_by_Sentiment!$B$2:$B$37,Phone_by_Sentiment!O$2:O$37,"",0,1),0),$A1345-TEXT(DATEVALUE($D1345&amp;"-01"), "dd-mm-yyyy")),0),0)</f>
        <v>720</v>
      </c>
      <c r="P1345" s="1">
        <f t="shared" si="51"/>
        <v>44228</v>
      </c>
      <c r="Q1345">
        <f t="shared" si="53"/>
        <v>393</v>
      </c>
    </row>
    <row r="1346" spans="1:17" x14ac:dyDescent="0.25">
      <c r="A1346" s="1">
        <f t="shared" si="48"/>
        <v>44621</v>
      </c>
      <c r="B1346" t="s">
        <v>159</v>
      </c>
      <c r="C1346" t="str">
        <f>_xlfn.XLOOKUP(B1346,Phone_by_Price!$A$2:$A$34,Phone_by_Price!$B$2:$B$34,"-",0,1)</f>
        <v>Realme C25</v>
      </c>
      <c r="D1346" t="str">
        <f>_xlfn.XLOOKUP(C1346,Phone_by_Sentiment!$B$2:$B$37,Phone_by_Sentiment!$A$2:$A$37,"-",0,1)</f>
        <v>2021-03</v>
      </c>
      <c r="E1346" cm="1">
        <f t="array" ref="E1346">IF($Q1346&gt;=0,IFERROR(generateSalesData($D1346, IF(ISNUMBER(_xlfn.XLOOKUP($C1346,Phone_by_Sentiment!$B$2:$B$37,Phone_by_Sentiment!E$2:E$37,"",0,1)),_xlfn.XLOOKUP($C1346,Phone_by_Sentiment!$B$2:$B$37,Phone_by_Sentiment!E$2:E$37,"",0,1),0),$A1346-TEXT(DATEVALUE($D1346&amp;"-01"), "dd-mm-yyyy")),0),0)</f>
        <v>277</v>
      </c>
      <c r="F1346" cm="1">
        <f t="array" ref="F1346">IF($Q1346&gt;=0,IFERROR(generateSalesData($D1346, IF(ISNUMBER(_xlfn.XLOOKUP($C1346,Phone_by_Sentiment!$B$2:$B$37,Phone_by_Sentiment!F$2:F$37,"",0,1)),_xlfn.XLOOKUP($C1346,Phone_by_Sentiment!$B$2:$B$37,Phone_by_Sentiment!F$2:F$37,"",0,1),0),$A1346-TEXT(DATEVALUE($D1346&amp;"-01"), "dd-mm-yyyy")),0),0)</f>
        <v>377</v>
      </c>
      <c r="G1346" cm="1">
        <f t="array" ref="G1346">IF($Q1346&gt;=0,IFERROR(generateSalesData($D1346, IF(ISNUMBER(_xlfn.XLOOKUP($C1346,Phone_by_Sentiment!$B$2:$B$37,Phone_by_Sentiment!G$2:G$37,"",0,1)),_xlfn.XLOOKUP($C1346,Phone_by_Sentiment!$B$2:$B$37,Phone_by_Sentiment!G$2:G$37,"",0,1),0),$A1346-TEXT(DATEVALUE($D1346&amp;"-01"), "dd-mm-yyyy")),0),0)</f>
        <v>86</v>
      </c>
      <c r="H1346" cm="1">
        <f t="array" ref="H1346">IF($Q1346&gt;=0,IFERROR(generateSalesData($D1346, IF(ISNUMBER(_xlfn.XLOOKUP($C1346,Phone_by_Sentiment!$B$2:$B$37,Phone_by_Sentiment!H$2:H$37,"",0,1)),_xlfn.XLOOKUP($C1346,Phone_by_Sentiment!$B$2:$B$37,Phone_by_Sentiment!H$2:H$37,"",0,1),0),$A1346-TEXT(DATEVALUE($D1346&amp;"-01"), "dd-mm-yyyy")),0),0)</f>
        <v>568</v>
      </c>
      <c r="I1346" cm="1">
        <f t="array" ref="I1346">IF($Q1346&gt;=0,IFERROR(generateSalesData($D1346, IF(ISNUMBER(_xlfn.XLOOKUP($C1346,Phone_by_Sentiment!$B$2:$B$37,Phone_by_Sentiment!I$2:I$37,"",0,1)),_xlfn.XLOOKUP($C1346,Phone_by_Sentiment!$B$2:$B$37,Phone_by_Sentiment!I$2:I$37,"",0,1),0),$A1346-TEXT(DATEVALUE($D1346&amp;"-01"), "dd-mm-yyyy")),0),0)</f>
        <v>712</v>
      </c>
      <c r="J1346" cm="1">
        <f t="array" ref="J1346">IF($Q1346&gt;=0,IFERROR(generateSalesData($D1346, IF(ISNUMBER(_xlfn.XLOOKUP($C1346,Phone_by_Sentiment!$B$2:$B$37,Phone_by_Sentiment!J$2:J$37,"",0,1)),_xlfn.XLOOKUP($C1346,Phone_by_Sentiment!$B$2:$B$37,Phone_by_Sentiment!J$2:J$37,"",0,1),0),$A1346-TEXT(DATEVALUE($D1346&amp;"-01"), "dd-mm-yyyy")),0),0)</f>
        <v>142</v>
      </c>
      <c r="K1346" cm="1">
        <f t="array" ref="K1346">IF($Q1346&gt;=0,IFERROR(generateSalesData($D1346, IF(ISNUMBER(_xlfn.XLOOKUP($C1346,Phone_by_Sentiment!$B$2:$B$37,Phone_by_Sentiment!K$2:K$37,"",0,1)),_xlfn.XLOOKUP($C1346,Phone_by_Sentiment!$B$2:$B$37,Phone_by_Sentiment!K$2:K$37,"",0,1),0),$A1346-TEXT(DATEVALUE($D1346&amp;"-01"), "dd-mm-yyyy")),0),0)</f>
        <v>462</v>
      </c>
      <c r="L1346" cm="1">
        <f t="array" ref="L1346">IF($Q1346&gt;=0,IFERROR(generateSalesData($D1346, IF(ISNUMBER(_xlfn.XLOOKUP($C1346,Phone_by_Sentiment!$B$2:$B$37,Phone_by_Sentiment!L$2:L$37,"",0,1)),_xlfn.XLOOKUP($C1346,Phone_by_Sentiment!$B$2:$B$37,Phone_by_Sentiment!L$2:L$37,"",0,1),0),$A1346-TEXT(DATEVALUE($D1346&amp;"-01"), "dd-mm-yyyy")),0),0)</f>
        <v>618</v>
      </c>
      <c r="M1346" cm="1">
        <f t="array" ref="M1346">IF($Q1346&gt;=0,IFERROR(generateSalesData($D1346, IF(ISNUMBER(_xlfn.XLOOKUP($C1346,Phone_by_Sentiment!$B$2:$B$37,Phone_by_Sentiment!M$2:M$37,"",0,1)),_xlfn.XLOOKUP($C1346,Phone_by_Sentiment!$B$2:$B$37,Phone_by_Sentiment!M$2:M$37,"",0,1),0),$A1346-TEXT(DATEVALUE($D1346&amp;"-01"), "dd-mm-yyyy")),0),0)</f>
        <v>141</v>
      </c>
      <c r="N1346" cm="1">
        <f t="array" ref="N1346">IF($Q1346&gt;=0,IFERROR(generateSalesData($D1346, IF(ISNUMBER(_xlfn.XLOOKUP($C1346,Phone_by_Sentiment!$B$2:$B$37,Phone_by_Sentiment!N$2:N$37,"",0,1)),_xlfn.XLOOKUP($C1346,Phone_by_Sentiment!$B$2:$B$37,Phone_by_Sentiment!N$2:N$37,"",0,1),0),$A1346-TEXT(DATEVALUE($D1346&amp;"-01"), "dd-mm-yyyy")),0),0)</f>
        <v>899</v>
      </c>
      <c r="O1346" cm="1">
        <f t="array" ref="O1346">IF($Q1346&gt;=0,IFERROR(generateSalesData($D1346, IF(ISNUMBER(_xlfn.XLOOKUP($C1346,Phone_by_Sentiment!$B$2:$B$37,Phone_by_Sentiment!O$2:O$37,"",0,1)),_xlfn.XLOOKUP($C1346,Phone_by_Sentiment!$B$2:$B$37,Phone_by_Sentiment!O$2:O$37,"",0,1),0),$A1346-TEXT(DATEVALUE($D1346&amp;"-01"), "dd-mm-yyyy")),0),0)</f>
        <v>186</v>
      </c>
      <c r="P1346" s="1">
        <f t="shared" si="51"/>
        <v>44256</v>
      </c>
      <c r="Q1346">
        <f t="shared" si="53"/>
        <v>365</v>
      </c>
    </row>
    <row r="1347" spans="1:17" x14ac:dyDescent="0.25">
      <c r="A1347" s="1">
        <f t="shared" si="48"/>
        <v>44621</v>
      </c>
      <c r="B1347" t="s">
        <v>160</v>
      </c>
      <c r="C1347" t="str">
        <f>_xlfn.XLOOKUP(B1347,Phone_by_Price!$A$2:$A$34,Phone_by_Price!$B$2:$B$34,"-",0,1)</f>
        <v>Xiaomi Poco X3 Pro</v>
      </c>
      <c r="D1347" t="str">
        <f>_xlfn.XLOOKUP(C1347,Phone_by_Sentiment!$B$2:$B$37,Phone_by_Sentiment!$A$2:$A$37,"-",0,1)</f>
        <v>2021-05</v>
      </c>
      <c r="E1347" cm="1">
        <f t="array" ref="E1347">IF($Q1347&gt;=0,IFERROR(generateSalesData($D1347, IF(ISNUMBER(_xlfn.XLOOKUP($C1347,Phone_by_Sentiment!$B$2:$B$37,Phone_by_Sentiment!E$2:E$37,"",0,1)),_xlfn.XLOOKUP($C1347,Phone_by_Sentiment!$B$2:$B$37,Phone_by_Sentiment!E$2:E$37,"",0,1),0),$A1347-TEXT(DATEVALUE($D1347&amp;"-01"), "dd-mm-yyyy")),0),0)</f>
        <v>620</v>
      </c>
      <c r="F1347" cm="1">
        <f t="array" ref="F1347">IF($Q1347&gt;=0,IFERROR(generateSalesData($D1347, IF(ISNUMBER(_xlfn.XLOOKUP($C1347,Phone_by_Sentiment!$B$2:$B$37,Phone_by_Sentiment!F$2:F$37,"",0,1)),_xlfn.XLOOKUP($C1347,Phone_by_Sentiment!$B$2:$B$37,Phone_by_Sentiment!F$2:F$37,"",0,1),0),$A1347-TEXT(DATEVALUE($D1347&amp;"-01"), "dd-mm-yyyy")),0),0)</f>
        <v>343</v>
      </c>
      <c r="G1347" cm="1">
        <f t="array" ref="G1347">IF($Q1347&gt;=0,IFERROR(generateSalesData($D1347, IF(ISNUMBER(_xlfn.XLOOKUP($C1347,Phone_by_Sentiment!$B$2:$B$37,Phone_by_Sentiment!G$2:G$37,"",0,1)),_xlfn.XLOOKUP($C1347,Phone_by_Sentiment!$B$2:$B$37,Phone_by_Sentiment!G$2:G$37,"",0,1),0),$A1347-TEXT(DATEVALUE($D1347&amp;"-01"), "dd-mm-yyyy")),0),0)</f>
        <v>78</v>
      </c>
      <c r="H1347" cm="1">
        <f t="array" ref="H1347">IF($Q1347&gt;=0,IFERROR(generateSalesData($D1347, IF(ISNUMBER(_xlfn.XLOOKUP($C1347,Phone_by_Sentiment!$B$2:$B$37,Phone_by_Sentiment!H$2:H$37,"",0,1)),_xlfn.XLOOKUP($C1347,Phone_by_Sentiment!$B$2:$B$37,Phone_by_Sentiment!H$2:H$37,"",0,1),0),$A1347-TEXT(DATEVALUE($D1347&amp;"-01"), "dd-mm-yyyy")),0),0)</f>
        <v>220</v>
      </c>
      <c r="I1347" cm="1">
        <f t="array" ref="I1347">IF($Q1347&gt;=0,IFERROR(generateSalesData($D1347, IF(ISNUMBER(_xlfn.XLOOKUP($C1347,Phone_by_Sentiment!$B$2:$B$37,Phone_by_Sentiment!I$2:I$37,"",0,1)),_xlfn.XLOOKUP($C1347,Phone_by_Sentiment!$B$2:$B$37,Phone_by_Sentiment!I$2:I$37,"",0,1),0),$A1347-TEXT(DATEVALUE($D1347&amp;"-01"), "dd-mm-yyyy")),0),0)</f>
        <v>488</v>
      </c>
      <c r="J1347" cm="1">
        <f t="array" ref="J1347">IF($Q1347&gt;=0,IFERROR(generateSalesData($D1347, IF(ISNUMBER(_xlfn.XLOOKUP($C1347,Phone_by_Sentiment!$B$2:$B$37,Phone_by_Sentiment!J$2:J$37,"",0,1)),_xlfn.XLOOKUP($C1347,Phone_by_Sentiment!$B$2:$B$37,Phone_by_Sentiment!J$2:J$37,"",0,1),0),$A1347-TEXT(DATEVALUE($D1347&amp;"-01"), "dd-mm-yyyy")),0),0)</f>
        <v>374</v>
      </c>
      <c r="K1347" cm="1">
        <f t="array" ref="K1347">IF($Q1347&gt;=0,IFERROR(generateSalesData($D1347, IF(ISNUMBER(_xlfn.XLOOKUP($C1347,Phone_by_Sentiment!$B$2:$B$37,Phone_by_Sentiment!K$2:K$37,"",0,1)),_xlfn.XLOOKUP($C1347,Phone_by_Sentiment!$B$2:$B$37,Phone_by_Sentiment!K$2:K$37,"",0,1),0),$A1347-TEXT(DATEVALUE($D1347&amp;"-01"), "dd-mm-yyyy")),0),0)</f>
        <v>212</v>
      </c>
      <c r="L1347" cm="1">
        <f t="array" ref="L1347">IF($Q1347&gt;=0,IFERROR(generateSalesData($D1347, IF(ISNUMBER(_xlfn.XLOOKUP($C1347,Phone_by_Sentiment!$B$2:$B$37,Phone_by_Sentiment!L$2:L$37,"",0,1)),_xlfn.XLOOKUP($C1347,Phone_by_Sentiment!$B$2:$B$37,Phone_by_Sentiment!L$2:L$37,"",0,1),0),$A1347-TEXT(DATEVALUE($D1347&amp;"-01"), "dd-mm-yyyy")),0),0)</f>
        <v>92</v>
      </c>
      <c r="M1347" cm="1">
        <f t="array" ref="M1347">IF($Q1347&gt;=0,IFERROR(generateSalesData($D1347, IF(ISNUMBER(_xlfn.XLOOKUP($C1347,Phone_by_Sentiment!$B$2:$B$37,Phone_by_Sentiment!M$2:M$37,"",0,1)),_xlfn.XLOOKUP($C1347,Phone_by_Sentiment!$B$2:$B$37,Phone_by_Sentiment!M$2:M$37,"",0,1),0),$A1347-TEXT(DATEVALUE($D1347&amp;"-01"), "dd-mm-yyyy")),0),0)</f>
        <v>895</v>
      </c>
      <c r="N1347" cm="1">
        <f t="array" ref="N1347">IF($Q1347&gt;=0,IFERROR(generateSalesData($D1347, IF(ISNUMBER(_xlfn.XLOOKUP($C1347,Phone_by_Sentiment!$B$2:$B$37,Phone_by_Sentiment!N$2:N$37,"",0,1)),_xlfn.XLOOKUP($C1347,Phone_by_Sentiment!$B$2:$B$37,Phone_by_Sentiment!N$2:N$37,"",0,1),0),$A1347-TEXT(DATEVALUE($D1347&amp;"-01"), "dd-mm-yyyy")),0),0)</f>
        <v>224</v>
      </c>
      <c r="O1347" cm="1">
        <f t="array" ref="O1347">IF($Q1347&gt;=0,IFERROR(generateSalesData($D1347, IF(ISNUMBER(_xlfn.XLOOKUP($C1347,Phone_by_Sentiment!$B$2:$B$37,Phone_by_Sentiment!O$2:O$37,"",0,1)),_xlfn.XLOOKUP($C1347,Phone_by_Sentiment!$B$2:$B$37,Phone_by_Sentiment!O$2:O$37,"",0,1),0),$A1347-TEXT(DATEVALUE($D1347&amp;"-01"), "dd-mm-yyyy")),0),0)</f>
        <v>935</v>
      </c>
      <c r="P1347" s="1">
        <f t="shared" si="51"/>
        <v>44317</v>
      </c>
      <c r="Q1347">
        <f t="shared" si="53"/>
        <v>304</v>
      </c>
    </row>
    <row r="1348" spans="1:17" x14ac:dyDescent="0.25">
      <c r="A1348" s="1">
        <f t="shared" ref="A1348:A1411" si="54">DATE(YEAR($A$1), MONTH($A$1) + INT((ROW()-1)/35), DAY($A$1))</f>
        <v>44621</v>
      </c>
      <c r="B1348" t="s">
        <v>161</v>
      </c>
      <c r="C1348" t="str">
        <f>_xlfn.XLOOKUP(B1348,Phone_by_Price!$A$2:$A$34,Phone_by_Price!$B$2:$B$34,"-",0,1)</f>
        <v>Samsung Galaxy Z Flip 3</v>
      </c>
      <c r="D1348" t="str">
        <f>_xlfn.XLOOKUP(C1348,Phone_by_Sentiment!$B$2:$B$37,Phone_by_Sentiment!$A$2:$A$37,"-",0,1)</f>
        <v>2021-09</v>
      </c>
      <c r="E1348" cm="1">
        <f t="array" ref="E1348">IF($Q1348&gt;=0,IFERROR(generateSalesData($D1348, IF(ISNUMBER(_xlfn.XLOOKUP($C1348,Phone_by_Sentiment!$B$2:$B$37,Phone_by_Sentiment!E$2:E$37,"",0,1)),_xlfn.XLOOKUP($C1348,Phone_by_Sentiment!$B$2:$B$37,Phone_by_Sentiment!E$2:E$37,"",0,1),0),$A1348-TEXT(DATEVALUE($D1348&amp;"-01"), "dd-mm-yyyy")),0),0)</f>
        <v>1211</v>
      </c>
      <c r="F1348" cm="1">
        <f t="array" ref="F1348">IF($Q1348&gt;=0,IFERROR(generateSalesData($D1348, IF(ISNUMBER(_xlfn.XLOOKUP($C1348,Phone_by_Sentiment!$B$2:$B$37,Phone_by_Sentiment!F$2:F$37,"",0,1)),_xlfn.XLOOKUP($C1348,Phone_by_Sentiment!$B$2:$B$37,Phone_by_Sentiment!F$2:F$37,"",0,1),0),$A1348-TEXT(DATEVALUE($D1348&amp;"-01"), "dd-mm-yyyy")),0),0)</f>
        <v>1225</v>
      </c>
      <c r="G1348" cm="1">
        <f t="array" ref="G1348">IF($Q1348&gt;=0,IFERROR(generateSalesData($D1348, IF(ISNUMBER(_xlfn.XLOOKUP($C1348,Phone_by_Sentiment!$B$2:$B$37,Phone_by_Sentiment!G$2:G$37,"",0,1)),_xlfn.XLOOKUP($C1348,Phone_by_Sentiment!$B$2:$B$37,Phone_by_Sentiment!G$2:G$37,"",0,1),0),$A1348-TEXT(DATEVALUE($D1348&amp;"-01"), "dd-mm-yyyy")),0),0)</f>
        <v>710</v>
      </c>
      <c r="H1348" cm="1">
        <f t="array" ref="H1348">IF($Q1348&gt;=0,IFERROR(generateSalesData($D1348, IF(ISNUMBER(_xlfn.XLOOKUP($C1348,Phone_by_Sentiment!$B$2:$B$37,Phone_by_Sentiment!H$2:H$37,"",0,1)),_xlfn.XLOOKUP($C1348,Phone_by_Sentiment!$B$2:$B$37,Phone_by_Sentiment!H$2:H$37,"",0,1),0),$A1348-TEXT(DATEVALUE($D1348&amp;"-01"), "dd-mm-yyyy")),0),0)</f>
        <v>337</v>
      </c>
      <c r="I1348" cm="1">
        <f t="array" ref="I1348">IF($Q1348&gt;=0,IFERROR(generateSalesData($D1348, IF(ISNUMBER(_xlfn.XLOOKUP($C1348,Phone_by_Sentiment!$B$2:$B$37,Phone_by_Sentiment!I$2:I$37,"",0,1)),_xlfn.XLOOKUP($C1348,Phone_by_Sentiment!$B$2:$B$37,Phone_by_Sentiment!I$2:I$37,"",0,1),0),$A1348-TEXT(DATEVALUE($D1348&amp;"-01"), "dd-mm-yyyy")),0),0)</f>
        <v>2174</v>
      </c>
      <c r="J1348" cm="1">
        <f t="array" ref="J1348">IF($Q1348&gt;=0,IFERROR(generateSalesData($D1348, IF(ISNUMBER(_xlfn.XLOOKUP($C1348,Phone_by_Sentiment!$B$2:$B$37,Phone_by_Sentiment!J$2:J$37,"",0,1)),_xlfn.XLOOKUP($C1348,Phone_by_Sentiment!$B$2:$B$37,Phone_by_Sentiment!J$2:J$37,"",0,1),0),$A1348-TEXT(DATEVALUE($D1348&amp;"-01"), "dd-mm-yyyy")),0),0)</f>
        <v>1032</v>
      </c>
      <c r="K1348" cm="1">
        <f t="array" ref="K1348">IF($Q1348&gt;=0,IFERROR(generateSalesData($D1348, IF(ISNUMBER(_xlfn.XLOOKUP($C1348,Phone_by_Sentiment!$B$2:$B$37,Phone_by_Sentiment!K$2:K$37,"",0,1)),_xlfn.XLOOKUP($C1348,Phone_by_Sentiment!$B$2:$B$37,Phone_by_Sentiment!K$2:K$37,"",0,1),0),$A1348-TEXT(DATEVALUE($D1348&amp;"-01"), "dd-mm-yyyy")),0),0)</f>
        <v>1077</v>
      </c>
      <c r="L1348" cm="1">
        <f t="array" ref="L1348">IF($Q1348&gt;=0,IFERROR(generateSalesData($D1348, IF(ISNUMBER(_xlfn.XLOOKUP($C1348,Phone_by_Sentiment!$B$2:$B$37,Phone_by_Sentiment!L$2:L$37,"",0,1)),_xlfn.XLOOKUP($C1348,Phone_by_Sentiment!$B$2:$B$37,Phone_by_Sentiment!L$2:L$37,"",0,1),0),$A1348-TEXT(DATEVALUE($D1348&amp;"-01"), "dd-mm-yyyy")),0),0)</f>
        <v>1362</v>
      </c>
      <c r="M1348" cm="1">
        <f t="array" ref="M1348">IF($Q1348&gt;=0,IFERROR(generateSalesData($D1348, IF(ISNUMBER(_xlfn.XLOOKUP($C1348,Phone_by_Sentiment!$B$2:$B$37,Phone_by_Sentiment!M$2:M$37,"",0,1)),_xlfn.XLOOKUP($C1348,Phone_by_Sentiment!$B$2:$B$37,Phone_by_Sentiment!M$2:M$37,"",0,1),0),$A1348-TEXT(DATEVALUE($D1348&amp;"-01"), "dd-mm-yyyy")),0),0)</f>
        <v>1587</v>
      </c>
      <c r="N1348" cm="1">
        <f t="array" ref="N1348">IF($Q1348&gt;=0,IFERROR(generateSalesData($D1348, IF(ISNUMBER(_xlfn.XLOOKUP($C1348,Phone_by_Sentiment!$B$2:$B$37,Phone_by_Sentiment!N$2:N$37,"",0,1)),_xlfn.XLOOKUP($C1348,Phone_by_Sentiment!$B$2:$B$37,Phone_by_Sentiment!N$2:N$37,"",0,1),0),$A1348-TEXT(DATEVALUE($D1348&amp;"-01"), "dd-mm-yyyy")),0),0)</f>
        <v>1208</v>
      </c>
      <c r="O1348" cm="1">
        <f t="array" ref="O1348">IF($Q1348&gt;=0,IFERROR(generateSalesData($D1348, IF(ISNUMBER(_xlfn.XLOOKUP($C1348,Phone_by_Sentiment!$B$2:$B$37,Phone_by_Sentiment!O$2:O$37,"",0,1)),_xlfn.XLOOKUP($C1348,Phone_by_Sentiment!$B$2:$B$37,Phone_by_Sentiment!O$2:O$37,"",0,1),0),$A1348-TEXT(DATEVALUE($D1348&amp;"-01"), "dd-mm-yyyy")),0),0)</f>
        <v>96</v>
      </c>
      <c r="P1348" s="1">
        <f t="shared" si="51"/>
        <v>44440</v>
      </c>
      <c r="Q1348">
        <f t="shared" ref="Q1348:Q1411" si="55">A1348-P1348</f>
        <v>181</v>
      </c>
    </row>
    <row r="1349" spans="1:17" x14ac:dyDescent="0.25">
      <c r="A1349" s="1">
        <f t="shared" si="54"/>
        <v>44621</v>
      </c>
      <c r="B1349" t="s">
        <v>162</v>
      </c>
      <c r="C1349" t="str">
        <f>_xlfn.XLOOKUP(B1349,Phone_by_Price!$A$2:$A$34,Phone_by_Price!$B$2:$B$34,"-",0,1)</f>
        <v>Xiaomi Poco X3 NFC</v>
      </c>
      <c r="D1349" t="str">
        <f>_xlfn.XLOOKUP(C1349,Phone_by_Sentiment!$B$2:$B$37,Phone_by_Sentiment!$A$2:$A$37,"-",0,1)</f>
        <v>2020-08</v>
      </c>
      <c r="E1349" cm="1">
        <f t="array" ref="E1349">IF($Q1349&gt;=0,IFERROR(generateSalesData($D1349, IF(ISNUMBER(_xlfn.XLOOKUP($C1349,Phone_by_Sentiment!$B$2:$B$37,Phone_by_Sentiment!E$2:E$37,"",0,1)),_xlfn.XLOOKUP($C1349,Phone_by_Sentiment!$B$2:$B$37,Phone_by_Sentiment!E$2:E$37,"",0,1),0),$A1349-TEXT(DATEVALUE($D1349&amp;"-01"), "dd-mm-yyyy")),0),0)</f>
        <v>80</v>
      </c>
      <c r="F1349" cm="1">
        <f t="array" ref="F1349">IF($Q1349&gt;=0,IFERROR(generateSalesData($D1349, IF(ISNUMBER(_xlfn.XLOOKUP($C1349,Phone_by_Sentiment!$B$2:$B$37,Phone_by_Sentiment!F$2:F$37,"",0,1)),_xlfn.XLOOKUP($C1349,Phone_by_Sentiment!$B$2:$B$37,Phone_by_Sentiment!F$2:F$37,"",0,1),0),$A1349-TEXT(DATEVALUE($D1349&amp;"-01"), "dd-mm-yyyy")),0),0)</f>
        <v>92</v>
      </c>
      <c r="G1349" cm="1">
        <f t="array" ref="G1349">IF($Q1349&gt;=0,IFERROR(generateSalesData($D1349, IF(ISNUMBER(_xlfn.XLOOKUP($C1349,Phone_by_Sentiment!$B$2:$B$37,Phone_by_Sentiment!G$2:G$37,"",0,1)),_xlfn.XLOOKUP($C1349,Phone_by_Sentiment!$B$2:$B$37,Phone_by_Sentiment!G$2:G$37,"",0,1),0),$A1349-TEXT(DATEVALUE($D1349&amp;"-01"), "dd-mm-yyyy")),0),0)</f>
        <v>169</v>
      </c>
      <c r="H1349" cm="1">
        <f t="array" ref="H1349">IF($Q1349&gt;=0,IFERROR(generateSalesData($D1349, IF(ISNUMBER(_xlfn.XLOOKUP($C1349,Phone_by_Sentiment!$B$2:$B$37,Phone_by_Sentiment!H$2:H$37,"",0,1)),_xlfn.XLOOKUP($C1349,Phone_by_Sentiment!$B$2:$B$37,Phone_by_Sentiment!H$2:H$37,"",0,1),0),$A1349-TEXT(DATEVALUE($D1349&amp;"-01"), "dd-mm-yyyy")),0),0)</f>
        <v>290</v>
      </c>
      <c r="I1349" cm="1">
        <f t="array" ref="I1349">IF($Q1349&gt;=0,IFERROR(generateSalesData($D1349, IF(ISNUMBER(_xlfn.XLOOKUP($C1349,Phone_by_Sentiment!$B$2:$B$37,Phone_by_Sentiment!I$2:I$37,"",0,1)),_xlfn.XLOOKUP($C1349,Phone_by_Sentiment!$B$2:$B$37,Phone_by_Sentiment!I$2:I$37,"",0,1),0),$A1349-TEXT(DATEVALUE($D1349&amp;"-01"), "dd-mm-yyyy")),0),0)</f>
        <v>81</v>
      </c>
      <c r="J1349" cm="1">
        <f t="array" ref="J1349">IF($Q1349&gt;=0,IFERROR(generateSalesData($D1349, IF(ISNUMBER(_xlfn.XLOOKUP($C1349,Phone_by_Sentiment!$B$2:$B$37,Phone_by_Sentiment!J$2:J$37,"",0,1)),_xlfn.XLOOKUP($C1349,Phone_by_Sentiment!$B$2:$B$37,Phone_by_Sentiment!J$2:J$37,"",0,1),0),$A1349-TEXT(DATEVALUE($D1349&amp;"-01"), "dd-mm-yyyy")),0),0)</f>
        <v>94</v>
      </c>
      <c r="K1349" cm="1">
        <f t="array" ref="K1349">IF($Q1349&gt;=0,IFERROR(generateSalesData($D1349, IF(ISNUMBER(_xlfn.XLOOKUP($C1349,Phone_by_Sentiment!$B$2:$B$37,Phone_by_Sentiment!K$2:K$37,"",0,1)),_xlfn.XLOOKUP($C1349,Phone_by_Sentiment!$B$2:$B$37,Phone_by_Sentiment!K$2:K$37,"",0,1),0),$A1349-TEXT(DATEVALUE($D1349&amp;"-01"), "dd-mm-yyyy")),0),0)</f>
        <v>616</v>
      </c>
      <c r="L1349" cm="1">
        <f t="array" ref="L1349">IF($Q1349&gt;=0,IFERROR(generateSalesData($D1349, IF(ISNUMBER(_xlfn.XLOOKUP($C1349,Phone_by_Sentiment!$B$2:$B$37,Phone_by_Sentiment!L$2:L$37,"",0,1)),_xlfn.XLOOKUP($C1349,Phone_by_Sentiment!$B$2:$B$37,Phone_by_Sentiment!L$2:L$37,"",0,1),0),$A1349-TEXT(DATEVALUE($D1349&amp;"-01"), "dd-mm-yyyy")),0),0)</f>
        <v>98</v>
      </c>
      <c r="M1349" cm="1">
        <f t="array" ref="M1349">IF($Q1349&gt;=0,IFERROR(generateSalesData($D1349, IF(ISNUMBER(_xlfn.XLOOKUP($C1349,Phone_by_Sentiment!$B$2:$B$37,Phone_by_Sentiment!M$2:M$37,"",0,1)),_xlfn.XLOOKUP($C1349,Phone_by_Sentiment!$B$2:$B$37,Phone_by_Sentiment!M$2:M$37,"",0,1),0),$A1349-TEXT(DATEVALUE($D1349&amp;"-01"), "dd-mm-yyyy")),0),0)</f>
        <v>687</v>
      </c>
      <c r="N1349" cm="1">
        <f t="array" ref="N1349">IF($Q1349&gt;=0,IFERROR(generateSalesData($D1349, IF(ISNUMBER(_xlfn.XLOOKUP($C1349,Phone_by_Sentiment!$B$2:$B$37,Phone_by_Sentiment!N$2:N$37,"",0,1)),_xlfn.XLOOKUP($C1349,Phone_by_Sentiment!$B$2:$B$37,Phone_by_Sentiment!N$2:N$37,"",0,1),0),$A1349-TEXT(DATEVALUE($D1349&amp;"-01"), "dd-mm-yyyy")),0),0)</f>
        <v>154</v>
      </c>
      <c r="O1349" cm="1">
        <f t="array" ref="O1349">IF($Q1349&gt;=0,IFERROR(generateSalesData($D1349, IF(ISNUMBER(_xlfn.XLOOKUP($C1349,Phone_by_Sentiment!$B$2:$B$37,Phone_by_Sentiment!O$2:O$37,"",0,1)),_xlfn.XLOOKUP($C1349,Phone_by_Sentiment!$B$2:$B$37,Phone_by_Sentiment!O$2:O$37,"",0,1),0),$A1349-TEXT(DATEVALUE($D1349&amp;"-01"), "dd-mm-yyyy")),0),0)</f>
        <v>421</v>
      </c>
      <c r="P1349" s="1">
        <f t="shared" si="51"/>
        <v>44044</v>
      </c>
      <c r="Q1349">
        <f t="shared" si="55"/>
        <v>577</v>
      </c>
    </row>
    <row r="1350" spans="1:17" x14ac:dyDescent="0.25">
      <c r="A1350" s="1">
        <f t="shared" si="54"/>
        <v>44621</v>
      </c>
      <c r="B1350" t="s">
        <v>163</v>
      </c>
      <c r="C1350" t="str">
        <f>_xlfn.XLOOKUP(B1350,Phone_by_Price!$A$2:$A$34,Phone_by_Price!$B$2:$B$34,"-",0,1)</f>
        <v>OPPO A93</v>
      </c>
      <c r="D1350" t="str">
        <f>_xlfn.XLOOKUP(C1350,Phone_by_Sentiment!$B$2:$B$37,Phone_by_Sentiment!$A$2:$A$37,"-",0,1)</f>
        <v>2021-02</v>
      </c>
      <c r="E1350" cm="1">
        <f t="array" ref="E1350">IF($Q1350&gt;=0,IFERROR(generateSalesData($D1350, IF(ISNUMBER(_xlfn.XLOOKUP($C1350,Phone_by_Sentiment!$B$2:$B$37,Phone_by_Sentiment!E$2:E$37,"",0,1)),_xlfn.XLOOKUP($C1350,Phone_by_Sentiment!$B$2:$B$37,Phone_by_Sentiment!E$2:E$37,"",0,1),0),$A1350-TEXT(DATEVALUE($D1350&amp;"-01"), "dd-mm-yyyy")),0),0)</f>
        <v>494</v>
      </c>
      <c r="F1350" cm="1">
        <f t="array" ref="F1350">IF($Q1350&gt;=0,IFERROR(generateSalesData($D1350, IF(ISNUMBER(_xlfn.XLOOKUP($C1350,Phone_by_Sentiment!$B$2:$B$37,Phone_by_Sentiment!F$2:F$37,"",0,1)),_xlfn.XLOOKUP($C1350,Phone_by_Sentiment!$B$2:$B$37,Phone_by_Sentiment!F$2:F$37,"",0,1),0),$A1350-TEXT(DATEVALUE($D1350&amp;"-01"), "dd-mm-yyyy")),0),0)</f>
        <v>222</v>
      </c>
      <c r="G1350" cm="1">
        <f t="array" ref="G1350">IF($Q1350&gt;=0,IFERROR(generateSalesData($D1350, IF(ISNUMBER(_xlfn.XLOOKUP($C1350,Phone_by_Sentiment!$B$2:$B$37,Phone_by_Sentiment!G$2:G$37,"",0,1)),_xlfn.XLOOKUP($C1350,Phone_by_Sentiment!$B$2:$B$37,Phone_by_Sentiment!G$2:G$37,"",0,1),0),$A1350-TEXT(DATEVALUE($D1350&amp;"-01"), "dd-mm-yyyy")),0),0)</f>
        <v>211</v>
      </c>
      <c r="H1350" cm="1">
        <f t="array" ref="H1350">IF($Q1350&gt;=0,IFERROR(generateSalesData($D1350, IF(ISNUMBER(_xlfn.XLOOKUP($C1350,Phone_by_Sentiment!$B$2:$B$37,Phone_by_Sentiment!H$2:H$37,"",0,1)),_xlfn.XLOOKUP($C1350,Phone_by_Sentiment!$B$2:$B$37,Phone_by_Sentiment!H$2:H$37,"",0,1),0),$A1350-TEXT(DATEVALUE($D1350&amp;"-01"), "dd-mm-yyyy")),0),0)</f>
        <v>709</v>
      </c>
      <c r="I1350" cm="1">
        <f t="array" ref="I1350">IF($Q1350&gt;=0,IFERROR(generateSalesData($D1350, IF(ISNUMBER(_xlfn.XLOOKUP($C1350,Phone_by_Sentiment!$B$2:$B$37,Phone_by_Sentiment!I$2:I$37,"",0,1)),_xlfn.XLOOKUP($C1350,Phone_by_Sentiment!$B$2:$B$37,Phone_by_Sentiment!I$2:I$37,"",0,1),0),$A1350-TEXT(DATEVALUE($D1350&amp;"-01"), "dd-mm-yyyy")),0),0)</f>
        <v>581</v>
      </c>
      <c r="J1350" cm="1">
        <f t="array" ref="J1350">IF($Q1350&gt;=0,IFERROR(generateSalesData($D1350, IF(ISNUMBER(_xlfn.XLOOKUP($C1350,Phone_by_Sentiment!$B$2:$B$37,Phone_by_Sentiment!J$2:J$37,"",0,1)),_xlfn.XLOOKUP($C1350,Phone_by_Sentiment!$B$2:$B$37,Phone_by_Sentiment!J$2:J$37,"",0,1),0),$A1350-TEXT(DATEVALUE($D1350&amp;"-01"), "dd-mm-yyyy")),0),0)</f>
        <v>135</v>
      </c>
      <c r="K1350" cm="1">
        <f t="array" ref="K1350">IF($Q1350&gt;=0,IFERROR(generateSalesData($D1350, IF(ISNUMBER(_xlfn.XLOOKUP($C1350,Phone_by_Sentiment!$B$2:$B$37,Phone_by_Sentiment!K$2:K$37,"",0,1)),_xlfn.XLOOKUP($C1350,Phone_by_Sentiment!$B$2:$B$37,Phone_by_Sentiment!K$2:K$37,"",0,1),0),$A1350-TEXT(DATEVALUE($D1350&amp;"-01"), "dd-mm-yyyy")),0),0)</f>
        <v>128</v>
      </c>
      <c r="L1350" cm="1">
        <f t="array" ref="L1350">IF($Q1350&gt;=0,IFERROR(generateSalesData($D1350, IF(ISNUMBER(_xlfn.XLOOKUP($C1350,Phone_by_Sentiment!$B$2:$B$37,Phone_by_Sentiment!L$2:L$37,"",0,1)),_xlfn.XLOOKUP($C1350,Phone_by_Sentiment!$B$2:$B$37,Phone_by_Sentiment!L$2:L$37,"",0,1),0),$A1350-TEXT(DATEVALUE($D1350&amp;"-01"), "dd-mm-yyyy")),0),0)</f>
        <v>76</v>
      </c>
      <c r="M1350" cm="1">
        <f t="array" ref="M1350">IF($Q1350&gt;=0,IFERROR(generateSalesData($D1350, IF(ISNUMBER(_xlfn.XLOOKUP($C1350,Phone_by_Sentiment!$B$2:$B$37,Phone_by_Sentiment!M$2:M$37,"",0,1)),_xlfn.XLOOKUP($C1350,Phone_by_Sentiment!$B$2:$B$37,Phone_by_Sentiment!M$2:M$37,"",0,1),0),$A1350-TEXT(DATEVALUE($D1350&amp;"-01"), "dd-mm-yyyy")),0),0)</f>
        <v>308</v>
      </c>
      <c r="N1350" cm="1">
        <f t="array" ref="N1350">IF($Q1350&gt;=0,IFERROR(generateSalesData($D1350, IF(ISNUMBER(_xlfn.XLOOKUP($C1350,Phone_by_Sentiment!$B$2:$B$37,Phone_by_Sentiment!N$2:N$37,"",0,1)),_xlfn.XLOOKUP($C1350,Phone_by_Sentiment!$B$2:$B$37,Phone_by_Sentiment!N$2:N$37,"",0,1),0),$A1350-TEXT(DATEVALUE($D1350&amp;"-01"), "dd-mm-yyyy")),0),0)</f>
        <v>856</v>
      </c>
      <c r="O1350" cm="1">
        <f t="array" ref="O1350">IF($Q1350&gt;=0,IFERROR(generateSalesData($D1350, IF(ISNUMBER(_xlfn.XLOOKUP($C1350,Phone_by_Sentiment!$B$2:$B$37,Phone_by_Sentiment!O$2:O$37,"",0,1)),_xlfn.XLOOKUP($C1350,Phone_by_Sentiment!$B$2:$B$37,Phone_by_Sentiment!O$2:O$37,"",0,1),0),$A1350-TEXT(DATEVALUE($D1350&amp;"-01"), "dd-mm-yyyy")),0),0)</f>
        <v>204</v>
      </c>
      <c r="P1350" s="1">
        <f t="shared" si="51"/>
        <v>44228</v>
      </c>
      <c r="Q1350">
        <f t="shared" si="55"/>
        <v>393</v>
      </c>
    </row>
    <row r="1351" spans="1:17" x14ac:dyDescent="0.25">
      <c r="A1351" s="1">
        <f t="shared" si="54"/>
        <v>44621</v>
      </c>
      <c r="B1351" t="s">
        <v>164</v>
      </c>
      <c r="C1351" t="str">
        <f>_xlfn.XLOOKUP(B1351,Phone_by_Price!$A$2:$A$34,Phone_by_Price!$B$2:$B$34,"-",0,1)</f>
        <v>Vivo V20</v>
      </c>
      <c r="D1351" t="str">
        <f>_xlfn.XLOOKUP(C1351,Phone_by_Sentiment!$B$2:$B$37,Phone_by_Sentiment!$A$2:$A$37,"-",0,1)</f>
        <v>2020-10</v>
      </c>
      <c r="E1351" cm="1">
        <f t="array" ref="E1351">IF($Q1351&gt;=0,IFERROR(generateSalesData($D1351, IF(ISNUMBER(_xlfn.XLOOKUP($C1351,Phone_by_Sentiment!$B$2:$B$37,Phone_by_Sentiment!E$2:E$37,"",0,1)),_xlfn.XLOOKUP($C1351,Phone_by_Sentiment!$B$2:$B$37,Phone_by_Sentiment!E$2:E$37,"",0,1),0),$A1351-TEXT(DATEVALUE($D1351&amp;"-01"), "dd-mm-yyyy")),0),0)</f>
        <v>785</v>
      </c>
      <c r="F1351" cm="1">
        <f t="array" ref="F1351">IF($Q1351&gt;=0,IFERROR(generateSalesData($D1351, IF(ISNUMBER(_xlfn.XLOOKUP($C1351,Phone_by_Sentiment!$B$2:$B$37,Phone_by_Sentiment!F$2:F$37,"",0,1)),_xlfn.XLOOKUP($C1351,Phone_by_Sentiment!$B$2:$B$37,Phone_by_Sentiment!F$2:F$37,"",0,1),0),$A1351-TEXT(DATEVALUE($D1351&amp;"-01"), "dd-mm-yyyy")),0),0)</f>
        <v>82</v>
      </c>
      <c r="G1351" cm="1">
        <f t="array" ref="G1351">IF($Q1351&gt;=0,IFERROR(generateSalesData($D1351, IF(ISNUMBER(_xlfn.XLOOKUP($C1351,Phone_by_Sentiment!$B$2:$B$37,Phone_by_Sentiment!G$2:G$37,"",0,1)),_xlfn.XLOOKUP($C1351,Phone_by_Sentiment!$B$2:$B$37,Phone_by_Sentiment!G$2:G$37,"",0,1),0),$A1351-TEXT(DATEVALUE($D1351&amp;"-01"), "dd-mm-yyyy")),0),0)</f>
        <v>123</v>
      </c>
      <c r="H1351" cm="1">
        <f t="array" ref="H1351">IF($Q1351&gt;=0,IFERROR(generateSalesData($D1351, IF(ISNUMBER(_xlfn.XLOOKUP($C1351,Phone_by_Sentiment!$B$2:$B$37,Phone_by_Sentiment!H$2:H$37,"",0,1)),_xlfn.XLOOKUP($C1351,Phone_by_Sentiment!$B$2:$B$37,Phone_by_Sentiment!H$2:H$37,"",0,1),0),$A1351-TEXT(DATEVALUE($D1351&amp;"-01"), "dd-mm-yyyy")),0),0)</f>
        <v>120</v>
      </c>
      <c r="I1351" cm="1">
        <f t="array" ref="I1351">IF($Q1351&gt;=0,IFERROR(generateSalesData($D1351, IF(ISNUMBER(_xlfn.XLOOKUP($C1351,Phone_by_Sentiment!$B$2:$B$37,Phone_by_Sentiment!I$2:I$37,"",0,1)),_xlfn.XLOOKUP($C1351,Phone_by_Sentiment!$B$2:$B$37,Phone_by_Sentiment!I$2:I$37,"",0,1),0),$A1351-TEXT(DATEVALUE($D1351&amp;"-01"), "dd-mm-yyyy")),0),0)</f>
        <v>102</v>
      </c>
      <c r="J1351" cm="1">
        <f t="array" ref="J1351">IF($Q1351&gt;=0,IFERROR(generateSalesData($D1351, IF(ISNUMBER(_xlfn.XLOOKUP($C1351,Phone_by_Sentiment!$B$2:$B$37,Phone_by_Sentiment!J$2:J$37,"",0,1)),_xlfn.XLOOKUP($C1351,Phone_by_Sentiment!$B$2:$B$37,Phone_by_Sentiment!J$2:J$37,"",0,1),0),$A1351-TEXT(DATEVALUE($D1351&amp;"-01"), "dd-mm-yyyy")),0),0)</f>
        <v>237</v>
      </c>
      <c r="K1351" cm="1">
        <f t="array" ref="K1351">IF($Q1351&gt;=0,IFERROR(generateSalesData($D1351, IF(ISNUMBER(_xlfn.XLOOKUP($C1351,Phone_by_Sentiment!$B$2:$B$37,Phone_by_Sentiment!K$2:K$37,"",0,1)),_xlfn.XLOOKUP($C1351,Phone_by_Sentiment!$B$2:$B$37,Phone_by_Sentiment!K$2:K$37,"",0,1),0),$A1351-TEXT(DATEVALUE($D1351&amp;"-01"), "dd-mm-yyyy")),0),0)</f>
        <v>132</v>
      </c>
      <c r="L1351" cm="1">
        <f t="array" ref="L1351">IF($Q1351&gt;=0,IFERROR(generateSalesData($D1351, IF(ISNUMBER(_xlfn.XLOOKUP($C1351,Phone_by_Sentiment!$B$2:$B$37,Phone_by_Sentiment!L$2:L$37,"",0,1)),_xlfn.XLOOKUP($C1351,Phone_by_Sentiment!$B$2:$B$37,Phone_by_Sentiment!L$2:L$37,"",0,1),0),$A1351-TEXT(DATEVALUE($D1351&amp;"-01"), "dd-mm-yyyy")),0),0)</f>
        <v>83</v>
      </c>
      <c r="M1351" cm="1">
        <f t="array" ref="M1351">IF($Q1351&gt;=0,IFERROR(generateSalesData($D1351, IF(ISNUMBER(_xlfn.XLOOKUP($C1351,Phone_by_Sentiment!$B$2:$B$37,Phone_by_Sentiment!M$2:M$37,"",0,1)),_xlfn.XLOOKUP($C1351,Phone_by_Sentiment!$B$2:$B$37,Phone_by_Sentiment!M$2:M$37,"",0,1),0),$A1351-TEXT(DATEVALUE($D1351&amp;"-01"), "dd-mm-yyyy")),0),0)</f>
        <v>190</v>
      </c>
      <c r="N1351" cm="1">
        <f t="array" ref="N1351">IF($Q1351&gt;=0,IFERROR(generateSalesData($D1351, IF(ISNUMBER(_xlfn.XLOOKUP($C1351,Phone_by_Sentiment!$B$2:$B$37,Phone_by_Sentiment!N$2:N$37,"",0,1)),_xlfn.XLOOKUP($C1351,Phone_by_Sentiment!$B$2:$B$37,Phone_by_Sentiment!N$2:N$37,"",0,1),0),$A1351-TEXT(DATEVALUE($D1351&amp;"-01"), "dd-mm-yyyy")),0),0)</f>
        <v>71</v>
      </c>
      <c r="O1351" cm="1">
        <f t="array" ref="O1351">IF($Q1351&gt;=0,IFERROR(generateSalesData($D1351, IF(ISNUMBER(_xlfn.XLOOKUP($C1351,Phone_by_Sentiment!$B$2:$B$37,Phone_by_Sentiment!O$2:O$37,"",0,1)),_xlfn.XLOOKUP($C1351,Phone_by_Sentiment!$B$2:$B$37,Phone_by_Sentiment!O$2:O$37,"",0,1),0),$A1351-TEXT(DATEVALUE($D1351&amp;"-01"), "dd-mm-yyyy")),0),0)</f>
        <v>119</v>
      </c>
      <c r="P1351" s="1">
        <f t="shared" si="51"/>
        <v>44105</v>
      </c>
      <c r="Q1351">
        <f t="shared" si="55"/>
        <v>516</v>
      </c>
    </row>
    <row r="1352" spans="1:17" x14ac:dyDescent="0.25">
      <c r="A1352" s="1">
        <f t="shared" si="54"/>
        <v>44621</v>
      </c>
      <c r="B1352" t="s">
        <v>165</v>
      </c>
      <c r="C1352" t="str">
        <f>_xlfn.XLOOKUP(B1352,Phone_by_Price!$A$2:$A$34,Phone_by_Price!$B$2:$B$34,"-",0,1)</f>
        <v>Samsung Galaxy A50</v>
      </c>
      <c r="D1352" t="str">
        <f>_xlfn.XLOOKUP(C1352,Phone_by_Sentiment!$B$2:$B$37,Phone_by_Sentiment!$A$2:$A$37,"-",0,1)</f>
        <v>2019-05</v>
      </c>
      <c r="E1352" cm="1">
        <f t="array" ref="E1352">IF($Q1352&gt;=0,IFERROR(generateSalesData($D1352, IF(ISNUMBER(_xlfn.XLOOKUP($C1352,Phone_by_Sentiment!$B$2:$B$37,Phone_by_Sentiment!E$2:E$37,"",0,1)),_xlfn.XLOOKUP($C1352,Phone_by_Sentiment!$B$2:$B$37,Phone_by_Sentiment!E$2:E$37,"",0,1),0),$A1352-TEXT(DATEVALUE($D1352&amp;"-01"), "dd-mm-yyyy")),0),0)</f>
        <v>315</v>
      </c>
      <c r="F1352" cm="1">
        <f t="array" ref="F1352">IF($Q1352&gt;=0,IFERROR(generateSalesData($D1352, IF(ISNUMBER(_xlfn.XLOOKUP($C1352,Phone_by_Sentiment!$B$2:$B$37,Phone_by_Sentiment!F$2:F$37,"",0,1)),_xlfn.XLOOKUP($C1352,Phone_by_Sentiment!$B$2:$B$37,Phone_by_Sentiment!F$2:F$37,"",0,1),0),$A1352-TEXT(DATEVALUE($D1352&amp;"-01"), "dd-mm-yyyy")),0),0)</f>
        <v>63</v>
      </c>
      <c r="G1352" cm="1">
        <f t="array" ref="G1352">IF($Q1352&gt;=0,IFERROR(generateSalesData($D1352, IF(ISNUMBER(_xlfn.XLOOKUP($C1352,Phone_by_Sentiment!$B$2:$B$37,Phone_by_Sentiment!G$2:G$37,"",0,1)),_xlfn.XLOOKUP($C1352,Phone_by_Sentiment!$B$2:$B$37,Phone_by_Sentiment!G$2:G$37,"",0,1),0),$A1352-TEXT(DATEVALUE($D1352&amp;"-01"), "dd-mm-yyyy")),0),0)</f>
        <v>84</v>
      </c>
      <c r="H1352" cm="1">
        <f t="array" ref="H1352">IF($Q1352&gt;=0,IFERROR(generateSalesData($D1352, IF(ISNUMBER(_xlfn.XLOOKUP($C1352,Phone_by_Sentiment!$B$2:$B$37,Phone_by_Sentiment!H$2:H$37,"",0,1)),_xlfn.XLOOKUP($C1352,Phone_by_Sentiment!$B$2:$B$37,Phone_by_Sentiment!H$2:H$37,"",0,1),0),$A1352-TEXT(DATEVALUE($D1352&amp;"-01"), "dd-mm-yyyy")),0),0)</f>
        <v>355</v>
      </c>
      <c r="I1352" cm="1">
        <f t="array" ref="I1352">IF($Q1352&gt;=0,IFERROR(generateSalesData($D1352, IF(ISNUMBER(_xlfn.XLOOKUP($C1352,Phone_by_Sentiment!$B$2:$B$37,Phone_by_Sentiment!I$2:I$37,"",0,1)),_xlfn.XLOOKUP($C1352,Phone_by_Sentiment!$B$2:$B$37,Phone_by_Sentiment!I$2:I$37,"",0,1),0),$A1352-TEXT(DATEVALUE($D1352&amp;"-01"), "dd-mm-yyyy")),0),0)</f>
        <v>233</v>
      </c>
      <c r="J1352" cm="1">
        <f t="array" ref="J1352">IF($Q1352&gt;=0,IFERROR(generateSalesData($D1352, IF(ISNUMBER(_xlfn.XLOOKUP($C1352,Phone_by_Sentiment!$B$2:$B$37,Phone_by_Sentiment!J$2:J$37,"",0,1)),_xlfn.XLOOKUP($C1352,Phone_by_Sentiment!$B$2:$B$37,Phone_by_Sentiment!J$2:J$37,"",0,1),0),$A1352-TEXT(DATEVALUE($D1352&amp;"-01"), "dd-mm-yyyy")),0),0)</f>
        <v>66</v>
      </c>
      <c r="K1352" cm="1">
        <f t="array" ref="K1352">IF($Q1352&gt;=0,IFERROR(generateSalesData($D1352, IF(ISNUMBER(_xlfn.XLOOKUP($C1352,Phone_by_Sentiment!$B$2:$B$37,Phone_by_Sentiment!K$2:K$37,"",0,1)),_xlfn.XLOOKUP($C1352,Phone_by_Sentiment!$B$2:$B$37,Phone_by_Sentiment!K$2:K$37,"",0,1),0),$A1352-TEXT(DATEVALUE($D1352&amp;"-01"), "dd-mm-yyyy")),0),0)</f>
        <v>111</v>
      </c>
      <c r="L1352" cm="1">
        <f t="array" ref="L1352">IF($Q1352&gt;=0,IFERROR(generateSalesData($D1352, IF(ISNUMBER(_xlfn.XLOOKUP($C1352,Phone_by_Sentiment!$B$2:$B$37,Phone_by_Sentiment!L$2:L$37,"",0,1)),_xlfn.XLOOKUP($C1352,Phone_by_Sentiment!$B$2:$B$37,Phone_by_Sentiment!L$2:L$37,"",0,1),0),$A1352-TEXT(DATEVALUE($D1352&amp;"-01"), "dd-mm-yyyy")),0),0)</f>
        <v>281</v>
      </c>
      <c r="M1352" cm="1">
        <f t="array" ref="M1352">IF($Q1352&gt;=0,IFERROR(generateSalesData($D1352, IF(ISNUMBER(_xlfn.XLOOKUP($C1352,Phone_by_Sentiment!$B$2:$B$37,Phone_by_Sentiment!M$2:M$37,"",0,1)),_xlfn.XLOOKUP($C1352,Phone_by_Sentiment!$B$2:$B$37,Phone_by_Sentiment!M$2:M$37,"",0,1),0),$A1352-TEXT(DATEVALUE($D1352&amp;"-01"), "dd-mm-yyyy")),0),0)</f>
        <v>22</v>
      </c>
      <c r="N1352" cm="1">
        <f t="array" ref="N1352">IF($Q1352&gt;=0,IFERROR(generateSalesData($D1352, IF(ISNUMBER(_xlfn.XLOOKUP($C1352,Phone_by_Sentiment!$B$2:$B$37,Phone_by_Sentiment!N$2:N$37,"",0,1)),_xlfn.XLOOKUP($C1352,Phone_by_Sentiment!$B$2:$B$37,Phone_by_Sentiment!N$2:N$37,"",0,1),0),$A1352-TEXT(DATEVALUE($D1352&amp;"-01"), "dd-mm-yyyy")),0),0)</f>
        <v>317</v>
      </c>
      <c r="O1352" cm="1">
        <f t="array" ref="O1352">IF($Q1352&gt;=0,IFERROR(generateSalesData($D1352, IF(ISNUMBER(_xlfn.XLOOKUP($C1352,Phone_by_Sentiment!$B$2:$B$37,Phone_by_Sentiment!O$2:O$37,"",0,1)),_xlfn.XLOOKUP($C1352,Phone_by_Sentiment!$B$2:$B$37,Phone_by_Sentiment!O$2:O$37,"",0,1),0),$A1352-TEXT(DATEVALUE($D1352&amp;"-01"), "dd-mm-yyyy")),0),0)</f>
        <v>431</v>
      </c>
      <c r="P1352" s="1">
        <f t="shared" si="51"/>
        <v>43586</v>
      </c>
      <c r="Q1352">
        <f t="shared" si="55"/>
        <v>1035</v>
      </c>
    </row>
    <row r="1353" spans="1:17" x14ac:dyDescent="0.25">
      <c r="A1353" s="1">
        <f t="shared" si="54"/>
        <v>44621</v>
      </c>
      <c r="B1353" t="s">
        <v>166</v>
      </c>
      <c r="C1353" t="str">
        <f>_xlfn.XLOOKUP(B1353,Phone_by_Price!$A$2:$A$34,Phone_by_Price!$B$2:$B$34,"-",0,1)</f>
        <v>Xiaomi Redmi Note 7</v>
      </c>
      <c r="D1353" t="str">
        <f>_xlfn.XLOOKUP(C1353,Phone_by_Sentiment!$B$2:$B$37,Phone_by_Sentiment!$A$2:$A$37,"-",0,1)</f>
        <v>2019-08</v>
      </c>
      <c r="E1353" cm="1">
        <f t="array" ref="E1353">IF($Q1353&gt;=0,IFERROR(generateSalesData($D1353, IF(ISNUMBER(_xlfn.XLOOKUP($C1353,Phone_by_Sentiment!$B$2:$B$37,Phone_by_Sentiment!E$2:E$37,"",0,1)),_xlfn.XLOOKUP($C1353,Phone_by_Sentiment!$B$2:$B$37,Phone_by_Sentiment!E$2:E$37,"",0,1),0),$A1353-TEXT(DATEVALUE($D1353&amp;"-01"), "dd-mm-yyyy")),0),0)</f>
        <v>70</v>
      </c>
      <c r="F1353" cm="1">
        <f t="array" ref="F1353">IF($Q1353&gt;=0,IFERROR(generateSalesData($D1353, IF(ISNUMBER(_xlfn.XLOOKUP($C1353,Phone_by_Sentiment!$B$2:$B$37,Phone_by_Sentiment!F$2:F$37,"",0,1)),_xlfn.XLOOKUP($C1353,Phone_by_Sentiment!$B$2:$B$37,Phone_by_Sentiment!F$2:F$37,"",0,1),0),$A1353-TEXT(DATEVALUE($D1353&amp;"-01"), "dd-mm-yyyy")),0),0)</f>
        <v>40</v>
      </c>
      <c r="G1353" cm="1">
        <f t="array" ref="G1353">IF($Q1353&gt;=0,IFERROR(generateSalesData($D1353, IF(ISNUMBER(_xlfn.XLOOKUP($C1353,Phone_by_Sentiment!$B$2:$B$37,Phone_by_Sentiment!G$2:G$37,"",0,1)),_xlfn.XLOOKUP($C1353,Phone_by_Sentiment!$B$2:$B$37,Phone_by_Sentiment!G$2:G$37,"",0,1),0),$A1353-TEXT(DATEVALUE($D1353&amp;"-01"), "dd-mm-yyyy")),0),0)</f>
        <v>81</v>
      </c>
      <c r="H1353" cm="1">
        <f t="array" ref="H1353">IF($Q1353&gt;=0,IFERROR(generateSalesData($D1353, IF(ISNUMBER(_xlfn.XLOOKUP($C1353,Phone_by_Sentiment!$B$2:$B$37,Phone_by_Sentiment!H$2:H$37,"",0,1)),_xlfn.XLOOKUP($C1353,Phone_by_Sentiment!$B$2:$B$37,Phone_by_Sentiment!H$2:H$37,"",0,1),0),$A1353-TEXT(DATEVALUE($D1353&amp;"-01"), "dd-mm-yyyy")),0),0)</f>
        <v>191</v>
      </c>
      <c r="I1353" cm="1">
        <f t="array" ref="I1353">IF($Q1353&gt;=0,IFERROR(generateSalesData($D1353, IF(ISNUMBER(_xlfn.XLOOKUP($C1353,Phone_by_Sentiment!$B$2:$B$37,Phone_by_Sentiment!I$2:I$37,"",0,1)),_xlfn.XLOOKUP($C1353,Phone_by_Sentiment!$B$2:$B$37,Phone_by_Sentiment!I$2:I$37,"",0,1),0),$A1353-TEXT(DATEVALUE($D1353&amp;"-01"), "dd-mm-yyyy")),0),0)</f>
        <v>41</v>
      </c>
      <c r="J1353" cm="1">
        <f t="array" ref="J1353">IF($Q1353&gt;=0,IFERROR(generateSalesData($D1353, IF(ISNUMBER(_xlfn.XLOOKUP($C1353,Phone_by_Sentiment!$B$2:$B$37,Phone_by_Sentiment!J$2:J$37,"",0,1)),_xlfn.XLOOKUP($C1353,Phone_by_Sentiment!$B$2:$B$37,Phone_by_Sentiment!J$2:J$37,"",0,1),0),$A1353-TEXT(DATEVALUE($D1353&amp;"-01"), "dd-mm-yyyy")),0),0)</f>
        <v>106</v>
      </c>
      <c r="K1353" cm="1">
        <f t="array" ref="K1353">IF($Q1353&gt;=0,IFERROR(generateSalesData($D1353, IF(ISNUMBER(_xlfn.XLOOKUP($C1353,Phone_by_Sentiment!$B$2:$B$37,Phone_by_Sentiment!K$2:K$37,"",0,1)),_xlfn.XLOOKUP($C1353,Phone_by_Sentiment!$B$2:$B$37,Phone_by_Sentiment!K$2:K$37,"",0,1),0),$A1353-TEXT(DATEVALUE($D1353&amp;"-01"), "dd-mm-yyyy")),0),0)</f>
        <v>269</v>
      </c>
      <c r="L1353" cm="1">
        <f t="array" ref="L1353">IF($Q1353&gt;=0,IFERROR(generateSalesData($D1353, IF(ISNUMBER(_xlfn.XLOOKUP($C1353,Phone_by_Sentiment!$B$2:$B$37,Phone_by_Sentiment!L$2:L$37,"",0,1)),_xlfn.XLOOKUP($C1353,Phone_by_Sentiment!$B$2:$B$37,Phone_by_Sentiment!L$2:L$37,"",0,1),0),$A1353-TEXT(DATEVALUE($D1353&amp;"-01"), "dd-mm-yyyy")),0),0)</f>
        <v>82</v>
      </c>
      <c r="M1353" cm="1">
        <f t="array" ref="M1353">IF($Q1353&gt;=0,IFERROR(generateSalesData($D1353, IF(ISNUMBER(_xlfn.XLOOKUP($C1353,Phone_by_Sentiment!$B$2:$B$37,Phone_by_Sentiment!M$2:M$37,"",0,1)),_xlfn.XLOOKUP($C1353,Phone_by_Sentiment!$B$2:$B$37,Phone_by_Sentiment!M$2:M$37,"",0,1),0),$A1353-TEXT(DATEVALUE($D1353&amp;"-01"), "dd-mm-yyyy")),0),0)</f>
        <v>148</v>
      </c>
      <c r="N1353" cm="1">
        <f t="array" ref="N1353">IF($Q1353&gt;=0,IFERROR(generateSalesData($D1353, IF(ISNUMBER(_xlfn.XLOOKUP($C1353,Phone_by_Sentiment!$B$2:$B$37,Phone_by_Sentiment!N$2:N$37,"",0,1)),_xlfn.XLOOKUP($C1353,Phone_by_Sentiment!$B$2:$B$37,Phone_by_Sentiment!N$2:N$37,"",0,1),0),$A1353-TEXT(DATEVALUE($D1353&amp;"-01"), "dd-mm-yyyy")),0),0)</f>
        <v>22</v>
      </c>
      <c r="O1353" cm="1">
        <f t="array" ref="O1353">IF($Q1353&gt;=0,IFERROR(generateSalesData($D1353, IF(ISNUMBER(_xlfn.XLOOKUP($C1353,Phone_by_Sentiment!$B$2:$B$37,Phone_by_Sentiment!O$2:O$37,"",0,1)),_xlfn.XLOOKUP($C1353,Phone_by_Sentiment!$B$2:$B$37,Phone_by_Sentiment!O$2:O$37,"",0,1),0),$A1353-TEXT(DATEVALUE($D1353&amp;"-01"), "dd-mm-yyyy")),0),0)</f>
        <v>-79</v>
      </c>
      <c r="P1353" s="1">
        <f t="shared" si="51"/>
        <v>43678</v>
      </c>
      <c r="Q1353">
        <f t="shared" si="55"/>
        <v>943</v>
      </c>
    </row>
    <row r="1354" spans="1:17" x14ac:dyDescent="0.25">
      <c r="A1354" s="1">
        <f t="shared" si="54"/>
        <v>44621</v>
      </c>
      <c r="B1354" t="s">
        <v>167</v>
      </c>
      <c r="C1354" t="str">
        <f>_xlfn.XLOOKUP(B1354,Phone_by_Price!$A$2:$A$34,Phone_by_Price!$B$2:$B$34,"-",0,1)</f>
        <v>Realme C21</v>
      </c>
      <c r="D1354" t="str">
        <f>_xlfn.XLOOKUP(C1354,Phone_by_Sentiment!$B$2:$B$37,Phone_by_Sentiment!$A$2:$A$37,"-",0,1)</f>
        <v>2021-04</v>
      </c>
      <c r="E1354" cm="1">
        <f t="array" ref="E1354">IF($Q1354&gt;=0,IFERROR(generateSalesData($D1354, IF(ISNUMBER(_xlfn.XLOOKUP($C1354,Phone_by_Sentiment!$B$2:$B$37,Phone_by_Sentiment!E$2:E$37,"",0,1)),_xlfn.XLOOKUP($C1354,Phone_by_Sentiment!$B$2:$B$37,Phone_by_Sentiment!E$2:E$37,"",0,1),0),$A1354-TEXT(DATEVALUE($D1354&amp;"-01"), "dd-mm-yyyy")),0),0)</f>
        <v>259</v>
      </c>
      <c r="F1354" cm="1">
        <f t="array" ref="F1354">IF($Q1354&gt;=0,IFERROR(generateSalesData($D1354, IF(ISNUMBER(_xlfn.XLOOKUP($C1354,Phone_by_Sentiment!$B$2:$B$37,Phone_by_Sentiment!F$2:F$37,"",0,1)),_xlfn.XLOOKUP($C1354,Phone_by_Sentiment!$B$2:$B$37,Phone_by_Sentiment!F$2:F$37,"",0,1),0),$A1354-TEXT(DATEVALUE($D1354&amp;"-01"), "dd-mm-yyyy")),0),0)</f>
        <v>149</v>
      </c>
      <c r="G1354" cm="1">
        <f t="array" ref="G1354">IF($Q1354&gt;=0,IFERROR(generateSalesData($D1354, IF(ISNUMBER(_xlfn.XLOOKUP($C1354,Phone_by_Sentiment!$B$2:$B$37,Phone_by_Sentiment!G$2:G$37,"",0,1)),_xlfn.XLOOKUP($C1354,Phone_by_Sentiment!$B$2:$B$37,Phone_by_Sentiment!G$2:G$37,"",0,1),0),$A1354-TEXT(DATEVALUE($D1354&amp;"-01"), "dd-mm-yyyy")),0),0)</f>
        <v>251</v>
      </c>
      <c r="H1354" cm="1">
        <f t="array" ref="H1354">IF($Q1354&gt;=0,IFERROR(generateSalesData($D1354, IF(ISNUMBER(_xlfn.XLOOKUP($C1354,Phone_by_Sentiment!$B$2:$B$37,Phone_by_Sentiment!H$2:H$37,"",0,1)),_xlfn.XLOOKUP($C1354,Phone_by_Sentiment!$B$2:$B$37,Phone_by_Sentiment!H$2:H$37,"",0,1),0),$A1354-TEXT(DATEVALUE($D1354&amp;"-01"), "dd-mm-yyyy")),0),0)</f>
        <v>915</v>
      </c>
      <c r="I1354" cm="1">
        <f t="array" ref="I1354">IF($Q1354&gt;=0,IFERROR(generateSalesData($D1354, IF(ISNUMBER(_xlfn.XLOOKUP($C1354,Phone_by_Sentiment!$B$2:$B$37,Phone_by_Sentiment!I$2:I$37,"",0,1)),_xlfn.XLOOKUP($C1354,Phone_by_Sentiment!$B$2:$B$37,Phone_by_Sentiment!I$2:I$37,"",0,1),0),$A1354-TEXT(DATEVALUE($D1354&amp;"-01"), "dd-mm-yyyy")),0),0)</f>
        <v>1016</v>
      </c>
      <c r="J1354" cm="1">
        <f t="array" ref="J1354">IF($Q1354&gt;=0,IFERROR(generateSalesData($D1354, IF(ISNUMBER(_xlfn.XLOOKUP($C1354,Phone_by_Sentiment!$B$2:$B$37,Phone_by_Sentiment!J$2:J$37,"",0,1)),_xlfn.XLOOKUP($C1354,Phone_by_Sentiment!$B$2:$B$37,Phone_by_Sentiment!J$2:J$37,"",0,1),0),$A1354-TEXT(DATEVALUE($D1354&amp;"-01"), "dd-mm-yyyy")),0),0)</f>
        <v>225</v>
      </c>
      <c r="K1354" cm="1">
        <f t="array" ref="K1354">IF($Q1354&gt;=0,IFERROR(generateSalesData($D1354, IF(ISNUMBER(_xlfn.XLOOKUP($C1354,Phone_by_Sentiment!$B$2:$B$37,Phone_by_Sentiment!K$2:K$37,"",0,1)),_xlfn.XLOOKUP($C1354,Phone_by_Sentiment!$B$2:$B$37,Phone_by_Sentiment!K$2:K$37,"",0,1),0),$A1354-TEXT(DATEVALUE($D1354&amp;"-01"), "dd-mm-yyyy")),0),0)</f>
        <v>493</v>
      </c>
      <c r="L1354" cm="1">
        <f t="array" ref="L1354">IF($Q1354&gt;=0,IFERROR(generateSalesData($D1354, IF(ISNUMBER(_xlfn.XLOOKUP($C1354,Phone_by_Sentiment!$B$2:$B$37,Phone_by_Sentiment!L$2:L$37,"",0,1)),_xlfn.XLOOKUP($C1354,Phone_by_Sentiment!$B$2:$B$37,Phone_by_Sentiment!L$2:L$37,"",0,1),0),$A1354-TEXT(DATEVALUE($D1354&amp;"-01"), "dd-mm-yyyy")),0),0)</f>
        <v>477</v>
      </c>
      <c r="M1354" cm="1">
        <f t="array" ref="M1354">IF($Q1354&gt;=0,IFERROR(generateSalesData($D1354, IF(ISNUMBER(_xlfn.XLOOKUP($C1354,Phone_by_Sentiment!$B$2:$B$37,Phone_by_Sentiment!M$2:M$37,"",0,1)),_xlfn.XLOOKUP($C1354,Phone_by_Sentiment!$B$2:$B$37,Phone_by_Sentiment!M$2:M$37,"",0,1),0),$A1354-TEXT(DATEVALUE($D1354&amp;"-01"), "dd-mm-yyyy")),0),0)</f>
        <v>158</v>
      </c>
      <c r="N1354" cm="1">
        <f t="array" ref="N1354">IF($Q1354&gt;=0,IFERROR(generateSalesData($D1354, IF(ISNUMBER(_xlfn.XLOOKUP($C1354,Phone_by_Sentiment!$B$2:$B$37,Phone_by_Sentiment!N$2:N$37,"",0,1)),_xlfn.XLOOKUP($C1354,Phone_by_Sentiment!$B$2:$B$37,Phone_by_Sentiment!N$2:N$37,"",0,1),0),$A1354-TEXT(DATEVALUE($D1354&amp;"-01"), "dd-mm-yyyy")),0),0)</f>
        <v>551</v>
      </c>
      <c r="O1354" cm="1">
        <f t="array" ref="O1354">IF($Q1354&gt;=0,IFERROR(generateSalesData($D1354, IF(ISNUMBER(_xlfn.XLOOKUP($C1354,Phone_by_Sentiment!$B$2:$B$37,Phone_by_Sentiment!O$2:O$37,"",0,1)),_xlfn.XLOOKUP($C1354,Phone_by_Sentiment!$B$2:$B$37,Phone_by_Sentiment!O$2:O$37,"",0,1),0),$A1354-TEXT(DATEVALUE($D1354&amp;"-01"), "dd-mm-yyyy")),0),0)</f>
        <v>196</v>
      </c>
      <c r="P1354" s="1">
        <f t="shared" si="51"/>
        <v>44287</v>
      </c>
      <c r="Q1354">
        <f t="shared" si="55"/>
        <v>334</v>
      </c>
    </row>
    <row r="1355" spans="1:17" x14ac:dyDescent="0.25">
      <c r="A1355" s="1">
        <f t="shared" si="54"/>
        <v>44621</v>
      </c>
      <c r="B1355" t="s">
        <v>168</v>
      </c>
      <c r="C1355" t="str">
        <f>_xlfn.XLOOKUP(B1355,Phone_by_Price!$A$2:$A$34,Phone_by_Price!$B$2:$B$34,"-",0,1)</f>
        <v>Google Pixel 4</v>
      </c>
      <c r="D1355" t="str">
        <f>_xlfn.XLOOKUP(C1355,Phone_by_Sentiment!$B$2:$B$37,Phone_by_Sentiment!$A$2:$A$37,"-",0,1)</f>
        <v>2019-09</v>
      </c>
      <c r="E1355" cm="1">
        <f t="array" ref="E1355">IF($Q1355&gt;=0,IFERROR(generateSalesData($D1355, IF(ISNUMBER(_xlfn.XLOOKUP($C1355,Phone_by_Sentiment!$B$2:$B$37,Phone_by_Sentiment!E$2:E$37,"",0,1)),_xlfn.XLOOKUP($C1355,Phone_by_Sentiment!$B$2:$B$37,Phone_by_Sentiment!E$2:E$37,"",0,1),0),$A1355-TEXT(DATEVALUE($D1355&amp;"-01"), "dd-mm-yyyy")),0),0)</f>
        <v>408</v>
      </c>
      <c r="F1355" cm="1">
        <f t="array" ref="F1355">IF($Q1355&gt;=0,IFERROR(generateSalesData($D1355, IF(ISNUMBER(_xlfn.XLOOKUP($C1355,Phone_by_Sentiment!$B$2:$B$37,Phone_by_Sentiment!F$2:F$37,"",0,1)),_xlfn.XLOOKUP($C1355,Phone_by_Sentiment!$B$2:$B$37,Phone_by_Sentiment!F$2:F$37,"",0,1),0),$A1355-TEXT(DATEVALUE($D1355&amp;"-01"), "dd-mm-yyyy")),0),0)</f>
        <v>53</v>
      </c>
      <c r="G1355" cm="1">
        <f t="array" ref="G1355">IF($Q1355&gt;=0,IFERROR(generateSalesData($D1355, IF(ISNUMBER(_xlfn.XLOOKUP($C1355,Phone_by_Sentiment!$B$2:$B$37,Phone_by_Sentiment!G$2:G$37,"",0,1)),_xlfn.XLOOKUP($C1355,Phone_by_Sentiment!$B$2:$B$37,Phone_by_Sentiment!G$2:G$37,"",0,1),0),$A1355-TEXT(DATEVALUE($D1355&amp;"-01"), "dd-mm-yyyy")),0),0)</f>
        <v>103</v>
      </c>
      <c r="H1355" cm="1">
        <f t="array" ref="H1355">IF($Q1355&gt;=0,IFERROR(generateSalesData($D1355, IF(ISNUMBER(_xlfn.XLOOKUP($C1355,Phone_by_Sentiment!$B$2:$B$37,Phone_by_Sentiment!H$2:H$37,"",0,1)),_xlfn.XLOOKUP($C1355,Phone_by_Sentiment!$B$2:$B$37,Phone_by_Sentiment!H$2:H$37,"",0,1),0),$A1355-TEXT(DATEVALUE($D1355&amp;"-01"), "dd-mm-yyyy")),0),0)</f>
        <v>74</v>
      </c>
      <c r="I1355" cm="1">
        <f t="array" ref="I1355">IF($Q1355&gt;=0,IFERROR(generateSalesData($D1355, IF(ISNUMBER(_xlfn.XLOOKUP($C1355,Phone_by_Sentiment!$B$2:$B$37,Phone_by_Sentiment!I$2:I$37,"",0,1)),_xlfn.XLOOKUP($C1355,Phone_by_Sentiment!$B$2:$B$37,Phone_by_Sentiment!I$2:I$37,"",0,1),0),$A1355-TEXT(DATEVALUE($D1355&amp;"-01"), "dd-mm-yyyy")),0),0)</f>
        <v>45</v>
      </c>
      <c r="J1355" cm="1">
        <f t="array" ref="J1355">IF($Q1355&gt;=0,IFERROR(generateSalesData($D1355, IF(ISNUMBER(_xlfn.XLOOKUP($C1355,Phone_by_Sentiment!$B$2:$B$37,Phone_by_Sentiment!J$2:J$37,"",0,1)),_xlfn.XLOOKUP($C1355,Phone_by_Sentiment!$B$2:$B$37,Phone_by_Sentiment!J$2:J$37,"",0,1),0),$A1355-TEXT(DATEVALUE($D1355&amp;"-01"), "dd-mm-yyyy")),0),0)</f>
        <v>63</v>
      </c>
      <c r="K1355" cm="1">
        <f t="array" ref="K1355">IF($Q1355&gt;=0,IFERROR(generateSalesData($D1355, IF(ISNUMBER(_xlfn.XLOOKUP($C1355,Phone_by_Sentiment!$B$2:$B$37,Phone_by_Sentiment!K$2:K$37,"",0,1)),_xlfn.XLOOKUP($C1355,Phone_by_Sentiment!$B$2:$B$37,Phone_by_Sentiment!K$2:K$37,"",0,1),0),$A1355-TEXT(DATEVALUE($D1355&amp;"-01"), "dd-mm-yyyy")),0),0)</f>
        <v>45</v>
      </c>
      <c r="L1355" cm="1">
        <f t="array" ref="L1355">IF($Q1355&gt;=0,IFERROR(generateSalesData($D1355, IF(ISNUMBER(_xlfn.XLOOKUP($C1355,Phone_by_Sentiment!$B$2:$B$37,Phone_by_Sentiment!L$2:L$37,"",0,1)),_xlfn.XLOOKUP($C1355,Phone_by_Sentiment!$B$2:$B$37,Phone_by_Sentiment!L$2:L$37,"",0,1),0),$A1355-TEXT(DATEVALUE($D1355&amp;"-01"), "dd-mm-yyyy")),0),0)</f>
        <v>298</v>
      </c>
      <c r="M1355" cm="1">
        <f t="array" ref="M1355">IF($Q1355&gt;=0,IFERROR(generateSalesData($D1355, IF(ISNUMBER(_xlfn.XLOOKUP($C1355,Phone_by_Sentiment!$B$2:$B$37,Phone_by_Sentiment!M$2:M$37,"",0,1)),_xlfn.XLOOKUP($C1355,Phone_by_Sentiment!$B$2:$B$37,Phone_by_Sentiment!M$2:M$37,"",0,1),0),$A1355-TEXT(DATEVALUE($D1355&amp;"-01"), "dd-mm-yyyy")),0),0)</f>
        <v>51</v>
      </c>
      <c r="N1355" cm="1">
        <f t="array" ref="N1355">IF($Q1355&gt;=0,IFERROR(generateSalesData($D1355, IF(ISNUMBER(_xlfn.XLOOKUP($C1355,Phone_by_Sentiment!$B$2:$B$37,Phone_by_Sentiment!N$2:N$37,"",0,1)),_xlfn.XLOOKUP($C1355,Phone_by_Sentiment!$B$2:$B$37,Phone_by_Sentiment!N$2:N$37,"",0,1),0),$A1355-TEXT(DATEVALUE($D1355&amp;"-01"), "dd-mm-yyyy")),0),0)</f>
        <v>363</v>
      </c>
      <c r="O1355" cm="1">
        <f t="array" ref="O1355">IF($Q1355&gt;=0,IFERROR(generateSalesData($D1355, IF(ISNUMBER(_xlfn.XLOOKUP($C1355,Phone_by_Sentiment!$B$2:$B$37,Phone_by_Sentiment!O$2:O$37,"",0,1)),_xlfn.XLOOKUP($C1355,Phone_by_Sentiment!$B$2:$B$37,Phone_by_Sentiment!O$2:O$37,"",0,1),0),$A1355-TEXT(DATEVALUE($D1355&amp;"-01"), "dd-mm-yyyy")),0),0)</f>
        <v>12</v>
      </c>
      <c r="P1355" s="1">
        <f t="shared" si="51"/>
        <v>43709</v>
      </c>
      <c r="Q1355">
        <f t="shared" si="55"/>
        <v>912</v>
      </c>
    </row>
    <row r="1356" spans="1:17" x14ac:dyDescent="0.25">
      <c r="A1356" s="1">
        <f t="shared" si="54"/>
        <v>44621</v>
      </c>
      <c r="B1356" t="s">
        <v>169</v>
      </c>
      <c r="C1356" t="str">
        <f>_xlfn.XLOOKUP(B1356,Phone_by_Price!$A$2:$A$34,Phone_by_Price!$B$2:$B$34,"-",0,1)</f>
        <v>Samsung Galaxy A10s</v>
      </c>
      <c r="D1356" t="str">
        <f>_xlfn.XLOOKUP(C1356,Phone_by_Sentiment!$B$2:$B$37,Phone_by_Sentiment!$A$2:$A$37,"-",0,1)</f>
        <v>2019-08</v>
      </c>
      <c r="E1356" cm="1">
        <f t="array" ref="E1356">IF($Q1356&gt;=0,IFERROR(generateSalesData($D1356, IF(ISNUMBER(_xlfn.XLOOKUP($C1356,Phone_by_Sentiment!$B$2:$B$37,Phone_by_Sentiment!E$2:E$37,"",0,1)),_xlfn.XLOOKUP($C1356,Phone_by_Sentiment!$B$2:$B$37,Phone_by_Sentiment!E$2:E$37,"",0,1),0),$A1356-TEXT(DATEVALUE($D1356&amp;"-01"), "dd-mm-yyyy")),0),0)</f>
        <v>127</v>
      </c>
      <c r="F1356" cm="1">
        <f t="array" ref="F1356">IF($Q1356&gt;=0,IFERROR(generateSalesData($D1356, IF(ISNUMBER(_xlfn.XLOOKUP($C1356,Phone_by_Sentiment!$B$2:$B$37,Phone_by_Sentiment!F$2:F$37,"",0,1)),_xlfn.XLOOKUP($C1356,Phone_by_Sentiment!$B$2:$B$37,Phone_by_Sentiment!F$2:F$37,"",0,1),0),$A1356-TEXT(DATEVALUE($D1356&amp;"-01"), "dd-mm-yyyy")),0),0)</f>
        <v>82</v>
      </c>
      <c r="G1356" cm="1">
        <f t="array" ref="G1356">IF($Q1356&gt;=0,IFERROR(generateSalesData($D1356, IF(ISNUMBER(_xlfn.XLOOKUP($C1356,Phone_by_Sentiment!$B$2:$B$37,Phone_by_Sentiment!G$2:G$37,"",0,1)),_xlfn.XLOOKUP($C1356,Phone_by_Sentiment!$B$2:$B$37,Phone_by_Sentiment!G$2:G$37,"",0,1),0),$A1356-TEXT(DATEVALUE($D1356&amp;"-01"), "dd-mm-yyyy")),0),0)</f>
        <v>47</v>
      </c>
      <c r="H1356" cm="1">
        <f t="array" ref="H1356">IF($Q1356&gt;=0,IFERROR(generateSalesData($D1356, IF(ISNUMBER(_xlfn.XLOOKUP($C1356,Phone_by_Sentiment!$B$2:$B$37,Phone_by_Sentiment!H$2:H$37,"",0,1)),_xlfn.XLOOKUP($C1356,Phone_by_Sentiment!$B$2:$B$37,Phone_by_Sentiment!H$2:H$37,"",0,1),0),$A1356-TEXT(DATEVALUE($D1356&amp;"-01"), "dd-mm-yyyy")),0),0)</f>
        <v>212</v>
      </c>
      <c r="I1356" cm="1">
        <f t="array" ref="I1356">IF($Q1356&gt;=0,IFERROR(generateSalesData($D1356, IF(ISNUMBER(_xlfn.XLOOKUP($C1356,Phone_by_Sentiment!$B$2:$B$37,Phone_by_Sentiment!I$2:I$37,"",0,1)),_xlfn.XLOOKUP($C1356,Phone_by_Sentiment!$B$2:$B$37,Phone_by_Sentiment!I$2:I$37,"",0,1),0),$A1356-TEXT(DATEVALUE($D1356&amp;"-01"), "dd-mm-yyyy")),0),0)</f>
        <v>220</v>
      </c>
      <c r="J1356" cm="1">
        <f t="array" ref="J1356">IF($Q1356&gt;=0,IFERROR(generateSalesData($D1356, IF(ISNUMBER(_xlfn.XLOOKUP($C1356,Phone_by_Sentiment!$B$2:$B$37,Phone_by_Sentiment!J$2:J$37,"",0,1)),_xlfn.XLOOKUP($C1356,Phone_by_Sentiment!$B$2:$B$37,Phone_by_Sentiment!J$2:J$37,"",0,1),0),$A1356-TEXT(DATEVALUE($D1356&amp;"-01"), "dd-mm-yyyy")),0),0)</f>
        <v>136</v>
      </c>
      <c r="K1356" cm="1">
        <f t="array" ref="K1356">IF($Q1356&gt;=0,IFERROR(generateSalesData($D1356, IF(ISNUMBER(_xlfn.XLOOKUP($C1356,Phone_by_Sentiment!$B$2:$B$37,Phone_by_Sentiment!K$2:K$37,"",0,1)),_xlfn.XLOOKUP($C1356,Phone_by_Sentiment!$B$2:$B$37,Phone_by_Sentiment!K$2:K$37,"",0,1),0),$A1356-TEXT(DATEVALUE($D1356&amp;"-01"), "dd-mm-yyyy")),0),0)</f>
        <v>210</v>
      </c>
      <c r="L1356" cm="1">
        <f t="array" ref="L1356">IF($Q1356&gt;=0,IFERROR(generateSalesData($D1356, IF(ISNUMBER(_xlfn.XLOOKUP($C1356,Phone_by_Sentiment!$B$2:$B$37,Phone_by_Sentiment!L$2:L$37,"",0,1)),_xlfn.XLOOKUP($C1356,Phone_by_Sentiment!$B$2:$B$37,Phone_by_Sentiment!L$2:L$37,"",0,1),0),$A1356-TEXT(DATEVALUE($D1356&amp;"-01"), "dd-mm-yyyy")),0),0)</f>
        <v>120</v>
      </c>
      <c r="M1356" cm="1">
        <f t="array" ref="M1356">IF($Q1356&gt;=0,IFERROR(generateSalesData($D1356, IF(ISNUMBER(_xlfn.XLOOKUP($C1356,Phone_by_Sentiment!$B$2:$B$37,Phone_by_Sentiment!M$2:M$37,"",0,1)),_xlfn.XLOOKUP($C1356,Phone_by_Sentiment!$B$2:$B$37,Phone_by_Sentiment!M$2:M$37,"",0,1),0),$A1356-TEXT(DATEVALUE($D1356&amp;"-01"), "dd-mm-yyyy")),0),0)</f>
        <v>10</v>
      </c>
      <c r="N1356" cm="1">
        <f t="array" ref="N1356">IF($Q1356&gt;=0,IFERROR(generateSalesData($D1356, IF(ISNUMBER(_xlfn.XLOOKUP($C1356,Phone_by_Sentiment!$B$2:$B$37,Phone_by_Sentiment!N$2:N$37,"",0,1)),_xlfn.XLOOKUP($C1356,Phone_by_Sentiment!$B$2:$B$37,Phone_by_Sentiment!N$2:N$37,"",0,1),0),$A1356-TEXT(DATEVALUE($D1356&amp;"-01"), "dd-mm-yyyy")),0),0)</f>
        <v>59</v>
      </c>
      <c r="O1356" cm="1">
        <f t="array" ref="O1356">IF($Q1356&gt;=0,IFERROR(generateSalesData($D1356, IF(ISNUMBER(_xlfn.XLOOKUP($C1356,Phone_by_Sentiment!$B$2:$B$37,Phone_by_Sentiment!O$2:O$37,"",0,1)),_xlfn.XLOOKUP($C1356,Phone_by_Sentiment!$B$2:$B$37,Phone_by_Sentiment!O$2:O$37,"",0,1),0),$A1356-TEXT(DATEVALUE($D1356&amp;"-01"), "dd-mm-yyyy")),0),0)</f>
        <v>321</v>
      </c>
      <c r="P1356" s="1">
        <f t="shared" si="51"/>
        <v>43678</v>
      </c>
      <c r="Q1356">
        <f t="shared" si="55"/>
        <v>943</v>
      </c>
    </row>
    <row r="1357" spans="1:17" x14ac:dyDescent="0.25">
      <c r="A1357" s="1">
        <f t="shared" si="54"/>
        <v>44621</v>
      </c>
      <c r="B1357" t="s">
        <v>170</v>
      </c>
      <c r="C1357" t="str">
        <f>_xlfn.XLOOKUP(B1357,Phone_by_Price!$A$2:$A$34,Phone_by_Price!$B$2:$B$34,"-",0,1)</f>
        <v>Realme Narzo 30A</v>
      </c>
      <c r="D1357" t="str">
        <f>_xlfn.XLOOKUP(C1357,Phone_by_Sentiment!$B$2:$B$37,Phone_by_Sentiment!$A$2:$A$37,"-",0,1)</f>
        <v>2021-02</v>
      </c>
      <c r="E1357" cm="1">
        <f t="array" ref="E1357">IF($Q1357&gt;=0,IFERROR(generateSalesData($D1357, IF(ISNUMBER(_xlfn.XLOOKUP($C1357,Phone_by_Sentiment!$B$2:$B$37,Phone_by_Sentiment!E$2:E$37,"",0,1)),_xlfn.XLOOKUP($C1357,Phone_by_Sentiment!$B$2:$B$37,Phone_by_Sentiment!E$2:E$37,"",0,1),0),$A1357-TEXT(DATEVALUE($D1357&amp;"-01"), "dd-mm-yyyy")),0),0)</f>
        <v>187</v>
      </c>
      <c r="F1357" cm="1">
        <f t="array" ref="F1357">IF($Q1357&gt;=0,IFERROR(generateSalesData($D1357, IF(ISNUMBER(_xlfn.XLOOKUP($C1357,Phone_by_Sentiment!$B$2:$B$37,Phone_by_Sentiment!F$2:F$37,"",0,1)),_xlfn.XLOOKUP($C1357,Phone_by_Sentiment!$B$2:$B$37,Phone_by_Sentiment!F$2:F$37,"",0,1),0),$A1357-TEXT(DATEVALUE($D1357&amp;"-01"), "dd-mm-yyyy")),0),0)</f>
        <v>118</v>
      </c>
      <c r="G1357" cm="1">
        <f t="array" ref="G1357">IF($Q1357&gt;=0,IFERROR(generateSalesData($D1357, IF(ISNUMBER(_xlfn.XLOOKUP($C1357,Phone_by_Sentiment!$B$2:$B$37,Phone_by_Sentiment!G$2:G$37,"",0,1)),_xlfn.XLOOKUP($C1357,Phone_by_Sentiment!$B$2:$B$37,Phone_by_Sentiment!G$2:G$37,"",0,1),0),$A1357-TEXT(DATEVALUE($D1357&amp;"-01"), "dd-mm-yyyy")),0),0)</f>
        <v>161</v>
      </c>
      <c r="H1357" cm="1">
        <f t="array" ref="H1357">IF($Q1357&gt;=0,IFERROR(generateSalesData($D1357, IF(ISNUMBER(_xlfn.XLOOKUP($C1357,Phone_by_Sentiment!$B$2:$B$37,Phone_by_Sentiment!H$2:H$37,"",0,1)),_xlfn.XLOOKUP($C1357,Phone_by_Sentiment!$B$2:$B$37,Phone_by_Sentiment!H$2:H$37,"",0,1),0),$A1357-TEXT(DATEVALUE($D1357&amp;"-01"), "dd-mm-yyyy")),0),0)</f>
        <v>667</v>
      </c>
      <c r="I1357" cm="1">
        <f t="array" ref="I1357">IF($Q1357&gt;=0,IFERROR(generateSalesData($D1357, IF(ISNUMBER(_xlfn.XLOOKUP($C1357,Phone_by_Sentiment!$B$2:$B$37,Phone_by_Sentiment!I$2:I$37,"",0,1)),_xlfn.XLOOKUP($C1357,Phone_by_Sentiment!$B$2:$B$37,Phone_by_Sentiment!I$2:I$37,"",0,1),0),$A1357-TEXT(DATEVALUE($D1357&amp;"-01"), "dd-mm-yyyy")),0),0)</f>
        <v>435</v>
      </c>
      <c r="J1357" cm="1">
        <f t="array" ref="J1357">IF($Q1357&gt;=0,IFERROR(generateSalesData($D1357, IF(ISNUMBER(_xlfn.XLOOKUP($C1357,Phone_by_Sentiment!$B$2:$B$37,Phone_by_Sentiment!J$2:J$37,"",0,1)),_xlfn.XLOOKUP($C1357,Phone_by_Sentiment!$B$2:$B$37,Phone_by_Sentiment!J$2:J$37,"",0,1),0),$A1357-TEXT(DATEVALUE($D1357&amp;"-01"), "dd-mm-yyyy")),0),0)</f>
        <v>195</v>
      </c>
      <c r="K1357" cm="1">
        <f t="array" ref="K1357">IF($Q1357&gt;=0,IFERROR(generateSalesData($D1357, IF(ISNUMBER(_xlfn.XLOOKUP($C1357,Phone_by_Sentiment!$B$2:$B$37,Phone_by_Sentiment!K$2:K$37,"",0,1)),_xlfn.XLOOKUP($C1357,Phone_by_Sentiment!$B$2:$B$37,Phone_by_Sentiment!K$2:K$37,"",0,1),0),$A1357-TEXT(DATEVALUE($D1357&amp;"-01"), "dd-mm-yyyy")),0),0)</f>
        <v>398</v>
      </c>
      <c r="L1357" cm="1">
        <f t="array" ref="L1357">IF($Q1357&gt;=0,IFERROR(generateSalesData($D1357, IF(ISNUMBER(_xlfn.XLOOKUP($C1357,Phone_by_Sentiment!$B$2:$B$37,Phone_by_Sentiment!L$2:L$37,"",0,1)),_xlfn.XLOOKUP($C1357,Phone_by_Sentiment!$B$2:$B$37,Phone_by_Sentiment!L$2:L$37,"",0,1),0),$A1357-TEXT(DATEVALUE($D1357&amp;"-01"), "dd-mm-yyyy")),0),0)</f>
        <v>606</v>
      </c>
      <c r="M1357" cm="1">
        <f t="array" ref="M1357">IF($Q1357&gt;=0,IFERROR(generateSalesData($D1357, IF(ISNUMBER(_xlfn.XLOOKUP($C1357,Phone_by_Sentiment!$B$2:$B$37,Phone_by_Sentiment!M$2:M$37,"",0,1)),_xlfn.XLOOKUP($C1357,Phone_by_Sentiment!$B$2:$B$37,Phone_by_Sentiment!M$2:M$37,"",0,1),0),$A1357-TEXT(DATEVALUE($D1357&amp;"-01"), "dd-mm-yyyy")),0),0)</f>
        <v>185</v>
      </c>
      <c r="N1357" cm="1">
        <f t="array" ref="N1357">IF($Q1357&gt;=0,IFERROR(generateSalesData($D1357, IF(ISNUMBER(_xlfn.XLOOKUP($C1357,Phone_by_Sentiment!$B$2:$B$37,Phone_by_Sentiment!N$2:N$37,"",0,1)),_xlfn.XLOOKUP($C1357,Phone_by_Sentiment!$B$2:$B$37,Phone_by_Sentiment!N$2:N$37,"",0,1),0),$A1357-TEXT(DATEVALUE($D1357&amp;"-01"), "dd-mm-yyyy")),0),0)</f>
        <v>806</v>
      </c>
      <c r="O1357" cm="1">
        <f t="array" ref="O1357">IF($Q1357&gt;=0,IFERROR(generateSalesData($D1357, IF(ISNUMBER(_xlfn.XLOOKUP($C1357,Phone_by_Sentiment!$B$2:$B$37,Phone_by_Sentiment!O$2:O$37,"",0,1)),_xlfn.XLOOKUP($C1357,Phone_by_Sentiment!$B$2:$B$37,Phone_by_Sentiment!O$2:O$37,"",0,1),0),$A1357-TEXT(DATEVALUE($D1357&amp;"-01"), "dd-mm-yyyy")),0),0)</f>
        <v>94</v>
      </c>
      <c r="P1357" s="1">
        <f t="shared" si="51"/>
        <v>44228</v>
      </c>
      <c r="Q1357">
        <f t="shared" si="55"/>
        <v>393</v>
      </c>
    </row>
    <row r="1358" spans="1:17" x14ac:dyDescent="0.25">
      <c r="A1358" s="1">
        <f t="shared" si="54"/>
        <v>44621</v>
      </c>
      <c r="B1358" t="s">
        <v>171</v>
      </c>
      <c r="C1358" t="str">
        <f>_xlfn.XLOOKUP(B1358,Phone_by_Price!$A$2:$A$34,Phone_by_Price!$B$2:$B$34,"-",0,1)</f>
        <v>Samsung Galaxy A22 5G</v>
      </c>
      <c r="D1358" t="str">
        <f>_xlfn.XLOOKUP(C1358,Phone_by_Sentiment!$B$2:$B$37,Phone_by_Sentiment!$A$2:$A$37,"-",0,1)</f>
        <v>2021-05</v>
      </c>
      <c r="E1358" cm="1">
        <f t="array" ref="E1358">IF($Q1358&gt;=0,IFERROR(generateSalesData($D1358, IF(ISNUMBER(_xlfn.XLOOKUP($C1358,Phone_by_Sentiment!$B$2:$B$37,Phone_by_Sentiment!E$2:E$37,"",0,1)),_xlfn.XLOOKUP($C1358,Phone_by_Sentiment!$B$2:$B$37,Phone_by_Sentiment!E$2:E$37,"",0,1),0),$A1358-TEXT(DATEVALUE($D1358&amp;"-01"), "dd-mm-yyyy")),0),0)</f>
        <v>950</v>
      </c>
      <c r="F1358" cm="1">
        <f t="array" ref="F1358">IF($Q1358&gt;=0,IFERROR(generateSalesData($D1358, IF(ISNUMBER(_xlfn.XLOOKUP($C1358,Phone_by_Sentiment!$B$2:$B$37,Phone_by_Sentiment!F$2:F$37,"",0,1)),_xlfn.XLOOKUP($C1358,Phone_by_Sentiment!$B$2:$B$37,Phone_by_Sentiment!F$2:F$37,"",0,1),0),$A1358-TEXT(DATEVALUE($D1358&amp;"-01"), "dd-mm-yyyy")),0),0)</f>
        <v>1022</v>
      </c>
      <c r="G1358" cm="1">
        <f t="array" ref="G1358">IF($Q1358&gt;=0,IFERROR(generateSalesData($D1358, IF(ISNUMBER(_xlfn.XLOOKUP($C1358,Phone_by_Sentiment!$B$2:$B$37,Phone_by_Sentiment!G$2:G$37,"",0,1)),_xlfn.XLOOKUP($C1358,Phone_by_Sentiment!$B$2:$B$37,Phone_by_Sentiment!G$2:G$37,"",0,1),0),$A1358-TEXT(DATEVALUE($D1358&amp;"-01"), "dd-mm-yyyy")),0),0)</f>
        <v>394</v>
      </c>
      <c r="H1358" cm="1">
        <f t="array" ref="H1358">IF($Q1358&gt;=0,IFERROR(generateSalesData($D1358, IF(ISNUMBER(_xlfn.XLOOKUP($C1358,Phone_by_Sentiment!$B$2:$B$37,Phone_by_Sentiment!H$2:H$37,"",0,1)),_xlfn.XLOOKUP($C1358,Phone_by_Sentiment!$B$2:$B$37,Phone_by_Sentiment!H$2:H$37,"",0,1),0),$A1358-TEXT(DATEVALUE($D1358&amp;"-01"), "dd-mm-yyyy")),0),0)</f>
        <v>599</v>
      </c>
      <c r="I1358" cm="1">
        <f t="array" ref="I1358">IF($Q1358&gt;=0,IFERROR(generateSalesData($D1358, IF(ISNUMBER(_xlfn.XLOOKUP($C1358,Phone_by_Sentiment!$B$2:$B$37,Phone_by_Sentiment!I$2:I$37,"",0,1)),_xlfn.XLOOKUP($C1358,Phone_by_Sentiment!$B$2:$B$37,Phone_by_Sentiment!I$2:I$37,"",0,1),0),$A1358-TEXT(DATEVALUE($D1358&amp;"-01"), "dd-mm-yyyy")),0),0)</f>
        <v>1050</v>
      </c>
      <c r="J1358" cm="1">
        <f t="array" ref="J1358">IF($Q1358&gt;=0,IFERROR(generateSalesData($D1358, IF(ISNUMBER(_xlfn.XLOOKUP($C1358,Phone_by_Sentiment!$B$2:$B$37,Phone_by_Sentiment!J$2:J$37,"",0,1)),_xlfn.XLOOKUP($C1358,Phone_by_Sentiment!$B$2:$B$37,Phone_by_Sentiment!J$2:J$37,"",0,1),0),$A1358-TEXT(DATEVALUE($D1358&amp;"-01"), "dd-mm-yyyy")),0),0)</f>
        <v>404</v>
      </c>
      <c r="K1358" cm="1">
        <f t="array" ref="K1358">IF($Q1358&gt;=0,IFERROR(generateSalesData($D1358, IF(ISNUMBER(_xlfn.XLOOKUP($C1358,Phone_by_Sentiment!$B$2:$B$37,Phone_by_Sentiment!K$2:K$37,"",0,1)),_xlfn.XLOOKUP($C1358,Phone_by_Sentiment!$B$2:$B$37,Phone_by_Sentiment!K$2:K$37,"",0,1),0),$A1358-TEXT(DATEVALUE($D1358&amp;"-01"), "dd-mm-yyyy")),0),0)</f>
        <v>1187</v>
      </c>
      <c r="L1358" cm="1">
        <f t="array" ref="L1358">IF($Q1358&gt;=0,IFERROR(generateSalesData($D1358, IF(ISNUMBER(_xlfn.XLOOKUP($C1358,Phone_by_Sentiment!$B$2:$B$37,Phone_by_Sentiment!L$2:L$37,"",0,1)),_xlfn.XLOOKUP($C1358,Phone_by_Sentiment!$B$2:$B$37,Phone_by_Sentiment!L$2:L$37,"",0,1),0),$A1358-TEXT(DATEVALUE($D1358&amp;"-01"), "dd-mm-yyyy")),0),0)</f>
        <v>651</v>
      </c>
      <c r="M1358" cm="1">
        <f t="array" ref="M1358">IF($Q1358&gt;=0,IFERROR(generateSalesData($D1358, IF(ISNUMBER(_xlfn.XLOOKUP($C1358,Phone_by_Sentiment!$B$2:$B$37,Phone_by_Sentiment!M$2:M$37,"",0,1)),_xlfn.XLOOKUP($C1358,Phone_by_Sentiment!$B$2:$B$37,Phone_by_Sentiment!M$2:M$37,"",0,1),0),$A1358-TEXT(DATEVALUE($D1358&amp;"-01"), "dd-mm-yyyy")),0),0)</f>
        <v>698</v>
      </c>
      <c r="N1358" cm="1">
        <f t="array" ref="N1358">IF($Q1358&gt;=0,IFERROR(generateSalesData($D1358, IF(ISNUMBER(_xlfn.XLOOKUP($C1358,Phone_by_Sentiment!$B$2:$B$37,Phone_by_Sentiment!N$2:N$37,"",0,1)),_xlfn.XLOOKUP($C1358,Phone_by_Sentiment!$B$2:$B$37,Phone_by_Sentiment!N$2:N$37,"",0,1),0),$A1358-TEXT(DATEVALUE($D1358&amp;"-01"), "dd-mm-yyyy")),0),0)</f>
        <v>1311</v>
      </c>
      <c r="O1358" cm="1">
        <f t="array" ref="O1358">IF($Q1358&gt;=0,IFERROR(generateSalesData($D1358, IF(ISNUMBER(_xlfn.XLOOKUP($C1358,Phone_by_Sentiment!$B$2:$B$37,Phone_by_Sentiment!O$2:O$37,"",0,1)),_xlfn.XLOOKUP($C1358,Phone_by_Sentiment!$B$2:$B$37,Phone_by_Sentiment!O$2:O$37,"",0,1),0),$A1358-TEXT(DATEVALUE($D1358&amp;"-01"), "dd-mm-yyyy")),0),0)</f>
        <v>578</v>
      </c>
      <c r="P1358" s="1">
        <f t="shared" si="51"/>
        <v>44317</v>
      </c>
      <c r="Q1358">
        <f t="shared" si="55"/>
        <v>304</v>
      </c>
    </row>
    <row r="1359" spans="1:17" x14ac:dyDescent="0.25">
      <c r="A1359" s="1">
        <f t="shared" si="54"/>
        <v>44621</v>
      </c>
      <c r="B1359" t="s">
        <v>172</v>
      </c>
      <c r="C1359" t="str">
        <f>_xlfn.XLOOKUP(B1359,Phone_by_Price!$A$2:$A$34,Phone_by_Price!$B$2:$B$34,"-",0,1)</f>
        <v>Xiaomi Redmi 9</v>
      </c>
      <c r="D1359" t="str">
        <f>_xlfn.XLOOKUP(C1359,Phone_by_Sentiment!$B$2:$B$37,Phone_by_Sentiment!$A$2:$A$37,"-",0,1)</f>
        <v>2020-08</v>
      </c>
      <c r="E1359" cm="1">
        <f t="array" ref="E1359">IF($Q1359&gt;=0,IFERROR(generateSalesData($D1359, IF(ISNUMBER(_xlfn.XLOOKUP($C1359,Phone_by_Sentiment!$B$2:$B$37,Phone_by_Sentiment!E$2:E$37,"",0,1)),_xlfn.XLOOKUP($C1359,Phone_by_Sentiment!$B$2:$B$37,Phone_by_Sentiment!E$2:E$37,"",0,1),0),$A1359-TEXT(DATEVALUE($D1359&amp;"-01"), "dd-mm-yyyy")),0),0)</f>
        <v>205</v>
      </c>
      <c r="F1359" cm="1">
        <f t="array" ref="F1359">IF($Q1359&gt;=0,IFERROR(generateSalesData($D1359, IF(ISNUMBER(_xlfn.XLOOKUP($C1359,Phone_by_Sentiment!$B$2:$B$37,Phone_by_Sentiment!F$2:F$37,"",0,1)),_xlfn.XLOOKUP($C1359,Phone_by_Sentiment!$B$2:$B$37,Phone_by_Sentiment!F$2:F$37,"",0,1),0),$A1359-TEXT(DATEVALUE($D1359&amp;"-01"), "dd-mm-yyyy")),0),0)</f>
        <v>81</v>
      </c>
      <c r="G1359" cm="1">
        <f t="array" ref="G1359">IF($Q1359&gt;=0,IFERROR(generateSalesData($D1359, IF(ISNUMBER(_xlfn.XLOOKUP($C1359,Phone_by_Sentiment!$B$2:$B$37,Phone_by_Sentiment!G$2:G$37,"",0,1)),_xlfn.XLOOKUP($C1359,Phone_by_Sentiment!$B$2:$B$37,Phone_by_Sentiment!G$2:G$37,"",0,1),0),$A1359-TEXT(DATEVALUE($D1359&amp;"-01"), "dd-mm-yyyy")),0),0)</f>
        <v>144</v>
      </c>
      <c r="H1359" cm="1">
        <f t="array" ref="H1359">IF($Q1359&gt;=0,IFERROR(generateSalesData($D1359, IF(ISNUMBER(_xlfn.XLOOKUP($C1359,Phone_by_Sentiment!$B$2:$B$37,Phone_by_Sentiment!H$2:H$37,"",0,1)),_xlfn.XLOOKUP($C1359,Phone_by_Sentiment!$B$2:$B$37,Phone_by_Sentiment!H$2:H$37,"",0,1),0),$A1359-TEXT(DATEVALUE($D1359&amp;"-01"), "dd-mm-yyyy")),0),0)</f>
        <v>489</v>
      </c>
      <c r="I1359" cm="1">
        <f t="array" ref="I1359">IF($Q1359&gt;=0,IFERROR(generateSalesData($D1359, IF(ISNUMBER(_xlfn.XLOOKUP($C1359,Phone_by_Sentiment!$B$2:$B$37,Phone_by_Sentiment!I$2:I$37,"",0,1)),_xlfn.XLOOKUP($C1359,Phone_by_Sentiment!$B$2:$B$37,Phone_by_Sentiment!I$2:I$37,"",0,1),0),$A1359-TEXT(DATEVALUE($D1359&amp;"-01"), "dd-mm-yyyy")),0),0)</f>
        <v>152</v>
      </c>
      <c r="J1359" cm="1">
        <f t="array" ref="J1359">IF($Q1359&gt;=0,IFERROR(generateSalesData($D1359, IF(ISNUMBER(_xlfn.XLOOKUP($C1359,Phone_by_Sentiment!$B$2:$B$37,Phone_by_Sentiment!J$2:J$37,"",0,1)),_xlfn.XLOOKUP($C1359,Phone_by_Sentiment!$B$2:$B$37,Phone_by_Sentiment!J$2:J$37,"",0,1),0),$A1359-TEXT(DATEVALUE($D1359&amp;"-01"), "dd-mm-yyyy")),0),0)</f>
        <v>53</v>
      </c>
      <c r="K1359" cm="1">
        <f t="array" ref="K1359">IF($Q1359&gt;=0,IFERROR(generateSalesData($D1359, IF(ISNUMBER(_xlfn.XLOOKUP($C1359,Phone_by_Sentiment!$B$2:$B$37,Phone_by_Sentiment!K$2:K$37,"",0,1)),_xlfn.XLOOKUP($C1359,Phone_by_Sentiment!$B$2:$B$37,Phone_by_Sentiment!K$2:K$37,"",0,1),0),$A1359-TEXT(DATEVALUE($D1359&amp;"-01"), "dd-mm-yyyy")),0),0)</f>
        <v>269</v>
      </c>
      <c r="L1359" cm="1">
        <f t="array" ref="L1359">IF($Q1359&gt;=0,IFERROR(generateSalesData($D1359, IF(ISNUMBER(_xlfn.XLOOKUP($C1359,Phone_by_Sentiment!$B$2:$B$37,Phone_by_Sentiment!L$2:L$37,"",0,1)),_xlfn.XLOOKUP($C1359,Phone_by_Sentiment!$B$2:$B$37,Phone_by_Sentiment!L$2:L$37,"",0,1),0),$A1359-TEXT(DATEVALUE($D1359&amp;"-01"), "dd-mm-yyyy")),0),0)</f>
        <v>94</v>
      </c>
      <c r="M1359" cm="1">
        <f t="array" ref="M1359">IF($Q1359&gt;=0,IFERROR(generateSalesData($D1359, IF(ISNUMBER(_xlfn.XLOOKUP($C1359,Phone_by_Sentiment!$B$2:$B$37,Phone_by_Sentiment!M$2:M$37,"",0,1)),_xlfn.XLOOKUP($C1359,Phone_by_Sentiment!$B$2:$B$37,Phone_by_Sentiment!M$2:M$37,"",0,1),0),$A1359-TEXT(DATEVALUE($D1359&amp;"-01"), "dd-mm-yyyy")),0),0)</f>
        <v>518</v>
      </c>
      <c r="N1359" cm="1">
        <f t="array" ref="N1359">IF($Q1359&gt;=0,IFERROR(generateSalesData($D1359, IF(ISNUMBER(_xlfn.XLOOKUP($C1359,Phone_by_Sentiment!$B$2:$B$37,Phone_by_Sentiment!N$2:N$37,"",0,1)),_xlfn.XLOOKUP($C1359,Phone_by_Sentiment!$B$2:$B$37,Phone_by_Sentiment!N$2:N$37,"",0,1),0),$A1359-TEXT(DATEVALUE($D1359&amp;"-01"), "dd-mm-yyyy")),0),0)</f>
        <v>137</v>
      </c>
      <c r="O1359" cm="1">
        <f t="array" ref="O1359">IF($Q1359&gt;=0,IFERROR(generateSalesData($D1359, IF(ISNUMBER(_xlfn.XLOOKUP($C1359,Phone_by_Sentiment!$B$2:$B$37,Phone_by_Sentiment!O$2:O$37,"",0,1)),_xlfn.XLOOKUP($C1359,Phone_by_Sentiment!$B$2:$B$37,Phone_by_Sentiment!O$2:O$37,"",0,1),0),$A1359-TEXT(DATEVALUE($D1359&amp;"-01"), "dd-mm-yyyy")),0),0)</f>
        <v>721</v>
      </c>
      <c r="P1359" s="1">
        <f t="shared" si="51"/>
        <v>44044</v>
      </c>
      <c r="Q1359">
        <f t="shared" si="55"/>
        <v>577</v>
      </c>
    </row>
    <row r="1360" spans="1:17" x14ac:dyDescent="0.25">
      <c r="A1360" s="1">
        <f t="shared" si="54"/>
        <v>44621</v>
      </c>
      <c r="B1360" t="s">
        <v>173</v>
      </c>
      <c r="C1360" t="str">
        <f>_xlfn.XLOOKUP(B1360,Phone_by_Price!$A$2:$A$34,Phone_by_Price!$B$2:$B$34,"-",0,1)</f>
        <v>Realme C3</v>
      </c>
      <c r="D1360" t="str">
        <f>_xlfn.XLOOKUP(C1360,Phone_by_Sentiment!$B$2:$B$37,Phone_by_Sentiment!$A$2:$A$37,"-",0,1)</f>
        <v>2020-02</v>
      </c>
      <c r="E1360" cm="1">
        <f t="array" ref="E1360">IF($Q1360&gt;=0,IFERROR(generateSalesData($D1360, IF(ISNUMBER(_xlfn.XLOOKUP($C1360,Phone_by_Sentiment!$B$2:$B$37,Phone_by_Sentiment!E$2:E$37,"",0,1)),_xlfn.XLOOKUP($C1360,Phone_by_Sentiment!$B$2:$B$37,Phone_by_Sentiment!E$2:E$37,"",0,1),0),$A1360-TEXT(DATEVALUE($D1360&amp;"-01"), "dd-mm-yyyy")),0),0)</f>
        <v>101</v>
      </c>
      <c r="F1360" cm="1">
        <f t="array" ref="F1360">IF($Q1360&gt;=0,IFERROR(generateSalesData($D1360, IF(ISNUMBER(_xlfn.XLOOKUP($C1360,Phone_by_Sentiment!$B$2:$B$37,Phone_by_Sentiment!F$2:F$37,"",0,1)),_xlfn.XLOOKUP($C1360,Phone_by_Sentiment!$B$2:$B$37,Phone_by_Sentiment!F$2:F$37,"",0,1),0),$A1360-TEXT(DATEVALUE($D1360&amp;"-01"), "dd-mm-yyyy")),0),0)</f>
        <v>99</v>
      </c>
      <c r="G1360" cm="1">
        <f t="array" ref="G1360">IF($Q1360&gt;=0,IFERROR(generateSalesData($D1360, IF(ISNUMBER(_xlfn.XLOOKUP($C1360,Phone_by_Sentiment!$B$2:$B$37,Phone_by_Sentiment!G$2:G$37,"",0,1)),_xlfn.XLOOKUP($C1360,Phone_by_Sentiment!$B$2:$B$37,Phone_by_Sentiment!G$2:G$37,"",0,1),0),$A1360-TEXT(DATEVALUE($D1360&amp;"-01"), "dd-mm-yyyy")),0),0)</f>
        <v>61</v>
      </c>
      <c r="H1360" cm="1">
        <f t="array" ref="H1360">IF($Q1360&gt;=0,IFERROR(generateSalesData($D1360, IF(ISNUMBER(_xlfn.XLOOKUP($C1360,Phone_by_Sentiment!$B$2:$B$37,Phone_by_Sentiment!H$2:H$37,"",0,1)),_xlfn.XLOOKUP($C1360,Phone_by_Sentiment!$B$2:$B$37,Phone_by_Sentiment!H$2:H$37,"",0,1),0),$A1360-TEXT(DATEVALUE($D1360&amp;"-01"), "dd-mm-yyyy")),0),0)</f>
        <v>117</v>
      </c>
      <c r="I1360" cm="1">
        <f t="array" ref="I1360">IF($Q1360&gt;=0,IFERROR(generateSalesData($D1360, IF(ISNUMBER(_xlfn.XLOOKUP($C1360,Phone_by_Sentiment!$B$2:$B$37,Phone_by_Sentiment!I$2:I$37,"",0,1)),_xlfn.XLOOKUP($C1360,Phone_by_Sentiment!$B$2:$B$37,Phone_by_Sentiment!I$2:I$37,"",0,1),0),$A1360-TEXT(DATEVALUE($D1360&amp;"-01"), "dd-mm-yyyy")),0),0)</f>
        <v>267</v>
      </c>
      <c r="J1360" cm="1">
        <f t="array" ref="J1360">IF($Q1360&gt;=0,IFERROR(generateSalesData($D1360, IF(ISNUMBER(_xlfn.XLOOKUP($C1360,Phone_by_Sentiment!$B$2:$B$37,Phone_by_Sentiment!J$2:J$37,"",0,1)),_xlfn.XLOOKUP($C1360,Phone_by_Sentiment!$B$2:$B$37,Phone_by_Sentiment!J$2:J$37,"",0,1),0),$A1360-TEXT(DATEVALUE($D1360&amp;"-01"), "dd-mm-yyyy")),0),0)</f>
        <v>89</v>
      </c>
      <c r="K1360" cm="1">
        <f t="array" ref="K1360">IF($Q1360&gt;=0,IFERROR(generateSalesData($D1360, IF(ISNUMBER(_xlfn.XLOOKUP($C1360,Phone_by_Sentiment!$B$2:$B$37,Phone_by_Sentiment!K$2:K$37,"",0,1)),_xlfn.XLOOKUP($C1360,Phone_by_Sentiment!$B$2:$B$37,Phone_by_Sentiment!K$2:K$37,"",0,1),0),$A1360-TEXT(DATEVALUE($D1360&amp;"-01"), "dd-mm-yyyy")),0),0)</f>
        <v>532</v>
      </c>
      <c r="L1360" cm="1">
        <f t="array" ref="L1360">IF($Q1360&gt;=0,IFERROR(generateSalesData($D1360, IF(ISNUMBER(_xlfn.XLOOKUP($C1360,Phone_by_Sentiment!$B$2:$B$37,Phone_by_Sentiment!L$2:L$37,"",0,1)),_xlfn.XLOOKUP($C1360,Phone_by_Sentiment!$B$2:$B$37,Phone_by_Sentiment!L$2:L$37,"",0,1),0),$A1360-TEXT(DATEVALUE($D1360&amp;"-01"), "dd-mm-yyyy")),0),0)</f>
        <v>240</v>
      </c>
      <c r="M1360" cm="1">
        <f t="array" ref="M1360">IF($Q1360&gt;=0,IFERROR(generateSalesData($D1360, IF(ISNUMBER(_xlfn.XLOOKUP($C1360,Phone_by_Sentiment!$B$2:$B$37,Phone_by_Sentiment!M$2:M$37,"",0,1)),_xlfn.XLOOKUP($C1360,Phone_by_Sentiment!$B$2:$B$37,Phone_by_Sentiment!M$2:M$37,"",0,1),0),$A1360-TEXT(DATEVALUE($D1360&amp;"-01"), "dd-mm-yyyy")),0),0)</f>
        <v>32</v>
      </c>
      <c r="N1360" cm="1">
        <f t="array" ref="N1360">IF($Q1360&gt;=0,IFERROR(generateSalesData($D1360, IF(ISNUMBER(_xlfn.XLOOKUP($C1360,Phone_by_Sentiment!$B$2:$B$37,Phone_by_Sentiment!N$2:N$37,"",0,1)),_xlfn.XLOOKUP($C1360,Phone_by_Sentiment!$B$2:$B$37,Phone_by_Sentiment!N$2:N$37,"",0,1),0),$A1360-TEXT(DATEVALUE($D1360&amp;"-01"), "dd-mm-yyyy")),0),0)</f>
        <v>298</v>
      </c>
      <c r="O1360" cm="1">
        <f t="array" ref="O1360">IF($Q1360&gt;=0,IFERROR(generateSalesData($D1360, IF(ISNUMBER(_xlfn.XLOOKUP($C1360,Phone_by_Sentiment!$B$2:$B$37,Phone_by_Sentiment!O$2:O$37,"",0,1)),_xlfn.XLOOKUP($C1360,Phone_by_Sentiment!$B$2:$B$37,Phone_by_Sentiment!O$2:O$37,"",0,1),0),$A1360-TEXT(DATEVALUE($D1360&amp;"-01"), "dd-mm-yyyy")),0),0)</f>
        <v>129</v>
      </c>
      <c r="P1360" s="1">
        <f t="shared" si="51"/>
        <v>43862</v>
      </c>
      <c r="Q1360">
        <f t="shared" si="55"/>
        <v>759</v>
      </c>
    </row>
    <row r="1361" spans="1:17" x14ac:dyDescent="0.25">
      <c r="A1361" s="1">
        <f t="shared" si="54"/>
        <v>44621</v>
      </c>
      <c r="B1361" t="s">
        <v>174</v>
      </c>
      <c r="C1361" t="str">
        <f>_xlfn.XLOOKUP(B1361,Phone_by_Price!$A$2:$A$34,Phone_by_Price!$B$2:$B$34,"-",0,1)</f>
        <v>Samsung Galaxy A7</v>
      </c>
      <c r="D1361" t="str">
        <f>_xlfn.XLOOKUP(C1361,Phone_by_Sentiment!$B$2:$B$37,Phone_by_Sentiment!$A$2:$A$37,"-",0,1)</f>
        <v>2018-10</v>
      </c>
      <c r="E1361" cm="1">
        <f t="array" ref="E1361">IF($Q1361&gt;=0,IFERROR(generateSalesData($D1361, IF(ISNUMBER(_xlfn.XLOOKUP($C1361,Phone_by_Sentiment!$B$2:$B$37,Phone_by_Sentiment!E$2:E$37,"",0,1)),_xlfn.XLOOKUP($C1361,Phone_by_Sentiment!$B$2:$B$37,Phone_by_Sentiment!E$2:E$37,"",0,1),0),$A1361-TEXT(DATEVALUE($D1361&amp;"-01"), "dd-mm-yyyy")),0),0)</f>
        <v>70</v>
      </c>
      <c r="F1361" cm="1">
        <f t="array" ref="F1361">IF($Q1361&gt;=0,IFERROR(generateSalesData($D1361, IF(ISNUMBER(_xlfn.XLOOKUP($C1361,Phone_by_Sentiment!$B$2:$B$37,Phone_by_Sentiment!F$2:F$37,"",0,1)),_xlfn.XLOOKUP($C1361,Phone_by_Sentiment!$B$2:$B$37,Phone_by_Sentiment!F$2:F$37,"",0,1),0),$A1361-TEXT(DATEVALUE($D1361&amp;"-01"), "dd-mm-yyyy")),0),0)</f>
        <v>58</v>
      </c>
      <c r="G1361" cm="1">
        <f t="array" ref="G1361">IF($Q1361&gt;=0,IFERROR(generateSalesData($D1361, IF(ISNUMBER(_xlfn.XLOOKUP($C1361,Phone_by_Sentiment!$B$2:$B$37,Phone_by_Sentiment!G$2:G$37,"",0,1)),_xlfn.XLOOKUP($C1361,Phone_by_Sentiment!$B$2:$B$37,Phone_by_Sentiment!G$2:G$37,"",0,1),0),$A1361-TEXT(DATEVALUE($D1361&amp;"-01"), "dd-mm-yyyy")),0),0)</f>
        <v>22</v>
      </c>
      <c r="H1361" cm="1">
        <f t="array" ref="H1361">IF($Q1361&gt;=0,IFERROR(generateSalesData($D1361, IF(ISNUMBER(_xlfn.XLOOKUP($C1361,Phone_by_Sentiment!$B$2:$B$37,Phone_by_Sentiment!H$2:H$37,"",0,1)),_xlfn.XLOOKUP($C1361,Phone_by_Sentiment!$B$2:$B$37,Phone_by_Sentiment!H$2:H$37,"",0,1),0),$A1361-TEXT(DATEVALUE($D1361&amp;"-01"), "dd-mm-yyyy")),0),0)</f>
        <v>171</v>
      </c>
      <c r="I1361" cm="1">
        <f t="array" ref="I1361">IF($Q1361&gt;=0,IFERROR(generateSalesData($D1361, IF(ISNUMBER(_xlfn.XLOOKUP($C1361,Phone_by_Sentiment!$B$2:$B$37,Phone_by_Sentiment!I$2:I$37,"",0,1)),_xlfn.XLOOKUP($C1361,Phone_by_Sentiment!$B$2:$B$37,Phone_by_Sentiment!I$2:I$37,"",0,1),0),$A1361-TEXT(DATEVALUE($D1361&amp;"-01"), "dd-mm-yyyy")),0),0)</f>
        <v>210</v>
      </c>
      <c r="J1361" cm="1">
        <f t="array" ref="J1361">IF($Q1361&gt;=0,IFERROR(generateSalesData($D1361, IF(ISNUMBER(_xlfn.XLOOKUP($C1361,Phone_by_Sentiment!$B$2:$B$37,Phone_by_Sentiment!J$2:J$37,"",0,1)),_xlfn.XLOOKUP($C1361,Phone_by_Sentiment!$B$2:$B$37,Phone_by_Sentiment!J$2:J$37,"",0,1),0),$A1361-TEXT(DATEVALUE($D1361&amp;"-01"), "dd-mm-yyyy")),0),0)</f>
        <v>54</v>
      </c>
      <c r="K1361" cm="1">
        <f t="array" ref="K1361">IF($Q1361&gt;=0,IFERROR(generateSalesData($D1361, IF(ISNUMBER(_xlfn.XLOOKUP($C1361,Phone_by_Sentiment!$B$2:$B$37,Phone_by_Sentiment!K$2:K$37,"",0,1)),_xlfn.XLOOKUP($C1361,Phone_by_Sentiment!$B$2:$B$37,Phone_by_Sentiment!K$2:K$37,"",0,1),0),$A1361-TEXT(DATEVALUE($D1361&amp;"-01"), "dd-mm-yyyy")),0),0)</f>
        <v>58</v>
      </c>
      <c r="L1361" cm="1">
        <f t="array" ref="L1361">IF($Q1361&gt;=0,IFERROR(generateSalesData($D1361, IF(ISNUMBER(_xlfn.XLOOKUP($C1361,Phone_by_Sentiment!$B$2:$B$37,Phone_by_Sentiment!L$2:L$37,"",0,1)),_xlfn.XLOOKUP($C1361,Phone_by_Sentiment!$B$2:$B$37,Phone_by_Sentiment!L$2:L$37,"",0,1),0),$A1361-TEXT(DATEVALUE($D1361&amp;"-01"), "dd-mm-yyyy")),0),0)</f>
        <v>43</v>
      </c>
      <c r="M1361" cm="1">
        <f t="array" ref="M1361">IF($Q1361&gt;=0,IFERROR(generateSalesData($D1361, IF(ISNUMBER(_xlfn.XLOOKUP($C1361,Phone_by_Sentiment!$B$2:$B$37,Phone_by_Sentiment!M$2:M$37,"",0,1)),_xlfn.XLOOKUP($C1361,Phone_by_Sentiment!$B$2:$B$37,Phone_by_Sentiment!M$2:M$37,"",0,1),0),$A1361-TEXT(DATEVALUE($D1361&amp;"-01"), "dd-mm-yyyy")),0),0)</f>
        <v>182</v>
      </c>
      <c r="N1361" cm="1">
        <f t="array" ref="N1361">IF($Q1361&gt;=0,IFERROR(generateSalesData($D1361, IF(ISNUMBER(_xlfn.XLOOKUP($C1361,Phone_by_Sentiment!$B$2:$B$37,Phone_by_Sentiment!N$2:N$37,"",0,1)),_xlfn.XLOOKUP($C1361,Phone_by_Sentiment!$B$2:$B$37,Phone_by_Sentiment!N$2:N$37,"",0,1),0),$A1361-TEXT(DATEVALUE($D1361&amp;"-01"), "dd-mm-yyyy")),0),0)</f>
        <v>144</v>
      </c>
      <c r="O1361" cm="1">
        <f t="array" ref="O1361">IF($Q1361&gt;=0,IFERROR(generateSalesData($D1361, IF(ISNUMBER(_xlfn.XLOOKUP($C1361,Phone_by_Sentiment!$B$2:$B$37,Phone_by_Sentiment!O$2:O$37,"",0,1)),_xlfn.XLOOKUP($C1361,Phone_by_Sentiment!$B$2:$B$37,Phone_by_Sentiment!O$2:O$37,"",0,1),0),$A1361-TEXT(DATEVALUE($D1361&amp;"-01"), "dd-mm-yyyy")),0),0)</f>
        <v>180</v>
      </c>
      <c r="P1361" s="1">
        <f t="shared" si="51"/>
        <v>43374</v>
      </c>
      <c r="Q1361">
        <f t="shared" si="55"/>
        <v>1247</v>
      </c>
    </row>
    <row r="1362" spans="1:17" x14ac:dyDescent="0.25">
      <c r="A1362" s="1">
        <f t="shared" si="54"/>
        <v>44621</v>
      </c>
      <c r="B1362" t="s">
        <v>142</v>
      </c>
      <c r="C1362" t="str">
        <f>_xlfn.XLOOKUP(B1362,Phone_by_Price!$A$2:$A$34,Phone_by_Price!$B$2:$B$34,"-",0,1)</f>
        <v>iPhone 11</v>
      </c>
      <c r="D1362" t="str">
        <f>_xlfn.XLOOKUP(C1362,Phone_by_Sentiment!$B$2:$B$37,Phone_by_Sentiment!$A$2:$A$37,"-",0,1)</f>
        <v>2019-09</v>
      </c>
      <c r="E1362" cm="1">
        <f t="array" ref="E1362">IF($Q1362&gt;=0,IFERROR(generateSalesData($D1362, IF(ISNUMBER(_xlfn.XLOOKUP($C1362,Phone_by_Sentiment!$B$2:$B$37,Phone_by_Sentiment!E$2:E$37,"",0,1)),_xlfn.XLOOKUP($C1362,Phone_by_Sentiment!$B$2:$B$37,Phone_by_Sentiment!E$2:E$37,"",0,1),0),$A1362-TEXT(DATEVALUE($D1362&amp;"-01"), "dd-mm-yyyy")),0),0)</f>
        <v>191</v>
      </c>
      <c r="F1362" cm="1">
        <f t="array" ref="F1362">IF($Q1362&gt;=0,IFERROR(generateSalesData($D1362, IF(ISNUMBER(_xlfn.XLOOKUP($C1362,Phone_by_Sentiment!$B$2:$B$37,Phone_by_Sentiment!F$2:F$37,"",0,1)),_xlfn.XLOOKUP($C1362,Phone_by_Sentiment!$B$2:$B$37,Phone_by_Sentiment!F$2:F$37,"",0,1),0),$A1362-TEXT(DATEVALUE($D1362&amp;"-01"), "dd-mm-yyyy")),0),0)</f>
        <v>245</v>
      </c>
      <c r="G1362" cm="1">
        <f t="array" ref="G1362">IF($Q1362&gt;=0,IFERROR(generateSalesData($D1362, IF(ISNUMBER(_xlfn.XLOOKUP($C1362,Phone_by_Sentiment!$B$2:$B$37,Phone_by_Sentiment!G$2:G$37,"",0,1)),_xlfn.XLOOKUP($C1362,Phone_by_Sentiment!$B$2:$B$37,Phone_by_Sentiment!G$2:G$37,"",0,1),0),$A1362-TEXT(DATEVALUE($D1362&amp;"-01"), "dd-mm-yyyy")),0),0)</f>
        <v>34</v>
      </c>
      <c r="H1362" cm="1">
        <f t="array" ref="H1362">IF($Q1362&gt;=0,IFERROR(generateSalesData($D1362, IF(ISNUMBER(_xlfn.XLOOKUP($C1362,Phone_by_Sentiment!$B$2:$B$37,Phone_by_Sentiment!H$2:H$37,"",0,1)),_xlfn.XLOOKUP($C1362,Phone_by_Sentiment!$B$2:$B$37,Phone_by_Sentiment!H$2:H$37,"",0,1),0),$A1362-TEXT(DATEVALUE($D1362&amp;"-01"), "dd-mm-yyyy")),0),0)</f>
        <v>168</v>
      </c>
      <c r="I1362" cm="1">
        <f t="array" ref="I1362">IF($Q1362&gt;=0,IFERROR(generateSalesData($D1362, IF(ISNUMBER(_xlfn.XLOOKUP($C1362,Phone_by_Sentiment!$B$2:$B$37,Phone_by_Sentiment!I$2:I$37,"",0,1)),_xlfn.XLOOKUP($C1362,Phone_by_Sentiment!$B$2:$B$37,Phone_by_Sentiment!I$2:I$37,"",0,1),0),$A1362-TEXT(DATEVALUE($D1362&amp;"-01"), "dd-mm-yyyy")),0),0)</f>
        <v>166</v>
      </c>
      <c r="J1362" cm="1">
        <f t="array" ref="J1362">IF($Q1362&gt;=0,IFERROR(generateSalesData($D1362, IF(ISNUMBER(_xlfn.XLOOKUP($C1362,Phone_by_Sentiment!$B$2:$B$37,Phone_by_Sentiment!J$2:J$37,"",0,1)),_xlfn.XLOOKUP($C1362,Phone_by_Sentiment!$B$2:$B$37,Phone_by_Sentiment!J$2:J$37,"",0,1),0),$A1362-TEXT(DATEVALUE($D1362&amp;"-01"), "dd-mm-yyyy")),0),0)</f>
        <v>363</v>
      </c>
      <c r="K1362" cm="1">
        <f t="array" ref="K1362">IF($Q1362&gt;=0,IFERROR(generateSalesData($D1362, IF(ISNUMBER(_xlfn.XLOOKUP($C1362,Phone_by_Sentiment!$B$2:$B$37,Phone_by_Sentiment!K$2:K$37,"",0,1)),_xlfn.XLOOKUP($C1362,Phone_by_Sentiment!$B$2:$B$37,Phone_by_Sentiment!K$2:K$37,"",0,1),0),$A1362-TEXT(DATEVALUE($D1362&amp;"-01"), "dd-mm-yyyy")),0),0)</f>
        <v>68</v>
      </c>
      <c r="L1362" cm="1">
        <f t="array" ref="L1362">IF($Q1362&gt;=0,IFERROR(generateSalesData($D1362, IF(ISNUMBER(_xlfn.XLOOKUP($C1362,Phone_by_Sentiment!$B$2:$B$37,Phone_by_Sentiment!L$2:L$37,"",0,1)),_xlfn.XLOOKUP($C1362,Phone_by_Sentiment!$B$2:$B$37,Phone_by_Sentiment!L$2:L$37,"",0,1),0),$A1362-TEXT(DATEVALUE($D1362&amp;"-01"), "dd-mm-yyyy")),0),0)</f>
        <v>311</v>
      </c>
      <c r="M1362" cm="1">
        <f t="array" ref="M1362">IF($Q1362&gt;=0,IFERROR(generateSalesData($D1362, IF(ISNUMBER(_xlfn.XLOOKUP($C1362,Phone_by_Sentiment!$B$2:$B$37,Phone_by_Sentiment!M$2:M$37,"",0,1)),_xlfn.XLOOKUP($C1362,Phone_by_Sentiment!$B$2:$B$37,Phone_by_Sentiment!M$2:M$37,"",0,1),0),$A1362-TEXT(DATEVALUE($D1362&amp;"-01"), "dd-mm-yyyy")),0),0)</f>
        <v>565</v>
      </c>
      <c r="N1362" cm="1">
        <f t="array" ref="N1362">IF($Q1362&gt;=0,IFERROR(generateSalesData($D1362, IF(ISNUMBER(_xlfn.XLOOKUP($C1362,Phone_by_Sentiment!$B$2:$B$37,Phone_by_Sentiment!N$2:N$37,"",0,1)),_xlfn.XLOOKUP($C1362,Phone_by_Sentiment!$B$2:$B$37,Phone_by_Sentiment!N$2:N$37,"",0,1),0),$A1362-TEXT(DATEVALUE($D1362&amp;"-01"), "dd-mm-yyyy")),0),0)</f>
        <v>226</v>
      </c>
      <c r="O1362" cm="1">
        <f t="array" ref="O1362">IF($Q1362&gt;=0,IFERROR(generateSalesData($D1362, IF(ISNUMBER(_xlfn.XLOOKUP($C1362,Phone_by_Sentiment!$B$2:$B$37,Phone_by_Sentiment!O$2:O$37,"",0,1)),_xlfn.XLOOKUP($C1362,Phone_by_Sentiment!$B$2:$B$37,Phone_by_Sentiment!O$2:O$37,"",0,1),0),$A1362-TEXT(DATEVALUE($D1362&amp;"-01"), "dd-mm-yyyy")),0),0)</f>
        <v>435</v>
      </c>
      <c r="P1362" s="1">
        <f t="shared" si="51"/>
        <v>43709</v>
      </c>
      <c r="Q1362">
        <f t="shared" si="55"/>
        <v>912</v>
      </c>
    </row>
    <row r="1363" spans="1:17" x14ac:dyDescent="0.25">
      <c r="A1363" s="1">
        <f t="shared" si="54"/>
        <v>44621</v>
      </c>
      <c r="B1363" t="s">
        <v>143</v>
      </c>
      <c r="C1363" t="str">
        <f>_xlfn.XLOOKUP(B1363,Phone_by_Price!$A$2:$A$34,Phone_by_Price!$B$2:$B$34,"-",0,1)</f>
        <v>Samsung Galaxy S20 Ultra</v>
      </c>
      <c r="D1363" t="str">
        <f>_xlfn.XLOOKUP(C1363,Phone_by_Sentiment!$B$2:$B$37,Phone_by_Sentiment!$A$2:$A$37,"-",0,1)</f>
        <v>2020-02</v>
      </c>
      <c r="E1363" cm="1">
        <f t="array" ref="E1363">IF($Q1363&gt;=0,IFERROR(generateSalesData($D1363, IF(ISNUMBER(_xlfn.XLOOKUP($C1363,Phone_by_Sentiment!$B$2:$B$37,Phone_by_Sentiment!E$2:E$37,"",0,1)),_xlfn.XLOOKUP($C1363,Phone_by_Sentiment!$B$2:$B$37,Phone_by_Sentiment!E$2:E$37,"",0,1),0),$A1363-TEXT(DATEVALUE($D1363&amp;"-01"), "dd-mm-yyyy")),0),0)</f>
        <v>273</v>
      </c>
      <c r="F1363" cm="1">
        <f t="array" ref="F1363">IF($Q1363&gt;=0,IFERROR(generateSalesData($D1363, IF(ISNUMBER(_xlfn.XLOOKUP($C1363,Phone_by_Sentiment!$B$2:$B$37,Phone_by_Sentiment!F$2:F$37,"",0,1)),_xlfn.XLOOKUP($C1363,Phone_by_Sentiment!$B$2:$B$37,Phone_by_Sentiment!F$2:F$37,"",0,1),0),$A1363-TEXT(DATEVALUE($D1363&amp;"-01"), "dd-mm-yyyy")),0),0)</f>
        <v>304</v>
      </c>
      <c r="G1363" cm="1">
        <f t="array" ref="G1363">IF($Q1363&gt;=0,IFERROR(generateSalesData($D1363, IF(ISNUMBER(_xlfn.XLOOKUP($C1363,Phone_by_Sentiment!$B$2:$B$37,Phone_by_Sentiment!G$2:G$37,"",0,1)),_xlfn.XLOOKUP($C1363,Phone_by_Sentiment!$B$2:$B$37,Phone_by_Sentiment!G$2:G$37,"",0,1),0),$A1363-TEXT(DATEVALUE($D1363&amp;"-01"), "dd-mm-yyyy")),0),0)</f>
        <v>115</v>
      </c>
      <c r="H1363" cm="1">
        <f t="array" ref="H1363">IF($Q1363&gt;=0,IFERROR(generateSalesData($D1363, IF(ISNUMBER(_xlfn.XLOOKUP($C1363,Phone_by_Sentiment!$B$2:$B$37,Phone_by_Sentiment!H$2:H$37,"",0,1)),_xlfn.XLOOKUP($C1363,Phone_by_Sentiment!$B$2:$B$37,Phone_by_Sentiment!H$2:H$37,"",0,1),0),$A1363-TEXT(DATEVALUE($D1363&amp;"-01"), "dd-mm-yyyy")),0),0)</f>
        <v>324</v>
      </c>
      <c r="I1363" cm="1">
        <f t="array" ref="I1363">IF($Q1363&gt;=0,IFERROR(generateSalesData($D1363, IF(ISNUMBER(_xlfn.XLOOKUP($C1363,Phone_by_Sentiment!$B$2:$B$37,Phone_by_Sentiment!I$2:I$37,"",0,1)),_xlfn.XLOOKUP($C1363,Phone_by_Sentiment!$B$2:$B$37,Phone_by_Sentiment!I$2:I$37,"",0,1),0),$A1363-TEXT(DATEVALUE($D1363&amp;"-01"), "dd-mm-yyyy")),0),0)</f>
        <v>341</v>
      </c>
      <c r="J1363" cm="1">
        <f t="array" ref="J1363">IF($Q1363&gt;=0,IFERROR(generateSalesData($D1363, IF(ISNUMBER(_xlfn.XLOOKUP($C1363,Phone_by_Sentiment!$B$2:$B$37,Phone_by_Sentiment!J$2:J$37,"",0,1)),_xlfn.XLOOKUP($C1363,Phone_by_Sentiment!$B$2:$B$37,Phone_by_Sentiment!J$2:J$37,"",0,1),0),$A1363-TEXT(DATEVALUE($D1363&amp;"-01"), "dd-mm-yyyy")),0),0)</f>
        <v>40</v>
      </c>
      <c r="K1363" cm="1">
        <f t="array" ref="K1363">IF($Q1363&gt;=0,IFERROR(generateSalesData($D1363, IF(ISNUMBER(_xlfn.XLOOKUP($C1363,Phone_by_Sentiment!$B$2:$B$37,Phone_by_Sentiment!K$2:K$37,"",0,1)),_xlfn.XLOOKUP($C1363,Phone_by_Sentiment!$B$2:$B$37,Phone_by_Sentiment!K$2:K$37,"",0,1),0),$A1363-TEXT(DATEVALUE($D1363&amp;"-01"), "dd-mm-yyyy")),0),0)</f>
        <v>92</v>
      </c>
      <c r="L1363" cm="1">
        <f t="array" ref="L1363">IF($Q1363&gt;=0,IFERROR(generateSalesData($D1363, IF(ISNUMBER(_xlfn.XLOOKUP($C1363,Phone_by_Sentiment!$B$2:$B$37,Phone_by_Sentiment!L$2:L$37,"",0,1)),_xlfn.XLOOKUP($C1363,Phone_by_Sentiment!$B$2:$B$37,Phone_by_Sentiment!L$2:L$37,"",0,1),0),$A1363-TEXT(DATEVALUE($D1363&amp;"-01"), "dd-mm-yyyy")),0),0)</f>
        <v>409</v>
      </c>
      <c r="M1363" cm="1">
        <f t="array" ref="M1363">IF($Q1363&gt;=0,IFERROR(generateSalesData($D1363, IF(ISNUMBER(_xlfn.XLOOKUP($C1363,Phone_by_Sentiment!$B$2:$B$37,Phone_by_Sentiment!M$2:M$37,"",0,1)),_xlfn.XLOOKUP($C1363,Phone_by_Sentiment!$B$2:$B$37,Phone_by_Sentiment!M$2:M$37,"",0,1),0),$A1363-TEXT(DATEVALUE($D1363&amp;"-01"), "dd-mm-yyyy")),0),0)</f>
        <v>451</v>
      </c>
      <c r="N1363" cm="1">
        <f t="array" ref="N1363">IF($Q1363&gt;=0,IFERROR(generateSalesData($D1363, IF(ISNUMBER(_xlfn.XLOOKUP($C1363,Phone_by_Sentiment!$B$2:$B$37,Phone_by_Sentiment!N$2:N$37,"",0,1)),_xlfn.XLOOKUP($C1363,Phone_by_Sentiment!$B$2:$B$37,Phone_by_Sentiment!N$2:N$37,"",0,1),0),$A1363-TEXT(DATEVALUE($D1363&amp;"-01"), "dd-mm-yyyy")),0),0)</f>
        <v>358</v>
      </c>
      <c r="O1363" cm="1">
        <f t="array" ref="O1363">IF($Q1363&gt;=0,IFERROR(generateSalesData($D1363, IF(ISNUMBER(_xlfn.XLOOKUP($C1363,Phone_by_Sentiment!$B$2:$B$37,Phone_by_Sentiment!O$2:O$37,"",0,1)),_xlfn.XLOOKUP($C1363,Phone_by_Sentiment!$B$2:$B$37,Phone_by_Sentiment!O$2:O$37,"",0,1),0),$A1363-TEXT(DATEVALUE($D1363&amp;"-01"), "dd-mm-yyyy")),0),0)</f>
        <v>245</v>
      </c>
      <c r="P1363" s="1">
        <f t="shared" si="51"/>
        <v>43862</v>
      </c>
      <c r="Q1363">
        <f t="shared" si="55"/>
        <v>759</v>
      </c>
    </row>
    <row r="1364" spans="1:17" x14ac:dyDescent="0.25">
      <c r="A1364" s="1">
        <f t="shared" si="54"/>
        <v>44621</v>
      </c>
      <c r="B1364" t="s">
        <v>144</v>
      </c>
      <c r="C1364" t="str">
        <f>_xlfn.XLOOKUP(B1364,Phone_by_Price!$A$2:$A$34,Phone_by_Price!$B$2:$B$34,"-",0,1)</f>
        <v>Xiaomi Redmi Note 10</v>
      </c>
      <c r="D1364" t="str">
        <f>_xlfn.XLOOKUP(C1364,Phone_by_Sentiment!$B$2:$B$37,Phone_by_Sentiment!$A$2:$A$37,"-",0,1)</f>
        <v>2021-03</v>
      </c>
      <c r="E1364" cm="1">
        <f t="array" ref="E1364">IF($Q1364&gt;=0,IFERROR(generateSalesData($D1364, IF(ISNUMBER(_xlfn.XLOOKUP($C1364,Phone_by_Sentiment!$B$2:$B$37,Phone_by_Sentiment!E$2:E$37,"",0,1)),_xlfn.XLOOKUP($C1364,Phone_by_Sentiment!$B$2:$B$37,Phone_by_Sentiment!E$2:E$37,"",0,1),0),$A1364-TEXT(DATEVALUE($D1364&amp;"-01"), "dd-mm-yyyy")),0),0)</f>
        <v>617</v>
      </c>
      <c r="F1364" cm="1">
        <f t="array" ref="F1364">IF($Q1364&gt;=0,IFERROR(generateSalesData($D1364, IF(ISNUMBER(_xlfn.XLOOKUP($C1364,Phone_by_Sentiment!$B$2:$B$37,Phone_by_Sentiment!F$2:F$37,"",0,1)),_xlfn.XLOOKUP($C1364,Phone_by_Sentiment!$B$2:$B$37,Phone_by_Sentiment!F$2:F$37,"",0,1),0),$A1364-TEXT(DATEVALUE($D1364&amp;"-01"), "dd-mm-yyyy")),0),0)</f>
        <v>167</v>
      </c>
      <c r="G1364" cm="1">
        <f t="array" ref="G1364">IF($Q1364&gt;=0,IFERROR(generateSalesData($D1364, IF(ISNUMBER(_xlfn.XLOOKUP($C1364,Phone_by_Sentiment!$B$2:$B$37,Phone_by_Sentiment!G$2:G$37,"",0,1)),_xlfn.XLOOKUP($C1364,Phone_by_Sentiment!$B$2:$B$37,Phone_by_Sentiment!G$2:G$37,"",0,1),0),$A1364-TEXT(DATEVALUE($D1364&amp;"-01"), "dd-mm-yyyy")),0),0)</f>
        <v>213</v>
      </c>
      <c r="H1364" cm="1">
        <f t="array" ref="H1364">IF($Q1364&gt;=0,IFERROR(generateSalesData($D1364, IF(ISNUMBER(_xlfn.XLOOKUP($C1364,Phone_by_Sentiment!$B$2:$B$37,Phone_by_Sentiment!H$2:H$37,"",0,1)),_xlfn.XLOOKUP($C1364,Phone_by_Sentiment!$B$2:$B$37,Phone_by_Sentiment!H$2:H$37,"",0,1),0),$A1364-TEXT(DATEVALUE($D1364&amp;"-01"), "dd-mm-yyyy")),0),0)</f>
        <v>254</v>
      </c>
      <c r="I1364" cm="1">
        <f t="array" ref="I1364">IF($Q1364&gt;=0,IFERROR(generateSalesData($D1364, IF(ISNUMBER(_xlfn.XLOOKUP($C1364,Phone_by_Sentiment!$B$2:$B$37,Phone_by_Sentiment!I$2:I$37,"",0,1)),_xlfn.XLOOKUP($C1364,Phone_by_Sentiment!$B$2:$B$37,Phone_by_Sentiment!I$2:I$37,"",0,1),0),$A1364-TEXT(DATEVALUE($D1364&amp;"-01"), "dd-mm-yyyy")),0),0)</f>
        <v>765</v>
      </c>
      <c r="J1364" cm="1">
        <f t="array" ref="J1364">IF($Q1364&gt;=0,IFERROR(generateSalesData($D1364, IF(ISNUMBER(_xlfn.XLOOKUP($C1364,Phone_by_Sentiment!$B$2:$B$37,Phone_by_Sentiment!J$2:J$37,"",0,1)),_xlfn.XLOOKUP($C1364,Phone_by_Sentiment!$B$2:$B$37,Phone_by_Sentiment!J$2:J$37,"",0,1),0),$A1364-TEXT(DATEVALUE($D1364&amp;"-01"), "dd-mm-yyyy")),0),0)</f>
        <v>412</v>
      </c>
      <c r="K1364" cm="1">
        <f t="array" ref="K1364">IF($Q1364&gt;=0,IFERROR(generateSalesData($D1364, IF(ISNUMBER(_xlfn.XLOOKUP($C1364,Phone_by_Sentiment!$B$2:$B$37,Phone_by_Sentiment!K$2:K$37,"",0,1)),_xlfn.XLOOKUP($C1364,Phone_by_Sentiment!$B$2:$B$37,Phone_by_Sentiment!K$2:K$37,"",0,1),0),$A1364-TEXT(DATEVALUE($D1364&amp;"-01"), "dd-mm-yyyy")),0),0)</f>
        <v>208</v>
      </c>
      <c r="L1364" cm="1">
        <f t="array" ref="L1364">IF($Q1364&gt;=0,IFERROR(generateSalesData($D1364, IF(ISNUMBER(_xlfn.XLOOKUP($C1364,Phone_by_Sentiment!$B$2:$B$37,Phone_by_Sentiment!L$2:L$37,"",0,1)),_xlfn.XLOOKUP($C1364,Phone_by_Sentiment!$B$2:$B$37,Phone_by_Sentiment!L$2:L$37,"",0,1),0),$A1364-TEXT(DATEVALUE($D1364&amp;"-01"), "dd-mm-yyyy")),0),0)</f>
        <v>695</v>
      </c>
      <c r="M1364" cm="1">
        <f t="array" ref="M1364">IF($Q1364&gt;=0,IFERROR(generateSalesData($D1364, IF(ISNUMBER(_xlfn.XLOOKUP($C1364,Phone_by_Sentiment!$B$2:$B$37,Phone_by_Sentiment!M$2:M$37,"",0,1)),_xlfn.XLOOKUP($C1364,Phone_by_Sentiment!$B$2:$B$37,Phone_by_Sentiment!M$2:M$37,"",0,1),0),$A1364-TEXT(DATEVALUE($D1364&amp;"-01"), "dd-mm-yyyy")),0),0)</f>
        <v>118</v>
      </c>
      <c r="N1364" cm="1">
        <f t="array" ref="N1364">IF($Q1364&gt;=0,IFERROR(generateSalesData($D1364, IF(ISNUMBER(_xlfn.XLOOKUP($C1364,Phone_by_Sentiment!$B$2:$B$37,Phone_by_Sentiment!N$2:N$37,"",0,1)),_xlfn.XLOOKUP($C1364,Phone_by_Sentiment!$B$2:$B$37,Phone_by_Sentiment!N$2:N$37,"",0,1),0),$A1364-TEXT(DATEVALUE($D1364&amp;"-01"), "dd-mm-yyyy")),0),0)</f>
        <v>653</v>
      </c>
      <c r="O1364" cm="1">
        <f t="array" ref="O1364">IF($Q1364&gt;=0,IFERROR(generateSalesData($D1364, IF(ISNUMBER(_xlfn.XLOOKUP($C1364,Phone_by_Sentiment!$B$2:$B$37,Phone_by_Sentiment!O$2:O$37,"",0,1)),_xlfn.XLOOKUP($C1364,Phone_by_Sentiment!$B$2:$B$37,Phone_by_Sentiment!O$2:O$37,"",0,1),0),$A1364-TEXT(DATEVALUE($D1364&amp;"-01"), "dd-mm-yyyy")),0),0)</f>
        <v>892</v>
      </c>
      <c r="P1364" s="1">
        <f t="shared" si="51"/>
        <v>44256</v>
      </c>
      <c r="Q1364">
        <f t="shared" si="55"/>
        <v>365</v>
      </c>
    </row>
    <row r="1365" spans="1:17" x14ac:dyDescent="0.25">
      <c r="A1365" s="1">
        <f t="shared" si="54"/>
        <v>44621</v>
      </c>
      <c r="B1365" t="s">
        <v>145</v>
      </c>
      <c r="C1365" t="str">
        <f>_xlfn.XLOOKUP(B1365,Phone_by_Price!$A$2:$A$34,Phone_by_Price!$B$2:$B$34,"-",0,1)</f>
        <v>OPPO A54</v>
      </c>
      <c r="D1365" t="str">
        <f>_xlfn.XLOOKUP(C1365,Phone_by_Sentiment!$B$2:$B$37,Phone_by_Sentiment!$A$2:$A$37,"-",0,1)</f>
        <v>2021-04</v>
      </c>
      <c r="E1365" cm="1">
        <f t="array" ref="E1365">IF($Q1365&gt;=0,IFERROR(generateSalesData($D1365, IF(ISNUMBER(_xlfn.XLOOKUP($C1365,Phone_by_Sentiment!$B$2:$B$37,Phone_by_Sentiment!E$2:E$37,"",0,1)),_xlfn.XLOOKUP($C1365,Phone_by_Sentiment!$B$2:$B$37,Phone_by_Sentiment!E$2:E$37,"",0,1),0),$A1365-TEXT(DATEVALUE($D1365&amp;"-01"), "dd-mm-yyyy")),0),0)</f>
        <v>500</v>
      </c>
      <c r="F1365" cm="1">
        <f t="array" ref="F1365">IF($Q1365&gt;=0,IFERROR(generateSalesData($D1365, IF(ISNUMBER(_xlfn.XLOOKUP($C1365,Phone_by_Sentiment!$B$2:$B$37,Phone_by_Sentiment!F$2:F$37,"",0,1)),_xlfn.XLOOKUP($C1365,Phone_by_Sentiment!$B$2:$B$37,Phone_by_Sentiment!F$2:F$37,"",0,1),0),$A1365-TEXT(DATEVALUE($D1365&amp;"-01"), "dd-mm-yyyy")),0),0)</f>
        <v>-73</v>
      </c>
      <c r="G1365" cm="1">
        <f t="array" ref="G1365">IF($Q1365&gt;=0,IFERROR(generateSalesData($D1365, IF(ISNUMBER(_xlfn.XLOOKUP($C1365,Phone_by_Sentiment!$B$2:$B$37,Phone_by_Sentiment!G$2:G$37,"",0,1)),_xlfn.XLOOKUP($C1365,Phone_by_Sentiment!$B$2:$B$37,Phone_by_Sentiment!G$2:G$37,"",0,1),0),$A1365-TEXT(DATEVALUE($D1365&amp;"-01"), "dd-mm-yyyy")),0),0)</f>
        <v>286</v>
      </c>
      <c r="H1365" cm="1">
        <f t="array" ref="H1365">IF($Q1365&gt;=0,IFERROR(generateSalesData($D1365, IF(ISNUMBER(_xlfn.XLOOKUP($C1365,Phone_by_Sentiment!$B$2:$B$37,Phone_by_Sentiment!H$2:H$37,"",0,1)),_xlfn.XLOOKUP($C1365,Phone_by_Sentiment!$B$2:$B$37,Phone_by_Sentiment!H$2:H$37,"",0,1),0),$A1365-TEXT(DATEVALUE($D1365&amp;"-01"), "dd-mm-yyyy")),0),0)</f>
        <v>428</v>
      </c>
      <c r="I1365" cm="1">
        <f t="array" ref="I1365">IF($Q1365&gt;=0,IFERROR(generateSalesData($D1365, IF(ISNUMBER(_xlfn.XLOOKUP($C1365,Phone_by_Sentiment!$B$2:$B$37,Phone_by_Sentiment!I$2:I$37,"",0,1)),_xlfn.XLOOKUP($C1365,Phone_by_Sentiment!$B$2:$B$37,Phone_by_Sentiment!I$2:I$37,"",0,1),0),$A1365-TEXT(DATEVALUE($D1365&amp;"-01"), "dd-mm-yyyy")),0),0)</f>
        <v>867</v>
      </c>
      <c r="J1365" cm="1">
        <f t="array" ref="J1365">IF($Q1365&gt;=0,IFERROR(generateSalesData($D1365, IF(ISNUMBER(_xlfn.XLOOKUP($C1365,Phone_by_Sentiment!$B$2:$B$37,Phone_by_Sentiment!J$2:J$37,"",0,1)),_xlfn.XLOOKUP($C1365,Phone_by_Sentiment!$B$2:$B$37,Phone_by_Sentiment!J$2:J$37,"",0,1),0),$A1365-TEXT(DATEVALUE($D1365&amp;"-01"), "dd-mm-yyyy")),0),0)</f>
        <v>145</v>
      </c>
      <c r="K1365" cm="1">
        <f t="array" ref="K1365">IF($Q1365&gt;=0,IFERROR(generateSalesData($D1365, IF(ISNUMBER(_xlfn.XLOOKUP($C1365,Phone_by_Sentiment!$B$2:$B$37,Phone_by_Sentiment!K$2:K$37,"",0,1)),_xlfn.XLOOKUP($C1365,Phone_by_Sentiment!$B$2:$B$37,Phone_by_Sentiment!K$2:K$37,"",0,1),0),$A1365-TEXT(DATEVALUE($D1365&amp;"-01"), "dd-mm-yyyy")),0),0)</f>
        <v>288</v>
      </c>
      <c r="L1365" cm="1">
        <f t="array" ref="L1365">IF($Q1365&gt;=0,IFERROR(generateSalesData($D1365, IF(ISNUMBER(_xlfn.XLOOKUP($C1365,Phone_by_Sentiment!$B$2:$B$37,Phone_by_Sentiment!L$2:L$37,"",0,1)),_xlfn.XLOOKUP($C1365,Phone_by_Sentiment!$B$2:$B$37,Phone_by_Sentiment!L$2:L$37,"",0,1),0),$A1365-TEXT(DATEVALUE($D1365&amp;"-01"), "dd-mm-yyyy")),0),0)</f>
        <v>689</v>
      </c>
      <c r="M1365" cm="1">
        <f t="array" ref="M1365">IF($Q1365&gt;=0,IFERROR(generateSalesData($D1365, IF(ISNUMBER(_xlfn.XLOOKUP($C1365,Phone_by_Sentiment!$B$2:$B$37,Phone_by_Sentiment!M$2:M$37,"",0,1)),_xlfn.XLOOKUP($C1365,Phone_by_Sentiment!$B$2:$B$37,Phone_by_Sentiment!M$2:M$37,"",0,1),0),$A1365-TEXT(DATEVALUE($D1365&amp;"-01"), "dd-mm-yyyy")),0),0)</f>
        <v>180</v>
      </c>
      <c r="N1365" cm="1">
        <f t="array" ref="N1365">IF($Q1365&gt;=0,IFERROR(generateSalesData($D1365, IF(ISNUMBER(_xlfn.XLOOKUP($C1365,Phone_by_Sentiment!$B$2:$B$37,Phone_by_Sentiment!N$2:N$37,"",0,1)),_xlfn.XLOOKUP($C1365,Phone_by_Sentiment!$B$2:$B$37,Phone_by_Sentiment!N$2:N$37,"",0,1),0),$A1365-TEXT(DATEVALUE($D1365&amp;"-01"), "dd-mm-yyyy")),0),0)</f>
        <v>623</v>
      </c>
      <c r="O1365" cm="1">
        <f t="array" ref="O1365">IF($Q1365&gt;=0,IFERROR(generateSalesData($D1365, IF(ISNUMBER(_xlfn.XLOOKUP($C1365,Phone_by_Sentiment!$B$2:$B$37,Phone_by_Sentiment!O$2:O$37,"",0,1)),_xlfn.XLOOKUP($C1365,Phone_by_Sentiment!$B$2:$B$37,Phone_by_Sentiment!O$2:O$37,"",0,1),0),$A1365-TEXT(DATEVALUE($D1365&amp;"-01"), "dd-mm-yyyy")),0),0)</f>
        <v>204</v>
      </c>
      <c r="P1365" s="1">
        <f t="shared" si="51"/>
        <v>44287</v>
      </c>
      <c r="Q1365">
        <f t="shared" si="55"/>
        <v>334</v>
      </c>
    </row>
    <row r="1366" spans="1:17" x14ac:dyDescent="0.25">
      <c r="A1366" s="1">
        <f t="shared" si="54"/>
        <v>44652</v>
      </c>
      <c r="B1366" t="s">
        <v>144</v>
      </c>
      <c r="C1366" t="str">
        <f>_xlfn.XLOOKUP(B1366,Phone_by_Price!$A$2:$A$34,Phone_by_Price!$B$2:$B$34,"-",0,1)</f>
        <v>Xiaomi Redmi Note 10</v>
      </c>
      <c r="D1366" t="str">
        <f>_xlfn.XLOOKUP(C1366,Phone_by_Sentiment!$B$2:$B$37,Phone_by_Sentiment!$A$2:$A$37,"-",0,1)</f>
        <v>2021-03</v>
      </c>
      <c r="E1366" cm="1">
        <f t="array" ref="E1366">IF($Q1366&gt;=0,IFERROR(generateSalesData($D1366, IF(ISNUMBER(_xlfn.XLOOKUP($C1366,Phone_by_Sentiment!$B$2:$B$37,Phone_by_Sentiment!E$2:E$37,"",0,1)),_xlfn.XLOOKUP($C1366,Phone_by_Sentiment!$B$2:$B$37,Phone_by_Sentiment!E$2:E$37,"",0,1),0),$A1366-TEXT(DATEVALUE($D1366&amp;"-01"), "dd-mm-yyyy")),0),0)</f>
        <v>108</v>
      </c>
      <c r="F1366" cm="1">
        <f t="array" ref="F1366">IF($Q1366&gt;=0,IFERROR(generateSalesData($D1366, IF(ISNUMBER(_xlfn.XLOOKUP($C1366,Phone_by_Sentiment!$B$2:$B$37,Phone_by_Sentiment!F$2:F$37,"",0,1)),_xlfn.XLOOKUP($C1366,Phone_by_Sentiment!$B$2:$B$37,Phone_by_Sentiment!F$2:F$37,"",0,1),0),$A1366-TEXT(DATEVALUE($D1366&amp;"-01"), "dd-mm-yyyy")),0),0)</f>
        <v>109</v>
      </c>
      <c r="G1366" cm="1">
        <f t="array" ref="G1366">IF($Q1366&gt;=0,IFERROR(generateSalesData($D1366, IF(ISNUMBER(_xlfn.XLOOKUP($C1366,Phone_by_Sentiment!$B$2:$B$37,Phone_by_Sentiment!G$2:G$37,"",0,1)),_xlfn.XLOOKUP($C1366,Phone_by_Sentiment!$B$2:$B$37,Phone_by_Sentiment!G$2:G$37,"",0,1),0),$A1366-TEXT(DATEVALUE($D1366&amp;"-01"), "dd-mm-yyyy")),0),0)</f>
        <v>16</v>
      </c>
      <c r="H1366" cm="1">
        <f t="array" ref="H1366">IF($Q1366&gt;=0,IFERROR(generateSalesData($D1366, IF(ISNUMBER(_xlfn.XLOOKUP($C1366,Phone_by_Sentiment!$B$2:$B$37,Phone_by_Sentiment!H$2:H$37,"",0,1)),_xlfn.XLOOKUP($C1366,Phone_by_Sentiment!$B$2:$B$37,Phone_by_Sentiment!H$2:H$37,"",0,1),0),$A1366-TEXT(DATEVALUE($D1366&amp;"-01"), "dd-mm-yyyy")),0),0)</f>
        <v>639</v>
      </c>
      <c r="I1366" cm="1">
        <f t="array" ref="I1366">IF($Q1366&gt;=0,IFERROR(generateSalesData($D1366, IF(ISNUMBER(_xlfn.XLOOKUP($C1366,Phone_by_Sentiment!$B$2:$B$37,Phone_by_Sentiment!I$2:I$37,"",0,1)),_xlfn.XLOOKUP($C1366,Phone_by_Sentiment!$B$2:$B$37,Phone_by_Sentiment!I$2:I$37,"",0,1),0),$A1366-TEXT(DATEVALUE($D1366&amp;"-01"), "dd-mm-yyyy")),0),0)</f>
        <v>900</v>
      </c>
      <c r="J1366" cm="1">
        <f t="array" ref="J1366">IF($Q1366&gt;=0,IFERROR(generateSalesData($D1366, IF(ISNUMBER(_xlfn.XLOOKUP($C1366,Phone_by_Sentiment!$B$2:$B$37,Phone_by_Sentiment!J$2:J$37,"",0,1)),_xlfn.XLOOKUP($C1366,Phone_by_Sentiment!$B$2:$B$37,Phone_by_Sentiment!J$2:J$37,"",0,1),0),$A1366-TEXT(DATEVALUE($D1366&amp;"-01"), "dd-mm-yyyy")),0),0)</f>
        <v>180</v>
      </c>
      <c r="K1366" cm="1">
        <f t="array" ref="K1366">IF($Q1366&gt;=0,IFERROR(generateSalesData($D1366, IF(ISNUMBER(_xlfn.XLOOKUP($C1366,Phone_by_Sentiment!$B$2:$B$37,Phone_by_Sentiment!K$2:K$37,"",0,1)),_xlfn.XLOOKUP($C1366,Phone_by_Sentiment!$B$2:$B$37,Phone_by_Sentiment!K$2:K$37,"",0,1),0),$A1366-TEXT(DATEVALUE($D1366&amp;"-01"), "dd-mm-yyyy")),0),0)</f>
        <v>569</v>
      </c>
      <c r="L1366" cm="1">
        <f t="array" ref="L1366">IF($Q1366&gt;=0,IFERROR(generateSalesData($D1366, IF(ISNUMBER(_xlfn.XLOOKUP($C1366,Phone_by_Sentiment!$B$2:$B$37,Phone_by_Sentiment!L$2:L$37,"",0,1)),_xlfn.XLOOKUP($C1366,Phone_by_Sentiment!$B$2:$B$37,Phone_by_Sentiment!L$2:L$37,"",0,1),0),$A1366-TEXT(DATEVALUE($D1366&amp;"-01"), "dd-mm-yyyy")),0),0)</f>
        <v>555</v>
      </c>
      <c r="M1366" cm="1">
        <f t="array" ref="M1366">IF($Q1366&gt;=0,IFERROR(generateSalesData($D1366, IF(ISNUMBER(_xlfn.XLOOKUP($C1366,Phone_by_Sentiment!$B$2:$B$37,Phone_by_Sentiment!M$2:M$37,"",0,1)),_xlfn.XLOOKUP($C1366,Phone_by_Sentiment!$B$2:$B$37,Phone_by_Sentiment!M$2:M$37,"",0,1),0),$A1366-TEXT(DATEVALUE($D1366&amp;"-01"), "dd-mm-yyyy")),0),0)</f>
        <v>153</v>
      </c>
      <c r="N1366" cm="1">
        <f t="array" ref="N1366">IF($Q1366&gt;=0,IFERROR(generateSalesData($D1366, IF(ISNUMBER(_xlfn.XLOOKUP($C1366,Phone_by_Sentiment!$B$2:$B$37,Phone_by_Sentiment!N$2:N$37,"",0,1)),_xlfn.XLOOKUP($C1366,Phone_by_Sentiment!$B$2:$B$37,Phone_by_Sentiment!N$2:N$37,"",0,1),0),$A1366-TEXT(DATEVALUE($D1366&amp;"-01"), "dd-mm-yyyy")),0),0)</f>
        <v>848</v>
      </c>
      <c r="O1366" cm="1">
        <f t="array" ref="O1366">IF($Q1366&gt;=0,IFERROR(generateSalesData($D1366, IF(ISNUMBER(_xlfn.XLOOKUP($C1366,Phone_by_Sentiment!$B$2:$B$37,Phone_by_Sentiment!O$2:O$37,"",0,1)),_xlfn.XLOOKUP($C1366,Phone_by_Sentiment!$B$2:$B$37,Phone_by_Sentiment!O$2:O$37,"",0,1),0),$A1366-TEXT(DATEVALUE($D1366&amp;"-01"), "dd-mm-yyyy")),0),0)</f>
        <v>749</v>
      </c>
      <c r="P1366" s="1">
        <f t="shared" si="51"/>
        <v>44256</v>
      </c>
      <c r="Q1366">
        <f t="shared" si="55"/>
        <v>396</v>
      </c>
    </row>
    <row r="1367" spans="1:17" x14ac:dyDescent="0.25">
      <c r="A1367" s="1">
        <f t="shared" si="54"/>
        <v>44652</v>
      </c>
      <c r="B1367" t="s">
        <v>145</v>
      </c>
      <c r="C1367" t="str">
        <f>_xlfn.XLOOKUP(B1367,Phone_by_Price!$A$2:$A$34,Phone_by_Price!$B$2:$B$34,"-",0,1)</f>
        <v>OPPO A54</v>
      </c>
      <c r="D1367" t="str">
        <f>_xlfn.XLOOKUP(C1367,Phone_by_Sentiment!$B$2:$B$37,Phone_by_Sentiment!$A$2:$A$37,"-",0,1)</f>
        <v>2021-04</v>
      </c>
      <c r="E1367" cm="1">
        <f t="array" ref="E1367">IF($Q1367&gt;=0,IFERROR(generateSalesData($D1367, IF(ISNUMBER(_xlfn.XLOOKUP($C1367,Phone_by_Sentiment!$B$2:$B$37,Phone_by_Sentiment!E$2:E$37,"",0,1)),_xlfn.XLOOKUP($C1367,Phone_by_Sentiment!$B$2:$B$37,Phone_by_Sentiment!E$2:E$37,"",0,1),0),$A1367-TEXT(DATEVALUE($D1367&amp;"-01"), "dd-mm-yyyy")),0),0)</f>
        <v>316</v>
      </c>
      <c r="F1367" cm="1">
        <f t="array" ref="F1367">IF($Q1367&gt;=0,IFERROR(generateSalesData($D1367, IF(ISNUMBER(_xlfn.XLOOKUP($C1367,Phone_by_Sentiment!$B$2:$B$37,Phone_by_Sentiment!F$2:F$37,"",0,1)),_xlfn.XLOOKUP($C1367,Phone_by_Sentiment!$B$2:$B$37,Phone_by_Sentiment!F$2:F$37,"",0,1),0),$A1367-TEXT(DATEVALUE($D1367&amp;"-01"), "dd-mm-yyyy")),0),0)</f>
        <v>140</v>
      </c>
      <c r="G1367" cm="1">
        <f t="array" ref="G1367">IF($Q1367&gt;=0,IFERROR(generateSalesData($D1367, IF(ISNUMBER(_xlfn.XLOOKUP($C1367,Phone_by_Sentiment!$B$2:$B$37,Phone_by_Sentiment!G$2:G$37,"",0,1)),_xlfn.XLOOKUP($C1367,Phone_by_Sentiment!$B$2:$B$37,Phone_by_Sentiment!G$2:G$37,"",0,1),0),$A1367-TEXT(DATEVALUE($D1367&amp;"-01"), "dd-mm-yyyy")),0),0)</f>
        <v>185</v>
      </c>
      <c r="H1367" cm="1">
        <f t="array" ref="H1367">IF($Q1367&gt;=0,IFERROR(generateSalesData($D1367, IF(ISNUMBER(_xlfn.XLOOKUP($C1367,Phone_by_Sentiment!$B$2:$B$37,Phone_by_Sentiment!H$2:H$37,"",0,1)),_xlfn.XLOOKUP($C1367,Phone_by_Sentiment!$B$2:$B$37,Phone_by_Sentiment!H$2:H$37,"",0,1),0),$A1367-TEXT(DATEVALUE($D1367&amp;"-01"), "dd-mm-yyyy")),0),0)</f>
        <v>681</v>
      </c>
      <c r="I1367" cm="1">
        <f t="array" ref="I1367">IF($Q1367&gt;=0,IFERROR(generateSalesData($D1367, IF(ISNUMBER(_xlfn.XLOOKUP($C1367,Phone_by_Sentiment!$B$2:$B$37,Phone_by_Sentiment!I$2:I$37,"",0,1)),_xlfn.XLOOKUP($C1367,Phone_by_Sentiment!$B$2:$B$37,Phone_by_Sentiment!I$2:I$37,"",0,1),0),$A1367-TEXT(DATEVALUE($D1367&amp;"-01"), "dd-mm-yyyy")),0),0)</f>
        <v>173</v>
      </c>
      <c r="J1367" cm="1">
        <f t="array" ref="J1367">IF($Q1367&gt;=0,IFERROR(generateSalesData($D1367, IF(ISNUMBER(_xlfn.XLOOKUP($C1367,Phone_by_Sentiment!$B$2:$B$37,Phone_by_Sentiment!J$2:J$37,"",0,1)),_xlfn.XLOOKUP($C1367,Phone_by_Sentiment!$B$2:$B$37,Phone_by_Sentiment!J$2:J$37,"",0,1),0),$A1367-TEXT(DATEVALUE($D1367&amp;"-01"), "dd-mm-yyyy")),0),0)</f>
        <v>187</v>
      </c>
      <c r="K1367" cm="1">
        <f t="array" ref="K1367">IF($Q1367&gt;=0,IFERROR(generateSalesData($D1367, IF(ISNUMBER(_xlfn.XLOOKUP($C1367,Phone_by_Sentiment!$B$2:$B$37,Phone_by_Sentiment!K$2:K$37,"",0,1)),_xlfn.XLOOKUP($C1367,Phone_by_Sentiment!$B$2:$B$37,Phone_by_Sentiment!K$2:K$37,"",0,1),0),$A1367-TEXT(DATEVALUE($D1367&amp;"-01"), "dd-mm-yyyy")),0),0)</f>
        <v>274</v>
      </c>
      <c r="L1367" cm="1">
        <f t="array" ref="L1367">IF($Q1367&gt;=0,IFERROR(generateSalesData($D1367, IF(ISNUMBER(_xlfn.XLOOKUP($C1367,Phone_by_Sentiment!$B$2:$B$37,Phone_by_Sentiment!L$2:L$37,"",0,1)),_xlfn.XLOOKUP($C1367,Phone_by_Sentiment!$B$2:$B$37,Phone_by_Sentiment!L$2:L$37,"",0,1),0),$A1367-TEXT(DATEVALUE($D1367&amp;"-01"), "dd-mm-yyyy")),0),0)</f>
        <v>140</v>
      </c>
      <c r="M1367" cm="1">
        <f t="array" ref="M1367">IF($Q1367&gt;=0,IFERROR(generateSalesData($D1367, IF(ISNUMBER(_xlfn.XLOOKUP($C1367,Phone_by_Sentiment!$B$2:$B$37,Phone_by_Sentiment!M$2:M$37,"",0,1)),_xlfn.XLOOKUP($C1367,Phone_by_Sentiment!$B$2:$B$37,Phone_by_Sentiment!M$2:M$37,"",0,1),0),$A1367-TEXT(DATEVALUE($D1367&amp;"-01"), "dd-mm-yyyy")),0),0)</f>
        <v>321</v>
      </c>
      <c r="N1367" cm="1">
        <f t="array" ref="N1367">IF($Q1367&gt;=0,IFERROR(generateSalesData($D1367, IF(ISNUMBER(_xlfn.XLOOKUP($C1367,Phone_by_Sentiment!$B$2:$B$37,Phone_by_Sentiment!N$2:N$37,"",0,1)),_xlfn.XLOOKUP($C1367,Phone_by_Sentiment!$B$2:$B$37,Phone_by_Sentiment!N$2:N$37,"",0,1),0),$A1367-TEXT(DATEVALUE($D1367&amp;"-01"), "dd-mm-yyyy")),0),0)</f>
        <v>870</v>
      </c>
      <c r="O1367" cm="1">
        <f t="array" ref="O1367">IF($Q1367&gt;=0,IFERROR(generateSalesData($D1367, IF(ISNUMBER(_xlfn.XLOOKUP($C1367,Phone_by_Sentiment!$B$2:$B$37,Phone_by_Sentiment!O$2:O$37,"",0,1)),_xlfn.XLOOKUP($C1367,Phone_by_Sentiment!$B$2:$B$37,Phone_by_Sentiment!O$2:O$37,"",0,1),0),$A1367-TEXT(DATEVALUE($D1367&amp;"-01"), "dd-mm-yyyy")),0),0)</f>
        <v>206</v>
      </c>
      <c r="P1367" s="1">
        <f t="shared" si="51"/>
        <v>44287</v>
      </c>
      <c r="Q1367">
        <f t="shared" si="55"/>
        <v>365</v>
      </c>
    </row>
    <row r="1368" spans="1:17" x14ac:dyDescent="0.25">
      <c r="A1368" s="1">
        <f t="shared" si="54"/>
        <v>44652</v>
      </c>
      <c r="B1368" t="s">
        <v>146</v>
      </c>
      <c r="C1368" t="str">
        <f>_xlfn.XLOOKUP(B1368,Phone_by_Price!$A$2:$A$34,Phone_by_Price!$B$2:$B$34,"-",0,1)</f>
        <v>Vivo Y20</v>
      </c>
      <c r="D1368" t="str">
        <f>_xlfn.XLOOKUP(C1368,Phone_by_Sentiment!$B$2:$B$37,Phone_by_Sentiment!$A$2:$A$37,"-",0,1)</f>
        <v>2020-09</v>
      </c>
      <c r="E1368" cm="1">
        <f t="array" ref="E1368">IF($Q1368&gt;=0,IFERROR(generateSalesData($D1368, IF(ISNUMBER(_xlfn.XLOOKUP($C1368,Phone_by_Sentiment!$B$2:$B$37,Phone_by_Sentiment!E$2:E$37,"",0,1)),_xlfn.XLOOKUP($C1368,Phone_by_Sentiment!$B$2:$B$37,Phone_by_Sentiment!E$2:E$37,"",0,1),0),$A1368-TEXT(DATEVALUE($D1368&amp;"-01"), "dd-mm-yyyy")),0),0)</f>
        <v>-49</v>
      </c>
      <c r="F1368" cm="1">
        <f t="array" ref="F1368">IF($Q1368&gt;=0,IFERROR(generateSalesData($D1368, IF(ISNUMBER(_xlfn.XLOOKUP($C1368,Phone_by_Sentiment!$B$2:$B$37,Phone_by_Sentiment!F$2:F$37,"",0,1)),_xlfn.XLOOKUP($C1368,Phone_by_Sentiment!$B$2:$B$37,Phone_by_Sentiment!F$2:F$37,"",0,1),0),$A1368-TEXT(DATEVALUE($D1368&amp;"-01"), "dd-mm-yyyy")),0),0)</f>
        <v>397</v>
      </c>
      <c r="G1368" cm="1">
        <f t="array" ref="G1368">IF($Q1368&gt;=0,IFERROR(generateSalesData($D1368, IF(ISNUMBER(_xlfn.XLOOKUP($C1368,Phone_by_Sentiment!$B$2:$B$37,Phone_by_Sentiment!G$2:G$37,"",0,1)),_xlfn.XLOOKUP($C1368,Phone_by_Sentiment!$B$2:$B$37,Phone_by_Sentiment!G$2:G$37,"",0,1),0),$A1368-TEXT(DATEVALUE($D1368&amp;"-01"), "dd-mm-yyyy")),0),0)</f>
        <v>132</v>
      </c>
      <c r="H1368" cm="1">
        <f t="array" ref="H1368">IF($Q1368&gt;=0,IFERROR(generateSalesData($D1368, IF(ISNUMBER(_xlfn.XLOOKUP($C1368,Phone_by_Sentiment!$B$2:$B$37,Phone_by_Sentiment!H$2:H$37,"",0,1)),_xlfn.XLOOKUP($C1368,Phone_by_Sentiment!$B$2:$B$37,Phone_by_Sentiment!H$2:H$37,"",0,1),0),$A1368-TEXT(DATEVALUE($D1368&amp;"-01"), "dd-mm-yyyy")),0),0)</f>
        <v>77</v>
      </c>
      <c r="I1368" cm="1">
        <f t="array" ref="I1368">IF($Q1368&gt;=0,IFERROR(generateSalesData($D1368, IF(ISNUMBER(_xlfn.XLOOKUP($C1368,Phone_by_Sentiment!$B$2:$B$37,Phone_by_Sentiment!I$2:I$37,"",0,1)),_xlfn.XLOOKUP($C1368,Phone_by_Sentiment!$B$2:$B$37,Phone_by_Sentiment!I$2:I$37,"",0,1),0),$A1368-TEXT(DATEVALUE($D1368&amp;"-01"), "dd-mm-yyyy")),0),0)</f>
        <v>143</v>
      </c>
      <c r="J1368" cm="1">
        <f t="array" ref="J1368">IF($Q1368&gt;=0,IFERROR(generateSalesData($D1368, IF(ISNUMBER(_xlfn.XLOOKUP($C1368,Phone_by_Sentiment!$B$2:$B$37,Phone_by_Sentiment!J$2:J$37,"",0,1)),_xlfn.XLOOKUP($C1368,Phone_by_Sentiment!$B$2:$B$37,Phone_by_Sentiment!J$2:J$37,"",0,1),0),$A1368-TEXT(DATEVALUE($D1368&amp;"-01"), "dd-mm-yyyy")),0),0)</f>
        <v>147</v>
      </c>
      <c r="K1368" cm="1">
        <f t="array" ref="K1368">IF($Q1368&gt;=0,IFERROR(generateSalesData($D1368, IF(ISNUMBER(_xlfn.XLOOKUP($C1368,Phone_by_Sentiment!$B$2:$B$37,Phone_by_Sentiment!K$2:K$37,"",0,1)),_xlfn.XLOOKUP($C1368,Phone_by_Sentiment!$B$2:$B$37,Phone_by_Sentiment!K$2:K$37,"",0,1),0),$A1368-TEXT(DATEVALUE($D1368&amp;"-01"), "dd-mm-yyyy")),0),0)</f>
        <v>157</v>
      </c>
      <c r="L1368" cm="1">
        <f t="array" ref="L1368">IF($Q1368&gt;=0,IFERROR(generateSalesData($D1368, IF(ISNUMBER(_xlfn.XLOOKUP($C1368,Phone_by_Sentiment!$B$2:$B$37,Phone_by_Sentiment!L$2:L$37,"",0,1)),_xlfn.XLOOKUP($C1368,Phone_by_Sentiment!$B$2:$B$37,Phone_by_Sentiment!L$2:L$37,"",0,1),0),$A1368-TEXT(DATEVALUE($D1368&amp;"-01"), "dd-mm-yyyy")),0),0)</f>
        <v>-7</v>
      </c>
      <c r="M1368" cm="1">
        <f t="array" ref="M1368">IF($Q1368&gt;=0,IFERROR(generateSalesData($D1368, IF(ISNUMBER(_xlfn.XLOOKUP($C1368,Phone_by_Sentiment!$B$2:$B$37,Phone_by_Sentiment!M$2:M$37,"",0,1)),_xlfn.XLOOKUP($C1368,Phone_by_Sentiment!$B$2:$B$37,Phone_by_Sentiment!M$2:M$37,"",0,1),0),$A1368-TEXT(DATEVALUE($D1368&amp;"-01"), "dd-mm-yyyy")),0),0)</f>
        <v>-2</v>
      </c>
      <c r="N1368" cm="1">
        <f t="array" ref="N1368">IF($Q1368&gt;=0,IFERROR(generateSalesData($D1368, IF(ISNUMBER(_xlfn.XLOOKUP($C1368,Phone_by_Sentiment!$B$2:$B$37,Phone_by_Sentiment!N$2:N$37,"",0,1)),_xlfn.XLOOKUP($C1368,Phone_by_Sentiment!$B$2:$B$37,Phone_by_Sentiment!N$2:N$37,"",0,1),0),$A1368-TEXT(DATEVALUE($D1368&amp;"-01"), "dd-mm-yyyy")),0),0)</f>
        <v>94</v>
      </c>
      <c r="O1368" cm="1">
        <f t="array" ref="O1368">IF($Q1368&gt;=0,IFERROR(generateSalesData($D1368, IF(ISNUMBER(_xlfn.XLOOKUP($C1368,Phone_by_Sentiment!$B$2:$B$37,Phone_by_Sentiment!O$2:O$37,"",0,1)),_xlfn.XLOOKUP($C1368,Phone_by_Sentiment!$B$2:$B$37,Phone_by_Sentiment!O$2:O$37,"",0,1),0),$A1368-TEXT(DATEVALUE($D1368&amp;"-01"), "dd-mm-yyyy")),0),0)</f>
        <v>176</v>
      </c>
      <c r="P1368" s="1">
        <f t="shared" si="51"/>
        <v>44075</v>
      </c>
      <c r="Q1368">
        <f t="shared" si="55"/>
        <v>577</v>
      </c>
    </row>
    <row r="1369" spans="1:17" x14ac:dyDescent="0.25">
      <c r="A1369" s="1">
        <f t="shared" si="54"/>
        <v>44652</v>
      </c>
      <c r="B1369" t="s">
        <v>147</v>
      </c>
      <c r="C1369" t="str">
        <f>_xlfn.XLOOKUP(B1369,Phone_by_Price!$A$2:$A$34,Phone_by_Price!$B$2:$B$34,"-",0,1)</f>
        <v>Huawei Y9a</v>
      </c>
      <c r="D1369" t="str">
        <f>_xlfn.XLOOKUP(C1369,Phone_by_Sentiment!$B$2:$B$37,Phone_by_Sentiment!$A$2:$A$37,"-",0,1)</f>
        <v>2020-02</v>
      </c>
      <c r="E1369" cm="1">
        <f t="array" ref="E1369">IF($Q1369&gt;=0,IFERROR(generateSalesData($D1369, IF(ISNUMBER(_xlfn.XLOOKUP($C1369,Phone_by_Sentiment!$B$2:$B$37,Phone_by_Sentiment!E$2:E$37,"",0,1)),_xlfn.XLOOKUP($C1369,Phone_by_Sentiment!$B$2:$B$37,Phone_by_Sentiment!E$2:E$37,"",0,1),0),$A1369-TEXT(DATEVALUE($D1369&amp;"-01"), "dd-mm-yyyy")),0),0)</f>
        <v>156</v>
      </c>
      <c r="F1369" cm="1">
        <f t="array" ref="F1369">IF($Q1369&gt;=0,IFERROR(generateSalesData($D1369, IF(ISNUMBER(_xlfn.XLOOKUP($C1369,Phone_by_Sentiment!$B$2:$B$37,Phone_by_Sentiment!F$2:F$37,"",0,1)),_xlfn.XLOOKUP($C1369,Phone_by_Sentiment!$B$2:$B$37,Phone_by_Sentiment!F$2:F$37,"",0,1),0),$A1369-TEXT(DATEVALUE($D1369&amp;"-01"), "dd-mm-yyyy")),0),0)</f>
        <v>221</v>
      </c>
      <c r="G1369" cm="1">
        <f t="array" ref="G1369">IF($Q1369&gt;=0,IFERROR(generateSalesData($D1369, IF(ISNUMBER(_xlfn.XLOOKUP($C1369,Phone_by_Sentiment!$B$2:$B$37,Phone_by_Sentiment!G$2:G$37,"",0,1)),_xlfn.XLOOKUP($C1369,Phone_by_Sentiment!$B$2:$B$37,Phone_by_Sentiment!G$2:G$37,"",0,1),0),$A1369-TEXT(DATEVALUE($D1369&amp;"-01"), "dd-mm-yyyy")),0),0)</f>
        <v>109</v>
      </c>
      <c r="H1369" cm="1">
        <f t="array" ref="H1369">IF($Q1369&gt;=0,IFERROR(generateSalesData($D1369, IF(ISNUMBER(_xlfn.XLOOKUP($C1369,Phone_by_Sentiment!$B$2:$B$37,Phone_by_Sentiment!H$2:H$37,"",0,1)),_xlfn.XLOOKUP($C1369,Phone_by_Sentiment!$B$2:$B$37,Phone_by_Sentiment!H$2:H$37,"",0,1),0),$A1369-TEXT(DATEVALUE($D1369&amp;"-01"), "dd-mm-yyyy")),0),0)</f>
        <v>97</v>
      </c>
      <c r="I1369" cm="1">
        <f t="array" ref="I1369">IF($Q1369&gt;=0,IFERROR(generateSalesData($D1369, IF(ISNUMBER(_xlfn.XLOOKUP($C1369,Phone_by_Sentiment!$B$2:$B$37,Phone_by_Sentiment!I$2:I$37,"",0,1)),_xlfn.XLOOKUP($C1369,Phone_by_Sentiment!$B$2:$B$37,Phone_by_Sentiment!I$2:I$37,"",0,1),0),$A1369-TEXT(DATEVALUE($D1369&amp;"-01"), "dd-mm-yyyy")),0),0)</f>
        <v>148</v>
      </c>
      <c r="J1369" cm="1">
        <f t="array" ref="J1369">IF($Q1369&gt;=0,IFERROR(generateSalesData($D1369, IF(ISNUMBER(_xlfn.XLOOKUP($C1369,Phone_by_Sentiment!$B$2:$B$37,Phone_by_Sentiment!J$2:J$37,"",0,1)),_xlfn.XLOOKUP($C1369,Phone_by_Sentiment!$B$2:$B$37,Phone_by_Sentiment!J$2:J$37,"",0,1),0),$A1369-TEXT(DATEVALUE($D1369&amp;"-01"), "dd-mm-yyyy")),0),0)</f>
        <v>108</v>
      </c>
      <c r="K1369" cm="1">
        <f t="array" ref="K1369">IF($Q1369&gt;=0,IFERROR(generateSalesData($D1369, IF(ISNUMBER(_xlfn.XLOOKUP($C1369,Phone_by_Sentiment!$B$2:$B$37,Phone_by_Sentiment!K$2:K$37,"",0,1)),_xlfn.XLOOKUP($C1369,Phone_by_Sentiment!$B$2:$B$37,Phone_by_Sentiment!K$2:K$37,"",0,1),0),$A1369-TEXT(DATEVALUE($D1369&amp;"-01"), "dd-mm-yyyy")),0),0)</f>
        <v>143</v>
      </c>
      <c r="L1369" cm="1">
        <f t="array" ref="L1369">IF($Q1369&gt;=0,IFERROR(generateSalesData($D1369, IF(ISNUMBER(_xlfn.XLOOKUP($C1369,Phone_by_Sentiment!$B$2:$B$37,Phone_by_Sentiment!L$2:L$37,"",0,1)),_xlfn.XLOOKUP($C1369,Phone_by_Sentiment!$B$2:$B$37,Phone_by_Sentiment!L$2:L$37,"",0,1),0),$A1369-TEXT(DATEVALUE($D1369&amp;"-01"), "dd-mm-yyyy")),0),0)</f>
        <v>61</v>
      </c>
      <c r="M1369" cm="1">
        <f t="array" ref="M1369">IF($Q1369&gt;=0,IFERROR(generateSalesData($D1369, IF(ISNUMBER(_xlfn.XLOOKUP($C1369,Phone_by_Sentiment!$B$2:$B$37,Phone_by_Sentiment!M$2:M$37,"",0,1)),_xlfn.XLOOKUP($C1369,Phone_by_Sentiment!$B$2:$B$37,Phone_by_Sentiment!M$2:M$37,"",0,1),0),$A1369-TEXT(DATEVALUE($D1369&amp;"-01"), "dd-mm-yyyy")),0),0)</f>
        <v>13</v>
      </c>
      <c r="N1369" cm="1">
        <f t="array" ref="N1369">IF($Q1369&gt;=0,IFERROR(generateSalesData($D1369, IF(ISNUMBER(_xlfn.XLOOKUP($C1369,Phone_by_Sentiment!$B$2:$B$37,Phone_by_Sentiment!N$2:N$37,"",0,1)),_xlfn.XLOOKUP($C1369,Phone_by_Sentiment!$B$2:$B$37,Phone_by_Sentiment!N$2:N$37,"",0,1),0),$A1369-TEXT(DATEVALUE($D1369&amp;"-01"), "dd-mm-yyyy")),0),0)</f>
        <v>54</v>
      </c>
      <c r="O1369" cm="1">
        <f t="array" ref="O1369">IF($Q1369&gt;=0,IFERROR(generateSalesData($D1369, IF(ISNUMBER(_xlfn.XLOOKUP($C1369,Phone_by_Sentiment!$B$2:$B$37,Phone_by_Sentiment!O$2:O$37,"",0,1)),_xlfn.XLOOKUP($C1369,Phone_by_Sentiment!$B$2:$B$37,Phone_by_Sentiment!O$2:O$37,"",0,1),0),$A1369-TEXT(DATEVALUE($D1369&amp;"-01"), "dd-mm-yyyy")),0),0)</f>
        <v>132</v>
      </c>
      <c r="P1369" s="1">
        <f t="shared" si="51"/>
        <v>43862</v>
      </c>
      <c r="Q1369">
        <f t="shared" si="55"/>
        <v>790</v>
      </c>
    </row>
    <row r="1370" spans="1:17" x14ac:dyDescent="0.25">
      <c r="A1370" s="1">
        <f t="shared" si="54"/>
        <v>44652</v>
      </c>
      <c r="B1370" t="s">
        <v>148</v>
      </c>
      <c r="C1370" t="str">
        <f>_xlfn.XLOOKUP(B1370,Phone_by_Price!$A$2:$A$34,Phone_by_Price!$B$2:$B$34,"-",0,1)</f>
        <v>Xiaomi Redmi 10</v>
      </c>
      <c r="D1370" t="str">
        <f>_xlfn.XLOOKUP(C1370,Phone_by_Sentiment!$B$2:$B$37,Phone_by_Sentiment!$A$2:$A$37,"-",0,1)</f>
        <v>2021-03</v>
      </c>
      <c r="E1370" cm="1">
        <f t="array" ref="E1370">IF($Q1370&gt;=0,IFERROR(generateSalesData($D1370, IF(ISNUMBER(_xlfn.XLOOKUP($C1370,Phone_by_Sentiment!$B$2:$B$37,Phone_by_Sentiment!E$2:E$37,"",0,1)),_xlfn.XLOOKUP($C1370,Phone_by_Sentiment!$B$2:$B$37,Phone_by_Sentiment!E$2:E$37,"",0,1),0),$A1370-TEXT(DATEVALUE($D1370&amp;"-01"), "dd-mm-yyyy")),0),0)</f>
        <v>411</v>
      </c>
      <c r="F1370" cm="1">
        <f t="array" ref="F1370">IF($Q1370&gt;=0,IFERROR(generateSalesData($D1370, IF(ISNUMBER(_xlfn.XLOOKUP($C1370,Phone_by_Sentiment!$B$2:$B$37,Phone_by_Sentiment!F$2:F$37,"",0,1)),_xlfn.XLOOKUP($C1370,Phone_by_Sentiment!$B$2:$B$37,Phone_by_Sentiment!F$2:F$37,"",0,1),0),$A1370-TEXT(DATEVALUE($D1370&amp;"-01"), "dd-mm-yyyy")),0),0)</f>
        <v>799</v>
      </c>
      <c r="G1370" cm="1">
        <f t="array" ref="G1370">IF($Q1370&gt;=0,IFERROR(generateSalesData($D1370, IF(ISNUMBER(_xlfn.XLOOKUP($C1370,Phone_by_Sentiment!$B$2:$B$37,Phone_by_Sentiment!G$2:G$37,"",0,1)),_xlfn.XLOOKUP($C1370,Phone_by_Sentiment!$B$2:$B$37,Phone_by_Sentiment!G$2:G$37,"",0,1),0),$A1370-TEXT(DATEVALUE($D1370&amp;"-01"), "dd-mm-yyyy")),0),0)</f>
        <v>39</v>
      </c>
      <c r="H1370" cm="1">
        <f t="array" ref="H1370">IF($Q1370&gt;=0,IFERROR(generateSalesData($D1370, IF(ISNUMBER(_xlfn.XLOOKUP($C1370,Phone_by_Sentiment!$B$2:$B$37,Phone_by_Sentiment!H$2:H$37,"",0,1)),_xlfn.XLOOKUP($C1370,Phone_by_Sentiment!$B$2:$B$37,Phone_by_Sentiment!H$2:H$37,"",0,1),0),$A1370-TEXT(DATEVALUE($D1370&amp;"-01"), "dd-mm-yyyy")),0),0)</f>
        <v>77</v>
      </c>
      <c r="I1370" cm="1">
        <f t="array" ref="I1370">IF($Q1370&gt;=0,IFERROR(generateSalesData($D1370, IF(ISNUMBER(_xlfn.XLOOKUP($C1370,Phone_by_Sentiment!$B$2:$B$37,Phone_by_Sentiment!I$2:I$37,"",0,1)),_xlfn.XLOOKUP($C1370,Phone_by_Sentiment!$B$2:$B$37,Phone_by_Sentiment!I$2:I$37,"",0,1),0),$A1370-TEXT(DATEVALUE($D1370&amp;"-01"), "dd-mm-yyyy")),0),0)</f>
        <v>169</v>
      </c>
      <c r="J1370" cm="1">
        <f t="array" ref="J1370">IF($Q1370&gt;=0,IFERROR(generateSalesData($D1370, IF(ISNUMBER(_xlfn.XLOOKUP($C1370,Phone_by_Sentiment!$B$2:$B$37,Phone_by_Sentiment!J$2:J$37,"",0,1)),_xlfn.XLOOKUP($C1370,Phone_by_Sentiment!$B$2:$B$37,Phone_by_Sentiment!J$2:J$37,"",0,1),0),$A1370-TEXT(DATEVALUE($D1370&amp;"-01"), "dd-mm-yyyy")),0),0)</f>
        <v>53</v>
      </c>
      <c r="K1370" cm="1">
        <f t="array" ref="K1370">IF($Q1370&gt;=0,IFERROR(generateSalesData($D1370, IF(ISNUMBER(_xlfn.XLOOKUP($C1370,Phone_by_Sentiment!$B$2:$B$37,Phone_by_Sentiment!K$2:K$37,"",0,1)),_xlfn.XLOOKUP($C1370,Phone_by_Sentiment!$B$2:$B$37,Phone_by_Sentiment!K$2:K$37,"",0,1),0),$A1370-TEXT(DATEVALUE($D1370&amp;"-01"), "dd-mm-yyyy")),0),0)</f>
        <v>246</v>
      </c>
      <c r="L1370" cm="1">
        <f t="array" ref="L1370">IF($Q1370&gt;=0,IFERROR(generateSalesData($D1370, IF(ISNUMBER(_xlfn.XLOOKUP($C1370,Phone_by_Sentiment!$B$2:$B$37,Phone_by_Sentiment!L$2:L$37,"",0,1)),_xlfn.XLOOKUP($C1370,Phone_by_Sentiment!$B$2:$B$37,Phone_by_Sentiment!L$2:L$37,"",0,1),0),$A1370-TEXT(DATEVALUE($D1370&amp;"-01"), "dd-mm-yyyy")),0),0)</f>
        <v>89</v>
      </c>
      <c r="M1370" cm="1">
        <f t="array" ref="M1370">IF($Q1370&gt;=0,IFERROR(generateSalesData($D1370, IF(ISNUMBER(_xlfn.XLOOKUP($C1370,Phone_by_Sentiment!$B$2:$B$37,Phone_by_Sentiment!M$2:M$37,"",0,1)),_xlfn.XLOOKUP($C1370,Phone_by_Sentiment!$B$2:$B$37,Phone_by_Sentiment!M$2:M$37,"",0,1),0),$A1370-TEXT(DATEVALUE($D1370&amp;"-01"), "dd-mm-yyyy")),0),0)</f>
        <v>132</v>
      </c>
      <c r="N1370" cm="1">
        <f t="array" ref="N1370">IF($Q1370&gt;=0,IFERROR(generateSalesData($D1370, IF(ISNUMBER(_xlfn.XLOOKUP($C1370,Phone_by_Sentiment!$B$2:$B$37,Phone_by_Sentiment!N$2:N$37,"",0,1)),_xlfn.XLOOKUP($C1370,Phone_by_Sentiment!$B$2:$B$37,Phone_by_Sentiment!N$2:N$37,"",0,1),0),$A1370-TEXT(DATEVALUE($D1370&amp;"-01"), "dd-mm-yyyy")),0),0)</f>
        <v>423</v>
      </c>
      <c r="O1370" cm="1">
        <f t="array" ref="O1370">IF($Q1370&gt;=0,IFERROR(generateSalesData($D1370, IF(ISNUMBER(_xlfn.XLOOKUP($C1370,Phone_by_Sentiment!$B$2:$B$37,Phone_by_Sentiment!O$2:O$37,"",0,1)),_xlfn.XLOOKUP($C1370,Phone_by_Sentiment!$B$2:$B$37,Phone_by_Sentiment!O$2:O$37,"",0,1),0),$A1370-TEXT(DATEVALUE($D1370&amp;"-01"), "dd-mm-yyyy")),0),0)</f>
        <v>305</v>
      </c>
      <c r="P1370" s="1">
        <f t="shared" si="51"/>
        <v>44256</v>
      </c>
      <c r="Q1370">
        <f t="shared" si="55"/>
        <v>396</v>
      </c>
    </row>
    <row r="1371" spans="1:17" x14ac:dyDescent="0.25">
      <c r="A1371" s="1">
        <f t="shared" si="54"/>
        <v>44652</v>
      </c>
      <c r="B1371" t="s">
        <v>149</v>
      </c>
      <c r="C1371" t="str">
        <f>_xlfn.XLOOKUP(B1371,Phone_by_Price!$A$2:$A$34,Phone_by_Price!$B$2:$B$34,"-",0,1)</f>
        <v>Samsung Galaxy A52</v>
      </c>
      <c r="D1371" t="str">
        <f>_xlfn.XLOOKUP(C1371,Phone_by_Sentiment!$B$2:$B$37,Phone_by_Sentiment!$A$2:$A$37,"-",0,1)</f>
        <v>2021-03</v>
      </c>
      <c r="E1371" cm="1">
        <f t="array" ref="E1371">IF($Q1371&gt;=0,IFERROR(generateSalesData($D1371, IF(ISNUMBER(_xlfn.XLOOKUP($C1371,Phone_by_Sentiment!$B$2:$B$37,Phone_by_Sentiment!E$2:E$37,"",0,1)),_xlfn.XLOOKUP($C1371,Phone_by_Sentiment!$B$2:$B$37,Phone_by_Sentiment!E$2:E$37,"",0,1),0),$A1371-TEXT(DATEVALUE($D1371&amp;"-01"), "dd-mm-yyyy")),0),0)</f>
        <v>789</v>
      </c>
      <c r="F1371" cm="1">
        <f t="array" ref="F1371">IF($Q1371&gt;=0,IFERROR(generateSalesData($D1371, IF(ISNUMBER(_xlfn.XLOOKUP($C1371,Phone_by_Sentiment!$B$2:$B$37,Phone_by_Sentiment!F$2:F$37,"",0,1)),_xlfn.XLOOKUP($C1371,Phone_by_Sentiment!$B$2:$B$37,Phone_by_Sentiment!F$2:F$37,"",0,1),0),$A1371-TEXT(DATEVALUE($D1371&amp;"-01"), "dd-mm-yyyy")),0),0)</f>
        <v>275</v>
      </c>
      <c r="G1371" cm="1">
        <f t="array" ref="G1371">IF($Q1371&gt;=0,IFERROR(generateSalesData($D1371, IF(ISNUMBER(_xlfn.XLOOKUP($C1371,Phone_by_Sentiment!$B$2:$B$37,Phone_by_Sentiment!G$2:G$37,"",0,1)),_xlfn.XLOOKUP($C1371,Phone_by_Sentiment!$B$2:$B$37,Phone_by_Sentiment!G$2:G$37,"",0,1),0),$A1371-TEXT(DATEVALUE($D1371&amp;"-01"), "dd-mm-yyyy")),0),0)</f>
        <v>220</v>
      </c>
      <c r="H1371" cm="1">
        <f t="array" ref="H1371">IF($Q1371&gt;=0,IFERROR(generateSalesData($D1371, IF(ISNUMBER(_xlfn.XLOOKUP($C1371,Phone_by_Sentiment!$B$2:$B$37,Phone_by_Sentiment!H$2:H$37,"",0,1)),_xlfn.XLOOKUP($C1371,Phone_by_Sentiment!$B$2:$B$37,Phone_by_Sentiment!H$2:H$37,"",0,1),0),$A1371-TEXT(DATEVALUE($D1371&amp;"-01"), "dd-mm-yyyy")),0),0)</f>
        <v>442</v>
      </c>
      <c r="I1371" cm="1">
        <f t="array" ref="I1371">IF($Q1371&gt;=0,IFERROR(generateSalesData($D1371, IF(ISNUMBER(_xlfn.XLOOKUP($C1371,Phone_by_Sentiment!$B$2:$B$37,Phone_by_Sentiment!I$2:I$37,"",0,1)),_xlfn.XLOOKUP($C1371,Phone_by_Sentiment!$B$2:$B$37,Phone_by_Sentiment!I$2:I$37,"",0,1),0),$A1371-TEXT(DATEVALUE($D1371&amp;"-01"), "dd-mm-yyyy")),0),0)</f>
        <v>504</v>
      </c>
      <c r="J1371" cm="1">
        <f t="array" ref="J1371">IF($Q1371&gt;=0,IFERROR(generateSalesData($D1371, IF(ISNUMBER(_xlfn.XLOOKUP($C1371,Phone_by_Sentiment!$B$2:$B$37,Phone_by_Sentiment!J$2:J$37,"",0,1)),_xlfn.XLOOKUP($C1371,Phone_by_Sentiment!$B$2:$B$37,Phone_by_Sentiment!J$2:J$37,"",0,1),0),$A1371-TEXT(DATEVALUE($D1371&amp;"-01"), "dd-mm-yyyy")),0),0)</f>
        <v>823</v>
      </c>
      <c r="K1371" cm="1">
        <f t="array" ref="K1371">IF($Q1371&gt;=0,IFERROR(generateSalesData($D1371, IF(ISNUMBER(_xlfn.XLOOKUP($C1371,Phone_by_Sentiment!$B$2:$B$37,Phone_by_Sentiment!K$2:K$37,"",0,1)),_xlfn.XLOOKUP($C1371,Phone_by_Sentiment!$B$2:$B$37,Phone_by_Sentiment!K$2:K$37,"",0,1),0),$A1371-TEXT(DATEVALUE($D1371&amp;"-01"), "dd-mm-yyyy")),0),0)</f>
        <v>1001</v>
      </c>
      <c r="L1371" cm="1">
        <f t="array" ref="L1371">IF($Q1371&gt;=0,IFERROR(generateSalesData($D1371, IF(ISNUMBER(_xlfn.XLOOKUP($C1371,Phone_by_Sentiment!$B$2:$B$37,Phone_by_Sentiment!L$2:L$37,"",0,1)),_xlfn.XLOOKUP($C1371,Phone_by_Sentiment!$B$2:$B$37,Phone_by_Sentiment!L$2:L$37,"",0,1),0),$A1371-TEXT(DATEVALUE($D1371&amp;"-01"), "dd-mm-yyyy")),0),0)</f>
        <v>832</v>
      </c>
      <c r="M1371" cm="1">
        <f t="array" ref="M1371">IF($Q1371&gt;=0,IFERROR(generateSalesData($D1371, IF(ISNUMBER(_xlfn.XLOOKUP($C1371,Phone_by_Sentiment!$B$2:$B$37,Phone_by_Sentiment!M$2:M$37,"",0,1)),_xlfn.XLOOKUP($C1371,Phone_by_Sentiment!$B$2:$B$37,Phone_by_Sentiment!M$2:M$37,"",0,1),0),$A1371-TEXT(DATEVALUE($D1371&amp;"-01"), "dd-mm-yyyy")),0),0)</f>
        <v>755</v>
      </c>
      <c r="N1371" cm="1">
        <f t="array" ref="N1371">IF($Q1371&gt;=0,IFERROR(generateSalesData($D1371, IF(ISNUMBER(_xlfn.XLOOKUP($C1371,Phone_by_Sentiment!$B$2:$B$37,Phone_by_Sentiment!N$2:N$37,"",0,1)),_xlfn.XLOOKUP($C1371,Phone_by_Sentiment!$B$2:$B$37,Phone_by_Sentiment!N$2:N$37,"",0,1),0),$A1371-TEXT(DATEVALUE($D1371&amp;"-01"), "dd-mm-yyyy")),0),0)</f>
        <v>727</v>
      </c>
      <c r="O1371" cm="1">
        <f t="array" ref="O1371">IF($Q1371&gt;=0,IFERROR(generateSalesData($D1371, IF(ISNUMBER(_xlfn.XLOOKUP($C1371,Phone_by_Sentiment!$B$2:$B$37,Phone_by_Sentiment!O$2:O$37,"",0,1)),_xlfn.XLOOKUP($C1371,Phone_by_Sentiment!$B$2:$B$37,Phone_by_Sentiment!O$2:O$37,"",0,1),0),$A1371-TEXT(DATEVALUE($D1371&amp;"-01"), "dd-mm-yyyy")),0),0)</f>
        <v>325</v>
      </c>
      <c r="P1371" s="1">
        <f t="shared" si="51"/>
        <v>44256</v>
      </c>
      <c r="Q1371">
        <f t="shared" si="55"/>
        <v>396</v>
      </c>
    </row>
    <row r="1372" spans="1:17" x14ac:dyDescent="0.25">
      <c r="A1372" s="1">
        <f t="shared" si="54"/>
        <v>44652</v>
      </c>
      <c r="B1372" t="s">
        <v>150</v>
      </c>
      <c r="C1372" t="str">
        <f>_xlfn.XLOOKUP(B1372,Phone_by_Price!$A$2:$A$34,Phone_by_Price!$B$2:$B$34,"-",0,1)</f>
        <v>Vivo Y33s</v>
      </c>
      <c r="D1372" t="str">
        <f>_xlfn.XLOOKUP(C1372,Phone_by_Sentiment!$B$2:$B$37,Phone_by_Sentiment!$A$2:$A$37,"-",0,1)</f>
        <v>2021-05</v>
      </c>
      <c r="E1372" cm="1">
        <f t="array" ref="E1372">IF($Q1372&gt;=0,IFERROR(generateSalesData($D1372, IF(ISNUMBER(_xlfn.XLOOKUP($C1372,Phone_by_Sentiment!$B$2:$B$37,Phone_by_Sentiment!E$2:E$37,"",0,1)),_xlfn.XLOOKUP($C1372,Phone_by_Sentiment!$B$2:$B$37,Phone_by_Sentiment!E$2:E$37,"",0,1),0),$A1372-TEXT(DATEVALUE($D1372&amp;"-01"), "dd-mm-yyyy")),0),0)</f>
        <v>673</v>
      </c>
      <c r="F1372" cm="1">
        <f t="array" ref="F1372">IF($Q1372&gt;=0,IFERROR(generateSalesData($D1372, IF(ISNUMBER(_xlfn.XLOOKUP($C1372,Phone_by_Sentiment!$B$2:$B$37,Phone_by_Sentiment!F$2:F$37,"",0,1)),_xlfn.XLOOKUP($C1372,Phone_by_Sentiment!$B$2:$B$37,Phone_by_Sentiment!F$2:F$37,"",0,1),0),$A1372-TEXT(DATEVALUE($D1372&amp;"-01"), "dd-mm-yyyy")),0),0)</f>
        <v>306</v>
      </c>
      <c r="G1372" cm="1">
        <f t="array" ref="G1372">IF($Q1372&gt;=0,IFERROR(generateSalesData($D1372, IF(ISNUMBER(_xlfn.XLOOKUP($C1372,Phone_by_Sentiment!$B$2:$B$37,Phone_by_Sentiment!G$2:G$37,"",0,1)),_xlfn.XLOOKUP($C1372,Phone_by_Sentiment!$B$2:$B$37,Phone_by_Sentiment!G$2:G$37,"",0,1),0),$A1372-TEXT(DATEVALUE($D1372&amp;"-01"), "dd-mm-yyyy")),0),0)</f>
        <v>139</v>
      </c>
      <c r="H1372" cm="1">
        <f t="array" ref="H1372">IF($Q1372&gt;=0,IFERROR(generateSalesData($D1372, IF(ISNUMBER(_xlfn.XLOOKUP($C1372,Phone_by_Sentiment!$B$2:$B$37,Phone_by_Sentiment!H$2:H$37,"",0,1)),_xlfn.XLOOKUP($C1372,Phone_by_Sentiment!$B$2:$B$37,Phone_by_Sentiment!H$2:H$37,"",0,1),0),$A1372-TEXT(DATEVALUE($D1372&amp;"-01"), "dd-mm-yyyy")),0),0)</f>
        <v>943</v>
      </c>
      <c r="I1372" cm="1">
        <f t="array" ref="I1372">IF($Q1372&gt;=0,IFERROR(generateSalesData($D1372, IF(ISNUMBER(_xlfn.XLOOKUP($C1372,Phone_by_Sentiment!$B$2:$B$37,Phone_by_Sentiment!I$2:I$37,"",0,1)),_xlfn.XLOOKUP($C1372,Phone_by_Sentiment!$B$2:$B$37,Phone_by_Sentiment!I$2:I$37,"",0,1),0),$A1372-TEXT(DATEVALUE($D1372&amp;"-01"), "dd-mm-yyyy")),0),0)</f>
        <v>189</v>
      </c>
      <c r="J1372" cm="1">
        <f t="array" ref="J1372">IF($Q1372&gt;=0,IFERROR(generateSalesData($D1372, IF(ISNUMBER(_xlfn.XLOOKUP($C1372,Phone_by_Sentiment!$B$2:$B$37,Phone_by_Sentiment!J$2:J$37,"",0,1)),_xlfn.XLOOKUP($C1372,Phone_by_Sentiment!$B$2:$B$37,Phone_by_Sentiment!J$2:J$37,"",0,1),0),$A1372-TEXT(DATEVALUE($D1372&amp;"-01"), "dd-mm-yyyy")),0),0)</f>
        <v>143</v>
      </c>
      <c r="K1372" cm="1">
        <f t="array" ref="K1372">IF($Q1372&gt;=0,IFERROR(generateSalesData($D1372, IF(ISNUMBER(_xlfn.XLOOKUP($C1372,Phone_by_Sentiment!$B$2:$B$37,Phone_by_Sentiment!K$2:K$37,"",0,1)),_xlfn.XLOOKUP($C1372,Phone_by_Sentiment!$B$2:$B$37,Phone_by_Sentiment!K$2:K$37,"",0,1),0),$A1372-TEXT(DATEVALUE($D1372&amp;"-01"), "dd-mm-yyyy")),0),0)</f>
        <v>99</v>
      </c>
      <c r="L1372" cm="1">
        <f t="array" ref="L1372">IF($Q1372&gt;=0,IFERROR(generateSalesData($D1372, IF(ISNUMBER(_xlfn.XLOOKUP($C1372,Phone_by_Sentiment!$B$2:$B$37,Phone_by_Sentiment!L$2:L$37,"",0,1)),_xlfn.XLOOKUP($C1372,Phone_by_Sentiment!$B$2:$B$37,Phone_by_Sentiment!L$2:L$37,"",0,1),0),$A1372-TEXT(DATEVALUE($D1372&amp;"-01"), "dd-mm-yyyy")),0),0)</f>
        <v>110</v>
      </c>
      <c r="M1372" cm="1">
        <f t="array" ref="M1372">IF($Q1372&gt;=0,IFERROR(generateSalesData($D1372, IF(ISNUMBER(_xlfn.XLOOKUP($C1372,Phone_by_Sentiment!$B$2:$B$37,Phone_by_Sentiment!M$2:M$37,"",0,1)),_xlfn.XLOOKUP($C1372,Phone_by_Sentiment!$B$2:$B$37,Phone_by_Sentiment!M$2:M$37,"",0,1),0),$A1372-TEXT(DATEVALUE($D1372&amp;"-01"), "dd-mm-yyyy")),0),0)</f>
        <v>112</v>
      </c>
      <c r="N1372" cm="1">
        <f t="array" ref="N1372">IF($Q1372&gt;=0,IFERROR(generateSalesData($D1372, IF(ISNUMBER(_xlfn.XLOOKUP($C1372,Phone_by_Sentiment!$B$2:$B$37,Phone_by_Sentiment!N$2:N$37,"",0,1)),_xlfn.XLOOKUP($C1372,Phone_by_Sentiment!$B$2:$B$37,Phone_by_Sentiment!N$2:N$37,"",0,1),0),$A1372-TEXT(DATEVALUE($D1372&amp;"-01"), "dd-mm-yyyy")),0),0)</f>
        <v>197</v>
      </c>
      <c r="O1372" cm="1">
        <f t="array" ref="O1372">IF($Q1372&gt;=0,IFERROR(generateSalesData($D1372, IF(ISNUMBER(_xlfn.XLOOKUP($C1372,Phone_by_Sentiment!$B$2:$B$37,Phone_by_Sentiment!O$2:O$37,"",0,1)),_xlfn.XLOOKUP($C1372,Phone_by_Sentiment!$B$2:$B$37,Phone_by_Sentiment!O$2:O$37,"",0,1),0),$A1372-TEXT(DATEVALUE($D1372&amp;"-01"), "dd-mm-yyyy")),0),0)</f>
        <v>222</v>
      </c>
      <c r="P1372" s="1">
        <f t="shared" si="51"/>
        <v>44317</v>
      </c>
      <c r="Q1372">
        <f t="shared" si="55"/>
        <v>335</v>
      </c>
    </row>
    <row r="1373" spans="1:17" x14ac:dyDescent="0.25">
      <c r="A1373" s="1">
        <f t="shared" si="54"/>
        <v>44652</v>
      </c>
      <c r="B1373" t="s">
        <v>151</v>
      </c>
      <c r="C1373" t="str">
        <f>_xlfn.XLOOKUP(B1373,Phone_by_Price!$A$2:$A$34,Phone_by_Price!$B$2:$B$34,"-",0,1)</f>
        <v>Vivo Y11s</v>
      </c>
      <c r="D1373" t="str">
        <f>_xlfn.XLOOKUP(C1373,Phone_by_Sentiment!$B$2:$B$37,Phone_by_Sentiment!$A$2:$A$37,"-",0,1)</f>
        <v>2020-11</v>
      </c>
      <c r="E1373" cm="1">
        <f t="array" ref="E1373">IF($Q1373&gt;=0,IFERROR(generateSalesData($D1373, IF(ISNUMBER(_xlfn.XLOOKUP($C1373,Phone_by_Sentiment!$B$2:$B$37,Phone_by_Sentiment!E$2:E$37,"",0,1)),_xlfn.XLOOKUP($C1373,Phone_by_Sentiment!$B$2:$B$37,Phone_by_Sentiment!E$2:E$37,"",0,1),0),$A1373-TEXT(DATEVALUE($D1373&amp;"-01"), "dd-mm-yyyy")),0),0)</f>
        <v>50</v>
      </c>
      <c r="F1373" cm="1">
        <f t="array" ref="F1373">IF($Q1373&gt;=0,IFERROR(generateSalesData($D1373, IF(ISNUMBER(_xlfn.XLOOKUP($C1373,Phone_by_Sentiment!$B$2:$B$37,Phone_by_Sentiment!F$2:F$37,"",0,1)),_xlfn.XLOOKUP($C1373,Phone_by_Sentiment!$B$2:$B$37,Phone_by_Sentiment!F$2:F$37,"",0,1),0),$A1373-TEXT(DATEVALUE($D1373&amp;"-01"), "dd-mm-yyyy")),0),0)</f>
        <v>88</v>
      </c>
      <c r="G1373" cm="1">
        <f t="array" ref="G1373">IF($Q1373&gt;=0,IFERROR(generateSalesData($D1373, IF(ISNUMBER(_xlfn.XLOOKUP($C1373,Phone_by_Sentiment!$B$2:$B$37,Phone_by_Sentiment!G$2:G$37,"",0,1)),_xlfn.XLOOKUP($C1373,Phone_by_Sentiment!$B$2:$B$37,Phone_by_Sentiment!G$2:G$37,"",0,1),0),$A1373-TEXT(DATEVALUE($D1373&amp;"-01"), "dd-mm-yyyy")),0),0)</f>
        <v>76</v>
      </c>
      <c r="H1373" cm="1">
        <f t="array" ref="H1373">IF($Q1373&gt;=0,IFERROR(generateSalesData($D1373, IF(ISNUMBER(_xlfn.XLOOKUP($C1373,Phone_by_Sentiment!$B$2:$B$37,Phone_by_Sentiment!H$2:H$37,"",0,1)),_xlfn.XLOOKUP($C1373,Phone_by_Sentiment!$B$2:$B$37,Phone_by_Sentiment!H$2:H$37,"",0,1),0),$A1373-TEXT(DATEVALUE($D1373&amp;"-01"), "dd-mm-yyyy")),0),0)</f>
        <v>134</v>
      </c>
      <c r="I1373" cm="1">
        <f t="array" ref="I1373">IF($Q1373&gt;=0,IFERROR(generateSalesData($D1373, IF(ISNUMBER(_xlfn.XLOOKUP($C1373,Phone_by_Sentiment!$B$2:$B$37,Phone_by_Sentiment!I$2:I$37,"",0,1)),_xlfn.XLOOKUP($C1373,Phone_by_Sentiment!$B$2:$B$37,Phone_by_Sentiment!I$2:I$37,"",0,1),0),$A1373-TEXT(DATEVALUE($D1373&amp;"-01"), "dd-mm-yyyy")),0),0)</f>
        <v>411</v>
      </c>
      <c r="J1373" cm="1">
        <f t="array" ref="J1373">IF($Q1373&gt;=0,IFERROR(generateSalesData($D1373, IF(ISNUMBER(_xlfn.XLOOKUP($C1373,Phone_by_Sentiment!$B$2:$B$37,Phone_by_Sentiment!J$2:J$37,"",0,1)),_xlfn.XLOOKUP($C1373,Phone_by_Sentiment!$B$2:$B$37,Phone_by_Sentiment!J$2:J$37,"",0,1),0),$A1373-TEXT(DATEVALUE($D1373&amp;"-01"), "dd-mm-yyyy")),0),0)</f>
        <v>41</v>
      </c>
      <c r="K1373" cm="1">
        <f t="array" ref="K1373">IF($Q1373&gt;=0,IFERROR(generateSalesData($D1373, IF(ISNUMBER(_xlfn.XLOOKUP($C1373,Phone_by_Sentiment!$B$2:$B$37,Phone_by_Sentiment!K$2:K$37,"",0,1)),_xlfn.XLOOKUP($C1373,Phone_by_Sentiment!$B$2:$B$37,Phone_by_Sentiment!K$2:K$37,"",0,1),0),$A1373-TEXT(DATEVALUE($D1373&amp;"-01"), "dd-mm-yyyy")),0),0)</f>
        <v>130</v>
      </c>
      <c r="L1373" cm="1">
        <f t="array" ref="L1373">IF($Q1373&gt;=0,IFERROR(generateSalesData($D1373, IF(ISNUMBER(_xlfn.XLOOKUP($C1373,Phone_by_Sentiment!$B$2:$B$37,Phone_by_Sentiment!L$2:L$37,"",0,1)),_xlfn.XLOOKUP($C1373,Phone_by_Sentiment!$B$2:$B$37,Phone_by_Sentiment!L$2:L$37,"",0,1),0),$A1373-TEXT(DATEVALUE($D1373&amp;"-01"), "dd-mm-yyyy")),0),0)</f>
        <v>143</v>
      </c>
      <c r="M1373" cm="1">
        <f t="array" ref="M1373">IF($Q1373&gt;=0,IFERROR(generateSalesData($D1373, IF(ISNUMBER(_xlfn.XLOOKUP($C1373,Phone_by_Sentiment!$B$2:$B$37,Phone_by_Sentiment!M$2:M$37,"",0,1)),_xlfn.XLOOKUP($C1373,Phone_by_Sentiment!$B$2:$B$37,Phone_by_Sentiment!M$2:M$37,"",0,1),0),$A1373-TEXT(DATEVALUE($D1373&amp;"-01"), "dd-mm-yyyy")),0),0)</f>
        <v>345</v>
      </c>
      <c r="N1373" cm="1">
        <f t="array" ref="N1373">IF($Q1373&gt;=0,IFERROR(generateSalesData($D1373, IF(ISNUMBER(_xlfn.XLOOKUP($C1373,Phone_by_Sentiment!$B$2:$B$37,Phone_by_Sentiment!N$2:N$37,"",0,1)),_xlfn.XLOOKUP($C1373,Phone_by_Sentiment!$B$2:$B$37,Phone_by_Sentiment!N$2:N$37,"",0,1),0),$A1373-TEXT(DATEVALUE($D1373&amp;"-01"), "dd-mm-yyyy")),0),0)</f>
        <v>65</v>
      </c>
      <c r="O1373" cm="1">
        <f t="array" ref="O1373">IF($Q1373&gt;=0,IFERROR(generateSalesData($D1373, IF(ISNUMBER(_xlfn.XLOOKUP($C1373,Phone_by_Sentiment!$B$2:$B$37,Phone_by_Sentiment!O$2:O$37,"",0,1)),_xlfn.XLOOKUP($C1373,Phone_by_Sentiment!$B$2:$B$37,Phone_by_Sentiment!O$2:O$37,"",0,1),0),$A1373-TEXT(DATEVALUE($D1373&amp;"-01"), "dd-mm-yyyy")),0),0)</f>
        <v>137</v>
      </c>
      <c r="P1373" s="1">
        <f t="shared" si="51"/>
        <v>44136</v>
      </c>
      <c r="Q1373">
        <f t="shared" si="55"/>
        <v>516</v>
      </c>
    </row>
    <row r="1374" spans="1:17" x14ac:dyDescent="0.25">
      <c r="A1374" s="1">
        <f t="shared" si="54"/>
        <v>44652</v>
      </c>
      <c r="B1374" t="s">
        <v>152</v>
      </c>
      <c r="C1374" t="str">
        <f>_xlfn.XLOOKUP(B1374,Phone_by_Price!$A$2:$A$34,Phone_by_Price!$B$2:$B$34,"-",0,1)</f>
        <v>Huawei Nova 7i</v>
      </c>
      <c r="D1374" t="str">
        <f>_xlfn.XLOOKUP(C1374,Phone_by_Sentiment!$B$2:$B$37,Phone_by_Sentiment!$A$2:$A$37,"-",0,1)</f>
        <v>2020-02</v>
      </c>
      <c r="E1374" cm="1">
        <f t="array" ref="E1374">IF($Q1374&gt;=0,IFERROR(generateSalesData($D1374, IF(ISNUMBER(_xlfn.XLOOKUP($C1374,Phone_by_Sentiment!$B$2:$B$37,Phone_by_Sentiment!E$2:E$37,"",0,1)),_xlfn.XLOOKUP($C1374,Phone_by_Sentiment!$B$2:$B$37,Phone_by_Sentiment!E$2:E$37,"",0,1),0),$A1374-TEXT(DATEVALUE($D1374&amp;"-01"), "dd-mm-yyyy")),0),0)</f>
        <v>82</v>
      </c>
      <c r="F1374" cm="1">
        <f t="array" ref="F1374">IF($Q1374&gt;=0,IFERROR(generateSalesData($D1374, IF(ISNUMBER(_xlfn.XLOOKUP($C1374,Phone_by_Sentiment!$B$2:$B$37,Phone_by_Sentiment!F$2:F$37,"",0,1)),_xlfn.XLOOKUP($C1374,Phone_by_Sentiment!$B$2:$B$37,Phone_by_Sentiment!F$2:F$37,"",0,1),0),$A1374-TEXT(DATEVALUE($D1374&amp;"-01"), "dd-mm-yyyy")),0),0)</f>
        <v>68</v>
      </c>
      <c r="G1374" cm="1">
        <f t="array" ref="G1374">IF($Q1374&gt;=0,IFERROR(generateSalesData($D1374, IF(ISNUMBER(_xlfn.XLOOKUP($C1374,Phone_by_Sentiment!$B$2:$B$37,Phone_by_Sentiment!G$2:G$37,"",0,1)),_xlfn.XLOOKUP($C1374,Phone_by_Sentiment!$B$2:$B$37,Phone_by_Sentiment!G$2:G$37,"",0,1),0),$A1374-TEXT(DATEVALUE($D1374&amp;"-01"), "dd-mm-yyyy")),0),0)</f>
        <v>43</v>
      </c>
      <c r="H1374" cm="1">
        <f t="array" ref="H1374">IF($Q1374&gt;=0,IFERROR(generateSalesData($D1374, IF(ISNUMBER(_xlfn.XLOOKUP($C1374,Phone_by_Sentiment!$B$2:$B$37,Phone_by_Sentiment!H$2:H$37,"",0,1)),_xlfn.XLOOKUP($C1374,Phone_by_Sentiment!$B$2:$B$37,Phone_by_Sentiment!H$2:H$37,"",0,1),0),$A1374-TEXT(DATEVALUE($D1374&amp;"-01"), "dd-mm-yyyy")),0),0)</f>
        <v>141</v>
      </c>
      <c r="I1374" cm="1">
        <f t="array" ref="I1374">IF($Q1374&gt;=0,IFERROR(generateSalesData($D1374, IF(ISNUMBER(_xlfn.XLOOKUP($C1374,Phone_by_Sentiment!$B$2:$B$37,Phone_by_Sentiment!I$2:I$37,"",0,1)),_xlfn.XLOOKUP($C1374,Phone_by_Sentiment!$B$2:$B$37,Phone_by_Sentiment!I$2:I$37,"",0,1),0),$A1374-TEXT(DATEVALUE($D1374&amp;"-01"), "dd-mm-yyyy")),0),0)</f>
        <v>152</v>
      </c>
      <c r="J1374" cm="1">
        <f t="array" ref="J1374">IF($Q1374&gt;=0,IFERROR(generateSalesData($D1374, IF(ISNUMBER(_xlfn.XLOOKUP($C1374,Phone_by_Sentiment!$B$2:$B$37,Phone_by_Sentiment!J$2:J$37,"",0,1)),_xlfn.XLOOKUP($C1374,Phone_by_Sentiment!$B$2:$B$37,Phone_by_Sentiment!J$2:J$37,"",0,1),0),$A1374-TEXT(DATEVALUE($D1374&amp;"-01"), "dd-mm-yyyy")),0),0)</f>
        <v>41</v>
      </c>
      <c r="K1374" cm="1">
        <f t="array" ref="K1374">IF($Q1374&gt;=0,IFERROR(generateSalesData($D1374, IF(ISNUMBER(_xlfn.XLOOKUP($C1374,Phone_by_Sentiment!$B$2:$B$37,Phone_by_Sentiment!K$2:K$37,"",0,1)),_xlfn.XLOOKUP($C1374,Phone_by_Sentiment!$B$2:$B$37,Phone_by_Sentiment!K$2:K$37,"",0,1),0),$A1374-TEXT(DATEVALUE($D1374&amp;"-01"), "dd-mm-yyyy")),0),0)</f>
        <v>-6</v>
      </c>
      <c r="L1374" cm="1">
        <f t="array" ref="L1374">IF($Q1374&gt;=0,IFERROR(generateSalesData($D1374, IF(ISNUMBER(_xlfn.XLOOKUP($C1374,Phone_by_Sentiment!$B$2:$B$37,Phone_by_Sentiment!L$2:L$37,"",0,1)),_xlfn.XLOOKUP($C1374,Phone_by_Sentiment!$B$2:$B$37,Phone_by_Sentiment!L$2:L$37,"",0,1),0),$A1374-TEXT(DATEVALUE($D1374&amp;"-01"), "dd-mm-yyyy")),0),0)</f>
        <v>112</v>
      </c>
      <c r="M1374" cm="1">
        <f t="array" ref="M1374">IF($Q1374&gt;=0,IFERROR(generateSalesData($D1374, IF(ISNUMBER(_xlfn.XLOOKUP($C1374,Phone_by_Sentiment!$B$2:$B$37,Phone_by_Sentiment!M$2:M$37,"",0,1)),_xlfn.XLOOKUP($C1374,Phone_by_Sentiment!$B$2:$B$37,Phone_by_Sentiment!M$2:M$37,"",0,1),0),$A1374-TEXT(DATEVALUE($D1374&amp;"-01"), "dd-mm-yyyy")),0),0)</f>
        <v>146</v>
      </c>
      <c r="N1374" cm="1">
        <f t="array" ref="N1374">IF($Q1374&gt;=0,IFERROR(generateSalesData($D1374, IF(ISNUMBER(_xlfn.XLOOKUP($C1374,Phone_by_Sentiment!$B$2:$B$37,Phone_by_Sentiment!N$2:N$37,"",0,1)),_xlfn.XLOOKUP($C1374,Phone_by_Sentiment!$B$2:$B$37,Phone_by_Sentiment!N$2:N$37,"",0,1),0),$A1374-TEXT(DATEVALUE($D1374&amp;"-01"), "dd-mm-yyyy")),0),0)</f>
        <v>57</v>
      </c>
      <c r="O1374" cm="1">
        <f t="array" ref="O1374">IF($Q1374&gt;=0,IFERROR(generateSalesData($D1374, IF(ISNUMBER(_xlfn.XLOOKUP($C1374,Phone_by_Sentiment!$B$2:$B$37,Phone_by_Sentiment!O$2:O$37,"",0,1)),_xlfn.XLOOKUP($C1374,Phone_by_Sentiment!$B$2:$B$37,Phone_by_Sentiment!O$2:O$37,"",0,1),0),$A1374-TEXT(DATEVALUE($D1374&amp;"-01"), "dd-mm-yyyy")),0),0)</f>
        <v>97</v>
      </c>
      <c r="P1374" s="1">
        <f t="shared" si="51"/>
        <v>43862</v>
      </c>
      <c r="Q1374">
        <f t="shared" si="55"/>
        <v>790</v>
      </c>
    </row>
    <row r="1375" spans="1:17" x14ac:dyDescent="0.25">
      <c r="A1375" s="1">
        <f t="shared" si="54"/>
        <v>44652</v>
      </c>
      <c r="B1375" t="s">
        <v>153</v>
      </c>
      <c r="C1375" t="str">
        <f>_xlfn.XLOOKUP(B1375,Phone_by_Price!$A$2:$A$34,Phone_by_Price!$B$2:$B$34,"-",0,1)</f>
        <v>iPhone 13</v>
      </c>
      <c r="D1375" t="str">
        <f>_xlfn.XLOOKUP(C1375,Phone_by_Sentiment!$B$2:$B$37,Phone_by_Sentiment!$A$2:$A$37,"-",0,1)</f>
        <v>2021-09</v>
      </c>
      <c r="E1375" cm="1">
        <f t="array" ref="E1375">IF($Q1375&gt;=0,IFERROR(generateSalesData($D1375, IF(ISNUMBER(_xlfn.XLOOKUP($C1375,Phone_by_Sentiment!$B$2:$B$37,Phone_by_Sentiment!E$2:E$37,"",0,1)),_xlfn.XLOOKUP($C1375,Phone_by_Sentiment!$B$2:$B$37,Phone_by_Sentiment!E$2:E$37,"",0,1),0),$A1375-TEXT(DATEVALUE($D1375&amp;"-01"), "dd-mm-yyyy")),0),0)</f>
        <v>89</v>
      </c>
      <c r="F1375" cm="1">
        <f t="array" ref="F1375">IF($Q1375&gt;=0,IFERROR(generateSalesData($D1375, IF(ISNUMBER(_xlfn.XLOOKUP($C1375,Phone_by_Sentiment!$B$2:$B$37,Phone_by_Sentiment!F$2:F$37,"",0,1)),_xlfn.XLOOKUP($C1375,Phone_by_Sentiment!$B$2:$B$37,Phone_by_Sentiment!F$2:F$37,"",0,1),0),$A1375-TEXT(DATEVALUE($D1375&amp;"-01"), "dd-mm-yyyy")),0),0)</f>
        <v>17</v>
      </c>
      <c r="G1375" cm="1">
        <f t="array" ref="G1375">IF($Q1375&gt;=0,IFERROR(generateSalesData($D1375, IF(ISNUMBER(_xlfn.XLOOKUP($C1375,Phone_by_Sentiment!$B$2:$B$37,Phone_by_Sentiment!G$2:G$37,"",0,1)),_xlfn.XLOOKUP($C1375,Phone_by_Sentiment!$B$2:$B$37,Phone_by_Sentiment!G$2:G$37,"",0,1),0),$A1375-TEXT(DATEVALUE($D1375&amp;"-01"), "dd-mm-yyyy")),0),0)</f>
        <v>191</v>
      </c>
      <c r="H1375" cm="1">
        <f t="array" ref="H1375">IF($Q1375&gt;=0,IFERROR(generateSalesData($D1375, IF(ISNUMBER(_xlfn.XLOOKUP($C1375,Phone_by_Sentiment!$B$2:$B$37,Phone_by_Sentiment!H$2:H$37,"",0,1)),_xlfn.XLOOKUP($C1375,Phone_by_Sentiment!$B$2:$B$37,Phone_by_Sentiment!H$2:H$37,"",0,1),0),$A1375-TEXT(DATEVALUE($D1375&amp;"-01"), "dd-mm-yyyy")),0),0)</f>
        <v>1254</v>
      </c>
      <c r="I1375" cm="1">
        <f t="array" ref="I1375">IF($Q1375&gt;=0,IFERROR(generateSalesData($D1375, IF(ISNUMBER(_xlfn.XLOOKUP($C1375,Phone_by_Sentiment!$B$2:$B$37,Phone_by_Sentiment!I$2:I$37,"",0,1)),_xlfn.XLOOKUP($C1375,Phone_by_Sentiment!$B$2:$B$37,Phone_by_Sentiment!I$2:I$37,"",0,1),0),$A1375-TEXT(DATEVALUE($D1375&amp;"-01"), "dd-mm-yyyy")),0),0)</f>
        <v>126</v>
      </c>
      <c r="J1375" cm="1">
        <f t="array" ref="J1375">IF($Q1375&gt;=0,IFERROR(generateSalesData($D1375, IF(ISNUMBER(_xlfn.XLOOKUP($C1375,Phone_by_Sentiment!$B$2:$B$37,Phone_by_Sentiment!J$2:J$37,"",0,1)),_xlfn.XLOOKUP($C1375,Phone_by_Sentiment!$B$2:$B$37,Phone_by_Sentiment!J$2:J$37,"",0,1),0),$A1375-TEXT(DATEVALUE($D1375&amp;"-01"), "dd-mm-yyyy")),0),0)</f>
        <v>1834</v>
      </c>
      <c r="K1375" cm="1">
        <f t="array" ref="K1375">IF($Q1375&gt;=0,IFERROR(generateSalesData($D1375, IF(ISNUMBER(_xlfn.XLOOKUP($C1375,Phone_by_Sentiment!$B$2:$B$37,Phone_by_Sentiment!K$2:K$37,"",0,1)),_xlfn.XLOOKUP($C1375,Phone_by_Sentiment!$B$2:$B$37,Phone_by_Sentiment!K$2:K$37,"",0,1),0),$A1375-TEXT(DATEVALUE($D1375&amp;"-01"), "dd-mm-yyyy")),0),0)</f>
        <v>64</v>
      </c>
      <c r="L1375" cm="1">
        <f t="array" ref="L1375">IF($Q1375&gt;=0,IFERROR(generateSalesData($D1375, IF(ISNUMBER(_xlfn.XLOOKUP($C1375,Phone_by_Sentiment!$B$2:$B$37,Phone_by_Sentiment!L$2:L$37,"",0,1)),_xlfn.XLOOKUP($C1375,Phone_by_Sentiment!$B$2:$B$37,Phone_by_Sentiment!L$2:L$37,"",0,1),0),$A1375-TEXT(DATEVALUE($D1375&amp;"-01"), "dd-mm-yyyy")),0),0)</f>
        <v>403</v>
      </c>
      <c r="M1375" cm="1">
        <f t="array" ref="M1375">IF($Q1375&gt;=0,IFERROR(generateSalesData($D1375, IF(ISNUMBER(_xlfn.XLOOKUP($C1375,Phone_by_Sentiment!$B$2:$B$37,Phone_by_Sentiment!M$2:M$37,"",0,1)),_xlfn.XLOOKUP($C1375,Phone_by_Sentiment!$B$2:$B$37,Phone_by_Sentiment!M$2:M$37,"",0,1),0),$A1375-TEXT(DATEVALUE($D1375&amp;"-01"), "dd-mm-yyyy")),0),0)</f>
        <v>1136</v>
      </c>
      <c r="N1375" cm="1">
        <f t="array" ref="N1375">IF($Q1375&gt;=0,IFERROR(generateSalesData($D1375, IF(ISNUMBER(_xlfn.XLOOKUP($C1375,Phone_by_Sentiment!$B$2:$B$37,Phone_by_Sentiment!N$2:N$37,"",0,1)),_xlfn.XLOOKUP($C1375,Phone_by_Sentiment!$B$2:$B$37,Phone_by_Sentiment!N$2:N$37,"",0,1),0),$A1375-TEXT(DATEVALUE($D1375&amp;"-01"), "dd-mm-yyyy")),0),0)</f>
        <v>226</v>
      </c>
      <c r="O1375" cm="1">
        <f t="array" ref="O1375">IF($Q1375&gt;=0,IFERROR(generateSalesData($D1375, IF(ISNUMBER(_xlfn.XLOOKUP($C1375,Phone_by_Sentiment!$B$2:$B$37,Phone_by_Sentiment!O$2:O$37,"",0,1)),_xlfn.XLOOKUP($C1375,Phone_by_Sentiment!$B$2:$B$37,Phone_by_Sentiment!O$2:O$37,"",0,1),0),$A1375-TEXT(DATEVALUE($D1375&amp;"-01"), "dd-mm-yyyy")),0),0)</f>
        <v>56</v>
      </c>
      <c r="P1375" s="1">
        <f t="shared" si="51"/>
        <v>44440</v>
      </c>
      <c r="Q1375">
        <f t="shared" si="55"/>
        <v>212</v>
      </c>
    </row>
    <row r="1376" spans="1:17" x14ac:dyDescent="0.25">
      <c r="A1376" s="1">
        <f t="shared" si="54"/>
        <v>44652</v>
      </c>
      <c r="B1376" t="s">
        <v>154</v>
      </c>
      <c r="C1376" t="str">
        <f>_xlfn.XLOOKUP(B1376,Phone_by_Price!$A$2:$A$34,Phone_by_Price!$B$2:$B$34,"-",0,1)</f>
        <v>Samsung Galaxy S21</v>
      </c>
      <c r="D1376" t="str">
        <f>_xlfn.XLOOKUP(C1376,Phone_by_Sentiment!$B$2:$B$37,Phone_by_Sentiment!$A$2:$A$37,"-",0,1)</f>
        <v>2021-01</v>
      </c>
      <c r="E1376" cm="1">
        <f t="array" ref="E1376">IF($Q1376&gt;=0,IFERROR(generateSalesData($D1376, IF(ISNUMBER(_xlfn.XLOOKUP($C1376,Phone_by_Sentiment!$B$2:$B$37,Phone_by_Sentiment!E$2:E$37,"",0,1)),_xlfn.XLOOKUP($C1376,Phone_by_Sentiment!$B$2:$B$37,Phone_by_Sentiment!E$2:E$37,"",0,1),0),$A1376-TEXT(DATEVALUE($D1376&amp;"-01"), "dd-mm-yyyy")),0),0)</f>
        <v>462</v>
      </c>
      <c r="F1376" cm="1">
        <f t="array" ref="F1376">IF($Q1376&gt;=0,IFERROR(generateSalesData($D1376, IF(ISNUMBER(_xlfn.XLOOKUP($C1376,Phone_by_Sentiment!$B$2:$B$37,Phone_by_Sentiment!F$2:F$37,"",0,1)),_xlfn.XLOOKUP($C1376,Phone_by_Sentiment!$B$2:$B$37,Phone_by_Sentiment!F$2:F$37,"",0,1),0),$A1376-TEXT(DATEVALUE($D1376&amp;"-01"), "dd-mm-yyyy")),0),0)</f>
        <v>456</v>
      </c>
      <c r="G1376" cm="1">
        <f t="array" ref="G1376">IF($Q1376&gt;=0,IFERROR(generateSalesData($D1376, IF(ISNUMBER(_xlfn.XLOOKUP($C1376,Phone_by_Sentiment!$B$2:$B$37,Phone_by_Sentiment!G$2:G$37,"",0,1)),_xlfn.XLOOKUP($C1376,Phone_by_Sentiment!$B$2:$B$37,Phone_by_Sentiment!G$2:G$37,"",0,1),0),$A1376-TEXT(DATEVALUE($D1376&amp;"-01"), "dd-mm-yyyy")),0),0)</f>
        <v>120</v>
      </c>
      <c r="H1376" cm="1">
        <f t="array" ref="H1376">IF($Q1376&gt;=0,IFERROR(generateSalesData($D1376, IF(ISNUMBER(_xlfn.XLOOKUP($C1376,Phone_by_Sentiment!$B$2:$B$37,Phone_by_Sentiment!H$2:H$37,"",0,1)),_xlfn.XLOOKUP($C1376,Phone_by_Sentiment!$B$2:$B$37,Phone_by_Sentiment!H$2:H$37,"",0,1),0),$A1376-TEXT(DATEVALUE($D1376&amp;"-01"), "dd-mm-yyyy")),0),0)</f>
        <v>884</v>
      </c>
      <c r="I1376" cm="1">
        <f t="array" ref="I1376">IF($Q1376&gt;=0,IFERROR(generateSalesData($D1376, IF(ISNUMBER(_xlfn.XLOOKUP($C1376,Phone_by_Sentiment!$B$2:$B$37,Phone_by_Sentiment!I$2:I$37,"",0,1)),_xlfn.XLOOKUP($C1376,Phone_by_Sentiment!$B$2:$B$37,Phone_by_Sentiment!I$2:I$37,"",0,1),0),$A1376-TEXT(DATEVALUE($D1376&amp;"-01"), "dd-mm-yyyy")),0),0)</f>
        <v>372</v>
      </c>
      <c r="J1376" cm="1">
        <f t="array" ref="J1376">IF($Q1376&gt;=0,IFERROR(generateSalesData($D1376, IF(ISNUMBER(_xlfn.XLOOKUP($C1376,Phone_by_Sentiment!$B$2:$B$37,Phone_by_Sentiment!J$2:J$37,"",0,1)),_xlfn.XLOOKUP($C1376,Phone_by_Sentiment!$B$2:$B$37,Phone_by_Sentiment!J$2:J$37,"",0,1),0),$A1376-TEXT(DATEVALUE($D1376&amp;"-01"), "dd-mm-yyyy")),0),0)</f>
        <v>393</v>
      </c>
      <c r="K1376" cm="1">
        <f t="array" ref="K1376">IF($Q1376&gt;=0,IFERROR(generateSalesData($D1376, IF(ISNUMBER(_xlfn.XLOOKUP($C1376,Phone_by_Sentiment!$B$2:$B$37,Phone_by_Sentiment!K$2:K$37,"",0,1)),_xlfn.XLOOKUP($C1376,Phone_by_Sentiment!$B$2:$B$37,Phone_by_Sentiment!K$2:K$37,"",0,1),0),$A1376-TEXT(DATEVALUE($D1376&amp;"-01"), "dd-mm-yyyy")),0),0)</f>
        <v>172</v>
      </c>
      <c r="L1376" cm="1">
        <f t="array" ref="L1376">IF($Q1376&gt;=0,IFERROR(generateSalesData($D1376, IF(ISNUMBER(_xlfn.XLOOKUP($C1376,Phone_by_Sentiment!$B$2:$B$37,Phone_by_Sentiment!L$2:L$37,"",0,1)),_xlfn.XLOOKUP($C1376,Phone_by_Sentiment!$B$2:$B$37,Phone_by_Sentiment!L$2:L$37,"",0,1),0),$A1376-TEXT(DATEVALUE($D1376&amp;"-01"), "dd-mm-yyyy")),0),0)</f>
        <v>644</v>
      </c>
      <c r="M1376" cm="1">
        <f t="array" ref="M1376">IF($Q1376&gt;=0,IFERROR(generateSalesData($D1376, IF(ISNUMBER(_xlfn.XLOOKUP($C1376,Phone_by_Sentiment!$B$2:$B$37,Phone_by_Sentiment!M$2:M$37,"",0,1)),_xlfn.XLOOKUP($C1376,Phone_by_Sentiment!$B$2:$B$37,Phone_by_Sentiment!M$2:M$37,"",0,1),0),$A1376-TEXT(DATEVALUE($D1376&amp;"-01"), "dd-mm-yyyy")),0),0)</f>
        <v>621</v>
      </c>
      <c r="N1376" cm="1">
        <f t="array" ref="N1376">IF($Q1376&gt;=0,IFERROR(generateSalesData($D1376, IF(ISNUMBER(_xlfn.XLOOKUP($C1376,Phone_by_Sentiment!$B$2:$B$37,Phone_by_Sentiment!N$2:N$37,"",0,1)),_xlfn.XLOOKUP($C1376,Phone_by_Sentiment!$B$2:$B$37,Phone_by_Sentiment!N$2:N$37,"",0,1),0),$A1376-TEXT(DATEVALUE($D1376&amp;"-01"), "dd-mm-yyyy")),0),0)</f>
        <v>770</v>
      </c>
      <c r="O1376" cm="1">
        <f t="array" ref="O1376">IF($Q1376&gt;=0,IFERROR(generateSalesData($D1376, IF(ISNUMBER(_xlfn.XLOOKUP($C1376,Phone_by_Sentiment!$B$2:$B$37,Phone_by_Sentiment!O$2:O$37,"",0,1)),_xlfn.XLOOKUP($C1376,Phone_by_Sentiment!$B$2:$B$37,Phone_by_Sentiment!O$2:O$37,"",0,1),0),$A1376-TEXT(DATEVALUE($D1376&amp;"-01"), "dd-mm-yyyy")),0),0)</f>
        <v>542</v>
      </c>
      <c r="P1376" s="1">
        <f t="shared" si="51"/>
        <v>44197</v>
      </c>
      <c r="Q1376">
        <f t="shared" si="55"/>
        <v>455</v>
      </c>
    </row>
    <row r="1377" spans="1:17" x14ac:dyDescent="0.25">
      <c r="A1377" s="1">
        <f t="shared" si="54"/>
        <v>44652</v>
      </c>
      <c r="B1377" t="s">
        <v>155</v>
      </c>
      <c r="C1377" t="str">
        <f>_xlfn.XLOOKUP(B1377,Phone_by_Price!$A$2:$A$34,Phone_by_Price!$B$2:$B$34,"-",0,1)</f>
        <v>Google Pixel 6</v>
      </c>
      <c r="D1377" t="str">
        <f>_xlfn.XLOOKUP(C1377,Phone_by_Sentiment!$B$2:$B$37,Phone_by_Sentiment!$A$2:$A$37,"-",0,1)</f>
        <v>2021-10</v>
      </c>
      <c r="E1377" cm="1">
        <f t="array" ref="E1377">IF($Q1377&gt;=0,IFERROR(generateSalesData($D1377, IF(ISNUMBER(_xlfn.XLOOKUP($C1377,Phone_by_Sentiment!$B$2:$B$37,Phone_by_Sentiment!E$2:E$37,"",0,1)),_xlfn.XLOOKUP($C1377,Phone_by_Sentiment!$B$2:$B$37,Phone_by_Sentiment!E$2:E$37,"",0,1),0),$A1377-TEXT(DATEVALUE($D1377&amp;"-01"), "dd-mm-yyyy")),0),0)</f>
        <v>250</v>
      </c>
      <c r="F1377" cm="1">
        <f t="array" ref="F1377">IF($Q1377&gt;=0,IFERROR(generateSalesData($D1377, IF(ISNUMBER(_xlfn.XLOOKUP($C1377,Phone_by_Sentiment!$B$2:$B$37,Phone_by_Sentiment!F$2:F$37,"",0,1)),_xlfn.XLOOKUP($C1377,Phone_by_Sentiment!$B$2:$B$37,Phone_by_Sentiment!F$2:F$37,"",0,1),0),$A1377-TEXT(DATEVALUE($D1377&amp;"-01"), "dd-mm-yyyy")),0),0)</f>
        <v>25</v>
      </c>
      <c r="G1377" cm="1">
        <f t="array" ref="G1377">IF($Q1377&gt;=0,IFERROR(generateSalesData($D1377, IF(ISNUMBER(_xlfn.XLOOKUP($C1377,Phone_by_Sentiment!$B$2:$B$37,Phone_by_Sentiment!G$2:G$37,"",0,1)),_xlfn.XLOOKUP($C1377,Phone_by_Sentiment!$B$2:$B$37,Phone_by_Sentiment!G$2:G$37,"",0,1),0),$A1377-TEXT(DATEVALUE($D1377&amp;"-01"), "dd-mm-yyyy")),0),0)</f>
        <v>115</v>
      </c>
      <c r="H1377" cm="1">
        <f t="array" ref="H1377">IF($Q1377&gt;=0,IFERROR(generateSalesData($D1377, IF(ISNUMBER(_xlfn.XLOOKUP($C1377,Phone_by_Sentiment!$B$2:$B$37,Phone_by_Sentiment!H$2:H$37,"",0,1)),_xlfn.XLOOKUP($C1377,Phone_by_Sentiment!$B$2:$B$37,Phone_by_Sentiment!H$2:H$37,"",0,1),0),$A1377-TEXT(DATEVALUE($D1377&amp;"-01"), "dd-mm-yyyy")),0),0)</f>
        <v>303</v>
      </c>
      <c r="I1377" cm="1">
        <f t="array" ref="I1377">IF($Q1377&gt;=0,IFERROR(generateSalesData($D1377, IF(ISNUMBER(_xlfn.XLOOKUP($C1377,Phone_by_Sentiment!$B$2:$B$37,Phone_by_Sentiment!I$2:I$37,"",0,1)),_xlfn.XLOOKUP($C1377,Phone_by_Sentiment!$B$2:$B$37,Phone_by_Sentiment!I$2:I$37,"",0,1),0),$A1377-TEXT(DATEVALUE($D1377&amp;"-01"), "dd-mm-yyyy")),0),0)</f>
        <v>194</v>
      </c>
      <c r="J1377" cm="1">
        <f t="array" ref="J1377">IF($Q1377&gt;=0,IFERROR(generateSalesData($D1377, IF(ISNUMBER(_xlfn.XLOOKUP($C1377,Phone_by_Sentiment!$B$2:$B$37,Phone_by_Sentiment!J$2:J$37,"",0,1)),_xlfn.XLOOKUP($C1377,Phone_by_Sentiment!$B$2:$B$37,Phone_by_Sentiment!J$2:J$37,"",0,1),0),$A1377-TEXT(DATEVALUE($D1377&amp;"-01"), "dd-mm-yyyy")),0),0)</f>
        <v>299</v>
      </c>
      <c r="K1377" cm="1">
        <f t="array" ref="K1377">IF($Q1377&gt;=0,IFERROR(generateSalesData($D1377, IF(ISNUMBER(_xlfn.XLOOKUP($C1377,Phone_by_Sentiment!$B$2:$B$37,Phone_by_Sentiment!K$2:K$37,"",0,1)),_xlfn.XLOOKUP($C1377,Phone_by_Sentiment!$B$2:$B$37,Phone_by_Sentiment!K$2:K$37,"",0,1),0),$A1377-TEXT(DATEVALUE($D1377&amp;"-01"), "dd-mm-yyyy")),0),0)</f>
        <v>277</v>
      </c>
      <c r="L1377" cm="1">
        <f t="array" ref="L1377">IF($Q1377&gt;=0,IFERROR(generateSalesData($D1377, IF(ISNUMBER(_xlfn.XLOOKUP($C1377,Phone_by_Sentiment!$B$2:$B$37,Phone_by_Sentiment!L$2:L$37,"",0,1)),_xlfn.XLOOKUP($C1377,Phone_by_Sentiment!$B$2:$B$37,Phone_by_Sentiment!L$2:L$37,"",0,1),0),$A1377-TEXT(DATEVALUE($D1377&amp;"-01"), "dd-mm-yyyy")),0),0)</f>
        <v>88</v>
      </c>
      <c r="M1377" cm="1">
        <f t="array" ref="M1377">IF($Q1377&gt;=0,IFERROR(generateSalesData($D1377, IF(ISNUMBER(_xlfn.XLOOKUP($C1377,Phone_by_Sentiment!$B$2:$B$37,Phone_by_Sentiment!M$2:M$37,"",0,1)),_xlfn.XLOOKUP($C1377,Phone_by_Sentiment!$B$2:$B$37,Phone_by_Sentiment!M$2:M$37,"",0,1),0),$A1377-TEXT(DATEVALUE($D1377&amp;"-01"), "dd-mm-yyyy")),0),0)</f>
        <v>789</v>
      </c>
      <c r="N1377" cm="1">
        <f t="array" ref="N1377">IF($Q1377&gt;=0,IFERROR(generateSalesData($D1377, IF(ISNUMBER(_xlfn.XLOOKUP($C1377,Phone_by_Sentiment!$B$2:$B$37,Phone_by_Sentiment!N$2:N$37,"",0,1)),_xlfn.XLOOKUP($C1377,Phone_by_Sentiment!$B$2:$B$37,Phone_by_Sentiment!N$2:N$37,"",0,1),0),$A1377-TEXT(DATEVALUE($D1377&amp;"-01"), "dd-mm-yyyy")),0),0)</f>
        <v>76</v>
      </c>
      <c r="O1377" cm="1">
        <f t="array" ref="O1377">IF($Q1377&gt;=0,IFERROR(generateSalesData($D1377, IF(ISNUMBER(_xlfn.XLOOKUP($C1377,Phone_by_Sentiment!$B$2:$B$37,Phone_by_Sentiment!O$2:O$37,"",0,1)),_xlfn.XLOOKUP($C1377,Phone_by_Sentiment!$B$2:$B$37,Phone_by_Sentiment!O$2:O$37,"",0,1),0),$A1377-TEXT(DATEVALUE($D1377&amp;"-01"), "dd-mm-yyyy")),0),0)</f>
        <v>91</v>
      </c>
      <c r="P1377" s="1">
        <f t="shared" si="51"/>
        <v>44470</v>
      </c>
      <c r="Q1377">
        <f t="shared" si="55"/>
        <v>182</v>
      </c>
    </row>
    <row r="1378" spans="1:17" x14ac:dyDescent="0.25">
      <c r="A1378" s="1">
        <f t="shared" si="54"/>
        <v>44652</v>
      </c>
      <c r="B1378" t="s">
        <v>156</v>
      </c>
      <c r="C1378" t="str">
        <f>_xlfn.XLOOKUP(B1378,Phone_by_Price!$A$2:$A$34,Phone_by_Price!$B$2:$B$34,"-",0,1)</f>
        <v>OnePlus Nord CE</v>
      </c>
      <c r="D1378" t="str">
        <f>_xlfn.XLOOKUP(C1378,Phone_by_Sentiment!$B$2:$B$37,Phone_by_Sentiment!$A$2:$A$37,"-",0,1)</f>
        <v>2021-06</v>
      </c>
      <c r="E1378" cm="1">
        <f t="array" ref="E1378">IF($Q1378&gt;=0,IFERROR(generateSalesData($D1378, IF(ISNUMBER(_xlfn.XLOOKUP($C1378,Phone_by_Sentiment!$B$2:$B$37,Phone_by_Sentiment!E$2:E$37,"",0,1)),_xlfn.XLOOKUP($C1378,Phone_by_Sentiment!$B$2:$B$37,Phone_by_Sentiment!E$2:E$37,"",0,1),0),$A1378-TEXT(DATEVALUE($D1378&amp;"-01"), "dd-mm-yyyy")),0),0)</f>
        <v>31</v>
      </c>
      <c r="F1378" cm="1">
        <f t="array" ref="F1378">IF($Q1378&gt;=0,IFERROR(generateSalesData($D1378, IF(ISNUMBER(_xlfn.XLOOKUP($C1378,Phone_by_Sentiment!$B$2:$B$37,Phone_by_Sentiment!F$2:F$37,"",0,1)),_xlfn.XLOOKUP($C1378,Phone_by_Sentiment!$B$2:$B$37,Phone_by_Sentiment!F$2:F$37,"",0,1),0),$A1378-TEXT(DATEVALUE($D1378&amp;"-01"), "dd-mm-yyyy")),0),0)</f>
        <v>141</v>
      </c>
      <c r="G1378" cm="1">
        <f t="array" ref="G1378">IF($Q1378&gt;=0,IFERROR(generateSalesData($D1378, IF(ISNUMBER(_xlfn.XLOOKUP($C1378,Phone_by_Sentiment!$B$2:$B$37,Phone_by_Sentiment!G$2:G$37,"",0,1)),_xlfn.XLOOKUP($C1378,Phone_by_Sentiment!$B$2:$B$37,Phone_by_Sentiment!G$2:G$37,"",0,1),0),$A1378-TEXT(DATEVALUE($D1378&amp;"-01"), "dd-mm-yyyy")),0),0)</f>
        <v>14</v>
      </c>
      <c r="H1378" cm="1">
        <f t="array" ref="H1378">IF($Q1378&gt;=0,IFERROR(generateSalesData($D1378, IF(ISNUMBER(_xlfn.XLOOKUP($C1378,Phone_by_Sentiment!$B$2:$B$37,Phone_by_Sentiment!H$2:H$37,"",0,1)),_xlfn.XLOOKUP($C1378,Phone_by_Sentiment!$B$2:$B$37,Phone_by_Sentiment!H$2:H$37,"",0,1),0),$A1378-TEXT(DATEVALUE($D1378&amp;"-01"), "dd-mm-yyyy")),0),0)</f>
        <v>211</v>
      </c>
      <c r="I1378" cm="1">
        <f t="array" ref="I1378">IF($Q1378&gt;=0,IFERROR(generateSalesData($D1378, IF(ISNUMBER(_xlfn.XLOOKUP($C1378,Phone_by_Sentiment!$B$2:$B$37,Phone_by_Sentiment!I$2:I$37,"",0,1)),_xlfn.XLOOKUP($C1378,Phone_by_Sentiment!$B$2:$B$37,Phone_by_Sentiment!I$2:I$37,"",0,1),0),$A1378-TEXT(DATEVALUE($D1378&amp;"-01"), "dd-mm-yyyy")),0),0)</f>
        <v>168</v>
      </c>
      <c r="J1378" cm="1">
        <f t="array" ref="J1378">IF($Q1378&gt;=0,IFERROR(generateSalesData($D1378, IF(ISNUMBER(_xlfn.XLOOKUP($C1378,Phone_by_Sentiment!$B$2:$B$37,Phone_by_Sentiment!J$2:J$37,"",0,1)),_xlfn.XLOOKUP($C1378,Phone_by_Sentiment!$B$2:$B$37,Phone_by_Sentiment!J$2:J$37,"",0,1),0),$A1378-TEXT(DATEVALUE($D1378&amp;"-01"), "dd-mm-yyyy")),0),0)</f>
        <v>142</v>
      </c>
      <c r="K1378" cm="1">
        <f t="array" ref="K1378">IF($Q1378&gt;=0,IFERROR(generateSalesData($D1378, IF(ISNUMBER(_xlfn.XLOOKUP($C1378,Phone_by_Sentiment!$B$2:$B$37,Phone_by_Sentiment!K$2:K$37,"",0,1)),_xlfn.XLOOKUP($C1378,Phone_by_Sentiment!$B$2:$B$37,Phone_by_Sentiment!K$2:K$37,"",0,1),0),$A1378-TEXT(DATEVALUE($D1378&amp;"-01"), "dd-mm-yyyy")),0),0)</f>
        <v>89</v>
      </c>
      <c r="L1378" cm="1">
        <f t="array" ref="L1378">IF($Q1378&gt;=0,IFERROR(generateSalesData($D1378, IF(ISNUMBER(_xlfn.XLOOKUP($C1378,Phone_by_Sentiment!$B$2:$B$37,Phone_by_Sentiment!L$2:L$37,"",0,1)),_xlfn.XLOOKUP($C1378,Phone_by_Sentiment!$B$2:$B$37,Phone_by_Sentiment!L$2:L$37,"",0,1),0),$A1378-TEXT(DATEVALUE($D1378&amp;"-01"), "dd-mm-yyyy")),0),0)</f>
        <v>151</v>
      </c>
      <c r="M1378" cm="1">
        <f t="array" ref="M1378">IF($Q1378&gt;=0,IFERROR(generateSalesData($D1378, IF(ISNUMBER(_xlfn.XLOOKUP($C1378,Phone_by_Sentiment!$B$2:$B$37,Phone_by_Sentiment!M$2:M$37,"",0,1)),_xlfn.XLOOKUP($C1378,Phone_by_Sentiment!$B$2:$B$37,Phone_by_Sentiment!M$2:M$37,"",0,1),0),$A1378-TEXT(DATEVALUE($D1378&amp;"-01"), "dd-mm-yyyy")),0),0)</f>
        <v>69</v>
      </c>
      <c r="N1378" cm="1">
        <f t="array" ref="N1378">IF($Q1378&gt;=0,IFERROR(generateSalesData($D1378, IF(ISNUMBER(_xlfn.XLOOKUP($C1378,Phone_by_Sentiment!$B$2:$B$37,Phone_by_Sentiment!N$2:N$37,"",0,1)),_xlfn.XLOOKUP($C1378,Phone_by_Sentiment!$B$2:$B$37,Phone_by_Sentiment!N$2:N$37,"",0,1),0),$A1378-TEXT(DATEVALUE($D1378&amp;"-01"), "dd-mm-yyyy")),0),0)</f>
        <v>1236</v>
      </c>
      <c r="O1378" cm="1">
        <f t="array" ref="O1378">IF($Q1378&gt;=0,IFERROR(generateSalesData($D1378, IF(ISNUMBER(_xlfn.XLOOKUP($C1378,Phone_by_Sentiment!$B$2:$B$37,Phone_by_Sentiment!O$2:O$37,"",0,1)),_xlfn.XLOOKUP($C1378,Phone_by_Sentiment!$B$2:$B$37,Phone_by_Sentiment!O$2:O$37,"",0,1),0),$A1378-TEXT(DATEVALUE($D1378&amp;"-01"), "dd-mm-yyyy")),0),0)</f>
        <v>112</v>
      </c>
      <c r="P1378" s="1">
        <f t="shared" si="51"/>
        <v>44348</v>
      </c>
      <c r="Q1378">
        <f t="shared" si="55"/>
        <v>304</v>
      </c>
    </row>
    <row r="1379" spans="1:17" x14ac:dyDescent="0.25">
      <c r="A1379" s="1">
        <f t="shared" si="54"/>
        <v>44652</v>
      </c>
      <c r="B1379" t="s">
        <v>157</v>
      </c>
      <c r="C1379" t="str">
        <f>_xlfn.XLOOKUP(B1379,Phone_by_Price!$A$2:$A$34,Phone_by_Price!$B$2:$B$34,"-",0,1)</f>
        <v>Apple iPhone 13 Pro</v>
      </c>
      <c r="D1379" t="str">
        <f>_xlfn.XLOOKUP(C1379,Phone_by_Sentiment!$B$2:$B$37,Phone_by_Sentiment!$A$2:$A$37,"-",0,1)</f>
        <v>2021-09</v>
      </c>
      <c r="E1379" cm="1">
        <f t="array" ref="E1379">IF($Q1379&gt;=0,IFERROR(generateSalesData($D1379, IF(ISNUMBER(_xlfn.XLOOKUP($C1379,Phone_by_Sentiment!$B$2:$B$37,Phone_by_Sentiment!E$2:E$37,"",0,1)),_xlfn.XLOOKUP($C1379,Phone_by_Sentiment!$B$2:$B$37,Phone_by_Sentiment!E$2:E$37,"",0,1),0),$A1379-TEXT(DATEVALUE($D1379&amp;"-01"), "dd-mm-yyyy")),0),0)</f>
        <v>1057</v>
      </c>
      <c r="F1379" cm="1">
        <f t="array" ref="F1379">IF($Q1379&gt;=0,IFERROR(generateSalesData($D1379, IF(ISNUMBER(_xlfn.XLOOKUP($C1379,Phone_by_Sentiment!$B$2:$B$37,Phone_by_Sentiment!F$2:F$37,"",0,1)),_xlfn.XLOOKUP($C1379,Phone_by_Sentiment!$B$2:$B$37,Phone_by_Sentiment!F$2:F$37,"",0,1),0),$A1379-TEXT(DATEVALUE($D1379&amp;"-01"), "dd-mm-yyyy")),0),0)</f>
        <v>890</v>
      </c>
      <c r="G1379" cm="1">
        <f t="array" ref="G1379">IF($Q1379&gt;=0,IFERROR(generateSalesData($D1379, IF(ISNUMBER(_xlfn.XLOOKUP($C1379,Phone_by_Sentiment!$B$2:$B$37,Phone_by_Sentiment!G$2:G$37,"",0,1)),_xlfn.XLOOKUP($C1379,Phone_by_Sentiment!$B$2:$B$37,Phone_by_Sentiment!G$2:G$37,"",0,1),0),$A1379-TEXT(DATEVALUE($D1379&amp;"-01"), "dd-mm-yyyy")),0),0)</f>
        <v>278</v>
      </c>
      <c r="H1379" cm="1">
        <f t="array" ref="H1379">IF($Q1379&gt;=0,IFERROR(generateSalesData($D1379, IF(ISNUMBER(_xlfn.XLOOKUP($C1379,Phone_by_Sentiment!$B$2:$B$37,Phone_by_Sentiment!H$2:H$37,"",0,1)),_xlfn.XLOOKUP($C1379,Phone_by_Sentiment!$B$2:$B$37,Phone_by_Sentiment!H$2:H$37,"",0,1),0),$A1379-TEXT(DATEVALUE($D1379&amp;"-01"), "dd-mm-yyyy")),0),0)</f>
        <v>1446</v>
      </c>
      <c r="I1379" cm="1">
        <f t="array" ref="I1379">IF($Q1379&gt;=0,IFERROR(generateSalesData($D1379, IF(ISNUMBER(_xlfn.XLOOKUP($C1379,Phone_by_Sentiment!$B$2:$B$37,Phone_by_Sentiment!I$2:I$37,"",0,1)),_xlfn.XLOOKUP($C1379,Phone_by_Sentiment!$B$2:$B$37,Phone_by_Sentiment!I$2:I$37,"",0,1),0),$A1379-TEXT(DATEVALUE($D1379&amp;"-01"), "dd-mm-yyyy")),0),0)</f>
        <v>779</v>
      </c>
      <c r="J1379" cm="1">
        <f t="array" ref="J1379">IF($Q1379&gt;=0,IFERROR(generateSalesData($D1379, IF(ISNUMBER(_xlfn.XLOOKUP($C1379,Phone_by_Sentiment!$B$2:$B$37,Phone_by_Sentiment!J$2:J$37,"",0,1)),_xlfn.XLOOKUP($C1379,Phone_by_Sentiment!$B$2:$B$37,Phone_by_Sentiment!J$2:J$37,"",0,1),0),$A1379-TEXT(DATEVALUE($D1379&amp;"-01"), "dd-mm-yyyy")),0),0)</f>
        <v>1213</v>
      </c>
      <c r="K1379" cm="1">
        <f t="array" ref="K1379">IF($Q1379&gt;=0,IFERROR(generateSalesData($D1379, IF(ISNUMBER(_xlfn.XLOOKUP($C1379,Phone_by_Sentiment!$B$2:$B$37,Phone_by_Sentiment!K$2:K$37,"",0,1)),_xlfn.XLOOKUP($C1379,Phone_by_Sentiment!$B$2:$B$37,Phone_by_Sentiment!K$2:K$37,"",0,1),0),$A1379-TEXT(DATEVALUE($D1379&amp;"-01"), "dd-mm-yyyy")),0),0)</f>
        <v>1099</v>
      </c>
      <c r="L1379" cm="1">
        <f t="array" ref="L1379">IF($Q1379&gt;=0,IFERROR(generateSalesData($D1379, IF(ISNUMBER(_xlfn.XLOOKUP($C1379,Phone_by_Sentiment!$B$2:$B$37,Phone_by_Sentiment!L$2:L$37,"",0,1)),_xlfn.XLOOKUP($C1379,Phone_by_Sentiment!$B$2:$B$37,Phone_by_Sentiment!L$2:L$37,"",0,1),0),$A1379-TEXT(DATEVALUE($D1379&amp;"-01"), "dd-mm-yyyy")),0),0)</f>
        <v>1386</v>
      </c>
      <c r="M1379" cm="1">
        <f t="array" ref="M1379">IF($Q1379&gt;=0,IFERROR(generateSalesData($D1379, IF(ISNUMBER(_xlfn.XLOOKUP($C1379,Phone_by_Sentiment!$B$2:$B$37,Phone_by_Sentiment!M$2:M$37,"",0,1)),_xlfn.XLOOKUP($C1379,Phone_by_Sentiment!$B$2:$B$37,Phone_by_Sentiment!M$2:M$37,"",0,1),0),$A1379-TEXT(DATEVALUE($D1379&amp;"-01"), "dd-mm-yyyy")),0),0)</f>
        <v>1236</v>
      </c>
      <c r="N1379" cm="1">
        <f t="array" ref="N1379">IF($Q1379&gt;=0,IFERROR(generateSalesData($D1379, IF(ISNUMBER(_xlfn.XLOOKUP($C1379,Phone_by_Sentiment!$B$2:$B$37,Phone_by_Sentiment!N$2:N$37,"",0,1)),_xlfn.XLOOKUP($C1379,Phone_by_Sentiment!$B$2:$B$37,Phone_by_Sentiment!N$2:N$37,"",0,1),0),$A1379-TEXT(DATEVALUE($D1379&amp;"-01"), "dd-mm-yyyy")),0),0)</f>
        <v>713</v>
      </c>
      <c r="O1379" cm="1">
        <f t="array" ref="O1379">IF($Q1379&gt;=0,IFERROR(generateSalesData($D1379, IF(ISNUMBER(_xlfn.XLOOKUP($C1379,Phone_by_Sentiment!$B$2:$B$37,Phone_by_Sentiment!O$2:O$37,"",0,1)),_xlfn.XLOOKUP($C1379,Phone_by_Sentiment!$B$2:$B$37,Phone_by_Sentiment!O$2:O$37,"",0,1),0),$A1379-TEXT(DATEVALUE($D1379&amp;"-01"), "dd-mm-yyyy")),0),0)</f>
        <v>1537</v>
      </c>
      <c r="P1379" s="1">
        <f t="shared" si="51"/>
        <v>44440</v>
      </c>
      <c r="Q1379">
        <f t="shared" si="55"/>
        <v>212</v>
      </c>
    </row>
    <row r="1380" spans="1:17" x14ac:dyDescent="0.25">
      <c r="A1380" s="1">
        <f t="shared" si="54"/>
        <v>44652</v>
      </c>
      <c r="B1380" t="s">
        <v>158</v>
      </c>
      <c r="C1380" t="str">
        <f>_xlfn.XLOOKUP(B1380,Phone_by_Price!$A$2:$A$34,Phone_by_Price!$B$2:$B$34,"-",0,1)</f>
        <v>Samsung Galaxy A32 5G</v>
      </c>
      <c r="D1380" t="str">
        <f>_xlfn.XLOOKUP(C1380,Phone_by_Sentiment!$B$2:$B$37,Phone_by_Sentiment!$A$2:$A$37,"-",0,1)</f>
        <v>2021-02</v>
      </c>
      <c r="E1380" cm="1">
        <f t="array" ref="E1380">IF($Q1380&gt;=0,IFERROR(generateSalesData($D1380, IF(ISNUMBER(_xlfn.XLOOKUP($C1380,Phone_by_Sentiment!$B$2:$B$37,Phone_by_Sentiment!E$2:E$37,"",0,1)),_xlfn.XLOOKUP($C1380,Phone_by_Sentiment!$B$2:$B$37,Phone_by_Sentiment!E$2:E$37,"",0,1),0),$A1380-TEXT(DATEVALUE($D1380&amp;"-01"), "dd-mm-yyyy")),0),0)</f>
        <v>578</v>
      </c>
      <c r="F1380" cm="1">
        <f t="array" ref="F1380">IF($Q1380&gt;=0,IFERROR(generateSalesData($D1380, IF(ISNUMBER(_xlfn.XLOOKUP($C1380,Phone_by_Sentiment!$B$2:$B$37,Phone_by_Sentiment!F$2:F$37,"",0,1)),_xlfn.XLOOKUP($C1380,Phone_by_Sentiment!$B$2:$B$37,Phone_by_Sentiment!F$2:F$37,"",0,1),0),$A1380-TEXT(DATEVALUE($D1380&amp;"-01"), "dd-mm-yyyy")),0),0)</f>
        <v>690</v>
      </c>
      <c r="G1380" cm="1">
        <f t="array" ref="G1380">IF($Q1380&gt;=0,IFERROR(generateSalesData($D1380, IF(ISNUMBER(_xlfn.XLOOKUP($C1380,Phone_by_Sentiment!$B$2:$B$37,Phone_by_Sentiment!G$2:G$37,"",0,1)),_xlfn.XLOOKUP($C1380,Phone_by_Sentiment!$B$2:$B$37,Phone_by_Sentiment!G$2:G$37,"",0,1),0),$A1380-TEXT(DATEVALUE($D1380&amp;"-01"), "dd-mm-yyyy")),0),0)</f>
        <v>80</v>
      </c>
      <c r="H1380" cm="1">
        <f t="array" ref="H1380">IF($Q1380&gt;=0,IFERROR(generateSalesData($D1380, IF(ISNUMBER(_xlfn.XLOOKUP($C1380,Phone_by_Sentiment!$B$2:$B$37,Phone_by_Sentiment!H$2:H$37,"",0,1)),_xlfn.XLOOKUP($C1380,Phone_by_Sentiment!$B$2:$B$37,Phone_by_Sentiment!H$2:H$37,"",0,1),0),$A1380-TEXT(DATEVALUE($D1380&amp;"-01"), "dd-mm-yyyy")),0),0)</f>
        <v>9</v>
      </c>
      <c r="I1380" cm="1">
        <f t="array" ref="I1380">IF($Q1380&gt;=0,IFERROR(generateSalesData($D1380, IF(ISNUMBER(_xlfn.XLOOKUP($C1380,Phone_by_Sentiment!$B$2:$B$37,Phone_by_Sentiment!I$2:I$37,"",0,1)),_xlfn.XLOOKUP($C1380,Phone_by_Sentiment!$B$2:$B$37,Phone_by_Sentiment!I$2:I$37,"",0,1),0),$A1380-TEXT(DATEVALUE($D1380&amp;"-01"), "dd-mm-yyyy")),0),0)</f>
        <v>292</v>
      </c>
      <c r="J1380" cm="1">
        <f t="array" ref="J1380">IF($Q1380&gt;=0,IFERROR(generateSalesData($D1380, IF(ISNUMBER(_xlfn.XLOOKUP($C1380,Phone_by_Sentiment!$B$2:$B$37,Phone_by_Sentiment!J$2:J$37,"",0,1)),_xlfn.XLOOKUP($C1380,Phone_by_Sentiment!$B$2:$B$37,Phone_by_Sentiment!J$2:J$37,"",0,1),0),$A1380-TEXT(DATEVALUE($D1380&amp;"-01"), "dd-mm-yyyy")),0),0)</f>
        <v>421</v>
      </c>
      <c r="K1380" cm="1">
        <f t="array" ref="K1380">IF($Q1380&gt;=0,IFERROR(generateSalesData($D1380, IF(ISNUMBER(_xlfn.XLOOKUP($C1380,Phone_by_Sentiment!$B$2:$B$37,Phone_by_Sentiment!K$2:K$37,"",0,1)),_xlfn.XLOOKUP($C1380,Phone_by_Sentiment!$B$2:$B$37,Phone_by_Sentiment!K$2:K$37,"",0,1),0),$A1380-TEXT(DATEVALUE($D1380&amp;"-01"), "dd-mm-yyyy")),0),0)</f>
        <v>30</v>
      </c>
      <c r="L1380" cm="1">
        <f t="array" ref="L1380">IF($Q1380&gt;=0,IFERROR(generateSalesData($D1380, IF(ISNUMBER(_xlfn.XLOOKUP($C1380,Phone_by_Sentiment!$B$2:$B$37,Phone_by_Sentiment!L$2:L$37,"",0,1)),_xlfn.XLOOKUP($C1380,Phone_by_Sentiment!$B$2:$B$37,Phone_by_Sentiment!L$2:L$37,"",0,1),0),$A1380-TEXT(DATEVALUE($D1380&amp;"-01"), "dd-mm-yyyy")),0),0)</f>
        <v>270</v>
      </c>
      <c r="M1380" cm="1">
        <f t="array" ref="M1380">IF($Q1380&gt;=0,IFERROR(generateSalesData($D1380, IF(ISNUMBER(_xlfn.XLOOKUP($C1380,Phone_by_Sentiment!$B$2:$B$37,Phone_by_Sentiment!M$2:M$37,"",0,1)),_xlfn.XLOOKUP($C1380,Phone_by_Sentiment!$B$2:$B$37,Phone_by_Sentiment!M$2:M$37,"",0,1),0),$A1380-TEXT(DATEVALUE($D1380&amp;"-01"), "dd-mm-yyyy")),0),0)</f>
        <v>385</v>
      </c>
      <c r="N1380" cm="1">
        <f t="array" ref="N1380">IF($Q1380&gt;=0,IFERROR(generateSalesData($D1380, IF(ISNUMBER(_xlfn.XLOOKUP($C1380,Phone_by_Sentiment!$B$2:$B$37,Phone_by_Sentiment!N$2:N$37,"",0,1)),_xlfn.XLOOKUP($C1380,Phone_by_Sentiment!$B$2:$B$37,Phone_by_Sentiment!N$2:N$37,"",0,1),0),$A1380-TEXT(DATEVALUE($D1380&amp;"-01"), "dd-mm-yyyy")),0),0)</f>
        <v>597</v>
      </c>
      <c r="O1380" cm="1">
        <f t="array" ref="O1380">IF($Q1380&gt;=0,IFERROR(generateSalesData($D1380, IF(ISNUMBER(_xlfn.XLOOKUP($C1380,Phone_by_Sentiment!$B$2:$B$37,Phone_by_Sentiment!O$2:O$37,"",0,1)),_xlfn.XLOOKUP($C1380,Phone_by_Sentiment!$B$2:$B$37,Phone_by_Sentiment!O$2:O$37,"",0,1),0),$A1380-TEXT(DATEVALUE($D1380&amp;"-01"), "dd-mm-yyyy")),0),0)</f>
        <v>400</v>
      </c>
      <c r="P1380" s="1">
        <f t="shared" si="51"/>
        <v>44228</v>
      </c>
      <c r="Q1380">
        <f t="shared" si="55"/>
        <v>424</v>
      </c>
    </row>
    <row r="1381" spans="1:17" x14ac:dyDescent="0.25">
      <c r="A1381" s="1">
        <f t="shared" si="54"/>
        <v>44652</v>
      </c>
      <c r="B1381" t="s">
        <v>159</v>
      </c>
      <c r="C1381" t="str">
        <f>_xlfn.XLOOKUP(B1381,Phone_by_Price!$A$2:$A$34,Phone_by_Price!$B$2:$B$34,"-",0,1)</f>
        <v>Realme C25</v>
      </c>
      <c r="D1381" t="str">
        <f>_xlfn.XLOOKUP(C1381,Phone_by_Sentiment!$B$2:$B$37,Phone_by_Sentiment!$A$2:$A$37,"-",0,1)</f>
        <v>2021-03</v>
      </c>
      <c r="E1381" cm="1">
        <f t="array" ref="E1381">IF($Q1381&gt;=0,IFERROR(generateSalesData($D1381, IF(ISNUMBER(_xlfn.XLOOKUP($C1381,Phone_by_Sentiment!$B$2:$B$37,Phone_by_Sentiment!E$2:E$37,"",0,1)),_xlfn.XLOOKUP($C1381,Phone_by_Sentiment!$B$2:$B$37,Phone_by_Sentiment!E$2:E$37,"",0,1),0),$A1381-TEXT(DATEVALUE($D1381&amp;"-01"), "dd-mm-yyyy")),0),0)</f>
        <v>128</v>
      </c>
      <c r="F1381" cm="1">
        <f t="array" ref="F1381">IF($Q1381&gt;=0,IFERROR(generateSalesData($D1381, IF(ISNUMBER(_xlfn.XLOOKUP($C1381,Phone_by_Sentiment!$B$2:$B$37,Phone_by_Sentiment!F$2:F$37,"",0,1)),_xlfn.XLOOKUP($C1381,Phone_by_Sentiment!$B$2:$B$37,Phone_by_Sentiment!F$2:F$37,"",0,1),0),$A1381-TEXT(DATEVALUE($D1381&amp;"-01"), "dd-mm-yyyy")),0),0)</f>
        <v>626</v>
      </c>
      <c r="G1381" cm="1">
        <f t="array" ref="G1381">IF($Q1381&gt;=0,IFERROR(generateSalesData($D1381, IF(ISNUMBER(_xlfn.XLOOKUP($C1381,Phone_by_Sentiment!$B$2:$B$37,Phone_by_Sentiment!G$2:G$37,"",0,1)),_xlfn.XLOOKUP($C1381,Phone_by_Sentiment!$B$2:$B$37,Phone_by_Sentiment!G$2:G$37,"",0,1),0),$A1381-TEXT(DATEVALUE($D1381&amp;"-01"), "dd-mm-yyyy")),0),0)</f>
        <v>147</v>
      </c>
      <c r="H1381" cm="1">
        <f t="array" ref="H1381">IF($Q1381&gt;=0,IFERROR(generateSalesData($D1381, IF(ISNUMBER(_xlfn.XLOOKUP($C1381,Phone_by_Sentiment!$B$2:$B$37,Phone_by_Sentiment!H$2:H$37,"",0,1)),_xlfn.XLOOKUP($C1381,Phone_by_Sentiment!$B$2:$B$37,Phone_by_Sentiment!H$2:H$37,"",0,1),0),$A1381-TEXT(DATEVALUE($D1381&amp;"-01"), "dd-mm-yyyy")),0),0)</f>
        <v>404</v>
      </c>
      <c r="I1381" cm="1">
        <f t="array" ref="I1381">IF($Q1381&gt;=0,IFERROR(generateSalesData($D1381, IF(ISNUMBER(_xlfn.XLOOKUP($C1381,Phone_by_Sentiment!$B$2:$B$37,Phone_by_Sentiment!I$2:I$37,"",0,1)),_xlfn.XLOOKUP($C1381,Phone_by_Sentiment!$B$2:$B$37,Phone_by_Sentiment!I$2:I$37,"",0,1),0),$A1381-TEXT(DATEVALUE($D1381&amp;"-01"), "dd-mm-yyyy")),0),0)</f>
        <v>297</v>
      </c>
      <c r="J1381" cm="1">
        <f t="array" ref="J1381">IF($Q1381&gt;=0,IFERROR(generateSalesData($D1381, IF(ISNUMBER(_xlfn.XLOOKUP($C1381,Phone_by_Sentiment!$B$2:$B$37,Phone_by_Sentiment!J$2:J$37,"",0,1)),_xlfn.XLOOKUP($C1381,Phone_by_Sentiment!$B$2:$B$37,Phone_by_Sentiment!J$2:J$37,"",0,1),0),$A1381-TEXT(DATEVALUE($D1381&amp;"-01"), "dd-mm-yyyy")),0),0)</f>
        <v>80</v>
      </c>
      <c r="K1381" cm="1">
        <f t="array" ref="K1381">IF($Q1381&gt;=0,IFERROR(generateSalesData($D1381, IF(ISNUMBER(_xlfn.XLOOKUP($C1381,Phone_by_Sentiment!$B$2:$B$37,Phone_by_Sentiment!K$2:K$37,"",0,1)),_xlfn.XLOOKUP($C1381,Phone_by_Sentiment!$B$2:$B$37,Phone_by_Sentiment!K$2:K$37,"",0,1),0),$A1381-TEXT(DATEVALUE($D1381&amp;"-01"), "dd-mm-yyyy")),0),0)</f>
        <v>177</v>
      </c>
      <c r="L1381" cm="1">
        <f t="array" ref="L1381">IF($Q1381&gt;=0,IFERROR(generateSalesData($D1381, IF(ISNUMBER(_xlfn.XLOOKUP($C1381,Phone_by_Sentiment!$B$2:$B$37,Phone_by_Sentiment!L$2:L$37,"",0,1)),_xlfn.XLOOKUP($C1381,Phone_by_Sentiment!$B$2:$B$37,Phone_by_Sentiment!L$2:L$37,"",0,1),0),$A1381-TEXT(DATEVALUE($D1381&amp;"-01"), "dd-mm-yyyy")),0),0)</f>
        <v>545</v>
      </c>
      <c r="M1381" cm="1">
        <f t="array" ref="M1381">IF($Q1381&gt;=0,IFERROR(generateSalesData($D1381, IF(ISNUMBER(_xlfn.XLOOKUP($C1381,Phone_by_Sentiment!$B$2:$B$37,Phone_by_Sentiment!M$2:M$37,"",0,1)),_xlfn.XLOOKUP($C1381,Phone_by_Sentiment!$B$2:$B$37,Phone_by_Sentiment!M$2:M$37,"",0,1),0),$A1381-TEXT(DATEVALUE($D1381&amp;"-01"), "dd-mm-yyyy")),0),0)</f>
        <v>183</v>
      </c>
      <c r="N1381" cm="1">
        <f t="array" ref="N1381">IF($Q1381&gt;=0,IFERROR(generateSalesData($D1381, IF(ISNUMBER(_xlfn.XLOOKUP($C1381,Phone_by_Sentiment!$B$2:$B$37,Phone_by_Sentiment!N$2:N$37,"",0,1)),_xlfn.XLOOKUP($C1381,Phone_by_Sentiment!$B$2:$B$37,Phone_by_Sentiment!N$2:N$37,"",0,1),0),$A1381-TEXT(DATEVALUE($D1381&amp;"-01"), "dd-mm-yyyy")),0),0)</f>
        <v>743</v>
      </c>
      <c r="O1381" cm="1">
        <f t="array" ref="O1381">IF($Q1381&gt;=0,IFERROR(generateSalesData($D1381, IF(ISNUMBER(_xlfn.XLOOKUP($C1381,Phone_by_Sentiment!$B$2:$B$37,Phone_by_Sentiment!O$2:O$37,"",0,1)),_xlfn.XLOOKUP($C1381,Phone_by_Sentiment!$B$2:$B$37,Phone_by_Sentiment!O$2:O$37,"",0,1),0),$A1381-TEXT(DATEVALUE($D1381&amp;"-01"), "dd-mm-yyyy")),0),0)</f>
        <v>95</v>
      </c>
      <c r="P1381" s="1">
        <f t="shared" si="51"/>
        <v>44256</v>
      </c>
      <c r="Q1381">
        <f t="shared" si="55"/>
        <v>396</v>
      </c>
    </row>
    <row r="1382" spans="1:17" x14ac:dyDescent="0.25">
      <c r="A1382" s="1">
        <f t="shared" si="54"/>
        <v>44652</v>
      </c>
      <c r="B1382" t="s">
        <v>160</v>
      </c>
      <c r="C1382" t="str">
        <f>_xlfn.XLOOKUP(B1382,Phone_by_Price!$A$2:$A$34,Phone_by_Price!$B$2:$B$34,"-",0,1)</f>
        <v>Xiaomi Poco X3 Pro</v>
      </c>
      <c r="D1382" t="str">
        <f>_xlfn.XLOOKUP(C1382,Phone_by_Sentiment!$B$2:$B$37,Phone_by_Sentiment!$A$2:$A$37,"-",0,1)</f>
        <v>2021-05</v>
      </c>
      <c r="E1382" cm="1">
        <f t="array" ref="E1382">IF($Q1382&gt;=0,IFERROR(generateSalesData($D1382, IF(ISNUMBER(_xlfn.XLOOKUP($C1382,Phone_by_Sentiment!$B$2:$B$37,Phone_by_Sentiment!E$2:E$37,"",0,1)),_xlfn.XLOOKUP($C1382,Phone_by_Sentiment!$B$2:$B$37,Phone_by_Sentiment!E$2:E$37,"",0,1),0),$A1382-TEXT(DATEVALUE($D1382&amp;"-01"), "dd-mm-yyyy")),0),0)</f>
        <v>500</v>
      </c>
      <c r="F1382" cm="1">
        <f t="array" ref="F1382">IF($Q1382&gt;=0,IFERROR(generateSalesData($D1382, IF(ISNUMBER(_xlfn.XLOOKUP($C1382,Phone_by_Sentiment!$B$2:$B$37,Phone_by_Sentiment!F$2:F$37,"",0,1)),_xlfn.XLOOKUP($C1382,Phone_by_Sentiment!$B$2:$B$37,Phone_by_Sentiment!F$2:F$37,"",0,1),0),$A1382-TEXT(DATEVALUE($D1382&amp;"-01"), "dd-mm-yyyy")),0),0)</f>
        <v>141</v>
      </c>
      <c r="G1382" cm="1">
        <f t="array" ref="G1382">IF($Q1382&gt;=0,IFERROR(generateSalesData($D1382, IF(ISNUMBER(_xlfn.XLOOKUP($C1382,Phone_by_Sentiment!$B$2:$B$37,Phone_by_Sentiment!G$2:G$37,"",0,1)),_xlfn.XLOOKUP($C1382,Phone_by_Sentiment!$B$2:$B$37,Phone_by_Sentiment!G$2:G$37,"",0,1),0),$A1382-TEXT(DATEVALUE($D1382&amp;"-01"), "dd-mm-yyyy")),0),0)</f>
        <v>177</v>
      </c>
      <c r="H1382" cm="1">
        <f t="array" ref="H1382">IF($Q1382&gt;=0,IFERROR(generateSalesData($D1382, IF(ISNUMBER(_xlfn.XLOOKUP($C1382,Phone_by_Sentiment!$B$2:$B$37,Phone_by_Sentiment!H$2:H$37,"",0,1)),_xlfn.XLOOKUP($C1382,Phone_by_Sentiment!$B$2:$B$37,Phone_by_Sentiment!H$2:H$37,"",0,1),0),$A1382-TEXT(DATEVALUE($D1382&amp;"-01"), "dd-mm-yyyy")),0),0)</f>
        <v>754</v>
      </c>
      <c r="I1382" cm="1">
        <f t="array" ref="I1382">IF($Q1382&gt;=0,IFERROR(generateSalesData($D1382, IF(ISNUMBER(_xlfn.XLOOKUP($C1382,Phone_by_Sentiment!$B$2:$B$37,Phone_by_Sentiment!I$2:I$37,"",0,1)),_xlfn.XLOOKUP($C1382,Phone_by_Sentiment!$B$2:$B$37,Phone_by_Sentiment!I$2:I$37,"",0,1),0),$A1382-TEXT(DATEVALUE($D1382&amp;"-01"), "dd-mm-yyyy")),0),0)</f>
        <v>580</v>
      </c>
      <c r="J1382" cm="1">
        <f t="array" ref="J1382">IF($Q1382&gt;=0,IFERROR(generateSalesData($D1382, IF(ISNUMBER(_xlfn.XLOOKUP($C1382,Phone_by_Sentiment!$B$2:$B$37,Phone_by_Sentiment!J$2:J$37,"",0,1)),_xlfn.XLOOKUP($C1382,Phone_by_Sentiment!$B$2:$B$37,Phone_by_Sentiment!J$2:J$37,"",0,1),0),$A1382-TEXT(DATEVALUE($D1382&amp;"-01"), "dd-mm-yyyy")),0),0)</f>
        <v>77</v>
      </c>
      <c r="K1382" cm="1">
        <f t="array" ref="K1382">IF($Q1382&gt;=0,IFERROR(generateSalesData($D1382, IF(ISNUMBER(_xlfn.XLOOKUP($C1382,Phone_by_Sentiment!$B$2:$B$37,Phone_by_Sentiment!K$2:K$37,"",0,1)),_xlfn.XLOOKUP($C1382,Phone_by_Sentiment!$B$2:$B$37,Phone_by_Sentiment!K$2:K$37,"",0,1),0),$A1382-TEXT(DATEVALUE($D1382&amp;"-01"), "dd-mm-yyyy")),0),0)</f>
        <v>1100</v>
      </c>
      <c r="L1382" cm="1">
        <f t="array" ref="L1382">IF($Q1382&gt;=0,IFERROR(generateSalesData($D1382, IF(ISNUMBER(_xlfn.XLOOKUP($C1382,Phone_by_Sentiment!$B$2:$B$37,Phone_by_Sentiment!L$2:L$37,"",0,1)),_xlfn.XLOOKUP($C1382,Phone_by_Sentiment!$B$2:$B$37,Phone_by_Sentiment!L$2:L$37,"",0,1),0),$A1382-TEXT(DATEVALUE($D1382&amp;"-01"), "dd-mm-yyyy")),0),0)</f>
        <v>137</v>
      </c>
      <c r="M1382" cm="1">
        <f t="array" ref="M1382">IF($Q1382&gt;=0,IFERROR(generateSalesData($D1382, IF(ISNUMBER(_xlfn.XLOOKUP($C1382,Phone_by_Sentiment!$B$2:$B$37,Phone_by_Sentiment!M$2:M$37,"",0,1)),_xlfn.XLOOKUP($C1382,Phone_by_Sentiment!$B$2:$B$37,Phone_by_Sentiment!M$2:M$37,"",0,1),0),$A1382-TEXT(DATEVALUE($D1382&amp;"-01"), "dd-mm-yyyy")),0),0)</f>
        <v>-104</v>
      </c>
      <c r="N1382" cm="1">
        <f t="array" ref="N1382">IF($Q1382&gt;=0,IFERROR(generateSalesData($D1382, IF(ISNUMBER(_xlfn.XLOOKUP($C1382,Phone_by_Sentiment!$B$2:$B$37,Phone_by_Sentiment!N$2:N$37,"",0,1)),_xlfn.XLOOKUP($C1382,Phone_by_Sentiment!$B$2:$B$37,Phone_by_Sentiment!N$2:N$37,"",0,1),0),$A1382-TEXT(DATEVALUE($D1382&amp;"-01"), "dd-mm-yyyy")),0),0)</f>
        <v>177</v>
      </c>
      <c r="O1382" cm="1">
        <f t="array" ref="O1382">IF($Q1382&gt;=0,IFERROR(generateSalesData($D1382, IF(ISNUMBER(_xlfn.XLOOKUP($C1382,Phone_by_Sentiment!$B$2:$B$37,Phone_by_Sentiment!O$2:O$37,"",0,1)),_xlfn.XLOOKUP($C1382,Phone_by_Sentiment!$B$2:$B$37,Phone_by_Sentiment!O$2:O$37,"",0,1),0),$A1382-TEXT(DATEVALUE($D1382&amp;"-01"), "dd-mm-yyyy")),0),0)</f>
        <v>805</v>
      </c>
      <c r="P1382" s="1">
        <f t="shared" si="51"/>
        <v>44317</v>
      </c>
      <c r="Q1382">
        <f t="shared" si="55"/>
        <v>335</v>
      </c>
    </row>
    <row r="1383" spans="1:17" x14ac:dyDescent="0.25">
      <c r="A1383" s="1">
        <f t="shared" si="54"/>
        <v>44652</v>
      </c>
      <c r="B1383" t="s">
        <v>161</v>
      </c>
      <c r="C1383" t="str">
        <f>_xlfn.XLOOKUP(B1383,Phone_by_Price!$A$2:$A$34,Phone_by_Price!$B$2:$B$34,"-",0,1)</f>
        <v>Samsung Galaxy Z Flip 3</v>
      </c>
      <c r="D1383" t="str">
        <f>_xlfn.XLOOKUP(C1383,Phone_by_Sentiment!$B$2:$B$37,Phone_by_Sentiment!$A$2:$A$37,"-",0,1)</f>
        <v>2021-09</v>
      </c>
      <c r="E1383" cm="1">
        <f t="array" ref="E1383">IF($Q1383&gt;=0,IFERROR(generateSalesData($D1383, IF(ISNUMBER(_xlfn.XLOOKUP($C1383,Phone_by_Sentiment!$B$2:$B$37,Phone_by_Sentiment!E$2:E$37,"",0,1)),_xlfn.XLOOKUP($C1383,Phone_by_Sentiment!$B$2:$B$37,Phone_by_Sentiment!E$2:E$37,"",0,1),0),$A1383-TEXT(DATEVALUE($D1383&amp;"-01"), "dd-mm-yyyy")),0),0)</f>
        <v>2061</v>
      </c>
      <c r="F1383" cm="1">
        <f t="array" ref="F1383">IF($Q1383&gt;=0,IFERROR(generateSalesData($D1383, IF(ISNUMBER(_xlfn.XLOOKUP($C1383,Phone_by_Sentiment!$B$2:$B$37,Phone_by_Sentiment!F$2:F$37,"",0,1)),_xlfn.XLOOKUP($C1383,Phone_by_Sentiment!$B$2:$B$37,Phone_by_Sentiment!F$2:F$37,"",0,1),0),$A1383-TEXT(DATEVALUE($D1383&amp;"-01"), "dd-mm-yyyy")),0),0)</f>
        <v>1974</v>
      </c>
      <c r="G1383" cm="1">
        <f t="array" ref="G1383">IF($Q1383&gt;=0,IFERROR(generateSalesData($D1383, IF(ISNUMBER(_xlfn.XLOOKUP($C1383,Phone_by_Sentiment!$B$2:$B$37,Phone_by_Sentiment!G$2:G$37,"",0,1)),_xlfn.XLOOKUP($C1383,Phone_by_Sentiment!$B$2:$B$37,Phone_by_Sentiment!G$2:G$37,"",0,1),0),$A1383-TEXT(DATEVALUE($D1383&amp;"-01"), "dd-mm-yyyy")),0),0)</f>
        <v>229</v>
      </c>
      <c r="H1383" cm="1">
        <f t="array" ref="H1383">IF($Q1383&gt;=0,IFERROR(generateSalesData($D1383, IF(ISNUMBER(_xlfn.XLOOKUP($C1383,Phone_by_Sentiment!$B$2:$B$37,Phone_by_Sentiment!H$2:H$37,"",0,1)),_xlfn.XLOOKUP($C1383,Phone_by_Sentiment!$B$2:$B$37,Phone_by_Sentiment!H$2:H$37,"",0,1),0),$A1383-TEXT(DATEVALUE($D1383&amp;"-01"), "dd-mm-yyyy")),0),0)</f>
        <v>1405</v>
      </c>
      <c r="I1383" cm="1">
        <f t="array" ref="I1383">IF($Q1383&gt;=0,IFERROR(generateSalesData($D1383, IF(ISNUMBER(_xlfn.XLOOKUP($C1383,Phone_by_Sentiment!$B$2:$B$37,Phone_by_Sentiment!I$2:I$37,"",0,1)),_xlfn.XLOOKUP($C1383,Phone_by_Sentiment!$B$2:$B$37,Phone_by_Sentiment!I$2:I$37,"",0,1),0),$A1383-TEXT(DATEVALUE($D1383&amp;"-01"), "dd-mm-yyyy")),0),0)</f>
        <v>800</v>
      </c>
      <c r="J1383" cm="1">
        <f t="array" ref="J1383">IF($Q1383&gt;=0,IFERROR(generateSalesData($D1383, IF(ISNUMBER(_xlfn.XLOOKUP($C1383,Phone_by_Sentiment!$B$2:$B$37,Phone_by_Sentiment!J$2:J$37,"",0,1)),_xlfn.XLOOKUP($C1383,Phone_by_Sentiment!$B$2:$B$37,Phone_by_Sentiment!J$2:J$37,"",0,1),0),$A1383-TEXT(DATEVALUE($D1383&amp;"-01"), "dd-mm-yyyy")),0),0)</f>
        <v>1366</v>
      </c>
      <c r="K1383" cm="1">
        <f t="array" ref="K1383">IF($Q1383&gt;=0,IFERROR(generateSalesData($D1383, IF(ISNUMBER(_xlfn.XLOOKUP($C1383,Phone_by_Sentiment!$B$2:$B$37,Phone_by_Sentiment!K$2:K$37,"",0,1)),_xlfn.XLOOKUP($C1383,Phone_by_Sentiment!$B$2:$B$37,Phone_by_Sentiment!K$2:K$37,"",0,1),0),$A1383-TEXT(DATEVALUE($D1383&amp;"-01"), "dd-mm-yyyy")),0),0)</f>
        <v>408</v>
      </c>
      <c r="L1383" cm="1">
        <f t="array" ref="L1383">IF($Q1383&gt;=0,IFERROR(generateSalesData($D1383, IF(ISNUMBER(_xlfn.XLOOKUP($C1383,Phone_by_Sentiment!$B$2:$B$37,Phone_by_Sentiment!L$2:L$37,"",0,1)),_xlfn.XLOOKUP($C1383,Phone_by_Sentiment!$B$2:$B$37,Phone_by_Sentiment!L$2:L$37,"",0,1),0),$A1383-TEXT(DATEVALUE($D1383&amp;"-01"), "dd-mm-yyyy")),0),0)</f>
        <v>1025</v>
      </c>
      <c r="M1383" cm="1">
        <f t="array" ref="M1383">IF($Q1383&gt;=0,IFERROR(generateSalesData($D1383, IF(ISNUMBER(_xlfn.XLOOKUP($C1383,Phone_by_Sentiment!$B$2:$B$37,Phone_by_Sentiment!M$2:M$37,"",0,1)),_xlfn.XLOOKUP($C1383,Phone_by_Sentiment!$B$2:$B$37,Phone_by_Sentiment!M$2:M$37,"",0,1),0),$A1383-TEXT(DATEVALUE($D1383&amp;"-01"), "dd-mm-yyyy")),0),0)</f>
        <v>2413</v>
      </c>
      <c r="N1383" cm="1">
        <f t="array" ref="N1383">IF($Q1383&gt;=0,IFERROR(generateSalesData($D1383, IF(ISNUMBER(_xlfn.XLOOKUP($C1383,Phone_by_Sentiment!$B$2:$B$37,Phone_by_Sentiment!N$2:N$37,"",0,1)),_xlfn.XLOOKUP($C1383,Phone_by_Sentiment!$B$2:$B$37,Phone_by_Sentiment!N$2:N$37,"",0,1),0),$A1383-TEXT(DATEVALUE($D1383&amp;"-01"), "dd-mm-yyyy")),0),0)</f>
        <v>1112</v>
      </c>
      <c r="O1383" cm="1">
        <f t="array" ref="O1383">IF($Q1383&gt;=0,IFERROR(generateSalesData($D1383, IF(ISNUMBER(_xlfn.XLOOKUP($C1383,Phone_by_Sentiment!$B$2:$B$37,Phone_by_Sentiment!O$2:O$37,"",0,1)),_xlfn.XLOOKUP($C1383,Phone_by_Sentiment!$B$2:$B$37,Phone_by_Sentiment!O$2:O$37,"",0,1),0),$A1383-TEXT(DATEVALUE($D1383&amp;"-01"), "dd-mm-yyyy")),0),0)</f>
        <v>1553</v>
      </c>
      <c r="P1383" s="1">
        <f t="shared" si="51"/>
        <v>44440</v>
      </c>
      <c r="Q1383">
        <f t="shared" si="55"/>
        <v>212</v>
      </c>
    </row>
    <row r="1384" spans="1:17" x14ac:dyDescent="0.25">
      <c r="A1384" s="1">
        <f t="shared" si="54"/>
        <v>44652</v>
      </c>
      <c r="B1384" t="s">
        <v>162</v>
      </c>
      <c r="C1384" t="str">
        <f>_xlfn.XLOOKUP(B1384,Phone_by_Price!$A$2:$A$34,Phone_by_Price!$B$2:$B$34,"-",0,1)</f>
        <v>Xiaomi Poco X3 NFC</v>
      </c>
      <c r="D1384" t="str">
        <f>_xlfn.XLOOKUP(C1384,Phone_by_Sentiment!$B$2:$B$37,Phone_by_Sentiment!$A$2:$A$37,"-",0,1)</f>
        <v>2020-08</v>
      </c>
      <c r="E1384" cm="1">
        <f t="array" ref="E1384">IF($Q1384&gt;=0,IFERROR(generateSalesData($D1384, IF(ISNUMBER(_xlfn.XLOOKUP($C1384,Phone_by_Sentiment!$B$2:$B$37,Phone_by_Sentiment!E$2:E$37,"",0,1)),_xlfn.XLOOKUP($C1384,Phone_by_Sentiment!$B$2:$B$37,Phone_by_Sentiment!E$2:E$37,"",0,1),0),$A1384-TEXT(DATEVALUE($D1384&amp;"-01"), "dd-mm-yyyy")),0),0)</f>
        <v>-14</v>
      </c>
      <c r="F1384" cm="1">
        <f t="array" ref="F1384">IF($Q1384&gt;=0,IFERROR(generateSalesData($D1384, IF(ISNUMBER(_xlfn.XLOOKUP($C1384,Phone_by_Sentiment!$B$2:$B$37,Phone_by_Sentiment!F$2:F$37,"",0,1)),_xlfn.XLOOKUP($C1384,Phone_by_Sentiment!$B$2:$B$37,Phone_by_Sentiment!F$2:F$37,"",0,1),0),$A1384-TEXT(DATEVALUE($D1384&amp;"-01"), "dd-mm-yyyy")),0),0)</f>
        <v>53</v>
      </c>
      <c r="G1384" cm="1">
        <f t="array" ref="G1384">IF($Q1384&gt;=0,IFERROR(generateSalesData($D1384, IF(ISNUMBER(_xlfn.XLOOKUP($C1384,Phone_by_Sentiment!$B$2:$B$37,Phone_by_Sentiment!G$2:G$37,"",0,1)),_xlfn.XLOOKUP($C1384,Phone_by_Sentiment!$B$2:$B$37,Phone_by_Sentiment!G$2:G$37,"",0,1),0),$A1384-TEXT(DATEVALUE($D1384&amp;"-01"), "dd-mm-yyyy")),0),0)</f>
        <v>3</v>
      </c>
      <c r="H1384" cm="1">
        <f t="array" ref="H1384">IF($Q1384&gt;=0,IFERROR(generateSalesData($D1384, IF(ISNUMBER(_xlfn.XLOOKUP($C1384,Phone_by_Sentiment!$B$2:$B$37,Phone_by_Sentiment!H$2:H$37,"",0,1)),_xlfn.XLOOKUP($C1384,Phone_by_Sentiment!$B$2:$B$37,Phone_by_Sentiment!H$2:H$37,"",0,1),0),$A1384-TEXT(DATEVALUE($D1384&amp;"-01"), "dd-mm-yyyy")),0),0)</f>
        <v>529</v>
      </c>
      <c r="I1384" cm="1">
        <f t="array" ref="I1384">IF($Q1384&gt;=0,IFERROR(generateSalesData($D1384, IF(ISNUMBER(_xlfn.XLOOKUP($C1384,Phone_by_Sentiment!$B$2:$B$37,Phone_by_Sentiment!I$2:I$37,"",0,1)),_xlfn.XLOOKUP($C1384,Phone_by_Sentiment!$B$2:$B$37,Phone_by_Sentiment!I$2:I$37,"",0,1),0),$A1384-TEXT(DATEVALUE($D1384&amp;"-01"), "dd-mm-yyyy")),0),0)</f>
        <v>82</v>
      </c>
      <c r="J1384" cm="1">
        <f t="array" ref="J1384">IF($Q1384&gt;=0,IFERROR(generateSalesData($D1384, IF(ISNUMBER(_xlfn.XLOOKUP($C1384,Phone_by_Sentiment!$B$2:$B$37,Phone_by_Sentiment!J$2:J$37,"",0,1)),_xlfn.XLOOKUP($C1384,Phone_by_Sentiment!$B$2:$B$37,Phone_by_Sentiment!J$2:J$37,"",0,1),0),$A1384-TEXT(DATEVALUE($D1384&amp;"-01"), "dd-mm-yyyy")),0),0)</f>
        <v>96</v>
      </c>
      <c r="K1384" cm="1">
        <f t="array" ref="K1384">IF($Q1384&gt;=0,IFERROR(generateSalesData($D1384, IF(ISNUMBER(_xlfn.XLOOKUP($C1384,Phone_by_Sentiment!$B$2:$B$37,Phone_by_Sentiment!K$2:K$37,"",0,1)),_xlfn.XLOOKUP($C1384,Phone_by_Sentiment!$B$2:$B$37,Phone_by_Sentiment!K$2:K$37,"",0,1),0),$A1384-TEXT(DATEVALUE($D1384&amp;"-01"), "dd-mm-yyyy")),0),0)</f>
        <v>609</v>
      </c>
      <c r="L1384" cm="1">
        <f t="array" ref="L1384">IF($Q1384&gt;=0,IFERROR(generateSalesData($D1384, IF(ISNUMBER(_xlfn.XLOOKUP($C1384,Phone_by_Sentiment!$B$2:$B$37,Phone_by_Sentiment!L$2:L$37,"",0,1)),_xlfn.XLOOKUP($C1384,Phone_by_Sentiment!$B$2:$B$37,Phone_by_Sentiment!L$2:L$37,"",0,1),0),$A1384-TEXT(DATEVALUE($D1384&amp;"-01"), "dd-mm-yyyy")),0),0)</f>
        <v>165</v>
      </c>
      <c r="M1384" cm="1">
        <f t="array" ref="M1384">IF($Q1384&gt;=0,IFERROR(generateSalesData($D1384, IF(ISNUMBER(_xlfn.XLOOKUP($C1384,Phone_by_Sentiment!$B$2:$B$37,Phone_by_Sentiment!M$2:M$37,"",0,1)),_xlfn.XLOOKUP($C1384,Phone_by_Sentiment!$B$2:$B$37,Phone_by_Sentiment!M$2:M$37,"",0,1),0),$A1384-TEXT(DATEVALUE($D1384&amp;"-01"), "dd-mm-yyyy")),0),0)</f>
        <v>519</v>
      </c>
      <c r="N1384" cm="1">
        <f t="array" ref="N1384">IF($Q1384&gt;=0,IFERROR(generateSalesData($D1384, IF(ISNUMBER(_xlfn.XLOOKUP($C1384,Phone_by_Sentiment!$B$2:$B$37,Phone_by_Sentiment!N$2:N$37,"",0,1)),_xlfn.XLOOKUP($C1384,Phone_by_Sentiment!$B$2:$B$37,Phone_by_Sentiment!N$2:N$37,"",0,1),0),$A1384-TEXT(DATEVALUE($D1384&amp;"-01"), "dd-mm-yyyy")),0),0)</f>
        <v>192</v>
      </c>
      <c r="O1384" cm="1">
        <f t="array" ref="O1384">IF($Q1384&gt;=0,IFERROR(generateSalesData($D1384, IF(ISNUMBER(_xlfn.XLOOKUP($C1384,Phone_by_Sentiment!$B$2:$B$37,Phone_by_Sentiment!O$2:O$37,"",0,1)),_xlfn.XLOOKUP($C1384,Phone_by_Sentiment!$B$2:$B$37,Phone_by_Sentiment!O$2:O$37,"",0,1),0),$A1384-TEXT(DATEVALUE($D1384&amp;"-01"), "dd-mm-yyyy")),0),0)</f>
        <v>484</v>
      </c>
      <c r="P1384" s="1">
        <f t="shared" si="51"/>
        <v>44044</v>
      </c>
      <c r="Q1384">
        <f t="shared" si="55"/>
        <v>608</v>
      </c>
    </row>
    <row r="1385" spans="1:17" x14ac:dyDescent="0.25">
      <c r="A1385" s="1">
        <f t="shared" si="54"/>
        <v>44652</v>
      </c>
      <c r="B1385" t="s">
        <v>163</v>
      </c>
      <c r="C1385" t="str">
        <f>_xlfn.XLOOKUP(B1385,Phone_by_Price!$A$2:$A$34,Phone_by_Price!$B$2:$B$34,"-",0,1)</f>
        <v>OPPO A93</v>
      </c>
      <c r="D1385" t="str">
        <f>_xlfn.XLOOKUP(C1385,Phone_by_Sentiment!$B$2:$B$37,Phone_by_Sentiment!$A$2:$A$37,"-",0,1)</f>
        <v>2021-02</v>
      </c>
      <c r="E1385" cm="1">
        <f t="array" ref="E1385">IF($Q1385&gt;=0,IFERROR(generateSalesData($D1385, IF(ISNUMBER(_xlfn.XLOOKUP($C1385,Phone_by_Sentiment!$B$2:$B$37,Phone_by_Sentiment!E$2:E$37,"",0,1)),_xlfn.XLOOKUP($C1385,Phone_by_Sentiment!$B$2:$B$37,Phone_by_Sentiment!E$2:E$37,"",0,1),0),$A1385-TEXT(DATEVALUE($D1385&amp;"-01"), "dd-mm-yyyy")),0),0)</f>
        <v>79</v>
      </c>
      <c r="F1385" cm="1">
        <f t="array" ref="F1385">IF($Q1385&gt;=0,IFERROR(generateSalesData($D1385, IF(ISNUMBER(_xlfn.XLOOKUP($C1385,Phone_by_Sentiment!$B$2:$B$37,Phone_by_Sentiment!F$2:F$37,"",0,1)),_xlfn.XLOOKUP($C1385,Phone_by_Sentiment!$B$2:$B$37,Phone_by_Sentiment!F$2:F$37,"",0,1),0),$A1385-TEXT(DATEVALUE($D1385&amp;"-01"), "dd-mm-yyyy")),0),0)</f>
        <v>176</v>
      </c>
      <c r="G1385" cm="1">
        <f t="array" ref="G1385">IF($Q1385&gt;=0,IFERROR(generateSalesData($D1385, IF(ISNUMBER(_xlfn.XLOOKUP($C1385,Phone_by_Sentiment!$B$2:$B$37,Phone_by_Sentiment!G$2:G$37,"",0,1)),_xlfn.XLOOKUP($C1385,Phone_by_Sentiment!$B$2:$B$37,Phone_by_Sentiment!G$2:G$37,"",0,1),0),$A1385-TEXT(DATEVALUE($D1385&amp;"-01"), "dd-mm-yyyy")),0),0)</f>
        <v>94</v>
      </c>
      <c r="H1385" cm="1">
        <f t="array" ref="H1385">IF($Q1385&gt;=0,IFERROR(generateSalesData($D1385, IF(ISNUMBER(_xlfn.XLOOKUP($C1385,Phone_by_Sentiment!$B$2:$B$37,Phone_by_Sentiment!H$2:H$37,"",0,1)),_xlfn.XLOOKUP($C1385,Phone_by_Sentiment!$B$2:$B$37,Phone_by_Sentiment!H$2:H$37,"",0,1),0),$A1385-TEXT(DATEVALUE($D1385&amp;"-01"), "dd-mm-yyyy")),0),0)</f>
        <v>560</v>
      </c>
      <c r="I1385" cm="1">
        <f t="array" ref="I1385">IF($Q1385&gt;=0,IFERROR(generateSalesData($D1385, IF(ISNUMBER(_xlfn.XLOOKUP($C1385,Phone_by_Sentiment!$B$2:$B$37,Phone_by_Sentiment!I$2:I$37,"",0,1)),_xlfn.XLOOKUP($C1385,Phone_by_Sentiment!$B$2:$B$37,Phone_by_Sentiment!I$2:I$37,"",0,1),0),$A1385-TEXT(DATEVALUE($D1385&amp;"-01"), "dd-mm-yyyy")),0),0)</f>
        <v>227</v>
      </c>
      <c r="J1385" cm="1">
        <f t="array" ref="J1385">IF($Q1385&gt;=0,IFERROR(generateSalesData($D1385, IF(ISNUMBER(_xlfn.XLOOKUP($C1385,Phone_by_Sentiment!$B$2:$B$37,Phone_by_Sentiment!J$2:J$37,"",0,1)),_xlfn.XLOOKUP($C1385,Phone_by_Sentiment!$B$2:$B$37,Phone_by_Sentiment!J$2:J$37,"",0,1),0),$A1385-TEXT(DATEVALUE($D1385&amp;"-01"), "dd-mm-yyyy")),0),0)</f>
        <v>87</v>
      </c>
      <c r="K1385" cm="1">
        <f t="array" ref="K1385">IF($Q1385&gt;=0,IFERROR(generateSalesData($D1385, IF(ISNUMBER(_xlfn.XLOOKUP($C1385,Phone_by_Sentiment!$B$2:$B$37,Phone_by_Sentiment!K$2:K$37,"",0,1)),_xlfn.XLOOKUP($C1385,Phone_by_Sentiment!$B$2:$B$37,Phone_by_Sentiment!K$2:K$37,"",0,1),0),$A1385-TEXT(DATEVALUE($D1385&amp;"-01"), "dd-mm-yyyy")),0),0)</f>
        <v>91</v>
      </c>
      <c r="L1385" cm="1">
        <f t="array" ref="L1385">IF($Q1385&gt;=0,IFERROR(generateSalesData($D1385, IF(ISNUMBER(_xlfn.XLOOKUP($C1385,Phone_by_Sentiment!$B$2:$B$37,Phone_by_Sentiment!L$2:L$37,"",0,1)),_xlfn.XLOOKUP($C1385,Phone_by_Sentiment!$B$2:$B$37,Phone_by_Sentiment!L$2:L$37,"",0,1),0),$A1385-TEXT(DATEVALUE($D1385&amp;"-01"), "dd-mm-yyyy")),0),0)</f>
        <v>132</v>
      </c>
      <c r="M1385" cm="1">
        <f t="array" ref="M1385">IF($Q1385&gt;=0,IFERROR(generateSalesData($D1385, IF(ISNUMBER(_xlfn.XLOOKUP($C1385,Phone_by_Sentiment!$B$2:$B$37,Phone_by_Sentiment!M$2:M$37,"",0,1)),_xlfn.XLOOKUP($C1385,Phone_by_Sentiment!$B$2:$B$37,Phone_by_Sentiment!M$2:M$37,"",0,1),0),$A1385-TEXT(DATEVALUE($D1385&amp;"-01"), "dd-mm-yyyy")),0),0)</f>
        <v>611</v>
      </c>
      <c r="N1385" cm="1">
        <f t="array" ref="N1385">IF($Q1385&gt;=0,IFERROR(generateSalesData($D1385, IF(ISNUMBER(_xlfn.XLOOKUP($C1385,Phone_by_Sentiment!$B$2:$B$37,Phone_by_Sentiment!N$2:N$37,"",0,1)),_xlfn.XLOOKUP($C1385,Phone_by_Sentiment!$B$2:$B$37,Phone_by_Sentiment!N$2:N$37,"",0,1),0),$A1385-TEXT(DATEVALUE($D1385&amp;"-01"), "dd-mm-yyyy")),0),0)</f>
        <v>463</v>
      </c>
      <c r="O1385" cm="1">
        <f t="array" ref="O1385">IF($Q1385&gt;=0,IFERROR(generateSalesData($D1385, IF(ISNUMBER(_xlfn.XLOOKUP($C1385,Phone_by_Sentiment!$B$2:$B$37,Phone_by_Sentiment!O$2:O$37,"",0,1)),_xlfn.XLOOKUP($C1385,Phone_by_Sentiment!$B$2:$B$37,Phone_by_Sentiment!O$2:O$37,"",0,1),0),$A1385-TEXT(DATEVALUE($D1385&amp;"-01"), "dd-mm-yyyy")),0),0)</f>
        <v>194</v>
      </c>
      <c r="P1385" s="1">
        <f t="shared" si="51"/>
        <v>44228</v>
      </c>
      <c r="Q1385">
        <f t="shared" si="55"/>
        <v>424</v>
      </c>
    </row>
    <row r="1386" spans="1:17" x14ac:dyDescent="0.25">
      <c r="A1386" s="1">
        <f t="shared" si="54"/>
        <v>44652</v>
      </c>
      <c r="B1386" t="s">
        <v>164</v>
      </c>
      <c r="C1386" t="str">
        <f>_xlfn.XLOOKUP(B1386,Phone_by_Price!$A$2:$A$34,Phone_by_Price!$B$2:$B$34,"-",0,1)</f>
        <v>Vivo V20</v>
      </c>
      <c r="D1386" t="str">
        <f>_xlfn.XLOOKUP(C1386,Phone_by_Sentiment!$B$2:$B$37,Phone_by_Sentiment!$A$2:$A$37,"-",0,1)</f>
        <v>2020-10</v>
      </c>
      <c r="E1386" cm="1">
        <f t="array" ref="E1386">IF($Q1386&gt;=0,IFERROR(generateSalesData($D1386, IF(ISNUMBER(_xlfn.XLOOKUP($C1386,Phone_by_Sentiment!$B$2:$B$37,Phone_by_Sentiment!E$2:E$37,"",0,1)),_xlfn.XLOOKUP($C1386,Phone_by_Sentiment!$B$2:$B$37,Phone_by_Sentiment!E$2:E$37,"",0,1),0),$A1386-TEXT(DATEVALUE($D1386&amp;"-01"), "dd-mm-yyyy")),0),0)</f>
        <v>326</v>
      </c>
      <c r="F1386" cm="1">
        <f t="array" ref="F1386">IF($Q1386&gt;=0,IFERROR(generateSalesData($D1386, IF(ISNUMBER(_xlfn.XLOOKUP($C1386,Phone_by_Sentiment!$B$2:$B$37,Phone_by_Sentiment!F$2:F$37,"",0,1)),_xlfn.XLOOKUP($C1386,Phone_by_Sentiment!$B$2:$B$37,Phone_by_Sentiment!F$2:F$37,"",0,1),0),$A1386-TEXT(DATEVALUE($D1386&amp;"-01"), "dd-mm-yyyy")),0),0)</f>
        <v>138</v>
      </c>
      <c r="G1386" cm="1">
        <f t="array" ref="G1386">IF($Q1386&gt;=0,IFERROR(generateSalesData($D1386, IF(ISNUMBER(_xlfn.XLOOKUP($C1386,Phone_by_Sentiment!$B$2:$B$37,Phone_by_Sentiment!G$2:G$37,"",0,1)),_xlfn.XLOOKUP($C1386,Phone_by_Sentiment!$B$2:$B$37,Phone_by_Sentiment!G$2:G$37,"",0,1),0),$A1386-TEXT(DATEVALUE($D1386&amp;"-01"), "dd-mm-yyyy")),0),0)</f>
        <v>117</v>
      </c>
      <c r="H1386" cm="1">
        <f t="array" ref="H1386">IF($Q1386&gt;=0,IFERROR(generateSalesData($D1386, IF(ISNUMBER(_xlfn.XLOOKUP($C1386,Phone_by_Sentiment!$B$2:$B$37,Phone_by_Sentiment!H$2:H$37,"",0,1)),_xlfn.XLOOKUP($C1386,Phone_by_Sentiment!$B$2:$B$37,Phone_by_Sentiment!H$2:H$37,"",0,1),0),$A1386-TEXT(DATEVALUE($D1386&amp;"-01"), "dd-mm-yyyy")),0),0)</f>
        <v>175</v>
      </c>
      <c r="I1386" cm="1">
        <f t="array" ref="I1386">IF($Q1386&gt;=0,IFERROR(generateSalesData($D1386, IF(ISNUMBER(_xlfn.XLOOKUP($C1386,Phone_by_Sentiment!$B$2:$B$37,Phone_by_Sentiment!I$2:I$37,"",0,1)),_xlfn.XLOOKUP($C1386,Phone_by_Sentiment!$B$2:$B$37,Phone_by_Sentiment!I$2:I$37,"",0,1),0),$A1386-TEXT(DATEVALUE($D1386&amp;"-01"), "dd-mm-yyyy")),0),0)</f>
        <v>-17</v>
      </c>
      <c r="J1386" cm="1">
        <f t="array" ref="J1386">IF($Q1386&gt;=0,IFERROR(generateSalesData($D1386, IF(ISNUMBER(_xlfn.XLOOKUP($C1386,Phone_by_Sentiment!$B$2:$B$37,Phone_by_Sentiment!J$2:J$37,"",0,1)),_xlfn.XLOOKUP($C1386,Phone_by_Sentiment!$B$2:$B$37,Phone_by_Sentiment!J$2:J$37,"",0,1),0),$A1386-TEXT(DATEVALUE($D1386&amp;"-01"), "dd-mm-yyyy")),0),0)</f>
        <v>61</v>
      </c>
      <c r="K1386" cm="1">
        <f t="array" ref="K1386">IF($Q1386&gt;=0,IFERROR(generateSalesData($D1386, IF(ISNUMBER(_xlfn.XLOOKUP($C1386,Phone_by_Sentiment!$B$2:$B$37,Phone_by_Sentiment!K$2:K$37,"",0,1)),_xlfn.XLOOKUP($C1386,Phone_by_Sentiment!$B$2:$B$37,Phone_by_Sentiment!K$2:K$37,"",0,1),0),$A1386-TEXT(DATEVALUE($D1386&amp;"-01"), "dd-mm-yyyy")),0),0)</f>
        <v>111</v>
      </c>
      <c r="L1386" cm="1">
        <f t="array" ref="L1386">IF($Q1386&gt;=0,IFERROR(generateSalesData($D1386, IF(ISNUMBER(_xlfn.XLOOKUP($C1386,Phone_by_Sentiment!$B$2:$B$37,Phone_by_Sentiment!L$2:L$37,"",0,1)),_xlfn.XLOOKUP($C1386,Phone_by_Sentiment!$B$2:$B$37,Phone_by_Sentiment!L$2:L$37,"",0,1),0),$A1386-TEXT(DATEVALUE($D1386&amp;"-01"), "dd-mm-yyyy")),0),0)</f>
        <v>2</v>
      </c>
      <c r="M1386" cm="1">
        <f t="array" ref="M1386">IF($Q1386&gt;=0,IFERROR(generateSalesData($D1386, IF(ISNUMBER(_xlfn.XLOOKUP($C1386,Phone_by_Sentiment!$B$2:$B$37,Phone_by_Sentiment!M$2:M$37,"",0,1)),_xlfn.XLOOKUP($C1386,Phone_by_Sentiment!$B$2:$B$37,Phone_by_Sentiment!M$2:M$37,"",0,1),0),$A1386-TEXT(DATEVALUE($D1386&amp;"-01"), "dd-mm-yyyy")),0),0)</f>
        <v>108</v>
      </c>
      <c r="N1386" cm="1">
        <f t="array" ref="N1386">IF($Q1386&gt;=0,IFERROR(generateSalesData($D1386, IF(ISNUMBER(_xlfn.XLOOKUP($C1386,Phone_by_Sentiment!$B$2:$B$37,Phone_by_Sentiment!N$2:N$37,"",0,1)),_xlfn.XLOOKUP($C1386,Phone_by_Sentiment!$B$2:$B$37,Phone_by_Sentiment!N$2:N$37,"",0,1),0),$A1386-TEXT(DATEVALUE($D1386&amp;"-01"), "dd-mm-yyyy")),0),0)</f>
        <v>148</v>
      </c>
      <c r="O1386" cm="1">
        <f t="array" ref="O1386">IF($Q1386&gt;=0,IFERROR(generateSalesData($D1386, IF(ISNUMBER(_xlfn.XLOOKUP($C1386,Phone_by_Sentiment!$B$2:$B$37,Phone_by_Sentiment!O$2:O$37,"",0,1)),_xlfn.XLOOKUP($C1386,Phone_by_Sentiment!$B$2:$B$37,Phone_by_Sentiment!O$2:O$37,"",0,1),0),$A1386-TEXT(DATEVALUE($D1386&amp;"-01"), "dd-mm-yyyy")),0),0)</f>
        <v>134</v>
      </c>
      <c r="P1386" s="1">
        <f t="shared" si="51"/>
        <v>44105</v>
      </c>
      <c r="Q1386">
        <f t="shared" si="55"/>
        <v>547</v>
      </c>
    </row>
    <row r="1387" spans="1:17" x14ac:dyDescent="0.25">
      <c r="A1387" s="1">
        <f t="shared" si="54"/>
        <v>44652</v>
      </c>
      <c r="B1387" t="s">
        <v>165</v>
      </c>
      <c r="C1387" t="str">
        <f>_xlfn.XLOOKUP(B1387,Phone_by_Price!$A$2:$A$34,Phone_by_Price!$B$2:$B$34,"-",0,1)</f>
        <v>Samsung Galaxy A50</v>
      </c>
      <c r="D1387" t="str">
        <f>_xlfn.XLOOKUP(C1387,Phone_by_Sentiment!$B$2:$B$37,Phone_by_Sentiment!$A$2:$A$37,"-",0,1)</f>
        <v>2019-05</v>
      </c>
      <c r="E1387" cm="1">
        <f t="array" ref="E1387">IF($Q1387&gt;=0,IFERROR(generateSalesData($D1387, IF(ISNUMBER(_xlfn.XLOOKUP($C1387,Phone_by_Sentiment!$B$2:$B$37,Phone_by_Sentiment!E$2:E$37,"",0,1)),_xlfn.XLOOKUP($C1387,Phone_by_Sentiment!$B$2:$B$37,Phone_by_Sentiment!E$2:E$37,"",0,1),0),$A1387-TEXT(DATEVALUE($D1387&amp;"-01"), "dd-mm-yyyy")),0),0)</f>
        <v>173</v>
      </c>
      <c r="F1387" cm="1">
        <f t="array" ref="F1387">IF($Q1387&gt;=0,IFERROR(generateSalesData($D1387, IF(ISNUMBER(_xlfn.XLOOKUP($C1387,Phone_by_Sentiment!$B$2:$B$37,Phone_by_Sentiment!F$2:F$37,"",0,1)),_xlfn.XLOOKUP($C1387,Phone_by_Sentiment!$B$2:$B$37,Phone_by_Sentiment!F$2:F$37,"",0,1),0),$A1387-TEXT(DATEVALUE($D1387&amp;"-01"), "dd-mm-yyyy")),0),0)</f>
        <v>49</v>
      </c>
      <c r="G1387" cm="1">
        <f t="array" ref="G1387">IF($Q1387&gt;=0,IFERROR(generateSalesData($D1387, IF(ISNUMBER(_xlfn.XLOOKUP($C1387,Phone_by_Sentiment!$B$2:$B$37,Phone_by_Sentiment!G$2:G$37,"",0,1)),_xlfn.XLOOKUP($C1387,Phone_by_Sentiment!$B$2:$B$37,Phone_by_Sentiment!G$2:G$37,"",0,1),0),$A1387-TEXT(DATEVALUE($D1387&amp;"-01"), "dd-mm-yyyy")),0),0)</f>
        <v>74</v>
      </c>
      <c r="H1387" cm="1">
        <f t="array" ref="H1387">IF($Q1387&gt;=0,IFERROR(generateSalesData($D1387, IF(ISNUMBER(_xlfn.XLOOKUP($C1387,Phone_by_Sentiment!$B$2:$B$37,Phone_by_Sentiment!H$2:H$37,"",0,1)),_xlfn.XLOOKUP($C1387,Phone_by_Sentiment!$B$2:$B$37,Phone_by_Sentiment!H$2:H$37,"",0,1),0),$A1387-TEXT(DATEVALUE($D1387&amp;"-01"), "dd-mm-yyyy")),0),0)</f>
        <v>262</v>
      </c>
      <c r="I1387" cm="1">
        <f t="array" ref="I1387">IF($Q1387&gt;=0,IFERROR(generateSalesData($D1387, IF(ISNUMBER(_xlfn.XLOOKUP($C1387,Phone_by_Sentiment!$B$2:$B$37,Phone_by_Sentiment!I$2:I$37,"",0,1)),_xlfn.XLOOKUP($C1387,Phone_by_Sentiment!$B$2:$B$37,Phone_by_Sentiment!I$2:I$37,"",0,1),0),$A1387-TEXT(DATEVALUE($D1387&amp;"-01"), "dd-mm-yyyy")),0),0)</f>
        <v>284</v>
      </c>
      <c r="J1387" cm="1">
        <f t="array" ref="J1387">IF($Q1387&gt;=0,IFERROR(generateSalesData($D1387, IF(ISNUMBER(_xlfn.XLOOKUP($C1387,Phone_by_Sentiment!$B$2:$B$37,Phone_by_Sentiment!J$2:J$37,"",0,1)),_xlfn.XLOOKUP($C1387,Phone_by_Sentiment!$B$2:$B$37,Phone_by_Sentiment!J$2:J$37,"",0,1),0),$A1387-TEXT(DATEVALUE($D1387&amp;"-01"), "dd-mm-yyyy")),0),0)</f>
        <v>86</v>
      </c>
      <c r="K1387" cm="1">
        <f t="array" ref="K1387">IF($Q1387&gt;=0,IFERROR(generateSalesData($D1387, IF(ISNUMBER(_xlfn.XLOOKUP($C1387,Phone_by_Sentiment!$B$2:$B$37,Phone_by_Sentiment!K$2:K$37,"",0,1)),_xlfn.XLOOKUP($C1387,Phone_by_Sentiment!$B$2:$B$37,Phone_by_Sentiment!K$2:K$37,"",0,1),0),$A1387-TEXT(DATEVALUE($D1387&amp;"-01"), "dd-mm-yyyy")),0),0)</f>
        <v>27</v>
      </c>
      <c r="L1387" cm="1">
        <f t="array" ref="L1387">IF($Q1387&gt;=0,IFERROR(generateSalesData($D1387, IF(ISNUMBER(_xlfn.XLOOKUP($C1387,Phone_by_Sentiment!$B$2:$B$37,Phone_by_Sentiment!L$2:L$37,"",0,1)),_xlfn.XLOOKUP($C1387,Phone_by_Sentiment!$B$2:$B$37,Phone_by_Sentiment!L$2:L$37,"",0,1),0),$A1387-TEXT(DATEVALUE($D1387&amp;"-01"), "dd-mm-yyyy")),0),0)</f>
        <v>87</v>
      </c>
      <c r="M1387" cm="1">
        <f t="array" ref="M1387">IF($Q1387&gt;=0,IFERROR(generateSalesData($D1387, IF(ISNUMBER(_xlfn.XLOOKUP($C1387,Phone_by_Sentiment!$B$2:$B$37,Phone_by_Sentiment!M$2:M$37,"",0,1)),_xlfn.XLOOKUP($C1387,Phone_by_Sentiment!$B$2:$B$37,Phone_by_Sentiment!M$2:M$37,"",0,1),0),$A1387-TEXT(DATEVALUE($D1387&amp;"-01"), "dd-mm-yyyy")),0),0)</f>
        <v>19</v>
      </c>
      <c r="N1387" cm="1">
        <f t="array" ref="N1387">IF($Q1387&gt;=0,IFERROR(generateSalesData($D1387, IF(ISNUMBER(_xlfn.XLOOKUP($C1387,Phone_by_Sentiment!$B$2:$B$37,Phone_by_Sentiment!N$2:N$37,"",0,1)),_xlfn.XLOOKUP($C1387,Phone_by_Sentiment!$B$2:$B$37,Phone_by_Sentiment!N$2:N$37,"",0,1),0),$A1387-TEXT(DATEVALUE($D1387&amp;"-01"), "dd-mm-yyyy")),0),0)</f>
        <v>464</v>
      </c>
      <c r="O1387" cm="1">
        <f t="array" ref="O1387">IF($Q1387&gt;=0,IFERROR(generateSalesData($D1387, IF(ISNUMBER(_xlfn.XLOOKUP($C1387,Phone_by_Sentiment!$B$2:$B$37,Phone_by_Sentiment!O$2:O$37,"",0,1)),_xlfn.XLOOKUP($C1387,Phone_by_Sentiment!$B$2:$B$37,Phone_by_Sentiment!O$2:O$37,"",0,1),0),$A1387-TEXT(DATEVALUE($D1387&amp;"-01"), "dd-mm-yyyy")),0),0)</f>
        <v>270</v>
      </c>
      <c r="P1387" s="1">
        <f t="shared" si="51"/>
        <v>43586</v>
      </c>
      <c r="Q1387">
        <f t="shared" si="55"/>
        <v>1066</v>
      </c>
    </row>
    <row r="1388" spans="1:17" x14ac:dyDescent="0.25">
      <c r="A1388" s="1">
        <f t="shared" si="54"/>
        <v>44652</v>
      </c>
      <c r="B1388" t="s">
        <v>166</v>
      </c>
      <c r="C1388" t="str">
        <f>_xlfn.XLOOKUP(B1388,Phone_by_Price!$A$2:$A$34,Phone_by_Price!$B$2:$B$34,"-",0,1)</f>
        <v>Xiaomi Redmi Note 7</v>
      </c>
      <c r="D1388" t="str">
        <f>_xlfn.XLOOKUP(C1388,Phone_by_Sentiment!$B$2:$B$37,Phone_by_Sentiment!$A$2:$A$37,"-",0,1)</f>
        <v>2019-08</v>
      </c>
      <c r="E1388" cm="1">
        <f t="array" ref="E1388">IF($Q1388&gt;=0,IFERROR(generateSalesData($D1388, IF(ISNUMBER(_xlfn.XLOOKUP($C1388,Phone_by_Sentiment!$B$2:$B$37,Phone_by_Sentiment!E$2:E$37,"",0,1)),_xlfn.XLOOKUP($C1388,Phone_by_Sentiment!$B$2:$B$37,Phone_by_Sentiment!E$2:E$37,"",0,1),0),$A1388-TEXT(DATEVALUE($D1388&amp;"-01"), "dd-mm-yyyy")),0),0)</f>
        <v>55</v>
      </c>
      <c r="F1388" cm="1">
        <f t="array" ref="F1388">IF($Q1388&gt;=0,IFERROR(generateSalesData($D1388, IF(ISNUMBER(_xlfn.XLOOKUP($C1388,Phone_by_Sentiment!$B$2:$B$37,Phone_by_Sentiment!F$2:F$37,"",0,1)),_xlfn.XLOOKUP($C1388,Phone_by_Sentiment!$B$2:$B$37,Phone_by_Sentiment!F$2:F$37,"",0,1),0),$A1388-TEXT(DATEVALUE($D1388&amp;"-01"), "dd-mm-yyyy")),0),0)</f>
        <v>74</v>
      </c>
      <c r="G1388" cm="1">
        <f t="array" ref="G1388">IF($Q1388&gt;=0,IFERROR(generateSalesData($D1388, IF(ISNUMBER(_xlfn.XLOOKUP($C1388,Phone_by_Sentiment!$B$2:$B$37,Phone_by_Sentiment!G$2:G$37,"",0,1)),_xlfn.XLOOKUP($C1388,Phone_by_Sentiment!$B$2:$B$37,Phone_by_Sentiment!G$2:G$37,"",0,1),0),$A1388-TEXT(DATEVALUE($D1388&amp;"-01"), "dd-mm-yyyy")),0),0)</f>
        <v>46</v>
      </c>
      <c r="H1388" cm="1">
        <f t="array" ref="H1388">IF($Q1388&gt;=0,IFERROR(generateSalesData($D1388, IF(ISNUMBER(_xlfn.XLOOKUP($C1388,Phone_by_Sentiment!$B$2:$B$37,Phone_by_Sentiment!H$2:H$37,"",0,1)),_xlfn.XLOOKUP($C1388,Phone_by_Sentiment!$B$2:$B$37,Phone_by_Sentiment!H$2:H$37,"",0,1),0),$A1388-TEXT(DATEVALUE($D1388&amp;"-01"), "dd-mm-yyyy")),0),0)</f>
        <v>435</v>
      </c>
      <c r="I1388" cm="1">
        <f t="array" ref="I1388">IF($Q1388&gt;=0,IFERROR(generateSalesData($D1388, IF(ISNUMBER(_xlfn.XLOOKUP($C1388,Phone_by_Sentiment!$B$2:$B$37,Phone_by_Sentiment!I$2:I$37,"",0,1)),_xlfn.XLOOKUP($C1388,Phone_by_Sentiment!$B$2:$B$37,Phone_by_Sentiment!I$2:I$37,"",0,1),0),$A1388-TEXT(DATEVALUE($D1388&amp;"-01"), "dd-mm-yyyy")),0),0)</f>
        <v>33</v>
      </c>
      <c r="J1388" cm="1">
        <f t="array" ref="J1388">IF($Q1388&gt;=0,IFERROR(generateSalesData($D1388, IF(ISNUMBER(_xlfn.XLOOKUP($C1388,Phone_by_Sentiment!$B$2:$B$37,Phone_by_Sentiment!J$2:J$37,"",0,1)),_xlfn.XLOOKUP($C1388,Phone_by_Sentiment!$B$2:$B$37,Phone_by_Sentiment!J$2:J$37,"",0,1),0),$A1388-TEXT(DATEVALUE($D1388&amp;"-01"), "dd-mm-yyyy")),0),0)</f>
        <v>99</v>
      </c>
      <c r="K1388" cm="1">
        <f t="array" ref="K1388">IF($Q1388&gt;=0,IFERROR(generateSalesData($D1388, IF(ISNUMBER(_xlfn.XLOOKUP($C1388,Phone_by_Sentiment!$B$2:$B$37,Phone_by_Sentiment!K$2:K$37,"",0,1)),_xlfn.XLOOKUP($C1388,Phone_by_Sentiment!$B$2:$B$37,Phone_by_Sentiment!K$2:K$37,"",0,1),0),$A1388-TEXT(DATEVALUE($D1388&amp;"-01"), "dd-mm-yyyy")),0),0)</f>
        <v>127</v>
      </c>
      <c r="L1388" cm="1">
        <f t="array" ref="L1388">IF($Q1388&gt;=0,IFERROR(generateSalesData($D1388, IF(ISNUMBER(_xlfn.XLOOKUP($C1388,Phone_by_Sentiment!$B$2:$B$37,Phone_by_Sentiment!L$2:L$37,"",0,1)),_xlfn.XLOOKUP($C1388,Phone_by_Sentiment!$B$2:$B$37,Phone_by_Sentiment!L$2:L$37,"",0,1),0),$A1388-TEXT(DATEVALUE($D1388&amp;"-01"), "dd-mm-yyyy")),0),0)</f>
        <v>78</v>
      </c>
      <c r="M1388" cm="1">
        <f t="array" ref="M1388">IF($Q1388&gt;=0,IFERROR(generateSalesData($D1388, IF(ISNUMBER(_xlfn.XLOOKUP($C1388,Phone_by_Sentiment!$B$2:$B$37,Phone_by_Sentiment!M$2:M$37,"",0,1)),_xlfn.XLOOKUP($C1388,Phone_by_Sentiment!$B$2:$B$37,Phone_by_Sentiment!M$2:M$37,"",0,1),0),$A1388-TEXT(DATEVALUE($D1388&amp;"-01"), "dd-mm-yyyy")),0),0)</f>
        <v>243</v>
      </c>
      <c r="N1388" cm="1">
        <f t="array" ref="N1388">IF($Q1388&gt;=0,IFERROR(generateSalesData($D1388, IF(ISNUMBER(_xlfn.XLOOKUP($C1388,Phone_by_Sentiment!$B$2:$B$37,Phone_by_Sentiment!N$2:N$37,"",0,1)),_xlfn.XLOOKUP($C1388,Phone_by_Sentiment!$B$2:$B$37,Phone_by_Sentiment!N$2:N$37,"",0,1),0),$A1388-TEXT(DATEVALUE($D1388&amp;"-01"), "dd-mm-yyyy")),0),0)</f>
        <v>64</v>
      </c>
      <c r="O1388" cm="1">
        <f t="array" ref="O1388">IF($Q1388&gt;=0,IFERROR(generateSalesData($D1388, IF(ISNUMBER(_xlfn.XLOOKUP($C1388,Phone_by_Sentiment!$B$2:$B$37,Phone_by_Sentiment!O$2:O$37,"",0,1)),_xlfn.XLOOKUP($C1388,Phone_by_Sentiment!$B$2:$B$37,Phone_by_Sentiment!O$2:O$37,"",0,1),0),$A1388-TEXT(DATEVALUE($D1388&amp;"-01"), "dd-mm-yyyy")),0),0)</f>
        <v>-22</v>
      </c>
      <c r="P1388" s="1">
        <f t="shared" si="51"/>
        <v>43678</v>
      </c>
      <c r="Q1388">
        <f t="shared" si="55"/>
        <v>974</v>
      </c>
    </row>
    <row r="1389" spans="1:17" x14ac:dyDescent="0.25">
      <c r="A1389" s="1">
        <f t="shared" si="54"/>
        <v>44652</v>
      </c>
      <c r="B1389" t="s">
        <v>167</v>
      </c>
      <c r="C1389" t="str">
        <f>_xlfn.XLOOKUP(B1389,Phone_by_Price!$A$2:$A$34,Phone_by_Price!$B$2:$B$34,"-",0,1)</f>
        <v>Realme C21</v>
      </c>
      <c r="D1389" t="str">
        <f>_xlfn.XLOOKUP(C1389,Phone_by_Sentiment!$B$2:$B$37,Phone_by_Sentiment!$A$2:$A$37,"-",0,1)</f>
        <v>2021-04</v>
      </c>
      <c r="E1389" cm="1">
        <f t="array" ref="E1389">IF($Q1389&gt;=0,IFERROR(generateSalesData($D1389, IF(ISNUMBER(_xlfn.XLOOKUP($C1389,Phone_by_Sentiment!$B$2:$B$37,Phone_by_Sentiment!E$2:E$37,"",0,1)),_xlfn.XLOOKUP($C1389,Phone_by_Sentiment!$B$2:$B$37,Phone_by_Sentiment!E$2:E$37,"",0,1),0),$A1389-TEXT(DATEVALUE($D1389&amp;"-01"), "dd-mm-yyyy")),0),0)</f>
        <v>65</v>
      </c>
      <c r="F1389" cm="1">
        <f t="array" ref="F1389">IF($Q1389&gt;=0,IFERROR(generateSalesData($D1389, IF(ISNUMBER(_xlfn.XLOOKUP($C1389,Phone_by_Sentiment!$B$2:$B$37,Phone_by_Sentiment!F$2:F$37,"",0,1)),_xlfn.XLOOKUP($C1389,Phone_by_Sentiment!$B$2:$B$37,Phone_by_Sentiment!F$2:F$37,"",0,1),0),$A1389-TEXT(DATEVALUE($D1389&amp;"-01"), "dd-mm-yyyy")),0),0)</f>
        <v>138</v>
      </c>
      <c r="G1389" cm="1">
        <f t="array" ref="G1389">IF($Q1389&gt;=0,IFERROR(generateSalesData($D1389, IF(ISNUMBER(_xlfn.XLOOKUP($C1389,Phone_by_Sentiment!$B$2:$B$37,Phone_by_Sentiment!G$2:G$37,"",0,1)),_xlfn.XLOOKUP($C1389,Phone_by_Sentiment!$B$2:$B$37,Phone_by_Sentiment!G$2:G$37,"",0,1),0),$A1389-TEXT(DATEVALUE($D1389&amp;"-01"), "dd-mm-yyyy")),0),0)</f>
        <v>126</v>
      </c>
      <c r="H1389" cm="1">
        <f t="array" ref="H1389">IF($Q1389&gt;=0,IFERROR(generateSalesData($D1389, IF(ISNUMBER(_xlfn.XLOOKUP($C1389,Phone_by_Sentiment!$B$2:$B$37,Phone_by_Sentiment!H$2:H$37,"",0,1)),_xlfn.XLOOKUP($C1389,Phone_by_Sentiment!$B$2:$B$37,Phone_by_Sentiment!H$2:H$37,"",0,1),0),$A1389-TEXT(DATEVALUE($D1389&amp;"-01"), "dd-mm-yyyy")),0),0)</f>
        <v>719</v>
      </c>
      <c r="I1389" cm="1">
        <f t="array" ref="I1389">IF($Q1389&gt;=0,IFERROR(generateSalesData($D1389, IF(ISNUMBER(_xlfn.XLOOKUP($C1389,Phone_by_Sentiment!$B$2:$B$37,Phone_by_Sentiment!I$2:I$37,"",0,1)),_xlfn.XLOOKUP($C1389,Phone_by_Sentiment!$B$2:$B$37,Phone_by_Sentiment!I$2:I$37,"",0,1),0),$A1389-TEXT(DATEVALUE($D1389&amp;"-01"), "dd-mm-yyyy")),0),0)</f>
        <v>566</v>
      </c>
      <c r="J1389" cm="1">
        <f t="array" ref="J1389">IF($Q1389&gt;=0,IFERROR(generateSalesData($D1389, IF(ISNUMBER(_xlfn.XLOOKUP($C1389,Phone_by_Sentiment!$B$2:$B$37,Phone_by_Sentiment!J$2:J$37,"",0,1)),_xlfn.XLOOKUP($C1389,Phone_by_Sentiment!$B$2:$B$37,Phone_by_Sentiment!J$2:J$37,"",0,1),0),$A1389-TEXT(DATEVALUE($D1389&amp;"-01"), "dd-mm-yyyy")),0),0)</f>
        <v>194</v>
      </c>
      <c r="K1389" cm="1">
        <f t="array" ref="K1389">IF($Q1389&gt;=0,IFERROR(generateSalesData($D1389, IF(ISNUMBER(_xlfn.XLOOKUP($C1389,Phone_by_Sentiment!$B$2:$B$37,Phone_by_Sentiment!K$2:K$37,"",0,1)),_xlfn.XLOOKUP($C1389,Phone_by_Sentiment!$B$2:$B$37,Phone_by_Sentiment!K$2:K$37,"",0,1),0),$A1389-TEXT(DATEVALUE($D1389&amp;"-01"), "dd-mm-yyyy")),0),0)</f>
        <v>745</v>
      </c>
      <c r="L1389" cm="1">
        <f t="array" ref="L1389">IF($Q1389&gt;=0,IFERROR(generateSalesData($D1389, IF(ISNUMBER(_xlfn.XLOOKUP($C1389,Phone_by_Sentiment!$B$2:$B$37,Phone_by_Sentiment!L$2:L$37,"",0,1)),_xlfn.XLOOKUP($C1389,Phone_by_Sentiment!$B$2:$B$37,Phone_by_Sentiment!L$2:L$37,"",0,1),0),$A1389-TEXT(DATEVALUE($D1389&amp;"-01"), "dd-mm-yyyy")),0),0)</f>
        <v>600</v>
      </c>
      <c r="M1389" cm="1">
        <f t="array" ref="M1389">IF($Q1389&gt;=0,IFERROR(generateSalesData($D1389, IF(ISNUMBER(_xlfn.XLOOKUP($C1389,Phone_by_Sentiment!$B$2:$B$37,Phone_by_Sentiment!M$2:M$37,"",0,1)),_xlfn.XLOOKUP($C1389,Phone_by_Sentiment!$B$2:$B$37,Phone_by_Sentiment!M$2:M$37,"",0,1),0),$A1389-TEXT(DATEVALUE($D1389&amp;"-01"), "dd-mm-yyyy")),0),0)</f>
        <v>170</v>
      </c>
      <c r="N1389" cm="1">
        <f t="array" ref="N1389">IF($Q1389&gt;=0,IFERROR(generateSalesData($D1389, IF(ISNUMBER(_xlfn.XLOOKUP($C1389,Phone_by_Sentiment!$B$2:$B$37,Phone_by_Sentiment!N$2:N$37,"",0,1)),_xlfn.XLOOKUP($C1389,Phone_by_Sentiment!$B$2:$B$37,Phone_by_Sentiment!N$2:N$37,"",0,1),0),$A1389-TEXT(DATEVALUE($D1389&amp;"-01"), "dd-mm-yyyy")),0),0)</f>
        <v>247</v>
      </c>
      <c r="O1389" cm="1">
        <f t="array" ref="O1389">IF($Q1389&gt;=0,IFERROR(generateSalesData($D1389, IF(ISNUMBER(_xlfn.XLOOKUP($C1389,Phone_by_Sentiment!$B$2:$B$37,Phone_by_Sentiment!O$2:O$37,"",0,1)),_xlfn.XLOOKUP($C1389,Phone_by_Sentiment!$B$2:$B$37,Phone_by_Sentiment!O$2:O$37,"",0,1),0),$A1389-TEXT(DATEVALUE($D1389&amp;"-01"), "dd-mm-yyyy")),0),0)</f>
        <v>127</v>
      </c>
      <c r="P1389" s="1">
        <f t="shared" si="51"/>
        <v>44287</v>
      </c>
      <c r="Q1389">
        <f t="shared" si="55"/>
        <v>365</v>
      </c>
    </row>
    <row r="1390" spans="1:17" x14ac:dyDescent="0.25">
      <c r="A1390" s="1">
        <f t="shared" si="54"/>
        <v>44652</v>
      </c>
      <c r="B1390" t="s">
        <v>168</v>
      </c>
      <c r="C1390" t="str">
        <f>_xlfn.XLOOKUP(B1390,Phone_by_Price!$A$2:$A$34,Phone_by_Price!$B$2:$B$34,"-",0,1)</f>
        <v>Google Pixel 4</v>
      </c>
      <c r="D1390" t="str">
        <f>_xlfn.XLOOKUP(C1390,Phone_by_Sentiment!$B$2:$B$37,Phone_by_Sentiment!$A$2:$A$37,"-",0,1)</f>
        <v>2019-09</v>
      </c>
      <c r="E1390" cm="1">
        <f t="array" ref="E1390">IF($Q1390&gt;=0,IFERROR(generateSalesData($D1390, IF(ISNUMBER(_xlfn.XLOOKUP($C1390,Phone_by_Sentiment!$B$2:$B$37,Phone_by_Sentiment!E$2:E$37,"",0,1)),_xlfn.XLOOKUP($C1390,Phone_by_Sentiment!$B$2:$B$37,Phone_by_Sentiment!E$2:E$37,"",0,1),0),$A1390-TEXT(DATEVALUE($D1390&amp;"-01"), "dd-mm-yyyy")),0),0)</f>
        <v>103</v>
      </c>
      <c r="F1390" cm="1">
        <f t="array" ref="F1390">IF($Q1390&gt;=0,IFERROR(generateSalesData($D1390, IF(ISNUMBER(_xlfn.XLOOKUP($C1390,Phone_by_Sentiment!$B$2:$B$37,Phone_by_Sentiment!F$2:F$37,"",0,1)),_xlfn.XLOOKUP($C1390,Phone_by_Sentiment!$B$2:$B$37,Phone_by_Sentiment!F$2:F$37,"",0,1),0),$A1390-TEXT(DATEVALUE($D1390&amp;"-01"), "dd-mm-yyyy")),0),0)</f>
        <v>59</v>
      </c>
      <c r="G1390" cm="1">
        <f t="array" ref="G1390">IF($Q1390&gt;=0,IFERROR(generateSalesData($D1390, IF(ISNUMBER(_xlfn.XLOOKUP($C1390,Phone_by_Sentiment!$B$2:$B$37,Phone_by_Sentiment!G$2:G$37,"",0,1)),_xlfn.XLOOKUP($C1390,Phone_by_Sentiment!$B$2:$B$37,Phone_by_Sentiment!G$2:G$37,"",0,1),0),$A1390-TEXT(DATEVALUE($D1390&amp;"-01"), "dd-mm-yyyy")),0),0)</f>
        <v>135</v>
      </c>
      <c r="H1390" cm="1">
        <f t="array" ref="H1390">IF($Q1390&gt;=0,IFERROR(generateSalesData($D1390, IF(ISNUMBER(_xlfn.XLOOKUP($C1390,Phone_by_Sentiment!$B$2:$B$37,Phone_by_Sentiment!H$2:H$37,"",0,1)),_xlfn.XLOOKUP($C1390,Phone_by_Sentiment!$B$2:$B$37,Phone_by_Sentiment!H$2:H$37,"",0,1),0),$A1390-TEXT(DATEVALUE($D1390&amp;"-01"), "dd-mm-yyyy")),0),0)</f>
        <v>93</v>
      </c>
      <c r="I1390" cm="1">
        <f t="array" ref="I1390">IF($Q1390&gt;=0,IFERROR(generateSalesData($D1390, IF(ISNUMBER(_xlfn.XLOOKUP($C1390,Phone_by_Sentiment!$B$2:$B$37,Phone_by_Sentiment!I$2:I$37,"",0,1)),_xlfn.XLOOKUP($C1390,Phone_by_Sentiment!$B$2:$B$37,Phone_by_Sentiment!I$2:I$37,"",0,1),0),$A1390-TEXT(DATEVALUE($D1390&amp;"-01"), "dd-mm-yyyy")),0),0)</f>
        <v>85</v>
      </c>
      <c r="J1390" cm="1">
        <f t="array" ref="J1390">IF($Q1390&gt;=0,IFERROR(generateSalesData($D1390, IF(ISNUMBER(_xlfn.XLOOKUP($C1390,Phone_by_Sentiment!$B$2:$B$37,Phone_by_Sentiment!J$2:J$37,"",0,1)),_xlfn.XLOOKUP($C1390,Phone_by_Sentiment!$B$2:$B$37,Phone_by_Sentiment!J$2:J$37,"",0,1),0),$A1390-TEXT(DATEVALUE($D1390&amp;"-01"), "dd-mm-yyyy")),0),0)</f>
        <v>84</v>
      </c>
      <c r="K1390" cm="1">
        <f t="array" ref="K1390">IF($Q1390&gt;=0,IFERROR(generateSalesData($D1390, IF(ISNUMBER(_xlfn.XLOOKUP($C1390,Phone_by_Sentiment!$B$2:$B$37,Phone_by_Sentiment!K$2:K$37,"",0,1)),_xlfn.XLOOKUP($C1390,Phone_by_Sentiment!$B$2:$B$37,Phone_by_Sentiment!K$2:K$37,"",0,1),0),$A1390-TEXT(DATEVALUE($D1390&amp;"-01"), "dd-mm-yyyy")),0),0)</f>
        <v>30</v>
      </c>
      <c r="L1390" cm="1">
        <f t="array" ref="L1390">IF($Q1390&gt;=0,IFERROR(generateSalesData($D1390, IF(ISNUMBER(_xlfn.XLOOKUP($C1390,Phone_by_Sentiment!$B$2:$B$37,Phone_by_Sentiment!L$2:L$37,"",0,1)),_xlfn.XLOOKUP($C1390,Phone_by_Sentiment!$B$2:$B$37,Phone_by_Sentiment!L$2:L$37,"",0,1),0),$A1390-TEXT(DATEVALUE($D1390&amp;"-01"), "dd-mm-yyyy")),0),0)</f>
        <v>140</v>
      </c>
      <c r="M1390" cm="1">
        <f t="array" ref="M1390">IF($Q1390&gt;=0,IFERROR(generateSalesData($D1390, IF(ISNUMBER(_xlfn.XLOOKUP($C1390,Phone_by_Sentiment!$B$2:$B$37,Phone_by_Sentiment!M$2:M$37,"",0,1)),_xlfn.XLOOKUP($C1390,Phone_by_Sentiment!$B$2:$B$37,Phone_by_Sentiment!M$2:M$37,"",0,1),0),$A1390-TEXT(DATEVALUE($D1390&amp;"-01"), "dd-mm-yyyy")),0),0)</f>
        <v>14</v>
      </c>
      <c r="N1390" cm="1">
        <f t="array" ref="N1390">IF($Q1390&gt;=0,IFERROR(generateSalesData($D1390, IF(ISNUMBER(_xlfn.XLOOKUP($C1390,Phone_by_Sentiment!$B$2:$B$37,Phone_by_Sentiment!N$2:N$37,"",0,1)),_xlfn.XLOOKUP($C1390,Phone_by_Sentiment!$B$2:$B$37,Phone_by_Sentiment!N$2:N$37,"",0,1),0),$A1390-TEXT(DATEVALUE($D1390&amp;"-01"), "dd-mm-yyyy")),0),0)</f>
        <v>311</v>
      </c>
      <c r="O1390" cm="1">
        <f t="array" ref="O1390">IF($Q1390&gt;=0,IFERROR(generateSalesData($D1390, IF(ISNUMBER(_xlfn.XLOOKUP($C1390,Phone_by_Sentiment!$B$2:$B$37,Phone_by_Sentiment!O$2:O$37,"",0,1)),_xlfn.XLOOKUP($C1390,Phone_by_Sentiment!$B$2:$B$37,Phone_by_Sentiment!O$2:O$37,"",0,1),0),$A1390-TEXT(DATEVALUE($D1390&amp;"-01"), "dd-mm-yyyy")),0),0)</f>
        <v>2</v>
      </c>
      <c r="P1390" s="1">
        <f t="shared" si="51"/>
        <v>43709</v>
      </c>
      <c r="Q1390">
        <f t="shared" si="55"/>
        <v>943</v>
      </c>
    </row>
    <row r="1391" spans="1:17" x14ac:dyDescent="0.25">
      <c r="A1391" s="1">
        <f t="shared" si="54"/>
        <v>44652</v>
      </c>
      <c r="B1391" t="s">
        <v>169</v>
      </c>
      <c r="C1391" t="str">
        <f>_xlfn.XLOOKUP(B1391,Phone_by_Price!$A$2:$A$34,Phone_by_Price!$B$2:$B$34,"-",0,1)</f>
        <v>Samsung Galaxy A10s</v>
      </c>
      <c r="D1391" t="str">
        <f>_xlfn.XLOOKUP(C1391,Phone_by_Sentiment!$B$2:$B$37,Phone_by_Sentiment!$A$2:$A$37,"-",0,1)</f>
        <v>2019-08</v>
      </c>
      <c r="E1391" cm="1">
        <f t="array" ref="E1391">IF($Q1391&gt;=0,IFERROR(generateSalesData($D1391, IF(ISNUMBER(_xlfn.XLOOKUP($C1391,Phone_by_Sentiment!$B$2:$B$37,Phone_by_Sentiment!E$2:E$37,"",0,1)),_xlfn.XLOOKUP($C1391,Phone_by_Sentiment!$B$2:$B$37,Phone_by_Sentiment!E$2:E$37,"",0,1),0),$A1391-TEXT(DATEVALUE($D1391&amp;"-01"), "dd-mm-yyyy")),0),0)</f>
        <v>40</v>
      </c>
      <c r="F1391" cm="1">
        <f t="array" ref="F1391">IF($Q1391&gt;=0,IFERROR(generateSalesData($D1391, IF(ISNUMBER(_xlfn.XLOOKUP($C1391,Phone_by_Sentiment!$B$2:$B$37,Phone_by_Sentiment!F$2:F$37,"",0,1)),_xlfn.XLOOKUP($C1391,Phone_by_Sentiment!$B$2:$B$37,Phone_by_Sentiment!F$2:F$37,"",0,1),0),$A1391-TEXT(DATEVALUE($D1391&amp;"-01"), "dd-mm-yyyy")),0),0)</f>
        <v>298</v>
      </c>
      <c r="G1391" cm="1">
        <f t="array" ref="G1391">IF($Q1391&gt;=0,IFERROR(generateSalesData($D1391, IF(ISNUMBER(_xlfn.XLOOKUP($C1391,Phone_by_Sentiment!$B$2:$B$37,Phone_by_Sentiment!G$2:G$37,"",0,1)),_xlfn.XLOOKUP($C1391,Phone_by_Sentiment!$B$2:$B$37,Phone_by_Sentiment!G$2:G$37,"",0,1),0),$A1391-TEXT(DATEVALUE($D1391&amp;"-01"), "dd-mm-yyyy")),0),0)</f>
        <v>22</v>
      </c>
      <c r="H1391" cm="1">
        <f t="array" ref="H1391">IF($Q1391&gt;=0,IFERROR(generateSalesData($D1391, IF(ISNUMBER(_xlfn.XLOOKUP($C1391,Phone_by_Sentiment!$B$2:$B$37,Phone_by_Sentiment!H$2:H$37,"",0,1)),_xlfn.XLOOKUP($C1391,Phone_by_Sentiment!$B$2:$B$37,Phone_by_Sentiment!H$2:H$37,"",0,1),0),$A1391-TEXT(DATEVALUE($D1391&amp;"-01"), "dd-mm-yyyy")),0),0)</f>
        <v>168</v>
      </c>
      <c r="I1391" cm="1">
        <f t="array" ref="I1391">IF($Q1391&gt;=0,IFERROR(generateSalesData($D1391, IF(ISNUMBER(_xlfn.XLOOKUP($C1391,Phone_by_Sentiment!$B$2:$B$37,Phone_by_Sentiment!I$2:I$37,"",0,1)),_xlfn.XLOOKUP($C1391,Phone_by_Sentiment!$B$2:$B$37,Phone_by_Sentiment!I$2:I$37,"",0,1),0),$A1391-TEXT(DATEVALUE($D1391&amp;"-01"), "dd-mm-yyyy")),0),0)</f>
        <v>138</v>
      </c>
      <c r="J1391" cm="1">
        <f t="array" ref="J1391">IF($Q1391&gt;=0,IFERROR(generateSalesData($D1391, IF(ISNUMBER(_xlfn.XLOOKUP($C1391,Phone_by_Sentiment!$B$2:$B$37,Phone_by_Sentiment!J$2:J$37,"",0,1)),_xlfn.XLOOKUP($C1391,Phone_by_Sentiment!$B$2:$B$37,Phone_by_Sentiment!J$2:J$37,"",0,1),0),$A1391-TEXT(DATEVALUE($D1391&amp;"-01"), "dd-mm-yyyy")),0),0)</f>
        <v>297</v>
      </c>
      <c r="K1391" cm="1">
        <f t="array" ref="K1391">IF($Q1391&gt;=0,IFERROR(generateSalesData($D1391, IF(ISNUMBER(_xlfn.XLOOKUP($C1391,Phone_by_Sentiment!$B$2:$B$37,Phone_by_Sentiment!K$2:K$37,"",0,1)),_xlfn.XLOOKUP($C1391,Phone_by_Sentiment!$B$2:$B$37,Phone_by_Sentiment!K$2:K$37,"",0,1),0),$A1391-TEXT(DATEVALUE($D1391&amp;"-01"), "dd-mm-yyyy")),0),0)</f>
        <v>158</v>
      </c>
      <c r="L1391" cm="1">
        <f t="array" ref="L1391">IF($Q1391&gt;=0,IFERROR(generateSalesData($D1391, IF(ISNUMBER(_xlfn.XLOOKUP($C1391,Phone_by_Sentiment!$B$2:$B$37,Phone_by_Sentiment!L$2:L$37,"",0,1)),_xlfn.XLOOKUP($C1391,Phone_by_Sentiment!$B$2:$B$37,Phone_by_Sentiment!L$2:L$37,"",0,1),0),$A1391-TEXT(DATEVALUE($D1391&amp;"-01"), "dd-mm-yyyy")),0),0)</f>
        <v>68</v>
      </c>
      <c r="M1391" cm="1">
        <f t="array" ref="M1391">IF($Q1391&gt;=0,IFERROR(generateSalesData($D1391, IF(ISNUMBER(_xlfn.XLOOKUP($C1391,Phone_by_Sentiment!$B$2:$B$37,Phone_by_Sentiment!M$2:M$37,"",0,1)),_xlfn.XLOOKUP($C1391,Phone_by_Sentiment!$B$2:$B$37,Phone_by_Sentiment!M$2:M$37,"",0,1),0),$A1391-TEXT(DATEVALUE($D1391&amp;"-01"), "dd-mm-yyyy")),0),0)</f>
        <v>179</v>
      </c>
      <c r="N1391" cm="1">
        <f t="array" ref="N1391">IF($Q1391&gt;=0,IFERROR(generateSalesData($D1391, IF(ISNUMBER(_xlfn.XLOOKUP($C1391,Phone_by_Sentiment!$B$2:$B$37,Phone_by_Sentiment!N$2:N$37,"",0,1)),_xlfn.XLOOKUP($C1391,Phone_by_Sentiment!$B$2:$B$37,Phone_by_Sentiment!N$2:N$37,"",0,1),0),$A1391-TEXT(DATEVALUE($D1391&amp;"-01"), "dd-mm-yyyy")),0),0)</f>
        <v>100</v>
      </c>
      <c r="O1391" cm="1">
        <f t="array" ref="O1391">IF($Q1391&gt;=0,IFERROR(generateSalesData($D1391, IF(ISNUMBER(_xlfn.XLOOKUP($C1391,Phone_by_Sentiment!$B$2:$B$37,Phone_by_Sentiment!O$2:O$37,"",0,1)),_xlfn.XLOOKUP($C1391,Phone_by_Sentiment!$B$2:$B$37,Phone_by_Sentiment!O$2:O$37,"",0,1),0),$A1391-TEXT(DATEVALUE($D1391&amp;"-01"), "dd-mm-yyyy")),0),0)</f>
        <v>183</v>
      </c>
      <c r="P1391" s="1">
        <f t="shared" si="51"/>
        <v>43678</v>
      </c>
      <c r="Q1391">
        <f t="shared" si="55"/>
        <v>974</v>
      </c>
    </row>
    <row r="1392" spans="1:17" x14ac:dyDescent="0.25">
      <c r="A1392" s="1">
        <f t="shared" si="54"/>
        <v>44652</v>
      </c>
      <c r="B1392" t="s">
        <v>170</v>
      </c>
      <c r="C1392" t="str">
        <f>_xlfn.XLOOKUP(B1392,Phone_by_Price!$A$2:$A$34,Phone_by_Price!$B$2:$B$34,"-",0,1)</f>
        <v>Realme Narzo 30A</v>
      </c>
      <c r="D1392" t="str">
        <f>_xlfn.XLOOKUP(C1392,Phone_by_Sentiment!$B$2:$B$37,Phone_by_Sentiment!$A$2:$A$37,"-",0,1)</f>
        <v>2021-02</v>
      </c>
      <c r="E1392" cm="1">
        <f t="array" ref="E1392">IF($Q1392&gt;=0,IFERROR(generateSalesData($D1392, IF(ISNUMBER(_xlfn.XLOOKUP($C1392,Phone_by_Sentiment!$B$2:$B$37,Phone_by_Sentiment!E$2:E$37,"",0,1)),_xlfn.XLOOKUP($C1392,Phone_by_Sentiment!$B$2:$B$37,Phone_by_Sentiment!E$2:E$37,"",0,1),0),$A1392-TEXT(DATEVALUE($D1392&amp;"-01"), "dd-mm-yyyy")),0),0)</f>
        <v>204</v>
      </c>
      <c r="F1392" cm="1">
        <f t="array" ref="F1392">IF($Q1392&gt;=0,IFERROR(generateSalesData($D1392, IF(ISNUMBER(_xlfn.XLOOKUP($C1392,Phone_by_Sentiment!$B$2:$B$37,Phone_by_Sentiment!F$2:F$37,"",0,1)),_xlfn.XLOOKUP($C1392,Phone_by_Sentiment!$B$2:$B$37,Phone_by_Sentiment!F$2:F$37,"",0,1),0),$A1392-TEXT(DATEVALUE($D1392&amp;"-01"), "dd-mm-yyyy")),0),0)</f>
        <v>79</v>
      </c>
      <c r="G1392" cm="1">
        <f t="array" ref="G1392">IF($Q1392&gt;=0,IFERROR(generateSalesData($D1392, IF(ISNUMBER(_xlfn.XLOOKUP($C1392,Phone_by_Sentiment!$B$2:$B$37,Phone_by_Sentiment!G$2:G$37,"",0,1)),_xlfn.XLOOKUP($C1392,Phone_by_Sentiment!$B$2:$B$37,Phone_by_Sentiment!G$2:G$37,"",0,1),0),$A1392-TEXT(DATEVALUE($D1392&amp;"-01"), "dd-mm-yyyy")),0),0)</f>
        <v>152</v>
      </c>
      <c r="H1392" cm="1">
        <f t="array" ref="H1392">IF($Q1392&gt;=0,IFERROR(generateSalesData($D1392, IF(ISNUMBER(_xlfn.XLOOKUP($C1392,Phone_by_Sentiment!$B$2:$B$37,Phone_by_Sentiment!H$2:H$37,"",0,1)),_xlfn.XLOOKUP($C1392,Phone_by_Sentiment!$B$2:$B$37,Phone_by_Sentiment!H$2:H$37,"",0,1),0),$A1392-TEXT(DATEVALUE($D1392&amp;"-01"), "dd-mm-yyyy")),0),0)</f>
        <v>769</v>
      </c>
      <c r="I1392" cm="1">
        <f t="array" ref="I1392">IF($Q1392&gt;=0,IFERROR(generateSalesData($D1392, IF(ISNUMBER(_xlfn.XLOOKUP($C1392,Phone_by_Sentiment!$B$2:$B$37,Phone_by_Sentiment!I$2:I$37,"",0,1)),_xlfn.XLOOKUP($C1392,Phone_by_Sentiment!$B$2:$B$37,Phone_by_Sentiment!I$2:I$37,"",0,1),0),$A1392-TEXT(DATEVALUE($D1392&amp;"-01"), "dd-mm-yyyy")),0),0)</f>
        <v>758</v>
      </c>
      <c r="J1392" cm="1">
        <f t="array" ref="J1392">IF($Q1392&gt;=0,IFERROR(generateSalesData($D1392, IF(ISNUMBER(_xlfn.XLOOKUP($C1392,Phone_by_Sentiment!$B$2:$B$37,Phone_by_Sentiment!J$2:J$37,"",0,1)),_xlfn.XLOOKUP($C1392,Phone_by_Sentiment!$B$2:$B$37,Phone_by_Sentiment!J$2:J$37,"",0,1),0),$A1392-TEXT(DATEVALUE($D1392&amp;"-01"), "dd-mm-yyyy")),0),0)</f>
        <v>165</v>
      </c>
      <c r="K1392" cm="1">
        <f t="array" ref="K1392">IF($Q1392&gt;=0,IFERROR(generateSalesData($D1392, IF(ISNUMBER(_xlfn.XLOOKUP($C1392,Phone_by_Sentiment!$B$2:$B$37,Phone_by_Sentiment!K$2:K$37,"",0,1)),_xlfn.XLOOKUP($C1392,Phone_by_Sentiment!$B$2:$B$37,Phone_by_Sentiment!K$2:K$37,"",0,1),0),$A1392-TEXT(DATEVALUE($D1392&amp;"-01"), "dd-mm-yyyy")),0),0)</f>
        <v>446</v>
      </c>
      <c r="L1392" cm="1">
        <f t="array" ref="L1392">IF($Q1392&gt;=0,IFERROR(generateSalesData($D1392, IF(ISNUMBER(_xlfn.XLOOKUP($C1392,Phone_by_Sentiment!$B$2:$B$37,Phone_by_Sentiment!L$2:L$37,"",0,1)),_xlfn.XLOOKUP($C1392,Phone_by_Sentiment!$B$2:$B$37,Phone_by_Sentiment!L$2:L$37,"",0,1),0),$A1392-TEXT(DATEVALUE($D1392&amp;"-01"), "dd-mm-yyyy")),0),0)</f>
        <v>618</v>
      </c>
      <c r="M1392" cm="1">
        <f t="array" ref="M1392">IF($Q1392&gt;=0,IFERROR(generateSalesData($D1392, IF(ISNUMBER(_xlfn.XLOOKUP($C1392,Phone_by_Sentiment!$B$2:$B$37,Phone_by_Sentiment!M$2:M$37,"",0,1)),_xlfn.XLOOKUP($C1392,Phone_by_Sentiment!$B$2:$B$37,Phone_by_Sentiment!M$2:M$37,"",0,1),0),$A1392-TEXT(DATEVALUE($D1392&amp;"-01"), "dd-mm-yyyy")),0),0)</f>
        <v>160</v>
      </c>
      <c r="N1392" cm="1">
        <f t="array" ref="N1392">IF($Q1392&gt;=0,IFERROR(generateSalesData($D1392, IF(ISNUMBER(_xlfn.XLOOKUP($C1392,Phone_by_Sentiment!$B$2:$B$37,Phone_by_Sentiment!N$2:N$37,"",0,1)),_xlfn.XLOOKUP($C1392,Phone_by_Sentiment!$B$2:$B$37,Phone_by_Sentiment!N$2:N$37,"",0,1),0),$A1392-TEXT(DATEVALUE($D1392&amp;"-01"), "dd-mm-yyyy")),0),0)</f>
        <v>391</v>
      </c>
      <c r="O1392" cm="1">
        <f t="array" ref="O1392">IF($Q1392&gt;=0,IFERROR(generateSalesData($D1392, IF(ISNUMBER(_xlfn.XLOOKUP($C1392,Phone_by_Sentiment!$B$2:$B$37,Phone_by_Sentiment!O$2:O$37,"",0,1)),_xlfn.XLOOKUP($C1392,Phone_by_Sentiment!$B$2:$B$37,Phone_by_Sentiment!O$2:O$37,"",0,1),0),$A1392-TEXT(DATEVALUE($D1392&amp;"-01"), "dd-mm-yyyy")),0),0)</f>
        <v>38</v>
      </c>
      <c r="P1392" s="1">
        <f t="shared" si="51"/>
        <v>44228</v>
      </c>
      <c r="Q1392">
        <f t="shared" si="55"/>
        <v>424</v>
      </c>
    </row>
    <row r="1393" spans="1:17" x14ac:dyDescent="0.25">
      <c r="A1393" s="1">
        <f t="shared" si="54"/>
        <v>44652</v>
      </c>
      <c r="B1393" t="s">
        <v>171</v>
      </c>
      <c r="C1393" t="str">
        <f>_xlfn.XLOOKUP(B1393,Phone_by_Price!$A$2:$A$34,Phone_by_Price!$B$2:$B$34,"-",0,1)</f>
        <v>Samsung Galaxy A22 5G</v>
      </c>
      <c r="D1393" t="str">
        <f>_xlfn.XLOOKUP(C1393,Phone_by_Sentiment!$B$2:$B$37,Phone_by_Sentiment!$A$2:$A$37,"-",0,1)</f>
        <v>2021-05</v>
      </c>
      <c r="E1393" cm="1">
        <f t="array" ref="E1393">IF($Q1393&gt;=0,IFERROR(generateSalesData($D1393, IF(ISNUMBER(_xlfn.XLOOKUP($C1393,Phone_by_Sentiment!$B$2:$B$37,Phone_by_Sentiment!E$2:E$37,"",0,1)),_xlfn.XLOOKUP($C1393,Phone_by_Sentiment!$B$2:$B$37,Phone_by_Sentiment!E$2:E$37,"",0,1),0),$A1393-TEXT(DATEVALUE($D1393&amp;"-01"), "dd-mm-yyyy")),0),0)</f>
        <v>494</v>
      </c>
      <c r="F1393" cm="1">
        <f t="array" ref="F1393">IF($Q1393&gt;=0,IFERROR(generateSalesData($D1393, IF(ISNUMBER(_xlfn.XLOOKUP($C1393,Phone_by_Sentiment!$B$2:$B$37,Phone_by_Sentiment!F$2:F$37,"",0,1)),_xlfn.XLOOKUP($C1393,Phone_by_Sentiment!$B$2:$B$37,Phone_by_Sentiment!F$2:F$37,"",0,1),0),$A1393-TEXT(DATEVALUE($D1393&amp;"-01"), "dd-mm-yyyy")),0),0)</f>
        <v>730</v>
      </c>
      <c r="G1393" cm="1">
        <f t="array" ref="G1393">IF($Q1393&gt;=0,IFERROR(generateSalesData($D1393, IF(ISNUMBER(_xlfn.XLOOKUP($C1393,Phone_by_Sentiment!$B$2:$B$37,Phone_by_Sentiment!G$2:G$37,"",0,1)),_xlfn.XLOOKUP($C1393,Phone_by_Sentiment!$B$2:$B$37,Phone_by_Sentiment!G$2:G$37,"",0,1),0),$A1393-TEXT(DATEVALUE($D1393&amp;"-01"), "dd-mm-yyyy")),0),0)</f>
        <v>317</v>
      </c>
      <c r="H1393" cm="1">
        <f t="array" ref="H1393">IF($Q1393&gt;=0,IFERROR(generateSalesData($D1393, IF(ISNUMBER(_xlfn.XLOOKUP($C1393,Phone_by_Sentiment!$B$2:$B$37,Phone_by_Sentiment!H$2:H$37,"",0,1)),_xlfn.XLOOKUP($C1393,Phone_by_Sentiment!$B$2:$B$37,Phone_by_Sentiment!H$2:H$37,"",0,1),0),$A1393-TEXT(DATEVALUE($D1393&amp;"-01"), "dd-mm-yyyy")),0),0)</f>
        <v>273</v>
      </c>
      <c r="I1393" cm="1">
        <f t="array" ref="I1393">IF($Q1393&gt;=0,IFERROR(generateSalesData($D1393, IF(ISNUMBER(_xlfn.XLOOKUP($C1393,Phone_by_Sentiment!$B$2:$B$37,Phone_by_Sentiment!I$2:I$37,"",0,1)),_xlfn.XLOOKUP($C1393,Phone_by_Sentiment!$B$2:$B$37,Phone_by_Sentiment!I$2:I$37,"",0,1),0),$A1393-TEXT(DATEVALUE($D1393&amp;"-01"), "dd-mm-yyyy")),0),0)</f>
        <v>788</v>
      </c>
      <c r="J1393" cm="1">
        <f t="array" ref="J1393">IF($Q1393&gt;=0,IFERROR(generateSalesData($D1393, IF(ISNUMBER(_xlfn.XLOOKUP($C1393,Phone_by_Sentiment!$B$2:$B$37,Phone_by_Sentiment!J$2:J$37,"",0,1)),_xlfn.XLOOKUP($C1393,Phone_by_Sentiment!$B$2:$B$37,Phone_by_Sentiment!J$2:J$37,"",0,1),0),$A1393-TEXT(DATEVALUE($D1393&amp;"-01"), "dd-mm-yyyy")),0),0)</f>
        <v>819</v>
      </c>
      <c r="K1393" cm="1">
        <f t="array" ref="K1393">IF($Q1393&gt;=0,IFERROR(generateSalesData($D1393, IF(ISNUMBER(_xlfn.XLOOKUP($C1393,Phone_by_Sentiment!$B$2:$B$37,Phone_by_Sentiment!K$2:K$37,"",0,1)),_xlfn.XLOOKUP($C1393,Phone_by_Sentiment!$B$2:$B$37,Phone_by_Sentiment!K$2:K$37,"",0,1),0),$A1393-TEXT(DATEVALUE($D1393&amp;"-01"), "dd-mm-yyyy")),0),0)</f>
        <v>750</v>
      </c>
      <c r="L1393" cm="1">
        <f t="array" ref="L1393">IF($Q1393&gt;=0,IFERROR(generateSalesData($D1393, IF(ISNUMBER(_xlfn.XLOOKUP($C1393,Phone_by_Sentiment!$B$2:$B$37,Phone_by_Sentiment!L$2:L$37,"",0,1)),_xlfn.XLOOKUP($C1393,Phone_by_Sentiment!$B$2:$B$37,Phone_by_Sentiment!L$2:L$37,"",0,1),0),$A1393-TEXT(DATEVALUE($D1393&amp;"-01"), "dd-mm-yyyy")),0),0)</f>
        <v>423</v>
      </c>
      <c r="M1393" cm="1">
        <f t="array" ref="M1393">IF($Q1393&gt;=0,IFERROR(generateSalesData($D1393, IF(ISNUMBER(_xlfn.XLOOKUP($C1393,Phone_by_Sentiment!$B$2:$B$37,Phone_by_Sentiment!M$2:M$37,"",0,1)),_xlfn.XLOOKUP($C1393,Phone_by_Sentiment!$B$2:$B$37,Phone_by_Sentiment!M$2:M$37,"",0,1),0),$A1393-TEXT(DATEVALUE($D1393&amp;"-01"), "dd-mm-yyyy")),0),0)</f>
        <v>443</v>
      </c>
      <c r="N1393" cm="1">
        <f t="array" ref="N1393">IF($Q1393&gt;=0,IFERROR(generateSalesData($D1393, IF(ISNUMBER(_xlfn.XLOOKUP($C1393,Phone_by_Sentiment!$B$2:$B$37,Phone_by_Sentiment!N$2:N$37,"",0,1)),_xlfn.XLOOKUP($C1393,Phone_by_Sentiment!$B$2:$B$37,Phone_by_Sentiment!N$2:N$37,"",0,1),0),$A1393-TEXT(DATEVALUE($D1393&amp;"-01"), "dd-mm-yyyy")),0),0)</f>
        <v>444</v>
      </c>
      <c r="O1393" cm="1">
        <f t="array" ref="O1393">IF($Q1393&gt;=0,IFERROR(generateSalesData($D1393, IF(ISNUMBER(_xlfn.XLOOKUP($C1393,Phone_by_Sentiment!$B$2:$B$37,Phone_by_Sentiment!O$2:O$37,"",0,1)),_xlfn.XLOOKUP($C1393,Phone_by_Sentiment!$B$2:$B$37,Phone_by_Sentiment!O$2:O$37,"",0,1),0),$A1393-TEXT(DATEVALUE($D1393&amp;"-01"), "dd-mm-yyyy")),0),0)</f>
        <v>383</v>
      </c>
      <c r="P1393" s="1">
        <f t="shared" si="51"/>
        <v>44317</v>
      </c>
      <c r="Q1393">
        <f t="shared" si="55"/>
        <v>335</v>
      </c>
    </row>
    <row r="1394" spans="1:17" x14ac:dyDescent="0.25">
      <c r="A1394" s="1">
        <f t="shared" si="54"/>
        <v>44652</v>
      </c>
      <c r="B1394" t="s">
        <v>172</v>
      </c>
      <c r="C1394" t="str">
        <f>_xlfn.XLOOKUP(B1394,Phone_by_Price!$A$2:$A$34,Phone_by_Price!$B$2:$B$34,"-",0,1)</f>
        <v>Xiaomi Redmi 9</v>
      </c>
      <c r="D1394" t="str">
        <f>_xlfn.XLOOKUP(C1394,Phone_by_Sentiment!$B$2:$B$37,Phone_by_Sentiment!$A$2:$A$37,"-",0,1)</f>
        <v>2020-08</v>
      </c>
      <c r="E1394" cm="1">
        <f t="array" ref="E1394">IF($Q1394&gt;=0,IFERROR(generateSalesData($D1394, IF(ISNUMBER(_xlfn.XLOOKUP($C1394,Phone_by_Sentiment!$B$2:$B$37,Phone_by_Sentiment!E$2:E$37,"",0,1)),_xlfn.XLOOKUP($C1394,Phone_by_Sentiment!$B$2:$B$37,Phone_by_Sentiment!E$2:E$37,"",0,1),0),$A1394-TEXT(DATEVALUE($D1394&amp;"-01"), "dd-mm-yyyy")),0),0)</f>
        <v>107</v>
      </c>
      <c r="F1394" cm="1">
        <f t="array" ref="F1394">IF($Q1394&gt;=0,IFERROR(generateSalesData($D1394, IF(ISNUMBER(_xlfn.XLOOKUP($C1394,Phone_by_Sentiment!$B$2:$B$37,Phone_by_Sentiment!F$2:F$37,"",0,1)),_xlfn.XLOOKUP($C1394,Phone_by_Sentiment!$B$2:$B$37,Phone_by_Sentiment!F$2:F$37,"",0,1),0),$A1394-TEXT(DATEVALUE($D1394&amp;"-01"), "dd-mm-yyyy")),0),0)</f>
        <v>103</v>
      </c>
      <c r="G1394" cm="1">
        <f t="array" ref="G1394">IF($Q1394&gt;=0,IFERROR(generateSalesData($D1394, IF(ISNUMBER(_xlfn.XLOOKUP($C1394,Phone_by_Sentiment!$B$2:$B$37,Phone_by_Sentiment!G$2:G$37,"",0,1)),_xlfn.XLOOKUP($C1394,Phone_by_Sentiment!$B$2:$B$37,Phone_by_Sentiment!G$2:G$37,"",0,1),0),$A1394-TEXT(DATEVALUE($D1394&amp;"-01"), "dd-mm-yyyy")),0),0)</f>
        <v>140</v>
      </c>
      <c r="H1394" cm="1">
        <f t="array" ref="H1394">IF($Q1394&gt;=0,IFERROR(generateSalesData($D1394, IF(ISNUMBER(_xlfn.XLOOKUP($C1394,Phone_by_Sentiment!$B$2:$B$37,Phone_by_Sentiment!H$2:H$37,"",0,1)),_xlfn.XLOOKUP($C1394,Phone_by_Sentiment!$B$2:$B$37,Phone_by_Sentiment!H$2:H$37,"",0,1),0),$A1394-TEXT(DATEVALUE($D1394&amp;"-01"), "dd-mm-yyyy")),0),0)</f>
        <v>6</v>
      </c>
      <c r="I1394" cm="1">
        <f t="array" ref="I1394">IF($Q1394&gt;=0,IFERROR(generateSalesData($D1394, IF(ISNUMBER(_xlfn.XLOOKUP($C1394,Phone_by_Sentiment!$B$2:$B$37,Phone_by_Sentiment!I$2:I$37,"",0,1)),_xlfn.XLOOKUP($C1394,Phone_by_Sentiment!$B$2:$B$37,Phone_by_Sentiment!I$2:I$37,"",0,1),0),$A1394-TEXT(DATEVALUE($D1394&amp;"-01"), "dd-mm-yyyy")),0),0)</f>
        <v>118</v>
      </c>
      <c r="J1394" cm="1">
        <f t="array" ref="J1394">IF($Q1394&gt;=0,IFERROR(generateSalesData($D1394, IF(ISNUMBER(_xlfn.XLOOKUP($C1394,Phone_by_Sentiment!$B$2:$B$37,Phone_by_Sentiment!J$2:J$37,"",0,1)),_xlfn.XLOOKUP($C1394,Phone_by_Sentiment!$B$2:$B$37,Phone_by_Sentiment!J$2:J$37,"",0,1),0),$A1394-TEXT(DATEVALUE($D1394&amp;"-01"), "dd-mm-yyyy")),0),0)</f>
        <v>72</v>
      </c>
      <c r="K1394" cm="1">
        <f t="array" ref="K1394">IF($Q1394&gt;=0,IFERROR(generateSalesData($D1394, IF(ISNUMBER(_xlfn.XLOOKUP($C1394,Phone_by_Sentiment!$B$2:$B$37,Phone_by_Sentiment!K$2:K$37,"",0,1)),_xlfn.XLOOKUP($C1394,Phone_by_Sentiment!$B$2:$B$37,Phone_by_Sentiment!K$2:K$37,"",0,1),0),$A1394-TEXT(DATEVALUE($D1394&amp;"-01"), "dd-mm-yyyy")),0),0)</f>
        <v>597</v>
      </c>
      <c r="L1394" cm="1">
        <f t="array" ref="L1394">IF($Q1394&gt;=0,IFERROR(generateSalesData($D1394, IF(ISNUMBER(_xlfn.XLOOKUP($C1394,Phone_by_Sentiment!$B$2:$B$37,Phone_by_Sentiment!L$2:L$37,"",0,1)),_xlfn.XLOOKUP($C1394,Phone_by_Sentiment!$B$2:$B$37,Phone_by_Sentiment!L$2:L$37,"",0,1),0),$A1394-TEXT(DATEVALUE($D1394&amp;"-01"), "dd-mm-yyyy")),0),0)</f>
        <v>128</v>
      </c>
      <c r="M1394" cm="1">
        <f t="array" ref="M1394">IF($Q1394&gt;=0,IFERROR(generateSalesData($D1394, IF(ISNUMBER(_xlfn.XLOOKUP($C1394,Phone_by_Sentiment!$B$2:$B$37,Phone_by_Sentiment!M$2:M$37,"",0,1)),_xlfn.XLOOKUP($C1394,Phone_by_Sentiment!$B$2:$B$37,Phone_by_Sentiment!M$2:M$37,"",0,1),0),$A1394-TEXT(DATEVALUE($D1394&amp;"-01"), "dd-mm-yyyy")),0),0)</f>
        <v>496</v>
      </c>
      <c r="N1394" cm="1">
        <f t="array" ref="N1394">IF($Q1394&gt;=0,IFERROR(generateSalesData($D1394, IF(ISNUMBER(_xlfn.XLOOKUP($C1394,Phone_by_Sentiment!$B$2:$B$37,Phone_by_Sentiment!N$2:N$37,"",0,1)),_xlfn.XLOOKUP($C1394,Phone_by_Sentiment!$B$2:$B$37,Phone_by_Sentiment!N$2:N$37,"",0,1),0),$A1394-TEXT(DATEVALUE($D1394&amp;"-01"), "dd-mm-yyyy")),0),0)</f>
        <v>120</v>
      </c>
      <c r="O1394" cm="1">
        <f t="array" ref="O1394">IF($Q1394&gt;=0,IFERROR(generateSalesData($D1394, IF(ISNUMBER(_xlfn.XLOOKUP($C1394,Phone_by_Sentiment!$B$2:$B$37,Phone_by_Sentiment!O$2:O$37,"",0,1)),_xlfn.XLOOKUP($C1394,Phone_by_Sentiment!$B$2:$B$37,Phone_by_Sentiment!O$2:O$37,"",0,1),0),$A1394-TEXT(DATEVALUE($D1394&amp;"-01"), "dd-mm-yyyy")),0),0)</f>
        <v>345</v>
      </c>
      <c r="P1394" s="1">
        <f t="shared" si="51"/>
        <v>44044</v>
      </c>
      <c r="Q1394">
        <f t="shared" si="55"/>
        <v>608</v>
      </c>
    </row>
    <row r="1395" spans="1:17" x14ac:dyDescent="0.25">
      <c r="A1395" s="1">
        <f t="shared" si="54"/>
        <v>44652</v>
      </c>
      <c r="B1395" t="s">
        <v>173</v>
      </c>
      <c r="C1395" t="str">
        <f>_xlfn.XLOOKUP(B1395,Phone_by_Price!$A$2:$A$34,Phone_by_Price!$B$2:$B$34,"-",0,1)</f>
        <v>Realme C3</v>
      </c>
      <c r="D1395" t="str">
        <f>_xlfn.XLOOKUP(C1395,Phone_by_Sentiment!$B$2:$B$37,Phone_by_Sentiment!$A$2:$A$37,"-",0,1)</f>
        <v>2020-02</v>
      </c>
      <c r="E1395" cm="1">
        <f t="array" ref="E1395">IF($Q1395&gt;=0,IFERROR(generateSalesData($D1395, IF(ISNUMBER(_xlfn.XLOOKUP($C1395,Phone_by_Sentiment!$B$2:$B$37,Phone_by_Sentiment!E$2:E$37,"",0,1)),_xlfn.XLOOKUP($C1395,Phone_by_Sentiment!$B$2:$B$37,Phone_by_Sentiment!E$2:E$37,"",0,1),0),$A1395-TEXT(DATEVALUE($D1395&amp;"-01"), "dd-mm-yyyy")),0),0)</f>
        <v>45</v>
      </c>
      <c r="F1395" cm="1">
        <f t="array" ref="F1395">IF($Q1395&gt;=0,IFERROR(generateSalesData($D1395, IF(ISNUMBER(_xlfn.XLOOKUP($C1395,Phone_by_Sentiment!$B$2:$B$37,Phone_by_Sentiment!F$2:F$37,"",0,1)),_xlfn.XLOOKUP($C1395,Phone_by_Sentiment!$B$2:$B$37,Phone_by_Sentiment!F$2:F$37,"",0,1),0),$A1395-TEXT(DATEVALUE($D1395&amp;"-01"), "dd-mm-yyyy")),0),0)</f>
        <v>35</v>
      </c>
      <c r="G1395" cm="1">
        <f t="array" ref="G1395">IF($Q1395&gt;=0,IFERROR(generateSalesData($D1395, IF(ISNUMBER(_xlfn.XLOOKUP($C1395,Phone_by_Sentiment!$B$2:$B$37,Phone_by_Sentiment!G$2:G$37,"",0,1)),_xlfn.XLOOKUP($C1395,Phone_by_Sentiment!$B$2:$B$37,Phone_by_Sentiment!G$2:G$37,"",0,1),0),$A1395-TEXT(DATEVALUE($D1395&amp;"-01"), "dd-mm-yyyy")),0),0)</f>
        <v>100</v>
      </c>
      <c r="H1395" cm="1">
        <f t="array" ref="H1395">IF($Q1395&gt;=0,IFERROR(generateSalesData($D1395, IF(ISNUMBER(_xlfn.XLOOKUP($C1395,Phone_by_Sentiment!$B$2:$B$37,Phone_by_Sentiment!H$2:H$37,"",0,1)),_xlfn.XLOOKUP($C1395,Phone_by_Sentiment!$B$2:$B$37,Phone_by_Sentiment!H$2:H$37,"",0,1),0),$A1395-TEXT(DATEVALUE($D1395&amp;"-01"), "dd-mm-yyyy")),0),0)</f>
        <v>170</v>
      </c>
      <c r="I1395" cm="1">
        <f t="array" ref="I1395">IF($Q1395&gt;=0,IFERROR(generateSalesData($D1395, IF(ISNUMBER(_xlfn.XLOOKUP($C1395,Phone_by_Sentiment!$B$2:$B$37,Phone_by_Sentiment!I$2:I$37,"",0,1)),_xlfn.XLOOKUP($C1395,Phone_by_Sentiment!$B$2:$B$37,Phone_by_Sentiment!I$2:I$37,"",0,1),0),$A1395-TEXT(DATEVALUE($D1395&amp;"-01"), "dd-mm-yyyy")),0),0)</f>
        <v>259</v>
      </c>
      <c r="J1395" cm="1">
        <f t="array" ref="J1395">IF($Q1395&gt;=0,IFERROR(generateSalesData($D1395, IF(ISNUMBER(_xlfn.XLOOKUP($C1395,Phone_by_Sentiment!$B$2:$B$37,Phone_by_Sentiment!J$2:J$37,"",0,1)),_xlfn.XLOOKUP($C1395,Phone_by_Sentiment!$B$2:$B$37,Phone_by_Sentiment!J$2:J$37,"",0,1),0),$A1395-TEXT(DATEVALUE($D1395&amp;"-01"), "dd-mm-yyyy")),0),0)</f>
        <v>44</v>
      </c>
      <c r="K1395" cm="1">
        <f t="array" ref="K1395">IF($Q1395&gt;=0,IFERROR(generateSalesData($D1395, IF(ISNUMBER(_xlfn.XLOOKUP($C1395,Phone_by_Sentiment!$B$2:$B$37,Phone_by_Sentiment!K$2:K$37,"",0,1)),_xlfn.XLOOKUP($C1395,Phone_by_Sentiment!$B$2:$B$37,Phone_by_Sentiment!K$2:K$37,"",0,1),0),$A1395-TEXT(DATEVALUE($D1395&amp;"-01"), "dd-mm-yyyy")),0),0)</f>
        <v>211</v>
      </c>
      <c r="L1395" cm="1">
        <f t="array" ref="L1395">IF($Q1395&gt;=0,IFERROR(generateSalesData($D1395, IF(ISNUMBER(_xlfn.XLOOKUP($C1395,Phone_by_Sentiment!$B$2:$B$37,Phone_by_Sentiment!L$2:L$37,"",0,1)),_xlfn.XLOOKUP($C1395,Phone_by_Sentiment!$B$2:$B$37,Phone_by_Sentiment!L$2:L$37,"",0,1),0),$A1395-TEXT(DATEVALUE($D1395&amp;"-01"), "dd-mm-yyyy")),0),0)</f>
        <v>311</v>
      </c>
      <c r="M1395" cm="1">
        <f t="array" ref="M1395">IF($Q1395&gt;=0,IFERROR(generateSalesData($D1395, IF(ISNUMBER(_xlfn.XLOOKUP($C1395,Phone_by_Sentiment!$B$2:$B$37,Phone_by_Sentiment!M$2:M$37,"",0,1)),_xlfn.XLOOKUP($C1395,Phone_by_Sentiment!$B$2:$B$37,Phone_by_Sentiment!M$2:M$37,"",0,1),0),$A1395-TEXT(DATEVALUE($D1395&amp;"-01"), "dd-mm-yyyy")),0),0)</f>
        <v>103</v>
      </c>
      <c r="N1395" cm="1">
        <f t="array" ref="N1395">IF($Q1395&gt;=0,IFERROR(generateSalesData($D1395, IF(ISNUMBER(_xlfn.XLOOKUP($C1395,Phone_by_Sentiment!$B$2:$B$37,Phone_by_Sentiment!N$2:N$37,"",0,1)),_xlfn.XLOOKUP($C1395,Phone_by_Sentiment!$B$2:$B$37,Phone_by_Sentiment!N$2:N$37,"",0,1),0),$A1395-TEXT(DATEVALUE($D1395&amp;"-01"), "dd-mm-yyyy")),0),0)</f>
        <v>553</v>
      </c>
      <c r="O1395" cm="1">
        <f t="array" ref="O1395">IF($Q1395&gt;=0,IFERROR(generateSalesData($D1395, IF(ISNUMBER(_xlfn.XLOOKUP($C1395,Phone_by_Sentiment!$B$2:$B$37,Phone_by_Sentiment!O$2:O$37,"",0,1)),_xlfn.XLOOKUP($C1395,Phone_by_Sentiment!$B$2:$B$37,Phone_by_Sentiment!O$2:O$37,"",0,1),0),$A1395-TEXT(DATEVALUE($D1395&amp;"-01"), "dd-mm-yyyy")),0),0)</f>
        <v>49</v>
      </c>
      <c r="P1395" s="1">
        <f t="shared" si="51"/>
        <v>43862</v>
      </c>
      <c r="Q1395">
        <f t="shared" si="55"/>
        <v>790</v>
      </c>
    </row>
    <row r="1396" spans="1:17" x14ac:dyDescent="0.25">
      <c r="A1396" s="1">
        <f t="shared" si="54"/>
        <v>44652</v>
      </c>
      <c r="B1396" t="s">
        <v>174</v>
      </c>
      <c r="C1396" t="str">
        <f>_xlfn.XLOOKUP(B1396,Phone_by_Price!$A$2:$A$34,Phone_by_Price!$B$2:$B$34,"-",0,1)</f>
        <v>Samsung Galaxy A7</v>
      </c>
      <c r="D1396" t="str">
        <f>_xlfn.XLOOKUP(C1396,Phone_by_Sentiment!$B$2:$B$37,Phone_by_Sentiment!$A$2:$A$37,"-",0,1)</f>
        <v>2018-10</v>
      </c>
      <c r="E1396" cm="1">
        <f t="array" ref="E1396">IF($Q1396&gt;=0,IFERROR(generateSalesData($D1396, IF(ISNUMBER(_xlfn.XLOOKUP($C1396,Phone_by_Sentiment!$B$2:$B$37,Phone_by_Sentiment!E$2:E$37,"",0,1)),_xlfn.XLOOKUP($C1396,Phone_by_Sentiment!$B$2:$B$37,Phone_by_Sentiment!E$2:E$37,"",0,1),0),$A1396-TEXT(DATEVALUE($D1396&amp;"-01"), "dd-mm-yyyy")),0),0)</f>
        <v>80</v>
      </c>
      <c r="F1396" cm="1">
        <f t="array" ref="F1396">IF($Q1396&gt;=0,IFERROR(generateSalesData($D1396, IF(ISNUMBER(_xlfn.XLOOKUP($C1396,Phone_by_Sentiment!$B$2:$B$37,Phone_by_Sentiment!F$2:F$37,"",0,1)),_xlfn.XLOOKUP($C1396,Phone_by_Sentiment!$B$2:$B$37,Phone_by_Sentiment!F$2:F$37,"",0,1),0),$A1396-TEXT(DATEVALUE($D1396&amp;"-01"), "dd-mm-yyyy")),0),0)</f>
        <v>65</v>
      </c>
      <c r="G1396" cm="1">
        <f t="array" ref="G1396">IF($Q1396&gt;=0,IFERROR(generateSalesData($D1396, IF(ISNUMBER(_xlfn.XLOOKUP($C1396,Phone_by_Sentiment!$B$2:$B$37,Phone_by_Sentiment!G$2:G$37,"",0,1)),_xlfn.XLOOKUP($C1396,Phone_by_Sentiment!$B$2:$B$37,Phone_by_Sentiment!G$2:G$37,"",0,1),0),$A1396-TEXT(DATEVALUE($D1396&amp;"-01"), "dd-mm-yyyy")),0),0)</f>
        <v>19</v>
      </c>
      <c r="H1396" cm="1">
        <f t="array" ref="H1396">IF($Q1396&gt;=0,IFERROR(generateSalesData($D1396, IF(ISNUMBER(_xlfn.XLOOKUP($C1396,Phone_by_Sentiment!$B$2:$B$37,Phone_by_Sentiment!H$2:H$37,"",0,1)),_xlfn.XLOOKUP($C1396,Phone_by_Sentiment!$B$2:$B$37,Phone_by_Sentiment!H$2:H$37,"",0,1),0),$A1396-TEXT(DATEVALUE($D1396&amp;"-01"), "dd-mm-yyyy")),0),0)</f>
        <v>41</v>
      </c>
      <c r="I1396" cm="1">
        <f t="array" ref="I1396">IF($Q1396&gt;=0,IFERROR(generateSalesData($D1396, IF(ISNUMBER(_xlfn.XLOOKUP($C1396,Phone_by_Sentiment!$B$2:$B$37,Phone_by_Sentiment!I$2:I$37,"",0,1)),_xlfn.XLOOKUP($C1396,Phone_by_Sentiment!$B$2:$B$37,Phone_by_Sentiment!I$2:I$37,"",0,1),0),$A1396-TEXT(DATEVALUE($D1396&amp;"-01"), "dd-mm-yyyy")),0),0)</f>
        <v>195</v>
      </c>
      <c r="J1396" cm="1">
        <f t="array" ref="J1396">IF($Q1396&gt;=0,IFERROR(generateSalesData($D1396, IF(ISNUMBER(_xlfn.XLOOKUP($C1396,Phone_by_Sentiment!$B$2:$B$37,Phone_by_Sentiment!J$2:J$37,"",0,1)),_xlfn.XLOOKUP($C1396,Phone_by_Sentiment!$B$2:$B$37,Phone_by_Sentiment!J$2:J$37,"",0,1),0),$A1396-TEXT(DATEVALUE($D1396&amp;"-01"), "dd-mm-yyyy")),0),0)</f>
        <v>53</v>
      </c>
      <c r="K1396" cm="1">
        <f t="array" ref="K1396">IF($Q1396&gt;=0,IFERROR(generateSalesData($D1396, IF(ISNUMBER(_xlfn.XLOOKUP($C1396,Phone_by_Sentiment!$B$2:$B$37,Phone_by_Sentiment!K$2:K$37,"",0,1)),_xlfn.XLOOKUP($C1396,Phone_by_Sentiment!$B$2:$B$37,Phone_by_Sentiment!K$2:K$37,"",0,1),0),$A1396-TEXT(DATEVALUE($D1396&amp;"-01"), "dd-mm-yyyy")),0),0)</f>
        <v>32</v>
      </c>
      <c r="L1396" cm="1">
        <f t="array" ref="L1396">IF($Q1396&gt;=0,IFERROR(generateSalesData($D1396, IF(ISNUMBER(_xlfn.XLOOKUP($C1396,Phone_by_Sentiment!$B$2:$B$37,Phone_by_Sentiment!L$2:L$37,"",0,1)),_xlfn.XLOOKUP($C1396,Phone_by_Sentiment!$B$2:$B$37,Phone_by_Sentiment!L$2:L$37,"",0,1),0),$A1396-TEXT(DATEVALUE($D1396&amp;"-01"), "dd-mm-yyyy")),0),0)</f>
        <v>37</v>
      </c>
      <c r="M1396" cm="1">
        <f t="array" ref="M1396">IF($Q1396&gt;=0,IFERROR(generateSalesData($D1396, IF(ISNUMBER(_xlfn.XLOOKUP($C1396,Phone_by_Sentiment!$B$2:$B$37,Phone_by_Sentiment!M$2:M$37,"",0,1)),_xlfn.XLOOKUP($C1396,Phone_by_Sentiment!$B$2:$B$37,Phone_by_Sentiment!M$2:M$37,"",0,1),0),$A1396-TEXT(DATEVALUE($D1396&amp;"-01"), "dd-mm-yyyy")),0),0)</f>
        <v>151</v>
      </c>
      <c r="N1396" cm="1">
        <f t="array" ref="N1396">IF($Q1396&gt;=0,IFERROR(generateSalesData($D1396, IF(ISNUMBER(_xlfn.XLOOKUP($C1396,Phone_by_Sentiment!$B$2:$B$37,Phone_by_Sentiment!N$2:N$37,"",0,1)),_xlfn.XLOOKUP($C1396,Phone_by_Sentiment!$B$2:$B$37,Phone_by_Sentiment!N$2:N$37,"",0,1),0),$A1396-TEXT(DATEVALUE($D1396&amp;"-01"), "dd-mm-yyyy")),0),0)</f>
        <v>218</v>
      </c>
      <c r="O1396" cm="1">
        <f t="array" ref="O1396">IF($Q1396&gt;=0,IFERROR(generateSalesData($D1396, IF(ISNUMBER(_xlfn.XLOOKUP($C1396,Phone_by_Sentiment!$B$2:$B$37,Phone_by_Sentiment!O$2:O$37,"",0,1)),_xlfn.XLOOKUP($C1396,Phone_by_Sentiment!$B$2:$B$37,Phone_by_Sentiment!O$2:O$37,"",0,1),0),$A1396-TEXT(DATEVALUE($D1396&amp;"-01"), "dd-mm-yyyy")),0),0)</f>
        <v>215</v>
      </c>
      <c r="P1396" s="1">
        <f t="shared" si="51"/>
        <v>43374</v>
      </c>
      <c r="Q1396">
        <f t="shared" si="55"/>
        <v>1278</v>
      </c>
    </row>
    <row r="1397" spans="1:17" x14ac:dyDescent="0.25">
      <c r="A1397" s="1">
        <f t="shared" si="54"/>
        <v>44652</v>
      </c>
      <c r="B1397" t="s">
        <v>142</v>
      </c>
      <c r="C1397" t="str">
        <f>_xlfn.XLOOKUP(B1397,Phone_by_Price!$A$2:$A$34,Phone_by_Price!$B$2:$B$34,"-",0,1)</f>
        <v>iPhone 11</v>
      </c>
      <c r="D1397" t="str">
        <f>_xlfn.XLOOKUP(C1397,Phone_by_Sentiment!$B$2:$B$37,Phone_by_Sentiment!$A$2:$A$37,"-",0,1)</f>
        <v>2019-09</v>
      </c>
      <c r="E1397" cm="1">
        <f t="array" ref="E1397">IF($Q1397&gt;=0,IFERROR(generateSalesData($D1397, IF(ISNUMBER(_xlfn.XLOOKUP($C1397,Phone_by_Sentiment!$B$2:$B$37,Phone_by_Sentiment!E$2:E$37,"",0,1)),_xlfn.XLOOKUP($C1397,Phone_by_Sentiment!$B$2:$B$37,Phone_by_Sentiment!E$2:E$37,"",0,1),0),$A1397-TEXT(DATEVALUE($D1397&amp;"-01"), "dd-mm-yyyy")),0),0)</f>
        <v>421</v>
      </c>
      <c r="F1397" cm="1">
        <f t="array" ref="F1397">IF($Q1397&gt;=0,IFERROR(generateSalesData($D1397, IF(ISNUMBER(_xlfn.XLOOKUP($C1397,Phone_by_Sentiment!$B$2:$B$37,Phone_by_Sentiment!F$2:F$37,"",0,1)),_xlfn.XLOOKUP($C1397,Phone_by_Sentiment!$B$2:$B$37,Phone_by_Sentiment!F$2:F$37,"",0,1),0),$A1397-TEXT(DATEVALUE($D1397&amp;"-01"), "dd-mm-yyyy")),0),0)</f>
        <v>118</v>
      </c>
      <c r="G1397" cm="1">
        <f t="array" ref="G1397">IF($Q1397&gt;=0,IFERROR(generateSalesData($D1397, IF(ISNUMBER(_xlfn.XLOOKUP($C1397,Phone_by_Sentiment!$B$2:$B$37,Phone_by_Sentiment!G$2:G$37,"",0,1)),_xlfn.XLOOKUP($C1397,Phone_by_Sentiment!$B$2:$B$37,Phone_by_Sentiment!G$2:G$37,"",0,1),0),$A1397-TEXT(DATEVALUE($D1397&amp;"-01"), "dd-mm-yyyy")),0),0)</f>
        <v>45</v>
      </c>
      <c r="H1397" cm="1">
        <f t="array" ref="H1397">IF($Q1397&gt;=0,IFERROR(generateSalesData($D1397, IF(ISNUMBER(_xlfn.XLOOKUP($C1397,Phone_by_Sentiment!$B$2:$B$37,Phone_by_Sentiment!H$2:H$37,"",0,1)),_xlfn.XLOOKUP($C1397,Phone_by_Sentiment!$B$2:$B$37,Phone_by_Sentiment!H$2:H$37,"",0,1),0),$A1397-TEXT(DATEVALUE($D1397&amp;"-01"), "dd-mm-yyyy")),0),0)</f>
        <v>282</v>
      </c>
      <c r="I1397" cm="1">
        <f t="array" ref="I1397">IF($Q1397&gt;=0,IFERROR(generateSalesData($D1397, IF(ISNUMBER(_xlfn.XLOOKUP($C1397,Phone_by_Sentiment!$B$2:$B$37,Phone_by_Sentiment!I$2:I$37,"",0,1)),_xlfn.XLOOKUP($C1397,Phone_by_Sentiment!$B$2:$B$37,Phone_by_Sentiment!I$2:I$37,"",0,1),0),$A1397-TEXT(DATEVALUE($D1397&amp;"-01"), "dd-mm-yyyy")),0),0)</f>
        <v>303</v>
      </c>
      <c r="J1397" cm="1">
        <f t="array" ref="J1397">IF($Q1397&gt;=0,IFERROR(generateSalesData($D1397, IF(ISNUMBER(_xlfn.XLOOKUP($C1397,Phone_by_Sentiment!$B$2:$B$37,Phone_by_Sentiment!J$2:J$37,"",0,1)),_xlfn.XLOOKUP($C1397,Phone_by_Sentiment!$B$2:$B$37,Phone_by_Sentiment!J$2:J$37,"",0,1),0),$A1397-TEXT(DATEVALUE($D1397&amp;"-01"), "dd-mm-yyyy")),0),0)</f>
        <v>106</v>
      </c>
      <c r="K1397" cm="1">
        <f t="array" ref="K1397">IF($Q1397&gt;=0,IFERROR(generateSalesData($D1397, IF(ISNUMBER(_xlfn.XLOOKUP($C1397,Phone_by_Sentiment!$B$2:$B$37,Phone_by_Sentiment!K$2:K$37,"",0,1)),_xlfn.XLOOKUP($C1397,Phone_by_Sentiment!$B$2:$B$37,Phone_by_Sentiment!K$2:K$37,"",0,1),0),$A1397-TEXT(DATEVALUE($D1397&amp;"-01"), "dd-mm-yyyy")),0),0)</f>
        <v>122</v>
      </c>
      <c r="L1397" cm="1">
        <f t="array" ref="L1397">IF($Q1397&gt;=0,IFERROR(generateSalesData($D1397, IF(ISNUMBER(_xlfn.XLOOKUP($C1397,Phone_by_Sentiment!$B$2:$B$37,Phone_by_Sentiment!L$2:L$37,"",0,1)),_xlfn.XLOOKUP($C1397,Phone_by_Sentiment!$B$2:$B$37,Phone_by_Sentiment!L$2:L$37,"",0,1),0),$A1397-TEXT(DATEVALUE($D1397&amp;"-01"), "dd-mm-yyyy")),0),0)</f>
        <v>565</v>
      </c>
      <c r="M1397" cm="1">
        <f t="array" ref="M1397">IF($Q1397&gt;=0,IFERROR(generateSalesData($D1397, IF(ISNUMBER(_xlfn.XLOOKUP($C1397,Phone_by_Sentiment!$B$2:$B$37,Phone_by_Sentiment!M$2:M$37,"",0,1)),_xlfn.XLOOKUP($C1397,Phone_by_Sentiment!$B$2:$B$37,Phone_by_Sentiment!M$2:M$37,"",0,1),0),$A1397-TEXT(DATEVALUE($D1397&amp;"-01"), "dd-mm-yyyy")),0),0)</f>
        <v>136</v>
      </c>
      <c r="N1397" cm="1">
        <f t="array" ref="N1397">IF($Q1397&gt;=0,IFERROR(generateSalesData($D1397, IF(ISNUMBER(_xlfn.XLOOKUP($C1397,Phone_by_Sentiment!$B$2:$B$37,Phone_by_Sentiment!N$2:N$37,"",0,1)),_xlfn.XLOOKUP($C1397,Phone_by_Sentiment!$B$2:$B$37,Phone_by_Sentiment!N$2:N$37,"",0,1),0),$A1397-TEXT(DATEVALUE($D1397&amp;"-01"), "dd-mm-yyyy")),0),0)</f>
        <v>-4</v>
      </c>
      <c r="O1397" cm="1">
        <f t="array" ref="O1397">IF($Q1397&gt;=0,IFERROR(generateSalesData($D1397, IF(ISNUMBER(_xlfn.XLOOKUP($C1397,Phone_by_Sentiment!$B$2:$B$37,Phone_by_Sentiment!O$2:O$37,"",0,1)),_xlfn.XLOOKUP($C1397,Phone_by_Sentiment!$B$2:$B$37,Phone_by_Sentiment!O$2:O$37,"",0,1),0),$A1397-TEXT(DATEVALUE($D1397&amp;"-01"), "dd-mm-yyyy")),0),0)</f>
        <v>37</v>
      </c>
      <c r="P1397" s="1">
        <f t="shared" si="51"/>
        <v>43709</v>
      </c>
      <c r="Q1397">
        <f t="shared" si="55"/>
        <v>943</v>
      </c>
    </row>
    <row r="1398" spans="1:17" x14ac:dyDescent="0.25">
      <c r="A1398" s="1">
        <f t="shared" si="54"/>
        <v>44652</v>
      </c>
      <c r="B1398" t="s">
        <v>143</v>
      </c>
      <c r="C1398" t="str">
        <f>_xlfn.XLOOKUP(B1398,Phone_by_Price!$A$2:$A$34,Phone_by_Price!$B$2:$B$34,"-",0,1)</f>
        <v>Samsung Galaxy S20 Ultra</v>
      </c>
      <c r="D1398" t="str">
        <f>_xlfn.XLOOKUP(C1398,Phone_by_Sentiment!$B$2:$B$37,Phone_by_Sentiment!$A$2:$A$37,"-",0,1)</f>
        <v>2020-02</v>
      </c>
      <c r="E1398" cm="1">
        <f t="array" ref="E1398">IF($Q1398&gt;=0,IFERROR(generateSalesData($D1398, IF(ISNUMBER(_xlfn.XLOOKUP($C1398,Phone_by_Sentiment!$B$2:$B$37,Phone_by_Sentiment!E$2:E$37,"",0,1)),_xlfn.XLOOKUP($C1398,Phone_by_Sentiment!$B$2:$B$37,Phone_by_Sentiment!E$2:E$37,"",0,1),0),$A1398-TEXT(DATEVALUE($D1398&amp;"-01"), "dd-mm-yyyy")),0),0)</f>
        <v>255</v>
      </c>
      <c r="F1398" cm="1">
        <f t="array" ref="F1398">IF($Q1398&gt;=0,IFERROR(generateSalesData($D1398, IF(ISNUMBER(_xlfn.XLOOKUP($C1398,Phone_by_Sentiment!$B$2:$B$37,Phone_by_Sentiment!F$2:F$37,"",0,1)),_xlfn.XLOOKUP($C1398,Phone_by_Sentiment!$B$2:$B$37,Phone_by_Sentiment!F$2:F$37,"",0,1),0),$A1398-TEXT(DATEVALUE($D1398&amp;"-01"), "dd-mm-yyyy")),0),0)</f>
        <v>77</v>
      </c>
      <c r="G1398" cm="1">
        <f t="array" ref="G1398">IF($Q1398&gt;=0,IFERROR(generateSalesData($D1398, IF(ISNUMBER(_xlfn.XLOOKUP($C1398,Phone_by_Sentiment!$B$2:$B$37,Phone_by_Sentiment!G$2:G$37,"",0,1)),_xlfn.XLOOKUP($C1398,Phone_by_Sentiment!$B$2:$B$37,Phone_by_Sentiment!G$2:G$37,"",0,1),0),$A1398-TEXT(DATEVALUE($D1398&amp;"-01"), "dd-mm-yyyy")),0),0)</f>
        <v>125</v>
      </c>
      <c r="H1398" cm="1">
        <f t="array" ref="H1398">IF($Q1398&gt;=0,IFERROR(generateSalesData($D1398, IF(ISNUMBER(_xlfn.XLOOKUP($C1398,Phone_by_Sentiment!$B$2:$B$37,Phone_by_Sentiment!H$2:H$37,"",0,1)),_xlfn.XLOOKUP($C1398,Phone_by_Sentiment!$B$2:$B$37,Phone_by_Sentiment!H$2:H$37,"",0,1),0),$A1398-TEXT(DATEVALUE($D1398&amp;"-01"), "dd-mm-yyyy")),0),0)</f>
        <v>275</v>
      </c>
      <c r="I1398" cm="1">
        <f t="array" ref="I1398">IF($Q1398&gt;=0,IFERROR(generateSalesData($D1398, IF(ISNUMBER(_xlfn.XLOOKUP($C1398,Phone_by_Sentiment!$B$2:$B$37,Phone_by_Sentiment!I$2:I$37,"",0,1)),_xlfn.XLOOKUP($C1398,Phone_by_Sentiment!$B$2:$B$37,Phone_by_Sentiment!I$2:I$37,"",0,1),0),$A1398-TEXT(DATEVALUE($D1398&amp;"-01"), "dd-mm-yyyy")),0),0)</f>
        <v>467</v>
      </c>
      <c r="J1398" cm="1">
        <f t="array" ref="J1398">IF($Q1398&gt;=0,IFERROR(generateSalesData($D1398, IF(ISNUMBER(_xlfn.XLOOKUP($C1398,Phone_by_Sentiment!$B$2:$B$37,Phone_by_Sentiment!J$2:J$37,"",0,1)),_xlfn.XLOOKUP($C1398,Phone_by_Sentiment!$B$2:$B$37,Phone_by_Sentiment!J$2:J$37,"",0,1),0),$A1398-TEXT(DATEVALUE($D1398&amp;"-01"), "dd-mm-yyyy")),0),0)</f>
        <v>258</v>
      </c>
      <c r="K1398" cm="1">
        <f t="array" ref="K1398">IF($Q1398&gt;=0,IFERROR(generateSalesData($D1398, IF(ISNUMBER(_xlfn.XLOOKUP($C1398,Phone_by_Sentiment!$B$2:$B$37,Phone_by_Sentiment!K$2:K$37,"",0,1)),_xlfn.XLOOKUP($C1398,Phone_by_Sentiment!$B$2:$B$37,Phone_by_Sentiment!K$2:K$37,"",0,1),0),$A1398-TEXT(DATEVALUE($D1398&amp;"-01"), "dd-mm-yyyy")),0),0)</f>
        <v>131</v>
      </c>
      <c r="L1398" cm="1">
        <f t="array" ref="L1398">IF($Q1398&gt;=0,IFERROR(generateSalesData($D1398, IF(ISNUMBER(_xlfn.XLOOKUP($C1398,Phone_by_Sentiment!$B$2:$B$37,Phone_by_Sentiment!L$2:L$37,"",0,1)),_xlfn.XLOOKUP($C1398,Phone_by_Sentiment!$B$2:$B$37,Phone_by_Sentiment!L$2:L$37,"",0,1),0),$A1398-TEXT(DATEVALUE($D1398&amp;"-01"), "dd-mm-yyyy")),0),0)</f>
        <v>10</v>
      </c>
      <c r="M1398" cm="1">
        <f t="array" ref="M1398">IF($Q1398&gt;=0,IFERROR(generateSalesData($D1398, IF(ISNUMBER(_xlfn.XLOOKUP($C1398,Phone_by_Sentiment!$B$2:$B$37,Phone_by_Sentiment!M$2:M$37,"",0,1)),_xlfn.XLOOKUP($C1398,Phone_by_Sentiment!$B$2:$B$37,Phone_by_Sentiment!M$2:M$37,"",0,1),0),$A1398-TEXT(DATEVALUE($D1398&amp;"-01"), "dd-mm-yyyy")),0),0)</f>
        <v>334</v>
      </c>
      <c r="N1398" cm="1">
        <f t="array" ref="N1398">IF($Q1398&gt;=0,IFERROR(generateSalesData($D1398, IF(ISNUMBER(_xlfn.XLOOKUP($C1398,Phone_by_Sentiment!$B$2:$B$37,Phone_by_Sentiment!N$2:N$37,"",0,1)),_xlfn.XLOOKUP($C1398,Phone_by_Sentiment!$B$2:$B$37,Phone_by_Sentiment!N$2:N$37,"",0,1),0),$A1398-TEXT(DATEVALUE($D1398&amp;"-01"), "dd-mm-yyyy")),0),0)</f>
        <v>316</v>
      </c>
      <c r="O1398" cm="1">
        <f t="array" ref="O1398">IF($Q1398&gt;=0,IFERROR(generateSalesData($D1398, IF(ISNUMBER(_xlfn.XLOOKUP($C1398,Phone_by_Sentiment!$B$2:$B$37,Phone_by_Sentiment!O$2:O$37,"",0,1)),_xlfn.XLOOKUP($C1398,Phone_by_Sentiment!$B$2:$B$37,Phone_by_Sentiment!O$2:O$37,"",0,1),0),$A1398-TEXT(DATEVALUE($D1398&amp;"-01"), "dd-mm-yyyy")),0),0)</f>
        <v>260</v>
      </c>
      <c r="P1398" s="1">
        <f t="shared" si="51"/>
        <v>43862</v>
      </c>
      <c r="Q1398">
        <f t="shared" si="55"/>
        <v>790</v>
      </c>
    </row>
    <row r="1399" spans="1:17" x14ac:dyDescent="0.25">
      <c r="A1399" s="1">
        <f t="shared" si="54"/>
        <v>44652</v>
      </c>
      <c r="B1399" t="s">
        <v>144</v>
      </c>
      <c r="C1399" t="str">
        <f>_xlfn.XLOOKUP(B1399,Phone_by_Price!$A$2:$A$34,Phone_by_Price!$B$2:$B$34,"-",0,1)</f>
        <v>Xiaomi Redmi Note 10</v>
      </c>
      <c r="D1399" t="str">
        <f>_xlfn.XLOOKUP(C1399,Phone_by_Sentiment!$B$2:$B$37,Phone_by_Sentiment!$A$2:$A$37,"-",0,1)</f>
        <v>2021-03</v>
      </c>
      <c r="E1399" cm="1">
        <f t="array" ref="E1399">IF($Q1399&gt;=0,IFERROR(generateSalesData($D1399, IF(ISNUMBER(_xlfn.XLOOKUP($C1399,Phone_by_Sentiment!$B$2:$B$37,Phone_by_Sentiment!E$2:E$37,"",0,1)),_xlfn.XLOOKUP($C1399,Phone_by_Sentiment!$B$2:$B$37,Phone_by_Sentiment!E$2:E$37,"",0,1),0),$A1399-TEXT(DATEVALUE($D1399&amp;"-01"), "dd-mm-yyyy")),0),0)</f>
        <v>687</v>
      </c>
      <c r="F1399" cm="1">
        <f t="array" ref="F1399">IF($Q1399&gt;=0,IFERROR(generateSalesData($D1399, IF(ISNUMBER(_xlfn.XLOOKUP($C1399,Phone_by_Sentiment!$B$2:$B$37,Phone_by_Sentiment!F$2:F$37,"",0,1)),_xlfn.XLOOKUP($C1399,Phone_by_Sentiment!$B$2:$B$37,Phone_by_Sentiment!F$2:F$37,"",0,1),0),$A1399-TEXT(DATEVALUE($D1399&amp;"-01"), "dd-mm-yyyy")),0),0)</f>
        <v>67</v>
      </c>
      <c r="G1399" cm="1">
        <f t="array" ref="G1399">IF($Q1399&gt;=0,IFERROR(generateSalesData($D1399, IF(ISNUMBER(_xlfn.XLOOKUP($C1399,Phone_by_Sentiment!$B$2:$B$37,Phone_by_Sentiment!G$2:G$37,"",0,1)),_xlfn.XLOOKUP($C1399,Phone_by_Sentiment!$B$2:$B$37,Phone_by_Sentiment!G$2:G$37,"",0,1),0),$A1399-TEXT(DATEVALUE($D1399&amp;"-01"), "dd-mm-yyyy")),0),0)</f>
        <v>91</v>
      </c>
      <c r="H1399" cm="1">
        <f t="array" ref="H1399">IF($Q1399&gt;=0,IFERROR(generateSalesData($D1399, IF(ISNUMBER(_xlfn.XLOOKUP($C1399,Phone_by_Sentiment!$B$2:$B$37,Phone_by_Sentiment!H$2:H$37,"",0,1)),_xlfn.XLOOKUP($C1399,Phone_by_Sentiment!$B$2:$B$37,Phone_by_Sentiment!H$2:H$37,"",0,1),0),$A1399-TEXT(DATEVALUE($D1399&amp;"-01"), "dd-mm-yyyy")),0),0)</f>
        <v>894</v>
      </c>
      <c r="I1399" cm="1">
        <f t="array" ref="I1399">IF($Q1399&gt;=0,IFERROR(generateSalesData($D1399, IF(ISNUMBER(_xlfn.XLOOKUP($C1399,Phone_by_Sentiment!$B$2:$B$37,Phone_by_Sentiment!I$2:I$37,"",0,1)),_xlfn.XLOOKUP($C1399,Phone_by_Sentiment!$B$2:$B$37,Phone_by_Sentiment!I$2:I$37,"",0,1),0),$A1399-TEXT(DATEVALUE($D1399&amp;"-01"), "dd-mm-yyyy")),0),0)</f>
        <v>692</v>
      </c>
      <c r="J1399" cm="1">
        <f t="array" ref="J1399">IF($Q1399&gt;=0,IFERROR(generateSalesData($D1399, IF(ISNUMBER(_xlfn.XLOOKUP($C1399,Phone_by_Sentiment!$B$2:$B$37,Phone_by_Sentiment!J$2:J$37,"",0,1)),_xlfn.XLOOKUP($C1399,Phone_by_Sentiment!$B$2:$B$37,Phone_by_Sentiment!J$2:J$37,"",0,1),0),$A1399-TEXT(DATEVALUE($D1399&amp;"-01"), "dd-mm-yyyy")),0),0)</f>
        <v>680</v>
      </c>
      <c r="K1399" cm="1">
        <f t="array" ref="K1399">IF($Q1399&gt;=0,IFERROR(generateSalesData($D1399, IF(ISNUMBER(_xlfn.XLOOKUP($C1399,Phone_by_Sentiment!$B$2:$B$37,Phone_by_Sentiment!K$2:K$37,"",0,1)),_xlfn.XLOOKUP($C1399,Phone_by_Sentiment!$B$2:$B$37,Phone_by_Sentiment!K$2:K$37,"",0,1),0),$A1399-TEXT(DATEVALUE($D1399&amp;"-01"), "dd-mm-yyyy")),0),0)</f>
        <v>749</v>
      </c>
      <c r="L1399" cm="1">
        <f t="array" ref="L1399">IF($Q1399&gt;=0,IFERROR(generateSalesData($D1399, IF(ISNUMBER(_xlfn.XLOOKUP($C1399,Phone_by_Sentiment!$B$2:$B$37,Phone_by_Sentiment!L$2:L$37,"",0,1)),_xlfn.XLOOKUP($C1399,Phone_by_Sentiment!$B$2:$B$37,Phone_by_Sentiment!L$2:L$37,"",0,1),0),$A1399-TEXT(DATEVALUE($D1399&amp;"-01"), "dd-mm-yyyy")),0),0)</f>
        <v>485</v>
      </c>
      <c r="M1399" cm="1">
        <f t="array" ref="M1399">IF($Q1399&gt;=0,IFERROR(generateSalesData($D1399, IF(ISNUMBER(_xlfn.XLOOKUP($C1399,Phone_by_Sentiment!$B$2:$B$37,Phone_by_Sentiment!M$2:M$37,"",0,1)),_xlfn.XLOOKUP($C1399,Phone_by_Sentiment!$B$2:$B$37,Phone_by_Sentiment!M$2:M$37,"",0,1),0),$A1399-TEXT(DATEVALUE($D1399&amp;"-01"), "dd-mm-yyyy")),0),0)</f>
        <v>75</v>
      </c>
      <c r="N1399" cm="1">
        <f t="array" ref="N1399">IF($Q1399&gt;=0,IFERROR(generateSalesData($D1399, IF(ISNUMBER(_xlfn.XLOOKUP($C1399,Phone_by_Sentiment!$B$2:$B$37,Phone_by_Sentiment!N$2:N$37,"",0,1)),_xlfn.XLOOKUP($C1399,Phone_by_Sentiment!$B$2:$B$37,Phone_by_Sentiment!N$2:N$37,"",0,1),0),$A1399-TEXT(DATEVALUE($D1399&amp;"-01"), "dd-mm-yyyy")),0),0)</f>
        <v>370</v>
      </c>
      <c r="O1399" cm="1">
        <f t="array" ref="O1399">IF($Q1399&gt;=0,IFERROR(generateSalesData($D1399, IF(ISNUMBER(_xlfn.XLOOKUP($C1399,Phone_by_Sentiment!$B$2:$B$37,Phone_by_Sentiment!O$2:O$37,"",0,1)),_xlfn.XLOOKUP($C1399,Phone_by_Sentiment!$B$2:$B$37,Phone_by_Sentiment!O$2:O$37,"",0,1),0),$A1399-TEXT(DATEVALUE($D1399&amp;"-01"), "dd-mm-yyyy")),0),0)</f>
        <v>410</v>
      </c>
      <c r="P1399" s="1">
        <f t="shared" si="51"/>
        <v>44256</v>
      </c>
      <c r="Q1399">
        <f t="shared" si="55"/>
        <v>396</v>
      </c>
    </row>
    <row r="1400" spans="1:17" x14ac:dyDescent="0.25">
      <c r="A1400" s="1">
        <f t="shared" si="54"/>
        <v>44652</v>
      </c>
      <c r="B1400" t="s">
        <v>145</v>
      </c>
      <c r="C1400" t="str">
        <f>_xlfn.XLOOKUP(B1400,Phone_by_Price!$A$2:$A$34,Phone_by_Price!$B$2:$B$34,"-",0,1)</f>
        <v>OPPO A54</v>
      </c>
      <c r="D1400" t="str">
        <f>_xlfn.XLOOKUP(C1400,Phone_by_Sentiment!$B$2:$B$37,Phone_by_Sentiment!$A$2:$A$37,"-",0,1)</f>
        <v>2021-04</v>
      </c>
      <c r="E1400" cm="1">
        <f t="array" ref="E1400">IF($Q1400&gt;=0,IFERROR(generateSalesData($D1400, IF(ISNUMBER(_xlfn.XLOOKUP($C1400,Phone_by_Sentiment!$B$2:$B$37,Phone_by_Sentiment!E$2:E$37,"",0,1)),_xlfn.XLOOKUP($C1400,Phone_by_Sentiment!$B$2:$B$37,Phone_by_Sentiment!E$2:E$37,"",0,1),0),$A1400-TEXT(DATEVALUE($D1400&amp;"-01"), "dd-mm-yyyy")),0),0)</f>
        <v>401</v>
      </c>
      <c r="F1400" cm="1">
        <f t="array" ref="F1400">IF($Q1400&gt;=0,IFERROR(generateSalesData($D1400, IF(ISNUMBER(_xlfn.XLOOKUP($C1400,Phone_by_Sentiment!$B$2:$B$37,Phone_by_Sentiment!F$2:F$37,"",0,1)),_xlfn.XLOOKUP($C1400,Phone_by_Sentiment!$B$2:$B$37,Phone_by_Sentiment!F$2:F$37,"",0,1),0),$A1400-TEXT(DATEVALUE($D1400&amp;"-01"), "dd-mm-yyyy")),0),0)</f>
        <v>264</v>
      </c>
      <c r="G1400" cm="1">
        <f t="array" ref="G1400">IF($Q1400&gt;=0,IFERROR(generateSalesData($D1400, IF(ISNUMBER(_xlfn.XLOOKUP($C1400,Phone_by_Sentiment!$B$2:$B$37,Phone_by_Sentiment!G$2:G$37,"",0,1)),_xlfn.XLOOKUP($C1400,Phone_by_Sentiment!$B$2:$B$37,Phone_by_Sentiment!G$2:G$37,"",0,1),0),$A1400-TEXT(DATEVALUE($D1400&amp;"-01"), "dd-mm-yyyy")),0),0)</f>
        <v>181</v>
      </c>
      <c r="H1400" cm="1">
        <f t="array" ref="H1400">IF($Q1400&gt;=0,IFERROR(generateSalesData($D1400, IF(ISNUMBER(_xlfn.XLOOKUP($C1400,Phone_by_Sentiment!$B$2:$B$37,Phone_by_Sentiment!H$2:H$37,"",0,1)),_xlfn.XLOOKUP($C1400,Phone_by_Sentiment!$B$2:$B$37,Phone_by_Sentiment!H$2:H$37,"",0,1),0),$A1400-TEXT(DATEVALUE($D1400&amp;"-01"), "dd-mm-yyyy")),0),0)</f>
        <v>480</v>
      </c>
      <c r="I1400" cm="1">
        <f t="array" ref="I1400">IF($Q1400&gt;=0,IFERROR(generateSalesData($D1400, IF(ISNUMBER(_xlfn.XLOOKUP($C1400,Phone_by_Sentiment!$B$2:$B$37,Phone_by_Sentiment!I$2:I$37,"",0,1)),_xlfn.XLOOKUP($C1400,Phone_by_Sentiment!$B$2:$B$37,Phone_by_Sentiment!I$2:I$37,"",0,1),0),$A1400-TEXT(DATEVALUE($D1400&amp;"-01"), "dd-mm-yyyy")),0),0)</f>
        <v>855</v>
      </c>
      <c r="J1400" cm="1">
        <f t="array" ref="J1400">IF($Q1400&gt;=0,IFERROR(generateSalesData($D1400, IF(ISNUMBER(_xlfn.XLOOKUP($C1400,Phone_by_Sentiment!$B$2:$B$37,Phone_by_Sentiment!J$2:J$37,"",0,1)),_xlfn.XLOOKUP($C1400,Phone_by_Sentiment!$B$2:$B$37,Phone_by_Sentiment!J$2:J$37,"",0,1),0),$A1400-TEXT(DATEVALUE($D1400&amp;"-01"), "dd-mm-yyyy")),0),0)</f>
        <v>181</v>
      </c>
      <c r="K1400" cm="1">
        <f t="array" ref="K1400">IF($Q1400&gt;=0,IFERROR(generateSalesData($D1400, IF(ISNUMBER(_xlfn.XLOOKUP($C1400,Phone_by_Sentiment!$B$2:$B$37,Phone_by_Sentiment!K$2:K$37,"",0,1)),_xlfn.XLOOKUP($C1400,Phone_by_Sentiment!$B$2:$B$37,Phone_by_Sentiment!K$2:K$37,"",0,1),0),$A1400-TEXT(DATEVALUE($D1400&amp;"-01"), "dd-mm-yyyy")),0),0)</f>
        <v>199</v>
      </c>
      <c r="L1400" cm="1">
        <f t="array" ref="L1400">IF($Q1400&gt;=0,IFERROR(generateSalesData($D1400, IF(ISNUMBER(_xlfn.XLOOKUP($C1400,Phone_by_Sentiment!$B$2:$B$37,Phone_by_Sentiment!L$2:L$37,"",0,1)),_xlfn.XLOOKUP($C1400,Phone_by_Sentiment!$B$2:$B$37,Phone_by_Sentiment!L$2:L$37,"",0,1),0),$A1400-TEXT(DATEVALUE($D1400&amp;"-01"), "dd-mm-yyyy")),0),0)</f>
        <v>192</v>
      </c>
      <c r="M1400" cm="1">
        <f t="array" ref="M1400">IF($Q1400&gt;=0,IFERROR(generateSalesData($D1400, IF(ISNUMBER(_xlfn.XLOOKUP($C1400,Phone_by_Sentiment!$B$2:$B$37,Phone_by_Sentiment!M$2:M$37,"",0,1)),_xlfn.XLOOKUP($C1400,Phone_by_Sentiment!$B$2:$B$37,Phone_by_Sentiment!M$2:M$37,"",0,1),0),$A1400-TEXT(DATEVALUE($D1400&amp;"-01"), "dd-mm-yyyy")),0),0)</f>
        <v>80</v>
      </c>
      <c r="N1400" cm="1">
        <f t="array" ref="N1400">IF($Q1400&gt;=0,IFERROR(generateSalesData($D1400, IF(ISNUMBER(_xlfn.XLOOKUP($C1400,Phone_by_Sentiment!$B$2:$B$37,Phone_by_Sentiment!N$2:N$37,"",0,1)),_xlfn.XLOOKUP($C1400,Phone_by_Sentiment!$B$2:$B$37,Phone_by_Sentiment!N$2:N$37,"",0,1),0),$A1400-TEXT(DATEVALUE($D1400&amp;"-01"), "dd-mm-yyyy")),0),0)</f>
        <v>398</v>
      </c>
      <c r="O1400" cm="1">
        <f t="array" ref="O1400">IF($Q1400&gt;=0,IFERROR(generateSalesData($D1400, IF(ISNUMBER(_xlfn.XLOOKUP($C1400,Phone_by_Sentiment!$B$2:$B$37,Phone_by_Sentiment!O$2:O$37,"",0,1)),_xlfn.XLOOKUP($C1400,Phone_by_Sentiment!$B$2:$B$37,Phone_by_Sentiment!O$2:O$37,"",0,1),0),$A1400-TEXT(DATEVALUE($D1400&amp;"-01"), "dd-mm-yyyy")),0),0)</f>
        <v>61</v>
      </c>
      <c r="P1400" s="1">
        <f t="shared" si="51"/>
        <v>44287</v>
      </c>
      <c r="Q1400">
        <f t="shared" si="55"/>
        <v>365</v>
      </c>
    </row>
    <row r="1401" spans="1:17" x14ac:dyDescent="0.25">
      <c r="A1401" s="1">
        <f t="shared" si="54"/>
        <v>44682</v>
      </c>
      <c r="B1401" t="s">
        <v>144</v>
      </c>
      <c r="C1401" t="str">
        <f>_xlfn.XLOOKUP(B1401,Phone_by_Price!$A$2:$A$34,Phone_by_Price!$B$2:$B$34,"-",0,1)</f>
        <v>Xiaomi Redmi Note 10</v>
      </c>
      <c r="D1401" t="str">
        <f>_xlfn.XLOOKUP(C1401,Phone_by_Sentiment!$B$2:$B$37,Phone_by_Sentiment!$A$2:$A$37,"-",0,1)</f>
        <v>2021-03</v>
      </c>
      <c r="E1401" cm="1">
        <f t="array" ref="E1401">IF($Q1401&gt;=0,IFERROR(generateSalesData($D1401, IF(ISNUMBER(_xlfn.XLOOKUP($C1401,Phone_by_Sentiment!$B$2:$B$37,Phone_by_Sentiment!E$2:E$37,"",0,1)),_xlfn.XLOOKUP($C1401,Phone_by_Sentiment!$B$2:$B$37,Phone_by_Sentiment!E$2:E$37,"",0,1),0),$A1401-TEXT(DATEVALUE($D1401&amp;"-01"), "dd-mm-yyyy")),0),0)</f>
        <v>664</v>
      </c>
      <c r="F1401" cm="1">
        <f t="array" ref="F1401">IF($Q1401&gt;=0,IFERROR(generateSalesData($D1401, IF(ISNUMBER(_xlfn.XLOOKUP($C1401,Phone_by_Sentiment!$B$2:$B$37,Phone_by_Sentiment!F$2:F$37,"",0,1)),_xlfn.XLOOKUP($C1401,Phone_by_Sentiment!$B$2:$B$37,Phone_by_Sentiment!F$2:F$37,"",0,1),0),$A1401-TEXT(DATEVALUE($D1401&amp;"-01"), "dd-mm-yyyy")),0),0)</f>
        <v>147</v>
      </c>
      <c r="G1401" cm="1">
        <f t="array" ref="G1401">IF($Q1401&gt;=0,IFERROR(generateSalesData($D1401, IF(ISNUMBER(_xlfn.XLOOKUP($C1401,Phone_by_Sentiment!$B$2:$B$37,Phone_by_Sentiment!G$2:G$37,"",0,1)),_xlfn.XLOOKUP($C1401,Phone_by_Sentiment!$B$2:$B$37,Phone_by_Sentiment!G$2:G$37,"",0,1),0),$A1401-TEXT(DATEVALUE($D1401&amp;"-01"), "dd-mm-yyyy")),0),0)</f>
        <v>15</v>
      </c>
      <c r="H1401" cm="1">
        <f t="array" ref="H1401">IF($Q1401&gt;=0,IFERROR(generateSalesData($D1401, IF(ISNUMBER(_xlfn.XLOOKUP($C1401,Phone_by_Sentiment!$B$2:$B$37,Phone_by_Sentiment!H$2:H$37,"",0,1)),_xlfn.XLOOKUP($C1401,Phone_by_Sentiment!$B$2:$B$37,Phone_by_Sentiment!H$2:H$37,"",0,1),0),$A1401-TEXT(DATEVALUE($D1401&amp;"-01"), "dd-mm-yyyy")),0),0)</f>
        <v>700</v>
      </c>
      <c r="I1401" cm="1">
        <f t="array" ref="I1401">IF($Q1401&gt;=0,IFERROR(generateSalesData($D1401, IF(ISNUMBER(_xlfn.XLOOKUP($C1401,Phone_by_Sentiment!$B$2:$B$37,Phone_by_Sentiment!I$2:I$37,"",0,1)),_xlfn.XLOOKUP($C1401,Phone_by_Sentiment!$B$2:$B$37,Phone_by_Sentiment!I$2:I$37,"",0,1),0),$A1401-TEXT(DATEVALUE($D1401&amp;"-01"), "dd-mm-yyyy")),0),0)</f>
        <v>889</v>
      </c>
      <c r="J1401" cm="1">
        <f t="array" ref="J1401">IF($Q1401&gt;=0,IFERROR(generateSalesData($D1401, IF(ISNUMBER(_xlfn.XLOOKUP($C1401,Phone_by_Sentiment!$B$2:$B$37,Phone_by_Sentiment!J$2:J$37,"",0,1)),_xlfn.XLOOKUP($C1401,Phone_by_Sentiment!$B$2:$B$37,Phone_by_Sentiment!J$2:J$37,"",0,1),0),$A1401-TEXT(DATEVALUE($D1401&amp;"-01"), "dd-mm-yyyy")),0),0)</f>
        <v>564</v>
      </c>
      <c r="K1401" cm="1">
        <f t="array" ref="K1401">IF($Q1401&gt;=0,IFERROR(generateSalesData($D1401, IF(ISNUMBER(_xlfn.XLOOKUP($C1401,Phone_by_Sentiment!$B$2:$B$37,Phone_by_Sentiment!K$2:K$37,"",0,1)),_xlfn.XLOOKUP($C1401,Phone_by_Sentiment!$B$2:$B$37,Phone_by_Sentiment!K$2:K$37,"",0,1),0),$A1401-TEXT(DATEVALUE($D1401&amp;"-01"), "dd-mm-yyyy")),0),0)</f>
        <v>504</v>
      </c>
      <c r="L1401" cm="1">
        <f t="array" ref="L1401">IF($Q1401&gt;=0,IFERROR(generateSalesData($D1401, IF(ISNUMBER(_xlfn.XLOOKUP($C1401,Phone_by_Sentiment!$B$2:$B$37,Phone_by_Sentiment!L$2:L$37,"",0,1)),_xlfn.XLOOKUP($C1401,Phone_by_Sentiment!$B$2:$B$37,Phone_by_Sentiment!L$2:L$37,"",0,1),0),$A1401-TEXT(DATEVALUE($D1401&amp;"-01"), "dd-mm-yyyy")),0),0)</f>
        <v>686</v>
      </c>
      <c r="M1401" cm="1">
        <f t="array" ref="M1401">IF($Q1401&gt;=0,IFERROR(generateSalesData($D1401, IF(ISNUMBER(_xlfn.XLOOKUP($C1401,Phone_by_Sentiment!$B$2:$B$37,Phone_by_Sentiment!M$2:M$37,"",0,1)),_xlfn.XLOOKUP($C1401,Phone_by_Sentiment!$B$2:$B$37,Phone_by_Sentiment!M$2:M$37,"",0,1),0),$A1401-TEXT(DATEVALUE($D1401&amp;"-01"), "dd-mm-yyyy")),0),0)</f>
        <v>144</v>
      </c>
      <c r="N1401" cm="1">
        <f t="array" ref="N1401">IF($Q1401&gt;=0,IFERROR(generateSalesData($D1401, IF(ISNUMBER(_xlfn.XLOOKUP($C1401,Phone_by_Sentiment!$B$2:$B$37,Phone_by_Sentiment!N$2:N$37,"",0,1)),_xlfn.XLOOKUP($C1401,Phone_by_Sentiment!$B$2:$B$37,Phone_by_Sentiment!N$2:N$37,"",0,1),0),$A1401-TEXT(DATEVALUE($D1401&amp;"-01"), "dd-mm-yyyy")),0),0)</f>
        <v>913</v>
      </c>
      <c r="O1401" cm="1">
        <f t="array" ref="O1401">IF($Q1401&gt;=0,IFERROR(generateSalesData($D1401, IF(ISNUMBER(_xlfn.XLOOKUP($C1401,Phone_by_Sentiment!$B$2:$B$37,Phone_by_Sentiment!O$2:O$37,"",0,1)),_xlfn.XLOOKUP($C1401,Phone_by_Sentiment!$B$2:$B$37,Phone_by_Sentiment!O$2:O$37,"",0,1),0),$A1401-TEXT(DATEVALUE($D1401&amp;"-01"), "dd-mm-yyyy")),0),0)</f>
        <v>366</v>
      </c>
      <c r="P1401" s="1">
        <f t="shared" si="51"/>
        <v>44256</v>
      </c>
      <c r="Q1401">
        <f t="shared" si="55"/>
        <v>426</v>
      </c>
    </row>
    <row r="1402" spans="1:17" x14ac:dyDescent="0.25">
      <c r="A1402" s="1">
        <f t="shared" si="54"/>
        <v>44682</v>
      </c>
      <c r="B1402" t="s">
        <v>145</v>
      </c>
      <c r="C1402" t="str">
        <f>_xlfn.XLOOKUP(B1402,Phone_by_Price!$A$2:$A$34,Phone_by_Price!$B$2:$B$34,"-",0,1)</f>
        <v>OPPO A54</v>
      </c>
      <c r="D1402" t="str">
        <f>_xlfn.XLOOKUP(C1402,Phone_by_Sentiment!$B$2:$B$37,Phone_by_Sentiment!$A$2:$A$37,"-",0,1)</f>
        <v>2021-04</v>
      </c>
      <c r="E1402" cm="1">
        <f t="array" ref="E1402">IF($Q1402&gt;=0,IFERROR(generateSalesData($D1402, IF(ISNUMBER(_xlfn.XLOOKUP($C1402,Phone_by_Sentiment!$B$2:$B$37,Phone_by_Sentiment!E$2:E$37,"",0,1)),_xlfn.XLOOKUP($C1402,Phone_by_Sentiment!$B$2:$B$37,Phone_by_Sentiment!E$2:E$37,"",0,1),0),$A1402-TEXT(DATEVALUE($D1402&amp;"-01"), "dd-mm-yyyy")),0),0)</f>
        <v>703</v>
      </c>
      <c r="F1402" cm="1">
        <f t="array" ref="F1402">IF($Q1402&gt;=0,IFERROR(generateSalesData($D1402, IF(ISNUMBER(_xlfn.XLOOKUP($C1402,Phone_by_Sentiment!$B$2:$B$37,Phone_by_Sentiment!F$2:F$37,"",0,1)),_xlfn.XLOOKUP($C1402,Phone_by_Sentiment!$B$2:$B$37,Phone_by_Sentiment!F$2:F$37,"",0,1),0),$A1402-TEXT(DATEVALUE($D1402&amp;"-01"), "dd-mm-yyyy")),0),0)</f>
        <v>79</v>
      </c>
      <c r="G1402" cm="1">
        <f t="array" ref="G1402">IF($Q1402&gt;=0,IFERROR(generateSalesData($D1402, IF(ISNUMBER(_xlfn.XLOOKUP($C1402,Phone_by_Sentiment!$B$2:$B$37,Phone_by_Sentiment!G$2:G$37,"",0,1)),_xlfn.XLOOKUP($C1402,Phone_by_Sentiment!$B$2:$B$37,Phone_by_Sentiment!G$2:G$37,"",0,1),0),$A1402-TEXT(DATEVALUE($D1402&amp;"-01"), "dd-mm-yyyy")),0),0)</f>
        <v>196</v>
      </c>
      <c r="H1402" cm="1">
        <f t="array" ref="H1402">IF($Q1402&gt;=0,IFERROR(generateSalesData($D1402, IF(ISNUMBER(_xlfn.XLOOKUP($C1402,Phone_by_Sentiment!$B$2:$B$37,Phone_by_Sentiment!H$2:H$37,"",0,1)),_xlfn.XLOOKUP($C1402,Phone_by_Sentiment!$B$2:$B$37,Phone_by_Sentiment!H$2:H$37,"",0,1),0),$A1402-TEXT(DATEVALUE($D1402&amp;"-01"), "dd-mm-yyyy")),0),0)</f>
        <v>764</v>
      </c>
      <c r="I1402" cm="1">
        <f t="array" ref="I1402">IF($Q1402&gt;=0,IFERROR(generateSalesData($D1402, IF(ISNUMBER(_xlfn.XLOOKUP($C1402,Phone_by_Sentiment!$B$2:$B$37,Phone_by_Sentiment!I$2:I$37,"",0,1)),_xlfn.XLOOKUP($C1402,Phone_by_Sentiment!$B$2:$B$37,Phone_by_Sentiment!I$2:I$37,"",0,1),0),$A1402-TEXT(DATEVALUE($D1402&amp;"-01"), "dd-mm-yyyy")),0),0)</f>
        <v>838</v>
      </c>
      <c r="J1402" cm="1">
        <f t="array" ref="J1402">IF($Q1402&gt;=0,IFERROR(generateSalesData($D1402, IF(ISNUMBER(_xlfn.XLOOKUP($C1402,Phone_by_Sentiment!$B$2:$B$37,Phone_by_Sentiment!J$2:J$37,"",0,1)),_xlfn.XLOOKUP($C1402,Phone_by_Sentiment!$B$2:$B$37,Phone_by_Sentiment!J$2:J$37,"",0,1),0),$A1402-TEXT(DATEVALUE($D1402&amp;"-01"), "dd-mm-yyyy")),0),0)</f>
        <v>215</v>
      </c>
      <c r="K1402" cm="1">
        <f t="array" ref="K1402">IF($Q1402&gt;=0,IFERROR(generateSalesData($D1402, IF(ISNUMBER(_xlfn.XLOOKUP($C1402,Phone_by_Sentiment!$B$2:$B$37,Phone_by_Sentiment!K$2:K$37,"",0,1)),_xlfn.XLOOKUP($C1402,Phone_by_Sentiment!$B$2:$B$37,Phone_by_Sentiment!K$2:K$37,"",0,1),0),$A1402-TEXT(DATEVALUE($D1402&amp;"-01"), "dd-mm-yyyy")),0),0)</f>
        <v>192</v>
      </c>
      <c r="L1402" cm="1">
        <f t="array" ref="L1402">IF($Q1402&gt;=0,IFERROR(generateSalesData($D1402, IF(ISNUMBER(_xlfn.XLOOKUP($C1402,Phone_by_Sentiment!$B$2:$B$37,Phone_by_Sentiment!L$2:L$37,"",0,1)),_xlfn.XLOOKUP($C1402,Phone_by_Sentiment!$B$2:$B$37,Phone_by_Sentiment!L$2:L$37,"",0,1),0),$A1402-TEXT(DATEVALUE($D1402&amp;"-01"), "dd-mm-yyyy")),0),0)</f>
        <v>159</v>
      </c>
      <c r="M1402" cm="1">
        <f t="array" ref="M1402">IF($Q1402&gt;=0,IFERROR(generateSalesData($D1402, IF(ISNUMBER(_xlfn.XLOOKUP($C1402,Phone_by_Sentiment!$B$2:$B$37,Phone_by_Sentiment!M$2:M$37,"",0,1)),_xlfn.XLOOKUP($C1402,Phone_by_Sentiment!$B$2:$B$37,Phone_by_Sentiment!M$2:M$37,"",0,1),0),$A1402-TEXT(DATEVALUE($D1402&amp;"-01"), "dd-mm-yyyy")),0),0)</f>
        <v>215</v>
      </c>
      <c r="N1402" cm="1">
        <f t="array" ref="N1402">IF($Q1402&gt;=0,IFERROR(generateSalesData($D1402, IF(ISNUMBER(_xlfn.XLOOKUP($C1402,Phone_by_Sentiment!$B$2:$B$37,Phone_by_Sentiment!N$2:N$37,"",0,1)),_xlfn.XLOOKUP($C1402,Phone_by_Sentiment!$B$2:$B$37,Phone_by_Sentiment!N$2:N$37,"",0,1),0),$A1402-TEXT(DATEVALUE($D1402&amp;"-01"), "dd-mm-yyyy")),0),0)</f>
        <v>365</v>
      </c>
      <c r="O1402" cm="1">
        <f t="array" ref="O1402">IF($Q1402&gt;=0,IFERROR(generateSalesData($D1402, IF(ISNUMBER(_xlfn.XLOOKUP($C1402,Phone_by_Sentiment!$B$2:$B$37,Phone_by_Sentiment!O$2:O$37,"",0,1)),_xlfn.XLOOKUP($C1402,Phone_by_Sentiment!$B$2:$B$37,Phone_by_Sentiment!O$2:O$37,"",0,1),0),$A1402-TEXT(DATEVALUE($D1402&amp;"-01"), "dd-mm-yyyy")),0),0)</f>
        <v>131</v>
      </c>
      <c r="P1402" s="1">
        <f t="shared" si="51"/>
        <v>44287</v>
      </c>
      <c r="Q1402">
        <f t="shared" si="55"/>
        <v>395</v>
      </c>
    </row>
    <row r="1403" spans="1:17" x14ac:dyDescent="0.25">
      <c r="A1403" s="1">
        <f t="shared" si="54"/>
        <v>44682</v>
      </c>
      <c r="B1403" t="s">
        <v>146</v>
      </c>
      <c r="C1403" t="str">
        <f>_xlfn.XLOOKUP(B1403,Phone_by_Price!$A$2:$A$34,Phone_by_Price!$B$2:$B$34,"-",0,1)</f>
        <v>Vivo Y20</v>
      </c>
      <c r="D1403" t="str">
        <f>_xlfn.XLOOKUP(C1403,Phone_by_Sentiment!$B$2:$B$37,Phone_by_Sentiment!$A$2:$A$37,"-",0,1)</f>
        <v>2020-09</v>
      </c>
      <c r="E1403" cm="1">
        <f t="array" ref="E1403">IF($Q1403&gt;=0,IFERROR(generateSalesData($D1403, IF(ISNUMBER(_xlfn.XLOOKUP($C1403,Phone_by_Sentiment!$B$2:$B$37,Phone_by_Sentiment!E$2:E$37,"",0,1)),_xlfn.XLOOKUP($C1403,Phone_by_Sentiment!$B$2:$B$37,Phone_by_Sentiment!E$2:E$37,"",0,1),0),$A1403-TEXT(DATEVALUE($D1403&amp;"-01"), "dd-mm-yyyy")),0),0)</f>
        <v>356</v>
      </c>
      <c r="F1403" cm="1">
        <f t="array" ref="F1403">IF($Q1403&gt;=0,IFERROR(generateSalesData($D1403, IF(ISNUMBER(_xlfn.XLOOKUP($C1403,Phone_by_Sentiment!$B$2:$B$37,Phone_by_Sentiment!F$2:F$37,"",0,1)),_xlfn.XLOOKUP($C1403,Phone_by_Sentiment!$B$2:$B$37,Phone_by_Sentiment!F$2:F$37,"",0,1),0),$A1403-TEXT(DATEVALUE($D1403&amp;"-01"), "dd-mm-yyyy")),0),0)</f>
        <v>494</v>
      </c>
      <c r="G1403" cm="1">
        <f t="array" ref="G1403">IF($Q1403&gt;=0,IFERROR(generateSalesData($D1403, IF(ISNUMBER(_xlfn.XLOOKUP($C1403,Phone_by_Sentiment!$B$2:$B$37,Phone_by_Sentiment!G$2:G$37,"",0,1)),_xlfn.XLOOKUP($C1403,Phone_by_Sentiment!$B$2:$B$37,Phone_by_Sentiment!G$2:G$37,"",0,1),0),$A1403-TEXT(DATEVALUE($D1403&amp;"-01"), "dd-mm-yyyy")),0),0)</f>
        <v>114</v>
      </c>
      <c r="H1403" cm="1">
        <f t="array" ref="H1403">IF($Q1403&gt;=0,IFERROR(generateSalesData($D1403, IF(ISNUMBER(_xlfn.XLOOKUP($C1403,Phone_by_Sentiment!$B$2:$B$37,Phone_by_Sentiment!H$2:H$37,"",0,1)),_xlfn.XLOOKUP($C1403,Phone_by_Sentiment!$B$2:$B$37,Phone_by_Sentiment!H$2:H$37,"",0,1),0),$A1403-TEXT(DATEVALUE($D1403&amp;"-01"), "dd-mm-yyyy")),0),0)</f>
        <v>131</v>
      </c>
      <c r="I1403" cm="1">
        <f t="array" ref="I1403">IF($Q1403&gt;=0,IFERROR(generateSalesData($D1403, IF(ISNUMBER(_xlfn.XLOOKUP($C1403,Phone_by_Sentiment!$B$2:$B$37,Phone_by_Sentiment!I$2:I$37,"",0,1)),_xlfn.XLOOKUP($C1403,Phone_by_Sentiment!$B$2:$B$37,Phone_by_Sentiment!I$2:I$37,"",0,1),0),$A1403-TEXT(DATEVALUE($D1403&amp;"-01"), "dd-mm-yyyy")),0),0)</f>
        <v>52</v>
      </c>
      <c r="J1403" cm="1">
        <f t="array" ref="J1403">IF($Q1403&gt;=0,IFERROR(generateSalesData($D1403, IF(ISNUMBER(_xlfn.XLOOKUP($C1403,Phone_by_Sentiment!$B$2:$B$37,Phone_by_Sentiment!J$2:J$37,"",0,1)),_xlfn.XLOOKUP($C1403,Phone_by_Sentiment!$B$2:$B$37,Phone_by_Sentiment!J$2:J$37,"",0,1),0),$A1403-TEXT(DATEVALUE($D1403&amp;"-01"), "dd-mm-yyyy")),0),0)</f>
        <v>160</v>
      </c>
      <c r="K1403" cm="1">
        <f t="array" ref="K1403">IF($Q1403&gt;=0,IFERROR(generateSalesData($D1403, IF(ISNUMBER(_xlfn.XLOOKUP($C1403,Phone_by_Sentiment!$B$2:$B$37,Phone_by_Sentiment!K$2:K$37,"",0,1)),_xlfn.XLOOKUP($C1403,Phone_by_Sentiment!$B$2:$B$37,Phone_by_Sentiment!K$2:K$37,"",0,1),0),$A1403-TEXT(DATEVALUE($D1403&amp;"-01"), "dd-mm-yyyy")),0),0)</f>
        <v>110</v>
      </c>
      <c r="L1403" cm="1">
        <f t="array" ref="L1403">IF($Q1403&gt;=0,IFERROR(generateSalesData($D1403, IF(ISNUMBER(_xlfn.XLOOKUP($C1403,Phone_by_Sentiment!$B$2:$B$37,Phone_by_Sentiment!L$2:L$37,"",0,1)),_xlfn.XLOOKUP($C1403,Phone_by_Sentiment!$B$2:$B$37,Phone_by_Sentiment!L$2:L$37,"",0,1),0),$A1403-TEXT(DATEVALUE($D1403&amp;"-01"), "dd-mm-yyyy")),0),0)</f>
        <v>130</v>
      </c>
      <c r="M1403" cm="1">
        <f t="array" ref="M1403">IF($Q1403&gt;=0,IFERROR(generateSalesData($D1403, IF(ISNUMBER(_xlfn.XLOOKUP($C1403,Phone_by_Sentiment!$B$2:$B$37,Phone_by_Sentiment!M$2:M$37,"",0,1)),_xlfn.XLOOKUP($C1403,Phone_by_Sentiment!$B$2:$B$37,Phone_by_Sentiment!M$2:M$37,"",0,1),0),$A1403-TEXT(DATEVALUE($D1403&amp;"-01"), "dd-mm-yyyy")),0),0)</f>
        <v>114</v>
      </c>
      <c r="N1403" cm="1">
        <f t="array" ref="N1403">IF($Q1403&gt;=0,IFERROR(generateSalesData($D1403, IF(ISNUMBER(_xlfn.XLOOKUP($C1403,Phone_by_Sentiment!$B$2:$B$37,Phone_by_Sentiment!N$2:N$37,"",0,1)),_xlfn.XLOOKUP($C1403,Phone_by_Sentiment!$B$2:$B$37,Phone_by_Sentiment!N$2:N$37,"",0,1),0),$A1403-TEXT(DATEVALUE($D1403&amp;"-01"), "dd-mm-yyyy")),0),0)</f>
        <v>118</v>
      </c>
      <c r="O1403" cm="1">
        <f t="array" ref="O1403">IF($Q1403&gt;=0,IFERROR(generateSalesData($D1403, IF(ISNUMBER(_xlfn.XLOOKUP($C1403,Phone_by_Sentiment!$B$2:$B$37,Phone_by_Sentiment!O$2:O$37,"",0,1)),_xlfn.XLOOKUP($C1403,Phone_by_Sentiment!$B$2:$B$37,Phone_by_Sentiment!O$2:O$37,"",0,1),0),$A1403-TEXT(DATEVALUE($D1403&amp;"-01"), "dd-mm-yyyy")),0),0)</f>
        <v>161</v>
      </c>
      <c r="P1403" s="1">
        <f t="shared" si="51"/>
        <v>44075</v>
      </c>
      <c r="Q1403">
        <f t="shared" si="55"/>
        <v>607</v>
      </c>
    </row>
    <row r="1404" spans="1:17" x14ac:dyDescent="0.25">
      <c r="A1404" s="1">
        <f t="shared" si="54"/>
        <v>44682</v>
      </c>
      <c r="B1404" t="s">
        <v>147</v>
      </c>
      <c r="C1404" t="str">
        <f>_xlfn.XLOOKUP(B1404,Phone_by_Price!$A$2:$A$34,Phone_by_Price!$B$2:$B$34,"-",0,1)</f>
        <v>Huawei Y9a</v>
      </c>
      <c r="D1404" t="str">
        <f>_xlfn.XLOOKUP(C1404,Phone_by_Sentiment!$B$2:$B$37,Phone_by_Sentiment!$A$2:$A$37,"-",0,1)</f>
        <v>2020-02</v>
      </c>
      <c r="E1404" cm="1">
        <f t="array" ref="E1404">IF($Q1404&gt;=0,IFERROR(generateSalesData($D1404, IF(ISNUMBER(_xlfn.XLOOKUP($C1404,Phone_by_Sentiment!$B$2:$B$37,Phone_by_Sentiment!E$2:E$37,"",0,1)),_xlfn.XLOOKUP($C1404,Phone_by_Sentiment!$B$2:$B$37,Phone_by_Sentiment!E$2:E$37,"",0,1),0),$A1404-TEXT(DATEVALUE($D1404&amp;"-01"), "dd-mm-yyyy")),0),0)</f>
        <v>356</v>
      </c>
      <c r="F1404" cm="1">
        <f t="array" ref="F1404">IF($Q1404&gt;=0,IFERROR(generateSalesData($D1404, IF(ISNUMBER(_xlfn.XLOOKUP($C1404,Phone_by_Sentiment!$B$2:$B$37,Phone_by_Sentiment!F$2:F$37,"",0,1)),_xlfn.XLOOKUP($C1404,Phone_by_Sentiment!$B$2:$B$37,Phone_by_Sentiment!F$2:F$37,"",0,1),0),$A1404-TEXT(DATEVALUE($D1404&amp;"-01"), "dd-mm-yyyy")),0),0)</f>
        <v>76</v>
      </c>
      <c r="G1404" cm="1">
        <f t="array" ref="G1404">IF($Q1404&gt;=0,IFERROR(generateSalesData($D1404, IF(ISNUMBER(_xlfn.XLOOKUP($C1404,Phone_by_Sentiment!$B$2:$B$37,Phone_by_Sentiment!G$2:G$37,"",0,1)),_xlfn.XLOOKUP($C1404,Phone_by_Sentiment!$B$2:$B$37,Phone_by_Sentiment!G$2:G$37,"",0,1),0),$A1404-TEXT(DATEVALUE($D1404&amp;"-01"), "dd-mm-yyyy")),0),0)</f>
        <v>82</v>
      </c>
      <c r="H1404" cm="1">
        <f t="array" ref="H1404">IF($Q1404&gt;=0,IFERROR(generateSalesData($D1404, IF(ISNUMBER(_xlfn.XLOOKUP($C1404,Phone_by_Sentiment!$B$2:$B$37,Phone_by_Sentiment!H$2:H$37,"",0,1)),_xlfn.XLOOKUP($C1404,Phone_by_Sentiment!$B$2:$B$37,Phone_by_Sentiment!H$2:H$37,"",0,1),0),$A1404-TEXT(DATEVALUE($D1404&amp;"-01"), "dd-mm-yyyy")),0),0)</f>
        <v>71</v>
      </c>
      <c r="I1404" cm="1">
        <f t="array" ref="I1404">IF($Q1404&gt;=0,IFERROR(generateSalesData($D1404, IF(ISNUMBER(_xlfn.XLOOKUP($C1404,Phone_by_Sentiment!$B$2:$B$37,Phone_by_Sentiment!I$2:I$37,"",0,1)),_xlfn.XLOOKUP($C1404,Phone_by_Sentiment!$B$2:$B$37,Phone_by_Sentiment!I$2:I$37,"",0,1),0),$A1404-TEXT(DATEVALUE($D1404&amp;"-01"), "dd-mm-yyyy")),0),0)</f>
        <v>73</v>
      </c>
      <c r="J1404" cm="1">
        <f t="array" ref="J1404">IF($Q1404&gt;=0,IFERROR(generateSalesData($D1404, IF(ISNUMBER(_xlfn.XLOOKUP($C1404,Phone_by_Sentiment!$B$2:$B$37,Phone_by_Sentiment!J$2:J$37,"",0,1)),_xlfn.XLOOKUP($C1404,Phone_by_Sentiment!$B$2:$B$37,Phone_by_Sentiment!J$2:J$37,"",0,1),0),$A1404-TEXT(DATEVALUE($D1404&amp;"-01"), "dd-mm-yyyy")),0),0)</f>
        <v>48</v>
      </c>
      <c r="K1404" cm="1">
        <f t="array" ref="K1404">IF($Q1404&gt;=0,IFERROR(generateSalesData($D1404, IF(ISNUMBER(_xlfn.XLOOKUP($C1404,Phone_by_Sentiment!$B$2:$B$37,Phone_by_Sentiment!K$2:K$37,"",0,1)),_xlfn.XLOOKUP($C1404,Phone_by_Sentiment!$B$2:$B$37,Phone_by_Sentiment!K$2:K$37,"",0,1),0),$A1404-TEXT(DATEVALUE($D1404&amp;"-01"), "dd-mm-yyyy")),0),0)</f>
        <v>125</v>
      </c>
      <c r="L1404" cm="1">
        <f t="array" ref="L1404">IF($Q1404&gt;=0,IFERROR(generateSalesData($D1404, IF(ISNUMBER(_xlfn.XLOOKUP($C1404,Phone_by_Sentiment!$B$2:$B$37,Phone_by_Sentiment!L$2:L$37,"",0,1)),_xlfn.XLOOKUP($C1404,Phone_by_Sentiment!$B$2:$B$37,Phone_by_Sentiment!L$2:L$37,"",0,1),0),$A1404-TEXT(DATEVALUE($D1404&amp;"-01"), "dd-mm-yyyy")),0),0)</f>
        <v>69</v>
      </c>
      <c r="M1404" cm="1">
        <f t="array" ref="M1404">IF($Q1404&gt;=0,IFERROR(generateSalesData($D1404, IF(ISNUMBER(_xlfn.XLOOKUP($C1404,Phone_by_Sentiment!$B$2:$B$37,Phone_by_Sentiment!M$2:M$37,"",0,1)),_xlfn.XLOOKUP($C1404,Phone_by_Sentiment!$B$2:$B$37,Phone_by_Sentiment!M$2:M$37,"",0,1),0),$A1404-TEXT(DATEVALUE($D1404&amp;"-01"), "dd-mm-yyyy")),0),0)</f>
        <v>3</v>
      </c>
      <c r="N1404" cm="1">
        <f t="array" ref="N1404">IF($Q1404&gt;=0,IFERROR(generateSalesData($D1404, IF(ISNUMBER(_xlfn.XLOOKUP($C1404,Phone_by_Sentiment!$B$2:$B$37,Phone_by_Sentiment!N$2:N$37,"",0,1)),_xlfn.XLOOKUP($C1404,Phone_by_Sentiment!$B$2:$B$37,Phone_by_Sentiment!N$2:N$37,"",0,1),0),$A1404-TEXT(DATEVALUE($D1404&amp;"-01"), "dd-mm-yyyy")),0),0)</f>
        <v>74</v>
      </c>
      <c r="O1404" cm="1">
        <f t="array" ref="O1404">IF($Q1404&gt;=0,IFERROR(generateSalesData($D1404, IF(ISNUMBER(_xlfn.XLOOKUP($C1404,Phone_by_Sentiment!$B$2:$B$37,Phone_by_Sentiment!O$2:O$37,"",0,1)),_xlfn.XLOOKUP($C1404,Phone_by_Sentiment!$B$2:$B$37,Phone_by_Sentiment!O$2:O$37,"",0,1),0),$A1404-TEXT(DATEVALUE($D1404&amp;"-01"), "dd-mm-yyyy")),0),0)</f>
        <v>64</v>
      </c>
      <c r="P1404" s="1">
        <f t="shared" si="51"/>
        <v>43862</v>
      </c>
      <c r="Q1404">
        <f t="shared" si="55"/>
        <v>820</v>
      </c>
    </row>
    <row r="1405" spans="1:17" x14ac:dyDescent="0.25">
      <c r="A1405" s="1">
        <f t="shared" si="54"/>
        <v>44682</v>
      </c>
      <c r="B1405" t="s">
        <v>148</v>
      </c>
      <c r="C1405" t="str">
        <f>_xlfn.XLOOKUP(B1405,Phone_by_Price!$A$2:$A$34,Phone_by_Price!$B$2:$B$34,"-",0,1)</f>
        <v>Xiaomi Redmi 10</v>
      </c>
      <c r="D1405" t="str">
        <f>_xlfn.XLOOKUP(C1405,Phone_by_Sentiment!$B$2:$B$37,Phone_by_Sentiment!$A$2:$A$37,"-",0,1)</f>
        <v>2021-03</v>
      </c>
      <c r="E1405" cm="1">
        <f t="array" ref="E1405">IF($Q1405&gt;=0,IFERROR(generateSalesData($D1405, IF(ISNUMBER(_xlfn.XLOOKUP($C1405,Phone_by_Sentiment!$B$2:$B$37,Phone_by_Sentiment!E$2:E$37,"",0,1)),_xlfn.XLOOKUP($C1405,Phone_by_Sentiment!$B$2:$B$37,Phone_by_Sentiment!E$2:E$37,"",0,1),0),$A1405-TEXT(DATEVALUE($D1405&amp;"-01"), "dd-mm-yyyy")),0),0)</f>
        <v>704</v>
      </c>
      <c r="F1405" cm="1">
        <f t="array" ref="F1405">IF($Q1405&gt;=0,IFERROR(generateSalesData($D1405, IF(ISNUMBER(_xlfn.XLOOKUP($C1405,Phone_by_Sentiment!$B$2:$B$37,Phone_by_Sentiment!F$2:F$37,"",0,1)),_xlfn.XLOOKUP($C1405,Phone_by_Sentiment!$B$2:$B$37,Phone_by_Sentiment!F$2:F$37,"",0,1),0),$A1405-TEXT(DATEVALUE($D1405&amp;"-01"), "dd-mm-yyyy")),0),0)</f>
        <v>533</v>
      </c>
      <c r="G1405" cm="1">
        <f t="array" ref="G1405">IF($Q1405&gt;=0,IFERROR(generateSalesData($D1405, IF(ISNUMBER(_xlfn.XLOOKUP($C1405,Phone_by_Sentiment!$B$2:$B$37,Phone_by_Sentiment!G$2:G$37,"",0,1)),_xlfn.XLOOKUP($C1405,Phone_by_Sentiment!$B$2:$B$37,Phone_by_Sentiment!G$2:G$37,"",0,1),0),$A1405-TEXT(DATEVALUE($D1405&amp;"-01"), "dd-mm-yyyy")),0),0)</f>
        <v>66</v>
      </c>
      <c r="H1405" cm="1">
        <f t="array" ref="H1405">IF($Q1405&gt;=0,IFERROR(generateSalesData($D1405, IF(ISNUMBER(_xlfn.XLOOKUP($C1405,Phone_by_Sentiment!$B$2:$B$37,Phone_by_Sentiment!H$2:H$37,"",0,1)),_xlfn.XLOOKUP($C1405,Phone_by_Sentiment!$B$2:$B$37,Phone_by_Sentiment!H$2:H$37,"",0,1),0),$A1405-TEXT(DATEVALUE($D1405&amp;"-01"), "dd-mm-yyyy")),0),0)</f>
        <v>389</v>
      </c>
      <c r="I1405" cm="1">
        <f t="array" ref="I1405">IF($Q1405&gt;=0,IFERROR(generateSalesData($D1405, IF(ISNUMBER(_xlfn.XLOOKUP($C1405,Phone_by_Sentiment!$B$2:$B$37,Phone_by_Sentiment!I$2:I$37,"",0,1)),_xlfn.XLOOKUP($C1405,Phone_by_Sentiment!$B$2:$B$37,Phone_by_Sentiment!I$2:I$37,"",0,1),0),$A1405-TEXT(DATEVALUE($D1405&amp;"-01"), "dd-mm-yyyy")),0),0)</f>
        <v>116</v>
      </c>
      <c r="J1405" cm="1">
        <f t="array" ref="J1405">IF($Q1405&gt;=0,IFERROR(generateSalesData($D1405, IF(ISNUMBER(_xlfn.XLOOKUP($C1405,Phone_by_Sentiment!$B$2:$B$37,Phone_by_Sentiment!J$2:J$37,"",0,1)),_xlfn.XLOOKUP($C1405,Phone_by_Sentiment!$B$2:$B$37,Phone_by_Sentiment!J$2:J$37,"",0,1),0),$A1405-TEXT(DATEVALUE($D1405&amp;"-01"), "dd-mm-yyyy")),0),0)</f>
        <v>39</v>
      </c>
      <c r="K1405" cm="1">
        <f t="array" ref="K1405">IF($Q1405&gt;=0,IFERROR(generateSalesData($D1405, IF(ISNUMBER(_xlfn.XLOOKUP($C1405,Phone_by_Sentiment!$B$2:$B$37,Phone_by_Sentiment!K$2:K$37,"",0,1)),_xlfn.XLOOKUP($C1405,Phone_by_Sentiment!$B$2:$B$37,Phone_by_Sentiment!K$2:K$37,"",0,1),0),$A1405-TEXT(DATEVALUE($D1405&amp;"-01"), "dd-mm-yyyy")),0),0)</f>
        <v>906</v>
      </c>
      <c r="L1405" cm="1">
        <f t="array" ref="L1405">IF($Q1405&gt;=0,IFERROR(generateSalesData($D1405, IF(ISNUMBER(_xlfn.XLOOKUP($C1405,Phone_by_Sentiment!$B$2:$B$37,Phone_by_Sentiment!L$2:L$37,"",0,1)),_xlfn.XLOOKUP($C1405,Phone_by_Sentiment!$B$2:$B$37,Phone_by_Sentiment!L$2:L$37,"",0,1),0),$A1405-TEXT(DATEVALUE($D1405&amp;"-01"), "dd-mm-yyyy")),0),0)</f>
        <v>122</v>
      </c>
      <c r="M1405" cm="1">
        <f t="array" ref="M1405">IF($Q1405&gt;=0,IFERROR(generateSalesData($D1405, IF(ISNUMBER(_xlfn.XLOOKUP($C1405,Phone_by_Sentiment!$B$2:$B$37,Phone_by_Sentiment!M$2:M$37,"",0,1)),_xlfn.XLOOKUP($C1405,Phone_by_Sentiment!$B$2:$B$37,Phone_by_Sentiment!M$2:M$37,"",0,1),0),$A1405-TEXT(DATEVALUE($D1405&amp;"-01"), "dd-mm-yyyy")),0),0)</f>
        <v>25</v>
      </c>
      <c r="N1405" cm="1">
        <f t="array" ref="N1405">IF($Q1405&gt;=0,IFERROR(generateSalesData($D1405, IF(ISNUMBER(_xlfn.XLOOKUP($C1405,Phone_by_Sentiment!$B$2:$B$37,Phone_by_Sentiment!N$2:N$37,"",0,1)),_xlfn.XLOOKUP($C1405,Phone_by_Sentiment!$B$2:$B$37,Phone_by_Sentiment!N$2:N$37,"",0,1),0),$A1405-TEXT(DATEVALUE($D1405&amp;"-01"), "dd-mm-yyyy")),0),0)</f>
        <v>379</v>
      </c>
      <c r="O1405" cm="1">
        <f t="array" ref="O1405">IF($Q1405&gt;=0,IFERROR(generateSalesData($D1405, IF(ISNUMBER(_xlfn.XLOOKUP($C1405,Phone_by_Sentiment!$B$2:$B$37,Phone_by_Sentiment!O$2:O$37,"",0,1)),_xlfn.XLOOKUP($C1405,Phone_by_Sentiment!$B$2:$B$37,Phone_by_Sentiment!O$2:O$37,"",0,1),0),$A1405-TEXT(DATEVALUE($D1405&amp;"-01"), "dd-mm-yyyy")),0),0)</f>
        <v>758</v>
      </c>
      <c r="P1405" s="1">
        <f t="shared" si="51"/>
        <v>44256</v>
      </c>
      <c r="Q1405">
        <f t="shared" si="55"/>
        <v>426</v>
      </c>
    </row>
    <row r="1406" spans="1:17" x14ac:dyDescent="0.25">
      <c r="A1406" s="1">
        <f t="shared" si="54"/>
        <v>44682</v>
      </c>
      <c r="B1406" t="s">
        <v>149</v>
      </c>
      <c r="C1406" t="str">
        <f>_xlfn.XLOOKUP(B1406,Phone_by_Price!$A$2:$A$34,Phone_by_Price!$B$2:$B$34,"-",0,1)</f>
        <v>Samsung Galaxy A52</v>
      </c>
      <c r="D1406" t="str">
        <f>_xlfn.XLOOKUP(C1406,Phone_by_Sentiment!$B$2:$B$37,Phone_by_Sentiment!$A$2:$A$37,"-",0,1)</f>
        <v>2021-03</v>
      </c>
      <c r="E1406" cm="1">
        <f t="array" ref="E1406">IF($Q1406&gt;=0,IFERROR(generateSalesData($D1406, IF(ISNUMBER(_xlfn.XLOOKUP($C1406,Phone_by_Sentiment!$B$2:$B$37,Phone_by_Sentiment!E$2:E$37,"",0,1)),_xlfn.XLOOKUP($C1406,Phone_by_Sentiment!$B$2:$B$37,Phone_by_Sentiment!E$2:E$37,"",0,1),0),$A1406-TEXT(DATEVALUE($D1406&amp;"-01"), "dd-mm-yyyy")),0),0)</f>
        <v>726</v>
      </c>
      <c r="F1406" cm="1">
        <f t="array" ref="F1406">IF($Q1406&gt;=0,IFERROR(generateSalesData($D1406, IF(ISNUMBER(_xlfn.XLOOKUP($C1406,Phone_by_Sentiment!$B$2:$B$37,Phone_by_Sentiment!F$2:F$37,"",0,1)),_xlfn.XLOOKUP($C1406,Phone_by_Sentiment!$B$2:$B$37,Phone_by_Sentiment!F$2:F$37,"",0,1),0),$A1406-TEXT(DATEVALUE($D1406&amp;"-01"), "dd-mm-yyyy")),0),0)</f>
        <v>532</v>
      </c>
      <c r="G1406" cm="1">
        <f t="array" ref="G1406">IF($Q1406&gt;=0,IFERROR(generateSalesData($D1406, IF(ISNUMBER(_xlfn.XLOOKUP($C1406,Phone_by_Sentiment!$B$2:$B$37,Phone_by_Sentiment!G$2:G$37,"",0,1)),_xlfn.XLOOKUP($C1406,Phone_by_Sentiment!$B$2:$B$37,Phone_by_Sentiment!G$2:G$37,"",0,1),0),$A1406-TEXT(DATEVALUE($D1406&amp;"-01"), "dd-mm-yyyy")),0),0)</f>
        <v>108</v>
      </c>
      <c r="H1406" cm="1">
        <f t="array" ref="H1406">IF($Q1406&gt;=0,IFERROR(generateSalesData($D1406, IF(ISNUMBER(_xlfn.XLOOKUP($C1406,Phone_by_Sentiment!$B$2:$B$37,Phone_by_Sentiment!H$2:H$37,"",0,1)),_xlfn.XLOOKUP($C1406,Phone_by_Sentiment!$B$2:$B$37,Phone_by_Sentiment!H$2:H$37,"",0,1),0),$A1406-TEXT(DATEVALUE($D1406&amp;"-01"), "dd-mm-yyyy")),0),0)</f>
        <v>620</v>
      </c>
      <c r="I1406" cm="1">
        <f t="array" ref="I1406">IF($Q1406&gt;=0,IFERROR(generateSalesData($D1406, IF(ISNUMBER(_xlfn.XLOOKUP($C1406,Phone_by_Sentiment!$B$2:$B$37,Phone_by_Sentiment!I$2:I$37,"",0,1)),_xlfn.XLOOKUP($C1406,Phone_by_Sentiment!$B$2:$B$37,Phone_by_Sentiment!I$2:I$37,"",0,1),0),$A1406-TEXT(DATEVALUE($D1406&amp;"-01"), "dd-mm-yyyy")),0),0)</f>
        <v>1246</v>
      </c>
      <c r="J1406" cm="1">
        <f t="array" ref="J1406">IF($Q1406&gt;=0,IFERROR(generateSalesData($D1406, IF(ISNUMBER(_xlfn.XLOOKUP($C1406,Phone_by_Sentiment!$B$2:$B$37,Phone_by_Sentiment!J$2:J$37,"",0,1)),_xlfn.XLOOKUP($C1406,Phone_by_Sentiment!$B$2:$B$37,Phone_by_Sentiment!J$2:J$37,"",0,1),0),$A1406-TEXT(DATEVALUE($D1406&amp;"-01"), "dd-mm-yyyy")),0),0)</f>
        <v>664</v>
      </c>
      <c r="K1406" cm="1">
        <f t="array" ref="K1406">IF($Q1406&gt;=0,IFERROR(generateSalesData($D1406, IF(ISNUMBER(_xlfn.XLOOKUP($C1406,Phone_by_Sentiment!$B$2:$B$37,Phone_by_Sentiment!K$2:K$37,"",0,1)),_xlfn.XLOOKUP($C1406,Phone_by_Sentiment!$B$2:$B$37,Phone_by_Sentiment!K$2:K$37,"",0,1),0),$A1406-TEXT(DATEVALUE($D1406&amp;"-01"), "dd-mm-yyyy")),0),0)</f>
        <v>455</v>
      </c>
      <c r="L1406" cm="1">
        <f t="array" ref="L1406">IF($Q1406&gt;=0,IFERROR(generateSalesData($D1406, IF(ISNUMBER(_xlfn.XLOOKUP($C1406,Phone_by_Sentiment!$B$2:$B$37,Phone_by_Sentiment!L$2:L$37,"",0,1)),_xlfn.XLOOKUP($C1406,Phone_by_Sentiment!$B$2:$B$37,Phone_by_Sentiment!L$2:L$37,"",0,1),0),$A1406-TEXT(DATEVALUE($D1406&amp;"-01"), "dd-mm-yyyy")),0),0)</f>
        <v>542</v>
      </c>
      <c r="M1406" cm="1">
        <f t="array" ref="M1406">IF($Q1406&gt;=0,IFERROR(generateSalesData($D1406, IF(ISNUMBER(_xlfn.XLOOKUP($C1406,Phone_by_Sentiment!$B$2:$B$37,Phone_by_Sentiment!M$2:M$37,"",0,1)),_xlfn.XLOOKUP($C1406,Phone_by_Sentiment!$B$2:$B$37,Phone_by_Sentiment!M$2:M$37,"",0,1),0),$A1406-TEXT(DATEVALUE($D1406&amp;"-01"), "dd-mm-yyyy")),0),0)</f>
        <v>254</v>
      </c>
      <c r="N1406" cm="1">
        <f t="array" ref="N1406">IF($Q1406&gt;=0,IFERROR(generateSalesData($D1406, IF(ISNUMBER(_xlfn.XLOOKUP($C1406,Phone_by_Sentiment!$B$2:$B$37,Phone_by_Sentiment!N$2:N$37,"",0,1)),_xlfn.XLOOKUP($C1406,Phone_by_Sentiment!$B$2:$B$37,Phone_by_Sentiment!N$2:N$37,"",0,1),0),$A1406-TEXT(DATEVALUE($D1406&amp;"-01"), "dd-mm-yyyy")),0),0)</f>
        <v>30</v>
      </c>
      <c r="O1406" cm="1">
        <f t="array" ref="O1406">IF($Q1406&gt;=0,IFERROR(generateSalesData($D1406, IF(ISNUMBER(_xlfn.XLOOKUP($C1406,Phone_by_Sentiment!$B$2:$B$37,Phone_by_Sentiment!O$2:O$37,"",0,1)),_xlfn.XLOOKUP($C1406,Phone_by_Sentiment!$B$2:$B$37,Phone_by_Sentiment!O$2:O$37,"",0,1),0),$A1406-TEXT(DATEVALUE($D1406&amp;"-01"), "dd-mm-yyyy")),0),0)</f>
        <v>566</v>
      </c>
      <c r="P1406" s="1">
        <f t="shared" si="51"/>
        <v>44256</v>
      </c>
      <c r="Q1406">
        <f t="shared" si="55"/>
        <v>426</v>
      </c>
    </row>
    <row r="1407" spans="1:17" x14ac:dyDescent="0.25">
      <c r="A1407" s="1">
        <f t="shared" si="54"/>
        <v>44682</v>
      </c>
      <c r="B1407" t="s">
        <v>150</v>
      </c>
      <c r="C1407" t="str">
        <f>_xlfn.XLOOKUP(B1407,Phone_by_Price!$A$2:$A$34,Phone_by_Price!$B$2:$B$34,"-",0,1)</f>
        <v>Vivo Y33s</v>
      </c>
      <c r="D1407" t="str">
        <f>_xlfn.XLOOKUP(C1407,Phone_by_Sentiment!$B$2:$B$37,Phone_by_Sentiment!$A$2:$A$37,"-",0,1)</f>
        <v>2021-05</v>
      </c>
      <c r="E1407" cm="1">
        <f t="array" ref="E1407">IF($Q1407&gt;=0,IFERROR(generateSalesData($D1407, IF(ISNUMBER(_xlfn.XLOOKUP($C1407,Phone_by_Sentiment!$B$2:$B$37,Phone_by_Sentiment!E$2:E$37,"",0,1)),_xlfn.XLOOKUP($C1407,Phone_by_Sentiment!$B$2:$B$37,Phone_by_Sentiment!E$2:E$37,"",0,1),0),$A1407-TEXT(DATEVALUE($D1407&amp;"-01"), "dd-mm-yyyy")),0),0)</f>
        <v>805</v>
      </c>
      <c r="F1407" cm="1">
        <f t="array" ref="F1407">IF($Q1407&gt;=0,IFERROR(generateSalesData($D1407, IF(ISNUMBER(_xlfn.XLOOKUP($C1407,Phone_by_Sentiment!$B$2:$B$37,Phone_by_Sentiment!F$2:F$37,"",0,1)),_xlfn.XLOOKUP($C1407,Phone_by_Sentiment!$B$2:$B$37,Phone_by_Sentiment!F$2:F$37,"",0,1),0),$A1407-TEXT(DATEVALUE($D1407&amp;"-01"), "dd-mm-yyyy")),0),0)</f>
        <v>228</v>
      </c>
      <c r="G1407" cm="1">
        <f t="array" ref="G1407">IF($Q1407&gt;=0,IFERROR(generateSalesData($D1407, IF(ISNUMBER(_xlfn.XLOOKUP($C1407,Phone_by_Sentiment!$B$2:$B$37,Phone_by_Sentiment!G$2:G$37,"",0,1)),_xlfn.XLOOKUP($C1407,Phone_by_Sentiment!$B$2:$B$37,Phone_by_Sentiment!G$2:G$37,"",0,1),0),$A1407-TEXT(DATEVALUE($D1407&amp;"-01"), "dd-mm-yyyy")),0),0)</f>
        <v>154</v>
      </c>
      <c r="H1407" cm="1">
        <f t="array" ref="H1407">IF($Q1407&gt;=0,IFERROR(generateSalesData($D1407, IF(ISNUMBER(_xlfn.XLOOKUP($C1407,Phone_by_Sentiment!$B$2:$B$37,Phone_by_Sentiment!H$2:H$37,"",0,1)),_xlfn.XLOOKUP($C1407,Phone_by_Sentiment!$B$2:$B$37,Phone_by_Sentiment!H$2:H$37,"",0,1),0),$A1407-TEXT(DATEVALUE($D1407&amp;"-01"), "dd-mm-yyyy")),0),0)</f>
        <v>587</v>
      </c>
      <c r="I1407" cm="1">
        <f t="array" ref="I1407">IF($Q1407&gt;=0,IFERROR(generateSalesData($D1407, IF(ISNUMBER(_xlfn.XLOOKUP($C1407,Phone_by_Sentiment!$B$2:$B$37,Phone_by_Sentiment!I$2:I$37,"",0,1)),_xlfn.XLOOKUP($C1407,Phone_by_Sentiment!$B$2:$B$37,Phone_by_Sentiment!I$2:I$37,"",0,1),0),$A1407-TEXT(DATEVALUE($D1407&amp;"-01"), "dd-mm-yyyy")),0),0)</f>
        <v>112</v>
      </c>
      <c r="J1407" cm="1">
        <f t="array" ref="J1407">IF($Q1407&gt;=0,IFERROR(generateSalesData($D1407, IF(ISNUMBER(_xlfn.XLOOKUP($C1407,Phone_by_Sentiment!$B$2:$B$37,Phone_by_Sentiment!J$2:J$37,"",0,1)),_xlfn.XLOOKUP($C1407,Phone_by_Sentiment!$B$2:$B$37,Phone_by_Sentiment!J$2:J$37,"",0,1),0),$A1407-TEXT(DATEVALUE($D1407&amp;"-01"), "dd-mm-yyyy")),0),0)</f>
        <v>216</v>
      </c>
      <c r="K1407" cm="1">
        <f t="array" ref="K1407">IF($Q1407&gt;=0,IFERROR(generateSalesData($D1407, IF(ISNUMBER(_xlfn.XLOOKUP($C1407,Phone_by_Sentiment!$B$2:$B$37,Phone_by_Sentiment!K$2:K$37,"",0,1)),_xlfn.XLOOKUP($C1407,Phone_by_Sentiment!$B$2:$B$37,Phone_by_Sentiment!K$2:K$37,"",0,1),0),$A1407-TEXT(DATEVALUE($D1407&amp;"-01"), "dd-mm-yyyy")),0),0)</f>
        <v>25</v>
      </c>
      <c r="L1407" cm="1">
        <f t="array" ref="L1407">IF($Q1407&gt;=0,IFERROR(generateSalesData($D1407, IF(ISNUMBER(_xlfn.XLOOKUP($C1407,Phone_by_Sentiment!$B$2:$B$37,Phone_by_Sentiment!L$2:L$37,"",0,1)),_xlfn.XLOOKUP($C1407,Phone_by_Sentiment!$B$2:$B$37,Phone_by_Sentiment!L$2:L$37,"",0,1),0),$A1407-TEXT(DATEVALUE($D1407&amp;"-01"), "dd-mm-yyyy")),0),0)</f>
        <v>94</v>
      </c>
      <c r="M1407" cm="1">
        <f t="array" ref="M1407">IF($Q1407&gt;=0,IFERROR(generateSalesData($D1407, IF(ISNUMBER(_xlfn.XLOOKUP($C1407,Phone_by_Sentiment!$B$2:$B$37,Phone_by_Sentiment!M$2:M$37,"",0,1)),_xlfn.XLOOKUP($C1407,Phone_by_Sentiment!$B$2:$B$37,Phone_by_Sentiment!M$2:M$37,"",0,1),0),$A1407-TEXT(DATEVALUE($D1407&amp;"-01"), "dd-mm-yyyy")),0),0)</f>
        <v>111</v>
      </c>
      <c r="N1407" cm="1">
        <f t="array" ref="N1407">IF($Q1407&gt;=0,IFERROR(generateSalesData($D1407, IF(ISNUMBER(_xlfn.XLOOKUP($C1407,Phone_by_Sentiment!$B$2:$B$37,Phone_by_Sentiment!N$2:N$37,"",0,1)),_xlfn.XLOOKUP($C1407,Phone_by_Sentiment!$B$2:$B$37,Phone_by_Sentiment!N$2:N$37,"",0,1),0),$A1407-TEXT(DATEVALUE($D1407&amp;"-01"), "dd-mm-yyyy")),0),0)</f>
        <v>191</v>
      </c>
      <c r="O1407" cm="1">
        <f t="array" ref="O1407">IF($Q1407&gt;=0,IFERROR(generateSalesData($D1407, IF(ISNUMBER(_xlfn.XLOOKUP($C1407,Phone_by_Sentiment!$B$2:$B$37,Phone_by_Sentiment!O$2:O$37,"",0,1)),_xlfn.XLOOKUP($C1407,Phone_by_Sentiment!$B$2:$B$37,Phone_by_Sentiment!O$2:O$37,"",0,1),0),$A1407-TEXT(DATEVALUE($D1407&amp;"-01"), "dd-mm-yyyy")),0),0)</f>
        <v>767</v>
      </c>
      <c r="P1407" s="1">
        <f t="shared" si="51"/>
        <v>44317</v>
      </c>
      <c r="Q1407">
        <f t="shared" si="55"/>
        <v>365</v>
      </c>
    </row>
    <row r="1408" spans="1:17" x14ac:dyDescent="0.25">
      <c r="A1408" s="1">
        <f t="shared" si="54"/>
        <v>44682</v>
      </c>
      <c r="B1408" t="s">
        <v>151</v>
      </c>
      <c r="C1408" t="str">
        <f>_xlfn.XLOOKUP(B1408,Phone_by_Price!$A$2:$A$34,Phone_by_Price!$B$2:$B$34,"-",0,1)</f>
        <v>Vivo Y11s</v>
      </c>
      <c r="D1408" t="str">
        <f>_xlfn.XLOOKUP(C1408,Phone_by_Sentiment!$B$2:$B$37,Phone_by_Sentiment!$A$2:$A$37,"-",0,1)</f>
        <v>2020-11</v>
      </c>
      <c r="E1408" cm="1">
        <f t="array" ref="E1408">IF($Q1408&gt;=0,IFERROR(generateSalesData($D1408, IF(ISNUMBER(_xlfn.XLOOKUP($C1408,Phone_by_Sentiment!$B$2:$B$37,Phone_by_Sentiment!E$2:E$37,"",0,1)),_xlfn.XLOOKUP($C1408,Phone_by_Sentiment!$B$2:$B$37,Phone_by_Sentiment!E$2:E$37,"",0,1),0),$A1408-TEXT(DATEVALUE($D1408&amp;"-01"), "dd-mm-yyyy")),0),0)</f>
        <v>176</v>
      </c>
      <c r="F1408" cm="1">
        <f t="array" ref="F1408">IF($Q1408&gt;=0,IFERROR(generateSalesData($D1408, IF(ISNUMBER(_xlfn.XLOOKUP($C1408,Phone_by_Sentiment!$B$2:$B$37,Phone_by_Sentiment!F$2:F$37,"",0,1)),_xlfn.XLOOKUP($C1408,Phone_by_Sentiment!$B$2:$B$37,Phone_by_Sentiment!F$2:F$37,"",0,1),0),$A1408-TEXT(DATEVALUE($D1408&amp;"-01"), "dd-mm-yyyy")),0),0)</f>
        <v>85</v>
      </c>
      <c r="G1408" cm="1">
        <f t="array" ref="G1408">IF($Q1408&gt;=0,IFERROR(generateSalesData($D1408, IF(ISNUMBER(_xlfn.XLOOKUP($C1408,Phone_by_Sentiment!$B$2:$B$37,Phone_by_Sentiment!G$2:G$37,"",0,1)),_xlfn.XLOOKUP($C1408,Phone_by_Sentiment!$B$2:$B$37,Phone_by_Sentiment!G$2:G$37,"",0,1),0),$A1408-TEXT(DATEVALUE($D1408&amp;"-01"), "dd-mm-yyyy")),0),0)</f>
        <v>137</v>
      </c>
      <c r="H1408" cm="1">
        <f t="array" ref="H1408">IF($Q1408&gt;=0,IFERROR(generateSalesData($D1408, IF(ISNUMBER(_xlfn.XLOOKUP($C1408,Phone_by_Sentiment!$B$2:$B$37,Phone_by_Sentiment!H$2:H$37,"",0,1)),_xlfn.XLOOKUP($C1408,Phone_by_Sentiment!$B$2:$B$37,Phone_by_Sentiment!H$2:H$37,"",0,1),0),$A1408-TEXT(DATEVALUE($D1408&amp;"-01"), "dd-mm-yyyy")),0),0)</f>
        <v>71</v>
      </c>
      <c r="I1408" cm="1">
        <f t="array" ref="I1408">IF($Q1408&gt;=0,IFERROR(generateSalesData($D1408, IF(ISNUMBER(_xlfn.XLOOKUP($C1408,Phone_by_Sentiment!$B$2:$B$37,Phone_by_Sentiment!I$2:I$37,"",0,1)),_xlfn.XLOOKUP($C1408,Phone_by_Sentiment!$B$2:$B$37,Phone_by_Sentiment!I$2:I$37,"",0,1),0),$A1408-TEXT(DATEVALUE($D1408&amp;"-01"), "dd-mm-yyyy")),0),0)</f>
        <v>324</v>
      </c>
      <c r="J1408" cm="1">
        <f t="array" ref="J1408">IF($Q1408&gt;=0,IFERROR(generateSalesData($D1408, IF(ISNUMBER(_xlfn.XLOOKUP($C1408,Phone_by_Sentiment!$B$2:$B$37,Phone_by_Sentiment!J$2:J$37,"",0,1)),_xlfn.XLOOKUP($C1408,Phone_by_Sentiment!$B$2:$B$37,Phone_by_Sentiment!J$2:J$37,"",0,1),0),$A1408-TEXT(DATEVALUE($D1408&amp;"-01"), "dd-mm-yyyy")),0),0)</f>
        <v>208</v>
      </c>
      <c r="K1408" cm="1">
        <f t="array" ref="K1408">IF($Q1408&gt;=0,IFERROR(generateSalesData($D1408, IF(ISNUMBER(_xlfn.XLOOKUP($C1408,Phone_by_Sentiment!$B$2:$B$37,Phone_by_Sentiment!K$2:K$37,"",0,1)),_xlfn.XLOOKUP($C1408,Phone_by_Sentiment!$B$2:$B$37,Phone_by_Sentiment!K$2:K$37,"",0,1),0),$A1408-TEXT(DATEVALUE($D1408&amp;"-01"), "dd-mm-yyyy")),0),0)</f>
        <v>141</v>
      </c>
      <c r="L1408" cm="1">
        <f t="array" ref="L1408">IF($Q1408&gt;=0,IFERROR(generateSalesData($D1408, IF(ISNUMBER(_xlfn.XLOOKUP($C1408,Phone_by_Sentiment!$B$2:$B$37,Phone_by_Sentiment!L$2:L$37,"",0,1)),_xlfn.XLOOKUP($C1408,Phone_by_Sentiment!$B$2:$B$37,Phone_by_Sentiment!L$2:L$37,"",0,1),0),$A1408-TEXT(DATEVALUE($D1408&amp;"-01"), "dd-mm-yyyy")),0),0)</f>
        <v>165</v>
      </c>
      <c r="M1408" cm="1">
        <f t="array" ref="M1408">IF($Q1408&gt;=0,IFERROR(generateSalesData($D1408, IF(ISNUMBER(_xlfn.XLOOKUP($C1408,Phone_by_Sentiment!$B$2:$B$37,Phone_by_Sentiment!M$2:M$37,"",0,1)),_xlfn.XLOOKUP($C1408,Phone_by_Sentiment!$B$2:$B$37,Phone_by_Sentiment!M$2:M$37,"",0,1),0),$A1408-TEXT(DATEVALUE($D1408&amp;"-01"), "dd-mm-yyyy")),0),0)</f>
        <v>343</v>
      </c>
      <c r="N1408" cm="1">
        <f t="array" ref="N1408">IF($Q1408&gt;=0,IFERROR(generateSalesData($D1408, IF(ISNUMBER(_xlfn.XLOOKUP($C1408,Phone_by_Sentiment!$B$2:$B$37,Phone_by_Sentiment!N$2:N$37,"",0,1)),_xlfn.XLOOKUP($C1408,Phone_by_Sentiment!$B$2:$B$37,Phone_by_Sentiment!N$2:N$37,"",0,1),0),$A1408-TEXT(DATEVALUE($D1408&amp;"-01"), "dd-mm-yyyy")),0),0)</f>
        <v>196</v>
      </c>
      <c r="O1408" cm="1">
        <f t="array" ref="O1408">IF($Q1408&gt;=0,IFERROR(generateSalesData($D1408, IF(ISNUMBER(_xlfn.XLOOKUP($C1408,Phone_by_Sentiment!$B$2:$B$37,Phone_by_Sentiment!O$2:O$37,"",0,1)),_xlfn.XLOOKUP($C1408,Phone_by_Sentiment!$B$2:$B$37,Phone_by_Sentiment!O$2:O$37,"",0,1),0),$A1408-TEXT(DATEVALUE($D1408&amp;"-01"), "dd-mm-yyyy")),0),0)</f>
        <v>4</v>
      </c>
      <c r="P1408" s="1">
        <f t="shared" si="51"/>
        <v>44136</v>
      </c>
      <c r="Q1408">
        <f t="shared" si="55"/>
        <v>546</v>
      </c>
    </row>
    <row r="1409" spans="1:17" x14ac:dyDescent="0.25">
      <c r="A1409" s="1">
        <f t="shared" si="54"/>
        <v>44682</v>
      </c>
      <c r="B1409" t="s">
        <v>152</v>
      </c>
      <c r="C1409" t="str">
        <f>_xlfn.XLOOKUP(B1409,Phone_by_Price!$A$2:$A$34,Phone_by_Price!$B$2:$B$34,"-",0,1)</f>
        <v>Huawei Nova 7i</v>
      </c>
      <c r="D1409" t="str">
        <f>_xlfn.XLOOKUP(C1409,Phone_by_Sentiment!$B$2:$B$37,Phone_by_Sentiment!$A$2:$A$37,"-",0,1)</f>
        <v>2020-02</v>
      </c>
      <c r="E1409" cm="1">
        <f t="array" ref="E1409">IF($Q1409&gt;=0,IFERROR(generateSalesData($D1409, IF(ISNUMBER(_xlfn.XLOOKUP($C1409,Phone_by_Sentiment!$B$2:$B$37,Phone_by_Sentiment!E$2:E$37,"",0,1)),_xlfn.XLOOKUP($C1409,Phone_by_Sentiment!$B$2:$B$37,Phone_by_Sentiment!E$2:E$37,"",0,1),0),$A1409-TEXT(DATEVALUE($D1409&amp;"-01"), "dd-mm-yyyy")),0),0)</f>
        <v>77</v>
      </c>
      <c r="F1409" cm="1">
        <f t="array" ref="F1409">IF($Q1409&gt;=0,IFERROR(generateSalesData($D1409, IF(ISNUMBER(_xlfn.XLOOKUP($C1409,Phone_by_Sentiment!$B$2:$B$37,Phone_by_Sentiment!F$2:F$37,"",0,1)),_xlfn.XLOOKUP($C1409,Phone_by_Sentiment!$B$2:$B$37,Phone_by_Sentiment!F$2:F$37,"",0,1),0),$A1409-TEXT(DATEVALUE($D1409&amp;"-01"), "dd-mm-yyyy")),0),0)</f>
        <v>82</v>
      </c>
      <c r="G1409" cm="1">
        <f t="array" ref="G1409">IF($Q1409&gt;=0,IFERROR(generateSalesData($D1409, IF(ISNUMBER(_xlfn.XLOOKUP($C1409,Phone_by_Sentiment!$B$2:$B$37,Phone_by_Sentiment!G$2:G$37,"",0,1)),_xlfn.XLOOKUP($C1409,Phone_by_Sentiment!$B$2:$B$37,Phone_by_Sentiment!G$2:G$37,"",0,1),0),$A1409-TEXT(DATEVALUE($D1409&amp;"-01"), "dd-mm-yyyy")),0),0)</f>
        <v>117</v>
      </c>
      <c r="H1409" cm="1">
        <f t="array" ref="H1409">IF($Q1409&gt;=0,IFERROR(generateSalesData($D1409, IF(ISNUMBER(_xlfn.XLOOKUP($C1409,Phone_by_Sentiment!$B$2:$B$37,Phone_by_Sentiment!H$2:H$37,"",0,1)),_xlfn.XLOOKUP($C1409,Phone_by_Sentiment!$B$2:$B$37,Phone_by_Sentiment!H$2:H$37,"",0,1),0),$A1409-TEXT(DATEVALUE($D1409&amp;"-01"), "dd-mm-yyyy")),0),0)</f>
        <v>342</v>
      </c>
      <c r="I1409" cm="1">
        <f t="array" ref="I1409">IF($Q1409&gt;=0,IFERROR(generateSalesData($D1409, IF(ISNUMBER(_xlfn.XLOOKUP($C1409,Phone_by_Sentiment!$B$2:$B$37,Phone_by_Sentiment!I$2:I$37,"",0,1)),_xlfn.XLOOKUP($C1409,Phone_by_Sentiment!$B$2:$B$37,Phone_by_Sentiment!I$2:I$37,"",0,1),0),$A1409-TEXT(DATEVALUE($D1409&amp;"-01"), "dd-mm-yyyy")),0),0)</f>
        <v>84</v>
      </c>
      <c r="J1409" cm="1">
        <f t="array" ref="J1409">IF($Q1409&gt;=0,IFERROR(generateSalesData($D1409, IF(ISNUMBER(_xlfn.XLOOKUP($C1409,Phone_by_Sentiment!$B$2:$B$37,Phone_by_Sentiment!J$2:J$37,"",0,1)),_xlfn.XLOOKUP($C1409,Phone_by_Sentiment!$B$2:$B$37,Phone_by_Sentiment!J$2:J$37,"",0,1),0),$A1409-TEXT(DATEVALUE($D1409&amp;"-01"), "dd-mm-yyyy")),0),0)</f>
        <v>70</v>
      </c>
      <c r="K1409" cm="1">
        <f t="array" ref="K1409">IF($Q1409&gt;=0,IFERROR(generateSalesData($D1409, IF(ISNUMBER(_xlfn.XLOOKUP($C1409,Phone_by_Sentiment!$B$2:$B$37,Phone_by_Sentiment!K$2:K$37,"",0,1)),_xlfn.XLOOKUP($C1409,Phone_by_Sentiment!$B$2:$B$37,Phone_by_Sentiment!K$2:K$37,"",0,1),0),$A1409-TEXT(DATEVALUE($D1409&amp;"-01"), "dd-mm-yyyy")),0),0)</f>
        <v>20</v>
      </c>
      <c r="L1409" cm="1">
        <f t="array" ref="L1409">IF($Q1409&gt;=0,IFERROR(generateSalesData($D1409, IF(ISNUMBER(_xlfn.XLOOKUP($C1409,Phone_by_Sentiment!$B$2:$B$37,Phone_by_Sentiment!L$2:L$37,"",0,1)),_xlfn.XLOOKUP($C1409,Phone_by_Sentiment!$B$2:$B$37,Phone_by_Sentiment!L$2:L$37,"",0,1),0),$A1409-TEXT(DATEVALUE($D1409&amp;"-01"), "dd-mm-yyyy")),0),0)</f>
        <v>111</v>
      </c>
      <c r="M1409" cm="1">
        <f t="array" ref="M1409">IF($Q1409&gt;=0,IFERROR(generateSalesData($D1409, IF(ISNUMBER(_xlfn.XLOOKUP($C1409,Phone_by_Sentiment!$B$2:$B$37,Phone_by_Sentiment!M$2:M$37,"",0,1)),_xlfn.XLOOKUP($C1409,Phone_by_Sentiment!$B$2:$B$37,Phone_by_Sentiment!M$2:M$37,"",0,1),0),$A1409-TEXT(DATEVALUE($D1409&amp;"-01"), "dd-mm-yyyy")),0),0)</f>
        <v>72</v>
      </c>
      <c r="N1409" cm="1">
        <f t="array" ref="N1409">IF($Q1409&gt;=0,IFERROR(generateSalesData($D1409, IF(ISNUMBER(_xlfn.XLOOKUP($C1409,Phone_by_Sentiment!$B$2:$B$37,Phone_by_Sentiment!N$2:N$37,"",0,1)),_xlfn.XLOOKUP($C1409,Phone_by_Sentiment!$B$2:$B$37,Phone_by_Sentiment!N$2:N$37,"",0,1),0),$A1409-TEXT(DATEVALUE($D1409&amp;"-01"), "dd-mm-yyyy")),0),0)</f>
        <v>19</v>
      </c>
      <c r="O1409" cm="1">
        <f t="array" ref="O1409">IF($Q1409&gt;=0,IFERROR(generateSalesData($D1409, IF(ISNUMBER(_xlfn.XLOOKUP($C1409,Phone_by_Sentiment!$B$2:$B$37,Phone_by_Sentiment!O$2:O$37,"",0,1)),_xlfn.XLOOKUP($C1409,Phone_by_Sentiment!$B$2:$B$37,Phone_by_Sentiment!O$2:O$37,"",0,1),0),$A1409-TEXT(DATEVALUE($D1409&amp;"-01"), "dd-mm-yyyy")),0),0)</f>
        <v>72</v>
      </c>
      <c r="P1409" s="1">
        <f t="shared" si="51"/>
        <v>43862</v>
      </c>
      <c r="Q1409">
        <f t="shared" si="55"/>
        <v>820</v>
      </c>
    </row>
    <row r="1410" spans="1:17" x14ac:dyDescent="0.25">
      <c r="A1410" s="1">
        <f t="shared" si="54"/>
        <v>44682</v>
      </c>
      <c r="B1410" t="s">
        <v>153</v>
      </c>
      <c r="C1410" t="str">
        <f>_xlfn.XLOOKUP(B1410,Phone_by_Price!$A$2:$A$34,Phone_by_Price!$B$2:$B$34,"-",0,1)</f>
        <v>iPhone 13</v>
      </c>
      <c r="D1410" t="str">
        <f>_xlfn.XLOOKUP(C1410,Phone_by_Sentiment!$B$2:$B$37,Phone_by_Sentiment!$A$2:$A$37,"-",0,1)</f>
        <v>2021-09</v>
      </c>
      <c r="E1410" cm="1">
        <f t="array" ref="E1410">IF($Q1410&gt;=0,IFERROR(generateSalesData($D1410, IF(ISNUMBER(_xlfn.XLOOKUP($C1410,Phone_by_Sentiment!$B$2:$B$37,Phone_by_Sentiment!E$2:E$37,"",0,1)),_xlfn.XLOOKUP($C1410,Phone_by_Sentiment!$B$2:$B$37,Phone_by_Sentiment!E$2:E$37,"",0,1),0),$A1410-TEXT(DATEVALUE($D1410&amp;"-01"), "dd-mm-yyyy")),0),0)</f>
        <v>493</v>
      </c>
      <c r="F1410" cm="1">
        <f t="array" ref="F1410">IF($Q1410&gt;=0,IFERROR(generateSalesData($D1410, IF(ISNUMBER(_xlfn.XLOOKUP($C1410,Phone_by_Sentiment!$B$2:$B$37,Phone_by_Sentiment!F$2:F$37,"",0,1)),_xlfn.XLOOKUP($C1410,Phone_by_Sentiment!$B$2:$B$37,Phone_by_Sentiment!F$2:F$37,"",0,1),0),$A1410-TEXT(DATEVALUE($D1410&amp;"-01"), "dd-mm-yyyy")),0),0)</f>
        <v>479</v>
      </c>
      <c r="G1410" cm="1">
        <f t="array" ref="G1410">IF($Q1410&gt;=0,IFERROR(generateSalesData($D1410, IF(ISNUMBER(_xlfn.XLOOKUP($C1410,Phone_by_Sentiment!$B$2:$B$37,Phone_by_Sentiment!G$2:G$37,"",0,1)),_xlfn.XLOOKUP($C1410,Phone_by_Sentiment!$B$2:$B$37,Phone_by_Sentiment!G$2:G$37,"",0,1),0),$A1410-TEXT(DATEVALUE($D1410&amp;"-01"), "dd-mm-yyyy")),0),0)</f>
        <v>171</v>
      </c>
      <c r="H1410" cm="1">
        <f t="array" ref="H1410">IF($Q1410&gt;=0,IFERROR(generateSalesData($D1410, IF(ISNUMBER(_xlfn.XLOOKUP($C1410,Phone_by_Sentiment!$B$2:$B$37,Phone_by_Sentiment!H$2:H$37,"",0,1)),_xlfn.XLOOKUP($C1410,Phone_by_Sentiment!$B$2:$B$37,Phone_by_Sentiment!H$2:H$37,"",0,1),0),$A1410-TEXT(DATEVALUE($D1410&amp;"-01"), "dd-mm-yyyy")),0),0)</f>
        <v>1300</v>
      </c>
      <c r="I1410" cm="1">
        <f t="array" ref="I1410">IF($Q1410&gt;=0,IFERROR(generateSalesData($D1410, IF(ISNUMBER(_xlfn.XLOOKUP($C1410,Phone_by_Sentiment!$B$2:$B$37,Phone_by_Sentiment!I$2:I$37,"",0,1)),_xlfn.XLOOKUP($C1410,Phone_by_Sentiment!$B$2:$B$37,Phone_by_Sentiment!I$2:I$37,"",0,1),0),$A1410-TEXT(DATEVALUE($D1410&amp;"-01"), "dd-mm-yyyy")),0),0)</f>
        <v>345</v>
      </c>
      <c r="J1410" cm="1">
        <f t="array" ref="J1410">IF($Q1410&gt;=0,IFERROR(generateSalesData($D1410, IF(ISNUMBER(_xlfn.XLOOKUP($C1410,Phone_by_Sentiment!$B$2:$B$37,Phone_by_Sentiment!J$2:J$37,"",0,1)),_xlfn.XLOOKUP($C1410,Phone_by_Sentiment!$B$2:$B$37,Phone_by_Sentiment!J$2:J$37,"",0,1),0),$A1410-TEXT(DATEVALUE($D1410&amp;"-01"), "dd-mm-yyyy")),0),0)</f>
        <v>559</v>
      </c>
      <c r="K1410" cm="1">
        <f t="array" ref="K1410">IF($Q1410&gt;=0,IFERROR(generateSalesData($D1410, IF(ISNUMBER(_xlfn.XLOOKUP($C1410,Phone_by_Sentiment!$B$2:$B$37,Phone_by_Sentiment!K$2:K$37,"",0,1)),_xlfn.XLOOKUP($C1410,Phone_by_Sentiment!$B$2:$B$37,Phone_by_Sentiment!K$2:K$37,"",0,1),0),$A1410-TEXT(DATEVALUE($D1410&amp;"-01"), "dd-mm-yyyy")),0),0)</f>
        <v>264</v>
      </c>
      <c r="L1410" cm="1">
        <f t="array" ref="L1410">IF($Q1410&gt;=0,IFERROR(generateSalesData($D1410, IF(ISNUMBER(_xlfn.XLOOKUP($C1410,Phone_by_Sentiment!$B$2:$B$37,Phone_by_Sentiment!L$2:L$37,"",0,1)),_xlfn.XLOOKUP($C1410,Phone_by_Sentiment!$B$2:$B$37,Phone_by_Sentiment!L$2:L$37,"",0,1),0),$A1410-TEXT(DATEVALUE($D1410&amp;"-01"), "dd-mm-yyyy")),0),0)</f>
        <v>557</v>
      </c>
      <c r="M1410" cm="1">
        <f t="array" ref="M1410">IF($Q1410&gt;=0,IFERROR(generateSalesData($D1410, IF(ISNUMBER(_xlfn.XLOOKUP($C1410,Phone_by_Sentiment!$B$2:$B$37,Phone_by_Sentiment!M$2:M$37,"",0,1)),_xlfn.XLOOKUP($C1410,Phone_by_Sentiment!$B$2:$B$37,Phone_by_Sentiment!M$2:M$37,"",0,1),0),$A1410-TEXT(DATEVALUE($D1410&amp;"-01"), "dd-mm-yyyy")),0),0)</f>
        <v>708</v>
      </c>
      <c r="N1410" cm="1">
        <f t="array" ref="N1410">IF($Q1410&gt;=0,IFERROR(generateSalesData($D1410, IF(ISNUMBER(_xlfn.XLOOKUP($C1410,Phone_by_Sentiment!$B$2:$B$37,Phone_by_Sentiment!N$2:N$37,"",0,1)),_xlfn.XLOOKUP($C1410,Phone_by_Sentiment!$B$2:$B$37,Phone_by_Sentiment!N$2:N$37,"",0,1),0),$A1410-TEXT(DATEVALUE($D1410&amp;"-01"), "dd-mm-yyyy")),0),0)</f>
        <v>161</v>
      </c>
      <c r="O1410" cm="1">
        <f t="array" ref="O1410">IF($Q1410&gt;=0,IFERROR(generateSalesData($D1410, IF(ISNUMBER(_xlfn.XLOOKUP($C1410,Phone_by_Sentiment!$B$2:$B$37,Phone_by_Sentiment!O$2:O$37,"",0,1)),_xlfn.XLOOKUP($C1410,Phone_by_Sentiment!$B$2:$B$37,Phone_by_Sentiment!O$2:O$37,"",0,1),0),$A1410-TEXT(DATEVALUE($D1410&amp;"-01"), "dd-mm-yyyy")),0),0)</f>
        <v>1574</v>
      </c>
      <c r="P1410" s="1">
        <f t="shared" si="51"/>
        <v>44440</v>
      </c>
      <c r="Q1410">
        <f t="shared" si="55"/>
        <v>242</v>
      </c>
    </row>
    <row r="1411" spans="1:17" x14ac:dyDescent="0.25">
      <c r="A1411" s="1">
        <f t="shared" si="54"/>
        <v>44682</v>
      </c>
      <c r="B1411" t="s">
        <v>154</v>
      </c>
      <c r="C1411" t="str">
        <f>_xlfn.XLOOKUP(B1411,Phone_by_Price!$A$2:$A$34,Phone_by_Price!$B$2:$B$34,"-",0,1)</f>
        <v>Samsung Galaxy S21</v>
      </c>
      <c r="D1411" t="str">
        <f>_xlfn.XLOOKUP(C1411,Phone_by_Sentiment!$B$2:$B$37,Phone_by_Sentiment!$A$2:$A$37,"-",0,1)</f>
        <v>2021-01</v>
      </c>
      <c r="E1411" cm="1">
        <f t="array" ref="E1411">IF($Q1411&gt;=0,IFERROR(generateSalesData($D1411, IF(ISNUMBER(_xlfn.XLOOKUP($C1411,Phone_by_Sentiment!$B$2:$B$37,Phone_by_Sentiment!E$2:E$37,"",0,1)),_xlfn.XLOOKUP($C1411,Phone_by_Sentiment!$B$2:$B$37,Phone_by_Sentiment!E$2:E$37,"",0,1),0),$A1411-TEXT(DATEVALUE($D1411&amp;"-01"), "dd-mm-yyyy")),0),0)</f>
        <v>387</v>
      </c>
      <c r="F1411" cm="1">
        <f t="array" ref="F1411">IF($Q1411&gt;=0,IFERROR(generateSalesData($D1411, IF(ISNUMBER(_xlfn.XLOOKUP($C1411,Phone_by_Sentiment!$B$2:$B$37,Phone_by_Sentiment!F$2:F$37,"",0,1)),_xlfn.XLOOKUP($C1411,Phone_by_Sentiment!$B$2:$B$37,Phone_by_Sentiment!F$2:F$37,"",0,1),0),$A1411-TEXT(DATEVALUE($D1411&amp;"-01"), "dd-mm-yyyy")),0),0)</f>
        <v>835</v>
      </c>
      <c r="G1411" cm="1">
        <f t="array" ref="G1411">IF($Q1411&gt;=0,IFERROR(generateSalesData($D1411, IF(ISNUMBER(_xlfn.XLOOKUP($C1411,Phone_by_Sentiment!$B$2:$B$37,Phone_by_Sentiment!G$2:G$37,"",0,1)),_xlfn.XLOOKUP($C1411,Phone_by_Sentiment!$B$2:$B$37,Phone_by_Sentiment!G$2:G$37,"",0,1),0),$A1411-TEXT(DATEVALUE($D1411&amp;"-01"), "dd-mm-yyyy")),0),0)</f>
        <v>93</v>
      </c>
      <c r="H1411" cm="1">
        <f t="array" ref="H1411">IF($Q1411&gt;=0,IFERROR(generateSalesData($D1411, IF(ISNUMBER(_xlfn.XLOOKUP($C1411,Phone_by_Sentiment!$B$2:$B$37,Phone_by_Sentiment!H$2:H$37,"",0,1)),_xlfn.XLOOKUP($C1411,Phone_by_Sentiment!$B$2:$B$37,Phone_by_Sentiment!H$2:H$37,"",0,1),0),$A1411-TEXT(DATEVALUE($D1411&amp;"-01"), "dd-mm-yyyy")),0),0)</f>
        <v>497</v>
      </c>
      <c r="I1411" cm="1">
        <f t="array" ref="I1411">IF($Q1411&gt;=0,IFERROR(generateSalesData($D1411, IF(ISNUMBER(_xlfn.XLOOKUP($C1411,Phone_by_Sentiment!$B$2:$B$37,Phone_by_Sentiment!I$2:I$37,"",0,1)),_xlfn.XLOOKUP($C1411,Phone_by_Sentiment!$B$2:$B$37,Phone_by_Sentiment!I$2:I$37,"",0,1),0),$A1411-TEXT(DATEVALUE($D1411&amp;"-01"), "dd-mm-yyyy")),0),0)</f>
        <v>448</v>
      </c>
      <c r="J1411" cm="1">
        <f t="array" ref="J1411">IF($Q1411&gt;=0,IFERROR(generateSalesData($D1411, IF(ISNUMBER(_xlfn.XLOOKUP($C1411,Phone_by_Sentiment!$B$2:$B$37,Phone_by_Sentiment!J$2:J$37,"",0,1)),_xlfn.XLOOKUP($C1411,Phone_by_Sentiment!$B$2:$B$37,Phone_by_Sentiment!J$2:J$37,"",0,1),0),$A1411-TEXT(DATEVALUE($D1411&amp;"-01"), "dd-mm-yyyy")),0),0)</f>
        <v>757</v>
      </c>
      <c r="K1411" cm="1">
        <f t="array" ref="K1411">IF($Q1411&gt;=0,IFERROR(generateSalesData($D1411, IF(ISNUMBER(_xlfn.XLOOKUP($C1411,Phone_by_Sentiment!$B$2:$B$37,Phone_by_Sentiment!K$2:K$37,"",0,1)),_xlfn.XLOOKUP($C1411,Phone_by_Sentiment!$B$2:$B$37,Phone_by_Sentiment!K$2:K$37,"",0,1),0),$A1411-TEXT(DATEVALUE($D1411&amp;"-01"), "dd-mm-yyyy")),0),0)</f>
        <v>158</v>
      </c>
      <c r="L1411" cm="1">
        <f t="array" ref="L1411">IF($Q1411&gt;=0,IFERROR(generateSalesData($D1411, IF(ISNUMBER(_xlfn.XLOOKUP($C1411,Phone_by_Sentiment!$B$2:$B$37,Phone_by_Sentiment!L$2:L$37,"",0,1)),_xlfn.XLOOKUP($C1411,Phone_by_Sentiment!$B$2:$B$37,Phone_by_Sentiment!L$2:L$37,"",0,1),0),$A1411-TEXT(DATEVALUE($D1411&amp;"-01"), "dd-mm-yyyy")),0),0)</f>
        <v>731</v>
      </c>
      <c r="M1411" cm="1">
        <f t="array" ref="M1411">IF($Q1411&gt;=0,IFERROR(generateSalesData($D1411, IF(ISNUMBER(_xlfn.XLOOKUP($C1411,Phone_by_Sentiment!$B$2:$B$37,Phone_by_Sentiment!M$2:M$37,"",0,1)),_xlfn.XLOOKUP($C1411,Phone_by_Sentiment!$B$2:$B$37,Phone_by_Sentiment!M$2:M$37,"",0,1),0),$A1411-TEXT(DATEVALUE($D1411&amp;"-01"), "dd-mm-yyyy")),0),0)</f>
        <v>390</v>
      </c>
      <c r="N1411" cm="1">
        <f t="array" ref="N1411">IF($Q1411&gt;=0,IFERROR(generateSalesData($D1411, IF(ISNUMBER(_xlfn.XLOOKUP($C1411,Phone_by_Sentiment!$B$2:$B$37,Phone_by_Sentiment!N$2:N$37,"",0,1)),_xlfn.XLOOKUP($C1411,Phone_by_Sentiment!$B$2:$B$37,Phone_by_Sentiment!N$2:N$37,"",0,1),0),$A1411-TEXT(DATEVALUE($D1411&amp;"-01"), "dd-mm-yyyy")),0),0)</f>
        <v>372</v>
      </c>
      <c r="O1411" cm="1">
        <f t="array" ref="O1411">IF($Q1411&gt;=0,IFERROR(generateSalesData($D1411, IF(ISNUMBER(_xlfn.XLOOKUP($C1411,Phone_by_Sentiment!$B$2:$B$37,Phone_by_Sentiment!O$2:O$37,"",0,1)),_xlfn.XLOOKUP($C1411,Phone_by_Sentiment!$B$2:$B$37,Phone_by_Sentiment!O$2:O$37,"",0,1),0),$A1411-TEXT(DATEVALUE($D1411&amp;"-01"), "dd-mm-yyyy")),0),0)</f>
        <v>1021</v>
      </c>
      <c r="P1411" s="1">
        <f t="shared" si="51"/>
        <v>44197</v>
      </c>
      <c r="Q1411">
        <f t="shared" si="55"/>
        <v>485</v>
      </c>
    </row>
    <row r="1412" spans="1:17" x14ac:dyDescent="0.25">
      <c r="A1412" s="1">
        <f t="shared" ref="A1412:A1475" si="56">DATE(YEAR($A$1), MONTH($A$1) + INT((ROW()-1)/35), DAY($A$1))</f>
        <v>44682</v>
      </c>
      <c r="B1412" t="s">
        <v>155</v>
      </c>
      <c r="C1412" t="str">
        <f>_xlfn.XLOOKUP(B1412,Phone_by_Price!$A$2:$A$34,Phone_by_Price!$B$2:$B$34,"-",0,1)</f>
        <v>Google Pixel 6</v>
      </c>
      <c r="D1412" t="str">
        <f>_xlfn.XLOOKUP(C1412,Phone_by_Sentiment!$B$2:$B$37,Phone_by_Sentiment!$A$2:$A$37,"-",0,1)</f>
        <v>2021-10</v>
      </c>
      <c r="E1412" cm="1">
        <f t="array" ref="E1412">IF($Q1412&gt;=0,IFERROR(generateSalesData($D1412, IF(ISNUMBER(_xlfn.XLOOKUP($C1412,Phone_by_Sentiment!$B$2:$B$37,Phone_by_Sentiment!E$2:E$37,"",0,1)),_xlfn.XLOOKUP($C1412,Phone_by_Sentiment!$B$2:$B$37,Phone_by_Sentiment!E$2:E$37,"",0,1),0),$A1412-TEXT(DATEVALUE($D1412&amp;"-01"), "dd-mm-yyyy")),0),0)</f>
        <v>234</v>
      </c>
      <c r="F1412" cm="1">
        <f t="array" ref="F1412">IF($Q1412&gt;=0,IFERROR(generateSalesData($D1412, IF(ISNUMBER(_xlfn.XLOOKUP($C1412,Phone_by_Sentiment!$B$2:$B$37,Phone_by_Sentiment!F$2:F$37,"",0,1)),_xlfn.XLOOKUP($C1412,Phone_by_Sentiment!$B$2:$B$37,Phone_by_Sentiment!F$2:F$37,"",0,1),0),$A1412-TEXT(DATEVALUE($D1412&amp;"-01"), "dd-mm-yyyy")),0),0)</f>
        <v>121</v>
      </c>
      <c r="G1412" cm="1">
        <f t="array" ref="G1412">IF($Q1412&gt;=0,IFERROR(generateSalesData($D1412, IF(ISNUMBER(_xlfn.XLOOKUP($C1412,Phone_by_Sentiment!$B$2:$B$37,Phone_by_Sentiment!G$2:G$37,"",0,1)),_xlfn.XLOOKUP($C1412,Phone_by_Sentiment!$B$2:$B$37,Phone_by_Sentiment!G$2:G$37,"",0,1),0),$A1412-TEXT(DATEVALUE($D1412&amp;"-01"), "dd-mm-yyyy")),0),0)</f>
        <v>200</v>
      </c>
      <c r="H1412" cm="1">
        <f t="array" ref="H1412">IF($Q1412&gt;=0,IFERROR(generateSalesData($D1412, IF(ISNUMBER(_xlfn.XLOOKUP($C1412,Phone_by_Sentiment!$B$2:$B$37,Phone_by_Sentiment!H$2:H$37,"",0,1)),_xlfn.XLOOKUP($C1412,Phone_by_Sentiment!$B$2:$B$37,Phone_by_Sentiment!H$2:H$37,"",0,1),0),$A1412-TEXT(DATEVALUE($D1412&amp;"-01"), "dd-mm-yyyy")),0),0)</f>
        <v>139</v>
      </c>
      <c r="I1412" cm="1">
        <f t="array" ref="I1412">IF($Q1412&gt;=0,IFERROR(generateSalesData($D1412, IF(ISNUMBER(_xlfn.XLOOKUP($C1412,Phone_by_Sentiment!$B$2:$B$37,Phone_by_Sentiment!I$2:I$37,"",0,1)),_xlfn.XLOOKUP($C1412,Phone_by_Sentiment!$B$2:$B$37,Phone_by_Sentiment!I$2:I$37,"",0,1),0),$A1412-TEXT(DATEVALUE($D1412&amp;"-01"), "dd-mm-yyyy")),0),0)</f>
        <v>81</v>
      </c>
      <c r="J1412" cm="1">
        <f t="array" ref="J1412">IF($Q1412&gt;=0,IFERROR(generateSalesData($D1412, IF(ISNUMBER(_xlfn.XLOOKUP($C1412,Phone_by_Sentiment!$B$2:$B$37,Phone_by_Sentiment!J$2:J$37,"",0,1)),_xlfn.XLOOKUP($C1412,Phone_by_Sentiment!$B$2:$B$37,Phone_by_Sentiment!J$2:J$37,"",0,1),0),$A1412-TEXT(DATEVALUE($D1412&amp;"-01"), "dd-mm-yyyy")),0),0)</f>
        <v>213</v>
      </c>
      <c r="K1412" cm="1">
        <f t="array" ref="K1412">IF($Q1412&gt;=0,IFERROR(generateSalesData($D1412, IF(ISNUMBER(_xlfn.XLOOKUP($C1412,Phone_by_Sentiment!$B$2:$B$37,Phone_by_Sentiment!K$2:K$37,"",0,1)),_xlfn.XLOOKUP($C1412,Phone_by_Sentiment!$B$2:$B$37,Phone_by_Sentiment!K$2:K$37,"",0,1),0),$A1412-TEXT(DATEVALUE($D1412&amp;"-01"), "dd-mm-yyyy")),0),0)</f>
        <v>176</v>
      </c>
      <c r="L1412" cm="1">
        <f t="array" ref="L1412">IF($Q1412&gt;=0,IFERROR(generateSalesData($D1412, IF(ISNUMBER(_xlfn.XLOOKUP($C1412,Phone_by_Sentiment!$B$2:$B$37,Phone_by_Sentiment!L$2:L$37,"",0,1)),_xlfn.XLOOKUP($C1412,Phone_by_Sentiment!$B$2:$B$37,Phone_by_Sentiment!L$2:L$37,"",0,1),0),$A1412-TEXT(DATEVALUE($D1412&amp;"-01"), "dd-mm-yyyy")),0),0)</f>
        <v>127</v>
      </c>
      <c r="M1412" cm="1">
        <f t="array" ref="M1412">IF($Q1412&gt;=0,IFERROR(generateSalesData($D1412, IF(ISNUMBER(_xlfn.XLOOKUP($C1412,Phone_by_Sentiment!$B$2:$B$37,Phone_by_Sentiment!M$2:M$37,"",0,1)),_xlfn.XLOOKUP($C1412,Phone_by_Sentiment!$B$2:$B$37,Phone_by_Sentiment!M$2:M$37,"",0,1),0),$A1412-TEXT(DATEVALUE($D1412&amp;"-01"), "dd-mm-yyyy")),0),0)</f>
        <v>1583</v>
      </c>
      <c r="N1412" cm="1">
        <f t="array" ref="N1412">IF($Q1412&gt;=0,IFERROR(generateSalesData($D1412, IF(ISNUMBER(_xlfn.XLOOKUP($C1412,Phone_by_Sentiment!$B$2:$B$37,Phone_by_Sentiment!N$2:N$37,"",0,1)),_xlfn.XLOOKUP($C1412,Phone_by_Sentiment!$B$2:$B$37,Phone_by_Sentiment!N$2:N$37,"",0,1),0),$A1412-TEXT(DATEVALUE($D1412&amp;"-01"), "dd-mm-yyyy")),0),0)</f>
        <v>161</v>
      </c>
      <c r="O1412" cm="1">
        <f t="array" ref="O1412">IF($Q1412&gt;=0,IFERROR(generateSalesData($D1412, IF(ISNUMBER(_xlfn.XLOOKUP($C1412,Phone_by_Sentiment!$B$2:$B$37,Phone_by_Sentiment!O$2:O$37,"",0,1)),_xlfn.XLOOKUP($C1412,Phone_by_Sentiment!$B$2:$B$37,Phone_by_Sentiment!O$2:O$37,"",0,1),0),$A1412-TEXT(DATEVALUE($D1412&amp;"-01"), "dd-mm-yyyy")),0),0)</f>
        <v>209</v>
      </c>
      <c r="P1412" s="1">
        <f t="shared" si="51"/>
        <v>44470</v>
      </c>
      <c r="Q1412">
        <f t="shared" ref="Q1412:Q1475" si="57">A1412-P1412</f>
        <v>212</v>
      </c>
    </row>
    <row r="1413" spans="1:17" x14ac:dyDescent="0.25">
      <c r="A1413" s="1">
        <f t="shared" si="56"/>
        <v>44682</v>
      </c>
      <c r="B1413" t="s">
        <v>156</v>
      </c>
      <c r="C1413" t="str">
        <f>_xlfn.XLOOKUP(B1413,Phone_by_Price!$A$2:$A$34,Phone_by_Price!$B$2:$B$34,"-",0,1)</f>
        <v>OnePlus Nord CE</v>
      </c>
      <c r="D1413" t="str">
        <f>_xlfn.XLOOKUP(C1413,Phone_by_Sentiment!$B$2:$B$37,Phone_by_Sentiment!$A$2:$A$37,"-",0,1)</f>
        <v>2021-06</v>
      </c>
      <c r="E1413" cm="1">
        <f t="array" ref="E1413">IF($Q1413&gt;=0,IFERROR(generateSalesData($D1413, IF(ISNUMBER(_xlfn.XLOOKUP($C1413,Phone_by_Sentiment!$B$2:$B$37,Phone_by_Sentiment!E$2:E$37,"",0,1)),_xlfn.XLOOKUP($C1413,Phone_by_Sentiment!$B$2:$B$37,Phone_by_Sentiment!E$2:E$37,"",0,1),0),$A1413-TEXT(DATEVALUE($D1413&amp;"-01"), "dd-mm-yyyy")),0),0)</f>
        <v>115</v>
      </c>
      <c r="F1413" cm="1">
        <f t="array" ref="F1413">IF($Q1413&gt;=0,IFERROR(generateSalesData($D1413, IF(ISNUMBER(_xlfn.XLOOKUP($C1413,Phone_by_Sentiment!$B$2:$B$37,Phone_by_Sentiment!F$2:F$37,"",0,1)),_xlfn.XLOOKUP($C1413,Phone_by_Sentiment!$B$2:$B$37,Phone_by_Sentiment!F$2:F$37,"",0,1),0),$A1413-TEXT(DATEVALUE($D1413&amp;"-01"), "dd-mm-yyyy")),0),0)</f>
        <v>53</v>
      </c>
      <c r="G1413" cm="1">
        <f t="array" ref="G1413">IF($Q1413&gt;=0,IFERROR(generateSalesData($D1413, IF(ISNUMBER(_xlfn.XLOOKUP($C1413,Phone_by_Sentiment!$B$2:$B$37,Phone_by_Sentiment!G$2:G$37,"",0,1)),_xlfn.XLOOKUP($C1413,Phone_by_Sentiment!$B$2:$B$37,Phone_by_Sentiment!G$2:G$37,"",0,1),0),$A1413-TEXT(DATEVALUE($D1413&amp;"-01"), "dd-mm-yyyy")),0),0)</f>
        <v>100</v>
      </c>
      <c r="H1413" cm="1">
        <f t="array" ref="H1413">IF($Q1413&gt;=0,IFERROR(generateSalesData($D1413, IF(ISNUMBER(_xlfn.XLOOKUP($C1413,Phone_by_Sentiment!$B$2:$B$37,Phone_by_Sentiment!H$2:H$37,"",0,1)),_xlfn.XLOOKUP($C1413,Phone_by_Sentiment!$B$2:$B$37,Phone_by_Sentiment!H$2:H$37,"",0,1),0),$A1413-TEXT(DATEVALUE($D1413&amp;"-01"), "dd-mm-yyyy")),0),0)</f>
        <v>701</v>
      </c>
      <c r="I1413" cm="1">
        <f t="array" ref="I1413">IF($Q1413&gt;=0,IFERROR(generateSalesData($D1413, IF(ISNUMBER(_xlfn.XLOOKUP($C1413,Phone_by_Sentiment!$B$2:$B$37,Phone_by_Sentiment!I$2:I$37,"",0,1)),_xlfn.XLOOKUP($C1413,Phone_by_Sentiment!$B$2:$B$37,Phone_by_Sentiment!I$2:I$37,"",0,1),0),$A1413-TEXT(DATEVALUE($D1413&amp;"-01"), "dd-mm-yyyy")),0),0)</f>
        <v>111</v>
      </c>
      <c r="J1413" cm="1">
        <f t="array" ref="J1413">IF($Q1413&gt;=0,IFERROR(generateSalesData($D1413, IF(ISNUMBER(_xlfn.XLOOKUP($C1413,Phone_by_Sentiment!$B$2:$B$37,Phone_by_Sentiment!J$2:J$37,"",0,1)),_xlfn.XLOOKUP($C1413,Phone_by_Sentiment!$B$2:$B$37,Phone_by_Sentiment!J$2:J$37,"",0,1),0),$A1413-TEXT(DATEVALUE($D1413&amp;"-01"), "dd-mm-yyyy")),0),0)</f>
        <v>44</v>
      </c>
      <c r="K1413" cm="1">
        <f t="array" ref="K1413">IF($Q1413&gt;=0,IFERROR(generateSalesData($D1413, IF(ISNUMBER(_xlfn.XLOOKUP($C1413,Phone_by_Sentiment!$B$2:$B$37,Phone_by_Sentiment!K$2:K$37,"",0,1)),_xlfn.XLOOKUP($C1413,Phone_by_Sentiment!$B$2:$B$37,Phone_by_Sentiment!K$2:K$37,"",0,1),0),$A1413-TEXT(DATEVALUE($D1413&amp;"-01"), "dd-mm-yyyy")),0),0)</f>
        <v>-53</v>
      </c>
      <c r="L1413" cm="1">
        <f t="array" ref="L1413">IF($Q1413&gt;=0,IFERROR(generateSalesData($D1413, IF(ISNUMBER(_xlfn.XLOOKUP($C1413,Phone_by_Sentiment!$B$2:$B$37,Phone_by_Sentiment!L$2:L$37,"",0,1)),_xlfn.XLOOKUP($C1413,Phone_by_Sentiment!$B$2:$B$37,Phone_by_Sentiment!L$2:L$37,"",0,1),0),$A1413-TEXT(DATEVALUE($D1413&amp;"-01"), "dd-mm-yyyy")),0),0)</f>
        <v>43</v>
      </c>
      <c r="M1413" cm="1">
        <f t="array" ref="M1413">IF($Q1413&gt;=0,IFERROR(generateSalesData($D1413, IF(ISNUMBER(_xlfn.XLOOKUP($C1413,Phone_by_Sentiment!$B$2:$B$37,Phone_by_Sentiment!M$2:M$37,"",0,1)),_xlfn.XLOOKUP($C1413,Phone_by_Sentiment!$B$2:$B$37,Phone_by_Sentiment!M$2:M$37,"",0,1),0),$A1413-TEXT(DATEVALUE($D1413&amp;"-01"), "dd-mm-yyyy")),0),0)</f>
        <v>64</v>
      </c>
      <c r="N1413" cm="1">
        <f t="array" ref="N1413">IF($Q1413&gt;=0,IFERROR(generateSalesData($D1413, IF(ISNUMBER(_xlfn.XLOOKUP($C1413,Phone_by_Sentiment!$B$2:$B$37,Phone_by_Sentiment!N$2:N$37,"",0,1)),_xlfn.XLOOKUP($C1413,Phone_by_Sentiment!$B$2:$B$37,Phone_by_Sentiment!N$2:N$37,"",0,1),0),$A1413-TEXT(DATEVALUE($D1413&amp;"-01"), "dd-mm-yyyy")),0),0)</f>
        <v>845</v>
      </c>
      <c r="O1413" cm="1">
        <f t="array" ref="O1413">IF($Q1413&gt;=0,IFERROR(generateSalesData($D1413, IF(ISNUMBER(_xlfn.XLOOKUP($C1413,Phone_by_Sentiment!$B$2:$B$37,Phone_by_Sentiment!O$2:O$37,"",0,1)),_xlfn.XLOOKUP($C1413,Phone_by_Sentiment!$B$2:$B$37,Phone_by_Sentiment!O$2:O$37,"",0,1),0),$A1413-TEXT(DATEVALUE($D1413&amp;"-01"), "dd-mm-yyyy")),0),0)</f>
        <v>33</v>
      </c>
      <c r="P1413" s="1">
        <f t="shared" si="51"/>
        <v>44348</v>
      </c>
      <c r="Q1413">
        <f t="shared" si="57"/>
        <v>334</v>
      </c>
    </row>
    <row r="1414" spans="1:17" x14ac:dyDescent="0.25">
      <c r="A1414" s="1">
        <f t="shared" si="56"/>
        <v>44682</v>
      </c>
      <c r="B1414" t="s">
        <v>157</v>
      </c>
      <c r="C1414" t="str">
        <f>_xlfn.XLOOKUP(B1414,Phone_by_Price!$A$2:$A$34,Phone_by_Price!$B$2:$B$34,"-",0,1)</f>
        <v>Apple iPhone 13 Pro</v>
      </c>
      <c r="D1414" t="str">
        <f>_xlfn.XLOOKUP(C1414,Phone_by_Sentiment!$B$2:$B$37,Phone_by_Sentiment!$A$2:$A$37,"-",0,1)</f>
        <v>2021-09</v>
      </c>
      <c r="E1414" cm="1">
        <f t="array" ref="E1414">IF($Q1414&gt;=0,IFERROR(generateSalesData($D1414, IF(ISNUMBER(_xlfn.XLOOKUP($C1414,Phone_by_Sentiment!$B$2:$B$37,Phone_by_Sentiment!E$2:E$37,"",0,1)),_xlfn.XLOOKUP($C1414,Phone_by_Sentiment!$B$2:$B$37,Phone_by_Sentiment!E$2:E$37,"",0,1),0),$A1414-TEXT(DATEVALUE($D1414&amp;"-01"), "dd-mm-yyyy")),0),0)</f>
        <v>1171</v>
      </c>
      <c r="F1414" cm="1">
        <f t="array" ref="F1414">IF($Q1414&gt;=0,IFERROR(generateSalesData($D1414, IF(ISNUMBER(_xlfn.XLOOKUP($C1414,Phone_by_Sentiment!$B$2:$B$37,Phone_by_Sentiment!F$2:F$37,"",0,1)),_xlfn.XLOOKUP($C1414,Phone_by_Sentiment!$B$2:$B$37,Phone_by_Sentiment!F$2:F$37,"",0,1),0),$A1414-TEXT(DATEVALUE($D1414&amp;"-01"), "dd-mm-yyyy")),0),0)</f>
        <v>1226</v>
      </c>
      <c r="G1414" cm="1">
        <f t="array" ref="G1414">IF($Q1414&gt;=0,IFERROR(generateSalesData($D1414, IF(ISNUMBER(_xlfn.XLOOKUP($C1414,Phone_by_Sentiment!$B$2:$B$37,Phone_by_Sentiment!G$2:G$37,"",0,1)),_xlfn.XLOOKUP($C1414,Phone_by_Sentiment!$B$2:$B$37,Phone_by_Sentiment!G$2:G$37,"",0,1),0),$A1414-TEXT(DATEVALUE($D1414&amp;"-01"), "dd-mm-yyyy")),0),0)</f>
        <v>224</v>
      </c>
      <c r="H1414" cm="1">
        <f t="array" ref="H1414">IF($Q1414&gt;=0,IFERROR(generateSalesData($D1414, IF(ISNUMBER(_xlfn.XLOOKUP($C1414,Phone_by_Sentiment!$B$2:$B$37,Phone_by_Sentiment!H$2:H$37,"",0,1)),_xlfn.XLOOKUP($C1414,Phone_by_Sentiment!$B$2:$B$37,Phone_by_Sentiment!H$2:H$37,"",0,1),0),$A1414-TEXT(DATEVALUE($D1414&amp;"-01"), "dd-mm-yyyy")),0),0)</f>
        <v>728</v>
      </c>
      <c r="I1414" cm="1">
        <f t="array" ref="I1414">IF($Q1414&gt;=0,IFERROR(generateSalesData($D1414, IF(ISNUMBER(_xlfn.XLOOKUP($C1414,Phone_by_Sentiment!$B$2:$B$37,Phone_by_Sentiment!I$2:I$37,"",0,1)),_xlfn.XLOOKUP($C1414,Phone_by_Sentiment!$B$2:$B$37,Phone_by_Sentiment!I$2:I$37,"",0,1),0),$A1414-TEXT(DATEVALUE($D1414&amp;"-01"), "dd-mm-yyyy")),0),0)</f>
        <v>1532</v>
      </c>
      <c r="J1414" cm="1">
        <f t="array" ref="J1414">IF($Q1414&gt;=0,IFERROR(generateSalesData($D1414, IF(ISNUMBER(_xlfn.XLOOKUP($C1414,Phone_by_Sentiment!$B$2:$B$37,Phone_by_Sentiment!J$2:J$37,"",0,1)),_xlfn.XLOOKUP($C1414,Phone_by_Sentiment!$B$2:$B$37,Phone_by_Sentiment!J$2:J$37,"",0,1),0),$A1414-TEXT(DATEVALUE($D1414&amp;"-01"), "dd-mm-yyyy")),0),0)</f>
        <v>1723</v>
      </c>
      <c r="K1414" cm="1">
        <f t="array" ref="K1414">IF($Q1414&gt;=0,IFERROR(generateSalesData($D1414, IF(ISNUMBER(_xlfn.XLOOKUP($C1414,Phone_by_Sentiment!$B$2:$B$37,Phone_by_Sentiment!K$2:K$37,"",0,1)),_xlfn.XLOOKUP($C1414,Phone_by_Sentiment!$B$2:$B$37,Phone_by_Sentiment!K$2:K$37,"",0,1),0),$A1414-TEXT(DATEVALUE($D1414&amp;"-01"), "dd-mm-yyyy")),0),0)</f>
        <v>1727</v>
      </c>
      <c r="L1414" cm="1">
        <f t="array" ref="L1414">IF($Q1414&gt;=0,IFERROR(generateSalesData($D1414, IF(ISNUMBER(_xlfn.XLOOKUP($C1414,Phone_by_Sentiment!$B$2:$B$37,Phone_by_Sentiment!L$2:L$37,"",0,1)),_xlfn.XLOOKUP($C1414,Phone_by_Sentiment!$B$2:$B$37,Phone_by_Sentiment!L$2:L$37,"",0,1),0),$A1414-TEXT(DATEVALUE($D1414&amp;"-01"), "dd-mm-yyyy")),0),0)</f>
        <v>689</v>
      </c>
      <c r="M1414" cm="1">
        <f t="array" ref="M1414">IF($Q1414&gt;=0,IFERROR(generateSalesData($D1414, IF(ISNUMBER(_xlfn.XLOOKUP($C1414,Phone_by_Sentiment!$B$2:$B$37,Phone_by_Sentiment!M$2:M$37,"",0,1)),_xlfn.XLOOKUP($C1414,Phone_by_Sentiment!$B$2:$B$37,Phone_by_Sentiment!M$2:M$37,"",0,1),0),$A1414-TEXT(DATEVALUE($D1414&amp;"-01"), "dd-mm-yyyy")),0),0)</f>
        <v>1036</v>
      </c>
      <c r="N1414" cm="1">
        <f t="array" ref="N1414">IF($Q1414&gt;=0,IFERROR(generateSalesData($D1414, IF(ISNUMBER(_xlfn.XLOOKUP($C1414,Phone_by_Sentiment!$B$2:$B$37,Phone_by_Sentiment!N$2:N$37,"",0,1)),_xlfn.XLOOKUP($C1414,Phone_by_Sentiment!$B$2:$B$37,Phone_by_Sentiment!N$2:N$37,"",0,1),0),$A1414-TEXT(DATEVALUE($D1414&amp;"-01"), "dd-mm-yyyy")),0),0)</f>
        <v>1313</v>
      </c>
      <c r="O1414" cm="1">
        <f t="array" ref="O1414">IF($Q1414&gt;=0,IFERROR(generateSalesData($D1414, IF(ISNUMBER(_xlfn.XLOOKUP($C1414,Phone_by_Sentiment!$B$2:$B$37,Phone_by_Sentiment!O$2:O$37,"",0,1)),_xlfn.XLOOKUP($C1414,Phone_by_Sentiment!$B$2:$B$37,Phone_by_Sentiment!O$2:O$37,"",0,1),0),$A1414-TEXT(DATEVALUE($D1414&amp;"-01"), "dd-mm-yyyy")),0),0)</f>
        <v>1557</v>
      </c>
      <c r="P1414" s="1">
        <f t="shared" si="51"/>
        <v>44440</v>
      </c>
      <c r="Q1414">
        <f t="shared" si="57"/>
        <v>242</v>
      </c>
    </row>
    <row r="1415" spans="1:17" x14ac:dyDescent="0.25">
      <c r="A1415" s="1">
        <f t="shared" si="56"/>
        <v>44682</v>
      </c>
      <c r="B1415" t="s">
        <v>158</v>
      </c>
      <c r="C1415" t="str">
        <f>_xlfn.XLOOKUP(B1415,Phone_by_Price!$A$2:$A$34,Phone_by_Price!$B$2:$B$34,"-",0,1)</f>
        <v>Samsung Galaxy A32 5G</v>
      </c>
      <c r="D1415" t="str">
        <f>_xlfn.XLOOKUP(C1415,Phone_by_Sentiment!$B$2:$B$37,Phone_by_Sentiment!$A$2:$A$37,"-",0,1)</f>
        <v>2021-02</v>
      </c>
      <c r="E1415" cm="1">
        <f t="array" ref="E1415">IF($Q1415&gt;=0,IFERROR(generateSalesData($D1415, IF(ISNUMBER(_xlfn.XLOOKUP($C1415,Phone_by_Sentiment!$B$2:$B$37,Phone_by_Sentiment!E$2:E$37,"",0,1)),_xlfn.XLOOKUP($C1415,Phone_by_Sentiment!$B$2:$B$37,Phone_by_Sentiment!E$2:E$37,"",0,1),0),$A1415-TEXT(DATEVALUE($D1415&amp;"-01"), "dd-mm-yyyy")),0),0)</f>
        <v>459</v>
      </c>
      <c r="F1415" cm="1">
        <f t="array" ref="F1415">IF($Q1415&gt;=0,IFERROR(generateSalesData($D1415, IF(ISNUMBER(_xlfn.XLOOKUP($C1415,Phone_by_Sentiment!$B$2:$B$37,Phone_by_Sentiment!F$2:F$37,"",0,1)),_xlfn.XLOOKUP($C1415,Phone_by_Sentiment!$B$2:$B$37,Phone_by_Sentiment!F$2:F$37,"",0,1),0),$A1415-TEXT(DATEVALUE($D1415&amp;"-01"), "dd-mm-yyyy")),0),0)</f>
        <v>240</v>
      </c>
      <c r="G1415" cm="1">
        <f t="array" ref="G1415">IF($Q1415&gt;=0,IFERROR(generateSalesData($D1415, IF(ISNUMBER(_xlfn.XLOOKUP($C1415,Phone_by_Sentiment!$B$2:$B$37,Phone_by_Sentiment!G$2:G$37,"",0,1)),_xlfn.XLOOKUP($C1415,Phone_by_Sentiment!$B$2:$B$37,Phone_by_Sentiment!G$2:G$37,"",0,1),0),$A1415-TEXT(DATEVALUE($D1415&amp;"-01"), "dd-mm-yyyy")),0),0)</f>
        <v>95</v>
      </c>
      <c r="H1415" cm="1">
        <f t="array" ref="H1415">IF($Q1415&gt;=0,IFERROR(generateSalesData($D1415, IF(ISNUMBER(_xlfn.XLOOKUP($C1415,Phone_by_Sentiment!$B$2:$B$37,Phone_by_Sentiment!H$2:H$37,"",0,1)),_xlfn.XLOOKUP($C1415,Phone_by_Sentiment!$B$2:$B$37,Phone_by_Sentiment!H$2:H$37,"",0,1),0),$A1415-TEXT(DATEVALUE($D1415&amp;"-01"), "dd-mm-yyyy")),0),0)</f>
        <v>628</v>
      </c>
      <c r="I1415" cm="1">
        <f t="array" ref="I1415">IF($Q1415&gt;=0,IFERROR(generateSalesData($D1415, IF(ISNUMBER(_xlfn.XLOOKUP($C1415,Phone_by_Sentiment!$B$2:$B$37,Phone_by_Sentiment!I$2:I$37,"",0,1)),_xlfn.XLOOKUP($C1415,Phone_by_Sentiment!$B$2:$B$37,Phone_by_Sentiment!I$2:I$37,"",0,1),0),$A1415-TEXT(DATEVALUE($D1415&amp;"-01"), "dd-mm-yyyy")),0),0)</f>
        <v>258</v>
      </c>
      <c r="J1415" cm="1">
        <f t="array" ref="J1415">IF($Q1415&gt;=0,IFERROR(generateSalesData($D1415, IF(ISNUMBER(_xlfn.XLOOKUP($C1415,Phone_by_Sentiment!$B$2:$B$37,Phone_by_Sentiment!J$2:J$37,"",0,1)),_xlfn.XLOOKUP($C1415,Phone_by_Sentiment!$B$2:$B$37,Phone_by_Sentiment!J$2:J$37,"",0,1),0),$A1415-TEXT(DATEVALUE($D1415&amp;"-01"), "dd-mm-yyyy")),0),0)</f>
        <v>434</v>
      </c>
      <c r="K1415" cm="1">
        <f t="array" ref="K1415">IF($Q1415&gt;=0,IFERROR(generateSalesData($D1415, IF(ISNUMBER(_xlfn.XLOOKUP($C1415,Phone_by_Sentiment!$B$2:$B$37,Phone_by_Sentiment!K$2:K$37,"",0,1)),_xlfn.XLOOKUP($C1415,Phone_by_Sentiment!$B$2:$B$37,Phone_by_Sentiment!K$2:K$37,"",0,1),0),$A1415-TEXT(DATEVALUE($D1415&amp;"-01"), "dd-mm-yyyy")),0),0)</f>
        <v>-54</v>
      </c>
      <c r="L1415" cm="1">
        <f t="array" ref="L1415">IF($Q1415&gt;=0,IFERROR(generateSalesData($D1415, IF(ISNUMBER(_xlfn.XLOOKUP($C1415,Phone_by_Sentiment!$B$2:$B$37,Phone_by_Sentiment!L$2:L$37,"",0,1)),_xlfn.XLOOKUP($C1415,Phone_by_Sentiment!$B$2:$B$37,Phone_by_Sentiment!L$2:L$37,"",0,1),0),$A1415-TEXT(DATEVALUE($D1415&amp;"-01"), "dd-mm-yyyy")),0),0)</f>
        <v>1076</v>
      </c>
      <c r="M1415" cm="1">
        <f t="array" ref="M1415">IF($Q1415&gt;=0,IFERROR(generateSalesData($D1415, IF(ISNUMBER(_xlfn.XLOOKUP($C1415,Phone_by_Sentiment!$B$2:$B$37,Phone_by_Sentiment!M$2:M$37,"",0,1)),_xlfn.XLOOKUP($C1415,Phone_by_Sentiment!$B$2:$B$37,Phone_by_Sentiment!M$2:M$37,"",0,1),0),$A1415-TEXT(DATEVALUE($D1415&amp;"-01"), "dd-mm-yyyy")),0),0)</f>
        <v>681</v>
      </c>
      <c r="N1415" cm="1">
        <f t="array" ref="N1415">IF($Q1415&gt;=0,IFERROR(generateSalesData($D1415, IF(ISNUMBER(_xlfn.XLOOKUP($C1415,Phone_by_Sentiment!$B$2:$B$37,Phone_by_Sentiment!N$2:N$37,"",0,1)),_xlfn.XLOOKUP($C1415,Phone_by_Sentiment!$B$2:$B$37,Phone_by_Sentiment!N$2:N$37,"",0,1),0),$A1415-TEXT(DATEVALUE($D1415&amp;"-01"), "dd-mm-yyyy")),0),0)</f>
        <v>230</v>
      </c>
      <c r="O1415" cm="1">
        <f t="array" ref="O1415">IF($Q1415&gt;=0,IFERROR(generateSalesData($D1415, IF(ISNUMBER(_xlfn.XLOOKUP($C1415,Phone_by_Sentiment!$B$2:$B$37,Phone_by_Sentiment!O$2:O$37,"",0,1)),_xlfn.XLOOKUP($C1415,Phone_by_Sentiment!$B$2:$B$37,Phone_by_Sentiment!O$2:O$37,"",0,1),0),$A1415-TEXT(DATEVALUE($D1415&amp;"-01"), "dd-mm-yyyy")),0),0)</f>
        <v>530</v>
      </c>
      <c r="P1415" s="1">
        <f t="shared" si="51"/>
        <v>44228</v>
      </c>
      <c r="Q1415">
        <f t="shared" si="57"/>
        <v>454</v>
      </c>
    </row>
    <row r="1416" spans="1:17" x14ac:dyDescent="0.25">
      <c r="A1416" s="1">
        <f t="shared" si="56"/>
        <v>44682</v>
      </c>
      <c r="B1416" t="s">
        <v>159</v>
      </c>
      <c r="C1416" t="str">
        <f>_xlfn.XLOOKUP(B1416,Phone_by_Price!$A$2:$A$34,Phone_by_Price!$B$2:$B$34,"-",0,1)</f>
        <v>Realme C25</v>
      </c>
      <c r="D1416" t="str">
        <f>_xlfn.XLOOKUP(C1416,Phone_by_Sentiment!$B$2:$B$37,Phone_by_Sentiment!$A$2:$A$37,"-",0,1)</f>
        <v>2021-03</v>
      </c>
      <c r="E1416" cm="1">
        <f t="array" ref="E1416">IF($Q1416&gt;=0,IFERROR(generateSalesData($D1416, IF(ISNUMBER(_xlfn.XLOOKUP($C1416,Phone_by_Sentiment!$B$2:$B$37,Phone_by_Sentiment!E$2:E$37,"",0,1)),_xlfn.XLOOKUP($C1416,Phone_by_Sentiment!$B$2:$B$37,Phone_by_Sentiment!E$2:E$37,"",0,1),0),$A1416-TEXT(DATEVALUE($D1416&amp;"-01"), "dd-mm-yyyy")),0),0)</f>
        <v>60</v>
      </c>
      <c r="F1416" cm="1">
        <f t="array" ref="F1416">IF($Q1416&gt;=0,IFERROR(generateSalesData($D1416, IF(ISNUMBER(_xlfn.XLOOKUP($C1416,Phone_by_Sentiment!$B$2:$B$37,Phone_by_Sentiment!F$2:F$37,"",0,1)),_xlfn.XLOOKUP($C1416,Phone_by_Sentiment!$B$2:$B$37,Phone_by_Sentiment!F$2:F$37,"",0,1),0),$A1416-TEXT(DATEVALUE($D1416&amp;"-01"), "dd-mm-yyyy")),0),0)</f>
        <v>-55</v>
      </c>
      <c r="G1416" cm="1">
        <f t="array" ref="G1416">IF($Q1416&gt;=0,IFERROR(generateSalesData($D1416, IF(ISNUMBER(_xlfn.XLOOKUP($C1416,Phone_by_Sentiment!$B$2:$B$37,Phone_by_Sentiment!G$2:G$37,"",0,1)),_xlfn.XLOOKUP($C1416,Phone_by_Sentiment!$B$2:$B$37,Phone_by_Sentiment!G$2:G$37,"",0,1),0),$A1416-TEXT(DATEVALUE($D1416&amp;"-01"), "dd-mm-yyyy")),0),0)</f>
        <v>199</v>
      </c>
      <c r="H1416" cm="1">
        <f t="array" ref="H1416">IF($Q1416&gt;=0,IFERROR(generateSalesData($D1416, IF(ISNUMBER(_xlfn.XLOOKUP($C1416,Phone_by_Sentiment!$B$2:$B$37,Phone_by_Sentiment!H$2:H$37,"",0,1)),_xlfn.XLOOKUP($C1416,Phone_by_Sentiment!$B$2:$B$37,Phone_by_Sentiment!H$2:H$37,"",0,1),0),$A1416-TEXT(DATEVALUE($D1416&amp;"-01"), "dd-mm-yyyy")),0),0)</f>
        <v>457</v>
      </c>
      <c r="I1416" cm="1">
        <f t="array" ref="I1416">IF($Q1416&gt;=0,IFERROR(generateSalesData($D1416, IF(ISNUMBER(_xlfn.XLOOKUP($C1416,Phone_by_Sentiment!$B$2:$B$37,Phone_by_Sentiment!I$2:I$37,"",0,1)),_xlfn.XLOOKUP($C1416,Phone_by_Sentiment!$B$2:$B$37,Phone_by_Sentiment!I$2:I$37,"",0,1),0),$A1416-TEXT(DATEVALUE($D1416&amp;"-01"), "dd-mm-yyyy")),0),0)</f>
        <v>335</v>
      </c>
      <c r="J1416" cm="1">
        <f t="array" ref="J1416">IF($Q1416&gt;=0,IFERROR(generateSalesData($D1416, IF(ISNUMBER(_xlfn.XLOOKUP($C1416,Phone_by_Sentiment!$B$2:$B$37,Phone_by_Sentiment!J$2:J$37,"",0,1)),_xlfn.XLOOKUP($C1416,Phone_by_Sentiment!$B$2:$B$37,Phone_by_Sentiment!J$2:J$37,"",0,1),0),$A1416-TEXT(DATEVALUE($D1416&amp;"-01"), "dd-mm-yyyy")),0),0)</f>
        <v>172</v>
      </c>
      <c r="K1416" cm="1">
        <f t="array" ref="K1416">IF($Q1416&gt;=0,IFERROR(generateSalesData($D1416, IF(ISNUMBER(_xlfn.XLOOKUP($C1416,Phone_by_Sentiment!$B$2:$B$37,Phone_by_Sentiment!K$2:K$37,"",0,1)),_xlfn.XLOOKUP($C1416,Phone_by_Sentiment!$B$2:$B$37,Phone_by_Sentiment!K$2:K$37,"",0,1),0),$A1416-TEXT(DATEVALUE($D1416&amp;"-01"), "dd-mm-yyyy")),0),0)</f>
        <v>465</v>
      </c>
      <c r="L1416" cm="1">
        <f t="array" ref="L1416">IF($Q1416&gt;=0,IFERROR(generateSalesData($D1416, IF(ISNUMBER(_xlfn.XLOOKUP($C1416,Phone_by_Sentiment!$B$2:$B$37,Phone_by_Sentiment!L$2:L$37,"",0,1)),_xlfn.XLOOKUP($C1416,Phone_by_Sentiment!$B$2:$B$37,Phone_by_Sentiment!L$2:L$37,"",0,1),0),$A1416-TEXT(DATEVALUE($D1416&amp;"-01"), "dd-mm-yyyy")),0),0)</f>
        <v>314</v>
      </c>
      <c r="M1416" cm="1">
        <f t="array" ref="M1416">IF($Q1416&gt;=0,IFERROR(generateSalesData($D1416, IF(ISNUMBER(_xlfn.XLOOKUP($C1416,Phone_by_Sentiment!$B$2:$B$37,Phone_by_Sentiment!M$2:M$37,"",0,1)),_xlfn.XLOOKUP($C1416,Phone_by_Sentiment!$B$2:$B$37,Phone_by_Sentiment!M$2:M$37,"",0,1),0),$A1416-TEXT(DATEVALUE($D1416&amp;"-01"), "dd-mm-yyyy")),0),0)</f>
        <v>170</v>
      </c>
      <c r="N1416" cm="1">
        <f t="array" ref="N1416">IF($Q1416&gt;=0,IFERROR(generateSalesData($D1416, IF(ISNUMBER(_xlfn.XLOOKUP($C1416,Phone_by_Sentiment!$B$2:$B$37,Phone_by_Sentiment!N$2:N$37,"",0,1)),_xlfn.XLOOKUP($C1416,Phone_by_Sentiment!$B$2:$B$37,Phone_by_Sentiment!N$2:N$37,"",0,1),0),$A1416-TEXT(DATEVALUE($D1416&amp;"-01"), "dd-mm-yyyy")),0),0)</f>
        <v>384</v>
      </c>
      <c r="O1416" cm="1">
        <f t="array" ref="O1416">IF($Q1416&gt;=0,IFERROR(generateSalesData($D1416, IF(ISNUMBER(_xlfn.XLOOKUP($C1416,Phone_by_Sentiment!$B$2:$B$37,Phone_by_Sentiment!O$2:O$37,"",0,1)),_xlfn.XLOOKUP($C1416,Phone_by_Sentiment!$B$2:$B$37,Phone_by_Sentiment!O$2:O$37,"",0,1),0),$A1416-TEXT(DATEVALUE($D1416&amp;"-01"), "dd-mm-yyyy")),0),0)</f>
        <v>266</v>
      </c>
      <c r="P1416" s="1">
        <f t="shared" si="51"/>
        <v>44256</v>
      </c>
      <c r="Q1416">
        <f t="shared" si="57"/>
        <v>426</v>
      </c>
    </row>
    <row r="1417" spans="1:17" x14ac:dyDescent="0.25">
      <c r="A1417" s="1">
        <f t="shared" si="56"/>
        <v>44682</v>
      </c>
      <c r="B1417" t="s">
        <v>160</v>
      </c>
      <c r="C1417" t="str">
        <f>_xlfn.XLOOKUP(B1417,Phone_by_Price!$A$2:$A$34,Phone_by_Price!$B$2:$B$34,"-",0,1)</f>
        <v>Xiaomi Poco X3 Pro</v>
      </c>
      <c r="D1417" t="str">
        <f>_xlfn.XLOOKUP(C1417,Phone_by_Sentiment!$B$2:$B$37,Phone_by_Sentiment!$A$2:$A$37,"-",0,1)</f>
        <v>2021-05</v>
      </c>
      <c r="E1417" cm="1">
        <f t="array" ref="E1417">IF($Q1417&gt;=0,IFERROR(generateSalesData($D1417, IF(ISNUMBER(_xlfn.XLOOKUP($C1417,Phone_by_Sentiment!$B$2:$B$37,Phone_by_Sentiment!E$2:E$37,"",0,1)),_xlfn.XLOOKUP($C1417,Phone_by_Sentiment!$B$2:$B$37,Phone_by_Sentiment!E$2:E$37,"",0,1),0),$A1417-TEXT(DATEVALUE($D1417&amp;"-01"), "dd-mm-yyyy")),0),0)</f>
        <v>637</v>
      </c>
      <c r="F1417" cm="1">
        <f t="array" ref="F1417">IF($Q1417&gt;=0,IFERROR(generateSalesData($D1417, IF(ISNUMBER(_xlfn.XLOOKUP($C1417,Phone_by_Sentiment!$B$2:$B$37,Phone_by_Sentiment!F$2:F$37,"",0,1)),_xlfn.XLOOKUP($C1417,Phone_by_Sentiment!$B$2:$B$37,Phone_by_Sentiment!F$2:F$37,"",0,1),0),$A1417-TEXT(DATEVALUE($D1417&amp;"-01"), "dd-mm-yyyy")),0),0)</f>
        <v>276</v>
      </c>
      <c r="G1417" cm="1">
        <f t="array" ref="G1417">IF($Q1417&gt;=0,IFERROR(generateSalesData($D1417, IF(ISNUMBER(_xlfn.XLOOKUP($C1417,Phone_by_Sentiment!$B$2:$B$37,Phone_by_Sentiment!G$2:G$37,"",0,1)),_xlfn.XLOOKUP($C1417,Phone_by_Sentiment!$B$2:$B$37,Phone_by_Sentiment!G$2:G$37,"",0,1),0),$A1417-TEXT(DATEVALUE($D1417&amp;"-01"), "dd-mm-yyyy")),0),0)</f>
        <v>183</v>
      </c>
      <c r="H1417" cm="1">
        <f t="array" ref="H1417">IF($Q1417&gt;=0,IFERROR(generateSalesData($D1417, IF(ISNUMBER(_xlfn.XLOOKUP($C1417,Phone_by_Sentiment!$B$2:$B$37,Phone_by_Sentiment!H$2:H$37,"",0,1)),_xlfn.XLOOKUP($C1417,Phone_by_Sentiment!$B$2:$B$37,Phone_by_Sentiment!H$2:H$37,"",0,1),0),$A1417-TEXT(DATEVALUE($D1417&amp;"-01"), "dd-mm-yyyy")),0),0)</f>
        <v>361</v>
      </c>
      <c r="I1417" cm="1">
        <f t="array" ref="I1417">IF($Q1417&gt;=0,IFERROR(generateSalesData($D1417, IF(ISNUMBER(_xlfn.XLOOKUP($C1417,Phone_by_Sentiment!$B$2:$B$37,Phone_by_Sentiment!I$2:I$37,"",0,1)),_xlfn.XLOOKUP($C1417,Phone_by_Sentiment!$B$2:$B$37,Phone_by_Sentiment!I$2:I$37,"",0,1),0),$A1417-TEXT(DATEVALUE($D1417&amp;"-01"), "dd-mm-yyyy")),0),0)</f>
        <v>823</v>
      </c>
      <c r="J1417" cm="1">
        <f t="array" ref="J1417">IF($Q1417&gt;=0,IFERROR(generateSalesData($D1417, IF(ISNUMBER(_xlfn.XLOOKUP($C1417,Phone_by_Sentiment!$B$2:$B$37,Phone_by_Sentiment!J$2:J$37,"",0,1)),_xlfn.XLOOKUP($C1417,Phone_by_Sentiment!$B$2:$B$37,Phone_by_Sentiment!J$2:J$37,"",0,1),0),$A1417-TEXT(DATEVALUE($D1417&amp;"-01"), "dd-mm-yyyy")),0),0)</f>
        <v>209</v>
      </c>
      <c r="K1417" cm="1">
        <f t="array" ref="K1417">IF($Q1417&gt;=0,IFERROR(generateSalesData($D1417, IF(ISNUMBER(_xlfn.XLOOKUP($C1417,Phone_by_Sentiment!$B$2:$B$37,Phone_by_Sentiment!K$2:K$37,"",0,1)),_xlfn.XLOOKUP($C1417,Phone_by_Sentiment!$B$2:$B$37,Phone_by_Sentiment!K$2:K$37,"",0,1),0),$A1417-TEXT(DATEVALUE($D1417&amp;"-01"), "dd-mm-yyyy")),0),0)</f>
        <v>448</v>
      </c>
      <c r="L1417" cm="1">
        <f t="array" ref="L1417">IF($Q1417&gt;=0,IFERROR(generateSalesData($D1417, IF(ISNUMBER(_xlfn.XLOOKUP($C1417,Phone_by_Sentiment!$B$2:$B$37,Phone_by_Sentiment!L$2:L$37,"",0,1)),_xlfn.XLOOKUP($C1417,Phone_by_Sentiment!$B$2:$B$37,Phone_by_Sentiment!L$2:L$37,"",0,1),0),$A1417-TEXT(DATEVALUE($D1417&amp;"-01"), "dd-mm-yyyy")),0),0)</f>
        <v>94</v>
      </c>
      <c r="M1417" cm="1">
        <f t="array" ref="M1417">IF($Q1417&gt;=0,IFERROR(generateSalesData($D1417, IF(ISNUMBER(_xlfn.XLOOKUP($C1417,Phone_by_Sentiment!$B$2:$B$37,Phone_by_Sentiment!M$2:M$37,"",0,1)),_xlfn.XLOOKUP($C1417,Phone_by_Sentiment!$B$2:$B$37,Phone_by_Sentiment!M$2:M$37,"",0,1),0),$A1417-TEXT(DATEVALUE($D1417&amp;"-01"), "dd-mm-yyyy")),0),0)</f>
        <v>479</v>
      </c>
      <c r="N1417" cm="1">
        <f t="array" ref="N1417">IF($Q1417&gt;=0,IFERROR(generateSalesData($D1417, IF(ISNUMBER(_xlfn.XLOOKUP($C1417,Phone_by_Sentiment!$B$2:$B$37,Phone_by_Sentiment!N$2:N$37,"",0,1)),_xlfn.XLOOKUP($C1417,Phone_by_Sentiment!$B$2:$B$37,Phone_by_Sentiment!N$2:N$37,"",0,1),0),$A1417-TEXT(DATEVALUE($D1417&amp;"-01"), "dd-mm-yyyy")),0),0)</f>
        <v>160</v>
      </c>
      <c r="O1417" cm="1">
        <f t="array" ref="O1417">IF($Q1417&gt;=0,IFERROR(generateSalesData($D1417, IF(ISNUMBER(_xlfn.XLOOKUP($C1417,Phone_by_Sentiment!$B$2:$B$37,Phone_by_Sentiment!O$2:O$37,"",0,1)),_xlfn.XLOOKUP($C1417,Phone_by_Sentiment!$B$2:$B$37,Phone_by_Sentiment!O$2:O$37,"",0,1),0),$A1417-TEXT(DATEVALUE($D1417&amp;"-01"), "dd-mm-yyyy")),0),0)</f>
        <v>596</v>
      </c>
      <c r="P1417" s="1">
        <f t="shared" si="51"/>
        <v>44317</v>
      </c>
      <c r="Q1417">
        <f t="shared" si="57"/>
        <v>365</v>
      </c>
    </row>
    <row r="1418" spans="1:17" x14ac:dyDescent="0.25">
      <c r="A1418" s="1">
        <f t="shared" si="56"/>
        <v>44682</v>
      </c>
      <c r="B1418" t="s">
        <v>161</v>
      </c>
      <c r="C1418" t="str">
        <f>_xlfn.XLOOKUP(B1418,Phone_by_Price!$A$2:$A$34,Phone_by_Price!$B$2:$B$34,"-",0,1)</f>
        <v>Samsung Galaxy Z Flip 3</v>
      </c>
      <c r="D1418" t="str">
        <f>_xlfn.XLOOKUP(C1418,Phone_by_Sentiment!$B$2:$B$37,Phone_by_Sentiment!$A$2:$A$37,"-",0,1)</f>
        <v>2021-09</v>
      </c>
      <c r="E1418" cm="1">
        <f t="array" ref="E1418">IF($Q1418&gt;=0,IFERROR(generateSalesData($D1418, IF(ISNUMBER(_xlfn.XLOOKUP($C1418,Phone_by_Sentiment!$B$2:$B$37,Phone_by_Sentiment!E$2:E$37,"",0,1)),_xlfn.XLOOKUP($C1418,Phone_by_Sentiment!$B$2:$B$37,Phone_by_Sentiment!E$2:E$37,"",0,1),0),$A1418-TEXT(DATEVALUE($D1418&amp;"-01"), "dd-mm-yyyy")),0),0)</f>
        <v>2240</v>
      </c>
      <c r="F1418" cm="1">
        <f t="array" ref="F1418">IF($Q1418&gt;=0,IFERROR(generateSalesData($D1418, IF(ISNUMBER(_xlfn.XLOOKUP($C1418,Phone_by_Sentiment!$B$2:$B$37,Phone_by_Sentiment!F$2:F$37,"",0,1)),_xlfn.XLOOKUP($C1418,Phone_by_Sentiment!$B$2:$B$37,Phone_by_Sentiment!F$2:F$37,"",0,1),0),$A1418-TEXT(DATEVALUE($D1418&amp;"-01"), "dd-mm-yyyy")),0),0)</f>
        <v>1152</v>
      </c>
      <c r="G1418" cm="1">
        <f t="array" ref="G1418">IF($Q1418&gt;=0,IFERROR(generateSalesData($D1418, IF(ISNUMBER(_xlfn.XLOOKUP($C1418,Phone_by_Sentiment!$B$2:$B$37,Phone_by_Sentiment!G$2:G$37,"",0,1)),_xlfn.XLOOKUP($C1418,Phone_by_Sentiment!$B$2:$B$37,Phone_by_Sentiment!G$2:G$37,"",0,1),0),$A1418-TEXT(DATEVALUE($D1418&amp;"-01"), "dd-mm-yyyy")),0),0)</f>
        <v>188</v>
      </c>
      <c r="H1418" cm="1">
        <f t="array" ref="H1418">IF($Q1418&gt;=0,IFERROR(generateSalesData($D1418, IF(ISNUMBER(_xlfn.XLOOKUP($C1418,Phone_by_Sentiment!$B$2:$B$37,Phone_by_Sentiment!H$2:H$37,"",0,1)),_xlfn.XLOOKUP($C1418,Phone_by_Sentiment!$B$2:$B$37,Phone_by_Sentiment!H$2:H$37,"",0,1),0),$A1418-TEXT(DATEVALUE($D1418&amp;"-01"), "dd-mm-yyyy")),0),0)</f>
        <v>354</v>
      </c>
      <c r="I1418" cm="1">
        <f t="array" ref="I1418">IF($Q1418&gt;=0,IFERROR(generateSalesData($D1418, IF(ISNUMBER(_xlfn.XLOOKUP($C1418,Phone_by_Sentiment!$B$2:$B$37,Phone_by_Sentiment!I$2:I$37,"",0,1)),_xlfn.XLOOKUP($C1418,Phone_by_Sentiment!$B$2:$B$37,Phone_by_Sentiment!I$2:I$37,"",0,1),0),$A1418-TEXT(DATEVALUE($D1418&amp;"-01"), "dd-mm-yyyy")),0),0)</f>
        <v>991</v>
      </c>
      <c r="J1418" cm="1">
        <f t="array" ref="J1418">IF($Q1418&gt;=0,IFERROR(generateSalesData($D1418, IF(ISNUMBER(_xlfn.XLOOKUP($C1418,Phone_by_Sentiment!$B$2:$B$37,Phone_by_Sentiment!J$2:J$37,"",0,1)),_xlfn.XLOOKUP($C1418,Phone_by_Sentiment!$B$2:$B$37,Phone_by_Sentiment!J$2:J$37,"",0,1),0),$A1418-TEXT(DATEVALUE($D1418&amp;"-01"), "dd-mm-yyyy")),0),0)</f>
        <v>1186</v>
      </c>
      <c r="K1418" cm="1">
        <f t="array" ref="K1418">IF($Q1418&gt;=0,IFERROR(generateSalesData($D1418, IF(ISNUMBER(_xlfn.XLOOKUP($C1418,Phone_by_Sentiment!$B$2:$B$37,Phone_by_Sentiment!K$2:K$37,"",0,1)),_xlfn.XLOOKUP($C1418,Phone_by_Sentiment!$B$2:$B$37,Phone_by_Sentiment!K$2:K$37,"",0,1),0),$A1418-TEXT(DATEVALUE($D1418&amp;"-01"), "dd-mm-yyyy")),0),0)</f>
        <v>1316</v>
      </c>
      <c r="L1418" cm="1">
        <f t="array" ref="L1418">IF($Q1418&gt;=0,IFERROR(generateSalesData($D1418, IF(ISNUMBER(_xlfn.XLOOKUP($C1418,Phone_by_Sentiment!$B$2:$B$37,Phone_by_Sentiment!L$2:L$37,"",0,1)),_xlfn.XLOOKUP($C1418,Phone_by_Sentiment!$B$2:$B$37,Phone_by_Sentiment!L$2:L$37,"",0,1),0),$A1418-TEXT(DATEVALUE($D1418&amp;"-01"), "dd-mm-yyyy")),0),0)</f>
        <v>887</v>
      </c>
      <c r="M1418" cm="1">
        <f t="array" ref="M1418">IF($Q1418&gt;=0,IFERROR(generateSalesData($D1418, IF(ISNUMBER(_xlfn.XLOOKUP($C1418,Phone_by_Sentiment!$B$2:$B$37,Phone_by_Sentiment!M$2:M$37,"",0,1)),_xlfn.XLOOKUP($C1418,Phone_by_Sentiment!$B$2:$B$37,Phone_by_Sentiment!M$2:M$37,"",0,1),0),$A1418-TEXT(DATEVALUE($D1418&amp;"-01"), "dd-mm-yyyy")),0),0)</f>
        <v>291</v>
      </c>
      <c r="N1418" cm="1">
        <f t="array" ref="N1418">IF($Q1418&gt;=0,IFERROR(generateSalesData($D1418, IF(ISNUMBER(_xlfn.XLOOKUP($C1418,Phone_by_Sentiment!$B$2:$B$37,Phone_by_Sentiment!N$2:N$37,"",0,1)),_xlfn.XLOOKUP($C1418,Phone_by_Sentiment!$B$2:$B$37,Phone_by_Sentiment!N$2:N$37,"",0,1),0),$A1418-TEXT(DATEVALUE($D1418&amp;"-01"), "dd-mm-yyyy")),0),0)</f>
        <v>1689</v>
      </c>
      <c r="O1418" cm="1">
        <f t="array" ref="O1418">IF($Q1418&gt;=0,IFERROR(generateSalesData($D1418, IF(ISNUMBER(_xlfn.XLOOKUP($C1418,Phone_by_Sentiment!$B$2:$B$37,Phone_by_Sentiment!O$2:O$37,"",0,1)),_xlfn.XLOOKUP($C1418,Phone_by_Sentiment!$B$2:$B$37,Phone_by_Sentiment!O$2:O$37,"",0,1),0),$A1418-TEXT(DATEVALUE($D1418&amp;"-01"), "dd-mm-yyyy")),0),0)</f>
        <v>915</v>
      </c>
      <c r="P1418" s="1">
        <f t="shared" si="51"/>
        <v>44440</v>
      </c>
      <c r="Q1418">
        <f t="shared" si="57"/>
        <v>242</v>
      </c>
    </row>
    <row r="1419" spans="1:17" x14ac:dyDescent="0.25">
      <c r="A1419" s="1">
        <f t="shared" si="56"/>
        <v>44682</v>
      </c>
      <c r="B1419" t="s">
        <v>162</v>
      </c>
      <c r="C1419" t="str">
        <f>_xlfn.XLOOKUP(B1419,Phone_by_Price!$A$2:$A$34,Phone_by_Price!$B$2:$B$34,"-",0,1)</f>
        <v>Xiaomi Poco X3 NFC</v>
      </c>
      <c r="D1419" t="str">
        <f>_xlfn.XLOOKUP(C1419,Phone_by_Sentiment!$B$2:$B$37,Phone_by_Sentiment!$A$2:$A$37,"-",0,1)</f>
        <v>2020-08</v>
      </c>
      <c r="E1419" cm="1">
        <f t="array" ref="E1419">IF($Q1419&gt;=0,IFERROR(generateSalesData($D1419, IF(ISNUMBER(_xlfn.XLOOKUP($C1419,Phone_by_Sentiment!$B$2:$B$37,Phone_by_Sentiment!E$2:E$37,"",0,1)),_xlfn.XLOOKUP($C1419,Phone_by_Sentiment!$B$2:$B$37,Phone_by_Sentiment!E$2:E$37,"",0,1),0),$A1419-TEXT(DATEVALUE($D1419&amp;"-01"), "dd-mm-yyyy")),0),0)</f>
        <v>81</v>
      </c>
      <c r="F1419" cm="1">
        <f t="array" ref="F1419">IF($Q1419&gt;=0,IFERROR(generateSalesData($D1419, IF(ISNUMBER(_xlfn.XLOOKUP($C1419,Phone_by_Sentiment!$B$2:$B$37,Phone_by_Sentiment!F$2:F$37,"",0,1)),_xlfn.XLOOKUP($C1419,Phone_by_Sentiment!$B$2:$B$37,Phone_by_Sentiment!F$2:F$37,"",0,1),0),$A1419-TEXT(DATEVALUE($D1419&amp;"-01"), "dd-mm-yyyy")),0),0)</f>
        <v>70</v>
      </c>
      <c r="G1419" cm="1">
        <f t="array" ref="G1419">IF($Q1419&gt;=0,IFERROR(generateSalesData($D1419, IF(ISNUMBER(_xlfn.XLOOKUP($C1419,Phone_by_Sentiment!$B$2:$B$37,Phone_by_Sentiment!G$2:G$37,"",0,1)),_xlfn.XLOOKUP($C1419,Phone_by_Sentiment!$B$2:$B$37,Phone_by_Sentiment!G$2:G$37,"",0,1),0),$A1419-TEXT(DATEVALUE($D1419&amp;"-01"), "dd-mm-yyyy")),0),0)</f>
        <v>85</v>
      </c>
      <c r="H1419" cm="1">
        <f t="array" ref="H1419">IF($Q1419&gt;=0,IFERROR(generateSalesData($D1419, IF(ISNUMBER(_xlfn.XLOOKUP($C1419,Phone_by_Sentiment!$B$2:$B$37,Phone_by_Sentiment!H$2:H$37,"",0,1)),_xlfn.XLOOKUP($C1419,Phone_by_Sentiment!$B$2:$B$37,Phone_by_Sentiment!H$2:H$37,"",0,1),0),$A1419-TEXT(DATEVALUE($D1419&amp;"-01"), "dd-mm-yyyy")),0),0)</f>
        <v>416</v>
      </c>
      <c r="I1419" cm="1">
        <f t="array" ref="I1419">IF($Q1419&gt;=0,IFERROR(generateSalesData($D1419, IF(ISNUMBER(_xlfn.XLOOKUP($C1419,Phone_by_Sentiment!$B$2:$B$37,Phone_by_Sentiment!I$2:I$37,"",0,1)),_xlfn.XLOOKUP($C1419,Phone_by_Sentiment!$B$2:$B$37,Phone_by_Sentiment!I$2:I$37,"",0,1),0),$A1419-TEXT(DATEVALUE($D1419&amp;"-01"), "dd-mm-yyyy")),0),0)</f>
        <v>131</v>
      </c>
      <c r="J1419" cm="1">
        <f t="array" ref="J1419">IF($Q1419&gt;=0,IFERROR(generateSalesData($D1419, IF(ISNUMBER(_xlfn.XLOOKUP($C1419,Phone_by_Sentiment!$B$2:$B$37,Phone_by_Sentiment!J$2:J$37,"",0,1)),_xlfn.XLOOKUP($C1419,Phone_by_Sentiment!$B$2:$B$37,Phone_by_Sentiment!J$2:J$37,"",0,1),0),$A1419-TEXT(DATEVALUE($D1419&amp;"-01"), "dd-mm-yyyy")),0),0)</f>
        <v>49</v>
      </c>
      <c r="K1419" cm="1">
        <f t="array" ref="K1419">IF($Q1419&gt;=0,IFERROR(generateSalesData($D1419, IF(ISNUMBER(_xlfn.XLOOKUP($C1419,Phone_by_Sentiment!$B$2:$B$37,Phone_by_Sentiment!K$2:K$37,"",0,1)),_xlfn.XLOOKUP($C1419,Phone_by_Sentiment!$B$2:$B$37,Phone_by_Sentiment!K$2:K$37,"",0,1),0),$A1419-TEXT(DATEVALUE($D1419&amp;"-01"), "dd-mm-yyyy")),0),0)</f>
        <v>470</v>
      </c>
      <c r="L1419" cm="1">
        <f t="array" ref="L1419">IF($Q1419&gt;=0,IFERROR(generateSalesData($D1419, IF(ISNUMBER(_xlfn.XLOOKUP($C1419,Phone_by_Sentiment!$B$2:$B$37,Phone_by_Sentiment!L$2:L$37,"",0,1)),_xlfn.XLOOKUP($C1419,Phone_by_Sentiment!$B$2:$B$37,Phone_by_Sentiment!L$2:L$37,"",0,1),0),$A1419-TEXT(DATEVALUE($D1419&amp;"-01"), "dd-mm-yyyy")),0),0)</f>
        <v>35</v>
      </c>
      <c r="M1419" cm="1">
        <f t="array" ref="M1419">IF($Q1419&gt;=0,IFERROR(generateSalesData($D1419, IF(ISNUMBER(_xlfn.XLOOKUP($C1419,Phone_by_Sentiment!$B$2:$B$37,Phone_by_Sentiment!M$2:M$37,"",0,1)),_xlfn.XLOOKUP($C1419,Phone_by_Sentiment!$B$2:$B$37,Phone_by_Sentiment!M$2:M$37,"",0,1),0),$A1419-TEXT(DATEVALUE($D1419&amp;"-01"), "dd-mm-yyyy")),0),0)</f>
        <v>53</v>
      </c>
      <c r="N1419" cm="1">
        <f t="array" ref="N1419">IF($Q1419&gt;=0,IFERROR(generateSalesData($D1419, IF(ISNUMBER(_xlfn.XLOOKUP($C1419,Phone_by_Sentiment!$B$2:$B$37,Phone_by_Sentiment!N$2:N$37,"",0,1)),_xlfn.XLOOKUP($C1419,Phone_by_Sentiment!$B$2:$B$37,Phone_by_Sentiment!N$2:N$37,"",0,1),0),$A1419-TEXT(DATEVALUE($D1419&amp;"-01"), "dd-mm-yyyy")),0),0)</f>
        <v>122</v>
      </c>
      <c r="O1419" cm="1">
        <f t="array" ref="O1419">IF($Q1419&gt;=0,IFERROR(generateSalesData($D1419, IF(ISNUMBER(_xlfn.XLOOKUP($C1419,Phone_by_Sentiment!$B$2:$B$37,Phone_by_Sentiment!O$2:O$37,"",0,1)),_xlfn.XLOOKUP($C1419,Phone_by_Sentiment!$B$2:$B$37,Phone_by_Sentiment!O$2:O$37,"",0,1),0),$A1419-TEXT(DATEVALUE($D1419&amp;"-01"), "dd-mm-yyyy")),0),0)</f>
        <v>205</v>
      </c>
      <c r="P1419" s="1">
        <f t="shared" si="51"/>
        <v>44044</v>
      </c>
      <c r="Q1419">
        <f t="shared" si="57"/>
        <v>638</v>
      </c>
    </row>
    <row r="1420" spans="1:17" x14ac:dyDescent="0.25">
      <c r="A1420" s="1">
        <f t="shared" si="56"/>
        <v>44682</v>
      </c>
      <c r="B1420" t="s">
        <v>163</v>
      </c>
      <c r="C1420" t="str">
        <f>_xlfn.XLOOKUP(B1420,Phone_by_Price!$A$2:$A$34,Phone_by_Price!$B$2:$B$34,"-",0,1)</f>
        <v>OPPO A93</v>
      </c>
      <c r="D1420" t="str">
        <f>_xlfn.XLOOKUP(C1420,Phone_by_Sentiment!$B$2:$B$37,Phone_by_Sentiment!$A$2:$A$37,"-",0,1)</f>
        <v>2021-02</v>
      </c>
      <c r="E1420" cm="1">
        <f t="array" ref="E1420">IF($Q1420&gt;=0,IFERROR(generateSalesData($D1420, IF(ISNUMBER(_xlfn.XLOOKUP($C1420,Phone_by_Sentiment!$B$2:$B$37,Phone_by_Sentiment!E$2:E$37,"",0,1)),_xlfn.XLOOKUP($C1420,Phone_by_Sentiment!$B$2:$B$37,Phone_by_Sentiment!E$2:E$37,"",0,1),0),$A1420-TEXT(DATEVALUE($D1420&amp;"-01"), "dd-mm-yyyy")),0),0)</f>
        <v>178</v>
      </c>
      <c r="F1420" cm="1">
        <f t="array" ref="F1420">IF($Q1420&gt;=0,IFERROR(generateSalesData($D1420, IF(ISNUMBER(_xlfn.XLOOKUP($C1420,Phone_by_Sentiment!$B$2:$B$37,Phone_by_Sentiment!F$2:F$37,"",0,1)),_xlfn.XLOOKUP($C1420,Phone_by_Sentiment!$B$2:$B$37,Phone_by_Sentiment!F$2:F$37,"",0,1),0),$A1420-TEXT(DATEVALUE($D1420&amp;"-01"), "dd-mm-yyyy")),0),0)</f>
        <v>105</v>
      </c>
      <c r="G1420" cm="1">
        <f t="array" ref="G1420">IF($Q1420&gt;=0,IFERROR(generateSalesData($D1420, IF(ISNUMBER(_xlfn.XLOOKUP($C1420,Phone_by_Sentiment!$B$2:$B$37,Phone_by_Sentiment!G$2:G$37,"",0,1)),_xlfn.XLOOKUP($C1420,Phone_by_Sentiment!$B$2:$B$37,Phone_by_Sentiment!G$2:G$37,"",0,1),0),$A1420-TEXT(DATEVALUE($D1420&amp;"-01"), "dd-mm-yyyy")),0),0)</f>
        <v>180</v>
      </c>
      <c r="H1420" cm="1">
        <f t="array" ref="H1420">IF($Q1420&gt;=0,IFERROR(generateSalesData($D1420, IF(ISNUMBER(_xlfn.XLOOKUP($C1420,Phone_by_Sentiment!$B$2:$B$37,Phone_by_Sentiment!H$2:H$37,"",0,1)),_xlfn.XLOOKUP($C1420,Phone_by_Sentiment!$B$2:$B$37,Phone_by_Sentiment!H$2:H$37,"",0,1),0),$A1420-TEXT(DATEVALUE($D1420&amp;"-01"), "dd-mm-yyyy")),0),0)</f>
        <v>456</v>
      </c>
      <c r="I1420" cm="1">
        <f t="array" ref="I1420">IF($Q1420&gt;=0,IFERROR(generateSalesData($D1420, IF(ISNUMBER(_xlfn.XLOOKUP($C1420,Phone_by_Sentiment!$B$2:$B$37,Phone_by_Sentiment!I$2:I$37,"",0,1)),_xlfn.XLOOKUP($C1420,Phone_by_Sentiment!$B$2:$B$37,Phone_by_Sentiment!I$2:I$37,"",0,1),0),$A1420-TEXT(DATEVALUE($D1420&amp;"-01"), "dd-mm-yyyy")),0),0)</f>
        <v>171</v>
      </c>
      <c r="J1420" cm="1">
        <f t="array" ref="J1420">IF($Q1420&gt;=0,IFERROR(generateSalesData($D1420, IF(ISNUMBER(_xlfn.XLOOKUP($C1420,Phone_by_Sentiment!$B$2:$B$37,Phone_by_Sentiment!J$2:J$37,"",0,1)),_xlfn.XLOOKUP($C1420,Phone_by_Sentiment!$B$2:$B$37,Phone_by_Sentiment!J$2:J$37,"",0,1),0),$A1420-TEXT(DATEVALUE($D1420&amp;"-01"), "dd-mm-yyyy")),0),0)</f>
        <v>176</v>
      </c>
      <c r="K1420" cm="1">
        <f t="array" ref="K1420">IF($Q1420&gt;=0,IFERROR(generateSalesData($D1420, IF(ISNUMBER(_xlfn.XLOOKUP($C1420,Phone_by_Sentiment!$B$2:$B$37,Phone_by_Sentiment!K$2:K$37,"",0,1)),_xlfn.XLOOKUP($C1420,Phone_by_Sentiment!$B$2:$B$37,Phone_by_Sentiment!K$2:K$37,"",0,1),0),$A1420-TEXT(DATEVALUE($D1420&amp;"-01"), "dd-mm-yyyy")),0),0)</f>
        <v>202</v>
      </c>
      <c r="L1420" cm="1">
        <f t="array" ref="L1420">IF($Q1420&gt;=0,IFERROR(generateSalesData($D1420, IF(ISNUMBER(_xlfn.XLOOKUP($C1420,Phone_by_Sentiment!$B$2:$B$37,Phone_by_Sentiment!L$2:L$37,"",0,1)),_xlfn.XLOOKUP($C1420,Phone_by_Sentiment!$B$2:$B$37,Phone_by_Sentiment!L$2:L$37,"",0,1),0),$A1420-TEXT(DATEVALUE($D1420&amp;"-01"), "dd-mm-yyyy")),0),0)</f>
        <v>138</v>
      </c>
      <c r="M1420" cm="1">
        <f t="array" ref="M1420">IF($Q1420&gt;=0,IFERROR(generateSalesData($D1420, IF(ISNUMBER(_xlfn.XLOOKUP($C1420,Phone_by_Sentiment!$B$2:$B$37,Phone_by_Sentiment!M$2:M$37,"",0,1)),_xlfn.XLOOKUP($C1420,Phone_by_Sentiment!$B$2:$B$37,Phone_by_Sentiment!M$2:M$37,"",0,1),0),$A1420-TEXT(DATEVALUE($D1420&amp;"-01"), "dd-mm-yyyy")),0),0)</f>
        <v>408</v>
      </c>
      <c r="N1420" cm="1">
        <f t="array" ref="N1420">IF($Q1420&gt;=0,IFERROR(generateSalesData($D1420, IF(ISNUMBER(_xlfn.XLOOKUP($C1420,Phone_by_Sentiment!$B$2:$B$37,Phone_by_Sentiment!N$2:N$37,"",0,1)),_xlfn.XLOOKUP($C1420,Phone_by_Sentiment!$B$2:$B$37,Phone_by_Sentiment!N$2:N$37,"",0,1),0),$A1420-TEXT(DATEVALUE($D1420&amp;"-01"), "dd-mm-yyyy")),0),0)</f>
        <v>431</v>
      </c>
      <c r="O1420" cm="1">
        <f t="array" ref="O1420">IF($Q1420&gt;=0,IFERROR(generateSalesData($D1420, IF(ISNUMBER(_xlfn.XLOOKUP($C1420,Phone_by_Sentiment!$B$2:$B$37,Phone_by_Sentiment!O$2:O$37,"",0,1)),_xlfn.XLOOKUP($C1420,Phone_by_Sentiment!$B$2:$B$37,Phone_by_Sentiment!O$2:O$37,"",0,1),0),$A1420-TEXT(DATEVALUE($D1420&amp;"-01"), "dd-mm-yyyy")),0),0)</f>
        <v>86</v>
      </c>
      <c r="P1420" s="1">
        <f t="shared" si="51"/>
        <v>44228</v>
      </c>
      <c r="Q1420">
        <f t="shared" si="57"/>
        <v>454</v>
      </c>
    </row>
    <row r="1421" spans="1:17" x14ac:dyDescent="0.25">
      <c r="A1421" s="1">
        <f t="shared" si="56"/>
        <v>44682</v>
      </c>
      <c r="B1421" t="s">
        <v>164</v>
      </c>
      <c r="C1421" t="str">
        <f>_xlfn.XLOOKUP(B1421,Phone_by_Price!$A$2:$A$34,Phone_by_Price!$B$2:$B$34,"-",0,1)</f>
        <v>Vivo V20</v>
      </c>
      <c r="D1421" t="str">
        <f>_xlfn.XLOOKUP(C1421,Phone_by_Sentiment!$B$2:$B$37,Phone_by_Sentiment!$A$2:$A$37,"-",0,1)</f>
        <v>2020-10</v>
      </c>
      <c r="E1421" cm="1">
        <f t="array" ref="E1421">IF($Q1421&gt;=0,IFERROR(generateSalesData($D1421, IF(ISNUMBER(_xlfn.XLOOKUP($C1421,Phone_by_Sentiment!$B$2:$B$37,Phone_by_Sentiment!E$2:E$37,"",0,1)),_xlfn.XLOOKUP($C1421,Phone_by_Sentiment!$B$2:$B$37,Phone_by_Sentiment!E$2:E$37,"",0,1),0),$A1421-TEXT(DATEVALUE($D1421&amp;"-01"), "dd-mm-yyyy")),0),0)</f>
        <v>517</v>
      </c>
      <c r="F1421" cm="1">
        <f t="array" ref="F1421">IF($Q1421&gt;=0,IFERROR(generateSalesData($D1421, IF(ISNUMBER(_xlfn.XLOOKUP($C1421,Phone_by_Sentiment!$B$2:$B$37,Phone_by_Sentiment!F$2:F$37,"",0,1)),_xlfn.XLOOKUP($C1421,Phone_by_Sentiment!$B$2:$B$37,Phone_by_Sentiment!F$2:F$37,"",0,1),0),$A1421-TEXT(DATEVALUE($D1421&amp;"-01"), "dd-mm-yyyy")),0),0)</f>
        <v>83</v>
      </c>
      <c r="G1421" cm="1">
        <f t="array" ref="G1421">IF($Q1421&gt;=0,IFERROR(generateSalesData($D1421, IF(ISNUMBER(_xlfn.XLOOKUP($C1421,Phone_by_Sentiment!$B$2:$B$37,Phone_by_Sentiment!G$2:G$37,"",0,1)),_xlfn.XLOOKUP($C1421,Phone_by_Sentiment!$B$2:$B$37,Phone_by_Sentiment!G$2:G$37,"",0,1),0),$A1421-TEXT(DATEVALUE($D1421&amp;"-01"), "dd-mm-yyyy")),0),0)</f>
        <v>140</v>
      </c>
      <c r="H1421" cm="1">
        <f t="array" ref="H1421">IF($Q1421&gt;=0,IFERROR(generateSalesData($D1421, IF(ISNUMBER(_xlfn.XLOOKUP($C1421,Phone_by_Sentiment!$B$2:$B$37,Phone_by_Sentiment!H$2:H$37,"",0,1)),_xlfn.XLOOKUP($C1421,Phone_by_Sentiment!$B$2:$B$37,Phone_by_Sentiment!H$2:H$37,"",0,1),0),$A1421-TEXT(DATEVALUE($D1421&amp;"-01"), "dd-mm-yyyy")),0),0)</f>
        <v>12</v>
      </c>
      <c r="I1421" cm="1">
        <f t="array" ref="I1421">IF($Q1421&gt;=0,IFERROR(generateSalesData($D1421, IF(ISNUMBER(_xlfn.XLOOKUP($C1421,Phone_by_Sentiment!$B$2:$B$37,Phone_by_Sentiment!I$2:I$37,"",0,1)),_xlfn.XLOOKUP($C1421,Phone_by_Sentiment!$B$2:$B$37,Phone_by_Sentiment!I$2:I$37,"",0,1),0),$A1421-TEXT(DATEVALUE($D1421&amp;"-01"), "dd-mm-yyyy")),0),0)</f>
        <v>-40</v>
      </c>
      <c r="J1421" cm="1">
        <f t="array" ref="J1421">IF($Q1421&gt;=0,IFERROR(generateSalesData($D1421, IF(ISNUMBER(_xlfn.XLOOKUP($C1421,Phone_by_Sentiment!$B$2:$B$37,Phone_by_Sentiment!J$2:J$37,"",0,1)),_xlfn.XLOOKUP($C1421,Phone_by_Sentiment!$B$2:$B$37,Phone_by_Sentiment!J$2:J$37,"",0,1),0),$A1421-TEXT(DATEVALUE($D1421&amp;"-01"), "dd-mm-yyyy")),0),0)</f>
        <v>229</v>
      </c>
      <c r="K1421" cm="1">
        <f t="array" ref="K1421">IF($Q1421&gt;=0,IFERROR(generateSalesData($D1421, IF(ISNUMBER(_xlfn.XLOOKUP($C1421,Phone_by_Sentiment!$B$2:$B$37,Phone_by_Sentiment!K$2:K$37,"",0,1)),_xlfn.XLOOKUP($C1421,Phone_by_Sentiment!$B$2:$B$37,Phone_by_Sentiment!K$2:K$37,"",0,1),0),$A1421-TEXT(DATEVALUE($D1421&amp;"-01"), "dd-mm-yyyy")),0),0)</f>
        <v>101</v>
      </c>
      <c r="L1421" cm="1">
        <f t="array" ref="L1421">IF($Q1421&gt;=0,IFERROR(generateSalesData($D1421, IF(ISNUMBER(_xlfn.XLOOKUP($C1421,Phone_by_Sentiment!$B$2:$B$37,Phone_by_Sentiment!L$2:L$37,"",0,1)),_xlfn.XLOOKUP($C1421,Phone_by_Sentiment!$B$2:$B$37,Phone_by_Sentiment!L$2:L$37,"",0,1),0),$A1421-TEXT(DATEVALUE($D1421&amp;"-01"), "dd-mm-yyyy")),0),0)</f>
        <v>149</v>
      </c>
      <c r="M1421" cm="1">
        <f t="array" ref="M1421">IF($Q1421&gt;=0,IFERROR(generateSalesData($D1421, IF(ISNUMBER(_xlfn.XLOOKUP($C1421,Phone_by_Sentiment!$B$2:$B$37,Phone_by_Sentiment!M$2:M$37,"",0,1)),_xlfn.XLOOKUP($C1421,Phone_by_Sentiment!$B$2:$B$37,Phone_by_Sentiment!M$2:M$37,"",0,1),0),$A1421-TEXT(DATEVALUE($D1421&amp;"-01"), "dd-mm-yyyy")),0),0)</f>
        <v>45</v>
      </c>
      <c r="N1421" cm="1">
        <f t="array" ref="N1421">IF($Q1421&gt;=0,IFERROR(generateSalesData($D1421, IF(ISNUMBER(_xlfn.XLOOKUP($C1421,Phone_by_Sentiment!$B$2:$B$37,Phone_by_Sentiment!N$2:N$37,"",0,1)),_xlfn.XLOOKUP($C1421,Phone_by_Sentiment!$B$2:$B$37,Phone_by_Sentiment!N$2:N$37,"",0,1),0),$A1421-TEXT(DATEVALUE($D1421&amp;"-01"), "dd-mm-yyyy")),0),0)</f>
        <v>50</v>
      </c>
      <c r="O1421" cm="1">
        <f t="array" ref="O1421">IF($Q1421&gt;=0,IFERROR(generateSalesData($D1421, IF(ISNUMBER(_xlfn.XLOOKUP($C1421,Phone_by_Sentiment!$B$2:$B$37,Phone_by_Sentiment!O$2:O$37,"",0,1)),_xlfn.XLOOKUP($C1421,Phone_by_Sentiment!$B$2:$B$37,Phone_by_Sentiment!O$2:O$37,"",0,1),0),$A1421-TEXT(DATEVALUE($D1421&amp;"-01"), "dd-mm-yyyy")),0),0)</f>
        <v>147</v>
      </c>
      <c r="P1421" s="1">
        <f t="shared" si="51"/>
        <v>44105</v>
      </c>
      <c r="Q1421">
        <f t="shared" si="57"/>
        <v>577</v>
      </c>
    </row>
    <row r="1422" spans="1:17" x14ac:dyDescent="0.25">
      <c r="A1422" s="1">
        <f t="shared" si="56"/>
        <v>44682</v>
      </c>
      <c r="B1422" t="s">
        <v>165</v>
      </c>
      <c r="C1422" t="str">
        <f>_xlfn.XLOOKUP(B1422,Phone_by_Price!$A$2:$A$34,Phone_by_Price!$B$2:$B$34,"-",0,1)</f>
        <v>Samsung Galaxy A50</v>
      </c>
      <c r="D1422" t="str">
        <f>_xlfn.XLOOKUP(C1422,Phone_by_Sentiment!$B$2:$B$37,Phone_by_Sentiment!$A$2:$A$37,"-",0,1)</f>
        <v>2019-05</v>
      </c>
      <c r="E1422" cm="1">
        <f t="array" ref="E1422">IF($Q1422&gt;=0,IFERROR(generateSalesData($D1422, IF(ISNUMBER(_xlfn.XLOOKUP($C1422,Phone_by_Sentiment!$B$2:$B$37,Phone_by_Sentiment!E$2:E$37,"",0,1)),_xlfn.XLOOKUP($C1422,Phone_by_Sentiment!$B$2:$B$37,Phone_by_Sentiment!E$2:E$37,"",0,1),0),$A1422-TEXT(DATEVALUE($D1422&amp;"-01"), "dd-mm-yyyy")),0),0)</f>
        <v>143</v>
      </c>
      <c r="F1422" cm="1">
        <f t="array" ref="F1422">IF($Q1422&gt;=0,IFERROR(generateSalesData($D1422, IF(ISNUMBER(_xlfn.XLOOKUP($C1422,Phone_by_Sentiment!$B$2:$B$37,Phone_by_Sentiment!F$2:F$37,"",0,1)),_xlfn.XLOOKUP($C1422,Phone_by_Sentiment!$B$2:$B$37,Phone_by_Sentiment!F$2:F$37,"",0,1),0),$A1422-TEXT(DATEVALUE($D1422&amp;"-01"), "dd-mm-yyyy")),0),0)</f>
        <v>51</v>
      </c>
      <c r="G1422" cm="1">
        <f t="array" ref="G1422">IF($Q1422&gt;=0,IFERROR(generateSalesData($D1422, IF(ISNUMBER(_xlfn.XLOOKUP($C1422,Phone_by_Sentiment!$B$2:$B$37,Phone_by_Sentiment!G$2:G$37,"",0,1)),_xlfn.XLOOKUP($C1422,Phone_by_Sentiment!$B$2:$B$37,Phone_by_Sentiment!G$2:G$37,"",0,1),0),$A1422-TEXT(DATEVALUE($D1422&amp;"-01"), "dd-mm-yyyy")),0),0)</f>
        <v>43</v>
      </c>
      <c r="H1422" cm="1">
        <f t="array" ref="H1422">IF($Q1422&gt;=0,IFERROR(generateSalesData($D1422, IF(ISNUMBER(_xlfn.XLOOKUP($C1422,Phone_by_Sentiment!$B$2:$B$37,Phone_by_Sentiment!H$2:H$37,"",0,1)),_xlfn.XLOOKUP($C1422,Phone_by_Sentiment!$B$2:$B$37,Phone_by_Sentiment!H$2:H$37,"",0,1),0),$A1422-TEXT(DATEVALUE($D1422&amp;"-01"), "dd-mm-yyyy")),0),0)</f>
        <v>285</v>
      </c>
      <c r="I1422" cm="1">
        <f t="array" ref="I1422">IF($Q1422&gt;=0,IFERROR(generateSalesData($D1422, IF(ISNUMBER(_xlfn.XLOOKUP($C1422,Phone_by_Sentiment!$B$2:$B$37,Phone_by_Sentiment!I$2:I$37,"",0,1)),_xlfn.XLOOKUP($C1422,Phone_by_Sentiment!$B$2:$B$37,Phone_by_Sentiment!I$2:I$37,"",0,1),0),$A1422-TEXT(DATEVALUE($D1422&amp;"-01"), "dd-mm-yyyy")),0),0)</f>
        <v>77</v>
      </c>
      <c r="J1422" cm="1">
        <f t="array" ref="J1422">IF($Q1422&gt;=0,IFERROR(generateSalesData($D1422, IF(ISNUMBER(_xlfn.XLOOKUP($C1422,Phone_by_Sentiment!$B$2:$B$37,Phone_by_Sentiment!J$2:J$37,"",0,1)),_xlfn.XLOOKUP($C1422,Phone_by_Sentiment!$B$2:$B$37,Phone_by_Sentiment!J$2:J$37,"",0,1),0),$A1422-TEXT(DATEVALUE($D1422&amp;"-01"), "dd-mm-yyyy")),0),0)</f>
        <v>76</v>
      </c>
      <c r="K1422" cm="1">
        <f t="array" ref="K1422">IF($Q1422&gt;=0,IFERROR(generateSalesData($D1422, IF(ISNUMBER(_xlfn.XLOOKUP($C1422,Phone_by_Sentiment!$B$2:$B$37,Phone_by_Sentiment!K$2:K$37,"",0,1)),_xlfn.XLOOKUP($C1422,Phone_by_Sentiment!$B$2:$B$37,Phone_by_Sentiment!K$2:K$37,"",0,1),0),$A1422-TEXT(DATEVALUE($D1422&amp;"-01"), "dd-mm-yyyy")),0),0)</f>
        <v>113</v>
      </c>
      <c r="L1422" cm="1">
        <f t="array" ref="L1422">IF($Q1422&gt;=0,IFERROR(generateSalesData($D1422, IF(ISNUMBER(_xlfn.XLOOKUP($C1422,Phone_by_Sentiment!$B$2:$B$37,Phone_by_Sentiment!L$2:L$37,"",0,1)),_xlfn.XLOOKUP($C1422,Phone_by_Sentiment!$B$2:$B$37,Phone_by_Sentiment!L$2:L$37,"",0,1),0),$A1422-TEXT(DATEVALUE($D1422&amp;"-01"), "dd-mm-yyyy")),0),0)</f>
        <v>144</v>
      </c>
      <c r="M1422" cm="1">
        <f t="array" ref="M1422">IF($Q1422&gt;=0,IFERROR(generateSalesData($D1422, IF(ISNUMBER(_xlfn.XLOOKUP($C1422,Phone_by_Sentiment!$B$2:$B$37,Phone_by_Sentiment!M$2:M$37,"",0,1)),_xlfn.XLOOKUP($C1422,Phone_by_Sentiment!$B$2:$B$37,Phone_by_Sentiment!M$2:M$37,"",0,1),0),$A1422-TEXT(DATEVALUE($D1422&amp;"-01"), "dd-mm-yyyy")),0),0)</f>
        <v>43</v>
      </c>
      <c r="N1422" cm="1">
        <f t="array" ref="N1422">IF($Q1422&gt;=0,IFERROR(generateSalesData($D1422, IF(ISNUMBER(_xlfn.XLOOKUP($C1422,Phone_by_Sentiment!$B$2:$B$37,Phone_by_Sentiment!N$2:N$37,"",0,1)),_xlfn.XLOOKUP($C1422,Phone_by_Sentiment!$B$2:$B$37,Phone_by_Sentiment!N$2:N$37,"",0,1),0),$A1422-TEXT(DATEVALUE($D1422&amp;"-01"), "dd-mm-yyyy")),0),0)</f>
        <v>34</v>
      </c>
      <c r="O1422" cm="1">
        <f t="array" ref="O1422">IF($Q1422&gt;=0,IFERROR(generateSalesData($D1422, IF(ISNUMBER(_xlfn.XLOOKUP($C1422,Phone_by_Sentiment!$B$2:$B$37,Phone_by_Sentiment!O$2:O$37,"",0,1)),_xlfn.XLOOKUP($C1422,Phone_by_Sentiment!$B$2:$B$37,Phone_by_Sentiment!O$2:O$37,"",0,1),0),$A1422-TEXT(DATEVALUE($D1422&amp;"-01"), "dd-mm-yyyy")),0),0)</f>
        <v>94</v>
      </c>
      <c r="P1422" s="1">
        <f t="shared" si="51"/>
        <v>43586</v>
      </c>
      <c r="Q1422">
        <f t="shared" si="57"/>
        <v>1096</v>
      </c>
    </row>
    <row r="1423" spans="1:17" x14ac:dyDescent="0.25">
      <c r="A1423" s="1">
        <f t="shared" si="56"/>
        <v>44682</v>
      </c>
      <c r="B1423" t="s">
        <v>166</v>
      </c>
      <c r="C1423" t="str">
        <f>_xlfn.XLOOKUP(B1423,Phone_by_Price!$A$2:$A$34,Phone_by_Price!$B$2:$B$34,"-",0,1)</f>
        <v>Xiaomi Redmi Note 7</v>
      </c>
      <c r="D1423" t="str">
        <f>_xlfn.XLOOKUP(C1423,Phone_by_Sentiment!$B$2:$B$37,Phone_by_Sentiment!$A$2:$A$37,"-",0,1)</f>
        <v>2019-08</v>
      </c>
      <c r="E1423" cm="1">
        <f t="array" ref="E1423">IF($Q1423&gt;=0,IFERROR(generateSalesData($D1423, IF(ISNUMBER(_xlfn.XLOOKUP($C1423,Phone_by_Sentiment!$B$2:$B$37,Phone_by_Sentiment!E$2:E$37,"",0,1)),_xlfn.XLOOKUP($C1423,Phone_by_Sentiment!$B$2:$B$37,Phone_by_Sentiment!E$2:E$37,"",0,1),0),$A1423-TEXT(DATEVALUE($D1423&amp;"-01"), "dd-mm-yyyy")),0),0)</f>
        <v>31</v>
      </c>
      <c r="F1423" cm="1">
        <f t="array" ref="F1423">IF($Q1423&gt;=0,IFERROR(generateSalesData($D1423, IF(ISNUMBER(_xlfn.XLOOKUP($C1423,Phone_by_Sentiment!$B$2:$B$37,Phone_by_Sentiment!F$2:F$37,"",0,1)),_xlfn.XLOOKUP($C1423,Phone_by_Sentiment!$B$2:$B$37,Phone_by_Sentiment!F$2:F$37,"",0,1),0),$A1423-TEXT(DATEVALUE($D1423&amp;"-01"), "dd-mm-yyyy")),0),0)</f>
        <v>45</v>
      </c>
      <c r="G1423" cm="1">
        <f t="array" ref="G1423">IF($Q1423&gt;=0,IFERROR(generateSalesData($D1423, IF(ISNUMBER(_xlfn.XLOOKUP($C1423,Phone_by_Sentiment!$B$2:$B$37,Phone_by_Sentiment!G$2:G$37,"",0,1)),_xlfn.XLOOKUP($C1423,Phone_by_Sentiment!$B$2:$B$37,Phone_by_Sentiment!G$2:G$37,"",0,1),0),$A1423-TEXT(DATEVALUE($D1423&amp;"-01"), "dd-mm-yyyy")),0),0)</f>
        <v>32</v>
      </c>
      <c r="H1423" cm="1">
        <f t="array" ref="H1423">IF($Q1423&gt;=0,IFERROR(generateSalesData($D1423, IF(ISNUMBER(_xlfn.XLOOKUP($C1423,Phone_by_Sentiment!$B$2:$B$37,Phone_by_Sentiment!H$2:H$37,"",0,1)),_xlfn.XLOOKUP($C1423,Phone_by_Sentiment!$B$2:$B$37,Phone_by_Sentiment!H$2:H$37,"",0,1),0),$A1423-TEXT(DATEVALUE($D1423&amp;"-01"), "dd-mm-yyyy")),0),0)</f>
        <v>235</v>
      </c>
      <c r="I1423" cm="1">
        <f t="array" ref="I1423">IF($Q1423&gt;=0,IFERROR(generateSalesData($D1423, IF(ISNUMBER(_xlfn.XLOOKUP($C1423,Phone_by_Sentiment!$B$2:$B$37,Phone_by_Sentiment!I$2:I$37,"",0,1)),_xlfn.XLOOKUP($C1423,Phone_by_Sentiment!$B$2:$B$37,Phone_by_Sentiment!I$2:I$37,"",0,1),0),$A1423-TEXT(DATEVALUE($D1423&amp;"-01"), "dd-mm-yyyy")),0),0)</f>
        <v>68</v>
      </c>
      <c r="J1423" cm="1">
        <f t="array" ref="J1423">IF($Q1423&gt;=0,IFERROR(generateSalesData($D1423, IF(ISNUMBER(_xlfn.XLOOKUP($C1423,Phone_by_Sentiment!$B$2:$B$37,Phone_by_Sentiment!J$2:J$37,"",0,1)),_xlfn.XLOOKUP($C1423,Phone_by_Sentiment!$B$2:$B$37,Phone_by_Sentiment!J$2:J$37,"",0,1),0),$A1423-TEXT(DATEVALUE($D1423&amp;"-01"), "dd-mm-yyyy")),0),0)</f>
        <v>76</v>
      </c>
      <c r="K1423" cm="1">
        <f t="array" ref="K1423">IF($Q1423&gt;=0,IFERROR(generateSalesData($D1423, IF(ISNUMBER(_xlfn.XLOOKUP($C1423,Phone_by_Sentiment!$B$2:$B$37,Phone_by_Sentiment!K$2:K$37,"",0,1)),_xlfn.XLOOKUP($C1423,Phone_by_Sentiment!$B$2:$B$37,Phone_by_Sentiment!K$2:K$37,"",0,1),0),$A1423-TEXT(DATEVALUE($D1423&amp;"-01"), "dd-mm-yyyy")),0),0)</f>
        <v>223</v>
      </c>
      <c r="L1423" cm="1">
        <f t="array" ref="L1423">IF($Q1423&gt;=0,IFERROR(generateSalesData($D1423, IF(ISNUMBER(_xlfn.XLOOKUP($C1423,Phone_by_Sentiment!$B$2:$B$37,Phone_by_Sentiment!L$2:L$37,"",0,1)),_xlfn.XLOOKUP($C1423,Phone_by_Sentiment!$B$2:$B$37,Phone_by_Sentiment!L$2:L$37,"",0,1),0),$A1423-TEXT(DATEVALUE($D1423&amp;"-01"), "dd-mm-yyyy")),0),0)</f>
        <v>73</v>
      </c>
      <c r="M1423" cm="1">
        <f t="array" ref="M1423">IF($Q1423&gt;=0,IFERROR(generateSalesData($D1423, IF(ISNUMBER(_xlfn.XLOOKUP($C1423,Phone_by_Sentiment!$B$2:$B$37,Phone_by_Sentiment!M$2:M$37,"",0,1)),_xlfn.XLOOKUP($C1423,Phone_by_Sentiment!$B$2:$B$37,Phone_by_Sentiment!M$2:M$37,"",0,1),0),$A1423-TEXT(DATEVALUE($D1423&amp;"-01"), "dd-mm-yyyy")),0),0)</f>
        <v>419</v>
      </c>
      <c r="N1423" cm="1">
        <f t="array" ref="N1423">IF($Q1423&gt;=0,IFERROR(generateSalesData($D1423, IF(ISNUMBER(_xlfn.XLOOKUP($C1423,Phone_by_Sentiment!$B$2:$B$37,Phone_by_Sentiment!N$2:N$37,"",0,1)),_xlfn.XLOOKUP($C1423,Phone_by_Sentiment!$B$2:$B$37,Phone_by_Sentiment!N$2:N$37,"",0,1),0),$A1423-TEXT(DATEVALUE($D1423&amp;"-01"), "dd-mm-yyyy")),0),0)</f>
        <v>68</v>
      </c>
      <c r="O1423" cm="1">
        <f t="array" ref="O1423">IF($Q1423&gt;=0,IFERROR(generateSalesData($D1423, IF(ISNUMBER(_xlfn.XLOOKUP($C1423,Phone_by_Sentiment!$B$2:$B$37,Phone_by_Sentiment!O$2:O$37,"",0,1)),_xlfn.XLOOKUP($C1423,Phone_by_Sentiment!$B$2:$B$37,Phone_by_Sentiment!O$2:O$37,"",0,1),0),$A1423-TEXT(DATEVALUE($D1423&amp;"-01"), "dd-mm-yyyy")),0),0)</f>
        <v>-9</v>
      </c>
      <c r="P1423" s="1">
        <f t="shared" si="51"/>
        <v>43678</v>
      </c>
      <c r="Q1423">
        <f t="shared" si="57"/>
        <v>1004</v>
      </c>
    </row>
    <row r="1424" spans="1:17" x14ac:dyDescent="0.25">
      <c r="A1424" s="1">
        <f t="shared" si="56"/>
        <v>44682</v>
      </c>
      <c r="B1424" t="s">
        <v>167</v>
      </c>
      <c r="C1424" t="str">
        <f>_xlfn.XLOOKUP(B1424,Phone_by_Price!$A$2:$A$34,Phone_by_Price!$B$2:$B$34,"-",0,1)</f>
        <v>Realme C21</v>
      </c>
      <c r="D1424" t="str">
        <f>_xlfn.XLOOKUP(C1424,Phone_by_Sentiment!$B$2:$B$37,Phone_by_Sentiment!$A$2:$A$37,"-",0,1)</f>
        <v>2021-04</v>
      </c>
      <c r="E1424" cm="1">
        <f t="array" ref="E1424">IF($Q1424&gt;=0,IFERROR(generateSalesData($D1424, IF(ISNUMBER(_xlfn.XLOOKUP($C1424,Phone_by_Sentiment!$B$2:$B$37,Phone_by_Sentiment!E$2:E$37,"",0,1)),_xlfn.XLOOKUP($C1424,Phone_by_Sentiment!$B$2:$B$37,Phone_by_Sentiment!E$2:E$37,"",0,1),0),$A1424-TEXT(DATEVALUE($D1424&amp;"-01"), "dd-mm-yyyy")),0),0)</f>
        <v>132</v>
      </c>
      <c r="F1424" cm="1">
        <f t="array" ref="F1424">IF($Q1424&gt;=0,IFERROR(generateSalesData($D1424, IF(ISNUMBER(_xlfn.XLOOKUP($C1424,Phone_by_Sentiment!$B$2:$B$37,Phone_by_Sentiment!F$2:F$37,"",0,1)),_xlfn.XLOOKUP($C1424,Phone_by_Sentiment!$B$2:$B$37,Phone_by_Sentiment!F$2:F$37,"",0,1),0),$A1424-TEXT(DATEVALUE($D1424&amp;"-01"), "dd-mm-yyyy")),0),0)</f>
        <v>177</v>
      </c>
      <c r="G1424" cm="1">
        <f t="array" ref="G1424">IF($Q1424&gt;=0,IFERROR(generateSalesData($D1424, IF(ISNUMBER(_xlfn.XLOOKUP($C1424,Phone_by_Sentiment!$B$2:$B$37,Phone_by_Sentiment!G$2:G$37,"",0,1)),_xlfn.XLOOKUP($C1424,Phone_by_Sentiment!$B$2:$B$37,Phone_by_Sentiment!G$2:G$37,"",0,1),0),$A1424-TEXT(DATEVALUE($D1424&amp;"-01"), "dd-mm-yyyy")),0),0)</f>
        <v>81</v>
      </c>
      <c r="H1424" cm="1">
        <f t="array" ref="H1424">IF($Q1424&gt;=0,IFERROR(generateSalesData($D1424, IF(ISNUMBER(_xlfn.XLOOKUP($C1424,Phone_by_Sentiment!$B$2:$B$37,Phone_by_Sentiment!H$2:H$37,"",0,1)),_xlfn.XLOOKUP($C1424,Phone_by_Sentiment!$B$2:$B$37,Phone_by_Sentiment!H$2:H$37,"",0,1),0),$A1424-TEXT(DATEVALUE($D1424&amp;"-01"), "dd-mm-yyyy")),0),0)</f>
        <v>462</v>
      </c>
      <c r="I1424" cm="1">
        <f t="array" ref="I1424">IF($Q1424&gt;=0,IFERROR(generateSalesData($D1424, IF(ISNUMBER(_xlfn.XLOOKUP($C1424,Phone_by_Sentiment!$B$2:$B$37,Phone_by_Sentiment!I$2:I$37,"",0,1)),_xlfn.XLOOKUP($C1424,Phone_by_Sentiment!$B$2:$B$37,Phone_by_Sentiment!I$2:I$37,"",0,1),0),$A1424-TEXT(DATEVALUE($D1424&amp;"-01"), "dd-mm-yyyy")),0),0)</f>
        <v>661</v>
      </c>
      <c r="J1424" cm="1">
        <f t="array" ref="J1424">IF($Q1424&gt;=0,IFERROR(generateSalesData($D1424, IF(ISNUMBER(_xlfn.XLOOKUP($C1424,Phone_by_Sentiment!$B$2:$B$37,Phone_by_Sentiment!J$2:J$37,"",0,1)),_xlfn.XLOOKUP($C1424,Phone_by_Sentiment!$B$2:$B$37,Phone_by_Sentiment!J$2:J$37,"",0,1),0),$A1424-TEXT(DATEVALUE($D1424&amp;"-01"), "dd-mm-yyyy")),0),0)</f>
        <v>222</v>
      </c>
      <c r="K1424" cm="1">
        <f t="array" ref="K1424">IF($Q1424&gt;=0,IFERROR(generateSalesData($D1424, IF(ISNUMBER(_xlfn.XLOOKUP($C1424,Phone_by_Sentiment!$B$2:$B$37,Phone_by_Sentiment!K$2:K$37,"",0,1)),_xlfn.XLOOKUP($C1424,Phone_by_Sentiment!$B$2:$B$37,Phone_by_Sentiment!K$2:K$37,"",0,1),0),$A1424-TEXT(DATEVALUE($D1424&amp;"-01"), "dd-mm-yyyy")),0),0)</f>
        <v>758</v>
      </c>
      <c r="L1424" cm="1">
        <f t="array" ref="L1424">IF($Q1424&gt;=0,IFERROR(generateSalesData($D1424, IF(ISNUMBER(_xlfn.XLOOKUP($C1424,Phone_by_Sentiment!$B$2:$B$37,Phone_by_Sentiment!L$2:L$37,"",0,1)),_xlfn.XLOOKUP($C1424,Phone_by_Sentiment!$B$2:$B$37,Phone_by_Sentiment!L$2:L$37,"",0,1),0),$A1424-TEXT(DATEVALUE($D1424&amp;"-01"), "dd-mm-yyyy")),0),0)</f>
        <v>477</v>
      </c>
      <c r="M1424" cm="1">
        <f t="array" ref="M1424">IF($Q1424&gt;=0,IFERROR(generateSalesData($D1424, IF(ISNUMBER(_xlfn.XLOOKUP($C1424,Phone_by_Sentiment!$B$2:$B$37,Phone_by_Sentiment!M$2:M$37,"",0,1)),_xlfn.XLOOKUP($C1424,Phone_by_Sentiment!$B$2:$B$37,Phone_by_Sentiment!M$2:M$37,"",0,1),0),$A1424-TEXT(DATEVALUE($D1424&amp;"-01"), "dd-mm-yyyy")),0),0)</f>
        <v>117</v>
      </c>
      <c r="N1424" cm="1">
        <f t="array" ref="N1424">IF($Q1424&gt;=0,IFERROR(generateSalesData($D1424, IF(ISNUMBER(_xlfn.XLOOKUP($C1424,Phone_by_Sentiment!$B$2:$B$37,Phone_by_Sentiment!N$2:N$37,"",0,1)),_xlfn.XLOOKUP($C1424,Phone_by_Sentiment!$B$2:$B$37,Phone_by_Sentiment!N$2:N$37,"",0,1),0),$A1424-TEXT(DATEVALUE($D1424&amp;"-01"), "dd-mm-yyyy")),0),0)</f>
        <v>540</v>
      </c>
      <c r="O1424" cm="1">
        <f t="array" ref="O1424">IF($Q1424&gt;=0,IFERROR(generateSalesData($D1424, IF(ISNUMBER(_xlfn.XLOOKUP($C1424,Phone_by_Sentiment!$B$2:$B$37,Phone_by_Sentiment!O$2:O$37,"",0,1)),_xlfn.XLOOKUP($C1424,Phone_by_Sentiment!$B$2:$B$37,Phone_by_Sentiment!O$2:O$37,"",0,1),0),$A1424-TEXT(DATEVALUE($D1424&amp;"-01"), "dd-mm-yyyy")),0),0)</f>
        <v>142</v>
      </c>
      <c r="P1424" s="1">
        <f t="shared" si="51"/>
        <v>44287</v>
      </c>
      <c r="Q1424">
        <f t="shared" si="57"/>
        <v>395</v>
      </c>
    </row>
    <row r="1425" spans="1:17" x14ac:dyDescent="0.25">
      <c r="A1425" s="1">
        <f t="shared" si="56"/>
        <v>44682</v>
      </c>
      <c r="B1425" t="s">
        <v>168</v>
      </c>
      <c r="C1425" t="str">
        <f>_xlfn.XLOOKUP(B1425,Phone_by_Price!$A$2:$A$34,Phone_by_Price!$B$2:$B$34,"-",0,1)</f>
        <v>Google Pixel 4</v>
      </c>
      <c r="D1425" t="str">
        <f>_xlfn.XLOOKUP(C1425,Phone_by_Sentiment!$B$2:$B$37,Phone_by_Sentiment!$A$2:$A$37,"-",0,1)</f>
        <v>2019-09</v>
      </c>
      <c r="E1425" cm="1">
        <f t="array" ref="E1425">IF($Q1425&gt;=0,IFERROR(generateSalesData($D1425, IF(ISNUMBER(_xlfn.XLOOKUP($C1425,Phone_by_Sentiment!$B$2:$B$37,Phone_by_Sentiment!E$2:E$37,"",0,1)),_xlfn.XLOOKUP($C1425,Phone_by_Sentiment!$B$2:$B$37,Phone_by_Sentiment!E$2:E$37,"",0,1),0),$A1425-TEXT(DATEVALUE($D1425&amp;"-01"), "dd-mm-yyyy")),0),0)</f>
        <v>223</v>
      </c>
      <c r="F1425" cm="1">
        <f t="array" ref="F1425">IF($Q1425&gt;=0,IFERROR(generateSalesData($D1425, IF(ISNUMBER(_xlfn.XLOOKUP($C1425,Phone_by_Sentiment!$B$2:$B$37,Phone_by_Sentiment!F$2:F$37,"",0,1)),_xlfn.XLOOKUP($C1425,Phone_by_Sentiment!$B$2:$B$37,Phone_by_Sentiment!F$2:F$37,"",0,1),0),$A1425-TEXT(DATEVALUE($D1425&amp;"-01"), "dd-mm-yyyy")),0),0)</f>
        <v>-3</v>
      </c>
      <c r="G1425" cm="1">
        <f t="array" ref="G1425">IF($Q1425&gt;=0,IFERROR(generateSalesData($D1425, IF(ISNUMBER(_xlfn.XLOOKUP($C1425,Phone_by_Sentiment!$B$2:$B$37,Phone_by_Sentiment!G$2:G$37,"",0,1)),_xlfn.XLOOKUP($C1425,Phone_by_Sentiment!$B$2:$B$37,Phone_by_Sentiment!G$2:G$37,"",0,1),0),$A1425-TEXT(DATEVALUE($D1425&amp;"-01"), "dd-mm-yyyy")),0),0)</f>
        <v>84</v>
      </c>
      <c r="H1425" cm="1">
        <f t="array" ref="H1425">IF($Q1425&gt;=0,IFERROR(generateSalesData($D1425, IF(ISNUMBER(_xlfn.XLOOKUP($C1425,Phone_by_Sentiment!$B$2:$B$37,Phone_by_Sentiment!H$2:H$37,"",0,1)),_xlfn.XLOOKUP($C1425,Phone_by_Sentiment!$B$2:$B$37,Phone_by_Sentiment!H$2:H$37,"",0,1),0),$A1425-TEXT(DATEVALUE($D1425&amp;"-01"), "dd-mm-yyyy")),0),0)</f>
        <v>50</v>
      </c>
      <c r="I1425" cm="1">
        <f t="array" ref="I1425">IF($Q1425&gt;=0,IFERROR(generateSalesData($D1425, IF(ISNUMBER(_xlfn.XLOOKUP($C1425,Phone_by_Sentiment!$B$2:$B$37,Phone_by_Sentiment!I$2:I$37,"",0,1)),_xlfn.XLOOKUP($C1425,Phone_by_Sentiment!$B$2:$B$37,Phone_by_Sentiment!I$2:I$37,"",0,1),0),$A1425-TEXT(DATEVALUE($D1425&amp;"-01"), "dd-mm-yyyy")),0),0)</f>
        <v>105</v>
      </c>
      <c r="J1425" cm="1">
        <f t="array" ref="J1425">IF($Q1425&gt;=0,IFERROR(generateSalesData($D1425, IF(ISNUMBER(_xlfn.XLOOKUP($C1425,Phone_by_Sentiment!$B$2:$B$37,Phone_by_Sentiment!J$2:J$37,"",0,1)),_xlfn.XLOOKUP($C1425,Phone_by_Sentiment!$B$2:$B$37,Phone_by_Sentiment!J$2:J$37,"",0,1),0),$A1425-TEXT(DATEVALUE($D1425&amp;"-01"), "dd-mm-yyyy")),0),0)</f>
        <v>108</v>
      </c>
      <c r="K1425" cm="1">
        <f t="array" ref="K1425">IF($Q1425&gt;=0,IFERROR(generateSalesData($D1425, IF(ISNUMBER(_xlfn.XLOOKUP($C1425,Phone_by_Sentiment!$B$2:$B$37,Phone_by_Sentiment!K$2:K$37,"",0,1)),_xlfn.XLOOKUP($C1425,Phone_by_Sentiment!$B$2:$B$37,Phone_by_Sentiment!K$2:K$37,"",0,1),0),$A1425-TEXT(DATEVALUE($D1425&amp;"-01"), "dd-mm-yyyy")),0),0)</f>
        <v>62</v>
      </c>
      <c r="L1425" cm="1">
        <f t="array" ref="L1425">IF($Q1425&gt;=0,IFERROR(generateSalesData($D1425, IF(ISNUMBER(_xlfn.XLOOKUP($C1425,Phone_by_Sentiment!$B$2:$B$37,Phone_by_Sentiment!L$2:L$37,"",0,1)),_xlfn.XLOOKUP($C1425,Phone_by_Sentiment!$B$2:$B$37,Phone_by_Sentiment!L$2:L$37,"",0,1),0),$A1425-TEXT(DATEVALUE($D1425&amp;"-01"), "dd-mm-yyyy")),0),0)</f>
        <v>241</v>
      </c>
      <c r="M1425" cm="1">
        <f t="array" ref="M1425">IF($Q1425&gt;=0,IFERROR(generateSalesData($D1425, IF(ISNUMBER(_xlfn.XLOOKUP($C1425,Phone_by_Sentiment!$B$2:$B$37,Phone_by_Sentiment!M$2:M$37,"",0,1)),_xlfn.XLOOKUP($C1425,Phone_by_Sentiment!$B$2:$B$37,Phone_by_Sentiment!M$2:M$37,"",0,1),0),$A1425-TEXT(DATEVALUE($D1425&amp;"-01"), "dd-mm-yyyy")),0),0)</f>
        <v>95</v>
      </c>
      <c r="N1425" cm="1">
        <f t="array" ref="N1425">IF($Q1425&gt;=0,IFERROR(generateSalesData($D1425, IF(ISNUMBER(_xlfn.XLOOKUP($C1425,Phone_by_Sentiment!$B$2:$B$37,Phone_by_Sentiment!N$2:N$37,"",0,1)),_xlfn.XLOOKUP($C1425,Phone_by_Sentiment!$B$2:$B$37,Phone_by_Sentiment!N$2:N$37,"",0,1),0),$A1425-TEXT(DATEVALUE($D1425&amp;"-01"), "dd-mm-yyyy")),0),0)</f>
        <v>113</v>
      </c>
      <c r="O1425" cm="1">
        <f t="array" ref="O1425">IF($Q1425&gt;=0,IFERROR(generateSalesData($D1425, IF(ISNUMBER(_xlfn.XLOOKUP($C1425,Phone_by_Sentiment!$B$2:$B$37,Phone_by_Sentiment!O$2:O$37,"",0,1)),_xlfn.XLOOKUP($C1425,Phone_by_Sentiment!$B$2:$B$37,Phone_by_Sentiment!O$2:O$37,"",0,1),0),$A1425-TEXT(DATEVALUE($D1425&amp;"-01"), "dd-mm-yyyy")),0),0)</f>
        <v>55</v>
      </c>
      <c r="P1425" s="1">
        <f t="shared" si="51"/>
        <v>43709</v>
      </c>
      <c r="Q1425">
        <f t="shared" si="57"/>
        <v>973</v>
      </c>
    </row>
    <row r="1426" spans="1:17" x14ac:dyDescent="0.25">
      <c r="A1426" s="1">
        <f t="shared" si="56"/>
        <v>44682</v>
      </c>
      <c r="B1426" t="s">
        <v>169</v>
      </c>
      <c r="C1426" t="str">
        <f>_xlfn.XLOOKUP(B1426,Phone_by_Price!$A$2:$A$34,Phone_by_Price!$B$2:$B$34,"-",0,1)</f>
        <v>Samsung Galaxy A10s</v>
      </c>
      <c r="D1426" t="str">
        <f>_xlfn.XLOOKUP(C1426,Phone_by_Sentiment!$B$2:$B$37,Phone_by_Sentiment!$A$2:$A$37,"-",0,1)</f>
        <v>2019-08</v>
      </c>
      <c r="E1426" cm="1">
        <f t="array" ref="E1426">IF($Q1426&gt;=0,IFERROR(generateSalesData($D1426, IF(ISNUMBER(_xlfn.XLOOKUP($C1426,Phone_by_Sentiment!$B$2:$B$37,Phone_by_Sentiment!E$2:E$37,"",0,1)),_xlfn.XLOOKUP($C1426,Phone_by_Sentiment!$B$2:$B$37,Phone_by_Sentiment!E$2:E$37,"",0,1),0),$A1426-TEXT(DATEVALUE($D1426&amp;"-01"), "dd-mm-yyyy")),0),0)</f>
        <v>100</v>
      </c>
      <c r="F1426" cm="1">
        <f t="array" ref="F1426">IF($Q1426&gt;=0,IFERROR(generateSalesData($D1426, IF(ISNUMBER(_xlfn.XLOOKUP($C1426,Phone_by_Sentiment!$B$2:$B$37,Phone_by_Sentiment!F$2:F$37,"",0,1)),_xlfn.XLOOKUP($C1426,Phone_by_Sentiment!$B$2:$B$37,Phone_by_Sentiment!F$2:F$37,"",0,1),0),$A1426-TEXT(DATEVALUE($D1426&amp;"-01"), "dd-mm-yyyy")),0),0)</f>
        <v>153</v>
      </c>
      <c r="G1426" cm="1">
        <f t="array" ref="G1426">IF($Q1426&gt;=0,IFERROR(generateSalesData($D1426, IF(ISNUMBER(_xlfn.XLOOKUP($C1426,Phone_by_Sentiment!$B$2:$B$37,Phone_by_Sentiment!G$2:G$37,"",0,1)),_xlfn.XLOOKUP($C1426,Phone_by_Sentiment!$B$2:$B$37,Phone_by_Sentiment!G$2:G$37,"",0,1),0),$A1426-TEXT(DATEVALUE($D1426&amp;"-01"), "dd-mm-yyyy")),0),0)</f>
        <v>54</v>
      </c>
      <c r="H1426" cm="1">
        <f t="array" ref="H1426">IF($Q1426&gt;=0,IFERROR(generateSalesData($D1426, IF(ISNUMBER(_xlfn.XLOOKUP($C1426,Phone_by_Sentiment!$B$2:$B$37,Phone_by_Sentiment!H$2:H$37,"",0,1)),_xlfn.XLOOKUP($C1426,Phone_by_Sentiment!$B$2:$B$37,Phone_by_Sentiment!H$2:H$37,"",0,1),0),$A1426-TEXT(DATEVALUE($D1426&amp;"-01"), "dd-mm-yyyy")),0),0)</f>
        <v>284</v>
      </c>
      <c r="I1426" cm="1">
        <f t="array" ref="I1426">IF($Q1426&gt;=0,IFERROR(generateSalesData($D1426, IF(ISNUMBER(_xlfn.XLOOKUP($C1426,Phone_by_Sentiment!$B$2:$B$37,Phone_by_Sentiment!I$2:I$37,"",0,1)),_xlfn.XLOOKUP($C1426,Phone_by_Sentiment!$B$2:$B$37,Phone_by_Sentiment!I$2:I$37,"",0,1),0),$A1426-TEXT(DATEVALUE($D1426&amp;"-01"), "dd-mm-yyyy")),0),0)</f>
        <v>46</v>
      </c>
      <c r="J1426" cm="1">
        <f t="array" ref="J1426">IF($Q1426&gt;=0,IFERROR(generateSalesData($D1426, IF(ISNUMBER(_xlfn.XLOOKUP($C1426,Phone_by_Sentiment!$B$2:$B$37,Phone_by_Sentiment!J$2:J$37,"",0,1)),_xlfn.XLOOKUP($C1426,Phone_by_Sentiment!$B$2:$B$37,Phone_by_Sentiment!J$2:J$37,"",0,1),0),$A1426-TEXT(DATEVALUE($D1426&amp;"-01"), "dd-mm-yyyy")),0),0)</f>
        <v>42</v>
      </c>
      <c r="K1426" cm="1">
        <f t="array" ref="K1426">IF($Q1426&gt;=0,IFERROR(generateSalesData($D1426, IF(ISNUMBER(_xlfn.XLOOKUP($C1426,Phone_by_Sentiment!$B$2:$B$37,Phone_by_Sentiment!K$2:K$37,"",0,1)),_xlfn.XLOOKUP($C1426,Phone_by_Sentiment!$B$2:$B$37,Phone_by_Sentiment!K$2:K$37,"",0,1),0),$A1426-TEXT(DATEVALUE($D1426&amp;"-01"), "dd-mm-yyyy")),0),0)</f>
        <v>340</v>
      </c>
      <c r="L1426" cm="1">
        <f t="array" ref="L1426">IF($Q1426&gt;=0,IFERROR(generateSalesData($D1426, IF(ISNUMBER(_xlfn.XLOOKUP($C1426,Phone_by_Sentiment!$B$2:$B$37,Phone_by_Sentiment!L$2:L$37,"",0,1)),_xlfn.XLOOKUP($C1426,Phone_by_Sentiment!$B$2:$B$37,Phone_by_Sentiment!L$2:L$37,"",0,1),0),$A1426-TEXT(DATEVALUE($D1426&amp;"-01"), "dd-mm-yyyy")),0),0)</f>
        <v>129</v>
      </c>
      <c r="M1426" cm="1">
        <f t="array" ref="M1426">IF($Q1426&gt;=0,IFERROR(generateSalesData($D1426, IF(ISNUMBER(_xlfn.XLOOKUP($C1426,Phone_by_Sentiment!$B$2:$B$37,Phone_by_Sentiment!M$2:M$37,"",0,1)),_xlfn.XLOOKUP($C1426,Phone_by_Sentiment!$B$2:$B$37,Phone_by_Sentiment!M$2:M$37,"",0,1),0),$A1426-TEXT(DATEVALUE($D1426&amp;"-01"), "dd-mm-yyyy")),0),0)</f>
        <v>169</v>
      </c>
      <c r="N1426" cm="1">
        <f t="array" ref="N1426">IF($Q1426&gt;=0,IFERROR(generateSalesData($D1426, IF(ISNUMBER(_xlfn.XLOOKUP($C1426,Phone_by_Sentiment!$B$2:$B$37,Phone_by_Sentiment!N$2:N$37,"",0,1)),_xlfn.XLOOKUP($C1426,Phone_by_Sentiment!$B$2:$B$37,Phone_by_Sentiment!N$2:N$37,"",0,1),0),$A1426-TEXT(DATEVALUE($D1426&amp;"-01"), "dd-mm-yyyy")),0),0)</f>
        <v>51</v>
      </c>
      <c r="O1426" cm="1">
        <f t="array" ref="O1426">IF($Q1426&gt;=0,IFERROR(generateSalesData($D1426, IF(ISNUMBER(_xlfn.XLOOKUP($C1426,Phone_by_Sentiment!$B$2:$B$37,Phone_by_Sentiment!O$2:O$37,"",0,1)),_xlfn.XLOOKUP($C1426,Phone_by_Sentiment!$B$2:$B$37,Phone_by_Sentiment!O$2:O$37,"",0,1),0),$A1426-TEXT(DATEVALUE($D1426&amp;"-01"), "dd-mm-yyyy")),0),0)</f>
        <v>229</v>
      </c>
      <c r="P1426" s="1">
        <f t="shared" si="51"/>
        <v>43678</v>
      </c>
      <c r="Q1426">
        <f t="shared" si="57"/>
        <v>1004</v>
      </c>
    </row>
    <row r="1427" spans="1:17" x14ac:dyDescent="0.25">
      <c r="A1427" s="1">
        <f t="shared" si="56"/>
        <v>44682</v>
      </c>
      <c r="B1427" t="s">
        <v>170</v>
      </c>
      <c r="C1427" t="str">
        <f>_xlfn.XLOOKUP(B1427,Phone_by_Price!$A$2:$A$34,Phone_by_Price!$B$2:$B$34,"-",0,1)</f>
        <v>Realme Narzo 30A</v>
      </c>
      <c r="D1427" t="str">
        <f>_xlfn.XLOOKUP(C1427,Phone_by_Sentiment!$B$2:$B$37,Phone_by_Sentiment!$A$2:$A$37,"-",0,1)</f>
        <v>2021-02</v>
      </c>
      <c r="E1427" cm="1">
        <f t="array" ref="E1427">IF($Q1427&gt;=0,IFERROR(generateSalesData($D1427, IF(ISNUMBER(_xlfn.XLOOKUP($C1427,Phone_by_Sentiment!$B$2:$B$37,Phone_by_Sentiment!E$2:E$37,"",0,1)),_xlfn.XLOOKUP($C1427,Phone_by_Sentiment!$B$2:$B$37,Phone_by_Sentiment!E$2:E$37,"",0,1),0),$A1427-TEXT(DATEVALUE($D1427&amp;"-01"), "dd-mm-yyyy")),0),0)</f>
        <v>112</v>
      </c>
      <c r="F1427" cm="1">
        <f t="array" ref="F1427">IF($Q1427&gt;=0,IFERROR(generateSalesData($D1427, IF(ISNUMBER(_xlfn.XLOOKUP($C1427,Phone_by_Sentiment!$B$2:$B$37,Phone_by_Sentiment!F$2:F$37,"",0,1)),_xlfn.XLOOKUP($C1427,Phone_by_Sentiment!$B$2:$B$37,Phone_by_Sentiment!F$2:F$37,"",0,1),0),$A1427-TEXT(DATEVALUE($D1427&amp;"-01"), "dd-mm-yyyy")),0),0)</f>
        <v>42</v>
      </c>
      <c r="G1427" cm="1">
        <f t="array" ref="G1427">IF($Q1427&gt;=0,IFERROR(generateSalesData($D1427, IF(ISNUMBER(_xlfn.XLOOKUP($C1427,Phone_by_Sentiment!$B$2:$B$37,Phone_by_Sentiment!G$2:G$37,"",0,1)),_xlfn.XLOOKUP($C1427,Phone_by_Sentiment!$B$2:$B$37,Phone_by_Sentiment!G$2:G$37,"",0,1),0),$A1427-TEXT(DATEVALUE($D1427&amp;"-01"), "dd-mm-yyyy")),0),0)</f>
        <v>291</v>
      </c>
      <c r="H1427" cm="1">
        <f t="array" ref="H1427">IF($Q1427&gt;=0,IFERROR(generateSalesData($D1427, IF(ISNUMBER(_xlfn.XLOOKUP($C1427,Phone_by_Sentiment!$B$2:$B$37,Phone_by_Sentiment!H$2:H$37,"",0,1)),_xlfn.XLOOKUP($C1427,Phone_by_Sentiment!$B$2:$B$37,Phone_by_Sentiment!H$2:H$37,"",0,1),0),$A1427-TEXT(DATEVALUE($D1427&amp;"-01"), "dd-mm-yyyy")),0),0)</f>
        <v>496</v>
      </c>
      <c r="I1427" cm="1">
        <f t="array" ref="I1427">IF($Q1427&gt;=0,IFERROR(generateSalesData($D1427, IF(ISNUMBER(_xlfn.XLOOKUP($C1427,Phone_by_Sentiment!$B$2:$B$37,Phone_by_Sentiment!I$2:I$37,"",0,1)),_xlfn.XLOOKUP($C1427,Phone_by_Sentiment!$B$2:$B$37,Phone_by_Sentiment!I$2:I$37,"",0,1),0),$A1427-TEXT(DATEVALUE($D1427&amp;"-01"), "dd-mm-yyyy")),0),0)</f>
        <v>631</v>
      </c>
      <c r="J1427" cm="1">
        <f t="array" ref="J1427">IF($Q1427&gt;=0,IFERROR(generateSalesData($D1427, IF(ISNUMBER(_xlfn.XLOOKUP($C1427,Phone_by_Sentiment!$B$2:$B$37,Phone_by_Sentiment!J$2:J$37,"",0,1)),_xlfn.XLOOKUP($C1427,Phone_by_Sentiment!$B$2:$B$37,Phone_by_Sentiment!J$2:J$37,"",0,1),0),$A1427-TEXT(DATEVALUE($D1427&amp;"-01"), "dd-mm-yyyy")),0),0)</f>
        <v>251</v>
      </c>
      <c r="K1427" cm="1">
        <f t="array" ref="K1427">IF($Q1427&gt;=0,IFERROR(generateSalesData($D1427, IF(ISNUMBER(_xlfn.XLOOKUP($C1427,Phone_by_Sentiment!$B$2:$B$37,Phone_by_Sentiment!K$2:K$37,"",0,1)),_xlfn.XLOOKUP($C1427,Phone_by_Sentiment!$B$2:$B$37,Phone_by_Sentiment!K$2:K$37,"",0,1),0),$A1427-TEXT(DATEVALUE($D1427&amp;"-01"), "dd-mm-yyyy")),0),0)</f>
        <v>533</v>
      </c>
      <c r="L1427" cm="1">
        <f t="array" ref="L1427">IF($Q1427&gt;=0,IFERROR(generateSalesData($D1427, IF(ISNUMBER(_xlfn.XLOOKUP($C1427,Phone_by_Sentiment!$B$2:$B$37,Phone_by_Sentiment!L$2:L$37,"",0,1)),_xlfn.XLOOKUP($C1427,Phone_by_Sentiment!$B$2:$B$37,Phone_by_Sentiment!L$2:L$37,"",0,1),0),$A1427-TEXT(DATEVALUE($D1427&amp;"-01"), "dd-mm-yyyy")),0),0)</f>
        <v>838</v>
      </c>
      <c r="M1427" cm="1">
        <f t="array" ref="M1427">IF($Q1427&gt;=0,IFERROR(generateSalesData($D1427, IF(ISNUMBER(_xlfn.XLOOKUP($C1427,Phone_by_Sentiment!$B$2:$B$37,Phone_by_Sentiment!M$2:M$37,"",0,1)),_xlfn.XLOOKUP($C1427,Phone_by_Sentiment!$B$2:$B$37,Phone_by_Sentiment!M$2:M$37,"",0,1),0),$A1427-TEXT(DATEVALUE($D1427&amp;"-01"), "dd-mm-yyyy")),0),0)</f>
        <v>233</v>
      </c>
      <c r="N1427" cm="1">
        <f t="array" ref="N1427">IF($Q1427&gt;=0,IFERROR(generateSalesData($D1427, IF(ISNUMBER(_xlfn.XLOOKUP($C1427,Phone_by_Sentiment!$B$2:$B$37,Phone_by_Sentiment!N$2:N$37,"",0,1)),_xlfn.XLOOKUP($C1427,Phone_by_Sentiment!$B$2:$B$37,Phone_by_Sentiment!N$2:N$37,"",0,1),0),$A1427-TEXT(DATEVALUE($D1427&amp;"-01"), "dd-mm-yyyy")),0),0)</f>
        <v>244</v>
      </c>
      <c r="O1427" cm="1">
        <f t="array" ref="O1427">IF($Q1427&gt;=0,IFERROR(generateSalesData($D1427, IF(ISNUMBER(_xlfn.XLOOKUP($C1427,Phone_by_Sentiment!$B$2:$B$37,Phone_by_Sentiment!O$2:O$37,"",0,1)),_xlfn.XLOOKUP($C1427,Phone_by_Sentiment!$B$2:$B$37,Phone_by_Sentiment!O$2:O$37,"",0,1),0),$A1427-TEXT(DATEVALUE($D1427&amp;"-01"), "dd-mm-yyyy")),0),0)</f>
        <v>171</v>
      </c>
      <c r="P1427" s="1">
        <f t="shared" si="51"/>
        <v>44228</v>
      </c>
      <c r="Q1427">
        <f t="shared" si="57"/>
        <v>454</v>
      </c>
    </row>
    <row r="1428" spans="1:17" x14ac:dyDescent="0.25">
      <c r="A1428" s="1">
        <f t="shared" si="56"/>
        <v>44682</v>
      </c>
      <c r="B1428" t="s">
        <v>171</v>
      </c>
      <c r="C1428" t="str">
        <f>_xlfn.XLOOKUP(B1428,Phone_by_Price!$A$2:$A$34,Phone_by_Price!$B$2:$B$34,"-",0,1)</f>
        <v>Samsung Galaxy A22 5G</v>
      </c>
      <c r="D1428" t="str">
        <f>_xlfn.XLOOKUP(C1428,Phone_by_Sentiment!$B$2:$B$37,Phone_by_Sentiment!$A$2:$A$37,"-",0,1)</f>
        <v>2021-05</v>
      </c>
      <c r="E1428" cm="1">
        <f t="array" ref="E1428">IF($Q1428&gt;=0,IFERROR(generateSalesData($D1428, IF(ISNUMBER(_xlfn.XLOOKUP($C1428,Phone_by_Sentiment!$B$2:$B$37,Phone_by_Sentiment!E$2:E$37,"",0,1)),_xlfn.XLOOKUP($C1428,Phone_by_Sentiment!$B$2:$B$37,Phone_by_Sentiment!E$2:E$37,"",0,1),0),$A1428-TEXT(DATEVALUE($D1428&amp;"-01"), "dd-mm-yyyy")),0),0)</f>
        <v>939</v>
      </c>
      <c r="F1428" cm="1">
        <f t="array" ref="F1428">IF($Q1428&gt;=0,IFERROR(generateSalesData($D1428, IF(ISNUMBER(_xlfn.XLOOKUP($C1428,Phone_by_Sentiment!$B$2:$B$37,Phone_by_Sentiment!F$2:F$37,"",0,1)),_xlfn.XLOOKUP($C1428,Phone_by_Sentiment!$B$2:$B$37,Phone_by_Sentiment!F$2:F$37,"",0,1),0),$A1428-TEXT(DATEVALUE($D1428&amp;"-01"), "dd-mm-yyyy")),0),0)</f>
        <v>344</v>
      </c>
      <c r="G1428" cm="1">
        <f t="array" ref="G1428">IF($Q1428&gt;=0,IFERROR(generateSalesData($D1428, IF(ISNUMBER(_xlfn.XLOOKUP($C1428,Phone_by_Sentiment!$B$2:$B$37,Phone_by_Sentiment!G$2:G$37,"",0,1)),_xlfn.XLOOKUP($C1428,Phone_by_Sentiment!$B$2:$B$37,Phone_by_Sentiment!G$2:G$37,"",0,1),0),$A1428-TEXT(DATEVALUE($D1428&amp;"-01"), "dd-mm-yyyy")),0),0)</f>
        <v>352</v>
      </c>
      <c r="H1428" cm="1">
        <f t="array" ref="H1428">IF($Q1428&gt;=0,IFERROR(generateSalesData($D1428, IF(ISNUMBER(_xlfn.XLOOKUP($C1428,Phone_by_Sentiment!$B$2:$B$37,Phone_by_Sentiment!H$2:H$37,"",0,1)),_xlfn.XLOOKUP($C1428,Phone_by_Sentiment!$B$2:$B$37,Phone_by_Sentiment!H$2:H$37,"",0,1),0),$A1428-TEXT(DATEVALUE($D1428&amp;"-01"), "dd-mm-yyyy")),0),0)</f>
        <v>750</v>
      </c>
      <c r="I1428" cm="1">
        <f t="array" ref="I1428">IF($Q1428&gt;=0,IFERROR(generateSalesData($D1428, IF(ISNUMBER(_xlfn.XLOOKUP($C1428,Phone_by_Sentiment!$B$2:$B$37,Phone_by_Sentiment!I$2:I$37,"",0,1)),_xlfn.XLOOKUP($C1428,Phone_by_Sentiment!$B$2:$B$37,Phone_by_Sentiment!I$2:I$37,"",0,1),0),$A1428-TEXT(DATEVALUE($D1428&amp;"-01"), "dd-mm-yyyy")),0),0)</f>
        <v>701</v>
      </c>
      <c r="J1428" cm="1">
        <f t="array" ref="J1428">IF($Q1428&gt;=0,IFERROR(generateSalesData($D1428, IF(ISNUMBER(_xlfn.XLOOKUP($C1428,Phone_by_Sentiment!$B$2:$B$37,Phone_by_Sentiment!J$2:J$37,"",0,1)),_xlfn.XLOOKUP($C1428,Phone_by_Sentiment!$B$2:$B$37,Phone_by_Sentiment!J$2:J$37,"",0,1),0),$A1428-TEXT(DATEVALUE($D1428&amp;"-01"), "dd-mm-yyyy")),0),0)</f>
        <v>385</v>
      </c>
      <c r="K1428" cm="1">
        <f t="array" ref="K1428">IF($Q1428&gt;=0,IFERROR(generateSalesData($D1428, IF(ISNUMBER(_xlfn.XLOOKUP($C1428,Phone_by_Sentiment!$B$2:$B$37,Phone_by_Sentiment!K$2:K$37,"",0,1)),_xlfn.XLOOKUP($C1428,Phone_by_Sentiment!$B$2:$B$37,Phone_by_Sentiment!K$2:K$37,"",0,1),0),$A1428-TEXT(DATEVALUE($D1428&amp;"-01"), "dd-mm-yyyy")),0),0)</f>
        <v>1230</v>
      </c>
      <c r="L1428" cm="1">
        <f t="array" ref="L1428">IF($Q1428&gt;=0,IFERROR(generateSalesData($D1428, IF(ISNUMBER(_xlfn.XLOOKUP($C1428,Phone_by_Sentiment!$B$2:$B$37,Phone_by_Sentiment!L$2:L$37,"",0,1)),_xlfn.XLOOKUP($C1428,Phone_by_Sentiment!$B$2:$B$37,Phone_by_Sentiment!L$2:L$37,"",0,1),0),$A1428-TEXT(DATEVALUE($D1428&amp;"-01"), "dd-mm-yyyy")),0),0)</f>
        <v>430</v>
      </c>
      <c r="M1428" cm="1">
        <f t="array" ref="M1428">IF($Q1428&gt;=0,IFERROR(generateSalesData($D1428, IF(ISNUMBER(_xlfn.XLOOKUP($C1428,Phone_by_Sentiment!$B$2:$B$37,Phone_by_Sentiment!M$2:M$37,"",0,1)),_xlfn.XLOOKUP($C1428,Phone_by_Sentiment!$B$2:$B$37,Phone_by_Sentiment!M$2:M$37,"",0,1),0),$A1428-TEXT(DATEVALUE($D1428&amp;"-01"), "dd-mm-yyyy")),0),0)</f>
        <v>473</v>
      </c>
      <c r="N1428" cm="1">
        <f t="array" ref="N1428">IF($Q1428&gt;=0,IFERROR(generateSalesData($D1428, IF(ISNUMBER(_xlfn.XLOOKUP($C1428,Phone_by_Sentiment!$B$2:$B$37,Phone_by_Sentiment!N$2:N$37,"",0,1)),_xlfn.XLOOKUP($C1428,Phone_by_Sentiment!$B$2:$B$37,Phone_by_Sentiment!N$2:N$37,"",0,1),0),$A1428-TEXT(DATEVALUE($D1428&amp;"-01"), "dd-mm-yyyy")),0),0)</f>
        <v>756</v>
      </c>
      <c r="O1428" cm="1">
        <f t="array" ref="O1428">IF($Q1428&gt;=0,IFERROR(generateSalesData($D1428, IF(ISNUMBER(_xlfn.XLOOKUP($C1428,Phone_by_Sentiment!$B$2:$B$37,Phone_by_Sentiment!O$2:O$37,"",0,1)),_xlfn.XLOOKUP($C1428,Phone_by_Sentiment!$B$2:$B$37,Phone_by_Sentiment!O$2:O$37,"",0,1),0),$A1428-TEXT(DATEVALUE($D1428&amp;"-01"), "dd-mm-yyyy")),0),0)</f>
        <v>552</v>
      </c>
      <c r="P1428" s="1">
        <f t="shared" si="51"/>
        <v>44317</v>
      </c>
      <c r="Q1428">
        <f t="shared" si="57"/>
        <v>365</v>
      </c>
    </row>
    <row r="1429" spans="1:17" x14ac:dyDescent="0.25">
      <c r="A1429" s="1">
        <f t="shared" si="56"/>
        <v>44682</v>
      </c>
      <c r="B1429" t="s">
        <v>172</v>
      </c>
      <c r="C1429" t="str">
        <f>_xlfn.XLOOKUP(B1429,Phone_by_Price!$A$2:$A$34,Phone_by_Price!$B$2:$B$34,"-",0,1)</f>
        <v>Xiaomi Redmi 9</v>
      </c>
      <c r="D1429" t="str">
        <f>_xlfn.XLOOKUP(C1429,Phone_by_Sentiment!$B$2:$B$37,Phone_by_Sentiment!$A$2:$A$37,"-",0,1)</f>
        <v>2020-08</v>
      </c>
      <c r="E1429" cm="1">
        <f t="array" ref="E1429">IF($Q1429&gt;=0,IFERROR(generateSalesData($D1429, IF(ISNUMBER(_xlfn.XLOOKUP($C1429,Phone_by_Sentiment!$B$2:$B$37,Phone_by_Sentiment!E$2:E$37,"",0,1)),_xlfn.XLOOKUP($C1429,Phone_by_Sentiment!$B$2:$B$37,Phone_by_Sentiment!E$2:E$37,"",0,1),0),$A1429-TEXT(DATEVALUE($D1429&amp;"-01"), "dd-mm-yyyy")),0),0)</f>
        <v>82</v>
      </c>
      <c r="F1429" cm="1">
        <f t="array" ref="F1429">IF($Q1429&gt;=0,IFERROR(generateSalesData($D1429, IF(ISNUMBER(_xlfn.XLOOKUP($C1429,Phone_by_Sentiment!$B$2:$B$37,Phone_by_Sentiment!F$2:F$37,"",0,1)),_xlfn.XLOOKUP($C1429,Phone_by_Sentiment!$B$2:$B$37,Phone_by_Sentiment!F$2:F$37,"",0,1),0),$A1429-TEXT(DATEVALUE($D1429&amp;"-01"), "dd-mm-yyyy")),0),0)</f>
        <v>176</v>
      </c>
      <c r="G1429" cm="1">
        <f t="array" ref="G1429">IF($Q1429&gt;=0,IFERROR(generateSalesData($D1429, IF(ISNUMBER(_xlfn.XLOOKUP($C1429,Phone_by_Sentiment!$B$2:$B$37,Phone_by_Sentiment!G$2:G$37,"",0,1)),_xlfn.XLOOKUP($C1429,Phone_by_Sentiment!$B$2:$B$37,Phone_by_Sentiment!G$2:G$37,"",0,1),0),$A1429-TEXT(DATEVALUE($D1429&amp;"-01"), "dd-mm-yyyy")),0),0)</f>
        <v>100</v>
      </c>
      <c r="H1429" cm="1">
        <f t="array" ref="H1429">IF($Q1429&gt;=0,IFERROR(generateSalesData($D1429, IF(ISNUMBER(_xlfn.XLOOKUP($C1429,Phone_by_Sentiment!$B$2:$B$37,Phone_by_Sentiment!H$2:H$37,"",0,1)),_xlfn.XLOOKUP($C1429,Phone_by_Sentiment!$B$2:$B$37,Phone_by_Sentiment!H$2:H$37,"",0,1),0),$A1429-TEXT(DATEVALUE($D1429&amp;"-01"), "dd-mm-yyyy")),0),0)</f>
        <v>230</v>
      </c>
      <c r="I1429" cm="1">
        <f t="array" ref="I1429">IF($Q1429&gt;=0,IFERROR(generateSalesData($D1429, IF(ISNUMBER(_xlfn.XLOOKUP($C1429,Phone_by_Sentiment!$B$2:$B$37,Phone_by_Sentiment!I$2:I$37,"",0,1)),_xlfn.XLOOKUP($C1429,Phone_by_Sentiment!$B$2:$B$37,Phone_by_Sentiment!I$2:I$37,"",0,1),0),$A1429-TEXT(DATEVALUE($D1429&amp;"-01"), "dd-mm-yyyy")),0),0)</f>
        <v>41</v>
      </c>
      <c r="J1429" cm="1">
        <f t="array" ref="J1429">IF($Q1429&gt;=0,IFERROR(generateSalesData($D1429, IF(ISNUMBER(_xlfn.XLOOKUP($C1429,Phone_by_Sentiment!$B$2:$B$37,Phone_by_Sentiment!J$2:J$37,"",0,1)),_xlfn.XLOOKUP($C1429,Phone_by_Sentiment!$B$2:$B$37,Phone_by_Sentiment!J$2:J$37,"",0,1),0),$A1429-TEXT(DATEVALUE($D1429&amp;"-01"), "dd-mm-yyyy")),0),0)</f>
        <v>122</v>
      </c>
      <c r="K1429" cm="1">
        <f t="array" ref="K1429">IF($Q1429&gt;=0,IFERROR(generateSalesData($D1429, IF(ISNUMBER(_xlfn.XLOOKUP($C1429,Phone_by_Sentiment!$B$2:$B$37,Phone_by_Sentiment!K$2:K$37,"",0,1)),_xlfn.XLOOKUP($C1429,Phone_by_Sentiment!$B$2:$B$37,Phone_by_Sentiment!K$2:K$37,"",0,1),0),$A1429-TEXT(DATEVALUE($D1429&amp;"-01"), "dd-mm-yyyy")),0),0)</f>
        <v>392</v>
      </c>
      <c r="L1429" cm="1">
        <f t="array" ref="L1429">IF($Q1429&gt;=0,IFERROR(generateSalesData($D1429, IF(ISNUMBER(_xlfn.XLOOKUP($C1429,Phone_by_Sentiment!$B$2:$B$37,Phone_by_Sentiment!L$2:L$37,"",0,1)),_xlfn.XLOOKUP($C1429,Phone_by_Sentiment!$B$2:$B$37,Phone_by_Sentiment!L$2:L$37,"",0,1),0),$A1429-TEXT(DATEVALUE($D1429&amp;"-01"), "dd-mm-yyyy")),0),0)</f>
        <v>131</v>
      </c>
      <c r="M1429" cm="1">
        <f t="array" ref="M1429">IF($Q1429&gt;=0,IFERROR(generateSalesData($D1429, IF(ISNUMBER(_xlfn.XLOOKUP($C1429,Phone_by_Sentiment!$B$2:$B$37,Phone_by_Sentiment!M$2:M$37,"",0,1)),_xlfn.XLOOKUP($C1429,Phone_by_Sentiment!$B$2:$B$37,Phone_by_Sentiment!M$2:M$37,"",0,1),0),$A1429-TEXT(DATEVALUE($D1429&amp;"-01"), "dd-mm-yyyy")),0),0)</f>
        <v>388</v>
      </c>
      <c r="N1429" cm="1">
        <f t="array" ref="N1429">IF($Q1429&gt;=0,IFERROR(generateSalesData($D1429, IF(ISNUMBER(_xlfn.XLOOKUP($C1429,Phone_by_Sentiment!$B$2:$B$37,Phone_by_Sentiment!N$2:N$37,"",0,1)),_xlfn.XLOOKUP($C1429,Phone_by_Sentiment!$B$2:$B$37,Phone_by_Sentiment!N$2:N$37,"",0,1),0),$A1429-TEXT(DATEVALUE($D1429&amp;"-01"), "dd-mm-yyyy")),0),0)</f>
        <v>179</v>
      </c>
      <c r="O1429" cm="1">
        <f t="array" ref="O1429">IF($Q1429&gt;=0,IFERROR(generateSalesData($D1429, IF(ISNUMBER(_xlfn.XLOOKUP($C1429,Phone_by_Sentiment!$B$2:$B$37,Phone_by_Sentiment!O$2:O$37,"",0,1)),_xlfn.XLOOKUP($C1429,Phone_by_Sentiment!$B$2:$B$37,Phone_by_Sentiment!O$2:O$37,"",0,1),0),$A1429-TEXT(DATEVALUE($D1429&amp;"-01"), "dd-mm-yyyy")),0),0)</f>
        <v>331</v>
      </c>
      <c r="P1429" s="1">
        <f t="shared" si="51"/>
        <v>44044</v>
      </c>
      <c r="Q1429">
        <f t="shared" si="57"/>
        <v>638</v>
      </c>
    </row>
    <row r="1430" spans="1:17" x14ac:dyDescent="0.25">
      <c r="A1430" s="1">
        <f t="shared" si="56"/>
        <v>44682</v>
      </c>
      <c r="B1430" t="s">
        <v>173</v>
      </c>
      <c r="C1430" t="str">
        <f>_xlfn.XLOOKUP(B1430,Phone_by_Price!$A$2:$A$34,Phone_by_Price!$B$2:$B$34,"-",0,1)</f>
        <v>Realme C3</v>
      </c>
      <c r="D1430" t="str">
        <f>_xlfn.XLOOKUP(C1430,Phone_by_Sentiment!$B$2:$B$37,Phone_by_Sentiment!$A$2:$A$37,"-",0,1)</f>
        <v>2020-02</v>
      </c>
      <c r="E1430" cm="1">
        <f t="array" ref="E1430">IF($Q1430&gt;=0,IFERROR(generateSalesData($D1430, IF(ISNUMBER(_xlfn.XLOOKUP($C1430,Phone_by_Sentiment!$B$2:$B$37,Phone_by_Sentiment!E$2:E$37,"",0,1)),_xlfn.XLOOKUP($C1430,Phone_by_Sentiment!$B$2:$B$37,Phone_by_Sentiment!E$2:E$37,"",0,1),0),$A1430-TEXT(DATEVALUE($D1430&amp;"-01"), "dd-mm-yyyy")),0),0)</f>
        <v>18</v>
      </c>
      <c r="F1430" cm="1">
        <f t="array" ref="F1430">IF($Q1430&gt;=0,IFERROR(generateSalesData($D1430, IF(ISNUMBER(_xlfn.XLOOKUP($C1430,Phone_by_Sentiment!$B$2:$B$37,Phone_by_Sentiment!F$2:F$37,"",0,1)),_xlfn.XLOOKUP($C1430,Phone_by_Sentiment!$B$2:$B$37,Phone_by_Sentiment!F$2:F$37,"",0,1),0),$A1430-TEXT(DATEVALUE($D1430&amp;"-01"), "dd-mm-yyyy")),0),0)</f>
        <v>95</v>
      </c>
      <c r="G1430" cm="1">
        <f t="array" ref="G1430">IF($Q1430&gt;=0,IFERROR(generateSalesData($D1430, IF(ISNUMBER(_xlfn.XLOOKUP($C1430,Phone_by_Sentiment!$B$2:$B$37,Phone_by_Sentiment!G$2:G$37,"",0,1)),_xlfn.XLOOKUP($C1430,Phone_by_Sentiment!$B$2:$B$37,Phone_by_Sentiment!G$2:G$37,"",0,1),0),$A1430-TEXT(DATEVALUE($D1430&amp;"-01"), "dd-mm-yyyy")),0),0)</f>
        <v>64</v>
      </c>
      <c r="H1430" cm="1">
        <f t="array" ref="H1430">IF($Q1430&gt;=0,IFERROR(generateSalesData($D1430, IF(ISNUMBER(_xlfn.XLOOKUP($C1430,Phone_by_Sentiment!$B$2:$B$37,Phone_by_Sentiment!H$2:H$37,"",0,1)),_xlfn.XLOOKUP($C1430,Phone_by_Sentiment!$B$2:$B$37,Phone_by_Sentiment!H$2:H$37,"",0,1),0),$A1430-TEXT(DATEVALUE($D1430&amp;"-01"), "dd-mm-yyyy")),0),0)</f>
        <v>274</v>
      </c>
      <c r="I1430" cm="1">
        <f t="array" ref="I1430">IF($Q1430&gt;=0,IFERROR(generateSalesData($D1430, IF(ISNUMBER(_xlfn.XLOOKUP($C1430,Phone_by_Sentiment!$B$2:$B$37,Phone_by_Sentiment!I$2:I$37,"",0,1)),_xlfn.XLOOKUP($C1430,Phone_by_Sentiment!$B$2:$B$37,Phone_by_Sentiment!I$2:I$37,"",0,1),0),$A1430-TEXT(DATEVALUE($D1430&amp;"-01"), "dd-mm-yyyy")),0),0)</f>
        <v>277</v>
      </c>
      <c r="J1430" cm="1">
        <f t="array" ref="J1430">IF($Q1430&gt;=0,IFERROR(generateSalesData($D1430, IF(ISNUMBER(_xlfn.XLOOKUP($C1430,Phone_by_Sentiment!$B$2:$B$37,Phone_by_Sentiment!J$2:J$37,"",0,1)),_xlfn.XLOOKUP($C1430,Phone_by_Sentiment!$B$2:$B$37,Phone_by_Sentiment!J$2:J$37,"",0,1),0),$A1430-TEXT(DATEVALUE($D1430&amp;"-01"), "dd-mm-yyyy")),0),0)</f>
        <v>28</v>
      </c>
      <c r="K1430" cm="1">
        <f t="array" ref="K1430">IF($Q1430&gt;=0,IFERROR(generateSalesData($D1430, IF(ISNUMBER(_xlfn.XLOOKUP($C1430,Phone_by_Sentiment!$B$2:$B$37,Phone_by_Sentiment!K$2:K$37,"",0,1)),_xlfn.XLOOKUP($C1430,Phone_by_Sentiment!$B$2:$B$37,Phone_by_Sentiment!K$2:K$37,"",0,1),0),$A1430-TEXT(DATEVALUE($D1430&amp;"-01"), "dd-mm-yyyy")),0),0)</f>
        <v>228</v>
      </c>
      <c r="L1430" cm="1">
        <f t="array" ref="L1430">IF($Q1430&gt;=0,IFERROR(generateSalesData($D1430, IF(ISNUMBER(_xlfn.XLOOKUP($C1430,Phone_by_Sentiment!$B$2:$B$37,Phone_by_Sentiment!L$2:L$37,"",0,1)),_xlfn.XLOOKUP($C1430,Phone_by_Sentiment!$B$2:$B$37,Phone_by_Sentiment!L$2:L$37,"",0,1),0),$A1430-TEXT(DATEVALUE($D1430&amp;"-01"), "dd-mm-yyyy")),0),0)</f>
        <v>28</v>
      </c>
      <c r="M1430" cm="1">
        <f t="array" ref="M1430">IF($Q1430&gt;=0,IFERROR(generateSalesData($D1430, IF(ISNUMBER(_xlfn.XLOOKUP($C1430,Phone_by_Sentiment!$B$2:$B$37,Phone_by_Sentiment!M$2:M$37,"",0,1)),_xlfn.XLOOKUP($C1430,Phone_by_Sentiment!$B$2:$B$37,Phone_by_Sentiment!M$2:M$37,"",0,1),0),$A1430-TEXT(DATEVALUE($D1430&amp;"-01"), "dd-mm-yyyy")),0),0)</f>
        <v>85</v>
      </c>
      <c r="N1430" cm="1">
        <f t="array" ref="N1430">IF($Q1430&gt;=0,IFERROR(generateSalesData($D1430, IF(ISNUMBER(_xlfn.XLOOKUP($C1430,Phone_by_Sentiment!$B$2:$B$37,Phone_by_Sentiment!N$2:N$37,"",0,1)),_xlfn.XLOOKUP($C1430,Phone_by_Sentiment!$B$2:$B$37,Phone_by_Sentiment!N$2:N$37,"",0,1),0),$A1430-TEXT(DATEVALUE($D1430&amp;"-01"), "dd-mm-yyyy")),0),0)</f>
        <v>257</v>
      </c>
      <c r="O1430" cm="1">
        <f t="array" ref="O1430">IF($Q1430&gt;=0,IFERROR(generateSalesData($D1430, IF(ISNUMBER(_xlfn.XLOOKUP($C1430,Phone_by_Sentiment!$B$2:$B$37,Phone_by_Sentiment!O$2:O$37,"",0,1)),_xlfn.XLOOKUP($C1430,Phone_by_Sentiment!$B$2:$B$37,Phone_by_Sentiment!O$2:O$37,"",0,1),0),$A1430-TEXT(DATEVALUE($D1430&amp;"-01"), "dd-mm-yyyy")),0),0)</f>
        <v>50</v>
      </c>
      <c r="P1430" s="1">
        <f t="shared" si="51"/>
        <v>43862</v>
      </c>
      <c r="Q1430">
        <f t="shared" si="57"/>
        <v>820</v>
      </c>
    </row>
    <row r="1431" spans="1:17" x14ac:dyDescent="0.25">
      <c r="A1431" s="1">
        <f t="shared" si="56"/>
        <v>44682</v>
      </c>
      <c r="B1431" t="s">
        <v>174</v>
      </c>
      <c r="C1431" t="str">
        <f>_xlfn.XLOOKUP(B1431,Phone_by_Price!$A$2:$A$34,Phone_by_Price!$B$2:$B$34,"-",0,1)</f>
        <v>Samsung Galaxy A7</v>
      </c>
      <c r="D1431" t="str">
        <f>_xlfn.XLOOKUP(C1431,Phone_by_Sentiment!$B$2:$B$37,Phone_by_Sentiment!$A$2:$A$37,"-",0,1)</f>
        <v>2018-10</v>
      </c>
      <c r="E1431" cm="1">
        <f t="array" ref="E1431">IF($Q1431&gt;=0,IFERROR(generateSalesData($D1431, IF(ISNUMBER(_xlfn.XLOOKUP($C1431,Phone_by_Sentiment!$B$2:$B$37,Phone_by_Sentiment!E$2:E$37,"",0,1)),_xlfn.XLOOKUP($C1431,Phone_by_Sentiment!$B$2:$B$37,Phone_by_Sentiment!E$2:E$37,"",0,1),0),$A1431-TEXT(DATEVALUE($D1431&amp;"-01"), "dd-mm-yyyy")),0),0)</f>
        <v>52</v>
      </c>
      <c r="F1431" cm="1">
        <f t="array" ref="F1431">IF($Q1431&gt;=0,IFERROR(generateSalesData($D1431, IF(ISNUMBER(_xlfn.XLOOKUP($C1431,Phone_by_Sentiment!$B$2:$B$37,Phone_by_Sentiment!F$2:F$37,"",0,1)),_xlfn.XLOOKUP($C1431,Phone_by_Sentiment!$B$2:$B$37,Phone_by_Sentiment!F$2:F$37,"",0,1),0),$A1431-TEXT(DATEVALUE($D1431&amp;"-01"), "dd-mm-yyyy")),0),0)</f>
        <v>76</v>
      </c>
      <c r="G1431" cm="1">
        <f t="array" ref="G1431">IF($Q1431&gt;=0,IFERROR(generateSalesData($D1431, IF(ISNUMBER(_xlfn.XLOOKUP($C1431,Phone_by_Sentiment!$B$2:$B$37,Phone_by_Sentiment!G$2:G$37,"",0,1)),_xlfn.XLOOKUP($C1431,Phone_by_Sentiment!$B$2:$B$37,Phone_by_Sentiment!G$2:G$37,"",0,1),0),$A1431-TEXT(DATEVALUE($D1431&amp;"-01"), "dd-mm-yyyy")),0),0)</f>
        <v>74</v>
      </c>
      <c r="H1431" cm="1">
        <f t="array" ref="H1431">IF($Q1431&gt;=0,IFERROR(generateSalesData($D1431, IF(ISNUMBER(_xlfn.XLOOKUP($C1431,Phone_by_Sentiment!$B$2:$B$37,Phone_by_Sentiment!H$2:H$37,"",0,1)),_xlfn.XLOOKUP($C1431,Phone_by_Sentiment!$B$2:$B$37,Phone_by_Sentiment!H$2:H$37,"",0,1),0),$A1431-TEXT(DATEVALUE($D1431&amp;"-01"), "dd-mm-yyyy")),0),0)</f>
        <v>123</v>
      </c>
      <c r="I1431" cm="1">
        <f t="array" ref="I1431">IF($Q1431&gt;=0,IFERROR(generateSalesData($D1431, IF(ISNUMBER(_xlfn.XLOOKUP($C1431,Phone_by_Sentiment!$B$2:$B$37,Phone_by_Sentiment!I$2:I$37,"",0,1)),_xlfn.XLOOKUP($C1431,Phone_by_Sentiment!$B$2:$B$37,Phone_by_Sentiment!I$2:I$37,"",0,1),0),$A1431-TEXT(DATEVALUE($D1431&amp;"-01"), "dd-mm-yyyy")),0),0)</f>
        <v>120</v>
      </c>
      <c r="J1431" cm="1">
        <f t="array" ref="J1431">IF($Q1431&gt;=0,IFERROR(generateSalesData($D1431, IF(ISNUMBER(_xlfn.XLOOKUP($C1431,Phone_by_Sentiment!$B$2:$B$37,Phone_by_Sentiment!J$2:J$37,"",0,1)),_xlfn.XLOOKUP($C1431,Phone_by_Sentiment!$B$2:$B$37,Phone_by_Sentiment!J$2:J$37,"",0,1),0),$A1431-TEXT(DATEVALUE($D1431&amp;"-01"), "dd-mm-yyyy")),0),0)</f>
        <v>62</v>
      </c>
      <c r="K1431" cm="1">
        <f t="array" ref="K1431">IF($Q1431&gt;=0,IFERROR(generateSalesData($D1431, IF(ISNUMBER(_xlfn.XLOOKUP($C1431,Phone_by_Sentiment!$B$2:$B$37,Phone_by_Sentiment!K$2:K$37,"",0,1)),_xlfn.XLOOKUP($C1431,Phone_by_Sentiment!$B$2:$B$37,Phone_by_Sentiment!K$2:K$37,"",0,1),0),$A1431-TEXT(DATEVALUE($D1431&amp;"-01"), "dd-mm-yyyy")),0),0)</f>
        <v>43</v>
      </c>
      <c r="L1431" cm="1">
        <f t="array" ref="L1431">IF($Q1431&gt;=0,IFERROR(generateSalesData($D1431, IF(ISNUMBER(_xlfn.XLOOKUP($C1431,Phone_by_Sentiment!$B$2:$B$37,Phone_by_Sentiment!L$2:L$37,"",0,1)),_xlfn.XLOOKUP($C1431,Phone_by_Sentiment!$B$2:$B$37,Phone_by_Sentiment!L$2:L$37,"",0,1),0),$A1431-TEXT(DATEVALUE($D1431&amp;"-01"), "dd-mm-yyyy")),0),0)</f>
        <v>64</v>
      </c>
      <c r="M1431" cm="1">
        <f t="array" ref="M1431">IF($Q1431&gt;=0,IFERROR(generateSalesData($D1431, IF(ISNUMBER(_xlfn.XLOOKUP($C1431,Phone_by_Sentiment!$B$2:$B$37,Phone_by_Sentiment!M$2:M$37,"",0,1)),_xlfn.XLOOKUP($C1431,Phone_by_Sentiment!$B$2:$B$37,Phone_by_Sentiment!M$2:M$37,"",0,1),0),$A1431-TEXT(DATEVALUE($D1431&amp;"-01"), "dd-mm-yyyy")),0),0)</f>
        <v>149</v>
      </c>
      <c r="N1431" cm="1">
        <f t="array" ref="N1431">IF($Q1431&gt;=0,IFERROR(generateSalesData($D1431, IF(ISNUMBER(_xlfn.XLOOKUP($C1431,Phone_by_Sentiment!$B$2:$B$37,Phone_by_Sentiment!N$2:N$37,"",0,1)),_xlfn.XLOOKUP($C1431,Phone_by_Sentiment!$B$2:$B$37,Phone_by_Sentiment!N$2:N$37,"",0,1),0),$A1431-TEXT(DATEVALUE($D1431&amp;"-01"), "dd-mm-yyyy")),0),0)</f>
        <v>130</v>
      </c>
      <c r="O1431" cm="1">
        <f t="array" ref="O1431">IF($Q1431&gt;=0,IFERROR(generateSalesData($D1431, IF(ISNUMBER(_xlfn.XLOOKUP($C1431,Phone_by_Sentiment!$B$2:$B$37,Phone_by_Sentiment!O$2:O$37,"",0,1)),_xlfn.XLOOKUP($C1431,Phone_by_Sentiment!$B$2:$B$37,Phone_by_Sentiment!O$2:O$37,"",0,1),0),$A1431-TEXT(DATEVALUE($D1431&amp;"-01"), "dd-mm-yyyy")),0),0)</f>
        <v>178</v>
      </c>
      <c r="P1431" s="1">
        <f t="shared" si="51"/>
        <v>43374</v>
      </c>
      <c r="Q1431">
        <f t="shared" si="57"/>
        <v>1308</v>
      </c>
    </row>
    <row r="1432" spans="1:17" x14ac:dyDescent="0.25">
      <c r="A1432" s="1">
        <f t="shared" si="56"/>
        <v>44682</v>
      </c>
      <c r="B1432" t="s">
        <v>142</v>
      </c>
      <c r="C1432" t="str">
        <f>_xlfn.XLOOKUP(B1432,Phone_by_Price!$A$2:$A$34,Phone_by_Price!$B$2:$B$34,"-",0,1)</f>
        <v>iPhone 11</v>
      </c>
      <c r="D1432" t="str">
        <f>_xlfn.XLOOKUP(C1432,Phone_by_Sentiment!$B$2:$B$37,Phone_by_Sentiment!$A$2:$A$37,"-",0,1)</f>
        <v>2019-09</v>
      </c>
      <c r="E1432" cm="1">
        <f t="array" ref="E1432">IF($Q1432&gt;=0,IFERROR(generateSalesData($D1432, IF(ISNUMBER(_xlfn.XLOOKUP($C1432,Phone_by_Sentiment!$B$2:$B$37,Phone_by_Sentiment!E$2:E$37,"",0,1)),_xlfn.XLOOKUP($C1432,Phone_by_Sentiment!$B$2:$B$37,Phone_by_Sentiment!E$2:E$37,"",0,1),0),$A1432-TEXT(DATEVALUE($D1432&amp;"-01"), "dd-mm-yyyy")),0),0)</f>
        <v>-52</v>
      </c>
      <c r="F1432" cm="1">
        <f t="array" ref="F1432">IF($Q1432&gt;=0,IFERROR(generateSalesData($D1432, IF(ISNUMBER(_xlfn.XLOOKUP($C1432,Phone_by_Sentiment!$B$2:$B$37,Phone_by_Sentiment!F$2:F$37,"",0,1)),_xlfn.XLOOKUP($C1432,Phone_by_Sentiment!$B$2:$B$37,Phone_by_Sentiment!F$2:F$37,"",0,1),0),$A1432-TEXT(DATEVALUE($D1432&amp;"-01"), "dd-mm-yyyy")),0),0)</f>
        <v>196</v>
      </c>
      <c r="G1432" cm="1">
        <f t="array" ref="G1432">IF($Q1432&gt;=0,IFERROR(generateSalesData($D1432, IF(ISNUMBER(_xlfn.XLOOKUP($C1432,Phone_by_Sentiment!$B$2:$B$37,Phone_by_Sentiment!G$2:G$37,"",0,1)),_xlfn.XLOOKUP($C1432,Phone_by_Sentiment!$B$2:$B$37,Phone_by_Sentiment!G$2:G$37,"",0,1),0),$A1432-TEXT(DATEVALUE($D1432&amp;"-01"), "dd-mm-yyyy")),0),0)</f>
        <v>52</v>
      </c>
      <c r="H1432" cm="1">
        <f t="array" ref="H1432">IF($Q1432&gt;=0,IFERROR(generateSalesData($D1432, IF(ISNUMBER(_xlfn.XLOOKUP($C1432,Phone_by_Sentiment!$B$2:$B$37,Phone_by_Sentiment!H$2:H$37,"",0,1)),_xlfn.XLOOKUP($C1432,Phone_by_Sentiment!$B$2:$B$37,Phone_by_Sentiment!H$2:H$37,"",0,1),0),$A1432-TEXT(DATEVALUE($D1432&amp;"-01"), "dd-mm-yyyy")),0),0)</f>
        <v>511</v>
      </c>
      <c r="I1432" cm="1">
        <f t="array" ref="I1432">IF($Q1432&gt;=0,IFERROR(generateSalesData($D1432, IF(ISNUMBER(_xlfn.XLOOKUP($C1432,Phone_by_Sentiment!$B$2:$B$37,Phone_by_Sentiment!I$2:I$37,"",0,1)),_xlfn.XLOOKUP($C1432,Phone_by_Sentiment!$B$2:$B$37,Phone_by_Sentiment!I$2:I$37,"",0,1),0),$A1432-TEXT(DATEVALUE($D1432&amp;"-01"), "dd-mm-yyyy")),0),0)</f>
        <v>190</v>
      </c>
      <c r="J1432" cm="1">
        <f t="array" ref="J1432">IF($Q1432&gt;=0,IFERROR(generateSalesData($D1432, IF(ISNUMBER(_xlfn.XLOOKUP($C1432,Phone_by_Sentiment!$B$2:$B$37,Phone_by_Sentiment!J$2:J$37,"",0,1)),_xlfn.XLOOKUP($C1432,Phone_by_Sentiment!$B$2:$B$37,Phone_by_Sentiment!J$2:J$37,"",0,1),0),$A1432-TEXT(DATEVALUE($D1432&amp;"-01"), "dd-mm-yyyy")),0),0)</f>
        <v>131</v>
      </c>
      <c r="K1432" cm="1">
        <f t="array" ref="K1432">IF($Q1432&gt;=0,IFERROR(generateSalesData($D1432, IF(ISNUMBER(_xlfn.XLOOKUP($C1432,Phone_by_Sentiment!$B$2:$B$37,Phone_by_Sentiment!K$2:K$37,"",0,1)),_xlfn.XLOOKUP($C1432,Phone_by_Sentiment!$B$2:$B$37,Phone_by_Sentiment!K$2:K$37,"",0,1),0),$A1432-TEXT(DATEVALUE($D1432&amp;"-01"), "dd-mm-yyyy")),0),0)</f>
        <v>44</v>
      </c>
      <c r="L1432" cm="1">
        <f t="array" ref="L1432">IF($Q1432&gt;=0,IFERROR(generateSalesData($D1432, IF(ISNUMBER(_xlfn.XLOOKUP($C1432,Phone_by_Sentiment!$B$2:$B$37,Phone_by_Sentiment!L$2:L$37,"",0,1)),_xlfn.XLOOKUP($C1432,Phone_by_Sentiment!$B$2:$B$37,Phone_by_Sentiment!L$2:L$37,"",0,1),0),$A1432-TEXT(DATEVALUE($D1432&amp;"-01"), "dd-mm-yyyy")),0),0)</f>
        <v>342</v>
      </c>
      <c r="M1432" cm="1">
        <f t="array" ref="M1432">IF($Q1432&gt;=0,IFERROR(generateSalesData($D1432, IF(ISNUMBER(_xlfn.XLOOKUP($C1432,Phone_by_Sentiment!$B$2:$B$37,Phone_by_Sentiment!M$2:M$37,"",0,1)),_xlfn.XLOOKUP($C1432,Phone_by_Sentiment!$B$2:$B$37,Phone_by_Sentiment!M$2:M$37,"",0,1),0),$A1432-TEXT(DATEVALUE($D1432&amp;"-01"), "dd-mm-yyyy")),0),0)</f>
        <v>375</v>
      </c>
      <c r="N1432" cm="1">
        <f t="array" ref="N1432">IF($Q1432&gt;=0,IFERROR(generateSalesData($D1432, IF(ISNUMBER(_xlfn.XLOOKUP($C1432,Phone_by_Sentiment!$B$2:$B$37,Phone_by_Sentiment!N$2:N$37,"",0,1)),_xlfn.XLOOKUP($C1432,Phone_by_Sentiment!$B$2:$B$37,Phone_by_Sentiment!N$2:N$37,"",0,1),0),$A1432-TEXT(DATEVALUE($D1432&amp;"-01"), "dd-mm-yyyy")),0),0)</f>
        <v>174</v>
      </c>
      <c r="O1432" cm="1">
        <f t="array" ref="O1432">IF($Q1432&gt;=0,IFERROR(generateSalesData($D1432, IF(ISNUMBER(_xlfn.XLOOKUP($C1432,Phone_by_Sentiment!$B$2:$B$37,Phone_by_Sentiment!O$2:O$37,"",0,1)),_xlfn.XLOOKUP($C1432,Phone_by_Sentiment!$B$2:$B$37,Phone_by_Sentiment!O$2:O$37,"",0,1),0),$A1432-TEXT(DATEVALUE($D1432&amp;"-01"), "dd-mm-yyyy")),0),0)</f>
        <v>210</v>
      </c>
      <c r="P1432" s="1">
        <f t="shared" si="51"/>
        <v>43709</v>
      </c>
      <c r="Q1432">
        <f t="shared" si="57"/>
        <v>973</v>
      </c>
    </row>
    <row r="1433" spans="1:17" x14ac:dyDescent="0.25">
      <c r="A1433" s="1">
        <f t="shared" si="56"/>
        <v>44682</v>
      </c>
      <c r="B1433" t="s">
        <v>143</v>
      </c>
      <c r="C1433" t="str">
        <f>_xlfn.XLOOKUP(B1433,Phone_by_Price!$A$2:$A$34,Phone_by_Price!$B$2:$B$34,"-",0,1)</f>
        <v>Samsung Galaxy S20 Ultra</v>
      </c>
      <c r="D1433" t="str">
        <f>_xlfn.XLOOKUP(C1433,Phone_by_Sentiment!$B$2:$B$37,Phone_by_Sentiment!$A$2:$A$37,"-",0,1)</f>
        <v>2020-02</v>
      </c>
      <c r="E1433" cm="1">
        <f t="array" ref="E1433">IF($Q1433&gt;=0,IFERROR(generateSalesData($D1433, IF(ISNUMBER(_xlfn.XLOOKUP($C1433,Phone_by_Sentiment!$B$2:$B$37,Phone_by_Sentiment!E$2:E$37,"",0,1)),_xlfn.XLOOKUP($C1433,Phone_by_Sentiment!$B$2:$B$37,Phone_by_Sentiment!E$2:E$37,"",0,1),0),$A1433-TEXT(DATEVALUE($D1433&amp;"-01"), "dd-mm-yyyy")),0),0)</f>
        <v>434</v>
      </c>
      <c r="F1433" cm="1">
        <f t="array" ref="F1433">IF($Q1433&gt;=0,IFERROR(generateSalesData($D1433, IF(ISNUMBER(_xlfn.XLOOKUP($C1433,Phone_by_Sentiment!$B$2:$B$37,Phone_by_Sentiment!F$2:F$37,"",0,1)),_xlfn.XLOOKUP($C1433,Phone_by_Sentiment!$B$2:$B$37,Phone_by_Sentiment!F$2:F$37,"",0,1),0),$A1433-TEXT(DATEVALUE($D1433&amp;"-01"), "dd-mm-yyyy")),0),0)</f>
        <v>321</v>
      </c>
      <c r="G1433" cm="1">
        <f t="array" ref="G1433">IF($Q1433&gt;=0,IFERROR(generateSalesData($D1433, IF(ISNUMBER(_xlfn.XLOOKUP($C1433,Phone_by_Sentiment!$B$2:$B$37,Phone_by_Sentiment!G$2:G$37,"",0,1)),_xlfn.XLOOKUP($C1433,Phone_by_Sentiment!$B$2:$B$37,Phone_by_Sentiment!G$2:G$37,"",0,1),0),$A1433-TEXT(DATEVALUE($D1433&amp;"-01"), "dd-mm-yyyy")),0),0)</f>
        <v>114</v>
      </c>
      <c r="H1433" cm="1">
        <f t="array" ref="H1433">IF($Q1433&gt;=0,IFERROR(generateSalesData($D1433, IF(ISNUMBER(_xlfn.XLOOKUP($C1433,Phone_by_Sentiment!$B$2:$B$37,Phone_by_Sentiment!H$2:H$37,"",0,1)),_xlfn.XLOOKUP($C1433,Phone_by_Sentiment!$B$2:$B$37,Phone_by_Sentiment!H$2:H$37,"",0,1),0),$A1433-TEXT(DATEVALUE($D1433&amp;"-01"), "dd-mm-yyyy")),0),0)</f>
        <v>241</v>
      </c>
      <c r="I1433" cm="1">
        <f t="array" ref="I1433">IF($Q1433&gt;=0,IFERROR(generateSalesData($D1433, IF(ISNUMBER(_xlfn.XLOOKUP($C1433,Phone_by_Sentiment!$B$2:$B$37,Phone_by_Sentiment!I$2:I$37,"",0,1)),_xlfn.XLOOKUP($C1433,Phone_by_Sentiment!$B$2:$B$37,Phone_by_Sentiment!I$2:I$37,"",0,1),0),$A1433-TEXT(DATEVALUE($D1433&amp;"-01"), "dd-mm-yyyy")),0),0)</f>
        <v>159</v>
      </c>
      <c r="J1433" cm="1">
        <f t="array" ref="J1433">IF($Q1433&gt;=0,IFERROR(generateSalesData($D1433, IF(ISNUMBER(_xlfn.XLOOKUP($C1433,Phone_by_Sentiment!$B$2:$B$37,Phone_by_Sentiment!J$2:J$37,"",0,1)),_xlfn.XLOOKUP($C1433,Phone_by_Sentiment!$B$2:$B$37,Phone_by_Sentiment!J$2:J$37,"",0,1),0),$A1433-TEXT(DATEVALUE($D1433&amp;"-01"), "dd-mm-yyyy")),0),0)</f>
        <v>385</v>
      </c>
      <c r="K1433" cm="1">
        <f t="array" ref="K1433">IF($Q1433&gt;=0,IFERROR(generateSalesData($D1433, IF(ISNUMBER(_xlfn.XLOOKUP($C1433,Phone_by_Sentiment!$B$2:$B$37,Phone_by_Sentiment!K$2:K$37,"",0,1)),_xlfn.XLOOKUP($C1433,Phone_by_Sentiment!$B$2:$B$37,Phone_by_Sentiment!K$2:K$37,"",0,1),0),$A1433-TEXT(DATEVALUE($D1433&amp;"-01"), "dd-mm-yyyy")),0),0)</f>
        <v>91</v>
      </c>
      <c r="L1433" cm="1">
        <f t="array" ref="L1433">IF($Q1433&gt;=0,IFERROR(generateSalesData($D1433, IF(ISNUMBER(_xlfn.XLOOKUP($C1433,Phone_by_Sentiment!$B$2:$B$37,Phone_by_Sentiment!L$2:L$37,"",0,1)),_xlfn.XLOOKUP($C1433,Phone_by_Sentiment!$B$2:$B$37,Phone_by_Sentiment!L$2:L$37,"",0,1),0),$A1433-TEXT(DATEVALUE($D1433&amp;"-01"), "dd-mm-yyyy")),0),0)</f>
        <v>-8</v>
      </c>
      <c r="M1433" cm="1">
        <f t="array" ref="M1433">IF($Q1433&gt;=0,IFERROR(generateSalesData($D1433, IF(ISNUMBER(_xlfn.XLOOKUP($C1433,Phone_by_Sentiment!$B$2:$B$37,Phone_by_Sentiment!M$2:M$37,"",0,1)),_xlfn.XLOOKUP($C1433,Phone_by_Sentiment!$B$2:$B$37,Phone_by_Sentiment!M$2:M$37,"",0,1),0),$A1433-TEXT(DATEVALUE($D1433&amp;"-01"), "dd-mm-yyyy")),0),0)</f>
        <v>328</v>
      </c>
      <c r="N1433" cm="1">
        <f t="array" ref="N1433">IF($Q1433&gt;=0,IFERROR(generateSalesData($D1433, IF(ISNUMBER(_xlfn.XLOOKUP($C1433,Phone_by_Sentiment!$B$2:$B$37,Phone_by_Sentiment!N$2:N$37,"",0,1)),_xlfn.XLOOKUP($C1433,Phone_by_Sentiment!$B$2:$B$37,Phone_by_Sentiment!N$2:N$37,"",0,1),0),$A1433-TEXT(DATEVALUE($D1433&amp;"-01"), "dd-mm-yyyy")),0),0)</f>
        <v>480</v>
      </c>
      <c r="O1433" cm="1">
        <f t="array" ref="O1433">IF($Q1433&gt;=0,IFERROR(generateSalesData($D1433, IF(ISNUMBER(_xlfn.XLOOKUP($C1433,Phone_by_Sentiment!$B$2:$B$37,Phone_by_Sentiment!O$2:O$37,"",0,1)),_xlfn.XLOOKUP($C1433,Phone_by_Sentiment!$B$2:$B$37,Phone_by_Sentiment!O$2:O$37,"",0,1),0),$A1433-TEXT(DATEVALUE($D1433&amp;"-01"), "dd-mm-yyyy")),0),0)</f>
        <v>141</v>
      </c>
      <c r="P1433" s="1">
        <f t="shared" si="51"/>
        <v>43862</v>
      </c>
      <c r="Q1433">
        <f t="shared" si="57"/>
        <v>820</v>
      </c>
    </row>
    <row r="1434" spans="1:17" x14ac:dyDescent="0.25">
      <c r="A1434" s="1">
        <f t="shared" si="56"/>
        <v>44682</v>
      </c>
      <c r="B1434" t="s">
        <v>144</v>
      </c>
      <c r="C1434" t="str">
        <f>_xlfn.XLOOKUP(B1434,Phone_by_Price!$A$2:$A$34,Phone_by_Price!$B$2:$B$34,"-",0,1)</f>
        <v>Xiaomi Redmi Note 10</v>
      </c>
      <c r="D1434" t="str">
        <f>_xlfn.XLOOKUP(C1434,Phone_by_Sentiment!$B$2:$B$37,Phone_by_Sentiment!$A$2:$A$37,"-",0,1)</f>
        <v>2021-03</v>
      </c>
      <c r="E1434" cm="1">
        <f t="array" ref="E1434">IF($Q1434&gt;=0,IFERROR(generateSalesData($D1434, IF(ISNUMBER(_xlfn.XLOOKUP($C1434,Phone_by_Sentiment!$B$2:$B$37,Phone_by_Sentiment!E$2:E$37,"",0,1)),_xlfn.XLOOKUP($C1434,Phone_by_Sentiment!$B$2:$B$37,Phone_by_Sentiment!E$2:E$37,"",0,1),0),$A1434-TEXT(DATEVALUE($D1434&amp;"-01"), "dd-mm-yyyy")),0),0)</f>
        <v>118</v>
      </c>
      <c r="F1434" cm="1">
        <f t="array" ref="F1434">IF($Q1434&gt;=0,IFERROR(generateSalesData($D1434, IF(ISNUMBER(_xlfn.XLOOKUP($C1434,Phone_by_Sentiment!$B$2:$B$37,Phone_by_Sentiment!F$2:F$37,"",0,1)),_xlfn.XLOOKUP($C1434,Phone_by_Sentiment!$B$2:$B$37,Phone_by_Sentiment!F$2:F$37,"",0,1),0),$A1434-TEXT(DATEVALUE($D1434&amp;"-01"), "dd-mm-yyyy")),0),0)</f>
        <v>331</v>
      </c>
      <c r="G1434" cm="1">
        <f t="array" ref="G1434">IF($Q1434&gt;=0,IFERROR(generateSalesData($D1434, IF(ISNUMBER(_xlfn.XLOOKUP($C1434,Phone_by_Sentiment!$B$2:$B$37,Phone_by_Sentiment!G$2:G$37,"",0,1)),_xlfn.XLOOKUP($C1434,Phone_by_Sentiment!$B$2:$B$37,Phone_by_Sentiment!G$2:G$37,"",0,1),0),$A1434-TEXT(DATEVALUE($D1434&amp;"-01"), "dd-mm-yyyy")),0),0)</f>
        <v>144</v>
      </c>
      <c r="H1434" cm="1">
        <f t="array" ref="H1434">IF($Q1434&gt;=0,IFERROR(generateSalesData($D1434, IF(ISNUMBER(_xlfn.XLOOKUP($C1434,Phone_by_Sentiment!$B$2:$B$37,Phone_by_Sentiment!H$2:H$37,"",0,1)),_xlfn.XLOOKUP($C1434,Phone_by_Sentiment!$B$2:$B$37,Phone_by_Sentiment!H$2:H$37,"",0,1),0),$A1434-TEXT(DATEVALUE($D1434&amp;"-01"), "dd-mm-yyyy")),0),0)</f>
        <v>825</v>
      </c>
      <c r="I1434" cm="1">
        <f t="array" ref="I1434">IF($Q1434&gt;=0,IFERROR(generateSalesData($D1434, IF(ISNUMBER(_xlfn.XLOOKUP($C1434,Phone_by_Sentiment!$B$2:$B$37,Phone_by_Sentiment!I$2:I$37,"",0,1)),_xlfn.XLOOKUP($C1434,Phone_by_Sentiment!$B$2:$B$37,Phone_by_Sentiment!I$2:I$37,"",0,1),0),$A1434-TEXT(DATEVALUE($D1434&amp;"-01"), "dd-mm-yyyy")),0),0)</f>
        <v>561</v>
      </c>
      <c r="J1434" cm="1">
        <f t="array" ref="J1434">IF($Q1434&gt;=0,IFERROR(generateSalesData($D1434, IF(ISNUMBER(_xlfn.XLOOKUP($C1434,Phone_by_Sentiment!$B$2:$B$37,Phone_by_Sentiment!J$2:J$37,"",0,1)),_xlfn.XLOOKUP($C1434,Phone_by_Sentiment!$B$2:$B$37,Phone_by_Sentiment!J$2:J$37,"",0,1),0),$A1434-TEXT(DATEVALUE($D1434&amp;"-01"), "dd-mm-yyyy")),0),0)</f>
        <v>59</v>
      </c>
      <c r="K1434" cm="1">
        <f t="array" ref="K1434">IF($Q1434&gt;=0,IFERROR(generateSalesData($D1434, IF(ISNUMBER(_xlfn.XLOOKUP($C1434,Phone_by_Sentiment!$B$2:$B$37,Phone_by_Sentiment!K$2:K$37,"",0,1)),_xlfn.XLOOKUP($C1434,Phone_by_Sentiment!$B$2:$B$37,Phone_by_Sentiment!K$2:K$37,"",0,1),0),$A1434-TEXT(DATEVALUE($D1434&amp;"-01"), "dd-mm-yyyy")),0),0)</f>
        <v>773</v>
      </c>
      <c r="L1434" cm="1">
        <f t="array" ref="L1434">IF($Q1434&gt;=0,IFERROR(generateSalesData($D1434, IF(ISNUMBER(_xlfn.XLOOKUP($C1434,Phone_by_Sentiment!$B$2:$B$37,Phone_by_Sentiment!L$2:L$37,"",0,1)),_xlfn.XLOOKUP($C1434,Phone_by_Sentiment!$B$2:$B$37,Phone_by_Sentiment!L$2:L$37,"",0,1),0),$A1434-TEXT(DATEVALUE($D1434&amp;"-01"), "dd-mm-yyyy")),0),0)</f>
        <v>506</v>
      </c>
      <c r="M1434" cm="1">
        <f t="array" ref="M1434">IF($Q1434&gt;=0,IFERROR(generateSalesData($D1434, IF(ISNUMBER(_xlfn.XLOOKUP($C1434,Phone_by_Sentiment!$B$2:$B$37,Phone_by_Sentiment!M$2:M$37,"",0,1)),_xlfn.XLOOKUP($C1434,Phone_by_Sentiment!$B$2:$B$37,Phone_by_Sentiment!M$2:M$37,"",0,1),0),$A1434-TEXT(DATEVALUE($D1434&amp;"-01"), "dd-mm-yyyy")),0),0)</f>
        <v>129</v>
      </c>
      <c r="N1434" cm="1">
        <f t="array" ref="N1434">IF($Q1434&gt;=0,IFERROR(generateSalesData($D1434, IF(ISNUMBER(_xlfn.XLOOKUP($C1434,Phone_by_Sentiment!$B$2:$B$37,Phone_by_Sentiment!N$2:N$37,"",0,1)),_xlfn.XLOOKUP($C1434,Phone_by_Sentiment!$B$2:$B$37,Phone_by_Sentiment!N$2:N$37,"",0,1),0),$A1434-TEXT(DATEVALUE($D1434&amp;"-01"), "dd-mm-yyyy")),0),0)</f>
        <v>262</v>
      </c>
      <c r="O1434" cm="1">
        <f t="array" ref="O1434">IF($Q1434&gt;=0,IFERROR(generateSalesData($D1434, IF(ISNUMBER(_xlfn.XLOOKUP($C1434,Phone_by_Sentiment!$B$2:$B$37,Phone_by_Sentiment!O$2:O$37,"",0,1)),_xlfn.XLOOKUP($C1434,Phone_by_Sentiment!$B$2:$B$37,Phone_by_Sentiment!O$2:O$37,"",0,1),0),$A1434-TEXT(DATEVALUE($D1434&amp;"-01"), "dd-mm-yyyy")),0),0)</f>
        <v>981</v>
      </c>
      <c r="P1434" s="1">
        <f t="shared" si="51"/>
        <v>44256</v>
      </c>
      <c r="Q1434">
        <f t="shared" si="57"/>
        <v>426</v>
      </c>
    </row>
    <row r="1435" spans="1:17" x14ac:dyDescent="0.25">
      <c r="A1435" s="1">
        <f t="shared" si="56"/>
        <v>44682</v>
      </c>
      <c r="B1435" t="s">
        <v>145</v>
      </c>
      <c r="C1435" t="str">
        <f>_xlfn.XLOOKUP(B1435,Phone_by_Price!$A$2:$A$34,Phone_by_Price!$B$2:$B$34,"-",0,1)</f>
        <v>OPPO A54</v>
      </c>
      <c r="D1435" t="str">
        <f>_xlfn.XLOOKUP(C1435,Phone_by_Sentiment!$B$2:$B$37,Phone_by_Sentiment!$A$2:$A$37,"-",0,1)</f>
        <v>2021-04</v>
      </c>
      <c r="E1435" cm="1">
        <f t="array" ref="E1435">IF($Q1435&gt;=0,IFERROR(generateSalesData($D1435, IF(ISNUMBER(_xlfn.XLOOKUP($C1435,Phone_by_Sentiment!$B$2:$B$37,Phone_by_Sentiment!E$2:E$37,"",0,1)),_xlfn.XLOOKUP($C1435,Phone_by_Sentiment!$B$2:$B$37,Phone_by_Sentiment!E$2:E$37,"",0,1),0),$A1435-TEXT(DATEVALUE($D1435&amp;"-01"), "dd-mm-yyyy")),0),0)</f>
        <v>204</v>
      </c>
      <c r="F1435" cm="1">
        <f t="array" ref="F1435">IF($Q1435&gt;=0,IFERROR(generateSalesData($D1435, IF(ISNUMBER(_xlfn.XLOOKUP($C1435,Phone_by_Sentiment!$B$2:$B$37,Phone_by_Sentiment!F$2:F$37,"",0,1)),_xlfn.XLOOKUP($C1435,Phone_by_Sentiment!$B$2:$B$37,Phone_by_Sentiment!F$2:F$37,"",0,1),0),$A1435-TEXT(DATEVALUE($D1435&amp;"-01"), "dd-mm-yyyy")),0),0)</f>
        <v>285</v>
      </c>
      <c r="G1435" cm="1">
        <f t="array" ref="G1435">IF($Q1435&gt;=0,IFERROR(generateSalesData($D1435, IF(ISNUMBER(_xlfn.XLOOKUP($C1435,Phone_by_Sentiment!$B$2:$B$37,Phone_by_Sentiment!G$2:G$37,"",0,1)),_xlfn.XLOOKUP($C1435,Phone_by_Sentiment!$B$2:$B$37,Phone_by_Sentiment!G$2:G$37,"",0,1),0),$A1435-TEXT(DATEVALUE($D1435&amp;"-01"), "dd-mm-yyyy")),0),0)</f>
        <v>265</v>
      </c>
      <c r="H1435" cm="1">
        <f t="array" ref="H1435">IF($Q1435&gt;=0,IFERROR(generateSalesData($D1435, IF(ISNUMBER(_xlfn.XLOOKUP($C1435,Phone_by_Sentiment!$B$2:$B$37,Phone_by_Sentiment!H$2:H$37,"",0,1)),_xlfn.XLOOKUP($C1435,Phone_by_Sentiment!$B$2:$B$37,Phone_by_Sentiment!H$2:H$37,"",0,1),0),$A1435-TEXT(DATEVALUE($D1435&amp;"-01"), "dd-mm-yyyy")),0),0)</f>
        <v>732</v>
      </c>
      <c r="I1435" cm="1">
        <f t="array" ref="I1435">IF($Q1435&gt;=0,IFERROR(generateSalesData($D1435, IF(ISNUMBER(_xlfn.XLOOKUP($C1435,Phone_by_Sentiment!$B$2:$B$37,Phone_by_Sentiment!I$2:I$37,"",0,1)),_xlfn.XLOOKUP($C1435,Phone_by_Sentiment!$B$2:$B$37,Phone_by_Sentiment!I$2:I$37,"",0,1),0),$A1435-TEXT(DATEVALUE($D1435&amp;"-01"), "dd-mm-yyyy")),0),0)</f>
        <v>638</v>
      </c>
      <c r="J1435" cm="1">
        <f t="array" ref="J1435">IF($Q1435&gt;=0,IFERROR(generateSalesData($D1435, IF(ISNUMBER(_xlfn.XLOOKUP($C1435,Phone_by_Sentiment!$B$2:$B$37,Phone_by_Sentiment!J$2:J$37,"",0,1)),_xlfn.XLOOKUP($C1435,Phone_by_Sentiment!$B$2:$B$37,Phone_by_Sentiment!J$2:J$37,"",0,1),0),$A1435-TEXT(DATEVALUE($D1435&amp;"-01"), "dd-mm-yyyy")),0),0)</f>
        <v>62</v>
      </c>
      <c r="K1435" cm="1">
        <f t="array" ref="K1435">IF($Q1435&gt;=0,IFERROR(generateSalesData($D1435, IF(ISNUMBER(_xlfn.XLOOKUP($C1435,Phone_by_Sentiment!$B$2:$B$37,Phone_by_Sentiment!K$2:K$37,"",0,1)),_xlfn.XLOOKUP($C1435,Phone_by_Sentiment!$B$2:$B$37,Phone_by_Sentiment!K$2:K$37,"",0,1),0),$A1435-TEXT(DATEVALUE($D1435&amp;"-01"), "dd-mm-yyyy")),0),0)</f>
        <v>160</v>
      </c>
      <c r="L1435" cm="1">
        <f t="array" ref="L1435">IF($Q1435&gt;=0,IFERROR(generateSalesData($D1435, IF(ISNUMBER(_xlfn.XLOOKUP($C1435,Phone_by_Sentiment!$B$2:$B$37,Phone_by_Sentiment!L$2:L$37,"",0,1)),_xlfn.XLOOKUP($C1435,Phone_by_Sentiment!$B$2:$B$37,Phone_by_Sentiment!L$2:L$37,"",0,1),0),$A1435-TEXT(DATEVALUE($D1435&amp;"-01"), "dd-mm-yyyy")),0),0)</f>
        <v>551</v>
      </c>
      <c r="M1435" cm="1">
        <f t="array" ref="M1435">IF($Q1435&gt;=0,IFERROR(generateSalesData($D1435, IF(ISNUMBER(_xlfn.XLOOKUP($C1435,Phone_by_Sentiment!$B$2:$B$37,Phone_by_Sentiment!M$2:M$37,"",0,1)),_xlfn.XLOOKUP($C1435,Phone_by_Sentiment!$B$2:$B$37,Phone_by_Sentiment!M$2:M$37,"",0,1),0),$A1435-TEXT(DATEVALUE($D1435&amp;"-01"), "dd-mm-yyyy")),0),0)</f>
        <v>159</v>
      </c>
      <c r="N1435" cm="1">
        <f t="array" ref="N1435">IF($Q1435&gt;=0,IFERROR(generateSalesData($D1435, IF(ISNUMBER(_xlfn.XLOOKUP($C1435,Phone_by_Sentiment!$B$2:$B$37,Phone_by_Sentiment!N$2:N$37,"",0,1)),_xlfn.XLOOKUP($C1435,Phone_by_Sentiment!$B$2:$B$37,Phone_by_Sentiment!N$2:N$37,"",0,1),0),$A1435-TEXT(DATEVALUE($D1435&amp;"-01"), "dd-mm-yyyy")),0),0)</f>
        <v>407</v>
      </c>
      <c r="O1435" cm="1">
        <f t="array" ref="O1435">IF($Q1435&gt;=0,IFERROR(generateSalesData($D1435, IF(ISNUMBER(_xlfn.XLOOKUP($C1435,Phone_by_Sentiment!$B$2:$B$37,Phone_by_Sentiment!O$2:O$37,"",0,1)),_xlfn.XLOOKUP($C1435,Phone_by_Sentiment!$B$2:$B$37,Phone_by_Sentiment!O$2:O$37,"",0,1),0),$A1435-TEXT(DATEVALUE($D1435&amp;"-01"), "dd-mm-yyyy")),0),0)</f>
        <v>105</v>
      </c>
      <c r="P1435" s="1">
        <f t="shared" si="51"/>
        <v>44287</v>
      </c>
      <c r="Q1435">
        <f t="shared" si="57"/>
        <v>395</v>
      </c>
    </row>
    <row r="1436" spans="1:17" x14ac:dyDescent="0.25">
      <c r="A1436" s="1">
        <f t="shared" si="56"/>
        <v>44713</v>
      </c>
      <c r="B1436" t="s">
        <v>144</v>
      </c>
      <c r="C1436" t="str">
        <f>_xlfn.XLOOKUP(B1436,Phone_by_Price!$A$2:$A$34,Phone_by_Price!$B$2:$B$34,"-",0,1)</f>
        <v>Xiaomi Redmi Note 10</v>
      </c>
      <c r="D1436" t="str">
        <f>_xlfn.XLOOKUP(C1436,Phone_by_Sentiment!$B$2:$B$37,Phone_by_Sentiment!$A$2:$A$37,"-",0,1)</f>
        <v>2021-03</v>
      </c>
      <c r="E1436" cm="1">
        <f t="array" ref="E1436">IF($Q1436&gt;=0,IFERROR(generateSalesData($D1436, IF(ISNUMBER(_xlfn.XLOOKUP($C1436,Phone_by_Sentiment!$B$2:$B$37,Phone_by_Sentiment!E$2:E$37,"",0,1)),_xlfn.XLOOKUP($C1436,Phone_by_Sentiment!$B$2:$B$37,Phone_by_Sentiment!E$2:E$37,"",0,1),0),$A1436-TEXT(DATEVALUE($D1436&amp;"-01"), "dd-mm-yyyy")),0),0)</f>
        <v>360</v>
      </c>
      <c r="F1436" cm="1">
        <f t="array" ref="F1436">IF($Q1436&gt;=0,IFERROR(generateSalesData($D1436, IF(ISNUMBER(_xlfn.XLOOKUP($C1436,Phone_by_Sentiment!$B$2:$B$37,Phone_by_Sentiment!F$2:F$37,"",0,1)),_xlfn.XLOOKUP($C1436,Phone_by_Sentiment!$B$2:$B$37,Phone_by_Sentiment!F$2:F$37,"",0,1),0),$A1436-TEXT(DATEVALUE($D1436&amp;"-01"), "dd-mm-yyyy")),0),0)</f>
        <v>73</v>
      </c>
      <c r="G1436" cm="1">
        <f t="array" ref="G1436">IF($Q1436&gt;=0,IFERROR(generateSalesData($D1436, IF(ISNUMBER(_xlfn.XLOOKUP($C1436,Phone_by_Sentiment!$B$2:$B$37,Phone_by_Sentiment!G$2:G$37,"",0,1)),_xlfn.XLOOKUP($C1436,Phone_by_Sentiment!$B$2:$B$37,Phone_by_Sentiment!G$2:G$37,"",0,1),0),$A1436-TEXT(DATEVALUE($D1436&amp;"-01"), "dd-mm-yyyy")),0),0)</f>
        <v>150</v>
      </c>
      <c r="H1436" cm="1">
        <f t="array" ref="H1436">IF($Q1436&gt;=0,IFERROR(generateSalesData($D1436, IF(ISNUMBER(_xlfn.XLOOKUP($C1436,Phone_by_Sentiment!$B$2:$B$37,Phone_by_Sentiment!H$2:H$37,"",0,1)),_xlfn.XLOOKUP($C1436,Phone_by_Sentiment!$B$2:$B$37,Phone_by_Sentiment!H$2:H$37,"",0,1),0),$A1436-TEXT(DATEVALUE($D1436&amp;"-01"), "dd-mm-yyyy")),0),0)</f>
        <v>762</v>
      </c>
      <c r="I1436" cm="1">
        <f t="array" ref="I1436">IF($Q1436&gt;=0,IFERROR(generateSalesData($D1436, IF(ISNUMBER(_xlfn.XLOOKUP($C1436,Phone_by_Sentiment!$B$2:$B$37,Phone_by_Sentiment!I$2:I$37,"",0,1)),_xlfn.XLOOKUP($C1436,Phone_by_Sentiment!$B$2:$B$37,Phone_by_Sentiment!I$2:I$37,"",0,1),0),$A1436-TEXT(DATEVALUE($D1436&amp;"-01"), "dd-mm-yyyy")),0),0)</f>
        <v>402</v>
      </c>
      <c r="J1436" cm="1">
        <f t="array" ref="J1436">IF($Q1436&gt;=0,IFERROR(generateSalesData($D1436, IF(ISNUMBER(_xlfn.XLOOKUP($C1436,Phone_by_Sentiment!$B$2:$B$37,Phone_by_Sentiment!J$2:J$37,"",0,1)),_xlfn.XLOOKUP($C1436,Phone_by_Sentiment!$B$2:$B$37,Phone_by_Sentiment!J$2:J$37,"",0,1),0),$A1436-TEXT(DATEVALUE($D1436&amp;"-01"), "dd-mm-yyyy")),0),0)</f>
        <v>1056</v>
      </c>
      <c r="K1436" cm="1">
        <f t="array" ref="K1436">IF($Q1436&gt;=0,IFERROR(generateSalesData($D1436, IF(ISNUMBER(_xlfn.XLOOKUP($C1436,Phone_by_Sentiment!$B$2:$B$37,Phone_by_Sentiment!K$2:K$37,"",0,1)),_xlfn.XLOOKUP($C1436,Phone_by_Sentiment!$B$2:$B$37,Phone_by_Sentiment!K$2:K$37,"",0,1),0),$A1436-TEXT(DATEVALUE($D1436&amp;"-01"), "dd-mm-yyyy")),0),0)</f>
        <v>477</v>
      </c>
      <c r="L1436" cm="1">
        <f t="array" ref="L1436">IF($Q1436&gt;=0,IFERROR(generateSalesData($D1436, IF(ISNUMBER(_xlfn.XLOOKUP($C1436,Phone_by_Sentiment!$B$2:$B$37,Phone_by_Sentiment!L$2:L$37,"",0,1)),_xlfn.XLOOKUP($C1436,Phone_by_Sentiment!$B$2:$B$37,Phone_by_Sentiment!L$2:L$37,"",0,1),0),$A1436-TEXT(DATEVALUE($D1436&amp;"-01"), "dd-mm-yyyy")),0),0)</f>
        <v>527</v>
      </c>
      <c r="M1436" cm="1">
        <f t="array" ref="M1436">IF($Q1436&gt;=0,IFERROR(generateSalesData($D1436, IF(ISNUMBER(_xlfn.XLOOKUP($C1436,Phone_by_Sentiment!$B$2:$B$37,Phone_by_Sentiment!M$2:M$37,"",0,1)),_xlfn.XLOOKUP($C1436,Phone_by_Sentiment!$B$2:$B$37,Phone_by_Sentiment!M$2:M$37,"",0,1),0),$A1436-TEXT(DATEVALUE($D1436&amp;"-01"), "dd-mm-yyyy")),0),0)</f>
        <v>137</v>
      </c>
      <c r="N1436" cm="1">
        <f t="array" ref="N1436">IF($Q1436&gt;=0,IFERROR(generateSalesData($D1436, IF(ISNUMBER(_xlfn.XLOOKUP($C1436,Phone_by_Sentiment!$B$2:$B$37,Phone_by_Sentiment!N$2:N$37,"",0,1)),_xlfn.XLOOKUP($C1436,Phone_by_Sentiment!$B$2:$B$37,Phone_by_Sentiment!N$2:N$37,"",0,1),0),$A1436-TEXT(DATEVALUE($D1436&amp;"-01"), "dd-mm-yyyy")),0),0)</f>
        <v>591</v>
      </c>
      <c r="O1436" cm="1">
        <f t="array" ref="O1436">IF($Q1436&gt;=0,IFERROR(generateSalesData($D1436, IF(ISNUMBER(_xlfn.XLOOKUP($C1436,Phone_by_Sentiment!$B$2:$B$37,Phone_by_Sentiment!O$2:O$37,"",0,1)),_xlfn.XLOOKUP($C1436,Phone_by_Sentiment!$B$2:$B$37,Phone_by_Sentiment!O$2:O$37,"",0,1),0),$A1436-TEXT(DATEVALUE($D1436&amp;"-01"), "dd-mm-yyyy")),0),0)</f>
        <v>291</v>
      </c>
      <c r="P1436" s="1">
        <f t="shared" si="51"/>
        <v>44256</v>
      </c>
      <c r="Q1436">
        <f t="shared" si="57"/>
        <v>457</v>
      </c>
    </row>
    <row r="1437" spans="1:17" x14ac:dyDescent="0.25">
      <c r="A1437" s="1">
        <f t="shared" si="56"/>
        <v>44713</v>
      </c>
      <c r="B1437" t="s">
        <v>145</v>
      </c>
      <c r="C1437" t="str">
        <f>_xlfn.XLOOKUP(B1437,Phone_by_Price!$A$2:$A$34,Phone_by_Price!$B$2:$B$34,"-",0,1)</f>
        <v>OPPO A54</v>
      </c>
      <c r="D1437" t="str">
        <f>_xlfn.XLOOKUP(C1437,Phone_by_Sentiment!$B$2:$B$37,Phone_by_Sentiment!$A$2:$A$37,"-",0,1)</f>
        <v>2021-04</v>
      </c>
      <c r="E1437" cm="1">
        <f t="array" ref="E1437">IF($Q1437&gt;=0,IFERROR(generateSalesData($D1437, IF(ISNUMBER(_xlfn.XLOOKUP($C1437,Phone_by_Sentiment!$B$2:$B$37,Phone_by_Sentiment!E$2:E$37,"",0,1)),_xlfn.XLOOKUP($C1437,Phone_by_Sentiment!$B$2:$B$37,Phone_by_Sentiment!E$2:E$37,"",0,1),0),$A1437-TEXT(DATEVALUE($D1437&amp;"-01"), "dd-mm-yyyy")),0),0)</f>
        <v>345</v>
      </c>
      <c r="F1437" cm="1">
        <f t="array" ref="F1437">IF($Q1437&gt;=0,IFERROR(generateSalesData($D1437, IF(ISNUMBER(_xlfn.XLOOKUP($C1437,Phone_by_Sentiment!$B$2:$B$37,Phone_by_Sentiment!F$2:F$37,"",0,1)),_xlfn.XLOOKUP($C1437,Phone_by_Sentiment!$B$2:$B$37,Phone_by_Sentiment!F$2:F$37,"",0,1),0),$A1437-TEXT(DATEVALUE($D1437&amp;"-01"), "dd-mm-yyyy")),0),0)</f>
        <v>156</v>
      </c>
      <c r="G1437" cm="1">
        <f t="array" ref="G1437">IF($Q1437&gt;=0,IFERROR(generateSalesData($D1437, IF(ISNUMBER(_xlfn.XLOOKUP($C1437,Phone_by_Sentiment!$B$2:$B$37,Phone_by_Sentiment!G$2:G$37,"",0,1)),_xlfn.XLOOKUP($C1437,Phone_by_Sentiment!$B$2:$B$37,Phone_by_Sentiment!G$2:G$37,"",0,1),0),$A1437-TEXT(DATEVALUE($D1437&amp;"-01"), "dd-mm-yyyy")),0),0)</f>
        <v>94</v>
      </c>
      <c r="H1437" cm="1">
        <f t="array" ref="H1437">IF($Q1437&gt;=0,IFERROR(generateSalesData($D1437, IF(ISNUMBER(_xlfn.XLOOKUP($C1437,Phone_by_Sentiment!$B$2:$B$37,Phone_by_Sentiment!H$2:H$37,"",0,1)),_xlfn.XLOOKUP($C1437,Phone_by_Sentiment!$B$2:$B$37,Phone_by_Sentiment!H$2:H$37,"",0,1),0),$A1437-TEXT(DATEVALUE($D1437&amp;"-01"), "dd-mm-yyyy")),0),0)</f>
        <v>866</v>
      </c>
      <c r="I1437" cm="1">
        <f t="array" ref="I1437">IF($Q1437&gt;=0,IFERROR(generateSalesData($D1437, IF(ISNUMBER(_xlfn.XLOOKUP($C1437,Phone_by_Sentiment!$B$2:$B$37,Phone_by_Sentiment!I$2:I$37,"",0,1)),_xlfn.XLOOKUP($C1437,Phone_by_Sentiment!$B$2:$B$37,Phone_by_Sentiment!I$2:I$37,"",0,1),0),$A1437-TEXT(DATEVALUE($D1437&amp;"-01"), "dd-mm-yyyy")),0),0)</f>
        <v>877</v>
      </c>
      <c r="J1437" cm="1">
        <f t="array" ref="J1437">IF($Q1437&gt;=0,IFERROR(generateSalesData($D1437, IF(ISNUMBER(_xlfn.XLOOKUP($C1437,Phone_by_Sentiment!$B$2:$B$37,Phone_by_Sentiment!J$2:J$37,"",0,1)),_xlfn.XLOOKUP($C1437,Phone_by_Sentiment!$B$2:$B$37,Phone_by_Sentiment!J$2:J$37,"",0,1),0),$A1437-TEXT(DATEVALUE($D1437&amp;"-01"), "dd-mm-yyyy")),0),0)</f>
        <v>10</v>
      </c>
      <c r="K1437" cm="1">
        <f t="array" ref="K1437">IF($Q1437&gt;=0,IFERROR(generateSalesData($D1437, IF(ISNUMBER(_xlfn.XLOOKUP($C1437,Phone_by_Sentiment!$B$2:$B$37,Phone_by_Sentiment!K$2:K$37,"",0,1)),_xlfn.XLOOKUP($C1437,Phone_by_Sentiment!$B$2:$B$37,Phone_by_Sentiment!K$2:K$37,"",0,1),0),$A1437-TEXT(DATEVALUE($D1437&amp;"-01"), "dd-mm-yyyy")),0),0)</f>
        <v>59</v>
      </c>
      <c r="L1437" cm="1">
        <f t="array" ref="L1437">IF($Q1437&gt;=0,IFERROR(generateSalesData($D1437, IF(ISNUMBER(_xlfn.XLOOKUP($C1437,Phone_by_Sentiment!$B$2:$B$37,Phone_by_Sentiment!L$2:L$37,"",0,1)),_xlfn.XLOOKUP($C1437,Phone_by_Sentiment!$B$2:$B$37,Phone_by_Sentiment!L$2:L$37,"",0,1),0),$A1437-TEXT(DATEVALUE($D1437&amp;"-01"), "dd-mm-yyyy")),0),0)</f>
        <v>938</v>
      </c>
      <c r="M1437" cm="1">
        <f t="array" ref="M1437">IF($Q1437&gt;=0,IFERROR(generateSalesData($D1437, IF(ISNUMBER(_xlfn.XLOOKUP($C1437,Phone_by_Sentiment!$B$2:$B$37,Phone_by_Sentiment!M$2:M$37,"",0,1)),_xlfn.XLOOKUP($C1437,Phone_by_Sentiment!$B$2:$B$37,Phone_by_Sentiment!M$2:M$37,"",0,1),0),$A1437-TEXT(DATEVALUE($D1437&amp;"-01"), "dd-mm-yyyy")),0),0)</f>
        <v>154</v>
      </c>
      <c r="N1437" cm="1">
        <f t="array" ref="N1437">IF($Q1437&gt;=0,IFERROR(generateSalesData($D1437, IF(ISNUMBER(_xlfn.XLOOKUP($C1437,Phone_by_Sentiment!$B$2:$B$37,Phone_by_Sentiment!N$2:N$37,"",0,1)),_xlfn.XLOOKUP($C1437,Phone_by_Sentiment!$B$2:$B$37,Phone_by_Sentiment!N$2:N$37,"",0,1),0),$A1437-TEXT(DATEVALUE($D1437&amp;"-01"), "dd-mm-yyyy")),0),0)</f>
        <v>833</v>
      </c>
      <c r="O1437" cm="1">
        <f t="array" ref="O1437">IF($Q1437&gt;=0,IFERROR(generateSalesData($D1437, IF(ISNUMBER(_xlfn.XLOOKUP($C1437,Phone_by_Sentiment!$B$2:$B$37,Phone_by_Sentiment!O$2:O$37,"",0,1)),_xlfn.XLOOKUP($C1437,Phone_by_Sentiment!$B$2:$B$37,Phone_by_Sentiment!O$2:O$37,"",0,1),0),$A1437-TEXT(DATEVALUE($D1437&amp;"-01"), "dd-mm-yyyy")),0),0)</f>
        <v>124</v>
      </c>
      <c r="P1437" s="1">
        <f t="shared" si="51"/>
        <v>44287</v>
      </c>
      <c r="Q1437">
        <f t="shared" si="57"/>
        <v>426</v>
      </c>
    </row>
    <row r="1438" spans="1:17" x14ac:dyDescent="0.25">
      <c r="A1438" s="1">
        <f t="shared" si="56"/>
        <v>44713</v>
      </c>
      <c r="B1438" t="s">
        <v>146</v>
      </c>
      <c r="C1438" t="str">
        <f>_xlfn.XLOOKUP(B1438,Phone_by_Price!$A$2:$A$34,Phone_by_Price!$B$2:$B$34,"-",0,1)</f>
        <v>Vivo Y20</v>
      </c>
      <c r="D1438" t="str">
        <f>_xlfn.XLOOKUP(C1438,Phone_by_Sentiment!$B$2:$B$37,Phone_by_Sentiment!$A$2:$A$37,"-",0,1)</f>
        <v>2020-09</v>
      </c>
      <c r="E1438" cm="1">
        <f t="array" ref="E1438">IF($Q1438&gt;=0,IFERROR(generateSalesData($D1438, IF(ISNUMBER(_xlfn.XLOOKUP($C1438,Phone_by_Sentiment!$B$2:$B$37,Phone_by_Sentiment!E$2:E$37,"",0,1)),_xlfn.XLOOKUP($C1438,Phone_by_Sentiment!$B$2:$B$37,Phone_by_Sentiment!E$2:E$37,"",0,1),0),$A1438-TEXT(DATEVALUE($D1438&amp;"-01"), "dd-mm-yyyy")),0),0)</f>
        <v>482</v>
      </c>
      <c r="F1438" cm="1">
        <f t="array" ref="F1438">IF($Q1438&gt;=0,IFERROR(generateSalesData($D1438, IF(ISNUMBER(_xlfn.XLOOKUP($C1438,Phone_by_Sentiment!$B$2:$B$37,Phone_by_Sentiment!F$2:F$37,"",0,1)),_xlfn.XLOOKUP($C1438,Phone_by_Sentiment!$B$2:$B$37,Phone_by_Sentiment!F$2:F$37,"",0,1),0),$A1438-TEXT(DATEVALUE($D1438&amp;"-01"), "dd-mm-yyyy")),0),0)</f>
        <v>556</v>
      </c>
      <c r="G1438" cm="1">
        <f t="array" ref="G1438">IF($Q1438&gt;=0,IFERROR(generateSalesData($D1438, IF(ISNUMBER(_xlfn.XLOOKUP($C1438,Phone_by_Sentiment!$B$2:$B$37,Phone_by_Sentiment!G$2:G$37,"",0,1)),_xlfn.XLOOKUP($C1438,Phone_by_Sentiment!$B$2:$B$37,Phone_by_Sentiment!G$2:G$37,"",0,1),0),$A1438-TEXT(DATEVALUE($D1438&amp;"-01"), "dd-mm-yyyy")),0),0)</f>
        <v>163</v>
      </c>
      <c r="H1438" cm="1">
        <f t="array" ref="H1438">IF($Q1438&gt;=0,IFERROR(generateSalesData($D1438, IF(ISNUMBER(_xlfn.XLOOKUP($C1438,Phone_by_Sentiment!$B$2:$B$37,Phone_by_Sentiment!H$2:H$37,"",0,1)),_xlfn.XLOOKUP($C1438,Phone_by_Sentiment!$B$2:$B$37,Phone_by_Sentiment!H$2:H$37,"",0,1),0),$A1438-TEXT(DATEVALUE($D1438&amp;"-01"), "dd-mm-yyyy")),0),0)</f>
        <v>80</v>
      </c>
      <c r="I1438" cm="1">
        <f t="array" ref="I1438">IF($Q1438&gt;=0,IFERROR(generateSalesData($D1438, IF(ISNUMBER(_xlfn.XLOOKUP($C1438,Phone_by_Sentiment!$B$2:$B$37,Phone_by_Sentiment!I$2:I$37,"",0,1)),_xlfn.XLOOKUP($C1438,Phone_by_Sentiment!$B$2:$B$37,Phone_by_Sentiment!I$2:I$37,"",0,1),0),$A1438-TEXT(DATEVALUE($D1438&amp;"-01"), "dd-mm-yyyy")),0),0)</f>
        <v>113</v>
      </c>
      <c r="J1438" cm="1">
        <f t="array" ref="J1438">IF($Q1438&gt;=0,IFERROR(generateSalesData($D1438, IF(ISNUMBER(_xlfn.XLOOKUP($C1438,Phone_by_Sentiment!$B$2:$B$37,Phone_by_Sentiment!J$2:J$37,"",0,1)),_xlfn.XLOOKUP($C1438,Phone_by_Sentiment!$B$2:$B$37,Phone_by_Sentiment!J$2:J$37,"",0,1),0),$A1438-TEXT(DATEVALUE($D1438&amp;"-01"), "dd-mm-yyyy")),0),0)</f>
        <v>61</v>
      </c>
      <c r="K1438" cm="1">
        <f t="array" ref="K1438">IF($Q1438&gt;=0,IFERROR(generateSalesData($D1438, IF(ISNUMBER(_xlfn.XLOOKUP($C1438,Phone_by_Sentiment!$B$2:$B$37,Phone_by_Sentiment!K$2:K$37,"",0,1)),_xlfn.XLOOKUP($C1438,Phone_by_Sentiment!$B$2:$B$37,Phone_by_Sentiment!K$2:K$37,"",0,1),0),$A1438-TEXT(DATEVALUE($D1438&amp;"-01"), "dd-mm-yyyy")),0),0)</f>
        <v>77</v>
      </c>
      <c r="L1438" cm="1">
        <f t="array" ref="L1438">IF($Q1438&gt;=0,IFERROR(generateSalesData($D1438, IF(ISNUMBER(_xlfn.XLOOKUP($C1438,Phone_by_Sentiment!$B$2:$B$37,Phone_by_Sentiment!L$2:L$37,"",0,1)),_xlfn.XLOOKUP($C1438,Phone_by_Sentiment!$B$2:$B$37,Phone_by_Sentiment!L$2:L$37,"",0,1),0),$A1438-TEXT(DATEVALUE($D1438&amp;"-01"), "dd-mm-yyyy")),0),0)</f>
        <v>257</v>
      </c>
      <c r="M1438" cm="1">
        <f t="array" ref="M1438">IF($Q1438&gt;=0,IFERROR(generateSalesData($D1438, IF(ISNUMBER(_xlfn.XLOOKUP($C1438,Phone_by_Sentiment!$B$2:$B$37,Phone_by_Sentiment!M$2:M$37,"",0,1)),_xlfn.XLOOKUP($C1438,Phone_by_Sentiment!$B$2:$B$37,Phone_by_Sentiment!M$2:M$37,"",0,1),0),$A1438-TEXT(DATEVALUE($D1438&amp;"-01"), "dd-mm-yyyy")),0),0)</f>
        <v>82</v>
      </c>
      <c r="N1438" cm="1">
        <f t="array" ref="N1438">IF($Q1438&gt;=0,IFERROR(generateSalesData($D1438, IF(ISNUMBER(_xlfn.XLOOKUP($C1438,Phone_by_Sentiment!$B$2:$B$37,Phone_by_Sentiment!N$2:N$37,"",0,1)),_xlfn.XLOOKUP($C1438,Phone_by_Sentiment!$B$2:$B$37,Phone_by_Sentiment!N$2:N$37,"",0,1),0),$A1438-TEXT(DATEVALUE($D1438&amp;"-01"), "dd-mm-yyyy")),0),0)</f>
        <v>53</v>
      </c>
      <c r="O1438" cm="1">
        <f t="array" ref="O1438">IF($Q1438&gt;=0,IFERROR(generateSalesData($D1438, IF(ISNUMBER(_xlfn.XLOOKUP($C1438,Phone_by_Sentiment!$B$2:$B$37,Phone_by_Sentiment!O$2:O$37,"",0,1)),_xlfn.XLOOKUP($C1438,Phone_by_Sentiment!$B$2:$B$37,Phone_by_Sentiment!O$2:O$37,"",0,1),0),$A1438-TEXT(DATEVALUE($D1438&amp;"-01"), "dd-mm-yyyy")),0),0)</f>
        <v>119</v>
      </c>
      <c r="P1438" s="1">
        <f t="shared" si="51"/>
        <v>44075</v>
      </c>
      <c r="Q1438">
        <f t="shared" si="57"/>
        <v>638</v>
      </c>
    </row>
    <row r="1439" spans="1:17" x14ac:dyDescent="0.25">
      <c r="A1439" s="1">
        <f t="shared" si="56"/>
        <v>44713</v>
      </c>
      <c r="B1439" t="s">
        <v>147</v>
      </c>
      <c r="C1439" t="str">
        <f>_xlfn.XLOOKUP(B1439,Phone_by_Price!$A$2:$A$34,Phone_by_Price!$B$2:$B$34,"-",0,1)</f>
        <v>Huawei Y9a</v>
      </c>
      <c r="D1439" t="str">
        <f>_xlfn.XLOOKUP(C1439,Phone_by_Sentiment!$B$2:$B$37,Phone_by_Sentiment!$A$2:$A$37,"-",0,1)</f>
        <v>2020-02</v>
      </c>
      <c r="E1439" cm="1">
        <f t="array" ref="E1439">IF($Q1439&gt;=0,IFERROR(generateSalesData($D1439, IF(ISNUMBER(_xlfn.XLOOKUP($C1439,Phone_by_Sentiment!$B$2:$B$37,Phone_by_Sentiment!E$2:E$37,"",0,1)),_xlfn.XLOOKUP($C1439,Phone_by_Sentiment!$B$2:$B$37,Phone_by_Sentiment!E$2:E$37,"",0,1),0),$A1439-TEXT(DATEVALUE($D1439&amp;"-01"), "dd-mm-yyyy")),0),0)</f>
        <v>339</v>
      </c>
      <c r="F1439" cm="1">
        <f t="array" ref="F1439">IF($Q1439&gt;=0,IFERROR(generateSalesData($D1439, IF(ISNUMBER(_xlfn.XLOOKUP($C1439,Phone_by_Sentiment!$B$2:$B$37,Phone_by_Sentiment!F$2:F$37,"",0,1)),_xlfn.XLOOKUP($C1439,Phone_by_Sentiment!$B$2:$B$37,Phone_by_Sentiment!F$2:F$37,"",0,1),0),$A1439-TEXT(DATEVALUE($D1439&amp;"-01"), "dd-mm-yyyy")),0),0)</f>
        <v>246</v>
      </c>
      <c r="G1439" cm="1">
        <f t="array" ref="G1439">IF($Q1439&gt;=0,IFERROR(generateSalesData($D1439, IF(ISNUMBER(_xlfn.XLOOKUP($C1439,Phone_by_Sentiment!$B$2:$B$37,Phone_by_Sentiment!G$2:G$37,"",0,1)),_xlfn.XLOOKUP($C1439,Phone_by_Sentiment!$B$2:$B$37,Phone_by_Sentiment!G$2:G$37,"",0,1),0),$A1439-TEXT(DATEVALUE($D1439&amp;"-01"), "dd-mm-yyyy")),0),0)</f>
        <v>47</v>
      </c>
      <c r="H1439" cm="1">
        <f t="array" ref="H1439">IF($Q1439&gt;=0,IFERROR(generateSalesData($D1439, IF(ISNUMBER(_xlfn.XLOOKUP($C1439,Phone_by_Sentiment!$B$2:$B$37,Phone_by_Sentiment!H$2:H$37,"",0,1)),_xlfn.XLOOKUP($C1439,Phone_by_Sentiment!$B$2:$B$37,Phone_by_Sentiment!H$2:H$37,"",0,1),0),$A1439-TEXT(DATEVALUE($D1439&amp;"-01"), "dd-mm-yyyy")),0),0)</f>
        <v>38</v>
      </c>
      <c r="I1439" cm="1">
        <f t="array" ref="I1439">IF($Q1439&gt;=0,IFERROR(generateSalesData($D1439, IF(ISNUMBER(_xlfn.XLOOKUP($C1439,Phone_by_Sentiment!$B$2:$B$37,Phone_by_Sentiment!I$2:I$37,"",0,1)),_xlfn.XLOOKUP($C1439,Phone_by_Sentiment!$B$2:$B$37,Phone_by_Sentiment!I$2:I$37,"",0,1),0),$A1439-TEXT(DATEVALUE($D1439&amp;"-01"), "dd-mm-yyyy")),0),0)</f>
        <v>64</v>
      </c>
      <c r="J1439" cm="1">
        <f t="array" ref="J1439">IF($Q1439&gt;=0,IFERROR(generateSalesData($D1439, IF(ISNUMBER(_xlfn.XLOOKUP($C1439,Phone_by_Sentiment!$B$2:$B$37,Phone_by_Sentiment!J$2:J$37,"",0,1)),_xlfn.XLOOKUP($C1439,Phone_by_Sentiment!$B$2:$B$37,Phone_by_Sentiment!J$2:J$37,"",0,1),0),$A1439-TEXT(DATEVALUE($D1439&amp;"-01"), "dd-mm-yyyy")),0),0)</f>
        <v>98</v>
      </c>
      <c r="K1439" cm="1">
        <f t="array" ref="K1439">IF($Q1439&gt;=0,IFERROR(generateSalesData($D1439, IF(ISNUMBER(_xlfn.XLOOKUP($C1439,Phone_by_Sentiment!$B$2:$B$37,Phone_by_Sentiment!K$2:K$37,"",0,1)),_xlfn.XLOOKUP($C1439,Phone_by_Sentiment!$B$2:$B$37,Phone_by_Sentiment!K$2:K$37,"",0,1),0),$A1439-TEXT(DATEVALUE($D1439&amp;"-01"), "dd-mm-yyyy")),0),0)</f>
        <v>23</v>
      </c>
      <c r="L1439" cm="1">
        <f t="array" ref="L1439">IF($Q1439&gt;=0,IFERROR(generateSalesData($D1439, IF(ISNUMBER(_xlfn.XLOOKUP($C1439,Phone_by_Sentiment!$B$2:$B$37,Phone_by_Sentiment!L$2:L$37,"",0,1)),_xlfn.XLOOKUP($C1439,Phone_by_Sentiment!$B$2:$B$37,Phone_by_Sentiment!L$2:L$37,"",0,1),0),$A1439-TEXT(DATEVALUE($D1439&amp;"-01"), "dd-mm-yyyy")),0),0)</f>
        <v>53</v>
      </c>
      <c r="M1439" cm="1">
        <f t="array" ref="M1439">IF($Q1439&gt;=0,IFERROR(generateSalesData($D1439, IF(ISNUMBER(_xlfn.XLOOKUP($C1439,Phone_by_Sentiment!$B$2:$B$37,Phone_by_Sentiment!M$2:M$37,"",0,1)),_xlfn.XLOOKUP($C1439,Phone_by_Sentiment!$B$2:$B$37,Phone_by_Sentiment!M$2:M$37,"",0,1),0),$A1439-TEXT(DATEVALUE($D1439&amp;"-01"), "dd-mm-yyyy")),0),0)</f>
        <v>91</v>
      </c>
      <c r="N1439" cm="1">
        <f t="array" ref="N1439">IF($Q1439&gt;=0,IFERROR(generateSalesData($D1439, IF(ISNUMBER(_xlfn.XLOOKUP($C1439,Phone_by_Sentiment!$B$2:$B$37,Phone_by_Sentiment!N$2:N$37,"",0,1)),_xlfn.XLOOKUP($C1439,Phone_by_Sentiment!$B$2:$B$37,Phone_by_Sentiment!N$2:N$37,"",0,1),0),$A1439-TEXT(DATEVALUE($D1439&amp;"-01"), "dd-mm-yyyy")),0),0)</f>
        <v>85</v>
      </c>
      <c r="O1439" cm="1">
        <f t="array" ref="O1439">IF($Q1439&gt;=0,IFERROR(generateSalesData($D1439, IF(ISNUMBER(_xlfn.XLOOKUP($C1439,Phone_by_Sentiment!$B$2:$B$37,Phone_by_Sentiment!O$2:O$37,"",0,1)),_xlfn.XLOOKUP($C1439,Phone_by_Sentiment!$B$2:$B$37,Phone_by_Sentiment!O$2:O$37,"",0,1),0),$A1439-TEXT(DATEVALUE($D1439&amp;"-01"), "dd-mm-yyyy")),0),0)</f>
        <v>36</v>
      </c>
      <c r="P1439" s="1">
        <f t="shared" si="51"/>
        <v>43862</v>
      </c>
      <c r="Q1439">
        <f t="shared" si="57"/>
        <v>851</v>
      </c>
    </row>
    <row r="1440" spans="1:17" x14ac:dyDescent="0.25">
      <c r="A1440" s="1">
        <f t="shared" si="56"/>
        <v>44713</v>
      </c>
      <c r="B1440" t="s">
        <v>148</v>
      </c>
      <c r="C1440" t="str">
        <f>_xlfn.XLOOKUP(B1440,Phone_by_Price!$A$2:$A$34,Phone_by_Price!$B$2:$B$34,"-",0,1)</f>
        <v>Xiaomi Redmi 10</v>
      </c>
      <c r="D1440" t="str">
        <f>_xlfn.XLOOKUP(C1440,Phone_by_Sentiment!$B$2:$B$37,Phone_by_Sentiment!$A$2:$A$37,"-",0,1)</f>
        <v>2021-03</v>
      </c>
      <c r="E1440" cm="1">
        <f t="array" ref="E1440">IF($Q1440&gt;=0,IFERROR(generateSalesData($D1440, IF(ISNUMBER(_xlfn.XLOOKUP($C1440,Phone_by_Sentiment!$B$2:$B$37,Phone_by_Sentiment!E$2:E$37,"",0,1)),_xlfn.XLOOKUP($C1440,Phone_by_Sentiment!$B$2:$B$37,Phone_by_Sentiment!E$2:E$37,"",0,1),0),$A1440-TEXT(DATEVALUE($D1440&amp;"-01"), "dd-mm-yyyy")),0),0)</f>
        <v>279</v>
      </c>
      <c r="F1440" cm="1">
        <f t="array" ref="F1440">IF($Q1440&gt;=0,IFERROR(generateSalesData($D1440, IF(ISNUMBER(_xlfn.XLOOKUP($C1440,Phone_by_Sentiment!$B$2:$B$37,Phone_by_Sentiment!F$2:F$37,"",0,1)),_xlfn.XLOOKUP($C1440,Phone_by_Sentiment!$B$2:$B$37,Phone_by_Sentiment!F$2:F$37,"",0,1),0),$A1440-TEXT(DATEVALUE($D1440&amp;"-01"), "dd-mm-yyyy")),0),0)</f>
        <v>573</v>
      </c>
      <c r="G1440" cm="1">
        <f t="array" ref="G1440">IF($Q1440&gt;=0,IFERROR(generateSalesData($D1440, IF(ISNUMBER(_xlfn.XLOOKUP($C1440,Phone_by_Sentiment!$B$2:$B$37,Phone_by_Sentiment!G$2:G$37,"",0,1)),_xlfn.XLOOKUP($C1440,Phone_by_Sentiment!$B$2:$B$37,Phone_by_Sentiment!G$2:G$37,"",0,1),0),$A1440-TEXT(DATEVALUE($D1440&amp;"-01"), "dd-mm-yyyy")),0),0)</f>
        <v>95</v>
      </c>
      <c r="H1440" cm="1">
        <f t="array" ref="H1440">IF($Q1440&gt;=0,IFERROR(generateSalesData($D1440, IF(ISNUMBER(_xlfn.XLOOKUP($C1440,Phone_by_Sentiment!$B$2:$B$37,Phone_by_Sentiment!H$2:H$37,"",0,1)),_xlfn.XLOOKUP($C1440,Phone_by_Sentiment!$B$2:$B$37,Phone_by_Sentiment!H$2:H$37,"",0,1),0),$A1440-TEXT(DATEVALUE($D1440&amp;"-01"), "dd-mm-yyyy")),0),0)</f>
        <v>472</v>
      </c>
      <c r="I1440" cm="1">
        <f t="array" ref="I1440">IF($Q1440&gt;=0,IFERROR(generateSalesData($D1440, IF(ISNUMBER(_xlfn.XLOOKUP($C1440,Phone_by_Sentiment!$B$2:$B$37,Phone_by_Sentiment!I$2:I$37,"",0,1)),_xlfn.XLOOKUP($C1440,Phone_by_Sentiment!$B$2:$B$37,Phone_by_Sentiment!I$2:I$37,"",0,1),0),$A1440-TEXT(DATEVALUE($D1440&amp;"-01"), "dd-mm-yyyy")),0),0)</f>
        <v>102</v>
      </c>
      <c r="J1440" cm="1">
        <f t="array" ref="J1440">IF($Q1440&gt;=0,IFERROR(generateSalesData($D1440, IF(ISNUMBER(_xlfn.XLOOKUP($C1440,Phone_by_Sentiment!$B$2:$B$37,Phone_by_Sentiment!J$2:J$37,"",0,1)),_xlfn.XLOOKUP($C1440,Phone_by_Sentiment!$B$2:$B$37,Phone_by_Sentiment!J$2:J$37,"",0,1),0),$A1440-TEXT(DATEVALUE($D1440&amp;"-01"), "dd-mm-yyyy")),0),0)</f>
        <v>159</v>
      </c>
      <c r="K1440" cm="1">
        <f t="array" ref="K1440">IF($Q1440&gt;=0,IFERROR(generateSalesData($D1440, IF(ISNUMBER(_xlfn.XLOOKUP($C1440,Phone_by_Sentiment!$B$2:$B$37,Phone_by_Sentiment!K$2:K$37,"",0,1)),_xlfn.XLOOKUP($C1440,Phone_by_Sentiment!$B$2:$B$37,Phone_by_Sentiment!K$2:K$37,"",0,1),0),$A1440-TEXT(DATEVALUE($D1440&amp;"-01"), "dd-mm-yyyy")),0),0)</f>
        <v>290</v>
      </c>
      <c r="L1440" cm="1">
        <f t="array" ref="L1440">IF($Q1440&gt;=0,IFERROR(generateSalesData($D1440, IF(ISNUMBER(_xlfn.XLOOKUP($C1440,Phone_by_Sentiment!$B$2:$B$37,Phone_by_Sentiment!L$2:L$37,"",0,1)),_xlfn.XLOOKUP($C1440,Phone_by_Sentiment!$B$2:$B$37,Phone_by_Sentiment!L$2:L$37,"",0,1),0),$A1440-TEXT(DATEVALUE($D1440&amp;"-01"), "dd-mm-yyyy")),0),0)</f>
        <v>-62</v>
      </c>
      <c r="M1440" cm="1">
        <f t="array" ref="M1440">IF($Q1440&gt;=0,IFERROR(generateSalesData($D1440, IF(ISNUMBER(_xlfn.XLOOKUP($C1440,Phone_by_Sentiment!$B$2:$B$37,Phone_by_Sentiment!M$2:M$37,"",0,1)),_xlfn.XLOOKUP($C1440,Phone_by_Sentiment!$B$2:$B$37,Phone_by_Sentiment!M$2:M$37,"",0,1),0),$A1440-TEXT(DATEVALUE($D1440&amp;"-01"), "dd-mm-yyyy")),0),0)</f>
        <v>156</v>
      </c>
      <c r="N1440" cm="1">
        <f t="array" ref="N1440">IF($Q1440&gt;=0,IFERROR(generateSalesData($D1440, IF(ISNUMBER(_xlfn.XLOOKUP($C1440,Phone_by_Sentiment!$B$2:$B$37,Phone_by_Sentiment!N$2:N$37,"",0,1)),_xlfn.XLOOKUP($C1440,Phone_by_Sentiment!$B$2:$B$37,Phone_by_Sentiment!N$2:N$37,"",0,1),0),$A1440-TEXT(DATEVALUE($D1440&amp;"-01"), "dd-mm-yyyy")),0),0)</f>
        <v>491</v>
      </c>
      <c r="O1440" cm="1">
        <f t="array" ref="O1440">IF($Q1440&gt;=0,IFERROR(generateSalesData($D1440, IF(ISNUMBER(_xlfn.XLOOKUP($C1440,Phone_by_Sentiment!$B$2:$B$37,Phone_by_Sentiment!O$2:O$37,"",0,1)),_xlfn.XLOOKUP($C1440,Phone_by_Sentiment!$B$2:$B$37,Phone_by_Sentiment!O$2:O$37,"",0,1),0),$A1440-TEXT(DATEVALUE($D1440&amp;"-01"), "dd-mm-yyyy")),0),0)</f>
        <v>186</v>
      </c>
      <c r="P1440" s="1">
        <f t="shared" si="51"/>
        <v>44256</v>
      </c>
      <c r="Q1440">
        <f t="shared" si="57"/>
        <v>457</v>
      </c>
    </row>
    <row r="1441" spans="1:17" x14ac:dyDescent="0.25">
      <c r="A1441" s="1">
        <f t="shared" si="56"/>
        <v>44713</v>
      </c>
      <c r="B1441" t="s">
        <v>149</v>
      </c>
      <c r="C1441" t="str">
        <f>_xlfn.XLOOKUP(B1441,Phone_by_Price!$A$2:$A$34,Phone_by_Price!$B$2:$B$34,"-",0,1)</f>
        <v>Samsung Galaxy A52</v>
      </c>
      <c r="D1441" t="str">
        <f>_xlfn.XLOOKUP(C1441,Phone_by_Sentiment!$B$2:$B$37,Phone_by_Sentiment!$A$2:$A$37,"-",0,1)</f>
        <v>2021-03</v>
      </c>
      <c r="E1441" cm="1">
        <f t="array" ref="E1441">IF($Q1441&gt;=0,IFERROR(generateSalesData($D1441, IF(ISNUMBER(_xlfn.XLOOKUP($C1441,Phone_by_Sentiment!$B$2:$B$37,Phone_by_Sentiment!E$2:E$37,"",0,1)),_xlfn.XLOOKUP($C1441,Phone_by_Sentiment!$B$2:$B$37,Phone_by_Sentiment!E$2:E$37,"",0,1),0),$A1441-TEXT(DATEVALUE($D1441&amp;"-01"), "dd-mm-yyyy")),0),0)</f>
        <v>881</v>
      </c>
      <c r="F1441" cm="1">
        <f t="array" ref="F1441">IF($Q1441&gt;=0,IFERROR(generateSalesData($D1441, IF(ISNUMBER(_xlfn.XLOOKUP($C1441,Phone_by_Sentiment!$B$2:$B$37,Phone_by_Sentiment!F$2:F$37,"",0,1)),_xlfn.XLOOKUP($C1441,Phone_by_Sentiment!$B$2:$B$37,Phone_by_Sentiment!F$2:F$37,"",0,1),0),$A1441-TEXT(DATEVALUE($D1441&amp;"-01"), "dd-mm-yyyy")),0),0)</f>
        <v>544</v>
      </c>
      <c r="G1441" cm="1">
        <f t="array" ref="G1441">IF($Q1441&gt;=0,IFERROR(generateSalesData($D1441, IF(ISNUMBER(_xlfn.XLOOKUP($C1441,Phone_by_Sentiment!$B$2:$B$37,Phone_by_Sentiment!G$2:G$37,"",0,1)),_xlfn.XLOOKUP($C1441,Phone_by_Sentiment!$B$2:$B$37,Phone_by_Sentiment!G$2:G$37,"",0,1),0),$A1441-TEXT(DATEVALUE($D1441&amp;"-01"), "dd-mm-yyyy")),0),0)</f>
        <v>165</v>
      </c>
      <c r="H1441" cm="1">
        <f t="array" ref="H1441">IF($Q1441&gt;=0,IFERROR(generateSalesData($D1441, IF(ISNUMBER(_xlfn.XLOOKUP($C1441,Phone_by_Sentiment!$B$2:$B$37,Phone_by_Sentiment!H$2:H$37,"",0,1)),_xlfn.XLOOKUP($C1441,Phone_by_Sentiment!$B$2:$B$37,Phone_by_Sentiment!H$2:H$37,"",0,1),0),$A1441-TEXT(DATEVALUE($D1441&amp;"-01"), "dd-mm-yyyy")),0),0)</f>
        <v>332</v>
      </c>
      <c r="I1441" cm="1">
        <f t="array" ref="I1441">IF($Q1441&gt;=0,IFERROR(generateSalesData($D1441, IF(ISNUMBER(_xlfn.XLOOKUP($C1441,Phone_by_Sentiment!$B$2:$B$37,Phone_by_Sentiment!I$2:I$37,"",0,1)),_xlfn.XLOOKUP($C1441,Phone_by_Sentiment!$B$2:$B$37,Phone_by_Sentiment!I$2:I$37,"",0,1),0),$A1441-TEXT(DATEVALUE($D1441&amp;"-01"), "dd-mm-yyyy")),0),0)</f>
        <v>632</v>
      </c>
      <c r="J1441" cm="1">
        <f t="array" ref="J1441">IF($Q1441&gt;=0,IFERROR(generateSalesData($D1441, IF(ISNUMBER(_xlfn.XLOOKUP($C1441,Phone_by_Sentiment!$B$2:$B$37,Phone_by_Sentiment!J$2:J$37,"",0,1)),_xlfn.XLOOKUP($C1441,Phone_by_Sentiment!$B$2:$B$37,Phone_by_Sentiment!J$2:J$37,"",0,1),0),$A1441-TEXT(DATEVALUE($D1441&amp;"-01"), "dd-mm-yyyy")),0),0)</f>
        <v>732</v>
      </c>
      <c r="K1441" cm="1">
        <f t="array" ref="K1441">IF($Q1441&gt;=0,IFERROR(generateSalesData($D1441, IF(ISNUMBER(_xlfn.XLOOKUP($C1441,Phone_by_Sentiment!$B$2:$B$37,Phone_by_Sentiment!K$2:K$37,"",0,1)),_xlfn.XLOOKUP($C1441,Phone_by_Sentiment!$B$2:$B$37,Phone_by_Sentiment!K$2:K$37,"",0,1),0),$A1441-TEXT(DATEVALUE($D1441&amp;"-01"), "dd-mm-yyyy")),0),0)</f>
        <v>774</v>
      </c>
      <c r="L1441" cm="1">
        <f t="array" ref="L1441">IF($Q1441&gt;=0,IFERROR(generateSalesData($D1441, IF(ISNUMBER(_xlfn.XLOOKUP($C1441,Phone_by_Sentiment!$B$2:$B$37,Phone_by_Sentiment!L$2:L$37,"",0,1)),_xlfn.XLOOKUP($C1441,Phone_by_Sentiment!$B$2:$B$37,Phone_by_Sentiment!L$2:L$37,"",0,1),0),$A1441-TEXT(DATEVALUE($D1441&amp;"-01"), "dd-mm-yyyy")),0),0)</f>
        <v>363</v>
      </c>
      <c r="M1441" cm="1">
        <f t="array" ref="M1441">IF($Q1441&gt;=0,IFERROR(generateSalesData($D1441, IF(ISNUMBER(_xlfn.XLOOKUP($C1441,Phone_by_Sentiment!$B$2:$B$37,Phone_by_Sentiment!M$2:M$37,"",0,1)),_xlfn.XLOOKUP($C1441,Phone_by_Sentiment!$B$2:$B$37,Phone_by_Sentiment!M$2:M$37,"",0,1),0),$A1441-TEXT(DATEVALUE($D1441&amp;"-01"), "dd-mm-yyyy")),0),0)</f>
        <v>8</v>
      </c>
      <c r="N1441" cm="1">
        <f t="array" ref="N1441">IF($Q1441&gt;=0,IFERROR(generateSalesData($D1441, IF(ISNUMBER(_xlfn.XLOOKUP($C1441,Phone_by_Sentiment!$B$2:$B$37,Phone_by_Sentiment!N$2:N$37,"",0,1)),_xlfn.XLOOKUP($C1441,Phone_by_Sentiment!$B$2:$B$37,Phone_by_Sentiment!N$2:N$37,"",0,1),0),$A1441-TEXT(DATEVALUE($D1441&amp;"-01"), "dd-mm-yyyy")),0),0)</f>
        <v>441</v>
      </c>
      <c r="O1441" cm="1">
        <f t="array" ref="O1441">IF($Q1441&gt;=0,IFERROR(generateSalesData($D1441, IF(ISNUMBER(_xlfn.XLOOKUP($C1441,Phone_by_Sentiment!$B$2:$B$37,Phone_by_Sentiment!O$2:O$37,"",0,1)),_xlfn.XLOOKUP($C1441,Phone_by_Sentiment!$B$2:$B$37,Phone_by_Sentiment!O$2:O$37,"",0,1),0),$A1441-TEXT(DATEVALUE($D1441&amp;"-01"), "dd-mm-yyyy")),0),0)</f>
        <v>291</v>
      </c>
      <c r="P1441" s="1">
        <f t="shared" si="51"/>
        <v>44256</v>
      </c>
      <c r="Q1441">
        <f t="shared" si="57"/>
        <v>457</v>
      </c>
    </row>
    <row r="1442" spans="1:17" x14ac:dyDescent="0.25">
      <c r="A1442" s="1">
        <f t="shared" si="56"/>
        <v>44713</v>
      </c>
      <c r="B1442" t="s">
        <v>150</v>
      </c>
      <c r="C1442" t="str">
        <f>_xlfn.XLOOKUP(B1442,Phone_by_Price!$A$2:$A$34,Phone_by_Price!$B$2:$B$34,"-",0,1)</f>
        <v>Vivo Y33s</v>
      </c>
      <c r="D1442" t="str">
        <f>_xlfn.XLOOKUP(C1442,Phone_by_Sentiment!$B$2:$B$37,Phone_by_Sentiment!$A$2:$A$37,"-",0,1)</f>
        <v>2021-05</v>
      </c>
      <c r="E1442" cm="1">
        <f t="array" ref="E1442">IF($Q1442&gt;=0,IFERROR(generateSalesData($D1442, IF(ISNUMBER(_xlfn.XLOOKUP($C1442,Phone_by_Sentiment!$B$2:$B$37,Phone_by_Sentiment!E$2:E$37,"",0,1)),_xlfn.XLOOKUP($C1442,Phone_by_Sentiment!$B$2:$B$37,Phone_by_Sentiment!E$2:E$37,"",0,1),0),$A1442-TEXT(DATEVALUE($D1442&amp;"-01"), "dd-mm-yyyy")),0),0)</f>
        <v>385</v>
      </c>
      <c r="F1442" cm="1">
        <f t="array" ref="F1442">IF($Q1442&gt;=0,IFERROR(generateSalesData($D1442, IF(ISNUMBER(_xlfn.XLOOKUP($C1442,Phone_by_Sentiment!$B$2:$B$37,Phone_by_Sentiment!F$2:F$37,"",0,1)),_xlfn.XLOOKUP($C1442,Phone_by_Sentiment!$B$2:$B$37,Phone_by_Sentiment!F$2:F$37,"",0,1),0),$A1442-TEXT(DATEVALUE($D1442&amp;"-01"), "dd-mm-yyyy")),0),0)</f>
        <v>98</v>
      </c>
      <c r="G1442" cm="1">
        <f t="array" ref="G1442">IF($Q1442&gt;=0,IFERROR(generateSalesData($D1442, IF(ISNUMBER(_xlfn.XLOOKUP($C1442,Phone_by_Sentiment!$B$2:$B$37,Phone_by_Sentiment!G$2:G$37,"",0,1)),_xlfn.XLOOKUP($C1442,Phone_by_Sentiment!$B$2:$B$37,Phone_by_Sentiment!G$2:G$37,"",0,1),0),$A1442-TEXT(DATEVALUE($D1442&amp;"-01"), "dd-mm-yyyy")),0),0)</f>
        <v>108</v>
      </c>
      <c r="H1442" cm="1">
        <f t="array" ref="H1442">IF($Q1442&gt;=0,IFERROR(generateSalesData($D1442, IF(ISNUMBER(_xlfn.XLOOKUP($C1442,Phone_by_Sentiment!$B$2:$B$37,Phone_by_Sentiment!H$2:H$37,"",0,1)),_xlfn.XLOOKUP($C1442,Phone_by_Sentiment!$B$2:$B$37,Phone_by_Sentiment!H$2:H$37,"",0,1),0),$A1442-TEXT(DATEVALUE($D1442&amp;"-01"), "dd-mm-yyyy")),0),0)</f>
        <v>400</v>
      </c>
      <c r="I1442" cm="1">
        <f t="array" ref="I1442">IF($Q1442&gt;=0,IFERROR(generateSalesData($D1442, IF(ISNUMBER(_xlfn.XLOOKUP($C1442,Phone_by_Sentiment!$B$2:$B$37,Phone_by_Sentiment!I$2:I$37,"",0,1)),_xlfn.XLOOKUP($C1442,Phone_by_Sentiment!$B$2:$B$37,Phone_by_Sentiment!I$2:I$37,"",0,1),0),$A1442-TEXT(DATEVALUE($D1442&amp;"-01"), "dd-mm-yyyy")),0),0)</f>
        <v>4</v>
      </c>
      <c r="J1442" cm="1">
        <f t="array" ref="J1442">IF($Q1442&gt;=0,IFERROR(generateSalesData($D1442, IF(ISNUMBER(_xlfn.XLOOKUP($C1442,Phone_by_Sentiment!$B$2:$B$37,Phone_by_Sentiment!J$2:J$37,"",0,1)),_xlfn.XLOOKUP($C1442,Phone_by_Sentiment!$B$2:$B$37,Phone_by_Sentiment!J$2:J$37,"",0,1),0),$A1442-TEXT(DATEVALUE($D1442&amp;"-01"), "dd-mm-yyyy")),0),0)</f>
        <v>44</v>
      </c>
      <c r="K1442" cm="1">
        <f t="array" ref="K1442">IF($Q1442&gt;=0,IFERROR(generateSalesData($D1442, IF(ISNUMBER(_xlfn.XLOOKUP($C1442,Phone_by_Sentiment!$B$2:$B$37,Phone_by_Sentiment!K$2:K$37,"",0,1)),_xlfn.XLOOKUP($C1442,Phone_by_Sentiment!$B$2:$B$37,Phone_by_Sentiment!K$2:K$37,"",0,1),0),$A1442-TEXT(DATEVALUE($D1442&amp;"-01"), "dd-mm-yyyy")),0),0)</f>
        <v>182</v>
      </c>
      <c r="L1442" cm="1">
        <f t="array" ref="L1442">IF($Q1442&gt;=0,IFERROR(generateSalesData($D1442, IF(ISNUMBER(_xlfn.XLOOKUP($C1442,Phone_by_Sentiment!$B$2:$B$37,Phone_by_Sentiment!L$2:L$37,"",0,1)),_xlfn.XLOOKUP($C1442,Phone_by_Sentiment!$B$2:$B$37,Phone_by_Sentiment!L$2:L$37,"",0,1),0),$A1442-TEXT(DATEVALUE($D1442&amp;"-01"), "dd-mm-yyyy")),0),0)</f>
        <v>193</v>
      </c>
      <c r="M1442" cm="1">
        <f t="array" ref="M1442">IF($Q1442&gt;=0,IFERROR(generateSalesData($D1442, IF(ISNUMBER(_xlfn.XLOOKUP($C1442,Phone_by_Sentiment!$B$2:$B$37,Phone_by_Sentiment!M$2:M$37,"",0,1)),_xlfn.XLOOKUP($C1442,Phone_by_Sentiment!$B$2:$B$37,Phone_by_Sentiment!M$2:M$37,"",0,1),0),$A1442-TEXT(DATEVALUE($D1442&amp;"-01"), "dd-mm-yyyy")),0),0)</f>
        <v>294</v>
      </c>
      <c r="N1442" cm="1">
        <f t="array" ref="N1442">IF($Q1442&gt;=0,IFERROR(generateSalesData($D1442, IF(ISNUMBER(_xlfn.XLOOKUP($C1442,Phone_by_Sentiment!$B$2:$B$37,Phone_by_Sentiment!N$2:N$37,"",0,1)),_xlfn.XLOOKUP($C1442,Phone_by_Sentiment!$B$2:$B$37,Phone_by_Sentiment!N$2:N$37,"",0,1),0),$A1442-TEXT(DATEVALUE($D1442&amp;"-01"), "dd-mm-yyyy")),0),0)</f>
        <v>60</v>
      </c>
      <c r="O1442" cm="1">
        <f t="array" ref="O1442">IF($Q1442&gt;=0,IFERROR(generateSalesData($D1442, IF(ISNUMBER(_xlfn.XLOOKUP($C1442,Phone_by_Sentiment!$B$2:$B$37,Phone_by_Sentiment!O$2:O$37,"",0,1)),_xlfn.XLOOKUP($C1442,Phone_by_Sentiment!$B$2:$B$37,Phone_by_Sentiment!O$2:O$37,"",0,1),0),$A1442-TEXT(DATEVALUE($D1442&amp;"-01"), "dd-mm-yyyy")),0),0)</f>
        <v>586</v>
      </c>
      <c r="P1442" s="1">
        <f t="shared" si="51"/>
        <v>44317</v>
      </c>
      <c r="Q1442">
        <f t="shared" si="57"/>
        <v>396</v>
      </c>
    </row>
    <row r="1443" spans="1:17" x14ac:dyDescent="0.25">
      <c r="A1443" s="1">
        <f t="shared" si="56"/>
        <v>44713</v>
      </c>
      <c r="B1443" t="s">
        <v>151</v>
      </c>
      <c r="C1443" t="str">
        <f>_xlfn.XLOOKUP(B1443,Phone_by_Price!$A$2:$A$34,Phone_by_Price!$B$2:$B$34,"-",0,1)</f>
        <v>Vivo Y11s</v>
      </c>
      <c r="D1443" t="str">
        <f>_xlfn.XLOOKUP(C1443,Phone_by_Sentiment!$B$2:$B$37,Phone_by_Sentiment!$A$2:$A$37,"-",0,1)</f>
        <v>2020-11</v>
      </c>
      <c r="E1443" cm="1">
        <f t="array" ref="E1443">IF($Q1443&gt;=0,IFERROR(generateSalesData($D1443, IF(ISNUMBER(_xlfn.XLOOKUP($C1443,Phone_by_Sentiment!$B$2:$B$37,Phone_by_Sentiment!E$2:E$37,"",0,1)),_xlfn.XLOOKUP($C1443,Phone_by_Sentiment!$B$2:$B$37,Phone_by_Sentiment!E$2:E$37,"",0,1),0),$A1443-TEXT(DATEVALUE($D1443&amp;"-01"), "dd-mm-yyyy")),0),0)</f>
        <v>111</v>
      </c>
      <c r="F1443" cm="1">
        <f t="array" ref="F1443">IF($Q1443&gt;=0,IFERROR(generateSalesData($D1443, IF(ISNUMBER(_xlfn.XLOOKUP($C1443,Phone_by_Sentiment!$B$2:$B$37,Phone_by_Sentiment!F$2:F$37,"",0,1)),_xlfn.XLOOKUP($C1443,Phone_by_Sentiment!$B$2:$B$37,Phone_by_Sentiment!F$2:F$37,"",0,1),0),$A1443-TEXT(DATEVALUE($D1443&amp;"-01"), "dd-mm-yyyy")),0),0)</f>
        <v>105</v>
      </c>
      <c r="G1443" cm="1">
        <f t="array" ref="G1443">IF($Q1443&gt;=0,IFERROR(generateSalesData($D1443, IF(ISNUMBER(_xlfn.XLOOKUP($C1443,Phone_by_Sentiment!$B$2:$B$37,Phone_by_Sentiment!G$2:G$37,"",0,1)),_xlfn.XLOOKUP($C1443,Phone_by_Sentiment!$B$2:$B$37,Phone_by_Sentiment!G$2:G$37,"",0,1),0),$A1443-TEXT(DATEVALUE($D1443&amp;"-01"), "dd-mm-yyyy")),0),0)</f>
        <v>80</v>
      </c>
      <c r="H1443" cm="1">
        <f t="array" ref="H1443">IF($Q1443&gt;=0,IFERROR(generateSalesData($D1443, IF(ISNUMBER(_xlfn.XLOOKUP($C1443,Phone_by_Sentiment!$B$2:$B$37,Phone_by_Sentiment!H$2:H$37,"",0,1)),_xlfn.XLOOKUP($C1443,Phone_by_Sentiment!$B$2:$B$37,Phone_by_Sentiment!H$2:H$37,"",0,1),0),$A1443-TEXT(DATEVALUE($D1443&amp;"-01"), "dd-mm-yyyy")),0),0)</f>
        <v>88</v>
      </c>
      <c r="I1443" cm="1">
        <f t="array" ref="I1443">IF($Q1443&gt;=0,IFERROR(generateSalesData($D1443, IF(ISNUMBER(_xlfn.XLOOKUP($C1443,Phone_by_Sentiment!$B$2:$B$37,Phone_by_Sentiment!I$2:I$37,"",0,1)),_xlfn.XLOOKUP($C1443,Phone_by_Sentiment!$B$2:$B$37,Phone_by_Sentiment!I$2:I$37,"",0,1),0),$A1443-TEXT(DATEVALUE($D1443&amp;"-01"), "dd-mm-yyyy")),0),0)</f>
        <v>378</v>
      </c>
      <c r="J1443" cm="1">
        <f t="array" ref="J1443">IF($Q1443&gt;=0,IFERROR(generateSalesData($D1443, IF(ISNUMBER(_xlfn.XLOOKUP($C1443,Phone_by_Sentiment!$B$2:$B$37,Phone_by_Sentiment!J$2:J$37,"",0,1)),_xlfn.XLOOKUP($C1443,Phone_by_Sentiment!$B$2:$B$37,Phone_by_Sentiment!J$2:J$37,"",0,1),0),$A1443-TEXT(DATEVALUE($D1443&amp;"-01"), "dd-mm-yyyy")),0),0)</f>
        <v>111</v>
      </c>
      <c r="K1443" cm="1">
        <f t="array" ref="K1443">IF($Q1443&gt;=0,IFERROR(generateSalesData($D1443, IF(ISNUMBER(_xlfn.XLOOKUP($C1443,Phone_by_Sentiment!$B$2:$B$37,Phone_by_Sentiment!K$2:K$37,"",0,1)),_xlfn.XLOOKUP($C1443,Phone_by_Sentiment!$B$2:$B$37,Phone_by_Sentiment!K$2:K$37,"",0,1),0),$A1443-TEXT(DATEVALUE($D1443&amp;"-01"), "dd-mm-yyyy")),0),0)</f>
        <v>77</v>
      </c>
      <c r="L1443" cm="1">
        <f t="array" ref="L1443">IF($Q1443&gt;=0,IFERROR(generateSalesData($D1443, IF(ISNUMBER(_xlfn.XLOOKUP($C1443,Phone_by_Sentiment!$B$2:$B$37,Phone_by_Sentiment!L$2:L$37,"",0,1)),_xlfn.XLOOKUP($C1443,Phone_by_Sentiment!$B$2:$B$37,Phone_by_Sentiment!L$2:L$37,"",0,1),0),$A1443-TEXT(DATEVALUE($D1443&amp;"-01"), "dd-mm-yyyy")),0),0)</f>
        <v>126</v>
      </c>
      <c r="M1443" cm="1">
        <f t="array" ref="M1443">IF($Q1443&gt;=0,IFERROR(generateSalesData($D1443, IF(ISNUMBER(_xlfn.XLOOKUP($C1443,Phone_by_Sentiment!$B$2:$B$37,Phone_by_Sentiment!M$2:M$37,"",0,1)),_xlfn.XLOOKUP($C1443,Phone_by_Sentiment!$B$2:$B$37,Phone_by_Sentiment!M$2:M$37,"",0,1),0),$A1443-TEXT(DATEVALUE($D1443&amp;"-01"), "dd-mm-yyyy")),0),0)</f>
        <v>37</v>
      </c>
      <c r="N1443" cm="1">
        <f t="array" ref="N1443">IF($Q1443&gt;=0,IFERROR(generateSalesData($D1443, IF(ISNUMBER(_xlfn.XLOOKUP($C1443,Phone_by_Sentiment!$B$2:$B$37,Phone_by_Sentiment!N$2:N$37,"",0,1)),_xlfn.XLOOKUP($C1443,Phone_by_Sentiment!$B$2:$B$37,Phone_by_Sentiment!N$2:N$37,"",0,1),0),$A1443-TEXT(DATEVALUE($D1443&amp;"-01"), "dd-mm-yyyy")),0),0)</f>
        <v>37</v>
      </c>
      <c r="O1443" cm="1">
        <f t="array" ref="O1443">IF($Q1443&gt;=0,IFERROR(generateSalesData($D1443, IF(ISNUMBER(_xlfn.XLOOKUP($C1443,Phone_by_Sentiment!$B$2:$B$37,Phone_by_Sentiment!O$2:O$37,"",0,1)),_xlfn.XLOOKUP($C1443,Phone_by_Sentiment!$B$2:$B$37,Phone_by_Sentiment!O$2:O$37,"",0,1),0),$A1443-TEXT(DATEVALUE($D1443&amp;"-01"), "dd-mm-yyyy")),0),0)</f>
        <v>94</v>
      </c>
      <c r="P1443" s="1">
        <f t="shared" si="51"/>
        <v>44136</v>
      </c>
      <c r="Q1443">
        <f t="shared" si="57"/>
        <v>577</v>
      </c>
    </row>
    <row r="1444" spans="1:17" x14ac:dyDescent="0.25">
      <c r="A1444" s="1">
        <f t="shared" si="56"/>
        <v>44713</v>
      </c>
      <c r="B1444" t="s">
        <v>152</v>
      </c>
      <c r="C1444" t="str">
        <f>_xlfn.XLOOKUP(B1444,Phone_by_Price!$A$2:$A$34,Phone_by_Price!$B$2:$B$34,"-",0,1)</f>
        <v>Huawei Nova 7i</v>
      </c>
      <c r="D1444" t="str">
        <f>_xlfn.XLOOKUP(C1444,Phone_by_Sentiment!$B$2:$B$37,Phone_by_Sentiment!$A$2:$A$37,"-",0,1)</f>
        <v>2020-02</v>
      </c>
      <c r="E1444" cm="1">
        <f t="array" ref="E1444">IF($Q1444&gt;=0,IFERROR(generateSalesData($D1444, IF(ISNUMBER(_xlfn.XLOOKUP($C1444,Phone_by_Sentiment!$B$2:$B$37,Phone_by_Sentiment!E$2:E$37,"",0,1)),_xlfn.XLOOKUP($C1444,Phone_by_Sentiment!$B$2:$B$37,Phone_by_Sentiment!E$2:E$37,"",0,1),0),$A1444-TEXT(DATEVALUE($D1444&amp;"-01"), "dd-mm-yyyy")),0),0)</f>
        <v>53</v>
      </c>
      <c r="F1444" cm="1">
        <f t="array" ref="F1444">IF($Q1444&gt;=0,IFERROR(generateSalesData($D1444, IF(ISNUMBER(_xlfn.XLOOKUP($C1444,Phone_by_Sentiment!$B$2:$B$37,Phone_by_Sentiment!F$2:F$37,"",0,1)),_xlfn.XLOOKUP($C1444,Phone_by_Sentiment!$B$2:$B$37,Phone_by_Sentiment!F$2:F$37,"",0,1),0),$A1444-TEXT(DATEVALUE($D1444&amp;"-01"), "dd-mm-yyyy")),0),0)</f>
        <v>73</v>
      </c>
      <c r="G1444" cm="1">
        <f t="array" ref="G1444">IF($Q1444&gt;=0,IFERROR(generateSalesData($D1444, IF(ISNUMBER(_xlfn.XLOOKUP($C1444,Phone_by_Sentiment!$B$2:$B$37,Phone_by_Sentiment!G$2:G$37,"",0,1)),_xlfn.XLOOKUP($C1444,Phone_by_Sentiment!$B$2:$B$37,Phone_by_Sentiment!G$2:G$37,"",0,1),0),$A1444-TEXT(DATEVALUE($D1444&amp;"-01"), "dd-mm-yyyy")),0),0)</f>
        <v>90</v>
      </c>
      <c r="H1444" cm="1">
        <f t="array" ref="H1444">IF($Q1444&gt;=0,IFERROR(generateSalesData($D1444, IF(ISNUMBER(_xlfn.XLOOKUP($C1444,Phone_by_Sentiment!$B$2:$B$37,Phone_by_Sentiment!H$2:H$37,"",0,1)),_xlfn.XLOOKUP($C1444,Phone_by_Sentiment!$B$2:$B$37,Phone_by_Sentiment!H$2:H$37,"",0,1),0),$A1444-TEXT(DATEVALUE($D1444&amp;"-01"), "dd-mm-yyyy")),0),0)</f>
        <v>149</v>
      </c>
      <c r="I1444" cm="1">
        <f t="array" ref="I1444">IF($Q1444&gt;=0,IFERROR(generateSalesData($D1444, IF(ISNUMBER(_xlfn.XLOOKUP($C1444,Phone_by_Sentiment!$B$2:$B$37,Phone_by_Sentiment!I$2:I$37,"",0,1)),_xlfn.XLOOKUP($C1444,Phone_by_Sentiment!$B$2:$B$37,Phone_by_Sentiment!I$2:I$37,"",0,1),0),$A1444-TEXT(DATEVALUE($D1444&amp;"-01"), "dd-mm-yyyy")),0),0)</f>
        <v>82</v>
      </c>
      <c r="J1444" cm="1">
        <f t="array" ref="J1444">IF($Q1444&gt;=0,IFERROR(generateSalesData($D1444, IF(ISNUMBER(_xlfn.XLOOKUP($C1444,Phone_by_Sentiment!$B$2:$B$37,Phone_by_Sentiment!J$2:J$37,"",0,1)),_xlfn.XLOOKUP($C1444,Phone_by_Sentiment!$B$2:$B$37,Phone_by_Sentiment!J$2:J$37,"",0,1),0),$A1444-TEXT(DATEVALUE($D1444&amp;"-01"), "dd-mm-yyyy")),0),0)</f>
        <v>99</v>
      </c>
      <c r="K1444" cm="1">
        <f t="array" ref="K1444">IF($Q1444&gt;=0,IFERROR(generateSalesData($D1444, IF(ISNUMBER(_xlfn.XLOOKUP($C1444,Phone_by_Sentiment!$B$2:$B$37,Phone_by_Sentiment!K$2:K$37,"",0,1)),_xlfn.XLOOKUP($C1444,Phone_by_Sentiment!$B$2:$B$37,Phone_by_Sentiment!K$2:K$37,"",0,1),0),$A1444-TEXT(DATEVALUE($D1444&amp;"-01"), "dd-mm-yyyy")),0),0)</f>
        <v>52</v>
      </c>
      <c r="L1444" cm="1">
        <f t="array" ref="L1444">IF($Q1444&gt;=0,IFERROR(generateSalesData($D1444, IF(ISNUMBER(_xlfn.XLOOKUP($C1444,Phone_by_Sentiment!$B$2:$B$37,Phone_by_Sentiment!L$2:L$37,"",0,1)),_xlfn.XLOOKUP($C1444,Phone_by_Sentiment!$B$2:$B$37,Phone_by_Sentiment!L$2:L$37,"",0,1),0),$A1444-TEXT(DATEVALUE($D1444&amp;"-01"), "dd-mm-yyyy")),0),0)</f>
        <v>19</v>
      </c>
      <c r="M1444" cm="1">
        <f t="array" ref="M1444">IF($Q1444&gt;=0,IFERROR(generateSalesData($D1444, IF(ISNUMBER(_xlfn.XLOOKUP($C1444,Phone_by_Sentiment!$B$2:$B$37,Phone_by_Sentiment!M$2:M$37,"",0,1)),_xlfn.XLOOKUP($C1444,Phone_by_Sentiment!$B$2:$B$37,Phone_by_Sentiment!M$2:M$37,"",0,1),0),$A1444-TEXT(DATEVALUE($D1444&amp;"-01"), "dd-mm-yyyy")),0),0)</f>
        <v>25</v>
      </c>
      <c r="N1444" cm="1">
        <f t="array" ref="N1444">IF($Q1444&gt;=0,IFERROR(generateSalesData($D1444, IF(ISNUMBER(_xlfn.XLOOKUP($C1444,Phone_by_Sentiment!$B$2:$B$37,Phone_by_Sentiment!N$2:N$37,"",0,1)),_xlfn.XLOOKUP($C1444,Phone_by_Sentiment!$B$2:$B$37,Phone_by_Sentiment!N$2:N$37,"",0,1),0),$A1444-TEXT(DATEVALUE($D1444&amp;"-01"), "dd-mm-yyyy")),0),0)</f>
        <v>128</v>
      </c>
      <c r="O1444" cm="1">
        <f t="array" ref="O1444">IF($Q1444&gt;=0,IFERROR(generateSalesData($D1444, IF(ISNUMBER(_xlfn.XLOOKUP($C1444,Phone_by_Sentiment!$B$2:$B$37,Phone_by_Sentiment!O$2:O$37,"",0,1)),_xlfn.XLOOKUP($C1444,Phone_by_Sentiment!$B$2:$B$37,Phone_by_Sentiment!O$2:O$37,"",0,1),0),$A1444-TEXT(DATEVALUE($D1444&amp;"-01"), "dd-mm-yyyy")),0),0)</f>
        <v>133</v>
      </c>
      <c r="P1444" s="1">
        <f t="shared" si="51"/>
        <v>43862</v>
      </c>
      <c r="Q1444">
        <f t="shared" si="57"/>
        <v>851</v>
      </c>
    </row>
    <row r="1445" spans="1:17" x14ac:dyDescent="0.25">
      <c r="A1445" s="1">
        <f t="shared" si="56"/>
        <v>44713</v>
      </c>
      <c r="B1445" t="s">
        <v>153</v>
      </c>
      <c r="C1445" t="str">
        <f>_xlfn.XLOOKUP(B1445,Phone_by_Price!$A$2:$A$34,Phone_by_Price!$B$2:$B$34,"-",0,1)</f>
        <v>iPhone 13</v>
      </c>
      <c r="D1445" t="str">
        <f>_xlfn.XLOOKUP(C1445,Phone_by_Sentiment!$B$2:$B$37,Phone_by_Sentiment!$A$2:$A$37,"-",0,1)</f>
        <v>2021-09</v>
      </c>
      <c r="E1445" cm="1">
        <f t="array" ref="E1445">IF($Q1445&gt;=0,IFERROR(generateSalesData($D1445, IF(ISNUMBER(_xlfn.XLOOKUP($C1445,Phone_by_Sentiment!$B$2:$B$37,Phone_by_Sentiment!E$2:E$37,"",0,1)),_xlfn.XLOOKUP($C1445,Phone_by_Sentiment!$B$2:$B$37,Phone_by_Sentiment!E$2:E$37,"",0,1),0),$A1445-TEXT(DATEVALUE($D1445&amp;"-01"), "dd-mm-yyyy")),0),0)</f>
        <v>57</v>
      </c>
      <c r="F1445" cm="1">
        <f t="array" ref="F1445">IF($Q1445&gt;=0,IFERROR(generateSalesData($D1445, IF(ISNUMBER(_xlfn.XLOOKUP($C1445,Phone_by_Sentiment!$B$2:$B$37,Phone_by_Sentiment!F$2:F$37,"",0,1)),_xlfn.XLOOKUP($C1445,Phone_by_Sentiment!$B$2:$B$37,Phone_by_Sentiment!F$2:F$37,"",0,1),0),$A1445-TEXT(DATEVALUE($D1445&amp;"-01"), "dd-mm-yyyy")),0),0)</f>
        <v>194</v>
      </c>
      <c r="G1445" cm="1">
        <f t="array" ref="G1445">IF($Q1445&gt;=0,IFERROR(generateSalesData($D1445, IF(ISNUMBER(_xlfn.XLOOKUP($C1445,Phone_by_Sentiment!$B$2:$B$37,Phone_by_Sentiment!G$2:G$37,"",0,1)),_xlfn.XLOOKUP($C1445,Phone_by_Sentiment!$B$2:$B$37,Phone_by_Sentiment!G$2:G$37,"",0,1),0),$A1445-TEXT(DATEVALUE($D1445&amp;"-01"), "dd-mm-yyyy")),0),0)</f>
        <v>199</v>
      </c>
      <c r="H1445" cm="1">
        <f t="array" ref="H1445">IF($Q1445&gt;=0,IFERROR(generateSalesData($D1445, IF(ISNUMBER(_xlfn.XLOOKUP($C1445,Phone_by_Sentiment!$B$2:$B$37,Phone_by_Sentiment!H$2:H$37,"",0,1)),_xlfn.XLOOKUP($C1445,Phone_by_Sentiment!$B$2:$B$37,Phone_by_Sentiment!H$2:H$37,"",0,1),0),$A1445-TEXT(DATEVALUE($D1445&amp;"-01"), "dd-mm-yyyy")),0),0)</f>
        <v>341</v>
      </c>
      <c r="I1445" cm="1">
        <f t="array" ref="I1445">IF($Q1445&gt;=0,IFERROR(generateSalesData($D1445, IF(ISNUMBER(_xlfn.XLOOKUP($C1445,Phone_by_Sentiment!$B$2:$B$37,Phone_by_Sentiment!I$2:I$37,"",0,1)),_xlfn.XLOOKUP($C1445,Phone_by_Sentiment!$B$2:$B$37,Phone_by_Sentiment!I$2:I$37,"",0,1),0),$A1445-TEXT(DATEVALUE($D1445&amp;"-01"), "dd-mm-yyyy")),0),0)</f>
        <v>305</v>
      </c>
      <c r="J1445" cm="1">
        <f t="array" ref="J1445">IF($Q1445&gt;=0,IFERROR(generateSalesData($D1445, IF(ISNUMBER(_xlfn.XLOOKUP($C1445,Phone_by_Sentiment!$B$2:$B$37,Phone_by_Sentiment!J$2:J$37,"",0,1)),_xlfn.XLOOKUP($C1445,Phone_by_Sentiment!$B$2:$B$37,Phone_by_Sentiment!J$2:J$37,"",0,1),0),$A1445-TEXT(DATEVALUE($D1445&amp;"-01"), "dd-mm-yyyy")),0),0)</f>
        <v>1018</v>
      </c>
      <c r="K1445" cm="1">
        <f t="array" ref="K1445">IF($Q1445&gt;=0,IFERROR(generateSalesData($D1445, IF(ISNUMBER(_xlfn.XLOOKUP($C1445,Phone_by_Sentiment!$B$2:$B$37,Phone_by_Sentiment!K$2:K$37,"",0,1)),_xlfn.XLOOKUP($C1445,Phone_by_Sentiment!$B$2:$B$37,Phone_by_Sentiment!K$2:K$37,"",0,1),0),$A1445-TEXT(DATEVALUE($D1445&amp;"-01"), "dd-mm-yyyy")),0),0)</f>
        <v>449</v>
      </c>
      <c r="L1445" cm="1">
        <f t="array" ref="L1445">IF($Q1445&gt;=0,IFERROR(generateSalesData($D1445, IF(ISNUMBER(_xlfn.XLOOKUP($C1445,Phone_by_Sentiment!$B$2:$B$37,Phone_by_Sentiment!L$2:L$37,"",0,1)),_xlfn.XLOOKUP($C1445,Phone_by_Sentiment!$B$2:$B$37,Phone_by_Sentiment!L$2:L$37,"",0,1),0),$A1445-TEXT(DATEVALUE($D1445&amp;"-01"), "dd-mm-yyyy")),0),0)</f>
        <v>663</v>
      </c>
      <c r="M1445" cm="1">
        <f t="array" ref="M1445">IF($Q1445&gt;=0,IFERROR(generateSalesData($D1445, IF(ISNUMBER(_xlfn.XLOOKUP($C1445,Phone_by_Sentiment!$B$2:$B$37,Phone_by_Sentiment!M$2:M$37,"",0,1)),_xlfn.XLOOKUP($C1445,Phone_by_Sentiment!$B$2:$B$37,Phone_by_Sentiment!M$2:M$37,"",0,1),0),$A1445-TEXT(DATEVALUE($D1445&amp;"-01"), "dd-mm-yyyy")),0),0)</f>
        <v>915</v>
      </c>
      <c r="N1445" cm="1">
        <f t="array" ref="N1445">IF($Q1445&gt;=0,IFERROR(generateSalesData($D1445, IF(ISNUMBER(_xlfn.XLOOKUP($C1445,Phone_by_Sentiment!$B$2:$B$37,Phone_by_Sentiment!N$2:N$37,"",0,1)),_xlfn.XLOOKUP($C1445,Phone_by_Sentiment!$B$2:$B$37,Phone_by_Sentiment!N$2:N$37,"",0,1),0),$A1445-TEXT(DATEVALUE($D1445&amp;"-01"), "dd-mm-yyyy")),0),0)</f>
        <v>197</v>
      </c>
      <c r="O1445" cm="1">
        <f t="array" ref="O1445">IF($Q1445&gt;=0,IFERROR(generateSalesData($D1445, IF(ISNUMBER(_xlfn.XLOOKUP($C1445,Phone_by_Sentiment!$B$2:$B$37,Phone_by_Sentiment!O$2:O$37,"",0,1)),_xlfn.XLOOKUP($C1445,Phone_by_Sentiment!$B$2:$B$37,Phone_by_Sentiment!O$2:O$37,"",0,1),0),$A1445-TEXT(DATEVALUE($D1445&amp;"-01"), "dd-mm-yyyy")),0),0)</f>
        <v>1084</v>
      </c>
      <c r="P1445" s="1">
        <f t="shared" si="51"/>
        <v>44440</v>
      </c>
      <c r="Q1445">
        <f t="shared" si="57"/>
        <v>273</v>
      </c>
    </row>
    <row r="1446" spans="1:17" x14ac:dyDescent="0.25">
      <c r="A1446" s="1">
        <f t="shared" si="56"/>
        <v>44713</v>
      </c>
      <c r="B1446" t="s">
        <v>154</v>
      </c>
      <c r="C1446" t="str">
        <f>_xlfn.XLOOKUP(B1446,Phone_by_Price!$A$2:$A$34,Phone_by_Price!$B$2:$B$34,"-",0,1)</f>
        <v>Samsung Galaxy S21</v>
      </c>
      <c r="D1446" t="str">
        <f>_xlfn.XLOOKUP(C1446,Phone_by_Sentiment!$B$2:$B$37,Phone_by_Sentiment!$A$2:$A$37,"-",0,1)</f>
        <v>2021-01</v>
      </c>
      <c r="E1446" cm="1">
        <f t="array" ref="E1446">IF($Q1446&gt;=0,IFERROR(generateSalesData($D1446, IF(ISNUMBER(_xlfn.XLOOKUP($C1446,Phone_by_Sentiment!$B$2:$B$37,Phone_by_Sentiment!E$2:E$37,"",0,1)),_xlfn.XLOOKUP($C1446,Phone_by_Sentiment!$B$2:$B$37,Phone_by_Sentiment!E$2:E$37,"",0,1),0),$A1446-TEXT(DATEVALUE($D1446&amp;"-01"), "dd-mm-yyyy")),0),0)</f>
        <v>376</v>
      </c>
      <c r="F1446" cm="1">
        <f t="array" ref="F1446">IF($Q1446&gt;=0,IFERROR(generateSalesData($D1446, IF(ISNUMBER(_xlfn.XLOOKUP($C1446,Phone_by_Sentiment!$B$2:$B$37,Phone_by_Sentiment!F$2:F$37,"",0,1)),_xlfn.XLOOKUP($C1446,Phone_by_Sentiment!$B$2:$B$37,Phone_by_Sentiment!F$2:F$37,"",0,1),0),$A1446-TEXT(DATEVALUE($D1446&amp;"-01"), "dd-mm-yyyy")),0),0)</f>
        <v>788</v>
      </c>
      <c r="G1446" cm="1">
        <f t="array" ref="G1446">IF($Q1446&gt;=0,IFERROR(generateSalesData($D1446, IF(ISNUMBER(_xlfn.XLOOKUP($C1446,Phone_by_Sentiment!$B$2:$B$37,Phone_by_Sentiment!G$2:G$37,"",0,1)),_xlfn.XLOOKUP($C1446,Phone_by_Sentiment!$B$2:$B$37,Phone_by_Sentiment!G$2:G$37,"",0,1),0),$A1446-TEXT(DATEVALUE($D1446&amp;"-01"), "dd-mm-yyyy")),0),0)</f>
        <v>157</v>
      </c>
      <c r="H1446" cm="1">
        <f t="array" ref="H1446">IF($Q1446&gt;=0,IFERROR(generateSalesData($D1446, IF(ISNUMBER(_xlfn.XLOOKUP($C1446,Phone_by_Sentiment!$B$2:$B$37,Phone_by_Sentiment!H$2:H$37,"",0,1)),_xlfn.XLOOKUP($C1446,Phone_by_Sentiment!$B$2:$B$37,Phone_by_Sentiment!H$2:H$37,"",0,1),0),$A1446-TEXT(DATEVALUE($D1446&amp;"-01"), "dd-mm-yyyy")),0),0)</f>
        <v>268</v>
      </c>
      <c r="I1446" cm="1">
        <f t="array" ref="I1446">IF($Q1446&gt;=0,IFERROR(generateSalesData($D1446, IF(ISNUMBER(_xlfn.XLOOKUP($C1446,Phone_by_Sentiment!$B$2:$B$37,Phone_by_Sentiment!I$2:I$37,"",0,1)),_xlfn.XLOOKUP($C1446,Phone_by_Sentiment!$B$2:$B$37,Phone_by_Sentiment!I$2:I$37,"",0,1),0),$A1446-TEXT(DATEVALUE($D1446&amp;"-01"), "dd-mm-yyyy")),0),0)</f>
        <v>498</v>
      </c>
      <c r="J1446" cm="1">
        <f t="array" ref="J1446">IF($Q1446&gt;=0,IFERROR(generateSalesData($D1446, IF(ISNUMBER(_xlfn.XLOOKUP($C1446,Phone_by_Sentiment!$B$2:$B$37,Phone_by_Sentiment!J$2:J$37,"",0,1)),_xlfn.XLOOKUP($C1446,Phone_by_Sentiment!$B$2:$B$37,Phone_by_Sentiment!J$2:J$37,"",0,1),0),$A1446-TEXT(DATEVALUE($D1446&amp;"-01"), "dd-mm-yyyy")),0),0)</f>
        <v>429</v>
      </c>
      <c r="K1446" cm="1">
        <f t="array" ref="K1446">IF($Q1446&gt;=0,IFERROR(generateSalesData($D1446, IF(ISNUMBER(_xlfn.XLOOKUP($C1446,Phone_by_Sentiment!$B$2:$B$37,Phone_by_Sentiment!K$2:K$37,"",0,1)),_xlfn.XLOOKUP($C1446,Phone_by_Sentiment!$B$2:$B$37,Phone_by_Sentiment!K$2:K$37,"",0,1),0),$A1446-TEXT(DATEVALUE($D1446&amp;"-01"), "dd-mm-yyyy")),0),0)</f>
        <v>69</v>
      </c>
      <c r="L1446" cm="1">
        <f t="array" ref="L1446">IF($Q1446&gt;=0,IFERROR(generateSalesData($D1446, IF(ISNUMBER(_xlfn.XLOOKUP($C1446,Phone_by_Sentiment!$B$2:$B$37,Phone_by_Sentiment!L$2:L$37,"",0,1)),_xlfn.XLOOKUP($C1446,Phone_by_Sentiment!$B$2:$B$37,Phone_by_Sentiment!L$2:L$37,"",0,1),0),$A1446-TEXT(DATEVALUE($D1446&amp;"-01"), "dd-mm-yyyy")),0),0)</f>
        <v>622</v>
      </c>
      <c r="M1446" cm="1">
        <f t="array" ref="M1446">IF($Q1446&gt;=0,IFERROR(generateSalesData($D1446, IF(ISNUMBER(_xlfn.XLOOKUP($C1446,Phone_by_Sentiment!$B$2:$B$37,Phone_by_Sentiment!M$2:M$37,"",0,1)),_xlfn.XLOOKUP($C1446,Phone_by_Sentiment!$B$2:$B$37,Phone_by_Sentiment!M$2:M$37,"",0,1),0),$A1446-TEXT(DATEVALUE($D1446&amp;"-01"), "dd-mm-yyyy")),0),0)</f>
        <v>743</v>
      </c>
      <c r="N1446" cm="1">
        <f t="array" ref="N1446">IF($Q1446&gt;=0,IFERROR(generateSalesData($D1446, IF(ISNUMBER(_xlfn.XLOOKUP($C1446,Phone_by_Sentiment!$B$2:$B$37,Phone_by_Sentiment!N$2:N$37,"",0,1)),_xlfn.XLOOKUP($C1446,Phone_by_Sentiment!$B$2:$B$37,Phone_by_Sentiment!N$2:N$37,"",0,1),0),$A1446-TEXT(DATEVALUE($D1446&amp;"-01"), "dd-mm-yyyy")),0),0)</f>
        <v>656</v>
      </c>
      <c r="O1446" cm="1">
        <f t="array" ref="O1446">IF($Q1446&gt;=0,IFERROR(generateSalesData($D1446, IF(ISNUMBER(_xlfn.XLOOKUP($C1446,Phone_by_Sentiment!$B$2:$B$37,Phone_by_Sentiment!O$2:O$37,"",0,1)),_xlfn.XLOOKUP($C1446,Phone_by_Sentiment!$B$2:$B$37,Phone_by_Sentiment!O$2:O$37,"",0,1),0),$A1446-TEXT(DATEVALUE($D1446&amp;"-01"), "dd-mm-yyyy")),0),0)</f>
        <v>476</v>
      </c>
      <c r="P1446" s="1">
        <f t="shared" si="51"/>
        <v>44197</v>
      </c>
      <c r="Q1446">
        <f t="shared" si="57"/>
        <v>516</v>
      </c>
    </row>
    <row r="1447" spans="1:17" x14ac:dyDescent="0.25">
      <c r="A1447" s="1">
        <f t="shared" si="56"/>
        <v>44713</v>
      </c>
      <c r="B1447" t="s">
        <v>155</v>
      </c>
      <c r="C1447" t="str">
        <f>_xlfn.XLOOKUP(B1447,Phone_by_Price!$A$2:$A$34,Phone_by_Price!$B$2:$B$34,"-",0,1)</f>
        <v>Google Pixel 6</v>
      </c>
      <c r="D1447" t="str">
        <f>_xlfn.XLOOKUP(C1447,Phone_by_Sentiment!$B$2:$B$37,Phone_by_Sentiment!$A$2:$A$37,"-",0,1)</f>
        <v>2021-10</v>
      </c>
      <c r="E1447" cm="1">
        <f t="array" ref="E1447">IF($Q1447&gt;=0,IFERROR(generateSalesData($D1447, IF(ISNUMBER(_xlfn.XLOOKUP($C1447,Phone_by_Sentiment!$B$2:$B$37,Phone_by_Sentiment!E$2:E$37,"",0,1)),_xlfn.XLOOKUP($C1447,Phone_by_Sentiment!$B$2:$B$37,Phone_by_Sentiment!E$2:E$37,"",0,1),0),$A1447-TEXT(DATEVALUE($D1447&amp;"-01"), "dd-mm-yyyy")),0),0)</f>
        <v>117</v>
      </c>
      <c r="F1447" cm="1">
        <f t="array" ref="F1447">IF($Q1447&gt;=0,IFERROR(generateSalesData($D1447, IF(ISNUMBER(_xlfn.XLOOKUP($C1447,Phone_by_Sentiment!$B$2:$B$37,Phone_by_Sentiment!F$2:F$37,"",0,1)),_xlfn.XLOOKUP($C1447,Phone_by_Sentiment!$B$2:$B$37,Phone_by_Sentiment!F$2:F$37,"",0,1),0),$A1447-TEXT(DATEVALUE($D1447&amp;"-01"), "dd-mm-yyyy")),0),0)</f>
        <v>117</v>
      </c>
      <c r="G1447" cm="1">
        <f t="array" ref="G1447">IF($Q1447&gt;=0,IFERROR(generateSalesData($D1447, IF(ISNUMBER(_xlfn.XLOOKUP($C1447,Phone_by_Sentiment!$B$2:$B$37,Phone_by_Sentiment!G$2:G$37,"",0,1)),_xlfn.XLOOKUP($C1447,Phone_by_Sentiment!$B$2:$B$37,Phone_by_Sentiment!G$2:G$37,"",0,1),0),$A1447-TEXT(DATEVALUE($D1447&amp;"-01"), "dd-mm-yyyy")),0),0)</f>
        <v>222</v>
      </c>
      <c r="H1447" cm="1">
        <f t="array" ref="H1447">IF($Q1447&gt;=0,IFERROR(generateSalesData($D1447, IF(ISNUMBER(_xlfn.XLOOKUP($C1447,Phone_by_Sentiment!$B$2:$B$37,Phone_by_Sentiment!H$2:H$37,"",0,1)),_xlfn.XLOOKUP($C1447,Phone_by_Sentiment!$B$2:$B$37,Phone_by_Sentiment!H$2:H$37,"",0,1),0),$A1447-TEXT(DATEVALUE($D1447&amp;"-01"), "dd-mm-yyyy")),0),0)</f>
        <v>152</v>
      </c>
      <c r="I1447" cm="1">
        <f t="array" ref="I1447">IF($Q1447&gt;=0,IFERROR(generateSalesData($D1447, IF(ISNUMBER(_xlfn.XLOOKUP($C1447,Phone_by_Sentiment!$B$2:$B$37,Phone_by_Sentiment!I$2:I$37,"",0,1)),_xlfn.XLOOKUP($C1447,Phone_by_Sentiment!$B$2:$B$37,Phone_by_Sentiment!I$2:I$37,"",0,1),0),$A1447-TEXT(DATEVALUE($D1447&amp;"-01"), "dd-mm-yyyy")),0),0)</f>
        <v>174</v>
      </c>
      <c r="J1447" cm="1">
        <f t="array" ref="J1447">IF($Q1447&gt;=0,IFERROR(generateSalesData($D1447, IF(ISNUMBER(_xlfn.XLOOKUP($C1447,Phone_by_Sentiment!$B$2:$B$37,Phone_by_Sentiment!J$2:J$37,"",0,1)),_xlfn.XLOOKUP($C1447,Phone_by_Sentiment!$B$2:$B$37,Phone_by_Sentiment!J$2:J$37,"",0,1),0),$A1447-TEXT(DATEVALUE($D1447&amp;"-01"), "dd-mm-yyyy")),0),0)</f>
        <v>97</v>
      </c>
      <c r="K1447" cm="1">
        <f t="array" ref="K1447">IF($Q1447&gt;=0,IFERROR(generateSalesData($D1447, IF(ISNUMBER(_xlfn.XLOOKUP($C1447,Phone_by_Sentiment!$B$2:$B$37,Phone_by_Sentiment!K$2:K$37,"",0,1)),_xlfn.XLOOKUP($C1447,Phone_by_Sentiment!$B$2:$B$37,Phone_by_Sentiment!K$2:K$37,"",0,1),0),$A1447-TEXT(DATEVALUE($D1447&amp;"-01"), "dd-mm-yyyy")),0),0)</f>
        <v>31</v>
      </c>
      <c r="L1447" cm="1">
        <f t="array" ref="L1447">IF($Q1447&gt;=0,IFERROR(generateSalesData($D1447, IF(ISNUMBER(_xlfn.XLOOKUP($C1447,Phone_by_Sentiment!$B$2:$B$37,Phone_by_Sentiment!L$2:L$37,"",0,1)),_xlfn.XLOOKUP($C1447,Phone_by_Sentiment!$B$2:$B$37,Phone_by_Sentiment!L$2:L$37,"",0,1),0),$A1447-TEXT(DATEVALUE($D1447&amp;"-01"), "dd-mm-yyyy")),0),0)</f>
        <v>91</v>
      </c>
      <c r="M1447" cm="1">
        <f t="array" ref="M1447">IF($Q1447&gt;=0,IFERROR(generateSalesData($D1447, IF(ISNUMBER(_xlfn.XLOOKUP($C1447,Phone_by_Sentiment!$B$2:$B$37,Phone_by_Sentiment!M$2:M$37,"",0,1)),_xlfn.XLOOKUP($C1447,Phone_by_Sentiment!$B$2:$B$37,Phone_by_Sentiment!M$2:M$37,"",0,1),0),$A1447-TEXT(DATEVALUE($D1447&amp;"-01"), "dd-mm-yyyy")),0),0)</f>
        <v>1187</v>
      </c>
      <c r="N1447" cm="1">
        <f t="array" ref="N1447">IF($Q1447&gt;=0,IFERROR(generateSalesData($D1447, IF(ISNUMBER(_xlfn.XLOOKUP($C1447,Phone_by_Sentiment!$B$2:$B$37,Phone_by_Sentiment!N$2:N$37,"",0,1)),_xlfn.XLOOKUP($C1447,Phone_by_Sentiment!$B$2:$B$37,Phone_by_Sentiment!N$2:N$37,"",0,1),0),$A1447-TEXT(DATEVALUE($D1447&amp;"-01"), "dd-mm-yyyy")),0),0)</f>
        <v>215</v>
      </c>
      <c r="O1447" cm="1">
        <f t="array" ref="O1447">IF($Q1447&gt;=0,IFERROR(generateSalesData($D1447, IF(ISNUMBER(_xlfn.XLOOKUP($C1447,Phone_by_Sentiment!$B$2:$B$37,Phone_by_Sentiment!O$2:O$37,"",0,1)),_xlfn.XLOOKUP($C1447,Phone_by_Sentiment!$B$2:$B$37,Phone_by_Sentiment!O$2:O$37,"",0,1),0),$A1447-TEXT(DATEVALUE($D1447&amp;"-01"), "dd-mm-yyyy")),0),0)</f>
        <v>113</v>
      </c>
      <c r="P1447" s="1">
        <f t="shared" si="51"/>
        <v>44470</v>
      </c>
      <c r="Q1447">
        <f t="shared" si="57"/>
        <v>243</v>
      </c>
    </row>
    <row r="1448" spans="1:17" x14ac:dyDescent="0.25">
      <c r="A1448" s="1">
        <f t="shared" si="56"/>
        <v>44713</v>
      </c>
      <c r="B1448" t="s">
        <v>156</v>
      </c>
      <c r="C1448" t="str">
        <f>_xlfn.XLOOKUP(B1448,Phone_by_Price!$A$2:$A$34,Phone_by_Price!$B$2:$B$34,"-",0,1)</f>
        <v>OnePlus Nord CE</v>
      </c>
      <c r="D1448" t="str">
        <f>_xlfn.XLOOKUP(C1448,Phone_by_Sentiment!$B$2:$B$37,Phone_by_Sentiment!$A$2:$A$37,"-",0,1)</f>
        <v>2021-06</v>
      </c>
      <c r="E1448" cm="1">
        <f t="array" ref="E1448">IF($Q1448&gt;=0,IFERROR(generateSalesData($D1448, IF(ISNUMBER(_xlfn.XLOOKUP($C1448,Phone_by_Sentiment!$B$2:$B$37,Phone_by_Sentiment!E$2:E$37,"",0,1)),_xlfn.XLOOKUP($C1448,Phone_by_Sentiment!$B$2:$B$37,Phone_by_Sentiment!E$2:E$37,"",0,1),0),$A1448-TEXT(DATEVALUE($D1448&amp;"-01"), "dd-mm-yyyy")),0),0)</f>
        <v>162</v>
      </c>
      <c r="F1448" cm="1">
        <f t="array" ref="F1448">IF($Q1448&gt;=0,IFERROR(generateSalesData($D1448, IF(ISNUMBER(_xlfn.XLOOKUP($C1448,Phone_by_Sentiment!$B$2:$B$37,Phone_by_Sentiment!F$2:F$37,"",0,1)),_xlfn.XLOOKUP($C1448,Phone_by_Sentiment!$B$2:$B$37,Phone_by_Sentiment!F$2:F$37,"",0,1),0),$A1448-TEXT(DATEVALUE($D1448&amp;"-01"), "dd-mm-yyyy")),0),0)</f>
        <v>62</v>
      </c>
      <c r="G1448" cm="1">
        <f t="array" ref="G1448">IF($Q1448&gt;=0,IFERROR(generateSalesData($D1448, IF(ISNUMBER(_xlfn.XLOOKUP($C1448,Phone_by_Sentiment!$B$2:$B$37,Phone_by_Sentiment!G$2:G$37,"",0,1)),_xlfn.XLOOKUP($C1448,Phone_by_Sentiment!$B$2:$B$37,Phone_by_Sentiment!G$2:G$37,"",0,1),0),$A1448-TEXT(DATEVALUE($D1448&amp;"-01"), "dd-mm-yyyy")),0),0)</f>
        <v>91</v>
      </c>
      <c r="H1448" cm="1">
        <f t="array" ref="H1448">IF($Q1448&gt;=0,IFERROR(generateSalesData($D1448, IF(ISNUMBER(_xlfn.XLOOKUP($C1448,Phone_by_Sentiment!$B$2:$B$37,Phone_by_Sentiment!H$2:H$37,"",0,1)),_xlfn.XLOOKUP($C1448,Phone_by_Sentiment!$B$2:$B$37,Phone_by_Sentiment!H$2:H$37,"",0,1),0),$A1448-TEXT(DATEVALUE($D1448&amp;"-01"), "dd-mm-yyyy")),0),0)</f>
        <v>585</v>
      </c>
      <c r="I1448" cm="1">
        <f t="array" ref="I1448">IF($Q1448&gt;=0,IFERROR(generateSalesData($D1448, IF(ISNUMBER(_xlfn.XLOOKUP($C1448,Phone_by_Sentiment!$B$2:$B$37,Phone_by_Sentiment!I$2:I$37,"",0,1)),_xlfn.XLOOKUP($C1448,Phone_by_Sentiment!$B$2:$B$37,Phone_by_Sentiment!I$2:I$37,"",0,1),0),$A1448-TEXT(DATEVALUE($D1448&amp;"-01"), "dd-mm-yyyy")),0),0)</f>
        <v>37</v>
      </c>
      <c r="J1448" cm="1">
        <f t="array" ref="J1448">IF($Q1448&gt;=0,IFERROR(generateSalesData($D1448, IF(ISNUMBER(_xlfn.XLOOKUP($C1448,Phone_by_Sentiment!$B$2:$B$37,Phone_by_Sentiment!J$2:J$37,"",0,1)),_xlfn.XLOOKUP($C1448,Phone_by_Sentiment!$B$2:$B$37,Phone_by_Sentiment!J$2:J$37,"",0,1),0),$A1448-TEXT(DATEVALUE($D1448&amp;"-01"), "dd-mm-yyyy")),0),0)</f>
        <v>140</v>
      </c>
      <c r="K1448" cm="1">
        <f t="array" ref="K1448">IF($Q1448&gt;=0,IFERROR(generateSalesData($D1448, IF(ISNUMBER(_xlfn.XLOOKUP($C1448,Phone_by_Sentiment!$B$2:$B$37,Phone_by_Sentiment!K$2:K$37,"",0,1)),_xlfn.XLOOKUP($C1448,Phone_by_Sentiment!$B$2:$B$37,Phone_by_Sentiment!K$2:K$37,"",0,1),0),$A1448-TEXT(DATEVALUE($D1448&amp;"-01"), "dd-mm-yyyy")),0),0)</f>
        <v>104</v>
      </c>
      <c r="L1448" cm="1">
        <f t="array" ref="L1448">IF($Q1448&gt;=0,IFERROR(generateSalesData($D1448, IF(ISNUMBER(_xlfn.XLOOKUP($C1448,Phone_by_Sentiment!$B$2:$B$37,Phone_by_Sentiment!L$2:L$37,"",0,1)),_xlfn.XLOOKUP($C1448,Phone_by_Sentiment!$B$2:$B$37,Phone_by_Sentiment!L$2:L$37,"",0,1),0),$A1448-TEXT(DATEVALUE($D1448&amp;"-01"), "dd-mm-yyyy")),0),0)</f>
        <v>83</v>
      </c>
      <c r="M1448" cm="1">
        <f t="array" ref="M1448">IF($Q1448&gt;=0,IFERROR(generateSalesData($D1448, IF(ISNUMBER(_xlfn.XLOOKUP($C1448,Phone_by_Sentiment!$B$2:$B$37,Phone_by_Sentiment!M$2:M$37,"",0,1)),_xlfn.XLOOKUP($C1448,Phone_by_Sentiment!$B$2:$B$37,Phone_by_Sentiment!M$2:M$37,"",0,1),0),$A1448-TEXT(DATEVALUE($D1448&amp;"-01"), "dd-mm-yyyy")),0),0)</f>
        <v>112</v>
      </c>
      <c r="N1448" cm="1">
        <f t="array" ref="N1448">IF($Q1448&gt;=0,IFERROR(generateSalesData($D1448, IF(ISNUMBER(_xlfn.XLOOKUP($C1448,Phone_by_Sentiment!$B$2:$B$37,Phone_by_Sentiment!N$2:N$37,"",0,1)),_xlfn.XLOOKUP($C1448,Phone_by_Sentiment!$B$2:$B$37,Phone_by_Sentiment!N$2:N$37,"",0,1),0),$A1448-TEXT(DATEVALUE($D1448&amp;"-01"), "dd-mm-yyyy")),0),0)</f>
        <v>1012</v>
      </c>
      <c r="O1448" cm="1">
        <f t="array" ref="O1448">IF($Q1448&gt;=0,IFERROR(generateSalesData($D1448, IF(ISNUMBER(_xlfn.XLOOKUP($C1448,Phone_by_Sentiment!$B$2:$B$37,Phone_by_Sentiment!O$2:O$37,"",0,1)),_xlfn.XLOOKUP($C1448,Phone_by_Sentiment!$B$2:$B$37,Phone_by_Sentiment!O$2:O$37,"",0,1),0),$A1448-TEXT(DATEVALUE($D1448&amp;"-01"), "dd-mm-yyyy")),0),0)</f>
        <v>167</v>
      </c>
      <c r="P1448" s="1">
        <f t="shared" si="51"/>
        <v>44348</v>
      </c>
      <c r="Q1448">
        <f t="shared" si="57"/>
        <v>365</v>
      </c>
    </row>
    <row r="1449" spans="1:17" x14ac:dyDescent="0.25">
      <c r="A1449" s="1">
        <f t="shared" si="56"/>
        <v>44713</v>
      </c>
      <c r="B1449" t="s">
        <v>157</v>
      </c>
      <c r="C1449" t="str">
        <f>_xlfn.XLOOKUP(B1449,Phone_by_Price!$A$2:$A$34,Phone_by_Price!$B$2:$B$34,"-",0,1)</f>
        <v>Apple iPhone 13 Pro</v>
      </c>
      <c r="D1449" t="str">
        <f>_xlfn.XLOOKUP(C1449,Phone_by_Sentiment!$B$2:$B$37,Phone_by_Sentiment!$A$2:$A$37,"-",0,1)</f>
        <v>2021-09</v>
      </c>
      <c r="E1449" cm="1">
        <f t="array" ref="E1449">IF($Q1449&gt;=0,IFERROR(generateSalesData($D1449, IF(ISNUMBER(_xlfn.XLOOKUP($C1449,Phone_by_Sentiment!$B$2:$B$37,Phone_by_Sentiment!E$2:E$37,"",0,1)),_xlfn.XLOOKUP($C1449,Phone_by_Sentiment!$B$2:$B$37,Phone_by_Sentiment!E$2:E$37,"",0,1),0),$A1449-TEXT(DATEVALUE($D1449&amp;"-01"), "dd-mm-yyyy")),0),0)</f>
        <v>1123</v>
      </c>
      <c r="F1449" cm="1">
        <f t="array" ref="F1449">IF($Q1449&gt;=0,IFERROR(generateSalesData($D1449, IF(ISNUMBER(_xlfn.XLOOKUP($C1449,Phone_by_Sentiment!$B$2:$B$37,Phone_by_Sentiment!F$2:F$37,"",0,1)),_xlfn.XLOOKUP($C1449,Phone_by_Sentiment!$B$2:$B$37,Phone_by_Sentiment!F$2:F$37,"",0,1),0),$A1449-TEXT(DATEVALUE($D1449&amp;"-01"), "dd-mm-yyyy")),0),0)</f>
        <v>1104</v>
      </c>
      <c r="G1449" cm="1">
        <f t="array" ref="G1449">IF($Q1449&gt;=0,IFERROR(generateSalesData($D1449, IF(ISNUMBER(_xlfn.XLOOKUP($C1449,Phone_by_Sentiment!$B$2:$B$37,Phone_by_Sentiment!G$2:G$37,"",0,1)),_xlfn.XLOOKUP($C1449,Phone_by_Sentiment!$B$2:$B$37,Phone_by_Sentiment!G$2:G$37,"",0,1),0),$A1449-TEXT(DATEVALUE($D1449&amp;"-01"), "dd-mm-yyyy")),0),0)</f>
        <v>278</v>
      </c>
      <c r="H1449" cm="1">
        <f t="array" ref="H1449">IF($Q1449&gt;=0,IFERROR(generateSalesData($D1449, IF(ISNUMBER(_xlfn.XLOOKUP($C1449,Phone_by_Sentiment!$B$2:$B$37,Phone_by_Sentiment!H$2:H$37,"",0,1)),_xlfn.XLOOKUP($C1449,Phone_by_Sentiment!$B$2:$B$37,Phone_by_Sentiment!H$2:H$37,"",0,1),0),$A1449-TEXT(DATEVALUE($D1449&amp;"-01"), "dd-mm-yyyy")),0),0)</f>
        <v>469</v>
      </c>
      <c r="I1449" cm="1">
        <f t="array" ref="I1449">IF($Q1449&gt;=0,IFERROR(generateSalesData($D1449, IF(ISNUMBER(_xlfn.XLOOKUP($C1449,Phone_by_Sentiment!$B$2:$B$37,Phone_by_Sentiment!I$2:I$37,"",0,1)),_xlfn.XLOOKUP($C1449,Phone_by_Sentiment!$B$2:$B$37,Phone_by_Sentiment!I$2:I$37,"",0,1),0),$A1449-TEXT(DATEVALUE($D1449&amp;"-01"), "dd-mm-yyyy")),0),0)</f>
        <v>286</v>
      </c>
      <c r="J1449" cm="1">
        <f t="array" ref="J1449">IF($Q1449&gt;=0,IFERROR(generateSalesData($D1449, IF(ISNUMBER(_xlfn.XLOOKUP($C1449,Phone_by_Sentiment!$B$2:$B$37,Phone_by_Sentiment!J$2:J$37,"",0,1)),_xlfn.XLOOKUP($C1449,Phone_by_Sentiment!$B$2:$B$37,Phone_by_Sentiment!J$2:J$37,"",0,1),0),$A1449-TEXT(DATEVALUE($D1449&amp;"-01"), "dd-mm-yyyy")),0),0)</f>
        <v>831</v>
      </c>
      <c r="K1449" cm="1">
        <f t="array" ref="K1449">IF($Q1449&gt;=0,IFERROR(generateSalesData($D1449, IF(ISNUMBER(_xlfn.XLOOKUP($C1449,Phone_by_Sentiment!$B$2:$B$37,Phone_by_Sentiment!K$2:K$37,"",0,1)),_xlfn.XLOOKUP($C1449,Phone_by_Sentiment!$B$2:$B$37,Phone_by_Sentiment!K$2:K$37,"",0,1),0),$A1449-TEXT(DATEVALUE($D1449&amp;"-01"), "dd-mm-yyyy")),0),0)</f>
        <v>1179</v>
      </c>
      <c r="L1449" cm="1">
        <f t="array" ref="L1449">IF($Q1449&gt;=0,IFERROR(generateSalesData($D1449, IF(ISNUMBER(_xlfn.XLOOKUP($C1449,Phone_by_Sentiment!$B$2:$B$37,Phone_by_Sentiment!L$2:L$37,"",0,1)),_xlfn.XLOOKUP($C1449,Phone_by_Sentiment!$B$2:$B$37,Phone_by_Sentiment!L$2:L$37,"",0,1),0),$A1449-TEXT(DATEVALUE($D1449&amp;"-01"), "dd-mm-yyyy")),0),0)</f>
        <v>421</v>
      </c>
      <c r="M1449" cm="1">
        <f t="array" ref="M1449">IF($Q1449&gt;=0,IFERROR(generateSalesData($D1449, IF(ISNUMBER(_xlfn.XLOOKUP($C1449,Phone_by_Sentiment!$B$2:$B$37,Phone_by_Sentiment!M$2:M$37,"",0,1)),_xlfn.XLOOKUP($C1449,Phone_by_Sentiment!$B$2:$B$37,Phone_by_Sentiment!M$2:M$37,"",0,1),0),$A1449-TEXT(DATEVALUE($D1449&amp;"-01"), "dd-mm-yyyy")),0),0)</f>
        <v>1844</v>
      </c>
      <c r="N1449" cm="1">
        <f t="array" ref="N1449">IF($Q1449&gt;=0,IFERROR(generateSalesData($D1449, IF(ISNUMBER(_xlfn.XLOOKUP($C1449,Phone_by_Sentiment!$B$2:$B$37,Phone_by_Sentiment!N$2:N$37,"",0,1)),_xlfn.XLOOKUP($C1449,Phone_by_Sentiment!$B$2:$B$37,Phone_by_Sentiment!N$2:N$37,"",0,1),0),$A1449-TEXT(DATEVALUE($D1449&amp;"-01"), "dd-mm-yyyy")),0),0)</f>
        <v>494</v>
      </c>
      <c r="O1449" cm="1">
        <f t="array" ref="O1449">IF($Q1449&gt;=0,IFERROR(generateSalesData($D1449, IF(ISNUMBER(_xlfn.XLOOKUP($C1449,Phone_by_Sentiment!$B$2:$B$37,Phone_by_Sentiment!O$2:O$37,"",0,1)),_xlfn.XLOOKUP($C1449,Phone_by_Sentiment!$B$2:$B$37,Phone_by_Sentiment!O$2:O$37,"",0,1),0),$A1449-TEXT(DATEVALUE($D1449&amp;"-01"), "dd-mm-yyyy")),0),0)</f>
        <v>89</v>
      </c>
      <c r="P1449" s="1">
        <f t="shared" si="51"/>
        <v>44440</v>
      </c>
      <c r="Q1449">
        <f t="shared" si="57"/>
        <v>273</v>
      </c>
    </row>
    <row r="1450" spans="1:17" x14ac:dyDescent="0.25">
      <c r="A1450" s="1">
        <f t="shared" si="56"/>
        <v>44713</v>
      </c>
      <c r="B1450" t="s">
        <v>158</v>
      </c>
      <c r="C1450" t="str">
        <f>_xlfn.XLOOKUP(B1450,Phone_by_Price!$A$2:$A$34,Phone_by_Price!$B$2:$B$34,"-",0,1)</f>
        <v>Samsung Galaxy A32 5G</v>
      </c>
      <c r="D1450" t="str">
        <f>_xlfn.XLOOKUP(C1450,Phone_by_Sentiment!$B$2:$B$37,Phone_by_Sentiment!$A$2:$A$37,"-",0,1)</f>
        <v>2021-02</v>
      </c>
      <c r="E1450" cm="1">
        <f t="array" ref="E1450">IF($Q1450&gt;=0,IFERROR(generateSalesData($D1450, IF(ISNUMBER(_xlfn.XLOOKUP($C1450,Phone_by_Sentiment!$B$2:$B$37,Phone_by_Sentiment!E$2:E$37,"",0,1)),_xlfn.XLOOKUP($C1450,Phone_by_Sentiment!$B$2:$B$37,Phone_by_Sentiment!E$2:E$37,"",0,1),0),$A1450-TEXT(DATEVALUE($D1450&amp;"-01"), "dd-mm-yyyy")),0),0)</f>
        <v>699</v>
      </c>
      <c r="F1450" cm="1">
        <f t="array" ref="F1450">IF($Q1450&gt;=0,IFERROR(generateSalesData($D1450, IF(ISNUMBER(_xlfn.XLOOKUP($C1450,Phone_by_Sentiment!$B$2:$B$37,Phone_by_Sentiment!F$2:F$37,"",0,1)),_xlfn.XLOOKUP($C1450,Phone_by_Sentiment!$B$2:$B$37,Phone_by_Sentiment!F$2:F$37,"",0,1),0),$A1450-TEXT(DATEVALUE($D1450&amp;"-01"), "dd-mm-yyyy")),0),0)</f>
        <v>290</v>
      </c>
      <c r="G1450" cm="1">
        <f t="array" ref="G1450">IF($Q1450&gt;=0,IFERROR(generateSalesData($D1450, IF(ISNUMBER(_xlfn.XLOOKUP($C1450,Phone_by_Sentiment!$B$2:$B$37,Phone_by_Sentiment!G$2:G$37,"",0,1)),_xlfn.XLOOKUP($C1450,Phone_by_Sentiment!$B$2:$B$37,Phone_by_Sentiment!G$2:G$37,"",0,1),0),$A1450-TEXT(DATEVALUE($D1450&amp;"-01"), "dd-mm-yyyy")),0),0)</f>
        <v>110</v>
      </c>
      <c r="H1450" cm="1">
        <f t="array" ref="H1450">IF($Q1450&gt;=0,IFERROR(generateSalesData($D1450, IF(ISNUMBER(_xlfn.XLOOKUP($C1450,Phone_by_Sentiment!$B$2:$B$37,Phone_by_Sentiment!H$2:H$37,"",0,1)),_xlfn.XLOOKUP($C1450,Phone_by_Sentiment!$B$2:$B$37,Phone_by_Sentiment!H$2:H$37,"",0,1),0),$A1450-TEXT(DATEVALUE($D1450&amp;"-01"), "dd-mm-yyyy")),0),0)</f>
        <v>565</v>
      </c>
      <c r="I1450" cm="1">
        <f t="array" ref="I1450">IF($Q1450&gt;=0,IFERROR(generateSalesData($D1450, IF(ISNUMBER(_xlfn.XLOOKUP($C1450,Phone_by_Sentiment!$B$2:$B$37,Phone_by_Sentiment!I$2:I$37,"",0,1)),_xlfn.XLOOKUP($C1450,Phone_by_Sentiment!$B$2:$B$37,Phone_by_Sentiment!I$2:I$37,"",0,1),0),$A1450-TEXT(DATEVALUE($D1450&amp;"-01"), "dd-mm-yyyy")),0),0)</f>
        <v>506</v>
      </c>
      <c r="J1450" cm="1">
        <f t="array" ref="J1450">IF($Q1450&gt;=0,IFERROR(generateSalesData($D1450, IF(ISNUMBER(_xlfn.XLOOKUP($C1450,Phone_by_Sentiment!$B$2:$B$37,Phone_by_Sentiment!J$2:J$37,"",0,1)),_xlfn.XLOOKUP($C1450,Phone_by_Sentiment!$B$2:$B$37,Phone_by_Sentiment!J$2:J$37,"",0,1),0),$A1450-TEXT(DATEVALUE($D1450&amp;"-01"), "dd-mm-yyyy")),0),0)</f>
        <v>194</v>
      </c>
      <c r="K1450" cm="1">
        <f t="array" ref="K1450">IF($Q1450&gt;=0,IFERROR(generateSalesData($D1450, IF(ISNUMBER(_xlfn.XLOOKUP($C1450,Phone_by_Sentiment!$B$2:$B$37,Phone_by_Sentiment!K$2:K$37,"",0,1)),_xlfn.XLOOKUP($C1450,Phone_by_Sentiment!$B$2:$B$37,Phone_by_Sentiment!K$2:K$37,"",0,1),0),$A1450-TEXT(DATEVALUE($D1450&amp;"-01"), "dd-mm-yyyy")),0),0)</f>
        <v>750</v>
      </c>
      <c r="L1450" cm="1">
        <f t="array" ref="L1450">IF($Q1450&gt;=0,IFERROR(generateSalesData($D1450, IF(ISNUMBER(_xlfn.XLOOKUP($C1450,Phone_by_Sentiment!$B$2:$B$37,Phone_by_Sentiment!L$2:L$37,"",0,1)),_xlfn.XLOOKUP($C1450,Phone_by_Sentiment!$B$2:$B$37,Phone_by_Sentiment!L$2:L$37,"",0,1),0),$A1450-TEXT(DATEVALUE($D1450&amp;"-01"), "dd-mm-yyyy")),0),0)</f>
        <v>509</v>
      </c>
      <c r="M1450" cm="1">
        <f t="array" ref="M1450">IF($Q1450&gt;=0,IFERROR(generateSalesData($D1450, IF(ISNUMBER(_xlfn.XLOOKUP($C1450,Phone_by_Sentiment!$B$2:$B$37,Phone_by_Sentiment!M$2:M$37,"",0,1)),_xlfn.XLOOKUP($C1450,Phone_by_Sentiment!$B$2:$B$37,Phone_by_Sentiment!M$2:M$37,"",0,1),0),$A1450-TEXT(DATEVALUE($D1450&amp;"-01"), "dd-mm-yyyy")),0),0)</f>
        <v>639</v>
      </c>
      <c r="N1450" cm="1">
        <f t="array" ref="N1450">IF($Q1450&gt;=0,IFERROR(generateSalesData($D1450, IF(ISNUMBER(_xlfn.XLOOKUP($C1450,Phone_by_Sentiment!$B$2:$B$37,Phone_by_Sentiment!N$2:N$37,"",0,1)),_xlfn.XLOOKUP($C1450,Phone_by_Sentiment!$B$2:$B$37,Phone_by_Sentiment!N$2:N$37,"",0,1),0),$A1450-TEXT(DATEVALUE($D1450&amp;"-01"), "dd-mm-yyyy")),0),0)</f>
        <v>524</v>
      </c>
      <c r="O1450" cm="1">
        <f t="array" ref="O1450">IF($Q1450&gt;=0,IFERROR(generateSalesData($D1450, IF(ISNUMBER(_xlfn.XLOOKUP($C1450,Phone_by_Sentiment!$B$2:$B$37,Phone_by_Sentiment!O$2:O$37,"",0,1)),_xlfn.XLOOKUP($C1450,Phone_by_Sentiment!$B$2:$B$37,Phone_by_Sentiment!O$2:O$37,"",0,1),0),$A1450-TEXT(DATEVALUE($D1450&amp;"-01"), "dd-mm-yyyy")),0),0)</f>
        <v>113</v>
      </c>
      <c r="P1450" s="1">
        <f t="shared" si="51"/>
        <v>44228</v>
      </c>
      <c r="Q1450">
        <f t="shared" si="57"/>
        <v>485</v>
      </c>
    </row>
    <row r="1451" spans="1:17" x14ac:dyDescent="0.25">
      <c r="A1451" s="1">
        <f t="shared" si="56"/>
        <v>44713</v>
      </c>
      <c r="B1451" t="s">
        <v>159</v>
      </c>
      <c r="C1451" t="str">
        <f>_xlfn.XLOOKUP(B1451,Phone_by_Price!$A$2:$A$34,Phone_by_Price!$B$2:$B$34,"-",0,1)</f>
        <v>Realme C25</v>
      </c>
      <c r="D1451" t="str">
        <f>_xlfn.XLOOKUP(C1451,Phone_by_Sentiment!$B$2:$B$37,Phone_by_Sentiment!$A$2:$A$37,"-",0,1)</f>
        <v>2021-03</v>
      </c>
      <c r="E1451" cm="1">
        <f t="array" ref="E1451">IF($Q1451&gt;=0,IFERROR(generateSalesData($D1451, IF(ISNUMBER(_xlfn.XLOOKUP($C1451,Phone_by_Sentiment!$B$2:$B$37,Phone_by_Sentiment!E$2:E$37,"",0,1)),_xlfn.XLOOKUP($C1451,Phone_by_Sentiment!$B$2:$B$37,Phone_by_Sentiment!E$2:E$37,"",0,1),0),$A1451-TEXT(DATEVALUE($D1451&amp;"-01"), "dd-mm-yyyy")),0),0)</f>
        <v>163</v>
      </c>
      <c r="F1451" cm="1">
        <f t="array" ref="F1451">IF($Q1451&gt;=0,IFERROR(generateSalesData($D1451, IF(ISNUMBER(_xlfn.XLOOKUP($C1451,Phone_by_Sentiment!$B$2:$B$37,Phone_by_Sentiment!F$2:F$37,"",0,1)),_xlfn.XLOOKUP($C1451,Phone_by_Sentiment!$B$2:$B$37,Phone_by_Sentiment!F$2:F$37,"",0,1),0),$A1451-TEXT(DATEVALUE($D1451&amp;"-01"), "dd-mm-yyyy")),0),0)</f>
        <v>381</v>
      </c>
      <c r="G1451" cm="1">
        <f t="array" ref="G1451">IF($Q1451&gt;=0,IFERROR(generateSalesData($D1451, IF(ISNUMBER(_xlfn.XLOOKUP($C1451,Phone_by_Sentiment!$B$2:$B$37,Phone_by_Sentiment!G$2:G$37,"",0,1)),_xlfn.XLOOKUP($C1451,Phone_by_Sentiment!$B$2:$B$37,Phone_by_Sentiment!G$2:G$37,"",0,1),0),$A1451-TEXT(DATEVALUE($D1451&amp;"-01"), "dd-mm-yyyy")),0),0)</f>
        <v>188</v>
      </c>
      <c r="H1451" cm="1">
        <f t="array" ref="H1451">IF($Q1451&gt;=0,IFERROR(generateSalesData($D1451, IF(ISNUMBER(_xlfn.XLOOKUP($C1451,Phone_by_Sentiment!$B$2:$B$37,Phone_by_Sentiment!H$2:H$37,"",0,1)),_xlfn.XLOOKUP($C1451,Phone_by_Sentiment!$B$2:$B$37,Phone_by_Sentiment!H$2:H$37,"",0,1),0),$A1451-TEXT(DATEVALUE($D1451&amp;"-01"), "dd-mm-yyyy")),0),0)</f>
        <v>776</v>
      </c>
      <c r="I1451" cm="1">
        <f t="array" ref="I1451">IF($Q1451&gt;=0,IFERROR(generateSalesData($D1451, IF(ISNUMBER(_xlfn.XLOOKUP($C1451,Phone_by_Sentiment!$B$2:$B$37,Phone_by_Sentiment!I$2:I$37,"",0,1)),_xlfn.XLOOKUP($C1451,Phone_by_Sentiment!$B$2:$B$37,Phone_by_Sentiment!I$2:I$37,"",0,1),0),$A1451-TEXT(DATEVALUE($D1451&amp;"-01"), "dd-mm-yyyy")),0),0)</f>
        <v>714</v>
      </c>
      <c r="J1451" cm="1">
        <f t="array" ref="J1451">IF($Q1451&gt;=0,IFERROR(generateSalesData($D1451, IF(ISNUMBER(_xlfn.XLOOKUP($C1451,Phone_by_Sentiment!$B$2:$B$37,Phone_by_Sentiment!J$2:J$37,"",0,1)),_xlfn.XLOOKUP($C1451,Phone_by_Sentiment!$B$2:$B$37,Phone_by_Sentiment!J$2:J$37,"",0,1),0),$A1451-TEXT(DATEVALUE($D1451&amp;"-01"), "dd-mm-yyyy")),0),0)</f>
        <v>136</v>
      </c>
      <c r="K1451" cm="1">
        <f t="array" ref="K1451">IF($Q1451&gt;=0,IFERROR(generateSalesData($D1451, IF(ISNUMBER(_xlfn.XLOOKUP($C1451,Phone_by_Sentiment!$B$2:$B$37,Phone_by_Sentiment!K$2:K$37,"",0,1)),_xlfn.XLOOKUP($C1451,Phone_by_Sentiment!$B$2:$B$37,Phone_by_Sentiment!K$2:K$37,"",0,1),0),$A1451-TEXT(DATEVALUE($D1451&amp;"-01"), "dd-mm-yyyy")),0),0)</f>
        <v>353</v>
      </c>
      <c r="L1451" cm="1">
        <f t="array" ref="L1451">IF($Q1451&gt;=0,IFERROR(generateSalesData($D1451, IF(ISNUMBER(_xlfn.XLOOKUP($C1451,Phone_by_Sentiment!$B$2:$B$37,Phone_by_Sentiment!L$2:L$37,"",0,1)),_xlfn.XLOOKUP($C1451,Phone_by_Sentiment!$B$2:$B$37,Phone_by_Sentiment!L$2:L$37,"",0,1),0),$A1451-TEXT(DATEVALUE($D1451&amp;"-01"), "dd-mm-yyyy")),0),0)</f>
        <v>665</v>
      </c>
      <c r="M1451" cm="1">
        <f t="array" ref="M1451">IF($Q1451&gt;=0,IFERROR(generateSalesData($D1451, IF(ISNUMBER(_xlfn.XLOOKUP($C1451,Phone_by_Sentiment!$B$2:$B$37,Phone_by_Sentiment!M$2:M$37,"",0,1)),_xlfn.XLOOKUP($C1451,Phone_by_Sentiment!$B$2:$B$37,Phone_by_Sentiment!M$2:M$37,"",0,1),0),$A1451-TEXT(DATEVALUE($D1451&amp;"-01"), "dd-mm-yyyy")),0),0)</f>
        <v>191</v>
      </c>
      <c r="N1451" cm="1">
        <f t="array" ref="N1451">IF($Q1451&gt;=0,IFERROR(generateSalesData($D1451, IF(ISNUMBER(_xlfn.XLOOKUP($C1451,Phone_by_Sentiment!$B$2:$B$37,Phone_by_Sentiment!N$2:N$37,"",0,1)),_xlfn.XLOOKUP($C1451,Phone_by_Sentiment!$B$2:$B$37,Phone_by_Sentiment!N$2:N$37,"",0,1),0),$A1451-TEXT(DATEVALUE($D1451&amp;"-01"), "dd-mm-yyyy")),0),0)</f>
        <v>602</v>
      </c>
      <c r="O1451" cm="1">
        <f t="array" ref="O1451">IF($Q1451&gt;=0,IFERROR(generateSalesData($D1451, IF(ISNUMBER(_xlfn.XLOOKUP($C1451,Phone_by_Sentiment!$B$2:$B$37,Phone_by_Sentiment!O$2:O$37,"",0,1)),_xlfn.XLOOKUP($C1451,Phone_by_Sentiment!$B$2:$B$37,Phone_by_Sentiment!O$2:O$37,"",0,1),0),$A1451-TEXT(DATEVALUE($D1451&amp;"-01"), "dd-mm-yyyy")),0),0)</f>
        <v>47</v>
      </c>
      <c r="P1451" s="1">
        <f t="shared" si="51"/>
        <v>44256</v>
      </c>
      <c r="Q1451">
        <f t="shared" si="57"/>
        <v>457</v>
      </c>
    </row>
    <row r="1452" spans="1:17" x14ac:dyDescent="0.25">
      <c r="A1452" s="1">
        <f t="shared" si="56"/>
        <v>44713</v>
      </c>
      <c r="B1452" t="s">
        <v>160</v>
      </c>
      <c r="C1452" t="str">
        <f>_xlfn.XLOOKUP(B1452,Phone_by_Price!$A$2:$A$34,Phone_by_Price!$B$2:$B$34,"-",0,1)</f>
        <v>Xiaomi Poco X3 Pro</v>
      </c>
      <c r="D1452" t="str">
        <f>_xlfn.XLOOKUP(C1452,Phone_by_Sentiment!$B$2:$B$37,Phone_by_Sentiment!$A$2:$A$37,"-",0,1)</f>
        <v>2021-05</v>
      </c>
      <c r="E1452" cm="1">
        <f t="array" ref="E1452">IF($Q1452&gt;=0,IFERROR(generateSalesData($D1452, IF(ISNUMBER(_xlfn.XLOOKUP($C1452,Phone_by_Sentiment!$B$2:$B$37,Phone_by_Sentiment!E$2:E$37,"",0,1)),_xlfn.XLOOKUP($C1452,Phone_by_Sentiment!$B$2:$B$37,Phone_by_Sentiment!E$2:E$37,"",0,1),0),$A1452-TEXT(DATEVALUE($D1452&amp;"-01"), "dd-mm-yyyy")),0),0)</f>
        <v>279</v>
      </c>
      <c r="F1452" cm="1">
        <f t="array" ref="F1452">IF($Q1452&gt;=0,IFERROR(generateSalesData($D1452, IF(ISNUMBER(_xlfn.XLOOKUP($C1452,Phone_by_Sentiment!$B$2:$B$37,Phone_by_Sentiment!F$2:F$37,"",0,1)),_xlfn.XLOOKUP($C1452,Phone_by_Sentiment!$B$2:$B$37,Phone_by_Sentiment!F$2:F$37,"",0,1),0),$A1452-TEXT(DATEVALUE($D1452&amp;"-01"), "dd-mm-yyyy")),0),0)</f>
        <v>335</v>
      </c>
      <c r="G1452" cm="1">
        <f t="array" ref="G1452">IF($Q1452&gt;=0,IFERROR(generateSalesData($D1452, IF(ISNUMBER(_xlfn.XLOOKUP($C1452,Phone_by_Sentiment!$B$2:$B$37,Phone_by_Sentiment!G$2:G$37,"",0,1)),_xlfn.XLOOKUP($C1452,Phone_by_Sentiment!$B$2:$B$37,Phone_by_Sentiment!G$2:G$37,"",0,1),0),$A1452-TEXT(DATEVALUE($D1452&amp;"-01"), "dd-mm-yyyy")),0),0)</f>
        <v>153</v>
      </c>
      <c r="H1452" cm="1">
        <f t="array" ref="H1452">IF($Q1452&gt;=0,IFERROR(generateSalesData($D1452, IF(ISNUMBER(_xlfn.XLOOKUP($C1452,Phone_by_Sentiment!$B$2:$B$37,Phone_by_Sentiment!H$2:H$37,"",0,1)),_xlfn.XLOOKUP($C1452,Phone_by_Sentiment!$B$2:$B$37,Phone_by_Sentiment!H$2:H$37,"",0,1),0),$A1452-TEXT(DATEVALUE($D1452&amp;"-01"), "dd-mm-yyyy")),0),0)</f>
        <v>457</v>
      </c>
      <c r="I1452" cm="1">
        <f t="array" ref="I1452">IF($Q1452&gt;=0,IFERROR(generateSalesData($D1452, IF(ISNUMBER(_xlfn.XLOOKUP($C1452,Phone_by_Sentiment!$B$2:$B$37,Phone_by_Sentiment!I$2:I$37,"",0,1)),_xlfn.XLOOKUP($C1452,Phone_by_Sentiment!$B$2:$B$37,Phone_by_Sentiment!I$2:I$37,"",0,1),0),$A1452-TEXT(DATEVALUE($D1452&amp;"-01"), "dd-mm-yyyy")),0),0)</f>
        <v>665</v>
      </c>
      <c r="J1452" cm="1">
        <f t="array" ref="J1452">IF($Q1452&gt;=0,IFERROR(generateSalesData($D1452, IF(ISNUMBER(_xlfn.XLOOKUP($C1452,Phone_by_Sentiment!$B$2:$B$37,Phone_by_Sentiment!J$2:J$37,"",0,1)),_xlfn.XLOOKUP($C1452,Phone_by_Sentiment!$B$2:$B$37,Phone_by_Sentiment!J$2:J$37,"",0,1),0),$A1452-TEXT(DATEVALUE($D1452&amp;"-01"), "dd-mm-yyyy")),0),0)</f>
        <v>147</v>
      </c>
      <c r="K1452" cm="1">
        <f t="array" ref="K1452">IF($Q1452&gt;=0,IFERROR(generateSalesData($D1452, IF(ISNUMBER(_xlfn.XLOOKUP($C1452,Phone_by_Sentiment!$B$2:$B$37,Phone_by_Sentiment!K$2:K$37,"",0,1)),_xlfn.XLOOKUP($C1452,Phone_by_Sentiment!$B$2:$B$37,Phone_by_Sentiment!K$2:K$37,"",0,1),0),$A1452-TEXT(DATEVALUE($D1452&amp;"-01"), "dd-mm-yyyy")),0),0)</f>
        <v>886</v>
      </c>
      <c r="L1452" cm="1">
        <f t="array" ref="L1452">IF($Q1452&gt;=0,IFERROR(generateSalesData($D1452, IF(ISNUMBER(_xlfn.XLOOKUP($C1452,Phone_by_Sentiment!$B$2:$B$37,Phone_by_Sentiment!L$2:L$37,"",0,1)),_xlfn.XLOOKUP($C1452,Phone_by_Sentiment!$B$2:$B$37,Phone_by_Sentiment!L$2:L$37,"",0,1),0),$A1452-TEXT(DATEVALUE($D1452&amp;"-01"), "dd-mm-yyyy")),0),0)</f>
        <v>263</v>
      </c>
      <c r="M1452" cm="1">
        <f t="array" ref="M1452">IF($Q1452&gt;=0,IFERROR(generateSalesData($D1452, IF(ISNUMBER(_xlfn.XLOOKUP($C1452,Phone_by_Sentiment!$B$2:$B$37,Phone_by_Sentiment!M$2:M$37,"",0,1)),_xlfn.XLOOKUP($C1452,Phone_by_Sentiment!$B$2:$B$37,Phone_by_Sentiment!M$2:M$37,"",0,1),0),$A1452-TEXT(DATEVALUE($D1452&amp;"-01"), "dd-mm-yyyy")),0),0)</f>
        <v>741</v>
      </c>
      <c r="N1452" cm="1">
        <f t="array" ref="N1452">IF($Q1452&gt;=0,IFERROR(generateSalesData($D1452, IF(ISNUMBER(_xlfn.XLOOKUP($C1452,Phone_by_Sentiment!$B$2:$B$37,Phone_by_Sentiment!N$2:N$37,"",0,1)),_xlfn.XLOOKUP($C1452,Phone_by_Sentiment!$B$2:$B$37,Phone_by_Sentiment!N$2:N$37,"",0,1),0),$A1452-TEXT(DATEVALUE($D1452&amp;"-01"), "dd-mm-yyyy")),0),0)</f>
        <v>240</v>
      </c>
      <c r="O1452" cm="1">
        <f t="array" ref="O1452">IF($Q1452&gt;=0,IFERROR(generateSalesData($D1452, IF(ISNUMBER(_xlfn.XLOOKUP($C1452,Phone_by_Sentiment!$B$2:$B$37,Phone_by_Sentiment!O$2:O$37,"",0,1)),_xlfn.XLOOKUP($C1452,Phone_by_Sentiment!$B$2:$B$37,Phone_by_Sentiment!O$2:O$37,"",0,1),0),$A1452-TEXT(DATEVALUE($D1452&amp;"-01"), "dd-mm-yyyy")),0),0)</f>
        <v>449</v>
      </c>
      <c r="P1452" s="1">
        <f t="shared" si="51"/>
        <v>44317</v>
      </c>
      <c r="Q1452">
        <f t="shared" si="57"/>
        <v>396</v>
      </c>
    </row>
    <row r="1453" spans="1:17" x14ac:dyDescent="0.25">
      <c r="A1453" s="1">
        <f t="shared" si="56"/>
        <v>44713</v>
      </c>
      <c r="B1453" t="s">
        <v>161</v>
      </c>
      <c r="C1453" t="str">
        <f>_xlfn.XLOOKUP(B1453,Phone_by_Price!$A$2:$A$34,Phone_by_Price!$B$2:$B$34,"-",0,1)</f>
        <v>Samsung Galaxy Z Flip 3</v>
      </c>
      <c r="D1453" t="str">
        <f>_xlfn.XLOOKUP(C1453,Phone_by_Sentiment!$B$2:$B$37,Phone_by_Sentiment!$A$2:$A$37,"-",0,1)</f>
        <v>2021-09</v>
      </c>
      <c r="E1453" cm="1">
        <f t="array" ref="E1453">IF($Q1453&gt;=0,IFERROR(generateSalesData($D1453, IF(ISNUMBER(_xlfn.XLOOKUP($C1453,Phone_by_Sentiment!$B$2:$B$37,Phone_by_Sentiment!E$2:E$37,"",0,1)),_xlfn.XLOOKUP($C1453,Phone_by_Sentiment!$B$2:$B$37,Phone_by_Sentiment!E$2:E$37,"",0,1),0),$A1453-TEXT(DATEVALUE($D1453&amp;"-01"), "dd-mm-yyyy")),0),0)</f>
        <v>963</v>
      </c>
      <c r="F1453" cm="1">
        <f t="array" ref="F1453">IF($Q1453&gt;=0,IFERROR(generateSalesData($D1453, IF(ISNUMBER(_xlfn.XLOOKUP($C1453,Phone_by_Sentiment!$B$2:$B$37,Phone_by_Sentiment!F$2:F$37,"",0,1)),_xlfn.XLOOKUP($C1453,Phone_by_Sentiment!$B$2:$B$37,Phone_by_Sentiment!F$2:F$37,"",0,1),0),$A1453-TEXT(DATEVALUE($D1453&amp;"-01"), "dd-mm-yyyy")),0),0)</f>
        <v>700</v>
      </c>
      <c r="G1453" cm="1">
        <f t="array" ref="G1453">IF($Q1453&gt;=0,IFERROR(generateSalesData($D1453, IF(ISNUMBER(_xlfn.XLOOKUP($C1453,Phone_by_Sentiment!$B$2:$B$37,Phone_by_Sentiment!G$2:G$37,"",0,1)),_xlfn.XLOOKUP($C1453,Phone_by_Sentiment!$B$2:$B$37,Phone_by_Sentiment!G$2:G$37,"",0,1),0),$A1453-TEXT(DATEVALUE($D1453&amp;"-01"), "dd-mm-yyyy")),0),0)</f>
        <v>5</v>
      </c>
      <c r="H1453" cm="1">
        <f t="array" ref="H1453">IF($Q1453&gt;=0,IFERROR(generateSalesData($D1453, IF(ISNUMBER(_xlfn.XLOOKUP($C1453,Phone_by_Sentiment!$B$2:$B$37,Phone_by_Sentiment!H$2:H$37,"",0,1)),_xlfn.XLOOKUP($C1453,Phone_by_Sentiment!$B$2:$B$37,Phone_by_Sentiment!H$2:H$37,"",0,1),0),$A1453-TEXT(DATEVALUE($D1453&amp;"-01"), "dd-mm-yyyy")),0),0)</f>
        <v>435</v>
      </c>
      <c r="I1453" cm="1">
        <f t="array" ref="I1453">IF($Q1453&gt;=0,IFERROR(generateSalesData($D1453, IF(ISNUMBER(_xlfn.XLOOKUP($C1453,Phone_by_Sentiment!$B$2:$B$37,Phone_by_Sentiment!I$2:I$37,"",0,1)),_xlfn.XLOOKUP($C1453,Phone_by_Sentiment!$B$2:$B$37,Phone_by_Sentiment!I$2:I$37,"",0,1),0),$A1453-TEXT(DATEVALUE($D1453&amp;"-01"), "dd-mm-yyyy")),0),0)</f>
        <v>865</v>
      </c>
      <c r="J1453" cm="1">
        <f t="array" ref="J1453">IF($Q1453&gt;=0,IFERROR(generateSalesData($D1453, IF(ISNUMBER(_xlfn.XLOOKUP($C1453,Phone_by_Sentiment!$B$2:$B$37,Phone_by_Sentiment!J$2:J$37,"",0,1)),_xlfn.XLOOKUP($C1453,Phone_by_Sentiment!$B$2:$B$37,Phone_by_Sentiment!J$2:J$37,"",0,1),0),$A1453-TEXT(DATEVALUE($D1453&amp;"-01"), "dd-mm-yyyy")),0),0)</f>
        <v>1016</v>
      </c>
      <c r="K1453" cm="1">
        <f t="array" ref="K1453">IF($Q1453&gt;=0,IFERROR(generateSalesData($D1453, IF(ISNUMBER(_xlfn.XLOOKUP($C1453,Phone_by_Sentiment!$B$2:$B$37,Phone_by_Sentiment!K$2:K$37,"",0,1)),_xlfn.XLOOKUP($C1453,Phone_by_Sentiment!$B$2:$B$37,Phone_by_Sentiment!K$2:K$37,"",0,1),0),$A1453-TEXT(DATEVALUE($D1453&amp;"-01"), "dd-mm-yyyy")),0),0)</f>
        <v>421</v>
      </c>
      <c r="L1453" cm="1">
        <f t="array" ref="L1453">IF($Q1453&gt;=0,IFERROR(generateSalesData($D1453, IF(ISNUMBER(_xlfn.XLOOKUP($C1453,Phone_by_Sentiment!$B$2:$B$37,Phone_by_Sentiment!L$2:L$37,"",0,1)),_xlfn.XLOOKUP($C1453,Phone_by_Sentiment!$B$2:$B$37,Phone_by_Sentiment!L$2:L$37,"",0,1),0),$A1453-TEXT(DATEVALUE($D1453&amp;"-01"), "dd-mm-yyyy")),0),0)</f>
        <v>827</v>
      </c>
      <c r="M1453" cm="1">
        <f t="array" ref="M1453">IF($Q1453&gt;=0,IFERROR(generateSalesData($D1453, IF(ISNUMBER(_xlfn.XLOOKUP($C1453,Phone_by_Sentiment!$B$2:$B$37,Phone_by_Sentiment!M$2:M$37,"",0,1)),_xlfn.XLOOKUP($C1453,Phone_by_Sentiment!$B$2:$B$37,Phone_by_Sentiment!M$2:M$37,"",0,1),0),$A1453-TEXT(DATEVALUE($D1453&amp;"-01"), "dd-mm-yyyy")),0),0)</f>
        <v>51</v>
      </c>
      <c r="N1453" cm="1">
        <f t="array" ref="N1453">IF($Q1453&gt;=0,IFERROR(generateSalesData($D1453, IF(ISNUMBER(_xlfn.XLOOKUP($C1453,Phone_by_Sentiment!$B$2:$B$37,Phone_by_Sentiment!N$2:N$37,"",0,1)),_xlfn.XLOOKUP($C1453,Phone_by_Sentiment!$B$2:$B$37,Phone_by_Sentiment!N$2:N$37,"",0,1),0),$A1453-TEXT(DATEVALUE($D1453&amp;"-01"), "dd-mm-yyyy")),0),0)</f>
        <v>1260</v>
      </c>
      <c r="O1453" cm="1">
        <f t="array" ref="O1453">IF($Q1453&gt;=0,IFERROR(generateSalesData($D1453, IF(ISNUMBER(_xlfn.XLOOKUP($C1453,Phone_by_Sentiment!$B$2:$B$37,Phone_by_Sentiment!O$2:O$37,"",0,1)),_xlfn.XLOOKUP($C1453,Phone_by_Sentiment!$B$2:$B$37,Phone_by_Sentiment!O$2:O$37,"",0,1),0),$A1453-TEXT(DATEVALUE($D1453&amp;"-01"), "dd-mm-yyyy")),0),0)</f>
        <v>1494</v>
      </c>
      <c r="P1453" s="1">
        <f t="shared" si="51"/>
        <v>44440</v>
      </c>
      <c r="Q1453">
        <f t="shared" si="57"/>
        <v>273</v>
      </c>
    </row>
    <row r="1454" spans="1:17" x14ac:dyDescent="0.25">
      <c r="A1454" s="1">
        <f t="shared" si="56"/>
        <v>44713</v>
      </c>
      <c r="B1454" t="s">
        <v>162</v>
      </c>
      <c r="C1454" t="str">
        <f>_xlfn.XLOOKUP(B1454,Phone_by_Price!$A$2:$A$34,Phone_by_Price!$B$2:$B$34,"-",0,1)</f>
        <v>Xiaomi Poco X3 NFC</v>
      </c>
      <c r="D1454" t="str">
        <f>_xlfn.XLOOKUP(C1454,Phone_by_Sentiment!$B$2:$B$37,Phone_by_Sentiment!$A$2:$A$37,"-",0,1)</f>
        <v>2020-08</v>
      </c>
      <c r="E1454" cm="1">
        <f t="array" ref="E1454">IF($Q1454&gt;=0,IFERROR(generateSalesData($D1454, IF(ISNUMBER(_xlfn.XLOOKUP($C1454,Phone_by_Sentiment!$B$2:$B$37,Phone_by_Sentiment!E$2:E$37,"",0,1)),_xlfn.XLOOKUP($C1454,Phone_by_Sentiment!$B$2:$B$37,Phone_by_Sentiment!E$2:E$37,"",0,1),0),$A1454-TEXT(DATEVALUE($D1454&amp;"-01"), "dd-mm-yyyy")),0),0)</f>
        <v>34</v>
      </c>
      <c r="F1454" cm="1">
        <f t="array" ref="F1454">IF($Q1454&gt;=0,IFERROR(generateSalesData($D1454, IF(ISNUMBER(_xlfn.XLOOKUP($C1454,Phone_by_Sentiment!$B$2:$B$37,Phone_by_Sentiment!F$2:F$37,"",0,1)),_xlfn.XLOOKUP($C1454,Phone_by_Sentiment!$B$2:$B$37,Phone_by_Sentiment!F$2:F$37,"",0,1),0),$A1454-TEXT(DATEVALUE($D1454&amp;"-01"), "dd-mm-yyyy")),0),0)</f>
        <v>86</v>
      </c>
      <c r="G1454" cm="1">
        <f t="array" ref="G1454">IF($Q1454&gt;=0,IFERROR(generateSalesData($D1454, IF(ISNUMBER(_xlfn.XLOOKUP($C1454,Phone_by_Sentiment!$B$2:$B$37,Phone_by_Sentiment!G$2:G$37,"",0,1)),_xlfn.XLOOKUP($C1454,Phone_by_Sentiment!$B$2:$B$37,Phone_by_Sentiment!G$2:G$37,"",0,1),0),$A1454-TEXT(DATEVALUE($D1454&amp;"-01"), "dd-mm-yyyy")),0),0)</f>
        <v>46</v>
      </c>
      <c r="H1454" cm="1">
        <f t="array" ref="H1454">IF($Q1454&gt;=0,IFERROR(generateSalesData($D1454, IF(ISNUMBER(_xlfn.XLOOKUP($C1454,Phone_by_Sentiment!$B$2:$B$37,Phone_by_Sentiment!H$2:H$37,"",0,1)),_xlfn.XLOOKUP($C1454,Phone_by_Sentiment!$B$2:$B$37,Phone_by_Sentiment!H$2:H$37,"",0,1),0),$A1454-TEXT(DATEVALUE($D1454&amp;"-01"), "dd-mm-yyyy")),0),0)</f>
        <v>305</v>
      </c>
      <c r="I1454" cm="1">
        <f t="array" ref="I1454">IF($Q1454&gt;=0,IFERROR(generateSalesData($D1454, IF(ISNUMBER(_xlfn.XLOOKUP($C1454,Phone_by_Sentiment!$B$2:$B$37,Phone_by_Sentiment!I$2:I$37,"",0,1)),_xlfn.XLOOKUP($C1454,Phone_by_Sentiment!$B$2:$B$37,Phone_by_Sentiment!I$2:I$37,"",0,1),0),$A1454-TEXT(DATEVALUE($D1454&amp;"-01"), "dd-mm-yyyy")),0),0)</f>
        <v>94</v>
      </c>
      <c r="J1454" cm="1">
        <f t="array" ref="J1454">IF($Q1454&gt;=0,IFERROR(generateSalesData($D1454, IF(ISNUMBER(_xlfn.XLOOKUP($C1454,Phone_by_Sentiment!$B$2:$B$37,Phone_by_Sentiment!J$2:J$37,"",0,1)),_xlfn.XLOOKUP($C1454,Phone_by_Sentiment!$B$2:$B$37,Phone_by_Sentiment!J$2:J$37,"",0,1),0),$A1454-TEXT(DATEVALUE($D1454&amp;"-01"), "dd-mm-yyyy")),0),0)</f>
        <v>82</v>
      </c>
      <c r="K1454" cm="1">
        <f t="array" ref="K1454">IF($Q1454&gt;=0,IFERROR(generateSalesData($D1454, IF(ISNUMBER(_xlfn.XLOOKUP($C1454,Phone_by_Sentiment!$B$2:$B$37,Phone_by_Sentiment!K$2:K$37,"",0,1)),_xlfn.XLOOKUP($C1454,Phone_by_Sentiment!$B$2:$B$37,Phone_by_Sentiment!K$2:K$37,"",0,1),0),$A1454-TEXT(DATEVALUE($D1454&amp;"-01"), "dd-mm-yyyy")),0),0)</f>
        <v>495</v>
      </c>
      <c r="L1454" cm="1">
        <f t="array" ref="L1454">IF($Q1454&gt;=0,IFERROR(generateSalesData($D1454, IF(ISNUMBER(_xlfn.XLOOKUP($C1454,Phone_by_Sentiment!$B$2:$B$37,Phone_by_Sentiment!L$2:L$37,"",0,1)),_xlfn.XLOOKUP($C1454,Phone_by_Sentiment!$B$2:$B$37,Phone_by_Sentiment!L$2:L$37,"",0,1),0),$A1454-TEXT(DATEVALUE($D1454&amp;"-01"), "dd-mm-yyyy")),0),0)</f>
        <v>106</v>
      </c>
      <c r="M1454" cm="1">
        <f t="array" ref="M1454">IF($Q1454&gt;=0,IFERROR(generateSalesData($D1454, IF(ISNUMBER(_xlfn.XLOOKUP($C1454,Phone_by_Sentiment!$B$2:$B$37,Phone_by_Sentiment!M$2:M$37,"",0,1)),_xlfn.XLOOKUP($C1454,Phone_by_Sentiment!$B$2:$B$37,Phone_by_Sentiment!M$2:M$37,"",0,1),0),$A1454-TEXT(DATEVALUE($D1454&amp;"-01"), "dd-mm-yyyy")),0),0)</f>
        <v>322</v>
      </c>
      <c r="N1454" cm="1">
        <f t="array" ref="N1454">IF($Q1454&gt;=0,IFERROR(generateSalesData($D1454, IF(ISNUMBER(_xlfn.XLOOKUP($C1454,Phone_by_Sentiment!$B$2:$B$37,Phone_by_Sentiment!N$2:N$37,"",0,1)),_xlfn.XLOOKUP($C1454,Phone_by_Sentiment!$B$2:$B$37,Phone_by_Sentiment!N$2:N$37,"",0,1),0),$A1454-TEXT(DATEVALUE($D1454&amp;"-01"), "dd-mm-yyyy")),0),0)</f>
        <v>89</v>
      </c>
      <c r="O1454" cm="1">
        <f t="array" ref="O1454">IF($Q1454&gt;=0,IFERROR(generateSalesData($D1454, IF(ISNUMBER(_xlfn.XLOOKUP($C1454,Phone_by_Sentiment!$B$2:$B$37,Phone_by_Sentiment!O$2:O$37,"",0,1)),_xlfn.XLOOKUP($C1454,Phone_by_Sentiment!$B$2:$B$37,Phone_by_Sentiment!O$2:O$37,"",0,1),0),$A1454-TEXT(DATEVALUE($D1454&amp;"-01"), "dd-mm-yyyy")),0),0)</f>
        <v>319</v>
      </c>
      <c r="P1454" s="1">
        <f t="shared" si="51"/>
        <v>44044</v>
      </c>
      <c r="Q1454">
        <f t="shared" si="57"/>
        <v>669</v>
      </c>
    </row>
    <row r="1455" spans="1:17" x14ac:dyDescent="0.25">
      <c r="A1455" s="1">
        <f t="shared" si="56"/>
        <v>44713</v>
      </c>
      <c r="B1455" t="s">
        <v>163</v>
      </c>
      <c r="C1455" t="str">
        <f>_xlfn.XLOOKUP(B1455,Phone_by_Price!$A$2:$A$34,Phone_by_Price!$B$2:$B$34,"-",0,1)</f>
        <v>OPPO A93</v>
      </c>
      <c r="D1455" t="str">
        <f>_xlfn.XLOOKUP(C1455,Phone_by_Sentiment!$B$2:$B$37,Phone_by_Sentiment!$A$2:$A$37,"-",0,1)</f>
        <v>2021-02</v>
      </c>
      <c r="E1455" cm="1">
        <f t="array" ref="E1455">IF($Q1455&gt;=0,IFERROR(generateSalesData($D1455, IF(ISNUMBER(_xlfn.XLOOKUP($C1455,Phone_by_Sentiment!$B$2:$B$37,Phone_by_Sentiment!E$2:E$37,"",0,1)),_xlfn.XLOOKUP($C1455,Phone_by_Sentiment!$B$2:$B$37,Phone_by_Sentiment!E$2:E$37,"",0,1),0),$A1455-TEXT(DATEVALUE($D1455&amp;"-01"), "dd-mm-yyyy")),0),0)</f>
        <v>520</v>
      </c>
      <c r="F1455" cm="1">
        <f t="array" ref="F1455">IF($Q1455&gt;=0,IFERROR(generateSalesData($D1455, IF(ISNUMBER(_xlfn.XLOOKUP($C1455,Phone_by_Sentiment!$B$2:$B$37,Phone_by_Sentiment!F$2:F$37,"",0,1)),_xlfn.XLOOKUP($C1455,Phone_by_Sentiment!$B$2:$B$37,Phone_by_Sentiment!F$2:F$37,"",0,1),0),$A1455-TEXT(DATEVALUE($D1455&amp;"-01"), "dd-mm-yyyy")),0),0)</f>
        <v>182</v>
      </c>
      <c r="G1455" cm="1">
        <f t="array" ref="G1455">IF($Q1455&gt;=0,IFERROR(generateSalesData($D1455, IF(ISNUMBER(_xlfn.XLOOKUP($C1455,Phone_by_Sentiment!$B$2:$B$37,Phone_by_Sentiment!G$2:G$37,"",0,1)),_xlfn.XLOOKUP($C1455,Phone_by_Sentiment!$B$2:$B$37,Phone_by_Sentiment!G$2:G$37,"",0,1),0),$A1455-TEXT(DATEVALUE($D1455&amp;"-01"), "dd-mm-yyyy")),0),0)</f>
        <v>137</v>
      </c>
      <c r="H1455" cm="1">
        <f t="array" ref="H1455">IF($Q1455&gt;=0,IFERROR(generateSalesData($D1455, IF(ISNUMBER(_xlfn.XLOOKUP($C1455,Phone_by_Sentiment!$B$2:$B$37,Phone_by_Sentiment!H$2:H$37,"",0,1)),_xlfn.XLOOKUP($C1455,Phone_by_Sentiment!$B$2:$B$37,Phone_by_Sentiment!H$2:H$37,"",0,1),0),$A1455-TEXT(DATEVALUE($D1455&amp;"-01"), "dd-mm-yyyy")),0),0)</f>
        <v>132</v>
      </c>
      <c r="I1455" cm="1">
        <f t="array" ref="I1455">IF($Q1455&gt;=0,IFERROR(generateSalesData($D1455, IF(ISNUMBER(_xlfn.XLOOKUP($C1455,Phone_by_Sentiment!$B$2:$B$37,Phone_by_Sentiment!I$2:I$37,"",0,1)),_xlfn.XLOOKUP($C1455,Phone_by_Sentiment!$B$2:$B$37,Phone_by_Sentiment!I$2:I$37,"",0,1),0),$A1455-TEXT(DATEVALUE($D1455&amp;"-01"), "dd-mm-yyyy")),0),0)</f>
        <v>618</v>
      </c>
      <c r="J1455" cm="1">
        <f t="array" ref="J1455">IF($Q1455&gt;=0,IFERROR(generateSalesData($D1455, IF(ISNUMBER(_xlfn.XLOOKUP($C1455,Phone_by_Sentiment!$B$2:$B$37,Phone_by_Sentiment!J$2:J$37,"",0,1)),_xlfn.XLOOKUP($C1455,Phone_by_Sentiment!$B$2:$B$37,Phone_by_Sentiment!J$2:J$37,"",0,1),0),$A1455-TEXT(DATEVALUE($D1455&amp;"-01"), "dd-mm-yyyy")),0),0)</f>
        <v>51</v>
      </c>
      <c r="K1455" cm="1">
        <f t="array" ref="K1455">IF($Q1455&gt;=0,IFERROR(generateSalesData($D1455, IF(ISNUMBER(_xlfn.XLOOKUP($C1455,Phone_by_Sentiment!$B$2:$B$37,Phone_by_Sentiment!K$2:K$37,"",0,1)),_xlfn.XLOOKUP($C1455,Phone_by_Sentiment!$B$2:$B$37,Phone_by_Sentiment!K$2:K$37,"",0,1),0),$A1455-TEXT(DATEVALUE($D1455&amp;"-01"), "dd-mm-yyyy")),0),0)</f>
        <v>243</v>
      </c>
      <c r="L1455" cm="1">
        <f t="array" ref="L1455">IF($Q1455&gt;=0,IFERROR(generateSalesData($D1455, IF(ISNUMBER(_xlfn.XLOOKUP($C1455,Phone_by_Sentiment!$B$2:$B$37,Phone_by_Sentiment!L$2:L$37,"",0,1)),_xlfn.XLOOKUP($C1455,Phone_by_Sentiment!$B$2:$B$37,Phone_by_Sentiment!L$2:L$37,"",0,1),0),$A1455-TEXT(DATEVALUE($D1455&amp;"-01"), "dd-mm-yyyy")),0),0)</f>
        <v>81</v>
      </c>
      <c r="M1455" cm="1">
        <f t="array" ref="M1455">IF($Q1455&gt;=0,IFERROR(generateSalesData($D1455, IF(ISNUMBER(_xlfn.XLOOKUP($C1455,Phone_by_Sentiment!$B$2:$B$37,Phone_by_Sentiment!M$2:M$37,"",0,1)),_xlfn.XLOOKUP($C1455,Phone_by_Sentiment!$B$2:$B$37,Phone_by_Sentiment!M$2:M$37,"",0,1),0),$A1455-TEXT(DATEVALUE($D1455&amp;"-01"), "dd-mm-yyyy")),0),0)</f>
        <v>219</v>
      </c>
      <c r="N1455" cm="1">
        <f t="array" ref="N1455">IF($Q1455&gt;=0,IFERROR(generateSalesData($D1455, IF(ISNUMBER(_xlfn.XLOOKUP($C1455,Phone_by_Sentiment!$B$2:$B$37,Phone_by_Sentiment!N$2:N$37,"",0,1)),_xlfn.XLOOKUP($C1455,Phone_by_Sentiment!$B$2:$B$37,Phone_by_Sentiment!N$2:N$37,"",0,1),0),$A1455-TEXT(DATEVALUE($D1455&amp;"-01"), "dd-mm-yyyy")),0),0)</f>
        <v>359</v>
      </c>
      <c r="O1455" cm="1">
        <f t="array" ref="O1455">IF($Q1455&gt;=0,IFERROR(generateSalesData($D1455, IF(ISNUMBER(_xlfn.XLOOKUP($C1455,Phone_by_Sentiment!$B$2:$B$37,Phone_by_Sentiment!O$2:O$37,"",0,1)),_xlfn.XLOOKUP($C1455,Phone_by_Sentiment!$B$2:$B$37,Phone_by_Sentiment!O$2:O$37,"",0,1),0),$A1455-TEXT(DATEVALUE($D1455&amp;"-01"), "dd-mm-yyyy")),0),0)</f>
        <v>154</v>
      </c>
      <c r="P1455" s="1">
        <f t="shared" si="51"/>
        <v>44228</v>
      </c>
      <c r="Q1455">
        <f t="shared" si="57"/>
        <v>485</v>
      </c>
    </row>
    <row r="1456" spans="1:17" x14ac:dyDescent="0.25">
      <c r="A1456" s="1">
        <f t="shared" si="56"/>
        <v>44713</v>
      </c>
      <c r="B1456" t="s">
        <v>164</v>
      </c>
      <c r="C1456" t="str">
        <f>_xlfn.XLOOKUP(B1456,Phone_by_Price!$A$2:$A$34,Phone_by_Price!$B$2:$B$34,"-",0,1)</f>
        <v>Vivo V20</v>
      </c>
      <c r="D1456" t="str">
        <f>_xlfn.XLOOKUP(C1456,Phone_by_Sentiment!$B$2:$B$37,Phone_by_Sentiment!$A$2:$A$37,"-",0,1)</f>
        <v>2020-10</v>
      </c>
      <c r="E1456" cm="1">
        <f t="array" ref="E1456">IF($Q1456&gt;=0,IFERROR(generateSalesData($D1456, IF(ISNUMBER(_xlfn.XLOOKUP($C1456,Phone_by_Sentiment!$B$2:$B$37,Phone_by_Sentiment!E$2:E$37,"",0,1)),_xlfn.XLOOKUP($C1456,Phone_by_Sentiment!$B$2:$B$37,Phone_by_Sentiment!E$2:E$37,"",0,1),0),$A1456-TEXT(DATEVALUE($D1456&amp;"-01"), "dd-mm-yyyy")),0),0)</f>
        <v>135</v>
      </c>
      <c r="F1456" cm="1">
        <f t="array" ref="F1456">IF($Q1456&gt;=0,IFERROR(generateSalesData($D1456, IF(ISNUMBER(_xlfn.XLOOKUP($C1456,Phone_by_Sentiment!$B$2:$B$37,Phone_by_Sentiment!F$2:F$37,"",0,1)),_xlfn.XLOOKUP($C1456,Phone_by_Sentiment!$B$2:$B$37,Phone_by_Sentiment!F$2:F$37,"",0,1),0),$A1456-TEXT(DATEVALUE($D1456&amp;"-01"), "dd-mm-yyyy")),0),0)</f>
        <v>92</v>
      </c>
      <c r="G1456" cm="1">
        <f t="array" ref="G1456">IF($Q1456&gt;=0,IFERROR(generateSalesData($D1456, IF(ISNUMBER(_xlfn.XLOOKUP($C1456,Phone_by_Sentiment!$B$2:$B$37,Phone_by_Sentiment!G$2:G$37,"",0,1)),_xlfn.XLOOKUP($C1456,Phone_by_Sentiment!$B$2:$B$37,Phone_by_Sentiment!G$2:G$37,"",0,1),0),$A1456-TEXT(DATEVALUE($D1456&amp;"-01"), "dd-mm-yyyy")),0),0)</f>
        <v>50</v>
      </c>
      <c r="H1456" cm="1">
        <f t="array" ref="H1456">IF($Q1456&gt;=0,IFERROR(generateSalesData($D1456, IF(ISNUMBER(_xlfn.XLOOKUP($C1456,Phone_by_Sentiment!$B$2:$B$37,Phone_by_Sentiment!H$2:H$37,"",0,1)),_xlfn.XLOOKUP($C1456,Phone_by_Sentiment!$B$2:$B$37,Phone_by_Sentiment!H$2:H$37,"",0,1),0),$A1456-TEXT(DATEVALUE($D1456&amp;"-01"), "dd-mm-yyyy")),0),0)</f>
        <v>137</v>
      </c>
      <c r="I1456" cm="1">
        <f t="array" ref="I1456">IF($Q1456&gt;=0,IFERROR(generateSalesData($D1456, IF(ISNUMBER(_xlfn.XLOOKUP($C1456,Phone_by_Sentiment!$B$2:$B$37,Phone_by_Sentiment!I$2:I$37,"",0,1)),_xlfn.XLOOKUP($C1456,Phone_by_Sentiment!$B$2:$B$37,Phone_by_Sentiment!I$2:I$37,"",0,1),0),$A1456-TEXT(DATEVALUE($D1456&amp;"-01"), "dd-mm-yyyy")),0),0)</f>
        <v>40</v>
      </c>
      <c r="J1456" cm="1">
        <f t="array" ref="J1456">IF($Q1456&gt;=0,IFERROR(generateSalesData($D1456, IF(ISNUMBER(_xlfn.XLOOKUP($C1456,Phone_by_Sentiment!$B$2:$B$37,Phone_by_Sentiment!J$2:J$37,"",0,1)),_xlfn.XLOOKUP($C1456,Phone_by_Sentiment!$B$2:$B$37,Phone_by_Sentiment!J$2:J$37,"",0,1),0),$A1456-TEXT(DATEVALUE($D1456&amp;"-01"), "dd-mm-yyyy")),0),0)</f>
        <v>126</v>
      </c>
      <c r="K1456" cm="1">
        <f t="array" ref="K1456">IF($Q1456&gt;=0,IFERROR(generateSalesData($D1456, IF(ISNUMBER(_xlfn.XLOOKUP($C1456,Phone_by_Sentiment!$B$2:$B$37,Phone_by_Sentiment!K$2:K$37,"",0,1)),_xlfn.XLOOKUP($C1456,Phone_by_Sentiment!$B$2:$B$37,Phone_by_Sentiment!K$2:K$37,"",0,1),0),$A1456-TEXT(DATEVALUE($D1456&amp;"-01"), "dd-mm-yyyy")),0),0)</f>
        <v>84</v>
      </c>
      <c r="L1456" cm="1">
        <f t="array" ref="L1456">IF($Q1456&gt;=0,IFERROR(generateSalesData($D1456, IF(ISNUMBER(_xlfn.XLOOKUP($C1456,Phone_by_Sentiment!$B$2:$B$37,Phone_by_Sentiment!L$2:L$37,"",0,1)),_xlfn.XLOOKUP($C1456,Phone_by_Sentiment!$B$2:$B$37,Phone_by_Sentiment!L$2:L$37,"",0,1),0),$A1456-TEXT(DATEVALUE($D1456&amp;"-01"), "dd-mm-yyyy")),0),0)</f>
        <v>72</v>
      </c>
      <c r="M1456" cm="1">
        <f t="array" ref="M1456">IF($Q1456&gt;=0,IFERROR(generateSalesData($D1456, IF(ISNUMBER(_xlfn.XLOOKUP($C1456,Phone_by_Sentiment!$B$2:$B$37,Phone_by_Sentiment!M$2:M$37,"",0,1)),_xlfn.XLOOKUP($C1456,Phone_by_Sentiment!$B$2:$B$37,Phone_by_Sentiment!M$2:M$37,"",0,1),0),$A1456-TEXT(DATEVALUE($D1456&amp;"-01"), "dd-mm-yyyy")),0),0)</f>
        <v>149</v>
      </c>
      <c r="N1456" cm="1">
        <f t="array" ref="N1456">IF($Q1456&gt;=0,IFERROR(generateSalesData($D1456, IF(ISNUMBER(_xlfn.XLOOKUP($C1456,Phone_by_Sentiment!$B$2:$B$37,Phone_by_Sentiment!N$2:N$37,"",0,1)),_xlfn.XLOOKUP($C1456,Phone_by_Sentiment!$B$2:$B$37,Phone_by_Sentiment!N$2:N$37,"",0,1),0),$A1456-TEXT(DATEVALUE($D1456&amp;"-01"), "dd-mm-yyyy")),0),0)</f>
        <v>83</v>
      </c>
      <c r="O1456" cm="1">
        <f t="array" ref="O1456">IF($Q1456&gt;=0,IFERROR(generateSalesData($D1456, IF(ISNUMBER(_xlfn.XLOOKUP($C1456,Phone_by_Sentiment!$B$2:$B$37,Phone_by_Sentiment!O$2:O$37,"",0,1)),_xlfn.XLOOKUP($C1456,Phone_by_Sentiment!$B$2:$B$37,Phone_by_Sentiment!O$2:O$37,"",0,1),0),$A1456-TEXT(DATEVALUE($D1456&amp;"-01"), "dd-mm-yyyy")),0),0)</f>
        <v>119</v>
      </c>
      <c r="P1456" s="1">
        <f t="shared" si="51"/>
        <v>44105</v>
      </c>
      <c r="Q1456">
        <f t="shared" si="57"/>
        <v>608</v>
      </c>
    </row>
    <row r="1457" spans="1:17" x14ac:dyDescent="0.25">
      <c r="A1457" s="1">
        <f t="shared" si="56"/>
        <v>44713</v>
      </c>
      <c r="B1457" t="s">
        <v>165</v>
      </c>
      <c r="C1457" t="str">
        <f>_xlfn.XLOOKUP(B1457,Phone_by_Price!$A$2:$A$34,Phone_by_Price!$B$2:$B$34,"-",0,1)</f>
        <v>Samsung Galaxy A50</v>
      </c>
      <c r="D1457" t="str">
        <f>_xlfn.XLOOKUP(C1457,Phone_by_Sentiment!$B$2:$B$37,Phone_by_Sentiment!$A$2:$A$37,"-",0,1)</f>
        <v>2019-05</v>
      </c>
      <c r="E1457" cm="1">
        <f t="array" ref="E1457">IF($Q1457&gt;=0,IFERROR(generateSalesData($D1457, IF(ISNUMBER(_xlfn.XLOOKUP($C1457,Phone_by_Sentiment!$B$2:$B$37,Phone_by_Sentiment!E$2:E$37,"",0,1)),_xlfn.XLOOKUP($C1457,Phone_by_Sentiment!$B$2:$B$37,Phone_by_Sentiment!E$2:E$37,"",0,1),0),$A1457-TEXT(DATEVALUE($D1457&amp;"-01"), "dd-mm-yyyy")),0),0)</f>
        <v>130</v>
      </c>
      <c r="F1457" cm="1">
        <f t="array" ref="F1457">IF($Q1457&gt;=0,IFERROR(generateSalesData($D1457, IF(ISNUMBER(_xlfn.XLOOKUP($C1457,Phone_by_Sentiment!$B$2:$B$37,Phone_by_Sentiment!F$2:F$37,"",0,1)),_xlfn.XLOOKUP($C1457,Phone_by_Sentiment!$B$2:$B$37,Phone_by_Sentiment!F$2:F$37,"",0,1),0),$A1457-TEXT(DATEVALUE($D1457&amp;"-01"), "dd-mm-yyyy")),0),0)</f>
        <v>62</v>
      </c>
      <c r="G1457" cm="1">
        <f t="array" ref="G1457">IF($Q1457&gt;=0,IFERROR(generateSalesData($D1457, IF(ISNUMBER(_xlfn.XLOOKUP($C1457,Phone_by_Sentiment!$B$2:$B$37,Phone_by_Sentiment!G$2:G$37,"",0,1)),_xlfn.XLOOKUP($C1457,Phone_by_Sentiment!$B$2:$B$37,Phone_by_Sentiment!G$2:G$37,"",0,1),0),$A1457-TEXT(DATEVALUE($D1457&amp;"-01"), "dd-mm-yyyy")),0),0)</f>
        <v>80</v>
      </c>
      <c r="H1457" cm="1">
        <f t="array" ref="H1457">IF($Q1457&gt;=0,IFERROR(generateSalesData($D1457, IF(ISNUMBER(_xlfn.XLOOKUP($C1457,Phone_by_Sentiment!$B$2:$B$37,Phone_by_Sentiment!H$2:H$37,"",0,1)),_xlfn.XLOOKUP($C1457,Phone_by_Sentiment!$B$2:$B$37,Phone_by_Sentiment!H$2:H$37,"",0,1),0),$A1457-TEXT(DATEVALUE($D1457&amp;"-01"), "dd-mm-yyyy")),0),0)</f>
        <v>188</v>
      </c>
      <c r="I1457" cm="1">
        <f t="array" ref="I1457">IF($Q1457&gt;=0,IFERROR(generateSalesData($D1457, IF(ISNUMBER(_xlfn.XLOOKUP($C1457,Phone_by_Sentiment!$B$2:$B$37,Phone_by_Sentiment!I$2:I$37,"",0,1)),_xlfn.XLOOKUP($C1457,Phone_by_Sentiment!$B$2:$B$37,Phone_by_Sentiment!I$2:I$37,"",0,1),0),$A1457-TEXT(DATEVALUE($D1457&amp;"-01"), "dd-mm-yyyy")),0),0)</f>
        <v>109</v>
      </c>
      <c r="J1457" cm="1">
        <f t="array" ref="J1457">IF($Q1457&gt;=0,IFERROR(generateSalesData($D1457, IF(ISNUMBER(_xlfn.XLOOKUP($C1457,Phone_by_Sentiment!$B$2:$B$37,Phone_by_Sentiment!J$2:J$37,"",0,1)),_xlfn.XLOOKUP($C1457,Phone_by_Sentiment!$B$2:$B$37,Phone_by_Sentiment!J$2:J$37,"",0,1),0),$A1457-TEXT(DATEVALUE($D1457&amp;"-01"), "dd-mm-yyyy")),0),0)</f>
        <v>41</v>
      </c>
      <c r="K1457" cm="1">
        <f t="array" ref="K1457">IF($Q1457&gt;=0,IFERROR(generateSalesData($D1457, IF(ISNUMBER(_xlfn.XLOOKUP($C1457,Phone_by_Sentiment!$B$2:$B$37,Phone_by_Sentiment!K$2:K$37,"",0,1)),_xlfn.XLOOKUP($C1457,Phone_by_Sentiment!$B$2:$B$37,Phone_by_Sentiment!K$2:K$37,"",0,1),0),$A1457-TEXT(DATEVALUE($D1457&amp;"-01"), "dd-mm-yyyy")),0),0)</f>
        <v>43</v>
      </c>
      <c r="L1457" cm="1">
        <f t="array" ref="L1457">IF($Q1457&gt;=0,IFERROR(generateSalesData($D1457, IF(ISNUMBER(_xlfn.XLOOKUP($C1457,Phone_by_Sentiment!$B$2:$B$37,Phone_by_Sentiment!L$2:L$37,"",0,1)),_xlfn.XLOOKUP($C1457,Phone_by_Sentiment!$B$2:$B$37,Phone_by_Sentiment!L$2:L$37,"",0,1),0),$A1457-TEXT(DATEVALUE($D1457&amp;"-01"), "dd-mm-yyyy")),0),0)</f>
        <v>340</v>
      </c>
      <c r="M1457" cm="1">
        <f t="array" ref="M1457">IF($Q1457&gt;=0,IFERROR(generateSalesData($D1457, IF(ISNUMBER(_xlfn.XLOOKUP($C1457,Phone_by_Sentiment!$B$2:$B$37,Phone_by_Sentiment!M$2:M$37,"",0,1)),_xlfn.XLOOKUP($C1457,Phone_by_Sentiment!$B$2:$B$37,Phone_by_Sentiment!M$2:M$37,"",0,1),0),$A1457-TEXT(DATEVALUE($D1457&amp;"-01"), "dd-mm-yyyy")),0),0)</f>
        <v>9</v>
      </c>
      <c r="N1457" cm="1">
        <f t="array" ref="N1457">IF($Q1457&gt;=0,IFERROR(generateSalesData($D1457, IF(ISNUMBER(_xlfn.XLOOKUP($C1457,Phone_by_Sentiment!$B$2:$B$37,Phone_by_Sentiment!N$2:N$37,"",0,1)),_xlfn.XLOOKUP($C1457,Phone_by_Sentiment!$B$2:$B$37,Phone_by_Sentiment!N$2:N$37,"",0,1),0),$A1457-TEXT(DATEVALUE($D1457&amp;"-01"), "dd-mm-yyyy")),0),0)</f>
        <v>269</v>
      </c>
      <c r="O1457" cm="1">
        <f t="array" ref="O1457">IF($Q1457&gt;=0,IFERROR(generateSalesData($D1457, IF(ISNUMBER(_xlfn.XLOOKUP($C1457,Phone_by_Sentiment!$B$2:$B$37,Phone_by_Sentiment!O$2:O$37,"",0,1)),_xlfn.XLOOKUP($C1457,Phone_by_Sentiment!$B$2:$B$37,Phone_by_Sentiment!O$2:O$37,"",0,1),0),$A1457-TEXT(DATEVALUE($D1457&amp;"-01"), "dd-mm-yyyy")),0),0)</f>
        <v>73</v>
      </c>
      <c r="P1457" s="1">
        <f t="shared" si="51"/>
        <v>43586</v>
      </c>
      <c r="Q1457">
        <f t="shared" si="57"/>
        <v>1127</v>
      </c>
    </row>
    <row r="1458" spans="1:17" x14ac:dyDescent="0.25">
      <c r="A1458" s="1">
        <f t="shared" si="56"/>
        <v>44713</v>
      </c>
      <c r="B1458" t="s">
        <v>166</v>
      </c>
      <c r="C1458" t="str">
        <f>_xlfn.XLOOKUP(B1458,Phone_by_Price!$A$2:$A$34,Phone_by_Price!$B$2:$B$34,"-",0,1)</f>
        <v>Xiaomi Redmi Note 7</v>
      </c>
      <c r="D1458" t="str">
        <f>_xlfn.XLOOKUP(C1458,Phone_by_Sentiment!$B$2:$B$37,Phone_by_Sentiment!$A$2:$A$37,"-",0,1)</f>
        <v>2019-08</v>
      </c>
      <c r="E1458" cm="1">
        <f t="array" ref="E1458">IF($Q1458&gt;=0,IFERROR(generateSalesData($D1458, IF(ISNUMBER(_xlfn.XLOOKUP($C1458,Phone_by_Sentiment!$B$2:$B$37,Phone_by_Sentiment!E$2:E$37,"",0,1)),_xlfn.XLOOKUP($C1458,Phone_by_Sentiment!$B$2:$B$37,Phone_by_Sentiment!E$2:E$37,"",0,1),0),$A1458-TEXT(DATEVALUE($D1458&amp;"-01"), "dd-mm-yyyy")),0),0)</f>
        <v>63</v>
      </c>
      <c r="F1458" cm="1">
        <f t="array" ref="F1458">IF($Q1458&gt;=0,IFERROR(generateSalesData($D1458, IF(ISNUMBER(_xlfn.XLOOKUP($C1458,Phone_by_Sentiment!$B$2:$B$37,Phone_by_Sentiment!F$2:F$37,"",0,1)),_xlfn.XLOOKUP($C1458,Phone_by_Sentiment!$B$2:$B$37,Phone_by_Sentiment!F$2:F$37,"",0,1),0),$A1458-TEXT(DATEVALUE($D1458&amp;"-01"), "dd-mm-yyyy")),0),0)</f>
        <v>63</v>
      </c>
      <c r="G1458" cm="1">
        <f t="array" ref="G1458">IF($Q1458&gt;=0,IFERROR(generateSalesData($D1458, IF(ISNUMBER(_xlfn.XLOOKUP($C1458,Phone_by_Sentiment!$B$2:$B$37,Phone_by_Sentiment!G$2:G$37,"",0,1)),_xlfn.XLOOKUP($C1458,Phone_by_Sentiment!$B$2:$B$37,Phone_by_Sentiment!G$2:G$37,"",0,1),0),$A1458-TEXT(DATEVALUE($D1458&amp;"-01"), "dd-mm-yyyy")),0),0)</f>
        <v>28</v>
      </c>
      <c r="H1458" cm="1">
        <f t="array" ref="H1458">IF($Q1458&gt;=0,IFERROR(generateSalesData($D1458, IF(ISNUMBER(_xlfn.XLOOKUP($C1458,Phone_by_Sentiment!$B$2:$B$37,Phone_by_Sentiment!H$2:H$37,"",0,1)),_xlfn.XLOOKUP($C1458,Phone_by_Sentiment!$B$2:$B$37,Phone_by_Sentiment!H$2:H$37,"",0,1),0),$A1458-TEXT(DATEVALUE($D1458&amp;"-01"), "dd-mm-yyyy")),0),0)</f>
        <v>353</v>
      </c>
      <c r="I1458" cm="1">
        <f t="array" ref="I1458">IF($Q1458&gt;=0,IFERROR(generateSalesData($D1458, IF(ISNUMBER(_xlfn.XLOOKUP($C1458,Phone_by_Sentiment!$B$2:$B$37,Phone_by_Sentiment!I$2:I$37,"",0,1)),_xlfn.XLOOKUP($C1458,Phone_by_Sentiment!$B$2:$B$37,Phone_by_Sentiment!I$2:I$37,"",0,1),0),$A1458-TEXT(DATEVALUE($D1458&amp;"-01"), "dd-mm-yyyy")),0),0)</f>
        <v>99</v>
      </c>
      <c r="J1458" cm="1">
        <f t="array" ref="J1458">IF($Q1458&gt;=0,IFERROR(generateSalesData($D1458, IF(ISNUMBER(_xlfn.XLOOKUP($C1458,Phone_by_Sentiment!$B$2:$B$37,Phone_by_Sentiment!J$2:J$37,"",0,1)),_xlfn.XLOOKUP($C1458,Phone_by_Sentiment!$B$2:$B$37,Phone_by_Sentiment!J$2:J$37,"",0,1),0),$A1458-TEXT(DATEVALUE($D1458&amp;"-01"), "dd-mm-yyyy")),0),0)</f>
        <v>37</v>
      </c>
      <c r="K1458" cm="1">
        <f t="array" ref="K1458">IF($Q1458&gt;=0,IFERROR(generateSalesData($D1458, IF(ISNUMBER(_xlfn.XLOOKUP($C1458,Phone_by_Sentiment!$B$2:$B$37,Phone_by_Sentiment!K$2:K$37,"",0,1)),_xlfn.XLOOKUP($C1458,Phone_by_Sentiment!$B$2:$B$37,Phone_by_Sentiment!K$2:K$37,"",0,1),0),$A1458-TEXT(DATEVALUE($D1458&amp;"-01"), "dd-mm-yyyy")),0),0)</f>
        <v>287</v>
      </c>
      <c r="L1458" cm="1">
        <f t="array" ref="L1458">IF($Q1458&gt;=0,IFERROR(generateSalesData($D1458, IF(ISNUMBER(_xlfn.XLOOKUP($C1458,Phone_by_Sentiment!$B$2:$B$37,Phone_by_Sentiment!L$2:L$37,"",0,1)),_xlfn.XLOOKUP($C1458,Phone_by_Sentiment!$B$2:$B$37,Phone_by_Sentiment!L$2:L$37,"",0,1),0),$A1458-TEXT(DATEVALUE($D1458&amp;"-01"), "dd-mm-yyyy")),0),0)</f>
        <v>62</v>
      </c>
      <c r="M1458" cm="1">
        <f t="array" ref="M1458">IF($Q1458&gt;=0,IFERROR(generateSalesData($D1458, IF(ISNUMBER(_xlfn.XLOOKUP($C1458,Phone_by_Sentiment!$B$2:$B$37,Phone_by_Sentiment!M$2:M$37,"",0,1)),_xlfn.XLOOKUP($C1458,Phone_by_Sentiment!$B$2:$B$37,Phone_by_Sentiment!M$2:M$37,"",0,1),0),$A1458-TEXT(DATEVALUE($D1458&amp;"-01"), "dd-mm-yyyy")),0),0)</f>
        <v>252</v>
      </c>
      <c r="N1458" cm="1">
        <f t="array" ref="N1458">IF($Q1458&gt;=0,IFERROR(generateSalesData($D1458, IF(ISNUMBER(_xlfn.XLOOKUP($C1458,Phone_by_Sentiment!$B$2:$B$37,Phone_by_Sentiment!N$2:N$37,"",0,1)),_xlfn.XLOOKUP($C1458,Phone_by_Sentiment!$B$2:$B$37,Phone_by_Sentiment!N$2:N$37,"",0,1),0),$A1458-TEXT(DATEVALUE($D1458&amp;"-01"), "dd-mm-yyyy")),0),0)</f>
        <v>89</v>
      </c>
      <c r="O1458" cm="1">
        <f t="array" ref="O1458">IF($Q1458&gt;=0,IFERROR(generateSalesData($D1458, IF(ISNUMBER(_xlfn.XLOOKUP($C1458,Phone_by_Sentiment!$B$2:$B$37,Phone_by_Sentiment!O$2:O$37,"",0,1)),_xlfn.XLOOKUP($C1458,Phone_by_Sentiment!$B$2:$B$37,Phone_by_Sentiment!O$2:O$37,"",0,1),0),$A1458-TEXT(DATEVALUE($D1458&amp;"-01"), "dd-mm-yyyy")),0),0)</f>
        <v>306</v>
      </c>
      <c r="P1458" s="1">
        <f t="shared" si="51"/>
        <v>43678</v>
      </c>
      <c r="Q1458">
        <f t="shared" si="57"/>
        <v>1035</v>
      </c>
    </row>
    <row r="1459" spans="1:17" x14ac:dyDescent="0.25">
      <c r="A1459" s="1">
        <f t="shared" si="56"/>
        <v>44713</v>
      </c>
      <c r="B1459" t="s">
        <v>167</v>
      </c>
      <c r="C1459" t="str">
        <f>_xlfn.XLOOKUP(B1459,Phone_by_Price!$A$2:$A$34,Phone_by_Price!$B$2:$B$34,"-",0,1)</f>
        <v>Realme C21</v>
      </c>
      <c r="D1459" t="str">
        <f>_xlfn.XLOOKUP(C1459,Phone_by_Sentiment!$B$2:$B$37,Phone_by_Sentiment!$A$2:$A$37,"-",0,1)</f>
        <v>2021-04</v>
      </c>
      <c r="E1459" cm="1">
        <f t="array" ref="E1459">IF($Q1459&gt;=0,IFERROR(generateSalesData($D1459, IF(ISNUMBER(_xlfn.XLOOKUP($C1459,Phone_by_Sentiment!$B$2:$B$37,Phone_by_Sentiment!E$2:E$37,"",0,1)),_xlfn.XLOOKUP($C1459,Phone_by_Sentiment!$B$2:$B$37,Phone_by_Sentiment!E$2:E$37,"",0,1),0),$A1459-TEXT(DATEVALUE($D1459&amp;"-01"), "dd-mm-yyyy")),0),0)</f>
        <v>120</v>
      </c>
      <c r="F1459" cm="1">
        <f t="array" ref="F1459">IF($Q1459&gt;=0,IFERROR(generateSalesData($D1459, IF(ISNUMBER(_xlfn.XLOOKUP($C1459,Phone_by_Sentiment!$B$2:$B$37,Phone_by_Sentiment!F$2:F$37,"",0,1)),_xlfn.XLOOKUP($C1459,Phone_by_Sentiment!$B$2:$B$37,Phone_by_Sentiment!F$2:F$37,"",0,1),0),$A1459-TEXT(DATEVALUE($D1459&amp;"-01"), "dd-mm-yyyy")),0),0)</f>
        <v>192</v>
      </c>
      <c r="G1459" cm="1">
        <f t="array" ref="G1459">IF($Q1459&gt;=0,IFERROR(generateSalesData($D1459, IF(ISNUMBER(_xlfn.XLOOKUP($C1459,Phone_by_Sentiment!$B$2:$B$37,Phone_by_Sentiment!G$2:G$37,"",0,1)),_xlfn.XLOOKUP($C1459,Phone_by_Sentiment!$B$2:$B$37,Phone_by_Sentiment!G$2:G$37,"",0,1),0),$A1459-TEXT(DATEVALUE($D1459&amp;"-01"), "dd-mm-yyyy")),0),0)</f>
        <v>-3</v>
      </c>
      <c r="H1459" cm="1">
        <f t="array" ref="H1459">IF($Q1459&gt;=0,IFERROR(generateSalesData($D1459, IF(ISNUMBER(_xlfn.XLOOKUP($C1459,Phone_by_Sentiment!$B$2:$B$37,Phone_by_Sentiment!H$2:H$37,"",0,1)),_xlfn.XLOOKUP($C1459,Phone_by_Sentiment!$B$2:$B$37,Phone_by_Sentiment!H$2:H$37,"",0,1),0),$A1459-TEXT(DATEVALUE($D1459&amp;"-01"), "dd-mm-yyyy")),0),0)</f>
        <v>271</v>
      </c>
      <c r="I1459" cm="1">
        <f t="array" ref="I1459">IF($Q1459&gt;=0,IFERROR(generateSalesData($D1459, IF(ISNUMBER(_xlfn.XLOOKUP($C1459,Phone_by_Sentiment!$B$2:$B$37,Phone_by_Sentiment!I$2:I$37,"",0,1)),_xlfn.XLOOKUP($C1459,Phone_by_Sentiment!$B$2:$B$37,Phone_by_Sentiment!I$2:I$37,"",0,1),0),$A1459-TEXT(DATEVALUE($D1459&amp;"-01"), "dd-mm-yyyy")),0),0)</f>
        <v>815</v>
      </c>
      <c r="J1459" cm="1">
        <f t="array" ref="J1459">IF($Q1459&gt;=0,IFERROR(generateSalesData($D1459, IF(ISNUMBER(_xlfn.XLOOKUP($C1459,Phone_by_Sentiment!$B$2:$B$37,Phone_by_Sentiment!J$2:J$37,"",0,1)),_xlfn.XLOOKUP($C1459,Phone_by_Sentiment!$B$2:$B$37,Phone_by_Sentiment!J$2:J$37,"",0,1),0),$A1459-TEXT(DATEVALUE($D1459&amp;"-01"), "dd-mm-yyyy")),0),0)</f>
        <v>79</v>
      </c>
      <c r="K1459" cm="1">
        <f t="array" ref="K1459">IF($Q1459&gt;=0,IFERROR(generateSalesData($D1459, IF(ISNUMBER(_xlfn.XLOOKUP($C1459,Phone_by_Sentiment!$B$2:$B$37,Phone_by_Sentiment!K$2:K$37,"",0,1)),_xlfn.XLOOKUP($C1459,Phone_by_Sentiment!$B$2:$B$37,Phone_by_Sentiment!K$2:K$37,"",0,1),0),$A1459-TEXT(DATEVALUE($D1459&amp;"-01"), "dd-mm-yyyy")),0),0)</f>
        <v>76</v>
      </c>
      <c r="L1459" cm="1">
        <f t="array" ref="L1459">IF($Q1459&gt;=0,IFERROR(generateSalesData($D1459, IF(ISNUMBER(_xlfn.XLOOKUP($C1459,Phone_by_Sentiment!$B$2:$B$37,Phone_by_Sentiment!L$2:L$37,"",0,1)),_xlfn.XLOOKUP($C1459,Phone_by_Sentiment!$B$2:$B$37,Phone_by_Sentiment!L$2:L$37,"",0,1),0),$A1459-TEXT(DATEVALUE($D1459&amp;"-01"), "dd-mm-yyyy")),0),0)</f>
        <v>363</v>
      </c>
      <c r="M1459" cm="1">
        <f t="array" ref="M1459">IF($Q1459&gt;=0,IFERROR(generateSalesData($D1459, IF(ISNUMBER(_xlfn.XLOOKUP($C1459,Phone_by_Sentiment!$B$2:$B$37,Phone_by_Sentiment!M$2:M$37,"",0,1)),_xlfn.XLOOKUP($C1459,Phone_by_Sentiment!$B$2:$B$37,Phone_by_Sentiment!M$2:M$37,"",0,1),0),$A1459-TEXT(DATEVALUE($D1459&amp;"-01"), "dd-mm-yyyy")),0),0)</f>
        <v>60</v>
      </c>
      <c r="N1459" cm="1">
        <f t="array" ref="N1459">IF($Q1459&gt;=0,IFERROR(generateSalesData($D1459, IF(ISNUMBER(_xlfn.XLOOKUP($C1459,Phone_by_Sentiment!$B$2:$B$37,Phone_by_Sentiment!N$2:N$37,"",0,1)),_xlfn.XLOOKUP($C1459,Phone_by_Sentiment!$B$2:$B$37,Phone_by_Sentiment!N$2:N$37,"",0,1),0),$A1459-TEXT(DATEVALUE($D1459&amp;"-01"), "dd-mm-yyyy")),0),0)</f>
        <v>826</v>
      </c>
      <c r="O1459" cm="1">
        <f t="array" ref="O1459">IF($Q1459&gt;=0,IFERROR(generateSalesData($D1459, IF(ISNUMBER(_xlfn.XLOOKUP($C1459,Phone_by_Sentiment!$B$2:$B$37,Phone_by_Sentiment!O$2:O$37,"",0,1)),_xlfn.XLOOKUP($C1459,Phone_by_Sentiment!$B$2:$B$37,Phone_by_Sentiment!O$2:O$37,"",0,1),0),$A1459-TEXT(DATEVALUE($D1459&amp;"-01"), "dd-mm-yyyy")),0),0)</f>
        <v>244</v>
      </c>
      <c r="P1459" s="1">
        <f t="shared" si="51"/>
        <v>44287</v>
      </c>
      <c r="Q1459">
        <f t="shared" si="57"/>
        <v>426</v>
      </c>
    </row>
    <row r="1460" spans="1:17" x14ac:dyDescent="0.25">
      <c r="A1460" s="1">
        <f t="shared" si="56"/>
        <v>44713</v>
      </c>
      <c r="B1460" t="s">
        <v>168</v>
      </c>
      <c r="C1460" t="str">
        <f>_xlfn.XLOOKUP(B1460,Phone_by_Price!$A$2:$A$34,Phone_by_Price!$B$2:$B$34,"-",0,1)</f>
        <v>Google Pixel 4</v>
      </c>
      <c r="D1460" t="str">
        <f>_xlfn.XLOOKUP(C1460,Phone_by_Sentiment!$B$2:$B$37,Phone_by_Sentiment!$A$2:$A$37,"-",0,1)</f>
        <v>2019-09</v>
      </c>
      <c r="E1460" cm="1">
        <f t="array" ref="E1460">IF($Q1460&gt;=0,IFERROR(generateSalesData($D1460, IF(ISNUMBER(_xlfn.XLOOKUP($C1460,Phone_by_Sentiment!$B$2:$B$37,Phone_by_Sentiment!E$2:E$37,"",0,1)),_xlfn.XLOOKUP($C1460,Phone_by_Sentiment!$B$2:$B$37,Phone_by_Sentiment!E$2:E$37,"",0,1),0),$A1460-TEXT(DATEVALUE($D1460&amp;"-01"), "dd-mm-yyyy")),0),0)</f>
        <v>169</v>
      </c>
      <c r="F1460" cm="1">
        <f t="array" ref="F1460">IF($Q1460&gt;=0,IFERROR(generateSalesData($D1460, IF(ISNUMBER(_xlfn.XLOOKUP($C1460,Phone_by_Sentiment!$B$2:$B$37,Phone_by_Sentiment!F$2:F$37,"",0,1)),_xlfn.XLOOKUP($C1460,Phone_by_Sentiment!$B$2:$B$37,Phone_by_Sentiment!F$2:F$37,"",0,1),0),$A1460-TEXT(DATEVALUE($D1460&amp;"-01"), "dd-mm-yyyy")),0),0)</f>
        <v>78</v>
      </c>
      <c r="G1460" cm="1">
        <f t="array" ref="G1460">IF($Q1460&gt;=0,IFERROR(generateSalesData($D1460, IF(ISNUMBER(_xlfn.XLOOKUP($C1460,Phone_by_Sentiment!$B$2:$B$37,Phone_by_Sentiment!G$2:G$37,"",0,1)),_xlfn.XLOOKUP($C1460,Phone_by_Sentiment!$B$2:$B$37,Phone_by_Sentiment!G$2:G$37,"",0,1),0),$A1460-TEXT(DATEVALUE($D1460&amp;"-01"), "dd-mm-yyyy")),0),0)</f>
        <v>3</v>
      </c>
      <c r="H1460" cm="1">
        <f t="array" ref="H1460">IF($Q1460&gt;=0,IFERROR(generateSalesData($D1460, IF(ISNUMBER(_xlfn.XLOOKUP($C1460,Phone_by_Sentiment!$B$2:$B$37,Phone_by_Sentiment!H$2:H$37,"",0,1)),_xlfn.XLOOKUP($C1460,Phone_by_Sentiment!$B$2:$B$37,Phone_by_Sentiment!H$2:H$37,"",0,1),0),$A1460-TEXT(DATEVALUE($D1460&amp;"-01"), "dd-mm-yyyy")),0),0)</f>
        <v>110</v>
      </c>
      <c r="I1460" cm="1">
        <f t="array" ref="I1460">IF($Q1460&gt;=0,IFERROR(generateSalesData($D1460, IF(ISNUMBER(_xlfn.XLOOKUP($C1460,Phone_by_Sentiment!$B$2:$B$37,Phone_by_Sentiment!I$2:I$37,"",0,1)),_xlfn.XLOOKUP($C1460,Phone_by_Sentiment!$B$2:$B$37,Phone_by_Sentiment!I$2:I$37,"",0,1),0),$A1460-TEXT(DATEVALUE($D1460&amp;"-01"), "dd-mm-yyyy")),0),0)</f>
        <v>36</v>
      </c>
      <c r="J1460" cm="1">
        <f t="array" ref="J1460">IF($Q1460&gt;=0,IFERROR(generateSalesData($D1460, IF(ISNUMBER(_xlfn.XLOOKUP($C1460,Phone_by_Sentiment!$B$2:$B$37,Phone_by_Sentiment!J$2:J$37,"",0,1)),_xlfn.XLOOKUP($C1460,Phone_by_Sentiment!$B$2:$B$37,Phone_by_Sentiment!J$2:J$37,"",0,1),0),$A1460-TEXT(DATEVALUE($D1460&amp;"-01"), "dd-mm-yyyy")),0),0)</f>
        <v>20</v>
      </c>
      <c r="K1460" cm="1">
        <f t="array" ref="K1460">IF($Q1460&gt;=0,IFERROR(generateSalesData($D1460, IF(ISNUMBER(_xlfn.XLOOKUP($C1460,Phone_by_Sentiment!$B$2:$B$37,Phone_by_Sentiment!K$2:K$37,"",0,1)),_xlfn.XLOOKUP($C1460,Phone_by_Sentiment!$B$2:$B$37,Phone_by_Sentiment!K$2:K$37,"",0,1),0),$A1460-TEXT(DATEVALUE($D1460&amp;"-01"), "dd-mm-yyyy")),0),0)</f>
        <v>38</v>
      </c>
      <c r="L1460" cm="1">
        <f t="array" ref="L1460">IF($Q1460&gt;=0,IFERROR(generateSalesData($D1460, IF(ISNUMBER(_xlfn.XLOOKUP($C1460,Phone_by_Sentiment!$B$2:$B$37,Phone_by_Sentiment!L$2:L$37,"",0,1)),_xlfn.XLOOKUP($C1460,Phone_by_Sentiment!$B$2:$B$37,Phone_by_Sentiment!L$2:L$37,"",0,1),0),$A1460-TEXT(DATEVALUE($D1460&amp;"-01"), "dd-mm-yyyy")),0),0)</f>
        <v>257</v>
      </c>
      <c r="M1460" cm="1">
        <f t="array" ref="M1460">IF($Q1460&gt;=0,IFERROR(generateSalesData($D1460, IF(ISNUMBER(_xlfn.XLOOKUP($C1460,Phone_by_Sentiment!$B$2:$B$37,Phone_by_Sentiment!M$2:M$37,"",0,1)),_xlfn.XLOOKUP($C1460,Phone_by_Sentiment!$B$2:$B$37,Phone_by_Sentiment!M$2:M$37,"",0,1),0),$A1460-TEXT(DATEVALUE($D1460&amp;"-01"), "dd-mm-yyyy")),0),0)</f>
        <v>51</v>
      </c>
      <c r="N1460" cm="1">
        <f t="array" ref="N1460">IF($Q1460&gt;=0,IFERROR(generateSalesData($D1460, IF(ISNUMBER(_xlfn.XLOOKUP($C1460,Phone_by_Sentiment!$B$2:$B$37,Phone_by_Sentiment!N$2:N$37,"",0,1)),_xlfn.XLOOKUP($C1460,Phone_by_Sentiment!$B$2:$B$37,Phone_by_Sentiment!N$2:N$37,"",0,1),0),$A1460-TEXT(DATEVALUE($D1460&amp;"-01"), "dd-mm-yyyy")),0),0)</f>
        <v>297</v>
      </c>
      <c r="O1460" cm="1">
        <f t="array" ref="O1460">IF($Q1460&gt;=0,IFERROR(generateSalesData($D1460, IF(ISNUMBER(_xlfn.XLOOKUP($C1460,Phone_by_Sentiment!$B$2:$B$37,Phone_by_Sentiment!O$2:O$37,"",0,1)),_xlfn.XLOOKUP($C1460,Phone_by_Sentiment!$B$2:$B$37,Phone_by_Sentiment!O$2:O$37,"",0,1),0),$A1460-TEXT(DATEVALUE($D1460&amp;"-01"), "dd-mm-yyyy")),0),0)</f>
        <v>47</v>
      </c>
      <c r="P1460" s="1">
        <f t="shared" si="51"/>
        <v>43709</v>
      </c>
      <c r="Q1460">
        <f t="shared" si="57"/>
        <v>1004</v>
      </c>
    </row>
    <row r="1461" spans="1:17" x14ac:dyDescent="0.25">
      <c r="A1461" s="1">
        <f t="shared" si="56"/>
        <v>44713</v>
      </c>
      <c r="B1461" t="s">
        <v>169</v>
      </c>
      <c r="C1461" t="str">
        <f>_xlfn.XLOOKUP(B1461,Phone_by_Price!$A$2:$A$34,Phone_by_Price!$B$2:$B$34,"-",0,1)</f>
        <v>Samsung Galaxy A10s</v>
      </c>
      <c r="D1461" t="str">
        <f>_xlfn.XLOOKUP(C1461,Phone_by_Sentiment!$B$2:$B$37,Phone_by_Sentiment!$A$2:$A$37,"-",0,1)</f>
        <v>2019-08</v>
      </c>
      <c r="E1461" cm="1">
        <f t="array" ref="E1461">IF($Q1461&gt;=0,IFERROR(generateSalesData($D1461, IF(ISNUMBER(_xlfn.XLOOKUP($C1461,Phone_by_Sentiment!$B$2:$B$37,Phone_by_Sentiment!E$2:E$37,"",0,1)),_xlfn.XLOOKUP($C1461,Phone_by_Sentiment!$B$2:$B$37,Phone_by_Sentiment!E$2:E$37,"",0,1),0),$A1461-TEXT(DATEVALUE($D1461&amp;"-01"), "dd-mm-yyyy")),0),0)</f>
        <v>26</v>
      </c>
      <c r="F1461" cm="1">
        <f t="array" ref="F1461">IF($Q1461&gt;=0,IFERROR(generateSalesData($D1461, IF(ISNUMBER(_xlfn.XLOOKUP($C1461,Phone_by_Sentiment!$B$2:$B$37,Phone_by_Sentiment!F$2:F$37,"",0,1)),_xlfn.XLOOKUP($C1461,Phone_by_Sentiment!$B$2:$B$37,Phone_by_Sentiment!F$2:F$37,"",0,1),0),$A1461-TEXT(DATEVALUE($D1461&amp;"-01"), "dd-mm-yyyy")),0),0)</f>
        <v>97</v>
      </c>
      <c r="G1461" cm="1">
        <f t="array" ref="G1461">IF($Q1461&gt;=0,IFERROR(generateSalesData($D1461, IF(ISNUMBER(_xlfn.XLOOKUP($C1461,Phone_by_Sentiment!$B$2:$B$37,Phone_by_Sentiment!G$2:G$37,"",0,1)),_xlfn.XLOOKUP($C1461,Phone_by_Sentiment!$B$2:$B$37,Phone_by_Sentiment!G$2:G$37,"",0,1),0),$A1461-TEXT(DATEVALUE($D1461&amp;"-01"), "dd-mm-yyyy")),0),0)</f>
        <v>87</v>
      </c>
      <c r="H1461" cm="1">
        <f t="array" ref="H1461">IF($Q1461&gt;=0,IFERROR(generateSalesData($D1461, IF(ISNUMBER(_xlfn.XLOOKUP($C1461,Phone_by_Sentiment!$B$2:$B$37,Phone_by_Sentiment!H$2:H$37,"",0,1)),_xlfn.XLOOKUP($C1461,Phone_by_Sentiment!$B$2:$B$37,Phone_by_Sentiment!H$2:H$37,"",0,1),0),$A1461-TEXT(DATEVALUE($D1461&amp;"-01"), "dd-mm-yyyy")),0),0)</f>
        <v>103</v>
      </c>
      <c r="I1461" cm="1">
        <f t="array" ref="I1461">IF($Q1461&gt;=0,IFERROR(generateSalesData($D1461, IF(ISNUMBER(_xlfn.XLOOKUP($C1461,Phone_by_Sentiment!$B$2:$B$37,Phone_by_Sentiment!I$2:I$37,"",0,1)),_xlfn.XLOOKUP($C1461,Phone_by_Sentiment!$B$2:$B$37,Phone_by_Sentiment!I$2:I$37,"",0,1),0),$A1461-TEXT(DATEVALUE($D1461&amp;"-01"), "dd-mm-yyyy")),0),0)</f>
        <v>111</v>
      </c>
      <c r="J1461" cm="1">
        <f t="array" ref="J1461">IF($Q1461&gt;=0,IFERROR(generateSalesData($D1461, IF(ISNUMBER(_xlfn.XLOOKUP($C1461,Phone_by_Sentiment!$B$2:$B$37,Phone_by_Sentiment!J$2:J$37,"",0,1)),_xlfn.XLOOKUP($C1461,Phone_by_Sentiment!$B$2:$B$37,Phone_by_Sentiment!J$2:J$37,"",0,1),0),$A1461-TEXT(DATEVALUE($D1461&amp;"-01"), "dd-mm-yyyy")),0),0)</f>
        <v>232</v>
      </c>
      <c r="K1461" cm="1">
        <f t="array" ref="K1461">IF($Q1461&gt;=0,IFERROR(generateSalesData($D1461, IF(ISNUMBER(_xlfn.XLOOKUP($C1461,Phone_by_Sentiment!$B$2:$B$37,Phone_by_Sentiment!K$2:K$37,"",0,1)),_xlfn.XLOOKUP($C1461,Phone_by_Sentiment!$B$2:$B$37,Phone_by_Sentiment!K$2:K$37,"",0,1),0),$A1461-TEXT(DATEVALUE($D1461&amp;"-01"), "dd-mm-yyyy")),0),0)</f>
        <v>302</v>
      </c>
      <c r="L1461" cm="1">
        <f t="array" ref="L1461">IF($Q1461&gt;=0,IFERROR(generateSalesData($D1461, IF(ISNUMBER(_xlfn.XLOOKUP($C1461,Phone_by_Sentiment!$B$2:$B$37,Phone_by_Sentiment!L$2:L$37,"",0,1)),_xlfn.XLOOKUP($C1461,Phone_by_Sentiment!$B$2:$B$37,Phone_by_Sentiment!L$2:L$37,"",0,1),0),$A1461-TEXT(DATEVALUE($D1461&amp;"-01"), "dd-mm-yyyy")),0),0)</f>
        <v>47</v>
      </c>
      <c r="M1461" cm="1">
        <f t="array" ref="M1461">IF($Q1461&gt;=0,IFERROR(generateSalesData($D1461, IF(ISNUMBER(_xlfn.XLOOKUP($C1461,Phone_by_Sentiment!$B$2:$B$37,Phone_by_Sentiment!M$2:M$37,"",0,1)),_xlfn.XLOOKUP($C1461,Phone_by_Sentiment!$B$2:$B$37,Phone_by_Sentiment!M$2:M$37,"",0,1),0),$A1461-TEXT(DATEVALUE($D1461&amp;"-01"), "dd-mm-yyyy")),0),0)</f>
        <v>312</v>
      </c>
      <c r="N1461" cm="1">
        <f t="array" ref="N1461">IF($Q1461&gt;=0,IFERROR(generateSalesData($D1461, IF(ISNUMBER(_xlfn.XLOOKUP($C1461,Phone_by_Sentiment!$B$2:$B$37,Phone_by_Sentiment!N$2:N$37,"",0,1)),_xlfn.XLOOKUP($C1461,Phone_by_Sentiment!$B$2:$B$37,Phone_by_Sentiment!N$2:N$37,"",0,1),0),$A1461-TEXT(DATEVALUE($D1461&amp;"-01"), "dd-mm-yyyy")),0),0)</f>
        <v>18</v>
      </c>
      <c r="O1461" cm="1">
        <f t="array" ref="O1461">IF($Q1461&gt;=0,IFERROR(generateSalesData($D1461, IF(ISNUMBER(_xlfn.XLOOKUP($C1461,Phone_by_Sentiment!$B$2:$B$37,Phone_by_Sentiment!O$2:O$37,"",0,1)),_xlfn.XLOOKUP($C1461,Phone_by_Sentiment!$B$2:$B$37,Phone_by_Sentiment!O$2:O$37,"",0,1),0),$A1461-TEXT(DATEVALUE($D1461&amp;"-01"), "dd-mm-yyyy")),0),0)</f>
        <v>236</v>
      </c>
      <c r="P1461" s="1">
        <f t="shared" si="51"/>
        <v>43678</v>
      </c>
      <c r="Q1461">
        <f t="shared" si="57"/>
        <v>1035</v>
      </c>
    </row>
    <row r="1462" spans="1:17" x14ac:dyDescent="0.25">
      <c r="A1462" s="1">
        <f t="shared" si="56"/>
        <v>44713</v>
      </c>
      <c r="B1462" t="s">
        <v>170</v>
      </c>
      <c r="C1462" t="str">
        <f>_xlfn.XLOOKUP(B1462,Phone_by_Price!$A$2:$A$34,Phone_by_Price!$B$2:$B$34,"-",0,1)</f>
        <v>Realme Narzo 30A</v>
      </c>
      <c r="D1462" t="str">
        <f>_xlfn.XLOOKUP(C1462,Phone_by_Sentiment!$B$2:$B$37,Phone_by_Sentiment!$A$2:$A$37,"-",0,1)</f>
        <v>2021-02</v>
      </c>
      <c r="E1462" cm="1">
        <f t="array" ref="E1462">IF($Q1462&gt;=0,IFERROR(generateSalesData($D1462, IF(ISNUMBER(_xlfn.XLOOKUP($C1462,Phone_by_Sentiment!$B$2:$B$37,Phone_by_Sentiment!E$2:E$37,"",0,1)),_xlfn.XLOOKUP($C1462,Phone_by_Sentiment!$B$2:$B$37,Phone_by_Sentiment!E$2:E$37,"",0,1),0),$A1462-TEXT(DATEVALUE($D1462&amp;"-01"), "dd-mm-yyyy")),0),0)</f>
        <v>3</v>
      </c>
      <c r="F1462" cm="1">
        <f t="array" ref="F1462">IF($Q1462&gt;=0,IFERROR(generateSalesData($D1462, IF(ISNUMBER(_xlfn.XLOOKUP($C1462,Phone_by_Sentiment!$B$2:$B$37,Phone_by_Sentiment!F$2:F$37,"",0,1)),_xlfn.XLOOKUP($C1462,Phone_by_Sentiment!$B$2:$B$37,Phone_by_Sentiment!F$2:F$37,"",0,1),0),$A1462-TEXT(DATEVALUE($D1462&amp;"-01"), "dd-mm-yyyy")),0),0)</f>
        <v>192</v>
      </c>
      <c r="G1462" cm="1">
        <f t="array" ref="G1462">IF($Q1462&gt;=0,IFERROR(generateSalesData($D1462, IF(ISNUMBER(_xlfn.XLOOKUP($C1462,Phone_by_Sentiment!$B$2:$B$37,Phone_by_Sentiment!G$2:G$37,"",0,1)),_xlfn.XLOOKUP($C1462,Phone_by_Sentiment!$B$2:$B$37,Phone_by_Sentiment!G$2:G$37,"",0,1),0),$A1462-TEXT(DATEVALUE($D1462&amp;"-01"), "dd-mm-yyyy")),0),0)</f>
        <v>8</v>
      </c>
      <c r="H1462" cm="1">
        <f t="array" ref="H1462">IF($Q1462&gt;=0,IFERROR(generateSalesData($D1462, IF(ISNUMBER(_xlfn.XLOOKUP($C1462,Phone_by_Sentiment!$B$2:$B$37,Phone_by_Sentiment!H$2:H$37,"",0,1)),_xlfn.XLOOKUP($C1462,Phone_by_Sentiment!$B$2:$B$37,Phone_by_Sentiment!H$2:H$37,"",0,1),0),$A1462-TEXT(DATEVALUE($D1462&amp;"-01"), "dd-mm-yyyy")),0),0)</f>
        <v>445</v>
      </c>
      <c r="I1462" cm="1">
        <f t="array" ref="I1462">IF($Q1462&gt;=0,IFERROR(generateSalesData($D1462, IF(ISNUMBER(_xlfn.XLOOKUP($C1462,Phone_by_Sentiment!$B$2:$B$37,Phone_by_Sentiment!I$2:I$37,"",0,1)),_xlfn.XLOOKUP($C1462,Phone_by_Sentiment!$B$2:$B$37,Phone_by_Sentiment!I$2:I$37,"",0,1),0),$A1462-TEXT(DATEVALUE($D1462&amp;"-01"), "dd-mm-yyyy")),0),0)</f>
        <v>594</v>
      </c>
      <c r="J1462" cm="1">
        <f t="array" ref="J1462">IF($Q1462&gt;=0,IFERROR(generateSalesData($D1462, IF(ISNUMBER(_xlfn.XLOOKUP($C1462,Phone_by_Sentiment!$B$2:$B$37,Phone_by_Sentiment!J$2:J$37,"",0,1)),_xlfn.XLOOKUP($C1462,Phone_by_Sentiment!$B$2:$B$37,Phone_by_Sentiment!J$2:J$37,"",0,1),0),$A1462-TEXT(DATEVALUE($D1462&amp;"-01"), "dd-mm-yyyy")),0),0)</f>
        <v>228</v>
      </c>
      <c r="K1462" cm="1">
        <f t="array" ref="K1462">IF($Q1462&gt;=0,IFERROR(generateSalesData($D1462, IF(ISNUMBER(_xlfn.XLOOKUP($C1462,Phone_by_Sentiment!$B$2:$B$37,Phone_by_Sentiment!K$2:K$37,"",0,1)),_xlfn.XLOOKUP($C1462,Phone_by_Sentiment!$B$2:$B$37,Phone_by_Sentiment!K$2:K$37,"",0,1),0),$A1462-TEXT(DATEVALUE($D1462&amp;"-01"), "dd-mm-yyyy")),0),0)</f>
        <v>488</v>
      </c>
      <c r="L1462" cm="1">
        <f t="array" ref="L1462">IF($Q1462&gt;=0,IFERROR(generateSalesData($D1462, IF(ISNUMBER(_xlfn.XLOOKUP($C1462,Phone_by_Sentiment!$B$2:$B$37,Phone_by_Sentiment!L$2:L$37,"",0,1)),_xlfn.XLOOKUP($C1462,Phone_by_Sentiment!$B$2:$B$37,Phone_by_Sentiment!L$2:L$37,"",0,1),0),$A1462-TEXT(DATEVALUE($D1462&amp;"-01"), "dd-mm-yyyy")),0),0)</f>
        <v>642</v>
      </c>
      <c r="M1462" cm="1">
        <f t="array" ref="M1462">IF($Q1462&gt;=0,IFERROR(generateSalesData($D1462, IF(ISNUMBER(_xlfn.XLOOKUP($C1462,Phone_by_Sentiment!$B$2:$B$37,Phone_by_Sentiment!M$2:M$37,"",0,1)),_xlfn.XLOOKUP($C1462,Phone_by_Sentiment!$B$2:$B$37,Phone_by_Sentiment!M$2:M$37,"",0,1),0),$A1462-TEXT(DATEVALUE($D1462&amp;"-01"), "dd-mm-yyyy")),0),0)</f>
        <v>130</v>
      </c>
      <c r="N1462" cm="1">
        <f t="array" ref="N1462">IF($Q1462&gt;=0,IFERROR(generateSalesData($D1462, IF(ISNUMBER(_xlfn.XLOOKUP($C1462,Phone_by_Sentiment!$B$2:$B$37,Phone_by_Sentiment!N$2:N$37,"",0,1)),_xlfn.XLOOKUP($C1462,Phone_by_Sentiment!$B$2:$B$37,Phone_by_Sentiment!N$2:N$37,"",0,1),0),$A1462-TEXT(DATEVALUE($D1462&amp;"-01"), "dd-mm-yyyy")),0),0)</f>
        <v>527</v>
      </c>
      <c r="O1462" cm="1">
        <f t="array" ref="O1462">IF($Q1462&gt;=0,IFERROR(generateSalesData($D1462, IF(ISNUMBER(_xlfn.XLOOKUP($C1462,Phone_by_Sentiment!$B$2:$B$37,Phone_by_Sentiment!O$2:O$37,"",0,1)),_xlfn.XLOOKUP($C1462,Phone_by_Sentiment!$B$2:$B$37,Phone_by_Sentiment!O$2:O$37,"",0,1),0),$A1462-TEXT(DATEVALUE($D1462&amp;"-01"), "dd-mm-yyyy")),0),0)</f>
        <v>43</v>
      </c>
      <c r="P1462" s="1">
        <f t="shared" si="51"/>
        <v>44228</v>
      </c>
      <c r="Q1462">
        <f t="shared" si="57"/>
        <v>485</v>
      </c>
    </row>
    <row r="1463" spans="1:17" x14ac:dyDescent="0.25">
      <c r="A1463" s="1">
        <f t="shared" si="56"/>
        <v>44713</v>
      </c>
      <c r="B1463" t="s">
        <v>171</v>
      </c>
      <c r="C1463" t="str">
        <f>_xlfn.XLOOKUP(B1463,Phone_by_Price!$A$2:$A$34,Phone_by_Price!$B$2:$B$34,"-",0,1)</f>
        <v>Samsung Galaxy A22 5G</v>
      </c>
      <c r="D1463" t="str">
        <f>_xlfn.XLOOKUP(C1463,Phone_by_Sentiment!$B$2:$B$37,Phone_by_Sentiment!$A$2:$A$37,"-",0,1)</f>
        <v>2021-05</v>
      </c>
      <c r="E1463" cm="1">
        <f t="array" ref="E1463">IF($Q1463&gt;=0,IFERROR(generateSalesData($D1463, IF(ISNUMBER(_xlfn.XLOOKUP($C1463,Phone_by_Sentiment!$B$2:$B$37,Phone_by_Sentiment!E$2:E$37,"",0,1)),_xlfn.XLOOKUP($C1463,Phone_by_Sentiment!$B$2:$B$37,Phone_by_Sentiment!E$2:E$37,"",0,1),0),$A1463-TEXT(DATEVALUE($D1463&amp;"-01"), "dd-mm-yyyy")),0),0)</f>
        <v>743</v>
      </c>
      <c r="F1463" cm="1">
        <f t="array" ref="F1463">IF($Q1463&gt;=0,IFERROR(generateSalesData($D1463, IF(ISNUMBER(_xlfn.XLOOKUP($C1463,Phone_by_Sentiment!$B$2:$B$37,Phone_by_Sentiment!F$2:F$37,"",0,1)),_xlfn.XLOOKUP($C1463,Phone_by_Sentiment!$B$2:$B$37,Phone_by_Sentiment!F$2:F$37,"",0,1),0),$A1463-TEXT(DATEVALUE($D1463&amp;"-01"), "dd-mm-yyyy")),0),0)</f>
        <v>1389</v>
      </c>
      <c r="G1463" cm="1">
        <f t="array" ref="G1463">IF($Q1463&gt;=0,IFERROR(generateSalesData($D1463, IF(ISNUMBER(_xlfn.XLOOKUP($C1463,Phone_by_Sentiment!$B$2:$B$37,Phone_by_Sentiment!G$2:G$37,"",0,1)),_xlfn.XLOOKUP($C1463,Phone_by_Sentiment!$B$2:$B$37,Phone_by_Sentiment!G$2:G$37,"",0,1),0),$A1463-TEXT(DATEVALUE($D1463&amp;"-01"), "dd-mm-yyyy")),0),0)</f>
        <v>104</v>
      </c>
      <c r="H1463" cm="1">
        <f t="array" ref="H1463">IF($Q1463&gt;=0,IFERROR(generateSalesData($D1463, IF(ISNUMBER(_xlfn.XLOOKUP($C1463,Phone_by_Sentiment!$B$2:$B$37,Phone_by_Sentiment!H$2:H$37,"",0,1)),_xlfn.XLOOKUP($C1463,Phone_by_Sentiment!$B$2:$B$37,Phone_by_Sentiment!H$2:H$37,"",0,1),0),$A1463-TEXT(DATEVALUE($D1463&amp;"-01"), "dd-mm-yyyy")),0),0)</f>
        <v>940</v>
      </c>
      <c r="I1463" cm="1">
        <f t="array" ref="I1463">IF($Q1463&gt;=0,IFERROR(generateSalesData($D1463, IF(ISNUMBER(_xlfn.XLOOKUP($C1463,Phone_by_Sentiment!$B$2:$B$37,Phone_by_Sentiment!I$2:I$37,"",0,1)),_xlfn.XLOOKUP($C1463,Phone_by_Sentiment!$B$2:$B$37,Phone_by_Sentiment!I$2:I$37,"",0,1),0),$A1463-TEXT(DATEVALUE($D1463&amp;"-01"), "dd-mm-yyyy")),0),0)</f>
        <v>866</v>
      </c>
      <c r="J1463" cm="1">
        <f t="array" ref="J1463">IF($Q1463&gt;=0,IFERROR(generateSalesData($D1463, IF(ISNUMBER(_xlfn.XLOOKUP($C1463,Phone_by_Sentiment!$B$2:$B$37,Phone_by_Sentiment!J$2:J$37,"",0,1)),_xlfn.XLOOKUP($C1463,Phone_by_Sentiment!$B$2:$B$37,Phone_by_Sentiment!J$2:J$37,"",0,1),0),$A1463-TEXT(DATEVALUE($D1463&amp;"-01"), "dd-mm-yyyy")),0),0)</f>
        <v>354</v>
      </c>
      <c r="K1463" cm="1">
        <f t="array" ref="K1463">IF($Q1463&gt;=0,IFERROR(generateSalesData($D1463, IF(ISNUMBER(_xlfn.XLOOKUP($C1463,Phone_by_Sentiment!$B$2:$B$37,Phone_by_Sentiment!K$2:K$37,"",0,1)),_xlfn.XLOOKUP($C1463,Phone_by_Sentiment!$B$2:$B$37,Phone_by_Sentiment!K$2:K$37,"",0,1),0),$A1463-TEXT(DATEVALUE($D1463&amp;"-01"), "dd-mm-yyyy")),0),0)</f>
        <v>85</v>
      </c>
      <c r="L1463" cm="1">
        <f t="array" ref="L1463">IF($Q1463&gt;=0,IFERROR(generateSalesData($D1463, IF(ISNUMBER(_xlfn.XLOOKUP($C1463,Phone_by_Sentiment!$B$2:$B$37,Phone_by_Sentiment!L$2:L$37,"",0,1)),_xlfn.XLOOKUP($C1463,Phone_by_Sentiment!$B$2:$B$37,Phone_by_Sentiment!L$2:L$37,"",0,1),0),$A1463-TEXT(DATEVALUE($D1463&amp;"-01"), "dd-mm-yyyy")),0),0)</f>
        <v>560</v>
      </c>
      <c r="M1463" cm="1">
        <f t="array" ref="M1463">IF($Q1463&gt;=0,IFERROR(generateSalesData($D1463, IF(ISNUMBER(_xlfn.XLOOKUP($C1463,Phone_by_Sentiment!$B$2:$B$37,Phone_by_Sentiment!M$2:M$37,"",0,1)),_xlfn.XLOOKUP($C1463,Phone_by_Sentiment!$B$2:$B$37,Phone_by_Sentiment!M$2:M$37,"",0,1),0),$A1463-TEXT(DATEVALUE($D1463&amp;"-01"), "dd-mm-yyyy")),0),0)</f>
        <v>632</v>
      </c>
      <c r="N1463" cm="1">
        <f t="array" ref="N1463">IF($Q1463&gt;=0,IFERROR(generateSalesData($D1463, IF(ISNUMBER(_xlfn.XLOOKUP($C1463,Phone_by_Sentiment!$B$2:$B$37,Phone_by_Sentiment!N$2:N$37,"",0,1)),_xlfn.XLOOKUP($C1463,Phone_by_Sentiment!$B$2:$B$37,Phone_by_Sentiment!N$2:N$37,"",0,1),0),$A1463-TEXT(DATEVALUE($D1463&amp;"-01"), "dd-mm-yyyy")),0),0)</f>
        <v>397</v>
      </c>
      <c r="O1463" cm="1">
        <f t="array" ref="O1463">IF($Q1463&gt;=0,IFERROR(generateSalesData($D1463, IF(ISNUMBER(_xlfn.XLOOKUP($C1463,Phone_by_Sentiment!$B$2:$B$37,Phone_by_Sentiment!O$2:O$37,"",0,1)),_xlfn.XLOOKUP($C1463,Phone_by_Sentiment!$B$2:$B$37,Phone_by_Sentiment!O$2:O$37,"",0,1),0),$A1463-TEXT(DATEVALUE($D1463&amp;"-01"), "dd-mm-yyyy")),0),0)</f>
        <v>386</v>
      </c>
      <c r="P1463" s="1">
        <f t="shared" si="51"/>
        <v>44317</v>
      </c>
      <c r="Q1463">
        <f t="shared" si="57"/>
        <v>396</v>
      </c>
    </row>
    <row r="1464" spans="1:17" x14ac:dyDescent="0.25">
      <c r="A1464" s="1">
        <f t="shared" si="56"/>
        <v>44713</v>
      </c>
      <c r="B1464" t="s">
        <v>172</v>
      </c>
      <c r="C1464" t="str">
        <f>_xlfn.XLOOKUP(B1464,Phone_by_Price!$A$2:$A$34,Phone_by_Price!$B$2:$B$34,"-",0,1)</f>
        <v>Xiaomi Redmi 9</v>
      </c>
      <c r="D1464" t="str">
        <f>_xlfn.XLOOKUP(C1464,Phone_by_Sentiment!$B$2:$B$37,Phone_by_Sentiment!$A$2:$A$37,"-",0,1)</f>
        <v>2020-08</v>
      </c>
      <c r="E1464" cm="1">
        <f t="array" ref="E1464">IF($Q1464&gt;=0,IFERROR(generateSalesData($D1464, IF(ISNUMBER(_xlfn.XLOOKUP($C1464,Phone_by_Sentiment!$B$2:$B$37,Phone_by_Sentiment!E$2:E$37,"",0,1)),_xlfn.XLOOKUP($C1464,Phone_by_Sentiment!$B$2:$B$37,Phone_by_Sentiment!E$2:E$37,"",0,1),0),$A1464-TEXT(DATEVALUE($D1464&amp;"-01"), "dd-mm-yyyy")),0),0)</f>
        <v>93</v>
      </c>
      <c r="F1464" cm="1">
        <f t="array" ref="F1464">IF($Q1464&gt;=0,IFERROR(generateSalesData($D1464, IF(ISNUMBER(_xlfn.XLOOKUP($C1464,Phone_by_Sentiment!$B$2:$B$37,Phone_by_Sentiment!F$2:F$37,"",0,1)),_xlfn.XLOOKUP($C1464,Phone_by_Sentiment!$B$2:$B$37,Phone_by_Sentiment!F$2:F$37,"",0,1),0),$A1464-TEXT(DATEVALUE($D1464&amp;"-01"), "dd-mm-yyyy")),0),0)</f>
        <v>46</v>
      </c>
      <c r="G1464" cm="1">
        <f t="array" ref="G1464">IF($Q1464&gt;=0,IFERROR(generateSalesData($D1464, IF(ISNUMBER(_xlfn.XLOOKUP($C1464,Phone_by_Sentiment!$B$2:$B$37,Phone_by_Sentiment!G$2:G$37,"",0,1)),_xlfn.XLOOKUP($C1464,Phone_by_Sentiment!$B$2:$B$37,Phone_by_Sentiment!G$2:G$37,"",0,1),0),$A1464-TEXT(DATEVALUE($D1464&amp;"-01"), "dd-mm-yyyy")),0),0)</f>
        <v>89</v>
      </c>
      <c r="H1464" cm="1">
        <f t="array" ref="H1464">IF($Q1464&gt;=0,IFERROR(generateSalesData($D1464, IF(ISNUMBER(_xlfn.XLOOKUP($C1464,Phone_by_Sentiment!$B$2:$B$37,Phone_by_Sentiment!H$2:H$37,"",0,1)),_xlfn.XLOOKUP($C1464,Phone_by_Sentiment!$B$2:$B$37,Phone_by_Sentiment!H$2:H$37,"",0,1),0),$A1464-TEXT(DATEVALUE($D1464&amp;"-01"), "dd-mm-yyyy")),0),0)</f>
        <v>211</v>
      </c>
      <c r="I1464" cm="1">
        <f t="array" ref="I1464">IF($Q1464&gt;=0,IFERROR(generateSalesData($D1464, IF(ISNUMBER(_xlfn.XLOOKUP($C1464,Phone_by_Sentiment!$B$2:$B$37,Phone_by_Sentiment!I$2:I$37,"",0,1)),_xlfn.XLOOKUP($C1464,Phone_by_Sentiment!$B$2:$B$37,Phone_by_Sentiment!I$2:I$37,"",0,1),0),$A1464-TEXT(DATEVALUE($D1464&amp;"-01"), "dd-mm-yyyy")),0),0)</f>
        <v>118</v>
      </c>
      <c r="J1464" cm="1">
        <f t="array" ref="J1464">IF($Q1464&gt;=0,IFERROR(generateSalesData($D1464, IF(ISNUMBER(_xlfn.XLOOKUP($C1464,Phone_by_Sentiment!$B$2:$B$37,Phone_by_Sentiment!J$2:J$37,"",0,1)),_xlfn.XLOOKUP($C1464,Phone_by_Sentiment!$B$2:$B$37,Phone_by_Sentiment!J$2:J$37,"",0,1),0),$A1464-TEXT(DATEVALUE($D1464&amp;"-01"), "dd-mm-yyyy")),0),0)</f>
        <v>117</v>
      </c>
      <c r="K1464" cm="1">
        <f t="array" ref="K1464">IF($Q1464&gt;=0,IFERROR(generateSalesData($D1464, IF(ISNUMBER(_xlfn.XLOOKUP($C1464,Phone_by_Sentiment!$B$2:$B$37,Phone_by_Sentiment!K$2:K$37,"",0,1)),_xlfn.XLOOKUP($C1464,Phone_by_Sentiment!$B$2:$B$37,Phone_by_Sentiment!K$2:K$37,"",0,1),0),$A1464-TEXT(DATEVALUE($D1464&amp;"-01"), "dd-mm-yyyy")),0),0)</f>
        <v>340</v>
      </c>
      <c r="L1464" cm="1">
        <f t="array" ref="L1464">IF($Q1464&gt;=0,IFERROR(generateSalesData($D1464, IF(ISNUMBER(_xlfn.XLOOKUP($C1464,Phone_by_Sentiment!$B$2:$B$37,Phone_by_Sentiment!L$2:L$37,"",0,1)),_xlfn.XLOOKUP($C1464,Phone_by_Sentiment!$B$2:$B$37,Phone_by_Sentiment!L$2:L$37,"",0,1),0),$A1464-TEXT(DATEVALUE($D1464&amp;"-01"), "dd-mm-yyyy")),0),0)</f>
        <v>90</v>
      </c>
      <c r="M1464" cm="1">
        <f t="array" ref="M1464">IF($Q1464&gt;=0,IFERROR(generateSalesData($D1464, IF(ISNUMBER(_xlfn.XLOOKUP($C1464,Phone_by_Sentiment!$B$2:$B$37,Phone_by_Sentiment!M$2:M$37,"",0,1)),_xlfn.XLOOKUP($C1464,Phone_by_Sentiment!$B$2:$B$37,Phone_by_Sentiment!M$2:M$37,"",0,1),0),$A1464-TEXT(DATEVALUE($D1464&amp;"-01"), "dd-mm-yyyy")),0),0)</f>
        <v>264</v>
      </c>
      <c r="N1464" cm="1">
        <f t="array" ref="N1464">IF($Q1464&gt;=0,IFERROR(generateSalesData($D1464, IF(ISNUMBER(_xlfn.XLOOKUP($C1464,Phone_by_Sentiment!$B$2:$B$37,Phone_by_Sentiment!N$2:N$37,"",0,1)),_xlfn.XLOOKUP($C1464,Phone_by_Sentiment!$B$2:$B$37,Phone_by_Sentiment!N$2:N$37,"",0,1),0),$A1464-TEXT(DATEVALUE($D1464&amp;"-01"), "dd-mm-yyyy")),0),0)</f>
        <v>106</v>
      </c>
      <c r="O1464" cm="1">
        <f t="array" ref="O1464">IF($Q1464&gt;=0,IFERROR(generateSalesData($D1464, IF(ISNUMBER(_xlfn.XLOOKUP($C1464,Phone_by_Sentiment!$B$2:$B$37,Phone_by_Sentiment!O$2:O$37,"",0,1)),_xlfn.XLOOKUP($C1464,Phone_by_Sentiment!$B$2:$B$37,Phone_by_Sentiment!O$2:O$37,"",0,1),0),$A1464-TEXT(DATEVALUE($D1464&amp;"-01"), "dd-mm-yyyy")),0),0)</f>
        <v>246</v>
      </c>
      <c r="P1464" s="1">
        <f t="shared" si="51"/>
        <v>44044</v>
      </c>
      <c r="Q1464">
        <f t="shared" si="57"/>
        <v>669</v>
      </c>
    </row>
    <row r="1465" spans="1:17" x14ac:dyDescent="0.25">
      <c r="A1465" s="1">
        <f t="shared" si="56"/>
        <v>44713</v>
      </c>
      <c r="B1465" t="s">
        <v>173</v>
      </c>
      <c r="C1465" t="str">
        <f>_xlfn.XLOOKUP(B1465,Phone_by_Price!$A$2:$A$34,Phone_by_Price!$B$2:$B$34,"-",0,1)</f>
        <v>Realme C3</v>
      </c>
      <c r="D1465" t="str">
        <f>_xlfn.XLOOKUP(C1465,Phone_by_Sentiment!$B$2:$B$37,Phone_by_Sentiment!$A$2:$A$37,"-",0,1)</f>
        <v>2020-02</v>
      </c>
      <c r="E1465" cm="1">
        <f t="array" ref="E1465">IF($Q1465&gt;=0,IFERROR(generateSalesData($D1465, IF(ISNUMBER(_xlfn.XLOOKUP($C1465,Phone_by_Sentiment!$B$2:$B$37,Phone_by_Sentiment!E$2:E$37,"",0,1)),_xlfn.XLOOKUP($C1465,Phone_by_Sentiment!$B$2:$B$37,Phone_by_Sentiment!E$2:E$37,"",0,1),0),$A1465-TEXT(DATEVALUE($D1465&amp;"-01"), "dd-mm-yyyy")),0),0)</f>
        <v>18</v>
      </c>
      <c r="F1465" cm="1">
        <f t="array" ref="F1465">IF($Q1465&gt;=0,IFERROR(generateSalesData($D1465, IF(ISNUMBER(_xlfn.XLOOKUP($C1465,Phone_by_Sentiment!$B$2:$B$37,Phone_by_Sentiment!F$2:F$37,"",0,1)),_xlfn.XLOOKUP($C1465,Phone_by_Sentiment!$B$2:$B$37,Phone_by_Sentiment!F$2:F$37,"",0,1),0),$A1465-TEXT(DATEVALUE($D1465&amp;"-01"), "dd-mm-yyyy")),0),0)</f>
        <v>47</v>
      </c>
      <c r="G1465" cm="1">
        <f t="array" ref="G1465">IF($Q1465&gt;=0,IFERROR(generateSalesData($D1465, IF(ISNUMBER(_xlfn.XLOOKUP($C1465,Phone_by_Sentiment!$B$2:$B$37,Phone_by_Sentiment!G$2:G$37,"",0,1)),_xlfn.XLOOKUP($C1465,Phone_by_Sentiment!$B$2:$B$37,Phone_by_Sentiment!G$2:G$37,"",0,1),0),$A1465-TEXT(DATEVALUE($D1465&amp;"-01"), "dd-mm-yyyy")),0),0)</f>
        <v>79</v>
      </c>
      <c r="H1465" cm="1">
        <f t="array" ref="H1465">IF($Q1465&gt;=0,IFERROR(generateSalesData($D1465, IF(ISNUMBER(_xlfn.XLOOKUP($C1465,Phone_by_Sentiment!$B$2:$B$37,Phone_by_Sentiment!H$2:H$37,"",0,1)),_xlfn.XLOOKUP($C1465,Phone_by_Sentiment!$B$2:$B$37,Phone_by_Sentiment!H$2:H$37,"",0,1),0),$A1465-TEXT(DATEVALUE($D1465&amp;"-01"), "dd-mm-yyyy")),0),0)</f>
        <v>261</v>
      </c>
      <c r="I1465" cm="1">
        <f t="array" ref="I1465">IF($Q1465&gt;=0,IFERROR(generateSalesData($D1465, IF(ISNUMBER(_xlfn.XLOOKUP($C1465,Phone_by_Sentiment!$B$2:$B$37,Phone_by_Sentiment!I$2:I$37,"",0,1)),_xlfn.XLOOKUP($C1465,Phone_by_Sentiment!$B$2:$B$37,Phone_by_Sentiment!I$2:I$37,"",0,1),0),$A1465-TEXT(DATEVALUE($D1465&amp;"-01"), "dd-mm-yyyy")),0),0)</f>
        <v>398</v>
      </c>
      <c r="J1465" cm="1">
        <f t="array" ref="J1465">IF($Q1465&gt;=0,IFERROR(generateSalesData($D1465, IF(ISNUMBER(_xlfn.XLOOKUP($C1465,Phone_by_Sentiment!$B$2:$B$37,Phone_by_Sentiment!J$2:J$37,"",0,1)),_xlfn.XLOOKUP($C1465,Phone_by_Sentiment!$B$2:$B$37,Phone_by_Sentiment!J$2:J$37,"",0,1),0),$A1465-TEXT(DATEVALUE($D1465&amp;"-01"), "dd-mm-yyyy")),0),0)</f>
        <v>18</v>
      </c>
      <c r="K1465" cm="1">
        <f t="array" ref="K1465">IF($Q1465&gt;=0,IFERROR(generateSalesData($D1465, IF(ISNUMBER(_xlfn.XLOOKUP($C1465,Phone_by_Sentiment!$B$2:$B$37,Phone_by_Sentiment!K$2:K$37,"",0,1)),_xlfn.XLOOKUP($C1465,Phone_by_Sentiment!$B$2:$B$37,Phone_by_Sentiment!K$2:K$37,"",0,1),0),$A1465-TEXT(DATEVALUE($D1465&amp;"-01"), "dd-mm-yyyy")),0),0)</f>
        <v>26</v>
      </c>
      <c r="L1465" cm="1">
        <f t="array" ref="L1465">IF($Q1465&gt;=0,IFERROR(generateSalesData($D1465, IF(ISNUMBER(_xlfn.XLOOKUP($C1465,Phone_by_Sentiment!$B$2:$B$37,Phone_by_Sentiment!L$2:L$37,"",0,1)),_xlfn.XLOOKUP($C1465,Phone_by_Sentiment!$B$2:$B$37,Phone_by_Sentiment!L$2:L$37,"",0,1),0),$A1465-TEXT(DATEVALUE($D1465&amp;"-01"), "dd-mm-yyyy")),0),0)</f>
        <v>186</v>
      </c>
      <c r="M1465" cm="1">
        <f t="array" ref="M1465">IF($Q1465&gt;=0,IFERROR(generateSalesData($D1465, IF(ISNUMBER(_xlfn.XLOOKUP($C1465,Phone_by_Sentiment!$B$2:$B$37,Phone_by_Sentiment!M$2:M$37,"",0,1)),_xlfn.XLOOKUP($C1465,Phone_by_Sentiment!$B$2:$B$37,Phone_by_Sentiment!M$2:M$37,"",0,1),0),$A1465-TEXT(DATEVALUE($D1465&amp;"-01"), "dd-mm-yyyy")),0),0)</f>
        <v>87</v>
      </c>
      <c r="N1465" cm="1">
        <f t="array" ref="N1465">IF($Q1465&gt;=0,IFERROR(generateSalesData($D1465, IF(ISNUMBER(_xlfn.XLOOKUP($C1465,Phone_by_Sentiment!$B$2:$B$37,Phone_by_Sentiment!N$2:N$37,"",0,1)),_xlfn.XLOOKUP($C1465,Phone_by_Sentiment!$B$2:$B$37,Phone_by_Sentiment!N$2:N$37,"",0,1),0),$A1465-TEXT(DATEVALUE($D1465&amp;"-01"), "dd-mm-yyyy")),0),0)</f>
        <v>258</v>
      </c>
      <c r="O1465" cm="1">
        <f t="array" ref="O1465">IF($Q1465&gt;=0,IFERROR(generateSalesData($D1465, IF(ISNUMBER(_xlfn.XLOOKUP($C1465,Phone_by_Sentiment!$B$2:$B$37,Phone_by_Sentiment!O$2:O$37,"",0,1)),_xlfn.XLOOKUP($C1465,Phone_by_Sentiment!$B$2:$B$37,Phone_by_Sentiment!O$2:O$37,"",0,1),0),$A1465-TEXT(DATEVALUE($D1465&amp;"-01"), "dd-mm-yyyy")),0),0)</f>
        <v>122</v>
      </c>
      <c r="P1465" s="1">
        <f t="shared" si="51"/>
        <v>43862</v>
      </c>
      <c r="Q1465">
        <f t="shared" si="57"/>
        <v>851</v>
      </c>
    </row>
    <row r="1466" spans="1:17" x14ac:dyDescent="0.25">
      <c r="A1466" s="1">
        <f t="shared" si="56"/>
        <v>44713</v>
      </c>
      <c r="B1466" t="s">
        <v>174</v>
      </c>
      <c r="C1466" t="str">
        <f>_xlfn.XLOOKUP(B1466,Phone_by_Price!$A$2:$A$34,Phone_by_Price!$B$2:$B$34,"-",0,1)</f>
        <v>Samsung Galaxy A7</v>
      </c>
      <c r="D1466" t="str">
        <f>_xlfn.XLOOKUP(C1466,Phone_by_Sentiment!$B$2:$B$37,Phone_by_Sentiment!$A$2:$A$37,"-",0,1)</f>
        <v>2018-10</v>
      </c>
      <c r="E1466" cm="1">
        <f t="array" ref="E1466">IF($Q1466&gt;=0,IFERROR(generateSalesData($D1466, IF(ISNUMBER(_xlfn.XLOOKUP($C1466,Phone_by_Sentiment!$B$2:$B$37,Phone_by_Sentiment!E$2:E$37,"",0,1)),_xlfn.XLOOKUP($C1466,Phone_by_Sentiment!$B$2:$B$37,Phone_by_Sentiment!E$2:E$37,"",0,1),0),$A1466-TEXT(DATEVALUE($D1466&amp;"-01"), "dd-mm-yyyy")),0),0)</f>
        <v>72</v>
      </c>
      <c r="F1466" cm="1">
        <f t="array" ref="F1466">IF($Q1466&gt;=0,IFERROR(generateSalesData($D1466, IF(ISNUMBER(_xlfn.XLOOKUP($C1466,Phone_by_Sentiment!$B$2:$B$37,Phone_by_Sentiment!F$2:F$37,"",0,1)),_xlfn.XLOOKUP($C1466,Phone_by_Sentiment!$B$2:$B$37,Phone_by_Sentiment!F$2:F$37,"",0,1),0),$A1466-TEXT(DATEVALUE($D1466&amp;"-01"), "dd-mm-yyyy")),0),0)</f>
        <v>100</v>
      </c>
      <c r="G1466" cm="1">
        <f t="array" ref="G1466">IF($Q1466&gt;=0,IFERROR(generateSalesData($D1466, IF(ISNUMBER(_xlfn.XLOOKUP($C1466,Phone_by_Sentiment!$B$2:$B$37,Phone_by_Sentiment!G$2:G$37,"",0,1)),_xlfn.XLOOKUP($C1466,Phone_by_Sentiment!$B$2:$B$37,Phone_by_Sentiment!G$2:G$37,"",0,1),0),$A1466-TEXT(DATEVALUE($D1466&amp;"-01"), "dd-mm-yyyy")),0),0)</f>
        <v>72</v>
      </c>
      <c r="H1466" cm="1">
        <f t="array" ref="H1466">IF($Q1466&gt;=0,IFERROR(generateSalesData($D1466, IF(ISNUMBER(_xlfn.XLOOKUP($C1466,Phone_by_Sentiment!$B$2:$B$37,Phone_by_Sentiment!H$2:H$37,"",0,1)),_xlfn.XLOOKUP($C1466,Phone_by_Sentiment!$B$2:$B$37,Phone_by_Sentiment!H$2:H$37,"",0,1),0),$A1466-TEXT(DATEVALUE($D1466&amp;"-01"), "dd-mm-yyyy")),0),0)</f>
        <v>164</v>
      </c>
      <c r="I1466" cm="1">
        <f t="array" ref="I1466">IF($Q1466&gt;=0,IFERROR(generateSalesData($D1466, IF(ISNUMBER(_xlfn.XLOOKUP($C1466,Phone_by_Sentiment!$B$2:$B$37,Phone_by_Sentiment!I$2:I$37,"",0,1)),_xlfn.XLOOKUP($C1466,Phone_by_Sentiment!$B$2:$B$37,Phone_by_Sentiment!I$2:I$37,"",0,1),0),$A1466-TEXT(DATEVALUE($D1466&amp;"-01"), "dd-mm-yyyy")),0),0)</f>
        <v>109</v>
      </c>
      <c r="J1466" cm="1">
        <f t="array" ref="J1466">IF($Q1466&gt;=0,IFERROR(generateSalesData($D1466, IF(ISNUMBER(_xlfn.XLOOKUP($C1466,Phone_by_Sentiment!$B$2:$B$37,Phone_by_Sentiment!J$2:J$37,"",0,1)),_xlfn.XLOOKUP($C1466,Phone_by_Sentiment!$B$2:$B$37,Phone_by_Sentiment!J$2:J$37,"",0,1),0),$A1466-TEXT(DATEVALUE($D1466&amp;"-01"), "dd-mm-yyyy")),0),0)</f>
        <v>15</v>
      </c>
      <c r="K1466" cm="1">
        <f t="array" ref="K1466">IF($Q1466&gt;=0,IFERROR(generateSalesData($D1466, IF(ISNUMBER(_xlfn.XLOOKUP($C1466,Phone_by_Sentiment!$B$2:$B$37,Phone_by_Sentiment!K$2:K$37,"",0,1)),_xlfn.XLOOKUP($C1466,Phone_by_Sentiment!$B$2:$B$37,Phone_by_Sentiment!K$2:K$37,"",0,1),0),$A1466-TEXT(DATEVALUE($D1466&amp;"-01"), "dd-mm-yyyy")),0),0)</f>
        <v>57</v>
      </c>
      <c r="L1466" cm="1">
        <f t="array" ref="L1466">IF($Q1466&gt;=0,IFERROR(generateSalesData($D1466, IF(ISNUMBER(_xlfn.XLOOKUP($C1466,Phone_by_Sentiment!$B$2:$B$37,Phone_by_Sentiment!L$2:L$37,"",0,1)),_xlfn.XLOOKUP($C1466,Phone_by_Sentiment!$B$2:$B$37,Phone_by_Sentiment!L$2:L$37,"",0,1),0),$A1466-TEXT(DATEVALUE($D1466&amp;"-01"), "dd-mm-yyyy")),0),0)</f>
        <v>67</v>
      </c>
      <c r="M1466" cm="1">
        <f t="array" ref="M1466">IF($Q1466&gt;=0,IFERROR(generateSalesData($D1466, IF(ISNUMBER(_xlfn.XLOOKUP($C1466,Phone_by_Sentiment!$B$2:$B$37,Phone_by_Sentiment!M$2:M$37,"",0,1)),_xlfn.XLOOKUP($C1466,Phone_by_Sentiment!$B$2:$B$37,Phone_by_Sentiment!M$2:M$37,"",0,1),0),$A1466-TEXT(DATEVALUE($D1466&amp;"-01"), "dd-mm-yyyy")),0),0)</f>
        <v>161</v>
      </c>
      <c r="N1466" cm="1">
        <f t="array" ref="N1466">IF($Q1466&gt;=0,IFERROR(generateSalesData($D1466, IF(ISNUMBER(_xlfn.XLOOKUP($C1466,Phone_by_Sentiment!$B$2:$B$37,Phone_by_Sentiment!N$2:N$37,"",0,1)),_xlfn.XLOOKUP($C1466,Phone_by_Sentiment!$B$2:$B$37,Phone_by_Sentiment!N$2:N$37,"",0,1),0),$A1466-TEXT(DATEVALUE($D1466&amp;"-01"), "dd-mm-yyyy")),0),0)</f>
        <v>153</v>
      </c>
      <c r="O1466" cm="1">
        <f t="array" ref="O1466">IF($Q1466&gt;=0,IFERROR(generateSalesData($D1466, IF(ISNUMBER(_xlfn.XLOOKUP($C1466,Phone_by_Sentiment!$B$2:$B$37,Phone_by_Sentiment!O$2:O$37,"",0,1)),_xlfn.XLOOKUP($C1466,Phone_by_Sentiment!$B$2:$B$37,Phone_by_Sentiment!O$2:O$37,"",0,1),0),$A1466-TEXT(DATEVALUE($D1466&amp;"-01"), "dd-mm-yyyy")),0),0)</f>
        <v>84</v>
      </c>
      <c r="P1466" s="1">
        <f t="shared" si="51"/>
        <v>43374</v>
      </c>
      <c r="Q1466">
        <f t="shared" si="57"/>
        <v>1339</v>
      </c>
    </row>
    <row r="1467" spans="1:17" x14ac:dyDescent="0.25">
      <c r="A1467" s="1">
        <f t="shared" si="56"/>
        <v>44713</v>
      </c>
      <c r="B1467" t="s">
        <v>142</v>
      </c>
      <c r="C1467" t="str">
        <f>_xlfn.XLOOKUP(B1467,Phone_by_Price!$A$2:$A$34,Phone_by_Price!$B$2:$B$34,"-",0,1)</f>
        <v>iPhone 11</v>
      </c>
      <c r="D1467" t="str">
        <f>_xlfn.XLOOKUP(C1467,Phone_by_Sentiment!$B$2:$B$37,Phone_by_Sentiment!$A$2:$A$37,"-",0,1)</f>
        <v>2019-09</v>
      </c>
      <c r="E1467" cm="1">
        <f t="array" ref="E1467">IF($Q1467&gt;=0,IFERROR(generateSalesData($D1467, IF(ISNUMBER(_xlfn.XLOOKUP($C1467,Phone_by_Sentiment!$B$2:$B$37,Phone_by_Sentiment!E$2:E$37,"",0,1)),_xlfn.XLOOKUP($C1467,Phone_by_Sentiment!$B$2:$B$37,Phone_by_Sentiment!E$2:E$37,"",0,1),0),$A1467-TEXT(DATEVALUE($D1467&amp;"-01"), "dd-mm-yyyy")),0),0)</f>
        <v>181</v>
      </c>
      <c r="F1467" cm="1">
        <f t="array" ref="F1467">IF($Q1467&gt;=0,IFERROR(generateSalesData($D1467, IF(ISNUMBER(_xlfn.XLOOKUP($C1467,Phone_by_Sentiment!$B$2:$B$37,Phone_by_Sentiment!F$2:F$37,"",0,1)),_xlfn.XLOOKUP($C1467,Phone_by_Sentiment!$B$2:$B$37,Phone_by_Sentiment!F$2:F$37,"",0,1),0),$A1467-TEXT(DATEVALUE($D1467&amp;"-01"), "dd-mm-yyyy")),0),0)</f>
        <v>146</v>
      </c>
      <c r="G1467" cm="1">
        <f t="array" ref="G1467">IF($Q1467&gt;=0,IFERROR(generateSalesData($D1467, IF(ISNUMBER(_xlfn.XLOOKUP($C1467,Phone_by_Sentiment!$B$2:$B$37,Phone_by_Sentiment!G$2:G$37,"",0,1)),_xlfn.XLOOKUP($C1467,Phone_by_Sentiment!$B$2:$B$37,Phone_by_Sentiment!G$2:G$37,"",0,1),0),$A1467-TEXT(DATEVALUE($D1467&amp;"-01"), "dd-mm-yyyy")),0),0)</f>
        <v>53</v>
      </c>
      <c r="H1467" cm="1">
        <f t="array" ref="H1467">IF($Q1467&gt;=0,IFERROR(generateSalesData($D1467, IF(ISNUMBER(_xlfn.XLOOKUP($C1467,Phone_by_Sentiment!$B$2:$B$37,Phone_by_Sentiment!H$2:H$37,"",0,1)),_xlfn.XLOOKUP($C1467,Phone_by_Sentiment!$B$2:$B$37,Phone_by_Sentiment!H$2:H$37,"",0,1),0),$A1467-TEXT(DATEVALUE($D1467&amp;"-01"), "dd-mm-yyyy")),0),0)</f>
        <v>261</v>
      </c>
      <c r="I1467" cm="1">
        <f t="array" ref="I1467">IF($Q1467&gt;=0,IFERROR(generateSalesData($D1467, IF(ISNUMBER(_xlfn.XLOOKUP($C1467,Phone_by_Sentiment!$B$2:$B$37,Phone_by_Sentiment!I$2:I$37,"",0,1)),_xlfn.XLOOKUP($C1467,Phone_by_Sentiment!$B$2:$B$37,Phone_by_Sentiment!I$2:I$37,"",0,1),0),$A1467-TEXT(DATEVALUE($D1467&amp;"-01"), "dd-mm-yyyy")),0),0)</f>
        <v>97</v>
      </c>
      <c r="J1467" cm="1">
        <f t="array" ref="J1467">IF($Q1467&gt;=0,IFERROR(generateSalesData($D1467, IF(ISNUMBER(_xlfn.XLOOKUP($C1467,Phone_by_Sentiment!$B$2:$B$37,Phone_by_Sentiment!J$2:J$37,"",0,1)),_xlfn.XLOOKUP($C1467,Phone_by_Sentiment!$B$2:$B$37,Phone_by_Sentiment!J$2:J$37,"",0,1),0),$A1467-TEXT(DATEVALUE($D1467&amp;"-01"), "dd-mm-yyyy")),0),0)</f>
        <v>491</v>
      </c>
      <c r="K1467" cm="1">
        <f t="array" ref="K1467">IF($Q1467&gt;=0,IFERROR(generateSalesData($D1467, IF(ISNUMBER(_xlfn.XLOOKUP($C1467,Phone_by_Sentiment!$B$2:$B$37,Phone_by_Sentiment!K$2:K$37,"",0,1)),_xlfn.XLOOKUP($C1467,Phone_by_Sentiment!$B$2:$B$37,Phone_by_Sentiment!K$2:K$37,"",0,1),0),$A1467-TEXT(DATEVALUE($D1467&amp;"-01"), "dd-mm-yyyy")),0),0)</f>
        <v>92</v>
      </c>
      <c r="L1467" cm="1">
        <f t="array" ref="L1467">IF($Q1467&gt;=0,IFERROR(generateSalesData($D1467, IF(ISNUMBER(_xlfn.XLOOKUP($C1467,Phone_by_Sentiment!$B$2:$B$37,Phone_by_Sentiment!L$2:L$37,"",0,1)),_xlfn.XLOOKUP($C1467,Phone_by_Sentiment!$B$2:$B$37,Phone_by_Sentiment!L$2:L$37,"",0,1),0),$A1467-TEXT(DATEVALUE($D1467&amp;"-01"), "dd-mm-yyyy")),0),0)</f>
        <v>229</v>
      </c>
      <c r="M1467" cm="1">
        <f t="array" ref="M1467">IF($Q1467&gt;=0,IFERROR(generateSalesData($D1467, IF(ISNUMBER(_xlfn.XLOOKUP($C1467,Phone_by_Sentiment!$B$2:$B$37,Phone_by_Sentiment!M$2:M$37,"",0,1)),_xlfn.XLOOKUP($C1467,Phone_by_Sentiment!$B$2:$B$37,Phone_by_Sentiment!M$2:M$37,"",0,1),0),$A1467-TEXT(DATEVALUE($D1467&amp;"-01"), "dd-mm-yyyy")),0),0)</f>
        <v>336</v>
      </c>
      <c r="N1467" cm="1">
        <f t="array" ref="N1467">IF($Q1467&gt;=0,IFERROR(generateSalesData($D1467, IF(ISNUMBER(_xlfn.XLOOKUP($C1467,Phone_by_Sentiment!$B$2:$B$37,Phone_by_Sentiment!N$2:N$37,"",0,1)),_xlfn.XLOOKUP($C1467,Phone_by_Sentiment!$B$2:$B$37,Phone_by_Sentiment!N$2:N$37,"",0,1),0),$A1467-TEXT(DATEVALUE($D1467&amp;"-01"), "dd-mm-yyyy")),0),0)</f>
        <v>-28</v>
      </c>
      <c r="O1467" cm="1">
        <f t="array" ref="O1467">IF($Q1467&gt;=0,IFERROR(generateSalesData($D1467, IF(ISNUMBER(_xlfn.XLOOKUP($C1467,Phone_by_Sentiment!$B$2:$B$37,Phone_by_Sentiment!O$2:O$37,"",0,1)),_xlfn.XLOOKUP($C1467,Phone_by_Sentiment!$B$2:$B$37,Phone_by_Sentiment!O$2:O$37,"",0,1),0),$A1467-TEXT(DATEVALUE($D1467&amp;"-01"), "dd-mm-yyyy")),0),0)</f>
        <v>302</v>
      </c>
      <c r="P1467" s="1">
        <f t="shared" si="51"/>
        <v>43709</v>
      </c>
      <c r="Q1467">
        <f t="shared" si="57"/>
        <v>1004</v>
      </c>
    </row>
    <row r="1468" spans="1:17" x14ac:dyDescent="0.25">
      <c r="A1468" s="1">
        <f t="shared" si="56"/>
        <v>44713</v>
      </c>
      <c r="B1468" t="s">
        <v>143</v>
      </c>
      <c r="C1468" t="str">
        <f>_xlfn.XLOOKUP(B1468,Phone_by_Price!$A$2:$A$34,Phone_by_Price!$B$2:$B$34,"-",0,1)</f>
        <v>Samsung Galaxy S20 Ultra</v>
      </c>
      <c r="D1468" t="str">
        <f>_xlfn.XLOOKUP(C1468,Phone_by_Sentiment!$B$2:$B$37,Phone_by_Sentiment!$A$2:$A$37,"-",0,1)</f>
        <v>2020-02</v>
      </c>
      <c r="E1468" cm="1">
        <f t="array" ref="E1468">IF($Q1468&gt;=0,IFERROR(generateSalesData($D1468, IF(ISNUMBER(_xlfn.XLOOKUP($C1468,Phone_by_Sentiment!$B$2:$B$37,Phone_by_Sentiment!E$2:E$37,"",0,1)),_xlfn.XLOOKUP($C1468,Phone_by_Sentiment!$B$2:$B$37,Phone_by_Sentiment!E$2:E$37,"",0,1),0),$A1468-TEXT(DATEVALUE($D1468&amp;"-01"), "dd-mm-yyyy")),0),0)</f>
        <v>19</v>
      </c>
      <c r="F1468" cm="1">
        <f t="array" ref="F1468">IF($Q1468&gt;=0,IFERROR(generateSalesData($D1468, IF(ISNUMBER(_xlfn.XLOOKUP($C1468,Phone_by_Sentiment!$B$2:$B$37,Phone_by_Sentiment!F$2:F$37,"",0,1)),_xlfn.XLOOKUP($C1468,Phone_by_Sentiment!$B$2:$B$37,Phone_by_Sentiment!F$2:F$37,"",0,1),0),$A1468-TEXT(DATEVALUE($D1468&amp;"-01"), "dd-mm-yyyy")),0),0)</f>
        <v>292</v>
      </c>
      <c r="G1468" cm="1">
        <f t="array" ref="G1468">IF($Q1468&gt;=0,IFERROR(generateSalesData($D1468, IF(ISNUMBER(_xlfn.XLOOKUP($C1468,Phone_by_Sentiment!$B$2:$B$37,Phone_by_Sentiment!G$2:G$37,"",0,1)),_xlfn.XLOOKUP($C1468,Phone_by_Sentiment!$B$2:$B$37,Phone_by_Sentiment!G$2:G$37,"",0,1),0),$A1468-TEXT(DATEVALUE($D1468&amp;"-01"), "dd-mm-yyyy")),0),0)</f>
        <v>61</v>
      </c>
      <c r="H1468" cm="1">
        <f t="array" ref="H1468">IF($Q1468&gt;=0,IFERROR(generateSalesData($D1468, IF(ISNUMBER(_xlfn.XLOOKUP($C1468,Phone_by_Sentiment!$B$2:$B$37,Phone_by_Sentiment!H$2:H$37,"",0,1)),_xlfn.XLOOKUP($C1468,Phone_by_Sentiment!$B$2:$B$37,Phone_by_Sentiment!H$2:H$37,"",0,1),0),$A1468-TEXT(DATEVALUE($D1468&amp;"-01"), "dd-mm-yyyy")),0),0)</f>
        <v>253</v>
      </c>
      <c r="I1468" cm="1">
        <f t="array" ref="I1468">IF($Q1468&gt;=0,IFERROR(generateSalesData($D1468, IF(ISNUMBER(_xlfn.XLOOKUP($C1468,Phone_by_Sentiment!$B$2:$B$37,Phone_by_Sentiment!I$2:I$37,"",0,1)),_xlfn.XLOOKUP($C1468,Phone_by_Sentiment!$B$2:$B$37,Phone_by_Sentiment!I$2:I$37,"",0,1),0),$A1468-TEXT(DATEVALUE($D1468&amp;"-01"), "dd-mm-yyyy")),0),0)</f>
        <v>451</v>
      </c>
      <c r="J1468" cm="1">
        <f t="array" ref="J1468">IF($Q1468&gt;=0,IFERROR(generateSalesData($D1468, IF(ISNUMBER(_xlfn.XLOOKUP($C1468,Phone_by_Sentiment!$B$2:$B$37,Phone_by_Sentiment!J$2:J$37,"",0,1)),_xlfn.XLOOKUP($C1468,Phone_by_Sentiment!$B$2:$B$37,Phone_by_Sentiment!J$2:J$37,"",0,1),0),$A1468-TEXT(DATEVALUE($D1468&amp;"-01"), "dd-mm-yyyy")),0),0)</f>
        <v>239</v>
      </c>
      <c r="K1468" cm="1">
        <f t="array" ref="K1468">IF($Q1468&gt;=0,IFERROR(generateSalesData($D1468, IF(ISNUMBER(_xlfn.XLOOKUP($C1468,Phone_by_Sentiment!$B$2:$B$37,Phone_by_Sentiment!K$2:K$37,"",0,1)),_xlfn.XLOOKUP($C1468,Phone_by_Sentiment!$B$2:$B$37,Phone_by_Sentiment!K$2:K$37,"",0,1),0),$A1468-TEXT(DATEVALUE($D1468&amp;"-01"), "dd-mm-yyyy")),0),0)</f>
        <v>57</v>
      </c>
      <c r="L1468" cm="1">
        <f t="array" ref="L1468">IF($Q1468&gt;=0,IFERROR(generateSalesData($D1468, IF(ISNUMBER(_xlfn.XLOOKUP($C1468,Phone_by_Sentiment!$B$2:$B$37,Phone_by_Sentiment!L$2:L$37,"",0,1)),_xlfn.XLOOKUP($C1468,Phone_by_Sentiment!$B$2:$B$37,Phone_by_Sentiment!L$2:L$37,"",0,1),0),$A1468-TEXT(DATEVALUE($D1468&amp;"-01"), "dd-mm-yyyy")),0),0)</f>
        <v>402</v>
      </c>
      <c r="M1468" cm="1">
        <f t="array" ref="M1468">IF($Q1468&gt;=0,IFERROR(generateSalesData($D1468, IF(ISNUMBER(_xlfn.XLOOKUP($C1468,Phone_by_Sentiment!$B$2:$B$37,Phone_by_Sentiment!M$2:M$37,"",0,1)),_xlfn.XLOOKUP($C1468,Phone_by_Sentiment!$B$2:$B$37,Phone_by_Sentiment!M$2:M$37,"",0,1),0),$A1468-TEXT(DATEVALUE($D1468&amp;"-01"), "dd-mm-yyyy")),0),0)</f>
        <v>288</v>
      </c>
      <c r="N1468" cm="1">
        <f t="array" ref="N1468">IF($Q1468&gt;=0,IFERROR(generateSalesData($D1468, IF(ISNUMBER(_xlfn.XLOOKUP($C1468,Phone_by_Sentiment!$B$2:$B$37,Phone_by_Sentiment!N$2:N$37,"",0,1)),_xlfn.XLOOKUP($C1468,Phone_by_Sentiment!$B$2:$B$37,Phone_by_Sentiment!N$2:N$37,"",0,1),0),$A1468-TEXT(DATEVALUE($D1468&amp;"-01"), "dd-mm-yyyy")),0),0)</f>
        <v>463</v>
      </c>
      <c r="O1468" cm="1">
        <f t="array" ref="O1468">IF($Q1468&gt;=0,IFERROR(generateSalesData($D1468, IF(ISNUMBER(_xlfn.XLOOKUP($C1468,Phone_by_Sentiment!$B$2:$B$37,Phone_by_Sentiment!O$2:O$37,"",0,1)),_xlfn.XLOOKUP($C1468,Phone_by_Sentiment!$B$2:$B$37,Phone_by_Sentiment!O$2:O$37,"",0,1),0),$A1468-TEXT(DATEVALUE($D1468&amp;"-01"), "dd-mm-yyyy")),0),0)</f>
        <v>138</v>
      </c>
      <c r="P1468" s="1">
        <f t="shared" si="51"/>
        <v>43862</v>
      </c>
      <c r="Q1468">
        <f t="shared" si="57"/>
        <v>851</v>
      </c>
    </row>
    <row r="1469" spans="1:17" x14ac:dyDescent="0.25">
      <c r="A1469" s="1">
        <f t="shared" si="56"/>
        <v>44713</v>
      </c>
      <c r="B1469" t="s">
        <v>144</v>
      </c>
      <c r="C1469" t="str">
        <f>_xlfn.XLOOKUP(B1469,Phone_by_Price!$A$2:$A$34,Phone_by_Price!$B$2:$B$34,"-",0,1)</f>
        <v>Xiaomi Redmi Note 10</v>
      </c>
      <c r="D1469" t="str">
        <f>_xlfn.XLOOKUP(C1469,Phone_by_Sentiment!$B$2:$B$37,Phone_by_Sentiment!$A$2:$A$37,"-",0,1)</f>
        <v>2021-03</v>
      </c>
      <c r="E1469" cm="1">
        <f t="array" ref="E1469">IF($Q1469&gt;=0,IFERROR(generateSalesData($D1469, IF(ISNUMBER(_xlfn.XLOOKUP($C1469,Phone_by_Sentiment!$B$2:$B$37,Phone_by_Sentiment!E$2:E$37,"",0,1)),_xlfn.XLOOKUP($C1469,Phone_by_Sentiment!$B$2:$B$37,Phone_by_Sentiment!E$2:E$37,"",0,1),0),$A1469-TEXT(DATEVALUE($D1469&amp;"-01"), "dd-mm-yyyy")),0),0)</f>
        <v>496</v>
      </c>
      <c r="F1469" cm="1">
        <f t="array" ref="F1469">IF($Q1469&gt;=0,IFERROR(generateSalesData($D1469, IF(ISNUMBER(_xlfn.XLOOKUP($C1469,Phone_by_Sentiment!$B$2:$B$37,Phone_by_Sentiment!F$2:F$37,"",0,1)),_xlfn.XLOOKUP($C1469,Phone_by_Sentiment!$B$2:$B$37,Phone_by_Sentiment!F$2:F$37,"",0,1),0),$A1469-TEXT(DATEVALUE($D1469&amp;"-01"), "dd-mm-yyyy")),0),0)</f>
        <v>119</v>
      </c>
      <c r="G1469" cm="1">
        <f t="array" ref="G1469">IF($Q1469&gt;=0,IFERROR(generateSalesData($D1469, IF(ISNUMBER(_xlfn.XLOOKUP($C1469,Phone_by_Sentiment!$B$2:$B$37,Phone_by_Sentiment!G$2:G$37,"",0,1)),_xlfn.XLOOKUP($C1469,Phone_by_Sentiment!$B$2:$B$37,Phone_by_Sentiment!G$2:G$37,"",0,1),0),$A1469-TEXT(DATEVALUE($D1469&amp;"-01"), "dd-mm-yyyy")),0),0)</f>
        <v>81</v>
      </c>
      <c r="H1469" cm="1">
        <f t="array" ref="H1469">IF($Q1469&gt;=0,IFERROR(generateSalesData($D1469, IF(ISNUMBER(_xlfn.XLOOKUP($C1469,Phone_by_Sentiment!$B$2:$B$37,Phone_by_Sentiment!H$2:H$37,"",0,1)),_xlfn.XLOOKUP($C1469,Phone_by_Sentiment!$B$2:$B$37,Phone_by_Sentiment!H$2:H$37,"",0,1),0),$A1469-TEXT(DATEVALUE($D1469&amp;"-01"), "dd-mm-yyyy")),0),0)</f>
        <v>336</v>
      </c>
      <c r="I1469" cm="1">
        <f t="array" ref="I1469">IF($Q1469&gt;=0,IFERROR(generateSalesData($D1469, IF(ISNUMBER(_xlfn.XLOOKUP($C1469,Phone_by_Sentiment!$B$2:$B$37,Phone_by_Sentiment!I$2:I$37,"",0,1)),_xlfn.XLOOKUP($C1469,Phone_by_Sentiment!$B$2:$B$37,Phone_by_Sentiment!I$2:I$37,"",0,1),0),$A1469-TEXT(DATEVALUE($D1469&amp;"-01"), "dd-mm-yyyy")),0),0)</f>
        <v>468</v>
      </c>
      <c r="J1469" cm="1">
        <f t="array" ref="J1469">IF($Q1469&gt;=0,IFERROR(generateSalesData($D1469, IF(ISNUMBER(_xlfn.XLOOKUP($C1469,Phone_by_Sentiment!$B$2:$B$37,Phone_by_Sentiment!J$2:J$37,"",0,1)),_xlfn.XLOOKUP($C1469,Phone_by_Sentiment!$B$2:$B$37,Phone_by_Sentiment!J$2:J$37,"",0,1),0),$A1469-TEXT(DATEVALUE($D1469&amp;"-01"), "dd-mm-yyyy")),0),0)</f>
        <v>54</v>
      </c>
      <c r="K1469" cm="1">
        <f t="array" ref="K1469">IF($Q1469&gt;=0,IFERROR(generateSalesData($D1469, IF(ISNUMBER(_xlfn.XLOOKUP($C1469,Phone_by_Sentiment!$B$2:$B$37,Phone_by_Sentiment!K$2:K$37,"",0,1)),_xlfn.XLOOKUP($C1469,Phone_by_Sentiment!$B$2:$B$37,Phone_by_Sentiment!K$2:K$37,"",0,1),0),$A1469-TEXT(DATEVALUE($D1469&amp;"-01"), "dd-mm-yyyy")),0),0)</f>
        <v>483</v>
      </c>
      <c r="L1469" cm="1">
        <f t="array" ref="L1469">IF($Q1469&gt;=0,IFERROR(generateSalesData($D1469, IF(ISNUMBER(_xlfn.XLOOKUP($C1469,Phone_by_Sentiment!$B$2:$B$37,Phone_by_Sentiment!L$2:L$37,"",0,1)),_xlfn.XLOOKUP($C1469,Phone_by_Sentiment!$B$2:$B$37,Phone_by_Sentiment!L$2:L$37,"",0,1),0),$A1469-TEXT(DATEVALUE($D1469&amp;"-01"), "dd-mm-yyyy")),0),0)</f>
        <v>461</v>
      </c>
      <c r="M1469" cm="1">
        <f t="array" ref="M1469">IF($Q1469&gt;=0,IFERROR(generateSalesData($D1469, IF(ISNUMBER(_xlfn.XLOOKUP($C1469,Phone_by_Sentiment!$B$2:$B$37,Phone_by_Sentiment!M$2:M$37,"",0,1)),_xlfn.XLOOKUP($C1469,Phone_by_Sentiment!$B$2:$B$37,Phone_by_Sentiment!M$2:M$37,"",0,1),0),$A1469-TEXT(DATEVALUE($D1469&amp;"-01"), "dd-mm-yyyy")),0),0)</f>
        <v>134</v>
      </c>
      <c r="N1469" cm="1">
        <f t="array" ref="N1469">IF($Q1469&gt;=0,IFERROR(generateSalesData($D1469, IF(ISNUMBER(_xlfn.XLOOKUP($C1469,Phone_by_Sentiment!$B$2:$B$37,Phone_by_Sentiment!N$2:N$37,"",0,1)),_xlfn.XLOOKUP($C1469,Phone_by_Sentiment!$B$2:$B$37,Phone_by_Sentiment!N$2:N$37,"",0,1),0),$A1469-TEXT(DATEVALUE($D1469&amp;"-01"), "dd-mm-yyyy")),0),0)</f>
        <v>428</v>
      </c>
      <c r="O1469" cm="1">
        <f t="array" ref="O1469">IF($Q1469&gt;=0,IFERROR(generateSalesData($D1469, IF(ISNUMBER(_xlfn.XLOOKUP($C1469,Phone_by_Sentiment!$B$2:$B$37,Phone_by_Sentiment!O$2:O$37,"",0,1)),_xlfn.XLOOKUP($C1469,Phone_by_Sentiment!$B$2:$B$37,Phone_by_Sentiment!O$2:O$37,"",0,1),0),$A1469-TEXT(DATEVALUE($D1469&amp;"-01"), "dd-mm-yyyy")),0),0)</f>
        <v>384</v>
      </c>
      <c r="P1469" s="1">
        <f t="shared" si="51"/>
        <v>44256</v>
      </c>
      <c r="Q1469">
        <f t="shared" si="57"/>
        <v>457</v>
      </c>
    </row>
    <row r="1470" spans="1:17" x14ac:dyDescent="0.25">
      <c r="A1470" s="1">
        <f t="shared" si="56"/>
        <v>44713</v>
      </c>
      <c r="B1470" t="s">
        <v>145</v>
      </c>
      <c r="C1470" t="str">
        <f>_xlfn.XLOOKUP(B1470,Phone_by_Price!$A$2:$A$34,Phone_by_Price!$B$2:$B$34,"-",0,1)</f>
        <v>OPPO A54</v>
      </c>
      <c r="D1470" t="str">
        <f>_xlfn.XLOOKUP(C1470,Phone_by_Sentiment!$B$2:$B$37,Phone_by_Sentiment!$A$2:$A$37,"-",0,1)</f>
        <v>2021-04</v>
      </c>
      <c r="E1470" cm="1">
        <f t="array" ref="E1470">IF($Q1470&gt;=0,IFERROR(generateSalesData($D1470, IF(ISNUMBER(_xlfn.XLOOKUP($C1470,Phone_by_Sentiment!$B$2:$B$37,Phone_by_Sentiment!E$2:E$37,"",0,1)),_xlfn.XLOOKUP($C1470,Phone_by_Sentiment!$B$2:$B$37,Phone_by_Sentiment!E$2:E$37,"",0,1),0),$A1470-TEXT(DATEVALUE($D1470&amp;"-01"), "dd-mm-yyyy")),0),0)</f>
        <v>350</v>
      </c>
      <c r="F1470" cm="1">
        <f t="array" ref="F1470">IF($Q1470&gt;=0,IFERROR(generateSalesData($D1470, IF(ISNUMBER(_xlfn.XLOOKUP($C1470,Phone_by_Sentiment!$B$2:$B$37,Phone_by_Sentiment!F$2:F$37,"",0,1)),_xlfn.XLOOKUP($C1470,Phone_by_Sentiment!$B$2:$B$37,Phone_by_Sentiment!F$2:F$37,"",0,1),0),$A1470-TEXT(DATEVALUE($D1470&amp;"-01"), "dd-mm-yyyy")),0),0)</f>
        <v>267</v>
      </c>
      <c r="G1470" cm="1">
        <f t="array" ref="G1470">IF($Q1470&gt;=0,IFERROR(generateSalesData($D1470, IF(ISNUMBER(_xlfn.XLOOKUP($C1470,Phone_by_Sentiment!$B$2:$B$37,Phone_by_Sentiment!G$2:G$37,"",0,1)),_xlfn.XLOOKUP($C1470,Phone_by_Sentiment!$B$2:$B$37,Phone_by_Sentiment!G$2:G$37,"",0,1),0),$A1470-TEXT(DATEVALUE($D1470&amp;"-01"), "dd-mm-yyyy")),0),0)</f>
        <v>190</v>
      </c>
      <c r="H1470" cm="1">
        <f t="array" ref="H1470">IF($Q1470&gt;=0,IFERROR(generateSalesData($D1470, IF(ISNUMBER(_xlfn.XLOOKUP($C1470,Phone_by_Sentiment!$B$2:$B$37,Phone_by_Sentiment!H$2:H$37,"",0,1)),_xlfn.XLOOKUP($C1470,Phone_by_Sentiment!$B$2:$B$37,Phone_by_Sentiment!H$2:H$37,"",0,1),0),$A1470-TEXT(DATEVALUE($D1470&amp;"-01"), "dd-mm-yyyy")),0),0)</f>
        <v>239</v>
      </c>
      <c r="I1470" cm="1">
        <f t="array" ref="I1470">IF($Q1470&gt;=0,IFERROR(generateSalesData($D1470, IF(ISNUMBER(_xlfn.XLOOKUP($C1470,Phone_by_Sentiment!$B$2:$B$37,Phone_by_Sentiment!I$2:I$37,"",0,1)),_xlfn.XLOOKUP($C1470,Phone_by_Sentiment!$B$2:$B$37,Phone_by_Sentiment!I$2:I$37,"",0,1),0),$A1470-TEXT(DATEVALUE($D1470&amp;"-01"), "dd-mm-yyyy")),0),0)</f>
        <v>326</v>
      </c>
      <c r="J1470" cm="1">
        <f t="array" ref="J1470">IF($Q1470&gt;=0,IFERROR(generateSalesData($D1470, IF(ISNUMBER(_xlfn.XLOOKUP($C1470,Phone_by_Sentiment!$B$2:$B$37,Phone_by_Sentiment!J$2:J$37,"",0,1)),_xlfn.XLOOKUP($C1470,Phone_by_Sentiment!$B$2:$B$37,Phone_by_Sentiment!J$2:J$37,"",0,1),0),$A1470-TEXT(DATEVALUE($D1470&amp;"-01"), "dd-mm-yyyy")),0),0)</f>
        <v>96</v>
      </c>
      <c r="K1470" cm="1">
        <f t="array" ref="K1470">IF($Q1470&gt;=0,IFERROR(generateSalesData($D1470, IF(ISNUMBER(_xlfn.XLOOKUP($C1470,Phone_by_Sentiment!$B$2:$B$37,Phone_by_Sentiment!K$2:K$37,"",0,1)),_xlfn.XLOOKUP($C1470,Phone_by_Sentiment!$B$2:$B$37,Phone_by_Sentiment!K$2:K$37,"",0,1),0),$A1470-TEXT(DATEVALUE($D1470&amp;"-01"), "dd-mm-yyyy")),0),0)</f>
        <v>136</v>
      </c>
      <c r="L1470" cm="1">
        <f t="array" ref="L1470">IF($Q1470&gt;=0,IFERROR(generateSalesData($D1470, IF(ISNUMBER(_xlfn.XLOOKUP($C1470,Phone_by_Sentiment!$B$2:$B$37,Phone_by_Sentiment!L$2:L$37,"",0,1)),_xlfn.XLOOKUP($C1470,Phone_by_Sentiment!$B$2:$B$37,Phone_by_Sentiment!L$2:L$37,"",0,1),0),$A1470-TEXT(DATEVALUE($D1470&amp;"-01"), "dd-mm-yyyy")),0),0)</f>
        <v>702</v>
      </c>
      <c r="M1470" cm="1">
        <f t="array" ref="M1470">IF($Q1470&gt;=0,IFERROR(generateSalesData($D1470, IF(ISNUMBER(_xlfn.XLOOKUP($C1470,Phone_by_Sentiment!$B$2:$B$37,Phone_by_Sentiment!M$2:M$37,"",0,1)),_xlfn.XLOOKUP($C1470,Phone_by_Sentiment!$B$2:$B$37,Phone_by_Sentiment!M$2:M$37,"",0,1),0),$A1470-TEXT(DATEVALUE($D1470&amp;"-01"), "dd-mm-yyyy")),0),0)</f>
        <v>59</v>
      </c>
      <c r="N1470" cm="1">
        <f t="array" ref="N1470">IF($Q1470&gt;=0,IFERROR(generateSalesData($D1470, IF(ISNUMBER(_xlfn.XLOOKUP($C1470,Phone_by_Sentiment!$B$2:$B$37,Phone_by_Sentiment!N$2:N$37,"",0,1)),_xlfn.XLOOKUP($C1470,Phone_by_Sentiment!$B$2:$B$37,Phone_by_Sentiment!N$2:N$37,"",0,1),0),$A1470-TEXT(DATEVALUE($D1470&amp;"-01"), "dd-mm-yyyy")),0),0)</f>
        <v>497</v>
      </c>
      <c r="O1470" cm="1">
        <f t="array" ref="O1470">IF($Q1470&gt;=0,IFERROR(generateSalesData($D1470, IF(ISNUMBER(_xlfn.XLOOKUP($C1470,Phone_by_Sentiment!$B$2:$B$37,Phone_by_Sentiment!O$2:O$37,"",0,1)),_xlfn.XLOOKUP($C1470,Phone_by_Sentiment!$B$2:$B$37,Phone_by_Sentiment!O$2:O$37,"",0,1),0),$A1470-TEXT(DATEVALUE($D1470&amp;"-01"), "dd-mm-yyyy")),0),0)</f>
        <v>42</v>
      </c>
      <c r="P1470" s="1">
        <f t="shared" si="51"/>
        <v>44287</v>
      </c>
      <c r="Q1470">
        <f t="shared" si="57"/>
        <v>426</v>
      </c>
    </row>
    <row r="1471" spans="1:17" x14ac:dyDescent="0.25">
      <c r="A1471" s="1">
        <f t="shared" si="56"/>
        <v>44743</v>
      </c>
      <c r="B1471" t="s">
        <v>144</v>
      </c>
      <c r="C1471" t="str">
        <f>_xlfn.XLOOKUP(B1471,Phone_by_Price!$A$2:$A$34,Phone_by_Price!$B$2:$B$34,"-",0,1)</f>
        <v>Xiaomi Redmi Note 10</v>
      </c>
      <c r="D1471" t="str">
        <f>_xlfn.XLOOKUP(C1471,Phone_by_Sentiment!$B$2:$B$37,Phone_by_Sentiment!$A$2:$A$37,"-",0,1)</f>
        <v>2021-03</v>
      </c>
      <c r="E1471" cm="1">
        <f t="array" ref="E1471">IF($Q1471&gt;=0,IFERROR(generateSalesData($D1471, IF(ISNUMBER(_xlfn.XLOOKUP($C1471,Phone_by_Sentiment!$B$2:$B$37,Phone_by_Sentiment!E$2:E$37,"",0,1)),_xlfn.XLOOKUP($C1471,Phone_by_Sentiment!$B$2:$B$37,Phone_by_Sentiment!E$2:E$37,"",0,1),0),$A1471-TEXT(DATEVALUE($D1471&amp;"-01"), "dd-mm-yyyy")),0),0)</f>
        <v>577</v>
      </c>
      <c r="F1471" cm="1">
        <f t="array" ref="F1471">IF($Q1471&gt;=0,IFERROR(generateSalesData($D1471, IF(ISNUMBER(_xlfn.XLOOKUP($C1471,Phone_by_Sentiment!$B$2:$B$37,Phone_by_Sentiment!F$2:F$37,"",0,1)),_xlfn.XLOOKUP($C1471,Phone_by_Sentiment!$B$2:$B$37,Phone_by_Sentiment!F$2:F$37,"",0,1),0),$A1471-TEXT(DATEVALUE($D1471&amp;"-01"), "dd-mm-yyyy")),0),0)</f>
        <v>58</v>
      </c>
      <c r="G1471" cm="1">
        <f t="array" ref="G1471">IF($Q1471&gt;=0,IFERROR(generateSalesData($D1471, IF(ISNUMBER(_xlfn.XLOOKUP($C1471,Phone_by_Sentiment!$B$2:$B$37,Phone_by_Sentiment!G$2:G$37,"",0,1)),_xlfn.XLOOKUP($C1471,Phone_by_Sentiment!$B$2:$B$37,Phone_by_Sentiment!G$2:G$37,"",0,1),0),$A1471-TEXT(DATEVALUE($D1471&amp;"-01"), "dd-mm-yyyy")),0),0)</f>
        <v>154</v>
      </c>
      <c r="H1471" cm="1">
        <f t="array" ref="H1471">IF($Q1471&gt;=0,IFERROR(generateSalesData($D1471, IF(ISNUMBER(_xlfn.XLOOKUP($C1471,Phone_by_Sentiment!$B$2:$B$37,Phone_by_Sentiment!H$2:H$37,"",0,1)),_xlfn.XLOOKUP($C1471,Phone_by_Sentiment!$B$2:$B$37,Phone_by_Sentiment!H$2:H$37,"",0,1),0),$A1471-TEXT(DATEVALUE($D1471&amp;"-01"), "dd-mm-yyyy")),0),0)</f>
        <v>167</v>
      </c>
      <c r="I1471" cm="1">
        <f t="array" ref="I1471">IF($Q1471&gt;=0,IFERROR(generateSalesData($D1471, IF(ISNUMBER(_xlfn.XLOOKUP($C1471,Phone_by_Sentiment!$B$2:$B$37,Phone_by_Sentiment!I$2:I$37,"",0,1)),_xlfn.XLOOKUP($C1471,Phone_by_Sentiment!$B$2:$B$37,Phone_by_Sentiment!I$2:I$37,"",0,1),0),$A1471-TEXT(DATEVALUE($D1471&amp;"-01"), "dd-mm-yyyy")),0),0)</f>
        <v>379</v>
      </c>
      <c r="J1471" cm="1">
        <f t="array" ref="J1471">IF($Q1471&gt;=0,IFERROR(generateSalesData($D1471, IF(ISNUMBER(_xlfn.XLOOKUP($C1471,Phone_by_Sentiment!$B$2:$B$37,Phone_by_Sentiment!J$2:J$37,"",0,1)),_xlfn.XLOOKUP($C1471,Phone_by_Sentiment!$B$2:$B$37,Phone_by_Sentiment!J$2:J$37,"",0,1),0),$A1471-TEXT(DATEVALUE($D1471&amp;"-01"), "dd-mm-yyyy")),0),0)</f>
        <v>418</v>
      </c>
      <c r="K1471" cm="1">
        <f t="array" ref="K1471">IF($Q1471&gt;=0,IFERROR(generateSalesData($D1471, IF(ISNUMBER(_xlfn.XLOOKUP($C1471,Phone_by_Sentiment!$B$2:$B$37,Phone_by_Sentiment!K$2:K$37,"",0,1)),_xlfn.XLOOKUP($C1471,Phone_by_Sentiment!$B$2:$B$37,Phone_by_Sentiment!K$2:K$37,"",0,1),0),$A1471-TEXT(DATEVALUE($D1471&amp;"-01"), "dd-mm-yyyy")),0),0)</f>
        <v>821</v>
      </c>
      <c r="L1471" cm="1">
        <f t="array" ref="L1471">IF($Q1471&gt;=0,IFERROR(generateSalesData($D1471, IF(ISNUMBER(_xlfn.XLOOKUP($C1471,Phone_by_Sentiment!$B$2:$B$37,Phone_by_Sentiment!L$2:L$37,"",0,1)),_xlfn.XLOOKUP($C1471,Phone_by_Sentiment!$B$2:$B$37,Phone_by_Sentiment!L$2:L$37,"",0,1),0),$A1471-TEXT(DATEVALUE($D1471&amp;"-01"), "dd-mm-yyyy")),0),0)</f>
        <v>162</v>
      </c>
      <c r="M1471" cm="1">
        <f t="array" ref="M1471">IF($Q1471&gt;=0,IFERROR(generateSalesData($D1471, IF(ISNUMBER(_xlfn.XLOOKUP($C1471,Phone_by_Sentiment!$B$2:$B$37,Phone_by_Sentiment!M$2:M$37,"",0,1)),_xlfn.XLOOKUP($C1471,Phone_by_Sentiment!$B$2:$B$37,Phone_by_Sentiment!M$2:M$37,"",0,1),0),$A1471-TEXT(DATEVALUE($D1471&amp;"-01"), "dd-mm-yyyy")),0),0)</f>
        <v>228</v>
      </c>
      <c r="N1471" cm="1">
        <f t="array" ref="N1471">IF($Q1471&gt;=0,IFERROR(generateSalesData($D1471, IF(ISNUMBER(_xlfn.XLOOKUP($C1471,Phone_by_Sentiment!$B$2:$B$37,Phone_by_Sentiment!N$2:N$37,"",0,1)),_xlfn.XLOOKUP($C1471,Phone_by_Sentiment!$B$2:$B$37,Phone_by_Sentiment!N$2:N$37,"",0,1),0),$A1471-TEXT(DATEVALUE($D1471&amp;"-01"), "dd-mm-yyyy")),0),0)</f>
        <v>308</v>
      </c>
      <c r="O1471" cm="1">
        <f t="array" ref="O1471">IF($Q1471&gt;=0,IFERROR(generateSalesData($D1471, IF(ISNUMBER(_xlfn.XLOOKUP($C1471,Phone_by_Sentiment!$B$2:$B$37,Phone_by_Sentiment!O$2:O$37,"",0,1)),_xlfn.XLOOKUP($C1471,Phone_by_Sentiment!$B$2:$B$37,Phone_by_Sentiment!O$2:O$37,"",0,1),0),$A1471-TEXT(DATEVALUE($D1471&amp;"-01"), "dd-mm-yyyy")),0),0)</f>
        <v>670</v>
      </c>
      <c r="P1471" s="1">
        <f t="shared" si="51"/>
        <v>44256</v>
      </c>
      <c r="Q1471">
        <f t="shared" si="57"/>
        <v>487</v>
      </c>
    </row>
    <row r="1472" spans="1:17" x14ac:dyDescent="0.25">
      <c r="A1472" s="1">
        <f t="shared" si="56"/>
        <v>44743</v>
      </c>
      <c r="B1472" t="s">
        <v>145</v>
      </c>
      <c r="C1472" t="str">
        <f>_xlfn.XLOOKUP(B1472,Phone_by_Price!$A$2:$A$34,Phone_by_Price!$B$2:$B$34,"-",0,1)</f>
        <v>OPPO A54</v>
      </c>
      <c r="D1472" t="str">
        <f>_xlfn.XLOOKUP(C1472,Phone_by_Sentiment!$B$2:$B$37,Phone_by_Sentiment!$A$2:$A$37,"-",0,1)</f>
        <v>2021-04</v>
      </c>
      <c r="E1472" cm="1">
        <f t="array" ref="E1472">IF($Q1472&gt;=0,IFERROR(generateSalesData($D1472, IF(ISNUMBER(_xlfn.XLOOKUP($C1472,Phone_by_Sentiment!$B$2:$B$37,Phone_by_Sentiment!E$2:E$37,"",0,1)),_xlfn.XLOOKUP($C1472,Phone_by_Sentiment!$B$2:$B$37,Phone_by_Sentiment!E$2:E$37,"",0,1),0),$A1472-TEXT(DATEVALUE($D1472&amp;"-01"), "dd-mm-yyyy")),0),0)</f>
        <v>296</v>
      </c>
      <c r="F1472" cm="1">
        <f t="array" ref="F1472">IF($Q1472&gt;=0,IFERROR(generateSalesData($D1472, IF(ISNUMBER(_xlfn.XLOOKUP($C1472,Phone_by_Sentiment!$B$2:$B$37,Phone_by_Sentiment!F$2:F$37,"",0,1)),_xlfn.XLOOKUP($C1472,Phone_by_Sentiment!$B$2:$B$37,Phone_by_Sentiment!F$2:F$37,"",0,1),0),$A1472-TEXT(DATEVALUE($D1472&amp;"-01"), "dd-mm-yyyy")),0),0)</f>
        <v>103</v>
      </c>
      <c r="G1472" cm="1">
        <f t="array" ref="G1472">IF($Q1472&gt;=0,IFERROR(generateSalesData($D1472, IF(ISNUMBER(_xlfn.XLOOKUP($C1472,Phone_by_Sentiment!$B$2:$B$37,Phone_by_Sentiment!G$2:G$37,"",0,1)),_xlfn.XLOOKUP($C1472,Phone_by_Sentiment!$B$2:$B$37,Phone_by_Sentiment!G$2:G$37,"",0,1),0),$A1472-TEXT(DATEVALUE($D1472&amp;"-01"), "dd-mm-yyyy")),0),0)</f>
        <v>91</v>
      </c>
      <c r="H1472" cm="1">
        <f t="array" ref="H1472">IF($Q1472&gt;=0,IFERROR(generateSalesData($D1472, IF(ISNUMBER(_xlfn.XLOOKUP($C1472,Phone_by_Sentiment!$B$2:$B$37,Phone_by_Sentiment!H$2:H$37,"",0,1)),_xlfn.XLOOKUP($C1472,Phone_by_Sentiment!$B$2:$B$37,Phone_by_Sentiment!H$2:H$37,"",0,1),0),$A1472-TEXT(DATEVALUE($D1472&amp;"-01"), "dd-mm-yyyy")),0),0)</f>
        <v>692</v>
      </c>
      <c r="I1472" cm="1">
        <f t="array" ref="I1472">IF($Q1472&gt;=0,IFERROR(generateSalesData($D1472, IF(ISNUMBER(_xlfn.XLOOKUP($C1472,Phone_by_Sentiment!$B$2:$B$37,Phone_by_Sentiment!I$2:I$37,"",0,1)),_xlfn.XLOOKUP($C1472,Phone_by_Sentiment!$B$2:$B$37,Phone_by_Sentiment!I$2:I$37,"",0,1),0),$A1472-TEXT(DATEVALUE($D1472&amp;"-01"), "dd-mm-yyyy")),0),0)</f>
        <v>800</v>
      </c>
      <c r="J1472" cm="1">
        <f t="array" ref="J1472">IF($Q1472&gt;=0,IFERROR(generateSalesData($D1472, IF(ISNUMBER(_xlfn.XLOOKUP($C1472,Phone_by_Sentiment!$B$2:$B$37,Phone_by_Sentiment!J$2:J$37,"",0,1)),_xlfn.XLOOKUP($C1472,Phone_by_Sentiment!$B$2:$B$37,Phone_by_Sentiment!J$2:J$37,"",0,1),0),$A1472-TEXT(DATEVALUE($D1472&amp;"-01"), "dd-mm-yyyy")),0),0)</f>
        <v>198</v>
      </c>
      <c r="K1472" cm="1">
        <f t="array" ref="K1472">IF($Q1472&gt;=0,IFERROR(generateSalesData($D1472, IF(ISNUMBER(_xlfn.XLOOKUP($C1472,Phone_by_Sentiment!$B$2:$B$37,Phone_by_Sentiment!K$2:K$37,"",0,1)),_xlfn.XLOOKUP($C1472,Phone_by_Sentiment!$B$2:$B$37,Phone_by_Sentiment!K$2:K$37,"",0,1),0),$A1472-TEXT(DATEVALUE($D1472&amp;"-01"), "dd-mm-yyyy")),0),0)</f>
        <v>100</v>
      </c>
      <c r="L1472" cm="1">
        <f t="array" ref="L1472">IF($Q1472&gt;=0,IFERROR(generateSalesData($D1472, IF(ISNUMBER(_xlfn.XLOOKUP($C1472,Phone_by_Sentiment!$B$2:$B$37,Phone_by_Sentiment!L$2:L$37,"",0,1)),_xlfn.XLOOKUP($C1472,Phone_by_Sentiment!$B$2:$B$37,Phone_by_Sentiment!L$2:L$37,"",0,1),0),$A1472-TEXT(DATEVALUE($D1472&amp;"-01"), "dd-mm-yyyy")),0),0)</f>
        <v>416</v>
      </c>
      <c r="M1472" cm="1">
        <f t="array" ref="M1472">IF($Q1472&gt;=0,IFERROR(generateSalesData($D1472, IF(ISNUMBER(_xlfn.XLOOKUP($C1472,Phone_by_Sentiment!$B$2:$B$37,Phone_by_Sentiment!M$2:M$37,"",0,1)),_xlfn.XLOOKUP($C1472,Phone_by_Sentiment!$B$2:$B$37,Phone_by_Sentiment!M$2:M$37,"",0,1),0),$A1472-TEXT(DATEVALUE($D1472&amp;"-01"), "dd-mm-yyyy")),0),0)</f>
        <v>79</v>
      </c>
      <c r="N1472" cm="1">
        <f t="array" ref="N1472">IF($Q1472&gt;=0,IFERROR(generateSalesData($D1472, IF(ISNUMBER(_xlfn.XLOOKUP($C1472,Phone_by_Sentiment!$B$2:$B$37,Phone_by_Sentiment!N$2:N$37,"",0,1)),_xlfn.XLOOKUP($C1472,Phone_by_Sentiment!$B$2:$B$37,Phone_by_Sentiment!N$2:N$37,"",0,1),0),$A1472-TEXT(DATEVALUE($D1472&amp;"-01"), "dd-mm-yyyy")),0),0)</f>
        <v>492</v>
      </c>
      <c r="O1472" cm="1">
        <f t="array" ref="O1472">IF($Q1472&gt;=0,IFERROR(generateSalesData($D1472, IF(ISNUMBER(_xlfn.XLOOKUP($C1472,Phone_by_Sentiment!$B$2:$B$37,Phone_by_Sentiment!O$2:O$37,"",0,1)),_xlfn.XLOOKUP($C1472,Phone_by_Sentiment!$B$2:$B$37,Phone_by_Sentiment!O$2:O$37,"",0,1),0),$A1472-TEXT(DATEVALUE($D1472&amp;"-01"), "dd-mm-yyyy")),0),0)</f>
        <v>-10</v>
      </c>
      <c r="P1472" s="1">
        <f t="shared" si="51"/>
        <v>44287</v>
      </c>
      <c r="Q1472">
        <f t="shared" si="57"/>
        <v>456</v>
      </c>
    </row>
    <row r="1473" spans="1:17" x14ac:dyDescent="0.25">
      <c r="A1473" s="1">
        <f t="shared" si="56"/>
        <v>44743</v>
      </c>
      <c r="B1473" t="s">
        <v>146</v>
      </c>
      <c r="C1473" t="str">
        <f>_xlfn.XLOOKUP(B1473,Phone_by_Price!$A$2:$A$34,Phone_by_Price!$B$2:$B$34,"-",0,1)</f>
        <v>Vivo Y20</v>
      </c>
      <c r="D1473" t="str">
        <f>_xlfn.XLOOKUP(C1473,Phone_by_Sentiment!$B$2:$B$37,Phone_by_Sentiment!$A$2:$A$37,"-",0,1)</f>
        <v>2020-09</v>
      </c>
      <c r="E1473" cm="1">
        <f t="array" ref="E1473">IF($Q1473&gt;=0,IFERROR(generateSalesData($D1473, IF(ISNUMBER(_xlfn.XLOOKUP($C1473,Phone_by_Sentiment!$B$2:$B$37,Phone_by_Sentiment!E$2:E$37,"",0,1)),_xlfn.XLOOKUP($C1473,Phone_by_Sentiment!$B$2:$B$37,Phone_by_Sentiment!E$2:E$37,"",0,1),0),$A1473-TEXT(DATEVALUE($D1473&amp;"-01"), "dd-mm-yyyy")),0),0)</f>
        <v>338</v>
      </c>
      <c r="F1473" cm="1">
        <f t="array" ref="F1473">IF($Q1473&gt;=0,IFERROR(generateSalesData($D1473, IF(ISNUMBER(_xlfn.XLOOKUP($C1473,Phone_by_Sentiment!$B$2:$B$37,Phone_by_Sentiment!F$2:F$37,"",0,1)),_xlfn.XLOOKUP($C1473,Phone_by_Sentiment!$B$2:$B$37,Phone_by_Sentiment!F$2:F$37,"",0,1),0),$A1473-TEXT(DATEVALUE($D1473&amp;"-01"), "dd-mm-yyyy")),0),0)</f>
        <v>423</v>
      </c>
      <c r="G1473" cm="1">
        <f t="array" ref="G1473">IF($Q1473&gt;=0,IFERROR(generateSalesData($D1473, IF(ISNUMBER(_xlfn.XLOOKUP($C1473,Phone_by_Sentiment!$B$2:$B$37,Phone_by_Sentiment!G$2:G$37,"",0,1)),_xlfn.XLOOKUP($C1473,Phone_by_Sentiment!$B$2:$B$37,Phone_by_Sentiment!G$2:G$37,"",0,1),0),$A1473-TEXT(DATEVALUE($D1473&amp;"-01"), "dd-mm-yyyy")),0),0)</f>
        <v>28</v>
      </c>
      <c r="H1473" cm="1">
        <f t="array" ref="H1473">IF($Q1473&gt;=0,IFERROR(generateSalesData($D1473, IF(ISNUMBER(_xlfn.XLOOKUP($C1473,Phone_by_Sentiment!$B$2:$B$37,Phone_by_Sentiment!H$2:H$37,"",0,1)),_xlfn.XLOOKUP($C1473,Phone_by_Sentiment!$B$2:$B$37,Phone_by_Sentiment!H$2:H$37,"",0,1),0),$A1473-TEXT(DATEVALUE($D1473&amp;"-01"), "dd-mm-yyyy")),0),0)</f>
        <v>145</v>
      </c>
      <c r="I1473" cm="1">
        <f t="array" ref="I1473">IF($Q1473&gt;=0,IFERROR(generateSalesData($D1473, IF(ISNUMBER(_xlfn.XLOOKUP($C1473,Phone_by_Sentiment!$B$2:$B$37,Phone_by_Sentiment!I$2:I$37,"",0,1)),_xlfn.XLOOKUP($C1473,Phone_by_Sentiment!$B$2:$B$37,Phone_by_Sentiment!I$2:I$37,"",0,1),0),$A1473-TEXT(DATEVALUE($D1473&amp;"-01"), "dd-mm-yyyy")),0),0)</f>
        <v>131</v>
      </c>
      <c r="J1473" cm="1">
        <f t="array" ref="J1473">IF($Q1473&gt;=0,IFERROR(generateSalesData($D1473, IF(ISNUMBER(_xlfn.XLOOKUP($C1473,Phone_by_Sentiment!$B$2:$B$37,Phone_by_Sentiment!J$2:J$37,"",0,1)),_xlfn.XLOOKUP($C1473,Phone_by_Sentiment!$B$2:$B$37,Phone_by_Sentiment!J$2:J$37,"",0,1),0),$A1473-TEXT(DATEVALUE($D1473&amp;"-01"), "dd-mm-yyyy")),0),0)</f>
        <v>102</v>
      </c>
      <c r="K1473" cm="1">
        <f t="array" ref="K1473">IF($Q1473&gt;=0,IFERROR(generateSalesData($D1473, IF(ISNUMBER(_xlfn.XLOOKUP($C1473,Phone_by_Sentiment!$B$2:$B$37,Phone_by_Sentiment!K$2:K$37,"",0,1)),_xlfn.XLOOKUP($C1473,Phone_by_Sentiment!$B$2:$B$37,Phone_by_Sentiment!K$2:K$37,"",0,1),0),$A1473-TEXT(DATEVALUE($D1473&amp;"-01"), "dd-mm-yyyy")),0),0)</f>
        <v>165</v>
      </c>
      <c r="L1473" cm="1">
        <f t="array" ref="L1473">IF($Q1473&gt;=0,IFERROR(generateSalesData($D1473, IF(ISNUMBER(_xlfn.XLOOKUP($C1473,Phone_by_Sentiment!$B$2:$B$37,Phone_by_Sentiment!L$2:L$37,"",0,1)),_xlfn.XLOOKUP($C1473,Phone_by_Sentiment!$B$2:$B$37,Phone_by_Sentiment!L$2:L$37,"",0,1),0),$A1473-TEXT(DATEVALUE($D1473&amp;"-01"), "dd-mm-yyyy")),0),0)</f>
        <v>336</v>
      </c>
      <c r="M1473" cm="1">
        <f t="array" ref="M1473">IF($Q1473&gt;=0,IFERROR(generateSalesData($D1473, IF(ISNUMBER(_xlfn.XLOOKUP($C1473,Phone_by_Sentiment!$B$2:$B$37,Phone_by_Sentiment!M$2:M$37,"",0,1)),_xlfn.XLOOKUP($C1473,Phone_by_Sentiment!$B$2:$B$37,Phone_by_Sentiment!M$2:M$37,"",0,1),0),$A1473-TEXT(DATEVALUE($D1473&amp;"-01"), "dd-mm-yyyy")),0),0)</f>
        <v>30</v>
      </c>
      <c r="N1473" cm="1">
        <f t="array" ref="N1473">IF($Q1473&gt;=0,IFERROR(generateSalesData($D1473, IF(ISNUMBER(_xlfn.XLOOKUP($C1473,Phone_by_Sentiment!$B$2:$B$37,Phone_by_Sentiment!N$2:N$37,"",0,1)),_xlfn.XLOOKUP($C1473,Phone_by_Sentiment!$B$2:$B$37,Phone_by_Sentiment!N$2:N$37,"",0,1),0),$A1473-TEXT(DATEVALUE($D1473&amp;"-01"), "dd-mm-yyyy")),0),0)</f>
        <v>46</v>
      </c>
      <c r="O1473" cm="1">
        <f t="array" ref="O1473">IF($Q1473&gt;=0,IFERROR(generateSalesData($D1473, IF(ISNUMBER(_xlfn.XLOOKUP($C1473,Phone_by_Sentiment!$B$2:$B$37,Phone_by_Sentiment!O$2:O$37,"",0,1)),_xlfn.XLOOKUP($C1473,Phone_by_Sentiment!$B$2:$B$37,Phone_by_Sentiment!O$2:O$37,"",0,1),0),$A1473-TEXT(DATEVALUE($D1473&amp;"-01"), "dd-mm-yyyy")),0),0)</f>
        <v>129</v>
      </c>
      <c r="P1473" s="1">
        <f t="shared" si="51"/>
        <v>44075</v>
      </c>
      <c r="Q1473">
        <f t="shared" si="57"/>
        <v>668</v>
      </c>
    </row>
    <row r="1474" spans="1:17" x14ac:dyDescent="0.25">
      <c r="A1474" s="1">
        <f t="shared" si="56"/>
        <v>44743</v>
      </c>
      <c r="B1474" t="s">
        <v>147</v>
      </c>
      <c r="C1474" t="str">
        <f>_xlfn.XLOOKUP(B1474,Phone_by_Price!$A$2:$A$34,Phone_by_Price!$B$2:$B$34,"-",0,1)</f>
        <v>Huawei Y9a</v>
      </c>
      <c r="D1474" t="str">
        <f>_xlfn.XLOOKUP(C1474,Phone_by_Sentiment!$B$2:$B$37,Phone_by_Sentiment!$A$2:$A$37,"-",0,1)</f>
        <v>2020-02</v>
      </c>
      <c r="E1474" cm="1">
        <f t="array" ref="E1474">IF($Q1474&gt;=0,IFERROR(generateSalesData($D1474, IF(ISNUMBER(_xlfn.XLOOKUP($C1474,Phone_by_Sentiment!$B$2:$B$37,Phone_by_Sentiment!E$2:E$37,"",0,1)),_xlfn.XLOOKUP($C1474,Phone_by_Sentiment!$B$2:$B$37,Phone_by_Sentiment!E$2:E$37,"",0,1),0),$A1474-TEXT(DATEVALUE($D1474&amp;"-01"), "dd-mm-yyyy")),0),0)</f>
        <v>300</v>
      </c>
      <c r="F1474" cm="1">
        <f t="array" ref="F1474">IF($Q1474&gt;=0,IFERROR(generateSalesData($D1474, IF(ISNUMBER(_xlfn.XLOOKUP($C1474,Phone_by_Sentiment!$B$2:$B$37,Phone_by_Sentiment!F$2:F$37,"",0,1)),_xlfn.XLOOKUP($C1474,Phone_by_Sentiment!$B$2:$B$37,Phone_by_Sentiment!F$2:F$37,"",0,1),0),$A1474-TEXT(DATEVALUE($D1474&amp;"-01"), "dd-mm-yyyy")),0),0)</f>
        <v>173</v>
      </c>
      <c r="G1474" cm="1">
        <f t="array" ref="G1474">IF($Q1474&gt;=0,IFERROR(generateSalesData($D1474, IF(ISNUMBER(_xlfn.XLOOKUP($C1474,Phone_by_Sentiment!$B$2:$B$37,Phone_by_Sentiment!G$2:G$37,"",0,1)),_xlfn.XLOOKUP($C1474,Phone_by_Sentiment!$B$2:$B$37,Phone_by_Sentiment!G$2:G$37,"",0,1),0),$A1474-TEXT(DATEVALUE($D1474&amp;"-01"), "dd-mm-yyyy")),0),0)</f>
        <v>53</v>
      </c>
      <c r="H1474" cm="1">
        <f t="array" ref="H1474">IF($Q1474&gt;=0,IFERROR(generateSalesData($D1474, IF(ISNUMBER(_xlfn.XLOOKUP($C1474,Phone_by_Sentiment!$B$2:$B$37,Phone_by_Sentiment!H$2:H$37,"",0,1)),_xlfn.XLOOKUP($C1474,Phone_by_Sentiment!$B$2:$B$37,Phone_by_Sentiment!H$2:H$37,"",0,1),0),$A1474-TEXT(DATEVALUE($D1474&amp;"-01"), "dd-mm-yyyy")),0),0)</f>
        <v>65</v>
      </c>
      <c r="I1474" cm="1">
        <f t="array" ref="I1474">IF($Q1474&gt;=0,IFERROR(generateSalesData($D1474, IF(ISNUMBER(_xlfn.XLOOKUP($C1474,Phone_by_Sentiment!$B$2:$B$37,Phone_by_Sentiment!I$2:I$37,"",0,1)),_xlfn.XLOOKUP($C1474,Phone_by_Sentiment!$B$2:$B$37,Phone_by_Sentiment!I$2:I$37,"",0,1),0),$A1474-TEXT(DATEVALUE($D1474&amp;"-01"), "dd-mm-yyyy")),0),0)</f>
        <v>36</v>
      </c>
      <c r="J1474" cm="1">
        <f t="array" ref="J1474">IF($Q1474&gt;=0,IFERROR(generateSalesData($D1474, IF(ISNUMBER(_xlfn.XLOOKUP($C1474,Phone_by_Sentiment!$B$2:$B$37,Phone_by_Sentiment!J$2:J$37,"",0,1)),_xlfn.XLOOKUP($C1474,Phone_by_Sentiment!$B$2:$B$37,Phone_by_Sentiment!J$2:J$37,"",0,1),0),$A1474-TEXT(DATEVALUE($D1474&amp;"-01"), "dd-mm-yyyy")),0),0)</f>
        <v>25</v>
      </c>
      <c r="K1474" cm="1">
        <f t="array" ref="K1474">IF($Q1474&gt;=0,IFERROR(generateSalesData($D1474, IF(ISNUMBER(_xlfn.XLOOKUP($C1474,Phone_by_Sentiment!$B$2:$B$37,Phone_by_Sentiment!K$2:K$37,"",0,1)),_xlfn.XLOOKUP($C1474,Phone_by_Sentiment!$B$2:$B$37,Phone_by_Sentiment!K$2:K$37,"",0,1),0),$A1474-TEXT(DATEVALUE($D1474&amp;"-01"), "dd-mm-yyyy")),0),0)</f>
        <v>26</v>
      </c>
      <c r="L1474" cm="1">
        <f t="array" ref="L1474">IF($Q1474&gt;=0,IFERROR(generateSalesData($D1474, IF(ISNUMBER(_xlfn.XLOOKUP($C1474,Phone_by_Sentiment!$B$2:$B$37,Phone_by_Sentiment!L$2:L$37,"",0,1)),_xlfn.XLOOKUP($C1474,Phone_by_Sentiment!$B$2:$B$37,Phone_by_Sentiment!L$2:L$37,"",0,1),0),$A1474-TEXT(DATEVALUE($D1474&amp;"-01"), "dd-mm-yyyy")),0),0)</f>
        <v>67</v>
      </c>
      <c r="M1474" cm="1">
        <f t="array" ref="M1474">IF($Q1474&gt;=0,IFERROR(generateSalesData($D1474, IF(ISNUMBER(_xlfn.XLOOKUP($C1474,Phone_by_Sentiment!$B$2:$B$37,Phone_by_Sentiment!M$2:M$37,"",0,1)),_xlfn.XLOOKUP($C1474,Phone_by_Sentiment!$B$2:$B$37,Phone_by_Sentiment!M$2:M$37,"",0,1),0),$A1474-TEXT(DATEVALUE($D1474&amp;"-01"), "dd-mm-yyyy")),0),0)</f>
        <v>22</v>
      </c>
      <c r="N1474" cm="1">
        <f t="array" ref="N1474">IF($Q1474&gt;=0,IFERROR(generateSalesData($D1474, IF(ISNUMBER(_xlfn.XLOOKUP($C1474,Phone_by_Sentiment!$B$2:$B$37,Phone_by_Sentiment!N$2:N$37,"",0,1)),_xlfn.XLOOKUP($C1474,Phone_by_Sentiment!$B$2:$B$37,Phone_by_Sentiment!N$2:N$37,"",0,1),0),$A1474-TEXT(DATEVALUE($D1474&amp;"-01"), "dd-mm-yyyy")),0),0)</f>
        <v>41</v>
      </c>
      <c r="O1474" cm="1">
        <f t="array" ref="O1474">IF($Q1474&gt;=0,IFERROR(generateSalesData($D1474, IF(ISNUMBER(_xlfn.XLOOKUP($C1474,Phone_by_Sentiment!$B$2:$B$37,Phone_by_Sentiment!O$2:O$37,"",0,1)),_xlfn.XLOOKUP($C1474,Phone_by_Sentiment!$B$2:$B$37,Phone_by_Sentiment!O$2:O$37,"",0,1),0),$A1474-TEXT(DATEVALUE($D1474&amp;"-01"), "dd-mm-yyyy")),0),0)</f>
        <v>56</v>
      </c>
      <c r="P1474" s="1">
        <f t="shared" si="51"/>
        <v>43862</v>
      </c>
      <c r="Q1474">
        <f t="shared" si="57"/>
        <v>881</v>
      </c>
    </row>
    <row r="1475" spans="1:17" x14ac:dyDescent="0.25">
      <c r="A1475" s="1">
        <f t="shared" si="56"/>
        <v>44743</v>
      </c>
      <c r="B1475" t="s">
        <v>148</v>
      </c>
      <c r="C1475" t="str">
        <f>_xlfn.XLOOKUP(B1475,Phone_by_Price!$A$2:$A$34,Phone_by_Price!$B$2:$B$34,"-",0,1)</f>
        <v>Xiaomi Redmi 10</v>
      </c>
      <c r="D1475" t="str">
        <f>_xlfn.XLOOKUP(C1475,Phone_by_Sentiment!$B$2:$B$37,Phone_by_Sentiment!$A$2:$A$37,"-",0,1)</f>
        <v>2021-03</v>
      </c>
      <c r="E1475" cm="1">
        <f t="array" ref="E1475">IF($Q1475&gt;=0,IFERROR(generateSalesData($D1475, IF(ISNUMBER(_xlfn.XLOOKUP($C1475,Phone_by_Sentiment!$B$2:$B$37,Phone_by_Sentiment!E$2:E$37,"",0,1)),_xlfn.XLOOKUP($C1475,Phone_by_Sentiment!$B$2:$B$37,Phone_by_Sentiment!E$2:E$37,"",0,1),0),$A1475-TEXT(DATEVALUE($D1475&amp;"-01"), "dd-mm-yyyy")),0),0)</f>
        <v>243</v>
      </c>
      <c r="F1475" cm="1">
        <f t="array" ref="F1475">IF($Q1475&gt;=0,IFERROR(generateSalesData($D1475, IF(ISNUMBER(_xlfn.XLOOKUP($C1475,Phone_by_Sentiment!$B$2:$B$37,Phone_by_Sentiment!F$2:F$37,"",0,1)),_xlfn.XLOOKUP($C1475,Phone_by_Sentiment!$B$2:$B$37,Phone_by_Sentiment!F$2:F$37,"",0,1),0),$A1475-TEXT(DATEVALUE($D1475&amp;"-01"), "dd-mm-yyyy")),0),0)</f>
        <v>605</v>
      </c>
      <c r="G1475" cm="1">
        <f t="array" ref="G1475">IF($Q1475&gt;=0,IFERROR(generateSalesData($D1475, IF(ISNUMBER(_xlfn.XLOOKUP($C1475,Phone_by_Sentiment!$B$2:$B$37,Phone_by_Sentiment!G$2:G$37,"",0,1)),_xlfn.XLOOKUP($C1475,Phone_by_Sentiment!$B$2:$B$37,Phone_by_Sentiment!G$2:G$37,"",0,1),0),$A1475-TEXT(DATEVALUE($D1475&amp;"-01"), "dd-mm-yyyy")),0),0)</f>
        <v>74</v>
      </c>
      <c r="H1475" cm="1">
        <f t="array" ref="H1475">IF($Q1475&gt;=0,IFERROR(generateSalesData($D1475, IF(ISNUMBER(_xlfn.XLOOKUP($C1475,Phone_by_Sentiment!$B$2:$B$37,Phone_by_Sentiment!H$2:H$37,"",0,1)),_xlfn.XLOOKUP($C1475,Phone_by_Sentiment!$B$2:$B$37,Phone_by_Sentiment!H$2:H$37,"",0,1),0),$A1475-TEXT(DATEVALUE($D1475&amp;"-01"), "dd-mm-yyyy")),0),0)</f>
        <v>654</v>
      </c>
      <c r="I1475" cm="1">
        <f t="array" ref="I1475">IF($Q1475&gt;=0,IFERROR(generateSalesData($D1475, IF(ISNUMBER(_xlfn.XLOOKUP($C1475,Phone_by_Sentiment!$B$2:$B$37,Phone_by_Sentiment!I$2:I$37,"",0,1)),_xlfn.XLOOKUP($C1475,Phone_by_Sentiment!$B$2:$B$37,Phone_by_Sentiment!I$2:I$37,"",0,1),0),$A1475-TEXT(DATEVALUE($D1475&amp;"-01"), "dd-mm-yyyy")),0),0)</f>
        <v>126</v>
      </c>
      <c r="J1475" cm="1">
        <f t="array" ref="J1475">IF($Q1475&gt;=0,IFERROR(generateSalesData($D1475, IF(ISNUMBER(_xlfn.XLOOKUP($C1475,Phone_by_Sentiment!$B$2:$B$37,Phone_by_Sentiment!J$2:J$37,"",0,1)),_xlfn.XLOOKUP($C1475,Phone_by_Sentiment!$B$2:$B$37,Phone_by_Sentiment!J$2:J$37,"",0,1),0),$A1475-TEXT(DATEVALUE($D1475&amp;"-01"), "dd-mm-yyyy")),0),0)</f>
        <v>161</v>
      </c>
      <c r="K1475" cm="1">
        <f t="array" ref="K1475">IF($Q1475&gt;=0,IFERROR(generateSalesData($D1475, IF(ISNUMBER(_xlfn.XLOOKUP($C1475,Phone_by_Sentiment!$B$2:$B$37,Phone_by_Sentiment!K$2:K$37,"",0,1)),_xlfn.XLOOKUP($C1475,Phone_by_Sentiment!$B$2:$B$37,Phone_by_Sentiment!K$2:K$37,"",0,1),0),$A1475-TEXT(DATEVALUE($D1475&amp;"-01"), "dd-mm-yyyy")),0),0)</f>
        <v>599</v>
      </c>
      <c r="L1475" cm="1">
        <f t="array" ref="L1475">IF($Q1475&gt;=0,IFERROR(generateSalesData($D1475, IF(ISNUMBER(_xlfn.XLOOKUP($C1475,Phone_by_Sentiment!$B$2:$B$37,Phone_by_Sentiment!L$2:L$37,"",0,1)),_xlfn.XLOOKUP($C1475,Phone_by_Sentiment!$B$2:$B$37,Phone_by_Sentiment!L$2:L$37,"",0,1),0),$A1475-TEXT(DATEVALUE($D1475&amp;"-01"), "dd-mm-yyyy")),0),0)</f>
        <v>154</v>
      </c>
      <c r="M1475" cm="1">
        <f t="array" ref="M1475">IF($Q1475&gt;=0,IFERROR(generateSalesData($D1475, IF(ISNUMBER(_xlfn.XLOOKUP($C1475,Phone_by_Sentiment!$B$2:$B$37,Phone_by_Sentiment!M$2:M$37,"",0,1)),_xlfn.XLOOKUP($C1475,Phone_by_Sentiment!$B$2:$B$37,Phone_by_Sentiment!M$2:M$37,"",0,1),0),$A1475-TEXT(DATEVALUE($D1475&amp;"-01"), "dd-mm-yyyy")),0),0)</f>
        <v>182</v>
      </c>
      <c r="N1475" cm="1">
        <f t="array" ref="N1475">IF($Q1475&gt;=0,IFERROR(generateSalesData($D1475, IF(ISNUMBER(_xlfn.XLOOKUP($C1475,Phone_by_Sentiment!$B$2:$B$37,Phone_by_Sentiment!N$2:N$37,"",0,1)),_xlfn.XLOOKUP($C1475,Phone_by_Sentiment!$B$2:$B$37,Phone_by_Sentiment!N$2:N$37,"",0,1),0),$A1475-TEXT(DATEVALUE($D1475&amp;"-01"), "dd-mm-yyyy")),0),0)</f>
        <v>969</v>
      </c>
      <c r="O1475" cm="1">
        <f t="array" ref="O1475">IF($Q1475&gt;=0,IFERROR(generateSalesData($D1475, IF(ISNUMBER(_xlfn.XLOOKUP($C1475,Phone_by_Sentiment!$B$2:$B$37,Phone_by_Sentiment!O$2:O$37,"",0,1)),_xlfn.XLOOKUP($C1475,Phone_by_Sentiment!$B$2:$B$37,Phone_by_Sentiment!O$2:O$37,"",0,1),0),$A1475-TEXT(DATEVALUE($D1475&amp;"-01"), "dd-mm-yyyy")),0),0)</f>
        <v>161</v>
      </c>
      <c r="P1475" s="1">
        <f t="shared" ref="P1475:P1538" si="58">DATEVALUE($D1475&amp;"-01")</f>
        <v>44256</v>
      </c>
      <c r="Q1475">
        <f t="shared" si="57"/>
        <v>487</v>
      </c>
    </row>
    <row r="1476" spans="1:17" x14ac:dyDescent="0.25">
      <c r="A1476" s="1">
        <f t="shared" ref="A1476:A1539" si="59">DATE(YEAR($A$1), MONTH($A$1) + INT((ROW()-1)/35), DAY($A$1))</f>
        <v>44743</v>
      </c>
      <c r="B1476" t="s">
        <v>149</v>
      </c>
      <c r="C1476" t="str">
        <f>_xlfn.XLOOKUP(B1476,Phone_by_Price!$A$2:$A$34,Phone_by_Price!$B$2:$B$34,"-",0,1)</f>
        <v>Samsung Galaxy A52</v>
      </c>
      <c r="D1476" t="str">
        <f>_xlfn.XLOOKUP(C1476,Phone_by_Sentiment!$B$2:$B$37,Phone_by_Sentiment!$A$2:$A$37,"-",0,1)</f>
        <v>2021-03</v>
      </c>
      <c r="E1476" cm="1">
        <f t="array" ref="E1476">IF($Q1476&gt;=0,IFERROR(generateSalesData($D1476, IF(ISNUMBER(_xlfn.XLOOKUP($C1476,Phone_by_Sentiment!$B$2:$B$37,Phone_by_Sentiment!E$2:E$37,"",0,1)),_xlfn.XLOOKUP($C1476,Phone_by_Sentiment!$B$2:$B$37,Phone_by_Sentiment!E$2:E$37,"",0,1),0),$A1476-TEXT(DATEVALUE($D1476&amp;"-01"), "dd-mm-yyyy")),0),0)</f>
        <v>317</v>
      </c>
      <c r="F1476" cm="1">
        <f t="array" ref="F1476">IF($Q1476&gt;=0,IFERROR(generateSalesData($D1476, IF(ISNUMBER(_xlfn.XLOOKUP($C1476,Phone_by_Sentiment!$B$2:$B$37,Phone_by_Sentiment!F$2:F$37,"",0,1)),_xlfn.XLOOKUP($C1476,Phone_by_Sentiment!$B$2:$B$37,Phone_by_Sentiment!F$2:F$37,"",0,1),0),$A1476-TEXT(DATEVALUE($D1476&amp;"-01"), "dd-mm-yyyy")),0),0)</f>
        <v>680</v>
      </c>
      <c r="G1476" cm="1">
        <f t="array" ref="G1476">IF($Q1476&gt;=0,IFERROR(generateSalesData($D1476, IF(ISNUMBER(_xlfn.XLOOKUP($C1476,Phone_by_Sentiment!$B$2:$B$37,Phone_by_Sentiment!G$2:G$37,"",0,1)),_xlfn.XLOOKUP($C1476,Phone_by_Sentiment!$B$2:$B$37,Phone_by_Sentiment!G$2:G$37,"",0,1),0),$A1476-TEXT(DATEVALUE($D1476&amp;"-01"), "dd-mm-yyyy")),0),0)</f>
        <v>158</v>
      </c>
      <c r="H1476" cm="1">
        <f t="array" ref="H1476">IF($Q1476&gt;=0,IFERROR(generateSalesData($D1476, IF(ISNUMBER(_xlfn.XLOOKUP($C1476,Phone_by_Sentiment!$B$2:$B$37,Phone_by_Sentiment!H$2:H$37,"",0,1)),_xlfn.XLOOKUP($C1476,Phone_by_Sentiment!$B$2:$B$37,Phone_by_Sentiment!H$2:H$37,"",0,1),0),$A1476-TEXT(DATEVALUE($D1476&amp;"-01"), "dd-mm-yyyy")),0),0)</f>
        <v>757</v>
      </c>
      <c r="I1476" cm="1">
        <f t="array" ref="I1476">IF($Q1476&gt;=0,IFERROR(generateSalesData($D1476, IF(ISNUMBER(_xlfn.XLOOKUP($C1476,Phone_by_Sentiment!$B$2:$B$37,Phone_by_Sentiment!I$2:I$37,"",0,1)),_xlfn.XLOOKUP($C1476,Phone_by_Sentiment!$B$2:$B$37,Phone_by_Sentiment!I$2:I$37,"",0,1),0),$A1476-TEXT(DATEVALUE($D1476&amp;"-01"), "dd-mm-yyyy")),0),0)</f>
        <v>921</v>
      </c>
      <c r="J1476" cm="1">
        <f t="array" ref="J1476">IF($Q1476&gt;=0,IFERROR(generateSalesData($D1476, IF(ISNUMBER(_xlfn.XLOOKUP($C1476,Phone_by_Sentiment!$B$2:$B$37,Phone_by_Sentiment!J$2:J$37,"",0,1)),_xlfn.XLOOKUP($C1476,Phone_by_Sentiment!$B$2:$B$37,Phone_by_Sentiment!J$2:J$37,"",0,1),0),$A1476-TEXT(DATEVALUE($D1476&amp;"-01"), "dd-mm-yyyy")),0),0)</f>
        <v>509</v>
      </c>
      <c r="K1476" cm="1">
        <f t="array" ref="K1476">IF($Q1476&gt;=0,IFERROR(generateSalesData($D1476, IF(ISNUMBER(_xlfn.XLOOKUP($C1476,Phone_by_Sentiment!$B$2:$B$37,Phone_by_Sentiment!K$2:K$37,"",0,1)),_xlfn.XLOOKUP($C1476,Phone_by_Sentiment!$B$2:$B$37,Phone_by_Sentiment!K$2:K$37,"",0,1),0),$A1476-TEXT(DATEVALUE($D1476&amp;"-01"), "dd-mm-yyyy")),0),0)</f>
        <v>808</v>
      </c>
      <c r="L1476" cm="1">
        <f t="array" ref="L1476">IF($Q1476&gt;=0,IFERROR(generateSalesData($D1476, IF(ISNUMBER(_xlfn.XLOOKUP($C1476,Phone_by_Sentiment!$B$2:$B$37,Phone_by_Sentiment!L$2:L$37,"",0,1)),_xlfn.XLOOKUP($C1476,Phone_by_Sentiment!$B$2:$B$37,Phone_by_Sentiment!L$2:L$37,"",0,1),0),$A1476-TEXT(DATEVALUE($D1476&amp;"-01"), "dd-mm-yyyy")),0),0)</f>
        <v>493</v>
      </c>
      <c r="M1476" cm="1">
        <f t="array" ref="M1476">IF($Q1476&gt;=0,IFERROR(generateSalesData($D1476, IF(ISNUMBER(_xlfn.XLOOKUP($C1476,Phone_by_Sentiment!$B$2:$B$37,Phone_by_Sentiment!M$2:M$37,"",0,1)),_xlfn.XLOOKUP($C1476,Phone_by_Sentiment!$B$2:$B$37,Phone_by_Sentiment!M$2:M$37,"",0,1),0),$A1476-TEXT(DATEVALUE($D1476&amp;"-01"), "dd-mm-yyyy")),0),0)</f>
        <v>356</v>
      </c>
      <c r="N1476" cm="1">
        <f t="array" ref="N1476">IF($Q1476&gt;=0,IFERROR(generateSalesData($D1476, IF(ISNUMBER(_xlfn.XLOOKUP($C1476,Phone_by_Sentiment!$B$2:$B$37,Phone_by_Sentiment!N$2:N$37,"",0,1)),_xlfn.XLOOKUP($C1476,Phone_by_Sentiment!$B$2:$B$37,Phone_by_Sentiment!N$2:N$37,"",0,1),0),$A1476-TEXT(DATEVALUE($D1476&amp;"-01"), "dd-mm-yyyy")),0),0)</f>
        <v>85</v>
      </c>
      <c r="O1476" cm="1">
        <f t="array" ref="O1476">IF($Q1476&gt;=0,IFERROR(generateSalesData($D1476, IF(ISNUMBER(_xlfn.XLOOKUP($C1476,Phone_by_Sentiment!$B$2:$B$37,Phone_by_Sentiment!O$2:O$37,"",0,1)),_xlfn.XLOOKUP($C1476,Phone_by_Sentiment!$B$2:$B$37,Phone_by_Sentiment!O$2:O$37,"",0,1),0),$A1476-TEXT(DATEVALUE($D1476&amp;"-01"), "dd-mm-yyyy")),0),0)</f>
        <v>561</v>
      </c>
      <c r="P1476" s="1">
        <f t="shared" si="58"/>
        <v>44256</v>
      </c>
      <c r="Q1476">
        <f t="shared" ref="Q1476:Q1539" si="60">A1476-P1476</f>
        <v>487</v>
      </c>
    </row>
    <row r="1477" spans="1:17" x14ac:dyDescent="0.25">
      <c r="A1477" s="1">
        <f t="shared" si="59"/>
        <v>44743</v>
      </c>
      <c r="B1477" t="s">
        <v>150</v>
      </c>
      <c r="C1477" t="str">
        <f>_xlfn.XLOOKUP(B1477,Phone_by_Price!$A$2:$A$34,Phone_by_Price!$B$2:$B$34,"-",0,1)</f>
        <v>Vivo Y33s</v>
      </c>
      <c r="D1477" t="str">
        <f>_xlfn.XLOOKUP(C1477,Phone_by_Sentiment!$B$2:$B$37,Phone_by_Sentiment!$A$2:$A$37,"-",0,1)</f>
        <v>2021-05</v>
      </c>
      <c r="E1477" cm="1">
        <f t="array" ref="E1477">IF($Q1477&gt;=0,IFERROR(generateSalesData($D1477, IF(ISNUMBER(_xlfn.XLOOKUP($C1477,Phone_by_Sentiment!$B$2:$B$37,Phone_by_Sentiment!E$2:E$37,"",0,1)),_xlfn.XLOOKUP($C1477,Phone_by_Sentiment!$B$2:$B$37,Phone_by_Sentiment!E$2:E$37,"",0,1),0),$A1477-TEXT(DATEVALUE($D1477&amp;"-01"), "dd-mm-yyyy")),0),0)</f>
        <v>809</v>
      </c>
      <c r="F1477" cm="1">
        <f t="array" ref="F1477">IF($Q1477&gt;=0,IFERROR(generateSalesData($D1477, IF(ISNUMBER(_xlfn.XLOOKUP($C1477,Phone_by_Sentiment!$B$2:$B$37,Phone_by_Sentiment!F$2:F$37,"",0,1)),_xlfn.XLOOKUP($C1477,Phone_by_Sentiment!$B$2:$B$37,Phone_by_Sentiment!F$2:F$37,"",0,1),0),$A1477-TEXT(DATEVALUE($D1477&amp;"-01"), "dd-mm-yyyy")),0),0)</f>
        <v>-25</v>
      </c>
      <c r="G1477" cm="1">
        <f t="array" ref="G1477">IF($Q1477&gt;=0,IFERROR(generateSalesData($D1477, IF(ISNUMBER(_xlfn.XLOOKUP($C1477,Phone_by_Sentiment!$B$2:$B$37,Phone_by_Sentiment!G$2:G$37,"",0,1)),_xlfn.XLOOKUP($C1477,Phone_by_Sentiment!$B$2:$B$37,Phone_by_Sentiment!G$2:G$37,"",0,1),0),$A1477-TEXT(DATEVALUE($D1477&amp;"-01"), "dd-mm-yyyy")),0),0)</f>
        <v>97</v>
      </c>
      <c r="H1477" cm="1">
        <f t="array" ref="H1477">IF($Q1477&gt;=0,IFERROR(generateSalesData($D1477, IF(ISNUMBER(_xlfn.XLOOKUP($C1477,Phone_by_Sentiment!$B$2:$B$37,Phone_by_Sentiment!H$2:H$37,"",0,1)),_xlfn.XLOOKUP($C1477,Phone_by_Sentiment!$B$2:$B$37,Phone_by_Sentiment!H$2:H$37,"",0,1),0),$A1477-TEXT(DATEVALUE($D1477&amp;"-01"), "dd-mm-yyyy")),0),0)</f>
        <v>512</v>
      </c>
      <c r="I1477" cm="1">
        <f t="array" ref="I1477">IF($Q1477&gt;=0,IFERROR(generateSalesData($D1477, IF(ISNUMBER(_xlfn.XLOOKUP($C1477,Phone_by_Sentiment!$B$2:$B$37,Phone_by_Sentiment!I$2:I$37,"",0,1)),_xlfn.XLOOKUP($C1477,Phone_by_Sentiment!$B$2:$B$37,Phone_by_Sentiment!I$2:I$37,"",0,1),0),$A1477-TEXT(DATEVALUE($D1477&amp;"-01"), "dd-mm-yyyy")),0),0)</f>
        <v>167</v>
      </c>
      <c r="J1477" cm="1">
        <f t="array" ref="J1477">IF($Q1477&gt;=0,IFERROR(generateSalesData($D1477, IF(ISNUMBER(_xlfn.XLOOKUP($C1477,Phone_by_Sentiment!$B$2:$B$37,Phone_by_Sentiment!J$2:J$37,"",0,1)),_xlfn.XLOOKUP($C1477,Phone_by_Sentiment!$B$2:$B$37,Phone_by_Sentiment!J$2:J$37,"",0,1),0),$A1477-TEXT(DATEVALUE($D1477&amp;"-01"), "dd-mm-yyyy")),0),0)</f>
        <v>166</v>
      </c>
      <c r="K1477" cm="1">
        <f t="array" ref="K1477">IF($Q1477&gt;=0,IFERROR(generateSalesData($D1477, IF(ISNUMBER(_xlfn.XLOOKUP($C1477,Phone_by_Sentiment!$B$2:$B$37,Phone_by_Sentiment!K$2:K$37,"",0,1)),_xlfn.XLOOKUP($C1477,Phone_by_Sentiment!$B$2:$B$37,Phone_by_Sentiment!K$2:K$37,"",0,1),0),$A1477-TEXT(DATEVALUE($D1477&amp;"-01"), "dd-mm-yyyy")),0),0)</f>
        <v>137</v>
      </c>
      <c r="L1477" cm="1">
        <f t="array" ref="L1477">IF($Q1477&gt;=0,IFERROR(generateSalesData($D1477, IF(ISNUMBER(_xlfn.XLOOKUP($C1477,Phone_by_Sentiment!$B$2:$B$37,Phone_by_Sentiment!L$2:L$37,"",0,1)),_xlfn.XLOOKUP($C1477,Phone_by_Sentiment!$B$2:$B$37,Phone_by_Sentiment!L$2:L$37,"",0,1),0),$A1477-TEXT(DATEVALUE($D1477&amp;"-01"), "dd-mm-yyyy")),0),0)</f>
        <v>72</v>
      </c>
      <c r="M1477" cm="1">
        <f t="array" ref="M1477">IF($Q1477&gt;=0,IFERROR(generateSalesData($D1477, IF(ISNUMBER(_xlfn.XLOOKUP($C1477,Phone_by_Sentiment!$B$2:$B$37,Phone_by_Sentiment!M$2:M$37,"",0,1)),_xlfn.XLOOKUP($C1477,Phone_by_Sentiment!$B$2:$B$37,Phone_by_Sentiment!M$2:M$37,"",0,1),0),$A1477-TEXT(DATEVALUE($D1477&amp;"-01"), "dd-mm-yyyy")),0),0)</f>
        <v>143</v>
      </c>
      <c r="N1477" cm="1">
        <f t="array" ref="N1477">IF($Q1477&gt;=0,IFERROR(generateSalesData($D1477, IF(ISNUMBER(_xlfn.XLOOKUP($C1477,Phone_by_Sentiment!$B$2:$B$37,Phone_by_Sentiment!N$2:N$37,"",0,1)),_xlfn.XLOOKUP($C1477,Phone_by_Sentiment!$B$2:$B$37,Phone_by_Sentiment!N$2:N$37,"",0,1),0),$A1477-TEXT(DATEVALUE($D1477&amp;"-01"), "dd-mm-yyyy")),0),0)</f>
        <v>164</v>
      </c>
      <c r="O1477" cm="1">
        <f t="array" ref="O1477">IF($Q1477&gt;=0,IFERROR(generateSalesData($D1477, IF(ISNUMBER(_xlfn.XLOOKUP($C1477,Phone_by_Sentiment!$B$2:$B$37,Phone_by_Sentiment!O$2:O$37,"",0,1)),_xlfn.XLOOKUP($C1477,Phone_by_Sentiment!$B$2:$B$37,Phone_by_Sentiment!O$2:O$37,"",0,1),0),$A1477-TEXT(DATEVALUE($D1477&amp;"-01"), "dd-mm-yyyy")),0),0)</f>
        <v>594</v>
      </c>
      <c r="P1477" s="1">
        <f t="shared" si="58"/>
        <v>44317</v>
      </c>
      <c r="Q1477">
        <f t="shared" si="60"/>
        <v>426</v>
      </c>
    </row>
    <row r="1478" spans="1:17" x14ac:dyDescent="0.25">
      <c r="A1478" s="1">
        <f t="shared" si="59"/>
        <v>44743</v>
      </c>
      <c r="B1478" t="s">
        <v>151</v>
      </c>
      <c r="C1478" t="str">
        <f>_xlfn.XLOOKUP(B1478,Phone_by_Price!$A$2:$A$34,Phone_by_Price!$B$2:$B$34,"-",0,1)</f>
        <v>Vivo Y11s</v>
      </c>
      <c r="D1478" t="str">
        <f>_xlfn.XLOOKUP(C1478,Phone_by_Sentiment!$B$2:$B$37,Phone_by_Sentiment!$A$2:$A$37,"-",0,1)</f>
        <v>2020-11</v>
      </c>
      <c r="E1478" cm="1">
        <f t="array" ref="E1478">IF($Q1478&gt;=0,IFERROR(generateSalesData($D1478, IF(ISNUMBER(_xlfn.XLOOKUP($C1478,Phone_by_Sentiment!$B$2:$B$37,Phone_by_Sentiment!E$2:E$37,"",0,1)),_xlfn.XLOOKUP($C1478,Phone_by_Sentiment!$B$2:$B$37,Phone_by_Sentiment!E$2:E$37,"",0,1),0),$A1478-TEXT(DATEVALUE($D1478&amp;"-01"), "dd-mm-yyyy")),0),0)</f>
        <v>170</v>
      </c>
      <c r="F1478" cm="1">
        <f t="array" ref="F1478">IF($Q1478&gt;=0,IFERROR(generateSalesData($D1478, IF(ISNUMBER(_xlfn.XLOOKUP($C1478,Phone_by_Sentiment!$B$2:$B$37,Phone_by_Sentiment!F$2:F$37,"",0,1)),_xlfn.XLOOKUP($C1478,Phone_by_Sentiment!$B$2:$B$37,Phone_by_Sentiment!F$2:F$37,"",0,1),0),$A1478-TEXT(DATEVALUE($D1478&amp;"-01"), "dd-mm-yyyy")),0),0)</f>
        <v>79</v>
      </c>
      <c r="G1478" cm="1">
        <f t="array" ref="G1478">IF($Q1478&gt;=0,IFERROR(generateSalesData($D1478, IF(ISNUMBER(_xlfn.XLOOKUP($C1478,Phone_by_Sentiment!$B$2:$B$37,Phone_by_Sentiment!G$2:G$37,"",0,1)),_xlfn.XLOOKUP($C1478,Phone_by_Sentiment!$B$2:$B$37,Phone_by_Sentiment!G$2:G$37,"",0,1),0),$A1478-TEXT(DATEVALUE($D1478&amp;"-01"), "dd-mm-yyyy")),0),0)</f>
        <v>119</v>
      </c>
      <c r="H1478" cm="1">
        <f t="array" ref="H1478">IF($Q1478&gt;=0,IFERROR(generateSalesData($D1478, IF(ISNUMBER(_xlfn.XLOOKUP($C1478,Phone_by_Sentiment!$B$2:$B$37,Phone_by_Sentiment!H$2:H$37,"",0,1)),_xlfn.XLOOKUP($C1478,Phone_by_Sentiment!$B$2:$B$37,Phone_by_Sentiment!H$2:H$37,"",0,1),0),$A1478-TEXT(DATEVALUE($D1478&amp;"-01"), "dd-mm-yyyy")),0),0)</f>
        <v>143</v>
      </c>
      <c r="I1478" cm="1">
        <f t="array" ref="I1478">IF($Q1478&gt;=0,IFERROR(generateSalesData($D1478, IF(ISNUMBER(_xlfn.XLOOKUP($C1478,Phone_by_Sentiment!$B$2:$B$37,Phone_by_Sentiment!I$2:I$37,"",0,1)),_xlfn.XLOOKUP($C1478,Phone_by_Sentiment!$B$2:$B$37,Phone_by_Sentiment!I$2:I$37,"",0,1),0),$A1478-TEXT(DATEVALUE($D1478&amp;"-01"), "dd-mm-yyyy")),0),0)</f>
        <v>359</v>
      </c>
      <c r="J1478" cm="1">
        <f t="array" ref="J1478">IF($Q1478&gt;=0,IFERROR(generateSalesData($D1478, IF(ISNUMBER(_xlfn.XLOOKUP($C1478,Phone_by_Sentiment!$B$2:$B$37,Phone_by_Sentiment!J$2:J$37,"",0,1)),_xlfn.XLOOKUP($C1478,Phone_by_Sentiment!$B$2:$B$37,Phone_by_Sentiment!J$2:J$37,"",0,1),0),$A1478-TEXT(DATEVALUE($D1478&amp;"-01"), "dd-mm-yyyy")),0),0)</f>
        <v>131</v>
      </c>
      <c r="K1478" cm="1">
        <f t="array" ref="K1478">IF($Q1478&gt;=0,IFERROR(generateSalesData($D1478, IF(ISNUMBER(_xlfn.XLOOKUP($C1478,Phone_by_Sentiment!$B$2:$B$37,Phone_by_Sentiment!K$2:K$37,"",0,1)),_xlfn.XLOOKUP($C1478,Phone_by_Sentiment!$B$2:$B$37,Phone_by_Sentiment!K$2:K$37,"",0,1),0),$A1478-TEXT(DATEVALUE($D1478&amp;"-01"), "dd-mm-yyyy")),0),0)</f>
        <v>195</v>
      </c>
      <c r="L1478" cm="1">
        <f t="array" ref="L1478">IF($Q1478&gt;=0,IFERROR(generateSalesData($D1478, IF(ISNUMBER(_xlfn.XLOOKUP($C1478,Phone_by_Sentiment!$B$2:$B$37,Phone_by_Sentiment!L$2:L$37,"",0,1)),_xlfn.XLOOKUP($C1478,Phone_by_Sentiment!$B$2:$B$37,Phone_by_Sentiment!L$2:L$37,"",0,1),0),$A1478-TEXT(DATEVALUE($D1478&amp;"-01"), "dd-mm-yyyy")),0),0)</f>
        <v>88</v>
      </c>
      <c r="M1478" cm="1">
        <f t="array" ref="M1478">IF($Q1478&gt;=0,IFERROR(generateSalesData($D1478, IF(ISNUMBER(_xlfn.XLOOKUP($C1478,Phone_by_Sentiment!$B$2:$B$37,Phone_by_Sentiment!M$2:M$37,"",0,1)),_xlfn.XLOOKUP($C1478,Phone_by_Sentiment!$B$2:$B$37,Phone_by_Sentiment!M$2:M$37,"",0,1),0),$A1478-TEXT(DATEVALUE($D1478&amp;"-01"), "dd-mm-yyyy")),0),0)</f>
        <v>420</v>
      </c>
      <c r="N1478" cm="1">
        <f t="array" ref="N1478">IF($Q1478&gt;=0,IFERROR(generateSalesData($D1478, IF(ISNUMBER(_xlfn.XLOOKUP($C1478,Phone_by_Sentiment!$B$2:$B$37,Phone_by_Sentiment!N$2:N$37,"",0,1)),_xlfn.XLOOKUP($C1478,Phone_by_Sentiment!$B$2:$B$37,Phone_by_Sentiment!N$2:N$37,"",0,1),0),$A1478-TEXT(DATEVALUE($D1478&amp;"-01"), "dd-mm-yyyy")),0),0)</f>
        <v>76</v>
      </c>
      <c r="O1478" cm="1">
        <f t="array" ref="O1478">IF($Q1478&gt;=0,IFERROR(generateSalesData($D1478, IF(ISNUMBER(_xlfn.XLOOKUP($C1478,Phone_by_Sentiment!$B$2:$B$37,Phone_by_Sentiment!O$2:O$37,"",0,1)),_xlfn.XLOOKUP($C1478,Phone_by_Sentiment!$B$2:$B$37,Phone_by_Sentiment!O$2:O$37,"",0,1),0),$A1478-TEXT(DATEVALUE($D1478&amp;"-01"), "dd-mm-yyyy")),0),0)</f>
        <v>90</v>
      </c>
      <c r="P1478" s="1">
        <f t="shared" si="58"/>
        <v>44136</v>
      </c>
      <c r="Q1478">
        <f t="shared" si="60"/>
        <v>607</v>
      </c>
    </row>
    <row r="1479" spans="1:17" x14ac:dyDescent="0.25">
      <c r="A1479" s="1">
        <f t="shared" si="59"/>
        <v>44743</v>
      </c>
      <c r="B1479" t="s">
        <v>152</v>
      </c>
      <c r="C1479" t="str">
        <f>_xlfn.XLOOKUP(B1479,Phone_by_Price!$A$2:$A$34,Phone_by_Price!$B$2:$B$34,"-",0,1)</f>
        <v>Huawei Nova 7i</v>
      </c>
      <c r="D1479" t="str">
        <f>_xlfn.XLOOKUP(C1479,Phone_by_Sentiment!$B$2:$B$37,Phone_by_Sentiment!$A$2:$A$37,"-",0,1)</f>
        <v>2020-02</v>
      </c>
      <c r="E1479" cm="1">
        <f t="array" ref="E1479">IF($Q1479&gt;=0,IFERROR(generateSalesData($D1479, IF(ISNUMBER(_xlfn.XLOOKUP($C1479,Phone_by_Sentiment!$B$2:$B$37,Phone_by_Sentiment!E$2:E$37,"",0,1)),_xlfn.XLOOKUP($C1479,Phone_by_Sentiment!$B$2:$B$37,Phone_by_Sentiment!E$2:E$37,"",0,1),0),$A1479-TEXT(DATEVALUE($D1479&amp;"-01"), "dd-mm-yyyy")),0),0)</f>
        <v>35</v>
      </c>
      <c r="F1479" cm="1">
        <f t="array" ref="F1479">IF($Q1479&gt;=0,IFERROR(generateSalesData($D1479, IF(ISNUMBER(_xlfn.XLOOKUP($C1479,Phone_by_Sentiment!$B$2:$B$37,Phone_by_Sentiment!F$2:F$37,"",0,1)),_xlfn.XLOOKUP($C1479,Phone_by_Sentiment!$B$2:$B$37,Phone_by_Sentiment!F$2:F$37,"",0,1),0),$A1479-TEXT(DATEVALUE($D1479&amp;"-01"), "dd-mm-yyyy")),0),0)</f>
        <v>32</v>
      </c>
      <c r="G1479" cm="1">
        <f t="array" ref="G1479">IF($Q1479&gt;=0,IFERROR(generateSalesData($D1479, IF(ISNUMBER(_xlfn.XLOOKUP($C1479,Phone_by_Sentiment!$B$2:$B$37,Phone_by_Sentiment!G$2:G$37,"",0,1)),_xlfn.XLOOKUP($C1479,Phone_by_Sentiment!$B$2:$B$37,Phone_by_Sentiment!G$2:G$37,"",0,1),0),$A1479-TEXT(DATEVALUE($D1479&amp;"-01"), "dd-mm-yyyy")),0),0)</f>
        <v>46</v>
      </c>
      <c r="H1479" cm="1">
        <f t="array" ref="H1479">IF($Q1479&gt;=0,IFERROR(generateSalesData($D1479, IF(ISNUMBER(_xlfn.XLOOKUP($C1479,Phone_by_Sentiment!$B$2:$B$37,Phone_by_Sentiment!H$2:H$37,"",0,1)),_xlfn.XLOOKUP($C1479,Phone_by_Sentiment!$B$2:$B$37,Phone_by_Sentiment!H$2:H$37,"",0,1),0),$A1479-TEXT(DATEVALUE($D1479&amp;"-01"), "dd-mm-yyyy")),0),0)</f>
        <v>-30</v>
      </c>
      <c r="I1479" cm="1">
        <f t="array" ref="I1479">IF($Q1479&gt;=0,IFERROR(generateSalesData($D1479, IF(ISNUMBER(_xlfn.XLOOKUP($C1479,Phone_by_Sentiment!$B$2:$B$37,Phone_by_Sentiment!I$2:I$37,"",0,1)),_xlfn.XLOOKUP($C1479,Phone_by_Sentiment!$B$2:$B$37,Phone_by_Sentiment!I$2:I$37,"",0,1),0),$A1479-TEXT(DATEVALUE($D1479&amp;"-01"), "dd-mm-yyyy")),0),0)</f>
        <v>69</v>
      </c>
      <c r="J1479" cm="1">
        <f t="array" ref="J1479">IF($Q1479&gt;=0,IFERROR(generateSalesData($D1479, IF(ISNUMBER(_xlfn.XLOOKUP($C1479,Phone_by_Sentiment!$B$2:$B$37,Phone_by_Sentiment!J$2:J$37,"",0,1)),_xlfn.XLOOKUP($C1479,Phone_by_Sentiment!$B$2:$B$37,Phone_by_Sentiment!J$2:J$37,"",0,1),0),$A1479-TEXT(DATEVALUE($D1479&amp;"-01"), "dd-mm-yyyy")),0),0)</f>
        <v>29</v>
      </c>
      <c r="K1479" cm="1">
        <f t="array" ref="K1479">IF($Q1479&gt;=0,IFERROR(generateSalesData($D1479, IF(ISNUMBER(_xlfn.XLOOKUP($C1479,Phone_by_Sentiment!$B$2:$B$37,Phone_by_Sentiment!K$2:K$37,"",0,1)),_xlfn.XLOOKUP($C1479,Phone_by_Sentiment!$B$2:$B$37,Phone_by_Sentiment!K$2:K$37,"",0,1),0),$A1479-TEXT(DATEVALUE($D1479&amp;"-01"), "dd-mm-yyyy")),0),0)</f>
        <v>84</v>
      </c>
      <c r="L1479" cm="1">
        <f t="array" ref="L1479">IF($Q1479&gt;=0,IFERROR(generateSalesData($D1479, IF(ISNUMBER(_xlfn.XLOOKUP($C1479,Phone_by_Sentiment!$B$2:$B$37,Phone_by_Sentiment!L$2:L$37,"",0,1)),_xlfn.XLOOKUP($C1479,Phone_by_Sentiment!$B$2:$B$37,Phone_by_Sentiment!L$2:L$37,"",0,1),0),$A1479-TEXT(DATEVALUE($D1479&amp;"-01"), "dd-mm-yyyy")),0),0)</f>
        <v>82</v>
      </c>
      <c r="M1479" cm="1">
        <f t="array" ref="M1479">IF($Q1479&gt;=0,IFERROR(generateSalesData($D1479, IF(ISNUMBER(_xlfn.XLOOKUP($C1479,Phone_by_Sentiment!$B$2:$B$37,Phone_by_Sentiment!M$2:M$37,"",0,1)),_xlfn.XLOOKUP($C1479,Phone_by_Sentiment!$B$2:$B$37,Phone_by_Sentiment!M$2:M$37,"",0,1),0),$A1479-TEXT(DATEVALUE($D1479&amp;"-01"), "dd-mm-yyyy")),0),0)</f>
        <v>89</v>
      </c>
      <c r="N1479" cm="1">
        <f t="array" ref="N1479">IF($Q1479&gt;=0,IFERROR(generateSalesData($D1479, IF(ISNUMBER(_xlfn.XLOOKUP($C1479,Phone_by_Sentiment!$B$2:$B$37,Phone_by_Sentiment!N$2:N$37,"",0,1)),_xlfn.XLOOKUP($C1479,Phone_by_Sentiment!$B$2:$B$37,Phone_by_Sentiment!N$2:N$37,"",0,1),0),$A1479-TEXT(DATEVALUE($D1479&amp;"-01"), "dd-mm-yyyy")),0),0)</f>
        <v>16</v>
      </c>
      <c r="O1479" cm="1">
        <f t="array" ref="O1479">IF($Q1479&gt;=0,IFERROR(generateSalesData($D1479, IF(ISNUMBER(_xlfn.XLOOKUP($C1479,Phone_by_Sentiment!$B$2:$B$37,Phone_by_Sentiment!O$2:O$37,"",0,1)),_xlfn.XLOOKUP($C1479,Phone_by_Sentiment!$B$2:$B$37,Phone_by_Sentiment!O$2:O$37,"",0,1),0),$A1479-TEXT(DATEVALUE($D1479&amp;"-01"), "dd-mm-yyyy")),0),0)</f>
        <v>54</v>
      </c>
      <c r="P1479" s="1">
        <f t="shared" si="58"/>
        <v>43862</v>
      </c>
      <c r="Q1479">
        <f t="shared" si="60"/>
        <v>881</v>
      </c>
    </row>
    <row r="1480" spans="1:17" x14ac:dyDescent="0.25">
      <c r="A1480" s="1">
        <f t="shared" si="59"/>
        <v>44743</v>
      </c>
      <c r="B1480" t="s">
        <v>153</v>
      </c>
      <c r="C1480" t="str">
        <f>_xlfn.XLOOKUP(B1480,Phone_by_Price!$A$2:$A$34,Phone_by_Price!$B$2:$B$34,"-",0,1)</f>
        <v>iPhone 13</v>
      </c>
      <c r="D1480" t="str">
        <f>_xlfn.XLOOKUP(C1480,Phone_by_Sentiment!$B$2:$B$37,Phone_by_Sentiment!$A$2:$A$37,"-",0,1)</f>
        <v>2021-09</v>
      </c>
      <c r="E1480" cm="1">
        <f t="array" ref="E1480">IF($Q1480&gt;=0,IFERROR(generateSalesData($D1480, IF(ISNUMBER(_xlfn.XLOOKUP($C1480,Phone_by_Sentiment!$B$2:$B$37,Phone_by_Sentiment!E$2:E$37,"",0,1)),_xlfn.XLOOKUP($C1480,Phone_by_Sentiment!$B$2:$B$37,Phone_by_Sentiment!E$2:E$37,"",0,1),0),$A1480-TEXT(DATEVALUE($D1480&amp;"-01"), "dd-mm-yyyy")),0),0)</f>
        <v>82</v>
      </c>
      <c r="F1480" cm="1">
        <f t="array" ref="F1480">IF($Q1480&gt;=0,IFERROR(generateSalesData($D1480, IF(ISNUMBER(_xlfn.XLOOKUP($C1480,Phone_by_Sentiment!$B$2:$B$37,Phone_by_Sentiment!F$2:F$37,"",0,1)),_xlfn.XLOOKUP($C1480,Phone_by_Sentiment!$B$2:$B$37,Phone_by_Sentiment!F$2:F$37,"",0,1),0),$A1480-TEXT(DATEVALUE($D1480&amp;"-01"), "dd-mm-yyyy")),0),0)</f>
        <v>50</v>
      </c>
      <c r="G1480" cm="1">
        <f t="array" ref="G1480">IF($Q1480&gt;=0,IFERROR(generateSalesData($D1480, IF(ISNUMBER(_xlfn.XLOOKUP($C1480,Phone_by_Sentiment!$B$2:$B$37,Phone_by_Sentiment!G$2:G$37,"",0,1)),_xlfn.XLOOKUP($C1480,Phone_by_Sentiment!$B$2:$B$37,Phone_by_Sentiment!G$2:G$37,"",0,1),0),$A1480-TEXT(DATEVALUE($D1480&amp;"-01"), "dd-mm-yyyy")),0),0)</f>
        <v>350</v>
      </c>
      <c r="H1480" cm="1">
        <f t="array" ref="H1480">IF($Q1480&gt;=0,IFERROR(generateSalesData($D1480, IF(ISNUMBER(_xlfn.XLOOKUP($C1480,Phone_by_Sentiment!$B$2:$B$37,Phone_by_Sentiment!H$2:H$37,"",0,1)),_xlfn.XLOOKUP($C1480,Phone_by_Sentiment!$B$2:$B$37,Phone_by_Sentiment!H$2:H$37,"",0,1),0),$A1480-TEXT(DATEVALUE($D1480&amp;"-01"), "dd-mm-yyyy")),0),0)</f>
        <v>-457</v>
      </c>
      <c r="I1480" cm="1">
        <f t="array" ref="I1480">IF($Q1480&gt;=0,IFERROR(generateSalesData($D1480, IF(ISNUMBER(_xlfn.XLOOKUP($C1480,Phone_by_Sentiment!$B$2:$B$37,Phone_by_Sentiment!I$2:I$37,"",0,1)),_xlfn.XLOOKUP($C1480,Phone_by_Sentiment!$B$2:$B$37,Phone_by_Sentiment!I$2:I$37,"",0,1),0),$A1480-TEXT(DATEVALUE($D1480&amp;"-01"), "dd-mm-yyyy")),0),0)</f>
        <v>159</v>
      </c>
      <c r="J1480" cm="1">
        <f t="array" ref="J1480">IF($Q1480&gt;=0,IFERROR(generateSalesData($D1480, IF(ISNUMBER(_xlfn.XLOOKUP($C1480,Phone_by_Sentiment!$B$2:$B$37,Phone_by_Sentiment!J$2:J$37,"",0,1)),_xlfn.XLOOKUP($C1480,Phone_by_Sentiment!$B$2:$B$37,Phone_by_Sentiment!J$2:J$37,"",0,1),0),$A1480-TEXT(DATEVALUE($D1480&amp;"-01"), "dd-mm-yyyy")),0),0)</f>
        <v>1566</v>
      </c>
      <c r="K1480" cm="1">
        <f t="array" ref="K1480">IF($Q1480&gt;=0,IFERROR(generateSalesData($D1480, IF(ISNUMBER(_xlfn.XLOOKUP($C1480,Phone_by_Sentiment!$B$2:$B$37,Phone_by_Sentiment!K$2:K$37,"",0,1)),_xlfn.XLOOKUP($C1480,Phone_by_Sentiment!$B$2:$B$37,Phone_by_Sentiment!K$2:K$37,"",0,1),0),$A1480-TEXT(DATEVALUE($D1480&amp;"-01"), "dd-mm-yyyy")),0),0)</f>
        <v>11</v>
      </c>
      <c r="L1480" cm="1">
        <f t="array" ref="L1480">IF($Q1480&gt;=0,IFERROR(generateSalesData($D1480, IF(ISNUMBER(_xlfn.XLOOKUP($C1480,Phone_by_Sentiment!$B$2:$B$37,Phone_by_Sentiment!L$2:L$37,"",0,1)),_xlfn.XLOOKUP($C1480,Phone_by_Sentiment!$B$2:$B$37,Phone_by_Sentiment!L$2:L$37,"",0,1),0),$A1480-TEXT(DATEVALUE($D1480&amp;"-01"), "dd-mm-yyyy")),0),0)</f>
        <v>1295</v>
      </c>
      <c r="M1480" cm="1">
        <f t="array" ref="M1480">IF($Q1480&gt;=0,IFERROR(generateSalesData($D1480, IF(ISNUMBER(_xlfn.XLOOKUP($C1480,Phone_by_Sentiment!$B$2:$B$37,Phone_by_Sentiment!M$2:M$37,"",0,1)),_xlfn.XLOOKUP($C1480,Phone_by_Sentiment!$B$2:$B$37,Phone_by_Sentiment!M$2:M$37,"",0,1),0),$A1480-TEXT(DATEVALUE($D1480&amp;"-01"), "dd-mm-yyyy")),0),0)</f>
        <v>1111</v>
      </c>
      <c r="N1480" cm="1">
        <f t="array" ref="N1480">IF($Q1480&gt;=0,IFERROR(generateSalesData($D1480, IF(ISNUMBER(_xlfn.XLOOKUP($C1480,Phone_by_Sentiment!$B$2:$B$37,Phone_by_Sentiment!N$2:N$37,"",0,1)),_xlfn.XLOOKUP($C1480,Phone_by_Sentiment!$B$2:$B$37,Phone_by_Sentiment!N$2:N$37,"",0,1),0),$A1480-TEXT(DATEVALUE($D1480&amp;"-01"), "dd-mm-yyyy")),0),0)</f>
        <v>306</v>
      </c>
      <c r="O1480" cm="1">
        <f t="array" ref="O1480">IF($Q1480&gt;=0,IFERROR(generateSalesData($D1480, IF(ISNUMBER(_xlfn.XLOOKUP($C1480,Phone_by_Sentiment!$B$2:$B$37,Phone_by_Sentiment!O$2:O$37,"",0,1)),_xlfn.XLOOKUP($C1480,Phone_by_Sentiment!$B$2:$B$37,Phone_by_Sentiment!O$2:O$37,"",0,1),0),$A1480-TEXT(DATEVALUE($D1480&amp;"-01"), "dd-mm-yyyy")),0),0)</f>
        <v>836</v>
      </c>
      <c r="P1480" s="1">
        <f t="shared" si="58"/>
        <v>44440</v>
      </c>
      <c r="Q1480">
        <f t="shared" si="60"/>
        <v>303</v>
      </c>
    </row>
    <row r="1481" spans="1:17" x14ac:dyDescent="0.25">
      <c r="A1481" s="1">
        <f t="shared" si="59"/>
        <v>44743</v>
      </c>
      <c r="B1481" t="s">
        <v>154</v>
      </c>
      <c r="C1481" t="str">
        <f>_xlfn.XLOOKUP(B1481,Phone_by_Price!$A$2:$A$34,Phone_by_Price!$B$2:$B$34,"-",0,1)</f>
        <v>Samsung Galaxy S21</v>
      </c>
      <c r="D1481" t="str">
        <f>_xlfn.XLOOKUP(C1481,Phone_by_Sentiment!$B$2:$B$37,Phone_by_Sentiment!$A$2:$A$37,"-",0,1)</f>
        <v>2021-01</v>
      </c>
      <c r="E1481" cm="1">
        <f t="array" ref="E1481">IF($Q1481&gt;=0,IFERROR(generateSalesData($D1481, IF(ISNUMBER(_xlfn.XLOOKUP($C1481,Phone_by_Sentiment!$B$2:$B$37,Phone_by_Sentiment!E$2:E$37,"",0,1)),_xlfn.XLOOKUP($C1481,Phone_by_Sentiment!$B$2:$B$37,Phone_by_Sentiment!E$2:E$37,"",0,1),0),$A1481-TEXT(DATEVALUE($D1481&amp;"-01"), "dd-mm-yyyy")),0),0)</f>
        <v>224</v>
      </c>
      <c r="F1481" cm="1">
        <f t="array" ref="F1481">IF($Q1481&gt;=0,IFERROR(generateSalesData($D1481, IF(ISNUMBER(_xlfn.XLOOKUP($C1481,Phone_by_Sentiment!$B$2:$B$37,Phone_by_Sentiment!F$2:F$37,"",0,1)),_xlfn.XLOOKUP($C1481,Phone_by_Sentiment!$B$2:$B$37,Phone_by_Sentiment!F$2:F$37,"",0,1),0),$A1481-TEXT(DATEVALUE($D1481&amp;"-01"), "dd-mm-yyyy")),0),0)</f>
        <v>521</v>
      </c>
      <c r="G1481" cm="1">
        <f t="array" ref="G1481">IF($Q1481&gt;=0,IFERROR(generateSalesData($D1481, IF(ISNUMBER(_xlfn.XLOOKUP($C1481,Phone_by_Sentiment!$B$2:$B$37,Phone_by_Sentiment!G$2:G$37,"",0,1)),_xlfn.XLOOKUP($C1481,Phone_by_Sentiment!$B$2:$B$37,Phone_by_Sentiment!G$2:G$37,"",0,1),0),$A1481-TEXT(DATEVALUE($D1481&amp;"-01"), "dd-mm-yyyy")),0),0)</f>
        <v>136</v>
      </c>
      <c r="H1481" cm="1">
        <f t="array" ref="H1481">IF($Q1481&gt;=0,IFERROR(generateSalesData($D1481, IF(ISNUMBER(_xlfn.XLOOKUP($C1481,Phone_by_Sentiment!$B$2:$B$37,Phone_by_Sentiment!H$2:H$37,"",0,1)),_xlfn.XLOOKUP($C1481,Phone_by_Sentiment!$B$2:$B$37,Phone_by_Sentiment!H$2:H$37,"",0,1),0),$A1481-TEXT(DATEVALUE($D1481&amp;"-01"), "dd-mm-yyyy")),0),0)</f>
        <v>434</v>
      </c>
      <c r="I1481" cm="1">
        <f t="array" ref="I1481">IF($Q1481&gt;=0,IFERROR(generateSalesData($D1481, IF(ISNUMBER(_xlfn.XLOOKUP($C1481,Phone_by_Sentiment!$B$2:$B$37,Phone_by_Sentiment!I$2:I$37,"",0,1)),_xlfn.XLOOKUP($C1481,Phone_by_Sentiment!$B$2:$B$37,Phone_by_Sentiment!I$2:I$37,"",0,1),0),$A1481-TEXT(DATEVALUE($D1481&amp;"-01"), "dd-mm-yyyy")),0),0)</f>
        <v>588</v>
      </c>
      <c r="J1481" cm="1">
        <f t="array" ref="J1481">IF($Q1481&gt;=0,IFERROR(generateSalesData($D1481, IF(ISNUMBER(_xlfn.XLOOKUP($C1481,Phone_by_Sentiment!$B$2:$B$37,Phone_by_Sentiment!J$2:J$37,"",0,1)),_xlfn.XLOOKUP($C1481,Phone_by_Sentiment!$B$2:$B$37,Phone_by_Sentiment!J$2:J$37,"",0,1),0),$A1481-TEXT(DATEVALUE($D1481&amp;"-01"), "dd-mm-yyyy")),0),0)</f>
        <v>242</v>
      </c>
      <c r="K1481" cm="1">
        <f t="array" ref="K1481">IF($Q1481&gt;=0,IFERROR(generateSalesData($D1481, IF(ISNUMBER(_xlfn.XLOOKUP($C1481,Phone_by_Sentiment!$B$2:$B$37,Phone_by_Sentiment!K$2:K$37,"",0,1)),_xlfn.XLOOKUP($C1481,Phone_by_Sentiment!$B$2:$B$37,Phone_by_Sentiment!K$2:K$37,"",0,1),0),$A1481-TEXT(DATEVALUE($D1481&amp;"-01"), "dd-mm-yyyy")),0),0)</f>
        <v>78</v>
      </c>
      <c r="L1481" cm="1">
        <f t="array" ref="L1481">IF($Q1481&gt;=0,IFERROR(generateSalesData($D1481, IF(ISNUMBER(_xlfn.XLOOKUP($C1481,Phone_by_Sentiment!$B$2:$B$37,Phone_by_Sentiment!L$2:L$37,"",0,1)),_xlfn.XLOOKUP($C1481,Phone_by_Sentiment!$B$2:$B$37,Phone_by_Sentiment!L$2:L$37,"",0,1),0),$A1481-TEXT(DATEVALUE($D1481&amp;"-01"), "dd-mm-yyyy")),0),0)</f>
        <v>262</v>
      </c>
      <c r="M1481" cm="1">
        <f t="array" ref="M1481">IF($Q1481&gt;=0,IFERROR(generateSalesData($D1481, IF(ISNUMBER(_xlfn.XLOOKUP($C1481,Phone_by_Sentiment!$B$2:$B$37,Phone_by_Sentiment!M$2:M$37,"",0,1)),_xlfn.XLOOKUP($C1481,Phone_by_Sentiment!$B$2:$B$37,Phone_by_Sentiment!M$2:M$37,"",0,1),0),$A1481-TEXT(DATEVALUE($D1481&amp;"-01"), "dd-mm-yyyy")),0),0)</f>
        <v>535</v>
      </c>
      <c r="N1481" cm="1">
        <f t="array" ref="N1481">IF($Q1481&gt;=0,IFERROR(generateSalesData($D1481, IF(ISNUMBER(_xlfn.XLOOKUP($C1481,Phone_by_Sentiment!$B$2:$B$37,Phone_by_Sentiment!N$2:N$37,"",0,1)),_xlfn.XLOOKUP($C1481,Phone_by_Sentiment!$B$2:$B$37,Phone_by_Sentiment!N$2:N$37,"",0,1),0),$A1481-TEXT(DATEVALUE($D1481&amp;"-01"), "dd-mm-yyyy")),0),0)</f>
        <v>398</v>
      </c>
      <c r="O1481" cm="1">
        <f t="array" ref="O1481">IF($Q1481&gt;=0,IFERROR(generateSalesData($D1481, IF(ISNUMBER(_xlfn.XLOOKUP($C1481,Phone_by_Sentiment!$B$2:$B$37,Phone_by_Sentiment!O$2:O$37,"",0,1)),_xlfn.XLOOKUP($C1481,Phone_by_Sentiment!$B$2:$B$37,Phone_by_Sentiment!O$2:O$37,"",0,1),0),$A1481-TEXT(DATEVALUE($D1481&amp;"-01"), "dd-mm-yyyy")),0),0)</f>
        <v>85</v>
      </c>
      <c r="P1481" s="1">
        <f t="shared" si="58"/>
        <v>44197</v>
      </c>
      <c r="Q1481">
        <f t="shared" si="60"/>
        <v>546</v>
      </c>
    </row>
    <row r="1482" spans="1:17" x14ac:dyDescent="0.25">
      <c r="A1482" s="1">
        <f t="shared" si="59"/>
        <v>44743</v>
      </c>
      <c r="B1482" t="s">
        <v>155</v>
      </c>
      <c r="C1482" t="str">
        <f>_xlfn.XLOOKUP(B1482,Phone_by_Price!$A$2:$A$34,Phone_by_Price!$B$2:$B$34,"-",0,1)</f>
        <v>Google Pixel 6</v>
      </c>
      <c r="D1482" t="str">
        <f>_xlfn.XLOOKUP(C1482,Phone_by_Sentiment!$B$2:$B$37,Phone_by_Sentiment!$A$2:$A$37,"-",0,1)</f>
        <v>2021-10</v>
      </c>
      <c r="E1482" cm="1">
        <f t="array" ref="E1482">IF($Q1482&gt;=0,IFERROR(generateSalesData($D1482, IF(ISNUMBER(_xlfn.XLOOKUP($C1482,Phone_by_Sentiment!$B$2:$B$37,Phone_by_Sentiment!E$2:E$37,"",0,1)),_xlfn.XLOOKUP($C1482,Phone_by_Sentiment!$B$2:$B$37,Phone_by_Sentiment!E$2:E$37,"",0,1),0),$A1482-TEXT(DATEVALUE($D1482&amp;"-01"), "dd-mm-yyyy")),0),0)</f>
        <v>91</v>
      </c>
      <c r="F1482" cm="1">
        <f t="array" ref="F1482">IF($Q1482&gt;=0,IFERROR(generateSalesData($D1482, IF(ISNUMBER(_xlfn.XLOOKUP($C1482,Phone_by_Sentiment!$B$2:$B$37,Phone_by_Sentiment!F$2:F$37,"",0,1)),_xlfn.XLOOKUP($C1482,Phone_by_Sentiment!$B$2:$B$37,Phone_by_Sentiment!F$2:F$37,"",0,1),0),$A1482-TEXT(DATEVALUE($D1482&amp;"-01"), "dd-mm-yyyy")),0),0)</f>
        <v>105</v>
      </c>
      <c r="G1482" cm="1">
        <f t="array" ref="G1482">IF($Q1482&gt;=0,IFERROR(generateSalesData($D1482, IF(ISNUMBER(_xlfn.XLOOKUP($C1482,Phone_by_Sentiment!$B$2:$B$37,Phone_by_Sentiment!G$2:G$37,"",0,1)),_xlfn.XLOOKUP($C1482,Phone_by_Sentiment!$B$2:$B$37,Phone_by_Sentiment!G$2:G$37,"",0,1),0),$A1482-TEXT(DATEVALUE($D1482&amp;"-01"), "dd-mm-yyyy")),0),0)</f>
        <v>152</v>
      </c>
      <c r="H1482" cm="1">
        <f t="array" ref="H1482">IF($Q1482&gt;=0,IFERROR(generateSalesData($D1482, IF(ISNUMBER(_xlfn.XLOOKUP($C1482,Phone_by_Sentiment!$B$2:$B$37,Phone_by_Sentiment!H$2:H$37,"",0,1)),_xlfn.XLOOKUP($C1482,Phone_by_Sentiment!$B$2:$B$37,Phone_by_Sentiment!H$2:H$37,"",0,1),0),$A1482-TEXT(DATEVALUE($D1482&amp;"-01"), "dd-mm-yyyy")),0),0)</f>
        <v>158</v>
      </c>
      <c r="I1482" cm="1">
        <f t="array" ref="I1482">IF($Q1482&gt;=0,IFERROR(generateSalesData($D1482, IF(ISNUMBER(_xlfn.XLOOKUP($C1482,Phone_by_Sentiment!$B$2:$B$37,Phone_by_Sentiment!I$2:I$37,"",0,1)),_xlfn.XLOOKUP($C1482,Phone_by_Sentiment!$B$2:$B$37,Phone_by_Sentiment!I$2:I$37,"",0,1),0),$A1482-TEXT(DATEVALUE($D1482&amp;"-01"), "dd-mm-yyyy")),0),0)</f>
        <v>-27</v>
      </c>
      <c r="J1482" cm="1">
        <f t="array" ref="J1482">IF($Q1482&gt;=0,IFERROR(generateSalesData($D1482, IF(ISNUMBER(_xlfn.XLOOKUP($C1482,Phone_by_Sentiment!$B$2:$B$37,Phone_by_Sentiment!J$2:J$37,"",0,1)),_xlfn.XLOOKUP($C1482,Phone_by_Sentiment!$B$2:$B$37,Phone_by_Sentiment!J$2:J$37,"",0,1),0),$A1482-TEXT(DATEVALUE($D1482&amp;"-01"), "dd-mm-yyyy")),0),0)</f>
        <v>187</v>
      </c>
      <c r="K1482" cm="1">
        <f t="array" ref="K1482">IF($Q1482&gt;=0,IFERROR(generateSalesData($D1482, IF(ISNUMBER(_xlfn.XLOOKUP($C1482,Phone_by_Sentiment!$B$2:$B$37,Phone_by_Sentiment!K$2:K$37,"",0,1)),_xlfn.XLOOKUP($C1482,Phone_by_Sentiment!$B$2:$B$37,Phone_by_Sentiment!K$2:K$37,"",0,1),0),$A1482-TEXT(DATEVALUE($D1482&amp;"-01"), "dd-mm-yyyy")),0),0)</f>
        <v>23</v>
      </c>
      <c r="L1482" cm="1">
        <f t="array" ref="L1482">IF($Q1482&gt;=0,IFERROR(generateSalesData($D1482, IF(ISNUMBER(_xlfn.XLOOKUP($C1482,Phone_by_Sentiment!$B$2:$B$37,Phone_by_Sentiment!L$2:L$37,"",0,1)),_xlfn.XLOOKUP($C1482,Phone_by_Sentiment!$B$2:$B$37,Phone_by_Sentiment!L$2:L$37,"",0,1),0),$A1482-TEXT(DATEVALUE($D1482&amp;"-01"), "dd-mm-yyyy")),0),0)</f>
        <v>61</v>
      </c>
      <c r="M1482" cm="1">
        <f t="array" ref="M1482">IF($Q1482&gt;=0,IFERROR(generateSalesData($D1482, IF(ISNUMBER(_xlfn.XLOOKUP($C1482,Phone_by_Sentiment!$B$2:$B$37,Phone_by_Sentiment!M$2:M$37,"",0,1)),_xlfn.XLOOKUP($C1482,Phone_by_Sentiment!$B$2:$B$37,Phone_by_Sentiment!M$2:M$37,"",0,1),0),$A1482-TEXT(DATEVALUE($D1482&amp;"-01"), "dd-mm-yyyy")),0),0)</f>
        <v>262</v>
      </c>
      <c r="N1482" cm="1">
        <f t="array" ref="N1482">IF($Q1482&gt;=0,IFERROR(generateSalesData($D1482, IF(ISNUMBER(_xlfn.XLOOKUP($C1482,Phone_by_Sentiment!$B$2:$B$37,Phone_by_Sentiment!N$2:N$37,"",0,1)),_xlfn.XLOOKUP($C1482,Phone_by_Sentiment!$B$2:$B$37,Phone_by_Sentiment!N$2:N$37,"",0,1),0),$A1482-TEXT(DATEVALUE($D1482&amp;"-01"), "dd-mm-yyyy")),0),0)</f>
        <v>-13</v>
      </c>
      <c r="O1482" cm="1">
        <f t="array" ref="O1482">IF($Q1482&gt;=0,IFERROR(generateSalesData($D1482, IF(ISNUMBER(_xlfn.XLOOKUP($C1482,Phone_by_Sentiment!$B$2:$B$37,Phone_by_Sentiment!O$2:O$37,"",0,1)),_xlfn.XLOOKUP($C1482,Phone_by_Sentiment!$B$2:$B$37,Phone_by_Sentiment!O$2:O$37,"",0,1),0),$A1482-TEXT(DATEVALUE($D1482&amp;"-01"), "dd-mm-yyyy")),0),0)</f>
        <v>78</v>
      </c>
      <c r="P1482" s="1">
        <f t="shared" si="58"/>
        <v>44470</v>
      </c>
      <c r="Q1482">
        <f t="shared" si="60"/>
        <v>273</v>
      </c>
    </row>
    <row r="1483" spans="1:17" x14ac:dyDescent="0.25">
      <c r="A1483" s="1">
        <f t="shared" si="59"/>
        <v>44743</v>
      </c>
      <c r="B1483" t="s">
        <v>156</v>
      </c>
      <c r="C1483" t="str">
        <f>_xlfn.XLOOKUP(B1483,Phone_by_Price!$A$2:$A$34,Phone_by_Price!$B$2:$B$34,"-",0,1)</f>
        <v>OnePlus Nord CE</v>
      </c>
      <c r="D1483" t="str">
        <f>_xlfn.XLOOKUP(C1483,Phone_by_Sentiment!$B$2:$B$37,Phone_by_Sentiment!$A$2:$A$37,"-",0,1)</f>
        <v>2021-06</v>
      </c>
      <c r="E1483" cm="1">
        <f t="array" ref="E1483">IF($Q1483&gt;=0,IFERROR(generateSalesData($D1483, IF(ISNUMBER(_xlfn.XLOOKUP($C1483,Phone_by_Sentiment!$B$2:$B$37,Phone_by_Sentiment!E$2:E$37,"",0,1)),_xlfn.XLOOKUP($C1483,Phone_by_Sentiment!$B$2:$B$37,Phone_by_Sentiment!E$2:E$37,"",0,1),0),$A1483-TEXT(DATEVALUE($D1483&amp;"-01"), "dd-mm-yyyy")),0),0)</f>
        <v>57</v>
      </c>
      <c r="F1483" cm="1">
        <f t="array" ref="F1483">IF($Q1483&gt;=0,IFERROR(generateSalesData($D1483, IF(ISNUMBER(_xlfn.XLOOKUP($C1483,Phone_by_Sentiment!$B$2:$B$37,Phone_by_Sentiment!F$2:F$37,"",0,1)),_xlfn.XLOOKUP($C1483,Phone_by_Sentiment!$B$2:$B$37,Phone_by_Sentiment!F$2:F$37,"",0,1),0),$A1483-TEXT(DATEVALUE($D1483&amp;"-01"), "dd-mm-yyyy")),0),0)</f>
        <v>117</v>
      </c>
      <c r="G1483" cm="1">
        <f t="array" ref="G1483">IF($Q1483&gt;=0,IFERROR(generateSalesData($D1483, IF(ISNUMBER(_xlfn.XLOOKUP($C1483,Phone_by_Sentiment!$B$2:$B$37,Phone_by_Sentiment!G$2:G$37,"",0,1)),_xlfn.XLOOKUP($C1483,Phone_by_Sentiment!$B$2:$B$37,Phone_by_Sentiment!G$2:G$37,"",0,1),0),$A1483-TEXT(DATEVALUE($D1483&amp;"-01"), "dd-mm-yyyy")),0),0)</f>
        <v>104</v>
      </c>
      <c r="H1483" cm="1">
        <f t="array" ref="H1483">IF($Q1483&gt;=0,IFERROR(generateSalesData($D1483, IF(ISNUMBER(_xlfn.XLOOKUP($C1483,Phone_by_Sentiment!$B$2:$B$37,Phone_by_Sentiment!H$2:H$37,"",0,1)),_xlfn.XLOOKUP($C1483,Phone_by_Sentiment!$B$2:$B$37,Phone_by_Sentiment!H$2:H$37,"",0,1),0),$A1483-TEXT(DATEVALUE($D1483&amp;"-01"), "dd-mm-yyyy")),0),0)</f>
        <v>-159</v>
      </c>
      <c r="I1483" cm="1">
        <f t="array" ref="I1483">IF($Q1483&gt;=0,IFERROR(generateSalesData($D1483, IF(ISNUMBER(_xlfn.XLOOKUP($C1483,Phone_by_Sentiment!$B$2:$B$37,Phone_by_Sentiment!I$2:I$37,"",0,1)),_xlfn.XLOOKUP($C1483,Phone_by_Sentiment!$B$2:$B$37,Phone_by_Sentiment!I$2:I$37,"",0,1),0),$A1483-TEXT(DATEVALUE($D1483&amp;"-01"), "dd-mm-yyyy")),0),0)</f>
        <v>71</v>
      </c>
      <c r="J1483" cm="1">
        <f t="array" ref="J1483">IF($Q1483&gt;=0,IFERROR(generateSalesData($D1483, IF(ISNUMBER(_xlfn.XLOOKUP($C1483,Phone_by_Sentiment!$B$2:$B$37,Phone_by_Sentiment!J$2:J$37,"",0,1)),_xlfn.XLOOKUP($C1483,Phone_by_Sentiment!$B$2:$B$37,Phone_by_Sentiment!J$2:J$37,"",0,1),0),$A1483-TEXT(DATEVALUE($D1483&amp;"-01"), "dd-mm-yyyy")),0),0)</f>
        <v>118</v>
      </c>
      <c r="K1483" cm="1">
        <f t="array" ref="K1483">IF($Q1483&gt;=0,IFERROR(generateSalesData($D1483, IF(ISNUMBER(_xlfn.XLOOKUP($C1483,Phone_by_Sentiment!$B$2:$B$37,Phone_by_Sentiment!K$2:K$37,"",0,1)),_xlfn.XLOOKUP($C1483,Phone_by_Sentiment!$B$2:$B$37,Phone_by_Sentiment!K$2:K$37,"",0,1),0),$A1483-TEXT(DATEVALUE($D1483&amp;"-01"), "dd-mm-yyyy")),0),0)</f>
        <v>97</v>
      </c>
      <c r="L1483" cm="1">
        <f t="array" ref="L1483">IF($Q1483&gt;=0,IFERROR(generateSalesData($D1483, IF(ISNUMBER(_xlfn.XLOOKUP($C1483,Phone_by_Sentiment!$B$2:$B$37,Phone_by_Sentiment!L$2:L$37,"",0,1)),_xlfn.XLOOKUP($C1483,Phone_by_Sentiment!$B$2:$B$37,Phone_by_Sentiment!L$2:L$37,"",0,1),0),$A1483-TEXT(DATEVALUE($D1483&amp;"-01"), "dd-mm-yyyy")),0),0)</f>
        <v>92</v>
      </c>
      <c r="M1483" cm="1">
        <f t="array" ref="M1483">IF($Q1483&gt;=0,IFERROR(generateSalesData($D1483, IF(ISNUMBER(_xlfn.XLOOKUP($C1483,Phone_by_Sentiment!$B$2:$B$37,Phone_by_Sentiment!M$2:M$37,"",0,1)),_xlfn.XLOOKUP($C1483,Phone_by_Sentiment!$B$2:$B$37,Phone_by_Sentiment!M$2:M$37,"",0,1),0),$A1483-TEXT(DATEVALUE($D1483&amp;"-01"), "dd-mm-yyyy")),0),0)</f>
        <v>61</v>
      </c>
      <c r="N1483" cm="1">
        <f t="array" ref="N1483">IF($Q1483&gt;=0,IFERROR(generateSalesData($D1483, IF(ISNUMBER(_xlfn.XLOOKUP($C1483,Phone_by_Sentiment!$B$2:$B$37,Phone_by_Sentiment!N$2:N$37,"",0,1)),_xlfn.XLOOKUP($C1483,Phone_by_Sentiment!$B$2:$B$37,Phone_by_Sentiment!N$2:N$37,"",0,1),0),$A1483-TEXT(DATEVALUE($D1483&amp;"-01"), "dd-mm-yyyy")),0),0)</f>
        <v>153</v>
      </c>
      <c r="O1483" cm="1">
        <f t="array" ref="O1483">IF($Q1483&gt;=0,IFERROR(generateSalesData($D1483, IF(ISNUMBER(_xlfn.XLOOKUP($C1483,Phone_by_Sentiment!$B$2:$B$37,Phone_by_Sentiment!O$2:O$37,"",0,1)),_xlfn.XLOOKUP($C1483,Phone_by_Sentiment!$B$2:$B$37,Phone_by_Sentiment!O$2:O$37,"",0,1),0),$A1483-TEXT(DATEVALUE($D1483&amp;"-01"), "dd-mm-yyyy")),0),0)</f>
        <v>94</v>
      </c>
      <c r="P1483" s="1">
        <f t="shared" si="58"/>
        <v>44348</v>
      </c>
      <c r="Q1483">
        <f t="shared" si="60"/>
        <v>395</v>
      </c>
    </row>
    <row r="1484" spans="1:17" x14ac:dyDescent="0.25">
      <c r="A1484" s="1">
        <f t="shared" si="59"/>
        <v>44743</v>
      </c>
      <c r="B1484" t="s">
        <v>157</v>
      </c>
      <c r="C1484" t="str">
        <f>_xlfn.XLOOKUP(B1484,Phone_by_Price!$A$2:$A$34,Phone_by_Price!$B$2:$B$34,"-",0,1)</f>
        <v>Apple iPhone 13 Pro</v>
      </c>
      <c r="D1484" t="str">
        <f>_xlfn.XLOOKUP(C1484,Phone_by_Sentiment!$B$2:$B$37,Phone_by_Sentiment!$A$2:$A$37,"-",0,1)</f>
        <v>2021-09</v>
      </c>
      <c r="E1484" cm="1">
        <f t="array" ref="E1484">IF($Q1484&gt;=0,IFERROR(generateSalesData($D1484, IF(ISNUMBER(_xlfn.XLOOKUP($C1484,Phone_by_Sentiment!$B$2:$B$37,Phone_by_Sentiment!E$2:E$37,"",0,1)),_xlfn.XLOOKUP($C1484,Phone_by_Sentiment!$B$2:$B$37,Phone_by_Sentiment!E$2:E$37,"",0,1),0),$A1484-TEXT(DATEVALUE($D1484&amp;"-01"), "dd-mm-yyyy")),0),0)</f>
        <v>716</v>
      </c>
      <c r="F1484" cm="1">
        <f t="array" ref="F1484">IF($Q1484&gt;=0,IFERROR(generateSalesData($D1484, IF(ISNUMBER(_xlfn.XLOOKUP($C1484,Phone_by_Sentiment!$B$2:$B$37,Phone_by_Sentiment!F$2:F$37,"",0,1)),_xlfn.XLOOKUP($C1484,Phone_by_Sentiment!$B$2:$B$37,Phone_by_Sentiment!F$2:F$37,"",0,1),0),$A1484-TEXT(DATEVALUE($D1484&amp;"-01"), "dd-mm-yyyy")),0),0)</f>
        <v>1154</v>
      </c>
      <c r="G1484" cm="1">
        <f t="array" ref="G1484">IF($Q1484&gt;=0,IFERROR(generateSalesData($D1484, IF(ISNUMBER(_xlfn.XLOOKUP($C1484,Phone_by_Sentiment!$B$2:$B$37,Phone_by_Sentiment!G$2:G$37,"",0,1)),_xlfn.XLOOKUP($C1484,Phone_by_Sentiment!$B$2:$B$37,Phone_by_Sentiment!G$2:G$37,"",0,1),0),$A1484-TEXT(DATEVALUE($D1484&amp;"-01"), "dd-mm-yyyy")),0),0)</f>
        <v>189</v>
      </c>
      <c r="H1484" cm="1">
        <f t="array" ref="H1484">IF($Q1484&gt;=0,IFERROR(generateSalesData($D1484, IF(ISNUMBER(_xlfn.XLOOKUP($C1484,Phone_by_Sentiment!$B$2:$B$37,Phone_by_Sentiment!H$2:H$37,"",0,1)),_xlfn.XLOOKUP($C1484,Phone_by_Sentiment!$B$2:$B$37,Phone_by_Sentiment!H$2:H$37,"",0,1),0),$A1484-TEXT(DATEVALUE($D1484&amp;"-01"), "dd-mm-yyyy")),0),0)</f>
        <v>1348</v>
      </c>
      <c r="I1484" cm="1">
        <f t="array" ref="I1484">IF($Q1484&gt;=0,IFERROR(generateSalesData($D1484, IF(ISNUMBER(_xlfn.XLOOKUP($C1484,Phone_by_Sentiment!$B$2:$B$37,Phone_by_Sentiment!I$2:I$37,"",0,1)),_xlfn.XLOOKUP($C1484,Phone_by_Sentiment!$B$2:$B$37,Phone_by_Sentiment!I$2:I$37,"",0,1),0),$A1484-TEXT(DATEVALUE($D1484&amp;"-01"), "dd-mm-yyyy")),0),0)</f>
        <v>658</v>
      </c>
      <c r="J1484" cm="1">
        <f t="array" ref="J1484">IF($Q1484&gt;=0,IFERROR(generateSalesData($D1484, IF(ISNUMBER(_xlfn.XLOOKUP($C1484,Phone_by_Sentiment!$B$2:$B$37,Phone_by_Sentiment!J$2:J$37,"",0,1)),_xlfn.XLOOKUP($C1484,Phone_by_Sentiment!$B$2:$B$37,Phone_by_Sentiment!J$2:J$37,"",0,1),0),$A1484-TEXT(DATEVALUE($D1484&amp;"-01"), "dd-mm-yyyy")),0),0)</f>
        <v>1970</v>
      </c>
      <c r="K1484" cm="1">
        <f t="array" ref="K1484">IF($Q1484&gt;=0,IFERROR(generateSalesData($D1484, IF(ISNUMBER(_xlfn.XLOOKUP($C1484,Phone_by_Sentiment!$B$2:$B$37,Phone_by_Sentiment!K$2:K$37,"",0,1)),_xlfn.XLOOKUP($C1484,Phone_by_Sentiment!$B$2:$B$37,Phone_by_Sentiment!K$2:K$37,"",0,1),0),$A1484-TEXT(DATEVALUE($D1484&amp;"-01"), "dd-mm-yyyy")),0),0)</f>
        <v>1122</v>
      </c>
      <c r="L1484" cm="1">
        <f t="array" ref="L1484">IF($Q1484&gt;=0,IFERROR(generateSalesData($D1484, IF(ISNUMBER(_xlfn.XLOOKUP($C1484,Phone_by_Sentiment!$B$2:$B$37,Phone_by_Sentiment!L$2:L$37,"",0,1)),_xlfn.XLOOKUP($C1484,Phone_by_Sentiment!$B$2:$B$37,Phone_by_Sentiment!L$2:L$37,"",0,1),0),$A1484-TEXT(DATEVALUE($D1484&amp;"-01"), "dd-mm-yyyy")),0),0)</f>
        <v>1040</v>
      </c>
      <c r="M1484" cm="1">
        <f t="array" ref="M1484">IF($Q1484&gt;=0,IFERROR(generateSalesData($D1484, IF(ISNUMBER(_xlfn.XLOOKUP($C1484,Phone_by_Sentiment!$B$2:$B$37,Phone_by_Sentiment!M$2:M$37,"",0,1)),_xlfn.XLOOKUP($C1484,Phone_by_Sentiment!$B$2:$B$37,Phone_by_Sentiment!M$2:M$37,"",0,1),0),$A1484-TEXT(DATEVALUE($D1484&amp;"-01"), "dd-mm-yyyy")),0),0)</f>
        <v>1248</v>
      </c>
      <c r="N1484" cm="1">
        <f t="array" ref="N1484">IF($Q1484&gt;=0,IFERROR(generateSalesData($D1484, IF(ISNUMBER(_xlfn.XLOOKUP($C1484,Phone_by_Sentiment!$B$2:$B$37,Phone_by_Sentiment!N$2:N$37,"",0,1)),_xlfn.XLOOKUP($C1484,Phone_by_Sentiment!$B$2:$B$37,Phone_by_Sentiment!N$2:N$37,"",0,1),0),$A1484-TEXT(DATEVALUE($D1484&amp;"-01"), "dd-mm-yyyy")),0),0)</f>
        <v>1100</v>
      </c>
      <c r="O1484" cm="1">
        <f t="array" ref="O1484">IF($Q1484&gt;=0,IFERROR(generateSalesData($D1484, IF(ISNUMBER(_xlfn.XLOOKUP($C1484,Phone_by_Sentiment!$B$2:$B$37,Phone_by_Sentiment!O$2:O$37,"",0,1)),_xlfn.XLOOKUP($C1484,Phone_by_Sentiment!$B$2:$B$37,Phone_by_Sentiment!O$2:O$37,"",0,1),0),$A1484-TEXT(DATEVALUE($D1484&amp;"-01"), "dd-mm-yyyy")),0),0)</f>
        <v>-403</v>
      </c>
      <c r="P1484" s="1">
        <f t="shared" si="58"/>
        <v>44440</v>
      </c>
      <c r="Q1484">
        <f t="shared" si="60"/>
        <v>303</v>
      </c>
    </row>
    <row r="1485" spans="1:17" x14ac:dyDescent="0.25">
      <c r="A1485" s="1">
        <f t="shared" si="59"/>
        <v>44743</v>
      </c>
      <c r="B1485" t="s">
        <v>158</v>
      </c>
      <c r="C1485" t="str">
        <f>_xlfn.XLOOKUP(B1485,Phone_by_Price!$A$2:$A$34,Phone_by_Price!$B$2:$B$34,"-",0,1)</f>
        <v>Samsung Galaxy A32 5G</v>
      </c>
      <c r="D1485" t="str">
        <f>_xlfn.XLOOKUP(C1485,Phone_by_Sentiment!$B$2:$B$37,Phone_by_Sentiment!$A$2:$A$37,"-",0,1)</f>
        <v>2021-02</v>
      </c>
      <c r="E1485" cm="1">
        <f t="array" ref="E1485">IF($Q1485&gt;=0,IFERROR(generateSalesData($D1485, IF(ISNUMBER(_xlfn.XLOOKUP($C1485,Phone_by_Sentiment!$B$2:$B$37,Phone_by_Sentiment!E$2:E$37,"",0,1)),_xlfn.XLOOKUP($C1485,Phone_by_Sentiment!$B$2:$B$37,Phone_by_Sentiment!E$2:E$37,"",0,1),0),$A1485-TEXT(DATEVALUE($D1485&amp;"-01"), "dd-mm-yyyy")),0),0)</f>
        <v>192</v>
      </c>
      <c r="F1485" cm="1">
        <f t="array" ref="F1485">IF($Q1485&gt;=0,IFERROR(generateSalesData($D1485, IF(ISNUMBER(_xlfn.XLOOKUP($C1485,Phone_by_Sentiment!$B$2:$B$37,Phone_by_Sentiment!F$2:F$37,"",0,1)),_xlfn.XLOOKUP($C1485,Phone_by_Sentiment!$B$2:$B$37,Phone_by_Sentiment!F$2:F$37,"",0,1),0),$A1485-TEXT(DATEVALUE($D1485&amp;"-01"), "dd-mm-yyyy")),0),0)</f>
        <v>20</v>
      </c>
      <c r="G1485" cm="1">
        <f t="array" ref="G1485">IF($Q1485&gt;=0,IFERROR(generateSalesData($D1485, IF(ISNUMBER(_xlfn.XLOOKUP($C1485,Phone_by_Sentiment!$B$2:$B$37,Phone_by_Sentiment!G$2:G$37,"",0,1)),_xlfn.XLOOKUP($C1485,Phone_by_Sentiment!$B$2:$B$37,Phone_by_Sentiment!G$2:G$37,"",0,1),0),$A1485-TEXT(DATEVALUE($D1485&amp;"-01"), "dd-mm-yyyy")),0),0)</f>
        <v>144</v>
      </c>
      <c r="H1485" cm="1">
        <f t="array" ref="H1485">IF($Q1485&gt;=0,IFERROR(generateSalesData($D1485, IF(ISNUMBER(_xlfn.XLOOKUP($C1485,Phone_by_Sentiment!$B$2:$B$37,Phone_by_Sentiment!H$2:H$37,"",0,1)),_xlfn.XLOOKUP($C1485,Phone_by_Sentiment!$B$2:$B$37,Phone_by_Sentiment!H$2:H$37,"",0,1),0),$A1485-TEXT(DATEVALUE($D1485&amp;"-01"), "dd-mm-yyyy")),0),0)</f>
        <v>239</v>
      </c>
      <c r="I1485" cm="1">
        <f t="array" ref="I1485">IF($Q1485&gt;=0,IFERROR(generateSalesData($D1485, IF(ISNUMBER(_xlfn.XLOOKUP($C1485,Phone_by_Sentiment!$B$2:$B$37,Phone_by_Sentiment!I$2:I$37,"",0,1)),_xlfn.XLOOKUP($C1485,Phone_by_Sentiment!$B$2:$B$37,Phone_by_Sentiment!I$2:I$37,"",0,1),0),$A1485-TEXT(DATEVALUE($D1485&amp;"-01"), "dd-mm-yyyy")),0),0)</f>
        <v>860</v>
      </c>
      <c r="J1485" cm="1">
        <f t="array" ref="J1485">IF($Q1485&gt;=0,IFERROR(generateSalesData($D1485, IF(ISNUMBER(_xlfn.XLOOKUP($C1485,Phone_by_Sentiment!$B$2:$B$37,Phone_by_Sentiment!J$2:J$37,"",0,1)),_xlfn.XLOOKUP($C1485,Phone_by_Sentiment!$B$2:$B$37,Phone_by_Sentiment!J$2:J$37,"",0,1),0),$A1485-TEXT(DATEVALUE($D1485&amp;"-01"), "dd-mm-yyyy")),0),0)</f>
        <v>-9</v>
      </c>
      <c r="K1485" cm="1">
        <f t="array" ref="K1485">IF($Q1485&gt;=0,IFERROR(generateSalesData($D1485, IF(ISNUMBER(_xlfn.XLOOKUP($C1485,Phone_by_Sentiment!$B$2:$B$37,Phone_by_Sentiment!K$2:K$37,"",0,1)),_xlfn.XLOOKUP($C1485,Phone_by_Sentiment!$B$2:$B$37,Phone_by_Sentiment!K$2:K$37,"",0,1),0),$A1485-TEXT(DATEVALUE($D1485&amp;"-01"), "dd-mm-yyyy")),0),0)</f>
        <v>619</v>
      </c>
      <c r="L1485" cm="1">
        <f t="array" ref="L1485">IF($Q1485&gt;=0,IFERROR(generateSalesData($D1485, IF(ISNUMBER(_xlfn.XLOOKUP($C1485,Phone_by_Sentiment!$B$2:$B$37,Phone_by_Sentiment!L$2:L$37,"",0,1)),_xlfn.XLOOKUP($C1485,Phone_by_Sentiment!$B$2:$B$37,Phone_by_Sentiment!L$2:L$37,"",0,1),0),$A1485-TEXT(DATEVALUE($D1485&amp;"-01"), "dd-mm-yyyy")),0),0)</f>
        <v>276</v>
      </c>
      <c r="M1485" cm="1">
        <f t="array" ref="M1485">IF($Q1485&gt;=0,IFERROR(generateSalesData($D1485, IF(ISNUMBER(_xlfn.XLOOKUP($C1485,Phone_by_Sentiment!$B$2:$B$37,Phone_by_Sentiment!M$2:M$37,"",0,1)),_xlfn.XLOOKUP($C1485,Phone_by_Sentiment!$B$2:$B$37,Phone_by_Sentiment!M$2:M$37,"",0,1),0),$A1485-TEXT(DATEVALUE($D1485&amp;"-01"), "dd-mm-yyyy")),0),0)</f>
        <v>372</v>
      </c>
      <c r="N1485" cm="1">
        <f t="array" ref="N1485">IF($Q1485&gt;=0,IFERROR(generateSalesData($D1485, IF(ISNUMBER(_xlfn.XLOOKUP($C1485,Phone_by_Sentiment!$B$2:$B$37,Phone_by_Sentiment!N$2:N$37,"",0,1)),_xlfn.XLOOKUP($C1485,Phone_by_Sentiment!$B$2:$B$37,Phone_by_Sentiment!N$2:N$37,"",0,1),0),$A1485-TEXT(DATEVALUE($D1485&amp;"-01"), "dd-mm-yyyy")),0),0)</f>
        <v>232</v>
      </c>
      <c r="O1485" cm="1">
        <f t="array" ref="O1485">IF($Q1485&gt;=0,IFERROR(generateSalesData($D1485, IF(ISNUMBER(_xlfn.XLOOKUP($C1485,Phone_by_Sentiment!$B$2:$B$37,Phone_by_Sentiment!O$2:O$37,"",0,1)),_xlfn.XLOOKUP($C1485,Phone_by_Sentiment!$B$2:$B$37,Phone_by_Sentiment!O$2:O$37,"",0,1),0),$A1485-TEXT(DATEVALUE($D1485&amp;"-01"), "dd-mm-yyyy")),0),0)</f>
        <v>362</v>
      </c>
      <c r="P1485" s="1">
        <f t="shared" si="58"/>
        <v>44228</v>
      </c>
      <c r="Q1485">
        <f t="shared" si="60"/>
        <v>515</v>
      </c>
    </row>
    <row r="1486" spans="1:17" x14ac:dyDescent="0.25">
      <c r="A1486" s="1">
        <f t="shared" si="59"/>
        <v>44743</v>
      </c>
      <c r="B1486" t="s">
        <v>159</v>
      </c>
      <c r="C1486" t="str">
        <f>_xlfn.XLOOKUP(B1486,Phone_by_Price!$A$2:$A$34,Phone_by_Price!$B$2:$B$34,"-",0,1)</f>
        <v>Realme C25</v>
      </c>
      <c r="D1486" t="str">
        <f>_xlfn.XLOOKUP(C1486,Phone_by_Sentiment!$B$2:$B$37,Phone_by_Sentiment!$A$2:$A$37,"-",0,1)</f>
        <v>2021-03</v>
      </c>
      <c r="E1486" cm="1">
        <f t="array" ref="E1486">IF($Q1486&gt;=0,IFERROR(generateSalesData($D1486, IF(ISNUMBER(_xlfn.XLOOKUP($C1486,Phone_by_Sentiment!$B$2:$B$37,Phone_by_Sentiment!E$2:E$37,"",0,1)),_xlfn.XLOOKUP($C1486,Phone_by_Sentiment!$B$2:$B$37,Phone_by_Sentiment!E$2:E$37,"",0,1),0),$A1486-TEXT(DATEVALUE($D1486&amp;"-01"), "dd-mm-yyyy")),0),0)</f>
        <v>193</v>
      </c>
      <c r="F1486" cm="1">
        <f t="array" ref="F1486">IF($Q1486&gt;=0,IFERROR(generateSalesData($D1486, IF(ISNUMBER(_xlfn.XLOOKUP($C1486,Phone_by_Sentiment!$B$2:$B$37,Phone_by_Sentiment!F$2:F$37,"",0,1)),_xlfn.XLOOKUP($C1486,Phone_by_Sentiment!$B$2:$B$37,Phone_by_Sentiment!F$2:F$37,"",0,1),0),$A1486-TEXT(DATEVALUE($D1486&amp;"-01"), "dd-mm-yyyy")),0),0)</f>
        <v>662</v>
      </c>
      <c r="G1486" cm="1">
        <f t="array" ref="G1486">IF($Q1486&gt;=0,IFERROR(generateSalesData($D1486, IF(ISNUMBER(_xlfn.XLOOKUP($C1486,Phone_by_Sentiment!$B$2:$B$37,Phone_by_Sentiment!G$2:G$37,"",0,1)),_xlfn.XLOOKUP($C1486,Phone_by_Sentiment!$B$2:$B$37,Phone_by_Sentiment!G$2:G$37,"",0,1),0),$A1486-TEXT(DATEVALUE($D1486&amp;"-01"), "dd-mm-yyyy")),0),0)</f>
        <v>225</v>
      </c>
      <c r="H1486" cm="1">
        <f t="array" ref="H1486">IF($Q1486&gt;=0,IFERROR(generateSalesData($D1486, IF(ISNUMBER(_xlfn.XLOOKUP($C1486,Phone_by_Sentiment!$B$2:$B$37,Phone_by_Sentiment!H$2:H$37,"",0,1)),_xlfn.XLOOKUP($C1486,Phone_by_Sentiment!$B$2:$B$37,Phone_by_Sentiment!H$2:H$37,"",0,1),0),$A1486-TEXT(DATEVALUE($D1486&amp;"-01"), "dd-mm-yyyy")),0),0)</f>
        <v>325</v>
      </c>
      <c r="I1486" cm="1">
        <f t="array" ref="I1486">IF($Q1486&gt;=0,IFERROR(generateSalesData($D1486, IF(ISNUMBER(_xlfn.XLOOKUP($C1486,Phone_by_Sentiment!$B$2:$B$37,Phone_by_Sentiment!I$2:I$37,"",0,1)),_xlfn.XLOOKUP($C1486,Phone_by_Sentiment!$B$2:$B$37,Phone_by_Sentiment!I$2:I$37,"",0,1),0),$A1486-TEXT(DATEVALUE($D1486&amp;"-01"), "dd-mm-yyyy")),0),0)</f>
        <v>464</v>
      </c>
      <c r="J1486" cm="1">
        <f t="array" ref="J1486">IF($Q1486&gt;=0,IFERROR(generateSalesData($D1486, IF(ISNUMBER(_xlfn.XLOOKUP($C1486,Phone_by_Sentiment!$B$2:$B$37,Phone_by_Sentiment!J$2:J$37,"",0,1)),_xlfn.XLOOKUP($C1486,Phone_by_Sentiment!$B$2:$B$37,Phone_by_Sentiment!J$2:J$37,"",0,1),0),$A1486-TEXT(DATEVALUE($D1486&amp;"-01"), "dd-mm-yyyy")),0),0)</f>
        <v>84</v>
      </c>
      <c r="K1486" cm="1">
        <f t="array" ref="K1486">IF($Q1486&gt;=0,IFERROR(generateSalesData($D1486, IF(ISNUMBER(_xlfn.XLOOKUP($C1486,Phone_by_Sentiment!$B$2:$B$37,Phone_by_Sentiment!K$2:K$37,"",0,1)),_xlfn.XLOOKUP($C1486,Phone_by_Sentiment!$B$2:$B$37,Phone_by_Sentiment!K$2:K$37,"",0,1),0),$A1486-TEXT(DATEVALUE($D1486&amp;"-01"), "dd-mm-yyyy")),0),0)</f>
        <v>279</v>
      </c>
      <c r="L1486" cm="1">
        <f t="array" ref="L1486">IF($Q1486&gt;=0,IFERROR(generateSalesData($D1486, IF(ISNUMBER(_xlfn.XLOOKUP($C1486,Phone_by_Sentiment!$B$2:$B$37,Phone_by_Sentiment!L$2:L$37,"",0,1)),_xlfn.XLOOKUP($C1486,Phone_by_Sentiment!$B$2:$B$37,Phone_by_Sentiment!L$2:L$37,"",0,1),0),$A1486-TEXT(DATEVALUE($D1486&amp;"-01"), "dd-mm-yyyy")),0),0)</f>
        <v>-47</v>
      </c>
      <c r="M1486" cm="1">
        <f t="array" ref="M1486">IF($Q1486&gt;=0,IFERROR(generateSalesData($D1486, IF(ISNUMBER(_xlfn.XLOOKUP($C1486,Phone_by_Sentiment!$B$2:$B$37,Phone_by_Sentiment!M$2:M$37,"",0,1)),_xlfn.XLOOKUP($C1486,Phone_by_Sentiment!$B$2:$B$37,Phone_by_Sentiment!M$2:M$37,"",0,1),0),$A1486-TEXT(DATEVALUE($D1486&amp;"-01"), "dd-mm-yyyy")),0),0)</f>
        <v>167</v>
      </c>
      <c r="N1486" cm="1">
        <f t="array" ref="N1486">IF($Q1486&gt;=0,IFERROR(generateSalesData($D1486, IF(ISNUMBER(_xlfn.XLOOKUP($C1486,Phone_by_Sentiment!$B$2:$B$37,Phone_by_Sentiment!N$2:N$37,"",0,1)),_xlfn.XLOOKUP($C1486,Phone_by_Sentiment!$B$2:$B$37,Phone_by_Sentiment!N$2:N$37,"",0,1),0),$A1486-TEXT(DATEVALUE($D1486&amp;"-01"), "dd-mm-yyyy")),0),0)</f>
        <v>114</v>
      </c>
      <c r="O1486" cm="1">
        <f t="array" ref="O1486">IF($Q1486&gt;=0,IFERROR(generateSalesData($D1486, IF(ISNUMBER(_xlfn.XLOOKUP($C1486,Phone_by_Sentiment!$B$2:$B$37,Phone_by_Sentiment!O$2:O$37,"",0,1)),_xlfn.XLOOKUP($C1486,Phone_by_Sentiment!$B$2:$B$37,Phone_by_Sentiment!O$2:O$37,"",0,1),0),$A1486-TEXT(DATEVALUE($D1486&amp;"-01"), "dd-mm-yyyy")),0),0)</f>
        <v>133</v>
      </c>
      <c r="P1486" s="1">
        <f t="shared" si="58"/>
        <v>44256</v>
      </c>
      <c r="Q1486">
        <f t="shared" si="60"/>
        <v>487</v>
      </c>
    </row>
    <row r="1487" spans="1:17" x14ac:dyDescent="0.25">
      <c r="A1487" s="1">
        <f t="shared" si="59"/>
        <v>44743</v>
      </c>
      <c r="B1487" t="s">
        <v>160</v>
      </c>
      <c r="C1487" t="str">
        <f>_xlfn.XLOOKUP(B1487,Phone_by_Price!$A$2:$A$34,Phone_by_Price!$B$2:$B$34,"-",0,1)</f>
        <v>Xiaomi Poco X3 Pro</v>
      </c>
      <c r="D1487" t="str">
        <f>_xlfn.XLOOKUP(C1487,Phone_by_Sentiment!$B$2:$B$37,Phone_by_Sentiment!$A$2:$A$37,"-",0,1)</f>
        <v>2021-05</v>
      </c>
      <c r="E1487" cm="1">
        <f t="array" ref="E1487">IF($Q1487&gt;=0,IFERROR(generateSalesData($D1487, IF(ISNUMBER(_xlfn.XLOOKUP($C1487,Phone_by_Sentiment!$B$2:$B$37,Phone_by_Sentiment!E$2:E$37,"",0,1)),_xlfn.XLOOKUP($C1487,Phone_by_Sentiment!$B$2:$B$37,Phone_by_Sentiment!E$2:E$37,"",0,1),0),$A1487-TEXT(DATEVALUE($D1487&amp;"-01"), "dd-mm-yyyy")),0),0)</f>
        <v>482</v>
      </c>
      <c r="F1487" cm="1">
        <f t="array" ref="F1487">IF($Q1487&gt;=0,IFERROR(generateSalesData($D1487, IF(ISNUMBER(_xlfn.XLOOKUP($C1487,Phone_by_Sentiment!$B$2:$B$37,Phone_by_Sentiment!F$2:F$37,"",0,1)),_xlfn.XLOOKUP($C1487,Phone_by_Sentiment!$B$2:$B$37,Phone_by_Sentiment!F$2:F$37,"",0,1),0),$A1487-TEXT(DATEVALUE($D1487&amp;"-01"), "dd-mm-yyyy")),0),0)</f>
        <v>136</v>
      </c>
      <c r="G1487" cm="1">
        <f t="array" ref="G1487">IF($Q1487&gt;=0,IFERROR(generateSalesData($D1487, IF(ISNUMBER(_xlfn.XLOOKUP($C1487,Phone_by_Sentiment!$B$2:$B$37,Phone_by_Sentiment!G$2:G$37,"",0,1)),_xlfn.XLOOKUP($C1487,Phone_by_Sentiment!$B$2:$B$37,Phone_by_Sentiment!G$2:G$37,"",0,1),0),$A1487-TEXT(DATEVALUE($D1487&amp;"-01"), "dd-mm-yyyy")),0),0)</f>
        <v>71</v>
      </c>
      <c r="H1487" cm="1">
        <f t="array" ref="H1487">IF($Q1487&gt;=0,IFERROR(generateSalesData($D1487, IF(ISNUMBER(_xlfn.XLOOKUP($C1487,Phone_by_Sentiment!$B$2:$B$37,Phone_by_Sentiment!H$2:H$37,"",0,1)),_xlfn.XLOOKUP($C1487,Phone_by_Sentiment!$B$2:$B$37,Phone_by_Sentiment!H$2:H$37,"",0,1),0),$A1487-TEXT(DATEVALUE($D1487&amp;"-01"), "dd-mm-yyyy")),0),0)</f>
        <v>655</v>
      </c>
      <c r="I1487" cm="1">
        <f t="array" ref="I1487">IF($Q1487&gt;=0,IFERROR(generateSalesData($D1487, IF(ISNUMBER(_xlfn.XLOOKUP($C1487,Phone_by_Sentiment!$B$2:$B$37,Phone_by_Sentiment!I$2:I$37,"",0,1)),_xlfn.XLOOKUP($C1487,Phone_by_Sentiment!$B$2:$B$37,Phone_by_Sentiment!I$2:I$37,"",0,1),0),$A1487-TEXT(DATEVALUE($D1487&amp;"-01"), "dd-mm-yyyy")),0),0)</f>
        <v>256</v>
      </c>
      <c r="J1487" cm="1">
        <f t="array" ref="J1487">IF($Q1487&gt;=0,IFERROR(generateSalesData($D1487, IF(ISNUMBER(_xlfn.XLOOKUP($C1487,Phone_by_Sentiment!$B$2:$B$37,Phone_by_Sentiment!J$2:J$37,"",0,1)),_xlfn.XLOOKUP($C1487,Phone_by_Sentiment!$B$2:$B$37,Phone_by_Sentiment!J$2:J$37,"",0,1),0),$A1487-TEXT(DATEVALUE($D1487&amp;"-01"), "dd-mm-yyyy")),0),0)</f>
        <v>87</v>
      </c>
      <c r="K1487" cm="1">
        <f t="array" ref="K1487">IF($Q1487&gt;=0,IFERROR(generateSalesData($D1487, IF(ISNUMBER(_xlfn.XLOOKUP($C1487,Phone_by_Sentiment!$B$2:$B$37,Phone_by_Sentiment!K$2:K$37,"",0,1)),_xlfn.XLOOKUP($C1487,Phone_by_Sentiment!$B$2:$B$37,Phone_by_Sentiment!K$2:K$37,"",0,1),0),$A1487-TEXT(DATEVALUE($D1487&amp;"-01"), "dd-mm-yyyy")),0),0)</f>
        <v>160</v>
      </c>
      <c r="L1487" cm="1">
        <f t="array" ref="L1487">IF($Q1487&gt;=0,IFERROR(generateSalesData($D1487, IF(ISNUMBER(_xlfn.XLOOKUP($C1487,Phone_by_Sentiment!$B$2:$B$37,Phone_by_Sentiment!L$2:L$37,"",0,1)),_xlfn.XLOOKUP($C1487,Phone_by_Sentiment!$B$2:$B$37,Phone_by_Sentiment!L$2:L$37,"",0,1),0),$A1487-TEXT(DATEVALUE($D1487&amp;"-01"), "dd-mm-yyyy")),0),0)</f>
        <v>45</v>
      </c>
      <c r="M1487" cm="1">
        <f t="array" ref="M1487">IF($Q1487&gt;=0,IFERROR(generateSalesData($D1487, IF(ISNUMBER(_xlfn.XLOOKUP($C1487,Phone_by_Sentiment!$B$2:$B$37,Phone_by_Sentiment!M$2:M$37,"",0,1)),_xlfn.XLOOKUP($C1487,Phone_by_Sentiment!$B$2:$B$37,Phone_by_Sentiment!M$2:M$37,"",0,1),0),$A1487-TEXT(DATEVALUE($D1487&amp;"-01"), "dd-mm-yyyy")),0),0)</f>
        <v>526</v>
      </c>
      <c r="N1487" cm="1">
        <f t="array" ref="N1487">IF($Q1487&gt;=0,IFERROR(generateSalesData($D1487, IF(ISNUMBER(_xlfn.XLOOKUP($C1487,Phone_by_Sentiment!$B$2:$B$37,Phone_by_Sentiment!N$2:N$37,"",0,1)),_xlfn.XLOOKUP($C1487,Phone_by_Sentiment!$B$2:$B$37,Phone_by_Sentiment!N$2:N$37,"",0,1),0),$A1487-TEXT(DATEVALUE($D1487&amp;"-01"), "dd-mm-yyyy")),0),0)</f>
        <v>208</v>
      </c>
      <c r="O1487" cm="1">
        <f t="array" ref="O1487">IF($Q1487&gt;=0,IFERROR(generateSalesData($D1487, IF(ISNUMBER(_xlfn.XLOOKUP($C1487,Phone_by_Sentiment!$B$2:$B$37,Phone_by_Sentiment!O$2:O$37,"",0,1)),_xlfn.XLOOKUP($C1487,Phone_by_Sentiment!$B$2:$B$37,Phone_by_Sentiment!O$2:O$37,"",0,1),0),$A1487-TEXT(DATEVALUE($D1487&amp;"-01"), "dd-mm-yyyy")),0),0)</f>
        <v>695</v>
      </c>
      <c r="P1487" s="1">
        <f t="shared" si="58"/>
        <v>44317</v>
      </c>
      <c r="Q1487">
        <f t="shared" si="60"/>
        <v>426</v>
      </c>
    </row>
    <row r="1488" spans="1:17" x14ac:dyDescent="0.25">
      <c r="A1488" s="1">
        <f t="shared" si="59"/>
        <v>44743</v>
      </c>
      <c r="B1488" t="s">
        <v>161</v>
      </c>
      <c r="C1488" t="str">
        <f>_xlfn.XLOOKUP(B1488,Phone_by_Price!$A$2:$A$34,Phone_by_Price!$B$2:$B$34,"-",0,1)</f>
        <v>Samsung Galaxy Z Flip 3</v>
      </c>
      <c r="D1488" t="str">
        <f>_xlfn.XLOOKUP(C1488,Phone_by_Sentiment!$B$2:$B$37,Phone_by_Sentiment!$A$2:$A$37,"-",0,1)</f>
        <v>2021-09</v>
      </c>
      <c r="E1488" cm="1">
        <f t="array" ref="E1488">IF($Q1488&gt;=0,IFERROR(generateSalesData($D1488, IF(ISNUMBER(_xlfn.XLOOKUP($C1488,Phone_by_Sentiment!$B$2:$B$37,Phone_by_Sentiment!E$2:E$37,"",0,1)),_xlfn.XLOOKUP($C1488,Phone_by_Sentiment!$B$2:$B$37,Phone_by_Sentiment!E$2:E$37,"",0,1),0),$A1488-TEXT(DATEVALUE($D1488&amp;"-01"), "dd-mm-yyyy")),0),0)</f>
        <v>1089</v>
      </c>
      <c r="F1488" cm="1">
        <f t="array" ref="F1488">IF($Q1488&gt;=0,IFERROR(generateSalesData($D1488, IF(ISNUMBER(_xlfn.XLOOKUP($C1488,Phone_by_Sentiment!$B$2:$B$37,Phone_by_Sentiment!F$2:F$37,"",0,1)),_xlfn.XLOOKUP($C1488,Phone_by_Sentiment!$B$2:$B$37,Phone_by_Sentiment!F$2:F$37,"",0,1),0),$A1488-TEXT(DATEVALUE($D1488&amp;"-01"), "dd-mm-yyyy")),0),0)</f>
        <v>659</v>
      </c>
      <c r="G1488" cm="1">
        <f t="array" ref="G1488">IF($Q1488&gt;=0,IFERROR(generateSalesData($D1488, IF(ISNUMBER(_xlfn.XLOOKUP($C1488,Phone_by_Sentiment!$B$2:$B$37,Phone_by_Sentiment!G$2:G$37,"",0,1)),_xlfn.XLOOKUP($C1488,Phone_by_Sentiment!$B$2:$B$37,Phone_by_Sentiment!G$2:G$37,"",0,1),0),$A1488-TEXT(DATEVALUE($D1488&amp;"-01"), "dd-mm-yyyy")),0),0)</f>
        <v>-45</v>
      </c>
      <c r="H1488" cm="1">
        <f t="array" ref="H1488">IF($Q1488&gt;=0,IFERROR(generateSalesData($D1488, IF(ISNUMBER(_xlfn.XLOOKUP($C1488,Phone_by_Sentiment!$B$2:$B$37,Phone_by_Sentiment!H$2:H$37,"",0,1)),_xlfn.XLOOKUP($C1488,Phone_by_Sentiment!$B$2:$B$37,Phone_by_Sentiment!H$2:H$37,"",0,1),0),$A1488-TEXT(DATEVALUE($D1488&amp;"-01"), "dd-mm-yyyy")),0),0)</f>
        <v>724</v>
      </c>
      <c r="I1488" cm="1">
        <f t="array" ref="I1488">IF($Q1488&gt;=0,IFERROR(generateSalesData($D1488, IF(ISNUMBER(_xlfn.XLOOKUP($C1488,Phone_by_Sentiment!$B$2:$B$37,Phone_by_Sentiment!I$2:I$37,"",0,1)),_xlfn.XLOOKUP($C1488,Phone_by_Sentiment!$B$2:$B$37,Phone_by_Sentiment!I$2:I$37,"",0,1),0),$A1488-TEXT(DATEVALUE($D1488&amp;"-01"), "dd-mm-yyyy")),0),0)</f>
        <v>280</v>
      </c>
      <c r="J1488" cm="1">
        <f t="array" ref="J1488">IF($Q1488&gt;=0,IFERROR(generateSalesData($D1488, IF(ISNUMBER(_xlfn.XLOOKUP($C1488,Phone_by_Sentiment!$B$2:$B$37,Phone_by_Sentiment!J$2:J$37,"",0,1)),_xlfn.XLOOKUP($C1488,Phone_by_Sentiment!$B$2:$B$37,Phone_by_Sentiment!J$2:J$37,"",0,1),0),$A1488-TEXT(DATEVALUE($D1488&amp;"-01"), "dd-mm-yyyy")),0),0)</f>
        <v>436</v>
      </c>
      <c r="K1488" cm="1">
        <f t="array" ref="K1488">IF($Q1488&gt;=0,IFERROR(generateSalesData($D1488, IF(ISNUMBER(_xlfn.XLOOKUP($C1488,Phone_by_Sentiment!$B$2:$B$37,Phone_by_Sentiment!K$2:K$37,"",0,1)),_xlfn.XLOOKUP($C1488,Phone_by_Sentiment!$B$2:$B$37,Phone_by_Sentiment!K$2:K$37,"",0,1),0),$A1488-TEXT(DATEVALUE($D1488&amp;"-01"), "dd-mm-yyyy")),0),0)</f>
        <v>131</v>
      </c>
      <c r="L1488" cm="1">
        <f t="array" ref="L1488">IF($Q1488&gt;=0,IFERROR(generateSalesData($D1488, IF(ISNUMBER(_xlfn.XLOOKUP($C1488,Phone_by_Sentiment!$B$2:$B$37,Phone_by_Sentiment!L$2:L$37,"",0,1)),_xlfn.XLOOKUP($C1488,Phone_by_Sentiment!$B$2:$B$37,Phone_by_Sentiment!L$2:L$37,"",0,1),0),$A1488-TEXT(DATEVALUE($D1488&amp;"-01"), "dd-mm-yyyy")),0),0)</f>
        <v>1049</v>
      </c>
      <c r="M1488" cm="1">
        <f t="array" ref="M1488">IF($Q1488&gt;=0,IFERROR(generateSalesData($D1488, IF(ISNUMBER(_xlfn.XLOOKUP($C1488,Phone_by_Sentiment!$B$2:$B$37,Phone_by_Sentiment!M$2:M$37,"",0,1)),_xlfn.XLOOKUP($C1488,Phone_by_Sentiment!$B$2:$B$37,Phone_by_Sentiment!M$2:M$37,"",0,1),0),$A1488-TEXT(DATEVALUE($D1488&amp;"-01"), "dd-mm-yyyy")),0),0)</f>
        <v>739</v>
      </c>
      <c r="N1488" cm="1">
        <f t="array" ref="N1488">IF($Q1488&gt;=0,IFERROR(generateSalesData($D1488, IF(ISNUMBER(_xlfn.XLOOKUP($C1488,Phone_by_Sentiment!$B$2:$B$37,Phone_by_Sentiment!N$2:N$37,"",0,1)),_xlfn.XLOOKUP($C1488,Phone_by_Sentiment!$B$2:$B$37,Phone_by_Sentiment!N$2:N$37,"",0,1),0),$A1488-TEXT(DATEVALUE($D1488&amp;"-01"), "dd-mm-yyyy")),0),0)</f>
        <v>1396</v>
      </c>
      <c r="O1488" cm="1">
        <f t="array" ref="O1488">IF($Q1488&gt;=0,IFERROR(generateSalesData($D1488, IF(ISNUMBER(_xlfn.XLOOKUP($C1488,Phone_by_Sentiment!$B$2:$B$37,Phone_by_Sentiment!O$2:O$37,"",0,1)),_xlfn.XLOOKUP($C1488,Phone_by_Sentiment!$B$2:$B$37,Phone_by_Sentiment!O$2:O$37,"",0,1),0),$A1488-TEXT(DATEVALUE($D1488&amp;"-01"), "dd-mm-yyyy")),0),0)</f>
        <v>820</v>
      </c>
      <c r="P1488" s="1">
        <f t="shared" si="58"/>
        <v>44440</v>
      </c>
      <c r="Q1488">
        <f t="shared" si="60"/>
        <v>303</v>
      </c>
    </row>
    <row r="1489" spans="1:17" x14ac:dyDescent="0.25">
      <c r="A1489" s="1">
        <f t="shared" si="59"/>
        <v>44743</v>
      </c>
      <c r="B1489" t="s">
        <v>162</v>
      </c>
      <c r="C1489" t="str">
        <f>_xlfn.XLOOKUP(B1489,Phone_by_Price!$A$2:$A$34,Phone_by_Price!$B$2:$B$34,"-",0,1)</f>
        <v>Xiaomi Poco X3 NFC</v>
      </c>
      <c r="D1489" t="str">
        <f>_xlfn.XLOOKUP(C1489,Phone_by_Sentiment!$B$2:$B$37,Phone_by_Sentiment!$A$2:$A$37,"-",0,1)</f>
        <v>2020-08</v>
      </c>
      <c r="E1489" cm="1">
        <f t="array" ref="E1489">IF($Q1489&gt;=0,IFERROR(generateSalesData($D1489, IF(ISNUMBER(_xlfn.XLOOKUP($C1489,Phone_by_Sentiment!$B$2:$B$37,Phone_by_Sentiment!E$2:E$37,"",0,1)),_xlfn.XLOOKUP($C1489,Phone_by_Sentiment!$B$2:$B$37,Phone_by_Sentiment!E$2:E$37,"",0,1),0),$A1489-TEXT(DATEVALUE($D1489&amp;"-01"), "dd-mm-yyyy")),0),0)</f>
        <v>55</v>
      </c>
      <c r="F1489" cm="1">
        <f t="array" ref="F1489">IF($Q1489&gt;=0,IFERROR(generateSalesData($D1489, IF(ISNUMBER(_xlfn.XLOOKUP($C1489,Phone_by_Sentiment!$B$2:$B$37,Phone_by_Sentiment!F$2:F$37,"",0,1)),_xlfn.XLOOKUP($C1489,Phone_by_Sentiment!$B$2:$B$37,Phone_by_Sentiment!F$2:F$37,"",0,1),0),$A1489-TEXT(DATEVALUE($D1489&amp;"-01"), "dd-mm-yyyy")),0),0)</f>
        <v>59</v>
      </c>
      <c r="G1489" cm="1">
        <f t="array" ref="G1489">IF($Q1489&gt;=0,IFERROR(generateSalesData($D1489, IF(ISNUMBER(_xlfn.XLOOKUP($C1489,Phone_by_Sentiment!$B$2:$B$37,Phone_by_Sentiment!G$2:G$37,"",0,1)),_xlfn.XLOOKUP($C1489,Phone_by_Sentiment!$B$2:$B$37,Phone_by_Sentiment!G$2:G$37,"",0,1),0),$A1489-TEXT(DATEVALUE($D1489&amp;"-01"), "dd-mm-yyyy")),0),0)</f>
        <v>84</v>
      </c>
      <c r="H1489" cm="1">
        <f t="array" ref="H1489">IF($Q1489&gt;=0,IFERROR(generateSalesData($D1489, IF(ISNUMBER(_xlfn.XLOOKUP($C1489,Phone_by_Sentiment!$B$2:$B$37,Phone_by_Sentiment!H$2:H$37,"",0,1)),_xlfn.XLOOKUP($C1489,Phone_by_Sentiment!$B$2:$B$37,Phone_by_Sentiment!H$2:H$37,"",0,1),0),$A1489-TEXT(DATEVALUE($D1489&amp;"-01"), "dd-mm-yyyy")),0),0)</f>
        <v>319</v>
      </c>
      <c r="I1489" cm="1">
        <f t="array" ref="I1489">IF($Q1489&gt;=0,IFERROR(generateSalesData($D1489, IF(ISNUMBER(_xlfn.XLOOKUP($C1489,Phone_by_Sentiment!$B$2:$B$37,Phone_by_Sentiment!I$2:I$37,"",0,1)),_xlfn.XLOOKUP($C1489,Phone_by_Sentiment!$B$2:$B$37,Phone_by_Sentiment!I$2:I$37,"",0,1),0),$A1489-TEXT(DATEVALUE($D1489&amp;"-01"), "dd-mm-yyyy")),0),0)</f>
        <v>10</v>
      </c>
      <c r="J1489" cm="1">
        <f t="array" ref="J1489">IF($Q1489&gt;=0,IFERROR(generateSalesData($D1489, IF(ISNUMBER(_xlfn.XLOOKUP($C1489,Phone_by_Sentiment!$B$2:$B$37,Phone_by_Sentiment!J$2:J$37,"",0,1)),_xlfn.XLOOKUP($C1489,Phone_by_Sentiment!$B$2:$B$37,Phone_by_Sentiment!J$2:J$37,"",0,1),0),$A1489-TEXT(DATEVALUE($D1489&amp;"-01"), "dd-mm-yyyy")),0),0)</f>
        <v>88</v>
      </c>
      <c r="K1489" cm="1">
        <f t="array" ref="K1489">IF($Q1489&gt;=0,IFERROR(generateSalesData($D1489, IF(ISNUMBER(_xlfn.XLOOKUP($C1489,Phone_by_Sentiment!$B$2:$B$37,Phone_by_Sentiment!K$2:K$37,"",0,1)),_xlfn.XLOOKUP($C1489,Phone_by_Sentiment!$B$2:$B$37,Phone_by_Sentiment!K$2:K$37,"",0,1),0),$A1489-TEXT(DATEVALUE($D1489&amp;"-01"), "dd-mm-yyyy")),0),0)</f>
        <v>228</v>
      </c>
      <c r="L1489" cm="1">
        <f t="array" ref="L1489">IF($Q1489&gt;=0,IFERROR(generateSalesData($D1489, IF(ISNUMBER(_xlfn.XLOOKUP($C1489,Phone_by_Sentiment!$B$2:$B$37,Phone_by_Sentiment!L$2:L$37,"",0,1)),_xlfn.XLOOKUP($C1489,Phone_by_Sentiment!$B$2:$B$37,Phone_by_Sentiment!L$2:L$37,"",0,1),0),$A1489-TEXT(DATEVALUE($D1489&amp;"-01"), "dd-mm-yyyy")),0),0)</f>
        <v>19</v>
      </c>
      <c r="M1489" cm="1">
        <f t="array" ref="M1489">IF($Q1489&gt;=0,IFERROR(generateSalesData($D1489, IF(ISNUMBER(_xlfn.XLOOKUP($C1489,Phone_by_Sentiment!$B$2:$B$37,Phone_by_Sentiment!M$2:M$37,"",0,1)),_xlfn.XLOOKUP($C1489,Phone_by_Sentiment!$B$2:$B$37,Phone_by_Sentiment!M$2:M$37,"",0,1),0),$A1489-TEXT(DATEVALUE($D1489&amp;"-01"), "dd-mm-yyyy")),0),0)</f>
        <v>357</v>
      </c>
      <c r="N1489" cm="1">
        <f t="array" ref="N1489">IF($Q1489&gt;=0,IFERROR(generateSalesData($D1489, IF(ISNUMBER(_xlfn.XLOOKUP($C1489,Phone_by_Sentiment!$B$2:$B$37,Phone_by_Sentiment!N$2:N$37,"",0,1)),_xlfn.XLOOKUP($C1489,Phone_by_Sentiment!$B$2:$B$37,Phone_by_Sentiment!N$2:N$37,"",0,1),0),$A1489-TEXT(DATEVALUE($D1489&amp;"-01"), "dd-mm-yyyy")),0),0)</f>
        <v>73</v>
      </c>
      <c r="O1489" cm="1">
        <f t="array" ref="O1489">IF($Q1489&gt;=0,IFERROR(generateSalesData($D1489, IF(ISNUMBER(_xlfn.XLOOKUP($C1489,Phone_by_Sentiment!$B$2:$B$37,Phone_by_Sentiment!O$2:O$37,"",0,1)),_xlfn.XLOOKUP($C1489,Phone_by_Sentiment!$B$2:$B$37,Phone_by_Sentiment!O$2:O$37,"",0,1),0),$A1489-TEXT(DATEVALUE($D1489&amp;"-01"), "dd-mm-yyyy")),0),0)</f>
        <v>362</v>
      </c>
      <c r="P1489" s="1">
        <f t="shared" si="58"/>
        <v>44044</v>
      </c>
      <c r="Q1489">
        <f t="shared" si="60"/>
        <v>699</v>
      </c>
    </row>
    <row r="1490" spans="1:17" x14ac:dyDescent="0.25">
      <c r="A1490" s="1">
        <f t="shared" si="59"/>
        <v>44743</v>
      </c>
      <c r="B1490" t="s">
        <v>163</v>
      </c>
      <c r="C1490" t="str">
        <f>_xlfn.XLOOKUP(B1490,Phone_by_Price!$A$2:$A$34,Phone_by_Price!$B$2:$B$34,"-",0,1)</f>
        <v>OPPO A93</v>
      </c>
      <c r="D1490" t="str">
        <f>_xlfn.XLOOKUP(C1490,Phone_by_Sentiment!$B$2:$B$37,Phone_by_Sentiment!$A$2:$A$37,"-",0,1)</f>
        <v>2021-02</v>
      </c>
      <c r="E1490" cm="1">
        <f t="array" ref="E1490">IF($Q1490&gt;=0,IFERROR(generateSalesData($D1490, IF(ISNUMBER(_xlfn.XLOOKUP($C1490,Phone_by_Sentiment!$B$2:$B$37,Phone_by_Sentiment!E$2:E$37,"",0,1)),_xlfn.XLOOKUP($C1490,Phone_by_Sentiment!$B$2:$B$37,Phone_by_Sentiment!E$2:E$37,"",0,1),0),$A1490-TEXT(DATEVALUE($D1490&amp;"-01"), "dd-mm-yyyy")),0),0)</f>
        <v>351</v>
      </c>
      <c r="F1490" cm="1">
        <f t="array" ref="F1490">IF($Q1490&gt;=0,IFERROR(generateSalesData($D1490, IF(ISNUMBER(_xlfn.XLOOKUP($C1490,Phone_by_Sentiment!$B$2:$B$37,Phone_by_Sentiment!F$2:F$37,"",0,1)),_xlfn.XLOOKUP($C1490,Phone_by_Sentiment!$B$2:$B$37,Phone_by_Sentiment!F$2:F$37,"",0,1),0),$A1490-TEXT(DATEVALUE($D1490&amp;"-01"), "dd-mm-yyyy")),0),0)</f>
        <v>100</v>
      </c>
      <c r="G1490" cm="1">
        <f t="array" ref="G1490">IF($Q1490&gt;=0,IFERROR(generateSalesData($D1490, IF(ISNUMBER(_xlfn.XLOOKUP($C1490,Phone_by_Sentiment!$B$2:$B$37,Phone_by_Sentiment!G$2:G$37,"",0,1)),_xlfn.XLOOKUP($C1490,Phone_by_Sentiment!$B$2:$B$37,Phone_by_Sentiment!G$2:G$37,"",0,1),0),$A1490-TEXT(DATEVALUE($D1490&amp;"-01"), "dd-mm-yyyy")),0),0)</f>
        <v>115</v>
      </c>
      <c r="H1490" cm="1">
        <f t="array" ref="H1490">IF($Q1490&gt;=0,IFERROR(generateSalesData($D1490, IF(ISNUMBER(_xlfn.XLOOKUP($C1490,Phone_by_Sentiment!$B$2:$B$37,Phone_by_Sentiment!H$2:H$37,"",0,1)),_xlfn.XLOOKUP($C1490,Phone_by_Sentiment!$B$2:$B$37,Phone_by_Sentiment!H$2:H$37,"",0,1),0),$A1490-TEXT(DATEVALUE($D1490&amp;"-01"), "dd-mm-yyyy")),0),0)</f>
        <v>512</v>
      </c>
      <c r="I1490" cm="1">
        <f t="array" ref="I1490">IF($Q1490&gt;=0,IFERROR(generateSalesData($D1490, IF(ISNUMBER(_xlfn.XLOOKUP($C1490,Phone_by_Sentiment!$B$2:$B$37,Phone_by_Sentiment!I$2:I$37,"",0,1)),_xlfn.XLOOKUP($C1490,Phone_by_Sentiment!$B$2:$B$37,Phone_by_Sentiment!I$2:I$37,"",0,1),0),$A1490-TEXT(DATEVALUE($D1490&amp;"-01"), "dd-mm-yyyy")),0),0)</f>
        <v>632</v>
      </c>
      <c r="J1490" cm="1">
        <f t="array" ref="J1490">IF($Q1490&gt;=0,IFERROR(generateSalesData($D1490, IF(ISNUMBER(_xlfn.XLOOKUP($C1490,Phone_by_Sentiment!$B$2:$B$37,Phone_by_Sentiment!J$2:J$37,"",0,1)),_xlfn.XLOOKUP($C1490,Phone_by_Sentiment!$B$2:$B$37,Phone_by_Sentiment!J$2:J$37,"",0,1),0),$A1490-TEXT(DATEVALUE($D1490&amp;"-01"), "dd-mm-yyyy")),0),0)</f>
        <v>81</v>
      </c>
      <c r="K1490" cm="1">
        <f t="array" ref="K1490">IF($Q1490&gt;=0,IFERROR(generateSalesData($D1490, IF(ISNUMBER(_xlfn.XLOOKUP($C1490,Phone_by_Sentiment!$B$2:$B$37,Phone_by_Sentiment!K$2:K$37,"",0,1)),_xlfn.XLOOKUP($C1490,Phone_by_Sentiment!$B$2:$B$37,Phone_by_Sentiment!K$2:K$37,"",0,1),0),$A1490-TEXT(DATEVALUE($D1490&amp;"-01"), "dd-mm-yyyy")),0),0)</f>
        <v>120</v>
      </c>
      <c r="L1490" cm="1">
        <f t="array" ref="L1490">IF($Q1490&gt;=0,IFERROR(generateSalesData($D1490, IF(ISNUMBER(_xlfn.XLOOKUP($C1490,Phone_by_Sentiment!$B$2:$B$37,Phone_by_Sentiment!L$2:L$37,"",0,1)),_xlfn.XLOOKUP($C1490,Phone_by_Sentiment!$B$2:$B$37,Phone_by_Sentiment!L$2:L$37,"",0,1),0),$A1490-TEXT(DATEVALUE($D1490&amp;"-01"), "dd-mm-yyyy")),0),0)</f>
        <v>150</v>
      </c>
      <c r="M1490" cm="1">
        <f t="array" ref="M1490">IF($Q1490&gt;=0,IFERROR(generateSalesData($D1490, IF(ISNUMBER(_xlfn.XLOOKUP($C1490,Phone_by_Sentiment!$B$2:$B$37,Phone_by_Sentiment!M$2:M$37,"",0,1)),_xlfn.XLOOKUP($C1490,Phone_by_Sentiment!$B$2:$B$37,Phone_by_Sentiment!M$2:M$37,"",0,1),0),$A1490-TEXT(DATEVALUE($D1490&amp;"-01"), "dd-mm-yyyy")),0),0)</f>
        <v>375</v>
      </c>
      <c r="N1490" cm="1">
        <f t="array" ref="N1490">IF($Q1490&gt;=0,IFERROR(generateSalesData($D1490, IF(ISNUMBER(_xlfn.XLOOKUP($C1490,Phone_by_Sentiment!$B$2:$B$37,Phone_by_Sentiment!N$2:N$37,"",0,1)),_xlfn.XLOOKUP($C1490,Phone_by_Sentiment!$B$2:$B$37,Phone_by_Sentiment!N$2:N$37,"",0,1),0),$A1490-TEXT(DATEVALUE($D1490&amp;"-01"), "dd-mm-yyyy")),0),0)</f>
        <v>214</v>
      </c>
      <c r="O1490" cm="1">
        <f t="array" ref="O1490">IF($Q1490&gt;=0,IFERROR(generateSalesData($D1490, IF(ISNUMBER(_xlfn.XLOOKUP($C1490,Phone_by_Sentiment!$B$2:$B$37,Phone_by_Sentiment!O$2:O$37,"",0,1)),_xlfn.XLOOKUP($C1490,Phone_by_Sentiment!$B$2:$B$37,Phone_by_Sentiment!O$2:O$37,"",0,1),0),$A1490-TEXT(DATEVALUE($D1490&amp;"-01"), "dd-mm-yyyy")),0),0)</f>
        <v>142</v>
      </c>
      <c r="P1490" s="1">
        <f t="shared" si="58"/>
        <v>44228</v>
      </c>
      <c r="Q1490">
        <f t="shared" si="60"/>
        <v>515</v>
      </c>
    </row>
    <row r="1491" spans="1:17" x14ac:dyDescent="0.25">
      <c r="A1491" s="1">
        <f t="shared" si="59"/>
        <v>44743</v>
      </c>
      <c r="B1491" t="s">
        <v>164</v>
      </c>
      <c r="C1491" t="str">
        <f>_xlfn.XLOOKUP(B1491,Phone_by_Price!$A$2:$A$34,Phone_by_Price!$B$2:$B$34,"-",0,1)</f>
        <v>Vivo V20</v>
      </c>
      <c r="D1491" t="str">
        <f>_xlfn.XLOOKUP(C1491,Phone_by_Sentiment!$B$2:$B$37,Phone_by_Sentiment!$A$2:$A$37,"-",0,1)</f>
        <v>2020-10</v>
      </c>
      <c r="E1491" cm="1">
        <f t="array" ref="E1491">IF($Q1491&gt;=0,IFERROR(generateSalesData($D1491, IF(ISNUMBER(_xlfn.XLOOKUP($C1491,Phone_by_Sentiment!$B$2:$B$37,Phone_by_Sentiment!E$2:E$37,"",0,1)),_xlfn.XLOOKUP($C1491,Phone_by_Sentiment!$B$2:$B$37,Phone_by_Sentiment!E$2:E$37,"",0,1),0),$A1491-TEXT(DATEVALUE($D1491&amp;"-01"), "dd-mm-yyyy")),0),0)</f>
        <v>260</v>
      </c>
      <c r="F1491" cm="1">
        <f t="array" ref="F1491">IF($Q1491&gt;=0,IFERROR(generateSalesData($D1491, IF(ISNUMBER(_xlfn.XLOOKUP($C1491,Phone_by_Sentiment!$B$2:$B$37,Phone_by_Sentiment!F$2:F$37,"",0,1)),_xlfn.XLOOKUP($C1491,Phone_by_Sentiment!$B$2:$B$37,Phone_by_Sentiment!F$2:F$37,"",0,1),0),$A1491-TEXT(DATEVALUE($D1491&amp;"-01"), "dd-mm-yyyy")),0),0)</f>
        <v>116</v>
      </c>
      <c r="G1491" cm="1">
        <f t="array" ref="G1491">IF($Q1491&gt;=0,IFERROR(generateSalesData($D1491, IF(ISNUMBER(_xlfn.XLOOKUP($C1491,Phone_by_Sentiment!$B$2:$B$37,Phone_by_Sentiment!G$2:G$37,"",0,1)),_xlfn.XLOOKUP($C1491,Phone_by_Sentiment!$B$2:$B$37,Phone_by_Sentiment!G$2:G$37,"",0,1),0),$A1491-TEXT(DATEVALUE($D1491&amp;"-01"), "dd-mm-yyyy")),0),0)</f>
        <v>86</v>
      </c>
      <c r="H1491" cm="1">
        <f t="array" ref="H1491">IF($Q1491&gt;=0,IFERROR(generateSalesData($D1491, IF(ISNUMBER(_xlfn.XLOOKUP($C1491,Phone_by_Sentiment!$B$2:$B$37,Phone_by_Sentiment!H$2:H$37,"",0,1)),_xlfn.XLOOKUP($C1491,Phone_by_Sentiment!$B$2:$B$37,Phone_by_Sentiment!H$2:H$37,"",0,1),0),$A1491-TEXT(DATEVALUE($D1491&amp;"-01"), "dd-mm-yyyy")),0),0)</f>
        <v>20</v>
      </c>
      <c r="I1491" cm="1">
        <f t="array" ref="I1491">IF($Q1491&gt;=0,IFERROR(generateSalesData($D1491, IF(ISNUMBER(_xlfn.XLOOKUP($C1491,Phone_by_Sentiment!$B$2:$B$37,Phone_by_Sentiment!I$2:I$37,"",0,1)),_xlfn.XLOOKUP($C1491,Phone_by_Sentiment!$B$2:$B$37,Phone_by_Sentiment!I$2:I$37,"",0,1),0),$A1491-TEXT(DATEVALUE($D1491&amp;"-01"), "dd-mm-yyyy")),0),0)</f>
        <v>108</v>
      </c>
      <c r="J1491" cm="1">
        <f t="array" ref="J1491">IF($Q1491&gt;=0,IFERROR(generateSalesData($D1491, IF(ISNUMBER(_xlfn.XLOOKUP($C1491,Phone_by_Sentiment!$B$2:$B$37,Phone_by_Sentiment!J$2:J$37,"",0,1)),_xlfn.XLOOKUP($C1491,Phone_by_Sentiment!$B$2:$B$37,Phone_by_Sentiment!J$2:J$37,"",0,1),0),$A1491-TEXT(DATEVALUE($D1491&amp;"-01"), "dd-mm-yyyy")),0),0)</f>
        <v>72</v>
      </c>
      <c r="K1491" cm="1">
        <f t="array" ref="K1491">IF($Q1491&gt;=0,IFERROR(generateSalesData($D1491, IF(ISNUMBER(_xlfn.XLOOKUP($C1491,Phone_by_Sentiment!$B$2:$B$37,Phone_by_Sentiment!K$2:K$37,"",0,1)),_xlfn.XLOOKUP($C1491,Phone_by_Sentiment!$B$2:$B$37,Phone_by_Sentiment!K$2:K$37,"",0,1),0),$A1491-TEXT(DATEVALUE($D1491&amp;"-01"), "dd-mm-yyyy")),0),0)</f>
        <v>192</v>
      </c>
      <c r="L1491" cm="1">
        <f t="array" ref="L1491">IF($Q1491&gt;=0,IFERROR(generateSalesData($D1491, IF(ISNUMBER(_xlfn.XLOOKUP($C1491,Phone_by_Sentiment!$B$2:$B$37,Phone_by_Sentiment!L$2:L$37,"",0,1)),_xlfn.XLOOKUP($C1491,Phone_by_Sentiment!$B$2:$B$37,Phone_by_Sentiment!L$2:L$37,"",0,1),0),$A1491-TEXT(DATEVALUE($D1491&amp;"-01"), "dd-mm-yyyy")),0),0)</f>
        <v>130</v>
      </c>
      <c r="M1491" cm="1">
        <f t="array" ref="M1491">IF($Q1491&gt;=0,IFERROR(generateSalesData($D1491, IF(ISNUMBER(_xlfn.XLOOKUP($C1491,Phone_by_Sentiment!$B$2:$B$37,Phone_by_Sentiment!M$2:M$37,"",0,1)),_xlfn.XLOOKUP($C1491,Phone_by_Sentiment!$B$2:$B$37,Phone_by_Sentiment!M$2:M$37,"",0,1),0),$A1491-TEXT(DATEVALUE($D1491&amp;"-01"), "dd-mm-yyyy")),0),0)</f>
        <v>124</v>
      </c>
      <c r="N1491" cm="1">
        <f t="array" ref="N1491">IF($Q1491&gt;=0,IFERROR(generateSalesData($D1491, IF(ISNUMBER(_xlfn.XLOOKUP($C1491,Phone_by_Sentiment!$B$2:$B$37,Phone_by_Sentiment!N$2:N$37,"",0,1)),_xlfn.XLOOKUP($C1491,Phone_by_Sentiment!$B$2:$B$37,Phone_by_Sentiment!N$2:N$37,"",0,1),0),$A1491-TEXT(DATEVALUE($D1491&amp;"-01"), "dd-mm-yyyy")),0),0)</f>
        <v>89</v>
      </c>
      <c r="O1491" cm="1">
        <f t="array" ref="O1491">IF($Q1491&gt;=0,IFERROR(generateSalesData($D1491, IF(ISNUMBER(_xlfn.XLOOKUP($C1491,Phone_by_Sentiment!$B$2:$B$37,Phone_by_Sentiment!O$2:O$37,"",0,1)),_xlfn.XLOOKUP($C1491,Phone_by_Sentiment!$B$2:$B$37,Phone_by_Sentiment!O$2:O$37,"",0,1),0),$A1491-TEXT(DATEVALUE($D1491&amp;"-01"), "dd-mm-yyyy")),0),0)</f>
        <v>-23</v>
      </c>
      <c r="P1491" s="1">
        <f t="shared" si="58"/>
        <v>44105</v>
      </c>
      <c r="Q1491">
        <f t="shared" si="60"/>
        <v>638</v>
      </c>
    </row>
    <row r="1492" spans="1:17" x14ac:dyDescent="0.25">
      <c r="A1492" s="1">
        <f t="shared" si="59"/>
        <v>44743</v>
      </c>
      <c r="B1492" t="s">
        <v>165</v>
      </c>
      <c r="C1492" t="str">
        <f>_xlfn.XLOOKUP(B1492,Phone_by_Price!$A$2:$A$34,Phone_by_Price!$B$2:$B$34,"-",0,1)</f>
        <v>Samsung Galaxy A50</v>
      </c>
      <c r="D1492" t="str">
        <f>_xlfn.XLOOKUP(C1492,Phone_by_Sentiment!$B$2:$B$37,Phone_by_Sentiment!$A$2:$A$37,"-",0,1)</f>
        <v>2019-05</v>
      </c>
      <c r="E1492" cm="1">
        <f t="array" ref="E1492">IF($Q1492&gt;=0,IFERROR(generateSalesData($D1492, IF(ISNUMBER(_xlfn.XLOOKUP($C1492,Phone_by_Sentiment!$B$2:$B$37,Phone_by_Sentiment!E$2:E$37,"",0,1)),_xlfn.XLOOKUP($C1492,Phone_by_Sentiment!$B$2:$B$37,Phone_by_Sentiment!E$2:E$37,"",0,1),0),$A1492-TEXT(DATEVALUE($D1492&amp;"-01"), "dd-mm-yyyy")),0),0)</f>
        <v>195</v>
      </c>
      <c r="F1492" cm="1">
        <f t="array" ref="F1492">IF($Q1492&gt;=0,IFERROR(generateSalesData($D1492, IF(ISNUMBER(_xlfn.XLOOKUP($C1492,Phone_by_Sentiment!$B$2:$B$37,Phone_by_Sentiment!F$2:F$37,"",0,1)),_xlfn.XLOOKUP($C1492,Phone_by_Sentiment!$B$2:$B$37,Phone_by_Sentiment!F$2:F$37,"",0,1),0),$A1492-TEXT(DATEVALUE($D1492&amp;"-01"), "dd-mm-yyyy")),0),0)</f>
        <v>32</v>
      </c>
      <c r="G1492" cm="1">
        <f t="array" ref="G1492">IF($Q1492&gt;=0,IFERROR(generateSalesData($D1492, IF(ISNUMBER(_xlfn.XLOOKUP($C1492,Phone_by_Sentiment!$B$2:$B$37,Phone_by_Sentiment!G$2:G$37,"",0,1)),_xlfn.XLOOKUP($C1492,Phone_by_Sentiment!$B$2:$B$37,Phone_by_Sentiment!G$2:G$37,"",0,1),0),$A1492-TEXT(DATEVALUE($D1492&amp;"-01"), "dd-mm-yyyy")),0),0)</f>
        <v>92</v>
      </c>
      <c r="H1492" cm="1">
        <f t="array" ref="H1492">IF($Q1492&gt;=0,IFERROR(generateSalesData($D1492, IF(ISNUMBER(_xlfn.XLOOKUP($C1492,Phone_by_Sentiment!$B$2:$B$37,Phone_by_Sentiment!H$2:H$37,"",0,1)),_xlfn.XLOOKUP($C1492,Phone_by_Sentiment!$B$2:$B$37,Phone_by_Sentiment!H$2:H$37,"",0,1),0),$A1492-TEXT(DATEVALUE($D1492&amp;"-01"), "dd-mm-yyyy")),0),0)</f>
        <v>62</v>
      </c>
      <c r="I1492" cm="1">
        <f t="array" ref="I1492">IF($Q1492&gt;=0,IFERROR(generateSalesData($D1492, IF(ISNUMBER(_xlfn.XLOOKUP($C1492,Phone_by_Sentiment!$B$2:$B$37,Phone_by_Sentiment!I$2:I$37,"",0,1)),_xlfn.XLOOKUP($C1492,Phone_by_Sentiment!$B$2:$B$37,Phone_by_Sentiment!I$2:I$37,"",0,1),0),$A1492-TEXT(DATEVALUE($D1492&amp;"-01"), "dd-mm-yyyy")),0),0)</f>
        <v>263</v>
      </c>
      <c r="J1492" cm="1">
        <f t="array" ref="J1492">IF($Q1492&gt;=0,IFERROR(generateSalesData($D1492, IF(ISNUMBER(_xlfn.XLOOKUP($C1492,Phone_by_Sentiment!$B$2:$B$37,Phone_by_Sentiment!J$2:J$37,"",0,1)),_xlfn.XLOOKUP($C1492,Phone_by_Sentiment!$B$2:$B$37,Phone_by_Sentiment!J$2:J$37,"",0,1),0),$A1492-TEXT(DATEVALUE($D1492&amp;"-01"), "dd-mm-yyyy")),0),0)</f>
        <v>62</v>
      </c>
      <c r="K1492" cm="1">
        <f t="array" ref="K1492">IF($Q1492&gt;=0,IFERROR(generateSalesData($D1492, IF(ISNUMBER(_xlfn.XLOOKUP($C1492,Phone_by_Sentiment!$B$2:$B$37,Phone_by_Sentiment!K$2:K$37,"",0,1)),_xlfn.XLOOKUP($C1492,Phone_by_Sentiment!$B$2:$B$37,Phone_by_Sentiment!K$2:K$37,"",0,1),0),$A1492-TEXT(DATEVALUE($D1492&amp;"-01"), "dd-mm-yyyy")),0),0)</f>
        <v>78</v>
      </c>
      <c r="L1492" cm="1">
        <f t="array" ref="L1492">IF($Q1492&gt;=0,IFERROR(generateSalesData($D1492, IF(ISNUMBER(_xlfn.XLOOKUP($C1492,Phone_by_Sentiment!$B$2:$B$37,Phone_by_Sentiment!L$2:L$37,"",0,1)),_xlfn.XLOOKUP($C1492,Phone_by_Sentiment!$B$2:$B$37,Phone_by_Sentiment!L$2:L$37,"",0,1),0),$A1492-TEXT(DATEVALUE($D1492&amp;"-01"), "dd-mm-yyyy")),0),0)</f>
        <v>113</v>
      </c>
      <c r="M1492" cm="1">
        <f t="array" ref="M1492">IF($Q1492&gt;=0,IFERROR(generateSalesData($D1492, IF(ISNUMBER(_xlfn.XLOOKUP($C1492,Phone_by_Sentiment!$B$2:$B$37,Phone_by_Sentiment!M$2:M$37,"",0,1)),_xlfn.XLOOKUP($C1492,Phone_by_Sentiment!$B$2:$B$37,Phone_by_Sentiment!M$2:M$37,"",0,1),0),$A1492-TEXT(DATEVALUE($D1492&amp;"-01"), "dd-mm-yyyy")),0),0)</f>
        <v>66</v>
      </c>
      <c r="N1492" cm="1">
        <f t="array" ref="N1492">IF($Q1492&gt;=0,IFERROR(generateSalesData($D1492, IF(ISNUMBER(_xlfn.XLOOKUP($C1492,Phone_by_Sentiment!$B$2:$B$37,Phone_by_Sentiment!N$2:N$37,"",0,1)),_xlfn.XLOOKUP($C1492,Phone_by_Sentiment!$B$2:$B$37,Phone_by_Sentiment!N$2:N$37,"",0,1),0),$A1492-TEXT(DATEVALUE($D1492&amp;"-01"), "dd-mm-yyyy")),0),0)</f>
        <v>323</v>
      </c>
      <c r="O1492" cm="1">
        <f t="array" ref="O1492">IF($Q1492&gt;=0,IFERROR(generateSalesData($D1492, IF(ISNUMBER(_xlfn.XLOOKUP($C1492,Phone_by_Sentiment!$B$2:$B$37,Phone_by_Sentiment!O$2:O$37,"",0,1)),_xlfn.XLOOKUP($C1492,Phone_by_Sentiment!$B$2:$B$37,Phone_by_Sentiment!O$2:O$37,"",0,1),0),$A1492-TEXT(DATEVALUE($D1492&amp;"-01"), "dd-mm-yyyy")),0),0)</f>
        <v>299</v>
      </c>
      <c r="P1492" s="1">
        <f t="shared" si="58"/>
        <v>43586</v>
      </c>
      <c r="Q1492">
        <f t="shared" si="60"/>
        <v>1157</v>
      </c>
    </row>
    <row r="1493" spans="1:17" x14ac:dyDescent="0.25">
      <c r="A1493" s="1">
        <f t="shared" si="59"/>
        <v>44743</v>
      </c>
      <c r="B1493" t="s">
        <v>166</v>
      </c>
      <c r="C1493" t="str">
        <f>_xlfn.XLOOKUP(B1493,Phone_by_Price!$A$2:$A$34,Phone_by_Price!$B$2:$B$34,"-",0,1)</f>
        <v>Xiaomi Redmi Note 7</v>
      </c>
      <c r="D1493" t="str">
        <f>_xlfn.XLOOKUP(C1493,Phone_by_Sentiment!$B$2:$B$37,Phone_by_Sentiment!$A$2:$A$37,"-",0,1)</f>
        <v>2019-08</v>
      </c>
      <c r="E1493" cm="1">
        <f t="array" ref="E1493">IF($Q1493&gt;=0,IFERROR(generateSalesData($D1493, IF(ISNUMBER(_xlfn.XLOOKUP($C1493,Phone_by_Sentiment!$B$2:$B$37,Phone_by_Sentiment!E$2:E$37,"",0,1)),_xlfn.XLOOKUP($C1493,Phone_by_Sentiment!$B$2:$B$37,Phone_by_Sentiment!E$2:E$37,"",0,1),0),$A1493-TEXT(DATEVALUE($D1493&amp;"-01"), "dd-mm-yyyy")),0),0)</f>
        <v>28</v>
      </c>
      <c r="F1493" cm="1">
        <f t="array" ref="F1493">IF($Q1493&gt;=0,IFERROR(generateSalesData($D1493, IF(ISNUMBER(_xlfn.XLOOKUP($C1493,Phone_by_Sentiment!$B$2:$B$37,Phone_by_Sentiment!F$2:F$37,"",0,1)),_xlfn.XLOOKUP($C1493,Phone_by_Sentiment!$B$2:$B$37,Phone_by_Sentiment!F$2:F$37,"",0,1),0),$A1493-TEXT(DATEVALUE($D1493&amp;"-01"), "dd-mm-yyyy")),0),0)</f>
        <v>51</v>
      </c>
      <c r="G1493" cm="1">
        <f t="array" ref="G1493">IF($Q1493&gt;=0,IFERROR(generateSalesData($D1493, IF(ISNUMBER(_xlfn.XLOOKUP($C1493,Phone_by_Sentiment!$B$2:$B$37,Phone_by_Sentiment!G$2:G$37,"",0,1)),_xlfn.XLOOKUP($C1493,Phone_by_Sentiment!$B$2:$B$37,Phone_by_Sentiment!G$2:G$37,"",0,1),0),$A1493-TEXT(DATEVALUE($D1493&amp;"-01"), "dd-mm-yyyy")),0),0)</f>
        <v>49</v>
      </c>
      <c r="H1493" cm="1">
        <f t="array" ref="H1493">IF($Q1493&gt;=0,IFERROR(generateSalesData($D1493, IF(ISNUMBER(_xlfn.XLOOKUP($C1493,Phone_by_Sentiment!$B$2:$B$37,Phone_by_Sentiment!H$2:H$37,"",0,1)),_xlfn.XLOOKUP($C1493,Phone_by_Sentiment!$B$2:$B$37,Phone_by_Sentiment!H$2:H$37,"",0,1),0),$A1493-TEXT(DATEVALUE($D1493&amp;"-01"), "dd-mm-yyyy")),0),0)</f>
        <v>377</v>
      </c>
      <c r="I1493" cm="1">
        <f t="array" ref="I1493">IF($Q1493&gt;=0,IFERROR(generateSalesData($D1493, IF(ISNUMBER(_xlfn.XLOOKUP($C1493,Phone_by_Sentiment!$B$2:$B$37,Phone_by_Sentiment!I$2:I$37,"",0,1)),_xlfn.XLOOKUP($C1493,Phone_by_Sentiment!$B$2:$B$37,Phone_by_Sentiment!I$2:I$37,"",0,1),0),$A1493-TEXT(DATEVALUE($D1493&amp;"-01"), "dd-mm-yyyy")),0),0)</f>
        <v>72</v>
      </c>
      <c r="J1493" cm="1">
        <f t="array" ref="J1493">IF($Q1493&gt;=0,IFERROR(generateSalesData($D1493, IF(ISNUMBER(_xlfn.XLOOKUP($C1493,Phone_by_Sentiment!$B$2:$B$37,Phone_by_Sentiment!J$2:J$37,"",0,1)),_xlfn.XLOOKUP($C1493,Phone_by_Sentiment!$B$2:$B$37,Phone_by_Sentiment!J$2:J$37,"",0,1),0),$A1493-TEXT(DATEVALUE($D1493&amp;"-01"), "dd-mm-yyyy")),0),0)</f>
        <v>95</v>
      </c>
      <c r="K1493" cm="1">
        <f t="array" ref="K1493">IF($Q1493&gt;=0,IFERROR(generateSalesData($D1493, IF(ISNUMBER(_xlfn.XLOOKUP($C1493,Phone_by_Sentiment!$B$2:$B$37,Phone_by_Sentiment!K$2:K$37,"",0,1)),_xlfn.XLOOKUP($C1493,Phone_by_Sentiment!$B$2:$B$37,Phone_by_Sentiment!K$2:K$37,"",0,1),0),$A1493-TEXT(DATEVALUE($D1493&amp;"-01"), "dd-mm-yyyy")),0),0)</f>
        <v>359</v>
      </c>
      <c r="L1493" cm="1">
        <f t="array" ref="L1493">IF($Q1493&gt;=0,IFERROR(generateSalesData($D1493, IF(ISNUMBER(_xlfn.XLOOKUP($C1493,Phone_by_Sentiment!$B$2:$B$37,Phone_by_Sentiment!L$2:L$37,"",0,1)),_xlfn.XLOOKUP($C1493,Phone_by_Sentiment!$B$2:$B$37,Phone_by_Sentiment!L$2:L$37,"",0,1),0),$A1493-TEXT(DATEVALUE($D1493&amp;"-01"), "dd-mm-yyyy")),0),0)</f>
        <v>85</v>
      </c>
      <c r="M1493" cm="1">
        <f t="array" ref="M1493">IF($Q1493&gt;=0,IFERROR(generateSalesData($D1493, IF(ISNUMBER(_xlfn.XLOOKUP($C1493,Phone_by_Sentiment!$B$2:$B$37,Phone_by_Sentiment!M$2:M$37,"",0,1)),_xlfn.XLOOKUP($C1493,Phone_by_Sentiment!$B$2:$B$37,Phone_by_Sentiment!M$2:M$37,"",0,1),0),$A1493-TEXT(DATEVALUE($D1493&amp;"-01"), "dd-mm-yyyy")),0),0)</f>
        <v>212</v>
      </c>
      <c r="N1493" cm="1">
        <f t="array" ref="N1493">IF($Q1493&gt;=0,IFERROR(generateSalesData($D1493, IF(ISNUMBER(_xlfn.XLOOKUP($C1493,Phone_by_Sentiment!$B$2:$B$37,Phone_by_Sentiment!N$2:N$37,"",0,1)),_xlfn.XLOOKUP($C1493,Phone_by_Sentiment!$B$2:$B$37,Phone_by_Sentiment!N$2:N$37,"",0,1),0),$A1493-TEXT(DATEVALUE($D1493&amp;"-01"), "dd-mm-yyyy")),0),0)</f>
        <v>56</v>
      </c>
      <c r="O1493" cm="1">
        <f t="array" ref="O1493">IF($Q1493&gt;=0,IFERROR(generateSalesData($D1493, IF(ISNUMBER(_xlfn.XLOOKUP($C1493,Phone_by_Sentiment!$B$2:$B$37,Phone_by_Sentiment!O$2:O$37,"",0,1)),_xlfn.XLOOKUP($C1493,Phone_by_Sentiment!$B$2:$B$37,Phone_by_Sentiment!O$2:O$37,"",0,1),0),$A1493-TEXT(DATEVALUE($D1493&amp;"-01"), "dd-mm-yyyy")),0),0)</f>
        <v>323</v>
      </c>
      <c r="P1493" s="1">
        <f t="shared" si="58"/>
        <v>43678</v>
      </c>
      <c r="Q1493">
        <f t="shared" si="60"/>
        <v>1065</v>
      </c>
    </row>
    <row r="1494" spans="1:17" x14ac:dyDescent="0.25">
      <c r="A1494" s="1">
        <f t="shared" si="59"/>
        <v>44743</v>
      </c>
      <c r="B1494" t="s">
        <v>167</v>
      </c>
      <c r="C1494" t="str">
        <f>_xlfn.XLOOKUP(B1494,Phone_by_Price!$A$2:$A$34,Phone_by_Price!$B$2:$B$34,"-",0,1)</f>
        <v>Realme C21</v>
      </c>
      <c r="D1494" t="str">
        <f>_xlfn.XLOOKUP(C1494,Phone_by_Sentiment!$B$2:$B$37,Phone_by_Sentiment!$A$2:$A$37,"-",0,1)</f>
        <v>2021-04</v>
      </c>
      <c r="E1494" cm="1">
        <f t="array" ref="E1494">IF($Q1494&gt;=0,IFERROR(generateSalesData($D1494, IF(ISNUMBER(_xlfn.XLOOKUP($C1494,Phone_by_Sentiment!$B$2:$B$37,Phone_by_Sentiment!E$2:E$37,"",0,1)),_xlfn.XLOOKUP($C1494,Phone_by_Sentiment!$B$2:$B$37,Phone_by_Sentiment!E$2:E$37,"",0,1),0),$A1494-TEXT(DATEVALUE($D1494&amp;"-01"), "dd-mm-yyyy")),0),0)</f>
        <v>88</v>
      </c>
      <c r="F1494" cm="1">
        <f t="array" ref="F1494">IF($Q1494&gt;=0,IFERROR(generateSalesData($D1494, IF(ISNUMBER(_xlfn.XLOOKUP($C1494,Phone_by_Sentiment!$B$2:$B$37,Phone_by_Sentiment!F$2:F$37,"",0,1)),_xlfn.XLOOKUP($C1494,Phone_by_Sentiment!$B$2:$B$37,Phone_by_Sentiment!F$2:F$37,"",0,1),0),$A1494-TEXT(DATEVALUE($D1494&amp;"-01"), "dd-mm-yyyy")),0),0)</f>
        <v>172</v>
      </c>
      <c r="G1494" cm="1">
        <f t="array" ref="G1494">IF($Q1494&gt;=0,IFERROR(generateSalesData($D1494, IF(ISNUMBER(_xlfn.XLOOKUP($C1494,Phone_by_Sentiment!$B$2:$B$37,Phone_by_Sentiment!G$2:G$37,"",0,1)),_xlfn.XLOOKUP($C1494,Phone_by_Sentiment!$B$2:$B$37,Phone_by_Sentiment!G$2:G$37,"",0,1),0),$A1494-TEXT(DATEVALUE($D1494&amp;"-01"), "dd-mm-yyyy")),0),0)</f>
        <v>189</v>
      </c>
      <c r="H1494" cm="1">
        <f t="array" ref="H1494">IF($Q1494&gt;=0,IFERROR(generateSalesData($D1494, IF(ISNUMBER(_xlfn.XLOOKUP($C1494,Phone_by_Sentiment!$B$2:$B$37,Phone_by_Sentiment!H$2:H$37,"",0,1)),_xlfn.XLOOKUP($C1494,Phone_by_Sentiment!$B$2:$B$37,Phone_by_Sentiment!H$2:H$37,"",0,1),0),$A1494-TEXT(DATEVALUE($D1494&amp;"-01"), "dd-mm-yyyy")),0),0)</f>
        <v>442</v>
      </c>
      <c r="I1494" cm="1">
        <f t="array" ref="I1494">IF($Q1494&gt;=0,IFERROR(generateSalesData($D1494, IF(ISNUMBER(_xlfn.XLOOKUP($C1494,Phone_by_Sentiment!$B$2:$B$37,Phone_by_Sentiment!I$2:I$37,"",0,1)),_xlfn.XLOOKUP($C1494,Phone_by_Sentiment!$B$2:$B$37,Phone_by_Sentiment!I$2:I$37,"",0,1),0),$A1494-TEXT(DATEVALUE($D1494&amp;"-01"), "dd-mm-yyyy")),0),0)</f>
        <v>65</v>
      </c>
      <c r="J1494" cm="1">
        <f t="array" ref="J1494">IF($Q1494&gt;=0,IFERROR(generateSalesData($D1494, IF(ISNUMBER(_xlfn.XLOOKUP($C1494,Phone_by_Sentiment!$B$2:$B$37,Phone_by_Sentiment!J$2:J$37,"",0,1)),_xlfn.XLOOKUP($C1494,Phone_by_Sentiment!$B$2:$B$37,Phone_by_Sentiment!J$2:J$37,"",0,1),0),$A1494-TEXT(DATEVALUE($D1494&amp;"-01"), "dd-mm-yyyy")),0),0)</f>
        <v>130</v>
      </c>
      <c r="K1494" cm="1">
        <f t="array" ref="K1494">IF($Q1494&gt;=0,IFERROR(generateSalesData($D1494, IF(ISNUMBER(_xlfn.XLOOKUP($C1494,Phone_by_Sentiment!$B$2:$B$37,Phone_by_Sentiment!K$2:K$37,"",0,1)),_xlfn.XLOOKUP($C1494,Phone_by_Sentiment!$B$2:$B$37,Phone_by_Sentiment!K$2:K$37,"",0,1),0),$A1494-TEXT(DATEVALUE($D1494&amp;"-01"), "dd-mm-yyyy")),0),0)</f>
        <v>193</v>
      </c>
      <c r="L1494" cm="1">
        <f t="array" ref="L1494">IF($Q1494&gt;=0,IFERROR(generateSalesData($D1494, IF(ISNUMBER(_xlfn.XLOOKUP($C1494,Phone_by_Sentiment!$B$2:$B$37,Phone_by_Sentiment!L$2:L$37,"",0,1)),_xlfn.XLOOKUP($C1494,Phone_by_Sentiment!$B$2:$B$37,Phone_by_Sentiment!L$2:L$37,"",0,1),0),$A1494-TEXT(DATEVALUE($D1494&amp;"-01"), "dd-mm-yyyy")),0),0)</f>
        <v>314</v>
      </c>
      <c r="M1494" cm="1">
        <f t="array" ref="M1494">IF($Q1494&gt;=0,IFERROR(generateSalesData($D1494, IF(ISNUMBER(_xlfn.XLOOKUP($C1494,Phone_by_Sentiment!$B$2:$B$37,Phone_by_Sentiment!M$2:M$37,"",0,1)),_xlfn.XLOOKUP($C1494,Phone_by_Sentiment!$B$2:$B$37,Phone_by_Sentiment!M$2:M$37,"",0,1),0),$A1494-TEXT(DATEVALUE($D1494&amp;"-01"), "dd-mm-yyyy")),0),0)</f>
        <v>81</v>
      </c>
      <c r="N1494" cm="1">
        <f t="array" ref="N1494">IF($Q1494&gt;=0,IFERROR(generateSalesData($D1494, IF(ISNUMBER(_xlfn.XLOOKUP($C1494,Phone_by_Sentiment!$B$2:$B$37,Phone_by_Sentiment!N$2:N$37,"",0,1)),_xlfn.XLOOKUP($C1494,Phone_by_Sentiment!$B$2:$B$37,Phone_by_Sentiment!N$2:N$37,"",0,1),0),$A1494-TEXT(DATEVALUE($D1494&amp;"-01"), "dd-mm-yyyy")),0),0)</f>
        <v>974</v>
      </c>
      <c r="O1494" cm="1">
        <f t="array" ref="O1494">IF($Q1494&gt;=0,IFERROR(generateSalesData($D1494, IF(ISNUMBER(_xlfn.XLOOKUP($C1494,Phone_by_Sentiment!$B$2:$B$37,Phone_by_Sentiment!O$2:O$37,"",0,1)),_xlfn.XLOOKUP($C1494,Phone_by_Sentiment!$B$2:$B$37,Phone_by_Sentiment!O$2:O$37,"",0,1),0),$A1494-TEXT(DATEVALUE($D1494&amp;"-01"), "dd-mm-yyyy")),0),0)</f>
        <v>122</v>
      </c>
      <c r="P1494" s="1">
        <f t="shared" si="58"/>
        <v>44287</v>
      </c>
      <c r="Q1494">
        <f t="shared" si="60"/>
        <v>456</v>
      </c>
    </row>
    <row r="1495" spans="1:17" x14ac:dyDescent="0.25">
      <c r="A1495" s="1">
        <f t="shared" si="59"/>
        <v>44743</v>
      </c>
      <c r="B1495" t="s">
        <v>168</v>
      </c>
      <c r="C1495" t="str">
        <f>_xlfn.XLOOKUP(B1495,Phone_by_Price!$A$2:$A$34,Phone_by_Price!$B$2:$B$34,"-",0,1)</f>
        <v>Google Pixel 4</v>
      </c>
      <c r="D1495" t="str">
        <f>_xlfn.XLOOKUP(C1495,Phone_by_Sentiment!$B$2:$B$37,Phone_by_Sentiment!$A$2:$A$37,"-",0,1)</f>
        <v>2019-09</v>
      </c>
      <c r="E1495" cm="1">
        <f t="array" ref="E1495">IF($Q1495&gt;=0,IFERROR(generateSalesData($D1495, IF(ISNUMBER(_xlfn.XLOOKUP($C1495,Phone_by_Sentiment!$B$2:$B$37,Phone_by_Sentiment!E$2:E$37,"",0,1)),_xlfn.XLOOKUP($C1495,Phone_by_Sentiment!$B$2:$B$37,Phone_by_Sentiment!E$2:E$37,"",0,1),0),$A1495-TEXT(DATEVALUE($D1495&amp;"-01"), "dd-mm-yyyy")),0),0)</f>
        <v>322</v>
      </c>
      <c r="F1495" cm="1">
        <f t="array" ref="F1495">IF($Q1495&gt;=0,IFERROR(generateSalesData($D1495, IF(ISNUMBER(_xlfn.XLOOKUP($C1495,Phone_by_Sentiment!$B$2:$B$37,Phone_by_Sentiment!F$2:F$37,"",0,1)),_xlfn.XLOOKUP($C1495,Phone_by_Sentiment!$B$2:$B$37,Phone_by_Sentiment!F$2:F$37,"",0,1),0),$A1495-TEXT(DATEVALUE($D1495&amp;"-01"), "dd-mm-yyyy")),0),0)</f>
        <v>88</v>
      </c>
      <c r="G1495" cm="1">
        <f t="array" ref="G1495">IF($Q1495&gt;=0,IFERROR(generateSalesData($D1495, IF(ISNUMBER(_xlfn.XLOOKUP($C1495,Phone_by_Sentiment!$B$2:$B$37,Phone_by_Sentiment!G$2:G$37,"",0,1)),_xlfn.XLOOKUP($C1495,Phone_by_Sentiment!$B$2:$B$37,Phone_by_Sentiment!G$2:G$37,"",0,1),0),$A1495-TEXT(DATEVALUE($D1495&amp;"-01"), "dd-mm-yyyy")),0),0)</f>
        <v>77</v>
      </c>
      <c r="H1495" cm="1">
        <f t="array" ref="H1495">IF($Q1495&gt;=0,IFERROR(generateSalesData($D1495, IF(ISNUMBER(_xlfn.XLOOKUP($C1495,Phone_by_Sentiment!$B$2:$B$37,Phone_by_Sentiment!H$2:H$37,"",0,1)),_xlfn.XLOOKUP($C1495,Phone_by_Sentiment!$B$2:$B$37,Phone_by_Sentiment!H$2:H$37,"",0,1),0),$A1495-TEXT(DATEVALUE($D1495&amp;"-01"), "dd-mm-yyyy")),0),0)</f>
        <v>79</v>
      </c>
      <c r="I1495" cm="1">
        <f t="array" ref="I1495">IF($Q1495&gt;=0,IFERROR(generateSalesData($D1495, IF(ISNUMBER(_xlfn.XLOOKUP($C1495,Phone_by_Sentiment!$B$2:$B$37,Phone_by_Sentiment!I$2:I$37,"",0,1)),_xlfn.XLOOKUP($C1495,Phone_by_Sentiment!$B$2:$B$37,Phone_by_Sentiment!I$2:I$37,"",0,1),0),$A1495-TEXT(DATEVALUE($D1495&amp;"-01"), "dd-mm-yyyy")),0),0)</f>
        <v>78</v>
      </c>
      <c r="J1495" cm="1">
        <f t="array" ref="J1495">IF($Q1495&gt;=0,IFERROR(generateSalesData($D1495, IF(ISNUMBER(_xlfn.XLOOKUP($C1495,Phone_by_Sentiment!$B$2:$B$37,Phone_by_Sentiment!J$2:J$37,"",0,1)),_xlfn.XLOOKUP($C1495,Phone_by_Sentiment!$B$2:$B$37,Phone_by_Sentiment!J$2:J$37,"",0,1),0),$A1495-TEXT(DATEVALUE($D1495&amp;"-01"), "dd-mm-yyyy")),0),0)</f>
        <v>8</v>
      </c>
      <c r="K1495" cm="1">
        <f t="array" ref="K1495">IF($Q1495&gt;=0,IFERROR(generateSalesData($D1495, IF(ISNUMBER(_xlfn.XLOOKUP($C1495,Phone_by_Sentiment!$B$2:$B$37,Phone_by_Sentiment!K$2:K$37,"",0,1)),_xlfn.XLOOKUP($C1495,Phone_by_Sentiment!$B$2:$B$37,Phone_by_Sentiment!K$2:K$37,"",0,1),0),$A1495-TEXT(DATEVALUE($D1495&amp;"-01"), "dd-mm-yyyy")),0),0)</f>
        <v>38</v>
      </c>
      <c r="L1495" cm="1">
        <f t="array" ref="L1495">IF($Q1495&gt;=0,IFERROR(generateSalesData($D1495, IF(ISNUMBER(_xlfn.XLOOKUP($C1495,Phone_by_Sentiment!$B$2:$B$37,Phone_by_Sentiment!L$2:L$37,"",0,1)),_xlfn.XLOOKUP($C1495,Phone_by_Sentiment!$B$2:$B$37,Phone_by_Sentiment!L$2:L$37,"",0,1),0),$A1495-TEXT(DATEVALUE($D1495&amp;"-01"), "dd-mm-yyyy")),0),0)</f>
        <v>122</v>
      </c>
      <c r="M1495" cm="1">
        <f t="array" ref="M1495">IF($Q1495&gt;=0,IFERROR(generateSalesData($D1495, IF(ISNUMBER(_xlfn.XLOOKUP($C1495,Phone_by_Sentiment!$B$2:$B$37,Phone_by_Sentiment!M$2:M$37,"",0,1)),_xlfn.XLOOKUP($C1495,Phone_by_Sentiment!$B$2:$B$37,Phone_by_Sentiment!M$2:M$37,"",0,1),0),$A1495-TEXT(DATEVALUE($D1495&amp;"-01"), "dd-mm-yyyy")),0),0)</f>
        <v>36</v>
      </c>
      <c r="N1495" cm="1">
        <f t="array" ref="N1495">IF($Q1495&gt;=0,IFERROR(generateSalesData($D1495, IF(ISNUMBER(_xlfn.XLOOKUP($C1495,Phone_by_Sentiment!$B$2:$B$37,Phone_by_Sentiment!N$2:N$37,"",0,1)),_xlfn.XLOOKUP($C1495,Phone_by_Sentiment!$B$2:$B$37,Phone_by_Sentiment!N$2:N$37,"",0,1),0),$A1495-TEXT(DATEVALUE($D1495&amp;"-01"), "dd-mm-yyyy")),0),0)</f>
        <v>40</v>
      </c>
      <c r="O1495" cm="1">
        <f t="array" ref="O1495">IF($Q1495&gt;=0,IFERROR(generateSalesData($D1495, IF(ISNUMBER(_xlfn.XLOOKUP($C1495,Phone_by_Sentiment!$B$2:$B$37,Phone_by_Sentiment!O$2:O$37,"",0,1)),_xlfn.XLOOKUP($C1495,Phone_by_Sentiment!$B$2:$B$37,Phone_by_Sentiment!O$2:O$37,"",0,1),0),$A1495-TEXT(DATEVALUE($D1495&amp;"-01"), "dd-mm-yyyy")),0),0)</f>
        <v>17</v>
      </c>
      <c r="P1495" s="1">
        <f t="shared" si="58"/>
        <v>43709</v>
      </c>
      <c r="Q1495">
        <f t="shared" si="60"/>
        <v>1034</v>
      </c>
    </row>
    <row r="1496" spans="1:17" x14ac:dyDescent="0.25">
      <c r="A1496" s="1">
        <f t="shared" si="59"/>
        <v>44743</v>
      </c>
      <c r="B1496" t="s">
        <v>169</v>
      </c>
      <c r="C1496" t="str">
        <f>_xlfn.XLOOKUP(B1496,Phone_by_Price!$A$2:$A$34,Phone_by_Price!$B$2:$B$34,"-",0,1)</f>
        <v>Samsung Galaxy A10s</v>
      </c>
      <c r="D1496" t="str">
        <f>_xlfn.XLOOKUP(C1496,Phone_by_Sentiment!$B$2:$B$37,Phone_by_Sentiment!$A$2:$A$37,"-",0,1)</f>
        <v>2019-08</v>
      </c>
      <c r="E1496" cm="1">
        <f t="array" ref="E1496">IF($Q1496&gt;=0,IFERROR(generateSalesData($D1496, IF(ISNUMBER(_xlfn.XLOOKUP($C1496,Phone_by_Sentiment!$B$2:$B$37,Phone_by_Sentiment!E$2:E$37,"",0,1)),_xlfn.XLOOKUP($C1496,Phone_by_Sentiment!$B$2:$B$37,Phone_by_Sentiment!E$2:E$37,"",0,1),0),$A1496-TEXT(DATEVALUE($D1496&amp;"-01"), "dd-mm-yyyy")),0),0)</f>
        <v>76</v>
      </c>
      <c r="F1496" cm="1">
        <f t="array" ref="F1496">IF($Q1496&gt;=0,IFERROR(generateSalesData($D1496, IF(ISNUMBER(_xlfn.XLOOKUP($C1496,Phone_by_Sentiment!$B$2:$B$37,Phone_by_Sentiment!F$2:F$37,"",0,1)),_xlfn.XLOOKUP($C1496,Phone_by_Sentiment!$B$2:$B$37,Phone_by_Sentiment!F$2:F$37,"",0,1),0),$A1496-TEXT(DATEVALUE($D1496&amp;"-01"), "dd-mm-yyyy")),0),0)</f>
        <v>103</v>
      </c>
      <c r="G1496" cm="1">
        <f t="array" ref="G1496">IF($Q1496&gt;=0,IFERROR(generateSalesData($D1496, IF(ISNUMBER(_xlfn.XLOOKUP($C1496,Phone_by_Sentiment!$B$2:$B$37,Phone_by_Sentiment!G$2:G$37,"",0,1)),_xlfn.XLOOKUP($C1496,Phone_by_Sentiment!$B$2:$B$37,Phone_by_Sentiment!G$2:G$37,"",0,1),0),$A1496-TEXT(DATEVALUE($D1496&amp;"-01"), "dd-mm-yyyy")),0),0)</f>
        <v>88</v>
      </c>
      <c r="H1496" cm="1">
        <f t="array" ref="H1496">IF($Q1496&gt;=0,IFERROR(generateSalesData($D1496, IF(ISNUMBER(_xlfn.XLOOKUP($C1496,Phone_by_Sentiment!$B$2:$B$37,Phone_by_Sentiment!H$2:H$37,"",0,1)),_xlfn.XLOOKUP($C1496,Phone_by_Sentiment!$B$2:$B$37,Phone_by_Sentiment!H$2:H$37,"",0,1),0),$A1496-TEXT(DATEVALUE($D1496&amp;"-01"), "dd-mm-yyyy")),0),0)</f>
        <v>23</v>
      </c>
      <c r="I1496" cm="1">
        <f t="array" ref="I1496">IF($Q1496&gt;=0,IFERROR(generateSalesData($D1496, IF(ISNUMBER(_xlfn.XLOOKUP($C1496,Phone_by_Sentiment!$B$2:$B$37,Phone_by_Sentiment!I$2:I$37,"",0,1)),_xlfn.XLOOKUP($C1496,Phone_by_Sentiment!$B$2:$B$37,Phone_by_Sentiment!I$2:I$37,"",0,1),0),$A1496-TEXT(DATEVALUE($D1496&amp;"-01"), "dd-mm-yyyy")),0),0)</f>
        <v>107</v>
      </c>
      <c r="J1496" cm="1">
        <f t="array" ref="J1496">IF($Q1496&gt;=0,IFERROR(generateSalesData($D1496, IF(ISNUMBER(_xlfn.XLOOKUP($C1496,Phone_by_Sentiment!$B$2:$B$37,Phone_by_Sentiment!J$2:J$37,"",0,1)),_xlfn.XLOOKUP($C1496,Phone_by_Sentiment!$B$2:$B$37,Phone_by_Sentiment!J$2:J$37,"",0,1),0),$A1496-TEXT(DATEVALUE($D1496&amp;"-01"), "dd-mm-yyyy")),0),0)</f>
        <v>141</v>
      </c>
      <c r="K1496" cm="1">
        <f t="array" ref="K1496">IF($Q1496&gt;=0,IFERROR(generateSalesData($D1496, IF(ISNUMBER(_xlfn.XLOOKUP($C1496,Phone_by_Sentiment!$B$2:$B$37,Phone_by_Sentiment!K$2:K$37,"",0,1)),_xlfn.XLOOKUP($C1496,Phone_by_Sentiment!$B$2:$B$37,Phone_by_Sentiment!K$2:K$37,"",0,1),0),$A1496-TEXT(DATEVALUE($D1496&amp;"-01"), "dd-mm-yyyy")),0),0)</f>
        <v>213</v>
      </c>
      <c r="L1496" cm="1">
        <f t="array" ref="L1496">IF($Q1496&gt;=0,IFERROR(generateSalesData($D1496, IF(ISNUMBER(_xlfn.XLOOKUP($C1496,Phone_by_Sentiment!$B$2:$B$37,Phone_by_Sentiment!L$2:L$37,"",0,1)),_xlfn.XLOOKUP($C1496,Phone_by_Sentiment!$B$2:$B$37,Phone_by_Sentiment!L$2:L$37,"",0,1),0),$A1496-TEXT(DATEVALUE($D1496&amp;"-01"), "dd-mm-yyyy")),0),0)</f>
        <v>49</v>
      </c>
      <c r="M1496" cm="1">
        <f t="array" ref="M1496">IF($Q1496&gt;=0,IFERROR(generateSalesData($D1496, IF(ISNUMBER(_xlfn.XLOOKUP($C1496,Phone_by_Sentiment!$B$2:$B$37,Phone_by_Sentiment!M$2:M$37,"",0,1)),_xlfn.XLOOKUP($C1496,Phone_by_Sentiment!$B$2:$B$37,Phone_by_Sentiment!M$2:M$37,"",0,1),0),$A1496-TEXT(DATEVALUE($D1496&amp;"-01"), "dd-mm-yyyy")),0),0)</f>
        <v>76</v>
      </c>
      <c r="N1496" cm="1">
        <f t="array" ref="N1496">IF($Q1496&gt;=0,IFERROR(generateSalesData($D1496, IF(ISNUMBER(_xlfn.XLOOKUP($C1496,Phone_by_Sentiment!$B$2:$B$37,Phone_by_Sentiment!N$2:N$37,"",0,1)),_xlfn.XLOOKUP($C1496,Phone_by_Sentiment!$B$2:$B$37,Phone_by_Sentiment!N$2:N$37,"",0,1),0),$A1496-TEXT(DATEVALUE($D1496&amp;"-01"), "dd-mm-yyyy")),0),0)</f>
        <v>48</v>
      </c>
      <c r="O1496" cm="1">
        <f t="array" ref="O1496">IF($Q1496&gt;=0,IFERROR(generateSalesData($D1496, IF(ISNUMBER(_xlfn.XLOOKUP($C1496,Phone_by_Sentiment!$B$2:$B$37,Phone_by_Sentiment!O$2:O$37,"",0,1)),_xlfn.XLOOKUP($C1496,Phone_by_Sentiment!$B$2:$B$37,Phone_by_Sentiment!O$2:O$37,"",0,1),0),$A1496-TEXT(DATEVALUE($D1496&amp;"-01"), "dd-mm-yyyy")),0),0)</f>
        <v>130</v>
      </c>
      <c r="P1496" s="1">
        <f t="shared" si="58"/>
        <v>43678</v>
      </c>
      <c r="Q1496">
        <f t="shared" si="60"/>
        <v>1065</v>
      </c>
    </row>
    <row r="1497" spans="1:17" x14ac:dyDescent="0.25">
      <c r="A1497" s="1">
        <f t="shared" si="59"/>
        <v>44743</v>
      </c>
      <c r="B1497" t="s">
        <v>170</v>
      </c>
      <c r="C1497" t="str">
        <f>_xlfn.XLOOKUP(B1497,Phone_by_Price!$A$2:$A$34,Phone_by_Price!$B$2:$B$34,"-",0,1)</f>
        <v>Realme Narzo 30A</v>
      </c>
      <c r="D1497" t="str">
        <f>_xlfn.XLOOKUP(C1497,Phone_by_Sentiment!$B$2:$B$37,Phone_by_Sentiment!$A$2:$A$37,"-",0,1)</f>
        <v>2021-02</v>
      </c>
      <c r="E1497" cm="1">
        <f t="array" ref="E1497">IF($Q1497&gt;=0,IFERROR(generateSalesData($D1497, IF(ISNUMBER(_xlfn.XLOOKUP($C1497,Phone_by_Sentiment!$B$2:$B$37,Phone_by_Sentiment!E$2:E$37,"",0,1)),_xlfn.XLOOKUP($C1497,Phone_by_Sentiment!$B$2:$B$37,Phone_by_Sentiment!E$2:E$37,"",0,1),0),$A1497-TEXT(DATEVALUE($D1497&amp;"-01"), "dd-mm-yyyy")),0),0)</f>
        <v>76</v>
      </c>
      <c r="F1497" cm="1">
        <f t="array" ref="F1497">IF($Q1497&gt;=0,IFERROR(generateSalesData($D1497, IF(ISNUMBER(_xlfn.XLOOKUP($C1497,Phone_by_Sentiment!$B$2:$B$37,Phone_by_Sentiment!F$2:F$37,"",0,1)),_xlfn.XLOOKUP($C1497,Phone_by_Sentiment!$B$2:$B$37,Phone_by_Sentiment!F$2:F$37,"",0,1),0),$A1497-TEXT(DATEVALUE($D1497&amp;"-01"), "dd-mm-yyyy")),0),0)</f>
        <v>143</v>
      </c>
      <c r="G1497" cm="1">
        <f t="array" ref="G1497">IF($Q1497&gt;=0,IFERROR(generateSalesData($D1497, IF(ISNUMBER(_xlfn.XLOOKUP($C1497,Phone_by_Sentiment!$B$2:$B$37,Phone_by_Sentiment!G$2:G$37,"",0,1)),_xlfn.XLOOKUP($C1497,Phone_by_Sentiment!$B$2:$B$37,Phone_by_Sentiment!G$2:G$37,"",0,1),0),$A1497-TEXT(DATEVALUE($D1497&amp;"-01"), "dd-mm-yyyy")),0),0)</f>
        <v>39</v>
      </c>
      <c r="H1497" cm="1">
        <f t="array" ref="H1497">IF($Q1497&gt;=0,IFERROR(generateSalesData($D1497, IF(ISNUMBER(_xlfn.XLOOKUP($C1497,Phone_by_Sentiment!$B$2:$B$37,Phone_by_Sentiment!H$2:H$37,"",0,1)),_xlfn.XLOOKUP($C1497,Phone_by_Sentiment!$B$2:$B$37,Phone_by_Sentiment!H$2:H$37,"",0,1),0),$A1497-TEXT(DATEVALUE($D1497&amp;"-01"), "dd-mm-yyyy")),0),0)</f>
        <v>638</v>
      </c>
      <c r="I1497" cm="1">
        <f t="array" ref="I1497">IF($Q1497&gt;=0,IFERROR(generateSalesData($D1497, IF(ISNUMBER(_xlfn.XLOOKUP($C1497,Phone_by_Sentiment!$B$2:$B$37,Phone_by_Sentiment!I$2:I$37,"",0,1)),_xlfn.XLOOKUP($C1497,Phone_by_Sentiment!$B$2:$B$37,Phone_by_Sentiment!I$2:I$37,"",0,1),0),$A1497-TEXT(DATEVALUE($D1497&amp;"-01"), "dd-mm-yyyy")),0),0)</f>
        <v>-41</v>
      </c>
      <c r="J1497" cm="1">
        <f t="array" ref="J1497">IF($Q1497&gt;=0,IFERROR(generateSalesData($D1497, IF(ISNUMBER(_xlfn.XLOOKUP($C1497,Phone_by_Sentiment!$B$2:$B$37,Phone_by_Sentiment!J$2:J$37,"",0,1)),_xlfn.XLOOKUP($C1497,Phone_by_Sentiment!$B$2:$B$37,Phone_by_Sentiment!J$2:J$37,"",0,1),0),$A1497-TEXT(DATEVALUE($D1497&amp;"-01"), "dd-mm-yyyy")),0),0)</f>
        <v>190</v>
      </c>
      <c r="K1497" cm="1">
        <f t="array" ref="K1497">IF($Q1497&gt;=0,IFERROR(generateSalesData($D1497, IF(ISNUMBER(_xlfn.XLOOKUP($C1497,Phone_by_Sentiment!$B$2:$B$37,Phone_by_Sentiment!K$2:K$37,"",0,1)),_xlfn.XLOOKUP($C1497,Phone_by_Sentiment!$B$2:$B$37,Phone_by_Sentiment!K$2:K$37,"",0,1),0),$A1497-TEXT(DATEVALUE($D1497&amp;"-01"), "dd-mm-yyyy")),0),0)</f>
        <v>191</v>
      </c>
      <c r="L1497" cm="1">
        <f t="array" ref="L1497">IF($Q1497&gt;=0,IFERROR(generateSalesData($D1497, IF(ISNUMBER(_xlfn.XLOOKUP($C1497,Phone_by_Sentiment!$B$2:$B$37,Phone_by_Sentiment!L$2:L$37,"",0,1)),_xlfn.XLOOKUP($C1497,Phone_by_Sentiment!$B$2:$B$37,Phone_by_Sentiment!L$2:L$37,"",0,1),0),$A1497-TEXT(DATEVALUE($D1497&amp;"-01"), "dd-mm-yyyy")),0),0)</f>
        <v>632</v>
      </c>
      <c r="M1497" cm="1">
        <f t="array" ref="M1497">IF($Q1497&gt;=0,IFERROR(generateSalesData($D1497, IF(ISNUMBER(_xlfn.XLOOKUP($C1497,Phone_by_Sentiment!$B$2:$B$37,Phone_by_Sentiment!M$2:M$37,"",0,1)),_xlfn.XLOOKUP($C1497,Phone_by_Sentiment!$B$2:$B$37,Phone_by_Sentiment!M$2:M$37,"",0,1),0),$A1497-TEXT(DATEVALUE($D1497&amp;"-01"), "dd-mm-yyyy")),0),0)</f>
        <v>156</v>
      </c>
      <c r="N1497" cm="1">
        <f t="array" ref="N1497">IF($Q1497&gt;=0,IFERROR(generateSalesData($D1497, IF(ISNUMBER(_xlfn.XLOOKUP($C1497,Phone_by_Sentiment!$B$2:$B$37,Phone_by_Sentiment!N$2:N$37,"",0,1)),_xlfn.XLOOKUP($C1497,Phone_by_Sentiment!$B$2:$B$37,Phone_by_Sentiment!N$2:N$37,"",0,1),0),$A1497-TEXT(DATEVALUE($D1497&amp;"-01"), "dd-mm-yyyy")),0),0)</f>
        <v>417</v>
      </c>
      <c r="O1497" cm="1">
        <f t="array" ref="O1497">IF($Q1497&gt;=0,IFERROR(generateSalesData($D1497, IF(ISNUMBER(_xlfn.XLOOKUP($C1497,Phone_by_Sentiment!$B$2:$B$37,Phone_by_Sentiment!O$2:O$37,"",0,1)),_xlfn.XLOOKUP($C1497,Phone_by_Sentiment!$B$2:$B$37,Phone_by_Sentiment!O$2:O$37,"",0,1),0),$A1497-TEXT(DATEVALUE($D1497&amp;"-01"), "dd-mm-yyyy")),0),0)</f>
        <v>189</v>
      </c>
      <c r="P1497" s="1">
        <f t="shared" si="58"/>
        <v>44228</v>
      </c>
      <c r="Q1497">
        <f t="shared" si="60"/>
        <v>515</v>
      </c>
    </row>
    <row r="1498" spans="1:17" x14ac:dyDescent="0.25">
      <c r="A1498" s="1">
        <f t="shared" si="59"/>
        <v>44743</v>
      </c>
      <c r="B1498" t="s">
        <v>171</v>
      </c>
      <c r="C1498" t="str">
        <f>_xlfn.XLOOKUP(B1498,Phone_by_Price!$A$2:$A$34,Phone_by_Price!$B$2:$B$34,"-",0,1)</f>
        <v>Samsung Galaxy A22 5G</v>
      </c>
      <c r="D1498" t="str">
        <f>_xlfn.XLOOKUP(C1498,Phone_by_Sentiment!$B$2:$B$37,Phone_by_Sentiment!$A$2:$A$37,"-",0,1)</f>
        <v>2021-05</v>
      </c>
      <c r="E1498" cm="1">
        <f t="array" ref="E1498">IF($Q1498&gt;=0,IFERROR(generateSalesData($D1498, IF(ISNUMBER(_xlfn.XLOOKUP($C1498,Phone_by_Sentiment!$B$2:$B$37,Phone_by_Sentiment!E$2:E$37,"",0,1)),_xlfn.XLOOKUP($C1498,Phone_by_Sentiment!$B$2:$B$37,Phone_by_Sentiment!E$2:E$37,"",0,1),0),$A1498-TEXT(DATEVALUE($D1498&amp;"-01"), "dd-mm-yyyy")),0),0)</f>
        <v>710</v>
      </c>
      <c r="F1498" cm="1">
        <f t="array" ref="F1498">IF($Q1498&gt;=0,IFERROR(generateSalesData($D1498, IF(ISNUMBER(_xlfn.XLOOKUP($C1498,Phone_by_Sentiment!$B$2:$B$37,Phone_by_Sentiment!F$2:F$37,"",0,1)),_xlfn.XLOOKUP($C1498,Phone_by_Sentiment!$B$2:$B$37,Phone_by_Sentiment!F$2:F$37,"",0,1),0),$A1498-TEXT(DATEVALUE($D1498&amp;"-01"), "dd-mm-yyyy")),0),0)</f>
        <v>638</v>
      </c>
      <c r="G1498" cm="1">
        <f t="array" ref="G1498">IF($Q1498&gt;=0,IFERROR(generateSalesData($D1498, IF(ISNUMBER(_xlfn.XLOOKUP($C1498,Phone_by_Sentiment!$B$2:$B$37,Phone_by_Sentiment!G$2:G$37,"",0,1)),_xlfn.XLOOKUP($C1498,Phone_by_Sentiment!$B$2:$B$37,Phone_by_Sentiment!G$2:G$37,"",0,1),0),$A1498-TEXT(DATEVALUE($D1498&amp;"-01"), "dd-mm-yyyy")),0),0)</f>
        <v>19</v>
      </c>
      <c r="H1498" cm="1">
        <f t="array" ref="H1498">IF($Q1498&gt;=0,IFERROR(generateSalesData($D1498, IF(ISNUMBER(_xlfn.XLOOKUP($C1498,Phone_by_Sentiment!$B$2:$B$37,Phone_by_Sentiment!H$2:H$37,"",0,1)),_xlfn.XLOOKUP($C1498,Phone_by_Sentiment!$B$2:$B$37,Phone_by_Sentiment!H$2:H$37,"",0,1),0),$A1498-TEXT(DATEVALUE($D1498&amp;"-01"), "dd-mm-yyyy")),0),0)</f>
        <v>501</v>
      </c>
      <c r="I1498" cm="1">
        <f t="array" ref="I1498">IF($Q1498&gt;=0,IFERROR(generateSalesData($D1498, IF(ISNUMBER(_xlfn.XLOOKUP($C1498,Phone_by_Sentiment!$B$2:$B$37,Phone_by_Sentiment!I$2:I$37,"",0,1)),_xlfn.XLOOKUP($C1498,Phone_by_Sentiment!$B$2:$B$37,Phone_by_Sentiment!I$2:I$37,"",0,1),0),$A1498-TEXT(DATEVALUE($D1498&amp;"-01"), "dd-mm-yyyy")),0),0)</f>
        <v>502</v>
      </c>
      <c r="J1498" cm="1">
        <f t="array" ref="J1498">IF($Q1498&gt;=0,IFERROR(generateSalesData($D1498, IF(ISNUMBER(_xlfn.XLOOKUP($C1498,Phone_by_Sentiment!$B$2:$B$37,Phone_by_Sentiment!J$2:J$37,"",0,1)),_xlfn.XLOOKUP($C1498,Phone_by_Sentiment!$B$2:$B$37,Phone_by_Sentiment!J$2:J$37,"",0,1),0),$A1498-TEXT(DATEVALUE($D1498&amp;"-01"), "dd-mm-yyyy")),0),0)</f>
        <v>191</v>
      </c>
      <c r="K1498" cm="1">
        <f t="array" ref="K1498">IF($Q1498&gt;=0,IFERROR(generateSalesData($D1498, IF(ISNUMBER(_xlfn.XLOOKUP($C1498,Phone_by_Sentiment!$B$2:$B$37,Phone_by_Sentiment!K$2:K$37,"",0,1)),_xlfn.XLOOKUP($C1498,Phone_by_Sentiment!$B$2:$B$37,Phone_by_Sentiment!K$2:K$37,"",0,1),0),$A1498-TEXT(DATEVALUE($D1498&amp;"-01"), "dd-mm-yyyy")),0),0)</f>
        <v>394</v>
      </c>
      <c r="L1498" cm="1">
        <f t="array" ref="L1498">IF($Q1498&gt;=0,IFERROR(generateSalesData($D1498, IF(ISNUMBER(_xlfn.XLOOKUP($C1498,Phone_by_Sentiment!$B$2:$B$37,Phone_by_Sentiment!L$2:L$37,"",0,1)),_xlfn.XLOOKUP($C1498,Phone_by_Sentiment!$B$2:$B$37,Phone_by_Sentiment!L$2:L$37,"",0,1),0),$A1498-TEXT(DATEVALUE($D1498&amp;"-01"), "dd-mm-yyyy")),0),0)</f>
        <v>713</v>
      </c>
      <c r="M1498" cm="1">
        <f t="array" ref="M1498">IF($Q1498&gt;=0,IFERROR(generateSalesData($D1498, IF(ISNUMBER(_xlfn.XLOOKUP($C1498,Phone_by_Sentiment!$B$2:$B$37,Phone_by_Sentiment!M$2:M$37,"",0,1)),_xlfn.XLOOKUP($C1498,Phone_by_Sentiment!$B$2:$B$37,Phone_by_Sentiment!M$2:M$37,"",0,1),0),$A1498-TEXT(DATEVALUE($D1498&amp;"-01"), "dd-mm-yyyy")),0),0)</f>
        <v>415</v>
      </c>
      <c r="N1498" cm="1">
        <f t="array" ref="N1498">IF($Q1498&gt;=0,IFERROR(generateSalesData($D1498, IF(ISNUMBER(_xlfn.XLOOKUP($C1498,Phone_by_Sentiment!$B$2:$B$37,Phone_by_Sentiment!N$2:N$37,"",0,1)),_xlfn.XLOOKUP($C1498,Phone_by_Sentiment!$B$2:$B$37,Phone_by_Sentiment!N$2:N$37,"",0,1),0),$A1498-TEXT(DATEVALUE($D1498&amp;"-01"), "dd-mm-yyyy")),0),0)</f>
        <v>311</v>
      </c>
      <c r="O1498" cm="1">
        <f t="array" ref="O1498">IF($Q1498&gt;=0,IFERROR(generateSalesData($D1498, IF(ISNUMBER(_xlfn.XLOOKUP($C1498,Phone_by_Sentiment!$B$2:$B$37,Phone_by_Sentiment!O$2:O$37,"",0,1)),_xlfn.XLOOKUP($C1498,Phone_by_Sentiment!$B$2:$B$37,Phone_by_Sentiment!O$2:O$37,"",0,1),0),$A1498-TEXT(DATEVALUE($D1498&amp;"-01"), "dd-mm-yyyy")),0),0)</f>
        <v>971</v>
      </c>
      <c r="P1498" s="1">
        <f t="shared" si="58"/>
        <v>44317</v>
      </c>
      <c r="Q1498">
        <f t="shared" si="60"/>
        <v>426</v>
      </c>
    </row>
    <row r="1499" spans="1:17" x14ac:dyDescent="0.25">
      <c r="A1499" s="1">
        <f t="shared" si="59"/>
        <v>44743</v>
      </c>
      <c r="B1499" t="s">
        <v>172</v>
      </c>
      <c r="C1499" t="str">
        <f>_xlfn.XLOOKUP(B1499,Phone_by_Price!$A$2:$A$34,Phone_by_Price!$B$2:$B$34,"-",0,1)</f>
        <v>Xiaomi Redmi 9</v>
      </c>
      <c r="D1499" t="str">
        <f>_xlfn.XLOOKUP(C1499,Phone_by_Sentiment!$B$2:$B$37,Phone_by_Sentiment!$A$2:$A$37,"-",0,1)</f>
        <v>2020-08</v>
      </c>
      <c r="E1499" cm="1">
        <f t="array" ref="E1499">IF($Q1499&gt;=0,IFERROR(generateSalesData($D1499, IF(ISNUMBER(_xlfn.XLOOKUP($C1499,Phone_by_Sentiment!$B$2:$B$37,Phone_by_Sentiment!E$2:E$37,"",0,1)),_xlfn.XLOOKUP($C1499,Phone_by_Sentiment!$B$2:$B$37,Phone_by_Sentiment!E$2:E$37,"",0,1),0),$A1499-TEXT(DATEVALUE($D1499&amp;"-01"), "dd-mm-yyyy")),0),0)</f>
        <v>79</v>
      </c>
      <c r="F1499" cm="1">
        <f t="array" ref="F1499">IF($Q1499&gt;=0,IFERROR(generateSalesData($D1499, IF(ISNUMBER(_xlfn.XLOOKUP($C1499,Phone_by_Sentiment!$B$2:$B$37,Phone_by_Sentiment!F$2:F$37,"",0,1)),_xlfn.XLOOKUP($C1499,Phone_by_Sentiment!$B$2:$B$37,Phone_by_Sentiment!F$2:F$37,"",0,1),0),$A1499-TEXT(DATEVALUE($D1499&amp;"-01"), "dd-mm-yyyy")),0),0)</f>
        <v>69</v>
      </c>
      <c r="G1499" cm="1">
        <f t="array" ref="G1499">IF($Q1499&gt;=0,IFERROR(generateSalesData($D1499, IF(ISNUMBER(_xlfn.XLOOKUP($C1499,Phone_by_Sentiment!$B$2:$B$37,Phone_by_Sentiment!G$2:G$37,"",0,1)),_xlfn.XLOOKUP($C1499,Phone_by_Sentiment!$B$2:$B$37,Phone_by_Sentiment!G$2:G$37,"",0,1),0),$A1499-TEXT(DATEVALUE($D1499&amp;"-01"), "dd-mm-yyyy")),0),0)</f>
        <v>11</v>
      </c>
      <c r="H1499" cm="1">
        <f t="array" ref="H1499">IF($Q1499&gt;=0,IFERROR(generateSalesData($D1499, IF(ISNUMBER(_xlfn.XLOOKUP($C1499,Phone_by_Sentiment!$B$2:$B$37,Phone_by_Sentiment!H$2:H$37,"",0,1)),_xlfn.XLOOKUP($C1499,Phone_by_Sentiment!$B$2:$B$37,Phone_by_Sentiment!H$2:H$37,"",0,1),0),$A1499-TEXT(DATEVALUE($D1499&amp;"-01"), "dd-mm-yyyy")),0),0)</f>
        <v>526</v>
      </c>
      <c r="I1499" cm="1">
        <f t="array" ref="I1499">IF($Q1499&gt;=0,IFERROR(generateSalesData($D1499, IF(ISNUMBER(_xlfn.XLOOKUP($C1499,Phone_by_Sentiment!$B$2:$B$37,Phone_by_Sentiment!I$2:I$37,"",0,1)),_xlfn.XLOOKUP($C1499,Phone_by_Sentiment!$B$2:$B$37,Phone_by_Sentiment!I$2:I$37,"",0,1),0),$A1499-TEXT(DATEVALUE($D1499&amp;"-01"), "dd-mm-yyyy")),0),0)</f>
        <v>112</v>
      </c>
      <c r="J1499" cm="1">
        <f t="array" ref="J1499">IF($Q1499&gt;=0,IFERROR(generateSalesData($D1499, IF(ISNUMBER(_xlfn.XLOOKUP($C1499,Phone_by_Sentiment!$B$2:$B$37,Phone_by_Sentiment!J$2:J$37,"",0,1)),_xlfn.XLOOKUP($C1499,Phone_by_Sentiment!$B$2:$B$37,Phone_by_Sentiment!J$2:J$37,"",0,1),0),$A1499-TEXT(DATEVALUE($D1499&amp;"-01"), "dd-mm-yyyy")),0),0)</f>
        <v>31</v>
      </c>
      <c r="K1499" cm="1">
        <f t="array" ref="K1499">IF($Q1499&gt;=0,IFERROR(generateSalesData($D1499, IF(ISNUMBER(_xlfn.XLOOKUP($C1499,Phone_by_Sentiment!$B$2:$B$37,Phone_by_Sentiment!K$2:K$37,"",0,1)),_xlfn.XLOOKUP($C1499,Phone_by_Sentiment!$B$2:$B$37,Phone_by_Sentiment!K$2:K$37,"",0,1),0),$A1499-TEXT(DATEVALUE($D1499&amp;"-01"), "dd-mm-yyyy")),0),0)</f>
        <v>395</v>
      </c>
      <c r="L1499" cm="1">
        <f t="array" ref="L1499">IF($Q1499&gt;=0,IFERROR(generateSalesData($D1499, IF(ISNUMBER(_xlfn.XLOOKUP($C1499,Phone_by_Sentiment!$B$2:$B$37,Phone_by_Sentiment!L$2:L$37,"",0,1)),_xlfn.XLOOKUP($C1499,Phone_by_Sentiment!$B$2:$B$37,Phone_by_Sentiment!L$2:L$37,"",0,1),0),$A1499-TEXT(DATEVALUE($D1499&amp;"-01"), "dd-mm-yyyy")),0),0)</f>
        <v>96</v>
      </c>
      <c r="M1499" cm="1">
        <f t="array" ref="M1499">IF($Q1499&gt;=0,IFERROR(generateSalesData($D1499, IF(ISNUMBER(_xlfn.XLOOKUP($C1499,Phone_by_Sentiment!$B$2:$B$37,Phone_by_Sentiment!M$2:M$37,"",0,1)),_xlfn.XLOOKUP($C1499,Phone_by_Sentiment!$B$2:$B$37,Phone_by_Sentiment!M$2:M$37,"",0,1),0),$A1499-TEXT(DATEVALUE($D1499&amp;"-01"), "dd-mm-yyyy")),0),0)</f>
        <v>55</v>
      </c>
      <c r="N1499" cm="1">
        <f t="array" ref="N1499">IF($Q1499&gt;=0,IFERROR(generateSalesData($D1499, IF(ISNUMBER(_xlfn.XLOOKUP($C1499,Phone_by_Sentiment!$B$2:$B$37,Phone_by_Sentiment!N$2:N$37,"",0,1)),_xlfn.XLOOKUP($C1499,Phone_by_Sentiment!$B$2:$B$37,Phone_by_Sentiment!N$2:N$37,"",0,1),0),$A1499-TEXT(DATEVALUE($D1499&amp;"-01"), "dd-mm-yyyy")),0),0)</f>
        <v>127</v>
      </c>
      <c r="O1499" cm="1">
        <f t="array" ref="O1499">IF($Q1499&gt;=0,IFERROR(generateSalesData($D1499, IF(ISNUMBER(_xlfn.XLOOKUP($C1499,Phone_by_Sentiment!$B$2:$B$37,Phone_by_Sentiment!O$2:O$37,"",0,1)),_xlfn.XLOOKUP($C1499,Phone_by_Sentiment!$B$2:$B$37,Phone_by_Sentiment!O$2:O$37,"",0,1),0),$A1499-TEXT(DATEVALUE($D1499&amp;"-01"), "dd-mm-yyyy")),0),0)</f>
        <v>214</v>
      </c>
      <c r="P1499" s="1">
        <f t="shared" si="58"/>
        <v>44044</v>
      </c>
      <c r="Q1499">
        <f t="shared" si="60"/>
        <v>699</v>
      </c>
    </row>
    <row r="1500" spans="1:17" x14ac:dyDescent="0.25">
      <c r="A1500" s="1">
        <f t="shared" si="59"/>
        <v>44743</v>
      </c>
      <c r="B1500" t="s">
        <v>173</v>
      </c>
      <c r="C1500" t="str">
        <f>_xlfn.XLOOKUP(B1500,Phone_by_Price!$A$2:$A$34,Phone_by_Price!$B$2:$B$34,"-",0,1)</f>
        <v>Realme C3</v>
      </c>
      <c r="D1500" t="str">
        <f>_xlfn.XLOOKUP(C1500,Phone_by_Sentiment!$B$2:$B$37,Phone_by_Sentiment!$A$2:$A$37,"-",0,1)</f>
        <v>2020-02</v>
      </c>
      <c r="E1500" cm="1">
        <f t="array" ref="E1500">IF($Q1500&gt;=0,IFERROR(generateSalesData($D1500, IF(ISNUMBER(_xlfn.XLOOKUP($C1500,Phone_by_Sentiment!$B$2:$B$37,Phone_by_Sentiment!E$2:E$37,"",0,1)),_xlfn.XLOOKUP($C1500,Phone_by_Sentiment!$B$2:$B$37,Phone_by_Sentiment!E$2:E$37,"",0,1),0),$A1500-TEXT(DATEVALUE($D1500&amp;"-01"), "dd-mm-yyyy")),0),0)</f>
        <v>49</v>
      </c>
      <c r="F1500" cm="1">
        <f t="array" ref="F1500">IF($Q1500&gt;=0,IFERROR(generateSalesData($D1500, IF(ISNUMBER(_xlfn.XLOOKUP($C1500,Phone_by_Sentiment!$B$2:$B$37,Phone_by_Sentiment!F$2:F$37,"",0,1)),_xlfn.XLOOKUP($C1500,Phone_by_Sentiment!$B$2:$B$37,Phone_by_Sentiment!F$2:F$37,"",0,1),0),$A1500-TEXT(DATEVALUE($D1500&amp;"-01"), "dd-mm-yyyy")),0),0)</f>
        <v>55</v>
      </c>
      <c r="G1500" cm="1">
        <f t="array" ref="G1500">IF($Q1500&gt;=0,IFERROR(generateSalesData($D1500, IF(ISNUMBER(_xlfn.XLOOKUP($C1500,Phone_by_Sentiment!$B$2:$B$37,Phone_by_Sentiment!G$2:G$37,"",0,1)),_xlfn.XLOOKUP($C1500,Phone_by_Sentiment!$B$2:$B$37,Phone_by_Sentiment!G$2:G$37,"",0,1),0),$A1500-TEXT(DATEVALUE($D1500&amp;"-01"), "dd-mm-yyyy")),0),0)</f>
        <v>63</v>
      </c>
      <c r="H1500" cm="1">
        <f t="array" ref="H1500">IF($Q1500&gt;=0,IFERROR(generateSalesData($D1500, IF(ISNUMBER(_xlfn.XLOOKUP($C1500,Phone_by_Sentiment!$B$2:$B$37,Phone_by_Sentiment!H$2:H$37,"",0,1)),_xlfn.XLOOKUP($C1500,Phone_by_Sentiment!$B$2:$B$37,Phone_by_Sentiment!H$2:H$37,"",0,1),0),$A1500-TEXT(DATEVALUE($D1500&amp;"-01"), "dd-mm-yyyy")),0),0)</f>
        <v>345</v>
      </c>
      <c r="I1500" cm="1">
        <f t="array" ref="I1500">IF($Q1500&gt;=0,IFERROR(generateSalesData($D1500, IF(ISNUMBER(_xlfn.XLOOKUP($C1500,Phone_by_Sentiment!$B$2:$B$37,Phone_by_Sentiment!I$2:I$37,"",0,1)),_xlfn.XLOOKUP($C1500,Phone_by_Sentiment!$B$2:$B$37,Phone_by_Sentiment!I$2:I$37,"",0,1),0),$A1500-TEXT(DATEVALUE($D1500&amp;"-01"), "dd-mm-yyyy")),0),0)</f>
        <v>32</v>
      </c>
      <c r="J1500" cm="1">
        <f t="array" ref="J1500">IF($Q1500&gt;=0,IFERROR(generateSalesData($D1500, IF(ISNUMBER(_xlfn.XLOOKUP($C1500,Phone_by_Sentiment!$B$2:$B$37,Phone_by_Sentiment!J$2:J$37,"",0,1)),_xlfn.XLOOKUP($C1500,Phone_by_Sentiment!$B$2:$B$37,Phone_by_Sentiment!J$2:J$37,"",0,1),0),$A1500-TEXT(DATEVALUE($D1500&amp;"-01"), "dd-mm-yyyy")),0),0)</f>
        <v>71</v>
      </c>
      <c r="K1500" cm="1">
        <f t="array" ref="K1500">IF($Q1500&gt;=0,IFERROR(generateSalesData($D1500, IF(ISNUMBER(_xlfn.XLOOKUP($C1500,Phone_by_Sentiment!$B$2:$B$37,Phone_by_Sentiment!K$2:K$37,"",0,1)),_xlfn.XLOOKUP($C1500,Phone_by_Sentiment!$B$2:$B$37,Phone_by_Sentiment!K$2:K$37,"",0,1),0),$A1500-TEXT(DATEVALUE($D1500&amp;"-01"), "dd-mm-yyyy")),0),0)</f>
        <v>-1</v>
      </c>
      <c r="L1500" cm="1">
        <f t="array" ref="L1500">IF($Q1500&gt;=0,IFERROR(generateSalesData($D1500, IF(ISNUMBER(_xlfn.XLOOKUP($C1500,Phone_by_Sentiment!$B$2:$B$37,Phone_by_Sentiment!L$2:L$37,"",0,1)),_xlfn.XLOOKUP($C1500,Phone_by_Sentiment!$B$2:$B$37,Phone_by_Sentiment!L$2:L$37,"",0,1),0),$A1500-TEXT(DATEVALUE($D1500&amp;"-01"), "dd-mm-yyyy")),0),0)</f>
        <v>21</v>
      </c>
      <c r="M1500" cm="1">
        <f t="array" ref="M1500">IF($Q1500&gt;=0,IFERROR(generateSalesData($D1500, IF(ISNUMBER(_xlfn.XLOOKUP($C1500,Phone_by_Sentiment!$B$2:$B$37,Phone_by_Sentiment!M$2:M$37,"",0,1)),_xlfn.XLOOKUP($C1500,Phone_by_Sentiment!$B$2:$B$37,Phone_by_Sentiment!M$2:M$37,"",0,1),0),$A1500-TEXT(DATEVALUE($D1500&amp;"-01"), "dd-mm-yyyy")),0),0)</f>
        <v>56</v>
      </c>
      <c r="N1500" cm="1">
        <f t="array" ref="N1500">IF($Q1500&gt;=0,IFERROR(generateSalesData($D1500, IF(ISNUMBER(_xlfn.XLOOKUP($C1500,Phone_by_Sentiment!$B$2:$B$37,Phone_by_Sentiment!N$2:N$37,"",0,1)),_xlfn.XLOOKUP($C1500,Phone_by_Sentiment!$B$2:$B$37,Phone_by_Sentiment!N$2:N$37,"",0,1),0),$A1500-TEXT(DATEVALUE($D1500&amp;"-01"), "dd-mm-yyyy")),0),0)</f>
        <v>14</v>
      </c>
      <c r="O1500" cm="1">
        <f t="array" ref="O1500">IF($Q1500&gt;=0,IFERROR(generateSalesData($D1500, IF(ISNUMBER(_xlfn.XLOOKUP($C1500,Phone_by_Sentiment!$B$2:$B$37,Phone_by_Sentiment!O$2:O$37,"",0,1)),_xlfn.XLOOKUP($C1500,Phone_by_Sentiment!$B$2:$B$37,Phone_by_Sentiment!O$2:O$37,"",0,1),0),$A1500-TEXT(DATEVALUE($D1500&amp;"-01"), "dd-mm-yyyy")),0),0)</f>
        <v>94</v>
      </c>
      <c r="P1500" s="1">
        <f t="shared" si="58"/>
        <v>43862</v>
      </c>
      <c r="Q1500">
        <f t="shared" si="60"/>
        <v>881</v>
      </c>
    </row>
    <row r="1501" spans="1:17" x14ac:dyDescent="0.25">
      <c r="A1501" s="1">
        <f t="shared" si="59"/>
        <v>44743</v>
      </c>
      <c r="B1501" t="s">
        <v>174</v>
      </c>
      <c r="C1501" t="str">
        <f>_xlfn.XLOOKUP(B1501,Phone_by_Price!$A$2:$A$34,Phone_by_Price!$B$2:$B$34,"-",0,1)</f>
        <v>Samsung Galaxy A7</v>
      </c>
      <c r="D1501" t="str">
        <f>_xlfn.XLOOKUP(C1501,Phone_by_Sentiment!$B$2:$B$37,Phone_by_Sentiment!$A$2:$A$37,"-",0,1)</f>
        <v>2018-10</v>
      </c>
      <c r="E1501" cm="1">
        <f t="array" ref="E1501">IF($Q1501&gt;=0,IFERROR(generateSalesData($D1501, IF(ISNUMBER(_xlfn.XLOOKUP($C1501,Phone_by_Sentiment!$B$2:$B$37,Phone_by_Sentiment!E$2:E$37,"",0,1)),_xlfn.XLOOKUP($C1501,Phone_by_Sentiment!$B$2:$B$37,Phone_by_Sentiment!E$2:E$37,"",0,1),0),$A1501-TEXT(DATEVALUE($D1501&amp;"-01"), "dd-mm-yyyy")),0),0)</f>
        <v>65</v>
      </c>
      <c r="F1501" cm="1">
        <f t="array" ref="F1501">IF($Q1501&gt;=0,IFERROR(generateSalesData($D1501, IF(ISNUMBER(_xlfn.XLOOKUP($C1501,Phone_by_Sentiment!$B$2:$B$37,Phone_by_Sentiment!F$2:F$37,"",0,1)),_xlfn.XLOOKUP($C1501,Phone_by_Sentiment!$B$2:$B$37,Phone_by_Sentiment!F$2:F$37,"",0,1),0),$A1501-TEXT(DATEVALUE($D1501&amp;"-01"), "dd-mm-yyyy")),0),0)</f>
        <v>63</v>
      </c>
      <c r="G1501" cm="1">
        <f t="array" ref="G1501">IF($Q1501&gt;=0,IFERROR(generateSalesData($D1501, IF(ISNUMBER(_xlfn.XLOOKUP($C1501,Phone_by_Sentiment!$B$2:$B$37,Phone_by_Sentiment!G$2:G$37,"",0,1)),_xlfn.XLOOKUP($C1501,Phone_by_Sentiment!$B$2:$B$37,Phone_by_Sentiment!G$2:G$37,"",0,1),0),$A1501-TEXT(DATEVALUE($D1501&amp;"-01"), "dd-mm-yyyy")),0),0)</f>
        <v>25</v>
      </c>
      <c r="H1501" cm="1">
        <f t="array" ref="H1501">IF($Q1501&gt;=0,IFERROR(generateSalesData($D1501, IF(ISNUMBER(_xlfn.XLOOKUP($C1501,Phone_by_Sentiment!$B$2:$B$37,Phone_by_Sentiment!H$2:H$37,"",0,1)),_xlfn.XLOOKUP($C1501,Phone_by_Sentiment!$B$2:$B$37,Phone_by_Sentiment!H$2:H$37,"",0,1),0),$A1501-TEXT(DATEVALUE($D1501&amp;"-01"), "dd-mm-yyyy")),0),0)</f>
        <v>187</v>
      </c>
      <c r="I1501" cm="1">
        <f t="array" ref="I1501">IF($Q1501&gt;=0,IFERROR(generateSalesData($D1501, IF(ISNUMBER(_xlfn.XLOOKUP($C1501,Phone_by_Sentiment!$B$2:$B$37,Phone_by_Sentiment!I$2:I$37,"",0,1)),_xlfn.XLOOKUP($C1501,Phone_by_Sentiment!$B$2:$B$37,Phone_by_Sentiment!I$2:I$37,"",0,1),0),$A1501-TEXT(DATEVALUE($D1501&amp;"-01"), "dd-mm-yyyy")),0),0)</f>
        <v>206</v>
      </c>
      <c r="J1501" cm="1">
        <f t="array" ref="J1501">IF($Q1501&gt;=0,IFERROR(generateSalesData($D1501, IF(ISNUMBER(_xlfn.XLOOKUP($C1501,Phone_by_Sentiment!$B$2:$B$37,Phone_by_Sentiment!J$2:J$37,"",0,1)),_xlfn.XLOOKUP($C1501,Phone_by_Sentiment!$B$2:$B$37,Phone_by_Sentiment!J$2:J$37,"",0,1),0),$A1501-TEXT(DATEVALUE($D1501&amp;"-01"), "dd-mm-yyyy")),0),0)</f>
        <v>21</v>
      </c>
      <c r="K1501" cm="1">
        <f t="array" ref="K1501">IF($Q1501&gt;=0,IFERROR(generateSalesData($D1501, IF(ISNUMBER(_xlfn.XLOOKUP($C1501,Phone_by_Sentiment!$B$2:$B$37,Phone_by_Sentiment!K$2:K$37,"",0,1)),_xlfn.XLOOKUP($C1501,Phone_by_Sentiment!$B$2:$B$37,Phone_by_Sentiment!K$2:K$37,"",0,1),0),$A1501-TEXT(DATEVALUE($D1501&amp;"-01"), "dd-mm-yyyy")),0),0)</f>
        <v>39</v>
      </c>
      <c r="L1501" cm="1">
        <f t="array" ref="L1501">IF($Q1501&gt;=0,IFERROR(generateSalesData($D1501, IF(ISNUMBER(_xlfn.XLOOKUP($C1501,Phone_by_Sentiment!$B$2:$B$37,Phone_by_Sentiment!L$2:L$37,"",0,1)),_xlfn.XLOOKUP($C1501,Phone_by_Sentiment!$B$2:$B$37,Phone_by_Sentiment!L$2:L$37,"",0,1),0),$A1501-TEXT(DATEVALUE($D1501&amp;"-01"), "dd-mm-yyyy")),0),0)</f>
        <v>62</v>
      </c>
      <c r="M1501" cm="1">
        <f t="array" ref="M1501">IF($Q1501&gt;=0,IFERROR(generateSalesData($D1501, IF(ISNUMBER(_xlfn.XLOOKUP($C1501,Phone_by_Sentiment!$B$2:$B$37,Phone_by_Sentiment!M$2:M$37,"",0,1)),_xlfn.XLOOKUP($C1501,Phone_by_Sentiment!$B$2:$B$37,Phone_by_Sentiment!M$2:M$37,"",0,1),0),$A1501-TEXT(DATEVALUE($D1501&amp;"-01"), "dd-mm-yyyy")),0),0)</f>
        <v>192</v>
      </c>
      <c r="N1501" cm="1">
        <f t="array" ref="N1501">IF($Q1501&gt;=0,IFERROR(generateSalesData($D1501, IF(ISNUMBER(_xlfn.XLOOKUP($C1501,Phone_by_Sentiment!$B$2:$B$37,Phone_by_Sentiment!N$2:N$37,"",0,1)),_xlfn.XLOOKUP($C1501,Phone_by_Sentiment!$B$2:$B$37,Phone_by_Sentiment!N$2:N$37,"",0,1),0),$A1501-TEXT(DATEVALUE($D1501&amp;"-01"), "dd-mm-yyyy")),0),0)</f>
        <v>67</v>
      </c>
      <c r="O1501" cm="1">
        <f t="array" ref="O1501">IF($Q1501&gt;=0,IFERROR(generateSalesData($D1501, IF(ISNUMBER(_xlfn.XLOOKUP($C1501,Phone_by_Sentiment!$B$2:$B$37,Phone_by_Sentiment!O$2:O$37,"",0,1)),_xlfn.XLOOKUP($C1501,Phone_by_Sentiment!$B$2:$B$37,Phone_by_Sentiment!O$2:O$37,"",0,1),0),$A1501-TEXT(DATEVALUE($D1501&amp;"-01"), "dd-mm-yyyy")),0),0)</f>
        <v>221</v>
      </c>
      <c r="P1501" s="1">
        <f t="shared" si="58"/>
        <v>43374</v>
      </c>
      <c r="Q1501">
        <f t="shared" si="60"/>
        <v>1369</v>
      </c>
    </row>
    <row r="1502" spans="1:17" x14ac:dyDescent="0.25">
      <c r="A1502" s="1">
        <f t="shared" si="59"/>
        <v>44743</v>
      </c>
      <c r="B1502" t="s">
        <v>142</v>
      </c>
      <c r="C1502" t="str">
        <f>_xlfn.XLOOKUP(B1502,Phone_by_Price!$A$2:$A$34,Phone_by_Price!$B$2:$B$34,"-",0,1)</f>
        <v>iPhone 11</v>
      </c>
      <c r="D1502" t="str">
        <f>_xlfn.XLOOKUP(C1502,Phone_by_Sentiment!$B$2:$B$37,Phone_by_Sentiment!$A$2:$A$37,"-",0,1)</f>
        <v>2019-09</v>
      </c>
      <c r="E1502" cm="1">
        <f t="array" ref="E1502">IF($Q1502&gt;=0,IFERROR(generateSalesData($D1502, IF(ISNUMBER(_xlfn.XLOOKUP($C1502,Phone_by_Sentiment!$B$2:$B$37,Phone_by_Sentiment!E$2:E$37,"",0,1)),_xlfn.XLOOKUP($C1502,Phone_by_Sentiment!$B$2:$B$37,Phone_by_Sentiment!E$2:E$37,"",0,1),0),$A1502-TEXT(DATEVALUE($D1502&amp;"-01"), "dd-mm-yyyy")),0),0)</f>
        <v>196</v>
      </c>
      <c r="F1502" cm="1">
        <f t="array" ref="F1502">IF($Q1502&gt;=0,IFERROR(generateSalesData($D1502, IF(ISNUMBER(_xlfn.XLOOKUP($C1502,Phone_by_Sentiment!$B$2:$B$37,Phone_by_Sentiment!F$2:F$37,"",0,1)),_xlfn.XLOOKUP($C1502,Phone_by_Sentiment!$B$2:$B$37,Phone_by_Sentiment!F$2:F$37,"",0,1),0),$A1502-TEXT(DATEVALUE($D1502&amp;"-01"), "dd-mm-yyyy")),0),0)</f>
        <v>170</v>
      </c>
      <c r="G1502" cm="1">
        <f t="array" ref="G1502">IF($Q1502&gt;=0,IFERROR(generateSalesData($D1502, IF(ISNUMBER(_xlfn.XLOOKUP($C1502,Phone_by_Sentiment!$B$2:$B$37,Phone_by_Sentiment!G$2:G$37,"",0,1)),_xlfn.XLOOKUP($C1502,Phone_by_Sentiment!$B$2:$B$37,Phone_by_Sentiment!G$2:G$37,"",0,1),0),$A1502-TEXT(DATEVALUE($D1502&amp;"-01"), "dd-mm-yyyy")),0),0)</f>
        <v>37</v>
      </c>
      <c r="H1502" cm="1">
        <f t="array" ref="H1502">IF($Q1502&gt;=0,IFERROR(generateSalesData($D1502, IF(ISNUMBER(_xlfn.XLOOKUP($C1502,Phone_by_Sentiment!$B$2:$B$37,Phone_by_Sentiment!H$2:H$37,"",0,1)),_xlfn.XLOOKUP($C1502,Phone_by_Sentiment!$B$2:$B$37,Phone_by_Sentiment!H$2:H$37,"",0,1),0),$A1502-TEXT(DATEVALUE($D1502&amp;"-01"), "dd-mm-yyyy")),0),0)</f>
        <v>286</v>
      </c>
      <c r="I1502" cm="1">
        <f t="array" ref="I1502">IF($Q1502&gt;=0,IFERROR(generateSalesData($D1502, IF(ISNUMBER(_xlfn.XLOOKUP($C1502,Phone_by_Sentiment!$B$2:$B$37,Phone_by_Sentiment!I$2:I$37,"",0,1)),_xlfn.XLOOKUP($C1502,Phone_by_Sentiment!$B$2:$B$37,Phone_by_Sentiment!I$2:I$37,"",0,1),0),$A1502-TEXT(DATEVALUE($D1502&amp;"-01"), "dd-mm-yyyy")),0),0)</f>
        <v>-23</v>
      </c>
      <c r="J1502" cm="1">
        <f t="array" ref="J1502">IF($Q1502&gt;=0,IFERROR(generateSalesData($D1502, IF(ISNUMBER(_xlfn.XLOOKUP($C1502,Phone_by_Sentiment!$B$2:$B$37,Phone_by_Sentiment!J$2:J$37,"",0,1)),_xlfn.XLOOKUP($C1502,Phone_by_Sentiment!$B$2:$B$37,Phone_by_Sentiment!J$2:J$37,"",0,1),0),$A1502-TEXT(DATEVALUE($D1502&amp;"-01"), "dd-mm-yyyy")),0),0)</f>
        <v>88</v>
      </c>
      <c r="K1502" cm="1">
        <f t="array" ref="K1502">IF($Q1502&gt;=0,IFERROR(generateSalesData($D1502, IF(ISNUMBER(_xlfn.XLOOKUP($C1502,Phone_by_Sentiment!$B$2:$B$37,Phone_by_Sentiment!K$2:K$37,"",0,1)),_xlfn.XLOOKUP($C1502,Phone_by_Sentiment!$B$2:$B$37,Phone_by_Sentiment!K$2:K$37,"",0,1),0),$A1502-TEXT(DATEVALUE($D1502&amp;"-01"), "dd-mm-yyyy")),0),0)</f>
        <v>51</v>
      </c>
      <c r="L1502" cm="1">
        <f t="array" ref="L1502">IF($Q1502&gt;=0,IFERROR(generateSalesData($D1502, IF(ISNUMBER(_xlfn.XLOOKUP($C1502,Phone_by_Sentiment!$B$2:$B$37,Phone_by_Sentiment!L$2:L$37,"",0,1)),_xlfn.XLOOKUP($C1502,Phone_by_Sentiment!$B$2:$B$37,Phone_by_Sentiment!L$2:L$37,"",0,1),0),$A1502-TEXT(DATEVALUE($D1502&amp;"-01"), "dd-mm-yyyy")),0),0)</f>
        <v>214</v>
      </c>
      <c r="M1502" cm="1">
        <f t="array" ref="M1502">IF($Q1502&gt;=0,IFERROR(generateSalesData($D1502, IF(ISNUMBER(_xlfn.XLOOKUP($C1502,Phone_by_Sentiment!$B$2:$B$37,Phone_by_Sentiment!M$2:M$37,"",0,1)),_xlfn.XLOOKUP($C1502,Phone_by_Sentiment!$B$2:$B$37,Phone_by_Sentiment!M$2:M$37,"",0,1),0),$A1502-TEXT(DATEVALUE($D1502&amp;"-01"), "dd-mm-yyyy")),0),0)</f>
        <v>421</v>
      </c>
      <c r="N1502" cm="1">
        <f t="array" ref="N1502">IF($Q1502&gt;=0,IFERROR(generateSalesData($D1502, IF(ISNUMBER(_xlfn.XLOOKUP($C1502,Phone_by_Sentiment!$B$2:$B$37,Phone_by_Sentiment!N$2:N$37,"",0,1)),_xlfn.XLOOKUP($C1502,Phone_by_Sentiment!$B$2:$B$37,Phone_by_Sentiment!N$2:N$37,"",0,1),0),$A1502-TEXT(DATEVALUE($D1502&amp;"-01"), "dd-mm-yyyy")),0),0)</f>
        <v>269</v>
      </c>
      <c r="O1502" cm="1">
        <f t="array" ref="O1502">IF($Q1502&gt;=0,IFERROR(generateSalesData($D1502, IF(ISNUMBER(_xlfn.XLOOKUP($C1502,Phone_by_Sentiment!$B$2:$B$37,Phone_by_Sentiment!O$2:O$37,"",0,1)),_xlfn.XLOOKUP($C1502,Phone_by_Sentiment!$B$2:$B$37,Phone_by_Sentiment!O$2:O$37,"",0,1),0),$A1502-TEXT(DATEVALUE($D1502&amp;"-01"), "dd-mm-yyyy")),0),0)</f>
        <v>93</v>
      </c>
      <c r="P1502" s="1">
        <f t="shared" si="58"/>
        <v>43709</v>
      </c>
      <c r="Q1502">
        <f t="shared" si="60"/>
        <v>1034</v>
      </c>
    </row>
    <row r="1503" spans="1:17" x14ac:dyDescent="0.25">
      <c r="A1503" s="1">
        <f t="shared" si="59"/>
        <v>44743</v>
      </c>
      <c r="B1503" t="s">
        <v>143</v>
      </c>
      <c r="C1503" t="str">
        <f>_xlfn.XLOOKUP(B1503,Phone_by_Price!$A$2:$A$34,Phone_by_Price!$B$2:$B$34,"-",0,1)</f>
        <v>Samsung Galaxy S20 Ultra</v>
      </c>
      <c r="D1503" t="str">
        <f>_xlfn.XLOOKUP(C1503,Phone_by_Sentiment!$B$2:$B$37,Phone_by_Sentiment!$A$2:$A$37,"-",0,1)</f>
        <v>2020-02</v>
      </c>
      <c r="E1503" cm="1">
        <f t="array" ref="E1503">IF($Q1503&gt;=0,IFERROR(generateSalesData($D1503, IF(ISNUMBER(_xlfn.XLOOKUP($C1503,Phone_by_Sentiment!$B$2:$B$37,Phone_by_Sentiment!E$2:E$37,"",0,1)),_xlfn.XLOOKUP($C1503,Phone_by_Sentiment!$B$2:$B$37,Phone_by_Sentiment!E$2:E$37,"",0,1),0),$A1503-TEXT(DATEVALUE($D1503&amp;"-01"), "dd-mm-yyyy")),0),0)</f>
        <v>190</v>
      </c>
      <c r="F1503" cm="1">
        <f t="array" ref="F1503">IF($Q1503&gt;=0,IFERROR(generateSalesData($D1503, IF(ISNUMBER(_xlfn.XLOOKUP($C1503,Phone_by_Sentiment!$B$2:$B$37,Phone_by_Sentiment!F$2:F$37,"",0,1)),_xlfn.XLOOKUP($C1503,Phone_by_Sentiment!$B$2:$B$37,Phone_by_Sentiment!F$2:F$37,"",0,1),0),$A1503-TEXT(DATEVALUE($D1503&amp;"-01"), "dd-mm-yyyy")),0),0)</f>
        <v>401</v>
      </c>
      <c r="G1503" cm="1">
        <f t="array" ref="G1503">IF($Q1503&gt;=0,IFERROR(generateSalesData($D1503, IF(ISNUMBER(_xlfn.XLOOKUP($C1503,Phone_by_Sentiment!$B$2:$B$37,Phone_by_Sentiment!G$2:G$37,"",0,1)),_xlfn.XLOOKUP($C1503,Phone_by_Sentiment!$B$2:$B$37,Phone_by_Sentiment!G$2:G$37,"",0,1),0),$A1503-TEXT(DATEVALUE($D1503&amp;"-01"), "dd-mm-yyyy")),0),0)</f>
        <v>15</v>
      </c>
      <c r="H1503" cm="1">
        <f t="array" ref="H1503">IF($Q1503&gt;=0,IFERROR(generateSalesData($D1503, IF(ISNUMBER(_xlfn.XLOOKUP($C1503,Phone_by_Sentiment!$B$2:$B$37,Phone_by_Sentiment!H$2:H$37,"",0,1)),_xlfn.XLOOKUP($C1503,Phone_by_Sentiment!$B$2:$B$37,Phone_by_Sentiment!H$2:H$37,"",0,1),0),$A1503-TEXT(DATEVALUE($D1503&amp;"-01"), "dd-mm-yyyy")),0),0)</f>
        <v>437</v>
      </c>
      <c r="I1503" cm="1">
        <f t="array" ref="I1503">IF($Q1503&gt;=0,IFERROR(generateSalesData($D1503, IF(ISNUMBER(_xlfn.XLOOKUP($C1503,Phone_by_Sentiment!$B$2:$B$37,Phone_by_Sentiment!I$2:I$37,"",0,1)),_xlfn.XLOOKUP($C1503,Phone_by_Sentiment!$B$2:$B$37,Phone_by_Sentiment!I$2:I$37,"",0,1),0),$A1503-TEXT(DATEVALUE($D1503&amp;"-01"), "dd-mm-yyyy")),0),0)</f>
        <v>224</v>
      </c>
      <c r="J1503" cm="1">
        <f t="array" ref="J1503">IF($Q1503&gt;=0,IFERROR(generateSalesData($D1503, IF(ISNUMBER(_xlfn.XLOOKUP($C1503,Phone_by_Sentiment!$B$2:$B$37,Phone_by_Sentiment!J$2:J$37,"",0,1)),_xlfn.XLOOKUP($C1503,Phone_by_Sentiment!$B$2:$B$37,Phone_by_Sentiment!J$2:J$37,"",0,1),0),$A1503-TEXT(DATEVALUE($D1503&amp;"-01"), "dd-mm-yyyy")),0),0)</f>
        <v>333</v>
      </c>
      <c r="K1503" cm="1">
        <f t="array" ref="K1503">IF($Q1503&gt;=0,IFERROR(generateSalesData($D1503, IF(ISNUMBER(_xlfn.XLOOKUP($C1503,Phone_by_Sentiment!$B$2:$B$37,Phone_by_Sentiment!K$2:K$37,"",0,1)),_xlfn.XLOOKUP($C1503,Phone_by_Sentiment!$B$2:$B$37,Phone_by_Sentiment!K$2:K$37,"",0,1),0),$A1503-TEXT(DATEVALUE($D1503&amp;"-01"), "dd-mm-yyyy")),0),0)</f>
        <v>-3</v>
      </c>
      <c r="L1503" cm="1">
        <f t="array" ref="L1503">IF($Q1503&gt;=0,IFERROR(generateSalesData($D1503, IF(ISNUMBER(_xlfn.XLOOKUP($C1503,Phone_by_Sentiment!$B$2:$B$37,Phone_by_Sentiment!L$2:L$37,"",0,1)),_xlfn.XLOOKUP($C1503,Phone_by_Sentiment!$B$2:$B$37,Phone_by_Sentiment!L$2:L$37,"",0,1),0),$A1503-TEXT(DATEVALUE($D1503&amp;"-01"), "dd-mm-yyyy")),0),0)</f>
        <v>470</v>
      </c>
      <c r="M1503" cm="1">
        <f t="array" ref="M1503">IF($Q1503&gt;=0,IFERROR(generateSalesData($D1503, IF(ISNUMBER(_xlfn.XLOOKUP($C1503,Phone_by_Sentiment!$B$2:$B$37,Phone_by_Sentiment!M$2:M$37,"",0,1)),_xlfn.XLOOKUP($C1503,Phone_by_Sentiment!$B$2:$B$37,Phone_by_Sentiment!M$2:M$37,"",0,1),0),$A1503-TEXT(DATEVALUE($D1503&amp;"-01"), "dd-mm-yyyy")),0),0)</f>
        <v>355</v>
      </c>
      <c r="N1503" cm="1">
        <f t="array" ref="N1503">IF($Q1503&gt;=0,IFERROR(generateSalesData($D1503, IF(ISNUMBER(_xlfn.XLOOKUP($C1503,Phone_by_Sentiment!$B$2:$B$37,Phone_by_Sentiment!N$2:N$37,"",0,1)),_xlfn.XLOOKUP($C1503,Phone_by_Sentiment!$B$2:$B$37,Phone_by_Sentiment!N$2:N$37,"",0,1),0),$A1503-TEXT(DATEVALUE($D1503&amp;"-01"), "dd-mm-yyyy")),0),0)</f>
        <v>185</v>
      </c>
      <c r="O1503" cm="1">
        <f t="array" ref="O1503">IF($Q1503&gt;=0,IFERROR(generateSalesData($D1503, IF(ISNUMBER(_xlfn.XLOOKUP($C1503,Phone_by_Sentiment!$B$2:$B$37,Phone_by_Sentiment!O$2:O$37,"",0,1)),_xlfn.XLOOKUP($C1503,Phone_by_Sentiment!$B$2:$B$37,Phone_by_Sentiment!O$2:O$37,"",0,1),0),$A1503-TEXT(DATEVALUE($D1503&amp;"-01"), "dd-mm-yyyy")),0),0)</f>
        <v>177</v>
      </c>
      <c r="P1503" s="1">
        <f t="shared" si="58"/>
        <v>43862</v>
      </c>
      <c r="Q1503">
        <f t="shared" si="60"/>
        <v>881</v>
      </c>
    </row>
    <row r="1504" spans="1:17" x14ac:dyDescent="0.25">
      <c r="A1504" s="1">
        <f t="shared" si="59"/>
        <v>44743</v>
      </c>
      <c r="B1504" t="s">
        <v>144</v>
      </c>
      <c r="C1504" t="str">
        <f>_xlfn.XLOOKUP(B1504,Phone_by_Price!$A$2:$A$34,Phone_by_Price!$B$2:$B$34,"-",0,1)</f>
        <v>Xiaomi Redmi Note 10</v>
      </c>
      <c r="D1504" t="str">
        <f>_xlfn.XLOOKUP(C1504,Phone_by_Sentiment!$B$2:$B$37,Phone_by_Sentiment!$A$2:$A$37,"-",0,1)</f>
        <v>2021-03</v>
      </c>
      <c r="E1504" cm="1">
        <f t="array" ref="E1504">IF($Q1504&gt;=0,IFERROR(generateSalesData($D1504, IF(ISNUMBER(_xlfn.XLOOKUP($C1504,Phone_by_Sentiment!$B$2:$B$37,Phone_by_Sentiment!E$2:E$37,"",0,1)),_xlfn.XLOOKUP($C1504,Phone_by_Sentiment!$B$2:$B$37,Phone_by_Sentiment!E$2:E$37,"",0,1),0),$A1504-TEXT(DATEVALUE($D1504&amp;"-01"), "dd-mm-yyyy")),0),0)</f>
        <v>763</v>
      </c>
      <c r="F1504" cm="1">
        <f t="array" ref="F1504">IF($Q1504&gt;=0,IFERROR(generateSalesData($D1504, IF(ISNUMBER(_xlfn.XLOOKUP($C1504,Phone_by_Sentiment!$B$2:$B$37,Phone_by_Sentiment!F$2:F$37,"",0,1)),_xlfn.XLOOKUP($C1504,Phone_by_Sentiment!$B$2:$B$37,Phone_by_Sentiment!F$2:F$37,"",0,1),0),$A1504-TEXT(DATEVALUE($D1504&amp;"-01"), "dd-mm-yyyy")),0),0)</f>
        <v>175</v>
      </c>
      <c r="G1504" cm="1">
        <f t="array" ref="G1504">IF($Q1504&gt;=0,IFERROR(generateSalesData($D1504, IF(ISNUMBER(_xlfn.XLOOKUP($C1504,Phone_by_Sentiment!$B$2:$B$37,Phone_by_Sentiment!G$2:G$37,"",0,1)),_xlfn.XLOOKUP($C1504,Phone_by_Sentiment!$B$2:$B$37,Phone_by_Sentiment!G$2:G$37,"",0,1),0),$A1504-TEXT(DATEVALUE($D1504&amp;"-01"), "dd-mm-yyyy")),0),0)</f>
        <v>74</v>
      </c>
      <c r="H1504" cm="1">
        <f t="array" ref="H1504">IF($Q1504&gt;=0,IFERROR(generateSalesData($D1504, IF(ISNUMBER(_xlfn.XLOOKUP($C1504,Phone_by_Sentiment!$B$2:$B$37,Phone_by_Sentiment!H$2:H$37,"",0,1)),_xlfn.XLOOKUP($C1504,Phone_by_Sentiment!$B$2:$B$37,Phone_by_Sentiment!H$2:H$37,"",0,1),0),$A1504-TEXT(DATEVALUE($D1504&amp;"-01"), "dd-mm-yyyy")),0),0)</f>
        <v>173</v>
      </c>
      <c r="I1504" cm="1">
        <f t="array" ref="I1504">IF($Q1504&gt;=0,IFERROR(generateSalesData($D1504, IF(ISNUMBER(_xlfn.XLOOKUP($C1504,Phone_by_Sentiment!$B$2:$B$37,Phone_by_Sentiment!I$2:I$37,"",0,1)),_xlfn.XLOOKUP($C1504,Phone_by_Sentiment!$B$2:$B$37,Phone_by_Sentiment!I$2:I$37,"",0,1),0),$A1504-TEXT(DATEVALUE($D1504&amp;"-01"), "dd-mm-yyyy")),0),0)</f>
        <v>627</v>
      </c>
      <c r="J1504" cm="1">
        <f t="array" ref="J1504">IF($Q1504&gt;=0,IFERROR(generateSalesData($D1504, IF(ISNUMBER(_xlfn.XLOOKUP($C1504,Phone_by_Sentiment!$B$2:$B$37,Phone_by_Sentiment!J$2:J$37,"",0,1)),_xlfn.XLOOKUP($C1504,Phone_by_Sentiment!$B$2:$B$37,Phone_by_Sentiment!J$2:J$37,"",0,1),0),$A1504-TEXT(DATEVALUE($D1504&amp;"-01"), "dd-mm-yyyy")),0),0)</f>
        <v>601</v>
      </c>
      <c r="K1504" cm="1">
        <f t="array" ref="K1504">IF($Q1504&gt;=0,IFERROR(generateSalesData($D1504, IF(ISNUMBER(_xlfn.XLOOKUP($C1504,Phone_by_Sentiment!$B$2:$B$37,Phone_by_Sentiment!K$2:K$37,"",0,1)),_xlfn.XLOOKUP($C1504,Phone_by_Sentiment!$B$2:$B$37,Phone_by_Sentiment!K$2:K$37,"",0,1),0),$A1504-TEXT(DATEVALUE($D1504&amp;"-01"), "dd-mm-yyyy")),0),0)</f>
        <v>792</v>
      </c>
      <c r="L1504" cm="1">
        <f t="array" ref="L1504">IF($Q1504&gt;=0,IFERROR(generateSalesData($D1504, IF(ISNUMBER(_xlfn.XLOOKUP($C1504,Phone_by_Sentiment!$B$2:$B$37,Phone_by_Sentiment!L$2:L$37,"",0,1)),_xlfn.XLOOKUP($C1504,Phone_by_Sentiment!$B$2:$B$37,Phone_by_Sentiment!L$2:L$37,"",0,1),0),$A1504-TEXT(DATEVALUE($D1504&amp;"-01"), "dd-mm-yyyy")),0),0)</f>
        <v>396</v>
      </c>
      <c r="M1504" cm="1">
        <f t="array" ref="M1504">IF($Q1504&gt;=0,IFERROR(generateSalesData($D1504, IF(ISNUMBER(_xlfn.XLOOKUP($C1504,Phone_by_Sentiment!$B$2:$B$37,Phone_by_Sentiment!M$2:M$37,"",0,1)),_xlfn.XLOOKUP($C1504,Phone_by_Sentiment!$B$2:$B$37,Phone_by_Sentiment!M$2:M$37,"",0,1),0),$A1504-TEXT(DATEVALUE($D1504&amp;"-01"), "dd-mm-yyyy")),0),0)</f>
        <v>100</v>
      </c>
      <c r="N1504" cm="1">
        <f t="array" ref="N1504">IF($Q1504&gt;=0,IFERROR(generateSalesData($D1504, IF(ISNUMBER(_xlfn.XLOOKUP($C1504,Phone_by_Sentiment!$B$2:$B$37,Phone_by_Sentiment!N$2:N$37,"",0,1)),_xlfn.XLOOKUP($C1504,Phone_by_Sentiment!$B$2:$B$37,Phone_by_Sentiment!N$2:N$37,"",0,1),0),$A1504-TEXT(DATEVALUE($D1504&amp;"-01"), "dd-mm-yyyy")),0),0)</f>
        <v>205</v>
      </c>
      <c r="O1504" cm="1">
        <f t="array" ref="O1504">IF($Q1504&gt;=0,IFERROR(generateSalesData($D1504, IF(ISNUMBER(_xlfn.XLOOKUP($C1504,Phone_by_Sentiment!$B$2:$B$37,Phone_by_Sentiment!O$2:O$37,"",0,1)),_xlfn.XLOOKUP($C1504,Phone_by_Sentiment!$B$2:$B$37,Phone_by_Sentiment!O$2:O$37,"",0,1),0),$A1504-TEXT(DATEVALUE($D1504&amp;"-01"), "dd-mm-yyyy")),0),0)</f>
        <v>317</v>
      </c>
      <c r="P1504" s="1">
        <f t="shared" si="58"/>
        <v>44256</v>
      </c>
      <c r="Q1504">
        <f t="shared" si="60"/>
        <v>487</v>
      </c>
    </row>
    <row r="1505" spans="1:17" x14ac:dyDescent="0.25">
      <c r="A1505" s="1">
        <f t="shared" si="59"/>
        <v>44743</v>
      </c>
      <c r="B1505" t="s">
        <v>145</v>
      </c>
      <c r="C1505" t="str">
        <f>_xlfn.XLOOKUP(B1505,Phone_by_Price!$A$2:$A$34,Phone_by_Price!$B$2:$B$34,"-",0,1)</f>
        <v>OPPO A54</v>
      </c>
      <c r="D1505" t="str">
        <f>_xlfn.XLOOKUP(C1505,Phone_by_Sentiment!$B$2:$B$37,Phone_by_Sentiment!$A$2:$A$37,"-",0,1)</f>
        <v>2021-04</v>
      </c>
      <c r="E1505" cm="1">
        <f t="array" ref="E1505">IF($Q1505&gt;=0,IFERROR(generateSalesData($D1505, IF(ISNUMBER(_xlfn.XLOOKUP($C1505,Phone_by_Sentiment!$B$2:$B$37,Phone_by_Sentiment!E$2:E$37,"",0,1)),_xlfn.XLOOKUP($C1505,Phone_by_Sentiment!$B$2:$B$37,Phone_by_Sentiment!E$2:E$37,"",0,1),0),$A1505-TEXT(DATEVALUE($D1505&amp;"-01"), "dd-mm-yyyy")),0),0)</f>
        <v>574</v>
      </c>
      <c r="F1505" cm="1">
        <f t="array" ref="F1505">IF($Q1505&gt;=0,IFERROR(generateSalesData($D1505, IF(ISNUMBER(_xlfn.XLOOKUP($C1505,Phone_by_Sentiment!$B$2:$B$37,Phone_by_Sentiment!F$2:F$37,"",0,1)),_xlfn.XLOOKUP($C1505,Phone_by_Sentiment!$B$2:$B$37,Phone_by_Sentiment!F$2:F$37,"",0,1),0),$A1505-TEXT(DATEVALUE($D1505&amp;"-01"), "dd-mm-yyyy")),0),0)</f>
        <v>161</v>
      </c>
      <c r="G1505" cm="1">
        <f t="array" ref="G1505">IF($Q1505&gt;=0,IFERROR(generateSalesData($D1505, IF(ISNUMBER(_xlfn.XLOOKUP($C1505,Phone_by_Sentiment!$B$2:$B$37,Phone_by_Sentiment!G$2:G$37,"",0,1)),_xlfn.XLOOKUP($C1505,Phone_by_Sentiment!$B$2:$B$37,Phone_by_Sentiment!G$2:G$37,"",0,1),0),$A1505-TEXT(DATEVALUE($D1505&amp;"-01"), "dd-mm-yyyy")),0),0)</f>
        <v>132</v>
      </c>
      <c r="H1505" cm="1">
        <f t="array" ref="H1505">IF($Q1505&gt;=0,IFERROR(generateSalesData($D1505, IF(ISNUMBER(_xlfn.XLOOKUP($C1505,Phone_by_Sentiment!$B$2:$B$37,Phone_by_Sentiment!H$2:H$37,"",0,1)),_xlfn.XLOOKUP($C1505,Phone_by_Sentiment!$B$2:$B$37,Phone_by_Sentiment!H$2:H$37,"",0,1),0),$A1505-TEXT(DATEVALUE($D1505&amp;"-01"), "dd-mm-yyyy")),0),0)</f>
        <v>370</v>
      </c>
      <c r="I1505" cm="1">
        <f t="array" ref="I1505">IF($Q1505&gt;=0,IFERROR(generateSalesData($D1505, IF(ISNUMBER(_xlfn.XLOOKUP($C1505,Phone_by_Sentiment!$B$2:$B$37,Phone_by_Sentiment!I$2:I$37,"",0,1)),_xlfn.XLOOKUP($C1505,Phone_by_Sentiment!$B$2:$B$37,Phone_by_Sentiment!I$2:I$37,"",0,1),0),$A1505-TEXT(DATEVALUE($D1505&amp;"-01"), "dd-mm-yyyy")),0),0)</f>
        <v>456</v>
      </c>
      <c r="J1505" cm="1">
        <f t="array" ref="J1505">IF($Q1505&gt;=0,IFERROR(generateSalesData($D1505, IF(ISNUMBER(_xlfn.XLOOKUP($C1505,Phone_by_Sentiment!$B$2:$B$37,Phone_by_Sentiment!J$2:J$37,"",0,1)),_xlfn.XLOOKUP($C1505,Phone_by_Sentiment!$B$2:$B$37,Phone_by_Sentiment!J$2:J$37,"",0,1),0),$A1505-TEXT(DATEVALUE($D1505&amp;"-01"), "dd-mm-yyyy")),0),0)</f>
        <v>4</v>
      </c>
      <c r="K1505" cm="1">
        <f t="array" ref="K1505">IF($Q1505&gt;=0,IFERROR(generateSalesData($D1505, IF(ISNUMBER(_xlfn.XLOOKUP($C1505,Phone_by_Sentiment!$B$2:$B$37,Phone_by_Sentiment!K$2:K$37,"",0,1)),_xlfn.XLOOKUP($C1505,Phone_by_Sentiment!$B$2:$B$37,Phone_by_Sentiment!K$2:K$37,"",0,1),0),$A1505-TEXT(DATEVALUE($D1505&amp;"-01"), "dd-mm-yyyy")),0),0)</f>
        <v>184</v>
      </c>
      <c r="L1505" cm="1">
        <f t="array" ref="L1505">IF($Q1505&gt;=0,IFERROR(generateSalesData($D1505, IF(ISNUMBER(_xlfn.XLOOKUP($C1505,Phone_by_Sentiment!$B$2:$B$37,Phone_by_Sentiment!L$2:L$37,"",0,1)),_xlfn.XLOOKUP($C1505,Phone_by_Sentiment!$B$2:$B$37,Phone_by_Sentiment!L$2:L$37,"",0,1),0),$A1505-TEXT(DATEVALUE($D1505&amp;"-01"), "dd-mm-yyyy")),0),0)</f>
        <v>360</v>
      </c>
      <c r="M1505" cm="1">
        <f t="array" ref="M1505">IF($Q1505&gt;=0,IFERROR(generateSalesData($D1505, IF(ISNUMBER(_xlfn.XLOOKUP($C1505,Phone_by_Sentiment!$B$2:$B$37,Phone_by_Sentiment!M$2:M$37,"",0,1)),_xlfn.XLOOKUP($C1505,Phone_by_Sentiment!$B$2:$B$37,Phone_by_Sentiment!M$2:M$37,"",0,1),0),$A1505-TEXT(DATEVALUE($D1505&amp;"-01"), "dd-mm-yyyy")),0),0)</f>
        <v>137</v>
      </c>
      <c r="N1505" cm="1">
        <f t="array" ref="N1505">IF($Q1505&gt;=0,IFERROR(generateSalesData($D1505, IF(ISNUMBER(_xlfn.XLOOKUP($C1505,Phone_by_Sentiment!$B$2:$B$37,Phone_by_Sentiment!N$2:N$37,"",0,1)),_xlfn.XLOOKUP($C1505,Phone_by_Sentiment!$B$2:$B$37,Phone_by_Sentiment!N$2:N$37,"",0,1),0),$A1505-TEXT(DATEVALUE($D1505&amp;"-01"), "dd-mm-yyyy")),0),0)</f>
        <v>409</v>
      </c>
      <c r="O1505" cm="1">
        <f t="array" ref="O1505">IF($Q1505&gt;=0,IFERROR(generateSalesData($D1505, IF(ISNUMBER(_xlfn.XLOOKUP($C1505,Phone_by_Sentiment!$B$2:$B$37,Phone_by_Sentiment!O$2:O$37,"",0,1)),_xlfn.XLOOKUP($C1505,Phone_by_Sentiment!$B$2:$B$37,Phone_by_Sentiment!O$2:O$37,"",0,1),0),$A1505-TEXT(DATEVALUE($D1505&amp;"-01"), "dd-mm-yyyy")),0),0)</f>
        <v>130</v>
      </c>
      <c r="P1505" s="1">
        <f t="shared" si="58"/>
        <v>44287</v>
      </c>
      <c r="Q1505">
        <f t="shared" si="60"/>
        <v>456</v>
      </c>
    </row>
    <row r="1506" spans="1:17" x14ac:dyDescent="0.25">
      <c r="A1506" s="1">
        <f t="shared" si="59"/>
        <v>44774</v>
      </c>
      <c r="B1506" t="s">
        <v>144</v>
      </c>
      <c r="C1506" t="str">
        <f>_xlfn.XLOOKUP(B1506,Phone_by_Price!$A$2:$A$34,Phone_by_Price!$B$2:$B$34,"-",0,1)</f>
        <v>Xiaomi Redmi Note 10</v>
      </c>
      <c r="D1506" t="str">
        <f>_xlfn.XLOOKUP(C1506,Phone_by_Sentiment!$B$2:$B$37,Phone_by_Sentiment!$A$2:$A$37,"-",0,1)</f>
        <v>2021-03</v>
      </c>
      <c r="E1506" cm="1">
        <f t="array" ref="E1506">IF($Q1506&gt;=0,IFERROR(generateSalesData($D1506, IF(ISNUMBER(_xlfn.XLOOKUP($C1506,Phone_by_Sentiment!$B$2:$B$37,Phone_by_Sentiment!E$2:E$37,"",0,1)),_xlfn.XLOOKUP($C1506,Phone_by_Sentiment!$B$2:$B$37,Phone_by_Sentiment!E$2:E$37,"",0,1),0),$A1506-TEXT(DATEVALUE($D1506&amp;"-01"), "dd-mm-yyyy")),0),0)</f>
        <v>303</v>
      </c>
      <c r="F1506" cm="1">
        <f t="array" ref="F1506">IF($Q1506&gt;=0,IFERROR(generateSalesData($D1506, IF(ISNUMBER(_xlfn.XLOOKUP($C1506,Phone_by_Sentiment!$B$2:$B$37,Phone_by_Sentiment!F$2:F$37,"",0,1)),_xlfn.XLOOKUP($C1506,Phone_by_Sentiment!$B$2:$B$37,Phone_by_Sentiment!F$2:F$37,"",0,1),0),$A1506-TEXT(DATEVALUE($D1506&amp;"-01"), "dd-mm-yyyy")),0),0)</f>
        <v>57</v>
      </c>
      <c r="G1506" cm="1">
        <f t="array" ref="G1506">IF($Q1506&gt;=0,IFERROR(generateSalesData($D1506, IF(ISNUMBER(_xlfn.XLOOKUP($C1506,Phone_by_Sentiment!$B$2:$B$37,Phone_by_Sentiment!G$2:G$37,"",0,1)),_xlfn.XLOOKUP($C1506,Phone_by_Sentiment!$B$2:$B$37,Phone_by_Sentiment!G$2:G$37,"",0,1),0),$A1506-TEXT(DATEVALUE($D1506&amp;"-01"), "dd-mm-yyyy")),0),0)</f>
        <v>134</v>
      </c>
      <c r="H1506" cm="1">
        <f t="array" ref="H1506">IF($Q1506&gt;=0,IFERROR(generateSalesData($D1506, IF(ISNUMBER(_xlfn.XLOOKUP($C1506,Phone_by_Sentiment!$B$2:$B$37,Phone_by_Sentiment!H$2:H$37,"",0,1)),_xlfn.XLOOKUP($C1506,Phone_by_Sentiment!$B$2:$B$37,Phone_by_Sentiment!H$2:H$37,"",0,1),0),$A1506-TEXT(DATEVALUE($D1506&amp;"-01"), "dd-mm-yyyy")),0),0)</f>
        <v>410</v>
      </c>
      <c r="I1506" cm="1">
        <f t="array" ref="I1506">IF($Q1506&gt;=0,IFERROR(generateSalesData($D1506, IF(ISNUMBER(_xlfn.XLOOKUP($C1506,Phone_by_Sentiment!$B$2:$B$37,Phone_by_Sentiment!I$2:I$37,"",0,1)),_xlfn.XLOOKUP($C1506,Phone_by_Sentiment!$B$2:$B$37,Phone_by_Sentiment!I$2:I$37,"",0,1),0),$A1506-TEXT(DATEVALUE($D1506&amp;"-01"), "dd-mm-yyyy")),0),0)</f>
        <v>570</v>
      </c>
      <c r="J1506" cm="1">
        <f t="array" ref="J1506">IF($Q1506&gt;=0,IFERROR(generateSalesData($D1506, IF(ISNUMBER(_xlfn.XLOOKUP($C1506,Phone_by_Sentiment!$B$2:$B$37,Phone_by_Sentiment!J$2:J$37,"",0,1)),_xlfn.XLOOKUP($C1506,Phone_by_Sentiment!$B$2:$B$37,Phone_by_Sentiment!J$2:J$37,"",0,1),0),$A1506-TEXT(DATEVALUE($D1506&amp;"-01"), "dd-mm-yyyy")),0),0)</f>
        <v>582</v>
      </c>
      <c r="K1506" cm="1">
        <f t="array" ref="K1506">IF($Q1506&gt;=0,IFERROR(generateSalesData($D1506, IF(ISNUMBER(_xlfn.XLOOKUP($C1506,Phone_by_Sentiment!$B$2:$B$37,Phone_by_Sentiment!K$2:K$37,"",0,1)),_xlfn.XLOOKUP($C1506,Phone_by_Sentiment!$B$2:$B$37,Phone_by_Sentiment!K$2:K$37,"",0,1),0),$A1506-TEXT(DATEVALUE($D1506&amp;"-01"), "dd-mm-yyyy")),0),0)</f>
        <v>579</v>
      </c>
      <c r="L1506" cm="1">
        <f t="array" ref="L1506">IF($Q1506&gt;=0,IFERROR(generateSalesData($D1506, IF(ISNUMBER(_xlfn.XLOOKUP($C1506,Phone_by_Sentiment!$B$2:$B$37,Phone_by_Sentiment!L$2:L$37,"",0,1)),_xlfn.XLOOKUP($C1506,Phone_by_Sentiment!$B$2:$B$37,Phone_by_Sentiment!L$2:L$37,"",0,1),0),$A1506-TEXT(DATEVALUE($D1506&amp;"-01"), "dd-mm-yyyy")),0),0)</f>
        <v>595</v>
      </c>
      <c r="M1506" cm="1">
        <f t="array" ref="M1506">IF($Q1506&gt;=0,IFERROR(generateSalesData($D1506, IF(ISNUMBER(_xlfn.XLOOKUP($C1506,Phone_by_Sentiment!$B$2:$B$37,Phone_by_Sentiment!M$2:M$37,"",0,1)),_xlfn.XLOOKUP($C1506,Phone_by_Sentiment!$B$2:$B$37,Phone_by_Sentiment!M$2:M$37,"",0,1),0),$A1506-TEXT(DATEVALUE($D1506&amp;"-01"), "dd-mm-yyyy")),0),0)</f>
        <v>22</v>
      </c>
      <c r="N1506" cm="1">
        <f t="array" ref="N1506">IF($Q1506&gt;=0,IFERROR(generateSalesData($D1506, IF(ISNUMBER(_xlfn.XLOOKUP($C1506,Phone_by_Sentiment!$B$2:$B$37,Phone_by_Sentiment!N$2:N$37,"",0,1)),_xlfn.XLOOKUP($C1506,Phone_by_Sentiment!$B$2:$B$37,Phone_by_Sentiment!N$2:N$37,"",0,1),0),$A1506-TEXT(DATEVALUE($D1506&amp;"-01"), "dd-mm-yyyy")),0),0)</f>
        <v>369</v>
      </c>
      <c r="O1506" cm="1">
        <f t="array" ref="O1506">IF($Q1506&gt;=0,IFERROR(generateSalesData($D1506, IF(ISNUMBER(_xlfn.XLOOKUP($C1506,Phone_by_Sentiment!$B$2:$B$37,Phone_by_Sentiment!O$2:O$37,"",0,1)),_xlfn.XLOOKUP($C1506,Phone_by_Sentiment!$B$2:$B$37,Phone_by_Sentiment!O$2:O$37,"",0,1),0),$A1506-TEXT(DATEVALUE($D1506&amp;"-01"), "dd-mm-yyyy")),0),0)</f>
        <v>490</v>
      </c>
      <c r="P1506" s="1">
        <f t="shared" si="58"/>
        <v>44256</v>
      </c>
      <c r="Q1506">
        <f t="shared" si="60"/>
        <v>518</v>
      </c>
    </row>
    <row r="1507" spans="1:17" x14ac:dyDescent="0.25">
      <c r="A1507" s="1">
        <f t="shared" si="59"/>
        <v>44774</v>
      </c>
      <c r="B1507" t="s">
        <v>145</v>
      </c>
      <c r="C1507" t="str">
        <f>_xlfn.XLOOKUP(B1507,Phone_by_Price!$A$2:$A$34,Phone_by_Price!$B$2:$B$34,"-",0,1)</f>
        <v>OPPO A54</v>
      </c>
      <c r="D1507" t="str">
        <f>_xlfn.XLOOKUP(C1507,Phone_by_Sentiment!$B$2:$B$37,Phone_by_Sentiment!$A$2:$A$37,"-",0,1)</f>
        <v>2021-04</v>
      </c>
      <c r="E1507" cm="1">
        <f t="array" ref="E1507">IF($Q1507&gt;=0,IFERROR(generateSalesData($D1507, IF(ISNUMBER(_xlfn.XLOOKUP($C1507,Phone_by_Sentiment!$B$2:$B$37,Phone_by_Sentiment!E$2:E$37,"",0,1)),_xlfn.XLOOKUP($C1507,Phone_by_Sentiment!$B$2:$B$37,Phone_by_Sentiment!E$2:E$37,"",0,1),0),$A1507-TEXT(DATEVALUE($D1507&amp;"-01"), "dd-mm-yyyy")),0),0)</f>
        <v>422</v>
      </c>
      <c r="F1507" cm="1">
        <f t="array" ref="F1507">IF($Q1507&gt;=0,IFERROR(generateSalesData($D1507, IF(ISNUMBER(_xlfn.XLOOKUP($C1507,Phone_by_Sentiment!$B$2:$B$37,Phone_by_Sentiment!F$2:F$37,"",0,1)),_xlfn.XLOOKUP($C1507,Phone_by_Sentiment!$B$2:$B$37,Phone_by_Sentiment!F$2:F$37,"",0,1),0),$A1507-TEXT(DATEVALUE($D1507&amp;"-01"), "dd-mm-yyyy")),0),0)</f>
        <v>89</v>
      </c>
      <c r="G1507" cm="1">
        <f t="array" ref="G1507">IF($Q1507&gt;=0,IFERROR(generateSalesData($D1507, IF(ISNUMBER(_xlfn.XLOOKUP($C1507,Phone_by_Sentiment!$B$2:$B$37,Phone_by_Sentiment!G$2:G$37,"",0,1)),_xlfn.XLOOKUP($C1507,Phone_by_Sentiment!$B$2:$B$37,Phone_by_Sentiment!G$2:G$37,"",0,1),0),$A1507-TEXT(DATEVALUE($D1507&amp;"-01"), "dd-mm-yyyy")),0),0)</f>
        <v>172</v>
      </c>
      <c r="H1507" cm="1">
        <f t="array" ref="H1507">IF($Q1507&gt;=0,IFERROR(generateSalesData($D1507, IF(ISNUMBER(_xlfn.XLOOKUP($C1507,Phone_by_Sentiment!$B$2:$B$37,Phone_by_Sentiment!H$2:H$37,"",0,1)),_xlfn.XLOOKUP($C1507,Phone_by_Sentiment!$B$2:$B$37,Phone_by_Sentiment!H$2:H$37,"",0,1),0),$A1507-TEXT(DATEVALUE($D1507&amp;"-01"), "dd-mm-yyyy")),0),0)</f>
        <v>190</v>
      </c>
      <c r="I1507" cm="1">
        <f t="array" ref="I1507">IF($Q1507&gt;=0,IFERROR(generateSalesData($D1507, IF(ISNUMBER(_xlfn.XLOOKUP($C1507,Phone_by_Sentiment!$B$2:$B$37,Phone_by_Sentiment!I$2:I$37,"",0,1)),_xlfn.XLOOKUP($C1507,Phone_by_Sentiment!$B$2:$B$37,Phone_by_Sentiment!I$2:I$37,"",0,1),0),$A1507-TEXT(DATEVALUE($D1507&amp;"-01"), "dd-mm-yyyy")),0),0)</f>
        <v>240</v>
      </c>
      <c r="J1507" cm="1">
        <f t="array" ref="J1507">IF($Q1507&gt;=0,IFERROR(generateSalesData($D1507, IF(ISNUMBER(_xlfn.XLOOKUP($C1507,Phone_by_Sentiment!$B$2:$B$37,Phone_by_Sentiment!J$2:J$37,"",0,1)),_xlfn.XLOOKUP($C1507,Phone_by_Sentiment!$B$2:$B$37,Phone_by_Sentiment!J$2:J$37,"",0,1),0),$A1507-TEXT(DATEVALUE($D1507&amp;"-01"), "dd-mm-yyyy")),0),0)</f>
        <v>80</v>
      </c>
      <c r="K1507" cm="1">
        <f t="array" ref="K1507">IF($Q1507&gt;=0,IFERROR(generateSalesData($D1507, IF(ISNUMBER(_xlfn.XLOOKUP($C1507,Phone_by_Sentiment!$B$2:$B$37,Phone_by_Sentiment!K$2:K$37,"",0,1)),_xlfn.XLOOKUP($C1507,Phone_by_Sentiment!$B$2:$B$37,Phone_by_Sentiment!K$2:K$37,"",0,1),0),$A1507-TEXT(DATEVALUE($D1507&amp;"-01"), "dd-mm-yyyy")),0),0)</f>
        <v>148</v>
      </c>
      <c r="L1507" cm="1">
        <f t="array" ref="L1507">IF($Q1507&gt;=0,IFERROR(generateSalesData($D1507, IF(ISNUMBER(_xlfn.XLOOKUP($C1507,Phone_by_Sentiment!$B$2:$B$37,Phone_by_Sentiment!L$2:L$37,"",0,1)),_xlfn.XLOOKUP($C1507,Phone_by_Sentiment!$B$2:$B$37,Phone_by_Sentiment!L$2:L$37,"",0,1),0),$A1507-TEXT(DATEVALUE($D1507&amp;"-01"), "dd-mm-yyyy")),0),0)</f>
        <v>726</v>
      </c>
      <c r="M1507" cm="1">
        <f t="array" ref="M1507">IF($Q1507&gt;=0,IFERROR(generateSalesData($D1507, IF(ISNUMBER(_xlfn.XLOOKUP($C1507,Phone_by_Sentiment!$B$2:$B$37,Phone_by_Sentiment!M$2:M$37,"",0,1)),_xlfn.XLOOKUP($C1507,Phone_by_Sentiment!$B$2:$B$37,Phone_by_Sentiment!M$2:M$37,"",0,1),0),$A1507-TEXT(DATEVALUE($D1507&amp;"-01"), "dd-mm-yyyy")),0),0)</f>
        <v>185</v>
      </c>
      <c r="N1507" cm="1">
        <f t="array" ref="N1507">IF($Q1507&gt;=0,IFERROR(generateSalesData($D1507, IF(ISNUMBER(_xlfn.XLOOKUP($C1507,Phone_by_Sentiment!$B$2:$B$37,Phone_by_Sentiment!N$2:N$37,"",0,1)),_xlfn.XLOOKUP($C1507,Phone_by_Sentiment!$B$2:$B$37,Phone_by_Sentiment!N$2:N$37,"",0,1),0),$A1507-TEXT(DATEVALUE($D1507&amp;"-01"), "dd-mm-yyyy")),0),0)</f>
        <v>590</v>
      </c>
      <c r="O1507" cm="1">
        <f t="array" ref="O1507">IF($Q1507&gt;=0,IFERROR(generateSalesData($D1507, IF(ISNUMBER(_xlfn.XLOOKUP($C1507,Phone_by_Sentiment!$B$2:$B$37,Phone_by_Sentiment!O$2:O$37,"",0,1)),_xlfn.XLOOKUP($C1507,Phone_by_Sentiment!$B$2:$B$37,Phone_by_Sentiment!O$2:O$37,"",0,1),0),$A1507-TEXT(DATEVALUE($D1507&amp;"-01"), "dd-mm-yyyy")),0),0)</f>
        <v>102</v>
      </c>
      <c r="P1507" s="1">
        <f t="shared" si="58"/>
        <v>44287</v>
      </c>
      <c r="Q1507">
        <f t="shared" si="60"/>
        <v>487</v>
      </c>
    </row>
    <row r="1508" spans="1:17" x14ac:dyDescent="0.25">
      <c r="A1508" s="1">
        <f t="shared" si="59"/>
        <v>44774</v>
      </c>
      <c r="B1508" t="s">
        <v>146</v>
      </c>
      <c r="C1508" t="str">
        <f>_xlfn.XLOOKUP(B1508,Phone_by_Price!$A$2:$A$34,Phone_by_Price!$B$2:$B$34,"-",0,1)</f>
        <v>Vivo Y20</v>
      </c>
      <c r="D1508" t="str">
        <f>_xlfn.XLOOKUP(C1508,Phone_by_Sentiment!$B$2:$B$37,Phone_by_Sentiment!$A$2:$A$37,"-",0,1)</f>
        <v>2020-09</v>
      </c>
      <c r="E1508" cm="1">
        <f t="array" ref="E1508">IF($Q1508&gt;=0,IFERROR(generateSalesData($D1508, IF(ISNUMBER(_xlfn.XLOOKUP($C1508,Phone_by_Sentiment!$B$2:$B$37,Phone_by_Sentiment!E$2:E$37,"",0,1)),_xlfn.XLOOKUP($C1508,Phone_by_Sentiment!$B$2:$B$37,Phone_by_Sentiment!E$2:E$37,"",0,1),0),$A1508-TEXT(DATEVALUE($D1508&amp;"-01"), "dd-mm-yyyy")),0),0)</f>
        <v>252</v>
      </c>
      <c r="F1508" cm="1">
        <f t="array" ref="F1508">IF($Q1508&gt;=0,IFERROR(generateSalesData($D1508, IF(ISNUMBER(_xlfn.XLOOKUP($C1508,Phone_by_Sentiment!$B$2:$B$37,Phone_by_Sentiment!F$2:F$37,"",0,1)),_xlfn.XLOOKUP($C1508,Phone_by_Sentiment!$B$2:$B$37,Phone_by_Sentiment!F$2:F$37,"",0,1),0),$A1508-TEXT(DATEVALUE($D1508&amp;"-01"), "dd-mm-yyyy")),0),0)</f>
        <v>409</v>
      </c>
      <c r="G1508" cm="1">
        <f t="array" ref="G1508">IF($Q1508&gt;=0,IFERROR(generateSalesData($D1508, IF(ISNUMBER(_xlfn.XLOOKUP($C1508,Phone_by_Sentiment!$B$2:$B$37,Phone_by_Sentiment!G$2:G$37,"",0,1)),_xlfn.XLOOKUP($C1508,Phone_by_Sentiment!$B$2:$B$37,Phone_by_Sentiment!G$2:G$37,"",0,1),0),$A1508-TEXT(DATEVALUE($D1508&amp;"-01"), "dd-mm-yyyy")),0),0)</f>
        <v>110</v>
      </c>
      <c r="H1508" cm="1">
        <f t="array" ref="H1508">IF($Q1508&gt;=0,IFERROR(generateSalesData($D1508, IF(ISNUMBER(_xlfn.XLOOKUP($C1508,Phone_by_Sentiment!$B$2:$B$37,Phone_by_Sentiment!H$2:H$37,"",0,1)),_xlfn.XLOOKUP($C1508,Phone_by_Sentiment!$B$2:$B$37,Phone_by_Sentiment!H$2:H$37,"",0,1),0),$A1508-TEXT(DATEVALUE($D1508&amp;"-01"), "dd-mm-yyyy")),0),0)</f>
        <v>40</v>
      </c>
      <c r="I1508" cm="1">
        <f t="array" ref="I1508">IF($Q1508&gt;=0,IFERROR(generateSalesData($D1508, IF(ISNUMBER(_xlfn.XLOOKUP($C1508,Phone_by_Sentiment!$B$2:$B$37,Phone_by_Sentiment!I$2:I$37,"",0,1)),_xlfn.XLOOKUP($C1508,Phone_by_Sentiment!$B$2:$B$37,Phone_by_Sentiment!I$2:I$37,"",0,1),0),$A1508-TEXT(DATEVALUE($D1508&amp;"-01"), "dd-mm-yyyy")),0),0)</f>
        <v>31</v>
      </c>
      <c r="J1508" cm="1">
        <f t="array" ref="J1508">IF($Q1508&gt;=0,IFERROR(generateSalesData($D1508, IF(ISNUMBER(_xlfn.XLOOKUP($C1508,Phone_by_Sentiment!$B$2:$B$37,Phone_by_Sentiment!J$2:J$37,"",0,1)),_xlfn.XLOOKUP($C1508,Phone_by_Sentiment!$B$2:$B$37,Phone_by_Sentiment!J$2:J$37,"",0,1),0),$A1508-TEXT(DATEVALUE($D1508&amp;"-01"), "dd-mm-yyyy")),0),0)</f>
        <v>101</v>
      </c>
      <c r="K1508" cm="1">
        <f t="array" ref="K1508">IF($Q1508&gt;=0,IFERROR(generateSalesData($D1508, IF(ISNUMBER(_xlfn.XLOOKUP($C1508,Phone_by_Sentiment!$B$2:$B$37,Phone_by_Sentiment!K$2:K$37,"",0,1)),_xlfn.XLOOKUP($C1508,Phone_by_Sentiment!$B$2:$B$37,Phone_by_Sentiment!K$2:K$37,"",0,1),0),$A1508-TEXT(DATEVALUE($D1508&amp;"-01"), "dd-mm-yyyy")),0),0)</f>
        <v>64</v>
      </c>
      <c r="L1508" cm="1">
        <f t="array" ref="L1508">IF($Q1508&gt;=0,IFERROR(generateSalesData($D1508, IF(ISNUMBER(_xlfn.XLOOKUP($C1508,Phone_by_Sentiment!$B$2:$B$37,Phone_by_Sentiment!L$2:L$37,"",0,1)),_xlfn.XLOOKUP($C1508,Phone_by_Sentiment!$B$2:$B$37,Phone_by_Sentiment!L$2:L$37,"",0,1),0),$A1508-TEXT(DATEVALUE($D1508&amp;"-01"), "dd-mm-yyyy")),0),0)</f>
        <v>10</v>
      </c>
      <c r="M1508" cm="1">
        <f t="array" ref="M1508">IF($Q1508&gt;=0,IFERROR(generateSalesData($D1508, IF(ISNUMBER(_xlfn.XLOOKUP($C1508,Phone_by_Sentiment!$B$2:$B$37,Phone_by_Sentiment!M$2:M$37,"",0,1)),_xlfn.XLOOKUP($C1508,Phone_by_Sentiment!$B$2:$B$37,Phone_by_Sentiment!M$2:M$37,"",0,1),0),$A1508-TEXT(DATEVALUE($D1508&amp;"-01"), "dd-mm-yyyy")),0),0)</f>
        <v>67</v>
      </c>
      <c r="N1508" cm="1">
        <f t="array" ref="N1508">IF($Q1508&gt;=0,IFERROR(generateSalesData($D1508, IF(ISNUMBER(_xlfn.XLOOKUP($C1508,Phone_by_Sentiment!$B$2:$B$37,Phone_by_Sentiment!N$2:N$37,"",0,1)),_xlfn.XLOOKUP($C1508,Phone_by_Sentiment!$B$2:$B$37,Phone_by_Sentiment!N$2:N$37,"",0,1),0),$A1508-TEXT(DATEVALUE($D1508&amp;"-01"), "dd-mm-yyyy")),0),0)</f>
        <v>8</v>
      </c>
      <c r="O1508" cm="1">
        <f t="array" ref="O1508">IF($Q1508&gt;=0,IFERROR(generateSalesData($D1508, IF(ISNUMBER(_xlfn.XLOOKUP($C1508,Phone_by_Sentiment!$B$2:$B$37,Phone_by_Sentiment!O$2:O$37,"",0,1)),_xlfn.XLOOKUP($C1508,Phone_by_Sentiment!$B$2:$B$37,Phone_by_Sentiment!O$2:O$37,"",0,1),0),$A1508-TEXT(DATEVALUE($D1508&amp;"-01"), "dd-mm-yyyy")),0),0)</f>
        <v>92</v>
      </c>
      <c r="P1508" s="1">
        <f t="shared" si="58"/>
        <v>44075</v>
      </c>
      <c r="Q1508">
        <f t="shared" si="60"/>
        <v>699</v>
      </c>
    </row>
    <row r="1509" spans="1:17" x14ac:dyDescent="0.25">
      <c r="A1509" s="1">
        <f t="shared" si="59"/>
        <v>44774</v>
      </c>
      <c r="B1509" t="s">
        <v>147</v>
      </c>
      <c r="C1509" t="str">
        <f>_xlfn.XLOOKUP(B1509,Phone_by_Price!$A$2:$A$34,Phone_by_Price!$B$2:$B$34,"-",0,1)</f>
        <v>Huawei Y9a</v>
      </c>
      <c r="D1509" t="str">
        <f>_xlfn.XLOOKUP(C1509,Phone_by_Sentiment!$B$2:$B$37,Phone_by_Sentiment!$A$2:$A$37,"-",0,1)</f>
        <v>2020-02</v>
      </c>
      <c r="E1509" cm="1">
        <f t="array" ref="E1509">IF($Q1509&gt;=0,IFERROR(generateSalesData($D1509, IF(ISNUMBER(_xlfn.XLOOKUP($C1509,Phone_by_Sentiment!$B$2:$B$37,Phone_by_Sentiment!E$2:E$37,"",0,1)),_xlfn.XLOOKUP($C1509,Phone_by_Sentiment!$B$2:$B$37,Phone_by_Sentiment!E$2:E$37,"",0,1),0),$A1509-TEXT(DATEVALUE($D1509&amp;"-01"), "dd-mm-yyyy")),0),0)</f>
        <v>51</v>
      </c>
      <c r="F1509" cm="1">
        <f t="array" ref="F1509">IF($Q1509&gt;=0,IFERROR(generateSalesData($D1509, IF(ISNUMBER(_xlfn.XLOOKUP($C1509,Phone_by_Sentiment!$B$2:$B$37,Phone_by_Sentiment!F$2:F$37,"",0,1)),_xlfn.XLOOKUP($C1509,Phone_by_Sentiment!$B$2:$B$37,Phone_by_Sentiment!F$2:F$37,"",0,1),0),$A1509-TEXT(DATEVALUE($D1509&amp;"-01"), "dd-mm-yyyy")),0),0)</f>
        <v>287</v>
      </c>
      <c r="G1509" cm="1">
        <f t="array" ref="G1509">IF($Q1509&gt;=0,IFERROR(generateSalesData($D1509, IF(ISNUMBER(_xlfn.XLOOKUP($C1509,Phone_by_Sentiment!$B$2:$B$37,Phone_by_Sentiment!G$2:G$37,"",0,1)),_xlfn.XLOOKUP($C1509,Phone_by_Sentiment!$B$2:$B$37,Phone_by_Sentiment!G$2:G$37,"",0,1),0),$A1509-TEXT(DATEVALUE($D1509&amp;"-01"), "dd-mm-yyyy")),0),0)</f>
        <v>39</v>
      </c>
      <c r="H1509" cm="1">
        <f t="array" ref="H1509">IF($Q1509&gt;=0,IFERROR(generateSalesData($D1509, IF(ISNUMBER(_xlfn.XLOOKUP($C1509,Phone_by_Sentiment!$B$2:$B$37,Phone_by_Sentiment!H$2:H$37,"",0,1)),_xlfn.XLOOKUP($C1509,Phone_by_Sentiment!$B$2:$B$37,Phone_by_Sentiment!H$2:H$37,"",0,1),0),$A1509-TEXT(DATEVALUE($D1509&amp;"-01"), "dd-mm-yyyy")),0),0)</f>
        <v>114</v>
      </c>
      <c r="I1509" cm="1">
        <f t="array" ref="I1509">IF($Q1509&gt;=0,IFERROR(generateSalesData($D1509, IF(ISNUMBER(_xlfn.XLOOKUP($C1509,Phone_by_Sentiment!$B$2:$B$37,Phone_by_Sentiment!I$2:I$37,"",0,1)),_xlfn.XLOOKUP($C1509,Phone_by_Sentiment!$B$2:$B$37,Phone_by_Sentiment!I$2:I$37,"",0,1),0),$A1509-TEXT(DATEVALUE($D1509&amp;"-01"), "dd-mm-yyyy")),0),0)</f>
        <v>79</v>
      </c>
      <c r="J1509" cm="1">
        <f t="array" ref="J1509">IF($Q1509&gt;=0,IFERROR(generateSalesData($D1509, IF(ISNUMBER(_xlfn.XLOOKUP($C1509,Phone_by_Sentiment!$B$2:$B$37,Phone_by_Sentiment!J$2:J$37,"",0,1)),_xlfn.XLOOKUP($C1509,Phone_by_Sentiment!$B$2:$B$37,Phone_by_Sentiment!J$2:J$37,"",0,1),0),$A1509-TEXT(DATEVALUE($D1509&amp;"-01"), "dd-mm-yyyy")),0),0)</f>
        <v>105</v>
      </c>
      <c r="K1509" cm="1">
        <f t="array" ref="K1509">IF($Q1509&gt;=0,IFERROR(generateSalesData($D1509, IF(ISNUMBER(_xlfn.XLOOKUP($C1509,Phone_by_Sentiment!$B$2:$B$37,Phone_by_Sentiment!K$2:K$37,"",0,1)),_xlfn.XLOOKUP($C1509,Phone_by_Sentiment!$B$2:$B$37,Phone_by_Sentiment!K$2:K$37,"",0,1),0),$A1509-TEXT(DATEVALUE($D1509&amp;"-01"), "dd-mm-yyyy")),0),0)</f>
        <v>60</v>
      </c>
      <c r="L1509" cm="1">
        <f t="array" ref="L1509">IF($Q1509&gt;=0,IFERROR(generateSalesData($D1509, IF(ISNUMBER(_xlfn.XLOOKUP($C1509,Phone_by_Sentiment!$B$2:$B$37,Phone_by_Sentiment!L$2:L$37,"",0,1)),_xlfn.XLOOKUP($C1509,Phone_by_Sentiment!$B$2:$B$37,Phone_by_Sentiment!L$2:L$37,"",0,1),0),$A1509-TEXT(DATEVALUE($D1509&amp;"-01"), "dd-mm-yyyy")),0),0)</f>
        <v>47</v>
      </c>
      <c r="M1509" cm="1">
        <f t="array" ref="M1509">IF($Q1509&gt;=0,IFERROR(generateSalesData($D1509, IF(ISNUMBER(_xlfn.XLOOKUP($C1509,Phone_by_Sentiment!$B$2:$B$37,Phone_by_Sentiment!M$2:M$37,"",0,1)),_xlfn.XLOOKUP($C1509,Phone_by_Sentiment!$B$2:$B$37,Phone_by_Sentiment!M$2:M$37,"",0,1),0),$A1509-TEXT(DATEVALUE($D1509&amp;"-01"), "dd-mm-yyyy")),0),0)</f>
        <v>96</v>
      </c>
      <c r="N1509" cm="1">
        <f t="array" ref="N1509">IF($Q1509&gt;=0,IFERROR(generateSalesData($D1509, IF(ISNUMBER(_xlfn.XLOOKUP($C1509,Phone_by_Sentiment!$B$2:$B$37,Phone_by_Sentiment!N$2:N$37,"",0,1)),_xlfn.XLOOKUP($C1509,Phone_by_Sentiment!$B$2:$B$37,Phone_by_Sentiment!N$2:N$37,"",0,1),0),$A1509-TEXT(DATEVALUE($D1509&amp;"-01"), "dd-mm-yyyy")),0),0)</f>
        <v>55</v>
      </c>
      <c r="O1509" cm="1">
        <f t="array" ref="O1509">IF($Q1509&gt;=0,IFERROR(generateSalesData($D1509, IF(ISNUMBER(_xlfn.XLOOKUP($C1509,Phone_by_Sentiment!$B$2:$B$37,Phone_by_Sentiment!O$2:O$37,"",0,1)),_xlfn.XLOOKUP($C1509,Phone_by_Sentiment!$B$2:$B$37,Phone_by_Sentiment!O$2:O$37,"",0,1),0),$A1509-TEXT(DATEVALUE($D1509&amp;"-01"), "dd-mm-yyyy")),0),0)</f>
        <v>103</v>
      </c>
      <c r="P1509" s="1">
        <f t="shared" si="58"/>
        <v>43862</v>
      </c>
      <c r="Q1509">
        <f t="shared" si="60"/>
        <v>912</v>
      </c>
    </row>
    <row r="1510" spans="1:17" x14ac:dyDescent="0.25">
      <c r="A1510" s="1">
        <f t="shared" si="59"/>
        <v>44774</v>
      </c>
      <c r="B1510" t="s">
        <v>148</v>
      </c>
      <c r="C1510" t="str">
        <f>_xlfn.XLOOKUP(B1510,Phone_by_Price!$A$2:$A$34,Phone_by_Price!$B$2:$B$34,"-",0,1)</f>
        <v>Xiaomi Redmi 10</v>
      </c>
      <c r="D1510" t="str">
        <f>_xlfn.XLOOKUP(C1510,Phone_by_Sentiment!$B$2:$B$37,Phone_by_Sentiment!$A$2:$A$37,"-",0,1)</f>
        <v>2021-03</v>
      </c>
      <c r="E1510" cm="1">
        <f t="array" ref="E1510">IF($Q1510&gt;=0,IFERROR(generateSalesData($D1510, IF(ISNUMBER(_xlfn.XLOOKUP($C1510,Phone_by_Sentiment!$B$2:$B$37,Phone_by_Sentiment!E$2:E$37,"",0,1)),_xlfn.XLOOKUP($C1510,Phone_by_Sentiment!$B$2:$B$37,Phone_by_Sentiment!E$2:E$37,"",0,1),0),$A1510-TEXT(DATEVALUE($D1510&amp;"-01"), "dd-mm-yyyy")),0),0)</f>
        <v>671</v>
      </c>
      <c r="F1510" cm="1">
        <f t="array" ref="F1510">IF($Q1510&gt;=0,IFERROR(generateSalesData($D1510, IF(ISNUMBER(_xlfn.XLOOKUP($C1510,Phone_by_Sentiment!$B$2:$B$37,Phone_by_Sentiment!F$2:F$37,"",0,1)),_xlfn.XLOOKUP($C1510,Phone_by_Sentiment!$B$2:$B$37,Phone_by_Sentiment!F$2:F$37,"",0,1),0),$A1510-TEXT(DATEVALUE($D1510&amp;"-01"), "dd-mm-yyyy")),0),0)</f>
        <v>-74</v>
      </c>
      <c r="G1510" cm="1">
        <f t="array" ref="G1510">IF($Q1510&gt;=0,IFERROR(generateSalesData($D1510, IF(ISNUMBER(_xlfn.XLOOKUP($C1510,Phone_by_Sentiment!$B$2:$B$37,Phone_by_Sentiment!G$2:G$37,"",0,1)),_xlfn.XLOOKUP($C1510,Phone_by_Sentiment!$B$2:$B$37,Phone_by_Sentiment!G$2:G$37,"",0,1),0),$A1510-TEXT(DATEVALUE($D1510&amp;"-01"), "dd-mm-yyyy")),0),0)</f>
        <v>169</v>
      </c>
      <c r="H1510" cm="1">
        <f t="array" ref="H1510">IF($Q1510&gt;=0,IFERROR(generateSalesData($D1510, IF(ISNUMBER(_xlfn.XLOOKUP($C1510,Phone_by_Sentiment!$B$2:$B$37,Phone_by_Sentiment!H$2:H$37,"",0,1)),_xlfn.XLOOKUP($C1510,Phone_by_Sentiment!$B$2:$B$37,Phone_by_Sentiment!H$2:H$37,"",0,1),0),$A1510-TEXT(DATEVALUE($D1510&amp;"-01"), "dd-mm-yyyy")),0),0)</f>
        <v>864</v>
      </c>
      <c r="I1510" cm="1">
        <f t="array" ref="I1510">IF($Q1510&gt;=0,IFERROR(generateSalesData($D1510, IF(ISNUMBER(_xlfn.XLOOKUP($C1510,Phone_by_Sentiment!$B$2:$B$37,Phone_by_Sentiment!I$2:I$37,"",0,1)),_xlfn.XLOOKUP($C1510,Phone_by_Sentiment!$B$2:$B$37,Phone_by_Sentiment!I$2:I$37,"",0,1),0),$A1510-TEXT(DATEVALUE($D1510&amp;"-01"), "dd-mm-yyyy")),0),0)</f>
        <v>127</v>
      </c>
      <c r="J1510" cm="1">
        <f t="array" ref="J1510">IF($Q1510&gt;=0,IFERROR(generateSalesData($D1510, IF(ISNUMBER(_xlfn.XLOOKUP($C1510,Phone_by_Sentiment!$B$2:$B$37,Phone_by_Sentiment!J$2:J$37,"",0,1)),_xlfn.XLOOKUP($C1510,Phone_by_Sentiment!$B$2:$B$37,Phone_by_Sentiment!J$2:J$37,"",0,1),0),$A1510-TEXT(DATEVALUE($D1510&amp;"-01"), "dd-mm-yyyy")),0),0)</f>
        <v>111</v>
      </c>
      <c r="K1510" cm="1">
        <f t="array" ref="K1510">IF($Q1510&gt;=0,IFERROR(generateSalesData($D1510, IF(ISNUMBER(_xlfn.XLOOKUP($C1510,Phone_by_Sentiment!$B$2:$B$37,Phone_by_Sentiment!K$2:K$37,"",0,1)),_xlfn.XLOOKUP($C1510,Phone_by_Sentiment!$B$2:$B$37,Phone_by_Sentiment!K$2:K$37,"",0,1),0),$A1510-TEXT(DATEVALUE($D1510&amp;"-01"), "dd-mm-yyyy")),0),0)</f>
        <v>238</v>
      </c>
      <c r="L1510" cm="1">
        <f t="array" ref="L1510">IF($Q1510&gt;=0,IFERROR(generateSalesData($D1510, IF(ISNUMBER(_xlfn.XLOOKUP($C1510,Phone_by_Sentiment!$B$2:$B$37,Phone_by_Sentiment!L$2:L$37,"",0,1)),_xlfn.XLOOKUP($C1510,Phone_by_Sentiment!$B$2:$B$37,Phone_by_Sentiment!L$2:L$37,"",0,1),0),$A1510-TEXT(DATEVALUE($D1510&amp;"-01"), "dd-mm-yyyy")),0),0)</f>
        <v>70</v>
      </c>
      <c r="M1510" cm="1">
        <f t="array" ref="M1510">IF($Q1510&gt;=0,IFERROR(generateSalesData($D1510, IF(ISNUMBER(_xlfn.XLOOKUP($C1510,Phone_by_Sentiment!$B$2:$B$37,Phone_by_Sentiment!M$2:M$37,"",0,1)),_xlfn.XLOOKUP($C1510,Phone_by_Sentiment!$B$2:$B$37,Phone_by_Sentiment!M$2:M$37,"",0,1),0),$A1510-TEXT(DATEVALUE($D1510&amp;"-01"), "dd-mm-yyyy")),0),0)</f>
        <v>104</v>
      </c>
      <c r="N1510" cm="1">
        <f t="array" ref="N1510">IF($Q1510&gt;=0,IFERROR(generateSalesData($D1510, IF(ISNUMBER(_xlfn.XLOOKUP($C1510,Phone_by_Sentiment!$B$2:$B$37,Phone_by_Sentiment!N$2:N$37,"",0,1)),_xlfn.XLOOKUP($C1510,Phone_by_Sentiment!$B$2:$B$37,Phone_by_Sentiment!N$2:N$37,"",0,1),0),$A1510-TEXT(DATEVALUE($D1510&amp;"-01"), "dd-mm-yyyy")),0),0)</f>
        <v>549</v>
      </c>
      <c r="O1510" cm="1">
        <f t="array" ref="O1510">IF($Q1510&gt;=0,IFERROR(generateSalesData($D1510, IF(ISNUMBER(_xlfn.XLOOKUP($C1510,Phone_by_Sentiment!$B$2:$B$37,Phone_by_Sentiment!O$2:O$37,"",0,1)),_xlfn.XLOOKUP($C1510,Phone_by_Sentiment!$B$2:$B$37,Phone_by_Sentiment!O$2:O$37,"",0,1),0),$A1510-TEXT(DATEVALUE($D1510&amp;"-01"), "dd-mm-yyyy")),0),0)</f>
        <v>268</v>
      </c>
      <c r="P1510" s="1">
        <f t="shared" si="58"/>
        <v>44256</v>
      </c>
      <c r="Q1510">
        <f t="shared" si="60"/>
        <v>518</v>
      </c>
    </row>
    <row r="1511" spans="1:17" x14ac:dyDescent="0.25">
      <c r="A1511" s="1">
        <f t="shared" si="59"/>
        <v>44774</v>
      </c>
      <c r="B1511" t="s">
        <v>149</v>
      </c>
      <c r="C1511" t="str">
        <f>_xlfn.XLOOKUP(B1511,Phone_by_Price!$A$2:$A$34,Phone_by_Price!$B$2:$B$34,"-",0,1)</f>
        <v>Samsung Galaxy A52</v>
      </c>
      <c r="D1511" t="str">
        <f>_xlfn.XLOOKUP(C1511,Phone_by_Sentiment!$B$2:$B$37,Phone_by_Sentiment!$A$2:$A$37,"-",0,1)</f>
        <v>2021-03</v>
      </c>
      <c r="E1511" cm="1">
        <f t="array" ref="E1511">IF($Q1511&gt;=0,IFERROR(generateSalesData($D1511, IF(ISNUMBER(_xlfn.XLOOKUP($C1511,Phone_by_Sentiment!$B$2:$B$37,Phone_by_Sentiment!E$2:E$37,"",0,1)),_xlfn.XLOOKUP($C1511,Phone_by_Sentiment!$B$2:$B$37,Phone_by_Sentiment!E$2:E$37,"",0,1),0),$A1511-TEXT(DATEVALUE($D1511&amp;"-01"), "dd-mm-yyyy")),0),0)</f>
        <v>686</v>
      </c>
      <c r="F1511" cm="1">
        <f t="array" ref="F1511">IF($Q1511&gt;=0,IFERROR(generateSalesData($D1511, IF(ISNUMBER(_xlfn.XLOOKUP($C1511,Phone_by_Sentiment!$B$2:$B$37,Phone_by_Sentiment!F$2:F$37,"",0,1)),_xlfn.XLOOKUP($C1511,Phone_by_Sentiment!$B$2:$B$37,Phone_by_Sentiment!F$2:F$37,"",0,1),0),$A1511-TEXT(DATEVALUE($D1511&amp;"-01"), "dd-mm-yyyy")),0),0)</f>
        <v>380</v>
      </c>
      <c r="G1511" cm="1">
        <f t="array" ref="G1511">IF($Q1511&gt;=0,IFERROR(generateSalesData($D1511, IF(ISNUMBER(_xlfn.XLOOKUP($C1511,Phone_by_Sentiment!$B$2:$B$37,Phone_by_Sentiment!G$2:G$37,"",0,1)),_xlfn.XLOOKUP($C1511,Phone_by_Sentiment!$B$2:$B$37,Phone_by_Sentiment!G$2:G$37,"",0,1),0),$A1511-TEXT(DATEVALUE($D1511&amp;"-01"), "dd-mm-yyyy")),0),0)</f>
        <v>126</v>
      </c>
      <c r="H1511" cm="1">
        <f t="array" ref="H1511">IF($Q1511&gt;=0,IFERROR(generateSalesData($D1511, IF(ISNUMBER(_xlfn.XLOOKUP($C1511,Phone_by_Sentiment!$B$2:$B$37,Phone_by_Sentiment!H$2:H$37,"",0,1)),_xlfn.XLOOKUP($C1511,Phone_by_Sentiment!$B$2:$B$37,Phone_by_Sentiment!H$2:H$37,"",0,1),0),$A1511-TEXT(DATEVALUE($D1511&amp;"-01"), "dd-mm-yyyy")),0),0)</f>
        <v>523</v>
      </c>
      <c r="I1511" cm="1">
        <f t="array" ref="I1511">IF($Q1511&gt;=0,IFERROR(generateSalesData($D1511, IF(ISNUMBER(_xlfn.XLOOKUP($C1511,Phone_by_Sentiment!$B$2:$B$37,Phone_by_Sentiment!I$2:I$37,"",0,1)),_xlfn.XLOOKUP($C1511,Phone_by_Sentiment!$B$2:$B$37,Phone_by_Sentiment!I$2:I$37,"",0,1),0),$A1511-TEXT(DATEVALUE($D1511&amp;"-01"), "dd-mm-yyyy")),0),0)</f>
        <v>414</v>
      </c>
      <c r="J1511" cm="1">
        <f t="array" ref="J1511">IF($Q1511&gt;=0,IFERROR(generateSalesData($D1511, IF(ISNUMBER(_xlfn.XLOOKUP($C1511,Phone_by_Sentiment!$B$2:$B$37,Phone_by_Sentiment!J$2:J$37,"",0,1)),_xlfn.XLOOKUP($C1511,Phone_by_Sentiment!$B$2:$B$37,Phone_by_Sentiment!J$2:J$37,"",0,1),0),$A1511-TEXT(DATEVALUE($D1511&amp;"-01"), "dd-mm-yyyy")),0),0)</f>
        <v>559</v>
      </c>
      <c r="K1511" cm="1">
        <f t="array" ref="K1511">IF($Q1511&gt;=0,IFERROR(generateSalesData($D1511, IF(ISNUMBER(_xlfn.XLOOKUP($C1511,Phone_by_Sentiment!$B$2:$B$37,Phone_by_Sentiment!K$2:K$37,"",0,1)),_xlfn.XLOOKUP($C1511,Phone_by_Sentiment!$B$2:$B$37,Phone_by_Sentiment!K$2:K$37,"",0,1),0),$A1511-TEXT(DATEVALUE($D1511&amp;"-01"), "dd-mm-yyyy")),0),0)</f>
        <v>383</v>
      </c>
      <c r="L1511" cm="1">
        <f t="array" ref="L1511">IF($Q1511&gt;=0,IFERROR(generateSalesData($D1511, IF(ISNUMBER(_xlfn.XLOOKUP($C1511,Phone_by_Sentiment!$B$2:$B$37,Phone_by_Sentiment!L$2:L$37,"",0,1)),_xlfn.XLOOKUP($C1511,Phone_by_Sentiment!$B$2:$B$37,Phone_by_Sentiment!L$2:L$37,"",0,1),0),$A1511-TEXT(DATEVALUE($D1511&amp;"-01"), "dd-mm-yyyy")),0),0)</f>
        <v>586</v>
      </c>
      <c r="M1511" cm="1">
        <f t="array" ref="M1511">IF($Q1511&gt;=0,IFERROR(generateSalesData($D1511, IF(ISNUMBER(_xlfn.XLOOKUP($C1511,Phone_by_Sentiment!$B$2:$B$37,Phone_by_Sentiment!M$2:M$37,"",0,1)),_xlfn.XLOOKUP($C1511,Phone_by_Sentiment!$B$2:$B$37,Phone_by_Sentiment!M$2:M$37,"",0,1),0),$A1511-TEXT(DATEVALUE($D1511&amp;"-01"), "dd-mm-yyyy")),0),0)</f>
        <v>800</v>
      </c>
      <c r="N1511" cm="1">
        <f t="array" ref="N1511">IF($Q1511&gt;=0,IFERROR(generateSalesData($D1511, IF(ISNUMBER(_xlfn.XLOOKUP($C1511,Phone_by_Sentiment!$B$2:$B$37,Phone_by_Sentiment!N$2:N$37,"",0,1)),_xlfn.XLOOKUP($C1511,Phone_by_Sentiment!$B$2:$B$37,Phone_by_Sentiment!N$2:N$37,"",0,1),0),$A1511-TEXT(DATEVALUE($D1511&amp;"-01"), "dd-mm-yyyy")),0),0)</f>
        <v>424</v>
      </c>
      <c r="O1511" cm="1">
        <f t="array" ref="O1511">IF($Q1511&gt;=0,IFERROR(generateSalesData($D1511, IF(ISNUMBER(_xlfn.XLOOKUP($C1511,Phone_by_Sentiment!$B$2:$B$37,Phone_by_Sentiment!O$2:O$37,"",0,1)),_xlfn.XLOOKUP($C1511,Phone_by_Sentiment!$B$2:$B$37,Phone_by_Sentiment!O$2:O$37,"",0,1),0),$A1511-TEXT(DATEVALUE($D1511&amp;"-01"), "dd-mm-yyyy")),0),0)</f>
        <v>404</v>
      </c>
      <c r="P1511" s="1">
        <f t="shared" si="58"/>
        <v>44256</v>
      </c>
      <c r="Q1511">
        <f t="shared" si="60"/>
        <v>518</v>
      </c>
    </row>
    <row r="1512" spans="1:17" x14ac:dyDescent="0.25">
      <c r="A1512" s="1">
        <f t="shared" si="59"/>
        <v>44774</v>
      </c>
      <c r="B1512" t="s">
        <v>150</v>
      </c>
      <c r="C1512" t="str">
        <f>_xlfn.XLOOKUP(B1512,Phone_by_Price!$A$2:$A$34,Phone_by_Price!$B$2:$B$34,"-",0,1)</f>
        <v>Vivo Y33s</v>
      </c>
      <c r="D1512" t="str">
        <f>_xlfn.XLOOKUP(C1512,Phone_by_Sentiment!$B$2:$B$37,Phone_by_Sentiment!$A$2:$A$37,"-",0,1)</f>
        <v>2021-05</v>
      </c>
      <c r="E1512" cm="1">
        <f t="array" ref="E1512">IF($Q1512&gt;=0,IFERROR(generateSalesData($D1512, IF(ISNUMBER(_xlfn.XLOOKUP($C1512,Phone_by_Sentiment!$B$2:$B$37,Phone_by_Sentiment!E$2:E$37,"",0,1)),_xlfn.XLOOKUP($C1512,Phone_by_Sentiment!$B$2:$B$37,Phone_by_Sentiment!E$2:E$37,"",0,1),0),$A1512-TEXT(DATEVALUE($D1512&amp;"-01"), "dd-mm-yyyy")),0),0)</f>
        <v>824</v>
      </c>
      <c r="F1512" cm="1">
        <f t="array" ref="F1512">IF($Q1512&gt;=0,IFERROR(generateSalesData($D1512, IF(ISNUMBER(_xlfn.XLOOKUP($C1512,Phone_by_Sentiment!$B$2:$B$37,Phone_by_Sentiment!F$2:F$37,"",0,1)),_xlfn.XLOOKUP($C1512,Phone_by_Sentiment!$B$2:$B$37,Phone_by_Sentiment!F$2:F$37,"",0,1),0),$A1512-TEXT(DATEVALUE($D1512&amp;"-01"), "dd-mm-yyyy")),0),0)</f>
        <v>210</v>
      </c>
      <c r="G1512" cm="1">
        <f t="array" ref="G1512">IF($Q1512&gt;=0,IFERROR(generateSalesData($D1512, IF(ISNUMBER(_xlfn.XLOOKUP($C1512,Phone_by_Sentiment!$B$2:$B$37,Phone_by_Sentiment!G$2:G$37,"",0,1)),_xlfn.XLOOKUP($C1512,Phone_by_Sentiment!$B$2:$B$37,Phone_by_Sentiment!G$2:G$37,"",0,1),0),$A1512-TEXT(DATEVALUE($D1512&amp;"-01"), "dd-mm-yyyy")),0),0)</f>
        <v>170</v>
      </c>
      <c r="H1512" cm="1">
        <f t="array" ref="H1512">IF($Q1512&gt;=0,IFERROR(generateSalesData($D1512, IF(ISNUMBER(_xlfn.XLOOKUP($C1512,Phone_by_Sentiment!$B$2:$B$37,Phone_by_Sentiment!H$2:H$37,"",0,1)),_xlfn.XLOOKUP($C1512,Phone_by_Sentiment!$B$2:$B$37,Phone_by_Sentiment!H$2:H$37,"",0,1),0),$A1512-TEXT(DATEVALUE($D1512&amp;"-01"), "dd-mm-yyyy")),0),0)</f>
        <v>590</v>
      </c>
      <c r="I1512" cm="1">
        <f t="array" ref="I1512">IF($Q1512&gt;=0,IFERROR(generateSalesData($D1512, IF(ISNUMBER(_xlfn.XLOOKUP($C1512,Phone_by_Sentiment!$B$2:$B$37,Phone_by_Sentiment!I$2:I$37,"",0,1)),_xlfn.XLOOKUP($C1512,Phone_by_Sentiment!$B$2:$B$37,Phone_by_Sentiment!I$2:I$37,"",0,1),0),$A1512-TEXT(DATEVALUE($D1512&amp;"-01"), "dd-mm-yyyy")),0),0)</f>
        <v>102</v>
      </c>
      <c r="J1512" cm="1">
        <f t="array" ref="J1512">IF($Q1512&gt;=0,IFERROR(generateSalesData($D1512, IF(ISNUMBER(_xlfn.XLOOKUP($C1512,Phone_by_Sentiment!$B$2:$B$37,Phone_by_Sentiment!J$2:J$37,"",0,1)),_xlfn.XLOOKUP($C1512,Phone_by_Sentiment!$B$2:$B$37,Phone_by_Sentiment!J$2:J$37,"",0,1),0),$A1512-TEXT(DATEVALUE($D1512&amp;"-01"), "dd-mm-yyyy")),0),0)</f>
        <v>38</v>
      </c>
      <c r="K1512" cm="1">
        <f t="array" ref="K1512">IF($Q1512&gt;=0,IFERROR(generateSalesData($D1512, IF(ISNUMBER(_xlfn.XLOOKUP($C1512,Phone_by_Sentiment!$B$2:$B$37,Phone_by_Sentiment!K$2:K$37,"",0,1)),_xlfn.XLOOKUP($C1512,Phone_by_Sentiment!$B$2:$B$37,Phone_by_Sentiment!K$2:K$37,"",0,1),0),$A1512-TEXT(DATEVALUE($D1512&amp;"-01"), "dd-mm-yyyy")),0),0)</f>
        <v>131</v>
      </c>
      <c r="L1512" cm="1">
        <f t="array" ref="L1512">IF($Q1512&gt;=0,IFERROR(generateSalesData($D1512, IF(ISNUMBER(_xlfn.XLOOKUP($C1512,Phone_by_Sentiment!$B$2:$B$37,Phone_by_Sentiment!L$2:L$37,"",0,1)),_xlfn.XLOOKUP($C1512,Phone_by_Sentiment!$B$2:$B$37,Phone_by_Sentiment!L$2:L$37,"",0,1),0),$A1512-TEXT(DATEVALUE($D1512&amp;"-01"), "dd-mm-yyyy")),0),0)</f>
        <v>127</v>
      </c>
      <c r="M1512" cm="1">
        <f t="array" ref="M1512">IF($Q1512&gt;=0,IFERROR(generateSalesData($D1512, IF(ISNUMBER(_xlfn.XLOOKUP($C1512,Phone_by_Sentiment!$B$2:$B$37,Phone_by_Sentiment!M$2:M$37,"",0,1)),_xlfn.XLOOKUP($C1512,Phone_by_Sentiment!$B$2:$B$37,Phone_by_Sentiment!M$2:M$37,"",0,1),0),$A1512-TEXT(DATEVALUE($D1512&amp;"-01"), "dd-mm-yyyy")),0),0)</f>
        <v>66</v>
      </c>
      <c r="N1512" cm="1">
        <f t="array" ref="N1512">IF($Q1512&gt;=0,IFERROR(generateSalesData($D1512, IF(ISNUMBER(_xlfn.XLOOKUP($C1512,Phone_by_Sentiment!$B$2:$B$37,Phone_by_Sentiment!N$2:N$37,"",0,1)),_xlfn.XLOOKUP($C1512,Phone_by_Sentiment!$B$2:$B$37,Phone_by_Sentiment!N$2:N$37,"",0,1),0),$A1512-TEXT(DATEVALUE($D1512&amp;"-01"), "dd-mm-yyyy")),0),0)</f>
        <v>182</v>
      </c>
      <c r="O1512" cm="1">
        <f t="array" ref="O1512">IF($Q1512&gt;=0,IFERROR(generateSalesData($D1512, IF(ISNUMBER(_xlfn.XLOOKUP($C1512,Phone_by_Sentiment!$B$2:$B$37,Phone_by_Sentiment!O$2:O$37,"",0,1)),_xlfn.XLOOKUP($C1512,Phone_by_Sentiment!$B$2:$B$37,Phone_by_Sentiment!O$2:O$37,"",0,1),0),$A1512-TEXT(DATEVALUE($D1512&amp;"-01"), "dd-mm-yyyy")),0),0)</f>
        <v>354</v>
      </c>
      <c r="P1512" s="1">
        <f t="shared" si="58"/>
        <v>44317</v>
      </c>
      <c r="Q1512">
        <f t="shared" si="60"/>
        <v>457</v>
      </c>
    </row>
    <row r="1513" spans="1:17" x14ac:dyDescent="0.25">
      <c r="A1513" s="1">
        <f t="shared" si="59"/>
        <v>44774</v>
      </c>
      <c r="B1513" t="s">
        <v>151</v>
      </c>
      <c r="C1513" t="str">
        <f>_xlfn.XLOOKUP(B1513,Phone_by_Price!$A$2:$A$34,Phone_by_Price!$B$2:$B$34,"-",0,1)</f>
        <v>Vivo Y11s</v>
      </c>
      <c r="D1513" t="str">
        <f>_xlfn.XLOOKUP(C1513,Phone_by_Sentiment!$B$2:$B$37,Phone_by_Sentiment!$A$2:$A$37,"-",0,1)</f>
        <v>2020-11</v>
      </c>
      <c r="E1513" cm="1">
        <f t="array" ref="E1513">IF($Q1513&gt;=0,IFERROR(generateSalesData($D1513, IF(ISNUMBER(_xlfn.XLOOKUP($C1513,Phone_by_Sentiment!$B$2:$B$37,Phone_by_Sentiment!E$2:E$37,"",0,1)),_xlfn.XLOOKUP($C1513,Phone_by_Sentiment!$B$2:$B$37,Phone_by_Sentiment!E$2:E$37,"",0,1),0),$A1513-TEXT(DATEVALUE($D1513&amp;"-01"), "dd-mm-yyyy")),0),0)</f>
        <v>81</v>
      </c>
      <c r="F1513" cm="1">
        <f t="array" ref="F1513">IF($Q1513&gt;=0,IFERROR(generateSalesData($D1513, IF(ISNUMBER(_xlfn.XLOOKUP($C1513,Phone_by_Sentiment!$B$2:$B$37,Phone_by_Sentiment!F$2:F$37,"",0,1)),_xlfn.XLOOKUP($C1513,Phone_by_Sentiment!$B$2:$B$37,Phone_by_Sentiment!F$2:F$37,"",0,1),0),$A1513-TEXT(DATEVALUE($D1513&amp;"-01"), "dd-mm-yyyy")),0),0)</f>
        <v>47</v>
      </c>
      <c r="G1513" cm="1">
        <f t="array" ref="G1513">IF($Q1513&gt;=0,IFERROR(generateSalesData($D1513, IF(ISNUMBER(_xlfn.XLOOKUP($C1513,Phone_by_Sentiment!$B$2:$B$37,Phone_by_Sentiment!G$2:G$37,"",0,1)),_xlfn.XLOOKUP($C1513,Phone_by_Sentiment!$B$2:$B$37,Phone_by_Sentiment!G$2:G$37,"",0,1),0),$A1513-TEXT(DATEVALUE($D1513&amp;"-01"), "dd-mm-yyyy")),0),0)</f>
        <v>78</v>
      </c>
      <c r="H1513" cm="1">
        <f t="array" ref="H1513">IF($Q1513&gt;=0,IFERROR(generateSalesData($D1513, IF(ISNUMBER(_xlfn.XLOOKUP($C1513,Phone_by_Sentiment!$B$2:$B$37,Phone_by_Sentiment!H$2:H$37,"",0,1)),_xlfn.XLOOKUP($C1513,Phone_by_Sentiment!$B$2:$B$37,Phone_by_Sentiment!H$2:H$37,"",0,1),0),$A1513-TEXT(DATEVALUE($D1513&amp;"-01"), "dd-mm-yyyy")),0),0)</f>
        <v>11</v>
      </c>
      <c r="I1513" cm="1">
        <f t="array" ref="I1513">IF($Q1513&gt;=0,IFERROR(generateSalesData($D1513, IF(ISNUMBER(_xlfn.XLOOKUP($C1513,Phone_by_Sentiment!$B$2:$B$37,Phone_by_Sentiment!I$2:I$37,"",0,1)),_xlfn.XLOOKUP($C1513,Phone_by_Sentiment!$B$2:$B$37,Phone_by_Sentiment!I$2:I$37,"",0,1),0),$A1513-TEXT(DATEVALUE($D1513&amp;"-01"), "dd-mm-yyyy")),0),0)</f>
        <v>467</v>
      </c>
      <c r="J1513" cm="1">
        <f t="array" ref="J1513">IF($Q1513&gt;=0,IFERROR(generateSalesData($D1513, IF(ISNUMBER(_xlfn.XLOOKUP($C1513,Phone_by_Sentiment!$B$2:$B$37,Phone_by_Sentiment!J$2:J$37,"",0,1)),_xlfn.XLOOKUP($C1513,Phone_by_Sentiment!$B$2:$B$37,Phone_by_Sentiment!J$2:J$37,"",0,1),0),$A1513-TEXT(DATEVALUE($D1513&amp;"-01"), "dd-mm-yyyy")),0),0)</f>
        <v>44</v>
      </c>
      <c r="K1513" cm="1">
        <f t="array" ref="K1513">IF($Q1513&gt;=0,IFERROR(generateSalesData($D1513, IF(ISNUMBER(_xlfn.XLOOKUP($C1513,Phone_by_Sentiment!$B$2:$B$37,Phone_by_Sentiment!K$2:K$37,"",0,1)),_xlfn.XLOOKUP($C1513,Phone_by_Sentiment!$B$2:$B$37,Phone_by_Sentiment!K$2:K$37,"",0,1),0),$A1513-TEXT(DATEVALUE($D1513&amp;"-01"), "dd-mm-yyyy")),0),0)</f>
        <v>27</v>
      </c>
      <c r="L1513" cm="1">
        <f t="array" ref="L1513">IF($Q1513&gt;=0,IFERROR(generateSalesData($D1513, IF(ISNUMBER(_xlfn.XLOOKUP($C1513,Phone_by_Sentiment!$B$2:$B$37,Phone_by_Sentiment!L$2:L$37,"",0,1)),_xlfn.XLOOKUP($C1513,Phone_by_Sentiment!$B$2:$B$37,Phone_by_Sentiment!L$2:L$37,"",0,1),0),$A1513-TEXT(DATEVALUE($D1513&amp;"-01"), "dd-mm-yyyy")),0),0)</f>
        <v>125</v>
      </c>
      <c r="M1513" cm="1">
        <f t="array" ref="M1513">IF($Q1513&gt;=0,IFERROR(generateSalesData($D1513, IF(ISNUMBER(_xlfn.XLOOKUP($C1513,Phone_by_Sentiment!$B$2:$B$37,Phone_by_Sentiment!M$2:M$37,"",0,1)),_xlfn.XLOOKUP($C1513,Phone_by_Sentiment!$B$2:$B$37,Phone_by_Sentiment!M$2:M$37,"",0,1),0),$A1513-TEXT(DATEVALUE($D1513&amp;"-01"), "dd-mm-yyyy")),0),0)</f>
        <v>122</v>
      </c>
      <c r="N1513" cm="1">
        <f t="array" ref="N1513">IF($Q1513&gt;=0,IFERROR(generateSalesData($D1513, IF(ISNUMBER(_xlfn.XLOOKUP($C1513,Phone_by_Sentiment!$B$2:$B$37,Phone_by_Sentiment!N$2:N$37,"",0,1)),_xlfn.XLOOKUP($C1513,Phone_by_Sentiment!$B$2:$B$37,Phone_by_Sentiment!N$2:N$37,"",0,1),0),$A1513-TEXT(DATEVALUE($D1513&amp;"-01"), "dd-mm-yyyy")),0),0)</f>
        <v>76</v>
      </c>
      <c r="O1513" cm="1">
        <f t="array" ref="O1513">IF($Q1513&gt;=0,IFERROR(generateSalesData($D1513, IF(ISNUMBER(_xlfn.XLOOKUP($C1513,Phone_by_Sentiment!$B$2:$B$37,Phone_by_Sentiment!O$2:O$37,"",0,1)),_xlfn.XLOOKUP($C1513,Phone_by_Sentiment!$B$2:$B$37,Phone_by_Sentiment!O$2:O$37,"",0,1),0),$A1513-TEXT(DATEVALUE($D1513&amp;"-01"), "dd-mm-yyyy")),0),0)</f>
        <v>160</v>
      </c>
      <c r="P1513" s="1">
        <f t="shared" si="58"/>
        <v>44136</v>
      </c>
      <c r="Q1513">
        <f t="shared" si="60"/>
        <v>638</v>
      </c>
    </row>
    <row r="1514" spans="1:17" x14ac:dyDescent="0.25">
      <c r="A1514" s="1">
        <f t="shared" si="59"/>
        <v>44774</v>
      </c>
      <c r="B1514" t="s">
        <v>152</v>
      </c>
      <c r="C1514" t="str">
        <f>_xlfn.XLOOKUP(B1514,Phone_by_Price!$A$2:$A$34,Phone_by_Price!$B$2:$B$34,"-",0,1)</f>
        <v>Huawei Nova 7i</v>
      </c>
      <c r="D1514" t="str">
        <f>_xlfn.XLOOKUP(C1514,Phone_by_Sentiment!$B$2:$B$37,Phone_by_Sentiment!$A$2:$A$37,"-",0,1)</f>
        <v>2020-02</v>
      </c>
      <c r="E1514" cm="1">
        <f t="array" ref="E1514">IF($Q1514&gt;=0,IFERROR(generateSalesData($D1514, IF(ISNUMBER(_xlfn.XLOOKUP($C1514,Phone_by_Sentiment!$B$2:$B$37,Phone_by_Sentiment!E$2:E$37,"",0,1)),_xlfn.XLOOKUP($C1514,Phone_by_Sentiment!$B$2:$B$37,Phone_by_Sentiment!E$2:E$37,"",0,1),0),$A1514-TEXT(DATEVALUE($D1514&amp;"-01"), "dd-mm-yyyy")),0),0)</f>
        <v>68</v>
      </c>
      <c r="F1514" cm="1">
        <f t="array" ref="F1514">IF($Q1514&gt;=0,IFERROR(generateSalesData($D1514, IF(ISNUMBER(_xlfn.XLOOKUP($C1514,Phone_by_Sentiment!$B$2:$B$37,Phone_by_Sentiment!F$2:F$37,"",0,1)),_xlfn.XLOOKUP($C1514,Phone_by_Sentiment!$B$2:$B$37,Phone_by_Sentiment!F$2:F$37,"",0,1),0),$A1514-TEXT(DATEVALUE($D1514&amp;"-01"), "dd-mm-yyyy")),0),0)</f>
        <v>102</v>
      </c>
      <c r="G1514" cm="1">
        <f t="array" ref="G1514">IF($Q1514&gt;=0,IFERROR(generateSalesData($D1514, IF(ISNUMBER(_xlfn.XLOOKUP($C1514,Phone_by_Sentiment!$B$2:$B$37,Phone_by_Sentiment!G$2:G$37,"",0,1)),_xlfn.XLOOKUP($C1514,Phone_by_Sentiment!$B$2:$B$37,Phone_by_Sentiment!G$2:G$37,"",0,1),0),$A1514-TEXT(DATEVALUE($D1514&amp;"-01"), "dd-mm-yyyy")),0),0)</f>
        <v>49</v>
      </c>
      <c r="H1514" cm="1">
        <f t="array" ref="H1514">IF($Q1514&gt;=0,IFERROR(generateSalesData($D1514, IF(ISNUMBER(_xlfn.XLOOKUP($C1514,Phone_by_Sentiment!$B$2:$B$37,Phone_by_Sentiment!H$2:H$37,"",0,1)),_xlfn.XLOOKUP($C1514,Phone_by_Sentiment!$B$2:$B$37,Phone_by_Sentiment!H$2:H$37,"",0,1),0),$A1514-TEXT(DATEVALUE($D1514&amp;"-01"), "dd-mm-yyyy")),0),0)</f>
        <v>344</v>
      </c>
      <c r="I1514" cm="1">
        <f t="array" ref="I1514">IF($Q1514&gt;=0,IFERROR(generateSalesData($D1514, IF(ISNUMBER(_xlfn.XLOOKUP($C1514,Phone_by_Sentiment!$B$2:$B$37,Phone_by_Sentiment!I$2:I$37,"",0,1)),_xlfn.XLOOKUP($C1514,Phone_by_Sentiment!$B$2:$B$37,Phone_by_Sentiment!I$2:I$37,"",0,1),0),$A1514-TEXT(DATEVALUE($D1514&amp;"-01"), "dd-mm-yyyy")),0),0)</f>
        <v>83</v>
      </c>
      <c r="J1514" cm="1">
        <f t="array" ref="J1514">IF($Q1514&gt;=0,IFERROR(generateSalesData($D1514, IF(ISNUMBER(_xlfn.XLOOKUP($C1514,Phone_by_Sentiment!$B$2:$B$37,Phone_by_Sentiment!J$2:J$37,"",0,1)),_xlfn.XLOOKUP($C1514,Phone_by_Sentiment!$B$2:$B$37,Phone_by_Sentiment!J$2:J$37,"",0,1),0),$A1514-TEXT(DATEVALUE($D1514&amp;"-01"), "dd-mm-yyyy")),0),0)</f>
        <v>41</v>
      </c>
      <c r="K1514" cm="1">
        <f t="array" ref="K1514">IF($Q1514&gt;=0,IFERROR(generateSalesData($D1514, IF(ISNUMBER(_xlfn.XLOOKUP($C1514,Phone_by_Sentiment!$B$2:$B$37,Phone_by_Sentiment!K$2:K$37,"",0,1)),_xlfn.XLOOKUP($C1514,Phone_by_Sentiment!$B$2:$B$37,Phone_by_Sentiment!K$2:K$37,"",0,1),0),$A1514-TEXT(DATEVALUE($D1514&amp;"-01"), "dd-mm-yyyy")),0),0)</f>
        <v>67</v>
      </c>
      <c r="L1514" cm="1">
        <f t="array" ref="L1514">IF($Q1514&gt;=0,IFERROR(generateSalesData($D1514, IF(ISNUMBER(_xlfn.XLOOKUP($C1514,Phone_by_Sentiment!$B$2:$B$37,Phone_by_Sentiment!L$2:L$37,"",0,1)),_xlfn.XLOOKUP($C1514,Phone_by_Sentiment!$B$2:$B$37,Phone_by_Sentiment!L$2:L$37,"",0,1),0),$A1514-TEXT(DATEVALUE($D1514&amp;"-01"), "dd-mm-yyyy")),0),0)</f>
        <v>116</v>
      </c>
      <c r="M1514" cm="1">
        <f t="array" ref="M1514">IF($Q1514&gt;=0,IFERROR(generateSalesData($D1514, IF(ISNUMBER(_xlfn.XLOOKUP($C1514,Phone_by_Sentiment!$B$2:$B$37,Phone_by_Sentiment!M$2:M$37,"",0,1)),_xlfn.XLOOKUP($C1514,Phone_by_Sentiment!$B$2:$B$37,Phone_by_Sentiment!M$2:M$37,"",0,1),0),$A1514-TEXT(DATEVALUE($D1514&amp;"-01"), "dd-mm-yyyy")),0),0)</f>
        <v>120</v>
      </c>
      <c r="N1514" cm="1">
        <f t="array" ref="N1514">IF($Q1514&gt;=0,IFERROR(generateSalesData($D1514, IF(ISNUMBER(_xlfn.XLOOKUP($C1514,Phone_by_Sentiment!$B$2:$B$37,Phone_by_Sentiment!N$2:N$37,"",0,1)),_xlfn.XLOOKUP($C1514,Phone_by_Sentiment!$B$2:$B$37,Phone_by_Sentiment!N$2:N$37,"",0,1),0),$A1514-TEXT(DATEVALUE($D1514&amp;"-01"), "dd-mm-yyyy")),0),0)</f>
        <v>44</v>
      </c>
      <c r="O1514" cm="1">
        <f t="array" ref="O1514">IF($Q1514&gt;=0,IFERROR(generateSalesData($D1514, IF(ISNUMBER(_xlfn.XLOOKUP($C1514,Phone_by_Sentiment!$B$2:$B$37,Phone_by_Sentiment!O$2:O$37,"",0,1)),_xlfn.XLOOKUP($C1514,Phone_by_Sentiment!$B$2:$B$37,Phone_by_Sentiment!O$2:O$37,"",0,1),0),$A1514-TEXT(DATEVALUE($D1514&amp;"-01"), "dd-mm-yyyy")),0),0)</f>
        <v>102</v>
      </c>
      <c r="P1514" s="1">
        <f t="shared" si="58"/>
        <v>43862</v>
      </c>
      <c r="Q1514">
        <f t="shared" si="60"/>
        <v>912</v>
      </c>
    </row>
    <row r="1515" spans="1:17" x14ac:dyDescent="0.25">
      <c r="A1515" s="1">
        <f t="shared" si="59"/>
        <v>44774</v>
      </c>
      <c r="B1515" t="s">
        <v>153</v>
      </c>
      <c r="C1515" t="str">
        <f>_xlfn.XLOOKUP(B1515,Phone_by_Price!$A$2:$A$34,Phone_by_Price!$B$2:$B$34,"-",0,1)</f>
        <v>iPhone 13</v>
      </c>
      <c r="D1515" t="str">
        <f>_xlfn.XLOOKUP(C1515,Phone_by_Sentiment!$B$2:$B$37,Phone_by_Sentiment!$A$2:$A$37,"-",0,1)</f>
        <v>2021-09</v>
      </c>
      <c r="E1515" cm="1">
        <f t="array" ref="E1515">IF($Q1515&gt;=0,IFERROR(generateSalesData($D1515, IF(ISNUMBER(_xlfn.XLOOKUP($C1515,Phone_by_Sentiment!$B$2:$B$37,Phone_by_Sentiment!E$2:E$37,"",0,1)),_xlfn.XLOOKUP($C1515,Phone_by_Sentiment!$B$2:$B$37,Phone_by_Sentiment!E$2:E$37,"",0,1),0),$A1515-TEXT(DATEVALUE($D1515&amp;"-01"), "dd-mm-yyyy")),0),0)</f>
        <v>74</v>
      </c>
      <c r="F1515" cm="1">
        <f t="array" ref="F1515">IF($Q1515&gt;=0,IFERROR(generateSalesData($D1515, IF(ISNUMBER(_xlfn.XLOOKUP($C1515,Phone_by_Sentiment!$B$2:$B$37,Phone_by_Sentiment!F$2:F$37,"",0,1)),_xlfn.XLOOKUP($C1515,Phone_by_Sentiment!$B$2:$B$37,Phone_by_Sentiment!F$2:F$37,"",0,1),0),$A1515-TEXT(DATEVALUE($D1515&amp;"-01"), "dd-mm-yyyy")),0),0)</f>
        <v>184</v>
      </c>
      <c r="G1515" cm="1">
        <f t="array" ref="G1515">IF($Q1515&gt;=0,IFERROR(generateSalesData($D1515, IF(ISNUMBER(_xlfn.XLOOKUP($C1515,Phone_by_Sentiment!$B$2:$B$37,Phone_by_Sentiment!G$2:G$37,"",0,1)),_xlfn.XLOOKUP($C1515,Phone_by_Sentiment!$B$2:$B$37,Phone_by_Sentiment!G$2:G$37,"",0,1),0),$A1515-TEXT(DATEVALUE($D1515&amp;"-01"), "dd-mm-yyyy")),0),0)</f>
        <v>265</v>
      </c>
      <c r="H1515" cm="1">
        <f t="array" ref="H1515">IF($Q1515&gt;=0,IFERROR(generateSalesData($D1515, IF(ISNUMBER(_xlfn.XLOOKUP($C1515,Phone_by_Sentiment!$B$2:$B$37,Phone_by_Sentiment!H$2:H$37,"",0,1)),_xlfn.XLOOKUP($C1515,Phone_by_Sentiment!$B$2:$B$37,Phone_by_Sentiment!H$2:H$37,"",0,1),0),$A1515-TEXT(DATEVALUE($D1515&amp;"-01"), "dd-mm-yyyy")),0),0)</f>
        <v>792</v>
      </c>
      <c r="I1515" cm="1">
        <f t="array" ref="I1515">IF($Q1515&gt;=0,IFERROR(generateSalesData($D1515, IF(ISNUMBER(_xlfn.XLOOKUP($C1515,Phone_by_Sentiment!$B$2:$B$37,Phone_by_Sentiment!I$2:I$37,"",0,1)),_xlfn.XLOOKUP($C1515,Phone_by_Sentiment!$B$2:$B$37,Phone_by_Sentiment!I$2:I$37,"",0,1),0),$A1515-TEXT(DATEVALUE($D1515&amp;"-01"), "dd-mm-yyyy")),0),0)</f>
        <v>35</v>
      </c>
      <c r="J1515" cm="1">
        <f t="array" ref="J1515">IF($Q1515&gt;=0,IFERROR(generateSalesData($D1515, IF(ISNUMBER(_xlfn.XLOOKUP($C1515,Phone_by_Sentiment!$B$2:$B$37,Phone_by_Sentiment!J$2:J$37,"",0,1)),_xlfn.XLOOKUP($C1515,Phone_by_Sentiment!$B$2:$B$37,Phone_by_Sentiment!J$2:J$37,"",0,1),0),$A1515-TEXT(DATEVALUE($D1515&amp;"-01"), "dd-mm-yyyy")),0),0)</f>
        <v>692</v>
      </c>
      <c r="K1515" cm="1">
        <f t="array" ref="K1515">IF($Q1515&gt;=0,IFERROR(generateSalesData($D1515, IF(ISNUMBER(_xlfn.XLOOKUP($C1515,Phone_by_Sentiment!$B$2:$B$37,Phone_by_Sentiment!K$2:K$37,"",0,1)),_xlfn.XLOOKUP($C1515,Phone_by_Sentiment!$B$2:$B$37,Phone_by_Sentiment!K$2:K$37,"",0,1),0),$A1515-TEXT(DATEVALUE($D1515&amp;"-01"), "dd-mm-yyyy")),0),0)</f>
        <v>298</v>
      </c>
      <c r="L1515" cm="1">
        <f t="array" ref="L1515">IF($Q1515&gt;=0,IFERROR(generateSalesData($D1515, IF(ISNUMBER(_xlfn.XLOOKUP($C1515,Phone_by_Sentiment!$B$2:$B$37,Phone_by_Sentiment!L$2:L$37,"",0,1)),_xlfn.XLOOKUP($C1515,Phone_by_Sentiment!$B$2:$B$37,Phone_by_Sentiment!L$2:L$37,"",0,1),0),$A1515-TEXT(DATEVALUE($D1515&amp;"-01"), "dd-mm-yyyy")),0),0)</f>
        <v>1610</v>
      </c>
      <c r="M1515" cm="1">
        <f t="array" ref="M1515">IF($Q1515&gt;=0,IFERROR(generateSalesData($D1515, IF(ISNUMBER(_xlfn.XLOOKUP($C1515,Phone_by_Sentiment!$B$2:$B$37,Phone_by_Sentiment!M$2:M$37,"",0,1)),_xlfn.XLOOKUP($C1515,Phone_by_Sentiment!$B$2:$B$37,Phone_by_Sentiment!M$2:M$37,"",0,1),0),$A1515-TEXT(DATEVALUE($D1515&amp;"-01"), "dd-mm-yyyy")),0),0)</f>
        <v>1534</v>
      </c>
      <c r="N1515" cm="1">
        <f t="array" ref="N1515">IF($Q1515&gt;=0,IFERROR(generateSalesData($D1515, IF(ISNUMBER(_xlfn.XLOOKUP($C1515,Phone_by_Sentiment!$B$2:$B$37,Phone_by_Sentiment!N$2:N$37,"",0,1)),_xlfn.XLOOKUP($C1515,Phone_by_Sentiment!$B$2:$B$37,Phone_by_Sentiment!N$2:N$37,"",0,1),0),$A1515-TEXT(DATEVALUE($D1515&amp;"-01"), "dd-mm-yyyy")),0),0)</f>
        <v>311</v>
      </c>
      <c r="O1515" cm="1">
        <f t="array" ref="O1515">IF($Q1515&gt;=0,IFERROR(generateSalesData($D1515, IF(ISNUMBER(_xlfn.XLOOKUP($C1515,Phone_by_Sentiment!$B$2:$B$37,Phone_by_Sentiment!O$2:O$37,"",0,1)),_xlfn.XLOOKUP($C1515,Phone_by_Sentiment!$B$2:$B$37,Phone_by_Sentiment!O$2:O$37,"",0,1),0),$A1515-TEXT(DATEVALUE($D1515&amp;"-01"), "dd-mm-yyyy")),0),0)</f>
        <v>803</v>
      </c>
      <c r="P1515" s="1">
        <f t="shared" si="58"/>
        <v>44440</v>
      </c>
      <c r="Q1515">
        <f t="shared" si="60"/>
        <v>334</v>
      </c>
    </row>
    <row r="1516" spans="1:17" x14ac:dyDescent="0.25">
      <c r="A1516" s="1">
        <f t="shared" si="59"/>
        <v>44774</v>
      </c>
      <c r="B1516" t="s">
        <v>154</v>
      </c>
      <c r="C1516" t="str">
        <f>_xlfn.XLOOKUP(B1516,Phone_by_Price!$A$2:$A$34,Phone_by_Price!$B$2:$B$34,"-",0,1)</f>
        <v>Samsung Galaxy S21</v>
      </c>
      <c r="D1516" t="str">
        <f>_xlfn.XLOOKUP(C1516,Phone_by_Sentiment!$B$2:$B$37,Phone_by_Sentiment!$A$2:$A$37,"-",0,1)</f>
        <v>2021-01</v>
      </c>
      <c r="E1516" cm="1">
        <f t="array" ref="E1516">IF($Q1516&gt;=0,IFERROR(generateSalesData($D1516, IF(ISNUMBER(_xlfn.XLOOKUP($C1516,Phone_by_Sentiment!$B$2:$B$37,Phone_by_Sentiment!E$2:E$37,"",0,1)),_xlfn.XLOOKUP($C1516,Phone_by_Sentiment!$B$2:$B$37,Phone_by_Sentiment!E$2:E$37,"",0,1),0),$A1516-TEXT(DATEVALUE($D1516&amp;"-01"), "dd-mm-yyyy")),0),0)</f>
        <v>519</v>
      </c>
      <c r="F1516" cm="1">
        <f t="array" ref="F1516">IF($Q1516&gt;=0,IFERROR(generateSalesData($D1516, IF(ISNUMBER(_xlfn.XLOOKUP($C1516,Phone_by_Sentiment!$B$2:$B$37,Phone_by_Sentiment!F$2:F$37,"",0,1)),_xlfn.XLOOKUP($C1516,Phone_by_Sentiment!$B$2:$B$37,Phone_by_Sentiment!F$2:F$37,"",0,1),0),$A1516-TEXT(DATEVALUE($D1516&amp;"-01"), "dd-mm-yyyy")),0),0)</f>
        <v>585</v>
      </c>
      <c r="G1516" cm="1">
        <f t="array" ref="G1516">IF($Q1516&gt;=0,IFERROR(generateSalesData($D1516, IF(ISNUMBER(_xlfn.XLOOKUP($C1516,Phone_by_Sentiment!$B$2:$B$37,Phone_by_Sentiment!G$2:G$37,"",0,1)),_xlfn.XLOOKUP($C1516,Phone_by_Sentiment!$B$2:$B$37,Phone_by_Sentiment!G$2:G$37,"",0,1),0),$A1516-TEXT(DATEVALUE($D1516&amp;"-01"), "dd-mm-yyyy")),0),0)</f>
        <v>91</v>
      </c>
      <c r="H1516" cm="1">
        <f t="array" ref="H1516">IF($Q1516&gt;=0,IFERROR(generateSalesData($D1516, IF(ISNUMBER(_xlfn.XLOOKUP($C1516,Phone_by_Sentiment!$B$2:$B$37,Phone_by_Sentiment!H$2:H$37,"",0,1)),_xlfn.XLOOKUP($C1516,Phone_by_Sentiment!$B$2:$B$37,Phone_by_Sentiment!H$2:H$37,"",0,1),0),$A1516-TEXT(DATEVALUE($D1516&amp;"-01"), "dd-mm-yyyy")),0),0)</f>
        <v>336</v>
      </c>
      <c r="I1516" cm="1">
        <f t="array" ref="I1516">IF($Q1516&gt;=0,IFERROR(generateSalesData($D1516, IF(ISNUMBER(_xlfn.XLOOKUP($C1516,Phone_by_Sentiment!$B$2:$B$37,Phone_by_Sentiment!I$2:I$37,"",0,1)),_xlfn.XLOOKUP($C1516,Phone_by_Sentiment!$B$2:$B$37,Phone_by_Sentiment!I$2:I$37,"",0,1),0),$A1516-TEXT(DATEVALUE($D1516&amp;"-01"), "dd-mm-yyyy")),0),0)</f>
        <v>233</v>
      </c>
      <c r="J1516" cm="1">
        <f t="array" ref="J1516">IF($Q1516&gt;=0,IFERROR(generateSalesData($D1516, IF(ISNUMBER(_xlfn.XLOOKUP($C1516,Phone_by_Sentiment!$B$2:$B$37,Phone_by_Sentiment!J$2:J$37,"",0,1)),_xlfn.XLOOKUP($C1516,Phone_by_Sentiment!$B$2:$B$37,Phone_by_Sentiment!J$2:J$37,"",0,1),0),$A1516-TEXT(DATEVALUE($D1516&amp;"-01"), "dd-mm-yyyy")),0),0)</f>
        <v>347</v>
      </c>
      <c r="K1516" cm="1">
        <f t="array" ref="K1516">IF($Q1516&gt;=0,IFERROR(generateSalesData($D1516, IF(ISNUMBER(_xlfn.XLOOKUP($C1516,Phone_by_Sentiment!$B$2:$B$37,Phone_by_Sentiment!K$2:K$37,"",0,1)),_xlfn.XLOOKUP($C1516,Phone_by_Sentiment!$B$2:$B$37,Phone_by_Sentiment!K$2:K$37,"",0,1),0),$A1516-TEXT(DATEVALUE($D1516&amp;"-01"), "dd-mm-yyyy")),0),0)</f>
        <v>137</v>
      </c>
      <c r="L1516" cm="1">
        <f t="array" ref="L1516">IF($Q1516&gt;=0,IFERROR(generateSalesData($D1516, IF(ISNUMBER(_xlfn.XLOOKUP($C1516,Phone_by_Sentiment!$B$2:$B$37,Phone_by_Sentiment!L$2:L$37,"",0,1)),_xlfn.XLOOKUP($C1516,Phone_by_Sentiment!$B$2:$B$37,Phone_by_Sentiment!L$2:L$37,"",0,1),0),$A1516-TEXT(DATEVALUE($D1516&amp;"-01"), "dd-mm-yyyy")),0),0)</f>
        <v>304</v>
      </c>
      <c r="M1516" cm="1">
        <f t="array" ref="M1516">IF($Q1516&gt;=0,IFERROR(generateSalesData($D1516, IF(ISNUMBER(_xlfn.XLOOKUP($C1516,Phone_by_Sentiment!$B$2:$B$37,Phone_by_Sentiment!M$2:M$37,"",0,1)),_xlfn.XLOOKUP($C1516,Phone_by_Sentiment!$B$2:$B$37,Phone_by_Sentiment!M$2:M$37,"",0,1),0),$A1516-TEXT(DATEVALUE($D1516&amp;"-01"), "dd-mm-yyyy")),0),0)</f>
        <v>628</v>
      </c>
      <c r="N1516" cm="1">
        <f t="array" ref="N1516">IF($Q1516&gt;=0,IFERROR(generateSalesData($D1516, IF(ISNUMBER(_xlfn.XLOOKUP($C1516,Phone_by_Sentiment!$B$2:$B$37,Phone_by_Sentiment!N$2:N$37,"",0,1)),_xlfn.XLOOKUP($C1516,Phone_by_Sentiment!$B$2:$B$37,Phone_by_Sentiment!N$2:N$37,"",0,1),0),$A1516-TEXT(DATEVALUE($D1516&amp;"-01"), "dd-mm-yyyy")),0),0)</f>
        <v>483</v>
      </c>
      <c r="O1516" cm="1">
        <f t="array" ref="O1516">IF($Q1516&gt;=0,IFERROR(generateSalesData($D1516, IF(ISNUMBER(_xlfn.XLOOKUP($C1516,Phone_by_Sentiment!$B$2:$B$37,Phone_by_Sentiment!O$2:O$37,"",0,1)),_xlfn.XLOOKUP($C1516,Phone_by_Sentiment!$B$2:$B$37,Phone_by_Sentiment!O$2:O$37,"",0,1),0),$A1516-TEXT(DATEVALUE($D1516&amp;"-01"), "dd-mm-yyyy")),0),0)</f>
        <v>-33</v>
      </c>
      <c r="P1516" s="1">
        <f t="shared" si="58"/>
        <v>44197</v>
      </c>
      <c r="Q1516">
        <f t="shared" si="60"/>
        <v>577</v>
      </c>
    </row>
    <row r="1517" spans="1:17" x14ac:dyDescent="0.25">
      <c r="A1517" s="1">
        <f t="shared" si="59"/>
        <v>44774</v>
      </c>
      <c r="B1517" t="s">
        <v>155</v>
      </c>
      <c r="C1517" t="str">
        <f>_xlfn.XLOOKUP(B1517,Phone_by_Price!$A$2:$A$34,Phone_by_Price!$B$2:$B$34,"-",0,1)</f>
        <v>Google Pixel 6</v>
      </c>
      <c r="D1517" t="str">
        <f>_xlfn.XLOOKUP(C1517,Phone_by_Sentiment!$B$2:$B$37,Phone_by_Sentiment!$A$2:$A$37,"-",0,1)</f>
        <v>2021-10</v>
      </c>
      <c r="E1517" cm="1">
        <f t="array" ref="E1517">IF($Q1517&gt;=0,IFERROR(generateSalesData($D1517, IF(ISNUMBER(_xlfn.XLOOKUP($C1517,Phone_by_Sentiment!$B$2:$B$37,Phone_by_Sentiment!E$2:E$37,"",0,1)),_xlfn.XLOOKUP($C1517,Phone_by_Sentiment!$B$2:$B$37,Phone_by_Sentiment!E$2:E$37,"",0,1),0),$A1517-TEXT(DATEVALUE($D1517&amp;"-01"), "dd-mm-yyyy")),0),0)</f>
        <v>65</v>
      </c>
      <c r="F1517" cm="1">
        <f t="array" ref="F1517">IF($Q1517&gt;=0,IFERROR(generateSalesData($D1517, IF(ISNUMBER(_xlfn.XLOOKUP($C1517,Phone_by_Sentiment!$B$2:$B$37,Phone_by_Sentiment!F$2:F$37,"",0,1)),_xlfn.XLOOKUP($C1517,Phone_by_Sentiment!$B$2:$B$37,Phone_by_Sentiment!F$2:F$37,"",0,1),0),$A1517-TEXT(DATEVALUE($D1517&amp;"-01"), "dd-mm-yyyy")),0),0)</f>
        <v>71</v>
      </c>
      <c r="G1517" cm="1">
        <f t="array" ref="G1517">IF($Q1517&gt;=0,IFERROR(generateSalesData($D1517, IF(ISNUMBER(_xlfn.XLOOKUP($C1517,Phone_by_Sentiment!$B$2:$B$37,Phone_by_Sentiment!G$2:G$37,"",0,1)),_xlfn.XLOOKUP($C1517,Phone_by_Sentiment!$B$2:$B$37,Phone_by_Sentiment!G$2:G$37,"",0,1),0),$A1517-TEXT(DATEVALUE($D1517&amp;"-01"), "dd-mm-yyyy")),0),0)</f>
        <v>147</v>
      </c>
      <c r="H1517" cm="1">
        <f t="array" ref="H1517">IF($Q1517&gt;=0,IFERROR(generateSalesData($D1517, IF(ISNUMBER(_xlfn.XLOOKUP($C1517,Phone_by_Sentiment!$B$2:$B$37,Phone_by_Sentiment!H$2:H$37,"",0,1)),_xlfn.XLOOKUP($C1517,Phone_by_Sentiment!$B$2:$B$37,Phone_by_Sentiment!H$2:H$37,"",0,1),0),$A1517-TEXT(DATEVALUE($D1517&amp;"-01"), "dd-mm-yyyy")),0),0)</f>
        <v>63</v>
      </c>
      <c r="I1517" cm="1">
        <f t="array" ref="I1517">IF($Q1517&gt;=0,IFERROR(generateSalesData($D1517, IF(ISNUMBER(_xlfn.XLOOKUP($C1517,Phone_by_Sentiment!$B$2:$B$37,Phone_by_Sentiment!I$2:I$37,"",0,1)),_xlfn.XLOOKUP($C1517,Phone_by_Sentiment!$B$2:$B$37,Phone_by_Sentiment!I$2:I$37,"",0,1),0),$A1517-TEXT(DATEVALUE($D1517&amp;"-01"), "dd-mm-yyyy")),0),0)</f>
        <v>59</v>
      </c>
      <c r="J1517" cm="1">
        <f t="array" ref="J1517">IF($Q1517&gt;=0,IFERROR(generateSalesData($D1517, IF(ISNUMBER(_xlfn.XLOOKUP($C1517,Phone_by_Sentiment!$B$2:$B$37,Phone_by_Sentiment!J$2:J$37,"",0,1)),_xlfn.XLOOKUP($C1517,Phone_by_Sentiment!$B$2:$B$37,Phone_by_Sentiment!J$2:J$37,"",0,1),0),$A1517-TEXT(DATEVALUE($D1517&amp;"-01"), "dd-mm-yyyy")),0),0)</f>
        <v>127</v>
      </c>
      <c r="K1517" cm="1">
        <f t="array" ref="K1517">IF($Q1517&gt;=0,IFERROR(generateSalesData($D1517, IF(ISNUMBER(_xlfn.XLOOKUP($C1517,Phone_by_Sentiment!$B$2:$B$37,Phone_by_Sentiment!K$2:K$37,"",0,1)),_xlfn.XLOOKUP($C1517,Phone_by_Sentiment!$B$2:$B$37,Phone_by_Sentiment!K$2:K$37,"",0,1),0),$A1517-TEXT(DATEVALUE($D1517&amp;"-01"), "dd-mm-yyyy")),0),0)</f>
        <v>94</v>
      </c>
      <c r="L1517" cm="1">
        <f t="array" ref="L1517">IF($Q1517&gt;=0,IFERROR(generateSalesData($D1517, IF(ISNUMBER(_xlfn.XLOOKUP($C1517,Phone_by_Sentiment!$B$2:$B$37,Phone_by_Sentiment!L$2:L$37,"",0,1)),_xlfn.XLOOKUP($C1517,Phone_by_Sentiment!$B$2:$B$37,Phone_by_Sentiment!L$2:L$37,"",0,1),0),$A1517-TEXT(DATEVALUE($D1517&amp;"-01"), "dd-mm-yyyy")),0),0)</f>
        <v>163</v>
      </c>
      <c r="M1517" cm="1">
        <f t="array" ref="M1517">IF($Q1517&gt;=0,IFERROR(generateSalesData($D1517, IF(ISNUMBER(_xlfn.XLOOKUP($C1517,Phone_by_Sentiment!$B$2:$B$37,Phone_by_Sentiment!M$2:M$37,"",0,1)),_xlfn.XLOOKUP($C1517,Phone_by_Sentiment!$B$2:$B$37,Phone_by_Sentiment!M$2:M$37,"",0,1),0),$A1517-TEXT(DATEVALUE($D1517&amp;"-01"), "dd-mm-yyyy")),0),0)</f>
        <v>565</v>
      </c>
      <c r="N1517" cm="1">
        <f t="array" ref="N1517">IF($Q1517&gt;=0,IFERROR(generateSalesData($D1517, IF(ISNUMBER(_xlfn.XLOOKUP($C1517,Phone_by_Sentiment!$B$2:$B$37,Phone_by_Sentiment!N$2:N$37,"",0,1)),_xlfn.XLOOKUP($C1517,Phone_by_Sentiment!$B$2:$B$37,Phone_by_Sentiment!N$2:N$37,"",0,1),0),$A1517-TEXT(DATEVALUE($D1517&amp;"-01"), "dd-mm-yyyy")),0),0)</f>
        <v>143</v>
      </c>
      <c r="O1517" cm="1">
        <f t="array" ref="O1517">IF($Q1517&gt;=0,IFERROR(generateSalesData($D1517, IF(ISNUMBER(_xlfn.XLOOKUP($C1517,Phone_by_Sentiment!$B$2:$B$37,Phone_by_Sentiment!O$2:O$37,"",0,1)),_xlfn.XLOOKUP($C1517,Phone_by_Sentiment!$B$2:$B$37,Phone_by_Sentiment!O$2:O$37,"",0,1),0),$A1517-TEXT(DATEVALUE($D1517&amp;"-01"), "dd-mm-yyyy")),0),0)</f>
        <v>228</v>
      </c>
      <c r="P1517" s="1">
        <f t="shared" si="58"/>
        <v>44470</v>
      </c>
      <c r="Q1517">
        <f t="shared" si="60"/>
        <v>304</v>
      </c>
    </row>
    <row r="1518" spans="1:17" x14ac:dyDescent="0.25">
      <c r="A1518" s="1">
        <f t="shared" si="59"/>
        <v>44774</v>
      </c>
      <c r="B1518" t="s">
        <v>156</v>
      </c>
      <c r="C1518" t="str">
        <f>_xlfn.XLOOKUP(B1518,Phone_by_Price!$A$2:$A$34,Phone_by_Price!$B$2:$B$34,"-",0,1)</f>
        <v>OnePlus Nord CE</v>
      </c>
      <c r="D1518" t="str">
        <f>_xlfn.XLOOKUP(C1518,Phone_by_Sentiment!$B$2:$B$37,Phone_by_Sentiment!$A$2:$A$37,"-",0,1)</f>
        <v>2021-06</v>
      </c>
      <c r="E1518" cm="1">
        <f t="array" ref="E1518">IF($Q1518&gt;=0,IFERROR(generateSalesData($D1518, IF(ISNUMBER(_xlfn.XLOOKUP($C1518,Phone_by_Sentiment!$B$2:$B$37,Phone_by_Sentiment!E$2:E$37,"",0,1)),_xlfn.XLOOKUP($C1518,Phone_by_Sentiment!$B$2:$B$37,Phone_by_Sentiment!E$2:E$37,"",0,1),0),$A1518-TEXT(DATEVALUE($D1518&amp;"-01"), "dd-mm-yyyy")),0),0)</f>
        <v>36</v>
      </c>
      <c r="F1518" cm="1">
        <f t="array" ref="F1518">IF($Q1518&gt;=0,IFERROR(generateSalesData($D1518, IF(ISNUMBER(_xlfn.XLOOKUP($C1518,Phone_by_Sentiment!$B$2:$B$37,Phone_by_Sentiment!F$2:F$37,"",0,1)),_xlfn.XLOOKUP($C1518,Phone_by_Sentiment!$B$2:$B$37,Phone_by_Sentiment!F$2:F$37,"",0,1),0),$A1518-TEXT(DATEVALUE($D1518&amp;"-01"), "dd-mm-yyyy")),0),0)</f>
        <v>58</v>
      </c>
      <c r="G1518" cm="1">
        <f t="array" ref="G1518">IF($Q1518&gt;=0,IFERROR(generateSalesData($D1518, IF(ISNUMBER(_xlfn.XLOOKUP($C1518,Phone_by_Sentiment!$B$2:$B$37,Phone_by_Sentiment!G$2:G$37,"",0,1)),_xlfn.XLOOKUP($C1518,Phone_by_Sentiment!$B$2:$B$37,Phone_by_Sentiment!G$2:G$37,"",0,1),0),$A1518-TEXT(DATEVALUE($D1518&amp;"-01"), "dd-mm-yyyy")),0),0)</f>
        <v>69</v>
      </c>
      <c r="H1518" cm="1">
        <f t="array" ref="H1518">IF($Q1518&gt;=0,IFERROR(generateSalesData($D1518, IF(ISNUMBER(_xlfn.XLOOKUP($C1518,Phone_by_Sentiment!$B$2:$B$37,Phone_by_Sentiment!H$2:H$37,"",0,1)),_xlfn.XLOOKUP($C1518,Phone_by_Sentiment!$B$2:$B$37,Phone_by_Sentiment!H$2:H$37,"",0,1),0),$A1518-TEXT(DATEVALUE($D1518&amp;"-01"), "dd-mm-yyyy")),0),0)</f>
        <v>397</v>
      </c>
      <c r="I1518" cm="1">
        <f t="array" ref="I1518">IF($Q1518&gt;=0,IFERROR(generateSalesData($D1518, IF(ISNUMBER(_xlfn.XLOOKUP($C1518,Phone_by_Sentiment!$B$2:$B$37,Phone_by_Sentiment!I$2:I$37,"",0,1)),_xlfn.XLOOKUP($C1518,Phone_by_Sentiment!$B$2:$B$37,Phone_by_Sentiment!I$2:I$37,"",0,1),0),$A1518-TEXT(DATEVALUE($D1518&amp;"-01"), "dd-mm-yyyy")),0),0)</f>
        <v>60</v>
      </c>
      <c r="J1518" cm="1">
        <f t="array" ref="J1518">IF($Q1518&gt;=0,IFERROR(generateSalesData($D1518, IF(ISNUMBER(_xlfn.XLOOKUP($C1518,Phone_by_Sentiment!$B$2:$B$37,Phone_by_Sentiment!J$2:J$37,"",0,1)),_xlfn.XLOOKUP($C1518,Phone_by_Sentiment!$B$2:$B$37,Phone_by_Sentiment!J$2:J$37,"",0,1),0),$A1518-TEXT(DATEVALUE($D1518&amp;"-01"), "dd-mm-yyyy")),0),0)</f>
        <v>64</v>
      </c>
      <c r="K1518" cm="1">
        <f t="array" ref="K1518">IF($Q1518&gt;=0,IFERROR(generateSalesData($D1518, IF(ISNUMBER(_xlfn.XLOOKUP($C1518,Phone_by_Sentiment!$B$2:$B$37,Phone_by_Sentiment!K$2:K$37,"",0,1)),_xlfn.XLOOKUP($C1518,Phone_by_Sentiment!$B$2:$B$37,Phone_by_Sentiment!K$2:K$37,"",0,1),0),$A1518-TEXT(DATEVALUE($D1518&amp;"-01"), "dd-mm-yyyy")),0),0)</f>
        <v>95</v>
      </c>
      <c r="L1518" cm="1">
        <f t="array" ref="L1518">IF($Q1518&gt;=0,IFERROR(generateSalesData($D1518, IF(ISNUMBER(_xlfn.XLOOKUP($C1518,Phone_by_Sentiment!$B$2:$B$37,Phone_by_Sentiment!L$2:L$37,"",0,1)),_xlfn.XLOOKUP($C1518,Phone_by_Sentiment!$B$2:$B$37,Phone_by_Sentiment!L$2:L$37,"",0,1),0),$A1518-TEXT(DATEVALUE($D1518&amp;"-01"), "dd-mm-yyyy")),0),0)</f>
        <v>125</v>
      </c>
      <c r="M1518" cm="1">
        <f t="array" ref="M1518">IF($Q1518&gt;=0,IFERROR(generateSalesData($D1518, IF(ISNUMBER(_xlfn.XLOOKUP($C1518,Phone_by_Sentiment!$B$2:$B$37,Phone_by_Sentiment!M$2:M$37,"",0,1)),_xlfn.XLOOKUP($C1518,Phone_by_Sentiment!$B$2:$B$37,Phone_by_Sentiment!M$2:M$37,"",0,1),0),$A1518-TEXT(DATEVALUE($D1518&amp;"-01"), "dd-mm-yyyy")),0),0)</f>
        <v>8</v>
      </c>
      <c r="N1518" cm="1">
        <f t="array" ref="N1518">IF($Q1518&gt;=0,IFERROR(generateSalesData($D1518, IF(ISNUMBER(_xlfn.XLOOKUP($C1518,Phone_by_Sentiment!$B$2:$B$37,Phone_by_Sentiment!N$2:N$37,"",0,1)),_xlfn.XLOOKUP($C1518,Phone_by_Sentiment!$B$2:$B$37,Phone_by_Sentiment!N$2:N$37,"",0,1),0),$A1518-TEXT(DATEVALUE($D1518&amp;"-01"), "dd-mm-yyyy")),0),0)</f>
        <v>1322</v>
      </c>
      <c r="O1518" cm="1">
        <f t="array" ref="O1518">IF($Q1518&gt;=0,IFERROR(generateSalesData($D1518, IF(ISNUMBER(_xlfn.XLOOKUP($C1518,Phone_by_Sentiment!$B$2:$B$37,Phone_by_Sentiment!O$2:O$37,"",0,1)),_xlfn.XLOOKUP($C1518,Phone_by_Sentiment!$B$2:$B$37,Phone_by_Sentiment!O$2:O$37,"",0,1),0),$A1518-TEXT(DATEVALUE($D1518&amp;"-01"), "dd-mm-yyyy")),0),0)</f>
        <v>35</v>
      </c>
      <c r="P1518" s="1">
        <f t="shared" si="58"/>
        <v>44348</v>
      </c>
      <c r="Q1518">
        <f t="shared" si="60"/>
        <v>426</v>
      </c>
    </row>
    <row r="1519" spans="1:17" x14ac:dyDescent="0.25">
      <c r="A1519" s="1">
        <f t="shared" si="59"/>
        <v>44774</v>
      </c>
      <c r="B1519" t="s">
        <v>157</v>
      </c>
      <c r="C1519" t="str">
        <f>_xlfn.XLOOKUP(B1519,Phone_by_Price!$A$2:$A$34,Phone_by_Price!$B$2:$B$34,"-",0,1)</f>
        <v>Apple iPhone 13 Pro</v>
      </c>
      <c r="D1519" t="str">
        <f>_xlfn.XLOOKUP(C1519,Phone_by_Sentiment!$B$2:$B$37,Phone_by_Sentiment!$A$2:$A$37,"-",0,1)</f>
        <v>2021-09</v>
      </c>
      <c r="E1519" cm="1">
        <f t="array" ref="E1519">IF($Q1519&gt;=0,IFERROR(generateSalesData($D1519, IF(ISNUMBER(_xlfn.XLOOKUP($C1519,Phone_by_Sentiment!$B$2:$B$37,Phone_by_Sentiment!E$2:E$37,"",0,1)),_xlfn.XLOOKUP($C1519,Phone_by_Sentiment!$B$2:$B$37,Phone_by_Sentiment!E$2:E$37,"",0,1),0),$A1519-TEXT(DATEVALUE($D1519&amp;"-01"), "dd-mm-yyyy")),0),0)</f>
        <v>203</v>
      </c>
      <c r="F1519" cm="1">
        <f t="array" ref="F1519">IF($Q1519&gt;=0,IFERROR(generateSalesData($D1519, IF(ISNUMBER(_xlfn.XLOOKUP($C1519,Phone_by_Sentiment!$B$2:$B$37,Phone_by_Sentiment!F$2:F$37,"",0,1)),_xlfn.XLOOKUP($C1519,Phone_by_Sentiment!$B$2:$B$37,Phone_by_Sentiment!F$2:F$37,"",0,1),0),$A1519-TEXT(DATEVALUE($D1519&amp;"-01"), "dd-mm-yyyy")),0),0)</f>
        <v>1198</v>
      </c>
      <c r="G1519" cm="1">
        <f t="array" ref="G1519">IF($Q1519&gt;=0,IFERROR(generateSalesData($D1519, IF(ISNUMBER(_xlfn.XLOOKUP($C1519,Phone_by_Sentiment!$B$2:$B$37,Phone_by_Sentiment!G$2:G$37,"",0,1)),_xlfn.XLOOKUP($C1519,Phone_by_Sentiment!$B$2:$B$37,Phone_by_Sentiment!G$2:G$37,"",0,1),0),$A1519-TEXT(DATEVALUE($D1519&amp;"-01"), "dd-mm-yyyy")),0),0)</f>
        <v>64</v>
      </c>
      <c r="H1519" cm="1">
        <f t="array" ref="H1519">IF($Q1519&gt;=0,IFERROR(generateSalesData($D1519, IF(ISNUMBER(_xlfn.XLOOKUP($C1519,Phone_by_Sentiment!$B$2:$B$37,Phone_by_Sentiment!H$2:H$37,"",0,1)),_xlfn.XLOOKUP($C1519,Phone_by_Sentiment!$B$2:$B$37,Phone_by_Sentiment!H$2:H$37,"",0,1),0),$A1519-TEXT(DATEVALUE($D1519&amp;"-01"), "dd-mm-yyyy")),0),0)</f>
        <v>551</v>
      </c>
      <c r="I1519" cm="1">
        <f t="array" ref="I1519">IF($Q1519&gt;=0,IFERROR(generateSalesData($D1519, IF(ISNUMBER(_xlfn.XLOOKUP($C1519,Phone_by_Sentiment!$B$2:$B$37,Phone_by_Sentiment!I$2:I$37,"",0,1)),_xlfn.XLOOKUP($C1519,Phone_by_Sentiment!$B$2:$B$37,Phone_by_Sentiment!I$2:I$37,"",0,1),0),$A1519-TEXT(DATEVALUE($D1519&amp;"-01"), "dd-mm-yyyy")),0),0)</f>
        <v>677</v>
      </c>
      <c r="J1519" cm="1">
        <f t="array" ref="J1519">IF($Q1519&gt;=0,IFERROR(generateSalesData($D1519, IF(ISNUMBER(_xlfn.XLOOKUP($C1519,Phone_by_Sentiment!$B$2:$B$37,Phone_by_Sentiment!J$2:J$37,"",0,1)),_xlfn.XLOOKUP($C1519,Phone_by_Sentiment!$B$2:$B$37,Phone_by_Sentiment!J$2:J$37,"",0,1),0),$A1519-TEXT(DATEVALUE($D1519&amp;"-01"), "dd-mm-yyyy")),0),0)</f>
        <v>345</v>
      </c>
      <c r="K1519" cm="1">
        <f t="array" ref="K1519">IF($Q1519&gt;=0,IFERROR(generateSalesData($D1519, IF(ISNUMBER(_xlfn.XLOOKUP($C1519,Phone_by_Sentiment!$B$2:$B$37,Phone_by_Sentiment!K$2:K$37,"",0,1)),_xlfn.XLOOKUP($C1519,Phone_by_Sentiment!$B$2:$B$37,Phone_by_Sentiment!K$2:K$37,"",0,1),0),$A1519-TEXT(DATEVALUE($D1519&amp;"-01"), "dd-mm-yyyy")),0),0)</f>
        <v>845</v>
      </c>
      <c r="L1519" cm="1">
        <f t="array" ref="L1519">IF($Q1519&gt;=0,IFERROR(generateSalesData($D1519, IF(ISNUMBER(_xlfn.XLOOKUP($C1519,Phone_by_Sentiment!$B$2:$B$37,Phone_by_Sentiment!L$2:L$37,"",0,1)),_xlfn.XLOOKUP($C1519,Phone_by_Sentiment!$B$2:$B$37,Phone_by_Sentiment!L$2:L$37,"",0,1),0),$A1519-TEXT(DATEVALUE($D1519&amp;"-01"), "dd-mm-yyyy")),0),0)</f>
        <v>718</v>
      </c>
      <c r="M1519" cm="1">
        <f t="array" ref="M1519">IF($Q1519&gt;=0,IFERROR(generateSalesData($D1519, IF(ISNUMBER(_xlfn.XLOOKUP($C1519,Phone_by_Sentiment!$B$2:$B$37,Phone_by_Sentiment!M$2:M$37,"",0,1)),_xlfn.XLOOKUP($C1519,Phone_by_Sentiment!$B$2:$B$37,Phone_by_Sentiment!M$2:M$37,"",0,1),0),$A1519-TEXT(DATEVALUE($D1519&amp;"-01"), "dd-mm-yyyy")),0),0)</f>
        <v>1150</v>
      </c>
      <c r="N1519" cm="1">
        <f t="array" ref="N1519">IF($Q1519&gt;=0,IFERROR(generateSalesData($D1519, IF(ISNUMBER(_xlfn.XLOOKUP($C1519,Phone_by_Sentiment!$B$2:$B$37,Phone_by_Sentiment!N$2:N$37,"",0,1)),_xlfn.XLOOKUP($C1519,Phone_by_Sentiment!$B$2:$B$37,Phone_by_Sentiment!N$2:N$37,"",0,1),0),$A1519-TEXT(DATEVALUE($D1519&amp;"-01"), "dd-mm-yyyy")),0),0)</f>
        <v>1042</v>
      </c>
      <c r="O1519" cm="1">
        <f t="array" ref="O1519">IF($Q1519&gt;=0,IFERROR(generateSalesData($D1519, IF(ISNUMBER(_xlfn.XLOOKUP($C1519,Phone_by_Sentiment!$B$2:$B$37,Phone_by_Sentiment!O$2:O$37,"",0,1)),_xlfn.XLOOKUP($C1519,Phone_by_Sentiment!$B$2:$B$37,Phone_by_Sentiment!O$2:O$37,"",0,1),0),$A1519-TEXT(DATEVALUE($D1519&amp;"-01"), "dd-mm-yyyy")),0),0)</f>
        <v>522</v>
      </c>
      <c r="P1519" s="1">
        <f t="shared" si="58"/>
        <v>44440</v>
      </c>
      <c r="Q1519">
        <f t="shared" si="60"/>
        <v>334</v>
      </c>
    </row>
    <row r="1520" spans="1:17" x14ac:dyDescent="0.25">
      <c r="A1520" s="1">
        <f t="shared" si="59"/>
        <v>44774</v>
      </c>
      <c r="B1520" t="s">
        <v>158</v>
      </c>
      <c r="C1520" t="str">
        <f>_xlfn.XLOOKUP(B1520,Phone_by_Price!$A$2:$A$34,Phone_by_Price!$B$2:$B$34,"-",0,1)</f>
        <v>Samsung Galaxy A32 5G</v>
      </c>
      <c r="D1520" t="str">
        <f>_xlfn.XLOOKUP(C1520,Phone_by_Sentiment!$B$2:$B$37,Phone_by_Sentiment!$A$2:$A$37,"-",0,1)</f>
        <v>2021-02</v>
      </c>
      <c r="E1520" cm="1">
        <f t="array" ref="E1520">IF($Q1520&gt;=0,IFERROR(generateSalesData($D1520, IF(ISNUMBER(_xlfn.XLOOKUP($C1520,Phone_by_Sentiment!$B$2:$B$37,Phone_by_Sentiment!E$2:E$37,"",0,1)),_xlfn.XLOOKUP($C1520,Phone_by_Sentiment!$B$2:$B$37,Phone_by_Sentiment!E$2:E$37,"",0,1),0),$A1520-TEXT(DATEVALUE($D1520&amp;"-01"), "dd-mm-yyyy")),0),0)</f>
        <v>463</v>
      </c>
      <c r="F1520" cm="1">
        <f t="array" ref="F1520">IF($Q1520&gt;=0,IFERROR(generateSalesData($D1520, IF(ISNUMBER(_xlfn.XLOOKUP($C1520,Phone_by_Sentiment!$B$2:$B$37,Phone_by_Sentiment!F$2:F$37,"",0,1)),_xlfn.XLOOKUP($C1520,Phone_by_Sentiment!$B$2:$B$37,Phone_by_Sentiment!F$2:F$37,"",0,1),0),$A1520-TEXT(DATEVALUE($D1520&amp;"-01"), "dd-mm-yyyy")),0),0)</f>
        <v>521</v>
      </c>
      <c r="G1520" cm="1">
        <f t="array" ref="G1520">IF($Q1520&gt;=0,IFERROR(generateSalesData($D1520, IF(ISNUMBER(_xlfn.XLOOKUP($C1520,Phone_by_Sentiment!$B$2:$B$37,Phone_by_Sentiment!G$2:G$37,"",0,1)),_xlfn.XLOOKUP($C1520,Phone_by_Sentiment!$B$2:$B$37,Phone_by_Sentiment!G$2:G$37,"",0,1),0),$A1520-TEXT(DATEVALUE($D1520&amp;"-01"), "dd-mm-yyyy")),0),0)</f>
        <v>124</v>
      </c>
      <c r="H1520" cm="1">
        <f t="array" ref="H1520">IF($Q1520&gt;=0,IFERROR(generateSalesData($D1520, IF(ISNUMBER(_xlfn.XLOOKUP($C1520,Phone_by_Sentiment!$B$2:$B$37,Phone_by_Sentiment!H$2:H$37,"",0,1)),_xlfn.XLOOKUP($C1520,Phone_by_Sentiment!$B$2:$B$37,Phone_by_Sentiment!H$2:H$37,"",0,1),0),$A1520-TEXT(DATEVALUE($D1520&amp;"-01"), "dd-mm-yyyy")),0),0)</f>
        <v>361</v>
      </c>
      <c r="I1520" cm="1">
        <f t="array" ref="I1520">IF($Q1520&gt;=0,IFERROR(generateSalesData($D1520, IF(ISNUMBER(_xlfn.XLOOKUP($C1520,Phone_by_Sentiment!$B$2:$B$37,Phone_by_Sentiment!I$2:I$37,"",0,1)),_xlfn.XLOOKUP($C1520,Phone_by_Sentiment!$B$2:$B$37,Phone_by_Sentiment!I$2:I$37,"",0,1),0),$A1520-TEXT(DATEVALUE($D1520&amp;"-01"), "dd-mm-yyyy")),0),0)</f>
        <v>427</v>
      </c>
      <c r="J1520" cm="1">
        <f t="array" ref="J1520">IF($Q1520&gt;=0,IFERROR(generateSalesData($D1520, IF(ISNUMBER(_xlfn.XLOOKUP($C1520,Phone_by_Sentiment!$B$2:$B$37,Phone_by_Sentiment!J$2:J$37,"",0,1)),_xlfn.XLOOKUP($C1520,Phone_by_Sentiment!$B$2:$B$37,Phone_by_Sentiment!J$2:J$37,"",0,1),0),$A1520-TEXT(DATEVALUE($D1520&amp;"-01"), "dd-mm-yyyy")),0),0)</f>
        <v>386</v>
      </c>
      <c r="K1520" cm="1">
        <f t="array" ref="K1520">IF($Q1520&gt;=0,IFERROR(generateSalesData($D1520, IF(ISNUMBER(_xlfn.XLOOKUP($C1520,Phone_by_Sentiment!$B$2:$B$37,Phone_by_Sentiment!K$2:K$37,"",0,1)),_xlfn.XLOOKUP($C1520,Phone_by_Sentiment!$B$2:$B$37,Phone_by_Sentiment!K$2:K$37,"",0,1),0),$A1520-TEXT(DATEVALUE($D1520&amp;"-01"), "dd-mm-yyyy")),0),0)</f>
        <v>274</v>
      </c>
      <c r="L1520" cm="1">
        <f t="array" ref="L1520">IF($Q1520&gt;=0,IFERROR(generateSalesData($D1520, IF(ISNUMBER(_xlfn.XLOOKUP($C1520,Phone_by_Sentiment!$B$2:$B$37,Phone_by_Sentiment!L$2:L$37,"",0,1)),_xlfn.XLOOKUP($C1520,Phone_by_Sentiment!$B$2:$B$37,Phone_by_Sentiment!L$2:L$37,"",0,1),0),$A1520-TEXT(DATEVALUE($D1520&amp;"-01"), "dd-mm-yyyy")),0),0)</f>
        <v>632</v>
      </c>
      <c r="M1520" cm="1">
        <f t="array" ref="M1520">IF($Q1520&gt;=0,IFERROR(generateSalesData($D1520, IF(ISNUMBER(_xlfn.XLOOKUP($C1520,Phone_by_Sentiment!$B$2:$B$37,Phone_by_Sentiment!M$2:M$37,"",0,1)),_xlfn.XLOOKUP($C1520,Phone_by_Sentiment!$B$2:$B$37,Phone_by_Sentiment!M$2:M$37,"",0,1),0),$A1520-TEXT(DATEVALUE($D1520&amp;"-01"), "dd-mm-yyyy")),0),0)</f>
        <v>581</v>
      </c>
      <c r="N1520" cm="1">
        <f t="array" ref="N1520">IF($Q1520&gt;=0,IFERROR(generateSalesData($D1520, IF(ISNUMBER(_xlfn.XLOOKUP($C1520,Phone_by_Sentiment!$B$2:$B$37,Phone_by_Sentiment!N$2:N$37,"",0,1)),_xlfn.XLOOKUP($C1520,Phone_by_Sentiment!$B$2:$B$37,Phone_by_Sentiment!N$2:N$37,"",0,1),0),$A1520-TEXT(DATEVALUE($D1520&amp;"-01"), "dd-mm-yyyy")),0),0)</f>
        <v>347</v>
      </c>
      <c r="O1520" cm="1">
        <f t="array" ref="O1520">IF($Q1520&gt;=0,IFERROR(generateSalesData($D1520, IF(ISNUMBER(_xlfn.XLOOKUP($C1520,Phone_by_Sentiment!$B$2:$B$37,Phone_by_Sentiment!O$2:O$37,"",0,1)),_xlfn.XLOOKUP($C1520,Phone_by_Sentiment!$B$2:$B$37,Phone_by_Sentiment!O$2:O$37,"",0,1),0),$A1520-TEXT(DATEVALUE($D1520&amp;"-01"), "dd-mm-yyyy")),0),0)</f>
        <v>400</v>
      </c>
      <c r="P1520" s="1">
        <f t="shared" si="58"/>
        <v>44228</v>
      </c>
      <c r="Q1520">
        <f t="shared" si="60"/>
        <v>546</v>
      </c>
    </row>
    <row r="1521" spans="1:17" x14ac:dyDescent="0.25">
      <c r="A1521" s="1">
        <f t="shared" si="59"/>
        <v>44774</v>
      </c>
      <c r="B1521" t="s">
        <v>159</v>
      </c>
      <c r="C1521" t="str">
        <f>_xlfn.XLOOKUP(B1521,Phone_by_Price!$A$2:$A$34,Phone_by_Price!$B$2:$B$34,"-",0,1)</f>
        <v>Realme C25</v>
      </c>
      <c r="D1521" t="str">
        <f>_xlfn.XLOOKUP(C1521,Phone_by_Sentiment!$B$2:$B$37,Phone_by_Sentiment!$A$2:$A$37,"-",0,1)</f>
        <v>2021-03</v>
      </c>
      <c r="E1521" cm="1">
        <f t="array" ref="E1521">IF($Q1521&gt;=0,IFERROR(generateSalesData($D1521, IF(ISNUMBER(_xlfn.XLOOKUP($C1521,Phone_by_Sentiment!$B$2:$B$37,Phone_by_Sentiment!E$2:E$37,"",0,1)),_xlfn.XLOOKUP($C1521,Phone_by_Sentiment!$B$2:$B$37,Phone_by_Sentiment!E$2:E$37,"",0,1),0),$A1521-TEXT(DATEVALUE($D1521&amp;"-01"), "dd-mm-yyyy")),0),0)</f>
        <v>107</v>
      </c>
      <c r="F1521" cm="1">
        <f t="array" ref="F1521">IF($Q1521&gt;=0,IFERROR(generateSalesData($D1521, IF(ISNUMBER(_xlfn.XLOOKUP($C1521,Phone_by_Sentiment!$B$2:$B$37,Phone_by_Sentiment!F$2:F$37,"",0,1)),_xlfn.XLOOKUP($C1521,Phone_by_Sentiment!$B$2:$B$37,Phone_by_Sentiment!F$2:F$37,"",0,1),0),$A1521-TEXT(DATEVALUE($D1521&amp;"-01"), "dd-mm-yyyy")),0),0)</f>
        <v>444</v>
      </c>
      <c r="G1521" cm="1">
        <f t="array" ref="G1521">IF($Q1521&gt;=0,IFERROR(generateSalesData($D1521, IF(ISNUMBER(_xlfn.XLOOKUP($C1521,Phone_by_Sentiment!$B$2:$B$37,Phone_by_Sentiment!G$2:G$37,"",0,1)),_xlfn.XLOOKUP($C1521,Phone_by_Sentiment!$B$2:$B$37,Phone_by_Sentiment!G$2:G$37,"",0,1),0),$A1521-TEXT(DATEVALUE($D1521&amp;"-01"), "dd-mm-yyyy")),0),0)</f>
        <v>202</v>
      </c>
      <c r="H1521" cm="1">
        <f t="array" ref="H1521">IF($Q1521&gt;=0,IFERROR(generateSalesData($D1521, IF(ISNUMBER(_xlfn.XLOOKUP($C1521,Phone_by_Sentiment!$B$2:$B$37,Phone_by_Sentiment!H$2:H$37,"",0,1)),_xlfn.XLOOKUP($C1521,Phone_by_Sentiment!$B$2:$B$37,Phone_by_Sentiment!H$2:H$37,"",0,1),0),$A1521-TEXT(DATEVALUE($D1521&amp;"-01"), "dd-mm-yyyy")),0),0)</f>
        <v>69</v>
      </c>
      <c r="I1521" cm="1">
        <f t="array" ref="I1521">IF($Q1521&gt;=0,IFERROR(generateSalesData($D1521, IF(ISNUMBER(_xlfn.XLOOKUP($C1521,Phone_by_Sentiment!$B$2:$B$37,Phone_by_Sentiment!I$2:I$37,"",0,1)),_xlfn.XLOOKUP($C1521,Phone_by_Sentiment!$B$2:$B$37,Phone_by_Sentiment!I$2:I$37,"",0,1),0),$A1521-TEXT(DATEVALUE($D1521&amp;"-01"), "dd-mm-yyyy")),0),0)</f>
        <v>718</v>
      </c>
      <c r="J1521" cm="1">
        <f t="array" ref="J1521">IF($Q1521&gt;=0,IFERROR(generateSalesData($D1521, IF(ISNUMBER(_xlfn.XLOOKUP($C1521,Phone_by_Sentiment!$B$2:$B$37,Phone_by_Sentiment!J$2:J$37,"",0,1)),_xlfn.XLOOKUP($C1521,Phone_by_Sentiment!$B$2:$B$37,Phone_by_Sentiment!J$2:J$37,"",0,1),0),$A1521-TEXT(DATEVALUE($D1521&amp;"-01"), "dd-mm-yyyy")),0),0)</f>
        <v>111</v>
      </c>
      <c r="K1521" cm="1">
        <f t="array" ref="K1521">IF($Q1521&gt;=0,IFERROR(generateSalesData($D1521, IF(ISNUMBER(_xlfn.XLOOKUP($C1521,Phone_by_Sentiment!$B$2:$B$37,Phone_by_Sentiment!K$2:K$37,"",0,1)),_xlfn.XLOOKUP($C1521,Phone_by_Sentiment!$B$2:$B$37,Phone_by_Sentiment!K$2:K$37,"",0,1),0),$A1521-TEXT(DATEVALUE($D1521&amp;"-01"), "dd-mm-yyyy")),0),0)</f>
        <v>385</v>
      </c>
      <c r="L1521" cm="1">
        <f t="array" ref="L1521">IF($Q1521&gt;=0,IFERROR(generateSalesData($D1521, IF(ISNUMBER(_xlfn.XLOOKUP($C1521,Phone_by_Sentiment!$B$2:$B$37,Phone_by_Sentiment!L$2:L$37,"",0,1)),_xlfn.XLOOKUP($C1521,Phone_by_Sentiment!$B$2:$B$37,Phone_by_Sentiment!L$2:L$37,"",0,1),0),$A1521-TEXT(DATEVALUE($D1521&amp;"-01"), "dd-mm-yyyy")),0),0)</f>
        <v>313</v>
      </c>
      <c r="M1521" cm="1">
        <f t="array" ref="M1521">IF($Q1521&gt;=0,IFERROR(generateSalesData($D1521, IF(ISNUMBER(_xlfn.XLOOKUP($C1521,Phone_by_Sentiment!$B$2:$B$37,Phone_by_Sentiment!M$2:M$37,"",0,1)),_xlfn.XLOOKUP($C1521,Phone_by_Sentiment!$B$2:$B$37,Phone_by_Sentiment!M$2:M$37,"",0,1),0),$A1521-TEXT(DATEVALUE($D1521&amp;"-01"), "dd-mm-yyyy")),0),0)</f>
        <v>182</v>
      </c>
      <c r="N1521" cm="1">
        <f t="array" ref="N1521">IF($Q1521&gt;=0,IFERROR(generateSalesData($D1521, IF(ISNUMBER(_xlfn.XLOOKUP($C1521,Phone_by_Sentiment!$B$2:$B$37,Phone_by_Sentiment!N$2:N$37,"",0,1)),_xlfn.XLOOKUP($C1521,Phone_by_Sentiment!$B$2:$B$37,Phone_by_Sentiment!N$2:N$37,"",0,1),0),$A1521-TEXT(DATEVALUE($D1521&amp;"-01"), "dd-mm-yyyy")),0),0)</f>
        <v>84</v>
      </c>
      <c r="O1521" cm="1">
        <f t="array" ref="O1521">IF($Q1521&gt;=0,IFERROR(generateSalesData($D1521, IF(ISNUMBER(_xlfn.XLOOKUP($C1521,Phone_by_Sentiment!$B$2:$B$37,Phone_by_Sentiment!O$2:O$37,"",0,1)),_xlfn.XLOOKUP($C1521,Phone_by_Sentiment!$B$2:$B$37,Phone_by_Sentiment!O$2:O$37,"",0,1),0),$A1521-TEXT(DATEVALUE($D1521&amp;"-01"), "dd-mm-yyyy")),0),0)</f>
        <v>23</v>
      </c>
      <c r="P1521" s="1">
        <f t="shared" si="58"/>
        <v>44256</v>
      </c>
      <c r="Q1521">
        <f t="shared" si="60"/>
        <v>518</v>
      </c>
    </row>
    <row r="1522" spans="1:17" x14ac:dyDescent="0.25">
      <c r="A1522" s="1">
        <f t="shared" si="59"/>
        <v>44774</v>
      </c>
      <c r="B1522" t="s">
        <v>160</v>
      </c>
      <c r="C1522" t="str">
        <f>_xlfn.XLOOKUP(B1522,Phone_by_Price!$A$2:$A$34,Phone_by_Price!$B$2:$B$34,"-",0,1)</f>
        <v>Xiaomi Poco X3 Pro</v>
      </c>
      <c r="D1522" t="str">
        <f>_xlfn.XLOOKUP(C1522,Phone_by_Sentiment!$B$2:$B$37,Phone_by_Sentiment!$A$2:$A$37,"-",0,1)</f>
        <v>2021-05</v>
      </c>
      <c r="E1522" cm="1">
        <f t="array" ref="E1522">IF($Q1522&gt;=0,IFERROR(generateSalesData($D1522, IF(ISNUMBER(_xlfn.XLOOKUP($C1522,Phone_by_Sentiment!$B$2:$B$37,Phone_by_Sentiment!E$2:E$37,"",0,1)),_xlfn.XLOOKUP($C1522,Phone_by_Sentiment!$B$2:$B$37,Phone_by_Sentiment!E$2:E$37,"",0,1),0),$A1522-TEXT(DATEVALUE($D1522&amp;"-01"), "dd-mm-yyyy")),0),0)</f>
        <v>454</v>
      </c>
      <c r="F1522" cm="1">
        <f t="array" ref="F1522">IF($Q1522&gt;=0,IFERROR(generateSalesData($D1522, IF(ISNUMBER(_xlfn.XLOOKUP($C1522,Phone_by_Sentiment!$B$2:$B$37,Phone_by_Sentiment!F$2:F$37,"",0,1)),_xlfn.XLOOKUP($C1522,Phone_by_Sentiment!$B$2:$B$37,Phone_by_Sentiment!F$2:F$37,"",0,1),0),$A1522-TEXT(DATEVALUE($D1522&amp;"-01"), "dd-mm-yyyy")),0),0)</f>
        <v>66</v>
      </c>
      <c r="G1522" cm="1">
        <f t="array" ref="G1522">IF($Q1522&gt;=0,IFERROR(generateSalesData($D1522, IF(ISNUMBER(_xlfn.XLOOKUP($C1522,Phone_by_Sentiment!$B$2:$B$37,Phone_by_Sentiment!G$2:G$37,"",0,1)),_xlfn.XLOOKUP($C1522,Phone_by_Sentiment!$B$2:$B$37,Phone_by_Sentiment!G$2:G$37,"",0,1),0),$A1522-TEXT(DATEVALUE($D1522&amp;"-01"), "dd-mm-yyyy")),0),0)</f>
        <v>104</v>
      </c>
      <c r="H1522" cm="1">
        <f t="array" ref="H1522">IF($Q1522&gt;=0,IFERROR(generateSalesData($D1522, IF(ISNUMBER(_xlfn.XLOOKUP($C1522,Phone_by_Sentiment!$B$2:$B$37,Phone_by_Sentiment!H$2:H$37,"",0,1)),_xlfn.XLOOKUP($C1522,Phone_by_Sentiment!$B$2:$B$37,Phone_by_Sentiment!H$2:H$37,"",0,1),0),$A1522-TEXT(DATEVALUE($D1522&amp;"-01"), "dd-mm-yyyy")),0),0)</f>
        <v>544</v>
      </c>
      <c r="I1522" cm="1">
        <f t="array" ref="I1522">IF($Q1522&gt;=0,IFERROR(generateSalesData($D1522, IF(ISNUMBER(_xlfn.XLOOKUP($C1522,Phone_by_Sentiment!$B$2:$B$37,Phone_by_Sentiment!I$2:I$37,"",0,1)),_xlfn.XLOOKUP($C1522,Phone_by_Sentiment!$B$2:$B$37,Phone_by_Sentiment!I$2:I$37,"",0,1),0),$A1522-TEXT(DATEVALUE($D1522&amp;"-01"), "dd-mm-yyyy")),0),0)</f>
        <v>685</v>
      </c>
      <c r="J1522" cm="1">
        <f t="array" ref="J1522">IF($Q1522&gt;=0,IFERROR(generateSalesData($D1522, IF(ISNUMBER(_xlfn.XLOOKUP($C1522,Phone_by_Sentiment!$B$2:$B$37,Phone_by_Sentiment!J$2:J$37,"",0,1)),_xlfn.XLOOKUP($C1522,Phone_by_Sentiment!$B$2:$B$37,Phone_by_Sentiment!J$2:J$37,"",0,1),0),$A1522-TEXT(DATEVALUE($D1522&amp;"-01"), "dd-mm-yyyy")),0),0)</f>
        <v>37</v>
      </c>
      <c r="K1522" cm="1">
        <f t="array" ref="K1522">IF($Q1522&gt;=0,IFERROR(generateSalesData($D1522, IF(ISNUMBER(_xlfn.XLOOKUP($C1522,Phone_by_Sentiment!$B$2:$B$37,Phone_by_Sentiment!K$2:K$37,"",0,1)),_xlfn.XLOOKUP($C1522,Phone_by_Sentiment!$B$2:$B$37,Phone_by_Sentiment!K$2:K$37,"",0,1),0),$A1522-TEXT(DATEVALUE($D1522&amp;"-01"), "dd-mm-yyyy")),0),0)</f>
        <v>143</v>
      </c>
      <c r="L1522" cm="1">
        <f t="array" ref="L1522">IF($Q1522&gt;=0,IFERROR(generateSalesData($D1522, IF(ISNUMBER(_xlfn.XLOOKUP($C1522,Phone_by_Sentiment!$B$2:$B$37,Phone_by_Sentiment!L$2:L$37,"",0,1)),_xlfn.XLOOKUP($C1522,Phone_by_Sentiment!$B$2:$B$37,Phone_by_Sentiment!L$2:L$37,"",0,1),0),$A1522-TEXT(DATEVALUE($D1522&amp;"-01"), "dd-mm-yyyy")),0),0)</f>
        <v>2</v>
      </c>
      <c r="M1522" cm="1">
        <f t="array" ref="M1522">IF($Q1522&gt;=0,IFERROR(generateSalesData($D1522, IF(ISNUMBER(_xlfn.XLOOKUP($C1522,Phone_by_Sentiment!$B$2:$B$37,Phone_by_Sentiment!M$2:M$37,"",0,1)),_xlfn.XLOOKUP($C1522,Phone_by_Sentiment!$B$2:$B$37,Phone_by_Sentiment!M$2:M$37,"",0,1),0),$A1522-TEXT(DATEVALUE($D1522&amp;"-01"), "dd-mm-yyyy")),0),0)</f>
        <v>200</v>
      </c>
      <c r="N1522" cm="1">
        <f t="array" ref="N1522">IF($Q1522&gt;=0,IFERROR(generateSalesData($D1522, IF(ISNUMBER(_xlfn.XLOOKUP($C1522,Phone_by_Sentiment!$B$2:$B$37,Phone_by_Sentiment!N$2:N$37,"",0,1)),_xlfn.XLOOKUP($C1522,Phone_by_Sentiment!$B$2:$B$37,Phone_by_Sentiment!N$2:N$37,"",0,1),0),$A1522-TEXT(DATEVALUE($D1522&amp;"-01"), "dd-mm-yyyy")),0),0)</f>
        <v>174</v>
      </c>
      <c r="O1522" cm="1">
        <f t="array" ref="O1522">IF($Q1522&gt;=0,IFERROR(generateSalesData($D1522, IF(ISNUMBER(_xlfn.XLOOKUP($C1522,Phone_by_Sentiment!$B$2:$B$37,Phone_by_Sentiment!O$2:O$37,"",0,1)),_xlfn.XLOOKUP($C1522,Phone_by_Sentiment!$B$2:$B$37,Phone_by_Sentiment!O$2:O$37,"",0,1),0),$A1522-TEXT(DATEVALUE($D1522&amp;"-01"), "dd-mm-yyyy")),0),0)</f>
        <v>766</v>
      </c>
      <c r="P1522" s="1">
        <f t="shared" si="58"/>
        <v>44317</v>
      </c>
      <c r="Q1522">
        <f t="shared" si="60"/>
        <v>457</v>
      </c>
    </row>
    <row r="1523" spans="1:17" x14ac:dyDescent="0.25">
      <c r="A1523" s="1">
        <f t="shared" si="59"/>
        <v>44774</v>
      </c>
      <c r="B1523" t="s">
        <v>161</v>
      </c>
      <c r="C1523" t="str">
        <f>_xlfn.XLOOKUP(B1523,Phone_by_Price!$A$2:$A$34,Phone_by_Price!$B$2:$B$34,"-",0,1)</f>
        <v>Samsung Galaxy Z Flip 3</v>
      </c>
      <c r="D1523" t="str">
        <f>_xlfn.XLOOKUP(C1523,Phone_by_Sentiment!$B$2:$B$37,Phone_by_Sentiment!$A$2:$A$37,"-",0,1)</f>
        <v>2021-09</v>
      </c>
      <c r="E1523" cm="1">
        <f t="array" ref="E1523">IF($Q1523&gt;=0,IFERROR(generateSalesData($D1523, IF(ISNUMBER(_xlfn.XLOOKUP($C1523,Phone_by_Sentiment!$B$2:$B$37,Phone_by_Sentiment!E$2:E$37,"",0,1)),_xlfn.XLOOKUP($C1523,Phone_by_Sentiment!$B$2:$B$37,Phone_by_Sentiment!E$2:E$37,"",0,1),0),$A1523-TEXT(DATEVALUE($D1523&amp;"-01"), "dd-mm-yyyy")),0),0)</f>
        <v>700</v>
      </c>
      <c r="F1523" cm="1">
        <f t="array" ref="F1523">IF($Q1523&gt;=0,IFERROR(generateSalesData($D1523, IF(ISNUMBER(_xlfn.XLOOKUP($C1523,Phone_by_Sentiment!$B$2:$B$37,Phone_by_Sentiment!F$2:F$37,"",0,1)),_xlfn.XLOOKUP($C1523,Phone_by_Sentiment!$B$2:$B$37,Phone_by_Sentiment!F$2:F$37,"",0,1),0),$A1523-TEXT(DATEVALUE($D1523&amp;"-01"), "dd-mm-yyyy")),0),0)</f>
        <v>486</v>
      </c>
      <c r="G1523" cm="1">
        <f t="array" ref="G1523">IF($Q1523&gt;=0,IFERROR(generateSalesData($D1523, IF(ISNUMBER(_xlfn.XLOOKUP($C1523,Phone_by_Sentiment!$B$2:$B$37,Phone_by_Sentiment!G$2:G$37,"",0,1)),_xlfn.XLOOKUP($C1523,Phone_by_Sentiment!$B$2:$B$37,Phone_by_Sentiment!G$2:G$37,"",0,1),0),$A1523-TEXT(DATEVALUE($D1523&amp;"-01"), "dd-mm-yyyy")),0),0)</f>
        <v>131</v>
      </c>
      <c r="H1523" cm="1">
        <f t="array" ref="H1523">IF($Q1523&gt;=0,IFERROR(generateSalesData($D1523, IF(ISNUMBER(_xlfn.XLOOKUP($C1523,Phone_by_Sentiment!$B$2:$B$37,Phone_by_Sentiment!H$2:H$37,"",0,1)),_xlfn.XLOOKUP($C1523,Phone_by_Sentiment!$B$2:$B$37,Phone_by_Sentiment!H$2:H$37,"",0,1),0),$A1523-TEXT(DATEVALUE($D1523&amp;"-01"), "dd-mm-yyyy")),0),0)</f>
        <v>988</v>
      </c>
      <c r="I1523" cm="1">
        <f t="array" ref="I1523">IF($Q1523&gt;=0,IFERROR(generateSalesData($D1523, IF(ISNUMBER(_xlfn.XLOOKUP($C1523,Phone_by_Sentiment!$B$2:$B$37,Phone_by_Sentiment!I$2:I$37,"",0,1)),_xlfn.XLOOKUP($C1523,Phone_by_Sentiment!$B$2:$B$37,Phone_by_Sentiment!I$2:I$37,"",0,1),0),$A1523-TEXT(DATEVALUE($D1523&amp;"-01"), "dd-mm-yyyy")),0),0)</f>
        <v>1874</v>
      </c>
      <c r="J1523" cm="1">
        <f t="array" ref="J1523">IF($Q1523&gt;=0,IFERROR(generateSalesData($D1523, IF(ISNUMBER(_xlfn.XLOOKUP($C1523,Phone_by_Sentiment!$B$2:$B$37,Phone_by_Sentiment!J$2:J$37,"",0,1)),_xlfn.XLOOKUP($C1523,Phone_by_Sentiment!$B$2:$B$37,Phone_by_Sentiment!J$2:J$37,"",0,1),0),$A1523-TEXT(DATEVALUE($D1523&amp;"-01"), "dd-mm-yyyy")),0),0)</f>
        <v>1615</v>
      </c>
      <c r="K1523" cm="1">
        <f t="array" ref="K1523">IF($Q1523&gt;=0,IFERROR(generateSalesData($D1523, IF(ISNUMBER(_xlfn.XLOOKUP($C1523,Phone_by_Sentiment!$B$2:$B$37,Phone_by_Sentiment!K$2:K$37,"",0,1)),_xlfn.XLOOKUP($C1523,Phone_by_Sentiment!$B$2:$B$37,Phone_by_Sentiment!K$2:K$37,"",0,1),0),$A1523-TEXT(DATEVALUE($D1523&amp;"-01"), "dd-mm-yyyy")),0),0)</f>
        <v>1056</v>
      </c>
      <c r="L1523" cm="1">
        <f t="array" ref="L1523">IF($Q1523&gt;=0,IFERROR(generateSalesData($D1523, IF(ISNUMBER(_xlfn.XLOOKUP($C1523,Phone_by_Sentiment!$B$2:$B$37,Phone_by_Sentiment!L$2:L$37,"",0,1)),_xlfn.XLOOKUP($C1523,Phone_by_Sentiment!$B$2:$B$37,Phone_by_Sentiment!L$2:L$37,"",0,1),0),$A1523-TEXT(DATEVALUE($D1523&amp;"-01"), "dd-mm-yyyy")),0),0)</f>
        <v>804</v>
      </c>
      <c r="M1523" cm="1">
        <f t="array" ref="M1523">IF($Q1523&gt;=0,IFERROR(generateSalesData($D1523, IF(ISNUMBER(_xlfn.XLOOKUP($C1523,Phone_by_Sentiment!$B$2:$B$37,Phone_by_Sentiment!M$2:M$37,"",0,1)),_xlfn.XLOOKUP($C1523,Phone_by_Sentiment!$B$2:$B$37,Phone_by_Sentiment!M$2:M$37,"",0,1),0),$A1523-TEXT(DATEVALUE($D1523&amp;"-01"), "dd-mm-yyyy")),0),0)</f>
        <v>451</v>
      </c>
      <c r="N1523" cm="1">
        <f t="array" ref="N1523">IF($Q1523&gt;=0,IFERROR(generateSalesData($D1523, IF(ISNUMBER(_xlfn.XLOOKUP($C1523,Phone_by_Sentiment!$B$2:$B$37,Phone_by_Sentiment!N$2:N$37,"",0,1)),_xlfn.XLOOKUP($C1523,Phone_by_Sentiment!$B$2:$B$37,Phone_by_Sentiment!N$2:N$37,"",0,1),0),$A1523-TEXT(DATEVALUE($D1523&amp;"-01"), "dd-mm-yyyy")),0),0)</f>
        <v>713</v>
      </c>
      <c r="O1523" cm="1">
        <f t="array" ref="O1523">IF($Q1523&gt;=0,IFERROR(generateSalesData($D1523, IF(ISNUMBER(_xlfn.XLOOKUP($C1523,Phone_by_Sentiment!$B$2:$B$37,Phone_by_Sentiment!O$2:O$37,"",0,1)),_xlfn.XLOOKUP($C1523,Phone_by_Sentiment!$B$2:$B$37,Phone_by_Sentiment!O$2:O$37,"",0,1),0),$A1523-TEXT(DATEVALUE($D1523&amp;"-01"), "dd-mm-yyyy")),0),0)</f>
        <v>432</v>
      </c>
      <c r="P1523" s="1">
        <f t="shared" si="58"/>
        <v>44440</v>
      </c>
      <c r="Q1523">
        <f t="shared" si="60"/>
        <v>334</v>
      </c>
    </row>
    <row r="1524" spans="1:17" x14ac:dyDescent="0.25">
      <c r="A1524" s="1">
        <f t="shared" si="59"/>
        <v>44774</v>
      </c>
      <c r="B1524" t="s">
        <v>162</v>
      </c>
      <c r="C1524" t="str">
        <f>_xlfn.XLOOKUP(B1524,Phone_by_Price!$A$2:$A$34,Phone_by_Price!$B$2:$B$34,"-",0,1)</f>
        <v>Xiaomi Poco X3 NFC</v>
      </c>
      <c r="D1524" t="str">
        <f>_xlfn.XLOOKUP(C1524,Phone_by_Sentiment!$B$2:$B$37,Phone_by_Sentiment!$A$2:$A$37,"-",0,1)</f>
        <v>2020-08</v>
      </c>
      <c r="E1524" cm="1">
        <f t="array" ref="E1524">IF($Q1524&gt;=0,IFERROR(generateSalesData($D1524, IF(ISNUMBER(_xlfn.XLOOKUP($C1524,Phone_by_Sentiment!$B$2:$B$37,Phone_by_Sentiment!E$2:E$37,"",0,1)),_xlfn.XLOOKUP($C1524,Phone_by_Sentiment!$B$2:$B$37,Phone_by_Sentiment!E$2:E$37,"",0,1),0),$A1524-TEXT(DATEVALUE($D1524&amp;"-01"), "dd-mm-yyyy")),0),0)</f>
        <v>29</v>
      </c>
      <c r="F1524" cm="1">
        <f t="array" ref="F1524">IF($Q1524&gt;=0,IFERROR(generateSalesData($D1524, IF(ISNUMBER(_xlfn.XLOOKUP($C1524,Phone_by_Sentiment!$B$2:$B$37,Phone_by_Sentiment!F$2:F$37,"",0,1)),_xlfn.XLOOKUP($C1524,Phone_by_Sentiment!$B$2:$B$37,Phone_by_Sentiment!F$2:F$37,"",0,1),0),$A1524-TEXT(DATEVALUE($D1524&amp;"-01"), "dd-mm-yyyy")),0),0)</f>
        <v>53</v>
      </c>
      <c r="G1524" cm="1">
        <f t="array" ref="G1524">IF($Q1524&gt;=0,IFERROR(generateSalesData($D1524, IF(ISNUMBER(_xlfn.XLOOKUP($C1524,Phone_by_Sentiment!$B$2:$B$37,Phone_by_Sentiment!G$2:G$37,"",0,1)),_xlfn.XLOOKUP($C1524,Phone_by_Sentiment!$B$2:$B$37,Phone_by_Sentiment!G$2:G$37,"",0,1),0),$A1524-TEXT(DATEVALUE($D1524&amp;"-01"), "dd-mm-yyyy")),0),0)</f>
        <v>53</v>
      </c>
      <c r="H1524" cm="1">
        <f t="array" ref="H1524">IF($Q1524&gt;=0,IFERROR(generateSalesData($D1524, IF(ISNUMBER(_xlfn.XLOOKUP($C1524,Phone_by_Sentiment!$B$2:$B$37,Phone_by_Sentiment!H$2:H$37,"",0,1)),_xlfn.XLOOKUP($C1524,Phone_by_Sentiment!$B$2:$B$37,Phone_by_Sentiment!H$2:H$37,"",0,1),0),$A1524-TEXT(DATEVALUE($D1524&amp;"-01"), "dd-mm-yyyy")),0),0)</f>
        <v>291</v>
      </c>
      <c r="I1524" cm="1">
        <f t="array" ref="I1524">IF($Q1524&gt;=0,IFERROR(generateSalesData($D1524, IF(ISNUMBER(_xlfn.XLOOKUP($C1524,Phone_by_Sentiment!$B$2:$B$37,Phone_by_Sentiment!I$2:I$37,"",0,1)),_xlfn.XLOOKUP($C1524,Phone_by_Sentiment!$B$2:$B$37,Phone_by_Sentiment!I$2:I$37,"",0,1),0),$A1524-TEXT(DATEVALUE($D1524&amp;"-01"), "dd-mm-yyyy")),0),0)</f>
        <v>52</v>
      </c>
      <c r="J1524" cm="1">
        <f t="array" ref="J1524">IF($Q1524&gt;=0,IFERROR(generateSalesData($D1524, IF(ISNUMBER(_xlfn.XLOOKUP($C1524,Phone_by_Sentiment!$B$2:$B$37,Phone_by_Sentiment!J$2:J$37,"",0,1)),_xlfn.XLOOKUP($C1524,Phone_by_Sentiment!$B$2:$B$37,Phone_by_Sentiment!J$2:J$37,"",0,1),0),$A1524-TEXT(DATEVALUE($D1524&amp;"-01"), "dd-mm-yyyy")),0),0)</f>
        <v>69</v>
      </c>
      <c r="K1524" cm="1">
        <f t="array" ref="K1524">IF($Q1524&gt;=0,IFERROR(generateSalesData($D1524, IF(ISNUMBER(_xlfn.XLOOKUP($C1524,Phone_by_Sentiment!$B$2:$B$37,Phone_by_Sentiment!K$2:K$37,"",0,1)),_xlfn.XLOOKUP($C1524,Phone_by_Sentiment!$B$2:$B$37,Phone_by_Sentiment!K$2:K$37,"",0,1),0),$A1524-TEXT(DATEVALUE($D1524&amp;"-01"), "dd-mm-yyyy")),0),0)</f>
        <v>177</v>
      </c>
      <c r="L1524" cm="1">
        <f t="array" ref="L1524">IF($Q1524&gt;=0,IFERROR(generateSalesData($D1524, IF(ISNUMBER(_xlfn.XLOOKUP($C1524,Phone_by_Sentiment!$B$2:$B$37,Phone_by_Sentiment!L$2:L$37,"",0,1)),_xlfn.XLOOKUP($C1524,Phone_by_Sentiment!$B$2:$B$37,Phone_by_Sentiment!L$2:L$37,"",0,1),0),$A1524-TEXT(DATEVALUE($D1524&amp;"-01"), "dd-mm-yyyy")),0),0)</f>
        <v>3</v>
      </c>
      <c r="M1524" cm="1">
        <f t="array" ref="M1524">IF($Q1524&gt;=0,IFERROR(generateSalesData($D1524, IF(ISNUMBER(_xlfn.XLOOKUP($C1524,Phone_by_Sentiment!$B$2:$B$37,Phone_by_Sentiment!M$2:M$37,"",0,1)),_xlfn.XLOOKUP($C1524,Phone_by_Sentiment!$B$2:$B$37,Phone_by_Sentiment!M$2:M$37,"",0,1),0),$A1524-TEXT(DATEVALUE($D1524&amp;"-01"), "dd-mm-yyyy")),0),0)</f>
        <v>184</v>
      </c>
      <c r="N1524" cm="1">
        <f t="array" ref="N1524">IF($Q1524&gt;=0,IFERROR(generateSalesData($D1524, IF(ISNUMBER(_xlfn.XLOOKUP($C1524,Phone_by_Sentiment!$B$2:$B$37,Phone_by_Sentiment!N$2:N$37,"",0,1)),_xlfn.XLOOKUP($C1524,Phone_by_Sentiment!$B$2:$B$37,Phone_by_Sentiment!N$2:N$37,"",0,1),0),$A1524-TEXT(DATEVALUE($D1524&amp;"-01"), "dd-mm-yyyy")),0),0)</f>
        <v>94</v>
      </c>
      <c r="O1524" cm="1">
        <f t="array" ref="O1524">IF($Q1524&gt;=0,IFERROR(generateSalesData($D1524, IF(ISNUMBER(_xlfn.XLOOKUP($C1524,Phone_by_Sentiment!$B$2:$B$37,Phone_by_Sentiment!O$2:O$37,"",0,1)),_xlfn.XLOOKUP($C1524,Phone_by_Sentiment!$B$2:$B$37,Phone_by_Sentiment!O$2:O$37,"",0,1),0),$A1524-TEXT(DATEVALUE($D1524&amp;"-01"), "dd-mm-yyyy")),0),0)</f>
        <v>468</v>
      </c>
      <c r="P1524" s="1">
        <f t="shared" si="58"/>
        <v>44044</v>
      </c>
      <c r="Q1524">
        <f t="shared" si="60"/>
        <v>730</v>
      </c>
    </row>
    <row r="1525" spans="1:17" x14ac:dyDescent="0.25">
      <c r="A1525" s="1">
        <f t="shared" si="59"/>
        <v>44774</v>
      </c>
      <c r="B1525" t="s">
        <v>163</v>
      </c>
      <c r="C1525" t="str">
        <f>_xlfn.XLOOKUP(B1525,Phone_by_Price!$A$2:$A$34,Phone_by_Price!$B$2:$B$34,"-",0,1)</f>
        <v>OPPO A93</v>
      </c>
      <c r="D1525" t="str">
        <f>_xlfn.XLOOKUP(C1525,Phone_by_Sentiment!$B$2:$B$37,Phone_by_Sentiment!$A$2:$A$37,"-",0,1)</f>
        <v>2021-02</v>
      </c>
      <c r="E1525" cm="1">
        <f t="array" ref="E1525">IF($Q1525&gt;=0,IFERROR(generateSalesData($D1525, IF(ISNUMBER(_xlfn.XLOOKUP($C1525,Phone_by_Sentiment!$B$2:$B$37,Phone_by_Sentiment!E$2:E$37,"",0,1)),_xlfn.XLOOKUP($C1525,Phone_by_Sentiment!$B$2:$B$37,Phone_by_Sentiment!E$2:E$37,"",0,1),0),$A1525-TEXT(DATEVALUE($D1525&amp;"-01"), "dd-mm-yyyy")),0),0)</f>
        <v>173</v>
      </c>
      <c r="F1525" cm="1">
        <f t="array" ref="F1525">IF($Q1525&gt;=0,IFERROR(generateSalesData($D1525, IF(ISNUMBER(_xlfn.XLOOKUP($C1525,Phone_by_Sentiment!$B$2:$B$37,Phone_by_Sentiment!F$2:F$37,"",0,1)),_xlfn.XLOOKUP($C1525,Phone_by_Sentiment!$B$2:$B$37,Phone_by_Sentiment!F$2:F$37,"",0,1),0),$A1525-TEXT(DATEVALUE($D1525&amp;"-01"), "dd-mm-yyyy")),0),0)</f>
        <v>14</v>
      </c>
      <c r="G1525" cm="1">
        <f t="array" ref="G1525">IF($Q1525&gt;=0,IFERROR(generateSalesData($D1525, IF(ISNUMBER(_xlfn.XLOOKUP($C1525,Phone_by_Sentiment!$B$2:$B$37,Phone_by_Sentiment!G$2:G$37,"",0,1)),_xlfn.XLOOKUP($C1525,Phone_by_Sentiment!$B$2:$B$37,Phone_by_Sentiment!G$2:G$37,"",0,1),0),$A1525-TEXT(DATEVALUE($D1525&amp;"-01"), "dd-mm-yyyy")),0),0)</f>
        <v>174</v>
      </c>
      <c r="H1525" cm="1">
        <f t="array" ref="H1525">IF($Q1525&gt;=0,IFERROR(generateSalesData($D1525, IF(ISNUMBER(_xlfn.XLOOKUP($C1525,Phone_by_Sentiment!$B$2:$B$37,Phone_by_Sentiment!H$2:H$37,"",0,1)),_xlfn.XLOOKUP($C1525,Phone_by_Sentiment!$B$2:$B$37,Phone_by_Sentiment!H$2:H$37,"",0,1),0),$A1525-TEXT(DATEVALUE($D1525&amp;"-01"), "dd-mm-yyyy")),0),0)</f>
        <v>827</v>
      </c>
      <c r="I1525" cm="1">
        <f t="array" ref="I1525">IF($Q1525&gt;=0,IFERROR(generateSalesData($D1525, IF(ISNUMBER(_xlfn.XLOOKUP($C1525,Phone_by_Sentiment!$B$2:$B$37,Phone_by_Sentiment!I$2:I$37,"",0,1)),_xlfn.XLOOKUP($C1525,Phone_by_Sentiment!$B$2:$B$37,Phone_by_Sentiment!I$2:I$37,"",0,1),0),$A1525-TEXT(DATEVALUE($D1525&amp;"-01"), "dd-mm-yyyy")),0),0)</f>
        <v>359</v>
      </c>
      <c r="J1525" cm="1">
        <f t="array" ref="J1525">IF($Q1525&gt;=0,IFERROR(generateSalesData($D1525, IF(ISNUMBER(_xlfn.XLOOKUP($C1525,Phone_by_Sentiment!$B$2:$B$37,Phone_by_Sentiment!J$2:J$37,"",0,1)),_xlfn.XLOOKUP($C1525,Phone_by_Sentiment!$B$2:$B$37,Phone_by_Sentiment!J$2:J$37,"",0,1),0),$A1525-TEXT(DATEVALUE($D1525&amp;"-01"), "dd-mm-yyyy")),0),0)</f>
        <v>99</v>
      </c>
      <c r="K1525" cm="1">
        <f t="array" ref="K1525">IF($Q1525&gt;=0,IFERROR(generateSalesData($D1525, IF(ISNUMBER(_xlfn.XLOOKUP($C1525,Phone_by_Sentiment!$B$2:$B$37,Phone_by_Sentiment!K$2:K$37,"",0,1)),_xlfn.XLOOKUP($C1525,Phone_by_Sentiment!$B$2:$B$37,Phone_by_Sentiment!K$2:K$37,"",0,1),0),$A1525-TEXT(DATEVALUE($D1525&amp;"-01"), "dd-mm-yyyy")),0),0)</f>
        <v>-23</v>
      </c>
      <c r="L1525" cm="1">
        <f t="array" ref="L1525">IF($Q1525&gt;=0,IFERROR(generateSalesData($D1525, IF(ISNUMBER(_xlfn.XLOOKUP($C1525,Phone_by_Sentiment!$B$2:$B$37,Phone_by_Sentiment!L$2:L$37,"",0,1)),_xlfn.XLOOKUP($C1525,Phone_by_Sentiment!$B$2:$B$37,Phone_by_Sentiment!L$2:L$37,"",0,1),0),$A1525-TEXT(DATEVALUE($D1525&amp;"-01"), "dd-mm-yyyy")),0),0)</f>
        <v>7</v>
      </c>
      <c r="M1525" cm="1">
        <f t="array" ref="M1525">IF($Q1525&gt;=0,IFERROR(generateSalesData($D1525, IF(ISNUMBER(_xlfn.XLOOKUP($C1525,Phone_by_Sentiment!$B$2:$B$37,Phone_by_Sentiment!M$2:M$37,"",0,1)),_xlfn.XLOOKUP($C1525,Phone_by_Sentiment!$B$2:$B$37,Phone_by_Sentiment!M$2:M$37,"",0,1),0),$A1525-TEXT(DATEVALUE($D1525&amp;"-01"), "dd-mm-yyyy")),0),0)</f>
        <v>823</v>
      </c>
      <c r="N1525" cm="1">
        <f t="array" ref="N1525">IF($Q1525&gt;=0,IFERROR(generateSalesData($D1525, IF(ISNUMBER(_xlfn.XLOOKUP($C1525,Phone_by_Sentiment!$B$2:$B$37,Phone_by_Sentiment!N$2:N$37,"",0,1)),_xlfn.XLOOKUP($C1525,Phone_by_Sentiment!$B$2:$B$37,Phone_by_Sentiment!N$2:N$37,"",0,1),0),$A1525-TEXT(DATEVALUE($D1525&amp;"-01"), "dd-mm-yyyy")),0),0)</f>
        <v>743</v>
      </c>
      <c r="O1525" cm="1">
        <f t="array" ref="O1525">IF($Q1525&gt;=0,IFERROR(generateSalesData($D1525, IF(ISNUMBER(_xlfn.XLOOKUP($C1525,Phone_by_Sentiment!$B$2:$B$37,Phone_by_Sentiment!O$2:O$37,"",0,1)),_xlfn.XLOOKUP($C1525,Phone_by_Sentiment!$B$2:$B$37,Phone_by_Sentiment!O$2:O$37,"",0,1),0),$A1525-TEXT(DATEVALUE($D1525&amp;"-01"), "dd-mm-yyyy")),0),0)</f>
        <v>118</v>
      </c>
      <c r="P1525" s="1">
        <f t="shared" si="58"/>
        <v>44228</v>
      </c>
      <c r="Q1525">
        <f t="shared" si="60"/>
        <v>546</v>
      </c>
    </row>
    <row r="1526" spans="1:17" x14ac:dyDescent="0.25">
      <c r="A1526" s="1">
        <f t="shared" si="59"/>
        <v>44774</v>
      </c>
      <c r="B1526" t="s">
        <v>164</v>
      </c>
      <c r="C1526" t="str">
        <f>_xlfn.XLOOKUP(B1526,Phone_by_Price!$A$2:$A$34,Phone_by_Price!$B$2:$B$34,"-",0,1)</f>
        <v>Vivo V20</v>
      </c>
      <c r="D1526" t="str">
        <f>_xlfn.XLOOKUP(C1526,Phone_by_Sentiment!$B$2:$B$37,Phone_by_Sentiment!$A$2:$A$37,"-",0,1)</f>
        <v>2020-10</v>
      </c>
      <c r="E1526" cm="1">
        <f t="array" ref="E1526">IF($Q1526&gt;=0,IFERROR(generateSalesData($D1526, IF(ISNUMBER(_xlfn.XLOOKUP($C1526,Phone_by_Sentiment!$B$2:$B$37,Phone_by_Sentiment!E$2:E$37,"",0,1)),_xlfn.XLOOKUP($C1526,Phone_by_Sentiment!$B$2:$B$37,Phone_by_Sentiment!E$2:E$37,"",0,1),0),$A1526-TEXT(DATEVALUE($D1526&amp;"-01"), "dd-mm-yyyy")),0),0)</f>
        <v>466</v>
      </c>
      <c r="F1526" cm="1">
        <f t="array" ref="F1526">IF($Q1526&gt;=0,IFERROR(generateSalesData($D1526, IF(ISNUMBER(_xlfn.XLOOKUP($C1526,Phone_by_Sentiment!$B$2:$B$37,Phone_by_Sentiment!F$2:F$37,"",0,1)),_xlfn.XLOOKUP($C1526,Phone_by_Sentiment!$B$2:$B$37,Phone_by_Sentiment!F$2:F$37,"",0,1),0),$A1526-TEXT(DATEVALUE($D1526&amp;"-01"), "dd-mm-yyyy")),0),0)</f>
        <v>144</v>
      </c>
      <c r="G1526" cm="1">
        <f t="array" ref="G1526">IF($Q1526&gt;=0,IFERROR(generateSalesData($D1526, IF(ISNUMBER(_xlfn.XLOOKUP($C1526,Phone_by_Sentiment!$B$2:$B$37,Phone_by_Sentiment!G$2:G$37,"",0,1)),_xlfn.XLOOKUP($C1526,Phone_by_Sentiment!$B$2:$B$37,Phone_by_Sentiment!G$2:G$37,"",0,1),0),$A1526-TEXT(DATEVALUE($D1526&amp;"-01"), "dd-mm-yyyy")),0),0)</f>
        <v>147</v>
      </c>
      <c r="H1526" cm="1">
        <f t="array" ref="H1526">IF($Q1526&gt;=0,IFERROR(generateSalesData($D1526, IF(ISNUMBER(_xlfn.XLOOKUP($C1526,Phone_by_Sentiment!$B$2:$B$37,Phone_by_Sentiment!H$2:H$37,"",0,1)),_xlfn.XLOOKUP($C1526,Phone_by_Sentiment!$B$2:$B$37,Phone_by_Sentiment!H$2:H$37,"",0,1),0),$A1526-TEXT(DATEVALUE($D1526&amp;"-01"), "dd-mm-yyyy")),0),0)</f>
        <v>60</v>
      </c>
      <c r="I1526" cm="1">
        <f t="array" ref="I1526">IF($Q1526&gt;=0,IFERROR(generateSalesData($D1526, IF(ISNUMBER(_xlfn.XLOOKUP($C1526,Phone_by_Sentiment!$B$2:$B$37,Phone_by_Sentiment!I$2:I$37,"",0,1)),_xlfn.XLOOKUP($C1526,Phone_by_Sentiment!$B$2:$B$37,Phone_by_Sentiment!I$2:I$37,"",0,1),0),$A1526-TEXT(DATEVALUE($D1526&amp;"-01"), "dd-mm-yyyy")),0),0)</f>
        <v>160</v>
      </c>
      <c r="J1526" cm="1">
        <f t="array" ref="J1526">IF($Q1526&gt;=0,IFERROR(generateSalesData($D1526, IF(ISNUMBER(_xlfn.XLOOKUP($C1526,Phone_by_Sentiment!$B$2:$B$37,Phone_by_Sentiment!J$2:J$37,"",0,1)),_xlfn.XLOOKUP($C1526,Phone_by_Sentiment!$B$2:$B$37,Phone_by_Sentiment!J$2:J$37,"",0,1),0),$A1526-TEXT(DATEVALUE($D1526&amp;"-01"), "dd-mm-yyyy")),0),0)</f>
        <v>81</v>
      </c>
      <c r="K1526" cm="1">
        <f t="array" ref="K1526">IF($Q1526&gt;=0,IFERROR(generateSalesData($D1526, IF(ISNUMBER(_xlfn.XLOOKUP($C1526,Phone_by_Sentiment!$B$2:$B$37,Phone_by_Sentiment!K$2:K$37,"",0,1)),_xlfn.XLOOKUP($C1526,Phone_by_Sentiment!$B$2:$B$37,Phone_by_Sentiment!K$2:K$37,"",0,1),0),$A1526-TEXT(DATEVALUE($D1526&amp;"-01"), "dd-mm-yyyy")),0),0)</f>
        <v>79</v>
      </c>
      <c r="L1526" cm="1">
        <f t="array" ref="L1526">IF($Q1526&gt;=0,IFERROR(generateSalesData($D1526, IF(ISNUMBER(_xlfn.XLOOKUP($C1526,Phone_by_Sentiment!$B$2:$B$37,Phone_by_Sentiment!L$2:L$37,"",0,1)),_xlfn.XLOOKUP($C1526,Phone_by_Sentiment!$B$2:$B$37,Phone_by_Sentiment!L$2:L$37,"",0,1),0),$A1526-TEXT(DATEVALUE($D1526&amp;"-01"), "dd-mm-yyyy")),0),0)</f>
        <v>140</v>
      </c>
      <c r="M1526" cm="1">
        <f t="array" ref="M1526">IF($Q1526&gt;=0,IFERROR(generateSalesData($D1526, IF(ISNUMBER(_xlfn.XLOOKUP($C1526,Phone_by_Sentiment!$B$2:$B$37,Phone_by_Sentiment!M$2:M$37,"",0,1)),_xlfn.XLOOKUP($C1526,Phone_by_Sentiment!$B$2:$B$37,Phone_by_Sentiment!M$2:M$37,"",0,1),0),$A1526-TEXT(DATEVALUE($D1526&amp;"-01"), "dd-mm-yyyy")),0),0)</f>
        <v>138</v>
      </c>
      <c r="N1526" cm="1">
        <f t="array" ref="N1526">IF($Q1526&gt;=0,IFERROR(generateSalesData($D1526, IF(ISNUMBER(_xlfn.XLOOKUP($C1526,Phone_by_Sentiment!$B$2:$B$37,Phone_by_Sentiment!N$2:N$37,"",0,1)),_xlfn.XLOOKUP($C1526,Phone_by_Sentiment!$B$2:$B$37,Phone_by_Sentiment!N$2:N$37,"",0,1),0),$A1526-TEXT(DATEVALUE($D1526&amp;"-01"), "dd-mm-yyyy")),0),0)</f>
        <v>88</v>
      </c>
      <c r="O1526" cm="1">
        <f t="array" ref="O1526">IF($Q1526&gt;=0,IFERROR(generateSalesData($D1526, IF(ISNUMBER(_xlfn.XLOOKUP($C1526,Phone_by_Sentiment!$B$2:$B$37,Phone_by_Sentiment!O$2:O$37,"",0,1)),_xlfn.XLOOKUP($C1526,Phone_by_Sentiment!$B$2:$B$37,Phone_by_Sentiment!O$2:O$37,"",0,1),0),$A1526-TEXT(DATEVALUE($D1526&amp;"-01"), "dd-mm-yyyy")),0),0)</f>
        <v>65</v>
      </c>
      <c r="P1526" s="1">
        <f t="shared" si="58"/>
        <v>44105</v>
      </c>
      <c r="Q1526">
        <f t="shared" si="60"/>
        <v>669</v>
      </c>
    </row>
    <row r="1527" spans="1:17" x14ac:dyDescent="0.25">
      <c r="A1527" s="1">
        <f t="shared" si="59"/>
        <v>44774</v>
      </c>
      <c r="B1527" t="s">
        <v>165</v>
      </c>
      <c r="C1527" t="str">
        <f>_xlfn.XLOOKUP(B1527,Phone_by_Price!$A$2:$A$34,Phone_by_Price!$B$2:$B$34,"-",0,1)</f>
        <v>Samsung Galaxy A50</v>
      </c>
      <c r="D1527" t="str">
        <f>_xlfn.XLOOKUP(C1527,Phone_by_Sentiment!$B$2:$B$37,Phone_by_Sentiment!$A$2:$A$37,"-",0,1)</f>
        <v>2019-05</v>
      </c>
      <c r="E1527" cm="1">
        <f t="array" ref="E1527">IF($Q1527&gt;=0,IFERROR(generateSalesData($D1527, IF(ISNUMBER(_xlfn.XLOOKUP($C1527,Phone_by_Sentiment!$B$2:$B$37,Phone_by_Sentiment!E$2:E$37,"",0,1)),_xlfn.XLOOKUP($C1527,Phone_by_Sentiment!$B$2:$B$37,Phone_by_Sentiment!E$2:E$37,"",0,1),0),$A1527-TEXT(DATEVALUE($D1527&amp;"-01"), "dd-mm-yyyy")),0),0)</f>
        <v>262</v>
      </c>
      <c r="F1527" cm="1">
        <f t="array" ref="F1527">IF($Q1527&gt;=0,IFERROR(generateSalesData($D1527, IF(ISNUMBER(_xlfn.XLOOKUP($C1527,Phone_by_Sentiment!$B$2:$B$37,Phone_by_Sentiment!F$2:F$37,"",0,1)),_xlfn.XLOOKUP($C1527,Phone_by_Sentiment!$B$2:$B$37,Phone_by_Sentiment!F$2:F$37,"",0,1),0),$A1527-TEXT(DATEVALUE($D1527&amp;"-01"), "dd-mm-yyyy")),0),0)</f>
        <v>65</v>
      </c>
      <c r="G1527" cm="1">
        <f t="array" ref="G1527">IF($Q1527&gt;=0,IFERROR(generateSalesData($D1527, IF(ISNUMBER(_xlfn.XLOOKUP($C1527,Phone_by_Sentiment!$B$2:$B$37,Phone_by_Sentiment!G$2:G$37,"",0,1)),_xlfn.XLOOKUP($C1527,Phone_by_Sentiment!$B$2:$B$37,Phone_by_Sentiment!G$2:G$37,"",0,1),0),$A1527-TEXT(DATEVALUE($D1527&amp;"-01"), "dd-mm-yyyy")),0),0)</f>
        <v>27</v>
      </c>
      <c r="H1527" cm="1">
        <f t="array" ref="H1527">IF($Q1527&gt;=0,IFERROR(generateSalesData($D1527, IF(ISNUMBER(_xlfn.XLOOKUP($C1527,Phone_by_Sentiment!$B$2:$B$37,Phone_by_Sentiment!H$2:H$37,"",0,1)),_xlfn.XLOOKUP($C1527,Phone_by_Sentiment!$B$2:$B$37,Phone_by_Sentiment!H$2:H$37,"",0,1),0),$A1527-TEXT(DATEVALUE($D1527&amp;"-01"), "dd-mm-yyyy")),0),0)</f>
        <v>185</v>
      </c>
      <c r="I1527" cm="1">
        <f t="array" ref="I1527">IF($Q1527&gt;=0,IFERROR(generateSalesData($D1527, IF(ISNUMBER(_xlfn.XLOOKUP($C1527,Phone_by_Sentiment!$B$2:$B$37,Phone_by_Sentiment!I$2:I$37,"",0,1)),_xlfn.XLOOKUP($C1527,Phone_by_Sentiment!$B$2:$B$37,Phone_by_Sentiment!I$2:I$37,"",0,1),0),$A1527-TEXT(DATEVALUE($D1527&amp;"-01"), "dd-mm-yyyy")),0),0)</f>
        <v>238</v>
      </c>
      <c r="J1527" cm="1">
        <f t="array" ref="J1527">IF($Q1527&gt;=0,IFERROR(generateSalesData($D1527, IF(ISNUMBER(_xlfn.XLOOKUP($C1527,Phone_by_Sentiment!$B$2:$B$37,Phone_by_Sentiment!J$2:J$37,"",0,1)),_xlfn.XLOOKUP($C1527,Phone_by_Sentiment!$B$2:$B$37,Phone_by_Sentiment!J$2:J$37,"",0,1),0),$A1527-TEXT(DATEVALUE($D1527&amp;"-01"), "dd-mm-yyyy")),0),0)</f>
        <v>-1</v>
      </c>
      <c r="K1527" cm="1">
        <f t="array" ref="K1527">IF($Q1527&gt;=0,IFERROR(generateSalesData($D1527, IF(ISNUMBER(_xlfn.XLOOKUP($C1527,Phone_by_Sentiment!$B$2:$B$37,Phone_by_Sentiment!K$2:K$37,"",0,1)),_xlfn.XLOOKUP($C1527,Phone_by_Sentiment!$B$2:$B$37,Phone_by_Sentiment!K$2:K$37,"",0,1),0),$A1527-TEXT(DATEVALUE($D1527&amp;"-01"), "dd-mm-yyyy")),0),0)</f>
        <v>45</v>
      </c>
      <c r="L1527" cm="1">
        <f t="array" ref="L1527">IF($Q1527&gt;=0,IFERROR(generateSalesData($D1527, IF(ISNUMBER(_xlfn.XLOOKUP($C1527,Phone_by_Sentiment!$B$2:$B$37,Phone_by_Sentiment!L$2:L$37,"",0,1)),_xlfn.XLOOKUP($C1527,Phone_by_Sentiment!$B$2:$B$37,Phone_by_Sentiment!L$2:L$37,"",0,1),0),$A1527-TEXT(DATEVALUE($D1527&amp;"-01"), "dd-mm-yyyy")),0),0)</f>
        <v>62</v>
      </c>
      <c r="M1527" cm="1">
        <f t="array" ref="M1527">IF($Q1527&gt;=0,IFERROR(generateSalesData($D1527, IF(ISNUMBER(_xlfn.XLOOKUP($C1527,Phone_by_Sentiment!$B$2:$B$37,Phone_by_Sentiment!M$2:M$37,"",0,1)),_xlfn.XLOOKUP($C1527,Phone_by_Sentiment!$B$2:$B$37,Phone_by_Sentiment!M$2:M$37,"",0,1),0),$A1527-TEXT(DATEVALUE($D1527&amp;"-01"), "dd-mm-yyyy")),0),0)</f>
        <v>4</v>
      </c>
      <c r="N1527" cm="1">
        <f t="array" ref="N1527">IF($Q1527&gt;=0,IFERROR(generateSalesData($D1527, IF(ISNUMBER(_xlfn.XLOOKUP($C1527,Phone_by_Sentiment!$B$2:$B$37,Phone_by_Sentiment!N$2:N$37,"",0,1)),_xlfn.XLOOKUP($C1527,Phone_by_Sentiment!$B$2:$B$37,Phone_by_Sentiment!N$2:N$37,"",0,1),0),$A1527-TEXT(DATEVALUE($D1527&amp;"-01"), "dd-mm-yyyy")),0),0)</f>
        <v>292</v>
      </c>
      <c r="O1527" cm="1">
        <f t="array" ref="O1527">IF($Q1527&gt;=0,IFERROR(generateSalesData($D1527, IF(ISNUMBER(_xlfn.XLOOKUP($C1527,Phone_by_Sentiment!$B$2:$B$37,Phone_by_Sentiment!O$2:O$37,"",0,1)),_xlfn.XLOOKUP($C1527,Phone_by_Sentiment!$B$2:$B$37,Phone_by_Sentiment!O$2:O$37,"",0,1),0),$A1527-TEXT(DATEVALUE($D1527&amp;"-01"), "dd-mm-yyyy")),0),0)</f>
        <v>175</v>
      </c>
      <c r="P1527" s="1">
        <f t="shared" si="58"/>
        <v>43586</v>
      </c>
      <c r="Q1527">
        <f t="shared" si="60"/>
        <v>1188</v>
      </c>
    </row>
    <row r="1528" spans="1:17" x14ac:dyDescent="0.25">
      <c r="A1528" s="1">
        <f t="shared" si="59"/>
        <v>44774</v>
      </c>
      <c r="B1528" t="s">
        <v>166</v>
      </c>
      <c r="C1528" t="str">
        <f>_xlfn.XLOOKUP(B1528,Phone_by_Price!$A$2:$A$34,Phone_by_Price!$B$2:$B$34,"-",0,1)</f>
        <v>Xiaomi Redmi Note 7</v>
      </c>
      <c r="D1528" t="str">
        <f>_xlfn.XLOOKUP(C1528,Phone_by_Sentiment!$B$2:$B$37,Phone_by_Sentiment!$A$2:$A$37,"-",0,1)</f>
        <v>2019-08</v>
      </c>
      <c r="E1528" cm="1">
        <f t="array" ref="E1528">IF($Q1528&gt;=0,IFERROR(generateSalesData($D1528, IF(ISNUMBER(_xlfn.XLOOKUP($C1528,Phone_by_Sentiment!$B$2:$B$37,Phone_by_Sentiment!E$2:E$37,"",0,1)),_xlfn.XLOOKUP($C1528,Phone_by_Sentiment!$B$2:$B$37,Phone_by_Sentiment!E$2:E$37,"",0,1),0),$A1528-TEXT(DATEVALUE($D1528&amp;"-01"), "dd-mm-yyyy")),0),0)</f>
        <v>61</v>
      </c>
      <c r="F1528" cm="1">
        <f t="array" ref="F1528">IF($Q1528&gt;=0,IFERROR(generateSalesData($D1528, IF(ISNUMBER(_xlfn.XLOOKUP($C1528,Phone_by_Sentiment!$B$2:$B$37,Phone_by_Sentiment!F$2:F$37,"",0,1)),_xlfn.XLOOKUP($C1528,Phone_by_Sentiment!$B$2:$B$37,Phone_by_Sentiment!F$2:F$37,"",0,1),0),$A1528-TEXT(DATEVALUE($D1528&amp;"-01"), "dd-mm-yyyy")),0),0)</f>
        <v>48</v>
      </c>
      <c r="G1528" cm="1">
        <f t="array" ref="G1528">IF($Q1528&gt;=0,IFERROR(generateSalesData($D1528, IF(ISNUMBER(_xlfn.XLOOKUP($C1528,Phone_by_Sentiment!$B$2:$B$37,Phone_by_Sentiment!G$2:G$37,"",0,1)),_xlfn.XLOOKUP($C1528,Phone_by_Sentiment!$B$2:$B$37,Phone_by_Sentiment!G$2:G$37,"",0,1),0),$A1528-TEXT(DATEVALUE($D1528&amp;"-01"), "dd-mm-yyyy")),0),0)</f>
        <v>99</v>
      </c>
      <c r="H1528" cm="1">
        <f t="array" ref="H1528">IF($Q1528&gt;=0,IFERROR(generateSalesData($D1528, IF(ISNUMBER(_xlfn.XLOOKUP($C1528,Phone_by_Sentiment!$B$2:$B$37,Phone_by_Sentiment!H$2:H$37,"",0,1)),_xlfn.XLOOKUP($C1528,Phone_by_Sentiment!$B$2:$B$37,Phone_by_Sentiment!H$2:H$37,"",0,1),0),$A1528-TEXT(DATEVALUE($D1528&amp;"-01"), "dd-mm-yyyy")),0),0)</f>
        <v>240</v>
      </c>
      <c r="I1528" cm="1">
        <f t="array" ref="I1528">IF($Q1528&gt;=0,IFERROR(generateSalesData($D1528, IF(ISNUMBER(_xlfn.XLOOKUP($C1528,Phone_by_Sentiment!$B$2:$B$37,Phone_by_Sentiment!I$2:I$37,"",0,1)),_xlfn.XLOOKUP($C1528,Phone_by_Sentiment!$B$2:$B$37,Phone_by_Sentiment!I$2:I$37,"",0,1),0),$A1528-TEXT(DATEVALUE($D1528&amp;"-01"), "dd-mm-yyyy")),0),0)</f>
        <v>45</v>
      </c>
      <c r="J1528" cm="1">
        <f t="array" ref="J1528">IF($Q1528&gt;=0,IFERROR(generateSalesData($D1528, IF(ISNUMBER(_xlfn.XLOOKUP($C1528,Phone_by_Sentiment!$B$2:$B$37,Phone_by_Sentiment!J$2:J$37,"",0,1)),_xlfn.XLOOKUP($C1528,Phone_by_Sentiment!$B$2:$B$37,Phone_by_Sentiment!J$2:J$37,"",0,1),0),$A1528-TEXT(DATEVALUE($D1528&amp;"-01"), "dd-mm-yyyy")),0),0)</f>
        <v>92</v>
      </c>
      <c r="K1528" cm="1">
        <f t="array" ref="K1528">IF($Q1528&gt;=0,IFERROR(generateSalesData($D1528, IF(ISNUMBER(_xlfn.XLOOKUP($C1528,Phone_by_Sentiment!$B$2:$B$37,Phone_by_Sentiment!K$2:K$37,"",0,1)),_xlfn.XLOOKUP($C1528,Phone_by_Sentiment!$B$2:$B$37,Phone_by_Sentiment!K$2:K$37,"",0,1),0),$A1528-TEXT(DATEVALUE($D1528&amp;"-01"), "dd-mm-yyyy")),0),0)</f>
        <v>141</v>
      </c>
      <c r="L1528" cm="1">
        <f t="array" ref="L1528">IF($Q1528&gt;=0,IFERROR(generateSalesData($D1528, IF(ISNUMBER(_xlfn.XLOOKUP($C1528,Phone_by_Sentiment!$B$2:$B$37,Phone_by_Sentiment!L$2:L$37,"",0,1)),_xlfn.XLOOKUP($C1528,Phone_by_Sentiment!$B$2:$B$37,Phone_by_Sentiment!L$2:L$37,"",0,1),0),$A1528-TEXT(DATEVALUE($D1528&amp;"-01"), "dd-mm-yyyy")),0),0)</f>
        <v>50</v>
      </c>
      <c r="M1528" cm="1">
        <f t="array" ref="M1528">IF($Q1528&gt;=0,IFERROR(generateSalesData($D1528, IF(ISNUMBER(_xlfn.XLOOKUP($C1528,Phone_by_Sentiment!$B$2:$B$37,Phone_by_Sentiment!M$2:M$37,"",0,1)),_xlfn.XLOOKUP($C1528,Phone_by_Sentiment!$B$2:$B$37,Phone_by_Sentiment!M$2:M$37,"",0,1),0),$A1528-TEXT(DATEVALUE($D1528&amp;"-01"), "dd-mm-yyyy")),0),0)</f>
        <v>133</v>
      </c>
      <c r="N1528" cm="1">
        <f t="array" ref="N1528">IF($Q1528&gt;=0,IFERROR(generateSalesData($D1528, IF(ISNUMBER(_xlfn.XLOOKUP($C1528,Phone_by_Sentiment!$B$2:$B$37,Phone_by_Sentiment!N$2:N$37,"",0,1)),_xlfn.XLOOKUP($C1528,Phone_by_Sentiment!$B$2:$B$37,Phone_by_Sentiment!N$2:N$37,"",0,1),0),$A1528-TEXT(DATEVALUE($D1528&amp;"-01"), "dd-mm-yyyy")),0),0)</f>
        <v>54</v>
      </c>
      <c r="O1528" cm="1">
        <f t="array" ref="O1528">IF($Q1528&gt;=0,IFERROR(generateSalesData($D1528, IF(ISNUMBER(_xlfn.XLOOKUP($C1528,Phone_by_Sentiment!$B$2:$B$37,Phone_by_Sentiment!O$2:O$37,"",0,1)),_xlfn.XLOOKUP($C1528,Phone_by_Sentiment!$B$2:$B$37,Phone_by_Sentiment!O$2:O$37,"",0,1),0),$A1528-TEXT(DATEVALUE($D1528&amp;"-01"), "dd-mm-yyyy")),0),0)</f>
        <v>13</v>
      </c>
      <c r="P1528" s="1">
        <f t="shared" si="58"/>
        <v>43678</v>
      </c>
      <c r="Q1528">
        <f t="shared" si="60"/>
        <v>1096</v>
      </c>
    </row>
    <row r="1529" spans="1:17" x14ac:dyDescent="0.25">
      <c r="A1529" s="1">
        <f t="shared" si="59"/>
        <v>44774</v>
      </c>
      <c r="B1529" t="s">
        <v>167</v>
      </c>
      <c r="C1529" t="str">
        <f>_xlfn.XLOOKUP(B1529,Phone_by_Price!$A$2:$A$34,Phone_by_Price!$B$2:$B$34,"-",0,1)</f>
        <v>Realme C21</v>
      </c>
      <c r="D1529" t="str">
        <f>_xlfn.XLOOKUP(C1529,Phone_by_Sentiment!$B$2:$B$37,Phone_by_Sentiment!$A$2:$A$37,"-",0,1)</f>
        <v>2021-04</v>
      </c>
      <c r="E1529" cm="1">
        <f t="array" ref="E1529">IF($Q1529&gt;=0,IFERROR(generateSalesData($D1529, IF(ISNUMBER(_xlfn.XLOOKUP($C1529,Phone_by_Sentiment!$B$2:$B$37,Phone_by_Sentiment!E$2:E$37,"",0,1)),_xlfn.XLOOKUP($C1529,Phone_by_Sentiment!$B$2:$B$37,Phone_by_Sentiment!E$2:E$37,"",0,1),0),$A1529-TEXT(DATEVALUE($D1529&amp;"-01"), "dd-mm-yyyy")),0),0)</f>
        <v>117</v>
      </c>
      <c r="F1529" cm="1">
        <f t="array" ref="F1529">IF($Q1529&gt;=0,IFERROR(generateSalesData($D1529, IF(ISNUMBER(_xlfn.XLOOKUP($C1529,Phone_by_Sentiment!$B$2:$B$37,Phone_by_Sentiment!F$2:F$37,"",0,1)),_xlfn.XLOOKUP($C1529,Phone_by_Sentiment!$B$2:$B$37,Phone_by_Sentiment!F$2:F$37,"",0,1),0),$A1529-TEXT(DATEVALUE($D1529&amp;"-01"), "dd-mm-yyyy")),0),0)</f>
        <v>133</v>
      </c>
      <c r="G1529" cm="1">
        <f t="array" ref="G1529">IF($Q1529&gt;=0,IFERROR(generateSalesData($D1529, IF(ISNUMBER(_xlfn.XLOOKUP($C1529,Phone_by_Sentiment!$B$2:$B$37,Phone_by_Sentiment!G$2:G$37,"",0,1)),_xlfn.XLOOKUP($C1529,Phone_by_Sentiment!$B$2:$B$37,Phone_by_Sentiment!G$2:G$37,"",0,1),0),$A1529-TEXT(DATEVALUE($D1529&amp;"-01"), "dd-mm-yyyy")),0),0)</f>
        <v>74</v>
      </c>
      <c r="H1529" cm="1">
        <f t="array" ref="H1529">IF($Q1529&gt;=0,IFERROR(generateSalesData($D1529, IF(ISNUMBER(_xlfn.XLOOKUP($C1529,Phone_by_Sentiment!$B$2:$B$37,Phone_by_Sentiment!H$2:H$37,"",0,1)),_xlfn.XLOOKUP($C1529,Phone_by_Sentiment!$B$2:$B$37,Phone_by_Sentiment!H$2:H$37,"",0,1),0),$A1529-TEXT(DATEVALUE($D1529&amp;"-01"), "dd-mm-yyyy")),0),0)</f>
        <v>497</v>
      </c>
      <c r="I1529" cm="1">
        <f t="array" ref="I1529">IF($Q1529&gt;=0,IFERROR(generateSalesData($D1529, IF(ISNUMBER(_xlfn.XLOOKUP($C1529,Phone_by_Sentiment!$B$2:$B$37,Phone_by_Sentiment!I$2:I$37,"",0,1)),_xlfn.XLOOKUP($C1529,Phone_by_Sentiment!$B$2:$B$37,Phone_by_Sentiment!I$2:I$37,"",0,1),0),$A1529-TEXT(DATEVALUE($D1529&amp;"-01"), "dd-mm-yyyy")),0),0)</f>
        <v>175</v>
      </c>
      <c r="J1529" cm="1">
        <f t="array" ref="J1529">IF($Q1529&gt;=0,IFERROR(generateSalesData($D1529, IF(ISNUMBER(_xlfn.XLOOKUP($C1529,Phone_by_Sentiment!$B$2:$B$37,Phone_by_Sentiment!J$2:J$37,"",0,1)),_xlfn.XLOOKUP($C1529,Phone_by_Sentiment!$B$2:$B$37,Phone_by_Sentiment!J$2:J$37,"",0,1),0),$A1529-TEXT(DATEVALUE($D1529&amp;"-01"), "dd-mm-yyyy")),0),0)</f>
        <v>219</v>
      </c>
      <c r="K1529" cm="1">
        <f t="array" ref="K1529">IF($Q1529&gt;=0,IFERROR(generateSalesData($D1529, IF(ISNUMBER(_xlfn.XLOOKUP($C1529,Phone_by_Sentiment!$B$2:$B$37,Phone_by_Sentiment!K$2:K$37,"",0,1)),_xlfn.XLOOKUP($C1529,Phone_by_Sentiment!$B$2:$B$37,Phone_by_Sentiment!K$2:K$37,"",0,1),0),$A1529-TEXT(DATEVALUE($D1529&amp;"-01"), "dd-mm-yyyy")),0),0)</f>
        <v>117</v>
      </c>
      <c r="L1529" cm="1">
        <f t="array" ref="L1529">IF($Q1529&gt;=0,IFERROR(generateSalesData($D1529, IF(ISNUMBER(_xlfn.XLOOKUP($C1529,Phone_by_Sentiment!$B$2:$B$37,Phone_by_Sentiment!L$2:L$37,"",0,1)),_xlfn.XLOOKUP($C1529,Phone_by_Sentiment!$B$2:$B$37,Phone_by_Sentiment!L$2:L$37,"",0,1),0),$A1529-TEXT(DATEVALUE($D1529&amp;"-01"), "dd-mm-yyyy")),0),0)</f>
        <v>402</v>
      </c>
      <c r="M1529" cm="1">
        <f t="array" ref="M1529">IF($Q1529&gt;=0,IFERROR(generateSalesData($D1529, IF(ISNUMBER(_xlfn.XLOOKUP($C1529,Phone_by_Sentiment!$B$2:$B$37,Phone_by_Sentiment!M$2:M$37,"",0,1)),_xlfn.XLOOKUP($C1529,Phone_by_Sentiment!$B$2:$B$37,Phone_by_Sentiment!M$2:M$37,"",0,1),0),$A1529-TEXT(DATEVALUE($D1529&amp;"-01"), "dd-mm-yyyy")),0),0)</f>
        <v>205</v>
      </c>
      <c r="N1529" cm="1">
        <f t="array" ref="N1529">IF($Q1529&gt;=0,IFERROR(generateSalesData($D1529, IF(ISNUMBER(_xlfn.XLOOKUP($C1529,Phone_by_Sentiment!$B$2:$B$37,Phone_by_Sentiment!N$2:N$37,"",0,1)),_xlfn.XLOOKUP($C1529,Phone_by_Sentiment!$B$2:$B$37,Phone_by_Sentiment!N$2:N$37,"",0,1),0),$A1529-TEXT(DATEVALUE($D1529&amp;"-01"), "dd-mm-yyyy")),0),0)</f>
        <v>80</v>
      </c>
      <c r="O1529" cm="1">
        <f t="array" ref="O1529">IF($Q1529&gt;=0,IFERROR(generateSalesData($D1529, IF(ISNUMBER(_xlfn.XLOOKUP($C1529,Phone_by_Sentiment!$B$2:$B$37,Phone_by_Sentiment!O$2:O$37,"",0,1)),_xlfn.XLOOKUP($C1529,Phone_by_Sentiment!$B$2:$B$37,Phone_by_Sentiment!O$2:O$37,"",0,1),0),$A1529-TEXT(DATEVALUE($D1529&amp;"-01"), "dd-mm-yyyy")),0),0)</f>
        <v>85</v>
      </c>
      <c r="P1529" s="1">
        <f t="shared" si="58"/>
        <v>44287</v>
      </c>
      <c r="Q1529">
        <f t="shared" si="60"/>
        <v>487</v>
      </c>
    </row>
    <row r="1530" spans="1:17" x14ac:dyDescent="0.25">
      <c r="A1530" s="1">
        <f t="shared" si="59"/>
        <v>44774</v>
      </c>
      <c r="B1530" t="s">
        <v>168</v>
      </c>
      <c r="C1530" t="str">
        <f>_xlfn.XLOOKUP(B1530,Phone_by_Price!$A$2:$A$34,Phone_by_Price!$B$2:$B$34,"-",0,1)</f>
        <v>Google Pixel 4</v>
      </c>
      <c r="D1530" t="str">
        <f>_xlfn.XLOOKUP(C1530,Phone_by_Sentiment!$B$2:$B$37,Phone_by_Sentiment!$A$2:$A$37,"-",0,1)</f>
        <v>2019-09</v>
      </c>
      <c r="E1530" cm="1">
        <f t="array" ref="E1530">IF($Q1530&gt;=0,IFERROR(generateSalesData($D1530, IF(ISNUMBER(_xlfn.XLOOKUP($C1530,Phone_by_Sentiment!$B$2:$B$37,Phone_by_Sentiment!E$2:E$37,"",0,1)),_xlfn.XLOOKUP($C1530,Phone_by_Sentiment!$B$2:$B$37,Phone_by_Sentiment!E$2:E$37,"",0,1),0),$A1530-TEXT(DATEVALUE($D1530&amp;"-01"), "dd-mm-yyyy")),0),0)</f>
        <v>111</v>
      </c>
      <c r="F1530" cm="1">
        <f t="array" ref="F1530">IF($Q1530&gt;=0,IFERROR(generateSalesData($D1530, IF(ISNUMBER(_xlfn.XLOOKUP($C1530,Phone_by_Sentiment!$B$2:$B$37,Phone_by_Sentiment!F$2:F$37,"",0,1)),_xlfn.XLOOKUP($C1530,Phone_by_Sentiment!$B$2:$B$37,Phone_by_Sentiment!F$2:F$37,"",0,1),0),$A1530-TEXT(DATEVALUE($D1530&amp;"-01"), "dd-mm-yyyy")),0),0)</f>
        <v>74</v>
      </c>
      <c r="G1530" cm="1">
        <f t="array" ref="G1530">IF($Q1530&gt;=0,IFERROR(generateSalesData($D1530, IF(ISNUMBER(_xlfn.XLOOKUP($C1530,Phone_by_Sentiment!$B$2:$B$37,Phone_by_Sentiment!G$2:G$37,"",0,1)),_xlfn.XLOOKUP($C1530,Phone_by_Sentiment!$B$2:$B$37,Phone_by_Sentiment!G$2:G$37,"",0,1),0),$A1530-TEXT(DATEVALUE($D1530&amp;"-01"), "dd-mm-yyyy")),0),0)</f>
        <v>85</v>
      </c>
      <c r="H1530" cm="1">
        <f t="array" ref="H1530">IF($Q1530&gt;=0,IFERROR(generateSalesData($D1530, IF(ISNUMBER(_xlfn.XLOOKUP($C1530,Phone_by_Sentiment!$B$2:$B$37,Phone_by_Sentiment!H$2:H$37,"",0,1)),_xlfn.XLOOKUP($C1530,Phone_by_Sentiment!$B$2:$B$37,Phone_by_Sentiment!H$2:H$37,"",0,1),0),$A1530-TEXT(DATEVALUE($D1530&amp;"-01"), "dd-mm-yyyy")),0),0)</f>
        <v>29</v>
      </c>
      <c r="I1530" cm="1">
        <f t="array" ref="I1530">IF($Q1530&gt;=0,IFERROR(generateSalesData($D1530, IF(ISNUMBER(_xlfn.XLOOKUP($C1530,Phone_by_Sentiment!$B$2:$B$37,Phone_by_Sentiment!I$2:I$37,"",0,1)),_xlfn.XLOOKUP($C1530,Phone_by_Sentiment!$B$2:$B$37,Phone_by_Sentiment!I$2:I$37,"",0,1),0),$A1530-TEXT(DATEVALUE($D1530&amp;"-01"), "dd-mm-yyyy")),0),0)</f>
        <v>58</v>
      </c>
      <c r="J1530" cm="1">
        <f t="array" ref="J1530">IF($Q1530&gt;=0,IFERROR(generateSalesData($D1530, IF(ISNUMBER(_xlfn.XLOOKUP($C1530,Phone_by_Sentiment!$B$2:$B$37,Phone_by_Sentiment!J$2:J$37,"",0,1)),_xlfn.XLOOKUP($C1530,Phone_by_Sentiment!$B$2:$B$37,Phone_by_Sentiment!J$2:J$37,"",0,1),0),$A1530-TEXT(DATEVALUE($D1530&amp;"-01"), "dd-mm-yyyy")),0),0)</f>
        <v>57</v>
      </c>
      <c r="K1530" cm="1">
        <f t="array" ref="K1530">IF($Q1530&gt;=0,IFERROR(generateSalesData($D1530, IF(ISNUMBER(_xlfn.XLOOKUP($C1530,Phone_by_Sentiment!$B$2:$B$37,Phone_by_Sentiment!K$2:K$37,"",0,1)),_xlfn.XLOOKUP($C1530,Phone_by_Sentiment!$B$2:$B$37,Phone_by_Sentiment!K$2:K$37,"",0,1),0),$A1530-TEXT(DATEVALUE($D1530&amp;"-01"), "dd-mm-yyyy")),0),0)</f>
        <v>49</v>
      </c>
      <c r="L1530" cm="1">
        <f t="array" ref="L1530">IF($Q1530&gt;=0,IFERROR(generateSalesData($D1530, IF(ISNUMBER(_xlfn.XLOOKUP($C1530,Phone_by_Sentiment!$B$2:$B$37,Phone_by_Sentiment!L$2:L$37,"",0,1)),_xlfn.XLOOKUP($C1530,Phone_by_Sentiment!$B$2:$B$37,Phone_by_Sentiment!L$2:L$37,"",0,1),0),$A1530-TEXT(DATEVALUE($D1530&amp;"-01"), "dd-mm-yyyy")),0),0)</f>
        <v>399</v>
      </c>
      <c r="M1530" cm="1">
        <f t="array" ref="M1530">IF($Q1530&gt;=0,IFERROR(generateSalesData($D1530, IF(ISNUMBER(_xlfn.XLOOKUP($C1530,Phone_by_Sentiment!$B$2:$B$37,Phone_by_Sentiment!M$2:M$37,"",0,1)),_xlfn.XLOOKUP($C1530,Phone_by_Sentiment!$B$2:$B$37,Phone_by_Sentiment!M$2:M$37,"",0,1),0),$A1530-TEXT(DATEVALUE($D1530&amp;"-01"), "dd-mm-yyyy")),0),0)</f>
        <v>99</v>
      </c>
      <c r="N1530" cm="1">
        <f t="array" ref="N1530">IF($Q1530&gt;=0,IFERROR(generateSalesData($D1530, IF(ISNUMBER(_xlfn.XLOOKUP($C1530,Phone_by_Sentiment!$B$2:$B$37,Phone_by_Sentiment!N$2:N$37,"",0,1)),_xlfn.XLOOKUP($C1530,Phone_by_Sentiment!$B$2:$B$37,Phone_by_Sentiment!N$2:N$37,"",0,1),0),$A1530-TEXT(DATEVALUE($D1530&amp;"-01"), "dd-mm-yyyy")),0),0)</f>
        <v>120</v>
      </c>
      <c r="O1530" cm="1">
        <f t="array" ref="O1530">IF($Q1530&gt;=0,IFERROR(generateSalesData($D1530, IF(ISNUMBER(_xlfn.XLOOKUP($C1530,Phone_by_Sentiment!$B$2:$B$37,Phone_by_Sentiment!O$2:O$37,"",0,1)),_xlfn.XLOOKUP($C1530,Phone_by_Sentiment!$B$2:$B$37,Phone_by_Sentiment!O$2:O$37,"",0,1),0),$A1530-TEXT(DATEVALUE($D1530&amp;"-01"), "dd-mm-yyyy")),0),0)</f>
        <v>27</v>
      </c>
      <c r="P1530" s="1">
        <f t="shared" si="58"/>
        <v>43709</v>
      </c>
      <c r="Q1530">
        <f t="shared" si="60"/>
        <v>1065</v>
      </c>
    </row>
    <row r="1531" spans="1:17" x14ac:dyDescent="0.25">
      <c r="A1531" s="1">
        <f t="shared" si="59"/>
        <v>44774</v>
      </c>
      <c r="B1531" t="s">
        <v>169</v>
      </c>
      <c r="C1531" t="str">
        <f>_xlfn.XLOOKUP(B1531,Phone_by_Price!$A$2:$A$34,Phone_by_Price!$B$2:$B$34,"-",0,1)</f>
        <v>Samsung Galaxy A10s</v>
      </c>
      <c r="D1531" t="str">
        <f>_xlfn.XLOOKUP(C1531,Phone_by_Sentiment!$B$2:$B$37,Phone_by_Sentiment!$A$2:$A$37,"-",0,1)</f>
        <v>2019-08</v>
      </c>
      <c r="E1531" cm="1">
        <f t="array" ref="E1531">IF($Q1531&gt;=0,IFERROR(generateSalesData($D1531, IF(ISNUMBER(_xlfn.XLOOKUP($C1531,Phone_by_Sentiment!$B$2:$B$37,Phone_by_Sentiment!E$2:E$37,"",0,1)),_xlfn.XLOOKUP($C1531,Phone_by_Sentiment!$B$2:$B$37,Phone_by_Sentiment!E$2:E$37,"",0,1),0),$A1531-TEXT(DATEVALUE($D1531&amp;"-01"), "dd-mm-yyyy")),0),0)</f>
        <v>8</v>
      </c>
      <c r="F1531" cm="1">
        <f t="array" ref="F1531">IF($Q1531&gt;=0,IFERROR(generateSalesData($D1531, IF(ISNUMBER(_xlfn.XLOOKUP($C1531,Phone_by_Sentiment!$B$2:$B$37,Phone_by_Sentiment!F$2:F$37,"",0,1)),_xlfn.XLOOKUP($C1531,Phone_by_Sentiment!$B$2:$B$37,Phone_by_Sentiment!F$2:F$37,"",0,1),0),$A1531-TEXT(DATEVALUE($D1531&amp;"-01"), "dd-mm-yyyy")),0),0)</f>
        <v>78</v>
      </c>
      <c r="G1531" cm="1">
        <f t="array" ref="G1531">IF($Q1531&gt;=0,IFERROR(generateSalesData($D1531, IF(ISNUMBER(_xlfn.XLOOKUP($C1531,Phone_by_Sentiment!$B$2:$B$37,Phone_by_Sentiment!G$2:G$37,"",0,1)),_xlfn.XLOOKUP($C1531,Phone_by_Sentiment!$B$2:$B$37,Phone_by_Sentiment!G$2:G$37,"",0,1),0),$A1531-TEXT(DATEVALUE($D1531&amp;"-01"), "dd-mm-yyyy")),0),0)</f>
        <v>33</v>
      </c>
      <c r="H1531" cm="1">
        <f t="array" ref="H1531">IF($Q1531&gt;=0,IFERROR(generateSalesData($D1531, IF(ISNUMBER(_xlfn.XLOOKUP($C1531,Phone_by_Sentiment!$B$2:$B$37,Phone_by_Sentiment!H$2:H$37,"",0,1)),_xlfn.XLOOKUP($C1531,Phone_by_Sentiment!$B$2:$B$37,Phone_by_Sentiment!H$2:H$37,"",0,1),0),$A1531-TEXT(DATEVALUE($D1531&amp;"-01"), "dd-mm-yyyy")),0),0)</f>
        <v>299</v>
      </c>
      <c r="I1531" cm="1">
        <f t="array" ref="I1531">IF($Q1531&gt;=0,IFERROR(generateSalesData($D1531, IF(ISNUMBER(_xlfn.XLOOKUP($C1531,Phone_by_Sentiment!$B$2:$B$37,Phone_by_Sentiment!I$2:I$37,"",0,1)),_xlfn.XLOOKUP($C1531,Phone_by_Sentiment!$B$2:$B$37,Phone_by_Sentiment!I$2:I$37,"",0,1),0),$A1531-TEXT(DATEVALUE($D1531&amp;"-01"), "dd-mm-yyyy")),0),0)</f>
        <v>232</v>
      </c>
      <c r="J1531" cm="1">
        <f t="array" ref="J1531">IF($Q1531&gt;=0,IFERROR(generateSalesData($D1531, IF(ISNUMBER(_xlfn.XLOOKUP($C1531,Phone_by_Sentiment!$B$2:$B$37,Phone_by_Sentiment!J$2:J$37,"",0,1)),_xlfn.XLOOKUP($C1531,Phone_by_Sentiment!$B$2:$B$37,Phone_by_Sentiment!J$2:J$37,"",0,1),0),$A1531-TEXT(DATEVALUE($D1531&amp;"-01"), "dd-mm-yyyy")),0),0)</f>
        <v>200</v>
      </c>
      <c r="K1531" cm="1">
        <f t="array" ref="K1531">IF($Q1531&gt;=0,IFERROR(generateSalesData($D1531, IF(ISNUMBER(_xlfn.XLOOKUP($C1531,Phone_by_Sentiment!$B$2:$B$37,Phone_by_Sentiment!K$2:K$37,"",0,1)),_xlfn.XLOOKUP($C1531,Phone_by_Sentiment!$B$2:$B$37,Phone_by_Sentiment!K$2:K$37,"",0,1),0),$A1531-TEXT(DATEVALUE($D1531&amp;"-01"), "dd-mm-yyyy")),0),0)</f>
        <v>218</v>
      </c>
      <c r="L1531" cm="1">
        <f t="array" ref="L1531">IF($Q1531&gt;=0,IFERROR(generateSalesData($D1531, IF(ISNUMBER(_xlfn.XLOOKUP($C1531,Phone_by_Sentiment!$B$2:$B$37,Phone_by_Sentiment!L$2:L$37,"",0,1)),_xlfn.XLOOKUP($C1531,Phone_by_Sentiment!$B$2:$B$37,Phone_by_Sentiment!L$2:L$37,"",0,1),0),$A1531-TEXT(DATEVALUE($D1531&amp;"-01"), "dd-mm-yyyy")),0),0)</f>
        <v>46</v>
      </c>
      <c r="M1531" cm="1">
        <f t="array" ref="M1531">IF($Q1531&gt;=0,IFERROR(generateSalesData($D1531, IF(ISNUMBER(_xlfn.XLOOKUP($C1531,Phone_by_Sentiment!$B$2:$B$37,Phone_by_Sentiment!M$2:M$37,"",0,1)),_xlfn.XLOOKUP($C1531,Phone_by_Sentiment!$B$2:$B$37,Phone_by_Sentiment!M$2:M$37,"",0,1),0),$A1531-TEXT(DATEVALUE($D1531&amp;"-01"), "dd-mm-yyyy")),0),0)</f>
        <v>178</v>
      </c>
      <c r="N1531" cm="1">
        <f t="array" ref="N1531">IF($Q1531&gt;=0,IFERROR(generateSalesData($D1531, IF(ISNUMBER(_xlfn.XLOOKUP($C1531,Phone_by_Sentiment!$B$2:$B$37,Phone_by_Sentiment!N$2:N$37,"",0,1)),_xlfn.XLOOKUP($C1531,Phone_by_Sentiment!$B$2:$B$37,Phone_by_Sentiment!N$2:N$37,"",0,1),0),$A1531-TEXT(DATEVALUE($D1531&amp;"-01"), "dd-mm-yyyy")),0),0)</f>
        <v>43</v>
      </c>
      <c r="O1531" cm="1">
        <f t="array" ref="O1531">IF($Q1531&gt;=0,IFERROR(generateSalesData($D1531, IF(ISNUMBER(_xlfn.XLOOKUP($C1531,Phone_by_Sentiment!$B$2:$B$37,Phone_by_Sentiment!O$2:O$37,"",0,1)),_xlfn.XLOOKUP($C1531,Phone_by_Sentiment!$B$2:$B$37,Phone_by_Sentiment!O$2:O$37,"",0,1),0),$A1531-TEXT(DATEVALUE($D1531&amp;"-01"), "dd-mm-yyyy")),0),0)</f>
        <v>138</v>
      </c>
      <c r="P1531" s="1">
        <f t="shared" si="58"/>
        <v>43678</v>
      </c>
      <c r="Q1531">
        <f t="shared" si="60"/>
        <v>1096</v>
      </c>
    </row>
    <row r="1532" spans="1:17" x14ac:dyDescent="0.25">
      <c r="A1532" s="1">
        <f t="shared" si="59"/>
        <v>44774</v>
      </c>
      <c r="B1532" t="s">
        <v>170</v>
      </c>
      <c r="C1532" t="str">
        <f>_xlfn.XLOOKUP(B1532,Phone_by_Price!$A$2:$A$34,Phone_by_Price!$B$2:$B$34,"-",0,1)</f>
        <v>Realme Narzo 30A</v>
      </c>
      <c r="D1532" t="str">
        <f>_xlfn.XLOOKUP(C1532,Phone_by_Sentiment!$B$2:$B$37,Phone_by_Sentiment!$A$2:$A$37,"-",0,1)</f>
        <v>2021-02</v>
      </c>
      <c r="E1532" cm="1">
        <f t="array" ref="E1532">IF($Q1532&gt;=0,IFERROR(generateSalesData($D1532, IF(ISNUMBER(_xlfn.XLOOKUP($C1532,Phone_by_Sentiment!$B$2:$B$37,Phone_by_Sentiment!E$2:E$37,"",0,1)),_xlfn.XLOOKUP($C1532,Phone_by_Sentiment!$B$2:$B$37,Phone_by_Sentiment!E$2:E$37,"",0,1),0),$A1532-TEXT(DATEVALUE($D1532&amp;"-01"), "dd-mm-yyyy")),0),0)</f>
        <v>153</v>
      </c>
      <c r="F1532" cm="1">
        <f t="array" ref="F1532">IF($Q1532&gt;=0,IFERROR(generateSalesData($D1532, IF(ISNUMBER(_xlfn.XLOOKUP($C1532,Phone_by_Sentiment!$B$2:$B$37,Phone_by_Sentiment!F$2:F$37,"",0,1)),_xlfn.XLOOKUP($C1532,Phone_by_Sentiment!$B$2:$B$37,Phone_by_Sentiment!F$2:F$37,"",0,1),0),$A1532-TEXT(DATEVALUE($D1532&amp;"-01"), "dd-mm-yyyy")),0),0)</f>
        <v>97</v>
      </c>
      <c r="G1532" cm="1">
        <f t="array" ref="G1532">IF($Q1532&gt;=0,IFERROR(generateSalesData($D1532, IF(ISNUMBER(_xlfn.XLOOKUP($C1532,Phone_by_Sentiment!$B$2:$B$37,Phone_by_Sentiment!G$2:G$37,"",0,1)),_xlfn.XLOOKUP($C1532,Phone_by_Sentiment!$B$2:$B$37,Phone_by_Sentiment!G$2:G$37,"",0,1),0),$A1532-TEXT(DATEVALUE($D1532&amp;"-01"), "dd-mm-yyyy")),0),0)</f>
        <v>173</v>
      </c>
      <c r="H1532" cm="1">
        <f t="array" ref="H1532">IF($Q1532&gt;=0,IFERROR(generateSalesData($D1532, IF(ISNUMBER(_xlfn.XLOOKUP($C1532,Phone_by_Sentiment!$B$2:$B$37,Phone_by_Sentiment!H$2:H$37,"",0,1)),_xlfn.XLOOKUP($C1532,Phone_by_Sentiment!$B$2:$B$37,Phone_by_Sentiment!H$2:H$37,"",0,1),0),$A1532-TEXT(DATEVALUE($D1532&amp;"-01"), "dd-mm-yyyy")),0),0)</f>
        <v>184</v>
      </c>
      <c r="I1532" cm="1">
        <f t="array" ref="I1532">IF($Q1532&gt;=0,IFERROR(generateSalesData($D1532, IF(ISNUMBER(_xlfn.XLOOKUP($C1532,Phone_by_Sentiment!$B$2:$B$37,Phone_by_Sentiment!I$2:I$37,"",0,1)),_xlfn.XLOOKUP($C1532,Phone_by_Sentiment!$B$2:$B$37,Phone_by_Sentiment!I$2:I$37,"",0,1),0),$A1532-TEXT(DATEVALUE($D1532&amp;"-01"), "dd-mm-yyyy")),0),0)</f>
        <v>589</v>
      </c>
      <c r="J1532" cm="1">
        <f t="array" ref="J1532">IF($Q1532&gt;=0,IFERROR(generateSalesData($D1532, IF(ISNUMBER(_xlfn.XLOOKUP($C1532,Phone_by_Sentiment!$B$2:$B$37,Phone_by_Sentiment!J$2:J$37,"",0,1)),_xlfn.XLOOKUP($C1532,Phone_by_Sentiment!$B$2:$B$37,Phone_by_Sentiment!J$2:J$37,"",0,1),0),$A1532-TEXT(DATEVALUE($D1532&amp;"-01"), "dd-mm-yyyy")),0),0)</f>
        <v>149</v>
      </c>
      <c r="K1532" cm="1">
        <f t="array" ref="K1532">IF($Q1532&gt;=0,IFERROR(generateSalesData($D1532, IF(ISNUMBER(_xlfn.XLOOKUP($C1532,Phone_by_Sentiment!$B$2:$B$37,Phone_by_Sentiment!K$2:K$37,"",0,1)),_xlfn.XLOOKUP($C1532,Phone_by_Sentiment!$B$2:$B$37,Phone_by_Sentiment!K$2:K$37,"",0,1),0),$A1532-TEXT(DATEVALUE($D1532&amp;"-01"), "dd-mm-yyyy")),0),0)</f>
        <v>314</v>
      </c>
      <c r="L1532" cm="1">
        <f t="array" ref="L1532">IF($Q1532&gt;=0,IFERROR(generateSalesData($D1532, IF(ISNUMBER(_xlfn.XLOOKUP($C1532,Phone_by_Sentiment!$B$2:$B$37,Phone_by_Sentiment!L$2:L$37,"",0,1)),_xlfn.XLOOKUP($C1532,Phone_by_Sentiment!$B$2:$B$37,Phone_by_Sentiment!L$2:L$37,"",0,1),0),$A1532-TEXT(DATEVALUE($D1532&amp;"-01"), "dd-mm-yyyy")),0),0)</f>
        <v>400</v>
      </c>
      <c r="M1532" cm="1">
        <f t="array" ref="M1532">IF($Q1532&gt;=0,IFERROR(generateSalesData($D1532, IF(ISNUMBER(_xlfn.XLOOKUP($C1532,Phone_by_Sentiment!$B$2:$B$37,Phone_by_Sentiment!M$2:M$37,"",0,1)),_xlfn.XLOOKUP($C1532,Phone_by_Sentiment!$B$2:$B$37,Phone_by_Sentiment!M$2:M$37,"",0,1),0),$A1532-TEXT(DATEVALUE($D1532&amp;"-01"), "dd-mm-yyyy")),0),0)</f>
        <v>160</v>
      </c>
      <c r="N1532" cm="1">
        <f t="array" ref="N1532">IF($Q1532&gt;=0,IFERROR(generateSalesData($D1532, IF(ISNUMBER(_xlfn.XLOOKUP($C1532,Phone_by_Sentiment!$B$2:$B$37,Phone_by_Sentiment!N$2:N$37,"",0,1)),_xlfn.XLOOKUP($C1532,Phone_by_Sentiment!$B$2:$B$37,Phone_by_Sentiment!N$2:N$37,"",0,1),0),$A1532-TEXT(DATEVALUE($D1532&amp;"-01"), "dd-mm-yyyy")),0),0)</f>
        <v>274</v>
      </c>
      <c r="O1532" cm="1">
        <f t="array" ref="O1532">IF($Q1532&gt;=0,IFERROR(generateSalesData($D1532, IF(ISNUMBER(_xlfn.XLOOKUP($C1532,Phone_by_Sentiment!$B$2:$B$37,Phone_by_Sentiment!O$2:O$37,"",0,1)),_xlfn.XLOOKUP($C1532,Phone_by_Sentiment!$B$2:$B$37,Phone_by_Sentiment!O$2:O$37,"",0,1),0),$A1532-TEXT(DATEVALUE($D1532&amp;"-01"), "dd-mm-yyyy")),0),0)</f>
        <v>122</v>
      </c>
      <c r="P1532" s="1">
        <f t="shared" si="58"/>
        <v>44228</v>
      </c>
      <c r="Q1532">
        <f t="shared" si="60"/>
        <v>546</v>
      </c>
    </row>
    <row r="1533" spans="1:17" x14ac:dyDescent="0.25">
      <c r="A1533" s="1">
        <f t="shared" si="59"/>
        <v>44774</v>
      </c>
      <c r="B1533" t="s">
        <v>171</v>
      </c>
      <c r="C1533" t="str">
        <f>_xlfn.XLOOKUP(B1533,Phone_by_Price!$A$2:$A$34,Phone_by_Price!$B$2:$B$34,"-",0,1)</f>
        <v>Samsung Galaxy A22 5G</v>
      </c>
      <c r="D1533" t="str">
        <f>_xlfn.XLOOKUP(C1533,Phone_by_Sentiment!$B$2:$B$37,Phone_by_Sentiment!$A$2:$A$37,"-",0,1)</f>
        <v>2021-05</v>
      </c>
      <c r="E1533" cm="1">
        <f t="array" ref="E1533">IF($Q1533&gt;=0,IFERROR(generateSalesData($D1533, IF(ISNUMBER(_xlfn.XLOOKUP($C1533,Phone_by_Sentiment!$B$2:$B$37,Phone_by_Sentiment!E$2:E$37,"",0,1)),_xlfn.XLOOKUP($C1533,Phone_by_Sentiment!$B$2:$B$37,Phone_by_Sentiment!E$2:E$37,"",0,1),0),$A1533-TEXT(DATEVALUE($D1533&amp;"-01"), "dd-mm-yyyy")),0),0)</f>
        <v>700</v>
      </c>
      <c r="F1533" cm="1">
        <f t="array" ref="F1533">IF($Q1533&gt;=0,IFERROR(generateSalesData($D1533, IF(ISNUMBER(_xlfn.XLOOKUP($C1533,Phone_by_Sentiment!$B$2:$B$37,Phone_by_Sentiment!F$2:F$37,"",0,1)),_xlfn.XLOOKUP($C1533,Phone_by_Sentiment!$B$2:$B$37,Phone_by_Sentiment!F$2:F$37,"",0,1),0),$A1533-TEXT(DATEVALUE($D1533&amp;"-01"), "dd-mm-yyyy")),0),0)</f>
        <v>454</v>
      </c>
      <c r="G1533" cm="1">
        <f t="array" ref="G1533">IF($Q1533&gt;=0,IFERROR(generateSalesData($D1533, IF(ISNUMBER(_xlfn.XLOOKUP($C1533,Phone_by_Sentiment!$B$2:$B$37,Phone_by_Sentiment!G$2:G$37,"",0,1)),_xlfn.XLOOKUP($C1533,Phone_by_Sentiment!$B$2:$B$37,Phone_by_Sentiment!G$2:G$37,"",0,1),0),$A1533-TEXT(DATEVALUE($D1533&amp;"-01"), "dd-mm-yyyy")),0),0)</f>
        <v>167</v>
      </c>
      <c r="H1533" cm="1">
        <f t="array" ref="H1533">IF($Q1533&gt;=0,IFERROR(generateSalesData($D1533, IF(ISNUMBER(_xlfn.XLOOKUP($C1533,Phone_by_Sentiment!$B$2:$B$37,Phone_by_Sentiment!H$2:H$37,"",0,1)),_xlfn.XLOOKUP($C1533,Phone_by_Sentiment!$B$2:$B$37,Phone_by_Sentiment!H$2:H$37,"",0,1),0),$A1533-TEXT(DATEVALUE($D1533&amp;"-01"), "dd-mm-yyyy")),0),0)</f>
        <v>277</v>
      </c>
      <c r="I1533" cm="1">
        <f t="array" ref="I1533">IF($Q1533&gt;=0,IFERROR(generateSalesData($D1533, IF(ISNUMBER(_xlfn.XLOOKUP($C1533,Phone_by_Sentiment!$B$2:$B$37,Phone_by_Sentiment!I$2:I$37,"",0,1)),_xlfn.XLOOKUP($C1533,Phone_by_Sentiment!$B$2:$B$37,Phone_by_Sentiment!I$2:I$37,"",0,1),0),$A1533-TEXT(DATEVALUE($D1533&amp;"-01"), "dd-mm-yyyy")),0),0)</f>
        <v>382</v>
      </c>
      <c r="J1533" cm="1">
        <f t="array" ref="J1533">IF($Q1533&gt;=0,IFERROR(generateSalesData($D1533, IF(ISNUMBER(_xlfn.XLOOKUP($C1533,Phone_by_Sentiment!$B$2:$B$37,Phone_by_Sentiment!J$2:J$37,"",0,1)),_xlfn.XLOOKUP($C1533,Phone_by_Sentiment!$B$2:$B$37,Phone_by_Sentiment!J$2:J$37,"",0,1),0),$A1533-TEXT(DATEVALUE($D1533&amp;"-01"), "dd-mm-yyyy")),0),0)</f>
        <v>354</v>
      </c>
      <c r="K1533" cm="1">
        <f t="array" ref="K1533">IF($Q1533&gt;=0,IFERROR(generateSalesData($D1533, IF(ISNUMBER(_xlfn.XLOOKUP($C1533,Phone_by_Sentiment!$B$2:$B$37,Phone_by_Sentiment!K$2:K$37,"",0,1)),_xlfn.XLOOKUP($C1533,Phone_by_Sentiment!$B$2:$B$37,Phone_by_Sentiment!K$2:K$37,"",0,1),0),$A1533-TEXT(DATEVALUE($D1533&amp;"-01"), "dd-mm-yyyy")),0),0)</f>
        <v>260</v>
      </c>
      <c r="L1533" cm="1">
        <f t="array" ref="L1533">IF($Q1533&gt;=0,IFERROR(generateSalesData($D1533, IF(ISNUMBER(_xlfn.XLOOKUP($C1533,Phone_by_Sentiment!$B$2:$B$37,Phone_by_Sentiment!L$2:L$37,"",0,1)),_xlfn.XLOOKUP($C1533,Phone_by_Sentiment!$B$2:$B$37,Phone_by_Sentiment!L$2:L$37,"",0,1),0),$A1533-TEXT(DATEVALUE($D1533&amp;"-01"), "dd-mm-yyyy")),0),0)</f>
        <v>1105</v>
      </c>
      <c r="M1533" cm="1">
        <f t="array" ref="M1533">IF($Q1533&gt;=0,IFERROR(generateSalesData($D1533, IF(ISNUMBER(_xlfn.XLOOKUP($C1533,Phone_by_Sentiment!$B$2:$B$37,Phone_by_Sentiment!M$2:M$37,"",0,1)),_xlfn.XLOOKUP($C1533,Phone_by_Sentiment!$B$2:$B$37,Phone_by_Sentiment!M$2:M$37,"",0,1),0),$A1533-TEXT(DATEVALUE($D1533&amp;"-01"), "dd-mm-yyyy")),0),0)</f>
        <v>391</v>
      </c>
      <c r="N1533" cm="1">
        <f t="array" ref="N1533">IF($Q1533&gt;=0,IFERROR(generateSalesData($D1533, IF(ISNUMBER(_xlfn.XLOOKUP($C1533,Phone_by_Sentiment!$B$2:$B$37,Phone_by_Sentiment!N$2:N$37,"",0,1)),_xlfn.XLOOKUP($C1533,Phone_by_Sentiment!$B$2:$B$37,Phone_by_Sentiment!N$2:N$37,"",0,1),0),$A1533-TEXT(DATEVALUE($D1533&amp;"-01"), "dd-mm-yyyy")),0),0)</f>
        <v>510</v>
      </c>
      <c r="O1533" cm="1">
        <f t="array" ref="O1533">IF($Q1533&gt;=0,IFERROR(generateSalesData($D1533, IF(ISNUMBER(_xlfn.XLOOKUP($C1533,Phone_by_Sentiment!$B$2:$B$37,Phone_by_Sentiment!O$2:O$37,"",0,1)),_xlfn.XLOOKUP($C1533,Phone_by_Sentiment!$B$2:$B$37,Phone_by_Sentiment!O$2:O$37,"",0,1),0),$A1533-TEXT(DATEVALUE($D1533&amp;"-01"), "dd-mm-yyyy")),0),0)</f>
        <v>700</v>
      </c>
      <c r="P1533" s="1">
        <f t="shared" si="58"/>
        <v>44317</v>
      </c>
      <c r="Q1533">
        <f t="shared" si="60"/>
        <v>457</v>
      </c>
    </row>
    <row r="1534" spans="1:17" x14ac:dyDescent="0.25">
      <c r="A1534" s="1">
        <f t="shared" si="59"/>
        <v>44774</v>
      </c>
      <c r="B1534" t="s">
        <v>172</v>
      </c>
      <c r="C1534" t="str">
        <f>_xlfn.XLOOKUP(B1534,Phone_by_Price!$A$2:$A$34,Phone_by_Price!$B$2:$B$34,"-",0,1)</f>
        <v>Xiaomi Redmi 9</v>
      </c>
      <c r="D1534" t="str">
        <f>_xlfn.XLOOKUP(C1534,Phone_by_Sentiment!$B$2:$B$37,Phone_by_Sentiment!$A$2:$A$37,"-",0,1)</f>
        <v>2020-08</v>
      </c>
      <c r="E1534" cm="1">
        <f t="array" ref="E1534">IF($Q1534&gt;=0,IFERROR(generateSalesData($D1534, IF(ISNUMBER(_xlfn.XLOOKUP($C1534,Phone_by_Sentiment!$B$2:$B$37,Phone_by_Sentiment!E$2:E$37,"",0,1)),_xlfn.XLOOKUP($C1534,Phone_by_Sentiment!$B$2:$B$37,Phone_by_Sentiment!E$2:E$37,"",0,1),0),$A1534-TEXT(DATEVALUE($D1534&amp;"-01"), "dd-mm-yyyy")),0),0)</f>
        <v>50</v>
      </c>
      <c r="F1534" cm="1">
        <f t="array" ref="F1534">IF($Q1534&gt;=0,IFERROR(generateSalesData($D1534, IF(ISNUMBER(_xlfn.XLOOKUP($C1534,Phone_by_Sentiment!$B$2:$B$37,Phone_by_Sentiment!F$2:F$37,"",0,1)),_xlfn.XLOOKUP($C1534,Phone_by_Sentiment!$B$2:$B$37,Phone_by_Sentiment!F$2:F$37,"",0,1),0),$A1534-TEXT(DATEVALUE($D1534&amp;"-01"), "dd-mm-yyyy")),0),0)</f>
        <v>-29</v>
      </c>
      <c r="G1534" cm="1">
        <f t="array" ref="G1534">IF($Q1534&gt;=0,IFERROR(generateSalesData($D1534, IF(ISNUMBER(_xlfn.XLOOKUP($C1534,Phone_by_Sentiment!$B$2:$B$37,Phone_by_Sentiment!G$2:G$37,"",0,1)),_xlfn.XLOOKUP($C1534,Phone_by_Sentiment!$B$2:$B$37,Phone_by_Sentiment!G$2:G$37,"",0,1),0),$A1534-TEXT(DATEVALUE($D1534&amp;"-01"), "dd-mm-yyyy")),0),0)</f>
        <v>94</v>
      </c>
      <c r="H1534" cm="1">
        <f t="array" ref="H1534">IF($Q1534&gt;=0,IFERROR(generateSalesData($D1534, IF(ISNUMBER(_xlfn.XLOOKUP($C1534,Phone_by_Sentiment!$B$2:$B$37,Phone_by_Sentiment!H$2:H$37,"",0,1)),_xlfn.XLOOKUP($C1534,Phone_by_Sentiment!$B$2:$B$37,Phone_by_Sentiment!H$2:H$37,"",0,1),0),$A1534-TEXT(DATEVALUE($D1534&amp;"-01"), "dd-mm-yyyy")),0),0)</f>
        <v>58</v>
      </c>
      <c r="I1534" cm="1">
        <f t="array" ref="I1534">IF($Q1534&gt;=0,IFERROR(generateSalesData($D1534, IF(ISNUMBER(_xlfn.XLOOKUP($C1534,Phone_by_Sentiment!$B$2:$B$37,Phone_by_Sentiment!I$2:I$37,"",0,1)),_xlfn.XLOOKUP($C1534,Phone_by_Sentiment!$B$2:$B$37,Phone_by_Sentiment!I$2:I$37,"",0,1),0),$A1534-TEXT(DATEVALUE($D1534&amp;"-01"), "dd-mm-yyyy")),0),0)</f>
        <v>3</v>
      </c>
      <c r="J1534" cm="1">
        <f t="array" ref="J1534">IF($Q1534&gt;=0,IFERROR(generateSalesData($D1534, IF(ISNUMBER(_xlfn.XLOOKUP($C1534,Phone_by_Sentiment!$B$2:$B$37,Phone_by_Sentiment!J$2:J$37,"",0,1)),_xlfn.XLOOKUP($C1534,Phone_by_Sentiment!$B$2:$B$37,Phone_by_Sentiment!J$2:J$37,"",0,1),0),$A1534-TEXT(DATEVALUE($D1534&amp;"-01"), "dd-mm-yyyy")),0),0)</f>
        <v>102</v>
      </c>
      <c r="K1534" cm="1">
        <f t="array" ref="K1534">IF($Q1534&gt;=0,IFERROR(generateSalesData($D1534, IF(ISNUMBER(_xlfn.XLOOKUP($C1534,Phone_by_Sentiment!$B$2:$B$37,Phone_by_Sentiment!K$2:K$37,"",0,1)),_xlfn.XLOOKUP($C1534,Phone_by_Sentiment!$B$2:$B$37,Phone_by_Sentiment!K$2:K$37,"",0,1),0),$A1534-TEXT(DATEVALUE($D1534&amp;"-01"), "dd-mm-yyyy")),0),0)</f>
        <v>426</v>
      </c>
      <c r="L1534" cm="1">
        <f t="array" ref="L1534">IF($Q1534&gt;=0,IFERROR(generateSalesData($D1534, IF(ISNUMBER(_xlfn.XLOOKUP($C1534,Phone_by_Sentiment!$B$2:$B$37,Phone_by_Sentiment!L$2:L$37,"",0,1)),_xlfn.XLOOKUP($C1534,Phone_by_Sentiment!$B$2:$B$37,Phone_by_Sentiment!L$2:L$37,"",0,1),0),$A1534-TEXT(DATEVALUE($D1534&amp;"-01"), "dd-mm-yyyy")),0),0)</f>
        <v>96</v>
      </c>
      <c r="M1534" cm="1">
        <f t="array" ref="M1534">IF($Q1534&gt;=0,IFERROR(generateSalesData($D1534, IF(ISNUMBER(_xlfn.XLOOKUP($C1534,Phone_by_Sentiment!$B$2:$B$37,Phone_by_Sentiment!M$2:M$37,"",0,1)),_xlfn.XLOOKUP($C1534,Phone_by_Sentiment!$B$2:$B$37,Phone_by_Sentiment!M$2:M$37,"",0,1),0),$A1534-TEXT(DATEVALUE($D1534&amp;"-01"), "dd-mm-yyyy")),0),0)</f>
        <v>293</v>
      </c>
      <c r="N1534" cm="1">
        <f t="array" ref="N1534">IF($Q1534&gt;=0,IFERROR(generateSalesData($D1534, IF(ISNUMBER(_xlfn.XLOOKUP($C1534,Phone_by_Sentiment!$B$2:$B$37,Phone_by_Sentiment!N$2:N$37,"",0,1)),_xlfn.XLOOKUP($C1534,Phone_by_Sentiment!$B$2:$B$37,Phone_by_Sentiment!N$2:N$37,"",0,1),0),$A1534-TEXT(DATEVALUE($D1534&amp;"-01"), "dd-mm-yyyy")),0),0)</f>
        <v>78</v>
      </c>
      <c r="O1534" cm="1">
        <f t="array" ref="O1534">IF($Q1534&gt;=0,IFERROR(generateSalesData($D1534, IF(ISNUMBER(_xlfn.XLOOKUP($C1534,Phone_by_Sentiment!$B$2:$B$37,Phone_by_Sentiment!O$2:O$37,"",0,1)),_xlfn.XLOOKUP($C1534,Phone_by_Sentiment!$B$2:$B$37,Phone_by_Sentiment!O$2:O$37,"",0,1),0),$A1534-TEXT(DATEVALUE($D1534&amp;"-01"), "dd-mm-yyyy")),0),0)</f>
        <v>167</v>
      </c>
      <c r="P1534" s="1">
        <f t="shared" si="58"/>
        <v>44044</v>
      </c>
      <c r="Q1534">
        <f t="shared" si="60"/>
        <v>730</v>
      </c>
    </row>
    <row r="1535" spans="1:17" x14ac:dyDescent="0.25">
      <c r="A1535" s="1">
        <f t="shared" si="59"/>
        <v>44774</v>
      </c>
      <c r="B1535" t="s">
        <v>173</v>
      </c>
      <c r="C1535" t="str">
        <f>_xlfn.XLOOKUP(B1535,Phone_by_Price!$A$2:$A$34,Phone_by_Price!$B$2:$B$34,"-",0,1)</f>
        <v>Realme C3</v>
      </c>
      <c r="D1535" t="str">
        <f>_xlfn.XLOOKUP(C1535,Phone_by_Sentiment!$B$2:$B$37,Phone_by_Sentiment!$A$2:$A$37,"-",0,1)</f>
        <v>2020-02</v>
      </c>
      <c r="E1535" cm="1">
        <f t="array" ref="E1535">IF($Q1535&gt;=0,IFERROR(generateSalesData($D1535, IF(ISNUMBER(_xlfn.XLOOKUP($C1535,Phone_by_Sentiment!$B$2:$B$37,Phone_by_Sentiment!E$2:E$37,"",0,1)),_xlfn.XLOOKUP($C1535,Phone_by_Sentiment!$B$2:$B$37,Phone_by_Sentiment!E$2:E$37,"",0,1),0),$A1535-TEXT(DATEVALUE($D1535&amp;"-01"), "dd-mm-yyyy")),0),0)</f>
        <v>30</v>
      </c>
      <c r="F1535" cm="1">
        <f t="array" ref="F1535">IF($Q1535&gt;=0,IFERROR(generateSalesData($D1535, IF(ISNUMBER(_xlfn.XLOOKUP($C1535,Phone_by_Sentiment!$B$2:$B$37,Phone_by_Sentiment!F$2:F$37,"",0,1)),_xlfn.XLOOKUP($C1535,Phone_by_Sentiment!$B$2:$B$37,Phone_by_Sentiment!F$2:F$37,"",0,1),0),$A1535-TEXT(DATEVALUE($D1535&amp;"-01"), "dd-mm-yyyy")),0),0)</f>
        <v>90</v>
      </c>
      <c r="G1535" cm="1">
        <f t="array" ref="G1535">IF($Q1535&gt;=0,IFERROR(generateSalesData($D1535, IF(ISNUMBER(_xlfn.XLOOKUP($C1535,Phone_by_Sentiment!$B$2:$B$37,Phone_by_Sentiment!G$2:G$37,"",0,1)),_xlfn.XLOOKUP($C1535,Phone_by_Sentiment!$B$2:$B$37,Phone_by_Sentiment!G$2:G$37,"",0,1),0),$A1535-TEXT(DATEVALUE($D1535&amp;"-01"), "dd-mm-yyyy")),0),0)</f>
        <v>78</v>
      </c>
      <c r="H1535" cm="1">
        <f t="array" ref="H1535">IF($Q1535&gt;=0,IFERROR(generateSalesData($D1535, IF(ISNUMBER(_xlfn.XLOOKUP($C1535,Phone_by_Sentiment!$B$2:$B$37,Phone_by_Sentiment!H$2:H$37,"",0,1)),_xlfn.XLOOKUP($C1535,Phone_by_Sentiment!$B$2:$B$37,Phone_by_Sentiment!H$2:H$37,"",0,1),0),$A1535-TEXT(DATEVALUE($D1535&amp;"-01"), "dd-mm-yyyy")),0),0)</f>
        <v>222</v>
      </c>
      <c r="I1535" cm="1">
        <f t="array" ref="I1535">IF($Q1535&gt;=0,IFERROR(generateSalesData($D1535, IF(ISNUMBER(_xlfn.XLOOKUP($C1535,Phone_by_Sentiment!$B$2:$B$37,Phone_by_Sentiment!I$2:I$37,"",0,1)),_xlfn.XLOOKUP($C1535,Phone_by_Sentiment!$B$2:$B$37,Phone_by_Sentiment!I$2:I$37,"",0,1),0),$A1535-TEXT(DATEVALUE($D1535&amp;"-01"), "dd-mm-yyyy")),0),0)</f>
        <v>256</v>
      </c>
      <c r="J1535" cm="1">
        <f t="array" ref="J1535">IF($Q1535&gt;=0,IFERROR(generateSalesData($D1535, IF(ISNUMBER(_xlfn.XLOOKUP($C1535,Phone_by_Sentiment!$B$2:$B$37,Phone_by_Sentiment!J$2:J$37,"",0,1)),_xlfn.XLOOKUP($C1535,Phone_by_Sentiment!$B$2:$B$37,Phone_by_Sentiment!J$2:J$37,"",0,1),0),$A1535-TEXT(DATEVALUE($D1535&amp;"-01"), "dd-mm-yyyy")),0),0)</f>
        <v>99</v>
      </c>
      <c r="K1535" cm="1">
        <f t="array" ref="K1535">IF($Q1535&gt;=0,IFERROR(generateSalesData($D1535, IF(ISNUMBER(_xlfn.XLOOKUP($C1535,Phone_by_Sentiment!$B$2:$B$37,Phone_by_Sentiment!K$2:K$37,"",0,1)),_xlfn.XLOOKUP($C1535,Phone_by_Sentiment!$B$2:$B$37,Phone_by_Sentiment!K$2:K$37,"",0,1),0),$A1535-TEXT(DATEVALUE($D1535&amp;"-01"), "dd-mm-yyyy")),0),0)</f>
        <v>76</v>
      </c>
      <c r="L1535" cm="1">
        <f t="array" ref="L1535">IF($Q1535&gt;=0,IFERROR(generateSalesData($D1535, IF(ISNUMBER(_xlfn.XLOOKUP($C1535,Phone_by_Sentiment!$B$2:$B$37,Phone_by_Sentiment!L$2:L$37,"",0,1)),_xlfn.XLOOKUP($C1535,Phone_by_Sentiment!$B$2:$B$37,Phone_by_Sentiment!L$2:L$37,"",0,1),0),$A1535-TEXT(DATEVALUE($D1535&amp;"-01"), "dd-mm-yyyy")),0),0)</f>
        <v>191</v>
      </c>
      <c r="M1535" cm="1">
        <f t="array" ref="M1535">IF($Q1535&gt;=0,IFERROR(generateSalesData($D1535, IF(ISNUMBER(_xlfn.XLOOKUP($C1535,Phone_by_Sentiment!$B$2:$B$37,Phone_by_Sentiment!M$2:M$37,"",0,1)),_xlfn.XLOOKUP($C1535,Phone_by_Sentiment!$B$2:$B$37,Phone_by_Sentiment!M$2:M$37,"",0,1),0),$A1535-TEXT(DATEVALUE($D1535&amp;"-01"), "dd-mm-yyyy")),0),0)</f>
        <v>88</v>
      </c>
      <c r="N1535" cm="1">
        <f t="array" ref="N1535">IF($Q1535&gt;=0,IFERROR(generateSalesData($D1535, IF(ISNUMBER(_xlfn.XLOOKUP($C1535,Phone_by_Sentiment!$B$2:$B$37,Phone_by_Sentiment!N$2:N$37,"",0,1)),_xlfn.XLOOKUP($C1535,Phone_by_Sentiment!$B$2:$B$37,Phone_by_Sentiment!N$2:N$37,"",0,1),0),$A1535-TEXT(DATEVALUE($D1535&amp;"-01"), "dd-mm-yyyy")),0),0)</f>
        <v>158</v>
      </c>
      <c r="O1535" cm="1">
        <f t="array" ref="O1535">IF($Q1535&gt;=0,IFERROR(generateSalesData($D1535, IF(ISNUMBER(_xlfn.XLOOKUP($C1535,Phone_by_Sentiment!$B$2:$B$37,Phone_by_Sentiment!O$2:O$37,"",0,1)),_xlfn.XLOOKUP($C1535,Phone_by_Sentiment!$B$2:$B$37,Phone_by_Sentiment!O$2:O$37,"",0,1),0),$A1535-TEXT(DATEVALUE($D1535&amp;"-01"), "dd-mm-yyyy")),0),0)</f>
        <v>63</v>
      </c>
      <c r="P1535" s="1">
        <f t="shared" si="58"/>
        <v>43862</v>
      </c>
      <c r="Q1535">
        <f t="shared" si="60"/>
        <v>912</v>
      </c>
    </row>
    <row r="1536" spans="1:17" x14ac:dyDescent="0.25">
      <c r="A1536" s="1">
        <f t="shared" si="59"/>
        <v>44774</v>
      </c>
      <c r="B1536" t="s">
        <v>174</v>
      </c>
      <c r="C1536" t="str">
        <f>_xlfn.XLOOKUP(B1536,Phone_by_Price!$A$2:$A$34,Phone_by_Price!$B$2:$B$34,"-",0,1)</f>
        <v>Samsung Galaxy A7</v>
      </c>
      <c r="D1536" t="str">
        <f>_xlfn.XLOOKUP(C1536,Phone_by_Sentiment!$B$2:$B$37,Phone_by_Sentiment!$A$2:$A$37,"-",0,1)</f>
        <v>2018-10</v>
      </c>
      <c r="E1536" cm="1">
        <f t="array" ref="E1536">IF($Q1536&gt;=0,IFERROR(generateSalesData($D1536, IF(ISNUMBER(_xlfn.XLOOKUP($C1536,Phone_by_Sentiment!$B$2:$B$37,Phone_by_Sentiment!E$2:E$37,"",0,1)),_xlfn.XLOOKUP($C1536,Phone_by_Sentiment!$B$2:$B$37,Phone_by_Sentiment!E$2:E$37,"",0,1),0),$A1536-TEXT(DATEVALUE($D1536&amp;"-01"), "dd-mm-yyyy")),0),0)</f>
        <v>48</v>
      </c>
      <c r="F1536" cm="1">
        <f t="array" ref="F1536">IF($Q1536&gt;=0,IFERROR(generateSalesData($D1536, IF(ISNUMBER(_xlfn.XLOOKUP($C1536,Phone_by_Sentiment!$B$2:$B$37,Phone_by_Sentiment!F$2:F$37,"",0,1)),_xlfn.XLOOKUP($C1536,Phone_by_Sentiment!$B$2:$B$37,Phone_by_Sentiment!F$2:F$37,"",0,1),0),$A1536-TEXT(DATEVALUE($D1536&amp;"-01"), "dd-mm-yyyy")),0),0)</f>
        <v>32</v>
      </c>
      <c r="G1536" cm="1">
        <f t="array" ref="G1536">IF($Q1536&gt;=0,IFERROR(generateSalesData($D1536, IF(ISNUMBER(_xlfn.XLOOKUP($C1536,Phone_by_Sentiment!$B$2:$B$37,Phone_by_Sentiment!G$2:G$37,"",0,1)),_xlfn.XLOOKUP($C1536,Phone_by_Sentiment!$B$2:$B$37,Phone_by_Sentiment!G$2:G$37,"",0,1),0),$A1536-TEXT(DATEVALUE($D1536&amp;"-01"), "dd-mm-yyyy")),0),0)</f>
        <v>41</v>
      </c>
      <c r="H1536" cm="1">
        <f t="array" ref="H1536">IF($Q1536&gt;=0,IFERROR(generateSalesData($D1536, IF(ISNUMBER(_xlfn.XLOOKUP($C1536,Phone_by_Sentiment!$B$2:$B$37,Phone_by_Sentiment!H$2:H$37,"",0,1)),_xlfn.XLOOKUP($C1536,Phone_by_Sentiment!$B$2:$B$37,Phone_by_Sentiment!H$2:H$37,"",0,1),0),$A1536-TEXT(DATEVALUE($D1536&amp;"-01"), "dd-mm-yyyy")),0),0)</f>
        <v>115</v>
      </c>
      <c r="I1536" cm="1">
        <f t="array" ref="I1536">IF($Q1536&gt;=0,IFERROR(generateSalesData($D1536, IF(ISNUMBER(_xlfn.XLOOKUP($C1536,Phone_by_Sentiment!$B$2:$B$37,Phone_by_Sentiment!I$2:I$37,"",0,1)),_xlfn.XLOOKUP($C1536,Phone_by_Sentiment!$B$2:$B$37,Phone_by_Sentiment!I$2:I$37,"",0,1),0),$A1536-TEXT(DATEVALUE($D1536&amp;"-01"), "dd-mm-yyyy")),0),0)</f>
        <v>46</v>
      </c>
      <c r="J1536" cm="1">
        <f t="array" ref="J1536">IF($Q1536&gt;=0,IFERROR(generateSalesData($D1536, IF(ISNUMBER(_xlfn.XLOOKUP($C1536,Phone_by_Sentiment!$B$2:$B$37,Phone_by_Sentiment!J$2:J$37,"",0,1)),_xlfn.XLOOKUP($C1536,Phone_by_Sentiment!$B$2:$B$37,Phone_by_Sentiment!J$2:J$37,"",0,1),0),$A1536-TEXT(DATEVALUE($D1536&amp;"-01"), "dd-mm-yyyy")),0),0)</f>
        <v>63</v>
      </c>
      <c r="K1536" cm="1">
        <f t="array" ref="K1536">IF($Q1536&gt;=0,IFERROR(generateSalesData($D1536, IF(ISNUMBER(_xlfn.XLOOKUP($C1536,Phone_by_Sentiment!$B$2:$B$37,Phone_by_Sentiment!K$2:K$37,"",0,1)),_xlfn.XLOOKUP($C1536,Phone_by_Sentiment!$B$2:$B$37,Phone_by_Sentiment!K$2:K$37,"",0,1),0),$A1536-TEXT(DATEVALUE($D1536&amp;"-01"), "dd-mm-yyyy")),0),0)</f>
        <v>36</v>
      </c>
      <c r="L1536" cm="1">
        <f t="array" ref="L1536">IF($Q1536&gt;=0,IFERROR(generateSalesData($D1536, IF(ISNUMBER(_xlfn.XLOOKUP($C1536,Phone_by_Sentiment!$B$2:$B$37,Phone_by_Sentiment!L$2:L$37,"",0,1)),_xlfn.XLOOKUP($C1536,Phone_by_Sentiment!$B$2:$B$37,Phone_by_Sentiment!L$2:L$37,"",0,1),0),$A1536-TEXT(DATEVALUE($D1536&amp;"-01"), "dd-mm-yyyy")),0),0)</f>
        <v>49</v>
      </c>
      <c r="M1536" cm="1">
        <f t="array" ref="M1536">IF($Q1536&gt;=0,IFERROR(generateSalesData($D1536, IF(ISNUMBER(_xlfn.XLOOKUP($C1536,Phone_by_Sentiment!$B$2:$B$37,Phone_by_Sentiment!M$2:M$37,"",0,1)),_xlfn.XLOOKUP($C1536,Phone_by_Sentiment!$B$2:$B$37,Phone_by_Sentiment!M$2:M$37,"",0,1),0),$A1536-TEXT(DATEVALUE($D1536&amp;"-01"), "dd-mm-yyyy")),0),0)</f>
        <v>49</v>
      </c>
      <c r="N1536" cm="1">
        <f t="array" ref="N1536">IF($Q1536&gt;=0,IFERROR(generateSalesData($D1536, IF(ISNUMBER(_xlfn.XLOOKUP($C1536,Phone_by_Sentiment!$B$2:$B$37,Phone_by_Sentiment!N$2:N$37,"",0,1)),_xlfn.XLOOKUP($C1536,Phone_by_Sentiment!$B$2:$B$37,Phone_by_Sentiment!N$2:N$37,"",0,1),0),$A1536-TEXT(DATEVALUE($D1536&amp;"-01"), "dd-mm-yyyy")),0),0)</f>
        <v>162</v>
      </c>
      <c r="O1536" cm="1">
        <f t="array" ref="O1536">IF($Q1536&gt;=0,IFERROR(generateSalesData($D1536, IF(ISNUMBER(_xlfn.XLOOKUP($C1536,Phone_by_Sentiment!$B$2:$B$37,Phone_by_Sentiment!O$2:O$37,"",0,1)),_xlfn.XLOOKUP($C1536,Phone_by_Sentiment!$B$2:$B$37,Phone_by_Sentiment!O$2:O$37,"",0,1),0),$A1536-TEXT(DATEVALUE($D1536&amp;"-01"), "dd-mm-yyyy")),0),0)</f>
        <v>85</v>
      </c>
      <c r="P1536" s="1">
        <f t="shared" si="58"/>
        <v>43374</v>
      </c>
      <c r="Q1536">
        <f t="shared" si="60"/>
        <v>1400</v>
      </c>
    </row>
    <row r="1537" spans="1:17" x14ac:dyDescent="0.25">
      <c r="A1537" s="1">
        <f t="shared" si="59"/>
        <v>44774</v>
      </c>
      <c r="B1537" t="s">
        <v>142</v>
      </c>
      <c r="C1537" t="str">
        <f>_xlfn.XLOOKUP(B1537,Phone_by_Price!$A$2:$A$34,Phone_by_Price!$B$2:$B$34,"-",0,1)</f>
        <v>iPhone 11</v>
      </c>
      <c r="D1537" t="str">
        <f>_xlfn.XLOOKUP(C1537,Phone_by_Sentiment!$B$2:$B$37,Phone_by_Sentiment!$A$2:$A$37,"-",0,1)</f>
        <v>2019-09</v>
      </c>
      <c r="E1537" cm="1">
        <f t="array" ref="E1537">IF($Q1537&gt;=0,IFERROR(generateSalesData($D1537, IF(ISNUMBER(_xlfn.XLOOKUP($C1537,Phone_by_Sentiment!$B$2:$B$37,Phone_by_Sentiment!E$2:E$37,"",0,1)),_xlfn.XLOOKUP($C1537,Phone_by_Sentiment!$B$2:$B$37,Phone_by_Sentiment!E$2:E$37,"",0,1),0),$A1537-TEXT(DATEVALUE($D1537&amp;"-01"), "dd-mm-yyyy")),0),0)</f>
        <v>55</v>
      </c>
      <c r="F1537" cm="1">
        <f t="array" ref="F1537">IF($Q1537&gt;=0,IFERROR(generateSalesData($D1537, IF(ISNUMBER(_xlfn.XLOOKUP($C1537,Phone_by_Sentiment!$B$2:$B$37,Phone_by_Sentiment!F$2:F$37,"",0,1)),_xlfn.XLOOKUP($C1537,Phone_by_Sentiment!$B$2:$B$37,Phone_by_Sentiment!F$2:F$37,"",0,1),0),$A1537-TEXT(DATEVALUE($D1537&amp;"-01"), "dd-mm-yyyy")),0),0)</f>
        <v>345</v>
      </c>
      <c r="G1537" cm="1">
        <f t="array" ref="G1537">IF($Q1537&gt;=0,IFERROR(generateSalesData($D1537, IF(ISNUMBER(_xlfn.XLOOKUP($C1537,Phone_by_Sentiment!$B$2:$B$37,Phone_by_Sentiment!G$2:G$37,"",0,1)),_xlfn.XLOOKUP($C1537,Phone_by_Sentiment!$B$2:$B$37,Phone_by_Sentiment!G$2:G$37,"",0,1),0),$A1537-TEXT(DATEVALUE($D1537&amp;"-01"), "dd-mm-yyyy")),0),0)</f>
        <v>53</v>
      </c>
      <c r="H1537" cm="1">
        <f t="array" ref="H1537">IF($Q1537&gt;=0,IFERROR(generateSalesData($D1537, IF(ISNUMBER(_xlfn.XLOOKUP($C1537,Phone_by_Sentiment!$B$2:$B$37,Phone_by_Sentiment!H$2:H$37,"",0,1)),_xlfn.XLOOKUP($C1537,Phone_by_Sentiment!$B$2:$B$37,Phone_by_Sentiment!H$2:H$37,"",0,1),0),$A1537-TEXT(DATEVALUE($D1537&amp;"-01"), "dd-mm-yyyy")),0),0)</f>
        <v>263</v>
      </c>
      <c r="I1537" cm="1">
        <f t="array" ref="I1537">IF($Q1537&gt;=0,IFERROR(generateSalesData($D1537, IF(ISNUMBER(_xlfn.XLOOKUP($C1537,Phone_by_Sentiment!$B$2:$B$37,Phone_by_Sentiment!I$2:I$37,"",0,1)),_xlfn.XLOOKUP($C1537,Phone_by_Sentiment!$B$2:$B$37,Phone_by_Sentiment!I$2:I$37,"",0,1),0),$A1537-TEXT(DATEVALUE($D1537&amp;"-01"), "dd-mm-yyyy")),0),0)</f>
        <v>105</v>
      </c>
      <c r="J1537" cm="1">
        <f t="array" ref="J1537">IF($Q1537&gt;=0,IFERROR(generateSalesData($D1537, IF(ISNUMBER(_xlfn.XLOOKUP($C1537,Phone_by_Sentiment!$B$2:$B$37,Phone_by_Sentiment!J$2:J$37,"",0,1)),_xlfn.XLOOKUP($C1537,Phone_by_Sentiment!$B$2:$B$37,Phone_by_Sentiment!J$2:J$37,"",0,1),0),$A1537-TEXT(DATEVALUE($D1537&amp;"-01"), "dd-mm-yyyy")),0),0)</f>
        <v>144</v>
      </c>
      <c r="K1537" cm="1">
        <f t="array" ref="K1537">IF($Q1537&gt;=0,IFERROR(generateSalesData($D1537, IF(ISNUMBER(_xlfn.XLOOKUP($C1537,Phone_by_Sentiment!$B$2:$B$37,Phone_by_Sentiment!K$2:K$37,"",0,1)),_xlfn.XLOOKUP($C1537,Phone_by_Sentiment!$B$2:$B$37,Phone_by_Sentiment!K$2:K$37,"",0,1),0),$A1537-TEXT(DATEVALUE($D1537&amp;"-01"), "dd-mm-yyyy")),0),0)</f>
        <v>80</v>
      </c>
      <c r="L1537" cm="1">
        <f t="array" ref="L1537">IF($Q1537&gt;=0,IFERROR(generateSalesData($D1537, IF(ISNUMBER(_xlfn.XLOOKUP($C1537,Phone_by_Sentiment!$B$2:$B$37,Phone_by_Sentiment!L$2:L$37,"",0,1)),_xlfn.XLOOKUP($C1537,Phone_by_Sentiment!$B$2:$B$37,Phone_by_Sentiment!L$2:L$37,"",0,1),0),$A1537-TEXT(DATEVALUE($D1537&amp;"-01"), "dd-mm-yyyy")),0),0)</f>
        <v>168</v>
      </c>
      <c r="M1537" cm="1">
        <f t="array" ref="M1537">IF($Q1537&gt;=0,IFERROR(generateSalesData($D1537, IF(ISNUMBER(_xlfn.XLOOKUP($C1537,Phone_by_Sentiment!$B$2:$B$37,Phone_by_Sentiment!M$2:M$37,"",0,1)),_xlfn.XLOOKUP($C1537,Phone_by_Sentiment!$B$2:$B$37,Phone_by_Sentiment!M$2:M$37,"",0,1),0),$A1537-TEXT(DATEVALUE($D1537&amp;"-01"), "dd-mm-yyyy")),0),0)</f>
        <v>193</v>
      </c>
      <c r="N1537" cm="1">
        <f t="array" ref="N1537">IF($Q1537&gt;=0,IFERROR(generateSalesData($D1537, IF(ISNUMBER(_xlfn.XLOOKUP($C1537,Phone_by_Sentiment!$B$2:$B$37,Phone_by_Sentiment!N$2:N$37,"",0,1)),_xlfn.XLOOKUP($C1537,Phone_by_Sentiment!$B$2:$B$37,Phone_by_Sentiment!N$2:N$37,"",0,1),0),$A1537-TEXT(DATEVALUE($D1537&amp;"-01"), "dd-mm-yyyy")),0),0)</f>
        <v>213</v>
      </c>
      <c r="O1537" cm="1">
        <f t="array" ref="O1537">IF($Q1537&gt;=0,IFERROR(generateSalesData($D1537, IF(ISNUMBER(_xlfn.XLOOKUP($C1537,Phone_by_Sentiment!$B$2:$B$37,Phone_by_Sentiment!O$2:O$37,"",0,1)),_xlfn.XLOOKUP($C1537,Phone_by_Sentiment!$B$2:$B$37,Phone_by_Sentiment!O$2:O$37,"",0,1),0),$A1537-TEXT(DATEVALUE($D1537&amp;"-01"), "dd-mm-yyyy")),0),0)</f>
        <v>208</v>
      </c>
      <c r="P1537" s="1">
        <f t="shared" si="58"/>
        <v>43709</v>
      </c>
      <c r="Q1537">
        <f t="shared" si="60"/>
        <v>1065</v>
      </c>
    </row>
    <row r="1538" spans="1:17" x14ac:dyDescent="0.25">
      <c r="A1538" s="1">
        <f t="shared" si="59"/>
        <v>44774</v>
      </c>
      <c r="B1538" t="s">
        <v>143</v>
      </c>
      <c r="C1538" t="str">
        <f>_xlfn.XLOOKUP(B1538,Phone_by_Price!$A$2:$A$34,Phone_by_Price!$B$2:$B$34,"-",0,1)</f>
        <v>Samsung Galaxy S20 Ultra</v>
      </c>
      <c r="D1538" t="str">
        <f>_xlfn.XLOOKUP(C1538,Phone_by_Sentiment!$B$2:$B$37,Phone_by_Sentiment!$A$2:$A$37,"-",0,1)</f>
        <v>2020-02</v>
      </c>
      <c r="E1538" cm="1">
        <f t="array" ref="E1538">IF($Q1538&gt;=0,IFERROR(generateSalesData($D1538, IF(ISNUMBER(_xlfn.XLOOKUP($C1538,Phone_by_Sentiment!$B$2:$B$37,Phone_by_Sentiment!E$2:E$37,"",0,1)),_xlfn.XLOOKUP($C1538,Phone_by_Sentiment!$B$2:$B$37,Phone_by_Sentiment!E$2:E$37,"",0,1),0),$A1538-TEXT(DATEVALUE($D1538&amp;"-01"), "dd-mm-yyyy")),0),0)</f>
        <v>181</v>
      </c>
      <c r="F1538" cm="1">
        <f t="array" ref="F1538">IF($Q1538&gt;=0,IFERROR(generateSalesData($D1538, IF(ISNUMBER(_xlfn.XLOOKUP($C1538,Phone_by_Sentiment!$B$2:$B$37,Phone_by_Sentiment!F$2:F$37,"",0,1)),_xlfn.XLOOKUP($C1538,Phone_by_Sentiment!$B$2:$B$37,Phone_by_Sentiment!F$2:F$37,"",0,1),0),$A1538-TEXT(DATEVALUE($D1538&amp;"-01"), "dd-mm-yyyy")),0),0)</f>
        <v>319</v>
      </c>
      <c r="G1538" cm="1">
        <f t="array" ref="G1538">IF($Q1538&gt;=0,IFERROR(generateSalesData($D1538, IF(ISNUMBER(_xlfn.XLOOKUP($C1538,Phone_by_Sentiment!$B$2:$B$37,Phone_by_Sentiment!G$2:G$37,"",0,1)),_xlfn.XLOOKUP($C1538,Phone_by_Sentiment!$B$2:$B$37,Phone_by_Sentiment!G$2:G$37,"",0,1),0),$A1538-TEXT(DATEVALUE($D1538&amp;"-01"), "dd-mm-yyyy")),0),0)</f>
        <v>49</v>
      </c>
      <c r="H1538" cm="1">
        <f t="array" ref="H1538">IF($Q1538&gt;=0,IFERROR(generateSalesData($D1538, IF(ISNUMBER(_xlfn.XLOOKUP($C1538,Phone_by_Sentiment!$B$2:$B$37,Phone_by_Sentiment!H$2:H$37,"",0,1)),_xlfn.XLOOKUP($C1538,Phone_by_Sentiment!$B$2:$B$37,Phone_by_Sentiment!H$2:H$37,"",0,1),0),$A1538-TEXT(DATEVALUE($D1538&amp;"-01"), "dd-mm-yyyy")),0),0)</f>
        <v>251</v>
      </c>
      <c r="I1538" cm="1">
        <f t="array" ref="I1538">IF($Q1538&gt;=0,IFERROR(generateSalesData($D1538, IF(ISNUMBER(_xlfn.XLOOKUP($C1538,Phone_by_Sentiment!$B$2:$B$37,Phone_by_Sentiment!I$2:I$37,"",0,1)),_xlfn.XLOOKUP($C1538,Phone_by_Sentiment!$B$2:$B$37,Phone_by_Sentiment!I$2:I$37,"",0,1),0),$A1538-TEXT(DATEVALUE($D1538&amp;"-01"), "dd-mm-yyyy")),0),0)</f>
        <v>224</v>
      </c>
      <c r="J1538" cm="1">
        <f t="array" ref="J1538">IF($Q1538&gt;=0,IFERROR(generateSalesData($D1538, IF(ISNUMBER(_xlfn.XLOOKUP($C1538,Phone_by_Sentiment!$B$2:$B$37,Phone_by_Sentiment!J$2:J$37,"",0,1)),_xlfn.XLOOKUP($C1538,Phone_by_Sentiment!$B$2:$B$37,Phone_by_Sentiment!J$2:J$37,"",0,1),0),$A1538-TEXT(DATEVALUE($D1538&amp;"-01"), "dd-mm-yyyy")),0),0)</f>
        <v>316</v>
      </c>
      <c r="K1538" cm="1">
        <f t="array" ref="K1538">IF($Q1538&gt;=0,IFERROR(generateSalesData($D1538, IF(ISNUMBER(_xlfn.XLOOKUP($C1538,Phone_by_Sentiment!$B$2:$B$37,Phone_by_Sentiment!K$2:K$37,"",0,1)),_xlfn.XLOOKUP($C1538,Phone_by_Sentiment!$B$2:$B$37,Phone_by_Sentiment!K$2:K$37,"",0,1),0),$A1538-TEXT(DATEVALUE($D1538&amp;"-01"), "dd-mm-yyyy")),0),0)</f>
        <v>72</v>
      </c>
      <c r="L1538" cm="1">
        <f t="array" ref="L1538">IF($Q1538&gt;=0,IFERROR(generateSalesData($D1538, IF(ISNUMBER(_xlfn.XLOOKUP($C1538,Phone_by_Sentiment!$B$2:$B$37,Phone_by_Sentiment!L$2:L$37,"",0,1)),_xlfn.XLOOKUP($C1538,Phone_by_Sentiment!$B$2:$B$37,Phone_by_Sentiment!L$2:L$37,"",0,1),0),$A1538-TEXT(DATEVALUE($D1538&amp;"-01"), "dd-mm-yyyy")),0),0)</f>
        <v>334</v>
      </c>
      <c r="M1538" cm="1">
        <f t="array" ref="M1538">IF($Q1538&gt;=0,IFERROR(generateSalesData($D1538, IF(ISNUMBER(_xlfn.XLOOKUP($C1538,Phone_by_Sentiment!$B$2:$B$37,Phone_by_Sentiment!M$2:M$37,"",0,1)),_xlfn.XLOOKUP($C1538,Phone_by_Sentiment!$B$2:$B$37,Phone_by_Sentiment!M$2:M$37,"",0,1),0),$A1538-TEXT(DATEVALUE($D1538&amp;"-01"), "dd-mm-yyyy")),0),0)</f>
        <v>368</v>
      </c>
      <c r="N1538" cm="1">
        <f t="array" ref="N1538">IF($Q1538&gt;=0,IFERROR(generateSalesData($D1538, IF(ISNUMBER(_xlfn.XLOOKUP($C1538,Phone_by_Sentiment!$B$2:$B$37,Phone_by_Sentiment!N$2:N$37,"",0,1)),_xlfn.XLOOKUP($C1538,Phone_by_Sentiment!$B$2:$B$37,Phone_by_Sentiment!N$2:N$37,"",0,1),0),$A1538-TEXT(DATEVALUE($D1538&amp;"-01"), "dd-mm-yyyy")),0),0)</f>
        <v>263</v>
      </c>
      <c r="O1538" cm="1">
        <f t="array" ref="O1538">IF($Q1538&gt;=0,IFERROR(generateSalesData($D1538, IF(ISNUMBER(_xlfn.XLOOKUP($C1538,Phone_by_Sentiment!$B$2:$B$37,Phone_by_Sentiment!O$2:O$37,"",0,1)),_xlfn.XLOOKUP($C1538,Phone_by_Sentiment!$B$2:$B$37,Phone_by_Sentiment!O$2:O$37,"",0,1),0),$A1538-TEXT(DATEVALUE($D1538&amp;"-01"), "dd-mm-yyyy")),0),0)</f>
        <v>122</v>
      </c>
      <c r="P1538" s="1">
        <f t="shared" si="58"/>
        <v>43862</v>
      </c>
      <c r="Q1538">
        <f t="shared" si="60"/>
        <v>912</v>
      </c>
    </row>
    <row r="1539" spans="1:17" x14ac:dyDescent="0.25">
      <c r="A1539" s="1">
        <f t="shared" si="59"/>
        <v>44774</v>
      </c>
      <c r="B1539" t="s">
        <v>144</v>
      </c>
      <c r="C1539" t="str">
        <f>_xlfn.XLOOKUP(B1539,Phone_by_Price!$A$2:$A$34,Phone_by_Price!$B$2:$B$34,"-",0,1)</f>
        <v>Xiaomi Redmi Note 10</v>
      </c>
      <c r="D1539" t="str">
        <f>_xlfn.XLOOKUP(C1539,Phone_by_Sentiment!$B$2:$B$37,Phone_by_Sentiment!$A$2:$A$37,"-",0,1)</f>
        <v>2021-03</v>
      </c>
      <c r="E1539" cm="1">
        <f t="array" ref="E1539">IF($Q1539&gt;=0,IFERROR(generateSalesData($D1539, IF(ISNUMBER(_xlfn.XLOOKUP($C1539,Phone_by_Sentiment!$B$2:$B$37,Phone_by_Sentiment!E$2:E$37,"",0,1)),_xlfn.XLOOKUP($C1539,Phone_by_Sentiment!$B$2:$B$37,Phone_by_Sentiment!E$2:E$37,"",0,1),0),$A1539-TEXT(DATEVALUE($D1539&amp;"-01"), "dd-mm-yyyy")),0),0)</f>
        <v>571</v>
      </c>
      <c r="F1539" cm="1">
        <f t="array" ref="F1539">IF($Q1539&gt;=0,IFERROR(generateSalesData($D1539, IF(ISNUMBER(_xlfn.XLOOKUP($C1539,Phone_by_Sentiment!$B$2:$B$37,Phone_by_Sentiment!F$2:F$37,"",0,1)),_xlfn.XLOOKUP($C1539,Phone_by_Sentiment!$B$2:$B$37,Phone_by_Sentiment!F$2:F$37,"",0,1),0),$A1539-TEXT(DATEVALUE($D1539&amp;"-01"), "dd-mm-yyyy")),0),0)</f>
        <v>170</v>
      </c>
      <c r="G1539" cm="1">
        <f t="array" ref="G1539">IF($Q1539&gt;=0,IFERROR(generateSalesData($D1539, IF(ISNUMBER(_xlfn.XLOOKUP($C1539,Phone_by_Sentiment!$B$2:$B$37,Phone_by_Sentiment!G$2:G$37,"",0,1)),_xlfn.XLOOKUP($C1539,Phone_by_Sentiment!$B$2:$B$37,Phone_by_Sentiment!G$2:G$37,"",0,1),0),$A1539-TEXT(DATEVALUE($D1539&amp;"-01"), "dd-mm-yyyy")),0),0)</f>
        <v>140</v>
      </c>
      <c r="H1539" cm="1">
        <f t="array" ref="H1539">IF($Q1539&gt;=0,IFERROR(generateSalesData($D1539, IF(ISNUMBER(_xlfn.XLOOKUP($C1539,Phone_by_Sentiment!$B$2:$B$37,Phone_by_Sentiment!H$2:H$37,"",0,1)),_xlfn.XLOOKUP($C1539,Phone_by_Sentiment!$B$2:$B$37,Phone_by_Sentiment!H$2:H$37,"",0,1),0),$A1539-TEXT(DATEVALUE($D1539&amp;"-01"), "dd-mm-yyyy")),0),0)</f>
        <v>155</v>
      </c>
      <c r="I1539" cm="1">
        <f t="array" ref="I1539">IF($Q1539&gt;=0,IFERROR(generateSalesData($D1539, IF(ISNUMBER(_xlfn.XLOOKUP($C1539,Phone_by_Sentiment!$B$2:$B$37,Phone_by_Sentiment!I$2:I$37,"",0,1)),_xlfn.XLOOKUP($C1539,Phone_by_Sentiment!$B$2:$B$37,Phone_by_Sentiment!I$2:I$37,"",0,1),0),$A1539-TEXT(DATEVALUE($D1539&amp;"-01"), "dd-mm-yyyy")),0),0)</f>
        <v>819</v>
      </c>
      <c r="J1539" cm="1">
        <f t="array" ref="J1539">IF($Q1539&gt;=0,IFERROR(generateSalesData($D1539, IF(ISNUMBER(_xlfn.XLOOKUP($C1539,Phone_by_Sentiment!$B$2:$B$37,Phone_by_Sentiment!J$2:J$37,"",0,1)),_xlfn.XLOOKUP($C1539,Phone_by_Sentiment!$B$2:$B$37,Phone_by_Sentiment!J$2:J$37,"",0,1),0),$A1539-TEXT(DATEVALUE($D1539&amp;"-01"), "dd-mm-yyyy")),0),0)</f>
        <v>152</v>
      </c>
      <c r="K1539" cm="1">
        <f t="array" ref="K1539">IF($Q1539&gt;=0,IFERROR(generateSalesData($D1539, IF(ISNUMBER(_xlfn.XLOOKUP($C1539,Phone_by_Sentiment!$B$2:$B$37,Phone_by_Sentiment!K$2:K$37,"",0,1)),_xlfn.XLOOKUP($C1539,Phone_by_Sentiment!$B$2:$B$37,Phone_by_Sentiment!K$2:K$37,"",0,1),0),$A1539-TEXT(DATEVALUE($D1539&amp;"-01"), "dd-mm-yyyy")),0),0)</f>
        <v>539</v>
      </c>
      <c r="L1539" cm="1">
        <f t="array" ref="L1539">IF($Q1539&gt;=0,IFERROR(generateSalesData($D1539, IF(ISNUMBER(_xlfn.XLOOKUP($C1539,Phone_by_Sentiment!$B$2:$B$37,Phone_by_Sentiment!L$2:L$37,"",0,1)),_xlfn.XLOOKUP($C1539,Phone_by_Sentiment!$B$2:$B$37,Phone_by_Sentiment!L$2:L$37,"",0,1),0),$A1539-TEXT(DATEVALUE($D1539&amp;"-01"), "dd-mm-yyyy")),0),0)</f>
        <v>540</v>
      </c>
      <c r="M1539" cm="1">
        <f t="array" ref="M1539">IF($Q1539&gt;=0,IFERROR(generateSalesData($D1539, IF(ISNUMBER(_xlfn.XLOOKUP($C1539,Phone_by_Sentiment!$B$2:$B$37,Phone_by_Sentiment!M$2:M$37,"",0,1)),_xlfn.XLOOKUP($C1539,Phone_by_Sentiment!$B$2:$B$37,Phone_by_Sentiment!M$2:M$37,"",0,1),0),$A1539-TEXT(DATEVALUE($D1539&amp;"-01"), "dd-mm-yyyy")),0),0)</f>
        <v>151</v>
      </c>
      <c r="N1539" cm="1">
        <f t="array" ref="N1539">IF($Q1539&gt;=0,IFERROR(generateSalesData($D1539, IF(ISNUMBER(_xlfn.XLOOKUP($C1539,Phone_by_Sentiment!$B$2:$B$37,Phone_by_Sentiment!N$2:N$37,"",0,1)),_xlfn.XLOOKUP($C1539,Phone_by_Sentiment!$B$2:$B$37,Phone_by_Sentiment!N$2:N$37,"",0,1),0),$A1539-TEXT(DATEVALUE($D1539&amp;"-01"), "dd-mm-yyyy")),0),0)</f>
        <v>587</v>
      </c>
      <c r="O1539" cm="1">
        <f t="array" ref="O1539">IF($Q1539&gt;=0,IFERROR(generateSalesData($D1539, IF(ISNUMBER(_xlfn.XLOOKUP($C1539,Phone_by_Sentiment!$B$2:$B$37,Phone_by_Sentiment!O$2:O$37,"",0,1)),_xlfn.XLOOKUP($C1539,Phone_by_Sentiment!$B$2:$B$37,Phone_by_Sentiment!O$2:O$37,"",0,1),0),$A1539-TEXT(DATEVALUE($D1539&amp;"-01"), "dd-mm-yyyy")),0),0)</f>
        <v>259</v>
      </c>
      <c r="P1539" s="1">
        <f t="shared" ref="P1539:P1602" si="61">DATEVALUE($D1539&amp;"-01")</f>
        <v>44256</v>
      </c>
      <c r="Q1539">
        <f t="shared" si="60"/>
        <v>518</v>
      </c>
    </row>
    <row r="1540" spans="1:17" x14ac:dyDescent="0.25">
      <c r="A1540" s="1">
        <f t="shared" ref="A1540:A1603" si="62">DATE(YEAR($A$1), MONTH($A$1) + INT((ROW()-1)/35), DAY($A$1))</f>
        <v>44774</v>
      </c>
      <c r="B1540" t="s">
        <v>145</v>
      </c>
      <c r="C1540" t="str">
        <f>_xlfn.XLOOKUP(B1540,Phone_by_Price!$A$2:$A$34,Phone_by_Price!$B$2:$B$34,"-",0,1)</f>
        <v>OPPO A54</v>
      </c>
      <c r="D1540" t="str">
        <f>_xlfn.XLOOKUP(C1540,Phone_by_Sentiment!$B$2:$B$37,Phone_by_Sentiment!$A$2:$A$37,"-",0,1)</f>
        <v>2021-04</v>
      </c>
      <c r="E1540" cm="1">
        <f t="array" ref="E1540">IF($Q1540&gt;=0,IFERROR(generateSalesData($D1540, IF(ISNUMBER(_xlfn.XLOOKUP($C1540,Phone_by_Sentiment!$B$2:$B$37,Phone_by_Sentiment!E$2:E$37,"",0,1)),_xlfn.XLOOKUP($C1540,Phone_by_Sentiment!$B$2:$B$37,Phone_by_Sentiment!E$2:E$37,"",0,1),0),$A1540-TEXT(DATEVALUE($D1540&amp;"-01"), "dd-mm-yyyy")),0),0)</f>
        <v>345</v>
      </c>
      <c r="F1540" cm="1">
        <f t="array" ref="F1540">IF($Q1540&gt;=0,IFERROR(generateSalesData($D1540, IF(ISNUMBER(_xlfn.XLOOKUP($C1540,Phone_by_Sentiment!$B$2:$B$37,Phone_by_Sentiment!F$2:F$37,"",0,1)),_xlfn.XLOOKUP($C1540,Phone_by_Sentiment!$B$2:$B$37,Phone_by_Sentiment!F$2:F$37,"",0,1),0),$A1540-TEXT(DATEVALUE($D1540&amp;"-01"), "dd-mm-yyyy")),0),0)</f>
        <v>201</v>
      </c>
      <c r="G1540" cm="1">
        <f t="array" ref="G1540">IF($Q1540&gt;=0,IFERROR(generateSalesData($D1540, IF(ISNUMBER(_xlfn.XLOOKUP($C1540,Phone_by_Sentiment!$B$2:$B$37,Phone_by_Sentiment!G$2:G$37,"",0,1)),_xlfn.XLOOKUP($C1540,Phone_by_Sentiment!$B$2:$B$37,Phone_by_Sentiment!G$2:G$37,"",0,1),0),$A1540-TEXT(DATEVALUE($D1540&amp;"-01"), "dd-mm-yyyy")),0),0)</f>
        <v>53</v>
      </c>
      <c r="H1540" cm="1">
        <f t="array" ref="H1540">IF($Q1540&gt;=0,IFERROR(generateSalesData($D1540, IF(ISNUMBER(_xlfn.XLOOKUP($C1540,Phone_by_Sentiment!$B$2:$B$37,Phone_by_Sentiment!H$2:H$37,"",0,1)),_xlfn.XLOOKUP($C1540,Phone_by_Sentiment!$B$2:$B$37,Phone_by_Sentiment!H$2:H$37,"",0,1),0),$A1540-TEXT(DATEVALUE($D1540&amp;"-01"), "dd-mm-yyyy")),0),0)</f>
        <v>586</v>
      </c>
      <c r="I1540" cm="1">
        <f t="array" ref="I1540">IF($Q1540&gt;=0,IFERROR(generateSalesData($D1540, IF(ISNUMBER(_xlfn.XLOOKUP($C1540,Phone_by_Sentiment!$B$2:$B$37,Phone_by_Sentiment!I$2:I$37,"",0,1)),_xlfn.XLOOKUP($C1540,Phone_by_Sentiment!$B$2:$B$37,Phone_by_Sentiment!I$2:I$37,"",0,1),0),$A1540-TEXT(DATEVALUE($D1540&amp;"-01"), "dd-mm-yyyy")),0),0)</f>
        <v>401</v>
      </c>
      <c r="J1540" cm="1">
        <f t="array" ref="J1540">IF($Q1540&gt;=0,IFERROR(generateSalesData($D1540, IF(ISNUMBER(_xlfn.XLOOKUP($C1540,Phone_by_Sentiment!$B$2:$B$37,Phone_by_Sentiment!J$2:J$37,"",0,1)),_xlfn.XLOOKUP($C1540,Phone_by_Sentiment!$B$2:$B$37,Phone_by_Sentiment!J$2:J$37,"",0,1),0),$A1540-TEXT(DATEVALUE($D1540&amp;"-01"), "dd-mm-yyyy")),0),0)</f>
        <v>108</v>
      </c>
      <c r="K1540" cm="1">
        <f t="array" ref="K1540">IF($Q1540&gt;=0,IFERROR(generateSalesData($D1540, IF(ISNUMBER(_xlfn.XLOOKUP($C1540,Phone_by_Sentiment!$B$2:$B$37,Phone_by_Sentiment!K$2:K$37,"",0,1)),_xlfn.XLOOKUP($C1540,Phone_by_Sentiment!$B$2:$B$37,Phone_by_Sentiment!K$2:K$37,"",0,1),0),$A1540-TEXT(DATEVALUE($D1540&amp;"-01"), "dd-mm-yyyy")),0),0)</f>
        <v>121</v>
      </c>
      <c r="L1540" cm="1">
        <f t="array" ref="L1540">IF($Q1540&gt;=0,IFERROR(generateSalesData($D1540, IF(ISNUMBER(_xlfn.XLOOKUP($C1540,Phone_by_Sentiment!$B$2:$B$37,Phone_by_Sentiment!L$2:L$37,"",0,1)),_xlfn.XLOOKUP($C1540,Phone_by_Sentiment!$B$2:$B$37,Phone_by_Sentiment!L$2:L$37,"",0,1),0),$A1540-TEXT(DATEVALUE($D1540&amp;"-01"), "dd-mm-yyyy")),0),0)</f>
        <v>401</v>
      </c>
      <c r="M1540" cm="1">
        <f t="array" ref="M1540">IF($Q1540&gt;=0,IFERROR(generateSalesData($D1540, IF(ISNUMBER(_xlfn.XLOOKUP($C1540,Phone_by_Sentiment!$B$2:$B$37,Phone_by_Sentiment!M$2:M$37,"",0,1)),_xlfn.XLOOKUP($C1540,Phone_by_Sentiment!$B$2:$B$37,Phone_by_Sentiment!M$2:M$37,"",0,1),0),$A1540-TEXT(DATEVALUE($D1540&amp;"-01"), "dd-mm-yyyy")),0),0)</f>
        <v>239</v>
      </c>
      <c r="N1540" cm="1">
        <f t="array" ref="N1540">IF($Q1540&gt;=0,IFERROR(generateSalesData($D1540, IF(ISNUMBER(_xlfn.XLOOKUP($C1540,Phone_by_Sentiment!$B$2:$B$37,Phone_by_Sentiment!N$2:N$37,"",0,1)),_xlfn.XLOOKUP($C1540,Phone_by_Sentiment!$B$2:$B$37,Phone_by_Sentiment!N$2:N$37,"",0,1),0),$A1540-TEXT(DATEVALUE($D1540&amp;"-01"), "dd-mm-yyyy")),0),0)</f>
        <v>629</v>
      </c>
      <c r="O1540" cm="1">
        <f t="array" ref="O1540">IF($Q1540&gt;=0,IFERROR(generateSalesData($D1540, IF(ISNUMBER(_xlfn.XLOOKUP($C1540,Phone_by_Sentiment!$B$2:$B$37,Phone_by_Sentiment!O$2:O$37,"",0,1)),_xlfn.XLOOKUP($C1540,Phone_by_Sentiment!$B$2:$B$37,Phone_by_Sentiment!O$2:O$37,"",0,1),0),$A1540-TEXT(DATEVALUE($D1540&amp;"-01"), "dd-mm-yyyy")),0),0)</f>
        <v>141</v>
      </c>
      <c r="P1540" s="1">
        <f t="shared" si="61"/>
        <v>44287</v>
      </c>
      <c r="Q1540">
        <f t="shared" ref="Q1540:Q1603" si="63">A1540-P1540</f>
        <v>487</v>
      </c>
    </row>
    <row r="1541" spans="1:17" x14ac:dyDescent="0.25">
      <c r="A1541" s="1">
        <f t="shared" si="62"/>
        <v>44805</v>
      </c>
      <c r="B1541" t="s">
        <v>144</v>
      </c>
      <c r="C1541" t="str">
        <f>_xlfn.XLOOKUP(B1541,Phone_by_Price!$A$2:$A$34,Phone_by_Price!$B$2:$B$34,"-",0,1)</f>
        <v>Xiaomi Redmi Note 10</v>
      </c>
      <c r="D1541" t="str">
        <f>_xlfn.XLOOKUP(C1541,Phone_by_Sentiment!$B$2:$B$37,Phone_by_Sentiment!$A$2:$A$37,"-",0,1)</f>
        <v>2021-03</v>
      </c>
      <c r="E1541" cm="1">
        <f t="array" ref="E1541">IF($Q1541&gt;=0,IFERROR(generateSalesData($D1541, IF(ISNUMBER(_xlfn.XLOOKUP($C1541,Phone_by_Sentiment!$B$2:$B$37,Phone_by_Sentiment!E$2:E$37,"",0,1)),_xlfn.XLOOKUP($C1541,Phone_by_Sentiment!$B$2:$B$37,Phone_by_Sentiment!E$2:E$37,"",0,1),0),$A1541-TEXT(DATEVALUE($D1541&amp;"-01"), "dd-mm-yyyy")),0),0)</f>
        <v>600</v>
      </c>
      <c r="F1541" cm="1">
        <f t="array" ref="F1541">IF($Q1541&gt;=0,IFERROR(generateSalesData($D1541, IF(ISNUMBER(_xlfn.XLOOKUP($C1541,Phone_by_Sentiment!$B$2:$B$37,Phone_by_Sentiment!F$2:F$37,"",0,1)),_xlfn.XLOOKUP($C1541,Phone_by_Sentiment!$B$2:$B$37,Phone_by_Sentiment!F$2:F$37,"",0,1),0),$A1541-TEXT(DATEVALUE($D1541&amp;"-01"), "dd-mm-yyyy")),0),0)</f>
        <v>-1</v>
      </c>
      <c r="G1541" cm="1">
        <f t="array" ref="G1541">IF($Q1541&gt;=0,IFERROR(generateSalesData($D1541, IF(ISNUMBER(_xlfn.XLOOKUP($C1541,Phone_by_Sentiment!$B$2:$B$37,Phone_by_Sentiment!G$2:G$37,"",0,1)),_xlfn.XLOOKUP($C1541,Phone_by_Sentiment!$B$2:$B$37,Phone_by_Sentiment!G$2:G$37,"",0,1),0),$A1541-TEXT(DATEVALUE($D1541&amp;"-01"), "dd-mm-yyyy")),0),0)</f>
        <v>94</v>
      </c>
      <c r="H1541" cm="1">
        <f t="array" ref="H1541">IF($Q1541&gt;=0,IFERROR(generateSalesData($D1541, IF(ISNUMBER(_xlfn.XLOOKUP($C1541,Phone_by_Sentiment!$B$2:$B$37,Phone_by_Sentiment!H$2:H$37,"",0,1)),_xlfn.XLOOKUP($C1541,Phone_by_Sentiment!$B$2:$B$37,Phone_by_Sentiment!H$2:H$37,"",0,1),0),$A1541-TEXT(DATEVALUE($D1541&amp;"-01"), "dd-mm-yyyy")),0),0)</f>
        <v>363</v>
      </c>
      <c r="I1541" cm="1">
        <f t="array" ref="I1541">IF($Q1541&gt;=0,IFERROR(generateSalesData($D1541, IF(ISNUMBER(_xlfn.XLOOKUP($C1541,Phone_by_Sentiment!$B$2:$B$37,Phone_by_Sentiment!I$2:I$37,"",0,1)),_xlfn.XLOOKUP($C1541,Phone_by_Sentiment!$B$2:$B$37,Phone_by_Sentiment!I$2:I$37,"",0,1),0),$A1541-TEXT(DATEVALUE($D1541&amp;"-01"), "dd-mm-yyyy")),0),0)</f>
        <v>157</v>
      </c>
      <c r="J1541" cm="1">
        <f t="array" ref="J1541">IF($Q1541&gt;=0,IFERROR(generateSalesData($D1541, IF(ISNUMBER(_xlfn.XLOOKUP($C1541,Phone_by_Sentiment!$B$2:$B$37,Phone_by_Sentiment!J$2:J$37,"",0,1)),_xlfn.XLOOKUP($C1541,Phone_by_Sentiment!$B$2:$B$37,Phone_by_Sentiment!J$2:J$37,"",0,1),0),$A1541-TEXT(DATEVALUE($D1541&amp;"-01"), "dd-mm-yyyy")),0),0)</f>
        <v>402</v>
      </c>
      <c r="K1541" cm="1">
        <f t="array" ref="K1541">IF($Q1541&gt;=0,IFERROR(generateSalesData($D1541, IF(ISNUMBER(_xlfn.XLOOKUP($C1541,Phone_by_Sentiment!$B$2:$B$37,Phone_by_Sentiment!K$2:K$37,"",0,1)),_xlfn.XLOOKUP($C1541,Phone_by_Sentiment!$B$2:$B$37,Phone_by_Sentiment!K$2:K$37,"",0,1),0),$A1541-TEXT(DATEVALUE($D1541&amp;"-01"), "dd-mm-yyyy")),0),0)</f>
        <v>739</v>
      </c>
      <c r="L1541" cm="1">
        <f t="array" ref="L1541">IF($Q1541&gt;=0,IFERROR(generateSalesData($D1541, IF(ISNUMBER(_xlfn.XLOOKUP($C1541,Phone_by_Sentiment!$B$2:$B$37,Phone_by_Sentiment!L$2:L$37,"",0,1)),_xlfn.XLOOKUP($C1541,Phone_by_Sentiment!$B$2:$B$37,Phone_by_Sentiment!L$2:L$37,"",0,1),0),$A1541-TEXT(DATEVALUE($D1541&amp;"-01"), "dd-mm-yyyy")),0),0)</f>
        <v>430</v>
      </c>
      <c r="M1541" cm="1">
        <f t="array" ref="M1541">IF($Q1541&gt;=0,IFERROR(generateSalesData($D1541, IF(ISNUMBER(_xlfn.XLOOKUP($C1541,Phone_by_Sentiment!$B$2:$B$37,Phone_by_Sentiment!M$2:M$37,"",0,1)),_xlfn.XLOOKUP($C1541,Phone_by_Sentiment!$B$2:$B$37,Phone_by_Sentiment!M$2:M$37,"",0,1),0),$A1541-TEXT(DATEVALUE($D1541&amp;"-01"), "dd-mm-yyyy")),0),0)</f>
        <v>82</v>
      </c>
      <c r="N1541" cm="1">
        <f t="array" ref="N1541">IF($Q1541&gt;=0,IFERROR(generateSalesData($D1541, IF(ISNUMBER(_xlfn.XLOOKUP($C1541,Phone_by_Sentiment!$B$2:$B$37,Phone_by_Sentiment!N$2:N$37,"",0,1)),_xlfn.XLOOKUP($C1541,Phone_by_Sentiment!$B$2:$B$37,Phone_by_Sentiment!N$2:N$37,"",0,1),0),$A1541-TEXT(DATEVALUE($D1541&amp;"-01"), "dd-mm-yyyy")),0),0)</f>
        <v>224</v>
      </c>
      <c r="O1541" cm="1">
        <f t="array" ref="O1541">IF($Q1541&gt;=0,IFERROR(generateSalesData($D1541, IF(ISNUMBER(_xlfn.XLOOKUP($C1541,Phone_by_Sentiment!$B$2:$B$37,Phone_by_Sentiment!O$2:O$37,"",0,1)),_xlfn.XLOOKUP($C1541,Phone_by_Sentiment!$B$2:$B$37,Phone_by_Sentiment!O$2:O$37,"",0,1),0),$A1541-TEXT(DATEVALUE($D1541&amp;"-01"), "dd-mm-yyyy")),0),0)</f>
        <v>135</v>
      </c>
      <c r="P1541" s="1">
        <f t="shared" si="61"/>
        <v>44256</v>
      </c>
      <c r="Q1541">
        <f t="shared" si="63"/>
        <v>549</v>
      </c>
    </row>
    <row r="1542" spans="1:17" x14ac:dyDescent="0.25">
      <c r="A1542" s="1">
        <f t="shared" si="62"/>
        <v>44805</v>
      </c>
      <c r="B1542" t="s">
        <v>145</v>
      </c>
      <c r="C1542" t="str">
        <f>_xlfn.XLOOKUP(B1542,Phone_by_Price!$A$2:$A$34,Phone_by_Price!$B$2:$B$34,"-",0,1)</f>
        <v>OPPO A54</v>
      </c>
      <c r="D1542" t="str">
        <f>_xlfn.XLOOKUP(C1542,Phone_by_Sentiment!$B$2:$B$37,Phone_by_Sentiment!$A$2:$A$37,"-",0,1)</f>
        <v>2021-04</v>
      </c>
      <c r="E1542" cm="1">
        <f t="array" ref="E1542">IF($Q1542&gt;=0,IFERROR(generateSalesData($D1542, IF(ISNUMBER(_xlfn.XLOOKUP($C1542,Phone_by_Sentiment!$B$2:$B$37,Phone_by_Sentiment!E$2:E$37,"",0,1)),_xlfn.XLOOKUP($C1542,Phone_by_Sentiment!$B$2:$B$37,Phone_by_Sentiment!E$2:E$37,"",0,1),0),$A1542-TEXT(DATEVALUE($D1542&amp;"-01"), "dd-mm-yyyy")),0),0)</f>
        <v>14</v>
      </c>
      <c r="F1542" cm="1">
        <f t="array" ref="F1542">IF($Q1542&gt;=0,IFERROR(generateSalesData($D1542, IF(ISNUMBER(_xlfn.XLOOKUP($C1542,Phone_by_Sentiment!$B$2:$B$37,Phone_by_Sentiment!F$2:F$37,"",0,1)),_xlfn.XLOOKUP($C1542,Phone_by_Sentiment!$B$2:$B$37,Phone_by_Sentiment!F$2:F$37,"",0,1),0),$A1542-TEXT(DATEVALUE($D1542&amp;"-01"), "dd-mm-yyyy")),0),0)</f>
        <v>171</v>
      </c>
      <c r="G1542" cm="1">
        <f t="array" ref="G1542">IF($Q1542&gt;=0,IFERROR(generateSalesData($D1542, IF(ISNUMBER(_xlfn.XLOOKUP($C1542,Phone_by_Sentiment!$B$2:$B$37,Phone_by_Sentiment!G$2:G$37,"",0,1)),_xlfn.XLOOKUP($C1542,Phone_by_Sentiment!$B$2:$B$37,Phone_by_Sentiment!G$2:G$37,"",0,1),0),$A1542-TEXT(DATEVALUE($D1542&amp;"-01"), "dd-mm-yyyy")),0),0)</f>
        <v>123</v>
      </c>
      <c r="H1542" cm="1">
        <f t="array" ref="H1542">IF($Q1542&gt;=0,IFERROR(generateSalesData($D1542, IF(ISNUMBER(_xlfn.XLOOKUP($C1542,Phone_by_Sentiment!$B$2:$B$37,Phone_by_Sentiment!H$2:H$37,"",0,1)),_xlfn.XLOOKUP($C1542,Phone_by_Sentiment!$B$2:$B$37,Phone_by_Sentiment!H$2:H$37,"",0,1),0),$A1542-TEXT(DATEVALUE($D1542&amp;"-01"), "dd-mm-yyyy")),0),0)</f>
        <v>423</v>
      </c>
      <c r="I1542" cm="1">
        <f t="array" ref="I1542">IF($Q1542&gt;=0,IFERROR(generateSalesData($D1542, IF(ISNUMBER(_xlfn.XLOOKUP($C1542,Phone_by_Sentiment!$B$2:$B$37,Phone_by_Sentiment!I$2:I$37,"",0,1)),_xlfn.XLOOKUP($C1542,Phone_by_Sentiment!$B$2:$B$37,Phone_by_Sentiment!I$2:I$37,"",0,1),0),$A1542-TEXT(DATEVALUE($D1542&amp;"-01"), "dd-mm-yyyy")),0),0)</f>
        <v>316</v>
      </c>
      <c r="J1542" cm="1">
        <f t="array" ref="J1542">IF($Q1542&gt;=0,IFERROR(generateSalesData($D1542, IF(ISNUMBER(_xlfn.XLOOKUP($C1542,Phone_by_Sentiment!$B$2:$B$37,Phone_by_Sentiment!J$2:J$37,"",0,1)),_xlfn.XLOOKUP($C1542,Phone_by_Sentiment!$B$2:$B$37,Phone_by_Sentiment!J$2:J$37,"",0,1),0),$A1542-TEXT(DATEVALUE($D1542&amp;"-01"), "dd-mm-yyyy")),0),0)</f>
        <v>144</v>
      </c>
      <c r="K1542" cm="1">
        <f t="array" ref="K1542">IF($Q1542&gt;=0,IFERROR(generateSalesData($D1542, IF(ISNUMBER(_xlfn.XLOOKUP($C1542,Phone_by_Sentiment!$B$2:$B$37,Phone_by_Sentiment!K$2:K$37,"",0,1)),_xlfn.XLOOKUP($C1542,Phone_by_Sentiment!$B$2:$B$37,Phone_by_Sentiment!K$2:K$37,"",0,1),0),$A1542-TEXT(DATEVALUE($D1542&amp;"-01"), "dd-mm-yyyy")),0),0)</f>
        <v>54</v>
      </c>
      <c r="L1542" cm="1">
        <f t="array" ref="L1542">IF($Q1542&gt;=0,IFERROR(generateSalesData($D1542, IF(ISNUMBER(_xlfn.XLOOKUP($C1542,Phone_by_Sentiment!$B$2:$B$37,Phone_by_Sentiment!L$2:L$37,"",0,1)),_xlfn.XLOOKUP($C1542,Phone_by_Sentiment!$B$2:$B$37,Phone_by_Sentiment!L$2:L$37,"",0,1),0),$A1542-TEXT(DATEVALUE($D1542&amp;"-01"), "dd-mm-yyyy")),0),0)</f>
        <v>573</v>
      </c>
      <c r="M1542" cm="1">
        <f t="array" ref="M1542">IF($Q1542&gt;=0,IFERROR(generateSalesData($D1542, IF(ISNUMBER(_xlfn.XLOOKUP($C1542,Phone_by_Sentiment!$B$2:$B$37,Phone_by_Sentiment!M$2:M$37,"",0,1)),_xlfn.XLOOKUP($C1542,Phone_by_Sentiment!$B$2:$B$37,Phone_by_Sentiment!M$2:M$37,"",0,1),0),$A1542-TEXT(DATEVALUE($D1542&amp;"-01"), "dd-mm-yyyy")),0),0)</f>
        <v>83</v>
      </c>
      <c r="N1542" cm="1">
        <f t="array" ref="N1542">IF($Q1542&gt;=0,IFERROR(generateSalesData($D1542, IF(ISNUMBER(_xlfn.XLOOKUP($C1542,Phone_by_Sentiment!$B$2:$B$37,Phone_by_Sentiment!N$2:N$37,"",0,1)),_xlfn.XLOOKUP($C1542,Phone_by_Sentiment!$B$2:$B$37,Phone_by_Sentiment!N$2:N$37,"",0,1),0),$A1542-TEXT(DATEVALUE($D1542&amp;"-01"), "dd-mm-yyyy")),0),0)</f>
        <v>492</v>
      </c>
      <c r="O1542" cm="1">
        <f t="array" ref="O1542">IF($Q1542&gt;=0,IFERROR(generateSalesData($D1542, IF(ISNUMBER(_xlfn.XLOOKUP($C1542,Phone_by_Sentiment!$B$2:$B$37,Phone_by_Sentiment!O$2:O$37,"",0,1)),_xlfn.XLOOKUP($C1542,Phone_by_Sentiment!$B$2:$B$37,Phone_by_Sentiment!O$2:O$37,"",0,1),0),$A1542-TEXT(DATEVALUE($D1542&amp;"-01"), "dd-mm-yyyy")),0),0)</f>
        <v>188</v>
      </c>
      <c r="P1542" s="1">
        <f t="shared" si="61"/>
        <v>44287</v>
      </c>
      <c r="Q1542">
        <f t="shared" si="63"/>
        <v>518</v>
      </c>
    </row>
    <row r="1543" spans="1:17" x14ac:dyDescent="0.25">
      <c r="A1543" s="1">
        <f t="shared" si="62"/>
        <v>44805</v>
      </c>
      <c r="B1543" t="s">
        <v>146</v>
      </c>
      <c r="C1543" t="str">
        <f>_xlfn.XLOOKUP(B1543,Phone_by_Price!$A$2:$A$34,Phone_by_Price!$B$2:$B$34,"-",0,1)</f>
        <v>Vivo Y20</v>
      </c>
      <c r="D1543" t="str">
        <f>_xlfn.XLOOKUP(C1543,Phone_by_Sentiment!$B$2:$B$37,Phone_by_Sentiment!$A$2:$A$37,"-",0,1)</f>
        <v>2020-09</v>
      </c>
      <c r="E1543" cm="1">
        <f t="array" ref="E1543">IF($Q1543&gt;=0,IFERROR(generateSalesData($D1543, IF(ISNUMBER(_xlfn.XLOOKUP($C1543,Phone_by_Sentiment!$B$2:$B$37,Phone_by_Sentiment!E$2:E$37,"",0,1)),_xlfn.XLOOKUP($C1543,Phone_by_Sentiment!$B$2:$B$37,Phone_by_Sentiment!E$2:E$37,"",0,1),0),$A1543-TEXT(DATEVALUE($D1543&amp;"-01"), "dd-mm-yyyy")),0),0)</f>
        <v>201</v>
      </c>
      <c r="F1543" cm="1">
        <f t="array" ref="F1543">IF($Q1543&gt;=0,IFERROR(generateSalesData($D1543, IF(ISNUMBER(_xlfn.XLOOKUP($C1543,Phone_by_Sentiment!$B$2:$B$37,Phone_by_Sentiment!F$2:F$37,"",0,1)),_xlfn.XLOOKUP($C1543,Phone_by_Sentiment!$B$2:$B$37,Phone_by_Sentiment!F$2:F$37,"",0,1),0),$A1543-TEXT(DATEVALUE($D1543&amp;"-01"), "dd-mm-yyyy")),0),0)</f>
        <v>270</v>
      </c>
      <c r="G1543" cm="1">
        <f t="array" ref="G1543">IF($Q1543&gt;=0,IFERROR(generateSalesData($D1543, IF(ISNUMBER(_xlfn.XLOOKUP($C1543,Phone_by_Sentiment!$B$2:$B$37,Phone_by_Sentiment!G$2:G$37,"",0,1)),_xlfn.XLOOKUP($C1543,Phone_by_Sentiment!$B$2:$B$37,Phone_by_Sentiment!G$2:G$37,"",0,1),0),$A1543-TEXT(DATEVALUE($D1543&amp;"-01"), "dd-mm-yyyy")),0),0)</f>
        <v>123</v>
      </c>
      <c r="H1543" cm="1">
        <f t="array" ref="H1543">IF($Q1543&gt;=0,IFERROR(generateSalesData($D1543, IF(ISNUMBER(_xlfn.XLOOKUP($C1543,Phone_by_Sentiment!$B$2:$B$37,Phone_by_Sentiment!H$2:H$37,"",0,1)),_xlfn.XLOOKUP($C1543,Phone_by_Sentiment!$B$2:$B$37,Phone_by_Sentiment!H$2:H$37,"",0,1),0),$A1543-TEXT(DATEVALUE($D1543&amp;"-01"), "dd-mm-yyyy")),0),0)</f>
        <v>6</v>
      </c>
      <c r="I1543" cm="1">
        <f t="array" ref="I1543">IF($Q1543&gt;=0,IFERROR(generateSalesData($D1543, IF(ISNUMBER(_xlfn.XLOOKUP($C1543,Phone_by_Sentiment!$B$2:$B$37,Phone_by_Sentiment!I$2:I$37,"",0,1)),_xlfn.XLOOKUP($C1543,Phone_by_Sentiment!$B$2:$B$37,Phone_by_Sentiment!I$2:I$37,"",0,1),0),$A1543-TEXT(DATEVALUE($D1543&amp;"-01"), "dd-mm-yyyy")),0),0)</f>
        <v>93</v>
      </c>
      <c r="J1543" cm="1">
        <f t="array" ref="J1543">IF($Q1543&gt;=0,IFERROR(generateSalesData($D1543, IF(ISNUMBER(_xlfn.XLOOKUP($C1543,Phone_by_Sentiment!$B$2:$B$37,Phone_by_Sentiment!J$2:J$37,"",0,1)),_xlfn.XLOOKUP($C1543,Phone_by_Sentiment!$B$2:$B$37,Phone_by_Sentiment!J$2:J$37,"",0,1),0),$A1543-TEXT(DATEVALUE($D1543&amp;"-01"), "dd-mm-yyyy")),0),0)</f>
        <v>118</v>
      </c>
      <c r="K1543" cm="1">
        <f t="array" ref="K1543">IF($Q1543&gt;=0,IFERROR(generateSalesData($D1543, IF(ISNUMBER(_xlfn.XLOOKUP($C1543,Phone_by_Sentiment!$B$2:$B$37,Phone_by_Sentiment!K$2:K$37,"",0,1)),_xlfn.XLOOKUP($C1543,Phone_by_Sentiment!$B$2:$B$37,Phone_by_Sentiment!K$2:K$37,"",0,1),0),$A1543-TEXT(DATEVALUE($D1543&amp;"-01"), "dd-mm-yyyy")),0),0)</f>
        <v>154</v>
      </c>
      <c r="L1543" cm="1">
        <f t="array" ref="L1543">IF($Q1543&gt;=0,IFERROR(generateSalesData($D1543, IF(ISNUMBER(_xlfn.XLOOKUP($C1543,Phone_by_Sentiment!$B$2:$B$37,Phone_by_Sentiment!L$2:L$37,"",0,1)),_xlfn.XLOOKUP($C1543,Phone_by_Sentiment!$B$2:$B$37,Phone_by_Sentiment!L$2:L$37,"",0,1),0),$A1543-TEXT(DATEVALUE($D1543&amp;"-01"), "dd-mm-yyyy")),0),0)</f>
        <v>207</v>
      </c>
      <c r="M1543" cm="1">
        <f t="array" ref="M1543">IF($Q1543&gt;=0,IFERROR(generateSalesData($D1543, IF(ISNUMBER(_xlfn.XLOOKUP($C1543,Phone_by_Sentiment!$B$2:$B$37,Phone_by_Sentiment!M$2:M$37,"",0,1)),_xlfn.XLOOKUP($C1543,Phone_by_Sentiment!$B$2:$B$37,Phone_by_Sentiment!M$2:M$37,"",0,1),0),$A1543-TEXT(DATEVALUE($D1543&amp;"-01"), "dd-mm-yyyy")),0),0)</f>
        <v>110</v>
      </c>
      <c r="N1543" cm="1">
        <f t="array" ref="N1543">IF($Q1543&gt;=0,IFERROR(generateSalesData($D1543, IF(ISNUMBER(_xlfn.XLOOKUP($C1543,Phone_by_Sentiment!$B$2:$B$37,Phone_by_Sentiment!N$2:N$37,"",0,1)),_xlfn.XLOOKUP($C1543,Phone_by_Sentiment!$B$2:$B$37,Phone_by_Sentiment!N$2:N$37,"",0,1),0),$A1543-TEXT(DATEVALUE($D1543&amp;"-01"), "dd-mm-yyyy")),0),0)</f>
        <v>75</v>
      </c>
      <c r="O1543" cm="1">
        <f t="array" ref="O1543">IF($Q1543&gt;=0,IFERROR(generateSalesData($D1543, IF(ISNUMBER(_xlfn.XLOOKUP($C1543,Phone_by_Sentiment!$B$2:$B$37,Phone_by_Sentiment!O$2:O$37,"",0,1)),_xlfn.XLOOKUP($C1543,Phone_by_Sentiment!$B$2:$B$37,Phone_by_Sentiment!O$2:O$37,"",0,1),0),$A1543-TEXT(DATEVALUE($D1543&amp;"-01"), "dd-mm-yyyy")),0),0)</f>
        <v>80</v>
      </c>
      <c r="P1543" s="1">
        <f t="shared" si="61"/>
        <v>44075</v>
      </c>
      <c r="Q1543">
        <f t="shared" si="63"/>
        <v>730</v>
      </c>
    </row>
    <row r="1544" spans="1:17" x14ac:dyDescent="0.25">
      <c r="A1544" s="1">
        <f t="shared" si="62"/>
        <v>44805</v>
      </c>
      <c r="B1544" t="s">
        <v>147</v>
      </c>
      <c r="C1544" t="str">
        <f>_xlfn.XLOOKUP(B1544,Phone_by_Price!$A$2:$A$34,Phone_by_Price!$B$2:$B$34,"-",0,1)</f>
        <v>Huawei Y9a</v>
      </c>
      <c r="D1544" t="str">
        <f>_xlfn.XLOOKUP(C1544,Phone_by_Sentiment!$B$2:$B$37,Phone_by_Sentiment!$A$2:$A$37,"-",0,1)</f>
        <v>2020-02</v>
      </c>
      <c r="E1544" cm="1">
        <f t="array" ref="E1544">IF($Q1544&gt;=0,IFERROR(generateSalesData($D1544, IF(ISNUMBER(_xlfn.XLOOKUP($C1544,Phone_by_Sentiment!$B$2:$B$37,Phone_by_Sentiment!E$2:E$37,"",0,1)),_xlfn.XLOOKUP($C1544,Phone_by_Sentiment!$B$2:$B$37,Phone_by_Sentiment!E$2:E$37,"",0,1),0),$A1544-TEXT(DATEVALUE($D1544&amp;"-01"), "dd-mm-yyyy")),0),0)</f>
        <v>203</v>
      </c>
      <c r="F1544" cm="1">
        <f t="array" ref="F1544">IF($Q1544&gt;=0,IFERROR(generateSalesData($D1544, IF(ISNUMBER(_xlfn.XLOOKUP($C1544,Phone_by_Sentiment!$B$2:$B$37,Phone_by_Sentiment!F$2:F$37,"",0,1)),_xlfn.XLOOKUP($C1544,Phone_by_Sentiment!$B$2:$B$37,Phone_by_Sentiment!F$2:F$37,"",0,1),0),$A1544-TEXT(DATEVALUE($D1544&amp;"-01"), "dd-mm-yyyy")),0),0)</f>
        <v>103</v>
      </c>
      <c r="G1544" cm="1">
        <f t="array" ref="G1544">IF($Q1544&gt;=0,IFERROR(generateSalesData($D1544, IF(ISNUMBER(_xlfn.XLOOKUP($C1544,Phone_by_Sentiment!$B$2:$B$37,Phone_by_Sentiment!G$2:G$37,"",0,1)),_xlfn.XLOOKUP($C1544,Phone_by_Sentiment!$B$2:$B$37,Phone_by_Sentiment!G$2:G$37,"",0,1),0),$A1544-TEXT(DATEVALUE($D1544&amp;"-01"), "dd-mm-yyyy")),0),0)</f>
        <v>114</v>
      </c>
      <c r="H1544" cm="1">
        <f t="array" ref="H1544">IF($Q1544&gt;=0,IFERROR(generateSalesData($D1544, IF(ISNUMBER(_xlfn.XLOOKUP($C1544,Phone_by_Sentiment!$B$2:$B$37,Phone_by_Sentiment!H$2:H$37,"",0,1)),_xlfn.XLOOKUP($C1544,Phone_by_Sentiment!$B$2:$B$37,Phone_by_Sentiment!H$2:H$37,"",0,1),0),$A1544-TEXT(DATEVALUE($D1544&amp;"-01"), "dd-mm-yyyy")),0),0)</f>
        <v>40</v>
      </c>
      <c r="I1544" cm="1">
        <f t="array" ref="I1544">IF($Q1544&gt;=0,IFERROR(generateSalesData($D1544, IF(ISNUMBER(_xlfn.XLOOKUP($C1544,Phone_by_Sentiment!$B$2:$B$37,Phone_by_Sentiment!I$2:I$37,"",0,1)),_xlfn.XLOOKUP($C1544,Phone_by_Sentiment!$B$2:$B$37,Phone_by_Sentiment!I$2:I$37,"",0,1),0),$A1544-TEXT(DATEVALUE($D1544&amp;"-01"), "dd-mm-yyyy")),0),0)</f>
        <v>39</v>
      </c>
      <c r="J1544" cm="1">
        <f t="array" ref="J1544">IF($Q1544&gt;=0,IFERROR(generateSalesData($D1544, IF(ISNUMBER(_xlfn.XLOOKUP($C1544,Phone_by_Sentiment!$B$2:$B$37,Phone_by_Sentiment!J$2:J$37,"",0,1)),_xlfn.XLOOKUP($C1544,Phone_by_Sentiment!$B$2:$B$37,Phone_by_Sentiment!J$2:J$37,"",0,1),0),$A1544-TEXT(DATEVALUE($D1544&amp;"-01"), "dd-mm-yyyy")),0),0)</f>
        <v>105</v>
      </c>
      <c r="K1544" cm="1">
        <f t="array" ref="K1544">IF($Q1544&gt;=0,IFERROR(generateSalesData($D1544, IF(ISNUMBER(_xlfn.XLOOKUP($C1544,Phone_by_Sentiment!$B$2:$B$37,Phone_by_Sentiment!K$2:K$37,"",0,1)),_xlfn.XLOOKUP($C1544,Phone_by_Sentiment!$B$2:$B$37,Phone_by_Sentiment!K$2:K$37,"",0,1),0),$A1544-TEXT(DATEVALUE($D1544&amp;"-01"), "dd-mm-yyyy")),0),0)</f>
        <v>38</v>
      </c>
      <c r="L1544" cm="1">
        <f t="array" ref="L1544">IF($Q1544&gt;=0,IFERROR(generateSalesData($D1544, IF(ISNUMBER(_xlfn.XLOOKUP($C1544,Phone_by_Sentiment!$B$2:$B$37,Phone_by_Sentiment!L$2:L$37,"",0,1)),_xlfn.XLOOKUP($C1544,Phone_by_Sentiment!$B$2:$B$37,Phone_by_Sentiment!L$2:L$37,"",0,1),0),$A1544-TEXT(DATEVALUE($D1544&amp;"-01"), "dd-mm-yyyy")),0),0)</f>
        <v>59</v>
      </c>
      <c r="M1544" cm="1">
        <f t="array" ref="M1544">IF($Q1544&gt;=0,IFERROR(generateSalesData($D1544, IF(ISNUMBER(_xlfn.XLOOKUP($C1544,Phone_by_Sentiment!$B$2:$B$37,Phone_by_Sentiment!M$2:M$37,"",0,1)),_xlfn.XLOOKUP($C1544,Phone_by_Sentiment!$B$2:$B$37,Phone_by_Sentiment!M$2:M$37,"",0,1),0),$A1544-TEXT(DATEVALUE($D1544&amp;"-01"), "dd-mm-yyyy")),0),0)</f>
        <v>56</v>
      </c>
      <c r="N1544" cm="1">
        <f t="array" ref="N1544">IF($Q1544&gt;=0,IFERROR(generateSalesData($D1544, IF(ISNUMBER(_xlfn.XLOOKUP($C1544,Phone_by_Sentiment!$B$2:$B$37,Phone_by_Sentiment!N$2:N$37,"",0,1)),_xlfn.XLOOKUP($C1544,Phone_by_Sentiment!$B$2:$B$37,Phone_by_Sentiment!N$2:N$37,"",0,1),0),$A1544-TEXT(DATEVALUE($D1544&amp;"-01"), "dd-mm-yyyy")),0),0)</f>
        <v>89</v>
      </c>
      <c r="O1544" cm="1">
        <f t="array" ref="O1544">IF($Q1544&gt;=0,IFERROR(generateSalesData($D1544, IF(ISNUMBER(_xlfn.XLOOKUP($C1544,Phone_by_Sentiment!$B$2:$B$37,Phone_by_Sentiment!O$2:O$37,"",0,1)),_xlfn.XLOOKUP($C1544,Phone_by_Sentiment!$B$2:$B$37,Phone_by_Sentiment!O$2:O$37,"",0,1),0),$A1544-TEXT(DATEVALUE($D1544&amp;"-01"), "dd-mm-yyyy")),0),0)</f>
        <v>39</v>
      </c>
      <c r="P1544" s="1">
        <f t="shared" si="61"/>
        <v>43862</v>
      </c>
      <c r="Q1544">
        <f t="shared" si="63"/>
        <v>943</v>
      </c>
    </row>
    <row r="1545" spans="1:17" x14ac:dyDescent="0.25">
      <c r="A1545" s="1">
        <f t="shared" si="62"/>
        <v>44805</v>
      </c>
      <c r="B1545" t="s">
        <v>148</v>
      </c>
      <c r="C1545" t="str">
        <f>_xlfn.XLOOKUP(B1545,Phone_by_Price!$A$2:$A$34,Phone_by_Price!$B$2:$B$34,"-",0,1)</f>
        <v>Xiaomi Redmi 10</v>
      </c>
      <c r="D1545" t="str">
        <f>_xlfn.XLOOKUP(C1545,Phone_by_Sentiment!$B$2:$B$37,Phone_by_Sentiment!$A$2:$A$37,"-",0,1)</f>
        <v>2021-03</v>
      </c>
      <c r="E1545" cm="1">
        <f t="array" ref="E1545">IF($Q1545&gt;=0,IFERROR(generateSalesData($D1545, IF(ISNUMBER(_xlfn.XLOOKUP($C1545,Phone_by_Sentiment!$B$2:$B$37,Phone_by_Sentiment!E$2:E$37,"",0,1)),_xlfn.XLOOKUP($C1545,Phone_by_Sentiment!$B$2:$B$37,Phone_by_Sentiment!E$2:E$37,"",0,1),0),$A1545-TEXT(DATEVALUE($D1545&amp;"-01"), "dd-mm-yyyy")),0),0)</f>
        <v>296</v>
      </c>
      <c r="F1545" cm="1">
        <f t="array" ref="F1545">IF($Q1545&gt;=0,IFERROR(generateSalesData($D1545, IF(ISNUMBER(_xlfn.XLOOKUP($C1545,Phone_by_Sentiment!$B$2:$B$37,Phone_by_Sentiment!F$2:F$37,"",0,1)),_xlfn.XLOOKUP($C1545,Phone_by_Sentiment!$B$2:$B$37,Phone_by_Sentiment!F$2:F$37,"",0,1),0),$A1545-TEXT(DATEVALUE($D1545&amp;"-01"), "dd-mm-yyyy")),0),0)</f>
        <v>723</v>
      </c>
      <c r="G1545" cm="1">
        <f t="array" ref="G1545">IF($Q1545&gt;=0,IFERROR(generateSalesData($D1545, IF(ISNUMBER(_xlfn.XLOOKUP($C1545,Phone_by_Sentiment!$B$2:$B$37,Phone_by_Sentiment!G$2:G$37,"",0,1)),_xlfn.XLOOKUP($C1545,Phone_by_Sentiment!$B$2:$B$37,Phone_by_Sentiment!G$2:G$37,"",0,1),0),$A1545-TEXT(DATEVALUE($D1545&amp;"-01"), "dd-mm-yyyy")),0),0)</f>
        <v>128</v>
      </c>
      <c r="H1545" cm="1">
        <f t="array" ref="H1545">IF($Q1545&gt;=0,IFERROR(generateSalesData($D1545, IF(ISNUMBER(_xlfn.XLOOKUP($C1545,Phone_by_Sentiment!$B$2:$B$37,Phone_by_Sentiment!H$2:H$37,"",0,1)),_xlfn.XLOOKUP($C1545,Phone_by_Sentiment!$B$2:$B$37,Phone_by_Sentiment!H$2:H$37,"",0,1),0),$A1545-TEXT(DATEVALUE($D1545&amp;"-01"), "dd-mm-yyyy")),0),0)</f>
        <v>839</v>
      </c>
      <c r="I1545" cm="1">
        <f t="array" ref="I1545">IF($Q1545&gt;=0,IFERROR(generateSalesData($D1545, IF(ISNUMBER(_xlfn.XLOOKUP($C1545,Phone_by_Sentiment!$B$2:$B$37,Phone_by_Sentiment!I$2:I$37,"",0,1)),_xlfn.XLOOKUP($C1545,Phone_by_Sentiment!$B$2:$B$37,Phone_by_Sentiment!I$2:I$37,"",0,1),0),$A1545-TEXT(DATEVALUE($D1545&amp;"-01"), "dd-mm-yyyy")),0),0)</f>
        <v>148</v>
      </c>
      <c r="J1545" cm="1">
        <f t="array" ref="J1545">IF($Q1545&gt;=0,IFERROR(generateSalesData($D1545, IF(ISNUMBER(_xlfn.XLOOKUP($C1545,Phone_by_Sentiment!$B$2:$B$37,Phone_by_Sentiment!J$2:J$37,"",0,1)),_xlfn.XLOOKUP($C1545,Phone_by_Sentiment!$B$2:$B$37,Phone_by_Sentiment!J$2:J$37,"",0,1),0),$A1545-TEXT(DATEVALUE($D1545&amp;"-01"), "dd-mm-yyyy")),0),0)</f>
        <v>95</v>
      </c>
      <c r="K1545" cm="1">
        <f t="array" ref="K1545">IF($Q1545&gt;=0,IFERROR(generateSalesData($D1545, IF(ISNUMBER(_xlfn.XLOOKUP($C1545,Phone_by_Sentiment!$B$2:$B$37,Phone_by_Sentiment!K$2:K$37,"",0,1)),_xlfn.XLOOKUP($C1545,Phone_by_Sentiment!$B$2:$B$37,Phone_by_Sentiment!K$2:K$37,"",0,1),0),$A1545-TEXT(DATEVALUE($D1545&amp;"-01"), "dd-mm-yyyy")),0),0)</f>
        <v>445</v>
      </c>
      <c r="L1545" cm="1">
        <f t="array" ref="L1545">IF($Q1545&gt;=0,IFERROR(generateSalesData($D1545, IF(ISNUMBER(_xlfn.XLOOKUP($C1545,Phone_by_Sentiment!$B$2:$B$37,Phone_by_Sentiment!L$2:L$37,"",0,1)),_xlfn.XLOOKUP($C1545,Phone_by_Sentiment!$B$2:$B$37,Phone_by_Sentiment!L$2:L$37,"",0,1),0),$A1545-TEXT(DATEVALUE($D1545&amp;"-01"), "dd-mm-yyyy")),0),0)</f>
        <v>133</v>
      </c>
      <c r="M1545" cm="1">
        <f t="array" ref="M1545">IF($Q1545&gt;=0,IFERROR(generateSalesData($D1545, IF(ISNUMBER(_xlfn.XLOOKUP($C1545,Phone_by_Sentiment!$B$2:$B$37,Phone_by_Sentiment!M$2:M$37,"",0,1)),_xlfn.XLOOKUP($C1545,Phone_by_Sentiment!$B$2:$B$37,Phone_by_Sentiment!M$2:M$37,"",0,1),0),$A1545-TEXT(DATEVALUE($D1545&amp;"-01"), "dd-mm-yyyy")),0),0)</f>
        <v>56</v>
      </c>
      <c r="N1545" cm="1">
        <f t="array" ref="N1545">IF($Q1545&gt;=0,IFERROR(generateSalesData($D1545, IF(ISNUMBER(_xlfn.XLOOKUP($C1545,Phone_by_Sentiment!$B$2:$B$37,Phone_by_Sentiment!N$2:N$37,"",0,1)),_xlfn.XLOOKUP($C1545,Phone_by_Sentiment!$B$2:$B$37,Phone_by_Sentiment!N$2:N$37,"",0,1),0),$A1545-TEXT(DATEVALUE($D1545&amp;"-01"), "dd-mm-yyyy")),0),0)</f>
        <v>460</v>
      </c>
      <c r="O1545" cm="1">
        <f t="array" ref="O1545">IF($Q1545&gt;=0,IFERROR(generateSalesData($D1545, IF(ISNUMBER(_xlfn.XLOOKUP($C1545,Phone_by_Sentiment!$B$2:$B$37,Phone_by_Sentiment!O$2:O$37,"",0,1)),_xlfn.XLOOKUP($C1545,Phone_by_Sentiment!$B$2:$B$37,Phone_by_Sentiment!O$2:O$37,"",0,1),0),$A1545-TEXT(DATEVALUE($D1545&amp;"-01"), "dd-mm-yyyy")),0),0)</f>
        <v>315</v>
      </c>
      <c r="P1545" s="1">
        <f t="shared" si="61"/>
        <v>44256</v>
      </c>
      <c r="Q1545">
        <f t="shared" si="63"/>
        <v>549</v>
      </c>
    </row>
    <row r="1546" spans="1:17" x14ac:dyDescent="0.25">
      <c r="A1546" s="1">
        <f t="shared" si="62"/>
        <v>44805</v>
      </c>
      <c r="B1546" t="s">
        <v>149</v>
      </c>
      <c r="C1546" t="str">
        <f>_xlfn.XLOOKUP(B1546,Phone_by_Price!$A$2:$A$34,Phone_by_Price!$B$2:$B$34,"-",0,1)</f>
        <v>Samsung Galaxy A52</v>
      </c>
      <c r="D1546" t="str">
        <f>_xlfn.XLOOKUP(C1546,Phone_by_Sentiment!$B$2:$B$37,Phone_by_Sentiment!$A$2:$A$37,"-",0,1)</f>
        <v>2021-03</v>
      </c>
      <c r="E1546" cm="1">
        <f t="array" ref="E1546">IF($Q1546&gt;=0,IFERROR(generateSalesData($D1546, IF(ISNUMBER(_xlfn.XLOOKUP($C1546,Phone_by_Sentiment!$B$2:$B$37,Phone_by_Sentiment!E$2:E$37,"",0,1)),_xlfn.XLOOKUP($C1546,Phone_by_Sentiment!$B$2:$B$37,Phone_by_Sentiment!E$2:E$37,"",0,1),0),$A1546-TEXT(DATEVALUE($D1546&amp;"-01"), "dd-mm-yyyy")),0),0)</f>
        <v>215</v>
      </c>
      <c r="F1546" cm="1">
        <f t="array" ref="F1546">IF($Q1546&gt;=0,IFERROR(generateSalesData($D1546, IF(ISNUMBER(_xlfn.XLOOKUP($C1546,Phone_by_Sentiment!$B$2:$B$37,Phone_by_Sentiment!F$2:F$37,"",0,1)),_xlfn.XLOOKUP($C1546,Phone_by_Sentiment!$B$2:$B$37,Phone_by_Sentiment!F$2:F$37,"",0,1),0),$A1546-TEXT(DATEVALUE($D1546&amp;"-01"), "dd-mm-yyyy")),0),0)</f>
        <v>256</v>
      </c>
      <c r="G1546" cm="1">
        <f t="array" ref="G1546">IF($Q1546&gt;=0,IFERROR(generateSalesData($D1546, IF(ISNUMBER(_xlfn.XLOOKUP($C1546,Phone_by_Sentiment!$B$2:$B$37,Phone_by_Sentiment!G$2:G$37,"",0,1)),_xlfn.XLOOKUP($C1546,Phone_by_Sentiment!$B$2:$B$37,Phone_by_Sentiment!G$2:G$37,"",0,1),0),$A1546-TEXT(DATEVALUE($D1546&amp;"-01"), "dd-mm-yyyy")),0),0)</f>
        <v>74</v>
      </c>
      <c r="H1546" cm="1">
        <f t="array" ref="H1546">IF($Q1546&gt;=0,IFERROR(generateSalesData($D1546, IF(ISNUMBER(_xlfn.XLOOKUP($C1546,Phone_by_Sentiment!$B$2:$B$37,Phone_by_Sentiment!H$2:H$37,"",0,1)),_xlfn.XLOOKUP($C1546,Phone_by_Sentiment!$B$2:$B$37,Phone_by_Sentiment!H$2:H$37,"",0,1),0),$A1546-TEXT(DATEVALUE($D1546&amp;"-01"), "dd-mm-yyyy")),0),0)</f>
        <v>411</v>
      </c>
      <c r="I1546" cm="1">
        <f t="array" ref="I1546">IF($Q1546&gt;=0,IFERROR(generateSalesData($D1546, IF(ISNUMBER(_xlfn.XLOOKUP($C1546,Phone_by_Sentiment!$B$2:$B$37,Phone_by_Sentiment!I$2:I$37,"",0,1)),_xlfn.XLOOKUP($C1546,Phone_by_Sentiment!$B$2:$B$37,Phone_by_Sentiment!I$2:I$37,"",0,1),0),$A1546-TEXT(DATEVALUE($D1546&amp;"-01"), "dd-mm-yyyy")),0),0)</f>
        <v>-41</v>
      </c>
      <c r="J1546" cm="1">
        <f t="array" ref="J1546">IF($Q1546&gt;=0,IFERROR(generateSalesData($D1546, IF(ISNUMBER(_xlfn.XLOOKUP($C1546,Phone_by_Sentiment!$B$2:$B$37,Phone_by_Sentiment!J$2:J$37,"",0,1)),_xlfn.XLOOKUP($C1546,Phone_by_Sentiment!$B$2:$B$37,Phone_by_Sentiment!J$2:J$37,"",0,1),0),$A1546-TEXT(DATEVALUE($D1546&amp;"-01"), "dd-mm-yyyy")),0),0)</f>
        <v>767</v>
      </c>
      <c r="K1546" cm="1">
        <f t="array" ref="K1546">IF($Q1546&gt;=0,IFERROR(generateSalesData($D1546, IF(ISNUMBER(_xlfn.XLOOKUP($C1546,Phone_by_Sentiment!$B$2:$B$37,Phone_by_Sentiment!K$2:K$37,"",0,1)),_xlfn.XLOOKUP($C1546,Phone_by_Sentiment!$B$2:$B$37,Phone_by_Sentiment!K$2:K$37,"",0,1),0),$A1546-TEXT(DATEVALUE($D1546&amp;"-01"), "dd-mm-yyyy")),0),0)</f>
        <v>302</v>
      </c>
      <c r="L1546" cm="1">
        <f t="array" ref="L1546">IF($Q1546&gt;=0,IFERROR(generateSalesData($D1546, IF(ISNUMBER(_xlfn.XLOOKUP($C1546,Phone_by_Sentiment!$B$2:$B$37,Phone_by_Sentiment!L$2:L$37,"",0,1)),_xlfn.XLOOKUP($C1546,Phone_by_Sentiment!$B$2:$B$37,Phone_by_Sentiment!L$2:L$37,"",0,1),0),$A1546-TEXT(DATEVALUE($D1546&amp;"-01"), "dd-mm-yyyy")),0),0)</f>
        <v>579</v>
      </c>
      <c r="M1546" cm="1">
        <f t="array" ref="M1546">IF($Q1546&gt;=0,IFERROR(generateSalesData($D1546, IF(ISNUMBER(_xlfn.XLOOKUP($C1546,Phone_by_Sentiment!$B$2:$B$37,Phone_by_Sentiment!M$2:M$37,"",0,1)),_xlfn.XLOOKUP($C1546,Phone_by_Sentiment!$B$2:$B$37,Phone_by_Sentiment!M$2:M$37,"",0,1),0),$A1546-TEXT(DATEVALUE($D1546&amp;"-01"), "dd-mm-yyyy")),0),0)</f>
        <v>827</v>
      </c>
      <c r="N1546" cm="1">
        <f t="array" ref="N1546">IF($Q1546&gt;=0,IFERROR(generateSalesData($D1546, IF(ISNUMBER(_xlfn.XLOOKUP($C1546,Phone_by_Sentiment!$B$2:$B$37,Phone_by_Sentiment!N$2:N$37,"",0,1)),_xlfn.XLOOKUP($C1546,Phone_by_Sentiment!$B$2:$B$37,Phone_by_Sentiment!N$2:N$37,"",0,1),0),$A1546-TEXT(DATEVALUE($D1546&amp;"-01"), "dd-mm-yyyy")),0),0)</f>
        <v>193</v>
      </c>
      <c r="O1546" cm="1">
        <f t="array" ref="O1546">IF($Q1546&gt;=0,IFERROR(generateSalesData($D1546, IF(ISNUMBER(_xlfn.XLOOKUP($C1546,Phone_by_Sentiment!$B$2:$B$37,Phone_by_Sentiment!O$2:O$37,"",0,1)),_xlfn.XLOOKUP($C1546,Phone_by_Sentiment!$B$2:$B$37,Phone_by_Sentiment!O$2:O$37,"",0,1),0),$A1546-TEXT(DATEVALUE($D1546&amp;"-01"), "dd-mm-yyyy")),0),0)</f>
        <v>556</v>
      </c>
      <c r="P1546" s="1">
        <f t="shared" si="61"/>
        <v>44256</v>
      </c>
      <c r="Q1546">
        <f t="shared" si="63"/>
        <v>549</v>
      </c>
    </row>
    <row r="1547" spans="1:17" x14ac:dyDescent="0.25">
      <c r="A1547" s="1">
        <f t="shared" si="62"/>
        <v>44805</v>
      </c>
      <c r="B1547" t="s">
        <v>150</v>
      </c>
      <c r="C1547" t="str">
        <f>_xlfn.XLOOKUP(B1547,Phone_by_Price!$A$2:$A$34,Phone_by_Price!$B$2:$B$34,"-",0,1)</f>
        <v>Vivo Y33s</v>
      </c>
      <c r="D1547" t="str">
        <f>_xlfn.XLOOKUP(C1547,Phone_by_Sentiment!$B$2:$B$37,Phone_by_Sentiment!$A$2:$A$37,"-",0,1)</f>
        <v>2021-05</v>
      </c>
      <c r="E1547" cm="1">
        <f t="array" ref="E1547">IF($Q1547&gt;=0,IFERROR(generateSalesData($D1547, IF(ISNUMBER(_xlfn.XLOOKUP($C1547,Phone_by_Sentiment!$B$2:$B$37,Phone_by_Sentiment!E$2:E$37,"",0,1)),_xlfn.XLOOKUP($C1547,Phone_by_Sentiment!$B$2:$B$37,Phone_by_Sentiment!E$2:E$37,"",0,1),0),$A1547-TEXT(DATEVALUE($D1547&amp;"-01"), "dd-mm-yyyy")),0),0)</f>
        <v>435</v>
      </c>
      <c r="F1547" cm="1">
        <f t="array" ref="F1547">IF($Q1547&gt;=0,IFERROR(generateSalesData($D1547, IF(ISNUMBER(_xlfn.XLOOKUP($C1547,Phone_by_Sentiment!$B$2:$B$37,Phone_by_Sentiment!F$2:F$37,"",0,1)),_xlfn.XLOOKUP($C1547,Phone_by_Sentiment!$B$2:$B$37,Phone_by_Sentiment!F$2:F$37,"",0,1),0),$A1547-TEXT(DATEVALUE($D1547&amp;"-01"), "dd-mm-yyyy")),0),0)</f>
        <v>81</v>
      </c>
      <c r="G1547" cm="1">
        <f t="array" ref="G1547">IF($Q1547&gt;=0,IFERROR(generateSalesData($D1547, IF(ISNUMBER(_xlfn.XLOOKUP($C1547,Phone_by_Sentiment!$B$2:$B$37,Phone_by_Sentiment!G$2:G$37,"",0,1)),_xlfn.XLOOKUP($C1547,Phone_by_Sentiment!$B$2:$B$37,Phone_by_Sentiment!G$2:G$37,"",0,1),0),$A1547-TEXT(DATEVALUE($D1547&amp;"-01"), "dd-mm-yyyy")),0),0)</f>
        <v>150</v>
      </c>
      <c r="H1547" cm="1">
        <f t="array" ref="H1547">IF($Q1547&gt;=0,IFERROR(generateSalesData($D1547, IF(ISNUMBER(_xlfn.XLOOKUP($C1547,Phone_by_Sentiment!$B$2:$B$37,Phone_by_Sentiment!H$2:H$37,"",0,1)),_xlfn.XLOOKUP($C1547,Phone_by_Sentiment!$B$2:$B$37,Phone_by_Sentiment!H$2:H$37,"",0,1),0),$A1547-TEXT(DATEVALUE($D1547&amp;"-01"), "dd-mm-yyyy")),0),0)</f>
        <v>525</v>
      </c>
      <c r="I1547" cm="1">
        <f t="array" ref="I1547">IF($Q1547&gt;=0,IFERROR(generateSalesData($D1547, IF(ISNUMBER(_xlfn.XLOOKUP($C1547,Phone_by_Sentiment!$B$2:$B$37,Phone_by_Sentiment!I$2:I$37,"",0,1)),_xlfn.XLOOKUP($C1547,Phone_by_Sentiment!$B$2:$B$37,Phone_by_Sentiment!I$2:I$37,"",0,1),0),$A1547-TEXT(DATEVALUE($D1547&amp;"-01"), "dd-mm-yyyy")),0),0)</f>
        <v>64</v>
      </c>
      <c r="J1547" cm="1">
        <f t="array" ref="J1547">IF($Q1547&gt;=0,IFERROR(generateSalesData($D1547, IF(ISNUMBER(_xlfn.XLOOKUP($C1547,Phone_by_Sentiment!$B$2:$B$37,Phone_by_Sentiment!J$2:J$37,"",0,1)),_xlfn.XLOOKUP($C1547,Phone_by_Sentiment!$B$2:$B$37,Phone_by_Sentiment!J$2:J$37,"",0,1),0),$A1547-TEXT(DATEVALUE($D1547&amp;"-01"), "dd-mm-yyyy")),0),0)</f>
        <v>142</v>
      </c>
      <c r="K1547" cm="1">
        <f t="array" ref="K1547">IF($Q1547&gt;=0,IFERROR(generateSalesData($D1547, IF(ISNUMBER(_xlfn.XLOOKUP($C1547,Phone_by_Sentiment!$B$2:$B$37,Phone_by_Sentiment!K$2:K$37,"",0,1)),_xlfn.XLOOKUP($C1547,Phone_by_Sentiment!$B$2:$B$37,Phone_by_Sentiment!K$2:K$37,"",0,1),0),$A1547-TEXT(DATEVALUE($D1547&amp;"-01"), "dd-mm-yyyy")),0),0)</f>
        <v>77</v>
      </c>
      <c r="L1547" cm="1">
        <f t="array" ref="L1547">IF($Q1547&gt;=0,IFERROR(generateSalesData($D1547, IF(ISNUMBER(_xlfn.XLOOKUP($C1547,Phone_by_Sentiment!$B$2:$B$37,Phone_by_Sentiment!L$2:L$37,"",0,1)),_xlfn.XLOOKUP($C1547,Phone_by_Sentiment!$B$2:$B$37,Phone_by_Sentiment!L$2:L$37,"",0,1),0),$A1547-TEXT(DATEVALUE($D1547&amp;"-01"), "dd-mm-yyyy")),0),0)</f>
        <v>90</v>
      </c>
      <c r="M1547" cm="1">
        <f t="array" ref="M1547">IF($Q1547&gt;=0,IFERROR(generateSalesData($D1547, IF(ISNUMBER(_xlfn.XLOOKUP($C1547,Phone_by_Sentiment!$B$2:$B$37,Phone_by_Sentiment!M$2:M$37,"",0,1)),_xlfn.XLOOKUP($C1547,Phone_by_Sentiment!$B$2:$B$37,Phone_by_Sentiment!M$2:M$37,"",0,1),0),$A1547-TEXT(DATEVALUE($D1547&amp;"-01"), "dd-mm-yyyy")),0),0)</f>
        <v>60</v>
      </c>
      <c r="N1547" cm="1">
        <f t="array" ref="N1547">IF($Q1547&gt;=0,IFERROR(generateSalesData($D1547, IF(ISNUMBER(_xlfn.XLOOKUP($C1547,Phone_by_Sentiment!$B$2:$B$37,Phone_by_Sentiment!N$2:N$37,"",0,1)),_xlfn.XLOOKUP($C1547,Phone_by_Sentiment!$B$2:$B$37,Phone_by_Sentiment!N$2:N$37,"",0,1),0),$A1547-TEXT(DATEVALUE($D1547&amp;"-01"), "dd-mm-yyyy")),0),0)</f>
        <v>142</v>
      </c>
      <c r="O1547" cm="1">
        <f t="array" ref="O1547">IF($Q1547&gt;=0,IFERROR(generateSalesData($D1547, IF(ISNUMBER(_xlfn.XLOOKUP($C1547,Phone_by_Sentiment!$B$2:$B$37,Phone_by_Sentiment!O$2:O$37,"",0,1)),_xlfn.XLOOKUP($C1547,Phone_by_Sentiment!$B$2:$B$37,Phone_by_Sentiment!O$2:O$37,"",0,1),0),$A1547-TEXT(DATEVALUE($D1547&amp;"-01"), "dd-mm-yyyy")),0),0)</f>
        <v>561</v>
      </c>
      <c r="P1547" s="1">
        <f t="shared" si="61"/>
        <v>44317</v>
      </c>
      <c r="Q1547">
        <f t="shared" si="63"/>
        <v>488</v>
      </c>
    </row>
    <row r="1548" spans="1:17" x14ac:dyDescent="0.25">
      <c r="A1548" s="1">
        <f t="shared" si="62"/>
        <v>44805</v>
      </c>
      <c r="B1548" t="s">
        <v>151</v>
      </c>
      <c r="C1548" t="str">
        <f>_xlfn.XLOOKUP(B1548,Phone_by_Price!$A$2:$A$34,Phone_by_Price!$B$2:$B$34,"-",0,1)</f>
        <v>Vivo Y11s</v>
      </c>
      <c r="D1548" t="str">
        <f>_xlfn.XLOOKUP(C1548,Phone_by_Sentiment!$B$2:$B$37,Phone_by_Sentiment!$A$2:$A$37,"-",0,1)</f>
        <v>2020-11</v>
      </c>
      <c r="E1548" cm="1">
        <f t="array" ref="E1548">IF($Q1548&gt;=0,IFERROR(generateSalesData($D1548, IF(ISNUMBER(_xlfn.XLOOKUP($C1548,Phone_by_Sentiment!$B$2:$B$37,Phone_by_Sentiment!E$2:E$37,"",0,1)),_xlfn.XLOOKUP($C1548,Phone_by_Sentiment!$B$2:$B$37,Phone_by_Sentiment!E$2:E$37,"",0,1),0),$A1548-TEXT(DATEVALUE($D1548&amp;"-01"), "dd-mm-yyyy")),0),0)</f>
        <v>31</v>
      </c>
      <c r="F1548" cm="1">
        <f t="array" ref="F1548">IF($Q1548&gt;=0,IFERROR(generateSalesData($D1548, IF(ISNUMBER(_xlfn.XLOOKUP($C1548,Phone_by_Sentiment!$B$2:$B$37,Phone_by_Sentiment!F$2:F$37,"",0,1)),_xlfn.XLOOKUP($C1548,Phone_by_Sentiment!$B$2:$B$37,Phone_by_Sentiment!F$2:F$37,"",0,1),0),$A1548-TEXT(DATEVALUE($D1548&amp;"-01"), "dd-mm-yyyy")),0),0)</f>
        <v>86</v>
      </c>
      <c r="G1548" cm="1">
        <f t="array" ref="G1548">IF($Q1548&gt;=0,IFERROR(generateSalesData($D1548, IF(ISNUMBER(_xlfn.XLOOKUP($C1548,Phone_by_Sentiment!$B$2:$B$37,Phone_by_Sentiment!G$2:G$37,"",0,1)),_xlfn.XLOOKUP($C1548,Phone_by_Sentiment!$B$2:$B$37,Phone_by_Sentiment!G$2:G$37,"",0,1),0),$A1548-TEXT(DATEVALUE($D1548&amp;"-01"), "dd-mm-yyyy")),0),0)</f>
        <v>15</v>
      </c>
      <c r="H1548" cm="1">
        <f t="array" ref="H1548">IF($Q1548&gt;=0,IFERROR(generateSalesData($D1548, IF(ISNUMBER(_xlfn.XLOOKUP($C1548,Phone_by_Sentiment!$B$2:$B$37,Phone_by_Sentiment!H$2:H$37,"",0,1)),_xlfn.XLOOKUP($C1548,Phone_by_Sentiment!$B$2:$B$37,Phone_by_Sentiment!H$2:H$37,"",0,1),0),$A1548-TEXT(DATEVALUE($D1548&amp;"-01"), "dd-mm-yyyy")),0),0)</f>
        <v>147</v>
      </c>
      <c r="I1548" cm="1">
        <f t="array" ref="I1548">IF($Q1548&gt;=0,IFERROR(generateSalesData($D1548, IF(ISNUMBER(_xlfn.XLOOKUP($C1548,Phone_by_Sentiment!$B$2:$B$37,Phone_by_Sentiment!I$2:I$37,"",0,1)),_xlfn.XLOOKUP($C1548,Phone_by_Sentiment!$B$2:$B$37,Phone_by_Sentiment!I$2:I$37,"",0,1),0),$A1548-TEXT(DATEVALUE($D1548&amp;"-01"), "dd-mm-yyyy")),0),0)</f>
        <v>391</v>
      </c>
      <c r="J1548" cm="1">
        <f t="array" ref="J1548">IF($Q1548&gt;=0,IFERROR(generateSalesData($D1548, IF(ISNUMBER(_xlfn.XLOOKUP($C1548,Phone_by_Sentiment!$B$2:$B$37,Phone_by_Sentiment!J$2:J$37,"",0,1)),_xlfn.XLOOKUP($C1548,Phone_by_Sentiment!$B$2:$B$37,Phone_by_Sentiment!J$2:J$37,"",0,1),0),$A1548-TEXT(DATEVALUE($D1548&amp;"-01"), "dd-mm-yyyy")),0),0)</f>
        <v>202</v>
      </c>
      <c r="K1548" cm="1">
        <f t="array" ref="K1548">IF($Q1548&gt;=0,IFERROR(generateSalesData($D1548, IF(ISNUMBER(_xlfn.XLOOKUP($C1548,Phone_by_Sentiment!$B$2:$B$37,Phone_by_Sentiment!K$2:K$37,"",0,1)),_xlfn.XLOOKUP($C1548,Phone_by_Sentiment!$B$2:$B$37,Phone_by_Sentiment!K$2:K$37,"",0,1),0),$A1548-TEXT(DATEVALUE($D1548&amp;"-01"), "dd-mm-yyyy")),0),0)</f>
        <v>60</v>
      </c>
      <c r="L1548" cm="1">
        <f t="array" ref="L1548">IF($Q1548&gt;=0,IFERROR(generateSalesData($D1548, IF(ISNUMBER(_xlfn.XLOOKUP($C1548,Phone_by_Sentiment!$B$2:$B$37,Phone_by_Sentiment!L$2:L$37,"",0,1)),_xlfn.XLOOKUP($C1548,Phone_by_Sentiment!$B$2:$B$37,Phone_by_Sentiment!L$2:L$37,"",0,1),0),$A1548-TEXT(DATEVALUE($D1548&amp;"-01"), "dd-mm-yyyy")),0),0)</f>
        <v>112</v>
      </c>
      <c r="M1548" cm="1">
        <f t="array" ref="M1548">IF($Q1548&gt;=0,IFERROR(generateSalesData($D1548, IF(ISNUMBER(_xlfn.XLOOKUP($C1548,Phone_by_Sentiment!$B$2:$B$37,Phone_by_Sentiment!M$2:M$37,"",0,1)),_xlfn.XLOOKUP($C1548,Phone_by_Sentiment!$B$2:$B$37,Phone_by_Sentiment!M$2:M$37,"",0,1),0),$A1548-TEXT(DATEVALUE($D1548&amp;"-01"), "dd-mm-yyyy")),0),0)</f>
        <v>319</v>
      </c>
      <c r="N1548" cm="1">
        <f t="array" ref="N1548">IF($Q1548&gt;=0,IFERROR(generateSalesData($D1548, IF(ISNUMBER(_xlfn.XLOOKUP($C1548,Phone_by_Sentiment!$B$2:$B$37,Phone_by_Sentiment!N$2:N$37,"",0,1)),_xlfn.XLOOKUP($C1548,Phone_by_Sentiment!$B$2:$B$37,Phone_by_Sentiment!N$2:N$37,"",0,1),0),$A1548-TEXT(DATEVALUE($D1548&amp;"-01"), "dd-mm-yyyy")),0),0)</f>
        <v>157</v>
      </c>
      <c r="O1548" cm="1">
        <f t="array" ref="O1548">IF($Q1548&gt;=0,IFERROR(generateSalesData($D1548, IF(ISNUMBER(_xlfn.XLOOKUP($C1548,Phone_by_Sentiment!$B$2:$B$37,Phone_by_Sentiment!O$2:O$37,"",0,1)),_xlfn.XLOOKUP($C1548,Phone_by_Sentiment!$B$2:$B$37,Phone_by_Sentiment!O$2:O$37,"",0,1),0),$A1548-TEXT(DATEVALUE($D1548&amp;"-01"), "dd-mm-yyyy")),0),0)</f>
        <v>105</v>
      </c>
      <c r="P1548" s="1">
        <f t="shared" si="61"/>
        <v>44136</v>
      </c>
      <c r="Q1548">
        <f t="shared" si="63"/>
        <v>669</v>
      </c>
    </row>
    <row r="1549" spans="1:17" x14ac:dyDescent="0.25">
      <c r="A1549" s="1">
        <f t="shared" si="62"/>
        <v>44805</v>
      </c>
      <c r="B1549" t="s">
        <v>152</v>
      </c>
      <c r="C1549" t="str">
        <f>_xlfn.XLOOKUP(B1549,Phone_by_Price!$A$2:$A$34,Phone_by_Price!$B$2:$B$34,"-",0,1)</f>
        <v>Huawei Nova 7i</v>
      </c>
      <c r="D1549" t="str">
        <f>_xlfn.XLOOKUP(C1549,Phone_by_Sentiment!$B$2:$B$37,Phone_by_Sentiment!$A$2:$A$37,"-",0,1)</f>
        <v>2020-02</v>
      </c>
      <c r="E1549" cm="1">
        <f t="array" ref="E1549">IF($Q1549&gt;=0,IFERROR(generateSalesData($D1549, IF(ISNUMBER(_xlfn.XLOOKUP($C1549,Phone_by_Sentiment!$B$2:$B$37,Phone_by_Sentiment!E$2:E$37,"",0,1)),_xlfn.XLOOKUP($C1549,Phone_by_Sentiment!$B$2:$B$37,Phone_by_Sentiment!E$2:E$37,"",0,1),0),$A1549-TEXT(DATEVALUE($D1549&amp;"-01"), "dd-mm-yyyy")),0),0)</f>
        <v>16</v>
      </c>
      <c r="F1549" cm="1">
        <f t="array" ref="F1549">IF($Q1549&gt;=0,IFERROR(generateSalesData($D1549, IF(ISNUMBER(_xlfn.XLOOKUP($C1549,Phone_by_Sentiment!$B$2:$B$37,Phone_by_Sentiment!F$2:F$37,"",0,1)),_xlfn.XLOOKUP($C1549,Phone_by_Sentiment!$B$2:$B$37,Phone_by_Sentiment!F$2:F$37,"",0,1),0),$A1549-TEXT(DATEVALUE($D1549&amp;"-01"), "dd-mm-yyyy")),0),0)</f>
        <v>29</v>
      </c>
      <c r="G1549" cm="1">
        <f t="array" ref="G1549">IF($Q1549&gt;=0,IFERROR(generateSalesData($D1549, IF(ISNUMBER(_xlfn.XLOOKUP($C1549,Phone_by_Sentiment!$B$2:$B$37,Phone_by_Sentiment!G$2:G$37,"",0,1)),_xlfn.XLOOKUP($C1549,Phone_by_Sentiment!$B$2:$B$37,Phone_by_Sentiment!G$2:G$37,"",0,1),0),$A1549-TEXT(DATEVALUE($D1549&amp;"-01"), "dd-mm-yyyy")),0),0)</f>
        <v>62</v>
      </c>
      <c r="H1549" cm="1">
        <f t="array" ref="H1549">IF($Q1549&gt;=0,IFERROR(generateSalesData($D1549, IF(ISNUMBER(_xlfn.XLOOKUP($C1549,Phone_by_Sentiment!$B$2:$B$37,Phone_by_Sentiment!H$2:H$37,"",0,1)),_xlfn.XLOOKUP($C1549,Phone_by_Sentiment!$B$2:$B$37,Phone_by_Sentiment!H$2:H$37,"",0,1),0),$A1549-TEXT(DATEVALUE($D1549&amp;"-01"), "dd-mm-yyyy")),0),0)</f>
        <v>362</v>
      </c>
      <c r="I1549" cm="1">
        <f t="array" ref="I1549">IF($Q1549&gt;=0,IFERROR(generateSalesData($D1549, IF(ISNUMBER(_xlfn.XLOOKUP($C1549,Phone_by_Sentiment!$B$2:$B$37,Phone_by_Sentiment!I$2:I$37,"",0,1)),_xlfn.XLOOKUP($C1549,Phone_by_Sentiment!$B$2:$B$37,Phone_by_Sentiment!I$2:I$37,"",0,1),0),$A1549-TEXT(DATEVALUE($D1549&amp;"-01"), "dd-mm-yyyy")),0),0)</f>
        <v>43</v>
      </c>
      <c r="J1549" cm="1">
        <f t="array" ref="J1549">IF($Q1549&gt;=0,IFERROR(generateSalesData($D1549, IF(ISNUMBER(_xlfn.XLOOKUP($C1549,Phone_by_Sentiment!$B$2:$B$37,Phone_by_Sentiment!J$2:J$37,"",0,1)),_xlfn.XLOOKUP($C1549,Phone_by_Sentiment!$B$2:$B$37,Phone_by_Sentiment!J$2:J$37,"",0,1),0),$A1549-TEXT(DATEVALUE($D1549&amp;"-01"), "dd-mm-yyyy")),0),0)</f>
        <v>67</v>
      </c>
      <c r="K1549" cm="1">
        <f t="array" ref="K1549">IF($Q1549&gt;=0,IFERROR(generateSalesData($D1549, IF(ISNUMBER(_xlfn.XLOOKUP($C1549,Phone_by_Sentiment!$B$2:$B$37,Phone_by_Sentiment!K$2:K$37,"",0,1)),_xlfn.XLOOKUP($C1549,Phone_by_Sentiment!$B$2:$B$37,Phone_by_Sentiment!K$2:K$37,"",0,1),0),$A1549-TEXT(DATEVALUE($D1549&amp;"-01"), "dd-mm-yyyy")),0),0)</f>
        <v>43</v>
      </c>
      <c r="L1549" cm="1">
        <f t="array" ref="L1549">IF($Q1549&gt;=0,IFERROR(generateSalesData($D1549, IF(ISNUMBER(_xlfn.XLOOKUP($C1549,Phone_by_Sentiment!$B$2:$B$37,Phone_by_Sentiment!L$2:L$37,"",0,1)),_xlfn.XLOOKUP($C1549,Phone_by_Sentiment!$B$2:$B$37,Phone_by_Sentiment!L$2:L$37,"",0,1),0),$A1549-TEXT(DATEVALUE($D1549&amp;"-01"), "dd-mm-yyyy")),0),0)</f>
        <v>7</v>
      </c>
      <c r="M1549" cm="1">
        <f t="array" ref="M1549">IF($Q1549&gt;=0,IFERROR(generateSalesData($D1549, IF(ISNUMBER(_xlfn.XLOOKUP($C1549,Phone_by_Sentiment!$B$2:$B$37,Phone_by_Sentiment!M$2:M$37,"",0,1)),_xlfn.XLOOKUP($C1549,Phone_by_Sentiment!$B$2:$B$37,Phone_by_Sentiment!M$2:M$37,"",0,1),0),$A1549-TEXT(DATEVALUE($D1549&amp;"-01"), "dd-mm-yyyy")),0),0)</f>
        <v>23</v>
      </c>
      <c r="N1549" cm="1">
        <f t="array" ref="N1549">IF($Q1549&gt;=0,IFERROR(generateSalesData($D1549, IF(ISNUMBER(_xlfn.XLOOKUP($C1549,Phone_by_Sentiment!$B$2:$B$37,Phone_by_Sentiment!N$2:N$37,"",0,1)),_xlfn.XLOOKUP($C1549,Phone_by_Sentiment!$B$2:$B$37,Phone_by_Sentiment!N$2:N$37,"",0,1),0),$A1549-TEXT(DATEVALUE($D1549&amp;"-01"), "dd-mm-yyyy")),0),0)</f>
        <v>1</v>
      </c>
      <c r="O1549" cm="1">
        <f t="array" ref="O1549">IF($Q1549&gt;=0,IFERROR(generateSalesData($D1549, IF(ISNUMBER(_xlfn.XLOOKUP($C1549,Phone_by_Sentiment!$B$2:$B$37,Phone_by_Sentiment!O$2:O$37,"",0,1)),_xlfn.XLOOKUP($C1549,Phone_by_Sentiment!$B$2:$B$37,Phone_by_Sentiment!O$2:O$37,"",0,1),0),$A1549-TEXT(DATEVALUE($D1549&amp;"-01"), "dd-mm-yyyy")),0),0)</f>
        <v>87</v>
      </c>
      <c r="P1549" s="1">
        <f t="shared" si="61"/>
        <v>43862</v>
      </c>
      <c r="Q1549">
        <f t="shared" si="63"/>
        <v>943</v>
      </c>
    </row>
    <row r="1550" spans="1:17" x14ac:dyDescent="0.25">
      <c r="A1550" s="1">
        <f t="shared" si="62"/>
        <v>44805</v>
      </c>
      <c r="B1550" t="s">
        <v>153</v>
      </c>
      <c r="C1550" t="str">
        <f>_xlfn.XLOOKUP(B1550,Phone_by_Price!$A$2:$A$34,Phone_by_Price!$B$2:$B$34,"-",0,1)</f>
        <v>iPhone 13</v>
      </c>
      <c r="D1550" t="str">
        <f>_xlfn.XLOOKUP(C1550,Phone_by_Sentiment!$B$2:$B$37,Phone_by_Sentiment!$A$2:$A$37,"-",0,1)</f>
        <v>2021-09</v>
      </c>
      <c r="E1550" cm="1">
        <f t="array" ref="E1550">IF($Q1550&gt;=0,IFERROR(generateSalesData($D1550, IF(ISNUMBER(_xlfn.XLOOKUP($C1550,Phone_by_Sentiment!$B$2:$B$37,Phone_by_Sentiment!E$2:E$37,"",0,1)),_xlfn.XLOOKUP($C1550,Phone_by_Sentiment!$B$2:$B$37,Phone_by_Sentiment!E$2:E$37,"",0,1),0),$A1550-TEXT(DATEVALUE($D1550&amp;"-01"), "dd-mm-yyyy")),0),0)</f>
        <v>180</v>
      </c>
      <c r="F1550" cm="1">
        <f t="array" ref="F1550">IF($Q1550&gt;=0,IFERROR(generateSalesData($D1550, IF(ISNUMBER(_xlfn.XLOOKUP($C1550,Phone_by_Sentiment!$B$2:$B$37,Phone_by_Sentiment!F$2:F$37,"",0,1)),_xlfn.XLOOKUP($C1550,Phone_by_Sentiment!$B$2:$B$37,Phone_by_Sentiment!F$2:F$37,"",0,1),0),$A1550-TEXT(DATEVALUE($D1550&amp;"-01"), "dd-mm-yyyy")),0),0)</f>
        <v>102</v>
      </c>
      <c r="G1550" cm="1">
        <f t="array" ref="G1550">IF($Q1550&gt;=0,IFERROR(generateSalesData($D1550, IF(ISNUMBER(_xlfn.XLOOKUP($C1550,Phone_by_Sentiment!$B$2:$B$37,Phone_by_Sentiment!G$2:G$37,"",0,1)),_xlfn.XLOOKUP($C1550,Phone_by_Sentiment!$B$2:$B$37,Phone_by_Sentiment!G$2:G$37,"",0,1),0),$A1550-TEXT(DATEVALUE($D1550&amp;"-01"), "dd-mm-yyyy")),0),0)</f>
        <v>112</v>
      </c>
      <c r="H1550" cm="1">
        <f t="array" ref="H1550">IF($Q1550&gt;=0,IFERROR(generateSalesData($D1550, IF(ISNUMBER(_xlfn.XLOOKUP($C1550,Phone_by_Sentiment!$B$2:$B$37,Phone_by_Sentiment!H$2:H$37,"",0,1)),_xlfn.XLOOKUP($C1550,Phone_by_Sentiment!$B$2:$B$37,Phone_by_Sentiment!H$2:H$37,"",0,1),0),$A1550-TEXT(DATEVALUE($D1550&amp;"-01"), "dd-mm-yyyy")),0),0)</f>
        <v>683</v>
      </c>
      <c r="I1550" cm="1">
        <f t="array" ref="I1550">IF($Q1550&gt;=0,IFERROR(generateSalesData($D1550, IF(ISNUMBER(_xlfn.XLOOKUP($C1550,Phone_by_Sentiment!$B$2:$B$37,Phone_by_Sentiment!I$2:I$37,"",0,1)),_xlfn.XLOOKUP($C1550,Phone_by_Sentiment!$B$2:$B$37,Phone_by_Sentiment!I$2:I$37,"",0,1),0),$A1550-TEXT(DATEVALUE($D1550&amp;"-01"), "dd-mm-yyyy")),0),0)</f>
        <v>141</v>
      </c>
      <c r="J1550" cm="1">
        <f t="array" ref="J1550">IF($Q1550&gt;=0,IFERROR(generateSalesData($D1550, IF(ISNUMBER(_xlfn.XLOOKUP($C1550,Phone_by_Sentiment!$B$2:$B$37,Phone_by_Sentiment!J$2:J$37,"",0,1)),_xlfn.XLOOKUP($C1550,Phone_by_Sentiment!$B$2:$B$37,Phone_by_Sentiment!J$2:J$37,"",0,1),0),$A1550-TEXT(DATEVALUE($D1550&amp;"-01"), "dd-mm-yyyy")),0),0)</f>
        <v>738</v>
      </c>
      <c r="K1550" cm="1">
        <f t="array" ref="K1550">IF($Q1550&gt;=0,IFERROR(generateSalesData($D1550, IF(ISNUMBER(_xlfn.XLOOKUP($C1550,Phone_by_Sentiment!$B$2:$B$37,Phone_by_Sentiment!K$2:K$37,"",0,1)),_xlfn.XLOOKUP($C1550,Phone_by_Sentiment!$B$2:$B$37,Phone_by_Sentiment!K$2:K$37,"",0,1),0),$A1550-TEXT(DATEVALUE($D1550&amp;"-01"), "dd-mm-yyyy")),0),0)</f>
        <v>114</v>
      </c>
      <c r="L1550" cm="1">
        <f t="array" ref="L1550">IF($Q1550&gt;=0,IFERROR(generateSalesData($D1550, IF(ISNUMBER(_xlfn.XLOOKUP($C1550,Phone_by_Sentiment!$B$2:$B$37,Phone_by_Sentiment!L$2:L$37,"",0,1)),_xlfn.XLOOKUP($C1550,Phone_by_Sentiment!$B$2:$B$37,Phone_by_Sentiment!L$2:L$37,"",0,1),0),$A1550-TEXT(DATEVALUE($D1550&amp;"-01"), "dd-mm-yyyy")),0),0)</f>
        <v>717</v>
      </c>
      <c r="M1550" cm="1">
        <f t="array" ref="M1550">IF($Q1550&gt;=0,IFERROR(generateSalesData($D1550, IF(ISNUMBER(_xlfn.XLOOKUP($C1550,Phone_by_Sentiment!$B$2:$B$37,Phone_by_Sentiment!M$2:M$37,"",0,1)),_xlfn.XLOOKUP($C1550,Phone_by_Sentiment!$B$2:$B$37,Phone_by_Sentiment!M$2:M$37,"",0,1),0),$A1550-TEXT(DATEVALUE($D1550&amp;"-01"), "dd-mm-yyyy")),0),0)</f>
        <v>1020</v>
      </c>
      <c r="N1550" cm="1">
        <f t="array" ref="N1550">IF($Q1550&gt;=0,IFERROR(generateSalesData($D1550, IF(ISNUMBER(_xlfn.XLOOKUP($C1550,Phone_by_Sentiment!$B$2:$B$37,Phone_by_Sentiment!N$2:N$37,"",0,1)),_xlfn.XLOOKUP($C1550,Phone_by_Sentiment!$B$2:$B$37,Phone_by_Sentiment!N$2:N$37,"",0,1),0),$A1550-TEXT(DATEVALUE($D1550&amp;"-01"), "dd-mm-yyyy")),0),0)</f>
        <v>140</v>
      </c>
      <c r="O1550" cm="1">
        <f t="array" ref="O1550">IF($Q1550&gt;=0,IFERROR(generateSalesData($D1550, IF(ISNUMBER(_xlfn.XLOOKUP($C1550,Phone_by_Sentiment!$B$2:$B$37,Phone_by_Sentiment!O$2:O$37,"",0,1)),_xlfn.XLOOKUP($C1550,Phone_by_Sentiment!$B$2:$B$37,Phone_by_Sentiment!O$2:O$37,"",0,1),0),$A1550-TEXT(DATEVALUE($D1550&amp;"-01"), "dd-mm-yyyy")),0),0)</f>
        <v>1231</v>
      </c>
      <c r="P1550" s="1">
        <f t="shared" si="61"/>
        <v>44440</v>
      </c>
      <c r="Q1550">
        <f t="shared" si="63"/>
        <v>365</v>
      </c>
    </row>
    <row r="1551" spans="1:17" x14ac:dyDescent="0.25">
      <c r="A1551" s="1">
        <f t="shared" si="62"/>
        <v>44805</v>
      </c>
      <c r="B1551" t="s">
        <v>154</v>
      </c>
      <c r="C1551" t="str">
        <f>_xlfn.XLOOKUP(B1551,Phone_by_Price!$A$2:$A$34,Phone_by_Price!$B$2:$B$34,"-",0,1)</f>
        <v>Samsung Galaxy S21</v>
      </c>
      <c r="D1551" t="str">
        <f>_xlfn.XLOOKUP(C1551,Phone_by_Sentiment!$B$2:$B$37,Phone_by_Sentiment!$A$2:$A$37,"-",0,1)</f>
        <v>2021-01</v>
      </c>
      <c r="E1551" cm="1">
        <f t="array" ref="E1551">IF($Q1551&gt;=0,IFERROR(generateSalesData($D1551, IF(ISNUMBER(_xlfn.XLOOKUP($C1551,Phone_by_Sentiment!$B$2:$B$37,Phone_by_Sentiment!E$2:E$37,"",0,1)),_xlfn.XLOOKUP($C1551,Phone_by_Sentiment!$B$2:$B$37,Phone_by_Sentiment!E$2:E$37,"",0,1),0),$A1551-TEXT(DATEVALUE($D1551&amp;"-01"), "dd-mm-yyyy")),0),0)</f>
        <v>575</v>
      </c>
      <c r="F1551" cm="1">
        <f t="array" ref="F1551">IF($Q1551&gt;=0,IFERROR(generateSalesData($D1551, IF(ISNUMBER(_xlfn.XLOOKUP($C1551,Phone_by_Sentiment!$B$2:$B$37,Phone_by_Sentiment!F$2:F$37,"",0,1)),_xlfn.XLOOKUP($C1551,Phone_by_Sentiment!$B$2:$B$37,Phone_by_Sentiment!F$2:F$37,"",0,1),0),$A1551-TEXT(DATEVALUE($D1551&amp;"-01"), "dd-mm-yyyy")),0),0)</f>
        <v>968</v>
      </c>
      <c r="G1551" cm="1">
        <f t="array" ref="G1551">IF($Q1551&gt;=0,IFERROR(generateSalesData($D1551, IF(ISNUMBER(_xlfn.XLOOKUP($C1551,Phone_by_Sentiment!$B$2:$B$37,Phone_by_Sentiment!G$2:G$37,"",0,1)),_xlfn.XLOOKUP($C1551,Phone_by_Sentiment!$B$2:$B$37,Phone_by_Sentiment!G$2:G$37,"",0,1),0),$A1551-TEXT(DATEVALUE($D1551&amp;"-01"), "dd-mm-yyyy")),0),0)</f>
        <v>112</v>
      </c>
      <c r="H1551" cm="1">
        <f t="array" ref="H1551">IF($Q1551&gt;=0,IFERROR(generateSalesData($D1551, IF(ISNUMBER(_xlfn.XLOOKUP($C1551,Phone_by_Sentiment!$B$2:$B$37,Phone_by_Sentiment!H$2:H$37,"",0,1)),_xlfn.XLOOKUP($C1551,Phone_by_Sentiment!$B$2:$B$37,Phone_by_Sentiment!H$2:H$37,"",0,1),0),$A1551-TEXT(DATEVALUE($D1551&amp;"-01"), "dd-mm-yyyy")),0),0)</f>
        <v>594</v>
      </c>
      <c r="I1551" cm="1">
        <f t="array" ref="I1551">IF($Q1551&gt;=0,IFERROR(generateSalesData($D1551, IF(ISNUMBER(_xlfn.XLOOKUP($C1551,Phone_by_Sentiment!$B$2:$B$37,Phone_by_Sentiment!I$2:I$37,"",0,1)),_xlfn.XLOOKUP($C1551,Phone_by_Sentiment!$B$2:$B$37,Phone_by_Sentiment!I$2:I$37,"",0,1),0),$A1551-TEXT(DATEVALUE($D1551&amp;"-01"), "dd-mm-yyyy")),0),0)</f>
        <v>799</v>
      </c>
      <c r="J1551" cm="1">
        <f t="array" ref="J1551">IF($Q1551&gt;=0,IFERROR(generateSalesData($D1551, IF(ISNUMBER(_xlfn.XLOOKUP($C1551,Phone_by_Sentiment!$B$2:$B$37,Phone_by_Sentiment!J$2:J$37,"",0,1)),_xlfn.XLOOKUP($C1551,Phone_by_Sentiment!$B$2:$B$37,Phone_by_Sentiment!J$2:J$37,"",0,1),0),$A1551-TEXT(DATEVALUE($D1551&amp;"-01"), "dd-mm-yyyy")),0),0)</f>
        <v>417</v>
      </c>
      <c r="K1551" cm="1">
        <f t="array" ref="K1551">IF($Q1551&gt;=0,IFERROR(generateSalesData($D1551, IF(ISNUMBER(_xlfn.XLOOKUP($C1551,Phone_by_Sentiment!$B$2:$B$37,Phone_by_Sentiment!K$2:K$37,"",0,1)),_xlfn.XLOOKUP($C1551,Phone_by_Sentiment!$B$2:$B$37,Phone_by_Sentiment!K$2:K$37,"",0,1),0),$A1551-TEXT(DATEVALUE($D1551&amp;"-01"), "dd-mm-yyyy")),0),0)</f>
        <v>114</v>
      </c>
      <c r="L1551" cm="1">
        <f t="array" ref="L1551">IF($Q1551&gt;=0,IFERROR(generateSalesData($D1551, IF(ISNUMBER(_xlfn.XLOOKUP($C1551,Phone_by_Sentiment!$B$2:$B$37,Phone_by_Sentiment!L$2:L$37,"",0,1)),_xlfn.XLOOKUP($C1551,Phone_by_Sentiment!$B$2:$B$37,Phone_by_Sentiment!L$2:L$37,"",0,1),0),$A1551-TEXT(DATEVALUE($D1551&amp;"-01"), "dd-mm-yyyy")),0),0)</f>
        <v>212</v>
      </c>
      <c r="M1551" cm="1">
        <f t="array" ref="M1551">IF($Q1551&gt;=0,IFERROR(generateSalesData($D1551, IF(ISNUMBER(_xlfn.XLOOKUP($C1551,Phone_by_Sentiment!$B$2:$B$37,Phone_by_Sentiment!M$2:M$37,"",0,1)),_xlfn.XLOOKUP($C1551,Phone_by_Sentiment!$B$2:$B$37,Phone_by_Sentiment!M$2:M$37,"",0,1),0),$A1551-TEXT(DATEVALUE($D1551&amp;"-01"), "dd-mm-yyyy")),0),0)</f>
        <v>473</v>
      </c>
      <c r="N1551" cm="1">
        <f t="array" ref="N1551">IF($Q1551&gt;=0,IFERROR(generateSalesData($D1551, IF(ISNUMBER(_xlfn.XLOOKUP($C1551,Phone_by_Sentiment!$B$2:$B$37,Phone_by_Sentiment!N$2:N$37,"",0,1)),_xlfn.XLOOKUP($C1551,Phone_by_Sentiment!$B$2:$B$37,Phone_by_Sentiment!N$2:N$37,"",0,1),0),$A1551-TEXT(DATEVALUE($D1551&amp;"-01"), "dd-mm-yyyy")),0),0)</f>
        <v>491</v>
      </c>
      <c r="O1551" cm="1">
        <f t="array" ref="O1551">IF($Q1551&gt;=0,IFERROR(generateSalesData($D1551, IF(ISNUMBER(_xlfn.XLOOKUP($C1551,Phone_by_Sentiment!$B$2:$B$37,Phone_by_Sentiment!O$2:O$37,"",0,1)),_xlfn.XLOOKUP($C1551,Phone_by_Sentiment!$B$2:$B$37,Phone_by_Sentiment!O$2:O$37,"",0,1),0),$A1551-TEXT(DATEVALUE($D1551&amp;"-01"), "dd-mm-yyyy")),0),0)</f>
        <v>111</v>
      </c>
      <c r="P1551" s="1">
        <f t="shared" si="61"/>
        <v>44197</v>
      </c>
      <c r="Q1551">
        <f t="shared" si="63"/>
        <v>608</v>
      </c>
    </row>
    <row r="1552" spans="1:17" x14ac:dyDescent="0.25">
      <c r="A1552" s="1">
        <f t="shared" si="62"/>
        <v>44805</v>
      </c>
      <c r="B1552" t="s">
        <v>155</v>
      </c>
      <c r="C1552" t="str">
        <f>_xlfn.XLOOKUP(B1552,Phone_by_Price!$A$2:$A$34,Phone_by_Price!$B$2:$B$34,"-",0,1)</f>
        <v>Google Pixel 6</v>
      </c>
      <c r="D1552" t="str">
        <f>_xlfn.XLOOKUP(C1552,Phone_by_Sentiment!$B$2:$B$37,Phone_by_Sentiment!$A$2:$A$37,"-",0,1)</f>
        <v>2021-10</v>
      </c>
      <c r="E1552" cm="1">
        <f t="array" ref="E1552">IF($Q1552&gt;=0,IFERROR(generateSalesData($D1552, IF(ISNUMBER(_xlfn.XLOOKUP($C1552,Phone_by_Sentiment!$B$2:$B$37,Phone_by_Sentiment!E$2:E$37,"",0,1)),_xlfn.XLOOKUP($C1552,Phone_by_Sentiment!$B$2:$B$37,Phone_by_Sentiment!E$2:E$37,"",0,1),0),$A1552-TEXT(DATEVALUE($D1552&amp;"-01"), "dd-mm-yyyy")),0),0)</f>
        <v>71</v>
      </c>
      <c r="F1552" cm="1">
        <f t="array" ref="F1552">IF($Q1552&gt;=0,IFERROR(generateSalesData($D1552, IF(ISNUMBER(_xlfn.XLOOKUP($C1552,Phone_by_Sentiment!$B$2:$B$37,Phone_by_Sentiment!F$2:F$37,"",0,1)),_xlfn.XLOOKUP($C1552,Phone_by_Sentiment!$B$2:$B$37,Phone_by_Sentiment!F$2:F$37,"",0,1),0),$A1552-TEXT(DATEVALUE($D1552&amp;"-01"), "dd-mm-yyyy")),0),0)</f>
        <v>40</v>
      </c>
      <c r="G1552" cm="1">
        <f t="array" ref="G1552">IF($Q1552&gt;=0,IFERROR(generateSalesData($D1552, IF(ISNUMBER(_xlfn.XLOOKUP($C1552,Phone_by_Sentiment!$B$2:$B$37,Phone_by_Sentiment!G$2:G$37,"",0,1)),_xlfn.XLOOKUP($C1552,Phone_by_Sentiment!$B$2:$B$37,Phone_by_Sentiment!G$2:G$37,"",0,1),0),$A1552-TEXT(DATEVALUE($D1552&amp;"-01"), "dd-mm-yyyy")),0),0)</f>
        <v>70</v>
      </c>
      <c r="H1552" cm="1">
        <f t="array" ref="H1552">IF($Q1552&gt;=0,IFERROR(generateSalesData($D1552, IF(ISNUMBER(_xlfn.XLOOKUP($C1552,Phone_by_Sentiment!$B$2:$B$37,Phone_by_Sentiment!H$2:H$37,"",0,1)),_xlfn.XLOOKUP($C1552,Phone_by_Sentiment!$B$2:$B$37,Phone_by_Sentiment!H$2:H$37,"",0,1),0),$A1552-TEXT(DATEVALUE($D1552&amp;"-01"), "dd-mm-yyyy")),0),0)</f>
        <v>96</v>
      </c>
      <c r="I1552" cm="1">
        <f t="array" ref="I1552">IF($Q1552&gt;=0,IFERROR(generateSalesData($D1552, IF(ISNUMBER(_xlfn.XLOOKUP($C1552,Phone_by_Sentiment!$B$2:$B$37,Phone_by_Sentiment!I$2:I$37,"",0,1)),_xlfn.XLOOKUP($C1552,Phone_by_Sentiment!$B$2:$B$37,Phone_by_Sentiment!I$2:I$37,"",0,1),0),$A1552-TEXT(DATEVALUE($D1552&amp;"-01"), "dd-mm-yyyy")),0),0)</f>
        <v>13</v>
      </c>
      <c r="J1552" cm="1">
        <f t="array" ref="J1552">IF($Q1552&gt;=0,IFERROR(generateSalesData($D1552, IF(ISNUMBER(_xlfn.XLOOKUP($C1552,Phone_by_Sentiment!$B$2:$B$37,Phone_by_Sentiment!J$2:J$37,"",0,1)),_xlfn.XLOOKUP($C1552,Phone_by_Sentiment!$B$2:$B$37,Phone_by_Sentiment!J$2:J$37,"",0,1),0),$A1552-TEXT(DATEVALUE($D1552&amp;"-01"), "dd-mm-yyyy")),0),0)</f>
        <v>105</v>
      </c>
      <c r="K1552" cm="1">
        <f t="array" ref="K1552">IF($Q1552&gt;=0,IFERROR(generateSalesData($D1552, IF(ISNUMBER(_xlfn.XLOOKUP($C1552,Phone_by_Sentiment!$B$2:$B$37,Phone_by_Sentiment!K$2:K$37,"",0,1)),_xlfn.XLOOKUP($C1552,Phone_by_Sentiment!$B$2:$B$37,Phone_by_Sentiment!K$2:K$37,"",0,1),0),$A1552-TEXT(DATEVALUE($D1552&amp;"-01"), "dd-mm-yyyy")),0),0)</f>
        <v>131</v>
      </c>
      <c r="L1552" cm="1">
        <f t="array" ref="L1552">IF($Q1552&gt;=0,IFERROR(generateSalesData($D1552, IF(ISNUMBER(_xlfn.XLOOKUP($C1552,Phone_by_Sentiment!$B$2:$B$37,Phone_by_Sentiment!L$2:L$37,"",0,1)),_xlfn.XLOOKUP($C1552,Phone_by_Sentiment!$B$2:$B$37,Phone_by_Sentiment!L$2:L$37,"",0,1),0),$A1552-TEXT(DATEVALUE($D1552&amp;"-01"), "dd-mm-yyyy")),0),0)</f>
        <v>111</v>
      </c>
      <c r="M1552" cm="1">
        <f t="array" ref="M1552">IF($Q1552&gt;=0,IFERROR(generateSalesData($D1552, IF(ISNUMBER(_xlfn.XLOOKUP($C1552,Phone_by_Sentiment!$B$2:$B$37,Phone_by_Sentiment!M$2:M$37,"",0,1)),_xlfn.XLOOKUP($C1552,Phone_by_Sentiment!$B$2:$B$37,Phone_by_Sentiment!M$2:M$37,"",0,1),0),$A1552-TEXT(DATEVALUE($D1552&amp;"-01"), "dd-mm-yyyy")),0),0)</f>
        <v>744</v>
      </c>
      <c r="N1552" cm="1">
        <f t="array" ref="N1552">IF($Q1552&gt;=0,IFERROR(generateSalesData($D1552, IF(ISNUMBER(_xlfn.XLOOKUP($C1552,Phone_by_Sentiment!$B$2:$B$37,Phone_by_Sentiment!N$2:N$37,"",0,1)),_xlfn.XLOOKUP($C1552,Phone_by_Sentiment!$B$2:$B$37,Phone_by_Sentiment!N$2:N$37,"",0,1),0),$A1552-TEXT(DATEVALUE($D1552&amp;"-01"), "dd-mm-yyyy")),0),0)</f>
        <v>130</v>
      </c>
      <c r="O1552" cm="1">
        <f t="array" ref="O1552">IF($Q1552&gt;=0,IFERROR(generateSalesData($D1552, IF(ISNUMBER(_xlfn.XLOOKUP($C1552,Phone_by_Sentiment!$B$2:$B$37,Phone_by_Sentiment!O$2:O$37,"",0,1)),_xlfn.XLOOKUP($C1552,Phone_by_Sentiment!$B$2:$B$37,Phone_by_Sentiment!O$2:O$37,"",0,1),0),$A1552-TEXT(DATEVALUE($D1552&amp;"-01"), "dd-mm-yyyy")),0),0)</f>
        <v>209</v>
      </c>
      <c r="P1552" s="1">
        <f t="shared" si="61"/>
        <v>44470</v>
      </c>
      <c r="Q1552">
        <f t="shared" si="63"/>
        <v>335</v>
      </c>
    </row>
    <row r="1553" spans="1:17" x14ac:dyDescent="0.25">
      <c r="A1553" s="1">
        <f t="shared" si="62"/>
        <v>44805</v>
      </c>
      <c r="B1553" t="s">
        <v>156</v>
      </c>
      <c r="C1553" t="str">
        <f>_xlfn.XLOOKUP(B1553,Phone_by_Price!$A$2:$A$34,Phone_by_Price!$B$2:$B$34,"-",0,1)</f>
        <v>OnePlus Nord CE</v>
      </c>
      <c r="D1553" t="str">
        <f>_xlfn.XLOOKUP(C1553,Phone_by_Sentiment!$B$2:$B$37,Phone_by_Sentiment!$A$2:$A$37,"-",0,1)</f>
        <v>2021-06</v>
      </c>
      <c r="E1553" cm="1">
        <f t="array" ref="E1553">IF($Q1553&gt;=0,IFERROR(generateSalesData($D1553, IF(ISNUMBER(_xlfn.XLOOKUP($C1553,Phone_by_Sentiment!$B$2:$B$37,Phone_by_Sentiment!E$2:E$37,"",0,1)),_xlfn.XLOOKUP($C1553,Phone_by_Sentiment!$B$2:$B$37,Phone_by_Sentiment!E$2:E$37,"",0,1),0),$A1553-TEXT(DATEVALUE($D1553&amp;"-01"), "dd-mm-yyyy")),0),0)</f>
        <v>73</v>
      </c>
      <c r="F1553" cm="1">
        <f t="array" ref="F1553">IF($Q1553&gt;=0,IFERROR(generateSalesData($D1553, IF(ISNUMBER(_xlfn.XLOOKUP($C1553,Phone_by_Sentiment!$B$2:$B$37,Phone_by_Sentiment!F$2:F$37,"",0,1)),_xlfn.XLOOKUP($C1553,Phone_by_Sentiment!$B$2:$B$37,Phone_by_Sentiment!F$2:F$37,"",0,1),0),$A1553-TEXT(DATEVALUE($D1553&amp;"-01"), "dd-mm-yyyy")),0),0)</f>
        <v>38</v>
      </c>
      <c r="G1553" cm="1">
        <f t="array" ref="G1553">IF($Q1553&gt;=0,IFERROR(generateSalesData($D1553, IF(ISNUMBER(_xlfn.XLOOKUP($C1553,Phone_by_Sentiment!$B$2:$B$37,Phone_by_Sentiment!G$2:G$37,"",0,1)),_xlfn.XLOOKUP($C1553,Phone_by_Sentiment!$B$2:$B$37,Phone_by_Sentiment!G$2:G$37,"",0,1),0),$A1553-TEXT(DATEVALUE($D1553&amp;"-01"), "dd-mm-yyyy")),0),0)</f>
        <v>90</v>
      </c>
      <c r="H1553" cm="1">
        <f t="array" ref="H1553">IF($Q1553&gt;=0,IFERROR(generateSalesData($D1553, IF(ISNUMBER(_xlfn.XLOOKUP($C1553,Phone_by_Sentiment!$B$2:$B$37,Phone_by_Sentiment!H$2:H$37,"",0,1)),_xlfn.XLOOKUP($C1553,Phone_by_Sentiment!$B$2:$B$37,Phone_by_Sentiment!H$2:H$37,"",0,1),0),$A1553-TEXT(DATEVALUE($D1553&amp;"-01"), "dd-mm-yyyy")),0),0)</f>
        <v>433</v>
      </c>
      <c r="I1553" cm="1">
        <f t="array" ref="I1553">IF($Q1553&gt;=0,IFERROR(generateSalesData($D1553, IF(ISNUMBER(_xlfn.XLOOKUP($C1553,Phone_by_Sentiment!$B$2:$B$37,Phone_by_Sentiment!I$2:I$37,"",0,1)),_xlfn.XLOOKUP($C1553,Phone_by_Sentiment!$B$2:$B$37,Phone_by_Sentiment!I$2:I$37,"",0,1),0),$A1553-TEXT(DATEVALUE($D1553&amp;"-01"), "dd-mm-yyyy")),0),0)</f>
        <v>38</v>
      </c>
      <c r="J1553" cm="1">
        <f t="array" ref="J1553">IF($Q1553&gt;=0,IFERROR(generateSalesData($D1553, IF(ISNUMBER(_xlfn.XLOOKUP($C1553,Phone_by_Sentiment!$B$2:$B$37,Phone_by_Sentiment!J$2:J$37,"",0,1)),_xlfn.XLOOKUP($C1553,Phone_by_Sentiment!$B$2:$B$37,Phone_by_Sentiment!J$2:J$37,"",0,1),0),$A1553-TEXT(DATEVALUE($D1553&amp;"-01"), "dd-mm-yyyy")),0),0)</f>
        <v>74</v>
      </c>
      <c r="K1553" cm="1">
        <f t="array" ref="K1553">IF($Q1553&gt;=0,IFERROR(generateSalesData($D1553, IF(ISNUMBER(_xlfn.XLOOKUP($C1553,Phone_by_Sentiment!$B$2:$B$37,Phone_by_Sentiment!K$2:K$37,"",0,1)),_xlfn.XLOOKUP($C1553,Phone_by_Sentiment!$B$2:$B$37,Phone_by_Sentiment!K$2:K$37,"",0,1),0),$A1553-TEXT(DATEVALUE($D1553&amp;"-01"), "dd-mm-yyyy")),0),0)</f>
        <v>45</v>
      </c>
      <c r="L1553" cm="1">
        <f t="array" ref="L1553">IF($Q1553&gt;=0,IFERROR(generateSalesData($D1553, IF(ISNUMBER(_xlfn.XLOOKUP($C1553,Phone_by_Sentiment!$B$2:$B$37,Phone_by_Sentiment!L$2:L$37,"",0,1)),_xlfn.XLOOKUP($C1553,Phone_by_Sentiment!$B$2:$B$37,Phone_by_Sentiment!L$2:L$37,"",0,1),0),$A1553-TEXT(DATEVALUE($D1553&amp;"-01"), "dd-mm-yyyy")),0),0)</f>
        <v>59</v>
      </c>
      <c r="M1553" cm="1">
        <f t="array" ref="M1553">IF($Q1553&gt;=0,IFERROR(generateSalesData($D1553, IF(ISNUMBER(_xlfn.XLOOKUP($C1553,Phone_by_Sentiment!$B$2:$B$37,Phone_by_Sentiment!M$2:M$37,"",0,1)),_xlfn.XLOOKUP($C1553,Phone_by_Sentiment!$B$2:$B$37,Phone_by_Sentiment!M$2:M$37,"",0,1),0),$A1553-TEXT(DATEVALUE($D1553&amp;"-01"), "dd-mm-yyyy")),0),0)</f>
        <v>98</v>
      </c>
      <c r="N1553" cm="1">
        <f t="array" ref="N1553">IF($Q1553&gt;=0,IFERROR(generateSalesData($D1553, IF(ISNUMBER(_xlfn.XLOOKUP($C1553,Phone_by_Sentiment!$B$2:$B$37,Phone_by_Sentiment!N$2:N$37,"",0,1)),_xlfn.XLOOKUP($C1553,Phone_by_Sentiment!$B$2:$B$37,Phone_by_Sentiment!N$2:N$37,"",0,1),0),$A1553-TEXT(DATEVALUE($D1553&amp;"-01"), "dd-mm-yyyy")),0),0)</f>
        <v>465</v>
      </c>
      <c r="O1553" cm="1">
        <f t="array" ref="O1553">IF($Q1553&gt;=0,IFERROR(generateSalesData($D1553, IF(ISNUMBER(_xlfn.XLOOKUP($C1553,Phone_by_Sentiment!$B$2:$B$37,Phone_by_Sentiment!O$2:O$37,"",0,1)),_xlfn.XLOOKUP($C1553,Phone_by_Sentiment!$B$2:$B$37,Phone_by_Sentiment!O$2:O$37,"",0,1),0),$A1553-TEXT(DATEVALUE($D1553&amp;"-01"), "dd-mm-yyyy")),0),0)</f>
        <v>83</v>
      </c>
      <c r="P1553" s="1">
        <f t="shared" si="61"/>
        <v>44348</v>
      </c>
      <c r="Q1553">
        <f t="shared" si="63"/>
        <v>457</v>
      </c>
    </row>
    <row r="1554" spans="1:17" x14ac:dyDescent="0.25">
      <c r="A1554" s="1">
        <f t="shared" si="62"/>
        <v>44805</v>
      </c>
      <c r="B1554" t="s">
        <v>157</v>
      </c>
      <c r="C1554" t="str">
        <f>_xlfn.XLOOKUP(B1554,Phone_by_Price!$A$2:$A$34,Phone_by_Price!$B$2:$B$34,"-",0,1)</f>
        <v>Apple iPhone 13 Pro</v>
      </c>
      <c r="D1554" t="str">
        <f>_xlfn.XLOOKUP(C1554,Phone_by_Sentiment!$B$2:$B$37,Phone_by_Sentiment!$A$2:$A$37,"-",0,1)</f>
        <v>2021-09</v>
      </c>
      <c r="E1554" cm="1">
        <f t="array" ref="E1554">IF($Q1554&gt;=0,IFERROR(generateSalesData($D1554, IF(ISNUMBER(_xlfn.XLOOKUP($C1554,Phone_by_Sentiment!$B$2:$B$37,Phone_by_Sentiment!E$2:E$37,"",0,1)),_xlfn.XLOOKUP($C1554,Phone_by_Sentiment!$B$2:$B$37,Phone_by_Sentiment!E$2:E$37,"",0,1),0),$A1554-TEXT(DATEVALUE($D1554&amp;"-01"), "dd-mm-yyyy")),0),0)</f>
        <v>823</v>
      </c>
      <c r="F1554" cm="1">
        <f t="array" ref="F1554">IF($Q1554&gt;=0,IFERROR(generateSalesData($D1554, IF(ISNUMBER(_xlfn.XLOOKUP($C1554,Phone_by_Sentiment!$B$2:$B$37,Phone_by_Sentiment!F$2:F$37,"",0,1)),_xlfn.XLOOKUP($C1554,Phone_by_Sentiment!$B$2:$B$37,Phone_by_Sentiment!F$2:F$37,"",0,1),0),$A1554-TEXT(DATEVALUE($D1554&amp;"-01"), "dd-mm-yyyy")),0),0)</f>
        <v>630</v>
      </c>
      <c r="G1554" cm="1">
        <f t="array" ref="G1554">IF($Q1554&gt;=0,IFERROR(generateSalesData($D1554, IF(ISNUMBER(_xlfn.XLOOKUP($C1554,Phone_by_Sentiment!$B$2:$B$37,Phone_by_Sentiment!G$2:G$37,"",0,1)),_xlfn.XLOOKUP($C1554,Phone_by_Sentiment!$B$2:$B$37,Phone_by_Sentiment!G$2:G$37,"",0,1),0),$A1554-TEXT(DATEVALUE($D1554&amp;"-01"), "dd-mm-yyyy")),0),0)</f>
        <v>199</v>
      </c>
      <c r="H1554" cm="1">
        <f t="array" ref="H1554">IF($Q1554&gt;=0,IFERROR(generateSalesData($D1554, IF(ISNUMBER(_xlfn.XLOOKUP($C1554,Phone_by_Sentiment!$B$2:$B$37,Phone_by_Sentiment!H$2:H$37,"",0,1)),_xlfn.XLOOKUP($C1554,Phone_by_Sentiment!$B$2:$B$37,Phone_by_Sentiment!H$2:H$37,"",0,1),0),$A1554-TEXT(DATEVALUE($D1554&amp;"-01"), "dd-mm-yyyy")),0),0)</f>
        <v>946</v>
      </c>
      <c r="I1554" cm="1">
        <f t="array" ref="I1554">IF($Q1554&gt;=0,IFERROR(generateSalesData($D1554, IF(ISNUMBER(_xlfn.XLOOKUP($C1554,Phone_by_Sentiment!$B$2:$B$37,Phone_by_Sentiment!I$2:I$37,"",0,1)),_xlfn.XLOOKUP($C1554,Phone_by_Sentiment!$B$2:$B$37,Phone_by_Sentiment!I$2:I$37,"",0,1),0),$A1554-TEXT(DATEVALUE($D1554&amp;"-01"), "dd-mm-yyyy")),0),0)</f>
        <v>1093</v>
      </c>
      <c r="J1554" cm="1">
        <f t="array" ref="J1554">IF($Q1554&gt;=0,IFERROR(generateSalesData($D1554, IF(ISNUMBER(_xlfn.XLOOKUP($C1554,Phone_by_Sentiment!$B$2:$B$37,Phone_by_Sentiment!J$2:J$37,"",0,1)),_xlfn.XLOOKUP($C1554,Phone_by_Sentiment!$B$2:$B$37,Phone_by_Sentiment!J$2:J$37,"",0,1),0),$A1554-TEXT(DATEVALUE($D1554&amp;"-01"), "dd-mm-yyyy")),0),0)</f>
        <v>1198</v>
      </c>
      <c r="K1554" cm="1">
        <f t="array" ref="K1554">IF($Q1554&gt;=0,IFERROR(generateSalesData($D1554, IF(ISNUMBER(_xlfn.XLOOKUP($C1554,Phone_by_Sentiment!$B$2:$B$37,Phone_by_Sentiment!K$2:K$37,"",0,1)),_xlfn.XLOOKUP($C1554,Phone_by_Sentiment!$B$2:$B$37,Phone_by_Sentiment!K$2:K$37,"",0,1),0),$A1554-TEXT(DATEVALUE($D1554&amp;"-01"), "dd-mm-yyyy")),0),0)</f>
        <v>1324</v>
      </c>
      <c r="L1554" cm="1">
        <f t="array" ref="L1554">IF($Q1554&gt;=0,IFERROR(generateSalesData($D1554, IF(ISNUMBER(_xlfn.XLOOKUP($C1554,Phone_by_Sentiment!$B$2:$B$37,Phone_by_Sentiment!L$2:L$37,"",0,1)),_xlfn.XLOOKUP($C1554,Phone_by_Sentiment!$B$2:$B$37,Phone_by_Sentiment!L$2:L$37,"",0,1),0),$A1554-TEXT(DATEVALUE($D1554&amp;"-01"), "dd-mm-yyyy")),0),0)</f>
        <v>920</v>
      </c>
      <c r="M1554" cm="1">
        <f t="array" ref="M1554">IF($Q1554&gt;=0,IFERROR(generateSalesData($D1554, IF(ISNUMBER(_xlfn.XLOOKUP($C1554,Phone_by_Sentiment!$B$2:$B$37,Phone_by_Sentiment!M$2:M$37,"",0,1)),_xlfn.XLOOKUP($C1554,Phone_by_Sentiment!$B$2:$B$37,Phone_by_Sentiment!M$2:M$37,"",0,1),0),$A1554-TEXT(DATEVALUE($D1554&amp;"-01"), "dd-mm-yyyy")),0),0)</f>
        <v>1181</v>
      </c>
      <c r="N1554" cm="1">
        <f t="array" ref="N1554">IF($Q1554&gt;=0,IFERROR(generateSalesData($D1554, IF(ISNUMBER(_xlfn.XLOOKUP($C1554,Phone_by_Sentiment!$B$2:$B$37,Phone_by_Sentiment!N$2:N$37,"",0,1)),_xlfn.XLOOKUP($C1554,Phone_by_Sentiment!$B$2:$B$37,Phone_by_Sentiment!N$2:N$37,"",0,1),0),$A1554-TEXT(DATEVALUE($D1554&amp;"-01"), "dd-mm-yyyy")),0),0)</f>
        <v>647</v>
      </c>
      <c r="O1554" cm="1">
        <f t="array" ref="O1554">IF($Q1554&gt;=0,IFERROR(generateSalesData($D1554, IF(ISNUMBER(_xlfn.XLOOKUP($C1554,Phone_by_Sentiment!$B$2:$B$37,Phone_by_Sentiment!O$2:O$37,"",0,1)),_xlfn.XLOOKUP($C1554,Phone_by_Sentiment!$B$2:$B$37,Phone_by_Sentiment!O$2:O$37,"",0,1),0),$A1554-TEXT(DATEVALUE($D1554&amp;"-01"), "dd-mm-yyyy")),0),0)</f>
        <v>1227</v>
      </c>
      <c r="P1554" s="1">
        <f t="shared" si="61"/>
        <v>44440</v>
      </c>
      <c r="Q1554">
        <f t="shared" si="63"/>
        <v>365</v>
      </c>
    </row>
    <row r="1555" spans="1:17" x14ac:dyDescent="0.25">
      <c r="A1555" s="1">
        <f t="shared" si="62"/>
        <v>44805</v>
      </c>
      <c r="B1555" t="s">
        <v>158</v>
      </c>
      <c r="C1555" t="str">
        <f>_xlfn.XLOOKUP(B1555,Phone_by_Price!$A$2:$A$34,Phone_by_Price!$B$2:$B$34,"-",0,1)</f>
        <v>Samsung Galaxy A32 5G</v>
      </c>
      <c r="D1555" t="str">
        <f>_xlfn.XLOOKUP(C1555,Phone_by_Sentiment!$B$2:$B$37,Phone_by_Sentiment!$A$2:$A$37,"-",0,1)</f>
        <v>2021-02</v>
      </c>
      <c r="E1555" cm="1">
        <f t="array" ref="E1555">IF($Q1555&gt;=0,IFERROR(generateSalesData($D1555, IF(ISNUMBER(_xlfn.XLOOKUP($C1555,Phone_by_Sentiment!$B$2:$B$37,Phone_by_Sentiment!E$2:E$37,"",0,1)),_xlfn.XLOOKUP($C1555,Phone_by_Sentiment!$B$2:$B$37,Phone_by_Sentiment!E$2:E$37,"",0,1),0),$A1555-TEXT(DATEVALUE($D1555&amp;"-01"), "dd-mm-yyyy")),0),0)</f>
        <v>71</v>
      </c>
      <c r="F1555" cm="1">
        <f t="array" ref="F1555">IF($Q1555&gt;=0,IFERROR(generateSalesData($D1555, IF(ISNUMBER(_xlfn.XLOOKUP($C1555,Phone_by_Sentiment!$B$2:$B$37,Phone_by_Sentiment!F$2:F$37,"",0,1)),_xlfn.XLOOKUP($C1555,Phone_by_Sentiment!$B$2:$B$37,Phone_by_Sentiment!F$2:F$37,"",0,1),0),$A1555-TEXT(DATEVALUE($D1555&amp;"-01"), "dd-mm-yyyy")),0),0)</f>
        <v>434</v>
      </c>
      <c r="G1555" cm="1">
        <f t="array" ref="G1555">IF($Q1555&gt;=0,IFERROR(generateSalesData($D1555, IF(ISNUMBER(_xlfn.XLOOKUP($C1555,Phone_by_Sentiment!$B$2:$B$37,Phone_by_Sentiment!G$2:G$37,"",0,1)),_xlfn.XLOOKUP($C1555,Phone_by_Sentiment!$B$2:$B$37,Phone_by_Sentiment!G$2:G$37,"",0,1),0),$A1555-TEXT(DATEVALUE($D1555&amp;"-01"), "dd-mm-yyyy")),0),0)</f>
        <v>234</v>
      </c>
      <c r="H1555" cm="1">
        <f t="array" ref="H1555">IF($Q1555&gt;=0,IFERROR(generateSalesData($D1555, IF(ISNUMBER(_xlfn.XLOOKUP($C1555,Phone_by_Sentiment!$B$2:$B$37,Phone_by_Sentiment!H$2:H$37,"",0,1)),_xlfn.XLOOKUP($C1555,Phone_by_Sentiment!$B$2:$B$37,Phone_by_Sentiment!H$2:H$37,"",0,1),0),$A1555-TEXT(DATEVALUE($D1555&amp;"-01"), "dd-mm-yyyy")),0),0)</f>
        <v>306</v>
      </c>
      <c r="I1555" cm="1">
        <f t="array" ref="I1555">IF($Q1555&gt;=0,IFERROR(generateSalesData($D1555, IF(ISNUMBER(_xlfn.XLOOKUP($C1555,Phone_by_Sentiment!$B$2:$B$37,Phone_by_Sentiment!I$2:I$37,"",0,1)),_xlfn.XLOOKUP($C1555,Phone_by_Sentiment!$B$2:$B$37,Phone_by_Sentiment!I$2:I$37,"",0,1),0),$A1555-TEXT(DATEVALUE($D1555&amp;"-01"), "dd-mm-yyyy")),0),0)</f>
        <v>791</v>
      </c>
      <c r="J1555" cm="1">
        <f t="array" ref="J1555">IF($Q1555&gt;=0,IFERROR(generateSalesData($D1555, IF(ISNUMBER(_xlfn.XLOOKUP($C1555,Phone_by_Sentiment!$B$2:$B$37,Phone_by_Sentiment!J$2:J$37,"",0,1)),_xlfn.XLOOKUP($C1555,Phone_by_Sentiment!$B$2:$B$37,Phone_by_Sentiment!J$2:J$37,"",0,1),0),$A1555-TEXT(DATEVALUE($D1555&amp;"-01"), "dd-mm-yyyy")),0),0)</f>
        <v>436</v>
      </c>
      <c r="K1555" cm="1">
        <f t="array" ref="K1555">IF($Q1555&gt;=0,IFERROR(generateSalesData($D1555, IF(ISNUMBER(_xlfn.XLOOKUP($C1555,Phone_by_Sentiment!$B$2:$B$37,Phone_by_Sentiment!K$2:K$37,"",0,1)),_xlfn.XLOOKUP($C1555,Phone_by_Sentiment!$B$2:$B$37,Phone_by_Sentiment!K$2:K$37,"",0,1),0),$A1555-TEXT(DATEVALUE($D1555&amp;"-01"), "dd-mm-yyyy")),0),0)</f>
        <v>106</v>
      </c>
      <c r="L1555" cm="1">
        <f t="array" ref="L1555">IF($Q1555&gt;=0,IFERROR(generateSalesData($D1555, IF(ISNUMBER(_xlfn.XLOOKUP($C1555,Phone_by_Sentiment!$B$2:$B$37,Phone_by_Sentiment!L$2:L$37,"",0,1)),_xlfn.XLOOKUP($C1555,Phone_by_Sentiment!$B$2:$B$37,Phone_by_Sentiment!L$2:L$37,"",0,1),0),$A1555-TEXT(DATEVALUE($D1555&amp;"-01"), "dd-mm-yyyy")),0),0)</f>
        <v>328</v>
      </c>
      <c r="M1555" cm="1">
        <f t="array" ref="M1555">IF($Q1555&gt;=0,IFERROR(generateSalesData($D1555, IF(ISNUMBER(_xlfn.XLOOKUP($C1555,Phone_by_Sentiment!$B$2:$B$37,Phone_by_Sentiment!M$2:M$37,"",0,1)),_xlfn.XLOOKUP($C1555,Phone_by_Sentiment!$B$2:$B$37,Phone_by_Sentiment!M$2:M$37,"",0,1),0),$A1555-TEXT(DATEVALUE($D1555&amp;"-01"), "dd-mm-yyyy")),0),0)</f>
        <v>510</v>
      </c>
      <c r="N1555" cm="1">
        <f t="array" ref="N1555">IF($Q1555&gt;=0,IFERROR(generateSalesData($D1555, IF(ISNUMBER(_xlfn.XLOOKUP($C1555,Phone_by_Sentiment!$B$2:$B$37,Phone_by_Sentiment!N$2:N$37,"",0,1)),_xlfn.XLOOKUP($C1555,Phone_by_Sentiment!$B$2:$B$37,Phone_by_Sentiment!N$2:N$37,"",0,1),0),$A1555-TEXT(DATEVALUE($D1555&amp;"-01"), "dd-mm-yyyy")),0),0)</f>
        <v>223</v>
      </c>
      <c r="O1555" cm="1">
        <f t="array" ref="O1555">IF($Q1555&gt;=0,IFERROR(generateSalesData($D1555, IF(ISNUMBER(_xlfn.XLOOKUP($C1555,Phone_by_Sentiment!$B$2:$B$37,Phone_by_Sentiment!O$2:O$37,"",0,1)),_xlfn.XLOOKUP($C1555,Phone_by_Sentiment!$B$2:$B$37,Phone_by_Sentiment!O$2:O$37,"",0,1),0),$A1555-TEXT(DATEVALUE($D1555&amp;"-01"), "dd-mm-yyyy")),0),0)</f>
        <v>329</v>
      </c>
      <c r="P1555" s="1">
        <f t="shared" si="61"/>
        <v>44228</v>
      </c>
      <c r="Q1555">
        <f t="shared" si="63"/>
        <v>577</v>
      </c>
    </row>
    <row r="1556" spans="1:17" x14ac:dyDescent="0.25">
      <c r="A1556" s="1">
        <f t="shared" si="62"/>
        <v>44805</v>
      </c>
      <c r="B1556" t="s">
        <v>159</v>
      </c>
      <c r="C1556" t="str">
        <f>_xlfn.XLOOKUP(B1556,Phone_by_Price!$A$2:$A$34,Phone_by_Price!$B$2:$B$34,"-",0,1)</f>
        <v>Realme C25</v>
      </c>
      <c r="D1556" t="str">
        <f>_xlfn.XLOOKUP(C1556,Phone_by_Sentiment!$B$2:$B$37,Phone_by_Sentiment!$A$2:$A$37,"-",0,1)</f>
        <v>2021-03</v>
      </c>
      <c r="E1556" cm="1">
        <f t="array" ref="E1556">IF($Q1556&gt;=0,IFERROR(generateSalesData($D1556, IF(ISNUMBER(_xlfn.XLOOKUP($C1556,Phone_by_Sentiment!$B$2:$B$37,Phone_by_Sentiment!E$2:E$37,"",0,1)),_xlfn.XLOOKUP($C1556,Phone_by_Sentiment!$B$2:$B$37,Phone_by_Sentiment!E$2:E$37,"",0,1),0),$A1556-TEXT(DATEVALUE($D1556&amp;"-01"), "dd-mm-yyyy")),0),0)</f>
        <v>73</v>
      </c>
      <c r="F1556" cm="1">
        <f t="array" ref="F1556">IF($Q1556&gt;=0,IFERROR(generateSalesData($D1556, IF(ISNUMBER(_xlfn.XLOOKUP($C1556,Phone_by_Sentiment!$B$2:$B$37,Phone_by_Sentiment!F$2:F$37,"",0,1)),_xlfn.XLOOKUP($C1556,Phone_by_Sentiment!$B$2:$B$37,Phone_by_Sentiment!F$2:F$37,"",0,1),0),$A1556-TEXT(DATEVALUE($D1556&amp;"-01"), "dd-mm-yyyy")),0),0)</f>
        <v>9</v>
      </c>
      <c r="G1556" cm="1">
        <f t="array" ref="G1556">IF($Q1556&gt;=0,IFERROR(generateSalesData($D1556, IF(ISNUMBER(_xlfn.XLOOKUP($C1556,Phone_by_Sentiment!$B$2:$B$37,Phone_by_Sentiment!G$2:G$37,"",0,1)),_xlfn.XLOOKUP($C1556,Phone_by_Sentiment!$B$2:$B$37,Phone_by_Sentiment!G$2:G$37,"",0,1),0),$A1556-TEXT(DATEVALUE($D1556&amp;"-01"), "dd-mm-yyyy")),0),0)</f>
        <v>18</v>
      </c>
      <c r="H1556" cm="1">
        <f t="array" ref="H1556">IF($Q1556&gt;=0,IFERROR(generateSalesData($D1556, IF(ISNUMBER(_xlfn.XLOOKUP($C1556,Phone_by_Sentiment!$B$2:$B$37,Phone_by_Sentiment!H$2:H$37,"",0,1)),_xlfn.XLOOKUP($C1556,Phone_by_Sentiment!$B$2:$B$37,Phone_by_Sentiment!H$2:H$37,"",0,1),0),$A1556-TEXT(DATEVALUE($D1556&amp;"-01"), "dd-mm-yyyy")),0),0)</f>
        <v>390</v>
      </c>
      <c r="I1556" cm="1">
        <f t="array" ref="I1556">IF($Q1556&gt;=0,IFERROR(generateSalesData($D1556, IF(ISNUMBER(_xlfn.XLOOKUP($C1556,Phone_by_Sentiment!$B$2:$B$37,Phone_by_Sentiment!I$2:I$37,"",0,1)),_xlfn.XLOOKUP($C1556,Phone_by_Sentiment!$B$2:$B$37,Phone_by_Sentiment!I$2:I$37,"",0,1),0),$A1556-TEXT(DATEVALUE($D1556&amp;"-01"), "dd-mm-yyyy")),0),0)</f>
        <v>390</v>
      </c>
      <c r="J1556" cm="1">
        <f t="array" ref="J1556">IF($Q1556&gt;=0,IFERROR(generateSalesData($D1556, IF(ISNUMBER(_xlfn.XLOOKUP($C1556,Phone_by_Sentiment!$B$2:$B$37,Phone_by_Sentiment!J$2:J$37,"",0,1)),_xlfn.XLOOKUP($C1556,Phone_by_Sentiment!$B$2:$B$37,Phone_by_Sentiment!J$2:J$37,"",0,1),0),$A1556-TEXT(DATEVALUE($D1556&amp;"-01"), "dd-mm-yyyy")),0),0)</f>
        <v>189</v>
      </c>
      <c r="K1556" cm="1">
        <f t="array" ref="K1556">IF($Q1556&gt;=0,IFERROR(generateSalesData($D1556, IF(ISNUMBER(_xlfn.XLOOKUP($C1556,Phone_by_Sentiment!$B$2:$B$37,Phone_by_Sentiment!K$2:K$37,"",0,1)),_xlfn.XLOOKUP($C1556,Phone_by_Sentiment!$B$2:$B$37,Phone_by_Sentiment!K$2:K$37,"",0,1),0),$A1556-TEXT(DATEVALUE($D1556&amp;"-01"), "dd-mm-yyyy")),0),0)</f>
        <v>59</v>
      </c>
      <c r="L1556" cm="1">
        <f t="array" ref="L1556">IF($Q1556&gt;=0,IFERROR(generateSalesData($D1556, IF(ISNUMBER(_xlfn.XLOOKUP($C1556,Phone_by_Sentiment!$B$2:$B$37,Phone_by_Sentiment!L$2:L$37,"",0,1)),_xlfn.XLOOKUP($C1556,Phone_by_Sentiment!$B$2:$B$37,Phone_by_Sentiment!L$2:L$37,"",0,1),0),$A1556-TEXT(DATEVALUE($D1556&amp;"-01"), "dd-mm-yyyy")),0),0)</f>
        <v>277</v>
      </c>
      <c r="M1556" cm="1">
        <f t="array" ref="M1556">IF($Q1556&gt;=0,IFERROR(generateSalesData($D1556, IF(ISNUMBER(_xlfn.XLOOKUP($C1556,Phone_by_Sentiment!$B$2:$B$37,Phone_by_Sentiment!M$2:M$37,"",0,1)),_xlfn.XLOOKUP($C1556,Phone_by_Sentiment!$B$2:$B$37,Phone_by_Sentiment!M$2:M$37,"",0,1),0),$A1556-TEXT(DATEVALUE($D1556&amp;"-01"), "dd-mm-yyyy")),0),0)</f>
        <v>67</v>
      </c>
      <c r="N1556" cm="1">
        <f t="array" ref="N1556">IF($Q1556&gt;=0,IFERROR(generateSalesData($D1556, IF(ISNUMBER(_xlfn.XLOOKUP($C1556,Phone_by_Sentiment!$B$2:$B$37,Phone_by_Sentiment!N$2:N$37,"",0,1)),_xlfn.XLOOKUP($C1556,Phone_by_Sentiment!$B$2:$B$37,Phone_by_Sentiment!N$2:N$37,"",0,1),0),$A1556-TEXT(DATEVALUE($D1556&amp;"-01"), "dd-mm-yyyy")),0),0)</f>
        <v>456</v>
      </c>
      <c r="O1556" cm="1">
        <f t="array" ref="O1556">IF($Q1556&gt;=0,IFERROR(generateSalesData($D1556, IF(ISNUMBER(_xlfn.XLOOKUP($C1556,Phone_by_Sentiment!$B$2:$B$37,Phone_by_Sentiment!O$2:O$37,"",0,1)),_xlfn.XLOOKUP($C1556,Phone_by_Sentiment!$B$2:$B$37,Phone_by_Sentiment!O$2:O$37,"",0,1),0),$A1556-TEXT(DATEVALUE($D1556&amp;"-01"), "dd-mm-yyyy")),0),0)</f>
        <v>122</v>
      </c>
      <c r="P1556" s="1">
        <f t="shared" si="61"/>
        <v>44256</v>
      </c>
      <c r="Q1556">
        <f t="shared" si="63"/>
        <v>549</v>
      </c>
    </row>
    <row r="1557" spans="1:17" x14ac:dyDescent="0.25">
      <c r="A1557" s="1">
        <f t="shared" si="62"/>
        <v>44805</v>
      </c>
      <c r="B1557" t="s">
        <v>160</v>
      </c>
      <c r="C1557" t="str">
        <f>_xlfn.XLOOKUP(B1557,Phone_by_Price!$A$2:$A$34,Phone_by_Price!$B$2:$B$34,"-",0,1)</f>
        <v>Xiaomi Poco X3 Pro</v>
      </c>
      <c r="D1557" t="str">
        <f>_xlfn.XLOOKUP(C1557,Phone_by_Sentiment!$B$2:$B$37,Phone_by_Sentiment!$A$2:$A$37,"-",0,1)</f>
        <v>2021-05</v>
      </c>
      <c r="E1557" cm="1">
        <f t="array" ref="E1557">IF($Q1557&gt;=0,IFERROR(generateSalesData($D1557, IF(ISNUMBER(_xlfn.XLOOKUP($C1557,Phone_by_Sentiment!$B$2:$B$37,Phone_by_Sentiment!E$2:E$37,"",0,1)),_xlfn.XLOOKUP($C1557,Phone_by_Sentiment!$B$2:$B$37,Phone_by_Sentiment!E$2:E$37,"",0,1),0),$A1557-TEXT(DATEVALUE($D1557&amp;"-01"), "dd-mm-yyyy")),0),0)</f>
        <v>365</v>
      </c>
      <c r="F1557" cm="1">
        <f t="array" ref="F1557">IF($Q1557&gt;=0,IFERROR(generateSalesData($D1557, IF(ISNUMBER(_xlfn.XLOOKUP($C1557,Phone_by_Sentiment!$B$2:$B$37,Phone_by_Sentiment!F$2:F$37,"",0,1)),_xlfn.XLOOKUP($C1557,Phone_by_Sentiment!$B$2:$B$37,Phone_by_Sentiment!F$2:F$37,"",0,1),0),$A1557-TEXT(DATEVALUE($D1557&amp;"-01"), "dd-mm-yyyy")),0),0)</f>
        <v>148</v>
      </c>
      <c r="G1557" cm="1">
        <f t="array" ref="G1557">IF($Q1557&gt;=0,IFERROR(generateSalesData($D1557, IF(ISNUMBER(_xlfn.XLOOKUP($C1557,Phone_by_Sentiment!$B$2:$B$37,Phone_by_Sentiment!G$2:G$37,"",0,1)),_xlfn.XLOOKUP($C1557,Phone_by_Sentiment!$B$2:$B$37,Phone_by_Sentiment!G$2:G$37,"",0,1),0),$A1557-TEXT(DATEVALUE($D1557&amp;"-01"), "dd-mm-yyyy")),0),0)</f>
        <v>164</v>
      </c>
      <c r="H1557" cm="1">
        <f t="array" ref="H1557">IF($Q1557&gt;=0,IFERROR(generateSalesData($D1557, IF(ISNUMBER(_xlfn.XLOOKUP($C1557,Phone_by_Sentiment!$B$2:$B$37,Phone_by_Sentiment!H$2:H$37,"",0,1)),_xlfn.XLOOKUP($C1557,Phone_by_Sentiment!$B$2:$B$37,Phone_by_Sentiment!H$2:H$37,"",0,1),0),$A1557-TEXT(DATEVALUE($D1557&amp;"-01"), "dd-mm-yyyy")),0),0)</f>
        <v>518</v>
      </c>
      <c r="I1557" cm="1">
        <f t="array" ref="I1557">IF($Q1557&gt;=0,IFERROR(generateSalesData($D1557, IF(ISNUMBER(_xlfn.XLOOKUP($C1557,Phone_by_Sentiment!$B$2:$B$37,Phone_by_Sentiment!I$2:I$37,"",0,1)),_xlfn.XLOOKUP($C1557,Phone_by_Sentiment!$B$2:$B$37,Phone_by_Sentiment!I$2:I$37,"",0,1),0),$A1557-TEXT(DATEVALUE($D1557&amp;"-01"), "dd-mm-yyyy")),0),0)</f>
        <v>663</v>
      </c>
      <c r="J1557" cm="1">
        <f t="array" ref="J1557">IF($Q1557&gt;=0,IFERROR(generateSalesData($D1557, IF(ISNUMBER(_xlfn.XLOOKUP($C1557,Phone_by_Sentiment!$B$2:$B$37,Phone_by_Sentiment!J$2:J$37,"",0,1)),_xlfn.XLOOKUP($C1557,Phone_by_Sentiment!$B$2:$B$37,Phone_by_Sentiment!J$2:J$37,"",0,1),0),$A1557-TEXT(DATEVALUE($D1557&amp;"-01"), "dd-mm-yyyy")),0),0)</f>
        <v>109</v>
      </c>
      <c r="K1557" cm="1">
        <f t="array" ref="K1557">IF($Q1557&gt;=0,IFERROR(generateSalesData($D1557, IF(ISNUMBER(_xlfn.XLOOKUP($C1557,Phone_by_Sentiment!$B$2:$B$37,Phone_by_Sentiment!K$2:K$37,"",0,1)),_xlfn.XLOOKUP($C1557,Phone_by_Sentiment!$B$2:$B$37,Phone_by_Sentiment!K$2:K$37,"",0,1),0),$A1557-TEXT(DATEVALUE($D1557&amp;"-01"), "dd-mm-yyyy")),0),0)</f>
        <v>317</v>
      </c>
      <c r="L1557" cm="1">
        <f t="array" ref="L1557">IF($Q1557&gt;=0,IFERROR(generateSalesData($D1557, IF(ISNUMBER(_xlfn.XLOOKUP($C1557,Phone_by_Sentiment!$B$2:$B$37,Phone_by_Sentiment!L$2:L$37,"",0,1)),_xlfn.XLOOKUP($C1557,Phone_by_Sentiment!$B$2:$B$37,Phone_by_Sentiment!L$2:L$37,"",0,1),0),$A1557-TEXT(DATEVALUE($D1557&amp;"-01"), "dd-mm-yyyy")),0),0)</f>
        <v>168</v>
      </c>
      <c r="M1557" cm="1">
        <f t="array" ref="M1557">IF($Q1557&gt;=0,IFERROR(generateSalesData($D1557, IF(ISNUMBER(_xlfn.XLOOKUP($C1557,Phone_by_Sentiment!$B$2:$B$37,Phone_by_Sentiment!M$2:M$37,"",0,1)),_xlfn.XLOOKUP($C1557,Phone_by_Sentiment!$B$2:$B$37,Phone_by_Sentiment!M$2:M$37,"",0,1),0),$A1557-TEXT(DATEVALUE($D1557&amp;"-01"), "dd-mm-yyyy")),0),0)</f>
        <v>442</v>
      </c>
      <c r="N1557" cm="1">
        <f t="array" ref="N1557">IF($Q1557&gt;=0,IFERROR(generateSalesData($D1557, IF(ISNUMBER(_xlfn.XLOOKUP($C1557,Phone_by_Sentiment!$B$2:$B$37,Phone_by_Sentiment!N$2:N$37,"",0,1)),_xlfn.XLOOKUP($C1557,Phone_by_Sentiment!$B$2:$B$37,Phone_by_Sentiment!N$2:N$37,"",0,1),0),$A1557-TEXT(DATEVALUE($D1557&amp;"-01"), "dd-mm-yyyy")),0),0)</f>
        <v>188</v>
      </c>
      <c r="O1557" cm="1">
        <f t="array" ref="O1557">IF($Q1557&gt;=0,IFERROR(generateSalesData($D1557, IF(ISNUMBER(_xlfn.XLOOKUP($C1557,Phone_by_Sentiment!$B$2:$B$37,Phone_by_Sentiment!O$2:O$37,"",0,1)),_xlfn.XLOOKUP($C1557,Phone_by_Sentiment!$B$2:$B$37,Phone_by_Sentiment!O$2:O$37,"",0,1),0),$A1557-TEXT(DATEVALUE($D1557&amp;"-01"), "dd-mm-yyyy")),0),0)</f>
        <v>592</v>
      </c>
      <c r="P1557" s="1">
        <f t="shared" si="61"/>
        <v>44317</v>
      </c>
      <c r="Q1557">
        <f t="shared" si="63"/>
        <v>488</v>
      </c>
    </row>
    <row r="1558" spans="1:17" x14ac:dyDescent="0.25">
      <c r="A1558" s="1">
        <f t="shared" si="62"/>
        <v>44805</v>
      </c>
      <c r="B1558" t="s">
        <v>161</v>
      </c>
      <c r="C1558" t="str">
        <f>_xlfn.XLOOKUP(B1558,Phone_by_Price!$A$2:$A$34,Phone_by_Price!$B$2:$B$34,"-",0,1)</f>
        <v>Samsung Galaxy Z Flip 3</v>
      </c>
      <c r="D1558" t="str">
        <f>_xlfn.XLOOKUP(C1558,Phone_by_Sentiment!$B$2:$B$37,Phone_by_Sentiment!$A$2:$A$37,"-",0,1)</f>
        <v>2021-09</v>
      </c>
      <c r="E1558" cm="1">
        <f t="array" ref="E1558">IF($Q1558&gt;=0,IFERROR(generateSalesData($D1558, IF(ISNUMBER(_xlfn.XLOOKUP($C1558,Phone_by_Sentiment!$B$2:$B$37,Phone_by_Sentiment!E$2:E$37,"",0,1)),_xlfn.XLOOKUP($C1558,Phone_by_Sentiment!$B$2:$B$37,Phone_by_Sentiment!E$2:E$37,"",0,1),0),$A1558-TEXT(DATEVALUE($D1558&amp;"-01"), "dd-mm-yyyy")),0),0)</f>
        <v>744</v>
      </c>
      <c r="F1558" cm="1">
        <f t="array" ref="F1558">IF($Q1558&gt;=0,IFERROR(generateSalesData($D1558, IF(ISNUMBER(_xlfn.XLOOKUP($C1558,Phone_by_Sentiment!$B$2:$B$37,Phone_by_Sentiment!F$2:F$37,"",0,1)),_xlfn.XLOOKUP($C1558,Phone_by_Sentiment!$B$2:$B$37,Phone_by_Sentiment!F$2:F$37,"",0,1),0),$A1558-TEXT(DATEVALUE($D1558&amp;"-01"), "dd-mm-yyyy")),0),0)</f>
        <v>608</v>
      </c>
      <c r="G1558" cm="1">
        <f t="array" ref="G1558">IF($Q1558&gt;=0,IFERROR(generateSalesData($D1558, IF(ISNUMBER(_xlfn.XLOOKUP($C1558,Phone_by_Sentiment!$B$2:$B$37,Phone_by_Sentiment!G$2:G$37,"",0,1)),_xlfn.XLOOKUP($C1558,Phone_by_Sentiment!$B$2:$B$37,Phone_by_Sentiment!G$2:G$37,"",0,1),0),$A1558-TEXT(DATEVALUE($D1558&amp;"-01"), "dd-mm-yyyy")),0),0)</f>
        <v>174</v>
      </c>
      <c r="H1558" cm="1">
        <f t="array" ref="H1558">IF($Q1558&gt;=0,IFERROR(generateSalesData($D1558, IF(ISNUMBER(_xlfn.XLOOKUP($C1558,Phone_by_Sentiment!$B$2:$B$37,Phone_by_Sentiment!H$2:H$37,"",0,1)),_xlfn.XLOOKUP($C1558,Phone_by_Sentiment!$B$2:$B$37,Phone_by_Sentiment!H$2:H$37,"",0,1),0),$A1558-TEXT(DATEVALUE($D1558&amp;"-01"), "dd-mm-yyyy")),0),0)</f>
        <v>257</v>
      </c>
      <c r="I1558" cm="1">
        <f t="array" ref="I1558">IF($Q1558&gt;=0,IFERROR(generateSalesData($D1558, IF(ISNUMBER(_xlfn.XLOOKUP($C1558,Phone_by_Sentiment!$B$2:$B$37,Phone_by_Sentiment!I$2:I$37,"",0,1)),_xlfn.XLOOKUP($C1558,Phone_by_Sentiment!$B$2:$B$37,Phone_by_Sentiment!I$2:I$37,"",0,1),0),$A1558-TEXT(DATEVALUE($D1558&amp;"-01"), "dd-mm-yyyy")),0),0)</f>
        <v>1127</v>
      </c>
      <c r="J1558" cm="1">
        <f t="array" ref="J1558">IF($Q1558&gt;=0,IFERROR(generateSalesData($D1558, IF(ISNUMBER(_xlfn.XLOOKUP($C1558,Phone_by_Sentiment!$B$2:$B$37,Phone_by_Sentiment!J$2:J$37,"",0,1)),_xlfn.XLOOKUP($C1558,Phone_by_Sentiment!$B$2:$B$37,Phone_by_Sentiment!J$2:J$37,"",0,1),0),$A1558-TEXT(DATEVALUE($D1558&amp;"-01"), "dd-mm-yyyy")),0),0)</f>
        <v>1012</v>
      </c>
      <c r="K1558" cm="1">
        <f t="array" ref="K1558">IF($Q1558&gt;=0,IFERROR(generateSalesData($D1558, IF(ISNUMBER(_xlfn.XLOOKUP($C1558,Phone_by_Sentiment!$B$2:$B$37,Phone_by_Sentiment!K$2:K$37,"",0,1)),_xlfn.XLOOKUP($C1558,Phone_by_Sentiment!$B$2:$B$37,Phone_by_Sentiment!K$2:K$37,"",0,1),0),$A1558-TEXT(DATEVALUE($D1558&amp;"-01"), "dd-mm-yyyy")),0),0)</f>
        <v>663</v>
      </c>
      <c r="L1558" cm="1">
        <f t="array" ref="L1558">IF($Q1558&gt;=0,IFERROR(generateSalesData($D1558, IF(ISNUMBER(_xlfn.XLOOKUP($C1558,Phone_by_Sentiment!$B$2:$B$37,Phone_by_Sentiment!L$2:L$37,"",0,1)),_xlfn.XLOOKUP($C1558,Phone_by_Sentiment!$B$2:$B$37,Phone_by_Sentiment!L$2:L$37,"",0,1),0),$A1558-TEXT(DATEVALUE($D1558&amp;"-01"), "dd-mm-yyyy")),0),0)</f>
        <v>342</v>
      </c>
      <c r="M1558" cm="1">
        <f t="array" ref="M1558">IF($Q1558&gt;=0,IFERROR(generateSalesData($D1558, IF(ISNUMBER(_xlfn.XLOOKUP($C1558,Phone_by_Sentiment!$B$2:$B$37,Phone_by_Sentiment!M$2:M$37,"",0,1)),_xlfn.XLOOKUP($C1558,Phone_by_Sentiment!$B$2:$B$37,Phone_by_Sentiment!M$2:M$37,"",0,1),0),$A1558-TEXT(DATEVALUE($D1558&amp;"-01"), "dd-mm-yyyy")),0),0)</f>
        <v>818</v>
      </c>
      <c r="N1558" cm="1">
        <f t="array" ref="N1558">IF($Q1558&gt;=0,IFERROR(generateSalesData($D1558, IF(ISNUMBER(_xlfn.XLOOKUP($C1558,Phone_by_Sentiment!$B$2:$B$37,Phone_by_Sentiment!N$2:N$37,"",0,1)),_xlfn.XLOOKUP($C1558,Phone_by_Sentiment!$B$2:$B$37,Phone_by_Sentiment!N$2:N$37,"",0,1),0),$A1558-TEXT(DATEVALUE($D1558&amp;"-01"), "dd-mm-yyyy")),0),0)</f>
        <v>620</v>
      </c>
      <c r="O1558" cm="1">
        <f t="array" ref="O1558">IF($Q1558&gt;=0,IFERROR(generateSalesData($D1558, IF(ISNUMBER(_xlfn.XLOOKUP($C1558,Phone_by_Sentiment!$B$2:$B$37,Phone_by_Sentiment!O$2:O$37,"",0,1)),_xlfn.XLOOKUP($C1558,Phone_by_Sentiment!$B$2:$B$37,Phone_by_Sentiment!O$2:O$37,"",0,1),0),$A1558-TEXT(DATEVALUE($D1558&amp;"-01"), "dd-mm-yyyy")),0),0)</f>
        <v>846</v>
      </c>
      <c r="P1558" s="1">
        <f t="shared" si="61"/>
        <v>44440</v>
      </c>
      <c r="Q1558">
        <f t="shared" si="63"/>
        <v>365</v>
      </c>
    </row>
    <row r="1559" spans="1:17" x14ac:dyDescent="0.25">
      <c r="A1559" s="1">
        <f t="shared" si="62"/>
        <v>44805</v>
      </c>
      <c r="B1559" t="s">
        <v>162</v>
      </c>
      <c r="C1559" t="str">
        <f>_xlfn.XLOOKUP(B1559,Phone_by_Price!$A$2:$A$34,Phone_by_Price!$B$2:$B$34,"-",0,1)</f>
        <v>Xiaomi Poco X3 NFC</v>
      </c>
      <c r="D1559" t="str">
        <f>_xlfn.XLOOKUP(C1559,Phone_by_Sentiment!$B$2:$B$37,Phone_by_Sentiment!$A$2:$A$37,"-",0,1)</f>
        <v>2020-08</v>
      </c>
      <c r="E1559" cm="1">
        <f t="array" ref="E1559">IF($Q1559&gt;=0,IFERROR(generateSalesData($D1559, IF(ISNUMBER(_xlfn.XLOOKUP($C1559,Phone_by_Sentiment!$B$2:$B$37,Phone_by_Sentiment!E$2:E$37,"",0,1)),_xlfn.XLOOKUP($C1559,Phone_by_Sentiment!$B$2:$B$37,Phone_by_Sentiment!E$2:E$37,"",0,1),0),$A1559-TEXT(DATEVALUE($D1559&amp;"-01"), "dd-mm-yyyy")),0),0)</f>
        <v>133</v>
      </c>
      <c r="F1559" cm="1">
        <f t="array" ref="F1559">IF($Q1559&gt;=0,IFERROR(generateSalesData($D1559, IF(ISNUMBER(_xlfn.XLOOKUP($C1559,Phone_by_Sentiment!$B$2:$B$37,Phone_by_Sentiment!F$2:F$37,"",0,1)),_xlfn.XLOOKUP($C1559,Phone_by_Sentiment!$B$2:$B$37,Phone_by_Sentiment!F$2:F$37,"",0,1),0),$A1559-TEXT(DATEVALUE($D1559&amp;"-01"), "dd-mm-yyyy")),0),0)</f>
        <v>131</v>
      </c>
      <c r="G1559" cm="1">
        <f t="array" ref="G1559">IF($Q1559&gt;=0,IFERROR(generateSalesData($D1559, IF(ISNUMBER(_xlfn.XLOOKUP($C1559,Phone_by_Sentiment!$B$2:$B$37,Phone_by_Sentiment!G$2:G$37,"",0,1)),_xlfn.XLOOKUP($C1559,Phone_by_Sentiment!$B$2:$B$37,Phone_by_Sentiment!G$2:G$37,"",0,1),0),$A1559-TEXT(DATEVALUE($D1559&amp;"-01"), "dd-mm-yyyy")),0),0)</f>
        <v>56</v>
      </c>
      <c r="H1559" cm="1">
        <f t="array" ref="H1559">IF($Q1559&gt;=0,IFERROR(generateSalesData($D1559, IF(ISNUMBER(_xlfn.XLOOKUP($C1559,Phone_by_Sentiment!$B$2:$B$37,Phone_by_Sentiment!H$2:H$37,"",0,1)),_xlfn.XLOOKUP($C1559,Phone_by_Sentiment!$B$2:$B$37,Phone_by_Sentiment!H$2:H$37,"",0,1),0),$A1559-TEXT(DATEVALUE($D1559&amp;"-01"), "dd-mm-yyyy")),0),0)</f>
        <v>307</v>
      </c>
      <c r="I1559" cm="1">
        <f t="array" ref="I1559">IF($Q1559&gt;=0,IFERROR(generateSalesData($D1559, IF(ISNUMBER(_xlfn.XLOOKUP($C1559,Phone_by_Sentiment!$B$2:$B$37,Phone_by_Sentiment!I$2:I$37,"",0,1)),_xlfn.XLOOKUP($C1559,Phone_by_Sentiment!$B$2:$B$37,Phone_by_Sentiment!I$2:I$37,"",0,1),0),$A1559-TEXT(DATEVALUE($D1559&amp;"-01"), "dd-mm-yyyy")),0),0)</f>
        <v>113</v>
      </c>
      <c r="J1559" cm="1">
        <f t="array" ref="J1559">IF($Q1559&gt;=0,IFERROR(generateSalesData($D1559, IF(ISNUMBER(_xlfn.XLOOKUP($C1559,Phone_by_Sentiment!$B$2:$B$37,Phone_by_Sentiment!J$2:J$37,"",0,1)),_xlfn.XLOOKUP($C1559,Phone_by_Sentiment!$B$2:$B$37,Phone_by_Sentiment!J$2:J$37,"",0,1),0),$A1559-TEXT(DATEVALUE($D1559&amp;"-01"), "dd-mm-yyyy")),0),0)</f>
        <v>146</v>
      </c>
      <c r="K1559" cm="1">
        <f t="array" ref="K1559">IF($Q1559&gt;=0,IFERROR(generateSalesData($D1559, IF(ISNUMBER(_xlfn.XLOOKUP($C1559,Phone_by_Sentiment!$B$2:$B$37,Phone_by_Sentiment!K$2:K$37,"",0,1)),_xlfn.XLOOKUP($C1559,Phone_by_Sentiment!$B$2:$B$37,Phone_by_Sentiment!K$2:K$37,"",0,1),0),$A1559-TEXT(DATEVALUE($D1559&amp;"-01"), "dd-mm-yyyy")),0),0)</f>
        <v>-16</v>
      </c>
      <c r="L1559" cm="1">
        <f t="array" ref="L1559">IF($Q1559&gt;=0,IFERROR(generateSalesData($D1559, IF(ISNUMBER(_xlfn.XLOOKUP($C1559,Phone_by_Sentiment!$B$2:$B$37,Phone_by_Sentiment!L$2:L$37,"",0,1)),_xlfn.XLOOKUP($C1559,Phone_by_Sentiment!$B$2:$B$37,Phone_by_Sentiment!L$2:L$37,"",0,1),0),$A1559-TEXT(DATEVALUE($D1559&amp;"-01"), "dd-mm-yyyy")),0),0)</f>
        <v>86</v>
      </c>
      <c r="M1559" cm="1">
        <f t="array" ref="M1559">IF($Q1559&gt;=0,IFERROR(generateSalesData($D1559, IF(ISNUMBER(_xlfn.XLOOKUP($C1559,Phone_by_Sentiment!$B$2:$B$37,Phone_by_Sentiment!M$2:M$37,"",0,1)),_xlfn.XLOOKUP($C1559,Phone_by_Sentiment!$B$2:$B$37,Phone_by_Sentiment!M$2:M$37,"",0,1),0),$A1559-TEXT(DATEVALUE($D1559&amp;"-01"), "dd-mm-yyyy")),0),0)</f>
        <v>284</v>
      </c>
      <c r="N1559" cm="1">
        <f t="array" ref="N1559">IF($Q1559&gt;=0,IFERROR(generateSalesData($D1559, IF(ISNUMBER(_xlfn.XLOOKUP($C1559,Phone_by_Sentiment!$B$2:$B$37,Phone_by_Sentiment!N$2:N$37,"",0,1)),_xlfn.XLOOKUP($C1559,Phone_by_Sentiment!$B$2:$B$37,Phone_by_Sentiment!N$2:N$37,"",0,1),0),$A1559-TEXT(DATEVALUE($D1559&amp;"-01"), "dd-mm-yyyy")),0),0)</f>
        <v>61</v>
      </c>
      <c r="O1559" cm="1">
        <f t="array" ref="O1559">IF($Q1559&gt;=0,IFERROR(generateSalesData($D1559, IF(ISNUMBER(_xlfn.XLOOKUP($C1559,Phone_by_Sentiment!$B$2:$B$37,Phone_by_Sentiment!O$2:O$37,"",0,1)),_xlfn.XLOOKUP($C1559,Phone_by_Sentiment!$B$2:$B$37,Phone_by_Sentiment!O$2:O$37,"",0,1),0),$A1559-TEXT(DATEVALUE($D1559&amp;"-01"), "dd-mm-yyyy")),0),0)</f>
        <v>331</v>
      </c>
      <c r="P1559" s="1">
        <f t="shared" si="61"/>
        <v>44044</v>
      </c>
      <c r="Q1559">
        <f t="shared" si="63"/>
        <v>761</v>
      </c>
    </row>
    <row r="1560" spans="1:17" x14ac:dyDescent="0.25">
      <c r="A1560" s="1">
        <f t="shared" si="62"/>
        <v>44805</v>
      </c>
      <c r="B1560" t="s">
        <v>163</v>
      </c>
      <c r="C1560" t="str">
        <f>_xlfn.XLOOKUP(B1560,Phone_by_Price!$A$2:$A$34,Phone_by_Price!$B$2:$B$34,"-",0,1)</f>
        <v>OPPO A93</v>
      </c>
      <c r="D1560" t="str">
        <f>_xlfn.XLOOKUP(C1560,Phone_by_Sentiment!$B$2:$B$37,Phone_by_Sentiment!$A$2:$A$37,"-",0,1)</f>
        <v>2021-02</v>
      </c>
      <c r="E1560" cm="1">
        <f t="array" ref="E1560">IF($Q1560&gt;=0,IFERROR(generateSalesData($D1560, IF(ISNUMBER(_xlfn.XLOOKUP($C1560,Phone_by_Sentiment!$B$2:$B$37,Phone_by_Sentiment!E$2:E$37,"",0,1)),_xlfn.XLOOKUP($C1560,Phone_by_Sentiment!$B$2:$B$37,Phone_by_Sentiment!E$2:E$37,"",0,1),0),$A1560-TEXT(DATEVALUE($D1560&amp;"-01"), "dd-mm-yyyy")),0),0)</f>
        <v>163</v>
      </c>
      <c r="F1560" cm="1">
        <f t="array" ref="F1560">IF($Q1560&gt;=0,IFERROR(generateSalesData($D1560, IF(ISNUMBER(_xlfn.XLOOKUP($C1560,Phone_by_Sentiment!$B$2:$B$37,Phone_by_Sentiment!F$2:F$37,"",0,1)),_xlfn.XLOOKUP($C1560,Phone_by_Sentiment!$B$2:$B$37,Phone_by_Sentiment!F$2:F$37,"",0,1),0),$A1560-TEXT(DATEVALUE($D1560&amp;"-01"), "dd-mm-yyyy")),0),0)</f>
        <v>68</v>
      </c>
      <c r="G1560" cm="1">
        <f t="array" ref="G1560">IF($Q1560&gt;=0,IFERROR(generateSalesData($D1560, IF(ISNUMBER(_xlfn.XLOOKUP($C1560,Phone_by_Sentiment!$B$2:$B$37,Phone_by_Sentiment!G$2:G$37,"",0,1)),_xlfn.XLOOKUP($C1560,Phone_by_Sentiment!$B$2:$B$37,Phone_by_Sentiment!G$2:G$37,"",0,1),0),$A1560-TEXT(DATEVALUE($D1560&amp;"-01"), "dd-mm-yyyy")),0),0)</f>
        <v>116</v>
      </c>
      <c r="H1560" cm="1">
        <f t="array" ref="H1560">IF($Q1560&gt;=0,IFERROR(generateSalesData($D1560, IF(ISNUMBER(_xlfn.XLOOKUP($C1560,Phone_by_Sentiment!$B$2:$B$37,Phone_by_Sentiment!H$2:H$37,"",0,1)),_xlfn.XLOOKUP($C1560,Phone_by_Sentiment!$B$2:$B$37,Phone_by_Sentiment!H$2:H$37,"",0,1),0),$A1560-TEXT(DATEVALUE($D1560&amp;"-01"), "dd-mm-yyyy")),0),0)</f>
        <v>277</v>
      </c>
      <c r="I1560" cm="1">
        <f t="array" ref="I1560">IF($Q1560&gt;=0,IFERROR(generateSalesData($D1560, IF(ISNUMBER(_xlfn.XLOOKUP($C1560,Phone_by_Sentiment!$B$2:$B$37,Phone_by_Sentiment!I$2:I$37,"",0,1)),_xlfn.XLOOKUP($C1560,Phone_by_Sentiment!$B$2:$B$37,Phone_by_Sentiment!I$2:I$37,"",0,1),0),$A1560-TEXT(DATEVALUE($D1560&amp;"-01"), "dd-mm-yyyy")),0),0)</f>
        <v>365</v>
      </c>
      <c r="J1560" cm="1">
        <f t="array" ref="J1560">IF($Q1560&gt;=0,IFERROR(generateSalesData($D1560, IF(ISNUMBER(_xlfn.XLOOKUP($C1560,Phone_by_Sentiment!$B$2:$B$37,Phone_by_Sentiment!J$2:J$37,"",0,1)),_xlfn.XLOOKUP($C1560,Phone_by_Sentiment!$B$2:$B$37,Phone_by_Sentiment!J$2:J$37,"",0,1),0),$A1560-TEXT(DATEVALUE($D1560&amp;"-01"), "dd-mm-yyyy")),0),0)</f>
        <v>60</v>
      </c>
      <c r="K1560" cm="1">
        <f t="array" ref="K1560">IF($Q1560&gt;=0,IFERROR(generateSalesData($D1560, IF(ISNUMBER(_xlfn.XLOOKUP($C1560,Phone_by_Sentiment!$B$2:$B$37,Phone_by_Sentiment!K$2:K$37,"",0,1)),_xlfn.XLOOKUP($C1560,Phone_by_Sentiment!$B$2:$B$37,Phone_by_Sentiment!K$2:K$37,"",0,1),0),$A1560-TEXT(DATEVALUE($D1560&amp;"-01"), "dd-mm-yyyy")),0),0)</f>
        <v>73</v>
      </c>
      <c r="L1560" cm="1">
        <f t="array" ref="L1560">IF($Q1560&gt;=0,IFERROR(generateSalesData($D1560, IF(ISNUMBER(_xlfn.XLOOKUP($C1560,Phone_by_Sentiment!$B$2:$B$37,Phone_by_Sentiment!L$2:L$37,"",0,1)),_xlfn.XLOOKUP($C1560,Phone_by_Sentiment!$B$2:$B$37,Phone_by_Sentiment!L$2:L$37,"",0,1),0),$A1560-TEXT(DATEVALUE($D1560&amp;"-01"), "dd-mm-yyyy")),0),0)</f>
        <v>119</v>
      </c>
      <c r="M1560" cm="1">
        <f t="array" ref="M1560">IF($Q1560&gt;=0,IFERROR(generateSalesData($D1560, IF(ISNUMBER(_xlfn.XLOOKUP($C1560,Phone_by_Sentiment!$B$2:$B$37,Phone_by_Sentiment!M$2:M$37,"",0,1)),_xlfn.XLOOKUP($C1560,Phone_by_Sentiment!$B$2:$B$37,Phone_by_Sentiment!M$2:M$37,"",0,1),0),$A1560-TEXT(DATEVALUE($D1560&amp;"-01"), "dd-mm-yyyy")),0),0)</f>
        <v>532</v>
      </c>
      <c r="N1560" cm="1">
        <f t="array" ref="N1560">IF($Q1560&gt;=0,IFERROR(generateSalesData($D1560, IF(ISNUMBER(_xlfn.XLOOKUP($C1560,Phone_by_Sentiment!$B$2:$B$37,Phone_by_Sentiment!N$2:N$37,"",0,1)),_xlfn.XLOOKUP($C1560,Phone_by_Sentiment!$B$2:$B$37,Phone_by_Sentiment!N$2:N$37,"",0,1),0),$A1560-TEXT(DATEVALUE($D1560&amp;"-01"), "dd-mm-yyyy")),0),0)</f>
        <v>339</v>
      </c>
      <c r="O1560" cm="1">
        <f t="array" ref="O1560">IF($Q1560&gt;=0,IFERROR(generateSalesData($D1560, IF(ISNUMBER(_xlfn.XLOOKUP($C1560,Phone_by_Sentiment!$B$2:$B$37,Phone_by_Sentiment!O$2:O$37,"",0,1)),_xlfn.XLOOKUP($C1560,Phone_by_Sentiment!$B$2:$B$37,Phone_by_Sentiment!O$2:O$37,"",0,1),0),$A1560-TEXT(DATEVALUE($D1560&amp;"-01"), "dd-mm-yyyy")),0),0)</f>
        <v>68</v>
      </c>
      <c r="P1560" s="1">
        <f t="shared" si="61"/>
        <v>44228</v>
      </c>
      <c r="Q1560">
        <f t="shared" si="63"/>
        <v>577</v>
      </c>
    </row>
    <row r="1561" spans="1:17" x14ac:dyDescent="0.25">
      <c r="A1561" s="1">
        <f t="shared" si="62"/>
        <v>44805</v>
      </c>
      <c r="B1561" t="s">
        <v>164</v>
      </c>
      <c r="C1561" t="str">
        <f>_xlfn.XLOOKUP(B1561,Phone_by_Price!$A$2:$A$34,Phone_by_Price!$B$2:$B$34,"-",0,1)</f>
        <v>Vivo V20</v>
      </c>
      <c r="D1561" t="str">
        <f>_xlfn.XLOOKUP(C1561,Phone_by_Sentiment!$B$2:$B$37,Phone_by_Sentiment!$A$2:$A$37,"-",0,1)</f>
        <v>2020-10</v>
      </c>
      <c r="E1561" cm="1">
        <f t="array" ref="E1561">IF($Q1561&gt;=0,IFERROR(generateSalesData($D1561, IF(ISNUMBER(_xlfn.XLOOKUP($C1561,Phone_by_Sentiment!$B$2:$B$37,Phone_by_Sentiment!E$2:E$37,"",0,1)),_xlfn.XLOOKUP($C1561,Phone_by_Sentiment!$B$2:$B$37,Phone_by_Sentiment!E$2:E$37,"",0,1),0),$A1561-TEXT(DATEVALUE($D1561&amp;"-01"), "dd-mm-yyyy")),0),0)</f>
        <v>438</v>
      </c>
      <c r="F1561" cm="1">
        <f t="array" ref="F1561">IF($Q1561&gt;=0,IFERROR(generateSalesData($D1561, IF(ISNUMBER(_xlfn.XLOOKUP($C1561,Phone_by_Sentiment!$B$2:$B$37,Phone_by_Sentiment!F$2:F$37,"",0,1)),_xlfn.XLOOKUP($C1561,Phone_by_Sentiment!$B$2:$B$37,Phone_by_Sentiment!F$2:F$37,"",0,1),0),$A1561-TEXT(DATEVALUE($D1561&amp;"-01"), "dd-mm-yyyy")),0),0)</f>
        <v>105</v>
      </c>
      <c r="G1561" cm="1">
        <f t="array" ref="G1561">IF($Q1561&gt;=0,IFERROR(generateSalesData($D1561, IF(ISNUMBER(_xlfn.XLOOKUP($C1561,Phone_by_Sentiment!$B$2:$B$37,Phone_by_Sentiment!G$2:G$37,"",0,1)),_xlfn.XLOOKUP($C1561,Phone_by_Sentiment!$B$2:$B$37,Phone_by_Sentiment!G$2:G$37,"",0,1),0),$A1561-TEXT(DATEVALUE($D1561&amp;"-01"), "dd-mm-yyyy")),0),0)</f>
        <v>79</v>
      </c>
      <c r="H1561" cm="1">
        <f t="array" ref="H1561">IF($Q1561&gt;=0,IFERROR(generateSalesData($D1561, IF(ISNUMBER(_xlfn.XLOOKUP($C1561,Phone_by_Sentiment!$B$2:$B$37,Phone_by_Sentiment!H$2:H$37,"",0,1)),_xlfn.XLOOKUP($C1561,Phone_by_Sentiment!$B$2:$B$37,Phone_by_Sentiment!H$2:H$37,"",0,1),0),$A1561-TEXT(DATEVALUE($D1561&amp;"-01"), "dd-mm-yyyy")),0),0)</f>
        <v>29</v>
      </c>
      <c r="I1561" cm="1">
        <f t="array" ref="I1561">IF($Q1561&gt;=0,IFERROR(generateSalesData($D1561, IF(ISNUMBER(_xlfn.XLOOKUP($C1561,Phone_by_Sentiment!$B$2:$B$37,Phone_by_Sentiment!I$2:I$37,"",0,1)),_xlfn.XLOOKUP($C1561,Phone_by_Sentiment!$B$2:$B$37,Phone_by_Sentiment!I$2:I$37,"",0,1),0),$A1561-TEXT(DATEVALUE($D1561&amp;"-01"), "dd-mm-yyyy")),0),0)</f>
        <v>128</v>
      </c>
      <c r="J1561" cm="1">
        <f t="array" ref="J1561">IF($Q1561&gt;=0,IFERROR(generateSalesData($D1561, IF(ISNUMBER(_xlfn.XLOOKUP($C1561,Phone_by_Sentiment!$B$2:$B$37,Phone_by_Sentiment!J$2:J$37,"",0,1)),_xlfn.XLOOKUP($C1561,Phone_by_Sentiment!$B$2:$B$37,Phone_by_Sentiment!J$2:J$37,"",0,1),0),$A1561-TEXT(DATEVALUE($D1561&amp;"-01"), "dd-mm-yyyy")),0),0)</f>
        <v>137</v>
      </c>
      <c r="K1561" cm="1">
        <f t="array" ref="K1561">IF($Q1561&gt;=0,IFERROR(generateSalesData($D1561, IF(ISNUMBER(_xlfn.XLOOKUP($C1561,Phone_by_Sentiment!$B$2:$B$37,Phone_by_Sentiment!K$2:K$37,"",0,1)),_xlfn.XLOOKUP($C1561,Phone_by_Sentiment!$B$2:$B$37,Phone_by_Sentiment!K$2:K$37,"",0,1),0),$A1561-TEXT(DATEVALUE($D1561&amp;"-01"), "dd-mm-yyyy")),0),0)</f>
        <v>81</v>
      </c>
      <c r="L1561" cm="1">
        <f t="array" ref="L1561">IF($Q1561&gt;=0,IFERROR(generateSalesData($D1561, IF(ISNUMBER(_xlfn.XLOOKUP($C1561,Phone_by_Sentiment!$B$2:$B$37,Phone_by_Sentiment!L$2:L$37,"",0,1)),_xlfn.XLOOKUP($C1561,Phone_by_Sentiment!$B$2:$B$37,Phone_by_Sentiment!L$2:L$37,"",0,1),0),$A1561-TEXT(DATEVALUE($D1561&amp;"-01"), "dd-mm-yyyy")),0),0)</f>
        <v>119</v>
      </c>
      <c r="M1561" cm="1">
        <f t="array" ref="M1561">IF($Q1561&gt;=0,IFERROR(generateSalesData($D1561, IF(ISNUMBER(_xlfn.XLOOKUP($C1561,Phone_by_Sentiment!$B$2:$B$37,Phone_by_Sentiment!M$2:M$37,"",0,1)),_xlfn.XLOOKUP($C1561,Phone_by_Sentiment!$B$2:$B$37,Phone_by_Sentiment!M$2:M$37,"",0,1),0),$A1561-TEXT(DATEVALUE($D1561&amp;"-01"), "dd-mm-yyyy")),0),0)</f>
        <v>79</v>
      </c>
      <c r="N1561" cm="1">
        <f t="array" ref="N1561">IF($Q1561&gt;=0,IFERROR(generateSalesData($D1561, IF(ISNUMBER(_xlfn.XLOOKUP($C1561,Phone_by_Sentiment!$B$2:$B$37,Phone_by_Sentiment!N$2:N$37,"",0,1)),_xlfn.XLOOKUP($C1561,Phone_by_Sentiment!$B$2:$B$37,Phone_by_Sentiment!N$2:N$37,"",0,1),0),$A1561-TEXT(DATEVALUE($D1561&amp;"-01"), "dd-mm-yyyy")),0),0)</f>
        <v>144</v>
      </c>
      <c r="O1561" cm="1">
        <f t="array" ref="O1561">IF($Q1561&gt;=0,IFERROR(generateSalesData($D1561, IF(ISNUMBER(_xlfn.XLOOKUP($C1561,Phone_by_Sentiment!$B$2:$B$37,Phone_by_Sentiment!O$2:O$37,"",0,1)),_xlfn.XLOOKUP($C1561,Phone_by_Sentiment!$B$2:$B$37,Phone_by_Sentiment!O$2:O$37,"",0,1),0),$A1561-TEXT(DATEVALUE($D1561&amp;"-01"), "dd-mm-yyyy")),0),0)</f>
        <v>37</v>
      </c>
      <c r="P1561" s="1">
        <f t="shared" si="61"/>
        <v>44105</v>
      </c>
      <c r="Q1561">
        <f t="shared" si="63"/>
        <v>700</v>
      </c>
    </row>
    <row r="1562" spans="1:17" x14ac:dyDescent="0.25">
      <c r="A1562" s="1">
        <f t="shared" si="62"/>
        <v>44805</v>
      </c>
      <c r="B1562" t="s">
        <v>165</v>
      </c>
      <c r="C1562" t="str">
        <f>_xlfn.XLOOKUP(B1562,Phone_by_Price!$A$2:$A$34,Phone_by_Price!$B$2:$B$34,"-",0,1)</f>
        <v>Samsung Galaxy A50</v>
      </c>
      <c r="D1562" t="str">
        <f>_xlfn.XLOOKUP(C1562,Phone_by_Sentiment!$B$2:$B$37,Phone_by_Sentiment!$A$2:$A$37,"-",0,1)</f>
        <v>2019-05</v>
      </c>
      <c r="E1562" cm="1">
        <f t="array" ref="E1562">IF($Q1562&gt;=0,IFERROR(generateSalesData($D1562, IF(ISNUMBER(_xlfn.XLOOKUP($C1562,Phone_by_Sentiment!$B$2:$B$37,Phone_by_Sentiment!E$2:E$37,"",0,1)),_xlfn.XLOOKUP($C1562,Phone_by_Sentiment!$B$2:$B$37,Phone_by_Sentiment!E$2:E$37,"",0,1),0),$A1562-TEXT(DATEVALUE($D1562&amp;"-01"), "dd-mm-yyyy")),0),0)</f>
        <v>45</v>
      </c>
      <c r="F1562" cm="1">
        <f t="array" ref="F1562">IF($Q1562&gt;=0,IFERROR(generateSalesData($D1562, IF(ISNUMBER(_xlfn.XLOOKUP($C1562,Phone_by_Sentiment!$B$2:$B$37,Phone_by_Sentiment!F$2:F$37,"",0,1)),_xlfn.XLOOKUP($C1562,Phone_by_Sentiment!$B$2:$B$37,Phone_by_Sentiment!F$2:F$37,"",0,1),0),$A1562-TEXT(DATEVALUE($D1562&amp;"-01"), "dd-mm-yyyy")),0),0)</f>
        <v>47</v>
      </c>
      <c r="G1562" cm="1">
        <f t="array" ref="G1562">IF($Q1562&gt;=0,IFERROR(generateSalesData($D1562, IF(ISNUMBER(_xlfn.XLOOKUP($C1562,Phone_by_Sentiment!$B$2:$B$37,Phone_by_Sentiment!G$2:G$37,"",0,1)),_xlfn.XLOOKUP($C1562,Phone_by_Sentiment!$B$2:$B$37,Phone_by_Sentiment!G$2:G$37,"",0,1),0),$A1562-TEXT(DATEVALUE($D1562&amp;"-01"), "dd-mm-yyyy")),0),0)</f>
        <v>43</v>
      </c>
      <c r="H1562" cm="1">
        <f t="array" ref="H1562">IF($Q1562&gt;=0,IFERROR(generateSalesData($D1562, IF(ISNUMBER(_xlfn.XLOOKUP($C1562,Phone_by_Sentiment!$B$2:$B$37,Phone_by_Sentiment!H$2:H$37,"",0,1)),_xlfn.XLOOKUP($C1562,Phone_by_Sentiment!$B$2:$B$37,Phone_by_Sentiment!H$2:H$37,"",0,1),0),$A1562-TEXT(DATEVALUE($D1562&amp;"-01"), "dd-mm-yyyy")),0),0)</f>
        <v>99</v>
      </c>
      <c r="I1562" cm="1">
        <f t="array" ref="I1562">IF($Q1562&gt;=0,IFERROR(generateSalesData($D1562, IF(ISNUMBER(_xlfn.XLOOKUP($C1562,Phone_by_Sentiment!$B$2:$B$37,Phone_by_Sentiment!I$2:I$37,"",0,1)),_xlfn.XLOOKUP($C1562,Phone_by_Sentiment!$B$2:$B$37,Phone_by_Sentiment!I$2:I$37,"",0,1),0),$A1562-TEXT(DATEVALUE($D1562&amp;"-01"), "dd-mm-yyyy")),0),0)</f>
        <v>152</v>
      </c>
      <c r="J1562" cm="1">
        <f t="array" ref="J1562">IF($Q1562&gt;=0,IFERROR(generateSalesData($D1562, IF(ISNUMBER(_xlfn.XLOOKUP($C1562,Phone_by_Sentiment!$B$2:$B$37,Phone_by_Sentiment!J$2:J$37,"",0,1)),_xlfn.XLOOKUP($C1562,Phone_by_Sentiment!$B$2:$B$37,Phone_by_Sentiment!J$2:J$37,"",0,1),0),$A1562-TEXT(DATEVALUE($D1562&amp;"-01"), "dd-mm-yyyy")),0),0)</f>
        <v>29</v>
      </c>
      <c r="K1562" cm="1">
        <f t="array" ref="K1562">IF($Q1562&gt;=0,IFERROR(generateSalesData($D1562, IF(ISNUMBER(_xlfn.XLOOKUP($C1562,Phone_by_Sentiment!$B$2:$B$37,Phone_by_Sentiment!K$2:K$37,"",0,1)),_xlfn.XLOOKUP($C1562,Phone_by_Sentiment!$B$2:$B$37,Phone_by_Sentiment!K$2:K$37,"",0,1),0),$A1562-TEXT(DATEVALUE($D1562&amp;"-01"), "dd-mm-yyyy")),0),0)</f>
        <v>39</v>
      </c>
      <c r="L1562" cm="1">
        <f t="array" ref="L1562">IF($Q1562&gt;=0,IFERROR(generateSalesData($D1562, IF(ISNUMBER(_xlfn.XLOOKUP($C1562,Phone_by_Sentiment!$B$2:$B$37,Phone_by_Sentiment!L$2:L$37,"",0,1)),_xlfn.XLOOKUP($C1562,Phone_by_Sentiment!$B$2:$B$37,Phone_by_Sentiment!L$2:L$37,"",0,1),0),$A1562-TEXT(DATEVALUE($D1562&amp;"-01"), "dd-mm-yyyy")),0),0)</f>
        <v>133</v>
      </c>
      <c r="M1562" cm="1">
        <f t="array" ref="M1562">IF($Q1562&gt;=0,IFERROR(generateSalesData($D1562, IF(ISNUMBER(_xlfn.XLOOKUP($C1562,Phone_by_Sentiment!$B$2:$B$37,Phone_by_Sentiment!M$2:M$37,"",0,1)),_xlfn.XLOOKUP($C1562,Phone_by_Sentiment!$B$2:$B$37,Phone_by_Sentiment!M$2:M$37,"",0,1),0),$A1562-TEXT(DATEVALUE($D1562&amp;"-01"), "dd-mm-yyyy")),0),0)</f>
        <v>63</v>
      </c>
      <c r="N1562" cm="1">
        <f t="array" ref="N1562">IF($Q1562&gt;=0,IFERROR(generateSalesData($D1562, IF(ISNUMBER(_xlfn.XLOOKUP($C1562,Phone_by_Sentiment!$B$2:$B$37,Phone_by_Sentiment!N$2:N$37,"",0,1)),_xlfn.XLOOKUP($C1562,Phone_by_Sentiment!$B$2:$B$37,Phone_by_Sentiment!N$2:N$37,"",0,1),0),$A1562-TEXT(DATEVALUE($D1562&amp;"-01"), "dd-mm-yyyy")),0),0)</f>
        <v>299</v>
      </c>
      <c r="O1562" cm="1">
        <f t="array" ref="O1562">IF($Q1562&gt;=0,IFERROR(generateSalesData($D1562, IF(ISNUMBER(_xlfn.XLOOKUP($C1562,Phone_by_Sentiment!$B$2:$B$37,Phone_by_Sentiment!O$2:O$37,"",0,1)),_xlfn.XLOOKUP($C1562,Phone_by_Sentiment!$B$2:$B$37,Phone_by_Sentiment!O$2:O$37,"",0,1),0),$A1562-TEXT(DATEVALUE($D1562&amp;"-01"), "dd-mm-yyyy")),0),0)</f>
        <v>229</v>
      </c>
      <c r="P1562" s="1">
        <f t="shared" si="61"/>
        <v>43586</v>
      </c>
      <c r="Q1562">
        <f t="shared" si="63"/>
        <v>1219</v>
      </c>
    </row>
    <row r="1563" spans="1:17" x14ac:dyDescent="0.25">
      <c r="A1563" s="1">
        <f t="shared" si="62"/>
        <v>44805</v>
      </c>
      <c r="B1563" t="s">
        <v>166</v>
      </c>
      <c r="C1563" t="str">
        <f>_xlfn.XLOOKUP(B1563,Phone_by_Price!$A$2:$A$34,Phone_by_Price!$B$2:$B$34,"-",0,1)</f>
        <v>Xiaomi Redmi Note 7</v>
      </c>
      <c r="D1563" t="str">
        <f>_xlfn.XLOOKUP(C1563,Phone_by_Sentiment!$B$2:$B$37,Phone_by_Sentiment!$A$2:$A$37,"-",0,1)</f>
        <v>2019-08</v>
      </c>
      <c r="E1563" cm="1">
        <f t="array" ref="E1563">IF($Q1563&gt;=0,IFERROR(generateSalesData($D1563, IF(ISNUMBER(_xlfn.XLOOKUP($C1563,Phone_by_Sentiment!$B$2:$B$37,Phone_by_Sentiment!E$2:E$37,"",0,1)),_xlfn.XLOOKUP($C1563,Phone_by_Sentiment!$B$2:$B$37,Phone_by_Sentiment!E$2:E$37,"",0,1),0),$A1563-TEXT(DATEVALUE($D1563&amp;"-01"), "dd-mm-yyyy")),0),0)</f>
        <v>82</v>
      </c>
      <c r="F1563" cm="1">
        <f t="array" ref="F1563">IF($Q1563&gt;=0,IFERROR(generateSalesData($D1563, IF(ISNUMBER(_xlfn.XLOOKUP($C1563,Phone_by_Sentiment!$B$2:$B$37,Phone_by_Sentiment!F$2:F$37,"",0,1)),_xlfn.XLOOKUP($C1563,Phone_by_Sentiment!$B$2:$B$37,Phone_by_Sentiment!F$2:F$37,"",0,1),0),$A1563-TEXT(DATEVALUE($D1563&amp;"-01"), "dd-mm-yyyy")),0),0)</f>
        <v>64</v>
      </c>
      <c r="G1563" cm="1">
        <f t="array" ref="G1563">IF($Q1563&gt;=0,IFERROR(generateSalesData($D1563, IF(ISNUMBER(_xlfn.XLOOKUP($C1563,Phone_by_Sentiment!$B$2:$B$37,Phone_by_Sentiment!G$2:G$37,"",0,1)),_xlfn.XLOOKUP($C1563,Phone_by_Sentiment!$B$2:$B$37,Phone_by_Sentiment!G$2:G$37,"",0,1),0),$A1563-TEXT(DATEVALUE($D1563&amp;"-01"), "dd-mm-yyyy")),0),0)</f>
        <v>89</v>
      </c>
      <c r="H1563" cm="1">
        <f t="array" ref="H1563">IF($Q1563&gt;=0,IFERROR(generateSalesData($D1563, IF(ISNUMBER(_xlfn.XLOOKUP($C1563,Phone_by_Sentiment!$B$2:$B$37,Phone_by_Sentiment!H$2:H$37,"",0,1)),_xlfn.XLOOKUP($C1563,Phone_by_Sentiment!$B$2:$B$37,Phone_by_Sentiment!H$2:H$37,"",0,1),0),$A1563-TEXT(DATEVALUE($D1563&amp;"-01"), "dd-mm-yyyy")),0),0)</f>
        <v>77</v>
      </c>
      <c r="I1563" cm="1">
        <f t="array" ref="I1563">IF($Q1563&gt;=0,IFERROR(generateSalesData($D1563, IF(ISNUMBER(_xlfn.XLOOKUP($C1563,Phone_by_Sentiment!$B$2:$B$37,Phone_by_Sentiment!I$2:I$37,"",0,1)),_xlfn.XLOOKUP($C1563,Phone_by_Sentiment!$B$2:$B$37,Phone_by_Sentiment!I$2:I$37,"",0,1),0),$A1563-TEXT(DATEVALUE($D1563&amp;"-01"), "dd-mm-yyyy")),0),0)</f>
        <v>97</v>
      </c>
      <c r="J1563" cm="1">
        <f t="array" ref="J1563">IF($Q1563&gt;=0,IFERROR(generateSalesData($D1563, IF(ISNUMBER(_xlfn.XLOOKUP($C1563,Phone_by_Sentiment!$B$2:$B$37,Phone_by_Sentiment!J$2:J$37,"",0,1)),_xlfn.XLOOKUP($C1563,Phone_by_Sentiment!$B$2:$B$37,Phone_by_Sentiment!J$2:J$37,"",0,1),0),$A1563-TEXT(DATEVALUE($D1563&amp;"-01"), "dd-mm-yyyy")),0),0)</f>
        <v>86</v>
      </c>
      <c r="K1563" cm="1">
        <f t="array" ref="K1563">IF($Q1563&gt;=0,IFERROR(generateSalesData($D1563, IF(ISNUMBER(_xlfn.XLOOKUP($C1563,Phone_by_Sentiment!$B$2:$B$37,Phone_by_Sentiment!K$2:K$37,"",0,1)),_xlfn.XLOOKUP($C1563,Phone_by_Sentiment!$B$2:$B$37,Phone_by_Sentiment!K$2:K$37,"",0,1),0),$A1563-TEXT(DATEVALUE($D1563&amp;"-01"), "dd-mm-yyyy")),0),0)</f>
        <v>76</v>
      </c>
      <c r="L1563" cm="1">
        <f t="array" ref="L1563">IF($Q1563&gt;=0,IFERROR(generateSalesData($D1563, IF(ISNUMBER(_xlfn.XLOOKUP($C1563,Phone_by_Sentiment!$B$2:$B$37,Phone_by_Sentiment!L$2:L$37,"",0,1)),_xlfn.XLOOKUP($C1563,Phone_by_Sentiment!$B$2:$B$37,Phone_by_Sentiment!L$2:L$37,"",0,1),0),$A1563-TEXT(DATEVALUE($D1563&amp;"-01"), "dd-mm-yyyy")),0),0)</f>
        <v>78</v>
      </c>
      <c r="M1563" cm="1">
        <f t="array" ref="M1563">IF($Q1563&gt;=0,IFERROR(generateSalesData($D1563, IF(ISNUMBER(_xlfn.XLOOKUP($C1563,Phone_by_Sentiment!$B$2:$B$37,Phone_by_Sentiment!M$2:M$37,"",0,1)),_xlfn.XLOOKUP($C1563,Phone_by_Sentiment!$B$2:$B$37,Phone_by_Sentiment!M$2:M$37,"",0,1),0),$A1563-TEXT(DATEVALUE($D1563&amp;"-01"), "dd-mm-yyyy")),0),0)</f>
        <v>170</v>
      </c>
      <c r="N1563" cm="1">
        <f t="array" ref="N1563">IF($Q1563&gt;=0,IFERROR(generateSalesData($D1563, IF(ISNUMBER(_xlfn.XLOOKUP($C1563,Phone_by_Sentiment!$B$2:$B$37,Phone_by_Sentiment!N$2:N$37,"",0,1)),_xlfn.XLOOKUP($C1563,Phone_by_Sentiment!$B$2:$B$37,Phone_by_Sentiment!N$2:N$37,"",0,1),0),$A1563-TEXT(DATEVALUE($D1563&amp;"-01"), "dd-mm-yyyy")),0),0)</f>
        <v>59</v>
      </c>
      <c r="O1563" cm="1">
        <f t="array" ref="O1563">IF($Q1563&gt;=0,IFERROR(generateSalesData($D1563, IF(ISNUMBER(_xlfn.XLOOKUP($C1563,Phone_by_Sentiment!$B$2:$B$37,Phone_by_Sentiment!O$2:O$37,"",0,1)),_xlfn.XLOOKUP($C1563,Phone_by_Sentiment!$B$2:$B$37,Phone_by_Sentiment!O$2:O$37,"",0,1),0),$A1563-TEXT(DATEVALUE($D1563&amp;"-01"), "dd-mm-yyyy")),0),0)</f>
        <v>137</v>
      </c>
      <c r="P1563" s="1">
        <f t="shared" si="61"/>
        <v>43678</v>
      </c>
      <c r="Q1563">
        <f t="shared" si="63"/>
        <v>1127</v>
      </c>
    </row>
    <row r="1564" spans="1:17" x14ac:dyDescent="0.25">
      <c r="A1564" s="1">
        <f t="shared" si="62"/>
        <v>44805</v>
      </c>
      <c r="B1564" t="s">
        <v>167</v>
      </c>
      <c r="C1564" t="str">
        <f>_xlfn.XLOOKUP(B1564,Phone_by_Price!$A$2:$A$34,Phone_by_Price!$B$2:$B$34,"-",0,1)</f>
        <v>Realme C21</v>
      </c>
      <c r="D1564" t="str">
        <f>_xlfn.XLOOKUP(C1564,Phone_by_Sentiment!$B$2:$B$37,Phone_by_Sentiment!$A$2:$A$37,"-",0,1)</f>
        <v>2021-04</v>
      </c>
      <c r="E1564" cm="1">
        <f t="array" ref="E1564">IF($Q1564&gt;=0,IFERROR(generateSalesData($D1564, IF(ISNUMBER(_xlfn.XLOOKUP($C1564,Phone_by_Sentiment!$B$2:$B$37,Phone_by_Sentiment!E$2:E$37,"",0,1)),_xlfn.XLOOKUP($C1564,Phone_by_Sentiment!$B$2:$B$37,Phone_by_Sentiment!E$2:E$37,"",0,1),0),$A1564-TEXT(DATEVALUE($D1564&amp;"-01"), "dd-mm-yyyy")),0),0)</f>
        <v>123</v>
      </c>
      <c r="F1564" cm="1">
        <f t="array" ref="F1564">IF($Q1564&gt;=0,IFERROR(generateSalesData($D1564, IF(ISNUMBER(_xlfn.XLOOKUP($C1564,Phone_by_Sentiment!$B$2:$B$37,Phone_by_Sentiment!F$2:F$37,"",0,1)),_xlfn.XLOOKUP($C1564,Phone_by_Sentiment!$B$2:$B$37,Phone_by_Sentiment!F$2:F$37,"",0,1),0),$A1564-TEXT(DATEVALUE($D1564&amp;"-01"), "dd-mm-yyyy")),0),0)</f>
        <v>193</v>
      </c>
      <c r="G1564" cm="1">
        <f t="array" ref="G1564">IF($Q1564&gt;=0,IFERROR(generateSalesData($D1564, IF(ISNUMBER(_xlfn.XLOOKUP($C1564,Phone_by_Sentiment!$B$2:$B$37,Phone_by_Sentiment!G$2:G$37,"",0,1)),_xlfn.XLOOKUP($C1564,Phone_by_Sentiment!$B$2:$B$37,Phone_by_Sentiment!G$2:G$37,"",0,1),0),$A1564-TEXT(DATEVALUE($D1564&amp;"-01"), "dd-mm-yyyy")),0),0)</f>
        <v>121</v>
      </c>
      <c r="H1564" cm="1">
        <f t="array" ref="H1564">IF($Q1564&gt;=0,IFERROR(generateSalesData($D1564, IF(ISNUMBER(_xlfn.XLOOKUP($C1564,Phone_by_Sentiment!$B$2:$B$37,Phone_by_Sentiment!H$2:H$37,"",0,1)),_xlfn.XLOOKUP($C1564,Phone_by_Sentiment!$B$2:$B$37,Phone_by_Sentiment!H$2:H$37,"",0,1),0),$A1564-TEXT(DATEVALUE($D1564&amp;"-01"), "dd-mm-yyyy")),0),0)</f>
        <v>885</v>
      </c>
      <c r="I1564" cm="1">
        <f t="array" ref="I1564">IF($Q1564&gt;=0,IFERROR(generateSalesData($D1564, IF(ISNUMBER(_xlfn.XLOOKUP($C1564,Phone_by_Sentiment!$B$2:$B$37,Phone_by_Sentiment!I$2:I$37,"",0,1)),_xlfn.XLOOKUP($C1564,Phone_by_Sentiment!$B$2:$B$37,Phone_by_Sentiment!I$2:I$37,"",0,1),0),$A1564-TEXT(DATEVALUE($D1564&amp;"-01"), "dd-mm-yyyy")),0),0)</f>
        <v>758</v>
      </c>
      <c r="J1564" cm="1">
        <f t="array" ref="J1564">IF($Q1564&gt;=0,IFERROR(generateSalesData($D1564, IF(ISNUMBER(_xlfn.XLOOKUP($C1564,Phone_by_Sentiment!$B$2:$B$37,Phone_by_Sentiment!J$2:J$37,"",0,1)),_xlfn.XLOOKUP($C1564,Phone_by_Sentiment!$B$2:$B$37,Phone_by_Sentiment!J$2:J$37,"",0,1),0),$A1564-TEXT(DATEVALUE($D1564&amp;"-01"), "dd-mm-yyyy")),0),0)</f>
        <v>36</v>
      </c>
      <c r="K1564" cm="1">
        <f t="array" ref="K1564">IF($Q1564&gt;=0,IFERROR(generateSalesData($D1564, IF(ISNUMBER(_xlfn.XLOOKUP($C1564,Phone_by_Sentiment!$B$2:$B$37,Phone_by_Sentiment!K$2:K$37,"",0,1)),_xlfn.XLOOKUP($C1564,Phone_by_Sentiment!$B$2:$B$37,Phone_by_Sentiment!K$2:K$37,"",0,1),0),$A1564-TEXT(DATEVALUE($D1564&amp;"-01"), "dd-mm-yyyy")),0),0)</f>
        <v>469</v>
      </c>
      <c r="L1564" cm="1">
        <f t="array" ref="L1564">IF($Q1564&gt;=0,IFERROR(generateSalesData($D1564, IF(ISNUMBER(_xlfn.XLOOKUP($C1564,Phone_by_Sentiment!$B$2:$B$37,Phone_by_Sentiment!L$2:L$37,"",0,1)),_xlfn.XLOOKUP($C1564,Phone_by_Sentiment!$B$2:$B$37,Phone_by_Sentiment!L$2:L$37,"",0,1),0),$A1564-TEXT(DATEVALUE($D1564&amp;"-01"), "dd-mm-yyyy")),0),0)</f>
        <v>549</v>
      </c>
      <c r="M1564" cm="1">
        <f t="array" ref="M1564">IF($Q1564&gt;=0,IFERROR(generateSalesData($D1564, IF(ISNUMBER(_xlfn.XLOOKUP($C1564,Phone_by_Sentiment!$B$2:$B$37,Phone_by_Sentiment!M$2:M$37,"",0,1)),_xlfn.XLOOKUP($C1564,Phone_by_Sentiment!$B$2:$B$37,Phone_by_Sentiment!M$2:M$37,"",0,1),0),$A1564-TEXT(DATEVALUE($D1564&amp;"-01"), "dd-mm-yyyy")),0),0)</f>
        <v>173</v>
      </c>
      <c r="N1564" cm="1">
        <f t="array" ref="N1564">IF($Q1564&gt;=0,IFERROR(generateSalesData($D1564, IF(ISNUMBER(_xlfn.XLOOKUP($C1564,Phone_by_Sentiment!$B$2:$B$37,Phone_by_Sentiment!N$2:N$37,"",0,1)),_xlfn.XLOOKUP($C1564,Phone_by_Sentiment!$B$2:$B$37,Phone_by_Sentiment!N$2:N$37,"",0,1),0),$A1564-TEXT(DATEVALUE($D1564&amp;"-01"), "dd-mm-yyyy")),0),0)</f>
        <v>444</v>
      </c>
      <c r="O1564" cm="1">
        <f t="array" ref="O1564">IF($Q1564&gt;=0,IFERROR(generateSalesData($D1564, IF(ISNUMBER(_xlfn.XLOOKUP($C1564,Phone_by_Sentiment!$B$2:$B$37,Phone_by_Sentiment!O$2:O$37,"",0,1)),_xlfn.XLOOKUP($C1564,Phone_by_Sentiment!$B$2:$B$37,Phone_by_Sentiment!O$2:O$37,"",0,1),0),$A1564-TEXT(DATEVALUE($D1564&amp;"-01"), "dd-mm-yyyy")),0),0)</f>
        <v>103</v>
      </c>
      <c r="P1564" s="1">
        <f t="shared" si="61"/>
        <v>44287</v>
      </c>
      <c r="Q1564">
        <f t="shared" si="63"/>
        <v>518</v>
      </c>
    </row>
    <row r="1565" spans="1:17" x14ac:dyDescent="0.25">
      <c r="A1565" s="1">
        <f t="shared" si="62"/>
        <v>44805</v>
      </c>
      <c r="B1565" t="s">
        <v>168</v>
      </c>
      <c r="C1565" t="str">
        <f>_xlfn.XLOOKUP(B1565,Phone_by_Price!$A$2:$A$34,Phone_by_Price!$B$2:$B$34,"-",0,1)</f>
        <v>Google Pixel 4</v>
      </c>
      <c r="D1565" t="str">
        <f>_xlfn.XLOOKUP(C1565,Phone_by_Sentiment!$B$2:$B$37,Phone_by_Sentiment!$A$2:$A$37,"-",0,1)</f>
        <v>2019-09</v>
      </c>
      <c r="E1565" cm="1">
        <f t="array" ref="E1565">IF($Q1565&gt;=0,IFERROR(generateSalesData($D1565, IF(ISNUMBER(_xlfn.XLOOKUP($C1565,Phone_by_Sentiment!$B$2:$B$37,Phone_by_Sentiment!E$2:E$37,"",0,1)),_xlfn.XLOOKUP($C1565,Phone_by_Sentiment!$B$2:$B$37,Phone_by_Sentiment!E$2:E$37,"",0,1),0),$A1565-TEXT(DATEVALUE($D1565&amp;"-01"), "dd-mm-yyyy")),0),0)</f>
        <v>204</v>
      </c>
      <c r="F1565" cm="1">
        <f t="array" ref="F1565">IF($Q1565&gt;=0,IFERROR(generateSalesData($D1565, IF(ISNUMBER(_xlfn.XLOOKUP($C1565,Phone_by_Sentiment!$B$2:$B$37,Phone_by_Sentiment!F$2:F$37,"",0,1)),_xlfn.XLOOKUP($C1565,Phone_by_Sentiment!$B$2:$B$37,Phone_by_Sentiment!F$2:F$37,"",0,1),0),$A1565-TEXT(DATEVALUE($D1565&amp;"-01"), "dd-mm-yyyy")),0),0)</f>
        <v>59</v>
      </c>
      <c r="G1565" cm="1">
        <f t="array" ref="G1565">IF($Q1565&gt;=0,IFERROR(generateSalesData($D1565, IF(ISNUMBER(_xlfn.XLOOKUP($C1565,Phone_by_Sentiment!$B$2:$B$37,Phone_by_Sentiment!G$2:G$37,"",0,1)),_xlfn.XLOOKUP($C1565,Phone_by_Sentiment!$B$2:$B$37,Phone_by_Sentiment!G$2:G$37,"",0,1),0),$A1565-TEXT(DATEVALUE($D1565&amp;"-01"), "dd-mm-yyyy")),0),0)</f>
        <v>64</v>
      </c>
      <c r="H1565" cm="1">
        <f t="array" ref="H1565">IF($Q1565&gt;=0,IFERROR(generateSalesData($D1565, IF(ISNUMBER(_xlfn.XLOOKUP($C1565,Phone_by_Sentiment!$B$2:$B$37,Phone_by_Sentiment!H$2:H$37,"",0,1)),_xlfn.XLOOKUP($C1565,Phone_by_Sentiment!$B$2:$B$37,Phone_by_Sentiment!H$2:H$37,"",0,1),0),$A1565-TEXT(DATEVALUE($D1565&amp;"-01"), "dd-mm-yyyy")),0),0)</f>
        <v>102</v>
      </c>
      <c r="I1565" cm="1">
        <f t="array" ref="I1565">IF($Q1565&gt;=0,IFERROR(generateSalesData($D1565, IF(ISNUMBER(_xlfn.XLOOKUP($C1565,Phone_by_Sentiment!$B$2:$B$37,Phone_by_Sentiment!I$2:I$37,"",0,1)),_xlfn.XLOOKUP($C1565,Phone_by_Sentiment!$B$2:$B$37,Phone_by_Sentiment!I$2:I$37,"",0,1),0),$A1565-TEXT(DATEVALUE($D1565&amp;"-01"), "dd-mm-yyyy")),0),0)</f>
        <v>89</v>
      </c>
      <c r="J1565" cm="1">
        <f t="array" ref="J1565">IF($Q1565&gt;=0,IFERROR(generateSalesData($D1565, IF(ISNUMBER(_xlfn.XLOOKUP($C1565,Phone_by_Sentiment!$B$2:$B$37,Phone_by_Sentiment!J$2:J$37,"",0,1)),_xlfn.XLOOKUP($C1565,Phone_by_Sentiment!$B$2:$B$37,Phone_by_Sentiment!J$2:J$37,"",0,1),0),$A1565-TEXT(DATEVALUE($D1565&amp;"-01"), "dd-mm-yyyy")),0),0)</f>
        <v>109</v>
      </c>
      <c r="K1565" cm="1">
        <f t="array" ref="K1565">IF($Q1565&gt;=0,IFERROR(generateSalesData($D1565, IF(ISNUMBER(_xlfn.XLOOKUP($C1565,Phone_by_Sentiment!$B$2:$B$37,Phone_by_Sentiment!K$2:K$37,"",0,1)),_xlfn.XLOOKUP($C1565,Phone_by_Sentiment!$B$2:$B$37,Phone_by_Sentiment!K$2:K$37,"",0,1),0),$A1565-TEXT(DATEVALUE($D1565&amp;"-01"), "dd-mm-yyyy")),0),0)</f>
        <v>43</v>
      </c>
      <c r="L1565" cm="1">
        <f t="array" ref="L1565">IF($Q1565&gt;=0,IFERROR(generateSalesData($D1565, IF(ISNUMBER(_xlfn.XLOOKUP($C1565,Phone_by_Sentiment!$B$2:$B$37,Phone_by_Sentiment!L$2:L$37,"",0,1)),_xlfn.XLOOKUP($C1565,Phone_by_Sentiment!$B$2:$B$37,Phone_by_Sentiment!L$2:L$37,"",0,1),0),$A1565-TEXT(DATEVALUE($D1565&amp;"-01"), "dd-mm-yyyy")),0),0)</f>
        <v>343</v>
      </c>
      <c r="M1565" cm="1">
        <f t="array" ref="M1565">IF($Q1565&gt;=0,IFERROR(generateSalesData($D1565, IF(ISNUMBER(_xlfn.XLOOKUP($C1565,Phone_by_Sentiment!$B$2:$B$37,Phone_by_Sentiment!M$2:M$37,"",0,1)),_xlfn.XLOOKUP($C1565,Phone_by_Sentiment!$B$2:$B$37,Phone_by_Sentiment!M$2:M$37,"",0,1),0),$A1565-TEXT(DATEVALUE($D1565&amp;"-01"), "dd-mm-yyyy")),0),0)</f>
        <v>59</v>
      </c>
      <c r="N1565" cm="1">
        <f t="array" ref="N1565">IF($Q1565&gt;=0,IFERROR(generateSalesData($D1565, IF(ISNUMBER(_xlfn.XLOOKUP($C1565,Phone_by_Sentiment!$B$2:$B$37,Phone_by_Sentiment!N$2:N$37,"",0,1)),_xlfn.XLOOKUP($C1565,Phone_by_Sentiment!$B$2:$B$37,Phone_by_Sentiment!N$2:N$37,"",0,1),0),$A1565-TEXT(DATEVALUE($D1565&amp;"-01"), "dd-mm-yyyy")),0),0)</f>
        <v>256</v>
      </c>
      <c r="O1565" cm="1">
        <f t="array" ref="O1565">IF($Q1565&gt;=0,IFERROR(generateSalesData($D1565, IF(ISNUMBER(_xlfn.XLOOKUP($C1565,Phone_by_Sentiment!$B$2:$B$37,Phone_by_Sentiment!O$2:O$37,"",0,1)),_xlfn.XLOOKUP($C1565,Phone_by_Sentiment!$B$2:$B$37,Phone_by_Sentiment!O$2:O$37,"",0,1),0),$A1565-TEXT(DATEVALUE($D1565&amp;"-01"), "dd-mm-yyyy")),0),0)</f>
        <v>55</v>
      </c>
      <c r="P1565" s="1">
        <f t="shared" si="61"/>
        <v>43709</v>
      </c>
      <c r="Q1565">
        <f t="shared" si="63"/>
        <v>1096</v>
      </c>
    </row>
    <row r="1566" spans="1:17" x14ac:dyDescent="0.25">
      <c r="A1566" s="1">
        <f t="shared" si="62"/>
        <v>44805</v>
      </c>
      <c r="B1566" t="s">
        <v>169</v>
      </c>
      <c r="C1566" t="str">
        <f>_xlfn.XLOOKUP(B1566,Phone_by_Price!$A$2:$A$34,Phone_by_Price!$B$2:$B$34,"-",0,1)</f>
        <v>Samsung Galaxy A10s</v>
      </c>
      <c r="D1566" t="str">
        <f>_xlfn.XLOOKUP(C1566,Phone_by_Sentiment!$B$2:$B$37,Phone_by_Sentiment!$A$2:$A$37,"-",0,1)</f>
        <v>2019-08</v>
      </c>
      <c r="E1566" cm="1">
        <f t="array" ref="E1566">IF($Q1566&gt;=0,IFERROR(generateSalesData($D1566, IF(ISNUMBER(_xlfn.XLOOKUP($C1566,Phone_by_Sentiment!$B$2:$B$37,Phone_by_Sentiment!E$2:E$37,"",0,1)),_xlfn.XLOOKUP($C1566,Phone_by_Sentiment!$B$2:$B$37,Phone_by_Sentiment!E$2:E$37,"",0,1),0),$A1566-TEXT(DATEVALUE($D1566&amp;"-01"), "dd-mm-yyyy")),0),0)</f>
        <v>73</v>
      </c>
      <c r="F1566" cm="1">
        <f t="array" ref="F1566">IF($Q1566&gt;=0,IFERROR(generateSalesData($D1566, IF(ISNUMBER(_xlfn.XLOOKUP($C1566,Phone_by_Sentiment!$B$2:$B$37,Phone_by_Sentiment!F$2:F$37,"",0,1)),_xlfn.XLOOKUP($C1566,Phone_by_Sentiment!$B$2:$B$37,Phone_by_Sentiment!F$2:F$37,"",0,1),0),$A1566-TEXT(DATEVALUE($D1566&amp;"-01"), "dd-mm-yyyy")),0),0)</f>
        <v>229</v>
      </c>
      <c r="G1566" cm="1">
        <f t="array" ref="G1566">IF($Q1566&gt;=0,IFERROR(generateSalesData($D1566, IF(ISNUMBER(_xlfn.XLOOKUP($C1566,Phone_by_Sentiment!$B$2:$B$37,Phone_by_Sentiment!G$2:G$37,"",0,1)),_xlfn.XLOOKUP($C1566,Phone_by_Sentiment!$B$2:$B$37,Phone_by_Sentiment!G$2:G$37,"",0,1),0),$A1566-TEXT(DATEVALUE($D1566&amp;"-01"), "dd-mm-yyyy")),0),0)</f>
        <v>35</v>
      </c>
      <c r="H1566" cm="1">
        <f t="array" ref="H1566">IF($Q1566&gt;=0,IFERROR(generateSalesData($D1566, IF(ISNUMBER(_xlfn.XLOOKUP($C1566,Phone_by_Sentiment!$B$2:$B$37,Phone_by_Sentiment!H$2:H$37,"",0,1)),_xlfn.XLOOKUP($C1566,Phone_by_Sentiment!$B$2:$B$37,Phone_by_Sentiment!H$2:H$37,"",0,1),0),$A1566-TEXT(DATEVALUE($D1566&amp;"-01"), "dd-mm-yyyy")),0),0)</f>
        <v>175</v>
      </c>
      <c r="I1566" cm="1">
        <f t="array" ref="I1566">IF($Q1566&gt;=0,IFERROR(generateSalesData($D1566, IF(ISNUMBER(_xlfn.XLOOKUP($C1566,Phone_by_Sentiment!$B$2:$B$37,Phone_by_Sentiment!I$2:I$37,"",0,1)),_xlfn.XLOOKUP($C1566,Phone_by_Sentiment!$B$2:$B$37,Phone_by_Sentiment!I$2:I$37,"",0,1),0),$A1566-TEXT(DATEVALUE($D1566&amp;"-01"), "dd-mm-yyyy")),0),0)</f>
        <v>168</v>
      </c>
      <c r="J1566" cm="1">
        <f t="array" ref="J1566">IF($Q1566&gt;=0,IFERROR(generateSalesData($D1566, IF(ISNUMBER(_xlfn.XLOOKUP($C1566,Phone_by_Sentiment!$B$2:$B$37,Phone_by_Sentiment!J$2:J$37,"",0,1)),_xlfn.XLOOKUP($C1566,Phone_by_Sentiment!$B$2:$B$37,Phone_by_Sentiment!J$2:J$37,"",0,1),0),$A1566-TEXT(DATEVALUE($D1566&amp;"-01"), "dd-mm-yyyy")),0),0)</f>
        <v>151</v>
      </c>
      <c r="K1566" cm="1">
        <f t="array" ref="K1566">IF($Q1566&gt;=0,IFERROR(generateSalesData($D1566, IF(ISNUMBER(_xlfn.XLOOKUP($C1566,Phone_by_Sentiment!$B$2:$B$37,Phone_by_Sentiment!K$2:K$37,"",0,1)),_xlfn.XLOOKUP($C1566,Phone_by_Sentiment!$B$2:$B$37,Phone_by_Sentiment!K$2:K$37,"",0,1),0),$A1566-TEXT(DATEVALUE($D1566&amp;"-01"), "dd-mm-yyyy")),0),0)</f>
        <v>182</v>
      </c>
      <c r="L1566" cm="1">
        <f t="array" ref="L1566">IF($Q1566&gt;=0,IFERROR(generateSalesData($D1566, IF(ISNUMBER(_xlfn.XLOOKUP($C1566,Phone_by_Sentiment!$B$2:$B$37,Phone_by_Sentiment!L$2:L$37,"",0,1)),_xlfn.XLOOKUP($C1566,Phone_by_Sentiment!$B$2:$B$37,Phone_by_Sentiment!L$2:L$37,"",0,1),0),$A1566-TEXT(DATEVALUE($D1566&amp;"-01"), "dd-mm-yyyy")),0),0)</f>
        <v>70</v>
      </c>
      <c r="M1566" cm="1">
        <f t="array" ref="M1566">IF($Q1566&gt;=0,IFERROR(generateSalesData($D1566, IF(ISNUMBER(_xlfn.XLOOKUP($C1566,Phone_by_Sentiment!$B$2:$B$37,Phone_by_Sentiment!M$2:M$37,"",0,1)),_xlfn.XLOOKUP($C1566,Phone_by_Sentiment!$B$2:$B$37,Phone_by_Sentiment!M$2:M$37,"",0,1),0),$A1566-TEXT(DATEVALUE($D1566&amp;"-01"), "dd-mm-yyyy")),0),0)</f>
        <v>270</v>
      </c>
      <c r="N1566" cm="1">
        <f t="array" ref="N1566">IF($Q1566&gt;=0,IFERROR(generateSalesData($D1566, IF(ISNUMBER(_xlfn.XLOOKUP($C1566,Phone_by_Sentiment!$B$2:$B$37,Phone_by_Sentiment!N$2:N$37,"",0,1)),_xlfn.XLOOKUP($C1566,Phone_by_Sentiment!$B$2:$B$37,Phone_by_Sentiment!N$2:N$37,"",0,1),0),$A1566-TEXT(DATEVALUE($D1566&amp;"-01"), "dd-mm-yyyy")),0),0)</f>
        <v>29</v>
      </c>
      <c r="O1566" cm="1">
        <f t="array" ref="O1566">IF($Q1566&gt;=0,IFERROR(generateSalesData($D1566, IF(ISNUMBER(_xlfn.XLOOKUP($C1566,Phone_by_Sentiment!$B$2:$B$37,Phone_by_Sentiment!O$2:O$37,"",0,1)),_xlfn.XLOOKUP($C1566,Phone_by_Sentiment!$B$2:$B$37,Phone_by_Sentiment!O$2:O$37,"",0,1),0),$A1566-TEXT(DATEVALUE($D1566&amp;"-01"), "dd-mm-yyyy")),0),0)</f>
        <v>120</v>
      </c>
      <c r="P1566" s="1">
        <f t="shared" si="61"/>
        <v>43678</v>
      </c>
      <c r="Q1566">
        <f t="shared" si="63"/>
        <v>1127</v>
      </c>
    </row>
    <row r="1567" spans="1:17" x14ac:dyDescent="0.25">
      <c r="A1567" s="1">
        <f t="shared" si="62"/>
        <v>44805</v>
      </c>
      <c r="B1567" t="s">
        <v>170</v>
      </c>
      <c r="C1567" t="str">
        <f>_xlfn.XLOOKUP(B1567,Phone_by_Price!$A$2:$A$34,Phone_by_Price!$B$2:$B$34,"-",0,1)</f>
        <v>Realme Narzo 30A</v>
      </c>
      <c r="D1567" t="str">
        <f>_xlfn.XLOOKUP(C1567,Phone_by_Sentiment!$B$2:$B$37,Phone_by_Sentiment!$A$2:$A$37,"-",0,1)</f>
        <v>2021-02</v>
      </c>
      <c r="E1567" cm="1">
        <f t="array" ref="E1567">IF($Q1567&gt;=0,IFERROR(generateSalesData($D1567, IF(ISNUMBER(_xlfn.XLOOKUP($C1567,Phone_by_Sentiment!$B$2:$B$37,Phone_by_Sentiment!E$2:E$37,"",0,1)),_xlfn.XLOOKUP($C1567,Phone_by_Sentiment!$B$2:$B$37,Phone_by_Sentiment!E$2:E$37,"",0,1),0),$A1567-TEXT(DATEVALUE($D1567&amp;"-01"), "dd-mm-yyyy")),0),0)</f>
        <v>165</v>
      </c>
      <c r="F1567" cm="1">
        <f t="array" ref="F1567">IF($Q1567&gt;=0,IFERROR(generateSalesData($D1567, IF(ISNUMBER(_xlfn.XLOOKUP($C1567,Phone_by_Sentiment!$B$2:$B$37,Phone_by_Sentiment!F$2:F$37,"",0,1)),_xlfn.XLOOKUP($C1567,Phone_by_Sentiment!$B$2:$B$37,Phone_by_Sentiment!F$2:F$37,"",0,1),0),$A1567-TEXT(DATEVALUE($D1567&amp;"-01"), "dd-mm-yyyy")),0),0)</f>
        <v>98</v>
      </c>
      <c r="G1567" cm="1">
        <f t="array" ref="G1567">IF($Q1567&gt;=0,IFERROR(generateSalesData($D1567, IF(ISNUMBER(_xlfn.XLOOKUP($C1567,Phone_by_Sentiment!$B$2:$B$37,Phone_by_Sentiment!G$2:G$37,"",0,1)),_xlfn.XLOOKUP($C1567,Phone_by_Sentiment!$B$2:$B$37,Phone_by_Sentiment!G$2:G$37,"",0,1),0),$A1567-TEXT(DATEVALUE($D1567&amp;"-01"), "dd-mm-yyyy")),0),0)</f>
        <v>192</v>
      </c>
      <c r="H1567" cm="1">
        <f t="array" ref="H1567">IF($Q1567&gt;=0,IFERROR(generateSalesData($D1567, IF(ISNUMBER(_xlfn.XLOOKUP($C1567,Phone_by_Sentiment!$B$2:$B$37,Phone_by_Sentiment!H$2:H$37,"",0,1)),_xlfn.XLOOKUP($C1567,Phone_by_Sentiment!$B$2:$B$37,Phone_by_Sentiment!H$2:H$37,"",0,1),0),$A1567-TEXT(DATEVALUE($D1567&amp;"-01"), "dd-mm-yyyy")),0),0)</f>
        <v>363</v>
      </c>
      <c r="I1567" cm="1">
        <f t="array" ref="I1567">IF($Q1567&gt;=0,IFERROR(generateSalesData($D1567, IF(ISNUMBER(_xlfn.XLOOKUP($C1567,Phone_by_Sentiment!$B$2:$B$37,Phone_by_Sentiment!I$2:I$37,"",0,1)),_xlfn.XLOOKUP($C1567,Phone_by_Sentiment!$B$2:$B$37,Phone_by_Sentiment!I$2:I$37,"",0,1),0),$A1567-TEXT(DATEVALUE($D1567&amp;"-01"), "dd-mm-yyyy")),0),0)</f>
        <v>150</v>
      </c>
      <c r="J1567" cm="1">
        <f t="array" ref="J1567">IF($Q1567&gt;=0,IFERROR(generateSalesData($D1567, IF(ISNUMBER(_xlfn.XLOOKUP($C1567,Phone_by_Sentiment!$B$2:$B$37,Phone_by_Sentiment!J$2:J$37,"",0,1)),_xlfn.XLOOKUP($C1567,Phone_by_Sentiment!$B$2:$B$37,Phone_by_Sentiment!J$2:J$37,"",0,1),0),$A1567-TEXT(DATEVALUE($D1567&amp;"-01"), "dd-mm-yyyy")),0),0)</f>
        <v>25</v>
      </c>
      <c r="K1567" cm="1">
        <f t="array" ref="K1567">IF($Q1567&gt;=0,IFERROR(generateSalesData($D1567, IF(ISNUMBER(_xlfn.XLOOKUP($C1567,Phone_by_Sentiment!$B$2:$B$37,Phone_by_Sentiment!K$2:K$37,"",0,1)),_xlfn.XLOOKUP($C1567,Phone_by_Sentiment!$B$2:$B$37,Phone_by_Sentiment!K$2:K$37,"",0,1),0),$A1567-TEXT(DATEVALUE($D1567&amp;"-01"), "dd-mm-yyyy")),0),0)</f>
        <v>291</v>
      </c>
      <c r="L1567" cm="1">
        <f t="array" ref="L1567">IF($Q1567&gt;=0,IFERROR(generateSalesData($D1567, IF(ISNUMBER(_xlfn.XLOOKUP($C1567,Phone_by_Sentiment!$B$2:$B$37,Phone_by_Sentiment!L$2:L$37,"",0,1)),_xlfn.XLOOKUP($C1567,Phone_by_Sentiment!$B$2:$B$37,Phone_by_Sentiment!L$2:L$37,"",0,1),0),$A1567-TEXT(DATEVALUE($D1567&amp;"-01"), "dd-mm-yyyy")),0),0)</f>
        <v>206</v>
      </c>
      <c r="M1567" cm="1">
        <f t="array" ref="M1567">IF($Q1567&gt;=0,IFERROR(generateSalesData($D1567, IF(ISNUMBER(_xlfn.XLOOKUP($C1567,Phone_by_Sentiment!$B$2:$B$37,Phone_by_Sentiment!M$2:M$37,"",0,1)),_xlfn.XLOOKUP($C1567,Phone_by_Sentiment!$B$2:$B$37,Phone_by_Sentiment!M$2:M$37,"",0,1),0),$A1567-TEXT(DATEVALUE($D1567&amp;"-01"), "dd-mm-yyyy")),0),0)</f>
        <v>144</v>
      </c>
      <c r="N1567" cm="1">
        <f t="array" ref="N1567">IF($Q1567&gt;=0,IFERROR(generateSalesData($D1567, IF(ISNUMBER(_xlfn.XLOOKUP($C1567,Phone_by_Sentiment!$B$2:$B$37,Phone_by_Sentiment!N$2:N$37,"",0,1)),_xlfn.XLOOKUP($C1567,Phone_by_Sentiment!$B$2:$B$37,Phone_by_Sentiment!N$2:N$37,"",0,1),0),$A1567-TEXT(DATEVALUE($D1567&amp;"-01"), "dd-mm-yyyy")),0),0)</f>
        <v>447</v>
      </c>
      <c r="O1567" cm="1">
        <f t="array" ref="O1567">IF($Q1567&gt;=0,IFERROR(generateSalesData($D1567, IF(ISNUMBER(_xlfn.XLOOKUP($C1567,Phone_by_Sentiment!$B$2:$B$37,Phone_by_Sentiment!O$2:O$37,"",0,1)),_xlfn.XLOOKUP($C1567,Phone_by_Sentiment!$B$2:$B$37,Phone_by_Sentiment!O$2:O$37,"",0,1),0),$A1567-TEXT(DATEVALUE($D1567&amp;"-01"), "dd-mm-yyyy")),0),0)</f>
        <v>135</v>
      </c>
      <c r="P1567" s="1">
        <f t="shared" si="61"/>
        <v>44228</v>
      </c>
      <c r="Q1567">
        <f t="shared" si="63"/>
        <v>577</v>
      </c>
    </row>
    <row r="1568" spans="1:17" x14ac:dyDescent="0.25">
      <c r="A1568" s="1">
        <f t="shared" si="62"/>
        <v>44805</v>
      </c>
      <c r="B1568" t="s">
        <v>171</v>
      </c>
      <c r="C1568" t="str">
        <f>_xlfn.XLOOKUP(B1568,Phone_by_Price!$A$2:$A$34,Phone_by_Price!$B$2:$B$34,"-",0,1)</f>
        <v>Samsung Galaxy A22 5G</v>
      </c>
      <c r="D1568" t="str">
        <f>_xlfn.XLOOKUP(C1568,Phone_by_Sentiment!$B$2:$B$37,Phone_by_Sentiment!$A$2:$A$37,"-",0,1)</f>
        <v>2021-05</v>
      </c>
      <c r="E1568" cm="1">
        <f t="array" ref="E1568">IF($Q1568&gt;=0,IFERROR(generateSalesData($D1568, IF(ISNUMBER(_xlfn.XLOOKUP($C1568,Phone_by_Sentiment!$B$2:$B$37,Phone_by_Sentiment!E$2:E$37,"",0,1)),_xlfn.XLOOKUP($C1568,Phone_by_Sentiment!$B$2:$B$37,Phone_by_Sentiment!E$2:E$37,"",0,1),0),$A1568-TEXT(DATEVALUE($D1568&amp;"-01"), "dd-mm-yyyy")),0),0)</f>
        <v>727</v>
      </c>
      <c r="F1568" cm="1">
        <f t="array" ref="F1568">IF($Q1568&gt;=0,IFERROR(generateSalesData($D1568, IF(ISNUMBER(_xlfn.XLOOKUP($C1568,Phone_by_Sentiment!$B$2:$B$37,Phone_by_Sentiment!F$2:F$37,"",0,1)),_xlfn.XLOOKUP($C1568,Phone_by_Sentiment!$B$2:$B$37,Phone_by_Sentiment!F$2:F$37,"",0,1),0),$A1568-TEXT(DATEVALUE($D1568&amp;"-01"), "dd-mm-yyyy")),0),0)</f>
        <v>409</v>
      </c>
      <c r="G1568" cm="1">
        <f t="array" ref="G1568">IF($Q1568&gt;=0,IFERROR(generateSalesData($D1568, IF(ISNUMBER(_xlfn.XLOOKUP($C1568,Phone_by_Sentiment!$B$2:$B$37,Phone_by_Sentiment!G$2:G$37,"",0,1)),_xlfn.XLOOKUP($C1568,Phone_by_Sentiment!$B$2:$B$37,Phone_by_Sentiment!G$2:G$37,"",0,1),0),$A1568-TEXT(DATEVALUE($D1568&amp;"-01"), "dd-mm-yyyy")),0),0)</f>
        <v>275</v>
      </c>
      <c r="H1568" cm="1">
        <f t="array" ref="H1568">IF($Q1568&gt;=0,IFERROR(generateSalesData($D1568, IF(ISNUMBER(_xlfn.XLOOKUP($C1568,Phone_by_Sentiment!$B$2:$B$37,Phone_by_Sentiment!H$2:H$37,"",0,1)),_xlfn.XLOOKUP($C1568,Phone_by_Sentiment!$B$2:$B$37,Phone_by_Sentiment!H$2:H$37,"",0,1),0),$A1568-TEXT(DATEVALUE($D1568&amp;"-01"), "dd-mm-yyyy")),0),0)</f>
        <v>537</v>
      </c>
      <c r="I1568" cm="1">
        <f t="array" ref="I1568">IF($Q1568&gt;=0,IFERROR(generateSalesData($D1568, IF(ISNUMBER(_xlfn.XLOOKUP($C1568,Phone_by_Sentiment!$B$2:$B$37,Phone_by_Sentiment!I$2:I$37,"",0,1)),_xlfn.XLOOKUP($C1568,Phone_by_Sentiment!$B$2:$B$37,Phone_by_Sentiment!I$2:I$37,"",0,1),0),$A1568-TEXT(DATEVALUE($D1568&amp;"-01"), "dd-mm-yyyy")),0),0)</f>
        <v>379</v>
      </c>
      <c r="J1568" cm="1">
        <f t="array" ref="J1568">IF($Q1568&gt;=0,IFERROR(generateSalesData($D1568, IF(ISNUMBER(_xlfn.XLOOKUP($C1568,Phone_by_Sentiment!$B$2:$B$37,Phone_by_Sentiment!J$2:J$37,"",0,1)),_xlfn.XLOOKUP($C1568,Phone_by_Sentiment!$B$2:$B$37,Phone_by_Sentiment!J$2:J$37,"",0,1),0),$A1568-TEXT(DATEVALUE($D1568&amp;"-01"), "dd-mm-yyyy")),0),0)</f>
        <v>235</v>
      </c>
      <c r="K1568" cm="1">
        <f t="array" ref="K1568">IF($Q1568&gt;=0,IFERROR(generateSalesData($D1568, IF(ISNUMBER(_xlfn.XLOOKUP($C1568,Phone_by_Sentiment!$B$2:$B$37,Phone_by_Sentiment!K$2:K$37,"",0,1)),_xlfn.XLOOKUP($C1568,Phone_by_Sentiment!$B$2:$B$37,Phone_by_Sentiment!K$2:K$37,"",0,1),0),$A1568-TEXT(DATEVALUE($D1568&amp;"-01"), "dd-mm-yyyy")),0),0)</f>
        <v>416</v>
      </c>
      <c r="L1568" cm="1">
        <f t="array" ref="L1568">IF($Q1568&gt;=0,IFERROR(generateSalesData($D1568, IF(ISNUMBER(_xlfn.XLOOKUP($C1568,Phone_by_Sentiment!$B$2:$B$37,Phone_by_Sentiment!L$2:L$37,"",0,1)),_xlfn.XLOOKUP($C1568,Phone_by_Sentiment!$B$2:$B$37,Phone_by_Sentiment!L$2:L$37,"",0,1),0),$A1568-TEXT(DATEVALUE($D1568&amp;"-01"), "dd-mm-yyyy")),0),0)</f>
        <v>99</v>
      </c>
      <c r="M1568" cm="1">
        <f t="array" ref="M1568">IF($Q1568&gt;=0,IFERROR(generateSalesData($D1568, IF(ISNUMBER(_xlfn.XLOOKUP($C1568,Phone_by_Sentiment!$B$2:$B$37,Phone_by_Sentiment!M$2:M$37,"",0,1)),_xlfn.XLOOKUP($C1568,Phone_by_Sentiment!$B$2:$B$37,Phone_by_Sentiment!M$2:M$37,"",0,1),0),$A1568-TEXT(DATEVALUE($D1568&amp;"-01"), "dd-mm-yyyy")),0),0)</f>
        <v>331</v>
      </c>
      <c r="N1568" cm="1">
        <f t="array" ref="N1568">IF($Q1568&gt;=0,IFERROR(generateSalesData($D1568, IF(ISNUMBER(_xlfn.XLOOKUP($C1568,Phone_by_Sentiment!$B$2:$B$37,Phone_by_Sentiment!N$2:N$37,"",0,1)),_xlfn.XLOOKUP($C1568,Phone_by_Sentiment!$B$2:$B$37,Phone_by_Sentiment!N$2:N$37,"",0,1),0),$A1568-TEXT(DATEVALUE($D1568&amp;"-01"), "dd-mm-yyyy")),0),0)</f>
        <v>602</v>
      </c>
      <c r="O1568" cm="1">
        <f t="array" ref="O1568">IF($Q1568&gt;=0,IFERROR(generateSalesData($D1568, IF(ISNUMBER(_xlfn.XLOOKUP($C1568,Phone_by_Sentiment!$B$2:$B$37,Phone_by_Sentiment!O$2:O$37,"",0,1)),_xlfn.XLOOKUP($C1568,Phone_by_Sentiment!$B$2:$B$37,Phone_by_Sentiment!O$2:O$37,"",0,1),0),$A1568-TEXT(DATEVALUE($D1568&amp;"-01"), "dd-mm-yyyy")),0),0)</f>
        <v>511</v>
      </c>
      <c r="P1568" s="1">
        <f t="shared" si="61"/>
        <v>44317</v>
      </c>
      <c r="Q1568">
        <f t="shared" si="63"/>
        <v>488</v>
      </c>
    </row>
    <row r="1569" spans="1:17" x14ac:dyDescent="0.25">
      <c r="A1569" s="1">
        <f t="shared" si="62"/>
        <v>44805</v>
      </c>
      <c r="B1569" t="s">
        <v>172</v>
      </c>
      <c r="C1569" t="str">
        <f>_xlfn.XLOOKUP(B1569,Phone_by_Price!$A$2:$A$34,Phone_by_Price!$B$2:$B$34,"-",0,1)</f>
        <v>Xiaomi Redmi 9</v>
      </c>
      <c r="D1569" t="str">
        <f>_xlfn.XLOOKUP(C1569,Phone_by_Sentiment!$B$2:$B$37,Phone_by_Sentiment!$A$2:$A$37,"-",0,1)</f>
        <v>2020-08</v>
      </c>
      <c r="E1569" cm="1">
        <f t="array" ref="E1569">IF($Q1569&gt;=0,IFERROR(generateSalesData($D1569, IF(ISNUMBER(_xlfn.XLOOKUP($C1569,Phone_by_Sentiment!$B$2:$B$37,Phone_by_Sentiment!E$2:E$37,"",0,1)),_xlfn.XLOOKUP($C1569,Phone_by_Sentiment!$B$2:$B$37,Phone_by_Sentiment!E$2:E$37,"",0,1),0),$A1569-TEXT(DATEVALUE($D1569&amp;"-01"), "dd-mm-yyyy")),0),0)</f>
        <v>35</v>
      </c>
      <c r="F1569" cm="1">
        <f t="array" ref="F1569">IF($Q1569&gt;=0,IFERROR(generateSalesData($D1569, IF(ISNUMBER(_xlfn.XLOOKUP($C1569,Phone_by_Sentiment!$B$2:$B$37,Phone_by_Sentiment!F$2:F$37,"",0,1)),_xlfn.XLOOKUP($C1569,Phone_by_Sentiment!$B$2:$B$37,Phone_by_Sentiment!F$2:F$37,"",0,1),0),$A1569-TEXT(DATEVALUE($D1569&amp;"-01"), "dd-mm-yyyy")),0),0)</f>
        <v>86</v>
      </c>
      <c r="G1569" cm="1">
        <f t="array" ref="G1569">IF($Q1569&gt;=0,IFERROR(generateSalesData($D1569, IF(ISNUMBER(_xlfn.XLOOKUP($C1569,Phone_by_Sentiment!$B$2:$B$37,Phone_by_Sentiment!G$2:G$37,"",0,1)),_xlfn.XLOOKUP($C1569,Phone_by_Sentiment!$B$2:$B$37,Phone_by_Sentiment!G$2:G$37,"",0,1),0),$A1569-TEXT(DATEVALUE($D1569&amp;"-01"), "dd-mm-yyyy")),0),0)</f>
        <v>72</v>
      </c>
      <c r="H1569" cm="1">
        <f t="array" ref="H1569">IF($Q1569&gt;=0,IFERROR(generateSalesData($D1569, IF(ISNUMBER(_xlfn.XLOOKUP($C1569,Phone_by_Sentiment!$B$2:$B$37,Phone_by_Sentiment!H$2:H$37,"",0,1)),_xlfn.XLOOKUP($C1569,Phone_by_Sentiment!$B$2:$B$37,Phone_by_Sentiment!H$2:H$37,"",0,1),0),$A1569-TEXT(DATEVALUE($D1569&amp;"-01"), "dd-mm-yyyy")),0),0)</f>
        <v>125</v>
      </c>
      <c r="I1569" cm="1">
        <f t="array" ref="I1569">IF($Q1569&gt;=0,IFERROR(generateSalesData($D1569, IF(ISNUMBER(_xlfn.XLOOKUP($C1569,Phone_by_Sentiment!$B$2:$B$37,Phone_by_Sentiment!I$2:I$37,"",0,1)),_xlfn.XLOOKUP($C1569,Phone_by_Sentiment!$B$2:$B$37,Phone_by_Sentiment!I$2:I$37,"",0,1),0),$A1569-TEXT(DATEVALUE($D1569&amp;"-01"), "dd-mm-yyyy")),0),0)</f>
        <v>75</v>
      </c>
      <c r="J1569" cm="1">
        <f t="array" ref="J1569">IF($Q1569&gt;=0,IFERROR(generateSalesData($D1569, IF(ISNUMBER(_xlfn.XLOOKUP($C1569,Phone_by_Sentiment!$B$2:$B$37,Phone_by_Sentiment!J$2:J$37,"",0,1)),_xlfn.XLOOKUP($C1569,Phone_by_Sentiment!$B$2:$B$37,Phone_by_Sentiment!J$2:J$37,"",0,1),0),$A1569-TEXT(DATEVALUE($D1569&amp;"-01"), "dd-mm-yyyy")),0),0)</f>
        <v>55</v>
      </c>
      <c r="K1569" cm="1">
        <f t="array" ref="K1569">IF($Q1569&gt;=0,IFERROR(generateSalesData($D1569, IF(ISNUMBER(_xlfn.XLOOKUP($C1569,Phone_by_Sentiment!$B$2:$B$37,Phone_by_Sentiment!K$2:K$37,"",0,1)),_xlfn.XLOOKUP($C1569,Phone_by_Sentiment!$B$2:$B$37,Phone_by_Sentiment!K$2:K$37,"",0,1),0),$A1569-TEXT(DATEVALUE($D1569&amp;"-01"), "dd-mm-yyyy")),0),0)</f>
        <v>152</v>
      </c>
      <c r="L1569" cm="1">
        <f t="array" ref="L1569">IF($Q1569&gt;=0,IFERROR(generateSalesData($D1569, IF(ISNUMBER(_xlfn.XLOOKUP($C1569,Phone_by_Sentiment!$B$2:$B$37,Phone_by_Sentiment!L$2:L$37,"",0,1)),_xlfn.XLOOKUP($C1569,Phone_by_Sentiment!$B$2:$B$37,Phone_by_Sentiment!L$2:L$37,"",0,1),0),$A1569-TEXT(DATEVALUE($D1569&amp;"-01"), "dd-mm-yyyy")),0),0)</f>
        <v>50</v>
      </c>
      <c r="M1569" cm="1">
        <f t="array" ref="M1569">IF($Q1569&gt;=0,IFERROR(generateSalesData($D1569, IF(ISNUMBER(_xlfn.XLOOKUP($C1569,Phone_by_Sentiment!$B$2:$B$37,Phone_by_Sentiment!M$2:M$37,"",0,1)),_xlfn.XLOOKUP($C1569,Phone_by_Sentiment!$B$2:$B$37,Phone_by_Sentiment!M$2:M$37,"",0,1),0),$A1569-TEXT(DATEVALUE($D1569&amp;"-01"), "dd-mm-yyyy")),0),0)</f>
        <v>434</v>
      </c>
      <c r="N1569" cm="1">
        <f t="array" ref="N1569">IF($Q1569&gt;=0,IFERROR(generateSalesData($D1569, IF(ISNUMBER(_xlfn.XLOOKUP($C1569,Phone_by_Sentiment!$B$2:$B$37,Phone_by_Sentiment!N$2:N$37,"",0,1)),_xlfn.XLOOKUP($C1569,Phone_by_Sentiment!$B$2:$B$37,Phone_by_Sentiment!N$2:N$37,"",0,1),0),$A1569-TEXT(DATEVALUE($D1569&amp;"-01"), "dd-mm-yyyy")),0),0)</f>
        <v>141</v>
      </c>
      <c r="O1569" cm="1">
        <f t="array" ref="O1569">IF($Q1569&gt;=0,IFERROR(generateSalesData($D1569, IF(ISNUMBER(_xlfn.XLOOKUP($C1569,Phone_by_Sentiment!$B$2:$B$37,Phone_by_Sentiment!O$2:O$37,"",0,1)),_xlfn.XLOOKUP($C1569,Phone_by_Sentiment!$B$2:$B$37,Phone_by_Sentiment!O$2:O$37,"",0,1),0),$A1569-TEXT(DATEVALUE($D1569&amp;"-01"), "dd-mm-yyyy")),0),0)</f>
        <v>285</v>
      </c>
      <c r="P1569" s="1">
        <f t="shared" si="61"/>
        <v>44044</v>
      </c>
      <c r="Q1569">
        <f t="shared" si="63"/>
        <v>761</v>
      </c>
    </row>
    <row r="1570" spans="1:17" x14ac:dyDescent="0.25">
      <c r="A1570" s="1">
        <f t="shared" si="62"/>
        <v>44805</v>
      </c>
      <c r="B1570" t="s">
        <v>173</v>
      </c>
      <c r="C1570" t="str">
        <f>_xlfn.XLOOKUP(B1570,Phone_by_Price!$A$2:$A$34,Phone_by_Price!$B$2:$B$34,"-",0,1)</f>
        <v>Realme C3</v>
      </c>
      <c r="D1570" t="str">
        <f>_xlfn.XLOOKUP(C1570,Phone_by_Sentiment!$B$2:$B$37,Phone_by_Sentiment!$A$2:$A$37,"-",0,1)</f>
        <v>2020-02</v>
      </c>
      <c r="E1570" cm="1">
        <f t="array" ref="E1570">IF($Q1570&gt;=0,IFERROR(generateSalesData($D1570, IF(ISNUMBER(_xlfn.XLOOKUP($C1570,Phone_by_Sentiment!$B$2:$B$37,Phone_by_Sentiment!E$2:E$37,"",0,1)),_xlfn.XLOOKUP($C1570,Phone_by_Sentiment!$B$2:$B$37,Phone_by_Sentiment!E$2:E$37,"",0,1),0),$A1570-TEXT(DATEVALUE($D1570&amp;"-01"), "dd-mm-yyyy")),0),0)</f>
        <v>61</v>
      </c>
      <c r="F1570" cm="1">
        <f t="array" ref="F1570">IF($Q1570&gt;=0,IFERROR(generateSalesData($D1570, IF(ISNUMBER(_xlfn.XLOOKUP($C1570,Phone_by_Sentiment!$B$2:$B$37,Phone_by_Sentiment!F$2:F$37,"",0,1)),_xlfn.XLOOKUP($C1570,Phone_by_Sentiment!$B$2:$B$37,Phone_by_Sentiment!F$2:F$37,"",0,1),0),$A1570-TEXT(DATEVALUE($D1570&amp;"-01"), "dd-mm-yyyy")),0),0)</f>
        <v>65</v>
      </c>
      <c r="G1570" cm="1">
        <f t="array" ref="G1570">IF($Q1570&gt;=0,IFERROR(generateSalesData($D1570, IF(ISNUMBER(_xlfn.XLOOKUP($C1570,Phone_by_Sentiment!$B$2:$B$37,Phone_by_Sentiment!G$2:G$37,"",0,1)),_xlfn.XLOOKUP($C1570,Phone_by_Sentiment!$B$2:$B$37,Phone_by_Sentiment!G$2:G$37,"",0,1),0),$A1570-TEXT(DATEVALUE($D1570&amp;"-01"), "dd-mm-yyyy")),0),0)</f>
        <v>104</v>
      </c>
      <c r="H1570" cm="1">
        <f t="array" ref="H1570">IF($Q1570&gt;=0,IFERROR(generateSalesData($D1570, IF(ISNUMBER(_xlfn.XLOOKUP($C1570,Phone_by_Sentiment!$B$2:$B$37,Phone_by_Sentiment!H$2:H$37,"",0,1)),_xlfn.XLOOKUP($C1570,Phone_by_Sentiment!$B$2:$B$37,Phone_by_Sentiment!H$2:H$37,"",0,1),0),$A1570-TEXT(DATEVALUE($D1570&amp;"-01"), "dd-mm-yyyy")),0),0)</f>
        <v>272</v>
      </c>
      <c r="I1570" cm="1">
        <f t="array" ref="I1570">IF($Q1570&gt;=0,IFERROR(generateSalesData($D1570, IF(ISNUMBER(_xlfn.XLOOKUP($C1570,Phone_by_Sentiment!$B$2:$B$37,Phone_by_Sentiment!I$2:I$37,"",0,1)),_xlfn.XLOOKUP($C1570,Phone_by_Sentiment!$B$2:$B$37,Phone_by_Sentiment!I$2:I$37,"",0,1),0),$A1570-TEXT(DATEVALUE($D1570&amp;"-01"), "dd-mm-yyyy")),0),0)</f>
        <v>313</v>
      </c>
      <c r="J1570" cm="1">
        <f t="array" ref="J1570">IF($Q1570&gt;=0,IFERROR(generateSalesData($D1570, IF(ISNUMBER(_xlfn.XLOOKUP($C1570,Phone_by_Sentiment!$B$2:$B$37,Phone_by_Sentiment!J$2:J$37,"",0,1)),_xlfn.XLOOKUP($C1570,Phone_by_Sentiment!$B$2:$B$37,Phone_by_Sentiment!J$2:J$37,"",0,1),0),$A1570-TEXT(DATEVALUE($D1570&amp;"-01"), "dd-mm-yyyy")),0),0)</f>
        <v>35</v>
      </c>
      <c r="K1570" cm="1">
        <f t="array" ref="K1570">IF($Q1570&gt;=0,IFERROR(generateSalesData($D1570, IF(ISNUMBER(_xlfn.XLOOKUP($C1570,Phone_by_Sentiment!$B$2:$B$37,Phone_by_Sentiment!K$2:K$37,"",0,1)),_xlfn.XLOOKUP($C1570,Phone_by_Sentiment!$B$2:$B$37,Phone_by_Sentiment!K$2:K$37,"",0,1),0),$A1570-TEXT(DATEVALUE($D1570&amp;"-01"), "dd-mm-yyyy")),0),0)</f>
        <v>183</v>
      </c>
      <c r="L1570" cm="1">
        <f t="array" ref="L1570">IF($Q1570&gt;=0,IFERROR(generateSalesData($D1570, IF(ISNUMBER(_xlfn.XLOOKUP($C1570,Phone_by_Sentiment!$B$2:$B$37,Phone_by_Sentiment!L$2:L$37,"",0,1)),_xlfn.XLOOKUP($C1570,Phone_by_Sentiment!$B$2:$B$37,Phone_by_Sentiment!L$2:L$37,"",0,1),0),$A1570-TEXT(DATEVALUE($D1570&amp;"-01"), "dd-mm-yyyy")),0),0)</f>
        <v>230</v>
      </c>
      <c r="M1570" cm="1">
        <f t="array" ref="M1570">IF($Q1570&gt;=0,IFERROR(generateSalesData($D1570, IF(ISNUMBER(_xlfn.XLOOKUP($C1570,Phone_by_Sentiment!$B$2:$B$37,Phone_by_Sentiment!M$2:M$37,"",0,1)),_xlfn.XLOOKUP($C1570,Phone_by_Sentiment!$B$2:$B$37,Phone_by_Sentiment!M$2:M$37,"",0,1),0),$A1570-TEXT(DATEVALUE($D1570&amp;"-01"), "dd-mm-yyyy")),0),0)</f>
        <v>20</v>
      </c>
      <c r="N1570" cm="1">
        <f t="array" ref="N1570">IF($Q1570&gt;=0,IFERROR(generateSalesData($D1570, IF(ISNUMBER(_xlfn.XLOOKUP($C1570,Phone_by_Sentiment!$B$2:$B$37,Phone_by_Sentiment!N$2:N$37,"",0,1)),_xlfn.XLOOKUP($C1570,Phone_by_Sentiment!$B$2:$B$37,Phone_by_Sentiment!N$2:N$37,"",0,1),0),$A1570-TEXT(DATEVALUE($D1570&amp;"-01"), "dd-mm-yyyy")),0),0)</f>
        <v>140</v>
      </c>
      <c r="O1570" cm="1">
        <f t="array" ref="O1570">IF($Q1570&gt;=0,IFERROR(generateSalesData($D1570, IF(ISNUMBER(_xlfn.XLOOKUP($C1570,Phone_by_Sentiment!$B$2:$B$37,Phone_by_Sentiment!O$2:O$37,"",0,1)),_xlfn.XLOOKUP($C1570,Phone_by_Sentiment!$B$2:$B$37,Phone_by_Sentiment!O$2:O$37,"",0,1),0),$A1570-TEXT(DATEVALUE($D1570&amp;"-01"), "dd-mm-yyyy")),0),0)</f>
        <v>44</v>
      </c>
      <c r="P1570" s="1">
        <f t="shared" si="61"/>
        <v>43862</v>
      </c>
      <c r="Q1570">
        <f t="shared" si="63"/>
        <v>943</v>
      </c>
    </row>
    <row r="1571" spans="1:17" x14ac:dyDescent="0.25">
      <c r="A1571" s="1">
        <f t="shared" si="62"/>
        <v>44805</v>
      </c>
      <c r="B1571" t="s">
        <v>174</v>
      </c>
      <c r="C1571" t="str">
        <f>_xlfn.XLOOKUP(B1571,Phone_by_Price!$A$2:$A$34,Phone_by_Price!$B$2:$B$34,"-",0,1)</f>
        <v>Samsung Galaxy A7</v>
      </c>
      <c r="D1571" t="str">
        <f>_xlfn.XLOOKUP(C1571,Phone_by_Sentiment!$B$2:$B$37,Phone_by_Sentiment!$A$2:$A$37,"-",0,1)</f>
        <v>2018-10</v>
      </c>
      <c r="E1571" cm="1">
        <f t="array" ref="E1571">IF($Q1571&gt;=0,IFERROR(generateSalesData($D1571, IF(ISNUMBER(_xlfn.XLOOKUP($C1571,Phone_by_Sentiment!$B$2:$B$37,Phone_by_Sentiment!E$2:E$37,"",0,1)),_xlfn.XLOOKUP($C1571,Phone_by_Sentiment!$B$2:$B$37,Phone_by_Sentiment!E$2:E$37,"",0,1),0),$A1571-TEXT(DATEVALUE($D1571&amp;"-01"), "dd-mm-yyyy")),0),0)</f>
        <v>45</v>
      </c>
      <c r="F1571" cm="1">
        <f t="array" ref="F1571">IF($Q1571&gt;=0,IFERROR(generateSalesData($D1571, IF(ISNUMBER(_xlfn.XLOOKUP($C1571,Phone_by_Sentiment!$B$2:$B$37,Phone_by_Sentiment!F$2:F$37,"",0,1)),_xlfn.XLOOKUP($C1571,Phone_by_Sentiment!$B$2:$B$37,Phone_by_Sentiment!F$2:F$37,"",0,1),0),$A1571-TEXT(DATEVALUE($D1571&amp;"-01"), "dd-mm-yyyy")),0),0)</f>
        <v>72</v>
      </c>
      <c r="G1571" cm="1">
        <f t="array" ref="G1571">IF($Q1571&gt;=0,IFERROR(generateSalesData($D1571, IF(ISNUMBER(_xlfn.XLOOKUP($C1571,Phone_by_Sentiment!$B$2:$B$37,Phone_by_Sentiment!G$2:G$37,"",0,1)),_xlfn.XLOOKUP($C1571,Phone_by_Sentiment!$B$2:$B$37,Phone_by_Sentiment!G$2:G$37,"",0,1),0),$A1571-TEXT(DATEVALUE($D1571&amp;"-01"), "dd-mm-yyyy")),0),0)</f>
        <v>15</v>
      </c>
      <c r="H1571" cm="1">
        <f t="array" ref="H1571">IF($Q1571&gt;=0,IFERROR(generateSalesData($D1571, IF(ISNUMBER(_xlfn.XLOOKUP($C1571,Phone_by_Sentiment!$B$2:$B$37,Phone_by_Sentiment!H$2:H$37,"",0,1)),_xlfn.XLOOKUP($C1571,Phone_by_Sentiment!$B$2:$B$37,Phone_by_Sentiment!H$2:H$37,"",0,1),0),$A1571-TEXT(DATEVALUE($D1571&amp;"-01"), "dd-mm-yyyy")),0),0)</f>
        <v>169</v>
      </c>
      <c r="I1571" cm="1">
        <f t="array" ref="I1571">IF($Q1571&gt;=0,IFERROR(generateSalesData($D1571, IF(ISNUMBER(_xlfn.XLOOKUP($C1571,Phone_by_Sentiment!$B$2:$B$37,Phone_by_Sentiment!I$2:I$37,"",0,1)),_xlfn.XLOOKUP($C1571,Phone_by_Sentiment!$B$2:$B$37,Phone_by_Sentiment!I$2:I$37,"",0,1),0),$A1571-TEXT(DATEVALUE($D1571&amp;"-01"), "dd-mm-yyyy")),0),0)</f>
        <v>164</v>
      </c>
      <c r="J1571" cm="1">
        <f t="array" ref="J1571">IF($Q1571&gt;=0,IFERROR(generateSalesData($D1571, IF(ISNUMBER(_xlfn.XLOOKUP($C1571,Phone_by_Sentiment!$B$2:$B$37,Phone_by_Sentiment!J$2:J$37,"",0,1)),_xlfn.XLOOKUP($C1571,Phone_by_Sentiment!$B$2:$B$37,Phone_by_Sentiment!J$2:J$37,"",0,1),0),$A1571-TEXT(DATEVALUE($D1571&amp;"-01"), "dd-mm-yyyy")),0),0)</f>
        <v>47</v>
      </c>
      <c r="K1571" cm="1">
        <f t="array" ref="K1571">IF($Q1571&gt;=0,IFERROR(generateSalesData($D1571, IF(ISNUMBER(_xlfn.XLOOKUP($C1571,Phone_by_Sentiment!$B$2:$B$37,Phone_by_Sentiment!K$2:K$37,"",0,1)),_xlfn.XLOOKUP($C1571,Phone_by_Sentiment!$B$2:$B$37,Phone_by_Sentiment!K$2:K$37,"",0,1),0),$A1571-TEXT(DATEVALUE($D1571&amp;"-01"), "dd-mm-yyyy")),0),0)</f>
        <v>55</v>
      </c>
      <c r="L1571" cm="1">
        <f t="array" ref="L1571">IF($Q1571&gt;=0,IFERROR(generateSalesData($D1571, IF(ISNUMBER(_xlfn.XLOOKUP($C1571,Phone_by_Sentiment!$B$2:$B$37,Phone_by_Sentiment!L$2:L$37,"",0,1)),_xlfn.XLOOKUP($C1571,Phone_by_Sentiment!$B$2:$B$37,Phone_by_Sentiment!L$2:L$37,"",0,1),0),$A1571-TEXT(DATEVALUE($D1571&amp;"-01"), "dd-mm-yyyy")),0),0)</f>
        <v>31</v>
      </c>
      <c r="M1571" cm="1">
        <f t="array" ref="M1571">IF($Q1571&gt;=0,IFERROR(generateSalesData($D1571, IF(ISNUMBER(_xlfn.XLOOKUP($C1571,Phone_by_Sentiment!$B$2:$B$37,Phone_by_Sentiment!M$2:M$37,"",0,1)),_xlfn.XLOOKUP($C1571,Phone_by_Sentiment!$B$2:$B$37,Phone_by_Sentiment!M$2:M$37,"",0,1),0),$A1571-TEXT(DATEVALUE($D1571&amp;"-01"), "dd-mm-yyyy")),0),0)</f>
        <v>151</v>
      </c>
      <c r="N1571" cm="1">
        <f t="array" ref="N1571">IF($Q1571&gt;=0,IFERROR(generateSalesData($D1571, IF(ISNUMBER(_xlfn.XLOOKUP($C1571,Phone_by_Sentiment!$B$2:$B$37,Phone_by_Sentiment!N$2:N$37,"",0,1)),_xlfn.XLOOKUP($C1571,Phone_by_Sentiment!$B$2:$B$37,Phone_by_Sentiment!N$2:N$37,"",0,1),0),$A1571-TEXT(DATEVALUE($D1571&amp;"-01"), "dd-mm-yyyy")),0),0)</f>
        <v>215</v>
      </c>
      <c r="O1571" cm="1">
        <f t="array" ref="O1571">IF($Q1571&gt;=0,IFERROR(generateSalesData($D1571, IF(ISNUMBER(_xlfn.XLOOKUP($C1571,Phone_by_Sentiment!$B$2:$B$37,Phone_by_Sentiment!O$2:O$37,"",0,1)),_xlfn.XLOOKUP($C1571,Phone_by_Sentiment!$B$2:$B$37,Phone_by_Sentiment!O$2:O$37,"",0,1),0),$A1571-TEXT(DATEVALUE($D1571&amp;"-01"), "dd-mm-yyyy")),0),0)</f>
        <v>142</v>
      </c>
      <c r="P1571" s="1">
        <f t="shared" si="61"/>
        <v>43374</v>
      </c>
      <c r="Q1571">
        <f t="shared" si="63"/>
        <v>1431</v>
      </c>
    </row>
    <row r="1572" spans="1:17" x14ac:dyDescent="0.25">
      <c r="A1572" s="1">
        <f t="shared" si="62"/>
        <v>44805</v>
      </c>
      <c r="B1572" t="s">
        <v>142</v>
      </c>
      <c r="C1572" t="str">
        <f>_xlfn.XLOOKUP(B1572,Phone_by_Price!$A$2:$A$34,Phone_by_Price!$B$2:$B$34,"-",0,1)</f>
        <v>iPhone 11</v>
      </c>
      <c r="D1572" t="str">
        <f>_xlfn.XLOOKUP(C1572,Phone_by_Sentiment!$B$2:$B$37,Phone_by_Sentiment!$A$2:$A$37,"-",0,1)</f>
        <v>2019-09</v>
      </c>
      <c r="E1572" cm="1">
        <f t="array" ref="E1572">IF($Q1572&gt;=0,IFERROR(generateSalesData($D1572, IF(ISNUMBER(_xlfn.XLOOKUP($C1572,Phone_by_Sentiment!$B$2:$B$37,Phone_by_Sentiment!E$2:E$37,"",0,1)),_xlfn.XLOOKUP($C1572,Phone_by_Sentiment!$B$2:$B$37,Phone_by_Sentiment!E$2:E$37,"",0,1),0),$A1572-TEXT(DATEVALUE($D1572&amp;"-01"), "dd-mm-yyyy")),0),0)</f>
        <v>36</v>
      </c>
      <c r="F1572" cm="1">
        <f t="array" ref="F1572">IF($Q1572&gt;=0,IFERROR(generateSalesData($D1572, IF(ISNUMBER(_xlfn.XLOOKUP($C1572,Phone_by_Sentiment!$B$2:$B$37,Phone_by_Sentiment!F$2:F$37,"",0,1)),_xlfn.XLOOKUP($C1572,Phone_by_Sentiment!$B$2:$B$37,Phone_by_Sentiment!F$2:F$37,"",0,1),0),$A1572-TEXT(DATEVALUE($D1572&amp;"-01"), "dd-mm-yyyy")),0),0)</f>
        <v>103</v>
      </c>
      <c r="G1572" cm="1">
        <f t="array" ref="G1572">IF($Q1572&gt;=0,IFERROR(generateSalesData($D1572, IF(ISNUMBER(_xlfn.XLOOKUP($C1572,Phone_by_Sentiment!$B$2:$B$37,Phone_by_Sentiment!G$2:G$37,"",0,1)),_xlfn.XLOOKUP($C1572,Phone_by_Sentiment!$B$2:$B$37,Phone_by_Sentiment!G$2:G$37,"",0,1),0),$A1572-TEXT(DATEVALUE($D1572&amp;"-01"), "dd-mm-yyyy")),0),0)</f>
        <v>51</v>
      </c>
      <c r="H1572" cm="1">
        <f t="array" ref="H1572">IF($Q1572&gt;=0,IFERROR(generateSalesData($D1572, IF(ISNUMBER(_xlfn.XLOOKUP($C1572,Phone_by_Sentiment!$B$2:$B$37,Phone_by_Sentiment!H$2:H$37,"",0,1)),_xlfn.XLOOKUP($C1572,Phone_by_Sentiment!$B$2:$B$37,Phone_by_Sentiment!H$2:H$37,"",0,1),0),$A1572-TEXT(DATEVALUE($D1572&amp;"-01"), "dd-mm-yyyy")),0),0)</f>
        <v>215</v>
      </c>
      <c r="I1572" cm="1">
        <f t="array" ref="I1572">IF($Q1572&gt;=0,IFERROR(generateSalesData($D1572, IF(ISNUMBER(_xlfn.XLOOKUP($C1572,Phone_by_Sentiment!$B$2:$B$37,Phone_by_Sentiment!I$2:I$37,"",0,1)),_xlfn.XLOOKUP($C1572,Phone_by_Sentiment!$B$2:$B$37,Phone_by_Sentiment!I$2:I$37,"",0,1),0),$A1572-TEXT(DATEVALUE($D1572&amp;"-01"), "dd-mm-yyyy")),0),0)</f>
        <v>31</v>
      </c>
      <c r="J1572" cm="1">
        <f t="array" ref="J1572">IF($Q1572&gt;=0,IFERROR(generateSalesData($D1572, IF(ISNUMBER(_xlfn.XLOOKUP($C1572,Phone_by_Sentiment!$B$2:$B$37,Phone_by_Sentiment!J$2:J$37,"",0,1)),_xlfn.XLOOKUP($C1572,Phone_by_Sentiment!$B$2:$B$37,Phone_by_Sentiment!J$2:J$37,"",0,1),0),$A1572-TEXT(DATEVALUE($D1572&amp;"-01"), "dd-mm-yyyy")),0),0)</f>
        <v>232</v>
      </c>
      <c r="K1572" cm="1">
        <f t="array" ref="K1572">IF($Q1572&gt;=0,IFERROR(generateSalesData($D1572, IF(ISNUMBER(_xlfn.XLOOKUP($C1572,Phone_by_Sentiment!$B$2:$B$37,Phone_by_Sentiment!K$2:K$37,"",0,1)),_xlfn.XLOOKUP($C1572,Phone_by_Sentiment!$B$2:$B$37,Phone_by_Sentiment!K$2:K$37,"",0,1),0),$A1572-TEXT(DATEVALUE($D1572&amp;"-01"), "dd-mm-yyyy")),0),0)</f>
        <v>82</v>
      </c>
      <c r="L1572" cm="1">
        <f t="array" ref="L1572">IF($Q1572&gt;=0,IFERROR(generateSalesData($D1572, IF(ISNUMBER(_xlfn.XLOOKUP($C1572,Phone_by_Sentiment!$B$2:$B$37,Phone_by_Sentiment!L$2:L$37,"",0,1)),_xlfn.XLOOKUP($C1572,Phone_by_Sentiment!$B$2:$B$37,Phone_by_Sentiment!L$2:L$37,"",0,1),0),$A1572-TEXT(DATEVALUE($D1572&amp;"-01"), "dd-mm-yyyy")),0),0)</f>
        <v>231</v>
      </c>
      <c r="M1572" cm="1">
        <f t="array" ref="M1572">IF($Q1572&gt;=0,IFERROR(generateSalesData($D1572, IF(ISNUMBER(_xlfn.XLOOKUP($C1572,Phone_by_Sentiment!$B$2:$B$37,Phone_by_Sentiment!M$2:M$37,"",0,1)),_xlfn.XLOOKUP($C1572,Phone_by_Sentiment!$B$2:$B$37,Phone_by_Sentiment!M$2:M$37,"",0,1),0),$A1572-TEXT(DATEVALUE($D1572&amp;"-01"), "dd-mm-yyyy")),0),0)</f>
        <v>293</v>
      </c>
      <c r="N1572" cm="1">
        <f t="array" ref="N1572">IF($Q1572&gt;=0,IFERROR(generateSalesData($D1572, IF(ISNUMBER(_xlfn.XLOOKUP($C1572,Phone_by_Sentiment!$B$2:$B$37,Phone_by_Sentiment!N$2:N$37,"",0,1)),_xlfn.XLOOKUP($C1572,Phone_by_Sentiment!$B$2:$B$37,Phone_by_Sentiment!N$2:N$37,"",0,1),0),$A1572-TEXT(DATEVALUE($D1572&amp;"-01"), "dd-mm-yyyy")),0),0)</f>
        <v>121</v>
      </c>
      <c r="O1572" cm="1">
        <f t="array" ref="O1572">IF($Q1572&gt;=0,IFERROR(generateSalesData($D1572, IF(ISNUMBER(_xlfn.XLOOKUP($C1572,Phone_by_Sentiment!$B$2:$B$37,Phone_by_Sentiment!O$2:O$37,"",0,1)),_xlfn.XLOOKUP($C1572,Phone_by_Sentiment!$B$2:$B$37,Phone_by_Sentiment!O$2:O$37,"",0,1),0),$A1572-TEXT(DATEVALUE($D1572&amp;"-01"), "dd-mm-yyyy")),0),0)</f>
        <v>233</v>
      </c>
      <c r="P1572" s="1">
        <f t="shared" si="61"/>
        <v>43709</v>
      </c>
      <c r="Q1572">
        <f t="shared" si="63"/>
        <v>1096</v>
      </c>
    </row>
    <row r="1573" spans="1:17" x14ac:dyDescent="0.25">
      <c r="A1573" s="1">
        <f t="shared" si="62"/>
        <v>44805</v>
      </c>
      <c r="B1573" t="s">
        <v>143</v>
      </c>
      <c r="C1573" t="str">
        <f>_xlfn.XLOOKUP(B1573,Phone_by_Price!$A$2:$A$34,Phone_by_Price!$B$2:$B$34,"-",0,1)</f>
        <v>Samsung Galaxy S20 Ultra</v>
      </c>
      <c r="D1573" t="str">
        <f>_xlfn.XLOOKUP(C1573,Phone_by_Sentiment!$B$2:$B$37,Phone_by_Sentiment!$A$2:$A$37,"-",0,1)</f>
        <v>2020-02</v>
      </c>
      <c r="E1573" cm="1">
        <f t="array" ref="E1573">IF($Q1573&gt;=0,IFERROR(generateSalesData($D1573, IF(ISNUMBER(_xlfn.XLOOKUP($C1573,Phone_by_Sentiment!$B$2:$B$37,Phone_by_Sentiment!E$2:E$37,"",0,1)),_xlfn.XLOOKUP($C1573,Phone_by_Sentiment!$B$2:$B$37,Phone_by_Sentiment!E$2:E$37,"",0,1),0),$A1573-TEXT(DATEVALUE($D1573&amp;"-01"), "dd-mm-yyyy")),0),0)</f>
        <v>102</v>
      </c>
      <c r="F1573" cm="1">
        <f t="array" ref="F1573">IF($Q1573&gt;=0,IFERROR(generateSalesData($D1573, IF(ISNUMBER(_xlfn.XLOOKUP($C1573,Phone_by_Sentiment!$B$2:$B$37,Phone_by_Sentiment!F$2:F$37,"",0,1)),_xlfn.XLOOKUP($C1573,Phone_by_Sentiment!$B$2:$B$37,Phone_by_Sentiment!F$2:F$37,"",0,1),0),$A1573-TEXT(DATEVALUE($D1573&amp;"-01"), "dd-mm-yyyy")),0),0)</f>
        <v>216</v>
      </c>
      <c r="G1573" cm="1">
        <f t="array" ref="G1573">IF($Q1573&gt;=0,IFERROR(generateSalesData($D1573, IF(ISNUMBER(_xlfn.XLOOKUP($C1573,Phone_by_Sentiment!$B$2:$B$37,Phone_by_Sentiment!G$2:G$37,"",0,1)),_xlfn.XLOOKUP($C1573,Phone_by_Sentiment!$B$2:$B$37,Phone_by_Sentiment!G$2:G$37,"",0,1),0),$A1573-TEXT(DATEVALUE($D1573&amp;"-01"), "dd-mm-yyyy")),0),0)</f>
        <v>66</v>
      </c>
      <c r="H1573" cm="1">
        <f t="array" ref="H1573">IF($Q1573&gt;=0,IFERROR(generateSalesData($D1573, IF(ISNUMBER(_xlfn.XLOOKUP($C1573,Phone_by_Sentiment!$B$2:$B$37,Phone_by_Sentiment!H$2:H$37,"",0,1)),_xlfn.XLOOKUP($C1573,Phone_by_Sentiment!$B$2:$B$37,Phone_by_Sentiment!H$2:H$37,"",0,1),0),$A1573-TEXT(DATEVALUE($D1573&amp;"-01"), "dd-mm-yyyy")),0),0)</f>
        <v>236</v>
      </c>
      <c r="I1573" cm="1">
        <f t="array" ref="I1573">IF($Q1573&gt;=0,IFERROR(generateSalesData($D1573, IF(ISNUMBER(_xlfn.XLOOKUP($C1573,Phone_by_Sentiment!$B$2:$B$37,Phone_by_Sentiment!I$2:I$37,"",0,1)),_xlfn.XLOOKUP($C1573,Phone_by_Sentiment!$B$2:$B$37,Phone_by_Sentiment!I$2:I$37,"",0,1),0),$A1573-TEXT(DATEVALUE($D1573&amp;"-01"), "dd-mm-yyyy")),0),0)</f>
        <v>251</v>
      </c>
      <c r="J1573" cm="1">
        <f t="array" ref="J1573">IF($Q1573&gt;=0,IFERROR(generateSalesData($D1573, IF(ISNUMBER(_xlfn.XLOOKUP($C1573,Phone_by_Sentiment!$B$2:$B$37,Phone_by_Sentiment!J$2:J$37,"",0,1)),_xlfn.XLOOKUP($C1573,Phone_by_Sentiment!$B$2:$B$37,Phone_by_Sentiment!J$2:J$37,"",0,1),0),$A1573-TEXT(DATEVALUE($D1573&amp;"-01"), "dd-mm-yyyy")),0),0)</f>
        <v>294</v>
      </c>
      <c r="K1573" cm="1">
        <f t="array" ref="K1573">IF($Q1573&gt;=0,IFERROR(generateSalesData($D1573, IF(ISNUMBER(_xlfn.XLOOKUP($C1573,Phone_by_Sentiment!$B$2:$B$37,Phone_by_Sentiment!K$2:K$37,"",0,1)),_xlfn.XLOOKUP($C1573,Phone_by_Sentiment!$B$2:$B$37,Phone_by_Sentiment!K$2:K$37,"",0,1),0),$A1573-TEXT(DATEVALUE($D1573&amp;"-01"), "dd-mm-yyyy")),0),0)</f>
        <v>107</v>
      </c>
      <c r="L1573" cm="1">
        <f t="array" ref="L1573">IF($Q1573&gt;=0,IFERROR(generateSalesData($D1573, IF(ISNUMBER(_xlfn.XLOOKUP($C1573,Phone_by_Sentiment!$B$2:$B$37,Phone_by_Sentiment!L$2:L$37,"",0,1)),_xlfn.XLOOKUP($C1573,Phone_by_Sentiment!$B$2:$B$37,Phone_by_Sentiment!L$2:L$37,"",0,1),0),$A1573-TEXT(DATEVALUE($D1573&amp;"-01"), "dd-mm-yyyy")),0),0)</f>
        <v>463</v>
      </c>
      <c r="M1573" cm="1">
        <f t="array" ref="M1573">IF($Q1573&gt;=0,IFERROR(generateSalesData($D1573, IF(ISNUMBER(_xlfn.XLOOKUP($C1573,Phone_by_Sentiment!$B$2:$B$37,Phone_by_Sentiment!M$2:M$37,"",0,1)),_xlfn.XLOOKUP($C1573,Phone_by_Sentiment!$B$2:$B$37,Phone_by_Sentiment!M$2:M$37,"",0,1),0),$A1573-TEXT(DATEVALUE($D1573&amp;"-01"), "dd-mm-yyyy")),0),0)</f>
        <v>284</v>
      </c>
      <c r="N1573" cm="1">
        <f t="array" ref="N1573">IF($Q1573&gt;=0,IFERROR(generateSalesData($D1573, IF(ISNUMBER(_xlfn.XLOOKUP($C1573,Phone_by_Sentiment!$B$2:$B$37,Phone_by_Sentiment!N$2:N$37,"",0,1)),_xlfn.XLOOKUP($C1573,Phone_by_Sentiment!$B$2:$B$37,Phone_by_Sentiment!N$2:N$37,"",0,1),0),$A1573-TEXT(DATEVALUE($D1573&amp;"-01"), "dd-mm-yyyy")),0),0)</f>
        <v>43</v>
      </c>
      <c r="O1573" cm="1">
        <f t="array" ref="O1573">IF($Q1573&gt;=0,IFERROR(generateSalesData($D1573, IF(ISNUMBER(_xlfn.XLOOKUP($C1573,Phone_by_Sentiment!$B$2:$B$37,Phone_by_Sentiment!O$2:O$37,"",0,1)),_xlfn.XLOOKUP($C1573,Phone_by_Sentiment!$B$2:$B$37,Phone_by_Sentiment!O$2:O$37,"",0,1),0),$A1573-TEXT(DATEVALUE($D1573&amp;"-01"), "dd-mm-yyyy")),0),0)</f>
        <v>231</v>
      </c>
      <c r="P1573" s="1">
        <f t="shared" si="61"/>
        <v>43862</v>
      </c>
      <c r="Q1573">
        <f t="shared" si="63"/>
        <v>943</v>
      </c>
    </row>
    <row r="1574" spans="1:17" x14ac:dyDescent="0.25">
      <c r="A1574" s="1">
        <f t="shared" si="62"/>
        <v>44805</v>
      </c>
      <c r="B1574" t="s">
        <v>144</v>
      </c>
      <c r="C1574" t="str">
        <f>_xlfn.XLOOKUP(B1574,Phone_by_Price!$A$2:$A$34,Phone_by_Price!$B$2:$B$34,"-",0,1)</f>
        <v>Xiaomi Redmi Note 10</v>
      </c>
      <c r="D1574" t="str">
        <f>_xlfn.XLOOKUP(C1574,Phone_by_Sentiment!$B$2:$B$37,Phone_by_Sentiment!$A$2:$A$37,"-",0,1)</f>
        <v>2021-03</v>
      </c>
      <c r="E1574" cm="1">
        <f t="array" ref="E1574">IF($Q1574&gt;=0,IFERROR(generateSalesData($D1574, IF(ISNUMBER(_xlfn.XLOOKUP($C1574,Phone_by_Sentiment!$B$2:$B$37,Phone_by_Sentiment!E$2:E$37,"",0,1)),_xlfn.XLOOKUP($C1574,Phone_by_Sentiment!$B$2:$B$37,Phone_by_Sentiment!E$2:E$37,"",0,1),0),$A1574-TEXT(DATEVALUE($D1574&amp;"-01"), "dd-mm-yyyy")),0),0)</f>
        <v>308</v>
      </c>
      <c r="F1574" cm="1">
        <f t="array" ref="F1574">IF($Q1574&gt;=0,IFERROR(generateSalesData($D1574, IF(ISNUMBER(_xlfn.XLOOKUP($C1574,Phone_by_Sentiment!$B$2:$B$37,Phone_by_Sentiment!F$2:F$37,"",0,1)),_xlfn.XLOOKUP($C1574,Phone_by_Sentiment!$B$2:$B$37,Phone_by_Sentiment!F$2:F$37,"",0,1),0),$A1574-TEXT(DATEVALUE($D1574&amp;"-01"), "dd-mm-yyyy")),0),0)</f>
        <v>72</v>
      </c>
      <c r="G1574" cm="1">
        <f t="array" ref="G1574">IF($Q1574&gt;=0,IFERROR(generateSalesData($D1574, IF(ISNUMBER(_xlfn.XLOOKUP($C1574,Phone_by_Sentiment!$B$2:$B$37,Phone_by_Sentiment!G$2:G$37,"",0,1)),_xlfn.XLOOKUP($C1574,Phone_by_Sentiment!$B$2:$B$37,Phone_by_Sentiment!G$2:G$37,"",0,1),0),$A1574-TEXT(DATEVALUE($D1574&amp;"-01"), "dd-mm-yyyy")),0),0)</f>
        <v>107</v>
      </c>
      <c r="H1574" cm="1">
        <f t="array" ref="H1574">IF($Q1574&gt;=0,IFERROR(generateSalesData($D1574, IF(ISNUMBER(_xlfn.XLOOKUP($C1574,Phone_by_Sentiment!$B$2:$B$37,Phone_by_Sentiment!H$2:H$37,"",0,1)),_xlfn.XLOOKUP($C1574,Phone_by_Sentiment!$B$2:$B$37,Phone_by_Sentiment!H$2:H$37,"",0,1),0),$A1574-TEXT(DATEVALUE($D1574&amp;"-01"), "dd-mm-yyyy")),0),0)</f>
        <v>480</v>
      </c>
      <c r="I1574" cm="1">
        <f t="array" ref="I1574">IF($Q1574&gt;=0,IFERROR(generateSalesData($D1574, IF(ISNUMBER(_xlfn.XLOOKUP($C1574,Phone_by_Sentiment!$B$2:$B$37,Phone_by_Sentiment!I$2:I$37,"",0,1)),_xlfn.XLOOKUP($C1574,Phone_by_Sentiment!$B$2:$B$37,Phone_by_Sentiment!I$2:I$37,"",0,1),0),$A1574-TEXT(DATEVALUE($D1574&amp;"-01"), "dd-mm-yyyy")),0),0)</f>
        <v>489</v>
      </c>
      <c r="J1574" cm="1">
        <f t="array" ref="J1574">IF($Q1574&gt;=0,IFERROR(generateSalesData($D1574, IF(ISNUMBER(_xlfn.XLOOKUP($C1574,Phone_by_Sentiment!$B$2:$B$37,Phone_by_Sentiment!J$2:J$37,"",0,1)),_xlfn.XLOOKUP($C1574,Phone_by_Sentiment!$B$2:$B$37,Phone_by_Sentiment!J$2:J$37,"",0,1),0),$A1574-TEXT(DATEVALUE($D1574&amp;"-01"), "dd-mm-yyyy")),0),0)</f>
        <v>410</v>
      </c>
      <c r="K1574" cm="1">
        <f t="array" ref="K1574">IF($Q1574&gt;=0,IFERROR(generateSalesData($D1574, IF(ISNUMBER(_xlfn.XLOOKUP($C1574,Phone_by_Sentiment!$B$2:$B$37,Phone_by_Sentiment!K$2:K$37,"",0,1)),_xlfn.XLOOKUP($C1574,Phone_by_Sentiment!$B$2:$B$37,Phone_by_Sentiment!K$2:K$37,"",0,1),0),$A1574-TEXT(DATEVALUE($D1574&amp;"-01"), "dd-mm-yyyy")),0),0)</f>
        <v>285</v>
      </c>
      <c r="L1574" cm="1">
        <f t="array" ref="L1574">IF($Q1574&gt;=0,IFERROR(generateSalesData($D1574, IF(ISNUMBER(_xlfn.XLOOKUP($C1574,Phone_by_Sentiment!$B$2:$B$37,Phone_by_Sentiment!L$2:L$37,"",0,1)),_xlfn.XLOOKUP($C1574,Phone_by_Sentiment!$B$2:$B$37,Phone_by_Sentiment!L$2:L$37,"",0,1),0),$A1574-TEXT(DATEVALUE($D1574&amp;"-01"), "dd-mm-yyyy")),0),0)</f>
        <v>557</v>
      </c>
      <c r="M1574" cm="1">
        <f t="array" ref="M1574">IF($Q1574&gt;=0,IFERROR(generateSalesData($D1574, IF(ISNUMBER(_xlfn.XLOOKUP($C1574,Phone_by_Sentiment!$B$2:$B$37,Phone_by_Sentiment!M$2:M$37,"",0,1)),_xlfn.XLOOKUP($C1574,Phone_by_Sentiment!$B$2:$B$37,Phone_by_Sentiment!M$2:M$37,"",0,1),0),$A1574-TEXT(DATEVALUE($D1574&amp;"-01"), "dd-mm-yyyy")),0),0)</f>
        <v>51</v>
      </c>
      <c r="N1574" cm="1">
        <f t="array" ref="N1574">IF($Q1574&gt;=0,IFERROR(generateSalesData($D1574, IF(ISNUMBER(_xlfn.XLOOKUP($C1574,Phone_by_Sentiment!$B$2:$B$37,Phone_by_Sentiment!N$2:N$37,"",0,1)),_xlfn.XLOOKUP($C1574,Phone_by_Sentiment!$B$2:$B$37,Phone_by_Sentiment!N$2:N$37,"",0,1),0),$A1574-TEXT(DATEVALUE($D1574&amp;"-01"), "dd-mm-yyyy")),0),0)</f>
        <v>229</v>
      </c>
      <c r="O1574" cm="1">
        <f t="array" ref="O1574">IF($Q1574&gt;=0,IFERROR(generateSalesData($D1574, IF(ISNUMBER(_xlfn.XLOOKUP($C1574,Phone_by_Sentiment!$B$2:$B$37,Phone_by_Sentiment!O$2:O$37,"",0,1)),_xlfn.XLOOKUP($C1574,Phone_by_Sentiment!$B$2:$B$37,Phone_by_Sentiment!O$2:O$37,"",0,1),0),$A1574-TEXT(DATEVALUE($D1574&amp;"-01"), "dd-mm-yyyy")),0),0)</f>
        <v>228</v>
      </c>
      <c r="P1574" s="1">
        <f t="shared" si="61"/>
        <v>44256</v>
      </c>
      <c r="Q1574">
        <f t="shared" si="63"/>
        <v>549</v>
      </c>
    </row>
    <row r="1575" spans="1:17" x14ac:dyDescent="0.25">
      <c r="A1575" s="1">
        <f t="shared" si="62"/>
        <v>44805</v>
      </c>
      <c r="B1575" t="s">
        <v>145</v>
      </c>
      <c r="C1575" t="str">
        <f>_xlfn.XLOOKUP(B1575,Phone_by_Price!$A$2:$A$34,Phone_by_Price!$B$2:$B$34,"-",0,1)</f>
        <v>OPPO A54</v>
      </c>
      <c r="D1575" t="str">
        <f>_xlfn.XLOOKUP(C1575,Phone_by_Sentiment!$B$2:$B$37,Phone_by_Sentiment!$A$2:$A$37,"-",0,1)</f>
        <v>2021-04</v>
      </c>
      <c r="E1575" cm="1">
        <f t="array" ref="E1575">IF($Q1575&gt;=0,IFERROR(generateSalesData($D1575, IF(ISNUMBER(_xlfn.XLOOKUP($C1575,Phone_by_Sentiment!$B$2:$B$37,Phone_by_Sentiment!E$2:E$37,"",0,1)),_xlfn.XLOOKUP($C1575,Phone_by_Sentiment!$B$2:$B$37,Phone_by_Sentiment!E$2:E$37,"",0,1),0),$A1575-TEXT(DATEVALUE($D1575&amp;"-01"), "dd-mm-yyyy")),0),0)</f>
        <v>343</v>
      </c>
      <c r="F1575" cm="1">
        <f t="array" ref="F1575">IF($Q1575&gt;=0,IFERROR(generateSalesData($D1575, IF(ISNUMBER(_xlfn.XLOOKUP($C1575,Phone_by_Sentiment!$B$2:$B$37,Phone_by_Sentiment!F$2:F$37,"",0,1)),_xlfn.XLOOKUP($C1575,Phone_by_Sentiment!$B$2:$B$37,Phone_by_Sentiment!F$2:F$37,"",0,1),0),$A1575-TEXT(DATEVALUE($D1575&amp;"-01"), "dd-mm-yyyy")),0),0)</f>
        <v>33</v>
      </c>
      <c r="G1575" cm="1">
        <f t="array" ref="G1575">IF($Q1575&gt;=0,IFERROR(generateSalesData($D1575, IF(ISNUMBER(_xlfn.XLOOKUP($C1575,Phone_by_Sentiment!$B$2:$B$37,Phone_by_Sentiment!G$2:G$37,"",0,1)),_xlfn.XLOOKUP($C1575,Phone_by_Sentiment!$B$2:$B$37,Phone_by_Sentiment!G$2:G$37,"",0,1),0),$A1575-TEXT(DATEVALUE($D1575&amp;"-01"), "dd-mm-yyyy")),0),0)</f>
        <v>5</v>
      </c>
      <c r="H1575" cm="1">
        <f t="array" ref="H1575">IF($Q1575&gt;=0,IFERROR(generateSalesData($D1575, IF(ISNUMBER(_xlfn.XLOOKUP($C1575,Phone_by_Sentiment!$B$2:$B$37,Phone_by_Sentiment!H$2:H$37,"",0,1)),_xlfn.XLOOKUP($C1575,Phone_by_Sentiment!$B$2:$B$37,Phone_by_Sentiment!H$2:H$37,"",0,1),0),$A1575-TEXT(DATEVALUE($D1575&amp;"-01"), "dd-mm-yyyy")),0),0)</f>
        <v>236</v>
      </c>
      <c r="I1575" cm="1">
        <f t="array" ref="I1575">IF($Q1575&gt;=0,IFERROR(generateSalesData($D1575, IF(ISNUMBER(_xlfn.XLOOKUP($C1575,Phone_by_Sentiment!$B$2:$B$37,Phone_by_Sentiment!I$2:I$37,"",0,1)),_xlfn.XLOOKUP($C1575,Phone_by_Sentiment!$B$2:$B$37,Phone_by_Sentiment!I$2:I$37,"",0,1),0),$A1575-TEXT(DATEVALUE($D1575&amp;"-01"), "dd-mm-yyyy")),0),0)</f>
        <v>699</v>
      </c>
      <c r="J1575" cm="1">
        <f t="array" ref="J1575">IF($Q1575&gt;=0,IFERROR(generateSalesData($D1575, IF(ISNUMBER(_xlfn.XLOOKUP($C1575,Phone_by_Sentiment!$B$2:$B$37,Phone_by_Sentiment!J$2:J$37,"",0,1)),_xlfn.XLOOKUP($C1575,Phone_by_Sentiment!$B$2:$B$37,Phone_by_Sentiment!J$2:J$37,"",0,1),0),$A1575-TEXT(DATEVALUE($D1575&amp;"-01"), "dd-mm-yyyy")),0),0)</f>
        <v>173</v>
      </c>
      <c r="K1575" cm="1">
        <f t="array" ref="K1575">IF($Q1575&gt;=0,IFERROR(generateSalesData($D1575, IF(ISNUMBER(_xlfn.XLOOKUP($C1575,Phone_by_Sentiment!$B$2:$B$37,Phone_by_Sentiment!K$2:K$37,"",0,1)),_xlfn.XLOOKUP($C1575,Phone_by_Sentiment!$B$2:$B$37,Phone_by_Sentiment!K$2:K$37,"",0,1),0),$A1575-TEXT(DATEVALUE($D1575&amp;"-01"), "dd-mm-yyyy")),0),0)</f>
        <v>235</v>
      </c>
      <c r="L1575" cm="1">
        <f t="array" ref="L1575">IF($Q1575&gt;=0,IFERROR(generateSalesData($D1575, IF(ISNUMBER(_xlfn.XLOOKUP($C1575,Phone_by_Sentiment!$B$2:$B$37,Phone_by_Sentiment!L$2:L$37,"",0,1)),_xlfn.XLOOKUP($C1575,Phone_by_Sentiment!$B$2:$B$37,Phone_by_Sentiment!L$2:L$37,"",0,1),0),$A1575-TEXT(DATEVALUE($D1575&amp;"-01"), "dd-mm-yyyy")),0),0)</f>
        <v>637</v>
      </c>
      <c r="M1575" cm="1">
        <f t="array" ref="M1575">IF($Q1575&gt;=0,IFERROR(generateSalesData($D1575, IF(ISNUMBER(_xlfn.XLOOKUP($C1575,Phone_by_Sentiment!$B$2:$B$37,Phone_by_Sentiment!M$2:M$37,"",0,1)),_xlfn.XLOOKUP($C1575,Phone_by_Sentiment!$B$2:$B$37,Phone_by_Sentiment!M$2:M$37,"",0,1),0),$A1575-TEXT(DATEVALUE($D1575&amp;"-01"), "dd-mm-yyyy")),0),0)</f>
        <v>119</v>
      </c>
      <c r="N1575" cm="1">
        <f t="array" ref="N1575">IF($Q1575&gt;=0,IFERROR(generateSalesData($D1575, IF(ISNUMBER(_xlfn.XLOOKUP($C1575,Phone_by_Sentiment!$B$2:$B$37,Phone_by_Sentiment!N$2:N$37,"",0,1)),_xlfn.XLOOKUP($C1575,Phone_by_Sentiment!$B$2:$B$37,Phone_by_Sentiment!N$2:N$37,"",0,1),0),$A1575-TEXT(DATEVALUE($D1575&amp;"-01"), "dd-mm-yyyy")),0),0)</f>
        <v>409</v>
      </c>
      <c r="O1575" cm="1">
        <f t="array" ref="O1575">IF($Q1575&gt;=0,IFERROR(generateSalesData($D1575, IF(ISNUMBER(_xlfn.XLOOKUP($C1575,Phone_by_Sentiment!$B$2:$B$37,Phone_by_Sentiment!O$2:O$37,"",0,1)),_xlfn.XLOOKUP($C1575,Phone_by_Sentiment!$B$2:$B$37,Phone_by_Sentiment!O$2:O$37,"",0,1),0),$A1575-TEXT(DATEVALUE($D1575&amp;"-01"), "dd-mm-yyyy")),0),0)</f>
        <v>184</v>
      </c>
      <c r="P1575" s="1">
        <f t="shared" si="61"/>
        <v>44287</v>
      </c>
      <c r="Q1575">
        <f t="shared" si="63"/>
        <v>518</v>
      </c>
    </row>
    <row r="1576" spans="1:17" x14ac:dyDescent="0.25">
      <c r="A1576" s="1">
        <f t="shared" si="62"/>
        <v>44835</v>
      </c>
      <c r="B1576" t="s">
        <v>144</v>
      </c>
      <c r="C1576" t="str">
        <f>_xlfn.XLOOKUP(B1576,Phone_by_Price!$A$2:$A$34,Phone_by_Price!$B$2:$B$34,"-",0,1)</f>
        <v>Xiaomi Redmi Note 10</v>
      </c>
      <c r="D1576" t="str">
        <f>_xlfn.XLOOKUP(C1576,Phone_by_Sentiment!$B$2:$B$37,Phone_by_Sentiment!$A$2:$A$37,"-",0,1)</f>
        <v>2021-03</v>
      </c>
      <c r="E1576" cm="1">
        <f t="array" ref="E1576">IF($Q1576&gt;=0,IFERROR(generateSalesData($D1576, IF(ISNUMBER(_xlfn.XLOOKUP($C1576,Phone_by_Sentiment!$B$2:$B$37,Phone_by_Sentiment!E$2:E$37,"",0,1)),_xlfn.XLOOKUP($C1576,Phone_by_Sentiment!$B$2:$B$37,Phone_by_Sentiment!E$2:E$37,"",0,1),0),$A1576-TEXT(DATEVALUE($D1576&amp;"-01"), "dd-mm-yyyy")),0),0)</f>
        <v>61</v>
      </c>
      <c r="F1576" cm="1">
        <f t="array" ref="F1576">IF($Q1576&gt;=0,IFERROR(generateSalesData($D1576, IF(ISNUMBER(_xlfn.XLOOKUP($C1576,Phone_by_Sentiment!$B$2:$B$37,Phone_by_Sentiment!F$2:F$37,"",0,1)),_xlfn.XLOOKUP($C1576,Phone_by_Sentiment!$B$2:$B$37,Phone_by_Sentiment!F$2:F$37,"",0,1),0),$A1576-TEXT(DATEVALUE($D1576&amp;"-01"), "dd-mm-yyyy")),0),0)</f>
        <v>133</v>
      </c>
      <c r="G1576" cm="1">
        <f t="array" ref="G1576">IF($Q1576&gt;=0,IFERROR(generateSalesData($D1576, IF(ISNUMBER(_xlfn.XLOOKUP($C1576,Phone_by_Sentiment!$B$2:$B$37,Phone_by_Sentiment!G$2:G$37,"",0,1)),_xlfn.XLOOKUP($C1576,Phone_by_Sentiment!$B$2:$B$37,Phone_by_Sentiment!G$2:G$37,"",0,1),0),$A1576-TEXT(DATEVALUE($D1576&amp;"-01"), "dd-mm-yyyy")),0),0)</f>
        <v>66</v>
      </c>
      <c r="H1576" cm="1">
        <f t="array" ref="H1576">IF($Q1576&gt;=0,IFERROR(generateSalesData($D1576, IF(ISNUMBER(_xlfn.XLOOKUP($C1576,Phone_by_Sentiment!$B$2:$B$37,Phone_by_Sentiment!H$2:H$37,"",0,1)),_xlfn.XLOOKUP($C1576,Phone_by_Sentiment!$B$2:$B$37,Phone_by_Sentiment!H$2:H$37,"",0,1),0),$A1576-TEXT(DATEVALUE($D1576&amp;"-01"), "dd-mm-yyyy")),0),0)</f>
        <v>309</v>
      </c>
      <c r="I1576" cm="1">
        <f t="array" ref="I1576">IF($Q1576&gt;=0,IFERROR(generateSalesData($D1576, IF(ISNUMBER(_xlfn.XLOOKUP($C1576,Phone_by_Sentiment!$B$2:$B$37,Phone_by_Sentiment!I$2:I$37,"",0,1)),_xlfn.XLOOKUP($C1576,Phone_by_Sentiment!$B$2:$B$37,Phone_by_Sentiment!I$2:I$37,"",0,1),0),$A1576-TEXT(DATEVALUE($D1576&amp;"-01"), "dd-mm-yyyy")),0),0)</f>
        <v>279</v>
      </c>
      <c r="J1576" cm="1">
        <f t="array" ref="J1576">IF($Q1576&gt;=0,IFERROR(generateSalesData($D1576, IF(ISNUMBER(_xlfn.XLOOKUP($C1576,Phone_by_Sentiment!$B$2:$B$37,Phone_by_Sentiment!J$2:J$37,"",0,1)),_xlfn.XLOOKUP($C1576,Phone_by_Sentiment!$B$2:$B$37,Phone_by_Sentiment!J$2:J$37,"",0,1),0),$A1576-TEXT(DATEVALUE($D1576&amp;"-01"), "dd-mm-yyyy")),0),0)</f>
        <v>166</v>
      </c>
      <c r="K1576" cm="1">
        <f t="array" ref="K1576">IF($Q1576&gt;=0,IFERROR(generateSalesData($D1576, IF(ISNUMBER(_xlfn.XLOOKUP($C1576,Phone_by_Sentiment!$B$2:$B$37,Phone_by_Sentiment!K$2:K$37,"",0,1)),_xlfn.XLOOKUP($C1576,Phone_by_Sentiment!$B$2:$B$37,Phone_by_Sentiment!K$2:K$37,"",0,1),0),$A1576-TEXT(DATEVALUE($D1576&amp;"-01"), "dd-mm-yyyy")),0),0)</f>
        <v>283</v>
      </c>
      <c r="L1576" cm="1">
        <f t="array" ref="L1576">IF($Q1576&gt;=0,IFERROR(generateSalesData($D1576, IF(ISNUMBER(_xlfn.XLOOKUP($C1576,Phone_by_Sentiment!$B$2:$B$37,Phone_by_Sentiment!L$2:L$37,"",0,1)),_xlfn.XLOOKUP($C1576,Phone_by_Sentiment!$B$2:$B$37,Phone_by_Sentiment!L$2:L$37,"",0,1),0),$A1576-TEXT(DATEVALUE($D1576&amp;"-01"), "dd-mm-yyyy")),0),0)</f>
        <v>328</v>
      </c>
      <c r="M1576" cm="1">
        <f t="array" ref="M1576">IF($Q1576&gt;=0,IFERROR(generateSalesData($D1576, IF(ISNUMBER(_xlfn.XLOOKUP($C1576,Phone_by_Sentiment!$B$2:$B$37,Phone_by_Sentiment!M$2:M$37,"",0,1)),_xlfn.XLOOKUP($C1576,Phone_by_Sentiment!$B$2:$B$37,Phone_by_Sentiment!M$2:M$37,"",0,1),0),$A1576-TEXT(DATEVALUE($D1576&amp;"-01"), "dd-mm-yyyy")),0),0)</f>
        <v>55</v>
      </c>
      <c r="N1576" cm="1">
        <f t="array" ref="N1576">IF($Q1576&gt;=0,IFERROR(generateSalesData($D1576, IF(ISNUMBER(_xlfn.XLOOKUP($C1576,Phone_by_Sentiment!$B$2:$B$37,Phone_by_Sentiment!N$2:N$37,"",0,1)),_xlfn.XLOOKUP($C1576,Phone_by_Sentiment!$B$2:$B$37,Phone_by_Sentiment!N$2:N$37,"",0,1),0),$A1576-TEXT(DATEVALUE($D1576&amp;"-01"), "dd-mm-yyyy")),0),0)</f>
        <v>492</v>
      </c>
      <c r="O1576" cm="1">
        <f t="array" ref="O1576">IF($Q1576&gt;=0,IFERROR(generateSalesData($D1576, IF(ISNUMBER(_xlfn.XLOOKUP($C1576,Phone_by_Sentiment!$B$2:$B$37,Phone_by_Sentiment!O$2:O$37,"",0,1)),_xlfn.XLOOKUP($C1576,Phone_by_Sentiment!$B$2:$B$37,Phone_by_Sentiment!O$2:O$37,"",0,1),0),$A1576-TEXT(DATEVALUE($D1576&amp;"-01"), "dd-mm-yyyy")),0),0)</f>
        <v>283</v>
      </c>
      <c r="P1576" s="1">
        <f t="shared" si="61"/>
        <v>44256</v>
      </c>
      <c r="Q1576">
        <f t="shared" si="63"/>
        <v>579</v>
      </c>
    </row>
    <row r="1577" spans="1:17" x14ac:dyDescent="0.25">
      <c r="A1577" s="1">
        <f t="shared" si="62"/>
        <v>44835</v>
      </c>
      <c r="B1577" t="s">
        <v>145</v>
      </c>
      <c r="C1577" t="str">
        <f>_xlfn.XLOOKUP(B1577,Phone_by_Price!$A$2:$A$34,Phone_by_Price!$B$2:$B$34,"-",0,1)</f>
        <v>OPPO A54</v>
      </c>
      <c r="D1577" t="str">
        <f>_xlfn.XLOOKUP(C1577,Phone_by_Sentiment!$B$2:$B$37,Phone_by_Sentiment!$A$2:$A$37,"-",0,1)</f>
        <v>2021-04</v>
      </c>
      <c r="E1577" cm="1">
        <f t="array" ref="E1577">IF($Q1577&gt;=0,IFERROR(generateSalesData($D1577, IF(ISNUMBER(_xlfn.XLOOKUP($C1577,Phone_by_Sentiment!$B$2:$B$37,Phone_by_Sentiment!E$2:E$37,"",0,1)),_xlfn.XLOOKUP($C1577,Phone_by_Sentiment!$B$2:$B$37,Phone_by_Sentiment!E$2:E$37,"",0,1),0),$A1577-TEXT(DATEVALUE($D1577&amp;"-01"), "dd-mm-yyyy")),0),0)</f>
        <v>318</v>
      </c>
      <c r="F1577" cm="1">
        <f t="array" ref="F1577">IF($Q1577&gt;=0,IFERROR(generateSalesData($D1577, IF(ISNUMBER(_xlfn.XLOOKUP($C1577,Phone_by_Sentiment!$B$2:$B$37,Phone_by_Sentiment!F$2:F$37,"",0,1)),_xlfn.XLOOKUP($C1577,Phone_by_Sentiment!$B$2:$B$37,Phone_by_Sentiment!F$2:F$37,"",0,1),0),$A1577-TEXT(DATEVALUE($D1577&amp;"-01"), "dd-mm-yyyy")),0),0)</f>
        <v>92</v>
      </c>
      <c r="G1577" cm="1">
        <f t="array" ref="G1577">IF($Q1577&gt;=0,IFERROR(generateSalesData($D1577, IF(ISNUMBER(_xlfn.XLOOKUP($C1577,Phone_by_Sentiment!$B$2:$B$37,Phone_by_Sentiment!G$2:G$37,"",0,1)),_xlfn.XLOOKUP($C1577,Phone_by_Sentiment!$B$2:$B$37,Phone_by_Sentiment!G$2:G$37,"",0,1),0),$A1577-TEXT(DATEVALUE($D1577&amp;"-01"), "dd-mm-yyyy")),0),0)</f>
        <v>82</v>
      </c>
      <c r="H1577" cm="1">
        <f t="array" ref="H1577">IF($Q1577&gt;=0,IFERROR(generateSalesData($D1577, IF(ISNUMBER(_xlfn.XLOOKUP($C1577,Phone_by_Sentiment!$B$2:$B$37,Phone_by_Sentiment!H$2:H$37,"",0,1)),_xlfn.XLOOKUP($C1577,Phone_by_Sentiment!$B$2:$B$37,Phone_by_Sentiment!H$2:H$37,"",0,1),0),$A1577-TEXT(DATEVALUE($D1577&amp;"-01"), "dd-mm-yyyy")),0),0)</f>
        <v>525</v>
      </c>
      <c r="I1577" cm="1">
        <f t="array" ref="I1577">IF($Q1577&gt;=0,IFERROR(generateSalesData($D1577, IF(ISNUMBER(_xlfn.XLOOKUP($C1577,Phone_by_Sentiment!$B$2:$B$37,Phone_by_Sentiment!I$2:I$37,"",0,1)),_xlfn.XLOOKUP($C1577,Phone_by_Sentiment!$B$2:$B$37,Phone_by_Sentiment!I$2:I$37,"",0,1),0),$A1577-TEXT(DATEVALUE($D1577&amp;"-01"), "dd-mm-yyyy")),0),0)</f>
        <v>443</v>
      </c>
      <c r="J1577" cm="1">
        <f t="array" ref="J1577">IF($Q1577&gt;=0,IFERROR(generateSalesData($D1577, IF(ISNUMBER(_xlfn.XLOOKUP($C1577,Phone_by_Sentiment!$B$2:$B$37,Phone_by_Sentiment!J$2:J$37,"",0,1)),_xlfn.XLOOKUP($C1577,Phone_by_Sentiment!$B$2:$B$37,Phone_by_Sentiment!J$2:J$37,"",0,1),0),$A1577-TEXT(DATEVALUE($D1577&amp;"-01"), "dd-mm-yyyy")),0),0)</f>
        <v>121</v>
      </c>
      <c r="K1577" cm="1">
        <f t="array" ref="K1577">IF($Q1577&gt;=0,IFERROR(generateSalesData($D1577, IF(ISNUMBER(_xlfn.XLOOKUP($C1577,Phone_by_Sentiment!$B$2:$B$37,Phone_by_Sentiment!K$2:K$37,"",0,1)),_xlfn.XLOOKUP($C1577,Phone_by_Sentiment!$B$2:$B$37,Phone_by_Sentiment!K$2:K$37,"",0,1),0),$A1577-TEXT(DATEVALUE($D1577&amp;"-01"), "dd-mm-yyyy")),0),0)</f>
        <v>134</v>
      </c>
      <c r="L1577" cm="1">
        <f t="array" ref="L1577">IF($Q1577&gt;=0,IFERROR(generateSalesData($D1577, IF(ISNUMBER(_xlfn.XLOOKUP($C1577,Phone_by_Sentiment!$B$2:$B$37,Phone_by_Sentiment!L$2:L$37,"",0,1)),_xlfn.XLOOKUP($C1577,Phone_by_Sentiment!$B$2:$B$37,Phone_by_Sentiment!L$2:L$37,"",0,1),0),$A1577-TEXT(DATEVALUE($D1577&amp;"-01"), "dd-mm-yyyy")),0),0)</f>
        <v>114</v>
      </c>
      <c r="M1577" cm="1">
        <f t="array" ref="M1577">IF($Q1577&gt;=0,IFERROR(generateSalesData($D1577, IF(ISNUMBER(_xlfn.XLOOKUP($C1577,Phone_by_Sentiment!$B$2:$B$37,Phone_by_Sentiment!M$2:M$37,"",0,1)),_xlfn.XLOOKUP($C1577,Phone_by_Sentiment!$B$2:$B$37,Phone_by_Sentiment!M$2:M$37,"",0,1),0),$A1577-TEXT(DATEVALUE($D1577&amp;"-01"), "dd-mm-yyyy")),0),0)</f>
        <v>170</v>
      </c>
      <c r="N1577" cm="1">
        <f t="array" ref="N1577">IF($Q1577&gt;=0,IFERROR(generateSalesData($D1577, IF(ISNUMBER(_xlfn.XLOOKUP($C1577,Phone_by_Sentiment!$B$2:$B$37,Phone_by_Sentiment!N$2:N$37,"",0,1)),_xlfn.XLOOKUP($C1577,Phone_by_Sentiment!$B$2:$B$37,Phone_by_Sentiment!N$2:N$37,"",0,1),0),$A1577-TEXT(DATEVALUE($D1577&amp;"-01"), "dd-mm-yyyy")),0),0)</f>
        <v>67</v>
      </c>
      <c r="O1577" cm="1">
        <f t="array" ref="O1577">IF($Q1577&gt;=0,IFERROR(generateSalesData($D1577, IF(ISNUMBER(_xlfn.XLOOKUP($C1577,Phone_by_Sentiment!$B$2:$B$37,Phone_by_Sentiment!O$2:O$37,"",0,1)),_xlfn.XLOOKUP($C1577,Phone_by_Sentiment!$B$2:$B$37,Phone_by_Sentiment!O$2:O$37,"",0,1),0),$A1577-TEXT(DATEVALUE($D1577&amp;"-01"), "dd-mm-yyyy")),0),0)</f>
        <v>153</v>
      </c>
      <c r="P1577" s="1">
        <f t="shared" si="61"/>
        <v>44287</v>
      </c>
      <c r="Q1577">
        <f t="shared" si="63"/>
        <v>548</v>
      </c>
    </row>
    <row r="1578" spans="1:17" x14ac:dyDescent="0.25">
      <c r="A1578" s="1">
        <f t="shared" si="62"/>
        <v>44835</v>
      </c>
      <c r="B1578" t="s">
        <v>146</v>
      </c>
      <c r="C1578" t="str">
        <f>_xlfn.XLOOKUP(B1578,Phone_by_Price!$A$2:$A$34,Phone_by_Price!$B$2:$B$34,"-",0,1)</f>
        <v>Vivo Y20</v>
      </c>
      <c r="D1578" t="str">
        <f>_xlfn.XLOOKUP(C1578,Phone_by_Sentiment!$B$2:$B$37,Phone_by_Sentiment!$A$2:$A$37,"-",0,1)</f>
        <v>2020-09</v>
      </c>
      <c r="E1578" cm="1">
        <f t="array" ref="E1578">IF($Q1578&gt;=0,IFERROR(generateSalesData($D1578, IF(ISNUMBER(_xlfn.XLOOKUP($C1578,Phone_by_Sentiment!$B$2:$B$37,Phone_by_Sentiment!E$2:E$37,"",0,1)),_xlfn.XLOOKUP($C1578,Phone_by_Sentiment!$B$2:$B$37,Phone_by_Sentiment!E$2:E$37,"",0,1),0),$A1578-TEXT(DATEVALUE($D1578&amp;"-01"), "dd-mm-yyyy")),0),0)</f>
        <v>257</v>
      </c>
      <c r="F1578" cm="1">
        <f t="array" ref="F1578">IF($Q1578&gt;=0,IFERROR(generateSalesData($D1578, IF(ISNUMBER(_xlfn.XLOOKUP($C1578,Phone_by_Sentiment!$B$2:$B$37,Phone_by_Sentiment!F$2:F$37,"",0,1)),_xlfn.XLOOKUP($C1578,Phone_by_Sentiment!$B$2:$B$37,Phone_by_Sentiment!F$2:F$37,"",0,1),0),$A1578-TEXT(DATEVALUE($D1578&amp;"-01"), "dd-mm-yyyy")),0),0)</f>
        <v>196</v>
      </c>
      <c r="G1578" cm="1">
        <f t="array" ref="G1578">IF($Q1578&gt;=0,IFERROR(generateSalesData($D1578, IF(ISNUMBER(_xlfn.XLOOKUP($C1578,Phone_by_Sentiment!$B$2:$B$37,Phone_by_Sentiment!G$2:G$37,"",0,1)),_xlfn.XLOOKUP($C1578,Phone_by_Sentiment!$B$2:$B$37,Phone_by_Sentiment!G$2:G$37,"",0,1),0),$A1578-TEXT(DATEVALUE($D1578&amp;"-01"), "dd-mm-yyyy")),0),0)</f>
        <v>169</v>
      </c>
      <c r="H1578" cm="1">
        <f t="array" ref="H1578">IF($Q1578&gt;=0,IFERROR(generateSalesData($D1578, IF(ISNUMBER(_xlfn.XLOOKUP($C1578,Phone_by_Sentiment!$B$2:$B$37,Phone_by_Sentiment!H$2:H$37,"",0,1)),_xlfn.XLOOKUP($C1578,Phone_by_Sentiment!$B$2:$B$37,Phone_by_Sentiment!H$2:H$37,"",0,1),0),$A1578-TEXT(DATEVALUE($D1578&amp;"-01"), "dd-mm-yyyy")),0),0)</f>
        <v>39</v>
      </c>
      <c r="I1578" cm="1">
        <f t="array" ref="I1578">IF($Q1578&gt;=0,IFERROR(generateSalesData($D1578, IF(ISNUMBER(_xlfn.XLOOKUP($C1578,Phone_by_Sentiment!$B$2:$B$37,Phone_by_Sentiment!I$2:I$37,"",0,1)),_xlfn.XLOOKUP($C1578,Phone_by_Sentiment!$B$2:$B$37,Phone_by_Sentiment!I$2:I$37,"",0,1),0),$A1578-TEXT(DATEVALUE($D1578&amp;"-01"), "dd-mm-yyyy")),0),0)</f>
        <v>33</v>
      </c>
      <c r="J1578" cm="1">
        <f t="array" ref="J1578">IF($Q1578&gt;=0,IFERROR(generateSalesData($D1578, IF(ISNUMBER(_xlfn.XLOOKUP($C1578,Phone_by_Sentiment!$B$2:$B$37,Phone_by_Sentiment!J$2:J$37,"",0,1)),_xlfn.XLOOKUP($C1578,Phone_by_Sentiment!$B$2:$B$37,Phone_by_Sentiment!J$2:J$37,"",0,1),0),$A1578-TEXT(DATEVALUE($D1578&amp;"-01"), "dd-mm-yyyy")),0),0)</f>
        <v>1</v>
      </c>
      <c r="K1578" cm="1">
        <f t="array" ref="K1578">IF($Q1578&gt;=0,IFERROR(generateSalesData($D1578, IF(ISNUMBER(_xlfn.XLOOKUP($C1578,Phone_by_Sentiment!$B$2:$B$37,Phone_by_Sentiment!K$2:K$37,"",0,1)),_xlfn.XLOOKUP($C1578,Phone_by_Sentiment!$B$2:$B$37,Phone_by_Sentiment!K$2:K$37,"",0,1),0),$A1578-TEXT(DATEVALUE($D1578&amp;"-01"), "dd-mm-yyyy")),0),0)</f>
        <v>142</v>
      </c>
      <c r="L1578" cm="1">
        <f t="array" ref="L1578">IF($Q1578&gt;=0,IFERROR(generateSalesData($D1578, IF(ISNUMBER(_xlfn.XLOOKUP($C1578,Phone_by_Sentiment!$B$2:$B$37,Phone_by_Sentiment!L$2:L$37,"",0,1)),_xlfn.XLOOKUP($C1578,Phone_by_Sentiment!$B$2:$B$37,Phone_by_Sentiment!L$2:L$37,"",0,1),0),$A1578-TEXT(DATEVALUE($D1578&amp;"-01"), "dd-mm-yyyy")),0),0)</f>
        <v>-3</v>
      </c>
      <c r="M1578" cm="1">
        <f t="array" ref="M1578">IF($Q1578&gt;=0,IFERROR(generateSalesData($D1578, IF(ISNUMBER(_xlfn.XLOOKUP($C1578,Phone_by_Sentiment!$B$2:$B$37,Phone_by_Sentiment!M$2:M$37,"",0,1)),_xlfn.XLOOKUP($C1578,Phone_by_Sentiment!$B$2:$B$37,Phone_by_Sentiment!M$2:M$37,"",0,1),0),$A1578-TEXT(DATEVALUE($D1578&amp;"-01"), "dd-mm-yyyy")),0),0)</f>
        <v>149</v>
      </c>
      <c r="N1578" cm="1">
        <f t="array" ref="N1578">IF($Q1578&gt;=0,IFERROR(generateSalesData($D1578, IF(ISNUMBER(_xlfn.XLOOKUP($C1578,Phone_by_Sentiment!$B$2:$B$37,Phone_by_Sentiment!N$2:N$37,"",0,1)),_xlfn.XLOOKUP($C1578,Phone_by_Sentiment!$B$2:$B$37,Phone_by_Sentiment!N$2:N$37,"",0,1),0),$A1578-TEXT(DATEVALUE($D1578&amp;"-01"), "dd-mm-yyyy")),0),0)</f>
        <v>170</v>
      </c>
      <c r="O1578" cm="1">
        <f t="array" ref="O1578">IF($Q1578&gt;=0,IFERROR(generateSalesData($D1578, IF(ISNUMBER(_xlfn.XLOOKUP($C1578,Phone_by_Sentiment!$B$2:$B$37,Phone_by_Sentiment!O$2:O$37,"",0,1)),_xlfn.XLOOKUP($C1578,Phone_by_Sentiment!$B$2:$B$37,Phone_by_Sentiment!O$2:O$37,"",0,1),0),$A1578-TEXT(DATEVALUE($D1578&amp;"-01"), "dd-mm-yyyy")),0),0)</f>
        <v>110</v>
      </c>
      <c r="P1578" s="1">
        <f t="shared" si="61"/>
        <v>44075</v>
      </c>
      <c r="Q1578">
        <f t="shared" si="63"/>
        <v>760</v>
      </c>
    </row>
    <row r="1579" spans="1:17" x14ac:dyDescent="0.25">
      <c r="A1579" s="1">
        <f t="shared" si="62"/>
        <v>44835</v>
      </c>
      <c r="B1579" t="s">
        <v>147</v>
      </c>
      <c r="C1579" t="str">
        <f>_xlfn.XLOOKUP(B1579,Phone_by_Price!$A$2:$A$34,Phone_by_Price!$B$2:$B$34,"-",0,1)</f>
        <v>Huawei Y9a</v>
      </c>
      <c r="D1579" t="str">
        <f>_xlfn.XLOOKUP(C1579,Phone_by_Sentiment!$B$2:$B$37,Phone_by_Sentiment!$A$2:$A$37,"-",0,1)</f>
        <v>2020-02</v>
      </c>
      <c r="E1579" cm="1">
        <f t="array" ref="E1579">IF($Q1579&gt;=0,IFERROR(generateSalesData($D1579, IF(ISNUMBER(_xlfn.XLOOKUP($C1579,Phone_by_Sentiment!$B$2:$B$37,Phone_by_Sentiment!E$2:E$37,"",0,1)),_xlfn.XLOOKUP($C1579,Phone_by_Sentiment!$B$2:$B$37,Phone_by_Sentiment!E$2:E$37,"",0,1),0),$A1579-TEXT(DATEVALUE($D1579&amp;"-01"), "dd-mm-yyyy")),0),0)</f>
        <v>310</v>
      </c>
      <c r="F1579" cm="1">
        <f t="array" ref="F1579">IF($Q1579&gt;=0,IFERROR(generateSalesData($D1579, IF(ISNUMBER(_xlfn.XLOOKUP($C1579,Phone_by_Sentiment!$B$2:$B$37,Phone_by_Sentiment!F$2:F$37,"",0,1)),_xlfn.XLOOKUP($C1579,Phone_by_Sentiment!$B$2:$B$37,Phone_by_Sentiment!F$2:F$37,"",0,1),0),$A1579-TEXT(DATEVALUE($D1579&amp;"-01"), "dd-mm-yyyy")),0),0)</f>
        <v>105</v>
      </c>
      <c r="G1579" cm="1">
        <f t="array" ref="G1579">IF($Q1579&gt;=0,IFERROR(generateSalesData($D1579, IF(ISNUMBER(_xlfn.XLOOKUP($C1579,Phone_by_Sentiment!$B$2:$B$37,Phone_by_Sentiment!G$2:G$37,"",0,1)),_xlfn.XLOOKUP($C1579,Phone_by_Sentiment!$B$2:$B$37,Phone_by_Sentiment!G$2:G$37,"",0,1),0),$A1579-TEXT(DATEVALUE($D1579&amp;"-01"), "dd-mm-yyyy")),0),0)</f>
        <v>16</v>
      </c>
      <c r="H1579" cm="1">
        <f t="array" ref="H1579">IF($Q1579&gt;=0,IFERROR(generateSalesData($D1579, IF(ISNUMBER(_xlfn.XLOOKUP($C1579,Phone_by_Sentiment!$B$2:$B$37,Phone_by_Sentiment!H$2:H$37,"",0,1)),_xlfn.XLOOKUP($C1579,Phone_by_Sentiment!$B$2:$B$37,Phone_by_Sentiment!H$2:H$37,"",0,1),0),$A1579-TEXT(DATEVALUE($D1579&amp;"-01"), "dd-mm-yyyy")),0),0)</f>
        <v>77</v>
      </c>
      <c r="I1579" cm="1">
        <f t="array" ref="I1579">IF($Q1579&gt;=0,IFERROR(generateSalesData($D1579, IF(ISNUMBER(_xlfn.XLOOKUP($C1579,Phone_by_Sentiment!$B$2:$B$37,Phone_by_Sentiment!I$2:I$37,"",0,1)),_xlfn.XLOOKUP($C1579,Phone_by_Sentiment!$B$2:$B$37,Phone_by_Sentiment!I$2:I$37,"",0,1),0),$A1579-TEXT(DATEVALUE($D1579&amp;"-01"), "dd-mm-yyyy")),0),0)</f>
        <v>17</v>
      </c>
      <c r="J1579" cm="1">
        <f t="array" ref="J1579">IF($Q1579&gt;=0,IFERROR(generateSalesData($D1579, IF(ISNUMBER(_xlfn.XLOOKUP($C1579,Phone_by_Sentiment!$B$2:$B$37,Phone_by_Sentiment!J$2:J$37,"",0,1)),_xlfn.XLOOKUP($C1579,Phone_by_Sentiment!$B$2:$B$37,Phone_by_Sentiment!J$2:J$37,"",0,1),0),$A1579-TEXT(DATEVALUE($D1579&amp;"-01"), "dd-mm-yyyy")),0),0)</f>
        <v>58</v>
      </c>
      <c r="K1579" cm="1">
        <f t="array" ref="K1579">IF($Q1579&gt;=0,IFERROR(generateSalesData($D1579, IF(ISNUMBER(_xlfn.XLOOKUP($C1579,Phone_by_Sentiment!$B$2:$B$37,Phone_by_Sentiment!K$2:K$37,"",0,1)),_xlfn.XLOOKUP($C1579,Phone_by_Sentiment!$B$2:$B$37,Phone_by_Sentiment!K$2:K$37,"",0,1),0),$A1579-TEXT(DATEVALUE($D1579&amp;"-01"), "dd-mm-yyyy")),0),0)</f>
        <v>68</v>
      </c>
      <c r="L1579" cm="1">
        <f t="array" ref="L1579">IF($Q1579&gt;=0,IFERROR(generateSalesData($D1579, IF(ISNUMBER(_xlfn.XLOOKUP($C1579,Phone_by_Sentiment!$B$2:$B$37,Phone_by_Sentiment!L$2:L$37,"",0,1)),_xlfn.XLOOKUP($C1579,Phone_by_Sentiment!$B$2:$B$37,Phone_by_Sentiment!L$2:L$37,"",0,1),0),$A1579-TEXT(DATEVALUE($D1579&amp;"-01"), "dd-mm-yyyy")),0),0)</f>
        <v>85</v>
      </c>
      <c r="M1579" cm="1">
        <f t="array" ref="M1579">IF($Q1579&gt;=0,IFERROR(generateSalesData($D1579, IF(ISNUMBER(_xlfn.XLOOKUP($C1579,Phone_by_Sentiment!$B$2:$B$37,Phone_by_Sentiment!M$2:M$37,"",0,1)),_xlfn.XLOOKUP($C1579,Phone_by_Sentiment!$B$2:$B$37,Phone_by_Sentiment!M$2:M$37,"",0,1),0),$A1579-TEXT(DATEVALUE($D1579&amp;"-01"), "dd-mm-yyyy")),0),0)</f>
        <v>84</v>
      </c>
      <c r="N1579" cm="1">
        <f t="array" ref="N1579">IF($Q1579&gt;=0,IFERROR(generateSalesData($D1579, IF(ISNUMBER(_xlfn.XLOOKUP($C1579,Phone_by_Sentiment!$B$2:$B$37,Phone_by_Sentiment!N$2:N$37,"",0,1)),_xlfn.XLOOKUP($C1579,Phone_by_Sentiment!$B$2:$B$37,Phone_by_Sentiment!N$2:N$37,"",0,1),0),$A1579-TEXT(DATEVALUE($D1579&amp;"-01"), "dd-mm-yyyy")),0),0)</f>
        <v>74</v>
      </c>
      <c r="O1579" cm="1">
        <f t="array" ref="O1579">IF($Q1579&gt;=0,IFERROR(generateSalesData($D1579, IF(ISNUMBER(_xlfn.XLOOKUP($C1579,Phone_by_Sentiment!$B$2:$B$37,Phone_by_Sentiment!O$2:O$37,"",0,1)),_xlfn.XLOOKUP($C1579,Phone_by_Sentiment!$B$2:$B$37,Phone_by_Sentiment!O$2:O$37,"",0,1),0),$A1579-TEXT(DATEVALUE($D1579&amp;"-01"), "dd-mm-yyyy")),0),0)</f>
        <v>20</v>
      </c>
      <c r="P1579" s="1">
        <f t="shared" si="61"/>
        <v>43862</v>
      </c>
      <c r="Q1579">
        <f t="shared" si="63"/>
        <v>973</v>
      </c>
    </row>
    <row r="1580" spans="1:17" x14ac:dyDescent="0.25">
      <c r="A1580" s="1">
        <f t="shared" si="62"/>
        <v>44835</v>
      </c>
      <c r="B1580" t="s">
        <v>148</v>
      </c>
      <c r="C1580" t="str">
        <f>_xlfn.XLOOKUP(B1580,Phone_by_Price!$A$2:$A$34,Phone_by_Price!$B$2:$B$34,"-",0,1)</f>
        <v>Xiaomi Redmi 10</v>
      </c>
      <c r="D1580" t="str">
        <f>_xlfn.XLOOKUP(C1580,Phone_by_Sentiment!$B$2:$B$37,Phone_by_Sentiment!$A$2:$A$37,"-",0,1)</f>
        <v>2021-03</v>
      </c>
      <c r="E1580" cm="1">
        <f t="array" ref="E1580">IF($Q1580&gt;=0,IFERROR(generateSalesData($D1580, IF(ISNUMBER(_xlfn.XLOOKUP($C1580,Phone_by_Sentiment!$B$2:$B$37,Phone_by_Sentiment!E$2:E$37,"",0,1)),_xlfn.XLOOKUP($C1580,Phone_by_Sentiment!$B$2:$B$37,Phone_by_Sentiment!E$2:E$37,"",0,1),0),$A1580-TEXT(DATEVALUE($D1580&amp;"-01"), "dd-mm-yyyy")),0),0)</f>
        <v>251</v>
      </c>
      <c r="F1580" cm="1">
        <f t="array" ref="F1580">IF($Q1580&gt;=0,IFERROR(generateSalesData($D1580, IF(ISNUMBER(_xlfn.XLOOKUP($C1580,Phone_by_Sentiment!$B$2:$B$37,Phone_by_Sentiment!F$2:F$37,"",0,1)),_xlfn.XLOOKUP($C1580,Phone_by_Sentiment!$B$2:$B$37,Phone_by_Sentiment!F$2:F$37,"",0,1),0),$A1580-TEXT(DATEVALUE($D1580&amp;"-01"), "dd-mm-yyyy")),0),0)</f>
        <v>448</v>
      </c>
      <c r="G1580" cm="1">
        <f t="array" ref="G1580">IF($Q1580&gt;=0,IFERROR(generateSalesData($D1580, IF(ISNUMBER(_xlfn.XLOOKUP($C1580,Phone_by_Sentiment!$B$2:$B$37,Phone_by_Sentiment!G$2:G$37,"",0,1)),_xlfn.XLOOKUP($C1580,Phone_by_Sentiment!$B$2:$B$37,Phone_by_Sentiment!G$2:G$37,"",0,1),0),$A1580-TEXT(DATEVALUE($D1580&amp;"-01"), "dd-mm-yyyy")),0),0)</f>
        <v>122</v>
      </c>
      <c r="H1580" cm="1">
        <f t="array" ref="H1580">IF($Q1580&gt;=0,IFERROR(generateSalesData($D1580, IF(ISNUMBER(_xlfn.XLOOKUP($C1580,Phone_by_Sentiment!$B$2:$B$37,Phone_by_Sentiment!H$2:H$37,"",0,1)),_xlfn.XLOOKUP($C1580,Phone_by_Sentiment!$B$2:$B$37,Phone_by_Sentiment!H$2:H$37,"",0,1),0),$A1580-TEXT(DATEVALUE($D1580&amp;"-01"), "dd-mm-yyyy")),0),0)</f>
        <v>193</v>
      </c>
      <c r="I1580" cm="1">
        <f t="array" ref="I1580">IF($Q1580&gt;=0,IFERROR(generateSalesData($D1580, IF(ISNUMBER(_xlfn.XLOOKUP($C1580,Phone_by_Sentiment!$B$2:$B$37,Phone_by_Sentiment!I$2:I$37,"",0,1)),_xlfn.XLOOKUP($C1580,Phone_by_Sentiment!$B$2:$B$37,Phone_by_Sentiment!I$2:I$37,"",0,1),0),$A1580-TEXT(DATEVALUE($D1580&amp;"-01"), "dd-mm-yyyy")),0),0)</f>
        <v>119</v>
      </c>
      <c r="J1580" cm="1">
        <f t="array" ref="J1580">IF($Q1580&gt;=0,IFERROR(generateSalesData($D1580, IF(ISNUMBER(_xlfn.XLOOKUP($C1580,Phone_by_Sentiment!$B$2:$B$37,Phone_by_Sentiment!J$2:J$37,"",0,1)),_xlfn.XLOOKUP($C1580,Phone_by_Sentiment!$B$2:$B$37,Phone_by_Sentiment!J$2:J$37,"",0,1),0),$A1580-TEXT(DATEVALUE($D1580&amp;"-01"), "dd-mm-yyyy")),0),0)</f>
        <v>98</v>
      </c>
      <c r="K1580" cm="1">
        <f t="array" ref="K1580">IF($Q1580&gt;=0,IFERROR(generateSalesData($D1580, IF(ISNUMBER(_xlfn.XLOOKUP($C1580,Phone_by_Sentiment!$B$2:$B$37,Phone_by_Sentiment!K$2:K$37,"",0,1)),_xlfn.XLOOKUP($C1580,Phone_by_Sentiment!$B$2:$B$37,Phone_by_Sentiment!K$2:K$37,"",0,1),0),$A1580-TEXT(DATEVALUE($D1580&amp;"-01"), "dd-mm-yyyy")),0),0)</f>
        <v>414</v>
      </c>
      <c r="L1580" cm="1">
        <f t="array" ref="L1580">IF($Q1580&gt;=0,IFERROR(generateSalesData($D1580, IF(ISNUMBER(_xlfn.XLOOKUP($C1580,Phone_by_Sentiment!$B$2:$B$37,Phone_by_Sentiment!L$2:L$37,"",0,1)),_xlfn.XLOOKUP($C1580,Phone_by_Sentiment!$B$2:$B$37,Phone_by_Sentiment!L$2:L$37,"",0,1),0),$A1580-TEXT(DATEVALUE($D1580&amp;"-01"), "dd-mm-yyyy")),0),0)</f>
        <v>140</v>
      </c>
      <c r="M1580" cm="1">
        <f t="array" ref="M1580">IF($Q1580&gt;=0,IFERROR(generateSalesData($D1580, IF(ISNUMBER(_xlfn.XLOOKUP($C1580,Phone_by_Sentiment!$B$2:$B$37,Phone_by_Sentiment!M$2:M$37,"",0,1)),_xlfn.XLOOKUP($C1580,Phone_by_Sentiment!$B$2:$B$37,Phone_by_Sentiment!M$2:M$37,"",0,1),0),$A1580-TEXT(DATEVALUE($D1580&amp;"-01"), "dd-mm-yyyy")),0),0)</f>
        <v>88</v>
      </c>
      <c r="N1580" cm="1">
        <f t="array" ref="N1580">IF($Q1580&gt;=0,IFERROR(generateSalesData($D1580, IF(ISNUMBER(_xlfn.XLOOKUP($C1580,Phone_by_Sentiment!$B$2:$B$37,Phone_by_Sentiment!N$2:N$37,"",0,1)),_xlfn.XLOOKUP($C1580,Phone_by_Sentiment!$B$2:$B$37,Phone_by_Sentiment!N$2:N$37,"",0,1),0),$A1580-TEXT(DATEVALUE($D1580&amp;"-01"), "dd-mm-yyyy")),0),0)</f>
        <v>-13</v>
      </c>
      <c r="O1580" cm="1">
        <f t="array" ref="O1580">IF($Q1580&gt;=0,IFERROR(generateSalesData($D1580, IF(ISNUMBER(_xlfn.XLOOKUP($C1580,Phone_by_Sentiment!$B$2:$B$37,Phone_by_Sentiment!O$2:O$37,"",0,1)),_xlfn.XLOOKUP($C1580,Phone_by_Sentiment!$B$2:$B$37,Phone_by_Sentiment!O$2:O$37,"",0,1),0),$A1580-TEXT(DATEVALUE($D1580&amp;"-01"), "dd-mm-yyyy")),0),0)</f>
        <v>406</v>
      </c>
      <c r="P1580" s="1">
        <f t="shared" si="61"/>
        <v>44256</v>
      </c>
      <c r="Q1580">
        <f t="shared" si="63"/>
        <v>579</v>
      </c>
    </row>
    <row r="1581" spans="1:17" x14ac:dyDescent="0.25">
      <c r="A1581" s="1">
        <f t="shared" si="62"/>
        <v>44835</v>
      </c>
      <c r="B1581" t="s">
        <v>149</v>
      </c>
      <c r="C1581" t="str">
        <f>_xlfn.XLOOKUP(B1581,Phone_by_Price!$A$2:$A$34,Phone_by_Price!$B$2:$B$34,"-",0,1)</f>
        <v>Samsung Galaxy A52</v>
      </c>
      <c r="D1581" t="str">
        <f>_xlfn.XLOOKUP(C1581,Phone_by_Sentiment!$B$2:$B$37,Phone_by_Sentiment!$A$2:$A$37,"-",0,1)</f>
        <v>2021-03</v>
      </c>
      <c r="E1581" cm="1">
        <f t="array" ref="E1581">IF($Q1581&gt;=0,IFERROR(generateSalesData($D1581, IF(ISNUMBER(_xlfn.XLOOKUP($C1581,Phone_by_Sentiment!$B$2:$B$37,Phone_by_Sentiment!E$2:E$37,"",0,1)),_xlfn.XLOOKUP($C1581,Phone_by_Sentiment!$B$2:$B$37,Phone_by_Sentiment!E$2:E$37,"",0,1),0),$A1581-TEXT(DATEVALUE($D1581&amp;"-01"), "dd-mm-yyyy")),0),0)</f>
        <v>427</v>
      </c>
      <c r="F1581" cm="1">
        <f t="array" ref="F1581">IF($Q1581&gt;=0,IFERROR(generateSalesData($D1581, IF(ISNUMBER(_xlfn.XLOOKUP($C1581,Phone_by_Sentiment!$B$2:$B$37,Phone_by_Sentiment!F$2:F$37,"",0,1)),_xlfn.XLOOKUP($C1581,Phone_by_Sentiment!$B$2:$B$37,Phone_by_Sentiment!F$2:F$37,"",0,1),0),$A1581-TEXT(DATEVALUE($D1581&amp;"-01"), "dd-mm-yyyy")),0),0)</f>
        <v>183</v>
      </c>
      <c r="G1581" cm="1">
        <f t="array" ref="G1581">IF($Q1581&gt;=0,IFERROR(generateSalesData($D1581, IF(ISNUMBER(_xlfn.XLOOKUP($C1581,Phone_by_Sentiment!$B$2:$B$37,Phone_by_Sentiment!G$2:G$37,"",0,1)),_xlfn.XLOOKUP($C1581,Phone_by_Sentiment!$B$2:$B$37,Phone_by_Sentiment!G$2:G$37,"",0,1),0),$A1581-TEXT(DATEVALUE($D1581&amp;"-01"), "dd-mm-yyyy")),0),0)</f>
        <v>166</v>
      </c>
      <c r="H1581" cm="1">
        <f t="array" ref="H1581">IF($Q1581&gt;=0,IFERROR(generateSalesData($D1581, IF(ISNUMBER(_xlfn.XLOOKUP($C1581,Phone_by_Sentiment!$B$2:$B$37,Phone_by_Sentiment!H$2:H$37,"",0,1)),_xlfn.XLOOKUP($C1581,Phone_by_Sentiment!$B$2:$B$37,Phone_by_Sentiment!H$2:H$37,"",0,1),0),$A1581-TEXT(DATEVALUE($D1581&amp;"-01"), "dd-mm-yyyy")),0),0)</f>
        <v>591</v>
      </c>
      <c r="I1581" cm="1">
        <f t="array" ref="I1581">IF($Q1581&gt;=0,IFERROR(generateSalesData($D1581, IF(ISNUMBER(_xlfn.XLOOKUP($C1581,Phone_by_Sentiment!$B$2:$B$37,Phone_by_Sentiment!I$2:I$37,"",0,1)),_xlfn.XLOOKUP($C1581,Phone_by_Sentiment!$B$2:$B$37,Phone_by_Sentiment!I$2:I$37,"",0,1),0),$A1581-TEXT(DATEVALUE($D1581&amp;"-01"), "dd-mm-yyyy")),0),0)</f>
        <v>374</v>
      </c>
      <c r="J1581" cm="1">
        <f t="array" ref="J1581">IF($Q1581&gt;=0,IFERROR(generateSalesData($D1581, IF(ISNUMBER(_xlfn.XLOOKUP($C1581,Phone_by_Sentiment!$B$2:$B$37,Phone_by_Sentiment!J$2:J$37,"",0,1)),_xlfn.XLOOKUP($C1581,Phone_by_Sentiment!$B$2:$B$37,Phone_by_Sentiment!J$2:J$37,"",0,1),0),$A1581-TEXT(DATEVALUE($D1581&amp;"-01"), "dd-mm-yyyy")),0),0)</f>
        <v>276</v>
      </c>
      <c r="K1581" cm="1">
        <f t="array" ref="K1581">IF($Q1581&gt;=0,IFERROR(generateSalesData($D1581, IF(ISNUMBER(_xlfn.XLOOKUP($C1581,Phone_by_Sentiment!$B$2:$B$37,Phone_by_Sentiment!K$2:K$37,"",0,1)),_xlfn.XLOOKUP($C1581,Phone_by_Sentiment!$B$2:$B$37,Phone_by_Sentiment!K$2:K$37,"",0,1),0),$A1581-TEXT(DATEVALUE($D1581&amp;"-01"), "dd-mm-yyyy")),0),0)</f>
        <v>565</v>
      </c>
      <c r="L1581" cm="1">
        <f t="array" ref="L1581">IF($Q1581&gt;=0,IFERROR(generateSalesData($D1581, IF(ISNUMBER(_xlfn.XLOOKUP($C1581,Phone_by_Sentiment!$B$2:$B$37,Phone_by_Sentiment!L$2:L$37,"",0,1)),_xlfn.XLOOKUP($C1581,Phone_by_Sentiment!$B$2:$B$37,Phone_by_Sentiment!L$2:L$37,"",0,1),0),$A1581-TEXT(DATEVALUE($D1581&amp;"-01"), "dd-mm-yyyy")),0),0)</f>
        <v>128</v>
      </c>
      <c r="M1581" cm="1">
        <f t="array" ref="M1581">IF($Q1581&gt;=0,IFERROR(generateSalesData($D1581, IF(ISNUMBER(_xlfn.XLOOKUP($C1581,Phone_by_Sentiment!$B$2:$B$37,Phone_by_Sentiment!M$2:M$37,"",0,1)),_xlfn.XLOOKUP($C1581,Phone_by_Sentiment!$B$2:$B$37,Phone_by_Sentiment!M$2:M$37,"",0,1),0),$A1581-TEXT(DATEVALUE($D1581&amp;"-01"), "dd-mm-yyyy")),0),0)</f>
        <v>688</v>
      </c>
      <c r="N1581" cm="1">
        <f t="array" ref="N1581">IF($Q1581&gt;=0,IFERROR(generateSalesData($D1581, IF(ISNUMBER(_xlfn.XLOOKUP($C1581,Phone_by_Sentiment!$B$2:$B$37,Phone_by_Sentiment!N$2:N$37,"",0,1)),_xlfn.XLOOKUP($C1581,Phone_by_Sentiment!$B$2:$B$37,Phone_by_Sentiment!N$2:N$37,"",0,1),0),$A1581-TEXT(DATEVALUE($D1581&amp;"-01"), "dd-mm-yyyy")),0),0)</f>
        <v>626</v>
      </c>
      <c r="O1581" cm="1">
        <f t="array" ref="O1581">IF($Q1581&gt;=0,IFERROR(generateSalesData($D1581, IF(ISNUMBER(_xlfn.XLOOKUP($C1581,Phone_by_Sentiment!$B$2:$B$37,Phone_by_Sentiment!O$2:O$37,"",0,1)),_xlfn.XLOOKUP($C1581,Phone_by_Sentiment!$B$2:$B$37,Phone_by_Sentiment!O$2:O$37,"",0,1),0),$A1581-TEXT(DATEVALUE($D1581&amp;"-01"), "dd-mm-yyyy")),0),0)</f>
        <v>276</v>
      </c>
      <c r="P1581" s="1">
        <f t="shared" si="61"/>
        <v>44256</v>
      </c>
      <c r="Q1581">
        <f t="shared" si="63"/>
        <v>579</v>
      </c>
    </row>
    <row r="1582" spans="1:17" x14ac:dyDescent="0.25">
      <c r="A1582" s="1">
        <f t="shared" si="62"/>
        <v>44835</v>
      </c>
      <c r="B1582" t="s">
        <v>150</v>
      </c>
      <c r="C1582" t="str">
        <f>_xlfn.XLOOKUP(B1582,Phone_by_Price!$A$2:$A$34,Phone_by_Price!$B$2:$B$34,"-",0,1)</f>
        <v>Vivo Y33s</v>
      </c>
      <c r="D1582" t="str">
        <f>_xlfn.XLOOKUP(C1582,Phone_by_Sentiment!$B$2:$B$37,Phone_by_Sentiment!$A$2:$A$37,"-",0,1)</f>
        <v>2021-05</v>
      </c>
      <c r="E1582" cm="1">
        <f t="array" ref="E1582">IF($Q1582&gt;=0,IFERROR(generateSalesData($D1582, IF(ISNUMBER(_xlfn.XLOOKUP($C1582,Phone_by_Sentiment!$B$2:$B$37,Phone_by_Sentiment!E$2:E$37,"",0,1)),_xlfn.XLOOKUP($C1582,Phone_by_Sentiment!$B$2:$B$37,Phone_by_Sentiment!E$2:E$37,"",0,1),0),$A1582-TEXT(DATEVALUE($D1582&amp;"-01"), "dd-mm-yyyy")),0),0)</f>
        <v>272</v>
      </c>
      <c r="F1582" cm="1">
        <f t="array" ref="F1582">IF($Q1582&gt;=0,IFERROR(generateSalesData($D1582, IF(ISNUMBER(_xlfn.XLOOKUP($C1582,Phone_by_Sentiment!$B$2:$B$37,Phone_by_Sentiment!F$2:F$37,"",0,1)),_xlfn.XLOOKUP($C1582,Phone_by_Sentiment!$B$2:$B$37,Phone_by_Sentiment!F$2:F$37,"",0,1),0),$A1582-TEXT(DATEVALUE($D1582&amp;"-01"), "dd-mm-yyyy")),0),0)</f>
        <v>179</v>
      </c>
      <c r="G1582" cm="1">
        <f t="array" ref="G1582">IF($Q1582&gt;=0,IFERROR(generateSalesData($D1582, IF(ISNUMBER(_xlfn.XLOOKUP($C1582,Phone_by_Sentiment!$B$2:$B$37,Phone_by_Sentiment!G$2:G$37,"",0,1)),_xlfn.XLOOKUP($C1582,Phone_by_Sentiment!$B$2:$B$37,Phone_by_Sentiment!G$2:G$37,"",0,1),0),$A1582-TEXT(DATEVALUE($D1582&amp;"-01"), "dd-mm-yyyy")),0),0)</f>
        <v>85</v>
      </c>
      <c r="H1582" cm="1">
        <f t="array" ref="H1582">IF($Q1582&gt;=0,IFERROR(generateSalesData($D1582, IF(ISNUMBER(_xlfn.XLOOKUP($C1582,Phone_by_Sentiment!$B$2:$B$37,Phone_by_Sentiment!H$2:H$37,"",0,1)),_xlfn.XLOOKUP($C1582,Phone_by_Sentiment!$B$2:$B$37,Phone_by_Sentiment!H$2:H$37,"",0,1),0),$A1582-TEXT(DATEVALUE($D1582&amp;"-01"), "dd-mm-yyyy")),0),0)</f>
        <v>419</v>
      </c>
      <c r="I1582" cm="1">
        <f t="array" ref="I1582">IF($Q1582&gt;=0,IFERROR(generateSalesData($D1582, IF(ISNUMBER(_xlfn.XLOOKUP($C1582,Phone_by_Sentiment!$B$2:$B$37,Phone_by_Sentiment!I$2:I$37,"",0,1)),_xlfn.XLOOKUP($C1582,Phone_by_Sentiment!$B$2:$B$37,Phone_by_Sentiment!I$2:I$37,"",0,1),0),$A1582-TEXT(DATEVALUE($D1582&amp;"-01"), "dd-mm-yyyy")),0),0)</f>
        <v>160</v>
      </c>
      <c r="J1582" cm="1">
        <f t="array" ref="J1582">IF($Q1582&gt;=0,IFERROR(generateSalesData($D1582, IF(ISNUMBER(_xlfn.XLOOKUP($C1582,Phone_by_Sentiment!$B$2:$B$37,Phone_by_Sentiment!J$2:J$37,"",0,1)),_xlfn.XLOOKUP($C1582,Phone_by_Sentiment!$B$2:$B$37,Phone_by_Sentiment!J$2:J$37,"",0,1),0),$A1582-TEXT(DATEVALUE($D1582&amp;"-01"), "dd-mm-yyyy")),0),0)</f>
        <v>88</v>
      </c>
      <c r="K1582" cm="1">
        <f t="array" ref="K1582">IF($Q1582&gt;=0,IFERROR(generateSalesData($D1582, IF(ISNUMBER(_xlfn.XLOOKUP($C1582,Phone_by_Sentiment!$B$2:$B$37,Phone_by_Sentiment!K$2:K$37,"",0,1)),_xlfn.XLOOKUP($C1582,Phone_by_Sentiment!$B$2:$B$37,Phone_by_Sentiment!K$2:K$37,"",0,1),0),$A1582-TEXT(DATEVALUE($D1582&amp;"-01"), "dd-mm-yyyy")),0),0)</f>
        <v>55</v>
      </c>
      <c r="L1582" cm="1">
        <f t="array" ref="L1582">IF($Q1582&gt;=0,IFERROR(generateSalesData($D1582, IF(ISNUMBER(_xlfn.XLOOKUP($C1582,Phone_by_Sentiment!$B$2:$B$37,Phone_by_Sentiment!L$2:L$37,"",0,1)),_xlfn.XLOOKUP($C1582,Phone_by_Sentiment!$B$2:$B$37,Phone_by_Sentiment!L$2:L$37,"",0,1),0),$A1582-TEXT(DATEVALUE($D1582&amp;"-01"), "dd-mm-yyyy")),0),0)</f>
        <v>45</v>
      </c>
      <c r="M1582" cm="1">
        <f t="array" ref="M1582">IF($Q1582&gt;=0,IFERROR(generateSalesData($D1582, IF(ISNUMBER(_xlfn.XLOOKUP($C1582,Phone_by_Sentiment!$B$2:$B$37,Phone_by_Sentiment!M$2:M$37,"",0,1)),_xlfn.XLOOKUP($C1582,Phone_by_Sentiment!$B$2:$B$37,Phone_by_Sentiment!M$2:M$37,"",0,1),0),$A1582-TEXT(DATEVALUE($D1582&amp;"-01"), "dd-mm-yyyy")),0),0)</f>
        <v>107</v>
      </c>
      <c r="N1582" cm="1">
        <f t="array" ref="N1582">IF($Q1582&gt;=0,IFERROR(generateSalesData($D1582, IF(ISNUMBER(_xlfn.XLOOKUP($C1582,Phone_by_Sentiment!$B$2:$B$37,Phone_by_Sentiment!N$2:N$37,"",0,1)),_xlfn.XLOOKUP($C1582,Phone_by_Sentiment!$B$2:$B$37,Phone_by_Sentiment!N$2:N$37,"",0,1),0),$A1582-TEXT(DATEVALUE($D1582&amp;"-01"), "dd-mm-yyyy")),0),0)</f>
        <v>150</v>
      </c>
      <c r="O1582" cm="1">
        <f t="array" ref="O1582">IF($Q1582&gt;=0,IFERROR(generateSalesData($D1582, IF(ISNUMBER(_xlfn.XLOOKUP($C1582,Phone_by_Sentiment!$B$2:$B$37,Phone_by_Sentiment!O$2:O$37,"",0,1)),_xlfn.XLOOKUP($C1582,Phone_by_Sentiment!$B$2:$B$37,Phone_by_Sentiment!O$2:O$37,"",0,1),0),$A1582-TEXT(DATEVALUE($D1582&amp;"-01"), "dd-mm-yyyy")),0),0)</f>
        <v>255</v>
      </c>
      <c r="P1582" s="1">
        <f t="shared" si="61"/>
        <v>44317</v>
      </c>
      <c r="Q1582">
        <f t="shared" si="63"/>
        <v>518</v>
      </c>
    </row>
    <row r="1583" spans="1:17" x14ac:dyDescent="0.25">
      <c r="A1583" s="1">
        <f t="shared" si="62"/>
        <v>44835</v>
      </c>
      <c r="B1583" t="s">
        <v>151</v>
      </c>
      <c r="C1583" t="str">
        <f>_xlfn.XLOOKUP(B1583,Phone_by_Price!$A$2:$A$34,Phone_by_Price!$B$2:$B$34,"-",0,1)</f>
        <v>Vivo Y11s</v>
      </c>
      <c r="D1583" t="str">
        <f>_xlfn.XLOOKUP(C1583,Phone_by_Sentiment!$B$2:$B$37,Phone_by_Sentiment!$A$2:$A$37,"-",0,1)</f>
        <v>2020-11</v>
      </c>
      <c r="E1583" cm="1">
        <f t="array" ref="E1583">IF($Q1583&gt;=0,IFERROR(generateSalesData($D1583, IF(ISNUMBER(_xlfn.XLOOKUP($C1583,Phone_by_Sentiment!$B$2:$B$37,Phone_by_Sentiment!E$2:E$37,"",0,1)),_xlfn.XLOOKUP($C1583,Phone_by_Sentiment!$B$2:$B$37,Phone_by_Sentiment!E$2:E$37,"",0,1),0),$A1583-TEXT(DATEVALUE($D1583&amp;"-01"), "dd-mm-yyyy")),0),0)</f>
        <v>122</v>
      </c>
      <c r="F1583" cm="1">
        <f t="array" ref="F1583">IF($Q1583&gt;=0,IFERROR(generateSalesData($D1583, IF(ISNUMBER(_xlfn.XLOOKUP($C1583,Phone_by_Sentiment!$B$2:$B$37,Phone_by_Sentiment!F$2:F$37,"",0,1)),_xlfn.XLOOKUP($C1583,Phone_by_Sentiment!$B$2:$B$37,Phone_by_Sentiment!F$2:F$37,"",0,1),0),$A1583-TEXT(DATEVALUE($D1583&amp;"-01"), "dd-mm-yyyy")),0),0)</f>
        <v>80</v>
      </c>
      <c r="G1583" cm="1">
        <f t="array" ref="G1583">IF($Q1583&gt;=0,IFERROR(generateSalesData($D1583, IF(ISNUMBER(_xlfn.XLOOKUP($C1583,Phone_by_Sentiment!$B$2:$B$37,Phone_by_Sentiment!G$2:G$37,"",0,1)),_xlfn.XLOOKUP($C1583,Phone_by_Sentiment!$B$2:$B$37,Phone_by_Sentiment!G$2:G$37,"",0,1),0),$A1583-TEXT(DATEVALUE($D1583&amp;"-01"), "dd-mm-yyyy")),0),0)</f>
        <v>5</v>
      </c>
      <c r="H1583" cm="1">
        <f t="array" ref="H1583">IF($Q1583&gt;=0,IFERROR(generateSalesData($D1583, IF(ISNUMBER(_xlfn.XLOOKUP($C1583,Phone_by_Sentiment!$B$2:$B$37,Phone_by_Sentiment!H$2:H$37,"",0,1)),_xlfn.XLOOKUP($C1583,Phone_by_Sentiment!$B$2:$B$37,Phone_by_Sentiment!H$2:H$37,"",0,1),0),$A1583-TEXT(DATEVALUE($D1583&amp;"-01"), "dd-mm-yyyy")),0),0)</f>
        <v>109</v>
      </c>
      <c r="I1583" cm="1">
        <f t="array" ref="I1583">IF($Q1583&gt;=0,IFERROR(generateSalesData($D1583, IF(ISNUMBER(_xlfn.XLOOKUP($C1583,Phone_by_Sentiment!$B$2:$B$37,Phone_by_Sentiment!I$2:I$37,"",0,1)),_xlfn.XLOOKUP($C1583,Phone_by_Sentiment!$B$2:$B$37,Phone_by_Sentiment!I$2:I$37,"",0,1),0),$A1583-TEXT(DATEVALUE($D1583&amp;"-01"), "dd-mm-yyyy")),0),0)</f>
        <v>248</v>
      </c>
      <c r="J1583" cm="1">
        <f t="array" ref="J1583">IF($Q1583&gt;=0,IFERROR(generateSalesData($D1583, IF(ISNUMBER(_xlfn.XLOOKUP($C1583,Phone_by_Sentiment!$B$2:$B$37,Phone_by_Sentiment!J$2:J$37,"",0,1)),_xlfn.XLOOKUP($C1583,Phone_by_Sentiment!$B$2:$B$37,Phone_by_Sentiment!J$2:J$37,"",0,1),0),$A1583-TEXT(DATEVALUE($D1583&amp;"-01"), "dd-mm-yyyy")),0),0)</f>
        <v>39</v>
      </c>
      <c r="K1583" cm="1">
        <f t="array" ref="K1583">IF($Q1583&gt;=0,IFERROR(generateSalesData($D1583, IF(ISNUMBER(_xlfn.XLOOKUP($C1583,Phone_by_Sentiment!$B$2:$B$37,Phone_by_Sentiment!K$2:K$37,"",0,1)),_xlfn.XLOOKUP($C1583,Phone_by_Sentiment!$B$2:$B$37,Phone_by_Sentiment!K$2:K$37,"",0,1),0),$A1583-TEXT(DATEVALUE($D1583&amp;"-01"), "dd-mm-yyyy")),0),0)</f>
        <v>79</v>
      </c>
      <c r="L1583" cm="1">
        <f t="array" ref="L1583">IF($Q1583&gt;=0,IFERROR(generateSalesData($D1583, IF(ISNUMBER(_xlfn.XLOOKUP($C1583,Phone_by_Sentiment!$B$2:$B$37,Phone_by_Sentiment!L$2:L$37,"",0,1)),_xlfn.XLOOKUP($C1583,Phone_by_Sentiment!$B$2:$B$37,Phone_by_Sentiment!L$2:L$37,"",0,1),0),$A1583-TEXT(DATEVALUE($D1583&amp;"-01"), "dd-mm-yyyy")),0),0)</f>
        <v>141</v>
      </c>
      <c r="M1583" cm="1">
        <f t="array" ref="M1583">IF($Q1583&gt;=0,IFERROR(generateSalesData($D1583, IF(ISNUMBER(_xlfn.XLOOKUP($C1583,Phone_by_Sentiment!$B$2:$B$37,Phone_by_Sentiment!M$2:M$37,"",0,1)),_xlfn.XLOOKUP($C1583,Phone_by_Sentiment!$B$2:$B$37,Phone_by_Sentiment!M$2:M$37,"",0,1),0),$A1583-TEXT(DATEVALUE($D1583&amp;"-01"), "dd-mm-yyyy")),0),0)</f>
        <v>268</v>
      </c>
      <c r="N1583" cm="1">
        <f t="array" ref="N1583">IF($Q1583&gt;=0,IFERROR(generateSalesData($D1583, IF(ISNUMBER(_xlfn.XLOOKUP($C1583,Phone_by_Sentiment!$B$2:$B$37,Phone_by_Sentiment!N$2:N$37,"",0,1)),_xlfn.XLOOKUP($C1583,Phone_by_Sentiment!$B$2:$B$37,Phone_by_Sentiment!N$2:N$37,"",0,1),0),$A1583-TEXT(DATEVALUE($D1583&amp;"-01"), "dd-mm-yyyy")),0),0)</f>
        <v>103</v>
      </c>
      <c r="O1583" cm="1">
        <f t="array" ref="O1583">IF($Q1583&gt;=0,IFERROR(generateSalesData($D1583, IF(ISNUMBER(_xlfn.XLOOKUP($C1583,Phone_by_Sentiment!$B$2:$B$37,Phone_by_Sentiment!O$2:O$37,"",0,1)),_xlfn.XLOOKUP($C1583,Phone_by_Sentiment!$B$2:$B$37,Phone_by_Sentiment!O$2:O$37,"",0,1),0),$A1583-TEXT(DATEVALUE($D1583&amp;"-01"), "dd-mm-yyyy")),0),0)</f>
        <v>105</v>
      </c>
      <c r="P1583" s="1">
        <f t="shared" si="61"/>
        <v>44136</v>
      </c>
      <c r="Q1583">
        <f t="shared" si="63"/>
        <v>699</v>
      </c>
    </row>
    <row r="1584" spans="1:17" x14ac:dyDescent="0.25">
      <c r="A1584" s="1">
        <f t="shared" si="62"/>
        <v>44835</v>
      </c>
      <c r="B1584" t="s">
        <v>152</v>
      </c>
      <c r="C1584" t="str">
        <f>_xlfn.XLOOKUP(B1584,Phone_by_Price!$A$2:$A$34,Phone_by_Price!$B$2:$B$34,"-",0,1)</f>
        <v>Huawei Nova 7i</v>
      </c>
      <c r="D1584" t="str">
        <f>_xlfn.XLOOKUP(C1584,Phone_by_Sentiment!$B$2:$B$37,Phone_by_Sentiment!$A$2:$A$37,"-",0,1)</f>
        <v>2020-02</v>
      </c>
      <c r="E1584" cm="1">
        <f t="array" ref="E1584">IF($Q1584&gt;=0,IFERROR(generateSalesData($D1584, IF(ISNUMBER(_xlfn.XLOOKUP($C1584,Phone_by_Sentiment!$B$2:$B$37,Phone_by_Sentiment!E$2:E$37,"",0,1)),_xlfn.XLOOKUP($C1584,Phone_by_Sentiment!$B$2:$B$37,Phone_by_Sentiment!E$2:E$37,"",0,1),0),$A1584-TEXT(DATEVALUE($D1584&amp;"-01"), "dd-mm-yyyy")),0),0)</f>
        <v>84</v>
      </c>
      <c r="F1584" cm="1">
        <f t="array" ref="F1584">IF($Q1584&gt;=0,IFERROR(generateSalesData($D1584, IF(ISNUMBER(_xlfn.XLOOKUP($C1584,Phone_by_Sentiment!$B$2:$B$37,Phone_by_Sentiment!F$2:F$37,"",0,1)),_xlfn.XLOOKUP($C1584,Phone_by_Sentiment!$B$2:$B$37,Phone_by_Sentiment!F$2:F$37,"",0,1),0),$A1584-TEXT(DATEVALUE($D1584&amp;"-01"), "dd-mm-yyyy")),0),0)</f>
        <v>78</v>
      </c>
      <c r="G1584" cm="1">
        <f t="array" ref="G1584">IF($Q1584&gt;=0,IFERROR(generateSalesData($D1584, IF(ISNUMBER(_xlfn.XLOOKUP($C1584,Phone_by_Sentiment!$B$2:$B$37,Phone_by_Sentiment!G$2:G$37,"",0,1)),_xlfn.XLOOKUP($C1584,Phone_by_Sentiment!$B$2:$B$37,Phone_by_Sentiment!G$2:G$37,"",0,1),0),$A1584-TEXT(DATEVALUE($D1584&amp;"-01"), "dd-mm-yyyy")),0),0)</f>
        <v>27</v>
      </c>
      <c r="H1584" cm="1">
        <f t="array" ref="H1584">IF($Q1584&gt;=0,IFERROR(generateSalesData($D1584, IF(ISNUMBER(_xlfn.XLOOKUP($C1584,Phone_by_Sentiment!$B$2:$B$37,Phone_by_Sentiment!H$2:H$37,"",0,1)),_xlfn.XLOOKUP($C1584,Phone_by_Sentiment!$B$2:$B$37,Phone_by_Sentiment!H$2:H$37,"",0,1),0),$A1584-TEXT(DATEVALUE($D1584&amp;"-01"), "dd-mm-yyyy")),0),0)</f>
        <v>151</v>
      </c>
      <c r="I1584" cm="1">
        <f t="array" ref="I1584">IF($Q1584&gt;=0,IFERROR(generateSalesData($D1584, IF(ISNUMBER(_xlfn.XLOOKUP($C1584,Phone_by_Sentiment!$B$2:$B$37,Phone_by_Sentiment!I$2:I$37,"",0,1)),_xlfn.XLOOKUP($C1584,Phone_by_Sentiment!$B$2:$B$37,Phone_by_Sentiment!I$2:I$37,"",0,1),0),$A1584-TEXT(DATEVALUE($D1584&amp;"-01"), "dd-mm-yyyy")),0),0)</f>
        <v>16</v>
      </c>
      <c r="J1584" cm="1">
        <f t="array" ref="J1584">IF($Q1584&gt;=0,IFERROR(generateSalesData($D1584, IF(ISNUMBER(_xlfn.XLOOKUP($C1584,Phone_by_Sentiment!$B$2:$B$37,Phone_by_Sentiment!J$2:J$37,"",0,1)),_xlfn.XLOOKUP($C1584,Phone_by_Sentiment!$B$2:$B$37,Phone_by_Sentiment!J$2:J$37,"",0,1),0),$A1584-TEXT(DATEVALUE($D1584&amp;"-01"), "dd-mm-yyyy")),0),0)</f>
        <v>63</v>
      </c>
      <c r="K1584" cm="1">
        <f t="array" ref="K1584">IF($Q1584&gt;=0,IFERROR(generateSalesData($D1584, IF(ISNUMBER(_xlfn.XLOOKUP($C1584,Phone_by_Sentiment!$B$2:$B$37,Phone_by_Sentiment!K$2:K$37,"",0,1)),_xlfn.XLOOKUP($C1584,Phone_by_Sentiment!$B$2:$B$37,Phone_by_Sentiment!K$2:K$37,"",0,1),0),$A1584-TEXT(DATEVALUE($D1584&amp;"-01"), "dd-mm-yyyy")),0),0)</f>
        <v>94</v>
      </c>
      <c r="L1584" cm="1">
        <f t="array" ref="L1584">IF($Q1584&gt;=0,IFERROR(generateSalesData($D1584, IF(ISNUMBER(_xlfn.XLOOKUP($C1584,Phone_by_Sentiment!$B$2:$B$37,Phone_by_Sentiment!L$2:L$37,"",0,1)),_xlfn.XLOOKUP($C1584,Phone_by_Sentiment!$B$2:$B$37,Phone_by_Sentiment!L$2:L$37,"",0,1),0),$A1584-TEXT(DATEVALUE($D1584&amp;"-01"), "dd-mm-yyyy")),0),0)</f>
        <v>14</v>
      </c>
      <c r="M1584" cm="1">
        <f t="array" ref="M1584">IF($Q1584&gt;=0,IFERROR(generateSalesData($D1584, IF(ISNUMBER(_xlfn.XLOOKUP($C1584,Phone_by_Sentiment!$B$2:$B$37,Phone_by_Sentiment!M$2:M$37,"",0,1)),_xlfn.XLOOKUP($C1584,Phone_by_Sentiment!$B$2:$B$37,Phone_by_Sentiment!M$2:M$37,"",0,1),0),$A1584-TEXT(DATEVALUE($D1584&amp;"-01"), "dd-mm-yyyy")),0),0)</f>
        <v>71</v>
      </c>
      <c r="N1584" cm="1">
        <f t="array" ref="N1584">IF($Q1584&gt;=0,IFERROR(generateSalesData($D1584, IF(ISNUMBER(_xlfn.XLOOKUP($C1584,Phone_by_Sentiment!$B$2:$B$37,Phone_by_Sentiment!N$2:N$37,"",0,1)),_xlfn.XLOOKUP($C1584,Phone_by_Sentiment!$B$2:$B$37,Phone_by_Sentiment!N$2:N$37,"",0,1),0),$A1584-TEXT(DATEVALUE($D1584&amp;"-01"), "dd-mm-yyyy")),0),0)</f>
        <v>32</v>
      </c>
      <c r="O1584" cm="1">
        <f t="array" ref="O1584">IF($Q1584&gt;=0,IFERROR(generateSalesData($D1584, IF(ISNUMBER(_xlfn.XLOOKUP($C1584,Phone_by_Sentiment!$B$2:$B$37,Phone_by_Sentiment!O$2:O$37,"",0,1)),_xlfn.XLOOKUP($C1584,Phone_by_Sentiment!$B$2:$B$37,Phone_by_Sentiment!O$2:O$37,"",0,1),0),$A1584-TEXT(DATEVALUE($D1584&amp;"-01"), "dd-mm-yyyy")),0),0)</f>
        <v>30</v>
      </c>
      <c r="P1584" s="1">
        <f t="shared" si="61"/>
        <v>43862</v>
      </c>
      <c r="Q1584">
        <f t="shared" si="63"/>
        <v>973</v>
      </c>
    </row>
    <row r="1585" spans="1:17" x14ac:dyDescent="0.25">
      <c r="A1585" s="1">
        <f t="shared" si="62"/>
        <v>44835</v>
      </c>
      <c r="B1585" t="s">
        <v>153</v>
      </c>
      <c r="C1585" t="str">
        <f>_xlfn.XLOOKUP(B1585,Phone_by_Price!$A$2:$A$34,Phone_by_Price!$B$2:$B$34,"-",0,1)</f>
        <v>iPhone 13</v>
      </c>
      <c r="D1585" t="str">
        <f>_xlfn.XLOOKUP(C1585,Phone_by_Sentiment!$B$2:$B$37,Phone_by_Sentiment!$A$2:$A$37,"-",0,1)</f>
        <v>2021-09</v>
      </c>
      <c r="E1585" cm="1">
        <f t="array" ref="E1585">IF($Q1585&gt;=0,IFERROR(generateSalesData($D1585, IF(ISNUMBER(_xlfn.XLOOKUP($C1585,Phone_by_Sentiment!$B$2:$B$37,Phone_by_Sentiment!E$2:E$37,"",0,1)),_xlfn.XLOOKUP($C1585,Phone_by_Sentiment!$B$2:$B$37,Phone_by_Sentiment!E$2:E$37,"",0,1),0),$A1585-TEXT(DATEVALUE($D1585&amp;"-01"), "dd-mm-yyyy")),0),0)</f>
        <v>171</v>
      </c>
      <c r="F1585" cm="1">
        <f t="array" ref="F1585">IF($Q1585&gt;=0,IFERROR(generateSalesData($D1585, IF(ISNUMBER(_xlfn.XLOOKUP($C1585,Phone_by_Sentiment!$B$2:$B$37,Phone_by_Sentiment!F$2:F$37,"",0,1)),_xlfn.XLOOKUP($C1585,Phone_by_Sentiment!$B$2:$B$37,Phone_by_Sentiment!F$2:F$37,"",0,1),0),$A1585-TEXT(DATEVALUE($D1585&amp;"-01"), "dd-mm-yyyy")),0),0)</f>
        <v>136</v>
      </c>
      <c r="G1585" cm="1">
        <f t="array" ref="G1585">IF($Q1585&gt;=0,IFERROR(generateSalesData($D1585, IF(ISNUMBER(_xlfn.XLOOKUP($C1585,Phone_by_Sentiment!$B$2:$B$37,Phone_by_Sentiment!G$2:G$37,"",0,1)),_xlfn.XLOOKUP($C1585,Phone_by_Sentiment!$B$2:$B$37,Phone_by_Sentiment!G$2:G$37,"",0,1),0),$A1585-TEXT(DATEVALUE($D1585&amp;"-01"), "dd-mm-yyyy")),0),0)</f>
        <v>149</v>
      </c>
      <c r="H1585" cm="1">
        <f t="array" ref="H1585">IF($Q1585&gt;=0,IFERROR(generateSalesData($D1585, IF(ISNUMBER(_xlfn.XLOOKUP($C1585,Phone_by_Sentiment!$B$2:$B$37,Phone_by_Sentiment!H$2:H$37,"",0,1)),_xlfn.XLOOKUP($C1585,Phone_by_Sentiment!$B$2:$B$37,Phone_by_Sentiment!H$2:H$37,"",0,1),0),$A1585-TEXT(DATEVALUE($D1585&amp;"-01"), "dd-mm-yyyy")),0),0)</f>
        <v>732</v>
      </c>
      <c r="I1585" cm="1">
        <f t="array" ref="I1585">IF($Q1585&gt;=0,IFERROR(generateSalesData($D1585, IF(ISNUMBER(_xlfn.XLOOKUP($C1585,Phone_by_Sentiment!$B$2:$B$37,Phone_by_Sentiment!I$2:I$37,"",0,1)),_xlfn.XLOOKUP($C1585,Phone_by_Sentiment!$B$2:$B$37,Phone_by_Sentiment!I$2:I$37,"",0,1),0),$A1585-TEXT(DATEVALUE($D1585&amp;"-01"), "dd-mm-yyyy")),0),0)</f>
        <v>155</v>
      </c>
      <c r="J1585" cm="1">
        <f t="array" ref="J1585">IF($Q1585&gt;=0,IFERROR(generateSalesData($D1585, IF(ISNUMBER(_xlfn.XLOOKUP($C1585,Phone_by_Sentiment!$B$2:$B$37,Phone_by_Sentiment!J$2:J$37,"",0,1)),_xlfn.XLOOKUP($C1585,Phone_by_Sentiment!$B$2:$B$37,Phone_by_Sentiment!J$2:J$37,"",0,1),0),$A1585-TEXT(DATEVALUE($D1585&amp;"-01"), "dd-mm-yyyy")),0),0)</f>
        <v>405</v>
      </c>
      <c r="K1585" cm="1">
        <f t="array" ref="K1585">IF($Q1585&gt;=0,IFERROR(generateSalesData($D1585, IF(ISNUMBER(_xlfn.XLOOKUP($C1585,Phone_by_Sentiment!$B$2:$B$37,Phone_by_Sentiment!K$2:K$37,"",0,1)),_xlfn.XLOOKUP($C1585,Phone_by_Sentiment!$B$2:$B$37,Phone_by_Sentiment!K$2:K$37,"",0,1),0),$A1585-TEXT(DATEVALUE($D1585&amp;"-01"), "dd-mm-yyyy")),0),0)</f>
        <v>65</v>
      </c>
      <c r="L1585" cm="1">
        <f t="array" ref="L1585">IF($Q1585&gt;=0,IFERROR(generateSalesData($D1585, IF(ISNUMBER(_xlfn.XLOOKUP($C1585,Phone_by_Sentiment!$B$2:$B$37,Phone_by_Sentiment!L$2:L$37,"",0,1)),_xlfn.XLOOKUP($C1585,Phone_by_Sentiment!$B$2:$B$37,Phone_by_Sentiment!L$2:L$37,"",0,1),0),$A1585-TEXT(DATEVALUE($D1585&amp;"-01"), "dd-mm-yyyy")),0),0)</f>
        <v>884</v>
      </c>
      <c r="M1585" cm="1">
        <f t="array" ref="M1585">IF($Q1585&gt;=0,IFERROR(generateSalesData($D1585, IF(ISNUMBER(_xlfn.XLOOKUP($C1585,Phone_by_Sentiment!$B$2:$B$37,Phone_by_Sentiment!M$2:M$37,"",0,1)),_xlfn.XLOOKUP($C1585,Phone_by_Sentiment!$B$2:$B$37,Phone_by_Sentiment!M$2:M$37,"",0,1),0),$A1585-TEXT(DATEVALUE($D1585&amp;"-01"), "dd-mm-yyyy")),0),0)</f>
        <v>1366</v>
      </c>
      <c r="N1585" cm="1">
        <f t="array" ref="N1585">IF($Q1585&gt;=0,IFERROR(generateSalesData($D1585, IF(ISNUMBER(_xlfn.XLOOKUP($C1585,Phone_by_Sentiment!$B$2:$B$37,Phone_by_Sentiment!N$2:N$37,"",0,1)),_xlfn.XLOOKUP($C1585,Phone_by_Sentiment!$B$2:$B$37,Phone_by_Sentiment!N$2:N$37,"",0,1),0),$A1585-TEXT(DATEVALUE($D1585&amp;"-01"), "dd-mm-yyyy")),0),0)</f>
        <v>96</v>
      </c>
      <c r="O1585" cm="1">
        <f t="array" ref="O1585">IF($Q1585&gt;=0,IFERROR(generateSalesData($D1585, IF(ISNUMBER(_xlfn.XLOOKUP($C1585,Phone_by_Sentiment!$B$2:$B$37,Phone_by_Sentiment!O$2:O$37,"",0,1)),_xlfn.XLOOKUP($C1585,Phone_by_Sentiment!$B$2:$B$37,Phone_by_Sentiment!O$2:O$37,"",0,1),0),$A1585-TEXT(DATEVALUE($D1585&amp;"-01"), "dd-mm-yyyy")),0),0)</f>
        <v>515</v>
      </c>
      <c r="P1585" s="1">
        <f t="shared" si="61"/>
        <v>44440</v>
      </c>
      <c r="Q1585">
        <f t="shared" si="63"/>
        <v>395</v>
      </c>
    </row>
    <row r="1586" spans="1:17" x14ac:dyDescent="0.25">
      <c r="A1586" s="1">
        <f t="shared" si="62"/>
        <v>44835</v>
      </c>
      <c r="B1586" t="s">
        <v>154</v>
      </c>
      <c r="C1586" t="str">
        <f>_xlfn.XLOOKUP(B1586,Phone_by_Price!$A$2:$A$34,Phone_by_Price!$B$2:$B$34,"-",0,1)</f>
        <v>Samsung Galaxy S21</v>
      </c>
      <c r="D1586" t="str">
        <f>_xlfn.XLOOKUP(C1586,Phone_by_Sentiment!$B$2:$B$37,Phone_by_Sentiment!$A$2:$A$37,"-",0,1)</f>
        <v>2021-01</v>
      </c>
      <c r="E1586" cm="1">
        <f t="array" ref="E1586">IF($Q1586&gt;=0,IFERROR(generateSalesData($D1586, IF(ISNUMBER(_xlfn.XLOOKUP($C1586,Phone_by_Sentiment!$B$2:$B$37,Phone_by_Sentiment!E$2:E$37,"",0,1)),_xlfn.XLOOKUP($C1586,Phone_by_Sentiment!$B$2:$B$37,Phone_by_Sentiment!E$2:E$37,"",0,1),0),$A1586-TEXT(DATEVALUE($D1586&amp;"-01"), "dd-mm-yyyy")),0),0)</f>
        <v>429</v>
      </c>
      <c r="F1586" cm="1">
        <f t="array" ref="F1586">IF($Q1586&gt;=0,IFERROR(generateSalesData($D1586, IF(ISNUMBER(_xlfn.XLOOKUP($C1586,Phone_by_Sentiment!$B$2:$B$37,Phone_by_Sentiment!F$2:F$37,"",0,1)),_xlfn.XLOOKUP($C1586,Phone_by_Sentiment!$B$2:$B$37,Phone_by_Sentiment!F$2:F$37,"",0,1),0),$A1586-TEXT(DATEVALUE($D1586&amp;"-01"), "dd-mm-yyyy")),0),0)</f>
        <v>626</v>
      </c>
      <c r="G1586" cm="1">
        <f t="array" ref="G1586">IF($Q1586&gt;=0,IFERROR(generateSalesData($D1586, IF(ISNUMBER(_xlfn.XLOOKUP($C1586,Phone_by_Sentiment!$B$2:$B$37,Phone_by_Sentiment!G$2:G$37,"",0,1)),_xlfn.XLOOKUP($C1586,Phone_by_Sentiment!$B$2:$B$37,Phone_by_Sentiment!G$2:G$37,"",0,1),0),$A1586-TEXT(DATEVALUE($D1586&amp;"-01"), "dd-mm-yyyy")),0),0)</f>
        <v>156</v>
      </c>
      <c r="H1586" cm="1">
        <f t="array" ref="H1586">IF($Q1586&gt;=0,IFERROR(generateSalesData($D1586, IF(ISNUMBER(_xlfn.XLOOKUP($C1586,Phone_by_Sentiment!$B$2:$B$37,Phone_by_Sentiment!H$2:H$37,"",0,1)),_xlfn.XLOOKUP($C1586,Phone_by_Sentiment!$B$2:$B$37,Phone_by_Sentiment!H$2:H$37,"",0,1),0),$A1586-TEXT(DATEVALUE($D1586&amp;"-01"), "dd-mm-yyyy")),0),0)</f>
        <v>27</v>
      </c>
      <c r="I1586" cm="1">
        <f t="array" ref="I1586">IF($Q1586&gt;=0,IFERROR(generateSalesData($D1586, IF(ISNUMBER(_xlfn.XLOOKUP($C1586,Phone_by_Sentiment!$B$2:$B$37,Phone_by_Sentiment!I$2:I$37,"",0,1)),_xlfn.XLOOKUP($C1586,Phone_by_Sentiment!$B$2:$B$37,Phone_by_Sentiment!I$2:I$37,"",0,1),0),$A1586-TEXT(DATEVALUE($D1586&amp;"-01"), "dd-mm-yyyy")),0),0)</f>
        <v>784</v>
      </c>
      <c r="J1586" cm="1">
        <f t="array" ref="J1586">IF($Q1586&gt;=0,IFERROR(generateSalesData($D1586, IF(ISNUMBER(_xlfn.XLOOKUP($C1586,Phone_by_Sentiment!$B$2:$B$37,Phone_by_Sentiment!J$2:J$37,"",0,1)),_xlfn.XLOOKUP($C1586,Phone_by_Sentiment!$B$2:$B$37,Phone_by_Sentiment!J$2:J$37,"",0,1),0),$A1586-TEXT(DATEVALUE($D1586&amp;"-01"), "dd-mm-yyyy")),0),0)</f>
        <v>352</v>
      </c>
      <c r="K1586" cm="1">
        <f t="array" ref="K1586">IF($Q1586&gt;=0,IFERROR(generateSalesData($D1586, IF(ISNUMBER(_xlfn.XLOOKUP($C1586,Phone_by_Sentiment!$B$2:$B$37,Phone_by_Sentiment!K$2:K$37,"",0,1)),_xlfn.XLOOKUP($C1586,Phone_by_Sentiment!$B$2:$B$37,Phone_by_Sentiment!K$2:K$37,"",0,1),0),$A1586-TEXT(DATEVALUE($D1586&amp;"-01"), "dd-mm-yyyy")),0),0)</f>
        <v>57</v>
      </c>
      <c r="L1586" cm="1">
        <f t="array" ref="L1586">IF($Q1586&gt;=0,IFERROR(generateSalesData($D1586, IF(ISNUMBER(_xlfn.XLOOKUP($C1586,Phone_by_Sentiment!$B$2:$B$37,Phone_by_Sentiment!L$2:L$37,"",0,1)),_xlfn.XLOOKUP($C1586,Phone_by_Sentiment!$B$2:$B$37,Phone_by_Sentiment!L$2:L$37,"",0,1),0),$A1586-TEXT(DATEVALUE($D1586&amp;"-01"), "dd-mm-yyyy")),0),0)</f>
        <v>219</v>
      </c>
      <c r="M1586" cm="1">
        <f t="array" ref="M1586">IF($Q1586&gt;=0,IFERROR(generateSalesData($D1586, IF(ISNUMBER(_xlfn.XLOOKUP($C1586,Phone_by_Sentiment!$B$2:$B$37,Phone_by_Sentiment!M$2:M$37,"",0,1)),_xlfn.XLOOKUP($C1586,Phone_by_Sentiment!$B$2:$B$37,Phone_by_Sentiment!M$2:M$37,"",0,1),0),$A1586-TEXT(DATEVALUE($D1586&amp;"-01"), "dd-mm-yyyy")),0),0)</f>
        <v>115</v>
      </c>
      <c r="N1586" cm="1">
        <f t="array" ref="N1586">IF($Q1586&gt;=0,IFERROR(generateSalesData($D1586, IF(ISNUMBER(_xlfn.XLOOKUP($C1586,Phone_by_Sentiment!$B$2:$B$37,Phone_by_Sentiment!N$2:N$37,"",0,1)),_xlfn.XLOOKUP($C1586,Phone_by_Sentiment!$B$2:$B$37,Phone_by_Sentiment!N$2:N$37,"",0,1),0),$A1586-TEXT(DATEVALUE($D1586&amp;"-01"), "dd-mm-yyyy")),0),0)</f>
        <v>478</v>
      </c>
      <c r="O1586" cm="1">
        <f t="array" ref="O1586">IF($Q1586&gt;=0,IFERROR(generateSalesData($D1586, IF(ISNUMBER(_xlfn.XLOOKUP($C1586,Phone_by_Sentiment!$B$2:$B$37,Phone_by_Sentiment!O$2:O$37,"",0,1)),_xlfn.XLOOKUP($C1586,Phone_by_Sentiment!$B$2:$B$37,Phone_by_Sentiment!O$2:O$37,"",0,1),0),$A1586-TEXT(DATEVALUE($D1586&amp;"-01"), "dd-mm-yyyy")),0),0)</f>
        <v>276</v>
      </c>
      <c r="P1586" s="1">
        <f t="shared" si="61"/>
        <v>44197</v>
      </c>
      <c r="Q1586">
        <f t="shared" si="63"/>
        <v>638</v>
      </c>
    </row>
    <row r="1587" spans="1:17" x14ac:dyDescent="0.25">
      <c r="A1587" s="1">
        <f t="shared" si="62"/>
        <v>44835</v>
      </c>
      <c r="B1587" t="s">
        <v>155</v>
      </c>
      <c r="C1587" t="str">
        <f>_xlfn.XLOOKUP(B1587,Phone_by_Price!$A$2:$A$34,Phone_by_Price!$B$2:$B$34,"-",0,1)</f>
        <v>Google Pixel 6</v>
      </c>
      <c r="D1587" t="str">
        <f>_xlfn.XLOOKUP(C1587,Phone_by_Sentiment!$B$2:$B$37,Phone_by_Sentiment!$A$2:$A$37,"-",0,1)</f>
        <v>2021-10</v>
      </c>
      <c r="E1587" cm="1">
        <f t="array" ref="E1587">IF($Q1587&gt;=0,IFERROR(generateSalesData($D1587, IF(ISNUMBER(_xlfn.XLOOKUP($C1587,Phone_by_Sentiment!$B$2:$B$37,Phone_by_Sentiment!E$2:E$37,"",0,1)),_xlfn.XLOOKUP($C1587,Phone_by_Sentiment!$B$2:$B$37,Phone_by_Sentiment!E$2:E$37,"",0,1),0),$A1587-TEXT(DATEVALUE($D1587&amp;"-01"), "dd-mm-yyyy")),0),0)</f>
        <v>53</v>
      </c>
      <c r="F1587" cm="1">
        <f t="array" ref="F1587">IF($Q1587&gt;=0,IFERROR(generateSalesData($D1587, IF(ISNUMBER(_xlfn.XLOOKUP($C1587,Phone_by_Sentiment!$B$2:$B$37,Phone_by_Sentiment!F$2:F$37,"",0,1)),_xlfn.XLOOKUP($C1587,Phone_by_Sentiment!$B$2:$B$37,Phone_by_Sentiment!F$2:F$37,"",0,1),0),$A1587-TEXT(DATEVALUE($D1587&amp;"-01"), "dd-mm-yyyy")),0),0)</f>
        <v>68</v>
      </c>
      <c r="G1587" cm="1">
        <f t="array" ref="G1587">IF($Q1587&gt;=0,IFERROR(generateSalesData($D1587, IF(ISNUMBER(_xlfn.XLOOKUP($C1587,Phone_by_Sentiment!$B$2:$B$37,Phone_by_Sentiment!G$2:G$37,"",0,1)),_xlfn.XLOOKUP($C1587,Phone_by_Sentiment!$B$2:$B$37,Phone_by_Sentiment!G$2:G$37,"",0,1),0),$A1587-TEXT(DATEVALUE($D1587&amp;"-01"), "dd-mm-yyyy")),0),0)</f>
        <v>91</v>
      </c>
      <c r="H1587" cm="1">
        <f t="array" ref="H1587">IF($Q1587&gt;=0,IFERROR(generateSalesData($D1587, IF(ISNUMBER(_xlfn.XLOOKUP($C1587,Phone_by_Sentiment!$B$2:$B$37,Phone_by_Sentiment!H$2:H$37,"",0,1)),_xlfn.XLOOKUP($C1587,Phone_by_Sentiment!$B$2:$B$37,Phone_by_Sentiment!H$2:H$37,"",0,1),0),$A1587-TEXT(DATEVALUE($D1587&amp;"-01"), "dd-mm-yyyy")),0),0)</f>
        <v>56</v>
      </c>
      <c r="I1587" cm="1">
        <f t="array" ref="I1587">IF($Q1587&gt;=0,IFERROR(generateSalesData($D1587, IF(ISNUMBER(_xlfn.XLOOKUP($C1587,Phone_by_Sentiment!$B$2:$B$37,Phone_by_Sentiment!I$2:I$37,"",0,1)),_xlfn.XLOOKUP($C1587,Phone_by_Sentiment!$B$2:$B$37,Phone_by_Sentiment!I$2:I$37,"",0,1),0),$A1587-TEXT(DATEVALUE($D1587&amp;"-01"), "dd-mm-yyyy")),0),0)</f>
        <v>74</v>
      </c>
      <c r="J1587" cm="1">
        <f t="array" ref="J1587">IF($Q1587&gt;=0,IFERROR(generateSalesData($D1587, IF(ISNUMBER(_xlfn.XLOOKUP($C1587,Phone_by_Sentiment!$B$2:$B$37,Phone_by_Sentiment!J$2:J$37,"",0,1)),_xlfn.XLOOKUP($C1587,Phone_by_Sentiment!$B$2:$B$37,Phone_by_Sentiment!J$2:J$37,"",0,1),0),$A1587-TEXT(DATEVALUE($D1587&amp;"-01"), "dd-mm-yyyy")),0),0)</f>
        <v>21</v>
      </c>
      <c r="K1587" cm="1">
        <f t="array" ref="K1587">IF($Q1587&gt;=0,IFERROR(generateSalesData($D1587, IF(ISNUMBER(_xlfn.XLOOKUP($C1587,Phone_by_Sentiment!$B$2:$B$37,Phone_by_Sentiment!K$2:K$37,"",0,1)),_xlfn.XLOOKUP($C1587,Phone_by_Sentiment!$B$2:$B$37,Phone_by_Sentiment!K$2:K$37,"",0,1),0),$A1587-TEXT(DATEVALUE($D1587&amp;"-01"), "dd-mm-yyyy")),0),0)</f>
        <v>93</v>
      </c>
      <c r="L1587" cm="1">
        <f t="array" ref="L1587">IF($Q1587&gt;=0,IFERROR(generateSalesData($D1587, IF(ISNUMBER(_xlfn.XLOOKUP($C1587,Phone_by_Sentiment!$B$2:$B$37,Phone_by_Sentiment!L$2:L$37,"",0,1)),_xlfn.XLOOKUP($C1587,Phone_by_Sentiment!$B$2:$B$37,Phone_by_Sentiment!L$2:L$37,"",0,1),0),$A1587-TEXT(DATEVALUE($D1587&amp;"-01"), "dd-mm-yyyy")),0),0)</f>
        <v>93</v>
      </c>
      <c r="M1587" cm="1">
        <f t="array" ref="M1587">IF($Q1587&gt;=0,IFERROR(generateSalesData($D1587, IF(ISNUMBER(_xlfn.XLOOKUP($C1587,Phone_by_Sentiment!$B$2:$B$37,Phone_by_Sentiment!M$2:M$37,"",0,1)),_xlfn.XLOOKUP($C1587,Phone_by_Sentiment!$B$2:$B$37,Phone_by_Sentiment!M$2:M$37,"",0,1),0),$A1587-TEXT(DATEVALUE($D1587&amp;"-01"), "dd-mm-yyyy")),0),0)</f>
        <v>625</v>
      </c>
      <c r="N1587" cm="1">
        <f t="array" ref="N1587">IF($Q1587&gt;=0,IFERROR(generateSalesData($D1587, IF(ISNUMBER(_xlfn.XLOOKUP($C1587,Phone_by_Sentiment!$B$2:$B$37,Phone_by_Sentiment!N$2:N$37,"",0,1)),_xlfn.XLOOKUP($C1587,Phone_by_Sentiment!$B$2:$B$37,Phone_by_Sentiment!N$2:N$37,"",0,1),0),$A1587-TEXT(DATEVALUE($D1587&amp;"-01"), "dd-mm-yyyy")),0),0)</f>
        <v>63</v>
      </c>
      <c r="O1587" cm="1">
        <f t="array" ref="O1587">IF($Q1587&gt;=0,IFERROR(generateSalesData($D1587, IF(ISNUMBER(_xlfn.XLOOKUP($C1587,Phone_by_Sentiment!$B$2:$B$37,Phone_by_Sentiment!O$2:O$37,"",0,1)),_xlfn.XLOOKUP($C1587,Phone_by_Sentiment!$B$2:$B$37,Phone_by_Sentiment!O$2:O$37,"",0,1),0),$A1587-TEXT(DATEVALUE($D1587&amp;"-01"), "dd-mm-yyyy")),0),0)</f>
        <v>98</v>
      </c>
      <c r="P1587" s="1">
        <f t="shared" si="61"/>
        <v>44470</v>
      </c>
      <c r="Q1587">
        <f t="shared" si="63"/>
        <v>365</v>
      </c>
    </row>
    <row r="1588" spans="1:17" x14ac:dyDescent="0.25">
      <c r="A1588" s="1">
        <f t="shared" si="62"/>
        <v>44835</v>
      </c>
      <c r="B1588" t="s">
        <v>156</v>
      </c>
      <c r="C1588" t="str">
        <f>_xlfn.XLOOKUP(B1588,Phone_by_Price!$A$2:$A$34,Phone_by_Price!$B$2:$B$34,"-",0,1)</f>
        <v>OnePlus Nord CE</v>
      </c>
      <c r="D1588" t="str">
        <f>_xlfn.XLOOKUP(C1588,Phone_by_Sentiment!$B$2:$B$37,Phone_by_Sentiment!$A$2:$A$37,"-",0,1)</f>
        <v>2021-06</v>
      </c>
      <c r="E1588" cm="1">
        <f t="array" ref="E1588">IF($Q1588&gt;=0,IFERROR(generateSalesData($D1588, IF(ISNUMBER(_xlfn.XLOOKUP($C1588,Phone_by_Sentiment!$B$2:$B$37,Phone_by_Sentiment!E$2:E$37,"",0,1)),_xlfn.XLOOKUP($C1588,Phone_by_Sentiment!$B$2:$B$37,Phone_by_Sentiment!E$2:E$37,"",0,1),0),$A1588-TEXT(DATEVALUE($D1588&amp;"-01"), "dd-mm-yyyy")),0),0)</f>
        <v>-3</v>
      </c>
      <c r="F1588" cm="1">
        <f t="array" ref="F1588">IF($Q1588&gt;=0,IFERROR(generateSalesData($D1588, IF(ISNUMBER(_xlfn.XLOOKUP($C1588,Phone_by_Sentiment!$B$2:$B$37,Phone_by_Sentiment!F$2:F$37,"",0,1)),_xlfn.XLOOKUP($C1588,Phone_by_Sentiment!$B$2:$B$37,Phone_by_Sentiment!F$2:F$37,"",0,1),0),$A1588-TEXT(DATEVALUE($D1588&amp;"-01"), "dd-mm-yyyy")),0),0)</f>
        <v>100</v>
      </c>
      <c r="G1588" cm="1">
        <f t="array" ref="G1588">IF($Q1588&gt;=0,IFERROR(generateSalesData($D1588, IF(ISNUMBER(_xlfn.XLOOKUP($C1588,Phone_by_Sentiment!$B$2:$B$37,Phone_by_Sentiment!G$2:G$37,"",0,1)),_xlfn.XLOOKUP($C1588,Phone_by_Sentiment!$B$2:$B$37,Phone_by_Sentiment!G$2:G$37,"",0,1),0),$A1588-TEXT(DATEVALUE($D1588&amp;"-01"), "dd-mm-yyyy")),0),0)</f>
        <v>36</v>
      </c>
      <c r="H1588" cm="1">
        <f t="array" ref="H1588">IF($Q1588&gt;=0,IFERROR(generateSalesData($D1588, IF(ISNUMBER(_xlfn.XLOOKUP($C1588,Phone_by_Sentiment!$B$2:$B$37,Phone_by_Sentiment!H$2:H$37,"",0,1)),_xlfn.XLOOKUP($C1588,Phone_by_Sentiment!$B$2:$B$37,Phone_by_Sentiment!H$2:H$37,"",0,1),0),$A1588-TEXT(DATEVALUE($D1588&amp;"-01"), "dd-mm-yyyy")),0),0)</f>
        <v>663</v>
      </c>
      <c r="I1588" cm="1">
        <f t="array" ref="I1588">IF($Q1588&gt;=0,IFERROR(generateSalesData($D1588, IF(ISNUMBER(_xlfn.XLOOKUP($C1588,Phone_by_Sentiment!$B$2:$B$37,Phone_by_Sentiment!I$2:I$37,"",0,1)),_xlfn.XLOOKUP($C1588,Phone_by_Sentiment!$B$2:$B$37,Phone_by_Sentiment!I$2:I$37,"",0,1),0),$A1588-TEXT(DATEVALUE($D1588&amp;"-01"), "dd-mm-yyyy")),0),0)</f>
        <v>50</v>
      </c>
      <c r="J1588" cm="1">
        <f t="array" ref="J1588">IF($Q1588&gt;=0,IFERROR(generateSalesData($D1588, IF(ISNUMBER(_xlfn.XLOOKUP($C1588,Phone_by_Sentiment!$B$2:$B$37,Phone_by_Sentiment!J$2:J$37,"",0,1)),_xlfn.XLOOKUP($C1588,Phone_by_Sentiment!$B$2:$B$37,Phone_by_Sentiment!J$2:J$37,"",0,1),0),$A1588-TEXT(DATEVALUE($D1588&amp;"-01"), "dd-mm-yyyy")),0),0)</f>
        <v>36</v>
      </c>
      <c r="K1588" cm="1">
        <f t="array" ref="K1588">IF($Q1588&gt;=0,IFERROR(generateSalesData($D1588, IF(ISNUMBER(_xlfn.XLOOKUP($C1588,Phone_by_Sentiment!$B$2:$B$37,Phone_by_Sentiment!K$2:K$37,"",0,1)),_xlfn.XLOOKUP($C1588,Phone_by_Sentiment!$B$2:$B$37,Phone_by_Sentiment!K$2:K$37,"",0,1),0),$A1588-TEXT(DATEVALUE($D1588&amp;"-01"), "dd-mm-yyyy")),0),0)</f>
        <v>-27</v>
      </c>
      <c r="L1588" cm="1">
        <f t="array" ref="L1588">IF($Q1588&gt;=0,IFERROR(generateSalesData($D1588, IF(ISNUMBER(_xlfn.XLOOKUP($C1588,Phone_by_Sentiment!$B$2:$B$37,Phone_by_Sentiment!L$2:L$37,"",0,1)),_xlfn.XLOOKUP($C1588,Phone_by_Sentiment!$B$2:$B$37,Phone_by_Sentiment!L$2:L$37,"",0,1),0),$A1588-TEXT(DATEVALUE($D1588&amp;"-01"), "dd-mm-yyyy")),0),0)</f>
        <v>31</v>
      </c>
      <c r="M1588" cm="1">
        <f t="array" ref="M1588">IF($Q1588&gt;=0,IFERROR(generateSalesData($D1588, IF(ISNUMBER(_xlfn.XLOOKUP($C1588,Phone_by_Sentiment!$B$2:$B$37,Phone_by_Sentiment!M$2:M$37,"",0,1)),_xlfn.XLOOKUP($C1588,Phone_by_Sentiment!$B$2:$B$37,Phone_by_Sentiment!M$2:M$37,"",0,1),0),$A1588-TEXT(DATEVALUE($D1588&amp;"-01"), "dd-mm-yyyy")),0),0)</f>
        <v>116</v>
      </c>
      <c r="N1588" cm="1">
        <f t="array" ref="N1588">IF($Q1588&gt;=0,IFERROR(generateSalesData($D1588, IF(ISNUMBER(_xlfn.XLOOKUP($C1588,Phone_by_Sentiment!$B$2:$B$37,Phone_by_Sentiment!N$2:N$37,"",0,1)),_xlfn.XLOOKUP($C1588,Phone_by_Sentiment!$B$2:$B$37,Phone_by_Sentiment!N$2:N$37,"",0,1),0),$A1588-TEXT(DATEVALUE($D1588&amp;"-01"), "dd-mm-yyyy")),0),0)</f>
        <v>481</v>
      </c>
      <c r="O1588" cm="1">
        <f t="array" ref="O1588">IF($Q1588&gt;=0,IFERROR(generateSalesData($D1588, IF(ISNUMBER(_xlfn.XLOOKUP($C1588,Phone_by_Sentiment!$B$2:$B$37,Phone_by_Sentiment!O$2:O$37,"",0,1)),_xlfn.XLOOKUP($C1588,Phone_by_Sentiment!$B$2:$B$37,Phone_by_Sentiment!O$2:O$37,"",0,1),0),$A1588-TEXT(DATEVALUE($D1588&amp;"-01"), "dd-mm-yyyy")),0),0)</f>
        <v>28</v>
      </c>
      <c r="P1588" s="1">
        <f t="shared" si="61"/>
        <v>44348</v>
      </c>
      <c r="Q1588">
        <f t="shared" si="63"/>
        <v>487</v>
      </c>
    </row>
    <row r="1589" spans="1:17" x14ac:dyDescent="0.25">
      <c r="A1589" s="1">
        <f t="shared" si="62"/>
        <v>44835</v>
      </c>
      <c r="B1589" t="s">
        <v>157</v>
      </c>
      <c r="C1589" t="str">
        <f>_xlfn.XLOOKUP(B1589,Phone_by_Price!$A$2:$A$34,Phone_by_Price!$B$2:$B$34,"-",0,1)</f>
        <v>Apple iPhone 13 Pro</v>
      </c>
      <c r="D1589" t="str">
        <f>_xlfn.XLOOKUP(C1589,Phone_by_Sentiment!$B$2:$B$37,Phone_by_Sentiment!$A$2:$A$37,"-",0,1)</f>
        <v>2021-09</v>
      </c>
      <c r="E1589" cm="1">
        <f t="array" ref="E1589">IF($Q1589&gt;=0,IFERROR(generateSalesData($D1589, IF(ISNUMBER(_xlfn.XLOOKUP($C1589,Phone_by_Sentiment!$B$2:$B$37,Phone_by_Sentiment!E$2:E$37,"",0,1)),_xlfn.XLOOKUP($C1589,Phone_by_Sentiment!$B$2:$B$37,Phone_by_Sentiment!E$2:E$37,"",0,1),0),$A1589-TEXT(DATEVALUE($D1589&amp;"-01"), "dd-mm-yyyy")),0),0)</f>
        <v>126</v>
      </c>
      <c r="F1589" cm="1">
        <f t="array" ref="F1589">IF($Q1589&gt;=0,IFERROR(generateSalesData($D1589, IF(ISNUMBER(_xlfn.XLOOKUP($C1589,Phone_by_Sentiment!$B$2:$B$37,Phone_by_Sentiment!F$2:F$37,"",0,1)),_xlfn.XLOOKUP($C1589,Phone_by_Sentiment!$B$2:$B$37,Phone_by_Sentiment!F$2:F$37,"",0,1),0),$A1589-TEXT(DATEVALUE($D1589&amp;"-01"), "dd-mm-yyyy")),0),0)</f>
        <v>954</v>
      </c>
      <c r="G1589" cm="1">
        <f t="array" ref="G1589">IF($Q1589&gt;=0,IFERROR(generateSalesData($D1589, IF(ISNUMBER(_xlfn.XLOOKUP($C1589,Phone_by_Sentiment!$B$2:$B$37,Phone_by_Sentiment!G$2:G$37,"",0,1)),_xlfn.XLOOKUP($C1589,Phone_by_Sentiment!$B$2:$B$37,Phone_by_Sentiment!G$2:G$37,"",0,1),0),$A1589-TEXT(DATEVALUE($D1589&amp;"-01"), "dd-mm-yyyy")),0),0)</f>
        <v>135</v>
      </c>
      <c r="H1589" cm="1">
        <f t="array" ref="H1589">IF($Q1589&gt;=0,IFERROR(generateSalesData($D1589, IF(ISNUMBER(_xlfn.XLOOKUP($C1589,Phone_by_Sentiment!$B$2:$B$37,Phone_by_Sentiment!H$2:H$37,"",0,1)),_xlfn.XLOOKUP($C1589,Phone_by_Sentiment!$B$2:$B$37,Phone_by_Sentiment!H$2:H$37,"",0,1),0),$A1589-TEXT(DATEVALUE($D1589&amp;"-01"), "dd-mm-yyyy")),0),0)</f>
        <v>544</v>
      </c>
      <c r="I1589" cm="1">
        <f t="array" ref="I1589">IF($Q1589&gt;=0,IFERROR(generateSalesData($D1589, IF(ISNUMBER(_xlfn.XLOOKUP($C1589,Phone_by_Sentiment!$B$2:$B$37,Phone_by_Sentiment!I$2:I$37,"",0,1)),_xlfn.XLOOKUP($C1589,Phone_by_Sentiment!$B$2:$B$37,Phone_by_Sentiment!I$2:I$37,"",0,1),0),$A1589-TEXT(DATEVALUE($D1589&amp;"-01"), "dd-mm-yyyy")),0),0)</f>
        <v>129</v>
      </c>
      <c r="J1589" cm="1">
        <f t="array" ref="J1589">IF($Q1589&gt;=0,IFERROR(generateSalesData($D1589, IF(ISNUMBER(_xlfn.XLOOKUP($C1589,Phone_by_Sentiment!$B$2:$B$37,Phone_by_Sentiment!J$2:J$37,"",0,1)),_xlfn.XLOOKUP($C1589,Phone_by_Sentiment!$B$2:$B$37,Phone_by_Sentiment!J$2:J$37,"",0,1),0),$A1589-TEXT(DATEVALUE($D1589&amp;"-01"), "dd-mm-yyyy")),0),0)</f>
        <v>583</v>
      </c>
      <c r="K1589" cm="1">
        <f t="array" ref="K1589">IF($Q1589&gt;=0,IFERROR(generateSalesData($D1589, IF(ISNUMBER(_xlfn.XLOOKUP($C1589,Phone_by_Sentiment!$B$2:$B$37,Phone_by_Sentiment!K$2:K$37,"",0,1)),_xlfn.XLOOKUP($C1589,Phone_by_Sentiment!$B$2:$B$37,Phone_by_Sentiment!K$2:K$37,"",0,1),0),$A1589-TEXT(DATEVALUE($D1589&amp;"-01"), "dd-mm-yyyy")),0),0)</f>
        <v>411</v>
      </c>
      <c r="L1589" cm="1">
        <f t="array" ref="L1589">IF($Q1589&gt;=0,IFERROR(generateSalesData($D1589, IF(ISNUMBER(_xlfn.XLOOKUP($C1589,Phone_by_Sentiment!$B$2:$B$37,Phone_by_Sentiment!L$2:L$37,"",0,1)),_xlfn.XLOOKUP($C1589,Phone_by_Sentiment!$B$2:$B$37,Phone_by_Sentiment!L$2:L$37,"",0,1),0),$A1589-TEXT(DATEVALUE($D1589&amp;"-01"), "dd-mm-yyyy")),0),0)</f>
        <v>931</v>
      </c>
      <c r="M1589" cm="1">
        <f t="array" ref="M1589">IF($Q1589&gt;=0,IFERROR(generateSalesData($D1589, IF(ISNUMBER(_xlfn.XLOOKUP($C1589,Phone_by_Sentiment!$B$2:$B$37,Phone_by_Sentiment!M$2:M$37,"",0,1)),_xlfn.XLOOKUP($C1589,Phone_by_Sentiment!$B$2:$B$37,Phone_by_Sentiment!M$2:M$37,"",0,1),0),$A1589-TEXT(DATEVALUE($D1589&amp;"-01"), "dd-mm-yyyy")),0),0)</f>
        <v>965</v>
      </c>
      <c r="N1589" cm="1">
        <f t="array" ref="N1589">IF($Q1589&gt;=0,IFERROR(generateSalesData($D1589, IF(ISNUMBER(_xlfn.XLOOKUP($C1589,Phone_by_Sentiment!$B$2:$B$37,Phone_by_Sentiment!N$2:N$37,"",0,1)),_xlfn.XLOOKUP($C1589,Phone_by_Sentiment!$B$2:$B$37,Phone_by_Sentiment!N$2:N$37,"",0,1),0),$A1589-TEXT(DATEVALUE($D1589&amp;"-01"), "dd-mm-yyyy")),0),0)</f>
        <v>833</v>
      </c>
      <c r="O1589" cm="1">
        <f t="array" ref="O1589">IF($Q1589&gt;=0,IFERROR(generateSalesData($D1589, IF(ISNUMBER(_xlfn.XLOOKUP($C1589,Phone_by_Sentiment!$B$2:$B$37,Phone_by_Sentiment!O$2:O$37,"",0,1)),_xlfn.XLOOKUP($C1589,Phone_by_Sentiment!$B$2:$B$37,Phone_by_Sentiment!O$2:O$37,"",0,1),0),$A1589-TEXT(DATEVALUE($D1589&amp;"-01"), "dd-mm-yyyy")),0),0)</f>
        <v>518</v>
      </c>
      <c r="P1589" s="1">
        <f t="shared" si="61"/>
        <v>44440</v>
      </c>
      <c r="Q1589">
        <f t="shared" si="63"/>
        <v>395</v>
      </c>
    </row>
    <row r="1590" spans="1:17" x14ac:dyDescent="0.25">
      <c r="A1590" s="1">
        <f t="shared" si="62"/>
        <v>44835</v>
      </c>
      <c r="B1590" t="s">
        <v>158</v>
      </c>
      <c r="C1590" t="str">
        <f>_xlfn.XLOOKUP(B1590,Phone_by_Price!$A$2:$A$34,Phone_by_Price!$B$2:$B$34,"-",0,1)</f>
        <v>Samsung Galaxy A32 5G</v>
      </c>
      <c r="D1590" t="str">
        <f>_xlfn.XLOOKUP(C1590,Phone_by_Sentiment!$B$2:$B$37,Phone_by_Sentiment!$A$2:$A$37,"-",0,1)</f>
        <v>2021-02</v>
      </c>
      <c r="E1590" cm="1">
        <f t="array" ref="E1590">IF($Q1590&gt;=0,IFERROR(generateSalesData($D1590, IF(ISNUMBER(_xlfn.XLOOKUP($C1590,Phone_by_Sentiment!$B$2:$B$37,Phone_by_Sentiment!E$2:E$37,"",0,1)),_xlfn.XLOOKUP($C1590,Phone_by_Sentiment!$B$2:$B$37,Phone_by_Sentiment!E$2:E$37,"",0,1),0),$A1590-TEXT(DATEVALUE($D1590&amp;"-01"), "dd-mm-yyyy")),0),0)</f>
        <v>481</v>
      </c>
      <c r="F1590" cm="1">
        <f t="array" ref="F1590">IF($Q1590&gt;=0,IFERROR(generateSalesData($D1590, IF(ISNUMBER(_xlfn.XLOOKUP($C1590,Phone_by_Sentiment!$B$2:$B$37,Phone_by_Sentiment!F$2:F$37,"",0,1)),_xlfn.XLOOKUP($C1590,Phone_by_Sentiment!$B$2:$B$37,Phone_by_Sentiment!F$2:F$37,"",0,1),0),$A1590-TEXT(DATEVALUE($D1590&amp;"-01"), "dd-mm-yyyy")),0),0)</f>
        <v>488</v>
      </c>
      <c r="G1590" cm="1">
        <f t="array" ref="G1590">IF($Q1590&gt;=0,IFERROR(generateSalesData($D1590, IF(ISNUMBER(_xlfn.XLOOKUP($C1590,Phone_by_Sentiment!$B$2:$B$37,Phone_by_Sentiment!G$2:G$37,"",0,1)),_xlfn.XLOOKUP($C1590,Phone_by_Sentiment!$B$2:$B$37,Phone_by_Sentiment!G$2:G$37,"",0,1),0),$A1590-TEXT(DATEVALUE($D1590&amp;"-01"), "dd-mm-yyyy")),0),0)</f>
        <v>127</v>
      </c>
      <c r="H1590" cm="1">
        <f t="array" ref="H1590">IF($Q1590&gt;=0,IFERROR(generateSalesData($D1590, IF(ISNUMBER(_xlfn.XLOOKUP($C1590,Phone_by_Sentiment!$B$2:$B$37,Phone_by_Sentiment!H$2:H$37,"",0,1)),_xlfn.XLOOKUP($C1590,Phone_by_Sentiment!$B$2:$B$37,Phone_by_Sentiment!H$2:H$37,"",0,1),0),$A1590-TEXT(DATEVALUE($D1590&amp;"-01"), "dd-mm-yyyy")),0),0)</f>
        <v>634</v>
      </c>
      <c r="I1590" cm="1">
        <f t="array" ref="I1590">IF($Q1590&gt;=0,IFERROR(generateSalesData($D1590, IF(ISNUMBER(_xlfn.XLOOKUP($C1590,Phone_by_Sentiment!$B$2:$B$37,Phone_by_Sentiment!I$2:I$37,"",0,1)),_xlfn.XLOOKUP($C1590,Phone_by_Sentiment!$B$2:$B$37,Phone_by_Sentiment!I$2:I$37,"",0,1),0),$A1590-TEXT(DATEVALUE($D1590&amp;"-01"), "dd-mm-yyyy")),0),0)</f>
        <v>85</v>
      </c>
      <c r="J1590" cm="1">
        <f t="array" ref="J1590">IF($Q1590&gt;=0,IFERROR(generateSalesData($D1590, IF(ISNUMBER(_xlfn.XLOOKUP($C1590,Phone_by_Sentiment!$B$2:$B$37,Phone_by_Sentiment!J$2:J$37,"",0,1)),_xlfn.XLOOKUP($C1590,Phone_by_Sentiment!$B$2:$B$37,Phone_by_Sentiment!J$2:J$37,"",0,1),0),$A1590-TEXT(DATEVALUE($D1590&amp;"-01"), "dd-mm-yyyy")),0),0)</f>
        <v>752</v>
      </c>
      <c r="K1590" cm="1">
        <f t="array" ref="K1590">IF($Q1590&gt;=0,IFERROR(generateSalesData($D1590, IF(ISNUMBER(_xlfn.XLOOKUP($C1590,Phone_by_Sentiment!$B$2:$B$37,Phone_by_Sentiment!K$2:K$37,"",0,1)),_xlfn.XLOOKUP($C1590,Phone_by_Sentiment!$B$2:$B$37,Phone_by_Sentiment!K$2:K$37,"",0,1),0),$A1590-TEXT(DATEVALUE($D1590&amp;"-01"), "dd-mm-yyyy")),0),0)</f>
        <v>158</v>
      </c>
      <c r="L1590" cm="1">
        <f t="array" ref="L1590">IF($Q1590&gt;=0,IFERROR(generateSalesData($D1590, IF(ISNUMBER(_xlfn.XLOOKUP($C1590,Phone_by_Sentiment!$B$2:$B$37,Phone_by_Sentiment!L$2:L$37,"",0,1)),_xlfn.XLOOKUP($C1590,Phone_by_Sentiment!$B$2:$B$37,Phone_by_Sentiment!L$2:L$37,"",0,1),0),$A1590-TEXT(DATEVALUE($D1590&amp;"-01"), "dd-mm-yyyy")),0),0)</f>
        <v>378</v>
      </c>
      <c r="M1590" cm="1">
        <f t="array" ref="M1590">IF($Q1590&gt;=0,IFERROR(generateSalesData($D1590, IF(ISNUMBER(_xlfn.XLOOKUP($C1590,Phone_by_Sentiment!$B$2:$B$37,Phone_by_Sentiment!M$2:M$37,"",0,1)),_xlfn.XLOOKUP($C1590,Phone_by_Sentiment!$B$2:$B$37,Phone_by_Sentiment!M$2:M$37,"",0,1),0),$A1590-TEXT(DATEVALUE($D1590&amp;"-01"), "dd-mm-yyyy")),0),0)</f>
        <v>590</v>
      </c>
      <c r="N1590" cm="1">
        <f t="array" ref="N1590">IF($Q1590&gt;=0,IFERROR(generateSalesData($D1590, IF(ISNUMBER(_xlfn.XLOOKUP($C1590,Phone_by_Sentiment!$B$2:$B$37,Phone_by_Sentiment!N$2:N$37,"",0,1)),_xlfn.XLOOKUP($C1590,Phone_by_Sentiment!$B$2:$B$37,Phone_by_Sentiment!N$2:N$37,"",0,1),0),$A1590-TEXT(DATEVALUE($D1590&amp;"-01"), "dd-mm-yyyy")),0),0)</f>
        <v>62</v>
      </c>
      <c r="O1590" cm="1">
        <f t="array" ref="O1590">IF($Q1590&gt;=0,IFERROR(generateSalesData($D1590, IF(ISNUMBER(_xlfn.XLOOKUP($C1590,Phone_by_Sentiment!$B$2:$B$37,Phone_by_Sentiment!O$2:O$37,"",0,1)),_xlfn.XLOOKUP($C1590,Phone_by_Sentiment!$B$2:$B$37,Phone_by_Sentiment!O$2:O$37,"",0,1),0),$A1590-TEXT(DATEVALUE($D1590&amp;"-01"), "dd-mm-yyyy")),0),0)</f>
        <v>331</v>
      </c>
      <c r="P1590" s="1">
        <f t="shared" si="61"/>
        <v>44228</v>
      </c>
      <c r="Q1590">
        <f t="shared" si="63"/>
        <v>607</v>
      </c>
    </row>
    <row r="1591" spans="1:17" x14ac:dyDescent="0.25">
      <c r="A1591" s="1">
        <f t="shared" si="62"/>
        <v>44835</v>
      </c>
      <c r="B1591" t="s">
        <v>159</v>
      </c>
      <c r="C1591" t="str">
        <f>_xlfn.XLOOKUP(B1591,Phone_by_Price!$A$2:$A$34,Phone_by_Price!$B$2:$B$34,"-",0,1)</f>
        <v>Realme C25</v>
      </c>
      <c r="D1591" t="str">
        <f>_xlfn.XLOOKUP(C1591,Phone_by_Sentiment!$B$2:$B$37,Phone_by_Sentiment!$A$2:$A$37,"-",0,1)</f>
        <v>2021-03</v>
      </c>
      <c r="E1591" cm="1">
        <f t="array" ref="E1591">IF($Q1591&gt;=0,IFERROR(generateSalesData($D1591, IF(ISNUMBER(_xlfn.XLOOKUP($C1591,Phone_by_Sentiment!$B$2:$B$37,Phone_by_Sentiment!E$2:E$37,"",0,1)),_xlfn.XLOOKUP($C1591,Phone_by_Sentiment!$B$2:$B$37,Phone_by_Sentiment!E$2:E$37,"",0,1),0),$A1591-TEXT(DATEVALUE($D1591&amp;"-01"), "dd-mm-yyyy")),0),0)</f>
        <v>19</v>
      </c>
      <c r="F1591" cm="1">
        <f t="array" ref="F1591">IF($Q1591&gt;=0,IFERROR(generateSalesData($D1591, IF(ISNUMBER(_xlfn.XLOOKUP($C1591,Phone_by_Sentiment!$B$2:$B$37,Phone_by_Sentiment!F$2:F$37,"",0,1)),_xlfn.XLOOKUP($C1591,Phone_by_Sentiment!$B$2:$B$37,Phone_by_Sentiment!F$2:F$37,"",0,1),0),$A1591-TEXT(DATEVALUE($D1591&amp;"-01"), "dd-mm-yyyy")),0),0)</f>
        <v>539</v>
      </c>
      <c r="G1591" cm="1">
        <f t="array" ref="G1591">IF($Q1591&gt;=0,IFERROR(generateSalesData($D1591, IF(ISNUMBER(_xlfn.XLOOKUP($C1591,Phone_by_Sentiment!$B$2:$B$37,Phone_by_Sentiment!G$2:G$37,"",0,1)),_xlfn.XLOOKUP($C1591,Phone_by_Sentiment!$B$2:$B$37,Phone_by_Sentiment!G$2:G$37,"",0,1),0),$A1591-TEXT(DATEVALUE($D1591&amp;"-01"), "dd-mm-yyyy")),0),0)</f>
        <v>56</v>
      </c>
      <c r="H1591" cm="1">
        <f t="array" ref="H1591">IF($Q1591&gt;=0,IFERROR(generateSalesData($D1591, IF(ISNUMBER(_xlfn.XLOOKUP($C1591,Phone_by_Sentiment!$B$2:$B$37,Phone_by_Sentiment!H$2:H$37,"",0,1)),_xlfn.XLOOKUP($C1591,Phone_by_Sentiment!$B$2:$B$37,Phone_by_Sentiment!H$2:H$37,"",0,1),0),$A1591-TEXT(DATEVALUE($D1591&amp;"-01"), "dd-mm-yyyy")),0),0)</f>
        <v>406</v>
      </c>
      <c r="I1591" cm="1">
        <f t="array" ref="I1591">IF($Q1591&gt;=0,IFERROR(generateSalesData($D1591, IF(ISNUMBER(_xlfn.XLOOKUP($C1591,Phone_by_Sentiment!$B$2:$B$37,Phone_by_Sentiment!I$2:I$37,"",0,1)),_xlfn.XLOOKUP($C1591,Phone_by_Sentiment!$B$2:$B$37,Phone_by_Sentiment!I$2:I$37,"",0,1),0),$A1591-TEXT(DATEVALUE($D1591&amp;"-01"), "dd-mm-yyyy")),0),0)</f>
        <v>27</v>
      </c>
      <c r="J1591" cm="1">
        <f t="array" ref="J1591">IF($Q1591&gt;=0,IFERROR(generateSalesData($D1591, IF(ISNUMBER(_xlfn.XLOOKUP($C1591,Phone_by_Sentiment!$B$2:$B$37,Phone_by_Sentiment!J$2:J$37,"",0,1)),_xlfn.XLOOKUP($C1591,Phone_by_Sentiment!$B$2:$B$37,Phone_by_Sentiment!J$2:J$37,"",0,1),0),$A1591-TEXT(DATEVALUE($D1591&amp;"-01"), "dd-mm-yyyy")),0),0)</f>
        <v>93</v>
      </c>
      <c r="K1591" cm="1">
        <f t="array" ref="K1591">IF($Q1591&gt;=0,IFERROR(generateSalesData($D1591, IF(ISNUMBER(_xlfn.XLOOKUP($C1591,Phone_by_Sentiment!$B$2:$B$37,Phone_by_Sentiment!K$2:K$37,"",0,1)),_xlfn.XLOOKUP($C1591,Phone_by_Sentiment!$B$2:$B$37,Phone_by_Sentiment!K$2:K$37,"",0,1),0),$A1591-TEXT(DATEVALUE($D1591&amp;"-01"), "dd-mm-yyyy")),0),0)</f>
        <v>233</v>
      </c>
      <c r="L1591" cm="1">
        <f t="array" ref="L1591">IF($Q1591&gt;=0,IFERROR(generateSalesData($D1591, IF(ISNUMBER(_xlfn.XLOOKUP($C1591,Phone_by_Sentiment!$B$2:$B$37,Phone_by_Sentiment!L$2:L$37,"",0,1)),_xlfn.XLOOKUP($C1591,Phone_by_Sentiment!$B$2:$B$37,Phone_by_Sentiment!L$2:L$37,"",0,1),0),$A1591-TEXT(DATEVALUE($D1591&amp;"-01"), "dd-mm-yyyy")),0),0)</f>
        <v>227</v>
      </c>
      <c r="M1591" cm="1">
        <f t="array" ref="M1591">IF($Q1591&gt;=0,IFERROR(generateSalesData($D1591, IF(ISNUMBER(_xlfn.XLOOKUP($C1591,Phone_by_Sentiment!$B$2:$B$37,Phone_by_Sentiment!M$2:M$37,"",0,1)),_xlfn.XLOOKUP($C1591,Phone_by_Sentiment!$B$2:$B$37,Phone_by_Sentiment!M$2:M$37,"",0,1),0),$A1591-TEXT(DATEVALUE($D1591&amp;"-01"), "dd-mm-yyyy")),0),0)</f>
        <v>116</v>
      </c>
      <c r="N1591" cm="1">
        <f t="array" ref="N1591">IF($Q1591&gt;=0,IFERROR(generateSalesData($D1591, IF(ISNUMBER(_xlfn.XLOOKUP($C1591,Phone_by_Sentiment!$B$2:$B$37,Phone_by_Sentiment!N$2:N$37,"",0,1)),_xlfn.XLOOKUP($C1591,Phone_by_Sentiment!$B$2:$B$37,Phone_by_Sentiment!N$2:N$37,"",0,1),0),$A1591-TEXT(DATEVALUE($D1591&amp;"-01"), "dd-mm-yyyy")),0),0)</f>
        <v>389</v>
      </c>
      <c r="O1591" cm="1">
        <f t="array" ref="O1591">IF($Q1591&gt;=0,IFERROR(generateSalesData($D1591, IF(ISNUMBER(_xlfn.XLOOKUP($C1591,Phone_by_Sentiment!$B$2:$B$37,Phone_by_Sentiment!O$2:O$37,"",0,1)),_xlfn.XLOOKUP($C1591,Phone_by_Sentiment!$B$2:$B$37,Phone_by_Sentiment!O$2:O$37,"",0,1),0),$A1591-TEXT(DATEVALUE($D1591&amp;"-01"), "dd-mm-yyyy")),0),0)</f>
        <v>45</v>
      </c>
      <c r="P1591" s="1">
        <f t="shared" si="61"/>
        <v>44256</v>
      </c>
      <c r="Q1591">
        <f t="shared" si="63"/>
        <v>579</v>
      </c>
    </row>
    <row r="1592" spans="1:17" x14ac:dyDescent="0.25">
      <c r="A1592" s="1">
        <f t="shared" si="62"/>
        <v>44835</v>
      </c>
      <c r="B1592" t="s">
        <v>160</v>
      </c>
      <c r="C1592" t="str">
        <f>_xlfn.XLOOKUP(B1592,Phone_by_Price!$A$2:$A$34,Phone_by_Price!$B$2:$B$34,"-",0,1)</f>
        <v>Xiaomi Poco X3 Pro</v>
      </c>
      <c r="D1592" t="str">
        <f>_xlfn.XLOOKUP(C1592,Phone_by_Sentiment!$B$2:$B$37,Phone_by_Sentiment!$A$2:$A$37,"-",0,1)</f>
        <v>2021-05</v>
      </c>
      <c r="E1592" cm="1">
        <f t="array" ref="E1592">IF($Q1592&gt;=0,IFERROR(generateSalesData($D1592, IF(ISNUMBER(_xlfn.XLOOKUP($C1592,Phone_by_Sentiment!$B$2:$B$37,Phone_by_Sentiment!E$2:E$37,"",0,1)),_xlfn.XLOOKUP($C1592,Phone_by_Sentiment!$B$2:$B$37,Phone_by_Sentiment!E$2:E$37,"",0,1),0),$A1592-TEXT(DATEVALUE($D1592&amp;"-01"), "dd-mm-yyyy")),0),0)</f>
        <v>583</v>
      </c>
      <c r="F1592" cm="1">
        <f t="array" ref="F1592">IF($Q1592&gt;=0,IFERROR(generateSalesData($D1592, IF(ISNUMBER(_xlfn.XLOOKUP($C1592,Phone_by_Sentiment!$B$2:$B$37,Phone_by_Sentiment!F$2:F$37,"",0,1)),_xlfn.XLOOKUP($C1592,Phone_by_Sentiment!$B$2:$B$37,Phone_by_Sentiment!F$2:F$37,"",0,1),0),$A1592-TEXT(DATEVALUE($D1592&amp;"-01"), "dd-mm-yyyy")),0),0)</f>
        <v>59</v>
      </c>
      <c r="G1592" cm="1">
        <f t="array" ref="G1592">IF($Q1592&gt;=0,IFERROR(generateSalesData($D1592, IF(ISNUMBER(_xlfn.XLOOKUP($C1592,Phone_by_Sentiment!$B$2:$B$37,Phone_by_Sentiment!G$2:G$37,"",0,1)),_xlfn.XLOOKUP($C1592,Phone_by_Sentiment!$B$2:$B$37,Phone_by_Sentiment!G$2:G$37,"",0,1),0),$A1592-TEXT(DATEVALUE($D1592&amp;"-01"), "dd-mm-yyyy")),0),0)</f>
        <v>228</v>
      </c>
      <c r="H1592" cm="1">
        <f t="array" ref="H1592">IF($Q1592&gt;=0,IFERROR(generateSalesData($D1592, IF(ISNUMBER(_xlfn.XLOOKUP($C1592,Phone_by_Sentiment!$B$2:$B$37,Phone_by_Sentiment!H$2:H$37,"",0,1)),_xlfn.XLOOKUP($C1592,Phone_by_Sentiment!$B$2:$B$37,Phone_by_Sentiment!H$2:H$37,"",0,1),0),$A1592-TEXT(DATEVALUE($D1592&amp;"-01"), "dd-mm-yyyy")),0),0)</f>
        <v>424</v>
      </c>
      <c r="I1592" cm="1">
        <f t="array" ref="I1592">IF($Q1592&gt;=0,IFERROR(generateSalesData($D1592, IF(ISNUMBER(_xlfn.XLOOKUP($C1592,Phone_by_Sentiment!$B$2:$B$37,Phone_by_Sentiment!I$2:I$37,"",0,1)),_xlfn.XLOOKUP($C1592,Phone_by_Sentiment!$B$2:$B$37,Phone_by_Sentiment!I$2:I$37,"",0,1),0),$A1592-TEXT(DATEVALUE($D1592&amp;"-01"), "dd-mm-yyyy")),0),0)</f>
        <v>312</v>
      </c>
      <c r="J1592" cm="1">
        <f t="array" ref="J1592">IF($Q1592&gt;=0,IFERROR(generateSalesData($D1592, IF(ISNUMBER(_xlfn.XLOOKUP($C1592,Phone_by_Sentiment!$B$2:$B$37,Phone_by_Sentiment!J$2:J$37,"",0,1)),_xlfn.XLOOKUP($C1592,Phone_by_Sentiment!$B$2:$B$37,Phone_by_Sentiment!J$2:J$37,"",0,1),0),$A1592-TEXT(DATEVALUE($D1592&amp;"-01"), "dd-mm-yyyy")),0),0)</f>
        <v>75</v>
      </c>
      <c r="K1592" cm="1">
        <f t="array" ref="K1592">IF($Q1592&gt;=0,IFERROR(generateSalesData($D1592, IF(ISNUMBER(_xlfn.XLOOKUP($C1592,Phone_by_Sentiment!$B$2:$B$37,Phone_by_Sentiment!K$2:K$37,"",0,1)),_xlfn.XLOOKUP($C1592,Phone_by_Sentiment!$B$2:$B$37,Phone_by_Sentiment!K$2:K$37,"",0,1),0),$A1592-TEXT(DATEVALUE($D1592&amp;"-01"), "dd-mm-yyyy")),0),0)</f>
        <v>507</v>
      </c>
      <c r="L1592" cm="1">
        <f t="array" ref="L1592">IF($Q1592&gt;=0,IFERROR(generateSalesData($D1592, IF(ISNUMBER(_xlfn.XLOOKUP($C1592,Phone_by_Sentiment!$B$2:$B$37,Phone_by_Sentiment!L$2:L$37,"",0,1)),_xlfn.XLOOKUP($C1592,Phone_by_Sentiment!$B$2:$B$37,Phone_by_Sentiment!L$2:L$37,"",0,1),0),$A1592-TEXT(DATEVALUE($D1592&amp;"-01"), "dd-mm-yyyy")),0),0)</f>
        <v>90</v>
      </c>
      <c r="M1592" cm="1">
        <f t="array" ref="M1592">IF($Q1592&gt;=0,IFERROR(generateSalesData($D1592, IF(ISNUMBER(_xlfn.XLOOKUP($C1592,Phone_by_Sentiment!$B$2:$B$37,Phone_by_Sentiment!M$2:M$37,"",0,1)),_xlfn.XLOOKUP($C1592,Phone_by_Sentiment!$B$2:$B$37,Phone_by_Sentiment!M$2:M$37,"",0,1),0),$A1592-TEXT(DATEVALUE($D1592&amp;"-01"), "dd-mm-yyyy")),0),0)</f>
        <v>257</v>
      </c>
      <c r="N1592" cm="1">
        <f t="array" ref="N1592">IF($Q1592&gt;=0,IFERROR(generateSalesData($D1592, IF(ISNUMBER(_xlfn.XLOOKUP($C1592,Phone_by_Sentiment!$B$2:$B$37,Phone_by_Sentiment!N$2:N$37,"",0,1)),_xlfn.XLOOKUP($C1592,Phone_by_Sentiment!$B$2:$B$37,Phone_by_Sentiment!N$2:N$37,"",0,1),0),$A1592-TEXT(DATEVALUE($D1592&amp;"-01"), "dd-mm-yyyy")),0),0)</f>
        <v>119</v>
      </c>
      <c r="O1592" cm="1">
        <f t="array" ref="O1592">IF($Q1592&gt;=0,IFERROR(generateSalesData($D1592, IF(ISNUMBER(_xlfn.XLOOKUP($C1592,Phone_by_Sentiment!$B$2:$B$37,Phone_by_Sentiment!O$2:O$37,"",0,1)),_xlfn.XLOOKUP($C1592,Phone_by_Sentiment!$B$2:$B$37,Phone_by_Sentiment!O$2:O$37,"",0,1),0),$A1592-TEXT(DATEVALUE($D1592&amp;"-01"), "dd-mm-yyyy")),0),0)</f>
        <v>351</v>
      </c>
      <c r="P1592" s="1">
        <f t="shared" si="61"/>
        <v>44317</v>
      </c>
      <c r="Q1592">
        <f t="shared" si="63"/>
        <v>518</v>
      </c>
    </row>
    <row r="1593" spans="1:17" x14ac:dyDescent="0.25">
      <c r="A1593" s="1">
        <f t="shared" si="62"/>
        <v>44835</v>
      </c>
      <c r="B1593" t="s">
        <v>161</v>
      </c>
      <c r="C1593" t="str">
        <f>_xlfn.XLOOKUP(B1593,Phone_by_Price!$A$2:$A$34,Phone_by_Price!$B$2:$B$34,"-",0,1)</f>
        <v>Samsung Galaxy Z Flip 3</v>
      </c>
      <c r="D1593" t="str">
        <f>_xlfn.XLOOKUP(C1593,Phone_by_Sentiment!$B$2:$B$37,Phone_by_Sentiment!$A$2:$A$37,"-",0,1)</f>
        <v>2021-09</v>
      </c>
      <c r="E1593" cm="1">
        <f t="array" ref="E1593">IF($Q1593&gt;=0,IFERROR(generateSalesData($D1593, IF(ISNUMBER(_xlfn.XLOOKUP($C1593,Phone_by_Sentiment!$B$2:$B$37,Phone_by_Sentiment!E$2:E$37,"",0,1)),_xlfn.XLOOKUP($C1593,Phone_by_Sentiment!$B$2:$B$37,Phone_by_Sentiment!E$2:E$37,"",0,1),0),$A1593-TEXT(DATEVALUE($D1593&amp;"-01"), "dd-mm-yyyy")),0),0)</f>
        <v>3</v>
      </c>
      <c r="F1593" cm="1">
        <f t="array" ref="F1593">IF($Q1593&gt;=0,IFERROR(generateSalesData($D1593, IF(ISNUMBER(_xlfn.XLOOKUP($C1593,Phone_by_Sentiment!$B$2:$B$37,Phone_by_Sentiment!F$2:F$37,"",0,1)),_xlfn.XLOOKUP($C1593,Phone_by_Sentiment!$B$2:$B$37,Phone_by_Sentiment!F$2:F$37,"",0,1),0),$A1593-TEXT(DATEVALUE($D1593&amp;"-01"), "dd-mm-yyyy")),0),0)</f>
        <v>1175</v>
      </c>
      <c r="G1593" cm="1">
        <f t="array" ref="G1593">IF($Q1593&gt;=0,IFERROR(generateSalesData($D1593, IF(ISNUMBER(_xlfn.XLOOKUP($C1593,Phone_by_Sentiment!$B$2:$B$37,Phone_by_Sentiment!G$2:G$37,"",0,1)),_xlfn.XLOOKUP($C1593,Phone_by_Sentiment!$B$2:$B$37,Phone_by_Sentiment!G$2:G$37,"",0,1),0),$A1593-TEXT(DATEVALUE($D1593&amp;"-01"), "dd-mm-yyyy")),0),0)</f>
        <v>173</v>
      </c>
      <c r="H1593" cm="1">
        <f t="array" ref="H1593">IF($Q1593&gt;=0,IFERROR(generateSalesData($D1593, IF(ISNUMBER(_xlfn.XLOOKUP($C1593,Phone_by_Sentiment!$B$2:$B$37,Phone_by_Sentiment!H$2:H$37,"",0,1)),_xlfn.XLOOKUP($C1593,Phone_by_Sentiment!$B$2:$B$37,Phone_by_Sentiment!H$2:H$37,"",0,1),0),$A1593-TEXT(DATEVALUE($D1593&amp;"-01"), "dd-mm-yyyy")),0),0)</f>
        <v>775</v>
      </c>
      <c r="I1593" cm="1">
        <f t="array" ref="I1593">IF($Q1593&gt;=0,IFERROR(generateSalesData($D1593, IF(ISNUMBER(_xlfn.XLOOKUP($C1593,Phone_by_Sentiment!$B$2:$B$37,Phone_by_Sentiment!I$2:I$37,"",0,1)),_xlfn.XLOOKUP($C1593,Phone_by_Sentiment!$B$2:$B$37,Phone_by_Sentiment!I$2:I$37,"",0,1),0),$A1593-TEXT(DATEVALUE($D1593&amp;"-01"), "dd-mm-yyyy")),0),0)</f>
        <v>488</v>
      </c>
      <c r="J1593" cm="1">
        <f t="array" ref="J1593">IF($Q1593&gt;=0,IFERROR(generateSalesData($D1593, IF(ISNUMBER(_xlfn.XLOOKUP($C1593,Phone_by_Sentiment!$B$2:$B$37,Phone_by_Sentiment!J$2:J$37,"",0,1)),_xlfn.XLOOKUP($C1593,Phone_by_Sentiment!$B$2:$B$37,Phone_by_Sentiment!J$2:J$37,"",0,1),0),$A1593-TEXT(DATEVALUE($D1593&amp;"-01"), "dd-mm-yyyy")),0),0)</f>
        <v>840</v>
      </c>
      <c r="K1593" cm="1">
        <f t="array" ref="K1593">IF($Q1593&gt;=0,IFERROR(generateSalesData($D1593, IF(ISNUMBER(_xlfn.XLOOKUP($C1593,Phone_by_Sentiment!$B$2:$B$37,Phone_by_Sentiment!K$2:K$37,"",0,1)),_xlfn.XLOOKUP($C1593,Phone_by_Sentiment!$B$2:$B$37,Phone_by_Sentiment!K$2:K$37,"",0,1),0),$A1593-TEXT(DATEVALUE($D1593&amp;"-01"), "dd-mm-yyyy")),0),0)</f>
        <v>396</v>
      </c>
      <c r="L1593" cm="1">
        <f t="array" ref="L1593">IF($Q1593&gt;=0,IFERROR(generateSalesData($D1593, IF(ISNUMBER(_xlfn.XLOOKUP($C1593,Phone_by_Sentiment!$B$2:$B$37,Phone_by_Sentiment!L$2:L$37,"",0,1)),_xlfn.XLOOKUP($C1593,Phone_by_Sentiment!$B$2:$B$37,Phone_by_Sentiment!L$2:L$37,"",0,1),0),$A1593-TEXT(DATEVALUE($D1593&amp;"-01"), "dd-mm-yyyy")),0),0)</f>
        <v>322</v>
      </c>
      <c r="M1593" cm="1">
        <f t="array" ref="M1593">IF($Q1593&gt;=0,IFERROR(generateSalesData($D1593, IF(ISNUMBER(_xlfn.XLOOKUP($C1593,Phone_by_Sentiment!$B$2:$B$37,Phone_by_Sentiment!M$2:M$37,"",0,1)),_xlfn.XLOOKUP($C1593,Phone_by_Sentiment!$B$2:$B$37,Phone_by_Sentiment!M$2:M$37,"",0,1),0),$A1593-TEXT(DATEVALUE($D1593&amp;"-01"), "dd-mm-yyyy")),0),0)</f>
        <v>831</v>
      </c>
      <c r="N1593" cm="1">
        <f t="array" ref="N1593">IF($Q1593&gt;=0,IFERROR(generateSalesData($D1593, IF(ISNUMBER(_xlfn.XLOOKUP($C1593,Phone_by_Sentiment!$B$2:$B$37,Phone_by_Sentiment!N$2:N$37,"",0,1)),_xlfn.XLOOKUP($C1593,Phone_by_Sentiment!$B$2:$B$37,Phone_by_Sentiment!N$2:N$37,"",0,1),0),$A1593-TEXT(DATEVALUE($D1593&amp;"-01"), "dd-mm-yyyy")),0),0)</f>
        <v>107</v>
      </c>
      <c r="O1593" cm="1">
        <f t="array" ref="O1593">IF($Q1593&gt;=0,IFERROR(generateSalesData($D1593, IF(ISNUMBER(_xlfn.XLOOKUP($C1593,Phone_by_Sentiment!$B$2:$B$37,Phone_by_Sentiment!O$2:O$37,"",0,1)),_xlfn.XLOOKUP($C1593,Phone_by_Sentiment!$B$2:$B$37,Phone_by_Sentiment!O$2:O$37,"",0,1),0),$A1593-TEXT(DATEVALUE($D1593&amp;"-01"), "dd-mm-yyyy")),0),0)</f>
        <v>688</v>
      </c>
      <c r="P1593" s="1">
        <f t="shared" si="61"/>
        <v>44440</v>
      </c>
      <c r="Q1593">
        <f t="shared" si="63"/>
        <v>395</v>
      </c>
    </row>
    <row r="1594" spans="1:17" x14ac:dyDescent="0.25">
      <c r="A1594" s="1">
        <f t="shared" si="62"/>
        <v>44835</v>
      </c>
      <c r="B1594" t="s">
        <v>162</v>
      </c>
      <c r="C1594" t="str">
        <f>_xlfn.XLOOKUP(B1594,Phone_by_Price!$A$2:$A$34,Phone_by_Price!$B$2:$B$34,"-",0,1)</f>
        <v>Xiaomi Poco X3 NFC</v>
      </c>
      <c r="D1594" t="str">
        <f>_xlfn.XLOOKUP(C1594,Phone_by_Sentiment!$B$2:$B$37,Phone_by_Sentiment!$A$2:$A$37,"-",0,1)</f>
        <v>2020-08</v>
      </c>
      <c r="E1594" cm="1">
        <f t="array" ref="E1594">IF($Q1594&gt;=0,IFERROR(generateSalesData($D1594, IF(ISNUMBER(_xlfn.XLOOKUP($C1594,Phone_by_Sentiment!$B$2:$B$37,Phone_by_Sentiment!E$2:E$37,"",0,1)),_xlfn.XLOOKUP($C1594,Phone_by_Sentiment!$B$2:$B$37,Phone_by_Sentiment!E$2:E$37,"",0,1),0),$A1594-TEXT(DATEVALUE($D1594&amp;"-01"), "dd-mm-yyyy")),0),0)</f>
        <v>81</v>
      </c>
      <c r="F1594" cm="1">
        <f t="array" ref="F1594">IF($Q1594&gt;=0,IFERROR(generateSalesData($D1594, IF(ISNUMBER(_xlfn.XLOOKUP($C1594,Phone_by_Sentiment!$B$2:$B$37,Phone_by_Sentiment!F$2:F$37,"",0,1)),_xlfn.XLOOKUP($C1594,Phone_by_Sentiment!$B$2:$B$37,Phone_by_Sentiment!F$2:F$37,"",0,1),0),$A1594-TEXT(DATEVALUE($D1594&amp;"-01"), "dd-mm-yyyy")),0),0)</f>
        <v>119</v>
      </c>
      <c r="G1594" cm="1">
        <f t="array" ref="G1594">IF($Q1594&gt;=0,IFERROR(generateSalesData($D1594, IF(ISNUMBER(_xlfn.XLOOKUP($C1594,Phone_by_Sentiment!$B$2:$B$37,Phone_by_Sentiment!G$2:G$37,"",0,1)),_xlfn.XLOOKUP($C1594,Phone_by_Sentiment!$B$2:$B$37,Phone_by_Sentiment!G$2:G$37,"",0,1),0),$A1594-TEXT(DATEVALUE($D1594&amp;"-01"), "dd-mm-yyyy")),0),0)</f>
        <v>46</v>
      </c>
      <c r="H1594" cm="1">
        <f t="array" ref="H1594">IF($Q1594&gt;=0,IFERROR(generateSalesData($D1594, IF(ISNUMBER(_xlfn.XLOOKUP($C1594,Phone_by_Sentiment!$B$2:$B$37,Phone_by_Sentiment!H$2:H$37,"",0,1)),_xlfn.XLOOKUP($C1594,Phone_by_Sentiment!$B$2:$B$37,Phone_by_Sentiment!H$2:H$37,"",0,1),0),$A1594-TEXT(DATEVALUE($D1594&amp;"-01"), "dd-mm-yyyy")),0),0)</f>
        <v>284</v>
      </c>
      <c r="I1594" cm="1">
        <f t="array" ref="I1594">IF($Q1594&gt;=0,IFERROR(generateSalesData($D1594, IF(ISNUMBER(_xlfn.XLOOKUP($C1594,Phone_by_Sentiment!$B$2:$B$37,Phone_by_Sentiment!I$2:I$37,"",0,1)),_xlfn.XLOOKUP($C1594,Phone_by_Sentiment!$B$2:$B$37,Phone_by_Sentiment!I$2:I$37,"",0,1),0),$A1594-TEXT(DATEVALUE($D1594&amp;"-01"), "dd-mm-yyyy")),0),0)</f>
        <v>72</v>
      </c>
      <c r="J1594" cm="1">
        <f t="array" ref="J1594">IF($Q1594&gt;=0,IFERROR(generateSalesData($D1594, IF(ISNUMBER(_xlfn.XLOOKUP($C1594,Phone_by_Sentiment!$B$2:$B$37,Phone_by_Sentiment!J$2:J$37,"",0,1)),_xlfn.XLOOKUP($C1594,Phone_by_Sentiment!$B$2:$B$37,Phone_by_Sentiment!J$2:J$37,"",0,1),0),$A1594-TEXT(DATEVALUE($D1594&amp;"-01"), "dd-mm-yyyy")),0),0)</f>
        <v>36</v>
      </c>
      <c r="K1594" cm="1">
        <f t="array" ref="K1594">IF($Q1594&gt;=0,IFERROR(generateSalesData($D1594, IF(ISNUMBER(_xlfn.XLOOKUP($C1594,Phone_by_Sentiment!$B$2:$B$37,Phone_by_Sentiment!K$2:K$37,"",0,1)),_xlfn.XLOOKUP($C1594,Phone_by_Sentiment!$B$2:$B$37,Phone_by_Sentiment!K$2:K$37,"",0,1),0),$A1594-TEXT(DATEVALUE($D1594&amp;"-01"), "dd-mm-yyyy")),0),0)</f>
        <v>192</v>
      </c>
      <c r="L1594" cm="1">
        <f t="array" ref="L1594">IF($Q1594&gt;=0,IFERROR(generateSalesData($D1594, IF(ISNUMBER(_xlfn.XLOOKUP($C1594,Phone_by_Sentiment!$B$2:$B$37,Phone_by_Sentiment!L$2:L$37,"",0,1)),_xlfn.XLOOKUP($C1594,Phone_by_Sentiment!$B$2:$B$37,Phone_by_Sentiment!L$2:L$37,"",0,1),0),$A1594-TEXT(DATEVALUE($D1594&amp;"-01"), "dd-mm-yyyy")),0),0)</f>
        <v>88</v>
      </c>
      <c r="M1594" cm="1">
        <f t="array" ref="M1594">IF($Q1594&gt;=0,IFERROR(generateSalesData($D1594, IF(ISNUMBER(_xlfn.XLOOKUP($C1594,Phone_by_Sentiment!$B$2:$B$37,Phone_by_Sentiment!M$2:M$37,"",0,1)),_xlfn.XLOOKUP($C1594,Phone_by_Sentiment!$B$2:$B$37,Phone_by_Sentiment!M$2:M$37,"",0,1),0),$A1594-TEXT(DATEVALUE($D1594&amp;"-01"), "dd-mm-yyyy")),0),0)</f>
        <v>195</v>
      </c>
      <c r="N1594" cm="1">
        <f t="array" ref="N1594">IF($Q1594&gt;=0,IFERROR(generateSalesData($D1594, IF(ISNUMBER(_xlfn.XLOOKUP($C1594,Phone_by_Sentiment!$B$2:$B$37,Phone_by_Sentiment!N$2:N$37,"",0,1)),_xlfn.XLOOKUP($C1594,Phone_by_Sentiment!$B$2:$B$37,Phone_by_Sentiment!N$2:N$37,"",0,1),0),$A1594-TEXT(DATEVALUE($D1594&amp;"-01"), "dd-mm-yyyy")),0),0)</f>
        <v>157</v>
      </c>
      <c r="O1594" cm="1">
        <f t="array" ref="O1594">IF($Q1594&gt;=0,IFERROR(generateSalesData($D1594, IF(ISNUMBER(_xlfn.XLOOKUP($C1594,Phone_by_Sentiment!$B$2:$B$37,Phone_by_Sentiment!O$2:O$37,"",0,1)),_xlfn.XLOOKUP($C1594,Phone_by_Sentiment!$B$2:$B$37,Phone_by_Sentiment!O$2:O$37,"",0,1),0),$A1594-TEXT(DATEVALUE($D1594&amp;"-01"), "dd-mm-yyyy")),0),0)</f>
        <v>398</v>
      </c>
      <c r="P1594" s="1">
        <f t="shared" si="61"/>
        <v>44044</v>
      </c>
      <c r="Q1594">
        <f t="shared" si="63"/>
        <v>791</v>
      </c>
    </row>
    <row r="1595" spans="1:17" x14ac:dyDescent="0.25">
      <c r="A1595" s="1">
        <f t="shared" si="62"/>
        <v>44835</v>
      </c>
      <c r="B1595" t="s">
        <v>163</v>
      </c>
      <c r="C1595" t="str">
        <f>_xlfn.XLOOKUP(B1595,Phone_by_Price!$A$2:$A$34,Phone_by_Price!$B$2:$B$34,"-",0,1)</f>
        <v>OPPO A93</v>
      </c>
      <c r="D1595" t="str">
        <f>_xlfn.XLOOKUP(C1595,Phone_by_Sentiment!$B$2:$B$37,Phone_by_Sentiment!$A$2:$A$37,"-",0,1)</f>
        <v>2021-02</v>
      </c>
      <c r="E1595" cm="1">
        <f t="array" ref="E1595">IF($Q1595&gt;=0,IFERROR(generateSalesData($D1595, IF(ISNUMBER(_xlfn.XLOOKUP($C1595,Phone_by_Sentiment!$B$2:$B$37,Phone_by_Sentiment!E$2:E$37,"",0,1)),_xlfn.XLOOKUP($C1595,Phone_by_Sentiment!$B$2:$B$37,Phone_by_Sentiment!E$2:E$37,"",0,1),0),$A1595-TEXT(DATEVALUE($D1595&amp;"-01"), "dd-mm-yyyy")),0),0)</f>
        <v>642</v>
      </c>
      <c r="F1595" cm="1">
        <f t="array" ref="F1595">IF($Q1595&gt;=0,IFERROR(generateSalesData($D1595, IF(ISNUMBER(_xlfn.XLOOKUP($C1595,Phone_by_Sentiment!$B$2:$B$37,Phone_by_Sentiment!F$2:F$37,"",0,1)),_xlfn.XLOOKUP($C1595,Phone_by_Sentiment!$B$2:$B$37,Phone_by_Sentiment!F$2:F$37,"",0,1),0),$A1595-TEXT(DATEVALUE($D1595&amp;"-01"), "dd-mm-yyyy")),0),0)</f>
        <v>208</v>
      </c>
      <c r="G1595" cm="1">
        <f t="array" ref="G1595">IF($Q1595&gt;=0,IFERROR(generateSalesData($D1595, IF(ISNUMBER(_xlfn.XLOOKUP($C1595,Phone_by_Sentiment!$B$2:$B$37,Phone_by_Sentiment!G$2:G$37,"",0,1)),_xlfn.XLOOKUP($C1595,Phone_by_Sentiment!$B$2:$B$37,Phone_by_Sentiment!G$2:G$37,"",0,1),0),$A1595-TEXT(DATEVALUE($D1595&amp;"-01"), "dd-mm-yyyy")),0),0)</f>
        <v>127</v>
      </c>
      <c r="H1595" cm="1">
        <f t="array" ref="H1595">IF($Q1595&gt;=0,IFERROR(generateSalesData($D1595, IF(ISNUMBER(_xlfn.XLOOKUP($C1595,Phone_by_Sentiment!$B$2:$B$37,Phone_by_Sentiment!H$2:H$37,"",0,1)),_xlfn.XLOOKUP($C1595,Phone_by_Sentiment!$B$2:$B$37,Phone_by_Sentiment!H$2:H$37,"",0,1),0),$A1595-TEXT(DATEVALUE($D1595&amp;"-01"), "dd-mm-yyyy")),0),0)</f>
        <v>104</v>
      </c>
      <c r="I1595" cm="1">
        <f t="array" ref="I1595">IF($Q1595&gt;=0,IFERROR(generateSalesData($D1595, IF(ISNUMBER(_xlfn.XLOOKUP($C1595,Phone_by_Sentiment!$B$2:$B$37,Phone_by_Sentiment!I$2:I$37,"",0,1)),_xlfn.XLOOKUP($C1595,Phone_by_Sentiment!$B$2:$B$37,Phone_by_Sentiment!I$2:I$37,"",0,1),0),$A1595-TEXT(DATEVALUE($D1595&amp;"-01"), "dd-mm-yyyy")),0),0)</f>
        <v>534</v>
      </c>
      <c r="J1595" cm="1">
        <f t="array" ref="J1595">IF($Q1595&gt;=0,IFERROR(generateSalesData($D1595, IF(ISNUMBER(_xlfn.XLOOKUP($C1595,Phone_by_Sentiment!$B$2:$B$37,Phone_by_Sentiment!J$2:J$37,"",0,1)),_xlfn.XLOOKUP($C1595,Phone_by_Sentiment!$B$2:$B$37,Phone_by_Sentiment!J$2:J$37,"",0,1),0),$A1595-TEXT(DATEVALUE($D1595&amp;"-01"), "dd-mm-yyyy")),0),0)</f>
        <v>8</v>
      </c>
      <c r="K1595" cm="1">
        <f t="array" ref="K1595">IF($Q1595&gt;=0,IFERROR(generateSalesData($D1595, IF(ISNUMBER(_xlfn.XLOOKUP($C1595,Phone_by_Sentiment!$B$2:$B$37,Phone_by_Sentiment!K$2:K$37,"",0,1)),_xlfn.XLOOKUP($C1595,Phone_by_Sentiment!$B$2:$B$37,Phone_by_Sentiment!K$2:K$37,"",0,1),0),$A1595-TEXT(DATEVALUE($D1595&amp;"-01"), "dd-mm-yyyy")),0),0)</f>
        <v>85</v>
      </c>
      <c r="L1595" cm="1">
        <f t="array" ref="L1595">IF($Q1595&gt;=0,IFERROR(generateSalesData($D1595, IF(ISNUMBER(_xlfn.XLOOKUP($C1595,Phone_by_Sentiment!$B$2:$B$37,Phone_by_Sentiment!L$2:L$37,"",0,1)),_xlfn.XLOOKUP($C1595,Phone_by_Sentiment!$B$2:$B$37,Phone_by_Sentiment!L$2:L$37,"",0,1),0),$A1595-TEXT(DATEVALUE($D1595&amp;"-01"), "dd-mm-yyyy")),0),0)</f>
        <v>128</v>
      </c>
      <c r="M1595" cm="1">
        <f t="array" ref="M1595">IF($Q1595&gt;=0,IFERROR(generateSalesData($D1595, IF(ISNUMBER(_xlfn.XLOOKUP($C1595,Phone_by_Sentiment!$B$2:$B$37,Phone_by_Sentiment!M$2:M$37,"",0,1)),_xlfn.XLOOKUP($C1595,Phone_by_Sentiment!$B$2:$B$37,Phone_by_Sentiment!M$2:M$37,"",0,1),0),$A1595-TEXT(DATEVALUE($D1595&amp;"-01"), "dd-mm-yyyy")),0),0)</f>
        <v>200</v>
      </c>
      <c r="N1595" cm="1">
        <f t="array" ref="N1595">IF($Q1595&gt;=0,IFERROR(generateSalesData($D1595, IF(ISNUMBER(_xlfn.XLOOKUP($C1595,Phone_by_Sentiment!$B$2:$B$37,Phone_by_Sentiment!N$2:N$37,"",0,1)),_xlfn.XLOOKUP($C1595,Phone_by_Sentiment!$B$2:$B$37,Phone_by_Sentiment!N$2:N$37,"",0,1),0),$A1595-TEXT(DATEVALUE($D1595&amp;"-01"), "dd-mm-yyyy")),0),0)</f>
        <v>468</v>
      </c>
      <c r="O1595" cm="1">
        <f t="array" ref="O1595">IF($Q1595&gt;=0,IFERROR(generateSalesData($D1595, IF(ISNUMBER(_xlfn.XLOOKUP($C1595,Phone_by_Sentiment!$B$2:$B$37,Phone_by_Sentiment!O$2:O$37,"",0,1)),_xlfn.XLOOKUP($C1595,Phone_by_Sentiment!$B$2:$B$37,Phone_by_Sentiment!O$2:O$37,"",0,1),0),$A1595-TEXT(DATEVALUE($D1595&amp;"-01"), "dd-mm-yyyy")),0),0)</f>
        <v>127</v>
      </c>
      <c r="P1595" s="1">
        <f t="shared" si="61"/>
        <v>44228</v>
      </c>
      <c r="Q1595">
        <f t="shared" si="63"/>
        <v>607</v>
      </c>
    </row>
    <row r="1596" spans="1:17" x14ac:dyDescent="0.25">
      <c r="A1596" s="1">
        <f t="shared" si="62"/>
        <v>44835</v>
      </c>
      <c r="B1596" t="s">
        <v>164</v>
      </c>
      <c r="C1596" t="str">
        <f>_xlfn.XLOOKUP(B1596,Phone_by_Price!$A$2:$A$34,Phone_by_Price!$B$2:$B$34,"-",0,1)</f>
        <v>Vivo V20</v>
      </c>
      <c r="D1596" t="str">
        <f>_xlfn.XLOOKUP(C1596,Phone_by_Sentiment!$B$2:$B$37,Phone_by_Sentiment!$A$2:$A$37,"-",0,1)</f>
        <v>2020-10</v>
      </c>
      <c r="E1596" cm="1">
        <f t="array" ref="E1596">IF($Q1596&gt;=0,IFERROR(generateSalesData($D1596, IF(ISNUMBER(_xlfn.XLOOKUP($C1596,Phone_by_Sentiment!$B$2:$B$37,Phone_by_Sentiment!E$2:E$37,"",0,1)),_xlfn.XLOOKUP($C1596,Phone_by_Sentiment!$B$2:$B$37,Phone_by_Sentiment!E$2:E$37,"",0,1),0),$A1596-TEXT(DATEVALUE($D1596&amp;"-01"), "dd-mm-yyyy")),0),0)</f>
        <v>24</v>
      </c>
      <c r="F1596" cm="1">
        <f t="array" ref="F1596">IF($Q1596&gt;=0,IFERROR(generateSalesData($D1596, IF(ISNUMBER(_xlfn.XLOOKUP($C1596,Phone_by_Sentiment!$B$2:$B$37,Phone_by_Sentiment!F$2:F$37,"",0,1)),_xlfn.XLOOKUP($C1596,Phone_by_Sentiment!$B$2:$B$37,Phone_by_Sentiment!F$2:F$37,"",0,1),0),$A1596-TEXT(DATEVALUE($D1596&amp;"-01"), "dd-mm-yyyy")),0),0)</f>
        <v>111</v>
      </c>
      <c r="G1596" cm="1">
        <f t="array" ref="G1596">IF($Q1596&gt;=0,IFERROR(generateSalesData($D1596, IF(ISNUMBER(_xlfn.XLOOKUP($C1596,Phone_by_Sentiment!$B$2:$B$37,Phone_by_Sentiment!G$2:G$37,"",0,1)),_xlfn.XLOOKUP($C1596,Phone_by_Sentiment!$B$2:$B$37,Phone_by_Sentiment!G$2:G$37,"",0,1),0),$A1596-TEXT(DATEVALUE($D1596&amp;"-01"), "dd-mm-yyyy")),0),0)</f>
        <v>94</v>
      </c>
      <c r="H1596" cm="1">
        <f t="array" ref="H1596">IF($Q1596&gt;=0,IFERROR(generateSalesData($D1596, IF(ISNUMBER(_xlfn.XLOOKUP($C1596,Phone_by_Sentiment!$B$2:$B$37,Phone_by_Sentiment!H$2:H$37,"",0,1)),_xlfn.XLOOKUP($C1596,Phone_by_Sentiment!$B$2:$B$37,Phone_by_Sentiment!H$2:H$37,"",0,1),0),$A1596-TEXT(DATEVALUE($D1596&amp;"-01"), "dd-mm-yyyy")),0),0)</f>
        <v>127</v>
      </c>
      <c r="I1596" cm="1">
        <f t="array" ref="I1596">IF($Q1596&gt;=0,IFERROR(generateSalesData($D1596, IF(ISNUMBER(_xlfn.XLOOKUP($C1596,Phone_by_Sentiment!$B$2:$B$37,Phone_by_Sentiment!I$2:I$37,"",0,1)),_xlfn.XLOOKUP($C1596,Phone_by_Sentiment!$B$2:$B$37,Phone_by_Sentiment!I$2:I$37,"",0,1),0),$A1596-TEXT(DATEVALUE($D1596&amp;"-01"), "dd-mm-yyyy")),0),0)</f>
        <v>7</v>
      </c>
      <c r="J1596" cm="1">
        <f t="array" ref="J1596">IF($Q1596&gt;=0,IFERROR(generateSalesData($D1596, IF(ISNUMBER(_xlfn.XLOOKUP($C1596,Phone_by_Sentiment!$B$2:$B$37,Phone_by_Sentiment!J$2:J$37,"",0,1)),_xlfn.XLOOKUP($C1596,Phone_by_Sentiment!$B$2:$B$37,Phone_by_Sentiment!J$2:J$37,"",0,1),0),$A1596-TEXT(DATEVALUE($D1596&amp;"-01"), "dd-mm-yyyy")),0),0)</f>
        <v>152</v>
      </c>
      <c r="K1596" cm="1">
        <f t="array" ref="K1596">IF($Q1596&gt;=0,IFERROR(generateSalesData($D1596, IF(ISNUMBER(_xlfn.XLOOKUP($C1596,Phone_by_Sentiment!$B$2:$B$37,Phone_by_Sentiment!K$2:K$37,"",0,1)),_xlfn.XLOOKUP($C1596,Phone_by_Sentiment!$B$2:$B$37,Phone_by_Sentiment!K$2:K$37,"",0,1),0),$A1596-TEXT(DATEVALUE($D1596&amp;"-01"), "dd-mm-yyyy")),0),0)</f>
        <v>59</v>
      </c>
      <c r="L1596" cm="1">
        <f t="array" ref="L1596">IF($Q1596&gt;=0,IFERROR(generateSalesData($D1596, IF(ISNUMBER(_xlfn.XLOOKUP($C1596,Phone_by_Sentiment!$B$2:$B$37,Phone_by_Sentiment!L$2:L$37,"",0,1)),_xlfn.XLOOKUP($C1596,Phone_by_Sentiment!$B$2:$B$37,Phone_by_Sentiment!L$2:L$37,"",0,1),0),$A1596-TEXT(DATEVALUE($D1596&amp;"-01"), "dd-mm-yyyy")),0),0)</f>
        <v>117</v>
      </c>
      <c r="M1596" cm="1">
        <f t="array" ref="M1596">IF($Q1596&gt;=0,IFERROR(generateSalesData($D1596, IF(ISNUMBER(_xlfn.XLOOKUP($C1596,Phone_by_Sentiment!$B$2:$B$37,Phone_by_Sentiment!M$2:M$37,"",0,1)),_xlfn.XLOOKUP($C1596,Phone_by_Sentiment!$B$2:$B$37,Phone_by_Sentiment!M$2:M$37,"",0,1),0),$A1596-TEXT(DATEVALUE($D1596&amp;"-01"), "dd-mm-yyyy")),0),0)</f>
        <v>32</v>
      </c>
      <c r="N1596" cm="1">
        <f t="array" ref="N1596">IF($Q1596&gt;=0,IFERROR(generateSalesData($D1596, IF(ISNUMBER(_xlfn.XLOOKUP($C1596,Phone_by_Sentiment!$B$2:$B$37,Phone_by_Sentiment!N$2:N$37,"",0,1)),_xlfn.XLOOKUP($C1596,Phone_by_Sentiment!$B$2:$B$37,Phone_by_Sentiment!N$2:N$37,"",0,1),0),$A1596-TEXT(DATEVALUE($D1596&amp;"-01"), "dd-mm-yyyy")),0),0)</f>
        <v>110</v>
      </c>
      <c r="O1596" cm="1">
        <f t="array" ref="O1596">IF($Q1596&gt;=0,IFERROR(generateSalesData($D1596, IF(ISNUMBER(_xlfn.XLOOKUP($C1596,Phone_by_Sentiment!$B$2:$B$37,Phone_by_Sentiment!O$2:O$37,"",0,1)),_xlfn.XLOOKUP($C1596,Phone_by_Sentiment!$B$2:$B$37,Phone_by_Sentiment!O$2:O$37,"",0,1),0),$A1596-TEXT(DATEVALUE($D1596&amp;"-01"), "dd-mm-yyyy")),0),0)</f>
        <v>40</v>
      </c>
      <c r="P1596" s="1">
        <f t="shared" si="61"/>
        <v>44105</v>
      </c>
      <c r="Q1596">
        <f t="shared" si="63"/>
        <v>730</v>
      </c>
    </row>
    <row r="1597" spans="1:17" x14ac:dyDescent="0.25">
      <c r="A1597" s="1">
        <f t="shared" si="62"/>
        <v>44835</v>
      </c>
      <c r="B1597" t="s">
        <v>165</v>
      </c>
      <c r="C1597" t="str">
        <f>_xlfn.XLOOKUP(B1597,Phone_by_Price!$A$2:$A$34,Phone_by_Price!$B$2:$B$34,"-",0,1)</f>
        <v>Samsung Galaxy A50</v>
      </c>
      <c r="D1597" t="str">
        <f>_xlfn.XLOOKUP(C1597,Phone_by_Sentiment!$B$2:$B$37,Phone_by_Sentiment!$A$2:$A$37,"-",0,1)</f>
        <v>2019-05</v>
      </c>
      <c r="E1597" cm="1">
        <f t="array" ref="E1597">IF($Q1597&gt;=0,IFERROR(generateSalesData($D1597, IF(ISNUMBER(_xlfn.XLOOKUP($C1597,Phone_by_Sentiment!$B$2:$B$37,Phone_by_Sentiment!E$2:E$37,"",0,1)),_xlfn.XLOOKUP($C1597,Phone_by_Sentiment!$B$2:$B$37,Phone_by_Sentiment!E$2:E$37,"",0,1),0),$A1597-TEXT(DATEVALUE($D1597&amp;"-01"), "dd-mm-yyyy")),0),0)</f>
        <v>81</v>
      </c>
      <c r="F1597" cm="1">
        <f t="array" ref="F1597">IF($Q1597&gt;=0,IFERROR(generateSalesData($D1597, IF(ISNUMBER(_xlfn.XLOOKUP($C1597,Phone_by_Sentiment!$B$2:$B$37,Phone_by_Sentiment!F$2:F$37,"",0,1)),_xlfn.XLOOKUP($C1597,Phone_by_Sentiment!$B$2:$B$37,Phone_by_Sentiment!F$2:F$37,"",0,1),0),$A1597-TEXT(DATEVALUE($D1597&amp;"-01"), "dd-mm-yyyy")),0),0)</f>
        <v>56</v>
      </c>
      <c r="G1597" cm="1">
        <f t="array" ref="G1597">IF($Q1597&gt;=0,IFERROR(generateSalesData($D1597, IF(ISNUMBER(_xlfn.XLOOKUP($C1597,Phone_by_Sentiment!$B$2:$B$37,Phone_by_Sentiment!G$2:G$37,"",0,1)),_xlfn.XLOOKUP($C1597,Phone_by_Sentiment!$B$2:$B$37,Phone_by_Sentiment!G$2:G$37,"",0,1),0),$A1597-TEXT(DATEVALUE($D1597&amp;"-01"), "dd-mm-yyyy")),0),0)</f>
        <v>75</v>
      </c>
      <c r="H1597" cm="1">
        <f t="array" ref="H1597">IF($Q1597&gt;=0,IFERROR(generateSalesData($D1597, IF(ISNUMBER(_xlfn.XLOOKUP($C1597,Phone_by_Sentiment!$B$2:$B$37,Phone_by_Sentiment!H$2:H$37,"",0,1)),_xlfn.XLOOKUP($C1597,Phone_by_Sentiment!$B$2:$B$37,Phone_by_Sentiment!H$2:H$37,"",0,1),0),$A1597-TEXT(DATEVALUE($D1597&amp;"-01"), "dd-mm-yyyy")),0),0)</f>
        <v>239</v>
      </c>
      <c r="I1597" cm="1">
        <f t="array" ref="I1597">IF($Q1597&gt;=0,IFERROR(generateSalesData($D1597, IF(ISNUMBER(_xlfn.XLOOKUP($C1597,Phone_by_Sentiment!$B$2:$B$37,Phone_by_Sentiment!I$2:I$37,"",0,1)),_xlfn.XLOOKUP($C1597,Phone_by_Sentiment!$B$2:$B$37,Phone_by_Sentiment!I$2:I$37,"",0,1),0),$A1597-TEXT(DATEVALUE($D1597&amp;"-01"), "dd-mm-yyyy")),0),0)</f>
        <v>25</v>
      </c>
      <c r="J1597" cm="1">
        <f t="array" ref="J1597">IF($Q1597&gt;=0,IFERROR(generateSalesData($D1597, IF(ISNUMBER(_xlfn.XLOOKUP($C1597,Phone_by_Sentiment!$B$2:$B$37,Phone_by_Sentiment!J$2:J$37,"",0,1)),_xlfn.XLOOKUP($C1597,Phone_by_Sentiment!$B$2:$B$37,Phone_by_Sentiment!J$2:J$37,"",0,1),0),$A1597-TEXT(DATEVALUE($D1597&amp;"-01"), "dd-mm-yyyy")),0),0)</f>
        <v>88</v>
      </c>
      <c r="K1597" cm="1">
        <f t="array" ref="K1597">IF($Q1597&gt;=0,IFERROR(generateSalesData($D1597, IF(ISNUMBER(_xlfn.XLOOKUP($C1597,Phone_by_Sentiment!$B$2:$B$37,Phone_by_Sentiment!K$2:K$37,"",0,1)),_xlfn.XLOOKUP($C1597,Phone_by_Sentiment!$B$2:$B$37,Phone_by_Sentiment!K$2:K$37,"",0,1),0),$A1597-TEXT(DATEVALUE($D1597&amp;"-01"), "dd-mm-yyyy")),0),0)</f>
        <v>47</v>
      </c>
      <c r="L1597" cm="1">
        <f t="array" ref="L1597">IF($Q1597&gt;=0,IFERROR(generateSalesData($D1597, IF(ISNUMBER(_xlfn.XLOOKUP($C1597,Phone_by_Sentiment!$B$2:$B$37,Phone_by_Sentiment!L$2:L$37,"",0,1)),_xlfn.XLOOKUP($C1597,Phone_by_Sentiment!$B$2:$B$37,Phone_by_Sentiment!L$2:L$37,"",0,1),0),$A1597-TEXT(DATEVALUE($D1597&amp;"-01"), "dd-mm-yyyy")),0),0)</f>
        <v>5</v>
      </c>
      <c r="M1597" cm="1">
        <f t="array" ref="M1597">IF($Q1597&gt;=0,IFERROR(generateSalesData($D1597, IF(ISNUMBER(_xlfn.XLOOKUP($C1597,Phone_by_Sentiment!$B$2:$B$37,Phone_by_Sentiment!M$2:M$37,"",0,1)),_xlfn.XLOOKUP($C1597,Phone_by_Sentiment!$B$2:$B$37,Phone_by_Sentiment!M$2:M$37,"",0,1),0),$A1597-TEXT(DATEVALUE($D1597&amp;"-01"), "dd-mm-yyyy")),0),0)</f>
        <v>29</v>
      </c>
      <c r="N1597" cm="1">
        <f t="array" ref="N1597">IF($Q1597&gt;=0,IFERROR(generateSalesData($D1597, IF(ISNUMBER(_xlfn.XLOOKUP($C1597,Phone_by_Sentiment!$B$2:$B$37,Phone_by_Sentiment!N$2:N$37,"",0,1)),_xlfn.XLOOKUP($C1597,Phone_by_Sentiment!$B$2:$B$37,Phone_by_Sentiment!N$2:N$37,"",0,1),0),$A1597-TEXT(DATEVALUE($D1597&amp;"-01"), "dd-mm-yyyy")),0),0)</f>
        <v>126</v>
      </c>
      <c r="O1597" cm="1">
        <f t="array" ref="O1597">IF($Q1597&gt;=0,IFERROR(generateSalesData($D1597, IF(ISNUMBER(_xlfn.XLOOKUP($C1597,Phone_by_Sentiment!$B$2:$B$37,Phone_by_Sentiment!O$2:O$37,"",0,1)),_xlfn.XLOOKUP($C1597,Phone_by_Sentiment!$B$2:$B$37,Phone_by_Sentiment!O$2:O$37,"",0,1),0),$A1597-TEXT(DATEVALUE($D1597&amp;"-01"), "dd-mm-yyyy")),0),0)</f>
        <v>269</v>
      </c>
      <c r="P1597" s="1">
        <f t="shared" si="61"/>
        <v>43586</v>
      </c>
      <c r="Q1597">
        <f t="shared" si="63"/>
        <v>1249</v>
      </c>
    </row>
    <row r="1598" spans="1:17" x14ac:dyDescent="0.25">
      <c r="A1598" s="1">
        <f t="shared" si="62"/>
        <v>44835</v>
      </c>
      <c r="B1598" t="s">
        <v>166</v>
      </c>
      <c r="C1598" t="str">
        <f>_xlfn.XLOOKUP(B1598,Phone_by_Price!$A$2:$A$34,Phone_by_Price!$B$2:$B$34,"-",0,1)</f>
        <v>Xiaomi Redmi Note 7</v>
      </c>
      <c r="D1598" t="str">
        <f>_xlfn.XLOOKUP(C1598,Phone_by_Sentiment!$B$2:$B$37,Phone_by_Sentiment!$A$2:$A$37,"-",0,1)</f>
        <v>2019-08</v>
      </c>
      <c r="E1598" cm="1">
        <f t="array" ref="E1598">IF($Q1598&gt;=0,IFERROR(generateSalesData($D1598, IF(ISNUMBER(_xlfn.XLOOKUP($C1598,Phone_by_Sentiment!$B$2:$B$37,Phone_by_Sentiment!E$2:E$37,"",0,1)),_xlfn.XLOOKUP($C1598,Phone_by_Sentiment!$B$2:$B$37,Phone_by_Sentiment!E$2:E$37,"",0,1),0),$A1598-TEXT(DATEVALUE($D1598&amp;"-01"), "dd-mm-yyyy")),0),0)</f>
        <v>66</v>
      </c>
      <c r="F1598" cm="1">
        <f t="array" ref="F1598">IF($Q1598&gt;=0,IFERROR(generateSalesData($D1598, IF(ISNUMBER(_xlfn.XLOOKUP($C1598,Phone_by_Sentiment!$B$2:$B$37,Phone_by_Sentiment!F$2:F$37,"",0,1)),_xlfn.XLOOKUP($C1598,Phone_by_Sentiment!$B$2:$B$37,Phone_by_Sentiment!F$2:F$37,"",0,1),0),$A1598-TEXT(DATEVALUE($D1598&amp;"-01"), "dd-mm-yyyy")),0),0)</f>
        <v>50</v>
      </c>
      <c r="G1598" cm="1">
        <f t="array" ref="G1598">IF($Q1598&gt;=0,IFERROR(generateSalesData($D1598, IF(ISNUMBER(_xlfn.XLOOKUP($C1598,Phone_by_Sentiment!$B$2:$B$37,Phone_by_Sentiment!G$2:G$37,"",0,1)),_xlfn.XLOOKUP($C1598,Phone_by_Sentiment!$B$2:$B$37,Phone_by_Sentiment!G$2:G$37,"",0,1),0),$A1598-TEXT(DATEVALUE($D1598&amp;"-01"), "dd-mm-yyyy")),0),0)</f>
        <v>28</v>
      </c>
      <c r="H1598" cm="1">
        <f t="array" ref="H1598">IF($Q1598&gt;=0,IFERROR(generateSalesData($D1598, IF(ISNUMBER(_xlfn.XLOOKUP($C1598,Phone_by_Sentiment!$B$2:$B$37,Phone_by_Sentiment!H$2:H$37,"",0,1)),_xlfn.XLOOKUP($C1598,Phone_by_Sentiment!$B$2:$B$37,Phone_by_Sentiment!H$2:H$37,"",0,1),0),$A1598-TEXT(DATEVALUE($D1598&amp;"-01"), "dd-mm-yyyy")),0),0)</f>
        <v>79</v>
      </c>
      <c r="I1598" cm="1">
        <f t="array" ref="I1598">IF($Q1598&gt;=0,IFERROR(generateSalesData($D1598, IF(ISNUMBER(_xlfn.XLOOKUP($C1598,Phone_by_Sentiment!$B$2:$B$37,Phone_by_Sentiment!I$2:I$37,"",0,1)),_xlfn.XLOOKUP($C1598,Phone_by_Sentiment!$B$2:$B$37,Phone_by_Sentiment!I$2:I$37,"",0,1),0),$A1598-TEXT(DATEVALUE($D1598&amp;"-01"), "dd-mm-yyyy")),0),0)</f>
        <v>24</v>
      </c>
      <c r="J1598" cm="1">
        <f t="array" ref="J1598">IF($Q1598&gt;=0,IFERROR(generateSalesData($D1598, IF(ISNUMBER(_xlfn.XLOOKUP($C1598,Phone_by_Sentiment!$B$2:$B$37,Phone_by_Sentiment!J$2:J$37,"",0,1)),_xlfn.XLOOKUP($C1598,Phone_by_Sentiment!$B$2:$B$37,Phone_by_Sentiment!J$2:J$37,"",0,1),0),$A1598-TEXT(DATEVALUE($D1598&amp;"-01"), "dd-mm-yyyy")),0),0)</f>
        <v>31</v>
      </c>
      <c r="K1598" cm="1">
        <f t="array" ref="K1598">IF($Q1598&gt;=0,IFERROR(generateSalesData($D1598, IF(ISNUMBER(_xlfn.XLOOKUP($C1598,Phone_by_Sentiment!$B$2:$B$37,Phone_by_Sentiment!K$2:K$37,"",0,1)),_xlfn.XLOOKUP($C1598,Phone_by_Sentiment!$B$2:$B$37,Phone_by_Sentiment!K$2:K$37,"",0,1),0),$A1598-TEXT(DATEVALUE($D1598&amp;"-01"), "dd-mm-yyyy")),0),0)</f>
        <v>152</v>
      </c>
      <c r="L1598" cm="1">
        <f t="array" ref="L1598">IF($Q1598&gt;=0,IFERROR(generateSalesData($D1598, IF(ISNUMBER(_xlfn.XLOOKUP($C1598,Phone_by_Sentiment!$B$2:$B$37,Phone_by_Sentiment!L$2:L$37,"",0,1)),_xlfn.XLOOKUP($C1598,Phone_by_Sentiment!$B$2:$B$37,Phone_by_Sentiment!L$2:L$37,"",0,1),0),$A1598-TEXT(DATEVALUE($D1598&amp;"-01"), "dd-mm-yyyy")),0),0)</f>
        <v>91</v>
      </c>
      <c r="M1598" cm="1">
        <f t="array" ref="M1598">IF($Q1598&gt;=0,IFERROR(generateSalesData($D1598, IF(ISNUMBER(_xlfn.XLOOKUP($C1598,Phone_by_Sentiment!$B$2:$B$37,Phone_by_Sentiment!M$2:M$37,"",0,1)),_xlfn.XLOOKUP($C1598,Phone_by_Sentiment!$B$2:$B$37,Phone_by_Sentiment!M$2:M$37,"",0,1),0),$A1598-TEXT(DATEVALUE($D1598&amp;"-01"), "dd-mm-yyyy")),0),0)</f>
        <v>166</v>
      </c>
      <c r="N1598" cm="1">
        <f t="array" ref="N1598">IF($Q1598&gt;=0,IFERROR(generateSalesData($D1598, IF(ISNUMBER(_xlfn.XLOOKUP($C1598,Phone_by_Sentiment!$B$2:$B$37,Phone_by_Sentiment!N$2:N$37,"",0,1)),_xlfn.XLOOKUP($C1598,Phone_by_Sentiment!$B$2:$B$37,Phone_by_Sentiment!N$2:N$37,"",0,1),0),$A1598-TEXT(DATEVALUE($D1598&amp;"-01"), "dd-mm-yyyy")),0),0)</f>
        <v>64</v>
      </c>
      <c r="O1598" cm="1">
        <f t="array" ref="O1598">IF($Q1598&gt;=0,IFERROR(generateSalesData($D1598, IF(ISNUMBER(_xlfn.XLOOKUP($C1598,Phone_by_Sentiment!$B$2:$B$37,Phone_by_Sentiment!O$2:O$37,"",0,1)),_xlfn.XLOOKUP($C1598,Phone_by_Sentiment!$B$2:$B$37,Phone_by_Sentiment!O$2:O$37,"",0,1),0),$A1598-TEXT(DATEVALUE($D1598&amp;"-01"), "dd-mm-yyyy")),0),0)</f>
        <v>132</v>
      </c>
      <c r="P1598" s="1">
        <f t="shared" si="61"/>
        <v>43678</v>
      </c>
      <c r="Q1598">
        <f t="shared" si="63"/>
        <v>1157</v>
      </c>
    </row>
    <row r="1599" spans="1:17" x14ac:dyDescent="0.25">
      <c r="A1599" s="1">
        <f t="shared" si="62"/>
        <v>44835</v>
      </c>
      <c r="B1599" t="s">
        <v>167</v>
      </c>
      <c r="C1599" t="str">
        <f>_xlfn.XLOOKUP(B1599,Phone_by_Price!$A$2:$A$34,Phone_by_Price!$B$2:$B$34,"-",0,1)</f>
        <v>Realme C21</v>
      </c>
      <c r="D1599" t="str">
        <f>_xlfn.XLOOKUP(C1599,Phone_by_Sentiment!$B$2:$B$37,Phone_by_Sentiment!$A$2:$A$37,"-",0,1)</f>
        <v>2021-04</v>
      </c>
      <c r="E1599" cm="1">
        <f t="array" ref="E1599">IF($Q1599&gt;=0,IFERROR(generateSalesData($D1599, IF(ISNUMBER(_xlfn.XLOOKUP($C1599,Phone_by_Sentiment!$B$2:$B$37,Phone_by_Sentiment!E$2:E$37,"",0,1)),_xlfn.XLOOKUP($C1599,Phone_by_Sentiment!$B$2:$B$37,Phone_by_Sentiment!E$2:E$37,"",0,1),0),$A1599-TEXT(DATEVALUE($D1599&amp;"-01"), "dd-mm-yyyy")),0),0)</f>
        <v>29</v>
      </c>
      <c r="F1599" cm="1">
        <f t="array" ref="F1599">IF($Q1599&gt;=0,IFERROR(generateSalesData($D1599, IF(ISNUMBER(_xlfn.XLOOKUP($C1599,Phone_by_Sentiment!$B$2:$B$37,Phone_by_Sentiment!F$2:F$37,"",0,1)),_xlfn.XLOOKUP($C1599,Phone_by_Sentiment!$B$2:$B$37,Phone_by_Sentiment!F$2:F$37,"",0,1),0),$A1599-TEXT(DATEVALUE($D1599&amp;"-01"), "dd-mm-yyyy")),0),0)</f>
        <v>130</v>
      </c>
      <c r="G1599" cm="1">
        <f t="array" ref="G1599">IF($Q1599&gt;=0,IFERROR(generateSalesData($D1599, IF(ISNUMBER(_xlfn.XLOOKUP($C1599,Phone_by_Sentiment!$B$2:$B$37,Phone_by_Sentiment!G$2:G$37,"",0,1)),_xlfn.XLOOKUP($C1599,Phone_by_Sentiment!$B$2:$B$37,Phone_by_Sentiment!G$2:G$37,"",0,1),0),$A1599-TEXT(DATEVALUE($D1599&amp;"-01"), "dd-mm-yyyy")),0),0)</f>
        <v>60</v>
      </c>
      <c r="H1599" cm="1">
        <f t="array" ref="H1599">IF($Q1599&gt;=0,IFERROR(generateSalesData($D1599, IF(ISNUMBER(_xlfn.XLOOKUP($C1599,Phone_by_Sentiment!$B$2:$B$37,Phone_by_Sentiment!H$2:H$37,"",0,1)),_xlfn.XLOOKUP($C1599,Phone_by_Sentiment!$B$2:$B$37,Phone_by_Sentiment!H$2:H$37,"",0,1),0),$A1599-TEXT(DATEVALUE($D1599&amp;"-01"), "dd-mm-yyyy")),0),0)</f>
        <v>280</v>
      </c>
      <c r="I1599" cm="1">
        <f t="array" ref="I1599">IF($Q1599&gt;=0,IFERROR(generateSalesData($D1599, IF(ISNUMBER(_xlfn.XLOOKUP($C1599,Phone_by_Sentiment!$B$2:$B$37,Phone_by_Sentiment!I$2:I$37,"",0,1)),_xlfn.XLOOKUP($C1599,Phone_by_Sentiment!$B$2:$B$37,Phone_by_Sentiment!I$2:I$37,"",0,1),0),$A1599-TEXT(DATEVALUE($D1599&amp;"-01"), "dd-mm-yyyy")),0),0)</f>
        <v>293</v>
      </c>
      <c r="J1599" cm="1">
        <f t="array" ref="J1599">IF($Q1599&gt;=0,IFERROR(generateSalesData($D1599, IF(ISNUMBER(_xlfn.XLOOKUP($C1599,Phone_by_Sentiment!$B$2:$B$37,Phone_by_Sentiment!J$2:J$37,"",0,1)),_xlfn.XLOOKUP($C1599,Phone_by_Sentiment!$B$2:$B$37,Phone_by_Sentiment!J$2:J$37,"",0,1),0),$A1599-TEXT(DATEVALUE($D1599&amp;"-01"), "dd-mm-yyyy")),0),0)</f>
        <v>161</v>
      </c>
      <c r="K1599" cm="1">
        <f t="array" ref="K1599">IF($Q1599&gt;=0,IFERROR(generateSalesData($D1599, IF(ISNUMBER(_xlfn.XLOOKUP($C1599,Phone_by_Sentiment!$B$2:$B$37,Phone_by_Sentiment!K$2:K$37,"",0,1)),_xlfn.XLOOKUP($C1599,Phone_by_Sentiment!$B$2:$B$37,Phone_by_Sentiment!K$2:K$37,"",0,1),0),$A1599-TEXT(DATEVALUE($D1599&amp;"-01"), "dd-mm-yyyy")),0),0)</f>
        <v>639</v>
      </c>
      <c r="L1599" cm="1">
        <f t="array" ref="L1599">IF($Q1599&gt;=0,IFERROR(generateSalesData($D1599, IF(ISNUMBER(_xlfn.XLOOKUP($C1599,Phone_by_Sentiment!$B$2:$B$37,Phone_by_Sentiment!L$2:L$37,"",0,1)),_xlfn.XLOOKUP($C1599,Phone_by_Sentiment!$B$2:$B$37,Phone_by_Sentiment!L$2:L$37,"",0,1),0),$A1599-TEXT(DATEVALUE($D1599&amp;"-01"), "dd-mm-yyyy")),0),0)</f>
        <v>498</v>
      </c>
      <c r="M1599" cm="1">
        <f t="array" ref="M1599">IF($Q1599&gt;=0,IFERROR(generateSalesData($D1599, IF(ISNUMBER(_xlfn.XLOOKUP($C1599,Phone_by_Sentiment!$B$2:$B$37,Phone_by_Sentiment!M$2:M$37,"",0,1)),_xlfn.XLOOKUP($C1599,Phone_by_Sentiment!$B$2:$B$37,Phone_by_Sentiment!M$2:M$37,"",0,1),0),$A1599-TEXT(DATEVALUE($D1599&amp;"-01"), "dd-mm-yyyy")),0),0)</f>
        <v>49</v>
      </c>
      <c r="N1599" cm="1">
        <f t="array" ref="N1599">IF($Q1599&gt;=0,IFERROR(generateSalesData($D1599, IF(ISNUMBER(_xlfn.XLOOKUP($C1599,Phone_by_Sentiment!$B$2:$B$37,Phone_by_Sentiment!N$2:N$37,"",0,1)),_xlfn.XLOOKUP($C1599,Phone_by_Sentiment!$B$2:$B$37,Phone_by_Sentiment!N$2:N$37,"",0,1),0),$A1599-TEXT(DATEVALUE($D1599&amp;"-01"), "dd-mm-yyyy")),0),0)</f>
        <v>400</v>
      </c>
      <c r="O1599" cm="1">
        <f t="array" ref="O1599">IF($Q1599&gt;=0,IFERROR(generateSalesData($D1599, IF(ISNUMBER(_xlfn.XLOOKUP($C1599,Phone_by_Sentiment!$B$2:$B$37,Phone_by_Sentiment!O$2:O$37,"",0,1)),_xlfn.XLOOKUP($C1599,Phone_by_Sentiment!$B$2:$B$37,Phone_by_Sentiment!O$2:O$37,"",0,1),0),$A1599-TEXT(DATEVALUE($D1599&amp;"-01"), "dd-mm-yyyy")),0),0)</f>
        <v>191</v>
      </c>
      <c r="P1599" s="1">
        <f t="shared" si="61"/>
        <v>44287</v>
      </c>
      <c r="Q1599">
        <f t="shared" si="63"/>
        <v>548</v>
      </c>
    </row>
    <row r="1600" spans="1:17" x14ac:dyDescent="0.25">
      <c r="A1600" s="1">
        <f t="shared" si="62"/>
        <v>44835</v>
      </c>
      <c r="B1600" t="s">
        <v>168</v>
      </c>
      <c r="C1600" t="str">
        <f>_xlfn.XLOOKUP(B1600,Phone_by_Price!$A$2:$A$34,Phone_by_Price!$B$2:$B$34,"-",0,1)</f>
        <v>Google Pixel 4</v>
      </c>
      <c r="D1600" t="str">
        <f>_xlfn.XLOOKUP(C1600,Phone_by_Sentiment!$B$2:$B$37,Phone_by_Sentiment!$A$2:$A$37,"-",0,1)</f>
        <v>2019-09</v>
      </c>
      <c r="E1600" cm="1">
        <f t="array" ref="E1600">IF($Q1600&gt;=0,IFERROR(generateSalesData($D1600, IF(ISNUMBER(_xlfn.XLOOKUP($C1600,Phone_by_Sentiment!$B$2:$B$37,Phone_by_Sentiment!E$2:E$37,"",0,1)),_xlfn.XLOOKUP($C1600,Phone_by_Sentiment!$B$2:$B$37,Phone_by_Sentiment!E$2:E$37,"",0,1),0),$A1600-TEXT(DATEVALUE($D1600&amp;"-01"), "dd-mm-yyyy")),0),0)</f>
        <v>266</v>
      </c>
      <c r="F1600" cm="1">
        <f t="array" ref="F1600">IF($Q1600&gt;=0,IFERROR(generateSalesData($D1600, IF(ISNUMBER(_xlfn.XLOOKUP($C1600,Phone_by_Sentiment!$B$2:$B$37,Phone_by_Sentiment!F$2:F$37,"",0,1)),_xlfn.XLOOKUP($C1600,Phone_by_Sentiment!$B$2:$B$37,Phone_by_Sentiment!F$2:F$37,"",0,1),0),$A1600-TEXT(DATEVALUE($D1600&amp;"-01"), "dd-mm-yyyy")),0),0)</f>
        <v>106</v>
      </c>
      <c r="G1600" cm="1">
        <f t="array" ref="G1600">IF($Q1600&gt;=0,IFERROR(generateSalesData($D1600, IF(ISNUMBER(_xlfn.XLOOKUP($C1600,Phone_by_Sentiment!$B$2:$B$37,Phone_by_Sentiment!G$2:G$37,"",0,1)),_xlfn.XLOOKUP($C1600,Phone_by_Sentiment!$B$2:$B$37,Phone_by_Sentiment!G$2:G$37,"",0,1),0),$A1600-TEXT(DATEVALUE($D1600&amp;"-01"), "dd-mm-yyyy")),0),0)</f>
        <v>42</v>
      </c>
      <c r="H1600" cm="1">
        <f t="array" ref="H1600">IF($Q1600&gt;=0,IFERROR(generateSalesData($D1600, IF(ISNUMBER(_xlfn.XLOOKUP($C1600,Phone_by_Sentiment!$B$2:$B$37,Phone_by_Sentiment!H$2:H$37,"",0,1)),_xlfn.XLOOKUP($C1600,Phone_by_Sentiment!$B$2:$B$37,Phone_by_Sentiment!H$2:H$37,"",0,1),0),$A1600-TEXT(DATEVALUE($D1600&amp;"-01"), "dd-mm-yyyy")),0),0)</f>
        <v>27</v>
      </c>
      <c r="I1600" cm="1">
        <f t="array" ref="I1600">IF($Q1600&gt;=0,IFERROR(generateSalesData($D1600, IF(ISNUMBER(_xlfn.XLOOKUP($C1600,Phone_by_Sentiment!$B$2:$B$37,Phone_by_Sentiment!I$2:I$37,"",0,1)),_xlfn.XLOOKUP($C1600,Phone_by_Sentiment!$B$2:$B$37,Phone_by_Sentiment!I$2:I$37,"",0,1),0),$A1600-TEXT(DATEVALUE($D1600&amp;"-01"), "dd-mm-yyyy")),0),0)</f>
        <v>31</v>
      </c>
      <c r="J1600" cm="1">
        <f t="array" ref="J1600">IF($Q1600&gt;=0,IFERROR(generateSalesData($D1600, IF(ISNUMBER(_xlfn.XLOOKUP($C1600,Phone_by_Sentiment!$B$2:$B$37,Phone_by_Sentiment!J$2:J$37,"",0,1)),_xlfn.XLOOKUP($C1600,Phone_by_Sentiment!$B$2:$B$37,Phone_by_Sentiment!J$2:J$37,"",0,1),0),$A1600-TEXT(DATEVALUE($D1600&amp;"-01"), "dd-mm-yyyy")),0),0)</f>
        <v>31</v>
      </c>
      <c r="K1600" cm="1">
        <f t="array" ref="K1600">IF($Q1600&gt;=0,IFERROR(generateSalesData($D1600, IF(ISNUMBER(_xlfn.XLOOKUP($C1600,Phone_by_Sentiment!$B$2:$B$37,Phone_by_Sentiment!K$2:K$37,"",0,1)),_xlfn.XLOOKUP($C1600,Phone_by_Sentiment!$B$2:$B$37,Phone_by_Sentiment!K$2:K$37,"",0,1),0),$A1600-TEXT(DATEVALUE($D1600&amp;"-01"), "dd-mm-yyyy")),0),0)</f>
        <v>49</v>
      </c>
      <c r="L1600" cm="1">
        <f t="array" ref="L1600">IF($Q1600&gt;=0,IFERROR(generateSalesData($D1600, IF(ISNUMBER(_xlfn.XLOOKUP($C1600,Phone_by_Sentiment!$B$2:$B$37,Phone_by_Sentiment!L$2:L$37,"",0,1)),_xlfn.XLOOKUP($C1600,Phone_by_Sentiment!$B$2:$B$37,Phone_by_Sentiment!L$2:L$37,"",0,1),0),$A1600-TEXT(DATEVALUE($D1600&amp;"-01"), "dd-mm-yyyy")),0),0)</f>
        <v>181</v>
      </c>
      <c r="M1600" cm="1">
        <f t="array" ref="M1600">IF($Q1600&gt;=0,IFERROR(generateSalesData($D1600, IF(ISNUMBER(_xlfn.XLOOKUP($C1600,Phone_by_Sentiment!$B$2:$B$37,Phone_by_Sentiment!M$2:M$37,"",0,1)),_xlfn.XLOOKUP($C1600,Phone_by_Sentiment!$B$2:$B$37,Phone_by_Sentiment!M$2:M$37,"",0,1),0),$A1600-TEXT(DATEVALUE($D1600&amp;"-01"), "dd-mm-yyyy")),0),0)</f>
        <v>73</v>
      </c>
      <c r="N1600" cm="1">
        <f t="array" ref="N1600">IF($Q1600&gt;=0,IFERROR(generateSalesData($D1600, IF(ISNUMBER(_xlfn.XLOOKUP($C1600,Phone_by_Sentiment!$B$2:$B$37,Phone_by_Sentiment!N$2:N$37,"",0,1)),_xlfn.XLOOKUP($C1600,Phone_by_Sentiment!$B$2:$B$37,Phone_by_Sentiment!N$2:N$37,"",0,1),0),$A1600-TEXT(DATEVALUE($D1600&amp;"-01"), "dd-mm-yyyy")),0),0)</f>
        <v>345</v>
      </c>
      <c r="O1600" cm="1">
        <f t="array" ref="O1600">IF($Q1600&gt;=0,IFERROR(generateSalesData($D1600, IF(ISNUMBER(_xlfn.XLOOKUP($C1600,Phone_by_Sentiment!$B$2:$B$37,Phone_by_Sentiment!O$2:O$37,"",0,1)),_xlfn.XLOOKUP($C1600,Phone_by_Sentiment!$B$2:$B$37,Phone_by_Sentiment!O$2:O$37,"",0,1),0),$A1600-TEXT(DATEVALUE($D1600&amp;"-01"), "dd-mm-yyyy")),0),0)</f>
        <v>56</v>
      </c>
      <c r="P1600" s="1">
        <f t="shared" si="61"/>
        <v>43709</v>
      </c>
      <c r="Q1600">
        <f t="shared" si="63"/>
        <v>1126</v>
      </c>
    </row>
    <row r="1601" spans="1:17" x14ac:dyDescent="0.25">
      <c r="A1601" s="1">
        <f t="shared" si="62"/>
        <v>44835</v>
      </c>
      <c r="B1601" t="s">
        <v>169</v>
      </c>
      <c r="C1601" t="str">
        <f>_xlfn.XLOOKUP(B1601,Phone_by_Price!$A$2:$A$34,Phone_by_Price!$B$2:$B$34,"-",0,1)</f>
        <v>Samsung Galaxy A10s</v>
      </c>
      <c r="D1601" t="str">
        <f>_xlfn.XLOOKUP(C1601,Phone_by_Sentiment!$B$2:$B$37,Phone_by_Sentiment!$A$2:$A$37,"-",0,1)</f>
        <v>2019-08</v>
      </c>
      <c r="E1601" cm="1">
        <f t="array" ref="E1601">IF($Q1601&gt;=0,IFERROR(generateSalesData($D1601, IF(ISNUMBER(_xlfn.XLOOKUP($C1601,Phone_by_Sentiment!$B$2:$B$37,Phone_by_Sentiment!E$2:E$37,"",0,1)),_xlfn.XLOOKUP($C1601,Phone_by_Sentiment!$B$2:$B$37,Phone_by_Sentiment!E$2:E$37,"",0,1),0),$A1601-TEXT(DATEVALUE($D1601&amp;"-01"), "dd-mm-yyyy")),0),0)</f>
        <v>69</v>
      </c>
      <c r="F1601" cm="1">
        <f t="array" ref="F1601">IF($Q1601&gt;=0,IFERROR(generateSalesData($D1601, IF(ISNUMBER(_xlfn.XLOOKUP($C1601,Phone_by_Sentiment!$B$2:$B$37,Phone_by_Sentiment!F$2:F$37,"",0,1)),_xlfn.XLOOKUP($C1601,Phone_by_Sentiment!$B$2:$B$37,Phone_by_Sentiment!F$2:F$37,"",0,1),0),$A1601-TEXT(DATEVALUE($D1601&amp;"-01"), "dd-mm-yyyy")),0),0)</f>
        <v>134</v>
      </c>
      <c r="G1601" cm="1">
        <f t="array" ref="G1601">IF($Q1601&gt;=0,IFERROR(generateSalesData($D1601, IF(ISNUMBER(_xlfn.XLOOKUP($C1601,Phone_by_Sentiment!$B$2:$B$37,Phone_by_Sentiment!G$2:G$37,"",0,1)),_xlfn.XLOOKUP($C1601,Phone_by_Sentiment!$B$2:$B$37,Phone_by_Sentiment!G$2:G$37,"",0,1),0),$A1601-TEXT(DATEVALUE($D1601&amp;"-01"), "dd-mm-yyyy")),0),0)</f>
        <v>83</v>
      </c>
      <c r="H1601" cm="1">
        <f t="array" ref="H1601">IF($Q1601&gt;=0,IFERROR(generateSalesData($D1601, IF(ISNUMBER(_xlfn.XLOOKUP($C1601,Phone_by_Sentiment!$B$2:$B$37,Phone_by_Sentiment!H$2:H$37,"",0,1)),_xlfn.XLOOKUP($C1601,Phone_by_Sentiment!$B$2:$B$37,Phone_by_Sentiment!H$2:H$37,"",0,1),0),$A1601-TEXT(DATEVALUE($D1601&amp;"-01"), "dd-mm-yyyy")),0),0)</f>
        <v>228</v>
      </c>
      <c r="I1601" cm="1">
        <f t="array" ref="I1601">IF($Q1601&gt;=0,IFERROR(generateSalesData($D1601, IF(ISNUMBER(_xlfn.XLOOKUP($C1601,Phone_by_Sentiment!$B$2:$B$37,Phone_by_Sentiment!I$2:I$37,"",0,1)),_xlfn.XLOOKUP($C1601,Phone_by_Sentiment!$B$2:$B$37,Phone_by_Sentiment!I$2:I$37,"",0,1),0),$A1601-TEXT(DATEVALUE($D1601&amp;"-01"), "dd-mm-yyyy")),0),0)</f>
        <v>127</v>
      </c>
      <c r="J1601" cm="1">
        <f t="array" ref="J1601">IF($Q1601&gt;=0,IFERROR(generateSalesData($D1601, IF(ISNUMBER(_xlfn.XLOOKUP($C1601,Phone_by_Sentiment!$B$2:$B$37,Phone_by_Sentiment!J$2:J$37,"",0,1)),_xlfn.XLOOKUP($C1601,Phone_by_Sentiment!$B$2:$B$37,Phone_by_Sentiment!J$2:J$37,"",0,1),0),$A1601-TEXT(DATEVALUE($D1601&amp;"-01"), "dd-mm-yyyy")),0),0)</f>
        <v>199</v>
      </c>
      <c r="K1601" cm="1">
        <f t="array" ref="K1601">IF($Q1601&gt;=0,IFERROR(generateSalesData($D1601, IF(ISNUMBER(_xlfn.XLOOKUP($C1601,Phone_by_Sentiment!$B$2:$B$37,Phone_by_Sentiment!K$2:K$37,"",0,1)),_xlfn.XLOOKUP($C1601,Phone_by_Sentiment!$B$2:$B$37,Phone_by_Sentiment!K$2:K$37,"",0,1),0),$A1601-TEXT(DATEVALUE($D1601&amp;"-01"), "dd-mm-yyyy")),0),0)</f>
        <v>85</v>
      </c>
      <c r="L1601" cm="1">
        <f t="array" ref="L1601">IF($Q1601&gt;=0,IFERROR(generateSalesData($D1601, IF(ISNUMBER(_xlfn.XLOOKUP($C1601,Phone_by_Sentiment!$B$2:$B$37,Phone_by_Sentiment!L$2:L$37,"",0,1)),_xlfn.XLOOKUP($C1601,Phone_by_Sentiment!$B$2:$B$37,Phone_by_Sentiment!L$2:L$37,"",0,1),0),$A1601-TEXT(DATEVALUE($D1601&amp;"-01"), "dd-mm-yyyy")),0),0)</f>
        <v>104</v>
      </c>
      <c r="M1601" cm="1">
        <f t="array" ref="M1601">IF($Q1601&gt;=0,IFERROR(generateSalesData($D1601, IF(ISNUMBER(_xlfn.XLOOKUP($C1601,Phone_by_Sentiment!$B$2:$B$37,Phone_by_Sentiment!M$2:M$37,"",0,1)),_xlfn.XLOOKUP($C1601,Phone_by_Sentiment!$B$2:$B$37,Phone_by_Sentiment!M$2:M$37,"",0,1),0),$A1601-TEXT(DATEVALUE($D1601&amp;"-01"), "dd-mm-yyyy")),0),0)</f>
        <v>183</v>
      </c>
      <c r="N1601" cm="1">
        <f t="array" ref="N1601">IF($Q1601&gt;=0,IFERROR(generateSalesData($D1601, IF(ISNUMBER(_xlfn.XLOOKUP($C1601,Phone_by_Sentiment!$B$2:$B$37,Phone_by_Sentiment!N$2:N$37,"",0,1)),_xlfn.XLOOKUP($C1601,Phone_by_Sentiment!$B$2:$B$37,Phone_by_Sentiment!N$2:N$37,"",0,1),0),$A1601-TEXT(DATEVALUE($D1601&amp;"-01"), "dd-mm-yyyy")),0),0)</f>
        <v>40</v>
      </c>
      <c r="O1601" cm="1">
        <f t="array" ref="O1601">IF($Q1601&gt;=0,IFERROR(generateSalesData($D1601, IF(ISNUMBER(_xlfn.XLOOKUP($C1601,Phone_by_Sentiment!$B$2:$B$37,Phone_by_Sentiment!O$2:O$37,"",0,1)),_xlfn.XLOOKUP($C1601,Phone_by_Sentiment!$B$2:$B$37,Phone_by_Sentiment!O$2:O$37,"",0,1),0),$A1601-TEXT(DATEVALUE($D1601&amp;"-01"), "dd-mm-yyyy")),0),0)</f>
        <v>-2</v>
      </c>
      <c r="P1601" s="1">
        <f t="shared" si="61"/>
        <v>43678</v>
      </c>
      <c r="Q1601">
        <f t="shared" si="63"/>
        <v>1157</v>
      </c>
    </row>
    <row r="1602" spans="1:17" x14ac:dyDescent="0.25">
      <c r="A1602" s="1">
        <f t="shared" si="62"/>
        <v>44835</v>
      </c>
      <c r="B1602" t="s">
        <v>170</v>
      </c>
      <c r="C1602" t="str">
        <f>_xlfn.XLOOKUP(B1602,Phone_by_Price!$A$2:$A$34,Phone_by_Price!$B$2:$B$34,"-",0,1)</f>
        <v>Realme Narzo 30A</v>
      </c>
      <c r="D1602" t="str">
        <f>_xlfn.XLOOKUP(C1602,Phone_by_Sentiment!$B$2:$B$37,Phone_by_Sentiment!$A$2:$A$37,"-",0,1)</f>
        <v>2021-02</v>
      </c>
      <c r="E1602" cm="1">
        <f t="array" ref="E1602">IF($Q1602&gt;=0,IFERROR(generateSalesData($D1602, IF(ISNUMBER(_xlfn.XLOOKUP($C1602,Phone_by_Sentiment!$B$2:$B$37,Phone_by_Sentiment!E$2:E$37,"",0,1)),_xlfn.XLOOKUP($C1602,Phone_by_Sentiment!$B$2:$B$37,Phone_by_Sentiment!E$2:E$37,"",0,1),0),$A1602-TEXT(DATEVALUE($D1602&amp;"-01"), "dd-mm-yyyy")),0),0)</f>
        <v>63</v>
      </c>
      <c r="F1602" cm="1">
        <f t="array" ref="F1602">IF($Q1602&gt;=0,IFERROR(generateSalesData($D1602, IF(ISNUMBER(_xlfn.XLOOKUP($C1602,Phone_by_Sentiment!$B$2:$B$37,Phone_by_Sentiment!F$2:F$37,"",0,1)),_xlfn.XLOOKUP($C1602,Phone_by_Sentiment!$B$2:$B$37,Phone_by_Sentiment!F$2:F$37,"",0,1),0),$A1602-TEXT(DATEVALUE($D1602&amp;"-01"), "dd-mm-yyyy")),0),0)</f>
        <v>69</v>
      </c>
      <c r="G1602" cm="1">
        <f t="array" ref="G1602">IF($Q1602&gt;=0,IFERROR(generateSalesData($D1602, IF(ISNUMBER(_xlfn.XLOOKUP($C1602,Phone_by_Sentiment!$B$2:$B$37,Phone_by_Sentiment!G$2:G$37,"",0,1)),_xlfn.XLOOKUP($C1602,Phone_by_Sentiment!$B$2:$B$37,Phone_by_Sentiment!G$2:G$37,"",0,1),0),$A1602-TEXT(DATEVALUE($D1602&amp;"-01"), "dd-mm-yyyy")),0),0)</f>
        <v>59</v>
      </c>
      <c r="H1602" cm="1">
        <f t="array" ref="H1602">IF($Q1602&gt;=0,IFERROR(generateSalesData($D1602, IF(ISNUMBER(_xlfn.XLOOKUP($C1602,Phone_by_Sentiment!$B$2:$B$37,Phone_by_Sentiment!H$2:H$37,"",0,1)),_xlfn.XLOOKUP($C1602,Phone_by_Sentiment!$B$2:$B$37,Phone_by_Sentiment!H$2:H$37,"",0,1),0),$A1602-TEXT(DATEVALUE($D1602&amp;"-01"), "dd-mm-yyyy")),0),0)</f>
        <v>594</v>
      </c>
      <c r="I1602" cm="1">
        <f t="array" ref="I1602">IF($Q1602&gt;=0,IFERROR(generateSalesData($D1602, IF(ISNUMBER(_xlfn.XLOOKUP($C1602,Phone_by_Sentiment!$B$2:$B$37,Phone_by_Sentiment!I$2:I$37,"",0,1)),_xlfn.XLOOKUP($C1602,Phone_by_Sentiment!$B$2:$B$37,Phone_by_Sentiment!I$2:I$37,"",0,1),0),$A1602-TEXT(DATEVALUE($D1602&amp;"-01"), "dd-mm-yyyy")),0),0)</f>
        <v>453</v>
      </c>
      <c r="J1602" cm="1">
        <f t="array" ref="J1602">IF($Q1602&gt;=0,IFERROR(generateSalesData($D1602, IF(ISNUMBER(_xlfn.XLOOKUP($C1602,Phone_by_Sentiment!$B$2:$B$37,Phone_by_Sentiment!J$2:J$37,"",0,1)),_xlfn.XLOOKUP($C1602,Phone_by_Sentiment!$B$2:$B$37,Phone_by_Sentiment!J$2:J$37,"",0,1),0),$A1602-TEXT(DATEVALUE($D1602&amp;"-01"), "dd-mm-yyyy")),0),0)</f>
        <v>128</v>
      </c>
      <c r="K1602" cm="1">
        <f t="array" ref="K1602">IF($Q1602&gt;=0,IFERROR(generateSalesData($D1602, IF(ISNUMBER(_xlfn.XLOOKUP($C1602,Phone_by_Sentiment!$B$2:$B$37,Phone_by_Sentiment!K$2:K$37,"",0,1)),_xlfn.XLOOKUP($C1602,Phone_by_Sentiment!$B$2:$B$37,Phone_by_Sentiment!K$2:K$37,"",0,1),0),$A1602-TEXT(DATEVALUE($D1602&amp;"-01"), "dd-mm-yyyy")),0),0)</f>
        <v>228</v>
      </c>
      <c r="L1602" cm="1">
        <f t="array" ref="L1602">IF($Q1602&gt;=0,IFERROR(generateSalesData($D1602, IF(ISNUMBER(_xlfn.XLOOKUP($C1602,Phone_by_Sentiment!$B$2:$B$37,Phone_by_Sentiment!L$2:L$37,"",0,1)),_xlfn.XLOOKUP($C1602,Phone_by_Sentiment!$B$2:$B$37,Phone_by_Sentiment!L$2:L$37,"",0,1),0),$A1602-TEXT(DATEVALUE($D1602&amp;"-01"), "dd-mm-yyyy")),0),0)</f>
        <v>174</v>
      </c>
      <c r="M1602" cm="1">
        <f t="array" ref="M1602">IF($Q1602&gt;=0,IFERROR(generateSalesData($D1602, IF(ISNUMBER(_xlfn.XLOOKUP($C1602,Phone_by_Sentiment!$B$2:$B$37,Phone_by_Sentiment!M$2:M$37,"",0,1)),_xlfn.XLOOKUP($C1602,Phone_by_Sentiment!$B$2:$B$37,Phone_by_Sentiment!M$2:M$37,"",0,1),0),$A1602-TEXT(DATEVALUE($D1602&amp;"-01"), "dd-mm-yyyy")),0),0)</f>
        <v>77</v>
      </c>
      <c r="N1602" cm="1">
        <f t="array" ref="N1602">IF($Q1602&gt;=0,IFERROR(generateSalesData($D1602, IF(ISNUMBER(_xlfn.XLOOKUP($C1602,Phone_by_Sentiment!$B$2:$B$37,Phone_by_Sentiment!N$2:N$37,"",0,1)),_xlfn.XLOOKUP($C1602,Phone_by_Sentiment!$B$2:$B$37,Phone_by_Sentiment!N$2:N$37,"",0,1),0),$A1602-TEXT(DATEVALUE($D1602&amp;"-01"), "dd-mm-yyyy")),0),0)</f>
        <v>342</v>
      </c>
      <c r="O1602" cm="1">
        <f t="array" ref="O1602">IF($Q1602&gt;=0,IFERROR(generateSalesData($D1602, IF(ISNUMBER(_xlfn.XLOOKUP($C1602,Phone_by_Sentiment!$B$2:$B$37,Phone_by_Sentiment!O$2:O$37,"",0,1)),_xlfn.XLOOKUP($C1602,Phone_by_Sentiment!$B$2:$B$37,Phone_by_Sentiment!O$2:O$37,"",0,1),0),$A1602-TEXT(DATEVALUE($D1602&amp;"-01"), "dd-mm-yyyy")),0),0)</f>
        <v>161</v>
      </c>
      <c r="P1602" s="1">
        <f t="shared" si="61"/>
        <v>44228</v>
      </c>
      <c r="Q1602">
        <f t="shared" si="63"/>
        <v>607</v>
      </c>
    </row>
    <row r="1603" spans="1:17" x14ac:dyDescent="0.25">
      <c r="A1603" s="1">
        <f t="shared" si="62"/>
        <v>44835</v>
      </c>
      <c r="B1603" t="s">
        <v>171</v>
      </c>
      <c r="C1603" t="str">
        <f>_xlfn.XLOOKUP(B1603,Phone_by_Price!$A$2:$A$34,Phone_by_Price!$B$2:$B$34,"-",0,1)</f>
        <v>Samsung Galaxy A22 5G</v>
      </c>
      <c r="D1603" t="str">
        <f>_xlfn.XLOOKUP(C1603,Phone_by_Sentiment!$B$2:$B$37,Phone_by_Sentiment!$A$2:$A$37,"-",0,1)</f>
        <v>2021-05</v>
      </c>
      <c r="E1603" cm="1">
        <f t="array" ref="E1603">IF($Q1603&gt;=0,IFERROR(generateSalesData($D1603, IF(ISNUMBER(_xlfn.XLOOKUP($C1603,Phone_by_Sentiment!$B$2:$B$37,Phone_by_Sentiment!E$2:E$37,"",0,1)),_xlfn.XLOOKUP($C1603,Phone_by_Sentiment!$B$2:$B$37,Phone_by_Sentiment!E$2:E$37,"",0,1),0),$A1603-TEXT(DATEVALUE($D1603&amp;"-01"), "dd-mm-yyyy")),0),0)</f>
        <v>37</v>
      </c>
      <c r="F1603" cm="1">
        <f t="array" ref="F1603">IF($Q1603&gt;=0,IFERROR(generateSalesData($D1603, IF(ISNUMBER(_xlfn.XLOOKUP($C1603,Phone_by_Sentiment!$B$2:$B$37,Phone_by_Sentiment!F$2:F$37,"",0,1)),_xlfn.XLOOKUP($C1603,Phone_by_Sentiment!$B$2:$B$37,Phone_by_Sentiment!F$2:F$37,"",0,1),0),$A1603-TEXT(DATEVALUE($D1603&amp;"-01"), "dd-mm-yyyy")),0),0)</f>
        <v>243</v>
      </c>
      <c r="G1603" cm="1">
        <f t="array" ref="G1603">IF($Q1603&gt;=0,IFERROR(generateSalesData($D1603, IF(ISNUMBER(_xlfn.XLOOKUP($C1603,Phone_by_Sentiment!$B$2:$B$37,Phone_by_Sentiment!G$2:G$37,"",0,1)),_xlfn.XLOOKUP($C1603,Phone_by_Sentiment!$B$2:$B$37,Phone_by_Sentiment!G$2:G$37,"",0,1),0),$A1603-TEXT(DATEVALUE($D1603&amp;"-01"), "dd-mm-yyyy")),0),0)</f>
        <v>5</v>
      </c>
      <c r="H1603" cm="1">
        <f t="array" ref="H1603">IF($Q1603&gt;=0,IFERROR(generateSalesData($D1603, IF(ISNUMBER(_xlfn.XLOOKUP($C1603,Phone_by_Sentiment!$B$2:$B$37,Phone_by_Sentiment!H$2:H$37,"",0,1)),_xlfn.XLOOKUP($C1603,Phone_by_Sentiment!$B$2:$B$37,Phone_by_Sentiment!H$2:H$37,"",0,1),0),$A1603-TEXT(DATEVALUE($D1603&amp;"-01"), "dd-mm-yyyy")),0),0)</f>
        <v>477</v>
      </c>
      <c r="I1603" cm="1">
        <f t="array" ref="I1603">IF($Q1603&gt;=0,IFERROR(generateSalesData($D1603, IF(ISNUMBER(_xlfn.XLOOKUP($C1603,Phone_by_Sentiment!$B$2:$B$37,Phone_by_Sentiment!I$2:I$37,"",0,1)),_xlfn.XLOOKUP($C1603,Phone_by_Sentiment!$B$2:$B$37,Phone_by_Sentiment!I$2:I$37,"",0,1),0),$A1603-TEXT(DATEVALUE($D1603&amp;"-01"), "dd-mm-yyyy")),0),0)</f>
        <v>685</v>
      </c>
      <c r="J1603" cm="1">
        <f t="array" ref="J1603">IF($Q1603&gt;=0,IFERROR(generateSalesData($D1603, IF(ISNUMBER(_xlfn.XLOOKUP($C1603,Phone_by_Sentiment!$B$2:$B$37,Phone_by_Sentiment!J$2:J$37,"",0,1)),_xlfn.XLOOKUP($C1603,Phone_by_Sentiment!$B$2:$B$37,Phone_by_Sentiment!J$2:J$37,"",0,1),0),$A1603-TEXT(DATEVALUE($D1603&amp;"-01"), "dd-mm-yyyy")),0),0)</f>
        <v>232</v>
      </c>
      <c r="K1603" cm="1">
        <f t="array" ref="K1603">IF($Q1603&gt;=0,IFERROR(generateSalesData($D1603, IF(ISNUMBER(_xlfn.XLOOKUP($C1603,Phone_by_Sentiment!$B$2:$B$37,Phone_by_Sentiment!K$2:K$37,"",0,1)),_xlfn.XLOOKUP($C1603,Phone_by_Sentiment!$B$2:$B$37,Phone_by_Sentiment!K$2:K$37,"",0,1),0),$A1603-TEXT(DATEVALUE($D1603&amp;"-01"), "dd-mm-yyyy")),0),0)</f>
        <v>282</v>
      </c>
      <c r="L1603" cm="1">
        <f t="array" ref="L1603">IF($Q1603&gt;=0,IFERROR(generateSalesData($D1603, IF(ISNUMBER(_xlfn.XLOOKUP($C1603,Phone_by_Sentiment!$B$2:$B$37,Phone_by_Sentiment!L$2:L$37,"",0,1)),_xlfn.XLOOKUP($C1603,Phone_by_Sentiment!$B$2:$B$37,Phone_by_Sentiment!L$2:L$37,"",0,1),0),$A1603-TEXT(DATEVALUE($D1603&amp;"-01"), "dd-mm-yyyy")),0),0)</f>
        <v>784</v>
      </c>
      <c r="M1603" cm="1">
        <f t="array" ref="M1603">IF($Q1603&gt;=0,IFERROR(generateSalesData($D1603, IF(ISNUMBER(_xlfn.XLOOKUP($C1603,Phone_by_Sentiment!$B$2:$B$37,Phone_by_Sentiment!M$2:M$37,"",0,1)),_xlfn.XLOOKUP($C1603,Phone_by_Sentiment!$B$2:$B$37,Phone_by_Sentiment!M$2:M$37,"",0,1),0),$A1603-TEXT(DATEVALUE($D1603&amp;"-01"), "dd-mm-yyyy")),0),0)</f>
        <v>-113</v>
      </c>
      <c r="N1603" cm="1">
        <f t="array" ref="N1603">IF($Q1603&gt;=0,IFERROR(generateSalesData($D1603, IF(ISNUMBER(_xlfn.XLOOKUP($C1603,Phone_by_Sentiment!$B$2:$B$37,Phone_by_Sentiment!N$2:N$37,"",0,1)),_xlfn.XLOOKUP($C1603,Phone_by_Sentiment!$B$2:$B$37,Phone_by_Sentiment!N$2:N$37,"",0,1),0),$A1603-TEXT(DATEVALUE($D1603&amp;"-01"), "dd-mm-yyyy")),0),0)</f>
        <v>610</v>
      </c>
      <c r="O1603" cm="1">
        <f t="array" ref="O1603">IF($Q1603&gt;=0,IFERROR(generateSalesData($D1603, IF(ISNUMBER(_xlfn.XLOOKUP($C1603,Phone_by_Sentiment!$B$2:$B$37,Phone_by_Sentiment!O$2:O$37,"",0,1)),_xlfn.XLOOKUP($C1603,Phone_by_Sentiment!$B$2:$B$37,Phone_by_Sentiment!O$2:O$37,"",0,1),0),$A1603-TEXT(DATEVALUE($D1603&amp;"-01"), "dd-mm-yyyy")),0),0)</f>
        <v>295</v>
      </c>
      <c r="P1603" s="1">
        <f t="shared" ref="P1603:P1666" si="64">DATEVALUE($D1603&amp;"-01")</f>
        <v>44317</v>
      </c>
      <c r="Q1603">
        <f t="shared" si="63"/>
        <v>518</v>
      </c>
    </row>
    <row r="1604" spans="1:17" x14ac:dyDescent="0.25">
      <c r="A1604" s="1">
        <f t="shared" ref="A1604:A1667" si="65">DATE(YEAR($A$1), MONTH($A$1) + INT((ROW()-1)/35), DAY($A$1))</f>
        <v>44835</v>
      </c>
      <c r="B1604" t="s">
        <v>172</v>
      </c>
      <c r="C1604" t="str">
        <f>_xlfn.XLOOKUP(B1604,Phone_by_Price!$A$2:$A$34,Phone_by_Price!$B$2:$B$34,"-",0,1)</f>
        <v>Xiaomi Redmi 9</v>
      </c>
      <c r="D1604" t="str">
        <f>_xlfn.XLOOKUP(C1604,Phone_by_Sentiment!$B$2:$B$37,Phone_by_Sentiment!$A$2:$A$37,"-",0,1)</f>
        <v>2020-08</v>
      </c>
      <c r="E1604" cm="1">
        <f t="array" ref="E1604">IF($Q1604&gt;=0,IFERROR(generateSalesData($D1604, IF(ISNUMBER(_xlfn.XLOOKUP($C1604,Phone_by_Sentiment!$B$2:$B$37,Phone_by_Sentiment!E$2:E$37,"",0,1)),_xlfn.XLOOKUP($C1604,Phone_by_Sentiment!$B$2:$B$37,Phone_by_Sentiment!E$2:E$37,"",0,1),0),$A1604-TEXT(DATEVALUE($D1604&amp;"-01"), "dd-mm-yyyy")),0),0)</f>
        <v>110</v>
      </c>
      <c r="F1604" cm="1">
        <f t="array" ref="F1604">IF($Q1604&gt;=0,IFERROR(generateSalesData($D1604, IF(ISNUMBER(_xlfn.XLOOKUP($C1604,Phone_by_Sentiment!$B$2:$B$37,Phone_by_Sentiment!F$2:F$37,"",0,1)),_xlfn.XLOOKUP($C1604,Phone_by_Sentiment!$B$2:$B$37,Phone_by_Sentiment!F$2:F$37,"",0,1),0),$A1604-TEXT(DATEVALUE($D1604&amp;"-01"), "dd-mm-yyyy")),0),0)</f>
        <v>79</v>
      </c>
      <c r="G1604" cm="1">
        <f t="array" ref="G1604">IF($Q1604&gt;=0,IFERROR(generateSalesData($D1604, IF(ISNUMBER(_xlfn.XLOOKUP($C1604,Phone_by_Sentiment!$B$2:$B$37,Phone_by_Sentiment!G$2:G$37,"",0,1)),_xlfn.XLOOKUP($C1604,Phone_by_Sentiment!$B$2:$B$37,Phone_by_Sentiment!G$2:G$37,"",0,1),0),$A1604-TEXT(DATEVALUE($D1604&amp;"-01"), "dd-mm-yyyy")),0),0)</f>
        <v>125</v>
      </c>
      <c r="H1604" cm="1">
        <f t="array" ref="H1604">IF($Q1604&gt;=0,IFERROR(generateSalesData($D1604, IF(ISNUMBER(_xlfn.XLOOKUP($C1604,Phone_by_Sentiment!$B$2:$B$37,Phone_by_Sentiment!H$2:H$37,"",0,1)),_xlfn.XLOOKUP($C1604,Phone_by_Sentiment!$B$2:$B$37,Phone_by_Sentiment!H$2:H$37,"",0,1),0),$A1604-TEXT(DATEVALUE($D1604&amp;"-01"), "dd-mm-yyyy")),0),0)</f>
        <v>115</v>
      </c>
      <c r="I1604" cm="1">
        <f t="array" ref="I1604">IF($Q1604&gt;=0,IFERROR(generateSalesData($D1604, IF(ISNUMBER(_xlfn.XLOOKUP($C1604,Phone_by_Sentiment!$B$2:$B$37,Phone_by_Sentiment!I$2:I$37,"",0,1)),_xlfn.XLOOKUP($C1604,Phone_by_Sentiment!$B$2:$B$37,Phone_by_Sentiment!I$2:I$37,"",0,1),0),$A1604-TEXT(DATEVALUE($D1604&amp;"-01"), "dd-mm-yyyy")),0),0)</f>
        <v>77</v>
      </c>
      <c r="J1604" cm="1">
        <f t="array" ref="J1604">IF($Q1604&gt;=0,IFERROR(generateSalesData($D1604, IF(ISNUMBER(_xlfn.XLOOKUP($C1604,Phone_by_Sentiment!$B$2:$B$37,Phone_by_Sentiment!J$2:J$37,"",0,1)),_xlfn.XLOOKUP($C1604,Phone_by_Sentiment!$B$2:$B$37,Phone_by_Sentiment!J$2:J$37,"",0,1),0),$A1604-TEXT(DATEVALUE($D1604&amp;"-01"), "dd-mm-yyyy")),0),0)</f>
        <v>18</v>
      </c>
      <c r="K1604" cm="1">
        <f t="array" ref="K1604">IF($Q1604&gt;=0,IFERROR(generateSalesData($D1604, IF(ISNUMBER(_xlfn.XLOOKUP($C1604,Phone_by_Sentiment!$B$2:$B$37,Phone_by_Sentiment!K$2:K$37,"",0,1)),_xlfn.XLOOKUP($C1604,Phone_by_Sentiment!$B$2:$B$37,Phone_by_Sentiment!K$2:K$37,"",0,1),0),$A1604-TEXT(DATEVALUE($D1604&amp;"-01"), "dd-mm-yyyy")),0),0)</f>
        <v>31</v>
      </c>
      <c r="L1604" cm="1">
        <f t="array" ref="L1604">IF($Q1604&gt;=0,IFERROR(generateSalesData($D1604, IF(ISNUMBER(_xlfn.XLOOKUP($C1604,Phone_by_Sentiment!$B$2:$B$37,Phone_by_Sentiment!L$2:L$37,"",0,1)),_xlfn.XLOOKUP($C1604,Phone_by_Sentiment!$B$2:$B$37,Phone_by_Sentiment!L$2:L$37,"",0,1),0),$A1604-TEXT(DATEVALUE($D1604&amp;"-01"), "dd-mm-yyyy")),0),0)</f>
        <v>102</v>
      </c>
      <c r="M1604" cm="1">
        <f t="array" ref="M1604">IF($Q1604&gt;=0,IFERROR(generateSalesData($D1604, IF(ISNUMBER(_xlfn.XLOOKUP($C1604,Phone_by_Sentiment!$B$2:$B$37,Phone_by_Sentiment!M$2:M$37,"",0,1)),_xlfn.XLOOKUP($C1604,Phone_by_Sentiment!$B$2:$B$37,Phone_by_Sentiment!M$2:M$37,"",0,1),0),$A1604-TEXT(DATEVALUE($D1604&amp;"-01"), "dd-mm-yyyy")),0),0)</f>
        <v>254</v>
      </c>
      <c r="N1604" cm="1">
        <f t="array" ref="N1604">IF($Q1604&gt;=0,IFERROR(generateSalesData($D1604, IF(ISNUMBER(_xlfn.XLOOKUP($C1604,Phone_by_Sentiment!$B$2:$B$37,Phone_by_Sentiment!N$2:N$37,"",0,1)),_xlfn.XLOOKUP($C1604,Phone_by_Sentiment!$B$2:$B$37,Phone_by_Sentiment!N$2:N$37,"",0,1),0),$A1604-TEXT(DATEVALUE($D1604&amp;"-01"), "dd-mm-yyyy")),0),0)</f>
        <v>103</v>
      </c>
      <c r="O1604" cm="1">
        <f t="array" ref="O1604">IF($Q1604&gt;=0,IFERROR(generateSalesData($D1604, IF(ISNUMBER(_xlfn.XLOOKUP($C1604,Phone_by_Sentiment!$B$2:$B$37,Phone_by_Sentiment!O$2:O$37,"",0,1)),_xlfn.XLOOKUP($C1604,Phone_by_Sentiment!$B$2:$B$37,Phone_by_Sentiment!O$2:O$37,"",0,1),0),$A1604-TEXT(DATEVALUE($D1604&amp;"-01"), "dd-mm-yyyy")),0),0)</f>
        <v>161</v>
      </c>
      <c r="P1604" s="1">
        <f t="shared" si="64"/>
        <v>44044</v>
      </c>
      <c r="Q1604">
        <f t="shared" ref="Q1604:Q1667" si="66">A1604-P1604</f>
        <v>791</v>
      </c>
    </row>
    <row r="1605" spans="1:17" x14ac:dyDescent="0.25">
      <c r="A1605" s="1">
        <f t="shared" si="65"/>
        <v>44835</v>
      </c>
      <c r="B1605" t="s">
        <v>173</v>
      </c>
      <c r="C1605" t="str">
        <f>_xlfn.XLOOKUP(B1605,Phone_by_Price!$A$2:$A$34,Phone_by_Price!$B$2:$B$34,"-",0,1)</f>
        <v>Realme C3</v>
      </c>
      <c r="D1605" t="str">
        <f>_xlfn.XLOOKUP(C1605,Phone_by_Sentiment!$B$2:$B$37,Phone_by_Sentiment!$A$2:$A$37,"-",0,1)</f>
        <v>2020-02</v>
      </c>
      <c r="E1605" cm="1">
        <f t="array" ref="E1605">IF($Q1605&gt;=0,IFERROR(generateSalesData($D1605, IF(ISNUMBER(_xlfn.XLOOKUP($C1605,Phone_by_Sentiment!$B$2:$B$37,Phone_by_Sentiment!E$2:E$37,"",0,1)),_xlfn.XLOOKUP($C1605,Phone_by_Sentiment!$B$2:$B$37,Phone_by_Sentiment!E$2:E$37,"",0,1),0),$A1605-TEXT(DATEVALUE($D1605&amp;"-01"), "dd-mm-yyyy")),0),0)</f>
        <v>23</v>
      </c>
      <c r="F1605" cm="1">
        <f t="array" ref="F1605">IF($Q1605&gt;=0,IFERROR(generateSalesData($D1605, IF(ISNUMBER(_xlfn.XLOOKUP($C1605,Phone_by_Sentiment!$B$2:$B$37,Phone_by_Sentiment!F$2:F$37,"",0,1)),_xlfn.XLOOKUP($C1605,Phone_by_Sentiment!$B$2:$B$37,Phone_by_Sentiment!F$2:F$37,"",0,1),0),$A1605-TEXT(DATEVALUE($D1605&amp;"-01"), "dd-mm-yyyy")),0),0)</f>
        <v>86</v>
      </c>
      <c r="G1605" cm="1">
        <f t="array" ref="G1605">IF($Q1605&gt;=0,IFERROR(generateSalesData($D1605, IF(ISNUMBER(_xlfn.XLOOKUP($C1605,Phone_by_Sentiment!$B$2:$B$37,Phone_by_Sentiment!G$2:G$37,"",0,1)),_xlfn.XLOOKUP($C1605,Phone_by_Sentiment!$B$2:$B$37,Phone_by_Sentiment!G$2:G$37,"",0,1),0),$A1605-TEXT(DATEVALUE($D1605&amp;"-01"), "dd-mm-yyyy")),0),0)</f>
        <v>58</v>
      </c>
      <c r="H1605" cm="1">
        <f t="array" ref="H1605">IF($Q1605&gt;=0,IFERROR(generateSalesData($D1605, IF(ISNUMBER(_xlfn.XLOOKUP($C1605,Phone_by_Sentiment!$B$2:$B$37,Phone_by_Sentiment!H$2:H$37,"",0,1)),_xlfn.XLOOKUP($C1605,Phone_by_Sentiment!$B$2:$B$37,Phone_by_Sentiment!H$2:H$37,"",0,1),0),$A1605-TEXT(DATEVALUE($D1605&amp;"-01"), "dd-mm-yyyy")),0),0)</f>
        <v>189</v>
      </c>
      <c r="I1605" cm="1">
        <f t="array" ref="I1605">IF($Q1605&gt;=0,IFERROR(generateSalesData($D1605, IF(ISNUMBER(_xlfn.XLOOKUP($C1605,Phone_by_Sentiment!$B$2:$B$37,Phone_by_Sentiment!I$2:I$37,"",0,1)),_xlfn.XLOOKUP($C1605,Phone_by_Sentiment!$B$2:$B$37,Phone_by_Sentiment!I$2:I$37,"",0,1),0),$A1605-TEXT(DATEVALUE($D1605&amp;"-01"), "dd-mm-yyyy")),0),0)</f>
        <v>36</v>
      </c>
      <c r="J1605" cm="1">
        <f t="array" ref="J1605">IF($Q1605&gt;=0,IFERROR(generateSalesData($D1605, IF(ISNUMBER(_xlfn.XLOOKUP($C1605,Phone_by_Sentiment!$B$2:$B$37,Phone_by_Sentiment!J$2:J$37,"",0,1)),_xlfn.XLOOKUP($C1605,Phone_by_Sentiment!$B$2:$B$37,Phone_by_Sentiment!J$2:J$37,"",0,1),0),$A1605-TEXT(DATEVALUE($D1605&amp;"-01"), "dd-mm-yyyy")),0),0)</f>
        <v>43</v>
      </c>
      <c r="K1605" cm="1">
        <f t="array" ref="K1605">IF($Q1605&gt;=0,IFERROR(generateSalesData($D1605, IF(ISNUMBER(_xlfn.XLOOKUP($C1605,Phone_by_Sentiment!$B$2:$B$37,Phone_by_Sentiment!K$2:K$37,"",0,1)),_xlfn.XLOOKUP($C1605,Phone_by_Sentiment!$B$2:$B$37,Phone_by_Sentiment!K$2:K$37,"",0,1),0),$A1605-TEXT(DATEVALUE($D1605&amp;"-01"), "dd-mm-yyyy")),0),0)</f>
        <v>196</v>
      </c>
      <c r="L1605" cm="1">
        <f t="array" ref="L1605">IF($Q1605&gt;=0,IFERROR(generateSalesData($D1605, IF(ISNUMBER(_xlfn.XLOOKUP($C1605,Phone_by_Sentiment!$B$2:$B$37,Phone_by_Sentiment!L$2:L$37,"",0,1)),_xlfn.XLOOKUP($C1605,Phone_by_Sentiment!$B$2:$B$37,Phone_by_Sentiment!L$2:L$37,"",0,1),0),$A1605-TEXT(DATEVALUE($D1605&amp;"-01"), "dd-mm-yyyy")),0),0)</f>
        <v>155</v>
      </c>
      <c r="M1605" cm="1">
        <f t="array" ref="M1605">IF($Q1605&gt;=0,IFERROR(generateSalesData($D1605, IF(ISNUMBER(_xlfn.XLOOKUP($C1605,Phone_by_Sentiment!$B$2:$B$37,Phone_by_Sentiment!M$2:M$37,"",0,1)),_xlfn.XLOOKUP($C1605,Phone_by_Sentiment!$B$2:$B$37,Phone_by_Sentiment!M$2:M$37,"",0,1),0),$A1605-TEXT(DATEVALUE($D1605&amp;"-01"), "dd-mm-yyyy")),0),0)</f>
        <v>71</v>
      </c>
      <c r="N1605" cm="1">
        <f t="array" ref="N1605">IF($Q1605&gt;=0,IFERROR(generateSalesData($D1605, IF(ISNUMBER(_xlfn.XLOOKUP($C1605,Phone_by_Sentiment!$B$2:$B$37,Phone_by_Sentiment!N$2:N$37,"",0,1)),_xlfn.XLOOKUP($C1605,Phone_by_Sentiment!$B$2:$B$37,Phone_by_Sentiment!N$2:N$37,"",0,1),0),$A1605-TEXT(DATEVALUE($D1605&amp;"-01"), "dd-mm-yyyy")),0),0)</f>
        <v>31</v>
      </c>
      <c r="O1605" cm="1">
        <f t="array" ref="O1605">IF($Q1605&gt;=0,IFERROR(generateSalesData($D1605, IF(ISNUMBER(_xlfn.XLOOKUP($C1605,Phone_by_Sentiment!$B$2:$B$37,Phone_by_Sentiment!O$2:O$37,"",0,1)),_xlfn.XLOOKUP($C1605,Phone_by_Sentiment!$B$2:$B$37,Phone_by_Sentiment!O$2:O$37,"",0,1),0),$A1605-TEXT(DATEVALUE($D1605&amp;"-01"), "dd-mm-yyyy")),0),0)</f>
        <v>-2</v>
      </c>
      <c r="P1605" s="1">
        <f t="shared" si="64"/>
        <v>43862</v>
      </c>
      <c r="Q1605">
        <f t="shared" si="66"/>
        <v>973</v>
      </c>
    </row>
    <row r="1606" spans="1:17" x14ac:dyDescent="0.25">
      <c r="A1606" s="1">
        <f t="shared" si="65"/>
        <v>44835</v>
      </c>
      <c r="B1606" t="s">
        <v>174</v>
      </c>
      <c r="C1606" t="str">
        <f>_xlfn.XLOOKUP(B1606,Phone_by_Price!$A$2:$A$34,Phone_by_Price!$B$2:$B$34,"-",0,1)</f>
        <v>Samsung Galaxy A7</v>
      </c>
      <c r="D1606" t="str">
        <f>_xlfn.XLOOKUP(C1606,Phone_by_Sentiment!$B$2:$B$37,Phone_by_Sentiment!$A$2:$A$37,"-",0,1)</f>
        <v>2018-10</v>
      </c>
      <c r="E1606" cm="1">
        <f t="array" ref="E1606">IF($Q1606&gt;=0,IFERROR(generateSalesData($D1606, IF(ISNUMBER(_xlfn.XLOOKUP($C1606,Phone_by_Sentiment!$B$2:$B$37,Phone_by_Sentiment!E$2:E$37,"",0,1)),_xlfn.XLOOKUP($C1606,Phone_by_Sentiment!$B$2:$B$37,Phone_by_Sentiment!E$2:E$37,"",0,1),0),$A1606-TEXT(DATEVALUE($D1606&amp;"-01"), "dd-mm-yyyy")),0),0)</f>
        <v>-11</v>
      </c>
      <c r="F1606" cm="1">
        <f t="array" ref="F1606">IF($Q1606&gt;=0,IFERROR(generateSalesData($D1606, IF(ISNUMBER(_xlfn.XLOOKUP($C1606,Phone_by_Sentiment!$B$2:$B$37,Phone_by_Sentiment!F$2:F$37,"",0,1)),_xlfn.XLOOKUP($C1606,Phone_by_Sentiment!$B$2:$B$37,Phone_by_Sentiment!F$2:F$37,"",0,1),0),$A1606-TEXT(DATEVALUE($D1606&amp;"-01"), "dd-mm-yyyy")),0),0)</f>
        <v>36</v>
      </c>
      <c r="G1606" cm="1">
        <f t="array" ref="G1606">IF($Q1606&gt;=0,IFERROR(generateSalesData($D1606, IF(ISNUMBER(_xlfn.XLOOKUP($C1606,Phone_by_Sentiment!$B$2:$B$37,Phone_by_Sentiment!G$2:G$37,"",0,1)),_xlfn.XLOOKUP($C1606,Phone_by_Sentiment!$B$2:$B$37,Phone_by_Sentiment!G$2:G$37,"",0,1),0),$A1606-TEXT(DATEVALUE($D1606&amp;"-01"), "dd-mm-yyyy")),0),0)</f>
        <v>33</v>
      </c>
      <c r="H1606" cm="1">
        <f t="array" ref="H1606">IF($Q1606&gt;=0,IFERROR(generateSalesData($D1606, IF(ISNUMBER(_xlfn.XLOOKUP($C1606,Phone_by_Sentiment!$B$2:$B$37,Phone_by_Sentiment!H$2:H$37,"",0,1)),_xlfn.XLOOKUP($C1606,Phone_by_Sentiment!$B$2:$B$37,Phone_by_Sentiment!H$2:H$37,"",0,1),0),$A1606-TEXT(DATEVALUE($D1606&amp;"-01"), "dd-mm-yyyy")),0),0)</f>
        <v>177</v>
      </c>
      <c r="I1606" cm="1">
        <f t="array" ref="I1606">IF($Q1606&gt;=0,IFERROR(generateSalesData($D1606, IF(ISNUMBER(_xlfn.XLOOKUP($C1606,Phone_by_Sentiment!$B$2:$B$37,Phone_by_Sentiment!I$2:I$37,"",0,1)),_xlfn.XLOOKUP($C1606,Phone_by_Sentiment!$B$2:$B$37,Phone_by_Sentiment!I$2:I$37,"",0,1),0),$A1606-TEXT(DATEVALUE($D1606&amp;"-01"), "dd-mm-yyyy")),0),0)</f>
        <v>121</v>
      </c>
      <c r="J1606" cm="1">
        <f t="array" ref="J1606">IF($Q1606&gt;=0,IFERROR(generateSalesData($D1606, IF(ISNUMBER(_xlfn.XLOOKUP($C1606,Phone_by_Sentiment!$B$2:$B$37,Phone_by_Sentiment!J$2:J$37,"",0,1)),_xlfn.XLOOKUP($C1606,Phone_by_Sentiment!$B$2:$B$37,Phone_by_Sentiment!J$2:J$37,"",0,1),0),$A1606-TEXT(DATEVALUE($D1606&amp;"-01"), "dd-mm-yyyy")),0),0)</f>
        <v>43</v>
      </c>
      <c r="K1606" cm="1">
        <f t="array" ref="K1606">IF($Q1606&gt;=0,IFERROR(generateSalesData($D1606, IF(ISNUMBER(_xlfn.XLOOKUP($C1606,Phone_by_Sentiment!$B$2:$B$37,Phone_by_Sentiment!K$2:K$37,"",0,1)),_xlfn.XLOOKUP($C1606,Phone_by_Sentiment!$B$2:$B$37,Phone_by_Sentiment!K$2:K$37,"",0,1),0),$A1606-TEXT(DATEVALUE($D1606&amp;"-01"), "dd-mm-yyyy")),0),0)</f>
        <v>31</v>
      </c>
      <c r="L1606" cm="1">
        <f t="array" ref="L1606">IF($Q1606&gt;=0,IFERROR(generateSalesData($D1606, IF(ISNUMBER(_xlfn.XLOOKUP($C1606,Phone_by_Sentiment!$B$2:$B$37,Phone_by_Sentiment!L$2:L$37,"",0,1)),_xlfn.XLOOKUP($C1606,Phone_by_Sentiment!$B$2:$B$37,Phone_by_Sentiment!L$2:L$37,"",0,1),0),$A1606-TEXT(DATEVALUE($D1606&amp;"-01"), "dd-mm-yyyy")),0),0)</f>
        <v>20</v>
      </c>
      <c r="M1606" cm="1">
        <f t="array" ref="M1606">IF($Q1606&gt;=0,IFERROR(generateSalesData($D1606, IF(ISNUMBER(_xlfn.XLOOKUP($C1606,Phone_by_Sentiment!$B$2:$B$37,Phone_by_Sentiment!M$2:M$37,"",0,1)),_xlfn.XLOOKUP($C1606,Phone_by_Sentiment!$B$2:$B$37,Phone_by_Sentiment!M$2:M$37,"",0,1),0),$A1606-TEXT(DATEVALUE($D1606&amp;"-01"), "dd-mm-yyyy")),0),0)</f>
        <v>129</v>
      </c>
      <c r="N1606" cm="1">
        <f t="array" ref="N1606">IF($Q1606&gt;=0,IFERROR(generateSalesData($D1606, IF(ISNUMBER(_xlfn.XLOOKUP($C1606,Phone_by_Sentiment!$B$2:$B$37,Phone_by_Sentiment!N$2:N$37,"",0,1)),_xlfn.XLOOKUP($C1606,Phone_by_Sentiment!$B$2:$B$37,Phone_by_Sentiment!N$2:N$37,"",0,1),0),$A1606-TEXT(DATEVALUE($D1606&amp;"-01"), "dd-mm-yyyy")),0),0)</f>
        <v>291</v>
      </c>
      <c r="O1606" cm="1">
        <f t="array" ref="O1606">IF($Q1606&gt;=0,IFERROR(generateSalesData($D1606, IF(ISNUMBER(_xlfn.XLOOKUP($C1606,Phone_by_Sentiment!$B$2:$B$37,Phone_by_Sentiment!O$2:O$37,"",0,1)),_xlfn.XLOOKUP($C1606,Phone_by_Sentiment!$B$2:$B$37,Phone_by_Sentiment!O$2:O$37,"",0,1),0),$A1606-TEXT(DATEVALUE($D1606&amp;"-01"), "dd-mm-yyyy")),0),0)</f>
        <v>88</v>
      </c>
      <c r="P1606" s="1">
        <f t="shared" si="64"/>
        <v>43374</v>
      </c>
      <c r="Q1606">
        <f t="shared" si="66"/>
        <v>1461</v>
      </c>
    </row>
    <row r="1607" spans="1:17" x14ac:dyDescent="0.25">
      <c r="A1607" s="1">
        <f t="shared" si="65"/>
        <v>44835</v>
      </c>
      <c r="B1607" t="s">
        <v>142</v>
      </c>
      <c r="C1607" t="str">
        <f>_xlfn.XLOOKUP(B1607,Phone_by_Price!$A$2:$A$34,Phone_by_Price!$B$2:$B$34,"-",0,1)</f>
        <v>iPhone 11</v>
      </c>
      <c r="D1607" t="str">
        <f>_xlfn.XLOOKUP(C1607,Phone_by_Sentiment!$B$2:$B$37,Phone_by_Sentiment!$A$2:$A$37,"-",0,1)</f>
        <v>2019-09</v>
      </c>
      <c r="E1607" cm="1">
        <f t="array" ref="E1607">IF($Q1607&gt;=0,IFERROR(generateSalesData($D1607, IF(ISNUMBER(_xlfn.XLOOKUP($C1607,Phone_by_Sentiment!$B$2:$B$37,Phone_by_Sentiment!E$2:E$37,"",0,1)),_xlfn.XLOOKUP($C1607,Phone_by_Sentiment!$B$2:$B$37,Phone_by_Sentiment!E$2:E$37,"",0,1),0),$A1607-TEXT(DATEVALUE($D1607&amp;"-01"), "dd-mm-yyyy")),0),0)</f>
        <v>286</v>
      </c>
      <c r="F1607" cm="1">
        <f t="array" ref="F1607">IF($Q1607&gt;=0,IFERROR(generateSalesData($D1607, IF(ISNUMBER(_xlfn.XLOOKUP($C1607,Phone_by_Sentiment!$B$2:$B$37,Phone_by_Sentiment!F$2:F$37,"",0,1)),_xlfn.XLOOKUP($C1607,Phone_by_Sentiment!$B$2:$B$37,Phone_by_Sentiment!F$2:F$37,"",0,1),0),$A1607-TEXT(DATEVALUE($D1607&amp;"-01"), "dd-mm-yyyy")),0),0)</f>
        <v>200</v>
      </c>
      <c r="G1607" cm="1">
        <f t="array" ref="G1607">IF($Q1607&gt;=0,IFERROR(generateSalesData($D1607, IF(ISNUMBER(_xlfn.XLOOKUP($C1607,Phone_by_Sentiment!$B$2:$B$37,Phone_by_Sentiment!G$2:G$37,"",0,1)),_xlfn.XLOOKUP($C1607,Phone_by_Sentiment!$B$2:$B$37,Phone_by_Sentiment!G$2:G$37,"",0,1),0),$A1607-TEXT(DATEVALUE($D1607&amp;"-01"), "dd-mm-yyyy")),0),0)</f>
        <v>50</v>
      </c>
      <c r="H1607" cm="1">
        <f t="array" ref="H1607">IF($Q1607&gt;=0,IFERROR(generateSalesData($D1607, IF(ISNUMBER(_xlfn.XLOOKUP($C1607,Phone_by_Sentiment!$B$2:$B$37,Phone_by_Sentiment!H$2:H$37,"",0,1)),_xlfn.XLOOKUP($C1607,Phone_by_Sentiment!$B$2:$B$37,Phone_by_Sentiment!H$2:H$37,"",0,1),0),$A1607-TEXT(DATEVALUE($D1607&amp;"-01"), "dd-mm-yyyy")),0),0)</f>
        <v>230</v>
      </c>
      <c r="I1607" cm="1">
        <f t="array" ref="I1607">IF($Q1607&gt;=0,IFERROR(generateSalesData($D1607, IF(ISNUMBER(_xlfn.XLOOKUP($C1607,Phone_by_Sentiment!$B$2:$B$37,Phone_by_Sentiment!I$2:I$37,"",0,1)),_xlfn.XLOOKUP($C1607,Phone_by_Sentiment!$B$2:$B$37,Phone_by_Sentiment!I$2:I$37,"",0,1),0),$A1607-TEXT(DATEVALUE($D1607&amp;"-01"), "dd-mm-yyyy")),0),0)</f>
        <v>240</v>
      </c>
      <c r="J1607" cm="1">
        <f t="array" ref="J1607">IF($Q1607&gt;=0,IFERROR(generateSalesData($D1607, IF(ISNUMBER(_xlfn.XLOOKUP($C1607,Phone_by_Sentiment!$B$2:$B$37,Phone_by_Sentiment!J$2:J$37,"",0,1)),_xlfn.XLOOKUP($C1607,Phone_by_Sentiment!$B$2:$B$37,Phone_by_Sentiment!J$2:J$37,"",0,1),0),$A1607-TEXT(DATEVALUE($D1607&amp;"-01"), "dd-mm-yyyy")),0),0)</f>
        <v>174</v>
      </c>
      <c r="K1607" cm="1">
        <f t="array" ref="K1607">IF($Q1607&gt;=0,IFERROR(generateSalesData($D1607, IF(ISNUMBER(_xlfn.XLOOKUP($C1607,Phone_by_Sentiment!$B$2:$B$37,Phone_by_Sentiment!K$2:K$37,"",0,1)),_xlfn.XLOOKUP($C1607,Phone_by_Sentiment!$B$2:$B$37,Phone_by_Sentiment!K$2:K$37,"",0,1),0),$A1607-TEXT(DATEVALUE($D1607&amp;"-01"), "dd-mm-yyyy")),0),0)</f>
        <v>59</v>
      </c>
      <c r="L1607" cm="1">
        <f t="array" ref="L1607">IF($Q1607&gt;=0,IFERROR(generateSalesData($D1607, IF(ISNUMBER(_xlfn.XLOOKUP($C1607,Phone_by_Sentiment!$B$2:$B$37,Phone_by_Sentiment!L$2:L$37,"",0,1)),_xlfn.XLOOKUP($C1607,Phone_by_Sentiment!$B$2:$B$37,Phone_by_Sentiment!L$2:L$37,"",0,1),0),$A1607-TEXT(DATEVALUE($D1607&amp;"-01"), "dd-mm-yyyy")),0),0)</f>
        <v>105</v>
      </c>
      <c r="M1607" cm="1">
        <f t="array" ref="M1607">IF($Q1607&gt;=0,IFERROR(generateSalesData($D1607, IF(ISNUMBER(_xlfn.XLOOKUP($C1607,Phone_by_Sentiment!$B$2:$B$37,Phone_by_Sentiment!M$2:M$37,"",0,1)),_xlfn.XLOOKUP($C1607,Phone_by_Sentiment!$B$2:$B$37,Phone_by_Sentiment!M$2:M$37,"",0,1),0),$A1607-TEXT(DATEVALUE($D1607&amp;"-01"), "dd-mm-yyyy")),0),0)</f>
        <v>256</v>
      </c>
      <c r="N1607" cm="1">
        <f t="array" ref="N1607">IF($Q1607&gt;=0,IFERROR(generateSalesData($D1607, IF(ISNUMBER(_xlfn.XLOOKUP($C1607,Phone_by_Sentiment!$B$2:$B$37,Phone_by_Sentiment!N$2:N$37,"",0,1)),_xlfn.XLOOKUP($C1607,Phone_by_Sentiment!$B$2:$B$37,Phone_by_Sentiment!N$2:N$37,"",0,1),0),$A1607-TEXT(DATEVALUE($D1607&amp;"-01"), "dd-mm-yyyy")),0),0)</f>
        <v>159</v>
      </c>
      <c r="O1607" cm="1">
        <f t="array" ref="O1607">IF($Q1607&gt;=0,IFERROR(generateSalesData($D1607, IF(ISNUMBER(_xlfn.XLOOKUP($C1607,Phone_by_Sentiment!$B$2:$B$37,Phone_by_Sentiment!O$2:O$37,"",0,1)),_xlfn.XLOOKUP($C1607,Phone_by_Sentiment!$B$2:$B$37,Phone_by_Sentiment!O$2:O$37,"",0,1),0),$A1607-TEXT(DATEVALUE($D1607&amp;"-01"), "dd-mm-yyyy")),0),0)</f>
        <v>359</v>
      </c>
      <c r="P1607" s="1">
        <f t="shared" si="64"/>
        <v>43709</v>
      </c>
      <c r="Q1607">
        <f t="shared" si="66"/>
        <v>1126</v>
      </c>
    </row>
    <row r="1608" spans="1:17" x14ac:dyDescent="0.25">
      <c r="A1608" s="1">
        <f t="shared" si="65"/>
        <v>44835</v>
      </c>
      <c r="B1608" t="s">
        <v>143</v>
      </c>
      <c r="C1608" t="str">
        <f>_xlfn.XLOOKUP(B1608,Phone_by_Price!$A$2:$A$34,Phone_by_Price!$B$2:$B$34,"-",0,1)</f>
        <v>Samsung Galaxy S20 Ultra</v>
      </c>
      <c r="D1608" t="str">
        <f>_xlfn.XLOOKUP(C1608,Phone_by_Sentiment!$B$2:$B$37,Phone_by_Sentiment!$A$2:$A$37,"-",0,1)</f>
        <v>2020-02</v>
      </c>
      <c r="E1608" cm="1">
        <f t="array" ref="E1608">IF($Q1608&gt;=0,IFERROR(generateSalesData($D1608, IF(ISNUMBER(_xlfn.XLOOKUP($C1608,Phone_by_Sentiment!$B$2:$B$37,Phone_by_Sentiment!E$2:E$37,"",0,1)),_xlfn.XLOOKUP($C1608,Phone_by_Sentiment!$B$2:$B$37,Phone_by_Sentiment!E$2:E$37,"",0,1),0),$A1608-TEXT(DATEVALUE($D1608&amp;"-01"), "dd-mm-yyyy")),0),0)</f>
        <v>274</v>
      </c>
      <c r="F1608" cm="1">
        <f t="array" ref="F1608">IF($Q1608&gt;=0,IFERROR(generateSalesData($D1608, IF(ISNUMBER(_xlfn.XLOOKUP($C1608,Phone_by_Sentiment!$B$2:$B$37,Phone_by_Sentiment!F$2:F$37,"",0,1)),_xlfn.XLOOKUP($C1608,Phone_by_Sentiment!$B$2:$B$37,Phone_by_Sentiment!F$2:F$37,"",0,1),0),$A1608-TEXT(DATEVALUE($D1608&amp;"-01"), "dd-mm-yyyy")),0),0)</f>
        <v>94</v>
      </c>
      <c r="G1608" cm="1">
        <f t="array" ref="G1608">IF($Q1608&gt;=0,IFERROR(generateSalesData($D1608, IF(ISNUMBER(_xlfn.XLOOKUP($C1608,Phone_by_Sentiment!$B$2:$B$37,Phone_by_Sentiment!G$2:G$37,"",0,1)),_xlfn.XLOOKUP($C1608,Phone_by_Sentiment!$B$2:$B$37,Phone_by_Sentiment!G$2:G$37,"",0,1),0),$A1608-TEXT(DATEVALUE($D1608&amp;"-01"), "dd-mm-yyyy")),0),0)</f>
        <v>92</v>
      </c>
      <c r="H1608" cm="1">
        <f t="array" ref="H1608">IF($Q1608&gt;=0,IFERROR(generateSalesData($D1608, IF(ISNUMBER(_xlfn.XLOOKUP($C1608,Phone_by_Sentiment!$B$2:$B$37,Phone_by_Sentiment!H$2:H$37,"",0,1)),_xlfn.XLOOKUP($C1608,Phone_by_Sentiment!$B$2:$B$37,Phone_by_Sentiment!H$2:H$37,"",0,1),0),$A1608-TEXT(DATEVALUE($D1608&amp;"-01"), "dd-mm-yyyy")),0),0)</f>
        <v>311</v>
      </c>
      <c r="I1608" cm="1">
        <f t="array" ref="I1608">IF($Q1608&gt;=0,IFERROR(generateSalesData($D1608, IF(ISNUMBER(_xlfn.XLOOKUP($C1608,Phone_by_Sentiment!$B$2:$B$37,Phone_by_Sentiment!I$2:I$37,"",0,1)),_xlfn.XLOOKUP($C1608,Phone_by_Sentiment!$B$2:$B$37,Phone_by_Sentiment!I$2:I$37,"",0,1),0),$A1608-TEXT(DATEVALUE($D1608&amp;"-01"), "dd-mm-yyyy")),0),0)</f>
        <v>371</v>
      </c>
      <c r="J1608" cm="1">
        <f t="array" ref="J1608">IF($Q1608&gt;=0,IFERROR(generateSalesData($D1608, IF(ISNUMBER(_xlfn.XLOOKUP($C1608,Phone_by_Sentiment!$B$2:$B$37,Phone_by_Sentiment!J$2:J$37,"",0,1)),_xlfn.XLOOKUP($C1608,Phone_by_Sentiment!$B$2:$B$37,Phone_by_Sentiment!J$2:J$37,"",0,1),0),$A1608-TEXT(DATEVALUE($D1608&amp;"-01"), "dd-mm-yyyy")),0),0)</f>
        <v>321</v>
      </c>
      <c r="K1608" cm="1">
        <f t="array" ref="K1608">IF($Q1608&gt;=0,IFERROR(generateSalesData($D1608, IF(ISNUMBER(_xlfn.XLOOKUP($C1608,Phone_by_Sentiment!$B$2:$B$37,Phone_by_Sentiment!K$2:K$37,"",0,1)),_xlfn.XLOOKUP($C1608,Phone_by_Sentiment!$B$2:$B$37,Phone_by_Sentiment!K$2:K$37,"",0,1),0),$A1608-TEXT(DATEVALUE($D1608&amp;"-01"), "dd-mm-yyyy")),0),0)</f>
        <v>83</v>
      </c>
      <c r="L1608" cm="1">
        <f t="array" ref="L1608">IF($Q1608&gt;=0,IFERROR(generateSalesData($D1608, IF(ISNUMBER(_xlfn.XLOOKUP($C1608,Phone_by_Sentiment!$B$2:$B$37,Phone_by_Sentiment!L$2:L$37,"",0,1)),_xlfn.XLOOKUP($C1608,Phone_by_Sentiment!$B$2:$B$37,Phone_by_Sentiment!L$2:L$37,"",0,1),0),$A1608-TEXT(DATEVALUE($D1608&amp;"-01"), "dd-mm-yyyy")),0),0)</f>
        <v>133</v>
      </c>
      <c r="M1608" cm="1">
        <f t="array" ref="M1608">IF($Q1608&gt;=0,IFERROR(generateSalesData($D1608, IF(ISNUMBER(_xlfn.XLOOKUP($C1608,Phone_by_Sentiment!$B$2:$B$37,Phone_by_Sentiment!M$2:M$37,"",0,1)),_xlfn.XLOOKUP($C1608,Phone_by_Sentiment!$B$2:$B$37,Phone_by_Sentiment!M$2:M$37,"",0,1),0),$A1608-TEXT(DATEVALUE($D1608&amp;"-01"), "dd-mm-yyyy")),0),0)</f>
        <v>30</v>
      </c>
      <c r="N1608" cm="1">
        <f t="array" ref="N1608">IF($Q1608&gt;=0,IFERROR(generateSalesData($D1608, IF(ISNUMBER(_xlfn.XLOOKUP($C1608,Phone_by_Sentiment!$B$2:$B$37,Phone_by_Sentiment!N$2:N$37,"",0,1)),_xlfn.XLOOKUP($C1608,Phone_by_Sentiment!$B$2:$B$37,Phone_by_Sentiment!N$2:N$37,"",0,1),0),$A1608-TEXT(DATEVALUE($D1608&amp;"-01"), "dd-mm-yyyy")),0),0)</f>
        <v>199</v>
      </c>
      <c r="O1608" cm="1">
        <f t="array" ref="O1608">IF($Q1608&gt;=0,IFERROR(generateSalesData($D1608, IF(ISNUMBER(_xlfn.XLOOKUP($C1608,Phone_by_Sentiment!$B$2:$B$37,Phone_by_Sentiment!O$2:O$37,"",0,1)),_xlfn.XLOOKUP($C1608,Phone_by_Sentiment!$B$2:$B$37,Phone_by_Sentiment!O$2:O$37,"",0,1),0),$A1608-TEXT(DATEVALUE($D1608&amp;"-01"), "dd-mm-yyyy")),0),0)</f>
        <v>531</v>
      </c>
      <c r="P1608" s="1">
        <f t="shared" si="64"/>
        <v>43862</v>
      </c>
      <c r="Q1608">
        <f t="shared" si="66"/>
        <v>973</v>
      </c>
    </row>
    <row r="1609" spans="1:17" x14ac:dyDescent="0.25">
      <c r="A1609" s="1">
        <f t="shared" si="65"/>
        <v>44835</v>
      </c>
      <c r="B1609" t="s">
        <v>144</v>
      </c>
      <c r="C1609" t="str">
        <f>_xlfn.XLOOKUP(B1609,Phone_by_Price!$A$2:$A$34,Phone_by_Price!$B$2:$B$34,"-",0,1)</f>
        <v>Xiaomi Redmi Note 10</v>
      </c>
      <c r="D1609" t="str">
        <f>_xlfn.XLOOKUP(C1609,Phone_by_Sentiment!$B$2:$B$37,Phone_by_Sentiment!$A$2:$A$37,"-",0,1)</f>
        <v>2021-03</v>
      </c>
      <c r="E1609" cm="1">
        <f t="array" ref="E1609">IF($Q1609&gt;=0,IFERROR(generateSalesData($D1609, IF(ISNUMBER(_xlfn.XLOOKUP($C1609,Phone_by_Sentiment!$B$2:$B$37,Phone_by_Sentiment!E$2:E$37,"",0,1)),_xlfn.XLOOKUP($C1609,Phone_by_Sentiment!$B$2:$B$37,Phone_by_Sentiment!E$2:E$37,"",0,1),0),$A1609-TEXT(DATEVALUE($D1609&amp;"-01"), "dd-mm-yyyy")),0),0)</f>
        <v>225</v>
      </c>
      <c r="F1609" cm="1">
        <f t="array" ref="F1609">IF($Q1609&gt;=0,IFERROR(generateSalesData($D1609, IF(ISNUMBER(_xlfn.XLOOKUP($C1609,Phone_by_Sentiment!$B$2:$B$37,Phone_by_Sentiment!F$2:F$37,"",0,1)),_xlfn.XLOOKUP($C1609,Phone_by_Sentiment!$B$2:$B$37,Phone_by_Sentiment!F$2:F$37,"",0,1),0),$A1609-TEXT(DATEVALUE($D1609&amp;"-01"), "dd-mm-yyyy")),0),0)</f>
        <v>2</v>
      </c>
      <c r="G1609" cm="1">
        <f t="array" ref="G1609">IF($Q1609&gt;=0,IFERROR(generateSalesData($D1609, IF(ISNUMBER(_xlfn.XLOOKUP($C1609,Phone_by_Sentiment!$B$2:$B$37,Phone_by_Sentiment!G$2:G$37,"",0,1)),_xlfn.XLOOKUP($C1609,Phone_by_Sentiment!$B$2:$B$37,Phone_by_Sentiment!G$2:G$37,"",0,1),0),$A1609-TEXT(DATEVALUE($D1609&amp;"-01"), "dd-mm-yyyy")),0),0)</f>
        <v>24</v>
      </c>
      <c r="H1609" cm="1">
        <f t="array" ref="H1609">IF($Q1609&gt;=0,IFERROR(generateSalesData($D1609, IF(ISNUMBER(_xlfn.XLOOKUP($C1609,Phone_by_Sentiment!$B$2:$B$37,Phone_by_Sentiment!H$2:H$37,"",0,1)),_xlfn.XLOOKUP($C1609,Phone_by_Sentiment!$B$2:$B$37,Phone_by_Sentiment!H$2:H$37,"",0,1),0),$A1609-TEXT(DATEVALUE($D1609&amp;"-01"), "dd-mm-yyyy")),0),0)</f>
        <v>131</v>
      </c>
      <c r="I1609" cm="1">
        <f t="array" ref="I1609">IF($Q1609&gt;=0,IFERROR(generateSalesData($D1609, IF(ISNUMBER(_xlfn.XLOOKUP($C1609,Phone_by_Sentiment!$B$2:$B$37,Phone_by_Sentiment!I$2:I$37,"",0,1)),_xlfn.XLOOKUP($C1609,Phone_by_Sentiment!$B$2:$B$37,Phone_by_Sentiment!I$2:I$37,"",0,1),0),$A1609-TEXT(DATEVALUE($D1609&amp;"-01"), "dd-mm-yyyy")),0),0)</f>
        <v>183</v>
      </c>
      <c r="J1609" cm="1">
        <f t="array" ref="J1609">IF($Q1609&gt;=0,IFERROR(generateSalesData($D1609, IF(ISNUMBER(_xlfn.XLOOKUP($C1609,Phone_by_Sentiment!$B$2:$B$37,Phone_by_Sentiment!J$2:J$37,"",0,1)),_xlfn.XLOOKUP($C1609,Phone_by_Sentiment!$B$2:$B$37,Phone_by_Sentiment!J$2:J$37,"",0,1),0),$A1609-TEXT(DATEVALUE($D1609&amp;"-01"), "dd-mm-yyyy")),0),0)</f>
        <v>316</v>
      </c>
      <c r="K1609" cm="1">
        <f t="array" ref="K1609">IF($Q1609&gt;=0,IFERROR(generateSalesData($D1609, IF(ISNUMBER(_xlfn.XLOOKUP($C1609,Phone_by_Sentiment!$B$2:$B$37,Phone_by_Sentiment!K$2:K$37,"",0,1)),_xlfn.XLOOKUP($C1609,Phone_by_Sentiment!$B$2:$B$37,Phone_by_Sentiment!K$2:K$37,"",0,1),0),$A1609-TEXT(DATEVALUE($D1609&amp;"-01"), "dd-mm-yyyy")),0),0)</f>
        <v>423</v>
      </c>
      <c r="L1609" cm="1">
        <f t="array" ref="L1609">IF($Q1609&gt;=0,IFERROR(generateSalesData($D1609, IF(ISNUMBER(_xlfn.XLOOKUP($C1609,Phone_by_Sentiment!$B$2:$B$37,Phone_by_Sentiment!L$2:L$37,"",0,1)),_xlfn.XLOOKUP($C1609,Phone_by_Sentiment!$B$2:$B$37,Phone_by_Sentiment!L$2:L$37,"",0,1),0),$A1609-TEXT(DATEVALUE($D1609&amp;"-01"), "dd-mm-yyyy")),0),0)</f>
        <v>203</v>
      </c>
      <c r="M1609" cm="1">
        <f t="array" ref="M1609">IF($Q1609&gt;=0,IFERROR(generateSalesData($D1609, IF(ISNUMBER(_xlfn.XLOOKUP($C1609,Phone_by_Sentiment!$B$2:$B$37,Phone_by_Sentiment!M$2:M$37,"",0,1)),_xlfn.XLOOKUP($C1609,Phone_by_Sentiment!$B$2:$B$37,Phone_by_Sentiment!M$2:M$37,"",0,1),0),$A1609-TEXT(DATEVALUE($D1609&amp;"-01"), "dd-mm-yyyy")),0),0)</f>
        <v>88</v>
      </c>
      <c r="N1609" cm="1">
        <f t="array" ref="N1609">IF($Q1609&gt;=0,IFERROR(generateSalesData($D1609, IF(ISNUMBER(_xlfn.XLOOKUP($C1609,Phone_by_Sentiment!$B$2:$B$37,Phone_by_Sentiment!N$2:N$37,"",0,1)),_xlfn.XLOOKUP($C1609,Phone_by_Sentiment!$B$2:$B$37,Phone_by_Sentiment!N$2:N$37,"",0,1),0),$A1609-TEXT(DATEVALUE($D1609&amp;"-01"), "dd-mm-yyyy")),0),0)</f>
        <v>259</v>
      </c>
      <c r="O1609" cm="1">
        <f t="array" ref="O1609">IF($Q1609&gt;=0,IFERROR(generateSalesData($D1609, IF(ISNUMBER(_xlfn.XLOOKUP($C1609,Phone_by_Sentiment!$B$2:$B$37,Phone_by_Sentiment!O$2:O$37,"",0,1)),_xlfn.XLOOKUP($C1609,Phone_by_Sentiment!$B$2:$B$37,Phone_by_Sentiment!O$2:O$37,"",0,1),0),$A1609-TEXT(DATEVALUE($D1609&amp;"-01"), "dd-mm-yyyy")),0),0)</f>
        <v>547</v>
      </c>
      <c r="P1609" s="1">
        <f t="shared" si="64"/>
        <v>44256</v>
      </c>
      <c r="Q1609">
        <f t="shared" si="66"/>
        <v>579</v>
      </c>
    </row>
    <row r="1610" spans="1:17" x14ac:dyDescent="0.25">
      <c r="A1610" s="1">
        <f t="shared" si="65"/>
        <v>44835</v>
      </c>
      <c r="B1610" t="s">
        <v>145</v>
      </c>
      <c r="C1610" t="str">
        <f>_xlfn.XLOOKUP(B1610,Phone_by_Price!$A$2:$A$34,Phone_by_Price!$B$2:$B$34,"-",0,1)</f>
        <v>OPPO A54</v>
      </c>
      <c r="D1610" t="str">
        <f>_xlfn.XLOOKUP(C1610,Phone_by_Sentiment!$B$2:$B$37,Phone_by_Sentiment!$A$2:$A$37,"-",0,1)</f>
        <v>2021-04</v>
      </c>
      <c r="E1610" cm="1">
        <f t="array" ref="E1610">IF($Q1610&gt;=0,IFERROR(generateSalesData($D1610, IF(ISNUMBER(_xlfn.XLOOKUP($C1610,Phone_by_Sentiment!$B$2:$B$37,Phone_by_Sentiment!E$2:E$37,"",0,1)),_xlfn.XLOOKUP($C1610,Phone_by_Sentiment!$B$2:$B$37,Phone_by_Sentiment!E$2:E$37,"",0,1),0),$A1610-TEXT(DATEVALUE($D1610&amp;"-01"), "dd-mm-yyyy")),0),0)</f>
        <v>402</v>
      </c>
      <c r="F1610" cm="1">
        <f t="array" ref="F1610">IF($Q1610&gt;=0,IFERROR(generateSalesData($D1610, IF(ISNUMBER(_xlfn.XLOOKUP($C1610,Phone_by_Sentiment!$B$2:$B$37,Phone_by_Sentiment!F$2:F$37,"",0,1)),_xlfn.XLOOKUP($C1610,Phone_by_Sentiment!$B$2:$B$37,Phone_by_Sentiment!F$2:F$37,"",0,1),0),$A1610-TEXT(DATEVALUE($D1610&amp;"-01"), "dd-mm-yyyy")),0),0)</f>
        <v>101</v>
      </c>
      <c r="G1610" cm="1">
        <f t="array" ref="G1610">IF($Q1610&gt;=0,IFERROR(generateSalesData($D1610, IF(ISNUMBER(_xlfn.XLOOKUP($C1610,Phone_by_Sentiment!$B$2:$B$37,Phone_by_Sentiment!G$2:G$37,"",0,1)),_xlfn.XLOOKUP($C1610,Phone_by_Sentiment!$B$2:$B$37,Phone_by_Sentiment!G$2:G$37,"",0,1),0),$A1610-TEXT(DATEVALUE($D1610&amp;"-01"), "dd-mm-yyyy")),0),0)</f>
        <v>156</v>
      </c>
      <c r="H1610" cm="1">
        <f t="array" ref="H1610">IF($Q1610&gt;=0,IFERROR(generateSalesData($D1610, IF(ISNUMBER(_xlfn.XLOOKUP($C1610,Phone_by_Sentiment!$B$2:$B$37,Phone_by_Sentiment!H$2:H$37,"",0,1)),_xlfn.XLOOKUP($C1610,Phone_by_Sentiment!$B$2:$B$37,Phone_by_Sentiment!H$2:H$37,"",0,1),0),$A1610-TEXT(DATEVALUE($D1610&amp;"-01"), "dd-mm-yyyy")),0),0)</f>
        <v>256</v>
      </c>
      <c r="I1610" cm="1">
        <f t="array" ref="I1610">IF($Q1610&gt;=0,IFERROR(generateSalesData($D1610, IF(ISNUMBER(_xlfn.XLOOKUP($C1610,Phone_by_Sentiment!$B$2:$B$37,Phone_by_Sentiment!I$2:I$37,"",0,1)),_xlfn.XLOOKUP($C1610,Phone_by_Sentiment!$B$2:$B$37,Phone_by_Sentiment!I$2:I$37,"",0,1),0),$A1610-TEXT(DATEVALUE($D1610&amp;"-01"), "dd-mm-yyyy")),0),0)</f>
        <v>448</v>
      </c>
      <c r="J1610" cm="1">
        <f t="array" ref="J1610">IF($Q1610&gt;=0,IFERROR(generateSalesData($D1610, IF(ISNUMBER(_xlfn.XLOOKUP($C1610,Phone_by_Sentiment!$B$2:$B$37,Phone_by_Sentiment!J$2:J$37,"",0,1)),_xlfn.XLOOKUP($C1610,Phone_by_Sentiment!$B$2:$B$37,Phone_by_Sentiment!J$2:J$37,"",0,1),0),$A1610-TEXT(DATEVALUE($D1610&amp;"-01"), "dd-mm-yyyy")),0),0)</f>
        <v>95</v>
      </c>
      <c r="K1610" cm="1">
        <f t="array" ref="K1610">IF($Q1610&gt;=0,IFERROR(generateSalesData($D1610, IF(ISNUMBER(_xlfn.XLOOKUP($C1610,Phone_by_Sentiment!$B$2:$B$37,Phone_by_Sentiment!K$2:K$37,"",0,1)),_xlfn.XLOOKUP($C1610,Phone_by_Sentiment!$B$2:$B$37,Phone_by_Sentiment!K$2:K$37,"",0,1),0),$A1610-TEXT(DATEVALUE($D1610&amp;"-01"), "dd-mm-yyyy")),0),0)</f>
        <v>195</v>
      </c>
      <c r="L1610" cm="1">
        <f t="array" ref="L1610">IF($Q1610&gt;=0,IFERROR(generateSalesData($D1610, IF(ISNUMBER(_xlfn.XLOOKUP($C1610,Phone_by_Sentiment!$B$2:$B$37,Phone_by_Sentiment!L$2:L$37,"",0,1)),_xlfn.XLOOKUP($C1610,Phone_by_Sentiment!$B$2:$B$37,Phone_by_Sentiment!L$2:L$37,"",0,1),0),$A1610-TEXT(DATEVALUE($D1610&amp;"-01"), "dd-mm-yyyy")),0),0)</f>
        <v>261</v>
      </c>
      <c r="M1610" cm="1">
        <f t="array" ref="M1610">IF($Q1610&gt;=0,IFERROR(generateSalesData($D1610, IF(ISNUMBER(_xlfn.XLOOKUP($C1610,Phone_by_Sentiment!$B$2:$B$37,Phone_by_Sentiment!M$2:M$37,"",0,1)),_xlfn.XLOOKUP($C1610,Phone_by_Sentiment!$B$2:$B$37,Phone_by_Sentiment!M$2:M$37,"",0,1),0),$A1610-TEXT(DATEVALUE($D1610&amp;"-01"), "dd-mm-yyyy")),0),0)</f>
        <v>126</v>
      </c>
      <c r="N1610" cm="1">
        <f t="array" ref="N1610">IF($Q1610&gt;=0,IFERROR(generateSalesData($D1610, IF(ISNUMBER(_xlfn.XLOOKUP($C1610,Phone_by_Sentiment!$B$2:$B$37,Phone_by_Sentiment!N$2:N$37,"",0,1)),_xlfn.XLOOKUP($C1610,Phone_by_Sentiment!$B$2:$B$37,Phone_by_Sentiment!N$2:N$37,"",0,1),0),$A1610-TEXT(DATEVALUE($D1610&amp;"-01"), "dd-mm-yyyy")),0),0)</f>
        <v>196</v>
      </c>
      <c r="O1610" cm="1">
        <f t="array" ref="O1610">IF($Q1610&gt;=0,IFERROR(generateSalesData($D1610, IF(ISNUMBER(_xlfn.XLOOKUP($C1610,Phone_by_Sentiment!$B$2:$B$37,Phone_by_Sentiment!O$2:O$37,"",0,1)),_xlfn.XLOOKUP($C1610,Phone_by_Sentiment!$B$2:$B$37,Phone_by_Sentiment!O$2:O$37,"",0,1),0),$A1610-TEXT(DATEVALUE($D1610&amp;"-01"), "dd-mm-yyyy")),0),0)</f>
        <v>175</v>
      </c>
      <c r="P1610" s="1">
        <f t="shared" si="64"/>
        <v>44287</v>
      </c>
      <c r="Q1610">
        <f t="shared" si="66"/>
        <v>548</v>
      </c>
    </row>
    <row r="1611" spans="1:17" x14ac:dyDescent="0.25">
      <c r="A1611" s="1">
        <f t="shared" si="65"/>
        <v>44866</v>
      </c>
      <c r="B1611" t="s">
        <v>144</v>
      </c>
      <c r="C1611" t="str">
        <f>_xlfn.XLOOKUP(B1611,Phone_by_Price!$A$2:$A$34,Phone_by_Price!$B$2:$B$34,"-",0,1)</f>
        <v>Xiaomi Redmi Note 10</v>
      </c>
      <c r="D1611" t="str">
        <f>_xlfn.XLOOKUP(C1611,Phone_by_Sentiment!$B$2:$B$37,Phone_by_Sentiment!$A$2:$A$37,"-",0,1)</f>
        <v>2021-03</v>
      </c>
      <c r="E1611" cm="1">
        <f t="array" ref="E1611">IF($Q1611&gt;=0,IFERROR(generateSalesData($D1611, IF(ISNUMBER(_xlfn.XLOOKUP($C1611,Phone_by_Sentiment!$B$2:$B$37,Phone_by_Sentiment!E$2:E$37,"",0,1)),_xlfn.XLOOKUP($C1611,Phone_by_Sentiment!$B$2:$B$37,Phone_by_Sentiment!E$2:E$37,"",0,1),0),$A1611-TEXT(DATEVALUE($D1611&amp;"-01"), "dd-mm-yyyy")),0),0)</f>
        <v>541</v>
      </c>
      <c r="F1611" cm="1">
        <f t="array" ref="F1611">IF($Q1611&gt;=0,IFERROR(generateSalesData($D1611, IF(ISNUMBER(_xlfn.XLOOKUP($C1611,Phone_by_Sentiment!$B$2:$B$37,Phone_by_Sentiment!F$2:F$37,"",0,1)),_xlfn.XLOOKUP($C1611,Phone_by_Sentiment!$B$2:$B$37,Phone_by_Sentiment!F$2:F$37,"",0,1),0),$A1611-TEXT(DATEVALUE($D1611&amp;"-01"), "dd-mm-yyyy")),0),0)</f>
        <v>26</v>
      </c>
      <c r="G1611" cm="1">
        <f t="array" ref="G1611">IF($Q1611&gt;=0,IFERROR(generateSalesData($D1611, IF(ISNUMBER(_xlfn.XLOOKUP($C1611,Phone_by_Sentiment!$B$2:$B$37,Phone_by_Sentiment!G$2:G$37,"",0,1)),_xlfn.XLOOKUP($C1611,Phone_by_Sentiment!$B$2:$B$37,Phone_by_Sentiment!G$2:G$37,"",0,1),0),$A1611-TEXT(DATEVALUE($D1611&amp;"-01"), "dd-mm-yyyy")),0),0)</f>
        <v>72</v>
      </c>
      <c r="H1611" cm="1">
        <f t="array" ref="H1611">IF($Q1611&gt;=0,IFERROR(generateSalesData($D1611, IF(ISNUMBER(_xlfn.XLOOKUP($C1611,Phone_by_Sentiment!$B$2:$B$37,Phone_by_Sentiment!H$2:H$37,"",0,1)),_xlfn.XLOOKUP($C1611,Phone_by_Sentiment!$B$2:$B$37,Phone_by_Sentiment!H$2:H$37,"",0,1),0),$A1611-TEXT(DATEVALUE($D1611&amp;"-01"), "dd-mm-yyyy")),0),0)</f>
        <v>426</v>
      </c>
      <c r="I1611" cm="1">
        <f t="array" ref="I1611">IF($Q1611&gt;=0,IFERROR(generateSalesData($D1611, IF(ISNUMBER(_xlfn.XLOOKUP($C1611,Phone_by_Sentiment!$B$2:$B$37,Phone_by_Sentiment!I$2:I$37,"",0,1)),_xlfn.XLOOKUP($C1611,Phone_by_Sentiment!$B$2:$B$37,Phone_by_Sentiment!I$2:I$37,"",0,1),0),$A1611-TEXT(DATEVALUE($D1611&amp;"-01"), "dd-mm-yyyy")),0),0)</f>
        <v>304</v>
      </c>
      <c r="J1611" cm="1">
        <f t="array" ref="J1611">IF($Q1611&gt;=0,IFERROR(generateSalesData($D1611, IF(ISNUMBER(_xlfn.XLOOKUP($C1611,Phone_by_Sentiment!$B$2:$B$37,Phone_by_Sentiment!J$2:J$37,"",0,1)),_xlfn.XLOOKUP($C1611,Phone_by_Sentiment!$B$2:$B$37,Phone_by_Sentiment!J$2:J$37,"",0,1),0),$A1611-TEXT(DATEVALUE($D1611&amp;"-01"), "dd-mm-yyyy")),0),0)</f>
        <v>286</v>
      </c>
      <c r="K1611" cm="1">
        <f t="array" ref="K1611">IF($Q1611&gt;=0,IFERROR(generateSalesData($D1611, IF(ISNUMBER(_xlfn.XLOOKUP($C1611,Phone_by_Sentiment!$B$2:$B$37,Phone_by_Sentiment!K$2:K$37,"",0,1)),_xlfn.XLOOKUP($C1611,Phone_by_Sentiment!$B$2:$B$37,Phone_by_Sentiment!K$2:K$37,"",0,1),0),$A1611-TEXT(DATEVALUE($D1611&amp;"-01"), "dd-mm-yyyy")),0),0)</f>
        <v>436</v>
      </c>
      <c r="L1611" cm="1">
        <f t="array" ref="L1611">IF($Q1611&gt;=0,IFERROR(generateSalesData($D1611, IF(ISNUMBER(_xlfn.XLOOKUP($C1611,Phone_by_Sentiment!$B$2:$B$37,Phone_by_Sentiment!L$2:L$37,"",0,1)),_xlfn.XLOOKUP($C1611,Phone_by_Sentiment!$B$2:$B$37,Phone_by_Sentiment!L$2:L$37,"",0,1),0),$A1611-TEXT(DATEVALUE($D1611&amp;"-01"), "dd-mm-yyyy")),0),0)</f>
        <v>262</v>
      </c>
      <c r="M1611" cm="1">
        <f t="array" ref="M1611">IF($Q1611&gt;=0,IFERROR(generateSalesData($D1611, IF(ISNUMBER(_xlfn.XLOOKUP($C1611,Phone_by_Sentiment!$B$2:$B$37,Phone_by_Sentiment!M$2:M$37,"",0,1)),_xlfn.XLOOKUP($C1611,Phone_by_Sentiment!$B$2:$B$37,Phone_by_Sentiment!M$2:M$37,"",0,1),0),$A1611-TEXT(DATEVALUE($D1611&amp;"-01"), "dd-mm-yyyy")),0),0)</f>
        <v>123</v>
      </c>
      <c r="N1611" cm="1">
        <f t="array" ref="N1611">IF($Q1611&gt;=0,IFERROR(generateSalesData($D1611, IF(ISNUMBER(_xlfn.XLOOKUP($C1611,Phone_by_Sentiment!$B$2:$B$37,Phone_by_Sentiment!N$2:N$37,"",0,1)),_xlfn.XLOOKUP($C1611,Phone_by_Sentiment!$B$2:$B$37,Phone_by_Sentiment!N$2:N$37,"",0,1),0),$A1611-TEXT(DATEVALUE($D1611&amp;"-01"), "dd-mm-yyyy")),0),0)</f>
        <v>611</v>
      </c>
      <c r="O1611" cm="1">
        <f t="array" ref="O1611">IF($Q1611&gt;=0,IFERROR(generateSalesData($D1611, IF(ISNUMBER(_xlfn.XLOOKUP($C1611,Phone_by_Sentiment!$B$2:$B$37,Phone_by_Sentiment!O$2:O$37,"",0,1)),_xlfn.XLOOKUP($C1611,Phone_by_Sentiment!$B$2:$B$37,Phone_by_Sentiment!O$2:O$37,"",0,1),0),$A1611-TEXT(DATEVALUE($D1611&amp;"-01"), "dd-mm-yyyy")),0),0)</f>
        <v>344</v>
      </c>
      <c r="P1611" s="1">
        <f t="shared" si="64"/>
        <v>44256</v>
      </c>
      <c r="Q1611">
        <f t="shared" si="66"/>
        <v>610</v>
      </c>
    </row>
    <row r="1612" spans="1:17" x14ac:dyDescent="0.25">
      <c r="A1612" s="1">
        <f t="shared" si="65"/>
        <v>44866</v>
      </c>
      <c r="B1612" t="s">
        <v>145</v>
      </c>
      <c r="C1612" t="str">
        <f>_xlfn.XLOOKUP(B1612,Phone_by_Price!$A$2:$A$34,Phone_by_Price!$B$2:$B$34,"-",0,1)</f>
        <v>OPPO A54</v>
      </c>
      <c r="D1612" t="str">
        <f>_xlfn.XLOOKUP(C1612,Phone_by_Sentiment!$B$2:$B$37,Phone_by_Sentiment!$A$2:$A$37,"-",0,1)</f>
        <v>2021-04</v>
      </c>
      <c r="E1612" cm="1">
        <f t="array" ref="E1612">IF($Q1612&gt;=0,IFERROR(generateSalesData($D1612, IF(ISNUMBER(_xlfn.XLOOKUP($C1612,Phone_by_Sentiment!$B$2:$B$37,Phone_by_Sentiment!E$2:E$37,"",0,1)),_xlfn.XLOOKUP($C1612,Phone_by_Sentiment!$B$2:$B$37,Phone_by_Sentiment!E$2:E$37,"",0,1),0),$A1612-TEXT(DATEVALUE($D1612&amp;"-01"), "dd-mm-yyyy")),0),0)</f>
        <v>179</v>
      </c>
      <c r="F1612" cm="1">
        <f t="array" ref="F1612">IF($Q1612&gt;=0,IFERROR(generateSalesData($D1612, IF(ISNUMBER(_xlfn.XLOOKUP($C1612,Phone_by_Sentiment!$B$2:$B$37,Phone_by_Sentiment!F$2:F$37,"",0,1)),_xlfn.XLOOKUP($C1612,Phone_by_Sentiment!$B$2:$B$37,Phone_by_Sentiment!F$2:F$37,"",0,1),0),$A1612-TEXT(DATEVALUE($D1612&amp;"-01"), "dd-mm-yyyy")),0),0)</f>
        <v>237</v>
      </c>
      <c r="G1612" cm="1">
        <f t="array" ref="G1612">IF($Q1612&gt;=0,IFERROR(generateSalesData($D1612, IF(ISNUMBER(_xlfn.XLOOKUP($C1612,Phone_by_Sentiment!$B$2:$B$37,Phone_by_Sentiment!G$2:G$37,"",0,1)),_xlfn.XLOOKUP($C1612,Phone_by_Sentiment!$B$2:$B$37,Phone_by_Sentiment!G$2:G$37,"",0,1),0),$A1612-TEXT(DATEVALUE($D1612&amp;"-01"), "dd-mm-yyyy")),0),0)</f>
        <v>200</v>
      </c>
      <c r="H1612" cm="1">
        <f t="array" ref="H1612">IF($Q1612&gt;=0,IFERROR(generateSalesData($D1612, IF(ISNUMBER(_xlfn.XLOOKUP($C1612,Phone_by_Sentiment!$B$2:$B$37,Phone_by_Sentiment!H$2:H$37,"",0,1)),_xlfn.XLOOKUP($C1612,Phone_by_Sentiment!$B$2:$B$37,Phone_by_Sentiment!H$2:H$37,"",0,1),0),$A1612-TEXT(DATEVALUE($D1612&amp;"-01"), "dd-mm-yyyy")),0),0)</f>
        <v>621</v>
      </c>
      <c r="I1612" cm="1">
        <f t="array" ref="I1612">IF($Q1612&gt;=0,IFERROR(generateSalesData($D1612, IF(ISNUMBER(_xlfn.XLOOKUP($C1612,Phone_by_Sentiment!$B$2:$B$37,Phone_by_Sentiment!I$2:I$37,"",0,1)),_xlfn.XLOOKUP($C1612,Phone_by_Sentiment!$B$2:$B$37,Phone_by_Sentiment!I$2:I$37,"",0,1),0),$A1612-TEXT(DATEVALUE($D1612&amp;"-01"), "dd-mm-yyyy")),0),0)</f>
        <v>281</v>
      </c>
      <c r="J1612" cm="1">
        <f t="array" ref="J1612">IF($Q1612&gt;=0,IFERROR(generateSalesData($D1612, IF(ISNUMBER(_xlfn.XLOOKUP($C1612,Phone_by_Sentiment!$B$2:$B$37,Phone_by_Sentiment!J$2:J$37,"",0,1)),_xlfn.XLOOKUP($C1612,Phone_by_Sentiment!$B$2:$B$37,Phone_by_Sentiment!J$2:J$37,"",0,1),0),$A1612-TEXT(DATEVALUE($D1612&amp;"-01"), "dd-mm-yyyy")),0),0)</f>
        <v>84</v>
      </c>
      <c r="K1612" cm="1">
        <f t="array" ref="K1612">IF($Q1612&gt;=0,IFERROR(generateSalesData($D1612, IF(ISNUMBER(_xlfn.XLOOKUP($C1612,Phone_by_Sentiment!$B$2:$B$37,Phone_by_Sentiment!K$2:K$37,"",0,1)),_xlfn.XLOOKUP($C1612,Phone_by_Sentiment!$B$2:$B$37,Phone_by_Sentiment!K$2:K$37,"",0,1),0),$A1612-TEXT(DATEVALUE($D1612&amp;"-01"), "dd-mm-yyyy")),0),0)</f>
        <v>152</v>
      </c>
      <c r="L1612" cm="1">
        <f t="array" ref="L1612">IF($Q1612&gt;=0,IFERROR(generateSalesData($D1612, IF(ISNUMBER(_xlfn.XLOOKUP($C1612,Phone_by_Sentiment!$B$2:$B$37,Phone_by_Sentiment!L$2:L$37,"",0,1)),_xlfn.XLOOKUP($C1612,Phone_by_Sentiment!$B$2:$B$37,Phone_by_Sentiment!L$2:L$37,"",0,1),0),$A1612-TEXT(DATEVALUE($D1612&amp;"-01"), "dd-mm-yyyy")),0),0)</f>
        <v>110</v>
      </c>
      <c r="M1612" cm="1">
        <f t="array" ref="M1612">IF($Q1612&gt;=0,IFERROR(generateSalesData($D1612, IF(ISNUMBER(_xlfn.XLOOKUP($C1612,Phone_by_Sentiment!$B$2:$B$37,Phone_by_Sentiment!M$2:M$37,"",0,1)),_xlfn.XLOOKUP($C1612,Phone_by_Sentiment!$B$2:$B$37,Phone_by_Sentiment!M$2:M$37,"",0,1),0),$A1612-TEXT(DATEVALUE($D1612&amp;"-01"), "dd-mm-yyyy")),0),0)</f>
        <v>72</v>
      </c>
      <c r="N1612" cm="1">
        <f t="array" ref="N1612">IF($Q1612&gt;=0,IFERROR(generateSalesData($D1612, IF(ISNUMBER(_xlfn.XLOOKUP($C1612,Phone_by_Sentiment!$B$2:$B$37,Phone_by_Sentiment!N$2:N$37,"",0,1)),_xlfn.XLOOKUP($C1612,Phone_by_Sentiment!$B$2:$B$37,Phone_by_Sentiment!N$2:N$37,"",0,1),0),$A1612-TEXT(DATEVALUE($D1612&amp;"-01"), "dd-mm-yyyy")),0),0)</f>
        <v>260</v>
      </c>
      <c r="O1612" cm="1">
        <f t="array" ref="O1612">IF($Q1612&gt;=0,IFERROR(generateSalesData($D1612, IF(ISNUMBER(_xlfn.XLOOKUP($C1612,Phone_by_Sentiment!$B$2:$B$37,Phone_by_Sentiment!O$2:O$37,"",0,1)),_xlfn.XLOOKUP($C1612,Phone_by_Sentiment!$B$2:$B$37,Phone_by_Sentiment!O$2:O$37,"",0,1),0),$A1612-TEXT(DATEVALUE($D1612&amp;"-01"), "dd-mm-yyyy")),0),0)</f>
        <v>89</v>
      </c>
      <c r="P1612" s="1">
        <f t="shared" si="64"/>
        <v>44287</v>
      </c>
      <c r="Q1612">
        <f t="shared" si="66"/>
        <v>579</v>
      </c>
    </row>
    <row r="1613" spans="1:17" x14ac:dyDescent="0.25">
      <c r="A1613" s="1">
        <f t="shared" si="65"/>
        <v>44866</v>
      </c>
      <c r="B1613" t="s">
        <v>146</v>
      </c>
      <c r="C1613" t="str">
        <f>_xlfn.XLOOKUP(B1613,Phone_by_Price!$A$2:$A$34,Phone_by_Price!$B$2:$B$34,"-",0,1)</f>
        <v>Vivo Y20</v>
      </c>
      <c r="D1613" t="str">
        <f>_xlfn.XLOOKUP(C1613,Phone_by_Sentiment!$B$2:$B$37,Phone_by_Sentiment!$A$2:$A$37,"-",0,1)</f>
        <v>2020-09</v>
      </c>
      <c r="E1613" cm="1">
        <f t="array" ref="E1613">IF($Q1613&gt;=0,IFERROR(generateSalesData($D1613, IF(ISNUMBER(_xlfn.XLOOKUP($C1613,Phone_by_Sentiment!$B$2:$B$37,Phone_by_Sentiment!E$2:E$37,"",0,1)),_xlfn.XLOOKUP($C1613,Phone_by_Sentiment!$B$2:$B$37,Phone_by_Sentiment!E$2:E$37,"",0,1),0),$A1613-TEXT(DATEVALUE($D1613&amp;"-01"), "dd-mm-yyyy")),0),0)</f>
        <v>-7</v>
      </c>
      <c r="F1613" cm="1">
        <f t="array" ref="F1613">IF($Q1613&gt;=0,IFERROR(generateSalesData($D1613, IF(ISNUMBER(_xlfn.XLOOKUP($C1613,Phone_by_Sentiment!$B$2:$B$37,Phone_by_Sentiment!F$2:F$37,"",0,1)),_xlfn.XLOOKUP($C1613,Phone_by_Sentiment!$B$2:$B$37,Phone_by_Sentiment!F$2:F$37,"",0,1),0),$A1613-TEXT(DATEVALUE($D1613&amp;"-01"), "dd-mm-yyyy")),0),0)</f>
        <v>140</v>
      </c>
      <c r="G1613" cm="1">
        <f t="array" ref="G1613">IF($Q1613&gt;=0,IFERROR(generateSalesData($D1613, IF(ISNUMBER(_xlfn.XLOOKUP($C1613,Phone_by_Sentiment!$B$2:$B$37,Phone_by_Sentiment!G$2:G$37,"",0,1)),_xlfn.XLOOKUP($C1613,Phone_by_Sentiment!$B$2:$B$37,Phone_by_Sentiment!G$2:G$37,"",0,1),0),$A1613-TEXT(DATEVALUE($D1613&amp;"-01"), "dd-mm-yyyy")),0),0)</f>
        <v>66</v>
      </c>
      <c r="H1613" cm="1">
        <f t="array" ref="H1613">IF($Q1613&gt;=0,IFERROR(generateSalesData($D1613, IF(ISNUMBER(_xlfn.XLOOKUP($C1613,Phone_by_Sentiment!$B$2:$B$37,Phone_by_Sentiment!H$2:H$37,"",0,1)),_xlfn.XLOOKUP($C1613,Phone_by_Sentiment!$B$2:$B$37,Phone_by_Sentiment!H$2:H$37,"",0,1),0),$A1613-TEXT(DATEVALUE($D1613&amp;"-01"), "dd-mm-yyyy")),0),0)</f>
        <v>118</v>
      </c>
      <c r="I1613" cm="1">
        <f t="array" ref="I1613">IF($Q1613&gt;=0,IFERROR(generateSalesData($D1613, IF(ISNUMBER(_xlfn.XLOOKUP($C1613,Phone_by_Sentiment!$B$2:$B$37,Phone_by_Sentiment!I$2:I$37,"",0,1)),_xlfn.XLOOKUP($C1613,Phone_by_Sentiment!$B$2:$B$37,Phone_by_Sentiment!I$2:I$37,"",0,1),0),$A1613-TEXT(DATEVALUE($D1613&amp;"-01"), "dd-mm-yyyy")),0),0)</f>
        <v>33</v>
      </c>
      <c r="J1613" cm="1">
        <f t="array" ref="J1613">IF($Q1613&gt;=0,IFERROR(generateSalesData($D1613, IF(ISNUMBER(_xlfn.XLOOKUP($C1613,Phone_by_Sentiment!$B$2:$B$37,Phone_by_Sentiment!J$2:J$37,"",0,1)),_xlfn.XLOOKUP($C1613,Phone_by_Sentiment!$B$2:$B$37,Phone_by_Sentiment!J$2:J$37,"",0,1),0),$A1613-TEXT(DATEVALUE($D1613&amp;"-01"), "dd-mm-yyyy")),0),0)</f>
        <v>136</v>
      </c>
      <c r="K1613" cm="1">
        <f t="array" ref="K1613">IF($Q1613&gt;=0,IFERROR(generateSalesData($D1613, IF(ISNUMBER(_xlfn.XLOOKUP($C1613,Phone_by_Sentiment!$B$2:$B$37,Phone_by_Sentiment!K$2:K$37,"",0,1)),_xlfn.XLOOKUP($C1613,Phone_by_Sentiment!$B$2:$B$37,Phone_by_Sentiment!K$2:K$37,"",0,1),0),$A1613-TEXT(DATEVALUE($D1613&amp;"-01"), "dd-mm-yyyy")),0),0)</f>
        <v>79</v>
      </c>
      <c r="L1613" cm="1">
        <f t="array" ref="L1613">IF($Q1613&gt;=0,IFERROR(generateSalesData($D1613, IF(ISNUMBER(_xlfn.XLOOKUP($C1613,Phone_by_Sentiment!$B$2:$B$37,Phone_by_Sentiment!L$2:L$37,"",0,1)),_xlfn.XLOOKUP($C1613,Phone_by_Sentiment!$B$2:$B$37,Phone_by_Sentiment!L$2:L$37,"",0,1),0),$A1613-TEXT(DATEVALUE($D1613&amp;"-01"), "dd-mm-yyyy")),0),0)</f>
        <v>220</v>
      </c>
      <c r="M1613" cm="1">
        <f t="array" ref="M1613">IF($Q1613&gt;=0,IFERROR(generateSalesData($D1613, IF(ISNUMBER(_xlfn.XLOOKUP($C1613,Phone_by_Sentiment!$B$2:$B$37,Phone_by_Sentiment!M$2:M$37,"",0,1)),_xlfn.XLOOKUP($C1613,Phone_by_Sentiment!$B$2:$B$37,Phone_by_Sentiment!M$2:M$37,"",0,1),0),$A1613-TEXT(DATEVALUE($D1613&amp;"-01"), "dd-mm-yyyy")),0),0)</f>
        <v>109</v>
      </c>
      <c r="N1613" cm="1">
        <f t="array" ref="N1613">IF($Q1613&gt;=0,IFERROR(generateSalesData($D1613, IF(ISNUMBER(_xlfn.XLOOKUP($C1613,Phone_by_Sentiment!$B$2:$B$37,Phone_by_Sentiment!N$2:N$37,"",0,1)),_xlfn.XLOOKUP($C1613,Phone_by_Sentiment!$B$2:$B$37,Phone_by_Sentiment!N$2:N$37,"",0,1),0),$A1613-TEXT(DATEVALUE($D1613&amp;"-01"), "dd-mm-yyyy")),0),0)</f>
        <v>76</v>
      </c>
      <c r="O1613" cm="1">
        <f t="array" ref="O1613">IF($Q1613&gt;=0,IFERROR(generateSalesData($D1613, IF(ISNUMBER(_xlfn.XLOOKUP($C1613,Phone_by_Sentiment!$B$2:$B$37,Phone_by_Sentiment!O$2:O$37,"",0,1)),_xlfn.XLOOKUP($C1613,Phone_by_Sentiment!$B$2:$B$37,Phone_by_Sentiment!O$2:O$37,"",0,1),0),$A1613-TEXT(DATEVALUE($D1613&amp;"-01"), "dd-mm-yyyy")),0),0)</f>
        <v>46</v>
      </c>
      <c r="P1613" s="1">
        <f t="shared" si="64"/>
        <v>44075</v>
      </c>
      <c r="Q1613">
        <f t="shared" si="66"/>
        <v>791</v>
      </c>
    </row>
    <row r="1614" spans="1:17" x14ac:dyDescent="0.25">
      <c r="A1614" s="1">
        <f t="shared" si="65"/>
        <v>44866</v>
      </c>
      <c r="B1614" t="s">
        <v>147</v>
      </c>
      <c r="C1614" t="str">
        <f>_xlfn.XLOOKUP(B1614,Phone_by_Price!$A$2:$A$34,Phone_by_Price!$B$2:$B$34,"-",0,1)</f>
        <v>Huawei Y9a</v>
      </c>
      <c r="D1614" t="str">
        <f>_xlfn.XLOOKUP(C1614,Phone_by_Sentiment!$B$2:$B$37,Phone_by_Sentiment!$A$2:$A$37,"-",0,1)</f>
        <v>2020-02</v>
      </c>
      <c r="E1614" cm="1">
        <f t="array" ref="E1614">IF($Q1614&gt;=0,IFERROR(generateSalesData($D1614, IF(ISNUMBER(_xlfn.XLOOKUP($C1614,Phone_by_Sentiment!$B$2:$B$37,Phone_by_Sentiment!E$2:E$37,"",0,1)),_xlfn.XLOOKUP($C1614,Phone_by_Sentiment!$B$2:$B$37,Phone_by_Sentiment!E$2:E$37,"",0,1),0),$A1614-TEXT(DATEVALUE($D1614&amp;"-01"), "dd-mm-yyyy")),0),0)</f>
        <v>169</v>
      </c>
      <c r="F1614" cm="1">
        <f t="array" ref="F1614">IF($Q1614&gt;=0,IFERROR(generateSalesData($D1614, IF(ISNUMBER(_xlfn.XLOOKUP($C1614,Phone_by_Sentiment!$B$2:$B$37,Phone_by_Sentiment!F$2:F$37,"",0,1)),_xlfn.XLOOKUP($C1614,Phone_by_Sentiment!$B$2:$B$37,Phone_by_Sentiment!F$2:F$37,"",0,1),0),$A1614-TEXT(DATEVALUE($D1614&amp;"-01"), "dd-mm-yyyy")),0),0)</f>
        <v>118</v>
      </c>
      <c r="G1614" cm="1">
        <f t="array" ref="G1614">IF($Q1614&gt;=0,IFERROR(generateSalesData($D1614, IF(ISNUMBER(_xlfn.XLOOKUP($C1614,Phone_by_Sentiment!$B$2:$B$37,Phone_by_Sentiment!G$2:G$37,"",0,1)),_xlfn.XLOOKUP($C1614,Phone_by_Sentiment!$B$2:$B$37,Phone_by_Sentiment!G$2:G$37,"",0,1),0),$A1614-TEXT(DATEVALUE($D1614&amp;"-01"), "dd-mm-yyyy")),0),0)</f>
        <v>96</v>
      </c>
      <c r="H1614" cm="1">
        <f t="array" ref="H1614">IF($Q1614&gt;=0,IFERROR(generateSalesData($D1614, IF(ISNUMBER(_xlfn.XLOOKUP($C1614,Phone_by_Sentiment!$B$2:$B$37,Phone_by_Sentiment!H$2:H$37,"",0,1)),_xlfn.XLOOKUP($C1614,Phone_by_Sentiment!$B$2:$B$37,Phone_by_Sentiment!H$2:H$37,"",0,1),0),$A1614-TEXT(DATEVALUE($D1614&amp;"-01"), "dd-mm-yyyy")),0),0)</f>
        <v>48</v>
      </c>
      <c r="I1614" cm="1">
        <f t="array" ref="I1614">IF($Q1614&gt;=0,IFERROR(generateSalesData($D1614, IF(ISNUMBER(_xlfn.XLOOKUP($C1614,Phone_by_Sentiment!$B$2:$B$37,Phone_by_Sentiment!I$2:I$37,"",0,1)),_xlfn.XLOOKUP($C1614,Phone_by_Sentiment!$B$2:$B$37,Phone_by_Sentiment!I$2:I$37,"",0,1),0),$A1614-TEXT(DATEVALUE($D1614&amp;"-01"), "dd-mm-yyyy")),0),0)</f>
        <v>74</v>
      </c>
      <c r="J1614" cm="1">
        <f t="array" ref="J1614">IF($Q1614&gt;=0,IFERROR(generateSalesData($D1614, IF(ISNUMBER(_xlfn.XLOOKUP($C1614,Phone_by_Sentiment!$B$2:$B$37,Phone_by_Sentiment!J$2:J$37,"",0,1)),_xlfn.XLOOKUP($C1614,Phone_by_Sentiment!$B$2:$B$37,Phone_by_Sentiment!J$2:J$37,"",0,1),0),$A1614-TEXT(DATEVALUE($D1614&amp;"-01"), "dd-mm-yyyy")),0),0)</f>
        <v>92</v>
      </c>
      <c r="K1614" cm="1">
        <f t="array" ref="K1614">IF($Q1614&gt;=0,IFERROR(generateSalesData($D1614, IF(ISNUMBER(_xlfn.XLOOKUP($C1614,Phone_by_Sentiment!$B$2:$B$37,Phone_by_Sentiment!K$2:K$37,"",0,1)),_xlfn.XLOOKUP($C1614,Phone_by_Sentiment!$B$2:$B$37,Phone_by_Sentiment!K$2:K$37,"",0,1),0),$A1614-TEXT(DATEVALUE($D1614&amp;"-01"), "dd-mm-yyyy")),0),0)</f>
        <v>56</v>
      </c>
      <c r="L1614" cm="1">
        <f t="array" ref="L1614">IF($Q1614&gt;=0,IFERROR(generateSalesData($D1614, IF(ISNUMBER(_xlfn.XLOOKUP($C1614,Phone_by_Sentiment!$B$2:$B$37,Phone_by_Sentiment!L$2:L$37,"",0,1)),_xlfn.XLOOKUP($C1614,Phone_by_Sentiment!$B$2:$B$37,Phone_by_Sentiment!L$2:L$37,"",0,1),0),$A1614-TEXT(DATEVALUE($D1614&amp;"-01"), "dd-mm-yyyy")),0),0)</f>
        <v>69</v>
      </c>
      <c r="M1614" cm="1">
        <f t="array" ref="M1614">IF($Q1614&gt;=0,IFERROR(generateSalesData($D1614, IF(ISNUMBER(_xlfn.XLOOKUP($C1614,Phone_by_Sentiment!$B$2:$B$37,Phone_by_Sentiment!M$2:M$37,"",0,1)),_xlfn.XLOOKUP($C1614,Phone_by_Sentiment!$B$2:$B$37,Phone_by_Sentiment!M$2:M$37,"",0,1),0),$A1614-TEXT(DATEVALUE($D1614&amp;"-01"), "dd-mm-yyyy")),0),0)</f>
        <v>-2</v>
      </c>
      <c r="N1614" cm="1">
        <f t="array" ref="N1614">IF($Q1614&gt;=0,IFERROR(generateSalesData($D1614, IF(ISNUMBER(_xlfn.XLOOKUP($C1614,Phone_by_Sentiment!$B$2:$B$37,Phone_by_Sentiment!N$2:N$37,"",0,1)),_xlfn.XLOOKUP($C1614,Phone_by_Sentiment!$B$2:$B$37,Phone_by_Sentiment!N$2:N$37,"",0,1),0),$A1614-TEXT(DATEVALUE($D1614&amp;"-01"), "dd-mm-yyyy")),0),0)</f>
        <v>44</v>
      </c>
      <c r="O1614" cm="1">
        <f t="array" ref="O1614">IF($Q1614&gt;=0,IFERROR(generateSalesData($D1614, IF(ISNUMBER(_xlfn.XLOOKUP($C1614,Phone_by_Sentiment!$B$2:$B$37,Phone_by_Sentiment!O$2:O$37,"",0,1)),_xlfn.XLOOKUP($C1614,Phone_by_Sentiment!$B$2:$B$37,Phone_by_Sentiment!O$2:O$37,"",0,1),0),$A1614-TEXT(DATEVALUE($D1614&amp;"-01"), "dd-mm-yyyy")),0),0)</f>
        <v>19</v>
      </c>
      <c r="P1614" s="1">
        <f t="shared" si="64"/>
        <v>43862</v>
      </c>
      <c r="Q1614">
        <f t="shared" si="66"/>
        <v>1004</v>
      </c>
    </row>
    <row r="1615" spans="1:17" x14ac:dyDescent="0.25">
      <c r="A1615" s="1">
        <f t="shared" si="65"/>
        <v>44866</v>
      </c>
      <c r="B1615" t="s">
        <v>148</v>
      </c>
      <c r="C1615" t="str">
        <f>_xlfn.XLOOKUP(B1615,Phone_by_Price!$A$2:$A$34,Phone_by_Price!$B$2:$B$34,"-",0,1)</f>
        <v>Xiaomi Redmi 10</v>
      </c>
      <c r="D1615" t="str">
        <f>_xlfn.XLOOKUP(C1615,Phone_by_Sentiment!$B$2:$B$37,Phone_by_Sentiment!$A$2:$A$37,"-",0,1)</f>
        <v>2021-03</v>
      </c>
      <c r="E1615" cm="1">
        <f t="array" ref="E1615">IF($Q1615&gt;=0,IFERROR(generateSalesData($D1615, IF(ISNUMBER(_xlfn.XLOOKUP($C1615,Phone_by_Sentiment!$B$2:$B$37,Phone_by_Sentiment!E$2:E$37,"",0,1)),_xlfn.XLOOKUP($C1615,Phone_by_Sentiment!$B$2:$B$37,Phone_by_Sentiment!E$2:E$37,"",0,1),0),$A1615-TEXT(DATEVALUE($D1615&amp;"-01"), "dd-mm-yyyy")),0),0)</f>
        <v>353</v>
      </c>
      <c r="F1615" cm="1">
        <f t="array" ref="F1615">IF($Q1615&gt;=0,IFERROR(generateSalesData($D1615, IF(ISNUMBER(_xlfn.XLOOKUP($C1615,Phone_by_Sentiment!$B$2:$B$37,Phone_by_Sentiment!F$2:F$37,"",0,1)),_xlfn.XLOOKUP($C1615,Phone_by_Sentiment!$B$2:$B$37,Phone_by_Sentiment!F$2:F$37,"",0,1),0),$A1615-TEXT(DATEVALUE($D1615&amp;"-01"), "dd-mm-yyyy")),0),0)</f>
        <v>101</v>
      </c>
      <c r="G1615" cm="1">
        <f t="array" ref="G1615">IF($Q1615&gt;=0,IFERROR(generateSalesData($D1615, IF(ISNUMBER(_xlfn.XLOOKUP($C1615,Phone_by_Sentiment!$B$2:$B$37,Phone_by_Sentiment!G$2:G$37,"",0,1)),_xlfn.XLOOKUP($C1615,Phone_by_Sentiment!$B$2:$B$37,Phone_by_Sentiment!G$2:G$37,"",0,1),0),$A1615-TEXT(DATEVALUE($D1615&amp;"-01"), "dd-mm-yyyy")),0),0)</f>
        <v>15</v>
      </c>
      <c r="H1615" cm="1">
        <f t="array" ref="H1615">IF($Q1615&gt;=0,IFERROR(generateSalesData($D1615, IF(ISNUMBER(_xlfn.XLOOKUP($C1615,Phone_by_Sentiment!$B$2:$B$37,Phone_by_Sentiment!H$2:H$37,"",0,1)),_xlfn.XLOOKUP($C1615,Phone_by_Sentiment!$B$2:$B$37,Phone_by_Sentiment!H$2:H$37,"",0,1),0),$A1615-TEXT(DATEVALUE($D1615&amp;"-01"), "dd-mm-yyyy")),0),0)</f>
        <v>49</v>
      </c>
      <c r="I1615" cm="1">
        <f t="array" ref="I1615">IF($Q1615&gt;=0,IFERROR(generateSalesData($D1615, IF(ISNUMBER(_xlfn.XLOOKUP($C1615,Phone_by_Sentiment!$B$2:$B$37,Phone_by_Sentiment!I$2:I$37,"",0,1)),_xlfn.XLOOKUP($C1615,Phone_by_Sentiment!$B$2:$B$37,Phone_by_Sentiment!I$2:I$37,"",0,1),0),$A1615-TEXT(DATEVALUE($D1615&amp;"-01"), "dd-mm-yyyy")),0),0)</f>
        <v>50</v>
      </c>
      <c r="J1615" cm="1">
        <f t="array" ref="J1615">IF($Q1615&gt;=0,IFERROR(generateSalesData($D1615, IF(ISNUMBER(_xlfn.XLOOKUP($C1615,Phone_by_Sentiment!$B$2:$B$37,Phone_by_Sentiment!J$2:J$37,"",0,1)),_xlfn.XLOOKUP($C1615,Phone_by_Sentiment!$B$2:$B$37,Phone_by_Sentiment!J$2:J$37,"",0,1),0),$A1615-TEXT(DATEVALUE($D1615&amp;"-01"), "dd-mm-yyyy")),0),0)</f>
        <v>158</v>
      </c>
      <c r="K1615" cm="1">
        <f t="array" ref="K1615">IF($Q1615&gt;=0,IFERROR(generateSalesData($D1615, IF(ISNUMBER(_xlfn.XLOOKUP($C1615,Phone_by_Sentiment!$B$2:$B$37,Phone_by_Sentiment!K$2:K$37,"",0,1)),_xlfn.XLOOKUP($C1615,Phone_by_Sentiment!$B$2:$B$37,Phone_by_Sentiment!K$2:K$37,"",0,1),0),$A1615-TEXT(DATEVALUE($D1615&amp;"-01"), "dd-mm-yyyy")),0),0)</f>
        <v>267</v>
      </c>
      <c r="L1615" cm="1">
        <f t="array" ref="L1615">IF($Q1615&gt;=0,IFERROR(generateSalesData($D1615, IF(ISNUMBER(_xlfn.XLOOKUP($C1615,Phone_by_Sentiment!$B$2:$B$37,Phone_by_Sentiment!L$2:L$37,"",0,1)),_xlfn.XLOOKUP($C1615,Phone_by_Sentiment!$B$2:$B$37,Phone_by_Sentiment!L$2:L$37,"",0,1),0),$A1615-TEXT(DATEVALUE($D1615&amp;"-01"), "dd-mm-yyyy")),0),0)</f>
        <v>129</v>
      </c>
      <c r="M1615" cm="1">
        <f t="array" ref="M1615">IF($Q1615&gt;=0,IFERROR(generateSalesData($D1615, IF(ISNUMBER(_xlfn.XLOOKUP($C1615,Phone_by_Sentiment!$B$2:$B$37,Phone_by_Sentiment!M$2:M$37,"",0,1)),_xlfn.XLOOKUP($C1615,Phone_by_Sentiment!$B$2:$B$37,Phone_by_Sentiment!M$2:M$37,"",0,1),0),$A1615-TEXT(DATEVALUE($D1615&amp;"-01"), "dd-mm-yyyy")),0),0)</f>
        <v>182</v>
      </c>
      <c r="N1615" cm="1">
        <f t="array" ref="N1615">IF($Q1615&gt;=0,IFERROR(generateSalesData($D1615, IF(ISNUMBER(_xlfn.XLOOKUP($C1615,Phone_by_Sentiment!$B$2:$B$37,Phone_by_Sentiment!N$2:N$37,"",0,1)),_xlfn.XLOOKUP($C1615,Phone_by_Sentiment!$B$2:$B$37,Phone_by_Sentiment!N$2:N$37,"",0,1),0),$A1615-TEXT(DATEVALUE($D1615&amp;"-01"), "dd-mm-yyyy")),0),0)</f>
        <v>167</v>
      </c>
      <c r="O1615" cm="1">
        <f t="array" ref="O1615">IF($Q1615&gt;=0,IFERROR(generateSalesData($D1615, IF(ISNUMBER(_xlfn.XLOOKUP($C1615,Phone_by_Sentiment!$B$2:$B$37,Phone_by_Sentiment!O$2:O$37,"",0,1)),_xlfn.XLOOKUP($C1615,Phone_by_Sentiment!$B$2:$B$37,Phone_by_Sentiment!O$2:O$37,"",0,1),0),$A1615-TEXT(DATEVALUE($D1615&amp;"-01"), "dd-mm-yyyy")),0),0)</f>
        <v>236</v>
      </c>
      <c r="P1615" s="1">
        <f t="shared" si="64"/>
        <v>44256</v>
      </c>
      <c r="Q1615">
        <f t="shared" si="66"/>
        <v>610</v>
      </c>
    </row>
    <row r="1616" spans="1:17" x14ac:dyDescent="0.25">
      <c r="A1616" s="1">
        <f t="shared" si="65"/>
        <v>44866</v>
      </c>
      <c r="B1616" t="s">
        <v>149</v>
      </c>
      <c r="C1616" t="str">
        <f>_xlfn.XLOOKUP(B1616,Phone_by_Price!$A$2:$A$34,Phone_by_Price!$B$2:$B$34,"-",0,1)</f>
        <v>Samsung Galaxy A52</v>
      </c>
      <c r="D1616" t="str">
        <f>_xlfn.XLOOKUP(C1616,Phone_by_Sentiment!$B$2:$B$37,Phone_by_Sentiment!$A$2:$A$37,"-",0,1)</f>
        <v>2021-03</v>
      </c>
      <c r="E1616" cm="1">
        <f t="array" ref="E1616">IF($Q1616&gt;=0,IFERROR(generateSalesData($D1616, IF(ISNUMBER(_xlfn.XLOOKUP($C1616,Phone_by_Sentiment!$B$2:$B$37,Phone_by_Sentiment!E$2:E$37,"",0,1)),_xlfn.XLOOKUP($C1616,Phone_by_Sentiment!$B$2:$B$37,Phone_by_Sentiment!E$2:E$37,"",0,1),0),$A1616-TEXT(DATEVALUE($D1616&amp;"-01"), "dd-mm-yyyy")),0),0)</f>
        <v>563</v>
      </c>
      <c r="F1616" cm="1">
        <f t="array" ref="F1616">IF($Q1616&gt;=0,IFERROR(generateSalesData($D1616, IF(ISNUMBER(_xlfn.XLOOKUP($C1616,Phone_by_Sentiment!$B$2:$B$37,Phone_by_Sentiment!F$2:F$37,"",0,1)),_xlfn.XLOOKUP($C1616,Phone_by_Sentiment!$B$2:$B$37,Phone_by_Sentiment!F$2:F$37,"",0,1),0),$A1616-TEXT(DATEVALUE($D1616&amp;"-01"), "dd-mm-yyyy")),0),0)</f>
        <v>293</v>
      </c>
      <c r="G1616" cm="1">
        <f t="array" ref="G1616">IF($Q1616&gt;=0,IFERROR(generateSalesData($D1616, IF(ISNUMBER(_xlfn.XLOOKUP($C1616,Phone_by_Sentiment!$B$2:$B$37,Phone_by_Sentiment!G$2:G$37,"",0,1)),_xlfn.XLOOKUP($C1616,Phone_by_Sentiment!$B$2:$B$37,Phone_by_Sentiment!G$2:G$37,"",0,1),0),$A1616-TEXT(DATEVALUE($D1616&amp;"-01"), "dd-mm-yyyy")),0),0)</f>
        <v>145</v>
      </c>
      <c r="H1616" cm="1">
        <f t="array" ref="H1616">IF($Q1616&gt;=0,IFERROR(generateSalesData($D1616, IF(ISNUMBER(_xlfn.XLOOKUP($C1616,Phone_by_Sentiment!$B$2:$B$37,Phone_by_Sentiment!H$2:H$37,"",0,1)),_xlfn.XLOOKUP($C1616,Phone_by_Sentiment!$B$2:$B$37,Phone_by_Sentiment!H$2:H$37,"",0,1),0),$A1616-TEXT(DATEVALUE($D1616&amp;"-01"), "dd-mm-yyyy")),0),0)</f>
        <v>579</v>
      </c>
      <c r="I1616" cm="1">
        <f t="array" ref="I1616">IF($Q1616&gt;=0,IFERROR(generateSalesData($D1616, IF(ISNUMBER(_xlfn.XLOOKUP($C1616,Phone_by_Sentiment!$B$2:$B$37,Phone_by_Sentiment!I$2:I$37,"",0,1)),_xlfn.XLOOKUP($C1616,Phone_by_Sentiment!$B$2:$B$37,Phone_by_Sentiment!I$2:I$37,"",0,1),0),$A1616-TEXT(DATEVALUE($D1616&amp;"-01"), "dd-mm-yyyy")),0),0)</f>
        <v>570</v>
      </c>
      <c r="J1616" cm="1">
        <f t="array" ref="J1616">IF($Q1616&gt;=0,IFERROR(generateSalesData($D1616, IF(ISNUMBER(_xlfn.XLOOKUP($C1616,Phone_by_Sentiment!$B$2:$B$37,Phone_by_Sentiment!J$2:J$37,"",0,1)),_xlfn.XLOOKUP($C1616,Phone_by_Sentiment!$B$2:$B$37,Phone_by_Sentiment!J$2:J$37,"",0,1),0),$A1616-TEXT(DATEVALUE($D1616&amp;"-01"), "dd-mm-yyyy")),0),0)</f>
        <v>313</v>
      </c>
      <c r="K1616" cm="1">
        <f t="array" ref="K1616">IF($Q1616&gt;=0,IFERROR(generateSalesData($D1616, IF(ISNUMBER(_xlfn.XLOOKUP($C1616,Phone_by_Sentiment!$B$2:$B$37,Phone_by_Sentiment!K$2:K$37,"",0,1)),_xlfn.XLOOKUP($C1616,Phone_by_Sentiment!$B$2:$B$37,Phone_by_Sentiment!K$2:K$37,"",0,1),0),$A1616-TEXT(DATEVALUE($D1616&amp;"-01"), "dd-mm-yyyy")),0),0)</f>
        <v>103</v>
      </c>
      <c r="L1616" cm="1">
        <f t="array" ref="L1616">IF($Q1616&gt;=0,IFERROR(generateSalesData($D1616, IF(ISNUMBER(_xlfn.XLOOKUP($C1616,Phone_by_Sentiment!$B$2:$B$37,Phone_by_Sentiment!L$2:L$37,"",0,1)),_xlfn.XLOOKUP($C1616,Phone_by_Sentiment!$B$2:$B$37,Phone_by_Sentiment!L$2:L$37,"",0,1),0),$A1616-TEXT(DATEVALUE($D1616&amp;"-01"), "dd-mm-yyyy")),0),0)</f>
        <v>198</v>
      </c>
      <c r="M1616" cm="1">
        <f t="array" ref="M1616">IF($Q1616&gt;=0,IFERROR(generateSalesData($D1616, IF(ISNUMBER(_xlfn.XLOOKUP($C1616,Phone_by_Sentiment!$B$2:$B$37,Phone_by_Sentiment!M$2:M$37,"",0,1)),_xlfn.XLOOKUP($C1616,Phone_by_Sentiment!$B$2:$B$37,Phone_by_Sentiment!M$2:M$37,"",0,1),0),$A1616-TEXT(DATEVALUE($D1616&amp;"-01"), "dd-mm-yyyy")),0),0)</f>
        <v>358</v>
      </c>
      <c r="N1616" cm="1">
        <f t="array" ref="N1616">IF($Q1616&gt;=0,IFERROR(generateSalesData($D1616, IF(ISNUMBER(_xlfn.XLOOKUP($C1616,Phone_by_Sentiment!$B$2:$B$37,Phone_by_Sentiment!N$2:N$37,"",0,1)),_xlfn.XLOOKUP($C1616,Phone_by_Sentiment!$B$2:$B$37,Phone_by_Sentiment!N$2:N$37,"",0,1),0),$A1616-TEXT(DATEVALUE($D1616&amp;"-01"), "dd-mm-yyyy")),0),0)</f>
        <v>95</v>
      </c>
      <c r="O1616" cm="1">
        <f t="array" ref="O1616">IF($Q1616&gt;=0,IFERROR(generateSalesData($D1616, IF(ISNUMBER(_xlfn.XLOOKUP($C1616,Phone_by_Sentiment!$B$2:$B$37,Phone_by_Sentiment!O$2:O$37,"",0,1)),_xlfn.XLOOKUP($C1616,Phone_by_Sentiment!$B$2:$B$37,Phone_by_Sentiment!O$2:O$37,"",0,1),0),$A1616-TEXT(DATEVALUE($D1616&amp;"-01"), "dd-mm-yyyy")),0),0)</f>
        <v>433</v>
      </c>
      <c r="P1616" s="1">
        <f t="shared" si="64"/>
        <v>44256</v>
      </c>
      <c r="Q1616">
        <f t="shared" si="66"/>
        <v>610</v>
      </c>
    </row>
    <row r="1617" spans="1:17" x14ac:dyDescent="0.25">
      <c r="A1617" s="1">
        <f t="shared" si="65"/>
        <v>44866</v>
      </c>
      <c r="B1617" t="s">
        <v>150</v>
      </c>
      <c r="C1617" t="str">
        <f>_xlfn.XLOOKUP(B1617,Phone_by_Price!$A$2:$A$34,Phone_by_Price!$B$2:$B$34,"-",0,1)</f>
        <v>Vivo Y33s</v>
      </c>
      <c r="D1617" t="str">
        <f>_xlfn.XLOOKUP(C1617,Phone_by_Sentiment!$B$2:$B$37,Phone_by_Sentiment!$A$2:$A$37,"-",0,1)</f>
        <v>2021-05</v>
      </c>
      <c r="E1617" cm="1">
        <f t="array" ref="E1617">IF($Q1617&gt;=0,IFERROR(generateSalesData($D1617, IF(ISNUMBER(_xlfn.XLOOKUP($C1617,Phone_by_Sentiment!$B$2:$B$37,Phone_by_Sentiment!E$2:E$37,"",0,1)),_xlfn.XLOOKUP($C1617,Phone_by_Sentiment!$B$2:$B$37,Phone_by_Sentiment!E$2:E$37,"",0,1),0),$A1617-TEXT(DATEVALUE($D1617&amp;"-01"), "dd-mm-yyyy")),0),0)</f>
        <v>364</v>
      </c>
      <c r="F1617" cm="1">
        <f t="array" ref="F1617">IF($Q1617&gt;=0,IFERROR(generateSalesData($D1617, IF(ISNUMBER(_xlfn.XLOOKUP($C1617,Phone_by_Sentiment!$B$2:$B$37,Phone_by_Sentiment!F$2:F$37,"",0,1)),_xlfn.XLOOKUP($C1617,Phone_by_Sentiment!$B$2:$B$37,Phone_by_Sentiment!F$2:F$37,"",0,1),0),$A1617-TEXT(DATEVALUE($D1617&amp;"-01"), "dd-mm-yyyy")),0),0)</f>
        <v>175</v>
      </c>
      <c r="G1617" cm="1">
        <f t="array" ref="G1617">IF($Q1617&gt;=0,IFERROR(generateSalesData($D1617, IF(ISNUMBER(_xlfn.XLOOKUP($C1617,Phone_by_Sentiment!$B$2:$B$37,Phone_by_Sentiment!G$2:G$37,"",0,1)),_xlfn.XLOOKUP($C1617,Phone_by_Sentiment!$B$2:$B$37,Phone_by_Sentiment!G$2:G$37,"",0,1),0),$A1617-TEXT(DATEVALUE($D1617&amp;"-01"), "dd-mm-yyyy")),0),0)</f>
        <v>141</v>
      </c>
      <c r="H1617" cm="1">
        <f t="array" ref="H1617">IF($Q1617&gt;=0,IFERROR(generateSalesData($D1617, IF(ISNUMBER(_xlfn.XLOOKUP($C1617,Phone_by_Sentiment!$B$2:$B$37,Phone_by_Sentiment!H$2:H$37,"",0,1)),_xlfn.XLOOKUP($C1617,Phone_by_Sentiment!$B$2:$B$37,Phone_by_Sentiment!H$2:H$37,"",0,1),0),$A1617-TEXT(DATEVALUE($D1617&amp;"-01"), "dd-mm-yyyy")),0),0)</f>
        <v>370</v>
      </c>
      <c r="I1617" cm="1">
        <f t="array" ref="I1617">IF($Q1617&gt;=0,IFERROR(generateSalesData($D1617, IF(ISNUMBER(_xlfn.XLOOKUP($C1617,Phone_by_Sentiment!$B$2:$B$37,Phone_by_Sentiment!I$2:I$37,"",0,1)),_xlfn.XLOOKUP($C1617,Phone_by_Sentiment!$B$2:$B$37,Phone_by_Sentiment!I$2:I$37,"",0,1),0),$A1617-TEXT(DATEVALUE($D1617&amp;"-01"), "dd-mm-yyyy")),0),0)</f>
        <v>83</v>
      </c>
      <c r="J1617" cm="1">
        <f t="array" ref="J1617">IF($Q1617&gt;=0,IFERROR(generateSalesData($D1617, IF(ISNUMBER(_xlfn.XLOOKUP($C1617,Phone_by_Sentiment!$B$2:$B$37,Phone_by_Sentiment!J$2:J$37,"",0,1)),_xlfn.XLOOKUP($C1617,Phone_by_Sentiment!$B$2:$B$37,Phone_by_Sentiment!J$2:J$37,"",0,1),0),$A1617-TEXT(DATEVALUE($D1617&amp;"-01"), "dd-mm-yyyy")),0),0)</f>
        <v>117</v>
      </c>
      <c r="K1617" cm="1">
        <f t="array" ref="K1617">IF($Q1617&gt;=0,IFERROR(generateSalesData($D1617, IF(ISNUMBER(_xlfn.XLOOKUP($C1617,Phone_by_Sentiment!$B$2:$B$37,Phone_by_Sentiment!K$2:K$37,"",0,1)),_xlfn.XLOOKUP($C1617,Phone_by_Sentiment!$B$2:$B$37,Phone_by_Sentiment!K$2:K$37,"",0,1),0),$A1617-TEXT(DATEVALUE($D1617&amp;"-01"), "dd-mm-yyyy")),0),0)</f>
        <v>82</v>
      </c>
      <c r="L1617" cm="1">
        <f t="array" ref="L1617">IF($Q1617&gt;=0,IFERROR(generateSalesData($D1617, IF(ISNUMBER(_xlfn.XLOOKUP($C1617,Phone_by_Sentiment!$B$2:$B$37,Phone_by_Sentiment!L$2:L$37,"",0,1)),_xlfn.XLOOKUP($C1617,Phone_by_Sentiment!$B$2:$B$37,Phone_by_Sentiment!L$2:L$37,"",0,1),0),$A1617-TEXT(DATEVALUE($D1617&amp;"-01"), "dd-mm-yyyy")),0),0)</f>
        <v>206</v>
      </c>
      <c r="M1617" cm="1">
        <f t="array" ref="M1617">IF($Q1617&gt;=0,IFERROR(generateSalesData($D1617, IF(ISNUMBER(_xlfn.XLOOKUP($C1617,Phone_by_Sentiment!$B$2:$B$37,Phone_by_Sentiment!M$2:M$37,"",0,1)),_xlfn.XLOOKUP($C1617,Phone_by_Sentiment!$B$2:$B$37,Phone_by_Sentiment!M$2:M$37,"",0,1),0),$A1617-TEXT(DATEVALUE($D1617&amp;"-01"), "dd-mm-yyyy")),0),0)</f>
        <v>108</v>
      </c>
      <c r="N1617" cm="1">
        <f t="array" ref="N1617">IF($Q1617&gt;=0,IFERROR(generateSalesData($D1617, IF(ISNUMBER(_xlfn.XLOOKUP($C1617,Phone_by_Sentiment!$B$2:$B$37,Phone_by_Sentiment!N$2:N$37,"",0,1)),_xlfn.XLOOKUP($C1617,Phone_by_Sentiment!$B$2:$B$37,Phone_by_Sentiment!N$2:N$37,"",0,1),0),$A1617-TEXT(DATEVALUE($D1617&amp;"-01"), "dd-mm-yyyy")),0),0)</f>
        <v>166</v>
      </c>
      <c r="O1617" cm="1">
        <f t="array" ref="O1617">IF($Q1617&gt;=0,IFERROR(generateSalesData($D1617, IF(ISNUMBER(_xlfn.XLOOKUP($C1617,Phone_by_Sentiment!$B$2:$B$37,Phone_by_Sentiment!O$2:O$37,"",0,1)),_xlfn.XLOOKUP($C1617,Phone_by_Sentiment!$B$2:$B$37,Phone_by_Sentiment!O$2:O$37,"",0,1),0),$A1617-TEXT(DATEVALUE($D1617&amp;"-01"), "dd-mm-yyyy")),0),0)</f>
        <v>576</v>
      </c>
      <c r="P1617" s="1">
        <f t="shared" si="64"/>
        <v>44317</v>
      </c>
      <c r="Q1617">
        <f t="shared" si="66"/>
        <v>549</v>
      </c>
    </row>
    <row r="1618" spans="1:17" x14ac:dyDescent="0.25">
      <c r="A1618" s="1">
        <f t="shared" si="65"/>
        <v>44866</v>
      </c>
      <c r="B1618" t="s">
        <v>151</v>
      </c>
      <c r="C1618" t="str">
        <f>_xlfn.XLOOKUP(B1618,Phone_by_Price!$A$2:$A$34,Phone_by_Price!$B$2:$B$34,"-",0,1)</f>
        <v>Vivo Y11s</v>
      </c>
      <c r="D1618" t="str">
        <f>_xlfn.XLOOKUP(C1618,Phone_by_Sentiment!$B$2:$B$37,Phone_by_Sentiment!$A$2:$A$37,"-",0,1)</f>
        <v>2020-11</v>
      </c>
      <c r="E1618" cm="1">
        <f t="array" ref="E1618">IF($Q1618&gt;=0,IFERROR(generateSalesData($D1618, IF(ISNUMBER(_xlfn.XLOOKUP($C1618,Phone_by_Sentiment!$B$2:$B$37,Phone_by_Sentiment!E$2:E$37,"",0,1)),_xlfn.XLOOKUP($C1618,Phone_by_Sentiment!$B$2:$B$37,Phone_by_Sentiment!E$2:E$37,"",0,1),0),$A1618-TEXT(DATEVALUE($D1618&amp;"-01"), "dd-mm-yyyy")),0),0)</f>
        <v>43</v>
      </c>
      <c r="F1618" cm="1">
        <f t="array" ref="F1618">IF($Q1618&gt;=0,IFERROR(generateSalesData($D1618, IF(ISNUMBER(_xlfn.XLOOKUP($C1618,Phone_by_Sentiment!$B$2:$B$37,Phone_by_Sentiment!F$2:F$37,"",0,1)),_xlfn.XLOOKUP($C1618,Phone_by_Sentiment!$B$2:$B$37,Phone_by_Sentiment!F$2:F$37,"",0,1),0),$A1618-TEXT(DATEVALUE($D1618&amp;"-01"), "dd-mm-yyyy")),0),0)</f>
        <v>38</v>
      </c>
      <c r="G1618" cm="1">
        <f t="array" ref="G1618">IF($Q1618&gt;=0,IFERROR(generateSalesData($D1618, IF(ISNUMBER(_xlfn.XLOOKUP($C1618,Phone_by_Sentiment!$B$2:$B$37,Phone_by_Sentiment!G$2:G$37,"",0,1)),_xlfn.XLOOKUP($C1618,Phone_by_Sentiment!$B$2:$B$37,Phone_by_Sentiment!G$2:G$37,"",0,1),0),$A1618-TEXT(DATEVALUE($D1618&amp;"-01"), "dd-mm-yyyy")),0),0)</f>
        <v>70</v>
      </c>
      <c r="H1618" cm="1">
        <f t="array" ref="H1618">IF($Q1618&gt;=0,IFERROR(generateSalesData($D1618, IF(ISNUMBER(_xlfn.XLOOKUP($C1618,Phone_by_Sentiment!$B$2:$B$37,Phone_by_Sentiment!H$2:H$37,"",0,1)),_xlfn.XLOOKUP($C1618,Phone_by_Sentiment!$B$2:$B$37,Phone_by_Sentiment!H$2:H$37,"",0,1),0),$A1618-TEXT(DATEVALUE($D1618&amp;"-01"), "dd-mm-yyyy")),0),0)</f>
        <v>4</v>
      </c>
      <c r="I1618" cm="1">
        <f t="array" ref="I1618">IF($Q1618&gt;=0,IFERROR(generateSalesData($D1618, IF(ISNUMBER(_xlfn.XLOOKUP($C1618,Phone_by_Sentiment!$B$2:$B$37,Phone_by_Sentiment!I$2:I$37,"",0,1)),_xlfn.XLOOKUP($C1618,Phone_by_Sentiment!$B$2:$B$37,Phone_by_Sentiment!I$2:I$37,"",0,1),0),$A1618-TEXT(DATEVALUE($D1618&amp;"-01"), "dd-mm-yyyy")),0),0)</f>
        <v>187</v>
      </c>
      <c r="J1618" cm="1">
        <f t="array" ref="J1618">IF($Q1618&gt;=0,IFERROR(generateSalesData($D1618, IF(ISNUMBER(_xlfn.XLOOKUP($C1618,Phone_by_Sentiment!$B$2:$B$37,Phone_by_Sentiment!J$2:J$37,"",0,1)),_xlfn.XLOOKUP($C1618,Phone_by_Sentiment!$B$2:$B$37,Phone_by_Sentiment!J$2:J$37,"",0,1),0),$A1618-TEXT(DATEVALUE($D1618&amp;"-01"), "dd-mm-yyyy")),0),0)</f>
        <v>83</v>
      </c>
      <c r="K1618" cm="1">
        <f t="array" ref="K1618">IF($Q1618&gt;=0,IFERROR(generateSalesData($D1618, IF(ISNUMBER(_xlfn.XLOOKUP($C1618,Phone_by_Sentiment!$B$2:$B$37,Phone_by_Sentiment!K$2:K$37,"",0,1)),_xlfn.XLOOKUP($C1618,Phone_by_Sentiment!$B$2:$B$37,Phone_by_Sentiment!K$2:K$37,"",0,1),0),$A1618-TEXT(DATEVALUE($D1618&amp;"-01"), "dd-mm-yyyy")),0),0)</f>
        <v>58</v>
      </c>
      <c r="L1618" cm="1">
        <f t="array" ref="L1618">IF($Q1618&gt;=0,IFERROR(generateSalesData($D1618, IF(ISNUMBER(_xlfn.XLOOKUP($C1618,Phone_by_Sentiment!$B$2:$B$37,Phone_by_Sentiment!L$2:L$37,"",0,1)),_xlfn.XLOOKUP($C1618,Phone_by_Sentiment!$B$2:$B$37,Phone_by_Sentiment!L$2:L$37,"",0,1),0),$A1618-TEXT(DATEVALUE($D1618&amp;"-01"), "dd-mm-yyyy")),0),0)</f>
        <v>84</v>
      </c>
      <c r="M1618" cm="1">
        <f t="array" ref="M1618">IF($Q1618&gt;=0,IFERROR(generateSalesData($D1618, IF(ISNUMBER(_xlfn.XLOOKUP($C1618,Phone_by_Sentiment!$B$2:$B$37,Phone_by_Sentiment!M$2:M$37,"",0,1)),_xlfn.XLOOKUP($C1618,Phone_by_Sentiment!$B$2:$B$37,Phone_by_Sentiment!M$2:M$37,"",0,1),0),$A1618-TEXT(DATEVALUE($D1618&amp;"-01"), "dd-mm-yyyy")),0),0)</f>
        <v>266</v>
      </c>
      <c r="N1618" cm="1">
        <f t="array" ref="N1618">IF($Q1618&gt;=0,IFERROR(generateSalesData($D1618, IF(ISNUMBER(_xlfn.XLOOKUP($C1618,Phone_by_Sentiment!$B$2:$B$37,Phone_by_Sentiment!N$2:N$37,"",0,1)),_xlfn.XLOOKUP($C1618,Phone_by_Sentiment!$B$2:$B$37,Phone_by_Sentiment!N$2:N$37,"",0,1),0),$A1618-TEXT(DATEVALUE($D1618&amp;"-01"), "dd-mm-yyyy")),0),0)</f>
        <v>-39</v>
      </c>
      <c r="O1618" cm="1">
        <f t="array" ref="O1618">IF($Q1618&gt;=0,IFERROR(generateSalesData($D1618, IF(ISNUMBER(_xlfn.XLOOKUP($C1618,Phone_by_Sentiment!$B$2:$B$37,Phone_by_Sentiment!O$2:O$37,"",0,1)),_xlfn.XLOOKUP($C1618,Phone_by_Sentiment!$B$2:$B$37,Phone_by_Sentiment!O$2:O$37,"",0,1),0),$A1618-TEXT(DATEVALUE($D1618&amp;"-01"), "dd-mm-yyyy")),0),0)</f>
        <v>83</v>
      </c>
      <c r="P1618" s="1">
        <f t="shared" si="64"/>
        <v>44136</v>
      </c>
      <c r="Q1618">
        <f t="shared" si="66"/>
        <v>730</v>
      </c>
    </row>
    <row r="1619" spans="1:17" x14ac:dyDescent="0.25">
      <c r="A1619" s="1">
        <f t="shared" si="65"/>
        <v>44866</v>
      </c>
      <c r="B1619" t="s">
        <v>152</v>
      </c>
      <c r="C1619" t="str">
        <f>_xlfn.XLOOKUP(B1619,Phone_by_Price!$A$2:$A$34,Phone_by_Price!$B$2:$B$34,"-",0,1)</f>
        <v>Huawei Nova 7i</v>
      </c>
      <c r="D1619" t="str">
        <f>_xlfn.XLOOKUP(C1619,Phone_by_Sentiment!$B$2:$B$37,Phone_by_Sentiment!$A$2:$A$37,"-",0,1)</f>
        <v>2020-02</v>
      </c>
      <c r="E1619" cm="1">
        <f t="array" ref="E1619">IF($Q1619&gt;=0,IFERROR(generateSalesData($D1619, IF(ISNUMBER(_xlfn.XLOOKUP($C1619,Phone_by_Sentiment!$B$2:$B$37,Phone_by_Sentiment!E$2:E$37,"",0,1)),_xlfn.XLOOKUP($C1619,Phone_by_Sentiment!$B$2:$B$37,Phone_by_Sentiment!E$2:E$37,"",0,1),0),$A1619-TEXT(DATEVALUE($D1619&amp;"-01"), "dd-mm-yyyy")),0),0)</f>
        <v>33</v>
      </c>
      <c r="F1619" cm="1">
        <f t="array" ref="F1619">IF($Q1619&gt;=0,IFERROR(generateSalesData($D1619, IF(ISNUMBER(_xlfn.XLOOKUP($C1619,Phone_by_Sentiment!$B$2:$B$37,Phone_by_Sentiment!F$2:F$37,"",0,1)),_xlfn.XLOOKUP($C1619,Phone_by_Sentiment!$B$2:$B$37,Phone_by_Sentiment!F$2:F$37,"",0,1),0),$A1619-TEXT(DATEVALUE($D1619&amp;"-01"), "dd-mm-yyyy")),0),0)</f>
        <v>17</v>
      </c>
      <c r="G1619" cm="1">
        <f t="array" ref="G1619">IF($Q1619&gt;=0,IFERROR(generateSalesData($D1619, IF(ISNUMBER(_xlfn.XLOOKUP($C1619,Phone_by_Sentiment!$B$2:$B$37,Phone_by_Sentiment!G$2:G$37,"",0,1)),_xlfn.XLOOKUP($C1619,Phone_by_Sentiment!$B$2:$B$37,Phone_by_Sentiment!G$2:G$37,"",0,1),0),$A1619-TEXT(DATEVALUE($D1619&amp;"-01"), "dd-mm-yyyy")),0),0)</f>
        <v>38</v>
      </c>
      <c r="H1619" cm="1">
        <f t="array" ref="H1619">IF($Q1619&gt;=0,IFERROR(generateSalesData($D1619, IF(ISNUMBER(_xlfn.XLOOKUP($C1619,Phone_by_Sentiment!$B$2:$B$37,Phone_by_Sentiment!H$2:H$37,"",0,1)),_xlfn.XLOOKUP($C1619,Phone_by_Sentiment!$B$2:$B$37,Phone_by_Sentiment!H$2:H$37,"",0,1),0),$A1619-TEXT(DATEVALUE($D1619&amp;"-01"), "dd-mm-yyyy")),0),0)</f>
        <v>181</v>
      </c>
      <c r="I1619" cm="1">
        <f t="array" ref="I1619">IF($Q1619&gt;=0,IFERROR(generateSalesData($D1619, IF(ISNUMBER(_xlfn.XLOOKUP($C1619,Phone_by_Sentiment!$B$2:$B$37,Phone_by_Sentiment!I$2:I$37,"",0,1)),_xlfn.XLOOKUP($C1619,Phone_by_Sentiment!$B$2:$B$37,Phone_by_Sentiment!I$2:I$37,"",0,1),0),$A1619-TEXT(DATEVALUE($D1619&amp;"-01"), "dd-mm-yyyy")),0),0)</f>
        <v>40</v>
      </c>
      <c r="J1619" cm="1">
        <f t="array" ref="J1619">IF($Q1619&gt;=0,IFERROR(generateSalesData($D1619, IF(ISNUMBER(_xlfn.XLOOKUP($C1619,Phone_by_Sentiment!$B$2:$B$37,Phone_by_Sentiment!J$2:J$37,"",0,1)),_xlfn.XLOOKUP($C1619,Phone_by_Sentiment!$B$2:$B$37,Phone_by_Sentiment!J$2:J$37,"",0,1),0),$A1619-TEXT(DATEVALUE($D1619&amp;"-01"), "dd-mm-yyyy")),0),0)</f>
        <v>78</v>
      </c>
      <c r="K1619" cm="1">
        <f t="array" ref="K1619">IF($Q1619&gt;=0,IFERROR(generateSalesData($D1619, IF(ISNUMBER(_xlfn.XLOOKUP($C1619,Phone_by_Sentiment!$B$2:$B$37,Phone_by_Sentiment!K$2:K$37,"",0,1)),_xlfn.XLOOKUP($C1619,Phone_by_Sentiment!$B$2:$B$37,Phone_by_Sentiment!K$2:K$37,"",0,1),0),$A1619-TEXT(DATEVALUE($D1619&amp;"-01"), "dd-mm-yyyy")),0),0)</f>
        <v>79</v>
      </c>
      <c r="L1619" cm="1">
        <f t="array" ref="L1619">IF($Q1619&gt;=0,IFERROR(generateSalesData($D1619, IF(ISNUMBER(_xlfn.XLOOKUP($C1619,Phone_by_Sentiment!$B$2:$B$37,Phone_by_Sentiment!L$2:L$37,"",0,1)),_xlfn.XLOOKUP($C1619,Phone_by_Sentiment!$B$2:$B$37,Phone_by_Sentiment!L$2:L$37,"",0,1),0),$A1619-TEXT(DATEVALUE($D1619&amp;"-01"), "dd-mm-yyyy")),0),0)</f>
        <v>96</v>
      </c>
      <c r="M1619" cm="1">
        <f t="array" ref="M1619">IF($Q1619&gt;=0,IFERROR(generateSalesData($D1619, IF(ISNUMBER(_xlfn.XLOOKUP($C1619,Phone_by_Sentiment!$B$2:$B$37,Phone_by_Sentiment!M$2:M$37,"",0,1)),_xlfn.XLOOKUP($C1619,Phone_by_Sentiment!$B$2:$B$37,Phone_by_Sentiment!M$2:M$37,"",0,1),0),$A1619-TEXT(DATEVALUE($D1619&amp;"-01"), "dd-mm-yyyy")),0),0)</f>
        <v>81</v>
      </c>
      <c r="N1619" cm="1">
        <f t="array" ref="N1619">IF($Q1619&gt;=0,IFERROR(generateSalesData($D1619, IF(ISNUMBER(_xlfn.XLOOKUP($C1619,Phone_by_Sentiment!$B$2:$B$37,Phone_by_Sentiment!N$2:N$37,"",0,1)),_xlfn.XLOOKUP($C1619,Phone_by_Sentiment!$B$2:$B$37,Phone_by_Sentiment!N$2:N$37,"",0,1),0),$A1619-TEXT(DATEVALUE($D1619&amp;"-01"), "dd-mm-yyyy")),0),0)</f>
        <v>59</v>
      </c>
      <c r="O1619" cm="1">
        <f t="array" ref="O1619">IF($Q1619&gt;=0,IFERROR(generateSalesData($D1619, IF(ISNUMBER(_xlfn.XLOOKUP($C1619,Phone_by_Sentiment!$B$2:$B$37,Phone_by_Sentiment!O$2:O$37,"",0,1)),_xlfn.XLOOKUP($C1619,Phone_by_Sentiment!$B$2:$B$37,Phone_by_Sentiment!O$2:O$37,"",0,1),0),$A1619-TEXT(DATEVALUE($D1619&amp;"-01"), "dd-mm-yyyy")),0),0)</f>
        <v>59</v>
      </c>
      <c r="P1619" s="1">
        <f t="shared" si="64"/>
        <v>43862</v>
      </c>
      <c r="Q1619">
        <f t="shared" si="66"/>
        <v>1004</v>
      </c>
    </row>
    <row r="1620" spans="1:17" x14ac:dyDescent="0.25">
      <c r="A1620" s="1">
        <f t="shared" si="65"/>
        <v>44866</v>
      </c>
      <c r="B1620" t="s">
        <v>153</v>
      </c>
      <c r="C1620" t="str">
        <f>_xlfn.XLOOKUP(B1620,Phone_by_Price!$A$2:$A$34,Phone_by_Price!$B$2:$B$34,"-",0,1)</f>
        <v>iPhone 13</v>
      </c>
      <c r="D1620" t="str">
        <f>_xlfn.XLOOKUP(C1620,Phone_by_Sentiment!$B$2:$B$37,Phone_by_Sentiment!$A$2:$A$37,"-",0,1)</f>
        <v>2021-09</v>
      </c>
      <c r="E1620" cm="1">
        <f t="array" ref="E1620">IF($Q1620&gt;=0,IFERROR(generateSalesData($D1620, IF(ISNUMBER(_xlfn.XLOOKUP($C1620,Phone_by_Sentiment!$B$2:$B$37,Phone_by_Sentiment!E$2:E$37,"",0,1)),_xlfn.XLOOKUP($C1620,Phone_by_Sentiment!$B$2:$B$37,Phone_by_Sentiment!E$2:E$37,"",0,1),0),$A1620-TEXT(DATEVALUE($D1620&amp;"-01"), "dd-mm-yyyy")),0),0)</f>
        <v>160</v>
      </c>
      <c r="F1620" cm="1">
        <f t="array" ref="F1620">IF($Q1620&gt;=0,IFERROR(generateSalesData($D1620, IF(ISNUMBER(_xlfn.XLOOKUP($C1620,Phone_by_Sentiment!$B$2:$B$37,Phone_by_Sentiment!F$2:F$37,"",0,1)),_xlfn.XLOOKUP($C1620,Phone_by_Sentiment!$B$2:$B$37,Phone_by_Sentiment!F$2:F$37,"",0,1),0),$A1620-TEXT(DATEVALUE($D1620&amp;"-01"), "dd-mm-yyyy")),0),0)</f>
        <v>173</v>
      </c>
      <c r="G1620" cm="1">
        <f t="array" ref="G1620">IF($Q1620&gt;=0,IFERROR(generateSalesData($D1620, IF(ISNUMBER(_xlfn.XLOOKUP($C1620,Phone_by_Sentiment!$B$2:$B$37,Phone_by_Sentiment!G$2:G$37,"",0,1)),_xlfn.XLOOKUP($C1620,Phone_by_Sentiment!$B$2:$B$37,Phone_by_Sentiment!G$2:G$37,"",0,1),0),$A1620-TEXT(DATEVALUE($D1620&amp;"-01"), "dd-mm-yyyy")),0),0)</f>
        <v>162</v>
      </c>
      <c r="H1620" cm="1">
        <f t="array" ref="H1620">IF($Q1620&gt;=0,IFERROR(generateSalesData($D1620, IF(ISNUMBER(_xlfn.XLOOKUP($C1620,Phone_by_Sentiment!$B$2:$B$37,Phone_by_Sentiment!H$2:H$37,"",0,1)),_xlfn.XLOOKUP($C1620,Phone_by_Sentiment!$B$2:$B$37,Phone_by_Sentiment!H$2:H$37,"",0,1),0),$A1620-TEXT(DATEVALUE($D1620&amp;"-01"), "dd-mm-yyyy")),0),0)</f>
        <v>637</v>
      </c>
      <c r="I1620" cm="1">
        <f t="array" ref="I1620">IF($Q1620&gt;=0,IFERROR(generateSalesData($D1620, IF(ISNUMBER(_xlfn.XLOOKUP($C1620,Phone_by_Sentiment!$B$2:$B$37,Phone_by_Sentiment!I$2:I$37,"",0,1)),_xlfn.XLOOKUP($C1620,Phone_by_Sentiment!$B$2:$B$37,Phone_by_Sentiment!I$2:I$37,"",0,1),0),$A1620-TEXT(DATEVALUE($D1620&amp;"-01"), "dd-mm-yyyy")),0),0)</f>
        <v>56</v>
      </c>
      <c r="J1620" cm="1">
        <f t="array" ref="J1620">IF($Q1620&gt;=0,IFERROR(generateSalesData($D1620, IF(ISNUMBER(_xlfn.XLOOKUP($C1620,Phone_by_Sentiment!$B$2:$B$37,Phone_by_Sentiment!J$2:J$37,"",0,1)),_xlfn.XLOOKUP($C1620,Phone_by_Sentiment!$B$2:$B$37,Phone_by_Sentiment!J$2:J$37,"",0,1),0),$A1620-TEXT(DATEVALUE($D1620&amp;"-01"), "dd-mm-yyyy")),0),0)</f>
        <v>286</v>
      </c>
      <c r="K1620" cm="1">
        <f t="array" ref="K1620">IF($Q1620&gt;=0,IFERROR(generateSalesData($D1620, IF(ISNUMBER(_xlfn.XLOOKUP($C1620,Phone_by_Sentiment!$B$2:$B$37,Phone_by_Sentiment!K$2:K$37,"",0,1)),_xlfn.XLOOKUP($C1620,Phone_by_Sentiment!$B$2:$B$37,Phone_by_Sentiment!K$2:K$37,"",0,1),0),$A1620-TEXT(DATEVALUE($D1620&amp;"-01"), "dd-mm-yyyy")),0),0)</f>
        <v>48</v>
      </c>
      <c r="L1620" cm="1">
        <f t="array" ref="L1620">IF($Q1620&gt;=0,IFERROR(generateSalesData($D1620, IF(ISNUMBER(_xlfn.XLOOKUP($C1620,Phone_by_Sentiment!$B$2:$B$37,Phone_by_Sentiment!L$2:L$37,"",0,1)),_xlfn.XLOOKUP($C1620,Phone_by_Sentiment!$B$2:$B$37,Phone_by_Sentiment!L$2:L$37,"",0,1),0),$A1620-TEXT(DATEVALUE($D1620&amp;"-01"), "dd-mm-yyyy")),0),0)</f>
        <v>354</v>
      </c>
      <c r="M1620" cm="1">
        <f t="array" ref="M1620">IF($Q1620&gt;=0,IFERROR(generateSalesData($D1620, IF(ISNUMBER(_xlfn.XLOOKUP($C1620,Phone_by_Sentiment!$B$2:$B$37,Phone_by_Sentiment!M$2:M$37,"",0,1)),_xlfn.XLOOKUP($C1620,Phone_by_Sentiment!$B$2:$B$37,Phone_by_Sentiment!M$2:M$37,"",0,1),0),$A1620-TEXT(DATEVALUE($D1620&amp;"-01"), "dd-mm-yyyy")),0),0)</f>
        <v>87</v>
      </c>
      <c r="N1620" cm="1">
        <f t="array" ref="N1620">IF($Q1620&gt;=0,IFERROR(generateSalesData($D1620, IF(ISNUMBER(_xlfn.XLOOKUP($C1620,Phone_by_Sentiment!$B$2:$B$37,Phone_by_Sentiment!N$2:N$37,"",0,1)),_xlfn.XLOOKUP($C1620,Phone_by_Sentiment!$B$2:$B$37,Phone_by_Sentiment!N$2:N$37,"",0,1),0),$A1620-TEXT(DATEVALUE($D1620&amp;"-01"), "dd-mm-yyyy")),0),0)</f>
        <v>115</v>
      </c>
      <c r="O1620" cm="1">
        <f t="array" ref="O1620">IF($Q1620&gt;=0,IFERROR(generateSalesData($D1620, IF(ISNUMBER(_xlfn.XLOOKUP($C1620,Phone_by_Sentiment!$B$2:$B$37,Phone_by_Sentiment!O$2:O$37,"",0,1)),_xlfn.XLOOKUP($C1620,Phone_by_Sentiment!$B$2:$B$37,Phone_by_Sentiment!O$2:O$37,"",0,1),0),$A1620-TEXT(DATEVALUE($D1620&amp;"-01"), "dd-mm-yyyy")),0),0)</f>
        <v>733</v>
      </c>
      <c r="P1620" s="1">
        <f t="shared" si="64"/>
        <v>44440</v>
      </c>
      <c r="Q1620">
        <f t="shared" si="66"/>
        <v>426</v>
      </c>
    </row>
    <row r="1621" spans="1:17" x14ac:dyDescent="0.25">
      <c r="A1621" s="1">
        <f t="shared" si="65"/>
        <v>44866</v>
      </c>
      <c r="B1621" t="s">
        <v>154</v>
      </c>
      <c r="C1621" t="str">
        <f>_xlfn.XLOOKUP(B1621,Phone_by_Price!$A$2:$A$34,Phone_by_Price!$B$2:$B$34,"-",0,1)</f>
        <v>Samsung Galaxy S21</v>
      </c>
      <c r="D1621" t="str">
        <f>_xlfn.XLOOKUP(C1621,Phone_by_Sentiment!$B$2:$B$37,Phone_by_Sentiment!$A$2:$A$37,"-",0,1)</f>
        <v>2021-01</v>
      </c>
      <c r="E1621" cm="1">
        <f t="array" ref="E1621">IF($Q1621&gt;=0,IFERROR(generateSalesData($D1621, IF(ISNUMBER(_xlfn.XLOOKUP($C1621,Phone_by_Sentiment!$B$2:$B$37,Phone_by_Sentiment!E$2:E$37,"",0,1)),_xlfn.XLOOKUP($C1621,Phone_by_Sentiment!$B$2:$B$37,Phone_by_Sentiment!E$2:E$37,"",0,1),0),$A1621-TEXT(DATEVALUE($D1621&amp;"-01"), "dd-mm-yyyy")),0),0)</f>
        <v>763</v>
      </c>
      <c r="F1621" cm="1">
        <f t="array" ref="F1621">IF($Q1621&gt;=0,IFERROR(generateSalesData($D1621, IF(ISNUMBER(_xlfn.XLOOKUP($C1621,Phone_by_Sentiment!$B$2:$B$37,Phone_by_Sentiment!F$2:F$37,"",0,1)),_xlfn.XLOOKUP($C1621,Phone_by_Sentiment!$B$2:$B$37,Phone_by_Sentiment!F$2:F$37,"",0,1),0),$A1621-TEXT(DATEVALUE($D1621&amp;"-01"), "dd-mm-yyyy")),0),0)</f>
        <v>502</v>
      </c>
      <c r="G1621" cm="1">
        <f t="array" ref="G1621">IF($Q1621&gt;=0,IFERROR(generateSalesData($D1621, IF(ISNUMBER(_xlfn.XLOOKUP($C1621,Phone_by_Sentiment!$B$2:$B$37,Phone_by_Sentiment!G$2:G$37,"",0,1)),_xlfn.XLOOKUP($C1621,Phone_by_Sentiment!$B$2:$B$37,Phone_by_Sentiment!G$2:G$37,"",0,1),0),$A1621-TEXT(DATEVALUE($D1621&amp;"-01"), "dd-mm-yyyy")),0),0)</f>
        <v>95</v>
      </c>
      <c r="H1621" cm="1">
        <f t="array" ref="H1621">IF($Q1621&gt;=0,IFERROR(generateSalesData($D1621, IF(ISNUMBER(_xlfn.XLOOKUP($C1621,Phone_by_Sentiment!$B$2:$B$37,Phone_by_Sentiment!H$2:H$37,"",0,1)),_xlfn.XLOOKUP($C1621,Phone_by_Sentiment!$B$2:$B$37,Phone_by_Sentiment!H$2:H$37,"",0,1),0),$A1621-TEXT(DATEVALUE($D1621&amp;"-01"), "dd-mm-yyyy")),0),0)</f>
        <v>279</v>
      </c>
      <c r="I1621" cm="1">
        <f t="array" ref="I1621">IF($Q1621&gt;=0,IFERROR(generateSalesData($D1621, IF(ISNUMBER(_xlfn.XLOOKUP($C1621,Phone_by_Sentiment!$B$2:$B$37,Phone_by_Sentiment!I$2:I$37,"",0,1)),_xlfn.XLOOKUP($C1621,Phone_by_Sentiment!$B$2:$B$37,Phone_by_Sentiment!I$2:I$37,"",0,1),0),$A1621-TEXT(DATEVALUE($D1621&amp;"-01"), "dd-mm-yyyy")),0),0)</f>
        <v>470</v>
      </c>
      <c r="J1621" cm="1">
        <f t="array" ref="J1621">IF($Q1621&gt;=0,IFERROR(generateSalesData($D1621, IF(ISNUMBER(_xlfn.XLOOKUP($C1621,Phone_by_Sentiment!$B$2:$B$37,Phone_by_Sentiment!J$2:J$37,"",0,1)),_xlfn.XLOOKUP($C1621,Phone_by_Sentiment!$B$2:$B$37,Phone_by_Sentiment!J$2:J$37,"",0,1),0),$A1621-TEXT(DATEVALUE($D1621&amp;"-01"), "dd-mm-yyyy")),0),0)</f>
        <v>352</v>
      </c>
      <c r="K1621" cm="1">
        <f t="array" ref="K1621">IF($Q1621&gt;=0,IFERROR(generateSalesData($D1621, IF(ISNUMBER(_xlfn.XLOOKUP($C1621,Phone_by_Sentiment!$B$2:$B$37,Phone_by_Sentiment!K$2:K$37,"",0,1)),_xlfn.XLOOKUP($C1621,Phone_by_Sentiment!$B$2:$B$37,Phone_by_Sentiment!K$2:K$37,"",0,1),0),$A1621-TEXT(DATEVALUE($D1621&amp;"-01"), "dd-mm-yyyy")),0),0)</f>
        <v>2</v>
      </c>
      <c r="L1621" cm="1">
        <f t="array" ref="L1621">IF($Q1621&gt;=0,IFERROR(generateSalesData($D1621, IF(ISNUMBER(_xlfn.XLOOKUP($C1621,Phone_by_Sentiment!$B$2:$B$37,Phone_by_Sentiment!L$2:L$37,"",0,1)),_xlfn.XLOOKUP($C1621,Phone_by_Sentiment!$B$2:$B$37,Phone_by_Sentiment!L$2:L$37,"",0,1),0),$A1621-TEXT(DATEVALUE($D1621&amp;"-01"), "dd-mm-yyyy")),0),0)</f>
        <v>571</v>
      </c>
      <c r="M1621" cm="1">
        <f t="array" ref="M1621">IF($Q1621&gt;=0,IFERROR(generateSalesData($D1621, IF(ISNUMBER(_xlfn.XLOOKUP($C1621,Phone_by_Sentiment!$B$2:$B$37,Phone_by_Sentiment!M$2:M$37,"",0,1)),_xlfn.XLOOKUP($C1621,Phone_by_Sentiment!$B$2:$B$37,Phone_by_Sentiment!M$2:M$37,"",0,1),0),$A1621-TEXT(DATEVALUE($D1621&amp;"-01"), "dd-mm-yyyy")),0),0)</f>
        <v>296</v>
      </c>
      <c r="N1621" cm="1">
        <f t="array" ref="N1621">IF($Q1621&gt;=0,IFERROR(generateSalesData($D1621, IF(ISNUMBER(_xlfn.XLOOKUP($C1621,Phone_by_Sentiment!$B$2:$B$37,Phone_by_Sentiment!N$2:N$37,"",0,1)),_xlfn.XLOOKUP($C1621,Phone_by_Sentiment!$B$2:$B$37,Phone_by_Sentiment!N$2:N$37,"",0,1),0),$A1621-TEXT(DATEVALUE($D1621&amp;"-01"), "dd-mm-yyyy")),0),0)</f>
        <v>554</v>
      </c>
      <c r="O1621" cm="1">
        <f t="array" ref="O1621">IF($Q1621&gt;=0,IFERROR(generateSalesData($D1621, IF(ISNUMBER(_xlfn.XLOOKUP($C1621,Phone_by_Sentiment!$B$2:$B$37,Phone_by_Sentiment!O$2:O$37,"",0,1)),_xlfn.XLOOKUP($C1621,Phone_by_Sentiment!$B$2:$B$37,Phone_by_Sentiment!O$2:O$37,"",0,1),0),$A1621-TEXT(DATEVALUE($D1621&amp;"-01"), "dd-mm-yyyy")),0),0)</f>
        <v>388</v>
      </c>
      <c r="P1621" s="1">
        <f t="shared" si="64"/>
        <v>44197</v>
      </c>
      <c r="Q1621">
        <f t="shared" si="66"/>
        <v>669</v>
      </c>
    </row>
    <row r="1622" spans="1:17" x14ac:dyDescent="0.25">
      <c r="A1622" s="1">
        <f t="shared" si="65"/>
        <v>44866</v>
      </c>
      <c r="B1622" t="s">
        <v>155</v>
      </c>
      <c r="C1622" t="str">
        <f>_xlfn.XLOOKUP(B1622,Phone_by_Price!$A$2:$A$34,Phone_by_Price!$B$2:$B$34,"-",0,1)</f>
        <v>Google Pixel 6</v>
      </c>
      <c r="D1622" t="str">
        <f>_xlfn.XLOOKUP(C1622,Phone_by_Sentiment!$B$2:$B$37,Phone_by_Sentiment!$A$2:$A$37,"-",0,1)</f>
        <v>2021-10</v>
      </c>
      <c r="E1622" cm="1">
        <f t="array" ref="E1622">IF($Q1622&gt;=0,IFERROR(generateSalesData($D1622, IF(ISNUMBER(_xlfn.XLOOKUP($C1622,Phone_by_Sentiment!$B$2:$B$37,Phone_by_Sentiment!E$2:E$37,"",0,1)),_xlfn.XLOOKUP($C1622,Phone_by_Sentiment!$B$2:$B$37,Phone_by_Sentiment!E$2:E$37,"",0,1),0),$A1622-TEXT(DATEVALUE($D1622&amp;"-01"), "dd-mm-yyyy")),0),0)</f>
        <v>154</v>
      </c>
      <c r="F1622" cm="1">
        <f t="array" ref="F1622">IF($Q1622&gt;=0,IFERROR(generateSalesData($D1622, IF(ISNUMBER(_xlfn.XLOOKUP($C1622,Phone_by_Sentiment!$B$2:$B$37,Phone_by_Sentiment!F$2:F$37,"",0,1)),_xlfn.XLOOKUP($C1622,Phone_by_Sentiment!$B$2:$B$37,Phone_by_Sentiment!F$2:F$37,"",0,1),0),$A1622-TEXT(DATEVALUE($D1622&amp;"-01"), "dd-mm-yyyy")),0),0)</f>
        <v>115</v>
      </c>
      <c r="G1622" cm="1">
        <f t="array" ref="G1622">IF($Q1622&gt;=0,IFERROR(generateSalesData($D1622, IF(ISNUMBER(_xlfn.XLOOKUP($C1622,Phone_by_Sentiment!$B$2:$B$37,Phone_by_Sentiment!G$2:G$37,"",0,1)),_xlfn.XLOOKUP($C1622,Phone_by_Sentiment!$B$2:$B$37,Phone_by_Sentiment!G$2:G$37,"",0,1),0),$A1622-TEXT(DATEVALUE($D1622&amp;"-01"), "dd-mm-yyyy")),0),0)</f>
        <v>60</v>
      </c>
      <c r="H1622" cm="1">
        <f t="array" ref="H1622">IF($Q1622&gt;=0,IFERROR(generateSalesData($D1622, IF(ISNUMBER(_xlfn.XLOOKUP($C1622,Phone_by_Sentiment!$B$2:$B$37,Phone_by_Sentiment!H$2:H$37,"",0,1)),_xlfn.XLOOKUP($C1622,Phone_by_Sentiment!$B$2:$B$37,Phone_by_Sentiment!H$2:H$37,"",0,1),0),$A1622-TEXT(DATEVALUE($D1622&amp;"-01"), "dd-mm-yyyy")),0),0)</f>
        <v>75</v>
      </c>
      <c r="I1622" cm="1">
        <f t="array" ref="I1622">IF($Q1622&gt;=0,IFERROR(generateSalesData($D1622, IF(ISNUMBER(_xlfn.XLOOKUP($C1622,Phone_by_Sentiment!$B$2:$B$37,Phone_by_Sentiment!I$2:I$37,"",0,1)),_xlfn.XLOOKUP($C1622,Phone_by_Sentiment!$B$2:$B$37,Phone_by_Sentiment!I$2:I$37,"",0,1),0),$A1622-TEXT(DATEVALUE($D1622&amp;"-01"), "dd-mm-yyyy")),0),0)</f>
        <v>74</v>
      </c>
      <c r="J1622" cm="1">
        <f t="array" ref="J1622">IF($Q1622&gt;=0,IFERROR(generateSalesData($D1622, IF(ISNUMBER(_xlfn.XLOOKUP($C1622,Phone_by_Sentiment!$B$2:$B$37,Phone_by_Sentiment!J$2:J$37,"",0,1)),_xlfn.XLOOKUP($C1622,Phone_by_Sentiment!$B$2:$B$37,Phone_by_Sentiment!J$2:J$37,"",0,1),0),$A1622-TEXT(DATEVALUE($D1622&amp;"-01"), "dd-mm-yyyy")),0),0)</f>
        <v>70</v>
      </c>
      <c r="K1622" cm="1">
        <f t="array" ref="K1622">IF($Q1622&gt;=0,IFERROR(generateSalesData($D1622, IF(ISNUMBER(_xlfn.XLOOKUP($C1622,Phone_by_Sentiment!$B$2:$B$37,Phone_by_Sentiment!K$2:K$37,"",0,1)),_xlfn.XLOOKUP($C1622,Phone_by_Sentiment!$B$2:$B$37,Phone_by_Sentiment!K$2:K$37,"",0,1),0),$A1622-TEXT(DATEVALUE($D1622&amp;"-01"), "dd-mm-yyyy")),0),0)</f>
        <v>110</v>
      </c>
      <c r="L1622" cm="1">
        <f t="array" ref="L1622">IF($Q1622&gt;=0,IFERROR(generateSalesData($D1622, IF(ISNUMBER(_xlfn.XLOOKUP($C1622,Phone_by_Sentiment!$B$2:$B$37,Phone_by_Sentiment!L$2:L$37,"",0,1)),_xlfn.XLOOKUP($C1622,Phone_by_Sentiment!$B$2:$B$37,Phone_by_Sentiment!L$2:L$37,"",0,1),0),$A1622-TEXT(DATEVALUE($D1622&amp;"-01"), "dd-mm-yyyy")),0),0)</f>
        <v>79</v>
      </c>
      <c r="M1622" cm="1">
        <f t="array" ref="M1622">IF($Q1622&gt;=0,IFERROR(generateSalesData($D1622, IF(ISNUMBER(_xlfn.XLOOKUP($C1622,Phone_by_Sentiment!$B$2:$B$37,Phone_by_Sentiment!M$2:M$37,"",0,1)),_xlfn.XLOOKUP($C1622,Phone_by_Sentiment!$B$2:$B$37,Phone_by_Sentiment!M$2:M$37,"",0,1),0),$A1622-TEXT(DATEVALUE($D1622&amp;"-01"), "dd-mm-yyyy")),0),0)</f>
        <v>760</v>
      </c>
      <c r="N1622" cm="1">
        <f t="array" ref="N1622">IF($Q1622&gt;=0,IFERROR(generateSalesData($D1622, IF(ISNUMBER(_xlfn.XLOOKUP($C1622,Phone_by_Sentiment!$B$2:$B$37,Phone_by_Sentiment!N$2:N$37,"",0,1)),_xlfn.XLOOKUP($C1622,Phone_by_Sentiment!$B$2:$B$37,Phone_by_Sentiment!N$2:N$37,"",0,1),0),$A1622-TEXT(DATEVALUE($D1622&amp;"-01"), "dd-mm-yyyy")),0),0)</f>
        <v>76</v>
      </c>
      <c r="O1622" cm="1">
        <f t="array" ref="O1622">IF($Q1622&gt;=0,IFERROR(generateSalesData($D1622, IF(ISNUMBER(_xlfn.XLOOKUP($C1622,Phone_by_Sentiment!$B$2:$B$37,Phone_by_Sentiment!O$2:O$37,"",0,1)),_xlfn.XLOOKUP($C1622,Phone_by_Sentiment!$B$2:$B$37,Phone_by_Sentiment!O$2:O$37,"",0,1),0),$A1622-TEXT(DATEVALUE($D1622&amp;"-01"), "dd-mm-yyyy")),0),0)</f>
        <v>101</v>
      </c>
      <c r="P1622" s="1">
        <f t="shared" si="64"/>
        <v>44470</v>
      </c>
      <c r="Q1622">
        <f t="shared" si="66"/>
        <v>396</v>
      </c>
    </row>
    <row r="1623" spans="1:17" x14ac:dyDescent="0.25">
      <c r="A1623" s="1">
        <f t="shared" si="65"/>
        <v>44866</v>
      </c>
      <c r="B1623" t="s">
        <v>156</v>
      </c>
      <c r="C1623" t="str">
        <f>_xlfn.XLOOKUP(B1623,Phone_by_Price!$A$2:$A$34,Phone_by_Price!$B$2:$B$34,"-",0,1)</f>
        <v>OnePlus Nord CE</v>
      </c>
      <c r="D1623" t="str">
        <f>_xlfn.XLOOKUP(C1623,Phone_by_Sentiment!$B$2:$B$37,Phone_by_Sentiment!$A$2:$A$37,"-",0,1)</f>
        <v>2021-06</v>
      </c>
      <c r="E1623" cm="1">
        <f t="array" ref="E1623">IF($Q1623&gt;=0,IFERROR(generateSalesData($D1623, IF(ISNUMBER(_xlfn.XLOOKUP($C1623,Phone_by_Sentiment!$B$2:$B$37,Phone_by_Sentiment!E$2:E$37,"",0,1)),_xlfn.XLOOKUP($C1623,Phone_by_Sentiment!$B$2:$B$37,Phone_by_Sentiment!E$2:E$37,"",0,1),0),$A1623-TEXT(DATEVALUE($D1623&amp;"-01"), "dd-mm-yyyy")),0),0)</f>
        <v>68</v>
      </c>
      <c r="F1623" cm="1">
        <f t="array" ref="F1623">IF($Q1623&gt;=0,IFERROR(generateSalesData($D1623, IF(ISNUMBER(_xlfn.XLOOKUP($C1623,Phone_by_Sentiment!$B$2:$B$37,Phone_by_Sentiment!F$2:F$37,"",0,1)),_xlfn.XLOOKUP($C1623,Phone_by_Sentiment!$B$2:$B$37,Phone_by_Sentiment!F$2:F$37,"",0,1),0),$A1623-TEXT(DATEVALUE($D1623&amp;"-01"), "dd-mm-yyyy")),0),0)</f>
        <v>32</v>
      </c>
      <c r="G1623" cm="1">
        <f t="array" ref="G1623">IF($Q1623&gt;=0,IFERROR(generateSalesData($D1623, IF(ISNUMBER(_xlfn.XLOOKUP($C1623,Phone_by_Sentiment!$B$2:$B$37,Phone_by_Sentiment!G$2:G$37,"",0,1)),_xlfn.XLOOKUP($C1623,Phone_by_Sentiment!$B$2:$B$37,Phone_by_Sentiment!G$2:G$37,"",0,1),0),$A1623-TEXT(DATEVALUE($D1623&amp;"-01"), "dd-mm-yyyy")),0),0)</f>
        <v>-14</v>
      </c>
      <c r="H1623" cm="1">
        <f t="array" ref="H1623">IF($Q1623&gt;=0,IFERROR(generateSalesData($D1623, IF(ISNUMBER(_xlfn.XLOOKUP($C1623,Phone_by_Sentiment!$B$2:$B$37,Phone_by_Sentiment!H$2:H$37,"",0,1)),_xlfn.XLOOKUP($C1623,Phone_by_Sentiment!$B$2:$B$37,Phone_by_Sentiment!H$2:H$37,"",0,1),0),$A1623-TEXT(DATEVALUE($D1623&amp;"-01"), "dd-mm-yyyy")),0),0)</f>
        <v>719</v>
      </c>
      <c r="I1623" cm="1">
        <f t="array" ref="I1623">IF($Q1623&gt;=0,IFERROR(generateSalesData($D1623, IF(ISNUMBER(_xlfn.XLOOKUP($C1623,Phone_by_Sentiment!$B$2:$B$37,Phone_by_Sentiment!I$2:I$37,"",0,1)),_xlfn.XLOOKUP($C1623,Phone_by_Sentiment!$B$2:$B$37,Phone_by_Sentiment!I$2:I$37,"",0,1),0),$A1623-TEXT(DATEVALUE($D1623&amp;"-01"), "dd-mm-yyyy")),0),0)</f>
        <v>46</v>
      </c>
      <c r="J1623" cm="1">
        <f t="array" ref="J1623">IF($Q1623&gt;=0,IFERROR(generateSalesData($D1623, IF(ISNUMBER(_xlfn.XLOOKUP($C1623,Phone_by_Sentiment!$B$2:$B$37,Phone_by_Sentiment!J$2:J$37,"",0,1)),_xlfn.XLOOKUP($C1623,Phone_by_Sentiment!$B$2:$B$37,Phone_by_Sentiment!J$2:J$37,"",0,1),0),$A1623-TEXT(DATEVALUE($D1623&amp;"-01"), "dd-mm-yyyy")),0),0)</f>
        <v>97</v>
      </c>
      <c r="K1623" cm="1">
        <f t="array" ref="K1623">IF($Q1623&gt;=0,IFERROR(generateSalesData($D1623, IF(ISNUMBER(_xlfn.XLOOKUP($C1623,Phone_by_Sentiment!$B$2:$B$37,Phone_by_Sentiment!K$2:K$37,"",0,1)),_xlfn.XLOOKUP($C1623,Phone_by_Sentiment!$B$2:$B$37,Phone_by_Sentiment!K$2:K$37,"",0,1),0),$A1623-TEXT(DATEVALUE($D1623&amp;"-01"), "dd-mm-yyyy")),0),0)</f>
        <v>37</v>
      </c>
      <c r="L1623" cm="1">
        <f t="array" ref="L1623">IF($Q1623&gt;=0,IFERROR(generateSalesData($D1623, IF(ISNUMBER(_xlfn.XLOOKUP($C1623,Phone_by_Sentiment!$B$2:$B$37,Phone_by_Sentiment!L$2:L$37,"",0,1)),_xlfn.XLOOKUP($C1623,Phone_by_Sentiment!$B$2:$B$37,Phone_by_Sentiment!L$2:L$37,"",0,1),0),$A1623-TEXT(DATEVALUE($D1623&amp;"-01"), "dd-mm-yyyy")),0),0)</f>
        <v>114</v>
      </c>
      <c r="M1623" cm="1">
        <f t="array" ref="M1623">IF($Q1623&gt;=0,IFERROR(generateSalesData($D1623, IF(ISNUMBER(_xlfn.XLOOKUP($C1623,Phone_by_Sentiment!$B$2:$B$37,Phone_by_Sentiment!M$2:M$37,"",0,1)),_xlfn.XLOOKUP($C1623,Phone_by_Sentiment!$B$2:$B$37,Phone_by_Sentiment!M$2:M$37,"",0,1),0),$A1623-TEXT(DATEVALUE($D1623&amp;"-01"), "dd-mm-yyyy")),0),0)</f>
        <v>39</v>
      </c>
      <c r="N1623" cm="1">
        <f t="array" ref="N1623">IF($Q1623&gt;=0,IFERROR(generateSalesData($D1623, IF(ISNUMBER(_xlfn.XLOOKUP($C1623,Phone_by_Sentiment!$B$2:$B$37,Phone_by_Sentiment!N$2:N$37,"",0,1)),_xlfn.XLOOKUP($C1623,Phone_by_Sentiment!$B$2:$B$37,Phone_by_Sentiment!N$2:N$37,"",0,1),0),$A1623-TEXT(DATEVALUE($D1623&amp;"-01"), "dd-mm-yyyy")),0),0)</f>
        <v>568</v>
      </c>
      <c r="O1623" cm="1">
        <f t="array" ref="O1623">IF($Q1623&gt;=0,IFERROR(generateSalesData($D1623, IF(ISNUMBER(_xlfn.XLOOKUP($C1623,Phone_by_Sentiment!$B$2:$B$37,Phone_by_Sentiment!O$2:O$37,"",0,1)),_xlfn.XLOOKUP($C1623,Phone_by_Sentiment!$B$2:$B$37,Phone_by_Sentiment!O$2:O$37,"",0,1),0),$A1623-TEXT(DATEVALUE($D1623&amp;"-01"), "dd-mm-yyyy")),0),0)</f>
        <v>-2</v>
      </c>
      <c r="P1623" s="1">
        <f t="shared" si="64"/>
        <v>44348</v>
      </c>
      <c r="Q1623">
        <f t="shared" si="66"/>
        <v>518</v>
      </c>
    </row>
    <row r="1624" spans="1:17" x14ac:dyDescent="0.25">
      <c r="A1624" s="1">
        <f t="shared" si="65"/>
        <v>44866</v>
      </c>
      <c r="B1624" t="s">
        <v>157</v>
      </c>
      <c r="C1624" t="str">
        <f>_xlfn.XLOOKUP(B1624,Phone_by_Price!$A$2:$A$34,Phone_by_Price!$B$2:$B$34,"-",0,1)</f>
        <v>Apple iPhone 13 Pro</v>
      </c>
      <c r="D1624" t="str">
        <f>_xlfn.XLOOKUP(C1624,Phone_by_Sentiment!$B$2:$B$37,Phone_by_Sentiment!$A$2:$A$37,"-",0,1)</f>
        <v>2021-09</v>
      </c>
      <c r="E1624" cm="1">
        <f t="array" ref="E1624">IF($Q1624&gt;=0,IFERROR(generateSalesData($D1624, IF(ISNUMBER(_xlfn.XLOOKUP($C1624,Phone_by_Sentiment!$B$2:$B$37,Phone_by_Sentiment!E$2:E$37,"",0,1)),_xlfn.XLOOKUP($C1624,Phone_by_Sentiment!$B$2:$B$37,Phone_by_Sentiment!E$2:E$37,"",0,1),0),$A1624-TEXT(DATEVALUE($D1624&amp;"-01"), "dd-mm-yyyy")),0),0)</f>
        <v>466</v>
      </c>
      <c r="F1624" cm="1">
        <f t="array" ref="F1624">IF($Q1624&gt;=0,IFERROR(generateSalesData($D1624, IF(ISNUMBER(_xlfn.XLOOKUP($C1624,Phone_by_Sentiment!$B$2:$B$37,Phone_by_Sentiment!F$2:F$37,"",0,1)),_xlfn.XLOOKUP($C1624,Phone_by_Sentiment!$B$2:$B$37,Phone_by_Sentiment!F$2:F$37,"",0,1),0),$A1624-TEXT(DATEVALUE($D1624&amp;"-01"), "dd-mm-yyyy")),0),0)</f>
        <v>809</v>
      </c>
      <c r="G1624" cm="1">
        <f t="array" ref="G1624">IF($Q1624&gt;=0,IFERROR(generateSalesData($D1624, IF(ISNUMBER(_xlfn.XLOOKUP($C1624,Phone_by_Sentiment!$B$2:$B$37,Phone_by_Sentiment!G$2:G$37,"",0,1)),_xlfn.XLOOKUP($C1624,Phone_by_Sentiment!$B$2:$B$37,Phone_by_Sentiment!G$2:G$37,"",0,1),0),$A1624-TEXT(DATEVALUE($D1624&amp;"-01"), "dd-mm-yyyy")),0),0)</f>
        <v>172</v>
      </c>
      <c r="H1624" cm="1">
        <f t="array" ref="H1624">IF($Q1624&gt;=0,IFERROR(generateSalesData($D1624, IF(ISNUMBER(_xlfn.XLOOKUP($C1624,Phone_by_Sentiment!$B$2:$B$37,Phone_by_Sentiment!H$2:H$37,"",0,1)),_xlfn.XLOOKUP($C1624,Phone_by_Sentiment!$B$2:$B$37,Phone_by_Sentiment!H$2:H$37,"",0,1),0),$A1624-TEXT(DATEVALUE($D1624&amp;"-01"), "dd-mm-yyyy")),0),0)</f>
        <v>759</v>
      </c>
      <c r="I1624" cm="1">
        <f t="array" ref="I1624">IF($Q1624&gt;=0,IFERROR(generateSalesData($D1624, IF(ISNUMBER(_xlfn.XLOOKUP($C1624,Phone_by_Sentiment!$B$2:$B$37,Phone_by_Sentiment!I$2:I$37,"",0,1)),_xlfn.XLOOKUP($C1624,Phone_by_Sentiment!$B$2:$B$37,Phone_by_Sentiment!I$2:I$37,"",0,1),0),$A1624-TEXT(DATEVALUE($D1624&amp;"-01"), "dd-mm-yyyy")),0),0)</f>
        <v>606</v>
      </c>
      <c r="J1624" cm="1">
        <f t="array" ref="J1624">IF($Q1624&gt;=0,IFERROR(generateSalesData($D1624, IF(ISNUMBER(_xlfn.XLOOKUP($C1624,Phone_by_Sentiment!$B$2:$B$37,Phone_by_Sentiment!J$2:J$37,"",0,1)),_xlfn.XLOOKUP($C1624,Phone_by_Sentiment!$B$2:$B$37,Phone_by_Sentiment!J$2:J$37,"",0,1),0),$A1624-TEXT(DATEVALUE($D1624&amp;"-01"), "dd-mm-yyyy")),0),0)</f>
        <v>733</v>
      </c>
      <c r="K1624" cm="1">
        <f t="array" ref="K1624">IF($Q1624&gt;=0,IFERROR(generateSalesData($D1624, IF(ISNUMBER(_xlfn.XLOOKUP($C1624,Phone_by_Sentiment!$B$2:$B$37,Phone_by_Sentiment!K$2:K$37,"",0,1)),_xlfn.XLOOKUP($C1624,Phone_by_Sentiment!$B$2:$B$37,Phone_by_Sentiment!K$2:K$37,"",0,1),0),$A1624-TEXT(DATEVALUE($D1624&amp;"-01"), "dd-mm-yyyy")),0),0)</f>
        <v>422</v>
      </c>
      <c r="L1624" cm="1">
        <f t="array" ref="L1624">IF($Q1624&gt;=0,IFERROR(generateSalesData($D1624, IF(ISNUMBER(_xlfn.XLOOKUP($C1624,Phone_by_Sentiment!$B$2:$B$37,Phone_by_Sentiment!L$2:L$37,"",0,1)),_xlfn.XLOOKUP($C1624,Phone_by_Sentiment!$B$2:$B$37,Phone_by_Sentiment!L$2:L$37,"",0,1),0),$A1624-TEXT(DATEVALUE($D1624&amp;"-01"), "dd-mm-yyyy")),0),0)</f>
        <v>791</v>
      </c>
      <c r="M1624" cm="1">
        <f t="array" ref="M1624">IF($Q1624&gt;=0,IFERROR(generateSalesData($D1624, IF(ISNUMBER(_xlfn.XLOOKUP($C1624,Phone_by_Sentiment!$B$2:$B$37,Phone_by_Sentiment!M$2:M$37,"",0,1)),_xlfn.XLOOKUP($C1624,Phone_by_Sentiment!$B$2:$B$37,Phone_by_Sentiment!M$2:M$37,"",0,1),0),$A1624-TEXT(DATEVALUE($D1624&amp;"-01"), "dd-mm-yyyy")),0),0)</f>
        <v>824</v>
      </c>
      <c r="N1624" cm="1">
        <f t="array" ref="N1624">IF($Q1624&gt;=0,IFERROR(generateSalesData($D1624, IF(ISNUMBER(_xlfn.XLOOKUP($C1624,Phone_by_Sentiment!$B$2:$B$37,Phone_by_Sentiment!N$2:N$37,"",0,1)),_xlfn.XLOOKUP($C1624,Phone_by_Sentiment!$B$2:$B$37,Phone_by_Sentiment!N$2:N$37,"",0,1),0),$A1624-TEXT(DATEVALUE($D1624&amp;"-01"), "dd-mm-yyyy")),0),0)</f>
        <v>339</v>
      </c>
      <c r="O1624" cm="1">
        <f t="array" ref="O1624">IF($Q1624&gt;=0,IFERROR(generateSalesData($D1624, IF(ISNUMBER(_xlfn.XLOOKUP($C1624,Phone_by_Sentiment!$B$2:$B$37,Phone_by_Sentiment!O$2:O$37,"",0,1)),_xlfn.XLOOKUP($C1624,Phone_by_Sentiment!$B$2:$B$37,Phone_by_Sentiment!O$2:O$37,"",0,1),0),$A1624-TEXT(DATEVALUE($D1624&amp;"-01"), "dd-mm-yyyy")),0),0)</f>
        <v>741</v>
      </c>
      <c r="P1624" s="1">
        <f t="shared" si="64"/>
        <v>44440</v>
      </c>
      <c r="Q1624">
        <f t="shared" si="66"/>
        <v>426</v>
      </c>
    </row>
    <row r="1625" spans="1:17" x14ac:dyDescent="0.25">
      <c r="A1625" s="1">
        <f t="shared" si="65"/>
        <v>44866</v>
      </c>
      <c r="B1625" t="s">
        <v>158</v>
      </c>
      <c r="C1625" t="str">
        <f>_xlfn.XLOOKUP(B1625,Phone_by_Price!$A$2:$A$34,Phone_by_Price!$B$2:$B$34,"-",0,1)</f>
        <v>Samsung Galaxy A32 5G</v>
      </c>
      <c r="D1625" t="str">
        <f>_xlfn.XLOOKUP(C1625,Phone_by_Sentiment!$B$2:$B$37,Phone_by_Sentiment!$A$2:$A$37,"-",0,1)</f>
        <v>2021-02</v>
      </c>
      <c r="E1625" cm="1">
        <f t="array" ref="E1625">IF($Q1625&gt;=0,IFERROR(generateSalesData($D1625, IF(ISNUMBER(_xlfn.XLOOKUP($C1625,Phone_by_Sentiment!$B$2:$B$37,Phone_by_Sentiment!E$2:E$37,"",0,1)),_xlfn.XLOOKUP($C1625,Phone_by_Sentiment!$B$2:$B$37,Phone_by_Sentiment!E$2:E$37,"",0,1),0),$A1625-TEXT(DATEVALUE($D1625&amp;"-01"), "dd-mm-yyyy")),0),0)</f>
        <v>220</v>
      </c>
      <c r="F1625" cm="1">
        <f t="array" ref="F1625">IF($Q1625&gt;=0,IFERROR(generateSalesData($D1625, IF(ISNUMBER(_xlfn.XLOOKUP($C1625,Phone_by_Sentiment!$B$2:$B$37,Phone_by_Sentiment!F$2:F$37,"",0,1)),_xlfn.XLOOKUP($C1625,Phone_by_Sentiment!$B$2:$B$37,Phone_by_Sentiment!F$2:F$37,"",0,1),0),$A1625-TEXT(DATEVALUE($D1625&amp;"-01"), "dd-mm-yyyy")),0),0)</f>
        <v>252</v>
      </c>
      <c r="G1625" cm="1">
        <f t="array" ref="G1625">IF($Q1625&gt;=0,IFERROR(generateSalesData($D1625, IF(ISNUMBER(_xlfn.XLOOKUP($C1625,Phone_by_Sentiment!$B$2:$B$37,Phone_by_Sentiment!G$2:G$37,"",0,1)),_xlfn.XLOOKUP($C1625,Phone_by_Sentiment!$B$2:$B$37,Phone_by_Sentiment!G$2:G$37,"",0,1),0),$A1625-TEXT(DATEVALUE($D1625&amp;"-01"), "dd-mm-yyyy")),0),0)</f>
        <v>17</v>
      </c>
      <c r="H1625" cm="1">
        <f t="array" ref="H1625">IF($Q1625&gt;=0,IFERROR(generateSalesData($D1625, IF(ISNUMBER(_xlfn.XLOOKUP($C1625,Phone_by_Sentiment!$B$2:$B$37,Phone_by_Sentiment!H$2:H$37,"",0,1)),_xlfn.XLOOKUP($C1625,Phone_by_Sentiment!$B$2:$B$37,Phone_by_Sentiment!H$2:H$37,"",0,1),0),$A1625-TEXT(DATEVALUE($D1625&amp;"-01"), "dd-mm-yyyy")),0),0)</f>
        <v>129</v>
      </c>
      <c r="I1625" cm="1">
        <f t="array" ref="I1625">IF($Q1625&gt;=0,IFERROR(generateSalesData($D1625, IF(ISNUMBER(_xlfn.XLOOKUP($C1625,Phone_by_Sentiment!$B$2:$B$37,Phone_by_Sentiment!I$2:I$37,"",0,1)),_xlfn.XLOOKUP($C1625,Phone_by_Sentiment!$B$2:$B$37,Phone_by_Sentiment!I$2:I$37,"",0,1),0),$A1625-TEXT(DATEVALUE($D1625&amp;"-01"), "dd-mm-yyyy")),0),0)</f>
        <v>364</v>
      </c>
      <c r="J1625" cm="1">
        <f t="array" ref="J1625">IF($Q1625&gt;=0,IFERROR(generateSalesData($D1625, IF(ISNUMBER(_xlfn.XLOOKUP($C1625,Phone_by_Sentiment!$B$2:$B$37,Phone_by_Sentiment!J$2:J$37,"",0,1)),_xlfn.XLOOKUP($C1625,Phone_by_Sentiment!$B$2:$B$37,Phone_by_Sentiment!J$2:J$37,"",0,1),0),$A1625-TEXT(DATEVALUE($D1625&amp;"-01"), "dd-mm-yyyy")),0),0)</f>
        <v>251</v>
      </c>
      <c r="K1625" cm="1">
        <f t="array" ref="K1625">IF($Q1625&gt;=0,IFERROR(generateSalesData($D1625, IF(ISNUMBER(_xlfn.XLOOKUP($C1625,Phone_by_Sentiment!$B$2:$B$37,Phone_by_Sentiment!K$2:K$37,"",0,1)),_xlfn.XLOOKUP($C1625,Phone_by_Sentiment!$B$2:$B$37,Phone_by_Sentiment!K$2:K$37,"",0,1),0),$A1625-TEXT(DATEVALUE($D1625&amp;"-01"), "dd-mm-yyyy")),0),0)</f>
        <v>451</v>
      </c>
      <c r="L1625" cm="1">
        <f t="array" ref="L1625">IF($Q1625&gt;=0,IFERROR(generateSalesData($D1625, IF(ISNUMBER(_xlfn.XLOOKUP($C1625,Phone_by_Sentiment!$B$2:$B$37,Phone_by_Sentiment!L$2:L$37,"",0,1)),_xlfn.XLOOKUP($C1625,Phone_by_Sentiment!$B$2:$B$37,Phone_by_Sentiment!L$2:L$37,"",0,1),0),$A1625-TEXT(DATEVALUE($D1625&amp;"-01"), "dd-mm-yyyy")),0),0)</f>
        <v>18</v>
      </c>
      <c r="M1625" cm="1">
        <f t="array" ref="M1625">IF($Q1625&gt;=0,IFERROR(generateSalesData($D1625, IF(ISNUMBER(_xlfn.XLOOKUP($C1625,Phone_by_Sentiment!$B$2:$B$37,Phone_by_Sentiment!M$2:M$37,"",0,1)),_xlfn.XLOOKUP($C1625,Phone_by_Sentiment!$B$2:$B$37,Phone_by_Sentiment!M$2:M$37,"",0,1),0),$A1625-TEXT(DATEVALUE($D1625&amp;"-01"), "dd-mm-yyyy")),0),0)</f>
        <v>363</v>
      </c>
      <c r="N1625" cm="1">
        <f t="array" ref="N1625">IF($Q1625&gt;=0,IFERROR(generateSalesData($D1625, IF(ISNUMBER(_xlfn.XLOOKUP($C1625,Phone_by_Sentiment!$B$2:$B$37,Phone_by_Sentiment!N$2:N$37,"",0,1)),_xlfn.XLOOKUP($C1625,Phone_by_Sentiment!$B$2:$B$37,Phone_by_Sentiment!N$2:N$37,"",0,1),0),$A1625-TEXT(DATEVALUE($D1625&amp;"-01"), "dd-mm-yyyy")),0),0)</f>
        <v>210</v>
      </c>
      <c r="O1625" cm="1">
        <f t="array" ref="O1625">IF($Q1625&gt;=0,IFERROR(generateSalesData($D1625, IF(ISNUMBER(_xlfn.XLOOKUP($C1625,Phone_by_Sentiment!$B$2:$B$37,Phone_by_Sentiment!O$2:O$37,"",0,1)),_xlfn.XLOOKUP($C1625,Phone_by_Sentiment!$B$2:$B$37,Phone_by_Sentiment!O$2:O$37,"",0,1),0),$A1625-TEXT(DATEVALUE($D1625&amp;"-01"), "dd-mm-yyyy")),0),0)</f>
        <v>91</v>
      </c>
      <c r="P1625" s="1">
        <f t="shared" si="64"/>
        <v>44228</v>
      </c>
      <c r="Q1625">
        <f t="shared" si="66"/>
        <v>638</v>
      </c>
    </row>
    <row r="1626" spans="1:17" x14ac:dyDescent="0.25">
      <c r="A1626" s="1">
        <f t="shared" si="65"/>
        <v>44866</v>
      </c>
      <c r="B1626" t="s">
        <v>159</v>
      </c>
      <c r="C1626" t="str">
        <f>_xlfn.XLOOKUP(B1626,Phone_by_Price!$A$2:$A$34,Phone_by_Price!$B$2:$B$34,"-",0,1)</f>
        <v>Realme C25</v>
      </c>
      <c r="D1626" t="str">
        <f>_xlfn.XLOOKUP(C1626,Phone_by_Sentiment!$B$2:$B$37,Phone_by_Sentiment!$A$2:$A$37,"-",0,1)</f>
        <v>2021-03</v>
      </c>
      <c r="E1626" cm="1">
        <f t="array" ref="E1626">IF($Q1626&gt;=0,IFERROR(generateSalesData($D1626, IF(ISNUMBER(_xlfn.XLOOKUP($C1626,Phone_by_Sentiment!$B$2:$B$37,Phone_by_Sentiment!E$2:E$37,"",0,1)),_xlfn.XLOOKUP($C1626,Phone_by_Sentiment!$B$2:$B$37,Phone_by_Sentiment!E$2:E$37,"",0,1),0),$A1626-TEXT(DATEVALUE($D1626&amp;"-01"), "dd-mm-yyyy")),0),0)</f>
        <v>119</v>
      </c>
      <c r="F1626" cm="1">
        <f t="array" ref="F1626">IF($Q1626&gt;=0,IFERROR(generateSalesData($D1626, IF(ISNUMBER(_xlfn.XLOOKUP($C1626,Phone_by_Sentiment!$B$2:$B$37,Phone_by_Sentiment!F$2:F$37,"",0,1)),_xlfn.XLOOKUP($C1626,Phone_by_Sentiment!$B$2:$B$37,Phone_by_Sentiment!F$2:F$37,"",0,1),0),$A1626-TEXT(DATEVALUE($D1626&amp;"-01"), "dd-mm-yyyy")),0),0)</f>
        <v>355</v>
      </c>
      <c r="G1626" cm="1">
        <f t="array" ref="G1626">IF($Q1626&gt;=0,IFERROR(generateSalesData($D1626, IF(ISNUMBER(_xlfn.XLOOKUP($C1626,Phone_by_Sentiment!$B$2:$B$37,Phone_by_Sentiment!G$2:G$37,"",0,1)),_xlfn.XLOOKUP($C1626,Phone_by_Sentiment!$B$2:$B$37,Phone_by_Sentiment!G$2:G$37,"",0,1),0),$A1626-TEXT(DATEVALUE($D1626&amp;"-01"), "dd-mm-yyyy")),0),0)</f>
        <v>96</v>
      </c>
      <c r="H1626" cm="1">
        <f t="array" ref="H1626">IF($Q1626&gt;=0,IFERROR(generateSalesData($D1626, IF(ISNUMBER(_xlfn.XLOOKUP($C1626,Phone_by_Sentiment!$B$2:$B$37,Phone_by_Sentiment!H$2:H$37,"",0,1)),_xlfn.XLOOKUP($C1626,Phone_by_Sentiment!$B$2:$B$37,Phone_by_Sentiment!H$2:H$37,"",0,1),0),$A1626-TEXT(DATEVALUE($D1626&amp;"-01"), "dd-mm-yyyy")),0),0)</f>
        <v>388</v>
      </c>
      <c r="I1626" cm="1">
        <f t="array" ref="I1626">IF($Q1626&gt;=0,IFERROR(generateSalesData($D1626, IF(ISNUMBER(_xlfn.XLOOKUP($C1626,Phone_by_Sentiment!$B$2:$B$37,Phone_by_Sentiment!I$2:I$37,"",0,1)),_xlfn.XLOOKUP($C1626,Phone_by_Sentiment!$B$2:$B$37,Phone_by_Sentiment!I$2:I$37,"",0,1),0),$A1626-TEXT(DATEVALUE($D1626&amp;"-01"), "dd-mm-yyyy")),0),0)</f>
        <v>480</v>
      </c>
      <c r="J1626" cm="1">
        <f t="array" ref="J1626">IF($Q1626&gt;=0,IFERROR(generateSalesData($D1626, IF(ISNUMBER(_xlfn.XLOOKUP($C1626,Phone_by_Sentiment!$B$2:$B$37,Phone_by_Sentiment!J$2:J$37,"",0,1)),_xlfn.XLOOKUP($C1626,Phone_by_Sentiment!$B$2:$B$37,Phone_by_Sentiment!J$2:J$37,"",0,1),0),$A1626-TEXT(DATEVALUE($D1626&amp;"-01"), "dd-mm-yyyy")),0),0)</f>
        <v>121</v>
      </c>
      <c r="K1626" cm="1">
        <f t="array" ref="K1626">IF($Q1626&gt;=0,IFERROR(generateSalesData($D1626, IF(ISNUMBER(_xlfn.XLOOKUP($C1626,Phone_by_Sentiment!$B$2:$B$37,Phone_by_Sentiment!K$2:K$37,"",0,1)),_xlfn.XLOOKUP($C1626,Phone_by_Sentiment!$B$2:$B$37,Phone_by_Sentiment!K$2:K$37,"",0,1),0),$A1626-TEXT(DATEVALUE($D1626&amp;"-01"), "dd-mm-yyyy")),0),0)</f>
        <v>299</v>
      </c>
      <c r="L1626" cm="1">
        <f t="array" ref="L1626">IF($Q1626&gt;=0,IFERROR(generateSalesData($D1626, IF(ISNUMBER(_xlfn.XLOOKUP($C1626,Phone_by_Sentiment!$B$2:$B$37,Phone_by_Sentiment!L$2:L$37,"",0,1)),_xlfn.XLOOKUP($C1626,Phone_by_Sentiment!$B$2:$B$37,Phone_by_Sentiment!L$2:L$37,"",0,1),0),$A1626-TEXT(DATEVALUE($D1626&amp;"-01"), "dd-mm-yyyy")),0),0)</f>
        <v>352</v>
      </c>
      <c r="M1626" cm="1">
        <f t="array" ref="M1626">IF($Q1626&gt;=0,IFERROR(generateSalesData($D1626, IF(ISNUMBER(_xlfn.XLOOKUP($C1626,Phone_by_Sentiment!$B$2:$B$37,Phone_by_Sentiment!M$2:M$37,"",0,1)),_xlfn.XLOOKUP($C1626,Phone_by_Sentiment!$B$2:$B$37,Phone_by_Sentiment!M$2:M$37,"",0,1),0),$A1626-TEXT(DATEVALUE($D1626&amp;"-01"), "dd-mm-yyyy")),0),0)</f>
        <v>146</v>
      </c>
      <c r="N1626" cm="1">
        <f t="array" ref="N1626">IF($Q1626&gt;=0,IFERROR(generateSalesData($D1626, IF(ISNUMBER(_xlfn.XLOOKUP($C1626,Phone_by_Sentiment!$B$2:$B$37,Phone_by_Sentiment!N$2:N$37,"",0,1)),_xlfn.XLOOKUP($C1626,Phone_by_Sentiment!$B$2:$B$37,Phone_by_Sentiment!N$2:N$37,"",0,1),0),$A1626-TEXT(DATEVALUE($D1626&amp;"-01"), "dd-mm-yyyy")),0),0)</f>
        <v>361</v>
      </c>
      <c r="O1626" cm="1">
        <f t="array" ref="O1626">IF($Q1626&gt;=0,IFERROR(generateSalesData($D1626, IF(ISNUMBER(_xlfn.XLOOKUP($C1626,Phone_by_Sentiment!$B$2:$B$37,Phone_by_Sentiment!O$2:O$37,"",0,1)),_xlfn.XLOOKUP($C1626,Phone_by_Sentiment!$B$2:$B$37,Phone_by_Sentiment!O$2:O$37,"",0,1),0),$A1626-TEXT(DATEVALUE($D1626&amp;"-01"), "dd-mm-yyyy")),0),0)</f>
        <v>30</v>
      </c>
      <c r="P1626" s="1">
        <f t="shared" si="64"/>
        <v>44256</v>
      </c>
      <c r="Q1626">
        <f t="shared" si="66"/>
        <v>610</v>
      </c>
    </row>
    <row r="1627" spans="1:17" x14ac:dyDescent="0.25">
      <c r="A1627" s="1">
        <f t="shared" si="65"/>
        <v>44866</v>
      </c>
      <c r="B1627" t="s">
        <v>160</v>
      </c>
      <c r="C1627" t="str">
        <f>_xlfn.XLOOKUP(B1627,Phone_by_Price!$A$2:$A$34,Phone_by_Price!$B$2:$B$34,"-",0,1)</f>
        <v>Xiaomi Poco X3 Pro</v>
      </c>
      <c r="D1627" t="str">
        <f>_xlfn.XLOOKUP(C1627,Phone_by_Sentiment!$B$2:$B$37,Phone_by_Sentiment!$A$2:$A$37,"-",0,1)</f>
        <v>2021-05</v>
      </c>
      <c r="E1627" cm="1">
        <f t="array" ref="E1627">IF($Q1627&gt;=0,IFERROR(generateSalesData($D1627, IF(ISNUMBER(_xlfn.XLOOKUP($C1627,Phone_by_Sentiment!$B$2:$B$37,Phone_by_Sentiment!E$2:E$37,"",0,1)),_xlfn.XLOOKUP($C1627,Phone_by_Sentiment!$B$2:$B$37,Phone_by_Sentiment!E$2:E$37,"",0,1),0),$A1627-TEXT(DATEVALUE($D1627&amp;"-01"), "dd-mm-yyyy")),0),0)</f>
        <v>82</v>
      </c>
      <c r="F1627" cm="1">
        <f t="array" ref="F1627">IF($Q1627&gt;=0,IFERROR(generateSalesData($D1627, IF(ISNUMBER(_xlfn.XLOOKUP($C1627,Phone_by_Sentiment!$B$2:$B$37,Phone_by_Sentiment!F$2:F$37,"",0,1)),_xlfn.XLOOKUP($C1627,Phone_by_Sentiment!$B$2:$B$37,Phone_by_Sentiment!F$2:F$37,"",0,1),0),$A1627-TEXT(DATEVALUE($D1627&amp;"-01"), "dd-mm-yyyy")),0),0)</f>
        <v>123</v>
      </c>
      <c r="G1627" cm="1">
        <f t="array" ref="G1627">IF($Q1627&gt;=0,IFERROR(generateSalesData($D1627, IF(ISNUMBER(_xlfn.XLOOKUP($C1627,Phone_by_Sentiment!$B$2:$B$37,Phone_by_Sentiment!G$2:G$37,"",0,1)),_xlfn.XLOOKUP($C1627,Phone_by_Sentiment!$B$2:$B$37,Phone_by_Sentiment!G$2:G$37,"",0,1),0),$A1627-TEXT(DATEVALUE($D1627&amp;"-01"), "dd-mm-yyyy")),0),0)</f>
        <v>125</v>
      </c>
      <c r="H1627" cm="1">
        <f t="array" ref="H1627">IF($Q1627&gt;=0,IFERROR(generateSalesData($D1627, IF(ISNUMBER(_xlfn.XLOOKUP($C1627,Phone_by_Sentiment!$B$2:$B$37,Phone_by_Sentiment!H$2:H$37,"",0,1)),_xlfn.XLOOKUP($C1627,Phone_by_Sentiment!$B$2:$B$37,Phone_by_Sentiment!H$2:H$37,"",0,1),0),$A1627-TEXT(DATEVALUE($D1627&amp;"-01"), "dd-mm-yyyy")),0),0)</f>
        <v>348</v>
      </c>
      <c r="I1627" cm="1">
        <f t="array" ref="I1627">IF($Q1627&gt;=0,IFERROR(generateSalesData($D1627, IF(ISNUMBER(_xlfn.XLOOKUP($C1627,Phone_by_Sentiment!$B$2:$B$37,Phone_by_Sentiment!I$2:I$37,"",0,1)),_xlfn.XLOOKUP($C1627,Phone_by_Sentiment!$B$2:$B$37,Phone_by_Sentiment!I$2:I$37,"",0,1),0),$A1627-TEXT(DATEVALUE($D1627&amp;"-01"), "dd-mm-yyyy")),0),0)</f>
        <v>629</v>
      </c>
      <c r="J1627" cm="1">
        <f t="array" ref="J1627">IF($Q1627&gt;=0,IFERROR(generateSalesData($D1627, IF(ISNUMBER(_xlfn.XLOOKUP($C1627,Phone_by_Sentiment!$B$2:$B$37,Phone_by_Sentiment!J$2:J$37,"",0,1)),_xlfn.XLOOKUP($C1627,Phone_by_Sentiment!$B$2:$B$37,Phone_by_Sentiment!J$2:J$37,"",0,1),0),$A1627-TEXT(DATEVALUE($D1627&amp;"-01"), "dd-mm-yyyy")),0),0)</f>
        <v>34</v>
      </c>
      <c r="K1627" cm="1">
        <f t="array" ref="K1627">IF($Q1627&gt;=0,IFERROR(generateSalesData($D1627, IF(ISNUMBER(_xlfn.XLOOKUP($C1627,Phone_by_Sentiment!$B$2:$B$37,Phone_by_Sentiment!K$2:K$37,"",0,1)),_xlfn.XLOOKUP($C1627,Phone_by_Sentiment!$B$2:$B$37,Phone_by_Sentiment!K$2:K$37,"",0,1),0),$A1627-TEXT(DATEVALUE($D1627&amp;"-01"), "dd-mm-yyyy")),0),0)</f>
        <v>319</v>
      </c>
      <c r="L1627" cm="1">
        <f t="array" ref="L1627">IF($Q1627&gt;=0,IFERROR(generateSalesData($D1627, IF(ISNUMBER(_xlfn.XLOOKUP($C1627,Phone_by_Sentiment!$B$2:$B$37,Phone_by_Sentiment!L$2:L$37,"",0,1)),_xlfn.XLOOKUP($C1627,Phone_by_Sentiment!$B$2:$B$37,Phone_by_Sentiment!L$2:L$37,"",0,1),0),$A1627-TEXT(DATEVALUE($D1627&amp;"-01"), "dd-mm-yyyy")),0),0)</f>
        <v>91</v>
      </c>
      <c r="M1627" cm="1">
        <f t="array" ref="M1627">IF($Q1627&gt;=0,IFERROR(generateSalesData($D1627, IF(ISNUMBER(_xlfn.XLOOKUP($C1627,Phone_by_Sentiment!$B$2:$B$37,Phone_by_Sentiment!M$2:M$37,"",0,1)),_xlfn.XLOOKUP($C1627,Phone_by_Sentiment!$B$2:$B$37,Phone_by_Sentiment!M$2:M$37,"",0,1),0),$A1627-TEXT(DATEVALUE($D1627&amp;"-01"), "dd-mm-yyyy")),0),0)</f>
        <v>137</v>
      </c>
      <c r="N1627" cm="1">
        <f t="array" ref="N1627">IF($Q1627&gt;=0,IFERROR(generateSalesData($D1627, IF(ISNUMBER(_xlfn.XLOOKUP($C1627,Phone_by_Sentiment!$B$2:$B$37,Phone_by_Sentiment!N$2:N$37,"",0,1)),_xlfn.XLOOKUP($C1627,Phone_by_Sentiment!$B$2:$B$37,Phone_by_Sentiment!N$2:N$37,"",0,1),0),$A1627-TEXT(DATEVALUE($D1627&amp;"-01"), "dd-mm-yyyy")),0),0)</f>
        <v>177</v>
      </c>
      <c r="O1627" cm="1">
        <f t="array" ref="O1627">IF($Q1627&gt;=0,IFERROR(generateSalesData($D1627, IF(ISNUMBER(_xlfn.XLOOKUP($C1627,Phone_by_Sentiment!$B$2:$B$37,Phone_by_Sentiment!O$2:O$37,"",0,1)),_xlfn.XLOOKUP($C1627,Phone_by_Sentiment!$B$2:$B$37,Phone_by_Sentiment!O$2:O$37,"",0,1),0),$A1627-TEXT(DATEVALUE($D1627&amp;"-01"), "dd-mm-yyyy")),0),0)</f>
        <v>518</v>
      </c>
      <c r="P1627" s="1">
        <f t="shared" si="64"/>
        <v>44317</v>
      </c>
      <c r="Q1627">
        <f t="shared" si="66"/>
        <v>549</v>
      </c>
    </row>
    <row r="1628" spans="1:17" x14ac:dyDescent="0.25">
      <c r="A1628" s="1">
        <f t="shared" si="65"/>
        <v>44866</v>
      </c>
      <c r="B1628" t="s">
        <v>161</v>
      </c>
      <c r="C1628" t="str">
        <f>_xlfn.XLOOKUP(B1628,Phone_by_Price!$A$2:$A$34,Phone_by_Price!$B$2:$B$34,"-",0,1)</f>
        <v>Samsung Galaxy Z Flip 3</v>
      </c>
      <c r="D1628" t="str">
        <f>_xlfn.XLOOKUP(C1628,Phone_by_Sentiment!$B$2:$B$37,Phone_by_Sentiment!$A$2:$A$37,"-",0,1)</f>
        <v>2021-09</v>
      </c>
      <c r="E1628" cm="1">
        <f t="array" ref="E1628">IF($Q1628&gt;=0,IFERROR(generateSalesData($D1628, IF(ISNUMBER(_xlfn.XLOOKUP($C1628,Phone_by_Sentiment!$B$2:$B$37,Phone_by_Sentiment!E$2:E$37,"",0,1)),_xlfn.XLOOKUP($C1628,Phone_by_Sentiment!$B$2:$B$37,Phone_by_Sentiment!E$2:E$37,"",0,1),0),$A1628-TEXT(DATEVALUE($D1628&amp;"-01"), "dd-mm-yyyy")),0),0)</f>
        <v>604</v>
      </c>
      <c r="F1628" cm="1">
        <f t="array" ref="F1628">IF($Q1628&gt;=0,IFERROR(generateSalesData($D1628, IF(ISNUMBER(_xlfn.XLOOKUP($C1628,Phone_by_Sentiment!$B$2:$B$37,Phone_by_Sentiment!F$2:F$37,"",0,1)),_xlfn.XLOOKUP($C1628,Phone_by_Sentiment!$B$2:$B$37,Phone_by_Sentiment!F$2:F$37,"",0,1),0),$A1628-TEXT(DATEVALUE($D1628&amp;"-01"), "dd-mm-yyyy")),0),0)</f>
        <v>759</v>
      </c>
      <c r="G1628" cm="1">
        <f t="array" ref="G1628">IF($Q1628&gt;=0,IFERROR(generateSalesData($D1628, IF(ISNUMBER(_xlfn.XLOOKUP($C1628,Phone_by_Sentiment!$B$2:$B$37,Phone_by_Sentiment!G$2:G$37,"",0,1)),_xlfn.XLOOKUP($C1628,Phone_by_Sentiment!$B$2:$B$37,Phone_by_Sentiment!G$2:G$37,"",0,1),0),$A1628-TEXT(DATEVALUE($D1628&amp;"-01"), "dd-mm-yyyy")),0),0)</f>
        <v>37</v>
      </c>
      <c r="H1628" cm="1">
        <f t="array" ref="H1628">IF($Q1628&gt;=0,IFERROR(generateSalesData($D1628, IF(ISNUMBER(_xlfn.XLOOKUP($C1628,Phone_by_Sentiment!$B$2:$B$37,Phone_by_Sentiment!H$2:H$37,"",0,1)),_xlfn.XLOOKUP($C1628,Phone_by_Sentiment!$B$2:$B$37,Phone_by_Sentiment!H$2:H$37,"",0,1),0),$A1628-TEXT(DATEVALUE($D1628&amp;"-01"), "dd-mm-yyyy")),0),0)</f>
        <v>720</v>
      </c>
      <c r="I1628" cm="1">
        <f t="array" ref="I1628">IF($Q1628&gt;=0,IFERROR(generateSalesData($D1628, IF(ISNUMBER(_xlfn.XLOOKUP($C1628,Phone_by_Sentiment!$B$2:$B$37,Phone_by_Sentiment!I$2:I$37,"",0,1)),_xlfn.XLOOKUP($C1628,Phone_by_Sentiment!$B$2:$B$37,Phone_by_Sentiment!I$2:I$37,"",0,1),0),$A1628-TEXT(DATEVALUE($D1628&amp;"-01"), "dd-mm-yyyy")),0),0)</f>
        <v>-7</v>
      </c>
      <c r="J1628" cm="1">
        <f t="array" ref="J1628">IF($Q1628&gt;=0,IFERROR(generateSalesData($D1628, IF(ISNUMBER(_xlfn.XLOOKUP($C1628,Phone_by_Sentiment!$B$2:$B$37,Phone_by_Sentiment!J$2:J$37,"",0,1)),_xlfn.XLOOKUP($C1628,Phone_by_Sentiment!$B$2:$B$37,Phone_by_Sentiment!J$2:J$37,"",0,1),0),$A1628-TEXT(DATEVALUE($D1628&amp;"-01"), "dd-mm-yyyy")),0),0)</f>
        <v>537</v>
      </c>
      <c r="K1628" cm="1">
        <f t="array" ref="K1628">IF($Q1628&gt;=0,IFERROR(generateSalesData($D1628, IF(ISNUMBER(_xlfn.XLOOKUP($C1628,Phone_by_Sentiment!$B$2:$B$37,Phone_by_Sentiment!K$2:K$37,"",0,1)),_xlfn.XLOOKUP($C1628,Phone_by_Sentiment!$B$2:$B$37,Phone_by_Sentiment!K$2:K$37,"",0,1),0),$A1628-TEXT(DATEVALUE($D1628&amp;"-01"), "dd-mm-yyyy")),0),0)</f>
        <v>739</v>
      </c>
      <c r="L1628" cm="1">
        <f t="array" ref="L1628">IF($Q1628&gt;=0,IFERROR(generateSalesData($D1628, IF(ISNUMBER(_xlfn.XLOOKUP($C1628,Phone_by_Sentiment!$B$2:$B$37,Phone_by_Sentiment!L$2:L$37,"",0,1)),_xlfn.XLOOKUP($C1628,Phone_by_Sentiment!$B$2:$B$37,Phone_by_Sentiment!L$2:L$37,"",0,1),0),$A1628-TEXT(DATEVALUE($D1628&amp;"-01"), "dd-mm-yyyy")),0),0)</f>
        <v>282</v>
      </c>
      <c r="M1628" cm="1">
        <f t="array" ref="M1628">IF($Q1628&gt;=0,IFERROR(generateSalesData($D1628, IF(ISNUMBER(_xlfn.XLOOKUP($C1628,Phone_by_Sentiment!$B$2:$B$37,Phone_by_Sentiment!M$2:M$37,"",0,1)),_xlfn.XLOOKUP($C1628,Phone_by_Sentiment!$B$2:$B$37,Phone_by_Sentiment!M$2:M$37,"",0,1),0),$A1628-TEXT(DATEVALUE($D1628&amp;"-01"), "dd-mm-yyyy")),0),0)</f>
        <v>319</v>
      </c>
      <c r="N1628" cm="1">
        <f t="array" ref="N1628">IF($Q1628&gt;=0,IFERROR(generateSalesData($D1628, IF(ISNUMBER(_xlfn.XLOOKUP($C1628,Phone_by_Sentiment!$B$2:$B$37,Phone_by_Sentiment!N$2:N$37,"",0,1)),_xlfn.XLOOKUP($C1628,Phone_by_Sentiment!$B$2:$B$37,Phone_by_Sentiment!N$2:N$37,"",0,1),0),$A1628-TEXT(DATEVALUE($D1628&amp;"-01"), "dd-mm-yyyy")),0),0)</f>
        <v>395</v>
      </c>
      <c r="O1628" cm="1">
        <f t="array" ref="O1628">IF($Q1628&gt;=0,IFERROR(generateSalesData($D1628, IF(ISNUMBER(_xlfn.XLOOKUP($C1628,Phone_by_Sentiment!$B$2:$B$37,Phone_by_Sentiment!O$2:O$37,"",0,1)),_xlfn.XLOOKUP($C1628,Phone_by_Sentiment!$B$2:$B$37,Phone_by_Sentiment!O$2:O$37,"",0,1),0),$A1628-TEXT(DATEVALUE($D1628&amp;"-01"), "dd-mm-yyyy")),0),0)</f>
        <v>511</v>
      </c>
      <c r="P1628" s="1">
        <f t="shared" si="64"/>
        <v>44440</v>
      </c>
      <c r="Q1628">
        <f t="shared" si="66"/>
        <v>426</v>
      </c>
    </row>
    <row r="1629" spans="1:17" x14ac:dyDescent="0.25">
      <c r="A1629" s="1">
        <f t="shared" si="65"/>
        <v>44866</v>
      </c>
      <c r="B1629" t="s">
        <v>162</v>
      </c>
      <c r="C1629" t="str">
        <f>_xlfn.XLOOKUP(B1629,Phone_by_Price!$A$2:$A$34,Phone_by_Price!$B$2:$B$34,"-",0,1)</f>
        <v>Xiaomi Poco X3 NFC</v>
      </c>
      <c r="D1629" t="str">
        <f>_xlfn.XLOOKUP(C1629,Phone_by_Sentiment!$B$2:$B$37,Phone_by_Sentiment!$A$2:$A$37,"-",0,1)</f>
        <v>2020-08</v>
      </c>
      <c r="E1629" cm="1">
        <f t="array" ref="E1629">IF($Q1629&gt;=0,IFERROR(generateSalesData($D1629, IF(ISNUMBER(_xlfn.XLOOKUP($C1629,Phone_by_Sentiment!$B$2:$B$37,Phone_by_Sentiment!E$2:E$37,"",0,1)),_xlfn.XLOOKUP($C1629,Phone_by_Sentiment!$B$2:$B$37,Phone_by_Sentiment!E$2:E$37,"",0,1),0),$A1629-TEXT(DATEVALUE($D1629&amp;"-01"), "dd-mm-yyyy")),0),0)</f>
        <v>117</v>
      </c>
      <c r="F1629" cm="1">
        <f t="array" ref="F1629">IF($Q1629&gt;=0,IFERROR(generateSalesData($D1629, IF(ISNUMBER(_xlfn.XLOOKUP($C1629,Phone_by_Sentiment!$B$2:$B$37,Phone_by_Sentiment!F$2:F$37,"",0,1)),_xlfn.XLOOKUP($C1629,Phone_by_Sentiment!$B$2:$B$37,Phone_by_Sentiment!F$2:F$37,"",0,1),0),$A1629-TEXT(DATEVALUE($D1629&amp;"-01"), "dd-mm-yyyy")),0),0)</f>
        <v>59</v>
      </c>
      <c r="G1629" cm="1">
        <f t="array" ref="G1629">IF($Q1629&gt;=0,IFERROR(generateSalesData($D1629, IF(ISNUMBER(_xlfn.XLOOKUP($C1629,Phone_by_Sentiment!$B$2:$B$37,Phone_by_Sentiment!G$2:G$37,"",0,1)),_xlfn.XLOOKUP($C1629,Phone_by_Sentiment!$B$2:$B$37,Phone_by_Sentiment!G$2:G$37,"",0,1),0),$A1629-TEXT(DATEVALUE($D1629&amp;"-01"), "dd-mm-yyyy")),0),0)</f>
        <v>100</v>
      </c>
      <c r="H1629" cm="1">
        <f t="array" ref="H1629">IF($Q1629&gt;=0,IFERROR(generateSalesData($D1629, IF(ISNUMBER(_xlfn.XLOOKUP($C1629,Phone_by_Sentiment!$B$2:$B$37,Phone_by_Sentiment!H$2:H$37,"",0,1)),_xlfn.XLOOKUP($C1629,Phone_by_Sentiment!$B$2:$B$37,Phone_by_Sentiment!H$2:H$37,"",0,1),0),$A1629-TEXT(DATEVALUE($D1629&amp;"-01"), "dd-mm-yyyy")),0),0)</f>
        <v>42</v>
      </c>
      <c r="I1629" cm="1">
        <f t="array" ref="I1629">IF($Q1629&gt;=0,IFERROR(generateSalesData($D1629, IF(ISNUMBER(_xlfn.XLOOKUP($C1629,Phone_by_Sentiment!$B$2:$B$37,Phone_by_Sentiment!I$2:I$37,"",0,1)),_xlfn.XLOOKUP($C1629,Phone_by_Sentiment!$B$2:$B$37,Phone_by_Sentiment!I$2:I$37,"",0,1),0),$A1629-TEXT(DATEVALUE($D1629&amp;"-01"), "dd-mm-yyyy")),0),0)</f>
        <v>90</v>
      </c>
      <c r="J1629" cm="1">
        <f t="array" ref="J1629">IF($Q1629&gt;=0,IFERROR(generateSalesData($D1629, IF(ISNUMBER(_xlfn.XLOOKUP($C1629,Phone_by_Sentiment!$B$2:$B$37,Phone_by_Sentiment!J$2:J$37,"",0,1)),_xlfn.XLOOKUP($C1629,Phone_by_Sentiment!$B$2:$B$37,Phone_by_Sentiment!J$2:J$37,"",0,1),0),$A1629-TEXT(DATEVALUE($D1629&amp;"-01"), "dd-mm-yyyy")),0),0)</f>
        <v>84</v>
      </c>
      <c r="K1629" cm="1">
        <f t="array" ref="K1629">IF($Q1629&gt;=0,IFERROR(generateSalesData($D1629, IF(ISNUMBER(_xlfn.XLOOKUP($C1629,Phone_by_Sentiment!$B$2:$B$37,Phone_by_Sentiment!K$2:K$37,"",0,1)),_xlfn.XLOOKUP($C1629,Phone_by_Sentiment!$B$2:$B$37,Phone_by_Sentiment!K$2:K$37,"",0,1),0),$A1629-TEXT(DATEVALUE($D1629&amp;"-01"), "dd-mm-yyyy")),0),0)</f>
        <v>415</v>
      </c>
      <c r="L1629" cm="1">
        <f t="array" ref="L1629">IF($Q1629&gt;=0,IFERROR(generateSalesData($D1629, IF(ISNUMBER(_xlfn.XLOOKUP($C1629,Phone_by_Sentiment!$B$2:$B$37,Phone_by_Sentiment!L$2:L$37,"",0,1)),_xlfn.XLOOKUP($C1629,Phone_by_Sentiment!$B$2:$B$37,Phone_by_Sentiment!L$2:L$37,"",0,1),0),$A1629-TEXT(DATEVALUE($D1629&amp;"-01"), "dd-mm-yyyy")),0),0)</f>
        <v>29</v>
      </c>
      <c r="M1629" cm="1">
        <f t="array" ref="M1629">IF($Q1629&gt;=0,IFERROR(generateSalesData($D1629, IF(ISNUMBER(_xlfn.XLOOKUP($C1629,Phone_by_Sentiment!$B$2:$B$37,Phone_by_Sentiment!M$2:M$37,"",0,1)),_xlfn.XLOOKUP($C1629,Phone_by_Sentiment!$B$2:$B$37,Phone_by_Sentiment!M$2:M$37,"",0,1),0),$A1629-TEXT(DATEVALUE($D1629&amp;"-01"), "dd-mm-yyyy")),0),0)</f>
        <v>215</v>
      </c>
      <c r="N1629" cm="1">
        <f t="array" ref="N1629">IF($Q1629&gt;=0,IFERROR(generateSalesData($D1629, IF(ISNUMBER(_xlfn.XLOOKUP($C1629,Phone_by_Sentiment!$B$2:$B$37,Phone_by_Sentiment!N$2:N$37,"",0,1)),_xlfn.XLOOKUP($C1629,Phone_by_Sentiment!$B$2:$B$37,Phone_by_Sentiment!N$2:N$37,"",0,1),0),$A1629-TEXT(DATEVALUE($D1629&amp;"-01"), "dd-mm-yyyy")),0),0)</f>
        <v>24</v>
      </c>
      <c r="O1629" cm="1">
        <f t="array" ref="O1629">IF($Q1629&gt;=0,IFERROR(generateSalesData($D1629, IF(ISNUMBER(_xlfn.XLOOKUP($C1629,Phone_by_Sentiment!$B$2:$B$37,Phone_by_Sentiment!O$2:O$37,"",0,1)),_xlfn.XLOOKUP($C1629,Phone_by_Sentiment!$B$2:$B$37,Phone_by_Sentiment!O$2:O$37,"",0,1),0),$A1629-TEXT(DATEVALUE($D1629&amp;"-01"), "dd-mm-yyyy")),0),0)</f>
        <v>268</v>
      </c>
      <c r="P1629" s="1">
        <f t="shared" si="64"/>
        <v>44044</v>
      </c>
      <c r="Q1629">
        <f t="shared" si="66"/>
        <v>822</v>
      </c>
    </row>
    <row r="1630" spans="1:17" x14ac:dyDescent="0.25">
      <c r="A1630" s="1">
        <f t="shared" si="65"/>
        <v>44866</v>
      </c>
      <c r="B1630" t="s">
        <v>163</v>
      </c>
      <c r="C1630" t="str">
        <f>_xlfn.XLOOKUP(B1630,Phone_by_Price!$A$2:$A$34,Phone_by_Price!$B$2:$B$34,"-",0,1)</f>
        <v>OPPO A93</v>
      </c>
      <c r="D1630" t="str">
        <f>_xlfn.XLOOKUP(C1630,Phone_by_Sentiment!$B$2:$B$37,Phone_by_Sentiment!$A$2:$A$37,"-",0,1)</f>
        <v>2021-02</v>
      </c>
      <c r="E1630" cm="1">
        <f t="array" ref="E1630">IF($Q1630&gt;=0,IFERROR(generateSalesData($D1630, IF(ISNUMBER(_xlfn.XLOOKUP($C1630,Phone_by_Sentiment!$B$2:$B$37,Phone_by_Sentiment!E$2:E$37,"",0,1)),_xlfn.XLOOKUP($C1630,Phone_by_Sentiment!$B$2:$B$37,Phone_by_Sentiment!E$2:E$37,"",0,1),0),$A1630-TEXT(DATEVALUE($D1630&amp;"-01"), "dd-mm-yyyy")),0),0)</f>
        <v>235</v>
      </c>
      <c r="F1630" cm="1">
        <f t="array" ref="F1630">IF($Q1630&gt;=0,IFERROR(generateSalesData($D1630, IF(ISNUMBER(_xlfn.XLOOKUP($C1630,Phone_by_Sentiment!$B$2:$B$37,Phone_by_Sentiment!F$2:F$37,"",0,1)),_xlfn.XLOOKUP($C1630,Phone_by_Sentiment!$B$2:$B$37,Phone_by_Sentiment!F$2:F$37,"",0,1),0),$A1630-TEXT(DATEVALUE($D1630&amp;"-01"), "dd-mm-yyyy")),0),0)</f>
        <v>149</v>
      </c>
      <c r="G1630" cm="1">
        <f t="array" ref="G1630">IF($Q1630&gt;=0,IFERROR(generateSalesData($D1630, IF(ISNUMBER(_xlfn.XLOOKUP($C1630,Phone_by_Sentiment!$B$2:$B$37,Phone_by_Sentiment!G$2:G$37,"",0,1)),_xlfn.XLOOKUP($C1630,Phone_by_Sentiment!$B$2:$B$37,Phone_by_Sentiment!G$2:G$37,"",0,1),0),$A1630-TEXT(DATEVALUE($D1630&amp;"-01"), "dd-mm-yyyy")),0),0)</f>
        <v>99</v>
      </c>
      <c r="H1630" cm="1">
        <f t="array" ref="H1630">IF($Q1630&gt;=0,IFERROR(generateSalesData($D1630, IF(ISNUMBER(_xlfn.XLOOKUP($C1630,Phone_by_Sentiment!$B$2:$B$37,Phone_by_Sentiment!H$2:H$37,"",0,1)),_xlfn.XLOOKUP($C1630,Phone_by_Sentiment!$B$2:$B$37,Phone_by_Sentiment!H$2:H$37,"",0,1),0),$A1630-TEXT(DATEVALUE($D1630&amp;"-01"), "dd-mm-yyyy")),0),0)</f>
        <v>192</v>
      </c>
      <c r="I1630" cm="1">
        <f t="array" ref="I1630">IF($Q1630&gt;=0,IFERROR(generateSalesData($D1630, IF(ISNUMBER(_xlfn.XLOOKUP($C1630,Phone_by_Sentiment!$B$2:$B$37,Phone_by_Sentiment!I$2:I$37,"",0,1)),_xlfn.XLOOKUP($C1630,Phone_by_Sentiment!$B$2:$B$37,Phone_by_Sentiment!I$2:I$37,"",0,1),0),$A1630-TEXT(DATEVALUE($D1630&amp;"-01"), "dd-mm-yyyy")),0),0)</f>
        <v>444</v>
      </c>
      <c r="J1630" cm="1">
        <f t="array" ref="J1630">IF($Q1630&gt;=0,IFERROR(generateSalesData($D1630, IF(ISNUMBER(_xlfn.XLOOKUP($C1630,Phone_by_Sentiment!$B$2:$B$37,Phone_by_Sentiment!J$2:J$37,"",0,1)),_xlfn.XLOOKUP($C1630,Phone_by_Sentiment!$B$2:$B$37,Phone_by_Sentiment!J$2:J$37,"",0,1),0),$A1630-TEXT(DATEVALUE($D1630&amp;"-01"), "dd-mm-yyyy")),0),0)</f>
        <v>8</v>
      </c>
      <c r="K1630" cm="1">
        <f t="array" ref="K1630">IF($Q1630&gt;=0,IFERROR(generateSalesData($D1630, IF(ISNUMBER(_xlfn.XLOOKUP($C1630,Phone_by_Sentiment!$B$2:$B$37,Phone_by_Sentiment!K$2:K$37,"",0,1)),_xlfn.XLOOKUP($C1630,Phone_by_Sentiment!$B$2:$B$37,Phone_by_Sentiment!K$2:K$37,"",0,1),0),$A1630-TEXT(DATEVALUE($D1630&amp;"-01"), "dd-mm-yyyy")),0),0)</f>
        <v>209</v>
      </c>
      <c r="L1630" cm="1">
        <f t="array" ref="L1630">IF($Q1630&gt;=0,IFERROR(generateSalesData($D1630, IF(ISNUMBER(_xlfn.XLOOKUP($C1630,Phone_by_Sentiment!$B$2:$B$37,Phone_by_Sentiment!L$2:L$37,"",0,1)),_xlfn.XLOOKUP($C1630,Phone_by_Sentiment!$B$2:$B$37,Phone_by_Sentiment!L$2:L$37,"",0,1),0),$A1630-TEXT(DATEVALUE($D1630&amp;"-01"), "dd-mm-yyyy")),0),0)</f>
        <v>136</v>
      </c>
      <c r="M1630" cm="1">
        <f t="array" ref="M1630">IF($Q1630&gt;=0,IFERROR(generateSalesData($D1630, IF(ISNUMBER(_xlfn.XLOOKUP($C1630,Phone_by_Sentiment!$B$2:$B$37,Phone_by_Sentiment!M$2:M$37,"",0,1)),_xlfn.XLOOKUP($C1630,Phone_by_Sentiment!$B$2:$B$37,Phone_by_Sentiment!M$2:M$37,"",0,1),0),$A1630-TEXT(DATEVALUE($D1630&amp;"-01"), "dd-mm-yyyy")),0),0)</f>
        <v>466</v>
      </c>
      <c r="N1630" cm="1">
        <f t="array" ref="N1630">IF($Q1630&gt;=0,IFERROR(generateSalesData($D1630, IF(ISNUMBER(_xlfn.XLOOKUP($C1630,Phone_by_Sentiment!$B$2:$B$37,Phone_by_Sentiment!N$2:N$37,"",0,1)),_xlfn.XLOOKUP($C1630,Phone_by_Sentiment!$B$2:$B$37,Phone_by_Sentiment!N$2:N$37,"",0,1),0),$A1630-TEXT(DATEVALUE($D1630&amp;"-01"), "dd-mm-yyyy")),0),0)</f>
        <v>167</v>
      </c>
      <c r="O1630" cm="1">
        <f t="array" ref="O1630">IF($Q1630&gt;=0,IFERROR(generateSalesData($D1630, IF(ISNUMBER(_xlfn.XLOOKUP($C1630,Phone_by_Sentiment!$B$2:$B$37,Phone_by_Sentiment!O$2:O$37,"",0,1)),_xlfn.XLOOKUP($C1630,Phone_by_Sentiment!$B$2:$B$37,Phone_by_Sentiment!O$2:O$37,"",0,1),0),$A1630-TEXT(DATEVALUE($D1630&amp;"-01"), "dd-mm-yyyy")),0),0)</f>
        <v>69</v>
      </c>
      <c r="P1630" s="1">
        <f t="shared" si="64"/>
        <v>44228</v>
      </c>
      <c r="Q1630">
        <f t="shared" si="66"/>
        <v>638</v>
      </c>
    </row>
    <row r="1631" spans="1:17" x14ac:dyDescent="0.25">
      <c r="A1631" s="1">
        <f t="shared" si="65"/>
        <v>44866</v>
      </c>
      <c r="B1631" t="s">
        <v>164</v>
      </c>
      <c r="C1631" t="str">
        <f>_xlfn.XLOOKUP(B1631,Phone_by_Price!$A$2:$A$34,Phone_by_Price!$B$2:$B$34,"-",0,1)</f>
        <v>Vivo V20</v>
      </c>
      <c r="D1631" t="str">
        <f>_xlfn.XLOOKUP(C1631,Phone_by_Sentiment!$B$2:$B$37,Phone_by_Sentiment!$A$2:$A$37,"-",0,1)</f>
        <v>2020-10</v>
      </c>
      <c r="E1631" cm="1">
        <f t="array" ref="E1631">IF($Q1631&gt;=0,IFERROR(generateSalesData($D1631, IF(ISNUMBER(_xlfn.XLOOKUP($C1631,Phone_by_Sentiment!$B$2:$B$37,Phone_by_Sentiment!E$2:E$37,"",0,1)),_xlfn.XLOOKUP($C1631,Phone_by_Sentiment!$B$2:$B$37,Phone_by_Sentiment!E$2:E$37,"",0,1),0),$A1631-TEXT(DATEVALUE($D1631&amp;"-01"), "dd-mm-yyyy")),0),0)</f>
        <v>124</v>
      </c>
      <c r="F1631" cm="1">
        <f t="array" ref="F1631">IF($Q1631&gt;=0,IFERROR(generateSalesData($D1631, IF(ISNUMBER(_xlfn.XLOOKUP($C1631,Phone_by_Sentiment!$B$2:$B$37,Phone_by_Sentiment!F$2:F$37,"",0,1)),_xlfn.XLOOKUP($C1631,Phone_by_Sentiment!$B$2:$B$37,Phone_by_Sentiment!F$2:F$37,"",0,1),0),$A1631-TEXT(DATEVALUE($D1631&amp;"-01"), "dd-mm-yyyy")),0),0)</f>
        <v>109</v>
      </c>
      <c r="G1631" cm="1">
        <f t="array" ref="G1631">IF($Q1631&gt;=0,IFERROR(generateSalesData($D1631, IF(ISNUMBER(_xlfn.XLOOKUP($C1631,Phone_by_Sentiment!$B$2:$B$37,Phone_by_Sentiment!G$2:G$37,"",0,1)),_xlfn.XLOOKUP($C1631,Phone_by_Sentiment!$B$2:$B$37,Phone_by_Sentiment!G$2:G$37,"",0,1),0),$A1631-TEXT(DATEVALUE($D1631&amp;"-01"), "dd-mm-yyyy")),0),0)</f>
        <v>125</v>
      </c>
      <c r="H1631" cm="1">
        <f t="array" ref="H1631">IF($Q1631&gt;=0,IFERROR(generateSalesData($D1631, IF(ISNUMBER(_xlfn.XLOOKUP($C1631,Phone_by_Sentiment!$B$2:$B$37,Phone_by_Sentiment!H$2:H$37,"",0,1)),_xlfn.XLOOKUP($C1631,Phone_by_Sentiment!$B$2:$B$37,Phone_by_Sentiment!H$2:H$37,"",0,1),0),$A1631-TEXT(DATEVALUE($D1631&amp;"-01"), "dd-mm-yyyy")),0),0)</f>
        <v>56</v>
      </c>
      <c r="I1631" cm="1">
        <f t="array" ref="I1631">IF($Q1631&gt;=0,IFERROR(generateSalesData($D1631, IF(ISNUMBER(_xlfn.XLOOKUP($C1631,Phone_by_Sentiment!$B$2:$B$37,Phone_by_Sentiment!I$2:I$37,"",0,1)),_xlfn.XLOOKUP($C1631,Phone_by_Sentiment!$B$2:$B$37,Phone_by_Sentiment!I$2:I$37,"",0,1),0),$A1631-TEXT(DATEVALUE($D1631&amp;"-01"), "dd-mm-yyyy")),0),0)</f>
        <v>62</v>
      </c>
      <c r="J1631" cm="1">
        <f t="array" ref="J1631">IF($Q1631&gt;=0,IFERROR(generateSalesData($D1631, IF(ISNUMBER(_xlfn.XLOOKUP($C1631,Phone_by_Sentiment!$B$2:$B$37,Phone_by_Sentiment!J$2:J$37,"",0,1)),_xlfn.XLOOKUP($C1631,Phone_by_Sentiment!$B$2:$B$37,Phone_by_Sentiment!J$2:J$37,"",0,1),0),$A1631-TEXT(DATEVALUE($D1631&amp;"-01"), "dd-mm-yyyy")),0),0)</f>
        <v>75</v>
      </c>
      <c r="K1631" cm="1">
        <f t="array" ref="K1631">IF($Q1631&gt;=0,IFERROR(generateSalesData($D1631, IF(ISNUMBER(_xlfn.XLOOKUP($C1631,Phone_by_Sentiment!$B$2:$B$37,Phone_by_Sentiment!K$2:K$37,"",0,1)),_xlfn.XLOOKUP($C1631,Phone_by_Sentiment!$B$2:$B$37,Phone_by_Sentiment!K$2:K$37,"",0,1),0),$A1631-TEXT(DATEVALUE($D1631&amp;"-01"), "dd-mm-yyyy")),0),0)</f>
        <v>83</v>
      </c>
      <c r="L1631" cm="1">
        <f t="array" ref="L1631">IF($Q1631&gt;=0,IFERROR(generateSalesData($D1631, IF(ISNUMBER(_xlfn.XLOOKUP($C1631,Phone_by_Sentiment!$B$2:$B$37,Phone_by_Sentiment!L$2:L$37,"",0,1)),_xlfn.XLOOKUP($C1631,Phone_by_Sentiment!$B$2:$B$37,Phone_by_Sentiment!L$2:L$37,"",0,1),0),$A1631-TEXT(DATEVALUE($D1631&amp;"-01"), "dd-mm-yyyy")),0),0)</f>
        <v>94</v>
      </c>
      <c r="M1631" cm="1">
        <f t="array" ref="M1631">IF($Q1631&gt;=0,IFERROR(generateSalesData($D1631, IF(ISNUMBER(_xlfn.XLOOKUP($C1631,Phone_by_Sentiment!$B$2:$B$37,Phone_by_Sentiment!M$2:M$37,"",0,1)),_xlfn.XLOOKUP($C1631,Phone_by_Sentiment!$B$2:$B$37,Phone_by_Sentiment!M$2:M$37,"",0,1),0),$A1631-TEXT(DATEVALUE($D1631&amp;"-01"), "dd-mm-yyyy")),0),0)</f>
        <v>75</v>
      </c>
      <c r="N1631" cm="1">
        <f t="array" ref="N1631">IF($Q1631&gt;=0,IFERROR(generateSalesData($D1631, IF(ISNUMBER(_xlfn.XLOOKUP($C1631,Phone_by_Sentiment!$B$2:$B$37,Phone_by_Sentiment!N$2:N$37,"",0,1)),_xlfn.XLOOKUP($C1631,Phone_by_Sentiment!$B$2:$B$37,Phone_by_Sentiment!N$2:N$37,"",0,1),0),$A1631-TEXT(DATEVALUE($D1631&amp;"-01"), "dd-mm-yyyy")),0),0)</f>
        <v>121</v>
      </c>
      <c r="O1631" cm="1">
        <f t="array" ref="O1631">IF($Q1631&gt;=0,IFERROR(generateSalesData($D1631, IF(ISNUMBER(_xlfn.XLOOKUP($C1631,Phone_by_Sentiment!$B$2:$B$37,Phone_by_Sentiment!O$2:O$37,"",0,1)),_xlfn.XLOOKUP($C1631,Phone_by_Sentiment!$B$2:$B$37,Phone_by_Sentiment!O$2:O$37,"",0,1),0),$A1631-TEXT(DATEVALUE($D1631&amp;"-01"), "dd-mm-yyyy")),0),0)</f>
        <v>79</v>
      </c>
      <c r="P1631" s="1">
        <f t="shared" si="64"/>
        <v>44105</v>
      </c>
      <c r="Q1631">
        <f t="shared" si="66"/>
        <v>761</v>
      </c>
    </row>
    <row r="1632" spans="1:17" x14ac:dyDescent="0.25">
      <c r="A1632" s="1">
        <f t="shared" si="65"/>
        <v>44866</v>
      </c>
      <c r="B1632" t="s">
        <v>165</v>
      </c>
      <c r="C1632" t="str">
        <f>_xlfn.XLOOKUP(B1632,Phone_by_Price!$A$2:$A$34,Phone_by_Price!$B$2:$B$34,"-",0,1)</f>
        <v>Samsung Galaxy A50</v>
      </c>
      <c r="D1632" t="str">
        <f>_xlfn.XLOOKUP(C1632,Phone_by_Sentiment!$B$2:$B$37,Phone_by_Sentiment!$A$2:$A$37,"-",0,1)</f>
        <v>2019-05</v>
      </c>
      <c r="E1632" cm="1">
        <f t="array" ref="E1632">IF($Q1632&gt;=0,IFERROR(generateSalesData($D1632, IF(ISNUMBER(_xlfn.XLOOKUP($C1632,Phone_by_Sentiment!$B$2:$B$37,Phone_by_Sentiment!E$2:E$37,"",0,1)),_xlfn.XLOOKUP($C1632,Phone_by_Sentiment!$B$2:$B$37,Phone_by_Sentiment!E$2:E$37,"",0,1),0),$A1632-TEXT(DATEVALUE($D1632&amp;"-01"), "dd-mm-yyyy")),0),0)</f>
        <v>302</v>
      </c>
      <c r="F1632" cm="1">
        <f t="array" ref="F1632">IF($Q1632&gt;=0,IFERROR(generateSalesData($D1632, IF(ISNUMBER(_xlfn.XLOOKUP($C1632,Phone_by_Sentiment!$B$2:$B$37,Phone_by_Sentiment!F$2:F$37,"",0,1)),_xlfn.XLOOKUP($C1632,Phone_by_Sentiment!$B$2:$B$37,Phone_by_Sentiment!F$2:F$37,"",0,1),0),$A1632-TEXT(DATEVALUE($D1632&amp;"-01"), "dd-mm-yyyy")),0),0)</f>
        <v>60</v>
      </c>
      <c r="G1632" cm="1">
        <f t="array" ref="G1632">IF($Q1632&gt;=0,IFERROR(generateSalesData($D1632, IF(ISNUMBER(_xlfn.XLOOKUP($C1632,Phone_by_Sentiment!$B$2:$B$37,Phone_by_Sentiment!G$2:G$37,"",0,1)),_xlfn.XLOOKUP($C1632,Phone_by_Sentiment!$B$2:$B$37,Phone_by_Sentiment!G$2:G$37,"",0,1),0),$A1632-TEXT(DATEVALUE($D1632&amp;"-01"), "dd-mm-yyyy")),0),0)</f>
        <v>46</v>
      </c>
      <c r="H1632" cm="1">
        <f t="array" ref="H1632">IF($Q1632&gt;=0,IFERROR(generateSalesData($D1632, IF(ISNUMBER(_xlfn.XLOOKUP($C1632,Phone_by_Sentiment!$B$2:$B$37,Phone_by_Sentiment!H$2:H$37,"",0,1)),_xlfn.XLOOKUP($C1632,Phone_by_Sentiment!$B$2:$B$37,Phone_by_Sentiment!H$2:H$37,"",0,1),0),$A1632-TEXT(DATEVALUE($D1632&amp;"-01"), "dd-mm-yyyy")),0),0)</f>
        <v>90</v>
      </c>
      <c r="I1632" cm="1">
        <f t="array" ref="I1632">IF($Q1632&gt;=0,IFERROR(generateSalesData($D1632, IF(ISNUMBER(_xlfn.XLOOKUP($C1632,Phone_by_Sentiment!$B$2:$B$37,Phone_by_Sentiment!I$2:I$37,"",0,1)),_xlfn.XLOOKUP($C1632,Phone_by_Sentiment!$B$2:$B$37,Phone_by_Sentiment!I$2:I$37,"",0,1),0),$A1632-TEXT(DATEVALUE($D1632&amp;"-01"), "dd-mm-yyyy")),0),0)</f>
        <v>121</v>
      </c>
      <c r="J1632" cm="1">
        <f t="array" ref="J1632">IF($Q1632&gt;=0,IFERROR(generateSalesData($D1632, IF(ISNUMBER(_xlfn.XLOOKUP($C1632,Phone_by_Sentiment!$B$2:$B$37,Phone_by_Sentiment!J$2:J$37,"",0,1)),_xlfn.XLOOKUP($C1632,Phone_by_Sentiment!$B$2:$B$37,Phone_by_Sentiment!J$2:J$37,"",0,1),0),$A1632-TEXT(DATEVALUE($D1632&amp;"-01"), "dd-mm-yyyy")),0),0)</f>
        <v>82</v>
      </c>
      <c r="K1632" cm="1">
        <f t="array" ref="K1632">IF($Q1632&gt;=0,IFERROR(generateSalesData($D1632, IF(ISNUMBER(_xlfn.XLOOKUP($C1632,Phone_by_Sentiment!$B$2:$B$37,Phone_by_Sentiment!K$2:K$37,"",0,1)),_xlfn.XLOOKUP($C1632,Phone_by_Sentiment!$B$2:$B$37,Phone_by_Sentiment!K$2:K$37,"",0,1),0),$A1632-TEXT(DATEVALUE($D1632&amp;"-01"), "dd-mm-yyyy")),0),0)</f>
        <v>48</v>
      </c>
      <c r="L1632" cm="1">
        <f t="array" ref="L1632">IF($Q1632&gt;=0,IFERROR(generateSalesData($D1632, IF(ISNUMBER(_xlfn.XLOOKUP($C1632,Phone_by_Sentiment!$B$2:$B$37,Phone_by_Sentiment!L$2:L$37,"",0,1)),_xlfn.XLOOKUP($C1632,Phone_by_Sentiment!$B$2:$B$37,Phone_by_Sentiment!L$2:L$37,"",0,1),0),$A1632-TEXT(DATEVALUE($D1632&amp;"-01"), "dd-mm-yyyy")),0),0)</f>
        <v>233</v>
      </c>
      <c r="M1632" cm="1">
        <f t="array" ref="M1632">IF($Q1632&gt;=0,IFERROR(generateSalesData($D1632, IF(ISNUMBER(_xlfn.XLOOKUP($C1632,Phone_by_Sentiment!$B$2:$B$37,Phone_by_Sentiment!M$2:M$37,"",0,1)),_xlfn.XLOOKUP($C1632,Phone_by_Sentiment!$B$2:$B$37,Phone_by_Sentiment!M$2:M$37,"",0,1),0),$A1632-TEXT(DATEVALUE($D1632&amp;"-01"), "dd-mm-yyyy")),0),0)</f>
        <v>29</v>
      </c>
      <c r="N1632" cm="1">
        <f t="array" ref="N1632">IF($Q1632&gt;=0,IFERROR(generateSalesData($D1632, IF(ISNUMBER(_xlfn.XLOOKUP($C1632,Phone_by_Sentiment!$B$2:$B$37,Phone_by_Sentiment!N$2:N$37,"",0,1)),_xlfn.XLOOKUP($C1632,Phone_by_Sentiment!$B$2:$B$37,Phone_by_Sentiment!N$2:N$37,"",0,1),0),$A1632-TEXT(DATEVALUE($D1632&amp;"-01"), "dd-mm-yyyy")),0),0)</f>
        <v>-10</v>
      </c>
      <c r="O1632" cm="1">
        <f t="array" ref="O1632">IF($Q1632&gt;=0,IFERROR(generateSalesData($D1632, IF(ISNUMBER(_xlfn.XLOOKUP($C1632,Phone_by_Sentiment!$B$2:$B$37,Phone_by_Sentiment!O$2:O$37,"",0,1)),_xlfn.XLOOKUP($C1632,Phone_by_Sentiment!$B$2:$B$37,Phone_by_Sentiment!O$2:O$37,"",0,1),0),$A1632-TEXT(DATEVALUE($D1632&amp;"-01"), "dd-mm-yyyy")),0),0)</f>
        <v>122</v>
      </c>
      <c r="P1632" s="1">
        <f t="shared" si="64"/>
        <v>43586</v>
      </c>
      <c r="Q1632">
        <f t="shared" si="66"/>
        <v>1280</v>
      </c>
    </row>
    <row r="1633" spans="1:17" x14ac:dyDescent="0.25">
      <c r="A1633" s="1">
        <f t="shared" si="65"/>
        <v>44866</v>
      </c>
      <c r="B1633" t="s">
        <v>166</v>
      </c>
      <c r="C1633" t="str">
        <f>_xlfn.XLOOKUP(B1633,Phone_by_Price!$A$2:$A$34,Phone_by_Price!$B$2:$B$34,"-",0,1)</f>
        <v>Xiaomi Redmi Note 7</v>
      </c>
      <c r="D1633" t="str">
        <f>_xlfn.XLOOKUP(C1633,Phone_by_Sentiment!$B$2:$B$37,Phone_by_Sentiment!$A$2:$A$37,"-",0,1)</f>
        <v>2019-08</v>
      </c>
      <c r="E1633" cm="1">
        <f t="array" ref="E1633">IF($Q1633&gt;=0,IFERROR(generateSalesData($D1633, IF(ISNUMBER(_xlfn.XLOOKUP($C1633,Phone_by_Sentiment!$B$2:$B$37,Phone_by_Sentiment!E$2:E$37,"",0,1)),_xlfn.XLOOKUP($C1633,Phone_by_Sentiment!$B$2:$B$37,Phone_by_Sentiment!E$2:E$37,"",0,1),0),$A1633-TEXT(DATEVALUE($D1633&amp;"-01"), "dd-mm-yyyy")),0),0)</f>
        <v>-6</v>
      </c>
      <c r="F1633" cm="1">
        <f t="array" ref="F1633">IF($Q1633&gt;=0,IFERROR(generateSalesData($D1633, IF(ISNUMBER(_xlfn.XLOOKUP($C1633,Phone_by_Sentiment!$B$2:$B$37,Phone_by_Sentiment!F$2:F$37,"",0,1)),_xlfn.XLOOKUP($C1633,Phone_by_Sentiment!$B$2:$B$37,Phone_by_Sentiment!F$2:F$37,"",0,1),0),$A1633-TEXT(DATEVALUE($D1633&amp;"-01"), "dd-mm-yyyy")),0),0)</f>
        <v>58</v>
      </c>
      <c r="G1633" cm="1">
        <f t="array" ref="G1633">IF($Q1633&gt;=0,IFERROR(generateSalesData($D1633, IF(ISNUMBER(_xlfn.XLOOKUP($C1633,Phone_by_Sentiment!$B$2:$B$37,Phone_by_Sentiment!G$2:G$37,"",0,1)),_xlfn.XLOOKUP($C1633,Phone_by_Sentiment!$B$2:$B$37,Phone_by_Sentiment!G$2:G$37,"",0,1),0),$A1633-TEXT(DATEVALUE($D1633&amp;"-01"), "dd-mm-yyyy")),0),0)</f>
        <v>61</v>
      </c>
      <c r="H1633" cm="1">
        <f t="array" ref="H1633">IF($Q1633&gt;=0,IFERROR(generateSalesData($D1633, IF(ISNUMBER(_xlfn.XLOOKUP($C1633,Phone_by_Sentiment!$B$2:$B$37,Phone_by_Sentiment!H$2:H$37,"",0,1)),_xlfn.XLOOKUP($C1633,Phone_by_Sentiment!$B$2:$B$37,Phone_by_Sentiment!H$2:H$37,"",0,1),0),$A1633-TEXT(DATEVALUE($D1633&amp;"-01"), "dd-mm-yyyy")),0),0)</f>
        <v>267</v>
      </c>
      <c r="I1633" cm="1">
        <f t="array" ref="I1633">IF($Q1633&gt;=0,IFERROR(generateSalesData($D1633, IF(ISNUMBER(_xlfn.XLOOKUP($C1633,Phone_by_Sentiment!$B$2:$B$37,Phone_by_Sentiment!I$2:I$37,"",0,1)),_xlfn.XLOOKUP($C1633,Phone_by_Sentiment!$B$2:$B$37,Phone_by_Sentiment!I$2:I$37,"",0,1),0),$A1633-TEXT(DATEVALUE($D1633&amp;"-01"), "dd-mm-yyyy")),0),0)</f>
        <v>43</v>
      </c>
      <c r="J1633" cm="1">
        <f t="array" ref="J1633">IF($Q1633&gt;=0,IFERROR(generateSalesData($D1633, IF(ISNUMBER(_xlfn.XLOOKUP($C1633,Phone_by_Sentiment!$B$2:$B$37,Phone_by_Sentiment!J$2:J$37,"",0,1)),_xlfn.XLOOKUP($C1633,Phone_by_Sentiment!$B$2:$B$37,Phone_by_Sentiment!J$2:J$37,"",0,1),0),$A1633-TEXT(DATEVALUE($D1633&amp;"-01"), "dd-mm-yyyy")),0),0)</f>
        <v>64</v>
      </c>
      <c r="K1633" cm="1">
        <f t="array" ref="K1633">IF($Q1633&gt;=0,IFERROR(generateSalesData($D1633, IF(ISNUMBER(_xlfn.XLOOKUP($C1633,Phone_by_Sentiment!$B$2:$B$37,Phone_by_Sentiment!K$2:K$37,"",0,1)),_xlfn.XLOOKUP($C1633,Phone_by_Sentiment!$B$2:$B$37,Phone_by_Sentiment!K$2:K$37,"",0,1),0),$A1633-TEXT(DATEVALUE($D1633&amp;"-01"), "dd-mm-yyyy")),0),0)</f>
        <v>274</v>
      </c>
      <c r="L1633" cm="1">
        <f t="array" ref="L1633">IF($Q1633&gt;=0,IFERROR(generateSalesData($D1633, IF(ISNUMBER(_xlfn.XLOOKUP($C1633,Phone_by_Sentiment!$B$2:$B$37,Phone_by_Sentiment!L$2:L$37,"",0,1)),_xlfn.XLOOKUP($C1633,Phone_by_Sentiment!$B$2:$B$37,Phone_by_Sentiment!L$2:L$37,"",0,1),0),$A1633-TEXT(DATEVALUE($D1633&amp;"-01"), "dd-mm-yyyy")),0),0)</f>
        <v>22</v>
      </c>
      <c r="M1633" cm="1">
        <f t="array" ref="M1633">IF($Q1633&gt;=0,IFERROR(generateSalesData($D1633, IF(ISNUMBER(_xlfn.XLOOKUP($C1633,Phone_by_Sentiment!$B$2:$B$37,Phone_by_Sentiment!M$2:M$37,"",0,1)),_xlfn.XLOOKUP($C1633,Phone_by_Sentiment!$B$2:$B$37,Phone_by_Sentiment!M$2:M$37,"",0,1),0),$A1633-TEXT(DATEVALUE($D1633&amp;"-01"), "dd-mm-yyyy")),0),0)</f>
        <v>17</v>
      </c>
      <c r="N1633" cm="1">
        <f t="array" ref="N1633">IF($Q1633&gt;=0,IFERROR(generateSalesData($D1633, IF(ISNUMBER(_xlfn.XLOOKUP($C1633,Phone_by_Sentiment!$B$2:$B$37,Phone_by_Sentiment!N$2:N$37,"",0,1)),_xlfn.XLOOKUP($C1633,Phone_by_Sentiment!$B$2:$B$37,Phone_by_Sentiment!N$2:N$37,"",0,1),0),$A1633-TEXT(DATEVALUE($D1633&amp;"-01"), "dd-mm-yyyy")),0),0)</f>
        <v>82</v>
      </c>
      <c r="O1633" cm="1">
        <f t="array" ref="O1633">IF($Q1633&gt;=0,IFERROR(generateSalesData($D1633, IF(ISNUMBER(_xlfn.XLOOKUP($C1633,Phone_by_Sentiment!$B$2:$B$37,Phone_by_Sentiment!O$2:O$37,"",0,1)),_xlfn.XLOOKUP($C1633,Phone_by_Sentiment!$B$2:$B$37,Phone_by_Sentiment!O$2:O$37,"",0,1),0),$A1633-TEXT(DATEVALUE($D1633&amp;"-01"), "dd-mm-yyyy")),0),0)</f>
        <v>84</v>
      </c>
      <c r="P1633" s="1">
        <f t="shared" si="64"/>
        <v>43678</v>
      </c>
      <c r="Q1633">
        <f t="shared" si="66"/>
        <v>1188</v>
      </c>
    </row>
    <row r="1634" spans="1:17" x14ac:dyDescent="0.25">
      <c r="A1634" s="1">
        <f t="shared" si="65"/>
        <v>44866</v>
      </c>
      <c r="B1634" t="s">
        <v>167</v>
      </c>
      <c r="C1634" t="str">
        <f>_xlfn.XLOOKUP(B1634,Phone_by_Price!$A$2:$A$34,Phone_by_Price!$B$2:$B$34,"-",0,1)</f>
        <v>Realme C21</v>
      </c>
      <c r="D1634" t="str">
        <f>_xlfn.XLOOKUP(C1634,Phone_by_Sentiment!$B$2:$B$37,Phone_by_Sentiment!$A$2:$A$37,"-",0,1)</f>
        <v>2021-04</v>
      </c>
      <c r="E1634" cm="1">
        <f t="array" ref="E1634">IF($Q1634&gt;=0,IFERROR(generateSalesData($D1634, IF(ISNUMBER(_xlfn.XLOOKUP($C1634,Phone_by_Sentiment!$B$2:$B$37,Phone_by_Sentiment!E$2:E$37,"",0,1)),_xlfn.XLOOKUP($C1634,Phone_by_Sentiment!$B$2:$B$37,Phone_by_Sentiment!E$2:E$37,"",0,1),0),$A1634-TEXT(DATEVALUE($D1634&amp;"-01"), "dd-mm-yyyy")),0),0)</f>
        <v>-13</v>
      </c>
      <c r="F1634" cm="1">
        <f t="array" ref="F1634">IF($Q1634&gt;=0,IFERROR(generateSalesData($D1634, IF(ISNUMBER(_xlfn.XLOOKUP($C1634,Phone_by_Sentiment!$B$2:$B$37,Phone_by_Sentiment!F$2:F$37,"",0,1)),_xlfn.XLOOKUP($C1634,Phone_by_Sentiment!$B$2:$B$37,Phone_by_Sentiment!F$2:F$37,"",0,1),0),$A1634-TEXT(DATEVALUE($D1634&amp;"-01"), "dd-mm-yyyy")),0),0)</f>
        <v>135</v>
      </c>
      <c r="G1634" cm="1">
        <f t="array" ref="G1634">IF($Q1634&gt;=0,IFERROR(generateSalesData($D1634, IF(ISNUMBER(_xlfn.XLOOKUP($C1634,Phone_by_Sentiment!$B$2:$B$37,Phone_by_Sentiment!G$2:G$37,"",0,1)),_xlfn.XLOOKUP($C1634,Phone_by_Sentiment!$B$2:$B$37,Phone_by_Sentiment!G$2:G$37,"",0,1),0),$A1634-TEXT(DATEVALUE($D1634&amp;"-01"), "dd-mm-yyyy")),0),0)</f>
        <v>135</v>
      </c>
      <c r="H1634" cm="1">
        <f t="array" ref="H1634">IF($Q1634&gt;=0,IFERROR(generateSalesData($D1634, IF(ISNUMBER(_xlfn.XLOOKUP($C1634,Phone_by_Sentiment!$B$2:$B$37,Phone_by_Sentiment!H$2:H$37,"",0,1)),_xlfn.XLOOKUP($C1634,Phone_by_Sentiment!$B$2:$B$37,Phone_by_Sentiment!H$2:H$37,"",0,1),0),$A1634-TEXT(DATEVALUE($D1634&amp;"-01"), "dd-mm-yyyy")),0),0)</f>
        <v>430</v>
      </c>
      <c r="I1634" cm="1">
        <f t="array" ref="I1634">IF($Q1634&gt;=0,IFERROR(generateSalesData($D1634, IF(ISNUMBER(_xlfn.XLOOKUP($C1634,Phone_by_Sentiment!$B$2:$B$37,Phone_by_Sentiment!I$2:I$37,"",0,1)),_xlfn.XLOOKUP($C1634,Phone_by_Sentiment!$B$2:$B$37,Phone_by_Sentiment!I$2:I$37,"",0,1),0),$A1634-TEXT(DATEVALUE($D1634&amp;"-01"), "dd-mm-yyyy")),0),0)</f>
        <v>120</v>
      </c>
      <c r="J1634" cm="1">
        <f t="array" ref="J1634">IF($Q1634&gt;=0,IFERROR(generateSalesData($D1634, IF(ISNUMBER(_xlfn.XLOOKUP($C1634,Phone_by_Sentiment!$B$2:$B$37,Phone_by_Sentiment!J$2:J$37,"",0,1)),_xlfn.XLOOKUP($C1634,Phone_by_Sentiment!$B$2:$B$37,Phone_by_Sentiment!J$2:J$37,"",0,1),0),$A1634-TEXT(DATEVALUE($D1634&amp;"-01"), "dd-mm-yyyy")),0),0)</f>
        <v>38</v>
      </c>
      <c r="K1634" cm="1">
        <f t="array" ref="K1634">IF($Q1634&gt;=0,IFERROR(generateSalesData($D1634, IF(ISNUMBER(_xlfn.XLOOKUP($C1634,Phone_by_Sentiment!$B$2:$B$37,Phone_by_Sentiment!K$2:K$37,"",0,1)),_xlfn.XLOOKUP($C1634,Phone_by_Sentiment!$B$2:$B$37,Phone_by_Sentiment!K$2:K$37,"",0,1),0),$A1634-TEXT(DATEVALUE($D1634&amp;"-01"), "dd-mm-yyyy")),0),0)</f>
        <v>269</v>
      </c>
      <c r="L1634" cm="1">
        <f t="array" ref="L1634">IF($Q1634&gt;=0,IFERROR(generateSalesData($D1634, IF(ISNUMBER(_xlfn.XLOOKUP($C1634,Phone_by_Sentiment!$B$2:$B$37,Phone_by_Sentiment!L$2:L$37,"",0,1)),_xlfn.XLOOKUP($C1634,Phone_by_Sentiment!$B$2:$B$37,Phone_by_Sentiment!L$2:L$37,"",0,1),0),$A1634-TEXT(DATEVALUE($D1634&amp;"-01"), "dd-mm-yyyy")),0),0)</f>
        <v>360</v>
      </c>
      <c r="M1634" cm="1">
        <f t="array" ref="M1634">IF($Q1634&gt;=0,IFERROR(generateSalesData($D1634, IF(ISNUMBER(_xlfn.XLOOKUP($C1634,Phone_by_Sentiment!$B$2:$B$37,Phone_by_Sentiment!M$2:M$37,"",0,1)),_xlfn.XLOOKUP($C1634,Phone_by_Sentiment!$B$2:$B$37,Phone_by_Sentiment!M$2:M$37,"",0,1),0),$A1634-TEXT(DATEVALUE($D1634&amp;"-01"), "dd-mm-yyyy")),0),0)</f>
        <v>25</v>
      </c>
      <c r="N1634" cm="1">
        <f t="array" ref="N1634">IF($Q1634&gt;=0,IFERROR(generateSalesData($D1634, IF(ISNUMBER(_xlfn.XLOOKUP($C1634,Phone_by_Sentiment!$B$2:$B$37,Phone_by_Sentiment!N$2:N$37,"",0,1)),_xlfn.XLOOKUP($C1634,Phone_by_Sentiment!$B$2:$B$37,Phone_by_Sentiment!N$2:N$37,"",0,1),0),$A1634-TEXT(DATEVALUE($D1634&amp;"-01"), "dd-mm-yyyy")),0),0)</f>
        <v>543</v>
      </c>
      <c r="O1634" cm="1">
        <f t="array" ref="O1634">IF($Q1634&gt;=0,IFERROR(generateSalesData($D1634, IF(ISNUMBER(_xlfn.XLOOKUP($C1634,Phone_by_Sentiment!$B$2:$B$37,Phone_by_Sentiment!O$2:O$37,"",0,1)),_xlfn.XLOOKUP($C1634,Phone_by_Sentiment!$B$2:$B$37,Phone_by_Sentiment!O$2:O$37,"",0,1),0),$A1634-TEXT(DATEVALUE($D1634&amp;"-01"), "dd-mm-yyyy")),0),0)</f>
        <v>126</v>
      </c>
      <c r="P1634" s="1">
        <f t="shared" si="64"/>
        <v>44287</v>
      </c>
      <c r="Q1634">
        <f t="shared" si="66"/>
        <v>579</v>
      </c>
    </row>
    <row r="1635" spans="1:17" x14ac:dyDescent="0.25">
      <c r="A1635" s="1">
        <f t="shared" si="65"/>
        <v>44866</v>
      </c>
      <c r="B1635" t="s">
        <v>168</v>
      </c>
      <c r="C1635" t="str">
        <f>_xlfn.XLOOKUP(B1635,Phone_by_Price!$A$2:$A$34,Phone_by_Price!$B$2:$B$34,"-",0,1)</f>
        <v>Google Pixel 4</v>
      </c>
      <c r="D1635" t="str">
        <f>_xlfn.XLOOKUP(C1635,Phone_by_Sentiment!$B$2:$B$37,Phone_by_Sentiment!$A$2:$A$37,"-",0,1)</f>
        <v>2019-09</v>
      </c>
      <c r="E1635" cm="1">
        <f t="array" ref="E1635">IF($Q1635&gt;=0,IFERROR(generateSalesData($D1635, IF(ISNUMBER(_xlfn.XLOOKUP($C1635,Phone_by_Sentiment!$B$2:$B$37,Phone_by_Sentiment!E$2:E$37,"",0,1)),_xlfn.XLOOKUP($C1635,Phone_by_Sentiment!$B$2:$B$37,Phone_by_Sentiment!E$2:E$37,"",0,1),0),$A1635-TEXT(DATEVALUE($D1635&amp;"-01"), "dd-mm-yyyy")),0),0)</f>
        <v>257</v>
      </c>
      <c r="F1635" cm="1">
        <f t="array" ref="F1635">IF($Q1635&gt;=0,IFERROR(generateSalesData($D1635, IF(ISNUMBER(_xlfn.XLOOKUP($C1635,Phone_by_Sentiment!$B$2:$B$37,Phone_by_Sentiment!F$2:F$37,"",0,1)),_xlfn.XLOOKUP($C1635,Phone_by_Sentiment!$B$2:$B$37,Phone_by_Sentiment!F$2:F$37,"",0,1),0),$A1635-TEXT(DATEVALUE($D1635&amp;"-01"), "dd-mm-yyyy")),0),0)</f>
        <v>73</v>
      </c>
      <c r="G1635" cm="1">
        <f t="array" ref="G1635">IF($Q1635&gt;=0,IFERROR(generateSalesData($D1635, IF(ISNUMBER(_xlfn.XLOOKUP($C1635,Phone_by_Sentiment!$B$2:$B$37,Phone_by_Sentiment!G$2:G$37,"",0,1)),_xlfn.XLOOKUP($C1635,Phone_by_Sentiment!$B$2:$B$37,Phone_by_Sentiment!G$2:G$37,"",0,1),0),$A1635-TEXT(DATEVALUE($D1635&amp;"-01"), "dd-mm-yyyy")),0),0)</f>
        <v>68</v>
      </c>
      <c r="H1635" cm="1">
        <f t="array" ref="H1635">IF($Q1635&gt;=0,IFERROR(generateSalesData($D1635, IF(ISNUMBER(_xlfn.XLOOKUP($C1635,Phone_by_Sentiment!$B$2:$B$37,Phone_by_Sentiment!H$2:H$37,"",0,1)),_xlfn.XLOOKUP($C1635,Phone_by_Sentiment!$B$2:$B$37,Phone_by_Sentiment!H$2:H$37,"",0,1),0),$A1635-TEXT(DATEVALUE($D1635&amp;"-01"), "dd-mm-yyyy")),0),0)</f>
        <v>35</v>
      </c>
      <c r="I1635" cm="1">
        <f t="array" ref="I1635">IF($Q1635&gt;=0,IFERROR(generateSalesData($D1635, IF(ISNUMBER(_xlfn.XLOOKUP($C1635,Phone_by_Sentiment!$B$2:$B$37,Phone_by_Sentiment!I$2:I$37,"",0,1)),_xlfn.XLOOKUP($C1635,Phone_by_Sentiment!$B$2:$B$37,Phone_by_Sentiment!I$2:I$37,"",0,1),0),$A1635-TEXT(DATEVALUE($D1635&amp;"-01"), "dd-mm-yyyy")),0),0)</f>
        <v>82</v>
      </c>
      <c r="J1635" cm="1">
        <f t="array" ref="J1635">IF($Q1635&gt;=0,IFERROR(generateSalesData($D1635, IF(ISNUMBER(_xlfn.XLOOKUP($C1635,Phone_by_Sentiment!$B$2:$B$37,Phone_by_Sentiment!J$2:J$37,"",0,1)),_xlfn.XLOOKUP($C1635,Phone_by_Sentiment!$B$2:$B$37,Phone_by_Sentiment!J$2:J$37,"",0,1),0),$A1635-TEXT(DATEVALUE($D1635&amp;"-01"), "dd-mm-yyyy")),0),0)</f>
        <v>107</v>
      </c>
      <c r="K1635" cm="1">
        <f t="array" ref="K1635">IF($Q1635&gt;=0,IFERROR(generateSalesData($D1635, IF(ISNUMBER(_xlfn.XLOOKUP($C1635,Phone_by_Sentiment!$B$2:$B$37,Phone_by_Sentiment!K$2:K$37,"",0,1)),_xlfn.XLOOKUP($C1635,Phone_by_Sentiment!$B$2:$B$37,Phone_by_Sentiment!K$2:K$37,"",0,1),0),$A1635-TEXT(DATEVALUE($D1635&amp;"-01"), "dd-mm-yyyy")),0),0)</f>
        <v>51</v>
      </c>
      <c r="L1635" cm="1">
        <f t="array" ref="L1635">IF($Q1635&gt;=0,IFERROR(generateSalesData($D1635, IF(ISNUMBER(_xlfn.XLOOKUP($C1635,Phone_by_Sentiment!$B$2:$B$37,Phone_by_Sentiment!L$2:L$37,"",0,1)),_xlfn.XLOOKUP($C1635,Phone_by_Sentiment!$B$2:$B$37,Phone_by_Sentiment!L$2:L$37,"",0,1),0),$A1635-TEXT(DATEVALUE($D1635&amp;"-01"), "dd-mm-yyyy")),0),0)</f>
        <v>183</v>
      </c>
      <c r="M1635" cm="1">
        <f t="array" ref="M1635">IF($Q1635&gt;=0,IFERROR(generateSalesData($D1635, IF(ISNUMBER(_xlfn.XLOOKUP($C1635,Phone_by_Sentiment!$B$2:$B$37,Phone_by_Sentiment!M$2:M$37,"",0,1)),_xlfn.XLOOKUP($C1635,Phone_by_Sentiment!$B$2:$B$37,Phone_by_Sentiment!M$2:M$37,"",0,1),0),$A1635-TEXT(DATEVALUE($D1635&amp;"-01"), "dd-mm-yyyy")),0),0)</f>
        <v>87</v>
      </c>
      <c r="N1635" cm="1">
        <f t="array" ref="N1635">IF($Q1635&gt;=0,IFERROR(generateSalesData($D1635, IF(ISNUMBER(_xlfn.XLOOKUP($C1635,Phone_by_Sentiment!$B$2:$B$37,Phone_by_Sentiment!N$2:N$37,"",0,1)),_xlfn.XLOOKUP($C1635,Phone_by_Sentiment!$B$2:$B$37,Phone_by_Sentiment!N$2:N$37,"",0,1),0),$A1635-TEXT(DATEVALUE($D1635&amp;"-01"), "dd-mm-yyyy")),0),0)</f>
        <v>44</v>
      </c>
      <c r="O1635" cm="1">
        <f t="array" ref="O1635">IF($Q1635&gt;=0,IFERROR(generateSalesData($D1635, IF(ISNUMBER(_xlfn.XLOOKUP($C1635,Phone_by_Sentiment!$B$2:$B$37,Phone_by_Sentiment!O$2:O$37,"",0,1)),_xlfn.XLOOKUP($C1635,Phone_by_Sentiment!$B$2:$B$37,Phone_by_Sentiment!O$2:O$37,"",0,1),0),$A1635-TEXT(DATEVALUE($D1635&amp;"-01"), "dd-mm-yyyy")),0),0)</f>
        <v>71</v>
      </c>
      <c r="P1635" s="1">
        <f t="shared" si="64"/>
        <v>43709</v>
      </c>
      <c r="Q1635">
        <f t="shared" si="66"/>
        <v>1157</v>
      </c>
    </row>
    <row r="1636" spans="1:17" x14ac:dyDescent="0.25">
      <c r="A1636" s="1">
        <f t="shared" si="65"/>
        <v>44866</v>
      </c>
      <c r="B1636" t="s">
        <v>169</v>
      </c>
      <c r="C1636" t="str">
        <f>_xlfn.XLOOKUP(B1636,Phone_by_Price!$A$2:$A$34,Phone_by_Price!$B$2:$B$34,"-",0,1)</f>
        <v>Samsung Galaxy A10s</v>
      </c>
      <c r="D1636" t="str">
        <f>_xlfn.XLOOKUP(C1636,Phone_by_Sentiment!$B$2:$B$37,Phone_by_Sentiment!$A$2:$A$37,"-",0,1)</f>
        <v>2019-08</v>
      </c>
      <c r="E1636" cm="1">
        <f t="array" ref="E1636">IF($Q1636&gt;=0,IFERROR(generateSalesData($D1636, IF(ISNUMBER(_xlfn.XLOOKUP($C1636,Phone_by_Sentiment!$B$2:$B$37,Phone_by_Sentiment!E$2:E$37,"",0,1)),_xlfn.XLOOKUP($C1636,Phone_by_Sentiment!$B$2:$B$37,Phone_by_Sentiment!E$2:E$37,"",0,1),0),$A1636-TEXT(DATEVALUE($D1636&amp;"-01"), "dd-mm-yyyy")),0),0)</f>
        <v>24</v>
      </c>
      <c r="F1636" cm="1">
        <f t="array" ref="F1636">IF($Q1636&gt;=0,IFERROR(generateSalesData($D1636, IF(ISNUMBER(_xlfn.XLOOKUP($C1636,Phone_by_Sentiment!$B$2:$B$37,Phone_by_Sentiment!F$2:F$37,"",0,1)),_xlfn.XLOOKUP($C1636,Phone_by_Sentiment!$B$2:$B$37,Phone_by_Sentiment!F$2:F$37,"",0,1),0),$A1636-TEXT(DATEVALUE($D1636&amp;"-01"), "dd-mm-yyyy")),0),0)</f>
        <v>116</v>
      </c>
      <c r="G1636" cm="1">
        <f t="array" ref="G1636">IF($Q1636&gt;=0,IFERROR(generateSalesData($D1636, IF(ISNUMBER(_xlfn.XLOOKUP($C1636,Phone_by_Sentiment!$B$2:$B$37,Phone_by_Sentiment!G$2:G$37,"",0,1)),_xlfn.XLOOKUP($C1636,Phone_by_Sentiment!$B$2:$B$37,Phone_by_Sentiment!G$2:G$37,"",0,1),0),$A1636-TEXT(DATEVALUE($D1636&amp;"-01"), "dd-mm-yyyy")),0),0)</f>
        <v>65</v>
      </c>
      <c r="H1636" cm="1">
        <f t="array" ref="H1636">IF($Q1636&gt;=0,IFERROR(generateSalesData($D1636, IF(ISNUMBER(_xlfn.XLOOKUP($C1636,Phone_by_Sentiment!$B$2:$B$37,Phone_by_Sentiment!H$2:H$37,"",0,1)),_xlfn.XLOOKUP($C1636,Phone_by_Sentiment!$B$2:$B$37,Phone_by_Sentiment!H$2:H$37,"",0,1),0),$A1636-TEXT(DATEVALUE($D1636&amp;"-01"), "dd-mm-yyyy")),0),0)</f>
        <v>74</v>
      </c>
      <c r="I1636" cm="1">
        <f t="array" ref="I1636">IF($Q1636&gt;=0,IFERROR(generateSalesData($D1636, IF(ISNUMBER(_xlfn.XLOOKUP($C1636,Phone_by_Sentiment!$B$2:$B$37,Phone_by_Sentiment!I$2:I$37,"",0,1)),_xlfn.XLOOKUP($C1636,Phone_by_Sentiment!$B$2:$B$37,Phone_by_Sentiment!I$2:I$37,"",0,1),0),$A1636-TEXT(DATEVALUE($D1636&amp;"-01"), "dd-mm-yyyy")),0),0)</f>
        <v>170</v>
      </c>
      <c r="J1636" cm="1">
        <f t="array" ref="J1636">IF($Q1636&gt;=0,IFERROR(generateSalesData($D1636, IF(ISNUMBER(_xlfn.XLOOKUP($C1636,Phone_by_Sentiment!$B$2:$B$37,Phone_by_Sentiment!J$2:J$37,"",0,1)),_xlfn.XLOOKUP($C1636,Phone_by_Sentiment!$B$2:$B$37,Phone_by_Sentiment!J$2:J$37,"",0,1),0),$A1636-TEXT(DATEVALUE($D1636&amp;"-01"), "dd-mm-yyyy")),0),0)</f>
        <v>153</v>
      </c>
      <c r="K1636" cm="1">
        <f t="array" ref="K1636">IF($Q1636&gt;=0,IFERROR(generateSalesData($D1636, IF(ISNUMBER(_xlfn.XLOOKUP($C1636,Phone_by_Sentiment!$B$2:$B$37,Phone_by_Sentiment!K$2:K$37,"",0,1)),_xlfn.XLOOKUP($C1636,Phone_by_Sentiment!$B$2:$B$37,Phone_by_Sentiment!K$2:K$37,"",0,1),0),$A1636-TEXT(DATEVALUE($D1636&amp;"-01"), "dd-mm-yyyy")),0),0)</f>
        <v>142</v>
      </c>
      <c r="L1636" cm="1">
        <f t="array" ref="L1636">IF($Q1636&gt;=0,IFERROR(generateSalesData($D1636, IF(ISNUMBER(_xlfn.XLOOKUP($C1636,Phone_by_Sentiment!$B$2:$B$37,Phone_by_Sentiment!L$2:L$37,"",0,1)),_xlfn.XLOOKUP($C1636,Phone_by_Sentiment!$B$2:$B$37,Phone_by_Sentiment!L$2:L$37,"",0,1),0),$A1636-TEXT(DATEVALUE($D1636&amp;"-01"), "dd-mm-yyyy")),0),0)</f>
        <v>33</v>
      </c>
      <c r="M1636" cm="1">
        <f t="array" ref="M1636">IF($Q1636&gt;=0,IFERROR(generateSalesData($D1636, IF(ISNUMBER(_xlfn.XLOOKUP($C1636,Phone_by_Sentiment!$B$2:$B$37,Phone_by_Sentiment!M$2:M$37,"",0,1)),_xlfn.XLOOKUP($C1636,Phone_by_Sentiment!$B$2:$B$37,Phone_by_Sentiment!M$2:M$37,"",0,1),0),$A1636-TEXT(DATEVALUE($D1636&amp;"-01"), "dd-mm-yyyy")),0),0)</f>
        <v>121</v>
      </c>
      <c r="N1636" cm="1">
        <f t="array" ref="N1636">IF($Q1636&gt;=0,IFERROR(generateSalesData($D1636, IF(ISNUMBER(_xlfn.XLOOKUP($C1636,Phone_by_Sentiment!$B$2:$B$37,Phone_by_Sentiment!N$2:N$37,"",0,1)),_xlfn.XLOOKUP($C1636,Phone_by_Sentiment!$B$2:$B$37,Phone_by_Sentiment!N$2:N$37,"",0,1),0),$A1636-TEXT(DATEVALUE($D1636&amp;"-01"), "dd-mm-yyyy")),0),0)</f>
        <v>66</v>
      </c>
      <c r="O1636" cm="1">
        <f t="array" ref="O1636">IF($Q1636&gt;=0,IFERROR(generateSalesData($D1636, IF(ISNUMBER(_xlfn.XLOOKUP($C1636,Phone_by_Sentiment!$B$2:$B$37,Phone_by_Sentiment!O$2:O$37,"",0,1)),_xlfn.XLOOKUP($C1636,Phone_by_Sentiment!$B$2:$B$37,Phone_by_Sentiment!O$2:O$37,"",0,1),0),$A1636-TEXT(DATEVALUE($D1636&amp;"-01"), "dd-mm-yyyy")),0),0)</f>
        <v>93</v>
      </c>
      <c r="P1636" s="1">
        <f t="shared" si="64"/>
        <v>43678</v>
      </c>
      <c r="Q1636">
        <f t="shared" si="66"/>
        <v>1188</v>
      </c>
    </row>
    <row r="1637" spans="1:17" x14ac:dyDescent="0.25">
      <c r="A1637" s="1">
        <f t="shared" si="65"/>
        <v>44866</v>
      </c>
      <c r="B1637" t="s">
        <v>170</v>
      </c>
      <c r="C1637" t="str">
        <f>_xlfn.XLOOKUP(B1637,Phone_by_Price!$A$2:$A$34,Phone_by_Price!$B$2:$B$34,"-",0,1)</f>
        <v>Realme Narzo 30A</v>
      </c>
      <c r="D1637" t="str">
        <f>_xlfn.XLOOKUP(C1637,Phone_by_Sentiment!$B$2:$B$37,Phone_by_Sentiment!$A$2:$A$37,"-",0,1)</f>
        <v>2021-02</v>
      </c>
      <c r="E1637" cm="1">
        <f t="array" ref="E1637">IF($Q1637&gt;=0,IFERROR(generateSalesData($D1637, IF(ISNUMBER(_xlfn.XLOOKUP($C1637,Phone_by_Sentiment!$B$2:$B$37,Phone_by_Sentiment!E$2:E$37,"",0,1)),_xlfn.XLOOKUP($C1637,Phone_by_Sentiment!$B$2:$B$37,Phone_by_Sentiment!E$2:E$37,"",0,1),0),$A1637-TEXT(DATEVALUE($D1637&amp;"-01"), "dd-mm-yyyy")),0),0)</f>
        <v>159</v>
      </c>
      <c r="F1637" cm="1">
        <f t="array" ref="F1637">IF($Q1637&gt;=0,IFERROR(generateSalesData($D1637, IF(ISNUMBER(_xlfn.XLOOKUP($C1637,Phone_by_Sentiment!$B$2:$B$37,Phone_by_Sentiment!F$2:F$37,"",0,1)),_xlfn.XLOOKUP($C1637,Phone_by_Sentiment!$B$2:$B$37,Phone_by_Sentiment!F$2:F$37,"",0,1),0),$A1637-TEXT(DATEVALUE($D1637&amp;"-01"), "dd-mm-yyyy")),0),0)</f>
        <v>219</v>
      </c>
      <c r="G1637" cm="1">
        <f t="array" ref="G1637">IF($Q1637&gt;=0,IFERROR(generateSalesData($D1637, IF(ISNUMBER(_xlfn.XLOOKUP($C1637,Phone_by_Sentiment!$B$2:$B$37,Phone_by_Sentiment!G$2:G$37,"",0,1)),_xlfn.XLOOKUP($C1637,Phone_by_Sentiment!$B$2:$B$37,Phone_by_Sentiment!G$2:G$37,"",0,1),0),$A1637-TEXT(DATEVALUE($D1637&amp;"-01"), "dd-mm-yyyy")),0),0)</f>
        <v>33</v>
      </c>
      <c r="H1637" cm="1">
        <f t="array" ref="H1637">IF($Q1637&gt;=0,IFERROR(generateSalesData($D1637, IF(ISNUMBER(_xlfn.XLOOKUP($C1637,Phone_by_Sentiment!$B$2:$B$37,Phone_by_Sentiment!H$2:H$37,"",0,1)),_xlfn.XLOOKUP($C1637,Phone_by_Sentiment!$B$2:$B$37,Phone_by_Sentiment!H$2:H$37,"",0,1),0),$A1637-TEXT(DATEVALUE($D1637&amp;"-01"), "dd-mm-yyyy")),0),0)</f>
        <v>436</v>
      </c>
      <c r="I1637" cm="1">
        <f t="array" ref="I1637">IF($Q1637&gt;=0,IFERROR(generateSalesData($D1637, IF(ISNUMBER(_xlfn.XLOOKUP($C1637,Phone_by_Sentiment!$B$2:$B$37,Phone_by_Sentiment!I$2:I$37,"",0,1)),_xlfn.XLOOKUP($C1637,Phone_by_Sentiment!$B$2:$B$37,Phone_by_Sentiment!I$2:I$37,"",0,1),0),$A1637-TEXT(DATEVALUE($D1637&amp;"-01"), "dd-mm-yyyy")),0),0)</f>
        <v>418</v>
      </c>
      <c r="J1637" cm="1">
        <f t="array" ref="J1637">IF($Q1637&gt;=0,IFERROR(generateSalesData($D1637, IF(ISNUMBER(_xlfn.XLOOKUP($C1637,Phone_by_Sentiment!$B$2:$B$37,Phone_by_Sentiment!J$2:J$37,"",0,1)),_xlfn.XLOOKUP($C1637,Phone_by_Sentiment!$B$2:$B$37,Phone_by_Sentiment!J$2:J$37,"",0,1),0),$A1637-TEXT(DATEVALUE($D1637&amp;"-01"), "dd-mm-yyyy")),0),0)</f>
        <v>97</v>
      </c>
      <c r="K1637" cm="1">
        <f t="array" ref="K1637">IF($Q1637&gt;=0,IFERROR(generateSalesData($D1637, IF(ISNUMBER(_xlfn.XLOOKUP($C1637,Phone_by_Sentiment!$B$2:$B$37,Phone_by_Sentiment!K$2:K$37,"",0,1)),_xlfn.XLOOKUP($C1637,Phone_by_Sentiment!$B$2:$B$37,Phone_by_Sentiment!K$2:K$37,"",0,1),0),$A1637-TEXT(DATEVALUE($D1637&amp;"-01"), "dd-mm-yyyy")),0),0)</f>
        <v>200</v>
      </c>
      <c r="L1637" cm="1">
        <f t="array" ref="L1637">IF($Q1637&gt;=0,IFERROR(generateSalesData($D1637, IF(ISNUMBER(_xlfn.XLOOKUP($C1637,Phone_by_Sentiment!$B$2:$B$37,Phone_by_Sentiment!L$2:L$37,"",0,1)),_xlfn.XLOOKUP($C1637,Phone_by_Sentiment!$B$2:$B$37,Phone_by_Sentiment!L$2:L$37,"",0,1),0),$A1637-TEXT(DATEVALUE($D1637&amp;"-01"), "dd-mm-yyyy")),0),0)</f>
        <v>265</v>
      </c>
      <c r="M1637" cm="1">
        <f t="array" ref="M1637">IF($Q1637&gt;=0,IFERROR(generateSalesData($D1637, IF(ISNUMBER(_xlfn.XLOOKUP($C1637,Phone_by_Sentiment!$B$2:$B$37,Phone_by_Sentiment!M$2:M$37,"",0,1)),_xlfn.XLOOKUP($C1637,Phone_by_Sentiment!$B$2:$B$37,Phone_by_Sentiment!M$2:M$37,"",0,1),0),$A1637-TEXT(DATEVALUE($D1637&amp;"-01"), "dd-mm-yyyy")),0),0)</f>
        <v>166</v>
      </c>
      <c r="N1637" cm="1">
        <f t="array" ref="N1637">IF($Q1637&gt;=0,IFERROR(generateSalesData($D1637, IF(ISNUMBER(_xlfn.XLOOKUP($C1637,Phone_by_Sentiment!$B$2:$B$37,Phone_by_Sentiment!N$2:N$37,"",0,1)),_xlfn.XLOOKUP($C1637,Phone_by_Sentiment!$B$2:$B$37,Phone_by_Sentiment!N$2:N$37,"",0,1),0),$A1637-TEXT(DATEVALUE($D1637&amp;"-01"), "dd-mm-yyyy")),0),0)</f>
        <v>151</v>
      </c>
      <c r="O1637" cm="1">
        <f t="array" ref="O1637">IF($Q1637&gt;=0,IFERROR(generateSalesData($D1637, IF(ISNUMBER(_xlfn.XLOOKUP($C1637,Phone_by_Sentiment!$B$2:$B$37,Phone_by_Sentiment!O$2:O$37,"",0,1)),_xlfn.XLOOKUP($C1637,Phone_by_Sentiment!$B$2:$B$37,Phone_by_Sentiment!O$2:O$37,"",0,1),0),$A1637-TEXT(DATEVALUE($D1637&amp;"-01"), "dd-mm-yyyy")),0),0)</f>
        <v>58</v>
      </c>
      <c r="P1637" s="1">
        <f t="shared" si="64"/>
        <v>44228</v>
      </c>
      <c r="Q1637">
        <f t="shared" si="66"/>
        <v>638</v>
      </c>
    </row>
    <row r="1638" spans="1:17" x14ac:dyDescent="0.25">
      <c r="A1638" s="1">
        <f t="shared" si="65"/>
        <v>44866</v>
      </c>
      <c r="B1638" t="s">
        <v>171</v>
      </c>
      <c r="C1638" t="str">
        <f>_xlfn.XLOOKUP(B1638,Phone_by_Price!$A$2:$A$34,Phone_by_Price!$B$2:$B$34,"-",0,1)</f>
        <v>Samsung Galaxy A22 5G</v>
      </c>
      <c r="D1638" t="str">
        <f>_xlfn.XLOOKUP(C1638,Phone_by_Sentiment!$B$2:$B$37,Phone_by_Sentiment!$A$2:$A$37,"-",0,1)</f>
        <v>2021-05</v>
      </c>
      <c r="E1638" cm="1">
        <f t="array" ref="E1638">IF($Q1638&gt;=0,IFERROR(generateSalesData($D1638, IF(ISNUMBER(_xlfn.XLOOKUP($C1638,Phone_by_Sentiment!$B$2:$B$37,Phone_by_Sentiment!E$2:E$37,"",0,1)),_xlfn.XLOOKUP($C1638,Phone_by_Sentiment!$B$2:$B$37,Phone_by_Sentiment!E$2:E$37,"",0,1),0),$A1638-TEXT(DATEVALUE($D1638&amp;"-01"), "dd-mm-yyyy")),0),0)</f>
        <v>584</v>
      </c>
      <c r="F1638" cm="1">
        <f t="array" ref="F1638">IF($Q1638&gt;=0,IFERROR(generateSalesData($D1638, IF(ISNUMBER(_xlfn.XLOOKUP($C1638,Phone_by_Sentiment!$B$2:$B$37,Phone_by_Sentiment!F$2:F$37,"",0,1)),_xlfn.XLOOKUP($C1638,Phone_by_Sentiment!$B$2:$B$37,Phone_by_Sentiment!F$2:F$37,"",0,1),0),$A1638-TEXT(DATEVALUE($D1638&amp;"-01"), "dd-mm-yyyy")),0),0)</f>
        <v>306</v>
      </c>
      <c r="G1638" cm="1">
        <f t="array" ref="G1638">IF($Q1638&gt;=0,IFERROR(generateSalesData($D1638, IF(ISNUMBER(_xlfn.XLOOKUP($C1638,Phone_by_Sentiment!$B$2:$B$37,Phone_by_Sentiment!G$2:G$37,"",0,1)),_xlfn.XLOOKUP($C1638,Phone_by_Sentiment!$B$2:$B$37,Phone_by_Sentiment!G$2:G$37,"",0,1),0),$A1638-TEXT(DATEVALUE($D1638&amp;"-01"), "dd-mm-yyyy")),0),0)</f>
        <v>117</v>
      </c>
      <c r="H1638" cm="1">
        <f t="array" ref="H1638">IF($Q1638&gt;=0,IFERROR(generateSalesData($D1638, IF(ISNUMBER(_xlfn.XLOOKUP($C1638,Phone_by_Sentiment!$B$2:$B$37,Phone_by_Sentiment!H$2:H$37,"",0,1)),_xlfn.XLOOKUP($C1638,Phone_by_Sentiment!$B$2:$B$37,Phone_by_Sentiment!H$2:H$37,"",0,1),0),$A1638-TEXT(DATEVALUE($D1638&amp;"-01"), "dd-mm-yyyy")),0),0)</f>
        <v>388</v>
      </c>
      <c r="I1638" cm="1">
        <f t="array" ref="I1638">IF($Q1638&gt;=0,IFERROR(generateSalesData($D1638, IF(ISNUMBER(_xlfn.XLOOKUP($C1638,Phone_by_Sentiment!$B$2:$B$37,Phone_by_Sentiment!I$2:I$37,"",0,1)),_xlfn.XLOOKUP($C1638,Phone_by_Sentiment!$B$2:$B$37,Phone_by_Sentiment!I$2:I$37,"",0,1),0),$A1638-TEXT(DATEVALUE($D1638&amp;"-01"), "dd-mm-yyyy")),0),0)</f>
        <v>500</v>
      </c>
      <c r="J1638" cm="1">
        <f t="array" ref="J1638">IF($Q1638&gt;=0,IFERROR(generateSalesData($D1638, IF(ISNUMBER(_xlfn.XLOOKUP($C1638,Phone_by_Sentiment!$B$2:$B$37,Phone_by_Sentiment!J$2:J$37,"",0,1)),_xlfn.XLOOKUP($C1638,Phone_by_Sentiment!$B$2:$B$37,Phone_by_Sentiment!J$2:J$37,"",0,1),0),$A1638-TEXT(DATEVALUE($D1638&amp;"-01"), "dd-mm-yyyy")),0),0)</f>
        <v>344</v>
      </c>
      <c r="K1638" cm="1">
        <f t="array" ref="K1638">IF($Q1638&gt;=0,IFERROR(generateSalesData($D1638, IF(ISNUMBER(_xlfn.XLOOKUP($C1638,Phone_by_Sentiment!$B$2:$B$37,Phone_by_Sentiment!K$2:K$37,"",0,1)),_xlfn.XLOOKUP($C1638,Phone_by_Sentiment!$B$2:$B$37,Phone_by_Sentiment!K$2:K$37,"",0,1),0),$A1638-TEXT(DATEVALUE($D1638&amp;"-01"), "dd-mm-yyyy")),0),0)</f>
        <v>704</v>
      </c>
      <c r="L1638" cm="1">
        <f t="array" ref="L1638">IF($Q1638&gt;=0,IFERROR(generateSalesData($D1638, IF(ISNUMBER(_xlfn.XLOOKUP($C1638,Phone_by_Sentiment!$B$2:$B$37,Phone_by_Sentiment!L$2:L$37,"",0,1)),_xlfn.XLOOKUP($C1638,Phone_by_Sentiment!$B$2:$B$37,Phone_by_Sentiment!L$2:L$37,"",0,1),0),$A1638-TEXT(DATEVALUE($D1638&amp;"-01"), "dd-mm-yyyy")),0),0)</f>
        <v>627</v>
      </c>
      <c r="M1638" cm="1">
        <f t="array" ref="M1638">IF($Q1638&gt;=0,IFERROR(generateSalesData($D1638, IF(ISNUMBER(_xlfn.XLOOKUP($C1638,Phone_by_Sentiment!$B$2:$B$37,Phone_by_Sentiment!M$2:M$37,"",0,1)),_xlfn.XLOOKUP($C1638,Phone_by_Sentiment!$B$2:$B$37,Phone_by_Sentiment!M$2:M$37,"",0,1),0),$A1638-TEXT(DATEVALUE($D1638&amp;"-01"), "dd-mm-yyyy")),0),0)</f>
        <v>705</v>
      </c>
      <c r="N1638" cm="1">
        <f t="array" ref="N1638">IF($Q1638&gt;=0,IFERROR(generateSalesData($D1638, IF(ISNUMBER(_xlfn.XLOOKUP($C1638,Phone_by_Sentiment!$B$2:$B$37,Phone_by_Sentiment!N$2:N$37,"",0,1)),_xlfn.XLOOKUP($C1638,Phone_by_Sentiment!$B$2:$B$37,Phone_by_Sentiment!N$2:N$37,"",0,1),0),$A1638-TEXT(DATEVALUE($D1638&amp;"-01"), "dd-mm-yyyy")),0),0)</f>
        <v>272</v>
      </c>
      <c r="O1638" cm="1">
        <f t="array" ref="O1638">IF($Q1638&gt;=0,IFERROR(generateSalesData($D1638, IF(ISNUMBER(_xlfn.XLOOKUP($C1638,Phone_by_Sentiment!$B$2:$B$37,Phone_by_Sentiment!O$2:O$37,"",0,1)),_xlfn.XLOOKUP($C1638,Phone_by_Sentiment!$B$2:$B$37,Phone_by_Sentiment!O$2:O$37,"",0,1),0),$A1638-TEXT(DATEVALUE($D1638&amp;"-01"), "dd-mm-yyyy")),0),0)</f>
        <v>324</v>
      </c>
      <c r="P1638" s="1">
        <f t="shared" si="64"/>
        <v>44317</v>
      </c>
      <c r="Q1638">
        <f t="shared" si="66"/>
        <v>549</v>
      </c>
    </row>
    <row r="1639" spans="1:17" x14ac:dyDescent="0.25">
      <c r="A1639" s="1">
        <f t="shared" si="65"/>
        <v>44866</v>
      </c>
      <c r="B1639" t="s">
        <v>172</v>
      </c>
      <c r="C1639" t="str">
        <f>_xlfn.XLOOKUP(B1639,Phone_by_Price!$A$2:$A$34,Phone_by_Price!$B$2:$B$34,"-",0,1)</f>
        <v>Xiaomi Redmi 9</v>
      </c>
      <c r="D1639" t="str">
        <f>_xlfn.XLOOKUP(C1639,Phone_by_Sentiment!$B$2:$B$37,Phone_by_Sentiment!$A$2:$A$37,"-",0,1)</f>
        <v>2020-08</v>
      </c>
      <c r="E1639" cm="1">
        <f t="array" ref="E1639">IF($Q1639&gt;=0,IFERROR(generateSalesData($D1639, IF(ISNUMBER(_xlfn.XLOOKUP($C1639,Phone_by_Sentiment!$B$2:$B$37,Phone_by_Sentiment!E$2:E$37,"",0,1)),_xlfn.XLOOKUP($C1639,Phone_by_Sentiment!$B$2:$B$37,Phone_by_Sentiment!E$2:E$37,"",0,1),0),$A1639-TEXT(DATEVALUE($D1639&amp;"-01"), "dd-mm-yyyy")),0),0)</f>
        <v>69</v>
      </c>
      <c r="F1639" cm="1">
        <f t="array" ref="F1639">IF($Q1639&gt;=0,IFERROR(generateSalesData($D1639, IF(ISNUMBER(_xlfn.XLOOKUP($C1639,Phone_by_Sentiment!$B$2:$B$37,Phone_by_Sentiment!F$2:F$37,"",0,1)),_xlfn.XLOOKUP($C1639,Phone_by_Sentiment!$B$2:$B$37,Phone_by_Sentiment!F$2:F$37,"",0,1),0),$A1639-TEXT(DATEVALUE($D1639&amp;"-01"), "dd-mm-yyyy")),0),0)</f>
        <v>45</v>
      </c>
      <c r="G1639" cm="1">
        <f t="array" ref="G1639">IF($Q1639&gt;=0,IFERROR(generateSalesData($D1639, IF(ISNUMBER(_xlfn.XLOOKUP($C1639,Phone_by_Sentiment!$B$2:$B$37,Phone_by_Sentiment!G$2:G$37,"",0,1)),_xlfn.XLOOKUP($C1639,Phone_by_Sentiment!$B$2:$B$37,Phone_by_Sentiment!G$2:G$37,"",0,1),0),$A1639-TEXT(DATEVALUE($D1639&amp;"-01"), "dd-mm-yyyy")),0),0)</f>
        <v>142</v>
      </c>
      <c r="H1639" cm="1">
        <f t="array" ref="H1639">IF($Q1639&gt;=0,IFERROR(generateSalesData($D1639, IF(ISNUMBER(_xlfn.XLOOKUP($C1639,Phone_by_Sentiment!$B$2:$B$37,Phone_by_Sentiment!H$2:H$37,"",0,1)),_xlfn.XLOOKUP($C1639,Phone_by_Sentiment!$B$2:$B$37,Phone_by_Sentiment!H$2:H$37,"",0,1),0),$A1639-TEXT(DATEVALUE($D1639&amp;"-01"), "dd-mm-yyyy")),0),0)</f>
        <v>112</v>
      </c>
      <c r="I1639" cm="1">
        <f t="array" ref="I1639">IF($Q1639&gt;=0,IFERROR(generateSalesData($D1639, IF(ISNUMBER(_xlfn.XLOOKUP($C1639,Phone_by_Sentiment!$B$2:$B$37,Phone_by_Sentiment!I$2:I$37,"",0,1)),_xlfn.XLOOKUP($C1639,Phone_by_Sentiment!$B$2:$B$37,Phone_by_Sentiment!I$2:I$37,"",0,1),0),$A1639-TEXT(DATEVALUE($D1639&amp;"-01"), "dd-mm-yyyy")),0),0)</f>
        <v>61</v>
      </c>
      <c r="J1639" cm="1">
        <f t="array" ref="J1639">IF($Q1639&gt;=0,IFERROR(generateSalesData($D1639, IF(ISNUMBER(_xlfn.XLOOKUP($C1639,Phone_by_Sentiment!$B$2:$B$37,Phone_by_Sentiment!J$2:J$37,"",0,1)),_xlfn.XLOOKUP($C1639,Phone_by_Sentiment!$B$2:$B$37,Phone_by_Sentiment!J$2:J$37,"",0,1),0),$A1639-TEXT(DATEVALUE($D1639&amp;"-01"), "dd-mm-yyyy")),0),0)</f>
        <v>92</v>
      </c>
      <c r="K1639" cm="1">
        <f t="array" ref="K1639">IF($Q1639&gt;=0,IFERROR(generateSalesData($D1639, IF(ISNUMBER(_xlfn.XLOOKUP($C1639,Phone_by_Sentiment!$B$2:$B$37,Phone_by_Sentiment!K$2:K$37,"",0,1)),_xlfn.XLOOKUP($C1639,Phone_by_Sentiment!$B$2:$B$37,Phone_by_Sentiment!K$2:K$37,"",0,1),0),$A1639-TEXT(DATEVALUE($D1639&amp;"-01"), "dd-mm-yyyy")),0),0)</f>
        <v>67</v>
      </c>
      <c r="L1639" cm="1">
        <f t="array" ref="L1639">IF($Q1639&gt;=0,IFERROR(generateSalesData($D1639, IF(ISNUMBER(_xlfn.XLOOKUP($C1639,Phone_by_Sentiment!$B$2:$B$37,Phone_by_Sentiment!L$2:L$37,"",0,1)),_xlfn.XLOOKUP($C1639,Phone_by_Sentiment!$B$2:$B$37,Phone_by_Sentiment!L$2:L$37,"",0,1),0),$A1639-TEXT(DATEVALUE($D1639&amp;"-01"), "dd-mm-yyyy")),0),0)</f>
        <v>93</v>
      </c>
      <c r="M1639" cm="1">
        <f t="array" ref="M1639">IF($Q1639&gt;=0,IFERROR(generateSalesData($D1639, IF(ISNUMBER(_xlfn.XLOOKUP($C1639,Phone_by_Sentiment!$B$2:$B$37,Phone_by_Sentiment!M$2:M$37,"",0,1)),_xlfn.XLOOKUP($C1639,Phone_by_Sentiment!$B$2:$B$37,Phone_by_Sentiment!M$2:M$37,"",0,1),0),$A1639-TEXT(DATEVALUE($D1639&amp;"-01"), "dd-mm-yyyy")),0),0)</f>
        <v>188</v>
      </c>
      <c r="N1639" cm="1">
        <f t="array" ref="N1639">IF($Q1639&gt;=0,IFERROR(generateSalesData($D1639, IF(ISNUMBER(_xlfn.XLOOKUP($C1639,Phone_by_Sentiment!$B$2:$B$37,Phone_by_Sentiment!N$2:N$37,"",0,1)),_xlfn.XLOOKUP($C1639,Phone_by_Sentiment!$B$2:$B$37,Phone_by_Sentiment!N$2:N$37,"",0,1),0),$A1639-TEXT(DATEVALUE($D1639&amp;"-01"), "dd-mm-yyyy")),0),0)</f>
        <v>94</v>
      </c>
      <c r="O1639" cm="1">
        <f t="array" ref="O1639">IF($Q1639&gt;=0,IFERROR(generateSalesData($D1639, IF(ISNUMBER(_xlfn.XLOOKUP($C1639,Phone_by_Sentiment!$B$2:$B$37,Phone_by_Sentiment!O$2:O$37,"",0,1)),_xlfn.XLOOKUP($C1639,Phone_by_Sentiment!$B$2:$B$37,Phone_by_Sentiment!O$2:O$37,"",0,1),0),$A1639-TEXT(DATEVALUE($D1639&amp;"-01"), "dd-mm-yyyy")),0),0)</f>
        <v>12</v>
      </c>
      <c r="P1639" s="1">
        <f t="shared" si="64"/>
        <v>44044</v>
      </c>
      <c r="Q1639">
        <f t="shared" si="66"/>
        <v>822</v>
      </c>
    </row>
    <row r="1640" spans="1:17" x14ac:dyDescent="0.25">
      <c r="A1640" s="1">
        <f t="shared" si="65"/>
        <v>44866</v>
      </c>
      <c r="B1640" t="s">
        <v>173</v>
      </c>
      <c r="C1640" t="str">
        <f>_xlfn.XLOOKUP(B1640,Phone_by_Price!$A$2:$A$34,Phone_by_Price!$B$2:$B$34,"-",0,1)</f>
        <v>Realme C3</v>
      </c>
      <c r="D1640" t="str">
        <f>_xlfn.XLOOKUP(C1640,Phone_by_Sentiment!$B$2:$B$37,Phone_by_Sentiment!$A$2:$A$37,"-",0,1)</f>
        <v>2020-02</v>
      </c>
      <c r="E1640" cm="1">
        <f t="array" ref="E1640">IF($Q1640&gt;=0,IFERROR(generateSalesData($D1640, IF(ISNUMBER(_xlfn.XLOOKUP($C1640,Phone_by_Sentiment!$B$2:$B$37,Phone_by_Sentiment!E$2:E$37,"",0,1)),_xlfn.XLOOKUP($C1640,Phone_by_Sentiment!$B$2:$B$37,Phone_by_Sentiment!E$2:E$37,"",0,1),0),$A1640-TEXT(DATEVALUE($D1640&amp;"-01"), "dd-mm-yyyy")),0),0)</f>
        <v>36</v>
      </c>
      <c r="F1640" cm="1">
        <f t="array" ref="F1640">IF($Q1640&gt;=0,IFERROR(generateSalesData($D1640, IF(ISNUMBER(_xlfn.XLOOKUP($C1640,Phone_by_Sentiment!$B$2:$B$37,Phone_by_Sentiment!F$2:F$37,"",0,1)),_xlfn.XLOOKUP($C1640,Phone_by_Sentiment!$B$2:$B$37,Phone_by_Sentiment!F$2:F$37,"",0,1),0),$A1640-TEXT(DATEVALUE($D1640&amp;"-01"), "dd-mm-yyyy")),0),0)</f>
        <v>111</v>
      </c>
      <c r="G1640" cm="1">
        <f t="array" ref="G1640">IF($Q1640&gt;=0,IFERROR(generateSalesData($D1640, IF(ISNUMBER(_xlfn.XLOOKUP($C1640,Phone_by_Sentiment!$B$2:$B$37,Phone_by_Sentiment!G$2:G$37,"",0,1)),_xlfn.XLOOKUP($C1640,Phone_by_Sentiment!$B$2:$B$37,Phone_by_Sentiment!G$2:G$37,"",0,1),0),$A1640-TEXT(DATEVALUE($D1640&amp;"-01"), "dd-mm-yyyy")),0),0)</f>
        <v>92</v>
      </c>
      <c r="H1640" cm="1">
        <f t="array" ref="H1640">IF($Q1640&gt;=0,IFERROR(generateSalesData($D1640, IF(ISNUMBER(_xlfn.XLOOKUP($C1640,Phone_by_Sentiment!$B$2:$B$37,Phone_by_Sentiment!H$2:H$37,"",0,1)),_xlfn.XLOOKUP($C1640,Phone_by_Sentiment!$B$2:$B$37,Phone_by_Sentiment!H$2:H$37,"",0,1),0),$A1640-TEXT(DATEVALUE($D1640&amp;"-01"), "dd-mm-yyyy")),0),0)</f>
        <v>308</v>
      </c>
      <c r="I1640" cm="1">
        <f t="array" ref="I1640">IF($Q1640&gt;=0,IFERROR(generateSalesData($D1640, IF(ISNUMBER(_xlfn.XLOOKUP($C1640,Phone_by_Sentiment!$B$2:$B$37,Phone_by_Sentiment!I$2:I$37,"",0,1)),_xlfn.XLOOKUP($C1640,Phone_by_Sentiment!$B$2:$B$37,Phone_by_Sentiment!I$2:I$37,"",0,1),0),$A1640-TEXT(DATEVALUE($D1640&amp;"-01"), "dd-mm-yyyy")),0),0)</f>
        <v>173</v>
      </c>
      <c r="J1640" cm="1">
        <f t="array" ref="J1640">IF($Q1640&gt;=0,IFERROR(generateSalesData($D1640, IF(ISNUMBER(_xlfn.XLOOKUP($C1640,Phone_by_Sentiment!$B$2:$B$37,Phone_by_Sentiment!J$2:J$37,"",0,1)),_xlfn.XLOOKUP($C1640,Phone_by_Sentiment!$B$2:$B$37,Phone_by_Sentiment!J$2:J$37,"",0,1),0),$A1640-TEXT(DATEVALUE($D1640&amp;"-01"), "dd-mm-yyyy")),0),0)</f>
        <v>86</v>
      </c>
      <c r="K1640" cm="1">
        <f t="array" ref="K1640">IF($Q1640&gt;=0,IFERROR(generateSalesData($D1640, IF(ISNUMBER(_xlfn.XLOOKUP($C1640,Phone_by_Sentiment!$B$2:$B$37,Phone_by_Sentiment!K$2:K$37,"",0,1)),_xlfn.XLOOKUP($C1640,Phone_by_Sentiment!$B$2:$B$37,Phone_by_Sentiment!K$2:K$37,"",0,1),0),$A1640-TEXT(DATEVALUE($D1640&amp;"-01"), "dd-mm-yyyy")),0),0)</f>
        <v>185</v>
      </c>
      <c r="L1640" cm="1">
        <f t="array" ref="L1640">IF($Q1640&gt;=0,IFERROR(generateSalesData($D1640, IF(ISNUMBER(_xlfn.XLOOKUP($C1640,Phone_by_Sentiment!$B$2:$B$37,Phone_by_Sentiment!L$2:L$37,"",0,1)),_xlfn.XLOOKUP($C1640,Phone_by_Sentiment!$B$2:$B$37,Phone_by_Sentiment!L$2:L$37,"",0,1),0),$A1640-TEXT(DATEVALUE($D1640&amp;"-01"), "dd-mm-yyyy")),0),0)</f>
        <v>232</v>
      </c>
      <c r="M1640" cm="1">
        <f t="array" ref="M1640">IF($Q1640&gt;=0,IFERROR(generateSalesData($D1640, IF(ISNUMBER(_xlfn.XLOOKUP($C1640,Phone_by_Sentiment!$B$2:$B$37,Phone_by_Sentiment!M$2:M$37,"",0,1)),_xlfn.XLOOKUP($C1640,Phone_by_Sentiment!$B$2:$B$37,Phone_by_Sentiment!M$2:M$37,"",0,1),0),$A1640-TEXT(DATEVALUE($D1640&amp;"-01"), "dd-mm-yyyy")),0),0)</f>
        <v>71</v>
      </c>
      <c r="N1640" cm="1">
        <f t="array" ref="N1640">IF($Q1640&gt;=0,IFERROR(generateSalesData($D1640, IF(ISNUMBER(_xlfn.XLOOKUP($C1640,Phone_by_Sentiment!$B$2:$B$37,Phone_by_Sentiment!N$2:N$37,"",0,1)),_xlfn.XLOOKUP($C1640,Phone_by_Sentiment!$B$2:$B$37,Phone_by_Sentiment!N$2:N$37,"",0,1),0),$A1640-TEXT(DATEVALUE($D1640&amp;"-01"), "dd-mm-yyyy")),0),0)</f>
        <v>339</v>
      </c>
      <c r="O1640" cm="1">
        <f t="array" ref="O1640">IF($Q1640&gt;=0,IFERROR(generateSalesData($D1640, IF(ISNUMBER(_xlfn.XLOOKUP($C1640,Phone_by_Sentiment!$B$2:$B$37,Phone_by_Sentiment!O$2:O$37,"",0,1)),_xlfn.XLOOKUP($C1640,Phone_by_Sentiment!$B$2:$B$37,Phone_by_Sentiment!O$2:O$37,"",0,1),0),$A1640-TEXT(DATEVALUE($D1640&amp;"-01"), "dd-mm-yyyy")),0),0)</f>
        <v>119</v>
      </c>
      <c r="P1640" s="1">
        <f t="shared" si="64"/>
        <v>43862</v>
      </c>
      <c r="Q1640">
        <f t="shared" si="66"/>
        <v>1004</v>
      </c>
    </row>
    <row r="1641" spans="1:17" x14ac:dyDescent="0.25">
      <c r="A1641" s="1">
        <f t="shared" si="65"/>
        <v>44866</v>
      </c>
      <c r="B1641" t="s">
        <v>174</v>
      </c>
      <c r="C1641" t="str">
        <f>_xlfn.XLOOKUP(B1641,Phone_by_Price!$A$2:$A$34,Phone_by_Price!$B$2:$B$34,"-",0,1)</f>
        <v>Samsung Galaxy A7</v>
      </c>
      <c r="D1641" t="str">
        <f>_xlfn.XLOOKUP(C1641,Phone_by_Sentiment!$B$2:$B$37,Phone_by_Sentiment!$A$2:$A$37,"-",0,1)</f>
        <v>2018-10</v>
      </c>
      <c r="E1641" cm="1">
        <f t="array" ref="E1641">IF($Q1641&gt;=0,IFERROR(generateSalesData($D1641, IF(ISNUMBER(_xlfn.XLOOKUP($C1641,Phone_by_Sentiment!$B$2:$B$37,Phone_by_Sentiment!E$2:E$37,"",0,1)),_xlfn.XLOOKUP($C1641,Phone_by_Sentiment!$B$2:$B$37,Phone_by_Sentiment!E$2:E$37,"",0,1),0),$A1641-TEXT(DATEVALUE($D1641&amp;"-01"), "dd-mm-yyyy")),0),0)</f>
        <v>39</v>
      </c>
      <c r="F1641" cm="1">
        <f t="array" ref="F1641">IF($Q1641&gt;=0,IFERROR(generateSalesData($D1641, IF(ISNUMBER(_xlfn.XLOOKUP($C1641,Phone_by_Sentiment!$B$2:$B$37,Phone_by_Sentiment!F$2:F$37,"",0,1)),_xlfn.XLOOKUP($C1641,Phone_by_Sentiment!$B$2:$B$37,Phone_by_Sentiment!F$2:F$37,"",0,1),0),$A1641-TEXT(DATEVALUE($D1641&amp;"-01"), "dd-mm-yyyy")),0),0)</f>
        <v>68</v>
      </c>
      <c r="G1641" cm="1">
        <f t="array" ref="G1641">IF($Q1641&gt;=0,IFERROR(generateSalesData($D1641, IF(ISNUMBER(_xlfn.XLOOKUP($C1641,Phone_by_Sentiment!$B$2:$B$37,Phone_by_Sentiment!G$2:G$37,"",0,1)),_xlfn.XLOOKUP($C1641,Phone_by_Sentiment!$B$2:$B$37,Phone_by_Sentiment!G$2:G$37,"",0,1),0),$A1641-TEXT(DATEVALUE($D1641&amp;"-01"), "dd-mm-yyyy")),0),0)</f>
        <v>22</v>
      </c>
      <c r="H1641" cm="1">
        <f t="array" ref="H1641">IF($Q1641&gt;=0,IFERROR(generateSalesData($D1641, IF(ISNUMBER(_xlfn.XLOOKUP($C1641,Phone_by_Sentiment!$B$2:$B$37,Phone_by_Sentiment!H$2:H$37,"",0,1)),_xlfn.XLOOKUP($C1641,Phone_by_Sentiment!$B$2:$B$37,Phone_by_Sentiment!H$2:H$37,"",0,1),0),$A1641-TEXT(DATEVALUE($D1641&amp;"-01"), "dd-mm-yyyy")),0),0)</f>
        <v>129</v>
      </c>
      <c r="I1641" cm="1">
        <f t="array" ref="I1641">IF($Q1641&gt;=0,IFERROR(generateSalesData($D1641, IF(ISNUMBER(_xlfn.XLOOKUP($C1641,Phone_by_Sentiment!$B$2:$B$37,Phone_by_Sentiment!I$2:I$37,"",0,1)),_xlfn.XLOOKUP($C1641,Phone_by_Sentiment!$B$2:$B$37,Phone_by_Sentiment!I$2:I$37,"",0,1),0),$A1641-TEXT(DATEVALUE($D1641&amp;"-01"), "dd-mm-yyyy")),0),0)</f>
        <v>119</v>
      </c>
      <c r="J1641" cm="1">
        <f t="array" ref="J1641">IF($Q1641&gt;=0,IFERROR(generateSalesData($D1641, IF(ISNUMBER(_xlfn.XLOOKUP($C1641,Phone_by_Sentiment!$B$2:$B$37,Phone_by_Sentiment!J$2:J$37,"",0,1)),_xlfn.XLOOKUP($C1641,Phone_by_Sentiment!$B$2:$B$37,Phone_by_Sentiment!J$2:J$37,"",0,1),0),$A1641-TEXT(DATEVALUE($D1641&amp;"-01"), "dd-mm-yyyy")),0),0)</f>
        <v>62</v>
      </c>
      <c r="K1641" cm="1">
        <f t="array" ref="K1641">IF($Q1641&gt;=0,IFERROR(generateSalesData($D1641, IF(ISNUMBER(_xlfn.XLOOKUP($C1641,Phone_by_Sentiment!$B$2:$B$37,Phone_by_Sentiment!K$2:K$37,"",0,1)),_xlfn.XLOOKUP($C1641,Phone_by_Sentiment!$B$2:$B$37,Phone_by_Sentiment!K$2:K$37,"",0,1),0),$A1641-TEXT(DATEVALUE($D1641&amp;"-01"), "dd-mm-yyyy")),0),0)</f>
        <v>22</v>
      </c>
      <c r="L1641" cm="1">
        <f t="array" ref="L1641">IF($Q1641&gt;=0,IFERROR(generateSalesData($D1641, IF(ISNUMBER(_xlfn.XLOOKUP($C1641,Phone_by_Sentiment!$B$2:$B$37,Phone_by_Sentiment!L$2:L$37,"",0,1)),_xlfn.XLOOKUP($C1641,Phone_by_Sentiment!$B$2:$B$37,Phone_by_Sentiment!L$2:L$37,"",0,1),0),$A1641-TEXT(DATEVALUE($D1641&amp;"-01"), "dd-mm-yyyy")),0),0)</f>
        <v>42</v>
      </c>
      <c r="M1641" cm="1">
        <f t="array" ref="M1641">IF($Q1641&gt;=0,IFERROR(generateSalesData($D1641, IF(ISNUMBER(_xlfn.XLOOKUP($C1641,Phone_by_Sentiment!$B$2:$B$37,Phone_by_Sentiment!M$2:M$37,"",0,1)),_xlfn.XLOOKUP($C1641,Phone_by_Sentiment!$B$2:$B$37,Phone_by_Sentiment!M$2:M$37,"",0,1),0),$A1641-TEXT(DATEVALUE($D1641&amp;"-01"), "dd-mm-yyyy")),0),0)</f>
        <v>98</v>
      </c>
      <c r="N1641" cm="1">
        <f t="array" ref="N1641">IF($Q1641&gt;=0,IFERROR(generateSalesData($D1641, IF(ISNUMBER(_xlfn.XLOOKUP($C1641,Phone_by_Sentiment!$B$2:$B$37,Phone_by_Sentiment!N$2:N$37,"",0,1)),_xlfn.XLOOKUP($C1641,Phone_by_Sentiment!$B$2:$B$37,Phone_by_Sentiment!N$2:N$37,"",0,1),0),$A1641-TEXT(DATEVALUE($D1641&amp;"-01"), "dd-mm-yyyy")),0),0)</f>
        <v>42</v>
      </c>
      <c r="O1641" cm="1">
        <f t="array" ref="O1641">IF($Q1641&gt;=0,IFERROR(generateSalesData($D1641, IF(ISNUMBER(_xlfn.XLOOKUP($C1641,Phone_by_Sentiment!$B$2:$B$37,Phone_by_Sentiment!O$2:O$37,"",0,1)),_xlfn.XLOOKUP($C1641,Phone_by_Sentiment!$B$2:$B$37,Phone_by_Sentiment!O$2:O$37,"",0,1),0),$A1641-TEXT(DATEVALUE($D1641&amp;"-01"), "dd-mm-yyyy")),0),0)</f>
        <v>313</v>
      </c>
      <c r="P1641" s="1">
        <f t="shared" si="64"/>
        <v>43374</v>
      </c>
      <c r="Q1641">
        <f t="shared" si="66"/>
        <v>1492</v>
      </c>
    </row>
    <row r="1642" spans="1:17" x14ac:dyDescent="0.25">
      <c r="A1642" s="1">
        <f t="shared" si="65"/>
        <v>44866</v>
      </c>
      <c r="B1642" t="s">
        <v>142</v>
      </c>
      <c r="C1642" t="str">
        <f>_xlfn.XLOOKUP(B1642,Phone_by_Price!$A$2:$A$34,Phone_by_Price!$B$2:$B$34,"-",0,1)</f>
        <v>iPhone 11</v>
      </c>
      <c r="D1642" t="str">
        <f>_xlfn.XLOOKUP(C1642,Phone_by_Sentiment!$B$2:$B$37,Phone_by_Sentiment!$A$2:$A$37,"-",0,1)</f>
        <v>2019-09</v>
      </c>
      <c r="E1642" cm="1">
        <f t="array" ref="E1642">IF($Q1642&gt;=0,IFERROR(generateSalesData($D1642, IF(ISNUMBER(_xlfn.XLOOKUP($C1642,Phone_by_Sentiment!$B$2:$B$37,Phone_by_Sentiment!E$2:E$37,"",0,1)),_xlfn.XLOOKUP($C1642,Phone_by_Sentiment!$B$2:$B$37,Phone_by_Sentiment!E$2:E$37,"",0,1),0),$A1642-TEXT(DATEVALUE($D1642&amp;"-01"), "dd-mm-yyyy")),0),0)</f>
        <v>217</v>
      </c>
      <c r="F1642" cm="1">
        <f t="array" ref="F1642">IF($Q1642&gt;=0,IFERROR(generateSalesData($D1642, IF(ISNUMBER(_xlfn.XLOOKUP($C1642,Phone_by_Sentiment!$B$2:$B$37,Phone_by_Sentiment!F$2:F$37,"",0,1)),_xlfn.XLOOKUP($C1642,Phone_by_Sentiment!$B$2:$B$37,Phone_by_Sentiment!F$2:F$37,"",0,1),0),$A1642-TEXT(DATEVALUE($D1642&amp;"-01"), "dd-mm-yyyy")),0),0)</f>
        <v>120</v>
      </c>
      <c r="G1642" cm="1">
        <f t="array" ref="G1642">IF($Q1642&gt;=0,IFERROR(generateSalesData($D1642, IF(ISNUMBER(_xlfn.XLOOKUP($C1642,Phone_by_Sentiment!$B$2:$B$37,Phone_by_Sentiment!G$2:G$37,"",0,1)),_xlfn.XLOOKUP($C1642,Phone_by_Sentiment!$B$2:$B$37,Phone_by_Sentiment!G$2:G$37,"",0,1),0),$A1642-TEXT(DATEVALUE($D1642&amp;"-01"), "dd-mm-yyyy")),0),0)</f>
        <v>44</v>
      </c>
      <c r="H1642" cm="1">
        <f t="array" ref="H1642">IF($Q1642&gt;=0,IFERROR(generateSalesData($D1642, IF(ISNUMBER(_xlfn.XLOOKUP($C1642,Phone_by_Sentiment!$B$2:$B$37,Phone_by_Sentiment!H$2:H$37,"",0,1)),_xlfn.XLOOKUP($C1642,Phone_by_Sentiment!$B$2:$B$37,Phone_by_Sentiment!H$2:H$37,"",0,1),0),$A1642-TEXT(DATEVALUE($D1642&amp;"-01"), "dd-mm-yyyy")),0),0)</f>
        <v>147</v>
      </c>
      <c r="I1642" cm="1">
        <f t="array" ref="I1642">IF($Q1642&gt;=0,IFERROR(generateSalesData($D1642, IF(ISNUMBER(_xlfn.XLOOKUP($C1642,Phone_by_Sentiment!$B$2:$B$37,Phone_by_Sentiment!I$2:I$37,"",0,1)),_xlfn.XLOOKUP($C1642,Phone_by_Sentiment!$B$2:$B$37,Phone_by_Sentiment!I$2:I$37,"",0,1),0),$A1642-TEXT(DATEVALUE($D1642&amp;"-01"), "dd-mm-yyyy")),0),0)</f>
        <v>215</v>
      </c>
      <c r="J1642" cm="1">
        <f t="array" ref="J1642">IF($Q1642&gt;=0,IFERROR(generateSalesData($D1642, IF(ISNUMBER(_xlfn.XLOOKUP($C1642,Phone_by_Sentiment!$B$2:$B$37,Phone_by_Sentiment!J$2:J$37,"",0,1)),_xlfn.XLOOKUP($C1642,Phone_by_Sentiment!$B$2:$B$37,Phone_by_Sentiment!J$2:J$37,"",0,1),0),$A1642-TEXT(DATEVALUE($D1642&amp;"-01"), "dd-mm-yyyy")),0),0)</f>
        <v>215</v>
      </c>
      <c r="K1642" cm="1">
        <f t="array" ref="K1642">IF($Q1642&gt;=0,IFERROR(generateSalesData($D1642, IF(ISNUMBER(_xlfn.XLOOKUP($C1642,Phone_by_Sentiment!$B$2:$B$37,Phone_by_Sentiment!K$2:K$37,"",0,1)),_xlfn.XLOOKUP($C1642,Phone_by_Sentiment!$B$2:$B$37,Phone_by_Sentiment!K$2:K$37,"",0,1),0),$A1642-TEXT(DATEVALUE($D1642&amp;"-01"), "dd-mm-yyyy")),0),0)</f>
        <v>59</v>
      </c>
      <c r="L1642" cm="1">
        <f t="array" ref="L1642">IF($Q1642&gt;=0,IFERROR(generateSalesData($D1642, IF(ISNUMBER(_xlfn.XLOOKUP($C1642,Phone_by_Sentiment!$B$2:$B$37,Phone_by_Sentiment!L$2:L$37,"",0,1)),_xlfn.XLOOKUP($C1642,Phone_by_Sentiment!$B$2:$B$37,Phone_by_Sentiment!L$2:L$37,"",0,1),0),$A1642-TEXT(DATEVALUE($D1642&amp;"-01"), "dd-mm-yyyy")),0),0)</f>
        <v>126</v>
      </c>
      <c r="M1642" cm="1">
        <f t="array" ref="M1642">IF($Q1642&gt;=0,IFERROR(generateSalesData($D1642, IF(ISNUMBER(_xlfn.XLOOKUP($C1642,Phone_by_Sentiment!$B$2:$B$37,Phone_by_Sentiment!M$2:M$37,"",0,1)),_xlfn.XLOOKUP($C1642,Phone_by_Sentiment!$B$2:$B$37,Phone_by_Sentiment!M$2:M$37,"",0,1),0),$A1642-TEXT(DATEVALUE($D1642&amp;"-01"), "dd-mm-yyyy")),0),0)</f>
        <v>331</v>
      </c>
      <c r="N1642" cm="1">
        <f t="array" ref="N1642">IF($Q1642&gt;=0,IFERROR(generateSalesData($D1642, IF(ISNUMBER(_xlfn.XLOOKUP($C1642,Phone_by_Sentiment!$B$2:$B$37,Phone_by_Sentiment!N$2:N$37,"",0,1)),_xlfn.XLOOKUP($C1642,Phone_by_Sentiment!$B$2:$B$37,Phone_by_Sentiment!N$2:N$37,"",0,1),0),$A1642-TEXT(DATEVALUE($D1642&amp;"-01"), "dd-mm-yyyy")),0),0)</f>
        <v>211</v>
      </c>
      <c r="O1642" cm="1">
        <f t="array" ref="O1642">IF($Q1642&gt;=0,IFERROR(generateSalesData($D1642, IF(ISNUMBER(_xlfn.XLOOKUP($C1642,Phone_by_Sentiment!$B$2:$B$37,Phone_by_Sentiment!O$2:O$37,"",0,1)),_xlfn.XLOOKUP($C1642,Phone_by_Sentiment!$B$2:$B$37,Phone_by_Sentiment!O$2:O$37,"",0,1),0),$A1642-TEXT(DATEVALUE($D1642&amp;"-01"), "dd-mm-yyyy")),0),0)</f>
        <v>56</v>
      </c>
      <c r="P1642" s="1">
        <f t="shared" si="64"/>
        <v>43709</v>
      </c>
      <c r="Q1642">
        <f t="shared" si="66"/>
        <v>1157</v>
      </c>
    </row>
    <row r="1643" spans="1:17" x14ac:dyDescent="0.25">
      <c r="A1643" s="1">
        <f t="shared" si="65"/>
        <v>44866</v>
      </c>
      <c r="B1643" t="s">
        <v>143</v>
      </c>
      <c r="C1643" t="str">
        <f>_xlfn.XLOOKUP(B1643,Phone_by_Price!$A$2:$A$34,Phone_by_Price!$B$2:$B$34,"-",0,1)</f>
        <v>Samsung Galaxy S20 Ultra</v>
      </c>
      <c r="D1643" t="str">
        <f>_xlfn.XLOOKUP(C1643,Phone_by_Sentiment!$B$2:$B$37,Phone_by_Sentiment!$A$2:$A$37,"-",0,1)</f>
        <v>2020-02</v>
      </c>
      <c r="E1643" cm="1">
        <f t="array" ref="E1643">IF($Q1643&gt;=0,IFERROR(generateSalesData($D1643, IF(ISNUMBER(_xlfn.XLOOKUP($C1643,Phone_by_Sentiment!$B$2:$B$37,Phone_by_Sentiment!E$2:E$37,"",0,1)),_xlfn.XLOOKUP($C1643,Phone_by_Sentiment!$B$2:$B$37,Phone_by_Sentiment!E$2:E$37,"",0,1),0),$A1643-TEXT(DATEVALUE($D1643&amp;"-01"), "dd-mm-yyyy")),0),0)</f>
        <v>372</v>
      </c>
      <c r="F1643" cm="1">
        <f t="array" ref="F1643">IF($Q1643&gt;=0,IFERROR(generateSalesData($D1643, IF(ISNUMBER(_xlfn.XLOOKUP($C1643,Phone_by_Sentiment!$B$2:$B$37,Phone_by_Sentiment!F$2:F$37,"",0,1)),_xlfn.XLOOKUP($C1643,Phone_by_Sentiment!$B$2:$B$37,Phone_by_Sentiment!F$2:F$37,"",0,1),0),$A1643-TEXT(DATEVALUE($D1643&amp;"-01"), "dd-mm-yyyy")),0),0)</f>
        <v>141</v>
      </c>
      <c r="G1643" cm="1">
        <f t="array" ref="G1643">IF($Q1643&gt;=0,IFERROR(generateSalesData($D1643, IF(ISNUMBER(_xlfn.XLOOKUP($C1643,Phone_by_Sentiment!$B$2:$B$37,Phone_by_Sentiment!G$2:G$37,"",0,1)),_xlfn.XLOOKUP($C1643,Phone_by_Sentiment!$B$2:$B$37,Phone_by_Sentiment!G$2:G$37,"",0,1),0),$A1643-TEXT(DATEVALUE($D1643&amp;"-01"), "dd-mm-yyyy")),0),0)</f>
        <v>72</v>
      </c>
      <c r="H1643" cm="1">
        <f t="array" ref="H1643">IF($Q1643&gt;=0,IFERROR(generateSalesData($D1643, IF(ISNUMBER(_xlfn.XLOOKUP($C1643,Phone_by_Sentiment!$B$2:$B$37,Phone_by_Sentiment!H$2:H$37,"",0,1)),_xlfn.XLOOKUP($C1643,Phone_by_Sentiment!$B$2:$B$37,Phone_by_Sentiment!H$2:H$37,"",0,1),0),$A1643-TEXT(DATEVALUE($D1643&amp;"-01"), "dd-mm-yyyy")),0),0)</f>
        <v>205</v>
      </c>
      <c r="I1643" cm="1">
        <f t="array" ref="I1643">IF($Q1643&gt;=0,IFERROR(generateSalesData($D1643, IF(ISNUMBER(_xlfn.XLOOKUP($C1643,Phone_by_Sentiment!$B$2:$B$37,Phone_by_Sentiment!I$2:I$37,"",0,1)),_xlfn.XLOOKUP($C1643,Phone_by_Sentiment!$B$2:$B$37,Phone_by_Sentiment!I$2:I$37,"",0,1),0),$A1643-TEXT(DATEVALUE($D1643&amp;"-01"), "dd-mm-yyyy")),0),0)</f>
        <v>316</v>
      </c>
      <c r="J1643" cm="1">
        <f t="array" ref="J1643">IF($Q1643&gt;=0,IFERROR(generateSalesData($D1643, IF(ISNUMBER(_xlfn.XLOOKUP($C1643,Phone_by_Sentiment!$B$2:$B$37,Phone_by_Sentiment!J$2:J$37,"",0,1)),_xlfn.XLOOKUP($C1643,Phone_by_Sentiment!$B$2:$B$37,Phone_by_Sentiment!J$2:J$37,"",0,1),0),$A1643-TEXT(DATEVALUE($D1643&amp;"-01"), "dd-mm-yyyy")),0),0)</f>
        <v>286</v>
      </c>
      <c r="K1643" cm="1">
        <f t="array" ref="K1643">IF($Q1643&gt;=0,IFERROR(generateSalesData($D1643, IF(ISNUMBER(_xlfn.XLOOKUP($C1643,Phone_by_Sentiment!$B$2:$B$37,Phone_by_Sentiment!K$2:K$37,"",0,1)),_xlfn.XLOOKUP($C1643,Phone_by_Sentiment!$B$2:$B$37,Phone_by_Sentiment!K$2:K$37,"",0,1),0),$A1643-TEXT(DATEVALUE($D1643&amp;"-01"), "dd-mm-yyyy")),0),0)</f>
        <v>39</v>
      </c>
      <c r="L1643" cm="1">
        <f t="array" ref="L1643">IF($Q1643&gt;=0,IFERROR(generateSalesData($D1643, IF(ISNUMBER(_xlfn.XLOOKUP($C1643,Phone_by_Sentiment!$B$2:$B$37,Phone_by_Sentiment!L$2:L$37,"",0,1)),_xlfn.XLOOKUP($C1643,Phone_by_Sentiment!$B$2:$B$37,Phone_by_Sentiment!L$2:L$37,"",0,1),0),$A1643-TEXT(DATEVALUE($D1643&amp;"-01"), "dd-mm-yyyy")),0),0)</f>
        <v>439</v>
      </c>
      <c r="M1643" cm="1">
        <f t="array" ref="M1643">IF($Q1643&gt;=0,IFERROR(generateSalesData($D1643, IF(ISNUMBER(_xlfn.XLOOKUP($C1643,Phone_by_Sentiment!$B$2:$B$37,Phone_by_Sentiment!M$2:M$37,"",0,1)),_xlfn.XLOOKUP($C1643,Phone_by_Sentiment!$B$2:$B$37,Phone_by_Sentiment!M$2:M$37,"",0,1),0),$A1643-TEXT(DATEVALUE($D1643&amp;"-01"), "dd-mm-yyyy")),0),0)</f>
        <v>277</v>
      </c>
      <c r="N1643" cm="1">
        <f t="array" ref="N1643">IF($Q1643&gt;=0,IFERROR(generateSalesData($D1643, IF(ISNUMBER(_xlfn.XLOOKUP($C1643,Phone_by_Sentiment!$B$2:$B$37,Phone_by_Sentiment!N$2:N$37,"",0,1)),_xlfn.XLOOKUP($C1643,Phone_by_Sentiment!$B$2:$B$37,Phone_by_Sentiment!N$2:N$37,"",0,1),0),$A1643-TEXT(DATEVALUE($D1643&amp;"-01"), "dd-mm-yyyy")),0),0)</f>
        <v>97</v>
      </c>
      <c r="O1643" cm="1">
        <f t="array" ref="O1643">IF($Q1643&gt;=0,IFERROR(generateSalesData($D1643, IF(ISNUMBER(_xlfn.XLOOKUP($C1643,Phone_by_Sentiment!$B$2:$B$37,Phone_by_Sentiment!O$2:O$37,"",0,1)),_xlfn.XLOOKUP($C1643,Phone_by_Sentiment!$B$2:$B$37,Phone_by_Sentiment!O$2:O$37,"",0,1),0),$A1643-TEXT(DATEVALUE($D1643&amp;"-01"), "dd-mm-yyyy")),0),0)</f>
        <v>203</v>
      </c>
      <c r="P1643" s="1">
        <f t="shared" si="64"/>
        <v>43862</v>
      </c>
      <c r="Q1643">
        <f t="shared" si="66"/>
        <v>1004</v>
      </c>
    </row>
    <row r="1644" spans="1:17" x14ac:dyDescent="0.25">
      <c r="A1644" s="1">
        <f t="shared" si="65"/>
        <v>44866</v>
      </c>
      <c r="B1644" t="s">
        <v>144</v>
      </c>
      <c r="C1644" t="str">
        <f>_xlfn.XLOOKUP(B1644,Phone_by_Price!$A$2:$A$34,Phone_by_Price!$B$2:$B$34,"-",0,1)</f>
        <v>Xiaomi Redmi Note 10</v>
      </c>
      <c r="D1644" t="str">
        <f>_xlfn.XLOOKUP(C1644,Phone_by_Sentiment!$B$2:$B$37,Phone_by_Sentiment!$A$2:$A$37,"-",0,1)</f>
        <v>2021-03</v>
      </c>
      <c r="E1644" cm="1">
        <f t="array" ref="E1644">IF($Q1644&gt;=0,IFERROR(generateSalesData($D1644, IF(ISNUMBER(_xlfn.XLOOKUP($C1644,Phone_by_Sentiment!$B$2:$B$37,Phone_by_Sentiment!E$2:E$37,"",0,1)),_xlfn.XLOOKUP($C1644,Phone_by_Sentiment!$B$2:$B$37,Phone_by_Sentiment!E$2:E$37,"",0,1),0),$A1644-TEXT(DATEVALUE($D1644&amp;"-01"), "dd-mm-yyyy")),0),0)</f>
        <v>316</v>
      </c>
      <c r="F1644" cm="1">
        <f t="array" ref="F1644">IF($Q1644&gt;=0,IFERROR(generateSalesData($D1644, IF(ISNUMBER(_xlfn.XLOOKUP($C1644,Phone_by_Sentiment!$B$2:$B$37,Phone_by_Sentiment!F$2:F$37,"",0,1)),_xlfn.XLOOKUP($C1644,Phone_by_Sentiment!$B$2:$B$37,Phone_by_Sentiment!F$2:F$37,"",0,1),0),$A1644-TEXT(DATEVALUE($D1644&amp;"-01"), "dd-mm-yyyy")),0),0)</f>
        <v>74</v>
      </c>
      <c r="G1644" cm="1">
        <f t="array" ref="G1644">IF($Q1644&gt;=0,IFERROR(generateSalesData($D1644, IF(ISNUMBER(_xlfn.XLOOKUP($C1644,Phone_by_Sentiment!$B$2:$B$37,Phone_by_Sentiment!G$2:G$37,"",0,1)),_xlfn.XLOOKUP($C1644,Phone_by_Sentiment!$B$2:$B$37,Phone_by_Sentiment!G$2:G$37,"",0,1),0),$A1644-TEXT(DATEVALUE($D1644&amp;"-01"), "dd-mm-yyyy")),0),0)</f>
        <v>90</v>
      </c>
      <c r="H1644" cm="1">
        <f t="array" ref="H1644">IF($Q1644&gt;=0,IFERROR(generateSalesData($D1644, IF(ISNUMBER(_xlfn.XLOOKUP($C1644,Phone_by_Sentiment!$B$2:$B$37,Phone_by_Sentiment!H$2:H$37,"",0,1)),_xlfn.XLOOKUP($C1644,Phone_by_Sentiment!$B$2:$B$37,Phone_by_Sentiment!H$2:H$37,"",0,1),0),$A1644-TEXT(DATEVALUE($D1644&amp;"-01"), "dd-mm-yyyy")),0),0)</f>
        <v>312</v>
      </c>
      <c r="I1644" cm="1">
        <f t="array" ref="I1644">IF($Q1644&gt;=0,IFERROR(generateSalesData($D1644, IF(ISNUMBER(_xlfn.XLOOKUP($C1644,Phone_by_Sentiment!$B$2:$B$37,Phone_by_Sentiment!I$2:I$37,"",0,1)),_xlfn.XLOOKUP($C1644,Phone_by_Sentiment!$B$2:$B$37,Phone_by_Sentiment!I$2:I$37,"",0,1),0),$A1644-TEXT(DATEVALUE($D1644&amp;"-01"), "dd-mm-yyyy")),0),0)</f>
        <v>390</v>
      </c>
      <c r="J1644" cm="1">
        <f t="array" ref="J1644">IF($Q1644&gt;=0,IFERROR(generateSalesData($D1644, IF(ISNUMBER(_xlfn.XLOOKUP($C1644,Phone_by_Sentiment!$B$2:$B$37,Phone_by_Sentiment!J$2:J$37,"",0,1)),_xlfn.XLOOKUP($C1644,Phone_by_Sentiment!$B$2:$B$37,Phone_by_Sentiment!J$2:J$37,"",0,1),0),$A1644-TEXT(DATEVALUE($D1644&amp;"-01"), "dd-mm-yyyy")),0),0)</f>
        <v>597</v>
      </c>
      <c r="K1644" cm="1">
        <f t="array" ref="K1644">IF($Q1644&gt;=0,IFERROR(generateSalesData($D1644, IF(ISNUMBER(_xlfn.XLOOKUP($C1644,Phone_by_Sentiment!$B$2:$B$37,Phone_by_Sentiment!K$2:K$37,"",0,1)),_xlfn.XLOOKUP($C1644,Phone_by_Sentiment!$B$2:$B$37,Phone_by_Sentiment!K$2:K$37,"",0,1),0),$A1644-TEXT(DATEVALUE($D1644&amp;"-01"), "dd-mm-yyyy")),0),0)</f>
        <v>626</v>
      </c>
      <c r="L1644" cm="1">
        <f t="array" ref="L1644">IF($Q1644&gt;=0,IFERROR(generateSalesData($D1644, IF(ISNUMBER(_xlfn.XLOOKUP($C1644,Phone_by_Sentiment!$B$2:$B$37,Phone_by_Sentiment!L$2:L$37,"",0,1)),_xlfn.XLOOKUP($C1644,Phone_by_Sentiment!$B$2:$B$37,Phone_by_Sentiment!L$2:L$37,"",0,1),0),$A1644-TEXT(DATEVALUE($D1644&amp;"-01"), "dd-mm-yyyy")),0),0)</f>
        <v>339</v>
      </c>
      <c r="M1644" cm="1">
        <f t="array" ref="M1644">IF($Q1644&gt;=0,IFERROR(generateSalesData($D1644, IF(ISNUMBER(_xlfn.XLOOKUP($C1644,Phone_by_Sentiment!$B$2:$B$37,Phone_by_Sentiment!M$2:M$37,"",0,1)),_xlfn.XLOOKUP($C1644,Phone_by_Sentiment!$B$2:$B$37,Phone_by_Sentiment!M$2:M$37,"",0,1),0),$A1644-TEXT(DATEVALUE($D1644&amp;"-01"), "dd-mm-yyyy")),0),0)</f>
        <v>83</v>
      </c>
      <c r="N1644" cm="1">
        <f t="array" ref="N1644">IF($Q1644&gt;=0,IFERROR(generateSalesData($D1644, IF(ISNUMBER(_xlfn.XLOOKUP($C1644,Phone_by_Sentiment!$B$2:$B$37,Phone_by_Sentiment!N$2:N$37,"",0,1)),_xlfn.XLOOKUP($C1644,Phone_by_Sentiment!$B$2:$B$37,Phone_by_Sentiment!N$2:N$37,"",0,1),0),$A1644-TEXT(DATEVALUE($D1644&amp;"-01"), "dd-mm-yyyy")),0),0)</f>
        <v>243</v>
      </c>
      <c r="O1644" cm="1">
        <f t="array" ref="O1644">IF($Q1644&gt;=0,IFERROR(generateSalesData($D1644, IF(ISNUMBER(_xlfn.XLOOKUP($C1644,Phone_by_Sentiment!$B$2:$B$37,Phone_by_Sentiment!O$2:O$37,"",0,1)),_xlfn.XLOOKUP($C1644,Phone_by_Sentiment!$B$2:$B$37,Phone_by_Sentiment!O$2:O$37,"",0,1),0),$A1644-TEXT(DATEVALUE($D1644&amp;"-01"), "dd-mm-yyyy")),0),0)</f>
        <v>476</v>
      </c>
      <c r="P1644" s="1">
        <f t="shared" si="64"/>
        <v>44256</v>
      </c>
      <c r="Q1644">
        <f t="shared" si="66"/>
        <v>610</v>
      </c>
    </row>
    <row r="1645" spans="1:17" x14ac:dyDescent="0.25">
      <c r="A1645" s="1">
        <f t="shared" si="65"/>
        <v>44866</v>
      </c>
      <c r="B1645" t="s">
        <v>145</v>
      </c>
      <c r="C1645" t="str">
        <f>_xlfn.XLOOKUP(B1645,Phone_by_Price!$A$2:$A$34,Phone_by_Price!$B$2:$B$34,"-",0,1)</f>
        <v>OPPO A54</v>
      </c>
      <c r="D1645" t="str">
        <f>_xlfn.XLOOKUP(C1645,Phone_by_Sentiment!$B$2:$B$37,Phone_by_Sentiment!$A$2:$A$37,"-",0,1)</f>
        <v>2021-04</v>
      </c>
      <c r="E1645" cm="1">
        <f t="array" ref="E1645">IF($Q1645&gt;=0,IFERROR(generateSalesData($D1645, IF(ISNUMBER(_xlfn.XLOOKUP($C1645,Phone_by_Sentiment!$B$2:$B$37,Phone_by_Sentiment!E$2:E$37,"",0,1)),_xlfn.XLOOKUP($C1645,Phone_by_Sentiment!$B$2:$B$37,Phone_by_Sentiment!E$2:E$37,"",0,1),0),$A1645-TEXT(DATEVALUE($D1645&amp;"-01"), "dd-mm-yyyy")),0),0)</f>
        <v>290</v>
      </c>
      <c r="F1645" cm="1">
        <f t="array" ref="F1645">IF($Q1645&gt;=0,IFERROR(generateSalesData($D1645, IF(ISNUMBER(_xlfn.XLOOKUP($C1645,Phone_by_Sentiment!$B$2:$B$37,Phone_by_Sentiment!F$2:F$37,"",0,1)),_xlfn.XLOOKUP($C1645,Phone_by_Sentiment!$B$2:$B$37,Phone_by_Sentiment!F$2:F$37,"",0,1),0),$A1645-TEXT(DATEVALUE($D1645&amp;"-01"), "dd-mm-yyyy")),0),0)</f>
        <v>64</v>
      </c>
      <c r="G1645" cm="1">
        <f t="array" ref="G1645">IF($Q1645&gt;=0,IFERROR(generateSalesData($D1645, IF(ISNUMBER(_xlfn.XLOOKUP($C1645,Phone_by_Sentiment!$B$2:$B$37,Phone_by_Sentiment!G$2:G$37,"",0,1)),_xlfn.XLOOKUP($C1645,Phone_by_Sentiment!$B$2:$B$37,Phone_by_Sentiment!G$2:G$37,"",0,1),0),$A1645-TEXT(DATEVALUE($D1645&amp;"-01"), "dd-mm-yyyy")),0),0)</f>
        <v>111</v>
      </c>
      <c r="H1645" cm="1">
        <f t="array" ref="H1645">IF($Q1645&gt;=0,IFERROR(generateSalesData($D1645, IF(ISNUMBER(_xlfn.XLOOKUP($C1645,Phone_by_Sentiment!$B$2:$B$37,Phone_by_Sentiment!H$2:H$37,"",0,1)),_xlfn.XLOOKUP($C1645,Phone_by_Sentiment!$B$2:$B$37,Phone_by_Sentiment!H$2:H$37,"",0,1),0),$A1645-TEXT(DATEVALUE($D1645&amp;"-01"), "dd-mm-yyyy")),0),0)</f>
        <v>193</v>
      </c>
      <c r="I1645" cm="1">
        <f t="array" ref="I1645">IF($Q1645&gt;=0,IFERROR(generateSalesData($D1645, IF(ISNUMBER(_xlfn.XLOOKUP($C1645,Phone_by_Sentiment!$B$2:$B$37,Phone_by_Sentiment!I$2:I$37,"",0,1)),_xlfn.XLOOKUP($C1645,Phone_by_Sentiment!$B$2:$B$37,Phone_by_Sentiment!I$2:I$37,"",0,1),0),$A1645-TEXT(DATEVALUE($D1645&amp;"-01"), "dd-mm-yyyy")),0),0)</f>
        <v>350</v>
      </c>
      <c r="J1645" cm="1">
        <f t="array" ref="J1645">IF($Q1645&gt;=0,IFERROR(generateSalesData($D1645, IF(ISNUMBER(_xlfn.XLOOKUP($C1645,Phone_by_Sentiment!$B$2:$B$37,Phone_by_Sentiment!J$2:J$37,"",0,1)),_xlfn.XLOOKUP($C1645,Phone_by_Sentiment!$B$2:$B$37,Phone_by_Sentiment!J$2:J$37,"",0,1),0),$A1645-TEXT(DATEVALUE($D1645&amp;"-01"), "dd-mm-yyyy")),0),0)</f>
        <v>62</v>
      </c>
      <c r="K1645" cm="1">
        <f t="array" ref="K1645">IF($Q1645&gt;=0,IFERROR(generateSalesData($D1645, IF(ISNUMBER(_xlfn.XLOOKUP($C1645,Phone_by_Sentiment!$B$2:$B$37,Phone_by_Sentiment!K$2:K$37,"",0,1)),_xlfn.XLOOKUP($C1645,Phone_by_Sentiment!$B$2:$B$37,Phone_by_Sentiment!K$2:K$37,"",0,1),0),$A1645-TEXT(DATEVALUE($D1645&amp;"-01"), "dd-mm-yyyy")),0),0)</f>
        <v>126</v>
      </c>
      <c r="L1645" cm="1">
        <f t="array" ref="L1645">IF($Q1645&gt;=0,IFERROR(generateSalesData($D1645, IF(ISNUMBER(_xlfn.XLOOKUP($C1645,Phone_by_Sentiment!$B$2:$B$37,Phone_by_Sentiment!L$2:L$37,"",0,1)),_xlfn.XLOOKUP($C1645,Phone_by_Sentiment!$B$2:$B$37,Phone_by_Sentiment!L$2:L$37,"",0,1),0),$A1645-TEXT(DATEVALUE($D1645&amp;"-01"), "dd-mm-yyyy")),0),0)</f>
        <v>585</v>
      </c>
      <c r="M1645" cm="1">
        <f t="array" ref="M1645">IF($Q1645&gt;=0,IFERROR(generateSalesData($D1645, IF(ISNUMBER(_xlfn.XLOOKUP($C1645,Phone_by_Sentiment!$B$2:$B$37,Phone_by_Sentiment!M$2:M$37,"",0,1)),_xlfn.XLOOKUP($C1645,Phone_by_Sentiment!$B$2:$B$37,Phone_by_Sentiment!M$2:M$37,"",0,1),0),$A1645-TEXT(DATEVALUE($D1645&amp;"-01"), "dd-mm-yyyy")),0),0)</f>
        <v>88</v>
      </c>
      <c r="N1645" cm="1">
        <f t="array" ref="N1645">IF($Q1645&gt;=0,IFERROR(generateSalesData($D1645, IF(ISNUMBER(_xlfn.XLOOKUP($C1645,Phone_by_Sentiment!$B$2:$B$37,Phone_by_Sentiment!N$2:N$37,"",0,1)),_xlfn.XLOOKUP($C1645,Phone_by_Sentiment!$B$2:$B$37,Phone_by_Sentiment!N$2:N$37,"",0,1),0),$A1645-TEXT(DATEVALUE($D1645&amp;"-01"), "dd-mm-yyyy")),0),0)</f>
        <v>138</v>
      </c>
      <c r="O1645" cm="1">
        <f t="array" ref="O1645">IF($Q1645&gt;=0,IFERROR(generateSalesData($D1645, IF(ISNUMBER(_xlfn.XLOOKUP($C1645,Phone_by_Sentiment!$B$2:$B$37,Phone_by_Sentiment!O$2:O$37,"",0,1)),_xlfn.XLOOKUP($C1645,Phone_by_Sentiment!$B$2:$B$37,Phone_by_Sentiment!O$2:O$37,"",0,1),0),$A1645-TEXT(DATEVALUE($D1645&amp;"-01"), "dd-mm-yyyy")),0),0)</f>
        <v>111</v>
      </c>
      <c r="P1645" s="1">
        <f t="shared" si="64"/>
        <v>44287</v>
      </c>
      <c r="Q1645">
        <f t="shared" si="66"/>
        <v>579</v>
      </c>
    </row>
    <row r="1646" spans="1:17" x14ac:dyDescent="0.25">
      <c r="A1646" s="1">
        <f t="shared" si="65"/>
        <v>44896</v>
      </c>
      <c r="B1646" t="s">
        <v>144</v>
      </c>
      <c r="C1646" t="str">
        <f>_xlfn.XLOOKUP(B1646,Phone_by_Price!$A$2:$A$34,Phone_by_Price!$B$2:$B$34,"-",0,1)</f>
        <v>Xiaomi Redmi Note 10</v>
      </c>
      <c r="D1646" t="str">
        <f>_xlfn.XLOOKUP(C1646,Phone_by_Sentiment!$B$2:$B$37,Phone_by_Sentiment!$A$2:$A$37,"-",0,1)</f>
        <v>2021-03</v>
      </c>
      <c r="E1646" cm="1">
        <f t="array" ref="E1646">IF($Q1646&gt;=0,IFERROR(generateSalesData($D1646, IF(ISNUMBER(_xlfn.XLOOKUP($C1646,Phone_by_Sentiment!$B$2:$B$37,Phone_by_Sentiment!E$2:E$37,"",0,1)),_xlfn.XLOOKUP($C1646,Phone_by_Sentiment!$B$2:$B$37,Phone_by_Sentiment!E$2:E$37,"",0,1),0),$A1646-TEXT(DATEVALUE($D1646&amp;"-01"), "dd-mm-yyyy")),0),0)</f>
        <v>7</v>
      </c>
      <c r="F1646" cm="1">
        <f t="array" ref="F1646">IF($Q1646&gt;=0,IFERROR(generateSalesData($D1646, IF(ISNUMBER(_xlfn.XLOOKUP($C1646,Phone_by_Sentiment!$B$2:$B$37,Phone_by_Sentiment!F$2:F$37,"",0,1)),_xlfn.XLOOKUP($C1646,Phone_by_Sentiment!$B$2:$B$37,Phone_by_Sentiment!F$2:F$37,"",0,1),0),$A1646-TEXT(DATEVALUE($D1646&amp;"-01"), "dd-mm-yyyy")),0),0)</f>
        <v>68</v>
      </c>
      <c r="G1646" cm="1">
        <f t="array" ref="G1646">IF($Q1646&gt;=0,IFERROR(generateSalesData($D1646, IF(ISNUMBER(_xlfn.XLOOKUP($C1646,Phone_by_Sentiment!$B$2:$B$37,Phone_by_Sentiment!G$2:G$37,"",0,1)),_xlfn.XLOOKUP($C1646,Phone_by_Sentiment!$B$2:$B$37,Phone_by_Sentiment!G$2:G$37,"",0,1),0),$A1646-TEXT(DATEVALUE($D1646&amp;"-01"), "dd-mm-yyyy")),0),0)</f>
        <v>104</v>
      </c>
      <c r="H1646" cm="1">
        <f t="array" ref="H1646">IF($Q1646&gt;=0,IFERROR(generateSalesData($D1646, IF(ISNUMBER(_xlfn.XLOOKUP($C1646,Phone_by_Sentiment!$B$2:$B$37,Phone_by_Sentiment!H$2:H$37,"",0,1)),_xlfn.XLOOKUP($C1646,Phone_by_Sentiment!$B$2:$B$37,Phone_by_Sentiment!H$2:H$37,"",0,1),0),$A1646-TEXT(DATEVALUE($D1646&amp;"-01"), "dd-mm-yyyy")),0),0)</f>
        <v>398</v>
      </c>
      <c r="I1646" cm="1">
        <f t="array" ref="I1646">IF($Q1646&gt;=0,IFERROR(generateSalesData($D1646, IF(ISNUMBER(_xlfn.XLOOKUP($C1646,Phone_by_Sentiment!$B$2:$B$37,Phone_by_Sentiment!I$2:I$37,"",0,1)),_xlfn.XLOOKUP($C1646,Phone_by_Sentiment!$B$2:$B$37,Phone_by_Sentiment!I$2:I$37,"",0,1),0),$A1646-TEXT(DATEVALUE($D1646&amp;"-01"), "dd-mm-yyyy")),0),0)</f>
        <v>329</v>
      </c>
      <c r="J1646" cm="1">
        <f t="array" ref="J1646">IF($Q1646&gt;=0,IFERROR(generateSalesData($D1646, IF(ISNUMBER(_xlfn.XLOOKUP($C1646,Phone_by_Sentiment!$B$2:$B$37,Phone_by_Sentiment!J$2:J$37,"",0,1)),_xlfn.XLOOKUP($C1646,Phone_by_Sentiment!$B$2:$B$37,Phone_by_Sentiment!J$2:J$37,"",0,1),0),$A1646-TEXT(DATEVALUE($D1646&amp;"-01"), "dd-mm-yyyy")),0),0)</f>
        <v>513</v>
      </c>
      <c r="K1646" cm="1">
        <f t="array" ref="K1646">IF($Q1646&gt;=0,IFERROR(generateSalesData($D1646, IF(ISNUMBER(_xlfn.XLOOKUP($C1646,Phone_by_Sentiment!$B$2:$B$37,Phone_by_Sentiment!K$2:K$37,"",0,1)),_xlfn.XLOOKUP($C1646,Phone_by_Sentiment!$B$2:$B$37,Phone_by_Sentiment!K$2:K$37,"",0,1),0),$A1646-TEXT(DATEVALUE($D1646&amp;"-01"), "dd-mm-yyyy")),0),0)</f>
        <v>267</v>
      </c>
      <c r="L1646" cm="1">
        <f t="array" ref="L1646">IF($Q1646&gt;=0,IFERROR(generateSalesData($D1646, IF(ISNUMBER(_xlfn.XLOOKUP($C1646,Phone_by_Sentiment!$B$2:$B$37,Phone_by_Sentiment!L$2:L$37,"",0,1)),_xlfn.XLOOKUP($C1646,Phone_by_Sentiment!$B$2:$B$37,Phone_by_Sentiment!L$2:L$37,"",0,1),0),$A1646-TEXT(DATEVALUE($D1646&amp;"-01"), "dd-mm-yyyy")),0),0)</f>
        <v>294</v>
      </c>
      <c r="M1646" cm="1">
        <f t="array" ref="M1646">IF($Q1646&gt;=0,IFERROR(generateSalesData($D1646, IF(ISNUMBER(_xlfn.XLOOKUP($C1646,Phone_by_Sentiment!$B$2:$B$37,Phone_by_Sentiment!M$2:M$37,"",0,1)),_xlfn.XLOOKUP($C1646,Phone_by_Sentiment!$B$2:$B$37,Phone_by_Sentiment!M$2:M$37,"",0,1),0),$A1646-TEXT(DATEVALUE($D1646&amp;"-01"), "dd-mm-yyyy")),0),0)</f>
        <v>29</v>
      </c>
      <c r="N1646" cm="1">
        <f t="array" ref="N1646">IF($Q1646&gt;=0,IFERROR(generateSalesData($D1646, IF(ISNUMBER(_xlfn.XLOOKUP($C1646,Phone_by_Sentiment!$B$2:$B$37,Phone_by_Sentiment!N$2:N$37,"",0,1)),_xlfn.XLOOKUP($C1646,Phone_by_Sentiment!$B$2:$B$37,Phone_by_Sentiment!N$2:N$37,"",0,1),0),$A1646-TEXT(DATEVALUE($D1646&amp;"-01"), "dd-mm-yyyy")),0),0)</f>
        <v>-47</v>
      </c>
      <c r="O1646" cm="1">
        <f t="array" ref="O1646">IF($Q1646&gt;=0,IFERROR(generateSalesData($D1646, IF(ISNUMBER(_xlfn.XLOOKUP($C1646,Phone_by_Sentiment!$B$2:$B$37,Phone_by_Sentiment!O$2:O$37,"",0,1)),_xlfn.XLOOKUP($C1646,Phone_by_Sentiment!$B$2:$B$37,Phone_by_Sentiment!O$2:O$37,"",0,1),0),$A1646-TEXT(DATEVALUE($D1646&amp;"-01"), "dd-mm-yyyy")),0),0)</f>
        <v>18</v>
      </c>
      <c r="P1646" s="1">
        <f t="shared" si="64"/>
        <v>44256</v>
      </c>
      <c r="Q1646">
        <f t="shared" si="66"/>
        <v>640</v>
      </c>
    </row>
    <row r="1647" spans="1:17" x14ac:dyDescent="0.25">
      <c r="A1647" s="1">
        <f t="shared" si="65"/>
        <v>44896</v>
      </c>
      <c r="B1647" t="s">
        <v>145</v>
      </c>
      <c r="C1647" t="str">
        <f>_xlfn.XLOOKUP(B1647,Phone_by_Price!$A$2:$A$34,Phone_by_Price!$B$2:$B$34,"-",0,1)</f>
        <v>OPPO A54</v>
      </c>
      <c r="D1647" t="str">
        <f>_xlfn.XLOOKUP(C1647,Phone_by_Sentiment!$B$2:$B$37,Phone_by_Sentiment!$A$2:$A$37,"-",0,1)</f>
        <v>2021-04</v>
      </c>
      <c r="E1647" cm="1">
        <f t="array" ref="E1647">IF($Q1647&gt;=0,IFERROR(generateSalesData($D1647, IF(ISNUMBER(_xlfn.XLOOKUP($C1647,Phone_by_Sentiment!$B$2:$B$37,Phone_by_Sentiment!E$2:E$37,"",0,1)),_xlfn.XLOOKUP($C1647,Phone_by_Sentiment!$B$2:$B$37,Phone_by_Sentiment!E$2:E$37,"",0,1),0),$A1647-TEXT(DATEVALUE($D1647&amp;"-01"), "dd-mm-yyyy")),0),0)</f>
        <v>250</v>
      </c>
      <c r="F1647" cm="1">
        <f t="array" ref="F1647">IF($Q1647&gt;=0,IFERROR(generateSalesData($D1647, IF(ISNUMBER(_xlfn.XLOOKUP($C1647,Phone_by_Sentiment!$B$2:$B$37,Phone_by_Sentiment!F$2:F$37,"",0,1)),_xlfn.XLOOKUP($C1647,Phone_by_Sentiment!$B$2:$B$37,Phone_by_Sentiment!F$2:F$37,"",0,1),0),$A1647-TEXT(DATEVALUE($D1647&amp;"-01"), "dd-mm-yyyy")),0),0)</f>
        <v>30</v>
      </c>
      <c r="G1647" cm="1">
        <f t="array" ref="G1647">IF($Q1647&gt;=0,IFERROR(generateSalesData($D1647, IF(ISNUMBER(_xlfn.XLOOKUP($C1647,Phone_by_Sentiment!$B$2:$B$37,Phone_by_Sentiment!G$2:G$37,"",0,1)),_xlfn.XLOOKUP($C1647,Phone_by_Sentiment!$B$2:$B$37,Phone_by_Sentiment!G$2:G$37,"",0,1),0),$A1647-TEXT(DATEVALUE($D1647&amp;"-01"), "dd-mm-yyyy")),0),0)</f>
        <v>5</v>
      </c>
      <c r="H1647" cm="1">
        <f t="array" ref="H1647">IF($Q1647&gt;=0,IFERROR(generateSalesData($D1647, IF(ISNUMBER(_xlfn.XLOOKUP($C1647,Phone_by_Sentiment!$B$2:$B$37,Phone_by_Sentiment!H$2:H$37,"",0,1)),_xlfn.XLOOKUP($C1647,Phone_by_Sentiment!$B$2:$B$37,Phone_by_Sentiment!H$2:H$37,"",0,1),0),$A1647-TEXT(DATEVALUE($D1647&amp;"-01"), "dd-mm-yyyy")),0),0)</f>
        <v>213</v>
      </c>
      <c r="I1647" cm="1">
        <f t="array" ref="I1647">IF($Q1647&gt;=0,IFERROR(generateSalesData($D1647, IF(ISNUMBER(_xlfn.XLOOKUP($C1647,Phone_by_Sentiment!$B$2:$B$37,Phone_by_Sentiment!I$2:I$37,"",0,1)),_xlfn.XLOOKUP($C1647,Phone_by_Sentiment!$B$2:$B$37,Phone_by_Sentiment!I$2:I$37,"",0,1),0),$A1647-TEXT(DATEVALUE($D1647&amp;"-01"), "dd-mm-yyyy")),0),0)</f>
        <v>702</v>
      </c>
      <c r="J1647" cm="1">
        <f t="array" ref="J1647">IF($Q1647&gt;=0,IFERROR(generateSalesData($D1647, IF(ISNUMBER(_xlfn.XLOOKUP($C1647,Phone_by_Sentiment!$B$2:$B$37,Phone_by_Sentiment!J$2:J$37,"",0,1)),_xlfn.XLOOKUP($C1647,Phone_by_Sentiment!$B$2:$B$37,Phone_by_Sentiment!J$2:J$37,"",0,1),0),$A1647-TEXT(DATEVALUE($D1647&amp;"-01"), "dd-mm-yyyy")),0),0)</f>
        <v>36</v>
      </c>
      <c r="K1647" cm="1">
        <f t="array" ref="K1647">IF($Q1647&gt;=0,IFERROR(generateSalesData($D1647, IF(ISNUMBER(_xlfn.XLOOKUP($C1647,Phone_by_Sentiment!$B$2:$B$37,Phone_by_Sentiment!K$2:K$37,"",0,1)),_xlfn.XLOOKUP($C1647,Phone_by_Sentiment!$B$2:$B$37,Phone_by_Sentiment!K$2:K$37,"",0,1),0),$A1647-TEXT(DATEVALUE($D1647&amp;"-01"), "dd-mm-yyyy")),0),0)</f>
        <v>64</v>
      </c>
      <c r="L1647" cm="1">
        <f t="array" ref="L1647">IF($Q1647&gt;=0,IFERROR(generateSalesData($D1647, IF(ISNUMBER(_xlfn.XLOOKUP($C1647,Phone_by_Sentiment!$B$2:$B$37,Phone_by_Sentiment!L$2:L$37,"",0,1)),_xlfn.XLOOKUP($C1647,Phone_by_Sentiment!$B$2:$B$37,Phone_by_Sentiment!L$2:L$37,"",0,1),0),$A1647-TEXT(DATEVALUE($D1647&amp;"-01"), "dd-mm-yyyy")),0),0)</f>
        <v>396</v>
      </c>
      <c r="M1647" cm="1">
        <f t="array" ref="M1647">IF($Q1647&gt;=0,IFERROR(generateSalesData($D1647, IF(ISNUMBER(_xlfn.XLOOKUP($C1647,Phone_by_Sentiment!$B$2:$B$37,Phone_by_Sentiment!M$2:M$37,"",0,1)),_xlfn.XLOOKUP($C1647,Phone_by_Sentiment!$B$2:$B$37,Phone_by_Sentiment!M$2:M$37,"",0,1),0),$A1647-TEXT(DATEVALUE($D1647&amp;"-01"), "dd-mm-yyyy")),0),0)</f>
        <v>10</v>
      </c>
      <c r="N1647" cm="1">
        <f t="array" ref="N1647">IF($Q1647&gt;=0,IFERROR(generateSalesData($D1647, IF(ISNUMBER(_xlfn.XLOOKUP($C1647,Phone_by_Sentiment!$B$2:$B$37,Phone_by_Sentiment!N$2:N$37,"",0,1)),_xlfn.XLOOKUP($C1647,Phone_by_Sentiment!$B$2:$B$37,Phone_by_Sentiment!N$2:N$37,"",0,1),0),$A1647-TEXT(DATEVALUE($D1647&amp;"-01"), "dd-mm-yyyy")),0),0)</f>
        <v>250</v>
      </c>
      <c r="O1647" cm="1">
        <f t="array" ref="O1647">IF($Q1647&gt;=0,IFERROR(generateSalesData($D1647, IF(ISNUMBER(_xlfn.XLOOKUP($C1647,Phone_by_Sentiment!$B$2:$B$37,Phone_by_Sentiment!O$2:O$37,"",0,1)),_xlfn.XLOOKUP($C1647,Phone_by_Sentiment!$B$2:$B$37,Phone_by_Sentiment!O$2:O$37,"",0,1),0),$A1647-TEXT(DATEVALUE($D1647&amp;"-01"), "dd-mm-yyyy")),0),0)</f>
        <v>118</v>
      </c>
      <c r="P1647" s="1">
        <f t="shared" si="64"/>
        <v>44287</v>
      </c>
      <c r="Q1647">
        <f t="shared" si="66"/>
        <v>609</v>
      </c>
    </row>
    <row r="1648" spans="1:17" x14ac:dyDescent="0.25">
      <c r="A1648" s="1">
        <f t="shared" si="65"/>
        <v>44896</v>
      </c>
      <c r="B1648" t="s">
        <v>146</v>
      </c>
      <c r="C1648" t="str">
        <f>_xlfn.XLOOKUP(B1648,Phone_by_Price!$A$2:$A$34,Phone_by_Price!$B$2:$B$34,"-",0,1)</f>
        <v>Vivo Y20</v>
      </c>
      <c r="D1648" t="str">
        <f>_xlfn.XLOOKUP(C1648,Phone_by_Sentiment!$B$2:$B$37,Phone_by_Sentiment!$A$2:$A$37,"-",0,1)</f>
        <v>2020-09</v>
      </c>
      <c r="E1648" cm="1">
        <f t="array" ref="E1648">IF($Q1648&gt;=0,IFERROR(generateSalesData($D1648, IF(ISNUMBER(_xlfn.XLOOKUP($C1648,Phone_by_Sentiment!$B$2:$B$37,Phone_by_Sentiment!E$2:E$37,"",0,1)),_xlfn.XLOOKUP($C1648,Phone_by_Sentiment!$B$2:$B$37,Phone_by_Sentiment!E$2:E$37,"",0,1),0),$A1648-TEXT(DATEVALUE($D1648&amp;"-01"), "dd-mm-yyyy")),0),0)</f>
        <v>143</v>
      </c>
      <c r="F1648" cm="1">
        <f t="array" ref="F1648">IF($Q1648&gt;=0,IFERROR(generateSalesData($D1648, IF(ISNUMBER(_xlfn.XLOOKUP($C1648,Phone_by_Sentiment!$B$2:$B$37,Phone_by_Sentiment!F$2:F$37,"",0,1)),_xlfn.XLOOKUP($C1648,Phone_by_Sentiment!$B$2:$B$37,Phone_by_Sentiment!F$2:F$37,"",0,1),0),$A1648-TEXT(DATEVALUE($D1648&amp;"-01"), "dd-mm-yyyy")),0),0)</f>
        <v>370</v>
      </c>
      <c r="G1648" cm="1">
        <f t="array" ref="G1648">IF($Q1648&gt;=0,IFERROR(generateSalesData($D1648, IF(ISNUMBER(_xlfn.XLOOKUP($C1648,Phone_by_Sentiment!$B$2:$B$37,Phone_by_Sentiment!G$2:G$37,"",0,1)),_xlfn.XLOOKUP($C1648,Phone_by_Sentiment!$B$2:$B$37,Phone_by_Sentiment!G$2:G$37,"",0,1),0),$A1648-TEXT(DATEVALUE($D1648&amp;"-01"), "dd-mm-yyyy")),0),0)</f>
        <v>91</v>
      </c>
      <c r="H1648" cm="1">
        <f t="array" ref="H1648">IF($Q1648&gt;=0,IFERROR(generateSalesData($D1648, IF(ISNUMBER(_xlfn.XLOOKUP($C1648,Phone_by_Sentiment!$B$2:$B$37,Phone_by_Sentiment!H$2:H$37,"",0,1)),_xlfn.XLOOKUP($C1648,Phone_by_Sentiment!$B$2:$B$37,Phone_by_Sentiment!H$2:H$37,"",0,1),0),$A1648-TEXT(DATEVALUE($D1648&amp;"-01"), "dd-mm-yyyy")),0),0)</f>
        <v>87</v>
      </c>
      <c r="I1648" cm="1">
        <f t="array" ref="I1648">IF($Q1648&gt;=0,IFERROR(generateSalesData($D1648, IF(ISNUMBER(_xlfn.XLOOKUP($C1648,Phone_by_Sentiment!$B$2:$B$37,Phone_by_Sentiment!I$2:I$37,"",0,1)),_xlfn.XLOOKUP($C1648,Phone_by_Sentiment!$B$2:$B$37,Phone_by_Sentiment!I$2:I$37,"",0,1),0),$A1648-TEXT(DATEVALUE($D1648&amp;"-01"), "dd-mm-yyyy")),0),0)</f>
        <v>63</v>
      </c>
      <c r="J1648" cm="1">
        <f t="array" ref="J1648">IF($Q1648&gt;=0,IFERROR(generateSalesData($D1648, IF(ISNUMBER(_xlfn.XLOOKUP($C1648,Phone_by_Sentiment!$B$2:$B$37,Phone_by_Sentiment!J$2:J$37,"",0,1)),_xlfn.XLOOKUP($C1648,Phone_by_Sentiment!$B$2:$B$37,Phone_by_Sentiment!J$2:J$37,"",0,1),0),$A1648-TEXT(DATEVALUE($D1648&amp;"-01"), "dd-mm-yyyy")),0),0)</f>
        <v>98</v>
      </c>
      <c r="K1648" cm="1">
        <f t="array" ref="K1648">IF($Q1648&gt;=0,IFERROR(generateSalesData($D1648, IF(ISNUMBER(_xlfn.XLOOKUP($C1648,Phone_by_Sentiment!$B$2:$B$37,Phone_by_Sentiment!K$2:K$37,"",0,1)),_xlfn.XLOOKUP($C1648,Phone_by_Sentiment!$B$2:$B$37,Phone_by_Sentiment!K$2:K$37,"",0,1),0),$A1648-TEXT(DATEVALUE($D1648&amp;"-01"), "dd-mm-yyyy")),0),0)</f>
        <v>42</v>
      </c>
      <c r="L1648" cm="1">
        <f t="array" ref="L1648">IF($Q1648&gt;=0,IFERROR(generateSalesData($D1648, IF(ISNUMBER(_xlfn.XLOOKUP($C1648,Phone_by_Sentiment!$B$2:$B$37,Phone_by_Sentiment!L$2:L$37,"",0,1)),_xlfn.XLOOKUP($C1648,Phone_by_Sentiment!$B$2:$B$37,Phone_by_Sentiment!L$2:L$37,"",0,1),0),$A1648-TEXT(DATEVALUE($D1648&amp;"-01"), "dd-mm-yyyy")),0),0)</f>
        <v>252</v>
      </c>
      <c r="M1648" cm="1">
        <f t="array" ref="M1648">IF($Q1648&gt;=0,IFERROR(generateSalesData($D1648, IF(ISNUMBER(_xlfn.XLOOKUP($C1648,Phone_by_Sentiment!$B$2:$B$37,Phone_by_Sentiment!M$2:M$37,"",0,1)),_xlfn.XLOOKUP($C1648,Phone_by_Sentiment!$B$2:$B$37,Phone_by_Sentiment!M$2:M$37,"",0,1),0),$A1648-TEXT(DATEVALUE($D1648&amp;"-01"), "dd-mm-yyyy")),0),0)</f>
        <v>14</v>
      </c>
      <c r="N1648" cm="1">
        <f t="array" ref="N1648">IF($Q1648&gt;=0,IFERROR(generateSalesData($D1648, IF(ISNUMBER(_xlfn.XLOOKUP($C1648,Phone_by_Sentiment!$B$2:$B$37,Phone_by_Sentiment!N$2:N$37,"",0,1)),_xlfn.XLOOKUP($C1648,Phone_by_Sentiment!$B$2:$B$37,Phone_by_Sentiment!N$2:N$37,"",0,1),0),$A1648-TEXT(DATEVALUE($D1648&amp;"-01"), "dd-mm-yyyy")),0),0)</f>
        <v>97</v>
      </c>
      <c r="O1648" cm="1">
        <f t="array" ref="O1648">IF($Q1648&gt;=0,IFERROR(generateSalesData($D1648, IF(ISNUMBER(_xlfn.XLOOKUP($C1648,Phone_by_Sentiment!$B$2:$B$37,Phone_by_Sentiment!O$2:O$37,"",0,1)),_xlfn.XLOOKUP($C1648,Phone_by_Sentiment!$B$2:$B$37,Phone_by_Sentiment!O$2:O$37,"",0,1),0),$A1648-TEXT(DATEVALUE($D1648&amp;"-01"), "dd-mm-yyyy")),0),0)</f>
        <v>61</v>
      </c>
      <c r="P1648" s="1">
        <f t="shared" si="64"/>
        <v>44075</v>
      </c>
      <c r="Q1648">
        <f t="shared" si="66"/>
        <v>821</v>
      </c>
    </row>
    <row r="1649" spans="1:17" x14ac:dyDescent="0.25">
      <c r="A1649" s="1">
        <f t="shared" si="65"/>
        <v>44896</v>
      </c>
      <c r="B1649" t="s">
        <v>147</v>
      </c>
      <c r="C1649" t="str">
        <f>_xlfn.XLOOKUP(B1649,Phone_by_Price!$A$2:$A$34,Phone_by_Price!$B$2:$B$34,"-",0,1)</f>
        <v>Huawei Y9a</v>
      </c>
      <c r="D1649" t="str">
        <f>_xlfn.XLOOKUP(C1649,Phone_by_Sentiment!$B$2:$B$37,Phone_by_Sentiment!$A$2:$A$37,"-",0,1)</f>
        <v>2020-02</v>
      </c>
      <c r="E1649" cm="1">
        <f t="array" ref="E1649">IF($Q1649&gt;=0,IFERROR(generateSalesData($D1649, IF(ISNUMBER(_xlfn.XLOOKUP($C1649,Phone_by_Sentiment!$B$2:$B$37,Phone_by_Sentiment!E$2:E$37,"",0,1)),_xlfn.XLOOKUP($C1649,Phone_by_Sentiment!$B$2:$B$37,Phone_by_Sentiment!E$2:E$37,"",0,1),0),$A1649-TEXT(DATEVALUE($D1649&amp;"-01"), "dd-mm-yyyy")),0),0)</f>
        <v>202</v>
      </c>
      <c r="F1649" cm="1">
        <f t="array" ref="F1649">IF($Q1649&gt;=0,IFERROR(generateSalesData($D1649, IF(ISNUMBER(_xlfn.XLOOKUP($C1649,Phone_by_Sentiment!$B$2:$B$37,Phone_by_Sentiment!F$2:F$37,"",0,1)),_xlfn.XLOOKUP($C1649,Phone_by_Sentiment!$B$2:$B$37,Phone_by_Sentiment!F$2:F$37,"",0,1),0),$A1649-TEXT(DATEVALUE($D1649&amp;"-01"), "dd-mm-yyyy")),0),0)</f>
        <v>359</v>
      </c>
      <c r="G1649" cm="1">
        <f t="array" ref="G1649">IF($Q1649&gt;=0,IFERROR(generateSalesData($D1649, IF(ISNUMBER(_xlfn.XLOOKUP($C1649,Phone_by_Sentiment!$B$2:$B$37,Phone_by_Sentiment!G$2:G$37,"",0,1)),_xlfn.XLOOKUP($C1649,Phone_by_Sentiment!$B$2:$B$37,Phone_by_Sentiment!G$2:G$37,"",0,1),0),$A1649-TEXT(DATEVALUE($D1649&amp;"-01"), "dd-mm-yyyy")),0),0)</f>
        <v>65</v>
      </c>
      <c r="H1649" cm="1">
        <f t="array" ref="H1649">IF($Q1649&gt;=0,IFERROR(generateSalesData($D1649, IF(ISNUMBER(_xlfn.XLOOKUP($C1649,Phone_by_Sentiment!$B$2:$B$37,Phone_by_Sentiment!H$2:H$37,"",0,1)),_xlfn.XLOOKUP($C1649,Phone_by_Sentiment!$B$2:$B$37,Phone_by_Sentiment!H$2:H$37,"",0,1),0),$A1649-TEXT(DATEVALUE($D1649&amp;"-01"), "dd-mm-yyyy")),0),0)</f>
        <v>53</v>
      </c>
      <c r="I1649" cm="1">
        <f t="array" ref="I1649">IF($Q1649&gt;=0,IFERROR(generateSalesData($D1649, IF(ISNUMBER(_xlfn.XLOOKUP($C1649,Phone_by_Sentiment!$B$2:$B$37,Phone_by_Sentiment!I$2:I$37,"",0,1)),_xlfn.XLOOKUP($C1649,Phone_by_Sentiment!$B$2:$B$37,Phone_by_Sentiment!I$2:I$37,"",0,1),0),$A1649-TEXT(DATEVALUE($D1649&amp;"-01"), "dd-mm-yyyy")),0),0)</f>
        <v>66</v>
      </c>
      <c r="J1649" cm="1">
        <f t="array" ref="J1649">IF($Q1649&gt;=0,IFERROR(generateSalesData($D1649, IF(ISNUMBER(_xlfn.XLOOKUP($C1649,Phone_by_Sentiment!$B$2:$B$37,Phone_by_Sentiment!J$2:J$37,"",0,1)),_xlfn.XLOOKUP($C1649,Phone_by_Sentiment!$B$2:$B$37,Phone_by_Sentiment!J$2:J$37,"",0,1),0),$A1649-TEXT(DATEVALUE($D1649&amp;"-01"), "dd-mm-yyyy")),0),0)</f>
        <v>104</v>
      </c>
      <c r="K1649" cm="1">
        <f t="array" ref="K1649">IF($Q1649&gt;=0,IFERROR(generateSalesData($D1649, IF(ISNUMBER(_xlfn.XLOOKUP($C1649,Phone_by_Sentiment!$B$2:$B$37,Phone_by_Sentiment!K$2:K$37,"",0,1)),_xlfn.XLOOKUP($C1649,Phone_by_Sentiment!$B$2:$B$37,Phone_by_Sentiment!K$2:K$37,"",0,1),0),$A1649-TEXT(DATEVALUE($D1649&amp;"-01"), "dd-mm-yyyy")),0),0)</f>
        <v>-11</v>
      </c>
      <c r="L1649" cm="1">
        <f t="array" ref="L1649">IF($Q1649&gt;=0,IFERROR(generateSalesData($D1649, IF(ISNUMBER(_xlfn.XLOOKUP($C1649,Phone_by_Sentiment!$B$2:$B$37,Phone_by_Sentiment!L$2:L$37,"",0,1)),_xlfn.XLOOKUP($C1649,Phone_by_Sentiment!$B$2:$B$37,Phone_by_Sentiment!L$2:L$37,"",0,1),0),$A1649-TEXT(DATEVALUE($D1649&amp;"-01"), "dd-mm-yyyy")),0),0)</f>
        <v>97</v>
      </c>
      <c r="M1649" cm="1">
        <f t="array" ref="M1649">IF($Q1649&gt;=0,IFERROR(generateSalesData($D1649, IF(ISNUMBER(_xlfn.XLOOKUP($C1649,Phone_by_Sentiment!$B$2:$B$37,Phone_by_Sentiment!M$2:M$37,"",0,1)),_xlfn.XLOOKUP($C1649,Phone_by_Sentiment!$B$2:$B$37,Phone_by_Sentiment!M$2:M$37,"",0,1),0),$A1649-TEXT(DATEVALUE($D1649&amp;"-01"), "dd-mm-yyyy")),0),0)</f>
        <v>35</v>
      </c>
      <c r="N1649" cm="1">
        <f t="array" ref="N1649">IF($Q1649&gt;=0,IFERROR(generateSalesData($D1649, IF(ISNUMBER(_xlfn.XLOOKUP($C1649,Phone_by_Sentiment!$B$2:$B$37,Phone_by_Sentiment!N$2:N$37,"",0,1)),_xlfn.XLOOKUP($C1649,Phone_by_Sentiment!$B$2:$B$37,Phone_by_Sentiment!N$2:N$37,"",0,1),0),$A1649-TEXT(DATEVALUE($D1649&amp;"-01"), "dd-mm-yyyy")),0),0)</f>
        <v>85</v>
      </c>
      <c r="O1649" cm="1">
        <f t="array" ref="O1649">IF($Q1649&gt;=0,IFERROR(generateSalesData($D1649, IF(ISNUMBER(_xlfn.XLOOKUP($C1649,Phone_by_Sentiment!$B$2:$B$37,Phone_by_Sentiment!O$2:O$37,"",0,1)),_xlfn.XLOOKUP($C1649,Phone_by_Sentiment!$B$2:$B$37,Phone_by_Sentiment!O$2:O$37,"",0,1),0),$A1649-TEXT(DATEVALUE($D1649&amp;"-01"), "dd-mm-yyyy")),0),0)</f>
        <v>14</v>
      </c>
      <c r="P1649" s="1">
        <f t="shared" si="64"/>
        <v>43862</v>
      </c>
      <c r="Q1649">
        <f t="shared" si="66"/>
        <v>1034</v>
      </c>
    </row>
    <row r="1650" spans="1:17" x14ac:dyDescent="0.25">
      <c r="A1650" s="1">
        <f t="shared" si="65"/>
        <v>44896</v>
      </c>
      <c r="B1650" t="s">
        <v>148</v>
      </c>
      <c r="C1650" t="str">
        <f>_xlfn.XLOOKUP(B1650,Phone_by_Price!$A$2:$A$34,Phone_by_Price!$B$2:$B$34,"-",0,1)</f>
        <v>Xiaomi Redmi 10</v>
      </c>
      <c r="D1650" t="str">
        <f>_xlfn.XLOOKUP(C1650,Phone_by_Sentiment!$B$2:$B$37,Phone_by_Sentiment!$A$2:$A$37,"-",0,1)</f>
        <v>2021-03</v>
      </c>
      <c r="E1650" cm="1">
        <f t="array" ref="E1650">IF($Q1650&gt;=0,IFERROR(generateSalesData($D1650, IF(ISNUMBER(_xlfn.XLOOKUP($C1650,Phone_by_Sentiment!$B$2:$B$37,Phone_by_Sentiment!E$2:E$37,"",0,1)),_xlfn.XLOOKUP($C1650,Phone_by_Sentiment!$B$2:$B$37,Phone_by_Sentiment!E$2:E$37,"",0,1),0),$A1650-TEXT(DATEVALUE($D1650&amp;"-01"), "dd-mm-yyyy")),0),0)</f>
        <v>164</v>
      </c>
      <c r="F1650" cm="1">
        <f t="array" ref="F1650">IF($Q1650&gt;=0,IFERROR(generateSalesData($D1650, IF(ISNUMBER(_xlfn.XLOOKUP($C1650,Phone_by_Sentiment!$B$2:$B$37,Phone_by_Sentiment!F$2:F$37,"",0,1)),_xlfn.XLOOKUP($C1650,Phone_by_Sentiment!$B$2:$B$37,Phone_by_Sentiment!F$2:F$37,"",0,1),0),$A1650-TEXT(DATEVALUE($D1650&amp;"-01"), "dd-mm-yyyy")),0),0)</f>
        <v>480</v>
      </c>
      <c r="G1650" cm="1">
        <f t="array" ref="G1650">IF($Q1650&gt;=0,IFERROR(generateSalesData($D1650, IF(ISNUMBER(_xlfn.XLOOKUP($C1650,Phone_by_Sentiment!$B$2:$B$37,Phone_by_Sentiment!G$2:G$37,"",0,1)),_xlfn.XLOOKUP($C1650,Phone_by_Sentiment!$B$2:$B$37,Phone_by_Sentiment!G$2:G$37,"",0,1),0),$A1650-TEXT(DATEVALUE($D1650&amp;"-01"), "dd-mm-yyyy")),0),0)</f>
        <v>213</v>
      </c>
      <c r="H1650" cm="1">
        <f t="array" ref="H1650">IF($Q1650&gt;=0,IFERROR(generateSalesData($D1650, IF(ISNUMBER(_xlfn.XLOOKUP($C1650,Phone_by_Sentiment!$B$2:$B$37,Phone_by_Sentiment!H$2:H$37,"",0,1)),_xlfn.XLOOKUP($C1650,Phone_by_Sentiment!$B$2:$B$37,Phone_by_Sentiment!H$2:H$37,"",0,1),0),$A1650-TEXT(DATEVALUE($D1650&amp;"-01"), "dd-mm-yyyy")),0),0)</f>
        <v>246</v>
      </c>
      <c r="I1650" cm="1">
        <f t="array" ref="I1650">IF($Q1650&gt;=0,IFERROR(generateSalesData($D1650, IF(ISNUMBER(_xlfn.XLOOKUP($C1650,Phone_by_Sentiment!$B$2:$B$37,Phone_by_Sentiment!I$2:I$37,"",0,1)),_xlfn.XLOOKUP($C1650,Phone_by_Sentiment!$B$2:$B$37,Phone_by_Sentiment!I$2:I$37,"",0,1),0),$A1650-TEXT(DATEVALUE($D1650&amp;"-01"), "dd-mm-yyyy")),0),0)</f>
        <v>89</v>
      </c>
      <c r="J1650" cm="1">
        <f t="array" ref="J1650">IF($Q1650&gt;=0,IFERROR(generateSalesData($D1650, IF(ISNUMBER(_xlfn.XLOOKUP($C1650,Phone_by_Sentiment!$B$2:$B$37,Phone_by_Sentiment!J$2:J$37,"",0,1)),_xlfn.XLOOKUP($C1650,Phone_by_Sentiment!$B$2:$B$37,Phone_by_Sentiment!J$2:J$37,"",0,1),0),$A1650-TEXT(DATEVALUE($D1650&amp;"-01"), "dd-mm-yyyy")),0),0)</f>
        <v>63</v>
      </c>
      <c r="K1650" cm="1">
        <f t="array" ref="K1650">IF($Q1650&gt;=0,IFERROR(generateSalesData($D1650, IF(ISNUMBER(_xlfn.XLOOKUP($C1650,Phone_by_Sentiment!$B$2:$B$37,Phone_by_Sentiment!K$2:K$37,"",0,1)),_xlfn.XLOOKUP($C1650,Phone_by_Sentiment!$B$2:$B$37,Phone_by_Sentiment!K$2:K$37,"",0,1),0),$A1650-TEXT(DATEVALUE($D1650&amp;"-01"), "dd-mm-yyyy")),0),0)</f>
        <v>333</v>
      </c>
      <c r="L1650" cm="1">
        <f t="array" ref="L1650">IF($Q1650&gt;=0,IFERROR(generateSalesData($D1650, IF(ISNUMBER(_xlfn.XLOOKUP($C1650,Phone_by_Sentiment!$B$2:$B$37,Phone_by_Sentiment!L$2:L$37,"",0,1)),_xlfn.XLOOKUP($C1650,Phone_by_Sentiment!$B$2:$B$37,Phone_by_Sentiment!L$2:L$37,"",0,1),0),$A1650-TEXT(DATEVALUE($D1650&amp;"-01"), "dd-mm-yyyy")),0),0)</f>
        <v>64</v>
      </c>
      <c r="M1650" cm="1">
        <f t="array" ref="M1650">IF($Q1650&gt;=0,IFERROR(generateSalesData($D1650, IF(ISNUMBER(_xlfn.XLOOKUP($C1650,Phone_by_Sentiment!$B$2:$B$37,Phone_by_Sentiment!M$2:M$37,"",0,1)),_xlfn.XLOOKUP($C1650,Phone_by_Sentiment!$B$2:$B$37,Phone_by_Sentiment!M$2:M$37,"",0,1),0),$A1650-TEXT(DATEVALUE($D1650&amp;"-01"), "dd-mm-yyyy")),0),0)</f>
        <v>108</v>
      </c>
      <c r="N1650" cm="1">
        <f t="array" ref="N1650">IF($Q1650&gt;=0,IFERROR(generateSalesData($D1650, IF(ISNUMBER(_xlfn.XLOOKUP($C1650,Phone_by_Sentiment!$B$2:$B$37,Phone_by_Sentiment!N$2:N$37,"",0,1)),_xlfn.XLOOKUP($C1650,Phone_by_Sentiment!$B$2:$B$37,Phone_by_Sentiment!N$2:N$37,"",0,1),0),$A1650-TEXT(DATEVALUE($D1650&amp;"-01"), "dd-mm-yyyy")),0),0)</f>
        <v>235</v>
      </c>
      <c r="O1650" cm="1">
        <f t="array" ref="O1650">IF($Q1650&gt;=0,IFERROR(generateSalesData($D1650, IF(ISNUMBER(_xlfn.XLOOKUP($C1650,Phone_by_Sentiment!$B$2:$B$37,Phone_by_Sentiment!O$2:O$37,"",0,1)),_xlfn.XLOOKUP($C1650,Phone_by_Sentiment!$B$2:$B$37,Phone_by_Sentiment!O$2:O$37,"",0,1),0),$A1650-TEXT(DATEVALUE($D1650&amp;"-01"), "dd-mm-yyyy")),0),0)</f>
        <v>607</v>
      </c>
      <c r="P1650" s="1">
        <f t="shared" si="64"/>
        <v>44256</v>
      </c>
      <c r="Q1650">
        <f t="shared" si="66"/>
        <v>640</v>
      </c>
    </row>
    <row r="1651" spans="1:17" x14ac:dyDescent="0.25">
      <c r="A1651" s="1">
        <f t="shared" si="65"/>
        <v>44896</v>
      </c>
      <c r="B1651" t="s">
        <v>149</v>
      </c>
      <c r="C1651" t="str">
        <f>_xlfn.XLOOKUP(B1651,Phone_by_Price!$A$2:$A$34,Phone_by_Price!$B$2:$B$34,"-",0,1)</f>
        <v>Samsung Galaxy A52</v>
      </c>
      <c r="D1651" t="str">
        <f>_xlfn.XLOOKUP(C1651,Phone_by_Sentiment!$B$2:$B$37,Phone_by_Sentiment!$A$2:$A$37,"-",0,1)</f>
        <v>2021-03</v>
      </c>
      <c r="E1651" cm="1">
        <f t="array" ref="E1651">IF($Q1651&gt;=0,IFERROR(generateSalesData($D1651, IF(ISNUMBER(_xlfn.XLOOKUP($C1651,Phone_by_Sentiment!$B$2:$B$37,Phone_by_Sentiment!E$2:E$37,"",0,1)),_xlfn.XLOOKUP($C1651,Phone_by_Sentiment!$B$2:$B$37,Phone_by_Sentiment!E$2:E$37,"",0,1),0),$A1651-TEXT(DATEVALUE($D1651&amp;"-01"), "dd-mm-yyyy")),0),0)</f>
        <v>546</v>
      </c>
      <c r="F1651" cm="1">
        <f t="array" ref="F1651">IF($Q1651&gt;=0,IFERROR(generateSalesData($D1651, IF(ISNUMBER(_xlfn.XLOOKUP($C1651,Phone_by_Sentiment!$B$2:$B$37,Phone_by_Sentiment!F$2:F$37,"",0,1)),_xlfn.XLOOKUP($C1651,Phone_by_Sentiment!$B$2:$B$37,Phone_by_Sentiment!F$2:F$37,"",0,1),0),$A1651-TEXT(DATEVALUE($D1651&amp;"-01"), "dd-mm-yyyy")),0),0)</f>
        <v>236</v>
      </c>
      <c r="G1651" cm="1">
        <f t="array" ref="G1651">IF($Q1651&gt;=0,IFERROR(generateSalesData($D1651, IF(ISNUMBER(_xlfn.XLOOKUP($C1651,Phone_by_Sentiment!$B$2:$B$37,Phone_by_Sentiment!G$2:G$37,"",0,1)),_xlfn.XLOOKUP($C1651,Phone_by_Sentiment!$B$2:$B$37,Phone_by_Sentiment!G$2:G$37,"",0,1),0),$A1651-TEXT(DATEVALUE($D1651&amp;"-01"), "dd-mm-yyyy")),0),0)</f>
        <v>135</v>
      </c>
      <c r="H1651" cm="1">
        <f t="array" ref="H1651">IF($Q1651&gt;=0,IFERROR(generateSalesData($D1651, IF(ISNUMBER(_xlfn.XLOOKUP($C1651,Phone_by_Sentiment!$B$2:$B$37,Phone_by_Sentiment!H$2:H$37,"",0,1)),_xlfn.XLOOKUP($C1651,Phone_by_Sentiment!$B$2:$B$37,Phone_by_Sentiment!H$2:H$37,"",0,1),0),$A1651-TEXT(DATEVALUE($D1651&amp;"-01"), "dd-mm-yyyy")),0),0)</f>
        <v>201</v>
      </c>
      <c r="I1651" cm="1">
        <f t="array" ref="I1651">IF($Q1651&gt;=0,IFERROR(generateSalesData($D1651, IF(ISNUMBER(_xlfn.XLOOKUP($C1651,Phone_by_Sentiment!$B$2:$B$37,Phone_by_Sentiment!I$2:I$37,"",0,1)),_xlfn.XLOOKUP($C1651,Phone_by_Sentiment!$B$2:$B$37,Phone_by_Sentiment!I$2:I$37,"",0,1),0),$A1651-TEXT(DATEVALUE($D1651&amp;"-01"), "dd-mm-yyyy")),0),0)</f>
        <v>410</v>
      </c>
      <c r="J1651" cm="1">
        <f t="array" ref="J1651">IF($Q1651&gt;=0,IFERROR(generateSalesData($D1651, IF(ISNUMBER(_xlfn.XLOOKUP($C1651,Phone_by_Sentiment!$B$2:$B$37,Phone_by_Sentiment!J$2:J$37,"",0,1)),_xlfn.XLOOKUP($C1651,Phone_by_Sentiment!$B$2:$B$37,Phone_by_Sentiment!J$2:J$37,"",0,1),0),$A1651-TEXT(DATEVALUE($D1651&amp;"-01"), "dd-mm-yyyy")),0),0)</f>
        <v>678</v>
      </c>
      <c r="K1651" cm="1">
        <f t="array" ref="K1651">IF($Q1651&gt;=0,IFERROR(generateSalesData($D1651, IF(ISNUMBER(_xlfn.XLOOKUP($C1651,Phone_by_Sentiment!$B$2:$B$37,Phone_by_Sentiment!K$2:K$37,"",0,1)),_xlfn.XLOOKUP($C1651,Phone_by_Sentiment!$B$2:$B$37,Phone_by_Sentiment!K$2:K$37,"",0,1),0),$A1651-TEXT(DATEVALUE($D1651&amp;"-01"), "dd-mm-yyyy")),0),0)</f>
        <v>388</v>
      </c>
      <c r="L1651" cm="1">
        <f t="array" ref="L1651">IF($Q1651&gt;=0,IFERROR(generateSalesData($D1651, IF(ISNUMBER(_xlfn.XLOOKUP($C1651,Phone_by_Sentiment!$B$2:$B$37,Phone_by_Sentiment!L$2:L$37,"",0,1)),_xlfn.XLOOKUP($C1651,Phone_by_Sentiment!$B$2:$B$37,Phone_by_Sentiment!L$2:L$37,"",0,1),0),$A1651-TEXT(DATEVALUE($D1651&amp;"-01"), "dd-mm-yyyy")),0),0)</f>
        <v>216</v>
      </c>
      <c r="M1651" cm="1">
        <f t="array" ref="M1651">IF($Q1651&gt;=0,IFERROR(generateSalesData($D1651, IF(ISNUMBER(_xlfn.XLOOKUP($C1651,Phone_by_Sentiment!$B$2:$B$37,Phone_by_Sentiment!M$2:M$37,"",0,1)),_xlfn.XLOOKUP($C1651,Phone_by_Sentiment!$B$2:$B$37,Phone_by_Sentiment!M$2:M$37,"",0,1),0),$A1651-TEXT(DATEVALUE($D1651&amp;"-01"), "dd-mm-yyyy")),0),0)</f>
        <v>196</v>
      </c>
      <c r="N1651" cm="1">
        <f t="array" ref="N1651">IF($Q1651&gt;=0,IFERROR(generateSalesData($D1651, IF(ISNUMBER(_xlfn.XLOOKUP($C1651,Phone_by_Sentiment!$B$2:$B$37,Phone_by_Sentiment!N$2:N$37,"",0,1)),_xlfn.XLOOKUP($C1651,Phone_by_Sentiment!$B$2:$B$37,Phone_by_Sentiment!N$2:N$37,"",0,1),0),$A1651-TEXT(DATEVALUE($D1651&amp;"-01"), "dd-mm-yyyy")),0),0)</f>
        <v>433</v>
      </c>
      <c r="O1651" cm="1">
        <f t="array" ref="O1651">IF($Q1651&gt;=0,IFERROR(generateSalesData($D1651, IF(ISNUMBER(_xlfn.XLOOKUP($C1651,Phone_by_Sentiment!$B$2:$B$37,Phone_by_Sentiment!O$2:O$37,"",0,1)),_xlfn.XLOOKUP($C1651,Phone_by_Sentiment!$B$2:$B$37,Phone_by_Sentiment!O$2:O$37,"",0,1),0),$A1651-TEXT(DATEVALUE($D1651&amp;"-01"), "dd-mm-yyyy")),0),0)</f>
        <v>94</v>
      </c>
      <c r="P1651" s="1">
        <f t="shared" si="64"/>
        <v>44256</v>
      </c>
      <c r="Q1651">
        <f t="shared" si="66"/>
        <v>640</v>
      </c>
    </row>
    <row r="1652" spans="1:17" x14ac:dyDescent="0.25">
      <c r="A1652" s="1">
        <f t="shared" si="65"/>
        <v>44896</v>
      </c>
      <c r="B1652" t="s">
        <v>150</v>
      </c>
      <c r="C1652" t="str">
        <f>_xlfn.XLOOKUP(B1652,Phone_by_Price!$A$2:$A$34,Phone_by_Price!$B$2:$B$34,"-",0,1)</f>
        <v>Vivo Y33s</v>
      </c>
      <c r="D1652" t="str">
        <f>_xlfn.XLOOKUP(C1652,Phone_by_Sentiment!$B$2:$B$37,Phone_by_Sentiment!$A$2:$A$37,"-",0,1)</f>
        <v>2021-05</v>
      </c>
      <c r="E1652" cm="1">
        <f t="array" ref="E1652">IF($Q1652&gt;=0,IFERROR(generateSalesData($D1652, IF(ISNUMBER(_xlfn.XLOOKUP($C1652,Phone_by_Sentiment!$B$2:$B$37,Phone_by_Sentiment!E$2:E$37,"",0,1)),_xlfn.XLOOKUP($C1652,Phone_by_Sentiment!$B$2:$B$37,Phone_by_Sentiment!E$2:E$37,"",0,1),0),$A1652-TEXT(DATEVALUE($D1652&amp;"-01"), "dd-mm-yyyy")),0),0)</f>
        <v>289</v>
      </c>
      <c r="F1652" cm="1">
        <f t="array" ref="F1652">IF($Q1652&gt;=0,IFERROR(generateSalesData($D1652, IF(ISNUMBER(_xlfn.XLOOKUP($C1652,Phone_by_Sentiment!$B$2:$B$37,Phone_by_Sentiment!F$2:F$37,"",0,1)),_xlfn.XLOOKUP($C1652,Phone_by_Sentiment!$B$2:$B$37,Phone_by_Sentiment!F$2:F$37,"",0,1),0),$A1652-TEXT(DATEVALUE($D1652&amp;"-01"), "dd-mm-yyyy")),0),0)</f>
        <v>81</v>
      </c>
      <c r="G1652" cm="1">
        <f t="array" ref="G1652">IF($Q1652&gt;=0,IFERROR(generateSalesData($D1652, IF(ISNUMBER(_xlfn.XLOOKUP($C1652,Phone_by_Sentiment!$B$2:$B$37,Phone_by_Sentiment!G$2:G$37,"",0,1)),_xlfn.XLOOKUP($C1652,Phone_by_Sentiment!$B$2:$B$37,Phone_by_Sentiment!G$2:G$37,"",0,1),0),$A1652-TEXT(DATEVALUE($D1652&amp;"-01"), "dd-mm-yyyy")),0),0)</f>
        <v>130</v>
      </c>
      <c r="H1652" cm="1">
        <f t="array" ref="H1652">IF($Q1652&gt;=0,IFERROR(generateSalesData($D1652, IF(ISNUMBER(_xlfn.XLOOKUP($C1652,Phone_by_Sentiment!$B$2:$B$37,Phone_by_Sentiment!H$2:H$37,"",0,1)),_xlfn.XLOOKUP($C1652,Phone_by_Sentiment!$B$2:$B$37,Phone_by_Sentiment!H$2:H$37,"",0,1),0),$A1652-TEXT(DATEVALUE($D1652&amp;"-01"), "dd-mm-yyyy")),0),0)</f>
        <v>484</v>
      </c>
      <c r="I1652" cm="1">
        <f t="array" ref="I1652">IF($Q1652&gt;=0,IFERROR(generateSalesData($D1652, IF(ISNUMBER(_xlfn.XLOOKUP($C1652,Phone_by_Sentiment!$B$2:$B$37,Phone_by_Sentiment!I$2:I$37,"",0,1)),_xlfn.XLOOKUP($C1652,Phone_by_Sentiment!$B$2:$B$37,Phone_by_Sentiment!I$2:I$37,"",0,1),0),$A1652-TEXT(DATEVALUE($D1652&amp;"-01"), "dd-mm-yyyy")),0),0)</f>
        <v>118</v>
      </c>
      <c r="J1652" cm="1">
        <f t="array" ref="J1652">IF($Q1652&gt;=0,IFERROR(generateSalesData($D1652, IF(ISNUMBER(_xlfn.XLOOKUP($C1652,Phone_by_Sentiment!$B$2:$B$37,Phone_by_Sentiment!J$2:J$37,"",0,1)),_xlfn.XLOOKUP($C1652,Phone_by_Sentiment!$B$2:$B$37,Phone_by_Sentiment!J$2:J$37,"",0,1),0),$A1652-TEXT(DATEVALUE($D1652&amp;"-01"), "dd-mm-yyyy")),0),0)</f>
        <v>155</v>
      </c>
      <c r="K1652" cm="1">
        <f t="array" ref="K1652">IF($Q1652&gt;=0,IFERROR(generateSalesData($D1652, IF(ISNUMBER(_xlfn.XLOOKUP($C1652,Phone_by_Sentiment!$B$2:$B$37,Phone_by_Sentiment!K$2:K$37,"",0,1)),_xlfn.XLOOKUP($C1652,Phone_by_Sentiment!$B$2:$B$37,Phone_by_Sentiment!K$2:K$37,"",0,1),0),$A1652-TEXT(DATEVALUE($D1652&amp;"-01"), "dd-mm-yyyy")),0),0)</f>
        <v>12</v>
      </c>
      <c r="L1652" cm="1">
        <f t="array" ref="L1652">IF($Q1652&gt;=0,IFERROR(generateSalesData($D1652, IF(ISNUMBER(_xlfn.XLOOKUP($C1652,Phone_by_Sentiment!$B$2:$B$37,Phone_by_Sentiment!L$2:L$37,"",0,1)),_xlfn.XLOOKUP($C1652,Phone_by_Sentiment!$B$2:$B$37,Phone_by_Sentiment!L$2:L$37,"",0,1),0),$A1652-TEXT(DATEVALUE($D1652&amp;"-01"), "dd-mm-yyyy")),0),0)</f>
        <v>64</v>
      </c>
      <c r="M1652" cm="1">
        <f t="array" ref="M1652">IF($Q1652&gt;=0,IFERROR(generateSalesData($D1652, IF(ISNUMBER(_xlfn.XLOOKUP($C1652,Phone_by_Sentiment!$B$2:$B$37,Phone_by_Sentiment!M$2:M$37,"",0,1)),_xlfn.XLOOKUP($C1652,Phone_by_Sentiment!$B$2:$B$37,Phone_by_Sentiment!M$2:M$37,"",0,1),0),$A1652-TEXT(DATEVALUE($D1652&amp;"-01"), "dd-mm-yyyy")),0),0)</f>
        <v>11</v>
      </c>
      <c r="N1652" cm="1">
        <f t="array" ref="N1652">IF($Q1652&gt;=0,IFERROR(generateSalesData($D1652, IF(ISNUMBER(_xlfn.XLOOKUP($C1652,Phone_by_Sentiment!$B$2:$B$37,Phone_by_Sentiment!N$2:N$37,"",0,1)),_xlfn.XLOOKUP($C1652,Phone_by_Sentiment!$B$2:$B$37,Phone_by_Sentiment!N$2:N$37,"",0,1),0),$A1652-TEXT(DATEVALUE($D1652&amp;"-01"), "dd-mm-yyyy")),0),0)</f>
        <v>103</v>
      </c>
      <c r="O1652" cm="1">
        <f t="array" ref="O1652">IF($Q1652&gt;=0,IFERROR(generateSalesData($D1652, IF(ISNUMBER(_xlfn.XLOOKUP($C1652,Phone_by_Sentiment!$B$2:$B$37,Phone_by_Sentiment!O$2:O$37,"",0,1)),_xlfn.XLOOKUP($C1652,Phone_by_Sentiment!$B$2:$B$37,Phone_by_Sentiment!O$2:O$37,"",0,1),0),$A1652-TEXT(DATEVALUE($D1652&amp;"-01"), "dd-mm-yyyy")),0),0)</f>
        <v>217</v>
      </c>
      <c r="P1652" s="1">
        <f t="shared" si="64"/>
        <v>44317</v>
      </c>
      <c r="Q1652">
        <f t="shared" si="66"/>
        <v>579</v>
      </c>
    </row>
    <row r="1653" spans="1:17" x14ac:dyDescent="0.25">
      <c r="A1653" s="1">
        <f t="shared" si="65"/>
        <v>44896</v>
      </c>
      <c r="B1653" t="s">
        <v>151</v>
      </c>
      <c r="C1653" t="str">
        <f>_xlfn.XLOOKUP(B1653,Phone_by_Price!$A$2:$A$34,Phone_by_Price!$B$2:$B$34,"-",0,1)</f>
        <v>Vivo Y11s</v>
      </c>
      <c r="D1653" t="str">
        <f>_xlfn.XLOOKUP(C1653,Phone_by_Sentiment!$B$2:$B$37,Phone_by_Sentiment!$A$2:$A$37,"-",0,1)</f>
        <v>2020-11</v>
      </c>
      <c r="E1653" cm="1">
        <f t="array" ref="E1653">IF($Q1653&gt;=0,IFERROR(generateSalesData($D1653, IF(ISNUMBER(_xlfn.XLOOKUP($C1653,Phone_by_Sentiment!$B$2:$B$37,Phone_by_Sentiment!E$2:E$37,"",0,1)),_xlfn.XLOOKUP($C1653,Phone_by_Sentiment!$B$2:$B$37,Phone_by_Sentiment!E$2:E$37,"",0,1),0),$A1653-TEXT(DATEVALUE($D1653&amp;"-01"), "dd-mm-yyyy")),0),0)</f>
        <v>142</v>
      </c>
      <c r="F1653" cm="1">
        <f t="array" ref="F1653">IF($Q1653&gt;=0,IFERROR(generateSalesData($D1653, IF(ISNUMBER(_xlfn.XLOOKUP($C1653,Phone_by_Sentiment!$B$2:$B$37,Phone_by_Sentiment!F$2:F$37,"",0,1)),_xlfn.XLOOKUP($C1653,Phone_by_Sentiment!$B$2:$B$37,Phone_by_Sentiment!F$2:F$37,"",0,1),0),$A1653-TEXT(DATEVALUE($D1653&amp;"-01"), "dd-mm-yyyy")),0),0)</f>
        <v>71</v>
      </c>
      <c r="G1653" cm="1">
        <f t="array" ref="G1653">IF($Q1653&gt;=0,IFERROR(generateSalesData($D1653, IF(ISNUMBER(_xlfn.XLOOKUP($C1653,Phone_by_Sentiment!$B$2:$B$37,Phone_by_Sentiment!G$2:G$37,"",0,1)),_xlfn.XLOOKUP($C1653,Phone_by_Sentiment!$B$2:$B$37,Phone_by_Sentiment!G$2:G$37,"",0,1),0),$A1653-TEXT(DATEVALUE($D1653&amp;"-01"), "dd-mm-yyyy")),0),0)</f>
        <v>92</v>
      </c>
      <c r="H1653" cm="1">
        <f t="array" ref="H1653">IF($Q1653&gt;=0,IFERROR(generateSalesData($D1653, IF(ISNUMBER(_xlfn.XLOOKUP($C1653,Phone_by_Sentiment!$B$2:$B$37,Phone_by_Sentiment!H$2:H$37,"",0,1)),_xlfn.XLOOKUP($C1653,Phone_by_Sentiment!$B$2:$B$37,Phone_by_Sentiment!H$2:H$37,"",0,1),0),$A1653-TEXT(DATEVALUE($D1653&amp;"-01"), "dd-mm-yyyy")),0),0)</f>
        <v>1</v>
      </c>
      <c r="I1653" cm="1">
        <f t="array" ref="I1653">IF($Q1653&gt;=0,IFERROR(generateSalesData($D1653, IF(ISNUMBER(_xlfn.XLOOKUP($C1653,Phone_by_Sentiment!$B$2:$B$37,Phone_by_Sentiment!I$2:I$37,"",0,1)),_xlfn.XLOOKUP($C1653,Phone_by_Sentiment!$B$2:$B$37,Phone_by_Sentiment!I$2:I$37,"",0,1),0),$A1653-TEXT(DATEVALUE($D1653&amp;"-01"), "dd-mm-yyyy")),0),0)</f>
        <v>352</v>
      </c>
      <c r="J1653" cm="1">
        <f t="array" ref="J1653">IF($Q1653&gt;=0,IFERROR(generateSalesData($D1653, IF(ISNUMBER(_xlfn.XLOOKUP($C1653,Phone_by_Sentiment!$B$2:$B$37,Phone_by_Sentiment!J$2:J$37,"",0,1)),_xlfn.XLOOKUP($C1653,Phone_by_Sentiment!$B$2:$B$37,Phone_by_Sentiment!J$2:J$37,"",0,1),0),$A1653-TEXT(DATEVALUE($D1653&amp;"-01"), "dd-mm-yyyy")),0),0)</f>
        <v>62</v>
      </c>
      <c r="K1653" cm="1">
        <f t="array" ref="K1653">IF($Q1653&gt;=0,IFERROR(generateSalesData($D1653, IF(ISNUMBER(_xlfn.XLOOKUP($C1653,Phone_by_Sentiment!$B$2:$B$37,Phone_by_Sentiment!K$2:K$37,"",0,1)),_xlfn.XLOOKUP($C1653,Phone_by_Sentiment!$B$2:$B$37,Phone_by_Sentiment!K$2:K$37,"",0,1),0),$A1653-TEXT(DATEVALUE($D1653&amp;"-01"), "dd-mm-yyyy")),0),0)</f>
        <v>68</v>
      </c>
      <c r="L1653" cm="1">
        <f t="array" ref="L1653">IF($Q1653&gt;=0,IFERROR(generateSalesData($D1653, IF(ISNUMBER(_xlfn.XLOOKUP($C1653,Phone_by_Sentiment!$B$2:$B$37,Phone_by_Sentiment!L$2:L$37,"",0,1)),_xlfn.XLOOKUP($C1653,Phone_by_Sentiment!$B$2:$B$37,Phone_by_Sentiment!L$2:L$37,"",0,1),0),$A1653-TEXT(DATEVALUE($D1653&amp;"-01"), "dd-mm-yyyy")),0),0)</f>
        <v>129</v>
      </c>
      <c r="M1653" cm="1">
        <f t="array" ref="M1653">IF($Q1653&gt;=0,IFERROR(generateSalesData($D1653, IF(ISNUMBER(_xlfn.XLOOKUP($C1653,Phone_by_Sentiment!$B$2:$B$37,Phone_by_Sentiment!M$2:M$37,"",0,1)),_xlfn.XLOOKUP($C1653,Phone_by_Sentiment!$B$2:$B$37,Phone_by_Sentiment!M$2:M$37,"",0,1),0),$A1653-TEXT(DATEVALUE($D1653&amp;"-01"), "dd-mm-yyyy")),0),0)</f>
        <v>271</v>
      </c>
      <c r="N1653" cm="1">
        <f t="array" ref="N1653">IF($Q1653&gt;=0,IFERROR(generateSalesData($D1653, IF(ISNUMBER(_xlfn.XLOOKUP($C1653,Phone_by_Sentiment!$B$2:$B$37,Phone_by_Sentiment!N$2:N$37,"",0,1)),_xlfn.XLOOKUP($C1653,Phone_by_Sentiment!$B$2:$B$37,Phone_by_Sentiment!N$2:N$37,"",0,1),0),$A1653-TEXT(DATEVALUE($D1653&amp;"-01"), "dd-mm-yyyy")),0),0)</f>
        <v>95</v>
      </c>
      <c r="O1653" cm="1">
        <f t="array" ref="O1653">IF($Q1653&gt;=0,IFERROR(generateSalesData($D1653, IF(ISNUMBER(_xlfn.XLOOKUP($C1653,Phone_by_Sentiment!$B$2:$B$37,Phone_by_Sentiment!O$2:O$37,"",0,1)),_xlfn.XLOOKUP($C1653,Phone_by_Sentiment!$B$2:$B$37,Phone_by_Sentiment!O$2:O$37,"",0,1),0),$A1653-TEXT(DATEVALUE($D1653&amp;"-01"), "dd-mm-yyyy")),0),0)</f>
        <v>111</v>
      </c>
      <c r="P1653" s="1">
        <f t="shared" si="64"/>
        <v>44136</v>
      </c>
      <c r="Q1653">
        <f t="shared" si="66"/>
        <v>760</v>
      </c>
    </row>
    <row r="1654" spans="1:17" x14ac:dyDescent="0.25">
      <c r="A1654" s="1">
        <f t="shared" si="65"/>
        <v>44896</v>
      </c>
      <c r="B1654" t="s">
        <v>152</v>
      </c>
      <c r="C1654" t="str">
        <f>_xlfn.XLOOKUP(B1654,Phone_by_Price!$A$2:$A$34,Phone_by_Price!$B$2:$B$34,"-",0,1)</f>
        <v>Huawei Nova 7i</v>
      </c>
      <c r="D1654" t="str">
        <f>_xlfn.XLOOKUP(C1654,Phone_by_Sentiment!$B$2:$B$37,Phone_by_Sentiment!$A$2:$A$37,"-",0,1)</f>
        <v>2020-02</v>
      </c>
      <c r="E1654" cm="1">
        <f t="array" ref="E1654">IF($Q1654&gt;=0,IFERROR(generateSalesData($D1654, IF(ISNUMBER(_xlfn.XLOOKUP($C1654,Phone_by_Sentiment!$B$2:$B$37,Phone_by_Sentiment!E$2:E$37,"",0,1)),_xlfn.XLOOKUP($C1654,Phone_by_Sentiment!$B$2:$B$37,Phone_by_Sentiment!E$2:E$37,"",0,1),0),$A1654-TEXT(DATEVALUE($D1654&amp;"-01"), "dd-mm-yyyy")),0),0)</f>
        <v>71</v>
      </c>
      <c r="F1654" cm="1">
        <f t="array" ref="F1654">IF($Q1654&gt;=0,IFERROR(generateSalesData($D1654, IF(ISNUMBER(_xlfn.XLOOKUP($C1654,Phone_by_Sentiment!$B$2:$B$37,Phone_by_Sentiment!F$2:F$37,"",0,1)),_xlfn.XLOOKUP($C1654,Phone_by_Sentiment!$B$2:$B$37,Phone_by_Sentiment!F$2:F$37,"",0,1),0),$A1654-TEXT(DATEVALUE($D1654&amp;"-01"), "dd-mm-yyyy")),0),0)</f>
        <v>84</v>
      </c>
      <c r="G1654" cm="1">
        <f t="array" ref="G1654">IF($Q1654&gt;=0,IFERROR(generateSalesData($D1654, IF(ISNUMBER(_xlfn.XLOOKUP($C1654,Phone_by_Sentiment!$B$2:$B$37,Phone_by_Sentiment!G$2:G$37,"",0,1)),_xlfn.XLOOKUP($C1654,Phone_by_Sentiment!$B$2:$B$37,Phone_by_Sentiment!G$2:G$37,"",0,1),0),$A1654-TEXT(DATEVALUE($D1654&amp;"-01"), "dd-mm-yyyy")),0),0)</f>
        <v>59</v>
      </c>
      <c r="H1654" cm="1">
        <f t="array" ref="H1654">IF($Q1654&gt;=0,IFERROR(generateSalesData($D1654, IF(ISNUMBER(_xlfn.XLOOKUP($C1654,Phone_by_Sentiment!$B$2:$B$37,Phone_by_Sentiment!H$2:H$37,"",0,1)),_xlfn.XLOOKUP($C1654,Phone_by_Sentiment!$B$2:$B$37,Phone_by_Sentiment!H$2:H$37,"",0,1),0),$A1654-TEXT(DATEVALUE($D1654&amp;"-01"), "dd-mm-yyyy")),0),0)</f>
        <v>190</v>
      </c>
      <c r="I1654" cm="1">
        <f t="array" ref="I1654">IF($Q1654&gt;=0,IFERROR(generateSalesData($D1654, IF(ISNUMBER(_xlfn.XLOOKUP($C1654,Phone_by_Sentiment!$B$2:$B$37,Phone_by_Sentiment!I$2:I$37,"",0,1)),_xlfn.XLOOKUP($C1654,Phone_by_Sentiment!$B$2:$B$37,Phone_by_Sentiment!I$2:I$37,"",0,1),0),$A1654-TEXT(DATEVALUE($D1654&amp;"-01"), "dd-mm-yyyy")),0),0)</f>
        <v>65</v>
      </c>
      <c r="J1654" cm="1">
        <f t="array" ref="J1654">IF($Q1654&gt;=0,IFERROR(generateSalesData($D1654, IF(ISNUMBER(_xlfn.XLOOKUP($C1654,Phone_by_Sentiment!$B$2:$B$37,Phone_by_Sentiment!J$2:J$37,"",0,1)),_xlfn.XLOOKUP($C1654,Phone_by_Sentiment!$B$2:$B$37,Phone_by_Sentiment!J$2:J$37,"",0,1),0),$A1654-TEXT(DATEVALUE($D1654&amp;"-01"), "dd-mm-yyyy")),0),0)</f>
        <v>85</v>
      </c>
      <c r="K1654" cm="1">
        <f t="array" ref="K1654">IF($Q1654&gt;=0,IFERROR(generateSalesData($D1654, IF(ISNUMBER(_xlfn.XLOOKUP($C1654,Phone_by_Sentiment!$B$2:$B$37,Phone_by_Sentiment!K$2:K$37,"",0,1)),_xlfn.XLOOKUP($C1654,Phone_by_Sentiment!$B$2:$B$37,Phone_by_Sentiment!K$2:K$37,"",0,1),0),$A1654-TEXT(DATEVALUE($D1654&amp;"-01"), "dd-mm-yyyy")),0),0)</f>
        <v>67</v>
      </c>
      <c r="L1654" cm="1">
        <f t="array" ref="L1654">IF($Q1654&gt;=0,IFERROR(generateSalesData($D1654, IF(ISNUMBER(_xlfn.XLOOKUP($C1654,Phone_by_Sentiment!$B$2:$B$37,Phone_by_Sentiment!L$2:L$37,"",0,1)),_xlfn.XLOOKUP($C1654,Phone_by_Sentiment!$B$2:$B$37,Phone_by_Sentiment!L$2:L$37,"",0,1),0),$A1654-TEXT(DATEVALUE($D1654&amp;"-01"), "dd-mm-yyyy")),0),0)</f>
        <v>62</v>
      </c>
      <c r="M1654" cm="1">
        <f t="array" ref="M1654">IF($Q1654&gt;=0,IFERROR(generateSalesData($D1654, IF(ISNUMBER(_xlfn.XLOOKUP($C1654,Phone_by_Sentiment!$B$2:$B$37,Phone_by_Sentiment!M$2:M$37,"",0,1)),_xlfn.XLOOKUP($C1654,Phone_by_Sentiment!$B$2:$B$37,Phone_by_Sentiment!M$2:M$37,"",0,1),0),$A1654-TEXT(DATEVALUE($D1654&amp;"-01"), "dd-mm-yyyy")),0),0)</f>
        <v>50</v>
      </c>
      <c r="N1654" cm="1">
        <f t="array" ref="N1654">IF($Q1654&gt;=0,IFERROR(generateSalesData($D1654, IF(ISNUMBER(_xlfn.XLOOKUP($C1654,Phone_by_Sentiment!$B$2:$B$37,Phone_by_Sentiment!N$2:N$37,"",0,1)),_xlfn.XLOOKUP($C1654,Phone_by_Sentiment!$B$2:$B$37,Phone_by_Sentiment!N$2:N$37,"",0,1),0),$A1654-TEXT(DATEVALUE($D1654&amp;"-01"), "dd-mm-yyyy")),0),0)</f>
        <v>53</v>
      </c>
      <c r="O1654" cm="1">
        <f t="array" ref="O1654">IF($Q1654&gt;=0,IFERROR(generateSalesData($D1654, IF(ISNUMBER(_xlfn.XLOOKUP($C1654,Phone_by_Sentiment!$B$2:$B$37,Phone_by_Sentiment!O$2:O$37,"",0,1)),_xlfn.XLOOKUP($C1654,Phone_by_Sentiment!$B$2:$B$37,Phone_by_Sentiment!O$2:O$37,"",0,1),0),$A1654-TEXT(DATEVALUE($D1654&amp;"-01"), "dd-mm-yyyy")),0),0)</f>
        <v>5</v>
      </c>
      <c r="P1654" s="1">
        <f t="shared" si="64"/>
        <v>43862</v>
      </c>
      <c r="Q1654">
        <f t="shared" si="66"/>
        <v>1034</v>
      </c>
    </row>
    <row r="1655" spans="1:17" x14ac:dyDescent="0.25">
      <c r="A1655" s="1">
        <f t="shared" si="65"/>
        <v>44896</v>
      </c>
      <c r="B1655" t="s">
        <v>153</v>
      </c>
      <c r="C1655" t="str">
        <f>_xlfn.XLOOKUP(B1655,Phone_by_Price!$A$2:$A$34,Phone_by_Price!$B$2:$B$34,"-",0,1)</f>
        <v>iPhone 13</v>
      </c>
      <c r="D1655" t="str">
        <f>_xlfn.XLOOKUP(C1655,Phone_by_Sentiment!$B$2:$B$37,Phone_by_Sentiment!$A$2:$A$37,"-",0,1)</f>
        <v>2021-09</v>
      </c>
      <c r="E1655" cm="1">
        <f t="array" ref="E1655">IF($Q1655&gt;=0,IFERROR(generateSalesData($D1655, IF(ISNUMBER(_xlfn.XLOOKUP($C1655,Phone_by_Sentiment!$B$2:$B$37,Phone_by_Sentiment!E$2:E$37,"",0,1)),_xlfn.XLOOKUP($C1655,Phone_by_Sentiment!$B$2:$B$37,Phone_by_Sentiment!E$2:E$37,"",0,1),0),$A1655-TEXT(DATEVALUE($D1655&amp;"-01"), "dd-mm-yyyy")),0),0)</f>
        <v>56</v>
      </c>
      <c r="F1655" cm="1">
        <f t="array" ref="F1655">IF($Q1655&gt;=0,IFERROR(generateSalesData($D1655, IF(ISNUMBER(_xlfn.XLOOKUP($C1655,Phone_by_Sentiment!$B$2:$B$37,Phone_by_Sentiment!F$2:F$37,"",0,1)),_xlfn.XLOOKUP($C1655,Phone_by_Sentiment!$B$2:$B$37,Phone_by_Sentiment!F$2:F$37,"",0,1),0),$A1655-TEXT(DATEVALUE($D1655&amp;"-01"), "dd-mm-yyyy")),0),0)</f>
        <v>86</v>
      </c>
      <c r="G1655" cm="1">
        <f t="array" ref="G1655">IF($Q1655&gt;=0,IFERROR(generateSalesData($D1655, IF(ISNUMBER(_xlfn.XLOOKUP($C1655,Phone_by_Sentiment!$B$2:$B$37,Phone_by_Sentiment!G$2:G$37,"",0,1)),_xlfn.XLOOKUP($C1655,Phone_by_Sentiment!$B$2:$B$37,Phone_by_Sentiment!G$2:G$37,"",0,1),0),$A1655-TEXT(DATEVALUE($D1655&amp;"-01"), "dd-mm-yyyy")),0),0)</f>
        <v>144</v>
      </c>
      <c r="H1655" cm="1">
        <f t="array" ref="H1655">IF($Q1655&gt;=0,IFERROR(generateSalesData($D1655, IF(ISNUMBER(_xlfn.XLOOKUP($C1655,Phone_by_Sentiment!$B$2:$B$37,Phone_by_Sentiment!H$2:H$37,"",0,1)),_xlfn.XLOOKUP($C1655,Phone_by_Sentiment!$B$2:$B$37,Phone_by_Sentiment!H$2:H$37,"",0,1),0),$A1655-TEXT(DATEVALUE($D1655&amp;"-01"), "dd-mm-yyyy")),0),0)</f>
        <v>451</v>
      </c>
      <c r="I1655" cm="1">
        <f t="array" ref="I1655">IF($Q1655&gt;=0,IFERROR(generateSalesData($D1655, IF(ISNUMBER(_xlfn.XLOOKUP($C1655,Phone_by_Sentiment!$B$2:$B$37,Phone_by_Sentiment!I$2:I$37,"",0,1)),_xlfn.XLOOKUP($C1655,Phone_by_Sentiment!$B$2:$B$37,Phone_by_Sentiment!I$2:I$37,"",0,1),0),$A1655-TEXT(DATEVALUE($D1655&amp;"-01"), "dd-mm-yyyy")),0),0)</f>
        <v>76</v>
      </c>
      <c r="J1655" cm="1">
        <f t="array" ref="J1655">IF($Q1655&gt;=0,IFERROR(generateSalesData($D1655, IF(ISNUMBER(_xlfn.XLOOKUP($C1655,Phone_by_Sentiment!$B$2:$B$37,Phone_by_Sentiment!J$2:J$37,"",0,1)),_xlfn.XLOOKUP($C1655,Phone_by_Sentiment!$B$2:$B$37,Phone_by_Sentiment!J$2:J$37,"",0,1),0),$A1655-TEXT(DATEVALUE($D1655&amp;"-01"), "dd-mm-yyyy")),0),0)</f>
        <v>494</v>
      </c>
      <c r="K1655" cm="1">
        <f t="array" ref="K1655">IF($Q1655&gt;=0,IFERROR(generateSalesData($D1655, IF(ISNUMBER(_xlfn.XLOOKUP($C1655,Phone_by_Sentiment!$B$2:$B$37,Phone_by_Sentiment!K$2:K$37,"",0,1)),_xlfn.XLOOKUP($C1655,Phone_by_Sentiment!$B$2:$B$37,Phone_by_Sentiment!K$2:K$37,"",0,1),0),$A1655-TEXT(DATEVALUE($D1655&amp;"-01"), "dd-mm-yyyy")),0),0)</f>
        <v>166</v>
      </c>
      <c r="L1655" cm="1">
        <f t="array" ref="L1655">IF($Q1655&gt;=0,IFERROR(generateSalesData($D1655, IF(ISNUMBER(_xlfn.XLOOKUP($C1655,Phone_by_Sentiment!$B$2:$B$37,Phone_by_Sentiment!L$2:L$37,"",0,1)),_xlfn.XLOOKUP($C1655,Phone_by_Sentiment!$B$2:$B$37,Phone_by_Sentiment!L$2:L$37,"",0,1),0),$A1655-TEXT(DATEVALUE($D1655&amp;"-01"), "dd-mm-yyyy")),0),0)</f>
        <v>346</v>
      </c>
      <c r="M1655" cm="1">
        <f t="array" ref="M1655">IF($Q1655&gt;=0,IFERROR(generateSalesData($D1655, IF(ISNUMBER(_xlfn.XLOOKUP($C1655,Phone_by_Sentiment!$B$2:$B$37,Phone_by_Sentiment!M$2:M$37,"",0,1)),_xlfn.XLOOKUP($C1655,Phone_by_Sentiment!$B$2:$B$37,Phone_by_Sentiment!M$2:M$37,"",0,1),0),$A1655-TEXT(DATEVALUE($D1655&amp;"-01"), "dd-mm-yyyy")),0),0)</f>
        <v>787</v>
      </c>
      <c r="N1655" cm="1">
        <f t="array" ref="N1655">IF($Q1655&gt;=0,IFERROR(generateSalesData($D1655, IF(ISNUMBER(_xlfn.XLOOKUP($C1655,Phone_by_Sentiment!$B$2:$B$37,Phone_by_Sentiment!N$2:N$37,"",0,1)),_xlfn.XLOOKUP($C1655,Phone_by_Sentiment!$B$2:$B$37,Phone_by_Sentiment!N$2:N$37,"",0,1),0),$A1655-TEXT(DATEVALUE($D1655&amp;"-01"), "dd-mm-yyyy")),0),0)</f>
        <v>114</v>
      </c>
      <c r="O1655" cm="1">
        <f t="array" ref="O1655">IF($Q1655&gt;=0,IFERROR(generateSalesData($D1655, IF(ISNUMBER(_xlfn.XLOOKUP($C1655,Phone_by_Sentiment!$B$2:$B$37,Phone_by_Sentiment!O$2:O$37,"",0,1)),_xlfn.XLOOKUP($C1655,Phone_by_Sentiment!$B$2:$B$37,Phone_by_Sentiment!O$2:O$37,"",0,1),0),$A1655-TEXT(DATEVALUE($D1655&amp;"-01"), "dd-mm-yyyy")),0),0)</f>
        <v>447</v>
      </c>
      <c r="P1655" s="1">
        <f t="shared" si="64"/>
        <v>44440</v>
      </c>
      <c r="Q1655">
        <f t="shared" si="66"/>
        <v>456</v>
      </c>
    </row>
    <row r="1656" spans="1:17" x14ac:dyDescent="0.25">
      <c r="A1656" s="1">
        <f t="shared" si="65"/>
        <v>44896</v>
      </c>
      <c r="B1656" t="s">
        <v>154</v>
      </c>
      <c r="C1656" t="str">
        <f>_xlfn.XLOOKUP(B1656,Phone_by_Price!$A$2:$A$34,Phone_by_Price!$B$2:$B$34,"-",0,1)</f>
        <v>Samsung Galaxy S21</v>
      </c>
      <c r="D1656" t="str">
        <f>_xlfn.XLOOKUP(C1656,Phone_by_Sentiment!$B$2:$B$37,Phone_by_Sentiment!$A$2:$A$37,"-",0,1)</f>
        <v>2021-01</v>
      </c>
      <c r="E1656" cm="1">
        <f t="array" ref="E1656">IF($Q1656&gt;=0,IFERROR(generateSalesData($D1656, IF(ISNUMBER(_xlfn.XLOOKUP($C1656,Phone_by_Sentiment!$B$2:$B$37,Phone_by_Sentiment!E$2:E$37,"",0,1)),_xlfn.XLOOKUP($C1656,Phone_by_Sentiment!$B$2:$B$37,Phone_by_Sentiment!E$2:E$37,"",0,1),0),$A1656-TEXT(DATEVALUE($D1656&amp;"-01"), "dd-mm-yyyy")),0),0)</f>
        <v>188</v>
      </c>
      <c r="F1656" cm="1">
        <f t="array" ref="F1656">IF($Q1656&gt;=0,IFERROR(generateSalesData($D1656, IF(ISNUMBER(_xlfn.XLOOKUP($C1656,Phone_by_Sentiment!$B$2:$B$37,Phone_by_Sentiment!F$2:F$37,"",0,1)),_xlfn.XLOOKUP($C1656,Phone_by_Sentiment!$B$2:$B$37,Phone_by_Sentiment!F$2:F$37,"",0,1),0),$A1656-TEXT(DATEVALUE($D1656&amp;"-01"), "dd-mm-yyyy")),0),0)</f>
        <v>217</v>
      </c>
      <c r="G1656" cm="1">
        <f t="array" ref="G1656">IF($Q1656&gt;=0,IFERROR(generateSalesData($D1656, IF(ISNUMBER(_xlfn.XLOOKUP($C1656,Phone_by_Sentiment!$B$2:$B$37,Phone_by_Sentiment!G$2:G$37,"",0,1)),_xlfn.XLOOKUP($C1656,Phone_by_Sentiment!$B$2:$B$37,Phone_by_Sentiment!G$2:G$37,"",0,1),0),$A1656-TEXT(DATEVALUE($D1656&amp;"-01"), "dd-mm-yyyy")),0),0)</f>
        <v>73</v>
      </c>
      <c r="H1656" cm="1">
        <f t="array" ref="H1656">IF($Q1656&gt;=0,IFERROR(generateSalesData($D1656, IF(ISNUMBER(_xlfn.XLOOKUP($C1656,Phone_by_Sentiment!$B$2:$B$37,Phone_by_Sentiment!H$2:H$37,"",0,1)),_xlfn.XLOOKUP($C1656,Phone_by_Sentiment!$B$2:$B$37,Phone_by_Sentiment!H$2:H$37,"",0,1),0),$A1656-TEXT(DATEVALUE($D1656&amp;"-01"), "dd-mm-yyyy")),0),0)</f>
        <v>244</v>
      </c>
      <c r="I1656" cm="1">
        <f t="array" ref="I1656">IF($Q1656&gt;=0,IFERROR(generateSalesData($D1656, IF(ISNUMBER(_xlfn.XLOOKUP($C1656,Phone_by_Sentiment!$B$2:$B$37,Phone_by_Sentiment!I$2:I$37,"",0,1)),_xlfn.XLOOKUP($C1656,Phone_by_Sentiment!$B$2:$B$37,Phone_by_Sentiment!I$2:I$37,"",0,1),0),$A1656-TEXT(DATEVALUE($D1656&amp;"-01"), "dd-mm-yyyy")),0),0)</f>
        <v>368</v>
      </c>
      <c r="J1656" cm="1">
        <f t="array" ref="J1656">IF($Q1656&gt;=0,IFERROR(generateSalesData($D1656, IF(ISNUMBER(_xlfn.XLOOKUP($C1656,Phone_by_Sentiment!$B$2:$B$37,Phone_by_Sentiment!J$2:J$37,"",0,1)),_xlfn.XLOOKUP($C1656,Phone_by_Sentiment!$B$2:$B$37,Phone_by_Sentiment!J$2:J$37,"",0,1),0),$A1656-TEXT(DATEVALUE($D1656&amp;"-01"), "dd-mm-yyyy")),0),0)</f>
        <v>646</v>
      </c>
      <c r="K1656" cm="1">
        <f t="array" ref="K1656">IF($Q1656&gt;=0,IFERROR(generateSalesData($D1656, IF(ISNUMBER(_xlfn.XLOOKUP($C1656,Phone_by_Sentiment!$B$2:$B$37,Phone_by_Sentiment!K$2:K$37,"",0,1)),_xlfn.XLOOKUP($C1656,Phone_by_Sentiment!$B$2:$B$37,Phone_by_Sentiment!K$2:K$37,"",0,1),0),$A1656-TEXT(DATEVALUE($D1656&amp;"-01"), "dd-mm-yyyy")),0),0)</f>
        <v>97</v>
      </c>
      <c r="L1656" cm="1">
        <f t="array" ref="L1656">IF($Q1656&gt;=0,IFERROR(generateSalesData($D1656, IF(ISNUMBER(_xlfn.XLOOKUP($C1656,Phone_by_Sentiment!$B$2:$B$37,Phone_by_Sentiment!L$2:L$37,"",0,1)),_xlfn.XLOOKUP($C1656,Phone_by_Sentiment!$B$2:$B$37,Phone_by_Sentiment!L$2:L$37,"",0,1),0),$A1656-TEXT(DATEVALUE($D1656&amp;"-01"), "dd-mm-yyyy")),0),0)</f>
        <v>270</v>
      </c>
      <c r="M1656" cm="1">
        <f t="array" ref="M1656">IF($Q1656&gt;=0,IFERROR(generateSalesData($D1656, IF(ISNUMBER(_xlfn.XLOOKUP($C1656,Phone_by_Sentiment!$B$2:$B$37,Phone_by_Sentiment!M$2:M$37,"",0,1)),_xlfn.XLOOKUP($C1656,Phone_by_Sentiment!$B$2:$B$37,Phone_by_Sentiment!M$2:M$37,"",0,1),0),$A1656-TEXT(DATEVALUE($D1656&amp;"-01"), "dd-mm-yyyy")),0),0)</f>
        <v>525</v>
      </c>
      <c r="N1656" cm="1">
        <f t="array" ref="N1656">IF($Q1656&gt;=0,IFERROR(generateSalesData($D1656, IF(ISNUMBER(_xlfn.XLOOKUP($C1656,Phone_by_Sentiment!$B$2:$B$37,Phone_by_Sentiment!N$2:N$37,"",0,1)),_xlfn.XLOOKUP($C1656,Phone_by_Sentiment!$B$2:$B$37,Phone_by_Sentiment!N$2:N$37,"",0,1),0),$A1656-TEXT(DATEVALUE($D1656&amp;"-01"), "dd-mm-yyyy")),0),0)</f>
        <v>387</v>
      </c>
      <c r="O1656" cm="1">
        <f t="array" ref="O1656">IF($Q1656&gt;=0,IFERROR(generateSalesData($D1656, IF(ISNUMBER(_xlfn.XLOOKUP($C1656,Phone_by_Sentiment!$B$2:$B$37,Phone_by_Sentiment!O$2:O$37,"",0,1)),_xlfn.XLOOKUP($C1656,Phone_by_Sentiment!$B$2:$B$37,Phone_by_Sentiment!O$2:O$37,"",0,1),0),$A1656-TEXT(DATEVALUE($D1656&amp;"-01"), "dd-mm-yyyy")),0),0)</f>
        <v>215</v>
      </c>
      <c r="P1656" s="1">
        <f t="shared" si="64"/>
        <v>44197</v>
      </c>
      <c r="Q1656">
        <f t="shared" si="66"/>
        <v>699</v>
      </c>
    </row>
    <row r="1657" spans="1:17" x14ac:dyDescent="0.25">
      <c r="A1657" s="1">
        <f t="shared" si="65"/>
        <v>44896</v>
      </c>
      <c r="B1657" t="s">
        <v>155</v>
      </c>
      <c r="C1657" t="str">
        <f>_xlfn.XLOOKUP(B1657,Phone_by_Price!$A$2:$A$34,Phone_by_Price!$B$2:$B$34,"-",0,1)</f>
        <v>Google Pixel 6</v>
      </c>
      <c r="D1657" t="str">
        <f>_xlfn.XLOOKUP(C1657,Phone_by_Sentiment!$B$2:$B$37,Phone_by_Sentiment!$A$2:$A$37,"-",0,1)</f>
        <v>2021-10</v>
      </c>
      <c r="E1657" cm="1">
        <f t="array" ref="E1657">IF($Q1657&gt;=0,IFERROR(generateSalesData($D1657, IF(ISNUMBER(_xlfn.XLOOKUP($C1657,Phone_by_Sentiment!$B$2:$B$37,Phone_by_Sentiment!E$2:E$37,"",0,1)),_xlfn.XLOOKUP($C1657,Phone_by_Sentiment!$B$2:$B$37,Phone_by_Sentiment!E$2:E$37,"",0,1),0),$A1657-TEXT(DATEVALUE($D1657&amp;"-01"), "dd-mm-yyyy")),0),0)</f>
        <v>13</v>
      </c>
      <c r="F1657" cm="1">
        <f t="array" ref="F1657">IF($Q1657&gt;=0,IFERROR(generateSalesData($D1657, IF(ISNUMBER(_xlfn.XLOOKUP($C1657,Phone_by_Sentiment!$B$2:$B$37,Phone_by_Sentiment!F$2:F$37,"",0,1)),_xlfn.XLOOKUP($C1657,Phone_by_Sentiment!$B$2:$B$37,Phone_by_Sentiment!F$2:F$37,"",0,1),0),$A1657-TEXT(DATEVALUE($D1657&amp;"-01"), "dd-mm-yyyy")),0),0)</f>
        <v>63</v>
      </c>
      <c r="G1657" cm="1">
        <f t="array" ref="G1657">IF($Q1657&gt;=0,IFERROR(generateSalesData($D1657, IF(ISNUMBER(_xlfn.XLOOKUP($C1657,Phone_by_Sentiment!$B$2:$B$37,Phone_by_Sentiment!G$2:G$37,"",0,1)),_xlfn.XLOOKUP($C1657,Phone_by_Sentiment!$B$2:$B$37,Phone_by_Sentiment!G$2:G$37,"",0,1),0),$A1657-TEXT(DATEVALUE($D1657&amp;"-01"), "dd-mm-yyyy")),0),0)</f>
        <v>55</v>
      </c>
      <c r="H1657" cm="1">
        <f t="array" ref="H1657">IF($Q1657&gt;=0,IFERROR(generateSalesData($D1657, IF(ISNUMBER(_xlfn.XLOOKUP($C1657,Phone_by_Sentiment!$B$2:$B$37,Phone_by_Sentiment!H$2:H$37,"",0,1)),_xlfn.XLOOKUP($C1657,Phone_by_Sentiment!$B$2:$B$37,Phone_by_Sentiment!H$2:H$37,"",0,1),0),$A1657-TEXT(DATEVALUE($D1657&amp;"-01"), "dd-mm-yyyy")),0),0)</f>
        <v>72</v>
      </c>
      <c r="I1657" cm="1">
        <f t="array" ref="I1657">IF($Q1657&gt;=0,IFERROR(generateSalesData($D1657, IF(ISNUMBER(_xlfn.XLOOKUP($C1657,Phone_by_Sentiment!$B$2:$B$37,Phone_by_Sentiment!I$2:I$37,"",0,1)),_xlfn.XLOOKUP($C1657,Phone_by_Sentiment!$B$2:$B$37,Phone_by_Sentiment!I$2:I$37,"",0,1),0),$A1657-TEXT(DATEVALUE($D1657&amp;"-01"), "dd-mm-yyyy")),0),0)</f>
        <v>72</v>
      </c>
      <c r="J1657" cm="1">
        <f t="array" ref="J1657">IF($Q1657&gt;=0,IFERROR(generateSalesData($D1657, IF(ISNUMBER(_xlfn.XLOOKUP($C1657,Phone_by_Sentiment!$B$2:$B$37,Phone_by_Sentiment!J$2:J$37,"",0,1)),_xlfn.XLOOKUP($C1657,Phone_by_Sentiment!$B$2:$B$37,Phone_by_Sentiment!J$2:J$37,"",0,1),0),$A1657-TEXT(DATEVALUE($D1657&amp;"-01"), "dd-mm-yyyy")),0),0)</f>
        <v>134</v>
      </c>
      <c r="K1657" cm="1">
        <f t="array" ref="K1657">IF($Q1657&gt;=0,IFERROR(generateSalesData($D1657, IF(ISNUMBER(_xlfn.XLOOKUP($C1657,Phone_by_Sentiment!$B$2:$B$37,Phone_by_Sentiment!K$2:K$37,"",0,1)),_xlfn.XLOOKUP($C1657,Phone_by_Sentiment!$B$2:$B$37,Phone_by_Sentiment!K$2:K$37,"",0,1),0),$A1657-TEXT(DATEVALUE($D1657&amp;"-01"), "dd-mm-yyyy")),0),0)</f>
        <v>78</v>
      </c>
      <c r="L1657" cm="1">
        <f t="array" ref="L1657">IF($Q1657&gt;=0,IFERROR(generateSalesData($D1657, IF(ISNUMBER(_xlfn.XLOOKUP($C1657,Phone_by_Sentiment!$B$2:$B$37,Phone_by_Sentiment!L$2:L$37,"",0,1)),_xlfn.XLOOKUP($C1657,Phone_by_Sentiment!$B$2:$B$37,Phone_by_Sentiment!L$2:L$37,"",0,1),0),$A1657-TEXT(DATEVALUE($D1657&amp;"-01"), "dd-mm-yyyy")),0),0)</f>
        <v>-19</v>
      </c>
      <c r="M1657" cm="1">
        <f t="array" ref="M1657">IF($Q1657&gt;=0,IFERROR(generateSalesData($D1657, IF(ISNUMBER(_xlfn.XLOOKUP($C1657,Phone_by_Sentiment!$B$2:$B$37,Phone_by_Sentiment!M$2:M$37,"",0,1)),_xlfn.XLOOKUP($C1657,Phone_by_Sentiment!$B$2:$B$37,Phone_by_Sentiment!M$2:M$37,"",0,1),0),$A1657-TEXT(DATEVALUE($D1657&amp;"-01"), "dd-mm-yyyy")),0),0)</f>
        <v>463</v>
      </c>
      <c r="N1657" cm="1">
        <f t="array" ref="N1657">IF($Q1657&gt;=0,IFERROR(generateSalesData($D1657, IF(ISNUMBER(_xlfn.XLOOKUP($C1657,Phone_by_Sentiment!$B$2:$B$37,Phone_by_Sentiment!N$2:N$37,"",0,1)),_xlfn.XLOOKUP($C1657,Phone_by_Sentiment!$B$2:$B$37,Phone_by_Sentiment!N$2:N$37,"",0,1),0),$A1657-TEXT(DATEVALUE($D1657&amp;"-01"), "dd-mm-yyyy")),0),0)</f>
        <v>63</v>
      </c>
      <c r="O1657" cm="1">
        <f t="array" ref="O1657">IF($Q1657&gt;=0,IFERROR(generateSalesData($D1657, IF(ISNUMBER(_xlfn.XLOOKUP($C1657,Phone_by_Sentiment!$B$2:$B$37,Phone_by_Sentiment!O$2:O$37,"",0,1)),_xlfn.XLOOKUP($C1657,Phone_by_Sentiment!$B$2:$B$37,Phone_by_Sentiment!O$2:O$37,"",0,1),0),$A1657-TEXT(DATEVALUE($D1657&amp;"-01"), "dd-mm-yyyy")),0),0)</f>
        <v>82</v>
      </c>
      <c r="P1657" s="1">
        <f t="shared" si="64"/>
        <v>44470</v>
      </c>
      <c r="Q1657">
        <f t="shared" si="66"/>
        <v>426</v>
      </c>
    </row>
    <row r="1658" spans="1:17" x14ac:dyDescent="0.25">
      <c r="A1658" s="1">
        <f t="shared" si="65"/>
        <v>44896</v>
      </c>
      <c r="B1658" t="s">
        <v>156</v>
      </c>
      <c r="C1658" t="str">
        <f>_xlfn.XLOOKUP(B1658,Phone_by_Price!$A$2:$A$34,Phone_by_Price!$B$2:$B$34,"-",0,1)</f>
        <v>OnePlus Nord CE</v>
      </c>
      <c r="D1658" t="str">
        <f>_xlfn.XLOOKUP(C1658,Phone_by_Sentiment!$B$2:$B$37,Phone_by_Sentiment!$A$2:$A$37,"-",0,1)</f>
        <v>2021-06</v>
      </c>
      <c r="E1658" cm="1">
        <f t="array" ref="E1658">IF($Q1658&gt;=0,IFERROR(generateSalesData($D1658, IF(ISNUMBER(_xlfn.XLOOKUP($C1658,Phone_by_Sentiment!$B$2:$B$37,Phone_by_Sentiment!E$2:E$37,"",0,1)),_xlfn.XLOOKUP($C1658,Phone_by_Sentiment!$B$2:$B$37,Phone_by_Sentiment!E$2:E$37,"",0,1),0),$A1658-TEXT(DATEVALUE($D1658&amp;"-01"), "dd-mm-yyyy")),0),0)</f>
        <v>86</v>
      </c>
      <c r="F1658" cm="1">
        <f t="array" ref="F1658">IF($Q1658&gt;=0,IFERROR(generateSalesData($D1658, IF(ISNUMBER(_xlfn.XLOOKUP($C1658,Phone_by_Sentiment!$B$2:$B$37,Phone_by_Sentiment!F$2:F$37,"",0,1)),_xlfn.XLOOKUP($C1658,Phone_by_Sentiment!$B$2:$B$37,Phone_by_Sentiment!F$2:F$37,"",0,1),0),$A1658-TEXT(DATEVALUE($D1658&amp;"-01"), "dd-mm-yyyy")),0),0)</f>
        <v>43</v>
      </c>
      <c r="G1658" cm="1">
        <f t="array" ref="G1658">IF($Q1658&gt;=0,IFERROR(generateSalesData($D1658, IF(ISNUMBER(_xlfn.XLOOKUP($C1658,Phone_by_Sentiment!$B$2:$B$37,Phone_by_Sentiment!G$2:G$37,"",0,1)),_xlfn.XLOOKUP($C1658,Phone_by_Sentiment!$B$2:$B$37,Phone_by_Sentiment!G$2:G$37,"",0,1),0),$A1658-TEXT(DATEVALUE($D1658&amp;"-01"), "dd-mm-yyyy")),0),0)</f>
        <v>116</v>
      </c>
      <c r="H1658" cm="1">
        <f t="array" ref="H1658">IF($Q1658&gt;=0,IFERROR(generateSalesData($D1658, IF(ISNUMBER(_xlfn.XLOOKUP($C1658,Phone_by_Sentiment!$B$2:$B$37,Phone_by_Sentiment!H$2:H$37,"",0,1)),_xlfn.XLOOKUP($C1658,Phone_by_Sentiment!$B$2:$B$37,Phone_by_Sentiment!H$2:H$37,"",0,1),0),$A1658-TEXT(DATEVALUE($D1658&amp;"-01"), "dd-mm-yyyy")),0),0)</f>
        <v>280</v>
      </c>
      <c r="I1658" cm="1">
        <f t="array" ref="I1658">IF($Q1658&gt;=0,IFERROR(generateSalesData($D1658, IF(ISNUMBER(_xlfn.XLOOKUP($C1658,Phone_by_Sentiment!$B$2:$B$37,Phone_by_Sentiment!I$2:I$37,"",0,1)),_xlfn.XLOOKUP($C1658,Phone_by_Sentiment!$B$2:$B$37,Phone_by_Sentiment!I$2:I$37,"",0,1),0),$A1658-TEXT(DATEVALUE($D1658&amp;"-01"), "dd-mm-yyyy")),0),0)</f>
        <v>22</v>
      </c>
      <c r="J1658" cm="1">
        <f t="array" ref="J1658">IF($Q1658&gt;=0,IFERROR(generateSalesData($D1658, IF(ISNUMBER(_xlfn.XLOOKUP($C1658,Phone_by_Sentiment!$B$2:$B$37,Phone_by_Sentiment!J$2:J$37,"",0,1)),_xlfn.XLOOKUP($C1658,Phone_by_Sentiment!$B$2:$B$37,Phone_by_Sentiment!J$2:J$37,"",0,1),0),$A1658-TEXT(DATEVALUE($D1658&amp;"-01"), "dd-mm-yyyy")),0),0)</f>
        <v>54</v>
      </c>
      <c r="K1658" cm="1">
        <f t="array" ref="K1658">IF($Q1658&gt;=0,IFERROR(generateSalesData($D1658, IF(ISNUMBER(_xlfn.XLOOKUP($C1658,Phone_by_Sentiment!$B$2:$B$37,Phone_by_Sentiment!K$2:K$37,"",0,1)),_xlfn.XLOOKUP($C1658,Phone_by_Sentiment!$B$2:$B$37,Phone_by_Sentiment!K$2:K$37,"",0,1),0),$A1658-TEXT(DATEVALUE($D1658&amp;"-01"), "dd-mm-yyyy")),0),0)</f>
        <v>98</v>
      </c>
      <c r="L1658" cm="1">
        <f t="array" ref="L1658">IF($Q1658&gt;=0,IFERROR(generateSalesData($D1658, IF(ISNUMBER(_xlfn.XLOOKUP($C1658,Phone_by_Sentiment!$B$2:$B$37,Phone_by_Sentiment!L$2:L$37,"",0,1)),_xlfn.XLOOKUP($C1658,Phone_by_Sentiment!$B$2:$B$37,Phone_by_Sentiment!L$2:L$37,"",0,1),0),$A1658-TEXT(DATEVALUE($D1658&amp;"-01"), "dd-mm-yyyy")),0),0)</f>
        <v>114</v>
      </c>
      <c r="M1658" cm="1">
        <f t="array" ref="M1658">IF($Q1658&gt;=0,IFERROR(generateSalesData($D1658, IF(ISNUMBER(_xlfn.XLOOKUP($C1658,Phone_by_Sentiment!$B$2:$B$37,Phone_by_Sentiment!M$2:M$37,"",0,1)),_xlfn.XLOOKUP($C1658,Phone_by_Sentiment!$B$2:$B$37,Phone_by_Sentiment!M$2:M$37,"",0,1),0),$A1658-TEXT(DATEVALUE($D1658&amp;"-01"), "dd-mm-yyyy")),0),0)</f>
        <v>54</v>
      </c>
      <c r="N1658" cm="1">
        <f t="array" ref="N1658">IF($Q1658&gt;=0,IFERROR(generateSalesData($D1658, IF(ISNUMBER(_xlfn.XLOOKUP($C1658,Phone_by_Sentiment!$B$2:$B$37,Phone_by_Sentiment!N$2:N$37,"",0,1)),_xlfn.XLOOKUP($C1658,Phone_by_Sentiment!$B$2:$B$37,Phone_by_Sentiment!N$2:N$37,"",0,1),0),$A1658-TEXT(DATEVALUE($D1658&amp;"-01"), "dd-mm-yyyy")),0),0)</f>
        <v>218</v>
      </c>
      <c r="O1658" cm="1">
        <f t="array" ref="O1658">IF($Q1658&gt;=0,IFERROR(generateSalesData($D1658, IF(ISNUMBER(_xlfn.XLOOKUP($C1658,Phone_by_Sentiment!$B$2:$B$37,Phone_by_Sentiment!O$2:O$37,"",0,1)),_xlfn.XLOOKUP($C1658,Phone_by_Sentiment!$B$2:$B$37,Phone_by_Sentiment!O$2:O$37,"",0,1),0),$A1658-TEXT(DATEVALUE($D1658&amp;"-01"), "dd-mm-yyyy")),0),0)</f>
        <v>74</v>
      </c>
      <c r="P1658" s="1">
        <f t="shared" si="64"/>
        <v>44348</v>
      </c>
      <c r="Q1658">
        <f t="shared" si="66"/>
        <v>548</v>
      </c>
    </row>
    <row r="1659" spans="1:17" x14ac:dyDescent="0.25">
      <c r="A1659" s="1">
        <f t="shared" si="65"/>
        <v>44896</v>
      </c>
      <c r="B1659" t="s">
        <v>157</v>
      </c>
      <c r="C1659" t="str">
        <f>_xlfn.XLOOKUP(B1659,Phone_by_Price!$A$2:$A$34,Phone_by_Price!$B$2:$B$34,"-",0,1)</f>
        <v>Apple iPhone 13 Pro</v>
      </c>
      <c r="D1659" t="str">
        <f>_xlfn.XLOOKUP(C1659,Phone_by_Sentiment!$B$2:$B$37,Phone_by_Sentiment!$A$2:$A$37,"-",0,1)</f>
        <v>2021-09</v>
      </c>
      <c r="E1659" cm="1">
        <f t="array" ref="E1659">IF($Q1659&gt;=0,IFERROR(generateSalesData($D1659, IF(ISNUMBER(_xlfn.XLOOKUP($C1659,Phone_by_Sentiment!$B$2:$B$37,Phone_by_Sentiment!E$2:E$37,"",0,1)),_xlfn.XLOOKUP($C1659,Phone_by_Sentiment!$B$2:$B$37,Phone_by_Sentiment!E$2:E$37,"",0,1),0),$A1659-TEXT(DATEVALUE($D1659&amp;"-01"), "dd-mm-yyyy")),0),0)</f>
        <v>731</v>
      </c>
      <c r="F1659" cm="1">
        <f t="array" ref="F1659">IF($Q1659&gt;=0,IFERROR(generateSalesData($D1659, IF(ISNUMBER(_xlfn.XLOOKUP($C1659,Phone_by_Sentiment!$B$2:$B$37,Phone_by_Sentiment!F$2:F$37,"",0,1)),_xlfn.XLOOKUP($C1659,Phone_by_Sentiment!$B$2:$B$37,Phone_by_Sentiment!F$2:F$37,"",0,1),0),$A1659-TEXT(DATEVALUE($D1659&amp;"-01"), "dd-mm-yyyy")),0),0)</f>
        <v>568</v>
      </c>
      <c r="G1659" cm="1">
        <f t="array" ref="G1659">IF($Q1659&gt;=0,IFERROR(generateSalesData($D1659, IF(ISNUMBER(_xlfn.XLOOKUP($C1659,Phone_by_Sentiment!$B$2:$B$37,Phone_by_Sentiment!G$2:G$37,"",0,1)),_xlfn.XLOOKUP($C1659,Phone_by_Sentiment!$B$2:$B$37,Phone_by_Sentiment!G$2:G$37,"",0,1),0),$A1659-TEXT(DATEVALUE($D1659&amp;"-01"), "dd-mm-yyyy")),0),0)</f>
        <v>78</v>
      </c>
      <c r="H1659" cm="1">
        <f t="array" ref="H1659">IF($Q1659&gt;=0,IFERROR(generateSalesData($D1659, IF(ISNUMBER(_xlfn.XLOOKUP($C1659,Phone_by_Sentiment!$B$2:$B$37,Phone_by_Sentiment!H$2:H$37,"",0,1)),_xlfn.XLOOKUP($C1659,Phone_by_Sentiment!$B$2:$B$37,Phone_by_Sentiment!H$2:H$37,"",0,1),0),$A1659-TEXT(DATEVALUE($D1659&amp;"-01"), "dd-mm-yyyy")),0),0)</f>
        <v>860</v>
      </c>
      <c r="I1659" cm="1">
        <f t="array" ref="I1659">IF($Q1659&gt;=0,IFERROR(generateSalesData($D1659, IF(ISNUMBER(_xlfn.XLOOKUP($C1659,Phone_by_Sentiment!$B$2:$B$37,Phone_by_Sentiment!I$2:I$37,"",0,1)),_xlfn.XLOOKUP($C1659,Phone_by_Sentiment!$B$2:$B$37,Phone_by_Sentiment!I$2:I$37,"",0,1),0),$A1659-TEXT(DATEVALUE($D1659&amp;"-01"), "dd-mm-yyyy")),0),0)</f>
        <v>534</v>
      </c>
      <c r="J1659" cm="1">
        <f t="array" ref="J1659">IF($Q1659&gt;=0,IFERROR(generateSalesData($D1659, IF(ISNUMBER(_xlfn.XLOOKUP($C1659,Phone_by_Sentiment!$B$2:$B$37,Phone_by_Sentiment!J$2:J$37,"",0,1)),_xlfn.XLOOKUP($C1659,Phone_by_Sentiment!$B$2:$B$37,Phone_by_Sentiment!J$2:J$37,"",0,1),0),$A1659-TEXT(DATEVALUE($D1659&amp;"-01"), "dd-mm-yyyy")),0),0)</f>
        <v>273</v>
      </c>
      <c r="K1659" cm="1">
        <f t="array" ref="K1659">IF($Q1659&gt;=0,IFERROR(generateSalesData($D1659, IF(ISNUMBER(_xlfn.XLOOKUP($C1659,Phone_by_Sentiment!$B$2:$B$37,Phone_by_Sentiment!K$2:K$37,"",0,1)),_xlfn.XLOOKUP($C1659,Phone_by_Sentiment!$B$2:$B$37,Phone_by_Sentiment!K$2:K$37,"",0,1),0),$A1659-TEXT(DATEVALUE($D1659&amp;"-01"), "dd-mm-yyyy")),0),0)</f>
        <v>378</v>
      </c>
      <c r="L1659" cm="1">
        <f t="array" ref="L1659">IF($Q1659&gt;=0,IFERROR(generateSalesData($D1659, IF(ISNUMBER(_xlfn.XLOOKUP($C1659,Phone_by_Sentiment!$B$2:$B$37,Phone_by_Sentiment!L$2:L$37,"",0,1)),_xlfn.XLOOKUP($C1659,Phone_by_Sentiment!$B$2:$B$37,Phone_by_Sentiment!L$2:L$37,"",0,1),0),$A1659-TEXT(DATEVALUE($D1659&amp;"-01"), "dd-mm-yyyy")),0),0)</f>
        <v>158</v>
      </c>
      <c r="M1659" cm="1">
        <f t="array" ref="M1659">IF($Q1659&gt;=0,IFERROR(generateSalesData($D1659, IF(ISNUMBER(_xlfn.XLOOKUP($C1659,Phone_by_Sentiment!$B$2:$B$37,Phone_by_Sentiment!M$2:M$37,"",0,1)),_xlfn.XLOOKUP($C1659,Phone_by_Sentiment!$B$2:$B$37,Phone_by_Sentiment!M$2:M$37,"",0,1),0),$A1659-TEXT(DATEVALUE($D1659&amp;"-01"), "dd-mm-yyyy")),0),0)</f>
        <v>410</v>
      </c>
      <c r="N1659" cm="1">
        <f t="array" ref="N1659">IF($Q1659&gt;=0,IFERROR(generateSalesData($D1659, IF(ISNUMBER(_xlfn.XLOOKUP($C1659,Phone_by_Sentiment!$B$2:$B$37,Phone_by_Sentiment!N$2:N$37,"",0,1)),_xlfn.XLOOKUP($C1659,Phone_by_Sentiment!$B$2:$B$37,Phone_by_Sentiment!N$2:N$37,"",0,1),0),$A1659-TEXT(DATEVALUE($D1659&amp;"-01"), "dd-mm-yyyy")),0),0)</f>
        <v>465</v>
      </c>
      <c r="O1659" cm="1">
        <f t="array" ref="O1659">IF($Q1659&gt;=0,IFERROR(generateSalesData($D1659, IF(ISNUMBER(_xlfn.XLOOKUP($C1659,Phone_by_Sentiment!$B$2:$B$37,Phone_by_Sentiment!O$2:O$37,"",0,1)),_xlfn.XLOOKUP($C1659,Phone_by_Sentiment!$B$2:$B$37,Phone_by_Sentiment!O$2:O$37,"",0,1),0),$A1659-TEXT(DATEVALUE($D1659&amp;"-01"), "dd-mm-yyyy")),0),0)</f>
        <v>456</v>
      </c>
      <c r="P1659" s="1">
        <f t="shared" si="64"/>
        <v>44440</v>
      </c>
      <c r="Q1659">
        <f t="shared" si="66"/>
        <v>456</v>
      </c>
    </row>
    <row r="1660" spans="1:17" x14ac:dyDescent="0.25">
      <c r="A1660" s="1">
        <f t="shared" si="65"/>
        <v>44896</v>
      </c>
      <c r="B1660" t="s">
        <v>158</v>
      </c>
      <c r="C1660" t="str">
        <f>_xlfn.XLOOKUP(B1660,Phone_by_Price!$A$2:$A$34,Phone_by_Price!$B$2:$B$34,"-",0,1)</f>
        <v>Samsung Galaxy A32 5G</v>
      </c>
      <c r="D1660" t="str">
        <f>_xlfn.XLOOKUP(C1660,Phone_by_Sentiment!$B$2:$B$37,Phone_by_Sentiment!$A$2:$A$37,"-",0,1)</f>
        <v>2021-02</v>
      </c>
      <c r="E1660" cm="1">
        <f t="array" ref="E1660">IF($Q1660&gt;=0,IFERROR(generateSalesData($D1660, IF(ISNUMBER(_xlfn.XLOOKUP($C1660,Phone_by_Sentiment!$B$2:$B$37,Phone_by_Sentiment!E$2:E$37,"",0,1)),_xlfn.XLOOKUP($C1660,Phone_by_Sentiment!$B$2:$B$37,Phone_by_Sentiment!E$2:E$37,"",0,1),0),$A1660-TEXT(DATEVALUE($D1660&amp;"-01"), "dd-mm-yyyy")),0),0)</f>
        <v>174</v>
      </c>
      <c r="F1660" cm="1">
        <f t="array" ref="F1660">IF($Q1660&gt;=0,IFERROR(generateSalesData($D1660, IF(ISNUMBER(_xlfn.XLOOKUP($C1660,Phone_by_Sentiment!$B$2:$B$37,Phone_by_Sentiment!F$2:F$37,"",0,1)),_xlfn.XLOOKUP($C1660,Phone_by_Sentiment!$B$2:$B$37,Phone_by_Sentiment!F$2:F$37,"",0,1),0),$A1660-TEXT(DATEVALUE($D1660&amp;"-01"), "dd-mm-yyyy")),0),0)</f>
        <v>327</v>
      </c>
      <c r="G1660" cm="1">
        <f t="array" ref="G1660">IF($Q1660&gt;=0,IFERROR(generateSalesData($D1660, IF(ISNUMBER(_xlfn.XLOOKUP($C1660,Phone_by_Sentiment!$B$2:$B$37,Phone_by_Sentiment!G$2:G$37,"",0,1)),_xlfn.XLOOKUP($C1660,Phone_by_Sentiment!$B$2:$B$37,Phone_by_Sentiment!G$2:G$37,"",0,1),0),$A1660-TEXT(DATEVALUE($D1660&amp;"-01"), "dd-mm-yyyy")),0),0)</f>
        <v>2</v>
      </c>
      <c r="H1660" cm="1">
        <f t="array" ref="H1660">IF($Q1660&gt;=0,IFERROR(generateSalesData($D1660, IF(ISNUMBER(_xlfn.XLOOKUP($C1660,Phone_by_Sentiment!$B$2:$B$37,Phone_by_Sentiment!H$2:H$37,"",0,1)),_xlfn.XLOOKUP($C1660,Phone_by_Sentiment!$B$2:$B$37,Phone_by_Sentiment!H$2:H$37,"",0,1),0),$A1660-TEXT(DATEVALUE($D1660&amp;"-01"), "dd-mm-yyyy")),0),0)</f>
        <v>453</v>
      </c>
      <c r="I1660" cm="1">
        <f t="array" ref="I1660">IF($Q1660&gt;=0,IFERROR(generateSalesData($D1660, IF(ISNUMBER(_xlfn.XLOOKUP($C1660,Phone_by_Sentiment!$B$2:$B$37,Phone_by_Sentiment!I$2:I$37,"",0,1)),_xlfn.XLOOKUP($C1660,Phone_by_Sentiment!$B$2:$B$37,Phone_by_Sentiment!I$2:I$37,"",0,1),0),$A1660-TEXT(DATEVALUE($D1660&amp;"-01"), "dd-mm-yyyy")),0),0)</f>
        <v>457</v>
      </c>
      <c r="J1660" cm="1">
        <f t="array" ref="J1660">IF($Q1660&gt;=0,IFERROR(generateSalesData($D1660, IF(ISNUMBER(_xlfn.XLOOKUP($C1660,Phone_by_Sentiment!$B$2:$B$37,Phone_by_Sentiment!J$2:J$37,"",0,1)),_xlfn.XLOOKUP($C1660,Phone_by_Sentiment!$B$2:$B$37,Phone_by_Sentiment!J$2:J$37,"",0,1),0),$A1660-TEXT(DATEVALUE($D1660&amp;"-01"), "dd-mm-yyyy")),0),0)</f>
        <v>451</v>
      </c>
      <c r="K1660" cm="1">
        <f t="array" ref="K1660">IF($Q1660&gt;=0,IFERROR(generateSalesData($D1660, IF(ISNUMBER(_xlfn.XLOOKUP($C1660,Phone_by_Sentiment!$B$2:$B$37,Phone_by_Sentiment!K$2:K$37,"",0,1)),_xlfn.XLOOKUP($C1660,Phone_by_Sentiment!$B$2:$B$37,Phone_by_Sentiment!K$2:K$37,"",0,1),0),$A1660-TEXT(DATEVALUE($D1660&amp;"-01"), "dd-mm-yyyy")),0),0)</f>
        <v>495</v>
      </c>
      <c r="L1660" cm="1">
        <f t="array" ref="L1660">IF($Q1660&gt;=0,IFERROR(generateSalesData($D1660, IF(ISNUMBER(_xlfn.XLOOKUP($C1660,Phone_by_Sentiment!$B$2:$B$37,Phone_by_Sentiment!L$2:L$37,"",0,1)),_xlfn.XLOOKUP($C1660,Phone_by_Sentiment!$B$2:$B$37,Phone_by_Sentiment!L$2:L$37,"",0,1),0),$A1660-TEXT(DATEVALUE($D1660&amp;"-01"), "dd-mm-yyyy")),0),0)</f>
        <v>625</v>
      </c>
      <c r="M1660" cm="1">
        <f t="array" ref="M1660">IF($Q1660&gt;=0,IFERROR(generateSalesData($D1660, IF(ISNUMBER(_xlfn.XLOOKUP($C1660,Phone_by_Sentiment!$B$2:$B$37,Phone_by_Sentiment!M$2:M$37,"",0,1)),_xlfn.XLOOKUP($C1660,Phone_by_Sentiment!$B$2:$B$37,Phone_by_Sentiment!M$2:M$37,"",0,1),0),$A1660-TEXT(DATEVALUE($D1660&amp;"-01"), "dd-mm-yyyy")),0),0)</f>
        <v>472</v>
      </c>
      <c r="N1660" cm="1">
        <f t="array" ref="N1660">IF($Q1660&gt;=0,IFERROR(generateSalesData($D1660, IF(ISNUMBER(_xlfn.XLOOKUP($C1660,Phone_by_Sentiment!$B$2:$B$37,Phone_by_Sentiment!N$2:N$37,"",0,1)),_xlfn.XLOOKUP($C1660,Phone_by_Sentiment!$B$2:$B$37,Phone_by_Sentiment!N$2:N$37,"",0,1),0),$A1660-TEXT(DATEVALUE($D1660&amp;"-01"), "dd-mm-yyyy")),0),0)</f>
        <v>325</v>
      </c>
      <c r="O1660" cm="1">
        <f t="array" ref="O1660">IF($Q1660&gt;=0,IFERROR(generateSalesData($D1660, IF(ISNUMBER(_xlfn.XLOOKUP($C1660,Phone_by_Sentiment!$B$2:$B$37,Phone_by_Sentiment!O$2:O$37,"",0,1)),_xlfn.XLOOKUP($C1660,Phone_by_Sentiment!$B$2:$B$37,Phone_by_Sentiment!O$2:O$37,"",0,1),0),$A1660-TEXT(DATEVALUE($D1660&amp;"-01"), "dd-mm-yyyy")),0),0)</f>
        <v>234</v>
      </c>
      <c r="P1660" s="1">
        <f t="shared" si="64"/>
        <v>44228</v>
      </c>
      <c r="Q1660">
        <f t="shared" si="66"/>
        <v>668</v>
      </c>
    </row>
    <row r="1661" spans="1:17" x14ac:dyDescent="0.25">
      <c r="A1661" s="1">
        <f t="shared" si="65"/>
        <v>44896</v>
      </c>
      <c r="B1661" t="s">
        <v>159</v>
      </c>
      <c r="C1661" t="str">
        <f>_xlfn.XLOOKUP(B1661,Phone_by_Price!$A$2:$A$34,Phone_by_Price!$B$2:$B$34,"-",0,1)</f>
        <v>Realme C25</v>
      </c>
      <c r="D1661" t="str">
        <f>_xlfn.XLOOKUP(C1661,Phone_by_Sentiment!$B$2:$B$37,Phone_by_Sentiment!$A$2:$A$37,"-",0,1)</f>
        <v>2021-03</v>
      </c>
      <c r="E1661" cm="1">
        <f t="array" ref="E1661">IF($Q1661&gt;=0,IFERROR(generateSalesData($D1661, IF(ISNUMBER(_xlfn.XLOOKUP($C1661,Phone_by_Sentiment!$B$2:$B$37,Phone_by_Sentiment!E$2:E$37,"",0,1)),_xlfn.XLOOKUP($C1661,Phone_by_Sentiment!$B$2:$B$37,Phone_by_Sentiment!E$2:E$37,"",0,1),0),$A1661-TEXT(DATEVALUE($D1661&amp;"-01"), "dd-mm-yyyy")),0),0)</f>
        <v>127</v>
      </c>
      <c r="F1661" cm="1">
        <f t="array" ref="F1661">IF($Q1661&gt;=0,IFERROR(generateSalesData($D1661, IF(ISNUMBER(_xlfn.XLOOKUP($C1661,Phone_by_Sentiment!$B$2:$B$37,Phone_by_Sentiment!F$2:F$37,"",0,1)),_xlfn.XLOOKUP($C1661,Phone_by_Sentiment!$B$2:$B$37,Phone_by_Sentiment!F$2:F$37,"",0,1),0),$A1661-TEXT(DATEVALUE($D1661&amp;"-01"), "dd-mm-yyyy")),0),0)</f>
        <v>317</v>
      </c>
      <c r="G1661" cm="1">
        <f t="array" ref="G1661">IF($Q1661&gt;=0,IFERROR(generateSalesData($D1661, IF(ISNUMBER(_xlfn.XLOOKUP($C1661,Phone_by_Sentiment!$B$2:$B$37,Phone_by_Sentiment!G$2:G$37,"",0,1)),_xlfn.XLOOKUP($C1661,Phone_by_Sentiment!$B$2:$B$37,Phone_by_Sentiment!G$2:G$37,"",0,1),0),$A1661-TEXT(DATEVALUE($D1661&amp;"-01"), "dd-mm-yyyy")),0),0)</f>
        <v>69</v>
      </c>
      <c r="H1661" cm="1">
        <f t="array" ref="H1661">IF($Q1661&gt;=0,IFERROR(generateSalesData($D1661, IF(ISNUMBER(_xlfn.XLOOKUP($C1661,Phone_by_Sentiment!$B$2:$B$37,Phone_by_Sentiment!H$2:H$37,"",0,1)),_xlfn.XLOOKUP($C1661,Phone_by_Sentiment!$B$2:$B$37,Phone_by_Sentiment!H$2:H$37,"",0,1),0),$A1661-TEXT(DATEVALUE($D1661&amp;"-01"), "dd-mm-yyyy")),0),0)</f>
        <v>473</v>
      </c>
      <c r="I1661" cm="1">
        <f t="array" ref="I1661">IF($Q1661&gt;=0,IFERROR(generateSalesData($D1661, IF(ISNUMBER(_xlfn.XLOOKUP($C1661,Phone_by_Sentiment!$B$2:$B$37,Phone_by_Sentiment!I$2:I$37,"",0,1)),_xlfn.XLOOKUP($C1661,Phone_by_Sentiment!$B$2:$B$37,Phone_by_Sentiment!I$2:I$37,"",0,1),0),$A1661-TEXT(DATEVALUE($D1661&amp;"-01"), "dd-mm-yyyy")),0),0)</f>
        <v>125</v>
      </c>
      <c r="J1661" cm="1">
        <f t="array" ref="J1661">IF($Q1661&gt;=0,IFERROR(generateSalesData($D1661, IF(ISNUMBER(_xlfn.XLOOKUP($C1661,Phone_by_Sentiment!$B$2:$B$37,Phone_by_Sentiment!J$2:J$37,"",0,1)),_xlfn.XLOOKUP($C1661,Phone_by_Sentiment!$B$2:$B$37,Phone_by_Sentiment!J$2:J$37,"",0,1),0),$A1661-TEXT(DATEVALUE($D1661&amp;"-01"), "dd-mm-yyyy")),0),0)</f>
        <v>140</v>
      </c>
      <c r="K1661" cm="1">
        <f t="array" ref="K1661">IF($Q1661&gt;=0,IFERROR(generateSalesData($D1661, IF(ISNUMBER(_xlfn.XLOOKUP($C1661,Phone_by_Sentiment!$B$2:$B$37,Phone_by_Sentiment!K$2:K$37,"",0,1)),_xlfn.XLOOKUP($C1661,Phone_by_Sentiment!$B$2:$B$37,Phone_by_Sentiment!K$2:K$37,"",0,1),0),$A1661-TEXT(DATEVALUE($D1661&amp;"-01"), "dd-mm-yyyy")),0),0)</f>
        <v>411</v>
      </c>
      <c r="L1661" cm="1">
        <f t="array" ref="L1661">IF($Q1661&gt;=0,IFERROR(generateSalesData($D1661, IF(ISNUMBER(_xlfn.XLOOKUP($C1661,Phone_by_Sentiment!$B$2:$B$37,Phone_by_Sentiment!L$2:L$37,"",0,1)),_xlfn.XLOOKUP($C1661,Phone_by_Sentiment!$B$2:$B$37,Phone_by_Sentiment!L$2:L$37,"",0,1),0),$A1661-TEXT(DATEVALUE($D1661&amp;"-01"), "dd-mm-yyyy")),0),0)</f>
        <v>225</v>
      </c>
      <c r="M1661" cm="1">
        <f t="array" ref="M1661">IF($Q1661&gt;=0,IFERROR(generateSalesData($D1661, IF(ISNUMBER(_xlfn.XLOOKUP($C1661,Phone_by_Sentiment!$B$2:$B$37,Phone_by_Sentiment!M$2:M$37,"",0,1)),_xlfn.XLOOKUP($C1661,Phone_by_Sentiment!$B$2:$B$37,Phone_by_Sentiment!M$2:M$37,"",0,1),0),$A1661-TEXT(DATEVALUE($D1661&amp;"-01"), "dd-mm-yyyy")),0),0)</f>
        <v>72</v>
      </c>
      <c r="N1661" cm="1">
        <f t="array" ref="N1661">IF($Q1661&gt;=0,IFERROR(generateSalesData($D1661, IF(ISNUMBER(_xlfn.XLOOKUP($C1661,Phone_by_Sentiment!$B$2:$B$37,Phone_by_Sentiment!N$2:N$37,"",0,1)),_xlfn.XLOOKUP($C1661,Phone_by_Sentiment!$B$2:$B$37,Phone_by_Sentiment!N$2:N$37,"",0,1),0),$A1661-TEXT(DATEVALUE($D1661&amp;"-01"), "dd-mm-yyyy")),0),0)</f>
        <v>158</v>
      </c>
      <c r="O1661" cm="1">
        <f t="array" ref="O1661">IF($Q1661&gt;=0,IFERROR(generateSalesData($D1661, IF(ISNUMBER(_xlfn.XLOOKUP($C1661,Phone_by_Sentiment!$B$2:$B$37,Phone_by_Sentiment!O$2:O$37,"",0,1)),_xlfn.XLOOKUP($C1661,Phone_by_Sentiment!$B$2:$B$37,Phone_by_Sentiment!O$2:O$37,"",0,1),0),$A1661-TEXT(DATEVALUE($D1661&amp;"-01"), "dd-mm-yyyy")),0),0)</f>
        <v>50</v>
      </c>
      <c r="P1661" s="1">
        <f t="shared" si="64"/>
        <v>44256</v>
      </c>
      <c r="Q1661">
        <f t="shared" si="66"/>
        <v>640</v>
      </c>
    </row>
    <row r="1662" spans="1:17" x14ac:dyDescent="0.25">
      <c r="A1662" s="1">
        <f t="shared" si="65"/>
        <v>44896</v>
      </c>
      <c r="B1662" t="s">
        <v>160</v>
      </c>
      <c r="C1662" t="str">
        <f>_xlfn.XLOOKUP(B1662,Phone_by_Price!$A$2:$A$34,Phone_by_Price!$B$2:$B$34,"-",0,1)</f>
        <v>Xiaomi Poco X3 Pro</v>
      </c>
      <c r="D1662" t="str">
        <f>_xlfn.XLOOKUP(C1662,Phone_by_Sentiment!$B$2:$B$37,Phone_by_Sentiment!$A$2:$A$37,"-",0,1)</f>
        <v>2021-05</v>
      </c>
      <c r="E1662" cm="1">
        <f t="array" ref="E1662">IF($Q1662&gt;=0,IFERROR(generateSalesData($D1662, IF(ISNUMBER(_xlfn.XLOOKUP($C1662,Phone_by_Sentiment!$B$2:$B$37,Phone_by_Sentiment!E$2:E$37,"",0,1)),_xlfn.XLOOKUP($C1662,Phone_by_Sentiment!$B$2:$B$37,Phone_by_Sentiment!E$2:E$37,"",0,1),0),$A1662-TEXT(DATEVALUE($D1662&amp;"-01"), "dd-mm-yyyy")),0),0)</f>
        <v>439</v>
      </c>
      <c r="F1662" cm="1">
        <f t="array" ref="F1662">IF($Q1662&gt;=0,IFERROR(generateSalesData($D1662, IF(ISNUMBER(_xlfn.XLOOKUP($C1662,Phone_by_Sentiment!$B$2:$B$37,Phone_by_Sentiment!F$2:F$37,"",0,1)),_xlfn.XLOOKUP($C1662,Phone_by_Sentiment!$B$2:$B$37,Phone_by_Sentiment!F$2:F$37,"",0,1),0),$A1662-TEXT(DATEVALUE($D1662&amp;"-01"), "dd-mm-yyyy")),0),0)</f>
        <v>118</v>
      </c>
      <c r="G1662" cm="1">
        <f t="array" ref="G1662">IF($Q1662&gt;=0,IFERROR(generateSalesData($D1662, IF(ISNUMBER(_xlfn.XLOOKUP($C1662,Phone_by_Sentiment!$B$2:$B$37,Phone_by_Sentiment!G$2:G$37,"",0,1)),_xlfn.XLOOKUP($C1662,Phone_by_Sentiment!$B$2:$B$37,Phone_by_Sentiment!G$2:G$37,"",0,1),0),$A1662-TEXT(DATEVALUE($D1662&amp;"-01"), "dd-mm-yyyy")),0),0)</f>
        <v>109</v>
      </c>
      <c r="H1662" cm="1">
        <f t="array" ref="H1662">IF($Q1662&gt;=0,IFERROR(generateSalesData($D1662, IF(ISNUMBER(_xlfn.XLOOKUP($C1662,Phone_by_Sentiment!$B$2:$B$37,Phone_by_Sentiment!H$2:H$37,"",0,1)),_xlfn.XLOOKUP($C1662,Phone_by_Sentiment!$B$2:$B$37,Phone_by_Sentiment!H$2:H$37,"",0,1),0),$A1662-TEXT(DATEVALUE($D1662&amp;"-01"), "dd-mm-yyyy")),0),0)</f>
        <v>494</v>
      </c>
      <c r="I1662" cm="1">
        <f t="array" ref="I1662">IF($Q1662&gt;=0,IFERROR(generateSalesData($D1662, IF(ISNUMBER(_xlfn.XLOOKUP($C1662,Phone_by_Sentiment!$B$2:$B$37,Phone_by_Sentiment!I$2:I$37,"",0,1)),_xlfn.XLOOKUP($C1662,Phone_by_Sentiment!$B$2:$B$37,Phone_by_Sentiment!I$2:I$37,"",0,1),0),$A1662-TEXT(DATEVALUE($D1662&amp;"-01"), "dd-mm-yyyy")),0),0)</f>
        <v>289</v>
      </c>
      <c r="J1662" cm="1">
        <f t="array" ref="J1662">IF($Q1662&gt;=0,IFERROR(generateSalesData($D1662, IF(ISNUMBER(_xlfn.XLOOKUP($C1662,Phone_by_Sentiment!$B$2:$B$37,Phone_by_Sentiment!J$2:J$37,"",0,1)),_xlfn.XLOOKUP($C1662,Phone_by_Sentiment!$B$2:$B$37,Phone_by_Sentiment!J$2:J$37,"",0,1),0),$A1662-TEXT(DATEVALUE($D1662&amp;"-01"), "dd-mm-yyyy")),0),0)</f>
        <v>109</v>
      </c>
      <c r="K1662" cm="1">
        <f t="array" ref="K1662">IF($Q1662&gt;=0,IFERROR(generateSalesData($D1662, IF(ISNUMBER(_xlfn.XLOOKUP($C1662,Phone_by_Sentiment!$B$2:$B$37,Phone_by_Sentiment!K$2:K$37,"",0,1)),_xlfn.XLOOKUP($C1662,Phone_by_Sentiment!$B$2:$B$37,Phone_by_Sentiment!K$2:K$37,"",0,1),0),$A1662-TEXT(DATEVALUE($D1662&amp;"-01"), "dd-mm-yyyy")),0),0)</f>
        <v>98</v>
      </c>
      <c r="L1662" cm="1">
        <f t="array" ref="L1662">IF($Q1662&gt;=0,IFERROR(generateSalesData($D1662, IF(ISNUMBER(_xlfn.XLOOKUP($C1662,Phone_by_Sentiment!$B$2:$B$37,Phone_by_Sentiment!L$2:L$37,"",0,1)),_xlfn.XLOOKUP($C1662,Phone_by_Sentiment!$B$2:$B$37,Phone_by_Sentiment!L$2:L$37,"",0,1),0),$A1662-TEXT(DATEVALUE($D1662&amp;"-01"), "dd-mm-yyyy")),0),0)</f>
        <v>82</v>
      </c>
      <c r="M1662" cm="1">
        <f t="array" ref="M1662">IF($Q1662&gt;=0,IFERROR(generateSalesData($D1662, IF(ISNUMBER(_xlfn.XLOOKUP($C1662,Phone_by_Sentiment!$B$2:$B$37,Phone_by_Sentiment!M$2:M$37,"",0,1)),_xlfn.XLOOKUP($C1662,Phone_by_Sentiment!$B$2:$B$37,Phone_by_Sentiment!M$2:M$37,"",0,1),0),$A1662-TEXT(DATEVALUE($D1662&amp;"-01"), "dd-mm-yyyy")),0),0)</f>
        <v>221</v>
      </c>
      <c r="N1662" cm="1">
        <f t="array" ref="N1662">IF($Q1662&gt;=0,IFERROR(generateSalesData($D1662, IF(ISNUMBER(_xlfn.XLOOKUP($C1662,Phone_by_Sentiment!$B$2:$B$37,Phone_by_Sentiment!N$2:N$37,"",0,1)),_xlfn.XLOOKUP($C1662,Phone_by_Sentiment!$B$2:$B$37,Phone_by_Sentiment!N$2:N$37,"",0,1),0),$A1662-TEXT(DATEVALUE($D1662&amp;"-01"), "dd-mm-yyyy")),0),0)</f>
        <v>142</v>
      </c>
      <c r="O1662" cm="1">
        <f t="array" ref="O1662">IF($Q1662&gt;=0,IFERROR(generateSalesData($D1662, IF(ISNUMBER(_xlfn.XLOOKUP($C1662,Phone_by_Sentiment!$B$2:$B$37,Phone_by_Sentiment!O$2:O$37,"",0,1)),_xlfn.XLOOKUP($C1662,Phone_by_Sentiment!$B$2:$B$37,Phone_by_Sentiment!O$2:O$37,"",0,1),0),$A1662-TEXT(DATEVALUE($D1662&amp;"-01"), "dd-mm-yyyy")),0),0)</f>
        <v>423</v>
      </c>
      <c r="P1662" s="1">
        <f t="shared" si="64"/>
        <v>44317</v>
      </c>
      <c r="Q1662">
        <f t="shared" si="66"/>
        <v>579</v>
      </c>
    </row>
    <row r="1663" spans="1:17" x14ac:dyDescent="0.25">
      <c r="A1663" s="1">
        <f t="shared" si="65"/>
        <v>44896</v>
      </c>
      <c r="B1663" t="s">
        <v>161</v>
      </c>
      <c r="C1663" t="str">
        <f>_xlfn.XLOOKUP(B1663,Phone_by_Price!$A$2:$A$34,Phone_by_Price!$B$2:$B$34,"-",0,1)</f>
        <v>Samsung Galaxy Z Flip 3</v>
      </c>
      <c r="D1663" t="str">
        <f>_xlfn.XLOOKUP(C1663,Phone_by_Sentiment!$B$2:$B$37,Phone_by_Sentiment!$A$2:$A$37,"-",0,1)</f>
        <v>2021-09</v>
      </c>
      <c r="E1663" cm="1">
        <f t="array" ref="E1663">IF($Q1663&gt;=0,IFERROR(generateSalesData($D1663, IF(ISNUMBER(_xlfn.XLOOKUP($C1663,Phone_by_Sentiment!$B$2:$B$37,Phone_by_Sentiment!E$2:E$37,"",0,1)),_xlfn.XLOOKUP($C1663,Phone_by_Sentiment!$B$2:$B$37,Phone_by_Sentiment!E$2:E$37,"",0,1),0),$A1663-TEXT(DATEVALUE($D1663&amp;"-01"), "dd-mm-yyyy")),0),0)</f>
        <v>473</v>
      </c>
      <c r="F1663" cm="1">
        <f t="array" ref="F1663">IF($Q1663&gt;=0,IFERROR(generateSalesData($D1663, IF(ISNUMBER(_xlfn.XLOOKUP($C1663,Phone_by_Sentiment!$B$2:$B$37,Phone_by_Sentiment!F$2:F$37,"",0,1)),_xlfn.XLOOKUP($C1663,Phone_by_Sentiment!$B$2:$B$37,Phone_by_Sentiment!F$2:F$37,"",0,1),0),$A1663-TEXT(DATEVALUE($D1663&amp;"-01"), "dd-mm-yyyy")),0),0)</f>
        <v>-80</v>
      </c>
      <c r="G1663" cm="1">
        <f t="array" ref="G1663">IF($Q1663&gt;=0,IFERROR(generateSalesData($D1663, IF(ISNUMBER(_xlfn.XLOOKUP($C1663,Phone_by_Sentiment!$B$2:$B$37,Phone_by_Sentiment!G$2:G$37,"",0,1)),_xlfn.XLOOKUP($C1663,Phone_by_Sentiment!$B$2:$B$37,Phone_by_Sentiment!G$2:G$37,"",0,1),0),$A1663-TEXT(DATEVALUE($D1663&amp;"-01"), "dd-mm-yyyy")),0),0)</f>
        <v>114</v>
      </c>
      <c r="H1663" cm="1">
        <f t="array" ref="H1663">IF($Q1663&gt;=0,IFERROR(generateSalesData($D1663, IF(ISNUMBER(_xlfn.XLOOKUP($C1663,Phone_by_Sentiment!$B$2:$B$37,Phone_by_Sentiment!H$2:H$37,"",0,1)),_xlfn.XLOOKUP($C1663,Phone_by_Sentiment!$B$2:$B$37,Phone_by_Sentiment!H$2:H$37,"",0,1),0),$A1663-TEXT(DATEVALUE($D1663&amp;"-01"), "dd-mm-yyyy")),0),0)</f>
        <v>560</v>
      </c>
      <c r="I1663" cm="1">
        <f t="array" ref="I1663">IF($Q1663&gt;=0,IFERROR(generateSalesData($D1663, IF(ISNUMBER(_xlfn.XLOOKUP($C1663,Phone_by_Sentiment!$B$2:$B$37,Phone_by_Sentiment!I$2:I$37,"",0,1)),_xlfn.XLOOKUP($C1663,Phone_by_Sentiment!$B$2:$B$37,Phone_by_Sentiment!I$2:I$37,"",0,1),0),$A1663-TEXT(DATEVALUE($D1663&amp;"-01"), "dd-mm-yyyy")),0),0)</f>
        <v>437</v>
      </c>
      <c r="J1663" cm="1">
        <f t="array" ref="J1663">IF($Q1663&gt;=0,IFERROR(generateSalesData($D1663, IF(ISNUMBER(_xlfn.XLOOKUP($C1663,Phone_by_Sentiment!$B$2:$B$37,Phone_by_Sentiment!J$2:J$37,"",0,1)),_xlfn.XLOOKUP($C1663,Phone_by_Sentiment!$B$2:$B$37,Phone_by_Sentiment!J$2:J$37,"",0,1),0),$A1663-TEXT(DATEVALUE($D1663&amp;"-01"), "dd-mm-yyyy")),0),0)</f>
        <v>520</v>
      </c>
      <c r="K1663" cm="1">
        <f t="array" ref="K1663">IF($Q1663&gt;=0,IFERROR(generateSalesData($D1663, IF(ISNUMBER(_xlfn.XLOOKUP($C1663,Phone_by_Sentiment!$B$2:$B$37,Phone_by_Sentiment!K$2:K$37,"",0,1)),_xlfn.XLOOKUP($C1663,Phone_by_Sentiment!$B$2:$B$37,Phone_by_Sentiment!K$2:K$37,"",0,1),0),$A1663-TEXT(DATEVALUE($D1663&amp;"-01"), "dd-mm-yyyy")),0),0)</f>
        <v>792</v>
      </c>
      <c r="L1663" cm="1">
        <f t="array" ref="L1663">IF($Q1663&gt;=0,IFERROR(generateSalesData($D1663, IF(ISNUMBER(_xlfn.XLOOKUP($C1663,Phone_by_Sentiment!$B$2:$B$37,Phone_by_Sentiment!L$2:L$37,"",0,1)),_xlfn.XLOOKUP($C1663,Phone_by_Sentiment!$B$2:$B$37,Phone_by_Sentiment!L$2:L$37,"",0,1),0),$A1663-TEXT(DATEVALUE($D1663&amp;"-01"), "dd-mm-yyyy")),0),0)</f>
        <v>81</v>
      </c>
      <c r="M1663" cm="1">
        <f t="array" ref="M1663">IF($Q1663&gt;=0,IFERROR(generateSalesData($D1663, IF(ISNUMBER(_xlfn.XLOOKUP($C1663,Phone_by_Sentiment!$B$2:$B$37,Phone_by_Sentiment!M$2:M$37,"",0,1)),_xlfn.XLOOKUP($C1663,Phone_by_Sentiment!$B$2:$B$37,Phone_by_Sentiment!M$2:M$37,"",0,1),0),$A1663-TEXT(DATEVALUE($D1663&amp;"-01"), "dd-mm-yyyy")),0),0)</f>
        <v>990</v>
      </c>
      <c r="N1663" cm="1">
        <f t="array" ref="N1663">IF($Q1663&gt;=0,IFERROR(generateSalesData($D1663, IF(ISNUMBER(_xlfn.XLOOKUP($C1663,Phone_by_Sentiment!$B$2:$B$37,Phone_by_Sentiment!N$2:N$37,"",0,1)),_xlfn.XLOOKUP($C1663,Phone_by_Sentiment!$B$2:$B$37,Phone_by_Sentiment!N$2:N$37,"",0,1),0),$A1663-TEXT(DATEVALUE($D1663&amp;"-01"), "dd-mm-yyyy")),0),0)</f>
        <v>283</v>
      </c>
      <c r="O1663" cm="1">
        <f t="array" ref="O1663">IF($Q1663&gt;=0,IFERROR(generateSalesData($D1663, IF(ISNUMBER(_xlfn.XLOOKUP($C1663,Phone_by_Sentiment!$B$2:$B$37,Phone_by_Sentiment!O$2:O$37,"",0,1)),_xlfn.XLOOKUP($C1663,Phone_by_Sentiment!$B$2:$B$37,Phone_by_Sentiment!O$2:O$37,"",0,1),0),$A1663-TEXT(DATEVALUE($D1663&amp;"-01"), "dd-mm-yyyy")),0),0)</f>
        <v>704</v>
      </c>
      <c r="P1663" s="1">
        <f t="shared" si="64"/>
        <v>44440</v>
      </c>
      <c r="Q1663">
        <f t="shared" si="66"/>
        <v>456</v>
      </c>
    </row>
    <row r="1664" spans="1:17" x14ac:dyDescent="0.25">
      <c r="A1664" s="1">
        <f t="shared" si="65"/>
        <v>44896</v>
      </c>
      <c r="B1664" t="s">
        <v>162</v>
      </c>
      <c r="C1664" t="str">
        <f>_xlfn.XLOOKUP(B1664,Phone_by_Price!$A$2:$A$34,Phone_by_Price!$B$2:$B$34,"-",0,1)</f>
        <v>Xiaomi Poco X3 NFC</v>
      </c>
      <c r="D1664" t="str">
        <f>_xlfn.XLOOKUP(C1664,Phone_by_Sentiment!$B$2:$B$37,Phone_by_Sentiment!$A$2:$A$37,"-",0,1)</f>
        <v>2020-08</v>
      </c>
      <c r="E1664" cm="1">
        <f t="array" ref="E1664">IF($Q1664&gt;=0,IFERROR(generateSalesData($D1664, IF(ISNUMBER(_xlfn.XLOOKUP($C1664,Phone_by_Sentiment!$B$2:$B$37,Phone_by_Sentiment!E$2:E$37,"",0,1)),_xlfn.XLOOKUP($C1664,Phone_by_Sentiment!$B$2:$B$37,Phone_by_Sentiment!E$2:E$37,"",0,1),0),$A1664-TEXT(DATEVALUE($D1664&amp;"-01"), "dd-mm-yyyy")),0),0)</f>
        <v>91</v>
      </c>
      <c r="F1664" cm="1">
        <f t="array" ref="F1664">IF($Q1664&gt;=0,IFERROR(generateSalesData($D1664, IF(ISNUMBER(_xlfn.XLOOKUP($C1664,Phone_by_Sentiment!$B$2:$B$37,Phone_by_Sentiment!F$2:F$37,"",0,1)),_xlfn.XLOOKUP($C1664,Phone_by_Sentiment!$B$2:$B$37,Phone_by_Sentiment!F$2:F$37,"",0,1),0),$A1664-TEXT(DATEVALUE($D1664&amp;"-01"), "dd-mm-yyyy")),0),0)</f>
        <v>15</v>
      </c>
      <c r="G1664" cm="1">
        <f t="array" ref="G1664">IF($Q1664&gt;=0,IFERROR(generateSalesData($D1664, IF(ISNUMBER(_xlfn.XLOOKUP($C1664,Phone_by_Sentiment!$B$2:$B$37,Phone_by_Sentiment!G$2:G$37,"",0,1)),_xlfn.XLOOKUP($C1664,Phone_by_Sentiment!$B$2:$B$37,Phone_by_Sentiment!G$2:G$37,"",0,1),0),$A1664-TEXT(DATEVALUE($D1664&amp;"-01"), "dd-mm-yyyy")),0),0)</f>
        <v>115</v>
      </c>
      <c r="H1664" cm="1">
        <f t="array" ref="H1664">IF($Q1664&gt;=0,IFERROR(generateSalesData($D1664, IF(ISNUMBER(_xlfn.XLOOKUP($C1664,Phone_by_Sentiment!$B$2:$B$37,Phone_by_Sentiment!H$2:H$37,"",0,1)),_xlfn.XLOOKUP($C1664,Phone_by_Sentiment!$B$2:$B$37,Phone_by_Sentiment!H$2:H$37,"",0,1),0),$A1664-TEXT(DATEVALUE($D1664&amp;"-01"), "dd-mm-yyyy")),0),0)</f>
        <v>346</v>
      </c>
      <c r="I1664" cm="1">
        <f t="array" ref="I1664">IF($Q1664&gt;=0,IFERROR(generateSalesData($D1664, IF(ISNUMBER(_xlfn.XLOOKUP($C1664,Phone_by_Sentiment!$B$2:$B$37,Phone_by_Sentiment!I$2:I$37,"",0,1)),_xlfn.XLOOKUP($C1664,Phone_by_Sentiment!$B$2:$B$37,Phone_by_Sentiment!I$2:I$37,"",0,1),0),$A1664-TEXT(DATEVALUE($D1664&amp;"-01"), "dd-mm-yyyy")),0),0)</f>
        <v>111</v>
      </c>
      <c r="J1664" cm="1">
        <f t="array" ref="J1664">IF($Q1664&gt;=0,IFERROR(generateSalesData($D1664, IF(ISNUMBER(_xlfn.XLOOKUP($C1664,Phone_by_Sentiment!$B$2:$B$37,Phone_by_Sentiment!J$2:J$37,"",0,1)),_xlfn.XLOOKUP($C1664,Phone_by_Sentiment!$B$2:$B$37,Phone_by_Sentiment!J$2:J$37,"",0,1),0),$A1664-TEXT(DATEVALUE($D1664&amp;"-01"), "dd-mm-yyyy")),0),0)</f>
        <v>32</v>
      </c>
      <c r="K1664" cm="1">
        <f t="array" ref="K1664">IF($Q1664&gt;=0,IFERROR(generateSalesData($D1664, IF(ISNUMBER(_xlfn.XLOOKUP($C1664,Phone_by_Sentiment!$B$2:$B$37,Phone_by_Sentiment!K$2:K$37,"",0,1)),_xlfn.XLOOKUP($C1664,Phone_by_Sentiment!$B$2:$B$37,Phone_by_Sentiment!K$2:K$37,"",0,1),0),$A1664-TEXT(DATEVALUE($D1664&amp;"-01"), "dd-mm-yyyy")),0),0)</f>
        <v>300</v>
      </c>
      <c r="L1664" cm="1">
        <f t="array" ref="L1664">IF($Q1664&gt;=0,IFERROR(generateSalesData($D1664, IF(ISNUMBER(_xlfn.XLOOKUP($C1664,Phone_by_Sentiment!$B$2:$B$37,Phone_by_Sentiment!L$2:L$37,"",0,1)),_xlfn.XLOOKUP($C1664,Phone_by_Sentiment!$B$2:$B$37,Phone_by_Sentiment!L$2:L$37,"",0,1),0),$A1664-TEXT(DATEVALUE($D1664&amp;"-01"), "dd-mm-yyyy")),0),0)</f>
        <v>86</v>
      </c>
      <c r="M1664" cm="1">
        <f t="array" ref="M1664">IF($Q1664&gt;=0,IFERROR(generateSalesData($D1664, IF(ISNUMBER(_xlfn.XLOOKUP($C1664,Phone_by_Sentiment!$B$2:$B$37,Phone_by_Sentiment!M$2:M$37,"",0,1)),_xlfn.XLOOKUP($C1664,Phone_by_Sentiment!$B$2:$B$37,Phone_by_Sentiment!M$2:M$37,"",0,1),0),$A1664-TEXT(DATEVALUE($D1664&amp;"-01"), "dd-mm-yyyy")),0),0)</f>
        <v>218</v>
      </c>
      <c r="N1664" cm="1">
        <f t="array" ref="N1664">IF($Q1664&gt;=0,IFERROR(generateSalesData($D1664, IF(ISNUMBER(_xlfn.XLOOKUP($C1664,Phone_by_Sentiment!$B$2:$B$37,Phone_by_Sentiment!N$2:N$37,"",0,1)),_xlfn.XLOOKUP($C1664,Phone_by_Sentiment!$B$2:$B$37,Phone_by_Sentiment!N$2:N$37,"",0,1),0),$A1664-TEXT(DATEVALUE($D1664&amp;"-01"), "dd-mm-yyyy")),0),0)</f>
        <v>102</v>
      </c>
      <c r="O1664" cm="1">
        <f t="array" ref="O1664">IF($Q1664&gt;=0,IFERROR(generateSalesData($D1664, IF(ISNUMBER(_xlfn.XLOOKUP($C1664,Phone_by_Sentiment!$B$2:$B$37,Phone_by_Sentiment!O$2:O$37,"",0,1)),_xlfn.XLOOKUP($C1664,Phone_by_Sentiment!$B$2:$B$37,Phone_by_Sentiment!O$2:O$37,"",0,1),0),$A1664-TEXT(DATEVALUE($D1664&amp;"-01"), "dd-mm-yyyy")),0),0)</f>
        <v>214</v>
      </c>
      <c r="P1664" s="1">
        <f t="shared" si="64"/>
        <v>44044</v>
      </c>
      <c r="Q1664">
        <f t="shared" si="66"/>
        <v>852</v>
      </c>
    </row>
    <row r="1665" spans="1:17" x14ac:dyDescent="0.25">
      <c r="A1665" s="1">
        <f t="shared" si="65"/>
        <v>44896</v>
      </c>
      <c r="B1665" t="s">
        <v>163</v>
      </c>
      <c r="C1665" t="str">
        <f>_xlfn.XLOOKUP(B1665,Phone_by_Price!$A$2:$A$34,Phone_by_Price!$B$2:$B$34,"-",0,1)</f>
        <v>OPPO A93</v>
      </c>
      <c r="D1665" t="str">
        <f>_xlfn.XLOOKUP(C1665,Phone_by_Sentiment!$B$2:$B$37,Phone_by_Sentiment!$A$2:$A$37,"-",0,1)</f>
        <v>2021-02</v>
      </c>
      <c r="E1665" cm="1">
        <f t="array" ref="E1665">IF($Q1665&gt;=0,IFERROR(generateSalesData($D1665, IF(ISNUMBER(_xlfn.XLOOKUP($C1665,Phone_by_Sentiment!$B$2:$B$37,Phone_by_Sentiment!E$2:E$37,"",0,1)),_xlfn.XLOOKUP($C1665,Phone_by_Sentiment!$B$2:$B$37,Phone_by_Sentiment!E$2:E$37,"",0,1),0),$A1665-TEXT(DATEVALUE($D1665&amp;"-01"), "dd-mm-yyyy")),0),0)</f>
        <v>203</v>
      </c>
      <c r="F1665" cm="1">
        <f t="array" ref="F1665">IF($Q1665&gt;=0,IFERROR(generateSalesData($D1665, IF(ISNUMBER(_xlfn.XLOOKUP($C1665,Phone_by_Sentiment!$B$2:$B$37,Phone_by_Sentiment!F$2:F$37,"",0,1)),_xlfn.XLOOKUP($C1665,Phone_by_Sentiment!$B$2:$B$37,Phone_by_Sentiment!F$2:F$37,"",0,1),0),$A1665-TEXT(DATEVALUE($D1665&amp;"-01"), "dd-mm-yyyy")),0),0)</f>
        <v>118</v>
      </c>
      <c r="G1665" cm="1">
        <f t="array" ref="G1665">IF($Q1665&gt;=0,IFERROR(generateSalesData($D1665, IF(ISNUMBER(_xlfn.XLOOKUP($C1665,Phone_by_Sentiment!$B$2:$B$37,Phone_by_Sentiment!G$2:G$37,"",0,1)),_xlfn.XLOOKUP($C1665,Phone_by_Sentiment!$B$2:$B$37,Phone_by_Sentiment!G$2:G$37,"",0,1),0),$A1665-TEXT(DATEVALUE($D1665&amp;"-01"), "dd-mm-yyyy")),0),0)</f>
        <v>137</v>
      </c>
      <c r="H1665" cm="1">
        <f t="array" ref="H1665">IF($Q1665&gt;=0,IFERROR(generateSalesData($D1665, IF(ISNUMBER(_xlfn.XLOOKUP($C1665,Phone_by_Sentiment!$B$2:$B$37,Phone_by_Sentiment!H$2:H$37,"",0,1)),_xlfn.XLOOKUP($C1665,Phone_by_Sentiment!$B$2:$B$37,Phone_by_Sentiment!H$2:H$37,"",0,1),0),$A1665-TEXT(DATEVALUE($D1665&amp;"-01"), "dd-mm-yyyy")),0),0)</f>
        <v>474</v>
      </c>
      <c r="I1665" cm="1">
        <f t="array" ref="I1665">IF($Q1665&gt;=0,IFERROR(generateSalesData($D1665, IF(ISNUMBER(_xlfn.XLOOKUP($C1665,Phone_by_Sentiment!$B$2:$B$37,Phone_by_Sentiment!I$2:I$37,"",0,1)),_xlfn.XLOOKUP($C1665,Phone_by_Sentiment!$B$2:$B$37,Phone_by_Sentiment!I$2:I$37,"",0,1),0),$A1665-TEXT(DATEVALUE($D1665&amp;"-01"), "dd-mm-yyyy")),0),0)</f>
        <v>466</v>
      </c>
      <c r="J1665" cm="1">
        <f t="array" ref="J1665">IF($Q1665&gt;=0,IFERROR(generateSalesData($D1665, IF(ISNUMBER(_xlfn.XLOOKUP($C1665,Phone_by_Sentiment!$B$2:$B$37,Phone_by_Sentiment!J$2:J$37,"",0,1)),_xlfn.XLOOKUP($C1665,Phone_by_Sentiment!$B$2:$B$37,Phone_by_Sentiment!J$2:J$37,"",0,1),0),$A1665-TEXT(DATEVALUE($D1665&amp;"-01"), "dd-mm-yyyy")),0),0)</f>
        <v>76</v>
      </c>
      <c r="K1665" cm="1">
        <f t="array" ref="K1665">IF($Q1665&gt;=0,IFERROR(generateSalesData($D1665, IF(ISNUMBER(_xlfn.XLOOKUP($C1665,Phone_by_Sentiment!$B$2:$B$37,Phone_by_Sentiment!K$2:K$37,"",0,1)),_xlfn.XLOOKUP($C1665,Phone_by_Sentiment!$B$2:$B$37,Phone_by_Sentiment!K$2:K$37,"",0,1),0),$A1665-TEXT(DATEVALUE($D1665&amp;"-01"), "dd-mm-yyyy")),0),0)</f>
        <v>103</v>
      </c>
      <c r="L1665" cm="1">
        <f t="array" ref="L1665">IF($Q1665&gt;=0,IFERROR(generateSalesData($D1665, IF(ISNUMBER(_xlfn.XLOOKUP($C1665,Phone_by_Sentiment!$B$2:$B$37,Phone_by_Sentiment!L$2:L$37,"",0,1)),_xlfn.XLOOKUP($C1665,Phone_by_Sentiment!$B$2:$B$37,Phone_by_Sentiment!L$2:L$37,"",0,1),0),$A1665-TEXT(DATEVALUE($D1665&amp;"-01"), "dd-mm-yyyy")),0),0)</f>
        <v>56</v>
      </c>
      <c r="M1665" cm="1">
        <f t="array" ref="M1665">IF($Q1665&gt;=0,IFERROR(generateSalesData($D1665, IF(ISNUMBER(_xlfn.XLOOKUP($C1665,Phone_by_Sentiment!$B$2:$B$37,Phone_by_Sentiment!M$2:M$37,"",0,1)),_xlfn.XLOOKUP($C1665,Phone_by_Sentiment!$B$2:$B$37,Phone_by_Sentiment!M$2:M$37,"",0,1),0),$A1665-TEXT(DATEVALUE($D1665&amp;"-01"), "dd-mm-yyyy")),0),0)</f>
        <v>265</v>
      </c>
      <c r="N1665" cm="1">
        <f t="array" ref="N1665">IF($Q1665&gt;=0,IFERROR(generateSalesData($D1665, IF(ISNUMBER(_xlfn.XLOOKUP($C1665,Phone_by_Sentiment!$B$2:$B$37,Phone_by_Sentiment!N$2:N$37,"",0,1)),_xlfn.XLOOKUP($C1665,Phone_by_Sentiment!$B$2:$B$37,Phone_by_Sentiment!N$2:N$37,"",0,1),0),$A1665-TEXT(DATEVALUE($D1665&amp;"-01"), "dd-mm-yyyy")),0),0)</f>
        <v>229</v>
      </c>
      <c r="O1665" cm="1">
        <f t="array" ref="O1665">IF($Q1665&gt;=0,IFERROR(generateSalesData($D1665, IF(ISNUMBER(_xlfn.XLOOKUP($C1665,Phone_by_Sentiment!$B$2:$B$37,Phone_by_Sentiment!O$2:O$37,"",0,1)),_xlfn.XLOOKUP($C1665,Phone_by_Sentiment!$B$2:$B$37,Phone_by_Sentiment!O$2:O$37,"",0,1),0),$A1665-TEXT(DATEVALUE($D1665&amp;"-01"), "dd-mm-yyyy")),0),0)</f>
        <v>119</v>
      </c>
      <c r="P1665" s="1">
        <f t="shared" si="64"/>
        <v>44228</v>
      </c>
      <c r="Q1665">
        <f t="shared" si="66"/>
        <v>668</v>
      </c>
    </row>
    <row r="1666" spans="1:17" x14ac:dyDescent="0.25">
      <c r="A1666" s="1">
        <f t="shared" si="65"/>
        <v>44896</v>
      </c>
      <c r="B1666" t="s">
        <v>164</v>
      </c>
      <c r="C1666" t="str">
        <f>_xlfn.XLOOKUP(B1666,Phone_by_Price!$A$2:$A$34,Phone_by_Price!$B$2:$B$34,"-",0,1)</f>
        <v>Vivo V20</v>
      </c>
      <c r="D1666" t="str">
        <f>_xlfn.XLOOKUP(C1666,Phone_by_Sentiment!$B$2:$B$37,Phone_by_Sentiment!$A$2:$A$37,"-",0,1)</f>
        <v>2020-10</v>
      </c>
      <c r="E1666" cm="1">
        <f t="array" ref="E1666">IF($Q1666&gt;=0,IFERROR(generateSalesData($D1666, IF(ISNUMBER(_xlfn.XLOOKUP($C1666,Phone_by_Sentiment!$B$2:$B$37,Phone_by_Sentiment!E$2:E$37,"",0,1)),_xlfn.XLOOKUP($C1666,Phone_by_Sentiment!$B$2:$B$37,Phone_by_Sentiment!E$2:E$37,"",0,1),0),$A1666-TEXT(DATEVALUE($D1666&amp;"-01"), "dd-mm-yyyy")),0),0)</f>
        <v>330</v>
      </c>
      <c r="F1666" cm="1">
        <f t="array" ref="F1666">IF($Q1666&gt;=0,IFERROR(generateSalesData($D1666, IF(ISNUMBER(_xlfn.XLOOKUP($C1666,Phone_by_Sentiment!$B$2:$B$37,Phone_by_Sentiment!F$2:F$37,"",0,1)),_xlfn.XLOOKUP($C1666,Phone_by_Sentiment!$B$2:$B$37,Phone_by_Sentiment!F$2:F$37,"",0,1),0),$A1666-TEXT(DATEVALUE($D1666&amp;"-01"), "dd-mm-yyyy")),0),0)</f>
        <v>107</v>
      </c>
      <c r="G1666" cm="1">
        <f t="array" ref="G1666">IF($Q1666&gt;=0,IFERROR(generateSalesData($D1666, IF(ISNUMBER(_xlfn.XLOOKUP($C1666,Phone_by_Sentiment!$B$2:$B$37,Phone_by_Sentiment!G$2:G$37,"",0,1)),_xlfn.XLOOKUP($C1666,Phone_by_Sentiment!$B$2:$B$37,Phone_by_Sentiment!G$2:G$37,"",0,1),0),$A1666-TEXT(DATEVALUE($D1666&amp;"-01"), "dd-mm-yyyy")),0),0)</f>
        <v>81</v>
      </c>
      <c r="H1666" cm="1">
        <f t="array" ref="H1666">IF($Q1666&gt;=0,IFERROR(generateSalesData($D1666, IF(ISNUMBER(_xlfn.XLOOKUP($C1666,Phone_by_Sentiment!$B$2:$B$37,Phone_by_Sentiment!H$2:H$37,"",0,1)),_xlfn.XLOOKUP($C1666,Phone_by_Sentiment!$B$2:$B$37,Phone_by_Sentiment!H$2:H$37,"",0,1),0),$A1666-TEXT(DATEVALUE($D1666&amp;"-01"), "dd-mm-yyyy")),0),0)</f>
        <v>53</v>
      </c>
      <c r="I1666" cm="1">
        <f t="array" ref="I1666">IF($Q1666&gt;=0,IFERROR(generateSalesData($D1666, IF(ISNUMBER(_xlfn.XLOOKUP($C1666,Phone_by_Sentiment!$B$2:$B$37,Phone_by_Sentiment!I$2:I$37,"",0,1)),_xlfn.XLOOKUP($C1666,Phone_by_Sentiment!$B$2:$B$37,Phone_by_Sentiment!I$2:I$37,"",0,1),0),$A1666-TEXT(DATEVALUE($D1666&amp;"-01"), "dd-mm-yyyy")),0),0)</f>
        <v>100</v>
      </c>
      <c r="J1666" cm="1">
        <f t="array" ref="J1666">IF($Q1666&gt;=0,IFERROR(generateSalesData($D1666, IF(ISNUMBER(_xlfn.XLOOKUP($C1666,Phone_by_Sentiment!$B$2:$B$37,Phone_by_Sentiment!J$2:J$37,"",0,1)),_xlfn.XLOOKUP($C1666,Phone_by_Sentiment!$B$2:$B$37,Phone_by_Sentiment!J$2:J$37,"",0,1),0),$A1666-TEXT(DATEVALUE($D1666&amp;"-01"), "dd-mm-yyyy")),0),0)</f>
        <v>42</v>
      </c>
      <c r="K1666" cm="1">
        <f t="array" ref="K1666">IF($Q1666&gt;=0,IFERROR(generateSalesData($D1666, IF(ISNUMBER(_xlfn.XLOOKUP($C1666,Phone_by_Sentiment!$B$2:$B$37,Phone_by_Sentiment!K$2:K$37,"",0,1)),_xlfn.XLOOKUP($C1666,Phone_by_Sentiment!$B$2:$B$37,Phone_by_Sentiment!K$2:K$37,"",0,1),0),$A1666-TEXT(DATEVALUE($D1666&amp;"-01"), "dd-mm-yyyy")),0),0)</f>
        <v>77</v>
      </c>
      <c r="L1666" cm="1">
        <f t="array" ref="L1666">IF($Q1666&gt;=0,IFERROR(generateSalesData($D1666, IF(ISNUMBER(_xlfn.XLOOKUP($C1666,Phone_by_Sentiment!$B$2:$B$37,Phone_by_Sentiment!L$2:L$37,"",0,1)),_xlfn.XLOOKUP($C1666,Phone_by_Sentiment!$B$2:$B$37,Phone_by_Sentiment!L$2:L$37,"",0,1),0),$A1666-TEXT(DATEVALUE($D1666&amp;"-01"), "dd-mm-yyyy")),0),0)</f>
        <v>48</v>
      </c>
      <c r="M1666" cm="1">
        <f t="array" ref="M1666">IF($Q1666&gt;=0,IFERROR(generateSalesData($D1666, IF(ISNUMBER(_xlfn.XLOOKUP($C1666,Phone_by_Sentiment!$B$2:$B$37,Phone_by_Sentiment!M$2:M$37,"",0,1)),_xlfn.XLOOKUP($C1666,Phone_by_Sentiment!$B$2:$B$37,Phone_by_Sentiment!M$2:M$37,"",0,1),0),$A1666-TEXT(DATEVALUE($D1666&amp;"-01"), "dd-mm-yyyy")),0),0)</f>
        <v>61</v>
      </c>
      <c r="N1666" cm="1">
        <f t="array" ref="N1666">IF($Q1666&gt;=0,IFERROR(generateSalesData($D1666, IF(ISNUMBER(_xlfn.XLOOKUP($C1666,Phone_by_Sentiment!$B$2:$B$37,Phone_by_Sentiment!N$2:N$37,"",0,1)),_xlfn.XLOOKUP($C1666,Phone_by_Sentiment!$B$2:$B$37,Phone_by_Sentiment!N$2:N$37,"",0,1),0),$A1666-TEXT(DATEVALUE($D1666&amp;"-01"), "dd-mm-yyyy")),0),0)</f>
        <v>111</v>
      </c>
      <c r="O1666" cm="1">
        <f t="array" ref="O1666">IF($Q1666&gt;=0,IFERROR(generateSalesData($D1666, IF(ISNUMBER(_xlfn.XLOOKUP($C1666,Phone_by_Sentiment!$B$2:$B$37,Phone_by_Sentiment!O$2:O$37,"",0,1)),_xlfn.XLOOKUP($C1666,Phone_by_Sentiment!$B$2:$B$37,Phone_by_Sentiment!O$2:O$37,"",0,1),0),$A1666-TEXT(DATEVALUE($D1666&amp;"-01"), "dd-mm-yyyy")),0),0)</f>
        <v>78</v>
      </c>
      <c r="P1666" s="1">
        <f t="shared" si="64"/>
        <v>44105</v>
      </c>
      <c r="Q1666">
        <f t="shared" si="66"/>
        <v>791</v>
      </c>
    </row>
    <row r="1667" spans="1:17" x14ac:dyDescent="0.25">
      <c r="A1667" s="1">
        <f t="shared" si="65"/>
        <v>44896</v>
      </c>
      <c r="B1667" t="s">
        <v>165</v>
      </c>
      <c r="C1667" t="str">
        <f>_xlfn.XLOOKUP(B1667,Phone_by_Price!$A$2:$A$34,Phone_by_Price!$B$2:$B$34,"-",0,1)</f>
        <v>Samsung Galaxy A50</v>
      </c>
      <c r="D1667" t="str">
        <f>_xlfn.XLOOKUP(C1667,Phone_by_Sentiment!$B$2:$B$37,Phone_by_Sentiment!$A$2:$A$37,"-",0,1)</f>
        <v>2019-05</v>
      </c>
      <c r="E1667" cm="1">
        <f t="array" ref="E1667">IF($Q1667&gt;=0,IFERROR(generateSalesData($D1667, IF(ISNUMBER(_xlfn.XLOOKUP($C1667,Phone_by_Sentiment!$B$2:$B$37,Phone_by_Sentiment!E$2:E$37,"",0,1)),_xlfn.XLOOKUP($C1667,Phone_by_Sentiment!$B$2:$B$37,Phone_by_Sentiment!E$2:E$37,"",0,1),0),$A1667-TEXT(DATEVALUE($D1667&amp;"-01"), "dd-mm-yyyy")),0),0)</f>
        <v>186</v>
      </c>
      <c r="F1667" cm="1">
        <f t="array" ref="F1667">IF($Q1667&gt;=0,IFERROR(generateSalesData($D1667, IF(ISNUMBER(_xlfn.XLOOKUP($C1667,Phone_by_Sentiment!$B$2:$B$37,Phone_by_Sentiment!F$2:F$37,"",0,1)),_xlfn.XLOOKUP($C1667,Phone_by_Sentiment!$B$2:$B$37,Phone_by_Sentiment!F$2:F$37,"",0,1),0),$A1667-TEXT(DATEVALUE($D1667&amp;"-01"), "dd-mm-yyyy")),0),0)</f>
        <v>11</v>
      </c>
      <c r="G1667" cm="1">
        <f t="array" ref="G1667">IF($Q1667&gt;=0,IFERROR(generateSalesData($D1667, IF(ISNUMBER(_xlfn.XLOOKUP($C1667,Phone_by_Sentiment!$B$2:$B$37,Phone_by_Sentiment!G$2:G$37,"",0,1)),_xlfn.XLOOKUP($C1667,Phone_by_Sentiment!$B$2:$B$37,Phone_by_Sentiment!G$2:G$37,"",0,1),0),$A1667-TEXT(DATEVALUE($D1667&amp;"-01"), "dd-mm-yyyy")),0),0)</f>
        <v>59</v>
      </c>
      <c r="H1667" cm="1">
        <f t="array" ref="H1667">IF($Q1667&gt;=0,IFERROR(generateSalesData($D1667, IF(ISNUMBER(_xlfn.XLOOKUP($C1667,Phone_by_Sentiment!$B$2:$B$37,Phone_by_Sentiment!H$2:H$37,"",0,1)),_xlfn.XLOOKUP($C1667,Phone_by_Sentiment!$B$2:$B$37,Phone_by_Sentiment!H$2:H$37,"",0,1),0),$A1667-TEXT(DATEVALUE($D1667&amp;"-01"), "dd-mm-yyyy")),0),0)</f>
        <v>155</v>
      </c>
      <c r="I1667" cm="1">
        <f t="array" ref="I1667">IF($Q1667&gt;=0,IFERROR(generateSalesData($D1667, IF(ISNUMBER(_xlfn.XLOOKUP($C1667,Phone_by_Sentiment!$B$2:$B$37,Phone_by_Sentiment!I$2:I$37,"",0,1)),_xlfn.XLOOKUP($C1667,Phone_by_Sentiment!$B$2:$B$37,Phone_by_Sentiment!I$2:I$37,"",0,1),0),$A1667-TEXT(DATEVALUE($D1667&amp;"-01"), "dd-mm-yyyy")),0),0)</f>
        <v>71</v>
      </c>
      <c r="J1667" cm="1">
        <f t="array" ref="J1667">IF($Q1667&gt;=0,IFERROR(generateSalesData($D1667, IF(ISNUMBER(_xlfn.XLOOKUP($C1667,Phone_by_Sentiment!$B$2:$B$37,Phone_by_Sentiment!J$2:J$37,"",0,1)),_xlfn.XLOOKUP($C1667,Phone_by_Sentiment!$B$2:$B$37,Phone_by_Sentiment!J$2:J$37,"",0,1),0),$A1667-TEXT(DATEVALUE($D1667&amp;"-01"), "dd-mm-yyyy")),0),0)</f>
        <v>19</v>
      </c>
      <c r="K1667" cm="1">
        <f t="array" ref="K1667">IF($Q1667&gt;=0,IFERROR(generateSalesData($D1667, IF(ISNUMBER(_xlfn.XLOOKUP($C1667,Phone_by_Sentiment!$B$2:$B$37,Phone_by_Sentiment!K$2:K$37,"",0,1)),_xlfn.XLOOKUP($C1667,Phone_by_Sentiment!$B$2:$B$37,Phone_by_Sentiment!K$2:K$37,"",0,1),0),$A1667-TEXT(DATEVALUE($D1667&amp;"-01"), "dd-mm-yyyy")),0),0)</f>
        <v>58</v>
      </c>
      <c r="L1667" cm="1">
        <f t="array" ref="L1667">IF($Q1667&gt;=0,IFERROR(generateSalesData($D1667, IF(ISNUMBER(_xlfn.XLOOKUP($C1667,Phone_by_Sentiment!$B$2:$B$37,Phone_by_Sentiment!L$2:L$37,"",0,1)),_xlfn.XLOOKUP($C1667,Phone_by_Sentiment!$B$2:$B$37,Phone_by_Sentiment!L$2:L$37,"",0,1),0),$A1667-TEXT(DATEVALUE($D1667&amp;"-01"), "dd-mm-yyyy")),0),0)</f>
        <v>148</v>
      </c>
      <c r="M1667" cm="1">
        <f t="array" ref="M1667">IF($Q1667&gt;=0,IFERROR(generateSalesData($D1667, IF(ISNUMBER(_xlfn.XLOOKUP($C1667,Phone_by_Sentiment!$B$2:$B$37,Phone_by_Sentiment!M$2:M$37,"",0,1)),_xlfn.XLOOKUP($C1667,Phone_by_Sentiment!$B$2:$B$37,Phone_by_Sentiment!M$2:M$37,"",0,1),0),$A1667-TEXT(DATEVALUE($D1667&amp;"-01"), "dd-mm-yyyy")),0),0)</f>
        <v>48</v>
      </c>
      <c r="N1667" cm="1">
        <f t="array" ref="N1667">IF($Q1667&gt;=0,IFERROR(generateSalesData($D1667, IF(ISNUMBER(_xlfn.XLOOKUP($C1667,Phone_by_Sentiment!$B$2:$B$37,Phone_by_Sentiment!N$2:N$37,"",0,1)),_xlfn.XLOOKUP($C1667,Phone_by_Sentiment!$B$2:$B$37,Phone_by_Sentiment!N$2:N$37,"",0,1),0),$A1667-TEXT(DATEVALUE($D1667&amp;"-01"), "dd-mm-yyyy")),0),0)</f>
        <v>157</v>
      </c>
      <c r="O1667" cm="1">
        <f t="array" ref="O1667">IF($Q1667&gt;=0,IFERROR(generateSalesData($D1667, IF(ISNUMBER(_xlfn.XLOOKUP($C1667,Phone_by_Sentiment!$B$2:$B$37,Phone_by_Sentiment!O$2:O$37,"",0,1)),_xlfn.XLOOKUP($C1667,Phone_by_Sentiment!$B$2:$B$37,Phone_by_Sentiment!O$2:O$37,"",0,1),0),$A1667-TEXT(DATEVALUE($D1667&amp;"-01"), "dd-mm-yyyy")),0),0)</f>
        <v>15</v>
      </c>
      <c r="P1667" s="1">
        <f t="shared" ref="P1667:P1680" si="67">DATEVALUE($D1667&amp;"-01")</f>
        <v>43586</v>
      </c>
      <c r="Q1667">
        <f t="shared" si="66"/>
        <v>1310</v>
      </c>
    </row>
    <row r="1668" spans="1:17" x14ac:dyDescent="0.25">
      <c r="A1668" s="1">
        <f t="shared" ref="A1668:A1705" si="68">DATE(YEAR($A$1), MONTH($A$1) + INT((ROW()-1)/35), DAY($A$1))</f>
        <v>44896</v>
      </c>
      <c r="B1668" t="s">
        <v>166</v>
      </c>
      <c r="C1668" t="str">
        <f>_xlfn.XLOOKUP(B1668,Phone_by_Price!$A$2:$A$34,Phone_by_Price!$B$2:$B$34,"-",0,1)</f>
        <v>Xiaomi Redmi Note 7</v>
      </c>
      <c r="D1668" t="str">
        <f>_xlfn.XLOOKUP(C1668,Phone_by_Sentiment!$B$2:$B$37,Phone_by_Sentiment!$A$2:$A$37,"-",0,1)</f>
        <v>2019-08</v>
      </c>
      <c r="E1668" cm="1">
        <f t="array" ref="E1668">IF($Q1668&gt;=0,IFERROR(generateSalesData($D1668, IF(ISNUMBER(_xlfn.XLOOKUP($C1668,Phone_by_Sentiment!$B$2:$B$37,Phone_by_Sentiment!E$2:E$37,"",0,1)),_xlfn.XLOOKUP($C1668,Phone_by_Sentiment!$B$2:$B$37,Phone_by_Sentiment!E$2:E$37,"",0,1),0),$A1668-TEXT(DATEVALUE($D1668&amp;"-01"), "dd-mm-yyyy")),0),0)</f>
        <v>61</v>
      </c>
      <c r="F1668" cm="1">
        <f t="array" ref="F1668">IF($Q1668&gt;=0,IFERROR(generateSalesData($D1668, IF(ISNUMBER(_xlfn.XLOOKUP($C1668,Phone_by_Sentiment!$B$2:$B$37,Phone_by_Sentiment!F$2:F$37,"",0,1)),_xlfn.XLOOKUP($C1668,Phone_by_Sentiment!$B$2:$B$37,Phone_by_Sentiment!F$2:F$37,"",0,1),0),$A1668-TEXT(DATEVALUE($D1668&amp;"-01"), "dd-mm-yyyy")),0),0)</f>
        <v>-1</v>
      </c>
      <c r="G1668" cm="1">
        <f t="array" ref="G1668">IF($Q1668&gt;=0,IFERROR(generateSalesData($D1668, IF(ISNUMBER(_xlfn.XLOOKUP($C1668,Phone_by_Sentiment!$B$2:$B$37,Phone_by_Sentiment!G$2:G$37,"",0,1)),_xlfn.XLOOKUP($C1668,Phone_by_Sentiment!$B$2:$B$37,Phone_by_Sentiment!G$2:G$37,"",0,1),0),$A1668-TEXT(DATEVALUE($D1668&amp;"-01"), "dd-mm-yyyy")),0),0)</f>
        <v>64</v>
      </c>
      <c r="H1668" cm="1">
        <f t="array" ref="H1668">IF($Q1668&gt;=0,IFERROR(generateSalesData($D1668, IF(ISNUMBER(_xlfn.XLOOKUP($C1668,Phone_by_Sentiment!$B$2:$B$37,Phone_by_Sentiment!H$2:H$37,"",0,1)),_xlfn.XLOOKUP($C1668,Phone_by_Sentiment!$B$2:$B$37,Phone_by_Sentiment!H$2:H$37,"",0,1),0),$A1668-TEXT(DATEVALUE($D1668&amp;"-01"), "dd-mm-yyyy")),0),0)</f>
        <v>285</v>
      </c>
      <c r="I1668" cm="1">
        <f t="array" ref="I1668">IF($Q1668&gt;=0,IFERROR(generateSalesData($D1668, IF(ISNUMBER(_xlfn.XLOOKUP($C1668,Phone_by_Sentiment!$B$2:$B$37,Phone_by_Sentiment!I$2:I$37,"",0,1)),_xlfn.XLOOKUP($C1668,Phone_by_Sentiment!$B$2:$B$37,Phone_by_Sentiment!I$2:I$37,"",0,1),0),$A1668-TEXT(DATEVALUE($D1668&amp;"-01"), "dd-mm-yyyy")),0),0)</f>
        <v>74</v>
      </c>
      <c r="J1668" cm="1">
        <f t="array" ref="J1668">IF($Q1668&gt;=0,IFERROR(generateSalesData($D1668, IF(ISNUMBER(_xlfn.XLOOKUP($C1668,Phone_by_Sentiment!$B$2:$B$37,Phone_by_Sentiment!J$2:J$37,"",0,1)),_xlfn.XLOOKUP($C1668,Phone_by_Sentiment!$B$2:$B$37,Phone_by_Sentiment!J$2:J$37,"",0,1),0),$A1668-TEXT(DATEVALUE($D1668&amp;"-01"), "dd-mm-yyyy")),0),0)</f>
        <v>3</v>
      </c>
      <c r="K1668" cm="1">
        <f t="array" ref="K1668">IF($Q1668&gt;=0,IFERROR(generateSalesData($D1668, IF(ISNUMBER(_xlfn.XLOOKUP($C1668,Phone_by_Sentiment!$B$2:$B$37,Phone_by_Sentiment!K$2:K$37,"",0,1)),_xlfn.XLOOKUP($C1668,Phone_by_Sentiment!$B$2:$B$37,Phone_by_Sentiment!K$2:K$37,"",0,1),0),$A1668-TEXT(DATEVALUE($D1668&amp;"-01"), "dd-mm-yyyy")),0),0)</f>
        <v>179</v>
      </c>
      <c r="L1668" cm="1">
        <f t="array" ref="L1668">IF($Q1668&gt;=0,IFERROR(generateSalesData($D1668, IF(ISNUMBER(_xlfn.XLOOKUP($C1668,Phone_by_Sentiment!$B$2:$B$37,Phone_by_Sentiment!L$2:L$37,"",0,1)),_xlfn.XLOOKUP($C1668,Phone_by_Sentiment!$B$2:$B$37,Phone_by_Sentiment!L$2:L$37,"",0,1),0),$A1668-TEXT(DATEVALUE($D1668&amp;"-01"), "dd-mm-yyyy")),0),0)</f>
        <v>84</v>
      </c>
      <c r="M1668" cm="1">
        <f t="array" ref="M1668">IF($Q1668&gt;=0,IFERROR(generateSalesData($D1668, IF(ISNUMBER(_xlfn.XLOOKUP($C1668,Phone_by_Sentiment!$B$2:$B$37,Phone_by_Sentiment!M$2:M$37,"",0,1)),_xlfn.XLOOKUP($C1668,Phone_by_Sentiment!$B$2:$B$37,Phone_by_Sentiment!M$2:M$37,"",0,1),0),$A1668-TEXT(DATEVALUE($D1668&amp;"-01"), "dd-mm-yyyy")),0),0)</f>
        <v>62</v>
      </c>
      <c r="N1668" cm="1">
        <f t="array" ref="N1668">IF($Q1668&gt;=0,IFERROR(generateSalesData($D1668, IF(ISNUMBER(_xlfn.XLOOKUP($C1668,Phone_by_Sentiment!$B$2:$B$37,Phone_by_Sentiment!N$2:N$37,"",0,1)),_xlfn.XLOOKUP($C1668,Phone_by_Sentiment!$B$2:$B$37,Phone_by_Sentiment!N$2:N$37,"",0,1),0),$A1668-TEXT(DATEVALUE($D1668&amp;"-01"), "dd-mm-yyyy")),0),0)</f>
        <v>74</v>
      </c>
      <c r="O1668" cm="1">
        <f t="array" ref="O1668">IF($Q1668&gt;=0,IFERROR(generateSalesData($D1668, IF(ISNUMBER(_xlfn.XLOOKUP($C1668,Phone_by_Sentiment!$B$2:$B$37,Phone_by_Sentiment!O$2:O$37,"",0,1)),_xlfn.XLOOKUP($C1668,Phone_by_Sentiment!$B$2:$B$37,Phone_by_Sentiment!O$2:O$37,"",0,1),0),$A1668-TEXT(DATEVALUE($D1668&amp;"-01"), "dd-mm-yyyy")),0),0)</f>
        <v>201</v>
      </c>
      <c r="P1668" s="1">
        <f t="shared" si="67"/>
        <v>43678</v>
      </c>
      <c r="Q1668">
        <f t="shared" ref="Q1668:Q1680" si="69">A1668-P1668</f>
        <v>1218</v>
      </c>
    </row>
    <row r="1669" spans="1:17" x14ac:dyDescent="0.25">
      <c r="A1669" s="1">
        <f t="shared" si="68"/>
        <v>44896</v>
      </c>
      <c r="B1669" t="s">
        <v>167</v>
      </c>
      <c r="C1669" t="str">
        <f>_xlfn.XLOOKUP(B1669,Phone_by_Price!$A$2:$A$34,Phone_by_Price!$B$2:$B$34,"-",0,1)</f>
        <v>Realme C21</v>
      </c>
      <c r="D1669" t="str">
        <f>_xlfn.XLOOKUP(C1669,Phone_by_Sentiment!$B$2:$B$37,Phone_by_Sentiment!$A$2:$A$37,"-",0,1)</f>
        <v>2021-04</v>
      </c>
      <c r="E1669" cm="1">
        <f t="array" ref="E1669">IF($Q1669&gt;=0,IFERROR(generateSalesData($D1669, IF(ISNUMBER(_xlfn.XLOOKUP($C1669,Phone_by_Sentiment!$B$2:$B$37,Phone_by_Sentiment!E$2:E$37,"",0,1)),_xlfn.XLOOKUP($C1669,Phone_by_Sentiment!$B$2:$B$37,Phone_by_Sentiment!E$2:E$37,"",0,1),0),$A1669-TEXT(DATEVALUE($D1669&amp;"-01"), "dd-mm-yyyy")),0),0)</f>
        <v>106</v>
      </c>
      <c r="F1669" cm="1">
        <f t="array" ref="F1669">IF($Q1669&gt;=0,IFERROR(generateSalesData($D1669, IF(ISNUMBER(_xlfn.XLOOKUP($C1669,Phone_by_Sentiment!$B$2:$B$37,Phone_by_Sentiment!F$2:F$37,"",0,1)),_xlfn.XLOOKUP($C1669,Phone_by_Sentiment!$B$2:$B$37,Phone_by_Sentiment!F$2:F$37,"",0,1),0),$A1669-TEXT(DATEVALUE($D1669&amp;"-01"), "dd-mm-yyyy")),0),0)</f>
        <v>12</v>
      </c>
      <c r="G1669" cm="1">
        <f t="array" ref="G1669">IF($Q1669&gt;=0,IFERROR(generateSalesData($D1669, IF(ISNUMBER(_xlfn.XLOOKUP($C1669,Phone_by_Sentiment!$B$2:$B$37,Phone_by_Sentiment!G$2:G$37,"",0,1)),_xlfn.XLOOKUP($C1669,Phone_by_Sentiment!$B$2:$B$37,Phone_by_Sentiment!G$2:G$37,"",0,1),0),$A1669-TEXT(DATEVALUE($D1669&amp;"-01"), "dd-mm-yyyy")),0),0)</f>
        <v>171</v>
      </c>
      <c r="H1669" cm="1">
        <f t="array" ref="H1669">IF($Q1669&gt;=0,IFERROR(generateSalesData($D1669, IF(ISNUMBER(_xlfn.XLOOKUP($C1669,Phone_by_Sentiment!$B$2:$B$37,Phone_by_Sentiment!H$2:H$37,"",0,1)),_xlfn.XLOOKUP($C1669,Phone_by_Sentiment!$B$2:$B$37,Phone_by_Sentiment!H$2:H$37,"",0,1),0),$A1669-TEXT(DATEVALUE($D1669&amp;"-01"), "dd-mm-yyyy")),0),0)</f>
        <v>330</v>
      </c>
      <c r="I1669" cm="1">
        <f t="array" ref="I1669">IF($Q1669&gt;=0,IFERROR(generateSalesData($D1669, IF(ISNUMBER(_xlfn.XLOOKUP($C1669,Phone_by_Sentiment!$B$2:$B$37,Phone_by_Sentiment!I$2:I$37,"",0,1)),_xlfn.XLOOKUP($C1669,Phone_by_Sentiment!$B$2:$B$37,Phone_by_Sentiment!I$2:I$37,"",0,1),0),$A1669-TEXT(DATEVALUE($D1669&amp;"-01"), "dd-mm-yyyy")),0),0)</f>
        <v>14</v>
      </c>
      <c r="J1669" cm="1">
        <f t="array" ref="J1669">IF($Q1669&gt;=0,IFERROR(generateSalesData($D1669, IF(ISNUMBER(_xlfn.XLOOKUP($C1669,Phone_by_Sentiment!$B$2:$B$37,Phone_by_Sentiment!J$2:J$37,"",0,1)),_xlfn.XLOOKUP($C1669,Phone_by_Sentiment!$B$2:$B$37,Phone_by_Sentiment!J$2:J$37,"",0,1),0),$A1669-TEXT(DATEVALUE($D1669&amp;"-01"), "dd-mm-yyyy")),0),0)</f>
        <v>125</v>
      </c>
      <c r="K1669" cm="1">
        <f t="array" ref="K1669">IF($Q1669&gt;=0,IFERROR(generateSalesData($D1669, IF(ISNUMBER(_xlfn.XLOOKUP($C1669,Phone_by_Sentiment!$B$2:$B$37,Phone_by_Sentiment!K$2:K$37,"",0,1)),_xlfn.XLOOKUP($C1669,Phone_by_Sentiment!$B$2:$B$37,Phone_by_Sentiment!K$2:K$37,"",0,1),0),$A1669-TEXT(DATEVALUE($D1669&amp;"-01"), "dd-mm-yyyy")),0),0)</f>
        <v>72</v>
      </c>
      <c r="L1669" cm="1">
        <f t="array" ref="L1669">IF($Q1669&gt;=0,IFERROR(generateSalesData($D1669, IF(ISNUMBER(_xlfn.XLOOKUP($C1669,Phone_by_Sentiment!$B$2:$B$37,Phone_by_Sentiment!L$2:L$37,"",0,1)),_xlfn.XLOOKUP($C1669,Phone_by_Sentiment!$B$2:$B$37,Phone_by_Sentiment!L$2:L$37,"",0,1),0),$A1669-TEXT(DATEVALUE($D1669&amp;"-01"), "dd-mm-yyyy")),0),0)</f>
        <v>283</v>
      </c>
      <c r="M1669" cm="1">
        <f t="array" ref="M1669">IF($Q1669&gt;=0,IFERROR(generateSalesData($D1669, IF(ISNUMBER(_xlfn.XLOOKUP($C1669,Phone_by_Sentiment!$B$2:$B$37,Phone_by_Sentiment!M$2:M$37,"",0,1)),_xlfn.XLOOKUP($C1669,Phone_by_Sentiment!$B$2:$B$37,Phone_by_Sentiment!M$2:M$37,"",0,1),0),$A1669-TEXT(DATEVALUE($D1669&amp;"-01"), "dd-mm-yyyy")),0),0)</f>
        <v>39</v>
      </c>
      <c r="N1669" cm="1">
        <f t="array" ref="N1669">IF($Q1669&gt;=0,IFERROR(generateSalesData($D1669, IF(ISNUMBER(_xlfn.XLOOKUP($C1669,Phone_by_Sentiment!$B$2:$B$37,Phone_by_Sentiment!N$2:N$37,"",0,1)),_xlfn.XLOOKUP($C1669,Phone_by_Sentiment!$B$2:$B$37,Phone_by_Sentiment!N$2:N$37,"",0,1),0),$A1669-TEXT(DATEVALUE($D1669&amp;"-01"), "dd-mm-yyyy")),0),0)</f>
        <v>219</v>
      </c>
      <c r="O1669" cm="1">
        <f t="array" ref="O1669">IF($Q1669&gt;=0,IFERROR(generateSalesData($D1669, IF(ISNUMBER(_xlfn.XLOOKUP($C1669,Phone_by_Sentiment!$B$2:$B$37,Phone_by_Sentiment!O$2:O$37,"",0,1)),_xlfn.XLOOKUP($C1669,Phone_by_Sentiment!$B$2:$B$37,Phone_by_Sentiment!O$2:O$37,"",0,1),0),$A1669-TEXT(DATEVALUE($D1669&amp;"-01"), "dd-mm-yyyy")),0),0)</f>
        <v>97</v>
      </c>
      <c r="P1669" s="1">
        <f t="shared" si="67"/>
        <v>44287</v>
      </c>
      <c r="Q1669">
        <f t="shared" si="69"/>
        <v>609</v>
      </c>
    </row>
    <row r="1670" spans="1:17" x14ac:dyDescent="0.25">
      <c r="A1670" s="1">
        <f t="shared" si="68"/>
        <v>44896</v>
      </c>
      <c r="B1670" t="s">
        <v>168</v>
      </c>
      <c r="C1670" t="str">
        <f>_xlfn.XLOOKUP(B1670,Phone_by_Price!$A$2:$A$34,Phone_by_Price!$B$2:$B$34,"-",0,1)</f>
        <v>Google Pixel 4</v>
      </c>
      <c r="D1670" t="str">
        <f>_xlfn.XLOOKUP(C1670,Phone_by_Sentiment!$B$2:$B$37,Phone_by_Sentiment!$A$2:$A$37,"-",0,1)</f>
        <v>2019-09</v>
      </c>
      <c r="E1670" cm="1">
        <f t="array" ref="E1670">IF($Q1670&gt;=0,IFERROR(generateSalesData($D1670, IF(ISNUMBER(_xlfn.XLOOKUP($C1670,Phone_by_Sentiment!$B$2:$B$37,Phone_by_Sentiment!E$2:E$37,"",0,1)),_xlfn.XLOOKUP($C1670,Phone_by_Sentiment!$B$2:$B$37,Phone_by_Sentiment!E$2:E$37,"",0,1),0),$A1670-TEXT(DATEVALUE($D1670&amp;"-01"), "dd-mm-yyyy")),0),0)</f>
        <v>133</v>
      </c>
      <c r="F1670" cm="1">
        <f t="array" ref="F1670">IF($Q1670&gt;=0,IFERROR(generateSalesData($D1670, IF(ISNUMBER(_xlfn.XLOOKUP($C1670,Phone_by_Sentiment!$B$2:$B$37,Phone_by_Sentiment!F$2:F$37,"",0,1)),_xlfn.XLOOKUP($C1670,Phone_by_Sentiment!$B$2:$B$37,Phone_by_Sentiment!F$2:F$37,"",0,1),0),$A1670-TEXT(DATEVALUE($D1670&amp;"-01"), "dd-mm-yyyy")),0),0)</f>
        <v>34</v>
      </c>
      <c r="G1670" cm="1">
        <f t="array" ref="G1670">IF($Q1670&gt;=0,IFERROR(generateSalesData($D1670, IF(ISNUMBER(_xlfn.XLOOKUP($C1670,Phone_by_Sentiment!$B$2:$B$37,Phone_by_Sentiment!G$2:G$37,"",0,1)),_xlfn.XLOOKUP($C1670,Phone_by_Sentiment!$B$2:$B$37,Phone_by_Sentiment!G$2:G$37,"",0,1),0),$A1670-TEXT(DATEVALUE($D1670&amp;"-01"), "dd-mm-yyyy")),0),0)</f>
        <v>64</v>
      </c>
      <c r="H1670" cm="1">
        <f t="array" ref="H1670">IF($Q1670&gt;=0,IFERROR(generateSalesData($D1670, IF(ISNUMBER(_xlfn.XLOOKUP($C1670,Phone_by_Sentiment!$B$2:$B$37,Phone_by_Sentiment!H$2:H$37,"",0,1)),_xlfn.XLOOKUP($C1670,Phone_by_Sentiment!$B$2:$B$37,Phone_by_Sentiment!H$2:H$37,"",0,1),0),$A1670-TEXT(DATEVALUE($D1670&amp;"-01"), "dd-mm-yyyy")),0),0)</f>
        <v>46</v>
      </c>
      <c r="I1670" cm="1">
        <f t="array" ref="I1670">IF($Q1670&gt;=0,IFERROR(generateSalesData($D1670, IF(ISNUMBER(_xlfn.XLOOKUP($C1670,Phone_by_Sentiment!$B$2:$B$37,Phone_by_Sentiment!I$2:I$37,"",0,1)),_xlfn.XLOOKUP($C1670,Phone_by_Sentiment!$B$2:$B$37,Phone_by_Sentiment!I$2:I$37,"",0,1),0),$A1670-TEXT(DATEVALUE($D1670&amp;"-01"), "dd-mm-yyyy")),0),0)</f>
        <v>58</v>
      </c>
      <c r="J1670" cm="1">
        <f t="array" ref="J1670">IF($Q1670&gt;=0,IFERROR(generateSalesData($D1670, IF(ISNUMBER(_xlfn.XLOOKUP($C1670,Phone_by_Sentiment!$B$2:$B$37,Phone_by_Sentiment!J$2:J$37,"",0,1)),_xlfn.XLOOKUP($C1670,Phone_by_Sentiment!$B$2:$B$37,Phone_by_Sentiment!J$2:J$37,"",0,1),0),$A1670-TEXT(DATEVALUE($D1670&amp;"-01"), "dd-mm-yyyy")),0),0)</f>
        <v>86</v>
      </c>
      <c r="K1670" cm="1">
        <f t="array" ref="K1670">IF($Q1670&gt;=0,IFERROR(generateSalesData($D1670, IF(ISNUMBER(_xlfn.XLOOKUP($C1670,Phone_by_Sentiment!$B$2:$B$37,Phone_by_Sentiment!K$2:K$37,"",0,1)),_xlfn.XLOOKUP($C1670,Phone_by_Sentiment!$B$2:$B$37,Phone_by_Sentiment!K$2:K$37,"",0,1),0),$A1670-TEXT(DATEVALUE($D1670&amp;"-01"), "dd-mm-yyyy")),0),0)</f>
        <v>40</v>
      </c>
      <c r="L1670" cm="1">
        <f t="array" ref="L1670">IF($Q1670&gt;=0,IFERROR(generateSalesData($D1670, IF(ISNUMBER(_xlfn.XLOOKUP($C1670,Phone_by_Sentiment!$B$2:$B$37,Phone_by_Sentiment!L$2:L$37,"",0,1)),_xlfn.XLOOKUP($C1670,Phone_by_Sentiment!$B$2:$B$37,Phone_by_Sentiment!L$2:L$37,"",0,1),0),$A1670-TEXT(DATEVALUE($D1670&amp;"-01"), "dd-mm-yyyy")),0),0)</f>
        <v>59</v>
      </c>
      <c r="M1670" cm="1">
        <f t="array" ref="M1670">IF($Q1670&gt;=0,IFERROR(generateSalesData($D1670, IF(ISNUMBER(_xlfn.XLOOKUP($C1670,Phone_by_Sentiment!$B$2:$B$37,Phone_by_Sentiment!M$2:M$37,"",0,1)),_xlfn.XLOOKUP($C1670,Phone_by_Sentiment!$B$2:$B$37,Phone_by_Sentiment!M$2:M$37,"",0,1),0),$A1670-TEXT(DATEVALUE($D1670&amp;"-01"), "dd-mm-yyyy")),0),0)</f>
        <v>85</v>
      </c>
      <c r="N1670" cm="1">
        <f t="array" ref="N1670">IF($Q1670&gt;=0,IFERROR(generateSalesData($D1670, IF(ISNUMBER(_xlfn.XLOOKUP($C1670,Phone_by_Sentiment!$B$2:$B$37,Phone_by_Sentiment!N$2:N$37,"",0,1)),_xlfn.XLOOKUP($C1670,Phone_by_Sentiment!$B$2:$B$37,Phone_by_Sentiment!N$2:N$37,"",0,1),0),$A1670-TEXT(DATEVALUE($D1670&amp;"-01"), "dd-mm-yyyy")),0),0)</f>
        <v>156</v>
      </c>
      <c r="O1670" cm="1">
        <f t="array" ref="O1670">IF($Q1670&gt;=0,IFERROR(generateSalesData($D1670, IF(ISNUMBER(_xlfn.XLOOKUP($C1670,Phone_by_Sentiment!$B$2:$B$37,Phone_by_Sentiment!O$2:O$37,"",0,1)),_xlfn.XLOOKUP($C1670,Phone_by_Sentiment!$B$2:$B$37,Phone_by_Sentiment!O$2:O$37,"",0,1),0),$A1670-TEXT(DATEVALUE($D1670&amp;"-01"), "dd-mm-yyyy")),0),0)</f>
        <v>-33</v>
      </c>
      <c r="P1670" s="1">
        <f t="shared" si="67"/>
        <v>43709</v>
      </c>
      <c r="Q1670">
        <f t="shared" si="69"/>
        <v>1187</v>
      </c>
    </row>
    <row r="1671" spans="1:17" x14ac:dyDescent="0.25">
      <c r="A1671" s="1">
        <f t="shared" si="68"/>
        <v>44896</v>
      </c>
      <c r="B1671" t="s">
        <v>169</v>
      </c>
      <c r="C1671" t="str">
        <f>_xlfn.XLOOKUP(B1671,Phone_by_Price!$A$2:$A$34,Phone_by_Price!$B$2:$B$34,"-",0,1)</f>
        <v>Samsung Galaxy A10s</v>
      </c>
      <c r="D1671" t="str">
        <f>_xlfn.XLOOKUP(C1671,Phone_by_Sentiment!$B$2:$B$37,Phone_by_Sentiment!$A$2:$A$37,"-",0,1)</f>
        <v>2019-08</v>
      </c>
      <c r="E1671" cm="1">
        <f t="array" ref="E1671">IF($Q1671&gt;=0,IFERROR(generateSalesData($D1671, IF(ISNUMBER(_xlfn.XLOOKUP($C1671,Phone_by_Sentiment!$B$2:$B$37,Phone_by_Sentiment!E$2:E$37,"",0,1)),_xlfn.XLOOKUP($C1671,Phone_by_Sentiment!$B$2:$B$37,Phone_by_Sentiment!E$2:E$37,"",0,1),0),$A1671-TEXT(DATEVALUE($D1671&amp;"-01"), "dd-mm-yyyy")),0),0)</f>
        <v>28</v>
      </c>
      <c r="F1671" cm="1">
        <f t="array" ref="F1671">IF($Q1671&gt;=0,IFERROR(generateSalesData($D1671, IF(ISNUMBER(_xlfn.XLOOKUP($C1671,Phone_by_Sentiment!$B$2:$B$37,Phone_by_Sentiment!F$2:F$37,"",0,1)),_xlfn.XLOOKUP($C1671,Phone_by_Sentiment!$B$2:$B$37,Phone_by_Sentiment!F$2:F$37,"",0,1),0),$A1671-TEXT(DATEVALUE($D1671&amp;"-01"), "dd-mm-yyyy")),0),0)</f>
        <v>291</v>
      </c>
      <c r="G1671" cm="1">
        <f t="array" ref="G1671">IF($Q1671&gt;=0,IFERROR(generateSalesData($D1671, IF(ISNUMBER(_xlfn.XLOOKUP($C1671,Phone_by_Sentiment!$B$2:$B$37,Phone_by_Sentiment!G$2:G$37,"",0,1)),_xlfn.XLOOKUP($C1671,Phone_by_Sentiment!$B$2:$B$37,Phone_by_Sentiment!G$2:G$37,"",0,1),0),$A1671-TEXT(DATEVALUE($D1671&amp;"-01"), "dd-mm-yyyy")),0),0)</f>
        <v>61</v>
      </c>
      <c r="H1671" cm="1">
        <f t="array" ref="H1671">IF($Q1671&gt;=0,IFERROR(generateSalesData($D1671, IF(ISNUMBER(_xlfn.XLOOKUP($C1671,Phone_by_Sentiment!$B$2:$B$37,Phone_by_Sentiment!H$2:H$37,"",0,1)),_xlfn.XLOOKUP($C1671,Phone_by_Sentiment!$B$2:$B$37,Phone_by_Sentiment!H$2:H$37,"",0,1),0),$A1671-TEXT(DATEVALUE($D1671&amp;"-01"), "dd-mm-yyyy")),0),0)</f>
        <v>190</v>
      </c>
      <c r="I1671" cm="1">
        <f t="array" ref="I1671">IF($Q1671&gt;=0,IFERROR(generateSalesData($D1671, IF(ISNUMBER(_xlfn.XLOOKUP($C1671,Phone_by_Sentiment!$B$2:$B$37,Phone_by_Sentiment!I$2:I$37,"",0,1)),_xlfn.XLOOKUP($C1671,Phone_by_Sentiment!$B$2:$B$37,Phone_by_Sentiment!I$2:I$37,"",0,1),0),$A1671-TEXT(DATEVALUE($D1671&amp;"-01"), "dd-mm-yyyy")),0),0)</f>
        <v>157</v>
      </c>
      <c r="J1671" cm="1">
        <f t="array" ref="J1671">IF($Q1671&gt;=0,IFERROR(generateSalesData($D1671, IF(ISNUMBER(_xlfn.XLOOKUP($C1671,Phone_by_Sentiment!$B$2:$B$37,Phone_by_Sentiment!J$2:J$37,"",0,1)),_xlfn.XLOOKUP($C1671,Phone_by_Sentiment!$B$2:$B$37,Phone_by_Sentiment!J$2:J$37,"",0,1),0),$A1671-TEXT(DATEVALUE($D1671&amp;"-01"), "dd-mm-yyyy")),0),0)</f>
        <v>40</v>
      </c>
      <c r="K1671" cm="1">
        <f t="array" ref="K1671">IF($Q1671&gt;=0,IFERROR(generateSalesData($D1671, IF(ISNUMBER(_xlfn.XLOOKUP($C1671,Phone_by_Sentiment!$B$2:$B$37,Phone_by_Sentiment!K$2:K$37,"",0,1)),_xlfn.XLOOKUP($C1671,Phone_by_Sentiment!$B$2:$B$37,Phone_by_Sentiment!K$2:K$37,"",0,1),0),$A1671-TEXT(DATEVALUE($D1671&amp;"-01"), "dd-mm-yyyy")),0),0)</f>
        <v>124</v>
      </c>
      <c r="L1671" cm="1">
        <f t="array" ref="L1671">IF($Q1671&gt;=0,IFERROR(generateSalesData($D1671, IF(ISNUMBER(_xlfn.XLOOKUP($C1671,Phone_by_Sentiment!$B$2:$B$37,Phone_by_Sentiment!L$2:L$37,"",0,1)),_xlfn.XLOOKUP($C1671,Phone_by_Sentiment!$B$2:$B$37,Phone_by_Sentiment!L$2:L$37,"",0,1),0),$A1671-TEXT(DATEVALUE($D1671&amp;"-01"), "dd-mm-yyyy")),0),0)</f>
        <v>42</v>
      </c>
      <c r="M1671" cm="1">
        <f t="array" ref="M1671">IF($Q1671&gt;=0,IFERROR(generateSalesData($D1671, IF(ISNUMBER(_xlfn.XLOOKUP($C1671,Phone_by_Sentiment!$B$2:$B$37,Phone_by_Sentiment!M$2:M$37,"",0,1)),_xlfn.XLOOKUP($C1671,Phone_by_Sentiment!$B$2:$B$37,Phone_by_Sentiment!M$2:M$37,"",0,1),0),$A1671-TEXT(DATEVALUE($D1671&amp;"-01"), "dd-mm-yyyy")),0),0)</f>
        <v>154</v>
      </c>
      <c r="N1671" cm="1">
        <f t="array" ref="N1671">IF($Q1671&gt;=0,IFERROR(generateSalesData($D1671, IF(ISNUMBER(_xlfn.XLOOKUP($C1671,Phone_by_Sentiment!$B$2:$B$37,Phone_by_Sentiment!N$2:N$37,"",0,1)),_xlfn.XLOOKUP($C1671,Phone_by_Sentiment!$B$2:$B$37,Phone_by_Sentiment!N$2:N$37,"",0,1),0),$A1671-TEXT(DATEVALUE($D1671&amp;"-01"), "dd-mm-yyyy")),0),0)</f>
        <v>45</v>
      </c>
      <c r="O1671" cm="1">
        <f t="array" ref="O1671">IF($Q1671&gt;=0,IFERROR(generateSalesData($D1671, IF(ISNUMBER(_xlfn.XLOOKUP($C1671,Phone_by_Sentiment!$B$2:$B$37,Phone_by_Sentiment!O$2:O$37,"",0,1)),_xlfn.XLOOKUP($C1671,Phone_by_Sentiment!$B$2:$B$37,Phone_by_Sentiment!O$2:O$37,"",0,1),0),$A1671-TEXT(DATEVALUE($D1671&amp;"-01"), "dd-mm-yyyy")),0),0)</f>
        <v>186</v>
      </c>
      <c r="P1671" s="1">
        <f t="shared" si="67"/>
        <v>43678</v>
      </c>
      <c r="Q1671">
        <f t="shared" si="69"/>
        <v>1218</v>
      </c>
    </row>
    <row r="1672" spans="1:17" x14ac:dyDescent="0.25">
      <c r="A1672" s="1">
        <f t="shared" si="68"/>
        <v>44896</v>
      </c>
      <c r="B1672" t="s">
        <v>170</v>
      </c>
      <c r="C1672" t="str">
        <f>_xlfn.XLOOKUP(B1672,Phone_by_Price!$A$2:$A$34,Phone_by_Price!$B$2:$B$34,"-",0,1)</f>
        <v>Realme Narzo 30A</v>
      </c>
      <c r="D1672" t="str">
        <f>_xlfn.XLOOKUP(C1672,Phone_by_Sentiment!$B$2:$B$37,Phone_by_Sentiment!$A$2:$A$37,"-",0,1)</f>
        <v>2021-02</v>
      </c>
      <c r="E1672" cm="1">
        <f t="array" ref="E1672">IF($Q1672&gt;=0,IFERROR(generateSalesData($D1672, IF(ISNUMBER(_xlfn.XLOOKUP($C1672,Phone_by_Sentiment!$B$2:$B$37,Phone_by_Sentiment!E$2:E$37,"",0,1)),_xlfn.XLOOKUP($C1672,Phone_by_Sentiment!$B$2:$B$37,Phone_by_Sentiment!E$2:E$37,"",0,1),0),$A1672-TEXT(DATEVALUE($D1672&amp;"-01"), "dd-mm-yyyy")),0),0)</f>
        <v>125</v>
      </c>
      <c r="F1672" cm="1">
        <f t="array" ref="F1672">IF($Q1672&gt;=0,IFERROR(generateSalesData($D1672, IF(ISNUMBER(_xlfn.XLOOKUP($C1672,Phone_by_Sentiment!$B$2:$B$37,Phone_by_Sentiment!F$2:F$37,"",0,1)),_xlfn.XLOOKUP($C1672,Phone_by_Sentiment!$B$2:$B$37,Phone_by_Sentiment!F$2:F$37,"",0,1),0),$A1672-TEXT(DATEVALUE($D1672&amp;"-01"), "dd-mm-yyyy")),0),0)</f>
        <v>80</v>
      </c>
      <c r="G1672" cm="1">
        <f t="array" ref="G1672">IF($Q1672&gt;=0,IFERROR(generateSalesData($D1672, IF(ISNUMBER(_xlfn.XLOOKUP($C1672,Phone_by_Sentiment!$B$2:$B$37,Phone_by_Sentiment!G$2:G$37,"",0,1)),_xlfn.XLOOKUP($C1672,Phone_by_Sentiment!$B$2:$B$37,Phone_by_Sentiment!G$2:G$37,"",0,1),0),$A1672-TEXT(DATEVALUE($D1672&amp;"-01"), "dd-mm-yyyy")),0),0)</f>
        <v>77</v>
      </c>
      <c r="H1672" cm="1">
        <f t="array" ref="H1672">IF($Q1672&gt;=0,IFERROR(generateSalesData($D1672, IF(ISNUMBER(_xlfn.XLOOKUP($C1672,Phone_by_Sentiment!$B$2:$B$37,Phone_by_Sentiment!H$2:H$37,"",0,1)),_xlfn.XLOOKUP($C1672,Phone_by_Sentiment!$B$2:$B$37,Phone_by_Sentiment!H$2:H$37,"",0,1),0),$A1672-TEXT(DATEVALUE($D1672&amp;"-01"), "dd-mm-yyyy")),0),0)</f>
        <v>202</v>
      </c>
      <c r="I1672" cm="1">
        <f t="array" ref="I1672">IF($Q1672&gt;=0,IFERROR(generateSalesData($D1672, IF(ISNUMBER(_xlfn.XLOOKUP($C1672,Phone_by_Sentiment!$B$2:$B$37,Phone_by_Sentiment!I$2:I$37,"",0,1)),_xlfn.XLOOKUP($C1672,Phone_by_Sentiment!$B$2:$B$37,Phone_by_Sentiment!I$2:I$37,"",0,1),0),$A1672-TEXT(DATEVALUE($D1672&amp;"-01"), "dd-mm-yyyy")),0),0)</f>
        <v>227</v>
      </c>
      <c r="J1672" cm="1">
        <f t="array" ref="J1672">IF($Q1672&gt;=0,IFERROR(generateSalesData($D1672, IF(ISNUMBER(_xlfn.XLOOKUP($C1672,Phone_by_Sentiment!$B$2:$B$37,Phone_by_Sentiment!J$2:J$37,"",0,1)),_xlfn.XLOOKUP($C1672,Phone_by_Sentiment!$B$2:$B$37,Phone_by_Sentiment!J$2:J$37,"",0,1),0),$A1672-TEXT(DATEVALUE($D1672&amp;"-01"), "dd-mm-yyyy")),0),0)</f>
        <v>35</v>
      </c>
      <c r="K1672" cm="1">
        <f t="array" ref="K1672">IF($Q1672&gt;=0,IFERROR(generateSalesData($D1672, IF(ISNUMBER(_xlfn.XLOOKUP($C1672,Phone_by_Sentiment!$B$2:$B$37,Phone_by_Sentiment!K$2:K$37,"",0,1)),_xlfn.XLOOKUP($C1672,Phone_by_Sentiment!$B$2:$B$37,Phone_by_Sentiment!K$2:K$37,"",0,1),0),$A1672-TEXT(DATEVALUE($D1672&amp;"-01"), "dd-mm-yyyy")),0),0)</f>
        <v>509</v>
      </c>
      <c r="L1672" cm="1">
        <f t="array" ref="L1672">IF($Q1672&gt;=0,IFERROR(generateSalesData($D1672, IF(ISNUMBER(_xlfn.XLOOKUP($C1672,Phone_by_Sentiment!$B$2:$B$37,Phone_by_Sentiment!L$2:L$37,"",0,1)),_xlfn.XLOOKUP($C1672,Phone_by_Sentiment!$B$2:$B$37,Phone_by_Sentiment!L$2:L$37,"",0,1),0),$A1672-TEXT(DATEVALUE($D1672&amp;"-01"), "dd-mm-yyyy")),0),0)</f>
        <v>433</v>
      </c>
      <c r="M1672" cm="1">
        <f t="array" ref="M1672">IF($Q1672&gt;=0,IFERROR(generateSalesData($D1672, IF(ISNUMBER(_xlfn.XLOOKUP($C1672,Phone_by_Sentiment!$B$2:$B$37,Phone_by_Sentiment!M$2:M$37,"",0,1)),_xlfn.XLOOKUP($C1672,Phone_by_Sentiment!$B$2:$B$37,Phone_by_Sentiment!M$2:M$37,"",0,1),0),$A1672-TEXT(DATEVALUE($D1672&amp;"-01"), "dd-mm-yyyy")),0),0)</f>
        <v>60</v>
      </c>
      <c r="N1672" cm="1">
        <f t="array" ref="N1672">IF($Q1672&gt;=0,IFERROR(generateSalesData($D1672, IF(ISNUMBER(_xlfn.XLOOKUP($C1672,Phone_by_Sentiment!$B$2:$B$37,Phone_by_Sentiment!N$2:N$37,"",0,1)),_xlfn.XLOOKUP($C1672,Phone_by_Sentiment!$B$2:$B$37,Phone_by_Sentiment!N$2:N$37,"",0,1),0),$A1672-TEXT(DATEVALUE($D1672&amp;"-01"), "dd-mm-yyyy")),0),0)</f>
        <v>328</v>
      </c>
      <c r="O1672" cm="1">
        <f t="array" ref="O1672">IF($Q1672&gt;=0,IFERROR(generateSalesData($D1672, IF(ISNUMBER(_xlfn.XLOOKUP($C1672,Phone_by_Sentiment!$B$2:$B$37,Phone_by_Sentiment!O$2:O$37,"",0,1)),_xlfn.XLOOKUP($C1672,Phone_by_Sentiment!$B$2:$B$37,Phone_by_Sentiment!O$2:O$37,"",0,1),0),$A1672-TEXT(DATEVALUE($D1672&amp;"-01"), "dd-mm-yyyy")),0),0)</f>
        <v>42</v>
      </c>
      <c r="P1672" s="1">
        <f t="shared" si="67"/>
        <v>44228</v>
      </c>
      <c r="Q1672">
        <f t="shared" si="69"/>
        <v>668</v>
      </c>
    </row>
    <row r="1673" spans="1:17" x14ac:dyDescent="0.25">
      <c r="A1673" s="1">
        <f t="shared" si="68"/>
        <v>44896</v>
      </c>
      <c r="B1673" t="s">
        <v>171</v>
      </c>
      <c r="C1673" t="str">
        <f>_xlfn.XLOOKUP(B1673,Phone_by_Price!$A$2:$A$34,Phone_by_Price!$B$2:$B$34,"-",0,1)</f>
        <v>Samsung Galaxy A22 5G</v>
      </c>
      <c r="D1673" t="str">
        <f>_xlfn.XLOOKUP(C1673,Phone_by_Sentiment!$B$2:$B$37,Phone_by_Sentiment!$A$2:$A$37,"-",0,1)</f>
        <v>2021-05</v>
      </c>
      <c r="E1673" cm="1">
        <f t="array" ref="E1673">IF($Q1673&gt;=0,IFERROR(generateSalesData($D1673, IF(ISNUMBER(_xlfn.XLOOKUP($C1673,Phone_by_Sentiment!$B$2:$B$37,Phone_by_Sentiment!E$2:E$37,"",0,1)),_xlfn.XLOOKUP($C1673,Phone_by_Sentiment!$B$2:$B$37,Phone_by_Sentiment!E$2:E$37,"",0,1),0),$A1673-TEXT(DATEVALUE($D1673&amp;"-01"), "dd-mm-yyyy")),0),0)</f>
        <v>464</v>
      </c>
      <c r="F1673" cm="1">
        <f t="array" ref="F1673">IF($Q1673&gt;=0,IFERROR(generateSalesData($D1673, IF(ISNUMBER(_xlfn.XLOOKUP($C1673,Phone_by_Sentiment!$B$2:$B$37,Phone_by_Sentiment!F$2:F$37,"",0,1)),_xlfn.XLOOKUP($C1673,Phone_by_Sentiment!$B$2:$B$37,Phone_by_Sentiment!F$2:F$37,"",0,1),0),$A1673-TEXT(DATEVALUE($D1673&amp;"-01"), "dd-mm-yyyy")),0),0)</f>
        <v>432</v>
      </c>
      <c r="G1673" cm="1">
        <f t="array" ref="G1673">IF($Q1673&gt;=0,IFERROR(generateSalesData($D1673, IF(ISNUMBER(_xlfn.XLOOKUP($C1673,Phone_by_Sentiment!$B$2:$B$37,Phone_by_Sentiment!G$2:G$37,"",0,1)),_xlfn.XLOOKUP($C1673,Phone_by_Sentiment!$B$2:$B$37,Phone_by_Sentiment!G$2:G$37,"",0,1),0),$A1673-TEXT(DATEVALUE($D1673&amp;"-01"), "dd-mm-yyyy")),0),0)</f>
        <v>175</v>
      </c>
      <c r="H1673" cm="1">
        <f t="array" ref="H1673">IF($Q1673&gt;=0,IFERROR(generateSalesData($D1673, IF(ISNUMBER(_xlfn.XLOOKUP($C1673,Phone_by_Sentiment!$B$2:$B$37,Phone_by_Sentiment!H$2:H$37,"",0,1)),_xlfn.XLOOKUP($C1673,Phone_by_Sentiment!$B$2:$B$37,Phone_by_Sentiment!H$2:H$37,"",0,1),0),$A1673-TEXT(DATEVALUE($D1673&amp;"-01"), "dd-mm-yyyy")),0),0)</f>
        <v>515</v>
      </c>
      <c r="I1673" cm="1">
        <f t="array" ref="I1673">IF($Q1673&gt;=0,IFERROR(generateSalesData($D1673, IF(ISNUMBER(_xlfn.XLOOKUP($C1673,Phone_by_Sentiment!$B$2:$B$37,Phone_by_Sentiment!I$2:I$37,"",0,1)),_xlfn.XLOOKUP($C1673,Phone_by_Sentiment!$B$2:$B$37,Phone_by_Sentiment!I$2:I$37,"",0,1),0),$A1673-TEXT(DATEVALUE($D1673&amp;"-01"), "dd-mm-yyyy")),0),0)</f>
        <v>644</v>
      </c>
      <c r="J1673" cm="1">
        <f t="array" ref="J1673">IF($Q1673&gt;=0,IFERROR(generateSalesData($D1673, IF(ISNUMBER(_xlfn.XLOOKUP($C1673,Phone_by_Sentiment!$B$2:$B$37,Phone_by_Sentiment!J$2:J$37,"",0,1)),_xlfn.XLOOKUP($C1673,Phone_by_Sentiment!$B$2:$B$37,Phone_by_Sentiment!J$2:J$37,"",0,1),0),$A1673-TEXT(DATEVALUE($D1673&amp;"-01"), "dd-mm-yyyy")),0),0)</f>
        <v>423</v>
      </c>
      <c r="K1673" cm="1">
        <f t="array" ref="K1673">IF($Q1673&gt;=0,IFERROR(generateSalesData($D1673, IF(ISNUMBER(_xlfn.XLOOKUP($C1673,Phone_by_Sentiment!$B$2:$B$37,Phone_by_Sentiment!K$2:K$37,"",0,1)),_xlfn.XLOOKUP($C1673,Phone_by_Sentiment!$B$2:$B$37,Phone_by_Sentiment!K$2:K$37,"",0,1),0),$A1673-TEXT(DATEVALUE($D1673&amp;"-01"), "dd-mm-yyyy")),0),0)</f>
        <v>-31</v>
      </c>
      <c r="L1673" cm="1">
        <f t="array" ref="L1673">IF($Q1673&gt;=0,IFERROR(generateSalesData($D1673, IF(ISNUMBER(_xlfn.XLOOKUP($C1673,Phone_by_Sentiment!$B$2:$B$37,Phone_by_Sentiment!L$2:L$37,"",0,1)),_xlfn.XLOOKUP($C1673,Phone_by_Sentiment!$B$2:$B$37,Phone_by_Sentiment!L$2:L$37,"",0,1),0),$A1673-TEXT(DATEVALUE($D1673&amp;"-01"), "dd-mm-yyyy")),0),0)</f>
        <v>372</v>
      </c>
      <c r="M1673" cm="1">
        <f t="array" ref="M1673">IF($Q1673&gt;=0,IFERROR(generateSalesData($D1673, IF(ISNUMBER(_xlfn.XLOOKUP($C1673,Phone_by_Sentiment!$B$2:$B$37,Phone_by_Sentiment!M$2:M$37,"",0,1)),_xlfn.XLOOKUP($C1673,Phone_by_Sentiment!$B$2:$B$37,Phone_by_Sentiment!M$2:M$37,"",0,1),0),$A1673-TEXT(DATEVALUE($D1673&amp;"-01"), "dd-mm-yyyy")),0),0)</f>
        <v>399</v>
      </c>
      <c r="N1673" cm="1">
        <f t="array" ref="N1673">IF($Q1673&gt;=0,IFERROR(generateSalesData($D1673, IF(ISNUMBER(_xlfn.XLOOKUP($C1673,Phone_by_Sentiment!$B$2:$B$37,Phone_by_Sentiment!N$2:N$37,"",0,1)),_xlfn.XLOOKUP($C1673,Phone_by_Sentiment!$B$2:$B$37,Phone_by_Sentiment!N$2:N$37,"",0,1),0),$A1673-TEXT(DATEVALUE($D1673&amp;"-01"), "dd-mm-yyyy")),0),0)</f>
        <v>478</v>
      </c>
      <c r="O1673" cm="1">
        <f t="array" ref="O1673">IF($Q1673&gt;=0,IFERROR(generateSalesData($D1673, IF(ISNUMBER(_xlfn.XLOOKUP($C1673,Phone_by_Sentiment!$B$2:$B$37,Phone_by_Sentiment!O$2:O$37,"",0,1)),_xlfn.XLOOKUP($C1673,Phone_by_Sentiment!$B$2:$B$37,Phone_by_Sentiment!O$2:O$37,"",0,1),0),$A1673-TEXT(DATEVALUE($D1673&amp;"-01"), "dd-mm-yyyy")),0),0)</f>
        <v>159</v>
      </c>
      <c r="P1673" s="1">
        <f t="shared" si="67"/>
        <v>44317</v>
      </c>
      <c r="Q1673">
        <f t="shared" si="69"/>
        <v>579</v>
      </c>
    </row>
    <row r="1674" spans="1:17" x14ac:dyDescent="0.25">
      <c r="A1674" s="1">
        <f t="shared" si="68"/>
        <v>44896</v>
      </c>
      <c r="B1674" t="s">
        <v>172</v>
      </c>
      <c r="C1674" t="str">
        <f>_xlfn.XLOOKUP(B1674,Phone_by_Price!$A$2:$A$34,Phone_by_Price!$B$2:$B$34,"-",0,1)</f>
        <v>Xiaomi Redmi 9</v>
      </c>
      <c r="D1674" t="str">
        <f>_xlfn.XLOOKUP(C1674,Phone_by_Sentiment!$B$2:$B$37,Phone_by_Sentiment!$A$2:$A$37,"-",0,1)</f>
        <v>2020-08</v>
      </c>
      <c r="E1674" cm="1">
        <f t="array" ref="E1674">IF($Q1674&gt;=0,IFERROR(generateSalesData($D1674, IF(ISNUMBER(_xlfn.XLOOKUP($C1674,Phone_by_Sentiment!$B$2:$B$37,Phone_by_Sentiment!E$2:E$37,"",0,1)),_xlfn.XLOOKUP($C1674,Phone_by_Sentiment!$B$2:$B$37,Phone_by_Sentiment!E$2:E$37,"",0,1),0),$A1674-TEXT(DATEVALUE($D1674&amp;"-01"), "dd-mm-yyyy")),0),0)</f>
        <v>60</v>
      </c>
      <c r="F1674" cm="1">
        <f t="array" ref="F1674">IF($Q1674&gt;=0,IFERROR(generateSalesData($D1674, IF(ISNUMBER(_xlfn.XLOOKUP($C1674,Phone_by_Sentiment!$B$2:$B$37,Phone_by_Sentiment!F$2:F$37,"",0,1)),_xlfn.XLOOKUP($C1674,Phone_by_Sentiment!$B$2:$B$37,Phone_by_Sentiment!F$2:F$37,"",0,1),0),$A1674-TEXT(DATEVALUE($D1674&amp;"-01"), "dd-mm-yyyy")),0),0)</f>
        <v>69</v>
      </c>
      <c r="G1674" cm="1">
        <f t="array" ref="G1674">IF($Q1674&gt;=0,IFERROR(generateSalesData($D1674, IF(ISNUMBER(_xlfn.XLOOKUP($C1674,Phone_by_Sentiment!$B$2:$B$37,Phone_by_Sentiment!G$2:G$37,"",0,1)),_xlfn.XLOOKUP($C1674,Phone_by_Sentiment!$B$2:$B$37,Phone_by_Sentiment!G$2:G$37,"",0,1),0),$A1674-TEXT(DATEVALUE($D1674&amp;"-01"), "dd-mm-yyyy")),0),0)</f>
        <v>84</v>
      </c>
      <c r="H1674" cm="1">
        <f t="array" ref="H1674">IF($Q1674&gt;=0,IFERROR(generateSalesData($D1674, IF(ISNUMBER(_xlfn.XLOOKUP($C1674,Phone_by_Sentiment!$B$2:$B$37,Phone_by_Sentiment!H$2:H$37,"",0,1)),_xlfn.XLOOKUP($C1674,Phone_by_Sentiment!$B$2:$B$37,Phone_by_Sentiment!H$2:H$37,"",0,1),0),$A1674-TEXT(DATEVALUE($D1674&amp;"-01"), "dd-mm-yyyy")),0),0)</f>
        <v>407</v>
      </c>
      <c r="I1674" cm="1">
        <f t="array" ref="I1674">IF($Q1674&gt;=0,IFERROR(generateSalesData($D1674, IF(ISNUMBER(_xlfn.XLOOKUP($C1674,Phone_by_Sentiment!$B$2:$B$37,Phone_by_Sentiment!I$2:I$37,"",0,1)),_xlfn.XLOOKUP($C1674,Phone_by_Sentiment!$B$2:$B$37,Phone_by_Sentiment!I$2:I$37,"",0,1),0),$A1674-TEXT(DATEVALUE($D1674&amp;"-01"), "dd-mm-yyyy")),0),0)</f>
        <v>56</v>
      </c>
      <c r="J1674" cm="1">
        <f t="array" ref="J1674">IF($Q1674&gt;=0,IFERROR(generateSalesData($D1674, IF(ISNUMBER(_xlfn.XLOOKUP($C1674,Phone_by_Sentiment!$B$2:$B$37,Phone_by_Sentiment!J$2:J$37,"",0,1)),_xlfn.XLOOKUP($C1674,Phone_by_Sentiment!$B$2:$B$37,Phone_by_Sentiment!J$2:J$37,"",0,1),0),$A1674-TEXT(DATEVALUE($D1674&amp;"-01"), "dd-mm-yyyy")),0),0)</f>
        <v>13</v>
      </c>
      <c r="K1674" cm="1">
        <f t="array" ref="K1674">IF($Q1674&gt;=0,IFERROR(generateSalesData($D1674, IF(ISNUMBER(_xlfn.XLOOKUP($C1674,Phone_by_Sentiment!$B$2:$B$37,Phone_by_Sentiment!K$2:K$37,"",0,1)),_xlfn.XLOOKUP($C1674,Phone_by_Sentiment!$B$2:$B$37,Phone_by_Sentiment!K$2:K$37,"",0,1),0),$A1674-TEXT(DATEVALUE($D1674&amp;"-01"), "dd-mm-yyyy")),0),0)</f>
        <v>164</v>
      </c>
      <c r="L1674" cm="1">
        <f t="array" ref="L1674">IF($Q1674&gt;=0,IFERROR(generateSalesData($D1674, IF(ISNUMBER(_xlfn.XLOOKUP($C1674,Phone_by_Sentiment!$B$2:$B$37,Phone_by_Sentiment!L$2:L$37,"",0,1)),_xlfn.XLOOKUP($C1674,Phone_by_Sentiment!$B$2:$B$37,Phone_by_Sentiment!L$2:L$37,"",0,1),0),$A1674-TEXT(DATEVALUE($D1674&amp;"-01"), "dd-mm-yyyy")),0),0)</f>
        <v>25</v>
      </c>
      <c r="M1674" cm="1">
        <f t="array" ref="M1674">IF($Q1674&gt;=0,IFERROR(generateSalesData($D1674, IF(ISNUMBER(_xlfn.XLOOKUP($C1674,Phone_by_Sentiment!$B$2:$B$37,Phone_by_Sentiment!M$2:M$37,"",0,1)),_xlfn.XLOOKUP($C1674,Phone_by_Sentiment!$B$2:$B$37,Phone_by_Sentiment!M$2:M$37,"",0,1),0),$A1674-TEXT(DATEVALUE($D1674&amp;"-01"), "dd-mm-yyyy")),0),0)</f>
        <v>255</v>
      </c>
      <c r="N1674" cm="1">
        <f t="array" ref="N1674">IF($Q1674&gt;=0,IFERROR(generateSalesData($D1674, IF(ISNUMBER(_xlfn.XLOOKUP($C1674,Phone_by_Sentiment!$B$2:$B$37,Phone_by_Sentiment!N$2:N$37,"",0,1)),_xlfn.XLOOKUP($C1674,Phone_by_Sentiment!$B$2:$B$37,Phone_by_Sentiment!N$2:N$37,"",0,1),0),$A1674-TEXT(DATEVALUE($D1674&amp;"-01"), "dd-mm-yyyy")),0),0)</f>
        <v>18</v>
      </c>
      <c r="O1674" cm="1">
        <f t="array" ref="O1674">IF($Q1674&gt;=0,IFERROR(generateSalesData($D1674, IF(ISNUMBER(_xlfn.XLOOKUP($C1674,Phone_by_Sentiment!$B$2:$B$37,Phone_by_Sentiment!O$2:O$37,"",0,1)),_xlfn.XLOOKUP($C1674,Phone_by_Sentiment!$B$2:$B$37,Phone_by_Sentiment!O$2:O$37,"",0,1),0),$A1674-TEXT(DATEVALUE($D1674&amp;"-01"), "dd-mm-yyyy")),0),0)</f>
        <v>159</v>
      </c>
      <c r="P1674" s="1">
        <f t="shared" si="67"/>
        <v>44044</v>
      </c>
      <c r="Q1674">
        <f t="shared" si="69"/>
        <v>852</v>
      </c>
    </row>
    <row r="1675" spans="1:17" x14ac:dyDescent="0.25">
      <c r="A1675" s="1">
        <f t="shared" si="68"/>
        <v>44896</v>
      </c>
      <c r="B1675" t="s">
        <v>173</v>
      </c>
      <c r="C1675" t="str">
        <f>_xlfn.XLOOKUP(B1675,Phone_by_Price!$A$2:$A$34,Phone_by_Price!$B$2:$B$34,"-",0,1)</f>
        <v>Realme C3</v>
      </c>
      <c r="D1675" t="str">
        <f>_xlfn.XLOOKUP(C1675,Phone_by_Sentiment!$B$2:$B$37,Phone_by_Sentiment!$A$2:$A$37,"-",0,1)</f>
        <v>2020-02</v>
      </c>
      <c r="E1675" cm="1">
        <f t="array" ref="E1675">IF($Q1675&gt;=0,IFERROR(generateSalesData($D1675, IF(ISNUMBER(_xlfn.XLOOKUP($C1675,Phone_by_Sentiment!$B$2:$B$37,Phone_by_Sentiment!E$2:E$37,"",0,1)),_xlfn.XLOOKUP($C1675,Phone_by_Sentiment!$B$2:$B$37,Phone_by_Sentiment!E$2:E$37,"",0,1),0),$A1675-TEXT(DATEVALUE($D1675&amp;"-01"), "dd-mm-yyyy")),0),0)</f>
        <v>73</v>
      </c>
      <c r="F1675" cm="1">
        <f t="array" ref="F1675">IF($Q1675&gt;=0,IFERROR(generateSalesData($D1675, IF(ISNUMBER(_xlfn.XLOOKUP($C1675,Phone_by_Sentiment!$B$2:$B$37,Phone_by_Sentiment!F$2:F$37,"",0,1)),_xlfn.XLOOKUP($C1675,Phone_by_Sentiment!$B$2:$B$37,Phone_by_Sentiment!F$2:F$37,"",0,1),0),$A1675-TEXT(DATEVALUE($D1675&amp;"-01"), "dd-mm-yyyy")),0),0)</f>
        <v>39</v>
      </c>
      <c r="G1675" cm="1">
        <f t="array" ref="G1675">IF($Q1675&gt;=0,IFERROR(generateSalesData($D1675, IF(ISNUMBER(_xlfn.XLOOKUP($C1675,Phone_by_Sentiment!$B$2:$B$37,Phone_by_Sentiment!G$2:G$37,"",0,1)),_xlfn.XLOOKUP($C1675,Phone_by_Sentiment!$B$2:$B$37,Phone_by_Sentiment!G$2:G$37,"",0,1),0),$A1675-TEXT(DATEVALUE($D1675&amp;"-01"), "dd-mm-yyyy")),0),0)</f>
        <v>50</v>
      </c>
      <c r="H1675" cm="1">
        <f t="array" ref="H1675">IF($Q1675&gt;=0,IFERROR(generateSalesData($D1675, IF(ISNUMBER(_xlfn.XLOOKUP($C1675,Phone_by_Sentiment!$B$2:$B$37,Phone_by_Sentiment!H$2:H$37,"",0,1)),_xlfn.XLOOKUP($C1675,Phone_by_Sentiment!$B$2:$B$37,Phone_by_Sentiment!H$2:H$37,"",0,1),0),$A1675-TEXT(DATEVALUE($D1675&amp;"-01"), "dd-mm-yyyy")),0),0)</f>
        <v>153</v>
      </c>
      <c r="I1675" cm="1">
        <f t="array" ref="I1675">IF($Q1675&gt;=0,IFERROR(generateSalesData($D1675, IF(ISNUMBER(_xlfn.XLOOKUP($C1675,Phone_by_Sentiment!$B$2:$B$37,Phone_by_Sentiment!I$2:I$37,"",0,1)),_xlfn.XLOOKUP($C1675,Phone_by_Sentiment!$B$2:$B$37,Phone_by_Sentiment!I$2:I$37,"",0,1),0),$A1675-TEXT(DATEVALUE($D1675&amp;"-01"), "dd-mm-yyyy")),0),0)</f>
        <v>166</v>
      </c>
      <c r="J1675" cm="1">
        <f t="array" ref="J1675">IF($Q1675&gt;=0,IFERROR(generateSalesData($D1675, IF(ISNUMBER(_xlfn.XLOOKUP($C1675,Phone_by_Sentiment!$B$2:$B$37,Phone_by_Sentiment!J$2:J$37,"",0,1)),_xlfn.XLOOKUP($C1675,Phone_by_Sentiment!$B$2:$B$37,Phone_by_Sentiment!J$2:J$37,"",0,1),0),$A1675-TEXT(DATEVALUE($D1675&amp;"-01"), "dd-mm-yyyy")),0),0)</f>
        <v>8</v>
      </c>
      <c r="K1675" cm="1">
        <f t="array" ref="K1675">IF($Q1675&gt;=0,IFERROR(generateSalesData($D1675, IF(ISNUMBER(_xlfn.XLOOKUP($C1675,Phone_by_Sentiment!$B$2:$B$37,Phone_by_Sentiment!K$2:K$37,"",0,1)),_xlfn.XLOOKUP($C1675,Phone_by_Sentiment!$B$2:$B$37,Phone_by_Sentiment!K$2:K$37,"",0,1),0),$A1675-TEXT(DATEVALUE($D1675&amp;"-01"), "dd-mm-yyyy")),0),0)</f>
        <v>-4</v>
      </c>
      <c r="L1675" cm="1">
        <f t="array" ref="L1675">IF($Q1675&gt;=0,IFERROR(generateSalesData($D1675, IF(ISNUMBER(_xlfn.XLOOKUP($C1675,Phone_by_Sentiment!$B$2:$B$37,Phone_by_Sentiment!L$2:L$37,"",0,1)),_xlfn.XLOOKUP($C1675,Phone_by_Sentiment!$B$2:$B$37,Phone_by_Sentiment!L$2:L$37,"",0,1),0),$A1675-TEXT(DATEVALUE($D1675&amp;"-01"), "dd-mm-yyyy")),0),0)</f>
        <v>-49</v>
      </c>
      <c r="M1675" cm="1">
        <f t="array" ref="M1675">IF($Q1675&gt;=0,IFERROR(generateSalesData($D1675, IF(ISNUMBER(_xlfn.XLOOKUP($C1675,Phone_by_Sentiment!$B$2:$B$37,Phone_by_Sentiment!M$2:M$37,"",0,1)),_xlfn.XLOOKUP($C1675,Phone_by_Sentiment!$B$2:$B$37,Phone_by_Sentiment!M$2:M$37,"",0,1),0),$A1675-TEXT(DATEVALUE($D1675&amp;"-01"), "dd-mm-yyyy")),0),0)</f>
        <v>59</v>
      </c>
      <c r="N1675" cm="1">
        <f t="array" ref="N1675">IF($Q1675&gt;=0,IFERROR(generateSalesData($D1675, IF(ISNUMBER(_xlfn.XLOOKUP($C1675,Phone_by_Sentiment!$B$2:$B$37,Phone_by_Sentiment!N$2:N$37,"",0,1)),_xlfn.XLOOKUP($C1675,Phone_by_Sentiment!$B$2:$B$37,Phone_by_Sentiment!N$2:N$37,"",0,1),0),$A1675-TEXT(DATEVALUE($D1675&amp;"-01"), "dd-mm-yyyy")),0),0)</f>
        <v>380</v>
      </c>
      <c r="O1675" cm="1">
        <f t="array" ref="O1675">IF($Q1675&gt;=0,IFERROR(generateSalesData($D1675, IF(ISNUMBER(_xlfn.XLOOKUP($C1675,Phone_by_Sentiment!$B$2:$B$37,Phone_by_Sentiment!O$2:O$37,"",0,1)),_xlfn.XLOOKUP($C1675,Phone_by_Sentiment!$B$2:$B$37,Phone_by_Sentiment!O$2:O$37,"",0,1),0),$A1675-TEXT(DATEVALUE($D1675&amp;"-01"), "dd-mm-yyyy")),0),0)</f>
        <v>51</v>
      </c>
      <c r="P1675" s="1">
        <f t="shared" si="67"/>
        <v>43862</v>
      </c>
      <c r="Q1675">
        <f t="shared" si="69"/>
        <v>1034</v>
      </c>
    </row>
    <row r="1676" spans="1:17" x14ac:dyDescent="0.25">
      <c r="A1676" s="1">
        <f t="shared" si="68"/>
        <v>44896</v>
      </c>
      <c r="B1676" t="s">
        <v>174</v>
      </c>
      <c r="C1676" t="str">
        <f>_xlfn.XLOOKUP(B1676,Phone_by_Price!$A$2:$A$34,Phone_by_Price!$B$2:$B$34,"-",0,1)</f>
        <v>Samsung Galaxy A7</v>
      </c>
      <c r="D1676" t="str">
        <f>_xlfn.XLOOKUP(C1676,Phone_by_Sentiment!$B$2:$B$37,Phone_by_Sentiment!$A$2:$A$37,"-",0,1)</f>
        <v>2018-10</v>
      </c>
      <c r="E1676" cm="1">
        <f t="array" ref="E1676">IF($Q1676&gt;=0,IFERROR(generateSalesData($D1676, IF(ISNUMBER(_xlfn.XLOOKUP($C1676,Phone_by_Sentiment!$B$2:$B$37,Phone_by_Sentiment!E$2:E$37,"",0,1)),_xlfn.XLOOKUP($C1676,Phone_by_Sentiment!$B$2:$B$37,Phone_by_Sentiment!E$2:E$37,"",0,1),0),$A1676-TEXT(DATEVALUE($D1676&amp;"-01"), "dd-mm-yyyy")),0),0)</f>
        <v>47</v>
      </c>
      <c r="F1676" cm="1">
        <f t="array" ref="F1676">IF($Q1676&gt;=0,IFERROR(generateSalesData($D1676, IF(ISNUMBER(_xlfn.XLOOKUP($C1676,Phone_by_Sentiment!$B$2:$B$37,Phone_by_Sentiment!F$2:F$37,"",0,1)),_xlfn.XLOOKUP($C1676,Phone_by_Sentiment!$B$2:$B$37,Phone_by_Sentiment!F$2:F$37,"",0,1),0),$A1676-TEXT(DATEVALUE($D1676&amp;"-01"), "dd-mm-yyyy")),0),0)</f>
        <v>13</v>
      </c>
      <c r="G1676" cm="1">
        <f t="array" ref="G1676">IF($Q1676&gt;=0,IFERROR(generateSalesData($D1676, IF(ISNUMBER(_xlfn.XLOOKUP($C1676,Phone_by_Sentiment!$B$2:$B$37,Phone_by_Sentiment!G$2:G$37,"",0,1)),_xlfn.XLOOKUP($C1676,Phone_by_Sentiment!$B$2:$B$37,Phone_by_Sentiment!G$2:G$37,"",0,1),0),$A1676-TEXT(DATEVALUE($D1676&amp;"-01"), "dd-mm-yyyy")),0),0)</f>
        <v>36</v>
      </c>
      <c r="H1676" cm="1">
        <f t="array" ref="H1676">IF($Q1676&gt;=0,IFERROR(generateSalesData($D1676, IF(ISNUMBER(_xlfn.XLOOKUP($C1676,Phone_by_Sentiment!$B$2:$B$37,Phone_by_Sentiment!H$2:H$37,"",0,1)),_xlfn.XLOOKUP($C1676,Phone_by_Sentiment!$B$2:$B$37,Phone_by_Sentiment!H$2:H$37,"",0,1),0),$A1676-TEXT(DATEVALUE($D1676&amp;"-01"), "dd-mm-yyyy")),0),0)</f>
        <v>90</v>
      </c>
      <c r="I1676" cm="1">
        <f t="array" ref="I1676">IF($Q1676&gt;=0,IFERROR(generateSalesData($D1676, IF(ISNUMBER(_xlfn.XLOOKUP($C1676,Phone_by_Sentiment!$B$2:$B$37,Phone_by_Sentiment!I$2:I$37,"",0,1)),_xlfn.XLOOKUP($C1676,Phone_by_Sentiment!$B$2:$B$37,Phone_by_Sentiment!I$2:I$37,"",0,1),0),$A1676-TEXT(DATEVALUE($D1676&amp;"-01"), "dd-mm-yyyy")),0),0)</f>
        <v>99</v>
      </c>
      <c r="J1676" cm="1">
        <f t="array" ref="J1676">IF($Q1676&gt;=0,IFERROR(generateSalesData($D1676, IF(ISNUMBER(_xlfn.XLOOKUP($C1676,Phone_by_Sentiment!$B$2:$B$37,Phone_by_Sentiment!J$2:J$37,"",0,1)),_xlfn.XLOOKUP($C1676,Phone_by_Sentiment!$B$2:$B$37,Phone_by_Sentiment!J$2:J$37,"",0,1),0),$A1676-TEXT(DATEVALUE($D1676&amp;"-01"), "dd-mm-yyyy")),0),0)</f>
        <v>31</v>
      </c>
      <c r="K1676" cm="1">
        <f t="array" ref="K1676">IF($Q1676&gt;=0,IFERROR(generateSalesData($D1676, IF(ISNUMBER(_xlfn.XLOOKUP($C1676,Phone_by_Sentiment!$B$2:$B$37,Phone_by_Sentiment!K$2:K$37,"",0,1)),_xlfn.XLOOKUP($C1676,Phone_by_Sentiment!$B$2:$B$37,Phone_by_Sentiment!K$2:K$37,"",0,1),0),$A1676-TEXT(DATEVALUE($D1676&amp;"-01"), "dd-mm-yyyy")),0),0)</f>
        <v>3</v>
      </c>
      <c r="L1676" cm="1">
        <f t="array" ref="L1676">IF($Q1676&gt;=0,IFERROR(generateSalesData($D1676, IF(ISNUMBER(_xlfn.XLOOKUP($C1676,Phone_by_Sentiment!$B$2:$B$37,Phone_by_Sentiment!L$2:L$37,"",0,1)),_xlfn.XLOOKUP($C1676,Phone_by_Sentiment!$B$2:$B$37,Phone_by_Sentiment!L$2:L$37,"",0,1),0),$A1676-TEXT(DATEVALUE($D1676&amp;"-01"), "dd-mm-yyyy")),0),0)</f>
        <v>2</v>
      </c>
      <c r="M1676" cm="1">
        <f t="array" ref="M1676">IF($Q1676&gt;=0,IFERROR(generateSalesData($D1676, IF(ISNUMBER(_xlfn.XLOOKUP($C1676,Phone_by_Sentiment!$B$2:$B$37,Phone_by_Sentiment!M$2:M$37,"",0,1)),_xlfn.XLOOKUP($C1676,Phone_by_Sentiment!$B$2:$B$37,Phone_by_Sentiment!M$2:M$37,"",0,1),0),$A1676-TEXT(DATEVALUE($D1676&amp;"-01"), "dd-mm-yyyy")),0),0)</f>
        <v>46</v>
      </c>
      <c r="N1676" cm="1">
        <f t="array" ref="N1676">IF($Q1676&gt;=0,IFERROR(generateSalesData($D1676, IF(ISNUMBER(_xlfn.XLOOKUP($C1676,Phone_by_Sentiment!$B$2:$B$37,Phone_by_Sentiment!N$2:N$37,"",0,1)),_xlfn.XLOOKUP($C1676,Phone_by_Sentiment!$B$2:$B$37,Phone_by_Sentiment!N$2:N$37,"",0,1),0),$A1676-TEXT(DATEVALUE($D1676&amp;"-01"), "dd-mm-yyyy")),0),0)</f>
        <v>53</v>
      </c>
      <c r="O1676" cm="1">
        <f t="array" ref="O1676">IF($Q1676&gt;=0,IFERROR(generateSalesData($D1676, IF(ISNUMBER(_xlfn.XLOOKUP($C1676,Phone_by_Sentiment!$B$2:$B$37,Phone_by_Sentiment!O$2:O$37,"",0,1)),_xlfn.XLOOKUP($C1676,Phone_by_Sentiment!$B$2:$B$37,Phone_by_Sentiment!O$2:O$37,"",0,1),0),$A1676-TEXT(DATEVALUE($D1676&amp;"-01"), "dd-mm-yyyy")),0),0)</f>
        <v>176</v>
      </c>
      <c r="P1676" s="1">
        <f t="shared" si="67"/>
        <v>43374</v>
      </c>
      <c r="Q1676">
        <f t="shared" si="69"/>
        <v>1522</v>
      </c>
    </row>
    <row r="1677" spans="1:17" x14ac:dyDescent="0.25">
      <c r="A1677" s="1">
        <f t="shared" si="68"/>
        <v>44896</v>
      </c>
      <c r="B1677" t="s">
        <v>142</v>
      </c>
      <c r="C1677" t="str">
        <f>_xlfn.XLOOKUP(B1677,Phone_by_Price!$A$2:$A$34,Phone_by_Price!$B$2:$B$34,"-",0,1)</f>
        <v>iPhone 11</v>
      </c>
      <c r="D1677" t="str">
        <f>_xlfn.XLOOKUP(C1677,Phone_by_Sentiment!$B$2:$B$37,Phone_by_Sentiment!$A$2:$A$37,"-",0,1)</f>
        <v>2019-09</v>
      </c>
      <c r="E1677" cm="1">
        <f t="array" ref="E1677">IF($Q1677&gt;=0,IFERROR(generateSalesData($D1677, IF(ISNUMBER(_xlfn.XLOOKUP($C1677,Phone_by_Sentiment!$B$2:$B$37,Phone_by_Sentiment!E$2:E$37,"",0,1)),_xlfn.XLOOKUP($C1677,Phone_by_Sentiment!$B$2:$B$37,Phone_by_Sentiment!E$2:E$37,"",0,1),0),$A1677-TEXT(DATEVALUE($D1677&amp;"-01"), "dd-mm-yyyy")),0),0)</f>
        <v>119</v>
      </c>
      <c r="F1677" cm="1">
        <f t="array" ref="F1677">IF($Q1677&gt;=0,IFERROR(generateSalesData($D1677, IF(ISNUMBER(_xlfn.XLOOKUP($C1677,Phone_by_Sentiment!$B$2:$B$37,Phone_by_Sentiment!F$2:F$37,"",0,1)),_xlfn.XLOOKUP($C1677,Phone_by_Sentiment!$B$2:$B$37,Phone_by_Sentiment!F$2:F$37,"",0,1),0),$A1677-TEXT(DATEVALUE($D1677&amp;"-01"), "dd-mm-yyyy")),0),0)</f>
        <v>267</v>
      </c>
      <c r="G1677" cm="1">
        <f t="array" ref="G1677">IF($Q1677&gt;=0,IFERROR(generateSalesData($D1677, IF(ISNUMBER(_xlfn.XLOOKUP($C1677,Phone_by_Sentiment!$B$2:$B$37,Phone_by_Sentiment!G$2:G$37,"",0,1)),_xlfn.XLOOKUP($C1677,Phone_by_Sentiment!$B$2:$B$37,Phone_by_Sentiment!G$2:G$37,"",0,1),0),$A1677-TEXT(DATEVALUE($D1677&amp;"-01"), "dd-mm-yyyy")),0),0)</f>
        <v>51</v>
      </c>
      <c r="H1677" cm="1">
        <f t="array" ref="H1677">IF($Q1677&gt;=0,IFERROR(generateSalesData($D1677, IF(ISNUMBER(_xlfn.XLOOKUP($C1677,Phone_by_Sentiment!$B$2:$B$37,Phone_by_Sentiment!H$2:H$37,"",0,1)),_xlfn.XLOOKUP($C1677,Phone_by_Sentiment!$B$2:$B$37,Phone_by_Sentiment!H$2:H$37,"",0,1),0),$A1677-TEXT(DATEVALUE($D1677&amp;"-01"), "dd-mm-yyyy")),0),0)</f>
        <v>233</v>
      </c>
      <c r="I1677" cm="1">
        <f t="array" ref="I1677">IF($Q1677&gt;=0,IFERROR(generateSalesData($D1677, IF(ISNUMBER(_xlfn.XLOOKUP($C1677,Phone_by_Sentiment!$B$2:$B$37,Phone_by_Sentiment!I$2:I$37,"",0,1)),_xlfn.XLOOKUP($C1677,Phone_by_Sentiment!$B$2:$B$37,Phone_by_Sentiment!I$2:I$37,"",0,1),0),$A1677-TEXT(DATEVALUE($D1677&amp;"-01"), "dd-mm-yyyy")),0),0)</f>
        <v>160</v>
      </c>
      <c r="J1677" cm="1">
        <f t="array" ref="J1677">IF($Q1677&gt;=0,IFERROR(generateSalesData($D1677, IF(ISNUMBER(_xlfn.XLOOKUP($C1677,Phone_by_Sentiment!$B$2:$B$37,Phone_by_Sentiment!J$2:J$37,"",0,1)),_xlfn.XLOOKUP($C1677,Phone_by_Sentiment!$B$2:$B$37,Phone_by_Sentiment!J$2:J$37,"",0,1),0),$A1677-TEXT(DATEVALUE($D1677&amp;"-01"), "dd-mm-yyyy")),0),0)</f>
        <v>203</v>
      </c>
      <c r="K1677" cm="1">
        <f t="array" ref="K1677">IF($Q1677&gt;=0,IFERROR(generateSalesData($D1677, IF(ISNUMBER(_xlfn.XLOOKUP($C1677,Phone_by_Sentiment!$B$2:$B$37,Phone_by_Sentiment!K$2:K$37,"",0,1)),_xlfn.XLOOKUP($C1677,Phone_by_Sentiment!$B$2:$B$37,Phone_by_Sentiment!K$2:K$37,"",0,1),0),$A1677-TEXT(DATEVALUE($D1677&amp;"-01"), "dd-mm-yyyy")),0),0)</f>
        <v>76</v>
      </c>
      <c r="L1677" cm="1">
        <f t="array" ref="L1677">IF($Q1677&gt;=0,IFERROR(generateSalesData($D1677, IF(ISNUMBER(_xlfn.XLOOKUP($C1677,Phone_by_Sentiment!$B$2:$B$37,Phone_by_Sentiment!L$2:L$37,"",0,1)),_xlfn.XLOOKUP($C1677,Phone_by_Sentiment!$B$2:$B$37,Phone_by_Sentiment!L$2:L$37,"",0,1),0),$A1677-TEXT(DATEVALUE($D1677&amp;"-01"), "dd-mm-yyyy")),0),0)</f>
        <v>301</v>
      </c>
      <c r="M1677" cm="1">
        <f t="array" ref="M1677">IF($Q1677&gt;=0,IFERROR(generateSalesData($D1677, IF(ISNUMBER(_xlfn.XLOOKUP($C1677,Phone_by_Sentiment!$B$2:$B$37,Phone_by_Sentiment!M$2:M$37,"",0,1)),_xlfn.XLOOKUP($C1677,Phone_by_Sentiment!$B$2:$B$37,Phone_by_Sentiment!M$2:M$37,"",0,1),0),$A1677-TEXT(DATEVALUE($D1677&amp;"-01"), "dd-mm-yyyy")),0),0)</f>
        <v>155</v>
      </c>
      <c r="N1677" cm="1">
        <f t="array" ref="N1677">IF($Q1677&gt;=0,IFERROR(generateSalesData($D1677, IF(ISNUMBER(_xlfn.XLOOKUP($C1677,Phone_by_Sentiment!$B$2:$B$37,Phone_by_Sentiment!N$2:N$37,"",0,1)),_xlfn.XLOOKUP($C1677,Phone_by_Sentiment!$B$2:$B$37,Phone_by_Sentiment!N$2:N$37,"",0,1),0),$A1677-TEXT(DATEVALUE($D1677&amp;"-01"), "dd-mm-yyyy")),0),0)</f>
        <v>229</v>
      </c>
      <c r="O1677" cm="1">
        <f t="array" ref="O1677">IF($Q1677&gt;=0,IFERROR(generateSalesData($D1677, IF(ISNUMBER(_xlfn.XLOOKUP($C1677,Phone_by_Sentiment!$B$2:$B$37,Phone_by_Sentiment!O$2:O$37,"",0,1)),_xlfn.XLOOKUP($C1677,Phone_by_Sentiment!$B$2:$B$37,Phone_by_Sentiment!O$2:O$37,"",0,1),0),$A1677-TEXT(DATEVALUE($D1677&amp;"-01"), "dd-mm-yyyy")),0),0)</f>
        <v>131</v>
      </c>
      <c r="P1677" s="1">
        <f t="shared" si="67"/>
        <v>43709</v>
      </c>
      <c r="Q1677">
        <f t="shared" si="69"/>
        <v>1187</v>
      </c>
    </row>
    <row r="1678" spans="1:17" x14ac:dyDescent="0.25">
      <c r="A1678" s="1">
        <f t="shared" si="68"/>
        <v>44896</v>
      </c>
      <c r="B1678" t="s">
        <v>143</v>
      </c>
      <c r="C1678" t="str">
        <f>_xlfn.XLOOKUP(B1678,Phone_by_Price!$A$2:$A$34,Phone_by_Price!$B$2:$B$34,"-",0,1)</f>
        <v>Samsung Galaxy S20 Ultra</v>
      </c>
      <c r="D1678" t="str">
        <f>_xlfn.XLOOKUP(C1678,Phone_by_Sentiment!$B$2:$B$37,Phone_by_Sentiment!$A$2:$A$37,"-",0,1)</f>
        <v>2020-02</v>
      </c>
      <c r="E1678" cm="1">
        <f t="array" ref="E1678">IF($Q1678&gt;=0,IFERROR(generateSalesData($D1678, IF(ISNUMBER(_xlfn.XLOOKUP($C1678,Phone_by_Sentiment!$B$2:$B$37,Phone_by_Sentiment!E$2:E$37,"",0,1)),_xlfn.XLOOKUP($C1678,Phone_by_Sentiment!$B$2:$B$37,Phone_by_Sentiment!E$2:E$37,"",0,1),0),$A1678-TEXT(DATEVALUE($D1678&amp;"-01"), "dd-mm-yyyy")),0),0)</f>
        <v>241</v>
      </c>
      <c r="F1678" cm="1">
        <f t="array" ref="F1678">IF($Q1678&gt;=0,IFERROR(generateSalesData($D1678, IF(ISNUMBER(_xlfn.XLOOKUP($C1678,Phone_by_Sentiment!$B$2:$B$37,Phone_by_Sentiment!F$2:F$37,"",0,1)),_xlfn.XLOOKUP($C1678,Phone_by_Sentiment!$B$2:$B$37,Phone_by_Sentiment!F$2:F$37,"",0,1),0),$A1678-TEXT(DATEVALUE($D1678&amp;"-01"), "dd-mm-yyyy")),0),0)</f>
        <v>210</v>
      </c>
      <c r="G1678" cm="1">
        <f t="array" ref="G1678">IF($Q1678&gt;=0,IFERROR(generateSalesData($D1678, IF(ISNUMBER(_xlfn.XLOOKUP($C1678,Phone_by_Sentiment!$B$2:$B$37,Phone_by_Sentiment!G$2:G$37,"",0,1)),_xlfn.XLOOKUP($C1678,Phone_by_Sentiment!$B$2:$B$37,Phone_by_Sentiment!G$2:G$37,"",0,1),0),$A1678-TEXT(DATEVALUE($D1678&amp;"-01"), "dd-mm-yyyy")),0),0)</f>
        <v>56</v>
      </c>
      <c r="H1678" cm="1">
        <f t="array" ref="H1678">IF($Q1678&gt;=0,IFERROR(generateSalesData($D1678, IF(ISNUMBER(_xlfn.XLOOKUP($C1678,Phone_by_Sentiment!$B$2:$B$37,Phone_by_Sentiment!H$2:H$37,"",0,1)),_xlfn.XLOOKUP($C1678,Phone_by_Sentiment!$B$2:$B$37,Phone_by_Sentiment!H$2:H$37,"",0,1),0),$A1678-TEXT(DATEVALUE($D1678&amp;"-01"), "dd-mm-yyyy")),0),0)</f>
        <v>153</v>
      </c>
      <c r="I1678" cm="1">
        <f t="array" ref="I1678">IF($Q1678&gt;=0,IFERROR(generateSalesData($D1678, IF(ISNUMBER(_xlfn.XLOOKUP($C1678,Phone_by_Sentiment!$B$2:$B$37,Phone_by_Sentiment!I$2:I$37,"",0,1)),_xlfn.XLOOKUP($C1678,Phone_by_Sentiment!$B$2:$B$37,Phone_by_Sentiment!I$2:I$37,"",0,1),0),$A1678-TEXT(DATEVALUE($D1678&amp;"-01"), "dd-mm-yyyy")),0),0)</f>
        <v>192</v>
      </c>
      <c r="J1678" cm="1">
        <f t="array" ref="J1678">IF($Q1678&gt;=0,IFERROR(generateSalesData($D1678, IF(ISNUMBER(_xlfn.XLOOKUP($C1678,Phone_by_Sentiment!$B$2:$B$37,Phone_by_Sentiment!J$2:J$37,"",0,1)),_xlfn.XLOOKUP($C1678,Phone_by_Sentiment!$B$2:$B$37,Phone_by_Sentiment!J$2:J$37,"",0,1),0),$A1678-TEXT(DATEVALUE($D1678&amp;"-01"), "dd-mm-yyyy")),0),0)</f>
        <v>200</v>
      </c>
      <c r="K1678" cm="1">
        <f t="array" ref="K1678">IF($Q1678&gt;=0,IFERROR(generateSalesData($D1678, IF(ISNUMBER(_xlfn.XLOOKUP($C1678,Phone_by_Sentiment!$B$2:$B$37,Phone_by_Sentiment!K$2:K$37,"",0,1)),_xlfn.XLOOKUP($C1678,Phone_by_Sentiment!$B$2:$B$37,Phone_by_Sentiment!K$2:K$37,"",0,1),0),$A1678-TEXT(DATEVALUE($D1678&amp;"-01"), "dd-mm-yyyy")),0),0)</f>
        <v>31</v>
      </c>
      <c r="L1678" cm="1">
        <f t="array" ref="L1678">IF($Q1678&gt;=0,IFERROR(generateSalesData($D1678, IF(ISNUMBER(_xlfn.XLOOKUP($C1678,Phone_by_Sentiment!$B$2:$B$37,Phone_by_Sentiment!L$2:L$37,"",0,1)),_xlfn.XLOOKUP($C1678,Phone_by_Sentiment!$B$2:$B$37,Phone_by_Sentiment!L$2:L$37,"",0,1),0),$A1678-TEXT(DATEVALUE($D1678&amp;"-01"), "dd-mm-yyyy")),0),0)</f>
        <v>162</v>
      </c>
      <c r="M1678" cm="1">
        <f t="array" ref="M1678">IF($Q1678&gt;=0,IFERROR(generateSalesData($D1678, IF(ISNUMBER(_xlfn.XLOOKUP($C1678,Phone_by_Sentiment!$B$2:$B$37,Phone_by_Sentiment!M$2:M$37,"",0,1)),_xlfn.XLOOKUP($C1678,Phone_by_Sentiment!$B$2:$B$37,Phone_by_Sentiment!M$2:M$37,"",0,1),0),$A1678-TEXT(DATEVALUE($D1678&amp;"-01"), "dd-mm-yyyy")),0),0)</f>
        <v>318</v>
      </c>
      <c r="N1678" cm="1">
        <f t="array" ref="N1678">IF($Q1678&gt;=0,IFERROR(generateSalesData($D1678, IF(ISNUMBER(_xlfn.XLOOKUP($C1678,Phone_by_Sentiment!$B$2:$B$37,Phone_by_Sentiment!N$2:N$37,"",0,1)),_xlfn.XLOOKUP($C1678,Phone_by_Sentiment!$B$2:$B$37,Phone_by_Sentiment!N$2:N$37,"",0,1),0),$A1678-TEXT(DATEVALUE($D1678&amp;"-01"), "dd-mm-yyyy")),0),0)</f>
        <v>183</v>
      </c>
      <c r="O1678" cm="1">
        <f t="array" ref="O1678">IF($Q1678&gt;=0,IFERROR(generateSalesData($D1678, IF(ISNUMBER(_xlfn.XLOOKUP($C1678,Phone_by_Sentiment!$B$2:$B$37,Phone_by_Sentiment!O$2:O$37,"",0,1)),_xlfn.XLOOKUP($C1678,Phone_by_Sentiment!$B$2:$B$37,Phone_by_Sentiment!O$2:O$37,"",0,1),0),$A1678-TEXT(DATEVALUE($D1678&amp;"-01"), "dd-mm-yyyy")),0),0)</f>
        <v>400</v>
      </c>
      <c r="P1678" s="1">
        <f t="shared" si="67"/>
        <v>43862</v>
      </c>
      <c r="Q1678">
        <f t="shared" si="69"/>
        <v>1034</v>
      </c>
    </row>
    <row r="1679" spans="1:17" x14ac:dyDescent="0.25">
      <c r="A1679" s="1">
        <f t="shared" si="68"/>
        <v>44896</v>
      </c>
      <c r="B1679" t="s">
        <v>144</v>
      </c>
      <c r="C1679" t="str">
        <f>_xlfn.XLOOKUP(B1679,Phone_by_Price!$A$2:$A$34,Phone_by_Price!$B$2:$B$34,"-",0,1)</f>
        <v>Xiaomi Redmi Note 10</v>
      </c>
      <c r="D1679" t="str">
        <f>_xlfn.XLOOKUP(C1679,Phone_by_Sentiment!$B$2:$B$37,Phone_by_Sentiment!$A$2:$A$37,"-",0,1)</f>
        <v>2021-03</v>
      </c>
      <c r="E1679" cm="1">
        <f t="array" ref="E1679">IF($Q1679&gt;=0,IFERROR(generateSalesData($D1679, IF(ISNUMBER(_xlfn.XLOOKUP($C1679,Phone_by_Sentiment!$B$2:$B$37,Phone_by_Sentiment!E$2:E$37,"",0,1)),_xlfn.XLOOKUP($C1679,Phone_by_Sentiment!$B$2:$B$37,Phone_by_Sentiment!E$2:E$37,"",0,1),0),$A1679-TEXT(DATEVALUE($D1679&amp;"-01"), "dd-mm-yyyy")),0),0)</f>
        <v>311</v>
      </c>
      <c r="F1679" cm="1">
        <f t="array" ref="F1679">IF($Q1679&gt;=0,IFERROR(generateSalesData($D1679, IF(ISNUMBER(_xlfn.XLOOKUP($C1679,Phone_by_Sentiment!$B$2:$B$37,Phone_by_Sentiment!F$2:F$37,"",0,1)),_xlfn.XLOOKUP($C1679,Phone_by_Sentiment!$B$2:$B$37,Phone_by_Sentiment!F$2:F$37,"",0,1),0),$A1679-TEXT(DATEVALUE($D1679&amp;"-01"), "dd-mm-yyyy")),0),0)</f>
        <v>59</v>
      </c>
      <c r="G1679" cm="1">
        <f t="array" ref="G1679">IF($Q1679&gt;=0,IFERROR(generateSalesData($D1679, IF(ISNUMBER(_xlfn.XLOOKUP($C1679,Phone_by_Sentiment!$B$2:$B$37,Phone_by_Sentiment!G$2:G$37,"",0,1)),_xlfn.XLOOKUP($C1679,Phone_by_Sentiment!$B$2:$B$37,Phone_by_Sentiment!G$2:G$37,"",0,1),0),$A1679-TEXT(DATEVALUE($D1679&amp;"-01"), "dd-mm-yyyy")),0),0)</f>
        <v>138</v>
      </c>
      <c r="H1679" cm="1">
        <f t="array" ref="H1679">IF($Q1679&gt;=0,IFERROR(generateSalesData($D1679, IF(ISNUMBER(_xlfn.XLOOKUP($C1679,Phone_by_Sentiment!$B$2:$B$37,Phone_by_Sentiment!H$2:H$37,"",0,1)),_xlfn.XLOOKUP($C1679,Phone_by_Sentiment!$B$2:$B$37,Phone_by_Sentiment!H$2:H$37,"",0,1),0),$A1679-TEXT(DATEVALUE($D1679&amp;"-01"), "dd-mm-yyyy")),0),0)</f>
        <v>343</v>
      </c>
      <c r="I1679" cm="1">
        <f t="array" ref="I1679">IF($Q1679&gt;=0,IFERROR(generateSalesData($D1679, IF(ISNUMBER(_xlfn.XLOOKUP($C1679,Phone_by_Sentiment!$B$2:$B$37,Phone_by_Sentiment!I$2:I$37,"",0,1)),_xlfn.XLOOKUP($C1679,Phone_by_Sentiment!$B$2:$B$37,Phone_by_Sentiment!I$2:I$37,"",0,1),0),$A1679-TEXT(DATEVALUE($D1679&amp;"-01"), "dd-mm-yyyy")),0),0)</f>
        <v>131</v>
      </c>
      <c r="J1679" cm="1">
        <f t="array" ref="J1679">IF($Q1679&gt;=0,IFERROR(generateSalesData($D1679, IF(ISNUMBER(_xlfn.XLOOKUP($C1679,Phone_by_Sentiment!$B$2:$B$37,Phone_by_Sentiment!J$2:J$37,"",0,1)),_xlfn.XLOOKUP($C1679,Phone_by_Sentiment!$B$2:$B$37,Phone_by_Sentiment!J$2:J$37,"",0,1),0),$A1679-TEXT(DATEVALUE($D1679&amp;"-01"), "dd-mm-yyyy")),0),0)</f>
        <v>263</v>
      </c>
      <c r="K1679" cm="1">
        <f t="array" ref="K1679">IF($Q1679&gt;=0,IFERROR(generateSalesData($D1679, IF(ISNUMBER(_xlfn.XLOOKUP($C1679,Phone_by_Sentiment!$B$2:$B$37,Phone_by_Sentiment!K$2:K$37,"",0,1)),_xlfn.XLOOKUP($C1679,Phone_by_Sentiment!$B$2:$B$37,Phone_by_Sentiment!K$2:K$37,"",0,1),0),$A1679-TEXT(DATEVALUE($D1679&amp;"-01"), "dd-mm-yyyy")),0),0)</f>
        <v>161</v>
      </c>
      <c r="L1679" cm="1">
        <f t="array" ref="L1679">IF($Q1679&gt;=0,IFERROR(generateSalesData($D1679, IF(ISNUMBER(_xlfn.XLOOKUP($C1679,Phone_by_Sentiment!$B$2:$B$37,Phone_by_Sentiment!L$2:L$37,"",0,1)),_xlfn.XLOOKUP($C1679,Phone_by_Sentiment!$B$2:$B$37,Phone_by_Sentiment!L$2:L$37,"",0,1),0),$A1679-TEXT(DATEVALUE($D1679&amp;"-01"), "dd-mm-yyyy")),0),0)</f>
        <v>354</v>
      </c>
      <c r="M1679" cm="1">
        <f t="array" ref="M1679">IF($Q1679&gt;=0,IFERROR(generateSalesData($D1679, IF(ISNUMBER(_xlfn.XLOOKUP($C1679,Phone_by_Sentiment!$B$2:$B$37,Phone_by_Sentiment!M$2:M$37,"",0,1)),_xlfn.XLOOKUP($C1679,Phone_by_Sentiment!$B$2:$B$37,Phone_by_Sentiment!M$2:M$37,"",0,1),0),$A1679-TEXT(DATEVALUE($D1679&amp;"-01"), "dd-mm-yyyy")),0),0)</f>
        <v>53</v>
      </c>
      <c r="N1679" cm="1">
        <f t="array" ref="N1679">IF($Q1679&gt;=0,IFERROR(generateSalesData($D1679, IF(ISNUMBER(_xlfn.XLOOKUP($C1679,Phone_by_Sentiment!$B$2:$B$37,Phone_by_Sentiment!N$2:N$37,"",0,1)),_xlfn.XLOOKUP($C1679,Phone_by_Sentiment!$B$2:$B$37,Phone_by_Sentiment!N$2:N$37,"",0,1),0),$A1679-TEXT(DATEVALUE($D1679&amp;"-01"), "dd-mm-yyyy")),0),0)</f>
        <v>582</v>
      </c>
      <c r="O1679" cm="1">
        <f t="array" ref="O1679">IF($Q1679&gt;=0,IFERROR(generateSalesData($D1679, IF(ISNUMBER(_xlfn.XLOOKUP($C1679,Phone_by_Sentiment!$B$2:$B$37,Phone_by_Sentiment!O$2:O$37,"",0,1)),_xlfn.XLOOKUP($C1679,Phone_by_Sentiment!$B$2:$B$37,Phone_by_Sentiment!O$2:O$37,"",0,1),0),$A1679-TEXT(DATEVALUE($D1679&amp;"-01"), "dd-mm-yyyy")),0),0)</f>
        <v>424</v>
      </c>
      <c r="P1679" s="1">
        <f t="shared" si="67"/>
        <v>44256</v>
      </c>
      <c r="Q1679">
        <f t="shared" si="69"/>
        <v>640</v>
      </c>
    </row>
    <row r="1680" spans="1:17" x14ac:dyDescent="0.25">
      <c r="A1680" s="1">
        <f t="shared" si="68"/>
        <v>44896</v>
      </c>
      <c r="B1680" t="s">
        <v>145</v>
      </c>
      <c r="C1680" t="str">
        <f>_xlfn.XLOOKUP(B1680,Phone_by_Price!$A$2:$A$34,Phone_by_Price!$B$2:$B$34,"-",0,1)</f>
        <v>OPPO A54</v>
      </c>
      <c r="D1680" t="str">
        <f>_xlfn.XLOOKUP(C1680,Phone_by_Sentiment!$B$2:$B$37,Phone_by_Sentiment!$A$2:$A$37,"-",0,1)</f>
        <v>2021-04</v>
      </c>
      <c r="E1680" cm="1">
        <f t="array" ref="E1680">IF($Q1680&gt;=0,IFERROR(generateSalesData($D1680, IF(ISNUMBER(_xlfn.XLOOKUP($C1680,Phone_by_Sentiment!$B$2:$B$37,Phone_by_Sentiment!E$2:E$37,"",0,1)),_xlfn.XLOOKUP($C1680,Phone_by_Sentiment!$B$2:$B$37,Phone_by_Sentiment!E$2:E$37,"",0,1),0),$A1680-TEXT(DATEVALUE($D1680&amp;"-01"), "dd-mm-yyyy")),0),0)</f>
        <v>368</v>
      </c>
      <c r="F1680" cm="1">
        <f t="array" ref="F1680">IF($Q1680&gt;=0,IFERROR(generateSalesData($D1680, IF(ISNUMBER(_xlfn.XLOOKUP($C1680,Phone_by_Sentiment!$B$2:$B$37,Phone_by_Sentiment!F$2:F$37,"",0,1)),_xlfn.XLOOKUP($C1680,Phone_by_Sentiment!$B$2:$B$37,Phone_by_Sentiment!F$2:F$37,"",0,1),0),$A1680-TEXT(DATEVALUE($D1680&amp;"-01"), "dd-mm-yyyy")),0),0)</f>
        <v>15</v>
      </c>
      <c r="G1680" cm="1">
        <f t="array" ref="G1680">IF($Q1680&gt;=0,IFERROR(generateSalesData($D1680, IF(ISNUMBER(_xlfn.XLOOKUP($C1680,Phone_by_Sentiment!$B$2:$B$37,Phone_by_Sentiment!G$2:G$37,"",0,1)),_xlfn.XLOOKUP($C1680,Phone_by_Sentiment!$B$2:$B$37,Phone_by_Sentiment!G$2:G$37,"",0,1),0),$A1680-TEXT(DATEVALUE($D1680&amp;"-01"), "dd-mm-yyyy")),0),0)</f>
        <v>36</v>
      </c>
      <c r="H1680" cm="1">
        <f t="array" ref="H1680">IF($Q1680&gt;=0,IFERROR(generateSalesData($D1680, IF(ISNUMBER(_xlfn.XLOOKUP($C1680,Phone_by_Sentiment!$B$2:$B$37,Phone_by_Sentiment!H$2:H$37,"",0,1)),_xlfn.XLOOKUP($C1680,Phone_by_Sentiment!$B$2:$B$37,Phone_by_Sentiment!H$2:H$37,"",0,1),0),$A1680-TEXT(DATEVALUE($D1680&amp;"-01"), "dd-mm-yyyy")),0),0)</f>
        <v>320</v>
      </c>
      <c r="I1680" cm="1">
        <f t="array" ref="I1680">IF($Q1680&gt;=0,IFERROR(generateSalesData($D1680, IF(ISNUMBER(_xlfn.XLOOKUP($C1680,Phone_by_Sentiment!$B$2:$B$37,Phone_by_Sentiment!I$2:I$37,"",0,1)),_xlfn.XLOOKUP($C1680,Phone_by_Sentiment!$B$2:$B$37,Phone_by_Sentiment!I$2:I$37,"",0,1),0),$A1680-TEXT(DATEVALUE($D1680&amp;"-01"), "dd-mm-yyyy")),0),0)</f>
        <v>625</v>
      </c>
      <c r="J1680" cm="1">
        <f t="array" ref="J1680">IF($Q1680&gt;=0,IFERROR(generateSalesData($D1680, IF(ISNUMBER(_xlfn.XLOOKUP($C1680,Phone_by_Sentiment!$B$2:$B$37,Phone_by_Sentiment!J$2:J$37,"",0,1)),_xlfn.XLOOKUP($C1680,Phone_by_Sentiment!$B$2:$B$37,Phone_by_Sentiment!J$2:J$37,"",0,1),0),$A1680-TEXT(DATEVALUE($D1680&amp;"-01"), "dd-mm-yyyy")),0),0)</f>
        <v>129</v>
      </c>
      <c r="K1680" cm="1">
        <f t="array" ref="K1680">IF($Q1680&gt;=0,IFERROR(generateSalesData($D1680, IF(ISNUMBER(_xlfn.XLOOKUP($C1680,Phone_by_Sentiment!$B$2:$B$37,Phone_by_Sentiment!K$2:K$37,"",0,1)),_xlfn.XLOOKUP($C1680,Phone_by_Sentiment!$B$2:$B$37,Phone_by_Sentiment!K$2:K$37,"",0,1),0),$A1680-TEXT(DATEVALUE($D1680&amp;"-01"), "dd-mm-yyyy")),0),0)</f>
        <v>107</v>
      </c>
      <c r="L1680" cm="1">
        <f t="array" ref="L1680">IF($Q1680&gt;=0,IFERROR(generateSalesData($D1680, IF(ISNUMBER(_xlfn.XLOOKUP($C1680,Phone_by_Sentiment!$B$2:$B$37,Phone_by_Sentiment!L$2:L$37,"",0,1)),_xlfn.XLOOKUP($C1680,Phone_by_Sentiment!$B$2:$B$37,Phone_by_Sentiment!L$2:L$37,"",0,1),0),$A1680-TEXT(DATEVALUE($D1680&amp;"-01"), "dd-mm-yyyy")),0),0)</f>
        <v>479</v>
      </c>
      <c r="M1680" cm="1">
        <f t="array" ref="M1680">IF($Q1680&gt;=0,IFERROR(generateSalesData($D1680, IF(ISNUMBER(_xlfn.XLOOKUP($C1680,Phone_by_Sentiment!$B$2:$B$37,Phone_by_Sentiment!M$2:M$37,"",0,1)),_xlfn.XLOOKUP($C1680,Phone_by_Sentiment!$B$2:$B$37,Phone_by_Sentiment!M$2:M$37,"",0,1),0),$A1680-TEXT(DATEVALUE($D1680&amp;"-01"), "dd-mm-yyyy")),0),0)</f>
        <v>87</v>
      </c>
      <c r="N1680" cm="1">
        <f t="array" ref="N1680">IF($Q1680&gt;=0,IFERROR(generateSalesData($D1680, IF(ISNUMBER(_xlfn.XLOOKUP($C1680,Phone_by_Sentiment!$B$2:$B$37,Phone_by_Sentiment!N$2:N$37,"",0,1)),_xlfn.XLOOKUP($C1680,Phone_by_Sentiment!$B$2:$B$37,Phone_by_Sentiment!N$2:N$37,"",0,1),0),$A1680-TEXT(DATEVALUE($D1680&amp;"-01"), "dd-mm-yyyy")),0),0)</f>
        <v>240</v>
      </c>
      <c r="O1680" cm="1">
        <f t="array" ref="O1680">IF($Q1680&gt;=0,IFERROR(generateSalesData($D1680, IF(ISNUMBER(_xlfn.XLOOKUP($C1680,Phone_by_Sentiment!$B$2:$B$37,Phone_by_Sentiment!O$2:O$37,"",0,1)),_xlfn.XLOOKUP($C1680,Phone_by_Sentiment!$B$2:$B$37,Phone_by_Sentiment!O$2:O$37,"",0,1),0),$A1680-TEXT(DATEVALUE($D1680&amp;"-01"), "dd-mm-yyyy")),0),0)</f>
        <v>97</v>
      </c>
      <c r="P1680" s="1">
        <f t="shared" si="67"/>
        <v>44287</v>
      </c>
      <c r="Q1680">
        <f t="shared" si="69"/>
        <v>609</v>
      </c>
    </row>
    <row r="1681" spans="1:1" x14ac:dyDescent="0.25">
      <c r="A1681" s="1"/>
    </row>
    <row r="1682" spans="1:1" x14ac:dyDescent="0.25">
      <c r="A168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B0C88-C06A-4B35-959D-4AFCB0E36DB8}">
  <sheetPr codeName="Sheet1"/>
  <dimension ref="B2:E14"/>
  <sheetViews>
    <sheetView workbookViewId="0">
      <selection activeCell="D3" sqref="D3:D14"/>
    </sheetView>
  </sheetViews>
  <sheetFormatPr defaultRowHeight="15" x14ac:dyDescent="0.25"/>
  <cols>
    <col min="2" max="2" width="13.85546875" customWidth="1"/>
    <col min="3" max="3" width="23.7109375" bestFit="1" customWidth="1"/>
    <col min="4" max="4" width="17.5703125" customWidth="1"/>
    <col min="5" max="5" width="19" customWidth="1"/>
  </cols>
  <sheetData>
    <row r="2" spans="2:5" x14ac:dyDescent="0.25">
      <c r="B2" t="s">
        <v>0</v>
      </c>
      <c r="C2" t="s">
        <v>1</v>
      </c>
      <c r="D2" t="s">
        <v>2</v>
      </c>
      <c r="E2" t="s">
        <v>3</v>
      </c>
    </row>
    <row r="3" spans="2:5" x14ac:dyDescent="0.25">
      <c r="B3" s="1">
        <v>43532</v>
      </c>
      <c r="C3" t="s">
        <v>4</v>
      </c>
      <c r="D3">
        <v>8.5</v>
      </c>
      <c r="E3">
        <v>1096</v>
      </c>
    </row>
    <row r="4" spans="2:5" x14ac:dyDescent="0.25">
      <c r="B4" s="1">
        <v>43728</v>
      </c>
      <c r="C4" t="s">
        <v>5</v>
      </c>
      <c r="D4">
        <v>7.8</v>
      </c>
      <c r="E4">
        <v>926</v>
      </c>
    </row>
    <row r="5" spans="2:5" x14ac:dyDescent="0.25">
      <c r="B5" s="1">
        <v>43763</v>
      </c>
      <c r="C5" t="s">
        <v>6</v>
      </c>
      <c r="D5">
        <v>7.2</v>
      </c>
      <c r="E5">
        <v>891</v>
      </c>
    </row>
    <row r="6" spans="2:5" x14ac:dyDescent="0.25">
      <c r="B6" s="1">
        <v>43784</v>
      </c>
      <c r="C6" t="s">
        <v>7</v>
      </c>
      <c r="D6">
        <v>6.5</v>
      </c>
      <c r="E6">
        <v>870</v>
      </c>
    </row>
    <row r="7" spans="2:5" x14ac:dyDescent="0.25">
      <c r="B7" s="1">
        <v>43872</v>
      </c>
      <c r="C7" t="s">
        <v>8</v>
      </c>
      <c r="D7">
        <v>9.3000000000000007</v>
      </c>
      <c r="E7">
        <v>793</v>
      </c>
    </row>
    <row r="8" spans="2:5" x14ac:dyDescent="0.25">
      <c r="B8" s="1">
        <v>43903</v>
      </c>
      <c r="C8" t="s">
        <v>9</v>
      </c>
      <c r="D8">
        <v>7.7</v>
      </c>
      <c r="E8">
        <v>762</v>
      </c>
    </row>
    <row r="9" spans="2:5" x14ac:dyDescent="0.25">
      <c r="B9" s="1">
        <v>43928</v>
      </c>
      <c r="C9" t="s">
        <v>10</v>
      </c>
      <c r="D9">
        <v>8.1</v>
      </c>
      <c r="E9">
        <v>737</v>
      </c>
    </row>
    <row r="10" spans="2:5" x14ac:dyDescent="0.25">
      <c r="B10" s="1">
        <v>44001</v>
      </c>
      <c r="C10" t="s">
        <v>11</v>
      </c>
      <c r="D10">
        <v>7.6</v>
      </c>
      <c r="E10">
        <v>674</v>
      </c>
    </row>
    <row r="11" spans="2:5" x14ac:dyDescent="0.25">
      <c r="B11" s="1">
        <v>44064</v>
      </c>
      <c r="C11" t="s">
        <v>12</v>
      </c>
      <c r="D11">
        <v>7.3</v>
      </c>
      <c r="E11">
        <v>611</v>
      </c>
    </row>
    <row r="12" spans="2:5" x14ac:dyDescent="0.25">
      <c r="B12" s="1">
        <v>44225</v>
      </c>
      <c r="C12" t="s">
        <v>13</v>
      </c>
      <c r="D12">
        <v>9.8000000000000007</v>
      </c>
      <c r="E12">
        <v>394</v>
      </c>
    </row>
    <row r="13" spans="2:5" x14ac:dyDescent="0.25">
      <c r="B13" s="1">
        <v>44281</v>
      </c>
      <c r="C13" t="s">
        <v>14</v>
      </c>
      <c r="D13">
        <v>9.1999999999999993</v>
      </c>
      <c r="E13">
        <v>336</v>
      </c>
    </row>
    <row r="14" spans="2:5" x14ac:dyDescent="0.25">
      <c r="B14" s="1">
        <v>44344</v>
      </c>
      <c r="C14" t="s">
        <v>15</v>
      </c>
      <c r="D14">
        <v>8.4</v>
      </c>
      <c r="E14">
        <v>273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B4C29-9ECE-4FF0-B117-739313823B35}">
  <sheetPr codeName="Sheet2"/>
  <dimension ref="A1:F836"/>
  <sheetViews>
    <sheetView workbookViewId="0">
      <selection activeCell="A2" sqref="A2"/>
    </sheetView>
  </sheetViews>
  <sheetFormatPr defaultRowHeight="15" x14ac:dyDescent="0.25"/>
  <cols>
    <col min="1" max="1" width="14.28515625" customWidth="1"/>
    <col min="2" max="2" width="17.28515625" customWidth="1"/>
    <col min="3" max="3" width="26.28515625" customWidth="1"/>
    <col min="4" max="4" width="22" customWidth="1"/>
    <col min="5" max="5" width="21.28515625" customWidth="1"/>
  </cols>
  <sheetData>
    <row r="1" spans="1:6" x14ac:dyDescent="0.25">
      <c r="A1" t="s">
        <v>16</v>
      </c>
      <c r="B1" t="s">
        <v>0</v>
      </c>
      <c r="C1" t="s">
        <v>1</v>
      </c>
      <c r="D1" t="s">
        <v>2</v>
      </c>
      <c r="E1" t="s">
        <v>3</v>
      </c>
      <c r="F1" t="s">
        <v>18</v>
      </c>
    </row>
    <row r="2" spans="1:6" x14ac:dyDescent="0.25">
      <c r="A2" s="1">
        <v>43466</v>
      </c>
      <c r="B2" s="4">
        <v>43532</v>
      </c>
      <c r="C2" s="2" t="s">
        <v>4</v>
      </c>
      <c r="D2" s="2">
        <v>8.5</v>
      </c>
      <c r="E2">
        <f>IF(A2-B2&lt;0,0,A2-B2)</f>
        <v>0</v>
      </c>
      <c r="F2" cm="1">
        <f t="array" ref="F2">IF(E2&lt;&gt;0,generateSalesData(B2,D2,E2),0)</f>
        <v>0</v>
      </c>
    </row>
    <row r="3" spans="1:6" x14ac:dyDescent="0.25">
      <c r="A3" s="1">
        <v>43466</v>
      </c>
      <c r="B3" s="5">
        <v>43728</v>
      </c>
      <c r="C3" s="3" t="s">
        <v>5</v>
      </c>
      <c r="D3" s="3">
        <v>7.8</v>
      </c>
      <c r="E3">
        <f t="shared" ref="E3:E66" si="0">IF(A3-B3&lt;0,0,A3-B3)</f>
        <v>0</v>
      </c>
      <c r="F3" cm="1">
        <f t="array" ref="F3">IF(E3&lt;&gt;0,generateSalesData(B3,D3,E3),0)</f>
        <v>0</v>
      </c>
    </row>
    <row r="4" spans="1:6" x14ac:dyDescent="0.25">
      <c r="A4" s="1">
        <v>43466</v>
      </c>
      <c r="B4" s="4">
        <v>43763</v>
      </c>
      <c r="C4" s="2" t="s">
        <v>6</v>
      </c>
      <c r="D4" s="2">
        <v>7.2</v>
      </c>
      <c r="E4">
        <f t="shared" si="0"/>
        <v>0</v>
      </c>
      <c r="F4" cm="1">
        <f t="array" ref="F4">IF(E4&lt;&gt;0,generateSalesData(B4,D4,E4),0)</f>
        <v>0</v>
      </c>
    </row>
    <row r="5" spans="1:6" x14ac:dyDescent="0.25">
      <c r="A5" s="1">
        <v>43466</v>
      </c>
      <c r="B5" s="5">
        <v>43784</v>
      </c>
      <c r="C5" s="3" t="s">
        <v>7</v>
      </c>
      <c r="D5" s="3">
        <v>6.5</v>
      </c>
      <c r="E5">
        <f t="shared" si="0"/>
        <v>0</v>
      </c>
      <c r="F5" cm="1">
        <f t="array" ref="F5">IF(E5&lt;&gt;0,generateSalesData(B5,D5,E5),0)</f>
        <v>0</v>
      </c>
    </row>
    <row r="6" spans="1:6" x14ac:dyDescent="0.25">
      <c r="A6" s="1">
        <v>43466</v>
      </c>
      <c r="B6" s="4">
        <v>43872</v>
      </c>
      <c r="C6" s="2" t="s">
        <v>8</v>
      </c>
      <c r="D6" s="2">
        <v>9.3000000000000007</v>
      </c>
      <c r="E6">
        <f t="shared" si="0"/>
        <v>0</v>
      </c>
      <c r="F6" cm="1">
        <f t="array" ref="F6">IF(E6&lt;&gt;0,generateSalesData(B6,D6,E6),0)</f>
        <v>0</v>
      </c>
    </row>
    <row r="7" spans="1:6" x14ac:dyDescent="0.25">
      <c r="A7" s="1">
        <v>43466</v>
      </c>
      <c r="B7" s="5">
        <v>43903</v>
      </c>
      <c r="C7" s="3" t="s">
        <v>9</v>
      </c>
      <c r="D7" s="3">
        <v>7.7</v>
      </c>
      <c r="E7">
        <f t="shared" si="0"/>
        <v>0</v>
      </c>
      <c r="F7" cm="1">
        <f t="array" ref="F7">IF(E7&lt;&gt;0,generateSalesData(B7,D7,E7),0)</f>
        <v>0</v>
      </c>
    </row>
    <row r="8" spans="1:6" x14ac:dyDescent="0.25">
      <c r="A8" s="1">
        <v>43466</v>
      </c>
      <c r="B8" s="4">
        <v>43928</v>
      </c>
      <c r="C8" s="2" t="s">
        <v>10</v>
      </c>
      <c r="D8" s="2">
        <v>8.1</v>
      </c>
      <c r="E8">
        <f t="shared" si="0"/>
        <v>0</v>
      </c>
      <c r="F8" cm="1">
        <f t="array" ref="F8">IF(E8&lt;&gt;0,generateSalesData(B8,D8,E8),0)</f>
        <v>0</v>
      </c>
    </row>
    <row r="9" spans="1:6" x14ac:dyDescent="0.25">
      <c r="A9" s="1">
        <v>43466</v>
      </c>
      <c r="B9" s="5">
        <v>44001</v>
      </c>
      <c r="C9" s="3" t="s">
        <v>11</v>
      </c>
      <c r="D9" s="3">
        <v>7.6</v>
      </c>
      <c r="E9">
        <f t="shared" si="0"/>
        <v>0</v>
      </c>
      <c r="F9" cm="1">
        <f t="array" ref="F9">IF(E9&lt;&gt;0,generateSalesData(B9,D9,E9),0)</f>
        <v>0</v>
      </c>
    </row>
    <row r="10" spans="1:6" x14ac:dyDescent="0.25">
      <c r="A10" s="1">
        <v>43466</v>
      </c>
      <c r="B10" s="4">
        <v>44064</v>
      </c>
      <c r="C10" s="2" t="s">
        <v>12</v>
      </c>
      <c r="D10" s="2">
        <v>7.3</v>
      </c>
      <c r="E10">
        <f t="shared" si="0"/>
        <v>0</v>
      </c>
      <c r="F10" cm="1">
        <f t="array" ref="F10">IF(E10&lt;&gt;0,generateSalesData(B10,D10,E10),0)</f>
        <v>0</v>
      </c>
    </row>
    <row r="11" spans="1:6" x14ac:dyDescent="0.25">
      <c r="A11" s="1">
        <v>43466</v>
      </c>
      <c r="B11" s="5">
        <v>44225</v>
      </c>
      <c r="C11" s="3" t="s">
        <v>13</v>
      </c>
      <c r="D11" s="3">
        <v>9.8000000000000007</v>
      </c>
      <c r="E11">
        <f t="shared" si="0"/>
        <v>0</v>
      </c>
      <c r="F11" cm="1">
        <f t="array" ref="F11">IF(E11&lt;&gt;0,generateSalesData(B11,D11,E11),0)</f>
        <v>0</v>
      </c>
    </row>
    <row r="12" spans="1:6" x14ac:dyDescent="0.25">
      <c r="A12" s="1">
        <v>43466</v>
      </c>
      <c r="B12" s="4">
        <v>44281</v>
      </c>
      <c r="C12" s="2" t="s">
        <v>14</v>
      </c>
      <c r="D12" s="2">
        <v>9.1999999999999993</v>
      </c>
      <c r="E12">
        <f t="shared" si="0"/>
        <v>0</v>
      </c>
      <c r="F12" cm="1">
        <f t="array" ref="F12">IF(E12&lt;&gt;0,generateSalesData(B12,D12,E12),0)</f>
        <v>0</v>
      </c>
    </row>
    <row r="13" spans="1:6" x14ac:dyDescent="0.25">
      <c r="A13" s="1">
        <v>43497</v>
      </c>
      <c r="B13" s="5">
        <v>44344</v>
      </c>
      <c r="C13" s="3" t="s">
        <v>15</v>
      </c>
      <c r="D13" s="3">
        <v>8.4</v>
      </c>
      <c r="E13">
        <f t="shared" si="0"/>
        <v>0</v>
      </c>
      <c r="F13" cm="1">
        <f t="array" ref="F13">IF(E13&lt;&gt;0,generateSalesData(B13,D13,E13),0)</f>
        <v>0</v>
      </c>
    </row>
    <row r="14" spans="1:6" x14ac:dyDescent="0.25">
      <c r="A14" s="1">
        <v>43497</v>
      </c>
      <c r="B14" s="4">
        <v>43532</v>
      </c>
      <c r="C14" s="2" t="s">
        <v>4</v>
      </c>
      <c r="D14" s="2">
        <v>8.5</v>
      </c>
      <c r="E14">
        <f t="shared" si="0"/>
        <v>0</v>
      </c>
      <c r="F14" cm="1">
        <f t="array" ref="F14">IF(E14&lt;&gt;0,generateSalesData(B14,D14,E14),0)</f>
        <v>0</v>
      </c>
    </row>
    <row r="15" spans="1:6" x14ac:dyDescent="0.25">
      <c r="A15" s="1">
        <v>43497</v>
      </c>
      <c r="B15" s="5">
        <v>43728</v>
      </c>
      <c r="C15" s="3" t="s">
        <v>5</v>
      </c>
      <c r="D15" s="3">
        <v>7.8</v>
      </c>
      <c r="E15">
        <f t="shared" si="0"/>
        <v>0</v>
      </c>
      <c r="F15" cm="1">
        <f t="array" ref="F15">IF(E15&lt;&gt;0,generateSalesData(B15,D15,E15),0)</f>
        <v>0</v>
      </c>
    </row>
    <row r="16" spans="1:6" x14ac:dyDescent="0.25">
      <c r="A16" s="1">
        <v>43497</v>
      </c>
      <c r="B16" s="4">
        <v>43763</v>
      </c>
      <c r="C16" s="2" t="s">
        <v>6</v>
      </c>
      <c r="D16" s="2">
        <v>7.2</v>
      </c>
      <c r="E16">
        <f t="shared" si="0"/>
        <v>0</v>
      </c>
      <c r="F16" cm="1">
        <f t="array" ref="F16">IF(E16&lt;&gt;0,generateSalesData(B16,D16,E16),0)</f>
        <v>0</v>
      </c>
    </row>
    <row r="17" spans="1:6" x14ac:dyDescent="0.25">
      <c r="A17" s="1">
        <v>43497</v>
      </c>
      <c r="B17" s="5">
        <v>43784</v>
      </c>
      <c r="C17" s="3" t="s">
        <v>7</v>
      </c>
      <c r="D17" s="3">
        <v>6.5</v>
      </c>
      <c r="E17">
        <f t="shared" si="0"/>
        <v>0</v>
      </c>
      <c r="F17" cm="1">
        <f t="array" ref="F17">IF(E17&lt;&gt;0,generateSalesData(B17,D17,E17),0)</f>
        <v>0</v>
      </c>
    </row>
    <row r="18" spans="1:6" x14ac:dyDescent="0.25">
      <c r="A18" s="1">
        <v>43497</v>
      </c>
      <c r="B18" s="4">
        <v>43872</v>
      </c>
      <c r="C18" s="2" t="s">
        <v>8</v>
      </c>
      <c r="D18" s="2">
        <v>9.3000000000000007</v>
      </c>
      <c r="E18">
        <f t="shared" si="0"/>
        <v>0</v>
      </c>
      <c r="F18" cm="1">
        <f t="array" ref="F18">IF(E18&lt;&gt;0,generateSalesData(B18,D18,E18),0)</f>
        <v>0</v>
      </c>
    </row>
    <row r="19" spans="1:6" x14ac:dyDescent="0.25">
      <c r="A19" s="1">
        <v>43497</v>
      </c>
      <c r="B19" s="5">
        <v>43903</v>
      </c>
      <c r="C19" s="3" t="s">
        <v>9</v>
      </c>
      <c r="D19" s="3">
        <v>7.7</v>
      </c>
      <c r="E19">
        <f t="shared" si="0"/>
        <v>0</v>
      </c>
      <c r="F19" cm="1">
        <f t="array" ref="F19">IF(E19&lt;&gt;0,generateSalesData(B19,D19,E19),0)</f>
        <v>0</v>
      </c>
    </row>
    <row r="20" spans="1:6" x14ac:dyDescent="0.25">
      <c r="A20" s="1">
        <v>43497</v>
      </c>
      <c r="B20" s="4">
        <v>43928</v>
      </c>
      <c r="C20" s="2" t="s">
        <v>10</v>
      </c>
      <c r="D20" s="2">
        <v>8.1</v>
      </c>
      <c r="E20">
        <f t="shared" si="0"/>
        <v>0</v>
      </c>
      <c r="F20" cm="1">
        <f t="array" ref="F20">IF(E20&lt;&gt;0,generateSalesData(B20,D20,E20),0)</f>
        <v>0</v>
      </c>
    </row>
    <row r="21" spans="1:6" x14ac:dyDescent="0.25">
      <c r="A21" s="1">
        <v>43497</v>
      </c>
      <c r="B21" s="5">
        <v>44001</v>
      </c>
      <c r="C21" s="3" t="s">
        <v>11</v>
      </c>
      <c r="D21" s="3">
        <v>7.6</v>
      </c>
      <c r="E21">
        <f t="shared" si="0"/>
        <v>0</v>
      </c>
      <c r="F21" cm="1">
        <f t="array" ref="F21">IF(E21&lt;&gt;0,generateSalesData(B21,D21,E21),0)</f>
        <v>0</v>
      </c>
    </row>
    <row r="22" spans="1:6" x14ac:dyDescent="0.25">
      <c r="A22" s="1">
        <v>43497</v>
      </c>
      <c r="B22" s="4">
        <v>44064</v>
      </c>
      <c r="C22" s="2" t="s">
        <v>12</v>
      </c>
      <c r="D22" s="2">
        <v>7.3</v>
      </c>
      <c r="E22">
        <f t="shared" si="0"/>
        <v>0</v>
      </c>
      <c r="F22" cm="1">
        <f t="array" ref="F22">IF(E22&lt;&gt;0,generateSalesData(B22,D22,E22),0)</f>
        <v>0</v>
      </c>
    </row>
    <row r="23" spans="1:6" x14ac:dyDescent="0.25">
      <c r="A23" s="1">
        <v>43497</v>
      </c>
      <c r="B23" s="5">
        <v>44225</v>
      </c>
      <c r="C23" s="3" t="s">
        <v>13</v>
      </c>
      <c r="D23" s="3">
        <v>9.8000000000000007</v>
      </c>
      <c r="E23">
        <f t="shared" si="0"/>
        <v>0</v>
      </c>
      <c r="F23" cm="1">
        <f t="array" ref="F23">IF(E23&lt;&gt;0,generateSalesData(B23,D23,E23),0)</f>
        <v>0</v>
      </c>
    </row>
    <row r="24" spans="1:6" x14ac:dyDescent="0.25">
      <c r="A24" s="1">
        <v>43497</v>
      </c>
      <c r="B24" s="4">
        <v>44281</v>
      </c>
      <c r="C24" s="2" t="s">
        <v>14</v>
      </c>
      <c r="D24" s="2">
        <v>9.1999999999999993</v>
      </c>
      <c r="E24">
        <f t="shared" si="0"/>
        <v>0</v>
      </c>
      <c r="F24" cm="1">
        <f t="array" ref="F24">IF(E24&lt;&gt;0,generateSalesData(B24,D24,E24),0)</f>
        <v>0</v>
      </c>
    </row>
    <row r="25" spans="1:6" x14ac:dyDescent="0.25">
      <c r="A25" s="1">
        <v>43525</v>
      </c>
      <c r="B25" s="5">
        <v>44344</v>
      </c>
      <c r="C25" s="3" t="s">
        <v>15</v>
      </c>
      <c r="D25" s="3">
        <v>8.4</v>
      </c>
      <c r="E25">
        <f t="shared" si="0"/>
        <v>0</v>
      </c>
      <c r="F25" cm="1">
        <f t="array" ref="F25">IF(E25&lt;&gt;0,generateSalesData(B25,D25,E25),0)</f>
        <v>0</v>
      </c>
    </row>
    <row r="26" spans="1:6" x14ac:dyDescent="0.25">
      <c r="A26" s="1">
        <v>43525</v>
      </c>
      <c r="B26" s="4">
        <v>43532</v>
      </c>
      <c r="C26" s="2" t="s">
        <v>4</v>
      </c>
      <c r="D26" s="2">
        <v>8.5</v>
      </c>
      <c r="E26">
        <f t="shared" si="0"/>
        <v>0</v>
      </c>
      <c r="F26" cm="1">
        <f t="array" ref="F26">IF(E26&lt;&gt;0,generateSalesData(B26,D26,E26),0)</f>
        <v>0</v>
      </c>
    </row>
    <row r="27" spans="1:6" x14ac:dyDescent="0.25">
      <c r="A27" s="1">
        <v>43525</v>
      </c>
      <c r="B27" s="5">
        <v>43728</v>
      </c>
      <c r="C27" s="3" t="s">
        <v>5</v>
      </c>
      <c r="D27" s="3">
        <v>7.8</v>
      </c>
      <c r="E27">
        <f t="shared" si="0"/>
        <v>0</v>
      </c>
      <c r="F27" cm="1">
        <f t="array" ref="F27">IF(E27&lt;&gt;0,generateSalesData(B27,D27,E27),0)</f>
        <v>0</v>
      </c>
    </row>
    <row r="28" spans="1:6" x14ac:dyDescent="0.25">
      <c r="A28" s="1">
        <v>43525</v>
      </c>
      <c r="B28" s="4">
        <v>43763</v>
      </c>
      <c r="C28" s="2" t="s">
        <v>6</v>
      </c>
      <c r="D28" s="2">
        <v>7.2</v>
      </c>
      <c r="E28">
        <f t="shared" si="0"/>
        <v>0</v>
      </c>
      <c r="F28" cm="1">
        <f t="array" ref="F28">IF(E28&lt;&gt;0,generateSalesData(B28,D28,E28),0)</f>
        <v>0</v>
      </c>
    </row>
    <row r="29" spans="1:6" x14ac:dyDescent="0.25">
      <c r="A29" s="1">
        <v>43525</v>
      </c>
      <c r="B29" s="5">
        <v>43784</v>
      </c>
      <c r="C29" s="3" t="s">
        <v>7</v>
      </c>
      <c r="D29" s="3">
        <v>6.5</v>
      </c>
      <c r="E29">
        <f t="shared" si="0"/>
        <v>0</v>
      </c>
      <c r="F29" cm="1">
        <f t="array" ref="F29">IF(E29&lt;&gt;0,generateSalesData(B29,D29,E29),0)</f>
        <v>0</v>
      </c>
    </row>
    <row r="30" spans="1:6" x14ac:dyDescent="0.25">
      <c r="A30" s="1">
        <v>43525</v>
      </c>
      <c r="B30" s="4">
        <v>43872</v>
      </c>
      <c r="C30" s="2" t="s">
        <v>8</v>
      </c>
      <c r="D30" s="2">
        <v>9.3000000000000007</v>
      </c>
      <c r="E30">
        <f t="shared" si="0"/>
        <v>0</v>
      </c>
      <c r="F30" cm="1">
        <f t="array" ref="F30">IF(E30&lt;&gt;0,generateSalesData(B30,D30,E30),0)</f>
        <v>0</v>
      </c>
    </row>
    <row r="31" spans="1:6" x14ac:dyDescent="0.25">
      <c r="A31" s="1">
        <v>43525</v>
      </c>
      <c r="B31" s="5">
        <v>43903</v>
      </c>
      <c r="C31" s="3" t="s">
        <v>9</v>
      </c>
      <c r="D31" s="3">
        <v>7.7</v>
      </c>
      <c r="E31">
        <f t="shared" si="0"/>
        <v>0</v>
      </c>
      <c r="F31" cm="1">
        <f t="array" ref="F31">IF(E31&lt;&gt;0,generateSalesData(B31,D31,E31),0)</f>
        <v>0</v>
      </c>
    </row>
    <row r="32" spans="1:6" x14ac:dyDescent="0.25">
      <c r="A32" s="1">
        <v>43525</v>
      </c>
      <c r="B32" s="4">
        <v>43928</v>
      </c>
      <c r="C32" s="2" t="s">
        <v>10</v>
      </c>
      <c r="D32" s="2">
        <v>8.1</v>
      </c>
      <c r="E32">
        <f t="shared" si="0"/>
        <v>0</v>
      </c>
      <c r="F32" cm="1">
        <f t="array" ref="F32">IF(E32&lt;&gt;0,generateSalesData(B32,D32,E32),0)</f>
        <v>0</v>
      </c>
    </row>
    <row r="33" spans="1:6" x14ac:dyDescent="0.25">
      <c r="A33" s="1">
        <v>43525</v>
      </c>
      <c r="B33" s="5">
        <v>44001</v>
      </c>
      <c r="C33" s="3" t="s">
        <v>11</v>
      </c>
      <c r="D33" s="3">
        <v>7.6</v>
      </c>
      <c r="E33">
        <f t="shared" si="0"/>
        <v>0</v>
      </c>
      <c r="F33" cm="1">
        <f t="array" ref="F33">IF(E33&lt;&gt;0,generateSalesData(B33,D33,E33),0)</f>
        <v>0</v>
      </c>
    </row>
    <row r="34" spans="1:6" x14ac:dyDescent="0.25">
      <c r="A34" s="1">
        <v>43525</v>
      </c>
      <c r="B34" s="4">
        <v>44064</v>
      </c>
      <c r="C34" s="2" t="s">
        <v>12</v>
      </c>
      <c r="D34" s="2">
        <v>7.3</v>
      </c>
      <c r="E34">
        <f t="shared" si="0"/>
        <v>0</v>
      </c>
      <c r="F34" cm="1">
        <f t="array" ref="F34">IF(E34&lt;&gt;0,generateSalesData(B34,D34,E34),0)</f>
        <v>0</v>
      </c>
    </row>
    <row r="35" spans="1:6" x14ac:dyDescent="0.25">
      <c r="A35" s="1">
        <v>43525</v>
      </c>
      <c r="B35" s="5">
        <v>44225</v>
      </c>
      <c r="C35" s="3" t="s">
        <v>13</v>
      </c>
      <c r="D35" s="3">
        <v>9.8000000000000007</v>
      </c>
      <c r="E35">
        <f t="shared" si="0"/>
        <v>0</v>
      </c>
      <c r="F35" cm="1">
        <f t="array" ref="F35">IF(E35&lt;&gt;0,generateSalesData(B35,D35,E35),0)</f>
        <v>0</v>
      </c>
    </row>
    <row r="36" spans="1:6" x14ac:dyDescent="0.25">
      <c r="A36" s="1">
        <v>43525</v>
      </c>
      <c r="B36" s="4">
        <v>44281</v>
      </c>
      <c r="C36" s="2" t="s">
        <v>14</v>
      </c>
      <c r="D36" s="2">
        <v>9.1999999999999993</v>
      </c>
      <c r="E36">
        <f t="shared" si="0"/>
        <v>0</v>
      </c>
      <c r="F36" cm="1">
        <f t="array" ref="F36">IF(E36&lt;&gt;0,generateSalesData(B36,D36,E36),0)</f>
        <v>0</v>
      </c>
    </row>
    <row r="37" spans="1:6" x14ac:dyDescent="0.25">
      <c r="A37" s="1">
        <v>43556</v>
      </c>
      <c r="B37" s="5">
        <v>44344</v>
      </c>
      <c r="C37" s="3" t="s">
        <v>15</v>
      </c>
      <c r="D37" s="3">
        <v>8.4</v>
      </c>
      <c r="E37">
        <f t="shared" si="0"/>
        <v>0</v>
      </c>
      <c r="F37" cm="1">
        <f t="array" ref="F37">IF(E37&lt;&gt;0,generateSalesData(B37,D37,E37),0)</f>
        <v>0</v>
      </c>
    </row>
    <row r="38" spans="1:6" x14ac:dyDescent="0.25">
      <c r="A38" s="1">
        <v>43556</v>
      </c>
      <c r="B38" s="4">
        <v>43532</v>
      </c>
      <c r="C38" s="2" t="s">
        <v>4</v>
      </c>
      <c r="D38" s="2">
        <v>8.5</v>
      </c>
      <c r="E38">
        <f t="shared" si="0"/>
        <v>24</v>
      </c>
      <c r="F38" cm="1">
        <f t="array" ref="F38">IF(E38&lt;&gt;0,generateSalesData(B38,D38,E38),0)</f>
        <v>12065</v>
      </c>
    </row>
    <row r="39" spans="1:6" x14ac:dyDescent="0.25">
      <c r="A39" s="1">
        <v>43556</v>
      </c>
      <c r="B39" s="5">
        <v>43728</v>
      </c>
      <c r="C39" s="3" t="s">
        <v>5</v>
      </c>
      <c r="D39" s="3">
        <v>7.8</v>
      </c>
      <c r="E39">
        <f t="shared" si="0"/>
        <v>0</v>
      </c>
      <c r="F39" cm="1">
        <f t="array" ref="F39">IF(E39&lt;&gt;0,generateSalesData(B39,D39,E39),0)</f>
        <v>0</v>
      </c>
    </row>
    <row r="40" spans="1:6" x14ac:dyDescent="0.25">
      <c r="A40" s="1">
        <v>43556</v>
      </c>
      <c r="B40" s="4">
        <v>43763</v>
      </c>
      <c r="C40" s="2" t="s">
        <v>6</v>
      </c>
      <c r="D40" s="2">
        <v>7.2</v>
      </c>
      <c r="E40">
        <f t="shared" si="0"/>
        <v>0</v>
      </c>
      <c r="F40" cm="1">
        <f t="array" ref="F40">IF(E40&lt;&gt;0,generateSalesData(B40,D40,E40),0)</f>
        <v>0</v>
      </c>
    </row>
    <row r="41" spans="1:6" x14ac:dyDescent="0.25">
      <c r="A41" s="1">
        <v>43556</v>
      </c>
      <c r="B41" s="5">
        <v>43784</v>
      </c>
      <c r="C41" s="3" t="s">
        <v>7</v>
      </c>
      <c r="D41" s="3">
        <v>6.5</v>
      </c>
      <c r="E41">
        <f t="shared" si="0"/>
        <v>0</v>
      </c>
      <c r="F41" cm="1">
        <f t="array" ref="F41">IF(E41&lt;&gt;0,generateSalesData(B41,D41,E41),0)</f>
        <v>0</v>
      </c>
    </row>
    <row r="42" spans="1:6" x14ac:dyDescent="0.25">
      <c r="A42" s="1">
        <v>43556</v>
      </c>
      <c r="B42" s="4">
        <v>43872</v>
      </c>
      <c r="C42" s="2" t="s">
        <v>8</v>
      </c>
      <c r="D42" s="2">
        <v>9.3000000000000007</v>
      </c>
      <c r="E42">
        <f t="shared" si="0"/>
        <v>0</v>
      </c>
      <c r="F42" cm="1">
        <f t="array" ref="F42">IF(E42&lt;&gt;0,generateSalesData(B42,D42,E42),0)</f>
        <v>0</v>
      </c>
    </row>
    <row r="43" spans="1:6" x14ac:dyDescent="0.25">
      <c r="A43" s="1">
        <v>43556</v>
      </c>
      <c r="B43" s="5">
        <v>43903</v>
      </c>
      <c r="C43" s="3" t="s">
        <v>9</v>
      </c>
      <c r="D43" s="3">
        <v>7.7</v>
      </c>
      <c r="E43">
        <f t="shared" si="0"/>
        <v>0</v>
      </c>
      <c r="F43" cm="1">
        <f t="array" ref="F43">IF(E43&lt;&gt;0,generateSalesData(B43,D43,E43),0)</f>
        <v>0</v>
      </c>
    </row>
    <row r="44" spans="1:6" x14ac:dyDescent="0.25">
      <c r="A44" s="1">
        <v>43556</v>
      </c>
      <c r="B44" s="4">
        <v>43928</v>
      </c>
      <c r="C44" s="2" t="s">
        <v>10</v>
      </c>
      <c r="D44" s="2">
        <v>8.1</v>
      </c>
      <c r="E44">
        <f t="shared" si="0"/>
        <v>0</v>
      </c>
      <c r="F44" cm="1">
        <f t="array" ref="F44">IF(E44&lt;&gt;0,generateSalesData(B44,D44,E44),0)</f>
        <v>0</v>
      </c>
    </row>
    <row r="45" spans="1:6" x14ac:dyDescent="0.25">
      <c r="A45" s="1">
        <v>43556</v>
      </c>
      <c r="B45" s="5">
        <v>44001</v>
      </c>
      <c r="C45" s="3" t="s">
        <v>11</v>
      </c>
      <c r="D45" s="3">
        <v>7.6</v>
      </c>
      <c r="E45">
        <f t="shared" si="0"/>
        <v>0</v>
      </c>
      <c r="F45" cm="1">
        <f t="array" ref="F45">IF(E45&lt;&gt;0,generateSalesData(B45,D45,E45),0)</f>
        <v>0</v>
      </c>
    </row>
    <row r="46" spans="1:6" x14ac:dyDescent="0.25">
      <c r="A46" s="1">
        <v>43556</v>
      </c>
      <c r="B46" s="4">
        <v>44064</v>
      </c>
      <c r="C46" s="2" t="s">
        <v>12</v>
      </c>
      <c r="D46" s="2">
        <v>7.3</v>
      </c>
      <c r="E46">
        <f t="shared" si="0"/>
        <v>0</v>
      </c>
      <c r="F46" cm="1">
        <f t="array" ref="F46">IF(E46&lt;&gt;0,generateSalesData(B46,D46,E46),0)</f>
        <v>0</v>
      </c>
    </row>
    <row r="47" spans="1:6" x14ac:dyDescent="0.25">
      <c r="A47" s="1">
        <v>43556</v>
      </c>
      <c r="B47" s="5">
        <v>44225</v>
      </c>
      <c r="C47" s="3" t="s">
        <v>13</v>
      </c>
      <c r="D47" s="3">
        <v>9.8000000000000007</v>
      </c>
      <c r="E47">
        <f t="shared" si="0"/>
        <v>0</v>
      </c>
      <c r="F47" cm="1">
        <f t="array" ref="F47">IF(E47&lt;&gt;0,generateSalesData(B47,D47,E47),0)</f>
        <v>0</v>
      </c>
    </row>
    <row r="48" spans="1:6" x14ac:dyDescent="0.25">
      <c r="A48" s="1">
        <v>43556</v>
      </c>
      <c r="B48" s="4">
        <v>44281</v>
      </c>
      <c r="C48" s="2" t="s">
        <v>14</v>
      </c>
      <c r="D48" s="2">
        <v>9.1999999999999993</v>
      </c>
      <c r="E48">
        <f t="shared" si="0"/>
        <v>0</v>
      </c>
      <c r="F48" cm="1">
        <f t="array" ref="F48">IF(E48&lt;&gt;0,generateSalesData(B48,D48,E48),0)</f>
        <v>0</v>
      </c>
    </row>
    <row r="49" spans="1:6" x14ac:dyDescent="0.25">
      <c r="A49" s="1">
        <v>43586</v>
      </c>
      <c r="B49" s="5">
        <v>44344</v>
      </c>
      <c r="C49" s="3" t="s">
        <v>15</v>
      </c>
      <c r="D49" s="3">
        <v>8.4</v>
      </c>
      <c r="E49">
        <f t="shared" si="0"/>
        <v>0</v>
      </c>
      <c r="F49" cm="1">
        <f t="array" ref="F49">IF(E49&lt;&gt;0,generateSalesData(B49,D49,E49),0)</f>
        <v>0</v>
      </c>
    </row>
    <row r="50" spans="1:6" x14ac:dyDescent="0.25">
      <c r="A50" s="1">
        <v>43586</v>
      </c>
      <c r="B50" s="4">
        <v>43532</v>
      </c>
      <c r="C50" s="2" t="s">
        <v>4</v>
      </c>
      <c r="D50" s="2">
        <v>8.5</v>
      </c>
      <c r="E50">
        <f t="shared" si="0"/>
        <v>54</v>
      </c>
      <c r="F50" cm="1">
        <f t="array" ref="F50">IF(E50&lt;&gt;0,generateSalesData(B50,D50,E50),0)</f>
        <v>4448</v>
      </c>
    </row>
    <row r="51" spans="1:6" x14ac:dyDescent="0.25">
      <c r="A51" s="1">
        <v>43586</v>
      </c>
      <c r="B51" s="5">
        <v>43728</v>
      </c>
      <c r="C51" s="3" t="s">
        <v>5</v>
      </c>
      <c r="D51" s="3">
        <v>7.8</v>
      </c>
      <c r="E51">
        <f t="shared" si="0"/>
        <v>0</v>
      </c>
      <c r="F51" cm="1">
        <f t="array" ref="F51">IF(E51&lt;&gt;0,generateSalesData(B51,D51,E51),0)</f>
        <v>0</v>
      </c>
    </row>
    <row r="52" spans="1:6" x14ac:dyDescent="0.25">
      <c r="A52" s="1">
        <v>43586</v>
      </c>
      <c r="B52" s="4">
        <v>43763</v>
      </c>
      <c r="C52" s="2" t="s">
        <v>6</v>
      </c>
      <c r="D52" s="2">
        <v>7.2</v>
      </c>
      <c r="E52">
        <f t="shared" si="0"/>
        <v>0</v>
      </c>
      <c r="F52" cm="1">
        <f t="array" ref="F52">IF(E52&lt;&gt;0,generateSalesData(B52,D52,E52),0)</f>
        <v>0</v>
      </c>
    </row>
    <row r="53" spans="1:6" x14ac:dyDescent="0.25">
      <c r="A53" s="1">
        <v>43586</v>
      </c>
      <c r="B53" s="5">
        <v>43784</v>
      </c>
      <c r="C53" s="3" t="s">
        <v>7</v>
      </c>
      <c r="D53" s="3">
        <v>6.5</v>
      </c>
      <c r="E53">
        <f t="shared" si="0"/>
        <v>0</v>
      </c>
      <c r="F53" cm="1">
        <f t="array" ref="F53">IF(E53&lt;&gt;0,generateSalesData(B53,D53,E53),0)</f>
        <v>0</v>
      </c>
    </row>
    <row r="54" spans="1:6" x14ac:dyDescent="0.25">
      <c r="A54" s="1">
        <v>43586</v>
      </c>
      <c r="B54" s="4">
        <v>43872</v>
      </c>
      <c r="C54" s="2" t="s">
        <v>8</v>
      </c>
      <c r="D54" s="2">
        <v>9.3000000000000007</v>
      </c>
      <c r="E54">
        <f t="shared" si="0"/>
        <v>0</v>
      </c>
      <c r="F54" cm="1">
        <f t="array" ref="F54">IF(E54&lt;&gt;0,generateSalesData(B54,D54,E54),0)</f>
        <v>0</v>
      </c>
    </row>
    <row r="55" spans="1:6" x14ac:dyDescent="0.25">
      <c r="A55" s="1">
        <v>43586</v>
      </c>
      <c r="B55" s="5">
        <v>43903</v>
      </c>
      <c r="C55" s="3" t="s">
        <v>9</v>
      </c>
      <c r="D55" s="3">
        <v>7.7</v>
      </c>
      <c r="E55">
        <f t="shared" si="0"/>
        <v>0</v>
      </c>
      <c r="F55" cm="1">
        <f t="array" ref="F55">IF(E55&lt;&gt;0,generateSalesData(B55,D55,E55),0)</f>
        <v>0</v>
      </c>
    </row>
    <row r="56" spans="1:6" x14ac:dyDescent="0.25">
      <c r="A56" s="1">
        <v>43586</v>
      </c>
      <c r="B56" s="4">
        <v>43928</v>
      </c>
      <c r="C56" s="2" t="s">
        <v>10</v>
      </c>
      <c r="D56" s="2">
        <v>8.1</v>
      </c>
      <c r="E56">
        <f t="shared" si="0"/>
        <v>0</v>
      </c>
      <c r="F56" cm="1">
        <f t="array" ref="F56">IF(E56&lt;&gt;0,generateSalesData(B56,D56,E56),0)</f>
        <v>0</v>
      </c>
    </row>
    <row r="57" spans="1:6" x14ac:dyDescent="0.25">
      <c r="A57" s="1">
        <v>43586</v>
      </c>
      <c r="B57" s="5">
        <v>44001</v>
      </c>
      <c r="C57" s="3" t="s">
        <v>11</v>
      </c>
      <c r="D57" s="3">
        <v>7.6</v>
      </c>
      <c r="E57">
        <f t="shared" si="0"/>
        <v>0</v>
      </c>
      <c r="F57" cm="1">
        <f t="array" ref="F57">IF(E57&lt;&gt;0,generateSalesData(B57,D57,E57),0)</f>
        <v>0</v>
      </c>
    </row>
    <row r="58" spans="1:6" x14ac:dyDescent="0.25">
      <c r="A58" s="1">
        <v>43586</v>
      </c>
      <c r="B58" s="4">
        <v>44064</v>
      </c>
      <c r="C58" s="2" t="s">
        <v>12</v>
      </c>
      <c r="D58" s="2">
        <v>7.3</v>
      </c>
      <c r="E58">
        <f t="shared" si="0"/>
        <v>0</v>
      </c>
      <c r="F58" cm="1">
        <f t="array" ref="F58">IF(E58&lt;&gt;0,generateSalesData(B58,D58,E58),0)</f>
        <v>0</v>
      </c>
    </row>
    <row r="59" spans="1:6" x14ac:dyDescent="0.25">
      <c r="A59" s="1">
        <v>43586</v>
      </c>
      <c r="B59" s="5">
        <v>44225</v>
      </c>
      <c r="C59" s="3" t="s">
        <v>13</v>
      </c>
      <c r="D59" s="3">
        <v>9.8000000000000007</v>
      </c>
      <c r="E59">
        <f t="shared" si="0"/>
        <v>0</v>
      </c>
      <c r="F59" cm="1">
        <f t="array" ref="F59">IF(E59&lt;&gt;0,generateSalesData(B59,D59,E59),0)</f>
        <v>0</v>
      </c>
    </row>
    <row r="60" spans="1:6" x14ac:dyDescent="0.25">
      <c r="A60" s="1">
        <v>43586</v>
      </c>
      <c r="B60" s="4">
        <v>44281</v>
      </c>
      <c r="C60" s="2" t="s">
        <v>14</v>
      </c>
      <c r="D60" s="2">
        <v>9.1999999999999993</v>
      </c>
      <c r="E60">
        <f t="shared" si="0"/>
        <v>0</v>
      </c>
      <c r="F60" cm="1">
        <f t="array" ref="F60">IF(E60&lt;&gt;0,generateSalesData(B60,D60,E60),0)</f>
        <v>0</v>
      </c>
    </row>
    <row r="61" spans="1:6" x14ac:dyDescent="0.25">
      <c r="A61" s="1">
        <v>43617</v>
      </c>
      <c r="B61" s="5">
        <v>44344</v>
      </c>
      <c r="C61" s="3" t="s">
        <v>15</v>
      </c>
      <c r="D61" s="3">
        <v>8.4</v>
      </c>
      <c r="E61">
        <f t="shared" si="0"/>
        <v>0</v>
      </c>
      <c r="F61" cm="1">
        <f t="array" ref="F61">IF(E61&lt;&gt;0,generateSalesData(B61,D61,E61),0)</f>
        <v>0</v>
      </c>
    </row>
    <row r="62" spans="1:6" x14ac:dyDescent="0.25">
      <c r="A62" s="1">
        <v>43617</v>
      </c>
      <c r="B62" s="4">
        <v>43532</v>
      </c>
      <c r="C62" s="2" t="s">
        <v>4</v>
      </c>
      <c r="D62" s="2">
        <v>8.5</v>
      </c>
      <c r="E62">
        <f t="shared" si="0"/>
        <v>85</v>
      </c>
      <c r="F62" cm="1">
        <f t="array" ref="F62">IF(E62&lt;&gt;0,generateSalesData(B62,D62,E62),0)</f>
        <v>3557</v>
      </c>
    </row>
    <row r="63" spans="1:6" x14ac:dyDescent="0.25">
      <c r="A63" s="1">
        <v>43617</v>
      </c>
      <c r="B63" s="5">
        <v>43728</v>
      </c>
      <c r="C63" s="3" t="s">
        <v>5</v>
      </c>
      <c r="D63" s="3">
        <v>7.8</v>
      </c>
      <c r="E63">
        <f t="shared" si="0"/>
        <v>0</v>
      </c>
      <c r="F63" cm="1">
        <f t="array" ref="F63">IF(E63&lt;&gt;0,generateSalesData(B63,D63,E63),0)</f>
        <v>0</v>
      </c>
    </row>
    <row r="64" spans="1:6" x14ac:dyDescent="0.25">
      <c r="A64" s="1">
        <v>43617</v>
      </c>
      <c r="B64" s="4">
        <v>43763</v>
      </c>
      <c r="C64" s="2" t="s">
        <v>6</v>
      </c>
      <c r="D64" s="2">
        <v>7.2</v>
      </c>
      <c r="E64">
        <f t="shared" si="0"/>
        <v>0</v>
      </c>
      <c r="F64" cm="1">
        <f t="array" ref="F64">IF(E64&lt;&gt;0,generateSalesData(B64,D64,E64),0)</f>
        <v>0</v>
      </c>
    </row>
    <row r="65" spans="1:6" x14ac:dyDescent="0.25">
      <c r="A65" s="1">
        <v>43617</v>
      </c>
      <c r="B65" s="5">
        <v>43784</v>
      </c>
      <c r="C65" s="3" t="s">
        <v>7</v>
      </c>
      <c r="D65" s="3">
        <v>6.5</v>
      </c>
      <c r="E65">
        <f t="shared" si="0"/>
        <v>0</v>
      </c>
      <c r="F65" cm="1">
        <f t="array" ref="F65">IF(E65&lt;&gt;0,generateSalesData(B65,D65,E65),0)</f>
        <v>0</v>
      </c>
    </row>
    <row r="66" spans="1:6" x14ac:dyDescent="0.25">
      <c r="A66" s="1">
        <v>43617</v>
      </c>
      <c r="B66" s="4">
        <v>43872</v>
      </c>
      <c r="C66" s="2" t="s">
        <v>8</v>
      </c>
      <c r="D66" s="2">
        <v>9.3000000000000007</v>
      </c>
      <c r="E66">
        <f t="shared" si="0"/>
        <v>0</v>
      </c>
      <c r="F66" cm="1">
        <f t="array" ref="F66">IF(E66&lt;&gt;0,generateSalesData(B66,D66,E66),0)</f>
        <v>0</v>
      </c>
    </row>
    <row r="67" spans="1:6" x14ac:dyDescent="0.25">
      <c r="A67" s="1">
        <v>43617</v>
      </c>
      <c r="B67" s="5">
        <v>43903</v>
      </c>
      <c r="C67" s="3" t="s">
        <v>9</v>
      </c>
      <c r="D67" s="3">
        <v>7.7</v>
      </c>
      <c r="E67">
        <f t="shared" ref="E67:E130" si="1">IF(A67-B67&lt;0,0,A67-B67)</f>
        <v>0</v>
      </c>
      <c r="F67" cm="1">
        <f t="array" ref="F67">IF(E67&lt;&gt;0,generateSalesData(B67,D67,E67),0)</f>
        <v>0</v>
      </c>
    </row>
    <row r="68" spans="1:6" x14ac:dyDescent="0.25">
      <c r="A68" s="1">
        <v>43617</v>
      </c>
      <c r="B68" s="4">
        <v>43928</v>
      </c>
      <c r="C68" s="2" t="s">
        <v>10</v>
      </c>
      <c r="D68" s="2">
        <v>8.1</v>
      </c>
      <c r="E68">
        <f t="shared" si="1"/>
        <v>0</v>
      </c>
      <c r="F68" cm="1">
        <f t="array" ref="F68">IF(E68&lt;&gt;0,generateSalesData(B68,D68,E68),0)</f>
        <v>0</v>
      </c>
    </row>
    <row r="69" spans="1:6" x14ac:dyDescent="0.25">
      <c r="A69" s="1">
        <v>43617</v>
      </c>
      <c r="B69" s="5">
        <v>44001</v>
      </c>
      <c r="C69" s="3" t="s">
        <v>11</v>
      </c>
      <c r="D69" s="3">
        <v>7.6</v>
      </c>
      <c r="E69">
        <f t="shared" si="1"/>
        <v>0</v>
      </c>
      <c r="F69" cm="1">
        <f t="array" ref="F69">IF(E69&lt;&gt;0,generateSalesData(B69,D69,E69),0)</f>
        <v>0</v>
      </c>
    </row>
    <row r="70" spans="1:6" x14ac:dyDescent="0.25">
      <c r="A70" s="1">
        <v>43617</v>
      </c>
      <c r="B70" s="4">
        <v>44064</v>
      </c>
      <c r="C70" s="2" t="s">
        <v>12</v>
      </c>
      <c r="D70" s="2">
        <v>7.3</v>
      </c>
      <c r="E70">
        <f t="shared" si="1"/>
        <v>0</v>
      </c>
      <c r="F70" cm="1">
        <f t="array" ref="F70">IF(E70&lt;&gt;0,generateSalesData(B70,D70,E70),0)</f>
        <v>0</v>
      </c>
    </row>
    <row r="71" spans="1:6" x14ac:dyDescent="0.25">
      <c r="A71" s="1">
        <v>43617</v>
      </c>
      <c r="B71" s="5">
        <v>44225</v>
      </c>
      <c r="C71" s="3" t="s">
        <v>13</v>
      </c>
      <c r="D71" s="3">
        <v>9.8000000000000007</v>
      </c>
      <c r="E71">
        <f t="shared" si="1"/>
        <v>0</v>
      </c>
      <c r="F71" cm="1">
        <f t="array" ref="F71">IF(E71&lt;&gt;0,generateSalesData(B71,D71,E71),0)</f>
        <v>0</v>
      </c>
    </row>
    <row r="72" spans="1:6" x14ac:dyDescent="0.25">
      <c r="A72" s="1">
        <v>43617</v>
      </c>
      <c r="B72" s="4">
        <v>44281</v>
      </c>
      <c r="C72" s="2" t="s">
        <v>14</v>
      </c>
      <c r="D72" s="2">
        <v>9.1999999999999993</v>
      </c>
      <c r="E72">
        <f t="shared" si="1"/>
        <v>0</v>
      </c>
      <c r="F72" cm="1">
        <f t="array" ref="F72">IF(E72&lt;&gt;0,generateSalesData(B72,D72,E72),0)</f>
        <v>0</v>
      </c>
    </row>
    <row r="73" spans="1:6" x14ac:dyDescent="0.25">
      <c r="A73" s="1">
        <v>43647</v>
      </c>
      <c r="B73" s="5">
        <v>44344</v>
      </c>
      <c r="C73" s="3" t="s">
        <v>15</v>
      </c>
      <c r="D73" s="3">
        <v>8.4</v>
      </c>
      <c r="E73">
        <f t="shared" si="1"/>
        <v>0</v>
      </c>
      <c r="F73" cm="1">
        <f t="array" ref="F73">IF(E73&lt;&gt;0,generateSalesData(B73,D73,E73),0)</f>
        <v>0</v>
      </c>
    </row>
    <row r="74" spans="1:6" x14ac:dyDescent="0.25">
      <c r="A74" s="1">
        <v>43647</v>
      </c>
      <c r="B74" s="4">
        <v>43532</v>
      </c>
      <c r="C74" s="2" t="s">
        <v>4</v>
      </c>
      <c r="D74" s="2">
        <v>8.5</v>
      </c>
      <c r="E74">
        <f t="shared" si="1"/>
        <v>115</v>
      </c>
      <c r="F74" cm="1">
        <f t="array" ref="F74">IF(E74&lt;&gt;0,generateSalesData(B74,D74,E74),0)</f>
        <v>2937</v>
      </c>
    </row>
    <row r="75" spans="1:6" x14ac:dyDescent="0.25">
      <c r="A75" s="1">
        <v>43647</v>
      </c>
      <c r="B75" s="5">
        <v>43728</v>
      </c>
      <c r="C75" s="3" t="s">
        <v>5</v>
      </c>
      <c r="D75" s="3">
        <v>7.8</v>
      </c>
      <c r="E75">
        <f t="shared" si="1"/>
        <v>0</v>
      </c>
      <c r="F75" cm="1">
        <f t="array" ref="F75">IF(E75&lt;&gt;0,generateSalesData(B75,D75,E75),0)</f>
        <v>0</v>
      </c>
    </row>
    <row r="76" spans="1:6" x14ac:dyDescent="0.25">
      <c r="A76" s="1">
        <v>43647</v>
      </c>
      <c r="B76" s="4">
        <v>43763</v>
      </c>
      <c r="C76" s="2" t="s">
        <v>6</v>
      </c>
      <c r="D76" s="2">
        <v>7.2</v>
      </c>
      <c r="E76">
        <f t="shared" si="1"/>
        <v>0</v>
      </c>
      <c r="F76" cm="1">
        <f t="array" ref="F76">IF(E76&lt;&gt;0,generateSalesData(B76,D76,E76),0)</f>
        <v>0</v>
      </c>
    </row>
    <row r="77" spans="1:6" x14ac:dyDescent="0.25">
      <c r="A77" s="1">
        <v>43647</v>
      </c>
      <c r="B77" s="5">
        <v>43784</v>
      </c>
      <c r="C77" s="3" t="s">
        <v>7</v>
      </c>
      <c r="D77" s="3">
        <v>6.5</v>
      </c>
      <c r="E77">
        <f t="shared" si="1"/>
        <v>0</v>
      </c>
      <c r="F77" cm="1">
        <f t="array" ref="F77">IF(E77&lt;&gt;0,generateSalesData(B77,D77,E77),0)</f>
        <v>0</v>
      </c>
    </row>
    <row r="78" spans="1:6" x14ac:dyDescent="0.25">
      <c r="A78" s="1">
        <v>43647</v>
      </c>
      <c r="B78" s="4">
        <v>43872</v>
      </c>
      <c r="C78" s="2" t="s">
        <v>8</v>
      </c>
      <c r="D78" s="2">
        <v>9.3000000000000007</v>
      </c>
      <c r="E78">
        <f t="shared" si="1"/>
        <v>0</v>
      </c>
      <c r="F78" cm="1">
        <f t="array" ref="F78">IF(E78&lt;&gt;0,generateSalesData(B78,D78,E78),0)</f>
        <v>0</v>
      </c>
    </row>
    <row r="79" spans="1:6" x14ac:dyDescent="0.25">
      <c r="A79" s="1">
        <v>43647</v>
      </c>
      <c r="B79" s="5">
        <v>43903</v>
      </c>
      <c r="C79" s="3" t="s">
        <v>9</v>
      </c>
      <c r="D79" s="3">
        <v>7.7</v>
      </c>
      <c r="E79">
        <f t="shared" si="1"/>
        <v>0</v>
      </c>
      <c r="F79" cm="1">
        <f t="array" ref="F79">IF(E79&lt;&gt;0,generateSalesData(B79,D79,E79),0)</f>
        <v>0</v>
      </c>
    </row>
    <row r="80" spans="1:6" x14ac:dyDescent="0.25">
      <c r="A80" s="1">
        <v>43647</v>
      </c>
      <c r="B80" s="4">
        <v>43928</v>
      </c>
      <c r="C80" s="2" t="s">
        <v>10</v>
      </c>
      <c r="D80" s="2">
        <v>8.1</v>
      </c>
      <c r="E80">
        <f t="shared" si="1"/>
        <v>0</v>
      </c>
      <c r="F80" cm="1">
        <f t="array" ref="F80">IF(E80&lt;&gt;0,generateSalesData(B80,D80,E80),0)</f>
        <v>0</v>
      </c>
    </row>
    <row r="81" spans="1:6" x14ac:dyDescent="0.25">
      <c r="A81" s="1">
        <v>43647</v>
      </c>
      <c r="B81" s="5">
        <v>44001</v>
      </c>
      <c r="C81" s="3" t="s">
        <v>11</v>
      </c>
      <c r="D81" s="3">
        <v>7.6</v>
      </c>
      <c r="E81">
        <f t="shared" si="1"/>
        <v>0</v>
      </c>
      <c r="F81" cm="1">
        <f t="array" ref="F81">IF(E81&lt;&gt;0,generateSalesData(B81,D81,E81),0)</f>
        <v>0</v>
      </c>
    </row>
    <row r="82" spans="1:6" x14ac:dyDescent="0.25">
      <c r="A82" s="1">
        <v>43647</v>
      </c>
      <c r="B82" s="4">
        <v>44064</v>
      </c>
      <c r="C82" s="2" t="s">
        <v>12</v>
      </c>
      <c r="D82" s="2">
        <v>7.3</v>
      </c>
      <c r="E82">
        <f t="shared" si="1"/>
        <v>0</v>
      </c>
      <c r="F82" cm="1">
        <f t="array" ref="F82">IF(E82&lt;&gt;0,generateSalesData(B82,D82,E82),0)</f>
        <v>0</v>
      </c>
    </row>
    <row r="83" spans="1:6" x14ac:dyDescent="0.25">
      <c r="A83" s="1">
        <v>43647</v>
      </c>
      <c r="B83" s="5">
        <v>44225</v>
      </c>
      <c r="C83" s="3" t="s">
        <v>13</v>
      </c>
      <c r="D83" s="3">
        <v>9.8000000000000007</v>
      </c>
      <c r="E83">
        <f t="shared" si="1"/>
        <v>0</v>
      </c>
      <c r="F83" cm="1">
        <f t="array" ref="F83">IF(E83&lt;&gt;0,generateSalesData(B83,D83,E83),0)</f>
        <v>0</v>
      </c>
    </row>
    <row r="84" spans="1:6" x14ac:dyDescent="0.25">
      <c r="A84" s="1">
        <v>43647</v>
      </c>
      <c r="B84" s="4">
        <v>44281</v>
      </c>
      <c r="C84" s="2" t="s">
        <v>14</v>
      </c>
      <c r="D84" s="2">
        <v>9.1999999999999993</v>
      </c>
      <c r="E84">
        <f t="shared" si="1"/>
        <v>0</v>
      </c>
      <c r="F84" cm="1">
        <f t="array" ref="F84">IF(E84&lt;&gt;0,generateSalesData(B84,D84,E84),0)</f>
        <v>0</v>
      </c>
    </row>
    <row r="85" spans="1:6" x14ac:dyDescent="0.25">
      <c r="A85" s="1">
        <v>43678</v>
      </c>
      <c r="B85" s="5">
        <v>44344</v>
      </c>
      <c r="C85" s="3" t="s">
        <v>15</v>
      </c>
      <c r="D85" s="3">
        <v>8.4</v>
      </c>
      <c r="E85">
        <f t="shared" si="1"/>
        <v>0</v>
      </c>
      <c r="F85" cm="1">
        <f t="array" ref="F85">IF(E85&lt;&gt;0,generateSalesData(B85,D85,E85),0)</f>
        <v>0</v>
      </c>
    </row>
    <row r="86" spans="1:6" x14ac:dyDescent="0.25">
      <c r="A86" s="1">
        <v>43678</v>
      </c>
      <c r="B86" s="4">
        <v>43532</v>
      </c>
      <c r="C86" s="2" t="s">
        <v>4</v>
      </c>
      <c r="D86" s="2">
        <v>8.5</v>
      </c>
      <c r="E86">
        <f t="shared" si="1"/>
        <v>146</v>
      </c>
      <c r="F86" cm="1">
        <f t="array" ref="F86">IF(E86&lt;&gt;0,generateSalesData(B86,D86,E86),0)</f>
        <v>1444</v>
      </c>
    </row>
    <row r="87" spans="1:6" x14ac:dyDescent="0.25">
      <c r="A87" s="1">
        <v>43678</v>
      </c>
      <c r="B87" s="5">
        <v>43728</v>
      </c>
      <c r="C87" s="3" t="s">
        <v>5</v>
      </c>
      <c r="D87" s="3">
        <v>7.8</v>
      </c>
      <c r="E87">
        <f t="shared" si="1"/>
        <v>0</v>
      </c>
      <c r="F87" cm="1">
        <f t="array" ref="F87">IF(E87&lt;&gt;0,generateSalesData(B87,D87,E87),0)</f>
        <v>0</v>
      </c>
    </row>
    <row r="88" spans="1:6" x14ac:dyDescent="0.25">
      <c r="A88" s="1">
        <v>43678</v>
      </c>
      <c r="B88" s="4">
        <v>43763</v>
      </c>
      <c r="C88" s="2" t="s">
        <v>6</v>
      </c>
      <c r="D88" s="2">
        <v>7.2</v>
      </c>
      <c r="E88">
        <f t="shared" si="1"/>
        <v>0</v>
      </c>
      <c r="F88" cm="1">
        <f t="array" ref="F88">IF(E88&lt;&gt;0,generateSalesData(B88,D88,E88),0)</f>
        <v>0</v>
      </c>
    </row>
    <row r="89" spans="1:6" x14ac:dyDescent="0.25">
      <c r="A89" s="1">
        <v>43678</v>
      </c>
      <c r="B89" s="5">
        <v>43784</v>
      </c>
      <c r="C89" s="3" t="s">
        <v>7</v>
      </c>
      <c r="D89" s="3">
        <v>6.5</v>
      </c>
      <c r="E89">
        <f t="shared" si="1"/>
        <v>0</v>
      </c>
      <c r="F89" cm="1">
        <f t="array" ref="F89">IF(E89&lt;&gt;0,generateSalesData(B89,D89,E89),0)</f>
        <v>0</v>
      </c>
    </row>
    <row r="90" spans="1:6" x14ac:dyDescent="0.25">
      <c r="A90" s="1">
        <v>43678</v>
      </c>
      <c r="B90" s="4">
        <v>43872</v>
      </c>
      <c r="C90" s="2" t="s">
        <v>8</v>
      </c>
      <c r="D90" s="2">
        <v>9.3000000000000007</v>
      </c>
      <c r="E90">
        <f t="shared" si="1"/>
        <v>0</v>
      </c>
      <c r="F90" cm="1">
        <f t="array" ref="F90">IF(E90&lt;&gt;0,generateSalesData(B90,D90,E90),0)</f>
        <v>0</v>
      </c>
    </row>
    <row r="91" spans="1:6" x14ac:dyDescent="0.25">
      <c r="A91" s="1">
        <v>43678</v>
      </c>
      <c r="B91" s="5">
        <v>43903</v>
      </c>
      <c r="C91" s="3" t="s">
        <v>9</v>
      </c>
      <c r="D91" s="3">
        <v>7.7</v>
      </c>
      <c r="E91">
        <f t="shared" si="1"/>
        <v>0</v>
      </c>
      <c r="F91" cm="1">
        <f t="array" ref="F91">IF(E91&lt;&gt;0,generateSalesData(B91,D91,E91),0)</f>
        <v>0</v>
      </c>
    </row>
    <row r="92" spans="1:6" x14ac:dyDescent="0.25">
      <c r="A92" s="1">
        <v>43678</v>
      </c>
      <c r="B92" s="4">
        <v>43928</v>
      </c>
      <c r="C92" s="2" t="s">
        <v>10</v>
      </c>
      <c r="D92" s="2">
        <v>8.1</v>
      </c>
      <c r="E92">
        <f t="shared" si="1"/>
        <v>0</v>
      </c>
      <c r="F92" cm="1">
        <f t="array" ref="F92">IF(E92&lt;&gt;0,generateSalesData(B92,D92,E92),0)</f>
        <v>0</v>
      </c>
    </row>
    <row r="93" spans="1:6" x14ac:dyDescent="0.25">
      <c r="A93" s="1">
        <v>43678</v>
      </c>
      <c r="B93" s="5">
        <v>44001</v>
      </c>
      <c r="C93" s="3" t="s">
        <v>11</v>
      </c>
      <c r="D93" s="3">
        <v>7.6</v>
      </c>
      <c r="E93">
        <f t="shared" si="1"/>
        <v>0</v>
      </c>
      <c r="F93" cm="1">
        <f t="array" ref="F93">IF(E93&lt;&gt;0,generateSalesData(B93,D93,E93),0)</f>
        <v>0</v>
      </c>
    </row>
    <row r="94" spans="1:6" x14ac:dyDescent="0.25">
      <c r="A94" s="1">
        <v>43678</v>
      </c>
      <c r="B94" s="4">
        <v>44064</v>
      </c>
      <c r="C94" s="2" t="s">
        <v>12</v>
      </c>
      <c r="D94" s="2">
        <v>7.3</v>
      </c>
      <c r="E94">
        <f t="shared" si="1"/>
        <v>0</v>
      </c>
      <c r="F94" cm="1">
        <f t="array" ref="F94">IF(E94&lt;&gt;0,generateSalesData(B94,D94,E94),0)</f>
        <v>0</v>
      </c>
    </row>
    <row r="95" spans="1:6" x14ac:dyDescent="0.25">
      <c r="A95" s="1">
        <v>43678</v>
      </c>
      <c r="B95" s="5">
        <v>44225</v>
      </c>
      <c r="C95" s="3" t="s">
        <v>13</v>
      </c>
      <c r="D95" s="3">
        <v>9.8000000000000007</v>
      </c>
      <c r="E95">
        <f t="shared" si="1"/>
        <v>0</v>
      </c>
      <c r="F95" cm="1">
        <f t="array" ref="F95">IF(E95&lt;&gt;0,generateSalesData(B95,D95,E95),0)</f>
        <v>0</v>
      </c>
    </row>
    <row r="96" spans="1:6" x14ac:dyDescent="0.25">
      <c r="A96" s="1">
        <v>43678</v>
      </c>
      <c r="B96" s="4">
        <v>44281</v>
      </c>
      <c r="C96" s="2" t="s">
        <v>14</v>
      </c>
      <c r="D96" s="2">
        <v>9.1999999999999993</v>
      </c>
      <c r="E96">
        <f t="shared" si="1"/>
        <v>0</v>
      </c>
      <c r="F96" cm="1">
        <f t="array" ref="F96">IF(E96&lt;&gt;0,generateSalesData(B96,D96,E96),0)</f>
        <v>0</v>
      </c>
    </row>
    <row r="97" spans="1:6" x14ac:dyDescent="0.25">
      <c r="A97" s="1">
        <v>43709</v>
      </c>
      <c r="B97" s="5">
        <v>44344</v>
      </c>
      <c r="C97" s="3" t="s">
        <v>15</v>
      </c>
      <c r="D97" s="3">
        <v>8.4</v>
      </c>
      <c r="E97">
        <f t="shared" si="1"/>
        <v>0</v>
      </c>
      <c r="F97" cm="1">
        <f t="array" ref="F97">IF(E97&lt;&gt;0,generateSalesData(B97,D97,E97),0)</f>
        <v>0</v>
      </c>
    </row>
    <row r="98" spans="1:6" x14ac:dyDescent="0.25">
      <c r="A98" s="1">
        <v>43709</v>
      </c>
      <c r="B98" s="4">
        <v>43532</v>
      </c>
      <c r="C98" s="2" t="s">
        <v>4</v>
      </c>
      <c r="D98" s="2">
        <v>8.5</v>
      </c>
      <c r="E98">
        <f t="shared" si="1"/>
        <v>177</v>
      </c>
      <c r="F98" cm="1">
        <f t="array" ref="F98">IF(E98&lt;&gt;0,generateSalesData(B98,D98,E98),0)</f>
        <v>1614</v>
      </c>
    </row>
    <row r="99" spans="1:6" x14ac:dyDescent="0.25">
      <c r="A99" s="1">
        <v>43709</v>
      </c>
      <c r="B99" s="5">
        <v>43728</v>
      </c>
      <c r="C99" s="3" t="s">
        <v>5</v>
      </c>
      <c r="D99" s="3">
        <v>7.8</v>
      </c>
      <c r="E99">
        <f t="shared" si="1"/>
        <v>0</v>
      </c>
      <c r="F99" cm="1">
        <f t="array" ref="F99">IF(E99&lt;&gt;0,generateSalesData(B99,D99,E99),0)</f>
        <v>0</v>
      </c>
    </row>
    <row r="100" spans="1:6" x14ac:dyDescent="0.25">
      <c r="A100" s="1">
        <v>43709</v>
      </c>
      <c r="B100" s="4">
        <v>43763</v>
      </c>
      <c r="C100" s="2" t="s">
        <v>6</v>
      </c>
      <c r="D100" s="2">
        <v>7.2</v>
      </c>
      <c r="E100">
        <f t="shared" si="1"/>
        <v>0</v>
      </c>
      <c r="F100" cm="1">
        <f t="array" ref="F100">IF(E100&lt;&gt;0,generateSalesData(B100,D100,E100),0)</f>
        <v>0</v>
      </c>
    </row>
    <row r="101" spans="1:6" x14ac:dyDescent="0.25">
      <c r="A101" s="1">
        <v>43709</v>
      </c>
      <c r="B101" s="5">
        <v>43784</v>
      </c>
      <c r="C101" s="3" t="s">
        <v>7</v>
      </c>
      <c r="D101" s="3">
        <v>6.5</v>
      </c>
      <c r="E101">
        <f t="shared" si="1"/>
        <v>0</v>
      </c>
      <c r="F101" cm="1">
        <f t="array" ref="F101">IF(E101&lt;&gt;0,generateSalesData(B101,D101,E101),0)</f>
        <v>0</v>
      </c>
    </row>
    <row r="102" spans="1:6" x14ac:dyDescent="0.25">
      <c r="A102" s="1">
        <v>43709</v>
      </c>
      <c r="B102" s="4">
        <v>43872</v>
      </c>
      <c r="C102" s="2" t="s">
        <v>8</v>
      </c>
      <c r="D102" s="2">
        <v>9.3000000000000007</v>
      </c>
      <c r="E102">
        <f t="shared" si="1"/>
        <v>0</v>
      </c>
      <c r="F102" cm="1">
        <f t="array" ref="F102">IF(E102&lt;&gt;0,generateSalesData(B102,D102,E102),0)</f>
        <v>0</v>
      </c>
    </row>
    <row r="103" spans="1:6" x14ac:dyDescent="0.25">
      <c r="A103" s="1">
        <v>43709</v>
      </c>
      <c r="B103" s="5">
        <v>43903</v>
      </c>
      <c r="C103" s="3" t="s">
        <v>9</v>
      </c>
      <c r="D103" s="3">
        <v>7.7</v>
      </c>
      <c r="E103">
        <f t="shared" si="1"/>
        <v>0</v>
      </c>
      <c r="F103" cm="1">
        <f t="array" ref="F103">IF(E103&lt;&gt;0,generateSalesData(B103,D103,E103),0)</f>
        <v>0</v>
      </c>
    </row>
    <row r="104" spans="1:6" x14ac:dyDescent="0.25">
      <c r="A104" s="1">
        <v>43709</v>
      </c>
      <c r="B104" s="4">
        <v>43928</v>
      </c>
      <c r="C104" s="2" t="s">
        <v>10</v>
      </c>
      <c r="D104" s="2">
        <v>8.1</v>
      </c>
      <c r="E104">
        <f t="shared" si="1"/>
        <v>0</v>
      </c>
      <c r="F104" cm="1">
        <f t="array" ref="F104">IF(E104&lt;&gt;0,generateSalesData(B104,D104,E104),0)</f>
        <v>0</v>
      </c>
    </row>
    <row r="105" spans="1:6" x14ac:dyDescent="0.25">
      <c r="A105" s="1">
        <v>43709</v>
      </c>
      <c r="B105" s="5">
        <v>44001</v>
      </c>
      <c r="C105" s="3" t="s">
        <v>11</v>
      </c>
      <c r="D105" s="3">
        <v>7.6</v>
      </c>
      <c r="E105">
        <f t="shared" si="1"/>
        <v>0</v>
      </c>
      <c r="F105" cm="1">
        <f t="array" ref="F105">IF(E105&lt;&gt;0,generateSalesData(B105,D105,E105),0)</f>
        <v>0</v>
      </c>
    </row>
    <row r="106" spans="1:6" x14ac:dyDescent="0.25">
      <c r="A106" s="1">
        <v>43709</v>
      </c>
      <c r="B106" s="4">
        <v>44064</v>
      </c>
      <c r="C106" s="2" t="s">
        <v>12</v>
      </c>
      <c r="D106" s="2">
        <v>7.3</v>
      </c>
      <c r="E106">
        <f t="shared" si="1"/>
        <v>0</v>
      </c>
      <c r="F106" cm="1">
        <f t="array" ref="F106">IF(E106&lt;&gt;0,generateSalesData(B106,D106,E106),0)</f>
        <v>0</v>
      </c>
    </row>
    <row r="107" spans="1:6" x14ac:dyDescent="0.25">
      <c r="A107" s="1">
        <v>43709</v>
      </c>
      <c r="B107" s="5">
        <v>44225</v>
      </c>
      <c r="C107" s="3" t="s">
        <v>13</v>
      </c>
      <c r="D107" s="3">
        <v>9.8000000000000007</v>
      </c>
      <c r="E107">
        <f t="shared" si="1"/>
        <v>0</v>
      </c>
      <c r="F107" cm="1">
        <f t="array" ref="F107">IF(E107&lt;&gt;0,generateSalesData(B107,D107,E107),0)</f>
        <v>0</v>
      </c>
    </row>
    <row r="108" spans="1:6" x14ac:dyDescent="0.25">
      <c r="A108" s="1">
        <v>43709</v>
      </c>
      <c r="B108" s="4">
        <v>44281</v>
      </c>
      <c r="C108" s="2" t="s">
        <v>14</v>
      </c>
      <c r="D108" s="2">
        <v>9.1999999999999993</v>
      </c>
      <c r="E108">
        <f t="shared" si="1"/>
        <v>0</v>
      </c>
      <c r="F108" cm="1">
        <f t="array" ref="F108">IF(E108&lt;&gt;0,generateSalesData(B108,D108,E108),0)</f>
        <v>0</v>
      </c>
    </row>
    <row r="109" spans="1:6" x14ac:dyDescent="0.25">
      <c r="A109" s="1">
        <v>43739</v>
      </c>
      <c r="B109" s="5">
        <v>44344</v>
      </c>
      <c r="C109" s="3" t="s">
        <v>15</v>
      </c>
      <c r="D109" s="3">
        <v>8.4</v>
      </c>
      <c r="E109">
        <f t="shared" si="1"/>
        <v>0</v>
      </c>
      <c r="F109" cm="1">
        <f t="array" ref="F109">IF(E109&lt;&gt;0,generateSalesData(B109,D109,E109),0)</f>
        <v>0</v>
      </c>
    </row>
    <row r="110" spans="1:6" x14ac:dyDescent="0.25">
      <c r="A110" s="1">
        <v>43739</v>
      </c>
      <c r="B110" s="4">
        <v>43532</v>
      </c>
      <c r="C110" s="2" t="s">
        <v>4</v>
      </c>
      <c r="D110" s="2">
        <v>8.5</v>
      </c>
      <c r="E110">
        <f t="shared" si="1"/>
        <v>207</v>
      </c>
      <c r="F110" cm="1">
        <f t="array" ref="F110">IF(E110&lt;&gt;0,generateSalesData(B110,D110,E110),0)</f>
        <v>738</v>
      </c>
    </row>
    <row r="111" spans="1:6" x14ac:dyDescent="0.25">
      <c r="A111" s="1">
        <v>43739</v>
      </c>
      <c r="B111" s="5">
        <v>43728</v>
      </c>
      <c r="C111" s="3" t="s">
        <v>5</v>
      </c>
      <c r="D111" s="3">
        <v>7.8</v>
      </c>
      <c r="E111">
        <f t="shared" si="1"/>
        <v>11</v>
      </c>
      <c r="F111" cm="1">
        <f t="array" ref="F111">IF(E111&lt;&gt;0,generateSalesData(B111,D111,E111),0)</f>
        <v>4193</v>
      </c>
    </row>
    <row r="112" spans="1:6" x14ac:dyDescent="0.25">
      <c r="A112" s="1">
        <v>43739</v>
      </c>
      <c r="B112" s="4">
        <v>43763</v>
      </c>
      <c r="C112" s="2" t="s">
        <v>6</v>
      </c>
      <c r="D112" s="2">
        <v>7.2</v>
      </c>
      <c r="E112">
        <f t="shared" si="1"/>
        <v>0</v>
      </c>
      <c r="F112" cm="1">
        <f t="array" ref="F112">IF(E112&lt;&gt;0,generateSalesData(B112,D112,E112),0)</f>
        <v>0</v>
      </c>
    </row>
    <row r="113" spans="1:6" x14ac:dyDescent="0.25">
      <c r="A113" s="1">
        <v>43739</v>
      </c>
      <c r="B113" s="5">
        <v>43784</v>
      </c>
      <c r="C113" s="3" t="s">
        <v>7</v>
      </c>
      <c r="D113" s="3">
        <v>6.5</v>
      </c>
      <c r="E113">
        <f t="shared" si="1"/>
        <v>0</v>
      </c>
      <c r="F113" cm="1">
        <f t="array" ref="F113">IF(E113&lt;&gt;0,generateSalesData(B113,D113,E113),0)</f>
        <v>0</v>
      </c>
    </row>
    <row r="114" spans="1:6" x14ac:dyDescent="0.25">
      <c r="A114" s="1">
        <v>43739</v>
      </c>
      <c r="B114" s="4">
        <v>43872</v>
      </c>
      <c r="C114" s="2" t="s">
        <v>8</v>
      </c>
      <c r="D114" s="2">
        <v>9.3000000000000007</v>
      </c>
      <c r="E114">
        <f t="shared" si="1"/>
        <v>0</v>
      </c>
      <c r="F114" cm="1">
        <f t="array" ref="F114">IF(E114&lt;&gt;0,generateSalesData(B114,D114,E114),0)</f>
        <v>0</v>
      </c>
    </row>
    <row r="115" spans="1:6" x14ac:dyDescent="0.25">
      <c r="A115" s="1">
        <v>43739</v>
      </c>
      <c r="B115" s="5">
        <v>43903</v>
      </c>
      <c r="C115" s="3" t="s">
        <v>9</v>
      </c>
      <c r="D115" s="3">
        <v>7.7</v>
      </c>
      <c r="E115">
        <f t="shared" si="1"/>
        <v>0</v>
      </c>
      <c r="F115" cm="1">
        <f t="array" ref="F115">IF(E115&lt;&gt;0,generateSalesData(B115,D115,E115),0)</f>
        <v>0</v>
      </c>
    </row>
    <row r="116" spans="1:6" x14ac:dyDescent="0.25">
      <c r="A116" s="1">
        <v>43739</v>
      </c>
      <c r="B116" s="4">
        <v>43928</v>
      </c>
      <c r="C116" s="2" t="s">
        <v>10</v>
      </c>
      <c r="D116" s="2">
        <v>8.1</v>
      </c>
      <c r="E116">
        <f t="shared" si="1"/>
        <v>0</v>
      </c>
      <c r="F116" cm="1">
        <f t="array" ref="F116">IF(E116&lt;&gt;0,generateSalesData(B116,D116,E116),0)</f>
        <v>0</v>
      </c>
    </row>
    <row r="117" spans="1:6" x14ac:dyDescent="0.25">
      <c r="A117" s="1">
        <v>43739</v>
      </c>
      <c r="B117" s="5">
        <v>44001</v>
      </c>
      <c r="C117" s="3" t="s">
        <v>11</v>
      </c>
      <c r="D117" s="3">
        <v>7.6</v>
      </c>
      <c r="E117">
        <f t="shared" si="1"/>
        <v>0</v>
      </c>
      <c r="F117" cm="1">
        <f t="array" ref="F117">IF(E117&lt;&gt;0,generateSalesData(B117,D117,E117),0)</f>
        <v>0</v>
      </c>
    </row>
    <row r="118" spans="1:6" x14ac:dyDescent="0.25">
      <c r="A118" s="1">
        <v>43739</v>
      </c>
      <c r="B118" s="4">
        <v>44064</v>
      </c>
      <c r="C118" s="2" t="s">
        <v>12</v>
      </c>
      <c r="D118" s="2">
        <v>7.3</v>
      </c>
      <c r="E118">
        <f t="shared" si="1"/>
        <v>0</v>
      </c>
      <c r="F118" cm="1">
        <f t="array" ref="F118">IF(E118&lt;&gt;0,generateSalesData(B118,D118,E118),0)</f>
        <v>0</v>
      </c>
    </row>
    <row r="119" spans="1:6" x14ac:dyDescent="0.25">
      <c r="A119" s="1">
        <v>43739</v>
      </c>
      <c r="B119" s="5">
        <v>44225</v>
      </c>
      <c r="C119" s="3" t="s">
        <v>13</v>
      </c>
      <c r="D119" s="3">
        <v>9.8000000000000007</v>
      </c>
      <c r="E119">
        <f t="shared" si="1"/>
        <v>0</v>
      </c>
      <c r="F119" cm="1">
        <f t="array" ref="F119">IF(E119&lt;&gt;0,generateSalesData(B119,D119,E119),0)</f>
        <v>0</v>
      </c>
    </row>
    <row r="120" spans="1:6" x14ac:dyDescent="0.25">
      <c r="A120" s="1">
        <v>43739</v>
      </c>
      <c r="B120" s="4">
        <v>44281</v>
      </c>
      <c r="C120" s="2" t="s">
        <v>14</v>
      </c>
      <c r="D120" s="2">
        <v>9.1999999999999993</v>
      </c>
      <c r="E120">
        <f t="shared" si="1"/>
        <v>0</v>
      </c>
      <c r="F120" cm="1">
        <f t="array" ref="F120">IF(E120&lt;&gt;0,generateSalesData(B120,D120,E120),0)</f>
        <v>0</v>
      </c>
    </row>
    <row r="121" spans="1:6" x14ac:dyDescent="0.25">
      <c r="A121" s="1">
        <v>43770</v>
      </c>
      <c r="B121" s="5">
        <v>44344</v>
      </c>
      <c r="C121" s="3" t="s">
        <v>15</v>
      </c>
      <c r="D121" s="3">
        <v>8.4</v>
      </c>
      <c r="E121">
        <f t="shared" si="1"/>
        <v>0</v>
      </c>
      <c r="F121" cm="1">
        <f t="array" ref="F121">IF(E121&lt;&gt;0,generateSalesData(B121,D121,E121),0)</f>
        <v>0</v>
      </c>
    </row>
    <row r="122" spans="1:6" x14ac:dyDescent="0.25">
      <c r="A122" s="1">
        <v>43770</v>
      </c>
      <c r="B122" s="4">
        <v>43532</v>
      </c>
      <c r="C122" s="2" t="s">
        <v>4</v>
      </c>
      <c r="D122" s="2">
        <v>8.5</v>
      </c>
      <c r="E122">
        <f t="shared" si="1"/>
        <v>238</v>
      </c>
      <c r="F122" cm="1">
        <f t="array" ref="F122">IF(E122&lt;&gt;0,generateSalesData(B122,D122,E122),0)</f>
        <v>823</v>
      </c>
    </row>
    <row r="123" spans="1:6" x14ac:dyDescent="0.25">
      <c r="A123" s="1">
        <v>43770</v>
      </c>
      <c r="B123" s="5">
        <v>43728</v>
      </c>
      <c r="C123" s="3" t="s">
        <v>5</v>
      </c>
      <c r="D123" s="3">
        <v>7.8</v>
      </c>
      <c r="E123">
        <f t="shared" si="1"/>
        <v>42</v>
      </c>
      <c r="F123" cm="1">
        <f t="array" ref="F123">IF(E123&lt;&gt;0,generateSalesData(B123,D123,E123),0)</f>
        <v>6781</v>
      </c>
    </row>
    <row r="124" spans="1:6" x14ac:dyDescent="0.25">
      <c r="A124" s="1">
        <v>43770</v>
      </c>
      <c r="B124" s="4">
        <v>43763</v>
      </c>
      <c r="C124" s="2" t="s">
        <v>6</v>
      </c>
      <c r="D124" s="2">
        <v>7.2</v>
      </c>
      <c r="E124">
        <f t="shared" si="1"/>
        <v>7</v>
      </c>
      <c r="F124" cm="1">
        <f t="array" ref="F124">IF(E124&lt;&gt;0,generateSalesData(B124,D124,E124),0)</f>
        <v>11638</v>
      </c>
    </row>
    <row r="125" spans="1:6" x14ac:dyDescent="0.25">
      <c r="A125" s="1">
        <v>43770</v>
      </c>
      <c r="B125" s="5">
        <v>43784</v>
      </c>
      <c r="C125" s="3" t="s">
        <v>7</v>
      </c>
      <c r="D125" s="3">
        <v>6.5</v>
      </c>
      <c r="E125">
        <f t="shared" si="1"/>
        <v>0</v>
      </c>
      <c r="F125" cm="1">
        <f t="array" ref="F125">IF(E125&lt;&gt;0,generateSalesData(B125,D125,E125),0)</f>
        <v>0</v>
      </c>
    </row>
    <row r="126" spans="1:6" x14ac:dyDescent="0.25">
      <c r="A126" s="1">
        <v>43770</v>
      </c>
      <c r="B126" s="4">
        <v>43872</v>
      </c>
      <c r="C126" s="2" t="s">
        <v>8</v>
      </c>
      <c r="D126" s="2">
        <v>9.3000000000000007</v>
      </c>
      <c r="E126">
        <f t="shared" si="1"/>
        <v>0</v>
      </c>
      <c r="F126" cm="1">
        <f t="array" ref="F126">IF(E126&lt;&gt;0,generateSalesData(B126,D126,E126),0)</f>
        <v>0</v>
      </c>
    </row>
    <row r="127" spans="1:6" x14ac:dyDescent="0.25">
      <c r="A127" s="1">
        <v>43770</v>
      </c>
      <c r="B127" s="5">
        <v>43903</v>
      </c>
      <c r="C127" s="3" t="s">
        <v>9</v>
      </c>
      <c r="D127" s="3">
        <v>7.7</v>
      </c>
      <c r="E127">
        <f t="shared" si="1"/>
        <v>0</v>
      </c>
      <c r="F127" cm="1">
        <f t="array" ref="F127">IF(E127&lt;&gt;0,generateSalesData(B127,D127,E127),0)</f>
        <v>0</v>
      </c>
    </row>
    <row r="128" spans="1:6" x14ac:dyDescent="0.25">
      <c r="A128" s="1">
        <v>43770</v>
      </c>
      <c r="B128" s="4">
        <v>43928</v>
      </c>
      <c r="C128" s="2" t="s">
        <v>10</v>
      </c>
      <c r="D128" s="2">
        <v>8.1</v>
      </c>
      <c r="E128">
        <f t="shared" si="1"/>
        <v>0</v>
      </c>
      <c r="F128" cm="1">
        <f t="array" ref="F128">IF(E128&lt;&gt;0,generateSalesData(B128,D128,E128),0)</f>
        <v>0</v>
      </c>
    </row>
    <row r="129" spans="1:6" x14ac:dyDescent="0.25">
      <c r="A129" s="1">
        <v>43770</v>
      </c>
      <c r="B129" s="5">
        <v>44001</v>
      </c>
      <c r="C129" s="3" t="s">
        <v>11</v>
      </c>
      <c r="D129" s="3">
        <v>7.6</v>
      </c>
      <c r="E129">
        <f t="shared" si="1"/>
        <v>0</v>
      </c>
      <c r="F129" cm="1">
        <f t="array" ref="F129">IF(E129&lt;&gt;0,generateSalesData(B129,D129,E129),0)</f>
        <v>0</v>
      </c>
    </row>
    <row r="130" spans="1:6" x14ac:dyDescent="0.25">
      <c r="A130" s="1">
        <v>43770</v>
      </c>
      <c r="B130" s="4">
        <v>44064</v>
      </c>
      <c r="C130" s="2" t="s">
        <v>12</v>
      </c>
      <c r="D130" s="2">
        <v>7.3</v>
      </c>
      <c r="E130">
        <f t="shared" si="1"/>
        <v>0</v>
      </c>
      <c r="F130" cm="1">
        <f t="array" ref="F130">IF(E130&lt;&gt;0,generateSalesData(B130,D130,E130),0)</f>
        <v>0</v>
      </c>
    </row>
    <row r="131" spans="1:6" x14ac:dyDescent="0.25">
      <c r="A131" s="1">
        <v>43770</v>
      </c>
      <c r="B131" s="5">
        <v>44225</v>
      </c>
      <c r="C131" s="3" t="s">
        <v>13</v>
      </c>
      <c r="D131" s="3">
        <v>9.8000000000000007</v>
      </c>
      <c r="E131">
        <f t="shared" ref="E131:E194" si="2">IF(A131-B131&lt;0,0,A131-B131)</f>
        <v>0</v>
      </c>
      <c r="F131" cm="1">
        <f t="array" ref="F131">IF(E131&lt;&gt;0,generateSalesData(B131,D131,E131),0)</f>
        <v>0</v>
      </c>
    </row>
    <row r="132" spans="1:6" x14ac:dyDescent="0.25">
      <c r="A132" s="1">
        <v>43770</v>
      </c>
      <c r="B132" s="4">
        <v>44281</v>
      </c>
      <c r="C132" s="2" t="s">
        <v>14</v>
      </c>
      <c r="D132" s="2">
        <v>9.1999999999999993</v>
      </c>
      <c r="E132">
        <f t="shared" si="2"/>
        <v>0</v>
      </c>
      <c r="F132" cm="1">
        <f t="array" ref="F132">IF(E132&lt;&gt;0,generateSalesData(B132,D132,E132),0)</f>
        <v>0</v>
      </c>
    </row>
    <row r="133" spans="1:6" x14ac:dyDescent="0.25">
      <c r="A133" s="1">
        <v>43800</v>
      </c>
      <c r="B133" s="5">
        <v>44344</v>
      </c>
      <c r="C133" s="3" t="s">
        <v>15</v>
      </c>
      <c r="D133" s="3">
        <v>8.4</v>
      </c>
      <c r="E133">
        <f t="shared" si="2"/>
        <v>0</v>
      </c>
      <c r="F133" cm="1">
        <f t="array" ref="F133">IF(E133&lt;&gt;0,generateSalesData(B133,D133,E133),0)</f>
        <v>0</v>
      </c>
    </row>
    <row r="134" spans="1:6" x14ac:dyDescent="0.25">
      <c r="A134" s="1">
        <v>43800</v>
      </c>
      <c r="B134" s="4">
        <v>43532</v>
      </c>
      <c r="C134" s="2" t="s">
        <v>4</v>
      </c>
      <c r="D134" s="2">
        <v>8.5</v>
      </c>
      <c r="E134">
        <f t="shared" si="2"/>
        <v>268</v>
      </c>
      <c r="F134" cm="1">
        <f t="array" ref="F134">IF(E134&lt;&gt;0,generateSalesData(B134,D134,E134),0)</f>
        <v>1180</v>
      </c>
    </row>
    <row r="135" spans="1:6" x14ac:dyDescent="0.25">
      <c r="A135" s="1">
        <v>43800</v>
      </c>
      <c r="B135" s="5">
        <v>43728</v>
      </c>
      <c r="C135" s="3" t="s">
        <v>5</v>
      </c>
      <c r="D135" s="3">
        <v>7.8</v>
      </c>
      <c r="E135">
        <f t="shared" si="2"/>
        <v>72</v>
      </c>
      <c r="F135" cm="1">
        <f t="array" ref="F135">IF(E135&lt;&gt;0,generateSalesData(B135,D135,E135),0)</f>
        <v>1739</v>
      </c>
    </row>
    <row r="136" spans="1:6" x14ac:dyDescent="0.25">
      <c r="A136" s="1">
        <v>43800</v>
      </c>
      <c r="B136" s="4">
        <v>43763</v>
      </c>
      <c r="C136" s="2" t="s">
        <v>6</v>
      </c>
      <c r="D136" s="2">
        <v>7.2</v>
      </c>
      <c r="E136">
        <f t="shared" si="2"/>
        <v>37</v>
      </c>
      <c r="F136" cm="1">
        <f t="array" ref="F136">IF(E136&lt;&gt;0,generateSalesData(B136,D136,E136),0)</f>
        <v>5525</v>
      </c>
    </row>
    <row r="137" spans="1:6" x14ac:dyDescent="0.25">
      <c r="A137" s="1">
        <v>43800</v>
      </c>
      <c r="B137" s="5">
        <v>43784</v>
      </c>
      <c r="C137" s="3" t="s">
        <v>7</v>
      </c>
      <c r="D137" s="3">
        <v>6.5</v>
      </c>
      <c r="E137">
        <f t="shared" si="2"/>
        <v>16</v>
      </c>
      <c r="F137" cm="1">
        <f t="array" ref="F137">IF(E137&lt;&gt;0,generateSalesData(B137,D137,E137),0)</f>
        <v>10582</v>
      </c>
    </row>
    <row r="138" spans="1:6" x14ac:dyDescent="0.25">
      <c r="A138" s="1">
        <v>43800</v>
      </c>
      <c r="B138" s="4">
        <v>43872</v>
      </c>
      <c r="C138" s="2" t="s">
        <v>8</v>
      </c>
      <c r="D138" s="2">
        <v>9.3000000000000007</v>
      </c>
      <c r="E138">
        <f t="shared" si="2"/>
        <v>0</v>
      </c>
      <c r="F138" cm="1">
        <f t="array" ref="F138">IF(E138&lt;&gt;0,generateSalesData(B138,D138,E138),0)</f>
        <v>0</v>
      </c>
    </row>
    <row r="139" spans="1:6" x14ac:dyDescent="0.25">
      <c r="A139" s="1">
        <v>43800</v>
      </c>
      <c r="B139" s="5">
        <v>43903</v>
      </c>
      <c r="C139" s="3" t="s">
        <v>9</v>
      </c>
      <c r="D139" s="3">
        <v>7.7</v>
      </c>
      <c r="E139">
        <f t="shared" si="2"/>
        <v>0</v>
      </c>
      <c r="F139" cm="1">
        <f t="array" ref="F139">IF(E139&lt;&gt;0,generateSalesData(B139,D139,E139),0)</f>
        <v>0</v>
      </c>
    </row>
    <row r="140" spans="1:6" x14ac:dyDescent="0.25">
      <c r="A140" s="1">
        <v>43800</v>
      </c>
      <c r="B140" s="4">
        <v>43928</v>
      </c>
      <c r="C140" s="2" t="s">
        <v>10</v>
      </c>
      <c r="D140" s="2">
        <v>8.1</v>
      </c>
      <c r="E140">
        <f t="shared" si="2"/>
        <v>0</v>
      </c>
      <c r="F140" cm="1">
        <f t="array" ref="F140">IF(E140&lt;&gt;0,generateSalesData(B140,D140,E140),0)</f>
        <v>0</v>
      </c>
    </row>
    <row r="141" spans="1:6" x14ac:dyDescent="0.25">
      <c r="A141" s="1">
        <v>43800</v>
      </c>
      <c r="B141" s="5">
        <v>44001</v>
      </c>
      <c r="C141" s="3" t="s">
        <v>11</v>
      </c>
      <c r="D141" s="3">
        <v>7.6</v>
      </c>
      <c r="E141">
        <f t="shared" si="2"/>
        <v>0</v>
      </c>
      <c r="F141" cm="1">
        <f t="array" ref="F141">IF(E141&lt;&gt;0,generateSalesData(B141,D141,E141),0)</f>
        <v>0</v>
      </c>
    </row>
    <row r="142" spans="1:6" x14ac:dyDescent="0.25">
      <c r="A142" s="1">
        <v>43800</v>
      </c>
      <c r="B142" s="4">
        <v>44064</v>
      </c>
      <c r="C142" s="2" t="s">
        <v>12</v>
      </c>
      <c r="D142" s="2">
        <v>7.3</v>
      </c>
      <c r="E142">
        <f t="shared" si="2"/>
        <v>0</v>
      </c>
      <c r="F142" cm="1">
        <f t="array" ref="F142">IF(E142&lt;&gt;0,generateSalesData(B142,D142,E142),0)</f>
        <v>0</v>
      </c>
    </row>
    <row r="143" spans="1:6" x14ac:dyDescent="0.25">
      <c r="A143" s="1">
        <v>43800</v>
      </c>
      <c r="B143" s="5">
        <v>44225</v>
      </c>
      <c r="C143" s="3" t="s">
        <v>13</v>
      </c>
      <c r="D143" s="3">
        <v>9.8000000000000007</v>
      </c>
      <c r="E143">
        <f t="shared" si="2"/>
        <v>0</v>
      </c>
      <c r="F143" cm="1">
        <f t="array" ref="F143">IF(E143&lt;&gt;0,generateSalesData(B143,D143,E143),0)</f>
        <v>0</v>
      </c>
    </row>
    <row r="144" spans="1:6" x14ac:dyDescent="0.25">
      <c r="A144" s="1">
        <v>43800</v>
      </c>
      <c r="B144" s="4">
        <v>44281</v>
      </c>
      <c r="C144" s="2" t="s">
        <v>14</v>
      </c>
      <c r="D144" s="2">
        <v>9.1999999999999993</v>
      </c>
      <c r="E144">
        <f t="shared" si="2"/>
        <v>0</v>
      </c>
      <c r="F144" cm="1">
        <f t="array" ref="F144">IF(E144&lt;&gt;0,generateSalesData(B144,D144,E144),0)</f>
        <v>0</v>
      </c>
    </row>
    <row r="145" spans="1:6" x14ac:dyDescent="0.25">
      <c r="A145" s="1">
        <v>43831</v>
      </c>
      <c r="B145" s="5">
        <v>44344</v>
      </c>
      <c r="C145" s="3" t="s">
        <v>15</v>
      </c>
      <c r="D145" s="3">
        <v>8.4</v>
      </c>
      <c r="E145">
        <f t="shared" si="2"/>
        <v>0</v>
      </c>
      <c r="F145" cm="1">
        <f t="array" ref="F145">IF(E145&lt;&gt;0,generateSalesData(B145,D145,E145),0)</f>
        <v>0</v>
      </c>
    </row>
    <row r="146" spans="1:6" x14ac:dyDescent="0.25">
      <c r="A146" s="1">
        <v>43831</v>
      </c>
      <c r="B146" s="4">
        <v>43532</v>
      </c>
      <c r="C146" s="2" t="s">
        <v>4</v>
      </c>
      <c r="D146" s="2">
        <v>8.5</v>
      </c>
      <c r="E146">
        <f t="shared" si="2"/>
        <v>299</v>
      </c>
      <c r="F146" cm="1">
        <f t="array" ref="F146">IF(E146&lt;&gt;0,generateSalesData(B146,D146,E146),0)</f>
        <v>1670</v>
      </c>
    </row>
    <row r="147" spans="1:6" x14ac:dyDescent="0.25">
      <c r="A147" s="1">
        <v>43831</v>
      </c>
      <c r="B147" s="5">
        <v>43728</v>
      </c>
      <c r="C147" s="3" t="s">
        <v>5</v>
      </c>
      <c r="D147" s="3">
        <v>7.8</v>
      </c>
      <c r="E147">
        <f t="shared" si="2"/>
        <v>103</v>
      </c>
      <c r="F147" cm="1">
        <f t="array" ref="F147">IF(E147&lt;&gt;0,generateSalesData(B147,D147,E147),0)</f>
        <v>1910</v>
      </c>
    </row>
    <row r="148" spans="1:6" x14ac:dyDescent="0.25">
      <c r="A148" s="1">
        <v>43831</v>
      </c>
      <c r="B148" s="4">
        <v>43763</v>
      </c>
      <c r="C148" s="2" t="s">
        <v>6</v>
      </c>
      <c r="D148" s="2">
        <v>7.2</v>
      </c>
      <c r="E148">
        <f t="shared" si="2"/>
        <v>68</v>
      </c>
      <c r="F148" cm="1">
        <f t="array" ref="F148">IF(E148&lt;&gt;0,generateSalesData(B148,D148,E148),0)</f>
        <v>4579</v>
      </c>
    </row>
    <row r="149" spans="1:6" x14ac:dyDescent="0.25">
      <c r="A149" s="1">
        <v>43831</v>
      </c>
      <c r="B149" s="5">
        <v>43784</v>
      </c>
      <c r="C149" s="3" t="s">
        <v>7</v>
      </c>
      <c r="D149" s="3">
        <v>6.5</v>
      </c>
      <c r="E149">
        <f t="shared" si="2"/>
        <v>47</v>
      </c>
      <c r="F149" cm="1">
        <f t="array" ref="F149">IF(E149&lt;&gt;0,generateSalesData(B149,D149,E149),0)</f>
        <v>2467</v>
      </c>
    </row>
    <row r="150" spans="1:6" x14ac:dyDescent="0.25">
      <c r="A150" s="1">
        <v>43831</v>
      </c>
      <c r="B150" s="4">
        <v>43872</v>
      </c>
      <c r="C150" s="2" t="s">
        <v>8</v>
      </c>
      <c r="D150" s="2">
        <v>9.3000000000000007</v>
      </c>
      <c r="E150">
        <f t="shared" si="2"/>
        <v>0</v>
      </c>
      <c r="F150" cm="1">
        <f t="array" ref="F150">IF(E150&lt;&gt;0,generateSalesData(B150,D150,E150),0)</f>
        <v>0</v>
      </c>
    </row>
    <row r="151" spans="1:6" x14ac:dyDescent="0.25">
      <c r="A151" s="1">
        <v>43831</v>
      </c>
      <c r="B151" s="5">
        <v>43903</v>
      </c>
      <c r="C151" s="3" t="s">
        <v>9</v>
      </c>
      <c r="D151" s="3">
        <v>7.7</v>
      </c>
      <c r="E151">
        <f t="shared" si="2"/>
        <v>0</v>
      </c>
      <c r="F151" cm="1">
        <f t="array" ref="F151">IF(E151&lt;&gt;0,generateSalesData(B151,D151,E151),0)</f>
        <v>0</v>
      </c>
    </row>
    <row r="152" spans="1:6" x14ac:dyDescent="0.25">
      <c r="A152" s="1">
        <v>43831</v>
      </c>
      <c r="B152" s="4">
        <v>43928</v>
      </c>
      <c r="C152" s="2" t="s">
        <v>10</v>
      </c>
      <c r="D152" s="2">
        <v>8.1</v>
      </c>
      <c r="E152">
        <f t="shared" si="2"/>
        <v>0</v>
      </c>
      <c r="F152" cm="1">
        <f t="array" ref="F152">IF(E152&lt;&gt;0,generateSalesData(B152,D152,E152),0)</f>
        <v>0</v>
      </c>
    </row>
    <row r="153" spans="1:6" x14ac:dyDescent="0.25">
      <c r="A153" s="1">
        <v>43831</v>
      </c>
      <c r="B153" s="5">
        <v>44001</v>
      </c>
      <c r="C153" s="3" t="s">
        <v>11</v>
      </c>
      <c r="D153" s="3">
        <v>7.6</v>
      </c>
      <c r="E153">
        <f t="shared" si="2"/>
        <v>0</v>
      </c>
      <c r="F153" cm="1">
        <f t="array" ref="F153">IF(E153&lt;&gt;0,generateSalesData(B153,D153,E153),0)</f>
        <v>0</v>
      </c>
    </row>
    <row r="154" spans="1:6" x14ac:dyDescent="0.25">
      <c r="A154" s="1">
        <v>43831</v>
      </c>
      <c r="B154" s="4">
        <v>44064</v>
      </c>
      <c r="C154" s="2" t="s">
        <v>12</v>
      </c>
      <c r="D154" s="2">
        <v>7.3</v>
      </c>
      <c r="E154">
        <f t="shared" si="2"/>
        <v>0</v>
      </c>
      <c r="F154" cm="1">
        <f t="array" ref="F154">IF(E154&lt;&gt;0,generateSalesData(B154,D154,E154),0)</f>
        <v>0</v>
      </c>
    </row>
    <row r="155" spans="1:6" x14ac:dyDescent="0.25">
      <c r="A155" s="1">
        <v>43831</v>
      </c>
      <c r="B155" s="5">
        <v>44225</v>
      </c>
      <c r="C155" s="3" t="s">
        <v>13</v>
      </c>
      <c r="D155" s="3">
        <v>9.8000000000000007</v>
      </c>
      <c r="E155">
        <f t="shared" si="2"/>
        <v>0</v>
      </c>
      <c r="F155" cm="1">
        <f t="array" ref="F155">IF(E155&lt;&gt;0,generateSalesData(B155,D155,E155),0)</f>
        <v>0</v>
      </c>
    </row>
    <row r="156" spans="1:6" x14ac:dyDescent="0.25">
      <c r="A156" s="1">
        <v>43831</v>
      </c>
      <c r="B156" s="4">
        <v>44281</v>
      </c>
      <c r="C156" s="2" t="s">
        <v>14</v>
      </c>
      <c r="D156" s="2">
        <v>9.1999999999999993</v>
      </c>
      <c r="E156">
        <f t="shared" si="2"/>
        <v>0</v>
      </c>
      <c r="F156" cm="1">
        <f t="array" ref="F156">IF(E156&lt;&gt;0,generateSalesData(B156,D156,E156),0)</f>
        <v>0</v>
      </c>
    </row>
    <row r="157" spans="1:6" x14ac:dyDescent="0.25">
      <c r="A157" s="1">
        <v>43862</v>
      </c>
      <c r="B157" s="5">
        <v>44344</v>
      </c>
      <c r="C157" s="3" t="s">
        <v>15</v>
      </c>
      <c r="D157" s="3">
        <v>8.4</v>
      </c>
      <c r="E157">
        <f t="shared" si="2"/>
        <v>0</v>
      </c>
      <c r="F157" cm="1">
        <f t="array" ref="F157">IF(E157&lt;&gt;0,generateSalesData(B157,D157,E157),0)</f>
        <v>0</v>
      </c>
    </row>
    <row r="158" spans="1:6" x14ac:dyDescent="0.25">
      <c r="A158" s="1">
        <v>43862</v>
      </c>
      <c r="B158" s="4">
        <v>43532</v>
      </c>
      <c r="C158" s="2" t="s">
        <v>4</v>
      </c>
      <c r="D158" s="2">
        <v>8.5</v>
      </c>
      <c r="E158">
        <f t="shared" si="2"/>
        <v>330</v>
      </c>
      <c r="F158" cm="1">
        <f t="array" ref="F158">IF(E158&lt;&gt;0,generateSalesData(B158,D158,E158),0)</f>
        <v>1290</v>
      </c>
    </row>
    <row r="159" spans="1:6" x14ac:dyDescent="0.25">
      <c r="A159" s="1">
        <v>43862</v>
      </c>
      <c r="B159" s="5">
        <v>43728</v>
      </c>
      <c r="C159" s="3" t="s">
        <v>5</v>
      </c>
      <c r="D159" s="3">
        <v>7.8</v>
      </c>
      <c r="E159">
        <f t="shared" si="2"/>
        <v>134</v>
      </c>
      <c r="F159" cm="1">
        <f t="array" ref="F159">IF(E159&lt;&gt;0,generateSalesData(B159,D159,E159),0)</f>
        <v>2112</v>
      </c>
    </row>
    <row r="160" spans="1:6" x14ac:dyDescent="0.25">
      <c r="A160" s="1">
        <v>43862</v>
      </c>
      <c r="B160" s="4">
        <v>43763</v>
      </c>
      <c r="C160" s="2" t="s">
        <v>6</v>
      </c>
      <c r="D160" s="2">
        <v>7.2</v>
      </c>
      <c r="E160">
        <f t="shared" si="2"/>
        <v>99</v>
      </c>
      <c r="F160" cm="1">
        <f t="array" ref="F160">IF(E160&lt;&gt;0,generateSalesData(B160,D160,E160),0)</f>
        <v>4383</v>
      </c>
    </row>
    <row r="161" spans="1:6" x14ac:dyDescent="0.25">
      <c r="A161" s="1">
        <v>43862</v>
      </c>
      <c r="B161" s="5">
        <v>43784</v>
      </c>
      <c r="C161" s="3" t="s">
        <v>7</v>
      </c>
      <c r="D161" s="3">
        <v>6.5</v>
      </c>
      <c r="E161">
        <f t="shared" si="2"/>
        <v>78</v>
      </c>
      <c r="F161" cm="1">
        <f t="array" ref="F161">IF(E161&lt;&gt;0,generateSalesData(B161,D161,E161),0)</f>
        <v>1364</v>
      </c>
    </row>
    <row r="162" spans="1:6" x14ac:dyDescent="0.25">
      <c r="A162" s="1">
        <v>43862</v>
      </c>
      <c r="B162" s="4">
        <v>43872</v>
      </c>
      <c r="C162" s="2" t="s">
        <v>8</v>
      </c>
      <c r="D162" s="2">
        <v>9.3000000000000007</v>
      </c>
      <c r="E162">
        <f t="shared" si="2"/>
        <v>0</v>
      </c>
      <c r="F162" cm="1">
        <f t="array" ref="F162">IF(E162&lt;&gt;0,generateSalesData(B162,D162,E162),0)</f>
        <v>0</v>
      </c>
    </row>
    <row r="163" spans="1:6" x14ac:dyDescent="0.25">
      <c r="A163" s="1">
        <v>43862</v>
      </c>
      <c r="B163" s="5">
        <v>43903</v>
      </c>
      <c r="C163" s="3" t="s">
        <v>9</v>
      </c>
      <c r="D163" s="3">
        <v>7.7</v>
      </c>
      <c r="E163">
        <f t="shared" si="2"/>
        <v>0</v>
      </c>
      <c r="F163" cm="1">
        <f t="array" ref="F163">IF(E163&lt;&gt;0,generateSalesData(B163,D163,E163),0)</f>
        <v>0</v>
      </c>
    </row>
    <row r="164" spans="1:6" x14ac:dyDescent="0.25">
      <c r="A164" s="1">
        <v>43862</v>
      </c>
      <c r="B164" s="4">
        <v>43928</v>
      </c>
      <c r="C164" s="2" t="s">
        <v>10</v>
      </c>
      <c r="D164" s="2">
        <v>8.1</v>
      </c>
      <c r="E164">
        <f t="shared" si="2"/>
        <v>0</v>
      </c>
      <c r="F164" cm="1">
        <f t="array" ref="F164">IF(E164&lt;&gt;0,generateSalesData(B164,D164,E164),0)</f>
        <v>0</v>
      </c>
    </row>
    <row r="165" spans="1:6" x14ac:dyDescent="0.25">
      <c r="A165" s="1">
        <v>43862</v>
      </c>
      <c r="B165" s="5">
        <v>44001</v>
      </c>
      <c r="C165" s="3" t="s">
        <v>11</v>
      </c>
      <c r="D165" s="3">
        <v>7.6</v>
      </c>
      <c r="E165">
        <f t="shared" si="2"/>
        <v>0</v>
      </c>
      <c r="F165" cm="1">
        <f t="array" ref="F165">IF(E165&lt;&gt;0,generateSalesData(B165,D165,E165),0)</f>
        <v>0</v>
      </c>
    </row>
    <row r="166" spans="1:6" x14ac:dyDescent="0.25">
      <c r="A166" s="1">
        <v>43862</v>
      </c>
      <c r="B166" s="4">
        <v>44064</v>
      </c>
      <c r="C166" s="2" t="s">
        <v>12</v>
      </c>
      <c r="D166" s="2">
        <v>7.3</v>
      </c>
      <c r="E166">
        <f t="shared" si="2"/>
        <v>0</v>
      </c>
      <c r="F166" cm="1">
        <f t="array" ref="F166">IF(E166&lt;&gt;0,generateSalesData(B166,D166,E166),0)</f>
        <v>0</v>
      </c>
    </row>
    <row r="167" spans="1:6" x14ac:dyDescent="0.25">
      <c r="A167" s="1">
        <v>43862</v>
      </c>
      <c r="B167" s="5">
        <v>44225</v>
      </c>
      <c r="C167" s="3" t="s">
        <v>13</v>
      </c>
      <c r="D167" s="3">
        <v>9.8000000000000007</v>
      </c>
      <c r="E167">
        <f t="shared" si="2"/>
        <v>0</v>
      </c>
      <c r="F167" cm="1">
        <f t="array" ref="F167">IF(E167&lt;&gt;0,generateSalesData(B167,D167,E167),0)</f>
        <v>0</v>
      </c>
    </row>
    <row r="168" spans="1:6" x14ac:dyDescent="0.25">
      <c r="A168" s="1">
        <v>43862</v>
      </c>
      <c r="B168" s="4">
        <v>44281</v>
      </c>
      <c r="C168" s="2" t="s">
        <v>14</v>
      </c>
      <c r="D168" s="2">
        <v>9.1999999999999993</v>
      </c>
      <c r="E168">
        <f t="shared" si="2"/>
        <v>0</v>
      </c>
      <c r="F168" cm="1">
        <f t="array" ref="F168">IF(E168&lt;&gt;0,generateSalesData(B168,D168,E168),0)</f>
        <v>0</v>
      </c>
    </row>
    <row r="169" spans="1:6" x14ac:dyDescent="0.25">
      <c r="A169" s="1">
        <v>43891</v>
      </c>
      <c r="B169" s="5">
        <v>44344</v>
      </c>
      <c r="C169" s="3" t="s">
        <v>15</v>
      </c>
      <c r="D169" s="3">
        <v>8.4</v>
      </c>
      <c r="E169">
        <f t="shared" si="2"/>
        <v>0</v>
      </c>
      <c r="F169" cm="1">
        <f t="array" ref="F169">IF(E169&lt;&gt;0,generateSalesData(B169,D169,E169),0)</f>
        <v>0</v>
      </c>
    </row>
    <row r="170" spans="1:6" x14ac:dyDescent="0.25">
      <c r="A170" s="1">
        <v>43891</v>
      </c>
      <c r="B170" s="4">
        <v>43532</v>
      </c>
      <c r="C170" s="2" t="s">
        <v>4</v>
      </c>
      <c r="D170" s="2">
        <v>8.5</v>
      </c>
      <c r="E170">
        <f t="shared" si="2"/>
        <v>359</v>
      </c>
      <c r="F170" cm="1">
        <f t="array" ref="F170">IF(E170&lt;&gt;0,generateSalesData(B170,D170,E170),0)</f>
        <v>750</v>
      </c>
    </row>
    <row r="171" spans="1:6" x14ac:dyDescent="0.25">
      <c r="A171" s="1">
        <v>43891</v>
      </c>
      <c r="B171" s="5">
        <v>43728</v>
      </c>
      <c r="C171" s="3" t="s">
        <v>5</v>
      </c>
      <c r="D171" s="3">
        <v>7.8</v>
      </c>
      <c r="E171">
        <f t="shared" si="2"/>
        <v>163</v>
      </c>
      <c r="F171" cm="1">
        <f t="array" ref="F171">IF(E171&lt;&gt;0,generateSalesData(B171,D171,E171),0)</f>
        <v>2243</v>
      </c>
    </row>
    <row r="172" spans="1:6" x14ac:dyDescent="0.25">
      <c r="A172" s="1">
        <v>43891</v>
      </c>
      <c r="B172" s="4">
        <v>43763</v>
      </c>
      <c r="C172" s="2" t="s">
        <v>6</v>
      </c>
      <c r="D172" s="2">
        <v>7.2</v>
      </c>
      <c r="E172">
        <f t="shared" si="2"/>
        <v>128</v>
      </c>
      <c r="F172" cm="1">
        <f t="array" ref="F172">IF(E172&lt;&gt;0,generateSalesData(B172,D172,E172),0)</f>
        <v>1410</v>
      </c>
    </row>
    <row r="173" spans="1:6" x14ac:dyDescent="0.25">
      <c r="A173" s="1">
        <v>43891</v>
      </c>
      <c r="B173" s="5">
        <v>43784</v>
      </c>
      <c r="C173" s="3" t="s">
        <v>7</v>
      </c>
      <c r="D173" s="3">
        <v>6.5</v>
      </c>
      <c r="E173">
        <f t="shared" si="2"/>
        <v>107</v>
      </c>
      <c r="F173" cm="1">
        <f t="array" ref="F173">IF(E173&lt;&gt;0,generateSalesData(B173,D173,E173),0)</f>
        <v>3197</v>
      </c>
    </row>
    <row r="174" spans="1:6" x14ac:dyDescent="0.25">
      <c r="A174" s="1">
        <v>43891</v>
      </c>
      <c r="B174" s="4">
        <v>43872</v>
      </c>
      <c r="C174" s="2" t="s">
        <v>8</v>
      </c>
      <c r="D174" s="2">
        <v>9.3000000000000007</v>
      </c>
      <c r="E174">
        <f t="shared" si="2"/>
        <v>19</v>
      </c>
      <c r="F174" cm="1">
        <f t="array" ref="F174">IF(E174&lt;&gt;0,generateSalesData(B174,D174,E174),0)</f>
        <v>13873</v>
      </c>
    </row>
    <row r="175" spans="1:6" x14ac:dyDescent="0.25">
      <c r="A175" s="1">
        <v>43891</v>
      </c>
      <c r="B175" s="5">
        <v>43903</v>
      </c>
      <c r="C175" s="3" t="s">
        <v>9</v>
      </c>
      <c r="D175" s="3">
        <v>7.7</v>
      </c>
      <c r="E175">
        <f t="shared" si="2"/>
        <v>0</v>
      </c>
      <c r="F175" cm="1">
        <f t="array" ref="F175">IF(E175&lt;&gt;0,generateSalesData(B175,D175,E175),0)</f>
        <v>0</v>
      </c>
    </row>
    <row r="176" spans="1:6" x14ac:dyDescent="0.25">
      <c r="A176" s="1">
        <v>43891</v>
      </c>
      <c r="B176" s="4">
        <v>43928</v>
      </c>
      <c r="C176" s="2" t="s">
        <v>10</v>
      </c>
      <c r="D176" s="2">
        <v>8.1</v>
      </c>
      <c r="E176">
        <f t="shared" si="2"/>
        <v>0</v>
      </c>
      <c r="F176" cm="1">
        <f t="array" ref="F176">IF(E176&lt;&gt;0,generateSalesData(B176,D176,E176),0)</f>
        <v>0</v>
      </c>
    </row>
    <row r="177" spans="1:6" x14ac:dyDescent="0.25">
      <c r="A177" s="1">
        <v>43891</v>
      </c>
      <c r="B177" s="5">
        <v>44001</v>
      </c>
      <c r="C177" s="3" t="s">
        <v>11</v>
      </c>
      <c r="D177" s="3">
        <v>7.6</v>
      </c>
      <c r="E177">
        <f t="shared" si="2"/>
        <v>0</v>
      </c>
      <c r="F177" cm="1">
        <f t="array" ref="F177">IF(E177&lt;&gt;0,generateSalesData(B177,D177,E177),0)</f>
        <v>0</v>
      </c>
    </row>
    <row r="178" spans="1:6" x14ac:dyDescent="0.25">
      <c r="A178" s="1">
        <v>43891</v>
      </c>
      <c r="B178" s="4">
        <v>44064</v>
      </c>
      <c r="C178" s="2" t="s">
        <v>12</v>
      </c>
      <c r="D178" s="2">
        <v>7.3</v>
      </c>
      <c r="E178">
        <f t="shared" si="2"/>
        <v>0</v>
      </c>
      <c r="F178" cm="1">
        <f t="array" ref="F178">IF(E178&lt;&gt;0,generateSalesData(B178,D178,E178),0)</f>
        <v>0</v>
      </c>
    </row>
    <row r="179" spans="1:6" x14ac:dyDescent="0.25">
      <c r="A179" s="1">
        <v>43891</v>
      </c>
      <c r="B179" s="5">
        <v>44225</v>
      </c>
      <c r="C179" s="3" t="s">
        <v>13</v>
      </c>
      <c r="D179" s="3">
        <v>9.8000000000000007</v>
      </c>
      <c r="E179">
        <f t="shared" si="2"/>
        <v>0</v>
      </c>
      <c r="F179" cm="1">
        <f t="array" ref="F179">IF(E179&lt;&gt;0,generateSalesData(B179,D179,E179),0)</f>
        <v>0</v>
      </c>
    </row>
    <row r="180" spans="1:6" x14ac:dyDescent="0.25">
      <c r="A180" s="1">
        <v>43891</v>
      </c>
      <c r="B180" s="4">
        <v>44281</v>
      </c>
      <c r="C180" s="2" t="s">
        <v>14</v>
      </c>
      <c r="D180" s="2">
        <v>9.1999999999999993</v>
      </c>
      <c r="E180">
        <f t="shared" si="2"/>
        <v>0</v>
      </c>
      <c r="F180" cm="1">
        <f t="array" ref="F180">IF(E180&lt;&gt;0,generateSalesData(B180,D180,E180),0)</f>
        <v>0</v>
      </c>
    </row>
    <row r="181" spans="1:6" x14ac:dyDescent="0.25">
      <c r="A181" s="1">
        <v>43922</v>
      </c>
      <c r="B181" s="5">
        <v>44344</v>
      </c>
      <c r="C181" s="3" t="s">
        <v>15</v>
      </c>
      <c r="D181" s="3">
        <v>8.4</v>
      </c>
      <c r="E181">
        <f t="shared" si="2"/>
        <v>0</v>
      </c>
      <c r="F181" cm="1">
        <f t="array" ref="F181">IF(E181&lt;&gt;0,generateSalesData(B181,D181,E181),0)</f>
        <v>0</v>
      </c>
    </row>
    <row r="182" spans="1:6" x14ac:dyDescent="0.25">
      <c r="A182" s="1">
        <v>43922</v>
      </c>
      <c r="B182" s="4">
        <v>43532</v>
      </c>
      <c r="C182" s="2" t="s">
        <v>4</v>
      </c>
      <c r="D182" s="2">
        <v>8.5</v>
      </c>
      <c r="E182">
        <f t="shared" si="2"/>
        <v>390</v>
      </c>
      <c r="F182" cm="1">
        <f t="array" ref="F182">IF(E182&lt;&gt;0,generateSalesData(B182,D182,E182),0)</f>
        <v>720</v>
      </c>
    </row>
    <row r="183" spans="1:6" x14ac:dyDescent="0.25">
      <c r="A183" s="1">
        <v>43922</v>
      </c>
      <c r="B183" s="5">
        <v>43728</v>
      </c>
      <c r="C183" s="3" t="s">
        <v>5</v>
      </c>
      <c r="D183" s="3">
        <v>7.8</v>
      </c>
      <c r="E183">
        <f t="shared" si="2"/>
        <v>194</v>
      </c>
      <c r="F183" cm="1">
        <f t="array" ref="F183">IF(E183&lt;&gt;0,generateSalesData(B183,D183,E183),0)</f>
        <v>2066</v>
      </c>
    </row>
    <row r="184" spans="1:6" x14ac:dyDescent="0.25">
      <c r="A184" s="1">
        <v>43922</v>
      </c>
      <c r="B184" s="4">
        <v>43763</v>
      </c>
      <c r="C184" s="2" t="s">
        <v>6</v>
      </c>
      <c r="D184" s="2">
        <v>7.2</v>
      </c>
      <c r="E184">
        <f t="shared" si="2"/>
        <v>159</v>
      </c>
      <c r="F184" cm="1">
        <f t="array" ref="F184">IF(E184&lt;&gt;0,generateSalesData(B184,D184,E184),0)</f>
        <v>-496</v>
      </c>
    </row>
    <row r="185" spans="1:6" x14ac:dyDescent="0.25">
      <c r="A185" s="1">
        <v>43922</v>
      </c>
      <c r="B185" s="5">
        <v>43784</v>
      </c>
      <c r="C185" s="3" t="s">
        <v>7</v>
      </c>
      <c r="D185" s="3">
        <v>6.5</v>
      </c>
      <c r="E185">
        <f t="shared" si="2"/>
        <v>138</v>
      </c>
      <c r="F185" cm="1">
        <f t="array" ref="F185">IF(E185&lt;&gt;0,generateSalesData(B185,D185,E185),0)</f>
        <v>1437</v>
      </c>
    </row>
    <row r="186" spans="1:6" x14ac:dyDescent="0.25">
      <c r="A186" s="1">
        <v>43922</v>
      </c>
      <c r="B186" s="4">
        <v>43872</v>
      </c>
      <c r="C186" s="2" t="s">
        <v>8</v>
      </c>
      <c r="D186" s="2">
        <v>9.3000000000000007</v>
      </c>
      <c r="E186">
        <f t="shared" si="2"/>
        <v>50</v>
      </c>
      <c r="F186" cm="1">
        <f t="array" ref="F186">IF(E186&lt;&gt;0,generateSalesData(B186,D186,E186),0)</f>
        <v>5347</v>
      </c>
    </row>
    <row r="187" spans="1:6" x14ac:dyDescent="0.25">
      <c r="A187" s="1">
        <v>43922</v>
      </c>
      <c r="B187" s="5">
        <v>43903</v>
      </c>
      <c r="C187" s="3" t="s">
        <v>9</v>
      </c>
      <c r="D187" s="3">
        <v>7.7</v>
      </c>
      <c r="E187">
        <f t="shared" si="2"/>
        <v>19</v>
      </c>
      <c r="F187" cm="1">
        <f t="array" ref="F187">IF(E187&lt;&gt;0,generateSalesData(B187,D187,E187),0)</f>
        <v>18377</v>
      </c>
    </row>
    <row r="188" spans="1:6" x14ac:dyDescent="0.25">
      <c r="A188" s="1">
        <v>43922</v>
      </c>
      <c r="B188" s="4">
        <v>43928</v>
      </c>
      <c r="C188" s="2" t="s">
        <v>10</v>
      </c>
      <c r="D188" s="2">
        <v>8.1</v>
      </c>
      <c r="E188">
        <f t="shared" si="2"/>
        <v>0</v>
      </c>
      <c r="F188" cm="1">
        <f t="array" ref="F188">IF(E188&lt;&gt;0,generateSalesData(B188,D188,E188),0)</f>
        <v>0</v>
      </c>
    </row>
    <row r="189" spans="1:6" x14ac:dyDescent="0.25">
      <c r="A189" s="1">
        <v>43922</v>
      </c>
      <c r="B189" s="5">
        <v>44001</v>
      </c>
      <c r="C189" s="3" t="s">
        <v>11</v>
      </c>
      <c r="D189" s="3">
        <v>7.6</v>
      </c>
      <c r="E189">
        <f t="shared" si="2"/>
        <v>0</v>
      </c>
      <c r="F189" cm="1">
        <f t="array" ref="F189">IF(E189&lt;&gt;0,generateSalesData(B189,D189,E189),0)</f>
        <v>0</v>
      </c>
    </row>
    <row r="190" spans="1:6" x14ac:dyDescent="0.25">
      <c r="A190" s="1">
        <v>43922</v>
      </c>
      <c r="B190" s="4">
        <v>44064</v>
      </c>
      <c r="C190" s="2" t="s">
        <v>12</v>
      </c>
      <c r="D190" s="2">
        <v>7.3</v>
      </c>
      <c r="E190">
        <f t="shared" si="2"/>
        <v>0</v>
      </c>
      <c r="F190" cm="1">
        <f t="array" ref="F190">IF(E190&lt;&gt;0,generateSalesData(B190,D190,E190),0)</f>
        <v>0</v>
      </c>
    </row>
    <row r="191" spans="1:6" x14ac:dyDescent="0.25">
      <c r="A191" s="1">
        <v>43922</v>
      </c>
      <c r="B191" s="5">
        <v>44225</v>
      </c>
      <c r="C191" s="3" t="s">
        <v>13</v>
      </c>
      <c r="D191" s="3">
        <v>9.8000000000000007</v>
      </c>
      <c r="E191">
        <f t="shared" si="2"/>
        <v>0</v>
      </c>
      <c r="F191" cm="1">
        <f t="array" ref="F191">IF(E191&lt;&gt;0,generateSalesData(B191,D191,E191),0)</f>
        <v>0</v>
      </c>
    </row>
    <row r="192" spans="1:6" x14ac:dyDescent="0.25">
      <c r="A192" s="1">
        <v>43922</v>
      </c>
      <c r="B192" s="4">
        <v>44281</v>
      </c>
      <c r="C192" s="2" t="s">
        <v>14</v>
      </c>
      <c r="D192" s="2">
        <v>9.1999999999999993</v>
      </c>
      <c r="E192">
        <f t="shared" si="2"/>
        <v>0</v>
      </c>
      <c r="F192" cm="1">
        <f t="array" ref="F192">IF(E192&lt;&gt;0,generateSalesData(B192,D192,E192),0)</f>
        <v>0</v>
      </c>
    </row>
    <row r="193" spans="1:6" x14ac:dyDescent="0.25">
      <c r="A193" s="1">
        <v>43952</v>
      </c>
      <c r="B193" s="5">
        <v>44344</v>
      </c>
      <c r="C193" s="3" t="s">
        <v>15</v>
      </c>
      <c r="D193" s="3">
        <v>8.4</v>
      </c>
      <c r="E193">
        <f t="shared" si="2"/>
        <v>0</v>
      </c>
      <c r="F193" cm="1">
        <f t="array" ref="F193">IF(E193&lt;&gt;0,generateSalesData(B193,D193,E193),0)</f>
        <v>0</v>
      </c>
    </row>
    <row r="194" spans="1:6" x14ac:dyDescent="0.25">
      <c r="A194" s="1">
        <v>43952</v>
      </c>
      <c r="B194" s="4">
        <v>43532</v>
      </c>
      <c r="C194" s="2" t="s">
        <v>4</v>
      </c>
      <c r="D194" s="2">
        <v>8.5</v>
      </c>
      <c r="E194">
        <f t="shared" si="2"/>
        <v>420</v>
      </c>
      <c r="F194" cm="1">
        <f t="array" ref="F194">IF(E194&lt;&gt;0,generateSalesData(B194,D194,E194),0)</f>
        <v>895</v>
      </c>
    </row>
    <row r="195" spans="1:6" x14ac:dyDescent="0.25">
      <c r="A195" s="1">
        <v>43952</v>
      </c>
      <c r="B195" s="5">
        <v>43728</v>
      </c>
      <c r="C195" s="3" t="s">
        <v>5</v>
      </c>
      <c r="D195" s="3">
        <v>7.8</v>
      </c>
      <c r="E195">
        <f t="shared" ref="E195:E258" si="3">IF(A195-B195&lt;0,0,A195-B195)</f>
        <v>224</v>
      </c>
      <c r="F195" cm="1">
        <f t="array" ref="F195">IF(E195&lt;&gt;0,generateSalesData(B195,D195,E195),0)</f>
        <v>1140</v>
      </c>
    </row>
    <row r="196" spans="1:6" x14ac:dyDescent="0.25">
      <c r="A196" s="1">
        <v>43952</v>
      </c>
      <c r="B196" s="4">
        <v>43763</v>
      </c>
      <c r="C196" s="2" t="s">
        <v>6</v>
      </c>
      <c r="D196" s="2">
        <v>7.2</v>
      </c>
      <c r="E196">
        <f t="shared" si="3"/>
        <v>189</v>
      </c>
      <c r="F196" cm="1">
        <f t="array" ref="F196">IF(E196&lt;&gt;0,generateSalesData(B196,D196,E196),0)</f>
        <v>1916</v>
      </c>
    </row>
    <row r="197" spans="1:6" x14ac:dyDescent="0.25">
      <c r="A197" s="1">
        <v>43952</v>
      </c>
      <c r="B197" s="5">
        <v>43784</v>
      </c>
      <c r="C197" s="3" t="s">
        <v>7</v>
      </c>
      <c r="D197" s="3">
        <v>6.5</v>
      </c>
      <c r="E197">
        <f t="shared" si="3"/>
        <v>168</v>
      </c>
      <c r="F197" cm="1">
        <f t="array" ref="F197">IF(E197&lt;&gt;0,generateSalesData(B197,D197,E197),0)</f>
        <v>1062</v>
      </c>
    </row>
    <row r="198" spans="1:6" x14ac:dyDescent="0.25">
      <c r="A198" s="1">
        <v>43952</v>
      </c>
      <c r="B198" s="4">
        <v>43872</v>
      </c>
      <c r="C198" s="2" t="s">
        <v>8</v>
      </c>
      <c r="D198" s="2">
        <v>9.3000000000000007</v>
      </c>
      <c r="E198">
        <f t="shared" si="3"/>
        <v>80</v>
      </c>
      <c r="F198" cm="1">
        <f t="array" ref="F198">IF(E198&lt;&gt;0,generateSalesData(B198,D198,E198),0)</f>
        <v>2760</v>
      </c>
    </row>
    <row r="199" spans="1:6" x14ac:dyDescent="0.25">
      <c r="A199" s="1">
        <v>43952</v>
      </c>
      <c r="B199" s="5">
        <v>43903</v>
      </c>
      <c r="C199" s="3" t="s">
        <v>9</v>
      </c>
      <c r="D199" s="3">
        <v>7.7</v>
      </c>
      <c r="E199">
        <f t="shared" si="3"/>
        <v>49</v>
      </c>
      <c r="F199" cm="1">
        <f t="array" ref="F199">IF(E199&lt;&gt;0,generateSalesData(B199,D199,E199),0)</f>
        <v>4389</v>
      </c>
    </row>
    <row r="200" spans="1:6" x14ac:dyDescent="0.25">
      <c r="A200" s="1">
        <v>43952</v>
      </c>
      <c r="B200" s="4">
        <v>43928</v>
      </c>
      <c r="C200" s="2" t="s">
        <v>10</v>
      </c>
      <c r="D200" s="2">
        <v>8.1</v>
      </c>
      <c r="E200">
        <f t="shared" si="3"/>
        <v>24</v>
      </c>
      <c r="F200" cm="1">
        <f t="array" ref="F200">IF(E200&lt;&gt;0,generateSalesData(B200,D200,E200),0)</f>
        <v>15190</v>
      </c>
    </row>
    <row r="201" spans="1:6" x14ac:dyDescent="0.25">
      <c r="A201" s="1">
        <v>43952</v>
      </c>
      <c r="B201" s="5">
        <v>44001</v>
      </c>
      <c r="C201" s="3" t="s">
        <v>11</v>
      </c>
      <c r="D201" s="3">
        <v>7.6</v>
      </c>
      <c r="E201">
        <f t="shared" si="3"/>
        <v>0</v>
      </c>
      <c r="F201" cm="1">
        <f t="array" ref="F201">IF(E201&lt;&gt;0,generateSalesData(B201,D201,E201),0)</f>
        <v>0</v>
      </c>
    </row>
    <row r="202" spans="1:6" x14ac:dyDescent="0.25">
      <c r="A202" s="1">
        <v>43952</v>
      </c>
      <c r="B202" s="4">
        <v>44064</v>
      </c>
      <c r="C202" s="2" t="s">
        <v>12</v>
      </c>
      <c r="D202" s="2">
        <v>7.3</v>
      </c>
      <c r="E202">
        <f t="shared" si="3"/>
        <v>0</v>
      </c>
      <c r="F202" cm="1">
        <f t="array" ref="F202">IF(E202&lt;&gt;0,generateSalesData(B202,D202,E202),0)</f>
        <v>0</v>
      </c>
    </row>
    <row r="203" spans="1:6" x14ac:dyDescent="0.25">
      <c r="A203" s="1">
        <v>43952</v>
      </c>
      <c r="B203" s="5">
        <v>44225</v>
      </c>
      <c r="C203" s="3" t="s">
        <v>13</v>
      </c>
      <c r="D203" s="3">
        <v>9.8000000000000007</v>
      </c>
      <c r="E203">
        <f t="shared" si="3"/>
        <v>0</v>
      </c>
      <c r="F203" cm="1">
        <f t="array" ref="F203">IF(E203&lt;&gt;0,generateSalesData(B203,D203,E203),0)</f>
        <v>0</v>
      </c>
    </row>
    <row r="204" spans="1:6" x14ac:dyDescent="0.25">
      <c r="A204" s="1">
        <v>43952</v>
      </c>
      <c r="B204" s="4">
        <v>44281</v>
      </c>
      <c r="C204" s="2" t="s">
        <v>14</v>
      </c>
      <c r="D204" s="2">
        <v>9.1999999999999993</v>
      </c>
      <c r="E204">
        <f t="shared" si="3"/>
        <v>0</v>
      </c>
      <c r="F204" cm="1">
        <f t="array" ref="F204">IF(E204&lt;&gt;0,generateSalesData(B204,D204,E204),0)</f>
        <v>0</v>
      </c>
    </row>
    <row r="205" spans="1:6" x14ac:dyDescent="0.25">
      <c r="A205" s="1">
        <v>43983</v>
      </c>
      <c r="B205" s="5">
        <v>44344</v>
      </c>
      <c r="C205" s="3" t="s">
        <v>15</v>
      </c>
      <c r="D205" s="3">
        <v>8.4</v>
      </c>
      <c r="E205">
        <f t="shared" si="3"/>
        <v>0</v>
      </c>
      <c r="F205" cm="1">
        <f t="array" ref="F205">IF(E205&lt;&gt;0,generateSalesData(B205,D205,E205),0)</f>
        <v>0</v>
      </c>
    </row>
    <row r="206" spans="1:6" x14ac:dyDescent="0.25">
      <c r="A206" s="1">
        <v>43983</v>
      </c>
      <c r="B206" s="4">
        <v>43532</v>
      </c>
      <c r="C206" s="2" t="s">
        <v>4</v>
      </c>
      <c r="D206" s="2">
        <v>8.5</v>
      </c>
      <c r="E206">
        <f t="shared" si="3"/>
        <v>451</v>
      </c>
      <c r="F206" cm="1">
        <f t="array" ref="F206">IF(E206&lt;&gt;0,generateSalesData(B206,D206,E206),0)</f>
        <v>638</v>
      </c>
    </row>
    <row r="207" spans="1:6" x14ac:dyDescent="0.25">
      <c r="A207" s="1">
        <v>43983</v>
      </c>
      <c r="B207" s="5">
        <v>43728</v>
      </c>
      <c r="C207" s="3" t="s">
        <v>5</v>
      </c>
      <c r="D207" s="3">
        <v>7.8</v>
      </c>
      <c r="E207">
        <f t="shared" si="3"/>
        <v>255</v>
      </c>
      <c r="F207" cm="1">
        <f t="array" ref="F207">IF(E207&lt;&gt;0,generateSalesData(B207,D207,E207),0)</f>
        <v>691</v>
      </c>
    </row>
    <row r="208" spans="1:6" x14ac:dyDescent="0.25">
      <c r="A208" s="1">
        <v>43983</v>
      </c>
      <c r="B208" s="4">
        <v>43763</v>
      </c>
      <c r="C208" s="2" t="s">
        <v>6</v>
      </c>
      <c r="D208" s="2">
        <v>7.2</v>
      </c>
      <c r="E208">
        <f t="shared" si="3"/>
        <v>220</v>
      </c>
      <c r="F208" cm="1">
        <f t="array" ref="F208">IF(E208&lt;&gt;0,generateSalesData(B208,D208,E208),0)</f>
        <v>831</v>
      </c>
    </row>
    <row r="209" spans="1:6" x14ac:dyDescent="0.25">
      <c r="A209" s="1">
        <v>43983</v>
      </c>
      <c r="B209" s="5">
        <v>43784</v>
      </c>
      <c r="C209" s="3" t="s">
        <v>7</v>
      </c>
      <c r="D209" s="3">
        <v>6.5</v>
      </c>
      <c r="E209">
        <f t="shared" si="3"/>
        <v>199</v>
      </c>
      <c r="F209" cm="1">
        <f t="array" ref="F209">IF(E209&lt;&gt;0,generateSalesData(B209,D209,E209),0)</f>
        <v>685</v>
      </c>
    </row>
    <row r="210" spans="1:6" x14ac:dyDescent="0.25">
      <c r="A210" s="1">
        <v>43983</v>
      </c>
      <c r="B210" s="4">
        <v>43872</v>
      </c>
      <c r="C210" s="2" t="s">
        <v>8</v>
      </c>
      <c r="D210" s="2">
        <v>9.3000000000000007</v>
      </c>
      <c r="E210">
        <f t="shared" si="3"/>
        <v>111</v>
      </c>
      <c r="F210" cm="1">
        <f t="array" ref="F210">IF(E210&lt;&gt;0,generateSalesData(B210,D210,E210),0)</f>
        <v>2982</v>
      </c>
    </row>
    <row r="211" spans="1:6" x14ac:dyDescent="0.25">
      <c r="A211" s="1">
        <v>43983</v>
      </c>
      <c r="B211" s="5">
        <v>43903</v>
      </c>
      <c r="C211" s="3" t="s">
        <v>9</v>
      </c>
      <c r="D211" s="3">
        <v>7.7</v>
      </c>
      <c r="E211">
        <f t="shared" si="3"/>
        <v>80</v>
      </c>
      <c r="F211" cm="1">
        <f t="array" ref="F211">IF(E211&lt;&gt;0,generateSalesData(B211,D211,E211),0)</f>
        <v>5654</v>
      </c>
    </row>
    <row r="212" spans="1:6" x14ac:dyDescent="0.25">
      <c r="A212" s="1">
        <v>43983</v>
      </c>
      <c r="B212" s="4">
        <v>43928</v>
      </c>
      <c r="C212" s="2" t="s">
        <v>10</v>
      </c>
      <c r="D212" s="2">
        <v>8.1</v>
      </c>
      <c r="E212">
        <f t="shared" si="3"/>
        <v>55</v>
      </c>
      <c r="F212" cm="1">
        <f t="array" ref="F212">IF(E212&lt;&gt;0,generateSalesData(B212,D212,E212),0)</f>
        <v>6416</v>
      </c>
    </row>
    <row r="213" spans="1:6" x14ac:dyDescent="0.25">
      <c r="A213" s="1">
        <v>43983</v>
      </c>
      <c r="B213" s="5">
        <v>44001</v>
      </c>
      <c r="C213" s="3" t="s">
        <v>11</v>
      </c>
      <c r="D213" s="3">
        <v>7.6</v>
      </c>
      <c r="E213">
        <f t="shared" si="3"/>
        <v>0</v>
      </c>
      <c r="F213" cm="1">
        <f t="array" ref="F213">IF(E213&lt;&gt;0,generateSalesData(B213,D213,E213),0)</f>
        <v>0</v>
      </c>
    </row>
    <row r="214" spans="1:6" x14ac:dyDescent="0.25">
      <c r="A214" s="1">
        <v>43983</v>
      </c>
      <c r="B214" s="4">
        <v>44064</v>
      </c>
      <c r="C214" s="2" t="s">
        <v>12</v>
      </c>
      <c r="D214" s="2">
        <v>7.3</v>
      </c>
      <c r="E214">
        <f t="shared" si="3"/>
        <v>0</v>
      </c>
      <c r="F214" cm="1">
        <f t="array" ref="F214">IF(E214&lt;&gt;0,generateSalesData(B214,D214,E214),0)</f>
        <v>0</v>
      </c>
    </row>
    <row r="215" spans="1:6" x14ac:dyDescent="0.25">
      <c r="A215" s="1">
        <v>43983</v>
      </c>
      <c r="B215" s="5">
        <v>44225</v>
      </c>
      <c r="C215" s="3" t="s">
        <v>13</v>
      </c>
      <c r="D215" s="3">
        <v>9.8000000000000007</v>
      </c>
      <c r="E215">
        <f t="shared" si="3"/>
        <v>0</v>
      </c>
      <c r="F215" cm="1">
        <f t="array" ref="F215">IF(E215&lt;&gt;0,generateSalesData(B215,D215,E215),0)</f>
        <v>0</v>
      </c>
    </row>
    <row r="216" spans="1:6" x14ac:dyDescent="0.25">
      <c r="A216" s="1">
        <v>43983</v>
      </c>
      <c r="B216" s="4">
        <v>44281</v>
      </c>
      <c r="C216" s="2" t="s">
        <v>14</v>
      </c>
      <c r="D216" s="2">
        <v>9.1999999999999993</v>
      </c>
      <c r="E216">
        <f t="shared" si="3"/>
        <v>0</v>
      </c>
      <c r="F216" cm="1">
        <f t="array" ref="F216">IF(E216&lt;&gt;0,generateSalesData(B216,D216,E216),0)</f>
        <v>0</v>
      </c>
    </row>
    <row r="217" spans="1:6" x14ac:dyDescent="0.25">
      <c r="A217" s="1">
        <v>44013</v>
      </c>
      <c r="B217" s="5">
        <v>44344</v>
      </c>
      <c r="C217" s="3" t="s">
        <v>15</v>
      </c>
      <c r="D217" s="3">
        <v>8.4</v>
      </c>
      <c r="E217">
        <f t="shared" si="3"/>
        <v>0</v>
      </c>
      <c r="F217" cm="1">
        <f t="array" ref="F217">IF(E217&lt;&gt;0,generateSalesData(B217,D217,E217),0)</f>
        <v>0</v>
      </c>
    </row>
    <row r="218" spans="1:6" x14ac:dyDescent="0.25">
      <c r="A218" s="1">
        <v>44013</v>
      </c>
      <c r="B218" s="4">
        <v>43532</v>
      </c>
      <c r="C218" s="2" t="s">
        <v>4</v>
      </c>
      <c r="D218" s="2">
        <v>8.5</v>
      </c>
      <c r="E218">
        <f t="shared" si="3"/>
        <v>481</v>
      </c>
      <c r="F218" cm="1">
        <f t="array" ref="F218">IF(E218&lt;&gt;0,generateSalesData(B218,D218,E218),0)</f>
        <v>526</v>
      </c>
    </row>
    <row r="219" spans="1:6" x14ac:dyDescent="0.25">
      <c r="A219" s="1">
        <v>44013</v>
      </c>
      <c r="B219" s="5">
        <v>43728</v>
      </c>
      <c r="C219" s="3" t="s">
        <v>5</v>
      </c>
      <c r="D219" s="3">
        <v>7.8</v>
      </c>
      <c r="E219">
        <f t="shared" si="3"/>
        <v>285</v>
      </c>
      <c r="F219" cm="1">
        <f t="array" ref="F219">IF(E219&lt;&gt;0,generateSalesData(B219,D219,E219),0)</f>
        <v>709</v>
      </c>
    </row>
    <row r="220" spans="1:6" x14ac:dyDescent="0.25">
      <c r="A220" s="1">
        <v>44013</v>
      </c>
      <c r="B220" s="4">
        <v>43763</v>
      </c>
      <c r="C220" s="2" t="s">
        <v>6</v>
      </c>
      <c r="D220" s="2">
        <v>7.2</v>
      </c>
      <c r="E220">
        <f t="shared" si="3"/>
        <v>250</v>
      </c>
      <c r="F220" cm="1">
        <f t="array" ref="F220">IF(E220&lt;&gt;0,generateSalesData(B220,D220,E220),0)</f>
        <v>1602</v>
      </c>
    </row>
    <row r="221" spans="1:6" x14ac:dyDescent="0.25">
      <c r="A221" s="1">
        <v>44013</v>
      </c>
      <c r="B221" s="5">
        <v>43784</v>
      </c>
      <c r="C221" s="3" t="s">
        <v>7</v>
      </c>
      <c r="D221" s="3">
        <v>6.5</v>
      </c>
      <c r="E221">
        <f t="shared" si="3"/>
        <v>229</v>
      </c>
      <c r="F221" cm="1">
        <f t="array" ref="F221">IF(E221&lt;&gt;0,generateSalesData(B221,D221,E221),0)</f>
        <v>680</v>
      </c>
    </row>
    <row r="222" spans="1:6" x14ac:dyDescent="0.25">
      <c r="A222" s="1">
        <v>44013</v>
      </c>
      <c r="B222" s="4">
        <v>43872</v>
      </c>
      <c r="C222" s="2" t="s">
        <v>8</v>
      </c>
      <c r="D222" s="2">
        <v>9.3000000000000007</v>
      </c>
      <c r="E222">
        <f t="shared" si="3"/>
        <v>141</v>
      </c>
      <c r="F222" cm="1">
        <f t="array" ref="F222">IF(E222&lt;&gt;0,generateSalesData(B222,D222,E222),0)</f>
        <v>2484</v>
      </c>
    </row>
    <row r="223" spans="1:6" x14ac:dyDescent="0.25">
      <c r="A223" s="1">
        <v>44013</v>
      </c>
      <c r="B223" s="5">
        <v>43903</v>
      </c>
      <c r="C223" s="3" t="s">
        <v>9</v>
      </c>
      <c r="D223" s="3">
        <v>7.7</v>
      </c>
      <c r="E223">
        <f t="shared" si="3"/>
        <v>110</v>
      </c>
      <c r="F223" cm="1">
        <f t="array" ref="F223">IF(E223&lt;&gt;0,generateSalesData(B223,D223,E223),0)</f>
        <v>1421</v>
      </c>
    </row>
    <row r="224" spans="1:6" x14ac:dyDescent="0.25">
      <c r="A224" s="1">
        <v>44013</v>
      </c>
      <c r="B224" s="4">
        <v>43928</v>
      </c>
      <c r="C224" s="2" t="s">
        <v>10</v>
      </c>
      <c r="D224" s="2">
        <v>8.1</v>
      </c>
      <c r="E224">
        <f t="shared" si="3"/>
        <v>85</v>
      </c>
      <c r="F224" cm="1">
        <f t="array" ref="F224">IF(E224&lt;&gt;0,generateSalesData(B224,D224,E224),0)</f>
        <v>543</v>
      </c>
    </row>
    <row r="225" spans="1:6" x14ac:dyDescent="0.25">
      <c r="A225" s="1">
        <v>44013</v>
      </c>
      <c r="B225" s="5">
        <v>44001</v>
      </c>
      <c r="C225" s="3" t="s">
        <v>11</v>
      </c>
      <c r="D225" s="3">
        <v>7.6</v>
      </c>
      <c r="E225">
        <f t="shared" si="3"/>
        <v>12</v>
      </c>
      <c r="F225" cm="1">
        <f t="array" ref="F225">IF(E225&lt;&gt;0,generateSalesData(B225,D225,E225),0)</f>
        <v>6840</v>
      </c>
    </row>
    <row r="226" spans="1:6" x14ac:dyDescent="0.25">
      <c r="A226" s="1">
        <v>44013</v>
      </c>
      <c r="B226" s="4">
        <v>44064</v>
      </c>
      <c r="C226" s="2" t="s">
        <v>12</v>
      </c>
      <c r="D226" s="2">
        <v>7.3</v>
      </c>
      <c r="E226">
        <f t="shared" si="3"/>
        <v>0</v>
      </c>
      <c r="F226" cm="1">
        <f t="array" ref="F226">IF(E226&lt;&gt;0,generateSalesData(B226,D226,E226),0)</f>
        <v>0</v>
      </c>
    </row>
    <row r="227" spans="1:6" x14ac:dyDescent="0.25">
      <c r="A227" s="1">
        <v>44013</v>
      </c>
      <c r="B227" s="5">
        <v>44225</v>
      </c>
      <c r="C227" s="3" t="s">
        <v>13</v>
      </c>
      <c r="D227" s="3">
        <v>9.8000000000000007</v>
      </c>
      <c r="E227">
        <f t="shared" si="3"/>
        <v>0</v>
      </c>
      <c r="F227" cm="1">
        <f t="array" ref="F227">IF(E227&lt;&gt;0,generateSalesData(B227,D227,E227),0)</f>
        <v>0</v>
      </c>
    </row>
    <row r="228" spans="1:6" x14ac:dyDescent="0.25">
      <c r="A228" s="1">
        <v>44013</v>
      </c>
      <c r="B228" s="4">
        <v>44281</v>
      </c>
      <c r="C228" s="2" t="s">
        <v>14</v>
      </c>
      <c r="D228" s="2">
        <v>9.1999999999999993</v>
      </c>
      <c r="E228">
        <f t="shared" si="3"/>
        <v>0</v>
      </c>
      <c r="F228" cm="1">
        <f t="array" ref="F228">IF(E228&lt;&gt;0,generateSalesData(B228,D228,E228),0)</f>
        <v>0</v>
      </c>
    </row>
    <row r="229" spans="1:6" x14ac:dyDescent="0.25">
      <c r="A229" s="1">
        <v>44044</v>
      </c>
      <c r="B229" s="5">
        <v>44344</v>
      </c>
      <c r="C229" s="3" t="s">
        <v>15</v>
      </c>
      <c r="D229" s="3">
        <v>8.4</v>
      </c>
      <c r="E229">
        <f t="shared" si="3"/>
        <v>0</v>
      </c>
      <c r="F229" cm="1">
        <f t="array" ref="F229">IF(E229&lt;&gt;0,generateSalesData(B229,D229,E229),0)</f>
        <v>0</v>
      </c>
    </row>
    <row r="230" spans="1:6" x14ac:dyDescent="0.25">
      <c r="A230" s="1">
        <v>44044</v>
      </c>
      <c r="B230" s="4">
        <v>43532</v>
      </c>
      <c r="C230" s="2" t="s">
        <v>4</v>
      </c>
      <c r="D230" s="2">
        <v>8.5</v>
      </c>
      <c r="E230">
        <f t="shared" si="3"/>
        <v>512</v>
      </c>
      <c r="F230" cm="1">
        <f t="array" ref="F230">IF(E230&lt;&gt;0,generateSalesData(B230,D230,E230),0)</f>
        <v>517</v>
      </c>
    </row>
    <row r="231" spans="1:6" x14ac:dyDescent="0.25">
      <c r="A231" s="1">
        <v>44044</v>
      </c>
      <c r="B231" s="5">
        <v>43728</v>
      </c>
      <c r="C231" s="3" t="s">
        <v>5</v>
      </c>
      <c r="D231" s="3">
        <v>7.8</v>
      </c>
      <c r="E231">
        <f t="shared" si="3"/>
        <v>316</v>
      </c>
      <c r="F231" cm="1">
        <f t="array" ref="F231">IF(E231&lt;&gt;0,generateSalesData(B231,D231,E231),0)</f>
        <v>450</v>
      </c>
    </row>
    <row r="232" spans="1:6" x14ac:dyDescent="0.25">
      <c r="A232" s="1">
        <v>44044</v>
      </c>
      <c r="B232" s="4">
        <v>43763</v>
      </c>
      <c r="C232" s="2" t="s">
        <v>6</v>
      </c>
      <c r="D232" s="2">
        <v>7.2</v>
      </c>
      <c r="E232">
        <f t="shared" si="3"/>
        <v>281</v>
      </c>
      <c r="F232" cm="1">
        <f t="array" ref="F232">IF(E232&lt;&gt;0,generateSalesData(B232,D232,E232),0)</f>
        <v>899</v>
      </c>
    </row>
    <row r="233" spans="1:6" x14ac:dyDescent="0.25">
      <c r="A233" s="1">
        <v>44044</v>
      </c>
      <c r="B233" s="5">
        <v>43784</v>
      </c>
      <c r="C233" s="3" t="s">
        <v>7</v>
      </c>
      <c r="D233" s="3">
        <v>6.5</v>
      </c>
      <c r="E233">
        <f t="shared" si="3"/>
        <v>260</v>
      </c>
      <c r="F233" cm="1">
        <f t="array" ref="F233">IF(E233&lt;&gt;0,generateSalesData(B233,D233,E233),0)</f>
        <v>252</v>
      </c>
    </row>
    <row r="234" spans="1:6" x14ac:dyDescent="0.25">
      <c r="A234" s="1">
        <v>44044</v>
      </c>
      <c r="B234" s="4">
        <v>43872</v>
      </c>
      <c r="C234" s="2" t="s">
        <v>8</v>
      </c>
      <c r="D234" s="2">
        <v>9.3000000000000007</v>
      </c>
      <c r="E234">
        <f t="shared" si="3"/>
        <v>172</v>
      </c>
      <c r="F234" cm="1">
        <f t="array" ref="F234">IF(E234&lt;&gt;0,generateSalesData(B234,D234,E234),0)</f>
        <v>1653</v>
      </c>
    </row>
    <row r="235" spans="1:6" x14ac:dyDescent="0.25">
      <c r="A235" s="1">
        <v>44044</v>
      </c>
      <c r="B235" s="5">
        <v>43903</v>
      </c>
      <c r="C235" s="3" t="s">
        <v>9</v>
      </c>
      <c r="D235" s="3">
        <v>7.7</v>
      </c>
      <c r="E235">
        <f t="shared" si="3"/>
        <v>141</v>
      </c>
      <c r="F235" cm="1">
        <f t="array" ref="F235">IF(E235&lt;&gt;0,generateSalesData(B235,D235,E235),0)</f>
        <v>2103</v>
      </c>
    </row>
    <row r="236" spans="1:6" x14ac:dyDescent="0.25">
      <c r="A236" s="1">
        <v>44044</v>
      </c>
      <c r="B236" s="4">
        <v>43928</v>
      </c>
      <c r="C236" s="2" t="s">
        <v>10</v>
      </c>
      <c r="D236" s="2">
        <v>8.1</v>
      </c>
      <c r="E236">
        <f t="shared" si="3"/>
        <v>116</v>
      </c>
      <c r="F236" cm="1">
        <f t="array" ref="F236">IF(E236&lt;&gt;0,generateSalesData(B236,D236,E236),0)</f>
        <v>2538</v>
      </c>
    </row>
    <row r="237" spans="1:6" x14ac:dyDescent="0.25">
      <c r="A237" s="1">
        <v>44044</v>
      </c>
      <c r="B237" s="5">
        <v>44001</v>
      </c>
      <c r="C237" s="3" t="s">
        <v>11</v>
      </c>
      <c r="D237" s="3">
        <v>7.6</v>
      </c>
      <c r="E237">
        <f t="shared" si="3"/>
        <v>43</v>
      </c>
      <c r="F237" cm="1">
        <f t="array" ref="F237">IF(E237&lt;&gt;0,generateSalesData(B237,D237,E237),0)</f>
        <v>7339</v>
      </c>
    </row>
    <row r="238" spans="1:6" x14ac:dyDescent="0.25">
      <c r="A238" s="1">
        <v>44044</v>
      </c>
      <c r="B238" s="4">
        <v>44064</v>
      </c>
      <c r="C238" s="2" t="s">
        <v>12</v>
      </c>
      <c r="D238" s="2">
        <v>7.3</v>
      </c>
      <c r="E238">
        <f t="shared" si="3"/>
        <v>0</v>
      </c>
      <c r="F238" cm="1">
        <f t="array" ref="F238">IF(E238&lt;&gt;0,generateSalesData(B238,D238,E238),0)</f>
        <v>0</v>
      </c>
    </row>
    <row r="239" spans="1:6" x14ac:dyDescent="0.25">
      <c r="A239" s="1">
        <v>44044</v>
      </c>
      <c r="B239" s="5">
        <v>44225</v>
      </c>
      <c r="C239" s="3" t="s">
        <v>13</v>
      </c>
      <c r="D239" s="3">
        <v>9.8000000000000007</v>
      </c>
      <c r="E239">
        <f t="shared" si="3"/>
        <v>0</v>
      </c>
      <c r="F239" cm="1">
        <f t="array" ref="F239">IF(E239&lt;&gt;0,generateSalesData(B239,D239,E239),0)</f>
        <v>0</v>
      </c>
    </row>
    <row r="240" spans="1:6" x14ac:dyDescent="0.25">
      <c r="A240" s="1">
        <v>44044</v>
      </c>
      <c r="B240" s="4">
        <v>44281</v>
      </c>
      <c r="C240" s="2" t="s">
        <v>14</v>
      </c>
      <c r="D240" s="2">
        <v>9.1999999999999993</v>
      </c>
      <c r="E240">
        <f t="shared" si="3"/>
        <v>0</v>
      </c>
      <c r="F240" cm="1">
        <f t="array" ref="F240">IF(E240&lt;&gt;0,generateSalesData(B240,D240,E240),0)</f>
        <v>0</v>
      </c>
    </row>
    <row r="241" spans="1:6" x14ac:dyDescent="0.25">
      <c r="A241" s="1">
        <v>44075</v>
      </c>
      <c r="B241" s="5">
        <v>44344</v>
      </c>
      <c r="C241" s="3" t="s">
        <v>15</v>
      </c>
      <c r="D241" s="3">
        <v>8.4</v>
      </c>
      <c r="E241">
        <f t="shared" si="3"/>
        <v>0</v>
      </c>
      <c r="F241" cm="1">
        <f t="array" ref="F241">IF(E241&lt;&gt;0,generateSalesData(B241,D241,E241),0)</f>
        <v>0</v>
      </c>
    </row>
    <row r="242" spans="1:6" x14ac:dyDescent="0.25">
      <c r="A242" s="1">
        <v>44075</v>
      </c>
      <c r="B242" s="4">
        <v>43532</v>
      </c>
      <c r="C242" s="2" t="s">
        <v>4</v>
      </c>
      <c r="D242" s="2">
        <v>8.5</v>
      </c>
      <c r="E242">
        <f t="shared" si="3"/>
        <v>543</v>
      </c>
      <c r="F242" cm="1">
        <f t="array" ref="F242">IF(E242&lt;&gt;0,generateSalesData(B242,D242,E242),0)</f>
        <v>448</v>
      </c>
    </row>
    <row r="243" spans="1:6" x14ac:dyDescent="0.25">
      <c r="A243" s="1">
        <v>44075</v>
      </c>
      <c r="B243" s="5">
        <v>43728</v>
      </c>
      <c r="C243" s="3" t="s">
        <v>5</v>
      </c>
      <c r="D243" s="3">
        <v>7.8</v>
      </c>
      <c r="E243">
        <f t="shared" si="3"/>
        <v>347</v>
      </c>
      <c r="F243" cm="1">
        <f t="array" ref="F243">IF(E243&lt;&gt;0,generateSalesData(B243,D243,E243),0)</f>
        <v>841</v>
      </c>
    </row>
    <row r="244" spans="1:6" x14ac:dyDescent="0.25">
      <c r="A244" s="1">
        <v>44075</v>
      </c>
      <c r="B244" s="4">
        <v>43763</v>
      </c>
      <c r="C244" s="2" t="s">
        <v>6</v>
      </c>
      <c r="D244" s="2">
        <v>7.2</v>
      </c>
      <c r="E244">
        <f t="shared" si="3"/>
        <v>312</v>
      </c>
      <c r="F244" cm="1">
        <f t="array" ref="F244">IF(E244&lt;&gt;0,generateSalesData(B244,D244,E244),0)</f>
        <v>256</v>
      </c>
    </row>
    <row r="245" spans="1:6" x14ac:dyDescent="0.25">
      <c r="A245" s="1">
        <v>44075</v>
      </c>
      <c r="B245" s="5">
        <v>43784</v>
      </c>
      <c r="C245" s="3" t="s">
        <v>7</v>
      </c>
      <c r="D245" s="3">
        <v>6.5</v>
      </c>
      <c r="E245">
        <f t="shared" si="3"/>
        <v>291</v>
      </c>
      <c r="F245" cm="1">
        <f t="array" ref="F245">IF(E245&lt;&gt;0,generateSalesData(B245,D245,E245),0)</f>
        <v>754</v>
      </c>
    </row>
    <row r="246" spans="1:6" x14ac:dyDescent="0.25">
      <c r="A246" s="1">
        <v>44075</v>
      </c>
      <c r="B246" s="4">
        <v>43872</v>
      </c>
      <c r="C246" s="2" t="s">
        <v>8</v>
      </c>
      <c r="D246" s="2">
        <v>9.3000000000000007</v>
      </c>
      <c r="E246">
        <f t="shared" si="3"/>
        <v>203</v>
      </c>
      <c r="F246" cm="1">
        <f t="array" ref="F246">IF(E246&lt;&gt;0,generateSalesData(B246,D246,E246),0)</f>
        <v>1215</v>
      </c>
    </row>
    <row r="247" spans="1:6" x14ac:dyDescent="0.25">
      <c r="A247" s="1">
        <v>44075</v>
      </c>
      <c r="B247" s="5">
        <v>43903</v>
      </c>
      <c r="C247" s="3" t="s">
        <v>9</v>
      </c>
      <c r="D247" s="3">
        <v>7.7</v>
      </c>
      <c r="E247">
        <f t="shared" si="3"/>
        <v>172</v>
      </c>
      <c r="F247" cm="1">
        <f t="array" ref="F247">IF(E247&lt;&gt;0,generateSalesData(B247,D247,E247),0)</f>
        <v>1562</v>
      </c>
    </row>
    <row r="248" spans="1:6" x14ac:dyDescent="0.25">
      <c r="A248" s="1">
        <v>44075</v>
      </c>
      <c r="B248" s="4">
        <v>43928</v>
      </c>
      <c r="C248" s="2" t="s">
        <v>10</v>
      </c>
      <c r="D248" s="2">
        <v>8.1</v>
      </c>
      <c r="E248">
        <f t="shared" si="3"/>
        <v>147</v>
      </c>
      <c r="F248" cm="1">
        <f t="array" ref="F248">IF(E248&lt;&gt;0,generateSalesData(B248,D248,E248),0)</f>
        <v>2728</v>
      </c>
    </row>
    <row r="249" spans="1:6" x14ac:dyDescent="0.25">
      <c r="A249" s="1">
        <v>44075</v>
      </c>
      <c r="B249" s="5">
        <v>44001</v>
      </c>
      <c r="C249" s="3" t="s">
        <v>11</v>
      </c>
      <c r="D249" s="3">
        <v>7.6</v>
      </c>
      <c r="E249">
        <f t="shared" si="3"/>
        <v>74</v>
      </c>
      <c r="F249" cm="1">
        <f t="array" ref="F249">IF(E249&lt;&gt;0,generateSalesData(B249,D249,E249),0)</f>
        <v>2310</v>
      </c>
    </row>
    <row r="250" spans="1:6" x14ac:dyDescent="0.25">
      <c r="A250" s="1">
        <v>44075</v>
      </c>
      <c r="B250" s="4">
        <v>44064</v>
      </c>
      <c r="C250" s="2" t="s">
        <v>12</v>
      </c>
      <c r="D250" s="2">
        <v>7.3</v>
      </c>
      <c r="E250">
        <f t="shared" si="3"/>
        <v>11</v>
      </c>
      <c r="F250" cm="1">
        <f t="array" ref="F250">IF(E250&lt;&gt;0,generateSalesData(B250,D250,E250),0)</f>
        <v>3910</v>
      </c>
    </row>
    <row r="251" spans="1:6" x14ac:dyDescent="0.25">
      <c r="A251" s="1">
        <v>44075</v>
      </c>
      <c r="B251" s="5">
        <v>44225</v>
      </c>
      <c r="C251" s="3" t="s">
        <v>13</v>
      </c>
      <c r="D251" s="3">
        <v>9.8000000000000007</v>
      </c>
      <c r="E251">
        <f t="shared" si="3"/>
        <v>0</v>
      </c>
      <c r="F251" cm="1">
        <f t="array" ref="F251">IF(E251&lt;&gt;0,generateSalesData(B251,D251,E251),0)</f>
        <v>0</v>
      </c>
    </row>
    <row r="252" spans="1:6" x14ac:dyDescent="0.25">
      <c r="A252" s="1">
        <v>44075</v>
      </c>
      <c r="B252" s="4">
        <v>44281</v>
      </c>
      <c r="C252" s="2" t="s">
        <v>14</v>
      </c>
      <c r="D252" s="2">
        <v>9.1999999999999993</v>
      </c>
      <c r="E252">
        <f t="shared" si="3"/>
        <v>0</v>
      </c>
      <c r="F252" cm="1">
        <f t="array" ref="F252">IF(E252&lt;&gt;0,generateSalesData(B252,D252,E252),0)</f>
        <v>0</v>
      </c>
    </row>
    <row r="253" spans="1:6" x14ac:dyDescent="0.25">
      <c r="A253" s="1">
        <v>44105</v>
      </c>
      <c r="B253" s="5">
        <v>44344</v>
      </c>
      <c r="C253" s="3" t="s">
        <v>15</v>
      </c>
      <c r="D253" s="3">
        <v>8.4</v>
      </c>
      <c r="E253">
        <f t="shared" si="3"/>
        <v>0</v>
      </c>
      <c r="F253" cm="1">
        <f t="array" ref="F253">IF(E253&lt;&gt;0,generateSalesData(B253,D253,E253),0)</f>
        <v>0</v>
      </c>
    </row>
    <row r="254" spans="1:6" x14ac:dyDescent="0.25">
      <c r="A254" s="1">
        <v>44105</v>
      </c>
      <c r="B254" s="4">
        <v>43532</v>
      </c>
      <c r="C254" s="2" t="s">
        <v>4</v>
      </c>
      <c r="D254" s="2">
        <v>8.5</v>
      </c>
      <c r="E254">
        <f t="shared" si="3"/>
        <v>573</v>
      </c>
      <c r="F254" cm="1">
        <f t="array" ref="F254">IF(E254&lt;&gt;0,generateSalesData(B254,D254,E254),0)</f>
        <v>751</v>
      </c>
    </row>
    <row r="255" spans="1:6" x14ac:dyDescent="0.25">
      <c r="A255" s="1">
        <v>44105</v>
      </c>
      <c r="B255" s="5">
        <v>43728</v>
      </c>
      <c r="C255" s="3" t="s">
        <v>5</v>
      </c>
      <c r="D255" s="3">
        <v>7.8</v>
      </c>
      <c r="E255">
        <f t="shared" si="3"/>
        <v>377</v>
      </c>
      <c r="F255" cm="1">
        <f t="array" ref="F255">IF(E255&lt;&gt;0,generateSalesData(B255,D255,E255),0)</f>
        <v>786</v>
      </c>
    </row>
    <row r="256" spans="1:6" x14ac:dyDescent="0.25">
      <c r="A256" s="1">
        <v>44105</v>
      </c>
      <c r="B256" s="4">
        <v>43763</v>
      </c>
      <c r="C256" s="2" t="s">
        <v>6</v>
      </c>
      <c r="D256" s="2">
        <v>7.2</v>
      </c>
      <c r="E256">
        <f t="shared" si="3"/>
        <v>342</v>
      </c>
      <c r="F256" cm="1">
        <f t="array" ref="F256">IF(E256&lt;&gt;0,generateSalesData(B256,D256,E256),0)</f>
        <v>791</v>
      </c>
    </row>
    <row r="257" spans="1:6" x14ac:dyDescent="0.25">
      <c r="A257" s="1">
        <v>44105</v>
      </c>
      <c r="B257" s="5">
        <v>43784</v>
      </c>
      <c r="C257" s="3" t="s">
        <v>7</v>
      </c>
      <c r="D257" s="3">
        <v>6.5</v>
      </c>
      <c r="E257">
        <f t="shared" si="3"/>
        <v>321</v>
      </c>
      <c r="F257" cm="1">
        <f t="array" ref="F257">IF(E257&lt;&gt;0,generateSalesData(B257,D257,E257),0)</f>
        <v>211</v>
      </c>
    </row>
    <row r="258" spans="1:6" x14ac:dyDescent="0.25">
      <c r="A258" s="1">
        <v>44105</v>
      </c>
      <c r="B258" s="4">
        <v>43872</v>
      </c>
      <c r="C258" s="2" t="s">
        <v>8</v>
      </c>
      <c r="D258" s="2">
        <v>9.3000000000000007</v>
      </c>
      <c r="E258">
        <f t="shared" si="3"/>
        <v>233</v>
      </c>
      <c r="F258" cm="1">
        <f t="array" ref="F258">IF(E258&lt;&gt;0,generateSalesData(B258,D258,E258),0)</f>
        <v>187</v>
      </c>
    </row>
    <row r="259" spans="1:6" x14ac:dyDescent="0.25">
      <c r="A259" s="1">
        <v>44105</v>
      </c>
      <c r="B259" s="5">
        <v>43903</v>
      </c>
      <c r="C259" s="3" t="s">
        <v>9</v>
      </c>
      <c r="D259" s="3">
        <v>7.7</v>
      </c>
      <c r="E259">
        <f t="shared" ref="E259:E322" si="4">IF(A259-B259&lt;0,0,A259-B259)</f>
        <v>202</v>
      </c>
      <c r="F259" cm="1">
        <f t="array" ref="F259">IF(E259&lt;&gt;0,generateSalesData(B259,D259,E259),0)</f>
        <v>1805</v>
      </c>
    </row>
    <row r="260" spans="1:6" x14ac:dyDescent="0.25">
      <c r="A260" s="1">
        <v>44105</v>
      </c>
      <c r="B260" s="4">
        <v>43928</v>
      </c>
      <c r="C260" s="2" t="s">
        <v>10</v>
      </c>
      <c r="D260" s="2">
        <v>8.1</v>
      </c>
      <c r="E260">
        <f t="shared" si="4"/>
        <v>177</v>
      </c>
      <c r="F260" cm="1">
        <f t="array" ref="F260">IF(E260&lt;&gt;0,generateSalesData(B260,D260,E260),0)</f>
        <v>2059</v>
      </c>
    </row>
    <row r="261" spans="1:6" x14ac:dyDescent="0.25">
      <c r="A261" s="1">
        <v>44105</v>
      </c>
      <c r="B261" s="5">
        <v>44001</v>
      </c>
      <c r="C261" s="3" t="s">
        <v>11</v>
      </c>
      <c r="D261" s="3">
        <v>7.6</v>
      </c>
      <c r="E261">
        <f t="shared" si="4"/>
        <v>104</v>
      </c>
      <c r="F261" cm="1">
        <f t="array" ref="F261">IF(E261&lt;&gt;0,generateSalesData(B261,D261,E261),0)</f>
        <v>2942</v>
      </c>
    </row>
    <row r="262" spans="1:6" x14ac:dyDescent="0.25">
      <c r="A262" s="1">
        <v>44105</v>
      </c>
      <c r="B262" s="4">
        <v>44064</v>
      </c>
      <c r="C262" s="2" t="s">
        <v>12</v>
      </c>
      <c r="D262" s="2">
        <v>7.3</v>
      </c>
      <c r="E262">
        <f t="shared" si="4"/>
        <v>41</v>
      </c>
      <c r="F262" cm="1">
        <f t="array" ref="F262">IF(E262&lt;&gt;0,generateSalesData(B262,D262,E262),0)</f>
        <v>7760</v>
      </c>
    </row>
    <row r="263" spans="1:6" x14ac:dyDescent="0.25">
      <c r="A263" s="1">
        <v>44105</v>
      </c>
      <c r="B263" s="5">
        <v>44225</v>
      </c>
      <c r="C263" s="3" t="s">
        <v>13</v>
      </c>
      <c r="D263" s="3">
        <v>9.8000000000000007</v>
      </c>
      <c r="E263">
        <f t="shared" si="4"/>
        <v>0</v>
      </c>
      <c r="F263" cm="1">
        <f t="array" ref="F263">IF(E263&lt;&gt;0,generateSalesData(B263,D263,E263),0)</f>
        <v>0</v>
      </c>
    </row>
    <row r="264" spans="1:6" x14ac:dyDescent="0.25">
      <c r="A264" s="1">
        <v>44105</v>
      </c>
      <c r="B264" s="4">
        <v>44281</v>
      </c>
      <c r="C264" s="2" t="s">
        <v>14</v>
      </c>
      <c r="D264" s="2">
        <v>9.1999999999999993</v>
      </c>
      <c r="E264">
        <f t="shared" si="4"/>
        <v>0</v>
      </c>
      <c r="F264" cm="1">
        <f t="array" ref="F264">IF(E264&lt;&gt;0,generateSalesData(B264,D264,E264),0)</f>
        <v>0</v>
      </c>
    </row>
    <row r="265" spans="1:6" x14ac:dyDescent="0.25">
      <c r="A265" s="1">
        <v>44136</v>
      </c>
      <c r="B265" s="5">
        <v>44344</v>
      </c>
      <c r="C265" s="3" t="s">
        <v>15</v>
      </c>
      <c r="D265" s="3">
        <v>8.4</v>
      </c>
      <c r="E265">
        <f t="shared" si="4"/>
        <v>0</v>
      </c>
      <c r="F265" cm="1">
        <f t="array" ref="F265">IF(E265&lt;&gt;0,generateSalesData(B265,D265,E265),0)</f>
        <v>0</v>
      </c>
    </row>
    <row r="266" spans="1:6" x14ac:dyDescent="0.25">
      <c r="A266" s="1">
        <v>44136</v>
      </c>
      <c r="B266" s="4">
        <v>43532</v>
      </c>
      <c r="C266" s="2" t="s">
        <v>4</v>
      </c>
      <c r="D266" s="2">
        <v>8.5</v>
      </c>
      <c r="E266">
        <f t="shared" si="4"/>
        <v>604</v>
      </c>
      <c r="F266" cm="1">
        <f t="array" ref="F266">IF(E266&lt;&gt;0,generateSalesData(B266,D266,E266),0)</f>
        <v>362</v>
      </c>
    </row>
    <row r="267" spans="1:6" x14ac:dyDescent="0.25">
      <c r="A267" s="1">
        <v>44136</v>
      </c>
      <c r="B267" s="5">
        <v>43728</v>
      </c>
      <c r="C267" s="3" t="s">
        <v>5</v>
      </c>
      <c r="D267" s="3">
        <v>7.8</v>
      </c>
      <c r="E267">
        <f t="shared" si="4"/>
        <v>408</v>
      </c>
      <c r="F267" cm="1">
        <f t="array" ref="F267">IF(E267&lt;&gt;0,generateSalesData(B267,D267,E267),0)</f>
        <v>300</v>
      </c>
    </row>
    <row r="268" spans="1:6" x14ac:dyDescent="0.25">
      <c r="A268" s="1">
        <v>44136</v>
      </c>
      <c r="B268" s="4">
        <v>43763</v>
      </c>
      <c r="C268" s="2" t="s">
        <v>6</v>
      </c>
      <c r="D268" s="2">
        <v>7.2</v>
      </c>
      <c r="E268">
        <f t="shared" si="4"/>
        <v>373</v>
      </c>
      <c r="F268" cm="1">
        <f t="array" ref="F268">IF(E268&lt;&gt;0,generateSalesData(B268,D268,E268),0)</f>
        <v>413</v>
      </c>
    </row>
    <row r="269" spans="1:6" x14ac:dyDescent="0.25">
      <c r="A269" s="1">
        <v>44136</v>
      </c>
      <c r="B269" s="5">
        <v>43784</v>
      </c>
      <c r="C269" s="3" t="s">
        <v>7</v>
      </c>
      <c r="D269" s="3">
        <v>6.5</v>
      </c>
      <c r="E269">
        <f t="shared" si="4"/>
        <v>352</v>
      </c>
      <c r="F269" cm="1">
        <f t="array" ref="F269">IF(E269&lt;&gt;0,generateSalesData(B269,D269,E269),0)</f>
        <v>238</v>
      </c>
    </row>
    <row r="270" spans="1:6" x14ac:dyDescent="0.25">
      <c r="A270" s="1">
        <v>44136</v>
      </c>
      <c r="B270" s="4">
        <v>43872</v>
      </c>
      <c r="C270" s="2" t="s">
        <v>8</v>
      </c>
      <c r="D270" s="2">
        <v>9.3000000000000007</v>
      </c>
      <c r="E270">
        <f t="shared" si="4"/>
        <v>264</v>
      </c>
      <c r="F270" cm="1">
        <f t="array" ref="F270">IF(E270&lt;&gt;0,generateSalesData(B270,D270,E270),0)</f>
        <v>1354</v>
      </c>
    </row>
    <row r="271" spans="1:6" x14ac:dyDescent="0.25">
      <c r="A271" s="1">
        <v>44136</v>
      </c>
      <c r="B271" s="5">
        <v>43903</v>
      </c>
      <c r="C271" s="3" t="s">
        <v>9</v>
      </c>
      <c r="D271" s="3">
        <v>7.7</v>
      </c>
      <c r="E271">
        <f t="shared" si="4"/>
        <v>233</v>
      </c>
      <c r="F271" cm="1">
        <f t="array" ref="F271">IF(E271&lt;&gt;0,generateSalesData(B271,D271,E271),0)</f>
        <v>966</v>
      </c>
    </row>
    <row r="272" spans="1:6" x14ac:dyDescent="0.25">
      <c r="A272" s="1">
        <v>44136</v>
      </c>
      <c r="B272" s="4">
        <v>43928</v>
      </c>
      <c r="C272" s="2" t="s">
        <v>10</v>
      </c>
      <c r="D272" s="2">
        <v>8.1</v>
      </c>
      <c r="E272">
        <f t="shared" si="4"/>
        <v>208</v>
      </c>
      <c r="F272" cm="1">
        <f t="array" ref="F272">IF(E272&lt;&gt;0,generateSalesData(B272,D272,E272),0)</f>
        <v>564</v>
      </c>
    </row>
    <row r="273" spans="1:6" x14ac:dyDescent="0.25">
      <c r="A273" s="1">
        <v>44136</v>
      </c>
      <c r="B273" s="5">
        <v>44001</v>
      </c>
      <c r="C273" s="3" t="s">
        <v>11</v>
      </c>
      <c r="D273" s="3">
        <v>7.6</v>
      </c>
      <c r="E273">
        <f t="shared" si="4"/>
        <v>135</v>
      </c>
      <c r="F273" cm="1">
        <f t="array" ref="F273">IF(E273&lt;&gt;0,generateSalesData(B273,D273,E273),0)</f>
        <v>1686</v>
      </c>
    </row>
    <row r="274" spans="1:6" x14ac:dyDescent="0.25">
      <c r="A274" s="1">
        <v>44136</v>
      </c>
      <c r="B274" s="4">
        <v>44064</v>
      </c>
      <c r="C274" s="2" t="s">
        <v>12</v>
      </c>
      <c r="D274" s="2">
        <v>7.3</v>
      </c>
      <c r="E274">
        <f t="shared" si="4"/>
        <v>72</v>
      </c>
      <c r="F274" cm="1">
        <f t="array" ref="F274">IF(E274&lt;&gt;0,generateSalesData(B274,D274,E274),0)</f>
        <v>4352</v>
      </c>
    </row>
    <row r="275" spans="1:6" x14ac:dyDescent="0.25">
      <c r="A275" s="1">
        <v>44136</v>
      </c>
      <c r="B275" s="5">
        <v>44225</v>
      </c>
      <c r="C275" s="3" t="s">
        <v>13</v>
      </c>
      <c r="D275" s="3">
        <v>9.8000000000000007</v>
      </c>
      <c r="E275">
        <f t="shared" si="4"/>
        <v>0</v>
      </c>
      <c r="F275" cm="1">
        <f t="array" ref="F275">IF(E275&lt;&gt;0,generateSalesData(B275,D275,E275),0)</f>
        <v>0</v>
      </c>
    </row>
    <row r="276" spans="1:6" x14ac:dyDescent="0.25">
      <c r="A276" s="1">
        <v>44136</v>
      </c>
      <c r="B276" s="4">
        <v>44281</v>
      </c>
      <c r="C276" s="2" t="s">
        <v>14</v>
      </c>
      <c r="D276" s="2">
        <v>9.1999999999999993</v>
      </c>
      <c r="E276">
        <f t="shared" si="4"/>
        <v>0</v>
      </c>
      <c r="F276" cm="1">
        <f t="array" ref="F276">IF(E276&lt;&gt;0,generateSalesData(B276,D276,E276),0)</f>
        <v>0</v>
      </c>
    </row>
    <row r="277" spans="1:6" x14ac:dyDescent="0.25">
      <c r="A277" s="1">
        <v>44166</v>
      </c>
      <c r="B277" s="5">
        <v>44344</v>
      </c>
      <c r="C277" s="3" t="s">
        <v>15</v>
      </c>
      <c r="D277" s="3">
        <v>8.4</v>
      </c>
      <c r="E277">
        <f t="shared" si="4"/>
        <v>0</v>
      </c>
      <c r="F277" cm="1">
        <f t="array" ref="F277">IF(E277&lt;&gt;0,generateSalesData(B277,D277,E277),0)</f>
        <v>0</v>
      </c>
    </row>
    <row r="278" spans="1:6" x14ac:dyDescent="0.25">
      <c r="A278" s="1">
        <v>44166</v>
      </c>
      <c r="B278" s="4">
        <v>43532</v>
      </c>
      <c r="C278" s="2" t="s">
        <v>4</v>
      </c>
      <c r="D278" s="2">
        <v>8.5</v>
      </c>
      <c r="E278">
        <f t="shared" si="4"/>
        <v>634</v>
      </c>
      <c r="F278" cm="1">
        <f t="array" ref="F278">IF(E278&lt;&gt;0,generateSalesData(B278,D278,E278),0)</f>
        <v>155</v>
      </c>
    </row>
    <row r="279" spans="1:6" x14ac:dyDescent="0.25">
      <c r="A279" s="1">
        <v>44166</v>
      </c>
      <c r="B279" s="5">
        <v>43728</v>
      </c>
      <c r="C279" s="3" t="s">
        <v>5</v>
      </c>
      <c r="D279" s="3">
        <v>7.8</v>
      </c>
      <c r="E279">
        <f t="shared" si="4"/>
        <v>438</v>
      </c>
      <c r="F279" cm="1">
        <f t="array" ref="F279">IF(E279&lt;&gt;0,generateSalesData(B279,D279,E279),0)</f>
        <v>809</v>
      </c>
    </row>
    <row r="280" spans="1:6" x14ac:dyDescent="0.25">
      <c r="A280" s="1">
        <v>44166</v>
      </c>
      <c r="B280" s="4">
        <v>43763</v>
      </c>
      <c r="C280" s="2" t="s">
        <v>6</v>
      </c>
      <c r="D280" s="2">
        <v>7.2</v>
      </c>
      <c r="E280">
        <f t="shared" si="4"/>
        <v>403</v>
      </c>
      <c r="F280" cm="1">
        <f t="array" ref="F280">IF(E280&lt;&gt;0,generateSalesData(B280,D280,E280),0)</f>
        <v>284</v>
      </c>
    </row>
    <row r="281" spans="1:6" x14ac:dyDescent="0.25">
      <c r="A281" s="1">
        <v>44166</v>
      </c>
      <c r="B281" s="5">
        <v>43784</v>
      </c>
      <c r="C281" s="3" t="s">
        <v>7</v>
      </c>
      <c r="D281" s="3">
        <v>6.5</v>
      </c>
      <c r="E281">
        <f t="shared" si="4"/>
        <v>382</v>
      </c>
      <c r="F281" cm="1">
        <f t="array" ref="F281">IF(E281&lt;&gt;0,generateSalesData(B281,D281,E281),0)</f>
        <v>133</v>
      </c>
    </row>
    <row r="282" spans="1:6" x14ac:dyDescent="0.25">
      <c r="A282" s="1">
        <v>44166</v>
      </c>
      <c r="B282" s="4">
        <v>43872</v>
      </c>
      <c r="C282" s="2" t="s">
        <v>8</v>
      </c>
      <c r="D282" s="2">
        <v>9.3000000000000007</v>
      </c>
      <c r="E282">
        <f t="shared" si="4"/>
        <v>294</v>
      </c>
      <c r="F282" cm="1">
        <f t="array" ref="F282">IF(E282&lt;&gt;0,generateSalesData(B282,D282,E282),0)</f>
        <v>802</v>
      </c>
    </row>
    <row r="283" spans="1:6" x14ac:dyDescent="0.25">
      <c r="A283" s="1">
        <v>44166</v>
      </c>
      <c r="B283" s="5">
        <v>43903</v>
      </c>
      <c r="C283" s="3" t="s">
        <v>9</v>
      </c>
      <c r="D283" s="3">
        <v>7.7</v>
      </c>
      <c r="E283">
        <f t="shared" si="4"/>
        <v>263</v>
      </c>
      <c r="F283" cm="1">
        <f t="array" ref="F283">IF(E283&lt;&gt;0,generateSalesData(B283,D283,E283),0)</f>
        <v>441</v>
      </c>
    </row>
    <row r="284" spans="1:6" x14ac:dyDescent="0.25">
      <c r="A284" s="1">
        <v>44166</v>
      </c>
      <c r="B284" s="4">
        <v>43928</v>
      </c>
      <c r="C284" s="2" t="s">
        <v>10</v>
      </c>
      <c r="D284" s="2">
        <v>8.1</v>
      </c>
      <c r="E284">
        <f t="shared" si="4"/>
        <v>238</v>
      </c>
      <c r="F284" cm="1">
        <f t="array" ref="F284">IF(E284&lt;&gt;0,generateSalesData(B284,D284,E284),0)</f>
        <v>1266</v>
      </c>
    </row>
    <row r="285" spans="1:6" x14ac:dyDescent="0.25">
      <c r="A285" s="1">
        <v>44166</v>
      </c>
      <c r="B285" s="5">
        <v>44001</v>
      </c>
      <c r="C285" s="3" t="s">
        <v>11</v>
      </c>
      <c r="D285" s="3">
        <v>7.6</v>
      </c>
      <c r="E285">
        <f t="shared" si="4"/>
        <v>165</v>
      </c>
      <c r="F285" cm="1">
        <f t="array" ref="F285">IF(E285&lt;&gt;0,generateSalesData(B285,D285,E285),0)</f>
        <v>1343</v>
      </c>
    </row>
    <row r="286" spans="1:6" x14ac:dyDescent="0.25">
      <c r="A286" s="1">
        <v>44166</v>
      </c>
      <c r="B286" s="4">
        <v>44064</v>
      </c>
      <c r="C286" s="2" t="s">
        <v>12</v>
      </c>
      <c r="D286" s="2">
        <v>7.3</v>
      </c>
      <c r="E286">
        <f t="shared" si="4"/>
        <v>102</v>
      </c>
      <c r="F286" cm="1">
        <f t="array" ref="F286">IF(E286&lt;&gt;0,generateSalesData(B286,D286,E286),0)</f>
        <v>1149</v>
      </c>
    </row>
    <row r="287" spans="1:6" x14ac:dyDescent="0.25">
      <c r="A287" s="1">
        <v>44166</v>
      </c>
      <c r="B287" s="5">
        <v>44225</v>
      </c>
      <c r="C287" s="3" t="s">
        <v>13</v>
      </c>
      <c r="D287" s="3">
        <v>9.8000000000000007</v>
      </c>
      <c r="E287">
        <f t="shared" si="4"/>
        <v>0</v>
      </c>
      <c r="F287" cm="1">
        <f t="array" ref="F287">IF(E287&lt;&gt;0,generateSalesData(B287,D287,E287),0)</f>
        <v>0</v>
      </c>
    </row>
    <row r="288" spans="1:6" x14ac:dyDescent="0.25">
      <c r="A288" s="1">
        <v>44166</v>
      </c>
      <c r="B288" s="4">
        <v>44281</v>
      </c>
      <c r="C288" s="2" t="s">
        <v>14</v>
      </c>
      <c r="D288" s="2">
        <v>9.1999999999999993</v>
      </c>
      <c r="E288">
        <f t="shared" si="4"/>
        <v>0</v>
      </c>
      <c r="F288" cm="1">
        <f t="array" ref="F288">IF(E288&lt;&gt;0,generateSalesData(B288,D288,E288),0)</f>
        <v>0</v>
      </c>
    </row>
    <row r="289" spans="1:6" x14ac:dyDescent="0.25">
      <c r="A289" s="1">
        <v>44197</v>
      </c>
      <c r="B289" s="5">
        <v>44344</v>
      </c>
      <c r="C289" s="3" t="s">
        <v>15</v>
      </c>
      <c r="D289" s="3">
        <v>8.4</v>
      </c>
      <c r="E289">
        <f t="shared" si="4"/>
        <v>0</v>
      </c>
      <c r="F289" cm="1">
        <f t="array" ref="F289">IF(E289&lt;&gt;0,generateSalesData(B289,D289,E289),0)</f>
        <v>0</v>
      </c>
    </row>
    <row r="290" spans="1:6" x14ac:dyDescent="0.25">
      <c r="A290" s="1">
        <v>44197</v>
      </c>
      <c r="B290" s="4">
        <v>43532</v>
      </c>
      <c r="C290" s="2" t="s">
        <v>4</v>
      </c>
      <c r="D290" s="2">
        <v>8.5</v>
      </c>
      <c r="E290">
        <f t="shared" si="4"/>
        <v>665</v>
      </c>
      <c r="F290" cm="1">
        <f t="array" ref="F290">IF(E290&lt;&gt;0,generateSalesData(B290,D290,E290),0)</f>
        <v>51</v>
      </c>
    </row>
    <row r="291" spans="1:6" x14ac:dyDescent="0.25">
      <c r="A291" s="1">
        <v>44197</v>
      </c>
      <c r="B291" s="5">
        <v>43728</v>
      </c>
      <c r="C291" s="3" t="s">
        <v>5</v>
      </c>
      <c r="D291" s="3">
        <v>7.8</v>
      </c>
      <c r="E291">
        <f t="shared" si="4"/>
        <v>469</v>
      </c>
      <c r="F291" cm="1">
        <f t="array" ref="F291">IF(E291&lt;&gt;0,generateSalesData(B291,D291,E291),0)</f>
        <v>345</v>
      </c>
    </row>
    <row r="292" spans="1:6" x14ac:dyDescent="0.25">
      <c r="A292" s="1">
        <v>44197</v>
      </c>
      <c r="B292" s="4">
        <v>43763</v>
      </c>
      <c r="C292" s="2" t="s">
        <v>6</v>
      </c>
      <c r="D292" s="2">
        <v>7.2</v>
      </c>
      <c r="E292">
        <f t="shared" si="4"/>
        <v>434</v>
      </c>
      <c r="F292" cm="1">
        <f t="array" ref="F292">IF(E292&lt;&gt;0,generateSalesData(B292,D292,E292),0)</f>
        <v>576</v>
      </c>
    </row>
    <row r="293" spans="1:6" x14ac:dyDescent="0.25">
      <c r="A293" s="1">
        <v>44197</v>
      </c>
      <c r="B293" s="5">
        <v>43784</v>
      </c>
      <c r="C293" s="3" t="s">
        <v>7</v>
      </c>
      <c r="D293" s="3">
        <v>6.5</v>
      </c>
      <c r="E293">
        <f t="shared" si="4"/>
        <v>413</v>
      </c>
      <c r="F293" cm="1">
        <f t="array" ref="F293">IF(E293&lt;&gt;0,generateSalesData(B293,D293,E293),0)</f>
        <v>125</v>
      </c>
    </row>
    <row r="294" spans="1:6" x14ac:dyDescent="0.25">
      <c r="A294" s="1">
        <v>44197</v>
      </c>
      <c r="B294" s="4">
        <v>43872</v>
      </c>
      <c r="C294" s="2" t="s">
        <v>8</v>
      </c>
      <c r="D294" s="2">
        <v>9.3000000000000007</v>
      </c>
      <c r="E294">
        <f t="shared" si="4"/>
        <v>325</v>
      </c>
      <c r="F294" cm="1">
        <f t="array" ref="F294">IF(E294&lt;&gt;0,generateSalesData(B294,D294,E294),0)</f>
        <v>460</v>
      </c>
    </row>
    <row r="295" spans="1:6" x14ac:dyDescent="0.25">
      <c r="A295" s="1">
        <v>44197</v>
      </c>
      <c r="B295" s="5">
        <v>43903</v>
      </c>
      <c r="C295" s="3" t="s">
        <v>9</v>
      </c>
      <c r="D295" s="3">
        <v>7.7</v>
      </c>
      <c r="E295">
        <f t="shared" si="4"/>
        <v>294</v>
      </c>
      <c r="F295" cm="1">
        <f t="array" ref="F295">IF(E295&lt;&gt;0,generateSalesData(B295,D295,E295),0)</f>
        <v>698</v>
      </c>
    </row>
    <row r="296" spans="1:6" x14ac:dyDescent="0.25">
      <c r="A296" s="1">
        <v>44197</v>
      </c>
      <c r="B296" s="4">
        <v>43928</v>
      </c>
      <c r="C296" s="2" t="s">
        <v>10</v>
      </c>
      <c r="D296" s="2">
        <v>8.1</v>
      </c>
      <c r="E296">
        <f t="shared" si="4"/>
        <v>269</v>
      </c>
      <c r="F296" cm="1">
        <f t="array" ref="F296">IF(E296&lt;&gt;0,generateSalesData(B296,D296,E296),0)</f>
        <v>1281</v>
      </c>
    </row>
    <row r="297" spans="1:6" x14ac:dyDescent="0.25">
      <c r="A297" s="1">
        <v>44197</v>
      </c>
      <c r="B297" s="5">
        <v>44001</v>
      </c>
      <c r="C297" s="3" t="s">
        <v>11</v>
      </c>
      <c r="D297" s="3">
        <v>7.6</v>
      </c>
      <c r="E297">
        <f t="shared" si="4"/>
        <v>196</v>
      </c>
      <c r="F297" cm="1">
        <f t="array" ref="F297">IF(E297&lt;&gt;0,generateSalesData(B297,D297,E297),0)</f>
        <v>1104</v>
      </c>
    </row>
    <row r="298" spans="1:6" x14ac:dyDescent="0.25">
      <c r="A298" s="1">
        <v>44197</v>
      </c>
      <c r="B298" s="4">
        <v>44064</v>
      </c>
      <c r="C298" s="2" t="s">
        <v>12</v>
      </c>
      <c r="D298" s="2">
        <v>7.3</v>
      </c>
      <c r="E298">
        <f t="shared" si="4"/>
        <v>133</v>
      </c>
      <c r="F298" cm="1">
        <f t="array" ref="F298">IF(E298&lt;&gt;0,generateSalesData(B298,D298,E298),0)</f>
        <v>2204</v>
      </c>
    </row>
    <row r="299" spans="1:6" x14ac:dyDescent="0.25">
      <c r="A299" s="1">
        <v>44197</v>
      </c>
      <c r="B299" s="5">
        <v>44225</v>
      </c>
      <c r="C299" s="3" t="s">
        <v>13</v>
      </c>
      <c r="D299" s="3">
        <v>9.8000000000000007</v>
      </c>
      <c r="E299">
        <f t="shared" si="4"/>
        <v>0</v>
      </c>
      <c r="F299" cm="1">
        <f t="array" ref="F299">IF(E299&lt;&gt;0,generateSalesData(B299,D299,E299),0)</f>
        <v>0</v>
      </c>
    </row>
    <row r="300" spans="1:6" x14ac:dyDescent="0.25">
      <c r="A300" s="1">
        <v>44197</v>
      </c>
      <c r="B300" s="4">
        <v>44281</v>
      </c>
      <c r="C300" s="2" t="s">
        <v>14</v>
      </c>
      <c r="D300" s="2">
        <v>9.1999999999999993</v>
      </c>
      <c r="E300">
        <f t="shared" si="4"/>
        <v>0</v>
      </c>
      <c r="F300" cm="1">
        <f t="array" ref="F300">IF(E300&lt;&gt;0,generateSalesData(B300,D300,E300),0)</f>
        <v>0</v>
      </c>
    </row>
    <row r="301" spans="1:6" x14ac:dyDescent="0.25">
      <c r="A301" s="1">
        <v>44228</v>
      </c>
      <c r="B301" s="5">
        <v>44344</v>
      </c>
      <c r="C301" s="3" t="s">
        <v>15</v>
      </c>
      <c r="D301" s="3">
        <v>8.4</v>
      </c>
      <c r="E301">
        <f t="shared" si="4"/>
        <v>0</v>
      </c>
      <c r="F301" cm="1">
        <f t="array" ref="F301">IF(E301&lt;&gt;0,generateSalesData(B301,D301,E301),0)</f>
        <v>0</v>
      </c>
    </row>
    <row r="302" spans="1:6" x14ac:dyDescent="0.25">
      <c r="A302" s="1">
        <v>44228</v>
      </c>
      <c r="B302" s="4">
        <v>43532</v>
      </c>
      <c r="C302" s="2" t="s">
        <v>4</v>
      </c>
      <c r="D302" s="2">
        <v>8.5</v>
      </c>
      <c r="E302">
        <f t="shared" si="4"/>
        <v>696</v>
      </c>
      <c r="F302" cm="1">
        <f t="array" ref="F302">IF(E302&lt;&gt;0,generateSalesData(B302,D302,E302),0)</f>
        <v>288</v>
      </c>
    </row>
    <row r="303" spans="1:6" x14ac:dyDescent="0.25">
      <c r="A303" s="1">
        <v>44228</v>
      </c>
      <c r="B303" s="5">
        <v>43728</v>
      </c>
      <c r="C303" s="3" t="s">
        <v>5</v>
      </c>
      <c r="D303" s="3">
        <v>7.8</v>
      </c>
      <c r="E303">
        <f t="shared" si="4"/>
        <v>500</v>
      </c>
      <c r="F303" cm="1">
        <f t="array" ref="F303">IF(E303&lt;&gt;0,generateSalesData(B303,D303,E303),0)</f>
        <v>568</v>
      </c>
    </row>
    <row r="304" spans="1:6" x14ac:dyDescent="0.25">
      <c r="A304" s="1">
        <v>44228</v>
      </c>
      <c r="B304" s="4">
        <v>43763</v>
      </c>
      <c r="C304" s="2" t="s">
        <v>6</v>
      </c>
      <c r="D304" s="2">
        <v>7.2</v>
      </c>
      <c r="E304">
        <f t="shared" si="4"/>
        <v>465</v>
      </c>
      <c r="F304" cm="1">
        <f t="array" ref="F304">IF(E304&lt;&gt;0,generateSalesData(B304,D304,E304),0)</f>
        <v>512</v>
      </c>
    </row>
    <row r="305" spans="1:6" x14ac:dyDescent="0.25">
      <c r="A305" s="1">
        <v>44228</v>
      </c>
      <c r="B305" s="5">
        <v>43784</v>
      </c>
      <c r="C305" s="3" t="s">
        <v>7</v>
      </c>
      <c r="D305" s="3">
        <v>6.5</v>
      </c>
      <c r="E305">
        <f t="shared" si="4"/>
        <v>444</v>
      </c>
      <c r="F305" cm="1">
        <f t="array" ref="F305">IF(E305&lt;&gt;0,generateSalesData(B305,D305,E305),0)</f>
        <v>591</v>
      </c>
    </row>
    <row r="306" spans="1:6" x14ac:dyDescent="0.25">
      <c r="A306" s="1">
        <v>44228</v>
      </c>
      <c r="B306" s="4">
        <v>43872</v>
      </c>
      <c r="C306" s="2" t="s">
        <v>8</v>
      </c>
      <c r="D306" s="2">
        <v>9.3000000000000007</v>
      </c>
      <c r="E306">
        <f t="shared" si="4"/>
        <v>356</v>
      </c>
      <c r="F306" cm="1">
        <f t="array" ref="F306">IF(E306&lt;&gt;0,generateSalesData(B306,D306,E306),0)</f>
        <v>826</v>
      </c>
    </row>
    <row r="307" spans="1:6" x14ac:dyDescent="0.25">
      <c r="A307" s="1">
        <v>44228</v>
      </c>
      <c r="B307" s="5">
        <v>43903</v>
      </c>
      <c r="C307" s="3" t="s">
        <v>9</v>
      </c>
      <c r="D307" s="3">
        <v>7.7</v>
      </c>
      <c r="E307">
        <f t="shared" si="4"/>
        <v>325</v>
      </c>
      <c r="F307" cm="1">
        <f t="array" ref="F307">IF(E307&lt;&gt;0,generateSalesData(B307,D307,E307),0)</f>
        <v>841</v>
      </c>
    </row>
    <row r="308" spans="1:6" x14ac:dyDescent="0.25">
      <c r="A308" s="1">
        <v>44228</v>
      </c>
      <c r="B308" s="4">
        <v>43928</v>
      </c>
      <c r="C308" s="2" t="s">
        <v>10</v>
      </c>
      <c r="D308" s="2">
        <v>8.1</v>
      </c>
      <c r="E308">
        <f t="shared" si="4"/>
        <v>300</v>
      </c>
      <c r="F308" cm="1">
        <f t="array" ref="F308">IF(E308&lt;&gt;0,generateSalesData(B308,D308,E308),0)</f>
        <v>876</v>
      </c>
    </row>
    <row r="309" spans="1:6" x14ac:dyDescent="0.25">
      <c r="A309" s="1">
        <v>44228</v>
      </c>
      <c r="B309" s="5">
        <v>44001</v>
      </c>
      <c r="C309" s="3" t="s">
        <v>11</v>
      </c>
      <c r="D309" s="3">
        <v>7.6</v>
      </c>
      <c r="E309">
        <f t="shared" si="4"/>
        <v>227</v>
      </c>
      <c r="F309" cm="1">
        <f t="array" ref="F309">IF(E309&lt;&gt;0,generateSalesData(B309,D309,E309),0)</f>
        <v>1363</v>
      </c>
    </row>
    <row r="310" spans="1:6" x14ac:dyDescent="0.25">
      <c r="A310" s="1">
        <v>44228</v>
      </c>
      <c r="B310" s="4">
        <v>44064</v>
      </c>
      <c r="C310" s="2" t="s">
        <v>12</v>
      </c>
      <c r="D310" s="2">
        <v>7.3</v>
      </c>
      <c r="E310">
        <f t="shared" si="4"/>
        <v>164</v>
      </c>
      <c r="F310" cm="1">
        <f t="array" ref="F310">IF(E310&lt;&gt;0,generateSalesData(B310,D310,E310),0)</f>
        <v>836</v>
      </c>
    </row>
    <row r="311" spans="1:6" x14ac:dyDescent="0.25">
      <c r="A311" s="1">
        <v>44228</v>
      </c>
      <c r="B311" s="5">
        <v>44225</v>
      </c>
      <c r="C311" s="3" t="s">
        <v>13</v>
      </c>
      <c r="D311" s="3">
        <v>9.8000000000000007</v>
      </c>
      <c r="E311">
        <f t="shared" si="4"/>
        <v>3</v>
      </c>
      <c r="F311" cm="1">
        <f t="array" ref="F311">IF(E311&lt;&gt;0,generateSalesData(B311,D311,E311),0)</f>
        <v>8634</v>
      </c>
    </row>
    <row r="312" spans="1:6" x14ac:dyDescent="0.25">
      <c r="A312" s="1">
        <v>44228</v>
      </c>
      <c r="B312" s="4">
        <v>44281</v>
      </c>
      <c r="C312" s="2" t="s">
        <v>14</v>
      </c>
      <c r="D312" s="2">
        <v>9.1999999999999993</v>
      </c>
      <c r="E312">
        <f t="shared" si="4"/>
        <v>0</v>
      </c>
      <c r="F312" cm="1">
        <f t="array" ref="F312">IF(E312&lt;&gt;0,generateSalesData(B312,D312,E312),0)</f>
        <v>0</v>
      </c>
    </row>
    <row r="313" spans="1:6" x14ac:dyDescent="0.25">
      <c r="A313" s="1">
        <v>44256</v>
      </c>
      <c r="B313" s="5">
        <v>44344</v>
      </c>
      <c r="C313" s="3" t="s">
        <v>15</v>
      </c>
      <c r="D313" s="3">
        <v>8.4</v>
      </c>
      <c r="E313">
        <f t="shared" si="4"/>
        <v>0</v>
      </c>
      <c r="F313" cm="1">
        <f t="array" ref="F313">IF(E313&lt;&gt;0,generateSalesData(B313,D313,E313),0)</f>
        <v>0</v>
      </c>
    </row>
    <row r="314" spans="1:6" x14ac:dyDescent="0.25">
      <c r="A314" s="1">
        <v>44256</v>
      </c>
      <c r="B314" s="4">
        <v>43532</v>
      </c>
      <c r="C314" s="2" t="s">
        <v>4</v>
      </c>
      <c r="D314" s="2">
        <v>8.5</v>
      </c>
      <c r="E314">
        <f t="shared" si="4"/>
        <v>724</v>
      </c>
      <c r="F314" cm="1">
        <f t="array" ref="F314">IF(E314&lt;&gt;0,generateSalesData(B314,D314,E314),0)</f>
        <v>474</v>
      </c>
    </row>
    <row r="315" spans="1:6" x14ac:dyDescent="0.25">
      <c r="A315" s="1">
        <v>44256</v>
      </c>
      <c r="B315" s="5">
        <v>43728</v>
      </c>
      <c r="C315" s="3" t="s">
        <v>5</v>
      </c>
      <c r="D315" s="3">
        <v>7.8</v>
      </c>
      <c r="E315">
        <f t="shared" si="4"/>
        <v>528</v>
      </c>
      <c r="F315" cm="1">
        <f t="array" ref="F315">IF(E315&lt;&gt;0,generateSalesData(B315,D315,E315),0)</f>
        <v>499</v>
      </c>
    </row>
    <row r="316" spans="1:6" x14ac:dyDescent="0.25">
      <c r="A316" s="1">
        <v>44256</v>
      </c>
      <c r="B316" s="4">
        <v>43763</v>
      </c>
      <c r="C316" s="2" t="s">
        <v>6</v>
      </c>
      <c r="D316" s="2">
        <v>7.2</v>
      </c>
      <c r="E316">
        <f t="shared" si="4"/>
        <v>493</v>
      </c>
      <c r="F316" cm="1">
        <f t="array" ref="F316">IF(E316&lt;&gt;0,generateSalesData(B316,D316,E316),0)</f>
        <v>332</v>
      </c>
    </row>
    <row r="317" spans="1:6" x14ac:dyDescent="0.25">
      <c r="A317" s="1">
        <v>44256</v>
      </c>
      <c r="B317" s="5">
        <v>43784</v>
      </c>
      <c r="C317" s="3" t="s">
        <v>7</v>
      </c>
      <c r="D317" s="3">
        <v>6.5</v>
      </c>
      <c r="E317">
        <f t="shared" si="4"/>
        <v>472</v>
      </c>
      <c r="F317" cm="1">
        <f t="array" ref="F317">IF(E317&lt;&gt;0,generateSalesData(B317,D317,E317),0)</f>
        <v>653</v>
      </c>
    </row>
    <row r="318" spans="1:6" x14ac:dyDescent="0.25">
      <c r="A318" s="1">
        <v>44256</v>
      </c>
      <c r="B318" s="4">
        <v>43872</v>
      </c>
      <c r="C318" s="2" t="s">
        <v>8</v>
      </c>
      <c r="D318" s="2">
        <v>9.3000000000000007</v>
      </c>
      <c r="E318">
        <f t="shared" si="4"/>
        <v>384</v>
      </c>
      <c r="F318" cm="1">
        <f t="array" ref="F318">IF(E318&lt;&gt;0,generateSalesData(B318,D318,E318),0)</f>
        <v>240</v>
      </c>
    </row>
    <row r="319" spans="1:6" x14ac:dyDescent="0.25">
      <c r="A319" s="1">
        <v>44256</v>
      </c>
      <c r="B319" s="5">
        <v>43903</v>
      </c>
      <c r="C319" s="3" t="s">
        <v>9</v>
      </c>
      <c r="D319" s="3">
        <v>7.7</v>
      </c>
      <c r="E319">
        <f t="shared" si="4"/>
        <v>353</v>
      </c>
      <c r="F319" cm="1">
        <f t="array" ref="F319">IF(E319&lt;&gt;0,generateSalesData(B319,D319,E319),0)</f>
        <v>882</v>
      </c>
    </row>
    <row r="320" spans="1:6" x14ac:dyDescent="0.25">
      <c r="A320" s="1">
        <v>44256</v>
      </c>
      <c r="B320" s="4">
        <v>43928</v>
      </c>
      <c r="C320" s="2" t="s">
        <v>10</v>
      </c>
      <c r="D320" s="2">
        <v>8.1</v>
      </c>
      <c r="E320">
        <f t="shared" si="4"/>
        <v>328</v>
      </c>
      <c r="F320" cm="1">
        <f t="array" ref="F320">IF(E320&lt;&gt;0,generateSalesData(B320,D320,E320),0)</f>
        <v>875</v>
      </c>
    </row>
    <row r="321" spans="1:6" x14ac:dyDescent="0.25">
      <c r="A321" s="1">
        <v>44256</v>
      </c>
      <c r="B321" s="5">
        <v>44001</v>
      </c>
      <c r="C321" s="3" t="s">
        <v>11</v>
      </c>
      <c r="D321" s="3">
        <v>7.6</v>
      </c>
      <c r="E321">
        <f t="shared" si="4"/>
        <v>255</v>
      </c>
      <c r="F321" cm="1">
        <f t="array" ref="F321">IF(E321&lt;&gt;0,generateSalesData(B321,D321,E321),0)</f>
        <v>926</v>
      </c>
    </row>
    <row r="322" spans="1:6" x14ac:dyDescent="0.25">
      <c r="A322" s="1">
        <v>44256</v>
      </c>
      <c r="B322" s="4">
        <v>44064</v>
      </c>
      <c r="C322" s="2" t="s">
        <v>12</v>
      </c>
      <c r="D322" s="2">
        <v>7.3</v>
      </c>
      <c r="E322">
        <f t="shared" si="4"/>
        <v>192</v>
      </c>
      <c r="F322" cm="1">
        <f t="array" ref="F322">IF(E322&lt;&gt;0,generateSalesData(B322,D322,E322),0)</f>
        <v>1298</v>
      </c>
    </row>
    <row r="323" spans="1:6" x14ac:dyDescent="0.25">
      <c r="A323" s="1">
        <v>44256</v>
      </c>
      <c r="B323" s="5">
        <v>44225</v>
      </c>
      <c r="C323" s="3" t="s">
        <v>13</v>
      </c>
      <c r="D323" s="3">
        <v>9.8000000000000007</v>
      </c>
      <c r="E323">
        <f t="shared" ref="E323:E386" si="5">IF(A323-B323&lt;0,0,A323-B323)</f>
        <v>31</v>
      </c>
      <c r="F323" cm="1">
        <f t="array" ref="F323">IF(E323&lt;&gt;0,generateSalesData(B323,D323,E323),0)</f>
        <v>16728</v>
      </c>
    </row>
    <row r="324" spans="1:6" x14ac:dyDescent="0.25">
      <c r="A324" s="1">
        <v>44256</v>
      </c>
      <c r="B324" s="4">
        <v>44281</v>
      </c>
      <c r="C324" s="2" t="s">
        <v>14</v>
      </c>
      <c r="D324" s="2">
        <v>9.1999999999999993</v>
      </c>
      <c r="E324">
        <f t="shared" si="5"/>
        <v>0</v>
      </c>
      <c r="F324" cm="1">
        <f t="array" ref="F324">IF(E324&lt;&gt;0,generateSalesData(B324,D324,E324),0)</f>
        <v>0</v>
      </c>
    </row>
    <row r="325" spans="1:6" x14ac:dyDescent="0.25">
      <c r="A325" s="1">
        <v>44287</v>
      </c>
      <c r="B325" s="5">
        <v>44344</v>
      </c>
      <c r="C325" s="3" t="s">
        <v>15</v>
      </c>
      <c r="D325" s="3">
        <v>8.4</v>
      </c>
      <c r="E325">
        <f t="shared" si="5"/>
        <v>0</v>
      </c>
      <c r="F325" cm="1">
        <f t="array" ref="F325">IF(E325&lt;&gt;0,generateSalesData(B325,D325,E325),0)</f>
        <v>0</v>
      </c>
    </row>
    <row r="326" spans="1:6" x14ac:dyDescent="0.25">
      <c r="A326" s="1">
        <v>44287</v>
      </c>
      <c r="B326" s="4">
        <v>43532</v>
      </c>
      <c r="C326" s="2" t="s">
        <v>4</v>
      </c>
      <c r="D326" s="2">
        <v>8.5</v>
      </c>
      <c r="E326">
        <f t="shared" si="5"/>
        <v>755</v>
      </c>
      <c r="F326" cm="1">
        <f t="array" ref="F326">IF(E326&lt;&gt;0,generateSalesData(B326,D326,E326),0)</f>
        <v>151</v>
      </c>
    </row>
    <row r="327" spans="1:6" x14ac:dyDescent="0.25">
      <c r="A327" s="1">
        <v>44287</v>
      </c>
      <c r="B327" s="5">
        <v>43728</v>
      </c>
      <c r="C327" s="3" t="s">
        <v>5</v>
      </c>
      <c r="D327" s="3">
        <v>7.8</v>
      </c>
      <c r="E327">
        <f t="shared" si="5"/>
        <v>559</v>
      </c>
      <c r="F327" cm="1">
        <f t="array" ref="F327">IF(E327&lt;&gt;0,generateSalesData(B327,D327,E327),0)</f>
        <v>312</v>
      </c>
    </row>
    <row r="328" spans="1:6" x14ac:dyDescent="0.25">
      <c r="A328" s="1">
        <v>44287</v>
      </c>
      <c r="B328" s="4">
        <v>43763</v>
      </c>
      <c r="C328" s="2" t="s">
        <v>6</v>
      </c>
      <c r="D328" s="2">
        <v>7.2</v>
      </c>
      <c r="E328">
        <f t="shared" si="5"/>
        <v>524</v>
      </c>
      <c r="F328" cm="1">
        <f t="array" ref="F328">IF(E328&lt;&gt;0,generateSalesData(B328,D328,E328),0)</f>
        <v>235</v>
      </c>
    </row>
    <row r="329" spans="1:6" x14ac:dyDescent="0.25">
      <c r="A329" s="1">
        <v>44287</v>
      </c>
      <c r="B329" s="5">
        <v>43784</v>
      </c>
      <c r="C329" s="3" t="s">
        <v>7</v>
      </c>
      <c r="D329" s="3">
        <v>6.5</v>
      </c>
      <c r="E329">
        <f t="shared" si="5"/>
        <v>503</v>
      </c>
      <c r="F329" cm="1">
        <f t="array" ref="F329">IF(E329&lt;&gt;0,generateSalesData(B329,D329,E329),0)</f>
        <v>-25</v>
      </c>
    </row>
    <row r="330" spans="1:6" x14ac:dyDescent="0.25">
      <c r="A330" s="1">
        <v>44287</v>
      </c>
      <c r="B330" s="4">
        <v>43872</v>
      </c>
      <c r="C330" s="2" t="s">
        <v>8</v>
      </c>
      <c r="D330" s="2">
        <v>9.3000000000000007</v>
      </c>
      <c r="E330">
        <f t="shared" si="5"/>
        <v>415</v>
      </c>
      <c r="F330" cm="1">
        <f t="array" ref="F330">IF(E330&lt;&gt;0,generateSalesData(B330,D330,E330),0)</f>
        <v>737</v>
      </c>
    </row>
    <row r="331" spans="1:6" x14ac:dyDescent="0.25">
      <c r="A331" s="1">
        <v>44287</v>
      </c>
      <c r="B331" s="5">
        <v>43903</v>
      </c>
      <c r="C331" s="3" t="s">
        <v>9</v>
      </c>
      <c r="D331" s="3">
        <v>7.7</v>
      </c>
      <c r="E331">
        <f t="shared" si="5"/>
        <v>384</v>
      </c>
      <c r="F331" cm="1">
        <f t="array" ref="F331">IF(E331&lt;&gt;0,generateSalesData(B331,D331,E331),0)</f>
        <v>1400</v>
      </c>
    </row>
    <row r="332" spans="1:6" x14ac:dyDescent="0.25">
      <c r="A332" s="1">
        <v>44287</v>
      </c>
      <c r="B332" s="4">
        <v>43928</v>
      </c>
      <c r="C332" s="2" t="s">
        <v>10</v>
      </c>
      <c r="D332" s="2">
        <v>8.1</v>
      </c>
      <c r="E332">
        <f t="shared" si="5"/>
        <v>359</v>
      </c>
      <c r="F332" cm="1">
        <f t="array" ref="F332">IF(E332&lt;&gt;0,generateSalesData(B332,D332,E332),0)</f>
        <v>77</v>
      </c>
    </row>
    <row r="333" spans="1:6" x14ac:dyDescent="0.25">
      <c r="A333" s="1">
        <v>44287</v>
      </c>
      <c r="B333" s="5">
        <v>44001</v>
      </c>
      <c r="C333" s="3" t="s">
        <v>11</v>
      </c>
      <c r="D333" s="3">
        <v>7.6</v>
      </c>
      <c r="E333">
        <f t="shared" si="5"/>
        <v>286</v>
      </c>
      <c r="F333" cm="1">
        <f t="array" ref="F333">IF(E333&lt;&gt;0,generateSalesData(B333,D333,E333),0)</f>
        <v>588</v>
      </c>
    </row>
    <row r="334" spans="1:6" x14ac:dyDescent="0.25">
      <c r="A334" s="1">
        <v>44287</v>
      </c>
      <c r="B334" s="4">
        <v>44064</v>
      </c>
      <c r="C334" s="2" t="s">
        <v>12</v>
      </c>
      <c r="D334" s="2">
        <v>7.3</v>
      </c>
      <c r="E334">
        <f t="shared" si="5"/>
        <v>223</v>
      </c>
      <c r="F334" cm="1">
        <f t="array" ref="F334">IF(E334&lt;&gt;0,generateSalesData(B334,D334,E334),0)</f>
        <v>1092</v>
      </c>
    </row>
    <row r="335" spans="1:6" x14ac:dyDescent="0.25">
      <c r="A335" s="1">
        <v>44287</v>
      </c>
      <c r="B335" s="5">
        <v>44225</v>
      </c>
      <c r="C335" s="3" t="s">
        <v>13</v>
      </c>
      <c r="D335" s="3">
        <v>9.8000000000000007</v>
      </c>
      <c r="E335">
        <f t="shared" si="5"/>
        <v>62</v>
      </c>
      <c r="F335" cm="1">
        <f t="array" ref="F335">IF(E335&lt;&gt;0,generateSalesData(B335,D335,E335),0)</f>
        <v>2699</v>
      </c>
    </row>
    <row r="336" spans="1:6" x14ac:dyDescent="0.25">
      <c r="A336" s="1">
        <v>44287</v>
      </c>
      <c r="B336" s="4">
        <v>44281</v>
      </c>
      <c r="C336" s="2" t="s">
        <v>14</v>
      </c>
      <c r="D336" s="2">
        <v>9.1999999999999993</v>
      </c>
      <c r="E336">
        <f t="shared" si="5"/>
        <v>6</v>
      </c>
      <c r="F336" cm="1">
        <f t="array" ref="F336">IF(E336&lt;&gt;0,generateSalesData(B336,D336,E336),0)</f>
        <v>7451</v>
      </c>
    </row>
    <row r="337" spans="1:6" x14ac:dyDescent="0.25">
      <c r="A337" s="1">
        <v>44317</v>
      </c>
      <c r="B337" s="5">
        <v>44344</v>
      </c>
      <c r="C337" s="3" t="s">
        <v>15</v>
      </c>
      <c r="D337" s="3">
        <v>8.4</v>
      </c>
      <c r="E337">
        <f t="shared" si="5"/>
        <v>0</v>
      </c>
      <c r="F337" cm="1">
        <f t="array" ref="F337">IF(E337&lt;&gt;0,generateSalesData(B337,D337,E337),0)</f>
        <v>0</v>
      </c>
    </row>
    <row r="338" spans="1:6" x14ac:dyDescent="0.25">
      <c r="A338" s="1">
        <v>44317</v>
      </c>
      <c r="B338" s="4">
        <v>43532</v>
      </c>
      <c r="C338" s="2" t="s">
        <v>4</v>
      </c>
      <c r="D338" s="2">
        <v>8.5</v>
      </c>
      <c r="E338">
        <f t="shared" si="5"/>
        <v>785</v>
      </c>
      <c r="F338" cm="1">
        <f t="array" ref="F338">IF(E338&lt;&gt;0,generateSalesData(B338,D338,E338),0)</f>
        <v>494</v>
      </c>
    </row>
    <row r="339" spans="1:6" x14ac:dyDescent="0.25">
      <c r="A339" s="1">
        <v>44317</v>
      </c>
      <c r="B339" s="5">
        <v>43728</v>
      </c>
      <c r="C339" s="3" t="s">
        <v>5</v>
      </c>
      <c r="D339" s="3">
        <v>7.8</v>
      </c>
      <c r="E339">
        <f t="shared" si="5"/>
        <v>589</v>
      </c>
      <c r="F339" cm="1">
        <f t="array" ref="F339">IF(E339&lt;&gt;0,generateSalesData(B339,D339,E339),0)</f>
        <v>415</v>
      </c>
    </row>
    <row r="340" spans="1:6" x14ac:dyDescent="0.25">
      <c r="A340" s="1">
        <v>44317</v>
      </c>
      <c r="B340" s="4">
        <v>43763</v>
      </c>
      <c r="C340" s="2" t="s">
        <v>6</v>
      </c>
      <c r="D340" s="2">
        <v>7.2</v>
      </c>
      <c r="E340">
        <f t="shared" si="5"/>
        <v>554</v>
      </c>
      <c r="F340" cm="1">
        <f t="array" ref="F340">IF(E340&lt;&gt;0,generateSalesData(B340,D340,E340),0)</f>
        <v>627</v>
      </c>
    </row>
    <row r="341" spans="1:6" x14ac:dyDescent="0.25">
      <c r="A341" s="1">
        <v>44317</v>
      </c>
      <c r="B341" s="5">
        <v>43784</v>
      </c>
      <c r="C341" s="3" t="s">
        <v>7</v>
      </c>
      <c r="D341" s="3">
        <v>6.5</v>
      </c>
      <c r="E341">
        <f t="shared" si="5"/>
        <v>533</v>
      </c>
      <c r="F341" cm="1">
        <f t="array" ref="F341">IF(E341&lt;&gt;0,generateSalesData(B341,D341,E341),0)</f>
        <v>682</v>
      </c>
    </row>
    <row r="342" spans="1:6" x14ac:dyDescent="0.25">
      <c r="A342" s="1">
        <v>44317</v>
      </c>
      <c r="B342" s="4">
        <v>43872</v>
      </c>
      <c r="C342" s="2" t="s">
        <v>8</v>
      </c>
      <c r="D342" s="2">
        <v>9.3000000000000007</v>
      </c>
      <c r="E342">
        <f t="shared" si="5"/>
        <v>445</v>
      </c>
      <c r="F342" cm="1">
        <f t="array" ref="F342">IF(E342&lt;&gt;0,generateSalesData(B342,D342,E342),0)</f>
        <v>261</v>
      </c>
    </row>
    <row r="343" spans="1:6" x14ac:dyDescent="0.25">
      <c r="A343" s="1">
        <v>44317</v>
      </c>
      <c r="B343" s="5">
        <v>43903</v>
      </c>
      <c r="C343" s="3" t="s">
        <v>9</v>
      </c>
      <c r="D343" s="3">
        <v>7.7</v>
      </c>
      <c r="E343">
        <f t="shared" si="5"/>
        <v>414</v>
      </c>
      <c r="F343" cm="1">
        <f t="array" ref="F343">IF(E343&lt;&gt;0,generateSalesData(B343,D343,E343),0)</f>
        <v>768</v>
      </c>
    </row>
    <row r="344" spans="1:6" x14ac:dyDescent="0.25">
      <c r="A344" s="1">
        <v>44317</v>
      </c>
      <c r="B344" s="4">
        <v>43928</v>
      </c>
      <c r="C344" s="2" t="s">
        <v>10</v>
      </c>
      <c r="D344" s="2">
        <v>8.1</v>
      </c>
      <c r="E344">
        <f t="shared" si="5"/>
        <v>389</v>
      </c>
      <c r="F344" cm="1">
        <f t="array" ref="F344">IF(E344&lt;&gt;0,generateSalesData(B344,D344,E344),0)</f>
        <v>731</v>
      </c>
    </row>
    <row r="345" spans="1:6" x14ac:dyDescent="0.25">
      <c r="A345" s="1">
        <v>44317</v>
      </c>
      <c r="B345" s="5">
        <v>44001</v>
      </c>
      <c r="C345" s="3" t="s">
        <v>11</v>
      </c>
      <c r="D345" s="3">
        <v>7.6</v>
      </c>
      <c r="E345">
        <f t="shared" si="5"/>
        <v>316</v>
      </c>
      <c r="F345" cm="1">
        <f t="array" ref="F345">IF(E345&lt;&gt;0,generateSalesData(B345,D345,E345),0)</f>
        <v>459</v>
      </c>
    </row>
    <row r="346" spans="1:6" x14ac:dyDescent="0.25">
      <c r="A346" s="1">
        <v>44317</v>
      </c>
      <c r="B346" s="4">
        <v>44064</v>
      </c>
      <c r="C346" s="2" t="s">
        <v>12</v>
      </c>
      <c r="D346" s="2">
        <v>7.3</v>
      </c>
      <c r="E346">
        <f t="shared" si="5"/>
        <v>253</v>
      </c>
      <c r="F346" cm="1">
        <f t="array" ref="F346">IF(E346&lt;&gt;0,generateSalesData(B346,D346,E346),0)</f>
        <v>681</v>
      </c>
    </row>
    <row r="347" spans="1:6" x14ac:dyDescent="0.25">
      <c r="A347" s="1">
        <v>44317</v>
      </c>
      <c r="B347" s="5">
        <v>44225</v>
      </c>
      <c r="C347" s="3" t="s">
        <v>13</v>
      </c>
      <c r="D347" s="3">
        <v>9.8000000000000007</v>
      </c>
      <c r="E347">
        <f t="shared" si="5"/>
        <v>92</v>
      </c>
      <c r="F347" cm="1">
        <f t="array" ref="F347">IF(E347&lt;&gt;0,generateSalesData(B347,D347,E347),0)</f>
        <v>5819</v>
      </c>
    </row>
    <row r="348" spans="1:6" x14ac:dyDescent="0.25">
      <c r="A348" s="1">
        <v>44317</v>
      </c>
      <c r="B348" s="4">
        <v>44281</v>
      </c>
      <c r="C348" s="2" t="s">
        <v>14</v>
      </c>
      <c r="D348" s="2">
        <v>9.1999999999999993</v>
      </c>
      <c r="E348">
        <f t="shared" si="5"/>
        <v>36</v>
      </c>
      <c r="F348" cm="1">
        <f t="array" ref="F348">IF(E348&lt;&gt;0,generateSalesData(B348,D348,E348),0)</f>
        <v>6192</v>
      </c>
    </row>
    <row r="349" spans="1:6" x14ac:dyDescent="0.25">
      <c r="A349" s="1">
        <v>44348</v>
      </c>
      <c r="B349" s="5">
        <v>44344</v>
      </c>
      <c r="C349" s="3" t="s">
        <v>15</v>
      </c>
      <c r="D349" s="3">
        <v>8.4</v>
      </c>
      <c r="E349">
        <f t="shared" si="5"/>
        <v>4</v>
      </c>
      <c r="F349" cm="1">
        <f t="array" ref="F349">IF(E349&lt;&gt;0,generateSalesData(B349,D349,E349),0)</f>
        <v>16735</v>
      </c>
    </row>
    <row r="350" spans="1:6" x14ac:dyDescent="0.25">
      <c r="A350" s="1">
        <v>44348</v>
      </c>
      <c r="B350" s="4">
        <v>43532</v>
      </c>
      <c r="C350" s="2" t="s">
        <v>4</v>
      </c>
      <c r="D350" s="2">
        <v>8.5</v>
      </c>
      <c r="E350">
        <f t="shared" si="5"/>
        <v>816</v>
      </c>
      <c r="F350" cm="1">
        <f t="array" ref="F350">IF(E350&lt;&gt;0,generateSalesData(B350,D350,E350),0)</f>
        <v>499</v>
      </c>
    </row>
    <row r="351" spans="1:6" x14ac:dyDescent="0.25">
      <c r="A351" s="1">
        <v>44348</v>
      </c>
      <c r="B351" s="5">
        <v>43728</v>
      </c>
      <c r="C351" s="3" t="s">
        <v>5</v>
      </c>
      <c r="D351" s="3">
        <v>7.8</v>
      </c>
      <c r="E351">
        <f t="shared" si="5"/>
        <v>620</v>
      </c>
      <c r="F351" cm="1">
        <f t="array" ref="F351">IF(E351&lt;&gt;0,generateSalesData(B351,D351,E351),0)</f>
        <v>100</v>
      </c>
    </row>
    <row r="352" spans="1:6" x14ac:dyDescent="0.25">
      <c r="A352" s="1">
        <v>44348</v>
      </c>
      <c r="B352" s="4">
        <v>43763</v>
      </c>
      <c r="C352" s="2" t="s">
        <v>6</v>
      </c>
      <c r="D352" s="2">
        <v>7.2</v>
      </c>
      <c r="E352">
        <f t="shared" si="5"/>
        <v>585</v>
      </c>
      <c r="F352" cm="1">
        <f t="array" ref="F352">IF(E352&lt;&gt;0,generateSalesData(B352,D352,E352),0)</f>
        <v>425</v>
      </c>
    </row>
    <row r="353" spans="1:6" x14ac:dyDescent="0.25">
      <c r="A353" s="1">
        <v>44348</v>
      </c>
      <c r="B353" s="5">
        <v>43784</v>
      </c>
      <c r="C353" s="3" t="s">
        <v>7</v>
      </c>
      <c r="D353" s="3">
        <v>6.5</v>
      </c>
      <c r="E353">
        <f t="shared" si="5"/>
        <v>564</v>
      </c>
      <c r="F353" cm="1">
        <f t="array" ref="F353">IF(E353&lt;&gt;0,generateSalesData(B353,D353,E353),0)</f>
        <v>184</v>
      </c>
    </row>
    <row r="354" spans="1:6" x14ac:dyDescent="0.25">
      <c r="A354" s="1">
        <v>44348</v>
      </c>
      <c r="B354" s="4">
        <v>43872</v>
      </c>
      <c r="C354" s="2" t="s">
        <v>8</v>
      </c>
      <c r="D354" s="2">
        <v>9.3000000000000007</v>
      </c>
      <c r="E354">
        <f t="shared" si="5"/>
        <v>476</v>
      </c>
      <c r="F354" cm="1">
        <f t="array" ref="F354">IF(E354&lt;&gt;0,generateSalesData(B354,D354,E354),0)</f>
        <v>287</v>
      </c>
    </row>
    <row r="355" spans="1:6" x14ac:dyDescent="0.25">
      <c r="A355" s="1">
        <v>44348</v>
      </c>
      <c r="B355" s="5">
        <v>43903</v>
      </c>
      <c r="C355" s="3" t="s">
        <v>9</v>
      </c>
      <c r="D355" s="3">
        <v>7.7</v>
      </c>
      <c r="E355">
        <f t="shared" si="5"/>
        <v>445</v>
      </c>
      <c r="F355" cm="1">
        <f t="array" ref="F355">IF(E355&lt;&gt;0,generateSalesData(B355,D355,E355),0)</f>
        <v>80</v>
      </c>
    </row>
    <row r="356" spans="1:6" x14ac:dyDescent="0.25">
      <c r="A356" s="1">
        <v>44348</v>
      </c>
      <c r="B356" s="4">
        <v>43928</v>
      </c>
      <c r="C356" s="2" t="s">
        <v>10</v>
      </c>
      <c r="D356" s="2">
        <v>8.1</v>
      </c>
      <c r="E356">
        <f t="shared" si="5"/>
        <v>420</v>
      </c>
      <c r="F356" cm="1">
        <f t="array" ref="F356">IF(E356&lt;&gt;0,generateSalesData(B356,D356,E356),0)</f>
        <v>548</v>
      </c>
    </row>
    <row r="357" spans="1:6" x14ac:dyDescent="0.25">
      <c r="A357" s="1">
        <v>44348</v>
      </c>
      <c r="B357" s="5">
        <v>44001</v>
      </c>
      <c r="C357" s="3" t="s">
        <v>11</v>
      </c>
      <c r="D357" s="3">
        <v>7.6</v>
      </c>
      <c r="E357">
        <f t="shared" si="5"/>
        <v>347</v>
      </c>
      <c r="F357" cm="1">
        <f t="array" ref="F357">IF(E357&lt;&gt;0,generateSalesData(B357,D357,E357),0)</f>
        <v>63</v>
      </c>
    </row>
    <row r="358" spans="1:6" x14ac:dyDescent="0.25">
      <c r="A358" s="1">
        <v>44348</v>
      </c>
      <c r="B358" s="4">
        <v>44064</v>
      </c>
      <c r="C358" s="2" t="s">
        <v>12</v>
      </c>
      <c r="D358" s="2">
        <v>7.3</v>
      </c>
      <c r="E358">
        <f t="shared" si="5"/>
        <v>284</v>
      </c>
      <c r="F358" cm="1">
        <f t="array" ref="F358">IF(E358&lt;&gt;0,generateSalesData(B358,D358,E358),0)</f>
        <v>738</v>
      </c>
    </row>
    <row r="359" spans="1:6" x14ac:dyDescent="0.25">
      <c r="A359" s="1">
        <v>44348</v>
      </c>
      <c r="B359" s="5">
        <v>44225</v>
      </c>
      <c r="C359" s="3" t="s">
        <v>13</v>
      </c>
      <c r="D359" s="3">
        <v>9.8000000000000007</v>
      </c>
      <c r="E359">
        <f t="shared" si="5"/>
        <v>123</v>
      </c>
      <c r="F359" cm="1">
        <f t="array" ref="F359">IF(E359&lt;&gt;0,generateSalesData(B359,D359,E359),0)</f>
        <v>1111</v>
      </c>
    </row>
    <row r="360" spans="1:6" x14ac:dyDescent="0.25">
      <c r="A360" s="1">
        <v>44348</v>
      </c>
      <c r="B360" s="4">
        <v>44281</v>
      </c>
      <c r="C360" s="2" t="s">
        <v>14</v>
      </c>
      <c r="D360" s="2">
        <v>9.1999999999999993</v>
      </c>
      <c r="E360">
        <f t="shared" si="5"/>
        <v>67</v>
      </c>
      <c r="F360" cm="1">
        <f t="array" ref="F360">IF(E360&lt;&gt;0,generateSalesData(B360,D360,E360),0)</f>
        <v>8670</v>
      </c>
    </row>
    <row r="361" spans="1:6" x14ac:dyDescent="0.25">
      <c r="A361" s="1">
        <v>44378</v>
      </c>
      <c r="B361" s="5">
        <v>44344</v>
      </c>
      <c r="C361" s="3" t="s">
        <v>15</v>
      </c>
      <c r="D361" s="3">
        <v>8.4</v>
      </c>
      <c r="E361">
        <f t="shared" si="5"/>
        <v>34</v>
      </c>
      <c r="F361" cm="1">
        <f t="array" ref="F361">IF(E361&lt;&gt;0,generateSalesData(B361,D361,E361),0)</f>
        <v>11820</v>
      </c>
    </row>
    <row r="362" spans="1:6" x14ac:dyDescent="0.25">
      <c r="A362" s="1">
        <v>44378</v>
      </c>
      <c r="B362" s="4">
        <v>43532</v>
      </c>
      <c r="C362" s="2" t="s">
        <v>4</v>
      </c>
      <c r="D362" s="2">
        <v>8.5</v>
      </c>
      <c r="E362">
        <f t="shared" si="5"/>
        <v>846</v>
      </c>
      <c r="F362" cm="1">
        <f t="array" ref="F362">IF(E362&lt;&gt;0,generateSalesData(B362,D362,E362),0)</f>
        <v>334</v>
      </c>
    </row>
    <row r="363" spans="1:6" x14ac:dyDescent="0.25">
      <c r="A363" s="1">
        <v>44378</v>
      </c>
      <c r="B363" s="5">
        <v>43728</v>
      </c>
      <c r="C363" s="3" t="s">
        <v>5</v>
      </c>
      <c r="D363" s="3">
        <v>7.8</v>
      </c>
      <c r="E363">
        <f t="shared" si="5"/>
        <v>650</v>
      </c>
      <c r="F363" cm="1">
        <f t="array" ref="F363">IF(E363&lt;&gt;0,generateSalesData(B363,D363,E363),0)</f>
        <v>331</v>
      </c>
    </row>
    <row r="364" spans="1:6" x14ac:dyDescent="0.25">
      <c r="A364" s="1">
        <v>44378</v>
      </c>
      <c r="B364" s="4">
        <v>43763</v>
      </c>
      <c r="C364" s="2" t="s">
        <v>6</v>
      </c>
      <c r="D364" s="2">
        <v>7.2</v>
      </c>
      <c r="E364">
        <f t="shared" si="5"/>
        <v>615</v>
      </c>
      <c r="F364" cm="1">
        <f t="array" ref="F364">IF(E364&lt;&gt;0,generateSalesData(B364,D364,E364),0)</f>
        <v>516</v>
      </c>
    </row>
    <row r="365" spans="1:6" x14ac:dyDescent="0.25">
      <c r="A365" s="1">
        <v>44378</v>
      </c>
      <c r="B365" s="5">
        <v>43784</v>
      </c>
      <c r="C365" s="3" t="s">
        <v>7</v>
      </c>
      <c r="D365" s="3">
        <v>6.5</v>
      </c>
      <c r="E365">
        <f t="shared" si="5"/>
        <v>594</v>
      </c>
      <c r="F365" cm="1">
        <f t="array" ref="F365">IF(E365&lt;&gt;0,generateSalesData(B365,D365,E365),0)</f>
        <v>449</v>
      </c>
    </row>
    <row r="366" spans="1:6" x14ac:dyDescent="0.25">
      <c r="A366" s="1">
        <v>44378</v>
      </c>
      <c r="B366" s="4">
        <v>43872</v>
      </c>
      <c r="C366" s="2" t="s">
        <v>8</v>
      </c>
      <c r="D366" s="2">
        <v>9.3000000000000007</v>
      </c>
      <c r="E366">
        <f t="shared" si="5"/>
        <v>506</v>
      </c>
      <c r="F366" cm="1">
        <f t="array" ref="F366">IF(E366&lt;&gt;0,generateSalesData(B366,D366,E366),0)</f>
        <v>-153</v>
      </c>
    </row>
    <row r="367" spans="1:6" x14ac:dyDescent="0.25">
      <c r="A367" s="1">
        <v>44378</v>
      </c>
      <c r="B367" s="5">
        <v>43903</v>
      </c>
      <c r="C367" s="3" t="s">
        <v>9</v>
      </c>
      <c r="D367" s="3">
        <v>7.7</v>
      </c>
      <c r="E367">
        <f t="shared" si="5"/>
        <v>475</v>
      </c>
      <c r="F367" cm="1">
        <f t="array" ref="F367">IF(E367&lt;&gt;0,generateSalesData(B367,D367,E367),0)</f>
        <v>104</v>
      </c>
    </row>
    <row r="368" spans="1:6" x14ac:dyDescent="0.25">
      <c r="A368" s="1">
        <v>44378</v>
      </c>
      <c r="B368" s="4">
        <v>43928</v>
      </c>
      <c r="C368" s="2" t="s">
        <v>10</v>
      </c>
      <c r="D368" s="2">
        <v>8.1</v>
      </c>
      <c r="E368">
        <f t="shared" si="5"/>
        <v>450</v>
      </c>
      <c r="F368" cm="1">
        <f t="array" ref="F368">IF(E368&lt;&gt;0,generateSalesData(B368,D368,E368),0)</f>
        <v>367</v>
      </c>
    </row>
    <row r="369" spans="1:6" x14ac:dyDescent="0.25">
      <c r="A369" s="1">
        <v>44378</v>
      </c>
      <c r="B369" s="5">
        <v>44001</v>
      </c>
      <c r="C369" s="3" t="s">
        <v>11</v>
      </c>
      <c r="D369" s="3">
        <v>7.6</v>
      </c>
      <c r="E369">
        <f t="shared" si="5"/>
        <v>377</v>
      </c>
      <c r="F369" cm="1">
        <f t="array" ref="F369">IF(E369&lt;&gt;0,generateSalesData(B369,D369,E369),0)</f>
        <v>670</v>
      </c>
    </row>
    <row r="370" spans="1:6" x14ac:dyDescent="0.25">
      <c r="A370" s="1">
        <v>44378</v>
      </c>
      <c r="B370" s="4">
        <v>44064</v>
      </c>
      <c r="C370" s="2" t="s">
        <v>12</v>
      </c>
      <c r="D370" s="2">
        <v>7.3</v>
      </c>
      <c r="E370">
        <f t="shared" si="5"/>
        <v>314</v>
      </c>
      <c r="F370" cm="1">
        <f t="array" ref="F370">IF(E370&lt;&gt;0,generateSalesData(B370,D370,E370),0)</f>
        <v>-218</v>
      </c>
    </row>
    <row r="371" spans="1:6" x14ac:dyDescent="0.25">
      <c r="A371" s="1">
        <v>44378</v>
      </c>
      <c r="B371" s="5">
        <v>44225</v>
      </c>
      <c r="C371" s="3" t="s">
        <v>13</v>
      </c>
      <c r="D371" s="3">
        <v>9.8000000000000007</v>
      </c>
      <c r="E371">
        <f t="shared" si="5"/>
        <v>153</v>
      </c>
      <c r="F371" cm="1">
        <f t="array" ref="F371">IF(E371&lt;&gt;0,generateSalesData(B371,D371,E371),0)</f>
        <v>995</v>
      </c>
    </row>
    <row r="372" spans="1:6" x14ac:dyDescent="0.25">
      <c r="A372" s="1">
        <v>44378</v>
      </c>
      <c r="B372" s="4">
        <v>44281</v>
      </c>
      <c r="C372" s="2" t="s">
        <v>14</v>
      </c>
      <c r="D372" s="2">
        <v>9.1999999999999993</v>
      </c>
      <c r="E372">
        <f t="shared" si="5"/>
        <v>97</v>
      </c>
      <c r="F372" cm="1">
        <f t="array" ref="F372">IF(E372&lt;&gt;0,generateSalesData(B372,D372,E372),0)</f>
        <v>3513</v>
      </c>
    </row>
    <row r="373" spans="1:6" x14ac:dyDescent="0.25">
      <c r="A373" s="1">
        <v>44409</v>
      </c>
      <c r="B373" s="5">
        <v>44344</v>
      </c>
      <c r="C373" s="3" t="s">
        <v>15</v>
      </c>
      <c r="D373" s="3">
        <v>8.4</v>
      </c>
      <c r="E373">
        <f t="shared" si="5"/>
        <v>65</v>
      </c>
      <c r="F373" cm="1">
        <f t="array" ref="F373">IF(E373&lt;&gt;0,generateSalesData(B373,D373,E373),0)</f>
        <v>4680</v>
      </c>
    </row>
    <row r="374" spans="1:6" x14ac:dyDescent="0.25">
      <c r="A374" s="1">
        <v>44409</v>
      </c>
      <c r="B374" s="4">
        <v>43532</v>
      </c>
      <c r="C374" s="2" t="s">
        <v>4</v>
      </c>
      <c r="D374" s="2">
        <v>8.5</v>
      </c>
      <c r="E374">
        <f t="shared" si="5"/>
        <v>877</v>
      </c>
      <c r="F374" cm="1">
        <f t="array" ref="F374">IF(E374&lt;&gt;0,generateSalesData(B374,D374,E374),0)</f>
        <v>347</v>
      </c>
    </row>
    <row r="375" spans="1:6" x14ac:dyDescent="0.25">
      <c r="A375" s="1">
        <v>44409</v>
      </c>
      <c r="B375" s="5">
        <v>43728</v>
      </c>
      <c r="C375" s="3" t="s">
        <v>5</v>
      </c>
      <c r="D375" s="3">
        <v>7.8</v>
      </c>
      <c r="E375">
        <f t="shared" si="5"/>
        <v>681</v>
      </c>
      <c r="F375" cm="1">
        <f t="array" ref="F375">IF(E375&lt;&gt;0,generateSalesData(B375,D375,E375),0)</f>
        <v>-71</v>
      </c>
    </row>
    <row r="376" spans="1:6" x14ac:dyDescent="0.25">
      <c r="A376" s="1">
        <v>44409</v>
      </c>
      <c r="B376" s="4">
        <v>43763</v>
      </c>
      <c r="C376" s="2" t="s">
        <v>6</v>
      </c>
      <c r="D376" s="2">
        <v>7.2</v>
      </c>
      <c r="E376">
        <f t="shared" si="5"/>
        <v>646</v>
      </c>
      <c r="F376" cm="1">
        <f t="array" ref="F376">IF(E376&lt;&gt;0,generateSalesData(B376,D376,E376),0)</f>
        <v>356</v>
      </c>
    </row>
    <row r="377" spans="1:6" x14ac:dyDescent="0.25">
      <c r="A377" s="1">
        <v>44409</v>
      </c>
      <c r="B377" s="5">
        <v>43784</v>
      </c>
      <c r="C377" s="3" t="s">
        <v>7</v>
      </c>
      <c r="D377" s="3">
        <v>6.5</v>
      </c>
      <c r="E377">
        <f t="shared" si="5"/>
        <v>625</v>
      </c>
      <c r="F377" cm="1">
        <f t="array" ref="F377">IF(E377&lt;&gt;0,generateSalesData(B377,D377,E377),0)</f>
        <v>169</v>
      </c>
    </row>
    <row r="378" spans="1:6" x14ac:dyDescent="0.25">
      <c r="A378" s="1">
        <v>44409</v>
      </c>
      <c r="B378" s="4">
        <v>43872</v>
      </c>
      <c r="C378" s="2" t="s">
        <v>8</v>
      </c>
      <c r="D378" s="2">
        <v>9.3000000000000007</v>
      </c>
      <c r="E378">
        <f t="shared" si="5"/>
        <v>537</v>
      </c>
      <c r="F378" cm="1">
        <f t="array" ref="F378">IF(E378&lt;&gt;0,generateSalesData(B378,D378,E378),0)</f>
        <v>417</v>
      </c>
    </row>
    <row r="379" spans="1:6" x14ac:dyDescent="0.25">
      <c r="A379" s="1">
        <v>44409</v>
      </c>
      <c r="B379" s="5">
        <v>43903</v>
      </c>
      <c r="C379" s="3" t="s">
        <v>9</v>
      </c>
      <c r="D379" s="3">
        <v>7.7</v>
      </c>
      <c r="E379">
        <f t="shared" si="5"/>
        <v>506</v>
      </c>
      <c r="F379" cm="1">
        <f t="array" ref="F379">IF(E379&lt;&gt;0,generateSalesData(B379,D379,E379),0)</f>
        <v>427</v>
      </c>
    </row>
    <row r="380" spans="1:6" x14ac:dyDescent="0.25">
      <c r="A380" s="1">
        <v>44409</v>
      </c>
      <c r="B380" s="4">
        <v>43928</v>
      </c>
      <c r="C380" s="2" t="s">
        <v>10</v>
      </c>
      <c r="D380" s="2">
        <v>8.1</v>
      </c>
      <c r="E380">
        <f t="shared" si="5"/>
        <v>481</v>
      </c>
      <c r="F380" cm="1">
        <f t="array" ref="F380">IF(E380&lt;&gt;0,generateSalesData(B380,D380,E380),0)</f>
        <v>268</v>
      </c>
    </row>
    <row r="381" spans="1:6" x14ac:dyDescent="0.25">
      <c r="A381" s="1">
        <v>44409</v>
      </c>
      <c r="B381" s="5">
        <v>44001</v>
      </c>
      <c r="C381" s="3" t="s">
        <v>11</v>
      </c>
      <c r="D381" s="3">
        <v>7.6</v>
      </c>
      <c r="E381">
        <f t="shared" si="5"/>
        <v>408</v>
      </c>
      <c r="F381" cm="1">
        <f t="array" ref="F381">IF(E381&lt;&gt;0,generateSalesData(B381,D381,E381),0)</f>
        <v>601</v>
      </c>
    </row>
    <row r="382" spans="1:6" x14ac:dyDescent="0.25">
      <c r="A382" s="1">
        <v>44409</v>
      </c>
      <c r="B382" s="4">
        <v>44064</v>
      </c>
      <c r="C382" s="2" t="s">
        <v>12</v>
      </c>
      <c r="D382" s="2">
        <v>7.3</v>
      </c>
      <c r="E382">
        <f t="shared" si="5"/>
        <v>345</v>
      </c>
      <c r="F382" cm="1">
        <f t="array" ref="F382">IF(E382&lt;&gt;0,generateSalesData(B382,D382,E382),0)</f>
        <v>610</v>
      </c>
    </row>
    <row r="383" spans="1:6" x14ac:dyDescent="0.25">
      <c r="A383" s="1">
        <v>44409</v>
      </c>
      <c r="B383" s="5">
        <v>44225</v>
      </c>
      <c r="C383" s="3" t="s">
        <v>13</v>
      </c>
      <c r="D383" s="3">
        <v>9.8000000000000007</v>
      </c>
      <c r="E383">
        <f t="shared" si="5"/>
        <v>184</v>
      </c>
      <c r="F383" cm="1">
        <f t="array" ref="F383">IF(E383&lt;&gt;0,generateSalesData(B383,D383,E383),0)</f>
        <v>1524</v>
      </c>
    </row>
    <row r="384" spans="1:6" x14ac:dyDescent="0.25">
      <c r="A384" s="1">
        <v>44409</v>
      </c>
      <c r="B384" s="4">
        <v>44281</v>
      </c>
      <c r="C384" s="2" t="s">
        <v>14</v>
      </c>
      <c r="D384" s="2">
        <v>9.1999999999999993</v>
      </c>
      <c r="E384">
        <f t="shared" si="5"/>
        <v>128</v>
      </c>
      <c r="F384" cm="1">
        <f t="array" ref="F384">IF(E384&lt;&gt;0,generateSalesData(B384,D384,E384),0)</f>
        <v>3075</v>
      </c>
    </row>
    <row r="385" spans="1:6" x14ac:dyDescent="0.25">
      <c r="A385" s="1">
        <v>44440</v>
      </c>
      <c r="B385" s="5">
        <v>44344</v>
      </c>
      <c r="C385" s="3" t="s">
        <v>15</v>
      </c>
      <c r="D385" s="3">
        <v>8.4</v>
      </c>
      <c r="E385">
        <f t="shared" si="5"/>
        <v>96</v>
      </c>
      <c r="F385" cm="1">
        <f t="array" ref="F385">IF(E385&lt;&gt;0,generateSalesData(B385,D385,E385),0)</f>
        <v>2335</v>
      </c>
    </row>
    <row r="386" spans="1:6" x14ac:dyDescent="0.25">
      <c r="A386" s="1">
        <v>44440</v>
      </c>
      <c r="B386" s="4">
        <v>43532</v>
      </c>
      <c r="C386" s="2" t="s">
        <v>4</v>
      </c>
      <c r="D386" s="2">
        <v>8.5</v>
      </c>
      <c r="E386">
        <f t="shared" si="5"/>
        <v>908</v>
      </c>
      <c r="F386" cm="1">
        <f t="array" ref="F386">IF(E386&lt;&gt;0,generateSalesData(B386,D386,E386),0)</f>
        <v>413</v>
      </c>
    </row>
    <row r="387" spans="1:6" x14ac:dyDescent="0.25">
      <c r="A387" s="1">
        <v>44440</v>
      </c>
      <c r="B387" s="5">
        <v>43728</v>
      </c>
      <c r="C387" s="3" t="s">
        <v>5</v>
      </c>
      <c r="D387" s="3">
        <v>7.8</v>
      </c>
      <c r="E387">
        <f t="shared" ref="E387:E432" si="6">IF(A387-B387&lt;0,0,A387-B387)</f>
        <v>712</v>
      </c>
      <c r="F387" cm="1">
        <f t="array" ref="F387">IF(E387&lt;&gt;0,generateSalesData(B387,D387,E387),0)</f>
        <v>379</v>
      </c>
    </row>
    <row r="388" spans="1:6" x14ac:dyDescent="0.25">
      <c r="A388" s="1">
        <v>44440</v>
      </c>
      <c r="B388" s="4">
        <v>43763</v>
      </c>
      <c r="C388" s="2" t="s">
        <v>6</v>
      </c>
      <c r="D388" s="2">
        <v>7.2</v>
      </c>
      <c r="E388">
        <f t="shared" si="6"/>
        <v>677</v>
      </c>
      <c r="F388" cm="1">
        <f t="array" ref="F388">IF(E388&lt;&gt;0,generateSalesData(B388,D388,E388),0)</f>
        <v>410</v>
      </c>
    </row>
    <row r="389" spans="1:6" x14ac:dyDescent="0.25">
      <c r="A389" s="1">
        <v>44440</v>
      </c>
      <c r="B389" s="5">
        <v>43784</v>
      </c>
      <c r="C389" s="3" t="s">
        <v>7</v>
      </c>
      <c r="D389" s="3">
        <v>6.5</v>
      </c>
      <c r="E389">
        <f t="shared" si="6"/>
        <v>656</v>
      </c>
      <c r="F389" cm="1">
        <f t="array" ref="F389">IF(E389&lt;&gt;0,generateSalesData(B389,D389,E389),0)</f>
        <v>586</v>
      </c>
    </row>
    <row r="390" spans="1:6" x14ac:dyDescent="0.25">
      <c r="A390" s="1">
        <v>44440</v>
      </c>
      <c r="B390" s="4">
        <v>43872</v>
      </c>
      <c r="C390" s="2" t="s">
        <v>8</v>
      </c>
      <c r="D390" s="2">
        <v>9.3000000000000007</v>
      </c>
      <c r="E390">
        <f t="shared" si="6"/>
        <v>568</v>
      </c>
      <c r="F390" cm="1">
        <f t="array" ref="F390">IF(E390&lt;&gt;0,generateSalesData(B390,D390,E390),0)</f>
        <v>-19</v>
      </c>
    </row>
    <row r="391" spans="1:6" x14ac:dyDescent="0.25">
      <c r="A391" s="1">
        <v>44440</v>
      </c>
      <c r="B391" s="5">
        <v>43903</v>
      </c>
      <c r="C391" s="3" t="s">
        <v>9</v>
      </c>
      <c r="D391" s="3">
        <v>7.7</v>
      </c>
      <c r="E391">
        <f t="shared" si="6"/>
        <v>537</v>
      </c>
      <c r="F391" cm="1">
        <f t="array" ref="F391">IF(E391&lt;&gt;0,generateSalesData(B391,D391,E391),0)</f>
        <v>474</v>
      </c>
    </row>
    <row r="392" spans="1:6" x14ac:dyDescent="0.25">
      <c r="A392" s="1">
        <v>44440</v>
      </c>
      <c r="B392" s="4">
        <v>43928</v>
      </c>
      <c r="C392" s="2" t="s">
        <v>10</v>
      </c>
      <c r="D392" s="2">
        <v>8.1</v>
      </c>
      <c r="E392">
        <f t="shared" si="6"/>
        <v>512</v>
      </c>
      <c r="F392" cm="1">
        <f t="array" ref="F392">IF(E392&lt;&gt;0,generateSalesData(B392,D392,E392),0)</f>
        <v>671</v>
      </c>
    </row>
    <row r="393" spans="1:6" x14ac:dyDescent="0.25">
      <c r="A393" s="1">
        <v>44440</v>
      </c>
      <c r="B393" s="5">
        <v>44001</v>
      </c>
      <c r="C393" s="3" t="s">
        <v>11</v>
      </c>
      <c r="D393" s="3">
        <v>7.6</v>
      </c>
      <c r="E393">
        <f t="shared" si="6"/>
        <v>439</v>
      </c>
      <c r="F393" cm="1">
        <f t="array" ref="F393">IF(E393&lt;&gt;0,generateSalesData(B393,D393,E393),0)</f>
        <v>1032</v>
      </c>
    </row>
    <row r="394" spans="1:6" x14ac:dyDescent="0.25">
      <c r="A394" s="1">
        <v>44440</v>
      </c>
      <c r="B394" s="4">
        <v>44064</v>
      </c>
      <c r="C394" s="2" t="s">
        <v>12</v>
      </c>
      <c r="D394" s="2">
        <v>7.3</v>
      </c>
      <c r="E394">
        <f t="shared" si="6"/>
        <v>376</v>
      </c>
      <c r="F394" cm="1">
        <f t="array" ref="F394">IF(E394&lt;&gt;0,generateSalesData(B394,D394,E394),0)</f>
        <v>337</v>
      </c>
    </row>
    <row r="395" spans="1:6" x14ac:dyDescent="0.25">
      <c r="A395" s="1">
        <v>44440</v>
      </c>
      <c r="B395" s="5">
        <v>44225</v>
      </c>
      <c r="C395" s="3" t="s">
        <v>13</v>
      </c>
      <c r="D395" s="3">
        <v>9.8000000000000007</v>
      </c>
      <c r="E395">
        <f t="shared" si="6"/>
        <v>215</v>
      </c>
      <c r="F395" cm="1">
        <f t="array" ref="F395">IF(E395&lt;&gt;0,generateSalesData(B395,D395,E395),0)</f>
        <v>1815</v>
      </c>
    </row>
    <row r="396" spans="1:6" x14ac:dyDescent="0.25">
      <c r="A396" s="1">
        <v>44440</v>
      </c>
      <c r="B396" s="4">
        <v>44281</v>
      </c>
      <c r="C396" s="2" t="s">
        <v>14</v>
      </c>
      <c r="D396" s="2">
        <v>9.1999999999999993</v>
      </c>
      <c r="E396">
        <f t="shared" si="6"/>
        <v>159</v>
      </c>
      <c r="F396" cm="1">
        <f t="array" ref="F396">IF(E396&lt;&gt;0,generateSalesData(B396,D396,E396),0)</f>
        <v>2823</v>
      </c>
    </row>
    <row r="397" spans="1:6" x14ac:dyDescent="0.25">
      <c r="A397" s="1">
        <v>44470</v>
      </c>
      <c r="B397" s="5">
        <v>44344</v>
      </c>
      <c r="C397" s="3" t="s">
        <v>15</v>
      </c>
      <c r="D397" s="3">
        <v>8.4</v>
      </c>
      <c r="E397">
        <f t="shared" si="6"/>
        <v>126</v>
      </c>
      <c r="F397" cm="1">
        <f t="array" ref="F397">IF(E397&lt;&gt;0,generateSalesData(B397,D397,E397),0)</f>
        <v>1169</v>
      </c>
    </row>
    <row r="398" spans="1:6" x14ac:dyDescent="0.25">
      <c r="A398" s="1">
        <v>44470</v>
      </c>
      <c r="B398" s="4">
        <v>43532</v>
      </c>
      <c r="C398" s="2" t="s">
        <v>4</v>
      </c>
      <c r="D398" s="2">
        <v>8.5</v>
      </c>
      <c r="E398">
        <f t="shared" si="6"/>
        <v>938</v>
      </c>
      <c r="F398" cm="1">
        <f t="array" ref="F398">IF(E398&lt;&gt;0,generateSalesData(B398,D398,E398),0)</f>
        <v>230</v>
      </c>
    </row>
    <row r="399" spans="1:6" x14ac:dyDescent="0.25">
      <c r="A399" s="1">
        <v>44470</v>
      </c>
      <c r="B399" s="5">
        <v>43728</v>
      </c>
      <c r="C399" s="3" t="s">
        <v>5</v>
      </c>
      <c r="D399" s="3">
        <v>7.8</v>
      </c>
      <c r="E399">
        <f t="shared" si="6"/>
        <v>742</v>
      </c>
      <c r="F399" cm="1">
        <f t="array" ref="F399">IF(E399&lt;&gt;0,generateSalesData(B399,D399,E399),0)</f>
        <v>332</v>
      </c>
    </row>
    <row r="400" spans="1:6" x14ac:dyDescent="0.25">
      <c r="A400" s="1">
        <v>44470</v>
      </c>
      <c r="B400" s="4">
        <v>43763</v>
      </c>
      <c r="C400" s="2" t="s">
        <v>6</v>
      </c>
      <c r="D400" s="2">
        <v>7.2</v>
      </c>
      <c r="E400">
        <f t="shared" si="6"/>
        <v>707</v>
      </c>
      <c r="F400" cm="1">
        <f t="array" ref="F400">IF(E400&lt;&gt;0,generateSalesData(B400,D400,E400),0)</f>
        <v>447</v>
      </c>
    </row>
    <row r="401" spans="1:6" x14ac:dyDescent="0.25">
      <c r="A401" s="1">
        <v>44470</v>
      </c>
      <c r="B401" s="5">
        <v>43784</v>
      </c>
      <c r="C401" s="3" t="s">
        <v>7</v>
      </c>
      <c r="D401" s="3">
        <v>6.5</v>
      </c>
      <c r="E401">
        <f t="shared" si="6"/>
        <v>686</v>
      </c>
      <c r="F401" cm="1">
        <f t="array" ref="F401">IF(E401&lt;&gt;0,generateSalesData(B401,D401,E401),0)</f>
        <v>654</v>
      </c>
    </row>
    <row r="402" spans="1:6" x14ac:dyDescent="0.25">
      <c r="A402" s="1">
        <v>44470</v>
      </c>
      <c r="B402" s="4">
        <v>43872</v>
      </c>
      <c r="C402" s="2" t="s">
        <v>8</v>
      </c>
      <c r="D402" s="2">
        <v>9.3000000000000007</v>
      </c>
      <c r="E402">
        <f t="shared" si="6"/>
        <v>598</v>
      </c>
      <c r="F402" cm="1">
        <f t="array" ref="F402">IF(E402&lt;&gt;0,generateSalesData(B402,D402,E402),0)</f>
        <v>498</v>
      </c>
    </row>
    <row r="403" spans="1:6" x14ac:dyDescent="0.25">
      <c r="A403" s="1">
        <v>44470</v>
      </c>
      <c r="B403" s="5">
        <v>43903</v>
      </c>
      <c r="C403" s="3" t="s">
        <v>9</v>
      </c>
      <c r="D403" s="3">
        <v>7.7</v>
      </c>
      <c r="E403">
        <f t="shared" si="6"/>
        <v>567</v>
      </c>
      <c r="F403" cm="1">
        <f t="array" ref="F403">IF(E403&lt;&gt;0,generateSalesData(B403,D403,E403),0)</f>
        <v>350</v>
      </c>
    </row>
    <row r="404" spans="1:6" x14ac:dyDescent="0.25">
      <c r="A404" s="1">
        <v>44470</v>
      </c>
      <c r="B404" s="4">
        <v>43928</v>
      </c>
      <c r="C404" s="2" t="s">
        <v>10</v>
      </c>
      <c r="D404" s="2">
        <v>8.1</v>
      </c>
      <c r="E404">
        <f t="shared" si="6"/>
        <v>542</v>
      </c>
      <c r="F404" cm="1">
        <f t="array" ref="F404">IF(E404&lt;&gt;0,generateSalesData(B404,D404,E404),0)</f>
        <v>463</v>
      </c>
    </row>
    <row r="405" spans="1:6" x14ac:dyDescent="0.25">
      <c r="A405" s="1">
        <v>44470</v>
      </c>
      <c r="B405" s="5">
        <v>44001</v>
      </c>
      <c r="C405" s="3" t="s">
        <v>11</v>
      </c>
      <c r="D405" s="3">
        <v>7.6</v>
      </c>
      <c r="E405">
        <f t="shared" si="6"/>
        <v>469</v>
      </c>
      <c r="F405" cm="1">
        <f t="array" ref="F405">IF(E405&lt;&gt;0,generateSalesData(B405,D405,E405),0)</f>
        <v>539</v>
      </c>
    </row>
    <row r="406" spans="1:6" x14ac:dyDescent="0.25">
      <c r="A406" s="1">
        <v>44470</v>
      </c>
      <c r="B406" s="4">
        <v>44064</v>
      </c>
      <c r="C406" s="2" t="s">
        <v>12</v>
      </c>
      <c r="D406" s="2">
        <v>7.3</v>
      </c>
      <c r="E406">
        <f t="shared" si="6"/>
        <v>406</v>
      </c>
      <c r="F406" cm="1">
        <f t="array" ref="F406">IF(E406&lt;&gt;0,generateSalesData(B406,D406,E406),0)</f>
        <v>1118</v>
      </c>
    </row>
    <row r="407" spans="1:6" x14ac:dyDescent="0.25">
      <c r="A407" s="1">
        <v>44470</v>
      </c>
      <c r="B407" s="5">
        <v>44225</v>
      </c>
      <c r="C407" s="3" t="s">
        <v>13</v>
      </c>
      <c r="D407" s="3">
        <v>9.8000000000000007</v>
      </c>
      <c r="E407">
        <f t="shared" si="6"/>
        <v>245</v>
      </c>
      <c r="F407" cm="1">
        <f t="array" ref="F407">IF(E407&lt;&gt;0,generateSalesData(B407,D407,E407),0)</f>
        <v>-29</v>
      </c>
    </row>
    <row r="408" spans="1:6" x14ac:dyDescent="0.25">
      <c r="A408" s="1">
        <v>44470</v>
      </c>
      <c r="B408" s="4">
        <v>44281</v>
      </c>
      <c r="C408" s="2" t="s">
        <v>14</v>
      </c>
      <c r="D408" s="2">
        <v>9.1999999999999993</v>
      </c>
      <c r="E408">
        <f t="shared" si="6"/>
        <v>189</v>
      </c>
      <c r="F408" cm="1">
        <f t="array" ref="F408">IF(E408&lt;&gt;0,generateSalesData(B408,D408,E408),0)</f>
        <v>1397</v>
      </c>
    </row>
    <row r="409" spans="1:6" x14ac:dyDescent="0.25">
      <c r="A409" s="1">
        <v>44501</v>
      </c>
      <c r="B409" s="5">
        <v>44344</v>
      </c>
      <c r="C409" s="3" t="s">
        <v>15</v>
      </c>
      <c r="D409" s="3">
        <v>8.4</v>
      </c>
      <c r="E409">
        <f t="shared" si="6"/>
        <v>157</v>
      </c>
      <c r="F409" cm="1">
        <f t="array" ref="F409">IF(E409&lt;&gt;0,generateSalesData(B409,D409,E409),0)</f>
        <v>796</v>
      </c>
    </row>
    <row r="410" spans="1:6" x14ac:dyDescent="0.25">
      <c r="A410" s="1">
        <v>44501</v>
      </c>
      <c r="B410" s="4">
        <v>43532</v>
      </c>
      <c r="C410" s="2" t="s">
        <v>4</v>
      </c>
      <c r="D410" s="2">
        <v>8.5</v>
      </c>
      <c r="E410">
        <f t="shared" si="6"/>
        <v>969</v>
      </c>
      <c r="F410" cm="1">
        <f t="array" ref="F410">IF(E410&lt;&gt;0,generateSalesData(B410,D410,E410),0)</f>
        <v>192</v>
      </c>
    </row>
    <row r="411" spans="1:6" x14ac:dyDescent="0.25">
      <c r="A411" s="1">
        <v>44501</v>
      </c>
      <c r="B411" s="5">
        <v>43728</v>
      </c>
      <c r="C411" s="3" t="s">
        <v>5</v>
      </c>
      <c r="D411" s="3">
        <v>7.8</v>
      </c>
      <c r="E411">
        <f t="shared" si="6"/>
        <v>773</v>
      </c>
      <c r="F411" cm="1">
        <f t="array" ref="F411">IF(E411&lt;&gt;0,generateSalesData(B411,D411,E411),0)</f>
        <v>342</v>
      </c>
    </row>
    <row r="412" spans="1:6" x14ac:dyDescent="0.25">
      <c r="A412" s="1">
        <v>44501</v>
      </c>
      <c r="B412" s="4">
        <v>43763</v>
      </c>
      <c r="C412" s="2" t="s">
        <v>6</v>
      </c>
      <c r="D412" s="2">
        <v>7.2</v>
      </c>
      <c r="E412">
        <f t="shared" si="6"/>
        <v>738</v>
      </c>
      <c r="F412" cm="1">
        <f t="array" ref="F412">IF(E412&lt;&gt;0,generateSalesData(B412,D412,E412),0)</f>
        <v>184</v>
      </c>
    </row>
    <row r="413" spans="1:6" x14ac:dyDescent="0.25">
      <c r="A413" s="1">
        <v>44501</v>
      </c>
      <c r="B413" s="5">
        <v>43784</v>
      </c>
      <c r="C413" s="3" t="s">
        <v>7</v>
      </c>
      <c r="D413" s="3">
        <v>6.5</v>
      </c>
      <c r="E413">
        <f t="shared" si="6"/>
        <v>717</v>
      </c>
      <c r="F413" cm="1">
        <f t="array" ref="F413">IF(E413&lt;&gt;0,generateSalesData(B413,D413,E413),0)</f>
        <v>415</v>
      </c>
    </row>
    <row r="414" spans="1:6" x14ac:dyDescent="0.25">
      <c r="A414" s="1">
        <v>44501</v>
      </c>
      <c r="B414" s="4">
        <v>43872</v>
      </c>
      <c r="C414" s="2" t="s">
        <v>8</v>
      </c>
      <c r="D414" s="2">
        <v>9.3000000000000007</v>
      </c>
      <c r="E414">
        <f t="shared" si="6"/>
        <v>629</v>
      </c>
      <c r="F414" cm="1">
        <f t="array" ref="F414">IF(E414&lt;&gt;0,generateSalesData(B414,D414,E414),0)</f>
        <v>773</v>
      </c>
    </row>
    <row r="415" spans="1:6" x14ac:dyDescent="0.25">
      <c r="A415" s="1">
        <v>44501</v>
      </c>
      <c r="B415" s="5">
        <v>43903</v>
      </c>
      <c r="C415" s="3" t="s">
        <v>9</v>
      </c>
      <c r="D415" s="3">
        <v>7.7</v>
      </c>
      <c r="E415">
        <f t="shared" si="6"/>
        <v>598</v>
      </c>
      <c r="F415" cm="1">
        <f t="array" ref="F415">IF(E415&lt;&gt;0,generateSalesData(B415,D415,E415),0)</f>
        <v>485</v>
      </c>
    </row>
    <row r="416" spans="1:6" x14ac:dyDescent="0.25">
      <c r="A416" s="1">
        <v>44501</v>
      </c>
      <c r="B416" s="4">
        <v>43928</v>
      </c>
      <c r="C416" s="2" t="s">
        <v>10</v>
      </c>
      <c r="D416" s="2">
        <v>8.1</v>
      </c>
      <c r="E416">
        <f t="shared" si="6"/>
        <v>573</v>
      </c>
      <c r="F416" cm="1">
        <f t="array" ref="F416">IF(E416&lt;&gt;0,generateSalesData(B416,D416,E416),0)</f>
        <v>414</v>
      </c>
    </row>
    <row r="417" spans="1:6" x14ac:dyDescent="0.25">
      <c r="A417" s="1">
        <v>44501</v>
      </c>
      <c r="B417" s="5">
        <v>44001</v>
      </c>
      <c r="C417" s="3" t="s">
        <v>11</v>
      </c>
      <c r="D417" s="3">
        <v>7.6</v>
      </c>
      <c r="E417">
        <f t="shared" si="6"/>
        <v>500</v>
      </c>
      <c r="F417" cm="1">
        <f t="array" ref="F417">IF(E417&lt;&gt;0,generateSalesData(B417,D417,E417),0)</f>
        <v>477</v>
      </c>
    </row>
    <row r="418" spans="1:6" x14ac:dyDescent="0.25">
      <c r="A418" s="1">
        <v>44501</v>
      </c>
      <c r="B418" s="4">
        <v>44064</v>
      </c>
      <c r="C418" s="2" t="s">
        <v>12</v>
      </c>
      <c r="D418" s="2">
        <v>7.3</v>
      </c>
      <c r="E418">
        <f t="shared" si="6"/>
        <v>437</v>
      </c>
      <c r="F418" cm="1">
        <f t="array" ref="F418">IF(E418&lt;&gt;0,generateSalesData(B418,D418,E418),0)</f>
        <v>555</v>
      </c>
    </row>
    <row r="419" spans="1:6" x14ac:dyDescent="0.25">
      <c r="A419" s="1">
        <v>44501</v>
      </c>
      <c r="B419" s="5">
        <v>44225</v>
      </c>
      <c r="C419" s="3" t="s">
        <v>13</v>
      </c>
      <c r="D419" s="3">
        <v>9.8000000000000007</v>
      </c>
      <c r="E419">
        <f t="shared" si="6"/>
        <v>276</v>
      </c>
      <c r="F419" cm="1">
        <f t="array" ref="F419">IF(E419&lt;&gt;0,generateSalesData(B419,D419,E419),0)</f>
        <v>1964</v>
      </c>
    </row>
    <row r="420" spans="1:6" x14ac:dyDescent="0.25">
      <c r="A420" s="1">
        <v>44501</v>
      </c>
      <c r="B420" s="4">
        <v>44281</v>
      </c>
      <c r="C420" s="2" t="s">
        <v>14</v>
      </c>
      <c r="D420" s="2">
        <v>9.1999999999999993</v>
      </c>
      <c r="E420">
        <f t="shared" si="6"/>
        <v>220</v>
      </c>
      <c r="F420" cm="1">
        <f t="array" ref="F420">IF(E420&lt;&gt;0,generateSalesData(B420,D420,E420),0)</f>
        <v>343</v>
      </c>
    </row>
    <row r="421" spans="1:6" x14ac:dyDescent="0.25">
      <c r="A421" s="1">
        <v>44531</v>
      </c>
      <c r="B421" s="5">
        <v>44344</v>
      </c>
      <c r="C421" s="3" t="s">
        <v>15</v>
      </c>
      <c r="D421" s="3">
        <v>8.4</v>
      </c>
      <c r="E421">
        <f t="shared" si="6"/>
        <v>187</v>
      </c>
      <c r="F421" cm="1">
        <f t="array" ref="F421">IF(E421&lt;&gt;0,generateSalesData(B421,D421,E421),0)</f>
        <v>1183</v>
      </c>
    </row>
    <row r="422" spans="1:6" x14ac:dyDescent="0.25">
      <c r="A422" s="1">
        <v>44531</v>
      </c>
      <c r="B422" s="4">
        <v>43532</v>
      </c>
      <c r="C422" s="2" t="s">
        <v>4</v>
      </c>
      <c r="D422" s="2">
        <v>8.5</v>
      </c>
      <c r="E422">
        <f t="shared" si="6"/>
        <v>999</v>
      </c>
      <c r="F422" cm="1">
        <f t="array" ref="F422">IF(E422&lt;&gt;0,generateSalesData(B422,D422,E422),0)</f>
        <v>255</v>
      </c>
    </row>
    <row r="423" spans="1:6" x14ac:dyDescent="0.25">
      <c r="A423" s="1">
        <v>44531</v>
      </c>
      <c r="B423" s="5">
        <v>43728</v>
      </c>
      <c r="C423" s="3" t="s">
        <v>5</v>
      </c>
      <c r="D423" s="3">
        <v>7.8</v>
      </c>
      <c r="E423">
        <f t="shared" si="6"/>
        <v>803</v>
      </c>
      <c r="F423" cm="1">
        <f t="array" ref="F423">IF(E423&lt;&gt;0,generateSalesData(B423,D423,E423),0)</f>
        <v>385</v>
      </c>
    </row>
    <row r="424" spans="1:6" x14ac:dyDescent="0.25">
      <c r="A424" s="1">
        <v>44531</v>
      </c>
      <c r="B424" s="4">
        <v>43763</v>
      </c>
      <c r="C424" s="2" t="s">
        <v>6</v>
      </c>
      <c r="D424" s="2">
        <v>7.2</v>
      </c>
      <c r="E424">
        <f t="shared" si="6"/>
        <v>768</v>
      </c>
      <c r="F424" cm="1">
        <f t="array" ref="F424">IF(E424&lt;&gt;0,generateSalesData(B424,D424,E424),0)</f>
        <v>133</v>
      </c>
    </row>
    <row r="425" spans="1:6" x14ac:dyDescent="0.25">
      <c r="A425" s="1">
        <v>44531</v>
      </c>
      <c r="B425" s="5">
        <v>43784</v>
      </c>
      <c r="C425" s="3" t="s">
        <v>7</v>
      </c>
      <c r="D425" s="3">
        <v>6.5</v>
      </c>
      <c r="E425">
        <f t="shared" si="6"/>
        <v>747</v>
      </c>
      <c r="F425" cm="1">
        <f t="array" ref="F425">IF(E425&lt;&gt;0,generateSalesData(B425,D425,E425),0)</f>
        <v>501</v>
      </c>
    </row>
    <row r="426" spans="1:6" x14ac:dyDescent="0.25">
      <c r="A426" s="1">
        <v>44531</v>
      </c>
      <c r="B426" s="4">
        <v>43872</v>
      </c>
      <c r="C426" s="2" t="s">
        <v>8</v>
      </c>
      <c r="D426" s="2">
        <v>9.3000000000000007</v>
      </c>
      <c r="E426">
        <f t="shared" si="6"/>
        <v>659</v>
      </c>
      <c r="F426" cm="1">
        <f t="array" ref="F426">IF(E426&lt;&gt;0,generateSalesData(B426,D426,E426),0)</f>
        <v>362</v>
      </c>
    </row>
    <row r="427" spans="1:6" x14ac:dyDescent="0.25">
      <c r="A427" s="1">
        <v>44531</v>
      </c>
      <c r="B427" s="5">
        <v>43903</v>
      </c>
      <c r="C427" s="3" t="s">
        <v>9</v>
      </c>
      <c r="D427" s="3">
        <v>7.7</v>
      </c>
      <c r="E427">
        <f t="shared" si="6"/>
        <v>628</v>
      </c>
      <c r="F427" cm="1">
        <f t="array" ref="F427">IF(E427&lt;&gt;0,generateSalesData(B427,D427,E427),0)</f>
        <v>420</v>
      </c>
    </row>
    <row r="428" spans="1:6" x14ac:dyDescent="0.25">
      <c r="A428" s="1">
        <v>44531</v>
      </c>
      <c r="B428" s="4">
        <v>43928</v>
      </c>
      <c r="C428" s="2" t="s">
        <v>10</v>
      </c>
      <c r="D428" s="2">
        <v>8.1</v>
      </c>
      <c r="E428">
        <f t="shared" si="6"/>
        <v>603</v>
      </c>
      <c r="F428" cm="1">
        <f t="array" ref="F428">IF(E428&lt;&gt;0,generateSalesData(B428,D428,E428),0)</f>
        <v>357</v>
      </c>
    </row>
    <row r="429" spans="1:6" x14ac:dyDescent="0.25">
      <c r="A429" s="1">
        <v>44531</v>
      </c>
      <c r="B429" s="5">
        <v>44001</v>
      </c>
      <c r="C429" s="3" t="s">
        <v>11</v>
      </c>
      <c r="D429" s="3">
        <v>7.6</v>
      </c>
      <c r="E429">
        <f t="shared" si="6"/>
        <v>530</v>
      </c>
      <c r="F429" cm="1">
        <f t="array" ref="F429">IF(E429&lt;&gt;0,generateSalesData(B429,D429,E429),0)</f>
        <v>556</v>
      </c>
    </row>
    <row r="430" spans="1:6" x14ac:dyDescent="0.25">
      <c r="A430" s="1">
        <v>44531</v>
      </c>
      <c r="B430" s="4">
        <v>44064</v>
      </c>
      <c r="C430" s="2" t="s">
        <v>12</v>
      </c>
      <c r="D430" s="2">
        <v>7.3</v>
      </c>
      <c r="E430">
        <f t="shared" si="6"/>
        <v>467</v>
      </c>
      <c r="F430" cm="1">
        <f t="array" ref="F430">IF(E430&lt;&gt;0,generateSalesData(B430,D430,E430),0)</f>
        <v>580</v>
      </c>
    </row>
    <row r="431" spans="1:6" x14ac:dyDescent="0.25">
      <c r="A431" s="1">
        <v>44531</v>
      </c>
      <c r="B431" s="5">
        <v>44225</v>
      </c>
      <c r="C431" s="3" t="s">
        <v>13</v>
      </c>
      <c r="D431" s="3">
        <v>9.8000000000000007</v>
      </c>
      <c r="E431">
        <f t="shared" si="6"/>
        <v>306</v>
      </c>
      <c r="F431" cm="1">
        <f t="array" ref="F431">IF(E431&lt;&gt;0,generateSalesData(B431,D431,E431),0)</f>
        <v>1366</v>
      </c>
    </row>
    <row r="432" spans="1:6" x14ac:dyDescent="0.25">
      <c r="A432" s="1">
        <v>44531</v>
      </c>
      <c r="B432" s="4">
        <v>44281</v>
      </c>
      <c r="C432" s="2" t="s">
        <v>14</v>
      </c>
      <c r="D432" s="2">
        <v>9.1999999999999993</v>
      </c>
      <c r="E432">
        <f t="shared" si="6"/>
        <v>250</v>
      </c>
      <c r="F432" cm="1">
        <f t="array" ref="F432">IF(E432&lt;&gt;0,generateSalesData(B432,D432,E432),0)</f>
        <v>1436</v>
      </c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69F5-6AFB-4904-996A-3F9510F56CCF}">
  <sheetPr codeName="Sheet4"/>
  <dimension ref="B2:E41"/>
  <sheetViews>
    <sheetView workbookViewId="0">
      <selection activeCell="B25" sqref="B25:C41"/>
    </sheetView>
  </sheetViews>
  <sheetFormatPr defaultRowHeight="15" x14ac:dyDescent="0.25"/>
  <cols>
    <col min="3" max="3" width="20.42578125" customWidth="1"/>
  </cols>
  <sheetData>
    <row r="2" spans="2:5" x14ac:dyDescent="0.25">
      <c r="B2">
        <v>1</v>
      </c>
      <c r="C2" t="s">
        <v>30</v>
      </c>
      <c r="E2" t="s">
        <v>20</v>
      </c>
    </row>
    <row r="3" spans="2:5" x14ac:dyDescent="0.25">
      <c r="B3">
        <v>2</v>
      </c>
      <c r="C3" t="s">
        <v>31</v>
      </c>
    </row>
    <row r="4" spans="2:5" x14ac:dyDescent="0.25">
      <c r="B4">
        <v>3</v>
      </c>
      <c r="C4" t="s">
        <v>32</v>
      </c>
      <c r="E4" t="s">
        <v>21</v>
      </c>
    </row>
    <row r="5" spans="2:5" x14ac:dyDescent="0.25">
      <c r="B5">
        <v>4</v>
      </c>
      <c r="C5" t="s">
        <v>33</v>
      </c>
    </row>
    <row r="6" spans="2:5" x14ac:dyDescent="0.25">
      <c r="B6">
        <v>5</v>
      </c>
      <c r="C6" t="s">
        <v>34</v>
      </c>
      <c r="E6" t="s">
        <v>22</v>
      </c>
    </row>
    <row r="7" spans="2:5" x14ac:dyDescent="0.25">
      <c r="B7">
        <v>6</v>
      </c>
      <c r="C7" t="s">
        <v>35</v>
      </c>
    </row>
    <row r="8" spans="2:5" x14ac:dyDescent="0.25">
      <c r="B8">
        <v>7</v>
      </c>
      <c r="C8" t="s">
        <v>36</v>
      </c>
      <c r="E8" t="s">
        <v>23</v>
      </c>
    </row>
    <row r="9" spans="2:5" x14ac:dyDescent="0.25">
      <c r="B9">
        <v>8</v>
      </c>
      <c r="C9" t="s">
        <v>37</v>
      </c>
    </row>
    <row r="10" spans="2:5" x14ac:dyDescent="0.25">
      <c r="B10">
        <v>9</v>
      </c>
      <c r="C10" t="s">
        <v>38</v>
      </c>
      <c r="E10" t="s">
        <v>24</v>
      </c>
    </row>
    <row r="11" spans="2:5" x14ac:dyDescent="0.25">
      <c r="B11">
        <v>10</v>
      </c>
      <c r="C11" t="s">
        <v>39</v>
      </c>
    </row>
    <row r="12" spans="2:5" x14ac:dyDescent="0.25">
      <c r="B12">
        <v>11</v>
      </c>
      <c r="C12" t="s">
        <v>40</v>
      </c>
      <c r="E12" t="s">
        <v>25</v>
      </c>
    </row>
    <row r="14" spans="2:5" x14ac:dyDescent="0.25">
      <c r="E14" t="s">
        <v>26</v>
      </c>
    </row>
    <row r="16" spans="2:5" x14ac:dyDescent="0.25">
      <c r="E16" t="s">
        <v>27</v>
      </c>
    </row>
    <row r="18" spans="2:5" x14ac:dyDescent="0.25">
      <c r="E18" t="s">
        <v>28</v>
      </c>
    </row>
    <row r="20" spans="2:5" x14ac:dyDescent="0.25">
      <c r="E20" t="s">
        <v>29</v>
      </c>
    </row>
    <row r="25" spans="2:5" x14ac:dyDescent="0.25">
      <c r="B25" t="s">
        <v>19</v>
      </c>
    </row>
    <row r="27" spans="2:5" x14ac:dyDescent="0.25">
      <c r="B27">
        <v>1</v>
      </c>
      <c r="C27" t="s">
        <v>41</v>
      </c>
    </row>
    <row r="28" spans="2:5" x14ac:dyDescent="0.25">
      <c r="B28">
        <v>2</v>
      </c>
      <c r="C28" t="s">
        <v>42</v>
      </c>
    </row>
    <row r="29" spans="2:5" x14ac:dyDescent="0.25">
      <c r="B29">
        <v>3</v>
      </c>
      <c r="C29" t="s">
        <v>43</v>
      </c>
    </row>
    <row r="30" spans="2:5" x14ac:dyDescent="0.25">
      <c r="B30">
        <v>4</v>
      </c>
      <c r="C30" t="s">
        <v>44</v>
      </c>
    </row>
    <row r="31" spans="2:5" x14ac:dyDescent="0.25">
      <c r="B31">
        <v>5</v>
      </c>
      <c r="C31" t="str">
        <f>"Popularity Sentiment for  "&amp;C2</f>
        <v>Popularity Sentiment for   Brunei</v>
      </c>
    </row>
    <row r="32" spans="2:5" x14ac:dyDescent="0.25">
      <c r="B32">
        <v>6</v>
      </c>
      <c r="C32" t="str">
        <f t="shared" ref="C32:C41" si="0">"Popularity Sentiment for  "&amp;C3</f>
        <v>Popularity Sentiment for   Cambodia</v>
      </c>
    </row>
    <row r="33" spans="2:3" x14ac:dyDescent="0.25">
      <c r="B33">
        <v>7</v>
      </c>
      <c r="C33" t="str">
        <f t="shared" si="0"/>
        <v>Popularity Sentiment for   East Timor</v>
      </c>
    </row>
    <row r="34" spans="2:3" x14ac:dyDescent="0.25">
      <c r="B34">
        <v>8</v>
      </c>
      <c r="C34" t="str">
        <f t="shared" si="0"/>
        <v>Popularity Sentiment for   Indonesia</v>
      </c>
    </row>
    <row r="35" spans="2:3" x14ac:dyDescent="0.25">
      <c r="B35">
        <v>9</v>
      </c>
      <c r="C35" t="str">
        <f t="shared" si="0"/>
        <v>Popularity Sentiment for   Laos</v>
      </c>
    </row>
    <row r="36" spans="2:3" x14ac:dyDescent="0.25">
      <c r="B36">
        <v>10</v>
      </c>
      <c r="C36" t="str">
        <f t="shared" si="0"/>
        <v>Popularity Sentiment for   Malaysia</v>
      </c>
    </row>
    <row r="37" spans="2:3" x14ac:dyDescent="0.25">
      <c r="B37">
        <v>11</v>
      </c>
      <c r="C37" t="str">
        <f t="shared" si="0"/>
        <v>Popularity Sentiment for   Myanmar</v>
      </c>
    </row>
    <row r="38" spans="2:3" x14ac:dyDescent="0.25">
      <c r="B38">
        <v>12</v>
      </c>
      <c r="C38" t="str">
        <f t="shared" si="0"/>
        <v>Popularity Sentiment for   Philippines</v>
      </c>
    </row>
    <row r="39" spans="2:3" x14ac:dyDescent="0.25">
      <c r="B39">
        <v>13</v>
      </c>
      <c r="C39" t="str">
        <f t="shared" si="0"/>
        <v>Popularity Sentiment for   Singapore</v>
      </c>
    </row>
    <row r="40" spans="2:3" x14ac:dyDescent="0.25">
      <c r="B40">
        <v>14</v>
      </c>
      <c r="C40" t="str">
        <f>"Popularity Sentiment for  "&amp;C11</f>
        <v>Popularity Sentiment for   Thailand</v>
      </c>
    </row>
    <row r="41" spans="2:3" x14ac:dyDescent="0.25">
      <c r="B41">
        <v>15</v>
      </c>
      <c r="C41" t="str">
        <f t="shared" si="0"/>
        <v>Popularity Sentiment for   Vietnam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6118E-D1F2-4286-A285-FAB44C44A4A1}">
  <sheetPr codeName="Sheet5"/>
  <dimension ref="A1:O37"/>
  <sheetViews>
    <sheetView topLeftCell="A3" workbookViewId="0">
      <selection activeCell="E2" sqref="E2:O37"/>
    </sheetView>
  </sheetViews>
  <sheetFormatPr defaultRowHeight="15" x14ac:dyDescent="0.25"/>
  <cols>
    <col min="1" max="1" width="20.42578125" customWidth="1"/>
    <col min="2" max="2" width="28.42578125" customWidth="1"/>
    <col min="3" max="3" width="20.140625" customWidth="1"/>
    <col min="4" max="4" width="30.85546875" customWidth="1"/>
    <col min="5" max="15" width="13.42578125" customWidth="1"/>
  </cols>
  <sheetData>
    <row r="1" spans="1:15" x14ac:dyDescent="0.25">
      <c r="A1" t="s">
        <v>45</v>
      </c>
      <c r="B1" t="s">
        <v>46</v>
      </c>
      <c r="C1" t="s">
        <v>47</v>
      </c>
      <c r="D1" t="s">
        <v>48</v>
      </c>
      <c r="E1" t="s">
        <v>131</v>
      </c>
      <c r="F1" t="s">
        <v>132</v>
      </c>
      <c r="G1" t="s">
        <v>133</v>
      </c>
      <c r="H1" t="s">
        <v>134</v>
      </c>
      <c r="I1" t="s">
        <v>135</v>
      </c>
      <c r="J1" t="s">
        <v>136</v>
      </c>
      <c r="K1" t="s">
        <v>137</v>
      </c>
      <c r="L1" t="s">
        <v>138</v>
      </c>
      <c r="M1" t="s">
        <v>139</v>
      </c>
      <c r="N1" t="s">
        <v>140</v>
      </c>
      <c r="O1" t="s">
        <v>141</v>
      </c>
    </row>
    <row r="2" spans="1:15" x14ac:dyDescent="0.25">
      <c r="A2" t="s">
        <v>49</v>
      </c>
      <c r="B2" t="s">
        <v>50</v>
      </c>
      <c r="C2" t="s">
        <v>51</v>
      </c>
      <c r="D2" t="s">
        <v>106</v>
      </c>
      <c r="E2">
        <v>7</v>
      </c>
      <c r="F2">
        <v>7</v>
      </c>
      <c r="G2">
        <v>2</v>
      </c>
      <c r="H2">
        <v>8</v>
      </c>
      <c r="I2">
        <v>8</v>
      </c>
      <c r="J2">
        <v>8</v>
      </c>
      <c r="K2">
        <v>2</v>
      </c>
      <c r="L2">
        <v>8</v>
      </c>
      <c r="M2">
        <v>8</v>
      </c>
      <c r="N2">
        <v>8</v>
      </c>
      <c r="O2">
        <v>8</v>
      </c>
    </row>
    <row r="3" spans="1:15" x14ac:dyDescent="0.25">
      <c r="A3" t="s">
        <v>52</v>
      </c>
      <c r="B3" t="s">
        <v>53</v>
      </c>
      <c r="C3" t="s">
        <v>54</v>
      </c>
      <c r="D3" t="s">
        <v>107</v>
      </c>
      <c r="E3">
        <v>7</v>
      </c>
      <c r="F3">
        <v>7</v>
      </c>
      <c r="G3">
        <v>2</v>
      </c>
      <c r="H3">
        <v>8</v>
      </c>
      <c r="I3">
        <v>8</v>
      </c>
      <c r="J3">
        <v>8</v>
      </c>
      <c r="K3">
        <v>2</v>
      </c>
      <c r="L3">
        <v>8</v>
      </c>
      <c r="M3">
        <v>8</v>
      </c>
      <c r="N3">
        <v>8</v>
      </c>
      <c r="O3">
        <v>8</v>
      </c>
    </row>
    <row r="4" spans="1:15" x14ac:dyDescent="0.25">
      <c r="A4" t="s">
        <v>55</v>
      </c>
      <c r="B4" t="s">
        <v>56</v>
      </c>
      <c r="C4" t="s">
        <v>57</v>
      </c>
      <c r="D4" t="s">
        <v>108</v>
      </c>
      <c r="E4">
        <v>7</v>
      </c>
      <c r="F4">
        <v>2</v>
      </c>
      <c r="G4">
        <v>2</v>
      </c>
      <c r="H4">
        <v>7</v>
      </c>
      <c r="I4">
        <v>7</v>
      </c>
      <c r="J4">
        <v>7</v>
      </c>
      <c r="K4">
        <v>7</v>
      </c>
      <c r="L4">
        <v>7</v>
      </c>
      <c r="M4">
        <v>2</v>
      </c>
      <c r="N4">
        <v>7</v>
      </c>
      <c r="O4">
        <v>7</v>
      </c>
    </row>
    <row r="5" spans="1:15" x14ac:dyDescent="0.25">
      <c r="A5" t="s">
        <v>58</v>
      </c>
      <c r="B5" t="s">
        <v>59</v>
      </c>
      <c r="C5" t="s">
        <v>60</v>
      </c>
      <c r="D5" t="s">
        <v>109</v>
      </c>
      <c r="E5">
        <v>6</v>
      </c>
      <c r="F5">
        <v>2</v>
      </c>
      <c r="G5">
        <v>2</v>
      </c>
      <c r="H5">
        <v>7</v>
      </c>
      <c r="I5">
        <v>7</v>
      </c>
      <c r="J5">
        <v>2</v>
      </c>
      <c r="K5">
        <v>2</v>
      </c>
      <c r="L5">
        <v>7</v>
      </c>
      <c r="M5">
        <v>2</v>
      </c>
      <c r="N5">
        <v>7</v>
      </c>
      <c r="O5">
        <v>2</v>
      </c>
    </row>
    <row r="6" spans="1:15" x14ac:dyDescent="0.25">
      <c r="A6" t="s">
        <v>61</v>
      </c>
      <c r="B6" t="s">
        <v>62</v>
      </c>
      <c r="C6" t="s">
        <v>63</v>
      </c>
      <c r="D6" t="s">
        <v>109</v>
      </c>
      <c r="E6">
        <v>7</v>
      </c>
      <c r="F6">
        <v>7</v>
      </c>
      <c r="G6">
        <v>2</v>
      </c>
      <c r="H6">
        <v>2</v>
      </c>
      <c r="I6">
        <v>2</v>
      </c>
      <c r="J6">
        <v>2</v>
      </c>
      <c r="K6">
        <v>2</v>
      </c>
      <c r="L6">
        <v>6</v>
      </c>
      <c r="M6">
        <v>2</v>
      </c>
      <c r="N6">
        <v>2</v>
      </c>
      <c r="O6">
        <v>2</v>
      </c>
    </row>
    <row r="7" spans="1:15" x14ac:dyDescent="0.25">
      <c r="A7" t="s">
        <v>52</v>
      </c>
      <c r="B7" t="s">
        <v>64</v>
      </c>
      <c r="C7" t="s">
        <v>65</v>
      </c>
      <c r="D7" t="s">
        <v>110</v>
      </c>
      <c r="E7">
        <v>6</v>
      </c>
      <c r="F7">
        <v>6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</row>
    <row r="8" spans="1:15" x14ac:dyDescent="0.25">
      <c r="A8" t="s">
        <v>55</v>
      </c>
      <c r="B8" t="s">
        <v>66</v>
      </c>
      <c r="C8" t="s">
        <v>57</v>
      </c>
      <c r="D8" t="s">
        <v>111</v>
      </c>
      <c r="E8">
        <v>7</v>
      </c>
      <c r="F8">
        <v>8</v>
      </c>
      <c r="G8">
        <v>2</v>
      </c>
      <c r="H8">
        <v>8</v>
      </c>
      <c r="I8">
        <v>2</v>
      </c>
      <c r="J8">
        <v>2</v>
      </c>
      <c r="K8">
        <v>7</v>
      </c>
      <c r="L8">
        <v>2</v>
      </c>
      <c r="M8">
        <v>2</v>
      </c>
      <c r="N8">
        <v>7</v>
      </c>
      <c r="O8">
        <v>7</v>
      </c>
    </row>
    <row r="9" spans="1:15" x14ac:dyDescent="0.25">
      <c r="A9" t="s">
        <v>55</v>
      </c>
      <c r="B9" t="s">
        <v>67</v>
      </c>
      <c r="C9" t="s">
        <v>54</v>
      </c>
      <c r="D9" t="s">
        <v>112</v>
      </c>
      <c r="E9">
        <v>8</v>
      </c>
      <c r="F9">
        <v>8</v>
      </c>
      <c r="G9">
        <v>2</v>
      </c>
      <c r="H9">
        <v>8</v>
      </c>
      <c r="I9">
        <v>8</v>
      </c>
      <c r="J9">
        <v>8</v>
      </c>
      <c r="K9">
        <v>8</v>
      </c>
      <c r="L9">
        <v>8</v>
      </c>
      <c r="M9">
        <v>8</v>
      </c>
      <c r="N9">
        <v>8</v>
      </c>
      <c r="O9">
        <v>8</v>
      </c>
    </row>
    <row r="10" spans="1:15" x14ac:dyDescent="0.25">
      <c r="A10" t="s">
        <v>68</v>
      </c>
      <c r="B10" t="s">
        <v>69</v>
      </c>
      <c r="C10" t="s">
        <v>63</v>
      </c>
      <c r="D10" t="s">
        <v>113</v>
      </c>
      <c r="E10">
        <v>6</v>
      </c>
      <c r="F10">
        <v>2</v>
      </c>
      <c r="G10">
        <v>2</v>
      </c>
      <c r="H10">
        <v>7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7</v>
      </c>
    </row>
    <row r="11" spans="1:15" x14ac:dyDescent="0.25">
      <c r="A11" t="s">
        <v>68</v>
      </c>
      <c r="B11" t="s">
        <v>66</v>
      </c>
      <c r="C11" t="s">
        <v>57</v>
      </c>
      <c r="D11" t="s">
        <v>111</v>
      </c>
      <c r="E11">
        <v>7</v>
      </c>
      <c r="F11">
        <v>2</v>
      </c>
      <c r="G11">
        <v>2</v>
      </c>
      <c r="H11">
        <v>7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7</v>
      </c>
    </row>
    <row r="12" spans="1:15" x14ac:dyDescent="0.25">
      <c r="A12" t="s">
        <v>70</v>
      </c>
      <c r="B12" t="s">
        <v>71</v>
      </c>
      <c r="C12" t="s">
        <v>63</v>
      </c>
      <c r="D12" t="s">
        <v>109</v>
      </c>
      <c r="E12">
        <v>2</v>
      </c>
      <c r="F12">
        <v>2</v>
      </c>
      <c r="G12">
        <v>2</v>
      </c>
      <c r="H12">
        <v>2</v>
      </c>
      <c r="I12">
        <v>6</v>
      </c>
      <c r="J12">
        <v>2</v>
      </c>
      <c r="K12">
        <v>2</v>
      </c>
      <c r="L12">
        <v>2</v>
      </c>
      <c r="M12">
        <v>6</v>
      </c>
      <c r="N12">
        <v>2</v>
      </c>
      <c r="O12">
        <v>2</v>
      </c>
    </row>
    <row r="13" spans="1:15" x14ac:dyDescent="0.25">
      <c r="A13" t="s">
        <v>52</v>
      </c>
      <c r="B13" t="s">
        <v>11</v>
      </c>
      <c r="C13" t="s">
        <v>65</v>
      </c>
      <c r="D13" t="s">
        <v>114</v>
      </c>
      <c r="E13">
        <v>2</v>
      </c>
      <c r="F13">
        <v>2</v>
      </c>
      <c r="G13">
        <v>2</v>
      </c>
      <c r="H13">
        <v>6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</row>
    <row r="14" spans="1:15" x14ac:dyDescent="0.25">
      <c r="A14" t="s">
        <v>55</v>
      </c>
      <c r="B14" t="s">
        <v>67</v>
      </c>
      <c r="C14" t="s">
        <v>54</v>
      </c>
      <c r="D14" t="s">
        <v>112</v>
      </c>
      <c r="E14">
        <v>8</v>
      </c>
      <c r="F14">
        <v>8</v>
      </c>
      <c r="G14">
        <v>2</v>
      </c>
      <c r="H14">
        <v>8</v>
      </c>
      <c r="I14">
        <v>8</v>
      </c>
      <c r="J14">
        <v>8</v>
      </c>
      <c r="K14">
        <v>8</v>
      </c>
      <c r="L14">
        <v>8</v>
      </c>
      <c r="M14">
        <v>8</v>
      </c>
      <c r="N14">
        <v>8</v>
      </c>
      <c r="O14">
        <v>8</v>
      </c>
    </row>
    <row r="15" spans="1:15" x14ac:dyDescent="0.25">
      <c r="A15" t="s">
        <v>72</v>
      </c>
      <c r="B15" t="s">
        <v>73</v>
      </c>
      <c r="C15" t="s">
        <v>51</v>
      </c>
      <c r="D15" t="s">
        <v>115</v>
      </c>
      <c r="E15">
        <v>2</v>
      </c>
      <c r="F15">
        <v>2</v>
      </c>
      <c r="G15">
        <v>2</v>
      </c>
      <c r="H15">
        <v>9</v>
      </c>
      <c r="I15">
        <v>2</v>
      </c>
      <c r="J15">
        <v>9</v>
      </c>
      <c r="K15">
        <v>2</v>
      </c>
      <c r="L15">
        <v>9</v>
      </c>
      <c r="M15">
        <v>9</v>
      </c>
      <c r="N15">
        <v>2</v>
      </c>
      <c r="O15">
        <v>9</v>
      </c>
    </row>
    <row r="16" spans="1:15" x14ac:dyDescent="0.25">
      <c r="A16" t="s">
        <v>74</v>
      </c>
      <c r="B16" t="s">
        <v>17</v>
      </c>
      <c r="C16" t="s">
        <v>54</v>
      </c>
      <c r="D16" t="s">
        <v>116</v>
      </c>
      <c r="E16">
        <v>8</v>
      </c>
      <c r="F16">
        <v>8</v>
      </c>
      <c r="G16">
        <v>2</v>
      </c>
      <c r="H16">
        <v>8</v>
      </c>
      <c r="I16">
        <v>8</v>
      </c>
      <c r="J16">
        <v>8</v>
      </c>
      <c r="K16">
        <v>2</v>
      </c>
      <c r="L16">
        <v>8</v>
      </c>
      <c r="M16">
        <v>8</v>
      </c>
      <c r="N16">
        <v>8</v>
      </c>
      <c r="O16">
        <v>8</v>
      </c>
    </row>
    <row r="17" spans="1:15" x14ac:dyDescent="0.25">
      <c r="A17" t="s">
        <v>75</v>
      </c>
      <c r="B17" t="s">
        <v>76</v>
      </c>
      <c r="C17" t="s">
        <v>77</v>
      </c>
      <c r="D17" t="s">
        <v>117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8</v>
      </c>
      <c r="N17">
        <v>1</v>
      </c>
      <c r="O17">
        <v>1</v>
      </c>
    </row>
    <row r="18" spans="1:15" x14ac:dyDescent="0.25">
      <c r="A18" t="s">
        <v>78</v>
      </c>
      <c r="B18" t="s">
        <v>79</v>
      </c>
      <c r="C18" t="s">
        <v>80</v>
      </c>
      <c r="D18" t="s">
        <v>118</v>
      </c>
      <c r="E18">
        <v>1</v>
      </c>
      <c r="F18">
        <v>1</v>
      </c>
      <c r="G18">
        <v>1</v>
      </c>
      <c r="H18">
        <v>7</v>
      </c>
      <c r="I18">
        <v>1</v>
      </c>
      <c r="J18">
        <v>1</v>
      </c>
      <c r="K18">
        <v>1</v>
      </c>
      <c r="L18">
        <v>1</v>
      </c>
      <c r="M18">
        <v>1</v>
      </c>
      <c r="N18">
        <v>8</v>
      </c>
      <c r="O18">
        <v>1</v>
      </c>
    </row>
    <row r="19" spans="1:15" x14ac:dyDescent="0.25">
      <c r="A19" t="s">
        <v>72</v>
      </c>
      <c r="B19" t="s">
        <v>81</v>
      </c>
      <c r="C19" t="s">
        <v>51</v>
      </c>
      <c r="D19" t="s">
        <v>115</v>
      </c>
      <c r="E19">
        <v>9</v>
      </c>
      <c r="F19">
        <v>9</v>
      </c>
      <c r="G19">
        <v>2</v>
      </c>
      <c r="H19">
        <v>9</v>
      </c>
      <c r="I19">
        <v>9</v>
      </c>
      <c r="J19">
        <v>9</v>
      </c>
      <c r="K19">
        <v>9</v>
      </c>
      <c r="L19">
        <v>9</v>
      </c>
      <c r="M19">
        <v>9</v>
      </c>
      <c r="N19">
        <v>9</v>
      </c>
      <c r="O19">
        <v>9</v>
      </c>
    </row>
    <row r="20" spans="1:15" x14ac:dyDescent="0.25">
      <c r="A20" t="s">
        <v>82</v>
      </c>
      <c r="B20" t="s">
        <v>83</v>
      </c>
      <c r="C20" t="s">
        <v>54</v>
      </c>
      <c r="D20" t="s">
        <v>119</v>
      </c>
      <c r="E20">
        <v>7</v>
      </c>
      <c r="F20">
        <v>7</v>
      </c>
      <c r="G20">
        <v>2</v>
      </c>
      <c r="H20">
        <v>7</v>
      </c>
      <c r="I20">
        <v>7</v>
      </c>
      <c r="J20">
        <v>7</v>
      </c>
      <c r="K20">
        <v>7</v>
      </c>
      <c r="L20">
        <v>7</v>
      </c>
      <c r="M20">
        <v>7</v>
      </c>
      <c r="N20">
        <v>7</v>
      </c>
      <c r="O20">
        <v>7</v>
      </c>
    </row>
    <row r="21" spans="1:15" x14ac:dyDescent="0.25">
      <c r="A21" t="s">
        <v>55</v>
      </c>
      <c r="B21" t="s">
        <v>84</v>
      </c>
      <c r="C21" t="s">
        <v>85</v>
      </c>
      <c r="D21" t="s">
        <v>111</v>
      </c>
      <c r="E21">
        <v>2</v>
      </c>
      <c r="F21">
        <v>6</v>
      </c>
      <c r="G21">
        <v>2</v>
      </c>
      <c r="H21">
        <v>7</v>
      </c>
      <c r="I21">
        <v>7</v>
      </c>
      <c r="J21">
        <v>2</v>
      </c>
      <c r="K21">
        <v>6</v>
      </c>
      <c r="L21">
        <v>6</v>
      </c>
      <c r="M21">
        <v>2</v>
      </c>
      <c r="N21">
        <v>7</v>
      </c>
      <c r="O21">
        <v>2</v>
      </c>
    </row>
    <row r="22" spans="1:15" x14ac:dyDescent="0.25">
      <c r="A22" t="s">
        <v>68</v>
      </c>
      <c r="B22" t="s">
        <v>86</v>
      </c>
      <c r="C22" t="s">
        <v>57</v>
      </c>
      <c r="D22" t="s">
        <v>120</v>
      </c>
      <c r="E22">
        <v>7</v>
      </c>
      <c r="F22">
        <v>2</v>
      </c>
      <c r="G22">
        <v>2</v>
      </c>
      <c r="H22">
        <v>7</v>
      </c>
      <c r="I22">
        <v>7</v>
      </c>
      <c r="J22">
        <v>2</v>
      </c>
      <c r="K22">
        <v>7</v>
      </c>
      <c r="L22">
        <v>2</v>
      </c>
      <c r="M22">
        <v>7</v>
      </c>
      <c r="N22">
        <v>2</v>
      </c>
      <c r="O22">
        <v>7</v>
      </c>
    </row>
    <row r="23" spans="1:15" x14ac:dyDescent="0.25">
      <c r="A23" t="s">
        <v>72</v>
      </c>
      <c r="B23" t="s">
        <v>87</v>
      </c>
      <c r="C23" t="s">
        <v>54</v>
      </c>
      <c r="D23" t="s">
        <v>121</v>
      </c>
      <c r="E23">
        <v>8</v>
      </c>
      <c r="F23">
        <v>8</v>
      </c>
      <c r="G23">
        <v>2</v>
      </c>
      <c r="H23">
        <v>8</v>
      </c>
      <c r="I23">
        <v>8</v>
      </c>
      <c r="J23">
        <v>8</v>
      </c>
      <c r="K23">
        <v>8</v>
      </c>
      <c r="L23">
        <v>8</v>
      </c>
      <c r="M23">
        <v>8</v>
      </c>
      <c r="N23">
        <v>8</v>
      </c>
      <c r="O23">
        <v>8</v>
      </c>
    </row>
    <row r="24" spans="1:15" x14ac:dyDescent="0.25">
      <c r="A24" t="s">
        <v>88</v>
      </c>
      <c r="B24" t="s">
        <v>89</v>
      </c>
      <c r="C24" t="s">
        <v>57</v>
      </c>
      <c r="D24" t="s">
        <v>120</v>
      </c>
      <c r="E24">
        <v>2</v>
      </c>
      <c r="F24">
        <v>2</v>
      </c>
      <c r="G24">
        <v>2</v>
      </c>
      <c r="H24">
        <v>7</v>
      </c>
      <c r="I24">
        <v>2</v>
      </c>
      <c r="J24">
        <v>2</v>
      </c>
      <c r="K24">
        <v>7</v>
      </c>
      <c r="L24">
        <v>2</v>
      </c>
      <c r="M24">
        <v>7</v>
      </c>
      <c r="N24">
        <v>2</v>
      </c>
      <c r="O24">
        <v>7</v>
      </c>
    </row>
    <row r="25" spans="1:15" x14ac:dyDescent="0.25">
      <c r="A25" t="s">
        <v>82</v>
      </c>
      <c r="B25" t="s">
        <v>90</v>
      </c>
      <c r="C25" t="s">
        <v>60</v>
      </c>
      <c r="D25" t="s">
        <v>122</v>
      </c>
      <c r="E25">
        <v>7</v>
      </c>
      <c r="F25">
        <v>2</v>
      </c>
      <c r="G25">
        <v>2</v>
      </c>
      <c r="H25">
        <v>7</v>
      </c>
      <c r="I25">
        <v>7</v>
      </c>
      <c r="J25">
        <v>2</v>
      </c>
      <c r="K25">
        <v>2</v>
      </c>
      <c r="L25">
        <v>2</v>
      </c>
      <c r="M25">
        <v>7</v>
      </c>
      <c r="N25">
        <v>7</v>
      </c>
      <c r="O25">
        <v>2</v>
      </c>
    </row>
    <row r="26" spans="1:15" x14ac:dyDescent="0.25">
      <c r="A26" t="s">
        <v>91</v>
      </c>
      <c r="B26" t="s">
        <v>92</v>
      </c>
      <c r="C26" t="s">
        <v>63</v>
      </c>
      <c r="D26" t="s">
        <v>123</v>
      </c>
      <c r="E26">
        <v>7</v>
      </c>
      <c r="F26">
        <v>2</v>
      </c>
      <c r="G26">
        <v>2</v>
      </c>
      <c r="H26">
        <v>2</v>
      </c>
      <c r="I26">
        <v>2</v>
      </c>
      <c r="J26">
        <v>2</v>
      </c>
      <c r="K26">
        <v>2</v>
      </c>
      <c r="L26">
        <v>2</v>
      </c>
      <c r="M26">
        <v>2</v>
      </c>
      <c r="N26">
        <v>2</v>
      </c>
      <c r="O26">
        <v>2</v>
      </c>
    </row>
    <row r="27" spans="1:15" x14ac:dyDescent="0.25">
      <c r="A27" t="s">
        <v>93</v>
      </c>
      <c r="B27" t="s">
        <v>94</v>
      </c>
      <c r="C27" t="s">
        <v>54</v>
      </c>
      <c r="D27" t="s">
        <v>124</v>
      </c>
      <c r="E27">
        <v>7</v>
      </c>
      <c r="F27">
        <v>2</v>
      </c>
      <c r="G27">
        <v>2</v>
      </c>
      <c r="H27">
        <v>7</v>
      </c>
      <c r="I27">
        <v>7</v>
      </c>
      <c r="J27">
        <v>2</v>
      </c>
      <c r="K27">
        <v>2</v>
      </c>
      <c r="L27">
        <v>7</v>
      </c>
      <c r="M27">
        <v>2</v>
      </c>
      <c r="N27">
        <v>7</v>
      </c>
      <c r="O27">
        <v>7</v>
      </c>
    </row>
    <row r="28" spans="1:15" x14ac:dyDescent="0.25">
      <c r="A28" t="s">
        <v>95</v>
      </c>
      <c r="B28" t="s">
        <v>96</v>
      </c>
      <c r="C28" t="s">
        <v>57</v>
      </c>
      <c r="D28" t="s">
        <v>125</v>
      </c>
      <c r="E28">
        <v>2</v>
      </c>
      <c r="F28">
        <v>2</v>
      </c>
      <c r="G28">
        <v>2</v>
      </c>
      <c r="H28">
        <v>8</v>
      </c>
      <c r="I28">
        <v>2</v>
      </c>
      <c r="J28">
        <v>2</v>
      </c>
      <c r="K28">
        <v>7</v>
      </c>
      <c r="L28">
        <v>2</v>
      </c>
      <c r="M28">
        <v>7</v>
      </c>
      <c r="N28">
        <v>2</v>
      </c>
      <c r="O28">
        <v>7</v>
      </c>
    </row>
    <row r="29" spans="1:15" x14ac:dyDescent="0.25">
      <c r="A29" t="s">
        <v>58</v>
      </c>
      <c r="B29" t="s">
        <v>97</v>
      </c>
      <c r="C29" t="s">
        <v>85</v>
      </c>
      <c r="D29" t="s">
        <v>111</v>
      </c>
      <c r="E29">
        <v>2</v>
      </c>
      <c r="F29">
        <v>2</v>
      </c>
      <c r="G29">
        <v>2</v>
      </c>
      <c r="H29">
        <v>7</v>
      </c>
      <c r="I29">
        <v>7</v>
      </c>
      <c r="J29">
        <v>2</v>
      </c>
      <c r="K29">
        <v>6</v>
      </c>
      <c r="L29">
        <v>6</v>
      </c>
      <c r="M29">
        <v>2</v>
      </c>
      <c r="N29">
        <v>7</v>
      </c>
      <c r="O29">
        <v>2</v>
      </c>
    </row>
    <row r="30" spans="1:15" x14ac:dyDescent="0.25">
      <c r="A30" t="s">
        <v>49</v>
      </c>
      <c r="B30" t="s">
        <v>98</v>
      </c>
      <c r="C30" t="s">
        <v>77</v>
      </c>
      <c r="D30" t="s">
        <v>126</v>
      </c>
      <c r="E30">
        <v>7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7</v>
      </c>
      <c r="M30">
        <v>2</v>
      </c>
      <c r="N30">
        <v>7</v>
      </c>
      <c r="O30">
        <v>2</v>
      </c>
    </row>
    <row r="31" spans="1:15" x14ac:dyDescent="0.25">
      <c r="A31" t="s">
        <v>95</v>
      </c>
      <c r="B31" t="s">
        <v>99</v>
      </c>
      <c r="C31" t="s">
        <v>54</v>
      </c>
      <c r="D31" t="s">
        <v>127</v>
      </c>
      <c r="E31">
        <v>2</v>
      </c>
      <c r="F31">
        <v>6</v>
      </c>
      <c r="G31">
        <v>2</v>
      </c>
      <c r="H31">
        <v>6</v>
      </c>
      <c r="I31">
        <v>6</v>
      </c>
      <c r="J31">
        <v>6</v>
      </c>
      <c r="K31">
        <v>6</v>
      </c>
      <c r="L31">
        <v>2</v>
      </c>
      <c r="M31">
        <v>6</v>
      </c>
      <c r="N31">
        <v>2</v>
      </c>
      <c r="O31">
        <v>6</v>
      </c>
    </row>
    <row r="32" spans="1:15" x14ac:dyDescent="0.25">
      <c r="A32" t="s">
        <v>82</v>
      </c>
      <c r="B32" t="s">
        <v>100</v>
      </c>
      <c r="C32" t="s">
        <v>85</v>
      </c>
      <c r="D32" t="s">
        <v>111</v>
      </c>
      <c r="E32">
        <v>2</v>
      </c>
      <c r="F32">
        <v>2</v>
      </c>
      <c r="G32">
        <v>2</v>
      </c>
      <c r="H32">
        <v>7</v>
      </c>
      <c r="I32">
        <v>7</v>
      </c>
      <c r="J32">
        <v>2</v>
      </c>
      <c r="K32">
        <v>6</v>
      </c>
      <c r="L32">
        <v>6</v>
      </c>
      <c r="M32">
        <v>2</v>
      </c>
      <c r="N32">
        <v>7</v>
      </c>
      <c r="O32">
        <v>2</v>
      </c>
    </row>
    <row r="33" spans="1:15" x14ac:dyDescent="0.25">
      <c r="A33" t="s">
        <v>68</v>
      </c>
      <c r="B33" t="s">
        <v>101</v>
      </c>
      <c r="C33" t="s">
        <v>54</v>
      </c>
      <c r="D33" t="s">
        <v>128</v>
      </c>
      <c r="E33">
        <v>7</v>
      </c>
      <c r="F33">
        <v>7</v>
      </c>
      <c r="G33">
        <v>2</v>
      </c>
      <c r="H33">
        <v>7</v>
      </c>
      <c r="I33">
        <v>7</v>
      </c>
      <c r="J33">
        <v>7</v>
      </c>
      <c r="K33">
        <v>7</v>
      </c>
      <c r="L33">
        <v>7</v>
      </c>
      <c r="M33">
        <v>7</v>
      </c>
      <c r="N33">
        <v>7</v>
      </c>
      <c r="O33">
        <v>7</v>
      </c>
    </row>
    <row r="34" spans="1:15" x14ac:dyDescent="0.25">
      <c r="A34" t="s">
        <v>88</v>
      </c>
      <c r="B34" t="s">
        <v>102</v>
      </c>
      <c r="C34" t="s">
        <v>57</v>
      </c>
      <c r="D34" t="s">
        <v>129</v>
      </c>
      <c r="E34">
        <v>2</v>
      </c>
      <c r="F34">
        <v>2</v>
      </c>
      <c r="G34">
        <v>2</v>
      </c>
      <c r="H34">
        <v>7</v>
      </c>
      <c r="I34">
        <v>2</v>
      </c>
      <c r="J34">
        <v>2</v>
      </c>
      <c r="K34">
        <v>7</v>
      </c>
      <c r="L34">
        <v>2</v>
      </c>
      <c r="M34">
        <v>7</v>
      </c>
      <c r="N34">
        <v>2</v>
      </c>
      <c r="O34">
        <v>7</v>
      </c>
    </row>
    <row r="35" spans="1:15" x14ac:dyDescent="0.25">
      <c r="A35" t="s">
        <v>52</v>
      </c>
      <c r="B35" t="s">
        <v>103</v>
      </c>
      <c r="C35" t="s">
        <v>85</v>
      </c>
      <c r="D35" t="s">
        <v>111</v>
      </c>
      <c r="E35">
        <v>2</v>
      </c>
      <c r="F35">
        <v>2</v>
      </c>
      <c r="G35">
        <v>2</v>
      </c>
      <c r="H35">
        <v>7</v>
      </c>
      <c r="I35">
        <v>7</v>
      </c>
      <c r="J35">
        <v>2</v>
      </c>
      <c r="K35">
        <v>6</v>
      </c>
      <c r="L35">
        <v>6</v>
      </c>
      <c r="M35">
        <v>2</v>
      </c>
      <c r="N35">
        <v>7</v>
      </c>
      <c r="O35">
        <v>2</v>
      </c>
    </row>
    <row r="36" spans="1:15" x14ac:dyDescent="0.25">
      <c r="A36" t="s">
        <v>104</v>
      </c>
      <c r="B36" t="s">
        <v>105</v>
      </c>
      <c r="C36" t="s">
        <v>54</v>
      </c>
      <c r="D36" t="s">
        <v>130</v>
      </c>
      <c r="E36">
        <v>2</v>
      </c>
      <c r="F36">
        <v>2</v>
      </c>
      <c r="G36">
        <v>2</v>
      </c>
      <c r="H36">
        <v>7</v>
      </c>
      <c r="I36">
        <v>7</v>
      </c>
      <c r="J36">
        <v>2</v>
      </c>
      <c r="K36">
        <v>2</v>
      </c>
      <c r="L36">
        <v>2</v>
      </c>
      <c r="M36">
        <v>7</v>
      </c>
      <c r="N36">
        <v>7</v>
      </c>
      <c r="O36">
        <v>7</v>
      </c>
    </row>
    <row r="37" spans="1:15" x14ac:dyDescent="0.25">
      <c r="A37" t="s">
        <v>61</v>
      </c>
      <c r="B37" t="s">
        <v>89</v>
      </c>
      <c r="C37" t="s">
        <v>57</v>
      </c>
      <c r="D37" t="s">
        <v>120</v>
      </c>
      <c r="E37">
        <v>2</v>
      </c>
      <c r="F37">
        <v>2</v>
      </c>
      <c r="G37">
        <v>2</v>
      </c>
      <c r="H37">
        <v>7</v>
      </c>
      <c r="I37">
        <v>2</v>
      </c>
      <c r="J37">
        <v>2</v>
      </c>
      <c r="K37">
        <v>7</v>
      </c>
      <c r="L37">
        <v>2</v>
      </c>
      <c r="M37">
        <v>7</v>
      </c>
      <c r="N37">
        <v>2</v>
      </c>
      <c r="O37"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028A1-C36C-485B-9427-275AF7BE87EA}">
  <sheetPr codeName="Sheet6"/>
  <dimension ref="A1:F34"/>
  <sheetViews>
    <sheetView workbookViewId="0">
      <selection activeCell="B15" sqref="B15"/>
    </sheetView>
  </sheetViews>
  <sheetFormatPr defaultRowHeight="15" x14ac:dyDescent="0.25"/>
  <cols>
    <col min="1" max="1" width="13.140625" customWidth="1"/>
    <col min="2" max="2" width="26.5703125" customWidth="1"/>
    <col min="4" max="4" width="25.7109375" bestFit="1" customWidth="1"/>
    <col min="5" max="5" width="28.5703125" customWidth="1"/>
    <col min="6" max="6" width="16.5703125" customWidth="1"/>
  </cols>
  <sheetData>
    <row r="1" spans="1:6" x14ac:dyDescent="0.25">
      <c r="A1" t="s">
        <v>175</v>
      </c>
      <c r="B1" t="s">
        <v>46</v>
      </c>
      <c r="C1" t="s">
        <v>47</v>
      </c>
      <c r="D1" t="s">
        <v>48</v>
      </c>
      <c r="E1" t="s">
        <v>46</v>
      </c>
      <c r="F1" t="s">
        <v>176</v>
      </c>
    </row>
    <row r="2" spans="1:6" x14ac:dyDescent="0.25">
      <c r="A2" t="s">
        <v>142</v>
      </c>
      <c r="B2" t="s">
        <v>50</v>
      </c>
      <c r="C2" t="s">
        <v>51</v>
      </c>
      <c r="D2" t="s">
        <v>106</v>
      </c>
      <c r="E2" t="s">
        <v>50</v>
      </c>
      <c r="F2" t="s">
        <v>177</v>
      </c>
    </row>
    <row r="3" spans="1:6" x14ac:dyDescent="0.25">
      <c r="A3" t="s">
        <v>143</v>
      </c>
      <c r="B3" t="s">
        <v>53</v>
      </c>
      <c r="C3" t="s">
        <v>54</v>
      </c>
      <c r="D3" t="s">
        <v>107</v>
      </c>
      <c r="E3" t="s">
        <v>53</v>
      </c>
      <c r="F3" t="s">
        <v>178</v>
      </c>
    </row>
    <row r="4" spans="1:6" x14ac:dyDescent="0.25">
      <c r="A4" t="s">
        <v>144</v>
      </c>
      <c r="B4" t="s">
        <v>56</v>
      </c>
      <c r="C4" t="s">
        <v>57</v>
      </c>
      <c r="D4" t="s">
        <v>108</v>
      </c>
      <c r="E4" t="s">
        <v>56</v>
      </c>
      <c r="F4" t="s">
        <v>179</v>
      </c>
    </row>
    <row r="5" spans="1:6" x14ac:dyDescent="0.25">
      <c r="A5" t="s">
        <v>145</v>
      </c>
      <c r="B5" t="s">
        <v>59</v>
      </c>
      <c r="C5" t="s">
        <v>60</v>
      </c>
      <c r="D5" t="s">
        <v>109</v>
      </c>
      <c r="E5" t="s">
        <v>59</v>
      </c>
      <c r="F5" t="s">
        <v>179</v>
      </c>
    </row>
    <row r="6" spans="1:6" x14ac:dyDescent="0.25">
      <c r="A6" t="s">
        <v>146</v>
      </c>
      <c r="B6" t="s">
        <v>62</v>
      </c>
      <c r="C6" t="s">
        <v>63</v>
      </c>
      <c r="D6" t="s">
        <v>109</v>
      </c>
      <c r="E6" t="s">
        <v>62</v>
      </c>
      <c r="F6" t="s">
        <v>180</v>
      </c>
    </row>
    <row r="7" spans="1:6" x14ac:dyDescent="0.25">
      <c r="A7" t="s">
        <v>147</v>
      </c>
      <c r="B7" t="s">
        <v>64</v>
      </c>
      <c r="C7" t="s">
        <v>65</v>
      </c>
      <c r="D7" t="s">
        <v>110</v>
      </c>
      <c r="E7" t="s">
        <v>64</v>
      </c>
      <c r="F7" t="s">
        <v>181</v>
      </c>
    </row>
    <row r="8" spans="1:6" x14ac:dyDescent="0.25">
      <c r="A8" t="s">
        <v>148</v>
      </c>
      <c r="B8" t="s">
        <v>66</v>
      </c>
      <c r="C8" t="s">
        <v>57</v>
      </c>
      <c r="D8" t="s">
        <v>111</v>
      </c>
      <c r="E8" t="s">
        <v>66</v>
      </c>
      <c r="F8" t="s">
        <v>180</v>
      </c>
    </row>
    <row r="9" spans="1:6" x14ac:dyDescent="0.25">
      <c r="A9" t="s">
        <v>149</v>
      </c>
      <c r="B9" t="s">
        <v>67</v>
      </c>
      <c r="C9" t="s">
        <v>54</v>
      </c>
      <c r="D9" t="s">
        <v>112</v>
      </c>
      <c r="E9" t="s">
        <v>67</v>
      </c>
      <c r="F9" t="s">
        <v>182</v>
      </c>
    </row>
    <row r="10" spans="1:6" x14ac:dyDescent="0.25">
      <c r="A10" t="s">
        <v>150</v>
      </c>
      <c r="B10" t="s">
        <v>69</v>
      </c>
      <c r="C10" t="s">
        <v>63</v>
      </c>
      <c r="D10" t="s">
        <v>113</v>
      </c>
      <c r="E10" t="s">
        <v>69</v>
      </c>
      <c r="F10" t="s">
        <v>179</v>
      </c>
    </row>
    <row r="11" spans="1:6" x14ac:dyDescent="0.25">
      <c r="A11" t="s">
        <v>151</v>
      </c>
      <c r="B11" t="s">
        <v>71</v>
      </c>
      <c r="C11" t="s">
        <v>63</v>
      </c>
      <c r="D11" t="s">
        <v>109</v>
      </c>
      <c r="E11" t="s">
        <v>71</v>
      </c>
      <c r="F11" t="s">
        <v>183</v>
      </c>
    </row>
    <row r="12" spans="1:6" x14ac:dyDescent="0.25">
      <c r="A12" t="s">
        <v>152</v>
      </c>
      <c r="B12" t="s">
        <v>11</v>
      </c>
      <c r="C12" t="s">
        <v>65</v>
      </c>
      <c r="D12" t="s">
        <v>114</v>
      </c>
      <c r="E12" t="s">
        <v>11</v>
      </c>
      <c r="F12" t="s">
        <v>184</v>
      </c>
    </row>
    <row r="13" spans="1:6" x14ac:dyDescent="0.25">
      <c r="A13" t="s">
        <v>153</v>
      </c>
      <c r="B13" t="s">
        <v>73</v>
      </c>
      <c r="C13" t="s">
        <v>51</v>
      </c>
      <c r="D13" t="s">
        <v>115</v>
      </c>
      <c r="E13" t="s">
        <v>73</v>
      </c>
      <c r="F13" t="s">
        <v>185</v>
      </c>
    </row>
    <row r="14" spans="1:6" x14ac:dyDescent="0.25">
      <c r="A14" t="s">
        <v>154</v>
      </c>
      <c r="B14" t="s">
        <v>17</v>
      </c>
      <c r="C14" t="s">
        <v>54</v>
      </c>
      <c r="D14" t="s">
        <v>116</v>
      </c>
      <c r="E14" t="s">
        <v>17</v>
      </c>
      <c r="F14" t="s">
        <v>186</v>
      </c>
    </row>
    <row r="15" spans="1:6" x14ac:dyDescent="0.25">
      <c r="A15" t="s">
        <v>155</v>
      </c>
      <c r="B15" t="s">
        <v>76</v>
      </c>
      <c r="C15" t="s">
        <v>77</v>
      </c>
      <c r="D15" t="s">
        <v>117</v>
      </c>
      <c r="E15" t="s">
        <v>76</v>
      </c>
      <c r="F15" t="s">
        <v>187</v>
      </c>
    </row>
    <row r="16" spans="1:6" x14ac:dyDescent="0.25">
      <c r="A16" t="s">
        <v>156</v>
      </c>
      <c r="B16" t="s">
        <v>79</v>
      </c>
      <c r="C16" t="s">
        <v>80</v>
      </c>
      <c r="D16" t="s">
        <v>118</v>
      </c>
      <c r="E16" t="s">
        <v>79</v>
      </c>
      <c r="F16" t="s">
        <v>188</v>
      </c>
    </row>
    <row r="17" spans="1:6" x14ac:dyDescent="0.25">
      <c r="A17" t="s">
        <v>157</v>
      </c>
      <c r="B17" t="s">
        <v>81</v>
      </c>
      <c r="C17" t="s">
        <v>51</v>
      </c>
      <c r="D17" t="s">
        <v>115</v>
      </c>
      <c r="E17" t="s">
        <v>81</v>
      </c>
      <c r="F17" t="s">
        <v>189</v>
      </c>
    </row>
    <row r="18" spans="1:6" x14ac:dyDescent="0.25">
      <c r="A18" t="s">
        <v>158</v>
      </c>
      <c r="B18" t="s">
        <v>83</v>
      </c>
      <c r="C18" t="s">
        <v>54</v>
      </c>
      <c r="D18" t="s">
        <v>119</v>
      </c>
      <c r="E18" t="s">
        <v>83</v>
      </c>
      <c r="F18" t="s">
        <v>190</v>
      </c>
    </row>
    <row r="19" spans="1:6" x14ac:dyDescent="0.25">
      <c r="A19" t="s">
        <v>159</v>
      </c>
      <c r="B19" t="s">
        <v>84</v>
      </c>
      <c r="C19" t="s">
        <v>85</v>
      </c>
      <c r="D19" t="s">
        <v>111</v>
      </c>
      <c r="E19" t="s">
        <v>84</v>
      </c>
      <c r="F19" t="s">
        <v>180</v>
      </c>
    </row>
    <row r="20" spans="1:6" x14ac:dyDescent="0.25">
      <c r="A20" t="s">
        <v>160</v>
      </c>
      <c r="B20" t="s">
        <v>86</v>
      </c>
      <c r="C20" t="s">
        <v>57</v>
      </c>
      <c r="D20" t="s">
        <v>120</v>
      </c>
      <c r="E20" t="s">
        <v>86</v>
      </c>
      <c r="F20" t="s">
        <v>179</v>
      </c>
    </row>
    <row r="21" spans="1:6" x14ac:dyDescent="0.25">
      <c r="A21" t="s">
        <v>161</v>
      </c>
      <c r="B21" t="s">
        <v>87</v>
      </c>
      <c r="C21" t="s">
        <v>54</v>
      </c>
      <c r="D21" t="s">
        <v>121</v>
      </c>
      <c r="E21" t="s">
        <v>87</v>
      </c>
      <c r="F21" t="s">
        <v>189</v>
      </c>
    </row>
    <row r="22" spans="1:6" x14ac:dyDescent="0.25">
      <c r="A22" t="s">
        <v>162</v>
      </c>
      <c r="B22" t="s">
        <v>89</v>
      </c>
      <c r="C22" t="s">
        <v>57</v>
      </c>
      <c r="D22" t="s">
        <v>120</v>
      </c>
      <c r="E22" t="s">
        <v>89</v>
      </c>
      <c r="F22" t="s">
        <v>179</v>
      </c>
    </row>
    <row r="23" spans="1:6" x14ac:dyDescent="0.25">
      <c r="A23" t="s">
        <v>163</v>
      </c>
      <c r="B23" t="s">
        <v>90</v>
      </c>
      <c r="C23" t="s">
        <v>60</v>
      </c>
      <c r="D23" t="s">
        <v>122</v>
      </c>
      <c r="E23" t="s">
        <v>90</v>
      </c>
      <c r="F23" t="s">
        <v>184</v>
      </c>
    </row>
    <row r="24" spans="1:6" x14ac:dyDescent="0.25">
      <c r="A24" t="s">
        <v>164</v>
      </c>
      <c r="B24" t="s">
        <v>92</v>
      </c>
      <c r="C24" t="s">
        <v>63</v>
      </c>
      <c r="D24" t="s">
        <v>123</v>
      </c>
      <c r="E24" t="s">
        <v>92</v>
      </c>
      <c r="F24" t="s">
        <v>184</v>
      </c>
    </row>
    <row r="25" spans="1:6" x14ac:dyDescent="0.25">
      <c r="A25" t="s">
        <v>165</v>
      </c>
      <c r="B25" t="s">
        <v>94</v>
      </c>
      <c r="C25" t="s">
        <v>54</v>
      </c>
      <c r="D25" t="s">
        <v>124</v>
      </c>
      <c r="E25" t="s">
        <v>94</v>
      </c>
      <c r="F25" t="s">
        <v>182</v>
      </c>
    </row>
    <row r="26" spans="1:6" x14ac:dyDescent="0.25">
      <c r="A26" t="s">
        <v>166</v>
      </c>
      <c r="B26" t="s">
        <v>96</v>
      </c>
      <c r="C26" t="s">
        <v>57</v>
      </c>
      <c r="D26" t="s">
        <v>125</v>
      </c>
      <c r="E26" t="s">
        <v>96</v>
      </c>
      <c r="F26" t="s">
        <v>180</v>
      </c>
    </row>
    <row r="27" spans="1:6" x14ac:dyDescent="0.25">
      <c r="A27" t="s">
        <v>167</v>
      </c>
      <c r="B27" t="s">
        <v>97</v>
      </c>
      <c r="C27" t="s">
        <v>85</v>
      </c>
      <c r="D27" t="s">
        <v>111</v>
      </c>
      <c r="E27" t="s">
        <v>97</v>
      </c>
      <c r="F27" t="s">
        <v>191</v>
      </c>
    </row>
    <row r="28" spans="1:6" x14ac:dyDescent="0.25">
      <c r="A28" t="s">
        <v>168</v>
      </c>
      <c r="B28" t="s">
        <v>98</v>
      </c>
      <c r="C28" t="s">
        <v>77</v>
      </c>
      <c r="D28" t="s">
        <v>126</v>
      </c>
      <c r="E28" t="s">
        <v>98</v>
      </c>
      <c r="F28" t="s">
        <v>192</v>
      </c>
    </row>
    <row r="29" spans="1:6" x14ac:dyDescent="0.25">
      <c r="A29" t="s">
        <v>169</v>
      </c>
      <c r="B29" t="s">
        <v>99</v>
      </c>
      <c r="C29" t="s">
        <v>54</v>
      </c>
      <c r="D29" t="s">
        <v>127</v>
      </c>
      <c r="E29" t="s">
        <v>99</v>
      </c>
      <c r="F29" t="s">
        <v>180</v>
      </c>
    </row>
    <row r="30" spans="1:6" x14ac:dyDescent="0.25">
      <c r="A30" t="s">
        <v>170</v>
      </c>
      <c r="B30" t="s">
        <v>100</v>
      </c>
      <c r="C30" t="s">
        <v>85</v>
      </c>
      <c r="D30" t="s">
        <v>111</v>
      </c>
      <c r="E30" t="s">
        <v>100</v>
      </c>
      <c r="F30" t="s">
        <v>183</v>
      </c>
    </row>
    <row r="31" spans="1:6" x14ac:dyDescent="0.25">
      <c r="A31" t="s">
        <v>171</v>
      </c>
      <c r="B31" t="s">
        <v>101</v>
      </c>
      <c r="C31" t="s">
        <v>54</v>
      </c>
      <c r="D31" t="s">
        <v>128</v>
      </c>
      <c r="E31" t="s">
        <v>101</v>
      </c>
      <c r="F31" t="s">
        <v>193</v>
      </c>
    </row>
    <row r="32" spans="1:6" x14ac:dyDescent="0.25">
      <c r="A32" t="s">
        <v>172</v>
      </c>
      <c r="B32" t="s">
        <v>102</v>
      </c>
      <c r="C32" t="s">
        <v>57</v>
      </c>
      <c r="D32" t="s">
        <v>129</v>
      </c>
      <c r="E32" t="s">
        <v>102</v>
      </c>
      <c r="F32" t="s">
        <v>191</v>
      </c>
    </row>
    <row r="33" spans="1:6" x14ac:dyDescent="0.25">
      <c r="A33" t="s">
        <v>173</v>
      </c>
      <c r="B33" t="s">
        <v>103</v>
      </c>
      <c r="C33" t="s">
        <v>85</v>
      </c>
      <c r="D33" t="s">
        <v>111</v>
      </c>
      <c r="E33" t="s">
        <v>103</v>
      </c>
      <c r="F33" t="s">
        <v>191</v>
      </c>
    </row>
    <row r="34" spans="1:6" x14ac:dyDescent="0.25">
      <c r="A34" t="s">
        <v>174</v>
      </c>
      <c r="B34" t="s">
        <v>105</v>
      </c>
      <c r="C34" t="s">
        <v>54</v>
      </c>
      <c r="D34" t="s">
        <v>130</v>
      </c>
      <c r="E34" t="s">
        <v>105</v>
      </c>
      <c r="F34" t="s">
        <v>194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4D020-BE8B-4868-90F6-C5C2AF66E62B}">
  <sheetPr codeName="Sheet7"/>
  <dimension ref="A1:Q1681"/>
  <sheetViews>
    <sheetView tabSelected="1" workbookViewId="0">
      <selection activeCell="K24" sqref="K24"/>
    </sheetView>
  </sheetViews>
  <sheetFormatPr defaultRowHeight="15" x14ac:dyDescent="0.25"/>
  <cols>
    <col min="1" max="1" width="14" customWidth="1"/>
    <col min="2" max="2" width="11.42578125" customWidth="1"/>
    <col min="3" max="3" width="26.5703125" customWidth="1"/>
    <col min="4" max="4" width="13.85546875" customWidth="1"/>
    <col min="5" max="15" width="12.42578125" customWidth="1"/>
    <col min="16" max="16" width="29.5703125" customWidth="1"/>
  </cols>
  <sheetData>
    <row r="1" spans="1:17" x14ac:dyDescent="0.25">
      <c r="A1" t="s">
        <v>16</v>
      </c>
      <c r="B1" t="s">
        <v>175</v>
      </c>
      <c r="C1" t="s">
        <v>46</v>
      </c>
      <c r="D1" t="s">
        <v>0</v>
      </c>
      <c r="E1" t="s">
        <v>131</v>
      </c>
      <c r="F1" t="s">
        <v>132</v>
      </c>
      <c r="G1" t="s">
        <v>133</v>
      </c>
      <c r="H1" t="s">
        <v>134</v>
      </c>
      <c r="I1" t="s">
        <v>135</v>
      </c>
      <c r="J1" t="s">
        <v>136</v>
      </c>
      <c r="K1" t="s">
        <v>137</v>
      </c>
      <c r="L1" t="s">
        <v>138</v>
      </c>
      <c r="M1" t="s">
        <v>139</v>
      </c>
      <c r="N1" t="s">
        <v>140</v>
      </c>
      <c r="O1" t="s">
        <v>141</v>
      </c>
      <c r="P1" t="s">
        <v>195</v>
      </c>
      <c r="Q1" t="s">
        <v>196</v>
      </c>
    </row>
    <row r="2" spans="1:17" x14ac:dyDescent="0.25">
      <c r="A2" s="1">
        <v>43466</v>
      </c>
      <c r="B2" t="s">
        <v>142</v>
      </c>
      <c r="C2" t="s">
        <v>50</v>
      </c>
      <c r="D2" t="s">
        <v>49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 s="1">
        <v>43709</v>
      </c>
      <c r="Q2">
        <v>-243</v>
      </c>
    </row>
    <row r="3" spans="1:17" x14ac:dyDescent="0.25">
      <c r="A3" s="1">
        <v>43466</v>
      </c>
      <c r="B3" t="s">
        <v>143</v>
      </c>
      <c r="C3" t="s">
        <v>53</v>
      </c>
      <c r="D3" t="s">
        <v>52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1">
        <v>43862</v>
      </c>
      <c r="Q3">
        <v>-396</v>
      </c>
    </row>
    <row r="4" spans="1:17" x14ac:dyDescent="0.25">
      <c r="A4" s="1">
        <v>43466</v>
      </c>
      <c r="B4" t="s">
        <v>144</v>
      </c>
      <c r="C4" t="s">
        <v>56</v>
      </c>
      <c r="D4" t="s">
        <v>55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s="1">
        <v>44256</v>
      </c>
      <c r="Q4">
        <v>-790</v>
      </c>
    </row>
    <row r="5" spans="1:17" x14ac:dyDescent="0.25">
      <c r="A5" s="1">
        <v>43466</v>
      </c>
      <c r="B5" t="s">
        <v>145</v>
      </c>
      <c r="C5" t="s">
        <v>59</v>
      </c>
      <c r="D5" t="s">
        <v>58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1">
        <v>44287</v>
      </c>
      <c r="Q5">
        <v>-821</v>
      </c>
    </row>
    <row r="6" spans="1:17" x14ac:dyDescent="0.25">
      <c r="A6" s="1">
        <v>43466</v>
      </c>
      <c r="B6" t="s">
        <v>146</v>
      </c>
      <c r="C6" t="s">
        <v>62</v>
      </c>
      <c r="D6" t="s">
        <v>61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s="1">
        <v>44075</v>
      </c>
      <c r="Q6">
        <v>-609</v>
      </c>
    </row>
    <row r="7" spans="1:17" x14ac:dyDescent="0.25">
      <c r="A7" s="1">
        <v>43466</v>
      </c>
      <c r="B7" t="s">
        <v>147</v>
      </c>
      <c r="C7" t="s">
        <v>64</v>
      </c>
      <c r="D7" t="s">
        <v>52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s="1">
        <v>43862</v>
      </c>
      <c r="Q7">
        <v>-396</v>
      </c>
    </row>
    <row r="8" spans="1:17" x14ac:dyDescent="0.25">
      <c r="A8" s="1">
        <v>43466</v>
      </c>
      <c r="B8" t="s">
        <v>148</v>
      </c>
      <c r="C8" t="s">
        <v>66</v>
      </c>
      <c r="D8" t="s">
        <v>55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s="1">
        <v>44256</v>
      </c>
      <c r="Q8">
        <v>-790</v>
      </c>
    </row>
    <row r="9" spans="1:17" x14ac:dyDescent="0.25">
      <c r="A9" s="1">
        <v>43466</v>
      </c>
      <c r="B9" t="s">
        <v>149</v>
      </c>
      <c r="C9" t="s">
        <v>67</v>
      </c>
      <c r="D9" t="s">
        <v>55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s="1">
        <v>44256</v>
      </c>
      <c r="Q9">
        <v>-790</v>
      </c>
    </row>
    <row r="10" spans="1:17" x14ac:dyDescent="0.25">
      <c r="A10" s="1">
        <v>43466</v>
      </c>
      <c r="B10" t="s">
        <v>150</v>
      </c>
      <c r="C10" t="s">
        <v>69</v>
      </c>
      <c r="D10" t="s">
        <v>68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s="1">
        <v>44317</v>
      </c>
      <c r="Q10">
        <v>-851</v>
      </c>
    </row>
    <row r="11" spans="1:17" x14ac:dyDescent="0.25">
      <c r="A11" s="1">
        <v>43466</v>
      </c>
      <c r="B11" t="s">
        <v>151</v>
      </c>
      <c r="C11" t="s">
        <v>71</v>
      </c>
      <c r="D11" t="s">
        <v>70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s="1">
        <v>44136</v>
      </c>
      <c r="Q11">
        <v>-670</v>
      </c>
    </row>
    <row r="12" spans="1:17" x14ac:dyDescent="0.25">
      <c r="A12" s="1">
        <v>43466</v>
      </c>
      <c r="B12" t="s">
        <v>152</v>
      </c>
      <c r="C12" t="s">
        <v>11</v>
      </c>
      <c r="D12" t="s">
        <v>52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s="1">
        <v>43862</v>
      </c>
      <c r="Q12">
        <v>-396</v>
      </c>
    </row>
    <row r="13" spans="1:17" x14ac:dyDescent="0.25">
      <c r="A13" s="1">
        <v>43466</v>
      </c>
      <c r="B13" t="s">
        <v>153</v>
      </c>
      <c r="C13" t="s">
        <v>73</v>
      </c>
      <c r="D13" t="s">
        <v>72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s="1">
        <v>44440</v>
      </c>
      <c r="Q13">
        <v>-974</v>
      </c>
    </row>
    <row r="14" spans="1:17" x14ac:dyDescent="0.25">
      <c r="A14" s="1">
        <v>43466</v>
      </c>
      <c r="B14" t="s">
        <v>154</v>
      </c>
      <c r="C14" t="s">
        <v>17</v>
      </c>
      <c r="D14" t="s">
        <v>74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s="1">
        <v>44197</v>
      </c>
      <c r="Q14">
        <v>-731</v>
      </c>
    </row>
    <row r="15" spans="1:17" x14ac:dyDescent="0.25">
      <c r="A15" s="1">
        <v>43466</v>
      </c>
      <c r="B15" t="s">
        <v>155</v>
      </c>
      <c r="C15" t="s">
        <v>76</v>
      </c>
      <c r="D15" t="s">
        <v>75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s="1">
        <v>44470</v>
      </c>
      <c r="Q15">
        <v>-1004</v>
      </c>
    </row>
    <row r="16" spans="1:17" x14ac:dyDescent="0.25">
      <c r="A16" s="1">
        <v>43466</v>
      </c>
      <c r="B16" t="s">
        <v>156</v>
      </c>
      <c r="C16" t="s">
        <v>79</v>
      </c>
      <c r="D16" t="s">
        <v>78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s="1">
        <v>44348</v>
      </c>
      <c r="Q16">
        <v>-882</v>
      </c>
    </row>
    <row r="17" spans="1:17" x14ac:dyDescent="0.25">
      <c r="A17" s="1">
        <v>43466</v>
      </c>
      <c r="B17" t="s">
        <v>157</v>
      </c>
      <c r="C17" t="s">
        <v>81</v>
      </c>
      <c r="D17" t="s">
        <v>72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s="1">
        <v>44440</v>
      </c>
      <c r="Q17">
        <v>-974</v>
      </c>
    </row>
    <row r="18" spans="1:17" x14ac:dyDescent="0.25">
      <c r="A18" s="1">
        <v>43466</v>
      </c>
      <c r="B18" t="s">
        <v>158</v>
      </c>
      <c r="C18" t="s">
        <v>83</v>
      </c>
      <c r="D18" t="s">
        <v>82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s="1">
        <v>44228</v>
      </c>
      <c r="Q18">
        <v>-762</v>
      </c>
    </row>
    <row r="19" spans="1:17" x14ac:dyDescent="0.25">
      <c r="A19" s="1">
        <v>43466</v>
      </c>
      <c r="B19" t="s">
        <v>159</v>
      </c>
      <c r="C19" t="s">
        <v>84</v>
      </c>
      <c r="D19" t="s">
        <v>55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s="1">
        <v>44256</v>
      </c>
      <c r="Q19">
        <v>-790</v>
      </c>
    </row>
    <row r="20" spans="1:17" x14ac:dyDescent="0.25">
      <c r="A20" s="1">
        <v>43466</v>
      </c>
      <c r="B20" t="s">
        <v>160</v>
      </c>
      <c r="C20" t="s">
        <v>86</v>
      </c>
      <c r="D20" t="s">
        <v>68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s="1">
        <v>44317</v>
      </c>
      <c r="Q20">
        <v>-851</v>
      </c>
    </row>
    <row r="21" spans="1:17" x14ac:dyDescent="0.25">
      <c r="A21" s="1">
        <v>43466</v>
      </c>
      <c r="B21" t="s">
        <v>161</v>
      </c>
      <c r="C21" t="s">
        <v>87</v>
      </c>
      <c r="D21" t="s">
        <v>72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s="1">
        <v>44440</v>
      </c>
      <c r="Q21">
        <v>-974</v>
      </c>
    </row>
    <row r="22" spans="1:17" x14ac:dyDescent="0.25">
      <c r="A22" s="1">
        <v>43466</v>
      </c>
      <c r="B22" t="s">
        <v>162</v>
      </c>
      <c r="C22" t="s">
        <v>89</v>
      </c>
      <c r="D22" t="s">
        <v>88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s="1">
        <v>44044</v>
      </c>
      <c r="Q22">
        <v>-578</v>
      </c>
    </row>
    <row r="23" spans="1:17" x14ac:dyDescent="0.25">
      <c r="A23" s="1">
        <v>43466</v>
      </c>
      <c r="B23" t="s">
        <v>163</v>
      </c>
      <c r="C23" t="s">
        <v>90</v>
      </c>
      <c r="D23" t="s">
        <v>82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s="1">
        <v>44228</v>
      </c>
      <c r="Q23">
        <v>-762</v>
      </c>
    </row>
    <row r="24" spans="1:17" x14ac:dyDescent="0.25">
      <c r="A24" s="1">
        <v>43466</v>
      </c>
      <c r="B24" t="s">
        <v>164</v>
      </c>
      <c r="C24" t="s">
        <v>92</v>
      </c>
      <c r="D24" t="s">
        <v>91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s="1">
        <v>44105</v>
      </c>
      <c r="Q24">
        <v>-639</v>
      </c>
    </row>
    <row r="25" spans="1:17" x14ac:dyDescent="0.25">
      <c r="A25" s="1">
        <v>43466</v>
      </c>
      <c r="B25" t="s">
        <v>165</v>
      </c>
      <c r="C25" t="s">
        <v>94</v>
      </c>
      <c r="D25" t="s">
        <v>93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s="1">
        <v>43586</v>
      </c>
      <c r="Q25">
        <v>-120</v>
      </c>
    </row>
    <row r="26" spans="1:17" x14ac:dyDescent="0.25">
      <c r="A26" s="1">
        <v>43466</v>
      </c>
      <c r="B26" t="s">
        <v>166</v>
      </c>
      <c r="C26" t="s">
        <v>96</v>
      </c>
      <c r="D26" t="s">
        <v>95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s="1">
        <v>43678</v>
      </c>
      <c r="Q26">
        <v>-212</v>
      </c>
    </row>
    <row r="27" spans="1:17" x14ac:dyDescent="0.25">
      <c r="A27" s="1">
        <v>43466</v>
      </c>
      <c r="B27" t="s">
        <v>167</v>
      </c>
      <c r="C27" t="s">
        <v>97</v>
      </c>
      <c r="D27" t="s">
        <v>58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s="1">
        <v>44287</v>
      </c>
      <c r="Q27">
        <v>-821</v>
      </c>
    </row>
    <row r="28" spans="1:17" x14ac:dyDescent="0.25">
      <c r="A28" s="1">
        <v>43466</v>
      </c>
      <c r="B28" t="s">
        <v>168</v>
      </c>
      <c r="C28" t="s">
        <v>98</v>
      </c>
      <c r="D28" t="s">
        <v>49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 s="1">
        <v>43709</v>
      </c>
      <c r="Q28">
        <v>-243</v>
      </c>
    </row>
    <row r="29" spans="1:17" x14ac:dyDescent="0.25">
      <c r="A29" s="1">
        <v>43466</v>
      </c>
      <c r="B29" t="s">
        <v>169</v>
      </c>
      <c r="C29" t="s">
        <v>99</v>
      </c>
      <c r="D29" t="s">
        <v>95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 s="1">
        <v>43678</v>
      </c>
      <c r="Q29">
        <v>-212</v>
      </c>
    </row>
    <row r="30" spans="1:17" x14ac:dyDescent="0.25">
      <c r="A30" s="1">
        <v>43466</v>
      </c>
      <c r="B30" t="s">
        <v>170</v>
      </c>
      <c r="C30" t="s">
        <v>100</v>
      </c>
      <c r="D30" t="s">
        <v>82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 s="1">
        <v>44228</v>
      </c>
      <c r="Q30">
        <v>-762</v>
      </c>
    </row>
    <row r="31" spans="1:17" x14ac:dyDescent="0.25">
      <c r="A31" s="1">
        <v>43466</v>
      </c>
      <c r="B31" t="s">
        <v>171</v>
      </c>
      <c r="C31" t="s">
        <v>101</v>
      </c>
      <c r="D31" t="s">
        <v>68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 s="1">
        <v>44317</v>
      </c>
      <c r="Q31">
        <v>-851</v>
      </c>
    </row>
    <row r="32" spans="1:17" x14ac:dyDescent="0.25">
      <c r="A32" s="1">
        <v>43466</v>
      </c>
      <c r="B32" t="s">
        <v>172</v>
      </c>
      <c r="C32" t="s">
        <v>102</v>
      </c>
      <c r="D32" t="s">
        <v>88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 s="1">
        <v>44044</v>
      </c>
      <c r="Q32">
        <v>-578</v>
      </c>
    </row>
    <row r="33" spans="1:17" x14ac:dyDescent="0.25">
      <c r="A33" s="1">
        <v>43466</v>
      </c>
      <c r="B33" t="s">
        <v>173</v>
      </c>
      <c r="C33" t="s">
        <v>103</v>
      </c>
      <c r="D33" t="s">
        <v>52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s="1">
        <v>43862</v>
      </c>
      <c r="Q33">
        <v>-396</v>
      </c>
    </row>
    <row r="34" spans="1:17" x14ac:dyDescent="0.25">
      <c r="A34" s="1">
        <v>43466</v>
      </c>
      <c r="B34" t="s">
        <v>174</v>
      </c>
      <c r="C34" t="s">
        <v>105</v>
      </c>
      <c r="D34" t="s">
        <v>104</v>
      </c>
      <c r="E34">
        <v>608</v>
      </c>
      <c r="F34">
        <v>117</v>
      </c>
      <c r="G34">
        <v>589</v>
      </c>
      <c r="H34">
        <v>2516</v>
      </c>
      <c r="I34">
        <v>2570</v>
      </c>
      <c r="J34">
        <v>625</v>
      </c>
      <c r="K34">
        <v>825</v>
      </c>
      <c r="L34">
        <v>695</v>
      </c>
      <c r="M34">
        <v>2548</v>
      </c>
      <c r="N34">
        <v>1680</v>
      </c>
      <c r="O34">
        <v>2159</v>
      </c>
      <c r="P34" s="1">
        <v>43374</v>
      </c>
      <c r="Q34">
        <v>92</v>
      </c>
    </row>
    <row r="35" spans="1:17" x14ac:dyDescent="0.25">
      <c r="A35" s="1">
        <v>43497</v>
      </c>
      <c r="B35" t="s">
        <v>142</v>
      </c>
      <c r="C35" t="s">
        <v>50</v>
      </c>
      <c r="D35" t="s">
        <v>49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 s="1">
        <v>43709</v>
      </c>
      <c r="Q35">
        <v>-212</v>
      </c>
    </row>
    <row r="36" spans="1:17" x14ac:dyDescent="0.25">
      <c r="A36" s="1">
        <v>43497</v>
      </c>
      <c r="B36" t="s">
        <v>143</v>
      </c>
      <c r="C36" t="s">
        <v>53</v>
      </c>
      <c r="D36" t="s">
        <v>52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 s="1">
        <v>43862</v>
      </c>
      <c r="Q36">
        <v>-365</v>
      </c>
    </row>
    <row r="37" spans="1:17" x14ac:dyDescent="0.25">
      <c r="A37" s="1">
        <v>43497</v>
      </c>
      <c r="B37" t="s">
        <v>144</v>
      </c>
      <c r="C37" t="s">
        <v>56</v>
      </c>
      <c r="D37" t="s">
        <v>55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s="1">
        <v>44256</v>
      </c>
      <c r="Q37">
        <v>-759</v>
      </c>
    </row>
    <row r="38" spans="1:17" x14ac:dyDescent="0.25">
      <c r="A38" s="1">
        <v>43497</v>
      </c>
      <c r="B38" t="s">
        <v>145</v>
      </c>
      <c r="C38" t="s">
        <v>59</v>
      </c>
      <c r="D38" t="s">
        <v>58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 s="1">
        <v>44287</v>
      </c>
      <c r="Q38">
        <v>-790</v>
      </c>
    </row>
    <row r="39" spans="1:17" x14ac:dyDescent="0.25">
      <c r="A39" s="1">
        <v>43497</v>
      </c>
      <c r="B39" t="s">
        <v>146</v>
      </c>
      <c r="C39" t="s">
        <v>62</v>
      </c>
      <c r="D39" t="s">
        <v>61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 s="1">
        <v>44075</v>
      </c>
      <c r="Q39">
        <v>-578</v>
      </c>
    </row>
    <row r="40" spans="1:17" x14ac:dyDescent="0.25">
      <c r="A40" s="1">
        <v>43497</v>
      </c>
      <c r="B40" t="s">
        <v>147</v>
      </c>
      <c r="C40" t="s">
        <v>64</v>
      </c>
      <c r="D40" t="s">
        <v>52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 s="1">
        <v>43862</v>
      </c>
      <c r="Q40">
        <v>-365</v>
      </c>
    </row>
    <row r="41" spans="1:17" x14ac:dyDescent="0.25">
      <c r="A41" s="1">
        <v>43497</v>
      </c>
      <c r="B41" t="s">
        <v>148</v>
      </c>
      <c r="C41" t="s">
        <v>66</v>
      </c>
      <c r="D41" t="s">
        <v>55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 s="1">
        <v>44256</v>
      </c>
      <c r="Q41">
        <v>-759</v>
      </c>
    </row>
    <row r="42" spans="1:17" x14ac:dyDescent="0.25">
      <c r="A42" s="1">
        <v>43497</v>
      </c>
      <c r="B42" t="s">
        <v>149</v>
      </c>
      <c r="C42" t="s">
        <v>67</v>
      </c>
      <c r="D42" t="s">
        <v>55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 s="1">
        <v>44256</v>
      </c>
      <c r="Q42">
        <v>-759</v>
      </c>
    </row>
    <row r="43" spans="1:17" x14ac:dyDescent="0.25">
      <c r="A43" s="1">
        <v>43497</v>
      </c>
      <c r="B43" t="s">
        <v>150</v>
      </c>
      <c r="C43" t="s">
        <v>69</v>
      </c>
      <c r="D43" t="s">
        <v>68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 s="1">
        <v>44317</v>
      </c>
      <c r="Q43">
        <v>-820</v>
      </c>
    </row>
    <row r="44" spans="1:17" x14ac:dyDescent="0.25">
      <c r="A44" s="1">
        <v>43497</v>
      </c>
      <c r="B44" t="s">
        <v>151</v>
      </c>
      <c r="C44" t="s">
        <v>71</v>
      </c>
      <c r="D44" t="s">
        <v>70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 s="1">
        <v>44136</v>
      </c>
      <c r="Q44">
        <v>-639</v>
      </c>
    </row>
    <row r="45" spans="1:17" x14ac:dyDescent="0.25">
      <c r="A45" s="1">
        <v>43497</v>
      </c>
      <c r="B45" t="s">
        <v>152</v>
      </c>
      <c r="C45" t="s">
        <v>11</v>
      </c>
      <c r="D45" t="s">
        <v>52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 s="1">
        <v>43862</v>
      </c>
      <c r="Q45">
        <v>-365</v>
      </c>
    </row>
    <row r="46" spans="1:17" x14ac:dyDescent="0.25">
      <c r="A46" s="1">
        <v>43497</v>
      </c>
      <c r="B46" t="s">
        <v>153</v>
      </c>
      <c r="C46" t="s">
        <v>73</v>
      </c>
      <c r="D46" t="s">
        <v>72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 s="1">
        <v>44440</v>
      </c>
      <c r="Q46">
        <v>-943</v>
      </c>
    </row>
    <row r="47" spans="1:17" x14ac:dyDescent="0.25">
      <c r="A47" s="1">
        <v>43497</v>
      </c>
      <c r="B47" t="s">
        <v>154</v>
      </c>
      <c r="C47" t="s">
        <v>17</v>
      </c>
      <c r="D47" t="s">
        <v>74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 s="1">
        <v>44197</v>
      </c>
      <c r="Q47">
        <v>-700</v>
      </c>
    </row>
    <row r="48" spans="1:17" x14ac:dyDescent="0.25">
      <c r="A48" s="1">
        <v>43497</v>
      </c>
      <c r="B48" t="s">
        <v>155</v>
      </c>
      <c r="C48" t="s">
        <v>76</v>
      </c>
      <c r="D48" t="s">
        <v>75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 s="1">
        <v>44470</v>
      </c>
      <c r="Q48">
        <v>-973</v>
      </c>
    </row>
    <row r="49" spans="1:17" x14ac:dyDescent="0.25">
      <c r="A49" s="1">
        <v>43497</v>
      </c>
      <c r="B49" t="s">
        <v>156</v>
      </c>
      <c r="C49" t="s">
        <v>79</v>
      </c>
      <c r="D49" t="s">
        <v>78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 s="1">
        <v>44348</v>
      </c>
      <c r="Q49">
        <v>-851</v>
      </c>
    </row>
    <row r="50" spans="1:17" x14ac:dyDescent="0.25">
      <c r="A50" s="1">
        <v>43497</v>
      </c>
      <c r="B50" t="s">
        <v>157</v>
      </c>
      <c r="C50" t="s">
        <v>81</v>
      </c>
      <c r="D50" t="s">
        <v>72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 s="1">
        <v>44440</v>
      </c>
      <c r="Q50">
        <v>-943</v>
      </c>
    </row>
    <row r="51" spans="1:17" x14ac:dyDescent="0.25">
      <c r="A51" s="1">
        <v>43497</v>
      </c>
      <c r="B51" t="s">
        <v>158</v>
      </c>
      <c r="C51" t="s">
        <v>83</v>
      </c>
      <c r="D51" t="s">
        <v>82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 s="1">
        <v>44228</v>
      </c>
      <c r="Q51">
        <v>-731</v>
      </c>
    </row>
    <row r="52" spans="1:17" x14ac:dyDescent="0.25">
      <c r="A52" s="1">
        <v>43497</v>
      </c>
      <c r="B52" t="s">
        <v>159</v>
      </c>
      <c r="C52" t="s">
        <v>84</v>
      </c>
      <c r="D52" t="s">
        <v>55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 s="1">
        <v>44256</v>
      </c>
      <c r="Q52">
        <v>-759</v>
      </c>
    </row>
    <row r="53" spans="1:17" x14ac:dyDescent="0.25">
      <c r="A53" s="1">
        <v>43497</v>
      </c>
      <c r="B53" t="s">
        <v>160</v>
      </c>
      <c r="C53" t="s">
        <v>86</v>
      </c>
      <c r="D53" t="s">
        <v>68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 s="1">
        <v>44317</v>
      </c>
      <c r="Q53">
        <v>-820</v>
      </c>
    </row>
    <row r="54" spans="1:17" x14ac:dyDescent="0.25">
      <c r="A54" s="1">
        <v>43497</v>
      </c>
      <c r="B54" t="s">
        <v>161</v>
      </c>
      <c r="C54" t="s">
        <v>87</v>
      </c>
      <c r="D54" t="s">
        <v>72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1">
        <v>44440</v>
      </c>
      <c r="Q54">
        <v>-943</v>
      </c>
    </row>
    <row r="55" spans="1:17" x14ac:dyDescent="0.25">
      <c r="A55" s="1">
        <v>43497</v>
      </c>
      <c r="B55" t="s">
        <v>162</v>
      </c>
      <c r="C55" t="s">
        <v>89</v>
      </c>
      <c r="D55" t="s">
        <v>88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 s="1">
        <v>44044</v>
      </c>
      <c r="Q55">
        <v>-547</v>
      </c>
    </row>
    <row r="56" spans="1:17" x14ac:dyDescent="0.25">
      <c r="A56" s="1">
        <v>43497</v>
      </c>
      <c r="B56" t="s">
        <v>163</v>
      </c>
      <c r="C56" t="s">
        <v>90</v>
      </c>
      <c r="D56" t="s">
        <v>82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 s="1">
        <v>44228</v>
      </c>
      <c r="Q56">
        <v>-731</v>
      </c>
    </row>
    <row r="57" spans="1:17" x14ac:dyDescent="0.25">
      <c r="A57" s="1">
        <v>43497</v>
      </c>
      <c r="B57" t="s">
        <v>164</v>
      </c>
      <c r="C57" t="s">
        <v>92</v>
      </c>
      <c r="D57" t="s">
        <v>91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 s="1">
        <v>44105</v>
      </c>
      <c r="Q57">
        <v>-608</v>
      </c>
    </row>
    <row r="58" spans="1:17" x14ac:dyDescent="0.25">
      <c r="A58" s="1">
        <v>43497</v>
      </c>
      <c r="B58" t="s">
        <v>165</v>
      </c>
      <c r="C58" t="s">
        <v>94</v>
      </c>
      <c r="D58" t="s">
        <v>93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 s="1">
        <v>43586</v>
      </c>
      <c r="Q58">
        <v>-89</v>
      </c>
    </row>
    <row r="59" spans="1:17" x14ac:dyDescent="0.25">
      <c r="A59" s="1">
        <v>43497</v>
      </c>
      <c r="B59" t="s">
        <v>166</v>
      </c>
      <c r="C59" t="s">
        <v>96</v>
      </c>
      <c r="D59" t="s">
        <v>95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 s="1">
        <v>43678</v>
      </c>
      <c r="Q59">
        <v>-181</v>
      </c>
    </row>
    <row r="60" spans="1:17" x14ac:dyDescent="0.25">
      <c r="A60" s="1">
        <v>43497</v>
      </c>
      <c r="B60" t="s">
        <v>167</v>
      </c>
      <c r="C60" t="s">
        <v>97</v>
      </c>
      <c r="D60" t="s">
        <v>58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 s="1">
        <v>44287</v>
      </c>
      <c r="Q60">
        <v>-790</v>
      </c>
    </row>
    <row r="61" spans="1:17" x14ac:dyDescent="0.25">
      <c r="A61" s="1">
        <v>43497</v>
      </c>
      <c r="B61" t="s">
        <v>168</v>
      </c>
      <c r="C61" t="s">
        <v>98</v>
      </c>
      <c r="D61" t="s">
        <v>49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1">
        <v>43709</v>
      </c>
      <c r="Q61">
        <v>-212</v>
      </c>
    </row>
    <row r="62" spans="1:17" x14ac:dyDescent="0.25">
      <c r="A62" s="1">
        <v>43497</v>
      </c>
      <c r="B62" t="s">
        <v>169</v>
      </c>
      <c r="C62" t="s">
        <v>99</v>
      </c>
      <c r="D62" t="s">
        <v>95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 s="1">
        <v>43678</v>
      </c>
      <c r="Q62">
        <v>-181</v>
      </c>
    </row>
    <row r="63" spans="1:17" x14ac:dyDescent="0.25">
      <c r="A63" s="1">
        <v>43497</v>
      </c>
      <c r="B63" t="s">
        <v>170</v>
      </c>
      <c r="C63" t="s">
        <v>100</v>
      </c>
      <c r="D63" t="s">
        <v>82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 s="1">
        <v>44228</v>
      </c>
      <c r="Q63">
        <v>-731</v>
      </c>
    </row>
    <row r="64" spans="1:17" x14ac:dyDescent="0.25">
      <c r="A64" s="1">
        <v>43497</v>
      </c>
      <c r="B64" t="s">
        <v>171</v>
      </c>
      <c r="C64" t="s">
        <v>101</v>
      </c>
      <c r="D64" t="s">
        <v>68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 s="1">
        <v>44317</v>
      </c>
      <c r="Q64">
        <v>-820</v>
      </c>
    </row>
    <row r="65" spans="1:17" x14ac:dyDescent="0.25">
      <c r="A65" s="1">
        <v>43497</v>
      </c>
      <c r="B65" t="s">
        <v>172</v>
      </c>
      <c r="C65" t="s">
        <v>102</v>
      </c>
      <c r="D65" t="s">
        <v>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 s="1">
        <v>44044</v>
      </c>
      <c r="Q65">
        <v>-547</v>
      </c>
    </row>
    <row r="66" spans="1:17" x14ac:dyDescent="0.25">
      <c r="A66" s="1">
        <v>43497</v>
      </c>
      <c r="B66" t="s">
        <v>173</v>
      </c>
      <c r="C66" t="s">
        <v>103</v>
      </c>
      <c r="D66" t="s">
        <v>52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 s="1">
        <v>43862</v>
      </c>
      <c r="Q66">
        <v>-365</v>
      </c>
    </row>
    <row r="67" spans="1:17" x14ac:dyDescent="0.25">
      <c r="A67" s="1">
        <v>43497</v>
      </c>
      <c r="B67" t="s">
        <v>174</v>
      </c>
      <c r="C67" t="s">
        <v>105</v>
      </c>
      <c r="D67" t="s">
        <v>104</v>
      </c>
      <c r="E67">
        <v>265</v>
      </c>
      <c r="F67">
        <v>232</v>
      </c>
      <c r="G67">
        <v>373</v>
      </c>
      <c r="H67">
        <v>1452</v>
      </c>
      <c r="I67">
        <v>2108</v>
      </c>
      <c r="J67">
        <v>347</v>
      </c>
      <c r="K67">
        <v>901</v>
      </c>
      <c r="L67">
        <v>822</v>
      </c>
      <c r="M67">
        <v>1162</v>
      </c>
      <c r="N67">
        <v>328</v>
      </c>
      <c r="O67">
        <v>1207</v>
      </c>
      <c r="P67" s="1">
        <v>43374</v>
      </c>
      <c r="Q67">
        <v>123</v>
      </c>
    </row>
    <row r="68" spans="1:17" x14ac:dyDescent="0.25">
      <c r="A68" s="1">
        <v>43497</v>
      </c>
      <c r="B68" t="s">
        <v>142</v>
      </c>
      <c r="C68" t="s">
        <v>50</v>
      </c>
      <c r="D68" t="s">
        <v>49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1">
        <v>43709</v>
      </c>
      <c r="Q68">
        <v>-212</v>
      </c>
    </row>
    <row r="69" spans="1:17" x14ac:dyDescent="0.25">
      <c r="A69" s="1">
        <v>43497</v>
      </c>
      <c r="B69" t="s">
        <v>143</v>
      </c>
      <c r="C69" t="s">
        <v>53</v>
      </c>
      <c r="D69" t="s">
        <v>52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 s="1">
        <v>43862</v>
      </c>
      <c r="Q69">
        <v>-365</v>
      </c>
    </row>
    <row r="70" spans="1:17" x14ac:dyDescent="0.25">
      <c r="A70" s="1">
        <v>43525</v>
      </c>
      <c r="B70" t="s">
        <v>144</v>
      </c>
      <c r="C70" t="s">
        <v>56</v>
      </c>
      <c r="D70" t="s">
        <v>55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 s="1">
        <v>44256</v>
      </c>
      <c r="Q70">
        <v>-731</v>
      </c>
    </row>
    <row r="71" spans="1:17" x14ac:dyDescent="0.25">
      <c r="A71" s="1">
        <v>43525</v>
      </c>
      <c r="B71" t="s">
        <v>145</v>
      </c>
      <c r="C71" t="s">
        <v>59</v>
      </c>
      <c r="D71" t="s">
        <v>58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 s="1">
        <v>44287</v>
      </c>
      <c r="Q71">
        <v>-762</v>
      </c>
    </row>
    <row r="72" spans="1:17" x14ac:dyDescent="0.25">
      <c r="A72" s="1">
        <v>43525</v>
      </c>
      <c r="B72" t="s">
        <v>146</v>
      </c>
      <c r="C72" t="s">
        <v>62</v>
      </c>
      <c r="D72" t="s">
        <v>61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 s="1">
        <v>44075</v>
      </c>
      <c r="Q72">
        <v>-550</v>
      </c>
    </row>
    <row r="73" spans="1:17" x14ac:dyDescent="0.25">
      <c r="A73" s="1">
        <v>43525</v>
      </c>
      <c r="B73" t="s">
        <v>147</v>
      </c>
      <c r="C73" t="s">
        <v>64</v>
      </c>
      <c r="D73" t="s">
        <v>52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 s="1">
        <v>43862</v>
      </c>
      <c r="Q73">
        <v>-337</v>
      </c>
    </row>
    <row r="74" spans="1:17" x14ac:dyDescent="0.25">
      <c r="A74" s="1">
        <v>43525</v>
      </c>
      <c r="B74" t="s">
        <v>148</v>
      </c>
      <c r="C74" t="s">
        <v>66</v>
      </c>
      <c r="D74" t="s">
        <v>55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 s="1">
        <v>44256</v>
      </c>
      <c r="Q74">
        <v>-731</v>
      </c>
    </row>
    <row r="75" spans="1:17" x14ac:dyDescent="0.25">
      <c r="A75" s="1">
        <v>43525</v>
      </c>
      <c r="B75" t="s">
        <v>149</v>
      </c>
      <c r="C75" t="s">
        <v>67</v>
      </c>
      <c r="D75" t="s">
        <v>55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1">
        <v>44256</v>
      </c>
      <c r="Q75">
        <v>-731</v>
      </c>
    </row>
    <row r="76" spans="1:17" x14ac:dyDescent="0.25">
      <c r="A76" s="1">
        <v>43525</v>
      </c>
      <c r="B76" t="s">
        <v>150</v>
      </c>
      <c r="C76" t="s">
        <v>69</v>
      </c>
      <c r="D76" t="s">
        <v>68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 s="1">
        <v>44317</v>
      </c>
      <c r="Q76">
        <v>-792</v>
      </c>
    </row>
    <row r="77" spans="1:17" x14ac:dyDescent="0.25">
      <c r="A77" s="1">
        <v>43525</v>
      </c>
      <c r="B77" t="s">
        <v>151</v>
      </c>
      <c r="C77" t="s">
        <v>71</v>
      </c>
      <c r="D77" t="s">
        <v>70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 s="1">
        <v>44136</v>
      </c>
      <c r="Q77">
        <v>-611</v>
      </c>
    </row>
    <row r="78" spans="1:17" x14ac:dyDescent="0.25">
      <c r="A78" s="1">
        <v>43525</v>
      </c>
      <c r="B78" t="s">
        <v>152</v>
      </c>
      <c r="C78" t="s">
        <v>11</v>
      </c>
      <c r="D78" t="s">
        <v>52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 s="1">
        <v>43862</v>
      </c>
      <c r="Q78">
        <v>-337</v>
      </c>
    </row>
    <row r="79" spans="1:17" x14ac:dyDescent="0.25">
      <c r="A79" s="1">
        <v>43525</v>
      </c>
      <c r="B79" t="s">
        <v>153</v>
      </c>
      <c r="C79" t="s">
        <v>73</v>
      </c>
      <c r="D79" t="s">
        <v>72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 s="1">
        <v>44440</v>
      </c>
      <c r="Q79">
        <v>-915</v>
      </c>
    </row>
    <row r="80" spans="1:17" x14ac:dyDescent="0.25">
      <c r="A80" s="1">
        <v>43525</v>
      </c>
      <c r="B80" t="s">
        <v>154</v>
      </c>
      <c r="C80" t="s">
        <v>17</v>
      </c>
      <c r="D80" t="s">
        <v>74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 s="1">
        <v>44197</v>
      </c>
      <c r="Q80">
        <v>-672</v>
      </c>
    </row>
    <row r="81" spans="1:17" x14ac:dyDescent="0.25">
      <c r="A81" s="1">
        <v>43525</v>
      </c>
      <c r="B81" t="s">
        <v>155</v>
      </c>
      <c r="C81" t="s">
        <v>76</v>
      </c>
      <c r="D81" t="s">
        <v>75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 s="1">
        <v>44470</v>
      </c>
      <c r="Q81">
        <v>-945</v>
      </c>
    </row>
    <row r="82" spans="1:17" x14ac:dyDescent="0.25">
      <c r="A82" s="1">
        <v>43525</v>
      </c>
      <c r="B82" t="s">
        <v>156</v>
      </c>
      <c r="C82" t="s">
        <v>79</v>
      </c>
      <c r="D82" t="s">
        <v>78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 s="1">
        <v>44348</v>
      </c>
      <c r="Q82">
        <v>-823</v>
      </c>
    </row>
    <row r="83" spans="1:17" x14ac:dyDescent="0.25">
      <c r="A83" s="1">
        <v>43525</v>
      </c>
      <c r="B83" t="s">
        <v>157</v>
      </c>
      <c r="C83" t="s">
        <v>81</v>
      </c>
      <c r="D83" t="s">
        <v>72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 s="1">
        <v>44440</v>
      </c>
      <c r="Q83">
        <v>-915</v>
      </c>
    </row>
    <row r="84" spans="1:17" x14ac:dyDescent="0.25">
      <c r="A84" s="1">
        <v>43525</v>
      </c>
      <c r="B84" t="s">
        <v>158</v>
      </c>
      <c r="C84" t="s">
        <v>83</v>
      </c>
      <c r="D84" t="s">
        <v>82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 s="1">
        <v>44228</v>
      </c>
      <c r="Q84">
        <v>-703</v>
      </c>
    </row>
    <row r="85" spans="1:17" x14ac:dyDescent="0.25">
      <c r="A85" s="1">
        <v>43525</v>
      </c>
      <c r="B85" t="s">
        <v>159</v>
      </c>
      <c r="C85" t="s">
        <v>84</v>
      </c>
      <c r="D85" t="s">
        <v>55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 s="1">
        <v>44256</v>
      </c>
      <c r="Q85">
        <v>-731</v>
      </c>
    </row>
    <row r="86" spans="1:17" x14ac:dyDescent="0.25">
      <c r="A86" s="1">
        <v>43525</v>
      </c>
      <c r="B86" t="s">
        <v>160</v>
      </c>
      <c r="C86" t="s">
        <v>86</v>
      </c>
      <c r="D86" t="s">
        <v>68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 s="1">
        <v>44317</v>
      </c>
      <c r="Q86">
        <v>-792</v>
      </c>
    </row>
    <row r="87" spans="1:17" x14ac:dyDescent="0.25">
      <c r="A87" s="1">
        <v>43525</v>
      </c>
      <c r="B87" t="s">
        <v>161</v>
      </c>
      <c r="C87" t="s">
        <v>87</v>
      </c>
      <c r="D87" t="s">
        <v>72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 s="1">
        <v>44440</v>
      </c>
      <c r="Q87">
        <v>-915</v>
      </c>
    </row>
    <row r="88" spans="1:17" x14ac:dyDescent="0.25">
      <c r="A88" s="1">
        <v>43525</v>
      </c>
      <c r="B88" t="s">
        <v>162</v>
      </c>
      <c r="C88" t="s">
        <v>89</v>
      </c>
      <c r="D88" t="s">
        <v>88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 s="1">
        <v>44044</v>
      </c>
      <c r="Q88">
        <v>-519</v>
      </c>
    </row>
    <row r="89" spans="1:17" x14ac:dyDescent="0.25">
      <c r="A89" s="1">
        <v>43525</v>
      </c>
      <c r="B89" t="s">
        <v>163</v>
      </c>
      <c r="C89" t="s">
        <v>90</v>
      </c>
      <c r="D89" t="s">
        <v>82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 s="1">
        <v>44228</v>
      </c>
      <c r="Q89">
        <v>-703</v>
      </c>
    </row>
    <row r="90" spans="1:17" x14ac:dyDescent="0.25">
      <c r="A90" s="1">
        <v>43525</v>
      </c>
      <c r="B90" t="s">
        <v>164</v>
      </c>
      <c r="C90" t="s">
        <v>92</v>
      </c>
      <c r="D90" t="s">
        <v>91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 s="1">
        <v>44105</v>
      </c>
      <c r="Q90">
        <v>-580</v>
      </c>
    </row>
    <row r="91" spans="1:17" x14ac:dyDescent="0.25">
      <c r="A91" s="1">
        <v>43525</v>
      </c>
      <c r="B91" t="s">
        <v>165</v>
      </c>
      <c r="C91" t="s">
        <v>94</v>
      </c>
      <c r="D91" t="s">
        <v>93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 s="1">
        <v>43586</v>
      </c>
      <c r="Q91">
        <v>-61</v>
      </c>
    </row>
    <row r="92" spans="1:17" x14ac:dyDescent="0.25">
      <c r="A92" s="1">
        <v>43525</v>
      </c>
      <c r="B92" t="s">
        <v>166</v>
      </c>
      <c r="C92" t="s">
        <v>96</v>
      </c>
      <c r="D92" t="s">
        <v>95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 s="1">
        <v>43678</v>
      </c>
      <c r="Q92">
        <v>-153</v>
      </c>
    </row>
    <row r="93" spans="1:17" x14ac:dyDescent="0.25">
      <c r="A93" s="1">
        <v>43525</v>
      </c>
      <c r="B93" t="s">
        <v>167</v>
      </c>
      <c r="C93" t="s">
        <v>97</v>
      </c>
      <c r="D93" t="s">
        <v>58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 s="1">
        <v>44287</v>
      </c>
      <c r="Q93">
        <v>-762</v>
      </c>
    </row>
    <row r="94" spans="1:17" x14ac:dyDescent="0.25">
      <c r="A94" s="1">
        <v>43525</v>
      </c>
      <c r="B94" t="s">
        <v>168</v>
      </c>
      <c r="C94" t="s">
        <v>98</v>
      </c>
      <c r="D94" t="s">
        <v>49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 s="1">
        <v>43709</v>
      </c>
      <c r="Q94">
        <v>-184</v>
      </c>
    </row>
    <row r="95" spans="1:17" x14ac:dyDescent="0.25">
      <c r="A95" s="1">
        <v>43525</v>
      </c>
      <c r="B95" t="s">
        <v>169</v>
      </c>
      <c r="C95" t="s">
        <v>99</v>
      </c>
      <c r="D95" t="s">
        <v>95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 s="1">
        <v>43678</v>
      </c>
      <c r="Q95">
        <v>-153</v>
      </c>
    </row>
    <row r="96" spans="1:17" x14ac:dyDescent="0.25">
      <c r="A96" s="1">
        <v>43525</v>
      </c>
      <c r="B96" t="s">
        <v>170</v>
      </c>
      <c r="C96" t="s">
        <v>100</v>
      </c>
      <c r="D96" t="s">
        <v>82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 s="1">
        <v>44228</v>
      </c>
      <c r="Q96">
        <v>-703</v>
      </c>
    </row>
    <row r="97" spans="1:17" x14ac:dyDescent="0.25">
      <c r="A97" s="1">
        <v>43525</v>
      </c>
      <c r="B97" t="s">
        <v>171</v>
      </c>
      <c r="C97" t="s">
        <v>101</v>
      </c>
      <c r="D97" t="s">
        <v>68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 s="1">
        <v>44317</v>
      </c>
      <c r="Q97">
        <v>-792</v>
      </c>
    </row>
    <row r="98" spans="1:17" x14ac:dyDescent="0.25">
      <c r="A98" s="1">
        <v>43525</v>
      </c>
      <c r="B98" t="s">
        <v>172</v>
      </c>
      <c r="C98" t="s">
        <v>102</v>
      </c>
      <c r="D98" t="s">
        <v>88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 s="1">
        <v>44044</v>
      </c>
      <c r="Q98">
        <v>-519</v>
      </c>
    </row>
    <row r="99" spans="1:17" x14ac:dyDescent="0.25">
      <c r="A99" s="1">
        <v>43525</v>
      </c>
      <c r="B99" t="s">
        <v>173</v>
      </c>
      <c r="C99" t="s">
        <v>103</v>
      </c>
      <c r="D99" t="s">
        <v>52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 s="1">
        <v>43862</v>
      </c>
      <c r="Q99">
        <v>-337</v>
      </c>
    </row>
    <row r="100" spans="1:17" x14ac:dyDescent="0.25">
      <c r="A100" s="1">
        <v>43525</v>
      </c>
      <c r="B100" t="s">
        <v>174</v>
      </c>
      <c r="C100" t="s">
        <v>105</v>
      </c>
      <c r="D100" t="s">
        <v>104</v>
      </c>
      <c r="E100">
        <v>300</v>
      </c>
      <c r="F100">
        <v>542</v>
      </c>
      <c r="G100">
        <v>605</v>
      </c>
      <c r="H100">
        <v>1844</v>
      </c>
      <c r="I100">
        <v>741</v>
      </c>
      <c r="J100">
        <v>135</v>
      </c>
      <c r="K100">
        <v>616</v>
      </c>
      <c r="L100">
        <v>-67</v>
      </c>
      <c r="M100">
        <v>1056</v>
      </c>
      <c r="N100">
        <v>1665</v>
      </c>
      <c r="O100">
        <v>-676</v>
      </c>
      <c r="P100" s="1">
        <v>43374</v>
      </c>
      <c r="Q100">
        <v>151</v>
      </c>
    </row>
    <row r="101" spans="1:17" x14ac:dyDescent="0.25">
      <c r="A101" s="1">
        <v>43525</v>
      </c>
      <c r="B101" t="s">
        <v>142</v>
      </c>
      <c r="C101" t="s">
        <v>50</v>
      </c>
      <c r="D101" t="s">
        <v>49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 s="1">
        <v>43709</v>
      </c>
      <c r="Q101">
        <v>-184</v>
      </c>
    </row>
    <row r="102" spans="1:17" x14ac:dyDescent="0.25">
      <c r="A102" s="1">
        <v>43525</v>
      </c>
      <c r="B102" t="s">
        <v>143</v>
      </c>
      <c r="C102" t="s">
        <v>53</v>
      </c>
      <c r="D102" t="s">
        <v>52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 s="1">
        <v>43862</v>
      </c>
      <c r="Q102">
        <v>-337</v>
      </c>
    </row>
    <row r="103" spans="1:17" x14ac:dyDescent="0.25">
      <c r="A103" s="1">
        <v>43525</v>
      </c>
      <c r="B103" t="s">
        <v>144</v>
      </c>
      <c r="C103" t="s">
        <v>56</v>
      </c>
      <c r="D103" t="s">
        <v>55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 s="1">
        <v>44256</v>
      </c>
      <c r="Q103">
        <v>-731</v>
      </c>
    </row>
    <row r="104" spans="1:17" x14ac:dyDescent="0.25">
      <c r="A104" s="1">
        <v>43525</v>
      </c>
      <c r="B104" t="s">
        <v>145</v>
      </c>
      <c r="C104" t="s">
        <v>59</v>
      </c>
      <c r="D104" t="s">
        <v>58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 s="1">
        <v>44287</v>
      </c>
      <c r="Q104">
        <v>-762</v>
      </c>
    </row>
    <row r="105" spans="1:17" x14ac:dyDescent="0.25">
      <c r="A105" s="1">
        <v>43556</v>
      </c>
      <c r="B105" t="s">
        <v>146</v>
      </c>
      <c r="C105" t="s">
        <v>62</v>
      </c>
      <c r="D105" t="s">
        <v>61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 s="1">
        <v>44075</v>
      </c>
      <c r="Q105">
        <v>-519</v>
      </c>
    </row>
    <row r="106" spans="1:17" x14ac:dyDescent="0.25">
      <c r="A106" s="1">
        <v>43556</v>
      </c>
      <c r="B106" t="s">
        <v>147</v>
      </c>
      <c r="C106" t="s">
        <v>64</v>
      </c>
      <c r="D106" t="s">
        <v>52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 s="1">
        <v>43862</v>
      </c>
      <c r="Q106">
        <v>-306</v>
      </c>
    </row>
    <row r="107" spans="1:17" x14ac:dyDescent="0.25">
      <c r="A107" s="1">
        <v>43556</v>
      </c>
      <c r="B107" t="s">
        <v>148</v>
      </c>
      <c r="C107" t="s">
        <v>66</v>
      </c>
      <c r="D107" t="s">
        <v>55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 s="1">
        <v>44256</v>
      </c>
      <c r="Q107">
        <v>-700</v>
      </c>
    </row>
    <row r="108" spans="1:17" x14ac:dyDescent="0.25">
      <c r="A108" s="1">
        <v>43556</v>
      </c>
      <c r="B108" t="s">
        <v>149</v>
      </c>
      <c r="C108" t="s">
        <v>67</v>
      </c>
      <c r="D108" t="s">
        <v>55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 s="1">
        <v>44256</v>
      </c>
      <c r="Q108">
        <v>-700</v>
      </c>
    </row>
    <row r="109" spans="1:17" x14ac:dyDescent="0.25">
      <c r="A109" s="1">
        <v>43556</v>
      </c>
      <c r="B109" t="s">
        <v>150</v>
      </c>
      <c r="C109" t="s">
        <v>69</v>
      </c>
      <c r="D109" t="s">
        <v>68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 s="1">
        <v>44317</v>
      </c>
      <c r="Q109">
        <v>-761</v>
      </c>
    </row>
    <row r="110" spans="1:17" x14ac:dyDescent="0.25">
      <c r="A110" s="1">
        <v>43556</v>
      </c>
      <c r="B110" t="s">
        <v>151</v>
      </c>
      <c r="C110" t="s">
        <v>71</v>
      </c>
      <c r="D110" t="s">
        <v>70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 s="1">
        <v>44136</v>
      </c>
      <c r="Q110">
        <v>-580</v>
      </c>
    </row>
    <row r="111" spans="1:17" x14ac:dyDescent="0.25">
      <c r="A111" s="1">
        <v>43556</v>
      </c>
      <c r="B111" t="s">
        <v>152</v>
      </c>
      <c r="C111" t="s">
        <v>11</v>
      </c>
      <c r="D111" t="s">
        <v>52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 s="1">
        <v>43862</v>
      </c>
      <c r="Q111">
        <v>-306</v>
      </c>
    </row>
    <row r="112" spans="1:17" x14ac:dyDescent="0.25">
      <c r="A112" s="1">
        <v>43556</v>
      </c>
      <c r="B112" t="s">
        <v>153</v>
      </c>
      <c r="C112" t="s">
        <v>73</v>
      </c>
      <c r="D112" t="s">
        <v>72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 s="1">
        <v>44440</v>
      </c>
      <c r="Q112">
        <v>-884</v>
      </c>
    </row>
    <row r="113" spans="1:17" x14ac:dyDescent="0.25">
      <c r="A113" s="1">
        <v>43556</v>
      </c>
      <c r="B113" t="s">
        <v>154</v>
      </c>
      <c r="C113" t="s">
        <v>17</v>
      </c>
      <c r="D113" t="s">
        <v>74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 s="1">
        <v>44197</v>
      </c>
      <c r="Q113">
        <v>-641</v>
      </c>
    </row>
    <row r="114" spans="1:17" x14ac:dyDescent="0.25">
      <c r="A114" s="1">
        <v>43556</v>
      </c>
      <c r="B114" t="s">
        <v>155</v>
      </c>
      <c r="C114" t="s">
        <v>76</v>
      </c>
      <c r="D114" t="s">
        <v>75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 s="1">
        <v>44470</v>
      </c>
      <c r="Q114">
        <v>-914</v>
      </c>
    </row>
    <row r="115" spans="1:17" x14ac:dyDescent="0.25">
      <c r="A115" s="1">
        <v>43556</v>
      </c>
      <c r="B115" t="s">
        <v>156</v>
      </c>
      <c r="C115" t="s">
        <v>79</v>
      </c>
      <c r="D115" t="s">
        <v>78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 s="1">
        <v>44348</v>
      </c>
      <c r="Q115">
        <v>-792</v>
      </c>
    </row>
    <row r="116" spans="1:17" x14ac:dyDescent="0.25">
      <c r="A116" s="1">
        <v>43556</v>
      </c>
      <c r="B116" t="s">
        <v>157</v>
      </c>
      <c r="C116" t="s">
        <v>81</v>
      </c>
      <c r="D116" t="s">
        <v>72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 s="1">
        <v>44440</v>
      </c>
      <c r="Q116">
        <v>-884</v>
      </c>
    </row>
    <row r="117" spans="1:17" x14ac:dyDescent="0.25">
      <c r="A117" s="1">
        <v>43556</v>
      </c>
      <c r="B117" t="s">
        <v>158</v>
      </c>
      <c r="C117" t="s">
        <v>83</v>
      </c>
      <c r="D117" t="s">
        <v>82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 s="1">
        <v>44228</v>
      </c>
      <c r="Q117">
        <v>-672</v>
      </c>
    </row>
    <row r="118" spans="1:17" x14ac:dyDescent="0.25">
      <c r="A118" s="1">
        <v>43556</v>
      </c>
      <c r="B118" t="s">
        <v>159</v>
      </c>
      <c r="C118" t="s">
        <v>84</v>
      </c>
      <c r="D118" t="s">
        <v>55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 s="1">
        <v>44256</v>
      </c>
      <c r="Q118">
        <v>-700</v>
      </c>
    </row>
    <row r="119" spans="1:17" x14ac:dyDescent="0.25">
      <c r="A119" s="1">
        <v>43556</v>
      </c>
      <c r="B119" t="s">
        <v>160</v>
      </c>
      <c r="C119" t="s">
        <v>86</v>
      </c>
      <c r="D119" t="s">
        <v>68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 s="1">
        <v>44317</v>
      </c>
      <c r="Q119">
        <v>-761</v>
      </c>
    </row>
    <row r="120" spans="1:17" x14ac:dyDescent="0.25">
      <c r="A120" s="1">
        <v>43556</v>
      </c>
      <c r="B120" t="s">
        <v>161</v>
      </c>
      <c r="C120" t="s">
        <v>87</v>
      </c>
      <c r="D120" t="s">
        <v>72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 s="1">
        <v>44440</v>
      </c>
      <c r="Q120">
        <v>-884</v>
      </c>
    </row>
    <row r="121" spans="1:17" x14ac:dyDescent="0.25">
      <c r="A121" s="1">
        <v>43556</v>
      </c>
      <c r="B121" t="s">
        <v>162</v>
      </c>
      <c r="C121" t="s">
        <v>89</v>
      </c>
      <c r="D121" t="s">
        <v>88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 s="1">
        <v>44044</v>
      </c>
      <c r="Q121">
        <v>-488</v>
      </c>
    </row>
    <row r="122" spans="1:17" x14ac:dyDescent="0.25">
      <c r="A122" s="1">
        <v>43556</v>
      </c>
      <c r="B122" t="s">
        <v>163</v>
      </c>
      <c r="C122" t="s">
        <v>90</v>
      </c>
      <c r="D122" t="s">
        <v>82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 s="1">
        <v>44228</v>
      </c>
      <c r="Q122">
        <v>-672</v>
      </c>
    </row>
    <row r="123" spans="1:17" x14ac:dyDescent="0.25">
      <c r="A123" s="1">
        <v>43556</v>
      </c>
      <c r="B123" t="s">
        <v>164</v>
      </c>
      <c r="C123" t="s">
        <v>92</v>
      </c>
      <c r="D123" t="s">
        <v>91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 s="1">
        <v>44105</v>
      </c>
      <c r="Q123">
        <v>-549</v>
      </c>
    </row>
    <row r="124" spans="1:17" x14ac:dyDescent="0.25">
      <c r="A124" s="1">
        <v>43556</v>
      </c>
      <c r="B124" t="s">
        <v>165</v>
      </c>
      <c r="C124" t="s">
        <v>94</v>
      </c>
      <c r="D124" t="s">
        <v>93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 s="1">
        <v>43586</v>
      </c>
      <c r="Q124">
        <v>-30</v>
      </c>
    </row>
    <row r="125" spans="1:17" x14ac:dyDescent="0.25">
      <c r="A125" s="1">
        <v>43556</v>
      </c>
      <c r="B125" t="s">
        <v>166</v>
      </c>
      <c r="C125" t="s">
        <v>96</v>
      </c>
      <c r="D125" t="s">
        <v>95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 s="1">
        <v>43678</v>
      </c>
      <c r="Q125">
        <v>-122</v>
      </c>
    </row>
    <row r="126" spans="1:17" x14ac:dyDescent="0.25">
      <c r="A126" s="1">
        <v>43556</v>
      </c>
      <c r="B126" t="s">
        <v>167</v>
      </c>
      <c r="C126" t="s">
        <v>97</v>
      </c>
      <c r="D126" t="s">
        <v>58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 s="1">
        <v>44287</v>
      </c>
      <c r="Q126">
        <v>-731</v>
      </c>
    </row>
    <row r="127" spans="1:17" x14ac:dyDescent="0.25">
      <c r="A127" s="1">
        <v>43556</v>
      </c>
      <c r="B127" t="s">
        <v>168</v>
      </c>
      <c r="C127" t="s">
        <v>98</v>
      </c>
      <c r="D127" t="s">
        <v>49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 s="1">
        <v>43709</v>
      </c>
      <c r="Q127">
        <v>-153</v>
      </c>
    </row>
    <row r="128" spans="1:17" x14ac:dyDescent="0.25">
      <c r="A128" s="1">
        <v>43556</v>
      </c>
      <c r="B128" t="s">
        <v>169</v>
      </c>
      <c r="C128" t="s">
        <v>99</v>
      </c>
      <c r="D128" t="s">
        <v>95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 s="1">
        <v>43678</v>
      </c>
      <c r="Q128">
        <v>-122</v>
      </c>
    </row>
    <row r="129" spans="1:17" x14ac:dyDescent="0.25">
      <c r="A129" s="1">
        <v>43556</v>
      </c>
      <c r="B129" t="s">
        <v>170</v>
      </c>
      <c r="C129" t="s">
        <v>100</v>
      </c>
      <c r="D129" t="s">
        <v>82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 s="1">
        <v>44228</v>
      </c>
      <c r="Q129">
        <v>-672</v>
      </c>
    </row>
    <row r="130" spans="1:17" x14ac:dyDescent="0.25">
      <c r="A130" s="1">
        <v>43556</v>
      </c>
      <c r="B130" t="s">
        <v>171</v>
      </c>
      <c r="C130" t="s">
        <v>101</v>
      </c>
      <c r="D130" t="s">
        <v>68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 s="1">
        <v>44317</v>
      </c>
      <c r="Q130">
        <v>-761</v>
      </c>
    </row>
    <row r="131" spans="1:17" x14ac:dyDescent="0.25">
      <c r="A131" s="1">
        <v>43556</v>
      </c>
      <c r="B131" t="s">
        <v>172</v>
      </c>
      <c r="C131" t="s">
        <v>102</v>
      </c>
      <c r="D131" t="s">
        <v>88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 s="1">
        <v>44044</v>
      </c>
      <c r="Q131">
        <v>-488</v>
      </c>
    </row>
    <row r="132" spans="1:17" x14ac:dyDescent="0.25">
      <c r="A132" s="1">
        <v>43556</v>
      </c>
      <c r="B132" t="s">
        <v>173</v>
      </c>
      <c r="C132" t="s">
        <v>103</v>
      </c>
      <c r="D132" t="s">
        <v>52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 s="1">
        <v>43862</v>
      </c>
      <c r="Q132">
        <v>-306</v>
      </c>
    </row>
    <row r="133" spans="1:17" x14ac:dyDescent="0.25">
      <c r="A133" s="1">
        <v>43556</v>
      </c>
      <c r="B133" t="s">
        <v>174</v>
      </c>
      <c r="C133" t="s">
        <v>105</v>
      </c>
      <c r="D133" t="s">
        <v>104</v>
      </c>
      <c r="E133">
        <v>513</v>
      </c>
      <c r="F133">
        <v>613</v>
      </c>
      <c r="G133">
        <v>-23</v>
      </c>
      <c r="H133">
        <v>1247</v>
      </c>
      <c r="I133">
        <v>473</v>
      </c>
      <c r="J133">
        <v>480</v>
      </c>
      <c r="K133">
        <v>322</v>
      </c>
      <c r="L133">
        <v>397</v>
      </c>
      <c r="M133">
        <v>2164</v>
      </c>
      <c r="N133">
        <v>851</v>
      </c>
      <c r="O133">
        <v>1017</v>
      </c>
      <c r="P133" s="1">
        <v>43374</v>
      </c>
      <c r="Q133">
        <v>182</v>
      </c>
    </row>
    <row r="134" spans="1:17" x14ac:dyDescent="0.25">
      <c r="A134" s="1">
        <v>43556</v>
      </c>
      <c r="B134" t="s">
        <v>142</v>
      </c>
      <c r="C134" t="s">
        <v>50</v>
      </c>
      <c r="D134" t="s">
        <v>49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 s="1">
        <v>43709</v>
      </c>
      <c r="Q134">
        <v>-153</v>
      </c>
    </row>
    <row r="135" spans="1:17" x14ac:dyDescent="0.25">
      <c r="A135" s="1">
        <v>43556</v>
      </c>
      <c r="B135" t="s">
        <v>143</v>
      </c>
      <c r="C135" t="s">
        <v>53</v>
      </c>
      <c r="D135" t="s">
        <v>52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 s="1">
        <v>43862</v>
      </c>
      <c r="Q135">
        <v>-306</v>
      </c>
    </row>
    <row r="136" spans="1:17" x14ac:dyDescent="0.25">
      <c r="A136" s="1">
        <v>43556</v>
      </c>
      <c r="B136" t="s">
        <v>144</v>
      </c>
      <c r="C136" t="s">
        <v>56</v>
      </c>
      <c r="D136" t="s">
        <v>55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 s="1">
        <v>44256</v>
      </c>
      <c r="Q136">
        <v>-700</v>
      </c>
    </row>
    <row r="137" spans="1:17" x14ac:dyDescent="0.25">
      <c r="A137" s="1">
        <v>43556</v>
      </c>
      <c r="B137" t="s">
        <v>145</v>
      </c>
      <c r="C137" t="s">
        <v>59</v>
      </c>
      <c r="D137" t="s">
        <v>58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 s="1">
        <v>44287</v>
      </c>
      <c r="Q137">
        <v>-731</v>
      </c>
    </row>
    <row r="138" spans="1:17" x14ac:dyDescent="0.25">
      <c r="A138" s="1">
        <v>43556</v>
      </c>
      <c r="B138" t="s">
        <v>146</v>
      </c>
      <c r="C138" t="s">
        <v>62</v>
      </c>
      <c r="D138" t="s">
        <v>61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 s="1">
        <v>44075</v>
      </c>
      <c r="Q138">
        <v>-519</v>
      </c>
    </row>
    <row r="139" spans="1:17" x14ac:dyDescent="0.25">
      <c r="A139" s="1">
        <v>43556</v>
      </c>
      <c r="B139" t="s">
        <v>147</v>
      </c>
      <c r="C139" t="s">
        <v>64</v>
      </c>
      <c r="D139" t="s">
        <v>52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 s="1">
        <v>43862</v>
      </c>
      <c r="Q139">
        <v>-306</v>
      </c>
    </row>
    <row r="140" spans="1:17" x14ac:dyDescent="0.25">
      <c r="A140" s="1">
        <v>43586</v>
      </c>
      <c r="B140" t="s">
        <v>148</v>
      </c>
      <c r="C140" t="s">
        <v>66</v>
      </c>
      <c r="D140" t="s">
        <v>55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 s="1">
        <v>44256</v>
      </c>
      <c r="Q140">
        <v>-670</v>
      </c>
    </row>
    <row r="141" spans="1:17" x14ac:dyDescent="0.25">
      <c r="A141" s="1">
        <v>43586</v>
      </c>
      <c r="B141" t="s">
        <v>149</v>
      </c>
      <c r="C141" t="s">
        <v>67</v>
      </c>
      <c r="D141" t="s">
        <v>55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 s="1">
        <v>44256</v>
      </c>
      <c r="Q141">
        <v>-670</v>
      </c>
    </row>
    <row r="142" spans="1:17" x14ac:dyDescent="0.25">
      <c r="A142" s="1">
        <v>43586</v>
      </c>
      <c r="B142" t="s">
        <v>150</v>
      </c>
      <c r="C142" t="s">
        <v>69</v>
      </c>
      <c r="D142" t="s">
        <v>68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 s="1">
        <v>44317</v>
      </c>
      <c r="Q142">
        <v>-731</v>
      </c>
    </row>
    <row r="143" spans="1:17" x14ac:dyDescent="0.25">
      <c r="A143" s="1">
        <v>43586</v>
      </c>
      <c r="B143" t="s">
        <v>151</v>
      </c>
      <c r="C143" t="s">
        <v>71</v>
      </c>
      <c r="D143" t="s">
        <v>70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 s="1">
        <v>44136</v>
      </c>
      <c r="Q143">
        <v>-550</v>
      </c>
    </row>
    <row r="144" spans="1:17" x14ac:dyDescent="0.25">
      <c r="A144" s="1">
        <v>43586</v>
      </c>
      <c r="B144" t="s">
        <v>152</v>
      </c>
      <c r="C144" t="s">
        <v>11</v>
      </c>
      <c r="D144" t="s">
        <v>52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 s="1">
        <v>43862</v>
      </c>
      <c r="Q144">
        <v>-276</v>
      </c>
    </row>
    <row r="145" spans="1:17" x14ac:dyDescent="0.25">
      <c r="A145" s="1">
        <v>43586</v>
      </c>
      <c r="B145" t="s">
        <v>153</v>
      </c>
      <c r="C145" t="s">
        <v>73</v>
      </c>
      <c r="D145" t="s">
        <v>72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 s="1">
        <v>44440</v>
      </c>
      <c r="Q145">
        <v>-854</v>
      </c>
    </row>
    <row r="146" spans="1:17" x14ac:dyDescent="0.25">
      <c r="A146" s="1">
        <v>43586</v>
      </c>
      <c r="B146" t="s">
        <v>154</v>
      </c>
      <c r="C146" t="s">
        <v>17</v>
      </c>
      <c r="D146" t="s">
        <v>74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 s="1">
        <v>44197</v>
      </c>
      <c r="Q146">
        <v>-611</v>
      </c>
    </row>
    <row r="147" spans="1:17" x14ac:dyDescent="0.25">
      <c r="A147" s="1">
        <v>43586</v>
      </c>
      <c r="B147" t="s">
        <v>155</v>
      </c>
      <c r="C147" t="s">
        <v>76</v>
      </c>
      <c r="D147" t="s">
        <v>75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 s="1">
        <v>44470</v>
      </c>
      <c r="Q147">
        <v>-884</v>
      </c>
    </row>
    <row r="148" spans="1:17" x14ac:dyDescent="0.25">
      <c r="A148" s="1">
        <v>43586</v>
      </c>
      <c r="B148" t="s">
        <v>156</v>
      </c>
      <c r="C148" t="s">
        <v>79</v>
      </c>
      <c r="D148" t="s">
        <v>78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 s="1">
        <v>44348</v>
      </c>
      <c r="Q148">
        <v>-762</v>
      </c>
    </row>
    <row r="149" spans="1:17" x14ac:dyDescent="0.25">
      <c r="A149" s="1">
        <v>43586</v>
      </c>
      <c r="B149" t="s">
        <v>157</v>
      </c>
      <c r="C149" t="s">
        <v>81</v>
      </c>
      <c r="D149" t="s">
        <v>72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 s="1">
        <v>44440</v>
      </c>
      <c r="Q149">
        <v>-854</v>
      </c>
    </row>
    <row r="150" spans="1:17" x14ac:dyDescent="0.25">
      <c r="A150" s="1">
        <v>43586</v>
      </c>
      <c r="B150" t="s">
        <v>158</v>
      </c>
      <c r="C150" t="s">
        <v>83</v>
      </c>
      <c r="D150" t="s">
        <v>82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 s="1">
        <v>44228</v>
      </c>
      <c r="Q150">
        <v>-642</v>
      </c>
    </row>
    <row r="151" spans="1:17" x14ac:dyDescent="0.25">
      <c r="A151" s="1">
        <v>43586</v>
      </c>
      <c r="B151" t="s">
        <v>159</v>
      </c>
      <c r="C151" t="s">
        <v>84</v>
      </c>
      <c r="D151" t="s">
        <v>55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 s="1">
        <v>44256</v>
      </c>
      <c r="Q151">
        <v>-670</v>
      </c>
    </row>
    <row r="152" spans="1:17" x14ac:dyDescent="0.25">
      <c r="A152" s="1">
        <v>43586</v>
      </c>
      <c r="B152" t="s">
        <v>160</v>
      </c>
      <c r="C152" t="s">
        <v>86</v>
      </c>
      <c r="D152" t="s">
        <v>68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 s="1">
        <v>44317</v>
      </c>
      <c r="Q152">
        <v>-731</v>
      </c>
    </row>
    <row r="153" spans="1:17" x14ac:dyDescent="0.25">
      <c r="A153" s="1">
        <v>43586</v>
      </c>
      <c r="B153" t="s">
        <v>161</v>
      </c>
      <c r="C153" t="s">
        <v>87</v>
      </c>
      <c r="D153" t="s">
        <v>72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 s="1">
        <v>44440</v>
      </c>
      <c r="Q153">
        <v>-854</v>
      </c>
    </row>
    <row r="154" spans="1:17" x14ac:dyDescent="0.25">
      <c r="A154" s="1">
        <v>43586</v>
      </c>
      <c r="B154" t="s">
        <v>162</v>
      </c>
      <c r="C154" t="s">
        <v>89</v>
      </c>
      <c r="D154" t="s">
        <v>88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 s="1">
        <v>44044</v>
      </c>
      <c r="Q154">
        <v>-458</v>
      </c>
    </row>
    <row r="155" spans="1:17" x14ac:dyDescent="0.25">
      <c r="A155" s="1">
        <v>43586</v>
      </c>
      <c r="B155" t="s">
        <v>163</v>
      </c>
      <c r="C155" t="s">
        <v>90</v>
      </c>
      <c r="D155" t="s">
        <v>82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 s="1">
        <v>44228</v>
      </c>
      <c r="Q155">
        <v>-642</v>
      </c>
    </row>
    <row r="156" spans="1:17" x14ac:dyDescent="0.25">
      <c r="A156" s="1">
        <v>43586</v>
      </c>
      <c r="B156" t="s">
        <v>164</v>
      </c>
      <c r="C156" t="s">
        <v>92</v>
      </c>
      <c r="D156" t="s">
        <v>91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 s="1">
        <v>44105</v>
      </c>
      <c r="Q156">
        <v>-519</v>
      </c>
    </row>
    <row r="157" spans="1:17" x14ac:dyDescent="0.25">
      <c r="A157" s="1">
        <v>43586</v>
      </c>
      <c r="B157" t="s">
        <v>165</v>
      </c>
      <c r="C157" t="s">
        <v>94</v>
      </c>
      <c r="D157" t="s">
        <v>93</v>
      </c>
      <c r="E157">
        <v>4808</v>
      </c>
      <c r="F157">
        <v>1721</v>
      </c>
      <c r="G157">
        <v>2256</v>
      </c>
      <c r="H157">
        <v>8955</v>
      </c>
      <c r="I157">
        <v>5254</v>
      </c>
      <c r="J157">
        <v>3059</v>
      </c>
      <c r="K157">
        <v>3164</v>
      </c>
      <c r="L157">
        <v>8807</v>
      </c>
      <c r="M157">
        <v>791</v>
      </c>
      <c r="N157">
        <v>4456</v>
      </c>
      <c r="O157">
        <v>6080</v>
      </c>
      <c r="P157" s="1">
        <v>43586</v>
      </c>
      <c r="Q157">
        <v>0</v>
      </c>
    </row>
    <row r="158" spans="1:17" x14ac:dyDescent="0.25">
      <c r="A158" s="1">
        <v>43586</v>
      </c>
      <c r="B158" t="s">
        <v>166</v>
      </c>
      <c r="C158" t="s">
        <v>96</v>
      </c>
      <c r="D158" t="s">
        <v>95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 s="1">
        <v>43678</v>
      </c>
      <c r="Q158">
        <v>-92</v>
      </c>
    </row>
    <row r="159" spans="1:17" x14ac:dyDescent="0.25">
      <c r="A159" s="1">
        <v>43586</v>
      </c>
      <c r="B159" t="s">
        <v>167</v>
      </c>
      <c r="C159" t="s">
        <v>97</v>
      </c>
      <c r="D159" t="s">
        <v>58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 s="1">
        <v>44287</v>
      </c>
      <c r="Q159">
        <v>-701</v>
      </c>
    </row>
    <row r="160" spans="1:17" x14ac:dyDescent="0.25">
      <c r="A160" s="1">
        <v>43586</v>
      </c>
      <c r="B160" t="s">
        <v>168</v>
      </c>
      <c r="C160" t="s">
        <v>98</v>
      </c>
      <c r="D160" t="s">
        <v>49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 s="1">
        <v>43709</v>
      </c>
      <c r="Q160">
        <v>-123</v>
      </c>
    </row>
    <row r="161" spans="1:17" x14ac:dyDescent="0.25">
      <c r="A161" s="1">
        <v>43586</v>
      </c>
      <c r="B161" t="s">
        <v>169</v>
      </c>
      <c r="C161" t="s">
        <v>99</v>
      </c>
      <c r="D161" t="s">
        <v>95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 s="1">
        <v>43678</v>
      </c>
      <c r="Q161">
        <v>-92</v>
      </c>
    </row>
    <row r="162" spans="1:17" x14ac:dyDescent="0.25">
      <c r="A162" s="1">
        <v>43586</v>
      </c>
      <c r="B162" t="s">
        <v>170</v>
      </c>
      <c r="C162" t="s">
        <v>100</v>
      </c>
      <c r="D162" t="s">
        <v>82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 s="1">
        <v>44228</v>
      </c>
      <c r="Q162">
        <v>-642</v>
      </c>
    </row>
    <row r="163" spans="1:17" x14ac:dyDescent="0.25">
      <c r="A163" s="1">
        <v>43586</v>
      </c>
      <c r="B163" t="s">
        <v>171</v>
      </c>
      <c r="C163" t="s">
        <v>101</v>
      </c>
      <c r="D163" t="s">
        <v>68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 s="1">
        <v>44317</v>
      </c>
      <c r="Q163">
        <v>-731</v>
      </c>
    </row>
    <row r="164" spans="1:17" x14ac:dyDescent="0.25">
      <c r="A164" s="1">
        <v>43586</v>
      </c>
      <c r="B164" t="s">
        <v>172</v>
      </c>
      <c r="C164" t="s">
        <v>102</v>
      </c>
      <c r="D164" t="s">
        <v>88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 s="1">
        <v>44044</v>
      </c>
      <c r="Q164">
        <v>-458</v>
      </c>
    </row>
    <row r="165" spans="1:17" x14ac:dyDescent="0.25">
      <c r="A165" s="1">
        <v>43586</v>
      </c>
      <c r="B165" t="s">
        <v>173</v>
      </c>
      <c r="C165" t="s">
        <v>103</v>
      </c>
      <c r="D165" t="s">
        <v>52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 s="1">
        <v>43862</v>
      </c>
      <c r="Q165">
        <v>-276</v>
      </c>
    </row>
    <row r="166" spans="1:17" x14ac:dyDescent="0.25">
      <c r="A166" s="1">
        <v>43586</v>
      </c>
      <c r="B166" t="s">
        <v>174</v>
      </c>
      <c r="C166" t="s">
        <v>105</v>
      </c>
      <c r="D166" t="s">
        <v>104</v>
      </c>
      <c r="E166">
        <v>259</v>
      </c>
      <c r="F166">
        <v>339</v>
      </c>
      <c r="G166">
        <v>77</v>
      </c>
      <c r="H166">
        <v>410</v>
      </c>
      <c r="I166">
        <v>1674</v>
      </c>
      <c r="J166">
        <v>368</v>
      </c>
      <c r="K166">
        <v>319</v>
      </c>
      <c r="L166">
        <v>246</v>
      </c>
      <c r="M166">
        <v>1356</v>
      </c>
      <c r="N166">
        <v>1741</v>
      </c>
      <c r="O166">
        <v>645</v>
      </c>
      <c r="P166" s="1">
        <v>43374</v>
      </c>
      <c r="Q166">
        <v>212</v>
      </c>
    </row>
    <row r="167" spans="1:17" x14ac:dyDescent="0.25">
      <c r="A167" s="1">
        <v>43586</v>
      </c>
      <c r="B167" t="s">
        <v>142</v>
      </c>
      <c r="C167" t="s">
        <v>50</v>
      </c>
      <c r="D167" t="s">
        <v>49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 s="1">
        <v>43709</v>
      </c>
      <c r="Q167">
        <v>-123</v>
      </c>
    </row>
    <row r="168" spans="1:17" x14ac:dyDescent="0.25">
      <c r="A168" s="1">
        <v>43586</v>
      </c>
      <c r="B168" t="s">
        <v>143</v>
      </c>
      <c r="C168" t="s">
        <v>53</v>
      </c>
      <c r="D168" t="s">
        <v>52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 s="1">
        <v>43862</v>
      </c>
      <c r="Q168">
        <v>-276</v>
      </c>
    </row>
    <row r="169" spans="1:17" x14ac:dyDescent="0.25">
      <c r="A169" s="1">
        <v>43586</v>
      </c>
      <c r="B169" t="s">
        <v>144</v>
      </c>
      <c r="C169" t="s">
        <v>56</v>
      </c>
      <c r="D169" t="s">
        <v>55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 s="1">
        <v>44256</v>
      </c>
      <c r="Q169">
        <v>-670</v>
      </c>
    </row>
    <row r="170" spans="1:17" x14ac:dyDescent="0.25">
      <c r="A170" s="1">
        <v>43586</v>
      </c>
      <c r="B170" t="s">
        <v>145</v>
      </c>
      <c r="C170" t="s">
        <v>59</v>
      </c>
      <c r="D170" t="s">
        <v>58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 s="1">
        <v>44287</v>
      </c>
      <c r="Q170">
        <v>-701</v>
      </c>
    </row>
    <row r="171" spans="1:17" x14ac:dyDescent="0.25">
      <c r="A171" s="1">
        <v>43586</v>
      </c>
      <c r="B171" t="s">
        <v>146</v>
      </c>
      <c r="C171" t="s">
        <v>62</v>
      </c>
      <c r="D171" t="s">
        <v>61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 s="1">
        <v>44075</v>
      </c>
      <c r="Q171">
        <v>-489</v>
      </c>
    </row>
    <row r="172" spans="1:17" x14ac:dyDescent="0.25">
      <c r="A172" s="1">
        <v>43586</v>
      </c>
      <c r="B172" t="s">
        <v>147</v>
      </c>
      <c r="C172" t="s">
        <v>64</v>
      </c>
      <c r="D172" t="s">
        <v>52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 s="1">
        <v>43862</v>
      </c>
      <c r="Q172">
        <v>-276</v>
      </c>
    </row>
    <row r="173" spans="1:17" x14ac:dyDescent="0.25">
      <c r="A173" s="1">
        <v>43586</v>
      </c>
      <c r="B173" t="s">
        <v>148</v>
      </c>
      <c r="C173" t="s">
        <v>66</v>
      </c>
      <c r="D173" t="s">
        <v>55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 s="1">
        <v>44256</v>
      </c>
      <c r="Q173">
        <v>-670</v>
      </c>
    </row>
    <row r="174" spans="1:17" x14ac:dyDescent="0.25">
      <c r="A174" s="1">
        <v>43586</v>
      </c>
      <c r="B174" t="s">
        <v>149</v>
      </c>
      <c r="C174" t="s">
        <v>67</v>
      </c>
      <c r="D174" t="s">
        <v>55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 s="1">
        <v>44256</v>
      </c>
      <c r="Q174">
        <v>-670</v>
      </c>
    </row>
    <row r="175" spans="1:17" x14ac:dyDescent="0.25">
      <c r="A175" s="1">
        <v>43617</v>
      </c>
      <c r="B175" t="s">
        <v>150</v>
      </c>
      <c r="C175" t="s">
        <v>69</v>
      </c>
      <c r="D175" t="s">
        <v>68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 s="1">
        <v>44317</v>
      </c>
      <c r="Q175">
        <v>-700</v>
      </c>
    </row>
    <row r="176" spans="1:17" x14ac:dyDescent="0.25">
      <c r="A176" s="1">
        <v>43617</v>
      </c>
      <c r="B176" t="s">
        <v>151</v>
      </c>
      <c r="C176" t="s">
        <v>71</v>
      </c>
      <c r="D176" t="s">
        <v>70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 s="1">
        <v>44136</v>
      </c>
      <c r="Q176">
        <v>-519</v>
      </c>
    </row>
    <row r="177" spans="1:17" x14ac:dyDescent="0.25">
      <c r="A177" s="1">
        <v>43617</v>
      </c>
      <c r="B177" t="s">
        <v>152</v>
      </c>
      <c r="C177" t="s">
        <v>11</v>
      </c>
      <c r="D177" t="s">
        <v>52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 s="1">
        <v>43862</v>
      </c>
      <c r="Q177">
        <v>-245</v>
      </c>
    </row>
    <row r="178" spans="1:17" x14ac:dyDescent="0.25">
      <c r="A178" s="1">
        <v>43617</v>
      </c>
      <c r="B178" t="s">
        <v>153</v>
      </c>
      <c r="C178" t="s">
        <v>73</v>
      </c>
      <c r="D178" t="s">
        <v>72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 s="1">
        <v>44440</v>
      </c>
      <c r="Q178">
        <v>-823</v>
      </c>
    </row>
    <row r="179" spans="1:17" x14ac:dyDescent="0.25">
      <c r="A179" s="1">
        <v>43617</v>
      </c>
      <c r="B179" t="s">
        <v>154</v>
      </c>
      <c r="C179" t="s">
        <v>17</v>
      </c>
      <c r="D179" t="s">
        <v>74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 s="1">
        <v>44197</v>
      </c>
      <c r="Q179">
        <v>-580</v>
      </c>
    </row>
    <row r="180" spans="1:17" x14ac:dyDescent="0.25">
      <c r="A180" s="1">
        <v>43617</v>
      </c>
      <c r="B180" t="s">
        <v>155</v>
      </c>
      <c r="C180" t="s">
        <v>76</v>
      </c>
      <c r="D180" t="s">
        <v>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 s="1">
        <v>44470</v>
      </c>
      <c r="Q180">
        <v>-853</v>
      </c>
    </row>
    <row r="181" spans="1:17" x14ac:dyDescent="0.25">
      <c r="A181" s="1">
        <v>43617</v>
      </c>
      <c r="B181" t="s">
        <v>156</v>
      </c>
      <c r="C181" t="s">
        <v>79</v>
      </c>
      <c r="D181" t="s">
        <v>78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 s="1">
        <v>44348</v>
      </c>
      <c r="Q181">
        <v>-731</v>
      </c>
    </row>
    <row r="182" spans="1:17" x14ac:dyDescent="0.25">
      <c r="A182" s="1">
        <v>43617</v>
      </c>
      <c r="B182" t="s">
        <v>157</v>
      </c>
      <c r="C182" t="s">
        <v>81</v>
      </c>
      <c r="D182" t="s">
        <v>72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 s="1">
        <v>44440</v>
      </c>
      <c r="Q182">
        <v>-823</v>
      </c>
    </row>
    <row r="183" spans="1:17" x14ac:dyDescent="0.25">
      <c r="A183" s="1">
        <v>43617</v>
      </c>
      <c r="B183" t="s">
        <v>158</v>
      </c>
      <c r="C183" t="s">
        <v>83</v>
      </c>
      <c r="D183" t="s">
        <v>82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 s="1">
        <v>44228</v>
      </c>
      <c r="Q183">
        <v>-611</v>
      </c>
    </row>
    <row r="184" spans="1:17" x14ac:dyDescent="0.25">
      <c r="A184" s="1">
        <v>43617</v>
      </c>
      <c r="B184" t="s">
        <v>159</v>
      </c>
      <c r="C184" t="s">
        <v>84</v>
      </c>
      <c r="D184" t="s">
        <v>55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 s="1">
        <v>44256</v>
      </c>
      <c r="Q184">
        <v>-639</v>
      </c>
    </row>
    <row r="185" spans="1:17" x14ac:dyDescent="0.25">
      <c r="A185" s="1">
        <v>43617</v>
      </c>
      <c r="B185" t="s">
        <v>160</v>
      </c>
      <c r="C185" t="s">
        <v>86</v>
      </c>
      <c r="D185" t="s">
        <v>68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 s="1">
        <v>44317</v>
      </c>
      <c r="Q185">
        <v>-700</v>
      </c>
    </row>
    <row r="186" spans="1:17" x14ac:dyDescent="0.25">
      <c r="A186" s="1">
        <v>43617</v>
      </c>
      <c r="B186" t="s">
        <v>161</v>
      </c>
      <c r="C186" t="s">
        <v>87</v>
      </c>
      <c r="D186" t="s">
        <v>72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 s="1">
        <v>44440</v>
      </c>
      <c r="Q186">
        <v>-823</v>
      </c>
    </row>
    <row r="187" spans="1:17" x14ac:dyDescent="0.25">
      <c r="A187" s="1">
        <v>43617</v>
      </c>
      <c r="B187" t="s">
        <v>162</v>
      </c>
      <c r="C187" t="s">
        <v>89</v>
      </c>
      <c r="D187" t="s">
        <v>88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 s="1">
        <v>44044</v>
      </c>
      <c r="Q187">
        <v>-427</v>
      </c>
    </row>
    <row r="188" spans="1:17" x14ac:dyDescent="0.25">
      <c r="A188" s="1">
        <v>43617</v>
      </c>
      <c r="B188" t="s">
        <v>163</v>
      </c>
      <c r="C188" t="s">
        <v>90</v>
      </c>
      <c r="D188" t="s">
        <v>82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 s="1">
        <v>44228</v>
      </c>
      <c r="Q188">
        <v>-611</v>
      </c>
    </row>
    <row r="189" spans="1:17" x14ac:dyDescent="0.25">
      <c r="A189" s="1">
        <v>43617</v>
      </c>
      <c r="B189" t="s">
        <v>164</v>
      </c>
      <c r="C189" t="s">
        <v>92</v>
      </c>
      <c r="D189" t="s">
        <v>91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 s="1">
        <v>44105</v>
      </c>
      <c r="Q189">
        <v>-488</v>
      </c>
    </row>
    <row r="190" spans="1:17" x14ac:dyDescent="0.25">
      <c r="A190" s="1">
        <v>43617</v>
      </c>
      <c r="B190" t="s">
        <v>165</v>
      </c>
      <c r="C190" t="s">
        <v>94</v>
      </c>
      <c r="D190" t="s">
        <v>93</v>
      </c>
      <c r="E190">
        <v>10125</v>
      </c>
      <c r="F190">
        <v>1063</v>
      </c>
      <c r="G190">
        <v>931</v>
      </c>
      <c r="H190">
        <v>14810</v>
      </c>
      <c r="I190">
        <v>5137</v>
      </c>
      <c r="J190">
        <v>1799</v>
      </c>
      <c r="K190">
        <v>822</v>
      </c>
      <c r="L190">
        <v>2237</v>
      </c>
      <c r="M190">
        <v>3443</v>
      </c>
      <c r="N190">
        <v>8014</v>
      </c>
      <c r="O190">
        <v>4838</v>
      </c>
      <c r="P190" s="1">
        <v>43586</v>
      </c>
      <c r="Q190">
        <v>31</v>
      </c>
    </row>
    <row r="191" spans="1:17" x14ac:dyDescent="0.25">
      <c r="A191" s="1">
        <v>43617</v>
      </c>
      <c r="B191" t="s">
        <v>166</v>
      </c>
      <c r="C191" t="s">
        <v>96</v>
      </c>
      <c r="D191" t="s">
        <v>95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 s="1">
        <v>43678</v>
      </c>
      <c r="Q191">
        <v>-61</v>
      </c>
    </row>
    <row r="192" spans="1:17" x14ac:dyDescent="0.25">
      <c r="A192" s="1">
        <v>43617</v>
      </c>
      <c r="B192" t="s">
        <v>167</v>
      </c>
      <c r="C192" t="s">
        <v>97</v>
      </c>
      <c r="D192" t="s">
        <v>58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 s="1">
        <v>44287</v>
      </c>
      <c r="Q192">
        <v>-670</v>
      </c>
    </row>
    <row r="193" spans="1:17" x14ac:dyDescent="0.25">
      <c r="A193" s="1">
        <v>43617</v>
      </c>
      <c r="B193" t="s">
        <v>168</v>
      </c>
      <c r="C193" t="s">
        <v>98</v>
      </c>
      <c r="D193" t="s">
        <v>49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 s="1">
        <v>43709</v>
      </c>
      <c r="Q193">
        <v>-92</v>
      </c>
    </row>
    <row r="194" spans="1:17" x14ac:dyDescent="0.25">
      <c r="A194" s="1">
        <v>43617</v>
      </c>
      <c r="B194" t="s">
        <v>169</v>
      </c>
      <c r="C194" t="s">
        <v>99</v>
      </c>
      <c r="D194" t="s">
        <v>95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 s="1">
        <v>43678</v>
      </c>
      <c r="Q194">
        <v>-61</v>
      </c>
    </row>
    <row r="195" spans="1:17" x14ac:dyDescent="0.25">
      <c r="A195" s="1">
        <v>43617</v>
      </c>
      <c r="B195" t="s">
        <v>170</v>
      </c>
      <c r="C195" t="s">
        <v>100</v>
      </c>
      <c r="D195" t="s">
        <v>82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 s="1">
        <v>44228</v>
      </c>
      <c r="Q195">
        <v>-611</v>
      </c>
    </row>
    <row r="196" spans="1:17" x14ac:dyDescent="0.25">
      <c r="A196" s="1">
        <v>43617</v>
      </c>
      <c r="B196" t="s">
        <v>171</v>
      </c>
      <c r="C196" t="s">
        <v>101</v>
      </c>
      <c r="D196" t="s">
        <v>68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 s="1">
        <v>44317</v>
      </c>
      <c r="Q196">
        <v>-700</v>
      </c>
    </row>
    <row r="197" spans="1:17" x14ac:dyDescent="0.25">
      <c r="A197" s="1">
        <v>43617</v>
      </c>
      <c r="B197" t="s">
        <v>172</v>
      </c>
      <c r="C197" t="s">
        <v>102</v>
      </c>
      <c r="D197" t="s">
        <v>88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 s="1">
        <v>44044</v>
      </c>
      <c r="Q197">
        <v>-427</v>
      </c>
    </row>
    <row r="198" spans="1:17" x14ac:dyDescent="0.25">
      <c r="A198" s="1">
        <v>43617</v>
      </c>
      <c r="B198" t="s">
        <v>173</v>
      </c>
      <c r="C198" t="s">
        <v>103</v>
      </c>
      <c r="D198" t="s">
        <v>52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 s="1">
        <v>43862</v>
      </c>
      <c r="Q198">
        <v>-245</v>
      </c>
    </row>
    <row r="199" spans="1:17" x14ac:dyDescent="0.25">
      <c r="A199" s="1">
        <v>43617</v>
      </c>
      <c r="B199" t="s">
        <v>174</v>
      </c>
      <c r="C199" t="s">
        <v>105</v>
      </c>
      <c r="D199" t="s">
        <v>104</v>
      </c>
      <c r="E199">
        <v>78</v>
      </c>
      <c r="F199">
        <v>332</v>
      </c>
      <c r="G199">
        <v>146</v>
      </c>
      <c r="H199">
        <v>694</v>
      </c>
      <c r="I199">
        <v>638</v>
      </c>
      <c r="J199">
        <v>258</v>
      </c>
      <c r="K199">
        <v>272</v>
      </c>
      <c r="L199">
        <v>102</v>
      </c>
      <c r="M199">
        <v>880</v>
      </c>
      <c r="N199">
        <v>633</v>
      </c>
      <c r="O199">
        <v>164</v>
      </c>
      <c r="P199" s="1">
        <v>43374</v>
      </c>
      <c r="Q199">
        <v>243</v>
      </c>
    </row>
    <row r="200" spans="1:17" x14ac:dyDescent="0.25">
      <c r="A200" s="1">
        <v>43617</v>
      </c>
      <c r="B200" t="s">
        <v>142</v>
      </c>
      <c r="C200" t="s">
        <v>50</v>
      </c>
      <c r="D200" t="s">
        <v>49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 s="1">
        <v>43709</v>
      </c>
      <c r="Q200">
        <v>-92</v>
      </c>
    </row>
    <row r="201" spans="1:17" x14ac:dyDescent="0.25">
      <c r="A201" s="1">
        <v>43617</v>
      </c>
      <c r="B201" t="s">
        <v>143</v>
      </c>
      <c r="C201" t="s">
        <v>53</v>
      </c>
      <c r="D201" t="s">
        <v>52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 s="1">
        <v>43862</v>
      </c>
      <c r="Q201">
        <v>-245</v>
      </c>
    </row>
    <row r="202" spans="1:17" x14ac:dyDescent="0.25">
      <c r="A202" s="1">
        <v>43617</v>
      </c>
      <c r="B202" t="s">
        <v>144</v>
      </c>
      <c r="C202" t="s">
        <v>56</v>
      </c>
      <c r="D202" t="s">
        <v>55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 s="1">
        <v>44256</v>
      </c>
      <c r="Q202">
        <v>-639</v>
      </c>
    </row>
    <row r="203" spans="1:17" x14ac:dyDescent="0.25">
      <c r="A203" s="1">
        <v>43617</v>
      </c>
      <c r="B203" t="s">
        <v>145</v>
      </c>
      <c r="C203" t="s">
        <v>59</v>
      </c>
      <c r="D203" t="s">
        <v>58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 s="1">
        <v>44287</v>
      </c>
      <c r="Q203">
        <v>-670</v>
      </c>
    </row>
    <row r="204" spans="1:17" x14ac:dyDescent="0.25">
      <c r="A204" s="1">
        <v>43617</v>
      </c>
      <c r="B204" t="s">
        <v>146</v>
      </c>
      <c r="C204" t="s">
        <v>62</v>
      </c>
      <c r="D204" t="s">
        <v>61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 s="1">
        <v>44075</v>
      </c>
      <c r="Q204">
        <v>-458</v>
      </c>
    </row>
    <row r="205" spans="1:17" x14ac:dyDescent="0.25">
      <c r="A205" s="1">
        <v>43617</v>
      </c>
      <c r="B205" t="s">
        <v>147</v>
      </c>
      <c r="C205" t="s">
        <v>64</v>
      </c>
      <c r="D205" t="s">
        <v>52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 s="1">
        <v>43862</v>
      </c>
      <c r="Q205">
        <v>-245</v>
      </c>
    </row>
    <row r="206" spans="1:17" x14ac:dyDescent="0.25">
      <c r="A206" s="1">
        <v>43617</v>
      </c>
      <c r="B206" t="s">
        <v>148</v>
      </c>
      <c r="C206" t="s">
        <v>66</v>
      </c>
      <c r="D206" t="s">
        <v>55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 s="1">
        <v>44256</v>
      </c>
      <c r="Q206">
        <v>-639</v>
      </c>
    </row>
    <row r="207" spans="1:17" x14ac:dyDescent="0.25">
      <c r="A207" s="1">
        <v>43617</v>
      </c>
      <c r="B207" t="s">
        <v>149</v>
      </c>
      <c r="C207" t="s">
        <v>67</v>
      </c>
      <c r="D207" t="s">
        <v>55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 s="1">
        <v>44256</v>
      </c>
      <c r="Q207">
        <v>-639</v>
      </c>
    </row>
    <row r="208" spans="1:17" x14ac:dyDescent="0.25">
      <c r="A208" s="1">
        <v>43617</v>
      </c>
      <c r="B208" t="s">
        <v>150</v>
      </c>
      <c r="C208" t="s">
        <v>69</v>
      </c>
      <c r="D208" t="s">
        <v>68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 s="1">
        <v>44317</v>
      </c>
      <c r="Q208">
        <v>-700</v>
      </c>
    </row>
    <row r="209" spans="1:17" x14ac:dyDescent="0.25">
      <c r="A209" s="1">
        <v>43617</v>
      </c>
      <c r="B209" t="s">
        <v>151</v>
      </c>
      <c r="C209" t="s">
        <v>71</v>
      </c>
      <c r="D209" t="s">
        <v>70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 s="1">
        <v>44136</v>
      </c>
      <c r="Q209">
        <v>-519</v>
      </c>
    </row>
    <row r="210" spans="1:17" x14ac:dyDescent="0.25">
      <c r="A210" s="1">
        <v>43647</v>
      </c>
      <c r="B210" t="s">
        <v>152</v>
      </c>
      <c r="C210" t="s">
        <v>11</v>
      </c>
      <c r="D210" t="s">
        <v>52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 s="1">
        <v>43862</v>
      </c>
      <c r="Q210">
        <v>-215</v>
      </c>
    </row>
    <row r="211" spans="1:17" x14ac:dyDescent="0.25">
      <c r="A211" s="1">
        <v>43647</v>
      </c>
      <c r="B211" t="s">
        <v>153</v>
      </c>
      <c r="C211" t="s">
        <v>73</v>
      </c>
      <c r="D211" t="s">
        <v>72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 s="1">
        <v>44440</v>
      </c>
      <c r="Q211">
        <v>-793</v>
      </c>
    </row>
    <row r="212" spans="1:17" x14ac:dyDescent="0.25">
      <c r="A212" s="1">
        <v>43647</v>
      </c>
      <c r="B212" t="s">
        <v>154</v>
      </c>
      <c r="C212" t="s">
        <v>17</v>
      </c>
      <c r="D212" t="s">
        <v>74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 s="1">
        <v>44197</v>
      </c>
      <c r="Q212">
        <v>-550</v>
      </c>
    </row>
    <row r="213" spans="1:17" x14ac:dyDescent="0.25">
      <c r="A213" s="1">
        <v>43647</v>
      </c>
      <c r="B213" t="s">
        <v>155</v>
      </c>
      <c r="C213" t="s">
        <v>76</v>
      </c>
      <c r="D213" t="s">
        <v>75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 s="1">
        <v>44470</v>
      </c>
      <c r="Q213">
        <v>-823</v>
      </c>
    </row>
    <row r="214" spans="1:17" x14ac:dyDescent="0.25">
      <c r="A214" s="1">
        <v>43647</v>
      </c>
      <c r="B214" t="s">
        <v>156</v>
      </c>
      <c r="C214" t="s">
        <v>79</v>
      </c>
      <c r="D214" t="s">
        <v>78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 s="1">
        <v>44348</v>
      </c>
      <c r="Q214">
        <v>-701</v>
      </c>
    </row>
    <row r="215" spans="1:17" x14ac:dyDescent="0.25">
      <c r="A215" s="1">
        <v>43647</v>
      </c>
      <c r="B215" t="s">
        <v>157</v>
      </c>
      <c r="C215" t="s">
        <v>81</v>
      </c>
      <c r="D215" t="s">
        <v>72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 s="1">
        <v>44440</v>
      </c>
      <c r="Q215">
        <v>-793</v>
      </c>
    </row>
    <row r="216" spans="1:17" x14ac:dyDescent="0.25">
      <c r="A216" s="1">
        <v>43647</v>
      </c>
      <c r="B216" t="s">
        <v>158</v>
      </c>
      <c r="C216" t="s">
        <v>83</v>
      </c>
      <c r="D216" t="s">
        <v>82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 s="1">
        <v>44228</v>
      </c>
      <c r="Q216">
        <v>-581</v>
      </c>
    </row>
    <row r="217" spans="1:17" x14ac:dyDescent="0.25">
      <c r="A217" s="1">
        <v>43647</v>
      </c>
      <c r="B217" t="s">
        <v>159</v>
      </c>
      <c r="C217" t="s">
        <v>84</v>
      </c>
      <c r="D217" t="s">
        <v>55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 s="1">
        <v>44256</v>
      </c>
      <c r="Q217">
        <v>-609</v>
      </c>
    </row>
    <row r="218" spans="1:17" x14ac:dyDescent="0.25">
      <c r="A218" s="1">
        <v>43647</v>
      </c>
      <c r="B218" t="s">
        <v>160</v>
      </c>
      <c r="C218" t="s">
        <v>86</v>
      </c>
      <c r="D218" t="s">
        <v>68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 s="1">
        <v>44317</v>
      </c>
      <c r="Q218">
        <v>-670</v>
      </c>
    </row>
    <row r="219" spans="1:17" x14ac:dyDescent="0.25">
      <c r="A219" s="1">
        <v>43647</v>
      </c>
      <c r="B219" t="s">
        <v>161</v>
      </c>
      <c r="C219" t="s">
        <v>87</v>
      </c>
      <c r="D219" t="s">
        <v>72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 s="1">
        <v>44440</v>
      </c>
      <c r="Q219">
        <v>-793</v>
      </c>
    </row>
    <row r="220" spans="1:17" x14ac:dyDescent="0.25">
      <c r="A220" s="1">
        <v>43647</v>
      </c>
      <c r="B220" t="s">
        <v>162</v>
      </c>
      <c r="C220" t="s">
        <v>89</v>
      </c>
      <c r="D220" t="s">
        <v>88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 s="1">
        <v>44044</v>
      </c>
      <c r="Q220">
        <v>-397</v>
      </c>
    </row>
    <row r="221" spans="1:17" x14ac:dyDescent="0.25">
      <c r="A221" s="1">
        <v>43647</v>
      </c>
      <c r="B221" t="s">
        <v>163</v>
      </c>
      <c r="C221" t="s">
        <v>90</v>
      </c>
      <c r="D221" t="s">
        <v>82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 s="1">
        <v>44228</v>
      </c>
      <c r="Q221">
        <v>-581</v>
      </c>
    </row>
    <row r="222" spans="1:17" x14ac:dyDescent="0.25">
      <c r="A222" s="1">
        <v>43647</v>
      </c>
      <c r="B222" t="s">
        <v>164</v>
      </c>
      <c r="C222" t="s">
        <v>92</v>
      </c>
      <c r="D222" t="s">
        <v>91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 s="1">
        <v>44105</v>
      </c>
      <c r="Q222">
        <v>-458</v>
      </c>
    </row>
    <row r="223" spans="1:17" x14ac:dyDescent="0.25">
      <c r="A223" s="1">
        <v>43647</v>
      </c>
      <c r="B223" t="s">
        <v>165</v>
      </c>
      <c r="C223" t="s">
        <v>94</v>
      </c>
      <c r="D223" t="s">
        <v>93</v>
      </c>
      <c r="E223">
        <v>2573</v>
      </c>
      <c r="F223">
        <v>1331</v>
      </c>
      <c r="G223">
        <v>1547</v>
      </c>
      <c r="H223">
        <v>3772</v>
      </c>
      <c r="I223">
        <v>3035</v>
      </c>
      <c r="J223">
        <v>1364</v>
      </c>
      <c r="K223">
        <v>843</v>
      </c>
      <c r="L223">
        <v>3222</v>
      </c>
      <c r="M223">
        <v>1569</v>
      </c>
      <c r="N223">
        <v>3556</v>
      </c>
      <c r="O223">
        <v>1315</v>
      </c>
      <c r="P223" s="1">
        <v>43586</v>
      </c>
      <c r="Q223">
        <v>61</v>
      </c>
    </row>
    <row r="224" spans="1:17" x14ac:dyDescent="0.25">
      <c r="A224" s="1">
        <v>43647</v>
      </c>
      <c r="B224" t="s">
        <v>166</v>
      </c>
      <c r="C224" t="s">
        <v>96</v>
      </c>
      <c r="D224" t="s">
        <v>95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 s="1">
        <v>43678</v>
      </c>
      <c r="Q224">
        <v>-31</v>
      </c>
    </row>
    <row r="225" spans="1:17" x14ac:dyDescent="0.25">
      <c r="A225" s="1">
        <v>43647</v>
      </c>
      <c r="B225" t="s">
        <v>167</v>
      </c>
      <c r="C225" t="s">
        <v>97</v>
      </c>
      <c r="D225" t="s">
        <v>58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 s="1">
        <v>44287</v>
      </c>
      <c r="Q225">
        <v>-640</v>
      </c>
    </row>
    <row r="226" spans="1:17" x14ac:dyDescent="0.25">
      <c r="A226" s="1">
        <v>43647</v>
      </c>
      <c r="B226" t="s">
        <v>168</v>
      </c>
      <c r="C226" t="s">
        <v>98</v>
      </c>
      <c r="D226" t="s">
        <v>49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 s="1">
        <v>43709</v>
      </c>
      <c r="Q226">
        <v>-62</v>
      </c>
    </row>
    <row r="227" spans="1:17" x14ac:dyDescent="0.25">
      <c r="A227" s="1">
        <v>43647</v>
      </c>
      <c r="B227" t="s">
        <v>169</v>
      </c>
      <c r="C227" t="s">
        <v>99</v>
      </c>
      <c r="D227" t="s">
        <v>95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 s="1">
        <v>43678</v>
      </c>
      <c r="Q227">
        <v>-31</v>
      </c>
    </row>
    <row r="228" spans="1:17" x14ac:dyDescent="0.25">
      <c r="A228" s="1">
        <v>43647</v>
      </c>
      <c r="B228" t="s">
        <v>170</v>
      </c>
      <c r="C228" t="s">
        <v>100</v>
      </c>
      <c r="D228" t="s">
        <v>82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 s="1">
        <v>44228</v>
      </c>
      <c r="Q228">
        <v>-581</v>
      </c>
    </row>
    <row r="229" spans="1:17" x14ac:dyDescent="0.25">
      <c r="A229" s="1">
        <v>43647</v>
      </c>
      <c r="B229" t="s">
        <v>171</v>
      </c>
      <c r="C229" t="s">
        <v>101</v>
      </c>
      <c r="D229" t="s">
        <v>68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 s="1">
        <v>44317</v>
      </c>
      <c r="Q229">
        <v>-670</v>
      </c>
    </row>
    <row r="230" spans="1:17" x14ac:dyDescent="0.25">
      <c r="A230" s="1">
        <v>43647</v>
      </c>
      <c r="B230" t="s">
        <v>172</v>
      </c>
      <c r="C230" t="s">
        <v>102</v>
      </c>
      <c r="D230" t="s">
        <v>88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 s="1">
        <v>44044</v>
      </c>
      <c r="Q230">
        <v>-397</v>
      </c>
    </row>
    <row r="231" spans="1:17" x14ac:dyDescent="0.25">
      <c r="A231" s="1">
        <v>43647</v>
      </c>
      <c r="B231" t="s">
        <v>173</v>
      </c>
      <c r="C231" t="s">
        <v>103</v>
      </c>
      <c r="D231" t="s">
        <v>52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 s="1">
        <v>43862</v>
      </c>
      <c r="Q231">
        <v>-215</v>
      </c>
    </row>
    <row r="232" spans="1:17" x14ac:dyDescent="0.25">
      <c r="A232" s="1">
        <v>43647</v>
      </c>
      <c r="B232" t="s">
        <v>174</v>
      </c>
      <c r="C232" t="s">
        <v>105</v>
      </c>
      <c r="D232" t="s">
        <v>104</v>
      </c>
      <c r="E232">
        <v>201</v>
      </c>
      <c r="F232">
        <v>186</v>
      </c>
      <c r="G232">
        <v>140</v>
      </c>
      <c r="H232">
        <v>788</v>
      </c>
      <c r="I232">
        <v>893</v>
      </c>
      <c r="J232">
        <v>224</v>
      </c>
      <c r="K232">
        <v>454</v>
      </c>
      <c r="L232">
        <v>380</v>
      </c>
      <c r="M232">
        <v>1073</v>
      </c>
      <c r="N232">
        <v>1204</v>
      </c>
      <c r="O232">
        <v>185</v>
      </c>
      <c r="P232" s="1">
        <v>43374</v>
      </c>
      <c r="Q232">
        <v>273</v>
      </c>
    </row>
    <row r="233" spans="1:17" x14ac:dyDescent="0.25">
      <c r="A233" s="1">
        <v>43647</v>
      </c>
      <c r="B233" t="s">
        <v>142</v>
      </c>
      <c r="C233" t="s">
        <v>50</v>
      </c>
      <c r="D233" t="s">
        <v>49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 s="1">
        <v>43709</v>
      </c>
      <c r="Q233">
        <v>-62</v>
      </c>
    </row>
    <row r="234" spans="1:17" x14ac:dyDescent="0.25">
      <c r="A234" s="1">
        <v>43647</v>
      </c>
      <c r="B234" t="s">
        <v>143</v>
      </c>
      <c r="C234" t="s">
        <v>53</v>
      </c>
      <c r="D234" t="s">
        <v>52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 s="1">
        <v>43862</v>
      </c>
      <c r="Q234">
        <v>-215</v>
      </c>
    </row>
    <row r="235" spans="1:17" x14ac:dyDescent="0.25">
      <c r="A235" s="1">
        <v>43647</v>
      </c>
      <c r="B235" t="s">
        <v>144</v>
      </c>
      <c r="C235" t="s">
        <v>56</v>
      </c>
      <c r="D235" t="s">
        <v>55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 s="1">
        <v>44256</v>
      </c>
      <c r="Q235">
        <v>-609</v>
      </c>
    </row>
    <row r="236" spans="1:17" x14ac:dyDescent="0.25">
      <c r="A236" s="1">
        <v>43647</v>
      </c>
      <c r="B236" t="s">
        <v>145</v>
      </c>
      <c r="C236" t="s">
        <v>59</v>
      </c>
      <c r="D236" t="s">
        <v>58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 s="1">
        <v>44287</v>
      </c>
      <c r="Q236">
        <v>-640</v>
      </c>
    </row>
    <row r="237" spans="1:17" x14ac:dyDescent="0.25">
      <c r="A237" s="1">
        <v>43647</v>
      </c>
      <c r="B237" t="s">
        <v>146</v>
      </c>
      <c r="C237" t="s">
        <v>62</v>
      </c>
      <c r="D237" t="s">
        <v>61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 s="1">
        <v>44075</v>
      </c>
      <c r="Q237">
        <v>-428</v>
      </c>
    </row>
    <row r="238" spans="1:17" x14ac:dyDescent="0.25">
      <c r="A238" s="1">
        <v>43647</v>
      </c>
      <c r="B238" t="s">
        <v>147</v>
      </c>
      <c r="C238" t="s">
        <v>64</v>
      </c>
      <c r="D238" t="s">
        <v>52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 s="1">
        <v>43862</v>
      </c>
      <c r="Q238">
        <v>-215</v>
      </c>
    </row>
    <row r="239" spans="1:17" x14ac:dyDescent="0.25">
      <c r="A239" s="1">
        <v>43647</v>
      </c>
      <c r="B239" t="s">
        <v>148</v>
      </c>
      <c r="C239" t="s">
        <v>66</v>
      </c>
      <c r="D239" t="s">
        <v>55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 s="1">
        <v>44256</v>
      </c>
      <c r="Q239">
        <v>-609</v>
      </c>
    </row>
    <row r="240" spans="1:17" x14ac:dyDescent="0.25">
      <c r="A240" s="1">
        <v>43647</v>
      </c>
      <c r="B240" t="s">
        <v>149</v>
      </c>
      <c r="C240" t="s">
        <v>67</v>
      </c>
      <c r="D240" t="s">
        <v>55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 s="1">
        <v>44256</v>
      </c>
      <c r="Q240">
        <v>-609</v>
      </c>
    </row>
    <row r="241" spans="1:17" x14ac:dyDescent="0.25">
      <c r="A241" s="1">
        <v>43647</v>
      </c>
      <c r="B241" t="s">
        <v>150</v>
      </c>
      <c r="C241" t="s">
        <v>69</v>
      </c>
      <c r="D241" t="s">
        <v>68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 s="1">
        <v>44317</v>
      </c>
      <c r="Q241">
        <v>-670</v>
      </c>
    </row>
    <row r="242" spans="1:17" x14ac:dyDescent="0.25">
      <c r="A242" s="1">
        <v>43647</v>
      </c>
      <c r="B242" t="s">
        <v>151</v>
      </c>
      <c r="C242" t="s">
        <v>71</v>
      </c>
      <c r="D242" t="s">
        <v>70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 s="1">
        <v>44136</v>
      </c>
      <c r="Q242">
        <v>-489</v>
      </c>
    </row>
    <row r="243" spans="1:17" x14ac:dyDescent="0.25">
      <c r="A243" s="1">
        <v>43647</v>
      </c>
      <c r="B243" t="s">
        <v>152</v>
      </c>
      <c r="C243" t="s">
        <v>11</v>
      </c>
      <c r="D243" t="s">
        <v>52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 s="1">
        <v>43862</v>
      </c>
      <c r="Q243">
        <v>-215</v>
      </c>
    </row>
    <row r="244" spans="1:17" x14ac:dyDescent="0.25">
      <c r="A244" s="1">
        <v>43647</v>
      </c>
      <c r="B244" t="s">
        <v>153</v>
      </c>
      <c r="C244" t="s">
        <v>73</v>
      </c>
      <c r="D244" t="s">
        <v>72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 s="1">
        <v>44440</v>
      </c>
      <c r="Q244">
        <v>-793</v>
      </c>
    </row>
    <row r="245" spans="1:17" x14ac:dyDescent="0.25">
      <c r="A245" s="1">
        <v>43678</v>
      </c>
      <c r="B245" t="s">
        <v>154</v>
      </c>
      <c r="C245" t="s">
        <v>17</v>
      </c>
      <c r="D245" t="s">
        <v>74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 s="1">
        <v>44197</v>
      </c>
      <c r="Q245">
        <v>-519</v>
      </c>
    </row>
    <row r="246" spans="1:17" x14ac:dyDescent="0.25">
      <c r="A246" s="1">
        <v>43678</v>
      </c>
      <c r="B246" t="s">
        <v>155</v>
      </c>
      <c r="C246" t="s">
        <v>76</v>
      </c>
      <c r="D246" t="s">
        <v>75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 s="1">
        <v>44470</v>
      </c>
      <c r="Q246">
        <v>-792</v>
      </c>
    </row>
    <row r="247" spans="1:17" x14ac:dyDescent="0.25">
      <c r="A247" s="1">
        <v>43678</v>
      </c>
      <c r="B247" t="s">
        <v>156</v>
      </c>
      <c r="C247" t="s">
        <v>79</v>
      </c>
      <c r="D247" t="s">
        <v>78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 s="1">
        <v>44348</v>
      </c>
      <c r="Q247">
        <v>-670</v>
      </c>
    </row>
    <row r="248" spans="1:17" x14ac:dyDescent="0.25">
      <c r="A248" s="1">
        <v>43678</v>
      </c>
      <c r="B248" t="s">
        <v>157</v>
      </c>
      <c r="C248" t="s">
        <v>81</v>
      </c>
      <c r="D248" t="s">
        <v>72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 s="1">
        <v>44440</v>
      </c>
      <c r="Q248">
        <v>-762</v>
      </c>
    </row>
    <row r="249" spans="1:17" x14ac:dyDescent="0.25">
      <c r="A249" s="1">
        <v>43678</v>
      </c>
      <c r="B249" t="s">
        <v>158</v>
      </c>
      <c r="C249" t="s">
        <v>83</v>
      </c>
      <c r="D249" t="s">
        <v>82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 s="1">
        <v>44228</v>
      </c>
      <c r="Q249">
        <v>-550</v>
      </c>
    </row>
    <row r="250" spans="1:17" x14ac:dyDescent="0.25">
      <c r="A250" s="1">
        <v>43678</v>
      </c>
      <c r="B250" t="s">
        <v>159</v>
      </c>
      <c r="C250" t="s">
        <v>84</v>
      </c>
      <c r="D250" t="s">
        <v>55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 s="1">
        <v>44256</v>
      </c>
      <c r="Q250">
        <v>-578</v>
      </c>
    </row>
    <row r="251" spans="1:17" x14ac:dyDescent="0.25">
      <c r="A251" s="1">
        <v>43678</v>
      </c>
      <c r="B251" t="s">
        <v>160</v>
      </c>
      <c r="C251" t="s">
        <v>86</v>
      </c>
      <c r="D251" t="s">
        <v>68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 s="1">
        <v>44317</v>
      </c>
      <c r="Q251">
        <v>-639</v>
      </c>
    </row>
    <row r="252" spans="1:17" x14ac:dyDescent="0.25">
      <c r="A252" s="1">
        <v>43678</v>
      </c>
      <c r="B252" t="s">
        <v>161</v>
      </c>
      <c r="C252" t="s">
        <v>87</v>
      </c>
      <c r="D252" t="s">
        <v>72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 s="1">
        <v>44440</v>
      </c>
      <c r="Q252">
        <v>-762</v>
      </c>
    </row>
    <row r="253" spans="1:17" x14ac:dyDescent="0.25">
      <c r="A253" s="1">
        <v>43678</v>
      </c>
      <c r="B253" t="s">
        <v>162</v>
      </c>
      <c r="C253" t="s">
        <v>89</v>
      </c>
      <c r="D253" t="s">
        <v>88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 s="1">
        <v>44044</v>
      </c>
      <c r="Q253">
        <v>-366</v>
      </c>
    </row>
    <row r="254" spans="1:17" x14ac:dyDescent="0.25">
      <c r="A254" s="1">
        <v>43678</v>
      </c>
      <c r="B254" t="s">
        <v>163</v>
      </c>
      <c r="C254" t="s">
        <v>90</v>
      </c>
      <c r="D254" t="s">
        <v>82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 s="1">
        <v>44228</v>
      </c>
      <c r="Q254">
        <v>-550</v>
      </c>
    </row>
    <row r="255" spans="1:17" x14ac:dyDescent="0.25">
      <c r="A255" s="1">
        <v>43678</v>
      </c>
      <c r="B255" t="s">
        <v>164</v>
      </c>
      <c r="C255" t="s">
        <v>92</v>
      </c>
      <c r="D255" t="s">
        <v>91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 s="1">
        <v>44105</v>
      </c>
      <c r="Q255">
        <v>-427</v>
      </c>
    </row>
    <row r="256" spans="1:17" x14ac:dyDescent="0.25">
      <c r="A256" s="1">
        <v>43678</v>
      </c>
      <c r="B256" t="s">
        <v>165</v>
      </c>
      <c r="C256" t="s">
        <v>94</v>
      </c>
      <c r="D256" t="s">
        <v>93</v>
      </c>
      <c r="E256">
        <v>1606</v>
      </c>
      <c r="F256">
        <v>968</v>
      </c>
      <c r="G256">
        <v>373</v>
      </c>
      <c r="H256">
        <v>3328</v>
      </c>
      <c r="I256">
        <v>2872</v>
      </c>
      <c r="J256">
        <v>634</v>
      </c>
      <c r="K256">
        <v>278</v>
      </c>
      <c r="L256">
        <v>2094</v>
      </c>
      <c r="M256">
        <v>348</v>
      </c>
      <c r="N256">
        <v>-81</v>
      </c>
      <c r="O256">
        <v>1930</v>
      </c>
      <c r="P256" s="1">
        <v>43586</v>
      </c>
      <c r="Q256">
        <v>92</v>
      </c>
    </row>
    <row r="257" spans="1:17" x14ac:dyDescent="0.25">
      <c r="A257" s="1">
        <v>43678</v>
      </c>
      <c r="B257" t="s">
        <v>166</v>
      </c>
      <c r="C257" t="s">
        <v>96</v>
      </c>
      <c r="D257" t="s">
        <v>95</v>
      </c>
      <c r="E257">
        <v>-377</v>
      </c>
      <c r="F257">
        <v>1476</v>
      </c>
      <c r="G257">
        <v>2521</v>
      </c>
      <c r="H257">
        <v>6310</v>
      </c>
      <c r="I257">
        <v>1761</v>
      </c>
      <c r="J257">
        <v>1459</v>
      </c>
      <c r="K257">
        <v>-964</v>
      </c>
      <c r="L257">
        <v>3985</v>
      </c>
      <c r="M257">
        <v>7408</v>
      </c>
      <c r="N257">
        <v>1881</v>
      </c>
      <c r="O257">
        <v>11481</v>
      </c>
      <c r="P257" s="1">
        <v>43678</v>
      </c>
      <c r="Q257">
        <v>0</v>
      </c>
    </row>
    <row r="258" spans="1:17" x14ac:dyDescent="0.25">
      <c r="A258" s="1">
        <v>43678</v>
      </c>
      <c r="B258" t="s">
        <v>167</v>
      </c>
      <c r="C258" t="s">
        <v>97</v>
      </c>
      <c r="D258" t="s">
        <v>58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 s="1">
        <v>44287</v>
      </c>
      <c r="Q258">
        <v>-609</v>
      </c>
    </row>
    <row r="259" spans="1:17" x14ac:dyDescent="0.25">
      <c r="A259" s="1">
        <v>43678</v>
      </c>
      <c r="B259" t="s">
        <v>168</v>
      </c>
      <c r="C259" t="s">
        <v>98</v>
      </c>
      <c r="D259" t="s">
        <v>49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 s="1">
        <v>43709</v>
      </c>
      <c r="Q259">
        <v>-31</v>
      </c>
    </row>
    <row r="260" spans="1:17" x14ac:dyDescent="0.25">
      <c r="A260" s="1">
        <v>43678</v>
      </c>
      <c r="B260" t="s">
        <v>169</v>
      </c>
      <c r="C260" t="s">
        <v>99</v>
      </c>
      <c r="D260" t="s">
        <v>95</v>
      </c>
      <c r="E260">
        <v>1194</v>
      </c>
      <c r="F260">
        <v>4175</v>
      </c>
      <c r="G260">
        <v>451</v>
      </c>
      <c r="H260">
        <v>8475</v>
      </c>
      <c r="I260">
        <v>5935</v>
      </c>
      <c r="J260">
        <v>585</v>
      </c>
      <c r="K260">
        <v>9590</v>
      </c>
      <c r="L260">
        <v>-103</v>
      </c>
      <c r="M260">
        <v>6800</v>
      </c>
      <c r="N260">
        <v>2266</v>
      </c>
      <c r="O260">
        <v>4968</v>
      </c>
      <c r="P260" s="1">
        <v>43678</v>
      </c>
      <c r="Q260">
        <v>0</v>
      </c>
    </row>
    <row r="261" spans="1:17" x14ac:dyDescent="0.25">
      <c r="A261" s="1">
        <v>43678</v>
      </c>
      <c r="B261" t="s">
        <v>170</v>
      </c>
      <c r="C261" t="s">
        <v>100</v>
      </c>
      <c r="D261" t="s">
        <v>82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 s="1">
        <v>44228</v>
      </c>
      <c r="Q261">
        <v>-550</v>
      </c>
    </row>
    <row r="262" spans="1:17" x14ac:dyDescent="0.25">
      <c r="A262" s="1">
        <v>43678</v>
      </c>
      <c r="B262" t="s">
        <v>171</v>
      </c>
      <c r="C262" t="s">
        <v>101</v>
      </c>
      <c r="D262" t="s">
        <v>68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 s="1">
        <v>44317</v>
      </c>
      <c r="Q262">
        <v>-639</v>
      </c>
    </row>
    <row r="263" spans="1:17" x14ac:dyDescent="0.25">
      <c r="A263" s="1">
        <v>43678</v>
      </c>
      <c r="B263" t="s">
        <v>172</v>
      </c>
      <c r="C263" t="s">
        <v>102</v>
      </c>
      <c r="D263" t="s">
        <v>88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 s="1">
        <v>44044</v>
      </c>
      <c r="Q263">
        <v>-366</v>
      </c>
    </row>
    <row r="264" spans="1:17" x14ac:dyDescent="0.25">
      <c r="A264" s="1">
        <v>43678</v>
      </c>
      <c r="B264" t="s">
        <v>173</v>
      </c>
      <c r="C264" t="s">
        <v>103</v>
      </c>
      <c r="D264" t="s">
        <v>52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 s="1">
        <v>43862</v>
      </c>
      <c r="Q264">
        <v>-184</v>
      </c>
    </row>
    <row r="265" spans="1:17" x14ac:dyDescent="0.25">
      <c r="A265" s="1">
        <v>43678</v>
      </c>
      <c r="B265" t="s">
        <v>174</v>
      </c>
      <c r="C265" t="s">
        <v>105</v>
      </c>
      <c r="D265" t="s">
        <v>104</v>
      </c>
      <c r="E265">
        <v>316</v>
      </c>
      <c r="F265">
        <v>96</v>
      </c>
      <c r="G265">
        <v>259</v>
      </c>
      <c r="H265">
        <v>351</v>
      </c>
      <c r="I265">
        <v>192</v>
      </c>
      <c r="J265">
        <v>163</v>
      </c>
      <c r="K265">
        <v>212</v>
      </c>
      <c r="L265">
        <v>120</v>
      </c>
      <c r="M265">
        <v>183</v>
      </c>
      <c r="N265">
        <v>473</v>
      </c>
      <c r="O265">
        <v>1186</v>
      </c>
      <c r="P265" s="1">
        <v>43374</v>
      </c>
      <c r="Q265">
        <v>304</v>
      </c>
    </row>
    <row r="266" spans="1:17" x14ac:dyDescent="0.25">
      <c r="A266" s="1">
        <v>43678</v>
      </c>
      <c r="B266" t="s">
        <v>142</v>
      </c>
      <c r="C266" t="s">
        <v>50</v>
      </c>
      <c r="D266" t="s">
        <v>49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 s="1">
        <v>43709</v>
      </c>
      <c r="Q266">
        <v>-31</v>
      </c>
    </row>
    <row r="267" spans="1:17" x14ac:dyDescent="0.25">
      <c r="A267" s="1">
        <v>43678</v>
      </c>
      <c r="B267" t="s">
        <v>143</v>
      </c>
      <c r="C267" t="s">
        <v>53</v>
      </c>
      <c r="D267" t="s">
        <v>52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 s="1">
        <v>43862</v>
      </c>
      <c r="Q267">
        <v>-184</v>
      </c>
    </row>
    <row r="268" spans="1:17" x14ac:dyDescent="0.25">
      <c r="A268" s="1">
        <v>43678</v>
      </c>
      <c r="B268" t="s">
        <v>144</v>
      </c>
      <c r="C268" t="s">
        <v>56</v>
      </c>
      <c r="D268" t="s">
        <v>55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 s="1">
        <v>44256</v>
      </c>
      <c r="Q268">
        <v>-578</v>
      </c>
    </row>
    <row r="269" spans="1:17" x14ac:dyDescent="0.25">
      <c r="A269" s="1">
        <v>43678</v>
      </c>
      <c r="B269" t="s">
        <v>145</v>
      </c>
      <c r="C269" t="s">
        <v>59</v>
      </c>
      <c r="D269" t="s">
        <v>58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 s="1">
        <v>44287</v>
      </c>
      <c r="Q269">
        <v>-609</v>
      </c>
    </row>
    <row r="270" spans="1:17" x14ac:dyDescent="0.25">
      <c r="A270" s="1">
        <v>43678</v>
      </c>
      <c r="B270" t="s">
        <v>146</v>
      </c>
      <c r="C270" t="s">
        <v>62</v>
      </c>
      <c r="D270" t="s">
        <v>61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 s="1">
        <v>44075</v>
      </c>
      <c r="Q270">
        <v>-397</v>
      </c>
    </row>
    <row r="271" spans="1:17" x14ac:dyDescent="0.25">
      <c r="A271" s="1">
        <v>43678</v>
      </c>
      <c r="B271" t="s">
        <v>147</v>
      </c>
      <c r="C271" t="s">
        <v>64</v>
      </c>
      <c r="D271" t="s">
        <v>52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 s="1">
        <v>43862</v>
      </c>
      <c r="Q271">
        <v>-184</v>
      </c>
    </row>
    <row r="272" spans="1:17" x14ac:dyDescent="0.25">
      <c r="A272" s="1">
        <v>43678</v>
      </c>
      <c r="B272" t="s">
        <v>148</v>
      </c>
      <c r="C272" t="s">
        <v>66</v>
      </c>
      <c r="D272" t="s">
        <v>55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 s="1">
        <v>44256</v>
      </c>
      <c r="Q272">
        <v>-578</v>
      </c>
    </row>
    <row r="273" spans="1:17" x14ac:dyDescent="0.25">
      <c r="A273" s="1">
        <v>43678</v>
      </c>
      <c r="B273" t="s">
        <v>149</v>
      </c>
      <c r="C273" t="s">
        <v>67</v>
      </c>
      <c r="D273" t="s">
        <v>55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 s="1">
        <v>44256</v>
      </c>
      <c r="Q273">
        <v>-578</v>
      </c>
    </row>
    <row r="274" spans="1:17" x14ac:dyDescent="0.25">
      <c r="A274" s="1">
        <v>43678</v>
      </c>
      <c r="B274" t="s">
        <v>150</v>
      </c>
      <c r="C274" t="s">
        <v>69</v>
      </c>
      <c r="D274" t="s">
        <v>68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 s="1">
        <v>44317</v>
      </c>
      <c r="Q274">
        <v>-639</v>
      </c>
    </row>
    <row r="275" spans="1:17" x14ac:dyDescent="0.25">
      <c r="A275" s="1">
        <v>43678</v>
      </c>
      <c r="B275" t="s">
        <v>151</v>
      </c>
      <c r="C275" t="s">
        <v>71</v>
      </c>
      <c r="D275" t="s">
        <v>70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 s="1">
        <v>44136</v>
      </c>
      <c r="Q275">
        <v>-458</v>
      </c>
    </row>
    <row r="276" spans="1:17" x14ac:dyDescent="0.25">
      <c r="A276" s="1">
        <v>43678</v>
      </c>
      <c r="B276" t="s">
        <v>152</v>
      </c>
      <c r="C276" t="s">
        <v>11</v>
      </c>
      <c r="D276" t="s">
        <v>52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 s="1">
        <v>43862</v>
      </c>
      <c r="Q276">
        <v>-184</v>
      </c>
    </row>
    <row r="277" spans="1:17" x14ac:dyDescent="0.25">
      <c r="A277" s="1">
        <v>43678</v>
      </c>
      <c r="B277" t="s">
        <v>153</v>
      </c>
      <c r="C277" t="s">
        <v>73</v>
      </c>
      <c r="D277" t="s">
        <v>72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 s="1">
        <v>44440</v>
      </c>
      <c r="Q277">
        <v>-762</v>
      </c>
    </row>
    <row r="278" spans="1:17" x14ac:dyDescent="0.25">
      <c r="A278" s="1">
        <v>43678</v>
      </c>
      <c r="B278" t="s">
        <v>154</v>
      </c>
      <c r="C278" t="s">
        <v>17</v>
      </c>
      <c r="D278" t="s">
        <v>74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 s="1">
        <v>44197</v>
      </c>
      <c r="Q278">
        <v>-519</v>
      </c>
    </row>
    <row r="279" spans="1:17" x14ac:dyDescent="0.25">
      <c r="A279" s="1">
        <v>43678</v>
      </c>
      <c r="B279" t="s">
        <v>155</v>
      </c>
      <c r="C279" t="s">
        <v>76</v>
      </c>
      <c r="D279" t="s">
        <v>75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 s="1">
        <v>44470</v>
      </c>
      <c r="Q279">
        <v>-792</v>
      </c>
    </row>
    <row r="280" spans="1:17" x14ac:dyDescent="0.25">
      <c r="A280" s="1">
        <v>43709</v>
      </c>
      <c r="B280" t="s">
        <v>156</v>
      </c>
      <c r="C280" t="s">
        <v>79</v>
      </c>
      <c r="D280" t="s">
        <v>78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 s="1">
        <v>44348</v>
      </c>
      <c r="Q280">
        <v>-639</v>
      </c>
    </row>
    <row r="281" spans="1:17" x14ac:dyDescent="0.25">
      <c r="A281" s="1">
        <v>43709</v>
      </c>
      <c r="B281" t="s">
        <v>157</v>
      </c>
      <c r="C281" t="s">
        <v>81</v>
      </c>
      <c r="D281" t="s">
        <v>72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 s="1">
        <v>44440</v>
      </c>
      <c r="Q281">
        <v>-731</v>
      </c>
    </row>
    <row r="282" spans="1:17" x14ac:dyDescent="0.25">
      <c r="A282" s="1">
        <v>43709</v>
      </c>
      <c r="B282" t="s">
        <v>158</v>
      </c>
      <c r="C282" t="s">
        <v>83</v>
      </c>
      <c r="D282" t="s">
        <v>82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 s="1">
        <v>44228</v>
      </c>
      <c r="Q282">
        <v>-519</v>
      </c>
    </row>
    <row r="283" spans="1:17" x14ac:dyDescent="0.25">
      <c r="A283" s="1">
        <v>43709</v>
      </c>
      <c r="B283" t="s">
        <v>159</v>
      </c>
      <c r="C283" t="s">
        <v>84</v>
      </c>
      <c r="D283" t="s">
        <v>55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 s="1">
        <v>44256</v>
      </c>
      <c r="Q283">
        <v>-547</v>
      </c>
    </row>
    <row r="284" spans="1:17" x14ac:dyDescent="0.25">
      <c r="A284" s="1">
        <v>43709</v>
      </c>
      <c r="B284" t="s">
        <v>160</v>
      </c>
      <c r="C284" t="s">
        <v>86</v>
      </c>
      <c r="D284" t="s">
        <v>68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 s="1">
        <v>44317</v>
      </c>
      <c r="Q284">
        <v>-608</v>
      </c>
    </row>
    <row r="285" spans="1:17" x14ac:dyDescent="0.25">
      <c r="A285" s="1">
        <v>43709</v>
      </c>
      <c r="B285" t="s">
        <v>161</v>
      </c>
      <c r="C285" t="s">
        <v>87</v>
      </c>
      <c r="D285" t="s">
        <v>72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 s="1">
        <v>44440</v>
      </c>
      <c r="Q285">
        <v>-731</v>
      </c>
    </row>
    <row r="286" spans="1:17" x14ac:dyDescent="0.25">
      <c r="A286" s="1">
        <v>43709</v>
      </c>
      <c r="B286" t="s">
        <v>162</v>
      </c>
      <c r="C286" t="s">
        <v>89</v>
      </c>
      <c r="D286" t="s">
        <v>88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 s="1">
        <v>44044</v>
      </c>
      <c r="Q286">
        <v>-335</v>
      </c>
    </row>
    <row r="287" spans="1:17" x14ac:dyDescent="0.25">
      <c r="A287" s="1">
        <v>43709</v>
      </c>
      <c r="B287" t="s">
        <v>163</v>
      </c>
      <c r="C287" t="s">
        <v>90</v>
      </c>
      <c r="D287" t="s">
        <v>82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 s="1">
        <v>44228</v>
      </c>
      <c r="Q287">
        <v>-519</v>
      </c>
    </row>
    <row r="288" spans="1:17" x14ac:dyDescent="0.25">
      <c r="A288" s="1">
        <v>43709</v>
      </c>
      <c r="B288" t="s">
        <v>164</v>
      </c>
      <c r="C288" t="s">
        <v>92</v>
      </c>
      <c r="D288" t="s">
        <v>91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 s="1">
        <v>44105</v>
      </c>
      <c r="Q288">
        <v>-396</v>
      </c>
    </row>
    <row r="289" spans="1:17" x14ac:dyDescent="0.25">
      <c r="A289" s="1">
        <v>43709</v>
      </c>
      <c r="B289" t="s">
        <v>165</v>
      </c>
      <c r="C289" t="s">
        <v>94</v>
      </c>
      <c r="D289" t="s">
        <v>93</v>
      </c>
      <c r="E289">
        <v>1787</v>
      </c>
      <c r="F289">
        <v>222</v>
      </c>
      <c r="G289">
        <v>362</v>
      </c>
      <c r="H289">
        <v>2100</v>
      </c>
      <c r="I289">
        <v>1868</v>
      </c>
      <c r="J289">
        <v>386</v>
      </c>
      <c r="K289">
        <v>598</v>
      </c>
      <c r="L289">
        <v>1906</v>
      </c>
      <c r="M289">
        <v>491</v>
      </c>
      <c r="N289">
        <v>1753</v>
      </c>
      <c r="O289">
        <v>1157</v>
      </c>
      <c r="P289" s="1">
        <v>43586</v>
      </c>
      <c r="Q289">
        <v>123</v>
      </c>
    </row>
    <row r="290" spans="1:17" x14ac:dyDescent="0.25">
      <c r="A290" s="1">
        <v>43709</v>
      </c>
      <c r="B290" t="s">
        <v>166</v>
      </c>
      <c r="C290" t="s">
        <v>96</v>
      </c>
      <c r="D290" t="s">
        <v>95</v>
      </c>
      <c r="E290">
        <v>204</v>
      </c>
      <c r="F290">
        <v>1611</v>
      </c>
      <c r="G290">
        <v>2791</v>
      </c>
      <c r="H290">
        <v>8028</v>
      </c>
      <c r="I290">
        <v>2015</v>
      </c>
      <c r="J290">
        <v>1303</v>
      </c>
      <c r="K290">
        <v>6226</v>
      </c>
      <c r="L290">
        <v>1067</v>
      </c>
      <c r="M290">
        <v>6018</v>
      </c>
      <c r="N290">
        <v>1791</v>
      </c>
      <c r="O290">
        <v>5432</v>
      </c>
      <c r="P290" s="1">
        <v>43678</v>
      </c>
      <c r="Q290">
        <v>31</v>
      </c>
    </row>
    <row r="291" spans="1:17" x14ac:dyDescent="0.25">
      <c r="A291" s="1">
        <v>43709</v>
      </c>
      <c r="B291" t="s">
        <v>167</v>
      </c>
      <c r="C291" t="s">
        <v>97</v>
      </c>
      <c r="D291" t="s">
        <v>58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 s="1">
        <v>44287</v>
      </c>
      <c r="Q291">
        <v>-578</v>
      </c>
    </row>
    <row r="292" spans="1:17" x14ac:dyDescent="0.25">
      <c r="A292" s="1">
        <v>43709</v>
      </c>
      <c r="B292" t="s">
        <v>168</v>
      </c>
      <c r="C292" t="s">
        <v>98</v>
      </c>
      <c r="D292" t="s">
        <v>49</v>
      </c>
      <c r="E292">
        <v>16189</v>
      </c>
      <c r="F292">
        <v>2368</v>
      </c>
      <c r="G292">
        <v>1135</v>
      </c>
      <c r="H292">
        <v>2748</v>
      </c>
      <c r="I292">
        <v>658</v>
      </c>
      <c r="J292">
        <v>2997</v>
      </c>
      <c r="K292">
        <v>189</v>
      </c>
      <c r="L292">
        <v>11470</v>
      </c>
      <c r="M292">
        <v>2830</v>
      </c>
      <c r="N292">
        <v>10406</v>
      </c>
      <c r="O292">
        <v>1444</v>
      </c>
      <c r="P292" s="1">
        <v>43709</v>
      </c>
      <c r="Q292">
        <v>0</v>
      </c>
    </row>
    <row r="293" spans="1:17" x14ac:dyDescent="0.25">
      <c r="A293" s="1">
        <v>43709</v>
      </c>
      <c r="B293" t="s">
        <v>169</v>
      </c>
      <c r="C293" t="s">
        <v>99</v>
      </c>
      <c r="D293" t="s">
        <v>95</v>
      </c>
      <c r="E293">
        <v>2022</v>
      </c>
      <c r="F293">
        <v>5309</v>
      </c>
      <c r="G293">
        <v>3037</v>
      </c>
      <c r="H293">
        <v>8185</v>
      </c>
      <c r="I293">
        <v>10304</v>
      </c>
      <c r="J293">
        <v>95</v>
      </c>
      <c r="K293">
        <v>6950</v>
      </c>
      <c r="L293">
        <v>2120</v>
      </c>
      <c r="M293">
        <v>-135</v>
      </c>
      <c r="N293">
        <v>-161</v>
      </c>
      <c r="O293">
        <v>3867</v>
      </c>
      <c r="P293" s="1">
        <v>43678</v>
      </c>
      <c r="Q293">
        <v>31</v>
      </c>
    </row>
    <row r="294" spans="1:17" x14ac:dyDescent="0.25">
      <c r="A294" s="1">
        <v>43709</v>
      </c>
      <c r="B294" t="s">
        <v>170</v>
      </c>
      <c r="C294" t="s">
        <v>100</v>
      </c>
      <c r="D294" t="s">
        <v>82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 s="1">
        <v>44228</v>
      </c>
      <c r="Q294">
        <v>-519</v>
      </c>
    </row>
    <row r="295" spans="1:17" x14ac:dyDescent="0.25">
      <c r="A295" s="1">
        <v>43709</v>
      </c>
      <c r="B295" t="s">
        <v>171</v>
      </c>
      <c r="C295" t="s">
        <v>101</v>
      </c>
      <c r="D295" t="s">
        <v>68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 s="1">
        <v>44317</v>
      </c>
      <c r="Q295">
        <v>-608</v>
      </c>
    </row>
    <row r="296" spans="1:17" x14ac:dyDescent="0.25">
      <c r="A296" s="1">
        <v>43709</v>
      </c>
      <c r="B296" t="s">
        <v>172</v>
      </c>
      <c r="C296" t="s">
        <v>102</v>
      </c>
      <c r="D296" t="s">
        <v>88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 s="1">
        <v>44044</v>
      </c>
      <c r="Q296">
        <v>-335</v>
      </c>
    </row>
    <row r="297" spans="1:17" x14ac:dyDescent="0.25">
      <c r="A297" s="1">
        <v>43709</v>
      </c>
      <c r="B297" t="s">
        <v>173</v>
      </c>
      <c r="C297" t="s">
        <v>103</v>
      </c>
      <c r="D297" t="s">
        <v>52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 s="1">
        <v>43862</v>
      </c>
      <c r="Q297">
        <v>-153</v>
      </c>
    </row>
    <row r="298" spans="1:17" x14ac:dyDescent="0.25">
      <c r="A298" s="1">
        <v>43709</v>
      </c>
      <c r="B298" t="s">
        <v>174</v>
      </c>
      <c r="C298" t="s">
        <v>105</v>
      </c>
      <c r="D298" t="s">
        <v>104</v>
      </c>
      <c r="E298">
        <v>38</v>
      </c>
      <c r="F298">
        <v>211</v>
      </c>
      <c r="G298">
        <v>235</v>
      </c>
      <c r="H298">
        <v>473</v>
      </c>
      <c r="I298">
        <v>785</v>
      </c>
      <c r="J298">
        <v>235</v>
      </c>
      <c r="K298">
        <v>174</v>
      </c>
      <c r="L298">
        <v>256</v>
      </c>
      <c r="M298">
        <v>472</v>
      </c>
      <c r="N298">
        <v>508</v>
      </c>
      <c r="O298">
        <v>1030</v>
      </c>
      <c r="P298" s="1">
        <v>43374</v>
      </c>
      <c r="Q298">
        <v>335</v>
      </c>
    </row>
    <row r="299" spans="1:17" x14ac:dyDescent="0.25">
      <c r="A299" s="1">
        <v>43709</v>
      </c>
      <c r="B299" t="s">
        <v>142</v>
      </c>
      <c r="C299" t="s">
        <v>50</v>
      </c>
      <c r="D299" t="s">
        <v>49</v>
      </c>
      <c r="E299">
        <v>10810</v>
      </c>
      <c r="F299">
        <v>5829</v>
      </c>
      <c r="G299">
        <v>2321</v>
      </c>
      <c r="H299">
        <v>9650</v>
      </c>
      <c r="I299">
        <v>9295</v>
      </c>
      <c r="J299">
        <v>11775</v>
      </c>
      <c r="K299">
        <v>1378</v>
      </c>
      <c r="L299">
        <v>9977</v>
      </c>
      <c r="M299">
        <v>3897</v>
      </c>
      <c r="N299">
        <v>14227</v>
      </c>
      <c r="O299">
        <v>8436</v>
      </c>
      <c r="P299" s="1">
        <v>43709</v>
      </c>
      <c r="Q299">
        <v>0</v>
      </c>
    </row>
    <row r="300" spans="1:17" x14ac:dyDescent="0.25">
      <c r="A300" s="1">
        <v>43709</v>
      </c>
      <c r="B300" t="s">
        <v>143</v>
      </c>
      <c r="C300" t="s">
        <v>53</v>
      </c>
      <c r="D300" t="s">
        <v>52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 s="1">
        <v>43862</v>
      </c>
      <c r="Q300">
        <v>-153</v>
      </c>
    </row>
    <row r="301" spans="1:17" x14ac:dyDescent="0.25">
      <c r="A301" s="1">
        <v>43709</v>
      </c>
      <c r="B301" t="s">
        <v>144</v>
      </c>
      <c r="C301" t="s">
        <v>56</v>
      </c>
      <c r="D301" t="s">
        <v>55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 s="1">
        <v>44256</v>
      </c>
      <c r="Q301">
        <v>-547</v>
      </c>
    </row>
    <row r="302" spans="1:17" x14ac:dyDescent="0.25">
      <c r="A302" s="1">
        <v>43709</v>
      </c>
      <c r="B302" t="s">
        <v>145</v>
      </c>
      <c r="C302" t="s">
        <v>59</v>
      </c>
      <c r="D302" t="s">
        <v>58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 s="1">
        <v>44287</v>
      </c>
      <c r="Q302">
        <v>-578</v>
      </c>
    </row>
    <row r="303" spans="1:17" x14ac:dyDescent="0.25">
      <c r="A303" s="1">
        <v>43709</v>
      </c>
      <c r="B303" t="s">
        <v>146</v>
      </c>
      <c r="C303" t="s">
        <v>62</v>
      </c>
      <c r="D303" t="s">
        <v>61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 s="1">
        <v>44075</v>
      </c>
      <c r="Q303">
        <v>-366</v>
      </c>
    </row>
    <row r="304" spans="1:17" x14ac:dyDescent="0.25">
      <c r="A304" s="1">
        <v>43709</v>
      </c>
      <c r="B304" t="s">
        <v>147</v>
      </c>
      <c r="C304" t="s">
        <v>64</v>
      </c>
      <c r="D304" t="s">
        <v>52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 s="1">
        <v>43862</v>
      </c>
      <c r="Q304">
        <v>-153</v>
      </c>
    </row>
    <row r="305" spans="1:17" x14ac:dyDescent="0.25">
      <c r="A305" s="1">
        <v>43709</v>
      </c>
      <c r="B305" t="s">
        <v>148</v>
      </c>
      <c r="C305" t="s">
        <v>66</v>
      </c>
      <c r="D305" t="s">
        <v>55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 s="1">
        <v>44256</v>
      </c>
      <c r="Q305">
        <v>-547</v>
      </c>
    </row>
    <row r="306" spans="1:17" x14ac:dyDescent="0.25">
      <c r="A306" s="1">
        <v>43709</v>
      </c>
      <c r="B306" t="s">
        <v>149</v>
      </c>
      <c r="C306" t="s">
        <v>67</v>
      </c>
      <c r="D306" t="s">
        <v>55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 s="1">
        <v>44256</v>
      </c>
      <c r="Q306">
        <v>-547</v>
      </c>
    </row>
    <row r="307" spans="1:17" x14ac:dyDescent="0.25">
      <c r="A307" s="1">
        <v>43709</v>
      </c>
      <c r="B307" t="s">
        <v>150</v>
      </c>
      <c r="C307" t="s">
        <v>69</v>
      </c>
      <c r="D307" t="s">
        <v>68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 s="1">
        <v>44317</v>
      </c>
      <c r="Q307">
        <v>-608</v>
      </c>
    </row>
    <row r="308" spans="1:17" x14ac:dyDescent="0.25">
      <c r="A308" s="1">
        <v>43709</v>
      </c>
      <c r="B308" t="s">
        <v>151</v>
      </c>
      <c r="C308" t="s">
        <v>71</v>
      </c>
      <c r="D308" t="s">
        <v>70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 s="1">
        <v>44136</v>
      </c>
      <c r="Q308">
        <v>-427</v>
      </c>
    </row>
    <row r="309" spans="1:17" x14ac:dyDescent="0.25">
      <c r="A309" s="1">
        <v>43709</v>
      </c>
      <c r="B309" t="s">
        <v>152</v>
      </c>
      <c r="C309" t="s">
        <v>11</v>
      </c>
      <c r="D309" t="s">
        <v>52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 s="1">
        <v>43862</v>
      </c>
      <c r="Q309">
        <v>-153</v>
      </c>
    </row>
    <row r="310" spans="1:17" x14ac:dyDescent="0.25">
      <c r="A310" s="1">
        <v>43709</v>
      </c>
      <c r="B310" t="s">
        <v>153</v>
      </c>
      <c r="C310" t="s">
        <v>73</v>
      </c>
      <c r="D310" t="s">
        <v>72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 s="1">
        <v>44440</v>
      </c>
      <c r="Q310">
        <v>-731</v>
      </c>
    </row>
    <row r="311" spans="1:17" x14ac:dyDescent="0.25">
      <c r="A311" s="1">
        <v>43709</v>
      </c>
      <c r="B311" t="s">
        <v>154</v>
      </c>
      <c r="C311" t="s">
        <v>17</v>
      </c>
      <c r="D311" t="s">
        <v>74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 s="1">
        <v>44197</v>
      </c>
      <c r="Q311">
        <v>-488</v>
      </c>
    </row>
    <row r="312" spans="1:17" x14ac:dyDescent="0.25">
      <c r="A312" s="1">
        <v>43709</v>
      </c>
      <c r="B312" t="s">
        <v>155</v>
      </c>
      <c r="C312" t="s">
        <v>76</v>
      </c>
      <c r="D312" t="s">
        <v>75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 s="1">
        <v>44470</v>
      </c>
      <c r="Q312">
        <v>-761</v>
      </c>
    </row>
    <row r="313" spans="1:17" x14ac:dyDescent="0.25">
      <c r="A313" s="1">
        <v>43709</v>
      </c>
      <c r="B313" t="s">
        <v>156</v>
      </c>
      <c r="C313" t="s">
        <v>79</v>
      </c>
      <c r="D313" t="s">
        <v>78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 s="1">
        <v>44348</v>
      </c>
      <c r="Q313">
        <v>-639</v>
      </c>
    </row>
    <row r="314" spans="1:17" x14ac:dyDescent="0.25">
      <c r="A314" s="1">
        <v>43709</v>
      </c>
      <c r="B314" t="s">
        <v>157</v>
      </c>
      <c r="C314" t="s">
        <v>81</v>
      </c>
      <c r="D314" t="s">
        <v>72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 s="1">
        <v>44440</v>
      </c>
      <c r="Q314">
        <v>-731</v>
      </c>
    </row>
    <row r="315" spans="1:17" x14ac:dyDescent="0.25">
      <c r="A315" s="1">
        <v>43739</v>
      </c>
      <c r="B315" t="s">
        <v>158</v>
      </c>
      <c r="C315" t="s">
        <v>83</v>
      </c>
      <c r="D315" t="s">
        <v>82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 s="1">
        <v>44228</v>
      </c>
      <c r="Q315">
        <v>-489</v>
      </c>
    </row>
    <row r="316" spans="1:17" x14ac:dyDescent="0.25">
      <c r="A316" s="1">
        <v>43739</v>
      </c>
      <c r="B316" t="s">
        <v>159</v>
      </c>
      <c r="C316" t="s">
        <v>84</v>
      </c>
      <c r="D316" t="s">
        <v>55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 s="1">
        <v>44256</v>
      </c>
      <c r="Q316">
        <v>-517</v>
      </c>
    </row>
    <row r="317" spans="1:17" x14ac:dyDescent="0.25">
      <c r="A317" s="1">
        <v>43739</v>
      </c>
      <c r="B317" t="s">
        <v>160</v>
      </c>
      <c r="C317" t="s">
        <v>86</v>
      </c>
      <c r="D317" t="s">
        <v>68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 s="1">
        <v>44317</v>
      </c>
      <c r="Q317">
        <v>-578</v>
      </c>
    </row>
    <row r="318" spans="1:17" x14ac:dyDescent="0.25">
      <c r="A318" s="1">
        <v>43739</v>
      </c>
      <c r="B318" t="s">
        <v>161</v>
      </c>
      <c r="C318" t="s">
        <v>87</v>
      </c>
      <c r="D318" t="s">
        <v>72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 s="1">
        <v>44440</v>
      </c>
      <c r="Q318">
        <v>-701</v>
      </c>
    </row>
    <row r="319" spans="1:17" x14ac:dyDescent="0.25">
      <c r="A319" s="1">
        <v>43739</v>
      </c>
      <c r="B319" t="s">
        <v>162</v>
      </c>
      <c r="C319" t="s">
        <v>89</v>
      </c>
      <c r="D319" t="s">
        <v>88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 s="1">
        <v>44044</v>
      </c>
      <c r="Q319">
        <v>-305</v>
      </c>
    </row>
    <row r="320" spans="1:17" x14ac:dyDescent="0.25">
      <c r="A320" s="1">
        <v>43739</v>
      </c>
      <c r="B320" t="s">
        <v>163</v>
      </c>
      <c r="C320" t="s">
        <v>90</v>
      </c>
      <c r="D320" t="s">
        <v>82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 s="1">
        <v>44228</v>
      </c>
      <c r="Q320">
        <v>-489</v>
      </c>
    </row>
    <row r="321" spans="1:17" x14ac:dyDescent="0.25">
      <c r="A321" s="1">
        <v>43739</v>
      </c>
      <c r="B321" t="s">
        <v>164</v>
      </c>
      <c r="C321" t="s">
        <v>92</v>
      </c>
      <c r="D321" t="s">
        <v>91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 s="1">
        <v>44105</v>
      </c>
      <c r="Q321">
        <v>-366</v>
      </c>
    </row>
    <row r="322" spans="1:17" x14ac:dyDescent="0.25">
      <c r="A322" s="1">
        <v>43739</v>
      </c>
      <c r="B322" t="s">
        <v>165</v>
      </c>
      <c r="C322" t="s">
        <v>94</v>
      </c>
      <c r="D322" t="s">
        <v>93</v>
      </c>
      <c r="E322">
        <v>1549</v>
      </c>
      <c r="F322">
        <v>496</v>
      </c>
      <c r="G322">
        <v>188</v>
      </c>
      <c r="H322">
        <v>1233</v>
      </c>
      <c r="I322">
        <v>1838</v>
      </c>
      <c r="J322">
        <v>110</v>
      </c>
      <c r="K322">
        <v>393</v>
      </c>
      <c r="L322">
        <v>1253</v>
      </c>
      <c r="M322">
        <v>705</v>
      </c>
      <c r="N322">
        <v>2384</v>
      </c>
      <c r="O322">
        <v>1409</v>
      </c>
      <c r="P322" s="1">
        <v>43586</v>
      </c>
      <c r="Q322">
        <v>153</v>
      </c>
    </row>
    <row r="323" spans="1:17" x14ac:dyDescent="0.25">
      <c r="A323" s="1">
        <v>43739</v>
      </c>
      <c r="B323" t="s">
        <v>166</v>
      </c>
      <c r="C323" t="s">
        <v>96</v>
      </c>
      <c r="D323" t="s">
        <v>95</v>
      </c>
      <c r="E323">
        <v>-308</v>
      </c>
      <c r="F323">
        <v>1281</v>
      </c>
      <c r="G323">
        <v>749</v>
      </c>
      <c r="H323">
        <v>4545</v>
      </c>
      <c r="I323">
        <v>1801</v>
      </c>
      <c r="J323">
        <v>598</v>
      </c>
      <c r="K323">
        <v>4864</v>
      </c>
      <c r="L323">
        <v>334</v>
      </c>
      <c r="M323">
        <v>5335</v>
      </c>
      <c r="N323">
        <v>1015</v>
      </c>
      <c r="O323">
        <v>2366</v>
      </c>
      <c r="P323" s="1">
        <v>43678</v>
      </c>
      <c r="Q323">
        <v>61</v>
      </c>
    </row>
    <row r="324" spans="1:17" x14ac:dyDescent="0.25">
      <c r="A324" s="1">
        <v>43739</v>
      </c>
      <c r="B324" t="s">
        <v>167</v>
      </c>
      <c r="C324" t="s">
        <v>97</v>
      </c>
      <c r="D324" t="s">
        <v>58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 s="1">
        <v>44287</v>
      </c>
      <c r="Q324">
        <v>-548</v>
      </c>
    </row>
    <row r="325" spans="1:17" x14ac:dyDescent="0.25">
      <c r="A325" s="1">
        <v>43739</v>
      </c>
      <c r="B325" t="s">
        <v>168</v>
      </c>
      <c r="C325" t="s">
        <v>98</v>
      </c>
      <c r="D325" t="s">
        <v>49</v>
      </c>
      <c r="E325">
        <v>7586</v>
      </c>
      <c r="F325">
        <v>2862</v>
      </c>
      <c r="G325">
        <v>1628</v>
      </c>
      <c r="H325">
        <v>2442</v>
      </c>
      <c r="I325">
        <v>2588</v>
      </c>
      <c r="J325">
        <v>2924</v>
      </c>
      <c r="K325">
        <v>3430</v>
      </c>
      <c r="L325">
        <v>7954</v>
      </c>
      <c r="M325">
        <v>4183</v>
      </c>
      <c r="N325">
        <v>2423</v>
      </c>
      <c r="O325">
        <v>1241</v>
      </c>
      <c r="P325" s="1">
        <v>43709</v>
      </c>
      <c r="Q325">
        <v>30</v>
      </c>
    </row>
    <row r="326" spans="1:17" x14ac:dyDescent="0.25">
      <c r="A326" s="1">
        <v>43739</v>
      </c>
      <c r="B326" t="s">
        <v>169</v>
      </c>
      <c r="C326" t="s">
        <v>99</v>
      </c>
      <c r="D326" t="s">
        <v>95</v>
      </c>
      <c r="E326">
        <v>1431</v>
      </c>
      <c r="F326">
        <v>2263</v>
      </c>
      <c r="G326">
        <v>-509</v>
      </c>
      <c r="H326">
        <v>2379</v>
      </c>
      <c r="I326">
        <v>2485</v>
      </c>
      <c r="J326">
        <v>3605</v>
      </c>
      <c r="K326">
        <v>1660</v>
      </c>
      <c r="L326">
        <v>352</v>
      </c>
      <c r="M326">
        <v>5232</v>
      </c>
      <c r="N326">
        <v>380</v>
      </c>
      <c r="O326">
        <v>4491</v>
      </c>
      <c r="P326" s="1">
        <v>43678</v>
      </c>
      <c r="Q326">
        <v>61</v>
      </c>
    </row>
    <row r="327" spans="1:17" x14ac:dyDescent="0.25">
      <c r="A327" s="1">
        <v>43739</v>
      </c>
      <c r="B327" t="s">
        <v>170</v>
      </c>
      <c r="C327" t="s">
        <v>100</v>
      </c>
      <c r="D327" t="s">
        <v>82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 s="1">
        <v>44228</v>
      </c>
      <c r="Q327">
        <v>-489</v>
      </c>
    </row>
    <row r="328" spans="1:17" x14ac:dyDescent="0.25">
      <c r="A328" s="1">
        <v>43739</v>
      </c>
      <c r="B328" t="s">
        <v>171</v>
      </c>
      <c r="C328" t="s">
        <v>101</v>
      </c>
      <c r="D328" t="s">
        <v>68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 s="1">
        <v>44317</v>
      </c>
      <c r="Q328">
        <v>-578</v>
      </c>
    </row>
    <row r="329" spans="1:17" x14ac:dyDescent="0.25">
      <c r="A329" s="1">
        <v>43739</v>
      </c>
      <c r="B329" t="s">
        <v>172</v>
      </c>
      <c r="C329" t="s">
        <v>102</v>
      </c>
      <c r="D329" t="s">
        <v>88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 s="1">
        <v>44044</v>
      </c>
      <c r="Q329">
        <v>-305</v>
      </c>
    </row>
    <row r="330" spans="1:17" x14ac:dyDescent="0.25">
      <c r="A330" s="1">
        <v>43739</v>
      </c>
      <c r="B330" t="s">
        <v>173</v>
      </c>
      <c r="C330" t="s">
        <v>103</v>
      </c>
      <c r="D330" t="s">
        <v>52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 s="1">
        <v>43862</v>
      </c>
      <c r="Q330">
        <v>-123</v>
      </c>
    </row>
    <row r="331" spans="1:17" x14ac:dyDescent="0.25">
      <c r="A331" s="1">
        <v>43739</v>
      </c>
      <c r="B331" t="s">
        <v>174</v>
      </c>
      <c r="C331" t="s">
        <v>105</v>
      </c>
      <c r="D331" t="s">
        <v>104</v>
      </c>
      <c r="E331">
        <v>43</v>
      </c>
      <c r="F331">
        <v>110</v>
      </c>
      <c r="G331">
        <v>233</v>
      </c>
      <c r="H331">
        <v>330</v>
      </c>
      <c r="I331">
        <v>317</v>
      </c>
      <c r="J331">
        <v>132</v>
      </c>
      <c r="K331">
        <v>148</v>
      </c>
      <c r="L331">
        <v>186</v>
      </c>
      <c r="M331">
        <v>771</v>
      </c>
      <c r="N331">
        <v>561</v>
      </c>
      <c r="O331">
        <v>606</v>
      </c>
      <c r="P331" s="1">
        <v>43374</v>
      </c>
      <c r="Q331">
        <v>365</v>
      </c>
    </row>
    <row r="332" spans="1:17" x14ac:dyDescent="0.25">
      <c r="A332" s="1">
        <v>43739</v>
      </c>
      <c r="B332" t="s">
        <v>142</v>
      </c>
      <c r="C332" t="s">
        <v>50</v>
      </c>
      <c r="D332" t="s">
        <v>49</v>
      </c>
      <c r="E332">
        <v>4247</v>
      </c>
      <c r="F332">
        <v>14935</v>
      </c>
      <c r="G332">
        <v>2782</v>
      </c>
      <c r="H332">
        <v>1109</v>
      </c>
      <c r="I332">
        <v>9434</v>
      </c>
      <c r="J332">
        <v>14410</v>
      </c>
      <c r="K332">
        <v>3659</v>
      </c>
      <c r="L332">
        <v>608</v>
      </c>
      <c r="M332">
        <v>7442</v>
      </c>
      <c r="N332">
        <v>15239</v>
      </c>
      <c r="O332">
        <v>13571</v>
      </c>
      <c r="P332" s="1">
        <v>43709</v>
      </c>
      <c r="Q332">
        <v>30</v>
      </c>
    </row>
    <row r="333" spans="1:17" x14ac:dyDescent="0.25">
      <c r="A333" s="1">
        <v>43739</v>
      </c>
      <c r="B333" t="s">
        <v>143</v>
      </c>
      <c r="C333" t="s">
        <v>53</v>
      </c>
      <c r="D333" t="s">
        <v>52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 s="1">
        <v>43862</v>
      </c>
      <c r="Q333">
        <v>-123</v>
      </c>
    </row>
    <row r="334" spans="1:17" x14ac:dyDescent="0.25">
      <c r="A334" s="1">
        <v>43739</v>
      </c>
      <c r="B334" t="s">
        <v>144</v>
      </c>
      <c r="C334" t="s">
        <v>56</v>
      </c>
      <c r="D334" t="s">
        <v>55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 s="1">
        <v>44256</v>
      </c>
      <c r="Q334">
        <v>-517</v>
      </c>
    </row>
    <row r="335" spans="1:17" x14ac:dyDescent="0.25">
      <c r="A335" s="1">
        <v>43739</v>
      </c>
      <c r="B335" t="s">
        <v>145</v>
      </c>
      <c r="C335" t="s">
        <v>59</v>
      </c>
      <c r="D335" t="s">
        <v>58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 s="1">
        <v>44287</v>
      </c>
      <c r="Q335">
        <v>-548</v>
      </c>
    </row>
    <row r="336" spans="1:17" x14ac:dyDescent="0.25">
      <c r="A336" s="1">
        <v>43739</v>
      </c>
      <c r="B336" t="s">
        <v>146</v>
      </c>
      <c r="C336" t="s">
        <v>62</v>
      </c>
      <c r="D336" t="s">
        <v>61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 s="1">
        <v>44075</v>
      </c>
      <c r="Q336">
        <v>-336</v>
      </c>
    </row>
    <row r="337" spans="1:17" x14ac:dyDescent="0.25">
      <c r="A337" s="1">
        <v>43739</v>
      </c>
      <c r="B337" t="s">
        <v>147</v>
      </c>
      <c r="C337" t="s">
        <v>64</v>
      </c>
      <c r="D337" t="s">
        <v>52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 s="1">
        <v>43862</v>
      </c>
      <c r="Q337">
        <v>-123</v>
      </c>
    </row>
    <row r="338" spans="1:17" x14ac:dyDescent="0.25">
      <c r="A338" s="1">
        <v>43739</v>
      </c>
      <c r="B338" t="s">
        <v>148</v>
      </c>
      <c r="C338" t="s">
        <v>66</v>
      </c>
      <c r="D338" t="s">
        <v>55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 s="1">
        <v>44256</v>
      </c>
      <c r="Q338">
        <v>-517</v>
      </c>
    </row>
    <row r="339" spans="1:17" x14ac:dyDescent="0.25">
      <c r="A339" s="1">
        <v>43739</v>
      </c>
      <c r="B339" t="s">
        <v>149</v>
      </c>
      <c r="C339" t="s">
        <v>67</v>
      </c>
      <c r="D339" t="s">
        <v>55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 s="1">
        <v>44256</v>
      </c>
      <c r="Q339">
        <v>-517</v>
      </c>
    </row>
    <row r="340" spans="1:17" x14ac:dyDescent="0.25">
      <c r="A340" s="1">
        <v>43739</v>
      </c>
      <c r="B340" t="s">
        <v>150</v>
      </c>
      <c r="C340" t="s">
        <v>69</v>
      </c>
      <c r="D340" t="s">
        <v>68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 s="1">
        <v>44317</v>
      </c>
      <c r="Q340">
        <v>-578</v>
      </c>
    </row>
    <row r="341" spans="1:17" x14ac:dyDescent="0.25">
      <c r="A341" s="1">
        <v>43739</v>
      </c>
      <c r="B341" t="s">
        <v>151</v>
      </c>
      <c r="C341" t="s">
        <v>71</v>
      </c>
      <c r="D341" t="s">
        <v>70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 s="1">
        <v>44136</v>
      </c>
      <c r="Q341">
        <v>-397</v>
      </c>
    </row>
    <row r="342" spans="1:17" x14ac:dyDescent="0.25">
      <c r="A342" s="1">
        <v>43739</v>
      </c>
      <c r="B342" t="s">
        <v>152</v>
      </c>
      <c r="C342" t="s">
        <v>11</v>
      </c>
      <c r="D342" t="s">
        <v>52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 s="1">
        <v>43862</v>
      </c>
      <c r="Q342">
        <v>-123</v>
      </c>
    </row>
    <row r="343" spans="1:17" x14ac:dyDescent="0.25">
      <c r="A343" s="1">
        <v>43739</v>
      </c>
      <c r="B343" t="s">
        <v>153</v>
      </c>
      <c r="C343" t="s">
        <v>73</v>
      </c>
      <c r="D343" t="s">
        <v>72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 s="1">
        <v>44440</v>
      </c>
      <c r="Q343">
        <v>-701</v>
      </c>
    </row>
    <row r="344" spans="1:17" x14ac:dyDescent="0.25">
      <c r="A344" s="1">
        <v>43739</v>
      </c>
      <c r="B344" t="s">
        <v>154</v>
      </c>
      <c r="C344" t="s">
        <v>17</v>
      </c>
      <c r="D344" t="s">
        <v>74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 s="1">
        <v>44197</v>
      </c>
      <c r="Q344">
        <v>-458</v>
      </c>
    </row>
    <row r="345" spans="1:17" x14ac:dyDescent="0.25">
      <c r="A345" s="1">
        <v>43739</v>
      </c>
      <c r="B345" t="s">
        <v>155</v>
      </c>
      <c r="C345" t="s">
        <v>76</v>
      </c>
      <c r="D345" t="s">
        <v>75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 s="1">
        <v>44470</v>
      </c>
      <c r="Q345">
        <v>-731</v>
      </c>
    </row>
    <row r="346" spans="1:17" x14ac:dyDescent="0.25">
      <c r="A346" s="1">
        <v>43739</v>
      </c>
      <c r="B346" t="s">
        <v>156</v>
      </c>
      <c r="C346" t="s">
        <v>79</v>
      </c>
      <c r="D346" t="s">
        <v>78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 s="1">
        <v>44348</v>
      </c>
      <c r="Q346">
        <v>-609</v>
      </c>
    </row>
    <row r="347" spans="1:17" x14ac:dyDescent="0.25">
      <c r="A347" s="1">
        <v>43739</v>
      </c>
      <c r="B347" t="s">
        <v>157</v>
      </c>
      <c r="C347" t="s">
        <v>81</v>
      </c>
      <c r="D347" t="s">
        <v>72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 s="1">
        <v>44440</v>
      </c>
      <c r="Q347">
        <v>-701</v>
      </c>
    </row>
    <row r="348" spans="1:17" x14ac:dyDescent="0.25">
      <c r="A348" s="1">
        <v>43739</v>
      </c>
      <c r="B348" t="s">
        <v>158</v>
      </c>
      <c r="C348" t="s">
        <v>83</v>
      </c>
      <c r="D348" t="s">
        <v>82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 s="1">
        <v>44228</v>
      </c>
      <c r="Q348">
        <v>-489</v>
      </c>
    </row>
    <row r="349" spans="1:17" x14ac:dyDescent="0.25">
      <c r="A349" s="1">
        <v>43739</v>
      </c>
      <c r="B349" t="s">
        <v>159</v>
      </c>
      <c r="C349" t="s">
        <v>84</v>
      </c>
      <c r="D349" t="s">
        <v>55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 s="1">
        <v>44256</v>
      </c>
      <c r="Q349">
        <v>-517</v>
      </c>
    </row>
    <row r="350" spans="1:17" x14ac:dyDescent="0.25">
      <c r="A350" s="1">
        <v>43770</v>
      </c>
      <c r="B350" t="s">
        <v>160</v>
      </c>
      <c r="C350" t="s">
        <v>86</v>
      </c>
      <c r="D350" t="s">
        <v>68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 s="1">
        <v>44317</v>
      </c>
      <c r="Q350">
        <v>-547</v>
      </c>
    </row>
    <row r="351" spans="1:17" x14ac:dyDescent="0.25">
      <c r="A351" s="1">
        <v>43770</v>
      </c>
      <c r="B351" t="s">
        <v>161</v>
      </c>
      <c r="C351" t="s">
        <v>87</v>
      </c>
      <c r="D351" t="s">
        <v>72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 s="1">
        <v>44440</v>
      </c>
      <c r="Q351">
        <v>-670</v>
      </c>
    </row>
    <row r="352" spans="1:17" x14ac:dyDescent="0.25">
      <c r="A352" s="1">
        <v>43770</v>
      </c>
      <c r="B352" t="s">
        <v>162</v>
      </c>
      <c r="C352" t="s">
        <v>89</v>
      </c>
      <c r="D352" t="s">
        <v>88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 s="1">
        <v>44044</v>
      </c>
      <c r="Q352">
        <v>-274</v>
      </c>
    </row>
    <row r="353" spans="1:17" x14ac:dyDescent="0.25">
      <c r="A353" s="1">
        <v>43770</v>
      </c>
      <c r="B353" t="s">
        <v>163</v>
      </c>
      <c r="C353" t="s">
        <v>90</v>
      </c>
      <c r="D353" t="s">
        <v>82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 s="1">
        <v>44228</v>
      </c>
      <c r="Q353">
        <v>-458</v>
      </c>
    </row>
    <row r="354" spans="1:17" x14ac:dyDescent="0.25">
      <c r="A354" s="1">
        <v>43770</v>
      </c>
      <c r="B354" t="s">
        <v>164</v>
      </c>
      <c r="C354" t="s">
        <v>92</v>
      </c>
      <c r="D354" t="s">
        <v>91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 s="1">
        <v>44105</v>
      </c>
      <c r="Q354">
        <v>-335</v>
      </c>
    </row>
    <row r="355" spans="1:17" x14ac:dyDescent="0.25">
      <c r="A355" s="1">
        <v>43770</v>
      </c>
      <c r="B355" t="s">
        <v>165</v>
      </c>
      <c r="C355" t="s">
        <v>94</v>
      </c>
      <c r="D355" t="s">
        <v>93</v>
      </c>
      <c r="E355">
        <v>575</v>
      </c>
      <c r="F355">
        <v>301</v>
      </c>
      <c r="G355">
        <v>415</v>
      </c>
      <c r="H355">
        <v>1931</v>
      </c>
      <c r="I355">
        <v>1111</v>
      </c>
      <c r="J355">
        <v>349</v>
      </c>
      <c r="K355">
        <v>202</v>
      </c>
      <c r="L355">
        <v>749</v>
      </c>
      <c r="M355">
        <v>117</v>
      </c>
      <c r="N355">
        <v>1659</v>
      </c>
      <c r="O355">
        <v>992</v>
      </c>
      <c r="P355" s="1">
        <v>43586</v>
      </c>
      <c r="Q355">
        <v>184</v>
      </c>
    </row>
    <row r="356" spans="1:17" x14ac:dyDescent="0.25">
      <c r="A356" s="1">
        <v>43770</v>
      </c>
      <c r="B356" t="s">
        <v>166</v>
      </c>
      <c r="C356" t="s">
        <v>96</v>
      </c>
      <c r="D356" t="s">
        <v>95</v>
      </c>
      <c r="E356">
        <v>338</v>
      </c>
      <c r="F356">
        <v>495</v>
      </c>
      <c r="G356">
        <v>856</v>
      </c>
      <c r="H356">
        <v>-95</v>
      </c>
      <c r="I356">
        <v>580</v>
      </c>
      <c r="J356">
        <v>795</v>
      </c>
      <c r="K356">
        <v>2627</v>
      </c>
      <c r="L356">
        <v>742</v>
      </c>
      <c r="M356">
        <v>3136</v>
      </c>
      <c r="N356">
        <v>858</v>
      </c>
      <c r="O356">
        <v>4379</v>
      </c>
      <c r="P356" s="1">
        <v>43678</v>
      </c>
      <c r="Q356">
        <v>92</v>
      </c>
    </row>
    <row r="357" spans="1:17" x14ac:dyDescent="0.25">
      <c r="A357" s="1">
        <v>43770</v>
      </c>
      <c r="B357" t="s">
        <v>167</v>
      </c>
      <c r="C357" t="s">
        <v>97</v>
      </c>
      <c r="D357" t="s">
        <v>58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 s="1">
        <v>44287</v>
      </c>
      <c r="Q357">
        <v>-517</v>
      </c>
    </row>
    <row r="358" spans="1:17" x14ac:dyDescent="0.25">
      <c r="A358" s="1">
        <v>43770</v>
      </c>
      <c r="B358" t="s">
        <v>168</v>
      </c>
      <c r="C358" t="s">
        <v>98</v>
      </c>
      <c r="D358" t="s">
        <v>49</v>
      </c>
      <c r="E358">
        <v>4656</v>
      </c>
      <c r="F358">
        <v>938</v>
      </c>
      <c r="G358">
        <v>1782</v>
      </c>
      <c r="H358">
        <v>974</v>
      </c>
      <c r="I358">
        <v>1201</v>
      </c>
      <c r="J358">
        <v>1191</v>
      </c>
      <c r="K358">
        <v>227</v>
      </c>
      <c r="L358">
        <v>2931</v>
      </c>
      <c r="M358">
        <v>983</v>
      </c>
      <c r="N358">
        <v>3447</v>
      </c>
      <c r="O358">
        <v>440</v>
      </c>
      <c r="P358" s="1">
        <v>43709</v>
      </c>
      <c r="Q358">
        <v>61</v>
      </c>
    </row>
    <row r="359" spans="1:17" x14ac:dyDescent="0.25">
      <c r="A359" s="1">
        <v>43770</v>
      </c>
      <c r="B359" t="s">
        <v>169</v>
      </c>
      <c r="C359" t="s">
        <v>99</v>
      </c>
      <c r="D359" t="s">
        <v>95</v>
      </c>
      <c r="E359">
        <v>188</v>
      </c>
      <c r="F359">
        <v>3994</v>
      </c>
      <c r="G359">
        <v>343</v>
      </c>
      <c r="H359">
        <v>1067</v>
      </c>
      <c r="I359">
        <v>3279</v>
      </c>
      <c r="J359">
        <v>1649</v>
      </c>
      <c r="K359">
        <v>2743</v>
      </c>
      <c r="L359">
        <v>564</v>
      </c>
      <c r="M359">
        <v>2801</v>
      </c>
      <c r="N359">
        <v>157</v>
      </c>
      <c r="O359">
        <v>1286</v>
      </c>
      <c r="P359" s="1">
        <v>43678</v>
      </c>
      <c r="Q359">
        <v>92</v>
      </c>
    </row>
    <row r="360" spans="1:17" x14ac:dyDescent="0.25">
      <c r="A360" s="1">
        <v>43770</v>
      </c>
      <c r="B360" t="s">
        <v>170</v>
      </c>
      <c r="C360" t="s">
        <v>100</v>
      </c>
      <c r="D360" t="s">
        <v>82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 s="1">
        <v>44228</v>
      </c>
      <c r="Q360">
        <v>-458</v>
      </c>
    </row>
    <row r="361" spans="1:17" x14ac:dyDescent="0.25">
      <c r="A361" s="1">
        <v>43770</v>
      </c>
      <c r="B361" t="s">
        <v>171</v>
      </c>
      <c r="C361" t="s">
        <v>101</v>
      </c>
      <c r="D361" t="s">
        <v>68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 s="1">
        <v>44317</v>
      </c>
      <c r="Q361">
        <v>-547</v>
      </c>
    </row>
    <row r="362" spans="1:17" x14ac:dyDescent="0.25">
      <c r="A362" s="1">
        <v>43770</v>
      </c>
      <c r="B362" t="s">
        <v>172</v>
      </c>
      <c r="C362" t="s">
        <v>102</v>
      </c>
      <c r="D362" t="s">
        <v>88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 s="1">
        <v>44044</v>
      </c>
      <c r="Q362">
        <v>-274</v>
      </c>
    </row>
    <row r="363" spans="1:17" x14ac:dyDescent="0.25">
      <c r="A363" s="1">
        <v>43770</v>
      </c>
      <c r="B363" t="s">
        <v>173</v>
      </c>
      <c r="C363" t="s">
        <v>103</v>
      </c>
      <c r="D363" t="s">
        <v>52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 s="1">
        <v>43862</v>
      </c>
      <c r="Q363">
        <v>-92</v>
      </c>
    </row>
    <row r="364" spans="1:17" x14ac:dyDescent="0.25">
      <c r="A364" s="1">
        <v>43770</v>
      </c>
      <c r="B364" t="s">
        <v>174</v>
      </c>
      <c r="C364" t="s">
        <v>105</v>
      </c>
      <c r="D364" t="s">
        <v>104</v>
      </c>
      <c r="E364">
        <v>71</v>
      </c>
      <c r="F364">
        <v>249</v>
      </c>
      <c r="G364">
        <v>221</v>
      </c>
      <c r="H364">
        <v>651</v>
      </c>
      <c r="I364">
        <v>126</v>
      </c>
      <c r="J364">
        <v>279</v>
      </c>
      <c r="K364">
        <v>125</v>
      </c>
      <c r="L364">
        <v>289</v>
      </c>
      <c r="M364">
        <v>509</v>
      </c>
      <c r="N364">
        <v>1297</v>
      </c>
      <c r="O364">
        <v>501</v>
      </c>
      <c r="P364" s="1">
        <v>43374</v>
      </c>
      <c r="Q364">
        <v>396</v>
      </c>
    </row>
    <row r="365" spans="1:17" x14ac:dyDescent="0.25">
      <c r="A365" s="1">
        <v>43770</v>
      </c>
      <c r="B365" t="s">
        <v>142</v>
      </c>
      <c r="C365" t="s">
        <v>50</v>
      </c>
      <c r="D365" t="s">
        <v>49</v>
      </c>
      <c r="E365">
        <v>4088</v>
      </c>
      <c r="F365">
        <v>5555</v>
      </c>
      <c r="G365">
        <v>990</v>
      </c>
      <c r="H365">
        <v>2991</v>
      </c>
      <c r="I365">
        <v>4971</v>
      </c>
      <c r="J365">
        <v>2726</v>
      </c>
      <c r="K365">
        <v>509</v>
      </c>
      <c r="L365">
        <v>3057</v>
      </c>
      <c r="M365">
        <v>7334</v>
      </c>
      <c r="N365">
        <v>4228</v>
      </c>
      <c r="O365">
        <v>3999</v>
      </c>
      <c r="P365" s="1">
        <v>43709</v>
      </c>
      <c r="Q365">
        <v>61</v>
      </c>
    </row>
    <row r="366" spans="1:17" x14ac:dyDescent="0.25">
      <c r="A366" s="1">
        <v>43770</v>
      </c>
      <c r="B366" t="s">
        <v>143</v>
      </c>
      <c r="C366" t="s">
        <v>53</v>
      </c>
      <c r="D366" t="s">
        <v>52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 s="1">
        <v>43862</v>
      </c>
      <c r="Q366">
        <v>-92</v>
      </c>
    </row>
    <row r="367" spans="1:17" x14ac:dyDescent="0.25">
      <c r="A367" s="1">
        <v>43770</v>
      </c>
      <c r="B367" t="s">
        <v>144</v>
      </c>
      <c r="C367" t="s">
        <v>56</v>
      </c>
      <c r="D367" t="s">
        <v>55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 s="1">
        <v>44256</v>
      </c>
      <c r="Q367">
        <v>-486</v>
      </c>
    </row>
    <row r="368" spans="1:17" x14ac:dyDescent="0.25">
      <c r="A368" s="1">
        <v>43770</v>
      </c>
      <c r="B368" t="s">
        <v>145</v>
      </c>
      <c r="C368" t="s">
        <v>59</v>
      </c>
      <c r="D368" t="s">
        <v>58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 s="1">
        <v>44287</v>
      </c>
      <c r="Q368">
        <v>-517</v>
      </c>
    </row>
    <row r="369" spans="1:17" x14ac:dyDescent="0.25">
      <c r="A369" s="1">
        <v>43770</v>
      </c>
      <c r="B369" t="s">
        <v>146</v>
      </c>
      <c r="C369" t="s">
        <v>62</v>
      </c>
      <c r="D369" t="s">
        <v>61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 s="1">
        <v>44075</v>
      </c>
      <c r="Q369">
        <v>-305</v>
      </c>
    </row>
    <row r="370" spans="1:17" x14ac:dyDescent="0.25">
      <c r="A370" s="1">
        <v>43770</v>
      </c>
      <c r="B370" t="s">
        <v>147</v>
      </c>
      <c r="C370" t="s">
        <v>64</v>
      </c>
      <c r="D370" t="s">
        <v>52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 s="1">
        <v>43862</v>
      </c>
      <c r="Q370">
        <v>-92</v>
      </c>
    </row>
    <row r="371" spans="1:17" x14ac:dyDescent="0.25">
      <c r="A371" s="1">
        <v>43770</v>
      </c>
      <c r="B371" t="s">
        <v>148</v>
      </c>
      <c r="C371" t="s">
        <v>66</v>
      </c>
      <c r="D371" t="s">
        <v>55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 s="1">
        <v>44256</v>
      </c>
      <c r="Q371">
        <v>-486</v>
      </c>
    </row>
    <row r="372" spans="1:17" x14ac:dyDescent="0.25">
      <c r="A372" s="1">
        <v>43770</v>
      </c>
      <c r="B372" t="s">
        <v>149</v>
      </c>
      <c r="C372" t="s">
        <v>67</v>
      </c>
      <c r="D372" t="s">
        <v>55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 s="1">
        <v>44256</v>
      </c>
      <c r="Q372">
        <v>-486</v>
      </c>
    </row>
    <row r="373" spans="1:17" x14ac:dyDescent="0.25">
      <c r="A373" s="1">
        <v>43770</v>
      </c>
      <c r="B373" t="s">
        <v>150</v>
      </c>
      <c r="C373" t="s">
        <v>69</v>
      </c>
      <c r="D373" t="s">
        <v>68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 s="1">
        <v>44317</v>
      </c>
      <c r="Q373">
        <v>-547</v>
      </c>
    </row>
    <row r="374" spans="1:17" x14ac:dyDescent="0.25">
      <c r="A374" s="1">
        <v>43770</v>
      </c>
      <c r="B374" t="s">
        <v>151</v>
      </c>
      <c r="C374" t="s">
        <v>71</v>
      </c>
      <c r="D374" t="s">
        <v>70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 s="1">
        <v>44136</v>
      </c>
      <c r="Q374">
        <v>-366</v>
      </c>
    </row>
    <row r="375" spans="1:17" x14ac:dyDescent="0.25">
      <c r="A375" s="1">
        <v>43770</v>
      </c>
      <c r="B375" t="s">
        <v>152</v>
      </c>
      <c r="C375" t="s">
        <v>11</v>
      </c>
      <c r="D375" t="s">
        <v>52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 s="1">
        <v>43862</v>
      </c>
      <c r="Q375">
        <v>-92</v>
      </c>
    </row>
    <row r="376" spans="1:17" x14ac:dyDescent="0.25">
      <c r="A376" s="1">
        <v>43770</v>
      </c>
      <c r="B376" t="s">
        <v>153</v>
      </c>
      <c r="C376" t="s">
        <v>73</v>
      </c>
      <c r="D376" t="s">
        <v>72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 s="1">
        <v>44440</v>
      </c>
      <c r="Q376">
        <v>-670</v>
      </c>
    </row>
    <row r="377" spans="1:17" x14ac:dyDescent="0.25">
      <c r="A377" s="1">
        <v>43770</v>
      </c>
      <c r="B377" t="s">
        <v>154</v>
      </c>
      <c r="C377" t="s">
        <v>17</v>
      </c>
      <c r="D377" t="s">
        <v>74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 s="1">
        <v>44197</v>
      </c>
      <c r="Q377">
        <v>-427</v>
      </c>
    </row>
    <row r="378" spans="1:17" x14ac:dyDescent="0.25">
      <c r="A378" s="1">
        <v>43770</v>
      </c>
      <c r="B378" t="s">
        <v>155</v>
      </c>
      <c r="C378" t="s">
        <v>76</v>
      </c>
      <c r="D378" t="s">
        <v>75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 s="1">
        <v>44470</v>
      </c>
      <c r="Q378">
        <v>-700</v>
      </c>
    </row>
    <row r="379" spans="1:17" x14ac:dyDescent="0.25">
      <c r="A379" s="1">
        <v>43770</v>
      </c>
      <c r="B379" t="s">
        <v>156</v>
      </c>
      <c r="C379" t="s">
        <v>79</v>
      </c>
      <c r="D379" t="s">
        <v>78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 s="1">
        <v>44348</v>
      </c>
      <c r="Q379">
        <v>-578</v>
      </c>
    </row>
    <row r="380" spans="1:17" x14ac:dyDescent="0.25">
      <c r="A380" s="1">
        <v>43770</v>
      </c>
      <c r="B380" t="s">
        <v>157</v>
      </c>
      <c r="C380" t="s">
        <v>81</v>
      </c>
      <c r="D380" t="s">
        <v>72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 s="1">
        <v>44440</v>
      </c>
      <c r="Q380">
        <v>-670</v>
      </c>
    </row>
    <row r="381" spans="1:17" x14ac:dyDescent="0.25">
      <c r="A381" s="1">
        <v>43770</v>
      </c>
      <c r="B381" t="s">
        <v>158</v>
      </c>
      <c r="C381" t="s">
        <v>83</v>
      </c>
      <c r="D381" t="s">
        <v>82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 s="1">
        <v>44228</v>
      </c>
      <c r="Q381">
        <v>-458</v>
      </c>
    </row>
    <row r="382" spans="1:17" x14ac:dyDescent="0.25">
      <c r="A382" s="1">
        <v>43770</v>
      </c>
      <c r="B382" t="s">
        <v>159</v>
      </c>
      <c r="C382" t="s">
        <v>84</v>
      </c>
      <c r="D382" t="s">
        <v>55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 s="1">
        <v>44256</v>
      </c>
      <c r="Q382">
        <v>-486</v>
      </c>
    </row>
    <row r="383" spans="1:17" x14ac:dyDescent="0.25">
      <c r="A383" s="1">
        <v>43770</v>
      </c>
      <c r="B383" t="s">
        <v>160</v>
      </c>
      <c r="C383" t="s">
        <v>86</v>
      </c>
      <c r="D383" t="s">
        <v>68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 s="1">
        <v>44317</v>
      </c>
      <c r="Q383">
        <v>-547</v>
      </c>
    </row>
    <row r="384" spans="1:17" x14ac:dyDescent="0.25">
      <c r="A384" s="1">
        <v>43770</v>
      </c>
      <c r="B384" t="s">
        <v>161</v>
      </c>
      <c r="C384" t="s">
        <v>87</v>
      </c>
      <c r="D384" t="s">
        <v>72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 s="1">
        <v>44440</v>
      </c>
      <c r="Q384">
        <v>-670</v>
      </c>
    </row>
    <row r="385" spans="1:17" x14ac:dyDescent="0.25">
      <c r="A385" s="1">
        <v>43800</v>
      </c>
      <c r="B385" t="s">
        <v>162</v>
      </c>
      <c r="C385" t="s">
        <v>89</v>
      </c>
      <c r="D385" t="s">
        <v>88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 s="1">
        <v>44044</v>
      </c>
      <c r="Q385">
        <v>-244</v>
      </c>
    </row>
    <row r="386" spans="1:17" x14ac:dyDescent="0.25">
      <c r="A386" s="1">
        <v>43800</v>
      </c>
      <c r="B386" t="s">
        <v>163</v>
      </c>
      <c r="C386" t="s">
        <v>90</v>
      </c>
      <c r="D386" t="s">
        <v>82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 s="1">
        <v>44228</v>
      </c>
      <c r="Q386">
        <v>-428</v>
      </c>
    </row>
    <row r="387" spans="1:17" x14ac:dyDescent="0.25">
      <c r="A387" s="1">
        <v>43800</v>
      </c>
      <c r="B387" t="s">
        <v>164</v>
      </c>
      <c r="C387" t="s">
        <v>92</v>
      </c>
      <c r="D387" t="s">
        <v>91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 s="1">
        <v>44105</v>
      </c>
      <c r="Q387">
        <v>-305</v>
      </c>
    </row>
    <row r="388" spans="1:17" x14ac:dyDescent="0.25">
      <c r="A388" s="1">
        <v>43800</v>
      </c>
      <c r="B388" t="s">
        <v>165</v>
      </c>
      <c r="C388" t="s">
        <v>94</v>
      </c>
      <c r="D388" t="s">
        <v>93</v>
      </c>
      <c r="E388">
        <v>488</v>
      </c>
      <c r="F388">
        <v>339</v>
      </c>
      <c r="G388">
        <v>180</v>
      </c>
      <c r="H388">
        <v>1211</v>
      </c>
      <c r="I388">
        <v>1764</v>
      </c>
      <c r="J388">
        <v>273</v>
      </c>
      <c r="K388">
        <v>348</v>
      </c>
      <c r="L388">
        <v>1226</v>
      </c>
      <c r="M388">
        <v>213</v>
      </c>
      <c r="N388">
        <v>641</v>
      </c>
      <c r="O388">
        <v>1176</v>
      </c>
      <c r="P388" s="1">
        <v>43586</v>
      </c>
      <c r="Q388">
        <v>214</v>
      </c>
    </row>
    <row r="389" spans="1:17" x14ac:dyDescent="0.25">
      <c r="A389" s="1">
        <v>43800</v>
      </c>
      <c r="B389" t="s">
        <v>166</v>
      </c>
      <c r="C389" t="s">
        <v>96</v>
      </c>
      <c r="D389" t="s">
        <v>95</v>
      </c>
      <c r="E389">
        <v>599</v>
      </c>
      <c r="F389">
        <v>496</v>
      </c>
      <c r="G389">
        <v>200</v>
      </c>
      <c r="H389">
        <v>2218</v>
      </c>
      <c r="I389">
        <v>442</v>
      </c>
      <c r="J389">
        <v>496</v>
      </c>
      <c r="K389">
        <v>1948</v>
      </c>
      <c r="L389">
        <v>668</v>
      </c>
      <c r="M389">
        <v>1777</v>
      </c>
      <c r="N389">
        <v>410</v>
      </c>
      <c r="O389">
        <v>1699</v>
      </c>
      <c r="P389" s="1">
        <v>43678</v>
      </c>
      <c r="Q389">
        <v>122</v>
      </c>
    </row>
    <row r="390" spans="1:17" x14ac:dyDescent="0.25">
      <c r="A390" s="1">
        <v>43800</v>
      </c>
      <c r="B390" t="s">
        <v>167</v>
      </c>
      <c r="C390" t="s">
        <v>97</v>
      </c>
      <c r="D390" t="s">
        <v>58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 s="1">
        <v>44287</v>
      </c>
      <c r="Q390">
        <v>-487</v>
      </c>
    </row>
    <row r="391" spans="1:17" x14ac:dyDescent="0.25">
      <c r="A391" s="1">
        <v>43800</v>
      </c>
      <c r="B391" t="s">
        <v>168</v>
      </c>
      <c r="C391" t="s">
        <v>98</v>
      </c>
      <c r="D391" t="s">
        <v>49</v>
      </c>
      <c r="E391">
        <v>2458</v>
      </c>
      <c r="F391">
        <v>767</v>
      </c>
      <c r="G391">
        <v>1303</v>
      </c>
      <c r="H391">
        <v>883</v>
      </c>
      <c r="I391">
        <v>533</v>
      </c>
      <c r="J391">
        <v>812</v>
      </c>
      <c r="K391">
        <v>663</v>
      </c>
      <c r="L391">
        <v>1735</v>
      </c>
      <c r="M391">
        <v>649</v>
      </c>
      <c r="N391">
        <v>2824</v>
      </c>
      <c r="O391">
        <v>516</v>
      </c>
      <c r="P391" s="1">
        <v>43709</v>
      </c>
      <c r="Q391">
        <v>91</v>
      </c>
    </row>
    <row r="392" spans="1:17" x14ac:dyDescent="0.25">
      <c r="A392" s="1">
        <v>43800</v>
      </c>
      <c r="B392" t="s">
        <v>169</v>
      </c>
      <c r="C392" t="s">
        <v>99</v>
      </c>
      <c r="D392" t="s">
        <v>95</v>
      </c>
      <c r="E392">
        <v>505</v>
      </c>
      <c r="F392">
        <v>2129</v>
      </c>
      <c r="G392">
        <v>688</v>
      </c>
      <c r="H392">
        <v>2395</v>
      </c>
      <c r="I392">
        <v>1814</v>
      </c>
      <c r="J392">
        <v>2219</v>
      </c>
      <c r="K392">
        <v>1314</v>
      </c>
      <c r="L392">
        <v>201</v>
      </c>
      <c r="M392">
        <v>525</v>
      </c>
      <c r="N392">
        <v>813</v>
      </c>
      <c r="O392">
        <v>989</v>
      </c>
      <c r="P392" s="1">
        <v>43678</v>
      </c>
      <c r="Q392">
        <v>122</v>
      </c>
    </row>
    <row r="393" spans="1:17" x14ac:dyDescent="0.25">
      <c r="A393" s="1">
        <v>43800</v>
      </c>
      <c r="B393" t="s">
        <v>170</v>
      </c>
      <c r="C393" t="s">
        <v>100</v>
      </c>
      <c r="D393" t="s">
        <v>82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 s="1">
        <v>44228</v>
      </c>
      <c r="Q393">
        <v>-428</v>
      </c>
    </row>
    <row r="394" spans="1:17" x14ac:dyDescent="0.25">
      <c r="A394" s="1">
        <v>43800</v>
      </c>
      <c r="B394" t="s">
        <v>171</v>
      </c>
      <c r="C394" t="s">
        <v>101</v>
      </c>
      <c r="D394" t="s">
        <v>68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 s="1">
        <v>44317</v>
      </c>
      <c r="Q394">
        <v>-517</v>
      </c>
    </row>
    <row r="395" spans="1:17" x14ac:dyDescent="0.25">
      <c r="A395" s="1">
        <v>43800</v>
      </c>
      <c r="B395" t="s">
        <v>172</v>
      </c>
      <c r="C395" t="s">
        <v>102</v>
      </c>
      <c r="D395" t="s">
        <v>88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 s="1">
        <v>44044</v>
      </c>
      <c r="Q395">
        <v>-244</v>
      </c>
    </row>
    <row r="396" spans="1:17" x14ac:dyDescent="0.25">
      <c r="A396" s="1">
        <v>43800</v>
      </c>
      <c r="B396" t="s">
        <v>173</v>
      </c>
      <c r="C396" t="s">
        <v>103</v>
      </c>
      <c r="D396" t="s">
        <v>52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 s="1">
        <v>43862</v>
      </c>
      <c r="Q396">
        <v>-62</v>
      </c>
    </row>
    <row r="397" spans="1:17" x14ac:dyDescent="0.25">
      <c r="A397" s="1">
        <v>43800</v>
      </c>
      <c r="B397" t="s">
        <v>174</v>
      </c>
      <c r="C397" t="s">
        <v>105</v>
      </c>
      <c r="D397" t="s">
        <v>104</v>
      </c>
      <c r="E397">
        <v>130</v>
      </c>
      <c r="F397">
        <v>185</v>
      </c>
      <c r="G397">
        <v>204</v>
      </c>
      <c r="H397">
        <v>891</v>
      </c>
      <c r="I397">
        <v>547</v>
      </c>
      <c r="J397">
        <v>128</v>
      </c>
      <c r="K397">
        <v>194</v>
      </c>
      <c r="L397">
        <v>107</v>
      </c>
      <c r="M397">
        <v>466</v>
      </c>
      <c r="N397">
        <v>511</v>
      </c>
      <c r="O397">
        <v>488</v>
      </c>
      <c r="P397" s="1">
        <v>43374</v>
      </c>
      <c r="Q397">
        <v>426</v>
      </c>
    </row>
    <row r="398" spans="1:17" x14ac:dyDescent="0.25">
      <c r="A398" s="1">
        <v>43800</v>
      </c>
      <c r="B398" t="s">
        <v>142</v>
      </c>
      <c r="C398" t="s">
        <v>50</v>
      </c>
      <c r="D398" t="s">
        <v>49</v>
      </c>
      <c r="E398">
        <v>2432</v>
      </c>
      <c r="F398">
        <v>1524</v>
      </c>
      <c r="G398">
        <v>893</v>
      </c>
      <c r="H398">
        <v>5858</v>
      </c>
      <c r="I398">
        <v>516</v>
      </c>
      <c r="J398">
        <v>4087</v>
      </c>
      <c r="K398">
        <v>383</v>
      </c>
      <c r="L398">
        <v>1499</v>
      </c>
      <c r="M398">
        <v>875</v>
      </c>
      <c r="N398">
        <v>2681</v>
      </c>
      <c r="O398">
        <v>2347</v>
      </c>
      <c r="P398" s="1">
        <v>43709</v>
      </c>
      <c r="Q398">
        <v>91</v>
      </c>
    </row>
    <row r="399" spans="1:17" x14ac:dyDescent="0.25">
      <c r="A399" s="1">
        <v>43800</v>
      </c>
      <c r="B399" t="s">
        <v>143</v>
      </c>
      <c r="C399" t="s">
        <v>53</v>
      </c>
      <c r="D399" t="s">
        <v>52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 s="1">
        <v>43862</v>
      </c>
      <c r="Q399">
        <v>-62</v>
      </c>
    </row>
    <row r="400" spans="1:17" x14ac:dyDescent="0.25">
      <c r="A400" s="1">
        <v>43800</v>
      </c>
      <c r="B400" t="s">
        <v>144</v>
      </c>
      <c r="C400" t="s">
        <v>56</v>
      </c>
      <c r="D400" t="s">
        <v>55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 s="1">
        <v>44256</v>
      </c>
      <c r="Q400">
        <v>-456</v>
      </c>
    </row>
    <row r="401" spans="1:17" x14ac:dyDescent="0.25">
      <c r="A401" s="1">
        <v>43800</v>
      </c>
      <c r="B401" t="s">
        <v>145</v>
      </c>
      <c r="C401" t="s">
        <v>59</v>
      </c>
      <c r="D401" t="s">
        <v>58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 s="1">
        <v>44287</v>
      </c>
      <c r="Q401">
        <v>-487</v>
      </c>
    </row>
    <row r="402" spans="1:17" x14ac:dyDescent="0.25">
      <c r="A402" s="1">
        <v>43800</v>
      </c>
      <c r="B402" t="s">
        <v>146</v>
      </c>
      <c r="C402" t="s">
        <v>62</v>
      </c>
      <c r="D402" t="s">
        <v>61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 s="1">
        <v>44075</v>
      </c>
      <c r="Q402">
        <v>-275</v>
      </c>
    </row>
    <row r="403" spans="1:17" x14ac:dyDescent="0.25">
      <c r="A403" s="1">
        <v>43800</v>
      </c>
      <c r="B403" t="s">
        <v>147</v>
      </c>
      <c r="C403" t="s">
        <v>64</v>
      </c>
      <c r="D403" t="s">
        <v>52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 s="1">
        <v>43862</v>
      </c>
      <c r="Q403">
        <v>-62</v>
      </c>
    </row>
    <row r="404" spans="1:17" x14ac:dyDescent="0.25">
      <c r="A404" s="1">
        <v>43800</v>
      </c>
      <c r="B404" t="s">
        <v>148</v>
      </c>
      <c r="C404" t="s">
        <v>66</v>
      </c>
      <c r="D404" t="s">
        <v>55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 s="1">
        <v>44256</v>
      </c>
      <c r="Q404">
        <v>-456</v>
      </c>
    </row>
    <row r="405" spans="1:17" x14ac:dyDescent="0.25">
      <c r="A405" s="1">
        <v>43800</v>
      </c>
      <c r="B405" t="s">
        <v>149</v>
      </c>
      <c r="C405" t="s">
        <v>67</v>
      </c>
      <c r="D405" t="s">
        <v>55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 s="1">
        <v>44256</v>
      </c>
      <c r="Q405">
        <v>-456</v>
      </c>
    </row>
    <row r="406" spans="1:17" x14ac:dyDescent="0.25">
      <c r="A406" s="1">
        <v>43800</v>
      </c>
      <c r="B406" t="s">
        <v>150</v>
      </c>
      <c r="C406" t="s">
        <v>69</v>
      </c>
      <c r="D406" t="s">
        <v>68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 s="1">
        <v>44317</v>
      </c>
      <c r="Q406">
        <v>-517</v>
      </c>
    </row>
    <row r="407" spans="1:17" x14ac:dyDescent="0.25">
      <c r="A407" s="1">
        <v>43800</v>
      </c>
      <c r="B407" t="s">
        <v>151</v>
      </c>
      <c r="C407" t="s">
        <v>71</v>
      </c>
      <c r="D407" t="s">
        <v>70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 s="1">
        <v>44136</v>
      </c>
      <c r="Q407">
        <v>-336</v>
      </c>
    </row>
    <row r="408" spans="1:17" x14ac:dyDescent="0.25">
      <c r="A408" s="1">
        <v>43800</v>
      </c>
      <c r="B408" t="s">
        <v>152</v>
      </c>
      <c r="C408" t="s">
        <v>11</v>
      </c>
      <c r="D408" t="s">
        <v>52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 s="1">
        <v>43862</v>
      </c>
      <c r="Q408">
        <v>-62</v>
      </c>
    </row>
    <row r="409" spans="1:17" x14ac:dyDescent="0.25">
      <c r="A409" s="1">
        <v>43800</v>
      </c>
      <c r="B409" t="s">
        <v>153</v>
      </c>
      <c r="C409" t="s">
        <v>73</v>
      </c>
      <c r="D409" t="s">
        <v>72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 s="1">
        <v>44440</v>
      </c>
      <c r="Q409">
        <v>-640</v>
      </c>
    </row>
    <row r="410" spans="1:17" x14ac:dyDescent="0.25">
      <c r="A410" s="1">
        <v>43800</v>
      </c>
      <c r="B410" t="s">
        <v>154</v>
      </c>
      <c r="C410" t="s">
        <v>17</v>
      </c>
      <c r="D410" t="s">
        <v>74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 s="1">
        <v>44197</v>
      </c>
      <c r="Q410">
        <v>-397</v>
      </c>
    </row>
    <row r="411" spans="1:17" x14ac:dyDescent="0.25">
      <c r="A411" s="1">
        <v>43800</v>
      </c>
      <c r="B411" t="s">
        <v>155</v>
      </c>
      <c r="C411" t="s">
        <v>76</v>
      </c>
      <c r="D411" t="s">
        <v>75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 s="1">
        <v>44470</v>
      </c>
      <c r="Q411">
        <v>-670</v>
      </c>
    </row>
    <row r="412" spans="1:17" x14ac:dyDescent="0.25">
      <c r="A412" s="1">
        <v>43800</v>
      </c>
      <c r="B412" t="s">
        <v>156</v>
      </c>
      <c r="C412" t="s">
        <v>79</v>
      </c>
      <c r="D412" t="s">
        <v>78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 s="1">
        <v>44348</v>
      </c>
      <c r="Q412">
        <v>-548</v>
      </c>
    </row>
    <row r="413" spans="1:17" x14ac:dyDescent="0.25">
      <c r="A413" s="1">
        <v>43800</v>
      </c>
      <c r="B413" t="s">
        <v>157</v>
      </c>
      <c r="C413" t="s">
        <v>81</v>
      </c>
      <c r="D413" t="s">
        <v>72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 s="1">
        <v>44440</v>
      </c>
      <c r="Q413">
        <v>-640</v>
      </c>
    </row>
    <row r="414" spans="1:17" x14ac:dyDescent="0.25">
      <c r="A414" s="1">
        <v>43800</v>
      </c>
      <c r="B414" t="s">
        <v>158</v>
      </c>
      <c r="C414" t="s">
        <v>83</v>
      </c>
      <c r="D414" t="s">
        <v>82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 s="1">
        <v>44228</v>
      </c>
      <c r="Q414">
        <v>-428</v>
      </c>
    </row>
    <row r="415" spans="1:17" x14ac:dyDescent="0.25">
      <c r="A415" s="1">
        <v>43800</v>
      </c>
      <c r="B415" t="s">
        <v>159</v>
      </c>
      <c r="C415" t="s">
        <v>84</v>
      </c>
      <c r="D415" t="s">
        <v>55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 s="1">
        <v>44256</v>
      </c>
      <c r="Q415">
        <v>-456</v>
      </c>
    </row>
    <row r="416" spans="1:17" x14ac:dyDescent="0.25">
      <c r="A416" s="1">
        <v>43800</v>
      </c>
      <c r="B416" t="s">
        <v>160</v>
      </c>
      <c r="C416" t="s">
        <v>86</v>
      </c>
      <c r="D416" t="s">
        <v>68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 s="1">
        <v>44317</v>
      </c>
      <c r="Q416">
        <v>-517</v>
      </c>
    </row>
    <row r="417" spans="1:17" x14ac:dyDescent="0.25">
      <c r="A417" s="1">
        <v>43800</v>
      </c>
      <c r="B417" t="s">
        <v>161</v>
      </c>
      <c r="C417" t="s">
        <v>87</v>
      </c>
      <c r="D417" t="s">
        <v>72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 s="1">
        <v>44440</v>
      </c>
      <c r="Q417">
        <v>-640</v>
      </c>
    </row>
    <row r="418" spans="1:17" x14ac:dyDescent="0.25">
      <c r="A418" s="1">
        <v>43800</v>
      </c>
      <c r="B418" t="s">
        <v>162</v>
      </c>
      <c r="C418" t="s">
        <v>89</v>
      </c>
      <c r="D418" t="s">
        <v>88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 s="1">
        <v>44044</v>
      </c>
      <c r="Q418">
        <v>-244</v>
      </c>
    </row>
    <row r="419" spans="1:17" x14ac:dyDescent="0.25">
      <c r="A419" s="1">
        <v>43800</v>
      </c>
      <c r="B419" t="s">
        <v>163</v>
      </c>
      <c r="C419" t="s">
        <v>90</v>
      </c>
      <c r="D419" t="s">
        <v>82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 s="1">
        <v>44228</v>
      </c>
      <c r="Q419">
        <v>-428</v>
      </c>
    </row>
    <row r="420" spans="1:17" x14ac:dyDescent="0.25">
      <c r="A420" s="1">
        <v>43831</v>
      </c>
      <c r="B420" t="s">
        <v>164</v>
      </c>
      <c r="C420" t="s">
        <v>92</v>
      </c>
      <c r="D420" t="s">
        <v>91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 s="1">
        <v>44105</v>
      </c>
      <c r="Q420">
        <v>-274</v>
      </c>
    </row>
    <row r="421" spans="1:17" x14ac:dyDescent="0.25">
      <c r="A421" s="1">
        <v>43831</v>
      </c>
      <c r="B421" t="s">
        <v>165</v>
      </c>
      <c r="C421" t="s">
        <v>94</v>
      </c>
      <c r="D421" t="s">
        <v>93</v>
      </c>
      <c r="E421">
        <v>389</v>
      </c>
      <c r="F421">
        <v>245</v>
      </c>
      <c r="G421">
        <v>220</v>
      </c>
      <c r="H421">
        <v>895</v>
      </c>
      <c r="I421">
        <v>122</v>
      </c>
      <c r="J421">
        <v>235</v>
      </c>
      <c r="K421">
        <v>159</v>
      </c>
      <c r="L421">
        <v>1014</v>
      </c>
      <c r="M421">
        <v>311</v>
      </c>
      <c r="N421">
        <v>354</v>
      </c>
      <c r="O421">
        <v>1060</v>
      </c>
      <c r="P421" s="1">
        <v>43586</v>
      </c>
      <c r="Q421">
        <v>245</v>
      </c>
    </row>
    <row r="422" spans="1:17" x14ac:dyDescent="0.25">
      <c r="A422" s="1">
        <v>43831</v>
      </c>
      <c r="B422" t="s">
        <v>166</v>
      </c>
      <c r="C422" t="s">
        <v>96</v>
      </c>
      <c r="D422" t="s">
        <v>95</v>
      </c>
      <c r="E422">
        <v>695</v>
      </c>
      <c r="F422">
        <v>407</v>
      </c>
      <c r="G422">
        <v>443</v>
      </c>
      <c r="H422">
        <v>1959</v>
      </c>
      <c r="I422">
        <v>208</v>
      </c>
      <c r="J422">
        <v>385</v>
      </c>
      <c r="K422">
        <v>451</v>
      </c>
      <c r="L422">
        <v>241</v>
      </c>
      <c r="M422">
        <v>1493</v>
      </c>
      <c r="N422">
        <v>468</v>
      </c>
      <c r="O422">
        <v>1811</v>
      </c>
      <c r="P422" s="1">
        <v>43678</v>
      </c>
      <c r="Q422">
        <v>153</v>
      </c>
    </row>
    <row r="423" spans="1:17" x14ac:dyDescent="0.25">
      <c r="A423" s="1">
        <v>43831</v>
      </c>
      <c r="B423" t="s">
        <v>167</v>
      </c>
      <c r="C423" t="s">
        <v>97</v>
      </c>
      <c r="D423" t="s">
        <v>58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 s="1">
        <v>44287</v>
      </c>
      <c r="Q423">
        <v>-456</v>
      </c>
    </row>
    <row r="424" spans="1:17" x14ac:dyDescent="0.25">
      <c r="A424" s="1">
        <v>43831</v>
      </c>
      <c r="B424" t="s">
        <v>168</v>
      </c>
      <c r="C424" t="s">
        <v>98</v>
      </c>
      <c r="D424" t="s">
        <v>49</v>
      </c>
      <c r="E424">
        <v>800</v>
      </c>
      <c r="F424">
        <v>1048</v>
      </c>
      <c r="G424">
        <v>394</v>
      </c>
      <c r="H424">
        <v>180</v>
      </c>
      <c r="I424">
        <v>530</v>
      </c>
      <c r="J424">
        <v>491</v>
      </c>
      <c r="K424">
        <v>162</v>
      </c>
      <c r="L424">
        <v>2051</v>
      </c>
      <c r="M424">
        <v>368</v>
      </c>
      <c r="N424">
        <v>507</v>
      </c>
      <c r="O424">
        <v>381</v>
      </c>
      <c r="P424" s="1">
        <v>43709</v>
      </c>
      <c r="Q424">
        <v>122</v>
      </c>
    </row>
    <row r="425" spans="1:17" x14ac:dyDescent="0.25">
      <c r="A425" s="1">
        <v>43831</v>
      </c>
      <c r="B425" t="s">
        <v>169</v>
      </c>
      <c r="C425" t="s">
        <v>99</v>
      </c>
      <c r="D425" t="s">
        <v>95</v>
      </c>
      <c r="E425">
        <v>35</v>
      </c>
      <c r="F425">
        <v>648</v>
      </c>
      <c r="G425">
        <v>453</v>
      </c>
      <c r="H425">
        <v>655</v>
      </c>
      <c r="I425">
        <v>2451</v>
      </c>
      <c r="J425">
        <v>1476</v>
      </c>
      <c r="K425">
        <v>1595</v>
      </c>
      <c r="L425">
        <v>455</v>
      </c>
      <c r="M425">
        <v>898</v>
      </c>
      <c r="N425">
        <v>299</v>
      </c>
      <c r="O425">
        <v>1331</v>
      </c>
      <c r="P425" s="1">
        <v>43678</v>
      </c>
      <c r="Q425">
        <v>153</v>
      </c>
    </row>
    <row r="426" spans="1:17" x14ac:dyDescent="0.25">
      <c r="A426" s="1">
        <v>43831</v>
      </c>
      <c r="B426" t="s">
        <v>170</v>
      </c>
      <c r="C426" t="s">
        <v>100</v>
      </c>
      <c r="D426" t="s">
        <v>82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 s="1">
        <v>44228</v>
      </c>
      <c r="Q426">
        <v>-397</v>
      </c>
    </row>
    <row r="427" spans="1:17" x14ac:dyDescent="0.25">
      <c r="A427" s="1">
        <v>43831</v>
      </c>
      <c r="B427" t="s">
        <v>171</v>
      </c>
      <c r="C427" t="s">
        <v>101</v>
      </c>
      <c r="D427" t="s">
        <v>68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 s="1">
        <v>44317</v>
      </c>
      <c r="Q427">
        <v>-486</v>
      </c>
    </row>
    <row r="428" spans="1:17" x14ac:dyDescent="0.25">
      <c r="A428" s="1">
        <v>43831</v>
      </c>
      <c r="B428" t="s">
        <v>172</v>
      </c>
      <c r="C428" t="s">
        <v>102</v>
      </c>
      <c r="D428" t="s">
        <v>88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 s="1">
        <v>44044</v>
      </c>
      <c r="Q428">
        <v>-213</v>
      </c>
    </row>
    <row r="429" spans="1:17" x14ac:dyDescent="0.25">
      <c r="A429" s="1">
        <v>43831</v>
      </c>
      <c r="B429" t="s">
        <v>173</v>
      </c>
      <c r="C429" t="s">
        <v>103</v>
      </c>
      <c r="D429" t="s">
        <v>52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 s="1">
        <v>43862</v>
      </c>
      <c r="Q429">
        <v>-31</v>
      </c>
    </row>
    <row r="430" spans="1:17" x14ac:dyDescent="0.25">
      <c r="A430" s="1">
        <v>43831</v>
      </c>
      <c r="B430" t="s">
        <v>174</v>
      </c>
      <c r="C430" t="s">
        <v>105</v>
      </c>
      <c r="D430" t="s">
        <v>104</v>
      </c>
      <c r="E430">
        <v>74</v>
      </c>
      <c r="F430">
        <v>117</v>
      </c>
      <c r="G430">
        <v>108</v>
      </c>
      <c r="H430">
        <v>333</v>
      </c>
      <c r="I430">
        <v>611</v>
      </c>
      <c r="J430">
        <v>208</v>
      </c>
      <c r="K430">
        <v>143</v>
      </c>
      <c r="L430">
        <v>94</v>
      </c>
      <c r="M430">
        <v>490</v>
      </c>
      <c r="N430">
        <v>586</v>
      </c>
      <c r="O430">
        <v>270</v>
      </c>
      <c r="P430" s="1">
        <v>43374</v>
      </c>
      <c r="Q430">
        <v>457</v>
      </c>
    </row>
    <row r="431" spans="1:17" x14ac:dyDescent="0.25">
      <c r="A431" s="1">
        <v>43831</v>
      </c>
      <c r="B431" t="s">
        <v>142</v>
      </c>
      <c r="C431" t="s">
        <v>50</v>
      </c>
      <c r="D431" t="s">
        <v>49</v>
      </c>
      <c r="E431">
        <v>1805</v>
      </c>
      <c r="F431">
        <v>1821</v>
      </c>
      <c r="G431">
        <v>877</v>
      </c>
      <c r="H431">
        <v>2651</v>
      </c>
      <c r="I431">
        <v>2457</v>
      </c>
      <c r="J431">
        <v>4076</v>
      </c>
      <c r="K431">
        <v>865</v>
      </c>
      <c r="L431">
        <v>2856</v>
      </c>
      <c r="M431">
        <v>2135</v>
      </c>
      <c r="N431">
        <v>1195</v>
      </c>
      <c r="O431">
        <v>1187</v>
      </c>
      <c r="P431" s="1">
        <v>43709</v>
      </c>
      <c r="Q431">
        <v>122</v>
      </c>
    </row>
    <row r="432" spans="1:17" x14ac:dyDescent="0.25">
      <c r="A432" s="1">
        <v>43831</v>
      </c>
      <c r="B432" t="s">
        <v>143</v>
      </c>
      <c r="C432" t="s">
        <v>53</v>
      </c>
      <c r="D432" t="s">
        <v>52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 s="1">
        <v>43862</v>
      </c>
      <c r="Q432">
        <v>-31</v>
      </c>
    </row>
    <row r="433" spans="1:17" x14ac:dyDescent="0.25">
      <c r="A433" s="1">
        <v>43831</v>
      </c>
      <c r="B433" t="s">
        <v>144</v>
      </c>
      <c r="C433" t="s">
        <v>56</v>
      </c>
      <c r="D433" t="s">
        <v>55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 s="1">
        <v>44256</v>
      </c>
      <c r="Q433">
        <v>-425</v>
      </c>
    </row>
    <row r="434" spans="1:17" x14ac:dyDescent="0.25">
      <c r="A434" s="1">
        <v>43831</v>
      </c>
      <c r="B434" t="s">
        <v>145</v>
      </c>
      <c r="C434" t="s">
        <v>59</v>
      </c>
      <c r="D434" t="s">
        <v>58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 s="1">
        <v>44287</v>
      </c>
      <c r="Q434">
        <v>-456</v>
      </c>
    </row>
    <row r="435" spans="1:17" x14ac:dyDescent="0.25">
      <c r="A435" s="1">
        <v>43831</v>
      </c>
      <c r="B435" t="s">
        <v>146</v>
      </c>
      <c r="C435" t="s">
        <v>62</v>
      </c>
      <c r="D435" t="s">
        <v>61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 s="1">
        <v>44075</v>
      </c>
      <c r="Q435">
        <v>-244</v>
      </c>
    </row>
    <row r="436" spans="1:17" x14ac:dyDescent="0.25">
      <c r="A436" s="1">
        <v>43831</v>
      </c>
      <c r="B436" t="s">
        <v>147</v>
      </c>
      <c r="C436" t="s">
        <v>64</v>
      </c>
      <c r="D436" t="s">
        <v>52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 s="1">
        <v>43862</v>
      </c>
      <c r="Q436">
        <v>-31</v>
      </c>
    </row>
    <row r="437" spans="1:17" x14ac:dyDescent="0.25">
      <c r="A437" s="1">
        <v>43831</v>
      </c>
      <c r="B437" t="s">
        <v>148</v>
      </c>
      <c r="C437" t="s">
        <v>66</v>
      </c>
      <c r="D437" t="s">
        <v>55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 s="1">
        <v>44256</v>
      </c>
      <c r="Q437">
        <v>-425</v>
      </c>
    </row>
    <row r="438" spans="1:17" x14ac:dyDescent="0.25">
      <c r="A438" s="1">
        <v>43831</v>
      </c>
      <c r="B438" t="s">
        <v>149</v>
      </c>
      <c r="C438" t="s">
        <v>67</v>
      </c>
      <c r="D438" t="s">
        <v>55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 s="1">
        <v>44256</v>
      </c>
      <c r="Q438">
        <v>-425</v>
      </c>
    </row>
    <row r="439" spans="1:17" x14ac:dyDescent="0.25">
      <c r="A439" s="1">
        <v>43831</v>
      </c>
      <c r="B439" t="s">
        <v>150</v>
      </c>
      <c r="C439" t="s">
        <v>69</v>
      </c>
      <c r="D439" t="s">
        <v>68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 s="1">
        <v>44317</v>
      </c>
      <c r="Q439">
        <v>-486</v>
      </c>
    </row>
    <row r="440" spans="1:17" x14ac:dyDescent="0.25">
      <c r="A440" s="1">
        <v>43831</v>
      </c>
      <c r="B440" t="s">
        <v>151</v>
      </c>
      <c r="C440" t="s">
        <v>71</v>
      </c>
      <c r="D440" t="s">
        <v>70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 s="1">
        <v>44136</v>
      </c>
      <c r="Q440">
        <v>-305</v>
      </c>
    </row>
    <row r="441" spans="1:17" x14ac:dyDescent="0.25">
      <c r="A441" s="1">
        <v>43831</v>
      </c>
      <c r="B441" t="s">
        <v>152</v>
      </c>
      <c r="C441" t="s">
        <v>11</v>
      </c>
      <c r="D441" t="s">
        <v>52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 s="1">
        <v>43862</v>
      </c>
      <c r="Q441">
        <v>-31</v>
      </c>
    </row>
    <row r="442" spans="1:17" x14ac:dyDescent="0.25">
      <c r="A442" s="1">
        <v>43831</v>
      </c>
      <c r="B442" t="s">
        <v>153</v>
      </c>
      <c r="C442" t="s">
        <v>73</v>
      </c>
      <c r="D442" t="s">
        <v>72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 s="1">
        <v>44440</v>
      </c>
      <c r="Q442">
        <v>-609</v>
      </c>
    </row>
    <row r="443" spans="1:17" x14ac:dyDescent="0.25">
      <c r="A443" s="1">
        <v>43831</v>
      </c>
      <c r="B443" t="s">
        <v>154</v>
      </c>
      <c r="C443" t="s">
        <v>17</v>
      </c>
      <c r="D443" t="s">
        <v>74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 s="1">
        <v>44197</v>
      </c>
      <c r="Q443">
        <v>-366</v>
      </c>
    </row>
    <row r="444" spans="1:17" x14ac:dyDescent="0.25">
      <c r="A444" s="1">
        <v>43831</v>
      </c>
      <c r="B444" t="s">
        <v>155</v>
      </c>
      <c r="C444" t="s">
        <v>76</v>
      </c>
      <c r="D444" t="s">
        <v>75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 s="1">
        <v>44470</v>
      </c>
      <c r="Q444">
        <v>-639</v>
      </c>
    </row>
    <row r="445" spans="1:17" x14ac:dyDescent="0.25">
      <c r="A445" s="1">
        <v>43831</v>
      </c>
      <c r="B445" t="s">
        <v>156</v>
      </c>
      <c r="C445" t="s">
        <v>79</v>
      </c>
      <c r="D445" t="s">
        <v>78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 s="1">
        <v>44348</v>
      </c>
      <c r="Q445">
        <v>-517</v>
      </c>
    </row>
    <row r="446" spans="1:17" x14ac:dyDescent="0.25">
      <c r="A446" s="1">
        <v>43831</v>
      </c>
      <c r="B446" t="s">
        <v>157</v>
      </c>
      <c r="C446" t="s">
        <v>81</v>
      </c>
      <c r="D446" t="s">
        <v>72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 s="1">
        <v>44440</v>
      </c>
      <c r="Q446">
        <v>-609</v>
      </c>
    </row>
    <row r="447" spans="1:17" x14ac:dyDescent="0.25">
      <c r="A447" s="1">
        <v>43831</v>
      </c>
      <c r="B447" t="s">
        <v>158</v>
      </c>
      <c r="C447" t="s">
        <v>83</v>
      </c>
      <c r="D447" t="s">
        <v>82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 s="1">
        <v>44228</v>
      </c>
      <c r="Q447">
        <v>-397</v>
      </c>
    </row>
    <row r="448" spans="1:17" x14ac:dyDescent="0.25">
      <c r="A448" s="1">
        <v>43831</v>
      </c>
      <c r="B448" t="s">
        <v>159</v>
      </c>
      <c r="C448" t="s">
        <v>84</v>
      </c>
      <c r="D448" t="s">
        <v>55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 s="1">
        <v>44256</v>
      </c>
      <c r="Q448">
        <v>-425</v>
      </c>
    </row>
    <row r="449" spans="1:17" x14ac:dyDescent="0.25">
      <c r="A449" s="1">
        <v>43831</v>
      </c>
      <c r="B449" t="s">
        <v>160</v>
      </c>
      <c r="C449" t="s">
        <v>86</v>
      </c>
      <c r="D449" t="s">
        <v>68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 s="1">
        <v>44317</v>
      </c>
      <c r="Q449">
        <v>-486</v>
      </c>
    </row>
    <row r="450" spans="1:17" x14ac:dyDescent="0.25">
      <c r="A450" s="1">
        <v>43831</v>
      </c>
      <c r="B450" t="s">
        <v>161</v>
      </c>
      <c r="C450" t="s">
        <v>87</v>
      </c>
      <c r="D450" t="s">
        <v>72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 s="1">
        <v>44440</v>
      </c>
      <c r="Q450">
        <v>-609</v>
      </c>
    </row>
    <row r="451" spans="1:17" x14ac:dyDescent="0.25">
      <c r="A451" s="1">
        <v>43831</v>
      </c>
      <c r="B451" t="s">
        <v>162</v>
      </c>
      <c r="C451" t="s">
        <v>89</v>
      </c>
      <c r="D451" t="s">
        <v>88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 s="1">
        <v>44044</v>
      </c>
      <c r="Q451">
        <v>-213</v>
      </c>
    </row>
    <row r="452" spans="1:17" x14ac:dyDescent="0.25">
      <c r="A452" s="1">
        <v>43831</v>
      </c>
      <c r="B452" t="s">
        <v>163</v>
      </c>
      <c r="C452" t="s">
        <v>90</v>
      </c>
      <c r="D452" t="s">
        <v>82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 s="1">
        <v>44228</v>
      </c>
      <c r="Q452">
        <v>-397</v>
      </c>
    </row>
    <row r="453" spans="1:17" x14ac:dyDescent="0.25">
      <c r="A453" s="1">
        <v>43831</v>
      </c>
      <c r="B453" t="s">
        <v>164</v>
      </c>
      <c r="C453" t="s">
        <v>92</v>
      </c>
      <c r="D453" t="s">
        <v>91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 s="1">
        <v>44105</v>
      </c>
      <c r="Q453">
        <v>-274</v>
      </c>
    </row>
    <row r="454" spans="1:17" x14ac:dyDescent="0.25">
      <c r="A454" s="1">
        <v>43831</v>
      </c>
      <c r="B454" t="s">
        <v>165</v>
      </c>
      <c r="C454" t="s">
        <v>94</v>
      </c>
      <c r="D454" t="s">
        <v>93</v>
      </c>
      <c r="E454">
        <v>1964</v>
      </c>
      <c r="F454">
        <v>-5</v>
      </c>
      <c r="G454">
        <v>98</v>
      </c>
      <c r="H454">
        <v>1021</v>
      </c>
      <c r="I454">
        <v>826</v>
      </c>
      <c r="J454">
        <v>266</v>
      </c>
      <c r="K454">
        <v>314</v>
      </c>
      <c r="L454">
        <v>846</v>
      </c>
      <c r="M454">
        <v>383</v>
      </c>
      <c r="N454">
        <v>495</v>
      </c>
      <c r="O454">
        <v>755</v>
      </c>
      <c r="P454" s="1">
        <v>43586</v>
      </c>
      <c r="Q454">
        <v>245</v>
      </c>
    </row>
    <row r="455" spans="1:17" x14ac:dyDescent="0.25">
      <c r="A455" s="1">
        <v>43862</v>
      </c>
      <c r="B455" t="s">
        <v>166</v>
      </c>
      <c r="C455" t="s">
        <v>96</v>
      </c>
      <c r="D455" t="s">
        <v>95</v>
      </c>
      <c r="E455">
        <v>495</v>
      </c>
      <c r="F455">
        <v>430</v>
      </c>
      <c r="G455">
        <v>408</v>
      </c>
      <c r="H455">
        <v>1523</v>
      </c>
      <c r="I455">
        <v>548</v>
      </c>
      <c r="J455">
        <v>281</v>
      </c>
      <c r="K455">
        <v>1549</v>
      </c>
      <c r="L455">
        <v>526</v>
      </c>
      <c r="M455">
        <v>703</v>
      </c>
      <c r="N455">
        <v>311</v>
      </c>
      <c r="O455">
        <v>1977</v>
      </c>
      <c r="P455" s="1">
        <v>43678</v>
      </c>
      <c r="Q455">
        <v>184</v>
      </c>
    </row>
    <row r="456" spans="1:17" x14ac:dyDescent="0.25">
      <c r="A456" s="1">
        <v>43862</v>
      </c>
      <c r="B456" t="s">
        <v>167</v>
      </c>
      <c r="C456" t="s">
        <v>97</v>
      </c>
      <c r="D456" t="s">
        <v>58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 s="1">
        <v>44287</v>
      </c>
      <c r="Q456">
        <v>-425</v>
      </c>
    </row>
    <row r="457" spans="1:17" x14ac:dyDescent="0.25">
      <c r="A457" s="1">
        <v>43862</v>
      </c>
      <c r="B457" t="s">
        <v>168</v>
      </c>
      <c r="C457" t="s">
        <v>98</v>
      </c>
      <c r="D457" t="s">
        <v>49</v>
      </c>
      <c r="E457">
        <v>1379</v>
      </c>
      <c r="F457">
        <v>339</v>
      </c>
      <c r="G457">
        <v>356</v>
      </c>
      <c r="H457">
        <v>728</v>
      </c>
      <c r="I457">
        <v>417</v>
      </c>
      <c r="J457">
        <v>533</v>
      </c>
      <c r="K457">
        <v>46</v>
      </c>
      <c r="L457">
        <v>1758</v>
      </c>
      <c r="M457">
        <v>161</v>
      </c>
      <c r="N457">
        <v>1590</v>
      </c>
      <c r="O457">
        <v>775</v>
      </c>
      <c r="P457" s="1">
        <v>43709</v>
      </c>
      <c r="Q457">
        <v>153</v>
      </c>
    </row>
    <row r="458" spans="1:17" x14ac:dyDescent="0.25">
      <c r="A458" s="1">
        <v>43862</v>
      </c>
      <c r="B458" t="s">
        <v>169</v>
      </c>
      <c r="C458" t="s">
        <v>99</v>
      </c>
      <c r="D458" t="s">
        <v>95</v>
      </c>
      <c r="E458">
        <v>337</v>
      </c>
      <c r="F458">
        <v>1217</v>
      </c>
      <c r="G458">
        <v>212</v>
      </c>
      <c r="H458">
        <v>1986</v>
      </c>
      <c r="I458">
        <v>877</v>
      </c>
      <c r="J458">
        <v>810</v>
      </c>
      <c r="K458">
        <v>641</v>
      </c>
      <c r="L458">
        <v>114</v>
      </c>
      <c r="M458">
        <v>796</v>
      </c>
      <c r="N458">
        <v>146</v>
      </c>
      <c r="O458">
        <v>834</v>
      </c>
      <c r="P458" s="1">
        <v>43678</v>
      </c>
      <c r="Q458">
        <v>184</v>
      </c>
    </row>
    <row r="459" spans="1:17" x14ac:dyDescent="0.25">
      <c r="A459" s="1">
        <v>43862</v>
      </c>
      <c r="B459" t="s">
        <v>170</v>
      </c>
      <c r="C459" t="s">
        <v>100</v>
      </c>
      <c r="D459" t="s">
        <v>82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 s="1">
        <v>44228</v>
      </c>
      <c r="Q459">
        <v>-366</v>
      </c>
    </row>
    <row r="460" spans="1:17" x14ac:dyDescent="0.25">
      <c r="A460" s="1">
        <v>43862</v>
      </c>
      <c r="B460" t="s">
        <v>171</v>
      </c>
      <c r="C460" t="s">
        <v>101</v>
      </c>
      <c r="D460" t="s">
        <v>68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 s="1">
        <v>44317</v>
      </c>
      <c r="Q460">
        <v>-455</v>
      </c>
    </row>
    <row r="461" spans="1:17" x14ac:dyDescent="0.25">
      <c r="A461" s="1">
        <v>43862</v>
      </c>
      <c r="B461" t="s">
        <v>172</v>
      </c>
      <c r="C461" t="s">
        <v>102</v>
      </c>
      <c r="D461" t="s">
        <v>88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 s="1">
        <v>44044</v>
      </c>
      <c r="Q461">
        <v>-182</v>
      </c>
    </row>
    <row r="462" spans="1:17" x14ac:dyDescent="0.25">
      <c r="A462" s="1">
        <v>43862</v>
      </c>
      <c r="B462" t="s">
        <v>173</v>
      </c>
      <c r="C462" t="s">
        <v>103</v>
      </c>
      <c r="D462" t="s">
        <v>52</v>
      </c>
      <c r="E462">
        <v>2768</v>
      </c>
      <c r="F462">
        <v>3700</v>
      </c>
      <c r="G462">
        <v>96</v>
      </c>
      <c r="H462">
        <v>1099</v>
      </c>
      <c r="I462">
        <v>11131</v>
      </c>
      <c r="J462">
        <v>-39</v>
      </c>
      <c r="K462">
        <v>7988</v>
      </c>
      <c r="L462">
        <v>2831</v>
      </c>
      <c r="M462">
        <v>1832</v>
      </c>
      <c r="N462">
        <v>8453</v>
      </c>
      <c r="O462">
        <v>1907</v>
      </c>
      <c r="P462" s="1">
        <v>43862</v>
      </c>
      <c r="Q462">
        <v>0</v>
      </c>
    </row>
    <row r="463" spans="1:17" x14ac:dyDescent="0.25">
      <c r="A463" s="1">
        <v>43862</v>
      </c>
      <c r="B463" t="s">
        <v>174</v>
      </c>
      <c r="C463" t="s">
        <v>105</v>
      </c>
      <c r="D463" t="s">
        <v>104</v>
      </c>
      <c r="E463">
        <v>74</v>
      </c>
      <c r="F463">
        <v>198</v>
      </c>
      <c r="G463">
        <v>195</v>
      </c>
      <c r="H463">
        <v>497</v>
      </c>
      <c r="I463">
        <v>126</v>
      </c>
      <c r="J463">
        <v>82</v>
      </c>
      <c r="K463">
        <v>71</v>
      </c>
      <c r="L463">
        <v>95</v>
      </c>
      <c r="M463">
        <v>112</v>
      </c>
      <c r="N463">
        <v>957</v>
      </c>
      <c r="O463">
        <v>656</v>
      </c>
      <c r="P463" s="1">
        <v>43374</v>
      </c>
      <c r="Q463">
        <v>488</v>
      </c>
    </row>
    <row r="464" spans="1:17" x14ac:dyDescent="0.25">
      <c r="A464" s="1">
        <v>43862</v>
      </c>
      <c r="B464" t="s">
        <v>142</v>
      </c>
      <c r="C464" t="s">
        <v>50</v>
      </c>
      <c r="D464" t="s">
        <v>49</v>
      </c>
      <c r="E464">
        <v>2769</v>
      </c>
      <c r="F464">
        <v>1764</v>
      </c>
      <c r="G464">
        <v>241</v>
      </c>
      <c r="H464">
        <v>1053</v>
      </c>
      <c r="I464">
        <v>1836</v>
      </c>
      <c r="J464">
        <v>775</v>
      </c>
      <c r="K464">
        <v>644</v>
      </c>
      <c r="L464">
        <v>2113</v>
      </c>
      <c r="M464">
        <v>1438</v>
      </c>
      <c r="N464">
        <v>1795</v>
      </c>
      <c r="O464">
        <v>2462</v>
      </c>
      <c r="P464" s="1">
        <v>43709</v>
      </c>
      <c r="Q464">
        <v>153</v>
      </c>
    </row>
    <row r="465" spans="1:17" x14ac:dyDescent="0.25">
      <c r="A465" s="1">
        <v>43862</v>
      </c>
      <c r="B465" t="s">
        <v>143</v>
      </c>
      <c r="C465" t="s">
        <v>53</v>
      </c>
      <c r="D465" t="s">
        <v>52</v>
      </c>
      <c r="E465">
        <v>10595</v>
      </c>
      <c r="F465">
        <v>11094</v>
      </c>
      <c r="G465">
        <v>936</v>
      </c>
      <c r="H465">
        <v>8431</v>
      </c>
      <c r="I465">
        <v>11128</v>
      </c>
      <c r="J465">
        <v>11436</v>
      </c>
      <c r="K465">
        <v>2625</v>
      </c>
      <c r="L465">
        <v>4075</v>
      </c>
      <c r="M465">
        <v>14743</v>
      </c>
      <c r="N465">
        <v>17193</v>
      </c>
      <c r="O465">
        <v>3579</v>
      </c>
      <c r="P465" s="1">
        <v>43862</v>
      </c>
      <c r="Q465">
        <v>0</v>
      </c>
    </row>
    <row r="466" spans="1:17" x14ac:dyDescent="0.25">
      <c r="A466" s="1">
        <v>43862</v>
      </c>
      <c r="B466" t="s">
        <v>144</v>
      </c>
      <c r="C466" t="s">
        <v>56</v>
      </c>
      <c r="D466" t="s">
        <v>55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 s="1">
        <v>44256</v>
      </c>
      <c r="Q466">
        <v>-394</v>
      </c>
    </row>
    <row r="467" spans="1:17" x14ac:dyDescent="0.25">
      <c r="A467" s="1">
        <v>43862</v>
      </c>
      <c r="B467" t="s">
        <v>145</v>
      </c>
      <c r="C467" t="s">
        <v>59</v>
      </c>
      <c r="D467" t="s">
        <v>58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 s="1">
        <v>44287</v>
      </c>
      <c r="Q467">
        <v>-425</v>
      </c>
    </row>
    <row r="468" spans="1:17" x14ac:dyDescent="0.25">
      <c r="A468" s="1">
        <v>43862</v>
      </c>
      <c r="B468" t="s">
        <v>146</v>
      </c>
      <c r="C468" t="s">
        <v>62</v>
      </c>
      <c r="D468" t="s">
        <v>61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 s="1">
        <v>44075</v>
      </c>
      <c r="Q468">
        <v>-213</v>
      </c>
    </row>
    <row r="469" spans="1:17" x14ac:dyDescent="0.25">
      <c r="A469" s="1">
        <v>43862</v>
      </c>
      <c r="B469" t="s">
        <v>147</v>
      </c>
      <c r="C469" t="s">
        <v>64</v>
      </c>
      <c r="D469" t="s">
        <v>52</v>
      </c>
      <c r="E469">
        <v>6196</v>
      </c>
      <c r="F469">
        <v>5995</v>
      </c>
      <c r="G469">
        <v>3447</v>
      </c>
      <c r="H469">
        <v>1163</v>
      </c>
      <c r="I469">
        <v>1373</v>
      </c>
      <c r="J469">
        <v>580</v>
      </c>
      <c r="K469">
        <v>617</v>
      </c>
      <c r="L469">
        <v>1831</v>
      </c>
      <c r="M469">
        <v>1102</v>
      </c>
      <c r="N469">
        <v>2541</v>
      </c>
      <c r="O469">
        <v>1307</v>
      </c>
      <c r="P469" s="1">
        <v>43862</v>
      </c>
      <c r="Q469">
        <v>0</v>
      </c>
    </row>
    <row r="470" spans="1:17" x14ac:dyDescent="0.25">
      <c r="A470" s="1">
        <v>43862</v>
      </c>
      <c r="B470" t="s">
        <v>148</v>
      </c>
      <c r="C470" t="s">
        <v>66</v>
      </c>
      <c r="D470" t="s">
        <v>55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 s="1">
        <v>44256</v>
      </c>
      <c r="Q470">
        <v>-394</v>
      </c>
    </row>
    <row r="471" spans="1:17" x14ac:dyDescent="0.25">
      <c r="A471" s="1">
        <v>43862</v>
      </c>
      <c r="B471" t="s">
        <v>149</v>
      </c>
      <c r="C471" t="s">
        <v>67</v>
      </c>
      <c r="D471" t="s">
        <v>55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 s="1">
        <v>44256</v>
      </c>
      <c r="Q471">
        <v>-394</v>
      </c>
    </row>
    <row r="472" spans="1:17" x14ac:dyDescent="0.25">
      <c r="A472" s="1">
        <v>43862</v>
      </c>
      <c r="B472" t="s">
        <v>150</v>
      </c>
      <c r="C472" t="s">
        <v>69</v>
      </c>
      <c r="D472" t="s">
        <v>68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 s="1">
        <v>44317</v>
      </c>
      <c r="Q472">
        <v>-455</v>
      </c>
    </row>
    <row r="473" spans="1:17" x14ac:dyDescent="0.25">
      <c r="A473" s="1">
        <v>43862</v>
      </c>
      <c r="B473" t="s">
        <v>151</v>
      </c>
      <c r="C473" t="s">
        <v>71</v>
      </c>
      <c r="D473" t="s">
        <v>70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 s="1">
        <v>44136</v>
      </c>
      <c r="Q473">
        <v>-274</v>
      </c>
    </row>
    <row r="474" spans="1:17" x14ac:dyDescent="0.25">
      <c r="A474" s="1">
        <v>43862</v>
      </c>
      <c r="B474" t="s">
        <v>152</v>
      </c>
      <c r="C474" t="s">
        <v>11</v>
      </c>
      <c r="D474" t="s">
        <v>52</v>
      </c>
      <c r="E474">
        <v>2141</v>
      </c>
      <c r="F474">
        <v>2125</v>
      </c>
      <c r="G474">
        <v>2770</v>
      </c>
      <c r="H474">
        <v>11551</v>
      </c>
      <c r="I474">
        <v>-397</v>
      </c>
      <c r="J474">
        <v>2615</v>
      </c>
      <c r="K474">
        <v>3045</v>
      </c>
      <c r="L474">
        <v>2124</v>
      </c>
      <c r="M474">
        <v>636</v>
      </c>
      <c r="N474">
        <v>2440</v>
      </c>
      <c r="O474">
        <v>2764</v>
      </c>
      <c r="P474" s="1">
        <v>43862</v>
      </c>
      <c r="Q474">
        <v>0</v>
      </c>
    </row>
    <row r="475" spans="1:17" x14ac:dyDescent="0.25">
      <c r="A475" s="1">
        <v>43862</v>
      </c>
      <c r="B475" t="s">
        <v>153</v>
      </c>
      <c r="C475" t="s">
        <v>73</v>
      </c>
      <c r="D475" t="s">
        <v>72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 s="1">
        <v>44440</v>
      </c>
      <c r="Q475">
        <v>-578</v>
      </c>
    </row>
    <row r="476" spans="1:17" x14ac:dyDescent="0.25">
      <c r="A476" s="1">
        <v>43862</v>
      </c>
      <c r="B476" t="s">
        <v>154</v>
      </c>
      <c r="C476" t="s">
        <v>17</v>
      </c>
      <c r="D476" t="s">
        <v>74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 s="1">
        <v>44197</v>
      </c>
      <c r="Q476">
        <v>-335</v>
      </c>
    </row>
    <row r="477" spans="1:17" x14ac:dyDescent="0.25">
      <c r="A477" s="1">
        <v>43862</v>
      </c>
      <c r="B477" t="s">
        <v>155</v>
      </c>
      <c r="C477" t="s">
        <v>76</v>
      </c>
      <c r="D477" t="s">
        <v>75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 s="1">
        <v>44470</v>
      </c>
      <c r="Q477">
        <v>-608</v>
      </c>
    </row>
    <row r="478" spans="1:17" x14ac:dyDescent="0.25">
      <c r="A478" s="1">
        <v>43862</v>
      </c>
      <c r="B478" t="s">
        <v>156</v>
      </c>
      <c r="C478" t="s">
        <v>79</v>
      </c>
      <c r="D478" t="s">
        <v>78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 s="1">
        <v>44348</v>
      </c>
      <c r="Q478">
        <v>-486</v>
      </c>
    </row>
    <row r="479" spans="1:17" x14ac:dyDescent="0.25">
      <c r="A479" s="1">
        <v>43862</v>
      </c>
      <c r="B479" t="s">
        <v>157</v>
      </c>
      <c r="C479" t="s">
        <v>81</v>
      </c>
      <c r="D479" t="s">
        <v>72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 s="1">
        <v>44440</v>
      </c>
      <c r="Q479">
        <v>-578</v>
      </c>
    </row>
    <row r="480" spans="1:17" x14ac:dyDescent="0.25">
      <c r="A480" s="1">
        <v>43862</v>
      </c>
      <c r="B480" t="s">
        <v>158</v>
      </c>
      <c r="C480" t="s">
        <v>83</v>
      </c>
      <c r="D480" t="s">
        <v>82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 s="1">
        <v>44228</v>
      </c>
      <c r="Q480">
        <v>-366</v>
      </c>
    </row>
    <row r="481" spans="1:17" x14ac:dyDescent="0.25">
      <c r="A481" s="1">
        <v>43862</v>
      </c>
      <c r="B481" t="s">
        <v>159</v>
      </c>
      <c r="C481" t="s">
        <v>84</v>
      </c>
      <c r="D481" t="s">
        <v>55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 s="1">
        <v>44256</v>
      </c>
      <c r="Q481">
        <v>-394</v>
      </c>
    </row>
    <row r="482" spans="1:17" x14ac:dyDescent="0.25">
      <c r="A482" s="1">
        <v>43862</v>
      </c>
      <c r="B482" t="s">
        <v>160</v>
      </c>
      <c r="C482" t="s">
        <v>86</v>
      </c>
      <c r="D482" t="s">
        <v>68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 s="1">
        <v>44317</v>
      </c>
      <c r="Q482">
        <v>-455</v>
      </c>
    </row>
    <row r="483" spans="1:17" x14ac:dyDescent="0.25">
      <c r="A483" s="1">
        <v>43862</v>
      </c>
      <c r="B483" t="s">
        <v>161</v>
      </c>
      <c r="C483" t="s">
        <v>87</v>
      </c>
      <c r="D483" t="s">
        <v>72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 s="1">
        <v>44440</v>
      </c>
      <c r="Q483">
        <v>-578</v>
      </c>
    </row>
    <row r="484" spans="1:17" x14ac:dyDescent="0.25">
      <c r="A484" s="1">
        <v>43862</v>
      </c>
      <c r="B484" t="s">
        <v>162</v>
      </c>
      <c r="C484" t="s">
        <v>89</v>
      </c>
      <c r="D484" t="s">
        <v>88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 s="1">
        <v>44044</v>
      </c>
      <c r="Q484">
        <v>-182</v>
      </c>
    </row>
    <row r="485" spans="1:17" x14ac:dyDescent="0.25">
      <c r="A485" s="1">
        <v>43862</v>
      </c>
      <c r="B485" t="s">
        <v>163</v>
      </c>
      <c r="C485" t="s">
        <v>90</v>
      </c>
      <c r="D485" t="s">
        <v>82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 s="1">
        <v>44228</v>
      </c>
      <c r="Q485">
        <v>-366</v>
      </c>
    </row>
    <row r="486" spans="1:17" x14ac:dyDescent="0.25">
      <c r="A486" s="1">
        <v>43862</v>
      </c>
      <c r="B486" t="s">
        <v>164</v>
      </c>
      <c r="C486" t="s">
        <v>92</v>
      </c>
      <c r="D486" t="s">
        <v>91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 s="1">
        <v>44105</v>
      </c>
      <c r="Q486">
        <v>-243</v>
      </c>
    </row>
    <row r="487" spans="1:17" x14ac:dyDescent="0.25">
      <c r="A487" s="1">
        <v>43862</v>
      </c>
      <c r="B487" t="s">
        <v>165</v>
      </c>
      <c r="C487" t="s">
        <v>94</v>
      </c>
      <c r="D487" t="s">
        <v>93</v>
      </c>
      <c r="E487">
        <v>853</v>
      </c>
      <c r="F487">
        <v>329</v>
      </c>
      <c r="G487">
        <v>162</v>
      </c>
      <c r="H487">
        <v>504</v>
      </c>
      <c r="I487">
        <v>1309</v>
      </c>
      <c r="J487">
        <v>203</v>
      </c>
      <c r="K487">
        <v>241</v>
      </c>
      <c r="L487">
        <v>370</v>
      </c>
      <c r="M487">
        <v>159</v>
      </c>
      <c r="N487">
        <v>1064</v>
      </c>
      <c r="O487">
        <v>549</v>
      </c>
      <c r="P487" s="1">
        <v>43586</v>
      </c>
      <c r="Q487">
        <v>276</v>
      </c>
    </row>
    <row r="488" spans="1:17" x14ac:dyDescent="0.25">
      <c r="A488" s="1">
        <v>43862</v>
      </c>
      <c r="B488" t="s">
        <v>166</v>
      </c>
      <c r="C488" t="s">
        <v>96</v>
      </c>
      <c r="D488" t="s">
        <v>95</v>
      </c>
      <c r="E488">
        <v>339</v>
      </c>
      <c r="F488">
        <v>643</v>
      </c>
      <c r="G488">
        <v>379</v>
      </c>
      <c r="H488">
        <v>733</v>
      </c>
      <c r="I488">
        <v>515</v>
      </c>
      <c r="J488">
        <v>505</v>
      </c>
      <c r="K488">
        <v>224</v>
      </c>
      <c r="L488">
        <v>525</v>
      </c>
      <c r="M488">
        <v>1312</v>
      </c>
      <c r="N488">
        <v>185</v>
      </c>
      <c r="O488">
        <v>836</v>
      </c>
      <c r="P488" s="1">
        <v>43678</v>
      </c>
      <c r="Q488">
        <v>184</v>
      </c>
    </row>
    <row r="489" spans="1:17" x14ac:dyDescent="0.25">
      <c r="A489" s="1">
        <v>43862</v>
      </c>
      <c r="B489" t="s">
        <v>167</v>
      </c>
      <c r="C489" t="s">
        <v>97</v>
      </c>
      <c r="D489" t="s">
        <v>58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 s="1">
        <v>44287</v>
      </c>
      <c r="Q489">
        <v>-425</v>
      </c>
    </row>
    <row r="490" spans="1:17" x14ac:dyDescent="0.25">
      <c r="A490" s="1">
        <v>43891</v>
      </c>
      <c r="B490" t="s">
        <v>168</v>
      </c>
      <c r="C490" t="s">
        <v>98</v>
      </c>
      <c r="D490" t="s">
        <v>49</v>
      </c>
      <c r="E490">
        <v>1109</v>
      </c>
      <c r="F490">
        <v>413</v>
      </c>
      <c r="G490">
        <v>120</v>
      </c>
      <c r="H490">
        <v>504</v>
      </c>
      <c r="I490">
        <v>471</v>
      </c>
      <c r="J490">
        <v>287</v>
      </c>
      <c r="K490">
        <v>515</v>
      </c>
      <c r="L490">
        <v>689</v>
      </c>
      <c r="M490">
        <v>609</v>
      </c>
      <c r="N490">
        <v>921</v>
      </c>
      <c r="O490">
        <v>223</v>
      </c>
      <c r="P490" s="1">
        <v>43709</v>
      </c>
      <c r="Q490">
        <v>182</v>
      </c>
    </row>
    <row r="491" spans="1:17" x14ac:dyDescent="0.25">
      <c r="A491" s="1">
        <v>43891</v>
      </c>
      <c r="B491" t="s">
        <v>169</v>
      </c>
      <c r="C491" t="s">
        <v>99</v>
      </c>
      <c r="D491" t="s">
        <v>95</v>
      </c>
      <c r="E491">
        <v>463</v>
      </c>
      <c r="F491">
        <v>759</v>
      </c>
      <c r="G491">
        <v>81</v>
      </c>
      <c r="H491">
        <v>1344</v>
      </c>
      <c r="I491">
        <v>963</v>
      </c>
      <c r="J491">
        <v>673</v>
      </c>
      <c r="K491">
        <v>843</v>
      </c>
      <c r="L491">
        <v>285</v>
      </c>
      <c r="M491">
        <v>773</v>
      </c>
      <c r="N491">
        <v>202</v>
      </c>
      <c r="O491">
        <v>1150</v>
      </c>
      <c r="P491" s="1">
        <v>43678</v>
      </c>
      <c r="Q491">
        <v>213</v>
      </c>
    </row>
    <row r="492" spans="1:17" x14ac:dyDescent="0.25">
      <c r="A492" s="1">
        <v>43891</v>
      </c>
      <c r="B492" t="s">
        <v>170</v>
      </c>
      <c r="C492" t="s">
        <v>100</v>
      </c>
      <c r="D492" t="s">
        <v>82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 s="1">
        <v>44228</v>
      </c>
      <c r="Q492">
        <v>-337</v>
      </c>
    </row>
    <row r="493" spans="1:17" x14ac:dyDescent="0.25">
      <c r="A493" s="1">
        <v>43891</v>
      </c>
      <c r="B493" t="s">
        <v>171</v>
      </c>
      <c r="C493" t="s">
        <v>101</v>
      </c>
      <c r="D493" t="s">
        <v>68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 s="1">
        <v>44317</v>
      </c>
      <c r="Q493">
        <v>-426</v>
      </c>
    </row>
    <row r="494" spans="1:17" x14ac:dyDescent="0.25">
      <c r="A494" s="1">
        <v>43891</v>
      </c>
      <c r="B494" t="s">
        <v>172</v>
      </c>
      <c r="C494" t="s">
        <v>102</v>
      </c>
      <c r="D494" t="s">
        <v>88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 s="1">
        <v>44044</v>
      </c>
      <c r="Q494">
        <v>-153</v>
      </c>
    </row>
    <row r="495" spans="1:17" x14ac:dyDescent="0.25">
      <c r="A495" s="1">
        <v>43891</v>
      </c>
      <c r="B495" t="s">
        <v>173</v>
      </c>
      <c r="C495" t="s">
        <v>103</v>
      </c>
      <c r="D495" t="s">
        <v>52</v>
      </c>
      <c r="E495">
        <v>1741</v>
      </c>
      <c r="F495">
        <v>3043</v>
      </c>
      <c r="G495">
        <v>1181</v>
      </c>
      <c r="H495">
        <v>6523</v>
      </c>
      <c r="I495">
        <v>8221</v>
      </c>
      <c r="J495">
        <v>4379</v>
      </c>
      <c r="K495">
        <v>16156</v>
      </c>
      <c r="L495">
        <v>458</v>
      </c>
      <c r="M495">
        <v>3829</v>
      </c>
      <c r="N495">
        <v>1948</v>
      </c>
      <c r="O495">
        <v>1574</v>
      </c>
      <c r="P495" s="1">
        <v>43862</v>
      </c>
      <c r="Q495">
        <v>29</v>
      </c>
    </row>
    <row r="496" spans="1:17" x14ac:dyDescent="0.25">
      <c r="A496" s="1">
        <v>43891</v>
      </c>
      <c r="B496" t="s">
        <v>174</v>
      </c>
      <c r="C496" t="s">
        <v>105</v>
      </c>
      <c r="D496" t="s">
        <v>104</v>
      </c>
      <c r="E496">
        <v>134</v>
      </c>
      <c r="F496">
        <v>148</v>
      </c>
      <c r="G496">
        <v>94</v>
      </c>
      <c r="H496">
        <v>344</v>
      </c>
      <c r="I496">
        <v>661</v>
      </c>
      <c r="J496">
        <v>162</v>
      </c>
      <c r="K496">
        <v>212</v>
      </c>
      <c r="L496">
        <v>111</v>
      </c>
      <c r="M496">
        <v>266</v>
      </c>
      <c r="N496">
        <v>283</v>
      </c>
      <c r="O496">
        <v>596</v>
      </c>
      <c r="P496" s="1">
        <v>43374</v>
      </c>
      <c r="Q496">
        <v>517</v>
      </c>
    </row>
    <row r="497" spans="1:17" x14ac:dyDescent="0.25">
      <c r="A497" s="1">
        <v>43891</v>
      </c>
      <c r="B497" t="s">
        <v>142</v>
      </c>
      <c r="C497" t="s">
        <v>50</v>
      </c>
      <c r="D497" t="s">
        <v>49</v>
      </c>
      <c r="E497">
        <v>884</v>
      </c>
      <c r="F497">
        <v>1630</v>
      </c>
      <c r="G497">
        <v>547</v>
      </c>
      <c r="H497">
        <v>1386</v>
      </c>
      <c r="I497">
        <v>741</v>
      </c>
      <c r="J497">
        <v>1803</v>
      </c>
      <c r="K497">
        <v>276</v>
      </c>
      <c r="L497">
        <v>1301</v>
      </c>
      <c r="M497">
        <v>818</v>
      </c>
      <c r="N497">
        <v>646</v>
      </c>
      <c r="O497">
        <v>1116</v>
      </c>
      <c r="P497" s="1">
        <v>43709</v>
      </c>
      <c r="Q497">
        <v>182</v>
      </c>
    </row>
    <row r="498" spans="1:17" x14ac:dyDescent="0.25">
      <c r="A498" s="1">
        <v>43891</v>
      </c>
      <c r="B498" t="s">
        <v>143</v>
      </c>
      <c r="C498" t="s">
        <v>53</v>
      </c>
      <c r="D498" t="s">
        <v>52</v>
      </c>
      <c r="E498">
        <v>10974</v>
      </c>
      <c r="F498">
        <v>7745</v>
      </c>
      <c r="G498">
        <v>2732</v>
      </c>
      <c r="H498">
        <v>12445</v>
      </c>
      <c r="I498">
        <v>8394</v>
      </c>
      <c r="J498">
        <v>6406</v>
      </c>
      <c r="K498">
        <v>3602</v>
      </c>
      <c r="L498">
        <v>6774</v>
      </c>
      <c r="M498">
        <v>17032</v>
      </c>
      <c r="N498">
        <v>12758</v>
      </c>
      <c r="O498">
        <v>10063</v>
      </c>
      <c r="P498" s="1">
        <v>43862</v>
      </c>
      <c r="Q498">
        <v>29</v>
      </c>
    </row>
    <row r="499" spans="1:17" x14ac:dyDescent="0.25">
      <c r="A499" s="1">
        <v>43891</v>
      </c>
      <c r="B499" t="s">
        <v>144</v>
      </c>
      <c r="C499" t="s">
        <v>56</v>
      </c>
      <c r="D499" t="s">
        <v>55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 s="1">
        <v>44256</v>
      </c>
      <c r="Q499">
        <v>-365</v>
      </c>
    </row>
    <row r="500" spans="1:17" x14ac:dyDescent="0.25">
      <c r="A500" s="1">
        <v>43891</v>
      </c>
      <c r="B500" t="s">
        <v>145</v>
      </c>
      <c r="C500" t="s">
        <v>59</v>
      </c>
      <c r="D500" t="s">
        <v>58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 s="1">
        <v>44287</v>
      </c>
      <c r="Q500">
        <v>-396</v>
      </c>
    </row>
    <row r="501" spans="1:17" x14ac:dyDescent="0.25">
      <c r="A501" s="1">
        <v>43891</v>
      </c>
      <c r="B501" t="s">
        <v>146</v>
      </c>
      <c r="C501" t="s">
        <v>62</v>
      </c>
      <c r="D501" t="s">
        <v>61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 s="1">
        <v>44075</v>
      </c>
      <c r="Q501">
        <v>-184</v>
      </c>
    </row>
    <row r="502" spans="1:17" x14ac:dyDescent="0.25">
      <c r="A502" s="1">
        <v>43891</v>
      </c>
      <c r="B502" t="s">
        <v>147</v>
      </c>
      <c r="C502" t="s">
        <v>64</v>
      </c>
      <c r="D502" t="s">
        <v>52</v>
      </c>
      <c r="E502">
        <v>4158</v>
      </c>
      <c r="F502">
        <v>3215</v>
      </c>
      <c r="G502">
        <v>2831</v>
      </c>
      <c r="H502">
        <v>2983</v>
      </c>
      <c r="I502">
        <v>2538</v>
      </c>
      <c r="J502">
        <v>3488</v>
      </c>
      <c r="K502">
        <v>4268</v>
      </c>
      <c r="L502">
        <v>1438</v>
      </c>
      <c r="M502">
        <v>3208</v>
      </c>
      <c r="N502">
        <v>2323</v>
      </c>
      <c r="O502">
        <v>2297</v>
      </c>
      <c r="P502" s="1">
        <v>43862</v>
      </c>
      <c r="Q502">
        <v>29</v>
      </c>
    </row>
    <row r="503" spans="1:17" x14ac:dyDescent="0.25">
      <c r="A503" s="1">
        <v>43891</v>
      </c>
      <c r="B503" t="s">
        <v>148</v>
      </c>
      <c r="C503" t="s">
        <v>66</v>
      </c>
      <c r="D503" t="s">
        <v>55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 s="1">
        <v>44256</v>
      </c>
      <c r="Q503">
        <v>-365</v>
      </c>
    </row>
    <row r="504" spans="1:17" x14ac:dyDescent="0.25">
      <c r="A504" s="1">
        <v>43891</v>
      </c>
      <c r="B504" t="s">
        <v>149</v>
      </c>
      <c r="C504" t="s">
        <v>67</v>
      </c>
      <c r="D504" t="s">
        <v>55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 s="1">
        <v>44256</v>
      </c>
      <c r="Q504">
        <v>-365</v>
      </c>
    </row>
    <row r="505" spans="1:17" x14ac:dyDescent="0.25">
      <c r="A505" s="1">
        <v>43891</v>
      </c>
      <c r="B505" t="s">
        <v>150</v>
      </c>
      <c r="C505" t="s">
        <v>69</v>
      </c>
      <c r="D505" t="s">
        <v>68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 s="1">
        <v>44317</v>
      </c>
      <c r="Q505">
        <v>-426</v>
      </c>
    </row>
    <row r="506" spans="1:17" x14ac:dyDescent="0.25">
      <c r="A506" s="1">
        <v>43891</v>
      </c>
      <c r="B506" t="s">
        <v>151</v>
      </c>
      <c r="C506" t="s">
        <v>71</v>
      </c>
      <c r="D506" t="s">
        <v>70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 s="1">
        <v>44136</v>
      </c>
      <c r="Q506">
        <v>-245</v>
      </c>
    </row>
    <row r="507" spans="1:17" x14ac:dyDescent="0.25">
      <c r="A507" s="1">
        <v>43891</v>
      </c>
      <c r="B507" t="s">
        <v>152</v>
      </c>
      <c r="C507" t="s">
        <v>11</v>
      </c>
      <c r="D507" t="s">
        <v>52</v>
      </c>
      <c r="E507">
        <v>1415</v>
      </c>
      <c r="F507">
        <v>3160</v>
      </c>
      <c r="G507">
        <v>1374</v>
      </c>
      <c r="H507">
        <v>4576</v>
      </c>
      <c r="I507">
        <v>-812</v>
      </c>
      <c r="J507">
        <v>2552</v>
      </c>
      <c r="K507">
        <v>2418</v>
      </c>
      <c r="L507">
        <v>1499</v>
      </c>
      <c r="M507">
        <v>2957</v>
      </c>
      <c r="N507">
        <v>3492</v>
      </c>
      <c r="O507">
        <v>2228</v>
      </c>
      <c r="P507" s="1">
        <v>43862</v>
      </c>
      <c r="Q507">
        <v>29</v>
      </c>
    </row>
    <row r="508" spans="1:17" x14ac:dyDescent="0.25">
      <c r="A508" s="1">
        <v>43891</v>
      </c>
      <c r="B508" t="s">
        <v>153</v>
      </c>
      <c r="C508" t="s">
        <v>73</v>
      </c>
      <c r="D508" t="s">
        <v>72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 s="1">
        <v>44440</v>
      </c>
      <c r="Q508">
        <v>-549</v>
      </c>
    </row>
    <row r="509" spans="1:17" x14ac:dyDescent="0.25">
      <c r="A509" s="1">
        <v>43891</v>
      </c>
      <c r="B509" t="s">
        <v>154</v>
      </c>
      <c r="C509" t="s">
        <v>17</v>
      </c>
      <c r="D509" t="s">
        <v>74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 s="1">
        <v>44197</v>
      </c>
      <c r="Q509">
        <v>-306</v>
      </c>
    </row>
    <row r="510" spans="1:17" x14ac:dyDescent="0.25">
      <c r="A510" s="1">
        <v>43891</v>
      </c>
      <c r="B510" t="s">
        <v>155</v>
      </c>
      <c r="C510" t="s">
        <v>76</v>
      </c>
      <c r="D510" t="s">
        <v>75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 s="1">
        <v>44470</v>
      </c>
      <c r="Q510">
        <v>-579</v>
      </c>
    </row>
    <row r="511" spans="1:17" x14ac:dyDescent="0.25">
      <c r="A511" s="1">
        <v>43891</v>
      </c>
      <c r="B511" t="s">
        <v>156</v>
      </c>
      <c r="C511" t="s">
        <v>79</v>
      </c>
      <c r="D511" t="s">
        <v>78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 s="1">
        <v>44348</v>
      </c>
      <c r="Q511">
        <v>-457</v>
      </c>
    </row>
    <row r="512" spans="1:17" x14ac:dyDescent="0.25">
      <c r="A512" s="1">
        <v>43891</v>
      </c>
      <c r="B512" t="s">
        <v>157</v>
      </c>
      <c r="C512" t="s">
        <v>81</v>
      </c>
      <c r="D512" t="s">
        <v>72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 s="1">
        <v>44440</v>
      </c>
      <c r="Q512">
        <v>-549</v>
      </c>
    </row>
    <row r="513" spans="1:17" x14ac:dyDescent="0.25">
      <c r="A513" s="1">
        <v>43891</v>
      </c>
      <c r="B513" t="s">
        <v>158</v>
      </c>
      <c r="C513" t="s">
        <v>83</v>
      </c>
      <c r="D513" t="s">
        <v>82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 s="1">
        <v>44228</v>
      </c>
      <c r="Q513">
        <v>-337</v>
      </c>
    </row>
    <row r="514" spans="1:17" x14ac:dyDescent="0.25">
      <c r="A514" s="1">
        <v>43891</v>
      </c>
      <c r="B514" t="s">
        <v>159</v>
      </c>
      <c r="C514" t="s">
        <v>84</v>
      </c>
      <c r="D514" t="s">
        <v>55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 s="1">
        <v>44256</v>
      </c>
      <c r="Q514">
        <v>-365</v>
      </c>
    </row>
    <row r="515" spans="1:17" x14ac:dyDescent="0.25">
      <c r="A515" s="1">
        <v>43891</v>
      </c>
      <c r="B515" t="s">
        <v>160</v>
      </c>
      <c r="C515" t="s">
        <v>86</v>
      </c>
      <c r="D515" t="s">
        <v>68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 s="1">
        <v>44317</v>
      </c>
      <c r="Q515">
        <v>-426</v>
      </c>
    </row>
    <row r="516" spans="1:17" x14ac:dyDescent="0.25">
      <c r="A516" s="1">
        <v>43891</v>
      </c>
      <c r="B516" t="s">
        <v>161</v>
      </c>
      <c r="C516" t="s">
        <v>87</v>
      </c>
      <c r="D516" t="s">
        <v>72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 s="1">
        <v>44440</v>
      </c>
      <c r="Q516">
        <v>-549</v>
      </c>
    </row>
    <row r="517" spans="1:17" x14ac:dyDescent="0.25">
      <c r="A517" s="1">
        <v>43891</v>
      </c>
      <c r="B517" t="s">
        <v>162</v>
      </c>
      <c r="C517" t="s">
        <v>89</v>
      </c>
      <c r="D517" t="s">
        <v>88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 s="1">
        <v>44044</v>
      </c>
      <c r="Q517">
        <v>-153</v>
      </c>
    </row>
    <row r="518" spans="1:17" x14ac:dyDescent="0.25">
      <c r="A518" s="1">
        <v>43891</v>
      </c>
      <c r="B518" t="s">
        <v>163</v>
      </c>
      <c r="C518" t="s">
        <v>90</v>
      </c>
      <c r="D518" t="s">
        <v>82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 s="1">
        <v>44228</v>
      </c>
      <c r="Q518">
        <v>-337</v>
      </c>
    </row>
    <row r="519" spans="1:17" x14ac:dyDescent="0.25">
      <c r="A519" s="1">
        <v>43891</v>
      </c>
      <c r="B519" t="s">
        <v>164</v>
      </c>
      <c r="C519" t="s">
        <v>92</v>
      </c>
      <c r="D519" t="s">
        <v>91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 s="1">
        <v>44105</v>
      </c>
      <c r="Q519">
        <v>-214</v>
      </c>
    </row>
    <row r="520" spans="1:17" x14ac:dyDescent="0.25">
      <c r="A520" s="1">
        <v>43891</v>
      </c>
      <c r="B520" t="s">
        <v>165</v>
      </c>
      <c r="C520" t="s">
        <v>94</v>
      </c>
      <c r="D520" t="s">
        <v>93</v>
      </c>
      <c r="E520">
        <v>332</v>
      </c>
      <c r="F520">
        <v>124</v>
      </c>
      <c r="G520">
        <v>120</v>
      </c>
      <c r="H520">
        <v>432</v>
      </c>
      <c r="I520">
        <v>907</v>
      </c>
      <c r="J520">
        <v>151</v>
      </c>
      <c r="K520">
        <v>383</v>
      </c>
      <c r="L520">
        <v>220</v>
      </c>
      <c r="M520">
        <v>212</v>
      </c>
      <c r="N520">
        <v>944</v>
      </c>
      <c r="O520">
        <v>470</v>
      </c>
      <c r="P520" s="1">
        <v>43586</v>
      </c>
      <c r="Q520">
        <v>305</v>
      </c>
    </row>
    <row r="521" spans="1:17" x14ac:dyDescent="0.25">
      <c r="A521" s="1">
        <v>43891</v>
      </c>
      <c r="B521" t="s">
        <v>166</v>
      </c>
      <c r="C521" t="s">
        <v>96</v>
      </c>
      <c r="D521" t="s">
        <v>95</v>
      </c>
      <c r="E521">
        <v>471</v>
      </c>
      <c r="F521">
        <v>449</v>
      </c>
      <c r="G521">
        <v>275</v>
      </c>
      <c r="H521">
        <v>2567</v>
      </c>
      <c r="I521">
        <v>295</v>
      </c>
      <c r="J521">
        <v>335</v>
      </c>
      <c r="K521">
        <v>805</v>
      </c>
      <c r="L521">
        <v>380</v>
      </c>
      <c r="M521">
        <v>1171</v>
      </c>
      <c r="N521">
        <v>294</v>
      </c>
      <c r="O521">
        <v>1141</v>
      </c>
      <c r="P521" s="1">
        <v>43678</v>
      </c>
      <c r="Q521">
        <v>213</v>
      </c>
    </row>
    <row r="522" spans="1:17" x14ac:dyDescent="0.25">
      <c r="A522" s="1">
        <v>43891</v>
      </c>
      <c r="B522" t="s">
        <v>167</v>
      </c>
      <c r="C522" t="s">
        <v>97</v>
      </c>
      <c r="D522" t="s">
        <v>58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 s="1">
        <v>44287</v>
      </c>
      <c r="Q522">
        <v>-396</v>
      </c>
    </row>
    <row r="523" spans="1:17" x14ac:dyDescent="0.25">
      <c r="A523" s="1">
        <v>43891</v>
      </c>
      <c r="B523" t="s">
        <v>168</v>
      </c>
      <c r="C523" t="s">
        <v>98</v>
      </c>
      <c r="D523" t="s">
        <v>49</v>
      </c>
      <c r="E523">
        <v>1501</v>
      </c>
      <c r="F523">
        <v>159</v>
      </c>
      <c r="G523">
        <v>278</v>
      </c>
      <c r="H523">
        <v>351</v>
      </c>
      <c r="I523">
        <v>482</v>
      </c>
      <c r="J523">
        <v>419</v>
      </c>
      <c r="K523">
        <v>433</v>
      </c>
      <c r="L523">
        <v>1063</v>
      </c>
      <c r="M523">
        <v>457</v>
      </c>
      <c r="N523">
        <v>401</v>
      </c>
      <c r="O523">
        <v>192</v>
      </c>
      <c r="P523" s="1">
        <v>43709</v>
      </c>
      <c r="Q523">
        <v>182</v>
      </c>
    </row>
    <row r="524" spans="1:17" x14ac:dyDescent="0.25">
      <c r="A524" s="1">
        <v>43891</v>
      </c>
      <c r="B524" t="s">
        <v>169</v>
      </c>
      <c r="C524" t="s">
        <v>99</v>
      </c>
      <c r="D524" t="s">
        <v>95</v>
      </c>
      <c r="E524">
        <v>330</v>
      </c>
      <c r="F524">
        <v>72</v>
      </c>
      <c r="G524">
        <v>539</v>
      </c>
      <c r="H524">
        <v>1301</v>
      </c>
      <c r="I524">
        <v>1215</v>
      </c>
      <c r="J524">
        <v>1164</v>
      </c>
      <c r="K524">
        <v>896</v>
      </c>
      <c r="L524">
        <v>225</v>
      </c>
      <c r="M524">
        <v>1043</v>
      </c>
      <c r="N524">
        <v>282</v>
      </c>
      <c r="O524">
        <v>621</v>
      </c>
      <c r="P524" s="1">
        <v>43678</v>
      </c>
      <c r="Q524">
        <v>213</v>
      </c>
    </row>
    <row r="525" spans="1:17" x14ac:dyDescent="0.25">
      <c r="A525" s="1">
        <v>43922</v>
      </c>
      <c r="B525" t="s">
        <v>170</v>
      </c>
      <c r="C525" t="s">
        <v>100</v>
      </c>
      <c r="D525" t="s">
        <v>82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 s="1">
        <v>44228</v>
      </c>
      <c r="Q525">
        <v>-306</v>
      </c>
    </row>
    <row r="526" spans="1:17" x14ac:dyDescent="0.25">
      <c r="A526" s="1">
        <v>43922</v>
      </c>
      <c r="B526" t="s">
        <v>171</v>
      </c>
      <c r="C526" t="s">
        <v>101</v>
      </c>
      <c r="D526" t="s">
        <v>68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 s="1">
        <v>44317</v>
      </c>
      <c r="Q526">
        <v>-395</v>
      </c>
    </row>
    <row r="527" spans="1:17" x14ac:dyDescent="0.25">
      <c r="A527" s="1">
        <v>43922</v>
      </c>
      <c r="B527" t="s">
        <v>172</v>
      </c>
      <c r="C527" t="s">
        <v>102</v>
      </c>
      <c r="D527" t="s">
        <v>88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 s="1">
        <v>44044</v>
      </c>
      <c r="Q527">
        <v>-122</v>
      </c>
    </row>
    <row r="528" spans="1:17" x14ac:dyDescent="0.25">
      <c r="A528" s="1">
        <v>43922</v>
      </c>
      <c r="B528" t="s">
        <v>173</v>
      </c>
      <c r="C528" t="s">
        <v>103</v>
      </c>
      <c r="D528" t="s">
        <v>52</v>
      </c>
      <c r="E528">
        <v>625</v>
      </c>
      <c r="F528">
        <v>1317</v>
      </c>
      <c r="G528">
        <v>922</v>
      </c>
      <c r="H528">
        <v>3876</v>
      </c>
      <c r="I528">
        <v>3962</v>
      </c>
      <c r="J528">
        <v>1614</v>
      </c>
      <c r="K528">
        <v>2403</v>
      </c>
      <c r="L528">
        <v>3486</v>
      </c>
      <c r="M528">
        <v>1325</v>
      </c>
      <c r="N528">
        <v>1740</v>
      </c>
      <c r="O528">
        <v>314</v>
      </c>
      <c r="P528" s="1">
        <v>43862</v>
      </c>
      <c r="Q528">
        <v>60</v>
      </c>
    </row>
    <row r="529" spans="1:17" x14ac:dyDescent="0.25">
      <c r="A529" s="1">
        <v>43922</v>
      </c>
      <c r="B529" t="s">
        <v>174</v>
      </c>
      <c r="C529" t="s">
        <v>105</v>
      </c>
      <c r="D529" t="s">
        <v>104</v>
      </c>
      <c r="E529">
        <v>125</v>
      </c>
      <c r="F529">
        <v>77</v>
      </c>
      <c r="G529">
        <v>130</v>
      </c>
      <c r="H529">
        <v>359</v>
      </c>
      <c r="I529">
        <v>702</v>
      </c>
      <c r="J529">
        <v>103</v>
      </c>
      <c r="K529">
        <v>159</v>
      </c>
      <c r="L529">
        <v>158</v>
      </c>
      <c r="M529">
        <v>266</v>
      </c>
      <c r="N529">
        <v>667</v>
      </c>
      <c r="O529">
        <v>373</v>
      </c>
      <c r="P529" s="1">
        <v>43374</v>
      </c>
      <c r="Q529">
        <v>548</v>
      </c>
    </row>
    <row r="530" spans="1:17" x14ac:dyDescent="0.25">
      <c r="A530" s="1">
        <v>43922</v>
      </c>
      <c r="B530" t="s">
        <v>142</v>
      </c>
      <c r="C530" t="s">
        <v>50</v>
      </c>
      <c r="D530" t="s">
        <v>49</v>
      </c>
      <c r="E530">
        <v>1928</v>
      </c>
      <c r="F530">
        <v>1646</v>
      </c>
      <c r="G530">
        <v>407</v>
      </c>
      <c r="H530">
        <v>1384</v>
      </c>
      <c r="I530">
        <v>1456</v>
      </c>
      <c r="J530">
        <v>1747</v>
      </c>
      <c r="K530">
        <v>344</v>
      </c>
      <c r="L530">
        <v>172</v>
      </c>
      <c r="M530">
        <v>1597</v>
      </c>
      <c r="N530">
        <v>1505</v>
      </c>
      <c r="O530">
        <v>544</v>
      </c>
      <c r="P530" s="1">
        <v>43709</v>
      </c>
      <c r="Q530">
        <v>213</v>
      </c>
    </row>
    <row r="531" spans="1:17" x14ac:dyDescent="0.25">
      <c r="A531" s="1">
        <v>43922</v>
      </c>
      <c r="B531" t="s">
        <v>143</v>
      </c>
      <c r="C531" t="s">
        <v>53</v>
      </c>
      <c r="D531" t="s">
        <v>52</v>
      </c>
      <c r="E531">
        <v>3092</v>
      </c>
      <c r="F531">
        <v>4603</v>
      </c>
      <c r="G531">
        <v>489</v>
      </c>
      <c r="H531">
        <v>3076</v>
      </c>
      <c r="I531">
        <v>6624</v>
      </c>
      <c r="J531">
        <v>4196</v>
      </c>
      <c r="K531">
        <v>834</v>
      </c>
      <c r="L531">
        <v>1580</v>
      </c>
      <c r="M531">
        <v>8015</v>
      </c>
      <c r="N531">
        <v>5305</v>
      </c>
      <c r="O531">
        <v>2491</v>
      </c>
      <c r="P531" s="1">
        <v>43862</v>
      </c>
      <c r="Q531">
        <v>60</v>
      </c>
    </row>
    <row r="532" spans="1:17" x14ac:dyDescent="0.25">
      <c r="A532" s="1">
        <v>43922</v>
      </c>
      <c r="B532" t="s">
        <v>144</v>
      </c>
      <c r="C532" t="s">
        <v>56</v>
      </c>
      <c r="D532" t="s">
        <v>55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 s="1">
        <v>44256</v>
      </c>
      <c r="Q532">
        <v>-334</v>
      </c>
    </row>
    <row r="533" spans="1:17" x14ac:dyDescent="0.25">
      <c r="A533" s="1">
        <v>43922</v>
      </c>
      <c r="B533" t="s">
        <v>145</v>
      </c>
      <c r="C533" t="s">
        <v>59</v>
      </c>
      <c r="D533" t="s">
        <v>58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 s="1">
        <v>44287</v>
      </c>
      <c r="Q533">
        <v>-365</v>
      </c>
    </row>
    <row r="534" spans="1:17" x14ac:dyDescent="0.25">
      <c r="A534" s="1">
        <v>43922</v>
      </c>
      <c r="B534" t="s">
        <v>146</v>
      </c>
      <c r="C534" t="s">
        <v>62</v>
      </c>
      <c r="D534" t="s">
        <v>61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 s="1">
        <v>44075</v>
      </c>
      <c r="Q534">
        <v>-153</v>
      </c>
    </row>
    <row r="535" spans="1:17" x14ac:dyDescent="0.25">
      <c r="A535" s="1">
        <v>43922</v>
      </c>
      <c r="B535" t="s">
        <v>147</v>
      </c>
      <c r="C535" t="s">
        <v>64</v>
      </c>
      <c r="D535" t="s">
        <v>52</v>
      </c>
      <c r="E535">
        <v>4532</v>
      </c>
      <c r="F535">
        <v>1842</v>
      </c>
      <c r="G535">
        <v>1138</v>
      </c>
      <c r="H535">
        <v>210</v>
      </c>
      <c r="I535">
        <v>1320</v>
      </c>
      <c r="J535">
        <v>1334</v>
      </c>
      <c r="K535">
        <v>948</v>
      </c>
      <c r="L535">
        <v>1260</v>
      </c>
      <c r="M535">
        <v>772</v>
      </c>
      <c r="N535">
        <v>1212</v>
      </c>
      <c r="O535">
        <v>600</v>
      </c>
      <c r="P535" s="1">
        <v>43862</v>
      </c>
      <c r="Q535">
        <v>60</v>
      </c>
    </row>
    <row r="536" spans="1:17" x14ac:dyDescent="0.25">
      <c r="A536" s="1">
        <v>43922</v>
      </c>
      <c r="B536" t="s">
        <v>148</v>
      </c>
      <c r="C536" t="s">
        <v>66</v>
      </c>
      <c r="D536" t="s">
        <v>55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 s="1">
        <v>44256</v>
      </c>
      <c r="Q536">
        <v>-334</v>
      </c>
    </row>
    <row r="537" spans="1:17" x14ac:dyDescent="0.25">
      <c r="A537" s="1">
        <v>43922</v>
      </c>
      <c r="B537" t="s">
        <v>149</v>
      </c>
      <c r="C537" t="s">
        <v>67</v>
      </c>
      <c r="D537" t="s">
        <v>55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 s="1">
        <v>44256</v>
      </c>
      <c r="Q537">
        <v>-334</v>
      </c>
    </row>
    <row r="538" spans="1:17" x14ac:dyDescent="0.25">
      <c r="A538" s="1">
        <v>43922</v>
      </c>
      <c r="B538" t="s">
        <v>150</v>
      </c>
      <c r="C538" t="s">
        <v>69</v>
      </c>
      <c r="D538" t="s">
        <v>68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 s="1">
        <v>44317</v>
      </c>
      <c r="Q538">
        <v>-395</v>
      </c>
    </row>
    <row r="539" spans="1:17" x14ac:dyDescent="0.25">
      <c r="A539" s="1">
        <v>43922</v>
      </c>
      <c r="B539" t="s">
        <v>151</v>
      </c>
      <c r="C539" t="s">
        <v>71</v>
      </c>
      <c r="D539" t="s">
        <v>70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 s="1">
        <v>44136</v>
      </c>
      <c r="Q539">
        <v>-214</v>
      </c>
    </row>
    <row r="540" spans="1:17" x14ac:dyDescent="0.25">
      <c r="A540" s="1">
        <v>43922</v>
      </c>
      <c r="B540" t="s">
        <v>152</v>
      </c>
      <c r="C540" t="s">
        <v>11</v>
      </c>
      <c r="D540" t="s">
        <v>52</v>
      </c>
      <c r="E540">
        <v>128</v>
      </c>
      <c r="F540">
        <v>1161</v>
      </c>
      <c r="G540">
        <v>108</v>
      </c>
      <c r="H540">
        <v>3266</v>
      </c>
      <c r="I540">
        <v>364</v>
      </c>
      <c r="J540">
        <v>440</v>
      </c>
      <c r="K540">
        <v>1957</v>
      </c>
      <c r="L540">
        <v>420</v>
      </c>
      <c r="M540">
        <v>115</v>
      </c>
      <c r="N540">
        <v>1262</v>
      </c>
      <c r="O540">
        <v>362</v>
      </c>
      <c r="P540" s="1">
        <v>43862</v>
      </c>
      <c r="Q540">
        <v>60</v>
      </c>
    </row>
    <row r="541" spans="1:17" x14ac:dyDescent="0.25">
      <c r="A541" s="1">
        <v>43922</v>
      </c>
      <c r="B541" t="s">
        <v>153</v>
      </c>
      <c r="C541" t="s">
        <v>73</v>
      </c>
      <c r="D541" t="s">
        <v>72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 s="1">
        <v>44440</v>
      </c>
      <c r="Q541">
        <v>-518</v>
      </c>
    </row>
    <row r="542" spans="1:17" x14ac:dyDescent="0.25">
      <c r="A542" s="1">
        <v>43922</v>
      </c>
      <c r="B542" t="s">
        <v>154</v>
      </c>
      <c r="C542" t="s">
        <v>17</v>
      </c>
      <c r="D542" t="s">
        <v>74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 s="1">
        <v>44197</v>
      </c>
      <c r="Q542">
        <v>-275</v>
      </c>
    </row>
    <row r="543" spans="1:17" x14ac:dyDescent="0.25">
      <c r="A543" s="1">
        <v>43922</v>
      </c>
      <c r="B543" t="s">
        <v>155</v>
      </c>
      <c r="C543" t="s">
        <v>76</v>
      </c>
      <c r="D543" t="s">
        <v>75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 s="1">
        <v>44470</v>
      </c>
      <c r="Q543">
        <v>-548</v>
      </c>
    </row>
    <row r="544" spans="1:17" x14ac:dyDescent="0.25">
      <c r="A544" s="1">
        <v>43922</v>
      </c>
      <c r="B544" t="s">
        <v>156</v>
      </c>
      <c r="C544" t="s">
        <v>79</v>
      </c>
      <c r="D544" t="s">
        <v>78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 s="1">
        <v>44348</v>
      </c>
      <c r="Q544">
        <v>-426</v>
      </c>
    </row>
    <row r="545" spans="1:17" x14ac:dyDescent="0.25">
      <c r="A545" s="1">
        <v>43922</v>
      </c>
      <c r="B545" t="s">
        <v>157</v>
      </c>
      <c r="C545" t="s">
        <v>81</v>
      </c>
      <c r="D545" t="s">
        <v>72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 s="1">
        <v>44440</v>
      </c>
      <c r="Q545">
        <v>-518</v>
      </c>
    </row>
    <row r="546" spans="1:17" x14ac:dyDescent="0.25">
      <c r="A546" s="1">
        <v>43922</v>
      </c>
      <c r="B546" t="s">
        <v>158</v>
      </c>
      <c r="C546" t="s">
        <v>83</v>
      </c>
      <c r="D546" t="s">
        <v>82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 s="1">
        <v>44228</v>
      </c>
      <c r="Q546">
        <v>-306</v>
      </c>
    </row>
    <row r="547" spans="1:17" x14ac:dyDescent="0.25">
      <c r="A547" s="1">
        <v>43922</v>
      </c>
      <c r="B547" t="s">
        <v>159</v>
      </c>
      <c r="C547" t="s">
        <v>84</v>
      </c>
      <c r="D547" t="s">
        <v>55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 s="1">
        <v>44256</v>
      </c>
      <c r="Q547">
        <v>-334</v>
      </c>
    </row>
    <row r="548" spans="1:17" x14ac:dyDescent="0.25">
      <c r="A548" s="1">
        <v>43922</v>
      </c>
      <c r="B548" t="s">
        <v>160</v>
      </c>
      <c r="C548" t="s">
        <v>86</v>
      </c>
      <c r="D548" t="s">
        <v>68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 s="1">
        <v>44317</v>
      </c>
      <c r="Q548">
        <v>-395</v>
      </c>
    </row>
    <row r="549" spans="1:17" x14ac:dyDescent="0.25">
      <c r="A549" s="1">
        <v>43922</v>
      </c>
      <c r="B549" t="s">
        <v>161</v>
      </c>
      <c r="C549" t="s">
        <v>87</v>
      </c>
      <c r="D549" t="s">
        <v>72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 s="1">
        <v>44440</v>
      </c>
      <c r="Q549">
        <v>-518</v>
      </c>
    </row>
    <row r="550" spans="1:17" x14ac:dyDescent="0.25">
      <c r="A550" s="1">
        <v>43922</v>
      </c>
      <c r="B550" t="s">
        <v>162</v>
      </c>
      <c r="C550" t="s">
        <v>89</v>
      </c>
      <c r="D550" t="s">
        <v>88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 s="1">
        <v>44044</v>
      </c>
      <c r="Q550">
        <v>-122</v>
      </c>
    </row>
    <row r="551" spans="1:17" x14ac:dyDescent="0.25">
      <c r="A551" s="1">
        <v>43922</v>
      </c>
      <c r="B551" t="s">
        <v>163</v>
      </c>
      <c r="C551" t="s">
        <v>90</v>
      </c>
      <c r="D551" t="s">
        <v>82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 s="1">
        <v>44228</v>
      </c>
      <c r="Q551">
        <v>-306</v>
      </c>
    </row>
    <row r="552" spans="1:17" x14ac:dyDescent="0.25">
      <c r="A552" s="1">
        <v>43922</v>
      </c>
      <c r="B552" t="s">
        <v>164</v>
      </c>
      <c r="C552" t="s">
        <v>92</v>
      </c>
      <c r="D552" t="s">
        <v>91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 s="1">
        <v>44105</v>
      </c>
      <c r="Q552">
        <v>-183</v>
      </c>
    </row>
    <row r="553" spans="1:17" x14ac:dyDescent="0.25">
      <c r="A553" s="1">
        <v>43922</v>
      </c>
      <c r="B553" t="s">
        <v>165</v>
      </c>
      <c r="C553" t="s">
        <v>94</v>
      </c>
      <c r="D553" t="s">
        <v>93</v>
      </c>
      <c r="E553">
        <v>485</v>
      </c>
      <c r="F553">
        <v>215</v>
      </c>
      <c r="G553">
        <v>369</v>
      </c>
      <c r="H553">
        <v>828</v>
      </c>
      <c r="I553">
        <v>766</v>
      </c>
      <c r="J553">
        <v>166</v>
      </c>
      <c r="K553">
        <v>224</v>
      </c>
      <c r="L553">
        <v>429</v>
      </c>
      <c r="M553">
        <v>134</v>
      </c>
      <c r="N553">
        <v>1003</v>
      </c>
      <c r="O553">
        <v>468</v>
      </c>
      <c r="P553" s="1">
        <v>43586</v>
      </c>
      <c r="Q553">
        <v>336</v>
      </c>
    </row>
    <row r="554" spans="1:17" x14ac:dyDescent="0.25">
      <c r="A554" s="1">
        <v>43922</v>
      </c>
      <c r="B554" t="s">
        <v>166</v>
      </c>
      <c r="C554" t="s">
        <v>96</v>
      </c>
      <c r="D554" t="s">
        <v>95</v>
      </c>
      <c r="E554">
        <v>390</v>
      </c>
      <c r="F554">
        <v>334</v>
      </c>
      <c r="G554">
        <v>-89</v>
      </c>
      <c r="H554">
        <v>606</v>
      </c>
      <c r="I554">
        <v>196</v>
      </c>
      <c r="J554">
        <v>-24</v>
      </c>
      <c r="K554">
        <v>352</v>
      </c>
      <c r="L554">
        <v>326</v>
      </c>
      <c r="M554">
        <v>417</v>
      </c>
      <c r="N554">
        <v>287</v>
      </c>
      <c r="O554">
        <v>1593</v>
      </c>
      <c r="P554" s="1">
        <v>43678</v>
      </c>
      <c r="Q554">
        <v>244</v>
      </c>
    </row>
    <row r="555" spans="1:17" x14ac:dyDescent="0.25">
      <c r="A555" s="1">
        <v>43922</v>
      </c>
      <c r="B555" t="s">
        <v>167</v>
      </c>
      <c r="C555" t="s">
        <v>97</v>
      </c>
      <c r="D555" t="s">
        <v>58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 s="1">
        <v>44287</v>
      </c>
      <c r="Q555">
        <v>-365</v>
      </c>
    </row>
    <row r="556" spans="1:17" x14ac:dyDescent="0.25">
      <c r="A556" s="1">
        <v>43922</v>
      </c>
      <c r="B556" t="s">
        <v>168</v>
      </c>
      <c r="C556" t="s">
        <v>98</v>
      </c>
      <c r="D556" t="s">
        <v>49</v>
      </c>
      <c r="E556">
        <v>422</v>
      </c>
      <c r="F556">
        <v>531</v>
      </c>
      <c r="G556">
        <v>350</v>
      </c>
      <c r="H556">
        <v>371</v>
      </c>
      <c r="I556">
        <v>133</v>
      </c>
      <c r="J556">
        <v>387</v>
      </c>
      <c r="K556">
        <v>502</v>
      </c>
      <c r="L556">
        <v>1153</v>
      </c>
      <c r="M556">
        <v>170</v>
      </c>
      <c r="N556">
        <v>2225</v>
      </c>
      <c r="O556">
        <v>277</v>
      </c>
      <c r="P556" s="1">
        <v>43709</v>
      </c>
      <c r="Q556">
        <v>213</v>
      </c>
    </row>
    <row r="557" spans="1:17" x14ac:dyDescent="0.25">
      <c r="A557" s="1">
        <v>43922</v>
      </c>
      <c r="B557" t="s">
        <v>169</v>
      </c>
      <c r="C557" t="s">
        <v>99</v>
      </c>
      <c r="D557" t="s">
        <v>95</v>
      </c>
      <c r="E557">
        <v>468</v>
      </c>
      <c r="F557">
        <v>166</v>
      </c>
      <c r="G557">
        <v>169</v>
      </c>
      <c r="H557">
        <v>577</v>
      </c>
      <c r="I557">
        <v>756</v>
      </c>
      <c r="J557">
        <v>1002</v>
      </c>
      <c r="K557">
        <v>620</v>
      </c>
      <c r="L557">
        <v>290</v>
      </c>
      <c r="M557">
        <v>1756</v>
      </c>
      <c r="N557">
        <v>160</v>
      </c>
      <c r="O557">
        <v>932</v>
      </c>
      <c r="P557" s="1">
        <v>43678</v>
      </c>
      <c r="Q557">
        <v>244</v>
      </c>
    </row>
    <row r="558" spans="1:17" x14ac:dyDescent="0.25">
      <c r="A558" s="1">
        <v>43922</v>
      </c>
      <c r="B558" t="s">
        <v>170</v>
      </c>
      <c r="C558" t="s">
        <v>100</v>
      </c>
      <c r="D558" t="s">
        <v>82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 s="1">
        <v>44228</v>
      </c>
      <c r="Q558">
        <v>-306</v>
      </c>
    </row>
    <row r="559" spans="1:17" x14ac:dyDescent="0.25">
      <c r="A559" s="1">
        <v>43922</v>
      </c>
      <c r="B559" t="s">
        <v>171</v>
      </c>
      <c r="C559" t="s">
        <v>101</v>
      </c>
      <c r="D559" t="s">
        <v>68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 s="1">
        <v>44317</v>
      </c>
      <c r="Q559">
        <v>-395</v>
      </c>
    </row>
    <row r="560" spans="1:17" x14ac:dyDescent="0.25">
      <c r="A560" s="1">
        <v>43952</v>
      </c>
      <c r="B560" t="s">
        <v>172</v>
      </c>
      <c r="C560" t="s">
        <v>102</v>
      </c>
      <c r="D560" t="s">
        <v>88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 s="1">
        <v>44044</v>
      </c>
      <c r="Q560">
        <v>-92</v>
      </c>
    </row>
    <row r="561" spans="1:17" x14ac:dyDescent="0.25">
      <c r="A561" s="1">
        <v>43952</v>
      </c>
      <c r="B561" t="s">
        <v>173</v>
      </c>
      <c r="C561" t="s">
        <v>103</v>
      </c>
      <c r="D561" t="s">
        <v>52</v>
      </c>
      <c r="E561">
        <v>872</v>
      </c>
      <c r="F561">
        <v>667</v>
      </c>
      <c r="G561">
        <v>216</v>
      </c>
      <c r="H561">
        <v>1534</v>
      </c>
      <c r="I561">
        <v>3134</v>
      </c>
      <c r="J561">
        <v>888</v>
      </c>
      <c r="K561">
        <v>1917</v>
      </c>
      <c r="L561">
        <v>3995</v>
      </c>
      <c r="M561">
        <v>607</v>
      </c>
      <c r="N561">
        <v>2293</v>
      </c>
      <c r="O561">
        <v>893</v>
      </c>
      <c r="P561" s="1">
        <v>43862</v>
      </c>
      <c r="Q561">
        <v>90</v>
      </c>
    </row>
    <row r="562" spans="1:17" x14ac:dyDescent="0.25">
      <c r="A562" s="1">
        <v>43952</v>
      </c>
      <c r="B562" t="s">
        <v>174</v>
      </c>
      <c r="C562" t="s">
        <v>105</v>
      </c>
      <c r="D562" t="s">
        <v>104</v>
      </c>
      <c r="E562">
        <v>81</v>
      </c>
      <c r="F562">
        <v>137</v>
      </c>
      <c r="G562">
        <v>86</v>
      </c>
      <c r="H562">
        <v>193</v>
      </c>
      <c r="I562">
        <v>375</v>
      </c>
      <c r="J562">
        <v>176</v>
      </c>
      <c r="K562">
        <v>134</v>
      </c>
      <c r="L562">
        <v>107</v>
      </c>
      <c r="M562">
        <v>425</v>
      </c>
      <c r="N562">
        <v>646</v>
      </c>
      <c r="O562">
        <v>486</v>
      </c>
      <c r="P562" s="1">
        <v>43374</v>
      </c>
      <c r="Q562">
        <v>578</v>
      </c>
    </row>
    <row r="563" spans="1:17" x14ac:dyDescent="0.25">
      <c r="A563" s="1">
        <v>43952</v>
      </c>
      <c r="B563" t="s">
        <v>142</v>
      </c>
      <c r="C563" t="s">
        <v>50</v>
      </c>
      <c r="D563" t="s">
        <v>49</v>
      </c>
      <c r="E563">
        <v>753</v>
      </c>
      <c r="F563">
        <v>77</v>
      </c>
      <c r="G563">
        <v>357</v>
      </c>
      <c r="H563">
        <v>522</v>
      </c>
      <c r="I563">
        <v>923</v>
      </c>
      <c r="J563">
        <v>1532</v>
      </c>
      <c r="K563">
        <v>406</v>
      </c>
      <c r="L563">
        <v>971</v>
      </c>
      <c r="M563">
        <v>1431</v>
      </c>
      <c r="N563">
        <v>968</v>
      </c>
      <c r="O563">
        <v>564</v>
      </c>
      <c r="P563" s="1">
        <v>43709</v>
      </c>
      <c r="Q563">
        <v>243</v>
      </c>
    </row>
    <row r="564" spans="1:17" x14ac:dyDescent="0.25">
      <c r="A564" s="1">
        <v>43952</v>
      </c>
      <c r="B564" t="s">
        <v>143</v>
      </c>
      <c r="C564" t="s">
        <v>53</v>
      </c>
      <c r="D564" t="s">
        <v>52</v>
      </c>
      <c r="E564">
        <v>1199</v>
      </c>
      <c r="F564">
        <v>1381</v>
      </c>
      <c r="G564">
        <v>622</v>
      </c>
      <c r="H564">
        <v>3921</v>
      </c>
      <c r="I564">
        <v>4895</v>
      </c>
      <c r="J564">
        <v>912</v>
      </c>
      <c r="K564">
        <v>926</v>
      </c>
      <c r="L564">
        <v>4807</v>
      </c>
      <c r="M564">
        <v>784</v>
      </c>
      <c r="N564">
        <v>2736</v>
      </c>
      <c r="O564">
        <v>2026</v>
      </c>
      <c r="P564" s="1">
        <v>43862</v>
      </c>
      <c r="Q564">
        <v>90</v>
      </c>
    </row>
    <row r="565" spans="1:17" x14ac:dyDescent="0.25">
      <c r="A565" s="1">
        <v>43952</v>
      </c>
      <c r="B565" t="s">
        <v>144</v>
      </c>
      <c r="C565" t="s">
        <v>56</v>
      </c>
      <c r="D565" t="s">
        <v>55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 s="1">
        <v>44256</v>
      </c>
      <c r="Q565">
        <v>-304</v>
      </c>
    </row>
    <row r="566" spans="1:17" x14ac:dyDescent="0.25">
      <c r="A566" s="1">
        <v>43952</v>
      </c>
      <c r="B566" t="s">
        <v>145</v>
      </c>
      <c r="C566" t="s">
        <v>59</v>
      </c>
      <c r="D566" t="s">
        <v>58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 s="1">
        <v>44287</v>
      </c>
      <c r="Q566">
        <v>-335</v>
      </c>
    </row>
    <row r="567" spans="1:17" x14ac:dyDescent="0.25">
      <c r="A567" s="1">
        <v>43952</v>
      </c>
      <c r="B567" t="s">
        <v>146</v>
      </c>
      <c r="C567" t="s">
        <v>62</v>
      </c>
      <c r="D567" t="s">
        <v>61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 s="1">
        <v>44075</v>
      </c>
      <c r="Q567">
        <v>-123</v>
      </c>
    </row>
    <row r="568" spans="1:17" x14ac:dyDescent="0.25">
      <c r="A568" s="1">
        <v>43952</v>
      </c>
      <c r="B568" t="s">
        <v>147</v>
      </c>
      <c r="C568" t="s">
        <v>64</v>
      </c>
      <c r="D568" t="s">
        <v>52</v>
      </c>
      <c r="E568">
        <v>490</v>
      </c>
      <c r="F568">
        <v>955</v>
      </c>
      <c r="G568">
        <v>995</v>
      </c>
      <c r="H568">
        <v>604</v>
      </c>
      <c r="I568">
        <v>511</v>
      </c>
      <c r="J568">
        <v>798</v>
      </c>
      <c r="K568">
        <v>235</v>
      </c>
      <c r="L568">
        <v>450</v>
      </c>
      <c r="M568">
        <v>1009</v>
      </c>
      <c r="N568">
        <v>1087</v>
      </c>
      <c r="O568">
        <v>302</v>
      </c>
      <c r="P568" s="1">
        <v>43862</v>
      </c>
      <c r="Q568">
        <v>90</v>
      </c>
    </row>
    <row r="569" spans="1:17" x14ac:dyDescent="0.25">
      <c r="A569" s="1">
        <v>43952</v>
      </c>
      <c r="B569" t="s">
        <v>148</v>
      </c>
      <c r="C569" t="s">
        <v>66</v>
      </c>
      <c r="D569" t="s">
        <v>55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 s="1">
        <v>44256</v>
      </c>
      <c r="Q569">
        <v>-304</v>
      </c>
    </row>
    <row r="570" spans="1:17" x14ac:dyDescent="0.25">
      <c r="A570" s="1">
        <v>43952</v>
      </c>
      <c r="B570" t="s">
        <v>149</v>
      </c>
      <c r="C570" t="s">
        <v>67</v>
      </c>
      <c r="D570" t="s">
        <v>55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 s="1">
        <v>44256</v>
      </c>
      <c r="Q570">
        <v>-304</v>
      </c>
    </row>
    <row r="571" spans="1:17" x14ac:dyDescent="0.25">
      <c r="A571" s="1">
        <v>43952</v>
      </c>
      <c r="B571" t="s">
        <v>150</v>
      </c>
      <c r="C571" t="s">
        <v>69</v>
      </c>
      <c r="D571" t="s">
        <v>68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 s="1">
        <v>44317</v>
      </c>
      <c r="Q571">
        <v>-365</v>
      </c>
    </row>
    <row r="572" spans="1:17" x14ac:dyDescent="0.25">
      <c r="A572" s="1">
        <v>43952</v>
      </c>
      <c r="B572" t="s">
        <v>151</v>
      </c>
      <c r="C572" t="s">
        <v>71</v>
      </c>
      <c r="D572" t="s">
        <v>70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 s="1">
        <v>44136</v>
      </c>
      <c r="Q572">
        <v>-184</v>
      </c>
    </row>
    <row r="573" spans="1:17" x14ac:dyDescent="0.25">
      <c r="A573" s="1">
        <v>43952</v>
      </c>
      <c r="B573" t="s">
        <v>152</v>
      </c>
      <c r="C573" t="s">
        <v>11</v>
      </c>
      <c r="D573" t="s">
        <v>52</v>
      </c>
      <c r="E573">
        <v>407</v>
      </c>
      <c r="F573">
        <v>914</v>
      </c>
      <c r="G573">
        <v>1116</v>
      </c>
      <c r="H573">
        <v>1204</v>
      </c>
      <c r="I573">
        <v>855</v>
      </c>
      <c r="J573">
        <v>572</v>
      </c>
      <c r="K573">
        <v>1090</v>
      </c>
      <c r="L573">
        <v>459</v>
      </c>
      <c r="M573">
        <v>281</v>
      </c>
      <c r="N573">
        <v>917</v>
      </c>
      <c r="O573">
        <v>860</v>
      </c>
      <c r="P573" s="1">
        <v>43862</v>
      </c>
      <c r="Q573">
        <v>90</v>
      </c>
    </row>
    <row r="574" spans="1:17" x14ac:dyDescent="0.25">
      <c r="A574" s="1">
        <v>43952</v>
      </c>
      <c r="B574" t="s">
        <v>153</v>
      </c>
      <c r="C574" t="s">
        <v>73</v>
      </c>
      <c r="D574" t="s">
        <v>72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 s="1">
        <v>44440</v>
      </c>
      <c r="Q574">
        <v>-488</v>
      </c>
    </row>
    <row r="575" spans="1:17" x14ac:dyDescent="0.25">
      <c r="A575" s="1">
        <v>43952</v>
      </c>
      <c r="B575" t="s">
        <v>154</v>
      </c>
      <c r="C575" t="s">
        <v>17</v>
      </c>
      <c r="D575" t="s">
        <v>74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 s="1">
        <v>44197</v>
      </c>
      <c r="Q575">
        <v>-245</v>
      </c>
    </row>
    <row r="576" spans="1:17" x14ac:dyDescent="0.25">
      <c r="A576" s="1">
        <v>43952</v>
      </c>
      <c r="B576" t="s">
        <v>155</v>
      </c>
      <c r="C576" t="s">
        <v>76</v>
      </c>
      <c r="D576" t="s">
        <v>75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 s="1">
        <v>44470</v>
      </c>
      <c r="Q576">
        <v>-518</v>
      </c>
    </row>
    <row r="577" spans="1:17" x14ac:dyDescent="0.25">
      <c r="A577" s="1">
        <v>43952</v>
      </c>
      <c r="B577" t="s">
        <v>156</v>
      </c>
      <c r="C577" t="s">
        <v>79</v>
      </c>
      <c r="D577" t="s">
        <v>78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 s="1">
        <v>44348</v>
      </c>
      <c r="Q577">
        <v>-396</v>
      </c>
    </row>
    <row r="578" spans="1:17" x14ac:dyDescent="0.25">
      <c r="A578" s="1">
        <v>43952</v>
      </c>
      <c r="B578" t="s">
        <v>157</v>
      </c>
      <c r="C578" t="s">
        <v>81</v>
      </c>
      <c r="D578" t="s">
        <v>72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 s="1">
        <v>44440</v>
      </c>
      <c r="Q578">
        <v>-488</v>
      </c>
    </row>
    <row r="579" spans="1:17" x14ac:dyDescent="0.25">
      <c r="A579" s="1">
        <v>43952</v>
      </c>
      <c r="B579" t="s">
        <v>158</v>
      </c>
      <c r="C579" t="s">
        <v>83</v>
      </c>
      <c r="D579" t="s">
        <v>82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 s="1">
        <v>44228</v>
      </c>
      <c r="Q579">
        <v>-276</v>
      </c>
    </row>
    <row r="580" spans="1:17" x14ac:dyDescent="0.25">
      <c r="A580" s="1">
        <v>43952</v>
      </c>
      <c r="B580" t="s">
        <v>159</v>
      </c>
      <c r="C580" t="s">
        <v>84</v>
      </c>
      <c r="D580" t="s">
        <v>55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 s="1">
        <v>44256</v>
      </c>
      <c r="Q580">
        <v>-304</v>
      </c>
    </row>
    <row r="581" spans="1:17" x14ac:dyDescent="0.25">
      <c r="A581" s="1">
        <v>43952</v>
      </c>
      <c r="B581" t="s">
        <v>160</v>
      </c>
      <c r="C581" t="s">
        <v>86</v>
      </c>
      <c r="D581" t="s">
        <v>68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 s="1">
        <v>44317</v>
      </c>
      <c r="Q581">
        <v>-365</v>
      </c>
    </row>
    <row r="582" spans="1:17" x14ac:dyDescent="0.25">
      <c r="A582" s="1">
        <v>43952</v>
      </c>
      <c r="B582" t="s">
        <v>161</v>
      </c>
      <c r="C582" t="s">
        <v>87</v>
      </c>
      <c r="D582" t="s">
        <v>72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 s="1">
        <v>44440</v>
      </c>
      <c r="Q582">
        <v>-488</v>
      </c>
    </row>
    <row r="583" spans="1:17" x14ac:dyDescent="0.25">
      <c r="A583" s="1">
        <v>43952</v>
      </c>
      <c r="B583" t="s">
        <v>162</v>
      </c>
      <c r="C583" t="s">
        <v>89</v>
      </c>
      <c r="D583" t="s">
        <v>88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 s="1">
        <v>44044</v>
      </c>
      <c r="Q583">
        <v>-92</v>
      </c>
    </row>
    <row r="584" spans="1:17" x14ac:dyDescent="0.25">
      <c r="A584" s="1">
        <v>43952</v>
      </c>
      <c r="B584" t="s">
        <v>163</v>
      </c>
      <c r="C584" t="s">
        <v>90</v>
      </c>
      <c r="D584" t="s">
        <v>82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 s="1">
        <v>44228</v>
      </c>
      <c r="Q584">
        <v>-276</v>
      </c>
    </row>
    <row r="585" spans="1:17" x14ac:dyDescent="0.25">
      <c r="A585" s="1">
        <v>43952</v>
      </c>
      <c r="B585" t="s">
        <v>164</v>
      </c>
      <c r="C585" t="s">
        <v>92</v>
      </c>
      <c r="D585" t="s">
        <v>91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 s="1">
        <v>44105</v>
      </c>
      <c r="Q585">
        <v>-153</v>
      </c>
    </row>
    <row r="586" spans="1:17" x14ac:dyDescent="0.25">
      <c r="A586" s="1">
        <v>43952</v>
      </c>
      <c r="B586" t="s">
        <v>165</v>
      </c>
      <c r="C586" t="s">
        <v>94</v>
      </c>
      <c r="D586" t="s">
        <v>93</v>
      </c>
      <c r="E586">
        <v>179</v>
      </c>
      <c r="F586">
        <v>-21</v>
      </c>
      <c r="G586">
        <v>273</v>
      </c>
      <c r="H586">
        <v>957</v>
      </c>
      <c r="I586">
        <v>82</v>
      </c>
      <c r="J586">
        <v>28</v>
      </c>
      <c r="K586">
        <v>296</v>
      </c>
      <c r="L586">
        <v>721</v>
      </c>
      <c r="M586">
        <v>171</v>
      </c>
      <c r="N586">
        <v>574</v>
      </c>
      <c r="O586">
        <v>87</v>
      </c>
      <c r="P586" s="1">
        <v>43586</v>
      </c>
      <c r="Q586">
        <v>366</v>
      </c>
    </row>
    <row r="587" spans="1:17" x14ac:dyDescent="0.25">
      <c r="A587" s="1">
        <v>43952</v>
      </c>
      <c r="B587" t="s">
        <v>166</v>
      </c>
      <c r="C587" t="s">
        <v>96</v>
      </c>
      <c r="D587" t="s">
        <v>95</v>
      </c>
      <c r="E587">
        <v>99</v>
      </c>
      <c r="F587">
        <v>51</v>
      </c>
      <c r="G587">
        <v>356</v>
      </c>
      <c r="H587">
        <v>49</v>
      </c>
      <c r="I587">
        <v>306</v>
      </c>
      <c r="J587">
        <v>94</v>
      </c>
      <c r="K587">
        <v>-605</v>
      </c>
      <c r="L587">
        <v>330</v>
      </c>
      <c r="M587">
        <v>519</v>
      </c>
      <c r="N587">
        <v>106</v>
      </c>
      <c r="O587">
        <v>581</v>
      </c>
      <c r="P587" s="1">
        <v>43678</v>
      </c>
      <c r="Q587">
        <v>274</v>
      </c>
    </row>
    <row r="588" spans="1:17" x14ac:dyDescent="0.25">
      <c r="A588" s="1">
        <v>43952</v>
      </c>
      <c r="B588" t="s">
        <v>167</v>
      </c>
      <c r="C588" t="s">
        <v>97</v>
      </c>
      <c r="D588" t="s">
        <v>58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 s="1">
        <v>44287</v>
      </c>
      <c r="Q588">
        <v>-335</v>
      </c>
    </row>
    <row r="589" spans="1:17" x14ac:dyDescent="0.25">
      <c r="A589" s="1">
        <v>43952</v>
      </c>
      <c r="B589" t="s">
        <v>168</v>
      </c>
      <c r="C589" t="s">
        <v>98</v>
      </c>
      <c r="D589" t="s">
        <v>49</v>
      </c>
      <c r="E589">
        <v>528</v>
      </c>
      <c r="F589">
        <v>300</v>
      </c>
      <c r="G589">
        <v>51</v>
      </c>
      <c r="H589">
        <v>268</v>
      </c>
      <c r="I589">
        <v>44</v>
      </c>
      <c r="J589">
        <v>251</v>
      </c>
      <c r="K589">
        <v>356</v>
      </c>
      <c r="L589">
        <v>1164</v>
      </c>
      <c r="M589">
        <v>544</v>
      </c>
      <c r="N589">
        <v>721</v>
      </c>
      <c r="O589">
        <v>180</v>
      </c>
      <c r="P589" s="1">
        <v>43709</v>
      </c>
      <c r="Q589">
        <v>243</v>
      </c>
    </row>
    <row r="590" spans="1:17" x14ac:dyDescent="0.25">
      <c r="A590" s="1">
        <v>43952</v>
      </c>
      <c r="B590" t="s">
        <v>169</v>
      </c>
      <c r="C590" t="s">
        <v>99</v>
      </c>
      <c r="D590" t="s">
        <v>95</v>
      </c>
      <c r="E590">
        <v>203</v>
      </c>
      <c r="F590">
        <v>1014</v>
      </c>
      <c r="G590">
        <v>213</v>
      </c>
      <c r="H590">
        <v>431</v>
      </c>
      <c r="I590">
        <v>907</v>
      </c>
      <c r="J590">
        <v>1078</v>
      </c>
      <c r="K590">
        <v>1072</v>
      </c>
      <c r="L590">
        <v>338</v>
      </c>
      <c r="M590">
        <v>985</v>
      </c>
      <c r="N590">
        <v>280</v>
      </c>
      <c r="O590">
        <v>955</v>
      </c>
      <c r="P590" s="1">
        <v>43678</v>
      </c>
      <c r="Q590">
        <v>274</v>
      </c>
    </row>
    <row r="591" spans="1:17" x14ac:dyDescent="0.25">
      <c r="A591" s="1">
        <v>43952</v>
      </c>
      <c r="B591" t="s">
        <v>170</v>
      </c>
      <c r="C591" t="s">
        <v>100</v>
      </c>
      <c r="D591" t="s">
        <v>82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 s="1">
        <v>44228</v>
      </c>
      <c r="Q591">
        <v>-276</v>
      </c>
    </row>
    <row r="592" spans="1:17" x14ac:dyDescent="0.25">
      <c r="A592" s="1">
        <v>43952</v>
      </c>
      <c r="B592" t="s">
        <v>171</v>
      </c>
      <c r="C592" t="s">
        <v>101</v>
      </c>
      <c r="D592" t="s">
        <v>68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 s="1">
        <v>44317</v>
      </c>
      <c r="Q592">
        <v>-365</v>
      </c>
    </row>
    <row r="593" spans="1:17" x14ac:dyDescent="0.25">
      <c r="A593" s="1">
        <v>43952</v>
      </c>
      <c r="B593" t="s">
        <v>172</v>
      </c>
      <c r="C593" t="s">
        <v>102</v>
      </c>
      <c r="D593" t="s">
        <v>88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 s="1">
        <v>44044</v>
      </c>
      <c r="Q593">
        <v>-92</v>
      </c>
    </row>
    <row r="594" spans="1:17" x14ac:dyDescent="0.25">
      <c r="A594" s="1">
        <v>43952</v>
      </c>
      <c r="B594" t="s">
        <v>173</v>
      </c>
      <c r="C594" t="s">
        <v>103</v>
      </c>
      <c r="D594" t="s">
        <v>52</v>
      </c>
      <c r="E594">
        <v>678</v>
      </c>
      <c r="F594">
        <v>1167</v>
      </c>
      <c r="G594">
        <v>731</v>
      </c>
      <c r="H594">
        <v>1745</v>
      </c>
      <c r="I594">
        <v>2557</v>
      </c>
      <c r="J594">
        <v>612</v>
      </c>
      <c r="K594">
        <v>1459</v>
      </c>
      <c r="L594">
        <v>106</v>
      </c>
      <c r="M594">
        <v>706</v>
      </c>
      <c r="N594">
        <v>3747</v>
      </c>
      <c r="O594">
        <v>1007</v>
      </c>
      <c r="P594" s="1">
        <v>43862</v>
      </c>
      <c r="Q594">
        <v>90</v>
      </c>
    </row>
    <row r="595" spans="1:17" x14ac:dyDescent="0.25">
      <c r="A595" s="1">
        <v>43983</v>
      </c>
      <c r="B595" t="s">
        <v>174</v>
      </c>
      <c r="C595" t="s">
        <v>105</v>
      </c>
      <c r="D595" t="s">
        <v>104</v>
      </c>
      <c r="E595">
        <v>107</v>
      </c>
      <c r="F595">
        <v>97</v>
      </c>
      <c r="G595">
        <v>131</v>
      </c>
      <c r="H595">
        <v>504</v>
      </c>
      <c r="I595">
        <v>336</v>
      </c>
      <c r="J595">
        <v>58</v>
      </c>
      <c r="K595">
        <v>108</v>
      </c>
      <c r="L595">
        <v>39</v>
      </c>
      <c r="M595">
        <v>47</v>
      </c>
      <c r="N595">
        <v>12</v>
      </c>
      <c r="O595">
        <v>184</v>
      </c>
      <c r="P595" s="1">
        <v>43374</v>
      </c>
      <c r="Q595">
        <v>609</v>
      </c>
    </row>
    <row r="596" spans="1:17" x14ac:dyDescent="0.25">
      <c r="A596" s="1">
        <v>43983</v>
      </c>
      <c r="B596" t="s">
        <v>142</v>
      </c>
      <c r="C596" t="s">
        <v>50</v>
      </c>
      <c r="D596" t="s">
        <v>49</v>
      </c>
      <c r="E596">
        <v>470</v>
      </c>
      <c r="F596">
        <v>661</v>
      </c>
      <c r="G596">
        <v>296</v>
      </c>
      <c r="H596">
        <v>972</v>
      </c>
      <c r="I596">
        <v>1077</v>
      </c>
      <c r="J596">
        <v>1265</v>
      </c>
      <c r="K596">
        <v>268</v>
      </c>
      <c r="L596">
        <v>1739</v>
      </c>
      <c r="M596">
        <v>865</v>
      </c>
      <c r="N596">
        <v>1147</v>
      </c>
      <c r="O596">
        <v>1241</v>
      </c>
      <c r="P596" s="1">
        <v>43709</v>
      </c>
      <c r="Q596">
        <v>274</v>
      </c>
    </row>
    <row r="597" spans="1:17" x14ac:dyDescent="0.25">
      <c r="A597" s="1">
        <v>43983</v>
      </c>
      <c r="B597" t="s">
        <v>143</v>
      </c>
      <c r="C597" t="s">
        <v>53</v>
      </c>
      <c r="D597" t="s">
        <v>52</v>
      </c>
      <c r="E597">
        <v>1208</v>
      </c>
      <c r="F597">
        <v>3311</v>
      </c>
      <c r="G597">
        <v>230</v>
      </c>
      <c r="H597">
        <v>3407</v>
      </c>
      <c r="I597">
        <v>1933</v>
      </c>
      <c r="J597">
        <v>792</v>
      </c>
      <c r="K597">
        <v>620</v>
      </c>
      <c r="L597">
        <v>443</v>
      </c>
      <c r="M597">
        <v>1801</v>
      </c>
      <c r="N597">
        <v>1111</v>
      </c>
      <c r="O597">
        <v>3111</v>
      </c>
      <c r="P597" s="1">
        <v>43862</v>
      </c>
      <c r="Q597">
        <v>121</v>
      </c>
    </row>
    <row r="598" spans="1:17" x14ac:dyDescent="0.25">
      <c r="A598" s="1">
        <v>43983</v>
      </c>
      <c r="B598" t="s">
        <v>144</v>
      </c>
      <c r="C598" t="s">
        <v>56</v>
      </c>
      <c r="D598" t="s">
        <v>55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 s="1">
        <v>44256</v>
      </c>
      <c r="Q598">
        <v>-273</v>
      </c>
    </row>
    <row r="599" spans="1:17" x14ac:dyDescent="0.25">
      <c r="A599" s="1">
        <v>43983</v>
      </c>
      <c r="B599" t="s">
        <v>145</v>
      </c>
      <c r="C599" t="s">
        <v>59</v>
      </c>
      <c r="D599" t="s">
        <v>58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 s="1">
        <v>44287</v>
      </c>
      <c r="Q599">
        <v>-304</v>
      </c>
    </row>
    <row r="600" spans="1:17" x14ac:dyDescent="0.25">
      <c r="A600" s="1">
        <v>43983</v>
      </c>
      <c r="B600" t="s">
        <v>146</v>
      </c>
      <c r="C600" t="s">
        <v>62</v>
      </c>
      <c r="D600" t="s">
        <v>61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 s="1">
        <v>44075</v>
      </c>
      <c r="Q600">
        <v>-92</v>
      </c>
    </row>
    <row r="601" spans="1:17" x14ac:dyDescent="0.25">
      <c r="A601" s="1">
        <v>43983</v>
      </c>
      <c r="B601" t="s">
        <v>147</v>
      </c>
      <c r="C601" t="s">
        <v>64</v>
      </c>
      <c r="D601" t="s">
        <v>52</v>
      </c>
      <c r="E601">
        <v>2516</v>
      </c>
      <c r="F601">
        <v>2136</v>
      </c>
      <c r="G601">
        <v>664</v>
      </c>
      <c r="H601">
        <v>872</v>
      </c>
      <c r="I601">
        <v>914</v>
      </c>
      <c r="J601">
        <v>413</v>
      </c>
      <c r="K601">
        <v>73</v>
      </c>
      <c r="L601">
        <v>125</v>
      </c>
      <c r="M601">
        <v>397</v>
      </c>
      <c r="N601">
        <v>574</v>
      </c>
      <c r="O601">
        <v>847</v>
      </c>
      <c r="P601" s="1">
        <v>43862</v>
      </c>
      <c r="Q601">
        <v>121</v>
      </c>
    </row>
    <row r="602" spans="1:17" x14ac:dyDescent="0.25">
      <c r="A602" s="1">
        <v>43983</v>
      </c>
      <c r="B602" t="s">
        <v>148</v>
      </c>
      <c r="C602" t="s">
        <v>66</v>
      </c>
      <c r="D602" t="s">
        <v>55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 s="1">
        <v>44256</v>
      </c>
      <c r="Q602">
        <v>-273</v>
      </c>
    </row>
    <row r="603" spans="1:17" x14ac:dyDescent="0.25">
      <c r="A603" s="1">
        <v>43983</v>
      </c>
      <c r="B603" t="s">
        <v>149</v>
      </c>
      <c r="C603" t="s">
        <v>67</v>
      </c>
      <c r="D603" t="s">
        <v>55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 s="1">
        <v>44256</v>
      </c>
      <c r="Q603">
        <v>-273</v>
      </c>
    </row>
    <row r="604" spans="1:17" x14ac:dyDescent="0.25">
      <c r="A604" s="1">
        <v>43983</v>
      </c>
      <c r="B604" t="s">
        <v>150</v>
      </c>
      <c r="C604" t="s">
        <v>69</v>
      </c>
      <c r="D604" t="s">
        <v>68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 s="1">
        <v>44317</v>
      </c>
      <c r="Q604">
        <v>-334</v>
      </c>
    </row>
    <row r="605" spans="1:17" x14ac:dyDescent="0.25">
      <c r="A605" s="1">
        <v>43983</v>
      </c>
      <c r="B605" t="s">
        <v>151</v>
      </c>
      <c r="C605" t="s">
        <v>71</v>
      </c>
      <c r="D605" t="s">
        <v>70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 s="1">
        <v>44136</v>
      </c>
      <c r="Q605">
        <v>-153</v>
      </c>
    </row>
    <row r="606" spans="1:17" x14ac:dyDescent="0.25">
      <c r="A606" s="1">
        <v>43983</v>
      </c>
      <c r="B606" t="s">
        <v>152</v>
      </c>
      <c r="C606" t="s">
        <v>11</v>
      </c>
      <c r="D606" t="s">
        <v>52</v>
      </c>
      <c r="E606">
        <v>412</v>
      </c>
      <c r="F606">
        <v>135</v>
      </c>
      <c r="G606">
        <v>478</v>
      </c>
      <c r="H606">
        <v>687</v>
      </c>
      <c r="I606">
        <v>-299</v>
      </c>
      <c r="J606">
        <v>626</v>
      </c>
      <c r="K606">
        <v>599</v>
      </c>
      <c r="L606">
        <v>573</v>
      </c>
      <c r="M606">
        <v>53</v>
      </c>
      <c r="N606">
        <v>573</v>
      </c>
      <c r="O606">
        <v>811</v>
      </c>
      <c r="P606" s="1">
        <v>43862</v>
      </c>
      <c r="Q606">
        <v>121</v>
      </c>
    </row>
    <row r="607" spans="1:17" x14ac:dyDescent="0.25">
      <c r="A607" s="1">
        <v>43983</v>
      </c>
      <c r="B607" t="s">
        <v>153</v>
      </c>
      <c r="C607" t="s">
        <v>73</v>
      </c>
      <c r="D607" t="s">
        <v>72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 s="1">
        <v>44440</v>
      </c>
      <c r="Q607">
        <v>-457</v>
      </c>
    </row>
    <row r="608" spans="1:17" x14ac:dyDescent="0.25">
      <c r="A608" s="1">
        <v>43983</v>
      </c>
      <c r="B608" t="s">
        <v>154</v>
      </c>
      <c r="C608" t="s">
        <v>17</v>
      </c>
      <c r="D608" t="s">
        <v>74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 s="1">
        <v>44197</v>
      </c>
      <c r="Q608">
        <v>-214</v>
      </c>
    </row>
    <row r="609" spans="1:17" x14ac:dyDescent="0.25">
      <c r="A609" s="1">
        <v>43983</v>
      </c>
      <c r="B609" t="s">
        <v>155</v>
      </c>
      <c r="C609" t="s">
        <v>76</v>
      </c>
      <c r="D609" t="s">
        <v>75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 s="1">
        <v>44470</v>
      </c>
      <c r="Q609">
        <v>-487</v>
      </c>
    </row>
    <row r="610" spans="1:17" x14ac:dyDescent="0.25">
      <c r="A610" s="1">
        <v>43983</v>
      </c>
      <c r="B610" t="s">
        <v>156</v>
      </c>
      <c r="C610" t="s">
        <v>79</v>
      </c>
      <c r="D610" t="s">
        <v>78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 s="1">
        <v>44348</v>
      </c>
      <c r="Q610">
        <v>-365</v>
      </c>
    </row>
    <row r="611" spans="1:17" x14ac:dyDescent="0.25">
      <c r="A611" s="1">
        <v>43983</v>
      </c>
      <c r="B611" t="s">
        <v>157</v>
      </c>
      <c r="C611" t="s">
        <v>81</v>
      </c>
      <c r="D611" t="s">
        <v>72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 s="1">
        <v>44440</v>
      </c>
      <c r="Q611">
        <v>-457</v>
      </c>
    </row>
    <row r="612" spans="1:17" x14ac:dyDescent="0.25">
      <c r="A612" s="1">
        <v>43983</v>
      </c>
      <c r="B612" t="s">
        <v>158</v>
      </c>
      <c r="C612" t="s">
        <v>83</v>
      </c>
      <c r="D612" t="s">
        <v>82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 s="1">
        <v>44228</v>
      </c>
      <c r="Q612">
        <v>-245</v>
      </c>
    </row>
    <row r="613" spans="1:17" x14ac:dyDescent="0.25">
      <c r="A613" s="1">
        <v>43983</v>
      </c>
      <c r="B613" t="s">
        <v>159</v>
      </c>
      <c r="C613" t="s">
        <v>84</v>
      </c>
      <c r="D613" t="s">
        <v>55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 s="1">
        <v>44256</v>
      </c>
      <c r="Q613">
        <v>-273</v>
      </c>
    </row>
    <row r="614" spans="1:17" x14ac:dyDescent="0.25">
      <c r="A614" s="1">
        <v>43983</v>
      </c>
      <c r="B614" t="s">
        <v>160</v>
      </c>
      <c r="C614" t="s">
        <v>86</v>
      </c>
      <c r="D614" t="s">
        <v>68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 s="1">
        <v>44317</v>
      </c>
      <c r="Q614">
        <v>-334</v>
      </c>
    </row>
    <row r="615" spans="1:17" x14ac:dyDescent="0.25">
      <c r="A615" s="1">
        <v>43983</v>
      </c>
      <c r="B615" t="s">
        <v>161</v>
      </c>
      <c r="C615" t="s">
        <v>87</v>
      </c>
      <c r="D615" t="s">
        <v>72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 s="1">
        <v>44440</v>
      </c>
      <c r="Q615">
        <v>-457</v>
      </c>
    </row>
    <row r="616" spans="1:17" x14ac:dyDescent="0.25">
      <c r="A616" s="1">
        <v>43983</v>
      </c>
      <c r="B616" t="s">
        <v>162</v>
      </c>
      <c r="C616" t="s">
        <v>89</v>
      </c>
      <c r="D616" t="s">
        <v>88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 s="1">
        <v>44044</v>
      </c>
      <c r="Q616">
        <v>-61</v>
      </c>
    </row>
    <row r="617" spans="1:17" x14ac:dyDescent="0.25">
      <c r="A617" s="1">
        <v>43983</v>
      </c>
      <c r="B617" t="s">
        <v>163</v>
      </c>
      <c r="C617" t="s">
        <v>90</v>
      </c>
      <c r="D617" t="s">
        <v>82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 s="1">
        <v>44228</v>
      </c>
      <c r="Q617">
        <v>-245</v>
      </c>
    </row>
    <row r="618" spans="1:17" x14ac:dyDescent="0.25">
      <c r="A618" s="1">
        <v>43983</v>
      </c>
      <c r="B618" t="s">
        <v>164</v>
      </c>
      <c r="C618" t="s">
        <v>92</v>
      </c>
      <c r="D618" t="s">
        <v>91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 s="1">
        <v>44105</v>
      </c>
      <c r="Q618">
        <v>-122</v>
      </c>
    </row>
    <row r="619" spans="1:17" x14ac:dyDescent="0.25">
      <c r="A619" s="1">
        <v>43983</v>
      </c>
      <c r="B619" t="s">
        <v>165</v>
      </c>
      <c r="C619" t="s">
        <v>94</v>
      </c>
      <c r="D619" t="s">
        <v>93</v>
      </c>
      <c r="E619">
        <v>733</v>
      </c>
      <c r="F619">
        <v>63</v>
      </c>
      <c r="G619">
        <v>212</v>
      </c>
      <c r="H619">
        <v>333</v>
      </c>
      <c r="I619">
        <v>277</v>
      </c>
      <c r="J619">
        <v>104</v>
      </c>
      <c r="K619">
        <v>71</v>
      </c>
      <c r="L619">
        <v>408</v>
      </c>
      <c r="M619">
        <v>127</v>
      </c>
      <c r="N619">
        <v>519</v>
      </c>
      <c r="O619">
        <v>875</v>
      </c>
      <c r="P619" s="1">
        <v>43586</v>
      </c>
      <c r="Q619">
        <v>397</v>
      </c>
    </row>
    <row r="620" spans="1:17" x14ac:dyDescent="0.25">
      <c r="A620" s="1">
        <v>43983</v>
      </c>
      <c r="B620" t="s">
        <v>166</v>
      </c>
      <c r="C620" t="s">
        <v>96</v>
      </c>
      <c r="D620" t="s">
        <v>95</v>
      </c>
      <c r="E620">
        <v>175</v>
      </c>
      <c r="F620">
        <v>86</v>
      </c>
      <c r="G620">
        <v>175</v>
      </c>
      <c r="H620">
        <v>1671</v>
      </c>
      <c r="I620">
        <v>-104</v>
      </c>
      <c r="J620">
        <v>136</v>
      </c>
      <c r="K620">
        <v>281</v>
      </c>
      <c r="L620">
        <v>62</v>
      </c>
      <c r="M620">
        <v>1162</v>
      </c>
      <c r="N620">
        <v>204</v>
      </c>
      <c r="O620">
        <v>864</v>
      </c>
      <c r="P620" s="1">
        <v>43678</v>
      </c>
      <c r="Q620">
        <v>305</v>
      </c>
    </row>
    <row r="621" spans="1:17" x14ac:dyDescent="0.25">
      <c r="A621" s="1">
        <v>43983</v>
      </c>
      <c r="B621" t="s">
        <v>167</v>
      </c>
      <c r="C621" t="s">
        <v>97</v>
      </c>
      <c r="D621" t="s">
        <v>58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 s="1">
        <v>44287</v>
      </c>
      <c r="Q621">
        <v>-304</v>
      </c>
    </row>
    <row r="622" spans="1:17" x14ac:dyDescent="0.25">
      <c r="A622" s="1">
        <v>43983</v>
      </c>
      <c r="B622" t="s">
        <v>168</v>
      </c>
      <c r="C622" t="s">
        <v>98</v>
      </c>
      <c r="D622" t="s">
        <v>49</v>
      </c>
      <c r="E622">
        <v>299</v>
      </c>
      <c r="F622">
        <v>79</v>
      </c>
      <c r="G622">
        <v>30</v>
      </c>
      <c r="H622">
        <v>210</v>
      </c>
      <c r="I622">
        <v>441</v>
      </c>
      <c r="J622">
        <v>189</v>
      </c>
      <c r="K622">
        <v>312</v>
      </c>
      <c r="L622">
        <v>1653</v>
      </c>
      <c r="M622">
        <v>358</v>
      </c>
      <c r="N622">
        <v>515</v>
      </c>
      <c r="O622">
        <v>220</v>
      </c>
      <c r="P622" s="1">
        <v>43709</v>
      </c>
      <c r="Q622">
        <v>274</v>
      </c>
    </row>
    <row r="623" spans="1:17" x14ac:dyDescent="0.25">
      <c r="A623" s="1">
        <v>43983</v>
      </c>
      <c r="B623" t="s">
        <v>169</v>
      </c>
      <c r="C623" t="s">
        <v>99</v>
      </c>
      <c r="D623" t="s">
        <v>95</v>
      </c>
      <c r="E623">
        <v>172</v>
      </c>
      <c r="F623">
        <v>492</v>
      </c>
      <c r="G623">
        <v>31</v>
      </c>
      <c r="H623">
        <v>251</v>
      </c>
      <c r="I623">
        <v>569</v>
      </c>
      <c r="J623">
        <v>753</v>
      </c>
      <c r="K623">
        <v>1111</v>
      </c>
      <c r="L623">
        <v>50</v>
      </c>
      <c r="M623">
        <v>536</v>
      </c>
      <c r="N623">
        <v>189</v>
      </c>
      <c r="O623">
        <v>879</v>
      </c>
      <c r="P623" s="1">
        <v>43678</v>
      </c>
      <c r="Q623">
        <v>305</v>
      </c>
    </row>
    <row r="624" spans="1:17" x14ac:dyDescent="0.25">
      <c r="A624" s="1">
        <v>43983</v>
      </c>
      <c r="B624" t="s">
        <v>170</v>
      </c>
      <c r="C624" t="s">
        <v>100</v>
      </c>
      <c r="D624" t="s">
        <v>82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 s="1">
        <v>44228</v>
      </c>
      <c r="Q624">
        <v>-245</v>
      </c>
    </row>
    <row r="625" spans="1:17" x14ac:dyDescent="0.25">
      <c r="A625" s="1">
        <v>43983</v>
      </c>
      <c r="B625" t="s">
        <v>171</v>
      </c>
      <c r="C625" t="s">
        <v>101</v>
      </c>
      <c r="D625" t="s">
        <v>68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 s="1">
        <v>44317</v>
      </c>
      <c r="Q625">
        <v>-334</v>
      </c>
    </row>
    <row r="626" spans="1:17" x14ac:dyDescent="0.25">
      <c r="A626" s="1">
        <v>43983</v>
      </c>
      <c r="B626" t="s">
        <v>172</v>
      </c>
      <c r="C626" t="s">
        <v>102</v>
      </c>
      <c r="D626" t="s">
        <v>88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 s="1">
        <v>44044</v>
      </c>
      <c r="Q626">
        <v>-61</v>
      </c>
    </row>
    <row r="627" spans="1:17" x14ac:dyDescent="0.25">
      <c r="A627" s="1">
        <v>43983</v>
      </c>
      <c r="B627" t="s">
        <v>173</v>
      </c>
      <c r="C627" t="s">
        <v>103</v>
      </c>
      <c r="D627" t="s">
        <v>52</v>
      </c>
      <c r="E627">
        <v>158</v>
      </c>
      <c r="F627">
        <v>415</v>
      </c>
      <c r="G627">
        <v>171</v>
      </c>
      <c r="H627">
        <v>714</v>
      </c>
      <c r="I627">
        <v>1917</v>
      </c>
      <c r="J627">
        <v>41</v>
      </c>
      <c r="K627">
        <v>874</v>
      </c>
      <c r="L627">
        <v>2959</v>
      </c>
      <c r="M627">
        <v>481</v>
      </c>
      <c r="N627">
        <v>1287</v>
      </c>
      <c r="O627">
        <v>575</v>
      </c>
      <c r="P627" s="1">
        <v>43862</v>
      </c>
      <c r="Q627">
        <v>121</v>
      </c>
    </row>
    <row r="628" spans="1:17" x14ac:dyDescent="0.25">
      <c r="A628" s="1">
        <v>43983</v>
      </c>
      <c r="B628" t="s">
        <v>174</v>
      </c>
      <c r="C628" t="s">
        <v>105</v>
      </c>
      <c r="D628" t="s">
        <v>104</v>
      </c>
      <c r="E628">
        <v>69</v>
      </c>
      <c r="F628">
        <v>51</v>
      </c>
      <c r="G628">
        <v>91</v>
      </c>
      <c r="H628">
        <v>331</v>
      </c>
      <c r="I628">
        <v>368</v>
      </c>
      <c r="J628">
        <v>74</v>
      </c>
      <c r="K628">
        <v>85</v>
      </c>
      <c r="L628">
        <v>28</v>
      </c>
      <c r="M628">
        <v>419</v>
      </c>
      <c r="N628">
        <v>-108</v>
      </c>
      <c r="O628">
        <v>433</v>
      </c>
      <c r="P628" s="1">
        <v>43374</v>
      </c>
      <c r="Q628">
        <v>609</v>
      </c>
    </row>
    <row r="629" spans="1:17" x14ac:dyDescent="0.25">
      <c r="A629" s="1">
        <v>43983</v>
      </c>
      <c r="B629" t="s">
        <v>142</v>
      </c>
      <c r="C629" t="s">
        <v>50</v>
      </c>
      <c r="D629" t="s">
        <v>49</v>
      </c>
      <c r="E629">
        <v>512</v>
      </c>
      <c r="F629">
        <v>707</v>
      </c>
      <c r="G629">
        <v>86</v>
      </c>
      <c r="H629">
        <v>902</v>
      </c>
      <c r="I629">
        <v>770</v>
      </c>
      <c r="J629">
        <v>713</v>
      </c>
      <c r="K629">
        <v>161</v>
      </c>
      <c r="L629">
        <v>1099</v>
      </c>
      <c r="M629">
        <v>213</v>
      </c>
      <c r="N629">
        <v>1025</v>
      </c>
      <c r="O629">
        <v>260</v>
      </c>
      <c r="P629" s="1">
        <v>43709</v>
      </c>
      <c r="Q629">
        <v>274</v>
      </c>
    </row>
    <row r="630" spans="1:17" x14ac:dyDescent="0.25">
      <c r="A630" s="1">
        <v>44013</v>
      </c>
      <c r="B630" t="s">
        <v>143</v>
      </c>
      <c r="C630" t="s">
        <v>53</v>
      </c>
      <c r="D630" t="s">
        <v>52</v>
      </c>
      <c r="E630">
        <v>1100</v>
      </c>
      <c r="F630">
        <v>-497</v>
      </c>
      <c r="G630">
        <v>603</v>
      </c>
      <c r="H630">
        <v>737</v>
      </c>
      <c r="I630">
        <v>1519</v>
      </c>
      <c r="J630">
        <v>2880</v>
      </c>
      <c r="K630">
        <v>328</v>
      </c>
      <c r="L630">
        <v>2961</v>
      </c>
      <c r="M630">
        <v>972</v>
      </c>
      <c r="N630">
        <v>899</v>
      </c>
      <c r="O630">
        <v>1971</v>
      </c>
      <c r="P630" s="1">
        <v>43862</v>
      </c>
      <c r="Q630">
        <v>151</v>
      </c>
    </row>
    <row r="631" spans="1:17" x14ac:dyDescent="0.25">
      <c r="A631" s="1">
        <v>44013</v>
      </c>
      <c r="B631" t="s">
        <v>144</v>
      </c>
      <c r="C631" t="s">
        <v>56</v>
      </c>
      <c r="D631" t="s">
        <v>55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 s="1">
        <v>44256</v>
      </c>
      <c r="Q631">
        <v>-243</v>
      </c>
    </row>
    <row r="632" spans="1:17" x14ac:dyDescent="0.25">
      <c r="A632" s="1">
        <v>44013</v>
      </c>
      <c r="B632" t="s">
        <v>145</v>
      </c>
      <c r="C632" t="s">
        <v>59</v>
      </c>
      <c r="D632" t="s">
        <v>58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 s="1">
        <v>44287</v>
      </c>
      <c r="Q632">
        <v>-274</v>
      </c>
    </row>
    <row r="633" spans="1:17" x14ac:dyDescent="0.25">
      <c r="A633" s="1">
        <v>44013</v>
      </c>
      <c r="B633" t="s">
        <v>146</v>
      </c>
      <c r="C633" t="s">
        <v>62</v>
      </c>
      <c r="D633" t="s">
        <v>61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 s="1">
        <v>44075</v>
      </c>
      <c r="Q633">
        <v>-62</v>
      </c>
    </row>
    <row r="634" spans="1:17" x14ac:dyDescent="0.25">
      <c r="A634" s="1">
        <v>44013</v>
      </c>
      <c r="B634" t="s">
        <v>147</v>
      </c>
      <c r="C634" t="s">
        <v>64</v>
      </c>
      <c r="D634" t="s">
        <v>52</v>
      </c>
      <c r="E634">
        <v>1115</v>
      </c>
      <c r="F634">
        <v>2702</v>
      </c>
      <c r="G634">
        <v>442</v>
      </c>
      <c r="H634">
        <v>460</v>
      </c>
      <c r="I634">
        <v>324</v>
      </c>
      <c r="J634">
        <v>728</v>
      </c>
      <c r="K634">
        <v>282</v>
      </c>
      <c r="L634">
        <v>323</v>
      </c>
      <c r="M634">
        <v>434</v>
      </c>
      <c r="N634">
        <v>90</v>
      </c>
      <c r="O634">
        <v>168</v>
      </c>
      <c r="P634" s="1">
        <v>43862</v>
      </c>
      <c r="Q634">
        <v>151</v>
      </c>
    </row>
    <row r="635" spans="1:17" x14ac:dyDescent="0.25">
      <c r="A635" s="1">
        <v>44013</v>
      </c>
      <c r="B635" t="s">
        <v>148</v>
      </c>
      <c r="C635" t="s">
        <v>66</v>
      </c>
      <c r="D635" t="s">
        <v>55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 s="1">
        <v>44256</v>
      </c>
      <c r="Q635">
        <v>-243</v>
      </c>
    </row>
    <row r="636" spans="1:17" x14ac:dyDescent="0.25">
      <c r="A636" s="1">
        <v>44013</v>
      </c>
      <c r="B636" t="s">
        <v>149</v>
      </c>
      <c r="C636" t="s">
        <v>67</v>
      </c>
      <c r="D636" t="s">
        <v>55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 s="1">
        <v>44256</v>
      </c>
      <c r="Q636">
        <v>-243</v>
      </c>
    </row>
    <row r="637" spans="1:17" x14ac:dyDescent="0.25">
      <c r="A637" s="1">
        <v>44013</v>
      </c>
      <c r="B637" t="s">
        <v>150</v>
      </c>
      <c r="C637" t="s">
        <v>69</v>
      </c>
      <c r="D637" t="s">
        <v>68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 s="1">
        <v>44317</v>
      </c>
      <c r="Q637">
        <v>-304</v>
      </c>
    </row>
    <row r="638" spans="1:17" x14ac:dyDescent="0.25">
      <c r="A638" s="1">
        <v>44013</v>
      </c>
      <c r="B638" t="s">
        <v>151</v>
      </c>
      <c r="C638" t="s">
        <v>71</v>
      </c>
      <c r="D638" t="s">
        <v>70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 s="1">
        <v>44136</v>
      </c>
      <c r="Q638">
        <v>-123</v>
      </c>
    </row>
    <row r="639" spans="1:17" x14ac:dyDescent="0.25">
      <c r="A639" s="1">
        <v>44013</v>
      </c>
      <c r="B639" t="s">
        <v>152</v>
      </c>
      <c r="C639" t="s">
        <v>11</v>
      </c>
      <c r="D639" t="s">
        <v>52</v>
      </c>
      <c r="E639">
        <v>341</v>
      </c>
      <c r="F639">
        <v>724</v>
      </c>
      <c r="G639">
        <v>389</v>
      </c>
      <c r="H639">
        <v>795</v>
      </c>
      <c r="I639">
        <v>522</v>
      </c>
      <c r="J639">
        <v>348</v>
      </c>
      <c r="K639">
        <v>522</v>
      </c>
      <c r="L639">
        <v>720</v>
      </c>
      <c r="M639">
        <v>397</v>
      </c>
      <c r="N639">
        <v>665</v>
      </c>
      <c r="O639">
        <v>180</v>
      </c>
      <c r="P639" s="1">
        <v>43862</v>
      </c>
      <c r="Q639">
        <v>151</v>
      </c>
    </row>
    <row r="640" spans="1:17" x14ac:dyDescent="0.25">
      <c r="A640" s="1">
        <v>44013</v>
      </c>
      <c r="B640" t="s">
        <v>153</v>
      </c>
      <c r="C640" t="s">
        <v>73</v>
      </c>
      <c r="D640" t="s">
        <v>72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 s="1">
        <v>44440</v>
      </c>
      <c r="Q640">
        <v>-427</v>
      </c>
    </row>
    <row r="641" spans="1:17" x14ac:dyDescent="0.25">
      <c r="A641" s="1">
        <v>44013</v>
      </c>
      <c r="B641" t="s">
        <v>154</v>
      </c>
      <c r="C641" t="s">
        <v>17</v>
      </c>
      <c r="D641" t="s">
        <v>74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 s="1">
        <v>44197</v>
      </c>
      <c r="Q641">
        <v>-184</v>
      </c>
    </row>
    <row r="642" spans="1:17" x14ac:dyDescent="0.25">
      <c r="A642" s="1">
        <v>44013</v>
      </c>
      <c r="B642" t="s">
        <v>155</v>
      </c>
      <c r="C642" t="s">
        <v>76</v>
      </c>
      <c r="D642" t="s">
        <v>75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 s="1">
        <v>44470</v>
      </c>
      <c r="Q642">
        <v>-457</v>
      </c>
    </row>
    <row r="643" spans="1:17" x14ac:dyDescent="0.25">
      <c r="A643" s="1">
        <v>44013</v>
      </c>
      <c r="B643" t="s">
        <v>156</v>
      </c>
      <c r="C643" t="s">
        <v>79</v>
      </c>
      <c r="D643" t="s">
        <v>78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 s="1">
        <v>44348</v>
      </c>
      <c r="Q643">
        <v>-335</v>
      </c>
    </row>
    <row r="644" spans="1:17" x14ac:dyDescent="0.25">
      <c r="A644" s="1">
        <v>44013</v>
      </c>
      <c r="B644" t="s">
        <v>157</v>
      </c>
      <c r="C644" t="s">
        <v>81</v>
      </c>
      <c r="D644" t="s">
        <v>72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 s="1">
        <v>44440</v>
      </c>
      <c r="Q644">
        <v>-427</v>
      </c>
    </row>
    <row r="645" spans="1:17" x14ac:dyDescent="0.25">
      <c r="A645" s="1">
        <v>44013</v>
      </c>
      <c r="B645" t="s">
        <v>158</v>
      </c>
      <c r="C645" t="s">
        <v>83</v>
      </c>
      <c r="D645" t="s">
        <v>82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 s="1">
        <v>44228</v>
      </c>
      <c r="Q645">
        <v>-215</v>
      </c>
    </row>
    <row r="646" spans="1:17" x14ac:dyDescent="0.25">
      <c r="A646" s="1">
        <v>44013</v>
      </c>
      <c r="B646" t="s">
        <v>159</v>
      </c>
      <c r="C646" t="s">
        <v>84</v>
      </c>
      <c r="D646" t="s">
        <v>55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 s="1">
        <v>44256</v>
      </c>
      <c r="Q646">
        <v>-243</v>
      </c>
    </row>
    <row r="647" spans="1:17" x14ac:dyDescent="0.25">
      <c r="A647" s="1">
        <v>44013</v>
      </c>
      <c r="B647" t="s">
        <v>160</v>
      </c>
      <c r="C647" t="s">
        <v>86</v>
      </c>
      <c r="D647" t="s">
        <v>68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 s="1">
        <v>44317</v>
      </c>
      <c r="Q647">
        <v>-304</v>
      </c>
    </row>
    <row r="648" spans="1:17" x14ac:dyDescent="0.25">
      <c r="A648" s="1">
        <v>44013</v>
      </c>
      <c r="B648" t="s">
        <v>161</v>
      </c>
      <c r="C648" t="s">
        <v>87</v>
      </c>
      <c r="D648" t="s">
        <v>72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 s="1">
        <v>44440</v>
      </c>
      <c r="Q648">
        <v>-427</v>
      </c>
    </row>
    <row r="649" spans="1:17" x14ac:dyDescent="0.25">
      <c r="A649" s="1">
        <v>44013</v>
      </c>
      <c r="B649" t="s">
        <v>162</v>
      </c>
      <c r="C649" t="s">
        <v>89</v>
      </c>
      <c r="D649" t="s">
        <v>88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 s="1">
        <v>44044</v>
      </c>
      <c r="Q649">
        <v>-31</v>
      </c>
    </row>
    <row r="650" spans="1:17" x14ac:dyDescent="0.25">
      <c r="A650" s="1">
        <v>44013</v>
      </c>
      <c r="B650" t="s">
        <v>163</v>
      </c>
      <c r="C650" t="s">
        <v>90</v>
      </c>
      <c r="D650" t="s">
        <v>82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 s="1">
        <v>44228</v>
      </c>
      <c r="Q650">
        <v>-215</v>
      </c>
    </row>
    <row r="651" spans="1:17" x14ac:dyDescent="0.25">
      <c r="A651" s="1">
        <v>44013</v>
      </c>
      <c r="B651" t="s">
        <v>164</v>
      </c>
      <c r="C651" t="s">
        <v>92</v>
      </c>
      <c r="D651" t="s">
        <v>91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 s="1">
        <v>44105</v>
      </c>
      <c r="Q651">
        <v>-92</v>
      </c>
    </row>
    <row r="652" spans="1:17" x14ac:dyDescent="0.25">
      <c r="A652" s="1">
        <v>44013</v>
      </c>
      <c r="B652" t="s">
        <v>165</v>
      </c>
      <c r="C652" t="s">
        <v>94</v>
      </c>
      <c r="D652" t="s">
        <v>93</v>
      </c>
      <c r="E652">
        <v>675</v>
      </c>
      <c r="F652">
        <v>109</v>
      </c>
      <c r="G652">
        <v>234</v>
      </c>
      <c r="H652">
        <v>444</v>
      </c>
      <c r="I652">
        <v>186</v>
      </c>
      <c r="J652">
        <v>105</v>
      </c>
      <c r="K652">
        <v>297</v>
      </c>
      <c r="L652">
        <v>249</v>
      </c>
      <c r="M652">
        <v>13</v>
      </c>
      <c r="N652">
        <v>723</v>
      </c>
      <c r="O652">
        <v>468</v>
      </c>
      <c r="P652" s="1">
        <v>43586</v>
      </c>
      <c r="Q652">
        <v>427</v>
      </c>
    </row>
    <row r="653" spans="1:17" x14ac:dyDescent="0.25">
      <c r="A653" s="1">
        <v>44013</v>
      </c>
      <c r="B653" t="s">
        <v>166</v>
      </c>
      <c r="C653" t="s">
        <v>96</v>
      </c>
      <c r="D653" t="s">
        <v>95</v>
      </c>
      <c r="E653">
        <v>186</v>
      </c>
      <c r="F653">
        <v>122</v>
      </c>
      <c r="G653">
        <v>106</v>
      </c>
      <c r="H653">
        <v>428</v>
      </c>
      <c r="I653">
        <v>209</v>
      </c>
      <c r="J653">
        <v>332</v>
      </c>
      <c r="K653">
        <v>316</v>
      </c>
      <c r="L653">
        <v>149</v>
      </c>
      <c r="M653">
        <v>601</v>
      </c>
      <c r="N653">
        <v>80</v>
      </c>
      <c r="O653">
        <v>798</v>
      </c>
      <c r="P653" s="1">
        <v>43678</v>
      </c>
      <c r="Q653">
        <v>335</v>
      </c>
    </row>
    <row r="654" spans="1:17" x14ac:dyDescent="0.25">
      <c r="A654" s="1">
        <v>44013</v>
      </c>
      <c r="B654" t="s">
        <v>167</v>
      </c>
      <c r="C654" t="s">
        <v>97</v>
      </c>
      <c r="D654" t="s">
        <v>58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 s="1">
        <v>44287</v>
      </c>
      <c r="Q654">
        <v>-274</v>
      </c>
    </row>
    <row r="655" spans="1:17" x14ac:dyDescent="0.25">
      <c r="A655" s="1">
        <v>44013</v>
      </c>
      <c r="B655" t="s">
        <v>168</v>
      </c>
      <c r="C655" t="s">
        <v>98</v>
      </c>
      <c r="D655" t="s">
        <v>49</v>
      </c>
      <c r="E655">
        <v>892</v>
      </c>
      <c r="F655">
        <v>237</v>
      </c>
      <c r="G655">
        <v>308</v>
      </c>
      <c r="H655">
        <v>171</v>
      </c>
      <c r="I655">
        <v>76</v>
      </c>
      <c r="J655">
        <v>80</v>
      </c>
      <c r="K655">
        <v>245</v>
      </c>
      <c r="L655">
        <v>292</v>
      </c>
      <c r="M655">
        <v>211</v>
      </c>
      <c r="N655">
        <v>592</v>
      </c>
      <c r="O655">
        <v>212</v>
      </c>
      <c r="P655" s="1">
        <v>43709</v>
      </c>
      <c r="Q655">
        <v>304</v>
      </c>
    </row>
    <row r="656" spans="1:17" x14ac:dyDescent="0.25">
      <c r="A656" s="1">
        <v>44013</v>
      </c>
      <c r="B656" t="s">
        <v>169</v>
      </c>
      <c r="C656" t="s">
        <v>99</v>
      </c>
      <c r="D656" t="s">
        <v>95</v>
      </c>
      <c r="E656">
        <v>123</v>
      </c>
      <c r="F656">
        <v>234</v>
      </c>
      <c r="G656">
        <v>223</v>
      </c>
      <c r="H656">
        <v>271</v>
      </c>
      <c r="I656">
        <v>-68</v>
      </c>
      <c r="J656">
        <v>451</v>
      </c>
      <c r="K656">
        <v>20</v>
      </c>
      <c r="L656">
        <v>182</v>
      </c>
      <c r="M656">
        <v>680</v>
      </c>
      <c r="N656">
        <v>42</v>
      </c>
      <c r="O656">
        <v>324</v>
      </c>
      <c r="P656" s="1">
        <v>43678</v>
      </c>
      <c r="Q656">
        <v>335</v>
      </c>
    </row>
    <row r="657" spans="1:17" x14ac:dyDescent="0.25">
      <c r="A657" s="1">
        <v>44013</v>
      </c>
      <c r="B657" t="s">
        <v>170</v>
      </c>
      <c r="C657" t="s">
        <v>100</v>
      </c>
      <c r="D657" t="s">
        <v>82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 s="1">
        <v>44228</v>
      </c>
      <c r="Q657">
        <v>-215</v>
      </c>
    </row>
    <row r="658" spans="1:17" x14ac:dyDescent="0.25">
      <c r="A658" s="1">
        <v>44013</v>
      </c>
      <c r="B658" t="s">
        <v>171</v>
      </c>
      <c r="C658" t="s">
        <v>101</v>
      </c>
      <c r="D658" t="s">
        <v>68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 s="1">
        <v>44317</v>
      </c>
      <c r="Q658">
        <v>-304</v>
      </c>
    </row>
    <row r="659" spans="1:17" x14ac:dyDescent="0.25">
      <c r="A659" s="1">
        <v>44013</v>
      </c>
      <c r="B659" t="s">
        <v>172</v>
      </c>
      <c r="C659" t="s">
        <v>102</v>
      </c>
      <c r="D659" t="s">
        <v>88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 s="1">
        <v>44044</v>
      </c>
      <c r="Q659">
        <v>-31</v>
      </c>
    </row>
    <row r="660" spans="1:17" x14ac:dyDescent="0.25">
      <c r="A660" s="1">
        <v>44013</v>
      </c>
      <c r="B660" t="s">
        <v>173</v>
      </c>
      <c r="C660" t="s">
        <v>103</v>
      </c>
      <c r="D660" t="s">
        <v>52</v>
      </c>
      <c r="E660">
        <v>160</v>
      </c>
      <c r="F660">
        <v>417</v>
      </c>
      <c r="G660">
        <v>282</v>
      </c>
      <c r="H660">
        <v>2243</v>
      </c>
      <c r="I660">
        <v>2132</v>
      </c>
      <c r="J660">
        <v>397</v>
      </c>
      <c r="K660">
        <v>1245</v>
      </c>
      <c r="L660">
        <v>1375</v>
      </c>
      <c r="M660">
        <v>534</v>
      </c>
      <c r="N660">
        <v>870</v>
      </c>
      <c r="O660">
        <v>380</v>
      </c>
      <c r="P660" s="1">
        <v>43862</v>
      </c>
      <c r="Q660">
        <v>151</v>
      </c>
    </row>
    <row r="661" spans="1:17" x14ac:dyDescent="0.25">
      <c r="A661" s="1">
        <v>44013</v>
      </c>
      <c r="B661" t="s">
        <v>174</v>
      </c>
      <c r="C661" t="s">
        <v>105</v>
      </c>
      <c r="D661" t="s">
        <v>104</v>
      </c>
      <c r="E661">
        <v>54</v>
      </c>
      <c r="F661">
        <v>25</v>
      </c>
      <c r="G661">
        <v>86</v>
      </c>
      <c r="H661">
        <v>321</v>
      </c>
      <c r="I661">
        <v>135</v>
      </c>
      <c r="J661">
        <v>127</v>
      </c>
      <c r="K661">
        <v>2</v>
      </c>
      <c r="L661">
        <v>108</v>
      </c>
      <c r="M661">
        <v>307</v>
      </c>
      <c r="N661">
        <v>228</v>
      </c>
      <c r="O661">
        <v>485</v>
      </c>
      <c r="P661" s="1">
        <v>43374</v>
      </c>
      <c r="Q661">
        <v>639</v>
      </c>
    </row>
    <row r="662" spans="1:17" x14ac:dyDescent="0.25">
      <c r="A662" s="1">
        <v>44013</v>
      </c>
      <c r="B662" t="s">
        <v>142</v>
      </c>
      <c r="C662" t="s">
        <v>50</v>
      </c>
      <c r="D662" t="s">
        <v>49</v>
      </c>
      <c r="E662">
        <v>481</v>
      </c>
      <c r="F662">
        <v>776</v>
      </c>
      <c r="G662">
        <v>228</v>
      </c>
      <c r="H662">
        <v>1035</v>
      </c>
      <c r="I662">
        <v>437</v>
      </c>
      <c r="J662">
        <v>1309</v>
      </c>
      <c r="K662">
        <v>222</v>
      </c>
      <c r="L662">
        <v>944</v>
      </c>
      <c r="M662">
        <v>874</v>
      </c>
      <c r="N662">
        <v>732</v>
      </c>
      <c r="O662">
        <v>1710</v>
      </c>
      <c r="P662" s="1">
        <v>43709</v>
      </c>
      <c r="Q662">
        <v>304</v>
      </c>
    </row>
    <row r="663" spans="1:17" x14ac:dyDescent="0.25">
      <c r="A663" s="1">
        <v>44013</v>
      </c>
      <c r="B663" t="s">
        <v>143</v>
      </c>
      <c r="C663" t="s">
        <v>53</v>
      </c>
      <c r="D663" t="s">
        <v>52</v>
      </c>
      <c r="E663">
        <v>2329</v>
      </c>
      <c r="F663">
        <v>1915</v>
      </c>
      <c r="G663">
        <v>173</v>
      </c>
      <c r="H663">
        <v>1244</v>
      </c>
      <c r="I663">
        <v>2394</v>
      </c>
      <c r="J663">
        <v>703</v>
      </c>
      <c r="K663">
        <v>635</v>
      </c>
      <c r="L663">
        <v>808</v>
      </c>
      <c r="M663">
        <v>1084</v>
      </c>
      <c r="N663">
        <v>2009</v>
      </c>
      <c r="O663">
        <v>2830</v>
      </c>
      <c r="P663" s="1">
        <v>43862</v>
      </c>
      <c r="Q663">
        <v>151</v>
      </c>
    </row>
    <row r="664" spans="1:17" x14ac:dyDescent="0.25">
      <c r="A664" s="1">
        <v>44013</v>
      </c>
      <c r="B664" t="s">
        <v>144</v>
      </c>
      <c r="C664" t="s">
        <v>56</v>
      </c>
      <c r="D664" t="s">
        <v>55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 s="1">
        <v>44256</v>
      </c>
      <c r="Q664">
        <v>-243</v>
      </c>
    </row>
    <row r="665" spans="1:17" x14ac:dyDescent="0.25">
      <c r="A665" s="1">
        <v>44044</v>
      </c>
      <c r="B665" t="s">
        <v>145</v>
      </c>
      <c r="C665" t="s">
        <v>59</v>
      </c>
      <c r="D665" t="s">
        <v>58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 s="1">
        <v>44287</v>
      </c>
      <c r="Q665">
        <v>-243</v>
      </c>
    </row>
    <row r="666" spans="1:17" x14ac:dyDescent="0.25">
      <c r="A666" s="1">
        <v>44044</v>
      </c>
      <c r="B666" t="s">
        <v>146</v>
      </c>
      <c r="C666" t="s">
        <v>62</v>
      </c>
      <c r="D666" t="s">
        <v>61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 s="1">
        <v>44075</v>
      </c>
      <c r="Q666">
        <v>-31</v>
      </c>
    </row>
    <row r="667" spans="1:17" x14ac:dyDescent="0.25">
      <c r="A667" s="1">
        <v>44044</v>
      </c>
      <c r="B667" t="s">
        <v>147</v>
      </c>
      <c r="C667" t="s">
        <v>64</v>
      </c>
      <c r="D667" t="s">
        <v>52</v>
      </c>
      <c r="E667">
        <v>362</v>
      </c>
      <c r="F667">
        <v>774</v>
      </c>
      <c r="G667">
        <v>497</v>
      </c>
      <c r="H667">
        <v>474</v>
      </c>
      <c r="I667">
        <v>257</v>
      </c>
      <c r="J667">
        <v>632</v>
      </c>
      <c r="K667">
        <v>485</v>
      </c>
      <c r="L667">
        <v>301</v>
      </c>
      <c r="M667">
        <v>252</v>
      </c>
      <c r="N667">
        <v>345</v>
      </c>
      <c r="O667">
        <v>-30</v>
      </c>
      <c r="P667" s="1">
        <v>43862</v>
      </c>
      <c r="Q667">
        <v>182</v>
      </c>
    </row>
    <row r="668" spans="1:17" x14ac:dyDescent="0.25">
      <c r="A668" s="1">
        <v>44044</v>
      </c>
      <c r="B668" t="s">
        <v>148</v>
      </c>
      <c r="C668" t="s">
        <v>66</v>
      </c>
      <c r="D668" t="s">
        <v>55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 s="1">
        <v>44256</v>
      </c>
      <c r="Q668">
        <v>-212</v>
      </c>
    </row>
    <row r="669" spans="1:17" x14ac:dyDescent="0.25">
      <c r="A669" s="1">
        <v>44044</v>
      </c>
      <c r="B669" t="s">
        <v>149</v>
      </c>
      <c r="C669" t="s">
        <v>67</v>
      </c>
      <c r="D669" t="s">
        <v>55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 s="1">
        <v>44256</v>
      </c>
      <c r="Q669">
        <v>-212</v>
      </c>
    </row>
    <row r="670" spans="1:17" x14ac:dyDescent="0.25">
      <c r="A670" s="1">
        <v>44044</v>
      </c>
      <c r="B670" t="s">
        <v>150</v>
      </c>
      <c r="C670" t="s">
        <v>69</v>
      </c>
      <c r="D670" t="s">
        <v>68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 s="1">
        <v>44317</v>
      </c>
      <c r="Q670">
        <v>-273</v>
      </c>
    </row>
    <row r="671" spans="1:17" x14ac:dyDescent="0.25">
      <c r="A671" s="1">
        <v>44044</v>
      </c>
      <c r="B671" t="s">
        <v>151</v>
      </c>
      <c r="C671" t="s">
        <v>71</v>
      </c>
      <c r="D671" t="s">
        <v>70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 s="1">
        <v>44136</v>
      </c>
      <c r="Q671">
        <v>-92</v>
      </c>
    </row>
    <row r="672" spans="1:17" x14ac:dyDescent="0.25">
      <c r="A672" s="1">
        <v>44044</v>
      </c>
      <c r="B672" t="s">
        <v>152</v>
      </c>
      <c r="C672" t="s">
        <v>11</v>
      </c>
      <c r="D672" t="s">
        <v>52</v>
      </c>
      <c r="E672">
        <v>358</v>
      </c>
      <c r="F672">
        <v>399</v>
      </c>
      <c r="G672">
        <v>373</v>
      </c>
      <c r="H672">
        <v>1031</v>
      </c>
      <c r="I672">
        <v>520</v>
      </c>
      <c r="J672">
        <v>342</v>
      </c>
      <c r="K672">
        <v>290</v>
      </c>
      <c r="L672">
        <v>227</v>
      </c>
      <c r="M672">
        <v>465</v>
      </c>
      <c r="N672">
        <v>330</v>
      </c>
      <c r="O672">
        <v>364</v>
      </c>
      <c r="P672" s="1">
        <v>43862</v>
      </c>
      <c r="Q672">
        <v>182</v>
      </c>
    </row>
    <row r="673" spans="1:17" x14ac:dyDescent="0.25">
      <c r="A673" s="1">
        <v>44044</v>
      </c>
      <c r="B673" t="s">
        <v>153</v>
      </c>
      <c r="C673" t="s">
        <v>73</v>
      </c>
      <c r="D673" t="s">
        <v>72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 s="1">
        <v>44440</v>
      </c>
      <c r="Q673">
        <v>-396</v>
      </c>
    </row>
    <row r="674" spans="1:17" x14ac:dyDescent="0.25">
      <c r="A674" s="1">
        <v>44044</v>
      </c>
      <c r="B674" t="s">
        <v>154</v>
      </c>
      <c r="C674" t="s">
        <v>17</v>
      </c>
      <c r="D674" t="s">
        <v>74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 s="1">
        <v>44197</v>
      </c>
      <c r="Q674">
        <v>-153</v>
      </c>
    </row>
    <row r="675" spans="1:17" x14ac:dyDescent="0.25">
      <c r="A675" s="1">
        <v>44044</v>
      </c>
      <c r="B675" t="s">
        <v>155</v>
      </c>
      <c r="C675" t="s">
        <v>76</v>
      </c>
      <c r="D675" t="s">
        <v>75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 s="1">
        <v>44470</v>
      </c>
      <c r="Q675">
        <v>-426</v>
      </c>
    </row>
    <row r="676" spans="1:17" x14ac:dyDescent="0.25">
      <c r="A676" s="1">
        <v>44044</v>
      </c>
      <c r="B676" t="s">
        <v>156</v>
      </c>
      <c r="C676" t="s">
        <v>79</v>
      </c>
      <c r="D676" t="s">
        <v>78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 s="1">
        <v>44348</v>
      </c>
      <c r="Q676">
        <v>-304</v>
      </c>
    </row>
    <row r="677" spans="1:17" x14ac:dyDescent="0.25">
      <c r="A677" s="1">
        <v>44044</v>
      </c>
      <c r="B677" t="s">
        <v>157</v>
      </c>
      <c r="C677" t="s">
        <v>81</v>
      </c>
      <c r="D677" t="s">
        <v>72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 s="1">
        <v>44440</v>
      </c>
      <c r="Q677">
        <v>-396</v>
      </c>
    </row>
    <row r="678" spans="1:17" x14ac:dyDescent="0.25">
      <c r="A678" s="1">
        <v>44044</v>
      </c>
      <c r="B678" t="s">
        <v>158</v>
      </c>
      <c r="C678" t="s">
        <v>83</v>
      </c>
      <c r="D678" t="s">
        <v>82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 s="1">
        <v>44228</v>
      </c>
      <c r="Q678">
        <v>-184</v>
      </c>
    </row>
    <row r="679" spans="1:17" x14ac:dyDescent="0.25">
      <c r="A679" s="1">
        <v>44044</v>
      </c>
      <c r="B679" t="s">
        <v>159</v>
      </c>
      <c r="C679" t="s">
        <v>84</v>
      </c>
      <c r="D679" t="s">
        <v>55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 s="1">
        <v>44256</v>
      </c>
      <c r="Q679">
        <v>-212</v>
      </c>
    </row>
    <row r="680" spans="1:17" x14ac:dyDescent="0.25">
      <c r="A680" s="1">
        <v>44044</v>
      </c>
      <c r="B680" t="s">
        <v>160</v>
      </c>
      <c r="C680" t="s">
        <v>86</v>
      </c>
      <c r="D680" t="s">
        <v>68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 s="1">
        <v>44317</v>
      </c>
      <c r="Q680">
        <v>-273</v>
      </c>
    </row>
    <row r="681" spans="1:17" x14ac:dyDescent="0.25">
      <c r="A681" s="1">
        <v>44044</v>
      </c>
      <c r="B681" t="s">
        <v>161</v>
      </c>
      <c r="C681" t="s">
        <v>87</v>
      </c>
      <c r="D681" t="s">
        <v>72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 s="1">
        <v>44440</v>
      </c>
      <c r="Q681">
        <v>-396</v>
      </c>
    </row>
    <row r="682" spans="1:17" x14ac:dyDescent="0.25">
      <c r="A682" s="1">
        <v>44044</v>
      </c>
      <c r="B682" t="s">
        <v>162</v>
      </c>
      <c r="C682" t="s">
        <v>89</v>
      </c>
      <c r="D682" t="s">
        <v>88</v>
      </c>
      <c r="E682">
        <v>1754</v>
      </c>
      <c r="F682">
        <v>2177</v>
      </c>
      <c r="G682">
        <v>2157</v>
      </c>
      <c r="H682">
        <v>9196</v>
      </c>
      <c r="I682">
        <v>-334</v>
      </c>
      <c r="J682">
        <v>-264</v>
      </c>
      <c r="K682">
        <v>7025</v>
      </c>
      <c r="L682">
        <v>3906</v>
      </c>
      <c r="M682">
        <v>9021</v>
      </c>
      <c r="N682">
        <v>2621</v>
      </c>
      <c r="O682">
        <v>5252</v>
      </c>
      <c r="P682" s="1">
        <v>44044</v>
      </c>
      <c r="Q682">
        <v>0</v>
      </c>
    </row>
    <row r="683" spans="1:17" x14ac:dyDescent="0.25">
      <c r="A683" s="1">
        <v>44044</v>
      </c>
      <c r="B683" t="s">
        <v>163</v>
      </c>
      <c r="C683" t="s">
        <v>90</v>
      </c>
      <c r="D683" t="s">
        <v>82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 s="1">
        <v>44228</v>
      </c>
      <c r="Q683">
        <v>-184</v>
      </c>
    </row>
    <row r="684" spans="1:17" x14ac:dyDescent="0.25">
      <c r="A684" s="1">
        <v>44044</v>
      </c>
      <c r="B684" t="s">
        <v>164</v>
      </c>
      <c r="C684" t="s">
        <v>92</v>
      </c>
      <c r="D684" t="s">
        <v>91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 s="1">
        <v>44105</v>
      </c>
      <c r="Q684">
        <v>-61</v>
      </c>
    </row>
    <row r="685" spans="1:17" x14ac:dyDescent="0.25">
      <c r="A685" s="1">
        <v>44044</v>
      </c>
      <c r="B685" t="s">
        <v>165</v>
      </c>
      <c r="C685" t="s">
        <v>94</v>
      </c>
      <c r="D685" t="s">
        <v>93</v>
      </c>
      <c r="E685">
        <v>319</v>
      </c>
      <c r="F685">
        <v>147</v>
      </c>
      <c r="G685">
        <v>-36</v>
      </c>
      <c r="H685">
        <v>620</v>
      </c>
      <c r="I685">
        <v>495</v>
      </c>
      <c r="J685">
        <v>29</v>
      </c>
      <c r="K685">
        <v>132</v>
      </c>
      <c r="L685">
        <v>568</v>
      </c>
      <c r="M685">
        <v>139</v>
      </c>
      <c r="N685">
        <v>611</v>
      </c>
      <c r="O685">
        <v>692</v>
      </c>
      <c r="P685" s="1">
        <v>43586</v>
      </c>
      <c r="Q685">
        <v>458</v>
      </c>
    </row>
    <row r="686" spans="1:17" x14ac:dyDescent="0.25">
      <c r="A686" s="1">
        <v>44044</v>
      </c>
      <c r="B686" t="s">
        <v>166</v>
      </c>
      <c r="C686" t="s">
        <v>96</v>
      </c>
      <c r="D686" t="s">
        <v>95</v>
      </c>
      <c r="E686">
        <v>149</v>
      </c>
      <c r="F686">
        <v>53</v>
      </c>
      <c r="G686">
        <v>150</v>
      </c>
      <c r="H686">
        <v>1160</v>
      </c>
      <c r="I686">
        <v>206</v>
      </c>
      <c r="J686">
        <v>207</v>
      </c>
      <c r="K686">
        <v>760</v>
      </c>
      <c r="L686">
        <v>216</v>
      </c>
      <c r="M686">
        <v>472</v>
      </c>
      <c r="N686">
        <v>189</v>
      </c>
      <c r="O686">
        <v>890</v>
      </c>
      <c r="P686" s="1">
        <v>43678</v>
      </c>
      <c r="Q686">
        <v>366</v>
      </c>
    </row>
    <row r="687" spans="1:17" x14ac:dyDescent="0.25">
      <c r="A687" s="1">
        <v>44044</v>
      </c>
      <c r="B687" t="s">
        <v>167</v>
      </c>
      <c r="C687" t="s">
        <v>97</v>
      </c>
      <c r="D687" t="s">
        <v>58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 s="1">
        <v>44287</v>
      </c>
      <c r="Q687">
        <v>-243</v>
      </c>
    </row>
    <row r="688" spans="1:17" x14ac:dyDescent="0.25">
      <c r="A688" s="1">
        <v>44044</v>
      </c>
      <c r="B688" t="s">
        <v>168</v>
      </c>
      <c r="C688" t="s">
        <v>98</v>
      </c>
      <c r="D688" t="s">
        <v>49</v>
      </c>
      <c r="E688">
        <v>461</v>
      </c>
      <c r="F688">
        <v>228</v>
      </c>
      <c r="G688">
        <v>241</v>
      </c>
      <c r="H688">
        <v>139</v>
      </c>
      <c r="I688">
        <v>150</v>
      </c>
      <c r="J688">
        <v>181</v>
      </c>
      <c r="K688">
        <v>175</v>
      </c>
      <c r="L688">
        <v>672</v>
      </c>
      <c r="M688">
        <v>101</v>
      </c>
      <c r="N688">
        <v>241</v>
      </c>
      <c r="O688">
        <v>0</v>
      </c>
      <c r="P688" s="1">
        <v>43709</v>
      </c>
      <c r="Q688">
        <v>335</v>
      </c>
    </row>
    <row r="689" spans="1:17" x14ac:dyDescent="0.25">
      <c r="A689" s="1">
        <v>44044</v>
      </c>
      <c r="B689" t="s">
        <v>169</v>
      </c>
      <c r="C689" t="s">
        <v>99</v>
      </c>
      <c r="D689" t="s">
        <v>95</v>
      </c>
      <c r="E689">
        <v>205</v>
      </c>
      <c r="F689">
        <v>620</v>
      </c>
      <c r="G689">
        <v>199</v>
      </c>
      <c r="H689">
        <v>182</v>
      </c>
      <c r="I689">
        <v>244</v>
      </c>
      <c r="J689">
        <v>883</v>
      </c>
      <c r="K689">
        <v>444</v>
      </c>
      <c r="L689">
        <v>359</v>
      </c>
      <c r="M689">
        <v>160</v>
      </c>
      <c r="N689">
        <v>224</v>
      </c>
      <c r="O689">
        <v>227</v>
      </c>
      <c r="P689" s="1">
        <v>43678</v>
      </c>
      <c r="Q689">
        <v>366</v>
      </c>
    </row>
    <row r="690" spans="1:17" x14ac:dyDescent="0.25">
      <c r="A690" s="1">
        <v>44044</v>
      </c>
      <c r="B690" t="s">
        <v>170</v>
      </c>
      <c r="C690" t="s">
        <v>100</v>
      </c>
      <c r="D690" t="s">
        <v>82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 s="1">
        <v>44228</v>
      </c>
      <c r="Q690">
        <v>-184</v>
      </c>
    </row>
    <row r="691" spans="1:17" x14ac:dyDescent="0.25">
      <c r="A691" s="1">
        <v>44044</v>
      </c>
      <c r="B691" t="s">
        <v>171</v>
      </c>
      <c r="C691" t="s">
        <v>101</v>
      </c>
      <c r="D691" t="s">
        <v>68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 s="1">
        <v>44317</v>
      </c>
      <c r="Q691">
        <v>-273</v>
      </c>
    </row>
    <row r="692" spans="1:17" x14ac:dyDescent="0.25">
      <c r="A692" s="1">
        <v>44044</v>
      </c>
      <c r="B692" t="s">
        <v>172</v>
      </c>
      <c r="C692" t="s">
        <v>102</v>
      </c>
      <c r="D692" t="s">
        <v>88</v>
      </c>
      <c r="E692">
        <v>2811</v>
      </c>
      <c r="F692">
        <v>3589</v>
      </c>
      <c r="G692">
        <v>4049</v>
      </c>
      <c r="H692">
        <v>7760</v>
      </c>
      <c r="I692">
        <v>3501</v>
      </c>
      <c r="J692">
        <v>1266</v>
      </c>
      <c r="K692">
        <v>7396</v>
      </c>
      <c r="L692">
        <v>979</v>
      </c>
      <c r="M692">
        <v>4748</v>
      </c>
      <c r="N692">
        <v>1558</v>
      </c>
      <c r="O692">
        <v>6668</v>
      </c>
      <c r="P692" s="1">
        <v>44044</v>
      </c>
      <c r="Q692">
        <v>0</v>
      </c>
    </row>
    <row r="693" spans="1:17" x14ac:dyDescent="0.25">
      <c r="A693" s="1">
        <v>44044</v>
      </c>
      <c r="B693" t="s">
        <v>173</v>
      </c>
      <c r="C693" t="s">
        <v>103</v>
      </c>
      <c r="D693" t="s">
        <v>52</v>
      </c>
      <c r="E693">
        <v>595</v>
      </c>
      <c r="F693">
        <v>659</v>
      </c>
      <c r="G693">
        <v>496</v>
      </c>
      <c r="H693">
        <v>1432</v>
      </c>
      <c r="I693">
        <v>1389</v>
      </c>
      <c r="J693">
        <v>113</v>
      </c>
      <c r="K693">
        <v>1779</v>
      </c>
      <c r="L693">
        <v>2385</v>
      </c>
      <c r="M693">
        <v>223</v>
      </c>
      <c r="N693">
        <v>1591</v>
      </c>
      <c r="O693">
        <v>376</v>
      </c>
      <c r="P693" s="1">
        <v>43862</v>
      </c>
      <c r="Q693">
        <v>182</v>
      </c>
    </row>
    <row r="694" spans="1:17" x14ac:dyDescent="0.25">
      <c r="A694" s="1">
        <v>44044</v>
      </c>
      <c r="B694" t="s">
        <v>174</v>
      </c>
      <c r="C694" t="s">
        <v>105</v>
      </c>
      <c r="D694" t="s">
        <v>104</v>
      </c>
      <c r="E694">
        <v>74</v>
      </c>
      <c r="F694">
        <v>88</v>
      </c>
      <c r="G694">
        <v>96</v>
      </c>
      <c r="H694">
        <v>247</v>
      </c>
      <c r="I694">
        <v>-4</v>
      </c>
      <c r="J694">
        <v>99</v>
      </c>
      <c r="K694">
        <v>81</v>
      </c>
      <c r="L694">
        <v>118</v>
      </c>
      <c r="M694">
        <v>456</v>
      </c>
      <c r="N694">
        <v>782</v>
      </c>
      <c r="O694">
        <v>44</v>
      </c>
      <c r="P694" s="1">
        <v>43374</v>
      </c>
      <c r="Q694">
        <v>670</v>
      </c>
    </row>
    <row r="695" spans="1:17" x14ac:dyDescent="0.25">
      <c r="A695" s="1">
        <v>44044</v>
      </c>
      <c r="B695" t="s">
        <v>142</v>
      </c>
      <c r="C695" t="s">
        <v>50</v>
      </c>
      <c r="D695" t="s">
        <v>49</v>
      </c>
      <c r="E695">
        <v>402</v>
      </c>
      <c r="F695">
        <v>656</v>
      </c>
      <c r="G695">
        <v>185</v>
      </c>
      <c r="H695">
        <v>825</v>
      </c>
      <c r="I695">
        <v>1159</v>
      </c>
      <c r="J695">
        <v>1028</v>
      </c>
      <c r="K695">
        <v>202</v>
      </c>
      <c r="L695">
        <v>910</v>
      </c>
      <c r="M695">
        <v>695</v>
      </c>
      <c r="N695">
        <v>403</v>
      </c>
      <c r="O695">
        <v>682</v>
      </c>
      <c r="P695" s="1">
        <v>43709</v>
      </c>
      <c r="Q695">
        <v>335</v>
      </c>
    </row>
    <row r="696" spans="1:17" x14ac:dyDescent="0.25">
      <c r="A696" s="1">
        <v>44044</v>
      </c>
      <c r="B696" t="s">
        <v>143</v>
      </c>
      <c r="C696" t="s">
        <v>53</v>
      </c>
      <c r="D696" t="s">
        <v>52</v>
      </c>
      <c r="E696">
        <v>1608</v>
      </c>
      <c r="F696">
        <v>1600</v>
      </c>
      <c r="G696">
        <v>1</v>
      </c>
      <c r="H696">
        <v>1174</v>
      </c>
      <c r="I696">
        <v>1170</v>
      </c>
      <c r="J696">
        <v>1187</v>
      </c>
      <c r="K696">
        <v>129</v>
      </c>
      <c r="L696">
        <v>903</v>
      </c>
      <c r="M696">
        <v>774</v>
      </c>
      <c r="N696">
        <v>2166</v>
      </c>
      <c r="O696">
        <v>964</v>
      </c>
      <c r="P696" s="1">
        <v>43862</v>
      </c>
      <c r="Q696">
        <v>182</v>
      </c>
    </row>
    <row r="697" spans="1:17" x14ac:dyDescent="0.25">
      <c r="A697" s="1">
        <v>44044</v>
      </c>
      <c r="B697" t="s">
        <v>144</v>
      </c>
      <c r="C697" t="s">
        <v>56</v>
      </c>
      <c r="D697" t="s">
        <v>55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 s="1">
        <v>44256</v>
      </c>
      <c r="Q697">
        <v>-212</v>
      </c>
    </row>
    <row r="698" spans="1:17" x14ac:dyDescent="0.25">
      <c r="A698" s="1">
        <v>44044</v>
      </c>
      <c r="B698" t="s">
        <v>145</v>
      </c>
      <c r="C698" t="s">
        <v>59</v>
      </c>
      <c r="D698" t="s">
        <v>58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 s="1">
        <v>44287</v>
      </c>
      <c r="Q698">
        <v>-243</v>
      </c>
    </row>
    <row r="699" spans="1:17" x14ac:dyDescent="0.25">
      <c r="A699" s="1">
        <v>44044</v>
      </c>
      <c r="B699" t="s">
        <v>146</v>
      </c>
      <c r="C699" t="s">
        <v>62</v>
      </c>
      <c r="D699" t="s">
        <v>61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 s="1">
        <v>44075</v>
      </c>
      <c r="Q699">
        <v>-31</v>
      </c>
    </row>
    <row r="700" spans="1:17" x14ac:dyDescent="0.25">
      <c r="A700" s="1">
        <v>44075</v>
      </c>
      <c r="B700" t="s">
        <v>147</v>
      </c>
      <c r="C700" t="s">
        <v>64</v>
      </c>
      <c r="D700" t="s">
        <v>52</v>
      </c>
      <c r="E700">
        <v>1052</v>
      </c>
      <c r="F700">
        <v>1081</v>
      </c>
      <c r="G700">
        <v>210</v>
      </c>
      <c r="H700">
        <v>218</v>
      </c>
      <c r="I700">
        <v>310</v>
      </c>
      <c r="J700">
        <v>151</v>
      </c>
      <c r="K700">
        <v>151</v>
      </c>
      <c r="L700">
        <v>669</v>
      </c>
      <c r="M700">
        <v>428</v>
      </c>
      <c r="N700">
        <v>334</v>
      </c>
      <c r="O700">
        <v>411</v>
      </c>
      <c r="P700" s="1">
        <v>43862</v>
      </c>
      <c r="Q700">
        <v>213</v>
      </c>
    </row>
    <row r="701" spans="1:17" x14ac:dyDescent="0.25">
      <c r="A701" s="1">
        <v>44075</v>
      </c>
      <c r="B701" t="s">
        <v>148</v>
      </c>
      <c r="C701" t="s">
        <v>66</v>
      </c>
      <c r="D701" t="s">
        <v>55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 s="1">
        <v>44256</v>
      </c>
      <c r="Q701">
        <v>-181</v>
      </c>
    </row>
    <row r="702" spans="1:17" x14ac:dyDescent="0.25">
      <c r="A702" s="1">
        <v>44075</v>
      </c>
      <c r="B702" t="s">
        <v>149</v>
      </c>
      <c r="C702" t="s">
        <v>67</v>
      </c>
      <c r="D702" t="s">
        <v>55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 s="1">
        <v>44256</v>
      </c>
      <c r="Q702">
        <v>-181</v>
      </c>
    </row>
    <row r="703" spans="1:17" x14ac:dyDescent="0.25">
      <c r="A703" s="1">
        <v>44075</v>
      </c>
      <c r="B703" t="s">
        <v>150</v>
      </c>
      <c r="C703" t="s">
        <v>69</v>
      </c>
      <c r="D703" t="s">
        <v>68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 s="1">
        <v>44317</v>
      </c>
      <c r="Q703">
        <v>-242</v>
      </c>
    </row>
    <row r="704" spans="1:17" x14ac:dyDescent="0.25">
      <c r="A704" s="1">
        <v>44075</v>
      </c>
      <c r="B704" t="s">
        <v>151</v>
      </c>
      <c r="C704" t="s">
        <v>71</v>
      </c>
      <c r="D704" t="s">
        <v>70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 s="1">
        <v>44136</v>
      </c>
      <c r="Q704">
        <v>-61</v>
      </c>
    </row>
    <row r="705" spans="1:17" x14ac:dyDescent="0.25">
      <c r="A705" s="1">
        <v>44075</v>
      </c>
      <c r="B705" t="s">
        <v>152</v>
      </c>
      <c r="C705" t="s">
        <v>11</v>
      </c>
      <c r="D705" t="s">
        <v>52</v>
      </c>
      <c r="E705">
        <v>450</v>
      </c>
      <c r="F705">
        <v>229</v>
      </c>
      <c r="G705">
        <v>419</v>
      </c>
      <c r="H705">
        <v>394</v>
      </c>
      <c r="I705">
        <v>422</v>
      </c>
      <c r="J705">
        <v>405</v>
      </c>
      <c r="K705">
        <v>399</v>
      </c>
      <c r="L705">
        <v>270</v>
      </c>
      <c r="M705">
        <v>282</v>
      </c>
      <c r="N705">
        <v>320</v>
      </c>
      <c r="O705">
        <v>163</v>
      </c>
      <c r="P705" s="1">
        <v>43862</v>
      </c>
      <c r="Q705">
        <v>213</v>
      </c>
    </row>
    <row r="706" spans="1:17" x14ac:dyDescent="0.25">
      <c r="A706" s="1">
        <v>44075</v>
      </c>
      <c r="B706" t="s">
        <v>153</v>
      </c>
      <c r="C706" t="s">
        <v>73</v>
      </c>
      <c r="D706" t="s">
        <v>72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 s="1">
        <v>44440</v>
      </c>
      <c r="Q706">
        <v>-365</v>
      </c>
    </row>
    <row r="707" spans="1:17" x14ac:dyDescent="0.25">
      <c r="A707" s="1">
        <v>44075</v>
      </c>
      <c r="B707" t="s">
        <v>154</v>
      </c>
      <c r="C707" t="s">
        <v>17</v>
      </c>
      <c r="D707" t="s">
        <v>74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 s="1">
        <v>44197</v>
      </c>
      <c r="Q707">
        <v>-122</v>
      </c>
    </row>
    <row r="708" spans="1:17" x14ac:dyDescent="0.25">
      <c r="A708" s="1">
        <v>44075</v>
      </c>
      <c r="B708" t="s">
        <v>155</v>
      </c>
      <c r="C708" t="s">
        <v>76</v>
      </c>
      <c r="D708" t="s">
        <v>75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 s="1">
        <v>44470</v>
      </c>
      <c r="Q708">
        <v>-395</v>
      </c>
    </row>
    <row r="709" spans="1:17" x14ac:dyDescent="0.25">
      <c r="A709" s="1">
        <v>44075</v>
      </c>
      <c r="B709" t="s">
        <v>156</v>
      </c>
      <c r="C709" t="s">
        <v>79</v>
      </c>
      <c r="D709" t="s">
        <v>78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 s="1">
        <v>44348</v>
      </c>
      <c r="Q709">
        <v>-273</v>
      </c>
    </row>
    <row r="710" spans="1:17" x14ac:dyDescent="0.25">
      <c r="A710" s="1">
        <v>44075</v>
      </c>
      <c r="B710" t="s">
        <v>157</v>
      </c>
      <c r="C710" t="s">
        <v>81</v>
      </c>
      <c r="D710" t="s">
        <v>72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 s="1">
        <v>44440</v>
      </c>
      <c r="Q710">
        <v>-365</v>
      </c>
    </row>
    <row r="711" spans="1:17" x14ac:dyDescent="0.25">
      <c r="A711" s="1">
        <v>44075</v>
      </c>
      <c r="B711" t="s">
        <v>158</v>
      </c>
      <c r="C711" t="s">
        <v>83</v>
      </c>
      <c r="D711" t="s">
        <v>82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 s="1">
        <v>44228</v>
      </c>
      <c r="Q711">
        <v>-153</v>
      </c>
    </row>
    <row r="712" spans="1:17" x14ac:dyDescent="0.25">
      <c r="A712" s="1">
        <v>44075</v>
      </c>
      <c r="B712" t="s">
        <v>159</v>
      </c>
      <c r="C712" t="s">
        <v>84</v>
      </c>
      <c r="D712" t="s">
        <v>55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 s="1">
        <v>44256</v>
      </c>
      <c r="Q712">
        <v>-181</v>
      </c>
    </row>
    <row r="713" spans="1:17" x14ac:dyDescent="0.25">
      <c r="A713" s="1">
        <v>44075</v>
      </c>
      <c r="B713" t="s">
        <v>160</v>
      </c>
      <c r="C713" t="s">
        <v>86</v>
      </c>
      <c r="D713" t="s">
        <v>68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 s="1">
        <v>44317</v>
      </c>
      <c r="Q713">
        <v>-242</v>
      </c>
    </row>
    <row r="714" spans="1:17" x14ac:dyDescent="0.25">
      <c r="A714" s="1">
        <v>44075</v>
      </c>
      <c r="B714" t="s">
        <v>161</v>
      </c>
      <c r="C714" t="s">
        <v>87</v>
      </c>
      <c r="D714" t="s">
        <v>72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 s="1">
        <v>44440</v>
      </c>
      <c r="Q714">
        <v>-365</v>
      </c>
    </row>
    <row r="715" spans="1:17" x14ac:dyDescent="0.25">
      <c r="A715" s="1">
        <v>44075</v>
      </c>
      <c r="B715" t="s">
        <v>162</v>
      </c>
      <c r="C715" t="s">
        <v>89</v>
      </c>
      <c r="D715" t="s">
        <v>88</v>
      </c>
      <c r="E715">
        <v>695</v>
      </c>
      <c r="F715">
        <v>3729</v>
      </c>
      <c r="G715">
        <v>2855</v>
      </c>
      <c r="H715">
        <v>5675</v>
      </c>
      <c r="I715">
        <v>1848</v>
      </c>
      <c r="J715">
        <v>1462</v>
      </c>
      <c r="K715">
        <v>11716</v>
      </c>
      <c r="L715">
        <v>2963</v>
      </c>
      <c r="M715">
        <v>5273</v>
      </c>
      <c r="N715">
        <v>2076</v>
      </c>
      <c r="O715">
        <v>5659</v>
      </c>
      <c r="P715" s="1">
        <v>44044</v>
      </c>
      <c r="Q715">
        <v>31</v>
      </c>
    </row>
    <row r="716" spans="1:17" x14ac:dyDescent="0.25">
      <c r="A716" s="1">
        <v>44075</v>
      </c>
      <c r="B716" t="s">
        <v>163</v>
      </c>
      <c r="C716" t="s">
        <v>90</v>
      </c>
      <c r="D716" t="s">
        <v>82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 s="1">
        <v>44228</v>
      </c>
      <c r="Q716">
        <v>-153</v>
      </c>
    </row>
    <row r="717" spans="1:17" x14ac:dyDescent="0.25">
      <c r="A717" s="1">
        <v>44075</v>
      </c>
      <c r="B717" t="s">
        <v>164</v>
      </c>
      <c r="C717" t="s">
        <v>92</v>
      </c>
      <c r="D717" t="s">
        <v>91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 s="1">
        <v>44105</v>
      </c>
      <c r="Q717">
        <v>-30</v>
      </c>
    </row>
    <row r="718" spans="1:17" x14ac:dyDescent="0.25">
      <c r="A718" s="1">
        <v>44075</v>
      </c>
      <c r="B718" t="s">
        <v>165</v>
      </c>
      <c r="C718" t="s">
        <v>94</v>
      </c>
      <c r="D718" t="s">
        <v>93</v>
      </c>
      <c r="E718">
        <v>637</v>
      </c>
      <c r="F718">
        <v>-18</v>
      </c>
      <c r="G718">
        <v>64</v>
      </c>
      <c r="H718">
        <v>15</v>
      </c>
      <c r="I718">
        <v>336</v>
      </c>
      <c r="J718">
        <v>34</v>
      </c>
      <c r="K718">
        <v>18</v>
      </c>
      <c r="L718">
        <v>522</v>
      </c>
      <c r="M718">
        <v>64</v>
      </c>
      <c r="N718">
        <v>763</v>
      </c>
      <c r="O718">
        <v>605</v>
      </c>
      <c r="P718" s="1">
        <v>43586</v>
      </c>
      <c r="Q718">
        <v>489</v>
      </c>
    </row>
    <row r="719" spans="1:17" x14ac:dyDescent="0.25">
      <c r="A719" s="1">
        <v>44075</v>
      </c>
      <c r="B719" t="s">
        <v>166</v>
      </c>
      <c r="C719" t="s">
        <v>96</v>
      </c>
      <c r="D719" t="s">
        <v>95</v>
      </c>
      <c r="E719">
        <v>64</v>
      </c>
      <c r="F719">
        <v>198</v>
      </c>
      <c r="G719">
        <v>145</v>
      </c>
      <c r="H719">
        <v>770</v>
      </c>
      <c r="I719">
        <v>321</v>
      </c>
      <c r="J719">
        <v>193</v>
      </c>
      <c r="K719">
        <v>254</v>
      </c>
      <c r="L719">
        <v>218</v>
      </c>
      <c r="M719">
        <v>373</v>
      </c>
      <c r="N719">
        <v>172</v>
      </c>
      <c r="O719">
        <v>803</v>
      </c>
      <c r="P719" s="1">
        <v>43678</v>
      </c>
      <c r="Q719">
        <v>397</v>
      </c>
    </row>
    <row r="720" spans="1:17" x14ac:dyDescent="0.25">
      <c r="A720" s="1">
        <v>44075</v>
      </c>
      <c r="B720" t="s">
        <v>167</v>
      </c>
      <c r="C720" t="s">
        <v>97</v>
      </c>
      <c r="D720" t="s">
        <v>58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 s="1">
        <v>44287</v>
      </c>
      <c r="Q720">
        <v>-212</v>
      </c>
    </row>
    <row r="721" spans="1:17" x14ac:dyDescent="0.25">
      <c r="A721" s="1">
        <v>44075</v>
      </c>
      <c r="B721" t="s">
        <v>168</v>
      </c>
      <c r="C721" t="s">
        <v>98</v>
      </c>
      <c r="D721" t="s">
        <v>49</v>
      </c>
      <c r="E721">
        <v>645</v>
      </c>
      <c r="F721">
        <v>166</v>
      </c>
      <c r="G721">
        <v>257</v>
      </c>
      <c r="H721">
        <v>48</v>
      </c>
      <c r="I721">
        <v>38</v>
      </c>
      <c r="J721">
        <v>42</v>
      </c>
      <c r="K721">
        <v>168</v>
      </c>
      <c r="L721">
        <v>3</v>
      </c>
      <c r="M721">
        <v>276</v>
      </c>
      <c r="N721">
        <v>1092</v>
      </c>
      <c r="O721">
        <v>62</v>
      </c>
      <c r="P721" s="1">
        <v>43709</v>
      </c>
      <c r="Q721">
        <v>366</v>
      </c>
    </row>
    <row r="722" spans="1:17" x14ac:dyDescent="0.25">
      <c r="A722" s="1">
        <v>44075</v>
      </c>
      <c r="B722" t="s">
        <v>169</v>
      </c>
      <c r="C722" t="s">
        <v>99</v>
      </c>
      <c r="D722" t="s">
        <v>95</v>
      </c>
      <c r="E722">
        <v>221</v>
      </c>
      <c r="F722">
        <v>399</v>
      </c>
      <c r="G722">
        <v>260</v>
      </c>
      <c r="H722">
        <v>245</v>
      </c>
      <c r="I722">
        <v>485</v>
      </c>
      <c r="J722">
        <v>642</v>
      </c>
      <c r="K722">
        <v>441</v>
      </c>
      <c r="L722">
        <v>63</v>
      </c>
      <c r="M722">
        <v>357</v>
      </c>
      <c r="N722">
        <v>165</v>
      </c>
      <c r="O722">
        <v>395</v>
      </c>
      <c r="P722" s="1">
        <v>43678</v>
      </c>
      <c r="Q722">
        <v>397</v>
      </c>
    </row>
    <row r="723" spans="1:17" x14ac:dyDescent="0.25">
      <c r="A723" s="1">
        <v>44075</v>
      </c>
      <c r="B723" t="s">
        <v>170</v>
      </c>
      <c r="C723" t="s">
        <v>100</v>
      </c>
      <c r="D723" t="s">
        <v>82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 s="1">
        <v>44228</v>
      </c>
      <c r="Q723">
        <v>-153</v>
      </c>
    </row>
    <row r="724" spans="1:17" x14ac:dyDescent="0.25">
      <c r="A724" s="1">
        <v>44075</v>
      </c>
      <c r="B724" t="s">
        <v>171</v>
      </c>
      <c r="C724" t="s">
        <v>101</v>
      </c>
      <c r="D724" t="s">
        <v>68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 s="1">
        <v>44317</v>
      </c>
      <c r="Q724">
        <v>-242</v>
      </c>
    </row>
    <row r="725" spans="1:17" x14ac:dyDescent="0.25">
      <c r="A725" s="1">
        <v>44075</v>
      </c>
      <c r="B725" t="s">
        <v>172</v>
      </c>
      <c r="C725" t="s">
        <v>102</v>
      </c>
      <c r="D725" t="s">
        <v>88</v>
      </c>
      <c r="E725">
        <v>1857</v>
      </c>
      <c r="F725">
        <v>623</v>
      </c>
      <c r="G725">
        <v>2615</v>
      </c>
      <c r="H725">
        <v>11733</v>
      </c>
      <c r="I725">
        <v>1163</v>
      </c>
      <c r="J725">
        <v>3082</v>
      </c>
      <c r="K725">
        <v>4052</v>
      </c>
      <c r="L725">
        <v>3835</v>
      </c>
      <c r="M725">
        <v>2156</v>
      </c>
      <c r="N725">
        <v>2349</v>
      </c>
      <c r="O725">
        <v>3172</v>
      </c>
      <c r="P725" s="1">
        <v>44044</v>
      </c>
      <c r="Q725">
        <v>31</v>
      </c>
    </row>
    <row r="726" spans="1:17" x14ac:dyDescent="0.25">
      <c r="A726" s="1">
        <v>44075</v>
      </c>
      <c r="B726" t="s">
        <v>173</v>
      </c>
      <c r="C726" t="s">
        <v>103</v>
      </c>
      <c r="D726" t="s">
        <v>52</v>
      </c>
      <c r="E726">
        <v>194</v>
      </c>
      <c r="F726">
        <v>439</v>
      </c>
      <c r="G726">
        <v>452</v>
      </c>
      <c r="H726">
        <v>227</v>
      </c>
      <c r="I726">
        <v>1975</v>
      </c>
      <c r="J726">
        <v>366</v>
      </c>
      <c r="K726">
        <v>656</v>
      </c>
      <c r="L726">
        <v>884</v>
      </c>
      <c r="M726">
        <v>260</v>
      </c>
      <c r="N726">
        <v>1264</v>
      </c>
      <c r="O726">
        <v>340</v>
      </c>
      <c r="P726" s="1">
        <v>43862</v>
      </c>
      <c r="Q726">
        <v>213</v>
      </c>
    </row>
    <row r="727" spans="1:17" x14ac:dyDescent="0.25">
      <c r="A727" s="1">
        <v>44075</v>
      </c>
      <c r="B727" t="s">
        <v>174</v>
      </c>
      <c r="C727" t="s">
        <v>105</v>
      </c>
      <c r="D727" t="s">
        <v>104</v>
      </c>
      <c r="E727">
        <v>83</v>
      </c>
      <c r="F727">
        <v>136</v>
      </c>
      <c r="G727">
        <v>140</v>
      </c>
      <c r="H727">
        <v>196</v>
      </c>
      <c r="I727">
        <v>240</v>
      </c>
      <c r="J727">
        <v>114</v>
      </c>
      <c r="K727">
        <v>114</v>
      </c>
      <c r="L727">
        <v>20</v>
      </c>
      <c r="M727">
        <v>201</v>
      </c>
      <c r="N727">
        <v>419</v>
      </c>
      <c r="O727">
        <v>489</v>
      </c>
      <c r="P727" s="1">
        <v>43374</v>
      </c>
      <c r="Q727">
        <v>701</v>
      </c>
    </row>
    <row r="728" spans="1:17" x14ac:dyDescent="0.25">
      <c r="A728" s="1">
        <v>44075</v>
      </c>
      <c r="B728" t="s">
        <v>142</v>
      </c>
      <c r="C728" t="s">
        <v>50</v>
      </c>
      <c r="D728" t="s">
        <v>49</v>
      </c>
      <c r="E728">
        <v>414</v>
      </c>
      <c r="F728">
        <v>327</v>
      </c>
      <c r="G728">
        <v>199</v>
      </c>
      <c r="H728">
        <v>835</v>
      </c>
      <c r="I728">
        <v>787</v>
      </c>
      <c r="J728">
        <v>555</v>
      </c>
      <c r="K728">
        <v>298</v>
      </c>
      <c r="L728">
        <v>1068</v>
      </c>
      <c r="M728">
        <v>976</v>
      </c>
      <c r="N728">
        <v>840</v>
      </c>
      <c r="O728">
        <v>1190</v>
      </c>
      <c r="P728" s="1">
        <v>43709</v>
      </c>
      <c r="Q728">
        <v>366</v>
      </c>
    </row>
    <row r="729" spans="1:17" x14ac:dyDescent="0.25">
      <c r="A729" s="1">
        <v>44075</v>
      </c>
      <c r="B729" t="s">
        <v>143</v>
      </c>
      <c r="C729" t="s">
        <v>53</v>
      </c>
      <c r="D729" t="s">
        <v>52</v>
      </c>
      <c r="E729">
        <v>1297</v>
      </c>
      <c r="F729">
        <v>1246</v>
      </c>
      <c r="G729">
        <v>179</v>
      </c>
      <c r="H729">
        <v>686</v>
      </c>
      <c r="I729">
        <v>795</v>
      </c>
      <c r="J729">
        <v>2550</v>
      </c>
      <c r="K729">
        <v>367</v>
      </c>
      <c r="L729">
        <v>1871</v>
      </c>
      <c r="M729">
        <v>1105</v>
      </c>
      <c r="N729">
        <v>1001</v>
      </c>
      <c r="O729">
        <v>1061</v>
      </c>
      <c r="P729" s="1">
        <v>43862</v>
      </c>
      <c r="Q729">
        <v>213</v>
      </c>
    </row>
    <row r="730" spans="1:17" x14ac:dyDescent="0.25">
      <c r="A730" s="1">
        <v>44075</v>
      </c>
      <c r="B730" t="s">
        <v>144</v>
      </c>
      <c r="C730" t="s">
        <v>56</v>
      </c>
      <c r="D730" t="s">
        <v>55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 s="1">
        <v>44256</v>
      </c>
      <c r="Q730">
        <v>-181</v>
      </c>
    </row>
    <row r="731" spans="1:17" x14ac:dyDescent="0.25">
      <c r="A731" s="1">
        <v>44075</v>
      </c>
      <c r="B731" t="s">
        <v>145</v>
      </c>
      <c r="C731" t="s">
        <v>59</v>
      </c>
      <c r="D731" t="s">
        <v>58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 s="1">
        <v>44287</v>
      </c>
      <c r="Q731">
        <v>-212</v>
      </c>
    </row>
    <row r="732" spans="1:17" x14ac:dyDescent="0.25">
      <c r="A732" s="1">
        <v>44075</v>
      </c>
      <c r="B732" t="s">
        <v>146</v>
      </c>
      <c r="C732" t="s">
        <v>62</v>
      </c>
      <c r="D732" t="s">
        <v>61</v>
      </c>
      <c r="E732">
        <v>10271</v>
      </c>
      <c r="F732">
        <v>12106</v>
      </c>
      <c r="G732">
        <v>2031</v>
      </c>
      <c r="H732">
        <v>2939</v>
      </c>
      <c r="I732">
        <v>3075</v>
      </c>
      <c r="J732">
        <v>1767</v>
      </c>
      <c r="K732">
        <v>1520</v>
      </c>
      <c r="L732">
        <v>9220</v>
      </c>
      <c r="M732">
        <v>2849</v>
      </c>
      <c r="N732">
        <v>1856</v>
      </c>
      <c r="O732">
        <v>1054</v>
      </c>
      <c r="P732" s="1">
        <v>44075</v>
      </c>
      <c r="Q732">
        <v>0</v>
      </c>
    </row>
    <row r="733" spans="1:17" x14ac:dyDescent="0.25">
      <c r="A733" s="1">
        <v>44075</v>
      </c>
      <c r="B733" t="s">
        <v>147</v>
      </c>
      <c r="C733" t="s">
        <v>64</v>
      </c>
      <c r="D733" t="s">
        <v>52</v>
      </c>
      <c r="E733">
        <v>1343</v>
      </c>
      <c r="F733">
        <v>707</v>
      </c>
      <c r="G733">
        <v>325</v>
      </c>
      <c r="H733">
        <v>399</v>
      </c>
      <c r="I733">
        <v>215</v>
      </c>
      <c r="J733">
        <v>353</v>
      </c>
      <c r="K733">
        <v>348</v>
      </c>
      <c r="L733">
        <v>419</v>
      </c>
      <c r="M733">
        <v>363</v>
      </c>
      <c r="N733">
        <v>336</v>
      </c>
      <c r="O733">
        <v>457</v>
      </c>
      <c r="P733" s="1">
        <v>43862</v>
      </c>
      <c r="Q733">
        <v>213</v>
      </c>
    </row>
    <row r="734" spans="1:17" x14ac:dyDescent="0.25">
      <c r="A734" s="1">
        <v>44075</v>
      </c>
      <c r="B734" t="s">
        <v>148</v>
      </c>
      <c r="C734" t="s">
        <v>66</v>
      </c>
      <c r="D734" t="s">
        <v>55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 s="1">
        <v>44256</v>
      </c>
      <c r="Q734">
        <v>-181</v>
      </c>
    </row>
    <row r="735" spans="1:17" x14ac:dyDescent="0.25">
      <c r="A735" s="1">
        <v>44105</v>
      </c>
      <c r="B735" t="s">
        <v>149</v>
      </c>
      <c r="C735" t="s">
        <v>67</v>
      </c>
      <c r="D735" t="s">
        <v>55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 s="1">
        <v>44256</v>
      </c>
      <c r="Q735">
        <v>-151</v>
      </c>
    </row>
    <row r="736" spans="1:17" x14ac:dyDescent="0.25">
      <c r="A736" s="1">
        <v>44105</v>
      </c>
      <c r="B736" t="s">
        <v>150</v>
      </c>
      <c r="C736" t="s">
        <v>69</v>
      </c>
      <c r="D736" t="s">
        <v>68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 s="1">
        <v>44317</v>
      </c>
      <c r="Q736">
        <v>-212</v>
      </c>
    </row>
    <row r="737" spans="1:17" x14ac:dyDescent="0.25">
      <c r="A737" s="1">
        <v>44105</v>
      </c>
      <c r="B737" t="s">
        <v>151</v>
      </c>
      <c r="C737" t="s">
        <v>71</v>
      </c>
      <c r="D737" t="s">
        <v>70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 s="1">
        <v>44136</v>
      </c>
      <c r="Q737">
        <v>-31</v>
      </c>
    </row>
    <row r="738" spans="1:17" x14ac:dyDescent="0.25">
      <c r="A738" s="1">
        <v>44105</v>
      </c>
      <c r="B738" t="s">
        <v>152</v>
      </c>
      <c r="C738" t="s">
        <v>11</v>
      </c>
      <c r="D738" t="s">
        <v>52</v>
      </c>
      <c r="E738">
        <v>122</v>
      </c>
      <c r="F738">
        <v>350</v>
      </c>
      <c r="G738">
        <v>73</v>
      </c>
      <c r="H738">
        <v>323</v>
      </c>
      <c r="I738">
        <v>107</v>
      </c>
      <c r="J738">
        <v>341</v>
      </c>
      <c r="K738">
        <v>299</v>
      </c>
      <c r="L738">
        <v>241</v>
      </c>
      <c r="M738">
        <v>157</v>
      </c>
      <c r="N738">
        <v>313</v>
      </c>
      <c r="O738">
        <v>148</v>
      </c>
      <c r="P738" s="1">
        <v>43862</v>
      </c>
      <c r="Q738">
        <v>243</v>
      </c>
    </row>
    <row r="739" spans="1:17" x14ac:dyDescent="0.25">
      <c r="A739" s="1">
        <v>44105</v>
      </c>
      <c r="B739" t="s">
        <v>153</v>
      </c>
      <c r="C739" t="s">
        <v>73</v>
      </c>
      <c r="D739" t="s">
        <v>72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 s="1">
        <v>44440</v>
      </c>
      <c r="Q739">
        <v>-335</v>
      </c>
    </row>
    <row r="740" spans="1:17" x14ac:dyDescent="0.25">
      <c r="A740" s="1">
        <v>44105</v>
      </c>
      <c r="B740" t="s">
        <v>154</v>
      </c>
      <c r="C740" t="s">
        <v>17</v>
      </c>
      <c r="D740" t="s">
        <v>74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 s="1">
        <v>44197</v>
      </c>
      <c r="Q740">
        <v>-92</v>
      </c>
    </row>
    <row r="741" spans="1:17" x14ac:dyDescent="0.25">
      <c r="A741" s="1">
        <v>44105</v>
      </c>
      <c r="B741" t="s">
        <v>155</v>
      </c>
      <c r="C741" t="s">
        <v>76</v>
      </c>
      <c r="D741" t="s">
        <v>75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 s="1">
        <v>44470</v>
      </c>
      <c r="Q741">
        <v>-365</v>
      </c>
    </row>
    <row r="742" spans="1:17" x14ac:dyDescent="0.25">
      <c r="A742" s="1">
        <v>44105</v>
      </c>
      <c r="B742" t="s">
        <v>156</v>
      </c>
      <c r="C742" t="s">
        <v>79</v>
      </c>
      <c r="D742" t="s">
        <v>78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 s="1">
        <v>44348</v>
      </c>
      <c r="Q742">
        <v>-243</v>
      </c>
    </row>
    <row r="743" spans="1:17" x14ac:dyDescent="0.25">
      <c r="A743" s="1">
        <v>44105</v>
      </c>
      <c r="B743" t="s">
        <v>157</v>
      </c>
      <c r="C743" t="s">
        <v>81</v>
      </c>
      <c r="D743" t="s">
        <v>72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 s="1">
        <v>44440</v>
      </c>
      <c r="Q743">
        <v>-335</v>
      </c>
    </row>
    <row r="744" spans="1:17" x14ac:dyDescent="0.25">
      <c r="A744" s="1">
        <v>44105</v>
      </c>
      <c r="B744" t="s">
        <v>158</v>
      </c>
      <c r="C744" t="s">
        <v>83</v>
      </c>
      <c r="D744" t="s">
        <v>82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 s="1">
        <v>44228</v>
      </c>
      <c r="Q744">
        <v>-123</v>
      </c>
    </row>
    <row r="745" spans="1:17" x14ac:dyDescent="0.25">
      <c r="A745" s="1">
        <v>44105</v>
      </c>
      <c r="B745" t="s">
        <v>159</v>
      </c>
      <c r="C745" t="s">
        <v>84</v>
      </c>
      <c r="D745" t="s">
        <v>55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 s="1">
        <v>44256</v>
      </c>
      <c r="Q745">
        <v>-151</v>
      </c>
    </row>
    <row r="746" spans="1:17" x14ac:dyDescent="0.25">
      <c r="A746" s="1">
        <v>44105</v>
      </c>
      <c r="B746" t="s">
        <v>160</v>
      </c>
      <c r="C746" t="s">
        <v>86</v>
      </c>
      <c r="D746" t="s">
        <v>68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 s="1">
        <v>44317</v>
      </c>
      <c r="Q746">
        <v>-212</v>
      </c>
    </row>
    <row r="747" spans="1:17" x14ac:dyDescent="0.25">
      <c r="A747" s="1">
        <v>44105</v>
      </c>
      <c r="B747" t="s">
        <v>161</v>
      </c>
      <c r="C747" t="s">
        <v>87</v>
      </c>
      <c r="D747" t="s">
        <v>72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 s="1">
        <v>44440</v>
      </c>
      <c r="Q747">
        <v>-335</v>
      </c>
    </row>
    <row r="748" spans="1:17" x14ac:dyDescent="0.25">
      <c r="A748" s="1">
        <v>44105</v>
      </c>
      <c r="B748" t="s">
        <v>162</v>
      </c>
      <c r="C748" t="s">
        <v>89</v>
      </c>
      <c r="D748" t="s">
        <v>88</v>
      </c>
      <c r="E748">
        <v>723</v>
      </c>
      <c r="F748">
        <v>1022</v>
      </c>
      <c r="G748">
        <v>762</v>
      </c>
      <c r="H748">
        <v>5875</v>
      </c>
      <c r="I748">
        <v>730</v>
      </c>
      <c r="J748">
        <v>943</v>
      </c>
      <c r="K748">
        <v>4170</v>
      </c>
      <c r="L748">
        <v>1050</v>
      </c>
      <c r="M748">
        <v>2608</v>
      </c>
      <c r="N748">
        <v>1117</v>
      </c>
      <c r="O748">
        <v>3938</v>
      </c>
      <c r="P748" s="1">
        <v>44044</v>
      </c>
      <c r="Q748">
        <v>61</v>
      </c>
    </row>
    <row r="749" spans="1:17" x14ac:dyDescent="0.25">
      <c r="A749" s="1">
        <v>44105</v>
      </c>
      <c r="B749" t="s">
        <v>163</v>
      </c>
      <c r="C749" t="s">
        <v>90</v>
      </c>
      <c r="D749" t="s">
        <v>82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 s="1">
        <v>44228</v>
      </c>
      <c r="Q749">
        <v>-123</v>
      </c>
    </row>
    <row r="750" spans="1:17" x14ac:dyDescent="0.25">
      <c r="A750" s="1">
        <v>44105</v>
      </c>
      <c r="B750" t="s">
        <v>164</v>
      </c>
      <c r="C750" t="s">
        <v>92</v>
      </c>
      <c r="D750" t="s">
        <v>91</v>
      </c>
      <c r="E750">
        <v>7077</v>
      </c>
      <c r="F750">
        <v>1193</v>
      </c>
      <c r="G750">
        <v>1666</v>
      </c>
      <c r="H750">
        <v>1908</v>
      </c>
      <c r="I750">
        <v>2352</v>
      </c>
      <c r="J750">
        <v>2707</v>
      </c>
      <c r="K750">
        <v>3758</v>
      </c>
      <c r="L750">
        <v>818</v>
      </c>
      <c r="M750">
        <v>3127</v>
      </c>
      <c r="N750">
        <v>2527</v>
      </c>
      <c r="O750">
        <v>1613</v>
      </c>
      <c r="P750" s="1">
        <v>44105</v>
      </c>
      <c r="Q750">
        <v>0</v>
      </c>
    </row>
    <row r="751" spans="1:17" x14ac:dyDescent="0.25">
      <c r="A751" s="1">
        <v>44105</v>
      </c>
      <c r="B751" t="s">
        <v>165</v>
      </c>
      <c r="C751" t="s">
        <v>94</v>
      </c>
      <c r="D751" t="s">
        <v>93</v>
      </c>
      <c r="E751">
        <v>486</v>
      </c>
      <c r="F751">
        <v>178</v>
      </c>
      <c r="G751">
        <v>286</v>
      </c>
      <c r="H751">
        <v>312</v>
      </c>
      <c r="I751">
        <v>116</v>
      </c>
      <c r="J751">
        <v>72</v>
      </c>
      <c r="K751">
        <v>164</v>
      </c>
      <c r="L751">
        <v>-25</v>
      </c>
      <c r="M751">
        <v>156</v>
      </c>
      <c r="N751">
        <v>461</v>
      </c>
      <c r="O751">
        <v>252</v>
      </c>
      <c r="P751" s="1">
        <v>43586</v>
      </c>
      <c r="Q751">
        <v>519</v>
      </c>
    </row>
    <row r="752" spans="1:17" x14ac:dyDescent="0.25">
      <c r="A752" s="1">
        <v>44105</v>
      </c>
      <c r="B752" t="s">
        <v>166</v>
      </c>
      <c r="C752" t="s">
        <v>96</v>
      </c>
      <c r="D752" t="s">
        <v>95</v>
      </c>
      <c r="E752">
        <v>85</v>
      </c>
      <c r="F752">
        <v>1</v>
      </c>
      <c r="G752">
        <v>94</v>
      </c>
      <c r="H752">
        <v>1036</v>
      </c>
      <c r="I752">
        <v>69</v>
      </c>
      <c r="J752">
        <v>77</v>
      </c>
      <c r="K752">
        <v>413</v>
      </c>
      <c r="L752">
        <v>78</v>
      </c>
      <c r="M752">
        <v>259</v>
      </c>
      <c r="N752">
        <v>-9</v>
      </c>
      <c r="O752">
        <v>512</v>
      </c>
      <c r="P752" s="1">
        <v>43678</v>
      </c>
      <c r="Q752">
        <v>427</v>
      </c>
    </row>
    <row r="753" spans="1:17" x14ac:dyDescent="0.25">
      <c r="A753" s="1">
        <v>44105</v>
      </c>
      <c r="B753" t="s">
        <v>167</v>
      </c>
      <c r="C753" t="s">
        <v>97</v>
      </c>
      <c r="D753" t="s">
        <v>58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 s="1">
        <v>44287</v>
      </c>
      <c r="Q753">
        <v>-182</v>
      </c>
    </row>
    <row r="754" spans="1:17" x14ac:dyDescent="0.25">
      <c r="A754" s="1">
        <v>44105</v>
      </c>
      <c r="B754" t="s">
        <v>168</v>
      </c>
      <c r="C754" t="s">
        <v>98</v>
      </c>
      <c r="D754" t="s">
        <v>49</v>
      </c>
      <c r="E754">
        <v>263</v>
      </c>
      <c r="F754">
        <v>124</v>
      </c>
      <c r="G754">
        <v>316</v>
      </c>
      <c r="H754">
        <v>40</v>
      </c>
      <c r="I754">
        <v>155</v>
      </c>
      <c r="J754">
        <v>146</v>
      </c>
      <c r="K754">
        <v>300</v>
      </c>
      <c r="L754">
        <v>1108</v>
      </c>
      <c r="M754">
        <v>169</v>
      </c>
      <c r="N754">
        <v>235</v>
      </c>
      <c r="O754">
        <v>-20</v>
      </c>
      <c r="P754" s="1">
        <v>43709</v>
      </c>
      <c r="Q754">
        <v>396</v>
      </c>
    </row>
    <row r="755" spans="1:17" x14ac:dyDescent="0.25">
      <c r="A755" s="1">
        <v>44105</v>
      </c>
      <c r="B755" t="s">
        <v>169</v>
      </c>
      <c r="C755" t="s">
        <v>99</v>
      </c>
      <c r="D755" t="s">
        <v>95</v>
      </c>
      <c r="E755">
        <v>46</v>
      </c>
      <c r="F755">
        <v>219</v>
      </c>
      <c r="G755">
        <v>164</v>
      </c>
      <c r="H755">
        <v>608</v>
      </c>
      <c r="I755">
        <v>456</v>
      </c>
      <c r="J755">
        <v>446</v>
      </c>
      <c r="K755">
        <v>592</v>
      </c>
      <c r="L755">
        <v>11</v>
      </c>
      <c r="M755">
        <v>133</v>
      </c>
      <c r="N755">
        <v>117</v>
      </c>
      <c r="O755">
        <v>364</v>
      </c>
      <c r="P755" s="1">
        <v>43678</v>
      </c>
      <c r="Q755">
        <v>427</v>
      </c>
    </row>
    <row r="756" spans="1:17" x14ac:dyDescent="0.25">
      <c r="A756" s="1">
        <v>44105</v>
      </c>
      <c r="B756" t="s">
        <v>170</v>
      </c>
      <c r="C756" t="s">
        <v>100</v>
      </c>
      <c r="D756" t="s">
        <v>82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 s="1">
        <v>44228</v>
      </c>
      <c r="Q756">
        <v>-123</v>
      </c>
    </row>
    <row r="757" spans="1:17" x14ac:dyDescent="0.25">
      <c r="A757" s="1">
        <v>44105</v>
      </c>
      <c r="B757" t="s">
        <v>171</v>
      </c>
      <c r="C757" t="s">
        <v>101</v>
      </c>
      <c r="D757" t="s">
        <v>68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 s="1">
        <v>44317</v>
      </c>
      <c r="Q757">
        <v>-212</v>
      </c>
    </row>
    <row r="758" spans="1:17" x14ac:dyDescent="0.25">
      <c r="A758" s="1">
        <v>44105</v>
      </c>
      <c r="B758" t="s">
        <v>172</v>
      </c>
      <c r="C758" t="s">
        <v>102</v>
      </c>
      <c r="D758" t="s">
        <v>88</v>
      </c>
      <c r="E758">
        <v>491</v>
      </c>
      <c r="F758">
        <v>518</v>
      </c>
      <c r="G758">
        <v>1505</v>
      </c>
      <c r="H758">
        <v>2722</v>
      </c>
      <c r="I758">
        <v>1671</v>
      </c>
      <c r="J758">
        <v>766</v>
      </c>
      <c r="K758">
        <v>1757</v>
      </c>
      <c r="L758">
        <v>1856</v>
      </c>
      <c r="M758">
        <v>5314</v>
      </c>
      <c r="N758">
        <v>1197</v>
      </c>
      <c r="O758">
        <v>5840</v>
      </c>
      <c r="P758" s="1">
        <v>44044</v>
      </c>
      <c r="Q758">
        <v>61</v>
      </c>
    </row>
    <row r="759" spans="1:17" x14ac:dyDescent="0.25">
      <c r="A759" s="1">
        <v>44105</v>
      </c>
      <c r="B759" t="s">
        <v>173</v>
      </c>
      <c r="C759" t="s">
        <v>103</v>
      </c>
      <c r="D759" t="s">
        <v>52</v>
      </c>
      <c r="E759">
        <v>277</v>
      </c>
      <c r="F759">
        <v>169</v>
      </c>
      <c r="G759">
        <v>284</v>
      </c>
      <c r="H759">
        <v>937</v>
      </c>
      <c r="I759">
        <v>890</v>
      </c>
      <c r="J759">
        <v>238</v>
      </c>
      <c r="K759">
        <v>1083</v>
      </c>
      <c r="L759">
        <v>552</v>
      </c>
      <c r="M759">
        <v>160</v>
      </c>
      <c r="N759">
        <v>726</v>
      </c>
      <c r="O759">
        <v>117</v>
      </c>
      <c r="P759" s="1">
        <v>43862</v>
      </c>
      <c r="Q759">
        <v>243</v>
      </c>
    </row>
    <row r="760" spans="1:17" x14ac:dyDescent="0.25">
      <c r="A760" s="1">
        <v>44105</v>
      </c>
      <c r="B760" t="s">
        <v>174</v>
      </c>
      <c r="C760" t="s">
        <v>105</v>
      </c>
      <c r="D760" t="s">
        <v>104</v>
      </c>
      <c r="E760">
        <v>39</v>
      </c>
      <c r="F760">
        <v>101</v>
      </c>
      <c r="G760">
        <v>76</v>
      </c>
      <c r="H760">
        <v>231</v>
      </c>
      <c r="I760">
        <v>188</v>
      </c>
      <c r="J760">
        <v>61</v>
      </c>
      <c r="K760">
        <v>136</v>
      </c>
      <c r="L760">
        <v>138</v>
      </c>
      <c r="M760">
        <v>183</v>
      </c>
      <c r="N760">
        <v>-131</v>
      </c>
      <c r="O760">
        <v>382</v>
      </c>
      <c r="P760" s="1">
        <v>43374</v>
      </c>
      <c r="Q760">
        <v>731</v>
      </c>
    </row>
    <row r="761" spans="1:17" x14ac:dyDescent="0.25">
      <c r="A761" s="1">
        <v>44105</v>
      </c>
      <c r="B761" t="s">
        <v>142</v>
      </c>
      <c r="C761" t="s">
        <v>50</v>
      </c>
      <c r="D761" t="s">
        <v>49</v>
      </c>
      <c r="E761">
        <v>-178</v>
      </c>
      <c r="F761">
        <v>377</v>
      </c>
      <c r="G761">
        <v>140</v>
      </c>
      <c r="H761">
        <v>740</v>
      </c>
      <c r="I761">
        <v>434</v>
      </c>
      <c r="J761">
        <v>620</v>
      </c>
      <c r="K761">
        <v>86</v>
      </c>
      <c r="L761">
        <v>431</v>
      </c>
      <c r="M761">
        <v>616</v>
      </c>
      <c r="N761">
        <v>145</v>
      </c>
      <c r="O761">
        <v>727</v>
      </c>
      <c r="P761" s="1">
        <v>43709</v>
      </c>
      <c r="Q761">
        <v>396</v>
      </c>
    </row>
    <row r="762" spans="1:17" x14ac:dyDescent="0.25">
      <c r="A762" s="1">
        <v>44105</v>
      </c>
      <c r="B762" t="s">
        <v>143</v>
      </c>
      <c r="C762" t="s">
        <v>53</v>
      </c>
      <c r="D762" t="s">
        <v>52</v>
      </c>
      <c r="E762">
        <v>615</v>
      </c>
      <c r="F762">
        <v>899</v>
      </c>
      <c r="G762">
        <v>33</v>
      </c>
      <c r="H762">
        <v>739</v>
      </c>
      <c r="I762">
        <v>1687</v>
      </c>
      <c r="J762">
        <v>203</v>
      </c>
      <c r="K762">
        <v>430</v>
      </c>
      <c r="L762">
        <v>1984</v>
      </c>
      <c r="M762">
        <v>824</v>
      </c>
      <c r="N762">
        <v>1216</v>
      </c>
      <c r="O762">
        <v>948</v>
      </c>
      <c r="P762" s="1">
        <v>43862</v>
      </c>
      <c r="Q762">
        <v>243</v>
      </c>
    </row>
    <row r="763" spans="1:17" x14ac:dyDescent="0.25">
      <c r="A763" s="1">
        <v>44105</v>
      </c>
      <c r="B763" t="s">
        <v>144</v>
      </c>
      <c r="C763" t="s">
        <v>56</v>
      </c>
      <c r="D763" t="s">
        <v>55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 s="1">
        <v>44256</v>
      </c>
      <c r="Q763">
        <v>-151</v>
      </c>
    </row>
    <row r="764" spans="1:17" x14ac:dyDescent="0.25">
      <c r="A764" s="1">
        <v>44105</v>
      </c>
      <c r="B764" t="s">
        <v>145</v>
      </c>
      <c r="C764" t="s">
        <v>59</v>
      </c>
      <c r="D764" t="s">
        <v>58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 s="1">
        <v>44287</v>
      </c>
      <c r="Q764">
        <v>-182</v>
      </c>
    </row>
    <row r="765" spans="1:17" x14ac:dyDescent="0.25">
      <c r="A765" s="1">
        <v>44105</v>
      </c>
      <c r="B765" t="s">
        <v>146</v>
      </c>
      <c r="C765" t="s">
        <v>62</v>
      </c>
      <c r="D765" t="s">
        <v>61</v>
      </c>
      <c r="E765">
        <v>6493</v>
      </c>
      <c r="F765">
        <v>8113</v>
      </c>
      <c r="G765">
        <v>4106</v>
      </c>
      <c r="H765">
        <v>859</v>
      </c>
      <c r="I765">
        <v>2434</v>
      </c>
      <c r="J765">
        <v>2701</v>
      </c>
      <c r="K765">
        <v>2706</v>
      </c>
      <c r="L765">
        <v>7446</v>
      </c>
      <c r="M765">
        <v>-151</v>
      </c>
      <c r="N765">
        <v>2028</v>
      </c>
      <c r="O765">
        <v>3216</v>
      </c>
      <c r="P765" s="1">
        <v>44075</v>
      </c>
      <c r="Q765">
        <v>30</v>
      </c>
    </row>
    <row r="766" spans="1:17" x14ac:dyDescent="0.25">
      <c r="A766" s="1">
        <v>44105</v>
      </c>
      <c r="B766" t="s">
        <v>147</v>
      </c>
      <c r="C766" t="s">
        <v>64</v>
      </c>
      <c r="D766" t="s">
        <v>52</v>
      </c>
      <c r="E766">
        <v>1505</v>
      </c>
      <c r="F766">
        <v>529</v>
      </c>
      <c r="G766">
        <v>267</v>
      </c>
      <c r="H766">
        <v>141</v>
      </c>
      <c r="I766">
        <v>226</v>
      </c>
      <c r="J766">
        <v>108</v>
      </c>
      <c r="K766">
        <v>108</v>
      </c>
      <c r="L766">
        <v>79</v>
      </c>
      <c r="M766">
        <v>74</v>
      </c>
      <c r="N766">
        <v>128</v>
      </c>
      <c r="O766">
        <v>385</v>
      </c>
      <c r="P766" s="1">
        <v>43862</v>
      </c>
      <c r="Q766">
        <v>243</v>
      </c>
    </row>
    <row r="767" spans="1:17" x14ac:dyDescent="0.25">
      <c r="A767" s="1">
        <v>44105</v>
      </c>
      <c r="B767" t="s">
        <v>148</v>
      </c>
      <c r="C767" t="s">
        <v>66</v>
      </c>
      <c r="D767" t="s">
        <v>55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 s="1">
        <v>44256</v>
      </c>
      <c r="Q767">
        <v>-151</v>
      </c>
    </row>
    <row r="768" spans="1:17" x14ac:dyDescent="0.25">
      <c r="A768" s="1">
        <v>44105</v>
      </c>
      <c r="B768" t="s">
        <v>149</v>
      </c>
      <c r="C768" t="s">
        <v>67</v>
      </c>
      <c r="D768" t="s">
        <v>55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 s="1">
        <v>44256</v>
      </c>
      <c r="Q768">
        <v>-151</v>
      </c>
    </row>
    <row r="769" spans="1:17" x14ac:dyDescent="0.25">
      <c r="A769" s="1">
        <v>44105</v>
      </c>
      <c r="B769" t="s">
        <v>150</v>
      </c>
      <c r="C769" t="s">
        <v>69</v>
      </c>
      <c r="D769" t="s">
        <v>68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 s="1">
        <v>44317</v>
      </c>
      <c r="Q769">
        <v>-212</v>
      </c>
    </row>
    <row r="770" spans="1:17" x14ac:dyDescent="0.25">
      <c r="A770" s="1">
        <v>44136</v>
      </c>
      <c r="B770" t="s">
        <v>151</v>
      </c>
      <c r="C770" t="s">
        <v>71</v>
      </c>
      <c r="D770" t="s">
        <v>70</v>
      </c>
      <c r="E770">
        <v>2912</v>
      </c>
      <c r="F770">
        <v>2037</v>
      </c>
      <c r="G770">
        <v>-146</v>
      </c>
      <c r="H770">
        <v>1420</v>
      </c>
      <c r="I770">
        <v>988</v>
      </c>
      <c r="J770">
        <v>1654</v>
      </c>
      <c r="K770">
        <v>3005</v>
      </c>
      <c r="L770">
        <v>3159</v>
      </c>
      <c r="M770">
        <v>5663</v>
      </c>
      <c r="N770">
        <v>1740</v>
      </c>
      <c r="O770">
        <v>1821</v>
      </c>
      <c r="P770" s="1">
        <v>44136</v>
      </c>
      <c r="Q770">
        <v>0</v>
      </c>
    </row>
    <row r="771" spans="1:17" x14ac:dyDescent="0.25">
      <c r="A771" s="1">
        <v>44136</v>
      </c>
      <c r="B771" t="s">
        <v>152</v>
      </c>
      <c r="C771" t="s">
        <v>11</v>
      </c>
      <c r="D771" t="s">
        <v>52</v>
      </c>
      <c r="E771">
        <v>36</v>
      </c>
      <c r="F771">
        <v>266</v>
      </c>
      <c r="G771">
        <v>196</v>
      </c>
      <c r="H771">
        <v>388</v>
      </c>
      <c r="I771">
        <v>103</v>
      </c>
      <c r="J771">
        <v>306</v>
      </c>
      <c r="K771">
        <v>422</v>
      </c>
      <c r="L771">
        <v>297</v>
      </c>
      <c r="M771">
        <v>319</v>
      </c>
      <c r="N771">
        <v>239</v>
      </c>
      <c r="O771">
        <v>447</v>
      </c>
      <c r="P771" s="1">
        <v>43862</v>
      </c>
      <c r="Q771">
        <v>274</v>
      </c>
    </row>
    <row r="772" spans="1:17" x14ac:dyDescent="0.25">
      <c r="A772" s="1">
        <v>44136</v>
      </c>
      <c r="B772" t="s">
        <v>153</v>
      </c>
      <c r="C772" t="s">
        <v>73</v>
      </c>
      <c r="D772" t="s">
        <v>72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 s="1">
        <v>44440</v>
      </c>
      <c r="Q772">
        <v>-304</v>
      </c>
    </row>
    <row r="773" spans="1:17" x14ac:dyDescent="0.25">
      <c r="A773" s="1">
        <v>44136</v>
      </c>
      <c r="B773" t="s">
        <v>154</v>
      </c>
      <c r="C773" t="s">
        <v>17</v>
      </c>
      <c r="D773" t="s">
        <v>74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 s="1">
        <v>44197</v>
      </c>
      <c r="Q773">
        <v>-61</v>
      </c>
    </row>
    <row r="774" spans="1:17" x14ac:dyDescent="0.25">
      <c r="A774" s="1">
        <v>44136</v>
      </c>
      <c r="B774" t="s">
        <v>155</v>
      </c>
      <c r="C774" t="s">
        <v>76</v>
      </c>
      <c r="D774" t="s">
        <v>75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 s="1">
        <v>44470</v>
      </c>
      <c r="Q774">
        <v>-334</v>
      </c>
    </row>
    <row r="775" spans="1:17" x14ac:dyDescent="0.25">
      <c r="A775" s="1">
        <v>44136</v>
      </c>
      <c r="B775" t="s">
        <v>156</v>
      </c>
      <c r="C775" t="s">
        <v>79</v>
      </c>
      <c r="D775" t="s">
        <v>78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 s="1">
        <v>44348</v>
      </c>
      <c r="Q775">
        <v>-212</v>
      </c>
    </row>
    <row r="776" spans="1:17" x14ac:dyDescent="0.25">
      <c r="A776" s="1">
        <v>44136</v>
      </c>
      <c r="B776" t="s">
        <v>157</v>
      </c>
      <c r="C776" t="s">
        <v>81</v>
      </c>
      <c r="D776" t="s">
        <v>72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 s="1">
        <v>44440</v>
      </c>
      <c r="Q776">
        <v>-304</v>
      </c>
    </row>
    <row r="777" spans="1:17" x14ac:dyDescent="0.25">
      <c r="A777" s="1">
        <v>44136</v>
      </c>
      <c r="B777" t="s">
        <v>158</v>
      </c>
      <c r="C777" t="s">
        <v>83</v>
      </c>
      <c r="D777" t="s">
        <v>82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 s="1">
        <v>44228</v>
      </c>
      <c r="Q777">
        <v>-92</v>
      </c>
    </row>
    <row r="778" spans="1:17" x14ac:dyDescent="0.25">
      <c r="A778" s="1">
        <v>44136</v>
      </c>
      <c r="B778" t="s">
        <v>159</v>
      </c>
      <c r="C778" t="s">
        <v>84</v>
      </c>
      <c r="D778" t="s">
        <v>55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 s="1">
        <v>44256</v>
      </c>
      <c r="Q778">
        <v>-120</v>
      </c>
    </row>
    <row r="779" spans="1:17" x14ac:dyDescent="0.25">
      <c r="A779" s="1">
        <v>44136</v>
      </c>
      <c r="B779" t="s">
        <v>160</v>
      </c>
      <c r="C779" t="s">
        <v>86</v>
      </c>
      <c r="D779" t="s">
        <v>68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 s="1">
        <v>44317</v>
      </c>
      <c r="Q779">
        <v>-181</v>
      </c>
    </row>
    <row r="780" spans="1:17" x14ac:dyDescent="0.25">
      <c r="A780" s="1">
        <v>44136</v>
      </c>
      <c r="B780" t="s">
        <v>161</v>
      </c>
      <c r="C780" t="s">
        <v>87</v>
      </c>
      <c r="D780" t="s">
        <v>72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 s="1">
        <v>44440</v>
      </c>
      <c r="Q780">
        <v>-304</v>
      </c>
    </row>
    <row r="781" spans="1:17" x14ac:dyDescent="0.25">
      <c r="A781" s="1">
        <v>44136</v>
      </c>
      <c r="B781" t="s">
        <v>162</v>
      </c>
      <c r="C781" t="s">
        <v>89</v>
      </c>
      <c r="D781" t="s">
        <v>88</v>
      </c>
      <c r="E781">
        <v>1292</v>
      </c>
      <c r="F781">
        <v>389</v>
      </c>
      <c r="G781">
        <v>886</v>
      </c>
      <c r="H781">
        <v>919</v>
      </c>
      <c r="I781">
        <v>388</v>
      </c>
      <c r="J781">
        <v>7</v>
      </c>
      <c r="K781">
        <v>2684</v>
      </c>
      <c r="L781">
        <v>772</v>
      </c>
      <c r="M781">
        <v>2658</v>
      </c>
      <c r="N781">
        <v>547</v>
      </c>
      <c r="O781">
        <v>2048</v>
      </c>
      <c r="P781" s="1">
        <v>44044</v>
      </c>
      <c r="Q781">
        <v>92</v>
      </c>
    </row>
    <row r="782" spans="1:17" x14ac:dyDescent="0.25">
      <c r="A782" s="1">
        <v>44136</v>
      </c>
      <c r="B782" t="s">
        <v>163</v>
      </c>
      <c r="C782" t="s">
        <v>90</v>
      </c>
      <c r="D782" t="s">
        <v>82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 s="1">
        <v>44228</v>
      </c>
      <c r="Q782">
        <v>-92</v>
      </c>
    </row>
    <row r="783" spans="1:17" x14ac:dyDescent="0.25">
      <c r="A783" s="1">
        <v>44136</v>
      </c>
      <c r="B783" t="s">
        <v>164</v>
      </c>
      <c r="C783" t="s">
        <v>92</v>
      </c>
      <c r="D783" t="s">
        <v>91</v>
      </c>
      <c r="E783">
        <v>8409</v>
      </c>
      <c r="F783">
        <v>4538</v>
      </c>
      <c r="G783">
        <v>2715</v>
      </c>
      <c r="H783">
        <v>2499</v>
      </c>
      <c r="I783">
        <v>1926</v>
      </c>
      <c r="J783">
        <v>2172</v>
      </c>
      <c r="K783">
        <v>92</v>
      </c>
      <c r="L783">
        <v>3165</v>
      </c>
      <c r="M783">
        <v>1760</v>
      </c>
      <c r="N783">
        <v>1761</v>
      </c>
      <c r="O783">
        <v>892</v>
      </c>
      <c r="P783" s="1">
        <v>44105</v>
      </c>
      <c r="Q783">
        <v>31</v>
      </c>
    </row>
    <row r="784" spans="1:17" x14ac:dyDescent="0.25">
      <c r="A784" s="1">
        <v>44136</v>
      </c>
      <c r="B784" t="s">
        <v>165</v>
      </c>
      <c r="C784" t="s">
        <v>94</v>
      </c>
      <c r="D784" t="s">
        <v>93</v>
      </c>
      <c r="E784">
        <v>448</v>
      </c>
      <c r="F784">
        <v>118</v>
      </c>
      <c r="G784">
        <v>170</v>
      </c>
      <c r="H784">
        <v>192</v>
      </c>
      <c r="I784">
        <v>217</v>
      </c>
      <c r="J784">
        <v>69</v>
      </c>
      <c r="K784">
        <v>180</v>
      </c>
      <c r="L784">
        <v>409</v>
      </c>
      <c r="M784">
        <v>-8</v>
      </c>
      <c r="N784">
        <v>183</v>
      </c>
      <c r="O784">
        <v>190</v>
      </c>
      <c r="P784" s="1">
        <v>43586</v>
      </c>
      <c r="Q784">
        <v>550</v>
      </c>
    </row>
    <row r="785" spans="1:17" x14ac:dyDescent="0.25">
      <c r="A785" s="1">
        <v>44136</v>
      </c>
      <c r="B785" t="s">
        <v>166</v>
      </c>
      <c r="C785" t="s">
        <v>96</v>
      </c>
      <c r="D785" t="s">
        <v>95</v>
      </c>
      <c r="E785">
        <v>147</v>
      </c>
      <c r="F785">
        <v>126</v>
      </c>
      <c r="G785">
        <v>-13</v>
      </c>
      <c r="H785">
        <v>353</v>
      </c>
      <c r="I785">
        <v>156</v>
      </c>
      <c r="J785">
        <v>219</v>
      </c>
      <c r="K785">
        <v>835</v>
      </c>
      <c r="L785">
        <v>118</v>
      </c>
      <c r="M785">
        <v>471</v>
      </c>
      <c r="N785">
        <v>210</v>
      </c>
      <c r="O785">
        <v>609</v>
      </c>
      <c r="P785" s="1">
        <v>43678</v>
      </c>
      <c r="Q785">
        <v>458</v>
      </c>
    </row>
    <row r="786" spans="1:17" x14ac:dyDescent="0.25">
      <c r="A786" s="1">
        <v>44136</v>
      </c>
      <c r="B786" t="s">
        <v>167</v>
      </c>
      <c r="C786" t="s">
        <v>97</v>
      </c>
      <c r="D786" t="s">
        <v>58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 s="1">
        <v>44287</v>
      </c>
      <c r="Q786">
        <v>-151</v>
      </c>
    </row>
    <row r="787" spans="1:17" x14ac:dyDescent="0.25">
      <c r="A787" s="1">
        <v>44136</v>
      </c>
      <c r="B787" t="s">
        <v>168</v>
      </c>
      <c r="C787" t="s">
        <v>98</v>
      </c>
      <c r="D787" t="s">
        <v>49</v>
      </c>
      <c r="E787">
        <v>176</v>
      </c>
      <c r="F787">
        <v>116</v>
      </c>
      <c r="G787">
        <v>138</v>
      </c>
      <c r="H787">
        <v>254</v>
      </c>
      <c r="I787">
        <v>160</v>
      </c>
      <c r="J787">
        <v>326</v>
      </c>
      <c r="K787">
        <v>249</v>
      </c>
      <c r="L787">
        <v>481</v>
      </c>
      <c r="M787">
        <v>165</v>
      </c>
      <c r="N787">
        <v>382</v>
      </c>
      <c r="O787">
        <v>120</v>
      </c>
      <c r="P787" s="1">
        <v>43709</v>
      </c>
      <c r="Q787">
        <v>427</v>
      </c>
    </row>
    <row r="788" spans="1:17" x14ac:dyDescent="0.25">
      <c r="A788" s="1">
        <v>44136</v>
      </c>
      <c r="B788" t="s">
        <v>169</v>
      </c>
      <c r="C788" t="s">
        <v>99</v>
      </c>
      <c r="D788" t="s">
        <v>95</v>
      </c>
      <c r="E788">
        <v>171</v>
      </c>
      <c r="F788">
        <v>412</v>
      </c>
      <c r="G788">
        <v>32</v>
      </c>
      <c r="H788">
        <v>160</v>
      </c>
      <c r="I788">
        <v>194</v>
      </c>
      <c r="J788">
        <v>452</v>
      </c>
      <c r="K788">
        <v>464</v>
      </c>
      <c r="L788">
        <v>94</v>
      </c>
      <c r="M788">
        <v>-13</v>
      </c>
      <c r="N788">
        <v>100</v>
      </c>
      <c r="O788">
        <v>757</v>
      </c>
      <c r="P788" s="1">
        <v>43678</v>
      </c>
      <c r="Q788">
        <v>458</v>
      </c>
    </row>
    <row r="789" spans="1:17" x14ac:dyDescent="0.25">
      <c r="A789" s="1">
        <v>44136</v>
      </c>
      <c r="B789" t="s">
        <v>170</v>
      </c>
      <c r="C789" t="s">
        <v>100</v>
      </c>
      <c r="D789" t="s">
        <v>82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 s="1">
        <v>44228</v>
      </c>
      <c r="Q789">
        <v>-92</v>
      </c>
    </row>
    <row r="790" spans="1:17" x14ac:dyDescent="0.25">
      <c r="A790" s="1">
        <v>44136</v>
      </c>
      <c r="B790" t="s">
        <v>171</v>
      </c>
      <c r="C790" t="s">
        <v>101</v>
      </c>
      <c r="D790" t="s">
        <v>68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 s="1">
        <v>44317</v>
      </c>
      <c r="Q790">
        <v>-181</v>
      </c>
    </row>
    <row r="791" spans="1:17" x14ac:dyDescent="0.25">
      <c r="A791" s="1">
        <v>44136</v>
      </c>
      <c r="B791" t="s">
        <v>172</v>
      </c>
      <c r="C791" t="s">
        <v>102</v>
      </c>
      <c r="D791" t="s">
        <v>88</v>
      </c>
      <c r="E791">
        <v>867</v>
      </c>
      <c r="F791">
        <v>859</v>
      </c>
      <c r="G791">
        <v>882</v>
      </c>
      <c r="H791">
        <v>1567</v>
      </c>
      <c r="I791">
        <v>57</v>
      </c>
      <c r="J791">
        <v>1279</v>
      </c>
      <c r="K791">
        <v>5094</v>
      </c>
      <c r="L791">
        <v>351</v>
      </c>
      <c r="M791">
        <v>3654</v>
      </c>
      <c r="N791">
        <v>233</v>
      </c>
      <c r="O791">
        <v>3866</v>
      </c>
      <c r="P791" s="1">
        <v>44044</v>
      </c>
      <c r="Q791">
        <v>92</v>
      </c>
    </row>
    <row r="792" spans="1:17" x14ac:dyDescent="0.25">
      <c r="A792" s="1">
        <v>44136</v>
      </c>
      <c r="B792" t="s">
        <v>173</v>
      </c>
      <c r="C792" t="s">
        <v>103</v>
      </c>
      <c r="D792" t="s">
        <v>52</v>
      </c>
      <c r="E792">
        <v>257</v>
      </c>
      <c r="F792">
        <v>91</v>
      </c>
      <c r="G792">
        <v>331</v>
      </c>
      <c r="H792">
        <v>1354</v>
      </c>
      <c r="I792">
        <v>149</v>
      </c>
      <c r="J792">
        <v>137</v>
      </c>
      <c r="K792">
        <v>654</v>
      </c>
      <c r="L792">
        <v>616</v>
      </c>
      <c r="M792">
        <v>246</v>
      </c>
      <c r="N792">
        <v>952</v>
      </c>
      <c r="O792">
        <v>-24</v>
      </c>
      <c r="P792" s="1">
        <v>43862</v>
      </c>
      <c r="Q792">
        <v>274</v>
      </c>
    </row>
    <row r="793" spans="1:17" x14ac:dyDescent="0.25">
      <c r="A793" s="1">
        <v>44136</v>
      </c>
      <c r="B793" t="s">
        <v>174</v>
      </c>
      <c r="C793" t="s">
        <v>105</v>
      </c>
      <c r="D793" t="s">
        <v>104</v>
      </c>
      <c r="E793">
        <v>-31</v>
      </c>
      <c r="F793">
        <v>84</v>
      </c>
      <c r="G793">
        <v>22</v>
      </c>
      <c r="H793">
        <v>401</v>
      </c>
      <c r="I793">
        <v>289</v>
      </c>
      <c r="J793">
        <v>69</v>
      </c>
      <c r="K793">
        <v>186</v>
      </c>
      <c r="L793">
        <v>56</v>
      </c>
      <c r="M793">
        <v>323</v>
      </c>
      <c r="N793">
        <v>184</v>
      </c>
      <c r="O793">
        <v>127</v>
      </c>
      <c r="P793" s="1">
        <v>43374</v>
      </c>
      <c r="Q793">
        <v>762</v>
      </c>
    </row>
    <row r="794" spans="1:17" x14ac:dyDescent="0.25">
      <c r="A794" s="1">
        <v>44136</v>
      </c>
      <c r="B794" t="s">
        <v>142</v>
      </c>
      <c r="C794" t="s">
        <v>50</v>
      </c>
      <c r="D794" t="s">
        <v>49</v>
      </c>
      <c r="E794">
        <v>474</v>
      </c>
      <c r="F794">
        <v>680</v>
      </c>
      <c r="G794">
        <v>121</v>
      </c>
      <c r="H794">
        <v>297</v>
      </c>
      <c r="I794">
        <v>355</v>
      </c>
      <c r="J794">
        <v>932</v>
      </c>
      <c r="K794">
        <v>140</v>
      </c>
      <c r="L794">
        <v>1089</v>
      </c>
      <c r="M794">
        <v>39</v>
      </c>
      <c r="N794">
        <v>425</v>
      </c>
      <c r="O794">
        <v>129</v>
      </c>
      <c r="P794" s="1">
        <v>43709</v>
      </c>
      <c r="Q794">
        <v>427</v>
      </c>
    </row>
    <row r="795" spans="1:17" x14ac:dyDescent="0.25">
      <c r="A795" s="1">
        <v>44136</v>
      </c>
      <c r="B795" t="s">
        <v>143</v>
      </c>
      <c r="C795" t="s">
        <v>53</v>
      </c>
      <c r="D795" t="s">
        <v>52</v>
      </c>
      <c r="E795">
        <v>867</v>
      </c>
      <c r="F795">
        <v>748</v>
      </c>
      <c r="G795">
        <v>46</v>
      </c>
      <c r="H795">
        <v>90</v>
      </c>
      <c r="I795">
        <v>1110</v>
      </c>
      <c r="J795">
        <v>519</v>
      </c>
      <c r="K795">
        <v>250</v>
      </c>
      <c r="L795">
        <v>681</v>
      </c>
      <c r="M795">
        <v>1791</v>
      </c>
      <c r="N795">
        <v>299</v>
      </c>
      <c r="O795">
        <v>216</v>
      </c>
      <c r="P795" s="1">
        <v>43862</v>
      </c>
      <c r="Q795">
        <v>274</v>
      </c>
    </row>
    <row r="796" spans="1:17" x14ac:dyDescent="0.25">
      <c r="A796" s="1">
        <v>44136</v>
      </c>
      <c r="B796" t="s">
        <v>144</v>
      </c>
      <c r="C796" t="s">
        <v>56</v>
      </c>
      <c r="D796" t="s">
        <v>55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 s="1">
        <v>44256</v>
      </c>
      <c r="Q796">
        <v>-120</v>
      </c>
    </row>
    <row r="797" spans="1:17" x14ac:dyDescent="0.25">
      <c r="A797" s="1">
        <v>44136</v>
      </c>
      <c r="B797" t="s">
        <v>145</v>
      </c>
      <c r="C797" t="s">
        <v>59</v>
      </c>
      <c r="D797" t="s">
        <v>58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 s="1">
        <v>44287</v>
      </c>
      <c r="Q797">
        <v>-151</v>
      </c>
    </row>
    <row r="798" spans="1:17" x14ac:dyDescent="0.25">
      <c r="A798" s="1">
        <v>44136</v>
      </c>
      <c r="B798" t="s">
        <v>146</v>
      </c>
      <c r="C798" t="s">
        <v>62</v>
      </c>
      <c r="D798" t="s">
        <v>61</v>
      </c>
      <c r="E798">
        <v>2789</v>
      </c>
      <c r="F798">
        <v>3766</v>
      </c>
      <c r="G798">
        <v>915</v>
      </c>
      <c r="H798">
        <v>1317</v>
      </c>
      <c r="I798">
        <v>479</v>
      </c>
      <c r="J798">
        <v>1209</v>
      </c>
      <c r="K798">
        <v>189</v>
      </c>
      <c r="L798">
        <v>4080</v>
      </c>
      <c r="M798">
        <v>633</v>
      </c>
      <c r="N798">
        <v>781</v>
      </c>
      <c r="O798">
        <v>824</v>
      </c>
      <c r="P798" s="1">
        <v>44075</v>
      </c>
      <c r="Q798">
        <v>61</v>
      </c>
    </row>
    <row r="799" spans="1:17" x14ac:dyDescent="0.25">
      <c r="A799" s="1">
        <v>44136</v>
      </c>
      <c r="B799" t="s">
        <v>147</v>
      </c>
      <c r="C799" t="s">
        <v>64</v>
      </c>
      <c r="D799" t="s">
        <v>52</v>
      </c>
      <c r="E799">
        <v>853</v>
      </c>
      <c r="F799">
        <v>750</v>
      </c>
      <c r="G799">
        <v>126</v>
      </c>
      <c r="H799">
        <v>309</v>
      </c>
      <c r="I799">
        <v>151</v>
      </c>
      <c r="J799">
        <v>193</v>
      </c>
      <c r="K799">
        <v>245</v>
      </c>
      <c r="L799">
        <v>358</v>
      </c>
      <c r="M799">
        <v>308</v>
      </c>
      <c r="N799">
        <v>394</v>
      </c>
      <c r="O799">
        <v>330</v>
      </c>
      <c r="P799" s="1">
        <v>43862</v>
      </c>
      <c r="Q799">
        <v>274</v>
      </c>
    </row>
    <row r="800" spans="1:17" x14ac:dyDescent="0.25">
      <c r="A800" s="1">
        <v>44136</v>
      </c>
      <c r="B800" t="s">
        <v>148</v>
      </c>
      <c r="C800" t="s">
        <v>66</v>
      </c>
      <c r="D800" t="s">
        <v>55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 s="1">
        <v>44256</v>
      </c>
      <c r="Q800">
        <v>-120</v>
      </c>
    </row>
    <row r="801" spans="1:17" x14ac:dyDescent="0.25">
      <c r="A801" s="1">
        <v>44136</v>
      </c>
      <c r="B801" t="s">
        <v>149</v>
      </c>
      <c r="C801" t="s">
        <v>67</v>
      </c>
      <c r="D801" t="s">
        <v>55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 s="1">
        <v>44256</v>
      </c>
      <c r="Q801">
        <v>-120</v>
      </c>
    </row>
    <row r="802" spans="1:17" x14ac:dyDescent="0.25">
      <c r="A802" s="1">
        <v>44136</v>
      </c>
      <c r="B802" t="s">
        <v>150</v>
      </c>
      <c r="C802" t="s">
        <v>69</v>
      </c>
      <c r="D802" t="s">
        <v>68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 s="1">
        <v>44317</v>
      </c>
      <c r="Q802">
        <v>-181</v>
      </c>
    </row>
    <row r="803" spans="1:17" x14ac:dyDescent="0.25">
      <c r="A803" s="1">
        <v>44136</v>
      </c>
      <c r="B803" t="s">
        <v>151</v>
      </c>
      <c r="C803" t="s">
        <v>71</v>
      </c>
      <c r="D803" t="s">
        <v>70</v>
      </c>
      <c r="E803">
        <v>1875</v>
      </c>
      <c r="F803">
        <v>1986</v>
      </c>
      <c r="G803">
        <v>1441</v>
      </c>
      <c r="H803">
        <v>2329</v>
      </c>
      <c r="I803">
        <v>5797</v>
      </c>
      <c r="J803">
        <v>2128</v>
      </c>
      <c r="K803">
        <v>1044</v>
      </c>
      <c r="L803">
        <v>4031</v>
      </c>
      <c r="M803">
        <v>11004</v>
      </c>
      <c r="N803">
        <v>2154</v>
      </c>
      <c r="O803">
        <v>2548</v>
      </c>
      <c r="P803" s="1">
        <v>44136</v>
      </c>
      <c r="Q803">
        <v>0</v>
      </c>
    </row>
    <row r="804" spans="1:17" x14ac:dyDescent="0.25">
      <c r="A804" s="1">
        <v>44136</v>
      </c>
      <c r="B804" t="s">
        <v>152</v>
      </c>
      <c r="C804" t="s">
        <v>11</v>
      </c>
      <c r="D804" t="s">
        <v>52</v>
      </c>
      <c r="E804">
        <v>74</v>
      </c>
      <c r="F804">
        <v>94</v>
      </c>
      <c r="G804">
        <v>269</v>
      </c>
      <c r="H804">
        <v>447</v>
      </c>
      <c r="I804">
        <v>292</v>
      </c>
      <c r="J804">
        <v>286</v>
      </c>
      <c r="K804">
        <v>456</v>
      </c>
      <c r="L804">
        <v>197</v>
      </c>
      <c r="M804">
        <v>329</v>
      </c>
      <c r="N804">
        <v>355</v>
      </c>
      <c r="O804">
        <v>200</v>
      </c>
      <c r="P804" s="1">
        <v>43862</v>
      </c>
      <c r="Q804">
        <v>274</v>
      </c>
    </row>
    <row r="805" spans="1:17" x14ac:dyDescent="0.25">
      <c r="A805" s="1">
        <v>44166</v>
      </c>
      <c r="B805" t="s">
        <v>153</v>
      </c>
      <c r="C805" t="s">
        <v>73</v>
      </c>
      <c r="D805" t="s">
        <v>72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 s="1">
        <v>44440</v>
      </c>
      <c r="Q805">
        <v>-274</v>
      </c>
    </row>
    <row r="806" spans="1:17" x14ac:dyDescent="0.25">
      <c r="A806" s="1">
        <v>44166</v>
      </c>
      <c r="B806" t="s">
        <v>154</v>
      </c>
      <c r="C806" t="s">
        <v>17</v>
      </c>
      <c r="D806" t="s">
        <v>74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 s="1">
        <v>44197</v>
      </c>
      <c r="Q806">
        <v>-31</v>
      </c>
    </row>
    <row r="807" spans="1:17" x14ac:dyDescent="0.25">
      <c r="A807" s="1">
        <v>44166</v>
      </c>
      <c r="B807" t="s">
        <v>155</v>
      </c>
      <c r="C807" t="s">
        <v>76</v>
      </c>
      <c r="D807" t="s">
        <v>75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 s="1">
        <v>44470</v>
      </c>
      <c r="Q807">
        <v>-304</v>
      </c>
    </row>
    <row r="808" spans="1:17" x14ac:dyDescent="0.25">
      <c r="A808" s="1">
        <v>44166</v>
      </c>
      <c r="B808" t="s">
        <v>156</v>
      </c>
      <c r="C808" t="s">
        <v>79</v>
      </c>
      <c r="D808" t="s">
        <v>78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 s="1">
        <v>44348</v>
      </c>
      <c r="Q808">
        <v>-182</v>
      </c>
    </row>
    <row r="809" spans="1:17" x14ac:dyDescent="0.25">
      <c r="A809" s="1">
        <v>44166</v>
      </c>
      <c r="B809" t="s">
        <v>157</v>
      </c>
      <c r="C809" t="s">
        <v>81</v>
      </c>
      <c r="D809" t="s">
        <v>72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 s="1">
        <v>44440</v>
      </c>
      <c r="Q809">
        <v>-274</v>
      </c>
    </row>
    <row r="810" spans="1:17" x14ac:dyDescent="0.25">
      <c r="A810" s="1">
        <v>44166</v>
      </c>
      <c r="B810" t="s">
        <v>158</v>
      </c>
      <c r="C810" t="s">
        <v>83</v>
      </c>
      <c r="D810" t="s">
        <v>82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 s="1">
        <v>44228</v>
      </c>
      <c r="Q810">
        <v>-62</v>
      </c>
    </row>
    <row r="811" spans="1:17" x14ac:dyDescent="0.25">
      <c r="A811" s="1">
        <v>44166</v>
      </c>
      <c r="B811" t="s">
        <v>159</v>
      </c>
      <c r="C811" t="s">
        <v>84</v>
      </c>
      <c r="D811" t="s">
        <v>55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 s="1">
        <v>44256</v>
      </c>
      <c r="Q811">
        <v>-90</v>
      </c>
    </row>
    <row r="812" spans="1:17" x14ac:dyDescent="0.25">
      <c r="A812" s="1">
        <v>44166</v>
      </c>
      <c r="B812" t="s">
        <v>160</v>
      </c>
      <c r="C812" t="s">
        <v>86</v>
      </c>
      <c r="D812" t="s">
        <v>68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 s="1">
        <v>44317</v>
      </c>
      <c r="Q812">
        <v>-151</v>
      </c>
    </row>
    <row r="813" spans="1:17" x14ac:dyDescent="0.25">
      <c r="A813" s="1">
        <v>44166</v>
      </c>
      <c r="B813" t="s">
        <v>161</v>
      </c>
      <c r="C813" t="s">
        <v>87</v>
      </c>
      <c r="D813" t="s">
        <v>72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 s="1">
        <v>44440</v>
      </c>
      <c r="Q813">
        <v>-274</v>
      </c>
    </row>
    <row r="814" spans="1:17" x14ac:dyDescent="0.25">
      <c r="A814" s="1">
        <v>44166</v>
      </c>
      <c r="B814" t="s">
        <v>162</v>
      </c>
      <c r="C814" t="s">
        <v>89</v>
      </c>
      <c r="D814" t="s">
        <v>88</v>
      </c>
      <c r="E814">
        <v>626</v>
      </c>
      <c r="F814">
        <v>493</v>
      </c>
      <c r="G814">
        <v>935</v>
      </c>
      <c r="H814">
        <v>1529</v>
      </c>
      <c r="I814">
        <v>763</v>
      </c>
      <c r="J814">
        <v>397</v>
      </c>
      <c r="K814">
        <v>1554</v>
      </c>
      <c r="L814">
        <v>585</v>
      </c>
      <c r="M814">
        <v>2042</v>
      </c>
      <c r="N814">
        <v>680</v>
      </c>
      <c r="O814">
        <v>1367</v>
      </c>
      <c r="P814" s="1">
        <v>44044</v>
      </c>
      <c r="Q814">
        <v>122</v>
      </c>
    </row>
    <row r="815" spans="1:17" x14ac:dyDescent="0.25">
      <c r="A815" s="1">
        <v>44166</v>
      </c>
      <c r="B815" t="s">
        <v>163</v>
      </c>
      <c r="C815" t="s">
        <v>90</v>
      </c>
      <c r="D815" t="s">
        <v>82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 s="1">
        <v>44228</v>
      </c>
      <c r="Q815">
        <v>-62</v>
      </c>
    </row>
    <row r="816" spans="1:17" x14ac:dyDescent="0.25">
      <c r="A816" s="1">
        <v>44166</v>
      </c>
      <c r="B816" t="s">
        <v>164</v>
      </c>
      <c r="C816" t="s">
        <v>92</v>
      </c>
      <c r="D816" t="s">
        <v>91</v>
      </c>
      <c r="E816">
        <v>2238</v>
      </c>
      <c r="F816">
        <v>713</v>
      </c>
      <c r="G816">
        <v>792</v>
      </c>
      <c r="H816">
        <v>1314</v>
      </c>
      <c r="I816">
        <v>897</v>
      </c>
      <c r="J816">
        <v>1591</v>
      </c>
      <c r="K816">
        <v>387</v>
      </c>
      <c r="L816">
        <v>970</v>
      </c>
      <c r="M816">
        <v>890</v>
      </c>
      <c r="N816">
        <v>707</v>
      </c>
      <c r="O816">
        <v>951</v>
      </c>
      <c r="P816" s="1">
        <v>44105</v>
      </c>
      <c r="Q816">
        <v>61</v>
      </c>
    </row>
    <row r="817" spans="1:17" x14ac:dyDescent="0.25">
      <c r="A817" s="1">
        <v>44166</v>
      </c>
      <c r="B817" t="s">
        <v>165</v>
      </c>
      <c r="C817" t="s">
        <v>94</v>
      </c>
      <c r="D817" t="s">
        <v>93</v>
      </c>
      <c r="E817">
        <v>97</v>
      </c>
      <c r="F817">
        <v>86</v>
      </c>
      <c r="G817">
        <v>94</v>
      </c>
      <c r="H817">
        <v>509</v>
      </c>
      <c r="I817">
        <v>475</v>
      </c>
      <c r="J817">
        <v>140</v>
      </c>
      <c r="K817">
        <v>88</v>
      </c>
      <c r="L817">
        <v>474</v>
      </c>
      <c r="M817">
        <v>68</v>
      </c>
      <c r="N817">
        <v>630</v>
      </c>
      <c r="O817">
        <v>495</v>
      </c>
      <c r="P817" s="1">
        <v>43586</v>
      </c>
      <c r="Q817">
        <v>580</v>
      </c>
    </row>
    <row r="818" spans="1:17" x14ac:dyDescent="0.25">
      <c r="A818" s="1">
        <v>44166</v>
      </c>
      <c r="B818" t="s">
        <v>166</v>
      </c>
      <c r="C818" t="s">
        <v>96</v>
      </c>
      <c r="D818" t="s">
        <v>95</v>
      </c>
      <c r="E818">
        <v>175</v>
      </c>
      <c r="F818">
        <v>206</v>
      </c>
      <c r="G818">
        <v>95</v>
      </c>
      <c r="H818">
        <v>731</v>
      </c>
      <c r="I818">
        <v>55</v>
      </c>
      <c r="J818">
        <v>137</v>
      </c>
      <c r="K818">
        <v>240</v>
      </c>
      <c r="L818">
        <v>60</v>
      </c>
      <c r="M818">
        <v>286</v>
      </c>
      <c r="N818">
        <v>165</v>
      </c>
      <c r="O818">
        <v>387</v>
      </c>
      <c r="P818" s="1">
        <v>43678</v>
      </c>
      <c r="Q818">
        <v>488</v>
      </c>
    </row>
    <row r="819" spans="1:17" x14ac:dyDescent="0.25">
      <c r="A819" s="1">
        <v>44166</v>
      </c>
      <c r="B819" t="s">
        <v>167</v>
      </c>
      <c r="C819" t="s">
        <v>97</v>
      </c>
      <c r="D819" t="s">
        <v>58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 s="1">
        <v>44287</v>
      </c>
      <c r="Q819">
        <v>-121</v>
      </c>
    </row>
    <row r="820" spans="1:17" x14ac:dyDescent="0.25">
      <c r="A820" s="1">
        <v>44166</v>
      </c>
      <c r="B820" t="s">
        <v>168</v>
      </c>
      <c r="C820" t="s">
        <v>98</v>
      </c>
      <c r="D820" t="s">
        <v>49</v>
      </c>
      <c r="E820">
        <v>136</v>
      </c>
      <c r="F820">
        <v>147</v>
      </c>
      <c r="G820">
        <v>3</v>
      </c>
      <c r="H820">
        <v>64</v>
      </c>
      <c r="I820">
        <v>257</v>
      </c>
      <c r="J820">
        <v>126</v>
      </c>
      <c r="K820">
        <v>277</v>
      </c>
      <c r="L820">
        <v>329</v>
      </c>
      <c r="M820">
        <v>138</v>
      </c>
      <c r="N820">
        <v>385</v>
      </c>
      <c r="O820">
        <v>80</v>
      </c>
      <c r="P820" s="1">
        <v>43709</v>
      </c>
      <c r="Q820">
        <v>457</v>
      </c>
    </row>
    <row r="821" spans="1:17" x14ac:dyDescent="0.25">
      <c r="A821" s="1">
        <v>44166</v>
      </c>
      <c r="B821" t="s">
        <v>169</v>
      </c>
      <c r="C821" t="s">
        <v>99</v>
      </c>
      <c r="D821" t="s">
        <v>95</v>
      </c>
      <c r="E821">
        <v>140</v>
      </c>
      <c r="F821">
        <v>254</v>
      </c>
      <c r="G821">
        <v>201</v>
      </c>
      <c r="H821">
        <v>373</v>
      </c>
      <c r="I821">
        <v>385</v>
      </c>
      <c r="J821">
        <v>431</v>
      </c>
      <c r="K821">
        <v>322</v>
      </c>
      <c r="L821">
        <v>127</v>
      </c>
      <c r="M821">
        <v>729</v>
      </c>
      <c r="N821">
        <v>232</v>
      </c>
      <c r="O821">
        <v>353</v>
      </c>
      <c r="P821" s="1">
        <v>43678</v>
      </c>
      <c r="Q821">
        <v>488</v>
      </c>
    </row>
    <row r="822" spans="1:17" x14ac:dyDescent="0.25">
      <c r="A822" s="1">
        <v>44166</v>
      </c>
      <c r="B822" t="s">
        <v>170</v>
      </c>
      <c r="C822" t="s">
        <v>100</v>
      </c>
      <c r="D822" t="s">
        <v>82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 s="1">
        <v>44228</v>
      </c>
      <c r="Q822">
        <v>-62</v>
      </c>
    </row>
    <row r="823" spans="1:17" x14ac:dyDescent="0.25">
      <c r="A823" s="1">
        <v>44166</v>
      </c>
      <c r="B823" t="s">
        <v>171</v>
      </c>
      <c r="C823" t="s">
        <v>101</v>
      </c>
      <c r="D823" t="s">
        <v>68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 s="1">
        <v>44317</v>
      </c>
      <c r="Q823">
        <v>-151</v>
      </c>
    </row>
    <row r="824" spans="1:17" x14ac:dyDescent="0.25">
      <c r="A824" s="1">
        <v>44166</v>
      </c>
      <c r="B824" t="s">
        <v>172</v>
      </c>
      <c r="C824" t="s">
        <v>102</v>
      </c>
      <c r="D824" t="s">
        <v>88</v>
      </c>
      <c r="E824">
        <v>721</v>
      </c>
      <c r="F824">
        <v>776</v>
      </c>
      <c r="G824">
        <v>276</v>
      </c>
      <c r="H824">
        <v>2643</v>
      </c>
      <c r="I824">
        <v>601</v>
      </c>
      <c r="J824">
        <v>275</v>
      </c>
      <c r="K824">
        <v>1983</v>
      </c>
      <c r="L824">
        <v>575</v>
      </c>
      <c r="M824">
        <v>1344</v>
      </c>
      <c r="N824">
        <v>321</v>
      </c>
      <c r="O824">
        <v>2574</v>
      </c>
      <c r="P824" s="1">
        <v>44044</v>
      </c>
      <c r="Q824">
        <v>122</v>
      </c>
    </row>
    <row r="825" spans="1:17" x14ac:dyDescent="0.25">
      <c r="A825" s="1">
        <v>44166</v>
      </c>
      <c r="B825" t="s">
        <v>173</v>
      </c>
      <c r="C825" t="s">
        <v>103</v>
      </c>
      <c r="D825" t="s">
        <v>52</v>
      </c>
      <c r="E825">
        <v>155</v>
      </c>
      <c r="F825">
        <v>336</v>
      </c>
      <c r="G825">
        <v>170</v>
      </c>
      <c r="H825">
        <v>429</v>
      </c>
      <c r="I825">
        <v>745</v>
      </c>
      <c r="J825">
        <v>255</v>
      </c>
      <c r="K825">
        <v>617</v>
      </c>
      <c r="L825">
        <v>904</v>
      </c>
      <c r="M825">
        <v>48</v>
      </c>
      <c r="N825">
        <v>794</v>
      </c>
      <c r="O825">
        <v>205</v>
      </c>
      <c r="P825" s="1">
        <v>43862</v>
      </c>
      <c r="Q825">
        <v>304</v>
      </c>
    </row>
    <row r="826" spans="1:17" x14ac:dyDescent="0.25">
      <c r="A826" s="1">
        <v>44166</v>
      </c>
      <c r="B826" t="s">
        <v>174</v>
      </c>
      <c r="C826" t="s">
        <v>105</v>
      </c>
      <c r="D826" t="s">
        <v>104</v>
      </c>
      <c r="E826">
        <v>142</v>
      </c>
      <c r="F826">
        <v>75</v>
      </c>
      <c r="G826">
        <v>51</v>
      </c>
      <c r="H826">
        <v>452</v>
      </c>
      <c r="I826">
        <v>109</v>
      </c>
      <c r="J826">
        <v>16</v>
      </c>
      <c r="K826">
        <v>80</v>
      </c>
      <c r="L826">
        <v>82</v>
      </c>
      <c r="M826">
        <v>279</v>
      </c>
      <c r="N826">
        <v>159</v>
      </c>
      <c r="O826">
        <v>154</v>
      </c>
      <c r="P826" s="1">
        <v>43374</v>
      </c>
      <c r="Q826">
        <v>792</v>
      </c>
    </row>
    <row r="827" spans="1:17" x14ac:dyDescent="0.25">
      <c r="A827" s="1">
        <v>44166</v>
      </c>
      <c r="B827" t="s">
        <v>142</v>
      </c>
      <c r="C827" t="s">
        <v>50</v>
      </c>
      <c r="D827" t="s">
        <v>49</v>
      </c>
      <c r="E827">
        <v>567</v>
      </c>
      <c r="F827">
        <v>438</v>
      </c>
      <c r="G827">
        <v>183</v>
      </c>
      <c r="H827">
        <v>867</v>
      </c>
      <c r="I827">
        <v>-29</v>
      </c>
      <c r="J827">
        <v>220</v>
      </c>
      <c r="K827">
        <v>123</v>
      </c>
      <c r="L827">
        <v>629</v>
      </c>
      <c r="M827">
        <v>575</v>
      </c>
      <c r="N827">
        <v>580</v>
      </c>
      <c r="O827">
        <v>702</v>
      </c>
      <c r="P827" s="1">
        <v>43709</v>
      </c>
      <c r="Q827">
        <v>457</v>
      </c>
    </row>
    <row r="828" spans="1:17" x14ac:dyDescent="0.25">
      <c r="A828" s="1">
        <v>44166</v>
      </c>
      <c r="B828" t="s">
        <v>143</v>
      </c>
      <c r="C828" t="s">
        <v>53</v>
      </c>
      <c r="D828" t="s">
        <v>52</v>
      </c>
      <c r="E828">
        <v>782</v>
      </c>
      <c r="F828">
        <v>363</v>
      </c>
      <c r="G828">
        <v>156</v>
      </c>
      <c r="H828">
        <v>1077</v>
      </c>
      <c r="I828">
        <v>927</v>
      </c>
      <c r="J828">
        <v>291</v>
      </c>
      <c r="K828">
        <v>223</v>
      </c>
      <c r="L828">
        <v>651</v>
      </c>
      <c r="M828">
        <v>512</v>
      </c>
      <c r="N828">
        <v>921</v>
      </c>
      <c r="O828">
        <v>-72</v>
      </c>
      <c r="P828" s="1">
        <v>43862</v>
      </c>
      <c r="Q828">
        <v>304</v>
      </c>
    </row>
    <row r="829" spans="1:17" x14ac:dyDescent="0.25">
      <c r="A829" s="1">
        <v>44166</v>
      </c>
      <c r="B829" t="s">
        <v>144</v>
      </c>
      <c r="C829" t="s">
        <v>56</v>
      </c>
      <c r="D829" t="s">
        <v>55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 s="1">
        <v>44256</v>
      </c>
      <c r="Q829">
        <v>-90</v>
      </c>
    </row>
    <row r="830" spans="1:17" x14ac:dyDescent="0.25">
      <c r="A830" s="1">
        <v>44166</v>
      </c>
      <c r="B830" t="s">
        <v>145</v>
      </c>
      <c r="C830" t="s">
        <v>59</v>
      </c>
      <c r="D830" t="s">
        <v>58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 s="1">
        <v>44287</v>
      </c>
      <c r="Q830">
        <v>-121</v>
      </c>
    </row>
    <row r="831" spans="1:17" x14ac:dyDescent="0.25">
      <c r="A831" s="1">
        <v>44166</v>
      </c>
      <c r="B831" t="s">
        <v>146</v>
      </c>
      <c r="C831" t="s">
        <v>62</v>
      </c>
      <c r="D831" t="s">
        <v>61</v>
      </c>
      <c r="E831">
        <v>1236</v>
      </c>
      <c r="F831">
        <v>2189</v>
      </c>
      <c r="G831">
        <v>328</v>
      </c>
      <c r="H831">
        <v>471</v>
      </c>
      <c r="I831">
        <v>1159</v>
      </c>
      <c r="J831">
        <v>511</v>
      </c>
      <c r="K831">
        <v>1022</v>
      </c>
      <c r="L831">
        <v>1487</v>
      </c>
      <c r="M831">
        <v>927</v>
      </c>
      <c r="N831">
        <v>741</v>
      </c>
      <c r="O831">
        <v>791</v>
      </c>
      <c r="P831" s="1">
        <v>44075</v>
      </c>
      <c r="Q831">
        <v>91</v>
      </c>
    </row>
    <row r="832" spans="1:17" x14ac:dyDescent="0.25">
      <c r="A832" s="1">
        <v>44166</v>
      </c>
      <c r="B832" t="s">
        <v>147</v>
      </c>
      <c r="C832" t="s">
        <v>64</v>
      </c>
      <c r="D832" t="s">
        <v>52</v>
      </c>
      <c r="E832">
        <v>745</v>
      </c>
      <c r="F832">
        <v>627</v>
      </c>
      <c r="G832">
        <v>180</v>
      </c>
      <c r="H832">
        <v>234</v>
      </c>
      <c r="I832">
        <v>309</v>
      </c>
      <c r="J832">
        <v>70</v>
      </c>
      <c r="K832">
        <v>247</v>
      </c>
      <c r="L832">
        <v>68</v>
      </c>
      <c r="M832">
        <v>182</v>
      </c>
      <c r="N832">
        <v>204</v>
      </c>
      <c r="O832">
        <v>234</v>
      </c>
      <c r="P832" s="1">
        <v>43862</v>
      </c>
      <c r="Q832">
        <v>304</v>
      </c>
    </row>
    <row r="833" spans="1:17" x14ac:dyDescent="0.25">
      <c r="A833" s="1">
        <v>44166</v>
      </c>
      <c r="B833" t="s">
        <v>148</v>
      </c>
      <c r="C833" t="s">
        <v>66</v>
      </c>
      <c r="D833" t="s">
        <v>55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 s="1">
        <v>44256</v>
      </c>
      <c r="Q833">
        <v>-90</v>
      </c>
    </row>
    <row r="834" spans="1:17" x14ac:dyDescent="0.25">
      <c r="A834" s="1">
        <v>44166</v>
      </c>
      <c r="B834" t="s">
        <v>149</v>
      </c>
      <c r="C834" t="s">
        <v>67</v>
      </c>
      <c r="D834" t="s">
        <v>55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 s="1">
        <v>44256</v>
      </c>
      <c r="Q834">
        <v>-90</v>
      </c>
    </row>
    <row r="835" spans="1:17" x14ac:dyDescent="0.25">
      <c r="A835" s="1">
        <v>44166</v>
      </c>
      <c r="B835" t="s">
        <v>150</v>
      </c>
      <c r="C835" t="s">
        <v>69</v>
      </c>
      <c r="D835" t="s">
        <v>68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 s="1">
        <v>44317</v>
      </c>
      <c r="Q835">
        <v>-151</v>
      </c>
    </row>
    <row r="836" spans="1:17" x14ac:dyDescent="0.25">
      <c r="A836" s="1">
        <v>44166</v>
      </c>
      <c r="B836" t="s">
        <v>151</v>
      </c>
      <c r="C836" t="s">
        <v>71</v>
      </c>
      <c r="D836" t="s">
        <v>70</v>
      </c>
      <c r="E836">
        <v>4286</v>
      </c>
      <c r="F836">
        <v>3478</v>
      </c>
      <c r="G836">
        <v>2978</v>
      </c>
      <c r="H836">
        <v>2016</v>
      </c>
      <c r="I836">
        <v>10596</v>
      </c>
      <c r="J836">
        <v>688</v>
      </c>
      <c r="K836">
        <v>1696</v>
      </c>
      <c r="L836">
        <v>1960</v>
      </c>
      <c r="M836">
        <v>6144</v>
      </c>
      <c r="N836">
        <v>3427</v>
      </c>
      <c r="O836">
        <v>3040</v>
      </c>
      <c r="P836" s="1">
        <v>44136</v>
      </c>
      <c r="Q836">
        <v>30</v>
      </c>
    </row>
    <row r="837" spans="1:17" x14ac:dyDescent="0.25">
      <c r="A837" s="1">
        <v>44166</v>
      </c>
      <c r="B837" t="s">
        <v>152</v>
      </c>
      <c r="C837" t="s">
        <v>11</v>
      </c>
      <c r="D837" t="s">
        <v>52</v>
      </c>
      <c r="E837">
        <v>223</v>
      </c>
      <c r="F837">
        <v>69</v>
      </c>
      <c r="G837">
        <v>242</v>
      </c>
      <c r="H837">
        <v>675</v>
      </c>
      <c r="I837">
        <v>250</v>
      </c>
      <c r="J837">
        <v>-36</v>
      </c>
      <c r="K837">
        <v>262</v>
      </c>
      <c r="L837">
        <v>-22</v>
      </c>
      <c r="M837">
        <v>211</v>
      </c>
      <c r="N837">
        <v>303</v>
      </c>
      <c r="O837">
        <v>178</v>
      </c>
      <c r="P837" s="1">
        <v>43862</v>
      </c>
      <c r="Q837">
        <v>304</v>
      </c>
    </row>
    <row r="838" spans="1:17" x14ac:dyDescent="0.25">
      <c r="A838" s="1">
        <v>44166</v>
      </c>
      <c r="B838" t="s">
        <v>153</v>
      </c>
      <c r="C838" t="s">
        <v>73</v>
      </c>
      <c r="D838" t="s">
        <v>72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 s="1">
        <v>44440</v>
      </c>
      <c r="Q838">
        <v>-274</v>
      </c>
    </row>
    <row r="839" spans="1:17" x14ac:dyDescent="0.25">
      <c r="A839" s="1">
        <v>44166</v>
      </c>
      <c r="B839" t="s">
        <v>154</v>
      </c>
      <c r="C839" t="s">
        <v>17</v>
      </c>
      <c r="D839" t="s">
        <v>74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 s="1">
        <v>44197</v>
      </c>
      <c r="Q839">
        <v>-31</v>
      </c>
    </row>
    <row r="840" spans="1:17" x14ac:dyDescent="0.25">
      <c r="A840" s="1">
        <v>44197</v>
      </c>
      <c r="B840" t="s">
        <v>155</v>
      </c>
      <c r="C840" t="s">
        <v>76</v>
      </c>
      <c r="D840" t="s">
        <v>75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 s="1">
        <v>44470</v>
      </c>
      <c r="Q840">
        <v>-273</v>
      </c>
    </row>
    <row r="841" spans="1:17" x14ac:dyDescent="0.25">
      <c r="A841" s="1">
        <v>44197</v>
      </c>
      <c r="B841" t="s">
        <v>156</v>
      </c>
      <c r="C841" t="s">
        <v>79</v>
      </c>
      <c r="D841" t="s">
        <v>78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 s="1">
        <v>44348</v>
      </c>
      <c r="Q841">
        <v>-151</v>
      </c>
    </row>
    <row r="842" spans="1:17" x14ac:dyDescent="0.25">
      <c r="A842" s="1">
        <v>44197</v>
      </c>
      <c r="B842" t="s">
        <v>157</v>
      </c>
      <c r="C842" t="s">
        <v>81</v>
      </c>
      <c r="D842" t="s">
        <v>72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 s="1">
        <v>44440</v>
      </c>
      <c r="Q842">
        <v>-243</v>
      </c>
    </row>
    <row r="843" spans="1:17" x14ac:dyDescent="0.25">
      <c r="A843" s="1">
        <v>44197</v>
      </c>
      <c r="B843" t="s">
        <v>158</v>
      </c>
      <c r="C843" t="s">
        <v>83</v>
      </c>
      <c r="D843" t="s">
        <v>82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 s="1">
        <v>44228</v>
      </c>
      <c r="Q843">
        <v>-31</v>
      </c>
    </row>
    <row r="844" spans="1:17" x14ac:dyDescent="0.25">
      <c r="A844" s="1">
        <v>44197</v>
      </c>
      <c r="B844" t="s">
        <v>159</v>
      </c>
      <c r="C844" t="s">
        <v>84</v>
      </c>
      <c r="D844" t="s">
        <v>55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 s="1">
        <v>44256</v>
      </c>
      <c r="Q844">
        <v>-59</v>
      </c>
    </row>
    <row r="845" spans="1:17" x14ac:dyDescent="0.25">
      <c r="A845" s="1">
        <v>44197</v>
      </c>
      <c r="B845" t="s">
        <v>160</v>
      </c>
      <c r="C845" t="s">
        <v>86</v>
      </c>
      <c r="D845" t="s">
        <v>68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 s="1">
        <v>44317</v>
      </c>
      <c r="Q845">
        <v>-120</v>
      </c>
    </row>
    <row r="846" spans="1:17" x14ac:dyDescent="0.25">
      <c r="A846" s="1">
        <v>44197</v>
      </c>
      <c r="B846" t="s">
        <v>161</v>
      </c>
      <c r="C846" t="s">
        <v>87</v>
      </c>
      <c r="D846" t="s">
        <v>72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 s="1">
        <v>44440</v>
      </c>
      <c r="Q846">
        <v>-243</v>
      </c>
    </row>
    <row r="847" spans="1:17" x14ac:dyDescent="0.25">
      <c r="A847" s="1">
        <v>44197</v>
      </c>
      <c r="B847" t="s">
        <v>162</v>
      </c>
      <c r="C847" t="s">
        <v>89</v>
      </c>
      <c r="D847" t="s">
        <v>88</v>
      </c>
      <c r="E847">
        <v>751</v>
      </c>
      <c r="F847">
        <v>319</v>
      </c>
      <c r="G847">
        <v>704</v>
      </c>
      <c r="H847">
        <v>805</v>
      </c>
      <c r="I847">
        <v>568</v>
      </c>
      <c r="J847">
        <v>416</v>
      </c>
      <c r="K847">
        <v>1794</v>
      </c>
      <c r="L847">
        <v>200</v>
      </c>
      <c r="M847">
        <v>2441</v>
      </c>
      <c r="N847">
        <v>173</v>
      </c>
      <c r="O847">
        <v>1405</v>
      </c>
      <c r="P847" s="1">
        <v>44044</v>
      </c>
      <c r="Q847">
        <v>153</v>
      </c>
    </row>
    <row r="848" spans="1:17" x14ac:dyDescent="0.25">
      <c r="A848" s="1">
        <v>44197</v>
      </c>
      <c r="B848" t="s">
        <v>163</v>
      </c>
      <c r="C848" t="s">
        <v>90</v>
      </c>
      <c r="D848" t="s">
        <v>82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 s="1">
        <v>44228</v>
      </c>
      <c r="Q848">
        <v>-31</v>
      </c>
    </row>
    <row r="849" spans="1:17" x14ac:dyDescent="0.25">
      <c r="A849" s="1">
        <v>44197</v>
      </c>
      <c r="B849" t="s">
        <v>164</v>
      </c>
      <c r="C849" t="s">
        <v>92</v>
      </c>
      <c r="D849" t="s">
        <v>91</v>
      </c>
      <c r="E849">
        <v>2169</v>
      </c>
      <c r="F849">
        <v>1153</v>
      </c>
      <c r="G849">
        <v>828</v>
      </c>
      <c r="H849">
        <v>1110</v>
      </c>
      <c r="I849">
        <v>782</v>
      </c>
      <c r="J849">
        <v>636</v>
      </c>
      <c r="K849">
        <v>787</v>
      </c>
      <c r="L849">
        <v>742</v>
      </c>
      <c r="M849">
        <v>498</v>
      </c>
      <c r="N849">
        <v>1206</v>
      </c>
      <c r="O849">
        <v>954</v>
      </c>
      <c r="P849" s="1">
        <v>44105</v>
      </c>
      <c r="Q849">
        <v>92</v>
      </c>
    </row>
    <row r="850" spans="1:17" x14ac:dyDescent="0.25">
      <c r="A850" s="1">
        <v>44197</v>
      </c>
      <c r="B850" t="s">
        <v>165</v>
      </c>
      <c r="C850" t="s">
        <v>94</v>
      </c>
      <c r="D850" t="s">
        <v>93</v>
      </c>
      <c r="E850">
        <v>160</v>
      </c>
      <c r="F850">
        <v>86</v>
      </c>
      <c r="G850">
        <v>89</v>
      </c>
      <c r="H850">
        <v>241</v>
      </c>
      <c r="I850">
        <v>598</v>
      </c>
      <c r="J850">
        <v>43</v>
      </c>
      <c r="K850">
        <v>-19</v>
      </c>
      <c r="L850">
        <v>132</v>
      </c>
      <c r="M850">
        <v>58</v>
      </c>
      <c r="N850">
        <v>294</v>
      </c>
      <c r="O850">
        <v>405</v>
      </c>
      <c r="P850" s="1">
        <v>43586</v>
      </c>
      <c r="Q850">
        <v>611</v>
      </c>
    </row>
    <row r="851" spans="1:17" x14ac:dyDescent="0.25">
      <c r="A851" s="1">
        <v>44197</v>
      </c>
      <c r="B851" t="s">
        <v>166</v>
      </c>
      <c r="C851" t="s">
        <v>96</v>
      </c>
      <c r="D851" t="s">
        <v>95</v>
      </c>
      <c r="E851">
        <v>99</v>
      </c>
      <c r="F851">
        <v>159</v>
      </c>
      <c r="G851">
        <v>193</v>
      </c>
      <c r="H851">
        <v>461</v>
      </c>
      <c r="I851">
        <v>60</v>
      </c>
      <c r="J851">
        <v>176</v>
      </c>
      <c r="K851">
        <v>476</v>
      </c>
      <c r="L851">
        <v>166</v>
      </c>
      <c r="M851">
        <v>175</v>
      </c>
      <c r="N851">
        <v>203</v>
      </c>
      <c r="O851">
        <v>486</v>
      </c>
      <c r="P851" s="1">
        <v>43678</v>
      </c>
      <c r="Q851">
        <v>519</v>
      </c>
    </row>
    <row r="852" spans="1:17" x14ac:dyDescent="0.25">
      <c r="A852" s="1">
        <v>44197</v>
      </c>
      <c r="B852" t="s">
        <v>167</v>
      </c>
      <c r="C852" t="s">
        <v>97</v>
      </c>
      <c r="D852" t="s">
        <v>58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 s="1">
        <v>44287</v>
      </c>
      <c r="Q852">
        <v>-90</v>
      </c>
    </row>
    <row r="853" spans="1:17" x14ac:dyDescent="0.25">
      <c r="A853" s="1">
        <v>44197</v>
      </c>
      <c r="B853" t="s">
        <v>168</v>
      </c>
      <c r="C853" t="s">
        <v>98</v>
      </c>
      <c r="D853" t="s">
        <v>49</v>
      </c>
      <c r="E853">
        <v>300</v>
      </c>
      <c r="F853">
        <v>61</v>
      </c>
      <c r="G853">
        <v>197</v>
      </c>
      <c r="H853">
        <v>111</v>
      </c>
      <c r="I853">
        <v>221</v>
      </c>
      <c r="J853">
        <v>57</v>
      </c>
      <c r="K853">
        <v>54</v>
      </c>
      <c r="L853">
        <v>151</v>
      </c>
      <c r="M853">
        <v>157</v>
      </c>
      <c r="N853">
        <v>644</v>
      </c>
      <c r="O853">
        <v>-11</v>
      </c>
      <c r="P853" s="1">
        <v>43709</v>
      </c>
      <c r="Q853">
        <v>488</v>
      </c>
    </row>
    <row r="854" spans="1:17" x14ac:dyDescent="0.25">
      <c r="A854" s="1">
        <v>44197</v>
      </c>
      <c r="B854" t="s">
        <v>169</v>
      </c>
      <c r="C854" t="s">
        <v>99</v>
      </c>
      <c r="D854" t="s">
        <v>95</v>
      </c>
      <c r="E854">
        <v>118</v>
      </c>
      <c r="F854">
        <v>580</v>
      </c>
      <c r="G854">
        <v>172</v>
      </c>
      <c r="H854">
        <v>666</v>
      </c>
      <c r="I854">
        <v>108</v>
      </c>
      <c r="J854">
        <v>161</v>
      </c>
      <c r="K854">
        <v>555</v>
      </c>
      <c r="L854">
        <v>189</v>
      </c>
      <c r="M854">
        <v>361</v>
      </c>
      <c r="N854">
        <v>105</v>
      </c>
      <c r="O854">
        <v>388</v>
      </c>
      <c r="P854" s="1">
        <v>43678</v>
      </c>
      <c r="Q854">
        <v>519</v>
      </c>
    </row>
    <row r="855" spans="1:17" x14ac:dyDescent="0.25">
      <c r="A855" s="1">
        <v>44197</v>
      </c>
      <c r="B855" t="s">
        <v>170</v>
      </c>
      <c r="C855" t="s">
        <v>100</v>
      </c>
      <c r="D855" t="s">
        <v>82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 s="1">
        <v>44228</v>
      </c>
      <c r="Q855">
        <v>-31</v>
      </c>
    </row>
    <row r="856" spans="1:17" x14ac:dyDescent="0.25">
      <c r="A856" s="1">
        <v>44197</v>
      </c>
      <c r="B856" t="s">
        <v>171</v>
      </c>
      <c r="C856" t="s">
        <v>101</v>
      </c>
      <c r="D856" t="s">
        <v>68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 s="1">
        <v>44317</v>
      </c>
      <c r="Q856">
        <v>-120</v>
      </c>
    </row>
    <row r="857" spans="1:17" x14ac:dyDescent="0.25">
      <c r="A857" s="1">
        <v>44197</v>
      </c>
      <c r="B857" t="s">
        <v>172</v>
      </c>
      <c r="C857" t="s">
        <v>102</v>
      </c>
      <c r="D857" t="s">
        <v>88</v>
      </c>
      <c r="E857">
        <v>373</v>
      </c>
      <c r="F857">
        <v>175</v>
      </c>
      <c r="G857">
        <v>591</v>
      </c>
      <c r="H857">
        <v>1045</v>
      </c>
      <c r="I857">
        <v>450</v>
      </c>
      <c r="J857">
        <v>508</v>
      </c>
      <c r="K857">
        <v>403</v>
      </c>
      <c r="L857">
        <v>-42</v>
      </c>
      <c r="M857">
        <v>1130</v>
      </c>
      <c r="N857">
        <v>662</v>
      </c>
      <c r="O857">
        <v>1643</v>
      </c>
      <c r="P857" s="1">
        <v>44044</v>
      </c>
      <c r="Q857">
        <v>153</v>
      </c>
    </row>
    <row r="858" spans="1:17" x14ac:dyDescent="0.25">
      <c r="A858" s="1">
        <v>44197</v>
      </c>
      <c r="B858" t="s">
        <v>173</v>
      </c>
      <c r="C858" t="s">
        <v>103</v>
      </c>
      <c r="D858" t="s">
        <v>52</v>
      </c>
      <c r="E858">
        <v>195</v>
      </c>
      <c r="F858">
        <v>231</v>
      </c>
      <c r="G858">
        <v>266</v>
      </c>
      <c r="H858">
        <v>749</v>
      </c>
      <c r="I858">
        <v>259</v>
      </c>
      <c r="J858">
        <v>57</v>
      </c>
      <c r="K858">
        <v>54</v>
      </c>
      <c r="L858">
        <v>324</v>
      </c>
      <c r="M858">
        <v>209</v>
      </c>
      <c r="N858">
        <v>917</v>
      </c>
      <c r="O858">
        <v>179</v>
      </c>
      <c r="P858" s="1">
        <v>43862</v>
      </c>
      <c r="Q858">
        <v>335</v>
      </c>
    </row>
    <row r="859" spans="1:17" x14ac:dyDescent="0.25">
      <c r="A859" s="1">
        <v>44197</v>
      </c>
      <c r="B859" t="s">
        <v>174</v>
      </c>
      <c r="C859" t="s">
        <v>105</v>
      </c>
      <c r="D859" t="s">
        <v>104</v>
      </c>
      <c r="E859">
        <v>90</v>
      </c>
      <c r="F859">
        <v>72</v>
      </c>
      <c r="G859">
        <v>97</v>
      </c>
      <c r="H859">
        <v>361</v>
      </c>
      <c r="I859">
        <v>407</v>
      </c>
      <c r="J859">
        <v>110</v>
      </c>
      <c r="K859">
        <v>56</v>
      </c>
      <c r="L859">
        <v>72</v>
      </c>
      <c r="M859">
        <v>283</v>
      </c>
      <c r="N859">
        <v>354</v>
      </c>
      <c r="O859">
        <v>198</v>
      </c>
      <c r="P859" s="1">
        <v>43374</v>
      </c>
      <c r="Q859">
        <v>823</v>
      </c>
    </row>
    <row r="860" spans="1:17" x14ac:dyDescent="0.25">
      <c r="A860" s="1">
        <v>44197</v>
      </c>
      <c r="B860" t="s">
        <v>142</v>
      </c>
      <c r="C860" t="s">
        <v>50</v>
      </c>
      <c r="D860" t="s">
        <v>49</v>
      </c>
      <c r="E860">
        <v>283</v>
      </c>
      <c r="F860">
        <v>888</v>
      </c>
      <c r="G860">
        <v>174</v>
      </c>
      <c r="H860">
        <v>686</v>
      </c>
      <c r="I860">
        <v>221</v>
      </c>
      <c r="J860">
        <v>897</v>
      </c>
      <c r="K860">
        <v>70</v>
      </c>
      <c r="L860">
        <v>676</v>
      </c>
      <c r="M860">
        <v>864</v>
      </c>
      <c r="N860">
        <v>655</v>
      </c>
      <c r="O860">
        <v>488</v>
      </c>
      <c r="P860" s="1">
        <v>43709</v>
      </c>
      <c r="Q860">
        <v>488</v>
      </c>
    </row>
    <row r="861" spans="1:17" x14ac:dyDescent="0.25">
      <c r="A861" s="1">
        <v>44197</v>
      </c>
      <c r="B861" t="s">
        <v>143</v>
      </c>
      <c r="C861" t="s">
        <v>53</v>
      </c>
      <c r="D861" t="s">
        <v>52</v>
      </c>
      <c r="E861">
        <v>262</v>
      </c>
      <c r="F861">
        <v>748</v>
      </c>
      <c r="G861">
        <v>238</v>
      </c>
      <c r="H861">
        <v>795</v>
      </c>
      <c r="I861">
        <v>1384</v>
      </c>
      <c r="J861">
        <v>355</v>
      </c>
      <c r="K861">
        <v>181</v>
      </c>
      <c r="L861">
        <v>486</v>
      </c>
      <c r="M861">
        <v>748</v>
      </c>
      <c r="N861">
        <v>695</v>
      </c>
      <c r="O861">
        <v>794</v>
      </c>
      <c r="P861" s="1">
        <v>43862</v>
      </c>
      <c r="Q861">
        <v>335</v>
      </c>
    </row>
    <row r="862" spans="1:17" x14ac:dyDescent="0.25">
      <c r="A862" s="1">
        <v>44197</v>
      </c>
      <c r="B862" t="s">
        <v>144</v>
      </c>
      <c r="C862" t="s">
        <v>56</v>
      </c>
      <c r="D862" t="s">
        <v>55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 s="1">
        <v>44256</v>
      </c>
      <c r="Q862">
        <v>-59</v>
      </c>
    </row>
    <row r="863" spans="1:17" x14ac:dyDescent="0.25">
      <c r="A863" s="1">
        <v>44197</v>
      </c>
      <c r="B863" t="s">
        <v>145</v>
      </c>
      <c r="C863" t="s">
        <v>59</v>
      </c>
      <c r="D863" t="s">
        <v>58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 s="1">
        <v>44287</v>
      </c>
      <c r="Q863">
        <v>-90</v>
      </c>
    </row>
    <row r="864" spans="1:17" x14ac:dyDescent="0.25">
      <c r="A864" s="1">
        <v>44197</v>
      </c>
      <c r="B864" t="s">
        <v>146</v>
      </c>
      <c r="C864" t="s">
        <v>62</v>
      </c>
      <c r="D864" t="s">
        <v>61</v>
      </c>
      <c r="E864">
        <v>2510</v>
      </c>
      <c r="F864">
        <v>1484</v>
      </c>
      <c r="G864">
        <v>557</v>
      </c>
      <c r="H864">
        <v>722</v>
      </c>
      <c r="I864">
        <v>140</v>
      </c>
      <c r="J864">
        <v>338</v>
      </c>
      <c r="K864">
        <v>591</v>
      </c>
      <c r="L864">
        <v>1242</v>
      </c>
      <c r="M864">
        <v>820</v>
      </c>
      <c r="N864">
        <v>349</v>
      </c>
      <c r="O864">
        <v>317</v>
      </c>
      <c r="P864" s="1">
        <v>44075</v>
      </c>
      <c r="Q864">
        <v>122</v>
      </c>
    </row>
    <row r="865" spans="1:17" x14ac:dyDescent="0.25">
      <c r="A865" s="1">
        <v>44197</v>
      </c>
      <c r="B865" t="s">
        <v>147</v>
      </c>
      <c r="C865" t="s">
        <v>64</v>
      </c>
      <c r="D865" t="s">
        <v>52</v>
      </c>
      <c r="E865">
        <v>356</v>
      </c>
      <c r="F865">
        <v>316</v>
      </c>
      <c r="G865">
        <v>57</v>
      </c>
      <c r="H865">
        <v>268</v>
      </c>
      <c r="I865">
        <v>172</v>
      </c>
      <c r="J865">
        <v>143</v>
      </c>
      <c r="K865">
        <v>105</v>
      </c>
      <c r="L865">
        <v>287</v>
      </c>
      <c r="M865">
        <v>163</v>
      </c>
      <c r="N865">
        <v>251</v>
      </c>
      <c r="O865">
        <v>233</v>
      </c>
      <c r="P865" s="1">
        <v>43862</v>
      </c>
      <c r="Q865">
        <v>335</v>
      </c>
    </row>
    <row r="866" spans="1:17" x14ac:dyDescent="0.25">
      <c r="A866" s="1">
        <v>44197</v>
      </c>
      <c r="B866" t="s">
        <v>148</v>
      </c>
      <c r="C866" t="s">
        <v>66</v>
      </c>
      <c r="D866" t="s">
        <v>55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 s="1">
        <v>44256</v>
      </c>
      <c r="Q866">
        <v>-59</v>
      </c>
    </row>
    <row r="867" spans="1:17" x14ac:dyDescent="0.25">
      <c r="A867" s="1">
        <v>44197</v>
      </c>
      <c r="B867" t="s">
        <v>149</v>
      </c>
      <c r="C867" t="s">
        <v>67</v>
      </c>
      <c r="D867" t="s">
        <v>55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 s="1">
        <v>44256</v>
      </c>
      <c r="Q867">
        <v>-59</v>
      </c>
    </row>
    <row r="868" spans="1:17" x14ac:dyDescent="0.25">
      <c r="A868" s="1">
        <v>44197</v>
      </c>
      <c r="B868" t="s">
        <v>150</v>
      </c>
      <c r="C868" t="s">
        <v>69</v>
      </c>
      <c r="D868" t="s">
        <v>68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 s="1">
        <v>44317</v>
      </c>
      <c r="Q868">
        <v>-120</v>
      </c>
    </row>
    <row r="869" spans="1:17" x14ac:dyDescent="0.25">
      <c r="A869" s="1">
        <v>44197</v>
      </c>
      <c r="B869" t="s">
        <v>151</v>
      </c>
      <c r="C869" t="s">
        <v>71</v>
      </c>
      <c r="D869" t="s">
        <v>70</v>
      </c>
      <c r="E869">
        <v>1369</v>
      </c>
      <c r="F869">
        <v>1064</v>
      </c>
      <c r="G869">
        <v>1092</v>
      </c>
      <c r="H869">
        <v>852</v>
      </c>
      <c r="I869">
        <v>3215</v>
      </c>
      <c r="J869">
        <v>1219</v>
      </c>
      <c r="K869">
        <v>699</v>
      </c>
      <c r="L869">
        <v>1004</v>
      </c>
      <c r="M869">
        <v>3650</v>
      </c>
      <c r="N869">
        <v>736</v>
      </c>
      <c r="O869">
        <v>467</v>
      </c>
      <c r="P869" s="1">
        <v>44136</v>
      </c>
      <c r="Q869">
        <v>61</v>
      </c>
    </row>
    <row r="870" spans="1:17" x14ac:dyDescent="0.25">
      <c r="A870" s="1">
        <v>44197</v>
      </c>
      <c r="B870" t="s">
        <v>152</v>
      </c>
      <c r="C870" t="s">
        <v>11</v>
      </c>
      <c r="D870" t="s">
        <v>52</v>
      </c>
      <c r="E870">
        <v>106</v>
      </c>
      <c r="F870">
        <v>209</v>
      </c>
      <c r="G870">
        <v>220</v>
      </c>
      <c r="H870">
        <v>823</v>
      </c>
      <c r="I870">
        <v>65</v>
      </c>
      <c r="J870">
        <v>143</v>
      </c>
      <c r="K870">
        <v>156</v>
      </c>
      <c r="L870">
        <v>206</v>
      </c>
      <c r="M870">
        <v>22</v>
      </c>
      <c r="N870">
        <v>166</v>
      </c>
      <c r="O870">
        <v>179</v>
      </c>
      <c r="P870" s="1">
        <v>43862</v>
      </c>
      <c r="Q870">
        <v>335</v>
      </c>
    </row>
    <row r="871" spans="1:17" x14ac:dyDescent="0.25">
      <c r="A871" s="1">
        <v>44197</v>
      </c>
      <c r="B871" t="s">
        <v>153</v>
      </c>
      <c r="C871" t="s">
        <v>73</v>
      </c>
      <c r="D871" t="s">
        <v>72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 s="1">
        <v>44440</v>
      </c>
      <c r="Q871">
        <v>-243</v>
      </c>
    </row>
    <row r="872" spans="1:17" x14ac:dyDescent="0.25">
      <c r="A872" s="1">
        <v>44197</v>
      </c>
      <c r="B872" t="s">
        <v>154</v>
      </c>
      <c r="C872" t="s">
        <v>17</v>
      </c>
      <c r="D872" t="s">
        <v>74</v>
      </c>
      <c r="E872">
        <v>6024</v>
      </c>
      <c r="F872">
        <v>7923</v>
      </c>
      <c r="G872">
        <v>77</v>
      </c>
      <c r="H872">
        <v>10277</v>
      </c>
      <c r="I872">
        <v>5807</v>
      </c>
      <c r="J872">
        <v>10282</v>
      </c>
      <c r="K872">
        <v>2367</v>
      </c>
      <c r="L872">
        <v>10913</v>
      </c>
      <c r="M872">
        <v>9669</v>
      </c>
      <c r="N872">
        <v>3140</v>
      </c>
      <c r="O872">
        <v>-1949</v>
      </c>
      <c r="P872" s="1">
        <v>44197</v>
      </c>
      <c r="Q872">
        <v>0</v>
      </c>
    </row>
    <row r="873" spans="1:17" x14ac:dyDescent="0.25">
      <c r="A873" s="1">
        <v>44197</v>
      </c>
      <c r="B873" t="s">
        <v>155</v>
      </c>
      <c r="C873" t="s">
        <v>76</v>
      </c>
      <c r="D873" t="s">
        <v>75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 s="1">
        <v>44470</v>
      </c>
      <c r="Q873">
        <v>-273</v>
      </c>
    </row>
    <row r="874" spans="1:17" x14ac:dyDescent="0.25">
      <c r="A874" s="1">
        <v>44197</v>
      </c>
      <c r="B874" t="s">
        <v>156</v>
      </c>
      <c r="C874" t="s">
        <v>79</v>
      </c>
      <c r="D874" t="s">
        <v>78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 s="1">
        <v>44348</v>
      </c>
      <c r="Q874">
        <v>-151</v>
      </c>
    </row>
    <row r="875" spans="1:17" x14ac:dyDescent="0.25">
      <c r="A875" s="1">
        <v>44228</v>
      </c>
      <c r="B875" t="s">
        <v>157</v>
      </c>
      <c r="C875" t="s">
        <v>81</v>
      </c>
      <c r="D875" t="s">
        <v>72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 s="1">
        <v>44440</v>
      </c>
      <c r="Q875">
        <v>-212</v>
      </c>
    </row>
    <row r="876" spans="1:17" x14ac:dyDescent="0.25">
      <c r="A876" s="1">
        <v>44228</v>
      </c>
      <c r="B876" t="s">
        <v>158</v>
      </c>
      <c r="C876" t="s">
        <v>83</v>
      </c>
      <c r="D876" t="s">
        <v>82</v>
      </c>
      <c r="E876">
        <v>3971</v>
      </c>
      <c r="F876">
        <v>1892</v>
      </c>
      <c r="G876">
        <v>2326</v>
      </c>
      <c r="H876">
        <v>4452</v>
      </c>
      <c r="I876">
        <v>8352</v>
      </c>
      <c r="J876">
        <v>5501</v>
      </c>
      <c r="K876">
        <v>8693</v>
      </c>
      <c r="L876">
        <v>8154</v>
      </c>
      <c r="M876">
        <v>8025</v>
      </c>
      <c r="N876">
        <v>4109</v>
      </c>
      <c r="O876">
        <v>1960</v>
      </c>
      <c r="P876" s="1">
        <v>44228</v>
      </c>
      <c r="Q876">
        <v>0</v>
      </c>
    </row>
    <row r="877" spans="1:17" x14ac:dyDescent="0.25">
      <c r="A877" s="1">
        <v>44228</v>
      </c>
      <c r="B877" t="s">
        <v>159</v>
      </c>
      <c r="C877" t="s">
        <v>84</v>
      </c>
      <c r="D877" t="s">
        <v>55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 s="1">
        <v>44256</v>
      </c>
      <c r="Q877">
        <v>-28</v>
      </c>
    </row>
    <row r="878" spans="1:17" x14ac:dyDescent="0.25">
      <c r="A878" s="1">
        <v>44228</v>
      </c>
      <c r="B878" t="s">
        <v>160</v>
      </c>
      <c r="C878" t="s">
        <v>86</v>
      </c>
      <c r="D878" t="s">
        <v>68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 s="1">
        <v>44317</v>
      </c>
      <c r="Q878">
        <v>-89</v>
      </c>
    </row>
    <row r="879" spans="1:17" x14ac:dyDescent="0.25">
      <c r="A879" s="1">
        <v>44228</v>
      </c>
      <c r="B879" t="s">
        <v>161</v>
      </c>
      <c r="C879" t="s">
        <v>87</v>
      </c>
      <c r="D879" t="s">
        <v>72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 s="1">
        <v>44440</v>
      </c>
      <c r="Q879">
        <v>-212</v>
      </c>
    </row>
    <row r="880" spans="1:17" x14ac:dyDescent="0.25">
      <c r="A880" s="1">
        <v>44228</v>
      </c>
      <c r="B880" t="s">
        <v>162</v>
      </c>
      <c r="C880" t="s">
        <v>89</v>
      </c>
      <c r="D880" t="s">
        <v>88</v>
      </c>
      <c r="E880">
        <v>234</v>
      </c>
      <c r="F880">
        <v>433</v>
      </c>
      <c r="G880">
        <v>348</v>
      </c>
      <c r="H880">
        <v>1336</v>
      </c>
      <c r="I880">
        <v>488</v>
      </c>
      <c r="J880">
        <v>352</v>
      </c>
      <c r="K880">
        <v>401</v>
      </c>
      <c r="L880">
        <v>222</v>
      </c>
      <c r="M880">
        <v>2784</v>
      </c>
      <c r="N880">
        <v>319</v>
      </c>
      <c r="O880">
        <v>1472</v>
      </c>
      <c r="P880" s="1">
        <v>44044</v>
      </c>
      <c r="Q880">
        <v>184</v>
      </c>
    </row>
    <row r="881" spans="1:17" x14ac:dyDescent="0.25">
      <c r="A881" s="1">
        <v>44228</v>
      </c>
      <c r="B881" t="s">
        <v>163</v>
      </c>
      <c r="C881" t="s">
        <v>90</v>
      </c>
      <c r="D881" t="s">
        <v>82</v>
      </c>
      <c r="E881">
        <v>7291</v>
      </c>
      <c r="F881">
        <v>2908</v>
      </c>
      <c r="G881">
        <v>1533</v>
      </c>
      <c r="H881">
        <v>8282</v>
      </c>
      <c r="I881">
        <v>5712</v>
      </c>
      <c r="J881">
        <v>1360</v>
      </c>
      <c r="K881">
        <v>2160</v>
      </c>
      <c r="L881">
        <v>-225</v>
      </c>
      <c r="M881">
        <v>12458</v>
      </c>
      <c r="N881">
        <v>9754</v>
      </c>
      <c r="O881">
        <v>3680</v>
      </c>
      <c r="P881" s="1">
        <v>44228</v>
      </c>
      <c r="Q881">
        <v>0</v>
      </c>
    </row>
    <row r="882" spans="1:17" x14ac:dyDescent="0.25">
      <c r="A882" s="1">
        <v>44228</v>
      </c>
      <c r="B882" t="s">
        <v>164</v>
      </c>
      <c r="C882" t="s">
        <v>92</v>
      </c>
      <c r="D882" t="s">
        <v>91</v>
      </c>
      <c r="E882">
        <v>2071</v>
      </c>
      <c r="F882">
        <v>722</v>
      </c>
      <c r="G882">
        <v>310</v>
      </c>
      <c r="H882">
        <v>802</v>
      </c>
      <c r="I882">
        <v>698</v>
      </c>
      <c r="J882">
        <v>-14</v>
      </c>
      <c r="K882">
        <v>66</v>
      </c>
      <c r="L882">
        <v>609</v>
      </c>
      <c r="M882">
        <v>325</v>
      </c>
      <c r="N882">
        <v>440</v>
      </c>
      <c r="O882">
        <v>533</v>
      </c>
      <c r="P882" s="1">
        <v>44105</v>
      </c>
      <c r="Q882">
        <v>123</v>
      </c>
    </row>
    <row r="883" spans="1:17" x14ac:dyDescent="0.25">
      <c r="A883" s="1">
        <v>44228</v>
      </c>
      <c r="B883" t="s">
        <v>165</v>
      </c>
      <c r="C883" t="s">
        <v>94</v>
      </c>
      <c r="D883" t="s">
        <v>93</v>
      </c>
      <c r="E883">
        <v>404</v>
      </c>
      <c r="F883">
        <v>76</v>
      </c>
      <c r="G883">
        <v>78</v>
      </c>
      <c r="H883">
        <v>454</v>
      </c>
      <c r="I883">
        <v>430</v>
      </c>
      <c r="J883">
        <v>90</v>
      </c>
      <c r="K883">
        <v>24</v>
      </c>
      <c r="L883">
        <v>504</v>
      </c>
      <c r="M883">
        <v>144</v>
      </c>
      <c r="N883">
        <v>356</v>
      </c>
      <c r="O883">
        <v>502</v>
      </c>
      <c r="P883" s="1">
        <v>43586</v>
      </c>
      <c r="Q883">
        <v>642</v>
      </c>
    </row>
    <row r="884" spans="1:17" x14ac:dyDescent="0.25">
      <c r="A884" s="1">
        <v>44228</v>
      </c>
      <c r="B884" t="s">
        <v>166</v>
      </c>
      <c r="C884" t="s">
        <v>96</v>
      </c>
      <c r="D884" t="s">
        <v>95</v>
      </c>
      <c r="E884">
        <v>118</v>
      </c>
      <c r="F884">
        <v>46</v>
      </c>
      <c r="G884">
        <v>104</v>
      </c>
      <c r="H884">
        <v>648</v>
      </c>
      <c r="I884">
        <v>124</v>
      </c>
      <c r="J884">
        <v>35</v>
      </c>
      <c r="K884">
        <v>169</v>
      </c>
      <c r="L884">
        <v>187</v>
      </c>
      <c r="M884">
        <v>200</v>
      </c>
      <c r="N884">
        <v>106</v>
      </c>
      <c r="O884">
        <v>77</v>
      </c>
      <c r="P884" s="1">
        <v>43678</v>
      </c>
      <c r="Q884">
        <v>550</v>
      </c>
    </row>
    <row r="885" spans="1:17" x14ac:dyDescent="0.25">
      <c r="A885" s="1">
        <v>44228</v>
      </c>
      <c r="B885" t="s">
        <v>167</v>
      </c>
      <c r="C885" t="s">
        <v>97</v>
      </c>
      <c r="D885" t="s">
        <v>58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 s="1">
        <v>44287</v>
      </c>
      <c r="Q885">
        <v>-59</v>
      </c>
    </row>
    <row r="886" spans="1:17" x14ac:dyDescent="0.25">
      <c r="A886" s="1">
        <v>44228</v>
      </c>
      <c r="B886" t="s">
        <v>168</v>
      </c>
      <c r="C886" t="s">
        <v>98</v>
      </c>
      <c r="D886" t="s">
        <v>49</v>
      </c>
      <c r="E886">
        <v>702</v>
      </c>
      <c r="F886">
        <v>93</v>
      </c>
      <c r="G886">
        <v>102</v>
      </c>
      <c r="H886">
        <v>20</v>
      </c>
      <c r="I886">
        <v>181</v>
      </c>
      <c r="J886">
        <v>15</v>
      </c>
      <c r="K886">
        <v>84</v>
      </c>
      <c r="L886">
        <v>536</v>
      </c>
      <c r="M886">
        <v>50</v>
      </c>
      <c r="N886">
        <v>479</v>
      </c>
      <c r="O886">
        <v>112</v>
      </c>
      <c r="P886" s="1">
        <v>43709</v>
      </c>
      <c r="Q886">
        <v>519</v>
      </c>
    </row>
    <row r="887" spans="1:17" x14ac:dyDescent="0.25">
      <c r="A887" s="1">
        <v>44228</v>
      </c>
      <c r="B887" t="s">
        <v>169</v>
      </c>
      <c r="C887" t="s">
        <v>99</v>
      </c>
      <c r="D887" t="s">
        <v>95</v>
      </c>
      <c r="E887">
        <v>25</v>
      </c>
      <c r="F887">
        <v>745</v>
      </c>
      <c r="G887">
        <v>143</v>
      </c>
      <c r="H887">
        <v>66</v>
      </c>
      <c r="I887">
        <v>346</v>
      </c>
      <c r="J887">
        <v>246</v>
      </c>
      <c r="K887">
        <v>460</v>
      </c>
      <c r="L887">
        <v>7</v>
      </c>
      <c r="M887">
        <v>462</v>
      </c>
      <c r="N887">
        <v>104</v>
      </c>
      <c r="O887">
        <v>431</v>
      </c>
      <c r="P887" s="1">
        <v>43678</v>
      </c>
      <c r="Q887">
        <v>550</v>
      </c>
    </row>
    <row r="888" spans="1:17" x14ac:dyDescent="0.25">
      <c r="A888" s="1">
        <v>44228</v>
      </c>
      <c r="B888" t="s">
        <v>170</v>
      </c>
      <c r="C888" t="s">
        <v>100</v>
      </c>
      <c r="D888" t="s">
        <v>82</v>
      </c>
      <c r="E888">
        <v>3497</v>
      </c>
      <c r="F888">
        <v>3229</v>
      </c>
      <c r="G888">
        <v>1267</v>
      </c>
      <c r="H888">
        <v>14008</v>
      </c>
      <c r="I888">
        <v>519</v>
      </c>
      <c r="J888">
        <v>3740</v>
      </c>
      <c r="K888">
        <v>13437</v>
      </c>
      <c r="L888">
        <v>3291</v>
      </c>
      <c r="M888">
        <v>4052</v>
      </c>
      <c r="N888">
        <v>6042</v>
      </c>
      <c r="O888">
        <v>1372</v>
      </c>
      <c r="P888" s="1">
        <v>44228</v>
      </c>
      <c r="Q888">
        <v>0</v>
      </c>
    </row>
    <row r="889" spans="1:17" x14ac:dyDescent="0.25">
      <c r="A889" s="1">
        <v>44228</v>
      </c>
      <c r="B889" t="s">
        <v>171</v>
      </c>
      <c r="C889" t="s">
        <v>101</v>
      </c>
      <c r="D889" t="s">
        <v>68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 s="1">
        <v>44317</v>
      </c>
      <c r="Q889">
        <v>-89</v>
      </c>
    </row>
    <row r="890" spans="1:17" x14ac:dyDescent="0.25">
      <c r="A890" s="1">
        <v>44228</v>
      </c>
      <c r="B890" t="s">
        <v>172</v>
      </c>
      <c r="C890" t="s">
        <v>102</v>
      </c>
      <c r="D890" t="s">
        <v>88</v>
      </c>
      <c r="E890">
        <v>156</v>
      </c>
      <c r="F890">
        <v>212</v>
      </c>
      <c r="G890">
        <v>625</v>
      </c>
      <c r="H890">
        <v>1292</v>
      </c>
      <c r="I890">
        <v>421</v>
      </c>
      <c r="J890">
        <v>134</v>
      </c>
      <c r="K890">
        <v>1871</v>
      </c>
      <c r="L890">
        <v>321</v>
      </c>
      <c r="M890">
        <v>1314</v>
      </c>
      <c r="N890">
        <v>393</v>
      </c>
      <c r="O890">
        <v>1642</v>
      </c>
      <c r="P890" s="1">
        <v>44044</v>
      </c>
      <c r="Q890">
        <v>184</v>
      </c>
    </row>
    <row r="891" spans="1:17" x14ac:dyDescent="0.25">
      <c r="A891" s="1">
        <v>44228</v>
      </c>
      <c r="B891" t="s">
        <v>173</v>
      </c>
      <c r="C891" t="s">
        <v>103</v>
      </c>
      <c r="D891" t="s">
        <v>52</v>
      </c>
      <c r="E891">
        <v>183</v>
      </c>
      <c r="F891">
        <v>54</v>
      </c>
      <c r="G891">
        <v>-48</v>
      </c>
      <c r="H891">
        <v>399</v>
      </c>
      <c r="I891">
        <v>377</v>
      </c>
      <c r="J891">
        <v>215</v>
      </c>
      <c r="K891">
        <v>937</v>
      </c>
      <c r="L891">
        <v>406</v>
      </c>
      <c r="M891">
        <v>236</v>
      </c>
      <c r="N891">
        <v>702</v>
      </c>
      <c r="O891">
        <v>321</v>
      </c>
      <c r="P891" s="1">
        <v>43862</v>
      </c>
      <c r="Q891">
        <v>366</v>
      </c>
    </row>
    <row r="892" spans="1:17" x14ac:dyDescent="0.25">
      <c r="A892" s="1">
        <v>44228</v>
      </c>
      <c r="B892" t="s">
        <v>174</v>
      </c>
      <c r="C892" t="s">
        <v>105</v>
      </c>
      <c r="D892" t="s">
        <v>104</v>
      </c>
      <c r="E892">
        <v>63</v>
      </c>
      <c r="F892">
        <v>53</v>
      </c>
      <c r="G892">
        <v>34</v>
      </c>
      <c r="H892">
        <v>277</v>
      </c>
      <c r="I892">
        <v>259</v>
      </c>
      <c r="J892">
        <v>71</v>
      </c>
      <c r="K892">
        <v>59</v>
      </c>
      <c r="L892">
        <v>73</v>
      </c>
      <c r="M892">
        <v>-6</v>
      </c>
      <c r="N892">
        <v>490</v>
      </c>
      <c r="O892">
        <v>453</v>
      </c>
      <c r="P892" s="1">
        <v>43374</v>
      </c>
      <c r="Q892">
        <v>854</v>
      </c>
    </row>
    <row r="893" spans="1:17" x14ac:dyDescent="0.25">
      <c r="A893" s="1">
        <v>44228</v>
      </c>
      <c r="B893" t="s">
        <v>142</v>
      </c>
      <c r="C893" t="s">
        <v>50</v>
      </c>
      <c r="D893" t="s">
        <v>49</v>
      </c>
      <c r="E893">
        <v>192</v>
      </c>
      <c r="F893">
        <v>366</v>
      </c>
      <c r="G893">
        <v>117</v>
      </c>
      <c r="H893">
        <v>437</v>
      </c>
      <c r="I893">
        <v>315</v>
      </c>
      <c r="J893">
        <v>317</v>
      </c>
      <c r="K893">
        <v>116</v>
      </c>
      <c r="L893">
        <v>92</v>
      </c>
      <c r="M893">
        <v>306</v>
      </c>
      <c r="N893">
        <v>628</v>
      </c>
      <c r="O893">
        <v>469</v>
      </c>
      <c r="P893" s="1">
        <v>43709</v>
      </c>
      <c r="Q893">
        <v>519</v>
      </c>
    </row>
    <row r="894" spans="1:17" x14ac:dyDescent="0.25">
      <c r="A894" s="1">
        <v>44228</v>
      </c>
      <c r="B894" t="s">
        <v>143</v>
      </c>
      <c r="C894" t="s">
        <v>53</v>
      </c>
      <c r="D894" t="s">
        <v>52</v>
      </c>
      <c r="E894">
        <v>707</v>
      </c>
      <c r="F894">
        <v>1096</v>
      </c>
      <c r="G894">
        <v>90</v>
      </c>
      <c r="H894">
        <v>519</v>
      </c>
      <c r="I894">
        <v>338</v>
      </c>
      <c r="J894">
        <v>447</v>
      </c>
      <c r="K894">
        <v>218</v>
      </c>
      <c r="L894">
        <v>689</v>
      </c>
      <c r="M894">
        <v>1120</v>
      </c>
      <c r="N894">
        <v>508</v>
      </c>
      <c r="O894">
        <v>971</v>
      </c>
      <c r="P894" s="1">
        <v>43862</v>
      </c>
      <c r="Q894">
        <v>366</v>
      </c>
    </row>
    <row r="895" spans="1:17" x14ac:dyDescent="0.25">
      <c r="A895" s="1">
        <v>44228</v>
      </c>
      <c r="B895" t="s">
        <v>144</v>
      </c>
      <c r="C895" t="s">
        <v>56</v>
      </c>
      <c r="D895" t="s">
        <v>55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 s="1">
        <v>44256</v>
      </c>
      <c r="Q895">
        <v>-28</v>
      </c>
    </row>
    <row r="896" spans="1:17" x14ac:dyDescent="0.25">
      <c r="A896" s="1">
        <v>44228</v>
      </c>
      <c r="B896" t="s">
        <v>145</v>
      </c>
      <c r="C896" t="s">
        <v>59</v>
      </c>
      <c r="D896" t="s">
        <v>58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 s="1">
        <v>44287</v>
      </c>
      <c r="Q896">
        <v>-59</v>
      </c>
    </row>
    <row r="897" spans="1:17" x14ac:dyDescent="0.25">
      <c r="A897" s="1">
        <v>44228</v>
      </c>
      <c r="B897" t="s">
        <v>146</v>
      </c>
      <c r="C897" t="s">
        <v>62</v>
      </c>
      <c r="D897" t="s">
        <v>61</v>
      </c>
      <c r="E897">
        <v>312</v>
      </c>
      <c r="F897">
        <v>1597</v>
      </c>
      <c r="G897">
        <v>404</v>
      </c>
      <c r="H897">
        <v>642</v>
      </c>
      <c r="I897">
        <v>525</v>
      </c>
      <c r="J897">
        <v>548</v>
      </c>
      <c r="K897">
        <v>826</v>
      </c>
      <c r="L897">
        <v>953</v>
      </c>
      <c r="M897">
        <v>129</v>
      </c>
      <c r="N897">
        <v>799</v>
      </c>
      <c r="O897">
        <v>174</v>
      </c>
      <c r="P897" s="1">
        <v>44075</v>
      </c>
      <c r="Q897">
        <v>153</v>
      </c>
    </row>
    <row r="898" spans="1:17" x14ac:dyDescent="0.25">
      <c r="A898" s="1">
        <v>44228</v>
      </c>
      <c r="B898" t="s">
        <v>147</v>
      </c>
      <c r="C898" t="s">
        <v>64</v>
      </c>
      <c r="D898" t="s">
        <v>52</v>
      </c>
      <c r="E898">
        <v>713</v>
      </c>
      <c r="F898">
        <v>936</v>
      </c>
      <c r="G898">
        <v>21</v>
      </c>
      <c r="H898">
        <v>255</v>
      </c>
      <c r="I898">
        <v>105</v>
      </c>
      <c r="J898">
        <v>39</v>
      </c>
      <c r="K898">
        <v>242</v>
      </c>
      <c r="L898">
        <v>194</v>
      </c>
      <c r="M898">
        <v>257</v>
      </c>
      <c r="N898">
        <v>113</v>
      </c>
      <c r="O898">
        <v>304</v>
      </c>
      <c r="P898" s="1">
        <v>43862</v>
      </c>
      <c r="Q898">
        <v>366</v>
      </c>
    </row>
    <row r="899" spans="1:17" x14ac:dyDescent="0.25">
      <c r="A899" s="1">
        <v>44228</v>
      </c>
      <c r="B899" t="s">
        <v>148</v>
      </c>
      <c r="C899" t="s">
        <v>66</v>
      </c>
      <c r="D899" t="s">
        <v>55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 s="1">
        <v>44256</v>
      </c>
      <c r="Q899">
        <v>-28</v>
      </c>
    </row>
    <row r="900" spans="1:17" x14ac:dyDescent="0.25">
      <c r="A900" s="1">
        <v>44228</v>
      </c>
      <c r="B900" t="s">
        <v>149</v>
      </c>
      <c r="C900" t="s">
        <v>67</v>
      </c>
      <c r="D900" t="s">
        <v>55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 s="1">
        <v>44256</v>
      </c>
      <c r="Q900">
        <v>-28</v>
      </c>
    </row>
    <row r="901" spans="1:17" x14ac:dyDescent="0.25">
      <c r="A901" s="1">
        <v>44228</v>
      </c>
      <c r="B901" t="s">
        <v>150</v>
      </c>
      <c r="C901" t="s">
        <v>69</v>
      </c>
      <c r="D901" t="s">
        <v>68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 s="1">
        <v>44317</v>
      </c>
      <c r="Q901">
        <v>-89</v>
      </c>
    </row>
    <row r="902" spans="1:17" x14ac:dyDescent="0.25">
      <c r="A902" s="1">
        <v>44228</v>
      </c>
      <c r="B902" t="s">
        <v>151</v>
      </c>
      <c r="C902" t="s">
        <v>71</v>
      </c>
      <c r="D902" t="s">
        <v>70</v>
      </c>
      <c r="E902">
        <v>653</v>
      </c>
      <c r="F902">
        <v>562</v>
      </c>
      <c r="G902">
        <v>608</v>
      </c>
      <c r="H902">
        <v>406</v>
      </c>
      <c r="I902">
        <v>1139</v>
      </c>
      <c r="J902">
        <v>506</v>
      </c>
      <c r="K902">
        <v>456</v>
      </c>
      <c r="L902">
        <v>733</v>
      </c>
      <c r="M902">
        <v>1842</v>
      </c>
      <c r="N902">
        <v>497</v>
      </c>
      <c r="O902">
        <v>574</v>
      </c>
      <c r="P902" s="1">
        <v>44136</v>
      </c>
      <c r="Q902">
        <v>92</v>
      </c>
    </row>
    <row r="903" spans="1:17" x14ac:dyDescent="0.25">
      <c r="A903" s="1">
        <v>44228</v>
      </c>
      <c r="B903" t="s">
        <v>152</v>
      </c>
      <c r="C903" t="s">
        <v>11</v>
      </c>
      <c r="D903" t="s">
        <v>52</v>
      </c>
      <c r="E903">
        <v>230</v>
      </c>
      <c r="F903">
        <v>184</v>
      </c>
      <c r="G903">
        <v>219</v>
      </c>
      <c r="H903">
        <v>643</v>
      </c>
      <c r="I903">
        <v>270</v>
      </c>
      <c r="J903">
        <v>249</v>
      </c>
      <c r="K903">
        <v>126</v>
      </c>
      <c r="L903">
        <v>143</v>
      </c>
      <c r="M903">
        <v>273</v>
      </c>
      <c r="N903">
        <v>205</v>
      </c>
      <c r="O903">
        <v>191</v>
      </c>
      <c r="P903" s="1">
        <v>43862</v>
      </c>
      <c r="Q903">
        <v>366</v>
      </c>
    </row>
    <row r="904" spans="1:17" x14ac:dyDescent="0.25">
      <c r="A904" s="1">
        <v>44228</v>
      </c>
      <c r="B904" t="s">
        <v>153</v>
      </c>
      <c r="C904" t="s">
        <v>73</v>
      </c>
      <c r="D904" t="s">
        <v>72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 s="1">
        <v>44440</v>
      </c>
      <c r="Q904">
        <v>-212</v>
      </c>
    </row>
    <row r="905" spans="1:17" x14ac:dyDescent="0.25">
      <c r="A905" s="1">
        <v>44228</v>
      </c>
      <c r="B905" t="s">
        <v>154</v>
      </c>
      <c r="C905" t="s">
        <v>17</v>
      </c>
      <c r="D905" t="s">
        <v>74</v>
      </c>
      <c r="E905">
        <v>1523</v>
      </c>
      <c r="F905">
        <v>8645</v>
      </c>
      <c r="G905">
        <v>3763</v>
      </c>
      <c r="H905">
        <v>4630</v>
      </c>
      <c r="I905">
        <v>-1269</v>
      </c>
      <c r="J905">
        <v>10942</v>
      </c>
      <c r="K905">
        <v>1263</v>
      </c>
      <c r="L905">
        <v>10845</v>
      </c>
      <c r="M905">
        <v>6671</v>
      </c>
      <c r="N905">
        <v>11088</v>
      </c>
      <c r="O905">
        <v>575</v>
      </c>
      <c r="P905" s="1">
        <v>44197</v>
      </c>
      <c r="Q905">
        <v>31</v>
      </c>
    </row>
    <row r="906" spans="1:17" x14ac:dyDescent="0.25">
      <c r="A906" s="1">
        <v>44228</v>
      </c>
      <c r="B906" t="s">
        <v>155</v>
      </c>
      <c r="C906" t="s">
        <v>76</v>
      </c>
      <c r="D906" t="s">
        <v>75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 s="1">
        <v>44470</v>
      </c>
      <c r="Q906">
        <v>-242</v>
      </c>
    </row>
    <row r="907" spans="1:17" x14ac:dyDescent="0.25">
      <c r="A907" s="1">
        <v>44228</v>
      </c>
      <c r="B907" t="s">
        <v>156</v>
      </c>
      <c r="C907" t="s">
        <v>79</v>
      </c>
      <c r="D907" t="s">
        <v>78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 s="1">
        <v>44348</v>
      </c>
      <c r="Q907">
        <v>-120</v>
      </c>
    </row>
    <row r="908" spans="1:17" x14ac:dyDescent="0.25">
      <c r="A908" s="1">
        <v>44228</v>
      </c>
      <c r="B908" t="s">
        <v>157</v>
      </c>
      <c r="C908" t="s">
        <v>81</v>
      </c>
      <c r="D908" t="s">
        <v>72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 s="1">
        <v>44440</v>
      </c>
      <c r="Q908">
        <v>-212</v>
      </c>
    </row>
    <row r="909" spans="1:17" x14ac:dyDescent="0.25">
      <c r="A909" s="1">
        <v>44228</v>
      </c>
      <c r="B909" t="s">
        <v>158</v>
      </c>
      <c r="C909" t="s">
        <v>83</v>
      </c>
      <c r="D909" t="s">
        <v>82</v>
      </c>
      <c r="E909">
        <v>15428</v>
      </c>
      <c r="F909">
        <v>11219</v>
      </c>
      <c r="G909">
        <v>301</v>
      </c>
      <c r="H909">
        <v>4440</v>
      </c>
      <c r="I909">
        <v>13439</v>
      </c>
      <c r="J909">
        <v>-406</v>
      </c>
      <c r="K909">
        <v>10214</v>
      </c>
      <c r="L909">
        <v>6763</v>
      </c>
      <c r="M909">
        <v>5106</v>
      </c>
      <c r="N909">
        <v>2379</v>
      </c>
      <c r="O909">
        <v>11805</v>
      </c>
      <c r="P909" s="1">
        <v>44228</v>
      </c>
      <c r="Q909">
        <v>0</v>
      </c>
    </row>
    <row r="910" spans="1:17" x14ac:dyDescent="0.25">
      <c r="A910" s="1">
        <v>44256</v>
      </c>
      <c r="B910" t="s">
        <v>159</v>
      </c>
      <c r="C910" t="s">
        <v>84</v>
      </c>
      <c r="D910" t="s">
        <v>55</v>
      </c>
      <c r="E910">
        <v>1020</v>
      </c>
      <c r="F910">
        <v>9053</v>
      </c>
      <c r="G910">
        <v>1282</v>
      </c>
      <c r="H910">
        <v>8398</v>
      </c>
      <c r="I910">
        <v>5468</v>
      </c>
      <c r="J910">
        <v>2916</v>
      </c>
      <c r="K910">
        <v>9424</v>
      </c>
      <c r="L910">
        <v>2376</v>
      </c>
      <c r="M910">
        <v>2471</v>
      </c>
      <c r="N910">
        <v>7832</v>
      </c>
      <c r="O910">
        <v>257</v>
      </c>
      <c r="P910" s="1">
        <v>44256</v>
      </c>
      <c r="Q910">
        <v>0</v>
      </c>
    </row>
    <row r="911" spans="1:17" x14ac:dyDescent="0.25">
      <c r="A911" s="1">
        <v>44256</v>
      </c>
      <c r="B911" t="s">
        <v>160</v>
      </c>
      <c r="C911" t="s">
        <v>86</v>
      </c>
      <c r="D911" t="s">
        <v>68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 s="1">
        <v>44317</v>
      </c>
      <c r="Q911">
        <v>-61</v>
      </c>
    </row>
    <row r="912" spans="1:17" x14ac:dyDescent="0.25">
      <c r="A912" s="1">
        <v>44256</v>
      </c>
      <c r="B912" t="s">
        <v>161</v>
      </c>
      <c r="C912" t="s">
        <v>87</v>
      </c>
      <c r="D912" t="s">
        <v>72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 s="1">
        <v>44440</v>
      </c>
      <c r="Q912">
        <v>-184</v>
      </c>
    </row>
    <row r="913" spans="1:17" x14ac:dyDescent="0.25">
      <c r="A913" s="1">
        <v>44256</v>
      </c>
      <c r="B913" t="s">
        <v>162</v>
      </c>
      <c r="C913" t="s">
        <v>89</v>
      </c>
      <c r="D913" t="s">
        <v>88</v>
      </c>
      <c r="E913">
        <v>321</v>
      </c>
      <c r="F913">
        <v>626</v>
      </c>
      <c r="G913">
        <v>432</v>
      </c>
      <c r="H913">
        <v>458</v>
      </c>
      <c r="I913">
        <v>316</v>
      </c>
      <c r="J913">
        <v>239</v>
      </c>
      <c r="K913">
        <v>1372</v>
      </c>
      <c r="L913">
        <v>159</v>
      </c>
      <c r="M913">
        <v>955</v>
      </c>
      <c r="N913">
        <v>207</v>
      </c>
      <c r="O913">
        <v>1239</v>
      </c>
      <c r="P913" s="1">
        <v>44044</v>
      </c>
      <c r="Q913">
        <v>212</v>
      </c>
    </row>
    <row r="914" spans="1:17" x14ac:dyDescent="0.25">
      <c r="A914" s="1">
        <v>44256</v>
      </c>
      <c r="B914" t="s">
        <v>163</v>
      </c>
      <c r="C914" t="s">
        <v>90</v>
      </c>
      <c r="D914" t="s">
        <v>82</v>
      </c>
      <c r="E914">
        <v>12355</v>
      </c>
      <c r="F914">
        <v>4607</v>
      </c>
      <c r="G914">
        <v>4434</v>
      </c>
      <c r="H914">
        <v>12421</v>
      </c>
      <c r="I914">
        <v>12472</v>
      </c>
      <c r="J914">
        <v>4510</v>
      </c>
      <c r="K914">
        <v>3076</v>
      </c>
      <c r="L914">
        <v>3612</v>
      </c>
      <c r="M914">
        <v>10615</v>
      </c>
      <c r="N914">
        <v>8903</v>
      </c>
      <c r="O914">
        <v>4597</v>
      </c>
      <c r="P914" s="1">
        <v>44228</v>
      </c>
      <c r="Q914">
        <v>28</v>
      </c>
    </row>
    <row r="915" spans="1:17" x14ac:dyDescent="0.25">
      <c r="A915" s="1">
        <v>44256</v>
      </c>
      <c r="B915" t="s">
        <v>164</v>
      </c>
      <c r="C915" t="s">
        <v>92</v>
      </c>
      <c r="D915" t="s">
        <v>91</v>
      </c>
      <c r="E915">
        <v>1198</v>
      </c>
      <c r="F915">
        <v>526</v>
      </c>
      <c r="G915">
        <v>382</v>
      </c>
      <c r="H915">
        <v>567</v>
      </c>
      <c r="I915">
        <v>475</v>
      </c>
      <c r="J915">
        <v>84</v>
      </c>
      <c r="K915">
        <v>517</v>
      </c>
      <c r="L915">
        <v>102</v>
      </c>
      <c r="M915">
        <v>586</v>
      </c>
      <c r="N915">
        <v>376</v>
      </c>
      <c r="O915">
        <v>393</v>
      </c>
      <c r="P915" s="1">
        <v>44105</v>
      </c>
      <c r="Q915">
        <v>151</v>
      </c>
    </row>
    <row r="916" spans="1:17" x14ac:dyDescent="0.25">
      <c r="A916" s="1">
        <v>44256</v>
      </c>
      <c r="B916" t="s">
        <v>165</v>
      </c>
      <c r="C916" t="s">
        <v>94</v>
      </c>
      <c r="D916" t="s">
        <v>93</v>
      </c>
      <c r="E916">
        <v>524</v>
      </c>
      <c r="F916">
        <v>119</v>
      </c>
      <c r="G916">
        <v>25</v>
      </c>
      <c r="H916">
        <v>508</v>
      </c>
      <c r="I916">
        <v>313</v>
      </c>
      <c r="J916">
        <v>57</v>
      </c>
      <c r="K916">
        <v>99</v>
      </c>
      <c r="L916">
        <v>487</v>
      </c>
      <c r="M916">
        <v>126</v>
      </c>
      <c r="N916">
        <v>201</v>
      </c>
      <c r="O916">
        <v>205</v>
      </c>
      <c r="P916" s="1">
        <v>43586</v>
      </c>
      <c r="Q916">
        <v>670</v>
      </c>
    </row>
    <row r="917" spans="1:17" x14ac:dyDescent="0.25">
      <c r="A917" s="1">
        <v>44256</v>
      </c>
      <c r="B917" t="s">
        <v>166</v>
      </c>
      <c r="C917" t="s">
        <v>96</v>
      </c>
      <c r="D917" t="s">
        <v>95</v>
      </c>
      <c r="E917">
        <v>133</v>
      </c>
      <c r="F917">
        <v>1</v>
      </c>
      <c r="G917">
        <v>66</v>
      </c>
      <c r="H917">
        <v>63</v>
      </c>
      <c r="I917">
        <v>135</v>
      </c>
      <c r="J917">
        <v>109</v>
      </c>
      <c r="K917">
        <v>96</v>
      </c>
      <c r="L917">
        <v>111</v>
      </c>
      <c r="M917">
        <v>157</v>
      </c>
      <c r="N917">
        <v>51</v>
      </c>
      <c r="O917">
        <v>428</v>
      </c>
      <c r="P917" s="1">
        <v>43678</v>
      </c>
      <c r="Q917">
        <v>578</v>
      </c>
    </row>
    <row r="918" spans="1:17" x14ac:dyDescent="0.25">
      <c r="A918" s="1">
        <v>44256</v>
      </c>
      <c r="B918" t="s">
        <v>167</v>
      </c>
      <c r="C918" t="s">
        <v>97</v>
      </c>
      <c r="D918" t="s">
        <v>58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 s="1">
        <v>44287</v>
      </c>
      <c r="Q918">
        <v>-31</v>
      </c>
    </row>
    <row r="919" spans="1:17" x14ac:dyDescent="0.25">
      <c r="A919" s="1">
        <v>44256</v>
      </c>
      <c r="B919" t="s">
        <v>168</v>
      </c>
      <c r="C919" t="s">
        <v>98</v>
      </c>
      <c r="D919" t="s">
        <v>49</v>
      </c>
      <c r="E919">
        <v>493</v>
      </c>
      <c r="F919">
        <v>-12</v>
      </c>
      <c r="G919">
        <v>61</v>
      </c>
      <c r="H919">
        <v>72</v>
      </c>
      <c r="I919">
        <v>108</v>
      </c>
      <c r="J919">
        <v>135</v>
      </c>
      <c r="K919">
        <v>103</v>
      </c>
      <c r="L919">
        <v>571</v>
      </c>
      <c r="M919">
        <v>79</v>
      </c>
      <c r="N919">
        <v>419</v>
      </c>
      <c r="O919">
        <v>91</v>
      </c>
      <c r="P919" s="1">
        <v>43709</v>
      </c>
      <c r="Q919">
        <v>547</v>
      </c>
    </row>
    <row r="920" spans="1:17" x14ac:dyDescent="0.25">
      <c r="A920" s="1">
        <v>44256</v>
      </c>
      <c r="B920" t="s">
        <v>169</v>
      </c>
      <c r="C920" t="s">
        <v>99</v>
      </c>
      <c r="D920" t="s">
        <v>95</v>
      </c>
      <c r="E920">
        <v>108</v>
      </c>
      <c r="F920">
        <v>453</v>
      </c>
      <c r="G920">
        <v>103</v>
      </c>
      <c r="H920">
        <v>276</v>
      </c>
      <c r="I920">
        <v>313</v>
      </c>
      <c r="J920">
        <v>40</v>
      </c>
      <c r="K920">
        <v>220</v>
      </c>
      <c r="L920">
        <v>171</v>
      </c>
      <c r="M920">
        <v>326</v>
      </c>
      <c r="N920">
        <v>138</v>
      </c>
      <c r="O920">
        <v>234</v>
      </c>
      <c r="P920" s="1">
        <v>43678</v>
      </c>
      <c r="Q920">
        <v>578</v>
      </c>
    </row>
    <row r="921" spans="1:17" x14ac:dyDescent="0.25">
      <c r="A921" s="1">
        <v>44256</v>
      </c>
      <c r="B921" t="s">
        <v>170</v>
      </c>
      <c r="C921" t="s">
        <v>100</v>
      </c>
      <c r="D921" t="s">
        <v>82</v>
      </c>
      <c r="E921">
        <v>2932</v>
      </c>
      <c r="F921">
        <v>2345</v>
      </c>
      <c r="G921">
        <v>3259</v>
      </c>
      <c r="H921">
        <v>11441</v>
      </c>
      <c r="I921">
        <v>11556</v>
      </c>
      <c r="J921">
        <v>5501</v>
      </c>
      <c r="K921">
        <v>10770</v>
      </c>
      <c r="L921">
        <v>4241</v>
      </c>
      <c r="M921">
        <v>2296</v>
      </c>
      <c r="N921">
        <v>12181</v>
      </c>
      <c r="O921">
        <v>781</v>
      </c>
      <c r="P921" s="1">
        <v>44228</v>
      </c>
      <c r="Q921">
        <v>28</v>
      </c>
    </row>
    <row r="922" spans="1:17" x14ac:dyDescent="0.25">
      <c r="A922" s="1">
        <v>44256</v>
      </c>
      <c r="B922" t="s">
        <v>171</v>
      </c>
      <c r="C922" t="s">
        <v>101</v>
      </c>
      <c r="D922" t="s">
        <v>68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 s="1">
        <v>44317</v>
      </c>
      <c r="Q922">
        <v>-61</v>
      </c>
    </row>
    <row r="923" spans="1:17" x14ac:dyDescent="0.25">
      <c r="A923" s="1">
        <v>44256</v>
      </c>
      <c r="B923" t="s">
        <v>172</v>
      </c>
      <c r="C923" t="s">
        <v>102</v>
      </c>
      <c r="D923" t="s">
        <v>88</v>
      </c>
      <c r="E923">
        <v>377</v>
      </c>
      <c r="F923">
        <v>314</v>
      </c>
      <c r="G923">
        <v>-1</v>
      </c>
      <c r="H923">
        <v>1118</v>
      </c>
      <c r="I923">
        <v>289</v>
      </c>
      <c r="J923">
        <v>262</v>
      </c>
      <c r="K923">
        <v>548</v>
      </c>
      <c r="L923">
        <v>163</v>
      </c>
      <c r="M923">
        <v>1636</v>
      </c>
      <c r="N923">
        <v>453</v>
      </c>
      <c r="O923">
        <v>533</v>
      </c>
      <c r="P923" s="1">
        <v>44044</v>
      </c>
      <c r="Q923">
        <v>212</v>
      </c>
    </row>
    <row r="924" spans="1:17" x14ac:dyDescent="0.25">
      <c r="A924" s="1">
        <v>44256</v>
      </c>
      <c r="B924" t="s">
        <v>173</v>
      </c>
      <c r="C924" t="s">
        <v>103</v>
      </c>
      <c r="D924" t="s">
        <v>52</v>
      </c>
      <c r="E924">
        <v>-7</v>
      </c>
      <c r="F924">
        <v>222</v>
      </c>
      <c r="G924">
        <v>230</v>
      </c>
      <c r="H924">
        <v>776</v>
      </c>
      <c r="I924">
        <v>579</v>
      </c>
      <c r="J924">
        <v>103</v>
      </c>
      <c r="K924">
        <v>709</v>
      </c>
      <c r="L924">
        <v>141</v>
      </c>
      <c r="M924">
        <v>243</v>
      </c>
      <c r="N924">
        <v>842</v>
      </c>
      <c r="O924">
        <v>188</v>
      </c>
      <c r="P924" s="1">
        <v>43862</v>
      </c>
      <c r="Q924">
        <v>394</v>
      </c>
    </row>
    <row r="925" spans="1:17" x14ac:dyDescent="0.25">
      <c r="A925" s="1">
        <v>44256</v>
      </c>
      <c r="B925" t="s">
        <v>174</v>
      </c>
      <c r="C925" t="s">
        <v>105</v>
      </c>
      <c r="D925" t="s">
        <v>104</v>
      </c>
      <c r="E925">
        <v>112</v>
      </c>
      <c r="F925">
        <v>66</v>
      </c>
      <c r="G925">
        <v>77</v>
      </c>
      <c r="H925">
        <v>172</v>
      </c>
      <c r="I925">
        <v>300</v>
      </c>
      <c r="J925">
        <v>35</v>
      </c>
      <c r="K925">
        <v>54</v>
      </c>
      <c r="L925">
        <v>101</v>
      </c>
      <c r="M925">
        <v>199</v>
      </c>
      <c r="N925">
        <v>124</v>
      </c>
      <c r="O925">
        <v>264</v>
      </c>
      <c r="P925" s="1">
        <v>43374</v>
      </c>
      <c r="Q925">
        <v>882</v>
      </c>
    </row>
    <row r="926" spans="1:17" x14ac:dyDescent="0.25">
      <c r="A926" s="1">
        <v>44256</v>
      </c>
      <c r="B926" t="s">
        <v>142</v>
      </c>
      <c r="C926" t="s">
        <v>50</v>
      </c>
      <c r="D926" t="s">
        <v>49</v>
      </c>
      <c r="E926">
        <v>453</v>
      </c>
      <c r="F926">
        <v>292</v>
      </c>
      <c r="G926">
        <v>44</v>
      </c>
      <c r="H926">
        <v>727</v>
      </c>
      <c r="I926">
        <v>483</v>
      </c>
      <c r="J926">
        <v>327</v>
      </c>
      <c r="K926">
        <v>222</v>
      </c>
      <c r="L926">
        <v>573</v>
      </c>
      <c r="M926">
        <v>257</v>
      </c>
      <c r="N926">
        <v>185</v>
      </c>
      <c r="O926">
        <v>427</v>
      </c>
      <c r="P926" s="1">
        <v>43709</v>
      </c>
      <c r="Q926">
        <v>547</v>
      </c>
    </row>
    <row r="927" spans="1:17" x14ac:dyDescent="0.25">
      <c r="A927" s="1">
        <v>44256</v>
      </c>
      <c r="B927" t="s">
        <v>143</v>
      </c>
      <c r="C927" t="s">
        <v>53</v>
      </c>
      <c r="D927" t="s">
        <v>52</v>
      </c>
      <c r="E927">
        <v>83</v>
      </c>
      <c r="F927">
        <v>710</v>
      </c>
      <c r="G927">
        <v>65</v>
      </c>
      <c r="H927">
        <v>579</v>
      </c>
      <c r="I927">
        <v>310</v>
      </c>
      <c r="J927">
        <v>884</v>
      </c>
      <c r="K927">
        <v>179</v>
      </c>
      <c r="L927">
        <v>321</v>
      </c>
      <c r="M927">
        <v>551</v>
      </c>
      <c r="N927">
        <v>1008</v>
      </c>
      <c r="O927">
        <v>1265</v>
      </c>
      <c r="P927" s="1">
        <v>43862</v>
      </c>
      <c r="Q927">
        <v>394</v>
      </c>
    </row>
    <row r="928" spans="1:17" x14ac:dyDescent="0.25">
      <c r="A928" s="1">
        <v>44256</v>
      </c>
      <c r="B928" t="s">
        <v>144</v>
      </c>
      <c r="C928" t="s">
        <v>56</v>
      </c>
      <c r="D928" t="s">
        <v>55</v>
      </c>
      <c r="E928">
        <v>2380</v>
      </c>
      <c r="F928">
        <v>3305</v>
      </c>
      <c r="G928">
        <v>1655</v>
      </c>
      <c r="H928">
        <v>4087</v>
      </c>
      <c r="I928">
        <v>4100</v>
      </c>
      <c r="J928">
        <v>3266</v>
      </c>
      <c r="K928">
        <v>9287</v>
      </c>
      <c r="L928">
        <v>7194</v>
      </c>
      <c r="M928">
        <v>2525</v>
      </c>
      <c r="N928">
        <v>3896</v>
      </c>
      <c r="O928">
        <v>6092</v>
      </c>
      <c r="P928" s="1">
        <v>44256</v>
      </c>
      <c r="Q928">
        <v>0</v>
      </c>
    </row>
    <row r="929" spans="1:17" x14ac:dyDescent="0.25">
      <c r="A929" s="1">
        <v>44256</v>
      </c>
      <c r="B929" t="s">
        <v>145</v>
      </c>
      <c r="C929" t="s">
        <v>59</v>
      </c>
      <c r="D929" t="s">
        <v>58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 s="1">
        <v>44287</v>
      </c>
      <c r="Q929">
        <v>-31</v>
      </c>
    </row>
    <row r="930" spans="1:17" x14ac:dyDescent="0.25">
      <c r="A930" s="1">
        <v>44256</v>
      </c>
      <c r="B930" t="s">
        <v>146</v>
      </c>
      <c r="C930" t="s">
        <v>62</v>
      </c>
      <c r="D930" t="s">
        <v>61</v>
      </c>
      <c r="E930">
        <v>1943</v>
      </c>
      <c r="F930">
        <v>1420</v>
      </c>
      <c r="G930">
        <v>242</v>
      </c>
      <c r="H930">
        <v>636</v>
      </c>
      <c r="I930">
        <v>198</v>
      </c>
      <c r="J930">
        <v>540</v>
      </c>
      <c r="K930">
        <v>222</v>
      </c>
      <c r="L930">
        <v>1421</v>
      </c>
      <c r="M930">
        <v>308</v>
      </c>
      <c r="N930">
        <v>627</v>
      </c>
      <c r="O930">
        <v>252</v>
      </c>
      <c r="P930" s="1">
        <v>44075</v>
      </c>
      <c r="Q930">
        <v>181</v>
      </c>
    </row>
    <row r="931" spans="1:17" x14ac:dyDescent="0.25">
      <c r="A931" s="1">
        <v>44256</v>
      </c>
      <c r="B931" t="s">
        <v>147</v>
      </c>
      <c r="C931" t="s">
        <v>64</v>
      </c>
      <c r="D931" t="s">
        <v>52</v>
      </c>
      <c r="E931">
        <v>515</v>
      </c>
      <c r="F931">
        <v>378</v>
      </c>
      <c r="G931">
        <v>136</v>
      </c>
      <c r="H931">
        <v>183</v>
      </c>
      <c r="I931">
        <v>80</v>
      </c>
      <c r="J931">
        <v>245</v>
      </c>
      <c r="K931">
        <v>103</v>
      </c>
      <c r="L931">
        <v>326</v>
      </c>
      <c r="M931">
        <v>138</v>
      </c>
      <c r="N931">
        <v>132</v>
      </c>
      <c r="O931">
        <v>82</v>
      </c>
      <c r="P931" s="1">
        <v>43862</v>
      </c>
      <c r="Q931">
        <v>394</v>
      </c>
    </row>
    <row r="932" spans="1:17" x14ac:dyDescent="0.25">
      <c r="A932" s="1">
        <v>44256</v>
      </c>
      <c r="B932" t="s">
        <v>148</v>
      </c>
      <c r="C932" t="s">
        <v>66</v>
      </c>
      <c r="D932" t="s">
        <v>55</v>
      </c>
      <c r="E932">
        <v>7967</v>
      </c>
      <c r="F932">
        <v>7893</v>
      </c>
      <c r="G932">
        <v>913</v>
      </c>
      <c r="H932">
        <v>9002</v>
      </c>
      <c r="I932">
        <v>1259</v>
      </c>
      <c r="J932">
        <v>1421</v>
      </c>
      <c r="K932">
        <v>7963</v>
      </c>
      <c r="L932">
        <v>2490</v>
      </c>
      <c r="M932">
        <v>1005</v>
      </c>
      <c r="N932">
        <v>5537</v>
      </c>
      <c r="O932">
        <v>8927</v>
      </c>
      <c r="P932" s="1">
        <v>44256</v>
      </c>
      <c r="Q932">
        <v>0</v>
      </c>
    </row>
    <row r="933" spans="1:17" x14ac:dyDescent="0.25">
      <c r="A933" s="1">
        <v>44256</v>
      </c>
      <c r="B933" t="s">
        <v>149</v>
      </c>
      <c r="C933" t="s">
        <v>67</v>
      </c>
      <c r="D933" t="s">
        <v>55</v>
      </c>
      <c r="E933">
        <v>9904</v>
      </c>
      <c r="F933">
        <v>6800</v>
      </c>
      <c r="G933">
        <v>723</v>
      </c>
      <c r="H933">
        <v>5906</v>
      </c>
      <c r="I933">
        <v>4578</v>
      </c>
      <c r="J933">
        <v>13776</v>
      </c>
      <c r="K933">
        <v>5816</v>
      </c>
      <c r="L933">
        <v>5990</v>
      </c>
      <c r="M933">
        <v>11701</v>
      </c>
      <c r="N933">
        <v>6369</v>
      </c>
      <c r="O933">
        <v>6042</v>
      </c>
      <c r="P933" s="1">
        <v>44256</v>
      </c>
      <c r="Q933">
        <v>0</v>
      </c>
    </row>
    <row r="934" spans="1:17" x14ac:dyDescent="0.25">
      <c r="A934" s="1">
        <v>44256</v>
      </c>
      <c r="B934" t="s">
        <v>150</v>
      </c>
      <c r="C934" t="s">
        <v>69</v>
      </c>
      <c r="D934" t="s">
        <v>68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 s="1">
        <v>44317</v>
      </c>
      <c r="Q934">
        <v>-61</v>
      </c>
    </row>
    <row r="935" spans="1:17" x14ac:dyDescent="0.25">
      <c r="A935" s="1">
        <v>44256</v>
      </c>
      <c r="B935" t="s">
        <v>151</v>
      </c>
      <c r="C935" t="s">
        <v>71</v>
      </c>
      <c r="D935" t="s">
        <v>70</v>
      </c>
      <c r="E935">
        <v>687</v>
      </c>
      <c r="F935">
        <v>608</v>
      </c>
      <c r="G935">
        <v>798</v>
      </c>
      <c r="H935">
        <v>1156</v>
      </c>
      <c r="I935">
        <v>1039</v>
      </c>
      <c r="J935">
        <v>500</v>
      </c>
      <c r="K935">
        <v>598</v>
      </c>
      <c r="L935">
        <v>255</v>
      </c>
      <c r="M935">
        <v>1800</v>
      </c>
      <c r="N935">
        <v>352</v>
      </c>
      <c r="O935">
        <v>935</v>
      </c>
      <c r="P935" s="1">
        <v>44136</v>
      </c>
      <c r="Q935">
        <v>120</v>
      </c>
    </row>
    <row r="936" spans="1:17" x14ac:dyDescent="0.25">
      <c r="A936" s="1">
        <v>44256</v>
      </c>
      <c r="B936" t="s">
        <v>152</v>
      </c>
      <c r="C936" t="s">
        <v>11</v>
      </c>
      <c r="D936" t="s">
        <v>52</v>
      </c>
      <c r="E936">
        <v>134</v>
      </c>
      <c r="F936">
        <v>26</v>
      </c>
      <c r="G936">
        <v>174</v>
      </c>
      <c r="H936">
        <v>43</v>
      </c>
      <c r="I936">
        <v>34</v>
      </c>
      <c r="J936">
        <v>318</v>
      </c>
      <c r="K936">
        <v>125</v>
      </c>
      <c r="L936">
        <v>118</v>
      </c>
      <c r="M936">
        <v>249</v>
      </c>
      <c r="N936">
        <v>82</v>
      </c>
      <c r="O936">
        <v>129</v>
      </c>
      <c r="P936" s="1">
        <v>43862</v>
      </c>
      <c r="Q936">
        <v>394</v>
      </c>
    </row>
    <row r="937" spans="1:17" x14ac:dyDescent="0.25">
      <c r="A937" s="1">
        <v>44256</v>
      </c>
      <c r="B937" t="s">
        <v>153</v>
      </c>
      <c r="C937" t="s">
        <v>73</v>
      </c>
      <c r="D937" t="s">
        <v>72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 s="1">
        <v>44440</v>
      </c>
      <c r="Q937">
        <v>-184</v>
      </c>
    </row>
    <row r="938" spans="1:17" x14ac:dyDescent="0.25">
      <c r="A938" s="1">
        <v>44256</v>
      </c>
      <c r="B938" t="s">
        <v>154</v>
      </c>
      <c r="C938" t="s">
        <v>17</v>
      </c>
      <c r="D938" t="s">
        <v>74</v>
      </c>
      <c r="E938">
        <v>3071</v>
      </c>
      <c r="F938">
        <v>5130</v>
      </c>
      <c r="G938">
        <v>1024</v>
      </c>
      <c r="H938">
        <v>6554</v>
      </c>
      <c r="I938">
        <v>3229</v>
      </c>
      <c r="J938">
        <v>4337</v>
      </c>
      <c r="K938">
        <v>1263</v>
      </c>
      <c r="L938">
        <v>3167</v>
      </c>
      <c r="M938">
        <v>6203</v>
      </c>
      <c r="N938">
        <v>3034</v>
      </c>
      <c r="O938">
        <v>3295</v>
      </c>
      <c r="P938" s="1">
        <v>44197</v>
      </c>
      <c r="Q938">
        <v>59</v>
      </c>
    </row>
    <row r="939" spans="1:17" x14ac:dyDescent="0.25">
      <c r="A939" s="1">
        <v>44256</v>
      </c>
      <c r="B939" t="s">
        <v>155</v>
      </c>
      <c r="C939" t="s">
        <v>76</v>
      </c>
      <c r="D939" t="s">
        <v>75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 s="1">
        <v>44470</v>
      </c>
      <c r="Q939">
        <v>-214</v>
      </c>
    </row>
    <row r="940" spans="1:17" x14ac:dyDescent="0.25">
      <c r="A940" s="1">
        <v>44256</v>
      </c>
      <c r="B940" t="s">
        <v>156</v>
      </c>
      <c r="C940" t="s">
        <v>79</v>
      </c>
      <c r="D940" t="s">
        <v>78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 s="1">
        <v>44348</v>
      </c>
      <c r="Q940">
        <v>-92</v>
      </c>
    </row>
    <row r="941" spans="1:17" x14ac:dyDescent="0.25">
      <c r="A941" s="1">
        <v>44256</v>
      </c>
      <c r="B941" t="s">
        <v>157</v>
      </c>
      <c r="C941" t="s">
        <v>81</v>
      </c>
      <c r="D941" t="s">
        <v>72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 s="1">
        <v>44440</v>
      </c>
      <c r="Q941">
        <v>-184</v>
      </c>
    </row>
    <row r="942" spans="1:17" x14ac:dyDescent="0.25">
      <c r="A942" s="1">
        <v>44256</v>
      </c>
      <c r="B942" t="s">
        <v>158</v>
      </c>
      <c r="C942" t="s">
        <v>83</v>
      </c>
      <c r="D942" t="s">
        <v>82</v>
      </c>
      <c r="E942">
        <v>4874</v>
      </c>
      <c r="F942">
        <v>8840</v>
      </c>
      <c r="G942">
        <v>3677</v>
      </c>
      <c r="H942">
        <v>17408</v>
      </c>
      <c r="I942">
        <v>11623</v>
      </c>
      <c r="J942">
        <v>5131</v>
      </c>
      <c r="K942">
        <v>2680</v>
      </c>
      <c r="L942">
        <v>7741</v>
      </c>
      <c r="M942">
        <v>12025</v>
      </c>
      <c r="N942">
        <v>7393</v>
      </c>
      <c r="O942">
        <v>9264</v>
      </c>
      <c r="P942" s="1">
        <v>44228</v>
      </c>
      <c r="Q942">
        <v>28</v>
      </c>
    </row>
    <row r="943" spans="1:17" x14ac:dyDescent="0.25">
      <c r="A943" s="1">
        <v>44256</v>
      </c>
      <c r="B943" t="s">
        <v>159</v>
      </c>
      <c r="C943" t="s">
        <v>84</v>
      </c>
      <c r="D943" t="s">
        <v>55</v>
      </c>
      <c r="E943">
        <v>1973</v>
      </c>
      <c r="F943">
        <v>10125</v>
      </c>
      <c r="G943">
        <v>1463</v>
      </c>
      <c r="H943">
        <v>12386</v>
      </c>
      <c r="I943">
        <v>16049</v>
      </c>
      <c r="J943">
        <v>2376</v>
      </c>
      <c r="K943">
        <v>-97</v>
      </c>
      <c r="L943">
        <v>1076</v>
      </c>
      <c r="M943">
        <v>1112</v>
      </c>
      <c r="N943">
        <v>7257</v>
      </c>
      <c r="O943">
        <v>1398</v>
      </c>
      <c r="P943" s="1">
        <v>44256</v>
      </c>
      <c r="Q943">
        <v>0</v>
      </c>
    </row>
    <row r="944" spans="1:17" x14ac:dyDescent="0.25">
      <c r="A944" s="1">
        <v>44256</v>
      </c>
      <c r="B944" t="s">
        <v>160</v>
      </c>
      <c r="C944" t="s">
        <v>86</v>
      </c>
      <c r="D944" t="s">
        <v>68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 s="1">
        <v>44317</v>
      </c>
      <c r="Q944">
        <v>-61</v>
      </c>
    </row>
    <row r="945" spans="1:17" x14ac:dyDescent="0.25">
      <c r="A945" s="1">
        <v>44287</v>
      </c>
      <c r="B945" t="s">
        <v>161</v>
      </c>
      <c r="C945" t="s">
        <v>87</v>
      </c>
      <c r="D945" t="s">
        <v>72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 s="1">
        <v>44440</v>
      </c>
      <c r="Q945">
        <v>-153</v>
      </c>
    </row>
    <row r="946" spans="1:17" x14ac:dyDescent="0.25">
      <c r="A946" s="1">
        <v>44287</v>
      </c>
      <c r="B946" t="s">
        <v>162</v>
      </c>
      <c r="C946" t="s">
        <v>89</v>
      </c>
      <c r="D946" t="s">
        <v>88</v>
      </c>
      <c r="E946">
        <v>206</v>
      </c>
      <c r="F946">
        <v>50</v>
      </c>
      <c r="G946">
        <v>398</v>
      </c>
      <c r="H946">
        <v>1266</v>
      </c>
      <c r="I946">
        <v>639</v>
      </c>
      <c r="J946">
        <v>247</v>
      </c>
      <c r="K946">
        <v>922</v>
      </c>
      <c r="L946">
        <v>155</v>
      </c>
      <c r="M946">
        <v>900</v>
      </c>
      <c r="N946">
        <v>518</v>
      </c>
      <c r="O946">
        <v>1366</v>
      </c>
      <c r="P946" s="1">
        <v>44044</v>
      </c>
      <c r="Q946">
        <v>243</v>
      </c>
    </row>
    <row r="947" spans="1:17" x14ac:dyDescent="0.25">
      <c r="A947" s="1">
        <v>44287</v>
      </c>
      <c r="B947" t="s">
        <v>163</v>
      </c>
      <c r="C947" t="s">
        <v>90</v>
      </c>
      <c r="D947" t="s">
        <v>82</v>
      </c>
      <c r="E947">
        <v>4727</v>
      </c>
      <c r="F947">
        <v>1198</v>
      </c>
      <c r="G947">
        <v>1607</v>
      </c>
      <c r="H947">
        <v>2768</v>
      </c>
      <c r="I947">
        <v>3439</v>
      </c>
      <c r="J947">
        <v>185</v>
      </c>
      <c r="K947">
        <v>577</v>
      </c>
      <c r="L947">
        <v>665</v>
      </c>
      <c r="M947">
        <v>3341</v>
      </c>
      <c r="N947">
        <v>2967</v>
      </c>
      <c r="O947">
        <v>870</v>
      </c>
      <c r="P947" s="1">
        <v>44228</v>
      </c>
      <c r="Q947">
        <v>59</v>
      </c>
    </row>
    <row r="948" spans="1:17" x14ac:dyDescent="0.25">
      <c r="A948" s="1">
        <v>44287</v>
      </c>
      <c r="B948" t="s">
        <v>164</v>
      </c>
      <c r="C948" t="s">
        <v>92</v>
      </c>
      <c r="D948" t="s">
        <v>91</v>
      </c>
      <c r="E948">
        <v>752</v>
      </c>
      <c r="F948">
        <v>499</v>
      </c>
      <c r="G948">
        <v>515</v>
      </c>
      <c r="H948">
        <v>342</v>
      </c>
      <c r="I948">
        <v>190</v>
      </c>
      <c r="J948">
        <v>434</v>
      </c>
      <c r="K948">
        <v>534</v>
      </c>
      <c r="L948">
        <v>315</v>
      </c>
      <c r="M948">
        <v>235</v>
      </c>
      <c r="N948">
        <v>269</v>
      </c>
      <c r="O948">
        <v>330</v>
      </c>
      <c r="P948" s="1">
        <v>44105</v>
      </c>
      <c r="Q948">
        <v>182</v>
      </c>
    </row>
    <row r="949" spans="1:17" x14ac:dyDescent="0.25">
      <c r="A949" s="1">
        <v>44287</v>
      </c>
      <c r="B949" t="s">
        <v>165</v>
      </c>
      <c r="C949" t="s">
        <v>94</v>
      </c>
      <c r="D949" t="s">
        <v>93</v>
      </c>
      <c r="E949">
        <v>415</v>
      </c>
      <c r="F949">
        <v>3</v>
      </c>
      <c r="G949">
        <v>32</v>
      </c>
      <c r="H949">
        <v>558</v>
      </c>
      <c r="I949">
        <v>262</v>
      </c>
      <c r="J949">
        <v>52</v>
      </c>
      <c r="K949">
        <v>21</v>
      </c>
      <c r="L949">
        <v>185</v>
      </c>
      <c r="M949">
        <v>90</v>
      </c>
      <c r="N949">
        <v>168</v>
      </c>
      <c r="O949">
        <v>206</v>
      </c>
      <c r="P949" s="1">
        <v>43586</v>
      </c>
      <c r="Q949">
        <v>701</v>
      </c>
    </row>
    <row r="950" spans="1:17" x14ac:dyDescent="0.25">
      <c r="A950" s="1">
        <v>44287</v>
      </c>
      <c r="B950" t="s">
        <v>166</v>
      </c>
      <c r="C950" t="s">
        <v>96</v>
      </c>
      <c r="D950" t="s">
        <v>95</v>
      </c>
      <c r="E950">
        <v>85</v>
      </c>
      <c r="F950">
        <v>57</v>
      </c>
      <c r="G950">
        <v>77</v>
      </c>
      <c r="H950">
        <v>217</v>
      </c>
      <c r="I950">
        <v>-2</v>
      </c>
      <c r="J950">
        <v>137</v>
      </c>
      <c r="K950">
        <v>380</v>
      </c>
      <c r="L950">
        <v>158</v>
      </c>
      <c r="M950">
        <v>178</v>
      </c>
      <c r="N950">
        <v>68</v>
      </c>
      <c r="O950">
        <v>605</v>
      </c>
      <c r="P950" s="1">
        <v>43678</v>
      </c>
      <c r="Q950">
        <v>609</v>
      </c>
    </row>
    <row r="951" spans="1:17" x14ac:dyDescent="0.25">
      <c r="A951" s="1">
        <v>44287</v>
      </c>
      <c r="B951" t="s">
        <v>167</v>
      </c>
      <c r="C951" t="s">
        <v>97</v>
      </c>
      <c r="D951" t="s">
        <v>58</v>
      </c>
      <c r="E951">
        <v>1859</v>
      </c>
      <c r="F951">
        <v>1466</v>
      </c>
      <c r="G951">
        <v>58</v>
      </c>
      <c r="H951">
        <v>11077</v>
      </c>
      <c r="I951">
        <v>13325</v>
      </c>
      <c r="J951">
        <v>2360</v>
      </c>
      <c r="K951">
        <v>1140</v>
      </c>
      <c r="L951">
        <v>1729</v>
      </c>
      <c r="M951">
        <v>3154</v>
      </c>
      <c r="N951">
        <v>12440</v>
      </c>
      <c r="O951">
        <v>1633</v>
      </c>
      <c r="P951" s="1">
        <v>44287</v>
      </c>
      <c r="Q951">
        <v>0</v>
      </c>
    </row>
    <row r="952" spans="1:17" x14ac:dyDescent="0.25">
      <c r="A952" s="1">
        <v>44287</v>
      </c>
      <c r="B952" t="s">
        <v>168</v>
      </c>
      <c r="C952" t="s">
        <v>98</v>
      </c>
      <c r="D952" t="s">
        <v>49</v>
      </c>
      <c r="E952">
        <v>316</v>
      </c>
      <c r="F952">
        <v>149</v>
      </c>
      <c r="G952">
        <v>165</v>
      </c>
      <c r="H952">
        <v>100</v>
      </c>
      <c r="I952">
        <v>86</v>
      </c>
      <c r="J952">
        <v>145</v>
      </c>
      <c r="K952">
        <v>109</v>
      </c>
      <c r="L952">
        <v>329</v>
      </c>
      <c r="M952">
        <v>33</v>
      </c>
      <c r="N952">
        <v>391</v>
      </c>
      <c r="O952">
        <v>113</v>
      </c>
      <c r="P952" s="1">
        <v>43709</v>
      </c>
      <c r="Q952">
        <v>578</v>
      </c>
    </row>
    <row r="953" spans="1:17" x14ac:dyDescent="0.25">
      <c r="A953" s="1">
        <v>44287</v>
      </c>
      <c r="B953" t="s">
        <v>169</v>
      </c>
      <c r="C953" t="s">
        <v>99</v>
      </c>
      <c r="D953" t="s">
        <v>95</v>
      </c>
      <c r="E953">
        <v>99</v>
      </c>
      <c r="F953">
        <v>196</v>
      </c>
      <c r="G953">
        <v>121</v>
      </c>
      <c r="H953">
        <v>269</v>
      </c>
      <c r="I953">
        <v>136</v>
      </c>
      <c r="J953">
        <v>269</v>
      </c>
      <c r="K953">
        <v>12</v>
      </c>
      <c r="L953">
        <v>114</v>
      </c>
      <c r="M953">
        <v>522</v>
      </c>
      <c r="N953">
        <v>90</v>
      </c>
      <c r="O953">
        <v>170</v>
      </c>
      <c r="P953" s="1">
        <v>43678</v>
      </c>
      <c r="Q953">
        <v>609</v>
      </c>
    </row>
    <row r="954" spans="1:17" x14ac:dyDescent="0.25">
      <c r="A954" s="1">
        <v>44287</v>
      </c>
      <c r="B954" t="s">
        <v>170</v>
      </c>
      <c r="C954" t="s">
        <v>100</v>
      </c>
      <c r="D954" t="s">
        <v>82</v>
      </c>
      <c r="E954">
        <v>472</v>
      </c>
      <c r="F954">
        <v>687</v>
      </c>
      <c r="G954">
        <v>405</v>
      </c>
      <c r="H954">
        <v>1150</v>
      </c>
      <c r="I954">
        <v>4045</v>
      </c>
      <c r="J954">
        <v>2097</v>
      </c>
      <c r="K954">
        <v>686</v>
      </c>
      <c r="L954">
        <v>2855</v>
      </c>
      <c r="M954">
        <v>542</v>
      </c>
      <c r="N954">
        <v>4385</v>
      </c>
      <c r="O954">
        <v>1383</v>
      </c>
      <c r="P954" s="1">
        <v>44228</v>
      </c>
      <c r="Q954">
        <v>59</v>
      </c>
    </row>
    <row r="955" spans="1:17" x14ac:dyDescent="0.25">
      <c r="A955" s="1">
        <v>44287</v>
      </c>
      <c r="B955" t="s">
        <v>171</v>
      </c>
      <c r="C955" t="s">
        <v>101</v>
      </c>
      <c r="D955" t="s">
        <v>68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 s="1">
        <v>44317</v>
      </c>
      <c r="Q955">
        <v>-30</v>
      </c>
    </row>
    <row r="956" spans="1:17" x14ac:dyDescent="0.25">
      <c r="A956" s="1">
        <v>44287</v>
      </c>
      <c r="B956" t="s">
        <v>172</v>
      </c>
      <c r="C956" t="s">
        <v>102</v>
      </c>
      <c r="D956" t="s">
        <v>88</v>
      </c>
      <c r="E956">
        <v>189</v>
      </c>
      <c r="F956">
        <v>224</v>
      </c>
      <c r="G956">
        <v>181</v>
      </c>
      <c r="H956">
        <v>46</v>
      </c>
      <c r="I956">
        <v>119</v>
      </c>
      <c r="J956">
        <v>105</v>
      </c>
      <c r="K956">
        <v>692</v>
      </c>
      <c r="L956">
        <v>117</v>
      </c>
      <c r="M956">
        <v>514</v>
      </c>
      <c r="N956">
        <v>271</v>
      </c>
      <c r="O956">
        <v>153</v>
      </c>
      <c r="P956" s="1">
        <v>44044</v>
      </c>
      <c r="Q956">
        <v>243</v>
      </c>
    </row>
    <row r="957" spans="1:17" x14ac:dyDescent="0.25">
      <c r="A957" s="1">
        <v>44287</v>
      </c>
      <c r="B957" t="s">
        <v>173</v>
      </c>
      <c r="C957" t="s">
        <v>103</v>
      </c>
      <c r="D957" t="s">
        <v>52</v>
      </c>
      <c r="E957">
        <v>186</v>
      </c>
      <c r="F957">
        <v>133</v>
      </c>
      <c r="G957">
        <v>170</v>
      </c>
      <c r="H957">
        <v>163</v>
      </c>
      <c r="I957">
        <v>430</v>
      </c>
      <c r="J957">
        <v>343</v>
      </c>
      <c r="K957">
        <v>435</v>
      </c>
      <c r="L957">
        <v>-115</v>
      </c>
      <c r="M957">
        <v>195</v>
      </c>
      <c r="N957">
        <v>602</v>
      </c>
      <c r="O957">
        <v>180</v>
      </c>
      <c r="P957" s="1">
        <v>43862</v>
      </c>
      <c r="Q957">
        <v>425</v>
      </c>
    </row>
    <row r="958" spans="1:17" x14ac:dyDescent="0.25">
      <c r="A958" s="1">
        <v>44287</v>
      </c>
      <c r="B958" t="s">
        <v>174</v>
      </c>
      <c r="C958" t="s">
        <v>105</v>
      </c>
      <c r="D958" t="s">
        <v>104</v>
      </c>
      <c r="E958">
        <v>23</v>
      </c>
      <c r="F958">
        <v>42</v>
      </c>
      <c r="G958">
        <v>36</v>
      </c>
      <c r="H958">
        <v>121</v>
      </c>
      <c r="I958">
        <v>144</v>
      </c>
      <c r="J958">
        <v>37</v>
      </c>
      <c r="K958">
        <v>99</v>
      </c>
      <c r="L958">
        <v>57</v>
      </c>
      <c r="M958">
        <v>20</v>
      </c>
      <c r="N958">
        <v>299</v>
      </c>
      <c r="O958">
        <v>67</v>
      </c>
      <c r="P958" s="1">
        <v>43374</v>
      </c>
      <c r="Q958">
        <v>913</v>
      </c>
    </row>
    <row r="959" spans="1:17" x14ac:dyDescent="0.25">
      <c r="A959" s="1">
        <v>44287</v>
      </c>
      <c r="B959" t="s">
        <v>142</v>
      </c>
      <c r="C959" t="s">
        <v>50</v>
      </c>
      <c r="D959" t="s">
        <v>49</v>
      </c>
      <c r="E959">
        <v>322</v>
      </c>
      <c r="F959">
        <v>205</v>
      </c>
      <c r="G959">
        <v>83</v>
      </c>
      <c r="H959">
        <v>482</v>
      </c>
      <c r="I959">
        <v>829</v>
      </c>
      <c r="J959">
        <v>377</v>
      </c>
      <c r="K959">
        <v>87</v>
      </c>
      <c r="L959">
        <v>448</v>
      </c>
      <c r="M959">
        <v>450</v>
      </c>
      <c r="N959">
        <v>570</v>
      </c>
      <c r="O959">
        <v>181</v>
      </c>
      <c r="P959" s="1">
        <v>43709</v>
      </c>
      <c r="Q959">
        <v>578</v>
      </c>
    </row>
    <row r="960" spans="1:17" x14ac:dyDescent="0.25">
      <c r="A960" s="1">
        <v>44287</v>
      </c>
      <c r="B960" t="s">
        <v>143</v>
      </c>
      <c r="C960" t="s">
        <v>53</v>
      </c>
      <c r="D960" t="s">
        <v>52</v>
      </c>
      <c r="E960">
        <v>320</v>
      </c>
      <c r="F960">
        <v>363</v>
      </c>
      <c r="G960">
        <v>233</v>
      </c>
      <c r="H960">
        <v>674</v>
      </c>
      <c r="I960">
        <v>966</v>
      </c>
      <c r="J960">
        <v>72</v>
      </c>
      <c r="K960">
        <v>98</v>
      </c>
      <c r="L960">
        <v>591</v>
      </c>
      <c r="M960">
        <v>17</v>
      </c>
      <c r="N960">
        <v>809</v>
      </c>
      <c r="O960">
        <v>502</v>
      </c>
      <c r="P960" s="1">
        <v>43862</v>
      </c>
      <c r="Q960">
        <v>425</v>
      </c>
    </row>
    <row r="961" spans="1:17" x14ac:dyDescent="0.25">
      <c r="A961" s="1">
        <v>44287</v>
      </c>
      <c r="B961" t="s">
        <v>144</v>
      </c>
      <c r="C961" t="s">
        <v>56</v>
      </c>
      <c r="D961" t="s">
        <v>55</v>
      </c>
      <c r="E961">
        <v>5994</v>
      </c>
      <c r="F961">
        <v>536</v>
      </c>
      <c r="G961">
        <v>1252</v>
      </c>
      <c r="H961">
        <v>4735</v>
      </c>
      <c r="I961">
        <v>8265</v>
      </c>
      <c r="J961">
        <v>2385</v>
      </c>
      <c r="K961">
        <v>1223</v>
      </c>
      <c r="L961">
        <v>4157</v>
      </c>
      <c r="M961">
        <v>759</v>
      </c>
      <c r="N961">
        <v>2093</v>
      </c>
      <c r="O961">
        <v>10058</v>
      </c>
      <c r="P961" s="1">
        <v>44256</v>
      </c>
      <c r="Q961">
        <v>31</v>
      </c>
    </row>
    <row r="962" spans="1:17" x14ac:dyDescent="0.25">
      <c r="A962" s="1">
        <v>44287</v>
      </c>
      <c r="B962" t="s">
        <v>145</v>
      </c>
      <c r="C962" t="s">
        <v>59</v>
      </c>
      <c r="D962" t="s">
        <v>58</v>
      </c>
      <c r="E962">
        <v>2673</v>
      </c>
      <c r="F962">
        <v>606</v>
      </c>
      <c r="G962">
        <v>2241</v>
      </c>
      <c r="H962">
        <v>4690</v>
      </c>
      <c r="I962">
        <v>8793</v>
      </c>
      <c r="J962">
        <v>2327</v>
      </c>
      <c r="K962">
        <v>487</v>
      </c>
      <c r="L962">
        <v>8158</v>
      </c>
      <c r="M962">
        <v>1992</v>
      </c>
      <c r="N962">
        <v>9139</v>
      </c>
      <c r="O962">
        <v>2027</v>
      </c>
      <c r="P962" s="1">
        <v>44287</v>
      </c>
      <c r="Q962">
        <v>0</v>
      </c>
    </row>
    <row r="963" spans="1:17" x14ac:dyDescent="0.25">
      <c r="A963" s="1">
        <v>44287</v>
      </c>
      <c r="B963" t="s">
        <v>146</v>
      </c>
      <c r="C963" t="s">
        <v>62</v>
      </c>
      <c r="D963" t="s">
        <v>61</v>
      </c>
      <c r="E963">
        <v>967</v>
      </c>
      <c r="F963">
        <v>590</v>
      </c>
      <c r="G963">
        <v>68</v>
      </c>
      <c r="H963">
        <v>283</v>
      </c>
      <c r="I963">
        <v>375</v>
      </c>
      <c r="J963">
        <v>167</v>
      </c>
      <c r="K963">
        <v>461</v>
      </c>
      <c r="L963">
        <v>1084</v>
      </c>
      <c r="M963">
        <v>63</v>
      </c>
      <c r="N963">
        <v>522</v>
      </c>
      <c r="O963">
        <v>262</v>
      </c>
      <c r="P963" s="1">
        <v>44075</v>
      </c>
      <c r="Q963">
        <v>212</v>
      </c>
    </row>
    <row r="964" spans="1:17" x14ac:dyDescent="0.25">
      <c r="A964" s="1">
        <v>44287</v>
      </c>
      <c r="B964" t="s">
        <v>147</v>
      </c>
      <c r="C964" t="s">
        <v>64</v>
      </c>
      <c r="D964" t="s">
        <v>52</v>
      </c>
      <c r="E964">
        <v>316</v>
      </c>
      <c r="F964">
        <v>380</v>
      </c>
      <c r="G964">
        <v>38</v>
      </c>
      <c r="H964">
        <v>180</v>
      </c>
      <c r="I964">
        <v>205</v>
      </c>
      <c r="J964">
        <v>49</v>
      </c>
      <c r="K964">
        <v>28</v>
      </c>
      <c r="L964">
        <v>40</v>
      </c>
      <c r="M964">
        <v>107</v>
      </c>
      <c r="N964">
        <v>246</v>
      </c>
      <c r="O964">
        <v>50</v>
      </c>
      <c r="P964" s="1">
        <v>43862</v>
      </c>
      <c r="Q964">
        <v>425</v>
      </c>
    </row>
    <row r="965" spans="1:17" x14ac:dyDescent="0.25">
      <c r="A965" s="1">
        <v>44287</v>
      </c>
      <c r="B965" t="s">
        <v>148</v>
      </c>
      <c r="C965" t="s">
        <v>66</v>
      </c>
      <c r="D965" t="s">
        <v>55</v>
      </c>
      <c r="E965">
        <v>12519</v>
      </c>
      <c r="F965">
        <v>16826</v>
      </c>
      <c r="G965">
        <v>3275</v>
      </c>
      <c r="H965">
        <v>6490</v>
      </c>
      <c r="I965">
        <v>525</v>
      </c>
      <c r="J965">
        <v>1275</v>
      </c>
      <c r="K965">
        <v>12456</v>
      </c>
      <c r="L965">
        <v>1012</v>
      </c>
      <c r="M965">
        <v>1594</v>
      </c>
      <c r="N965">
        <v>6574</v>
      </c>
      <c r="O965">
        <v>5826</v>
      </c>
      <c r="P965" s="1">
        <v>44256</v>
      </c>
      <c r="Q965">
        <v>31</v>
      </c>
    </row>
    <row r="966" spans="1:17" x14ac:dyDescent="0.25">
      <c r="A966" s="1">
        <v>44287</v>
      </c>
      <c r="B966" t="s">
        <v>149</v>
      </c>
      <c r="C966" t="s">
        <v>67</v>
      </c>
      <c r="D966" t="s">
        <v>55</v>
      </c>
      <c r="E966">
        <v>7096</v>
      </c>
      <c r="F966">
        <v>6744</v>
      </c>
      <c r="G966">
        <v>2050</v>
      </c>
      <c r="H966">
        <v>13730</v>
      </c>
      <c r="I966">
        <v>2969</v>
      </c>
      <c r="J966">
        <v>6064</v>
      </c>
      <c r="K966">
        <v>4961</v>
      </c>
      <c r="L966">
        <v>6372</v>
      </c>
      <c r="M966">
        <v>4145</v>
      </c>
      <c r="N966">
        <v>5028</v>
      </c>
      <c r="O966">
        <v>1032</v>
      </c>
      <c r="P966" s="1">
        <v>44256</v>
      </c>
      <c r="Q966">
        <v>31</v>
      </c>
    </row>
    <row r="967" spans="1:17" x14ac:dyDescent="0.25">
      <c r="A967" s="1">
        <v>44287</v>
      </c>
      <c r="B967" t="s">
        <v>150</v>
      </c>
      <c r="C967" t="s">
        <v>69</v>
      </c>
      <c r="D967" t="s">
        <v>68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 s="1">
        <v>44317</v>
      </c>
      <c r="Q967">
        <v>-30</v>
      </c>
    </row>
    <row r="968" spans="1:17" x14ac:dyDescent="0.25">
      <c r="A968" s="1">
        <v>44287</v>
      </c>
      <c r="B968" t="s">
        <v>151</v>
      </c>
      <c r="C968" t="s">
        <v>71</v>
      </c>
      <c r="D968" t="s">
        <v>70</v>
      </c>
      <c r="E968">
        <v>417</v>
      </c>
      <c r="F968">
        <v>375</v>
      </c>
      <c r="G968">
        <v>311</v>
      </c>
      <c r="H968">
        <v>468</v>
      </c>
      <c r="I968">
        <v>1560</v>
      </c>
      <c r="J968">
        <v>584</v>
      </c>
      <c r="K968">
        <v>338</v>
      </c>
      <c r="L968">
        <v>557</v>
      </c>
      <c r="M968">
        <v>1200</v>
      </c>
      <c r="N968">
        <v>519</v>
      </c>
      <c r="O968">
        <v>770</v>
      </c>
      <c r="P968" s="1">
        <v>44136</v>
      </c>
      <c r="Q968">
        <v>151</v>
      </c>
    </row>
    <row r="969" spans="1:17" x14ac:dyDescent="0.25">
      <c r="A969" s="1">
        <v>44287</v>
      </c>
      <c r="B969" t="s">
        <v>152</v>
      </c>
      <c r="C969" t="s">
        <v>11</v>
      </c>
      <c r="D969" t="s">
        <v>52</v>
      </c>
      <c r="E969">
        <v>39</v>
      </c>
      <c r="F969">
        <v>133</v>
      </c>
      <c r="G969">
        <v>128</v>
      </c>
      <c r="H969">
        <v>223</v>
      </c>
      <c r="I969">
        <v>106</v>
      </c>
      <c r="J969">
        <v>143</v>
      </c>
      <c r="K969">
        <v>165</v>
      </c>
      <c r="L969">
        <v>8</v>
      </c>
      <c r="M969">
        <v>53</v>
      </c>
      <c r="N969">
        <v>233</v>
      </c>
      <c r="O969">
        <v>247</v>
      </c>
      <c r="P969" s="1">
        <v>43862</v>
      </c>
      <c r="Q969">
        <v>425</v>
      </c>
    </row>
    <row r="970" spans="1:17" x14ac:dyDescent="0.25">
      <c r="A970" s="1">
        <v>44287</v>
      </c>
      <c r="B970" t="s">
        <v>153</v>
      </c>
      <c r="C970" t="s">
        <v>73</v>
      </c>
      <c r="D970" t="s">
        <v>72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 s="1">
        <v>44440</v>
      </c>
      <c r="Q970">
        <v>-153</v>
      </c>
    </row>
    <row r="971" spans="1:17" x14ac:dyDescent="0.25">
      <c r="A971" s="1">
        <v>44287</v>
      </c>
      <c r="B971" t="s">
        <v>154</v>
      </c>
      <c r="C971" t="s">
        <v>17</v>
      </c>
      <c r="D971" t="s">
        <v>74</v>
      </c>
      <c r="E971">
        <v>4364</v>
      </c>
      <c r="F971">
        <v>2293</v>
      </c>
      <c r="G971">
        <v>226</v>
      </c>
      <c r="H971">
        <v>2668</v>
      </c>
      <c r="I971">
        <v>4419</v>
      </c>
      <c r="J971">
        <v>3254</v>
      </c>
      <c r="K971">
        <v>494</v>
      </c>
      <c r="L971">
        <v>142</v>
      </c>
      <c r="M971">
        <v>2260</v>
      </c>
      <c r="N971">
        <v>-35</v>
      </c>
      <c r="O971">
        <v>1312</v>
      </c>
      <c r="P971" s="1">
        <v>44197</v>
      </c>
      <c r="Q971">
        <v>90</v>
      </c>
    </row>
    <row r="972" spans="1:17" x14ac:dyDescent="0.25">
      <c r="A972" s="1">
        <v>44287</v>
      </c>
      <c r="B972" t="s">
        <v>155</v>
      </c>
      <c r="C972" t="s">
        <v>76</v>
      </c>
      <c r="D972" t="s">
        <v>75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 s="1">
        <v>44470</v>
      </c>
      <c r="Q972">
        <v>-183</v>
      </c>
    </row>
    <row r="973" spans="1:17" x14ac:dyDescent="0.25">
      <c r="A973" s="1">
        <v>44287</v>
      </c>
      <c r="B973" t="s">
        <v>156</v>
      </c>
      <c r="C973" t="s">
        <v>79</v>
      </c>
      <c r="D973" t="s">
        <v>78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 s="1">
        <v>44348</v>
      </c>
      <c r="Q973">
        <v>-61</v>
      </c>
    </row>
    <row r="974" spans="1:17" x14ac:dyDescent="0.25">
      <c r="A974" s="1">
        <v>44287</v>
      </c>
      <c r="B974" t="s">
        <v>157</v>
      </c>
      <c r="C974" t="s">
        <v>81</v>
      </c>
      <c r="D974" t="s">
        <v>72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 s="1">
        <v>44440</v>
      </c>
      <c r="Q974">
        <v>-153</v>
      </c>
    </row>
    <row r="975" spans="1:17" x14ac:dyDescent="0.25">
      <c r="A975" s="1">
        <v>44287</v>
      </c>
      <c r="B975" t="s">
        <v>158</v>
      </c>
      <c r="C975" t="s">
        <v>83</v>
      </c>
      <c r="D975" t="s">
        <v>82</v>
      </c>
      <c r="E975">
        <v>3896</v>
      </c>
      <c r="F975">
        <v>3133</v>
      </c>
      <c r="G975">
        <v>140</v>
      </c>
      <c r="H975">
        <v>3876</v>
      </c>
      <c r="I975">
        <v>1610</v>
      </c>
      <c r="J975">
        <v>5132</v>
      </c>
      <c r="K975">
        <v>3453</v>
      </c>
      <c r="L975">
        <v>5803</v>
      </c>
      <c r="M975">
        <v>4668</v>
      </c>
      <c r="N975">
        <v>6056</v>
      </c>
      <c r="O975">
        <v>2783</v>
      </c>
      <c r="P975" s="1">
        <v>44228</v>
      </c>
      <c r="Q975">
        <v>59</v>
      </c>
    </row>
    <row r="976" spans="1:17" x14ac:dyDescent="0.25">
      <c r="A976" s="1">
        <v>44287</v>
      </c>
      <c r="B976" t="s">
        <v>159</v>
      </c>
      <c r="C976" t="s">
        <v>84</v>
      </c>
      <c r="D976" t="s">
        <v>55</v>
      </c>
      <c r="E976">
        <v>2208</v>
      </c>
      <c r="F976">
        <v>3594</v>
      </c>
      <c r="G976">
        <v>1279</v>
      </c>
      <c r="H976">
        <v>2887</v>
      </c>
      <c r="I976">
        <v>9901</v>
      </c>
      <c r="J976">
        <v>3009</v>
      </c>
      <c r="K976">
        <v>9443</v>
      </c>
      <c r="L976">
        <v>4947</v>
      </c>
      <c r="M976">
        <v>2876</v>
      </c>
      <c r="N976">
        <v>6333</v>
      </c>
      <c r="O976">
        <v>1948</v>
      </c>
      <c r="P976" s="1">
        <v>44256</v>
      </c>
      <c r="Q976">
        <v>31</v>
      </c>
    </row>
    <row r="977" spans="1:17" x14ac:dyDescent="0.25">
      <c r="A977" s="1">
        <v>44287</v>
      </c>
      <c r="B977" t="s">
        <v>160</v>
      </c>
      <c r="C977" t="s">
        <v>86</v>
      </c>
      <c r="D977" t="s">
        <v>68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 s="1">
        <v>44317</v>
      </c>
      <c r="Q977">
        <v>-30</v>
      </c>
    </row>
    <row r="978" spans="1:17" x14ac:dyDescent="0.25">
      <c r="A978" s="1">
        <v>44287</v>
      </c>
      <c r="B978" t="s">
        <v>161</v>
      </c>
      <c r="C978" t="s">
        <v>87</v>
      </c>
      <c r="D978" t="s">
        <v>72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 s="1">
        <v>44440</v>
      </c>
      <c r="Q978">
        <v>-153</v>
      </c>
    </row>
    <row r="979" spans="1:17" x14ac:dyDescent="0.25">
      <c r="A979" s="1">
        <v>44287</v>
      </c>
      <c r="B979" t="s">
        <v>162</v>
      </c>
      <c r="C979" t="s">
        <v>89</v>
      </c>
      <c r="D979" t="s">
        <v>88</v>
      </c>
      <c r="E979">
        <v>334</v>
      </c>
      <c r="F979">
        <v>107</v>
      </c>
      <c r="G979">
        <v>213</v>
      </c>
      <c r="H979">
        <v>559</v>
      </c>
      <c r="I979">
        <v>571</v>
      </c>
      <c r="J979">
        <v>405</v>
      </c>
      <c r="K979">
        <v>1111</v>
      </c>
      <c r="L979">
        <v>-82</v>
      </c>
      <c r="M979">
        <v>907</v>
      </c>
      <c r="N979">
        <v>480</v>
      </c>
      <c r="O979">
        <v>1212</v>
      </c>
      <c r="P979" s="1">
        <v>44044</v>
      </c>
      <c r="Q979">
        <v>243</v>
      </c>
    </row>
    <row r="980" spans="1:17" x14ac:dyDescent="0.25">
      <c r="A980" s="1">
        <v>44317</v>
      </c>
      <c r="B980" t="s">
        <v>163</v>
      </c>
      <c r="C980" t="s">
        <v>90</v>
      </c>
      <c r="D980" t="s">
        <v>82</v>
      </c>
      <c r="E980">
        <v>4507</v>
      </c>
      <c r="F980">
        <v>148</v>
      </c>
      <c r="G980">
        <v>553</v>
      </c>
      <c r="H980">
        <v>-41</v>
      </c>
      <c r="I980">
        <v>1948</v>
      </c>
      <c r="J980">
        <v>644</v>
      </c>
      <c r="K980">
        <v>617</v>
      </c>
      <c r="L980">
        <v>361</v>
      </c>
      <c r="M980">
        <v>2731</v>
      </c>
      <c r="N980">
        <v>1717</v>
      </c>
      <c r="O980">
        <v>394</v>
      </c>
      <c r="P980" s="1">
        <v>44228</v>
      </c>
      <c r="Q980">
        <v>89</v>
      </c>
    </row>
    <row r="981" spans="1:17" x14ac:dyDescent="0.25">
      <c r="A981" s="1">
        <v>44317</v>
      </c>
      <c r="B981" t="s">
        <v>164</v>
      </c>
      <c r="C981" t="s">
        <v>92</v>
      </c>
      <c r="D981" t="s">
        <v>91</v>
      </c>
      <c r="E981">
        <v>47</v>
      </c>
      <c r="F981">
        <v>338</v>
      </c>
      <c r="G981">
        <v>591</v>
      </c>
      <c r="H981">
        <v>452</v>
      </c>
      <c r="I981">
        <v>354</v>
      </c>
      <c r="J981">
        <v>-5</v>
      </c>
      <c r="K981">
        <v>122</v>
      </c>
      <c r="L981">
        <v>207</v>
      </c>
      <c r="M981">
        <v>101</v>
      </c>
      <c r="N981">
        <v>95</v>
      </c>
      <c r="O981">
        <v>385</v>
      </c>
      <c r="P981" s="1">
        <v>44105</v>
      </c>
      <c r="Q981">
        <v>212</v>
      </c>
    </row>
    <row r="982" spans="1:17" x14ac:dyDescent="0.25">
      <c r="A982" s="1">
        <v>44317</v>
      </c>
      <c r="B982" t="s">
        <v>165</v>
      </c>
      <c r="C982" t="s">
        <v>94</v>
      </c>
      <c r="D982" t="s">
        <v>93</v>
      </c>
      <c r="E982">
        <v>332</v>
      </c>
      <c r="F982">
        <v>23</v>
      </c>
      <c r="G982">
        <v>147</v>
      </c>
      <c r="H982">
        <v>367</v>
      </c>
      <c r="I982">
        <v>349</v>
      </c>
      <c r="J982">
        <v>54</v>
      </c>
      <c r="K982">
        <v>83</v>
      </c>
      <c r="L982">
        <v>337</v>
      </c>
      <c r="M982">
        <v>147</v>
      </c>
      <c r="N982">
        <v>448</v>
      </c>
      <c r="O982">
        <v>256</v>
      </c>
      <c r="P982" s="1">
        <v>43586</v>
      </c>
      <c r="Q982">
        <v>731</v>
      </c>
    </row>
    <row r="983" spans="1:17" x14ac:dyDescent="0.25">
      <c r="A983" s="1">
        <v>44317</v>
      </c>
      <c r="B983" t="s">
        <v>166</v>
      </c>
      <c r="C983" t="s">
        <v>96</v>
      </c>
      <c r="D983" t="s">
        <v>95</v>
      </c>
      <c r="E983">
        <v>103</v>
      </c>
      <c r="F983">
        <v>197</v>
      </c>
      <c r="G983">
        <v>78</v>
      </c>
      <c r="H983">
        <v>913</v>
      </c>
      <c r="I983">
        <v>190</v>
      </c>
      <c r="J983">
        <v>121</v>
      </c>
      <c r="K983">
        <v>221</v>
      </c>
      <c r="L983">
        <v>174</v>
      </c>
      <c r="M983">
        <v>428</v>
      </c>
      <c r="N983">
        <v>130</v>
      </c>
      <c r="O983">
        <v>502</v>
      </c>
      <c r="P983" s="1">
        <v>43678</v>
      </c>
      <c r="Q983">
        <v>639</v>
      </c>
    </row>
    <row r="984" spans="1:17" x14ac:dyDescent="0.25">
      <c r="A984" s="1">
        <v>44317</v>
      </c>
      <c r="B984" t="s">
        <v>167</v>
      </c>
      <c r="C984" t="s">
        <v>97</v>
      </c>
      <c r="D984" t="s">
        <v>58</v>
      </c>
      <c r="E984">
        <v>4674</v>
      </c>
      <c r="F984">
        <v>2479</v>
      </c>
      <c r="G984">
        <v>1732</v>
      </c>
      <c r="H984">
        <v>8407</v>
      </c>
      <c r="I984">
        <v>11593</v>
      </c>
      <c r="J984">
        <v>3522</v>
      </c>
      <c r="K984">
        <v>7980</v>
      </c>
      <c r="L984">
        <v>4576</v>
      </c>
      <c r="M984">
        <v>2552</v>
      </c>
      <c r="N984">
        <v>12960</v>
      </c>
      <c r="O984">
        <v>3583</v>
      </c>
      <c r="P984" s="1">
        <v>44287</v>
      </c>
      <c r="Q984">
        <v>30</v>
      </c>
    </row>
    <row r="985" spans="1:17" x14ac:dyDescent="0.25">
      <c r="A985" s="1">
        <v>44317</v>
      </c>
      <c r="B985" t="s">
        <v>168</v>
      </c>
      <c r="C985" t="s">
        <v>98</v>
      </c>
      <c r="D985" t="s">
        <v>49</v>
      </c>
      <c r="E985">
        <v>268</v>
      </c>
      <c r="F985">
        <v>122</v>
      </c>
      <c r="G985">
        <v>126</v>
      </c>
      <c r="H985">
        <v>102</v>
      </c>
      <c r="I985">
        <v>80</v>
      </c>
      <c r="J985">
        <v>39</v>
      </c>
      <c r="K985">
        <v>49</v>
      </c>
      <c r="L985">
        <v>187</v>
      </c>
      <c r="M985">
        <v>96</v>
      </c>
      <c r="N985">
        <v>355</v>
      </c>
      <c r="O985">
        <v>217</v>
      </c>
      <c r="P985" s="1">
        <v>43709</v>
      </c>
      <c r="Q985">
        <v>608</v>
      </c>
    </row>
    <row r="986" spans="1:17" x14ac:dyDescent="0.25">
      <c r="A986" s="1">
        <v>44317</v>
      </c>
      <c r="B986" t="s">
        <v>169</v>
      </c>
      <c r="C986" t="s">
        <v>99</v>
      </c>
      <c r="D986" t="s">
        <v>95</v>
      </c>
      <c r="E986">
        <v>33</v>
      </c>
      <c r="F986">
        <v>162</v>
      </c>
      <c r="G986">
        <v>163</v>
      </c>
      <c r="H986">
        <v>121</v>
      </c>
      <c r="I986">
        <v>409</v>
      </c>
      <c r="J986">
        <v>362</v>
      </c>
      <c r="K986">
        <v>217</v>
      </c>
      <c r="L986">
        <v>105</v>
      </c>
      <c r="M986">
        <v>384</v>
      </c>
      <c r="N986">
        <v>17</v>
      </c>
      <c r="O986">
        <v>220</v>
      </c>
      <c r="P986" s="1">
        <v>43678</v>
      </c>
      <c r="Q986">
        <v>639</v>
      </c>
    </row>
    <row r="987" spans="1:17" x14ac:dyDescent="0.25">
      <c r="A987" s="1">
        <v>44317</v>
      </c>
      <c r="B987" t="s">
        <v>170</v>
      </c>
      <c r="C987" t="s">
        <v>100</v>
      </c>
      <c r="D987" t="s">
        <v>82</v>
      </c>
      <c r="E987">
        <v>633</v>
      </c>
      <c r="F987">
        <v>340</v>
      </c>
      <c r="G987">
        <v>710</v>
      </c>
      <c r="H987">
        <v>3728</v>
      </c>
      <c r="I987">
        <v>3211</v>
      </c>
      <c r="J987">
        <v>698</v>
      </c>
      <c r="K987">
        <v>1838</v>
      </c>
      <c r="L987">
        <v>3183</v>
      </c>
      <c r="M987">
        <v>1255</v>
      </c>
      <c r="N987">
        <v>3181</v>
      </c>
      <c r="O987">
        <v>1109</v>
      </c>
      <c r="P987" s="1">
        <v>44228</v>
      </c>
      <c r="Q987">
        <v>89</v>
      </c>
    </row>
    <row r="988" spans="1:17" x14ac:dyDescent="0.25">
      <c r="A988" s="1">
        <v>44317</v>
      </c>
      <c r="B988" t="s">
        <v>171</v>
      </c>
      <c r="C988" t="s">
        <v>101</v>
      </c>
      <c r="D988" t="s">
        <v>68</v>
      </c>
      <c r="E988">
        <v>-912</v>
      </c>
      <c r="F988">
        <v>636</v>
      </c>
      <c r="G988">
        <v>2263</v>
      </c>
      <c r="H988">
        <v>-2482</v>
      </c>
      <c r="I988">
        <v>9528</v>
      </c>
      <c r="J988">
        <v>8657</v>
      </c>
      <c r="K988">
        <v>5409</v>
      </c>
      <c r="L988">
        <v>4058</v>
      </c>
      <c r="M988">
        <v>7132</v>
      </c>
      <c r="N988">
        <v>6481</v>
      </c>
      <c r="O988">
        <v>8252</v>
      </c>
      <c r="P988" s="1">
        <v>44317</v>
      </c>
      <c r="Q988">
        <v>0</v>
      </c>
    </row>
    <row r="989" spans="1:17" x14ac:dyDescent="0.25">
      <c r="A989" s="1">
        <v>44317</v>
      </c>
      <c r="B989" t="s">
        <v>172</v>
      </c>
      <c r="C989" t="s">
        <v>102</v>
      </c>
      <c r="D989" t="s">
        <v>88</v>
      </c>
      <c r="E989">
        <v>245</v>
      </c>
      <c r="F989">
        <v>219</v>
      </c>
      <c r="G989">
        <v>266</v>
      </c>
      <c r="H989">
        <v>830</v>
      </c>
      <c r="I989">
        <v>184</v>
      </c>
      <c r="J989">
        <v>193</v>
      </c>
      <c r="K989">
        <v>695</v>
      </c>
      <c r="L989">
        <v>259</v>
      </c>
      <c r="M989">
        <v>817</v>
      </c>
      <c r="N989">
        <v>216</v>
      </c>
      <c r="O989">
        <v>1183</v>
      </c>
      <c r="P989" s="1">
        <v>44044</v>
      </c>
      <c r="Q989">
        <v>273</v>
      </c>
    </row>
    <row r="990" spans="1:17" x14ac:dyDescent="0.25">
      <c r="A990" s="1">
        <v>44317</v>
      </c>
      <c r="B990" t="s">
        <v>173</v>
      </c>
      <c r="C990" t="s">
        <v>103</v>
      </c>
      <c r="D990" t="s">
        <v>52</v>
      </c>
      <c r="E990">
        <v>131</v>
      </c>
      <c r="F990">
        <v>138</v>
      </c>
      <c r="G990">
        <v>135</v>
      </c>
      <c r="H990">
        <v>828</v>
      </c>
      <c r="I990">
        <v>252</v>
      </c>
      <c r="J990">
        <v>176</v>
      </c>
      <c r="K990">
        <v>134</v>
      </c>
      <c r="L990">
        <v>147</v>
      </c>
      <c r="M990">
        <v>84</v>
      </c>
      <c r="N990">
        <v>292</v>
      </c>
      <c r="O990">
        <v>168</v>
      </c>
      <c r="P990" s="1">
        <v>43862</v>
      </c>
      <c r="Q990">
        <v>455</v>
      </c>
    </row>
    <row r="991" spans="1:17" x14ac:dyDescent="0.25">
      <c r="A991" s="1">
        <v>44317</v>
      </c>
      <c r="B991" t="s">
        <v>174</v>
      </c>
      <c r="C991" t="s">
        <v>105</v>
      </c>
      <c r="D991" t="s">
        <v>104</v>
      </c>
      <c r="E991">
        <v>108</v>
      </c>
      <c r="F991">
        <v>89</v>
      </c>
      <c r="G991">
        <v>119</v>
      </c>
      <c r="H991">
        <v>283</v>
      </c>
      <c r="I991">
        <v>425</v>
      </c>
      <c r="J991">
        <v>36</v>
      </c>
      <c r="K991">
        <v>58</v>
      </c>
      <c r="L991">
        <v>14</v>
      </c>
      <c r="M991">
        <v>109</v>
      </c>
      <c r="N991">
        <v>165</v>
      </c>
      <c r="O991">
        <v>200</v>
      </c>
      <c r="P991" s="1">
        <v>43374</v>
      </c>
      <c r="Q991">
        <v>943</v>
      </c>
    </row>
    <row r="992" spans="1:17" x14ac:dyDescent="0.25">
      <c r="A992" s="1">
        <v>44317</v>
      </c>
      <c r="B992" t="s">
        <v>142</v>
      </c>
      <c r="C992" t="s">
        <v>50</v>
      </c>
      <c r="D992" t="s">
        <v>49</v>
      </c>
      <c r="E992">
        <v>550</v>
      </c>
      <c r="F992">
        <v>142</v>
      </c>
      <c r="G992">
        <v>184</v>
      </c>
      <c r="H992">
        <v>560</v>
      </c>
      <c r="I992">
        <v>510</v>
      </c>
      <c r="J992">
        <v>275</v>
      </c>
      <c r="K992">
        <v>50</v>
      </c>
      <c r="L992">
        <v>273</v>
      </c>
      <c r="M992">
        <v>573</v>
      </c>
      <c r="N992">
        <v>857</v>
      </c>
      <c r="O992">
        <v>208</v>
      </c>
      <c r="P992" s="1">
        <v>43709</v>
      </c>
      <c r="Q992">
        <v>608</v>
      </c>
    </row>
    <row r="993" spans="1:17" x14ac:dyDescent="0.25">
      <c r="A993" s="1">
        <v>44317</v>
      </c>
      <c r="B993" t="s">
        <v>143</v>
      </c>
      <c r="C993" t="s">
        <v>53</v>
      </c>
      <c r="D993" t="s">
        <v>52</v>
      </c>
      <c r="E993">
        <v>561</v>
      </c>
      <c r="F993">
        <v>790</v>
      </c>
      <c r="G993">
        <v>164</v>
      </c>
      <c r="H993">
        <v>868</v>
      </c>
      <c r="I993">
        <v>625</v>
      </c>
      <c r="J993">
        <v>591</v>
      </c>
      <c r="K993">
        <v>113</v>
      </c>
      <c r="L993">
        <v>571</v>
      </c>
      <c r="M993">
        <v>9</v>
      </c>
      <c r="N993">
        <v>426</v>
      </c>
      <c r="O993">
        <v>1281</v>
      </c>
      <c r="P993" s="1">
        <v>43862</v>
      </c>
      <c r="Q993">
        <v>455</v>
      </c>
    </row>
    <row r="994" spans="1:17" x14ac:dyDescent="0.25">
      <c r="A994" s="1">
        <v>44317</v>
      </c>
      <c r="B994" t="s">
        <v>144</v>
      </c>
      <c r="C994" t="s">
        <v>56</v>
      </c>
      <c r="D994" t="s">
        <v>55</v>
      </c>
      <c r="E994">
        <v>4489</v>
      </c>
      <c r="F994">
        <v>1054</v>
      </c>
      <c r="G994">
        <v>1329</v>
      </c>
      <c r="H994">
        <v>3930</v>
      </c>
      <c r="I994">
        <v>3808</v>
      </c>
      <c r="J994">
        <v>4030</v>
      </c>
      <c r="K994">
        <v>754</v>
      </c>
      <c r="L994">
        <v>4871</v>
      </c>
      <c r="M994">
        <v>1150</v>
      </c>
      <c r="N994">
        <v>3438</v>
      </c>
      <c r="O994">
        <v>3991</v>
      </c>
      <c r="P994" s="1">
        <v>44256</v>
      </c>
      <c r="Q994">
        <v>61</v>
      </c>
    </row>
    <row r="995" spans="1:17" x14ac:dyDescent="0.25">
      <c r="A995" s="1">
        <v>44317</v>
      </c>
      <c r="B995" t="s">
        <v>145</v>
      </c>
      <c r="C995" t="s">
        <v>59</v>
      </c>
      <c r="D995" t="s">
        <v>58</v>
      </c>
      <c r="E995">
        <v>3580</v>
      </c>
      <c r="F995">
        <v>595</v>
      </c>
      <c r="G995">
        <v>2950</v>
      </c>
      <c r="H995">
        <v>2020</v>
      </c>
      <c r="I995">
        <v>4394</v>
      </c>
      <c r="J995">
        <v>3328</v>
      </c>
      <c r="K995">
        <v>2249</v>
      </c>
      <c r="L995">
        <v>14412</v>
      </c>
      <c r="M995">
        <v>1361</v>
      </c>
      <c r="N995">
        <v>6956</v>
      </c>
      <c r="O995">
        <v>1933</v>
      </c>
      <c r="P995" s="1">
        <v>44287</v>
      </c>
      <c r="Q995">
        <v>30</v>
      </c>
    </row>
    <row r="996" spans="1:17" x14ac:dyDescent="0.25">
      <c r="A996" s="1">
        <v>44317</v>
      </c>
      <c r="B996" t="s">
        <v>146</v>
      </c>
      <c r="C996" t="s">
        <v>62</v>
      </c>
      <c r="D996" t="s">
        <v>61</v>
      </c>
      <c r="E996">
        <v>831</v>
      </c>
      <c r="F996">
        <v>1068</v>
      </c>
      <c r="G996">
        <v>330</v>
      </c>
      <c r="H996">
        <v>299</v>
      </c>
      <c r="I996">
        <v>145</v>
      </c>
      <c r="J996">
        <v>100</v>
      </c>
      <c r="K996">
        <v>227</v>
      </c>
      <c r="L996">
        <v>643</v>
      </c>
      <c r="M996">
        <v>378</v>
      </c>
      <c r="N996">
        <v>435</v>
      </c>
      <c r="O996">
        <v>326</v>
      </c>
      <c r="P996" s="1">
        <v>44075</v>
      </c>
      <c r="Q996">
        <v>242</v>
      </c>
    </row>
    <row r="997" spans="1:17" x14ac:dyDescent="0.25">
      <c r="A997" s="1">
        <v>44317</v>
      </c>
      <c r="B997" t="s">
        <v>147</v>
      </c>
      <c r="C997" t="s">
        <v>64</v>
      </c>
      <c r="D997" t="s">
        <v>52</v>
      </c>
      <c r="E997">
        <v>681</v>
      </c>
      <c r="F997">
        <v>733</v>
      </c>
      <c r="G997">
        <v>116</v>
      </c>
      <c r="H997">
        <v>233</v>
      </c>
      <c r="I997">
        <v>97</v>
      </c>
      <c r="J997">
        <v>260</v>
      </c>
      <c r="K997">
        <v>210</v>
      </c>
      <c r="L997">
        <v>200</v>
      </c>
      <c r="M997">
        <v>96</v>
      </c>
      <c r="N997">
        <v>119</v>
      </c>
      <c r="O997">
        <v>150</v>
      </c>
      <c r="P997" s="1">
        <v>43862</v>
      </c>
      <c r="Q997">
        <v>455</v>
      </c>
    </row>
    <row r="998" spans="1:17" x14ac:dyDescent="0.25">
      <c r="A998" s="1">
        <v>44317</v>
      </c>
      <c r="B998" t="s">
        <v>148</v>
      </c>
      <c r="C998" t="s">
        <v>66</v>
      </c>
      <c r="D998" t="s">
        <v>55</v>
      </c>
      <c r="E998">
        <v>3254</v>
      </c>
      <c r="F998">
        <v>1501</v>
      </c>
      <c r="G998">
        <v>509</v>
      </c>
      <c r="H998">
        <v>1466</v>
      </c>
      <c r="I998">
        <v>995</v>
      </c>
      <c r="J998">
        <v>1195</v>
      </c>
      <c r="K998">
        <v>2702</v>
      </c>
      <c r="L998">
        <v>657</v>
      </c>
      <c r="M998">
        <v>1050</v>
      </c>
      <c r="N998">
        <v>4069</v>
      </c>
      <c r="O998">
        <v>3009</v>
      </c>
      <c r="P998" s="1">
        <v>44256</v>
      </c>
      <c r="Q998">
        <v>61</v>
      </c>
    </row>
    <row r="999" spans="1:17" x14ac:dyDescent="0.25">
      <c r="A999" s="1">
        <v>44317</v>
      </c>
      <c r="B999" t="s">
        <v>149</v>
      </c>
      <c r="C999" t="s">
        <v>67</v>
      </c>
      <c r="D999" t="s">
        <v>55</v>
      </c>
      <c r="E999">
        <v>4359</v>
      </c>
      <c r="F999">
        <v>4079</v>
      </c>
      <c r="G999">
        <v>467</v>
      </c>
      <c r="H999">
        <v>2457</v>
      </c>
      <c r="I999">
        <v>4281</v>
      </c>
      <c r="J999">
        <v>3578</v>
      </c>
      <c r="K999">
        <v>5209</v>
      </c>
      <c r="L999">
        <v>3010</v>
      </c>
      <c r="M999">
        <v>3457</v>
      </c>
      <c r="N999">
        <v>4567</v>
      </c>
      <c r="O999">
        <v>6335</v>
      </c>
      <c r="P999" s="1">
        <v>44256</v>
      </c>
      <c r="Q999">
        <v>61</v>
      </c>
    </row>
    <row r="1000" spans="1:17" x14ac:dyDescent="0.25">
      <c r="A1000" s="1">
        <v>44317</v>
      </c>
      <c r="B1000" t="s">
        <v>150</v>
      </c>
      <c r="C1000" t="s">
        <v>69</v>
      </c>
      <c r="D1000" t="s">
        <v>68</v>
      </c>
      <c r="E1000">
        <v>5148</v>
      </c>
      <c r="F1000">
        <v>2024</v>
      </c>
      <c r="G1000">
        <v>1459</v>
      </c>
      <c r="H1000">
        <v>3797</v>
      </c>
      <c r="I1000">
        <v>2493</v>
      </c>
      <c r="J1000">
        <v>1244</v>
      </c>
      <c r="K1000">
        <v>2154</v>
      </c>
      <c r="L1000">
        <v>1076</v>
      </c>
      <c r="M1000">
        <v>1077</v>
      </c>
      <c r="N1000">
        <v>1782</v>
      </c>
      <c r="O1000">
        <v>597</v>
      </c>
      <c r="P1000" s="1">
        <v>44317</v>
      </c>
      <c r="Q1000">
        <v>0</v>
      </c>
    </row>
    <row r="1001" spans="1:17" x14ac:dyDescent="0.25">
      <c r="A1001" s="1">
        <v>44317</v>
      </c>
      <c r="B1001" t="s">
        <v>151</v>
      </c>
      <c r="C1001" t="s">
        <v>71</v>
      </c>
      <c r="D1001" t="s">
        <v>70</v>
      </c>
      <c r="E1001">
        <v>-179</v>
      </c>
      <c r="F1001">
        <v>495</v>
      </c>
      <c r="G1001">
        <v>120</v>
      </c>
      <c r="H1001">
        <v>465</v>
      </c>
      <c r="I1001">
        <v>868</v>
      </c>
      <c r="J1001">
        <v>420</v>
      </c>
      <c r="K1001">
        <v>380</v>
      </c>
      <c r="L1001">
        <v>546</v>
      </c>
      <c r="M1001">
        <v>1330</v>
      </c>
      <c r="N1001">
        <v>429</v>
      </c>
      <c r="O1001">
        <v>297</v>
      </c>
      <c r="P1001" s="1">
        <v>44136</v>
      </c>
      <c r="Q1001">
        <v>181</v>
      </c>
    </row>
    <row r="1002" spans="1:17" x14ac:dyDescent="0.25">
      <c r="A1002" s="1">
        <v>44317</v>
      </c>
      <c r="B1002" t="s">
        <v>152</v>
      </c>
      <c r="C1002" t="s">
        <v>11</v>
      </c>
      <c r="D1002" t="s">
        <v>52</v>
      </c>
      <c r="E1002">
        <v>233</v>
      </c>
      <c r="F1002">
        <v>157</v>
      </c>
      <c r="G1002">
        <v>86</v>
      </c>
      <c r="H1002">
        <v>571</v>
      </c>
      <c r="I1002">
        <v>-3</v>
      </c>
      <c r="J1002">
        <v>18</v>
      </c>
      <c r="K1002">
        <v>115</v>
      </c>
      <c r="L1002">
        <v>160</v>
      </c>
      <c r="M1002">
        <v>156</v>
      </c>
      <c r="N1002">
        <v>71</v>
      </c>
      <c r="O1002">
        <v>113</v>
      </c>
      <c r="P1002" s="1">
        <v>43862</v>
      </c>
      <c r="Q1002">
        <v>455</v>
      </c>
    </row>
    <row r="1003" spans="1:17" x14ac:dyDescent="0.25">
      <c r="A1003" s="1">
        <v>44317</v>
      </c>
      <c r="B1003" t="s">
        <v>153</v>
      </c>
      <c r="C1003" t="s">
        <v>73</v>
      </c>
      <c r="D1003" t="s">
        <v>72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 s="1">
        <v>44440</v>
      </c>
      <c r="Q1003">
        <v>-123</v>
      </c>
    </row>
    <row r="1004" spans="1:17" x14ac:dyDescent="0.25">
      <c r="A1004" s="1">
        <v>44317</v>
      </c>
      <c r="B1004" t="s">
        <v>154</v>
      </c>
      <c r="C1004" t="s">
        <v>17</v>
      </c>
      <c r="D1004" t="s">
        <v>74</v>
      </c>
      <c r="E1004">
        <v>1756</v>
      </c>
      <c r="F1004">
        <v>1997</v>
      </c>
      <c r="G1004">
        <v>741</v>
      </c>
      <c r="H1004">
        <v>2115</v>
      </c>
      <c r="I1004">
        <v>3874</v>
      </c>
      <c r="J1004">
        <v>2216</v>
      </c>
      <c r="K1004">
        <v>358</v>
      </c>
      <c r="L1004">
        <v>2555</v>
      </c>
      <c r="M1004">
        <v>2804</v>
      </c>
      <c r="N1004">
        <v>2228</v>
      </c>
      <c r="O1004">
        <v>2898</v>
      </c>
      <c r="P1004" s="1">
        <v>44197</v>
      </c>
      <c r="Q1004">
        <v>120</v>
      </c>
    </row>
    <row r="1005" spans="1:17" x14ac:dyDescent="0.25">
      <c r="A1005" s="1">
        <v>44317</v>
      </c>
      <c r="B1005" t="s">
        <v>155</v>
      </c>
      <c r="C1005" t="s">
        <v>76</v>
      </c>
      <c r="D1005" t="s">
        <v>75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 s="1">
        <v>44470</v>
      </c>
      <c r="Q1005">
        <v>-153</v>
      </c>
    </row>
    <row r="1006" spans="1:17" x14ac:dyDescent="0.25">
      <c r="A1006" s="1">
        <v>44317</v>
      </c>
      <c r="B1006" t="s">
        <v>156</v>
      </c>
      <c r="C1006" t="s">
        <v>79</v>
      </c>
      <c r="D1006" t="s">
        <v>78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 s="1">
        <v>44348</v>
      </c>
      <c r="Q1006">
        <v>-31</v>
      </c>
    </row>
    <row r="1007" spans="1:17" x14ac:dyDescent="0.25">
      <c r="A1007" s="1">
        <v>44317</v>
      </c>
      <c r="B1007" t="s">
        <v>157</v>
      </c>
      <c r="C1007" t="s">
        <v>81</v>
      </c>
      <c r="D1007" t="s">
        <v>72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 s="1">
        <v>44440</v>
      </c>
      <c r="Q1007">
        <v>-123</v>
      </c>
    </row>
    <row r="1008" spans="1:17" x14ac:dyDescent="0.25">
      <c r="A1008" s="1">
        <v>44317</v>
      </c>
      <c r="B1008" t="s">
        <v>158</v>
      </c>
      <c r="C1008" t="s">
        <v>83</v>
      </c>
      <c r="D1008" t="s">
        <v>82</v>
      </c>
      <c r="E1008">
        <v>1811</v>
      </c>
      <c r="F1008">
        <v>2272</v>
      </c>
      <c r="G1008">
        <v>982</v>
      </c>
      <c r="H1008">
        <v>3095</v>
      </c>
      <c r="I1008">
        <v>1097</v>
      </c>
      <c r="J1008">
        <v>4178</v>
      </c>
      <c r="K1008">
        <v>1445</v>
      </c>
      <c r="L1008">
        <v>2533</v>
      </c>
      <c r="M1008">
        <v>2312</v>
      </c>
      <c r="N1008">
        <v>3603</v>
      </c>
      <c r="O1008">
        <v>4430</v>
      </c>
      <c r="P1008" s="1">
        <v>44228</v>
      </c>
      <c r="Q1008">
        <v>89</v>
      </c>
    </row>
    <row r="1009" spans="1:17" x14ac:dyDescent="0.25">
      <c r="A1009" s="1">
        <v>44317</v>
      </c>
      <c r="B1009" t="s">
        <v>159</v>
      </c>
      <c r="C1009" t="s">
        <v>84</v>
      </c>
      <c r="D1009" t="s">
        <v>55</v>
      </c>
      <c r="E1009">
        <v>516</v>
      </c>
      <c r="F1009">
        <v>4402</v>
      </c>
      <c r="G1009">
        <v>690</v>
      </c>
      <c r="H1009">
        <v>266</v>
      </c>
      <c r="I1009">
        <v>2916</v>
      </c>
      <c r="J1009">
        <v>555</v>
      </c>
      <c r="K1009">
        <v>1429</v>
      </c>
      <c r="L1009">
        <v>3735</v>
      </c>
      <c r="M1009">
        <v>1402</v>
      </c>
      <c r="N1009">
        <v>4847</v>
      </c>
      <c r="O1009">
        <v>1020</v>
      </c>
      <c r="P1009" s="1">
        <v>44256</v>
      </c>
      <c r="Q1009">
        <v>61</v>
      </c>
    </row>
    <row r="1010" spans="1:17" x14ac:dyDescent="0.25">
      <c r="A1010" s="1">
        <v>44317</v>
      </c>
      <c r="B1010" t="s">
        <v>160</v>
      </c>
      <c r="C1010" t="s">
        <v>86</v>
      </c>
      <c r="D1010" t="s">
        <v>68</v>
      </c>
      <c r="E1010">
        <v>7023</v>
      </c>
      <c r="F1010">
        <v>1872</v>
      </c>
      <c r="G1010">
        <v>638</v>
      </c>
      <c r="H1010">
        <v>10710</v>
      </c>
      <c r="I1010">
        <v>13105</v>
      </c>
      <c r="J1010">
        <v>1578</v>
      </c>
      <c r="K1010">
        <v>5174</v>
      </c>
      <c r="L1010">
        <v>1128</v>
      </c>
      <c r="M1010">
        <v>6778</v>
      </c>
      <c r="N1010">
        <v>2862</v>
      </c>
      <c r="O1010">
        <v>6868</v>
      </c>
      <c r="P1010" s="1">
        <v>44317</v>
      </c>
      <c r="Q1010">
        <v>0</v>
      </c>
    </row>
    <row r="1011" spans="1:17" x14ac:dyDescent="0.25">
      <c r="A1011" s="1">
        <v>44317</v>
      </c>
      <c r="B1011" t="s">
        <v>161</v>
      </c>
      <c r="C1011" t="s">
        <v>87</v>
      </c>
      <c r="D1011" t="s">
        <v>72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 s="1">
        <v>44440</v>
      </c>
      <c r="Q1011">
        <v>-123</v>
      </c>
    </row>
    <row r="1012" spans="1:17" x14ac:dyDescent="0.25">
      <c r="A1012" s="1">
        <v>44317</v>
      </c>
      <c r="B1012" t="s">
        <v>162</v>
      </c>
      <c r="C1012" t="s">
        <v>89</v>
      </c>
      <c r="D1012" t="s">
        <v>88</v>
      </c>
      <c r="E1012">
        <v>176</v>
      </c>
      <c r="F1012">
        <v>224</v>
      </c>
      <c r="G1012">
        <v>237</v>
      </c>
      <c r="H1012">
        <v>935</v>
      </c>
      <c r="I1012">
        <v>280</v>
      </c>
      <c r="J1012">
        <v>260</v>
      </c>
      <c r="K1012">
        <v>652</v>
      </c>
      <c r="L1012">
        <v>369</v>
      </c>
      <c r="M1012">
        <v>796</v>
      </c>
      <c r="N1012">
        <v>385</v>
      </c>
      <c r="O1012">
        <v>609</v>
      </c>
      <c r="P1012" s="1">
        <v>44044</v>
      </c>
      <c r="Q1012">
        <v>273</v>
      </c>
    </row>
    <row r="1013" spans="1:17" x14ac:dyDescent="0.25">
      <c r="A1013" s="1">
        <v>44317</v>
      </c>
      <c r="B1013" t="s">
        <v>163</v>
      </c>
      <c r="C1013" t="s">
        <v>90</v>
      </c>
      <c r="D1013" t="s">
        <v>82</v>
      </c>
      <c r="E1013">
        <v>699</v>
      </c>
      <c r="F1013">
        <v>675</v>
      </c>
      <c r="G1013">
        <v>322</v>
      </c>
      <c r="H1013">
        <v>3233</v>
      </c>
      <c r="I1013">
        <v>3421</v>
      </c>
      <c r="J1013">
        <v>166</v>
      </c>
      <c r="K1013">
        <v>384</v>
      </c>
      <c r="L1013">
        <v>619</v>
      </c>
      <c r="M1013">
        <v>2659</v>
      </c>
      <c r="N1013">
        <v>1890</v>
      </c>
      <c r="O1013">
        <v>170</v>
      </c>
      <c r="P1013" s="1">
        <v>44228</v>
      </c>
      <c r="Q1013">
        <v>89</v>
      </c>
    </row>
    <row r="1014" spans="1:17" x14ac:dyDescent="0.25">
      <c r="A1014" s="1">
        <v>44317</v>
      </c>
      <c r="B1014" t="s">
        <v>164</v>
      </c>
      <c r="C1014" t="s">
        <v>92</v>
      </c>
      <c r="D1014" t="s">
        <v>91</v>
      </c>
      <c r="E1014">
        <v>800</v>
      </c>
      <c r="F1014">
        <v>386</v>
      </c>
      <c r="G1014">
        <v>183</v>
      </c>
      <c r="H1014">
        <v>353</v>
      </c>
      <c r="I1014">
        <v>119</v>
      </c>
      <c r="J1014">
        <v>242</v>
      </c>
      <c r="K1014">
        <v>241</v>
      </c>
      <c r="L1014">
        <v>430</v>
      </c>
      <c r="M1014">
        <v>302</v>
      </c>
      <c r="N1014">
        <v>191</v>
      </c>
      <c r="O1014">
        <v>361</v>
      </c>
      <c r="P1014" s="1">
        <v>44105</v>
      </c>
      <c r="Q1014">
        <v>212</v>
      </c>
    </row>
    <row r="1015" spans="1:17" x14ac:dyDescent="0.25">
      <c r="A1015" s="1">
        <v>44348</v>
      </c>
      <c r="B1015" t="s">
        <v>165</v>
      </c>
      <c r="C1015" t="s">
        <v>94</v>
      </c>
      <c r="D1015" t="s">
        <v>93</v>
      </c>
      <c r="E1015">
        <v>472</v>
      </c>
      <c r="F1015">
        <v>78</v>
      </c>
      <c r="G1015">
        <v>98</v>
      </c>
      <c r="H1015">
        <v>149</v>
      </c>
      <c r="I1015">
        <v>369</v>
      </c>
      <c r="J1015">
        <v>60</v>
      </c>
      <c r="K1015">
        <v>54</v>
      </c>
      <c r="L1015">
        <v>171</v>
      </c>
      <c r="M1015">
        <v>87</v>
      </c>
      <c r="N1015">
        <v>206</v>
      </c>
      <c r="O1015">
        <v>387</v>
      </c>
      <c r="P1015" s="1">
        <v>43586</v>
      </c>
      <c r="Q1015">
        <v>762</v>
      </c>
    </row>
    <row r="1016" spans="1:17" x14ac:dyDescent="0.25">
      <c r="A1016" s="1">
        <v>44348</v>
      </c>
      <c r="B1016" t="s">
        <v>166</v>
      </c>
      <c r="C1016" t="s">
        <v>96</v>
      </c>
      <c r="D1016" t="s">
        <v>95</v>
      </c>
      <c r="E1016">
        <v>69</v>
      </c>
      <c r="F1016">
        <v>23</v>
      </c>
      <c r="G1016">
        <v>103</v>
      </c>
      <c r="H1016">
        <v>267</v>
      </c>
      <c r="I1016">
        <v>86</v>
      </c>
      <c r="J1016">
        <v>78</v>
      </c>
      <c r="K1016">
        <v>413</v>
      </c>
      <c r="L1016">
        <v>50</v>
      </c>
      <c r="M1016">
        <v>431</v>
      </c>
      <c r="N1016">
        <v>8</v>
      </c>
      <c r="O1016">
        <v>31</v>
      </c>
      <c r="P1016" s="1">
        <v>43678</v>
      </c>
      <c r="Q1016">
        <v>670</v>
      </c>
    </row>
    <row r="1017" spans="1:17" x14ac:dyDescent="0.25">
      <c r="A1017" s="1">
        <v>44348</v>
      </c>
      <c r="B1017" t="s">
        <v>167</v>
      </c>
      <c r="C1017" t="s">
        <v>97</v>
      </c>
      <c r="D1017" t="s">
        <v>58</v>
      </c>
      <c r="E1017">
        <v>1001</v>
      </c>
      <c r="F1017">
        <v>82</v>
      </c>
      <c r="G1017">
        <v>677</v>
      </c>
      <c r="H1017">
        <v>1946</v>
      </c>
      <c r="I1017">
        <v>7645</v>
      </c>
      <c r="J1017">
        <v>1407</v>
      </c>
      <c r="K1017">
        <v>3001</v>
      </c>
      <c r="L1017">
        <v>2800</v>
      </c>
      <c r="M1017">
        <v>880</v>
      </c>
      <c r="N1017">
        <v>4725</v>
      </c>
      <c r="O1017">
        <v>877</v>
      </c>
      <c r="P1017" s="1">
        <v>44287</v>
      </c>
      <c r="Q1017">
        <v>61</v>
      </c>
    </row>
    <row r="1018" spans="1:17" x14ac:dyDescent="0.25">
      <c r="A1018" s="1">
        <v>44348</v>
      </c>
      <c r="B1018" t="s">
        <v>168</v>
      </c>
      <c r="C1018" t="s">
        <v>98</v>
      </c>
      <c r="D1018" t="s">
        <v>49</v>
      </c>
      <c r="E1018">
        <v>438</v>
      </c>
      <c r="F1018">
        <v>28</v>
      </c>
      <c r="G1018">
        <v>189</v>
      </c>
      <c r="H1018">
        <v>91</v>
      </c>
      <c r="I1018">
        <v>67</v>
      </c>
      <c r="J1018">
        <v>-18</v>
      </c>
      <c r="K1018">
        <v>145</v>
      </c>
      <c r="L1018">
        <v>422</v>
      </c>
      <c r="M1018">
        <v>81</v>
      </c>
      <c r="N1018">
        <v>197</v>
      </c>
      <c r="O1018">
        <v>222</v>
      </c>
      <c r="P1018" s="1">
        <v>43709</v>
      </c>
      <c r="Q1018">
        <v>639</v>
      </c>
    </row>
    <row r="1019" spans="1:17" x14ac:dyDescent="0.25">
      <c r="A1019" s="1">
        <v>44348</v>
      </c>
      <c r="B1019" t="s">
        <v>169</v>
      </c>
      <c r="C1019" t="s">
        <v>99</v>
      </c>
      <c r="D1019" t="s">
        <v>95</v>
      </c>
      <c r="E1019">
        <v>-11</v>
      </c>
      <c r="F1019">
        <v>-11</v>
      </c>
      <c r="G1019">
        <v>122</v>
      </c>
      <c r="H1019">
        <v>232</v>
      </c>
      <c r="I1019">
        <v>474</v>
      </c>
      <c r="J1019">
        <v>297</v>
      </c>
      <c r="K1019">
        <v>425</v>
      </c>
      <c r="L1019">
        <v>80</v>
      </c>
      <c r="M1019">
        <v>267</v>
      </c>
      <c r="N1019">
        <v>48</v>
      </c>
      <c r="O1019">
        <v>326</v>
      </c>
      <c r="P1019" s="1">
        <v>43678</v>
      </c>
      <c r="Q1019">
        <v>670</v>
      </c>
    </row>
    <row r="1020" spans="1:17" x14ac:dyDescent="0.25">
      <c r="A1020" s="1">
        <v>44348</v>
      </c>
      <c r="B1020" t="s">
        <v>170</v>
      </c>
      <c r="C1020" t="s">
        <v>100</v>
      </c>
      <c r="D1020" t="s">
        <v>82</v>
      </c>
      <c r="E1020">
        <v>399</v>
      </c>
      <c r="F1020">
        <v>652</v>
      </c>
      <c r="G1020">
        <v>666</v>
      </c>
      <c r="H1020">
        <v>896</v>
      </c>
      <c r="I1020">
        <v>2477</v>
      </c>
      <c r="J1020">
        <v>581</v>
      </c>
      <c r="K1020">
        <v>1854</v>
      </c>
      <c r="L1020">
        <v>1514</v>
      </c>
      <c r="M1020">
        <v>169</v>
      </c>
      <c r="N1020">
        <v>2052</v>
      </c>
      <c r="O1020">
        <v>323</v>
      </c>
      <c r="P1020" s="1">
        <v>44228</v>
      </c>
      <c r="Q1020">
        <v>120</v>
      </c>
    </row>
    <row r="1021" spans="1:17" x14ac:dyDescent="0.25">
      <c r="A1021" s="1">
        <v>44348</v>
      </c>
      <c r="B1021" t="s">
        <v>171</v>
      </c>
      <c r="C1021" t="s">
        <v>101</v>
      </c>
      <c r="D1021" t="s">
        <v>68</v>
      </c>
      <c r="E1021">
        <v>3526</v>
      </c>
      <c r="F1021">
        <v>8582</v>
      </c>
      <c r="G1021">
        <v>2481</v>
      </c>
      <c r="H1021">
        <v>5811</v>
      </c>
      <c r="I1021">
        <v>11232</v>
      </c>
      <c r="J1021">
        <v>8203</v>
      </c>
      <c r="K1021">
        <v>10389</v>
      </c>
      <c r="L1021">
        <v>-2355</v>
      </c>
      <c r="M1021">
        <v>4178</v>
      </c>
      <c r="N1021">
        <v>5883</v>
      </c>
      <c r="O1021">
        <v>13761</v>
      </c>
      <c r="P1021" s="1">
        <v>44317</v>
      </c>
      <c r="Q1021">
        <v>31</v>
      </c>
    </row>
    <row r="1022" spans="1:17" x14ac:dyDescent="0.25">
      <c r="A1022" s="1">
        <v>44348</v>
      </c>
      <c r="B1022" t="s">
        <v>172</v>
      </c>
      <c r="C1022" t="s">
        <v>102</v>
      </c>
      <c r="D1022" t="s">
        <v>88</v>
      </c>
      <c r="E1022">
        <v>93</v>
      </c>
      <c r="F1022">
        <v>259</v>
      </c>
      <c r="G1022">
        <v>78</v>
      </c>
      <c r="H1022">
        <v>818</v>
      </c>
      <c r="I1022">
        <v>188</v>
      </c>
      <c r="J1022">
        <v>97</v>
      </c>
      <c r="K1022">
        <v>520</v>
      </c>
      <c r="L1022">
        <v>208</v>
      </c>
      <c r="M1022">
        <v>1533</v>
      </c>
      <c r="N1022">
        <v>348</v>
      </c>
      <c r="O1022">
        <v>425</v>
      </c>
      <c r="P1022" s="1">
        <v>44044</v>
      </c>
      <c r="Q1022">
        <v>304</v>
      </c>
    </row>
    <row r="1023" spans="1:17" x14ac:dyDescent="0.25">
      <c r="A1023" s="1">
        <v>44348</v>
      </c>
      <c r="B1023" t="s">
        <v>173</v>
      </c>
      <c r="C1023" t="s">
        <v>103</v>
      </c>
      <c r="D1023" t="s">
        <v>52</v>
      </c>
      <c r="E1023">
        <v>237</v>
      </c>
      <c r="F1023">
        <v>14</v>
      </c>
      <c r="G1023">
        <v>144</v>
      </c>
      <c r="H1023">
        <v>445</v>
      </c>
      <c r="I1023">
        <v>453</v>
      </c>
      <c r="J1023">
        <v>130</v>
      </c>
      <c r="K1023">
        <v>650</v>
      </c>
      <c r="L1023">
        <v>257</v>
      </c>
      <c r="M1023">
        <v>95</v>
      </c>
      <c r="N1023">
        <v>191</v>
      </c>
      <c r="O1023">
        <v>101</v>
      </c>
      <c r="P1023" s="1">
        <v>43862</v>
      </c>
      <c r="Q1023">
        <v>486</v>
      </c>
    </row>
    <row r="1024" spans="1:17" x14ac:dyDescent="0.25">
      <c r="A1024" s="1">
        <v>44348</v>
      </c>
      <c r="B1024" t="s">
        <v>174</v>
      </c>
      <c r="C1024" t="s">
        <v>105</v>
      </c>
      <c r="D1024" t="s">
        <v>104</v>
      </c>
      <c r="E1024">
        <v>106</v>
      </c>
      <c r="F1024">
        <v>45</v>
      </c>
      <c r="G1024">
        <v>50</v>
      </c>
      <c r="H1024">
        <v>182</v>
      </c>
      <c r="I1024">
        <v>163</v>
      </c>
      <c r="J1024">
        <v>39</v>
      </c>
      <c r="K1024">
        <v>23</v>
      </c>
      <c r="L1024">
        <v>81</v>
      </c>
      <c r="M1024">
        <v>147</v>
      </c>
      <c r="N1024">
        <v>165</v>
      </c>
      <c r="O1024">
        <v>135</v>
      </c>
      <c r="P1024" s="1">
        <v>43374</v>
      </c>
      <c r="Q1024">
        <v>974</v>
      </c>
    </row>
    <row r="1025" spans="1:17" x14ac:dyDescent="0.25">
      <c r="A1025" s="1">
        <v>44348</v>
      </c>
      <c r="B1025" t="s">
        <v>142</v>
      </c>
      <c r="C1025" t="s">
        <v>50</v>
      </c>
      <c r="D1025" t="s">
        <v>49</v>
      </c>
      <c r="E1025">
        <v>442</v>
      </c>
      <c r="F1025">
        <v>269</v>
      </c>
      <c r="G1025">
        <v>3</v>
      </c>
      <c r="H1025">
        <v>595</v>
      </c>
      <c r="I1025">
        <v>328</v>
      </c>
      <c r="J1025">
        <v>264</v>
      </c>
      <c r="K1025">
        <v>76</v>
      </c>
      <c r="L1025">
        <v>537</v>
      </c>
      <c r="M1025">
        <v>329</v>
      </c>
      <c r="N1025">
        <v>381</v>
      </c>
      <c r="O1025">
        <v>131</v>
      </c>
      <c r="P1025" s="1">
        <v>43709</v>
      </c>
      <c r="Q1025">
        <v>639</v>
      </c>
    </row>
    <row r="1026" spans="1:17" x14ac:dyDescent="0.25">
      <c r="A1026" s="1">
        <v>44348</v>
      </c>
      <c r="B1026" t="s">
        <v>143</v>
      </c>
      <c r="C1026" t="s">
        <v>53</v>
      </c>
      <c r="D1026" t="s">
        <v>52</v>
      </c>
      <c r="E1026">
        <v>400</v>
      </c>
      <c r="F1026">
        <v>734</v>
      </c>
      <c r="G1026">
        <v>107</v>
      </c>
      <c r="H1026">
        <v>393</v>
      </c>
      <c r="I1026">
        <v>600</v>
      </c>
      <c r="J1026">
        <v>25</v>
      </c>
      <c r="K1026">
        <v>148</v>
      </c>
      <c r="L1026">
        <v>438</v>
      </c>
      <c r="M1026">
        <v>28</v>
      </c>
      <c r="N1026">
        <v>206</v>
      </c>
      <c r="O1026">
        <v>672</v>
      </c>
      <c r="P1026" s="1">
        <v>43862</v>
      </c>
      <c r="Q1026">
        <v>486</v>
      </c>
    </row>
    <row r="1027" spans="1:17" x14ac:dyDescent="0.25">
      <c r="A1027" s="1">
        <v>44348</v>
      </c>
      <c r="B1027" t="s">
        <v>144</v>
      </c>
      <c r="C1027" t="s">
        <v>56</v>
      </c>
      <c r="D1027" t="s">
        <v>55</v>
      </c>
      <c r="E1027">
        <v>1047</v>
      </c>
      <c r="F1027">
        <v>988</v>
      </c>
      <c r="G1027">
        <v>664</v>
      </c>
      <c r="H1027">
        <v>2591</v>
      </c>
      <c r="I1027">
        <v>229</v>
      </c>
      <c r="J1027">
        <v>2209</v>
      </c>
      <c r="K1027">
        <v>2909</v>
      </c>
      <c r="L1027">
        <v>3004</v>
      </c>
      <c r="M1027">
        <v>578</v>
      </c>
      <c r="N1027">
        <v>2345</v>
      </c>
      <c r="O1027">
        <v>907</v>
      </c>
      <c r="P1027" s="1">
        <v>44256</v>
      </c>
      <c r="Q1027">
        <v>92</v>
      </c>
    </row>
    <row r="1028" spans="1:17" x14ac:dyDescent="0.25">
      <c r="A1028" s="1">
        <v>44348</v>
      </c>
      <c r="B1028" t="s">
        <v>145</v>
      </c>
      <c r="C1028" t="s">
        <v>59</v>
      </c>
      <c r="D1028" t="s">
        <v>58</v>
      </c>
      <c r="E1028">
        <v>1760</v>
      </c>
      <c r="F1028">
        <v>1653</v>
      </c>
      <c r="G1028">
        <v>191</v>
      </c>
      <c r="H1028">
        <v>3480</v>
      </c>
      <c r="I1028">
        <v>3028</v>
      </c>
      <c r="J1028">
        <v>789</v>
      </c>
      <c r="K1028">
        <v>1714</v>
      </c>
      <c r="L1028">
        <v>3572</v>
      </c>
      <c r="M1028">
        <v>431</v>
      </c>
      <c r="N1028">
        <v>4276</v>
      </c>
      <c r="O1028">
        <v>1249</v>
      </c>
      <c r="P1028" s="1">
        <v>44287</v>
      </c>
      <c r="Q1028">
        <v>61</v>
      </c>
    </row>
    <row r="1029" spans="1:17" x14ac:dyDescent="0.25">
      <c r="A1029" s="1">
        <v>44348</v>
      </c>
      <c r="B1029" t="s">
        <v>146</v>
      </c>
      <c r="C1029" t="s">
        <v>62</v>
      </c>
      <c r="D1029" t="s">
        <v>61</v>
      </c>
      <c r="E1029">
        <v>760</v>
      </c>
      <c r="F1029">
        <v>372</v>
      </c>
      <c r="G1029">
        <v>22</v>
      </c>
      <c r="H1029">
        <v>207</v>
      </c>
      <c r="I1029">
        <v>238</v>
      </c>
      <c r="J1029">
        <v>467</v>
      </c>
      <c r="K1029">
        <v>210</v>
      </c>
      <c r="L1029">
        <v>1268</v>
      </c>
      <c r="M1029">
        <v>192</v>
      </c>
      <c r="N1029">
        <v>40</v>
      </c>
      <c r="O1029">
        <v>87</v>
      </c>
      <c r="P1029" s="1">
        <v>44075</v>
      </c>
      <c r="Q1029">
        <v>273</v>
      </c>
    </row>
    <row r="1030" spans="1:17" x14ac:dyDescent="0.25">
      <c r="A1030" s="1">
        <v>44348</v>
      </c>
      <c r="B1030" t="s">
        <v>147</v>
      </c>
      <c r="C1030" t="s">
        <v>64</v>
      </c>
      <c r="D1030" t="s">
        <v>52</v>
      </c>
      <c r="E1030">
        <v>399</v>
      </c>
      <c r="F1030">
        <v>96</v>
      </c>
      <c r="G1030">
        <v>224</v>
      </c>
      <c r="H1030">
        <v>238</v>
      </c>
      <c r="I1030">
        <v>158</v>
      </c>
      <c r="J1030">
        <v>137</v>
      </c>
      <c r="K1030">
        <v>129</v>
      </c>
      <c r="L1030">
        <v>164</v>
      </c>
      <c r="M1030">
        <v>72</v>
      </c>
      <c r="N1030">
        <v>204</v>
      </c>
      <c r="O1030">
        <v>14</v>
      </c>
      <c r="P1030" s="1">
        <v>43862</v>
      </c>
      <c r="Q1030">
        <v>486</v>
      </c>
    </row>
    <row r="1031" spans="1:17" x14ac:dyDescent="0.25">
      <c r="A1031" s="1">
        <v>44348</v>
      </c>
      <c r="B1031" t="s">
        <v>148</v>
      </c>
      <c r="C1031" t="s">
        <v>66</v>
      </c>
      <c r="D1031" t="s">
        <v>55</v>
      </c>
      <c r="E1031">
        <v>2594</v>
      </c>
      <c r="F1031">
        <v>1561</v>
      </c>
      <c r="G1031">
        <v>547</v>
      </c>
      <c r="H1031">
        <v>338</v>
      </c>
      <c r="I1031">
        <v>1269</v>
      </c>
      <c r="J1031">
        <v>119</v>
      </c>
      <c r="K1031">
        <v>3282</v>
      </c>
      <c r="L1031">
        <v>1200</v>
      </c>
      <c r="M1031">
        <v>1164</v>
      </c>
      <c r="N1031">
        <v>2823</v>
      </c>
      <c r="O1031">
        <v>1740</v>
      </c>
      <c r="P1031" s="1">
        <v>44256</v>
      </c>
      <c r="Q1031">
        <v>92</v>
      </c>
    </row>
    <row r="1032" spans="1:17" x14ac:dyDescent="0.25">
      <c r="A1032" s="1">
        <v>44348</v>
      </c>
      <c r="B1032" t="s">
        <v>149</v>
      </c>
      <c r="C1032" t="s">
        <v>67</v>
      </c>
      <c r="D1032" t="s">
        <v>55</v>
      </c>
      <c r="E1032">
        <v>2765</v>
      </c>
      <c r="F1032">
        <v>3558</v>
      </c>
      <c r="G1032">
        <v>461</v>
      </c>
      <c r="H1032">
        <v>1361</v>
      </c>
      <c r="I1032">
        <v>2255</v>
      </c>
      <c r="J1032">
        <v>1676</v>
      </c>
      <c r="K1032">
        <v>4061</v>
      </c>
      <c r="L1032">
        <v>2755</v>
      </c>
      <c r="M1032">
        <v>3379</v>
      </c>
      <c r="N1032">
        <v>-342</v>
      </c>
      <c r="O1032">
        <v>2617</v>
      </c>
      <c r="P1032" s="1">
        <v>44256</v>
      </c>
      <c r="Q1032">
        <v>92</v>
      </c>
    </row>
    <row r="1033" spans="1:17" x14ac:dyDescent="0.25">
      <c r="A1033" s="1">
        <v>44348</v>
      </c>
      <c r="B1033" t="s">
        <v>150</v>
      </c>
      <c r="C1033" t="s">
        <v>69</v>
      </c>
      <c r="D1033" t="s">
        <v>68</v>
      </c>
      <c r="E1033">
        <v>7775</v>
      </c>
      <c r="F1033">
        <v>2138</v>
      </c>
      <c r="G1033">
        <v>1060</v>
      </c>
      <c r="H1033">
        <v>10851</v>
      </c>
      <c r="I1033">
        <v>1585</v>
      </c>
      <c r="J1033">
        <v>2177</v>
      </c>
      <c r="K1033">
        <v>1375</v>
      </c>
      <c r="L1033">
        <v>3214</v>
      </c>
      <c r="M1033">
        <v>2260</v>
      </c>
      <c r="N1033">
        <v>1331</v>
      </c>
      <c r="O1033">
        <v>-1807</v>
      </c>
      <c r="P1033" s="1">
        <v>44317</v>
      </c>
      <c r="Q1033">
        <v>31</v>
      </c>
    </row>
    <row r="1034" spans="1:17" x14ac:dyDescent="0.25">
      <c r="A1034" s="1">
        <v>44348</v>
      </c>
      <c r="B1034" t="s">
        <v>151</v>
      </c>
      <c r="C1034" t="s">
        <v>71</v>
      </c>
      <c r="D1034" t="s">
        <v>70</v>
      </c>
      <c r="E1034">
        <v>452</v>
      </c>
      <c r="F1034">
        <v>174</v>
      </c>
      <c r="G1034">
        <v>331</v>
      </c>
      <c r="H1034">
        <v>121</v>
      </c>
      <c r="I1034">
        <v>991</v>
      </c>
      <c r="J1034">
        <v>274</v>
      </c>
      <c r="K1034">
        <v>567</v>
      </c>
      <c r="L1034">
        <v>225</v>
      </c>
      <c r="M1034">
        <v>1351</v>
      </c>
      <c r="N1034">
        <v>348</v>
      </c>
      <c r="O1034">
        <v>422</v>
      </c>
      <c r="P1034" s="1">
        <v>44136</v>
      </c>
      <c r="Q1034">
        <v>212</v>
      </c>
    </row>
    <row r="1035" spans="1:17" x14ac:dyDescent="0.25">
      <c r="A1035" s="1">
        <v>44348</v>
      </c>
      <c r="B1035" t="s">
        <v>152</v>
      </c>
      <c r="C1035" t="s">
        <v>11</v>
      </c>
      <c r="D1035" t="s">
        <v>52</v>
      </c>
      <c r="E1035">
        <v>224</v>
      </c>
      <c r="F1035">
        <v>65</v>
      </c>
      <c r="G1035">
        <v>165</v>
      </c>
      <c r="H1035">
        <v>371</v>
      </c>
      <c r="I1035">
        <v>85</v>
      </c>
      <c r="J1035">
        <v>162</v>
      </c>
      <c r="K1035">
        <v>189</v>
      </c>
      <c r="L1035">
        <v>100</v>
      </c>
      <c r="M1035">
        <v>102</v>
      </c>
      <c r="N1035">
        <v>104</v>
      </c>
      <c r="O1035">
        <v>328</v>
      </c>
      <c r="P1035" s="1">
        <v>43862</v>
      </c>
      <c r="Q1035">
        <v>486</v>
      </c>
    </row>
    <row r="1036" spans="1:17" x14ac:dyDescent="0.25">
      <c r="A1036" s="1">
        <v>44348</v>
      </c>
      <c r="B1036" t="s">
        <v>153</v>
      </c>
      <c r="C1036" t="s">
        <v>73</v>
      </c>
      <c r="D1036" t="s">
        <v>72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 s="1">
        <v>44440</v>
      </c>
      <c r="Q1036">
        <v>-92</v>
      </c>
    </row>
    <row r="1037" spans="1:17" x14ac:dyDescent="0.25">
      <c r="A1037" s="1">
        <v>44348</v>
      </c>
      <c r="B1037" t="s">
        <v>154</v>
      </c>
      <c r="C1037" t="s">
        <v>17</v>
      </c>
      <c r="D1037" t="s">
        <v>74</v>
      </c>
      <c r="E1037">
        <v>1213</v>
      </c>
      <c r="F1037">
        <v>884</v>
      </c>
      <c r="G1037">
        <v>654</v>
      </c>
      <c r="H1037">
        <v>2152</v>
      </c>
      <c r="I1037">
        <v>2898</v>
      </c>
      <c r="J1037">
        <v>1076</v>
      </c>
      <c r="K1037">
        <v>448</v>
      </c>
      <c r="L1037">
        <v>1747</v>
      </c>
      <c r="M1037">
        <v>1023</v>
      </c>
      <c r="N1037">
        <v>1008</v>
      </c>
      <c r="O1037">
        <v>2117</v>
      </c>
      <c r="P1037" s="1">
        <v>44197</v>
      </c>
      <c r="Q1037">
        <v>151</v>
      </c>
    </row>
    <row r="1038" spans="1:17" x14ac:dyDescent="0.25">
      <c r="A1038" s="1">
        <v>44348</v>
      </c>
      <c r="B1038" t="s">
        <v>155</v>
      </c>
      <c r="C1038" t="s">
        <v>76</v>
      </c>
      <c r="D1038" t="s">
        <v>75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 s="1">
        <v>44470</v>
      </c>
      <c r="Q1038">
        <v>-122</v>
      </c>
    </row>
    <row r="1039" spans="1:17" x14ac:dyDescent="0.25">
      <c r="A1039" s="1">
        <v>44348</v>
      </c>
      <c r="B1039" t="s">
        <v>156</v>
      </c>
      <c r="C1039" t="s">
        <v>79</v>
      </c>
      <c r="D1039" t="s">
        <v>78</v>
      </c>
      <c r="E1039">
        <v>1827</v>
      </c>
      <c r="F1039">
        <v>1599</v>
      </c>
      <c r="G1039">
        <v>939</v>
      </c>
      <c r="H1039">
        <v>11741</v>
      </c>
      <c r="I1039">
        <v>423</v>
      </c>
      <c r="J1039">
        <v>653</v>
      </c>
      <c r="K1039">
        <v>1779</v>
      </c>
      <c r="L1039">
        <v>1333</v>
      </c>
      <c r="M1039">
        <v>744</v>
      </c>
      <c r="N1039">
        <v>12463</v>
      </c>
      <c r="O1039">
        <v>1352</v>
      </c>
      <c r="P1039" s="1">
        <v>44348</v>
      </c>
      <c r="Q1039">
        <v>0</v>
      </c>
    </row>
    <row r="1040" spans="1:17" x14ac:dyDescent="0.25">
      <c r="A1040" s="1">
        <v>44348</v>
      </c>
      <c r="B1040" t="s">
        <v>157</v>
      </c>
      <c r="C1040" t="s">
        <v>81</v>
      </c>
      <c r="D1040" t="s">
        <v>72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 s="1">
        <v>44440</v>
      </c>
      <c r="Q1040">
        <v>-92</v>
      </c>
    </row>
    <row r="1041" spans="1:17" x14ac:dyDescent="0.25">
      <c r="A1041" s="1">
        <v>44348</v>
      </c>
      <c r="B1041" t="s">
        <v>158</v>
      </c>
      <c r="C1041" t="s">
        <v>83</v>
      </c>
      <c r="D1041" t="s">
        <v>82</v>
      </c>
      <c r="E1041">
        <v>695</v>
      </c>
      <c r="F1041">
        <v>2882</v>
      </c>
      <c r="G1041">
        <v>259</v>
      </c>
      <c r="H1041">
        <v>1544</v>
      </c>
      <c r="I1041">
        <v>2310</v>
      </c>
      <c r="J1041">
        <v>2578</v>
      </c>
      <c r="K1041">
        <v>-509</v>
      </c>
      <c r="L1041">
        <v>2611</v>
      </c>
      <c r="M1041">
        <v>3353</v>
      </c>
      <c r="N1041">
        <v>1948</v>
      </c>
      <c r="O1041">
        <v>1014</v>
      </c>
      <c r="P1041" s="1">
        <v>44228</v>
      </c>
      <c r="Q1041">
        <v>120</v>
      </c>
    </row>
    <row r="1042" spans="1:17" x14ac:dyDescent="0.25">
      <c r="A1042" s="1">
        <v>44348</v>
      </c>
      <c r="B1042" t="s">
        <v>159</v>
      </c>
      <c r="C1042" t="s">
        <v>84</v>
      </c>
      <c r="D1042" t="s">
        <v>55</v>
      </c>
      <c r="E1042">
        <v>914</v>
      </c>
      <c r="F1042">
        <v>2310</v>
      </c>
      <c r="G1042">
        <v>720</v>
      </c>
      <c r="H1042">
        <v>4167</v>
      </c>
      <c r="I1042">
        <v>3326</v>
      </c>
      <c r="J1042">
        <v>1045</v>
      </c>
      <c r="K1042">
        <v>1479</v>
      </c>
      <c r="L1042">
        <v>2717</v>
      </c>
      <c r="M1042">
        <v>731</v>
      </c>
      <c r="N1042">
        <v>1950</v>
      </c>
      <c r="O1042">
        <v>572</v>
      </c>
      <c r="P1042" s="1">
        <v>44256</v>
      </c>
      <c r="Q1042">
        <v>92</v>
      </c>
    </row>
    <row r="1043" spans="1:17" x14ac:dyDescent="0.25">
      <c r="A1043" s="1">
        <v>44348</v>
      </c>
      <c r="B1043" t="s">
        <v>160</v>
      </c>
      <c r="C1043" t="s">
        <v>86</v>
      </c>
      <c r="D1043" t="s">
        <v>68</v>
      </c>
      <c r="E1043">
        <v>2174</v>
      </c>
      <c r="F1043">
        <v>2442</v>
      </c>
      <c r="G1043">
        <v>3231</v>
      </c>
      <c r="H1043">
        <v>2165</v>
      </c>
      <c r="I1043">
        <v>4365</v>
      </c>
      <c r="J1043">
        <v>2027</v>
      </c>
      <c r="K1043">
        <v>10068</v>
      </c>
      <c r="L1043">
        <v>2222</v>
      </c>
      <c r="M1043">
        <v>5250</v>
      </c>
      <c r="N1043">
        <v>2123</v>
      </c>
      <c r="O1043">
        <v>10245</v>
      </c>
      <c r="P1043" s="1">
        <v>44317</v>
      </c>
      <c r="Q1043">
        <v>31</v>
      </c>
    </row>
    <row r="1044" spans="1:17" x14ac:dyDescent="0.25">
      <c r="A1044" s="1">
        <v>44348</v>
      </c>
      <c r="B1044" t="s">
        <v>161</v>
      </c>
      <c r="C1044" t="s">
        <v>87</v>
      </c>
      <c r="D1044" t="s">
        <v>72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 s="1">
        <v>44440</v>
      </c>
      <c r="Q1044">
        <v>-92</v>
      </c>
    </row>
    <row r="1045" spans="1:17" x14ac:dyDescent="0.25">
      <c r="A1045" s="1">
        <v>44348</v>
      </c>
      <c r="B1045" t="s">
        <v>162</v>
      </c>
      <c r="C1045" t="s">
        <v>89</v>
      </c>
      <c r="D1045" t="s">
        <v>88</v>
      </c>
      <c r="E1045">
        <v>326</v>
      </c>
      <c r="F1045">
        <v>136</v>
      </c>
      <c r="G1045">
        <v>211</v>
      </c>
      <c r="H1045">
        <v>779</v>
      </c>
      <c r="I1045">
        <v>207</v>
      </c>
      <c r="J1045">
        <v>309</v>
      </c>
      <c r="K1045">
        <v>411</v>
      </c>
      <c r="L1045">
        <v>149</v>
      </c>
      <c r="M1045">
        <v>125</v>
      </c>
      <c r="N1045">
        <v>27</v>
      </c>
      <c r="O1045">
        <v>611</v>
      </c>
      <c r="P1045" s="1">
        <v>44044</v>
      </c>
      <c r="Q1045">
        <v>304</v>
      </c>
    </row>
    <row r="1046" spans="1:17" x14ac:dyDescent="0.25">
      <c r="A1046" s="1">
        <v>44348</v>
      </c>
      <c r="B1046" t="s">
        <v>163</v>
      </c>
      <c r="C1046" t="s">
        <v>90</v>
      </c>
      <c r="D1046" t="s">
        <v>82</v>
      </c>
      <c r="E1046">
        <v>568</v>
      </c>
      <c r="F1046">
        <v>634</v>
      </c>
      <c r="G1046">
        <v>950</v>
      </c>
      <c r="H1046">
        <v>2338</v>
      </c>
      <c r="I1046">
        <v>2200</v>
      </c>
      <c r="J1046">
        <v>235</v>
      </c>
      <c r="K1046">
        <v>389</v>
      </c>
      <c r="L1046">
        <v>590</v>
      </c>
      <c r="M1046">
        <v>1839</v>
      </c>
      <c r="N1046">
        <v>2526</v>
      </c>
      <c r="O1046">
        <v>798</v>
      </c>
      <c r="P1046" s="1">
        <v>44228</v>
      </c>
      <c r="Q1046">
        <v>120</v>
      </c>
    </row>
    <row r="1047" spans="1:17" x14ac:dyDescent="0.25">
      <c r="A1047" s="1">
        <v>44348</v>
      </c>
      <c r="B1047" t="s">
        <v>164</v>
      </c>
      <c r="C1047" t="s">
        <v>92</v>
      </c>
      <c r="D1047" t="s">
        <v>91</v>
      </c>
      <c r="E1047">
        <v>1585</v>
      </c>
      <c r="F1047">
        <v>234</v>
      </c>
      <c r="G1047">
        <v>521</v>
      </c>
      <c r="H1047">
        <v>152</v>
      </c>
      <c r="I1047">
        <v>282</v>
      </c>
      <c r="J1047">
        <v>291</v>
      </c>
      <c r="K1047">
        <v>318</v>
      </c>
      <c r="L1047">
        <v>227</v>
      </c>
      <c r="M1047">
        <v>286</v>
      </c>
      <c r="N1047">
        <v>56</v>
      </c>
      <c r="O1047">
        <v>263</v>
      </c>
      <c r="P1047" s="1">
        <v>44105</v>
      </c>
      <c r="Q1047">
        <v>243</v>
      </c>
    </row>
    <row r="1048" spans="1:17" x14ac:dyDescent="0.25">
      <c r="A1048" s="1">
        <v>44348</v>
      </c>
      <c r="B1048" t="s">
        <v>165</v>
      </c>
      <c r="C1048" t="s">
        <v>94</v>
      </c>
      <c r="D1048" t="s">
        <v>93</v>
      </c>
      <c r="E1048">
        <v>263</v>
      </c>
      <c r="F1048">
        <v>27</v>
      </c>
      <c r="G1048">
        <v>96</v>
      </c>
      <c r="H1048">
        <v>153</v>
      </c>
      <c r="I1048">
        <v>3</v>
      </c>
      <c r="J1048">
        <v>193</v>
      </c>
      <c r="K1048">
        <v>94</v>
      </c>
      <c r="L1048">
        <v>276</v>
      </c>
      <c r="M1048">
        <v>54</v>
      </c>
      <c r="N1048">
        <v>260</v>
      </c>
      <c r="O1048">
        <v>365</v>
      </c>
      <c r="P1048" s="1">
        <v>43586</v>
      </c>
      <c r="Q1048">
        <v>762</v>
      </c>
    </row>
    <row r="1049" spans="1:17" x14ac:dyDescent="0.25">
      <c r="A1049" s="1">
        <v>44348</v>
      </c>
      <c r="B1049" t="s">
        <v>166</v>
      </c>
      <c r="C1049" t="s">
        <v>96</v>
      </c>
      <c r="D1049" t="s">
        <v>95</v>
      </c>
      <c r="E1049">
        <v>32</v>
      </c>
      <c r="F1049">
        <v>82</v>
      </c>
      <c r="G1049">
        <v>28</v>
      </c>
      <c r="H1049">
        <v>379</v>
      </c>
      <c r="I1049">
        <v>64</v>
      </c>
      <c r="J1049">
        <v>120</v>
      </c>
      <c r="K1049">
        <v>180</v>
      </c>
      <c r="L1049">
        <v>130</v>
      </c>
      <c r="M1049">
        <v>441</v>
      </c>
      <c r="N1049">
        <v>138</v>
      </c>
      <c r="O1049">
        <v>491</v>
      </c>
      <c r="P1049" s="1">
        <v>43678</v>
      </c>
      <c r="Q1049">
        <v>670</v>
      </c>
    </row>
    <row r="1050" spans="1:17" x14ac:dyDescent="0.25">
      <c r="A1050" s="1">
        <v>44378</v>
      </c>
      <c r="B1050" t="s">
        <v>167</v>
      </c>
      <c r="C1050" t="s">
        <v>97</v>
      </c>
      <c r="D1050" t="s">
        <v>58</v>
      </c>
      <c r="E1050">
        <v>415</v>
      </c>
      <c r="F1050">
        <v>1055</v>
      </c>
      <c r="G1050">
        <v>368</v>
      </c>
      <c r="H1050">
        <v>1413</v>
      </c>
      <c r="I1050">
        <v>1978</v>
      </c>
      <c r="J1050">
        <v>1069</v>
      </c>
      <c r="K1050">
        <v>2631</v>
      </c>
      <c r="L1050">
        <v>2729</v>
      </c>
      <c r="M1050">
        <v>413</v>
      </c>
      <c r="N1050">
        <v>529</v>
      </c>
      <c r="O1050">
        <v>834</v>
      </c>
      <c r="P1050" s="1">
        <v>44287</v>
      </c>
      <c r="Q1050">
        <v>91</v>
      </c>
    </row>
    <row r="1051" spans="1:17" x14ac:dyDescent="0.25">
      <c r="A1051" s="1">
        <v>44378</v>
      </c>
      <c r="B1051" t="s">
        <v>168</v>
      </c>
      <c r="C1051" t="s">
        <v>98</v>
      </c>
      <c r="D1051" t="s">
        <v>49</v>
      </c>
      <c r="E1051">
        <v>464</v>
      </c>
      <c r="F1051">
        <v>147</v>
      </c>
      <c r="G1051">
        <v>151</v>
      </c>
      <c r="H1051">
        <v>100</v>
      </c>
      <c r="I1051">
        <v>95</v>
      </c>
      <c r="J1051">
        <v>100</v>
      </c>
      <c r="K1051">
        <v>32</v>
      </c>
      <c r="L1051">
        <v>192</v>
      </c>
      <c r="M1051">
        <v>5</v>
      </c>
      <c r="N1051">
        <v>-89</v>
      </c>
      <c r="O1051">
        <v>165</v>
      </c>
      <c r="P1051" s="1">
        <v>43709</v>
      </c>
      <c r="Q1051">
        <v>669</v>
      </c>
    </row>
    <row r="1052" spans="1:17" x14ac:dyDescent="0.25">
      <c r="A1052" s="1">
        <v>44378</v>
      </c>
      <c r="B1052" t="s">
        <v>169</v>
      </c>
      <c r="C1052" t="s">
        <v>99</v>
      </c>
      <c r="D1052" t="s">
        <v>95</v>
      </c>
      <c r="E1052">
        <v>43</v>
      </c>
      <c r="F1052">
        <v>201</v>
      </c>
      <c r="G1052">
        <v>110</v>
      </c>
      <c r="H1052">
        <v>100</v>
      </c>
      <c r="I1052">
        <v>315</v>
      </c>
      <c r="J1052">
        <v>37</v>
      </c>
      <c r="K1052">
        <v>391</v>
      </c>
      <c r="L1052">
        <v>162</v>
      </c>
      <c r="M1052">
        <v>251</v>
      </c>
      <c r="N1052">
        <v>107</v>
      </c>
      <c r="O1052">
        <v>302</v>
      </c>
      <c r="P1052" s="1">
        <v>43678</v>
      </c>
      <c r="Q1052">
        <v>700</v>
      </c>
    </row>
    <row r="1053" spans="1:17" x14ac:dyDescent="0.25">
      <c r="A1053" s="1">
        <v>44378</v>
      </c>
      <c r="B1053" t="s">
        <v>170</v>
      </c>
      <c r="C1053" t="s">
        <v>100</v>
      </c>
      <c r="D1053" t="s">
        <v>82</v>
      </c>
      <c r="E1053">
        <v>486</v>
      </c>
      <c r="F1053">
        <v>-60</v>
      </c>
      <c r="G1053">
        <v>359</v>
      </c>
      <c r="H1053">
        <v>1471</v>
      </c>
      <c r="I1053">
        <v>1063</v>
      </c>
      <c r="J1053">
        <v>666</v>
      </c>
      <c r="K1053">
        <v>1044</v>
      </c>
      <c r="L1053">
        <v>1523</v>
      </c>
      <c r="M1053">
        <v>654</v>
      </c>
      <c r="N1053">
        <v>1064</v>
      </c>
      <c r="O1053">
        <v>-88</v>
      </c>
      <c r="P1053" s="1">
        <v>44228</v>
      </c>
      <c r="Q1053">
        <v>150</v>
      </c>
    </row>
    <row r="1054" spans="1:17" x14ac:dyDescent="0.25">
      <c r="A1054" s="1">
        <v>44378</v>
      </c>
      <c r="B1054" t="s">
        <v>171</v>
      </c>
      <c r="C1054" t="s">
        <v>101</v>
      </c>
      <c r="D1054" t="s">
        <v>68</v>
      </c>
      <c r="E1054">
        <v>4524</v>
      </c>
      <c r="F1054">
        <v>2130</v>
      </c>
      <c r="G1054">
        <v>1573</v>
      </c>
      <c r="H1054">
        <v>2850</v>
      </c>
      <c r="I1054">
        <v>3849</v>
      </c>
      <c r="J1054">
        <v>1907</v>
      </c>
      <c r="K1054">
        <v>1991</v>
      </c>
      <c r="L1054">
        <v>4854</v>
      </c>
      <c r="M1054">
        <v>4644</v>
      </c>
      <c r="N1054">
        <v>3883</v>
      </c>
      <c r="O1054">
        <v>1899</v>
      </c>
      <c r="P1054" s="1">
        <v>44317</v>
      </c>
      <c r="Q1054">
        <v>61</v>
      </c>
    </row>
    <row r="1055" spans="1:17" x14ac:dyDescent="0.25">
      <c r="A1055" s="1">
        <v>44378</v>
      </c>
      <c r="B1055" t="s">
        <v>172</v>
      </c>
      <c r="C1055" t="s">
        <v>102</v>
      </c>
      <c r="D1055" t="s">
        <v>88</v>
      </c>
      <c r="E1055">
        <v>174</v>
      </c>
      <c r="F1055">
        <v>341</v>
      </c>
      <c r="G1055">
        <v>276</v>
      </c>
      <c r="H1055">
        <v>1320</v>
      </c>
      <c r="I1055">
        <v>277</v>
      </c>
      <c r="J1055">
        <v>117</v>
      </c>
      <c r="K1055">
        <v>1191</v>
      </c>
      <c r="L1055">
        <v>166</v>
      </c>
      <c r="M1055">
        <v>623</v>
      </c>
      <c r="N1055">
        <v>99</v>
      </c>
      <c r="O1055">
        <v>718</v>
      </c>
      <c r="P1055" s="1">
        <v>44044</v>
      </c>
      <c r="Q1055">
        <v>334</v>
      </c>
    </row>
    <row r="1056" spans="1:17" x14ac:dyDescent="0.25">
      <c r="A1056" s="1">
        <v>44378</v>
      </c>
      <c r="B1056" t="s">
        <v>173</v>
      </c>
      <c r="C1056" t="s">
        <v>103</v>
      </c>
      <c r="D1056" t="s">
        <v>52</v>
      </c>
      <c r="E1056">
        <v>111</v>
      </c>
      <c r="F1056">
        <v>-32</v>
      </c>
      <c r="G1056">
        <v>147</v>
      </c>
      <c r="H1056">
        <v>438</v>
      </c>
      <c r="I1056">
        <v>128</v>
      </c>
      <c r="J1056">
        <v>176</v>
      </c>
      <c r="K1056">
        <v>544</v>
      </c>
      <c r="L1056">
        <v>534</v>
      </c>
      <c r="M1056">
        <v>125</v>
      </c>
      <c r="N1056">
        <v>394</v>
      </c>
      <c r="O1056">
        <v>179</v>
      </c>
      <c r="P1056" s="1">
        <v>43862</v>
      </c>
      <c r="Q1056">
        <v>516</v>
      </c>
    </row>
    <row r="1057" spans="1:17" x14ac:dyDescent="0.25">
      <c r="A1057" s="1">
        <v>44378</v>
      </c>
      <c r="B1057" t="s">
        <v>174</v>
      </c>
      <c r="C1057" t="s">
        <v>105</v>
      </c>
      <c r="D1057" t="s">
        <v>104</v>
      </c>
      <c r="E1057">
        <v>78</v>
      </c>
      <c r="F1057">
        <v>40</v>
      </c>
      <c r="G1057">
        <v>35</v>
      </c>
      <c r="H1057">
        <v>143</v>
      </c>
      <c r="I1057">
        <v>244</v>
      </c>
      <c r="J1057">
        <v>80</v>
      </c>
      <c r="K1057">
        <v>61</v>
      </c>
      <c r="L1057">
        <v>84</v>
      </c>
      <c r="M1057">
        <v>279</v>
      </c>
      <c r="N1057">
        <v>152</v>
      </c>
      <c r="O1057">
        <v>229</v>
      </c>
      <c r="P1057" s="1">
        <v>43374</v>
      </c>
      <c r="Q1057">
        <v>1004</v>
      </c>
    </row>
    <row r="1058" spans="1:17" x14ac:dyDescent="0.25">
      <c r="A1058" s="1">
        <v>44378</v>
      </c>
      <c r="B1058" t="s">
        <v>142</v>
      </c>
      <c r="C1058" t="s">
        <v>50</v>
      </c>
      <c r="D1058" t="s">
        <v>49</v>
      </c>
      <c r="E1058">
        <v>468</v>
      </c>
      <c r="F1058">
        <v>169</v>
      </c>
      <c r="G1058">
        <v>130</v>
      </c>
      <c r="H1058">
        <v>344</v>
      </c>
      <c r="I1058">
        <v>71</v>
      </c>
      <c r="J1058">
        <v>479</v>
      </c>
      <c r="K1058">
        <v>49</v>
      </c>
      <c r="L1058">
        <v>64</v>
      </c>
      <c r="M1058">
        <v>190</v>
      </c>
      <c r="N1058">
        <v>514</v>
      </c>
      <c r="O1058">
        <v>242</v>
      </c>
      <c r="P1058" s="1">
        <v>43709</v>
      </c>
      <c r="Q1058">
        <v>669</v>
      </c>
    </row>
    <row r="1059" spans="1:17" x14ac:dyDescent="0.25">
      <c r="A1059" s="1">
        <v>44378</v>
      </c>
      <c r="B1059" t="s">
        <v>143</v>
      </c>
      <c r="C1059" t="s">
        <v>53</v>
      </c>
      <c r="D1059" t="s">
        <v>52</v>
      </c>
      <c r="E1059">
        <v>477</v>
      </c>
      <c r="F1059">
        <v>320</v>
      </c>
      <c r="G1059">
        <v>97</v>
      </c>
      <c r="H1059">
        <v>866</v>
      </c>
      <c r="I1059">
        <v>112</v>
      </c>
      <c r="J1059">
        <v>470</v>
      </c>
      <c r="K1059">
        <v>101</v>
      </c>
      <c r="L1059">
        <v>188</v>
      </c>
      <c r="M1059">
        <v>645</v>
      </c>
      <c r="N1059">
        <v>614</v>
      </c>
      <c r="O1059">
        <v>427</v>
      </c>
      <c r="P1059" s="1">
        <v>43862</v>
      </c>
      <c r="Q1059">
        <v>516</v>
      </c>
    </row>
    <row r="1060" spans="1:17" x14ac:dyDescent="0.25">
      <c r="A1060" s="1">
        <v>44378</v>
      </c>
      <c r="B1060" t="s">
        <v>144</v>
      </c>
      <c r="C1060" t="s">
        <v>56</v>
      </c>
      <c r="D1060" t="s">
        <v>55</v>
      </c>
      <c r="E1060">
        <v>2211</v>
      </c>
      <c r="F1060">
        <v>453</v>
      </c>
      <c r="G1060">
        <v>498</v>
      </c>
      <c r="H1060">
        <v>62</v>
      </c>
      <c r="I1060">
        <v>2801</v>
      </c>
      <c r="J1060">
        <v>2758</v>
      </c>
      <c r="K1060">
        <v>2265</v>
      </c>
      <c r="L1060">
        <v>370</v>
      </c>
      <c r="M1060">
        <v>354</v>
      </c>
      <c r="N1060">
        <v>1771</v>
      </c>
      <c r="O1060">
        <v>1771</v>
      </c>
      <c r="P1060" s="1">
        <v>44256</v>
      </c>
      <c r="Q1060">
        <v>122</v>
      </c>
    </row>
    <row r="1061" spans="1:17" x14ac:dyDescent="0.25">
      <c r="A1061" s="1">
        <v>44378</v>
      </c>
      <c r="B1061" t="s">
        <v>145</v>
      </c>
      <c r="C1061" t="s">
        <v>59</v>
      </c>
      <c r="D1061" t="s">
        <v>58</v>
      </c>
      <c r="E1061">
        <v>1884</v>
      </c>
      <c r="F1061">
        <v>570</v>
      </c>
      <c r="G1061">
        <v>682</v>
      </c>
      <c r="H1061">
        <v>564</v>
      </c>
      <c r="I1061">
        <v>4016</v>
      </c>
      <c r="J1061">
        <v>531</v>
      </c>
      <c r="K1061">
        <v>669</v>
      </c>
      <c r="L1061">
        <v>2621</v>
      </c>
      <c r="M1061">
        <v>835</v>
      </c>
      <c r="N1061">
        <v>2538</v>
      </c>
      <c r="O1061">
        <v>519</v>
      </c>
      <c r="P1061" s="1">
        <v>44287</v>
      </c>
      <c r="Q1061">
        <v>91</v>
      </c>
    </row>
    <row r="1062" spans="1:17" x14ac:dyDescent="0.25">
      <c r="A1062" s="1">
        <v>44378</v>
      </c>
      <c r="B1062" t="s">
        <v>146</v>
      </c>
      <c r="C1062" t="s">
        <v>62</v>
      </c>
      <c r="D1062" t="s">
        <v>61</v>
      </c>
      <c r="E1062">
        <v>579</v>
      </c>
      <c r="F1062">
        <v>921</v>
      </c>
      <c r="G1062">
        <v>301</v>
      </c>
      <c r="H1062">
        <v>99</v>
      </c>
      <c r="I1062">
        <v>244</v>
      </c>
      <c r="J1062">
        <v>95</v>
      </c>
      <c r="K1062">
        <v>273</v>
      </c>
      <c r="L1062">
        <v>1026</v>
      </c>
      <c r="M1062">
        <v>275</v>
      </c>
      <c r="N1062">
        <v>317</v>
      </c>
      <c r="O1062">
        <v>180</v>
      </c>
      <c r="P1062" s="1">
        <v>44075</v>
      </c>
      <c r="Q1062">
        <v>303</v>
      </c>
    </row>
    <row r="1063" spans="1:17" x14ac:dyDescent="0.25">
      <c r="A1063" s="1">
        <v>44378</v>
      </c>
      <c r="B1063" t="s">
        <v>147</v>
      </c>
      <c r="C1063" t="s">
        <v>64</v>
      </c>
      <c r="D1063" t="s">
        <v>52</v>
      </c>
      <c r="E1063">
        <v>485</v>
      </c>
      <c r="F1063">
        <v>550</v>
      </c>
      <c r="G1063">
        <v>151</v>
      </c>
      <c r="H1063">
        <v>126</v>
      </c>
      <c r="I1063">
        <v>131</v>
      </c>
      <c r="J1063">
        <v>48</v>
      </c>
      <c r="K1063">
        <v>-20</v>
      </c>
      <c r="L1063">
        <v>33</v>
      </c>
      <c r="M1063">
        <v>181</v>
      </c>
      <c r="N1063">
        <v>73</v>
      </c>
      <c r="O1063">
        <v>128</v>
      </c>
      <c r="P1063" s="1">
        <v>43862</v>
      </c>
      <c r="Q1063">
        <v>516</v>
      </c>
    </row>
    <row r="1064" spans="1:17" x14ac:dyDescent="0.25">
      <c r="A1064" s="1">
        <v>44378</v>
      </c>
      <c r="B1064" t="s">
        <v>148</v>
      </c>
      <c r="C1064" t="s">
        <v>66</v>
      </c>
      <c r="D1064" t="s">
        <v>55</v>
      </c>
      <c r="E1064">
        <v>1410</v>
      </c>
      <c r="F1064">
        <v>1689</v>
      </c>
      <c r="G1064">
        <v>22</v>
      </c>
      <c r="H1064">
        <v>1860</v>
      </c>
      <c r="I1064">
        <v>478</v>
      </c>
      <c r="J1064">
        <v>257</v>
      </c>
      <c r="K1064">
        <v>1774</v>
      </c>
      <c r="L1064">
        <v>513</v>
      </c>
      <c r="M1064">
        <v>399</v>
      </c>
      <c r="N1064">
        <v>2072</v>
      </c>
      <c r="O1064">
        <v>584</v>
      </c>
      <c r="P1064" s="1">
        <v>44256</v>
      </c>
      <c r="Q1064">
        <v>122</v>
      </c>
    </row>
    <row r="1065" spans="1:17" x14ac:dyDescent="0.25">
      <c r="A1065" s="1">
        <v>44378</v>
      </c>
      <c r="B1065" t="s">
        <v>149</v>
      </c>
      <c r="C1065" t="s">
        <v>67</v>
      </c>
      <c r="D1065" t="s">
        <v>55</v>
      </c>
      <c r="E1065">
        <v>3791</v>
      </c>
      <c r="F1065">
        <v>2681</v>
      </c>
      <c r="G1065">
        <v>593</v>
      </c>
      <c r="H1065">
        <v>1472</v>
      </c>
      <c r="I1065">
        <v>1255</v>
      </c>
      <c r="J1065">
        <v>-30</v>
      </c>
      <c r="K1065">
        <v>2565</v>
      </c>
      <c r="L1065">
        <v>3907</v>
      </c>
      <c r="M1065">
        <v>2509</v>
      </c>
      <c r="N1065">
        <v>2143</v>
      </c>
      <c r="O1065">
        <v>3728</v>
      </c>
      <c r="P1065" s="1">
        <v>44256</v>
      </c>
      <c r="Q1065">
        <v>122</v>
      </c>
    </row>
    <row r="1066" spans="1:17" x14ac:dyDescent="0.25">
      <c r="A1066" s="1">
        <v>44378</v>
      </c>
      <c r="B1066" t="s">
        <v>150</v>
      </c>
      <c r="C1066" t="s">
        <v>69</v>
      </c>
      <c r="D1066" t="s">
        <v>68</v>
      </c>
      <c r="E1066">
        <v>4882</v>
      </c>
      <c r="F1066">
        <v>1100</v>
      </c>
      <c r="G1066">
        <v>1127</v>
      </c>
      <c r="H1066">
        <v>4171</v>
      </c>
      <c r="I1066">
        <v>772</v>
      </c>
      <c r="J1066">
        <v>788</v>
      </c>
      <c r="K1066">
        <v>399</v>
      </c>
      <c r="L1066">
        <v>1294</v>
      </c>
      <c r="M1066">
        <v>1580</v>
      </c>
      <c r="N1066">
        <v>1339</v>
      </c>
      <c r="O1066">
        <v>7330</v>
      </c>
      <c r="P1066" s="1">
        <v>44317</v>
      </c>
      <c r="Q1066">
        <v>61</v>
      </c>
    </row>
    <row r="1067" spans="1:17" x14ac:dyDescent="0.25">
      <c r="A1067" s="1">
        <v>44378</v>
      </c>
      <c r="B1067" t="s">
        <v>151</v>
      </c>
      <c r="C1067" t="s">
        <v>71</v>
      </c>
      <c r="D1067" t="s">
        <v>70</v>
      </c>
      <c r="E1067">
        <v>284</v>
      </c>
      <c r="F1067">
        <v>507</v>
      </c>
      <c r="G1067">
        <v>352</v>
      </c>
      <c r="H1067">
        <v>424</v>
      </c>
      <c r="I1067">
        <v>271</v>
      </c>
      <c r="J1067">
        <v>100</v>
      </c>
      <c r="K1067">
        <v>225</v>
      </c>
      <c r="L1067">
        <v>182</v>
      </c>
      <c r="M1067">
        <v>1137</v>
      </c>
      <c r="N1067">
        <v>291</v>
      </c>
      <c r="O1067">
        <v>247</v>
      </c>
      <c r="P1067" s="1">
        <v>44136</v>
      </c>
      <c r="Q1067">
        <v>242</v>
      </c>
    </row>
    <row r="1068" spans="1:17" x14ac:dyDescent="0.25">
      <c r="A1068" s="1">
        <v>44378</v>
      </c>
      <c r="B1068" t="s">
        <v>152</v>
      </c>
      <c r="C1068" t="s">
        <v>11</v>
      </c>
      <c r="D1068" t="s">
        <v>52</v>
      </c>
      <c r="E1068">
        <v>106</v>
      </c>
      <c r="F1068">
        <v>124</v>
      </c>
      <c r="G1068">
        <v>179</v>
      </c>
      <c r="H1068">
        <v>316</v>
      </c>
      <c r="I1068">
        <v>-14</v>
      </c>
      <c r="J1068">
        <v>85</v>
      </c>
      <c r="K1068">
        <v>134</v>
      </c>
      <c r="L1068">
        <v>61</v>
      </c>
      <c r="M1068">
        <v>176</v>
      </c>
      <c r="N1068">
        <v>148</v>
      </c>
      <c r="O1068">
        <v>99</v>
      </c>
      <c r="P1068" s="1">
        <v>43862</v>
      </c>
      <c r="Q1068">
        <v>516</v>
      </c>
    </row>
    <row r="1069" spans="1:17" x14ac:dyDescent="0.25">
      <c r="A1069" s="1">
        <v>44378</v>
      </c>
      <c r="B1069" t="s">
        <v>153</v>
      </c>
      <c r="C1069" t="s">
        <v>73</v>
      </c>
      <c r="D1069" t="s">
        <v>72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 s="1">
        <v>44440</v>
      </c>
      <c r="Q1069">
        <v>-62</v>
      </c>
    </row>
    <row r="1070" spans="1:17" x14ac:dyDescent="0.25">
      <c r="A1070" s="1">
        <v>44378</v>
      </c>
      <c r="B1070" t="s">
        <v>154</v>
      </c>
      <c r="C1070" t="s">
        <v>17</v>
      </c>
      <c r="D1070" t="s">
        <v>74</v>
      </c>
      <c r="E1070">
        <v>1615</v>
      </c>
      <c r="F1070">
        <v>-41</v>
      </c>
      <c r="G1070">
        <v>550</v>
      </c>
      <c r="H1070">
        <v>1258</v>
      </c>
      <c r="I1070">
        <v>1139</v>
      </c>
      <c r="J1070">
        <v>1348</v>
      </c>
      <c r="K1070">
        <v>300</v>
      </c>
      <c r="L1070">
        <v>1242</v>
      </c>
      <c r="M1070">
        <v>1193</v>
      </c>
      <c r="N1070">
        <v>1201</v>
      </c>
      <c r="O1070">
        <v>1184</v>
      </c>
      <c r="P1070" s="1">
        <v>44197</v>
      </c>
      <c r="Q1070">
        <v>181</v>
      </c>
    </row>
    <row r="1071" spans="1:17" x14ac:dyDescent="0.25">
      <c r="A1071" s="1">
        <v>44378</v>
      </c>
      <c r="B1071" t="s">
        <v>155</v>
      </c>
      <c r="C1071" t="s">
        <v>76</v>
      </c>
      <c r="D1071" t="s">
        <v>75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 s="1">
        <v>44470</v>
      </c>
      <c r="Q1071">
        <v>-92</v>
      </c>
    </row>
    <row r="1072" spans="1:17" x14ac:dyDescent="0.25">
      <c r="A1072" s="1">
        <v>44378</v>
      </c>
      <c r="B1072" t="s">
        <v>156</v>
      </c>
      <c r="C1072" t="s">
        <v>79</v>
      </c>
      <c r="D1072" t="s">
        <v>78</v>
      </c>
      <c r="E1072">
        <v>2222</v>
      </c>
      <c r="F1072">
        <v>1664</v>
      </c>
      <c r="G1072">
        <v>379</v>
      </c>
      <c r="H1072">
        <v>19363</v>
      </c>
      <c r="I1072">
        <v>1428</v>
      </c>
      <c r="J1072">
        <v>623</v>
      </c>
      <c r="K1072">
        <v>1175</v>
      </c>
      <c r="L1072">
        <v>436</v>
      </c>
      <c r="M1072">
        <v>1019</v>
      </c>
      <c r="N1072">
        <v>12128</v>
      </c>
      <c r="O1072">
        <v>1237</v>
      </c>
      <c r="P1072" s="1">
        <v>44348</v>
      </c>
      <c r="Q1072">
        <v>30</v>
      </c>
    </row>
    <row r="1073" spans="1:17" x14ac:dyDescent="0.25">
      <c r="A1073" s="1">
        <v>44378</v>
      </c>
      <c r="B1073" t="s">
        <v>157</v>
      </c>
      <c r="C1073" t="s">
        <v>81</v>
      </c>
      <c r="D1073" t="s">
        <v>72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 s="1">
        <v>44440</v>
      </c>
      <c r="Q1073">
        <v>-62</v>
      </c>
    </row>
    <row r="1074" spans="1:17" x14ac:dyDescent="0.25">
      <c r="A1074" s="1">
        <v>44378</v>
      </c>
      <c r="B1074" t="s">
        <v>158</v>
      </c>
      <c r="C1074" t="s">
        <v>83</v>
      </c>
      <c r="D1074" t="s">
        <v>82</v>
      </c>
      <c r="E1074">
        <v>1566</v>
      </c>
      <c r="F1074">
        <v>1269</v>
      </c>
      <c r="G1074">
        <v>198</v>
      </c>
      <c r="H1074">
        <v>1640</v>
      </c>
      <c r="I1074">
        <v>2181</v>
      </c>
      <c r="J1074">
        <v>1473</v>
      </c>
      <c r="K1074">
        <v>2042</v>
      </c>
      <c r="L1074">
        <v>2511</v>
      </c>
      <c r="M1074">
        <v>1768</v>
      </c>
      <c r="N1074">
        <v>1706</v>
      </c>
      <c r="O1074">
        <v>990</v>
      </c>
      <c r="P1074" s="1">
        <v>44228</v>
      </c>
      <c r="Q1074">
        <v>150</v>
      </c>
    </row>
    <row r="1075" spans="1:17" x14ac:dyDescent="0.25">
      <c r="A1075" s="1">
        <v>44378</v>
      </c>
      <c r="B1075" t="s">
        <v>159</v>
      </c>
      <c r="C1075" t="s">
        <v>84</v>
      </c>
      <c r="D1075" t="s">
        <v>55</v>
      </c>
      <c r="E1075">
        <v>636</v>
      </c>
      <c r="F1075">
        <v>233</v>
      </c>
      <c r="G1075">
        <v>255</v>
      </c>
      <c r="H1075">
        <v>2292</v>
      </c>
      <c r="I1075">
        <v>2875</v>
      </c>
      <c r="J1075">
        <v>551</v>
      </c>
      <c r="K1075">
        <v>159</v>
      </c>
      <c r="L1075">
        <v>2302</v>
      </c>
      <c r="M1075">
        <v>549</v>
      </c>
      <c r="N1075">
        <v>1223</v>
      </c>
      <c r="O1075">
        <v>563</v>
      </c>
      <c r="P1075" s="1">
        <v>44256</v>
      </c>
      <c r="Q1075">
        <v>122</v>
      </c>
    </row>
    <row r="1076" spans="1:17" x14ac:dyDescent="0.25">
      <c r="A1076" s="1">
        <v>44378</v>
      </c>
      <c r="B1076" t="s">
        <v>160</v>
      </c>
      <c r="C1076" t="s">
        <v>86</v>
      </c>
      <c r="D1076" t="s">
        <v>68</v>
      </c>
      <c r="E1076">
        <v>1807</v>
      </c>
      <c r="F1076">
        <v>1458</v>
      </c>
      <c r="G1076">
        <v>778</v>
      </c>
      <c r="H1076">
        <v>5489</v>
      </c>
      <c r="I1076">
        <v>6071</v>
      </c>
      <c r="J1076">
        <v>171</v>
      </c>
      <c r="K1076">
        <v>746</v>
      </c>
      <c r="L1076">
        <v>1688</v>
      </c>
      <c r="M1076">
        <v>1942</v>
      </c>
      <c r="N1076">
        <v>608</v>
      </c>
      <c r="O1076">
        <v>5403</v>
      </c>
      <c r="P1076" s="1">
        <v>44317</v>
      </c>
      <c r="Q1076">
        <v>61</v>
      </c>
    </row>
    <row r="1077" spans="1:17" x14ac:dyDescent="0.25">
      <c r="A1077" s="1">
        <v>44378</v>
      </c>
      <c r="B1077" t="s">
        <v>161</v>
      </c>
      <c r="C1077" t="s">
        <v>87</v>
      </c>
      <c r="D1077" t="s">
        <v>72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 s="1">
        <v>44440</v>
      </c>
      <c r="Q1077">
        <v>-62</v>
      </c>
    </row>
    <row r="1078" spans="1:17" x14ac:dyDescent="0.25">
      <c r="A1078" s="1">
        <v>44378</v>
      </c>
      <c r="B1078" t="s">
        <v>162</v>
      </c>
      <c r="C1078" t="s">
        <v>89</v>
      </c>
      <c r="D1078" t="s">
        <v>88</v>
      </c>
      <c r="E1078">
        <v>299</v>
      </c>
      <c r="F1078">
        <v>89</v>
      </c>
      <c r="G1078">
        <v>149</v>
      </c>
      <c r="H1078">
        <v>891</v>
      </c>
      <c r="I1078">
        <v>271</v>
      </c>
      <c r="J1078">
        <v>128</v>
      </c>
      <c r="K1078">
        <v>433</v>
      </c>
      <c r="L1078">
        <v>84</v>
      </c>
      <c r="M1078">
        <v>367</v>
      </c>
      <c r="N1078">
        <v>395</v>
      </c>
      <c r="O1078">
        <v>597</v>
      </c>
      <c r="P1078" s="1">
        <v>44044</v>
      </c>
      <c r="Q1078">
        <v>334</v>
      </c>
    </row>
    <row r="1079" spans="1:17" x14ac:dyDescent="0.25">
      <c r="A1079" s="1">
        <v>44378</v>
      </c>
      <c r="B1079" t="s">
        <v>163</v>
      </c>
      <c r="C1079" t="s">
        <v>90</v>
      </c>
      <c r="D1079" t="s">
        <v>82</v>
      </c>
      <c r="E1079">
        <v>326</v>
      </c>
      <c r="F1079">
        <v>660</v>
      </c>
      <c r="G1079">
        <v>493</v>
      </c>
      <c r="H1079">
        <v>-274</v>
      </c>
      <c r="I1079">
        <v>1006</v>
      </c>
      <c r="J1079">
        <v>450</v>
      </c>
      <c r="K1079">
        <v>194</v>
      </c>
      <c r="L1079">
        <v>746</v>
      </c>
      <c r="M1079">
        <v>1470</v>
      </c>
      <c r="N1079">
        <v>2254</v>
      </c>
      <c r="O1079">
        <v>508</v>
      </c>
      <c r="P1079" s="1">
        <v>44228</v>
      </c>
      <c r="Q1079">
        <v>150</v>
      </c>
    </row>
    <row r="1080" spans="1:17" x14ac:dyDescent="0.25">
      <c r="A1080" s="1">
        <v>44378</v>
      </c>
      <c r="B1080" t="s">
        <v>164</v>
      </c>
      <c r="C1080" t="s">
        <v>92</v>
      </c>
      <c r="D1080" t="s">
        <v>91</v>
      </c>
      <c r="E1080">
        <v>761</v>
      </c>
      <c r="F1080">
        <v>275</v>
      </c>
      <c r="G1080">
        <v>304</v>
      </c>
      <c r="H1080">
        <v>309</v>
      </c>
      <c r="I1080">
        <v>122</v>
      </c>
      <c r="J1080">
        <v>224</v>
      </c>
      <c r="K1080">
        <v>205</v>
      </c>
      <c r="L1080">
        <v>74</v>
      </c>
      <c r="M1080">
        <v>254</v>
      </c>
      <c r="N1080">
        <v>210</v>
      </c>
      <c r="O1080">
        <v>190</v>
      </c>
      <c r="P1080" s="1">
        <v>44105</v>
      </c>
      <c r="Q1080">
        <v>273</v>
      </c>
    </row>
    <row r="1081" spans="1:17" x14ac:dyDescent="0.25">
      <c r="A1081" s="1">
        <v>44378</v>
      </c>
      <c r="B1081" t="s">
        <v>165</v>
      </c>
      <c r="C1081" t="s">
        <v>94</v>
      </c>
      <c r="D1081" t="s">
        <v>93</v>
      </c>
      <c r="E1081">
        <v>456</v>
      </c>
      <c r="F1081">
        <v>36</v>
      </c>
      <c r="G1081">
        <v>114</v>
      </c>
      <c r="H1081">
        <v>380</v>
      </c>
      <c r="I1081">
        <v>451</v>
      </c>
      <c r="J1081">
        <v>90</v>
      </c>
      <c r="K1081">
        <v>102</v>
      </c>
      <c r="L1081">
        <v>310</v>
      </c>
      <c r="M1081">
        <v>84</v>
      </c>
      <c r="N1081">
        <v>289</v>
      </c>
      <c r="O1081">
        <v>160</v>
      </c>
      <c r="P1081" s="1">
        <v>43586</v>
      </c>
      <c r="Q1081">
        <v>792</v>
      </c>
    </row>
    <row r="1082" spans="1:17" x14ac:dyDescent="0.25">
      <c r="A1082" s="1">
        <v>44378</v>
      </c>
      <c r="B1082" t="s">
        <v>166</v>
      </c>
      <c r="C1082" t="s">
        <v>96</v>
      </c>
      <c r="D1082" t="s">
        <v>95</v>
      </c>
      <c r="E1082">
        <v>164</v>
      </c>
      <c r="F1082">
        <v>83</v>
      </c>
      <c r="G1082">
        <v>33</v>
      </c>
      <c r="H1082">
        <v>568</v>
      </c>
      <c r="I1082">
        <v>96</v>
      </c>
      <c r="J1082">
        <v>164</v>
      </c>
      <c r="K1082">
        <v>82</v>
      </c>
      <c r="L1082">
        <v>53</v>
      </c>
      <c r="M1082">
        <v>499</v>
      </c>
      <c r="N1082">
        <v>70</v>
      </c>
      <c r="O1082">
        <v>-134</v>
      </c>
      <c r="P1082" s="1">
        <v>43678</v>
      </c>
      <c r="Q1082">
        <v>700</v>
      </c>
    </row>
    <row r="1083" spans="1:17" x14ac:dyDescent="0.25">
      <c r="A1083" s="1">
        <v>44378</v>
      </c>
      <c r="B1083" t="s">
        <v>167</v>
      </c>
      <c r="C1083" t="s">
        <v>97</v>
      </c>
      <c r="D1083" t="s">
        <v>58</v>
      </c>
      <c r="E1083">
        <v>832</v>
      </c>
      <c r="F1083">
        <v>969</v>
      </c>
      <c r="G1083">
        <v>999</v>
      </c>
      <c r="H1083">
        <v>1515</v>
      </c>
      <c r="I1083">
        <v>2466</v>
      </c>
      <c r="J1083">
        <v>829</v>
      </c>
      <c r="K1083">
        <v>3337</v>
      </c>
      <c r="L1083">
        <v>1348</v>
      </c>
      <c r="M1083">
        <v>413</v>
      </c>
      <c r="N1083">
        <v>3095</v>
      </c>
      <c r="O1083">
        <v>1011</v>
      </c>
      <c r="P1083" s="1">
        <v>44287</v>
      </c>
      <c r="Q1083">
        <v>91</v>
      </c>
    </row>
    <row r="1084" spans="1:17" x14ac:dyDescent="0.25">
      <c r="A1084" s="1">
        <v>44378</v>
      </c>
      <c r="B1084" t="s">
        <v>168</v>
      </c>
      <c r="C1084" t="s">
        <v>98</v>
      </c>
      <c r="D1084" t="s">
        <v>49</v>
      </c>
      <c r="E1084">
        <v>309</v>
      </c>
      <c r="F1084">
        <v>125</v>
      </c>
      <c r="G1084">
        <v>104</v>
      </c>
      <c r="H1084">
        <v>113</v>
      </c>
      <c r="I1084">
        <v>40</v>
      </c>
      <c r="J1084">
        <v>70</v>
      </c>
      <c r="K1084">
        <v>63</v>
      </c>
      <c r="L1084">
        <v>271</v>
      </c>
      <c r="M1084">
        <v>63</v>
      </c>
      <c r="N1084">
        <v>453</v>
      </c>
      <c r="O1084">
        <v>31</v>
      </c>
      <c r="P1084" s="1">
        <v>43709</v>
      </c>
      <c r="Q1084">
        <v>669</v>
      </c>
    </row>
    <row r="1085" spans="1:17" x14ac:dyDescent="0.25">
      <c r="A1085" s="1">
        <v>44409</v>
      </c>
      <c r="B1085" t="s">
        <v>169</v>
      </c>
      <c r="C1085" t="s">
        <v>99</v>
      </c>
      <c r="D1085" t="s">
        <v>95</v>
      </c>
      <c r="E1085">
        <v>129</v>
      </c>
      <c r="F1085">
        <v>250</v>
      </c>
      <c r="G1085">
        <v>109</v>
      </c>
      <c r="H1085">
        <v>1</v>
      </c>
      <c r="I1085">
        <v>381</v>
      </c>
      <c r="J1085">
        <v>154</v>
      </c>
      <c r="K1085">
        <v>192</v>
      </c>
      <c r="L1085">
        <v>126</v>
      </c>
      <c r="M1085">
        <v>206</v>
      </c>
      <c r="N1085">
        <v>138</v>
      </c>
      <c r="O1085">
        <v>357</v>
      </c>
      <c r="P1085" s="1">
        <v>43678</v>
      </c>
      <c r="Q1085">
        <v>731</v>
      </c>
    </row>
    <row r="1086" spans="1:17" x14ac:dyDescent="0.25">
      <c r="A1086" s="1">
        <v>44409</v>
      </c>
      <c r="B1086" t="s">
        <v>170</v>
      </c>
      <c r="C1086" t="s">
        <v>100</v>
      </c>
      <c r="D1086" t="s">
        <v>82</v>
      </c>
      <c r="E1086">
        <v>510</v>
      </c>
      <c r="F1086">
        <v>393</v>
      </c>
      <c r="G1086">
        <v>282</v>
      </c>
      <c r="H1086">
        <v>1552</v>
      </c>
      <c r="I1086">
        <v>1528</v>
      </c>
      <c r="J1086">
        <v>202</v>
      </c>
      <c r="K1086">
        <v>1089</v>
      </c>
      <c r="L1086">
        <v>1651</v>
      </c>
      <c r="M1086">
        <v>353</v>
      </c>
      <c r="N1086">
        <v>221</v>
      </c>
      <c r="O1086">
        <v>147</v>
      </c>
      <c r="P1086" s="1">
        <v>44228</v>
      </c>
      <c r="Q1086">
        <v>181</v>
      </c>
    </row>
    <row r="1087" spans="1:17" x14ac:dyDescent="0.25">
      <c r="A1087" s="1">
        <v>44409</v>
      </c>
      <c r="B1087" t="s">
        <v>171</v>
      </c>
      <c r="C1087" t="s">
        <v>101</v>
      </c>
      <c r="D1087" t="s">
        <v>68</v>
      </c>
      <c r="E1087">
        <v>2948</v>
      </c>
      <c r="F1087">
        <v>2336</v>
      </c>
      <c r="G1087">
        <v>788</v>
      </c>
      <c r="H1087">
        <v>1910</v>
      </c>
      <c r="I1087">
        <v>3327</v>
      </c>
      <c r="J1087">
        <v>2215</v>
      </c>
      <c r="K1087">
        <v>-485</v>
      </c>
      <c r="L1087">
        <v>2262</v>
      </c>
      <c r="M1087">
        <v>3138</v>
      </c>
      <c r="N1087">
        <v>1606</v>
      </c>
      <c r="O1087">
        <v>361</v>
      </c>
      <c r="P1087" s="1">
        <v>44317</v>
      </c>
      <c r="Q1087">
        <v>92</v>
      </c>
    </row>
    <row r="1088" spans="1:17" x14ac:dyDescent="0.25">
      <c r="A1088" s="1">
        <v>44409</v>
      </c>
      <c r="B1088" t="s">
        <v>172</v>
      </c>
      <c r="C1088" t="s">
        <v>102</v>
      </c>
      <c r="D1088" t="s">
        <v>88</v>
      </c>
      <c r="E1088">
        <v>8</v>
      </c>
      <c r="F1088">
        <v>48</v>
      </c>
      <c r="G1088">
        <v>187</v>
      </c>
      <c r="H1088">
        <v>495</v>
      </c>
      <c r="I1088">
        <v>83</v>
      </c>
      <c r="J1088">
        <v>122</v>
      </c>
      <c r="K1088">
        <v>273</v>
      </c>
      <c r="L1088">
        <v>102</v>
      </c>
      <c r="M1088">
        <v>-210</v>
      </c>
      <c r="N1088">
        <v>145</v>
      </c>
      <c r="O1088">
        <v>417</v>
      </c>
      <c r="P1088" s="1">
        <v>44044</v>
      </c>
      <c r="Q1088">
        <v>365</v>
      </c>
    </row>
    <row r="1089" spans="1:17" x14ac:dyDescent="0.25">
      <c r="A1089" s="1">
        <v>44409</v>
      </c>
      <c r="B1089" t="s">
        <v>173</v>
      </c>
      <c r="C1089" t="s">
        <v>103</v>
      </c>
      <c r="D1089" t="s">
        <v>52</v>
      </c>
      <c r="E1089">
        <v>140</v>
      </c>
      <c r="F1089">
        <v>123</v>
      </c>
      <c r="G1089">
        <v>110</v>
      </c>
      <c r="H1089">
        <v>400</v>
      </c>
      <c r="I1089">
        <v>191</v>
      </c>
      <c r="J1089">
        <v>33</v>
      </c>
      <c r="K1089">
        <v>187</v>
      </c>
      <c r="L1089">
        <v>9</v>
      </c>
      <c r="M1089">
        <v>104</v>
      </c>
      <c r="N1089">
        <v>417</v>
      </c>
      <c r="O1089">
        <v>89</v>
      </c>
      <c r="P1089" s="1">
        <v>43862</v>
      </c>
      <c r="Q1089">
        <v>547</v>
      </c>
    </row>
    <row r="1090" spans="1:17" x14ac:dyDescent="0.25">
      <c r="A1090" s="1">
        <v>44409</v>
      </c>
      <c r="B1090" t="s">
        <v>174</v>
      </c>
      <c r="C1090" t="s">
        <v>105</v>
      </c>
      <c r="D1090" t="s">
        <v>104</v>
      </c>
      <c r="E1090">
        <v>92</v>
      </c>
      <c r="F1090">
        <v>48</v>
      </c>
      <c r="G1090">
        <v>56</v>
      </c>
      <c r="H1090">
        <v>291</v>
      </c>
      <c r="I1090">
        <v>335</v>
      </c>
      <c r="J1090">
        <v>39</v>
      </c>
      <c r="K1090">
        <v>68</v>
      </c>
      <c r="L1090">
        <v>65</v>
      </c>
      <c r="M1090">
        <v>129</v>
      </c>
      <c r="N1090">
        <v>244</v>
      </c>
      <c r="O1090">
        <v>311</v>
      </c>
      <c r="P1090" s="1">
        <v>43374</v>
      </c>
      <c r="Q1090">
        <v>1035</v>
      </c>
    </row>
    <row r="1091" spans="1:17" x14ac:dyDescent="0.25">
      <c r="A1091" s="1">
        <v>44409</v>
      </c>
      <c r="B1091" t="s">
        <v>142</v>
      </c>
      <c r="C1091" t="s">
        <v>50</v>
      </c>
      <c r="D1091" t="s">
        <v>49</v>
      </c>
      <c r="E1091">
        <v>342</v>
      </c>
      <c r="F1091">
        <v>386</v>
      </c>
      <c r="G1091">
        <v>57</v>
      </c>
      <c r="H1091">
        <v>283</v>
      </c>
      <c r="I1091">
        <v>291</v>
      </c>
      <c r="J1091">
        <v>331</v>
      </c>
      <c r="K1091">
        <v>25</v>
      </c>
      <c r="L1091">
        <v>339</v>
      </c>
      <c r="M1091">
        <v>319</v>
      </c>
      <c r="N1091">
        <v>173</v>
      </c>
      <c r="O1091">
        <v>304</v>
      </c>
      <c r="P1091" s="1">
        <v>43709</v>
      </c>
      <c r="Q1091">
        <v>700</v>
      </c>
    </row>
    <row r="1092" spans="1:17" x14ac:dyDescent="0.25">
      <c r="A1092" s="1">
        <v>44409</v>
      </c>
      <c r="B1092" t="s">
        <v>143</v>
      </c>
      <c r="C1092" t="s">
        <v>53</v>
      </c>
      <c r="D1092" t="s">
        <v>52</v>
      </c>
      <c r="E1092">
        <v>464</v>
      </c>
      <c r="F1092">
        <v>463</v>
      </c>
      <c r="G1092">
        <v>48</v>
      </c>
      <c r="H1092">
        <v>367</v>
      </c>
      <c r="I1092">
        <v>308</v>
      </c>
      <c r="J1092">
        <v>498</v>
      </c>
      <c r="K1092">
        <v>159</v>
      </c>
      <c r="L1092">
        <v>602</v>
      </c>
      <c r="M1092">
        <v>645</v>
      </c>
      <c r="N1092">
        <v>666</v>
      </c>
      <c r="O1092">
        <v>838</v>
      </c>
      <c r="P1092" s="1">
        <v>43862</v>
      </c>
      <c r="Q1092">
        <v>547</v>
      </c>
    </row>
    <row r="1093" spans="1:17" x14ac:dyDescent="0.25">
      <c r="A1093" s="1">
        <v>44409</v>
      </c>
      <c r="B1093" t="s">
        <v>144</v>
      </c>
      <c r="C1093" t="s">
        <v>56</v>
      </c>
      <c r="D1093" t="s">
        <v>55</v>
      </c>
      <c r="E1093">
        <v>94</v>
      </c>
      <c r="F1093">
        <v>405</v>
      </c>
      <c r="G1093">
        <v>509</v>
      </c>
      <c r="H1093">
        <v>674</v>
      </c>
      <c r="I1093">
        <v>2232</v>
      </c>
      <c r="J1093">
        <v>1959</v>
      </c>
      <c r="K1093">
        <v>2650</v>
      </c>
      <c r="L1093">
        <v>180</v>
      </c>
      <c r="M1093">
        <v>837</v>
      </c>
      <c r="N1093">
        <v>1156</v>
      </c>
      <c r="O1093">
        <v>912</v>
      </c>
      <c r="P1093" s="1">
        <v>44256</v>
      </c>
      <c r="Q1093">
        <v>153</v>
      </c>
    </row>
    <row r="1094" spans="1:17" x14ac:dyDescent="0.25">
      <c r="A1094" s="1">
        <v>44409</v>
      </c>
      <c r="B1094" t="s">
        <v>145</v>
      </c>
      <c r="C1094" t="s">
        <v>59</v>
      </c>
      <c r="D1094" t="s">
        <v>58</v>
      </c>
      <c r="E1094">
        <v>777</v>
      </c>
      <c r="F1094">
        <v>871</v>
      </c>
      <c r="G1094">
        <v>247</v>
      </c>
      <c r="H1094">
        <v>1416</v>
      </c>
      <c r="I1094">
        <v>1486</v>
      </c>
      <c r="J1094">
        <v>490</v>
      </c>
      <c r="K1094">
        <v>622</v>
      </c>
      <c r="L1094">
        <v>1360</v>
      </c>
      <c r="M1094">
        <v>762</v>
      </c>
      <c r="N1094">
        <v>2844</v>
      </c>
      <c r="O1094">
        <v>833</v>
      </c>
      <c r="P1094" s="1">
        <v>44287</v>
      </c>
      <c r="Q1094">
        <v>122</v>
      </c>
    </row>
    <row r="1095" spans="1:17" x14ac:dyDescent="0.25">
      <c r="A1095" s="1">
        <v>44409</v>
      </c>
      <c r="B1095" t="s">
        <v>146</v>
      </c>
      <c r="C1095" t="s">
        <v>62</v>
      </c>
      <c r="D1095" t="s">
        <v>61</v>
      </c>
      <c r="E1095">
        <v>1058</v>
      </c>
      <c r="F1095">
        <v>1043</v>
      </c>
      <c r="G1095">
        <v>221</v>
      </c>
      <c r="H1095">
        <v>126</v>
      </c>
      <c r="I1095">
        <v>325</v>
      </c>
      <c r="J1095">
        <v>268</v>
      </c>
      <c r="K1095">
        <v>45</v>
      </c>
      <c r="L1095">
        <v>308</v>
      </c>
      <c r="M1095">
        <v>198</v>
      </c>
      <c r="N1095">
        <v>264</v>
      </c>
      <c r="O1095">
        <v>136</v>
      </c>
      <c r="P1095" s="1">
        <v>44075</v>
      </c>
      <c r="Q1095">
        <v>334</v>
      </c>
    </row>
    <row r="1096" spans="1:17" x14ac:dyDescent="0.25">
      <c r="A1096" s="1">
        <v>44409</v>
      </c>
      <c r="B1096" t="s">
        <v>147</v>
      </c>
      <c r="C1096" t="s">
        <v>64</v>
      </c>
      <c r="D1096" t="s">
        <v>52</v>
      </c>
      <c r="E1096">
        <v>190</v>
      </c>
      <c r="F1096">
        <v>286</v>
      </c>
      <c r="G1096">
        <v>-14</v>
      </c>
      <c r="H1096">
        <v>120</v>
      </c>
      <c r="I1096">
        <v>98</v>
      </c>
      <c r="J1096">
        <v>60</v>
      </c>
      <c r="K1096">
        <v>97</v>
      </c>
      <c r="L1096">
        <v>111</v>
      </c>
      <c r="M1096">
        <v>86</v>
      </c>
      <c r="N1096">
        <v>111</v>
      </c>
      <c r="O1096">
        <v>119</v>
      </c>
      <c r="P1096" s="1">
        <v>43862</v>
      </c>
      <c r="Q1096">
        <v>547</v>
      </c>
    </row>
    <row r="1097" spans="1:17" x14ac:dyDescent="0.25">
      <c r="A1097" s="1">
        <v>44409</v>
      </c>
      <c r="B1097" t="s">
        <v>148</v>
      </c>
      <c r="C1097" t="s">
        <v>66</v>
      </c>
      <c r="D1097" t="s">
        <v>55</v>
      </c>
      <c r="E1097">
        <v>1705</v>
      </c>
      <c r="F1097">
        <v>2373</v>
      </c>
      <c r="G1097">
        <v>459</v>
      </c>
      <c r="H1097">
        <v>2297</v>
      </c>
      <c r="I1097">
        <v>78</v>
      </c>
      <c r="J1097">
        <v>343</v>
      </c>
      <c r="K1097">
        <v>2636</v>
      </c>
      <c r="L1097">
        <v>479</v>
      </c>
      <c r="M1097">
        <v>479</v>
      </c>
      <c r="N1097">
        <v>1664</v>
      </c>
      <c r="O1097">
        <v>676</v>
      </c>
      <c r="P1097" s="1">
        <v>44256</v>
      </c>
      <c r="Q1097">
        <v>153</v>
      </c>
    </row>
    <row r="1098" spans="1:17" x14ac:dyDescent="0.25">
      <c r="A1098" s="1">
        <v>44409</v>
      </c>
      <c r="B1098" t="s">
        <v>149</v>
      </c>
      <c r="C1098" t="s">
        <v>67</v>
      </c>
      <c r="D1098" t="s">
        <v>55</v>
      </c>
      <c r="E1098">
        <v>1653</v>
      </c>
      <c r="F1098">
        <v>1167</v>
      </c>
      <c r="G1098">
        <v>480</v>
      </c>
      <c r="H1098">
        <v>1272</v>
      </c>
      <c r="I1098">
        <v>1928</v>
      </c>
      <c r="J1098">
        <v>785</v>
      </c>
      <c r="K1098">
        <v>1844</v>
      </c>
      <c r="L1098">
        <v>1289</v>
      </c>
      <c r="M1098">
        <v>1883</v>
      </c>
      <c r="N1098">
        <v>1293</v>
      </c>
      <c r="O1098">
        <v>478</v>
      </c>
      <c r="P1098" s="1">
        <v>44256</v>
      </c>
      <c r="Q1098">
        <v>153</v>
      </c>
    </row>
    <row r="1099" spans="1:17" x14ac:dyDescent="0.25">
      <c r="A1099" s="1">
        <v>44409</v>
      </c>
      <c r="B1099" t="s">
        <v>150</v>
      </c>
      <c r="C1099" t="s">
        <v>69</v>
      </c>
      <c r="D1099" t="s">
        <v>68</v>
      </c>
      <c r="E1099">
        <v>1582</v>
      </c>
      <c r="F1099">
        <v>455</v>
      </c>
      <c r="G1099">
        <v>1084</v>
      </c>
      <c r="H1099">
        <v>2611</v>
      </c>
      <c r="I1099">
        <v>998</v>
      </c>
      <c r="J1099">
        <v>391</v>
      </c>
      <c r="K1099">
        <v>695</v>
      </c>
      <c r="L1099">
        <v>1173</v>
      </c>
      <c r="M1099">
        <v>898</v>
      </c>
      <c r="N1099">
        <v>317</v>
      </c>
      <c r="O1099">
        <v>3366</v>
      </c>
      <c r="P1099" s="1">
        <v>44317</v>
      </c>
      <c r="Q1099">
        <v>92</v>
      </c>
    </row>
    <row r="1100" spans="1:17" x14ac:dyDescent="0.25">
      <c r="A1100" s="1">
        <v>44409</v>
      </c>
      <c r="B1100" t="s">
        <v>151</v>
      </c>
      <c r="C1100" t="s">
        <v>71</v>
      </c>
      <c r="D1100" t="s">
        <v>70</v>
      </c>
      <c r="E1100">
        <v>381</v>
      </c>
      <c r="F1100">
        <v>271</v>
      </c>
      <c r="G1100">
        <v>208</v>
      </c>
      <c r="H1100">
        <v>225</v>
      </c>
      <c r="I1100">
        <v>251</v>
      </c>
      <c r="J1100">
        <v>-38</v>
      </c>
      <c r="K1100">
        <v>235</v>
      </c>
      <c r="L1100">
        <v>-34</v>
      </c>
      <c r="M1100">
        <v>214</v>
      </c>
      <c r="N1100">
        <v>98</v>
      </c>
      <c r="O1100">
        <v>211</v>
      </c>
      <c r="P1100" s="1">
        <v>44136</v>
      </c>
      <c r="Q1100">
        <v>273</v>
      </c>
    </row>
    <row r="1101" spans="1:17" x14ac:dyDescent="0.25">
      <c r="A1101" s="1">
        <v>44409</v>
      </c>
      <c r="B1101" t="s">
        <v>152</v>
      </c>
      <c r="C1101" t="s">
        <v>11</v>
      </c>
      <c r="D1101" t="s">
        <v>52</v>
      </c>
      <c r="E1101">
        <v>126</v>
      </c>
      <c r="F1101">
        <v>119</v>
      </c>
      <c r="G1101">
        <v>95</v>
      </c>
      <c r="H1101">
        <v>357</v>
      </c>
      <c r="I1101">
        <v>87</v>
      </c>
      <c r="J1101">
        <v>60</v>
      </c>
      <c r="K1101">
        <v>193</v>
      </c>
      <c r="L1101">
        <v>173</v>
      </c>
      <c r="M1101">
        <v>52</v>
      </c>
      <c r="N1101">
        <v>188</v>
      </c>
      <c r="O1101">
        <v>138</v>
      </c>
      <c r="P1101" s="1">
        <v>43862</v>
      </c>
      <c r="Q1101">
        <v>547</v>
      </c>
    </row>
    <row r="1102" spans="1:17" x14ac:dyDescent="0.25">
      <c r="A1102" s="1">
        <v>44409</v>
      </c>
      <c r="B1102" t="s">
        <v>153</v>
      </c>
      <c r="C1102" t="s">
        <v>73</v>
      </c>
      <c r="D1102" t="s">
        <v>72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 s="1">
        <v>44440</v>
      </c>
      <c r="Q1102">
        <v>-31</v>
      </c>
    </row>
    <row r="1103" spans="1:17" x14ac:dyDescent="0.25">
      <c r="A1103" s="1">
        <v>44409</v>
      </c>
      <c r="B1103" t="s">
        <v>154</v>
      </c>
      <c r="C1103" t="s">
        <v>17</v>
      </c>
      <c r="D1103" t="s">
        <v>74</v>
      </c>
      <c r="E1103">
        <v>308</v>
      </c>
      <c r="F1103">
        <v>1653</v>
      </c>
      <c r="G1103">
        <v>535</v>
      </c>
      <c r="H1103">
        <v>442</v>
      </c>
      <c r="I1103">
        <v>1375</v>
      </c>
      <c r="J1103">
        <v>1266</v>
      </c>
      <c r="K1103">
        <v>289</v>
      </c>
      <c r="L1103">
        <v>82</v>
      </c>
      <c r="M1103">
        <v>1277</v>
      </c>
      <c r="N1103">
        <v>1437</v>
      </c>
      <c r="O1103">
        <v>1321</v>
      </c>
      <c r="P1103" s="1">
        <v>44197</v>
      </c>
      <c r="Q1103">
        <v>212</v>
      </c>
    </row>
    <row r="1104" spans="1:17" x14ac:dyDescent="0.25">
      <c r="A1104" s="1">
        <v>44409</v>
      </c>
      <c r="B1104" t="s">
        <v>155</v>
      </c>
      <c r="C1104" t="s">
        <v>76</v>
      </c>
      <c r="D1104" t="s">
        <v>75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 s="1">
        <v>44470</v>
      </c>
      <c r="Q1104">
        <v>-61</v>
      </c>
    </row>
    <row r="1105" spans="1:17" x14ac:dyDescent="0.25">
      <c r="A1105" s="1">
        <v>44409</v>
      </c>
      <c r="B1105" t="s">
        <v>156</v>
      </c>
      <c r="C1105" t="s">
        <v>79</v>
      </c>
      <c r="D1105" t="s">
        <v>78</v>
      </c>
      <c r="E1105">
        <v>383</v>
      </c>
      <c r="F1105">
        <v>426</v>
      </c>
      <c r="G1105">
        <v>-10</v>
      </c>
      <c r="H1105">
        <v>5746</v>
      </c>
      <c r="I1105">
        <v>934</v>
      </c>
      <c r="J1105">
        <v>367</v>
      </c>
      <c r="K1105">
        <v>151</v>
      </c>
      <c r="L1105">
        <v>865</v>
      </c>
      <c r="M1105">
        <v>-41</v>
      </c>
      <c r="N1105">
        <v>3561</v>
      </c>
      <c r="O1105">
        <v>422</v>
      </c>
      <c r="P1105" s="1">
        <v>44348</v>
      </c>
      <c r="Q1105">
        <v>61</v>
      </c>
    </row>
    <row r="1106" spans="1:17" x14ac:dyDescent="0.25">
      <c r="A1106" s="1">
        <v>44409</v>
      </c>
      <c r="B1106" t="s">
        <v>157</v>
      </c>
      <c r="C1106" t="s">
        <v>81</v>
      </c>
      <c r="D1106" t="s">
        <v>72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 s="1">
        <v>44440</v>
      </c>
      <c r="Q1106">
        <v>-31</v>
      </c>
    </row>
    <row r="1107" spans="1:17" x14ac:dyDescent="0.25">
      <c r="A1107" s="1">
        <v>44409</v>
      </c>
      <c r="B1107" t="s">
        <v>158</v>
      </c>
      <c r="C1107" t="s">
        <v>83</v>
      </c>
      <c r="D1107" t="s">
        <v>82</v>
      </c>
      <c r="E1107">
        <v>976</v>
      </c>
      <c r="F1107">
        <v>664</v>
      </c>
      <c r="G1107">
        <v>484</v>
      </c>
      <c r="H1107">
        <v>1532</v>
      </c>
      <c r="I1107">
        <v>847</v>
      </c>
      <c r="J1107">
        <v>1490</v>
      </c>
      <c r="K1107">
        <v>1237</v>
      </c>
      <c r="L1107">
        <v>1770</v>
      </c>
      <c r="M1107">
        <v>1092</v>
      </c>
      <c r="N1107">
        <v>898</v>
      </c>
      <c r="O1107">
        <v>1626</v>
      </c>
      <c r="P1107" s="1">
        <v>44228</v>
      </c>
      <c r="Q1107">
        <v>181</v>
      </c>
    </row>
    <row r="1108" spans="1:17" x14ac:dyDescent="0.25">
      <c r="A1108" s="1">
        <v>44409</v>
      </c>
      <c r="B1108" t="s">
        <v>159</v>
      </c>
      <c r="C1108" t="s">
        <v>84</v>
      </c>
      <c r="D1108" t="s">
        <v>55</v>
      </c>
      <c r="E1108">
        <v>87</v>
      </c>
      <c r="F1108">
        <v>-33</v>
      </c>
      <c r="G1108">
        <v>103</v>
      </c>
      <c r="H1108">
        <v>2244</v>
      </c>
      <c r="I1108">
        <v>1380</v>
      </c>
      <c r="J1108">
        <v>494</v>
      </c>
      <c r="K1108">
        <v>1384</v>
      </c>
      <c r="L1108">
        <v>700</v>
      </c>
      <c r="M1108">
        <v>339</v>
      </c>
      <c r="N1108">
        <v>2197</v>
      </c>
      <c r="O1108">
        <v>398</v>
      </c>
      <c r="P1108" s="1">
        <v>44256</v>
      </c>
      <c r="Q1108">
        <v>153</v>
      </c>
    </row>
    <row r="1109" spans="1:17" x14ac:dyDescent="0.25">
      <c r="A1109" s="1">
        <v>44409</v>
      </c>
      <c r="B1109" t="s">
        <v>160</v>
      </c>
      <c r="C1109" t="s">
        <v>86</v>
      </c>
      <c r="D1109" t="s">
        <v>68</v>
      </c>
      <c r="E1109">
        <v>945</v>
      </c>
      <c r="F1109">
        <v>697</v>
      </c>
      <c r="G1109">
        <v>-142</v>
      </c>
      <c r="H1109">
        <v>633</v>
      </c>
      <c r="I1109">
        <v>4612</v>
      </c>
      <c r="J1109">
        <v>461</v>
      </c>
      <c r="K1109">
        <v>3498</v>
      </c>
      <c r="L1109">
        <v>593</v>
      </c>
      <c r="M1109">
        <v>2475</v>
      </c>
      <c r="N1109">
        <v>15</v>
      </c>
      <c r="O1109">
        <v>2017</v>
      </c>
      <c r="P1109" s="1">
        <v>44317</v>
      </c>
      <c r="Q1109">
        <v>92</v>
      </c>
    </row>
    <row r="1110" spans="1:17" x14ac:dyDescent="0.25">
      <c r="A1110" s="1">
        <v>44409</v>
      </c>
      <c r="B1110" t="s">
        <v>161</v>
      </c>
      <c r="C1110" t="s">
        <v>87</v>
      </c>
      <c r="D1110" t="s">
        <v>72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 s="1">
        <v>44440</v>
      </c>
      <c r="Q1110">
        <v>-31</v>
      </c>
    </row>
    <row r="1111" spans="1:17" x14ac:dyDescent="0.25">
      <c r="A1111" s="1">
        <v>44409</v>
      </c>
      <c r="B1111" t="s">
        <v>162</v>
      </c>
      <c r="C1111" t="s">
        <v>89</v>
      </c>
      <c r="D1111" t="s">
        <v>88</v>
      </c>
      <c r="E1111">
        <v>145</v>
      </c>
      <c r="F1111">
        <v>269</v>
      </c>
      <c r="G1111">
        <v>123</v>
      </c>
      <c r="H1111">
        <v>954</v>
      </c>
      <c r="I1111">
        <v>164</v>
      </c>
      <c r="J1111">
        <v>181</v>
      </c>
      <c r="K1111">
        <v>116</v>
      </c>
      <c r="L1111">
        <v>90</v>
      </c>
      <c r="M1111">
        <v>472</v>
      </c>
      <c r="N1111">
        <v>159</v>
      </c>
      <c r="O1111">
        <v>604</v>
      </c>
      <c r="P1111" s="1">
        <v>44044</v>
      </c>
      <c r="Q1111">
        <v>365</v>
      </c>
    </row>
    <row r="1112" spans="1:17" x14ac:dyDescent="0.25">
      <c r="A1112" s="1">
        <v>44409</v>
      </c>
      <c r="B1112" t="s">
        <v>163</v>
      </c>
      <c r="C1112" t="s">
        <v>90</v>
      </c>
      <c r="D1112" t="s">
        <v>82</v>
      </c>
      <c r="E1112">
        <v>782</v>
      </c>
      <c r="F1112">
        <v>263</v>
      </c>
      <c r="G1112">
        <v>273</v>
      </c>
      <c r="H1112">
        <v>74</v>
      </c>
      <c r="I1112">
        <v>1406</v>
      </c>
      <c r="J1112">
        <v>79</v>
      </c>
      <c r="K1112">
        <v>546</v>
      </c>
      <c r="L1112">
        <v>459</v>
      </c>
      <c r="M1112">
        <v>2112</v>
      </c>
      <c r="N1112">
        <v>640</v>
      </c>
      <c r="O1112">
        <v>519</v>
      </c>
      <c r="P1112" s="1">
        <v>44228</v>
      </c>
      <c r="Q1112">
        <v>181</v>
      </c>
    </row>
    <row r="1113" spans="1:17" x14ac:dyDescent="0.25">
      <c r="A1113" s="1">
        <v>44409</v>
      </c>
      <c r="B1113" t="s">
        <v>164</v>
      </c>
      <c r="C1113" t="s">
        <v>92</v>
      </c>
      <c r="D1113" t="s">
        <v>91</v>
      </c>
      <c r="E1113">
        <v>-165</v>
      </c>
      <c r="F1113">
        <v>257</v>
      </c>
      <c r="G1113">
        <v>279</v>
      </c>
      <c r="H1113">
        <v>169</v>
      </c>
      <c r="I1113">
        <v>332</v>
      </c>
      <c r="J1113">
        <v>136</v>
      </c>
      <c r="K1113">
        <v>107</v>
      </c>
      <c r="L1113">
        <v>-13</v>
      </c>
      <c r="M1113">
        <v>124</v>
      </c>
      <c r="N1113">
        <v>78</v>
      </c>
      <c r="O1113">
        <v>443</v>
      </c>
      <c r="P1113" s="1">
        <v>44105</v>
      </c>
      <c r="Q1113">
        <v>304</v>
      </c>
    </row>
    <row r="1114" spans="1:17" x14ac:dyDescent="0.25">
      <c r="A1114" s="1">
        <v>44409</v>
      </c>
      <c r="B1114" t="s">
        <v>165</v>
      </c>
      <c r="C1114" t="s">
        <v>94</v>
      </c>
      <c r="D1114" t="s">
        <v>93</v>
      </c>
      <c r="E1114">
        <v>239</v>
      </c>
      <c r="F1114">
        <v>96</v>
      </c>
      <c r="G1114">
        <v>87</v>
      </c>
      <c r="H1114">
        <v>349</v>
      </c>
      <c r="I1114">
        <v>288</v>
      </c>
      <c r="J1114">
        <v>133</v>
      </c>
      <c r="K1114">
        <v>138</v>
      </c>
      <c r="L1114">
        <v>244</v>
      </c>
      <c r="M1114">
        <v>111</v>
      </c>
      <c r="N1114">
        <v>354</v>
      </c>
      <c r="O1114">
        <v>137</v>
      </c>
      <c r="P1114" s="1">
        <v>43586</v>
      </c>
      <c r="Q1114">
        <v>823</v>
      </c>
    </row>
    <row r="1115" spans="1:17" x14ac:dyDescent="0.25">
      <c r="A1115" s="1">
        <v>44409</v>
      </c>
      <c r="B1115" t="s">
        <v>166</v>
      </c>
      <c r="C1115" t="s">
        <v>96</v>
      </c>
      <c r="D1115" t="s">
        <v>95</v>
      </c>
      <c r="E1115">
        <v>13</v>
      </c>
      <c r="F1115">
        <v>118</v>
      </c>
      <c r="G1115">
        <v>163</v>
      </c>
      <c r="H1115">
        <v>202</v>
      </c>
      <c r="I1115">
        <v>128</v>
      </c>
      <c r="J1115">
        <v>22</v>
      </c>
      <c r="K1115">
        <v>359</v>
      </c>
      <c r="L1115">
        <v>65</v>
      </c>
      <c r="M1115">
        <v>83</v>
      </c>
      <c r="N1115">
        <v>51</v>
      </c>
      <c r="O1115">
        <v>305</v>
      </c>
      <c r="P1115" s="1">
        <v>43678</v>
      </c>
      <c r="Q1115">
        <v>731</v>
      </c>
    </row>
    <row r="1116" spans="1:17" x14ac:dyDescent="0.25">
      <c r="A1116" s="1">
        <v>44409</v>
      </c>
      <c r="B1116" t="s">
        <v>167</v>
      </c>
      <c r="C1116" t="s">
        <v>97</v>
      </c>
      <c r="D1116" t="s">
        <v>58</v>
      </c>
      <c r="E1116">
        <v>676</v>
      </c>
      <c r="F1116">
        <v>426</v>
      </c>
      <c r="G1116">
        <v>636</v>
      </c>
      <c r="H1116">
        <v>1209</v>
      </c>
      <c r="I1116">
        <v>2649</v>
      </c>
      <c r="J1116">
        <v>604</v>
      </c>
      <c r="K1116">
        <v>1726</v>
      </c>
      <c r="L1116">
        <v>2709</v>
      </c>
      <c r="M1116">
        <v>673</v>
      </c>
      <c r="N1116">
        <v>2231</v>
      </c>
      <c r="O1116">
        <v>401</v>
      </c>
      <c r="P1116" s="1">
        <v>44287</v>
      </c>
      <c r="Q1116">
        <v>122</v>
      </c>
    </row>
    <row r="1117" spans="1:17" x14ac:dyDescent="0.25">
      <c r="A1117" s="1">
        <v>44409</v>
      </c>
      <c r="B1117" t="s">
        <v>168</v>
      </c>
      <c r="C1117" t="s">
        <v>98</v>
      </c>
      <c r="D1117" t="s">
        <v>49</v>
      </c>
      <c r="E1117">
        <v>349</v>
      </c>
      <c r="F1117">
        <v>-3</v>
      </c>
      <c r="G1117">
        <v>85</v>
      </c>
      <c r="H1117">
        <v>93</v>
      </c>
      <c r="I1117">
        <v>28</v>
      </c>
      <c r="J1117">
        <v>154</v>
      </c>
      <c r="K1117">
        <v>22</v>
      </c>
      <c r="L1117">
        <v>434</v>
      </c>
      <c r="M1117">
        <v>144</v>
      </c>
      <c r="N1117">
        <v>273</v>
      </c>
      <c r="O1117">
        <v>75</v>
      </c>
      <c r="P1117" s="1">
        <v>43709</v>
      </c>
      <c r="Q1117">
        <v>700</v>
      </c>
    </row>
    <row r="1118" spans="1:17" x14ac:dyDescent="0.25">
      <c r="A1118" s="1">
        <v>44409</v>
      </c>
      <c r="B1118" t="s">
        <v>169</v>
      </c>
      <c r="C1118" t="s">
        <v>99</v>
      </c>
      <c r="D1118" t="s">
        <v>95</v>
      </c>
      <c r="E1118">
        <v>95</v>
      </c>
      <c r="F1118">
        <v>281</v>
      </c>
      <c r="G1118">
        <v>110</v>
      </c>
      <c r="H1118">
        <v>209</v>
      </c>
      <c r="I1118">
        <v>76</v>
      </c>
      <c r="J1118">
        <v>160</v>
      </c>
      <c r="K1118">
        <v>224</v>
      </c>
      <c r="L1118">
        <v>98</v>
      </c>
      <c r="M1118">
        <v>194</v>
      </c>
      <c r="N1118">
        <v>39</v>
      </c>
      <c r="O1118">
        <v>496</v>
      </c>
      <c r="P1118" s="1">
        <v>43678</v>
      </c>
      <c r="Q1118">
        <v>731</v>
      </c>
    </row>
    <row r="1119" spans="1:17" x14ac:dyDescent="0.25">
      <c r="A1119" s="1">
        <v>44409</v>
      </c>
      <c r="B1119" t="s">
        <v>170</v>
      </c>
      <c r="C1119" t="s">
        <v>100</v>
      </c>
      <c r="D1119" t="s">
        <v>82</v>
      </c>
      <c r="E1119">
        <v>294</v>
      </c>
      <c r="F1119">
        <v>260</v>
      </c>
      <c r="G1119">
        <v>256</v>
      </c>
      <c r="H1119">
        <v>845</v>
      </c>
      <c r="I1119">
        <v>235</v>
      </c>
      <c r="J1119">
        <v>345</v>
      </c>
      <c r="K1119">
        <v>962</v>
      </c>
      <c r="L1119">
        <v>906</v>
      </c>
      <c r="M1119">
        <v>497</v>
      </c>
      <c r="N1119">
        <v>1585</v>
      </c>
      <c r="O1119">
        <v>362</v>
      </c>
      <c r="P1119" s="1">
        <v>44228</v>
      </c>
      <c r="Q1119">
        <v>181</v>
      </c>
    </row>
    <row r="1120" spans="1:17" x14ac:dyDescent="0.25">
      <c r="A1120" s="1">
        <v>44440</v>
      </c>
      <c r="B1120" t="s">
        <v>171</v>
      </c>
      <c r="C1120" t="s">
        <v>101</v>
      </c>
      <c r="D1120" t="s">
        <v>68</v>
      </c>
      <c r="E1120">
        <v>3044</v>
      </c>
      <c r="F1120">
        <v>2464</v>
      </c>
      <c r="G1120">
        <v>433</v>
      </c>
      <c r="H1120">
        <v>2267</v>
      </c>
      <c r="I1120">
        <v>1687</v>
      </c>
      <c r="J1120">
        <v>1632</v>
      </c>
      <c r="K1120">
        <v>1292</v>
      </c>
      <c r="L1120">
        <v>2170</v>
      </c>
      <c r="M1120">
        <v>1712</v>
      </c>
      <c r="N1120">
        <v>1719</v>
      </c>
      <c r="O1120">
        <v>920</v>
      </c>
      <c r="P1120" s="1">
        <v>44317</v>
      </c>
      <c r="Q1120">
        <v>123</v>
      </c>
    </row>
    <row r="1121" spans="1:17" x14ac:dyDescent="0.25">
      <c r="A1121" s="1">
        <v>44440</v>
      </c>
      <c r="B1121" t="s">
        <v>172</v>
      </c>
      <c r="C1121" t="s">
        <v>102</v>
      </c>
      <c r="D1121" t="s">
        <v>88</v>
      </c>
      <c r="E1121">
        <v>91</v>
      </c>
      <c r="F1121">
        <v>175</v>
      </c>
      <c r="G1121">
        <v>262</v>
      </c>
      <c r="H1121">
        <v>713</v>
      </c>
      <c r="I1121">
        <v>187</v>
      </c>
      <c r="J1121">
        <v>214</v>
      </c>
      <c r="K1121">
        <v>994</v>
      </c>
      <c r="L1121">
        <v>100</v>
      </c>
      <c r="M1121">
        <v>528</v>
      </c>
      <c r="N1121">
        <v>230</v>
      </c>
      <c r="O1121">
        <v>403</v>
      </c>
      <c r="P1121" s="1">
        <v>44044</v>
      </c>
      <c r="Q1121">
        <v>396</v>
      </c>
    </row>
    <row r="1122" spans="1:17" x14ac:dyDescent="0.25">
      <c r="A1122" s="1">
        <v>44440</v>
      </c>
      <c r="B1122" t="s">
        <v>173</v>
      </c>
      <c r="C1122" t="s">
        <v>103</v>
      </c>
      <c r="D1122" t="s">
        <v>52</v>
      </c>
      <c r="E1122">
        <v>136</v>
      </c>
      <c r="F1122">
        <v>41</v>
      </c>
      <c r="G1122">
        <v>-5</v>
      </c>
      <c r="H1122">
        <v>590</v>
      </c>
      <c r="I1122">
        <v>491</v>
      </c>
      <c r="J1122">
        <v>157</v>
      </c>
      <c r="K1122">
        <v>423</v>
      </c>
      <c r="L1122">
        <v>170</v>
      </c>
      <c r="M1122">
        <v>82</v>
      </c>
      <c r="N1122">
        <v>317</v>
      </c>
      <c r="O1122">
        <v>170</v>
      </c>
      <c r="P1122" s="1">
        <v>43862</v>
      </c>
      <c r="Q1122">
        <v>578</v>
      </c>
    </row>
    <row r="1123" spans="1:17" x14ac:dyDescent="0.25">
      <c r="A1123" s="1">
        <v>44440</v>
      </c>
      <c r="B1123" t="s">
        <v>174</v>
      </c>
      <c r="C1123" t="s">
        <v>105</v>
      </c>
      <c r="D1123" t="s">
        <v>104</v>
      </c>
      <c r="E1123">
        <v>38</v>
      </c>
      <c r="F1123">
        <v>89</v>
      </c>
      <c r="G1123">
        <v>26</v>
      </c>
      <c r="H1123">
        <v>188</v>
      </c>
      <c r="I1123">
        <v>357</v>
      </c>
      <c r="J1123">
        <v>122</v>
      </c>
      <c r="K1123">
        <v>73</v>
      </c>
      <c r="L1123">
        <v>102</v>
      </c>
      <c r="M1123">
        <v>120</v>
      </c>
      <c r="N1123">
        <v>6</v>
      </c>
      <c r="O1123">
        <v>176</v>
      </c>
      <c r="P1123" s="1">
        <v>43374</v>
      </c>
      <c r="Q1123">
        <v>1066</v>
      </c>
    </row>
    <row r="1124" spans="1:17" x14ac:dyDescent="0.25">
      <c r="A1124" s="1">
        <v>44440</v>
      </c>
      <c r="B1124" t="s">
        <v>142</v>
      </c>
      <c r="C1124" t="s">
        <v>50</v>
      </c>
      <c r="D1124" t="s">
        <v>49</v>
      </c>
      <c r="E1124">
        <v>180</v>
      </c>
      <c r="F1124">
        <v>752</v>
      </c>
      <c r="G1124">
        <v>61</v>
      </c>
      <c r="H1124">
        <v>392</v>
      </c>
      <c r="I1124">
        <v>403</v>
      </c>
      <c r="J1124">
        <v>512</v>
      </c>
      <c r="K1124">
        <v>83</v>
      </c>
      <c r="L1124">
        <v>351</v>
      </c>
      <c r="M1124">
        <v>456</v>
      </c>
      <c r="N1124">
        <v>321</v>
      </c>
      <c r="O1124">
        <v>314</v>
      </c>
      <c r="P1124" s="1">
        <v>43709</v>
      </c>
      <c r="Q1124">
        <v>731</v>
      </c>
    </row>
    <row r="1125" spans="1:17" x14ac:dyDescent="0.25">
      <c r="A1125" s="1">
        <v>44440</v>
      </c>
      <c r="B1125" t="s">
        <v>143</v>
      </c>
      <c r="C1125" t="s">
        <v>53</v>
      </c>
      <c r="D1125" t="s">
        <v>52</v>
      </c>
      <c r="E1125">
        <v>569</v>
      </c>
      <c r="F1125">
        <v>76</v>
      </c>
      <c r="G1125">
        <v>73</v>
      </c>
      <c r="H1125">
        <v>758</v>
      </c>
      <c r="I1125">
        <v>703</v>
      </c>
      <c r="J1125">
        <v>282</v>
      </c>
      <c r="K1125">
        <v>19</v>
      </c>
      <c r="L1125">
        <v>646</v>
      </c>
      <c r="M1125">
        <v>156</v>
      </c>
      <c r="N1125">
        <v>490</v>
      </c>
      <c r="O1125">
        <v>197</v>
      </c>
      <c r="P1125" s="1">
        <v>43862</v>
      </c>
      <c r="Q1125">
        <v>578</v>
      </c>
    </row>
    <row r="1126" spans="1:17" x14ac:dyDescent="0.25">
      <c r="A1126" s="1">
        <v>44440</v>
      </c>
      <c r="B1126" t="s">
        <v>144</v>
      </c>
      <c r="C1126" t="s">
        <v>56</v>
      </c>
      <c r="D1126" t="s">
        <v>55</v>
      </c>
      <c r="E1126">
        <v>1819</v>
      </c>
      <c r="F1126">
        <v>302</v>
      </c>
      <c r="G1126">
        <v>260</v>
      </c>
      <c r="H1126">
        <v>1108</v>
      </c>
      <c r="I1126">
        <v>1046</v>
      </c>
      <c r="J1126">
        <v>1875</v>
      </c>
      <c r="K1126">
        <v>1001</v>
      </c>
      <c r="L1126">
        <v>1431</v>
      </c>
      <c r="M1126">
        <v>338</v>
      </c>
      <c r="N1126">
        <v>723</v>
      </c>
      <c r="O1126">
        <v>1488</v>
      </c>
      <c r="P1126" s="1">
        <v>44256</v>
      </c>
      <c r="Q1126">
        <v>184</v>
      </c>
    </row>
    <row r="1127" spans="1:17" x14ac:dyDescent="0.25">
      <c r="A1127" s="1">
        <v>44440</v>
      </c>
      <c r="B1127" t="s">
        <v>145</v>
      </c>
      <c r="C1127" t="s">
        <v>59</v>
      </c>
      <c r="D1127" t="s">
        <v>58</v>
      </c>
      <c r="E1127">
        <v>768</v>
      </c>
      <c r="F1127">
        <v>142</v>
      </c>
      <c r="G1127">
        <v>373</v>
      </c>
      <c r="H1127">
        <v>1401</v>
      </c>
      <c r="I1127">
        <v>960</v>
      </c>
      <c r="J1127">
        <v>493</v>
      </c>
      <c r="K1127">
        <v>234</v>
      </c>
      <c r="L1127">
        <v>546</v>
      </c>
      <c r="M1127">
        <v>392</v>
      </c>
      <c r="N1127">
        <v>2405</v>
      </c>
      <c r="O1127">
        <v>459</v>
      </c>
      <c r="P1127" s="1">
        <v>44287</v>
      </c>
      <c r="Q1127">
        <v>153</v>
      </c>
    </row>
    <row r="1128" spans="1:17" x14ac:dyDescent="0.25">
      <c r="A1128" s="1">
        <v>44440</v>
      </c>
      <c r="B1128" t="s">
        <v>146</v>
      </c>
      <c r="C1128" t="s">
        <v>62</v>
      </c>
      <c r="D1128" t="s">
        <v>61</v>
      </c>
      <c r="E1128">
        <v>283</v>
      </c>
      <c r="F1128">
        <v>822</v>
      </c>
      <c r="G1128">
        <v>176</v>
      </c>
      <c r="H1128">
        <v>273</v>
      </c>
      <c r="I1128">
        <v>-17</v>
      </c>
      <c r="J1128">
        <v>-119</v>
      </c>
      <c r="K1128">
        <v>69</v>
      </c>
      <c r="L1128">
        <v>491</v>
      </c>
      <c r="M1128">
        <v>217</v>
      </c>
      <c r="N1128">
        <v>183</v>
      </c>
      <c r="O1128">
        <v>243</v>
      </c>
      <c r="P1128" s="1">
        <v>44075</v>
      </c>
      <c r="Q1128">
        <v>365</v>
      </c>
    </row>
    <row r="1129" spans="1:17" x14ac:dyDescent="0.25">
      <c r="A1129" s="1">
        <v>44440</v>
      </c>
      <c r="B1129" t="s">
        <v>147</v>
      </c>
      <c r="C1129" t="s">
        <v>64</v>
      </c>
      <c r="D1129" t="s">
        <v>52</v>
      </c>
      <c r="E1129">
        <v>481</v>
      </c>
      <c r="F1129">
        <v>95</v>
      </c>
      <c r="G1129">
        <v>165</v>
      </c>
      <c r="H1129">
        <v>181</v>
      </c>
      <c r="I1129">
        <v>191</v>
      </c>
      <c r="J1129">
        <v>57</v>
      </c>
      <c r="K1129">
        <v>108</v>
      </c>
      <c r="L1129">
        <v>121</v>
      </c>
      <c r="M1129">
        <v>18</v>
      </c>
      <c r="N1129">
        <v>141</v>
      </c>
      <c r="O1129">
        <v>107</v>
      </c>
      <c r="P1129" s="1">
        <v>43862</v>
      </c>
      <c r="Q1129">
        <v>578</v>
      </c>
    </row>
    <row r="1130" spans="1:17" x14ac:dyDescent="0.25">
      <c r="A1130" s="1">
        <v>44440</v>
      </c>
      <c r="B1130" t="s">
        <v>148</v>
      </c>
      <c r="C1130" t="s">
        <v>66</v>
      </c>
      <c r="D1130" t="s">
        <v>55</v>
      </c>
      <c r="E1130">
        <v>299</v>
      </c>
      <c r="F1130">
        <v>2058</v>
      </c>
      <c r="G1130">
        <v>192</v>
      </c>
      <c r="H1130">
        <v>1285</v>
      </c>
      <c r="I1130">
        <v>475</v>
      </c>
      <c r="J1130">
        <v>446</v>
      </c>
      <c r="K1130">
        <v>1156</v>
      </c>
      <c r="L1130">
        <v>301</v>
      </c>
      <c r="M1130">
        <v>528</v>
      </c>
      <c r="N1130">
        <v>1910</v>
      </c>
      <c r="O1130">
        <v>772</v>
      </c>
      <c r="P1130" s="1">
        <v>44256</v>
      </c>
      <c r="Q1130">
        <v>184</v>
      </c>
    </row>
    <row r="1131" spans="1:17" x14ac:dyDescent="0.25">
      <c r="A1131" s="1">
        <v>44440</v>
      </c>
      <c r="B1131" t="s">
        <v>149</v>
      </c>
      <c r="C1131" t="s">
        <v>67</v>
      </c>
      <c r="D1131" t="s">
        <v>55</v>
      </c>
      <c r="E1131">
        <v>798</v>
      </c>
      <c r="F1131">
        <v>708</v>
      </c>
      <c r="G1131">
        <v>307</v>
      </c>
      <c r="H1131">
        <v>1461</v>
      </c>
      <c r="I1131">
        <v>557</v>
      </c>
      <c r="J1131">
        <v>2133</v>
      </c>
      <c r="K1131">
        <v>1038</v>
      </c>
      <c r="L1131">
        <v>669</v>
      </c>
      <c r="M1131">
        <v>1179</v>
      </c>
      <c r="N1131">
        <v>834</v>
      </c>
      <c r="O1131">
        <v>1858</v>
      </c>
      <c r="P1131" s="1">
        <v>44256</v>
      </c>
      <c r="Q1131">
        <v>184</v>
      </c>
    </row>
    <row r="1132" spans="1:17" x14ac:dyDescent="0.25">
      <c r="A1132" s="1">
        <v>44440</v>
      </c>
      <c r="B1132" t="s">
        <v>150</v>
      </c>
      <c r="C1132" t="s">
        <v>69</v>
      </c>
      <c r="D1132" t="s">
        <v>68</v>
      </c>
      <c r="E1132">
        <v>1038</v>
      </c>
      <c r="F1132">
        <v>853</v>
      </c>
      <c r="G1132">
        <v>802</v>
      </c>
      <c r="H1132">
        <v>1992</v>
      </c>
      <c r="I1132">
        <v>853</v>
      </c>
      <c r="J1132">
        <v>100</v>
      </c>
      <c r="K1132">
        <v>737</v>
      </c>
      <c r="L1132">
        <v>641</v>
      </c>
      <c r="M1132">
        <v>546</v>
      </c>
      <c r="N1132">
        <v>384</v>
      </c>
      <c r="O1132">
        <v>1739</v>
      </c>
      <c r="P1132" s="1">
        <v>44317</v>
      </c>
      <c r="Q1132">
        <v>123</v>
      </c>
    </row>
    <row r="1133" spans="1:17" x14ac:dyDescent="0.25">
      <c r="A1133" s="1">
        <v>44440</v>
      </c>
      <c r="B1133" t="s">
        <v>151</v>
      </c>
      <c r="C1133" t="s">
        <v>71</v>
      </c>
      <c r="D1133" t="s">
        <v>70</v>
      </c>
      <c r="E1133">
        <v>187</v>
      </c>
      <c r="F1133">
        <v>75</v>
      </c>
      <c r="G1133">
        <v>74</v>
      </c>
      <c r="H1133">
        <v>82</v>
      </c>
      <c r="I1133">
        <v>549</v>
      </c>
      <c r="J1133">
        <v>391</v>
      </c>
      <c r="K1133">
        <v>158</v>
      </c>
      <c r="L1133">
        <v>261</v>
      </c>
      <c r="M1133">
        <v>657</v>
      </c>
      <c r="N1133">
        <v>155</v>
      </c>
      <c r="O1133">
        <v>37</v>
      </c>
      <c r="P1133" s="1">
        <v>44136</v>
      </c>
      <c r="Q1133">
        <v>304</v>
      </c>
    </row>
    <row r="1134" spans="1:17" x14ac:dyDescent="0.25">
      <c r="A1134" s="1">
        <v>44440</v>
      </c>
      <c r="B1134" t="s">
        <v>152</v>
      </c>
      <c r="C1134" t="s">
        <v>11</v>
      </c>
      <c r="D1134" t="s">
        <v>52</v>
      </c>
      <c r="E1134">
        <v>125</v>
      </c>
      <c r="F1134">
        <v>102</v>
      </c>
      <c r="G1134">
        <v>111</v>
      </c>
      <c r="H1134">
        <v>348</v>
      </c>
      <c r="I1134">
        <v>21</v>
      </c>
      <c r="J1134">
        <v>78</v>
      </c>
      <c r="K1134">
        <v>156</v>
      </c>
      <c r="L1134">
        <v>42</v>
      </c>
      <c r="M1134">
        <v>165</v>
      </c>
      <c r="N1134">
        <v>146</v>
      </c>
      <c r="O1134">
        <v>117</v>
      </c>
      <c r="P1134" s="1">
        <v>43862</v>
      </c>
      <c r="Q1134">
        <v>578</v>
      </c>
    </row>
    <row r="1135" spans="1:17" x14ac:dyDescent="0.25">
      <c r="A1135" s="1">
        <v>44440</v>
      </c>
      <c r="B1135" t="s">
        <v>153</v>
      </c>
      <c r="C1135" t="s">
        <v>73</v>
      </c>
      <c r="D1135" t="s">
        <v>72</v>
      </c>
      <c r="E1135">
        <v>1144</v>
      </c>
      <c r="F1135">
        <v>2186</v>
      </c>
      <c r="G1135">
        <v>4575</v>
      </c>
      <c r="H1135">
        <v>8473</v>
      </c>
      <c r="I1135">
        <v>2417</v>
      </c>
      <c r="J1135">
        <v>14646</v>
      </c>
      <c r="K1135">
        <v>2729</v>
      </c>
      <c r="L1135">
        <v>6602</v>
      </c>
      <c r="M1135">
        <v>12750</v>
      </c>
      <c r="N1135">
        <v>1507</v>
      </c>
      <c r="O1135">
        <v>13162</v>
      </c>
      <c r="P1135" s="1">
        <v>44440</v>
      </c>
      <c r="Q1135">
        <v>0</v>
      </c>
    </row>
    <row r="1136" spans="1:17" x14ac:dyDescent="0.25">
      <c r="A1136" s="1">
        <v>44440</v>
      </c>
      <c r="B1136" t="s">
        <v>154</v>
      </c>
      <c r="C1136" t="s">
        <v>17</v>
      </c>
      <c r="D1136" t="s">
        <v>74</v>
      </c>
      <c r="E1136">
        <v>463</v>
      </c>
      <c r="F1136">
        <v>983</v>
      </c>
      <c r="G1136">
        <v>174</v>
      </c>
      <c r="H1136">
        <v>1129</v>
      </c>
      <c r="I1136">
        <v>463</v>
      </c>
      <c r="J1136">
        <v>933</v>
      </c>
      <c r="K1136">
        <v>126</v>
      </c>
      <c r="L1136">
        <v>818</v>
      </c>
      <c r="M1136">
        <v>1227</v>
      </c>
      <c r="N1136">
        <v>999</v>
      </c>
      <c r="O1136">
        <v>1039</v>
      </c>
      <c r="P1136" s="1">
        <v>44197</v>
      </c>
      <c r="Q1136">
        <v>243</v>
      </c>
    </row>
    <row r="1137" spans="1:17" x14ac:dyDescent="0.25">
      <c r="A1137" s="1">
        <v>44440</v>
      </c>
      <c r="B1137" t="s">
        <v>155</v>
      </c>
      <c r="C1137" t="s">
        <v>76</v>
      </c>
      <c r="D1137" t="s">
        <v>75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 s="1">
        <v>44470</v>
      </c>
      <c r="Q1137">
        <v>-30</v>
      </c>
    </row>
    <row r="1138" spans="1:17" x14ac:dyDescent="0.25">
      <c r="A1138" s="1">
        <v>44440</v>
      </c>
      <c r="B1138" t="s">
        <v>156</v>
      </c>
      <c r="C1138" t="s">
        <v>79</v>
      </c>
      <c r="D1138" t="s">
        <v>78</v>
      </c>
      <c r="E1138">
        <v>367</v>
      </c>
      <c r="F1138">
        <v>367</v>
      </c>
      <c r="G1138">
        <v>392</v>
      </c>
      <c r="H1138">
        <v>868</v>
      </c>
      <c r="I1138">
        <v>309</v>
      </c>
      <c r="J1138">
        <v>295</v>
      </c>
      <c r="K1138">
        <v>134</v>
      </c>
      <c r="L1138">
        <v>11</v>
      </c>
      <c r="M1138">
        <v>437</v>
      </c>
      <c r="N1138">
        <v>2617</v>
      </c>
      <c r="O1138">
        <v>386</v>
      </c>
      <c r="P1138" s="1">
        <v>44348</v>
      </c>
      <c r="Q1138">
        <v>92</v>
      </c>
    </row>
    <row r="1139" spans="1:17" x14ac:dyDescent="0.25">
      <c r="A1139" s="1">
        <v>44440</v>
      </c>
      <c r="B1139" t="s">
        <v>157</v>
      </c>
      <c r="C1139" t="s">
        <v>81</v>
      </c>
      <c r="D1139" t="s">
        <v>72</v>
      </c>
      <c r="E1139">
        <v>13452</v>
      </c>
      <c r="F1139">
        <v>12109</v>
      </c>
      <c r="G1139">
        <v>3140</v>
      </c>
      <c r="H1139">
        <v>10338</v>
      </c>
      <c r="I1139">
        <v>13951</v>
      </c>
      <c r="J1139">
        <v>10226</v>
      </c>
      <c r="K1139">
        <v>8070</v>
      </c>
      <c r="L1139">
        <v>15392</v>
      </c>
      <c r="M1139">
        <v>12100</v>
      </c>
      <c r="N1139">
        <v>4495</v>
      </c>
      <c r="O1139">
        <v>2058</v>
      </c>
      <c r="P1139" s="1">
        <v>44440</v>
      </c>
      <c r="Q1139">
        <v>0</v>
      </c>
    </row>
    <row r="1140" spans="1:17" x14ac:dyDescent="0.25">
      <c r="A1140" s="1">
        <v>44440</v>
      </c>
      <c r="B1140" t="s">
        <v>158</v>
      </c>
      <c r="C1140" t="s">
        <v>83</v>
      </c>
      <c r="D1140" t="s">
        <v>82</v>
      </c>
      <c r="E1140">
        <v>1032</v>
      </c>
      <c r="F1140">
        <v>458</v>
      </c>
      <c r="G1140">
        <v>12</v>
      </c>
      <c r="H1140">
        <v>1043</v>
      </c>
      <c r="I1140">
        <v>1051</v>
      </c>
      <c r="J1140">
        <v>1137</v>
      </c>
      <c r="K1140">
        <v>1338</v>
      </c>
      <c r="L1140">
        <v>791</v>
      </c>
      <c r="M1140">
        <v>259</v>
      </c>
      <c r="N1140">
        <v>1154</v>
      </c>
      <c r="O1140">
        <v>2397</v>
      </c>
      <c r="P1140" s="1">
        <v>44228</v>
      </c>
      <c r="Q1140">
        <v>212</v>
      </c>
    </row>
    <row r="1141" spans="1:17" x14ac:dyDescent="0.25">
      <c r="A1141" s="1">
        <v>44440</v>
      </c>
      <c r="B1141" t="s">
        <v>159</v>
      </c>
      <c r="C1141" t="s">
        <v>84</v>
      </c>
      <c r="D1141" t="s">
        <v>55</v>
      </c>
      <c r="E1141">
        <v>315</v>
      </c>
      <c r="F1141">
        <v>1272</v>
      </c>
      <c r="G1141">
        <v>280</v>
      </c>
      <c r="H1141">
        <v>1095</v>
      </c>
      <c r="I1141">
        <v>1345</v>
      </c>
      <c r="J1141">
        <v>170</v>
      </c>
      <c r="K1141">
        <v>464</v>
      </c>
      <c r="L1141">
        <v>1449</v>
      </c>
      <c r="M1141">
        <v>153</v>
      </c>
      <c r="N1141">
        <v>1460</v>
      </c>
      <c r="O1141">
        <v>771</v>
      </c>
      <c r="P1141" s="1">
        <v>44256</v>
      </c>
      <c r="Q1141">
        <v>184</v>
      </c>
    </row>
    <row r="1142" spans="1:17" x14ac:dyDescent="0.25">
      <c r="A1142" s="1">
        <v>44440</v>
      </c>
      <c r="B1142" t="s">
        <v>160</v>
      </c>
      <c r="C1142" t="s">
        <v>86</v>
      </c>
      <c r="D1142" t="s">
        <v>68</v>
      </c>
      <c r="E1142">
        <v>-1573</v>
      </c>
      <c r="F1142">
        <v>333</v>
      </c>
      <c r="G1142">
        <v>416</v>
      </c>
      <c r="H1142">
        <v>2541</v>
      </c>
      <c r="I1142">
        <v>2371</v>
      </c>
      <c r="J1142">
        <v>731</v>
      </c>
      <c r="K1142">
        <v>773</v>
      </c>
      <c r="L1142">
        <v>446</v>
      </c>
      <c r="M1142">
        <v>2624</v>
      </c>
      <c r="N1142">
        <v>88</v>
      </c>
      <c r="O1142">
        <v>1839</v>
      </c>
      <c r="P1142" s="1">
        <v>44317</v>
      </c>
      <c r="Q1142">
        <v>123</v>
      </c>
    </row>
    <row r="1143" spans="1:17" x14ac:dyDescent="0.25">
      <c r="A1143" s="1">
        <v>44440</v>
      </c>
      <c r="B1143" t="s">
        <v>161</v>
      </c>
      <c r="C1143" t="s">
        <v>87</v>
      </c>
      <c r="D1143" t="s">
        <v>72</v>
      </c>
      <c r="E1143">
        <v>7859</v>
      </c>
      <c r="F1143">
        <v>8116</v>
      </c>
      <c r="G1143">
        <v>2348</v>
      </c>
      <c r="H1143">
        <v>13195</v>
      </c>
      <c r="I1143">
        <v>13304</v>
      </c>
      <c r="J1143">
        <v>9049</v>
      </c>
      <c r="K1143">
        <v>3869</v>
      </c>
      <c r="L1143">
        <v>13819</v>
      </c>
      <c r="M1143">
        <v>2022</v>
      </c>
      <c r="N1143">
        <v>11017</v>
      </c>
      <c r="O1143">
        <v>6231</v>
      </c>
      <c r="P1143" s="1">
        <v>44440</v>
      </c>
      <c r="Q1143">
        <v>0</v>
      </c>
    </row>
    <row r="1144" spans="1:17" x14ac:dyDescent="0.25">
      <c r="A1144" s="1">
        <v>44440</v>
      </c>
      <c r="B1144" t="s">
        <v>162</v>
      </c>
      <c r="C1144" t="s">
        <v>89</v>
      </c>
      <c r="D1144" t="s">
        <v>88</v>
      </c>
      <c r="E1144">
        <v>257</v>
      </c>
      <c r="F1144">
        <v>172</v>
      </c>
      <c r="G1144">
        <v>121</v>
      </c>
      <c r="H1144">
        <v>249</v>
      </c>
      <c r="I1144">
        <v>91</v>
      </c>
      <c r="J1144">
        <v>184</v>
      </c>
      <c r="K1144">
        <v>129</v>
      </c>
      <c r="L1144">
        <v>192</v>
      </c>
      <c r="M1144">
        <v>612</v>
      </c>
      <c r="N1144">
        <v>136</v>
      </c>
      <c r="O1144">
        <v>447</v>
      </c>
      <c r="P1144" s="1">
        <v>44044</v>
      </c>
      <c r="Q1144">
        <v>396</v>
      </c>
    </row>
    <row r="1145" spans="1:17" x14ac:dyDescent="0.25">
      <c r="A1145" s="1">
        <v>44440</v>
      </c>
      <c r="B1145" t="s">
        <v>163</v>
      </c>
      <c r="C1145" t="s">
        <v>90</v>
      </c>
      <c r="D1145" t="s">
        <v>82</v>
      </c>
      <c r="E1145">
        <v>608</v>
      </c>
      <c r="F1145">
        <v>347</v>
      </c>
      <c r="G1145">
        <v>34</v>
      </c>
      <c r="H1145">
        <v>1171</v>
      </c>
      <c r="I1145">
        <v>1069</v>
      </c>
      <c r="J1145">
        <v>166</v>
      </c>
      <c r="K1145">
        <v>219</v>
      </c>
      <c r="L1145">
        <v>514</v>
      </c>
      <c r="M1145">
        <v>1170</v>
      </c>
      <c r="N1145">
        <v>697</v>
      </c>
      <c r="O1145">
        <v>434</v>
      </c>
      <c r="P1145" s="1">
        <v>44228</v>
      </c>
      <c r="Q1145">
        <v>212</v>
      </c>
    </row>
    <row r="1146" spans="1:17" x14ac:dyDescent="0.25">
      <c r="A1146" s="1">
        <v>44440</v>
      </c>
      <c r="B1146" t="s">
        <v>164</v>
      </c>
      <c r="C1146" t="s">
        <v>92</v>
      </c>
      <c r="D1146" t="s">
        <v>91</v>
      </c>
      <c r="E1146">
        <v>630</v>
      </c>
      <c r="F1146">
        <v>186</v>
      </c>
      <c r="G1146">
        <v>193</v>
      </c>
      <c r="H1146">
        <v>244</v>
      </c>
      <c r="I1146">
        <v>307</v>
      </c>
      <c r="J1146">
        <v>-24</v>
      </c>
      <c r="K1146">
        <v>283</v>
      </c>
      <c r="L1146">
        <v>122</v>
      </c>
      <c r="M1146">
        <v>139</v>
      </c>
      <c r="N1146">
        <v>206</v>
      </c>
      <c r="O1146">
        <v>204</v>
      </c>
      <c r="P1146" s="1">
        <v>44105</v>
      </c>
      <c r="Q1146">
        <v>335</v>
      </c>
    </row>
    <row r="1147" spans="1:17" x14ac:dyDescent="0.25">
      <c r="A1147" s="1">
        <v>44440</v>
      </c>
      <c r="B1147" t="s">
        <v>165</v>
      </c>
      <c r="C1147" t="s">
        <v>94</v>
      </c>
      <c r="D1147" t="s">
        <v>93</v>
      </c>
      <c r="E1147">
        <v>124</v>
      </c>
      <c r="F1147">
        <v>109</v>
      </c>
      <c r="G1147">
        <v>-6</v>
      </c>
      <c r="H1147">
        <v>119</v>
      </c>
      <c r="I1147">
        <v>221</v>
      </c>
      <c r="J1147">
        <v>20</v>
      </c>
      <c r="K1147">
        <v>93</v>
      </c>
      <c r="L1147">
        <v>349</v>
      </c>
      <c r="M1147">
        <v>102</v>
      </c>
      <c r="N1147">
        <v>288</v>
      </c>
      <c r="O1147">
        <v>264</v>
      </c>
      <c r="P1147" s="1">
        <v>43586</v>
      </c>
      <c r="Q1147">
        <v>854</v>
      </c>
    </row>
    <row r="1148" spans="1:17" x14ac:dyDescent="0.25">
      <c r="A1148" s="1">
        <v>44440</v>
      </c>
      <c r="B1148" t="s">
        <v>166</v>
      </c>
      <c r="C1148" t="s">
        <v>96</v>
      </c>
      <c r="D1148" t="s">
        <v>95</v>
      </c>
      <c r="E1148">
        <v>38</v>
      </c>
      <c r="F1148">
        <v>-6</v>
      </c>
      <c r="G1148">
        <v>125</v>
      </c>
      <c r="H1148">
        <v>199</v>
      </c>
      <c r="I1148">
        <v>39</v>
      </c>
      <c r="J1148">
        <v>65</v>
      </c>
      <c r="K1148">
        <v>652</v>
      </c>
      <c r="L1148">
        <v>109</v>
      </c>
      <c r="M1148">
        <v>234</v>
      </c>
      <c r="N1148">
        <v>73</v>
      </c>
      <c r="O1148">
        <v>180</v>
      </c>
      <c r="P1148" s="1">
        <v>43678</v>
      </c>
      <c r="Q1148">
        <v>762</v>
      </c>
    </row>
    <row r="1149" spans="1:17" x14ac:dyDescent="0.25">
      <c r="A1149" s="1">
        <v>44440</v>
      </c>
      <c r="B1149" t="s">
        <v>167</v>
      </c>
      <c r="C1149" t="s">
        <v>97</v>
      </c>
      <c r="D1149" t="s">
        <v>58</v>
      </c>
      <c r="E1149">
        <v>156</v>
      </c>
      <c r="F1149">
        <v>387</v>
      </c>
      <c r="G1149">
        <v>431</v>
      </c>
      <c r="H1149">
        <v>1503</v>
      </c>
      <c r="I1149">
        <v>795</v>
      </c>
      <c r="J1149">
        <v>231</v>
      </c>
      <c r="K1149">
        <v>665</v>
      </c>
      <c r="L1149">
        <v>-980</v>
      </c>
      <c r="M1149">
        <v>496</v>
      </c>
      <c r="N1149">
        <v>1750</v>
      </c>
      <c r="O1149">
        <v>421</v>
      </c>
      <c r="P1149" s="1">
        <v>44287</v>
      </c>
      <c r="Q1149">
        <v>153</v>
      </c>
    </row>
    <row r="1150" spans="1:17" x14ac:dyDescent="0.25">
      <c r="A1150" s="1">
        <v>44440</v>
      </c>
      <c r="B1150" t="s">
        <v>168</v>
      </c>
      <c r="C1150" t="s">
        <v>98</v>
      </c>
      <c r="D1150" t="s">
        <v>49</v>
      </c>
      <c r="E1150">
        <v>392</v>
      </c>
      <c r="F1150">
        <v>127</v>
      </c>
      <c r="G1150">
        <v>137</v>
      </c>
      <c r="H1150">
        <v>113</v>
      </c>
      <c r="I1150">
        <v>95</v>
      </c>
      <c r="J1150">
        <v>149</v>
      </c>
      <c r="K1150">
        <v>27</v>
      </c>
      <c r="L1150">
        <v>665</v>
      </c>
      <c r="M1150">
        <v>92</v>
      </c>
      <c r="N1150">
        <v>341</v>
      </c>
      <c r="O1150">
        <v>-40</v>
      </c>
      <c r="P1150" s="1">
        <v>43709</v>
      </c>
      <c r="Q1150">
        <v>731</v>
      </c>
    </row>
    <row r="1151" spans="1:17" x14ac:dyDescent="0.25">
      <c r="A1151" s="1">
        <v>44440</v>
      </c>
      <c r="B1151" t="s">
        <v>169</v>
      </c>
      <c r="C1151" t="s">
        <v>99</v>
      </c>
      <c r="D1151" t="s">
        <v>95</v>
      </c>
      <c r="E1151">
        <v>104</v>
      </c>
      <c r="F1151">
        <v>325</v>
      </c>
      <c r="G1151">
        <v>80</v>
      </c>
      <c r="H1151">
        <v>328</v>
      </c>
      <c r="I1151">
        <v>311</v>
      </c>
      <c r="J1151">
        <v>186</v>
      </c>
      <c r="K1151">
        <v>332</v>
      </c>
      <c r="L1151">
        <v>50</v>
      </c>
      <c r="M1151">
        <v>104</v>
      </c>
      <c r="N1151">
        <v>46</v>
      </c>
      <c r="O1151">
        <v>251</v>
      </c>
      <c r="P1151" s="1">
        <v>43678</v>
      </c>
      <c r="Q1151">
        <v>762</v>
      </c>
    </row>
    <row r="1152" spans="1:17" x14ac:dyDescent="0.25">
      <c r="A1152" s="1">
        <v>44440</v>
      </c>
      <c r="B1152" t="s">
        <v>170</v>
      </c>
      <c r="C1152" t="s">
        <v>100</v>
      </c>
      <c r="D1152" t="s">
        <v>82</v>
      </c>
      <c r="E1152">
        <v>246</v>
      </c>
      <c r="F1152">
        <v>218</v>
      </c>
      <c r="G1152">
        <v>121</v>
      </c>
      <c r="H1152">
        <v>1180</v>
      </c>
      <c r="I1152">
        <v>807</v>
      </c>
      <c r="J1152">
        <v>398</v>
      </c>
      <c r="K1152">
        <v>776</v>
      </c>
      <c r="L1152">
        <v>648</v>
      </c>
      <c r="M1152">
        <v>350</v>
      </c>
      <c r="N1152">
        <v>834</v>
      </c>
      <c r="O1152">
        <v>344</v>
      </c>
      <c r="P1152" s="1">
        <v>44228</v>
      </c>
      <c r="Q1152">
        <v>212</v>
      </c>
    </row>
    <row r="1153" spans="1:17" x14ac:dyDescent="0.25">
      <c r="A1153" s="1">
        <v>44440</v>
      </c>
      <c r="B1153" t="s">
        <v>171</v>
      </c>
      <c r="C1153" t="s">
        <v>101</v>
      </c>
      <c r="D1153" t="s">
        <v>68</v>
      </c>
      <c r="E1153">
        <v>1496</v>
      </c>
      <c r="F1153">
        <v>2380</v>
      </c>
      <c r="G1153">
        <v>327</v>
      </c>
      <c r="H1153">
        <v>1971</v>
      </c>
      <c r="I1153">
        <v>927</v>
      </c>
      <c r="J1153">
        <v>2881</v>
      </c>
      <c r="K1153">
        <v>1794</v>
      </c>
      <c r="L1153">
        <v>1707</v>
      </c>
      <c r="M1153">
        <v>1285</v>
      </c>
      <c r="N1153">
        <v>784</v>
      </c>
      <c r="O1153">
        <v>2189</v>
      </c>
      <c r="P1153" s="1">
        <v>44317</v>
      </c>
      <c r="Q1153">
        <v>123</v>
      </c>
    </row>
    <row r="1154" spans="1:17" x14ac:dyDescent="0.25">
      <c r="A1154" s="1">
        <v>44440</v>
      </c>
      <c r="B1154" t="s">
        <v>172</v>
      </c>
      <c r="C1154" t="s">
        <v>102</v>
      </c>
      <c r="D1154" t="s">
        <v>88</v>
      </c>
      <c r="E1154">
        <v>169</v>
      </c>
      <c r="F1154">
        <v>132</v>
      </c>
      <c r="G1154">
        <v>276</v>
      </c>
      <c r="H1154">
        <v>616</v>
      </c>
      <c r="I1154">
        <v>42</v>
      </c>
      <c r="J1154">
        <v>98</v>
      </c>
      <c r="K1154">
        <v>661</v>
      </c>
      <c r="L1154">
        <v>98</v>
      </c>
      <c r="M1154">
        <v>246</v>
      </c>
      <c r="N1154">
        <v>260</v>
      </c>
      <c r="O1154">
        <v>122</v>
      </c>
      <c r="P1154" s="1">
        <v>44044</v>
      </c>
      <c r="Q1154">
        <v>396</v>
      </c>
    </row>
    <row r="1155" spans="1:17" x14ac:dyDescent="0.25">
      <c r="A1155" s="1">
        <v>44470</v>
      </c>
      <c r="B1155" t="s">
        <v>173</v>
      </c>
      <c r="C1155" t="s">
        <v>103</v>
      </c>
      <c r="D1155" t="s">
        <v>52</v>
      </c>
      <c r="E1155">
        <v>96</v>
      </c>
      <c r="F1155">
        <v>142</v>
      </c>
      <c r="G1155">
        <v>110</v>
      </c>
      <c r="H1155">
        <v>288</v>
      </c>
      <c r="I1155">
        <v>408</v>
      </c>
      <c r="J1155">
        <v>66</v>
      </c>
      <c r="K1155">
        <v>85</v>
      </c>
      <c r="L1155">
        <v>-70</v>
      </c>
      <c r="M1155">
        <v>79</v>
      </c>
      <c r="N1155">
        <v>183</v>
      </c>
      <c r="O1155">
        <v>162</v>
      </c>
      <c r="P1155" s="1">
        <v>43862</v>
      </c>
      <c r="Q1155">
        <v>608</v>
      </c>
    </row>
    <row r="1156" spans="1:17" x14ac:dyDescent="0.25">
      <c r="A1156" s="1">
        <v>44470</v>
      </c>
      <c r="B1156" t="s">
        <v>174</v>
      </c>
      <c r="C1156" t="s">
        <v>105</v>
      </c>
      <c r="D1156" t="s">
        <v>104</v>
      </c>
      <c r="E1156">
        <v>-4</v>
      </c>
      <c r="F1156">
        <v>50</v>
      </c>
      <c r="G1156">
        <v>36</v>
      </c>
      <c r="H1156">
        <v>358</v>
      </c>
      <c r="I1156">
        <v>237</v>
      </c>
      <c r="J1156">
        <v>40</v>
      </c>
      <c r="K1156">
        <v>59</v>
      </c>
      <c r="L1156">
        <v>49</v>
      </c>
      <c r="M1156">
        <v>132</v>
      </c>
      <c r="N1156">
        <v>133</v>
      </c>
      <c r="O1156">
        <v>260</v>
      </c>
      <c r="P1156" s="1">
        <v>43374</v>
      </c>
      <c r="Q1156">
        <v>1096</v>
      </c>
    </row>
    <row r="1157" spans="1:17" x14ac:dyDescent="0.25">
      <c r="A1157" s="1">
        <v>44470</v>
      </c>
      <c r="B1157" t="s">
        <v>142</v>
      </c>
      <c r="C1157" t="s">
        <v>50</v>
      </c>
      <c r="D1157" t="s">
        <v>49</v>
      </c>
      <c r="E1157">
        <v>550</v>
      </c>
      <c r="F1157">
        <v>291</v>
      </c>
      <c r="G1157">
        <v>67</v>
      </c>
      <c r="H1157">
        <v>262</v>
      </c>
      <c r="I1157">
        <v>-41</v>
      </c>
      <c r="J1157">
        <v>159</v>
      </c>
      <c r="K1157">
        <v>85</v>
      </c>
      <c r="L1157">
        <v>124</v>
      </c>
      <c r="M1157">
        <v>311</v>
      </c>
      <c r="N1157">
        <v>204</v>
      </c>
      <c r="O1157">
        <v>194</v>
      </c>
      <c r="P1157" s="1">
        <v>43709</v>
      </c>
      <c r="Q1157">
        <v>761</v>
      </c>
    </row>
    <row r="1158" spans="1:17" x14ac:dyDescent="0.25">
      <c r="A1158" s="1">
        <v>44470</v>
      </c>
      <c r="B1158" t="s">
        <v>143</v>
      </c>
      <c r="C1158" t="s">
        <v>53</v>
      </c>
      <c r="D1158" t="s">
        <v>52</v>
      </c>
      <c r="E1158">
        <v>447</v>
      </c>
      <c r="F1158">
        <v>336</v>
      </c>
      <c r="G1158">
        <v>153</v>
      </c>
      <c r="H1158">
        <v>673</v>
      </c>
      <c r="I1158">
        <v>348</v>
      </c>
      <c r="J1158">
        <v>342</v>
      </c>
      <c r="K1158">
        <v>129</v>
      </c>
      <c r="L1158">
        <v>269</v>
      </c>
      <c r="M1158">
        <v>292</v>
      </c>
      <c r="N1158">
        <v>119</v>
      </c>
      <c r="O1158">
        <v>285</v>
      </c>
      <c r="P1158" s="1">
        <v>43862</v>
      </c>
      <c r="Q1158">
        <v>608</v>
      </c>
    </row>
    <row r="1159" spans="1:17" x14ac:dyDescent="0.25">
      <c r="A1159" s="1">
        <v>44470</v>
      </c>
      <c r="B1159" t="s">
        <v>144</v>
      </c>
      <c r="C1159" t="s">
        <v>56</v>
      </c>
      <c r="D1159" t="s">
        <v>55</v>
      </c>
      <c r="E1159">
        <v>258</v>
      </c>
      <c r="F1159">
        <v>255</v>
      </c>
      <c r="G1159">
        <v>348</v>
      </c>
      <c r="H1159">
        <v>1648</v>
      </c>
      <c r="I1159">
        <v>324</v>
      </c>
      <c r="J1159">
        <v>1434</v>
      </c>
      <c r="K1159">
        <v>1118</v>
      </c>
      <c r="L1159">
        <v>324</v>
      </c>
      <c r="M1159">
        <v>149</v>
      </c>
      <c r="N1159">
        <v>1040</v>
      </c>
      <c r="O1159">
        <v>1989</v>
      </c>
      <c r="P1159" s="1">
        <v>44256</v>
      </c>
      <c r="Q1159">
        <v>214</v>
      </c>
    </row>
    <row r="1160" spans="1:17" x14ac:dyDescent="0.25">
      <c r="A1160" s="1">
        <v>44470</v>
      </c>
      <c r="B1160" t="s">
        <v>145</v>
      </c>
      <c r="C1160" t="s">
        <v>59</v>
      </c>
      <c r="D1160" t="s">
        <v>58</v>
      </c>
      <c r="E1160">
        <v>732</v>
      </c>
      <c r="F1160">
        <v>511</v>
      </c>
      <c r="G1160">
        <v>567</v>
      </c>
      <c r="H1160">
        <v>1291</v>
      </c>
      <c r="I1160">
        <v>-263</v>
      </c>
      <c r="J1160">
        <v>385</v>
      </c>
      <c r="K1160">
        <v>452</v>
      </c>
      <c r="L1160">
        <v>1407</v>
      </c>
      <c r="M1160">
        <v>350</v>
      </c>
      <c r="N1160">
        <v>719</v>
      </c>
      <c r="O1160">
        <v>238</v>
      </c>
      <c r="P1160" s="1">
        <v>44287</v>
      </c>
      <c r="Q1160">
        <v>183</v>
      </c>
    </row>
    <row r="1161" spans="1:17" x14ac:dyDescent="0.25">
      <c r="A1161" s="1">
        <v>44470</v>
      </c>
      <c r="B1161" t="s">
        <v>146</v>
      </c>
      <c r="C1161" t="s">
        <v>62</v>
      </c>
      <c r="D1161" t="s">
        <v>61</v>
      </c>
      <c r="E1161">
        <v>479</v>
      </c>
      <c r="F1161">
        <v>386</v>
      </c>
      <c r="G1161">
        <v>175</v>
      </c>
      <c r="H1161">
        <v>357</v>
      </c>
      <c r="I1161">
        <v>71</v>
      </c>
      <c r="J1161">
        <v>63</v>
      </c>
      <c r="K1161">
        <v>203</v>
      </c>
      <c r="L1161">
        <v>155</v>
      </c>
      <c r="M1161">
        <v>33</v>
      </c>
      <c r="N1161">
        <v>98</v>
      </c>
      <c r="O1161">
        <v>156</v>
      </c>
      <c r="P1161" s="1">
        <v>44075</v>
      </c>
      <c r="Q1161">
        <v>395</v>
      </c>
    </row>
    <row r="1162" spans="1:17" x14ac:dyDescent="0.25">
      <c r="A1162" s="1">
        <v>44470</v>
      </c>
      <c r="B1162" t="s">
        <v>147</v>
      </c>
      <c r="C1162" t="s">
        <v>64</v>
      </c>
      <c r="D1162" t="s">
        <v>52</v>
      </c>
      <c r="E1162">
        <v>469</v>
      </c>
      <c r="F1162">
        <v>323</v>
      </c>
      <c r="G1162">
        <v>149</v>
      </c>
      <c r="H1162">
        <v>101</v>
      </c>
      <c r="I1162">
        <v>57</v>
      </c>
      <c r="J1162">
        <v>28</v>
      </c>
      <c r="K1162">
        <v>232</v>
      </c>
      <c r="L1162">
        <v>91</v>
      </c>
      <c r="M1162">
        <v>61</v>
      </c>
      <c r="N1162">
        <v>51</v>
      </c>
      <c r="O1162">
        <v>199</v>
      </c>
      <c r="P1162" s="1">
        <v>43862</v>
      </c>
      <c r="Q1162">
        <v>608</v>
      </c>
    </row>
    <row r="1163" spans="1:17" x14ac:dyDescent="0.25">
      <c r="A1163" s="1">
        <v>44470</v>
      </c>
      <c r="B1163" t="s">
        <v>148</v>
      </c>
      <c r="C1163" t="s">
        <v>66</v>
      </c>
      <c r="D1163" t="s">
        <v>55</v>
      </c>
      <c r="E1163">
        <v>1228</v>
      </c>
      <c r="F1163">
        <v>1582</v>
      </c>
      <c r="G1163">
        <v>398</v>
      </c>
      <c r="H1163">
        <v>1912</v>
      </c>
      <c r="I1163">
        <v>171</v>
      </c>
      <c r="J1163">
        <v>301</v>
      </c>
      <c r="K1163">
        <v>1319</v>
      </c>
      <c r="L1163">
        <v>383</v>
      </c>
      <c r="M1163">
        <v>372</v>
      </c>
      <c r="N1163">
        <v>1850</v>
      </c>
      <c r="O1163">
        <v>1002</v>
      </c>
      <c r="P1163" s="1">
        <v>44256</v>
      </c>
      <c r="Q1163">
        <v>214</v>
      </c>
    </row>
    <row r="1164" spans="1:17" x14ac:dyDescent="0.25">
      <c r="A1164" s="1">
        <v>44470</v>
      </c>
      <c r="B1164" t="s">
        <v>149</v>
      </c>
      <c r="C1164" t="s">
        <v>67</v>
      </c>
      <c r="D1164" t="s">
        <v>55</v>
      </c>
      <c r="E1164">
        <v>1675</v>
      </c>
      <c r="F1164">
        <v>2248</v>
      </c>
      <c r="G1164">
        <v>184</v>
      </c>
      <c r="H1164">
        <v>1071</v>
      </c>
      <c r="I1164">
        <v>1373</v>
      </c>
      <c r="J1164">
        <v>172</v>
      </c>
      <c r="K1164">
        <v>1154</v>
      </c>
      <c r="L1164">
        <v>1888</v>
      </c>
      <c r="M1164">
        <v>660</v>
      </c>
      <c r="N1164">
        <v>923</v>
      </c>
      <c r="O1164">
        <v>736</v>
      </c>
      <c r="P1164" s="1">
        <v>44256</v>
      </c>
      <c r="Q1164">
        <v>214</v>
      </c>
    </row>
    <row r="1165" spans="1:17" x14ac:dyDescent="0.25">
      <c r="A1165" s="1">
        <v>44470</v>
      </c>
      <c r="B1165" t="s">
        <v>150</v>
      </c>
      <c r="C1165" t="s">
        <v>69</v>
      </c>
      <c r="D1165" t="s">
        <v>68</v>
      </c>
      <c r="E1165">
        <v>1159</v>
      </c>
      <c r="F1165">
        <v>281</v>
      </c>
      <c r="G1165">
        <v>246</v>
      </c>
      <c r="H1165">
        <v>994</v>
      </c>
      <c r="I1165">
        <v>469</v>
      </c>
      <c r="J1165">
        <v>574</v>
      </c>
      <c r="K1165">
        <v>348</v>
      </c>
      <c r="L1165">
        <v>523</v>
      </c>
      <c r="M1165">
        <v>364</v>
      </c>
      <c r="N1165">
        <v>240</v>
      </c>
      <c r="O1165">
        <v>1594</v>
      </c>
      <c r="P1165" s="1">
        <v>44317</v>
      </c>
      <c r="Q1165">
        <v>153</v>
      </c>
    </row>
    <row r="1166" spans="1:17" x14ac:dyDescent="0.25">
      <c r="A1166" s="1">
        <v>44470</v>
      </c>
      <c r="B1166" t="s">
        <v>151</v>
      </c>
      <c r="C1166" t="s">
        <v>71</v>
      </c>
      <c r="D1166" t="s">
        <v>70</v>
      </c>
      <c r="E1166">
        <v>267</v>
      </c>
      <c r="F1166">
        <v>242</v>
      </c>
      <c r="G1166">
        <v>93</v>
      </c>
      <c r="H1166">
        <v>65</v>
      </c>
      <c r="I1166">
        <v>976</v>
      </c>
      <c r="J1166">
        <v>233</v>
      </c>
      <c r="K1166">
        <v>260</v>
      </c>
      <c r="L1166">
        <v>327</v>
      </c>
      <c r="M1166">
        <v>432</v>
      </c>
      <c r="N1166">
        <v>38</v>
      </c>
      <c r="O1166">
        <v>177</v>
      </c>
      <c r="P1166" s="1">
        <v>44136</v>
      </c>
      <c r="Q1166">
        <v>334</v>
      </c>
    </row>
    <row r="1167" spans="1:17" x14ac:dyDescent="0.25">
      <c r="A1167" s="1">
        <v>44470</v>
      </c>
      <c r="B1167" t="s">
        <v>152</v>
      </c>
      <c r="C1167" t="s">
        <v>11</v>
      </c>
      <c r="D1167" t="s">
        <v>52</v>
      </c>
      <c r="E1167">
        <v>59</v>
      </c>
      <c r="F1167">
        <v>97</v>
      </c>
      <c r="G1167">
        <v>206</v>
      </c>
      <c r="H1167">
        <v>253</v>
      </c>
      <c r="I1167">
        <v>55</v>
      </c>
      <c r="J1167">
        <v>49</v>
      </c>
      <c r="K1167">
        <v>153</v>
      </c>
      <c r="L1167">
        <v>52</v>
      </c>
      <c r="M1167">
        <v>69</v>
      </c>
      <c r="N1167">
        <v>129</v>
      </c>
      <c r="O1167">
        <v>163</v>
      </c>
      <c r="P1167" s="1">
        <v>43862</v>
      </c>
      <c r="Q1167">
        <v>608</v>
      </c>
    </row>
    <row r="1168" spans="1:17" x14ac:dyDescent="0.25">
      <c r="A1168" s="1">
        <v>44470</v>
      </c>
      <c r="B1168" t="s">
        <v>153</v>
      </c>
      <c r="C1168" t="s">
        <v>73</v>
      </c>
      <c r="D1168" t="s">
        <v>72</v>
      </c>
      <c r="E1168">
        <v>1289</v>
      </c>
      <c r="F1168">
        <v>2105</v>
      </c>
      <c r="G1168">
        <v>2802</v>
      </c>
      <c r="H1168">
        <v>16229</v>
      </c>
      <c r="I1168">
        <v>1842</v>
      </c>
      <c r="J1168">
        <v>3328</v>
      </c>
      <c r="K1168">
        <v>3089</v>
      </c>
      <c r="L1168">
        <v>12366</v>
      </c>
      <c r="M1168">
        <v>9532</v>
      </c>
      <c r="N1168">
        <v>2254</v>
      </c>
      <c r="O1168">
        <v>16987</v>
      </c>
      <c r="P1168" s="1">
        <v>44440</v>
      </c>
      <c r="Q1168">
        <v>30</v>
      </c>
    </row>
    <row r="1169" spans="1:17" x14ac:dyDescent="0.25">
      <c r="A1169" s="1">
        <v>44470</v>
      </c>
      <c r="B1169" t="s">
        <v>154</v>
      </c>
      <c r="C1169" t="s">
        <v>17</v>
      </c>
      <c r="D1169" t="s">
        <v>74</v>
      </c>
      <c r="E1169">
        <v>267</v>
      </c>
      <c r="F1169">
        <v>1314</v>
      </c>
      <c r="G1169">
        <v>75</v>
      </c>
      <c r="H1169">
        <v>441</v>
      </c>
      <c r="I1169">
        <v>421</v>
      </c>
      <c r="J1169">
        <v>1081</v>
      </c>
      <c r="K1169">
        <v>127</v>
      </c>
      <c r="L1169">
        <v>1082</v>
      </c>
      <c r="M1169">
        <v>476</v>
      </c>
      <c r="N1169">
        <v>27</v>
      </c>
      <c r="O1169">
        <v>813</v>
      </c>
      <c r="P1169" s="1">
        <v>44197</v>
      </c>
      <c r="Q1169">
        <v>273</v>
      </c>
    </row>
    <row r="1170" spans="1:17" x14ac:dyDescent="0.25">
      <c r="A1170" s="1">
        <v>44470</v>
      </c>
      <c r="B1170" t="s">
        <v>155</v>
      </c>
      <c r="C1170" t="s">
        <v>76</v>
      </c>
      <c r="D1170" t="s">
        <v>75</v>
      </c>
      <c r="E1170">
        <v>383</v>
      </c>
      <c r="F1170">
        <v>1612</v>
      </c>
      <c r="G1170">
        <v>1882</v>
      </c>
      <c r="H1170">
        <v>490</v>
      </c>
      <c r="I1170">
        <v>784</v>
      </c>
      <c r="J1170">
        <v>79</v>
      </c>
      <c r="K1170">
        <v>1127</v>
      </c>
      <c r="L1170">
        <v>587</v>
      </c>
      <c r="M1170">
        <v>5042</v>
      </c>
      <c r="N1170">
        <v>1315</v>
      </c>
      <c r="O1170">
        <v>359</v>
      </c>
      <c r="P1170" s="1">
        <v>44470</v>
      </c>
      <c r="Q1170">
        <v>0</v>
      </c>
    </row>
    <row r="1171" spans="1:17" x14ac:dyDescent="0.25">
      <c r="A1171" s="1">
        <v>44470</v>
      </c>
      <c r="B1171" t="s">
        <v>156</v>
      </c>
      <c r="C1171" t="s">
        <v>79</v>
      </c>
      <c r="D1171" t="s">
        <v>78</v>
      </c>
      <c r="E1171">
        <v>204</v>
      </c>
      <c r="F1171">
        <v>268</v>
      </c>
      <c r="G1171">
        <v>245</v>
      </c>
      <c r="H1171">
        <v>1796</v>
      </c>
      <c r="I1171">
        <v>309</v>
      </c>
      <c r="J1171">
        <v>215</v>
      </c>
      <c r="K1171">
        <v>335</v>
      </c>
      <c r="L1171">
        <v>395</v>
      </c>
      <c r="M1171">
        <v>170</v>
      </c>
      <c r="N1171">
        <v>2008</v>
      </c>
      <c r="O1171">
        <v>64</v>
      </c>
      <c r="P1171" s="1">
        <v>44348</v>
      </c>
      <c r="Q1171">
        <v>122</v>
      </c>
    </row>
    <row r="1172" spans="1:17" x14ac:dyDescent="0.25">
      <c r="A1172" s="1">
        <v>44470</v>
      </c>
      <c r="B1172" t="s">
        <v>157</v>
      </c>
      <c r="C1172" t="s">
        <v>81</v>
      </c>
      <c r="D1172" t="s">
        <v>72</v>
      </c>
      <c r="E1172">
        <v>18542</v>
      </c>
      <c r="F1172">
        <v>8084</v>
      </c>
      <c r="G1172">
        <v>605</v>
      </c>
      <c r="H1172">
        <v>19219</v>
      </c>
      <c r="I1172">
        <v>-4471</v>
      </c>
      <c r="J1172">
        <v>9212</v>
      </c>
      <c r="K1172">
        <v>10570</v>
      </c>
      <c r="L1172">
        <v>20516</v>
      </c>
      <c r="M1172">
        <v>2815</v>
      </c>
      <c r="N1172">
        <v>17910</v>
      </c>
      <c r="O1172">
        <v>17099</v>
      </c>
      <c r="P1172" s="1">
        <v>44440</v>
      </c>
      <c r="Q1172">
        <v>30</v>
      </c>
    </row>
    <row r="1173" spans="1:17" x14ac:dyDescent="0.25">
      <c r="A1173" s="1">
        <v>44470</v>
      </c>
      <c r="B1173" t="s">
        <v>158</v>
      </c>
      <c r="C1173" t="s">
        <v>83</v>
      </c>
      <c r="D1173" t="s">
        <v>82</v>
      </c>
      <c r="E1173">
        <v>826</v>
      </c>
      <c r="F1173">
        <v>80</v>
      </c>
      <c r="G1173">
        <v>144</v>
      </c>
      <c r="H1173">
        <v>1125</v>
      </c>
      <c r="I1173">
        <v>984</v>
      </c>
      <c r="J1173">
        <v>1548</v>
      </c>
      <c r="K1173">
        <v>1145</v>
      </c>
      <c r="L1173">
        <v>1013</v>
      </c>
      <c r="M1173">
        <v>998</v>
      </c>
      <c r="N1173">
        <v>1662</v>
      </c>
      <c r="O1173">
        <v>527</v>
      </c>
      <c r="P1173" s="1">
        <v>44228</v>
      </c>
      <c r="Q1173">
        <v>242</v>
      </c>
    </row>
    <row r="1174" spans="1:17" x14ac:dyDescent="0.25">
      <c r="A1174" s="1">
        <v>44470</v>
      </c>
      <c r="B1174" t="s">
        <v>159</v>
      </c>
      <c r="C1174" t="s">
        <v>84</v>
      </c>
      <c r="D1174" t="s">
        <v>55</v>
      </c>
      <c r="E1174">
        <v>473</v>
      </c>
      <c r="F1174">
        <v>958</v>
      </c>
      <c r="G1174">
        <v>369</v>
      </c>
      <c r="H1174">
        <v>1035</v>
      </c>
      <c r="I1174">
        <v>1033</v>
      </c>
      <c r="J1174">
        <v>87</v>
      </c>
      <c r="K1174">
        <v>1130</v>
      </c>
      <c r="L1174">
        <v>1144</v>
      </c>
      <c r="M1174">
        <v>204</v>
      </c>
      <c r="N1174">
        <v>1307</v>
      </c>
      <c r="O1174">
        <v>235</v>
      </c>
      <c r="P1174" s="1">
        <v>44256</v>
      </c>
      <c r="Q1174">
        <v>214</v>
      </c>
    </row>
    <row r="1175" spans="1:17" x14ac:dyDescent="0.25">
      <c r="A1175" s="1">
        <v>44470</v>
      </c>
      <c r="B1175" t="s">
        <v>160</v>
      </c>
      <c r="C1175" t="s">
        <v>86</v>
      </c>
      <c r="D1175" t="s">
        <v>68</v>
      </c>
      <c r="E1175">
        <v>1649</v>
      </c>
      <c r="F1175">
        <v>482</v>
      </c>
      <c r="G1175">
        <v>32</v>
      </c>
      <c r="H1175">
        <v>1368</v>
      </c>
      <c r="I1175">
        <v>1834</v>
      </c>
      <c r="J1175">
        <v>428</v>
      </c>
      <c r="K1175">
        <v>2825</v>
      </c>
      <c r="L1175">
        <v>519</v>
      </c>
      <c r="M1175">
        <v>1238</v>
      </c>
      <c r="N1175">
        <v>199</v>
      </c>
      <c r="O1175">
        <v>650</v>
      </c>
      <c r="P1175" s="1">
        <v>44317</v>
      </c>
      <c r="Q1175">
        <v>153</v>
      </c>
    </row>
    <row r="1176" spans="1:17" x14ac:dyDescent="0.25">
      <c r="A1176" s="1">
        <v>44470</v>
      </c>
      <c r="B1176" t="s">
        <v>161</v>
      </c>
      <c r="C1176" t="s">
        <v>87</v>
      </c>
      <c r="D1176" t="s">
        <v>72</v>
      </c>
      <c r="E1176">
        <v>7000</v>
      </c>
      <c r="F1176">
        <v>8720</v>
      </c>
      <c r="G1176">
        <v>1290</v>
      </c>
      <c r="H1176">
        <v>-1093</v>
      </c>
      <c r="I1176">
        <v>10193</v>
      </c>
      <c r="J1176">
        <v>12858</v>
      </c>
      <c r="K1176">
        <v>-934</v>
      </c>
      <c r="L1176">
        <v>16469</v>
      </c>
      <c r="M1176">
        <v>7369</v>
      </c>
      <c r="N1176">
        <v>-4106</v>
      </c>
      <c r="O1176">
        <v>9806</v>
      </c>
      <c r="P1176" s="1">
        <v>44440</v>
      </c>
      <c r="Q1176">
        <v>30</v>
      </c>
    </row>
    <row r="1177" spans="1:17" x14ac:dyDescent="0.25">
      <c r="A1177" s="1">
        <v>44470</v>
      </c>
      <c r="B1177" t="s">
        <v>162</v>
      </c>
      <c r="C1177" t="s">
        <v>89</v>
      </c>
      <c r="D1177" t="s">
        <v>88</v>
      </c>
      <c r="E1177">
        <v>162</v>
      </c>
      <c r="F1177">
        <v>65</v>
      </c>
      <c r="G1177">
        <v>37</v>
      </c>
      <c r="H1177">
        <v>243</v>
      </c>
      <c r="I1177">
        <v>153</v>
      </c>
      <c r="J1177">
        <v>-6</v>
      </c>
      <c r="K1177">
        <v>112</v>
      </c>
      <c r="L1177">
        <v>275</v>
      </c>
      <c r="M1177">
        <v>385</v>
      </c>
      <c r="N1177">
        <v>108</v>
      </c>
      <c r="O1177">
        <v>576</v>
      </c>
      <c r="P1177" s="1">
        <v>44044</v>
      </c>
      <c r="Q1177">
        <v>426</v>
      </c>
    </row>
    <row r="1178" spans="1:17" x14ac:dyDescent="0.25">
      <c r="A1178" s="1">
        <v>44470</v>
      </c>
      <c r="B1178" t="s">
        <v>163</v>
      </c>
      <c r="C1178" t="s">
        <v>90</v>
      </c>
      <c r="D1178" t="s">
        <v>82</v>
      </c>
      <c r="E1178">
        <v>881</v>
      </c>
      <c r="F1178">
        <v>240</v>
      </c>
      <c r="G1178">
        <v>260</v>
      </c>
      <c r="H1178">
        <v>1363</v>
      </c>
      <c r="I1178">
        <v>1279</v>
      </c>
      <c r="J1178">
        <v>209</v>
      </c>
      <c r="K1178">
        <v>164</v>
      </c>
      <c r="L1178">
        <v>70</v>
      </c>
      <c r="M1178">
        <v>923</v>
      </c>
      <c r="N1178">
        <v>535</v>
      </c>
      <c r="O1178">
        <v>248</v>
      </c>
      <c r="P1178" s="1">
        <v>44228</v>
      </c>
      <c r="Q1178">
        <v>242</v>
      </c>
    </row>
    <row r="1179" spans="1:17" x14ac:dyDescent="0.25">
      <c r="A1179" s="1">
        <v>44470</v>
      </c>
      <c r="B1179" t="s">
        <v>164</v>
      </c>
      <c r="C1179" t="s">
        <v>92</v>
      </c>
      <c r="D1179" t="s">
        <v>91</v>
      </c>
      <c r="E1179">
        <v>364</v>
      </c>
      <c r="F1179">
        <v>303</v>
      </c>
      <c r="G1179">
        <v>120</v>
      </c>
      <c r="H1179">
        <v>140</v>
      </c>
      <c r="I1179">
        <v>120</v>
      </c>
      <c r="J1179">
        <v>203</v>
      </c>
      <c r="K1179">
        <v>244</v>
      </c>
      <c r="L1179">
        <v>-12</v>
      </c>
      <c r="M1179">
        <v>236</v>
      </c>
      <c r="N1179">
        <v>133</v>
      </c>
      <c r="O1179">
        <v>158</v>
      </c>
      <c r="P1179" s="1">
        <v>44105</v>
      </c>
      <c r="Q1179">
        <v>365</v>
      </c>
    </row>
    <row r="1180" spans="1:17" x14ac:dyDescent="0.25">
      <c r="A1180" s="1">
        <v>44470</v>
      </c>
      <c r="B1180" t="s">
        <v>165</v>
      </c>
      <c r="C1180" t="s">
        <v>94</v>
      </c>
      <c r="D1180" t="s">
        <v>93</v>
      </c>
      <c r="E1180">
        <v>325</v>
      </c>
      <c r="F1180">
        <v>37</v>
      </c>
      <c r="G1180">
        <v>62</v>
      </c>
      <c r="H1180">
        <v>298</v>
      </c>
      <c r="I1180">
        <v>15</v>
      </c>
      <c r="J1180">
        <v>85</v>
      </c>
      <c r="K1180">
        <v>-22</v>
      </c>
      <c r="L1180">
        <v>211</v>
      </c>
      <c r="M1180">
        <v>22</v>
      </c>
      <c r="N1180">
        <v>182</v>
      </c>
      <c r="O1180">
        <v>273</v>
      </c>
      <c r="P1180" s="1">
        <v>43586</v>
      </c>
      <c r="Q1180">
        <v>884</v>
      </c>
    </row>
    <row r="1181" spans="1:17" x14ac:dyDescent="0.25">
      <c r="A1181" s="1">
        <v>44470</v>
      </c>
      <c r="B1181" t="s">
        <v>166</v>
      </c>
      <c r="C1181" t="s">
        <v>96</v>
      </c>
      <c r="D1181" t="s">
        <v>95</v>
      </c>
      <c r="E1181">
        <v>91</v>
      </c>
      <c r="F1181">
        <v>89</v>
      </c>
      <c r="G1181">
        <v>9</v>
      </c>
      <c r="H1181">
        <v>439</v>
      </c>
      <c r="I1181">
        <v>73</v>
      </c>
      <c r="J1181">
        <v>138</v>
      </c>
      <c r="K1181">
        <v>145</v>
      </c>
      <c r="L1181">
        <v>6</v>
      </c>
      <c r="M1181">
        <v>234</v>
      </c>
      <c r="N1181">
        <v>96</v>
      </c>
      <c r="O1181">
        <v>390</v>
      </c>
      <c r="P1181" s="1">
        <v>43678</v>
      </c>
      <c r="Q1181">
        <v>792</v>
      </c>
    </row>
    <row r="1182" spans="1:17" x14ac:dyDescent="0.25">
      <c r="A1182" s="1">
        <v>44470</v>
      </c>
      <c r="B1182" t="s">
        <v>167</v>
      </c>
      <c r="C1182" t="s">
        <v>97</v>
      </c>
      <c r="D1182" t="s">
        <v>58</v>
      </c>
      <c r="E1182">
        <v>363</v>
      </c>
      <c r="F1182">
        <v>132</v>
      </c>
      <c r="G1182">
        <v>588</v>
      </c>
      <c r="H1182">
        <v>1505</v>
      </c>
      <c r="I1182">
        <v>569</v>
      </c>
      <c r="J1182">
        <v>412</v>
      </c>
      <c r="K1182">
        <v>721</v>
      </c>
      <c r="L1182">
        <v>520</v>
      </c>
      <c r="M1182">
        <v>281</v>
      </c>
      <c r="N1182">
        <v>566</v>
      </c>
      <c r="O1182">
        <v>22</v>
      </c>
      <c r="P1182" s="1">
        <v>44287</v>
      </c>
      <c r="Q1182">
        <v>183</v>
      </c>
    </row>
    <row r="1183" spans="1:17" x14ac:dyDescent="0.25">
      <c r="A1183" s="1">
        <v>44470</v>
      </c>
      <c r="B1183" t="s">
        <v>168</v>
      </c>
      <c r="C1183" t="s">
        <v>98</v>
      </c>
      <c r="D1183" t="s">
        <v>49</v>
      </c>
      <c r="E1183">
        <v>416</v>
      </c>
      <c r="F1183">
        <v>43</v>
      </c>
      <c r="G1183">
        <v>78</v>
      </c>
      <c r="H1183">
        <v>62</v>
      </c>
      <c r="I1183">
        <v>84</v>
      </c>
      <c r="J1183">
        <v>46</v>
      </c>
      <c r="K1183">
        <v>111</v>
      </c>
      <c r="L1183">
        <v>307</v>
      </c>
      <c r="M1183">
        <v>94</v>
      </c>
      <c r="N1183">
        <v>390</v>
      </c>
      <c r="O1183">
        <v>86</v>
      </c>
      <c r="P1183" s="1">
        <v>43709</v>
      </c>
      <c r="Q1183">
        <v>761</v>
      </c>
    </row>
    <row r="1184" spans="1:17" x14ac:dyDescent="0.25">
      <c r="A1184" s="1">
        <v>44470</v>
      </c>
      <c r="B1184" t="s">
        <v>169</v>
      </c>
      <c r="C1184" t="s">
        <v>99</v>
      </c>
      <c r="D1184" t="s">
        <v>95</v>
      </c>
      <c r="E1184">
        <v>94</v>
      </c>
      <c r="F1184">
        <v>226</v>
      </c>
      <c r="G1184">
        <v>144</v>
      </c>
      <c r="H1184">
        <v>139</v>
      </c>
      <c r="I1184">
        <v>267</v>
      </c>
      <c r="J1184">
        <v>223</v>
      </c>
      <c r="K1184">
        <v>210</v>
      </c>
      <c r="L1184">
        <v>7</v>
      </c>
      <c r="M1184">
        <v>122</v>
      </c>
      <c r="N1184">
        <v>126</v>
      </c>
      <c r="O1184">
        <v>131</v>
      </c>
      <c r="P1184" s="1">
        <v>43678</v>
      </c>
      <c r="Q1184">
        <v>792</v>
      </c>
    </row>
    <row r="1185" spans="1:17" x14ac:dyDescent="0.25">
      <c r="A1185" s="1">
        <v>44470</v>
      </c>
      <c r="B1185" t="s">
        <v>170</v>
      </c>
      <c r="C1185" t="s">
        <v>100</v>
      </c>
      <c r="D1185" t="s">
        <v>82</v>
      </c>
      <c r="E1185">
        <v>271</v>
      </c>
      <c r="F1185">
        <v>243</v>
      </c>
      <c r="G1185">
        <v>118</v>
      </c>
      <c r="H1185">
        <v>1650</v>
      </c>
      <c r="I1185">
        <v>357</v>
      </c>
      <c r="J1185">
        <v>273</v>
      </c>
      <c r="K1185">
        <v>1040</v>
      </c>
      <c r="L1185">
        <v>1061</v>
      </c>
      <c r="M1185">
        <v>97</v>
      </c>
      <c r="N1185">
        <v>900</v>
      </c>
      <c r="O1185">
        <v>395</v>
      </c>
      <c r="P1185" s="1">
        <v>44228</v>
      </c>
      <c r="Q1185">
        <v>242</v>
      </c>
    </row>
    <row r="1186" spans="1:17" x14ac:dyDescent="0.25">
      <c r="A1186" s="1">
        <v>44470</v>
      </c>
      <c r="B1186" t="s">
        <v>171</v>
      </c>
      <c r="C1186" t="s">
        <v>101</v>
      </c>
      <c r="D1186" t="s">
        <v>68</v>
      </c>
      <c r="E1186">
        <v>443</v>
      </c>
      <c r="F1186">
        <v>1462</v>
      </c>
      <c r="G1186">
        <v>322</v>
      </c>
      <c r="H1186">
        <v>1235</v>
      </c>
      <c r="I1186">
        <v>2117</v>
      </c>
      <c r="J1186">
        <v>858</v>
      </c>
      <c r="K1186">
        <v>1238</v>
      </c>
      <c r="L1186">
        <v>2496</v>
      </c>
      <c r="M1186">
        <v>2171</v>
      </c>
      <c r="N1186">
        <v>1431</v>
      </c>
      <c r="O1186">
        <v>614</v>
      </c>
      <c r="P1186" s="1">
        <v>44317</v>
      </c>
      <c r="Q1186">
        <v>153</v>
      </c>
    </row>
    <row r="1187" spans="1:17" x14ac:dyDescent="0.25">
      <c r="A1187" s="1">
        <v>44470</v>
      </c>
      <c r="B1187" t="s">
        <v>172</v>
      </c>
      <c r="C1187" t="s">
        <v>102</v>
      </c>
      <c r="D1187" t="s">
        <v>88</v>
      </c>
      <c r="E1187">
        <v>205</v>
      </c>
      <c r="F1187">
        <v>96</v>
      </c>
      <c r="G1187">
        <v>221</v>
      </c>
      <c r="H1187">
        <v>627</v>
      </c>
      <c r="I1187">
        <v>161</v>
      </c>
      <c r="J1187">
        <v>48</v>
      </c>
      <c r="K1187">
        <v>666</v>
      </c>
      <c r="L1187">
        <v>221</v>
      </c>
      <c r="M1187">
        <v>564</v>
      </c>
      <c r="N1187">
        <v>223</v>
      </c>
      <c r="O1187">
        <v>961</v>
      </c>
      <c r="P1187" s="1">
        <v>44044</v>
      </c>
      <c r="Q1187">
        <v>426</v>
      </c>
    </row>
    <row r="1188" spans="1:17" x14ac:dyDescent="0.25">
      <c r="A1188" s="1">
        <v>44470</v>
      </c>
      <c r="B1188" t="s">
        <v>173</v>
      </c>
      <c r="C1188" t="s">
        <v>103</v>
      </c>
      <c r="D1188" t="s">
        <v>52</v>
      </c>
      <c r="E1188">
        <v>117</v>
      </c>
      <c r="F1188">
        <v>185</v>
      </c>
      <c r="G1188">
        <v>162</v>
      </c>
      <c r="H1188">
        <v>361</v>
      </c>
      <c r="I1188">
        <v>329</v>
      </c>
      <c r="J1188">
        <v>172</v>
      </c>
      <c r="K1188">
        <v>249</v>
      </c>
      <c r="L1188">
        <v>170</v>
      </c>
      <c r="M1188">
        <v>88</v>
      </c>
      <c r="N1188">
        <v>112</v>
      </c>
      <c r="O1188">
        <v>106</v>
      </c>
      <c r="P1188" s="1">
        <v>43862</v>
      </c>
      <c r="Q1188">
        <v>608</v>
      </c>
    </row>
    <row r="1189" spans="1:17" x14ac:dyDescent="0.25">
      <c r="A1189" s="1">
        <v>44470</v>
      </c>
      <c r="B1189" t="s">
        <v>174</v>
      </c>
      <c r="C1189" t="s">
        <v>105</v>
      </c>
      <c r="D1189" t="s">
        <v>104</v>
      </c>
      <c r="E1189">
        <v>40</v>
      </c>
      <c r="F1189">
        <v>61</v>
      </c>
      <c r="G1189">
        <v>57</v>
      </c>
      <c r="H1189">
        <v>123</v>
      </c>
      <c r="I1189">
        <v>210</v>
      </c>
      <c r="J1189">
        <v>21</v>
      </c>
      <c r="K1189">
        <v>66</v>
      </c>
      <c r="L1189">
        <v>96</v>
      </c>
      <c r="M1189">
        <v>186</v>
      </c>
      <c r="N1189">
        <v>182</v>
      </c>
      <c r="O1189">
        <v>95</v>
      </c>
      <c r="P1189" s="1">
        <v>43374</v>
      </c>
      <c r="Q1189">
        <v>1096</v>
      </c>
    </row>
    <row r="1190" spans="1:17" x14ac:dyDescent="0.25">
      <c r="A1190" s="1">
        <v>44501</v>
      </c>
      <c r="B1190" t="s">
        <v>142</v>
      </c>
      <c r="C1190" t="s">
        <v>50</v>
      </c>
      <c r="D1190" t="s">
        <v>49</v>
      </c>
      <c r="E1190">
        <v>-87</v>
      </c>
      <c r="F1190">
        <v>292</v>
      </c>
      <c r="G1190">
        <v>88</v>
      </c>
      <c r="H1190">
        <v>424</v>
      </c>
      <c r="I1190">
        <v>166</v>
      </c>
      <c r="J1190">
        <v>484</v>
      </c>
      <c r="K1190">
        <v>64</v>
      </c>
      <c r="L1190">
        <v>171</v>
      </c>
      <c r="M1190">
        <v>727</v>
      </c>
      <c r="N1190">
        <v>280</v>
      </c>
      <c r="O1190">
        <v>460</v>
      </c>
      <c r="P1190" s="1">
        <v>43709</v>
      </c>
      <c r="Q1190">
        <v>792</v>
      </c>
    </row>
    <row r="1191" spans="1:17" x14ac:dyDescent="0.25">
      <c r="A1191" s="1">
        <v>44501</v>
      </c>
      <c r="B1191" t="s">
        <v>143</v>
      </c>
      <c r="C1191" t="s">
        <v>53</v>
      </c>
      <c r="D1191" t="s">
        <v>52</v>
      </c>
      <c r="E1191">
        <v>488</v>
      </c>
      <c r="F1191">
        <v>327</v>
      </c>
      <c r="G1191">
        <v>124</v>
      </c>
      <c r="H1191">
        <v>161</v>
      </c>
      <c r="I1191">
        <v>248</v>
      </c>
      <c r="J1191">
        <v>396</v>
      </c>
      <c r="K1191">
        <v>134</v>
      </c>
      <c r="L1191">
        <v>426</v>
      </c>
      <c r="M1191">
        <v>390</v>
      </c>
      <c r="N1191">
        <v>445</v>
      </c>
      <c r="O1191">
        <v>350</v>
      </c>
      <c r="P1191" s="1">
        <v>43862</v>
      </c>
      <c r="Q1191">
        <v>639</v>
      </c>
    </row>
    <row r="1192" spans="1:17" x14ac:dyDescent="0.25">
      <c r="A1192" s="1">
        <v>44501</v>
      </c>
      <c r="B1192" t="s">
        <v>144</v>
      </c>
      <c r="C1192" t="s">
        <v>56</v>
      </c>
      <c r="D1192" t="s">
        <v>55</v>
      </c>
      <c r="E1192">
        <v>1086</v>
      </c>
      <c r="F1192">
        <v>109</v>
      </c>
      <c r="G1192">
        <v>390</v>
      </c>
      <c r="H1192">
        <v>1094</v>
      </c>
      <c r="I1192">
        <v>1050</v>
      </c>
      <c r="J1192">
        <v>713</v>
      </c>
      <c r="K1192">
        <v>808</v>
      </c>
      <c r="L1192">
        <v>1366</v>
      </c>
      <c r="M1192">
        <v>318</v>
      </c>
      <c r="N1192">
        <v>701</v>
      </c>
      <c r="O1192">
        <v>1055</v>
      </c>
      <c r="P1192" s="1">
        <v>44256</v>
      </c>
      <c r="Q1192">
        <v>245</v>
      </c>
    </row>
    <row r="1193" spans="1:17" x14ac:dyDescent="0.25">
      <c r="A1193" s="1">
        <v>44501</v>
      </c>
      <c r="B1193" t="s">
        <v>145</v>
      </c>
      <c r="C1193" t="s">
        <v>59</v>
      </c>
      <c r="D1193" t="s">
        <v>58</v>
      </c>
      <c r="E1193">
        <v>562</v>
      </c>
      <c r="F1193">
        <v>561</v>
      </c>
      <c r="G1193">
        <v>379</v>
      </c>
      <c r="H1193">
        <v>1018</v>
      </c>
      <c r="I1193">
        <v>-296</v>
      </c>
      <c r="J1193">
        <v>349</v>
      </c>
      <c r="K1193">
        <v>37</v>
      </c>
      <c r="L1193">
        <v>1468</v>
      </c>
      <c r="M1193">
        <v>161</v>
      </c>
      <c r="N1193">
        <v>1667</v>
      </c>
      <c r="O1193">
        <v>407</v>
      </c>
      <c r="P1193" s="1">
        <v>44287</v>
      </c>
      <c r="Q1193">
        <v>214</v>
      </c>
    </row>
    <row r="1194" spans="1:17" x14ac:dyDescent="0.25">
      <c r="A1194" s="1">
        <v>44501</v>
      </c>
      <c r="B1194" t="s">
        <v>146</v>
      </c>
      <c r="C1194" t="s">
        <v>62</v>
      </c>
      <c r="D1194" t="s">
        <v>61</v>
      </c>
      <c r="E1194">
        <v>539</v>
      </c>
      <c r="F1194">
        <v>195</v>
      </c>
      <c r="G1194">
        <v>206</v>
      </c>
      <c r="H1194">
        <v>201</v>
      </c>
      <c r="I1194">
        <v>61</v>
      </c>
      <c r="J1194">
        <v>99</v>
      </c>
      <c r="K1194">
        <v>147</v>
      </c>
      <c r="L1194">
        <v>196</v>
      </c>
      <c r="M1194">
        <v>147</v>
      </c>
      <c r="N1194">
        <v>5</v>
      </c>
      <c r="O1194">
        <v>102</v>
      </c>
      <c r="P1194" s="1">
        <v>44075</v>
      </c>
      <c r="Q1194">
        <v>426</v>
      </c>
    </row>
    <row r="1195" spans="1:17" x14ac:dyDescent="0.25">
      <c r="A1195" s="1">
        <v>44501</v>
      </c>
      <c r="B1195" t="s">
        <v>147</v>
      </c>
      <c r="C1195" t="s">
        <v>64</v>
      </c>
      <c r="D1195" t="s">
        <v>52</v>
      </c>
      <c r="E1195">
        <v>401</v>
      </c>
      <c r="F1195">
        <v>335</v>
      </c>
      <c r="G1195">
        <v>71</v>
      </c>
      <c r="H1195">
        <v>94</v>
      </c>
      <c r="I1195">
        <v>38</v>
      </c>
      <c r="J1195">
        <v>48</v>
      </c>
      <c r="K1195">
        <v>42</v>
      </c>
      <c r="L1195">
        <v>97</v>
      </c>
      <c r="M1195">
        <v>74</v>
      </c>
      <c r="N1195">
        <v>117</v>
      </c>
      <c r="O1195">
        <v>128</v>
      </c>
      <c r="P1195" s="1">
        <v>43862</v>
      </c>
      <c r="Q1195">
        <v>639</v>
      </c>
    </row>
    <row r="1196" spans="1:17" x14ac:dyDescent="0.25">
      <c r="A1196" s="1">
        <v>44501</v>
      </c>
      <c r="B1196" t="s">
        <v>148</v>
      </c>
      <c r="C1196" t="s">
        <v>66</v>
      </c>
      <c r="D1196" t="s">
        <v>55</v>
      </c>
      <c r="E1196">
        <v>700</v>
      </c>
      <c r="F1196">
        <v>59</v>
      </c>
      <c r="G1196">
        <v>232</v>
      </c>
      <c r="H1196">
        <v>1047</v>
      </c>
      <c r="I1196">
        <v>326</v>
      </c>
      <c r="J1196">
        <v>-32</v>
      </c>
      <c r="K1196">
        <v>1231</v>
      </c>
      <c r="L1196">
        <v>300</v>
      </c>
      <c r="M1196">
        <v>434</v>
      </c>
      <c r="N1196">
        <v>1107</v>
      </c>
      <c r="O1196">
        <v>1126</v>
      </c>
      <c r="P1196" s="1">
        <v>44256</v>
      </c>
      <c r="Q1196">
        <v>245</v>
      </c>
    </row>
    <row r="1197" spans="1:17" x14ac:dyDescent="0.25">
      <c r="A1197" s="1">
        <v>44501</v>
      </c>
      <c r="B1197" t="s">
        <v>149</v>
      </c>
      <c r="C1197" t="s">
        <v>67</v>
      </c>
      <c r="D1197" t="s">
        <v>55</v>
      </c>
      <c r="E1197">
        <v>1556</v>
      </c>
      <c r="F1197">
        <v>793</v>
      </c>
      <c r="G1197">
        <v>263</v>
      </c>
      <c r="H1197">
        <v>1912</v>
      </c>
      <c r="I1197">
        <v>1411</v>
      </c>
      <c r="J1197">
        <v>963</v>
      </c>
      <c r="K1197">
        <v>1028</v>
      </c>
      <c r="L1197">
        <v>184</v>
      </c>
      <c r="M1197">
        <v>421</v>
      </c>
      <c r="N1197">
        <v>1357</v>
      </c>
      <c r="O1197">
        <v>343</v>
      </c>
      <c r="P1197" s="1">
        <v>44256</v>
      </c>
      <c r="Q1197">
        <v>245</v>
      </c>
    </row>
    <row r="1198" spans="1:17" x14ac:dyDescent="0.25">
      <c r="A1198" s="1">
        <v>44501</v>
      </c>
      <c r="B1198" t="s">
        <v>150</v>
      </c>
      <c r="C1198" t="s">
        <v>69</v>
      </c>
      <c r="D1198" t="s">
        <v>68</v>
      </c>
      <c r="E1198">
        <v>983</v>
      </c>
      <c r="F1198">
        <v>165</v>
      </c>
      <c r="G1198">
        <v>116</v>
      </c>
      <c r="H1198">
        <v>1734</v>
      </c>
      <c r="I1198">
        <v>301</v>
      </c>
      <c r="J1198">
        <v>289</v>
      </c>
      <c r="K1198">
        <v>217</v>
      </c>
      <c r="L1198">
        <v>137</v>
      </c>
      <c r="M1198">
        <v>182</v>
      </c>
      <c r="N1198">
        <v>346</v>
      </c>
      <c r="O1198">
        <v>1102</v>
      </c>
      <c r="P1198" s="1">
        <v>44317</v>
      </c>
      <c r="Q1198">
        <v>184</v>
      </c>
    </row>
    <row r="1199" spans="1:17" x14ac:dyDescent="0.25">
      <c r="A1199" s="1">
        <v>44501</v>
      </c>
      <c r="B1199" t="s">
        <v>151</v>
      </c>
      <c r="C1199" t="s">
        <v>71</v>
      </c>
      <c r="D1199" t="s">
        <v>70</v>
      </c>
      <c r="E1199">
        <v>120</v>
      </c>
      <c r="F1199">
        <v>192</v>
      </c>
      <c r="G1199">
        <v>71</v>
      </c>
      <c r="H1199">
        <v>277</v>
      </c>
      <c r="I1199">
        <v>216</v>
      </c>
      <c r="J1199">
        <v>50</v>
      </c>
      <c r="K1199">
        <v>278</v>
      </c>
      <c r="L1199">
        <v>155</v>
      </c>
      <c r="M1199">
        <v>676</v>
      </c>
      <c r="N1199">
        <v>221</v>
      </c>
      <c r="O1199">
        <v>293</v>
      </c>
      <c r="P1199" s="1">
        <v>44136</v>
      </c>
      <c r="Q1199">
        <v>365</v>
      </c>
    </row>
    <row r="1200" spans="1:17" x14ac:dyDescent="0.25">
      <c r="A1200" s="1">
        <v>44501</v>
      </c>
      <c r="B1200" t="s">
        <v>152</v>
      </c>
      <c r="C1200" t="s">
        <v>11</v>
      </c>
      <c r="D1200" t="s">
        <v>52</v>
      </c>
      <c r="E1200">
        <v>152</v>
      </c>
      <c r="F1200">
        <v>116</v>
      </c>
      <c r="G1200">
        <v>95</v>
      </c>
      <c r="H1200">
        <v>253</v>
      </c>
      <c r="I1200">
        <v>13</v>
      </c>
      <c r="J1200">
        <v>36</v>
      </c>
      <c r="K1200">
        <v>95</v>
      </c>
      <c r="L1200">
        <v>83</v>
      </c>
      <c r="M1200">
        <v>94</v>
      </c>
      <c r="N1200">
        <v>142</v>
      </c>
      <c r="O1200">
        <v>132</v>
      </c>
      <c r="P1200" s="1">
        <v>43862</v>
      </c>
      <c r="Q1200">
        <v>639</v>
      </c>
    </row>
    <row r="1201" spans="1:17" x14ac:dyDescent="0.25">
      <c r="A1201" s="1">
        <v>44501</v>
      </c>
      <c r="B1201" t="s">
        <v>153</v>
      </c>
      <c r="C1201" t="s">
        <v>73</v>
      </c>
      <c r="D1201" t="s">
        <v>72</v>
      </c>
      <c r="E1201">
        <v>541</v>
      </c>
      <c r="F1201">
        <v>1200</v>
      </c>
      <c r="G1201">
        <v>619</v>
      </c>
      <c r="H1201">
        <v>4192</v>
      </c>
      <c r="I1201">
        <v>1205</v>
      </c>
      <c r="J1201">
        <v>5189</v>
      </c>
      <c r="K1201">
        <v>897</v>
      </c>
      <c r="L1201">
        <v>1195</v>
      </c>
      <c r="M1201">
        <v>4432</v>
      </c>
      <c r="N1201">
        <v>980</v>
      </c>
      <c r="O1201">
        <v>2108</v>
      </c>
      <c r="P1201" s="1">
        <v>44440</v>
      </c>
      <c r="Q1201">
        <v>61</v>
      </c>
    </row>
    <row r="1202" spans="1:17" x14ac:dyDescent="0.25">
      <c r="A1202" s="1">
        <v>44501</v>
      </c>
      <c r="B1202" t="s">
        <v>154</v>
      </c>
      <c r="C1202" t="s">
        <v>17</v>
      </c>
      <c r="D1202" t="s">
        <v>74</v>
      </c>
      <c r="E1202">
        <v>1494</v>
      </c>
      <c r="F1202">
        <v>692</v>
      </c>
      <c r="G1202">
        <v>250</v>
      </c>
      <c r="H1202">
        <v>408</v>
      </c>
      <c r="I1202">
        <v>58</v>
      </c>
      <c r="J1202">
        <v>481</v>
      </c>
      <c r="K1202">
        <v>207</v>
      </c>
      <c r="L1202">
        <v>785</v>
      </c>
      <c r="M1202">
        <v>873</v>
      </c>
      <c r="N1202">
        <v>712</v>
      </c>
      <c r="O1202">
        <v>636</v>
      </c>
      <c r="P1202" s="1">
        <v>44197</v>
      </c>
      <c r="Q1202">
        <v>304</v>
      </c>
    </row>
    <row r="1203" spans="1:17" x14ac:dyDescent="0.25">
      <c r="A1203" s="1">
        <v>44501</v>
      </c>
      <c r="B1203" t="s">
        <v>155</v>
      </c>
      <c r="C1203" t="s">
        <v>76</v>
      </c>
      <c r="D1203" t="s">
        <v>75</v>
      </c>
      <c r="E1203">
        <v>787</v>
      </c>
      <c r="F1203">
        <v>955</v>
      </c>
      <c r="G1203">
        <v>792</v>
      </c>
      <c r="H1203">
        <v>1775</v>
      </c>
      <c r="I1203">
        <v>757</v>
      </c>
      <c r="J1203">
        <v>970</v>
      </c>
      <c r="K1203">
        <v>1456</v>
      </c>
      <c r="L1203">
        <v>844</v>
      </c>
      <c r="M1203">
        <v>15755</v>
      </c>
      <c r="N1203">
        <v>463</v>
      </c>
      <c r="O1203">
        <v>706</v>
      </c>
      <c r="P1203" s="1">
        <v>44470</v>
      </c>
      <c r="Q1203">
        <v>31</v>
      </c>
    </row>
    <row r="1204" spans="1:17" x14ac:dyDescent="0.25">
      <c r="A1204" s="1">
        <v>44501</v>
      </c>
      <c r="B1204" t="s">
        <v>156</v>
      </c>
      <c r="C1204" t="s">
        <v>79</v>
      </c>
      <c r="D1204" t="s">
        <v>78</v>
      </c>
      <c r="E1204">
        <v>190</v>
      </c>
      <c r="F1204">
        <v>227</v>
      </c>
      <c r="G1204">
        <v>353</v>
      </c>
      <c r="H1204">
        <v>1429</v>
      </c>
      <c r="I1204">
        <v>215</v>
      </c>
      <c r="J1204">
        <v>265</v>
      </c>
      <c r="K1204">
        <v>300</v>
      </c>
      <c r="L1204">
        <v>329</v>
      </c>
      <c r="M1204">
        <v>129</v>
      </c>
      <c r="N1204">
        <v>169</v>
      </c>
      <c r="O1204">
        <v>231</v>
      </c>
      <c r="P1204" s="1">
        <v>44348</v>
      </c>
      <c r="Q1204">
        <v>153</v>
      </c>
    </row>
    <row r="1205" spans="1:17" x14ac:dyDescent="0.25">
      <c r="A1205" s="1">
        <v>44501</v>
      </c>
      <c r="B1205" t="s">
        <v>157</v>
      </c>
      <c r="C1205" t="s">
        <v>81</v>
      </c>
      <c r="D1205" t="s">
        <v>72</v>
      </c>
      <c r="E1205">
        <v>4119</v>
      </c>
      <c r="F1205">
        <v>6811</v>
      </c>
      <c r="G1205">
        <v>1839</v>
      </c>
      <c r="H1205">
        <v>4161</v>
      </c>
      <c r="I1205">
        <v>4246</v>
      </c>
      <c r="J1205">
        <v>-275</v>
      </c>
      <c r="K1205">
        <v>6861</v>
      </c>
      <c r="L1205">
        <v>3461</v>
      </c>
      <c r="M1205">
        <v>4849</v>
      </c>
      <c r="N1205">
        <v>2763</v>
      </c>
      <c r="O1205">
        <v>5456</v>
      </c>
      <c r="P1205" s="1">
        <v>44440</v>
      </c>
      <c r="Q1205">
        <v>61</v>
      </c>
    </row>
    <row r="1206" spans="1:17" x14ac:dyDescent="0.25">
      <c r="A1206" s="1">
        <v>44501</v>
      </c>
      <c r="B1206" t="s">
        <v>158</v>
      </c>
      <c r="C1206" t="s">
        <v>83</v>
      </c>
      <c r="D1206" t="s">
        <v>82</v>
      </c>
      <c r="E1206">
        <v>256</v>
      </c>
      <c r="F1206">
        <v>825</v>
      </c>
      <c r="G1206">
        <v>343</v>
      </c>
      <c r="H1206">
        <v>630</v>
      </c>
      <c r="I1206">
        <v>914</v>
      </c>
      <c r="J1206">
        <v>574</v>
      </c>
      <c r="K1206">
        <v>779</v>
      </c>
      <c r="L1206">
        <v>1174</v>
      </c>
      <c r="M1206">
        <v>-26</v>
      </c>
      <c r="N1206">
        <v>1317</v>
      </c>
      <c r="O1206">
        <v>845</v>
      </c>
      <c r="P1206" s="1">
        <v>44228</v>
      </c>
      <c r="Q1206">
        <v>273</v>
      </c>
    </row>
    <row r="1207" spans="1:17" x14ac:dyDescent="0.25">
      <c r="A1207" s="1">
        <v>44501</v>
      </c>
      <c r="B1207" t="s">
        <v>159</v>
      </c>
      <c r="C1207" t="s">
        <v>84</v>
      </c>
      <c r="D1207" t="s">
        <v>55</v>
      </c>
      <c r="E1207">
        <v>209</v>
      </c>
      <c r="F1207">
        <v>926</v>
      </c>
      <c r="G1207">
        <v>-56</v>
      </c>
      <c r="H1207">
        <v>1644</v>
      </c>
      <c r="I1207">
        <v>813</v>
      </c>
      <c r="J1207">
        <v>359</v>
      </c>
      <c r="K1207">
        <v>858</v>
      </c>
      <c r="L1207">
        <v>1059</v>
      </c>
      <c r="M1207">
        <v>235</v>
      </c>
      <c r="N1207">
        <v>636</v>
      </c>
      <c r="O1207">
        <v>219</v>
      </c>
      <c r="P1207" s="1">
        <v>44256</v>
      </c>
      <c r="Q1207">
        <v>245</v>
      </c>
    </row>
    <row r="1208" spans="1:17" x14ac:dyDescent="0.25">
      <c r="A1208" s="1">
        <v>44501</v>
      </c>
      <c r="B1208" t="s">
        <v>160</v>
      </c>
      <c r="C1208" t="s">
        <v>86</v>
      </c>
      <c r="D1208" t="s">
        <v>68</v>
      </c>
      <c r="E1208">
        <v>990</v>
      </c>
      <c r="F1208">
        <v>303</v>
      </c>
      <c r="G1208">
        <v>354</v>
      </c>
      <c r="H1208">
        <v>311</v>
      </c>
      <c r="I1208">
        <v>1645</v>
      </c>
      <c r="J1208">
        <v>403</v>
      </c>
      <c r="K1208">
        <v>677</v>
      </c>
      <c r="L1208">
        <v>630</v>
      </c>
      <c r="M1208">
        <v>1294</v>
      </c>
      <c r="N1208">
        <v>337</v>
      </c>
      <c r="O1208">
        <v>2534</v>
      </c>
      <c r="P1208" s="1">
        <v>44317</v>
      </c>
      <c r="Q1208">
        <v>184</v>
      </c>
    </row>
    <row r="1209" spans="1:17" x14ac:dyDescent="0.25">
      <c r="A1209" s="1">
        <v>44501</v>
      </c>
      <c r="B1209" t="s">
        <v>161</v>
      </c>
      <c r="C1209" t="s">
        <v>87</v>
      </c>
      <c r="D1209" t="s">
        <v>72</v>
      </c>
      <c r="E1209">
        <v>4325</v>
      </c>
      <c r="F1209">
        <v>6570</v>
      </c>
      <c r="G1209">
        <v>1486</v>
      </c>
      <c r="H1209">
        <v>3909</v>
      </c>
      <c r="I1209">
        <v>7031</v>
      </c>
      <c r="J1209">
        <v>3509</v>
      </c>
      <c r="K1209">
        <v>5989</v>
      </c>
      <c r="L1209">
        <v>1512</v>
      </c>
      <c r="M1209">
        <v>5350</v>
      </c>
      <c r="N1209">
        <v>5827</v>
      </c>
      <c r="O1209">
        <v>3255</v>
      </c>
      <c r="P1209" s="1">
        <v>44440</v>
      </c>
      <c r="Q1209">
        <v>61</v>
      </c>
    </row>
    <row r="1210" spans="1:17" x14ac:dyDescent="0.25">
      <c r="A1210" s="1">
        <v>44501</v>
      </c>
      <c r="B1210" t="s">
        <v>162</v>
      </c>
      <c r="C1210" t="s">
        <v>89</v>
      </c>
      <c r="D1210" t="s">
        <v>88</v>
      </c>
      <c r="E1210">
        <v>94</v>
      </c>
      <c r="F1210">
        <v>132</v>
      </c>
      <c r="G1210">
        <v>96</v>
      </c>
      <c r="H1210">
        <v>144</v>
      </c>
      <c r="I1210">
        <v>101</v>
      </c>
      <c r="J1210">
        <v>159</v>
      </c>
      <c r="K1210">
        <v>505</v>
      </c>
      <c r="L1210">
        <v>123</v>
      </c>
      <c r="M1210">
        <v>718</v>
      </c>
      <c r="N1210">
        <v>265</v>
      </c>
      <c r="O1210">
        <v>633</v>
      </c>
      <c r="P1210" s="1">
        <v>44044</v>
      </c>
      <c r="Q1210">
        <v>457</v>
      </c>
    </row>
    <row r="1211" spans="1:17" x14ac:dyDescent="0.25">
      <c r="A1211" s="1">
        <v>44501</v>
      </c>
      <c r="B1211" t="s">
        <v>163</v>
      </c>
      <c r="C1211" t="s">
        <v>90</v>
      </c>
      <c r="D1211" t="s">
        <v>82</v>
      </c>
      <c r="E1211">
        <v>1419</v>
      </c>
      <c r="F1211">
        <v>-26</v>
      </c>
      <c r="G1211">
        <v>128</v>
      </c>
      <c r="H1211">
        <v>-43</v>
      </c>
      <c r="I1211">
        <v>472</v>
      </c>
      <c r="J1211">
        <v>380</v>
      </c>
      <c r="K1211">
        <v>66</v>
      </c>
      <c r="L1211">
        <v>331</v>
      </c>
      <c r="M1211">
        <v>221</v>
      </c>
      <c r="N1211">
        <v>300</v>
      </c>
      <c r="O1211">
        <v>164</v>
      </c>
      <c r="P1211" s="1">
        <v>44228</v>
      </c>
      <c r="Q1211">
        <v>273</v>
      </c>
    </row>
    <row r="1212" spans="1:17" x14ac:dyDescent="0.25">
      <c r="A1212" s="1">
        <v>44501</v>
      </c>
      <c r="B1212" t="s">
        <v>164</v>
      </c>
      <c r="C1212" t="s">
        <v>92</v>
      </c>
      <c r="D1212" t="s">
        <v>91</v>
      </c>
      <c r="E1212">
        <v>549</v>
      </c>
      <c r="F1212">
        <v>5</v>
      </c>
      <c r="G1212">
        <v>167</v>
      </c>
      <c r="H1212">
        <v>144</v>
      </c>
      <c r="I1212">
        <v>66</v>
      </c>
      <c r="J1212">
        <v>89</v>
      </c>
      <c r="K1212">
        <v>121</v>
      </c>
      <c r="L1212">
        <v>158</v>
      </c>
      <c r="M1212">
        <v>102</v>
      </c>
      <c r="N1212">
        <v>186</v>
      </c>
      <c r="O1212">
        <v>116</v>
      </c>
      <c r="P1212" s="1">
        <v>44105</v>
      </c>
      <c r="Q1212">
        <v>396</v>
      </c>
    </row>
    <row r="1213" spans="1:17" x14ac:dyDescent="0.25">
      <c r="A1213" s="1">
        <v>44501</v>
      </c>
      <c r="B1213" t="s">
        <v>165</v>
      </c>
      <c r="C1213" t="s">
        <v>94</v>
      </c>
      <c r="D1213" t="s">
        <v>93</v>
      </c>
      <c r="E1213">
        <v>228</v>
      </c>
      <c r="F1213">
        <v>3</v>
      </c>
      <c r="G1213">
        <v>46</v>
      </c>
      <c r="H1213">
        <v>280</v>
      </c>
      <c r="I1213">
        <v>266</v>
      </c>
      <c r="J1213">
        <v>74</v>
      </c>
      <c r="K1213">
        <v>84</v>
      </c>
      <c r="L1213">
        <v>358</v>
      </c>
      <c r="M1213">
        <v>112</v>
      </c>
      <c r="N1213">
        <v>289</v>
      </c>
      <c r="O1213">
        <v>362</v>
      </c>
      <c r="P1213" s="1">
        <v>43586</v>
      </c>
      <c r="Q1213">
        <v>915</v>
      </c>
    </row>
    <row r="1214" spans="1:17" x14ac:dyDescent="0.25">
      <c r="A1214" s="1">
        <v>44501</v>
      </c>
      <c r="B1214" t="s">
        <v>166</v>
      </c>
      <c r="C1214" t="s">
        <v>96</v>
      </c>
      <c r="D1214" t="s">
        <v>95</v>
      </c>
      <c r="E1214">
        <v>110</v>
      </c>
      <c r="F1214">
        <v>4</v>
      </c>
      <c r="G1214">
        <v>69</v>
      </c>
      <c r="H1214">
        <v>167</v>
      </c>
      <c r="I1214">
        <v>61</v>
      </c>
      <c r="J1214">
        <v>99</v>
      </c>
      <c r="K1214">
        <v>441</v>
      </c>
      <c r="L1214">
        <v>14</v>
      </c>
      <c r="M1214">
        <v>369</v>
      </c>
      <c r="N1214">
        <v>32</v>
      </c>
      <c r="O1214">
        <v>563</v>
      </c>
      <c r="P1214" s="1">
        <v>43678</v>
      </c>
      <c r="Q1214">
        <v>823</v>
      </c>
    </row>
    <row r="1215" spans="1:17" x14ac:dyDescent="0.25">
      <c r="A1215" s="1">
        <v>44501</v>
      </c>
      <c r="B1215" t="s">
        <v>167</v>
      </c>
      <c r="C1215" t="s">
        <v>97</v>
      </c>
      <c r="D1215" t="s">
        <v>58</v>
      </c>
      <c r="E1215">
        <v>212</v>
      </c>
      <c r="F1215">
        <v>481</v>
      </c>
      <c r="G1215">
        <v>371</v>
      </c>
      <c r="H1215">
        <v>690</v>
      </c>
      <c r="I1215">
        <v>715</v>
      </c>
      <c r="J1215">
        <v>609</v>
      </c>
      <c r="K1215">
        <v>1142</v>
      </c>
      <c r="L1215">
        <v>1154</v>
      </c>
      <c r="M1215">
        <v>364</v>
      </c>
      <c r="N1215">
        <v>2034</v>
      </c>
      <c r="O1215">
        <v>391</v>
      </c>
      <c r="P1215" s="1">
        <v>44287</v>
      </c>
      <c r="Q1215">
        <v>214</v>
      </c>
    </row>
    <row r="1216" spans="1:17" x14ac:dyDescent="0.25">
      <c r="A1216" s="1">
        <v>44501</v>
      </c>
      <c r="B1216" t="s">
        <v>168</v>
      </c>
      <c r="C1216" t="s">
        <v>98</v>
      </c>
      <c r="D1216" t="s">
        <v>49</v>
      </c>
      <c r="E1216">
        <v>57</v>
      </c>
      <c r="F1216">
        <v>44</v>
      </c>
      <c r="G1216">
        <v>92</v>
      </c>
      <c r="H1216">
        <v>90</v>
      </c>
      <c r="I1216">
        <v>83</v>
      </c>
      <c r="J1216">
        <v>103</v>
      </c>
      <c r="K1216">
        <v>71</v>
      </c>
      <c r="L1216">
        <v>344</v>
      </c>
      <c r="M1216">
        <v>32</v>
      </c>
      <c r="N1216">
        <v>373</v>
      </c>
      <c r="O1216">
        <v>152</v>
      </c>
      <c r="P1216" s="1">
        <v>43709</v>
      </c>
      <c r="Q1216">
        <v>792</v>
      </c>
    </row>
    <row r="1217" spans="1:17" x14ac:dyDescent="0.25">
      <c r="A1217" s="1">
        <v>44501</v>
      </c>
      <c r="B1217" t="s">
        <v>169</v>
      </c>
      <c r="C1217" t="s">
        <v>99</v>
      </c>
      <c r="D1217" t="s">
        <v>95</v>
      </c>
      <c r="E1217">
        <v>111</v>
      </c>
      <c r="F1217">
        <v>247</v>
      </c>
      <c r="G1217">
        <v>162</v>
      </c>
      <c r="H1217">
        <v>225</v>
      </c>
      <c r="I1217">
        <v>226</v>
      </c>
      <c r="J1217">
        <v>253</v>
      </c>
      <c r="K1217">
        <v>225</v>
      </c>
      <c r="L1217">
        <v>51</v>
      </c>
      <c r="M1217">
        <v>273</v>
      </c>
      <c r="N1217">
        <v>17</v>
      </c>
      <c r="O1217">
        <v>367</v>
      </c>
      <c r="P1217" s="1">
        <v>43678</v>
      </c>
      <c r="Q1217">
        <v>823</v>
      </c>
    </row>
    <row r="1218" spans="1:17" x14ac:dyDescent="0.25">
      <c r="A1218" s="1">
        <v>44501</v>
      </c>
      <c r="B1218" t="s">
        <v>170</v>
      </c>
      <c r="C1218" t="s">
        <v>100</v>
      </c>
      <c r="D1218" t="s">
        <v>82</v>
      </c>
      <c r="E1218">
        <v>216</v>
      </c>
      <c r="F1218">
        <v>41</v>
      </c>
      <c r="G1218">
        <v>227</v>
      </c>
      <c r="H1218">
        <v>753</v>
      </c>
      <c r="I1218">
        <v>616</v>
      </c>
      <c r="J1218">
        <v>355</v>
      </c>
      <c r="K1218">
        <v>1314</v>
      </c>
      <c r="L1218">
        <v>1142</v>
      </c>
      <c r="M1218">
        <v>275</v>
      </c>
      <c r="N1218">
        <v>801</v>
      </c>
      <c r="O1218">
        <v>295</v>
      </c>
      <c r="P1218" s="1">
        <v>44228</v>
      </c>
      <c r="Q1218">
        <v>273</v>
      </c>
    </row>
    <row r="1219" spans="1:17" x14ac:dyDescent="0.25">
      <c r="A1219" s="1">
        <v>44501</v>
      </c>
      <c r="B1219" t="s">
        <v>171</v>
      </c>
      <c r="C1219" t="s">
        <v>101</v>
      </c>
      <c r="D1219" t="s">
        <v>68</v>
      </c>
      <c r="E1219">
        <v>321</v>
      </c>
      <c r="F1219">
        <v>1380</v>
      </c>
      <c r="G1219">
        <v>417</v>
      </c>
      <c r="H1219">
        <v>1227</v>
      </c>
      <c r="I1219">
        <v>855</v>
      </c>
      <c r="J1219">
        <v>1109</v>
      </c>
      <c r="K1219">
        <v>1942</v>
      </c>
      <c r="L1219">
        <v>1034</v>
      </c>
      <c r="M1219">
        <v>337</v>
      </c>
      <c r="N1219">
        <v>1424</v>
      </c>
      <c r="O1219">
        <v>833</v>
      </c>
      <c r="P1219" s="1">
        <v>44317</v>
      </c>
      <c r="Q1219">
        <v>184</v>
      </c>
    </row>
    <row r="1220" spans="1:17" x14ac:dyDescent="0.25">
      <c r="A1220" s="1">
        <v>44501</v>
      </c>
      <c r="B1220" t="s">
        <v>172</v>
      </c>
      <c r="C1220" t="s">
        <v>102</v>
      </c>
      <c r="D1220" t="s">
        <v>88</v>
      </c>
      <c r="E1220">
        <v>157</v>
      </c>
      <c r="F1220">
        <v>80</v>
      </c>
      <c r="G1220">
        <v>-49</v>
      </c>
      <c r="H1220">
        <v>622</v>
      </c>
      <c r="I1220">
        <v>194</v>
      </c>
      <c r="J1220">
        <v>67</v>
      </c>
      <c r="K1220">
        <v>635</v>
      </c>
      <c r="L1220">
        <v>115</v>
      </c>
      <c r="M1220">
        <v>855</v>
      </c>
      <c r="N1220">
        <v>76</v>
      </c>
      <c r="O1220">
        <v>403</v>
      </c>
      <c r="P1220" s="1">
        <v>44044</v>
      </c>
      <c r="Q1220">
        <v>457</v>
      </c>
    </row>
    <row r="1221" spans="1:17" x14ac:dyDescent="0.25">
      <c r="A1221" s="1">
        <v>44501</v>
      </c>
      <c r="B1221" t="s">
        <v>173</v>
      </c>
      <c r="C1221" t="s">
        <v>103</v>
      </c>
      <c r="D1221" t="s">
        <v>52</v>
      </c>
      <c r="E1221">
        <v>120</v>
      </c>
      <c r="F1221">
        <v>106</v>
      </c>
      <c r="G1221">
        <v>71</v>
      </c>
      <c r="H1221">
        <v>-83</v>
      </c>
      <c r="I1221">
        <v>206</v>
      </c>
      <c r="J1221">
        <v>53</v>
      </c>
      <c r="K1221">
        <v>256</v>
      </c>
      <c r="L1221">
        <v>55</v>
      </c>
      <c r="M1221">
        <v>97</v>
      </c>
      <c r="N1221">
        <v>279</v>
      </c>
      <c r="O1221">
        <v>105</v>
      </c>
      <c r="P1221" s="1">
        <v>43862</v>
      </c>
      <c r="Q1221">
        <v>639</v>
      </c>
    </row>
    <row r="1222" spans="1:17" x14ac:dyDescent="0.25">
      <c r="A1222" s="1">
        <v>44501</v>
      </c>
      <c r="B1222" t="s">
        <v>174</v>
      </c>
      <c r="C1222" t="s">
        <v>105</v>
      </c>
      <c r="D1222" t="s">
        <v>104</v>
      </c>
      <c r="E1222">
        <v>72</v>
      </c>
      <c r="F1222">
        <v>53</v>
      </c>
      <c r="G1222">
        <v>74</v>
      </c>
      <c r="H1222">
        <v>250</v>
      </c>
      <c r="I1222">
        <v>152</v>
      </c>
      <c r="J1222">
        <v>42</v>
      </c>
      <c r="K1222">
        <v>82</v>
      </c>
      <c r="L1222">
        <v>71</v>
      </c>
      <c r="M1222">
        <v>130</v>
      </c>
      <c r="N1222">
        <v>154</v>
      </c>
      <c r="O1222">
        <v>97</v>
      </c>
      <c r="P1222" s="1">
        <v>43374</v>
      </c>
      <c r="Q1222">
        <v>1127</v>
      </c>
    </row>
    <row r="1223" spans="1:17" x14ac:dyDescent="0.25">
      <c r="A1223" s="1">
        <v>44501</v>
      </c>
      <c r="B1223" t="s">
        <v>142</v>
      </c>
      <c r="C1223" t="s">
        <v>50</v>
      </c>
      <c r="D1223" t="s">
        <v>49</v>
      </c>
      <c r="E1223">
        <v>368</v>
      </c>
      <c r="F1223">
        <v>318</v>
      </c>
      <c r="G1223">
        <v>58</v>
      </c>
      <c r="H1223">
        <v>436</v>
      </c>
      <c r="I1223">
        <v>412</v>
      </c>
      <c r="J1223">
        <v>547</v>
      </c>
      <c r="K1223">
        <v>129</v>
      </c>
      <c r="L1223">
        <v>29</v>
      </c>
      <c r="M1223">
        <v>-24</v>
      </c>
      <c r="N1223">
        <v>714</v>
      </c>
      <c r="O1223">
        <v>478</v>
      </c>
      <c r="P1223" s="1">
        <v>43709</v>
      </c>
      <c r="Q1223">
        <v>792</v>
      </c>
    </row>
    <row r="1224" spans="1:17" x14ac:dyDescent="0.25">
      <c r="A1224" s="1">
        <v>44501</v>
      </c>
      <c r="B1224" t="s">
        <v>143</v>
      </c>
      <c r="C1224" t="s">
        <v>53</v>
      </c>
      <c r="D1224" t="s">
        <v>52</v>
      </c>
      <c r="E1224">
        <v>295</v>
      </c>
      <c r="F1224">
        <v>624</v>
      </c>
      <c r="G1224">
        <v>112</v>
      </c>
      <c r="H1224">
        <v>396</v>
      </c>
      <c r="I1224">
        <v>345</v>
      </c>
      <c r="J1224">
        <v>508</v>
      </c>
      <c r="K1224">
        <v>98</v>
      </c>
      <c r="L1224">
        <v>308</v>
      </c>
      <c r="M1224">
        <v>695</v>
      </c>
      <c r="N1224">
        <v>392</v>
      </c>
      <c r="O1224">
        <v>32</v>
      </c>
      <c r="P1224" s="1">
        <v>43862</v>
      </c>
      <c r="Q1224">
        <v>639</v>
      </c>
    </row>
    <row r="1225" spans="1:17" x14ac:dyDescent="0.25">
      <c r="A1225" s="1">
        <v>44531</v>
      </c>
      <c r="B1225" t="s">
        <v>144</v>
      </c>
      <c r="C1225" t="s">
        <v>56</v>
      </c>
      <c r="D1225" t="s">
        <v>55</v>
      </c>
      <c r="E1225">
        <v>509</v>
      </c>
      <c r="F1225">
        <v>197</v>
      </c>
      <c r="G1225">
        <v>159</v>
      </c>
      <c r="H1225">
        <v>109</v>
      </c>
      <c r="I1225">
        <v>1330</v>
      </c>
      <c r="J1225">
        <v>989</v>
      </c>
      <c r="K1225">
        <v>763</v>
      </c>
      <c r="L1225">
        <v>1053</v>
      </c>
      <c r="M1225">
        <v>-26</v>
      </c>
      <c r="N1225">
        <v>1089</v>
      </c>
      <c r="O1225">
        <v>336</v>
      </c>
      <c r="P1225" s="1">
        <v>44256</v>
      </c>
      <c r="Q1225">
        <v>275</v>
      </c>
    </row>
    <row r="1226" spans="1:17" x14ac:dyDescent="0.25">
      <c r="A1226" s="1">
        <v>44531</v>
      </c>
      <c r="B1226" t="s">
        <v>145</v>
      </c>
      <c r="C1226" t="s">
        <v>59</v>
      </c>
      <c r="D1226" t="s">
        <v>58</v>
      </c>
      <c r="E1226">
        <v>748</v>
      </c>
      <c r="F1226">
        <v>302</v>
      </c>
      <c r="G1226">
        <v>130</v>
      </c>
      <c r="H1226">
        <v>-117</v>
      </c>
      <c r="I1226">
        <v>775</v>
      </c>
      <c r="J1226">
        <v>200</v>
      </c>
      <c r="K1226">
        <v>331</v>
      </c>
      <c r="L1226">
        <v>1348</v>
      </c>
      <c r="M1226">
        <v>246</v>
      </c>
      <c r="N1226">
        <v>645</v>
      </c>
      <c r="O1226">
        <v>6</v>
      </c>
      <c r="P1226" s="1">
        <v>44287</v>
      </c>
      <c r="Q1226">
        <v>244</v>
      </c>
    </row>
    <row r="1227" spans="1:17" x14ac:dyDescent="0.25">
      <c r="A1227" s="1">
        <v>44531</v>
      </c>
      <c r="B1227" t="s">
        <v>146</v>
      </c>
      <c r="C1227" t="s">
        <v>62</v>
      </c>
      <c r="D1227" t="s">
        <v>61</v>
      </c>
      <c r="E1227">
        <v>826</v>
      </c>
      <c r="F1227">
        <v>565</v>
      </c>
      <c r="G1227">
        <v>96</v>
      </c>
      <c r="H1227">
        <v>291</v>
      </c>
      <c r="I1227">
        <v>121</v>
      </c>
      <c r="J1227">
        <v>198</v>
      </c>
      <c r="K1227">
        <v>317</v>
      </c>
      <c r="L1227">
        <v>525</v>
      </c>
      <c r="M1227">
        <v>162</v>
      </c>
      <c r="N1227">
        <v>66</v>
      </c>
      <c r="O1227">
        <v>69</v>
      </c>
      <c r="P1227" s="1">
        <v>44075</v>
      </c>
      <c r="Q1227">
        <v>456</v>
      </c>
    </row>
    <row r="1228" spans="1:17" x14ac:dyDescent="0.25">
      <c r="A1228" s="1">
        <v>44531</v>
      </c>
      <c r="B1228" t="s">
        <v>147</v>
      </c>
      <c r="C1228" t="s">
        <v>64</v>
      </c>
      <c r="D1228" t="s">
        <v>52</v>
      </c>
      <c r="E1228">
        <v>423</v>
      </c>
      <c r="F1228">
        <v>406</v>
      </c>
      <c r="G1228">
        <v>138</v>
      </c>
      <c r="H1228">
        <v>71</v>
      </c>
      <c r="I1228">
        <v>151</v>
      </c>
      <c r="J1228">
        <v>28</v>
      </c>
      <c r="K1228">
        <v>10</v>
      </c>
      <c r="L1228">
        <v>69</v>
      </c>
      <c r="M1228">
        <v>109</v>
      </c>
      <c r="N1228">
        <v>138</v>
      </c>
      <c r="O1228">
        <v>109</v>
      </c>
      <c r="P1228" s="1">
        <v>43862</v>
      </c>
      <c r="Q1228">
        <v>669</v>
      </c>
    </row>
    <row r="1229" spans="1:17" x14ac:dyDescent="0.25">
      <c r="A1229" s="1">
        <v>44531</v>
      </c>
      <c r="B1229" t="s">
        <v>148</v>
      </c>
      <c r="C1229" t="s">
        <v>66</v>
      </c>
      <c r="D1229" t="s">
        <v>55</v>
      </c>
      <c r="E1229">
        <v>157</v>
      </c>
      <c r="F1229">
        <v>1229</v>
      </c>
      <c r="G1229">
        <v>216</v>
      </c>
      <c r="H1229">
        <v>1093</v>
      </c>
      <c r="I1229">
        <v>27</v>
      </c>
      <c r="J1229">
        <v>201</v>
      </c>
      <c r="K1229">
        <v>736</v>
      </c>
      <c r="L1229">
        <v>224</v>
      </c>
      <c r="M1229">
        <v>206</v>
      </c>
      <c r="N1229">
        <v>805</v>
      </c>
      <c r="O1229">
        <v>164</v>
      </c>
      <c r="P1229" s="1">
        <v>44256</v>
      </c>
      <c r="Q1229">
        <v>275</v>
      </c>
    </row>
    <row r="1230" spans="1:17" x14ac:dyDescent="0.25">
      <c r="A1230" s="1">
        <v>44531</v>
      </c>
      <c r="B1230" t="s">
        <v>149</v>
      </c>
      <c r="C1230" t="s">
        <v>67</v>
      </c>
      <c r="D1230" t="s">
        <v>55</v>
      </c>
      <c r="E1230">
        <v>824</v>
      </c>
      <c r="F1230">
        <v>1268</v>
      </c>
      <c r="G1230">
        <v>88</v>
      </c>
      <c r="H1230">
        <v>1192</v>
      </c>
      <c r="I1230">
        <v>808</v>
      </c>
      <c r="J1230">
        <v>582</v>
      </c>
      <c r="K1230">
        <v>115</v>
      </c>
      <c r="L1230">
        <v>1480</v>
      </c>
      <c r="M1230">
        <v>92</v>
      </c>
      <c r="N1230">
        <v>771</v>
      </c>
      <c r="O1230">
        <v>306</v>
      </c>
      <c r="P1230" s="1">
        <v>44256</v>
      </c>
      <c r="Q1230">
        <v>275</v>
      </c>
    </row>
    <row r="1231" spans="1:17" x14ac:dyDescent="0.25">
      <c r="A1231" s="1">
        <v>44531</v>
      </c>
      <c r="B1231" t="s">
        <v>150</v>
      </c>
      <c r="C1231" t="s">
        <v>69</v>
      </c>
      <c r="D1231" t="s">
        <v>68</v>
      </c>
      <c r="E1231">
        <v>685</v>
      </c>
      <c r="F1231">
        <v>282</v>
      </c>
      <c r="G1231">
        <v>252</v>
      </c>
      <c r="H1231">
        <v>1252</v>
      </c>
      <c r="I1231">
        <v>425</v>
      </c>
      <c r="J1231">
        <v>326</v>
      </c>
      <c r="K1231">
        <v>9</v>
      </c>
      <c r="L1231">
        <v>401</v>
      </c>
      <c r="M1231">
        <v>307</v>
      </c>
      <c r="N1231">
        <v>212</v>
      </c>
      <c r="O1231">
        <v>1312</v>
      </c>
      <c r="P1231" s="1">
        <v>44317</v>
      </c>
      <c r="Q1231">
        <v>214</v>
      </c>
    </row>
    <row r="1232" spans="1:17" x14ac:dyDescent="0.25">
      <c r="A1232" s="1">
        <v>44531</v>
      </c>
      <c r="B1232" t="s">
        <v>151</v>
      </c>
      <c r="C1232" t="s">
        <v>71</v>
      </c>
      <c r="D1232" t="s">
        <v>70</v>
      </c>
      <c r="E1232">
        <v>98</v>
      </c>
      <c r="F1232">
        <v>114</v>
      </c>
      <c r="G1232">
        <v>0</v>
      </c>
      <c r="H1232">
        <v>167</v>
      </c>
      <c r="I1232">
        <v>696</v>
      </c>
      <c r="J1232">
        <v>263</v>
      </c>
      <c r="K1232">
        <v>52</v>
      </c>
      <c r="L1232">
        <v>97</v>
      </c>
      <c r="M1232">
        <v>100</v>
      </c>
      <c r="N1232">
        <v>285</v>
      </c>
      <c r="O1232">
        <v>172</v>
      </c>
      <c r="P1232" s="1">
        <v>44136</v>
      </c>
      <c r="Q1232">
        <v>395</v>
      </c>
    </row>
    <row r="1233" spans="1:17" x14ac:dyDescent="0.25">
      <c r="A1233" s="1">
        <v>44531</v>
      </c>
      <c r="B1233" t="s">
        <v>152</v>
      </c>
      <c r="C1233" t="s">
        <v>11</v>
      </c>
      <c r="D1233" t="s">
        <v>52</v>
      </c>
      <c r="E1233">
        <v>194</v>
      </c>
      <c r="F1233">
        <v>59</v>
      </c>
      <c r="G1233">
        <v>126</v>
      </c>
      <c r="H1233">
        <v>190</v>
      </c>
      <c r="I1233">
        <v>94</v>
      </c>
      <c r="J1233">
        <v>-28</v>
      </c>
      <c r="K1233">
        <v>131</v>
      </c>
      <c r="L1233">
        <v>94</v>
      </c>
      <c r="M1233">
        <v>111</v>
      </c>
      <c r="N1233">
        <v>94</v>
      </c>
      <c r="O1233">
        <v>98</v>
      </c>
      <c r="P1233" s="1">
        <v>43862</v>
      </c>
      <c r="Q1233">
        <v>669</v>
      </c>
    </row>
    <row r="1234" spans="1:17" x14ac:dyDescent="0.25">
      <c r="A1234" s="1">
        <v>44531</v>
      </c>
      <c r="B1234" t="s">
        <v>153</v>
      </c>
      <c r="C1234" t="s">
        <v>73</v>
      </c>
      <c r="D1234" t="s">
        <v>72</v>
      </c>
      <c r="E1234">
        <v>576</v>
      </c>
      <c r="F1234">
        <v>666</v>
      </c>
      <c r="G1234">
        <v>1089</v>
      </c>
      <c r="H1234">
        <v>3352</v>
      </c>
      <c r="I1234">
        <v>919</v>
      </c>
      <c r="J1234">
        <v>2036</v>
      </c>
      <c r="K1234">
        <v>617</v>
      </c>
      <c r="L1234">
        <v>1260</v>
      </c>
      <c r="M1234">
        <v>873</v>
      </c>
      <c r="N1234">
        <v>683</v>
      </c>
      <c r="O1234">
        <v>2350</v>
      </c>
      <c r="P1234" s="1">
        <v>44440</v>
      </c>
      <c r="Q1234">
        <v>91</v>
      </c>
    </row>
    <row r="1235" spans="1:17" x14ac:dyDescent="0.25">
      <c r="A1235" s="1">
        <v>44531</v>
      </c>
      <c r="B1235" t="s">
        <v>154</v>
      </c>
      <c r="C1235" t="s">
        <v>17</v>
      </c>
      <c r="D1235" t="s">
        <v>74</v>
      </c>
      <c r="E1235">
        <v>494</v>
      </c>
      <c r="F1235">
        <v>758</v>
      </c>
      <c r="G1235">
        <v>109</v>
      </c>
      <c r="H1235">
        <v>971</v>
      </c>
      <c r="I1235">
        <v>1968</v>
      </c>
      <c r="J1235">
        <v>420</v>
      </c>
      <c r="K1235">
        <v>109</v>
      </c>
      <c r="L1235">
        <v>281</v>
      </c>
      <c r="M1235">
        <v>846</v>
      </c>
      <c r="N1235">
        <v>744</v>
      </c>
      <c r="O1235">
        <v>316</v>
      </c>
      <c r="P1235" s="1">
        <v>44197</v>
      </c>
      <c r="Q1235">
        <v>334</v>
      </c>
    </row>
    <row r="1236" spans="1:17" x14ac:dyDescent="0.25">
      <c r="A1236" s="1">
        <v>44531</v>
      </c>
      <c r="B1236" t="s">
        <v>155</v>
      </c>
      <c r="C1236" t="s">
        <v>76</v>
      </c>
      <c r="D1236" t="s">
        <v>75</v>
      </c>
      <c r="E1236">
        <v>270</v>
      </c>
      <c r="F1236">
        <v>324</v>
      </c>
      <c r="G1236">
        <v>346</v>
      </c>
      <c r="H1236">
        <v>446</v>
      </c>
      <c r="I1236">
        <v>411</v>
      </c>
      <c r="J1236">
        <v>611</v>
      </c>
      <c r="K1236">
        <v>692</v>
      </c>
      <c r="L1236">
        <v>-92</v>
      </c>
      <c r="M1236">
        <v>6365</v>
      </c>
      <c r="N1236">
        <v>448</v>
      </c>
      <c r="O1236">
        <v>708</v>
      </c>
      <c r="P1236" s="1">
        <v>44470</v>
      </c>
      <c r="Q1236">
        <v>61</v>
      </c>
    </row>
    <row r="1237" spans="1:17" x14ac:dyDescent="0.25">
      <c r="A1237" s="1">
        <v>44531</v>
      </c>
      <c r="B1237" t="s">
        <v>156</v>
      </c>
      <c r="C1237" t="s">
        <v>79</v>
      </c>
      <c r="D1237" t="s">
        <v>78</v>
      </c>
      <c r="E1237">
        <v>301</v>
      </c>
      <c r="F1237">
        <v>301</v>
      </c>
      <c r="G1237">
        <v>-15</v>
      </c>
      <c r="H1237">
        <v>1370</v>
      </c>
      <c r="I1237">
        <v>267</v>
      </c>
      <c r="J1237">
        <v>201</v>
      </c>
      <c r="K1237">
        <v>-120</v>
      </c>
      <c r="L1237">
        <v>240</v>
      </c>
      <c r="M1237">
        <v>124</v>
      </c>
      <c r="N1237">
        <v>1063</v>
      </c>
      <c r="O1237">
        <v>284</v>
      </c>
      <c r="P1237" s="1">
        <v>44348</v>
      </c>
      <c r="Q1237">
        <v>183</v>
      </c>
    </row>
    <row r="1238" spans="1:17" x14ac:dyDescent="0.25">
      <c r="A1238" s="1">
        <v>44531</v>
      </c>
      <c r="B1238" t="s">
        <v>157</v>
      </c>
      <c r="C1238" t="s">
        <v>81</v>
      </c>
      <c r="D1238" t="s">
        <v>72</v>
      </c>
      <c r="E1238">
        <v>2873</v>
      </c>
      <c r="F1238">
        <v>3499</v>
      </c>
      <c r="G1238">
        <v>235</v>
      </c>
      <c r="H1238">
        <v>1387</v>
      </c>
      <c r="I1238">
        <v>2509</v>
      </c>
      <c r="J1238">
        <v>4442</v>
      </c>
      <c r="K1238">
        <v>5775</v>
      </c>
      <c r="L1238">
        <v>3298</v>
      </c>
      <c r="M1238">
        <v>3276</v>
      </c>
      <c r="N1238">
        <v>1737</v>
      </c>
      <c r="O1238">
        <v>4165</v>
      </c>
      <c r="P1238" s="1">
        <v>44440</v>
      </c>
      <c r="Q1238">
        <v>91</v>
      </c>
    </row>
    <row r="1239" spans="1:17" x14ac:dyDescent="0.25">
      <c r="A1239" s="1">
        <v>44531</v>
      </c>
      <c r="B1239" t="s">
        <v>158</v>
      </c>
      <c r="C1239" t="s">
        <v>83</v>
      </c>
      <c r="D1239" t="s">
        <v>82</v>
      </c>
      <c r="E1239">
        <v>444</v>
      </c>
      <c r="F1239">
        <v>1274</v>
      </c>
      <c r="G1239">
        <v>157</v>
      </c>
      <c r="H1239">
        <v>791</v>
      </c>
      <c r="I1239">
        <v>359</v>
      </c>
      <c r="J1239">
        <v>833</v>
      </c>
      <c r="K1239">
        <v>330</v>
      </c>
      <c r="L1239">
        <v>1287</v>
      </c>
      <c r="M1239">
        <v>810</v>
      </c>
      <c r="N1239">
        <v>392</v>
      </c>
      <c r="O1239">
        <v>1104</v>
      </c>
      <c r="P1239" s="1">
        <v>44228</v>
      </c>
      <c r="Q1239">
        <v>303</v>
      </c>
    </row>
    <row r="1240" spans="1:17" x14ac:dyDescent="0.25">
      <c r="A1240" s="1">
        <v>44531</v>
      </c>
      <c r="B1240" t="s">
        <v>159</v>
      </c>
      <c r="C1240" t="s">
        <v>84</v>
      </c>
      <c r="D1240" t="s">
        <v>55</v>
      </c>
      <c r="E1240">
        <v>212</v>
      </c>
      <c r="F1240">
        <v>1003</v>
      </c>
      <c r="G1240">
        <v>215</v>
      </c>
      <c r="H1240">
        <v>679</v>
      </c>
      <c r="I1240">
        <v>552</v>
      </c>
      <c r="J1240">
        <v>174</v>
      </c>
      <c r="K1240">
        <v>815</v>
      </c>
      <c r="L1240">
        <v>957</v>
      </c>
      <c r="M1240">
        <v>368</v>
      </c>
      <c r="N1240">
        <v>47</v>
      </c>
      <c r="O1240">
        <v>130</v>
      </c>
      <c r="P1240" s="1">
        <v>44256</v>
      </c>
      <c r="Q1240">
        <v>275</v>
      </c>
    </row>
    <row r="1241" spans="1:17" x14ac:dyDescent="0.25">
      <c r="A1241" s="1">
        <v>44531</v>
      </c>
      <c r="B1241" t="s">
        <v>160</v>
      </c>
      <c r="C1241" t="s">
        <v>86</v>
      </c>
      <c r="D1241" t="s">
        <v>68</v>
      </c>
      <c r="E1241">
        <v>381</v>
      </c>
      <c r="F1241">
        <v>394</v>
      </c>
      <c r="G1241">
        <v>398</v>
      </c>
      <c r="H1241">
        <v>431</v>
      </c>
      <c r="I1241">
        <v>781</v>
      </c>
      <c r="J1241">
        <v>364</v>
      </c>
      <c r="K1241">
        <v>1192</v>
      </c>
      <c r="L1241">
        <v>3</v>
      </c>
      <c r="M1241">
        <v>1073</v>
      </c>
      <c r="N1241">
        <v>194</v>
      </c>
      <c r="O1241">
        <v>1168</v>
      </c>
      <c r="P1241" s="1">
        <v>44317</v>
      </c>
      <c r="Q1241">
        <v>214</v>
      </c>
    </row>
    <row r="1242" spans="1:17" x14ac:dyDescent="0.25">
      <c r="A1242" s="1">
        <v>44531</v>
      </c>
      <c r="B1242" t="s">
        <v>161</v>
      </c>
      <c r="C1242" t="s">
        <v>87</v>
      </c>
      <c r="D1242" t="s">
        <v>72</v>
      </c>
      <c r="E1242">
        <v>3727</v>
      </c>
      <c r="F1242">
        <v>1197</v>
      </c>
      <c r="G1242">
        <v>830</v>
      </c>
      <c r="H1242">
        <v>3841</v>
      </c>
      <c r="I1242">
        <v>3665</v>
      </c>
      <c r="J1242">
        <v>3346</v>
      </c>
      <c r="K1242">
        <v>3382</v>
      </c>
      <c r="L1242">
        <v>2576</v>
      </c>
      <c r="M1242">
        <v>2183</v>
      </c>
      <c r="N1242">
        <v>4268</v>
      </c>
      <c r="O1242">
        <v>2229</v>
      </c>
      <c r="P1242" s="1">
        <v>44440</v>
      </c>
      <c r="Q1242">
        <v>91</v>
      </c>
    </row>
    <row r="1243" spans="1:17" x14ac:dyDescent="0.25">
      <c r="A1243" s="1">
        <v>44531</v>
      </c>
      <c r="B1243" t="s">
        <v>162</v>
      </c>
      <c r="C1243" t="s">
        <v>89</v>
      </c>
      <c r="D1243" t="s">
        <v>88</v>
      </c>
      <c r="E1243">
        <v>74</v>
      </c>
      <c r="F1243">
        <v>186</v>
      </c>
      <c r="G1243">
        <v>62</v>
      </c>
      <c r="H1243">
        <v>299</v>
      </c>
      <c r="I1243">
        <v>237</v>
      </c>
      <c r="J1243">
        <v>119</v>
      </c>
      <c r="K1243">
        <v>648</v>
      </c>
      <c r="L1243">
        <v>117</v>
      </c>
      <c r="M1243">
        <v>632</v>
      </c>
      <c r="N1243">
        <v>133</v>
      </c>
      <c r="O1243">
        <v>518</v>
      </c>
      <c r="P1243" s="1">
        <v>44044</v>
      </c>
      <c r="Q1243">
        <v>487</v>
      </c>
    </row>
    <row r="1244" spans="1:17" x14ac:dyDescent="0.25">
      <c r="A1244" s="1">
        <v>44531</v>
      </c>
      <c r="B1244" t="s">
        <v>163</v>
      </c>
      <c r="C1244" t="s">
        <v>90</v>
      </c>
      <c r="D1244" t="s">
        <v>82</v>
      </c>
      <c r="E1244">
        <v>806</v>
      </c>
      <c r="F1244">
        <v>195</v>
      </c>
      <c r="G1244">
        <v>360</v>
      </c>
      <c r="H1244">
        <v>1121</v>
      </c>
      <c r="I1244">
        <v>347</v>
      </c>
      <c r="J1244">
        <v>265</v>
      </c>
      <c r="K1244">
        <v>204</v>
      </c>
      <c r="L1244">
        <v>312</v>
      </c>
      <c r="M1244">
        <v>1333</v>
      </c>
      <c r="N1244">
        <v>1171</v>
      </c>
      <c r="O1244">
        <v>233</v>
      </c>
      <c r="P1244" s="1">
        <v>44228</v>
      </c>
      <c r="Q1244">
        <v>303</v>
      </c>
    </row>
    <row r="1245" spans="1:17" x14ac:dyDescent="0.25">
      <c r="A1245" s="1">
        <v>44531</v>
      </c>
      <c r="B1245" t="s">
        <v>164</v>
      </c>
      <c r="C1245" t="s">
        <v>92</v>
      </c>
      <c r="D1245" t="s">
        <v>91</v>
      </c>
      <c r="E1245">
        <v>469</v>
      </c>
      <c r="F1245">
        <v>97</v>
      </c>
      <c r="G1245">
        <v>144</v>
      </c>
      <c r="H1245">
        <v>73</v>
      </c>
      <c r="I1245">
        <v>14</v>
      </c>
      <c r="J1245">
        <v>196</v>
      </c>
      <c r="K1245">
        <v>249</v>
      </c>
      <c r="L1245">
        <v>3</v>
      </c>
      <c r="M1245">
        <v>164</v>
      </c>
      <c r="N1245">
        <v>193</v>
      </c>
      <c r="O1245">
        <v>36</v>
      </c>
      <c r="P1245" s="1">
        <v>44105</v>
      </c>
      <c r="Q1245">
        <v>426</v>
      </c>
    </row>
    <row r="1246" spans="1:17" x14ac:dyDescent="0.25">
      <c r="A1246" s="1">
        <v>44531</v>
      </c>
      <c r="B1246" t="s">
        <v>165</v>
      </c>
      <c r="C1246" t="s">
        <v>94</v>
      </c>
      <c r="D1246" t="s">
        <v>93</v>
      </c>
      <c r="E1246">
        <v>297</v>
      </c>
      <c r="F1246">
        <v>42</v>
      </c>
      <c r="G1246">
        <v>43</v>
      </c>
      <c r="H1246">
        <v>421</v>
      </c>
      <c r="I1246">
        <v>466</v>
      </c>
      <c r="J1246">
        <v>51</v>
      </c>
      <c r="K1246">
        <v>42</v>
      </c>
      <c r="L1246">
        <v>241</v>
      </c>
      <c r="M1246">
        <v>37</v>
      </c>
      <c r="N1246">
        <v>351</v>
      </c>
      <c r="O1246">
        <v>139</v>
      </c>
      <c r="P1246" s="1">
        <v>43586</v>
      </c>
      <c r="Q1246">
        <v>945</v>
      </c>
    </row>
    <row r="1247" spans="1:17" x14ac:dyDescent="0.25">
      <c r="A1247" s="1">
        <v>44531</v>
      </c>
      <c r="B1247" t="s">
        <v>166</v>
      </c>
      <c r="C1247" t="s">
        <v>96</v>
      </c>
      <c r="D1247" t="s">
        <v>95</v>
      </c>
      <c r="E1247">
        <v>96</v>
      </c>
      <c r="F1247">
        <v>47</v>
      </c>
      <c r="G1247">
        <v>32</v>
      </c>
      <c r="H1247">
        <v>289</v>
      </c>
      <c r="I1247">
        <v>59</v>
      </c>
      <c r="J1247">
        <v>46</v>
      </c>
      <c r="K1247">
        <v>325</v>
      </c>
      <c r="L1247">
        <v>93</v>
      </c>
      <c r="M1247">
        <v>322</v>
      </c>
      <c r="N1247">
        <v>22</v>
      </c>
      <c r="O1247">
        <v>305</v>
      </c>
      <c r="P1247" s="1">
        <v>43678</v>
      </c>
      <c r="Q1247">
        <v>853</v>
      </c>
    </row>
    <row r="1248" spans="1:17" x14ac:dyDescent="0.25">
      <c r="A1248" s="1">
        <v>44531</v>
      </c>
      <c r="B1248" t="s">
        <v>167</v>
      </c>
      <c r="C1248" t="s">
        <v>97</v>
      </c>
      <c r="D1248" t="s">
        <v>58</v>
      </c>
      <c r="E1248">
        <v>66</v>
      </c>
      <c r="F1248">
        <v>239</v>
      </c>
      <c r="G1248">
        <v>229</v>
      </c>
      <c r="H1248">
        <v>698</v>
      </c>
      <c r="I1248">
        <v>993</v>
      </c>
      <c r="J1248">
        <v>201</v>
      </c>
      <c r="K1248">
        <v>636</v>
      </c>
      <c r="L1248">
        <v>849</v>
      </c>
      <c r="M1248">
        <v>239</v>
      </c>
      <c r="N1248">
        <v>630</v>
      </c>
      <c r="O1248">
        <v>222</v>
      </c>
      <c r="P1248" s="1">
        <v>44287</v>
      </c>
      <c r="Q1248">
        <v>244</v>
      </c>
    </row>
    <row r="1249" spans="1:17" x14ac:dyDescent="0.25">
      <c r="A1249" s="1">
        <v>44531</v>
      </c>
      <c r="B1249" t="s">
        <v>168</v>
      </c>
      <c r="C1249" t="s">
        <v>98</v>
      </c>
      <c r="D1249" t="s">
        <v>49</v>
      </c>
      <c r="E1249">
        <v>392</v>
      </c>
      <c r="F1249">
        <v>38</v>
      </c>
      <c r="G1249">
        <v>63</v>
      </c>
      <c r="H1249">
        <v>56</v>
      </c>
      <c r="I1249">
        <v>34</v>
      </c>
      <c r="J1249">
        <v>42</v>
      </c>
      <c r="K1249">
        <v>71</v>
      </c>
      <c r="L1249">
        <v>390</v>
      </c>
      <c r="M1249">
        <v>30</v>
      </c>
      <c r="N1249">
        <v>196</v>
      </c>
      <c r="O1249">
        <v>75</v>
      </c>
      <c r="P1249" s="1">
        <v>43709</v>
      </c>
      <c r="Q1249">
        <v>822</v>
      </c>
    </row>
    <row r="1250" spans="1:17" x14ac:dyDescent="0.25">
      <c r="A1250" s="1">
        <v>44531</v>
      </c>
      <c r="B1250" t="s">
        <v>169</v>
      </c>
      <c r="C1250" t="s">
        <v>99</v>
      </c>
      <c r="D1250" t="s">
        <v>95</v>
      </c>
      <c r="E1250">
        <v>130</v>
      </c>
      <c r="F1250">
        <v>235</v>
      </c>
      <c r="G1250">
        <v>14</v>
      </c>
      <c r="H1250">
        <v>307</v>
      </c>
      <c r="I1250">
        <v>162</v>
      </c>
      <c r="J1250">
        <v>199</v>
      </c>
      <c r="K1250">
        <v>420</v>
      </c>
      <c r="L1250">
        <v>60</v>
      </c>
      <c r="M1250">
        <v>130</v>
      </c>
      <c r="N1250">
        <v>-54</v>
      </c>
      <c r="O1250">
        <v>152</v>
      </c>
      <c r="P1250" s="1">
        <v>43678</v>
      </c>
      <c r="Q1250">
        <v>853</v>
      </c>
    </row>
    <row r="1251" spans="1:17" x14ac:dyDescent="0.25">
      <c r="A1251" s="1">
        <v>44531</v>
      </c>
      <c r="B1251" t="s">
        <v>170</v>
      </c>
      <c r="C1251" t="s">
        <v>100</v>
      </c>
      <c r="D1251" t="s">
        <v>82</v>
      </c>
      <c r="E1251">
        <v>225</v>
      </c>
      <c r="F1251">
        <v>246</v>
      </c>
      <c r="G1251">
        <v>248</v>
      </c>
      <c r="H1251">
        <v>1014</v>
      </c>
      <c r="I1251">
        <v>785</v>
      </c>
      <c r="J1251">
        <v>-36</v>
      </c>
      <c r="K1251">
        <v>726</v>
      </c>
      <c r="L1251">
        <v>694</v>
      </c>
      <c r="M1251">
        <v>177</v>
      </c>
      <c r="N1251">
        <v>-52</v>
      </c>
      <c r="O1251">
        <v>265</v>
      </c>
      <c r="P1251" s="1">
        <v>44228</v>
      </c>
      <c r="Q1251">
        <v>303</v>
      </c>
    </row>
    <row r="1252" spans="1:17" x14ac:dyDescent="0.25">
      <c r="A1252" s="1">
        <v>44531</v>
      </c>
      <c r="B1252" t="s">
        <v>171</v>
      </c>
      <c r="C1252" t="s">
        <v>101</v>
      </c>
      <c r="D1252" t="s">
        <v>68</v>
      </c>
      <c r="E1252">
        <v>1563</v>
      </c>
      <c r="F1252">
        <v>719</v>
      </c>
      <c r="G1252">
        <v>124</v>
      </c>
      <c r="H1252">
        <v>459</v>
      </c>
      <c r="I1252">
        <v>1500</v>
      </c>
      <c r="J1252">
        <v>1133</v>
      </c>
      <c r="K1252">
        <v>1238</v>
      </c>
      <c r="L1252">
        <v>179</v>
      </c>
      <c r="M1252">
        <v>1269</v>
      </c>
      <c r="N1252">
        <v>1071</v>
      </c>
      <c r="O1252">
        <v>1042</v>
      </c>
      <c r="P1252" s="1">
        <v>44317</v>
      </c>
      <c r="Q1252">
        <v>214</v>
      </c>
    </row>
    <row r="1253" spans="1:17" x14ac:dyDescent="0.25">
      <c r="A1253" s="1">
        <v>44531</v>
      </c>
      <c r="B1253" t="s">
        <v>172</v>
      </c>
      <c r="C1253" t="s">
        <v>102</v>
      </c>
      <c r="D1253" t="s">
        <v>88</v>
      </c>
      <c r="E1253">
        <v>43</v>
      </c>
      <c r="F1253">
        <v>208</v>
      </c>
      <c r="G1253">
        <v>220</v>
      </c>
      <c r="H1253">
        <v>100</v>
      </c>
      <c r="I1253">
        <v>174</v>
      </c>
      <c r="J1253">
        <v>65</v>
      </c>
      <c r="K1253">
        <v>-150</v>
      </c>
      <c r="L1253">
        <v>75</v>
      </c>
      <c r="M1253">
        <v>-7</v>
      </c>
      <c r="N1253">
        <v>45</v>
      </c>
      <c r="O1253">
        <v>839</v>
      </c>
      <c r="P1253" s="1">
        <v>44044</v>
      </c>
      <c r="Q1253">
        <v>487</v>
      </c>
    </row>
    <row r="1254" spans="1:17" x14ac:dyDescent="0.25">
      <c r="A1254" s="1">
        <v>44531</v>
      </c>
      <c r="B1254" t="s">
        <v>173</v>
      </c>
      <c r="C1254" t="s">
        <v>103</v>
      </c>
      <c r="D1254" t="s">
        <v>52</v>
      </c>
      <c r="E1254">
        <v>100</v>
      </c>
      <c r="F1254">
        <v>108</v>
      </c>
      <c r="G1254">
        <v>67</v>
      </c>
      <c r="H1254">
        <v>331</v>
      </c>
      <c r="I1254">
        <v>928</v>
      </c>
      <c r="J1254">
        <v>160</v>
      </c>
      <c r="K1254">
        <v>154</v>
      </c>
      <c r="L1254">
        <v>211</v>
      </c>
      <c r="M1254">
        <v>113</v>
      </c>
      <c r="N1254">
        <v>227</v>
      </c>
      <c r="O1254">
        <v>132</v>
      </c>
      <c r="P1254" s="1">
        <v>43862</v>
      </c>
      <c r="Q1254">
        <v>669</v>
      </c>
    </row>
    <row r="1255" spans="1:17" x14ac:dyDescent="0.25">
      <c r="A1255" s="1">
        <v>44531</v>
      </c>
      <c r="B1255" t="s">
        <v>174</v>
      </c>
      <c r="C1255" t="s">
        <v>105</v>
      </c>
      <c r="D1255" t="s">
        <v>104</v>
      </c>
      <c r="E1255">
        <v>33</v>
      </c>
      <c r="F1255">
        <v>48</v>
      </c>
      <c r="G1255">
        <v>98</v>
      </c>
      <c r="H1255">
        <v>105</v>
      </c>
      <c r="I1255">
        <v>49</v>
      </c>
      <c r="J1255">
        <v>56</v>
      </c>
      <c r="K1255">
        <v>99</v>
      </c>
      <c r="L1255">
        <v>59</v>
      </c>
      <c r="M1255">
        <v>142</v>
      </c>
      <c r="N1255">
        <v>284</v>
      </c>
      <c r="O1255">
        <v>241</v>
      </c>
      <c r="P1255" s="1">
        <v>43374</v>
      </c>
      <c r="Q1255">
        <v>1157</v>
      </c>
    </row>
    <row r="1256" spans="1:17" x14ac:dyDescent="0.25">
      <c r="A1256" s="1">
        <v>44531</v>
      </c>
      <c r="B1256" t="s">
        <v>142</v>
      </c>
      <c r="C1256" t="s">
        <v>50</v>
      </c>
      <c r="D1256" t="s">
        <v>49</v>
      </c>
      <c r="E1256">
        <v>220</v>
      </c>
      <c r="F1256">
        <v>192</v>
      </c>
      <c r="G1256">
        <v>25</v>
      </c>
      <c r="H1256">
        <v>329</v>
      </c>
      <c r="I1256">
        <v>473</v>
      </c>
      <c r="J1256">
        <v>266</v>
      </c>
      <c r="K1256">
        <v>75</v>
      </c>
      <c r="L1256">
        <v>323</v>
      </c>
      <c r="M1256">
        <v>224</v>
      </c>
      <c r="N1256">
        <v>322</v>
      </c>
      <c r="O1256">
        <v>329</v>
      </c>
      <c r="P1256" s="1">
        <v>43709</v>
      </c>
      <c r="Q1256">
        <v>822</v>
      </c>
    </row>
    <row r="1257" spans="1:17" x14ac:dyDescent="0.25">
      <c r="A1257" s="1">
        <v>44531</v>
      </c>
      <c r="B1257" t="s">
        <v>143</v>
      </c>
      <c r="C1257" t="s">
        <v>53</v>
      </c>
      <c r="D1257" t="s">
        <v>52</v>
      </c>
      <c r="E1257">
        <v>199</v>
      </c>
      <c r="F1257">
        <v>231</v>
      </c>
      <c r="G1257">
        <v>102</v>
      </c>
      <c r="H1257">
        <v>347</v>
      </c>
      <c r="I1257">
        <v>369</v>
      </c>
      <c r="J1257">
        <v>309</v>
      </c>
      <c r="K1257">
        <v>17</v>
      </c>
      <c r="L1257">
        <v>319</v>
      </c>
      <c r="M1257">
        <v>123</v>
      </c>
      <c r="N1257">
        <v>352</v>
      </c>
      <c r="O1257">
        <v>322</v>
      </c>
      <c r="P1257" s="1">
        <v>43862</v>
      </c>
      <c r="Q1257">
        <v>669</v>
      </c>
    </row>
    <row r="1258" spans="1:17" x14ac:dyDescent="0.25">
      <c r="A1258" s="1">
        <v>44531</v>
      </c>
      <c r="B1258" t="s">
        <v>144</v>
      </c>
      <c r="C1258" t="s">
        <v>56</v>
      </c>
      <c r="D1258" t="s">
        <v>55</v>
      </c>
      <c r="E1258">
        <v>539</v>
      </c>
      <c r="F1258">
        <v>329</v>
      </c>
      <c r="G1258">
        <v>359</v>
      </c>
      <c r="H1258">
        <v>529</v>
      </c>
      <c r="I1258">
        <v>90</v>
      </c>
      <c r="J1258">
        <v>1119</v>
      </c>
      <c r="K1258">
        <v>648</v>
      </c>
      <c r="L1258">
        <v>487</v>
      </c>
      <c r="M1258">
        <v>283</v>
      </c>
      <c r="N1258">
        <v>530</v>
      </c>
      <c r="O1258">
        <v>839</v>
      </c>
      <c r="P1258" s="1">
        <v>44256</v>
      </c>
      <c r="Q1258">
        <v>275</v>
      </c>
    </row>
    <row r="1259" spans="1:17" x14ac:dyDescent="0.25">
      <c r="A1259" s="1">
        <v>44531</v>
      </c>
      <c r="B1259" t="s">
        <v>145</v>
      </c>
      <c r="C1259" t="s">
        <v>59</v>
      </c>
      <c r="D1259" t="s">
        <v>58</v>
      </c>
      <c r="E1259">
        <v>579</v>
      </c>
      <c r="F1259">
        <v>82</v>
      </c>
      <c r="G1259">
        <v>165</v>
      </c>
      <c r="H1259">
        <v>1190</v>
      </c>
      <c r="I1259">
        <v>796</v>
      </c>
      <c r="J1259">
        <v>432</v>
      </c>
      <c r="K1259">
        <v>331</v>
      </c>
      <c r="L1259">
        <v>1180</v>
      </c>
      <c r="M1259">
        <v>210</v>
      </c>
      <c r="N1259">
        <v>197</v>
      </c>
      <c r="O1259">
        <v>20</v>
      </c>
      <c r="P1259" s="1">
        <v>44287</v>
      </c>
      <c r="Q1259">
        <v>244</v>
      </c>
    </row>
    <row r="1260" spans="1:17" x14ac:dyDescent="0.25">
      <c r="A1260" s="1">
        <v>44562</v>
      </c>
      <c r="B1260" t="s">
        <v>144</v>
      </c>
      <c r="C1260" t="s">
        <v>56</v>
      </c>
      <c r="D1260" t="s">
        <v>55</v>
      </c>
      <c r="E1260">
        <v>-40</v>
      </c>
      <c r="F1260">
        <v>217</v>
      </c>
      <c r="G1260">
        <v>226</v>
      </c>
      <c r="H1260">
        <v>467</v>
      </c>
      <c r="I1260">
        <v>482</v>
      </c>
      <c r="J1260">
        <v>729</v>
      </c>
      <c r="K1260">
        <v>895</v>
      </c>
      <c r="L1260">
        <v>676</v>
      </c>
      <c r="M1260">
        <v>158</v>
      </c>
      <c r="N1260">
        <v>902</v>
      </c>
      <c r="O1260">
        <v>353</v>
      </c>
      <c r="P1260" s="1">
        <v>44256</v>
      </c>
      <c r="Q1260">
        <v>306</v>
      </c>
    </row>
    <row r="1261" spans="1:17" x14ac:dyDescent="0.25">
      <c r="A1261" s="1">
        <v>44562</v>
      </c>
      <c r="B1261" t="s">
        <v>145</v>
      </c>
      <c r="C1261" t="s">
        <v>59</v>
      </c>
      <c r="D1261" t="s">
        <v>58</v>
      </c>
      <c r="E1261">
        <v>968</v>
      </c>
      <c r="F1261">
        <v>198</v>
      </c>
      <c r="G1261">
        <v>133</v>
      </c>
      <c r="H1261">
        <v>865</v>
      </c>
      <c r="I1261">
        <v>1169</v>
      </c>
      <c r="J1261">
        <v>152</v>
      </c>
      <c r="K1261">
        <v>155</v>
      </c>
      <c r="L1261">
        <v>1038</v>
      </c>
      <c r="M1261">
        <v>237</v>
      </c>
      <c r="N1261">
        <v>571</v>
      </c>
      <c r="O1261">
        <v>198</v>
      </c>
      <c r="P1261" s="1">
        <v>44287</v>
      </c>
      <c r="Q1261">
        <v>275</v>
      </c>
    </row>
    <row r="1262" spans="1:17" x14ac:dyDescent="0.25">
      <c r="A1262" s="1">
        <v>44562</v>
      </c>
      <c r="B1262" t="s">
        <v>146</v>
      </c>
      <c r="C1262" t="s">
        <v>62</v>
      </c>
      <c r="D1262" t="s">
        <v>61</v>
      </c>
      <c r="E1262">
        <v>544</v>
      </c>
      <c r="F1262">
        <v>355</v>
      </c>
      <c r="G1262">
        <v>105</v>
      </c>
      <c r="H1262">
        <v>156</v>
      </c>
      <c r="I1262">
        <v>133</v>
      </c>
      <c r="J1262">
        <v>252</v>
      </c>
      <c r="K1262">
        <v>42</v>
      </c>
      <c r="L1262">
        <v>396</v>
      </c>
      <c r="M1262">
        <v>210</v>
      </c>
      <c r="N1262">
        <v>77</v>
      </c>
      <c r="O1262">
        <v>174</v>
      </c>
      <c r="P1262" s="1">
        <v>44075</v>
      </c>
      <c r="Q1262">
        <v>487</v>
      </c>
    </row>
    <row r="1263" spans="1:17" x14ac:dyDescent="0.25">
      <c r="A1263" s="1">
        <v>44562</v>
      </c>
      <c r="B1263" t="s">
        <v>147</v>
      </c>
      <c r="C1263" t="s">
        <v>64</v>
      </c>
      <c r="D1263" t="s">
        <v>52</v>
      </c>
      <c r="E1263">
        <v>351</v>
      </c>
      <c r="F1263">
        <v>197</v>
      </c>
      <c r="G1263">
        <v>160</v>
      </c>
      <c r="H1263">
        <v>27</v>
      </c>
      <c r="I1263">
        <v>59</v>
      </c>
      <c r="J1263">
        <v>2</v>
      </c>
      <c r="K1263">
        <v>103</v>
      </c>
      <c r="L1263">
        <v>129</v>
      </c>
      <c r="M1263">
        <v>105</v>
      </c>
      <c r="N1263">
        <v>62</v>
      </c>
      <c r="O1263">
        <v>179</v>
      </c>
      <c r="P1263" s="1">
        <v>43862</v>
      </c>
      <c r="Q1263">
        <v>700</v>
      </c>
    </row>
    <row r="1264" spans="1:17" x14ac:dyDescent="0.25">
      <c r="A1264" s="1">
        <v>44562</v>
      </c>
      <c r="B1264" t="s">
        <v>148</v>
      </c>
      <c r="C1264" t="s">
        <v>66</v>
      </c>
      <c r="D1264" t="s">
        <v>55</v>
      </c>
      <c r="E1264">
        <v>1185</v>
      </c>
      <c r="F1264">
        <v>1033</v>
      </c>
      <c r="G1264">
        <v>238</v>
      </c>
      <c r="H1264">
        <v>240</v>
      </c>
      <c r="I1264">
        <v>100</v>
      </c>
      <c r="J1264">
        <v>291</v>
      </c>
      <c r="K1264">
        <v>526</v>
      </c>
      <c r="L1264">
        <v>280</v>
      </c>
      <c r="M1264">
        <v>193</v>
      </c>
      <c r="N1264">
        <v>89</v>
      </c>
      <c r="O1264">
        <v>553</v>
      </c>
      <c r="P1264" s="1">
        <v>44256</v>
      </c>
      <c r="Q1264">
        <v>306</v>
      </c>
    </row>
    <row r="1265" spans="1:17" x14ac:dyDescent="0.25">
      <c r="A1265" s="1">
        <v>44562</v>
      </c>
      <c r="B1265" t="s">
        <v>149</v>
      </c>
      <c r="C1265" t="s">
        <v>67</v>
      </c>
      <c r="D1265" t="s">
        <v>55</v>
      </c>
      <c r="E1265">
        <v>832</v>
      </c>
      <c r="F1265">
        <v>1113</v>
      </c>
      <c r="G1265">
        <v>185</v>
      </c>
      <c r="H1265">
        <v>426</v>
      </c>
      <c r="I1265">
        <v>831</v>
      </c>
      <c r="J1265">
        <v>1017</v>
      </c>
      <c r="K1265">
        <v>401</v>
      </c>
      <c r="L1265">
        <v>1012</v>
      </c>
      <c r="M1265">
        <v>1063</v>
      </c>
      <c r="N1265">
        <v>653</v>
      </c>
      <c r="O1265">
        <v>1857</v>
      </c>
      <c r="P1265" s="1">
        <v>44256</v>
      </c>
      <c r="Q1265">
        <v>306</v>
      </c>
    </row>
    <row r="1266" spans="1:17" x14ac:dyDescent="0.25">
      <c r="A1266" s="1">
        <v>44562</v>
      </c>
      <c r="B1266" t="s">
        <v>150</v>
      </c>
      <c r="C1266" t="s">
        <v>69</v>
      </c>
      <c r="D1266" t="s">
        <v>68</v>
      </c>
      <c r="E1266">
        <v>-60</v>
      </c>
      <c r="F1266">
        <v>180</v>
      </c>
      <c r="G1266">
        <v>198</v>
      </c>
      <c r="H1266">
        <v>454</v>
      </c>
      <c r="I1266">
        <v>231</v>
      </c>
      <c r="J1266">
        <v>148</v>
      </c>
      <c r="K1266">
        <v>238</v>
      </c>
      <c r="L1266">
        <v>445</v>
      </c>
      <c r="M1266">
        <v>121</v>
      </c>
      <c r="N1266">
        <v>314</v>
      </c>
      <c r="O1266">
        <v>1685</v>
      </c>
      <c r="P1266" s="1">
        <v>44317</v>
      </c>
      <c r="Q1266">
        <v>245</v>
      </c>
    </row>
    <row r="1267" spans="1:17" x14ac:dyDescent="0.25">
      <c r="A1267" s="1">
        <v>44562</v>
      </c>
      <c r="B1267" t="s">
        <v>151</v>
      </c>
      <c r="C1267" t="s">
        <v>71</v>
      </c>
      <c r="D1267" t="s">
        <v>70</v>
      </c>
      <c r="E1267">
        <v>174</v>
      </c>
      <c r="F1267">
        <v>91</v>
      </c>
      <c r="G1267">
        <v>133</v>
      </c>
      <c r="H1267">
        <v>65</v>
      </c>
      <c r="I1267">
        <v>452</v>
      </c>
      <c r="J1267">
        <v>178</v>
      </c>
      <c r="K1267">
        <v>194</v>
      </c>
      <c r="L1267">
        <v>260</v>
      </c>
      <c r="M1267">
        <v>524</v>
      </c>
      <c r="N1267">
        <v>206</v>
      </c>
      <c r="O1267">
        <v>182</v>
      </c>
      <c r="P1267" s="1">
        <v>44136</v>
      </c>
      <c r="Q1267">
        <v>426</v>
      </c>
    </row>
    <row r="1268" spans="1:17" x14ac:dyDescent="0.25">
      <c r="A1268" s="1">
        <v>44562</v>
      </c>
      <c r="B1268" t="s">
        <v>152</v>
      </c>
      <c r="C1268" t="s">
        <v>11</v>
      </c>
      <c r="D1268" t="s">
        <v>52</v>
      </c>
      <c r="E1268">
        <v>83</v>
      </c>
      <c r="F1268">
        <v>152</v>
      </c>
      <c r="G1268">
        <v>34</v>
      </c>
      <c r="H1268">
        <v>480</v>
      </c>
      <c r="I1268">
        <v>85</v>
      </c>
      <c r="J1268">
        <v>81</v>
      </c>
      <c r="K1268">
        <v>16</v>
      </c>
      <c r="L1268">
        <v>56</v>
      </c>
      <c r="M1268">
        <v>78</v>
      </c>
      <c r="N1268">
        <v>101</v>
      </c>
      <c r="O1268">
        <v>100</v>
      </c>
      <c r="P1268" s="1">
        <v>43862</v>
      </c>
      <c r="Q1268">
        <v>700</v>
      </c>
    </row>
    <row r="1269" spans="1:17" x14ac:dyDescent="0.25">
      <c r="A1269" s="1">
        <v>44562</v>
      </c>
      <c r="B1269" t="s">
        <v>153</v>
      </c>
      <c r="C1269" t="s">
        <v>73</v>
      </c>
      <c r="D1269" t="s">
        <v>72</v>
      </c>
      <c r="E1269">
        <v>-20</v>
      </c>
      <c r="F1269">
        <v>461</v>
      </c>
      <c r="G1269">
        <v>700</v>
      </c>
      <c r="H1269">
        <v>1078</v>
      </c>
      <c r="I1269">
        <v>26</v>
      </c>
      <c r="J1269">
        <v>1162</v>
      </c>
      <c r="K1269">
        <v>199</v>
      </c>
      <c r="L1269">
        <v>-330</v>
      </c>
      <c r="M1269">
        <v>1531</v>
      </c>
      <c r="N1269">
        <v>-99</v>
      </c>
      <c r="O1269">
        <v>696</v>
      </c>
      <c r="P1269" s="1">
        <v>44440</v>
      </c>
      <c r="Q1269">
        <v>122</v>
      </c>
    </row>
    <row r="1270" spans="1:17" x14ac:dyDescent="0.25">
      <c r="A1270" s="1">
        <v>44562</v>
      </c>
      <c r="B1270" t="s">
        <v>154</v>
      </c>
      <c r="C1270" t="s">
        <v>17</v>
      </c>
      <c r="D1270" t="s">
        <v>74</v>
      </c>
      <c r="E1270">
        <v>-229</v>
      </c>
      <c r="F1270">
        <v>955</v>
      </c>
      <c r="G1270">
        <v>181</v>
      </c>
      <c r="H1270">
        <v>809</v>
      </c>
      <c r="I1270">
        <v>1040</v>
      </c>
      <c r="J1270">
        <v>1052</v>
      </c>
      <c r="K1270">
        <v>221</v>
      </c>
      <c r="L1270">
        <v>644</v>
      </c>
      <c r="M1270">
        <v>1223</v>
      </c>
      <c r="N1270">
        <v>330</v>
      </c>
      <c r="O1270">
        <v>1399</v>
      </c>
      <c r="P1270" s="1">
        <v>44197</v>
      </c>
      <c r="Q1270">
        <v>365</v>
      </c>
    </row>
    <row r="1271" spans="1:17" x14ac:dyDescent="0.25">
      <c r="A1271" s="1">
        <v>44562</v>
      </c>
      <c r="B1271" t="s">
        <v>155</v>
      </c>
      <c r="C1271" t="s">
        <v>76</v>
      </c>
      <c r="D1271" t="s">
        <v>75</v>
      </c>
      <c r="E1271">
        <v>194</v>
      </c>
      <c r="F1271">
        <v>128</v>
      </c>
      <c r="G1271">
        <v>253</v>
      </c>
      <c r="H1271">
        <v>39</v>
      </c>
      <c r="I1271">
        <v>398</v>
      </c>
      <c r="J1271">
        <v>57</v>
      </c>
      <c r="K1271">
        <v>530</v>
      </c>
      <c r="L1271">
        <v>-125</v>
      </c>
      <c r="M1271">
        <v>102</v>
      </c>
      <c r="N1271">
        <v>309</v>
      </c>
      <c r="O1271">
        <v>345</v>
      </c>
      <c r="P1271" s="1">
        <v>44470</v>
      </c>
      <c r="Q1271">
        <v>92</v>
      </c>
    </row>
    <row r="1272" spans="1:17" x14ac:dyDescent="0.25">
      <c r="A1272" s="1">
        <v>44562</v>
      </c>
      <c r="B1272" t="s">
        <v>156</v>
      </c>
      <c r="C1272" t="s">
        <v>79</v>
      </c>
      <c r="D1272" t="s">
        <v>78</v>
      </c>
      <c r="E1272">
        <v>199</v>
      </c>
      <c r="F1272">
        <v>127</v>
      </c>
      <c r="G1272">
        <v>226</v>
      </c>
      <c r="H1272">
        <v>965</v>
      </c>
      <c r="I1272">
        <v>247</v>
      </c>
      <c r="J1272">
        <v>41</v>
      </c>
      <c r="K1272">
        <v>81</v>
      </c>
      <c r="L1272">
        <v>177</v>
      </c>
      <c r="M1272">
        <v>159</v>
      </c>
      <c r="N1272">
        <v>1370</v>
      </c>
      <c r="O1272">
        <v>238</v>
      </c>
      <c r="P1272" s="1">
        <v>44348</v>
      </c>
      <c r="Q1272">
        <v>214</v>
      </c>
    </row>
    <row r="1273" spans="1:17" x14ac:dyDescent="0.25">
      <c r="A1273" s="1">
        <v>44562</v>
      </c>
      <c r="B1273" t="s">
        <v>157</v>
      </c>
      <c r="C1273" t="s">
        <v>81</v>
      </c>
      <c r="D1273" t="s">
        <v>72</v>
      </c>
      <c r="E1273">
        <v>2915</v>
      </c>
      <c r="F1273">
        <v>3316</v>
      </c>
      <c r="G1273">
        <v>279</v>
      </c>
      <c r="H1273">
        <v>2289</v>
      </c>
      <c r="I1273">
        <v>1810</v>
      </c>
      <c r="J1273">
        <v>1884</v>
      </c>
      <c r="K1273">
        <v>2992</v>
      </c>
      <c r="L1273">
        <v>2405</v>
      </c>
      <c r="M1273">
        <v>2470</v>
      </c>
      <c r="N1273">
        <v>2757</v>
      </c>
      <c r="O1273">
        <v>1989</v>
      </c>
      <c r="P1273" s="1">
        <v>44440</v>
      </c>
      <c r="Q1273">
        <v>122</v>
      </c>
    </row>
    <row r="1274" spans="1:17" x14ac:dyDescent="0.25">
      <c r="A1274" s="1">
        <v>44562</v>
      </c>
      <c r="B1274" t="s">
        <v>158</v>
      </c>
      <c r="C1274" t="s">
        <v>83</v>
      </c>
      <c r="D1274" t="s">
        <v>82</v>
      </c>
      <c r="E1274">
        <v>274</v>
      </c>
      <c r="F1274">
        <v>999</v>
      </c>
      <c r="G1274">
        <v>269</v>
      </c>
      <c r="H1274">
        <v>999</v>
      </c>
      <c r="I1274">
        <v>953</v>
      </c>
      <c r="J1274">
        <v>-43</v>
      </c>
      <c r="K1274">
        <v>581</v>
      </c>
      <c r="L1274">
        <v>1427</v>
      </c>
      <c r="M1274">
        <v>549</v>
      </c>
      <c r="N1274">
        <v>339</v>
      </c>
      <c r="O1274">
        <v>631</v>
      </c>
      <c r="P1274" s="1">
        <v>44228</v>
      </c>
      <c r="Q1274">
        <v>334</v>
      </c>
    </row>
    <row r="1275" spans="1:17" x14ac:dyDescent="0.25">
      <c r="A1275" s="1">
        <v>44562</v>
      </c>
      <c r="B1275" t="s">
        <v>159</v>
      </c>
      <c r="C1275" t="s">
        <v>84</v>
      </c>
      <c r="D1275" t="s">
        <v>55</v>
      </c>
      <c r="E1275">
        <v>207</v>
      </c>
      <c r="F1275">
        <v>-7</v>
      </c>
      <c r="G1275">
        <v>300</v>
      </c>
      <c r="H1275">
        <v>54</v>
      </c>
      <c r="I1275">
        <v>479</v>
      </c>
      <c r="J1275">
        <v>238</v>
      </c>
      <c r="K1275">
        <v>90</v>
      </c>
      <c r="L1275">
        <v>1042</v>
      </c>
      <c r="M1275">
        <v>227</v>
      </c>
      <c r="N1275">
        <v>595</v>
      </c>
      <c r="O1275">
        <v>241</v>
      </c>
      <c r="P1275" s="1">
        <v>44256</v>
      </c>
      <c r="Q1275">
        <v>306</v>
      </c>
    </row>
    <row r="1276" spans="1:17" x14ac:dyDescent="0.25">
      <c r="A1276" s="1">
        <v>44562</v>
      </c>
      <c r="B1276" t="s">
        <v>160</v>
      </c>
      <c r="C1276" t="s">
        <v>86</v>
      </c>
      <c r="D1276" t="s">
        <v>68</v>
      </c>
      <c r="E1276">
        <v>965</v>
      </c>
      <c r="F1276">
        <v>224</v>
      </c>
      <c r="G1276">
        <v>382</v>
      </c>
      <c r="H1276">
        <v>851</v>
      </c>
      <c r="I1276">
        <v>576</v>
      </c>
      <c r="J1276">
        <v>139</v>
      </c>
      <c r="K1276">
        <v>728</v>
      </c>
      <c r="L1276">
        <v>300</v>
      </c>
      <c r="M1276">
        <v>1130</v>
      </c>
      <c r="N1276">
        <v>273</v>
      </c>
      <c r="O1276">
        <v>767</v>
      </c>
      <c r="P1276" s="1">
        <v>44317</v>
      </c>
      <c r="Q1276">
        <v>245</v>
      </c>
    </row>
    <row r="1277" spans="1:17" x14ac:dyDescent="0.25">
      <c r="A1277" s="1">
        <v>44562</v>
      </c>
      <c r="B1277" t="s">
        <v>161</v>
      </c>
      <c r="C1277" t="s">
        <v>87</v>
      </c>
      <c r="D1277" t="s">
        <v>72</v>
      </c>
      <c r="E1277">
        <v>3605</v>
      </c>
      <c r="F1277">
        <v>1193</v>
      </c>
      <c r="G1277">
        <v>406</v>
      </c>
      <c r="H1277">
        <v>2325</v>
      </c>
      <c r="I1277">
        <v>1376</v>
      </c>
      <c r="J1277">
        <v>4729</v>
      </c>
      <c r="K1277">
        <v>2010</v>
      </c>
      <c r="L1277">
        <v>2153</v>
      </c>
      <c r="M1277">
        <v>3585</v>
      </c>
      <c r="N1277">
        <v>2386</v>
      </c>
      <c r="O1277">
        <v>-8</v>
      </c>
      <c r="P1277" s="1">
        <v>44440</v>
      </c>
      <c r="Q1277">
        <v>122</v>
      </c>
    </row>
    <row r="1278" spans="1:17" x14ac:dyDescent="0.25">
      <c r="A1278" s="1">
        <v>44562</v>
      </c>
      <c r="B1278" t="s">
        <v>162</v>
      </c>
      <c r="C1278" t="s">
        <v>89</v>
      </c>
      <c r="D1278" t="s">
        <v>88</v>
      </c>
      <c r="E1278">
        <v>51</v>
      </c>
      <c r="F1278">
        <v>14</v>
      </c>
      <c r="G1278">
        <v>132</v>
      </c>
      <c r="H1278">
        <v>58</v>
      </c>
      <c r="I1278">
        <v>171</v>
      </c>
      <c r="J1278">
        <v>71</v>
      </c>
      <c r="K1278">
        <v>197</v>
      </c>
      <c r="L1278">
        <v>145</v>
      </c>
      <c r="M1278">
        <v>119</v>
      </c>
      <c r="N1278">
        <v>167</v>
      </c>
      <c r="O1278">
        <v>578</v>
      </c>
      <c r="P1278" s="1">
        <v>44044</v>
      </c>
      <c r="Q1278">
        <v>518</v>
      </c>
    </row>
    <row r="1279" spans="1:17" x14ac:dyDescent="0.25">
      <c r="A1279" s="1">
        <v>44562</v>
      </c>
      <c r="B1279" t="s">
        <v>163</v>
      </c>
      <c r="C1279" t="s">
        <v>90</v>
      </c>
      <c r="D1279" t="s">
        <v>82</v>
      </c>
      <c r="E1279">
        <v>732</v>
      </c>
      <c r="F1279">
        <v>139</v>
      </c>
      <c r="G1279">
        <v>43</v>
      </c>
      <c r="H1279">
        <v>1091</v>
      </c>
      <c r="I1279">
        <v>577</v>
      </c>
      <c r="J1279">
        <v>244</v>
      </c>
      <c r="K1279">
        <v>236</v>
      </c>
      <c r="L1279">
        <v>271</v>
      </c>
      <c r="M1279">
        <v>233</v>
      </c>
      <c r="N1279">
        <v>777</v>
      </c>
      <c r="O1279">
        <v>194</v>
      </c>
      <c r="P1279" s="1">
        <v>44228</v>
      </c>
      <c r="Q1279">
        <v>334</v>
      </c>
    </row>
    <row r="1280" spans="1:17" x14ac:dyDescent="0.25">
      <c r="A1280" s="1">
        <v>44562</v>
      </c>
      <c r="B1280" t="s">
        <v>164</v>
      </c>
      <c r="C1280" t="s">
        <v>92</v>
      </c>
      <c r="D1280" t="s">
        <v>91</v>
      </c>
      <c r="E1280">
        <v>1015</v>
      </c>
      <c r="F1280">
        <v>105</v>
      </c>
      <c r="G1280">
        <v>45</v>
      </c>
      <c r="H1280">
        <v>146</v>
      </c>
      <c r="I1280">
        <v>110</v>
      </c>
      <c r="J1280">
        <v>123</v>
      </c>
      <c r="K1280">
        <v>121</v>
      </c>
      <c r="L1280">
        <v>77</v>
      </c>
      <c r="M1280">
        <v>121</v>
      </c>
      <c r="N1280">
        <v>180</v>
      </c>
      <c r="O1280">
        <v>48</v>
      </c>
      <c r="P1280" s="1">
        <v>44105</v>
      </c>
      <c r="Q1280">
        <v>457</v>
      </c>
    </row>
    <row r="1281" spans="1:17" x14ac:dyDescent="0.25">
      <c r="A1281" s="1">
        <v>44562</v>
      </c>
      <c r="B1281" t="s">
        <v>165</v>
      </c>
      <c r="C1281" t="s">
        <v>94</v>
      </c>
      <c r="D1281" t="s">
        <v>93</v>
      </c>
      <c r="E1281">
        <v>117</v>
      </c>
      <c r="F1281">
        <v>39</v>
      </c>
      <c r="G1281">
        <v>83</v>
      </c>
      <c r="H1281">
        <v>300</v>
      </c>
      <c r="I1281">
        <v>126</v>
      </c>
      <c r="J1281">
        <v>69</v>
      </c>
      <c r="K1281">
        <v>83</v>
      </c>
      <c r="L1281">
        <v>269</v>
      </c>
      <c r="M1281">
        <v>75</v>
      </c>
      <c r="N1281">
        <v>112</v>
      </c>
      <c r="O1281">
        <v>414</v>
      </c>
      <c r="P1281" s="1">
        <v>43586</v>
      </c>
      <c r="Q1281">
        <v>976</v>
      </c>
    </row>
    <row r="1282" spans="1:17" x14ac:dyDescent="0.25">
      <c r="A1282" s="1">
        <v>44562</v>
      </c>
      <c r="B1282" t="s">
        <v>166</v>
      </c>
      <c r="C1282" t="s">
        <v>96</v>
      </c>
      <c r="D1282" t="s">
        <v>95</v>
      </c>
      <c r="E1282">
        <v>20</v>
      </c>
      <c r="F1282">
        <v>0</v>
      </c>
      <c r="G1282">
        <v>83</v>
      </c>
      <c r="H1282">
        <v>298</v>
      </c>
      <c r="I1282">
        <v>119</v>
      </c>
      <c r="J1282">
        <v>106</v>
      </c>
      <c r="K1282">
        <v>398</v>
      </c>
      <c r="L1282">
        <v>52</v>
      </c>
      <c r="M1282">
        <v>282</v>
      </c>
      <c r="N1282">
        <v>40</v>
      </c>
      <c r="O1282">
        <v>331</v>
      </c>
      <c r="P1282" s="1">
        <v>43678</v>
      </c>
      <c r="Q1282">
        <v>884</v>
      </c>
    </row>
    <row r="1283" spans="1:17" x14ac:dyDescent="0.25">
      <c r="A1283" s="1">
        <v>44562</v>
      </c>
      <c r="B1283" t="s">
        <v>167</v>
      </c>
      <c r="C1283" t="s">
        <v>97</v>
      </c>
      <c r="D1283" t="s">
        <v>58</v>
      </c>
      <c r="E1283">
        <v>362</v>
      </c>
      <c r="F1283">
        <v>180</v>
      </c>
      <c r="G1283">
        <v>289</v>
      </c>
      <c r="H1283">
        <v>159</v>
      </c>
      <c r="I1283">
        <v>908</v>
      </c>
      <c r="J1283">
        <v>293</v>
      </c>
      <c r="K1283">
        <v>1063</v>
      </c>
      <c r="L1283">
        <v>380</v>
      </c>
      <c r="M1283">
        <v>195</v>
      </c>
      <c r="N1283">
        <v>1427</v>
      </c>
      <c r="O1283">
        <v>268</v>
      </c>
      <c r="P1283" s="1">
        <v>44287</v>
      </c>
      <c r="Q1283">
        <v>275</v>
      </c>
    </row>
    <row r="1284" spans="1:17" x14ac:dyDescent="0.25">
      <c r="A1284" s="1">
        <v>44562</v>
      </c>
      <c r="B1284" t="s">
        <v>168</v>
      </c>
      <c r="C1284" t="s">
        <v>98</v>
      </c>
      <c r="D1284" t="s">
        <v>49</v>
      </c>
      <c r="E1284">
        <v>420</v>
      </c>
      <c r="F1284">
        <v>34</v>
      </c>
      <c r="G1284">
        <v>70</v>
      </c>
      <c r="H1284">
        <v>8</v>
      </c>
      <c r="I1284">
        <v>35</v>
      </c>
      <c r="J1284">
        <v>62</v>
      </c>
      <c r="K1284">
        <v>132</v>
      </c>
      <c r="L1284">
        <v>245</v>
      </c>
      <c r="M1284">
        <v>6</v>
      </c>
      <c r="N1284">
        <v>84</v>
      </c>
      <c r="O1284">
        <v>100</v>
      </c>
      <c r="P1284" s="1">
        <v>43709</v>
      </c>
      <c r="Q1284">
        <v>853</v>
      </c>
    </row>
    <row r="1285" spans="1:17" x14ac:dyDescent="0.25">
      <c r="A1285" s="1">
        <v>44562</v>
      </c>
      <c r="B1285" t="s">
        <v>169</v>
      </c>
      <c r="C1285" t="s">
        <v>99</v>
      </c>
      <c r="D1285" t="s">
        <v>95</v>
      </c>
      <c r="E1285">
        <v>59</v>
      </c>
      <c r="F1285">
        <v>169</v>
      </c>
      <c r="G1285">
        <v>45</v>
      </c>
      <c r="H1285">
        <v>305</v>
      </c>
      <c r="I1285">
        <v>172</v>
      </c>
      <c r="J1285">
        <v>221</v>
      </c>
      <c r="K1285">
        <v>323</v>
      </c>
      <c r="L1285">
        <v>34</v>
      </c>
      <c r="M1285">
        <v>232</v>
      </c>
      <c r="N1285">
        <v>58</v>
      </c>
      <c r="O1285">
        <v>242</v>
      </c>
      <c r="P1285" s="1">
        <v>43678</v>
      </c>
      <c r="Q1285">
        <v>884</v>
      </c>
    </row>
    <row r="1286" spans="1:17" x14ac:dyDescent="0.25">
      <c r="A1286" s="1">
        <v>44562</v>
      </c>
      <c r="B1286" t="s">
        <v>170</v>
      </c>
      <c r="C1286" t="s">
        <v>100</v>
      </c>
      <c r="D1286" t="s">
        <v>82</v>
      </c>
      <c r="E1286">
        <v>191</v>
      </c>
      <c r="F1286">
        <v>-60</v>
      </c>
      <c r="G1286">
        <v>247</v>
      </c>
      <c r="H1286">
        <v>362</v>
      </c>
      <c r="I1286">
        <v>935</v>
      </c>
      <c r="J1286">
        <v>134</v>
      </c>
      <c r="K1286">
        <v>502</v>
      </c>
      <c r="L1286">
        <v>517</v>
      </c>
      <c r="M1286">
        <v>291</v>
      </c>
      <c r="N1286">
        <v>462</v>
      </c>
      <c r="O1286">
        <v>178</v>
      </c>
      <c r="P1286" s="1">
        <v>44228</v>
      </c>
      <c r="Q1286">
        <v>334</v>
      </c>
    </row>
    <row r="1287" spans="1:17" x14ac:dyDescent="0.25">
      <c r="A1287" s="1">
        <v>44562</v>
      </c>
      <c r="B1287" t="s">
        <v>171</v>
      </c>
      <c r="C1287" t="s">
        <v>101</v>
      </c>
      <c r="D1287" t="s">
        <v>68</v>
      </c>
      <c r="E1287">
        <v>1029</v>
      </c>
      <c r="F1287">
        <v>1269</v>
      </c>
      <c r="G1287">
        <v>263</v>
      </c>
      <c r="H1287">
        <v>798</v>
      </c>
      <c r="I1287">
        <v>1056</v>
      </c>
      <c r="J1287">
        <v>913</v>
      </c>
      <c r="K1287">
        <v>567</v>
      </c>
      <c r="L1287">
        <v>294</v>
      </c>
      <c r="M1287">
        <v>1093</v>
      </c>
      <c r="N1287">
        <v>1091</v>
      </c>
      <c r="O1287">
        <v>1167</v>
      </c>
      <c r="P1287" s="1">
        <v>44317</v>
      </c>
      <c r="Q1287">
        <v>245</v>
      </c>
    </row>
    <row r="1288" spans="1:17" x14ac:dyDescent="0.25">
      <c r="A1288" s="1">
        <v>44562</v>
      </c>
      <c r="B1288" t="s">
        <v>172</v>
      </c>
      <c r="C1288" t="s">
        <v>102</v>
      </c>
      <c r="D1288" t="s">
        <v>88</v>
      </c>
      <c r="E1288">
        <v>227</v>
      </c>
      <c r="F1288">
        <v>102</v>
      </c>
      <c r="G1288">
        <v>223</v>
      </c>
      <c r="H1288">
        <v>410</v>
      </c>
      <c r="I1288">
        <v>89</v>
      </c>
      <c r="J1288">
        <v>16</v>
      </c>
      <c r="K1288">
        <v>420</v>
      </c>
      <c r="L1288">
        <v>176</v>
      </c>
      <c r="M1288">
        <v>52</v>
      </c>
      <c r="N1288">
        <v>91</v>
      </c>
      <c r="O1288">
        <v>503</v>
      </c>
      <c r="P1288" s="1">
        <v>44044</v>
      </c>
      <c r="Q1288">
        <v>518</v>
      </c>
    </row>
    <row r="1289" spans="1:17" x14ac:dyDescent="0.25">
      <c r="A1289" s="1">
        <v>44562</v>
      </c>
      <c r="B1289" t="s">
        <v>173</v>
      </c>
      <c r="C1289" t="s">
        <v>103</v>
      </c>
      <c r="D1289" t="s">
        <v>52</v>
      </c>
      <c r="E1289">
        <v>120</v>
      </c>
      <c r="F1289">
        <v>96</v>
      </c>
      <c r="G1289">
        <v>108</v>
      </c>
      <c r="H1289">
        <v>416</v>
      </c>
      <c r="I1289">
        <v>179</v>
      </c>
      <c r="J1289">
        <v>78</v>
      </c>
      <c r="K1289">
        <v>137</v>
      </c>
      <c r="L1289">
        <v>173</v>
      </c>
      <c r="M1289">
        <v>88</v>
      </c>
      <c r="N1289">
        <v>32</v>
      </c>
      <c r="O1289">
        <v>-47</v>
      </c>
      <c r="P1289" s="1">
        <v>43862</v>
      </c>
      <c r="Q1289">
        <v>700</v>
      </c>
    </row>
    <row r="1290" spans="1:17" x14ac:dyDescent="0.25">
      <c r="A1290" s="1">
        <v>44562</v>
      </c>
      <c r="B1290" t="s">
        <v>174</v>
      </c>
      <c r="C1290" t="s">
        <v>105</v>
      </c>
      <c r="D1290" t="s">
        <v>104</v>
      </c>
      <c r="E1290">
        <v>79</v>
      </c>
      <c r="F1290">
        <v>57</v>
      </c>
      <c r="G1290">
        <v>52</v>
      </c>
      <c r="H1290">
        <v>175</v>
      </c>
      <c r="I1290">
        <v>76</v>
      </c>
      <c r="J1290">
        <v>39</v>
      </c>
      <c r="K1290">
        <v>51</v>
      </c>
      <c r="L1290">
        <v>80</v>
      </c>
      <c r="M1290">
        <v>123</v>
      </c>
      <c r="N1290">
        <v>61</v>
      </c>
      <c r="O1290">
        <v>91</v>
      </c>
      <c r="P1290" s="1">
        <v>43374</v>
      </c>
      <c r="Q1290">
        <v>1188</v>
      </c>
    </row>
    <row r="1291" spans="1:17" x14ac:dyDescent="0.25">
      <c r="A1291" s="1">
        <v>44562</v>
      </c>
      <c r="B1291" t="s">
        <v>142</v>
      </c>
      <c r="C1291" t="s">
        <v>50</v>
      </c>
      <c r="D1291" t="s">
        <v>49</v>
      </c>
      <c r="E1291">
        <v>411</v>
      </c>
      <c r="F1291">
        <v>132</v>
      </c>
      <c r="G1291">
        <v>99</v>
      </c>
      <c r="H1291">
        <v>433</v>
      </c>
      <c r="I1291">
        <v>158</v>
      </c>
      <c r="J1291">
        <v>238</v>
      </c>
      <c r="K1291">
        <v>98</v>
      </c>
      <c r="L1291">
        <v>393</v>
      </c>
      <c r="M1291">
        <v>177</v>
      </c>
      <c r="N1291">
        <v>307</v>
      </c>
      <c r="O1291">
        <v>188</v>
      </c>
      <c r="P1291" s="1">
        <v>43709</v>
      </c>
      <c r="Q1291">
        <v>853</v>
      </c>
    </row>
    <row r="1292" spans="1:17" x14ac:dyDescent="0.25">
      <c r="A1292" s="1">
        <v>44562</v>
      </c>
      <c r="B1292" t="s">
        <v>143</v>
      </c>
      <c r="C1292" t="s">
        <v>53</v>
      </c>
      <c r="D1292" t="s">
        <v>52</v>
      </c>
      <c r="E1292">
        <v>341</v>
      </c>
      <c r="F1292">
        <v>283</v>
      </c>
      <c r="G1292">
        <v>31</v>
      </c>
      <c r="H1292">
        <v>183</v>
      </c>
      <c r="I1292">
        <v>139</v>
      </c>
      <c r="J1292">
        <v>492</v>
      </c>
      <c r="K1292">
        <v>61</v>
      </c>
      <c r="L1292">
        <v>334</v>
      </c>
      <c r="M1292">
        <v>198</v>
      </c>
      <c r="N1292">
        <v>460</v>
      </c>
      <c r="O1292">
        <v>271</v>
      </c>
      <c r="P1292" s="1">
        <v>43862</v>
      </c>
      <c r="Q1292">
        <v>700</v>
      </c>
    </row>
    <row r="1293" spans="1:17" x14ac:dyDescent="0.25">
      <c r="A1293" s="1">
        <v>44562</v>
      </c>
      <c r="B1293" t="s">
        <v>144</v>
      </c>
      <c r="C1293" t="s">
        <v>56</v>
      </c>
      <c r="D1293" t="s">
        <v>55</v>
      </c>
      <c r="E1293">
        <v>-7</v>
      </c>
      <c r="F1293">
        <v>245</v>
      </c>
      <c r="G1293">
        <v>227</v>
      </c>
      <c r="H1293">
        <v>282</v>
      </c>
      <c r="I1293">
        <v>710</v>
      </c>
      <c r="J1293">
        <v>453</v>
      </c>
      <c r="K1293">
        <v>180</v>
      </c>
      <c r="L1293">
        <v>1534</v>
      </c>
      <c r="M1293">
        <v>186</v>
      </c>
      <c r="N1293">
        <v>761</v>
      </c>
      <c r="O1293">
        <v>849</v>
      </c>
      <c r="P1293" s="1">
        <v>44256</v>
      </c>
      <c r="Q1293">
        <v>306</v>
      </c>
    </row>
    <row r="1294" spans="1:17" x14ac:dyDescent="0.25">
      <c r="A1294" s="1">
        <v>44562</v>
      </c>
      <c r="B1294" t="s">
        <v>145</v>
      </c>
      <c r="C1294" t="s">
        <v>59</v>
      </c>
      <c r="D1294" t="s">
        <v>58</v>
      </c>
      <c r="E1294">
        <v>1125</v>
      </c>
      <c r="F1294">
        <v>208</v>
      </c>
      <c r="G1294">
        <v>275</v>
      </c>
      <c r="H1294">
        <v>-116</v>
      </c>
      <c r="I1294">
        <v>560</v>
      </c>
      <c r="J1294">
        <v>158</v>
      </c>
      <c r="K1294">
        <v>103</v>
      </c>
      <c r="L1294">
        <v>738</v>
      </c>
      <c r="M1294">
        <v>138</v>
      </c>
      <c r="N1294">
        <v>906</v>
      </c>
      <c r="O1294">
        <v>75</v>
      </c>
      <c r="P1294" s="1">
        <v>44287</v>
      </c>
      <c r="Q1294">
        <v>275</v>
      </c>
    </row>
    <row r="1295" spans="1:17" x14ac:dyDescent="0.25">
      <c r="A1295" s="1">
        <v>44593</v>
      </c>
      <c r="B1295" t="s">
        <v>144</v>
      </c>
      <c r="C1295" t="s">
        <v>56</v>
      </c>
      <c r="D1295" t="s">
        <v>55</v>
      </c>
      <c r="E1295">
        <v>846</v>
      </c>
      <c r="F1295">
        <v>127</v>
      </c>
      <c r="G1295">
        <v>268</v>
      </c>
      <c r="H1295">
        <v>672</v>
      </c>
      <c r="I1295">
        <v>1003</v>
      </c>
      <c r="J1295">
        <v>243</v>
      </c>
      <c r="K1295">
        <v>865</v>
      </c>
      <c r="L1295">
        <v>634</v>
      </c>
      <c r="M1295">
        <v>138</v>
      </c>
      <c r="N1295">
        <v>653</v>
      </c>
      <c r="O1295">
        <v>1057</v>
      </c>
      <c r="P1295" s="1">
        <v>44256</v>
      </c>
      <c r="Q1295">
        <v>337</v>
      </c>
    </row>
    <row r="1296" spans="1:17" x14ac:dyDescent="0.25">
      <c r="A1296" s="1">
        <v>44593</v>
      </c>
      <c r="B1296" t="s">
        <v>145</v>
      </c>
      <c r="C1296" t="s">
        <v>59</v>
      </c>
      <c r="D1296" t="s">
        <v>58</v>
      </c>
      <c r="E1296">
        <v>467</v>
      </c>
      <c r="F1296">
        <v>-17</v>
      </c>
      <c r="G1296">
        <v>108</v>
      </c>
      <c r="H1296">
        <v>875</v>
      </c>
      <c r="I1296">
        <v>1475</v>
      </c>
      <c r="J1296">
        <v>272</v>
      </c>
      <c r="K1296">
        <v>198</v>
      </c>
      <c r="L1296">
        <v>824</v>
      </c>
      <c r="M1296">
        <v>281</v>
      </c>
      <c r="N1296">
        <v>203</v>
      </c>
      <c r="O1296">
        <v>190</v>
      </c>
      <c r="P1296" s="1">
        <v>44287</v>
      </c>
      <c r="Q1296">
        <v>306</v>
      </c>
    </row>
    <row r="1297" spans="1:17" x14ac:dyDescent="0.25">
      <c r="A1297" s="1">
        <v>44593</v>
      </c>
      <c r="B1297" t="s">
        <v>146</v>
      </c>
      <c r="C1297" t="s">
        <v>62</v>
      </c>
      <c r="D1297" t="s">
        <v>61</v>
      </c>
      <c r="E1297">
        <v>676</v>
      </c>
      <c r="F1297">
        <v>478</v>
      </c>
      <c r="G1297">
        <v>130</v>
      </c>
      <c r="H1297">
        <v>118</v>
      </c>
      <c r="I1297">
        <v>174</v>
      </c>
      <c r="J1297">
        <v>62</v>
      </c>
      <c r="K1297">
        <v>172</v>
      </c>
      <c r="L1297">
        <v>274</v>
      </c>
      <c r="M1297">
        <v>77</v>
      </c>
      <c r="N1297">
        <v>202</v>
      </c>
      <c r="O1297">
        <v>57</v>
      </c>
      <c r="P1297" s="1">
        <v>44075</v>
      </c>
      <c r="Q1297">
        <v>518</v>
      </c>
    </row>
    <row r="1298" spans="1:17" x14ac:dyDescent="0.25">
      <c r="A1298" s="1">
        <v>44593</v>
      </c>
      <c r="B1298" t="s">
        <v>147</v>
      </c>
      <c r="C1298" t="s">
        <v>64</v>
      </c>
      <c r="D1298" t="s">
        <v>52</v>
      </c>
      <c r="E1298">
        <v>332</v>
      </c>
      <c r="F1298">
        <v>270</v>
      </c>
      <c r="G1298">
        <v>87</v>
      </c>
      <c r="H1298">
        <v>67</v>
      </c>
      <c r="I1298">
        <v>66</v>
      </c>
      <c r="J1298">
        <v>146</v>
      </c>
      <c r="K1298">
        <v>144</v>
      </c>
      <c r="L1298">
        <v>44</v>
      </c>
      <c r="M1298">
        <v>89</v>
      </c>
      <c r="N1298">
        <v>150</v>
      </c>
      <c r="O1298">
        <v>92</v>
      </c>
      <c r="P1298" s="1">
        <v>43862</v>
      </c>
      <c r="Q1298">
        <v>731</v>
      </c>
    </row>
    <row r="1299" spans="1:17" x14ac:dyDescent="0.25">
      <c r="A1299" s="1">
        <v>44593</v>
      </c>
      <c r="B1299" t="s">
        <v>148</v>
      </c>
      <c r="C1299" t="s">
        <v>66</v>
      </c>
      <c r="D1299" t="s">
        <v>55</v>
      </c>
      <c r="E1299">
        <v>621</v>
      </c>
      <c r="F1299">
        <v>709</v>
      </c>
      <c r="G1299">
        <v>130</v>
      </c>
      <c r="H1299">
        <v>918</v>
      </c>
      <c r="I1299">
        <v>253</v>
      </c>
      <c r="J1299">
        <v>15</v>
      </c>
      <c r="K1299">
        <v>763</v>
      </c>
      <c r="L1299">
        <v>257</v>
      </c>
      <c r="M1299">
        <v>19</v>
      </c>
      <c r="N1299">
        <v>317</v>
      </c>
      <c r="O1299">
        <v>893</v>
      </c>
      <c r="P1299" s="1">
        <v>44256</v>
      </c>
      <c r="Q1299">
        <v>337</v>
      </c>
    </row>
    <row r="1300" spans="1:17" x14ac:dyDescent="0.25">
      <c r="A1300" s="1">
        <v>44593</v>
      </c>
      <c r="B1300" t="s">
        <v>149</v>
      </c>
      <c r="C1300" t="s">
        <v>67</v>
      </c>
      <c r="D1300" t="s">
        <v>55</v>
      </c>
      <c r="E1300">
        <v>565</v>
      </c>
      <c r="F1300">
        <v>1262</v>
      </c>
      <c r="G1300">
        <v>272</v>
      </c>
      <c r="H1300">
        <v>171</v>
      </c>
      <c r="I1300">
        <v>159</v>
      </c>
      <c r="J1300">
        <v>474</v>
      </c>
      <c r="K1300">
        <v>688</v>
      </c>
      <c r="L1300">
        <v>1375</v>
      </c>
      <c r="M1300">
        <v>290</v>
      </c>
      <c r="N1300">
        <v>910</v>
      </c>
      <c r="O1300">
        <v>567</v>
      </c>
      <c r="P1300" s="1">
        <v>44256</v>
      </c>
      <c r="Q1300">
        <v>337</v>
      </c>
    </row>
    <row r="1301" spans="1:17" x14ac:dyDescent="0.25">
      <c r="A1301" s="1">
        <v>44593</v>
      </c>
      <c r="B1301" t="s">
        <v>150</v>
      </c>
      <c r="C1301" t="s">
        <v>69</v>
      </c>
      <c r="D1301" t="s">
        <v>68</v>
      </c>
      <c r="E1301">
        <v>420</v>
      </c>
      <c r="F1301">
        <v>210</v>
      </c>
      <c r="G1301">
        <v>179</v>
      </c>
      <c r="H1301">
        <v>1009</v>
      </c>
      <c r="I1301">
        <v>296</v>
      </c>
      <c r="J1301">
        <v>200</v>
      </c>
      <c r="K1301">
        <v>150</v>
      </c>
      <c r="L1301">
        <v>423</v>
      </c>
      <c r="M1301">
        <v>365</v>
      </c>
      <c r="N1301">
        <v>221</v>
      </c>
      <c r="O1301">
        <v>1072</v>
      </c>
      <c r="P1301" s="1">
        <v>44317</v>
      </c>
      <c r="Q1301">
        <v>276</v>
      </c>
    </row>
    <row r="1302" spans="1:17" x14ac:dyDescent="0.25">
      <c r="A1302" s="1">
        <v>44593</v>
      </c>
      <c r="B1302" t="s">
        <v>151</v>
      </c>
      <c r="C1302" t="s">
        <v>71</v>
      </c>
      <c r="D1302" t="s">
        <v>70</v>
      </c>
      <c r="E1302">
        <v>163</v>
      </c>
      <c r="F1302">
        <v>60</v>
      </c>
      <c r="G1302">
        <v>168</v>
      </c>
      <c r="H1302">
        <v>58</v>
      </c>
      <c r="I1302">
        <v>514</v>
      </c>
      <c r="J1302">
        <v>180</v>
      </c>
      <c r="K1302">
        <v>147</v>
      </c>
      <c r="L1302">
        <v>84</v>
      </c>
      <c r="M1302">
        <v>111</v>
      </c>
      <c r="N1302">
        <v>133</v>
      </c>
      <c r="O1302">
        <v>230</v>
      </c>
      <c r="P1302" s="1">
        <v>44136</v>
      </c>
      <c r="Q1302">
        <v>457</v>
      </c>
    </row>
    <row r="1303" spans="1:17" x14ac:dyDescent="0.25">
      <c r="A1303" s="1">
        <v>44593</v>
      </c>
      <c r="B1303" t="s">
        <v>152</v>
      </c>
      <c r="C1303" t="s">
        <v>11</v>
      </c>
      <c r="D1303" t="s">
        <v>52</v>
      </c>
      <c r="E1303">
        <v>113</v>
      </c>
      <c r="F1303">
        <v>75</v>
      </c>
      <c r="G1303">
        <v>108</v>
      </c>
      <c r="H1303">
        <v>31</v>
      </c>
      <c r="I1303">
        <v>63</v>
      </c>
      <c r="J1303">
        <v>47</v>
      </c>
      <c r="K1303">
        <v>47</v>
      </c>
      <c r="L1303">
        <v>91</v>
      </c>
      <c r="M1303">
        <v>99</v>
      </c>
      <c r="N1303">
        <v>75</v>
      </c>
      <c r="O1303">
        <v>99</v>
      </c>
      <c r="P1303" s="1">
        <v>43862</v>
      </c>
      <c r="Q1303">
        <v>731</v>
      </c>
    </row>
    <row r="1304" spans="1:17" x14ac:dyDescent="0.25">
      <c r="A1304" s="1">
        <v>44593</v>
      </c>
      <c r="B1304" t="s">
        <v>153</v>
      </c>
      <c r="C1304" t="s">
        <v>73</v>
      </c>
      <c r="D1304" t="s">
        <v>72</v>
      </c>
      <c r="E1304">
        <v>51</v>
      </c>
      <c r="F1304">
        <v>239</v>
      </c>
      <c r="G1304">
        <v>125</v>
      </c>
      <c r="H1304">
        <v>3240</v>
      </c>
      <c r="I1304">
        <v>486</v>
      </c>
      <c r="J1304">
        <v>2951</v>
      </c>
      <c r="K1304">
        <v>409</v>
      </c>
      <c r="L1304">
        <v>1905</v>
      </c>
      <c r="M1304">
        <v>1543</v>
      </c>
      <c r="N1304">
        <v>405</v>
      </c>
      <c r="O1304">
        <v>1593</v>
      </c>
      <c r="P1304" s="1">
        <v>44440</v>
      </c>
      <c r="Q1304">
        <v>153</v>
      </c>
    </row>
    <row r="1305" spans="1:17" x14ac:dyDescent="0.25">
      <c r="A1305" s="1">
        <v>44593</v>
      </c>
      <c r="B1305" t="s">
        <v>154</v>
      </c>
      <c r="C1305" t="s">
        <v>17</v>
      </c>
      <c r="D1305" t="s">
        <v>74</v>
      </c>
      <c r="E1305">
        <v>496</v>
      </c>
      <c r="F1305">
        <v>570</v>
      </c>
      <c r="G1305">
        <v>218</v>
      </c>
      <c r="H1305">
        <v>32</v>
      </c>
      <c r="I1305">
        <v>349</v>
      </c>
      <c r="J1305">
        <v>319</v>
      </c>
      <c r="K1305">
        <v>262</v>
      </c>
      <c r="L1305">
        <v>673</v>
      </c>
      <c r="M1305">
        <v>439</v>
      </c>
      <c r="N1305">
        <v>-41</v>
      </c>
      <c r="O1305">
        <v>549</v>
      </c>
      <c r="P1305" s="1">
        <v>44197</v>
      </c>
      <c r="Q1305">
        <v>396</v>
      </c>
    </row>
    <row r="1306" spans="1:17" x14ac:dyDescent="0.25">
      <c r="A1306" s="1">
        <v>44593</v>
      </c>
      <c r="B1306" t="s">
        <v>155</v>
      </c>
      <c r="C1306" t="s">
        <v>76</v>
      </c>
      <c r="D1306" t="s">
        <v>75</v>
      </c>
      <c r="E1306">
        <v>287</v>
      </c>
      <c r="F1306">
        <v>459</v>
      </c>
      <c r="G1306">
        <v>250</v>
      </c>
      <c r="H1306">
        <v>190</v>
      </c>
      <c r="I1306">
        <v>350</v>
      </c>
      <c r="J1306">
        <v>297</v>
      </c>
      <c r="K1306">
        <v>147</v>
      </c>
      <c r="L1306">
        <v>360</v>
      </c>
      <c r="M1306">
        <v>754</v>
      </c>
      <c r="N1306">
        <v>215</v>
      </c>
      <c r="O1306">
        <v>497</v>
      </c>
      <c r="P1306" s="1">
        <v>44470</v>
      </c>
      <c r="Q1306">
        <v>123</v>
      </c>
    </row>
    <row r="1307" spans="1:17" x14ac:dyDescent="0.25">
      <c r="A1307" s="1">
        <v>44593</v>
      </c>
      <c r="B1307" t="s">
        <v>156</v>
      </c>
      <c r="C1307" t="s">
        <v>79</v>
      </c>
      <c r="D1307" t="s">
        <v>78</v>
      </c>
      <c r="E1307">
        <v>110</v>
      </c>
      <c r="F1307">
        <v>187</v>
      </c>
      <c r="G1307">
        <v>136</v>
      </c>
      <c r="H1307">
        <v>-233</v>
      </c>
      <c r="I1307">
        <v>111</v>
      </c>
      <c r="J1307">
        <v>113</v>
      </c>
      <c r="K1307">
        <v>165</v>
      </c>
      <c r="L1307">
        <v>242</v>
      </c>
      <c r="M1307">
        <v>132</v>
      </c>
      <c r="N1307">
        <v>1785</v>
      </c>
      <c r="O1307">
        <v>181</v>
      </c>
      <c r="P1307" s="1">
        <v>44348</v>
      </c>
      <c r="Q1307">
        <v>245</v>
      </c>
    </row>
    <row r="1308" spans="1:17" x14ac:dyDescent="0.25">
      <c r="A1308" s="1">
        <v>44593</v>
      </c>
      <c r="B1308" t="s">
        <v>157</v>
      </c>
      <c r="C1308" t="s">
        <v>81</v>
      </c>
      <c r="D1308" t="s">
        <v>72</v>
      </c>
      <c r="E1308">
        <v>1333</v>
      </c>
      <c r="F1308">
        <v>1493</v>
      </c>
      <c r="G1308">
        <v>172</v>
      </c>
      <c r="H1308">
        <v>2598</v>
      </c>
      <c r="I1308">
        <v>3115</v>
      </c>
      <c r="J1308">
        <v>69</v>
      </c>
      <c r="K1308">
        <v>2347</v>
      </c>
      <c r="L1308">
        <v>1762</v>
      </c>
      <c r="M1308">
        <v>3663</v>
      </c>
      <c r="N1308">
        <v>1793</v>
      </c>
      <c r="O1308">
        <v>2909</v>
      </c>
      <c r="P1308" s="1">
        <v>44440</v>
      </c>
      <c r="Q1308">
        <v>153</v>
      </c>
    </row>
    <row r="1309" spans="1:17" x14ac:dyDescent="0.25">
      <c r="A1309" s="1">
        <v>44593</v>
      </c>
      <c r="B1309" t="s">
        <v>158</v>
      </c>
      <c r="C1309" t="s">
        <v>83</v>
      </c>
      <c r="D1309" t="s">
        <v>82</v>
      </c>
      <c r="E1309">
        <v>31</v>
      </c>
      <c r="F1309">
        <v>897</v>
      </c>
      <c r="G1309">
        <v>183</v>
      </c>
      <c r="H1309">
        <v>460</v>
      </c>
      <c r="I1309">
        <v>645</v>
      </c>
      <c r="J1309">
        <v>967</v>
      </c>
      <c r="K1309">
        <v>385</v>
      </c>
      <c r="L1309">
        <v>581</v>
      </c>
      <c r="M1309">
        <v>311</v>
      </c>
      <c r="N1309">
        <v>925</v>
      </c>
      <c r="O1309">
        <v>891</v>
      </c>
      <c r="P1309" s="1">
        <v>44228</v>
      </c>
      <c r="Q1309">
        <v>365</v>
      </c>
    </row>
    <row r="1310" spans="1:17" x14ac:dyDescent="0.25">
      <c r="A1310" s="1">
        <v>44593</v>
      </c>
      <c r="B1310" t="s">
        <v>159</v>
      </c>
      <c r="C1310" t="s">
        <v>84</v>
      </c>
      <c r="D1310" t="s">
        <v>55</v>
      </c>
      <c r="E1310">
        <v>263</v>
      </c>
      <c r="F1310">
        <v>160</v>
      </c>
      <c r="G1310">
        <v>107</v>
      </c>
      <c r="H1310">
        <v>1523</v>
      </c>
      <c r="I1310">
        <v>383</v>
      </c>
      <c r="J1310">
        <v>250</v>
      </c>
      <c r="K1310">
        <v>312</v>
      </c>
      <c r="L1310">
        <v>802</v>
      </c>
      <c r="M1310">
        <v>151</v>
      </c>
      <c r="N1310">
        <v>451</v>
      </c>
      <c r="O1310">
        <v>43</v>
      </c>
      <c r="P1310" s="1">
        <v>44256</v>
      </c>
      <c r="Q1310">
        <v>337</v>
      </c>
    </row>
    <row r="1311" spans="1:17" x14ac:dyDescent="0.25">
      <c r="A1311" s="1">
        <v>44593</v>
      </c>
      <c r="B1311" t="s">
        <v>160</v>
      </c>
      <c r="C1311" t="s">
        <v>86</v>
      </c>
      <c r="D1311" t="s">
        <v>68</v>
      </c>
      <c r="E1311">
        <v>1048</v>
      </c>
      <c r="F1311">
        <v>225</v>
      </c>
      <c r="G1311">
        <v>254</v>
      </c>
      <c r="H1311">
        <v>1257</v>
      </c>
      <c r="I1311">
        <v>1433</v>
      </c>
      <c r="J1311">
        <v>225</v>
      </c>
      <c r="K1311">
        <v>765</v>
      </c>
      <c r="L1311">
        <v>399</v>
      </c>
      <c r="M1311">
        <v>515</v>
      </c>
      <c r="N1311">
        <v>49</v>
      </c>
      <c r="O1311">
        <v>844</v>
      </c>
      <c r="P1311" s="1">
        <v>44317</v>
      </c>
      <c r="Q1311">
        <v>276</v>
      </c>
    </row>
    <row r="1312" spans="1:17" x14ac:dyDescent="0.25">
      <c r="A1312" s="1">
        <v>44593</v>
      </c>
      <c r="B1312" t="s">
        <v>161</v>
      </c>
      <c r="C1312" t="s">
        <v>87</v>
      </c>
      <c r="D1312" t="s">
        <v>72</v>
      </c>
      <c r="E1312">
        <v>2732</v>
      </c>
      <c r="F1312">
        <v>1347</v>
      </c>
      <c r="G1312">
        <v>412</v>
      </c>
      <c r="H1312">
        <v>1738</v>
      </c>
      <c r="I1312">
        <v>968</v>
      </c>
      <c r="J1312">
        <v>2003</v>
      </c>
      <c r="K1312">
        <v>1915</v>
      </c>
      <c r="L1312">
        <v>2311</v>
      </c>
      <c r="M1312">
        <v>1639</v>
      </c>
      <c r="N1312">
        <v>2324</v>
      </c>
      <c r="O1312">
        <v>2424</v>
      </c>
      <c r="P1312" s="1">
        <v>44440</v>
      </c>
      <c r="Q1312">
        <v>153</v>
      </c>
    </row>
    <row r="1313" spans="1:17" x14ac:dyDescent="0.25">
      <c r="A1313" s="1">
        <v>44593</v>
      </c>
      <c r="B1313" t="s">
        <v>162</v>
      </c>
      <c r="C1313" t="s">
        <v>89</v>
      </c>
      <c r="D1313" t="s">
        <v>88</v>
      </c>
      <c r="E1313">
        <v>29</v>
      </c>
      <c r="F1313">
        <v>43</v>
      </c>
      <c r="G1313">
        <v>99</v>
      </c>
      <c r="H1313">
        <v>175</v>
      </c>
      <c r="I1313">
        <v>86</v>
      </c>
      <c r="J1313">
        <v>146</v>
      </c>
      <c r="K1313">
        <v>378</v>
      </c>
      <c r="L1313">
        <v>202</v>
      </c>
      <c r="M1313">
        <v>310</v>
      </c>
      <c r="N1313">
        <v>73</v>
      </c>
      <c r="O1313">
        <v>633</v>
      </c>
      <c r="P1313" s="1">
        <v>44044</v>
      </c>
      <c r="Q1313">
        <v>549</v>
      </c>
    </row>
    <row r="1314" spans="1:17" x14ac:dyDescent="0.25">
      <c r="A1314" s="1">
        <v>44593</v>
      </c>
      <c r="B1314" t="s">
        <v>163</v>
      </c>
      <c r="C1314" t="s">
        <v>90</v>
      </c>
      <c r="D1314" t="s">
        <v>82</v>
      </c>
      <c r="E1314">
        <v>269</v>
      </c>
      <c r="F1314">
        <v>145</v>
      </c>
      <c r="G1314">
        <v>100</v>
      </c>
      <c r="H1314">
        <v>335</v>
      </c>
      <c r="I1314">
        <v>195</v>
      </c>
      <c r="J1314">
        <v>17</v>
      </c>
      <c r="K1314">
        <v>-44</v>
      </c>
      <c r="L1314">
        <v>143</v>
      </c>
      <c r="M1314">
        <v>36</v>
      </c>
      <c r="N1314">
        <v>276</v>
      </c>
      <c r="O1314">
        <v>217</v>
      </c>
      <c r="P1314" s="1">
        <v>44228</v>
      </c>
      <c r="Q1314">
        <v>365</v>
      </c>
    </row>
    <row r="1315" spans="1:17" x14ac:dyDescent="0.25">
      <c r="A1315" s="1">
        <v>44593</v>
      </c>
      <c r="B1315" t="s">
        <v>164</v>
      </c>
      <c r="C1315" t="s">
        <v>92</v>
      </c>
      <c r="D1315" t="s">
        <v>91</v>
      </c>
      <c r="E1315">
        <v>478</v>
      </c>
      <c r="F1315">
        <v>92</v>
      </c>
      <c r="G1315">
        <v>237</v>
      </c>
      <c r="H1315">
        <v>64</v>
      </c>
      <c r="I1315">
        <v>27</v>
      </c>
      <c r="J1315">
        <v>84</v>
      </c>
      <c r="K1315">
        <v>-2</v>
      </c>
      <c r="L1315">
        <v>130</v>
      </c>
      <c r="M1315">
        <v>199</v>
      </c>
      <c r="N1315">
        <v>89</v>
      </c>
      <c r="O1315">
        <v>-4</v>
      </c>
      <c r="P1315" s="1">
        <v>44105</v>
      </c>
      <c r="Q1315">
        <v>488</v>
      </c>
    </row>
    <row r="1316" spans="1:17" x14ac:dyDescent="0.25">
      <c r="A1316" s="1">
        <v>44593</v>
      </c>
      <c r="B1316" t="s">
        <v>165</v>
      </c>
      <c r="C1316" t="s">
        <v>94</v>
      </c>
      <c r="D1316" t="s">
        <v>93</v>
      </c>
      <c r="E1316">
        <v>283</v>
      </c>
      <c r="F1316">
        <v>85</v>
      </c>
      <c r="G1316">
        <v>39</v>
      </c>
      <c r="H1316">
        <v>130</v>
      </c>
      <c r="I1316">
        <v>321</v>
      </c>
      <c r="J1316">
        <v>87</v>
      </c>
      <c r="K1316">
        <v>32</v>
      </c>
      <c r="L1316">
        <v>321</v>
      </c>
      <c r="M1316">
        <v>93</v>
      </c>
      <c r="N1316">
        <v>257</v>
      </c>
      <c r="O1316">
        <v>133</v>
      </c>
      <c r="P1316" s="1">
        <v>43586</v>
      </c>
      <c r="Q1316">
        <v>1007</v>
      </c>
    </row>
    <row r="1317" spans="1:17" x14ac:dyDescent="0.25">
      <c r="A1317" s="1">
        <v>44593</v>
      </c>
      <c r="B1317" t="s">
        <v>166</v>
      </c>
      <c r="C1317" t="s">
        <v>96</v>
      </c>
      <c r="D1317" t="s">
        <v>95</v>
      </c>
      <c r="E1317">
        <v>129</v>
      </c>
      <c r="F1317">
        <v>55</v>
      </c>
      <c r="G1317">
        <v>30</v>
      </c>
      <c r="H1317">
        <v>153</v>
      </c>
      <c r="I1317">
        <v>88</v>
      </c>
      <c r="J1317">
        <v>97</v>
      </c>
      <c r="K1317">
        <v>20</v>
      </c>
      <c r="L1317">
        <v>97</v>
      </c>
      <c r="M1317">
        <v>235</v>
      </c>
      <c r="N1317">
        <v>34</v>
      </c>
      <c r="O1317">
        <v>548</v>
      </c>
      <c r="P1317" s="1">
        <v>43678</v>
      </c>
      <c r="Q1317">
        <v>915</v>
      </c>
    </row>
    <row r="1318" spans="1:17" x14ac:dyDescent="0.25">
      <c r="A1318" s="1">
        <v>44593</v>
      </c>
      <c r="B1318" t="s">
        <v>167</v>
      </c>
      <c r="C1318" t="s">
        <v>97</v>
      </c>
      <c r="D1318" t="s">
        <v>58</v>
      </c>
      <c r="E1318">
        <v>210</v>
      </c>
      <c r="F1318">
        <v>114</v>
      </c>
      <c r="G1318">
        <v>352</v>
      </c>
      <c r="H1318">
        <v>684</v>
      </c>
      <c r="I1318">
        <v>437</v>
      </c>
      <c r="J1318">
        <v>232</v>
      </c>
      <c r="K1318">
        <v>503</v>
      </c>
      <c r="L1318">
        <v>535</v>
      </c>
      <c r="M1318">
        <v>307</v>
      </c>
      <c r="N1318">
        <v>870</v>
      </c>
      <c r="O1318">
        <v>335</v>
      </c>
      <c r="P1318" s="1">
        <v>44287</v>
      </c>
      <c r="Q1318">
        <v>306</v>
      </c>
    </row>
    <row r="1319" spans="1:17" x14ac:dyDescent="0.25">
      <c r="A1319" s="1">
        <v>44593</v>
      </c>
      <c r="B1319" t="s">
        <v>168</v>
      </c>
      <c r="C1319" t="s">
        <v>98</v>
      </c>
      <c r="D1319" t="s">
        <v>49</v>
      </c>
      <c r="E1319">
        <v>441</v>
      </c>
      <c r="F1319">
        <v>69</v>
      </c>
      <c r="G1319">
        <v>118</v>
      </c>
      <c r="H1319">
        <v>26</v>
      </c>
      <c r="I1319">
        <v>96</v>
      </c>
      <c r="J1319">
        <v>106</v>
      </c>
      <c r="K1319">
        <v>29</v>
      </c>
      <c r="L1319">
        <v>114</v>
      </c>
      <c r="M1319">
        <v>64</v>
      </c>
      <c r="N1319">
        <v>186</v>
      </c>
      <c r="O1319">
        <v>48</v>
      </c>
      <c r="P1319" s="1">
        <v>43709</v>
      </c>
      <c r="Q1319">
        <v>884</v>
      </c>
    </row>
    <row r="1320" spans="1:17" x14ac:dyDescent="0.25">
      <c r="A1320" s="1">
        <v>44593</v>
      </c>
      <c r="B1320" t="s">
        <v>169</v>
      </c>
      <c r="C1320" t="s">
        <v>99</v>
      </c>
      <c r="D1320" t="s">
        <v>95</v>
      </c>
      <c r="E1320">
        <v>62</v>
      </c>
      <c r="F1320">
        <v>281</v>
      </c>
      <c r="G1320">
        <v>88</v>
      </c>
      <c r="H1320">
        <v>223</v>
      </c>
      <c r="I1320">
        <v>107</v>
      </c>
      <c r="J1320">
        <v>246</v>
      </c>
      <c r="K1320">
        <v>162</v>
      </c>
      <c r="L1320">
        <v>80</v>
      </c>
      <c r="M1320">
        <v>166</v>
      </c>
      <c r="N1320">
        <v>4</v>
      </c>
      <c r="O1320">
        <v>206</v>
      </c>
      <c r="P1320" s="1">
        <v>43678</v>
      </c>
      <c r="Q1320">
        <v>915</v>
      </c>
    </row>
    <row r="1321" spans="1:17" x14ac:dyDescent="0.25">
      <c r="A1321" s="1">
        <v>44593</v>
      </c>
      <c r="B1321" t="s">
        <v>170</v>
      </c>
      <c r="C1321" t="s">
        <v>100</v>
      </c>
      <c r="D1321" t="s">
        <v>82</v>
      </c>
      <c r="E1321">
        <v>32</v>
      </c>
      <c r="F1321">
        <v>242</v>
      </c>
      <c r="G1321">
        <v>18</v>
      </c>
      <c r="H1321">
        <v>712</v>
      </c>
      <c r="I1321">
        <v>200</v>
      </c>
      <c r="J1321">
        <v>240</v>
      </c>
      <c r="K1321">
        <v>572</v>
      </c>
      <c r="L1321">
        <v>551</v>
      </c>
      <c r="M1321">
        <v>116</v>
      </c>
      <c r="N1321">
        <v>360</v>
      </c>
      <c r="O1321">
        <v>204</v>
      </c>
      <c r="P1321" s="1">
        <v>44228</v>
      </c>
      <c r="Q1321">
        <v>365</v>
      </c>
    </row>
    <row r="1322" spans="1:17" x14ac:dyDescent="0.25">
      <c r="A1322" s="1">
        <v>44593</v>
      </c>
      <c r="B1322" t="s">
        <v>171</v>
      </c>
      <c r="C1322" t="s">
        <v>101</v>
      </c>
      <c r="D1322" t="s">
        <v>68</v>
      </c>
      <c r="E1322">
        <v>1048</v>
      </c>
      <c r="F1322">
        <v>571</v>
      </c>
      <c r="G1322">
        <v>224</v>
      </c>
      <c r="H1322">
        <v>613</v>
      </c>
      <c r="I1322">
        <v>628</v>
      </c>
      <c r="J1322">
        <v>1078</v>
      </c>
      <c r="K1322">
        <v>906</v>
      </c>
      <c r="L1322">
        <v>162</v>
      </c>
      <c r="M1322">
        <v>1166</v>
      </c>
      <c r="N1322">
        <v>572</v>
      </c>
      <c r="O1322">
        <v>1259</v>
      </c>
      <c r="P1322" s="1">
        <v>44317</v>
      </c>
      <c r="Q1322">
        <v>276</v>
      </c>
    </row>
    <row r="1323" spans="1:17" x14ac:dyDescent="0.25">
      <c r="A1323" s="1">
        <v>44593</v>
      </c>
      <c r="B1323" t="s">
        <v>172</v>
      </c>
      <c r="C1323" t="s">
        <v>102</v>
      </c>
      <c r="D1323" t="s">
        <v>88</v>
      </c>
      <c r="E1323">
        <v>147</v>
      </c>
      <c r="F1323">
        <v>3</v>
      </c>
      <c r="G1323">
        <v>135</v>
      </c>
      <c r="H1323">
        <v>713</v>
      </c>
      <c r="I1323">
        <v>148</v>
      </c>
      <c r="J1323">
        <v>170</v>
      </c>
      <c r="K1323">
        <v>501</v>
      </c>
      <c r="L1323">
        <v>36</v>
      </c>
      <c r="M1323">
        <v>473</v>
      </c>
      <c r="N1323">
        <v>135</v>
      </c>
      <c r="O1323">
        <v>402</v>
      </c>
      <c r="P1323" s="1">
        <v>44044</v>
      </c>
      <c r="Q1323">
        <v>549</v>
      </c>
    </row>
    <row r="1324" spans="1:17" x14ac:dyDescent="0.25">
      <c r="A1324" s="1">
        <v>44593</v>
      </c>
      <c r="B1324" t="s">
        <v>173</v>
      </c>
      <c r="C1324" t="s">
        <v>103</v>
      </c>
      <c r="D1324" t="s">
        <v>52</v>
      </c>
      <c r="E1324">
        <v>89</v>
      </c>
      <c r="F1324">
        <v>8</v>
      </c>
      <c r="G1324">
        <v>101</v>
      </c>
      <c r="H1324">
        <v>301</v>
      </c>
      <c r="I1324">
        <v>287</v>
      </c>
      <c r="J1324">
        <v>43</v>
      </c>
      <c r="K1324">
        <v>410</v>
      </c>
      <c r="L1324">
        <v>321</v>
      </c>
      <c r="M1324">
        <v>50</v>
      </c>
      <c r="N1324">
        <v>244</v>
      </c>
      <c r="O1324">
        <v>66</v>
      </c>
      <c r="P1324" s="1">
        <v>43862</v>
      </c>
      <c r="Q1324">
        <v>731</v>
      </c>
    </row>
    <row r="1325" spans="1:17" x14ac:dyDescent="0.25">
      <c r="A1325" s="1">
        <v>44593</v>
      </c>
      <c r="B1325" t="s">
        <v>174</v>
      </c>
      <c r="C1325" t="s">
        <v>105</v>
      </c>
      <c r="D1325" t="s">
        <v>104</v>
      </c>
      <c r="E1325">
        <v>53</v>
      </c>
      <c r="F1325">
        <v>-1</v>
      </c>
      <c r="G1325">
        <v>42</v>
      </c>
      <c r="H1325">
        <v>239</v>
      </c>
      <c r="I1325">
        <v>162</v>
      </c>
      <c r="J1325">
        <v>34</v>
      </c>
      <c r="K1325">
        <v>96</v>
      </c>
      <c r="L1325">
        <v>65</v>
      </c>
      <c r="M1325">
        <v>144</v>
      </c>
      <c r="N1325">
        <v>335</v>
      </c>
      <c r="O1325">
        <v>158</v>
      </c>
      <c r="P1325" s="1">
        <v>43374</v>
      </c>
      <c r="Q1325">
        <v>1219</v>
      </c>
    </row>
    <row r="1326" spans="1:17" x14ac:dyDescent="0.25">
      <c r="A1326" s="1">
        <v>44593</v>
      </c>
      <c r="B1326" t="s">
        <v>142</v>
      </c>
      <c r="C1326" t="s">
        <v>50</v>
      </c>
      <c r="D1326" t="s">
        <v>49</v>
      </c>
      <c r="E1326">
        <v>327</v>
      </c>
      <c r="F1326">
        <v>258</v>
      </c>
      <c r="G1326">
        <v>79</v>
      </c>
      <c r="H1326">
        <v>88</v>
      </c>
      <c r="I1326">
        <v>130</v>
      </c>
      <c r="J1326">
        <v>185</v>
      </c>
      <c r="K1326">
        <v>65</v>
      </c>
      <c r="L1326">
        <v>332</v>
      </c>
      <c r="M1326">
        <v>368</v>
      </c>
      <c r="N1326">
        <v>222</v>
      </c>
      <c r="O1326">
        <v>512</v>
      </c>
      <c r="P1326" s="1">
        <v>43709</v>
      </c>
      <c r="Q1326">
        <v>884</v>
      </c>
    </row>
    <row r="1327" spans="1:17" x14ac:dyDescent="0.25">
      <c r="A1327" s="1">
        <v>44593</v>
      </c>
      <c r="B1327" t="s">
        <v>143</v>
      </c>
      <c r="C1327" t="s">
        <v>53</v>
      </c>
      <c r="D1327" t="s">
        <v>52</v>
      </c>
      <c r="E1327">
        <v>352</v>
      </c>
      <c r="F1327">
        <v>530</v>
      </c>
      <c r="G1327">
        <v>96</v>
      </c>
      <c r="H1327">
        <v>291</v>
      </c>
      <c r="I1327">
        <v>391</v>
      </c>
      <c r="J1327">
        <v>362</v>
      </c>
      <c r="K1327">
        <v>83</v>
      </c>
      <c r="L1327">
        <v>466</v>
      </c>
      <c r="M1327">
        <v>566</v>
      </c>
      <c r="N1327">
        <v>399</v>
      </c>
      <c r="O1327">
        <v>421</v>
      </c>
      <c r="P1327" s="1">
        <v>43862</v>
      </c>
      <c r="Q1327">
        <v>731</v>
      </c>
    </row>
    <row r="1328" spans="1:17" x14ac:dyDescent="0.25">
      <c r="A1328" s="1">
        <v>44593</v>
      </c>
      <c r="B1328" t="s">
        <v>144</v>
      </c>
      <c r="C1328" t="s">
        <v>56</v>
      </c>
      <c r="D1328" t="s">
        <v>55</v>
      </c>
      <c r="E1328">
        <v>1086</v>
      </c>
      <c r="F1328">
        <v>278</v>
      </c>
      <c r="G1328">
        <v>321</v>
      </c>
      <c r="H1328">
        <v>762</v>
      </c>
      <c r="I1328">
        <v>269</v>
      </c>
      <c r="J1328">
        <v>632</v>
      </c>
      <c r="K1328">
        <v>388</v>
      </c>
      <c r="L1328">
        <v>660</v>
      </c>
      <c r="M1328">
        <v>215</v>
      </c>
      <c r="N1328">
        <v>1458</v>
      </c>
      <c r="O1328">
        <v>688</v>
      </c>
      <c r="P1328" s="1">
        <v>44256</v>
      </c>
      <c r="Q1328">
        <v>337</v>
      </c>
    </row>
    <row r="1329" spans="1:17" x14ac:dyDescent="0.25">
      <c r="A1329" s="1">
        <v>44593</v>
      </c>
      <c r="B1329" t="s">
        <v>145</v>
      </c>
      <c r="C1329" t="s">
        <v>59</v>
      </c>
      <c r="D1329" t="s">
        <v>58</v>
      </c>
      <c r="E1329">
        <v>872</v>
      </c>
      <c r="F1329">
        <v>350</v>
      </c>
      <c r="G1329">
        <v>81</v>
      </c>
      <c r="H1329">
        <v>1322</v>
      </c>
      <c r="I1329">
        <v>263</v>
      </c>
      <c r="J1329">
        <v>268</v>
      </c>
      <c r="K1329">
        <v>168</v>
      </c>
      <c r="L1329">
        <v>900</v>
      </c>
      <c r="M1329">
        <v>113</v>
      </c>
      <c r="N1329">
        <v>47</v>
      </c>
      <c r="O1329">
        <v>252</v>
      </c>
      <c r="P1329" s="1">
        <v>44287</v>
      </c>
      <c r="Q1329">
        <v>306</v>
      </c>
    </row>
    <row r="1330" spans="1:17" x14ac:dyDescent="0.25">
      <c r="A1330" s="1">
        <v>44621</v>
      </c>
      <c r="B1330" t="s">
        <v>144</v>
      </c>
      <c r="C1330" t="s">
        <v>56</v>
      </c>
      <c r="D1330" t="s">
        <v>55</v>
      </c>
      <c r="E1330">
        <v>605</v>
      </c>
      <c r="F1330">
        <v>169</v>
      </c>
      <c r="G1330">
        <v>141</v>
      </c>
      <c r="H1330">
        <v>1005</v>
      </c>
      <c r="I1330">
        <v>629</v>
      </c>
      <c r="J1330">
        <v>625</v>
      </c>
      <c r="K1330">
        <v>805</v>
      </c>
      <c r="L1330">
        <v>108</v>
      </c>
      <c r="M1330">
        <v>141</v>
      </c>
      <c r="N1330">
        <v>675</v>
      </c>
      <c r="O1330">
        <v>815</v>
      </c>
      <c r="P1330" s="1">
        <v>44256</v>
      </c>
      <c r="Q1330">
        <v>365</v>
      </c>
    </row>
    <row r="1331" spans="1:17" x14ac:dyDescent="0.25">
      <c r="A1331" s="1">
        <v>44621</v>
      </c>
      <c r="B1331" t="s">
        <v>145</v>
      </c>
      <c r="C1331" t="s">
        <v>59</v>
      </c>
      <c r="D1331" t="s">
        <v>58</v>
      </c>
      <c r="E1331">
        <v>546</v>
      </c>
      <c r="F1331">
        <v>87</v>
      </c>
      <c r="G1331">
        <v>234</v>
      </c>
      <c r="H1331">
        <v>400</v>
      </c>
      <c r="I1331">
        <v>632</v>
      </c>
      <c r="J1331">
        <v>-14</v>
      </c>
      <c r="K1331">
        <v>229</v>
      </c>
      <c r="L1331">
        <v>-88</v>
      </c>
      <c r="M1331">
        <v>158</v>
      </c>
      <c r="N1331">
        <v>756</v>
      </c>
      <c r="O1331">
        <v>35</v>
      </c>
      <c r="P1331" s="1">
        <v>44287</v>
      </c>
      <c r="Q1331">
        <v>334</v>
      </c>
    </row>
    <row r="1332" spans="1:17" x14ac:dyDescent="0.25">
      <c r="A1332" s="1">
        <v>44621</v>
      </c>
      <c r="B1332" t="s">
        <v>146</v>
      </c>
      <c r="C1332" t="s">
        <v>62</v>
      </c>
      <c r="D1332" t="s">
        <v>61</v>
      </c>
      <c r="E1332">
        <v>479</v>
      </c>
      <c r="F1332">
        <v>170</v>
      </c>
      <c r="G1332">
        <v>88</v>
      </c>
      <c r="H1332">
        <v>214</v>
      </c>
      <c r="I1332">
        <v>164</v>
      </c>
      <c r="J1332">
        <v>158</v>
      </c>
      <c r="K1332">
        <v>104</v>
      </c>
      <c r="L1332">
        <v>429</v>
      </c>
      <c r="M1332">
        <v>172</v>
      </c>
      <c r="N1332">
        <v>144</v>
      </c>
      <c r="O1332">
        <v>166</v>
      </c>
      <c r="P1332" s="1">
        <v>44075</v>
      </c>
      <c r="Q1332">
        <v>546</v>
      </c>
    </row>
    <row r="1333" spans="1:17" x14ac:dyDescent="0.25">
      <c r="A1333" s="1">
        <v>44621</v>
      </c>
      <c r="B1333" t="s">
        <v>147</v>
      </c>
      <c r="C1333" t="s">
        <v>64</v>
      </c>
      <c r="D1333" t="s">
        <v>52</v>
      </c>
      <c r="E1333">
        <v>272</v>
      </c>
      <c r="F1333">
        <v>274</v>
      </c>
      <c r="G1333">
        <v>59</v>
      </c>
      <c r="H1333">
        <v>85</v>
      </c>
      <c r="I1333">
        <v>39</v>
      </c>
      <c r="J1333">
        <v>64</v>
      </c>
      <c r="K1333">
        <v>88</v>
      </c>
      <c r="L1333">
        <v>59</v>
      </c>
      <c r="M1333">
        <v>30</v>
      </c>
      <c r="N1333">
        <v>48</v>
      </c>
      <c r="O1333">
        <v>137</v>
      </c>
      <c r="P1333" s="1">
        <v>43862</v>
      </c>
      <c r="Q1333">
        <v>759</v>
      </c>
    </row>
    <row r="1334" spans="1:17" x14ac:dyDescent="0.25">
      <c r="A1334" s="1">
        <v>44621</v>
      </c>
      <c r="B1334" t="s">
        <v>148</v>
      </c>
      <c r="C1334" t="s">
        <v>66</v>
      </c>
      <c r="D1334" t="s">
        <v>55</v>
      </c>
      <c r="E1334">
        <v>79</v>
      </c>
      <c r="F1334">
        <v>1035</v>
      </c>
      <c r="G1334">
        <v>211</v>
      </c>
      <c r="H1334">
        <v>563</v>
      </c>
      <c r="I1334">
        <v>258</v>
      </c>
      <c r="J1334">
        <v>72</v>
      </c>
      <c r="K1334">
        <v>539</v>
      </c>
      <c r="L1334">
        <v>96</v>
      </c>
      <c r="M1334">
        <v>162</v>
      </c>
      <c r="N1334">
        <v>926</v>
      </c>
      <c r="O1334">
        <v>497</v>
      </c>
      <c r="P1334" s="1">
        <v>44256</v>
      </c>
      <c r="Q1334">
        <v>365</v>
      </c>
    </row>
    <row r="1335" spans="1:17" x14ac:dyDescent="0.25">
      <c r="A1335" s="1">
        <v>44621</v>
      </c>
      <c r="B1335" t="s">
        <v>149</v>
      </c>
      <c r="C1335" t="s">
        <v>67</v>
      </c>
      <c r="D1335" t="s">
        <v>55</v>
      </c>
      <c r="E1335">
        <v>-102</v>
      </c>
      <c r="F1335">
        <v>887</v>
      </c>
      <c r="G1335">
        <v>138</v>
      </c>
      <c r="H1335">
        <v>484</v>
      </c>
      <c r="I1335">
        <v>1171</v>
      </c>
      <c r="J1335">
        <v>542</v>
      </c>
      <c r="K1335">
        <v>220</v>
      </c>
      <c r="L1335">
        <v>-2</v>
      </c>
      <c r="M1335">
        <v>1046</v>
      </c>
      <c r="N1335">
        <v>871</v>
      </c>
      <c r="O1335">
        <v>1186</v>
      </c>
      <c r="P1335" s="1">
        <v>44256</v>
      </c>
      <c r="Q1335">
        <v>365</v>
      </c>
    </row>
    <row r="1336" spans="1:17" x14ac:dyDescent="0.25">
      <c r="A1336" s="1">
        <v>44621</v>
      </c>
      <c r="B1336" t="s">
        <v>150</v>
      </c>
      <c r="C1336" t="s">
        <v>69</v>
      </c>
      <c r="D1336" t="s">
        <v>68</v>
      </c>
      <c r="E1336">
        <v>150</v>
      </c>
      <c r="F1336">
        <v>40</v>
      </c>
      <c r="G1336">
        <v>120</v>
      </c>
      <c r="H1336">
        <v>980</v>
      </c>
      <c r="I1336">
        <v>29</v>
      </c>
      <c r="J1336">
        <v>222</v>
      </c>
      <c r="K1336">
        <v>198</v>
      </c>
      <c r="L1336">
        <v>167</v>
      </c>
      <c r="M1336">
        <v>78</v>
      </c>
      <c r="N1336">
        <v>136</v>
      </c>
      <c r="O1336">
        <v>1110</v>
      </c>
      <c r="P1336" s="1">
        <v>44317</v>
      </c>
      <c r="Q1336">
        <v>304</v>
      </c>
    </row>
    <row r="1337" spans="1:17" x14ac:dyDescent="0.25">
      <c r="A1337" s="1">
        <v>44621</v>
      </c>
      <c r="B1337" t="s">
        <v>151</v>
      </c>
      <c r="C1337" t="s">
        <v>71</v>
      </c>
      <c r="D1337" t="s">
        <v>70</v>
      </c>
      <c r="E1337">
        <v>142</v>
      </c>
      <c r="F1337">
        <v>-1</v>
      </c>
      <c r="G1337">
        <v>-6</v>
      </c>
      <c r="H1337">
        <v>85</v>
      </c>
      <c r="I1337">
        <v>29</v>
      </c>
      <c r="J1337">
        <v>179</v>
      </c>
      <c r="K1337">
        <v>141</v>
      </c>
      <c r="L1337">
        <v>115</v>
      </c>
      <c r="M1337">
        <v>105</v>
      </c>
      <c r="N1337">
        <v>88</v>
      </c>
      <c r="O1337">
        <v>154</v>
      </c>
      <c r="P1337" s="1">
        <v>44136</v>
      </c>
      <c r="Q1337">
        <v>485</v>
      </c>
    </row>
    <row r="1338" spans="1:17" x14ac:dyDescent="0.25">
      <c r="A1338" s="1">
        <v>44621</v>
      </c>
      <c r="B1338" t="s">
        <v>152</v>
      </c>
      <c r="C1338" t="s">
        <v>11</v>
      </c>
      <c r="D1338" t="s">
        <v>52</v>
      </c>
      <c r="E1338">
        <v>33</v>
      </c>
      <c r="F1338">
        <v>69</v>
      </c>
      <c r="G1338">
        <v>71</v>
      </c>
      <c r="H1338">
        <v>233</v>
      </c>
      <c r="I1338">
        <v>111</v>
      </c>
      <c r="J1338">
        <v>140</v>
      </c>
      <c r="K1338">
        <v>3</v>
      </c>
      <c r="L1338">
        <v>105</v>
      </c>
      <c r="M1338">
        <v>28</v>
      </c>
      <c r="N1338">
        <v>-2</v>
      </c>
      <c r="O1338">
        <v>14</v>
      </c>
      <c r="P1338" s="1">
        <v>43862</v>
      </c>
      <c r="Q1338">
        <v>759</v>
      </c>
    </row>
    <row r="1339" spans="1:17" x14ac:dyDescent="0.25">
      <c r="A1339" s="1">
        <v>44621</v>
      </c>
      <c r="B1339" t="s">
        <v>153</v>
      </c>
      <c r="C1339" t="s">
        <v>73</v>
      </c>
      <c r="D1339" t="s">
        <v>72</v>
      </c>
      <c r="E1339">
        <v>183</v>
      </c>
      <c r="F1339">
        <v>530</v>
      </c>
      <c r="G1339">
        <v>339</v>
      </c>
      <c r="H1339">
        <v>2458</v>
      </c>
      <c r="I1339">
        <v>514</v>
      </c>
      <c r="J1339">
        <v>2061</v>
      </c>
      <c r="K1339">
        <v>297</v>
      </c>
      <c r="L1339">
        <v>1578</v>
      </c>
      <c r="M1339">
        <v>2087</v>
      </c>
      <c r="N1339">
        <v>337</v>
      </c>
      <c r="O1339">
        <v>2129</v>
      </c>
      <c r="P1339" s="1">
        <v>44440</v>
      </c>
      <c r="Q1339">
        <v>181</v>
      </c>
    </row>
    <row r="1340" spans="1:17" x14ac:dyDescent="0.25">
      <c r="A1340" s="1">
        <v>44621</v>
      </c>
      <c r="B1340" t="s">
        <v>154</v>
      </c>
      <c r="C1340" t="s">
        <v>17</v>
      </c>
      <c r="D1340" t="s">
        <v>74</v>
      </c>
      <c r="E1340">
        <v>713</v>
      </c>
      <c r="F1340">
        <v>903</v>
      </c>
      <c r="G1340">
        <v>137</v>
      </c>
      <c r="H1340">
        <v>1029</v>
      </c>
      <c r="I1340">
        <v>587</v>
      </c>
      <c r="J1340">
        <v>26</v>
      </c>
      <c r="K1340">
        <v>120</v>
      </c>
      <c r="L1340">
        <v>432</v>
      </c>
      <c r="M1340">
        <v>513</v>
      </c>
      <c r="N1340">
        <v>618</v>
      </c>
      <c r="O1340">
        <v>1530</v>
      </c>
      <c r="P1340" s="1">
        <v>44197</v>
      </c>
      <c r="Q1340">
        <v>424</v>
      </c>
    </row>
    <row r="1341" spans="1:17" x14ac:dyDescent="0.25">
      <c r="A1341" s="1">
        <v>44621</v>
      </c>
      <c r="B1341" t="s">
        <v>155</v>
      </c>
      <c r="C1341" t="s">
        <v>76</v>
      </c>
      <c r="D1341" t="s">
        <v>75</v>
      </c>
      <c r="E1341">
        <v>103</v>
      </c>
      <c r="F1341">
        <v>288</v>
      </c>
      <c r="G1341">
        <v>334</v>
      </c>
      <c r="H1341">
        <v>53</v>
      </c>
      <c r="I1341">
        <v>159</v>
      </c>
      <c r="J1341">
        <v>201</v>
      </c>
      <c r="K1341">
        <v>144</v>
      </c>
      <c r="L1341">
        <v>348</v>
      </c>
      <c r="M1341">
        <v>1903</v>
      </c>
      <c r="N1341">
        <v>210</v>
      </c>
      <c r="O1341">
        <v>199</v>
      </c>
      <c r="P1341" s="1">
        <v>44470</v>
      </c>
      <c r="Q1341">
        <v>151</v>
      </c>
    </row>
    <row r="1342" spans="1:17" x14ac:dyDescent="0.25">
      <c r="A1342" s="1">
        <v>44621</v>
      </c>
      <c r="B1342" t="s">
        <v>156</v>
      </c>
      <c r="C1342" t="s">
        <v>79</v>
      </c>
      <c r="D1342" t="s">
        <v>78</v>
      </c>
      <c r="E1342">
        <v>73</v>
      </c>
      <c r="F1342">
        <v>134</v>
      </c>
      <c r="G1342">
        <v>136</v>
      </c>
      <c r="H1342">
        <v>1106</v>
      </c>
      <c r="I1342">
        <v>115</v>
      </c>
      <c r="J1342">
        <v>7</v>
      </c>
      <c r="K1342">
        <v>127</v>
      </c>
      <c r="L1342">
        <v>158</v>
      </c>
      <c r="M1342">
        <v>235</v>
      </c>
      <c r="N1342">
        <v>572</v>
      </c>
      <c r="O1342">
        <v>98</v>
      </c>
      <c r="P1342" s="1">
        <v>44348</v>
      </c>
      <c r="Q1342">
        <v>273</v>
      </c>
    </row>
    <row r="1343" spans="1:17" x14ac:dyDescent="0.25">
      <c r="A1343" s="1">
        <v>44621</v>
      </c>
      <c r="B1343" t="s">
        <v>157</v>
      </c>
      <c r="C1343" t="s">
        <v>81</v>
      </c>
      <c r="D1343" t="s">
        <v>72</v>
      </c>
      <c r="E1343">
        <v>1579</v>
      </c>
      <c r="F1343">
        <v>1415</v>
      </c>
      <c r="G1343">
        <v>275</v>
      </c>
      <c r="H1343">
        <v>480</v>
      </c>
      <c r="I1343">
        <v>754</v>
      </c>
      <c r="J1343">
        <v>842</v>
      </c>
      <c r="K1343">
        <v>1749</v>
      </c>
      <c r="L1343">
        <v>1950</v>
      </c>
      <c r="M1343">
        <v>2518</v>
      </c>
      <c r="N1343">
        <v>1108</v>
      </c>
      <c r="O1343">
        <v>1854</v>
      </c>
      <c r="P1343" s="1">
        <v>44440</v>
      </c>
      <c r="Q1343">
        <v>181</v>
      </c>
    </row>
    <row r="1344" spans="1:17" x14ac:dyDescent="0.25">
      <c r="A1344" s="1">
        <v>44621</v>
      </c>
      <c r="B1344" t="s">
        <v>158</v>
      </c>
      <c r="C1344" t="s">
        <v>83</v>
      </c>
      <c r="D1344" t="s">
        <v>82</v>
      </c>
      <c r="E1344">
        <v>392</v>
      </c>
      <c r="F1344">
        <v>591</v>
      </c>
      <c r="G1344">
        <v>227</v>
      </c>
      <c r="H1344">
        <v>378</v>
      </c>
      <c r="I1344">
        <v>797</v>
      </c>
      <c r="J1344">
        <v>761</v>
      </c>
      <c r="K1344">
        <v>405</v>
      </c>
      <c r="L1344">
        <v>551</v>
      </c>
      <c r="M1344">
        <v>962</v>
      </c>
      <c r="N1344">
        <v>807</v>
      </c>
      <c r="O1344">
        <v>517</v>
      </c>
      <c r="P1344" s="1">
        <v>44228</v>
      </c>
      <c r="Q1344">
        <v>393</v>
      </c>
    </row>
    <row r="1345" spans="1:17" x14ac:dyDescent="0.25">
      <c r="A1345" s="1">
        <v>44621</v>
      </c>
      <c r="B1345" t="s">
        <v>159</v>
      </c>
      <c r="C1345" t="s">
        <v>84</v>
      </c>
      <c r="D1345" t="s">
        <v>55</v>
      </c>
      <c r="E1345">
        <v>139</v>
      </c>
      <c r="F1345">
        <v>337</v>
      </c>
      <c r="G1345">
        <v>138</v>
      </c>
      <c r="H1345">
        <v>329</v>
      </c>
      <c r="I1345">
        <v>770</v>
      </c>
      <c r="J1345">
        <v>285</v>
      </c>
      <c r="K1345">
        <v>664</v>
      </c>
      <c r="L1345">
        <v>277</v>
      </c>
      <c r="M1345">
        <v>117</v>
      </c>
      <c r="N1345">
        <v>513</v>
      </c>
      <c r="O1345">
        <v>131</v>
      </c>
      <c r="P1345" s="1">
        <v>44256</v>
      </c>
      <c r="Q1345">
        <v>365</v>
      </c>
    </row>
    <row r="1346" spans="1:17" x14ac:dyDescent="0.25">
      <c r="A1346" s="1">
        <v>44621</v>
      </c>
      <c r="B1346" t="s">
        <v>160</v>
      </c>
      <c r="C1346" t="s">
        <v>86</v>
      </c>
      <c r="D1346" t="s">
        <v>68</v>
      </c>
      <c r="E1346">
        <v>600</v>
      </c>
      <c r="F1346">
        <v>303</v>
      </c>
      <c r="G1346">
        <v>138</v>
      </c>
      <c r="H1346">
        <v>644</v>
      </c>
      <c r="I1346">
        <v>1127</v>
      </c>
      <c r="J1346">
        <v>306</v>
      </c>
      <c r="K1346">
        <v>540</v>
      </c>
      <c r="L1346">
        <v>300</v>
      </c>
      <c r="M1346">
        <v>173</v>
      </c>
      <c r="N1346">
        <v>153</v>
      </c>
      <c r="O1346">
        <v>1371</v>
      </c>
      <c r="P1346" s="1">
        <v>44317</v>
      </c>
      <c r="Q1346">
        <v>304</v>
      </c>
    </row>
    <row r="1347" spans="1:17" x14ac:dyDescent="0.25">
      <c r="A1347" s="1">
        <v>44621</v>
      </c>
      <c r="B1347" t="s">
        <v>161</v>
      </c>
      <c r="C1347" t="s">
        <v>87</v>
      </c>
      <c r="D1347" t="s">
        <v>72</v>
      </c>
      <c r="E1347">
        <v>1810</v>
      </c>
      <c r="F1347">
        <v>2388</v>
      </c>
      <c r="G1347">
        <v>493</v>
      </c>
      <c r="H1347">
        <v>729</v>
      </c>
      <c r="I1347">
        <v>975</v>
      </c>
      <c r="J1347">
        <v>1125</v>
      </c>
      <c r="K1347">
        <v>1244</v>
      </c>
      <c r="L1347">
        <v>2089</v>
      </c>
      <c r="M1347">
        <v>1000</v>
      </c>
      <c r="N1347">
        <v>184</v>
      </c>
      <c r="O1347">
        <v>1091</v>
      </c>
      <c r="P1347" s="1">
        <v>44440</v>
      </c>
      <c r="Q1347">
        <v>181</v>
      </c>
    </row>
    <row r="1348" spans="1:17" x14ac:dyDescent="0.25">
      <c r="A1348" s="1">
        <v>44621</v>
      </c>
      <c r="B1348" t="s">
        <v>162</v>
      </c>
      <c r="C1348" t="s">
        <v>89</v>
      </c>
      <c r="D1348" t="s">
        <v>88</v>
      </c>
      <c r="E1348">
        <v>226</v>
      </c>
      <c r="F1348">
        <v>150</v>
      </c>
      <c r="G1348">
        <v>92</v>
      </c>
      <c r="H1348">
        <v>19</v>
      </c>
      <c r="I1348">
        <v>107</v>
      </c>
      <c r="J1348">
        <v>122</v>
      </c>
      <c r="K1348">
        <v>223</v>
      </c>
      <c r="L1348">
        <v>16</v>
      </c>
      <c r="M1348">
        <v>550</v>
      </c>
      <c r="N1348">
        <v>96</v>
      </c>
      <c r="O1348">
        <v>493</v>
      </c>
      <c r="P1348" s="1">
        <v>44044</v>
      </c>
      <c r="Q1348">
        <v>577</v>
      </c>
    </row>
    <row r="1349" spans="1:17" x14ac:dyDescent="0.25">
      <c r="A1349" s="1">
        <v>44621</v>
      </c>
      <c r="B1349" t="s">
        <v>163</v>
      </c>
      <c r="C1349" t="s">
        <v>90</v>
      </c>
      <c r="D1349" t="s">
        <v>82</v>
      </c>
      <c r="E1349">
        <v>561</v>
      </c>
      <c r="F1349">
        <v>174</v>
      </c>
      <c r="G1349">
        <v>152</v>
      </c>
      <c r="H1349">
        <v>701</v>
      </c>
      <c r="I1349">
        <v>728</v>
      </c>
      <c r="J1349">
        <v>131</v>
      </c>
      <c r="K1349">
        <v>112</v>
      </c>
      <c r="L1349">
        <v>128</v>
      </c>
      <c r="M1349">
        <v>982</v>
      </c>
      <c r="N1349">
        <v>245</v>
      </c>
      <c r="O1349">
        <v>49</v>
      </c>
      <c r="P1349" s="1">
        <v>44228</v>
      </c>
      <c r="Q1349">
        <v>393</v>
      </c>
    </row>
    <row r="1350" spans="1:17" x14ac:dyDescent="0.25">
      <c r="A1350" s="1">
        <v>44621</v>
      </c>
      <c r="B1350" t="s">
        <v>164</v>
      </c>
      <c r="C1350" t="s">
        <v>92</v>
      </c>
      <c r="D1350" t="s">
        <v>91</v>
      </c>
      <c r="E1350">
        <v>540</v>
      </c>
      <c r="F1350">
        <v>12</v>
      </c>
      <c r="G1350">
        <v>-14</v>
      </c>
      <c r="H1350">
        <v>-68</v>
      </c>
      <c r="I1350">
        <v>181</v>
      </c>
      <c r="J1350">
        <v>61</v>
      </c>
      <c r="K1350">
        <v>142</v>
      </c>
      <c r="L1350">
        <v>249</v>
      </c>
      <c r="M1350">
        <v>55</v>
      </c>
      <c r="N1350">
        <v>95</v>
      </c>
      <c r="O1350">
        <v>67</v>
      </c>
      <c r="P1350" s="1">
        <v>44105</v>
      </c>
      <c r="Q1350">
        <v>516</v>
      </c>
    </row>
    <row r="1351" spans="1:17" x14ac:dyDescent="0.25">
      <c r="A1351" s="1">
        <v>44621</v>
      </c>
      <c r="B1351" t="s">
        <v>165</v>
      </c>
      <c r="C1351" t="s">
        <v>94</v>
      </c>
      <c r="D1351" t="s">
        <v>93</v>
      </c>
      <c r="E1351">
        <v>194</v>
      </c>
      <c r="F1351">
        <v>64</v>
      </c>
      <c r="G1351">
        <v>68</v>
      </c>
      <c r="H1351">
        <v>178</v>
      </c>
      <c r="I1351">
        <v>444</v>
      </c>
      <c r="J1351">
        <v>67</v>
      </c>
      <c r="K1351">
        <v>63</v>
      </c>
      <c r="L1351">
        <v>287</v>
      </c>
      <c r="M1351">
        <v>101</v>
      </c>
      <c r="N1351">
        <v>231</v>
      </c>
      <c r="O1351">
        <v>117</v>
      </c>
      <c r="P1351" s="1">
        <v>43586</v>
      </c>
      <c r="Q1351">
        <v>1035</v>
      </c>
    </row>
    <row r="1352" spans="1:17" x14ac:dyDescent="0.25">
      <c r="A1352" s="1">
        <v>44621</v>
      </c>
      <c r="B1352" t="s">
        <v>166</v>
      </c>
      <c r="C1352" t="s">
        <v>96</v>
      </c>
      <c r="D1352" t="s">
        <v>95</v>
      </c>
      <c r="E1352">
        <v>59</v>
      </c>
      <c r="F1352">
        <v>89</v>
      </c>
      <c r="G1352">
        <v>50</v>
      </c>
      <c r="H1352">
        <v>436</v>
      </c>
      <c r="I1352">
        <v>80</v>
      </c>
      <c r="J1352">
        <v>55</v>
      </c>
      <c r="K1352">
        <v>298</v>
      </c>
      <c r="L1352">
        <v>113</v>
      </c>
      <c r="M1352">
        <v>166</v>
      </c>
      <c r="N1352">
        <v>53</v>
      </c>
      <c r="O1352">
        <v>241</v>
      </c>
      <c r="P1352" s="1">
        <v>43678</v>
      </c>
      <c r="Q1352">
        <v>943</v>
      </c>
    </row>
    <row r="1353" spans="1:17" x14ac:dyDescent="0.25">
      <c r="A1353" s="1">
        <v>44621</v>
      </c>
      <c r="B1353" t="s">
        <v>167</v>
      </c>
      <c r="C1353" t="s">
        <v>97</v>
      </c>
      <c r="D1353" t="s">
        <v>58</v>
      </c>
      <c r="E1353">
        <v>136</v>
      </c>
      <c r="F1353">
        <v>146</v>
      </c>
      <c r="G1353">
        <v>151</v>
      </c>
      <c r="H1353">
        <v>335</v>
      </c>
      <c r="I1353">
        <v>672</v>
      </c>
      <c r="J1353">
        <v>197</v>
      </c>
      <c r="K1353">
        <v>751</v>
      </c>
      <c r="L1353">
        <v>574</v>
      </c>
      <c r="M1353">
        <v>114</v>
      </c>
      <c r="N1353">
        <v>553</v>
      </c>
      <c r="O1353">
        <v>294</v>
      </c>
      <c r="P1353" s="1">
        <v>44287</v>
      </c>
      <c r="Q1353">
        <v>334</v>
      </c>
    </row>
    <row r="1354" spans="1:17" x14ac:dyDescent="0.25">
      <c r="A1354" s="1">
        <v>44621</v>
      </c>
      <c r="B1354" t="s">
        <v>168</v>
      </c>
      <c r="C1354" t="s">
        <v>98</v>
      </c>
      <c r="D1354" t="s">
        <v>49</v>
      </c>
      <c r="E1354">
        <v>325</v>
      </c>
      <c r="F1354">
        <v>74</v>
      </c>
      <c r="G1354">
        <v>78</v>
      </c>
      <c r="H1354">
        <v>124</v>
      </c>
      <c r="I1354">
        <v>121</v>
      </c>
      <c r="J1354">
        <v>80</v>
      </c>
      <c r="K1354">
        <v>7</v>
      </c>
      <c r="L1354">
        <v>298</v>
      </c>
      <c r="M1354">
        <v>110</v>
      </c>
      <c r="N1354">
        <v>301</v>
      </c>
      <c r="O1354">
        <v>68</v>
      </c>
      <c r="P1354" s="1">
        <v>43709</v>
      </c>
      <c r="Q1354">
        <v>912</v>
      </c>
    </row>
    <row r="1355" spans="1:17" x14ac:dyDescent="0.25">
      <c r="A1355" s="1">
        <v>44621</v>
      </c>
      <c r="B1355" t="s">
        <v>169</v>
      </c>
      <c r="C1355" t="s">
        <v>99</v>
      </c>
      <c r="D1355" t="s">
        <v>95</v>
      </c>
      <c r="E1355">
        <v>93</v>
      </c>
      <c r="F1355">
        <v>77</v>
      </c>
      <c r="G1355">
        <v>84</v>
      </c>
      <c r="H1355">
        <v>222</v>
      </c>
      <c r="I1355">
        <v>44</v>
      </c>
      <c r="J1355">
        <v>332</v>
      </c>
      <c r="K1355">
        <v>265</v>
      </c>
      <c r="L1355">
        <v>61</v>
      </c>
      <c r="M1355">
        <v>115</v>
      </c>
      <c r="N1355">
        <v>48</v>
      </c>
      <c r="O1355">
        <v>264</v>
      </c>
      <c r="P1355" s="1">
        <v>43678</v>
      </c>
      <c r="Q1355">
        <v>943</v>
      </c>
    </row>
    <row r="1356" spans="1:17" x14ac:dyDescent="0.25">
      <c r="A1356" s="1">
        <v>44621</v>
      </c>
      <c r="B1356" t="s">
        <v>170</v>
      </c>
      <c r="C1356" t="s">
        <v>100</v>
      </c>
      <c r="D1356" t="s">
        <v>82</v>
      </c>
      <c r="E1356">
        <v>121</v>
      </c>
      <c r="F1356">
        <v>45</v>
      </c>
      <c r="G1356">
        <v>219</v>
      </c>
      <c r="H1356">
        <v>1055</v>
      </c>
      <c r="I1356">
        <v>699</v>
      </c>
      <c r="J1356">
        <v>140</v>
      </c>
      <c r="K1356">
        <v>198</v>
      </c>
      <c r="L1356">
        <v>287</v>
      </c>
      <c r="M1356">
        <v>250</v>
      </c>
      <c r="N1356">
        <v>622</v>
      </c>
      <c r="O1356">
        <v>322</v>
      </c>
      <c r="P1356" s="1">
        <v>44228</v>
      </c>
      <c r="Q1356">
        <v>393</v>
      </c>
    </row>
    <row r="1357" spans="1:17" x14ac:dyDescent="0.25">
      <c r="A1357" s="1">
        <v>44621</v>
      </c>
      <c r="B1357" t="s">
        <v>171</v>
      </c>
      <c r="C1357" t="s">
        <v>101</v>
      </c>
      <c r="D1357" t="s">
        <v>68</v>
      </c>
      <c r="E1357">
        <v>911</v>
      </c>
      <c r="F1357">
        <v>832</v>
      </c>
      <c r="G1357">
        <v>221</v>
      </c>
      <c r="H1357">
        <v>292</v>
      </c>
      <c r="I1357">
        <v>807</v>
      </c>
      <c r="J1357">
        <v>913</v>
      </c>
      <c r="K1357">
        <v>608</v>
      </c>
      <c r="L1357">
        <v>625</v>
      </c>
      <c r="M1357">
        <v>368</v>
      </c>
      <c r="N1357">
        <v>945</v>
      </c>
      <c r="O1357">
        <v>390</v>
      </c>
      <c r="P1357" s="1">
        <v>44317</v>
      </c>
      <c r="Q1357">
        <v>304</v>
      </c>
    </row>
    <row r="1358" spans="1:17" x14ac:dyDescent="0.25">
      <c r="A1358" s="1">
        <v>44621</v>
      </c>
      <c r="B1358" t="s">
        <v>172</v>
      </c>
      <c r="C1358" t="s">
        <v>102</v>
      </c>
      <c r="D1358" t="s">
        <v>88</v>
      </c>
      <c r="E1358">
        <v>131</v>
      </c>
      <c r="F1358">
        <v>31</v>
      </c>
      <c r="G1358">
        <v>90</v>
      </c>
      <c r="H1358">
        <v>338</v>
      </c>
      <c r="I1358">
        <v>58</v>
      </c>
      <c r="J1358">
        <v>77</v>
      </c>
      <c r="K1358">
        <v>664</v>
      </c>
      <c r="L1358">
        <v>85</v>
      </c>
      <c r="M1358">
        <v>226</v>
      </c>
      <c r="N1358">
        <v>60</v>
      </c>
      <c r="O1358">
        <v>239</v>
      </c>
      <c r="P1358" s="1">
        <v>44044</v>
      </c>
      <c r="Q1358">
        <v>577</v>
      </c>
    </row>
    <row r="1359" spans="1:17" x14ac:dyDescent="0.25">
      <c r="A1359" s="1">
        <v>44621</v>
      </c>
      <c r="B1359" t="s">
        <v>173</v>
      </c>
      <c r="C1359" t="s">
        <v>103</v>
      </c>
      <c r="D1359" t="s">
        <v>52</v>
      </c>
      <c r="E1359">
        <v>52</v>
      </c>
      <c r="F1359">
        <v>4</v>
      </c>
      <c r="G1359">
        <v>67</v>
      </c>
      <c r="H1359">
        <v>303</v>
      </c>
      <c r="I1359">
        <v>448</v>
      </c>
      <c r="J1359">
        <v>9</v>
      </c>
      <c r="K1359">
        <v>271</v>
      </c>
      <c r="L1359">
        <v>274</v>
      </c>
      <c r="M1359">
        <v>16</v>
      </c>
      <c r="N1359">
        <v>234</v>
      </c>
      <c r="O1359">
        <v>38</v>
      </c>
      <c r="P1359" s="1">
        <v>43862</v>
      </c>
      <c r="Q1359">
        <v>759</v>
      </c>
    </row>
    <row r="1360" spans="1:17" x14ac:dyDescent="0.25">
      <c r="A1360" s="1">
        <v>44621</v>
      </c>
      <c r="B1360" t="s">
        <v>174</v>
      </c>
      <c r="C1360" t="s">
        <v>105</v>
      </c>
      <c r="D1360" t="s">
        <v>104</v>
      </c>
      <c r="E1360">
        <v>34</v>
      </c>
      <c r="F1360">
        <v>35</v>
      </c>
      <c r="G1360">
        <v>36</v>
      </c>
      <c r="H1360">
        <v>157</v>
      </c>
      <c r="I1360">
        <v>137</v>
      </c>
      <c r="J1360">
        <v>49</v>
      </c>
      <c r="K1360">
        <v>41</v>
      </c>
      <c r="L1360">
        <v>-10</v>
      </c>
      <c r="M1360">
        <v>195</v>
      </c>
      <c r="N1360">
        <v>145</v>
      </c>
      <c r="O1360">
        <v>126</v>
      </c>
      <c r="P1360" s="1">
        <v>43374</v>
      </c>
      <c r="Q1360">
        <v>1247</v>
      </c>
    </row>
    <row r="1361" spans="1:17" x14ac:dyDescent="0.25">
      <c r="A1361" s="1">
        <v>44621</v>
      </c>
      <c r="B1361" t="s">
        <v>142</v>
      </c>
      <c r="C1361" t="s">
        <v>50</v>
      </c>
      <c r="D1361" t="s">
        <v>49</v>
      </c>
      <c r="E1361">
        <v>398</v>
      </c>
      <c r="F1361">
        <v>179</v>
      </c>
      <c r="G1361">
        <v>47</v>
      </c>
      <c r="H1361">
        <v>243</v>
      </c>
      <c r="I1361">
        <v>205</v>
      </c>
      <c r="J1361">
        <v>48</v>
      </c>
      <c r="K1361">
        <v>78</v>
      </c>
      <c r="L1361">
        <v>291</v>
      </c>
      <c r="M1361">
        <v>278</v>
      </c>
      <c r="N1361">
        <v>297</v>
      </c>
      <c r="O1361">
        <v>502</v>
      </c>
      <c r="P1361" s="1">
        <v>43709</v>
      </c>
      <c r="Q1361">
        <v>912</v>
      </c>
    </row>
    <row r="1362" spans="1:17" x14ac:dyDescent="0.25">
      <c r="A1362" s="1">
        <v>44621</v>
      </c>
      <c r="B1362" t="s">
        <v>143</v>
      </c>
      <c r="C1362" t="s">
        <v>53</v>
      </c>
      <c r="D1362" t="s">
        <v>52</v>
      </c>
      <c r="E1362">
        <v>172</v>
      </c>
      <c r="F1362">
        <v>75</v>
      </c>
      <c r="G1362">
        <v>129</v>
      </c>
      <c r="H1362">
        <v>348</v>
      </c>
      <c r="I1362">
        <v>243</v>
      </c>
      <c r="J1362">
        <v>157</v>
      </c>
      <c r="K1362">
        <v>75</v>
      </c>
      <c r="L1362">
        <v>305</v>
      </c>
      <c r="M1362">
        <v>423</v>
      </c>
      <c r="N1362">
        <v>248</v>
      </c>
      <c r="O1362">
        <v>298</v>
      </c>
      <c r="P1362" s="1">
        <v>43862</v>
      </c>
      <c r="Q1362">
        <v>759</v>
      </c>
    </row>
    <row r="1363" spans="1:17" x14ac:dyDescent="0.25">
      <c r="A1363" s="1">
        <v>44621</v>
      </c>
      <c r="B1363" t="s">
        <v>144</v>
      </c>
      <c r="C1363" t="s">
        <v>56</v>
      </c>
      <c r="D1363" t="s">
        <v>55</v>
      </c>
      <c r="E1363">
        <v>512</v>
      </c>
      <c r="F1363">
        <v>153</v>
      </c>
      <c r="G1363">
        <v>188</v>
      </c>
      <c r="H1363">
        <v>1034</v>
      </c>
      <c r="I1363">
        <v>809</v>
      </c>
      <c r="J1363">
        <v>528</v>
      </c>
      <c r="K1363">
        <v>550</v>
      </c>
      <c r="L1363">
        <v>987</v>
      </c>
      <c r="M1363">
        <v>14</v>
      </c>
      <c r="N1363">
        <v>669</v>
      </c>
      <c r="O1363">
        <v>541</v>
      </c>
      <c r="P1363" s="1">
        <v>44256</v>
      </c>
      <c r="Q1363">
        <v>365</v>
      </c>
    </row>
    <row r="1364" spans="1:17" x14ac:dyDescent="0.25">
      <c r="A1364" s="1">
        <v>44621</v>
      </c>
      <c r="B1364" t="s">
        <v>145</v>
      </c>
      <c r="C1364" t="s">
        <v>59</v>
      </c>
      <c r="D1364" t="s">
        <v>58</v>
      </c>
      <c r="E1364">
        <v>437</v>
      </c>
      <c r="F1364">
        <v>364</v>
      </c>
      <c r="G1364">
        <v>337</v>
      </c>
      <c r="H1364">
        <v>405</v>
      </c>
      <c r="I1364">
        <v>794</v>
      </c>
      <c r="J1364">
        <v>47</v>
      </c>
      <c r="K1364">
        <v>11</v>
      </c>
      <c r="L1364">
        <v>757</v>
      </c>
      <c r="M1364">
        <v>204</v>
      </c>
      <c r="N1364">
        <v>613</v>
      </c>
      <c r="O1364">
        <v>154</v>
      </c>
      <c r="P1364" s="1">
        <v>44287</v>
      </c>
      <c r="Q1364">
        <v>334</v>
      </c>
    </row>
    <row r="1365" spans="1:17" x14ac:dyDescent="0.25">
      <c r="A1365" s="1">
        <v>44652</v>
      </c>
      <c r="B1365" t="s">
        <v>144</v>
      </c>
      <c r="C1365" t="s">
        <v>56</v>
      </c>
      <c r="D1365" t="s">
        <v>55</v>
      </c>
      <c r="E1365">
        <v>556</v>
      </c>
      <c r="F1365">
        <v>121</v>
      </c>
      <c r="G1365">
        <v>155</v>
      </c>
      <c r="H1365">
        <v>891</v>
      </c>
      <c r="I1365">
        <v>790</v>
      </c>
      <c r="J1365">
        <v>800</v>
      </c>
      <c r="K1365">
        <v>268</v>
      </c>
      <c r="L1365">
        <v>721</v>
      </c>
      <c r="M1365">
        <v>172</v>
      </c>
      <c r="N1365">
        <v>-70</v>
      </c>
      <c r="O1365">
        <v>603</v>
      </c>
      <c r="P1365" s="1">
        <v>44256</v>
      </c>
      <c r="Q1365">
        <v>396</v>
      </c>
    </row>
    <row r="1366" spans="1:17" x14ac:dyDescent="0.25">
      <c r="A1366" s="1">
        <v>44652</v>
      </c>
      <c r="B1366" t="s">
        <v>145</v>
      </c>
      <c r="C1366" t="s">
        <v>59</v>
      </c>
      <c r="D1366" t="s">
        <v>58</v>
      </c>
      <c r="E1366">
        <v>230</v>
      </c>
      <c r="F1366">
        <v>277</v>
      </c>
      <c r="G1366">
        <v>211</v>
      </c>
      <c r="H1366">
        <v>552</v>
      </c>
      <c r="I1366">
        <v>640</v>
      </c>
      <c r="J1366">
        <v>211</v>
      </c>
      <c r="K1366">
        <v>117</v>
      </c>
      <c r="L1366">
        <v>881</v>
      </c>
      <c r="M1366">
        <v>141</v>
      </c>
      <c r="N1366">
        <v>1043</v>
      </c>
      <c r="O1366">
        <v>260</v>
      </c>
      <c r="P1366" s="1">
        <v>44287</v>
      </c>
      <c r="Q1366">
        <v>365</v>
      </c>
    </row>
    <row r="1367" spans="1:17" x14ac:dyDescent="0.25">
      <c r="A1367" s="1">
        <v>44652</v>
      </c>
      <c r="B1367" t="s">
        <v>146</v>
      </c>
      <c r="C1367" t="s">
        <v>62</v>
      </c>
      <c r="D1367" t="s">
        <v>61</v>
      </c>
      <c r="E1367">
        <v>289</v>
      </c>
      <c r="F1367">
        <v>573</v>
      </c>
      <c r="G1367">
        <v>131</v>
      </c>
      <c r="H1367">
        <v>42</v>
      </c>
      <c r="I1367">
        <v>128</v>
      </c>
      <c r="J1367">
        <v>124</v>
      </c>
      <c r="K1367">
        <v>55</v>
      </c>
      <c r="L1367">
        <v>300</v>
      </c>
      <c r="M1367">
        <v>142</v>
      </c>
      <c r="N1367">
        <v>88</v>
      </c>
      <c r="O1367">
        <v>81</v>
      </c>
      <c r="P1367" s="1">
        <v>44075</v>
      </c>
      <c r="Q1367">
        <v>577</v>
      </c>
    </row>
    <row r="1368" spans="1:17" x14ac:dyDescent="0.25">
      <c r="A1368" s="1">
        <v>44652</v>
      </c>
      <c r="B1368" t="s">
        <v>147</v>
      </c>
      <c r="C1368" t="s">
        <v>64</v>
      </c>
      <c r="D1368" t="s">
        <v>52</v>
      </c>
      <c r="E1368">
        <v>-120</v>
      </c>
      <c r="F1368">
        <v>173</v>
      </c>
      <c r="G1368">
        <v>49</v>
      </c>
      <c r="H1368">
        <v>21</v>
      </c>
      <c r="I1368">
        <v>16</v>
      </c>
      <c r="J1368">
        <v>120</v>
      </c>
      <c r="K1368">
        <v>29</v>
      </c>
      <c r="L1368">
        <v>104</v>
      </c>
      <c r="M1368">
        <v>51</v>
      </c>
      <c r="N1368">
        <v>73</v>
      </c>
      <c r="O1368">
        <v>139</v>
      </c>
      <c r="P1368" s="1">
        <v>43862</v>
      </c>
      <c r="Q1368">
        <v>790</v>
      </c>
    </row>
    <row r="1369" spans="1:17" x14ac:dyDescent="0.25">
      <c r="A1369" s="1">
        <v>44652</v>
      </c>
      <c r="B1369" t="s">
        <v>148</v>
      </c>
      <c r="C1369" t="s">
        <v>66</v>
      </c>
      <c r="D1369" t="s">
        <v>55</v>
      </c>
      <c r="E1369">
        <v>579</v>
      </c>
      <c r="F1369">
        <v>555</v>
      </c>
      <c r="G1369">
        <v>138</v>
      </c>
      <c r="H1369">
        <v>235</v>
      </c>
      <c r="I1369">
        <v>276</v>
      </c>
      <c r="J1369">
        <v>130</v>
      </c>
      <c r="K1369">
        <v>181</v>
      </c>
      <c r="L1369">
        <v>84</v>
      </c>
      <c r="M1369">
        <v>40</v>
      </c>
      <c r="N1369">
        <v>692</v>
      </c>
      <c r="O1369">
        <v>630</v>
      </c>
      <c r="P1369" s="1">
        <v>44256</v>
      </c>
      <c r="Q1369">
        <v>396</v>
      </c>
    </row>
    <row r="1370" spans="1:17" x14ac:dyDescent="0.25">
      <c r="A1370" s="1">
        <v>44652</v>
      </c>
      <c r="B1370" t="s">
        <v>149</v>
      </c>
      <c r="C1370" t="s">
        <v>67</v>
      </c>
      <c r="D1370" t="s">
        <v>55</v>
      </c>
      <c r="E1370">
        <v>552</v>
      </c>
      <c r="F1370">
        <v>1042</v>
      </c>
      <c r="G1370">
        <v>152</v>
      </c>
      <c r="H1370">
        <v>1191</v>
      </c>
      <c r="I1370">
        <v>908</v>
      </c>
      <c r="J1370">
        <v>1041</v>
      </c>
      <c r="K1370">
        <v>753</v>
      </c>
      <c r="L1370">
        <v>996</v>
      </c>
      <c r="M1370">
        <v>256</v>
      </c>
      <c r="N1370">
        <v>785</v>
      </c>
      <c r="O1370">
        <v>610</v>
      </c>
      <c r="P1370" s="1">
        <v>44256</v>
      </c>
      <c r="Q1370">
        <v>396</v>
      </c>
    </row>
    <row r="1371" spans="1:17" x14ac:dyDescent="0.25">
      <c r="A1371" s="1">
        <v>44652</v>
      </c>
      <c r="B1371" t="s">
        <v>150</v>
      </c>
      <c r="C1371" t="s">
        <v>69</v>
      </c>
      <c r="D1371" t="s">
        <v>68</v>
      </c>
      <c r="E1371">
        <v>696</v>
      </c>
      <c r="F1371">
        <v>269</v>
      </c>
      <c r="G1371">
        <v>219</v>
      </c>
      <c r="H1371">
        <v>711</v>
      </c>
      <c r="I1371">
        <v>226</v>
      </c>
      <c r="J1371">
        <v>213</v>
      </c>
      <c r="K1371">
        <v>190</v>
      </c>
      <c r="L1371">
        <v>455</v>
      </c>
      <c r="M1371">
        <v>97</v>
      </c>
      <c r="N1371">
        <v>240</v>
      </c>
      <c r="O1371">
        <v>552</v>
      </c>
      <c r="P1371" s="1">
        <v>44317</v>
      </c>
      <c r="Q1371">
        <v>335</v>
      </c>
    </row>
    <row r="1372" spans="1:17" x14ac:dyDescent="0.25">
      <c r="A1372" s="1">
        <v>44652</v>
      </c>
      <c r="B1372" t="s">
        <v>151</v>
      </c>
      <c r="C1372" t="s">
        <v>71</v>
      </c>
      <c r="D1372" t="s">
        <v>70</v>
      </c>
      <c r="E1372">
        <v>93</v>
      </c>
      <c r="F1372">
        <v>133</v>
      </c>
      <c r="G1372">
        <v>47</v>
      </c>
      <c r="H1372">
        <v>141</v>
      </c>
      <c r="I1372">
        <v>184</v>
      </c>
      <c r="J1372">
        <v>148</v>
      </c>
      <c r="K1372">
        <v>131</v>
      </c>
      <c r="L1372">
        <v>32</v>
      </c>
      <c r="M1372">
        <v>366</v>
      </c>
      <c r="N1372">
        <v>68</v>
      </c>
      <c r="O1372">
        <v>101</v>
      </c>
      <c r="P1372" s="1">
        <v>44136</v>
      </c>
      <c r="Q1372">
        <v>516</v>
      </c>
    </row>
    <row r="1373" spans="1:17" x14ac:dyDescent="0.25">
      <c r="A1373" s="1">
        <v>44652</v>
      </c>
      <c r="B1373" t="s">
        <v>152</v>
      </c>
      <c r="C1373" t="s">
        <v>11</v>
      </c>
      <c r="D1373" t="s">
        <v>52</v>
      </c>
      <c r="E1373">
        <v>81</v>
      </c>
      <c r="F1373">
        <v>106</v>
      </c>
      <c r="G1373">
        <v>34</v>
      </c>
      <c r="H1373">
        <v>21</v>
      </c>
      <c r="I1373">
        <v>24</v>
      </c>
      <c r="J1373">
        <v>134</v>
      </c>
      <c r="K1373">
        <v>58</v>
      </c>
      <c r="L1373">
        <v>10</v>
      </c>
      <c r="M1373">
        <v>102</v>
      </c>
      <c r="N1373">
        <v>149</v>
      </c>
      <c r="O1373">
        <v>71</v>
      </c>
      <c r="P1373" s="1">
        <v>43862</v>
      </c>
      <c r="Q1373">
        <v>790</v>
      </c>
    </row>
    <row r="1374" spans="1:17" x14ac:dyDescent="0.25">
      <c r="A1374" s="1">
        <v>44652</v>
      </c>
      <c r="B1374" t="s">
        <v>153</v>
      </c>
      <c r="C1374" t="s">
        <v>73</v>
      </c>
      <c r="D1374" t="s">
        <v>72</v>
      </c>
      <c r="E1374">
        <v>347</v>
      </c>
      <c r="F1374">
        <v>289</v>
      </c>
      <c r="G1374">
        <v>196</v>
      </c>
      <c r="H1374">
        <v>1391</v>
      </c>
      <c r="I1374">
        <v>152</v>
      </c>
      <c r="J1374">
        <v>559</v>
      </c>
      <c r="K1374">
        <v>538</v>
      </c>
      <c r="L1374">
        <v>2091</v>
      </c>
      <c r="M1374">
        <v>988</v>
      </c>
      <c r="N1374">
        <v>220</v>
      </c>
      <c r="O1374">
        <v>851</v>
      </c>
      <c r="P1374" s="1">
        <v>44440</v>
      </c>
      <c r="Q1374">
        <v>212</v>
      </c>
    </row>
    <row r="1375" spans="1:17" x14ac:dyDescent="0.25">
      <c r="A1375" s="1">
        <v>44652</v>
      </c>
      <c r="B1375" t="s">
        <v>154</v>
      </c>
      <c r="C1375" t="s">
        <v>17</v>
      </c>
      <c r="D1375" t="s">
        <v>74</v>
      </c>
      <c r="E1375">
        <v>666</v>
      </c>
      <c r="F1375">
        <v>680</v>
      </c>
      <c r="G1375">
        <v>123</v>
      </c>
      <c r="H1375">
        <v>660</v>
      </c>
      <c r="I1375">
        <v>342</v>
      </c>
      <c r="J1375">
        <v>483</v>
      </c>
      <c r="K1375">
        <v>190</v>
      </c>
      <c r="L1375">
        <v>763</v>
      </c>
      <c r="M1375">
        <v>1094</v>
      </c>
      <c r="N1375">
        <v>549</v>
      </c>
      <c r="O1375">
        <v>379</v>
      </c>
      <c r="P1375" s="1">
        <v>44197</v>
      </c>
      <c r="Q1375">
        <v>455</v>
      </c>
    </row>
    <row r="1376" spans="1:17" x14ac:dyDescent="0.25">
      <c r="A1376" s="1">
        <v>44652</v>
      </c>
      <c r="B1376" t="s">
        <v>155</v>
      </c>
      <c r="C1376" t="s">
        <v>76</v>
      </c>
      <c r="D1376" t="s">
        <v>75</v>
      </c>
      <c r="E1376">
        <v>248</v>
      </c>
      <c r="F1376">
        <v>197</v>
      </c>
      <c r="G1376">
        <v>159</v>
      </c>
      <c r="H1376">
        <v>190</v>
      </c>
      <c r="I1376">
        <v>204</v>
      </c>
      <c r="J1376">
        <v>297</v>
      </c>
      <c r="K1376">
        <v>137</v>
      </c>
      <c r="L1376">
        <v>159</v>
      </c>
      <c r="M1376">
        <v>1689</v>
      </c>
      <c r="N1376">
        <v>118</v>
      </c>
      <c r="O1376">
        <v>253</v>
      </c>
      <c r="P1376" s="1">
        <v>44470</v>
      </c>
      <c r="Q1376">
        <v>182</v>
      </c>
    </row>
    <row r="1377" spans="1:17" x14ac:dyDescent="0.25">
      <c r="A1377" s="1">
        <v>44652</v>
      </c>
      <c r="B1377" t="s">
        <v>156</v>
      </c>
      <c r="C1377" t="s">
        <v>79</v>
      </c>
      <c r="D1377" t="s">
        <v>78</v>
      </c>
      <c r="E1377">
        <v>33</v>
      </c>
      <c r="F1377">
        <v>111</v>
      </c>
      <c r="G1377">
        <v>61</v>
      </c>
      <c r="H1377">
        <v>1094</v>
      </c>
      <c r="I1377">
        <v>100</v>
      </c>
      <c r="J1377">
        <v>27</v>
      </c>
      <c r="K1377">
        <v>127</v>
      </c>
      <c r="L1377">
        <v>30</v>
      </c>
      <c r="M1377">
        <v>72</v>
      </c>
      <c r="N1377">
        <v>1563</v>
      </c>
      <c r="O1377">
        <v>145</v>
      </c>
      <c r="P1377" s="1">
        <v>44348</v>
      </c>
      <c r="Q1377">
        <v>304</v>
      </c>
    </row>
    <row r="1378" spans="1:17" x14ac:dyDescent="0.25">
      <c r="A1378" s="1">
        <v>44652</v>
      </c>
      <c r="B1378" t="s">
        <v>157</v>
      </c>
      <c r="C1378" t="s">
        <v>81</v>
      </c>
      <c r="D1378" t="s">
        <v>72</v>
      </c>
      <c r="E1378">
        <v>817</v>
      </c>
      <c r="F1378">
        <v>1229</v>
      </c>
      <c r="G1378">
        <v>336</v>
      </c>
      <c r="H1378">
        <v>405</v>
      </c>
      <c r="I1378">
        <v>545</v>
      </c>
      <c r="J1378">
        <v>2033</v>
      </c>
      <c r="K1378">
        <v>834</v>
      </c>
      <c r="L1378">
        <v>90</v>
      </c>
      <c r="M1378">
        <v>678</v>
      </c>
      <c r="N1378">
        <v>1148</v>
      </c>
      <c r="O1378">
        <v>1832</v>
      </c>
      <c r="P1378" s="1">
        <v>44440</v>
      </c>
      <c r="Q1378">
        <v>212</v>
      </c>
    </row>
    <row r="1379" spans="1:17" x14ac:dyDescent="0.25">
      <c r="A1379" s="1">
        <v>44652</v>
      </c>
      <c r="B1379" t="s">
        <v>158</v>
      </c>
      <c r="C1379" t="s">
        <v>83</v>
      </c>
      <c r="D1379" t="s">
        <v>82</v>
      </c>
      <c r="E1379">
        <v>1106</v>
      </c>
      <c r="F1379">
        <v>623</v>
      </c>
      <c r="G1379">
        <v>152</v>
      </c>
      <c r="H1379">
        <v>668</v>
      </c>
      <c r="I1379">
        <v>905</v>
      </c>
      <c r="J1379">
        <v>197</v>
      </c>
      <c r="K1379">
        <v>351</v>
      </c>
      <c r="L1379">
        <v>21</v>
      </c>
      <c r="M1379">
        <v>60</v>
      </c>
      <c r="N1379">
        <v>82</v>
      </c>
      <c r="O1379">
        <v>678</v>
      </c>
      <c r="P1379" s="1">
        <v>44228</v>
      </c>
      <c r="Q1379">
        <v>424</v>
      </c>
    </row>
    <row r="1380" spans="1:17" x14ac:dyDescent="0.25">
      <c r="A1380" s="1">
        <v>44652</v>
      </c>
      <c r="B1380" t="s">
        <v>159</v>
      </c>
      <c r="C1380" t="s">
        <v>84</v>
      </c>
      <c r="D1380" t="s">
        <v>55</v>
      </c>
      <c r="E1380">
        <v>147</v>
      </c>
      <c r="F1380">
        <v>402</v>
      </c>
      <c r="G1380">
        <v>97</v>
      </c>
      <c r="H1380">
        <v>1010</v>
      </c>
      <c r="I1380">
        <v>322</v>
      </c>
      <c r="J1380">
        <v>220</v>
      </c>
      <c r="K1380">
        <v>708</v>
      </c>
      <c r="L1380">
        <v>583</v>
      </c>
      <c r="M1380">
        <v>64</v>
      </c>
      <c r="N1380">
        <v>315</v>
      </c>
      <c r="O1380">
        <v>163</v>
      </c>
      <c r="P1380" s="1">
        <v>44256</v>
      </c>
      <c r="Q1380">
        <v>396</v>
      </c>
    </row>
    <row r="1381" spans="1:17" x14ac:dyDescent="0.25">
      <c r="A1381" s="1">
        <v>44652</v>
      </c>
      <c r="B1381" t="s">
        <v>160</v>
      </c>
      <c r="C1381" t="s">
        <v>86</v>
      </c>
      <c r="D1381" t="s">
        <v>68</v>
      </c>
      <c r="E1381">
        <v>663</v>
      </c>
      <c r="F1381">
        <v>309</v>
      </c>
      <c r="G1381">
        <v>37</v>
      </c>
      <c r="H1381">
        <v>866</v>
      </c>
      <c r="I1381">
        <v>749</v>
      </c>
      <c r="J1381">
        <v>141</v>
      </c>
      <c r="K1381">
        <v>1304</v>
      </c>
      <c r="L1381">
        <v>202</v>
      </c>
      <c r="M1381">
        <v>582</v>
      </c>
      <c r="N1381">
        <v>112</v>
      </c>
      <c r="O1381">
        <v>691</v>
      </c>
      <c r="P1381" s="1">
        <v>44317</v>
      </c>
      <c r="Q1381">
        <v>335</v>
      </c>
    </row>
    <row r="1382" spans="1:17" x14ac:dyDescent="0.25">
      <c r="A1382" s="1">
        <v>44652</v>
      </c>
      <c r="B1382" t="s">
        <v>161</v>
      </c>
      <c r="C1382" t="s">
        <v>87</v>
      </c>
      <c r="D1382" t="s">
        <v>72</v>
      </c>
      <c r="E1382">
        <v>1538</v>
      </c>
      <c r="F1382">
        <v>1773</v>
      </c>
      <c r="G1382">
        <v>275</v>
      </c>
      <c r="H1382">
        <v>1457</v>
      </c>
      <c r="I1382">
        <v>1346</v>
      </c>
      <c r="J1382">
        <v>983</v>
      </c>
      <c r="K1382">
        <v>889</v>
      </c>
      <c r="L1382">
        <v>1526</v>
      </c>
      <c r="M1382">
        <v>1698</v>
      </c>
      <c r="N1382">
        <v>1779</v>
      </c>
      <c r="O1382">
        <v>1090</v>
      </c>
      <c r="P1382" s="1">
        <v>44440</v>
      </c>
      <c r="Q1382">
        <v>212</v>
      </c>
    </row>
    <row r="1383" spans="1:17" x14ac:dyDescent="0.25">
      <c r="A1383" s="1">
        <v>44652</v>
      </c>
      <c r="B1383" t="s">
        <v>162</v>
      </c>
      <c r="C1383" t="s">
        <v>89</v>
      </c>
      <c r="D1383" t="s">
        <v>88</v>
      </c>
      <c r="E1383">
        <v>41</v>
      </c>
      <c r="F1383">
        <v>147</v>
      </c>
      <c r="G1383">
        <v>158</v>
      </c>
      <c r="H1383">
        <v>299</v>
      </c>
      <c r="I1383">
        <v>141</v>
      </c>
      <c r="J1383">
        <v>54</v>
      </c>
      <c r="K1383">
        <v>443</v>
      </c>
      <c r="L1383">
        <v>122</v>
      </c>
      <c r="M1383">
        <v>292</v>
      </c>
      <c r="N1383">
        <v>146</v>
      </c>
      <c r="O1383">
        <v>676</v>
      </c>
      <c r="P1383" s="1">
        <v>44044</v>
      </c>
      <c r="Q1383">
        <v>608</v>
      </c>
    </row>
    <row r="1384" spans="1:17" x14ac:dyDescent="0.25">
      <c r="A1384" s="1">
        <v>44652</v>
      </c>
      <c r="B1384" t="s">
        <v>163</v>
      </c>
      <c r="C1384" t="s">
        <v>90</v>
      </c>
      <c r="D1384" t="s">
        <v>82</v>
      </c>
      <c r="E1384">
        <v>400</v>
      </c>
      <c r="F1384">
        <v>-17</v>
      </c>
      <c r="G1384">
        <v>-24</v>
      </c>
      <c r="H1384">
        <v>1105</v>
      </c>
      <c r="I1384">
        <v>310</v>
      </c>
      <c r="J1384">
        <v>111</v>
      </c>
      <c r="K1384">
        <v>46</v>
      </c>
      <c r="L1384">
        <v>73</v>
      </c>
      <c r="M1384">
        <v>293</v>
      </c>
      <c r="N1384">
        <v>317</v>
      </c>
      <c r="O1384">
        <v>117</v>
      </c>
      <c r="P1384" s="1">
        <v>44228</v>
      </c>
      <c r="Q1384">
        <v>424</v>
      </c>
    </row>
    <row r="1385" spans="1:17" x14ac:dyDescent="0.25">
      <c r="A1385" s="1">
        <v>44652</v>
      </c>
      <c r="B1385" t="s">
        <v>164</v>
      </c>
      <c r="C1385" t="s">
        <v>92</v>
      </c>
      <c r="D1385" t="s">
        <v>91</v>
      </c>
      <c r="E1385">
        <v>352</v>
      </c>
      <c r="F1385">
        <v>141</v>
      </c>
      <c r="G1385">
        <v>81</v>
      </c>
      <c r="H1385">
        <v>98</v>
      </c>
      <c r="I1385">
        <v>51</v>
      </c>
      <c r="J1385">
        <v>73</v>
      </c>
      <c r="K1385">
        <v>51</v>
      </c>
      <c r="L1385">
        <v>92</v>
      </c>
      <c r="M1385">
        <v>130</v>
      </c>
      <c r="N1385">
        <v>165</v>
      </c>
      <c r="O1385">
        <v>144</v>
      </c>
      <c r="P1385" s="1">
        <v>44105</v>
      </c>
      <c r="Q1385">
        <v>547</v>
      </c>
    </row>
    <row r="1386" spans="1:17" x14ac:dyDescent="0.25">
      <c r="A1386" s="1">
        <v>44652</v>
      </c>
      <c r="B1386" t="s">
        <v>165</v>
      </c>
      <c r="C1386" t="s">
        <v>94</v>
      </c>
      <c r="D1386" t="s">
        <v>93</v>
      </c>
      <c r="E1386">
        <v>149</v>
      </c>
      <c r="F1386">
        <v>84</v>
      </c>
      <c r="G1386">
        <v>75</v>
      </c>
      <c r="H1386">
        <v>311</v>
      </c>
      <c r="I1386">
        <v>189</v>
      </c>
      <c r="J1386">
        <v>75</v>
      </c>
      <c r="K1386">
        <v>30</v>
      </c>
      <c r="L1386">
        <v>264</v>
      </c>
      <c r="M1386">
        <v>50</v>
      </c>
      <c r="N1386">
        <v>149</v>
      </c>
      <c r="O1386">
        <v>25</v>
      </c>
      <c r="P1386" s="1">
        <v>43586</v>
      </c>
      <c r="Q1386">
        <v>1066</v>
      </c>
    </row>
    <row r="1387" spans="1:17" x14ac:dyDescent="0.25">
      <c r="A1387" s="1">
        <v>44652</v>
      </c>
      <c r="B1387" t="s">
        <v>166</v>
      </c>
      <c r="C1387" t="s">
        <v>96</v>
      </c>
      <c r="D1387" t="s">
        <v>95</v>
      </c>
      <c r="E1387">
        <v>55</v>
      </c>
      <c r="F1387">
        <v>60</v>
      </c>
      <c r="G1387">
        <v>-4</v>
      </c>
      <c r="H1387">
        <v>303</v>
      </c>
      <c r="I1387">
        <v>22</v>
      </c>
      <c r="J1387">
        <v>91</v>
      </c>
      <c r="K1387">
        <v>192</v>
      </c>
      <c r="L1387">
        <v>-3</v>
      </c>
      <c r="M1387">
        <v>249</v>
      </c>
      <c r="N1387">
        <v>64</v>
      </c>
      <c r="O1387">
        <v>204</v>
      </c>
      <c r="P1387" s="1">
        <v>43678</v>
      </c>
      <c r="Q1387">
        <v>974</v>
      </c>
    </row>
    <row r="1388" spans="1:17" x14ac:dyDescent="0.25">
      <c r="A1388" s="1">
        <v>44652</v>
      </c>
      <c r="B1388" t="s">
        <v>167</v>
      </c>
      <c r="C1388" t="s">
        <v>97</v>
      </c>
      <c r="D1388" t="s">
        <v>58</v>
      </c>
      <c r="E1388">
        <v>161</v>
      </c>
      <c r="F1388">
        <v>207</v>
      </c>
      <c r="G1388">
        <v>251</v>
      </c>
      <c r="H1388">
        <v>771</v>
      </c>
      <c r="I1388">
        <v>407</v>
      </c>
      <c r="J1388">
        <v>209</v>
      </c>
      <c r="K1388">
        <v>31</v>
      </c>
      <c r="L1388">
        <v>126</v>
      </c>
      <c r="M1388">
        <v>269</v>
      </c>
      <c r="N1388">
        <v>540</v>
      </c>
      <c r="O1388">
        <v>54</v>
      </c>
      <c r="P1388" s="1">
        <v>44287</v>
      </c>
      <c r="Q1388">
        <v>365</v>
      </c>
    </row>
    <row r="1389" spans="1:17" x14ac:dyDescent="0.25">
      <c r="A1389" s="1">
        <v>44652</v>
      </c>
      <c r="B1389" t="s">
        <v>168</v>
      </c>
      <c r="C1389" t="s">
        <v>98</v>
      </c>
      <c r="D1389" t="s">
        <v>49</v>
      </c>
      <c r="E1389">
        <v>95</v>
      </c>
      <c r="F1389">
        <v>61</v>
      </c>
      <c r="G1389">
        <v>103</v>
      </c>
      <c r="H1389">
        <v>91</v>
      </c>
      <c r="I1389">
        <v>93</v>
      </c>
      <c r="J1389">
        <v>90</v>
      </c>
      <c r="K1389">
        <v>45</v>
      </c>
      <c r="L1389">
        <v>348</v>
      </c>
      <c r="M1389">
        <v>90</v>
      </c>
      <c r="N1389">
        <v>338</v>
      </c>
      <c r="O1389">
        <v>93</v>
      </c>
      <c r="P1389" s="1">
        <v>43709</v>
      </c>
      <c r="Q1389">
        <v>943</v>
      </c>
    </row>
    <row r="1390" spans="1:17" x14ac:dyDescent="0.25">
      <c r="A1390" s="1">
        <v>44652</v>
      </c>
      <c r="B1390" t="s">
        <v>169</v>
      </c>
      <c r="C1390" t="s">
        <v>99</v>
      </c>
      <c r="D1390" t="s">
        <v>95</v>
      </c>
      <c r="E1390">
        <v>99</v>
      </c>
      <c r="F1390">
        <v>240</v>
      </c>
      <c r="G1390">
        <v>63</v>
      </c>
      <c r="H1390">
        <v>119</v>
      </c>
      <c r="I1390">
        <v>222</v>
      </c>
      <c r="J1390">
        <v>295</v>
      </c>
      <c r="K1390">
        <v>123</v>
      </c>
      <c r="L1390">
        <v>67</v>
      </c>
      <c r="M1390">
        <v>222</v>
      </c>
      <c r="N1390">
        <v>32</v>
      </c>
      <c r="O1390">
        <v>96</v>
      </c>
      <c r="P1390" s="1">
        <v>43678</v>
      </c>
      <c r="Q1390">
        <v>974</v>
      </c>
    </row>
    <row r="1391" spans="1:17" x14ac:dyDescent="0.25">
      <c r="A1391" s="1">
        <v>44652</v>
      </c>
      <c r="B1391" t="s">
        <v>170</v>
      </c>
      <c r="C1391" t="s">
        <v>100</v>
      </c>
      <c r="D1391" t="s">
        <v>82</v>
      </c>
      <c r="E1391">
        <v>92</v>
      </c>
      <c r="F1391">
        <v>227</v>
      </c>
      <c r="G1391">
        <v>99</v>
      </c>
      <c r="H1391">
        <v>380</v>
      </c>
      <c r="I1391">
        <v>317</v>
      </c>
      <c r="J1391">
        <v>194</v>
      </c>
      <c r="K1391">
        <v>644</v>
      </c>
      <c r="L1391">
        <v>219</v>
      </c>
      <c r="M1391">
        <v>98</v>
      </c>
      <c r="N1391">
        <v>731</v>
      </c>
      <c r="O1391">
        <v>73</v>
      </c>
      <c r="P1391" s="1">
        <v>44228</v>
      </c>
      <c r="Q1391">
        <v>424</v>
      </c>
    </row>
    <row r="1392" spans="1:17" x14ac:dyDescent="0.25">
      <c r="A1392" s="1">
        <v>44652</v>
      </c>
      <c r="B1392" t="s">
        <v>171</v>
      </c>
      <c r="C1392" t="s">
        <v>101</v>
      </c>
      <c r="D1392" t="s">
        <v>68</v>
      </c>
      <c r="E1392">
        <v>649</v>
      </c>
      <c r="F1392">
        <v>543</v>
      </c>
      <c r="G1392">
        <v>156</v>
      </c>
      <c r="H1392">
        <v>199</v>
      </c>
      <c r="I1392">
        <v>806</v>
      </c>
      <c r="J1392">
        <v>571</v>
      </c>
      <c r="K1392">
        <v>923</v>
      </c>
      <c r="L1392">
        <v>494</v>
      </c>
      <c r="M1392">
        <v>165</v>
      </c>
      <c r="N1392">
        <v>1434</v>
      </c>
      <c r="O1392">
        <v>205</v>
      </c>
      <c r="P1392" s="1">
        <v>44317</v>
      </c>
      <c r="Q1392">
        <v>335</v>
      </c>
    </row>
    <row r="1393" spans="1:17" x14ac:dyDescent="0.25">
      <c r="A1393" s="1">
        <v>44652</v>
      </c>
      <c r="B1393" t="s">
        <v>172</v>
      </c>
      <c r="C1393" t="s">
        <v>102</v>
      </c>
      <c r="D1393" t="s">
        <v>88</v>
      </c>
      <c r="E1393">
        <v>199</v>
      </c>
      <c r="F1393">
        <v>155</v>
      </c>
      <c r="G1393">
        <v>111</v>
      </c>
      <c r="H1393">
        <v>69</v>
      </c>
      <c r="I1393">
        <v>181</v>
      </c>
      <c r="J1393">
        <v>73</v>
      </c>
      <c r="K1393">
        <v>504</v>
      </c>
      <c r="L1393">
        <v>81</v>
      </c>
      <c r="M1393">
        <v>510</v>
      </c>
      <c r="N1393">
        <v>105</v>
      </c>
      <c r="O1393">
        <v>158</v>
      </c>
      <c r="P1393" s="1">
        <v>44044</v>
      </c>
      <c r="Q1393">
        <v>608</v>
      </c>
    </row>
    <row r="1394" spans="1:17" x14ac:dyDescent="0.25">
      <c r="A1394" s="1">
        <v>44652</v>
      </c>
      <c r="B1394" t="s">
        <v>173</v>
      </c>
      <c r="C1394" t="s">
        <v>103</v>
      </c>
      <c r="D1394" t="s">
        <v>52</v>
      </c>
      <c r="E1394">
        <v>54</v>
      </c>
      <c r="F1394">
        <v>78</v>
      </c>
      <c r="G1394">
        <v>73</v>
      </c>
      <c r="H1394">
        <v>119</v>
      </c>
      <c r="I1394">
        <v>501</v>
      </c>
      <c r="J1394">
        <v>65</v>
      </c>
      <c r="K1394">
        <v>97</v>
      </c>
      <c r="L1394">
        <v>171</v>
      </c>
      <c r="M1394">
        <v>-9</v>
      </c>
      <c r="N1394">
        <v>229</v>
      </c>
      <c r="O1394">
        <v>94</v>
      </c>
      <c r="P1394" s="1">
        <v>43862</v>
      </c>
      <c r="Q1394">
        <v>790</v>
      </c>
    </row>
    <row r="1395" spans="1:17" x14ac:dyDescent="0.25">
      <c r="A1395" s="1">
        <v>44652</v>
      </c>
      <c r="B1395" t="s">
        <v>174</v>
      </c>
      <c r="C1395" t="s">
        <v>105</v>
      </c>
      <c r="D1395" t="s">
        <v>104</v>
      </c>
      <c r="E1395">
        <v>53</v>
      </c>
      <c r="F1395">
        <v>55</v>
      </c>
      <c r="G1395">
        <v>64</v>
      </c>
      <c r="H1395">
        <v>129</v>
      </c>
      <c r="I1395">
        <v>111</v>
      </c>
      <c r="J1395">
        <v>25</v>
      </c>
      <c r="K1395">
        <v>61</v>
      </c>
      <c r="L1395">
        <v>56</v>
      </c>
      <c r="M1395">
        <v>209</v>
      </c>
      <c r="N1395">
        <v>122</v>
      </c>
      <c r="O1395">
        <v>107</v>
      </c>
      <c r="P1395" s="1">
        <v>43374</v>
      </c>
      <c r="Q1395">
        <v>1278</v>
      </c>
    </row>
    <row r="1396" spans="1:17" x14ac:dyDescent="0.25">
      <c r="A1396" s="1">
        <v>44652</v>
      </c>
      <c r="B1396" t="s">
        <v>142</v>
      </c>
      <c r="C1396" t="s">
        <v>50</v>
      </c>
      <c r="D1396" t="s">
        <v>49</v>
      </c>
      <c r="E1396">
        <v>62</v>
      </c>
      <c r="F1396">
        <v>286</v>
      </c>
      <c r="G1396">
        <v>56</v>
      </c>
      <c r="H1396">
        <v>261</v>
      </c>
      <c r="I1396">
        <v>193</v>
      </c>
      <c r="J1396">
        <v>389</v>
      </c>
      <c r="K1396">
        <v>48</v>
      </c>
      <c r="L1396">
        <v>-75</v>
      </c>
      <c r="M1396">
        <v>273</v>
      </c>
      <c r="N1396">
        <v>178</v>
      </c>
      <c r="O1396">
        <v>313</v>
      </c>
      <c r="P1396" s="1">
        <v>43709</v>
      </c>
      <c r="Q1396">
        <v>943</v>
      </c>
    </row>
    <row r="1397" spans="1:17" x14ac:dyDescent="0.25">
      <c r="A1397" s="1">
        <v>44652</v>
      </c>
      <c r="B1397" t="s">
        <v>143</v>
      </c>
      <c r="C1397" t="s">
        <v>53</v>
      </c>
      <c r="D1397" t="s">
        <v>52</v>
      </c>
      <c r="E1397">
        <v>329</v>
      </c>
      <c r="F1397">
        <v>101</v>
      </c>
      <c r="G1397">
        <v>69</v>
      </c>
      <c r="H1397">
        <v>262</v>
      </c>
      <c r="I1397">
        <v>485</v>
      </c>
      <c r="J1397">
        <v>264</v>
      </c>
      <c r="K1397">
        <v>80</v>
      </c>
      <c r="L1397">
        <v>389</v>
      </c>
      <c r="M1397">
        <v>284</v>
      </c>
      <c r="N1397">
        <v>383</v>
      </c>
      <c r="O1397">
        <v>589</v>
      </c>
      <c r="P1397" s="1">
        <v>43862</v>
      </c>
      <c r="Q1397">
        <v>790</v>
      </c>
    </row>
    <row r="1398" spans="1:17" x14ac:dyDescent="0.25">
      <c r="A1398" s="1">
        <v>44652</v>
      </c>
      <c r="B1398" t="s">
        <v>144</v>
      </c>
      <c r="C1398" t="s">
        <v>56</v>
      </c>
      <c r="D1398" t="s">
        <v>55</v>
      </c>
      <c r="E1398">
        <v>642</v>
      </c>
      <c r="F1398">
        <v>145</v>
      </c>
      <c r="G1398">
        <v>151</v>
      </c>
      <c r="H1398">
        <v>240</v>
      </c>
      <c r="I1398">
        <v>392</v>
      </c>
      <c r="J1398">
        <v>230</v>
      </c>
      <c r="K1398">
        <v>341</v>
      </c>
      <c r="L1398">
        <v>195</v>
      </c>
      <c r="M1398">
        <v>50</v>
      </c>
      <c r="N1398">
        <v>302</v>
      </c>
      <c r="O1398">
        <v>594</v>
      </c>
      <c r="P1398" s="1">
        <v>44256</v>
      </c>
      <c r="Q1398">
        <v>396</v>
      </c>
    </row>
    <row r="1399" spans="1:17" x14ac:dyDescent="0.25">
      <c r="A1399" s="1">
        <v>44652</v>
      </c>
      <c r="B1399" t="s">
        <v>145</v>
      </c>
      <c r="C1399" t="s">
        <v>59</v>
      </c>
      <c r="D1399" t="s">
        <v>58</v>
      </c>
      <c r="E1399">
        <v>425</v>
      </c>
      <c r="F1399">
        <v>109</v>
      </c>
      <c r="G1399">
        <v>236</v>
      </c>
      <c r="H1399">
        <v>787</v>
      </c>
      <c r="I1399">
        <v>661</v>
      </c>
      <c r="J1399">
        <v>189</v>
      </c>
      <c r="K1399">
        <v>67</v>
      </c>
      <c r="L1399">
        <v>298</v>
      </c>
      <c r="M1399">
        <v>172</v>
      </c>
      <c r="N1399">
        <v>1072</v>
      </c>
      <c r="O1399">
        <v>135</v>
      </c>
      <c r="P1399" s="1">
        <v>44287</v>
      </c>
      <c r="Q1399">
        <v>365</v>
      </c>
    </row>
    <row r="1400" spans="1:17" x14ac:dyDescent="0.25">
      <c r="A1400" s="1">
        <v>44682</v>
      </c>
      <c r="B1400" t="s">
        <v>144</v>
      </c>
      <c r="C1400" t="s">
        <v>56</v>
      </c>
      <c r="D1400" t="s">
        <v>55</v>
      </c>
      <c r="E1400">
        <v>860</v>
      </c>
      <c r="F1400">
        <v>93</v>
      </c>
      <c r="G1400">
        <v>125</v>
      </c>
      <c r="H1400">
        <v>607</v>
      </c>
      <c r="I1400">
        <v>662</v>
      </c>
      <c r="J1400">
        <v>447</v>
      </c>
      <c r="K1400">
        <v>485</v>
      </c>
      <c r="L1400">
        <v>517</v>
      </c>
      <c r="M1400">
        <v>189</v>
      </c>
      <c r="N1400">
        <v>625</v>
      </c>
      <c r="O1400">
        <v>154</v>
      </c>
      <c r="P1400" s="1">
        <v>44256</v>
      </c>
      <c r="Q1400">
        <v>426</v>
      </c>
    </row>
    <row r="1401" spans="1:17" x14ac:dyDescent="0.25">
      <c r="A1401" s="1">
        <v>44682</v>
      </c>
      <c r="B1401" t="s">
        <v>145</v>
      </c>
      <c r="C1401" t="s">
        <v>59</v>
      </c>
      <c r="D1401" t="s">
        <v>58</v>
      </c>
      <c r="E1401">
        <v>885</v>
      </c>
      <c r="F1401">
        <v>198</v>
      </c>
      <c r="G1401">
        <v>265</v>
      </c>
      <c r="H1401">
        <v>514</v>
      </c>
      <c r="I1401">
        <v>308</v>
      </c>
      <c r="J1401">
        <v>219</v>
      </c>
      <c r="K1401">
        <v>233</v>
      </c>
      <c r="L1401">
        <v>437</v>
      </c>
      <c r="M1401">
        <v>255</v>
      </c>
      <c r="N1401">
        <v>304</v>
      </c>
      <c r="O1401">
        <v>12</v>
      </c>
      <c r="P1401" s="1">
        <v>44287</v>
      </c>
      <c r="Q1401">
        <v>395</v>
      </c>
    </row>
    <row r="1402" spans="1:17" x14ac:dyDescent="0.25">
      <c r="A1402" s="1">
        <v>44682</v>
      </c>
      <c r="B1402" t="s">
        <v>146</v>
      </c>
      <c r="C1402" t="s">
        <v>62</v>
      </c>
      <c r="D1402" t="s">
        <v>61</v>
      </c>
      <c r="E1402">
        <v>310</v>
      </c>
      <c r="F1402">
        <v>220</v>
      </c>
      <c r="G1402">
        <v>69</v>
      </c>
      <c r="H1402">
        <v>116</v>
      </c>
      <c r="I1402">
        <v>49</v>
      </c>
      <c r="J1402">
        <v>180</v>
      </c>
      <c r="K1402">
        <v>114</v>
      </c>
      <c r="L1402">
        <v>87</v>
      </c>
      <c r="M1402">
        <v>88</v>
      </c>
      <c r="N1402">
        <v>28</v>
      </c>
      <c r="O1402">
        <v>60</v>
      </c>
      <c r="P1402" s="1">
        <v>44075</v>
      </c>
      <c r="Q1402">
        <v>607</v>
      </c>
    </row>
    <row r="1403" spans="1:17" x14ac:dyDescent="0.25">
      <c r="A1403" s="1">
        <v>44682</v>
      </c>
      <c r="B1403" t="s">
        <v>147</v>
      </c>
      <c r="C1403" t="s">
        <v>64</v>
      </c>
      <c r="D1403" t="s">
        <v>52</v>
      </c>
      <c r="E1403">
        <v>381</v>
      </c>
      <c r="F1403">
        <v>126</v>
      </c>
      <c r="G1403">
        <v>112</v>
      </c>
      <c r="H1403">
        <v>81</v>
      </c>
      <c r="I1403">
        <v>54</v>
      </c>
      <c r="J1403">
        <v>94</v>
      </c>
      <c r="K1403">
        <v>116</v>
      </c>
      <c r="L1403">
        <v>16</v>
      </c>
      <c r="M1403">
        <v>11</v>
      </c>
      <c r="N1403">
        <v>66</v>
      </c>
      <c r="O1403">
        <v>37</v>
      </c>
      <c r="P1403" s="1">
        <v>43862</v>
      </c>
      <c r="Q1403">
        <v>820</v>
      </c>
    </row>
    <row r="1404" spans="1:17" x14ac:dyDescent="0.25">
      <c r="A1404" s="1">
        <v>44682</v>
      </c>
      <c r="B1404" t="s">
        <v>148</v>
      </c>
      <c r="C1404" t="s">
        <v>66</v>
      </c>
      <c r="D1404" t="s">
        <v>55</v>
      </c>
      <c r="E1404">
        <v>799</v>
      </c>
      <c r="F1404">
        <v>336</v>
      </c>
      <c r="G1404">
        <v>50</v>
      </c>
      <c r="H1404">
        <v>487</v>
      </c>
      <c r="I1404">
        <v>67</v>
      </c>
      <c r="J1404">
        <v>188</v>
      </c>
      <c r="K1404">
        <v>15</v>
      </c>
      <c r="L1404">
        <v>166</v>
      </c>
      <c r="M1404">
        <v>295</v>
      </c>
      <c r="N1404">
        <v>672</v>
      </c>
      <c r="O1404">
        <v>1064</v>
      </c>
      <c r="P1404" s="1">
        <v>44256</v>
      </c>
      <c r="Q1404">
        <v>426</v>
      </c>
    </row>
    <row r="1405" spans="1:17" x14ac:dyDescent="0.25">
      <c r="A1405" s="1">
        <v>44682</v>
      </c>
      <c r="B1405" t="s">
        <v>149</v>
      </c>
      <c r="C1405" t="s">
        <v>67</v>
      </c>
      <c r="D1405" t="s">
        <v>55</v>
      </c>
      <c r="E1405">
        <v>539</v>
      </c>
      <c r="F1405">
        <v>469</v>
      </c>
      <c r="G1405">
        <v>146</v>
      </c>
      <c r="H1405">
        <v>635</v>
      </c>
      <c r="I1405">
        <v>277</v>
      </c>
      <c r="J1405">
        <v>272</v>
      </c>
      <c r="K1405">
        <v>1193</v>
      </c>
      <c r="L1405">
        <v>737</v>
      </c>
      <c r="M1405">
        <v>577</v>
      </c>
      <c r="N1405">
        <v>95</v>
      </c>
      <c r="O1405">
        <v>535</v>
      </c>
      <c r="P1405" s="1">
        <v>44256</v>
      </c>
      <c r="Q1405">
        <v>426</v>
      </c>
    </row>
    <row r="1406" spans="1:17" x14ac:dyDescent="0.25">
      <c r="A1406" s="1">
        <v>44682</v>
      </c>
      <c r="B1406" t="s">
        <v>150</v>
      </c>
      <c r="C1406" t="s">
        <v>69</v>
      </c>
      <c r="D1406" t="s">
        <v>68</v>
      </c>
      <c r="E1406">
        <v>423</v>
      </c>
      <c r="F1406">
        <v>228</v>
      </c>
      <c r="G1406">
        <v>272</v>
      </c>
      <c r="H1406">
        <v>188</v>
      </c>
      <c r="I1406">
        <v>264</v>
      </c>
      <c r="J1406">
        <v>118</v>
      </c>
      <c r="K1406">
        <v>191</v>
      </c>
      <c r="L1406">
        <v>80</v>
      </c>
      <c r="M1406">
        <v>96</v>
      </c>
      <c r="N1406">
        <v>177</v>
      </c>
      <c r="O1406">
        <v>436</v>
      </c>
      <c r="P1406" s="1">
        <v>44317</v>
      </c>
      <c r="Q1406">
        <v>365</v>
      </c>
    </row>
    <row r="1407" spans="1:17" x14ac:dyDescent="0.25">
      <c r="A1407" s="1">
        <v>44682</v>
      </c>
      <c r="B1407" t="s">
        <v>151</v>
      </c>
      <c r="C1407" t="s">
        <v>71</v>
      </c>
      <c r="D1407" t="s">
        <v>70</v>
      </c>
      <c r="E1407">
        <v>65</v>
      </c>
      <c r="F1407">
        <v>75</v>
      </c>
      <c r="G1407">
        <v>120</v>
      </c>
      <c r="H1407">
        <v>125</v>
      </c>
      <c r="I1407">
        <v>230</v>
      </c>
      <c r="J1407">
        <v>152</v>
      </c>
      <c r="K1407">
        <v>117</v>
      </c>
      <c r="L1407">
        <v>69</v>
      </c>
      <c r="M1407">
        <v>402</v>
      </c>
      <c r="N1407">
        <v>162</v>
      </c>
      <c r="O1407">
        <v>167</v>
      </c>
      <c r="P1407" s="1">
        <v>44136</v>
      </c>
      <c r="Q1407">
        <v>546</v>
      </c>
    </row>
    <row r="1408" spans="1:17" x14ac:dyDescent="0.25">
      <c r="A1408" s="1">
        <v>44682</v>
      </c>
      <c r="B1408" t="s">
        <v>152</v>
      </c>
      <c r="C1408" t="s">
        <v>11</v>
      </c>
      <c r="D1408" t="s">
        <v>52</v>
      </c>
      <c r="E1408">
        <v>41</v>
      </c>
      <c r="F1408">
        <v>38</v>
      </c>
      <c r="G1408">
        <v>64</v>
      </c>
      <c r="H1408">
        <v>290</v>
      </c>
      <c r="I1408">
        <v>52</v>
      </c>
      <c r="J1408">
        <v>92</v>
      </c>
      <c r="K1408">
        <v>80</v>
      </c>
      <c r="L1408">
        <v>81</v>
      </c>
      <c r="M1408">
        <v>47</v>
      </c>
      <c r="N1408">
        <v>76</v>
      </c>
      <c r="O1408">
        <v>108</v>
      </c>
      <c r="P1408" s="1">
        <v>43862</v>
      </c>
      <c r="Q1408">
        <v>820</v>
      </c>
    </row>
    <row r="1409" spans="1:17" x14ac:dyDescent="0.25">
      <c r="A1409" s="1">
        <v>44682</v>
      </c>
      <c r="B1409" t="s">
        <v>153</v>
      </c>
      <c r="C1409" t="s">
        <v>73</v>
      </c>
      <c r="D1409" t="s">
        <v>72</v>
      </c>
      <c r="E1409">
        <v>183</v>
      </c>
      <c r="F1409">
        <v>124</v>
      </c>
      <c r="G1409">
        <v>188</v>
      </c>
      <c r="H1409">
        <v>748</v>
      </c>
      <c r="I1409">
        <v>-75</v>
      </c>
      <c r="J1409">
        <v>793</v>
      </c>
      <c r="K1409">
        <v>358</v>
      </c>
      <c r="L1409">
        <v>1241</v>
      </c>
      <c r="M1409">
        <v>88</v>
      </c>
      <c r="N1409">
        <v>547</v>
      </c>
      <c r="O1409">
        <v>1276</v>
      </c>
      <c r="P1409" s="1">
        <v>44440</v>
      </c>
      <c r="Q1409">
        <v>242</v>
      </c>
    </row>
    <row r="1410" spans="1:17" x14ac:dyDescent="0.25">
      <c r="A1410" s="1">
        <v>44682</v>
      </c>
      <c r="B1410" t="s">
        <v>154</v>
      </c>
      <c r="C1410" t="s">
        <v>17</v>
      </c>
      <c r="D1410" t="s">
        <v>74</v>
      </c>
      <c r="E1410">
        <v>789</v>
      </c>
      <c r="F1410">
        <v>825</v>
      </c>
      <c r="G1410">
        <v>83</v>
      </c>
      <c r="H1410">
        <v>457</v>
      </c>
      <c r="I1410">
        <v>901</v>
      </c>
      <c r="J1410">
        <v>411</v>
      </c>
      <c r="K1410">
        <v>138</v>
      </c>
      <c r="L1410">
        <v>519</v>
      </c>
      <c r="M1410">
        <v>477</v>
      </c>
      <c r="N1410">
        <v>582</v>
      </c>
      <c r="O1410">
        <v>93</v>
      </c>
      <c r="P1410" s="1">
        <v>44197</v>
      </c>
      <c r="Q1410">
        <v>485</v>
      </c>
    </row>
    <row r="1411" spans="1:17" x14ac:dyDescent="0.25">
      <c r="A1411" s="1">
        <v>44682</v>
      </c>
      <c r="B1411" t="s">
        <v>155</v>
      </c>
      <c r="C1411" t="s">
        <v>76</v>
      </c>
      <c r="D1411" t="s">
        <v>75</v>
      </c>
      <c r="E1411">
        <v>126</v>
      </c>
      <c r="F1411">
        <v>197</v>
      </c>
      <c r="G1411">
        <v>221</v>
      </c>
      <c r="H1411">
        <v>115</v>
      </c>
      <c r="I1411">
        <v>172</v>
      </c>
      <c r="J1411">
        <v>121</v>
      </c>
      <c r="K1411">
        <v>181</v>
      </c>
      <c r="L1411">
        <v>122</v>
      </c>
      <c r="M1411">
        <v>2076</v>
      </c>
      <c r="N1411">
        <v>151</v>
      </c>
      <c r="O1411">
        <v>57</v>
      </c>
      <c r="P1411" s="1">
        <v>44470</v>
      </c>
      <c r="Q1411">
        <v>212</v>
      </c>
    </row>
    <row r="1412" spans="1:17" x14ac:dyDescent="0.25">
      <c r="A1412" s="1">
        <v>44682</v>
      </c>
      <c r="B1412" t="s">
        <v>156</v>
      </c>
      <c r="C1412" t="s">
        <v>79</v>
      </c>
      <c r="D1412" t="s">
        <v>78</v>
      </c>
      <c r="E1412">
        <v>-2</v>
      </c>
      <c r="F1412">
        <v>150</v>
      </c>
      <c r="G1412">
        <v>89</v>
      </c>
      <c r="H1412">
        <v>217</v>
      </c>
      <c r="I1412">
        <v>125</v>
      </c>
      <c r="J1412">
        <v>-4</v>
      </c>
      <c r="K1412">
        <v>155</v>
      </c>
      <c r="L1412">
        <v>132</v>
      </c>
      <c r="M1412">
        <v>134</v>
      </c>
      <c r="N1412">
        <v>1340</v>
      </c>
      <c r="O1412">
        <v>152</v>
      </c>
      <c r="P1412" s="1">
        <v>44348</v>
      </c>
      <c r="Q1412">
        <v>334</v>
      </c>
    </row>
    <row r="1413" spans="1:17" x14ac:dyDescent="0.25">
      <c r="A1413" s="1">
        <v>44682</v>
      </c>
      <c r="B1413" t="s">
        <v>157</v>
      </c>
      <c r="C1413" t="s">
        <v>81</v>
      </c>
      <c r="D1413" t="s">
        <v>72</v>
      </c>
      <c r="E1413">
        <v>2480</v>
      </c>
      <c r="F1413">
        <v>766</v>
      </c>
      <c r="G1413">
        <v>199</v>
      </c>
      <c r="H1413">
        <v>785</v>
      </c>
      <c r="I1413">
        <v>1135</v>
      </c>
      <c r="J1413">
        <v>1155</v>
      </c>
      <c r="K1413">
        <v>1273</v>
      </c>
      <c r="L1413">
        <v>689</v>
      </c>
      <c r="M1413">
        <v>1290</v>
      </c>
      <c r="N1413">
        <v>2410</v>
      </c>
      <c r="O1413">
        <v>1595</v>
      </c>
      <c r="P1413" s="1">
        <v>44440</v>
      </c>
      <c r="Q1413">
        <v>242</v>
      </c>
    </row>
    <row r="1414" spans="1:17" x14ac:dyDescent="0.25">
      <c r="A1414" s="1">
        <v>44682</v>
      </c>
      <c r="B1414" t="s">
        <v>158</v>
      </c>
      <c r="C1414" t="s">
        <v>83</v>
      </c>
      <c r="D1414" t="s">
        <v>82</v>
      </c>
      <c r="E1414">
        <v>563</v>
      </c>
      <c r="F1414">
        <v>460</v>
      </c>
      <c r="G1414">
        <v>194</v>
      </c>
      <c r="H1414">
        <v>875</v>
      </c>
      <c r="I1414">
        <v>427</v>
      </c>
      <c r="J1414">
        <v>255</v>
      </c>
      <c r="K1414">
        <v>517</v>
      </c>
      <c r="L1414">
        <v>104</v>
      </c>
      <c r="M1414">
        <v>519</v>
      </c>
      <c r="N1414">
        <v>421</v>
      </c>
      <c r="O1414">
        <v>762</v>
      </c>
      <c r="P1414" s="1">
        <v>44228</v>
      </c>
      <c r="Q1414">
        <v>454</v>
      </c>
    </row>
    <row r="1415" spans="1:17" x14ac:dyDescent="0.25">
      <c r="A1415" s="1">
        <v>44682</v>
      </c>
      <c r="B1415" t="s">
        <v>159</v>
      </c>
      <c r="C1415" t="s">
        <v>84</v>
      </c>
      <c r="D1415" t="s">
        <v>55</v>
      </c>
      <c r="E1415">
        <v>67</v>
      </c>
      <c r="F1415">
        <v>184</v>
      </c>
      <c r="G1415">
        <v>94</v>
      </c>
      <c r="H1415">
        <v>392</v>
      </c>
      <c r="I1415">
        <v>261</v>
      </c>
      <c r="J1415">
        <v>304</v>
      </c>
      <c r="K1415">
        <v>321</v>
      </c>
      <c r="L1415">
        <v>15</v>
      </c>
      <c r="M1415">
        <v>173</v>
      </c>
      <c r="N1415">
        <v>449</v>
      </c>
      <c r="O1415">
        <v>215</v>
      </c>
      <c r="P1415" s="1">
        <v>44256</v>
      </c>
      <c r="Q1415">
        <v>426</v>
      </c>
    </row>
    <row r="1416" spans="1:17" x14ac:dyDescent="0.25">
      <c r="A1416" s="1">
        <v>44682</v>
      </c>
      <c r="B1416" t="s">
        <v>160</v>
      </c>
      <c r="C1416" t="s">
        <v>86</v>
      </c>
      <c r="D1416" t="s">
        <v>68</v>
      </c>
      <c r="E1416">
        <v>442</v>
      </c>
      <c r="F1416">
        <v>264</v>
      </c>
      <c r="G1416">
        <v>119</v>
      </c>
      <c r="H1416">
        <v>996</v>
      </c>
      <c r="I1416">
        <v>672</v>
      </c>
      <c r="J1416">
        <v>70</v>
      </c>
      <c r="K1416">
        <v>366</v>
      </c>
      <c r="L1416">
        <v>164</v>
      </c>
      <c r="M1416">
        <v>621</v>
      </c>
      <c r="N1416">
        <v>270</v>
      </c>
      <c r="O1416">
        <v>698</v>
      </c>
      <c r="P1416" s="1">
        <v>44317</v>
      </c>
      <c r="Q1416">
        <v>365</v>
      </c>
    </row>
    <row r="1417" spans="1:17" x14ac:dyDescent="0.25">
      <c r="A1417" s="1">
        <v>44682</v>
      </c>
      <c r="B1417" t="s">
        <v>161</v>
      </c>
      <c r="C1417" t="s">
        <v>87</v>
      </c>
      <c r="D1417" t="s">
        <v>72</v>
      </c>
      <c r="E1417">
        <v>1463</v>
      </c>
      <c r="F1417">
        <v>-78</v>
      </c>
      <c r="G1417">
        <v>233</v>
      </c>
      <c r="H1417">
        <v>115</v>
      </c>
      <c r="I1417">
        <v>720</v>
      </c>
      <c r="J1417">
        <v>811</v>
      </c>
      <c r="K1417">
        <v>1561</v>
      </c>
      <c r="L1417">
        <v>1453</v>
      </c>
      <c r="M1417">
        <v>809</v>
      </c>
      <c r="N1417">
        <v>1125</v>
      </c>
      <c r="O1417">
        <v>276</v>
      </c>
      <c r="P1417" s="1">
        <v>44440</v>
      </c>
      <c r="Q1417">
        <v>242</v>
      </c>
    </row>
    <row r="1418" spans="1:17" x14ac:dyDescent="0.25">
      <c r="A1418" s="1">
        <v>44682</v>
      </c>
      <c r="B1418" t="s">
        <v>162</v>
      </c>
      <c r="C1418" t="s">
        <v>89</v>
      </c>
      <c r="D1418" t="s">
        <v>88</v>
      </c>
      <c r="E1418">
        <v>189</v>
      </c>
      <c r="F1418">
        <v>38</v>
      </c>
      <c r="G1418">
        <v>148</v>
      </c>
      <c r="H1418">
        <v>232</v>
      </c>
      <c r="I1418">
        <v>75</v>
      </c>
      <c r="J1418">
        <v>198</v>
      </c>
      <c r="K1418">
        <v>98</v>
      </c>
      <c r="L1418">
        <v>94</v>
      </c>
      <c r="M1418">
        <v>540</v>
      </c>
      <c r="N1418">
        <v>105</v>
      </c>
      <c r="O1418">
        <v>145</v>
      </c>
      <c r="P1418" s="1">
        <v>44044</v>
      </c>
      <c r="Q1418">
        <v>638</v>
      </c>
    </row>
    <row r="1419" spans="1:17" x14ac:dyDescent="0.25">
      <c r="A1419" s="1">
        <v>44682</v>
      </c>
      <c r="B1419" t="s">
        <v>163</v>
      </c>
      <c r="C1419" t="s">
        <v>90</v>
      </c>
      <c r="D1419" t="s">
        <v>82</v>
      </c>
      <c r="E1419">
        <v>553</v>
      </c>
      <c r="F1419">
        <v>174</v>
      </c>
      <c r="G1419">
        <v>202</v>
      </c>
      <c r="H1419">
        <v>314</v>
      </c>
      <c r="I1419">
        <v>351</v>
      </c>
      <c r="J1419">
        <v>138</v>
      </c>
      <c r="K1419">
        <v>223</v>
      </c>
      <c r="L1419">
        <v>216</v>
      </c>
      <c r="M1419">
        <v>424</v>
      </c>
      <c r="N1419">
        <v>708</v>
      </c>
      <c r="O1419">
        <v>94</v>
      </c>
      <c r="P1419" s="1">
        <v>44228</v>
      </c>
      <c r="Q1419">
        <v>454</v>
      </c>
    </row>
    <row r="1420" spans="1:17" x14ac:dyDescent="0.25">
      <c r="A1420" s="1">
        <v>44682</v>
      </c>
      <c r="B1420" t="s">
        <v>164</v>
      </c>
      <c r="C1420" t="s">
        <v>92</v>
      </c>
      <c r="D1420" t="s">
        <v>91</v>
      </c>
      <c r="E1420">
        <v>626</v>
      </c>
      <c r="F1420">
        <v>59</v>
      </c>
      <c r="G1420">
        <v>157</v>
      </c>
      <c r="H1420">
        <v>90</v>
      </c>
      <c r="I1420">
        <v>117</v>
      </c>
      <c r="J1420">
        <v>112</v>
      </c>
      <c r="K1420">
        <v>189</v>
      </c>
      <c r="L1420">
        <v>248</v>
      </c>
      <c r="M1420">
        <v>165</v>
      </c>
      <c r="N1420">
        <v>113</v>
      </c>
      <c r="O1420">
        <v>16</v>
      </c>
      <c r="P1420" s="1">
        <v>44105</v>
      </c>
      <c r="Q1420">
        <v>577</v>
      </c>
    </row>
    <row r="1421" spans="1:17" x14ac:dyDescent="0.25">
      <c r="A1421" s="1">
        <v>44682</v>
      </c>
      <c r="B1421" t="s">
        <v>165</v>
      </c>
      <c r="C1421" t="s">
        <v>94</v>
      </c>
      <c r="D1421" t="s">
        <v>93</v>
      </c>
      <c r="E1421">
        <v>80</v>
      </c>
      <c r="F1421">
        <v>98</v>
      </c>
      <c r="G1421">
        <v>53</v>
      </c>
      <c r="H1421">
        <v>334</v>
      </c>
      <c r="I1421">
        <v>122</v>
      </c>
      <c r="J1421">
        <v>66</v>
      </c>
      <c r="K1421">
        <v>78</v>
      </c>
      <c r="L1421">
        <v>341</v>
      </c>
      <c r="M1421">
        <v>108</v>
      </c>
      <c r="N1421">
        <v>43</v>
      </c>
      <c r="O1421">
        <v>100</v>
      </c>
      <c r="P1421" s="1">
        <v>43586</v>
      </c>
      <c r="Q1421">
        <v>1096</v>
      </c>
    </row>
    <row r="1422" spans="1:17" x14ac:dyDescent="0.25">
      <c r="A1422" s="1">
        <v>44682</v>
      </c>
      <c r="B1422" t="s">
        <v>166</v>
      </c>
      <c r="C1422" t="s">
        <v>96</v>
      </c>
      <c r="D1422" t="s">
        <v>95</v>
      </c>
      <c r="E1422">
        <v>15</v>
      </c>
      <c r="F1422">
        <v>30</v>
      </c>
      <c r="G1422">
        <v>66</v>
      </c>
      <c r="H1422">
        <v>-58</v>
      </c>
      <c r="I1422">
        <v>66</v>
      </c>
      <c r="J1422">
        <v>70</v>
      </c>
      <c r="K1422">
        <v>202</v>
      </c>
      <c r="L1422">
        <v>70</v>
      </c>
      <c r="M1422">
        <v>245</v>
      </c>
      <c r="N1422">
        <v>49</v>
      </c>
      <c r="O1422">
        <v>111</v>
      </c>
      <c r="P1422" s="1">
        <v>43678</v>
      </c>
      <c r="Q1422">
        <v>1004</v>
      </c>
    </row>
    <row r="1423" spans="1:17" x14ac:dyDescent="0.25">
      <c r="A1423" s="1">
        <v>44682</v>
      </c>
      <c r="B1423" t="s">
        <v>167</v>
      </c>
      <c r="C1423" t="s">
        <v>97</v>
      </c>
      <c r="D1423" t="s">
        <v>58</v>
      </c>
      <c r="E1423">
        <v>236</v>
      </c>
      <c r="F1423">
        <v>83</v>
      </c>
      <c r="G1423">
        <v>185</v>
      </c>
      <c r="H1423">
        <v>327</v>
      </c>
      <c r="I1423">
        <v>860</v>
      </c>
      <c r="J1423">
        <v>156</v>
      </c>
      <c r="K1423">
        <v>465</v>
      </c>
      <c r="L1423">
        <v>-121</v>
      </c>
      <c r="M1423">
        <v>182</v>
      </c>
      <c r="N1423">
        <v>581</v>
      </c>
      <c r="O1423">
        <v>-18</v>
      </c>
      <c r="P1423" s="1">
        <v>44287</v>
      </c>
      <c r="Q1423">
        <v>395</v>
      </c>
    </row>
    <row r="1424" spans="1:17" x14ac:dyDescent="0.25">
      <c r="A1424" s="1">
        <v>44682</v>
      </c>
      <c r="B1424" t="s">
        <v>168</v>
      </c>
      <c r="C1424" t="s">
        <v>98</v>
      </c>
      <c r="D1424" t="s">
        <v>49</v>
      </c>
      <c r="E1424">
        <v>144</v>
      </c>
      <c r="F1424">
        <v>45</v>
      </c>
      <c r="G1424">
        <v>83</v>
      </c>
      <c r="H1424">
        <v>67</v>
      </c>
      <c r="I1424">
        <v>29</v>
      </c>
      <c r="J1424">
        <v>28</v>
      </c>
      <c r="K1424">
        <v>56</v>
      </c>
      <c r="L1424">
        <v>45</v>
      </c>
      <c r="M1424">
        <v>55</v>
      </c>
      <c r="N1424">
        <v>-96</v>
      </c>
      <c r="O1424">
        <v>87</v>
      </c>
      <c r="P1424" s="1">
        <v>43709</v>
      </c>
      <c r="Q1424">
        <v>973</v>
      </c>
    </row>
    <row r="1425" spans="1:17" x14ac:dyDescent="0.25">
      <c r="A1425" s="1">
        <v>44682</v>
      </c>
      <c r="B1425" t="s">
        <v>169</v>
      </c>
      <c r="C1425" t="s">
        <v>99</v>
      </c>
      <c r="D1425" t="s">
        <v>95</v>
      </c>
      <c r="E1425">
        <v>45</v>
      </c>
      <c r="F1425">
        <v>335</v>
      </c>
      <c r="G1425">
        <v>48</v>
      </c>
      <c r="H1425">
        <v>52</v>
      </c>
      <c r="I1425">
        <v>144</v>
      </c>
      <c r="J1425">
        <v>176</v>
      </c>
      <c r="K1425">
        <v>257</v>
      </c>
      <c r="L1425">
        <v>62</v>
      </c>
      <c r="M1425">
        <v>141</v>
      </c>
      <c r="N1425">
        <v>45</v>
      </c>
      <c r="O1425">
        <v>355</v>
      </c>
      <c r="P1425" s="1">
        <v>43678</v>
      </c>
      <c r="Q1425">
        <v>1004</v>
      </c>
    </row>
    <row r="1426" spans="1:17" x14ac:dyDescent="0.25">
      <c r="A1426" s="1">
        <v>44682</v>
      </c>
      <c r="B1426" t="s">
        <v>170</v>
      </c>
      <c r="C1426" t="s">
        <v>100</v>
      </c>
      <c r="D1426" t="s">
        <v>82</v>
      </c>
      <c r="E1426">
        <v>78</v>
      </c>
      <c r="F1426">
        <v>141</v>
      </c>
      <c r="G1426">
        <v>128</v>
      </c>
      <c r="H1426">
        <v>230</v>
      </c>
      <c r="I1426">
        <v>654</v>
      </c>
      <c r="J1426">
        <v>110</v>
      </c>
      <c r="K1426">
        <v>907</v>
      </c>
      <c r="L1426">
        <v>90</v>
      </c>
      <c r="M1426">
        <v>97</v>
      </c>
      <c r="N1426">
        <v>452</v>
      </c>
      <c r="O1426">
        <v>142</v>
      </c>
      <c r="P1426" s="1">
        <v>44228</v>
      </c>
      <c r="Q1426">
        <v>454</v>
      </c>
    </row>
    <row r="1427" spans="1:17" x14ac:dyDescent="0.25">
      <c r="A1427" s="1">
        <v>44682</v>
      </c>
      <c r="B1427" t="s">
        <v>171</v>
      </c>
      <c r="C1427" t="s">
        <v>101</v>
      </c>
      <c r="D1427" t="s">
        <v>68</v>
      </c>
      <c r="E1427">
        <v>1072</v>
      </c>
      <c r="F1427">
        <v>786</v>
      </c>
      <c r="G1427">
        <v>169</v>
      </c>
      <c r="H1427">
        <v>666</v>
      </c>
      <c r="I1427">
        <v>289</v>
      </c>
      <c r="J1427">
        <v>802</v>
      </c>
      <c r="K1427">
        <v>500</v>
      </c>
      <c r="L1427">
        <v>155</v>
      </c>
      <c r="M1427">
        <v>753</v>
      </c>
      <c r="N1427">
        <v>632</v>
      </c>
      <c r="O1427">
        <v>744</v>
      </c>
      <c r="P1427" s="1">
        <v>44317</v>
      </c>
      <c r="Q1427">
        <v>365</v>
      </c>
    </row>
    <row r="1428" spans="1:17" x14ac:dyDescent="0.25">
      <c r="A1428" s="1">
        <v>44682</v>
      </c>
      <c r="B1428" t="s">
        <v>172</v>
      </c>
      <c r="C1428" t="s">
        <v>102</v>
      </c>
      <c r="D1428" t="s">
        <v>88</v>
      </c>
      <c r="E1428">
        <v>64</v>
      </c>
      <c r="F1428">
        <v>40</v>
      </c>
      <c r="G1428">
        <v>154</v>
      </c>
      <c r="H1428">
        <v>405</v>
      </c>
      <c r="I1428">
        <v>62</v>
      </c>
      <c r="J1428">
        <v>184</v>
      </c>
      <c r="K1428">
        <v>668</v>
      </c>
      <c r="L1428">
        <v>61</v>
      </c>
      <c r="M1428">
        <v>24</v>
      </c>
      <c r="N1428">
        <v>69</v>
      </c>
      <c r="O1428">
        <v>465</v>
      </c>
      <c r="P1428" s="1">
        <v>44044</v>
      </c>
      <c r="Q1428">
        <v>638</v>
      </c>
    </row>
    <row r="1429" spans="1:17" x14ac:dyDescent="0.25">
      <c r="A1429" s="1">
        <v>44682</v>
      </c>
      <c r="B1429" t="s">
        <v>173</v>
      </c>
      <c r="C1429" t="s">
        <v>103</v>
      </c>
      <c r="D1429" t="s">
        <v>52</v>
      </c>
      <c r="E1429">
        <v>116</v>
      </c>
      <c r="F1429">
        <v>-17</v>
      </c>
      <c r="G1429">
        <v>14</v>
      </c>
      <c r="H1429">
        <v>22</v>
      </c>
      <c r="I1429">
        <v>206</v>
      </c>
      <c r="J1429">
        <v>94</v>
      </c>
      <c r="K1429">
        <v>321</v>
      </c>
      <c r="L1429">
        <v>312</v>
      </c>
      <c r="M1429">
        <v>136</v>
      </c>
      <c r="N1429">
        <v>533</v>
      </c>
      <c r="O1429">
        <v>88</v>
      </c>
      <c r="P1429" s="1">
        <v>43862</v>
      </c>
      <c r="Q1429">
        <v>820</v>
      </c>
    </row>
    <row r="1430" spans="1:17" x14ac:dyDescent="0.25">
      <c r="A1430" s="1">
        <v>44682</v>
      </c>
      <c r="B1430" t="s">
        <v>174</v>
      </c>
      <c r="C1430" t="s">
        <v>105</v>
      </c>
      <c r="D1430" t="s">
        <v>104</v>
      </c>
      <c r="E1430">
        <v>26</v>
      </c>
      <c r="F1430">
        <v>61</v>
      </c>
      <c r="G1430">
        <v>61</v>
      </c>
      <c r="H1430">
        <v>176</v>
      </c>
      <c r="I1430">
        <v>143</v>
      </c>
      <c r="J1430">
        <v>20</v>
      </c>
      <c r="K1430">
        <v>23</v>
      </c>
      <c r="L1430">
        <v>58</v>
      </c>
      <c r="M1430">
        <v>147</v>
      </c>
      <c r="N1430">
        <v>173</v>
      </c>
      <c r="O1430">
        <v>135</v>
      </c>
      <c r="P1430" s="1">
        <v>43374</v>
      </c>
      <c r="Q1430">
        <v>1308</v>
      </c>
    </row>
    <row r="1431" spans="1:17" x14ac:dyDescent="0.25">
      <c r="A1431" s="1">
        <v>44682</v>
      </c>
      <c r="B1431" t="s">
        <v>142</v>
      </c>
      <c r="C1431" t="s">
        <v>50</v>
      </c>
      <c r="D1431" t="s">
        <v>49</v>
      </c>
      <c r="E1431">
        <v>137</v>
      </c>
      <c r="F1431">
        <v>374</v>
      </c>
      <c r="G1431">
        <v>33</v>
      </c>
      <c r="H1431">
        <v>55</v>
      </c>
      <c r="I1431">
        <v>254</v>
      </c>
      <c r="J1431">
        <v>462</v>
      </c>
      <c r="K1431">
        <v>46</v>
      </c>
      <c r="L1431">
        <v>54</v>
      </c>
      <c r="M1431">
        <v>100</v>
      </c>
      <c r="N1431">
        <v>-98</v>
      </c>
      <c r="O1431">
        <v>19</v>
      </c>
      <c r="P1431" s="1">
        <v>43709</v>
      </c>
      <c r="Q1431">
        <v>973</v>
      </c>
    </row>
    <row r="1432" spans="1:17" x14ac:dyDescent="0.25">
      <c r="A1432" s="1">
        <v>44682</v>
      </c>
      <c r="B1432" t="s">
        <v>143</v>
      </c>
      <c r="C1432" t="s">
        <v>53</v>
      </c>
      <c r="D1432" t="s">
        <v>52</v>
      </c>
      <c r="E1432">
        <v>142</v>
      </c>
      <c r="F1432">
        <v>483</v>
      </c>
      <c r="G1432">
        <v>76</v>
      </c>
      <c r="H1432">
        <v>343</v>
      </c>
      <c r="I1432">
        <v>438</v>
      </c>
      <c r="J1432">
        <v>506</v>
      </c>
      <c r="K1432">
        <v>31</v>
      </c>
      <c r="L1432">
        <v>237</v>
      </c>
      <c r="M1432">
        <v>248</v>
      </c>
      <c r="N1432">
        <v>433</v>
      </c>
      <c r="O1432">
        <v>223</v>
      </c>
      <c r="P1432" s="1">
        <v>43862</v>
      </c>
      <c r="Q1432">
        <v>820</v>
      </c>
    </row>
    <row r="1433" spans="1:17" x14ac:dyDescent="0.25">
      <c r="A1433" s="1">
        <v>44682</v>
      </c>
      <c r="B1433" t="s">
        <v>144</v>
      </c>
      <c r="C1433" t="s">
        <v>56</v>
      </c>
      <c r="D1433" t="s">
        <v>55</v>
      </c>
      <c r="E1433">
        <v>420</v>
      </c>
      <c r="F1433">
        <v>180</v>
      </c>
      <c r="G1433">
        <v>168</v>
      </c>
      <c r="H1433">
        <v>475</v>
      </c>
      <c r="I1433">
        <v>426</v>
      </c>
      <c r="J1433">
        <v>211</v>
      </c>
      <c r="K1433">
        <v>558</v>
      </c>
      <c r="L1433">
        <v>541</v>
      </c>
      <c r="M1433">
        <v>238</v>
      </c>
      <c r="N1433">
        <v>434</v>
      </c>
      <c r="O1433">
        <v>594</v>
      </c>
      <c r="P1433" s="1">
        <v>44256</v>
      </c>
      <c r="Q1433">
        <v>426</v>
      </c>
    </row>
    <row r="1434" spans="1:17" x14ac:dyDescent="0.25">
      <c r="A1434" s="1">
        <v>44682</v>
      </c>
      <c r="B1434" t="s">
        <v>145</v>
      </c>
      <c r="C1434" t="s">
        <v>59</v>
      </c>
      <c r="D1434" t="s">
        <v>58</v>
      </c>
      <c r="E1434">
        <v>210</v>
      </c>
      <c r="F1434">
        <v>122</v>
      </c>
      <c r="G1434">
        <v>158</v>
      </c>
      <c r="H1434">
        <v>357</v>
      </c>
      <c r="I1434">
        <v>171</v>
      </c>
      <c r="J1434">
        <v>100</v>
      </c>
      <c r="K1434">
        <v>239</v>
      </c>
      <c r="L1434">
        <v>755</v>
      </c>
      <c r="M1434">
        <v>179</v>
      </c>
      <c r="N1434">
        <v>514</v>
      </c>
      <c r="O1434">
        <v>196</v>
      </c>
      <c r="P1434" s="1">
        <v>44287</v>
      </c>
      <c r="Q1434">
        <v>395</v>
      </c>
    </row>
    <row r="1435" spans="1:17" x14ac:dyDescent="0.25">
      <c r="A1435" s="1">
        <v>44713</v>
      </c>
      <c r="B1435" t="s">
        <v>144</v>
      </c>
      <c r="C1435" t="s">
        <v>56</v>
      </c>
      <c r="D1435" t="s">
        <v>55</v>
      </c>
      <c r="E1435">
        <v>1009</v>
      </c>
      <c r="F1435">
        <v>135</v>
      </c>
      <c r="G1435">
        <v>166</v>
      </c>
      <c r="H1435">
        <v>251</v>
      </c>
      <c r="I1435">
        <v>561</v>
      </c>
      <c r="J1435">
        <v>459</v>
      </c>
      <c r="K1435">
        <v>461</v>
      </c>
      <c r="L1435">
        <v>328</v>
      </c>
      <c r="M1435">
        <v>53</v>
      </c>
      <c r="N1435">
        <v>450</v>
      </c>
      <c r="O1435">
        <v>397</v>
      </c>
      <c r="P1435" s="1">
        <v>44256</v>
      </c>
      <c r="Q1435">
        <v>457</v>
      </c>
    </row>
    <row r="1436" spans="1:17" x14ac:dyDescent="0.25">
      <c r="A1436" s="1">
        <v>44713</v>
      </c>
      <c r="B1436" t="s">
        <v>145</v>
      </c>
      <c r="C1436" t="s">
        <v>59</v>
      </c>
      <c r="D1436" t="s">
        <v>58</v>
      </c>
      <c r="E1436">
        <v>407</v>
      </c>
      <c r="F1436">
        <v>84</v>
      </c>
      <c r="G1436">
        <v>221</v>
      </c>
      <c r="H1436">
        <v>773</v>
      </c>
      <c r="I1436">
        <v>333</v>
      </c>
      <c r="J1436">
        <v>171</v>
      </c>
      <c r="K1436">
        <v>169</v>
      </c>
      <c r="L1436">
        <v>293</v>
      </c>
      <c r="M1436">
        <v>74</v>
      </c>
      <c r="N1436">
        <v>821</v>
      </c>
      <c r="O1436">
        <v>118</v>
      </c>
      <c r="P1436" s="1">
        <v>44287</v>
      </c>
      <c r="Q1436">
        <v>426</v>
      </c>
    </row>
    <row r="1437" spans="1:17" x14ac:dyDescent="0.25">
      <c r="A1437" s="1">
        <v>44713</v>
      </c>
      <c r="B1437" t="s">
        <v>146</v>
      </c>
      <c r="C1437" t="s">
        <v>62</v>
      </c>
      <c r="D1437" t="s">
        <v>61</v>
      </c>
      <c r="E1437">
        <v>229</v>
      </c>
      <c r="F1437">
        <v>507</v>
      </c>
      <c r="G1437">
        <v>80</v>
      </c>
      <c r="H1437">
        <v>149</v>
      </c>
      <c r="I1437">
        <v>29</v>
      </c>
      <c r="J1437">
        <v>47</v>
      </c>
      <c r="K1437">
        <v>70</v>
      </c>
      <c r="L1437">
        <v>94</v>
      </c>
      <c r="M1437">
        <v>120</v>
      </c>
      <c r="N1437">
        <v>34</v>
      </c>
      <c r="O1437">
        <v>92</v>
      </c>
      <c r="P1437" s="1">
        <v>44075</v>
      </c>
      <c r="Q1437">
        <v>638</v>
      </c>
    </row>
    <row r="1438" spans="1:17" x14ac:dyDescent="0.25">
      <c r="A1438" s="1">
        <v>44713</v>
      </c>
      <c r="B1438" t="s">
        <v>147</v>
      </c>
      <c r="C1438" t="s">
        <v>64</v>
      </c>
      <c r="D1438" t="s">
        <v>52</v>
      </c>
      <c r="E1438">
        <v>186</v>
      </c>
      <c r="F1438">
        <v>95</v>
      </c>
      <c r="G1438">
        <v>63</v>
      </c>
      <c r="H1438">
        <v>72</v>
      </c>
      <c r="I1438">
        <v>67</v>
      </c>
      <c r="J1438">
        <v>92</v>
      </c>
      <c r="K1438">
        <v>113</v>
      </c>
      <c r="L1438">
        <v>66</v>
      </c>
      <c r="M1438">
        <v>89</v>
      </c>
      <c r="N1438">
        <v>86</v>
      </c>
      <c r="O1438">
        <v>39</v>
      </c>
      <c r="P1438" s="1">
        <v>43862</v>
      </c>
      <c r="Q1438">
        <v>851</v>
      </c>
    </row>
    <row r="1439" spans="1:17" x14ac:dyDescent="0.25">
      <c r="A1439" s="1">
        <v>44713</v>
      </c>
      <c r="B1439" t="s">
        <v>148</v>
      </c>
      <c r="C1439" t="s">
        <v>66</v>
      </c>
      <c r="D1439" t="s">
        <v>55</v>
      </c>
      <c r="E1439">
        <v>505</v>
      </c>
      <c r="F1439">
        <v>270</v>
      </c>
      <c r="G1439">
        <v>198</v>
      </c>
      <c r="H1439">
        <v>400</v>
      </c>
      <c r="I1439">
        <v>159</v>
      </c>
      <c r="J1439">
        <v>127</v>
      </c>
      <c r="K1439">
        <v>332</v>
      </c>
      <c r="L1439">
        <v>160</v>
      </c>
      <c r="M1439">
        <v>30</v>
      </c>
      <c r="N1439">
        <v>239</v>
      </c>
      <c r="O1439">
        <v>510</v>
      </c>
      <c r="P1439" s="1">
        <v>44256</v>
      </c>
      <c r="Q1439">
        <v>457</v>
      </c>
    </row>
    <row r="1440" spans="1:17" x14ac:dyDescent="0.25">
      <c r="A1440" s="1">
        <v>44713</v>
      </c>
      <c r="B1440" t="s">
        <v>149</v>
      </c>
      <c r="C1440" t="s">
        <v>67</v>
      </c>
      <c r="D1440" t="s">
        <v>55</v>
      </c>
      <c r="E1440">
        <v>506</v>
      </c>
      <c r="F1440">
        <v>538</v>
      </c>
      <c r="G1440">
        <v>75</v>
      </c>
      <c r="H1440">
        <v>305</v>
      </c>
      <c r="I1440">
        <v>658</v>
      </c>
      <c r="J1440">
        <v>396</v>
      </c>
      <c r="K1440">
        <v>864</v>
      </c>
      <c r="L1440">
        <v>205</v>
      </c>
      <c r="M1440">
        <v>434</v>
      </c>
      <c r="N1440">
        <v>328</v>
      </c>
      <c r="O1440">
        <v>489</v>
      </c>
      <c r="P1440" s="1">
        <v>44256</v>
      </c>
      <c r="Q1440">
        <v>457</v>
      </c>
    </row>
    <row r="1441" spans="1:17" x14ac:dyDescent="0.25">
      <c r="A1441" s="1">
        <v>44713</v>
      </c>
      <c r="B1441" t="s">
        <v>150</v>
      </c>
      <c r="C1441" t="s">
        <v>69</v>
      </c>
      <c r="D1441" t="s">
        <v>68</v>
      </c>
      <c r="E1441">
        <v>441</v>
      </c>
      <c r="F1441">
        <v>166</v>
      </c>
      <c r="G1441">
        <v>285</v>
      </c>
      <c r="H1441">
        <v>129</v>
      </c>
      <c r="I1441">
        <v>258</v>
      </c>
      <c r="J1441">
        <v>242</v>
      </c>
      <c r="K1441">
        <v>54</v>
      </c>
      <c r="L1441">
        <v>138</v>
      </c>
      <c r="M1441">
        <v>195</v>
      </c>
      <c r="N1441">
        <v>53</v>
      </c>
      <c r="O1441">
        <v>753</v>
      </c>
      <c r="P1441" s="1">
        <v>44317</v>
      </c>
      <c r="Q1441">
        <v>396</v>
      </c>
    </row>
    <row r="1442" spans="1:17" x14ac:dyDescent="0.25">
      <c r="A1442" s="1">
        <v>44713</v>
      </c>
      <c r="B1442" t="s">
        <v>151</v>
      </c>
      <c r="C1442" t="s">
        <v>71</v>
      </c>
      <c r="D1442" t="s">
        <v>70</v>
      </c>
      <c r="E1442">
        <v>241</v>
      </c>
      <c r="F1442">
        <v>118</v>
      </c>
      <c r="G1442">
        <v>143</v>
      </c>
      <c r="H1442">
        <v>163</v>
      </c>
      <c r="I1442">
        <v>434</v>
      </c>
      <c r="J1442">
        <v>81</v>
      </c>
      <c r="K1442">
        <v>75</v>
      </c>
      <c r="L1442">
        <v>50</v>
      </c>
      <c r="M1442">
        <v>71</v>
      </c>
      <c r="N1442">
        <v>198</v>
      </c>
      <c r="O1442">
        <v>-5</v>
      </c>
      <c r="P1442" s="1">
        <v>44136</v>
      </c>
      <c r="Q1442">
        <v>577</v>
      </c>
    </row>
    <row r="1443" spans="1:17" x14ac:dyDescent="0.25">
      <c r="A1443" s="1">
        <v>44713</v>
      </c>
      <c r="B1443" t="s">
        <v>152</v>
      </c>
      <c r="C1443" t="s">
        <v>11</v>
      </c>
      <c r="D1443" t="s">
        <v>52</v>
      </c>
      <c r="E1443">
        <v>105</v>
      </c>
      <c r="F1443">
        <v>43</v>
      </c>
      <c r="G1443">
        <v>135</v>
      </c>
      <c r="H1443">
        <v>275</v>
      </c>
      <c r="I1443">
        <v>154</v>
      </c>
      <c r="J1443">
        <v>111</v>
      </c>
      <c r="K1443">
        <v>75</v>
      </c>
      <c r="L1443">
        <v>85</v>
      </c>
      <c r="M1443">
        <v>31</v>
      </c>
      <c r="N1443">
        <v>34</v>
      </c>
      <c r="O1443">
        <v>103</v>
      </c>
      <c r="P1443" s="1">
        <v>43862</v>
      </c>
      <c r="Q1443">
        <v>851</v>
      </c>
    </row>
    <row r="1444" spans="1:17" x14ac:dyDescent="0.25">
      <c r="A1444" s="1">
        <v>44713</v>
      </c>
      <c r="B1444" t="s">
        <v>153</v>
      </c>
      <c r="C1444" t="s">
        <v>73</v>
      </c>
      <c r="D1444" t="s">
        <v>72</v>
      </c>
      <c r="E1444">
        <v>309</v>
      </c>
      <c r="F1444">
        <v>403</v>
      </c>
      <c r="G1444">
        <v>222</v>
      </c>
      <c r="H1444">
        <v>266</v>
      </c>
      <c r="I1444">
        <v>407</v>
      </c>
      <c r="J1444">
        <v>1028</v>
      </c>
      <c r="K1444">
        <v>87</v>
      </c>
      <c r="L1444">
        <v>939</v>
      </c>
      <c r="M1444">
        <v>983</v>
      </c>
      <c r="N1444">
        <v>184</v>
      </c>
      <c r="O1444">
        <v>85</v>
      </c>
      <c r="P1444" s="1">
        <v>44440</v>
      </c>
      <c r="Q1444">
        <v>273</v>
      </c>
    </row>
    <row r="1445" spans="1:17" x14ac:dyDescent="0.25">
      <c r="A1445" s="1">
        <v>44713</v>
      </c>
      <c r="B1445" t="s">
        <v>154</v>
      </c>
      <c r="C1445" t="s">
        <v>17</v>
      </c>
      <c r="D1445" t="s">
        <v>74</v>
      </c>
      <c r="E1445">
        <v>793</v>
      </c>
      <c r="F1445">
        <v>445</v>
      </c>
      <c r="G1445">
        <v>155</v>
      </c>
      <c r="H1445">
        <v>922</v>
      </c>
      <c r="I1445">
        <v>319</v>
      </c>
      <c r="J1445">
        <v>774</v>
      </c>
      <c r="K1445">
        <v>115</v>
      </c>
      <c r="L1445">
        <v>619</v>
      </c>
      <c r="M1445">
        <v>325</v>
      </c>
      <c r="N1445">
        <v>390</v>
      </c>
      <c r="O1445">
        <v>532</v>
      </c>
      <c r="P1445" s="1">
        <v>44197</v>
      </c>
      <c r="Q1445">
        <v>516</v>
      </c>
    </row>
    <row r="1446" spans="1:17" x14ac:dyDescent="0.25">
      <c r="A1446" s="1">
        <v>44713</v>
      </c>
      <c r="B1446" t="s">
        <v>155</v>
      </c>
      <c r="C1446" t="s">
        <v>76</v>
      </c>
      <c r="D1446" t="s">
        <v>75</v>
      </c>
      <c r="E1446">
        <v>116</v>
      </c>
      <c r="F1446">
        <v>33</v>
      </c>
      <c r="G1446">
        <v>216</v>
      </c>
      <c r="H1446">
        <v>85</v>
      </c>
      <c r="I1446">
        <v>187</v>
      </c>
      <c r="J1446">
        <v>233</v>
      </c>
      <c r="K1446">
        <v>165</v>
      </c>
      <c r="L1446">
        <v>120</v>
      </c>
      <c r="M1446">
        <v>400</v>
      </c>
      <c r="N1446">
        <v>109</v>
      </c>
      <c r="O1446">
        <v>86</v>
      </c>
      <c r="P1446" s="1">
        <v>44470</v>
      </c>
      <c r="Q1446">
        <v>243</v>
      </c>
    </row>
    <row r="1447" spans="1:17" x14ac:dyDescent="0.25">
      <c r="A1447" s="1">
        <v>44713</v>
      </c>
      <c r="B1447" t="s">
        <v>156</v>
      </c>
      <c r="C1447" t="s">
        <v>79</v>
      </c>
      <c r="D1447" t="s">
        <v>78</v>
      </c>
      <c r="E1447">
        <v>74</v>
      </c>
      <c r="F1447">
        <v>38</v>
      </c>
      <c r="G1447">
        <v>83</v>
      </c>
      <c r="H1447">
        <v>645</v>
      </c>
      <c r="I1447">
        <v>102</v>
      </c>
      <c r="J1447">
        <v>101</v>
      </c>
      <c r="K1447">
        <v>116</v>
      </c>
      <c r="L1447">
        <v>148</v>
      </c>
      <c r="M1447">
        <v>52</v>
      </c>
      <c r="N1447">
        <v>864</v>
      </c>
      <c r="O1447">
        <v>56</v>
      </c>
      <c r="P1447" s="1">
        <v>44348</v>
      </c>
      <c r="Q1447">
        <v>365</v>
      </c>
    </row>
    <row r="1448" spans="1:17" x14ac:dyDescent="0.25">
      <c r="A1448" s="1">
        <v>44713</v>
      </c>
      <c r="B1448" t="s">
        <v>157</v>
      </c>
      <c r="C1448" t="s">
        <v>81</v>
      </c>
      <c r="D1448" t="s">
        <v>72</v>
      </c>
      <c r="E1448">
        <v>1092</v>
      </c>
      <c r="F1448">
        <v>1331</v>
      </c>
      <c r="G1448">
        <v>319</v>
      </c>
      <c r="H1448">
        <v>1820</v>
      </c>
      <c r="I1448">
        <v>1017</v>
      </c>
      <c r="J1448">
        <v>541</v>
      </c>
      <c r="K1448">
        <v>792</v>
      </c>
      <c r="L1448">
        <v>465</v>
      </c>
      <c r="M1448">
        <v>1185</v>
      </c>
      <c r="N1448">
        <v>624</v>
      </c>
      <c r="O1448">
        <v>1272</v>
      </c>
      <c r="P1448" s="1">
        <v>44440</v>
      </c>
      <c r="Q1448">
        <v>273</v>
      </c>
    </row>
    <row r="1449" spans="1:17" x14ac:dyDescent="0.25">
      <c r="A1449" s="1">
        <v>44713</v>
      </c>
      <c r="B1449" t="s">
        <v>158</v>
      </c>
      <c r="C1449" t="s">
        <v>83</v>
      </c>
      <c r="D1449" t="s">
        <v>82</v>
      </c>
      <c r="E1449">
        <v>394</v>
      </c>
      <c r="F1449">
        <v>769</v>
      </c>
      <c r="G1449">
        <v>156</v>
      </c>
      <c r="H1449">
        <v>501</v>
      </c>
      <c r="I1449">
        <v>293</v>
      </c>
      <c r="J1449">
        <v>324</v>
      </c>
      <c r="K1449">
        <v>470</v>
      </c>
      <c r="L1449">
        <v>362</v>
      </c>
      <c r="M1449">
        <v>376</v>
      </c>
      <c r="N1449">
        <v>631</v>
      </c>
      <c r="O1449">
        <v>217</v>
      </c>
      <c r="P1449" s="1">
        <v>44228</v>
      </c>
      <c r="Q1449">
        <v>485</v>
      </c>
    </row>
    <row r="1450" spans="1:17" x14ac:dyDescent="0.25">
      <c r="A1450" s="1">
        <v>44713</v>
      </c>
      <c r="B1450" t="s">
        <v>159</v>
      </c>
      <c r="C1450" t="s">
        <v>84</v>
      </c>
      <c r="D1450" t="s">
        <v>55</v>
      </c>
      <c r="E1450">
        <v>75</v>
      </c>
      <c r="F1450">
        <v>198</v>
      </c>
      <c r="G1450">
        <v>110</v>
      </c>
      <c r="H1450">
        <v>488</v>
      </c>
      <c r="I1450">
        <v>400</v>
      </c>
      <c r="J1450">
        <v>195</v>
      </c>
      <c r="K1450">
        <v>294</v>
      </c>
      <c r="L1450">
        <v>334</v>
      </c>
      <c r="M1450">
        <v>160</v>
      </c>
      <c r="N1450">
        <v>331</v>
      </c>
      <c r="O1450">
        <v>142</v>
      </c>
      <c r="P1450" s="1">
        <v>44256</v>
      </c>
      <c r="Q1450">
        <v>457</v>
      </c>
    </row>
    <row r="1451" spans="1:17" x14ac:dyDescent="0.25">
      <c r="A1451" s="1">
        <v>44713</v>
      </c>
      <c r="B1451" t="s">
        <v>160</v>
      </c>
      <c r="C1451" t="s">
        <v>86</v>
      </c>
      <c r="D1451" t="s">
        <v>68</v>
      </c>
      <c r="E1451">
        <v>-182</v>
      </c>
      <c r="F1451">
        <v>121</v>
      </c>
      <c r="G1451">
        <v>120</v>
      </c>
      <c r="H1451">
        <v>152</v>
      </c>
      <c r="I1451">
        <v>773</v>
      </c>
      <c r="J1451">
        <v>212</v>
      </c>
      <c r="K1451">
        <v>224</v>
      </c>
      <c r="L1451">
        <v>121</v>
      </c>
      <c r="M1451">
        <v>-22</v>
      </c>
      <c r="N1451">
        <v>181</v>
      </c>
      <c r="O1451">
        <v>225</v>
      </c>
      <c r="P1451" s="1">
        <v>44317</v>
      </c>
      <c r="Q1451">
        <v>396</v>
      </c>
    </row>
    <row r="1452" spans="1:17" x14ac:dyDescent="0.25">
      <c r="A1452" s="1">
        <v>44713</v>
      </c>
      <c r="B1452" t="s">
        <v>161</v>
      </c>
      <c r="C1452" t="s">
        <v>87</v>
      </c>
      <c r="D1452" t="s">
        <v>72</v>
      </c>
      <c r="E1452">
        <v>463</v>
      </c>
      <c r="F1452">
        <v>189</v>
      </c>
      <c r="G1452">
        <v>174</v>
      </c>
      <c r="H1452">
        <v>-25</v>
      </c>
      <c r="I1452">
        <v>1369</v>
      </c>
      <c r="J1452">
        <v>804</v>
      </c>
      <c r="K1452">
        <v>-122</v>
      </c>
      <c r="L1452">
        <v>183</v>
      </c>
      <c r="M1452">
        <v>445</v>
      </c>
      <c r="N1452">
        <v>1134</v>
      </c>
      <c r="O1452">
        <v>1511</v>
      </c>
      <c r="P1452" s="1">
        <v>44440</v>
      </c>
      <c r="Q1452">
        <v>273</v>
      </c>
    </row>
    <row r="1453" spans="1:17" x14ac:dyDescent="0.25">
      <c r="A1453" s="1">
        <v>44713</v>
      </c>
      <c r="B1453" t="s">
        <v>162</v>
      </c>
      <c r="C1453" t="s">
        <v>89</v>
      </c>
      <c r="D1453" t="s">
        <v>88</v>
      </c>
      <c r="E1453">
        <v>130</v>
      </c>
      <c r="F1453">
        <v>88</v>
      </c>
      <c r="G1453">
        <v>159</v>
      </c>
      <c r="H1453">
        <v>593</v>
      </c>
      <c r="I1453">
        <v>49</v>
      </c>
      <c r="J1453">
        <v>92</v>
      </c>
      <c r="K1453">
        <v>253</v>
      </c>
      <c r="L1453">
        <v>76</v>
      </c>
      <c r="M1453">
        <v>123</v>
      </c>
      <c r="N1453">
        <v>90</v>
      </c>
      <c r="O1453">
        <v>37</v>
      </c>
      <c r="P1453" s="1">
        <v>44044</v>
      </c>
      <c r="Q1453">
        <v>669</v>
      </c>
    </row>
    <row r="1454" spans="1:17" x14ac:dyDescent="0.25">
      <c r="A1454" s="1">
        <v>44713</v>
      </c>
      <c r="B1454" t="s">
        <v>163</v>
      </c>
      <c r="C1454" t="s">
        <v>90</v>
      </c>
      <c r="D1454" t="s">
        <v>82</v>
      </c>
      <c r="E1454">
        <v>487</v>
      </c>
      <c r="F1454">
        <v>65</v>
      </c>
      <c r="G1454">
        <v>119</v>
      </c>
      <c r="H1454">
        <v>552</v>
      </c>
      <c r="I1454">
        <v>565</v>
      </c>
      <c r="J1454">
        <v>259</v>
      </c>
      <c r="K1454">
        <v>167</v>
      </c>
      <c r="L1454">
        <v>-21</v>
      </c>
      <c r="M1454">
        <v>407</v>
      </c>
      <c r="N1454">
        <v>504</v>
      </c>
      <c r="O1454">
        <v>194</v>
      </c>
      <c r="P1454" s="1">
        <v>44228</v>
      </c>
      <c r="Q1454">
        <v>485</v>
      </c>
    </row>
    <row r="1455" spans="1:17" x14ac:dyDescent="0.25">
      <c r="A1455" s="1">
        <v>44713</v>
      </c>
      <c r="B1455" t="s">
        <v>164</v>
      </c>
      <c r="C1455" t="s">
        <v>92</v>
      </c>
      <c r="D1455" t="s">
        <v>91</v>
      </c>
      <c r="E1455">
        <v>567</v>
      </c>
      <c r="F1455">
        <v>152</v>
      </c>
      <c r="G1455">
        <v>86</v>
      </c>
      <c r="H1455">
        <v>144</v>
      </c>
      <c r="I1455">
        <v>2</v>
      </c>
      <c r="J1455">
        <v>25</v>
      </c>
      <c r="K1455">
        <v>170</v>
      </c>
      <c r="L1455">
        <v>103</v>
      </c>
      <c r="M1455">
        <v>208</v>
      </c>
      <c r="N1455">
        <v>118</v>
      </c>
      <c r="O1455">
        <v>85</v>
      </c>
      <c r="P1455" s="1">
        <v>44105</v>
      </c>
      <c r="Q1455">
        <v>608</v>
      </c>
    </row>
    <row r="1456" spans="1:17" x14ac:dyDescent="0.25">
      <c r="A1456" s="1">
        <v>44713</v>
      </c>
      <c r="B1456" t="s">
        <v>165</v>
      </c>
      <c r="C1456" t="s">
        <v>94</v>
      </c>
      <c r="D1456" t="s">
        <v>93</v>
      </c>
      <c r="E1456">
        <v>111</v>
      </c>
      <c r="F1456">
        <v>65</v>
      </c>
      <c r="G1456">
        <v>39</v>
      </c>
      <c r="H1456">
        <v>93</v>
      </c>
      <c r="I1456">
        <v>118</v>
      </c>
      <c r="J1456">
        <v>92</v>
      </c>
      <c r="K1456">
        <v>61</v>
      </c>
      <c r="L1456">
        <v>60</v>
      </c>
      <c r="M1456">
        <v>48</v>
      </c>
      <c r="N1456">
        <v>129</v>
      </c>
      <c r="O1456">
        <v>236</v>
      </c>
      <c r="P1456" s="1">
        <v>43586</v>
      </c>
      <c r="Q1456">
        <v>1127</v>
      </c>
    </row>
    <row r="1457" spans="1:17" x14ac:dyDescent="0.25">
      <c r="A1457" s="1">
        <v>44713</v>
      </c>
      <c r="B1457" t="s">
        <v>166</v>
      </c>
      <c r="C1457" t="s">
        <v>96</v>
      </c>
      <c r="D1457" t="s">
        <v>95</v>
      </c>
      <c r="E1457">
        <v>68</v>
      </c>
      <c r="F1457">
        <v>58</v>
      </c>
      <c r="G1457">
        <v>30</v>
      </c>
      <c r="H1457">
        <v>269</v>
      </c>
      <c r="I1457">
        <v>10</v>
      </c>
      <c r="J1457">
        <v>58</v>
      </c>
      <c r="K1457">
        <v>431</v>
      </c>
      <c r="L1457">
        <v>21</v>
      </c>
      <c r="M1457">
        <v>109</v>
      </c>
      <c r="N1457">
        <v>43</v>
      </c>
      <c r="O1457">
        <v>90</v>
      </c>
      <c r="P1457" s="1">
        <v>43678</v>
      </c>
      <c r="Q1457">
        <v>1035</v>
      </c>
    </row>
    <row r="1458" spans="1:17" x14ac:dyDescent="0.25">
      <c r="A1458" s="1">
        <v>44713</v>
      </c>
      <c r="B1458" t="s">
        <v>167</v>
      </c>
      <c r="C1458" t="s">
        <v>97</v>
      </c>
      <c r="D1458" t="s">
        <v>58</v>
      </c>
      <c r="E1458">
        <v>195</v>
      </c>
      <c r="F1458">
        <v>84</v>
      </c>
      <c r="G1458">
        <v>220</v>
      </c>
      <c r="H1458">
        <v>189</v>
      </c>
      <c r="I1458">
        <v>419</v>
      </c>
      <c r="J1458">
        <v>115</v>
      </c>
      <c r="K1458">
        <v>594</v>
      </c>
      <c r="L1458">
        <v>395</v>
      </c>
      <c r="M1458">
        <v>230</v>
      </c>
      <c r="N1458">
        <v>749</v>
      </c>
      <c r="O1458">
        <v>60</v>
      </c>
      <c r="P1458" s="1">
        <v>44287</v>
      </c>
      <c r="Q1458">
        <v>426</v>
      </c>
    </row>
    <row r="1459" spans="1:17" x14ac:dyDescent="0.25">
      <c r="A1459" s="1">
        <v>44713</v>
      </c>
      <c r="B1459" t="s">
        <v>168</v>
      </c>
      <c r="C1459" t="s">
        <v>98</v>
      </c>
      <c r="D1459" t="s">
        <v>49</v>
      </c>
      <c r="E1459">
        <v>152</v>
      </c>
      <c r="F1459">
        <v>45</v>
      </c>
      <c r="G1459">
        <v>44</v>
      </c>
      <c r="H1459">
        <v>90</v>
      </c>
      <c r="I1459">
        <v>70</v>
      </c>
      <c r="J1459">
        <v>58</v>
      </c>
      <c r="K1459">
        <v>37</v>
      </c>
      <c r="L1459">
        <v>308</v>
      </c>
      <c r="M1459">
        <v>72</v>
      </c>
      <c r="N1459">
        <v>139</v>
      </c>
      <c r="O1459">
        <v>30</v>
      </c>
      <c r="P1459" s="1">
        <v>43709</v>
      </c>
      <c r="Q1459">
        <v>1004</v>
      </c>
    </row>
    <row r="1460" spans="1:17" x14ac:dyDescent="0.25">
      <c r="A1460" s="1">
        <v>44713</v>
      </c>
      <c r="B1460" t="s">
        <v>169</v>
      </c>
      <c r="C1460" t="s">
        <v>99</v>
      </c>
      <c r="D1460" t="s">
        <v>95</v>
      </c>
      <c r="E1460">
        <v>36</v>
      </c>
      <c r="F1460">
        <v>267</v>
      </c>
      <c r="G1460">
        <v>46</v>
      </c>
      <c r="H1460">
        <v>55</v>
      </c>
      <c r="I1460">
        <v>96</v>
      </c>
      <c r="J1460">
        <v>147</v>
      </c>
      <c r="K1460">
        <v>179</v>
      </c>
      <c r="L1460">
        <v>31</v>
      </c>
      <c r="M1460">
        <v>208</v>
      </c>
      <c r="N1460">
        <v>49</v>
      </c>
      <c r="O1460">
        <v>253</v>
      </c>
      <c r="P1460" s="1">
        <v>43678</v>
      </c>
      <c r="Q1460">
        <v>1035</v>
      </c>
    </row>
    <row r="1461" spans="1:17" x14ac:dyDescent="0.25">
      <c r="A1461" s="1">
        <v>44713</v>
      </c>
      <c r="B1461" t="s">
        <v>170</v>
      </c>
      <c r="C1461" t="s">
        <v>100</v>
      </c>
      <c r="D1461" t="s">
        <v>82</v>
      </c>
      <c r="E1461">
        <v>220</v>
      </c>
      <c r="F1461">
        <v>30</v>
      </c>
      <c r="G1461">
        <v>220</v>
      </c>
      <c r="H1461">
        <v>660</v>
      </c>
      <c r="I1461">
        <v>606</v>
      </c>
      <c r="J1461">
        <v>116</v>
      </c>
      <c r="K1461">
        <v>691</v>
      </c>
      <c r="L1461">
        <v>18</v>
      </c>
      <c r="M1461">
        <v>104</v>
      </c>
      <c r="N1461">
        <v>531</v>
      </c>
      <c r="O1461">
        <v>126</v>
      </c>
      <c r="P1461" s="1">
        <v>44228</v>
      </c>
      <c r="Q1461">
        <v>485</v>
      </c>
    </row>
    <row r="1462" spans="1:17" x14ac:dyDescent="0.25">
      <c r="A1462" s="1">
        <v>44713</v>
      </c>
      <c r="B1462" t="s">
        <v>171</v>
      </c>
      <c r="C1462" t="s">
        <v>101</v>
      </c>
      <c r="D1462" t="s">
        <v>68</v>
      </c>
      <c r="E1462">
        <v>703</v>
      </c>
      <c r="F1462">
        <v>584</v>
      </c>
      <c r="G1462">
        <v>104</v>
      </c>
      <c r="H1462">
        <v>415</v>
      </c>
      <c r="I1462">
        <v>420</v>
      </c>
      <c r="J1462">
        <v>668</v>
      </c>
      <c r="K1462">
        <v>756</v>
      </c>
      <c r="L1462">
        <v>-39</v>
      </c>
      <c r="M1462">
        <v>599</v>
      </c>
      <c r="N1462">
        <v>623</v>
      </c>
      <c r="O1462">
        <v>495</v>
      </c>
      <c r="P1462" s="1">
        <v>44317</v>
      </c>
      <c r="Q1462">
        <v>396</v>
      </c>
    </row>
    <row r="1463" spans="1:17" x14ac:dyDescent="0.25">
      <c r="A1463" s="1">
        <v>44713</v>
      </c>
      <c r="B1463" t="s">
        <v>172</v>
      </c>
      <c r="C1463" t="s">
        <v>102</v>
      </c>
      <c r="D1463" t="s">
        <v>88</v>
      </c>
      <c r="E1463">
        <v>222</v>
      </c>
      <c r="F1463">
        <v>77</v>
      </c>
      <c r="G1463">
        <v>78</v>
      </c>
      <c r="H1463">
        <v>117</v>
      </c>
      <c r="I1463">
        <v>115</v>
      </c>
      <c r="J1463">
        <v>38</v>
      </c>
      <c r="K1463">
        <v>200</v>
      </c>
      <c r="L1463">
        <v>42</v>
      </c>
      <c r="M1463">
        <v>451</v>
      </c>
      <c r="N1463">
        <v>122</v>
      </c>
      <c r="O1463">
        <v>297</v>
      </c>
      <c r="P1463" s="1">
        <v>44044</v>
      </c>
      <c r="Q1463">
        <v>669</v>
      </c>
    </row>
    <row r="1464" spans="1:17" x14ac:dyDescent="0.25">
      <c r="A1464" s="1">
        <v>44713</v>
      </c>
      <c r="B1464" t="s">
        <v>173</v>
      </c>
      <c r="C1464" t="s">
        <v>103</v>
      </c>
      <c r="D1464" t="s">
        <v>52</v>
      </c>
      <c r="E1464">
        <v>55</v>
      </c>
      <c r="F1464">
        <v>78</v>
      </c>
      <c r="G1464">
        <v>47</v>
      </c>
      <c r="H1464">
        <v>308</v>
      </c>
      <c r="I1464">
        <v>160</v>
      </c>
      <c r="J1464">
        <v>94</v>
      </c>
      <c r="K1464">
        <v>286</v>
      </c>
      <c r="L1464">
        <v>244</v>
      </c>
      <c r="M1464">
        <v>63</v>
      </c>
      <c r="N1464">
        <v>163</v>
      </c>
      <c r="O1464">
        <v>43</v>
      </c>
      <c r="P1464" s="1">
        <v>43862</v>
      </c>
      <c r="Q1464">
        <v>851</v>
      </c>
    </row>
    <row r="1465" spans="1:17" x14ac:dyDescent="0.25">
      <c r="A1465" s="1">
        <v>44713</v>
      </c>
      <c r="B1465" t="s">
        <v>174</v>
      </c>
      <c r="C1465" t="s">
        <v>105</v>
      </c>
      <c r="D1465" t="s">
        <v>104</v>
      </c>
      <c r="E1465">
        <v>39</v>
      </c>
      <c r="F1465">
        <v>68</v>
      </c>
      <c r="G1465">
        <v>48</v>
      </c>
      <c r="H1465">
        <v>257</v>
      </c>
      <c r="I1465">
        <v>282</v>
      </c>
      <c r="J1465">
        <v>59</v>
      </c>
      <c r="K1465">
        <v>35</v>
      </c>
      <c r="L1465">
        <v>56</v>
      </c>
      <c r="M1465">
        <v>249</v>
      </c>
      <c r="N1465">
        <v>95</v>
      </c>
      <c r="O1465">
        <v>236</v>
      </c>
      <c r="P1465" s="1">
        <v>43374</v>
      </c>
      <c r="Q1465">
        <v>1339</v>
      </c>
    </row>
    <row r="1466" spans="1:17" x14ac:dyDescent="0.25">
      <c r="A1466" s="1">
        <v>44713</v>
      </c>
      <c r="B1466" t="s">
        <v>142</v>
      </c>
      <c r="C1466" t="s">
        <v>50</v>
      </c>
      <c r="D1466" t="s">
        <v>49</v>
      </c>
      <c r="E1466">
        <v>376</v>
      </c>
      <c r="F1466">
        <v>206</v>
      </c>
      <c r="G1466">
        <v>32</v>
      </c>
      <c r="H1466">
        <v>346</v>
      </c>
      <c r="I1466">
        <v>123</v>
      </c>
      <c r="J1466">
        <v>135</v>
      </c>
      <c r="K1466">
        <v>34</v>
      </c>
      <c r="L1466">
        <v>272</v>
      </c>
      <c r="M1466">
        <v>83</v>
      </c>
      <c r="N1466">
        <v>241</v>
      </c>
      <c r="O1466">
        <v>330</v>
      </c>
      <c r="P1466" s="1">
        <v>43709</v>
      </c>
      <c r="Q1466">
        <v>1004</v>
      </c>
    </row>
    <row r="1467" spans="1:17" x14ac:dyDescent="0.25">
      <c r="A1467" s="1">
        <v>44713</v>
      </c>
      <c r="B1467" t="s">
        <v>143</v>
      </c>
      <c r="C1467" t="s">
        <v>53</v>
      </c>
      <c r="D1467" t="s">
        <v>52</v>
      </c>
      <c r="E1467">
        <v>526</v>
      </c>
      <c r="F1467">
        <v>225</v>
      </c>
      <c r="G1467">
        <v>78</v>
      </c>
      <c r="H1467">
        <v>206</v>
      </c>
      <c r="I1467">
        <v>253</v>
      </c>
      <c r="J1467">
        <v>296</v>
      </c>
      <c r="K1467">
        <v>84</v>
      </c>
      <c r="L1467">
        <v>256</v>
      </c>
      <c r="M1467">
        <v>330</v>
      </c>
      <c r="N1467">
        <v>249</v>
      </c>
      <c r="O1467">
        <v>86</v>
      </c>
      <c r="P1467" s="1">
        <v>43862</v>
      </c>
      <c r="Q1467">
        <v>851</v>
      </c>
    </row>
    <row r="1468" spans="1:17" x14ac:dyDescent="0.25">
      <c r="A1468" s="1">
        <v>44713</v>
      </c>
      <c r="B1468" t="s">
        <v>144</v>
      </c>
      <c r="C1468" t="s">
        <v>56</v>
      </c>
      <c r="D1468" t="s">
        <v>55</v>
      </c>
      <c r="E1468">
        <v>2</v>
      </c>
      <c r="F1468">
        <v>192</v>
      </c>
      <c r="G1468">
        <v>26</v>
      </c>
      <c r="H1468">
        <v>485</v>
      </c>
      <c r="I1468">
        <v>675</v>
      </c>
      <c r="J1468">
        <v>649</v>
      </c>
      <c r="K1468">
        <v>450</v>
      </c>
      <c r="L1468">
        <v>184</v>
      </c>
      <c r="M1468">
        <v>116</v>
      </c>
      <c r="N1468">
        <v>347</v>
      </c>
      <c r="O1468">
        <v>565</v>
      </c>
      <c r="P1468" s="1">
        <v>44256</v>
      </c>
      <c r="Q1468">
        <v>457</v>
      </c>
    </row>
    <row r="1469" spans="1:17" x14ac:dyDescent="0.25">
      <c r="A1469" s="1">
        <v>44713</v>
      </c>
      <c r="B1469" t="s">
        <v>145</v>
      </c>
      <c r="C1469" t="s">
        <v>59</v>
      </c>
      <c r="D1469" t="s">
        <v>58</v>
      </c>
      <c r="E1469">
        <v>334</v>
      </c>
      <c r="F1469">
        <v>166</v>
      </c>
      <c r="G1469">
        <v>169</v>
      </c>
      <c r="H1469">
        <v>731</v>
      </c>
      <c r="I1469">
        <v>780</v>
      </c>
      <c r="J1469">
        <v>118</v>
      </c>
      <c r="K1469">
        <v>57</v>
      </c>
      <c r="L1469">
        <v>765</v>
      </c>
      <c r="M1469">
        <v>235</v>
      </c>
      <c r="N1469">
        <v>1108</v>
      </c>
      <c r="O1469">
        <v>163</v>
      </c>
      <c r="P1469" s="1">
        <v>44287</v>
      </c>
      <c r="Q1469">
        <v>426</v>
      </c>
    </row>
    <row r="1470" spans="1:17" x14ac:dyDescent="0.25">
      <c r="A1470" s="1">
        <v>44743</v>
      </c>
      <c r="B1470" t="s">
        <v>144</v>
      </c>
      <c r="C1470" t="s">
        <v>56</v>
      </c>
      <c r="D1470" t="s">
        <v>55</v>
      </c>
      <c r="E1470">
        <v>441</v>
      </c>
      <c r="F1470">
        <v>-23</v>
      </c>
      <c r="G1470">
        <v>152</v>
      </c>
      <c r="H1470">
        <v>410</v>
      </c>
      <c r="I1470">
        <v>656</v>
      </c>
      <c r="J1470">
        <v>21</v>
      </c>
      <c r="K1470">
        <v>380</v>
      </c>
      <c r="L1470">
        <v>490</v>
      </c>
      <c r="M1470">
        <v>111</v>
      </c>
      <c r="N1470">
        <v>642</v>
      </c>
      <c r="O1470">
        <v>215</v>
      </c>
      <c r="P1470" s="1">
        <v>44256</v>
      </c>
      <c r="Q1470">
        <v>487</v>
      </c>
    </row>
    <row r="1471" spans="1:17" x14ac:dyDescent="0.25">
      <c r="A1471" s="1">
        <v>44743</v>
      </c>
      <c r="B1471" t="s">
        <v>145</v>
      </c>
      <c r="C1471" t="s">
        <v>59</v>
      </c>
      <c r="D1471" t="s">
        <v>58</v>
      </c>
      <c r="E1471">
        <v>130</v>
      </c>
      <c r="F1471">
        <v>99</v>
      </c>
      <c r="G1471">
        <v>103</v>
      </c>
      <c r="H1471">
        <v>446</v>
      </c>
      <c r="I1471">
        <v>573</v>
      </c>
      <c r="J1471">
        <v>242</v>
      </c>
      <c r="K1471">
        <v>203</v>
      </c>
      <c r="L1471">
        <v>1031</v>
      </c>
      <c r="M1471">
        <v>184</v>
      </c>
      <c r="N1471">
        <v>672</v>
      </c>
      <c r="O1471">
        <v>52</v>
      </c>
      <c r="P1471" s="1">
        <v>44287</v>
      </c>
      <c r="Q1471">
        <v>456</v>
      </c>
    </row>
    <row r="1472" spans="1:17" x14ac:dyDescent="0.25">
      <c r="A1472" s="1">
        <v>44743</v>
      </c>
      <c r="B1472" t="s">
        <v>146</v>
      </c>
      <c r="C1472" t="s">
        <v>62</v>
      </c>
      <c r="D1472" t="s">
        <v>61</v>
      </c>
      <c r="E1472">
        <v>294</v>
      </c>
      <c r="F1472">
        <v>131</v>
      </c>
      <c r="G1472">
        <v>89</v>
      </c>
      <c r="H1472">
        <v>77</v>
      </c>
      <c r="I1472">
        <v>133</v>
      </c>
      <c r="J1472">
        <v>110</v>
      </c>
      <c r="K1472">
        <v>60</v>
      </c>
      <c r="L1472">
        <v>203</v>
      </c>
      <c r="M1472">
        <v>49</v>
      </c>
      <c r="N1472">
        <v>120</v>
      </c>
      <c r="O1472">
        <v>43</v>
      </c>
      <c r="P1472" s="1">
        <v>44075</v>
      </c>
      <c r="Q1472">
        <v>668</v>
      </c>
    </row>
    <row r="1473" spans="1:17" x14ac:dyDescent="0.25">
      <c r="A1473" s="1">
        <v>44743</v>
      </c>
      <c r="B1473" t="s">
        <v>147</v>
      </c>
      <c r="C1473" t="s">
        <v>64</v>
      </c>
      <c r="D1473" t="s">
        <v>52</v>
      </c>
      <c r="E1473">
        <v>136</v>
      </c>
      <c r="F1473">
        <v>250</v>
      </c>
      <c r="G1473">
        <v>57</v>
      </c>
      <c r="H1473">
        <v>48</v>
      </c>
      <c r="I1473">
        <v>113</v>
      </c>
      <c r="J1473">
        <v>33</v>
      </c>
      <c r="K1473">
        <v>67</v>
      </c>
      <c r="L1473">
        <v>87</v>
      </c>
      <c r="M1473">
        <v>60</v>
      </c>
      <c r="N1473">
        <v>55</v>
      </c>
      <c r="O1473">
        <v>60</v>
      </c>
      <c r="P1473" s="1">
        <v>43862</v>
      </c>
      <c r="Q1473">
        <v>881</v>
      </c>
    </row>
    <row r="1474" spans="1:17" x14ac:dyDescent="0.25">
      <c r="A1474" s="1">
        <v>44743</v>
      </c>
      <c r="B1474" t="s">
        <v>148</v>
      </c>
      <c r="C1474" t="s">
        <v>66</v>
      </c>
      <c r="D1474" t="s">
        <v>55</v>
      </c>
      <c r="E1474">
        <v>735</v>
      </c>
      <c r="F1474">
        <v>723</v>
      </c>
      <c r="G1474">
        <v>196</v>
      </c>
      <c r="H1474">
        <v>546</v>
      </c>
      <c r="I1474">
        <v>259</v>
      </c>
      <c r="J1474">
        <v>197</v>
      </c>
      <c r="K1474">
        <v>362</v>
      </c>
      <c r="L1474">
        <v>67</v>
      </c>
      <c r="M1474">
        <v>68</v>
      </c>
      <c r="N1474">
        <v>586</v>
      </c>
      <c r="O1474">
        <v>391</v>
      </c>
      <c r="P1474" s="1">
        <v>44256</v>
      </c>
      <c r="Q1474">
        <v>487</v>
      </c>
    </row>
    <row r="1475" spans="1:17" x14ac:dyDescent="0.25">
      <c r="A1475" s="1">
        <v>44743</v>
      </c>
      <c r="B1475" t="s">
        <v>149</v>
      </c>
      <c r="C1475" t="s">
        <v>67</v>
      </c>
      <c r="D1475" t="s">
        <v>55</v>
      </c>
      <c r="E1475">
        <v>380</v>
      </c>
      <c r="F1475">
        <v>596</v>
      </c>
      <c r="G1475">
        <v>90</v>
      </c>
      <c r="H1475">
        <v>454</v>
      </c>
      <c r="I1475">
        <v>437</v>
      </c>
      <c r="J1475">
        <v>577</v>
      </c>
      <c r="K1475">
        <v>154</v>
      </c>
      <c r="L1475">
        <v>781</v>
      </c>
      <c r="M1475">
        <v>559</v>
      </c>
      <c r="N1475">
        <v>496</v>
      </c>
      <c r="O1475">
        <v>738</v>
      </c>
      <c r="P1475" s="1">
        <v>44256</v>
      </c>
      <c r="Q1475">
        <v>487</v>
      </c>
    </row>
    <row r="1476" spans="1:17" x14ac:dyDescent="0.25">
      <c r="A1476" s="1">
        <v>44743</v>
      </c>
      <c r="B1476" t="s">
        <v>150</v>
      </c>
      <c r="C1476" t="s">
        <v>69</v>
      </c>
      <c r="D1476" t="s">
        <v>68</v>
      </c>
      <c r="E1476">
        <v>312</v>
      </c>
      <c r="F1476">
        <v>192</v>
      </c>
      <c r="G1476">
        <v>157</v>
      </c>
      <c r="H1476">
        <v>452</v>
      </c>
      <c r="I1476">
        <v>257</v>
      </c>
      <c r="J1476">
        <v>97</v>
      </c>
      <c r="K1476">
        <v>248</v>
      </c>
      <c r="L1476">
        <v>39</v>
      </c>
      <c r="M1476">
        <v>130</v>
      </c>
      <c r="N1476">
        <v>72</v>
      </c>
      <c r="O1476">
        <v>747</v>
      </c>
      <c r="P1476" s="1">
        <v>44317</v>
      </c>
      <c r="Q1476">
        <v>426</v>
      </c>
    </row>
    <row r="1477" spans="1:17" x14ac:dyDescent="0.25">
      <c r="A1477" s="1">
        <v>44743</v>
      </c>
      <c r="B1477" t="s">
        <v>151</v>
      </c>
      <c r="C1477" t="s">
        <v>71</v>
      </c>
      <c r="D1477" t="s">
        <v>70</v>
      </c>
      <c r="E1477">
        <v>80</v>
      </c>
      <c r="F1477">
        <v>94</v>
      </c>
      <c r="G1477">
        <v>112</v>
      </c>
      <c r="H1477">
        <v>99</v>
      </c>
      <c r="I1477">
        <v>103</v>
      </c>
      <c r="J1477">
        <v>166</v>
      </c>
      <c r="K1477">
        <v>108</v>
      </c>
      <c r="L1477">
        <v>115</v>
      </c>
      <c r="M1477">
        <v>475</v>
      </c>
      <c r="N1477">
        <v>35</v>
      </c>
      <c r="O1477">
        <v>-16</v>
      </c>
      <c r="P1477" s="1">
        <v>44136</v>
      </c>
      <c r="Q1477">
        <v>607</v>
      </c>
    </row>
    <row r="1478" spans="1:17" x14ac:dyDescent="0.25">
      <c r="A1478" s="1">
        <v>44743</v>
      </c>
      <c r="B1478" t="s">
        <v>152</v>
      </c>
      <c r="C1478" t="s">
        <v>11</v>
      </c>
      <c r="D1478" t="s">
        <v>52</v>
      </c>
      <c r="E1478">
        <v>109</v>
      </c>
      <c r="F1478">
        <v>97</v>
      </c>
      <c r="G1478">
        <v>72</v>
      </c>
      <c r="H1478">
        <v>260</v>
      </c>
      <c r="I1478">
        <v>107</v>
      </c>
      <c r="J1478">
        <v>35</v>
      </c>
      <c r="K1478">
        <v>60</v>
      </c>
      <c r="L1478">
        <v>74</v>
      </c>
      <c r="M1478">
        <v>17</v>
      </c>
      <c r="N1478">
        <v>59</v>
      </c>
      <c r="O1478">
        <v>55</v>
      </c>
      <c r="P1478" s="1">
        <v>43862</v>
      </c>
      <c r="Q1478">
        <v>881</v>
      </c>
    </row>
    <row r="1479" spans="1:17" x14ac:dyDescent="0.25">
      <c r="A1479" s="1">
        <v>44743</v>
      </c>
      <c r="B1479" t="s">
        <v>153</v>
      </c>
      <c r="C1479" t="s">
        <v>73</v>
      </c>
      <c r="D1479" t="s">
        <v>72</v>
      </c>
      <c r="E1479">
        <v>87</v>
      </c>
      <c r="F1479">
        <v>207</v>
      </c>
      <c r="G1479">
        <v>390</v>
      </c>
      <c r="H1479">
        <v>1370</v>
      </c>
      <c r="I1479">
        <v>178</v>
      </c>
      <c r="J1479">
        <v>809</v>
      </c>
      <c r="K1479">
        <v>138</v>
      </c>
      <c r="L1479">
        <v>950</v>
      </c>
      <c r="M1479">
        <v>1328</v>
      </c>
      <c r="N1479">
        <v>180</v>
      </c>
      <c r="O1479">
        <v>673</v>
      </c>
      <c r="P1479" s="1">
        <v>44440</v>
      </c>
      <c r="Q1479">
        <v>303</v>
      </c>
    </row>
    <row r="1480" spans="1:17" x14ac:dyDescent="0.25">
      <c r="A1480" s="1">
        <v>44743</v>
      </c>
      <c r="B1480" t="s">
        <v>154</v>
      </c>
      <c r="C1480" t="s">
        <v>17</v>
      </c>
      <c r="D1480" t="s">
        <v>74</v>
      </c>
      <c r="E1480">
        <v>649</v>
      </c>
      <c r="F1480">
        <v>496</v>
      </c>
      <c r="G1480">
        <v>63</v>
      </c>
      <c r="H1480">
        <v>159</v>
      </c>
      <c r="I1480">
        <v>499</v>
      </c>
      <c r="J1480">
        <v>126</v>
      </c>
      <c r="K1480">
        <v>149</v>
      </c>
      <c r="L1480">
        <v>550</v>
      </c>
      <c r="M1480">
        <v>206</v>
      </c>
      <c r="N1480">
        <v>483</v>
      </c>
      <c r="O1480">
        <v>367</v>
      </c>
      <c r="P1480" s="1">
        <v>44197</v>
      </c>
      <c r="Q1480">
        <v>546</v>
      </c>
    </row>
    <row r="1481" spans="1:17" x14ac:dyDescent="0.25">
      <c r="A1481" s="1">
        <v>44743</v>
      </c>
      <c r="B1481" t="s">
        <v>155</v>
      </c>
      <c r="C1481" t="s">
        <v>76</v>
      </c>
      <c r="D1481" t="s">
        <v>75</v>
      </c>
      <c r="E1481">
        <v>108</v>
      </c>
      <c r="F1481">
        <v>117</v>
      </c>
      <c r="G1481">
        <v>145</v>
      </c>
      <c r="H1481">
        <v>109</v>
      </c>
      <c r="I1481">
        <v>140</v>
      </c>
      <c r="J1481">
        <v>128</v>
      </c>
      <c r="K1481">
        <v>174</v>
      </c>
      <c r="L1481">
        <v>94</v>
      </c>
      <c r="M1481">
        <v>1234</v>
      </c>
      <c r="N1481">
        <v>167</v>
      </c>
      <c r="O1481">
        <v>105</v>
      </c>
      <c r="P1481" s="1">
        <v>44470</v>
      </c>
      <c r="Q1481">
        <v>273</v>
      </c>
    </row>
    <row r="1482" spans="1:17" x14ac:dyDescent="0.25">
      <c r="A1482" s="1">
        <v>44743</v>
      </c>
      <c r="B1482" t="s">
        <v>156</v>
      </c>
      <c r="C1482" t="s">
        <v>79</v>
      </c>
      <c r="D1482" t="s">
        <v>78</v>
      </c>
      <c r="E1482">
        <v>101</v>
      </c>
      <c r="F1482">
        <v>109</v>
      </c>
      <c r="G1482">
        <v>56</v>
      </c>
      <c r="H1482">
        <v>563</v>
      </c>
      <c r="I1482">
        <v>90</v>
      </c>
      <c r="J1482">
        <v>48</v>
      </c>
      <c r="K1482">
        <v>154</v>
      </c>
      <c r="L1482">
        <v>73</v>
      </c>
      <c r="M1482">
        <v>59</v>
      </c>
      <c r="N1482">
        <v>485</v>
      </c>
      <c r="O1482">
        <v>69</v>
      </c>
      <c r="P1482" s="1">
        <v>44348</v>
      </c>
      <c r="Q1482">
        <v>395</v>
      </c>
    </row>
    <row r="1483" spans="1:17" x14ac:dyDescent="0.25">
      <c r="A1483" s="1">
        <v>44743</v>
      </c>
      <c r="B1483" t="s">
        <v>157</v>
      </c>
      <c r="C1483" t="s">
        <v>81</v>
      </c>
      <c r="D1483" t="s">
        <v>72</v>
      </c>
      <c r="E1483">
        <v>500</v>
      </c>
      <c r="F1483">
        <v>1009</v>
      </c>
      <c r="G1483">
        <v>139</v>
      </c>
      <c r="H1483">
        <v>1085</v>
      </c>
      <c r="I1483">
        <v>627</v>
      </c>
      <c r="J1483">
        <v>953</v>
      </c>
      <c r="K1483">
        <v>-127</v>
      </c>
      <c r="L1483">
        <v>656</v>
      </c>
      <c r="M1483">
        <v>992</v>
      </c>
      <c r="N1483">
        <v>1406</v>
      </c>
      <c r="O1483">
        <v>624</v>
      </c>
      <c r="P1483" s="1">
        <v>44440</v>
      </c>
      <c r="Q1483">
        <v>303</v>
      </c>
    </row>
    <row r="1484" spans="1:17" x14ac:dyDescent="0.25">
      <c r="A1484" s="1">
        <v>44743</v>
      </c>
      <c r="B1484" t="s">
        <v>158</v>
      </c>
      <c r="C1484" t="s">
        <v>83</v>
      </c>
      <c r="D1484" t="s">
        <v>82</v>
      </c>
      <c r="E1484">
        <v>266</v>
      </c>
      <c r="F1484">
        <v>575</v>
      </c>
      <c r="G1484">
        <v>157</v>
      </c>
      <c r="H1484">
        <v>630</v>
      </c>
      <c r="I1484">
        <v>571</v>
      </c>
      <c r="J1484">
        <v>306</v>
      </c>
      <c r="K1484">
        <v>700</v>
      </c>
      <c r="L1484">
        <v>489</v>
      </c>
      <c r="M1484">
        <v>154</v>
      </c>
      <c r="N1484">
        <v>459</v>
      </c>
      <c r="O1484">
        <v>129</v>
      </c>
      <c r="P1484" s="1">
        <v>44228</v>
      </c>
      <c r="Q1484">
        <v>515</v>
      </c>
    </row>
    <row r="1485" spans="1:17" x14ac:dyDescent="0.25">
      <c r="A1485" s="1">
        <v>44743</v>
      </c>
      <c r="B1485" t="s">
        <v>159</v>
      </c>
      <c r="C1485" t="s">
        <v>84</v>
      </c>
      <c r="D1485" t="s">
        <v>55</v>
      </c>
      <c r="E1485">
        <v>157</v>
      </c>
      <c r="F1485">
        <v>456</v>
      </c>
      <c r="G1485">
        <v>139</v>
      </c>
      <c r="H1485">
        <v>792</v>
      </c>
      <c r="I1485">
        <v>56</v>
      </c>
      <c r="J1485">
        <v>163</v>
      </c>
      <c r="K1485">
        <v>276</v>
      </c>
      <c r="L1485">
        <v>347</v>
      </c>
      <c r="M1485">
        <v>217</v>
      </c>
      <c r="N1485">
        <v>298</v>
      </c>
      <c r="O1485">
        <v>178</v>
      </c>
      <c r="P1485" s="1">
        <v>44256</v>
      </c>
      <c r="Q1485">
        <v>487</v>
      </c>
    </row>
    <row r="1486" spans="1:17" x14ac:dyDescent="0.25">
      <c r="A1486" s="1">
        <v>44743</v>
      </c>
      <c r="B1486" t="s">
        <v>160</v>
      </c>
      <c r="C1486" t="s">
        <v>86</v>
      </c>
      <c r="D1486" t="s">
        <v>68</v>
      </c>
      <c r="E1486">
        <v>471</v>
      </c>
      <c r="F1486">
        <v>147</v>
      </c>
      <c r="G1486">
        <v>80</v>
      </c>
      <c r="H1486">
        <v>194</v>
      </c>
      <c r="I1486">
        <v>204</v>
      </c>
      <c r="J1486">
        <v>145</v>
      </c>
      <c r="K1486">
        <v>859</v>
      </c>
      <c r="L1486">
        <v>74</v>
      </c>
      <c r="M1486">
        <v>208</v>
      </c>
      <c r="N1486">
        <v>62</v>
      </c>
      <c r="O1486">
        <v>472</v>
      </c>
      <c r="P1486" s="1">
        <v>44317</v>
      </c>
      <c r="Q1486">
        <v>426</v>
      </c>
    </row>
    <row r="1487" spans="1:17" x14ac:dyDescent="0.25">
      <c r="A1487" s="1">
        <v>44743</v>
      </c>
      <c r="B1487" t="s">
        <v>161</v>
      </c>
      <c r="C1487" t="s">
        <v>87</v>
      </c>
      <c r="D1487" t="s">
        <v>72</v>
      </c>
      <c r="E1487">
        <v>84</v>
      </c>
      <c r="F1487">
        <v>85</v>
      </c>
      <c r="G1487">
        <v>167</v>
      </c>
      <c r="H1487">
        <v>1091</v>
      </c>
      <c r="I1487">
        <v>509</v>
      </c>
      <c r="J1487">
        <v>924</v>
      </c>
      <c r="K1487">
        <v>838</v>
      </c>
      <c r="L1487">
        <v>692</v>
      </c>
      <c r="M1487">
        <v>629</v>
      </c>
      <c r="N1487">
        <v>935</v>
      </c>
      <c r="O1487">
        <v>1263</v>
      </c>
      <c r="P1487" s="1">
        <v>44440</v>
      </c>
      <c r="Q1487">
        <v>303</v>
      </c>
    </row>
    <row r="1488" spans="1:17" x14ac:dyDescent="0.25">
      <c r="A1488" s="1">
        <v>44743</v>
      </c>
      <c r="B1488" t="s">
        <v>162</v>
      </c>
      <c r="C1488" t="s">
        <v>89</v>
      </c>
      <c r="D1488" t="s">
        <v>88</v>
      </c>
      <c r="E1488">
        <v>76</v>
      </c>
      <c r="F1488">
        <v>69</v>
      </c>
      <c r="G1488">
        <v>62</v>
      </c>
      <c r="H1488">
        <v>176</v>
      </c>
      <c r="I1488">
        <v>43</v>
      </c>
      <c r="J1488">
        <v>0</v>
      </c>
      <c r="K1488">
        <v>300</v>
      </c>
      <c r="L1488">
        <v>69</v>
      </c>
      <c r="M1488">
        <v>275</v>
      </c>
      <c r="N1488">
        <v>73</v>
      </c>
      <c r="O1488">
        <v>340</v>
      </c>
      <c r="P1488" s="1">
        <v>44044</v>
      </c>
      <c r="Q1488">
        <v>699</v>
      </c>
    </row>
    <row r="1489" spans="1:17" x14ac:dyDescent="0.25">
      <c r="A1489" s="1">
        <v>44743</v>
      </c>
      <c r="B1489" t="s">
        <v>163</v>
      </c>
      <c r="C1489" t="s">
        <v>90</v>
      </c>
      <c r="D1489" t="s">
        <v>82</v>
      </c>
      <c r="E1489">
        <v>922</v>
      </c>
      <c r="F1489">
        <v>162</v>
      </c>
      <c r="G1489">
        <v>177</v>
      </c>
      <c r="H1489">
        <v>219</v>
      </c>
      <c r="I1489">
        <v>607</v>
      </c>
      <c r="J1489">
        <v>179</v>
      </c>
      <c r="K1489">
        <v>193</v>
      </c>
      <c r="L1489">
        <v>83</v>
      </c>
      <c r="M1489">
        <v>192</v>
      </c>
      <c r="N1489">
        <v>595</v>
      </c>
      <c r="O1489">
        <v>94</v>
      </c>
      <c r="P1489" s="1">
        <v>44228</v>
      </c>
      <c r="Q1489">
        <v>515</v>
      </c>
    </row>
    <row r="1490" spans="1:17" x14ac:dyDescent="0.25">
      <c r="A1490" s="1">
        <v>44743</v>
      </c>
      <c r="B1490" t="s">
        <v>164</v>
      </c>
      <c r="C1490" t="s">
        <v>92</v>
      </c>
      <c r="D1490" t="s">
        <v>91</v>
      </c>
      <c r="E1490">
        <v>313</v>
      </c>
      <c r="F1490">
        <v>31</v>
      </c>
      <c r="G1490">
        <v>89</v>
      </c>
      <c r="H1490">
        <v>146</v>
      </c>
      <c r="I1490">
        <v>86</v>
      </c>
      <c r="J1490">
        <v>175</v>
      </c>
      <c r="K1490">
        <v>53</v>
      </c>
      <c r="L1490">
        <v>155</v>
      </c>
      <c r="M1490">
        <v>124</v>
      </c>
      <c r="N1490">
        <v>86</v>
      </c>
      <c r="O1490">
        <v>102</v>
      </c>
      <c r="P1490" s="1">
        <v>44105</v>
      </c>
      <c r="Q1490">
        <v>638</v>
      </c>
    </row>
    <row r="1491" spans="1:17" x14ac:dyDescent="0.25">
      <c r="A1491" s="1">
        <v>44743</v>
      </c>
      <c r="B1491" t="s">
        <v>165</v>
      </c>
      <c r="C1491" t="s">
        <v>94</v>
      </c>
      <c r="D1491" t="s">
        <v>93</v>
      </c>
      <c r="E1491">
        <v>-67</v>
      </c>
      <c r="F1491">
        <v>44</v>
      </c>
      <c r="G1491">
        <v>40</v>
      </c>
      <c r="H1491">
        <v>198</v>
      </c>
      <c r="I1491">
        <v>191</v>
      </c>
      <c r="J1491">
        <v>23</v>
      </c>
      <c r="K1491">
        <v>24</v>
      </c>
      <c r="L1491">
        <v>274</v>
      </c>
      <c r="M1491">
        <v>67</v>
      </c>
      <c r="N1491">
        <v>118</v>
      </c>
      <c r="O1491">
        <v>99</v>
      </c>
      <c r="P1491" s="1">
        <v>43586</v>
      </c>
      <c r="Q1491">
        <v>1157</v>
      </c>
    </row>
    <row r="1492" spans="1:17" x14ac:dyDescent="0.25">
      <c r="A1492" s="1">
        <v>44743</v>
      </c>
      <c r="B1492" t="s">
        <v>166</v>
      </c>
      <c r="C1492" t="s">
        <v>96</v>
      </c>
      <c r="D1492" t="s">
        <v>95</v>
      </c>
      <c r="E1492">
        <v>5</v>
      </c>
      <c r="F1492">
        <v>68</v>
      </c>
      <c r="G1492">
        <v>57</v>
      </c>
      <c r="H1492">
        <v>150</v>
      </c>
      <c r="I1492">
        <v>33</v>
      </c>
      <c r="J1492">
        <v>63</v>
      </c>
      <c r="K1492">
        <v>189</v>
      </c>
      <c r="L1492">
        <v>40</v>
      </c>
      <c r="M1492">
        <v>137</v>
      </c>
      <c r="N1492">
        <v>24</v>
      </c>
      <c r="O1492">
        <v>172</v>
      </c>
      <c r="P1492" s="1">
        <v>43678</v>
      </c>
      <c r="Q1492">
        <v>1065</v>
      </c>
    </row>
    <row r="1493" spans="1:17" x14ac:dyDescent="0.25">
      <c r="A1493" s="1">
        <v>44743</v>
      </c>
      <c r="B1493" t="s">
        <v>167</v>
      </c>
      <c r="C1493" t="s">
        <v>97</v>
      </c>
      <c r="D1493" t="s">
        <v>58</v>
      </c>
      <c r="E1493">
        <v>148</v>
      </c>
      <c r="F1493">
        <v>59</v>
      </c>
      <c r="G1493">
        <v>123</v>
      </c>
      <c r="H1493">
        <v>914</v>
      </c>
      <c r="I1493">
        <v>587</v>
      </c>
      <c r="J1493">
        <v>138</v>
      </c>
      <c r="K1493">
        <v>547</v>
      </c>
      <c r="L1493">
        <v>516</v>
      </c>
      <c r="M1493">
        <v>195</v>
      </c>
      <c r="N1493">
        <v>618</v>
      </c>
      <c r="O1493">
        <v>238</v>
      </c>
      <c r="P1493" s="1">
        <v>44287</v>
      </c>
      <c r="Q1493">
        <v>456</v>
      </c>
    </row>
    <row r="1494" spans="1:17" x14ac:dyDescent="0.25">
      <c r="A1494" s="1">
        <v>44743</v>
      </c>
      <c r="B1494" t="s">
        <v>168</v>
      </c>
      <c r="C1494" t="s">
        <v>98</v>
      </c>
      <c r="D1494" t="s">
        <v>49</v>
      </c>
      <c r="E1494">
        <v>261</v>
      </c>
      <c r="F1494">
        <v>42</v>
      </c>
      <c r="G1494">
        <v>97</v>
      </c>
      <c r="H1494">
        <v>75</v>
      </c>
      <c r="I1494">
        <v>6</v>
      </c>
      <c r="J1494">
        <v>98</v>
      </c>
      <c r="K1494">
        <v>86</v>
      </c>
      <c r="L1494">
        <v>397</v>
      </c>
      <c r="M1494">
        <v>41</v>
      </c>
      <c r="N1494">
        <v>164</v>
      </c>
      <c r="O1494">
        <v>42</v>
      </c>
      <c r="P1494" s="1">
        <v>43709</v>
      </c>
      <c r="Q1494">
        <v>1034</v>
      </c>
    </row>
    <row r="1495" spans="1:17" x14ac:dyDescent="0.25">
      <c r="A1495" s="1">
        <v>44743</v>
      </c>
      <c r="B1495" t="s">
        <v>169</v>
      </c>
      <c r="C1495" t="s">
        <v>99</v>
      </c>
      <c r="D1495" t="s">
        <v>95</v>
      </c>
      <c r="E1495">
        <v>30</v>
      </c>
      <c r="F1495">
        <v>371</v>
      </c>
      <c r="G1495">
        <v>65</v>
      </c>
      <c r="H1495">
        <v>-40</v>
      </c>
      <c r="I1495">
        <v>166</v>
      </c>
      <c r="J1495">
        <v>116</v>
      </c>
      <c r="K1495">
        <v>69</v>
      </c>
      <c r="L1495">
        <v>51</v>
      </c>
      <c r="M1495">
        <v>318</v>
      </c>
      <c r="N1495">
        <v>57</v>
      </c>
      <c r="O1495">
        <v>64</v>
      </c>
      <c r="P1495" s="1">
        <v>43678</v>
      </c>
      <c r="Q1495">
        <v>1065</v>
      </c>
    </row>
    <row r="1496" spans="1:17" x14ac:dyDescent="0.25">
      <c r="A1496" s="1">
        <v>44743</v>
      </c>
      <c r="B1496" t="s">
        <v>170</v>
      </c>
      <c r="C1496" t="s">
        <v>100</v>
      </c>
      <c r="D1496" t="s">
        <v>82</v>
      </c>
      <c r="E1496">
        <v>220</v>
      </c>
      <c r="F1496">
        <v>135</v>
      </c>
      <c r="G1496">
        <v>91</v>
      </c>
      <c r="H1496">
        <v>280</v>
      </c>
      <c r="I1496">
        <v>362</v>
      </c>
      <c r="J1496">
        <v>139</v>
      </c>
      <c r="K1496">
        <v>392</v>
      </c>
      <c r="L1496">
        <v>623</v>
      </c>
      <c r="M1496">
        <v>99</v>
      </c>
      <c r="N1496">
        <v>378</v>
      </c>
      <c r="O1496">
        <v>106</v>
      </c>
      <c r="P1496" s="1">
        <v>44228</v>
      </c>
      <c r="Q1496">
        <v>515</v>
      </c>
    </row>
    <row r="1497" spans="1:17" x14ac:dyDescent="0.25">
      <c r="A1497" s="1">
        <v>44743</v>
      </c>
      <c r="B1497" t="s">
        <v>171</v>
      </c>
      <c r="C1497" t="s">
        <v>101</v>
      </c>
      <c r="D1497" t="s">
        <v>68</v>
      </c>
      <c r="E1497">
        <v>812</v>
      </c>
      <c r="F1497">
        <v>738</v>
      </c>
      <c r="G1497">
        <v>122</v>
      </c>
      <c r="H1497">
        <v>660</v>
      </c>
      <c r="I1497">
        <v>387</v>
      </c>
      <c r="J1497">
        <v>442</v>
      </c>
      <c r="K1497">
        <v>260</v>
      </c>
      <c r="L1497">
        <v>278</v>
      </c>
      <c r="M1497">
        <v>799</v>
      </c>
      <c r="N1497">
        <v>477</v>
      </c>
      <c r="O1497">
        <v>768</v>
      </c>
      <c r="P1497" s="1">
        <v>44317</v>
      </c>
      <c r="Q1497">
        <v>426</v>
      </c>
    </row>
    <row r="1498" spans="1:17" x14ac:dyDescent="0.25">
      <c r="A1498" s="1">
        <v>44743</v>
      </c>
      <c r="B1498" t="s">
        <v>172</v>
      </c>
      <c r="C1498" t="s">
        <v>102</v>
      </c>
      <c r="D1498" t="s">
        <v>88</v>
      </c>
      <c r="E1498">
        <v>-4</v>
      </c>
      <c r="F1498">
        <v>157</v>
      </c>
      <c r="G1498">
        <v>29</v>
      </c>
      <c r="H1498">
        <v>366</v>
      </c>
      <c r="I1498">
        <v>95</v>
      </c>
      <c r="J1498">
        <v>92</v>
      </c>
      <c r="K1498">
        <v>346</v>
      </c>
      <c r="L1498">
        <v>-12</v>
      </c>
      <c r="M1498">
        <v>398</v>
      </c>
      <c r="N1498">
        <v>24</v>
      </c>
      <c r="O1498">
        <v>128</v>
      </c>
      <c r="P1498" s="1">
        <v>44044</v>
      </c>
      <c r="Q1498">
        <v>699</v>
      </c>
    </row>
    <row r="1499" spans="1:17" x14ac:dyDescent="0.25">
      <c r="A1499" s="1">
        <v>44743</v>
      </c>
      <c r="B1499" t="s">
        <v>173</v>
      </c>
      <c r="C1499" t="s">
        <v>103</v>
      </c>
      <c r="D1499" t="s">
        <v>52</v>
      </c>
      <c r="E1499">
        <v>15</v>
      </c>
      <c r="F1499">
        <v>104</v>
      </c>
      <c r="G1499">
        <v>63</v>
      </c>
      <c r="H1499">
        <v>284</v>
      </c>
      <c r="I1499">
        <v>293</v>
      </c>
      <c r="J1499">
        <v>48</v>
      </c>
      <c r="K1499">
        <v>229</v>
      </c>
      <c r="L1499">
        <v>306</v>
      </c>
      <c r="M1499">
        <v>38</v>
      </c>
      <c r="N1499">
        <v>219</v>
      </c>
      <c r="O1499">
        <v>101</v>
      </c>
      <c r="P1499" s="1">
        <v>43862</v>
      </c>
      <c r="Q1499">
        <v>881</v>
      </c>
    </row>
    <row r="1500" spans="1:17" x14ac:dyDescent="0.25">
      <c r="A1500" s="1">
        <v>44743</v>
      </c>
      <c r="B1500" t="s">
        <v>174</v>
      </c>
      <c r="C1500" t="s">
        <v>105</v>
      </c>
      <c r="D1500" t="s">
        <v>104</v>
      </c>
      <c r="E1500">
        <v>22</v>
      </c>
      <c r="F1500">
        <v>69</v>
      </c>
      <c r="G1500">
        <v>63</v>
      </c>
      <c r="H1500">
        <v>186</v>
      </c>
      <c r="I1500">
        <v>124</v>
      </c>
      <c r="J1500">
        <v>28</v>
      </c>
      <c r="K1500">
        <v>31</v>
      </c>
      <c r="L1500">
        <v>9</v>
      </c>
      <c r="M1500">
        <v>188</v>
      </c>
      <c r="N1500">
        <v>95</v>
      </c>
      <c r="O1500">
        <v>99</v>
      </c>
      <c r="P1500" s="1">
        <v>43374</v>
      </c>
      <c r="Q1500">
        <v>1369</v>
      </c>
    </row>
    <row r="1501" spans="1:17" x14ac:dyDescent="0.25">
      <c r="A1501" s="1">
        <v>44743</v>
      </c>
      <c r="B1501" t="s">
        <v>142</v>
      </c>
      <c r="C1501" t="s">
        <v>50</v>
      </c>
      <c r="D1501" t="s">
        <v>49</v>
      </c>
      <c r="E1501">
        <v>216</v>
      </c>
      <c r="F1501">
        <v>200</v>
      </c>
      <c r="G1501">
        <v>59</v>
      </c>
      <c r="H1501">
        <v>291</v>
      </c>
      <c r="I1501">
        <v>268</v>
      </c>
      <c r="J1501">
        <v>277</v>
      </c>
      <c r="K1501">
        <v>30</v>
      </c>
      <c r="L1501">
        <v>257</v>
      </c>
      <c r="M1501">
        <v>122</v>
      </c>
      <c r="N1501">
        <v>416</v>
      </c>
      <c r="O1501">
        <v>67</v>
      </c>
      <c r="P1501" s="1">
        <v>43709</v>
      </c>
      <c r="Q1501">
        <v>1034</v>
      </c>
    </row>
    <row r="1502" spans="1:17" x14ac:dyDescent="0.25">
      <c r="A1502" s="1">
        <v>44743</v>
      </c>
      <c r="B1502" t="s">
        <v>143</v>
      </c>
      <c r="C1502" t="s">
        <v>53</v>
      </c>
      <c r="D1502" t="s">
        <v>52</v>
      </c>
      <c r="E1502">
        <v>477</v>
      </c>
      <c r="F1502">
        <v>186</v>
      </c>
      <c r="G1502">
        <v>79</v>
      </c>
      <c r="H1502">
        <v>104</v>
      </c>
      <c r="I1502">
        <v>253</v>
      </c>
      <c r="J1502">
        <v>264</v>
      </c>
      <c r="K1502">
        <v>131</v>
      </c>
      <c r="L1502">
        <v>252</v>
      </c>
      <c r="M1502">
        <v>217</v>
      </c>
      <c r="N1502">
        <v>451</v>
      </c>
      <c r="O1502">
        <v>268</v>
      </c>
      <c r="P1502" s="1">
        <v>43862</v>
      </c>
      <c r="Q1502">
        <v>881</v>
      </c>
    </row>
    <row r="1503" spans="1:17" x14ac:dyDescent="0.25">
      <c r="A1503" s="1">
        <v>44743</v>
      </c>
      <c r="B1503" t="s">
        <v>144</v>
      </c>
      <c r="C1503" t="s">
        <v>56</v>
      </c>
      <c r="D1503" t="s">
        <v>55</v>
      </c>
      <c r="E1503">
        <v>177</v>
      </c>
      <c r="F1503">
        <v>98</v>
      </c>
      <c r="G1503">
        <v>109</v>
      </c>
      <c r="H1503">
        <v>208</v>
      </c>
      <c r="I1503">
        <v>443</v>
      </c>
      <c r="J1503">
        <v>398</v>
      </c>
      <c r="K1503">
        <v>515</v>
      </c>
      <c r="L1503">
        <v>447</v>
      </c>
      <c r="M1503">
        <v>134</v>
      </c>
      <c r="N1503">
        <v>363</v>
      </c>
      <c r="O1503">
        <v>250</v>
      </c>
      <c r="P1503" s="1">
        <v>44256</v>
      </c>
      <c r="Q1503">
        <v>487</v>
      </c>
    </row>
    <row r="1504" spans="1:17" x14ac:dyDescent="0.25">
      <c r="A1504" s="1">
        <v>44743</v>
      </c>
      <c r="B1504" t="s">
        <v>145</v>
      </c>
      <c r="C1504" t="s">
        <v>59</v>
      </c>
      <c r="D1504" t="s">
        <v>58</v>
      </c>
      <c r="E1504">
        <v>-4</v>
      </c>
      <c r="F1504">
        <v>99</v>
      </c>
      <c r="G1504">
        <v>95</v>
      </c>
      <c r="H1504">
        <v>598</v>
      </c>
      <c r="I1504">
        <v>758</v>
      </c>
      <c r="J1504">
        <v>105</v>
      </c>
      <c r="K1504">
        <v>259</v>
      </c>
      <c r="L1504">
        <v>679</v>
      </c>
      <c r="M1504">
        <v>128</v>
      </c>
      <c r="N1504">
        <v>364</v>
      </c>
      <c r="O1504">
        <v>120</v>
      </c>
      <c r="P1504" s="1">
        <v>44287</v>
      </c>
      <c r="Q1504">
        <v>456</v>
      </c>
    </row>
    <row r="1505" spans="1:17" x14ac:dyDescent="0.25">
      <c r="A1505" s="1">
        <v>44774</v>
      </c>
      <c r="B1505" t="s">
        <v>144</v>
      </c>
      <c r="C1505" t="s">
        <v>56</v>
      </c>
      <c r="D1505" t="s">
        <v>55</v>
      </c>
      <c r="E1505">
        <v>119</v>
      </c>
      <c r="F1505">
        <v>79</v>
      </c>
      <c r="G1505">
        <v>151</v>
      </c>
      <c r="H1505">
        <v>383</v>
      </c>
      <c r="I1505">
        <v>778</v>
      </c>
      <c r="J1505">
        <v>663</v>
      </c>
      <c r="K1505">
        <v>272</v>
      </c>
      <c r="L1505">
        <v>556</v>
      </c>
      <c r="M1505">
        <v>145</v>
      </c>
      <c r="N1505">
        <v>530</v>
      </c>
      <c r="O1505">
        <v>182</v>
      </c>
      <c r="P1505" s="1">
        <v>44256</v>
      </c>
      <c r="Q1505">
        <v>518</v>
      </c>
    </row>
    <row r="1506" spans="1:17" x14ac:dyDescent="0.25">
      <c r="A1506" s="1">
        <v>44774</v>
      </c>
      <c r="B1506" t="s">
        <v>145</v>
      </c>
      <c r="C1506" t="s">
        <v>59</v>
      </c>
      <c r="D1506" t="s">
        <v>58</v>
      </c>
      <c r="E1506">
        <v>439</v>
      </c>
      <c r="F1506">
        <v>48</v>
      </c>
      <c r="G1506">
        <v>142</v>
      </c>
      <c r="H1506">
        <v>220</v>
      </c>
      <c r="I1506">
        <v>149</v>
      </c>
      <c r="J1506">
        <v>77</v>
      </c>
      <c r="K1506">
        <v>98</v>
      </c>
      <c r="L1506">
        <v>110</v>
      </c>
      <c r="M1506">
        <v>105</v>
      </c>
      <c r="N1506">
        <v>606</v>
      </c>
      <c r="O1506">
        <v>101</v>
      </c>
      <c r="P1506" s="1">
        <v>44287</v>
      </c>
      <c r="Q1506">
        <v>487</v>
      </c>
    </row>
    <row r="1507" spans="1:17" x14ac:dyDescent="0.25">
      <c r="A1507" s="1">
        <v>44774</v>
      </c>
      <c r="B1507" t="s">
        <v>146</v>
      </c>
      <c r="C1507" t="s">
        <v>62</v>
      </c>
      <c r="D1507" t="s">
        <v>61</v>
      </c>
      <c r="E1507">
        <v>532</v>
      </c>
      <c r="F1507">
        <v>138</v>
      </c>
      <c r="G1507">
        <v>31</v>
      </c>
      <c r="H1507">
        <v>59</v>
      </c>
      <c r="I1507">
        <v>152</v>
      </c>
      <c r="J1507">
        <v>25</v>
      </c>
      <c r="K1507">
        <v>124</v>
      </c>
      <c r="L1507">
        <v>234</v>
      </c>
      <c r="M1507">
        <v>51</v>
      </c>
      <c r="N1507">
        <v>79</v>
      </c>
      <c r="O1507">
        <v>91</v>
      </c>
      <c r="P1507" s="1">
        <v>44075</v>
      </c>
      <c r="Q1507">
        <v>699</v>
      </c>
    </row>
    <row r="1508" spans="1:17" x14ac:dyDescent="0.25">
      <c r="A1508" s="1">
        <v>44774</v>
      </c>
      <c r="B1508" t="s">
        <v>147</v>
      </c>
      <c r="C1508" t="s">
        <v>64</v>
      </c>
      <c r="D1508" t="s">
        <v>52</v>
      </c>
      <c r="E1508">
        <v>259</v>
      </c>
      <c r="F1508">
        <v>292</v>
      </c>
      <c r="G1508">
        <v>52</v>
      </c>
      <c r="H1508">
        <v>87</v>
      </c>
      <c r="I1508">
        <v>16</v>
      </c>
      <c r="J1508">
        <v>113</v>
      </c>
      <c r="K1508">
        <v>82</v>
      </c>
      <c r="L1508">
        <v>53</v>
      </c>
      <c r="M1508">
        <v>31</v>
      </c>
      <c r="N1508">
        <v>39</v>
      </c>
      <c r="O1508">
        <v>58</v>
      </c>
      <c r="P1508" s="1">
        <v>43862</v>
      </c>
      <c r="Q1508">
        <v>912</v>
      </c>
    </row>
    <row r="1509" spans="1:17" x14ac:dyDescent="0.25">
      <c r="A1509" s="1">
        <v>44774</v>
      </c>
      <c r="B1509" t="s">
        <v>148</v>
      </c>
      <c r="C1509" t="s">
        <v>66</v>
      </c>
      <c r="D1509" t="s">
        <v>55</v>
      </c>
      <c r="E1509">
        <v>775</v>
      </c>
      <c r="F1509">
        <v>575</v>
      </c>
      <c r="G1509">
        <v>127</v>
      </c>
      <c r="H1509">
        <v>382</v>
      </c>
      <c r="I1509">
        <v>73</v>
      </c>
      <c r="J1509">
        <v>225</v>
      </c>
      <c r="K1509">
        <v>410</v>
      </c>
      <c r="L1509">
        <v>144</v>
      </c>
      <c r="M1509">
        <v>60</v>
      </c>
      <c r="N1509">
        <v>501</v>
      </c>
      <c r="O1509">
        <v>392</v>
      </c>
      <c r="P1509" s="1">
        <v>44256</v>
      </c>
      <c r="Q1509">
        <v>518</v>
      </c>
    </row>
    <row r="1510" spans="1:17" x14ac:dyDescent="0.25">
      <c r="A1510" s="1">
        <v>44774</v>
      </c>
      <c r="B1510" t="s">
        <v>149</v>
      </c>
      <c r="C1510" t="s">
        <v>67</v>
      </c>
      <c r="D1510" t="s">
        <v>55</v>
      </c>
      <c r="E1510">
        <v>290</v>
      </c>
      <c r="F1510">
        <v>456</v>
      </c>
      <c r="G1510">
        <v>90</v>
      </c>
      <c r="H1510">
        <v>619</v>
      </c>
      <c r="I1510">
        <v>326</v>
      </c>
      <c r="J1510">
        <v>358</v>
      </c>
      <c r="K1510">
        <v>332</v>
      </c>
      <c r="L1510">
        <v>340</v>
      </c>
      <c r="M1510">
        <v>579</v>
      </c>
      <c r="N1510">
        <v>374</v>
      </c>
      <c r="O1510">
        <v>142</v>
      </c>
      <c r="P1510" s="1">
        <v>44256</v>
      </c>
      <c r="Q1510">
        <v>518</v>
      </c>
    </row>
    <row r="1511" spans="1:17" x14ac:dyDescent="0.25">
      <c r="A1511" s="1">
        <v>44774</v>
      </c>
      <c r="B1511" t="s">
        <v>150</v>
      </c>
      <c r="C1511" t="s">
        <v>69</v>
      </c>
      <c r="D1511" t="s">
        <v>68</v>
      </c>
      <c r="E1511">
        <v>417</v>
      </c>
      <c r="F1511">
        <v>183</v>
      </c>
      <c r="G1511">
        <v>92</v>
      </c>
      <c r="H1511">
        <v>985</v>
      </c>
      <c r="I1511">
        <v>104</v>
      </c>
      <c r="J1511">
        <v>193</v>
      </c>
      <c r="K1511">
        <v>49</v>
      </c>
      <c r="L1511">
        <v>54</v>
      </c>
      <c r="M1511">
        <v>192</v>
      </c>
      <c r="N1511">
        <v>251</v>
      </c>
      <c r="O1511">
        <v>72</v>
      </c>
      <c r="P1511" s="1">
        <v>44317</v>
      </c>
      <c r="Q1511">
        <v>457</v>
      </c>
    </row>
    <row r="1512" spans="1:17" x14ac:dyDescent="0.25">
      <c r="A1512" s="1">
        <v>44774</v>
      </c>
      <c r="B1512" t="s">
        <v>151</v>
      </c>
      <c r="C1512" t="s">
        <v>71</v>
      </c>
      <c r="D1512" t="s">
        <v>70</v>
      </c>
      <c r="E1512">
        <v>53</v>
      </c>
      <c r="F1512">
        <v>72</v>
      </c>
      <c r="G1512">
        <v>95</v>
      </c>
      <c r="H1512">
        <v>142</v>
      </c>
      <c r="I1512">
        <v>409</v>
      </c>
      <c r="J1512">
        <v>106</v>
      </c>
      <c r="K1512">
        <v>155</v>
      </c>
      <c r="L1512">
        <v>157</v>
      </c>
      <c r="M1512">
        <v>289</v>
      </c>
      <c r="N1512">
        <v>114</v>
      </c>
      <c r="O1512">
        <v>72</v>
      </c>
      <c r="P1512" s="1">
        <v>44136</v>
      </c>
      <c r="Q1512">
        <v>638</v>
      </c>
    </row>
    <row r="1513" spans="1:17" x14ac:dyDescent="0.25">
      <c r="A1513" s="1">
        <v>44774</v>
      </c>
      <c r="B1513" t="s">
        <v>152</v>
      </c>
      <c r="C1513" t="s">
        <v>11</v>
      </c>
      <c r="D1513" t="s">
        <v>52</v>
      </c>
      <c r="E1513">
        <v>-20</v>
      </c>
      <c r="F1513">
        <v>4</v>
      </c>
      <c r="G1513">
        <v>89</v>
      </c>
      <c r="H1513">
        <v>140</v>
      </c>
      <c r="I1513">
        <v>86</v>
      </c>
      <c r="J1513">
        <v>66</v>
      </c>
      <c r="K1513">
        <v>83</v>
      </c>
      <c r="L1513">
        <v>81</v>
      </c>
      <c r="M1513">
        <v>66</v>
      </c>
      <c r="N1513">
        <v>33</v>
      </c>
      <c r="O1513">
        <v>96</v>
      </c>
      <c r="P1513" s="1">
        <v>43862</v>
      </c>
      <c r="Q1513">
        <v>912</v>
      </c>
    </row>
    <row r="1514" spans="1:17" x14ac:dyDescent="0.25">
      <c r="A1514" s="1">
        <v>44774</v>
      </c>
      <c r="B1514" t="s">
        <v>153</v>
      </c>
      <c r="C1514" t="s">
        <v>73</v>
      </c>
      <c r="D1514" t="s">
        <v>72</v>
      </c>
      <c r="E1514">
        <v>172</v>
      </c>
      <c r="F1514">
        <v>342</v>
      </c>
      <c r="G1514">
        <v>37</v>
      </c>
      <c r="H1514">
        <v>941</v>
      </c>
      <c r="I1514">
        <v>301</v>
      </c>
      <c r="J1514">
        <v>422</v>
      </c>
      <c r="K1514">
        <v>50</v>
      </c>
      <c r="L1514">
        <v>763</v>
      </c>
      <c r="M1514">
        <v>1249</v>
      </c>
      <c r="N1514">
        <v>57</v>
      </c>
      <c r="O1514">
        <v>980</v>
      </c>
      <c r="P1514" s="1">
        <v>44440</v>
      </c>
      <c r="Q1514">
        <v>334</v>
      </c>
    </row>
    <row r="1515" spans="1:17" x14ac:dyDescent="0.25">
      <c r="A1515" s="1">
        <v>44774</v>
      </c>
      <c r="B1515" t="s">
        <v>154</v>
      </c>
      <c r="C1515" t="s">
        <v>17</v>
      </c>
      <c r="D1515" t="s">
        <v>74</v>
      </c>
      <c r="E1515">
        <v>531</v>
      </c>
      <c r="F1515">
        <v>269</v>
      </c>
      <c r="G1515">
        <v>156</v>
      </c>
      <c r="H1515">
        <v>349</v>
      </c>
      <c r="I1515">
        <v>133</v>
      </c>
      <c r="J1515">
        <v>246</v>
      </c>
      <c r="K1515">
        <v>89</v>
      </c>
      <c r="L1515">
        <v>438</v>
      </c>
      <c r="M1515">
        <v>553</v>
      </c>
      <c r="N1515">
        <v>215</v>
      </c>
      <c r="O1515">
        <v>21</v>
      </c>
      <c r="P1515" s="1">
        <v>44197</v>
      </c>
      <c r="Q1515">
        <v>577</v>
      </c>
    </row>
    <row r="1516" spans="1:17" x14ac:dyDescent="0.25">
      <c r="A1516" s="1">
        <v>44774</v>
      </c>
      <c r="B1516" t="s">
        <v>155</v>
      </c>
      <c r="C1516" t="s">
        <v>76</v>
      </c>
      <c r="D1516" t="s">
        <v>75</v>
      </c>
      <c r="E1516">
        <v>156</v>
      </c>
      <c r="F1516">
        <v>159</v>
      </c>
      <c r="G1516">
        <v>80</v>
      </c>
      <c r="H1516">
        <v>117</v>
      </c>
      <c r="I1516">
        <v>106</v>
      </c>
      <c r="J1516">
        <v>150</v>
      </c>
      <c r="K1516">
        <v>139</v>
      </c>
      <c r="L1516">
        <v>147</v>
      </c>
      <c r="M1516">
        <v>851</v>
      </c>
      <c r="N1516">
        <v>172</v>
      </c>
      <c r="O1516">
        <v>78</v>
      </c>
      <c r="P1516" s="1">
        <v>44470</v>
      </c>
      <c r="Q1516">
        <v>304</v>
      </c>
    </row>
    <row r="1517" spans="1:17" x14ac:dyDescent="0.25">
      <c r="A1517" s="1">
        <v>44774</v>
      </c>
      <c r="B1517" t="s">
        <v>156</v>
      </c>
      <c r="C1517" t="s">
        <v>79</v>
      </c>
      <c r="D1517" t="s">
        <v>78</v>
      </c>
      <c r="E1517">
        <v>98</v>
      </c>
      <c r="F1517">
        <v>100</v>
      </c>
      <c r="G1517">
        <v>44</v>
      </c>
      <c r="H1517">
        <v>550</v>
      </c>
      <c r="I1517">
        <v>49</v>
      </c>
      <c r="J1517">
        <v>44</v>
      </c>
      <c r="K1517">
        <v>70</v>
      </c>
      <c r="L1517">
        <v>82</v>
      </c>
      <c r="M1517">
        <v>26</v>
      </c>
      <c r="N1517">
        <v>632</v>
      </c>
      <c r="O1517">
        <v>52</v>
      </c>
      <c r="P1517" s="1">
        <v>44348</v>
      </c>
      <c r="Q1517">
        <v>426</v>
      </c>
    </row>
    <row r="1518" spans="1:17" x14ac:dyDescent="0.25">
      <c r="A1518" s="1">
        <v>44774</v>
      </c>
      <c r="B1518" t="s">
        <v>157</v>
      </c>
      <c r="C1518" t="s">
        <v>81</v>
      </c>
      <c r="D1518" t="s">
        <v>72</v>
      </c>
      <c r="E1518">
        <v>1204</v>
      </c>
      <c r="F1518">
        <v>1029</v>
      </c>
      <c r="G1518">
        <v>87</v>
      </c>
      <c r="H1518">
        <v>864</v>
      </c>
      <c r="I1518">
        <v>381</v>
      </c>
      <c r="J1518">
        <v>1572</v>
      </c>
      <c r="K1518">
        <v>1222</v>
      </c>
      <c r="L1518">
        <v>651</v>
      </c>
      <c r="M1518">
        <v>750</v>
      </c>
      <c r="N1518">
        <v>1122</v>
      </c>
      <c r="O1518">
        <v>1387</v>
      </c>
      <c r="P1518" s="1">
        <v>44440</v>
      </c>
      <c r="Q1518">
        <v>334</v>
      </c>
    </row>
    <row r="1519" spans="1:17" x14ac:dyDescent="0.25">
      <c r="A1519" s="1">
        <v>44774</v>
      </c>
      <c r="B1519" t="s">
        <v>158</v>
      </c>
      <c r="C1519" t="s">
        <v>83</v>
      </c>
      <c r="D1519" t="s">
        <v>82</v>
      </c>
      <c r="E1519">
        <v>262</v>
      </c>
      <c r="F1519">
        <v>222</v>
      </c>
      <c r="G1519">
        <v>56</v>
      </c>
      <c r="H1519">
        <v>346</v>
      </c>
      <c r="I1519">
        <v>540</v>
      </c>
      <c r="J1519">
        <v>641</v>
      </c>
      <c r="K1519">
        <v>264</v>
      </c>
      <c r="L1519">
        <v>121</v>
      </c>
      <c r="M1519">
        <v>272</v>
      </c>
      <c r="N1519">
        <v>689</v>
      </c>
      <c r="O1519">
        <v>246</v>
      </c>
      <c r="P1519" s="1">
        <v>44228</v>
      </c>
      <c r="Q1519">
        <v>546</v>
      </c>
    </row>
    <row r="1520" spans="1:17" x14ac:dyDescent="0.25">
      <c r="A1520" s="1">
        <v>44774</v>
      </c>
      <c r="B1520" t="s">
        <v>159</v>
      </c>
      <c r="C1520" t="s">
        <v>84</v>
      </c>
      <c r="D1520" t="s">
        <v>55</v>
      </c>
      <c r="E1520">
        <v>146</v>
      </c>
      <c r="F1520">
        <v>362</v>
      </c>
      <c r="G1520">
        <v>170</v>
      </c>
      <c r="H1520">
        <v>432</v>
      </c>
      <c r="I1520">
        <v>303</v>
      </c>
      <c r="J1520">
        <v>90</v>
      </c>
      <c r="K1520">
        <v>209</v>
      </c>
      <c r="L1520">
        <v>444</v>
      </c>
      <c r="M1520">
        <v>106</v>
      </c>
      <c r="N1520">
        <v>171</v>
      </c>
      <c r="O1520">
        <v>100</v>
      </c>
      <c r="P1520" s="1">
        <v>44256</v>
      </c>
      <c r="Q1520">
        <v>518</v>
      </c>
    </row>
    <row r="1521" spans="1:17" x14ac:dyDescent="0.25">
      <c r="A1521" s="1">
        <v>44774</v>
      </c>
      <c r="B1521" t="s">
        <v>160</v>
      </c>
      <c r="C1521" t="s">
        <v>86</v>
      </c>
      <c r="D1521" t="s">
        <v>68</v>
      </c>
      <c r="E1521">
        <v>813</v>
      </c>
      <c r="F1521">
        <v>121</v>
      </c>
      <c r="G1521">
        <v>184</v>
      </c>
      <c r="H1521">
        <v>414</v>
      </c>
      <c r="I1521">
        <v>56</v>
      </c>
      <c r="J1521">
        <v>83</v>
      </c>
      <c r="K1521">
        <v>331</v>
      </c>
      <c r="L1521">
        <v>33</v>
      </c>
      <c r="M1521">
        <v>580</v>
      </c>
      <c r="N1521">
        <v>57</v>
      </c>
      <c r="O1521">
        <v>616</v>
      </c>
      <c r="P1521" s="1">
        <v>44317</v>
      </c>
      <c r="Q1521">
        <v>457</v>
      </c>
    </row>
    <row r="1522" spans="1:17" x14ac:dyDescent="0.25">
      <c r="A1522" s="1">
        <v>44774</v>
      </c>
      <c r="B1522" t="s">
        <v>161</v>
      </c>
      <c r="C1522" t="s">
        <v>87</v>
      </c>
      <c r="D1522" t="s">
        <v>72</v>
      </c>
      <c r="E1522">
        <v>216</v>
      </c>
      <c r="F1522">
        <v>1286</v>
      </c>
      <c r="G1522">
        <v>218</v>
      </c>
      <c r="H1522">
        <v>1087</v>
      </c>
      <c r="I1522">
        <v>969</v>
      </c>
      <c r="J1522">
        <v>391</v>
      </c>
      <c r="K1522">
        <v>663</v>
      </c>
      <c r="L1522">
        <v>973</v>
      </c>
      <c r="M1522">
        <v>784</v>
      </c>
      <c r="N1522">
        <v>445</v>
      </c>
      <c r="O1522">
        <v>437</v>
      </c>
      <c r="P1522" s="1">
        <v>44440</v>
      </c>
      <c r="Q1522">
        <v>334</v>
      </c>
    </row>
    <row r="1523" spans="1:17" x14ac:dyDescent="0.25">
      <c r="A1523" s="1">
        <v>44774</v>
      </c>
      <c r="B1523" t="s">
        <v>162</v>
      </c>
      <c r="C1523" t="s">
        <v>89</v>
      </c>
      <c r="D1523" t="s">
        <v>88</v>
      </c>
      <c r="E1523">
        <v>70</v>
      </c>
      <c r="F1523">
        <v>101</v>
      </c>
      <c r="G1523">
        <v>24</v>
      </c>
      <c r="H1523">
        <v>146</v>
      </c>
      <c r="I1523">
        <v>43</v>
      </c>
      <c r="J1523">
        <v>145</v>
      </c>
      <c r="K1523">
        <v>259</v>
      </c>
      <c r="L1523">
        <v>163</v>
      </c>
      <c r="M1523">
        <v>452</v>
      </c>
      <c r="N1523">
        <v>161</v>
      </c>
      <c r="O1523">
        <v>457</v>
      </c>
      <c r="P1523" s="1">
        <v>44044</v>
      </c>
      <c r="Q1523">
        <v>730</v>
      </c>
    </row>
    <row r="1524" spans="1:17" x14ac:dyDescent="0.25">
      <c r="A1524" s="1">
        <v>44774</v>
      </c>
      <c r="B1524" t="s">
        <v>163</v>
      </c>
      <c r="C1524" t="s">
        <v>90</v>
      </c>
      <c r="D1524" t="s">
        <v>82</v>
      </c>
      <c r="E1524">
        <v>661</v>
      </c>
      <c r="F1524">
        <v>99</v>
      </c>
      <c r="G1524">
        <v>65</v>
      </c>
      <c r="H1524">
        <v>475</v>
      </c>
      <c r="I1524">
        <v>614</v>
      </c>
      <c r="J1524">
        <v>195</v>
      </c>
      <c r="K1524">
        <v>51</v>
      </c>
      <c r="L1524">
        <v>206</v>
      </c>
      <c r="M1524">
        <v>651</v>
      </c>
      <c r="N1524">
        <v>548</v>
      </c>
      <c r="O1524">
        <v>120</v>
      </c>
      <c r="P1524" s="1">
        <v>44228</v>
      </c>
      <c r="Q1524">
        <v>546</v>
      </c>
    </row>
    <row r="1525" spans="1:17" x14ac:dyDescent="0.25">
      <c r="A1525" s="1">
        <v>44774</v>
      </c>
      <c r="B1525" t="s">
        <v>164</v>
      </c>
      <c r="C1525" t="s">
        <v>92</v>
      </c>
      <c r="D1525" t="s">
        <v>91</v>
      </c>
      <c r="E1525">
        <v>190</v>
      </c>
      <c r="F1525">
        <v>127</v>
      </c>
      <c r="G1525">
        <v>61</v>
      </c>
      <c r="H1525">
        <v>88</v>
      </c>
      <c r="I1525">
        <v>92</v>
      </c>
      <c r="J1525">
        <v>111</v>
      </c>
      <c r="K1525">
        <v>-38</v>
      </c>
      <c r="L1525">
        <v>177</v>
      </c>
      <c r="M1525">
        <v>50</v>
      </c>
      <c r="N1525">
        <v>43</v>
      </c>
      <c r="O1525">
        <v>122</v>
      </c>
      <c r="P1525" s="1">
        <v>44105</v>
      </c>
      <c r="Q1525">
        <v>669</v>
      </c>
    </row>
    <row r="1526" spans="1:17" x14ac:dyDescent="0.25">
      <c r="A1526" s="1">
        <v>44774</v>
      </c>
      <c r="B1526" t="s">
        <v>165</v>
      </c>
      <c r="C1526" t="s">
        <v>94</v>
      </c>
      <c r="D1526" t="s">
        <v>93</v>
      </c>
      <c r="E1526">
        <v>141</v>
      </c>
      <c r="F1526">
        <v>37</v>
      </c>
      <c r="G1526">
        <v>18</v>
      </c>
      <c r="H1526">
        <v>119</v>
      </c>
      <c r="I1526">
        <v>329</v>
      </c>
      <c r="J1526">
        <v>78</v>
      </c>
      <c r="K1526">
        <v>45</v>
      </c>
      <c r="L1526">
        <v>296</v>
      </c>
      <c r="M1526">
        <v>80</v>
      </c>
      <c r="N1526">
        <v>24</v>
      </c>
      <c r="O1526">
        <v>396</v>
      </c>
      <c r="P1526" s="1">
        <v>43586</v>
      </c>
      <c r="Q1526">
        <v>1188</v>
      </c>
    </row>
    <row r="1527" spans="1:17" x14ac:dyDescent="0.25">
      <c r="A1527" s="1">
        <v>44774</v>
      </c>
      <c r="B1527" t="s">
        <v>166</v>
      </c>
      <c r="C1527" t="s">
        <v>96</v>
      </c>
      <c r="D1527" t="s">
        <v>95</v>
      </c>
      <c r="E1527">
        <v>80</v>
      </c>
      <c r="F1527">
        <v>75</v>
      </c>
      <c r="G1527">
        <v>120</v>
      </c>
      <c r="H1527">
        <v>321</v>
      </c>
      <c r="I1527">
        <v>80</v>
      </c>
      <c r="J1527">
        <v>30</v>
      </c>
      <c r="K1527">
        <v>136</v>
      </c>
      <c r="L1527">
        <v>63</v>
      </c>
      <c r="M1527">
        <v>371</v>
      </c>
      <c r="N1527">
        <v>56</v>
      </c>
      <c r="O1527">
        <v>179</v>
      </c>
      <c r="P1527" s="1">
        <v>43678</v>
      </c>
      <c r="Q1527">
        <v>1096</v>
      </c>
    </row>
    <row r="1528" spans="1:17" x14ac:dyDescent="0.25">
      <c r="A1528" s="1">
        <v>44774</v>
      </c>
      <c r="B1528" t="s">
        <v>167</v>
      </c>
      <c r="C1528" t="s">
        <v>97</v>
      </c>
      <c r="D1528" t="s">
        <v>58</v>
      </c>
      <c r="E1528">
        <v>54</v>
      </c>
      <c r="F1528">
        <v>111</v>
      </c>
      <c r="G1528">
        <v>218</v>
      </c>
      <c r="H1528">
        <v>699</v>
      </c>
      <c r="I1528">
        <v>436</v>
      </c>
      <c r="J1528">
        <v>166</v>
      </c>
      <c r="K1528">
        <v>347</v>
      </c>
      <c r="L1528">
        <v>165</v>
      </c>
      <c r="M1528">
        <v>44</v>
      </c>
      <c r="N1528">
        <v>197</v>
      </c>
      <c r="O1528">
        <v>93</v>
      </c>
      <c r="P1528" s="1">
        <v>44287</v>
      </c>
      <c r="Q1528">
        <v>487</v>
      </c>
    </row>
    <row r="1529" spans="1:17" x14ac:dyDescent="0.25">
      <c r="A1529" s="1">
        <v>44774</v>
      </c>
      <c r="B1529" t="s">
        <v>168</v>
      </c>
      <c r="C1529" t="s">
        <v>98</v>
      </c>
      <c r="D1529" t="s">
        <v>49</v>
      </c>
      <c r="E1529">
        <v>358</v>
      </c>
      <c r="F1529">
        <v>37</v>
      </c>
      <c r="G1529">
        <v>111</v>
      </c>
      <c r="H1529">
        <v>25</v>
      </c>
      <c r="I1529">
        <v>57</v>
      </c>
      <c r="J1529">
        <v>30</v>
      </c>
      <c r="K1529">
        <v>12</v>
      </c>
      <c r="L1529">
        <v>264</v>
      </c>
      <c r="M1529">
        <v>62</v>
      </c>
      <c r="N1529">
        <v>82</v>
      </c>
      <c r="O1529">
        <v>104</v>
      </c>
      <c r="P1529" s="1">
        <v>43709</v>
      </c>
      <c r="Q1529">
        <v>1065</v>
      </c>
    </row>
    <row r="1530" spans="1:17" x14ac:dyDescent="0.25">
      <c r="A1530" s="1">
        <v>44774</v>
      </c>
      <c r="B1530" t="s">
        <v>169</v>
      </c>
      <c r="C1530" t="s">
        <v>99</v>
      </c>
      <c r="D1530" t="s">
        <v>95</v>
      </c>
      <c r="E1530">
        <v>51</v>
      </c>
      <c r="F1530">
        <v>199</v>
      </c>
      <c r="G1530">
        <v>35</v>
      </c>
      <c r="H1530">
        <v>176</v>
      </c>
      <c r="I1530">
        <v>145</v>
      </c>
      <c r="J1530">
        <v>76</v>
      </c>
      <c r="K1530">
        <v>82</v>
      </c>
      <c r="L1530">
        <v>80</v>
      </c>
      <c r="M1530">
        <v>143</v>
      </c>
      <c r="N1530">
        <v>76</v>
      </c>
      <c r="O1530">
        <v>91</v>
      </c>
      <c r="P1530" s="1">
        <v>43678</v>
      </c>
      <c r="Q1530">
        <v>1096</v>
      </c>
    </row>
    <row r="1531" spans="1:17" x14ac:dyDescent="0.25">
      <c r="A1531" s="1">
        <v>44774</v>
      </c>
      <c r="B1531" t="s">
        <v>170</v>
      </c>
      <c r="C1531" t="s">
        <v>100</v>
      </c>
      <c r="D1531" t="s">
        <v>82</v>
      </c>
      <c r="E1531">
        <v>117</v>
      </c>
      <c r="F1531">
        <v>86</v>
      </c>
      <c r="G1531">
        <v>99</v>
      </c>
      <c r="H1531">
        <v>316</v>
      </c>
      <c r="I1531">
        <v>350</v>
      </c>
      <c r="J1531">
        <v>104</v>
      </c>
      <c r="K1531">
        <v>72</v>
      </c>
      <c r="L1531">
        <v>136</v>
      </c>
      <c r="M1531">
        <v>103</v>
      </c>
      <c r="N1531">
        <v>341</v>
      </c>
      <c r="O1531">
        <v>108</v>
      </c>
      <c r="P1531" s="1">
        <v>44228</v>
      </c>
      <c r="Q1531">
        <v>546</v>
      </c>
    </row>
    <row r="1532" spans="1:17" x14ac:dyDescent="0.25">
      <c r="A1532" s="1">
        <v>44774</v>
      </c>
      <c r="B1532" t="s">
        <v>171</v>
      </c>
      <c r="C1532" t="s">
        <v>101</v>
      </c>
      <c r="D1532" t="s">
        <v>68</v>
      </c>
      <c r="E1532">
        <v>388</v>
      </c>
      <c r="F1532">
        <v>193</v>
      </c>
      <c r="G1532">
        <v>191</v>
      </c>
      <c r="H1532">
        <v>655</v>
      </c>
      <c r="I1532">
        <v>226</v>
      </c>
      <c r="J1532">
        <v>311</v>
      </c>
      <c r="K1532">
        <v>379</v>
      </c>
      <c r="L1532">
        <v>435</v>
      </c>
      <c r="M1532">
        <v>15</v>
      </c>
      <c r="N1532">
        <v>165</v>
      </c>
      <c r="O1532">
        <v>598</v>
      </c>
      <c r="P1532" s="1">
        <v>44317</v>
      </c>
      <c r="Q1532">
        <v>457</v>
      </c>
    </row>
    <row r="1533" spans="1:17" x14ac:dyDescent="0.25">
      <c r="A1533" s="1">
        <v>44774</v>
      </c>
      <c r="B1533" t="s">
        <v>172</v>
      </c>
      <c r="C1533" t="s">
        <v>102</v>
      </c>
      <c r="D1533" t="s">
        <v>88</v>
      </c>
      <c r="E1533">
        <v>4</v>
      </c>
      <c r="F1533">
        <v>22</v>
      </c>
      <c r="G1533">
        <v>71</v>
      </c>
      <c r="H1533">
        <v>394</v>
      </c>
      <c r="I1533">
        <v>113</v>
      </c>
      <c r="J1533">
        <v>57</v>
      </c>
      <c r="K1533">
        <v>204</v>
      </c>
      <c r="L1533">
        <v>57</v>
      </c>
      <c r="M1533">
        <v>373</v>
      </c>
      <c r="N1533">
        <v>78</v>
      </c>
      <c r="O1533">
        <v>138</v>
      </c>
      <c r="P1533" s="1">
        <v>44044</v>
      </c>
      <c r="Q1533">
        <v>730</v>
      </c>
    </row>
    <row r="1534" spans="1:17" x14ac:dyDescent="0.25">
      <c r="A1534" s="1">
        <v>44774</v>
      </c>
      <c r="B1534" t="s">
        <v>173</v>
      </c>
      <c r="C1534" t="s">
        <v>103</v>
      </c>
      <c r="D1534" t="s">
        <v>52</v>
      </c>
      <c r="E1534">
        <v>26</v>
      </c>
      <c r="F1534">
        <v>108</v>
      </c>
      <c r="G1534">
        <v>29</v>
      </c>
      <c r="H1534">
        <v>294</v>
      </c>
      <c r="I1534">
        <v>275</v>
      </c>
      <c r="J1534">
        <v>10</v>
      </c>
      <c r="K1534">
        <v>315</v>
      </c>
      <c r="L1534">
        <v>326</v>
      </c>
      <c r="M1534">
        <v>114</v>
      </c>
      <c r="N1534">
        <v>262</v>
      </c>
      <c r="O1534">
        <v>114</v>
      </c>
      <c r="P1534" s="1">
        <v>43862</v>
      </c>
      <c r="Q1534">
        <v>912</v>
      </c>
    </row>
    <row r="1535" spans="1:17" x14ac:dyDescent="0.25">
      <c r="A1535" s="1">
        <v>44774</v>
      </c>
      <c r="B1535" t="s">
        <v>174</v>
      </c>
      <c r="C1535" t="s">
        <v>105</v>
      </c>
      <c r="D1535" t="s">
        <v>104</v>
      </c>
      <c r="E1535">
        <v>63</v>
      </c>
      <c r="F1535">
        <v>45</v>
      </c>
      <c r="G1535">
        <v>42</v>
      </c>
      <c r="H1535">
        <v>191</v>
      </c>
      <c r="I1535">
        <v>26</v>
      </c>
      <c r="J1535">
        <v>61</v>
      </c>
      <c r="K1535">
        <v>53</v>
      </c>
      <c r="L1535">
        <v>49</v>
      </c>
      <c r="M1535">
        <v>206</v>
      </c>
      <c r="N1535">
        <v>224</v>
      </c>
      <c r="O1535">
        <v>31</v>
      </c>
      <c r="P1535" s="1">
        <v>43374</v>
      </c>
      <c r="Q1535">
        <v>1400</v>
      </c>
    </row>
    <row r="1536" spans="1:17" x14ac:dyDescent="0.25">
      <c r="A1536" s="1">
        <v>44774</v>
      </c>
      <c r="B1536" t="s">
        <v>142</v>
      </c>
      <c r="C1536" t="s">
        <v>50</v>
      </c>
      <c r="D1536" t="s">
        <v>49</v>
      </c>
      <c r="E1536">
        <v>259</v>
      </c>
      <c r="F1536">
        <v>143</v>
      </c>
      <c r="G1536">
        <v>66</v>
      </c>
      <c r="H1536">
        <v>299</v>
      </c>
      <c r="I1536">
        <v>255</v>
      </c>
      <c r="J1536">
        <v>284</v>
      </c>
      <c r="K1536">
        <v>97</v>
      </c>
      <c r="L1536">
        <v>104</v>
      </c>
      <c r="M1536">
        <v>86</v>
      </c>
      <c r="N1536">
        <v>17</v>
      </c>
      <c r="O1536">
        <v>90</v>
      </c>
      <c r="P1536" s="1">
        <v>43709</v>
      </c>
      <c r="Q1536">
        <v>1065</v>
      </c>
    </row>
    <row r="1537" spans="1:17" x14ac:dyDescent="0.25">
      <c r="A1537" s="1">
        <v>44774</v>
      </c>
      <c r="B1537" t="s">
        <v>143</v>
      </c>
      <c r="C1537" t="s">
        <v>53</v>
      </c>
      <c r="D1537" t="s">
        <v>52</v>
      </c>
      <c r="E1537">
        <v>246</v>
      </c>
      <c r="F1537">
        <v>48</v>
      </c>
      <c r="G1537">
        <v>81</v>
      </c>
      <c r="H1537">
        <v>43</v>
      </c>
      <c r="I1537">
        <v>358</v>
      </c>
      <c r="J1537">
        <v>447</v>
      </c>
      <c r="K1537">
        <v>40</v>
      </c>
      <c r="L1537">
        <v>293</v>
      </c>
      <c r="M1537">
        <v>182</v>
      </c>
      <c r="N1537">
        <v>328</v>
      </c>
      <c r="O1537">
        <v>281</v>
      </c>
      <c r="P1537" s="1">
        <v>43862</v>
      </c>
      <c r="Q1537">
        <v>912</v>
      </c>
    </row>
    <row r="1538" spans="1:17" x14ac:dyDescent="0.25">
      <c r="A1538" s="1">
        <v>44774</v>
      </c>
      <c r="B1538" t="s">
        <v>144</v>
      </c>
      <c r="C1538" t="s">
        <v>56</v>
      </c>
      <c r="D1538" t="s">
        <v>55</v>
      </c>
      <c r="E1538">
        <v>45</v>
      </c>
      <c r="F1538">
        <v>119</v>
      </c>
      <c r="G1538">
        <v>104</v>
      </c>
      <c r="H1538">
        <v>92</v>
      </c>
      <c r="I1538">
        <v>270</v>
      </c>
      <c r="J1538">
        <v>101</v>
      </c>
      <c r="K1538">
        <v>225</v>
      </c>
      <c r="L1538">
        <v>585</v>
      </c>
      <c r="M1538">
        <v>150</v>
      </c>
      <c r="N1538">
        <v>542</v>
      </c>
      <c r="O1538">
        <v>737</v>
      </c>
      <c r="P1538" s="1">
        <v>44256</v>
      </c>
      <c r="Q1538">
        <v>518</v>
      </c>
    </row>
    <row r="1539" spans="1:17" x14ac:dyDescent="0.25">
      <c r="A1539" s="1">
        <v>44774</v>
      </c>
      <c r="B1539" t="s">
        <v>145</v>
      </c>
      <c r="C1539" t="s">
        <v>59</v>
      </c>
      <c r="D1539" t="s">
        <v>58</v>
      </c>
      <c r="E1539">
        <v>570</v>
      </c>
      <c r="F1539">
        <v>104</v>
      </c>
      <c r="G1539">
        <v>198</v>
      </c>
      <c r="H1539">
        <v>143</v>
      </c>
      <c r="I1539">
        <v>22</v>
      </c>
      <c r="J1539">
        <v>74</v>
      </c>
      <c r="K1539">
        <v>69</v>
      </c>
      <c r="L1539">
        <v>278</v>
      </c>
      <c r="M1539">
        <v>132</v>
      </c>
      <c r="N1539">
        <v>763</v>
      </c>
      <c r="O1539">
        <v>146</v>
      </c>
      <c r="P1539" s="1">
        <v>44287</v>
      </c>
      <c r="Q1539">
        <v>487</v>
      </c>
    </row>
    <row r="1540" spans="1:17" x14ac:dyDescent="0.25">
      <c r="A1540" s="1">
        <v>44805</v>
      </c>
      <c r="B1540" t="s">
        <v>144</v>
      </c>
      <c r="C1540" t="s">
        <v>56</v>
      </c>
      <c r="D1540" t="s">
        <v>55</v>
      </c>
      <c r="E1540">
        <v>450</v>
      </c>
      <c r="F1540">
        <v>89</v>
      </c>
      <c r="G1540">
        <v>85</v>
      </c>
      <c r="H1540">
        <v>348</v>
      </c>
      <c r="I1540">
        <v>279</v>
      </c>
      <c r="J1540">
        <v>715</v>
      </c>
      <c r="K1540">
        <v>867</v>
      </c>
      <c r="L1540">
        <v>265</v>
      </c>
      <c r="M1540">
        <v>161</v>
      </c>
      <c r="N1540">
        <v>77</v>
      </c>
      <c r="O1540">
        <v>673</v>
      </c>
      <c r="P1540" s="1">
        <v>44256</v>
      </c>
      <c r="Q1540">
        <v>549</v>
      </c>
    </row>
    <row r="1541" spans="1:17" x14ac:dyDescent="0.25">
      <c r="A1541" s="1">
        <v>44805</v>
      </c>
      <c r="B1541" t="s">
        <v>145</v>
      </c>
      <c r="C1541" t="s">
        <v>59</v>
      </c>
      <c r="D1541" t="s">
        <v>58</v>
      </c>
      <c r="E1541">
        <v>249</v>
      </c>
      <c r="F1541">
        <v>176</v>
      </c>
      <c r="G1541">
        <v>61</v>
      </c>
      <c r="H1541">
        <v>483</v>
      </c>
      <c r="I1541">
        <v>-21</v>
      </c>
      <c r="J1541">
        <v>80</v>
      </c>
      <c r="K1541">
        <v>86</v>
      </c>
      <c r="L1541">
        <v>266</v>
      </c>
      <c r="M1541">
        <v>152</v>
      </c>
      <c r="N1541">
        <v>357</v>
      </c>
      <c r="O1541">
        <v>105</v>
      </c>
      <c r="P1541" s="1">
        <v>44287</v>
      </c>
      <c r="Q1541">
        <v>518</v>
      </c>
    </row>
    <row r="1542" spans="1:17" x14ac:dyDescent="0.25">
      <c r="A1542" s="1">
        <v>44805</v>
      </c>
      <c r="B1542" t="s">
        <v>146</v>
      </c>
      <c r="C1542" t="s">
        <v>62</v>
      </c>
      <c r="D1542" t="s">
        <v>61</v>
      </c>
      <c r="E1542">
        <v>691</v>
      </c>
      <c r="F1542">
        <v>46</v>
      </c>
      <c r="G1542">
        <v>94</v>
      </c>
      <c r="H1542">
        <v>22</v>
      </c>
      <c r="I1542">
        <v>173</v>
      </c>
      <c r="J1542">
        <v>154</v>
      </c>
      <c r="K1542">
        <v>62</v>
      </c>
      <c r="L1542">
        <v>364</v>
      </c>
      <c r="M1542">
        <v>94</v>
      </c>
      <c r="N1542">
        <v>111</v>
      </c>
      <c r="O1542">
        <v>93</v>
      </c>
      <c r="P1542" s="1">
        <v>44075</v>
      </c>
      <c r="Q1542">
        <v>730</v>
      </c>
    </row>
    <row r="1543" spans="1:17" x14ac:dyDescent="0.25">
      <c r="A1543" s="1">
        <v>44805</v>
      </c>
      <c r="B1543" t="s">
        <v>147</v>
      </c>
      <c r="C1543" t="s">
        <v>64</v>
      </c>
      <c r="D1543" t="s">
        <v>52</v>
      </c>
      <c r="E1543">
        <v>193</v>
      </c>
      <c r="F1543">
        <v>367</v>
      </c>
      <c r="G1543">
        <v>19</v>
      </c>
      <c r="H1543">
        <v>112</v>
      </c>
      <c r="I1543">
        <v>28</v>
      </c>
      <c r="J1543">
        <v>81</v>
      </c>
      <c r="K1543">
        <v>119</v>
      </c>
      <c r="L1543">
        <v>44</v>
      </c>
      <c r="M1543">
        <v>61</v>
      </c>
      <c r="N1543">
        <v>63</v>
      </c>
      <c r="O1543">
        <v>78</v>
      </c>
      <c r="P1543" s="1">
        <v>43862</v>
      </c>
      <c r="Q1543">
        <v>943</v>
      </c>
    </row>
    <row r="1544" spans="1:17" x14ac:dyDescent="0.25">
      <c r="A1544" s="1">
        <v>44805</v>
      </c>
      <c r="B1544" t="s">
        <v>148</v>
      </c>
      <c r="C1544" t="s">
        <v>66</v>
      </c>
      <c r="D1544" t="s">
        <v>55</v>
      </c>
      <c r="E1544">
        <v>366</v>
      </c>
      <c r="F1544">
        <v>324</v>
      </c>
      <c r="G1544">
        <v>63</v>
      </c>
      <c r="H1544">
        <v>372</v>
      </c>
      <c r="I1544">
        <v>61</v>
      </c>
      <c r="J1544">
        <v>146</v>
      </c>
      <c r="K1544">
        <v>420</v>
      </c>
      <c r="L1544">
        <v>146</v>
      </c>
      <c r="M1544">
        <v>231</v>
      </c>
      <c r="N1544">
        <v>393</v>
      </c>
      <c r="O1544">
        <v>434</v>
      </c>
      <c r="P1544" s="1">
        <v>44256</v>
      </c>
      <c r="Q1544">
        <v>549</v>
      </c>
    </row>
    <row r="1545" spans="1:17" x14ac:dyDescent="0.25">
      <c r="A1545" s="1">
        <v>44805</v>
      </c>
      <c r="B1545" t="s">
        <v>149</v>
      </c>
      <c r="C1545" t="s">
        <v>67</v>
      </c>
      <c r="D1545" t="s">
        <v>55</v>
      </c>
      <c r="E1545">
        <v>257</v>
      </c>
      <c r="F1545">
        <v>514</v>
      </c>
      <c r="G1545">
        <v>167</v>
      </c>
      <c r="H1545">
        <v>489</v>
      </c>
      <c r="I1545">
        <v>420</v>
      </c>
      <c r="J1545">
        <v>353</v>
      </c>
      <c r="K1545">
        <v>189</v>
      </c>
      <c r="L1545">
        <v>407</v>
      </c>
      <c r="M1545">
        <v>548</v>
      </c>
      <c r="N1545">
        <v>511</v>
      </c>
      <c r="O1545">
        <v>321</v>
      </c>
      <c r="P1545" s="1">
        <v>44256</v>
      </c>
      <c r="Q1545">
        <v>549</v>
      </c>
    </row>
    <row r="1546" spans="1:17" x14ac:dyDescent="0.25">
      <c r="A1546" s="1">
        <v>44805</v>
      </c>
      <c r="B1546" t="s">
        <v>150</v>
      </c>
      <c r="C1546" t="s">
        <v>69</v>
      </c>
      <c r="D1546" t="s">
        <v>68</v>
      </c>
      <c r="E1546">
        <v>410</v>
      </c>
      <c r="F1546">
        <v>50</v>
      </c>
      <c r="G1546">
        <v>96</v>
      </c>
      <c r="H1546">
        <v>673</v>
      </c>
      <c r="I1546">
        <v>86</v>
      </c>
      <c r="J1546">
        <v>150</v>
      </c>
      <c r="K1546">
        <v>96</v>
      </c>
      <c r="L1546">
        <v>237</v>
      </c>
      <c r="M1546">
        <v>128</v>
      </c>
      <c r="N1546">
        <v>118</v>
      </c>
      <c r="O1546">
        <v>691</v>
      </c>
      <c r="P1546" s="1">
        <v>44317</v>
      </c>
      <c r="Q1546">
        <v>488</v>
      </c>
    </row>
    <row r="1547" spans="1:17" x14ac:dyDescent="0.25">
      <c r="A1547" s="1">
        <v>44805</v>
      </c>
      <c r="B1547" t="s">
        <v>151</v>
      </c>
      <c r="C1547" t="s">
        <v>71</v>
      </c>
      <c r="D1547" t="s">
        <v>70</v>
      </c>
      <c r="E1547">
        <v>87</v>
      </c>
      <c r="F1547">
        <v>166</v>
      </c>
      <c r="G1547">
        <v>128</v>
      </c>
      <c r="H1547">
        <v>110</v>
      </c>
      <c r="I1547">
        <v>371</v>
      </c>
      <c r="J1547">
        <v>76</v>
      </c>
      <c r="K1547">
        <v>33</v>
      </c>
      <c r="L1547">
        <v>97</v>
      </c>
      <c r="M1547">
        <v>384</v>
      </c>
      <c r="N1547">
        <v>72</v>
      </c>
      <c r="O1547">
        <v>80</v>
      </c>
      <c r="P1547" s="1">
        <v>44136</v>
      </c>
      <c r="Q1547">
        <v>669</v>
      </c>
    </row>
    <row r="1548" spans="1:17" x14ac:dyDescent="0.25">
      <c r="A1548" s="1">
        <v>44805</v>
      </c>
      <c r="B1548" t="s">
        <v>152</v>
      </c>
      <c r="C1548" t="s">
        <v>11</v>
      </c>
      <c r="D1548" t="s">
        <v>52</v>
      </c>
      <c r="E1548">
        <v>25</v>
      </c>
      <c r="F1548">
        <v>18</v>
      </c>
      <c r="G1548">
        <v>74</v>
      </c>
      <c r="H1548">
        <v>70</v>
      </c>
      <c r="I1548">
        <v>17</v>
      </c>
      <c r="J1548">
        <v>81</v>
      </c>
      <c r="K1548">
        <v>77</v>
      </c>
      <c r="L1548">
        <v>95</v>
      </c>
      <c r="M1548">
        <v>81</v>
      </c>
      <c r="N1548">
        <v>54</v>
      </c>
      <c r="O1548">
        <v>44</v>
      </c>
      <c r="P1548" s="1">
        <v>43862</v>
      </c>
      <c r="Q1548">
        <v>943</v>
      </c>
    </row>
    <row r="1549" spans="1:17" x14ac:dyDescent="0.25">
      <c r="A1549" s="1">
        <v>44805</v>
      </c>
      <c r="B1549" t="s">
        <v>153</v>
      </c>
      <c r="C1549" t="s">
        <v>73</v>
      </c>
      <c r="D1549" t="s">
        <v>72</v>
      </c>
      <c r="E1549">
        <v>240</v>
      </c>
      <c r="F1549">
        <v>285</v>
      </c>
      <c r="G1549">
        <v>245</v>
      </c>
      <c r="H1549">
        <v>474</v>
      </c>
      <c r="I1549">
        <v>215</v>
      </c>
      <c r="J1549">
        <v>443</v>
      </c>
      <c r="K1549">
        <v>243</v>
      </c>
      <c r="L1549">
        <v>836</v>
      </c>
      <c r="M1549">
        <v>773</v>
      </c>
      <c r="N1549">
        <v>47</v>
      </c>
      <c r="O1549">
        <v>836</v>
      </c>
      <c r="P1549" s="1">
        <v>44440</v>
      </c>
      <c r="Q1549">
        <v>365</v>
      </c>
    </row>
    <row r="1550" spans="1:17" x14ac:dyDescent="0.25">
      <c r="A1550" s="1">
        <v>44805</v>
      </c>
      <c r="B1550" t="s">
        <v>154</v>
      </c>
      <c r="C1550" t="s">
        <v>17</v>
      </c>
      <c r="D1550" t="s">
        <v>74</v>
      </c>
      <c r="E1550">
        <v>374</v>
      </c>
      <c r="F1550">
        <v>473</v>
      </c>
      <c r="G1550">
        <v>91</v>
      </c>
      <c r="H1550">
        <v>184</v>
      </c>
      <c r="I1550">
        <v>177</v>
      </c>
      <c r="J1550">
        <v>479</v>
      </c>
      <c r="K1550">
        <v>37</v>
      </c>
      <c r="L1550">
        <v>399</v>
      </c>
      <c r="M1550">
        <v>308</v>
      </c>
      <c r="N1550">
        <v>330</v>
      </c>
      <c r="O1550">
        <v>443</v>
      </c>
      <c r="P1550" s="1">
        <v>44197</v>
      </c>
      <c r="Q1550">
        <v>608</v>
      </c>
    </row>
    <row r="1551" spans="1:17" x14ac:dyDescent="0.25">
      <c r="A1551" s="1">
        <v>44805</v>
      </c>
      <c r="B1551" t="s">
        <v>155</v>
      </c>
      <c r="C1551" t="s">
        <v>76</v>
      </c>
      <c r="D1551" t="s">
        <v>75</v>
      </c>
      <c r="E1551">
        <v>67</v>
      </c>
      <c r="F1551">
        <v>116</v>
      </c>
      <c r="G1551">
        <v>111</v>
      </c>
      <c r="H1551">
        <v>122</v>
      </c>
      <c r="I1551">
        <v>80</v>
      </c>
      <c r="J1551">
        <v>60</v>
      </c>
      <c r="K1551">
        <v>4</v>
      </c>
      <c r="L1551">
        <v>89</v>
      </c>
      <c r="M1551">
        <v>576</v>
      </c>
      <c r="N1551">
        <v>95</v>
      </c>
      <c r="O1551">
        <v>85</v>
      </c>
      <c r="P1551" s="1">
        <v>44470</v>
      </c>
      <c r="Q1551">
        <v>335</v>
      </c>
    </row>
    <row r="1552" spans="1:17" x14ac:dyDescent="0.25">
      <c r="A1552" s="1">
        <v>44805</v>
      </c>
      <c r="B1552" t="s">
        <v>156</v>
      </c>
      <c r="C1552" t="s">
        <v>79</v>
      </c>
      <c r="D1552" t="s">
        <v>78</v>
      </c>
      <c r="E1552">
        <v>39</v>
      </c>
      <c r="F1552">
        <v>96</v>
      </c>
      <c r="G1552">
        <v>154</v>
      </c>
      <c r="H1552">
        <v>92</v>
      </c>
      <c r="I1552">
        <v>149</v>
      </c>
      <c r="J1552">
        <v>53</v>
      </c>
      <c r="K1552">
        <v>25</v>
      </c>
      <c r="L1552">
        <v>87</v>
      </c>
      <c r="M1552">
        <v>74</v>
      </c>
      <c r="N1552">
        <v>612</v>
      </c>
      <c r="O1552">
        <v>57</v>
      </c>
      <c r="P1552" s="1">
        <v>44348</v>
      </c>
      <c r="Q1552">
        <v>457</v>
      </c>
    </row>
    <row r="1553" spans="1:17" x14ac:dyDescent="0.25">
      <c r="A1553" s="1">
        <v>44805</v>
      </c>
      <c r="B1553" t="s">
        <v>157</v>
      </c>
      <c r="C1553" t="s">
        <v>81</v>
      </c>
      <c r="D1553" t="s">
        <v>72</v>
      </c>
      <c r="E1553">
        <v>458</v>
      </c>
      <c r="F1553">
        <v>1297</v>
      </c>
      <c r="G1553">
        <v>153</v>
      </c>
      <c r="H1553">
        <v>822</v>
      </c>
      <c r="I1553">
        <v>961</v>
      </c>
      <c r="J1553">
        <v>438</v>
      </c>
      <c r="K1553">
        <v>1085</v>
      </c>
      <c r="L1553">
        <v>718</v>
      </c>
      <c r="M1553">
        <v>840</v>
      </c>
      <c r="N1553">
        <v>1288</v>
      </c>
      <c r="O1553">
        <v>163</v>
      </c>
      <c r="P1553" s="1">
        <v>44440</v>
      </c>
      <c r="Q1553">
        <v>365</v>
      </c>
    </row>
    <row r="1554" spans="1:17" x14ac:dyDescent="0.25">
      <c r="A1554" s="1">
        <v>44805</v>
      </c>
      <c r="B1554" t="s">
        <v>158</v>
      </c>
      <c r="C1554" t="s">
        <v>83</v>
      </c>
      <c r="D1554" t="s">
        <v>82</v>
      </c>
      <c r="E1554">
        <v>577</v>
      </c>
      <c r="F1554">
        <v>386</v>
      </c>
      <c r="G1554">
        <v>205</v>
      </c>
      <c r="H1554">
        <v>296</v>
      </c>
      <c r="I1554">
        <v>482</v>
      </c>
      <c r="J1554">
        <v>359</v>
      </c>
      <c r="K1554">
        <v>477</v>
      </c>
      <c r="L1554">
        <v>623</v>
      </c>
      <c r="M1554">
        <v>260</v>
      </c>
      <c r="N1554">
        <v>153</v>
      </c>
      <c r="O1554">
        <v>515</v>
      </c>
      <c r="P1554" s="1">
        <v>44228</v>
      </c>
      <c r="Q1554">
        <v>577</v>
      </c>
    </row>
    <row r="1555" spans="1:17" x14ac:dyDescent="0.25">
      <c r="A1555" s="1">
        <v>44805</v>
      </c>
      <c r="B1555" t="s">
        <v>159</v>
      </c>
      <c r="C1555" t="s">
        <v>84</v>
      </c>
      <c r="D1555" t="s">
        <v>55</v>
      </c>
      <c r="E1555">
        <v>63</v>
      </c>
      <c r="F1555">
        <v>272</v>
      </c>
      <c r="G1555">
        <v>101</v>
      </c>
      <c r="H1555">
        <v>408</v>
      </c>
      <c r="I1555">
        <v>247</v>
      </c>
      <c r="J1555">
        <v>101</v>
      </c>
      <c r="K1555">
        <v>335</v>
      </c>
      <c r="L1555">
        <v>520</v>
      </c>
      <c r="M1555">
        <v>171</v>
      </c>
      <c r="N1555">
        <v>104</v>
      </c>
      <c r="O1555">
        <v>50</v>
      </c>
      <c r="P1555" s="1">
        <v>44256</v>
      </c>
      <c r="Q1555">
        <v>549</v>
      </c>
    </row>
    <row r="1556" spans="1:17" x14ac:dyDescent="0.25">
      <c r="A1556" s="1">
        <v>44805</v>
      </c>
      <c r="B1556" t="s">
        <v>160</v>
      </c>
      <c r="C1556" t="s">
        <v>86</v>
      </c>
      <c r="D1556" t="s">
        <v>68</v>
      </c>
      <c r="E1556">
        <v>168</v>
      </c>
      <c r="F1556">
        <v>224</v>
      </c>
      <c r="G1556">
        <v>38</v>
      </c>
      <c r="H1556">
        <v>713</v>
      </c>
      <c r="I1556">
        <v>698</v>
      </c>
      <c r="J1556">
        <v>181</v>
      </c>
      <c r="K1556">
        <v>437</v>
      </c>
      <c r="L1556">
        <v>169</v>
      </c>
      <c r="M1556">
        <v>478</v>
      </c>
      <c r="N1556">
        <v>173</v>
      </c>
      <c r="O1556">
        <v>575</v>
      </c>
      <c r="P1556" s="1">
        <v>44317</v>
      </c>
      <c r="Q1556">
        <v>488</v>
      </c>
    </row>
    <row r="1557" spans="1:17" x14ac:dyDescent="0.25">
      <c r="A1557" s="1">
        <v>44805</v>
      </c>
      <c r="B1557" t="s">
        <v>161</v>
      </c>
      <c r="C1557" t="s">
        <v>87</v>
      </c>
      <c r="D1557" t="s">
        <v>72</v>
      </c>
      <c r="E1557">
        <v>470</v>
      </c>
      <c r="F1557">
        <v>1114</v>
      </c>
      <c r="G1557">
        <v>287</v>
      </c>
      <c r="H1557">
        <v>313</v>
      </c>
      <c r="I1557">
        <v>551</v>
      </c>
      <c r="J1557">
        <v>590</v>
      </c>
      <c r="K1557">
        <v>783</v>
      </c>
      <c r="L1557">
        <v>723</v>
      </c>
      <c r="M1557">
        <v>743</v>
      </c>
      <c r="N1557">
        <v>479</v>
      </c>
      <c r="O1557">
        <v>665</v>
      </c>
      <c r="P1557" s="1">
        <v>44440</v>
      </c>
      <c r="Q1557">
        <v>365</v>
      </c>
    </row>
    <row r="1558" spans="1:17" x14ac:dyDescent="0.25">
      <c r="A1558" s="1">
        <v>44805</v>
      </c>
      <c r="B1558" t="s">
        <v>162</v>
      </c>
      <c r="C1558" t="s">
        <v>89</v>
      </c>
      <c r="D1558" t="s">
        <v>88</v>
      </c>
      <c r="E1558">
        <v>106</v>
      </c>
      <c r="F1558">
        <v>64</v>
      </c>
      <c r="G1558">
        <v>83</v>
      </c>
      <c r="H1558">
        <v>300</v>
      </c>
      <c r="I1558">
        <v>120</v>
      </c>
      <c r="J1558">
        <v>111</v>
      </c>
      <c r="K1558">
        <v>651</v>
      </c>
      <c r="L1558">
        <v>46</v>
      </c>
      <c r="M1558">
        <v>259</v>
      </c>
      <c r="N1558">
        <v>30</v>
      </c>
      <c r="O1558">
        <v>300</v>
      </c>
      <c r="P1558" s="1">
        <v>44044</v>
      </c>
      <c r="Q1558">
        <v>761</v>
      </c>
    </row>
    <row r="1559" spans="1:17" x14ac:dyDescent="0.25">
      <c r="A1559" s="1">
        <v>44805</v>
      </c>
      <c r="B1559" t="s">
        <v>163</v>
      </c>
      <c r="C1559" t="s">
        <v>90</v>
      </c>
      <c r="D1559" t="s">
        <v>82</v>
      </c>
      <c r="E1559">
        <v>184</v>
      </c>
      <c r="F1559">
        <v>105</v>
      </c>
      <c r="G1559">
        <v>35</v>
      </c>
      <c r="H1559">
        <v>281</v>
      </c>
      <c r="I1559">
        <v>967</v>
      </c>
      <c r="J1559">
        <v>97</v>
      </c>
      <c r="K1559">
        <v>69</v>
      </c>
      <c r="L1559">
        <v>126</v>
      </c>
      <c r="M1559">
        <v>286</v>
      </c>
      <c r="N1559">
        <v>516</v>
      </c>
      <c r="O1559">
        <v>107</v>
      </c>
      <c r="P1559" s="1">
        <v>44228</v>
      </c>
      <c r="Q1559">
        <v>577</v>
      </c>
    </row>
    <row r="1560" spans="1:17" x14ac:dyDescent="0.25">
      <c r="A1560" s="1">
        <v>44805</v>
      </c>
      <c r="B1560" t="s">
        <v>164</v>
      </c>
      <c r="C1560" t="s">
        <v>92</v>
      </c>
      <c r="D1560" t="s">
        <v>91</v>
      </c>
      <c r="E1560">
        <v>384</v>
      </c>
      <c r="F1560">
        <v>52</v>
      </c>
      <c r="G1560">
        <v>112</v>
      </c>
      <c r="H1560">
        <v>18</v>
      </c>
      <c r="I1560">
        <v>74</v>
      </c>
      <c r="J1560">
        <v>109</v>
      </c>
      <c r="K1560">
        <v>52</v>
      </c>
      <c r="L1560">
        <v>75</v>
      </c>
      <c r="M1560">
        <v>124</v>
      </c>
      <c r="N1560">
        <v>-22</v>
      </c>
      <c r="O1560">
        <v>140</v>
      </c>
      <c r="P1560" s="1">
        <v>44105</v>
      </c>
      <c r="Q1560">
        <v>700</v>
      </c>
    </row>
    <row r="1561" spans="1:17" x14ac:dyDescent="0.25">
      <c r="A1561" s="1">
        <v>44805</v>
      </c>
      <c r="B1561" t="s">
        <v>165</v>
      </c>
      <c r="C1561" t="s">
        <v>94</v>
      </c>
      <c r="D1561" t="s">
        <v>93</v>
      </c>
      <c r="E1561">
        <v>64</v>
      </c>
      <c r="F1561">
        <v>56</v>
      </c>
      <c r="G1561">
        <v>71</v>
      </c>
      <c r="H1561">
        <v>147</v>
      </c>
      <c r="I1561">
        <v>61</v>
      </c>
      <c r="J1561">
        <v>67</v>
      </c>
      <c r="K1561">
        <v>81</v>
      </c>
      <c r="L1561">
        <v>111</v>
      </c>
      <c r="M1561">
        <v>76</v>
      </c>
      <c r="N1561">
        <v>123</v>
      </c>
      <c r="O1561">
        <v>221</v>
      </c>
      <c r="P1561" s="1">
        <v>43586</v>
      </c>
      <c r="Q1561">
        <v>1219</v>
      </c>
    </row>
    <row r="1562" spans="1:17" x14ac:dyDescent="0.25">
      <c r="A1562" s="1">
        <v>44805</v>
      </c>
      <c r="B1562" t="s">
        <v>166</v>
      </c>
      <c r="C1562" t="s">
        <v>96</v>
      </c>
      <c r="D1562" t="s">
        <v>95</v>
      </c>
      <c r="E1562">
        <v>81</v>
      </c>
      <c r="F1562">
        <v>61</v>
      </c>
      <c r="G1562">
        <v>65</v>
      </c>
      <c r="H1562">
        <v>183</v>
      </c>
      <c r="I1562">
        <v>82</v>
      </c>
      <c r="J1562">
        <v>49</v>
      </c>
      <c r="K1562">
        <v>199</v>
      </c>
      <c r="L1562">
        <v>41</v>
      </c>
      <c r="M1562">
        <v>180</v>
      </c>
      <c r="N1562">
        <v>64</v>
      </c>
      <c r="O1562">
        <v>334</v>
      </c>
      <c r="P1562" s="1">
        <v>43678</v>
      </c>
      <c r="Q1562">
        <v>1127</v>
      </c>
    </row>
    <row r="1563" spans="1:17" x14ac:dyDescent="0.25">
      <c r="A1563" s="1">
        <v>44805</v>
      </c>
      <c r="B1563" t="s">
        <v>167</v>
      </c>
      <c r="C1563" t="s">
        <v>97</v>
      </c>
      <c r="D1563" t="s">
        <v>58</v>
      </c>
      <c r="E1563">
        <v>135</v>
      </c>
      <c r="F1563">
        <v>123</v>
      </c>
      <c r="G1563">
        <v>136</v>
      </c>
      <c r="H1563">
        <v>369</v>
      </c>
      <c r="I1563">
        <v>351</v>
      </c>
      <c r="J1563">
        <v>93</v>
      </c>
      <c r="K1563">
        <v>523</v>
      </c>
      <c r="L1563">
        <v>579</v>
      </c>
      <c r="M1563">
        <v>101</v>
      </c>
      <c r="N1563">
        <v>426</v>
      </c>
      <c r="O1563">
        <v>78</v>
      </c>
      <c r="P1563" s="1">
        <v>44287</v>
      </c>
      <c r="Q1563">
        <v>518</v>
      </c>
    </row>
    <row r="1564" spans="1:17" x14ac:dyDescent="0.25">
      <c r="A1564" s="1">
        <v>44805</v>
      </c>
      <c r="B1564" t="s">
        <v>168</v>
      </c>
      <c r="C1564" t="s">
        <v>98</v>
      </c>
      <c r="D1564" t="s">
        <v>49</v>
      </c>
      <c r="E1564">
        <v>192</v>
      </c>
      <c r="F1564">
        <v>53</v>
      </c>
      <c r="G1564">
        <v>30</v>
      </c>
      <c r="H1564">
        <v>27</v>
      </c>
      <c r="I1564">
        <v>93</v>
      </c>
      <c r="J1564">
        <v>79</v>
      </c>
      <c r="K1564">
        <v>54</v>
      </c>
      <c r="L1564">
        <v>267</v>
      </c>
      <c r="M1564">
        <v>76</v>
      </c>
      <c r="N1564">
        <v>345</v>
      </c>
      <c r="O1564">
        <v>37</v>
      </c>
      <c r="P1564" s="1">
        <v>43709</v>
      </c>
      <c r="Q1564">
        <v>1096</v>
      </c>
    </row>
    <row r="1565" spans="1:17" x14ac:dyDescent="0.25">
      <c r="A1565" s="1">
        <v>44805</v>
      </c>
      <c r="B1565" t="s">
        <v>169</v>
      </c>
      <c r="C1565" t="s">
        <v>99</v>
      </c>
      <c r="D1565" t="s">
        <v>95</v>
      </c>
      <c r="E1565">
        <v>91</v>
      </c>
      <c r="F1565">
        <v>144</v>
      </c>
      <c r="G1565">
        <v>74</v>
      </c>
      <c r="H1565">
        <v>133</v>
      </c>
      <c r="I1565">
        <v>131</v>
      </c>
      <c r="J1565">
        <v>140</v>
      </c>
      <c r="K1565">
        <v>338</v>
      </c>
      <c r="L1565">
        <v>85</v>
      </c>
      <c r="M1565">
        <v>185</v>
      </c>
      <c r="N1565">
        <v>79</v>
      </c>
      <c r="O1565">
        <v>107</v>
      </c>
      <c r="P1565" s="1">
        <v>43678</v>
      </c>
      <c r="Q1565">
        <v>1127</v>
      </c>
    </row>
    <row r="1566" spans="1:17" x14ac:dyDescent="0.25">
      <c r="A1566" s="1">
        <v>44805</v>
      </c>
      <c r="B1566" t="s">
        <v>170</v>
      </c>
      <c r="C1566" t="s">
        <v>100</v>
      </c>
      <c r="D1566" t="s">
        <v>82</v>
      </c>
      <c r="E1566">
        <v>97</v>
      </c>
      <c r="F1566">
        <v>60</v>
      </c>
      <c r="G1566">
        <v>23</v>
      </c>
      <c r="H1566">
        <v>448</v>
      </c>
      <c r="I1566">
        <v>276</v>
      </c>
      <c r="J1566">
        <v>85</v>
      </c>
      <c r="K1566">
        <v>285</v>
      </c>
      <c r="L1566">
        <v>242</v>
      </c>
      <c r="M1566">
        <v>118</v>
      </c>
      <c r="N1566">
        <v>251</v>
      </c>
      <c r="O1566">
        <v>141</v>
      </c>
      <c r="P1566" s="1">
        <v>44228</v>
      </c>
      <c r="Q1566">
        <v>577</v>
      </c>
    </row>
    <row r="1567" spans="1:17" x14ac:dyDescent="0.25">
      <c r="A1567" s="1">
        <v>44805</v>
      </c>
      <c r="B1567" t="s">
        <v>171</v>
      </c>
      <c r="C1567" t="s">
        <v>101</v>
      </c>
      <c r="D1567" t="s">
        <v>68</v>
      </c>
      <c r="E1567">
        <v>637</v>
      </c>
      <c r="F1567">
        <v>893</v>
      </c>
      <c r="G1567">
        <v>90</v>
      </c>
      <c r="H1567">
        <v>900</v>
      </c>
      <c r="I1567">
        <v>26</v>
      </c>
      <c r="J1567">
        <v>278</v>
      </c>
      <c r="K1567">
        <v>451</v>
      </c>
      <c r="L1567">
        <v>228</v>
      </c>
      <c r="M1567">
        <v>381</v>
      </c>
      <c r="N1567">
        <v>253</v>
      </c>
      <c r="O1567">
        <v>530</v>
      </c>
      <c r="P1567" s="1">
        <v>44317</v>
      </c>
      <c r="Q1567">
        <v>488</v>
      </c>
    </row>
    <row r="1568" spans="1:17" x14ac:dyDescent="0.25">
      <c r="A1568" s="1">
        <v>44805</v>
      </c>
      <c r="B1568" t="s">
        <v>172</v>
      </c>
      <c r="C1568" t="s">
        <v>102</v>
      </c>
      <c r="D1568" t="s">
        <v>88</v>
      </c>
      <c r="E1568">
        <v>21</v>
      </c>
      <c r="F1568">
        <v>47</v>
      </c>
      <c r="G1568">
        <v>115</v>
      </c>
      <c r="H1568">
        <v>44</v>
      </c>
      <c r="I1568">
        <v>78</v>
      </c>
      <c r="J1568">
        <v>160</v>
      </c>
      <c r="K1568">
        <v>176</v>
      </c>
      <c r="L1568">
        <v>88</v>
      </c>
      <c r="M1568">
        <v>155</v>
      </c>
      <c r="N1568">
        <v>-19</v>
      </c>
      <c r="O1568">
        <v>109</v>
      </c>
      <c r="P1568" s="1">
        <v>44044</v>
      </c>
      <c r="Q1568">
        <v>761</v>
      </c>
    </row>
    <row r="1569" spans="1:17" x14ac:dyDescent="0.25">
      <c r="A1569" s="1">
        <v>44805</v>
      </c>
      <c r="B1569" t="s">
        <v>173</v>
      </c>
      <c r="C1569" t="s">
        <v>103</v>
      </c>
      <c r="D1569" t="s">
        <v>52</v>
      </c>
      <c r="E1569">
        <v>49</v>
      </c>
      <c r="F1569">
        <v>18</v>
      </c>
      <c r="G1569">
        <v>2</v>
      </c>
      <c r="H1569">
        <v>315</v>
      </c>
      <c r="I1569">
        <v>-81</v>
      </c>
      <c r="J1569">
        <v>35</v>
      </c>
      <c r="K1569">
        <v>251</v>
      </c>
      <c r="L1569">
        <v>161</v>
      </c>
      <c r="M1569">
        <v>131</v>
      </c>
      <c r="N1569">
        <v>60</v>
      </c>
      <c r="O1569">
        <v>85</v>
      </c>
      <c r="P1569" s="1">
        <v>43862</v>
      </c>
      <c r="Q1569">
        <v>943</v>
      </c>
    </row>
    <row r="1570" spans="1:17" x14ac:dyDescent="0.25">
      <c r="A1570" s="1">
        <v>44805</v>
      </c>
      <c r="B1570" t="s">
        <v>174</v>
      </c>
      <c r="C1570" t="s">
        <v>105</v>
      </c>
      <c r="D1570" t="s">
        <v>104</v>
      </c>
      <c r="E1570">
        <v>29</v>
      </c>
      <c r="F1570">
        <v>60</v>
      </c>
      <c r="G1570">
        <v>58</v>
      </c>
      <c r="H1570">
        <v>149</v>
      </c>
      <c r="I1570">
        <v>245</v>
      </c>
      <c r="J1570">
        <v>24</v>
      </c>
      <c r="K1570">
        <v>37</v>
      </c>
      <c r="L1570">
        <v>37</v>
      </c>
      <c r="M1570">
        <v>169</v>
      </c>
      <c r="N1570">
        <v>101</v>
      </c>
      <c r="O1570">
        <v>143</v>
      </c>
      <c r="P1570" s="1">
        <v>43374</v>
      </c>
      <c r="Q1570">
        <v>1431</v>
      </c>
    </row>
    <row r="1571" spans="1:17" x14ac:dyDescent="0.25">
      <c r="A1571" s="1">
        <v>44805</v>
      </c>
      <c r="B1571" t="s">
        <v>142</v>
      </c>
      <c r="C1571" t="s">
        <v>50</v>
      </c>
      <c r="D1571" t="s">
        <v>49</v>
      </c>
      <c r="E1571">
        <v>267</v>
      </c>
      <c r="F1571">
        <v>175</v>
      </c>
      <c r="G1571">
        <v>117</v>
      </c>
      <c r="H1571">
        <v>223</v>
      </c>
      <c r="I1571">
        <v>178</v>
      </c>
      <c r="J1571">
        <v>375</v>
      </c>
      <c r="K1571">
        <v>67</v>
      </c>
      <c r="L1571">
        <v>210</v>
      </c>
      <c r="M1571">
        <v>313</v>
      </c>
      <c r="N1571">
        <v>272</v>
      </c>
      <c r="O1571">
        <v>252</v>
      </c>
      <c r="P1571" s="1">
        <v>43709</v>
      </c>
      <c r="Q1571">
        <v>1096</v>
      </c>
    </row>
    <row r="1572" spans="1:17" x14ac:dyDescent="0.25">
      <c r="A1572" s="1">
        <v>44805</v>
      </c>
      <c r="B1572" t="s">
        <v>143</v>
      </c>
      <c r="C1572" t="s">
        <v>53</v>
      </c>
      <c r="D1572" t="s">
        <v>52</v>
      </c>
      <c r="E1572">
        <v>207</v>
      </c>
      <c r="F1572">
        <v>130</v>
      </c>
      <c r="G1572">
        <v>66</v>
      </c>
      <c r="H1572">
        <v>234</v>
      </c>
      <c r="I1572">
        <v>281</v>
      </c>
      <c r="J1572">
        <v>346</v>
      </c>
      <c r="K1572">
        <v>43</v>
      </c>
      <c r="L1572">
        <v>317</v>
      </c>
      <c r="M1572">
        <v>292</v>
      </c>
      <c r="N1572">
        <v>299</v>
      </c>
      <c r="O1572">
        <v>376</v>
      </c>
      <c r="P1572" s="1">
        <v>43862</v>
      </c>
      <c r="Q1572">
        <v>943</v>
      </c>
    </row>
    <row r="1573" spans="1:17" x14ac:dyDescent="0.25">
      <c r="A1573" s="1">
        <v>44805</v>
      </c>
      <c r="B1573" t="s">
        <v>144</v>
      </c>
      <c r="C1573" t="s">
        <v>56</v>
      </c>
      <c r="D1573" t="s">
        <v>55</v>
      </c>
      <c r="E1573">
        <v>82</v>
      </c>
      <c r="F1573">
        <v>99</v>
      </c>
      <c r="G1573">
        <v>126</v>
      </c>
      <c r="H1573">
        <v>252</v>
      </c>
      <c r="I1573">
        <v>568</v>
      </c>
      <c r="J1573">
        <v>612</v>
      </c>
      <c r="K1573">
        <v>685</v>
      </c>
      <c r="L1573">
        <v>518</v>
      </c>
      <c r="M1573">
        <v>166</v>
      </c>
      <c r="N1573">
        <v>342</v>
      </c>
      <c r="O1573">
        <v>441</v>
      </c>
      <c r="P1573" s="1">
        <v>44256</v>
      </c>
      <c r="Q1573">
        <v>549</v>
      </c>
    </row>
    <row r="1574" spans="1:17" x14ac:dyDescent="0.25">
      <c r="A1574" s="1">
        <v>44805</v>
      </c>
      <c r="B1574" t="s">
        <v>145</v>
      </c>
      <c r="C1574" t="s">
        <v>59</v>
      </c>
      <c r="D1574" t="s">
        <v>58</v>
      </c>
      <c r="E1574">
        <v>265</v>
      </c>
      <c r="F1574">
        <v>60</v>
      </c>
      <c r="G1574">
        <v>226</v>
      </c>
      <c r="H1574">
        <v>512</v>
      </c>
      <c r="I1574">
        <v>302</v>
      </c>
      <c r="J1574">
        <v>178</v>
      </c>
      <c r="K1574">
        <v>143</v>
      </c>
      <c r="L1574">
        <v>621</v>
      </c>
      <c r="M1574">
        <v>49</v>
      </c>
      <c r="N1574">
        <v>204</v>
      </c>
      <c r="O1574">
        <v>154</v>
      </c>
      <c r="P1574" s="1">
        <v>44287</v>
      </c>
      <c r="Q1574">
        <v>518</v>
      </c>
    </row>
    <row r="1575" spans="1:17" x14ac:dyDescent="0.25">
      <c r="A1575" s="1">
        <v>44835</v>
      </c>
      <c r="B1575" t="s">
        <v>144</v>
      </c>
      <c r="C1575" t="s">
        <v>56</v>
      </c>
      <c r="D1575" t="s">
        <v>55</v>
      </c>
      <c r="E1575">
        <v>543</v>
      </c>
      <c r="F1575">
        <v>91</v>
      </c>
      <c r="G1575">
        <v>106</v>
      </c>
      <c r="H1575">
        <v>848</v>
      </c>
      <c r="I1575">
        <v>539</v>
      </c>
      <c r="J1575">
        <v>238</v>
      </c>
      <c r="K1575">
        <v>634</v>
      </c>
      <c r="L1575">
        <v>618</v>
      </c>
      <c r="M1575">
        <v>3</v>
      </c>
      <c r="N1575">
        <v>420</v>
      </c>
      <c r="O1575">
        <v>387</v>
      </c>
      <c r="P1575" s="1">
        <v>44256</v>
      </c>
      <c r="Q1575">
        <v>579</v>
      </c>
    </row>
    <row r="1576" spans="1:17" x14ac:dyDescent="0.25">
      <c r="A1576" s="1">
        <v>44835</v>
      </c>
      <c r="B1576" t="s">
        <v>145</v>
      </c>
      <c r="C1576" t="s">
        <v>59</v>
      </c>
      <c r="D1576" t="s">
        <v>58</v>
      </c>
      <c r="E1576">
        <v>655</v>
      </c>
      <c r="F1576">
        <v>93</v>
      </c>
      <c r="G1576">
        <v>116</v>
      </c>
      <c r="H1576">
        <v>264</v>
      </c>
      <c r="I1576">
        <v>234</v>
      </c>
      <c r="J1576">
        <v>53</v>
      </c>
      <c r="K1576">
        <v>-17</v>
      </c>
      <c r="L1576">
        <v>152</v>
      </c>
      <c r="M1576">
        <v>35</v>
      </c>
      <c r="N1576">
        <v>258</v>
      </c>
      <c r="O1576">
        <v>185</v>
      </c>
      <c r="P1576" s="1">
        <v>44287</v>
      </c>
      <c r="Q1576">
        <v>548</v>
      </c>
    </row>
    <row r="1577" spans="1:17" x14ac:dyDescent="0.25">
      <c r="A1577" s="1">
        <v>44835</v>
      </c>
      <c r="B1577" t="s">
        <v>146</v>
      </c>
      <c r="C1577" t="s">
        <v>62</v>
      </c>
      <c r="D1577" t="s">
        <v>61</v>
      </c>
      <c r="E1577">
        <v>226</v>
      </c>
      <c r="F1577">
        <v>223</v>
      </c>
      <c r="G1577">
        <v>164</v>
      </c>
      <c r="H1577">
        <v>100</v>
      </c>
      <c r="I1577">
        <v>144</v>
      </c>
      <c r="J1577">
        <v>44</v>
      </c>
      <c r="K1577">
        <v>37</v>
      </c>
      <c r="L1577">
        <v>153</v>
      </c>
      <c r="M1577">
        <v>144</v>
      </c>
      <c r="N1577">
        <v>101</v>
      </c>
      <c r="O1577">
        <v>17</v>
      </c>
      <c r="P1577" s="1">
        <v>44075</v>
      </c>
      <c r="Q1577">
        <v>760</v>
      </c>
    </row>
    <row r="1578" spans="1:17" x14ac:dyDescent="0.25">
      <c r="A1578" s="1">
        <v>44835</v>
      </c>
      <c r="B1578" t="s">
        <v>147</v>
      </c>
      <c r="C1578" t="s">
        <v>64</v>
      </c>
      <c r="D1578" t="s">
        <v>52</v>
      </c>
      <c r="E1578">
        <v>231</v>
      </c>
      <c r="F1578">
        <v>271</v>
      </c>
      <c r="G1578">
        <v>71</v>
      </c>
      <c r="H1578">
        <v>106</v>
      </c>
      <c r="I1578">
        <v>81</v>
      </c>
      <c r="J1578">
        <v>67</v>
      </c>
      <c r="K1578">
        <v>50</v>
      </c>
      <c r="L1578">
        <v>5</v>
      </c>
      <c r="M1578">
        <v>40</v>
      </c>
      <c r="N1578">
        <v>94</v>
      </c>
      <c r="O1578">
        <v>62</v>
      </c>
      <c r="P1578" s="1">
        <v>43862</v>
      </c>
      <c r="Q1578">
        <v>973</v>
      </c>
    </row>
    <row r="1579" spans="1:17" x14ac:dyDescent="0.25">
      <c r="A1579" s="1">
        <v>44835</v>
      </c>
      <c r="B1579" t="s">
        <v>148</v>
      </c>
      <c r="C1579" t="s">
        <v>66</v>
      </c>
      <c r="D1579" t="s">
        <v>55</v>
      </c>
      <c r="E1579">
        <v>387</v>
      </c>
      <c r="F1579">
        <v>722</v>
      </c>
      <c r="G1579">
        <v>32</v>
      </c>
      <c r="H1579">
        <v>797</v>
      </c>
      <c r="I1579">
        <v>105</v>
      </c>
      <c r="J1579">
        <v>121</v>
      </c>
      <c r="K1579">
        <v>157</v>
      </c>
      <c r="L1579">
        <v>106</v>
      </c>
      <c r="M1579">
        <v>134</v>
      </c>
      <c r="N1579">
        <v>351</v>
      </c>
      <c r="O1579">
        <v>248</v>
      </c>
      <c r="P1579" s="1">
        <v>44256</v>
      </c>
      <c r="Q1579">
        <v>579</v>
      </c>
    </row>
    <row r="1580" spans="1:17" x14ac:dyDescent="0.25">
      <c r="A1580" s="1">
        <v>44835</v>
      </c>
      <c r="B1580" t="s">
        <v>149</v>
      </c>
      <c r="C1580" t="s">
        <v>67</v>
      </c>
      <c r="D1580" t="s">
        <v>55</v>
      </c>
      <c r="E1580">
        <v>-129</v>
      </c>
      <c r="F1580">
        <v>272</v>
      </c>
      <c r="G1580">
        <v>134</v>
      </c>
      <c r="H1580">
        <v>820</v>
      </c>
      <c r="I1580">
        <v>93</v>
      </c>
      <c r="J1580">
        <v>483</v>
      </c>
      <c r="K1580">
        <v>570</v>
      </c>
      <c r="L1580">
        <v>339</v>
      </c>
      <c r="M1580">
        <v>185</v>
      </c>
      <c r="N1580">
        <v>269</v>
      </c>
      <c r="O1580">
        <v>125</v>
      </c>
      <c r="P1580" s="1">
        <v>44256</v>
      </c>
      <c r="Q1580">
        <v>579</v>
      </c>
    </row>
    <row r="1581" spans="1:17" x14ac:dyDescent="0.25">
      <c r="A1581" s="1">
        <v>44835</v>
      </c>
      <c r="B1581" t="s">
        <v>150</v>
      </c>
      <c r="C1581" t="s">
        <v>69</v>
      </c>
      <c r="D1581" t="s">
        <v>68</v>
      </c>
      <c r="E1581">
        <v>250</v>
      </c>
      <c r="F1581">
        <v>110</v>
      </c>
      <c r="G1581">
        <v>86</v>
      </c>
      <c r="H1581">
        <v>501</v>
      </c>
      <c r="I1581">
        <v>105</v>
      </c>
      <c r="J1581">
        <v>276</v>
      </c>
      <c r="K1581">
        <v>68</v>
      </c>
      <c r="L1581">
        <v>26</v>
      </c>
      <c r="M1581">
        <v>163</v>
      </c>
      <c r="N1581">
        <v>116</v>
      </c>
      <c r="O1581">
        <v>523</v>
      </c>
      <c r="P1581" s="1">
        <v>44317</v>
      </c>
      <c r="Q1581">
        <v>518</v>
      </c>
    </row>
    <row r="1582" spans="1:17" x14ac:dyDescent="0.25">
      <c r="A1582" s="1">
        <v>44835</v>
      </c>
      <c r="B1582" t="s">
        <v>151</v>
      </c>
      <c r="C1582" t="s">
        <v>71</v>
      </c>
      <c r="D1582" t="s">
        <v>70</v>
      </c>
      <c r="E1582">
        <v>95</v>
      </c>
      <c r="F1582">
        <v>58</v>
      </c>
      <c r="G1582">
        <v>-1</v>
      </c>
      <c r="H1582">
        <v>95</v>
      </c>
      <c r="I1582">
        <v>350</v>
      </c>
      <c r="J1582">
        <v>97</v>
      </c>
      <c r="K1582">
        <v>87</v>
      </c>
      <c r="L1582">
        <v>44</v>
      </c>
      <c r="M1582">
        <v>146</v>
      </c>
      <c r="N1582">
        <v>106</v>
      </c>
      <c r="O1582">
        <v>119</v>
      </c>
      <c r="P1582" s="1">
        <v>44136</v>
      </c>
      <c r="Q1582">
        <v>699</v>
      </c>
    </row>
    <row r="1583" spans="1:17" x14ac:dyDescent="0.25">
      <c r="A1583" s="1">
        <v>44835</v>
      </c>
      <c r="B1583" t="s">
        <v>152</v>
      </c>
      <c r="C1583" t="s">
        <v>11</v>
      </c>
      <c r="D1583" t="s">
        <v>52</v>
      </c>
      <c r="E1583">
        <v>85</v>
      </c>
      <c r="F1583">
        <v>101</v>
      </c>
      <c r="G1583">
        <v>88</v>
      </c>
      <c r="H1583">
        <v>333</v>
      </c>
      <c r="I1583">
        <v>65</v>
      </c>
      <c r="J1583">
        <v>68</v>
      </c>
      <c r="K1583">
        <v>11</v>
      </c>
      <c r="L1583">
        <v>89</v>
      </c>
      <c r="M1583">
        <v>30</v>
      </c>
      <c r="N1583">
        <v>47</v>
      </c>
      <c r="O1583">
        <v>86</v>
      </c>
      <c r="P1583" s="1">
        <v>43862</v>
      </c>
      <c r="Q1583">
        <v>973</v>
      </c>
    </row>
    <row r="1584" spans="1:17" x14ac:dyDescent="0.25">
      <c r="A1584" s="1">
        <v>44835</v>
      </c>
      <c r="B1584" t="s">
        <v>153</v>
      </c>
      <c r="C1584" t="s">
        <v>73</v>
      </c>
      <c r="D1584" t="s">
        <v>72</v>
      </c>
      <c r="E1584">
        <v>-31</v>
      </c>
      <c r="F1584">
        <v>234</v>
      </c>
      <c r="G1584">
        <v>241</v>
      </c>
      <c r="H1584">
        <v>575</v>
      </c>
      <c r="I1584">
        <v>211</v>
      </c>
      <c r="J1584">
        <v>545</v>
      </c>
      <c r="K1584">
        <v>78</v>
      </c>
      <c r="L1584">
        <v>642</v>
      </c>
      <c r="M1584">
        <v>758</v>
      </c>
      <c r="N1584">
        <v>129</v>
      </c>
      <c r="O1584">
        <v>65</v>
      </c>
      <c r="P1584" s="1">
        <v>44440</v>
      </c>
      <c r="Q1584">
        <v>395</v>
      </c>
    </row>
    <row r="1585" spans="1:17" x14ac:dyDescent="0.25">
      <c r="A1585" s="1">
        <v>44835</v>
      </c>
      <c r="B1585" t="s">
        <v>154</v>
      </c>
      <c r="C1585" t="s">
        <v>17</v>
      </c>
      <c r="D1585" t="s">
        <v>74</v>
      </c>
      <c r="E1585">
        <v>816</v>
      </c>
      <c r="F1585">
        <v>378</v>
      </c>
      <c r="G1585">
        <v>96</v>
      </c>
      <c r="H1585">
        <v>474</v>
      </c>
      <c r="I1585">
        <v>0</v>
      </c>
      <c r="J1585">
        <v>449</v>
      </c>
      <c r="K1585">
        <v>38</v>
      </c>
      <c r="L1585">
        <v>338</v>
      </c>
      <c r="M1585">
        <v>677</v>
      </c>
      <c r="N1585">
        <v>701</v>
      </c>
      <c r="O1585">
        <v>217</v>
      </c>
      <c r="P1585" s="1">
        <v>44197</v>
      </c>
      <c r="Q1585">
        <v>638</v>
      </c>
    </row>
    <row r="1586" spans="1:17" x14ac:dyDescent="0.25">
      <c r="A1586" s="1">
        <v>44835</v>
      </c>
      <c r="B1586" t="s">
        <v>155</v>
      </c>
      <c r="C1586" t="s">
        <v>76</v>
      </c>
      <c r="D1586" t="s">
        <v>75</v>
      </c>
      <c r="E1586">
        <v>96</v>
      </c>
      <c r="F1586">
        <v>74</v>
      </c>
      <c r="G1586">
        <v>125</v>
      </c>
      <c r="H1586">
        <v>99</v>
      </c>
      <c r="I1586">
        <v>85</v>
      </c>
      <c r="J1586">
        <v>127</v>
      </c>
      <c r="K1586">
        <v>117</v>
      </c>
      <c r="L1586">
        <v>89</v>
      </c>
      <c r="M1586">
        <v>765</v>
      </c>
      <c r="N1586">
        <v>59</v>
      </c>
      <c r="O1586">
        <v>127</v>
      </c>
      <c r="P1586" s="1">
        <v>44470</v>
      </c>
      <c r="Q1586">
        <v>365</v>
      </c>
    </row>
    <row r="1587" spans="1:17" x14ac:dyDescent="0.25">
      <c r="A1587" s="1">
        <v>44835</v>
      </c>
      <c r="B1587" t="s">
        <v>156</v>
      </c>
      <c r="C1587" t="s">
        <v>79</v>
      </c>
      <c r="D1587" t="s">
        <v>78</v>
      </c>
      <c r="E1587">
        <v>49</v>
      </c>
      <c r="F1587">
        <v>87</v>
      </c>
      <c r="G1587">
        <v>63</v>
      </c>
      <c r="H1587">
        <v>318</v>
      </c>
      <c r="I1587">
        <v>78</v>
      </c>
      <c r="J1587">
        <v>58</v>
      </c>
      <c r="K1587">
        <v>29</v>
      </c>
      <c r="L1587">
        <v>68</v>
      </c>
      <c r="M1587">
        <v>55</v>
      </c>
      <c r="N1587">
        <v>152</v>
      </c>
      <c r="O1587">
        <v>67</v>
      </c>
      <c r="P1587" s="1">
        <v>44348</v>
      </c>
      <c r="Q1587">
        <v>487</v>
      </c>
    </row>
    <row r="1588" spans="1:17" x14ac:dyDescent="0.25">
      <c r="A1588" s="1">
        <v>44835</v>
      </c>
      <c r="B1588" t="s">
        <v>157</v>
      </c>
      <c r="C1588" t="s">
        <v>81</v>
      </c>
      <c r="D1588" t="s">
        <v>72</v>
      </c>
      <c r="E1588">
        <v>403</v>
      </c>
      <c r="F1588">
        <v>668</v>
      </c>
      <c r="G1588">
        <v>134</v>
      </c>
      <c r="H1588">
        <v>521</v>
      </c>
      <c r="I1588">
        <v>256</v>
      </c>
      <c r="J1588">
        <v>-23</v>
      </c>
      <c r="K1588">
        <v>430</v>
      </c>
      <c r="L1588">
        <v>941</v>
      </c>
      <c r="M1588">
        <v>405</v>
      </c>
      <c r="N1588">
        <v>228</v>
      </c>
      <c r="O1588">
        <v>558</v>
      </c>
      <c r="P1588" s="1">
        <v>44440</v>
      </c>
      <c r="Q1588">
        <v>395</v>
      </c>
    </row>
    <row r="1589" spans="1:17" x14ac:dyDescent="0.25">
      <c r="A1589" s="1">
        <v>44835</v>
      </c>
      <c r="B1589" t="s">
        <v>158</v>
      </c>
      <c r="C1589" t="s">
        <v>83</v>
      </c>
      <c r="D1589" t="s">
        <v>82</v>
      </c>
      <c r="E1589">
        <v>403</v>
      </c>
      <c r="F1589">
        <v>292</v>
      </c>
      <c r="G1589">
        <v>137</v>
      </c>
      <c r="H1589">
        <v>288</v>
      </c>
      <c r="I1589">
        <v>307</v>
      </c>
      <c r="J1589">
        <v>521</v>
      </c>
      <c r="K1589">
        <v>318</v>
      </c>
      <c r="L1589">
        <v>287</v>
      </c>
      <c r="M1589">
        <v>242</v>
      </c>
      <c r="N1589">
        <v>409</v>
      </c>
      <c r="O1589">
        <v>329</v>
      </c>
      <c r="P1589" s="1">
        <v>44228</v>
      </c>
      <c r="Q1589">
        <v>607</v>
      </c>
    </row>
    <row r="1590" spans="1:17" x14ac:dyDescent="0.25">
      <c r="A1590" s="1">
        <v>44835</v>
      </c>
      <c r="B1590" t="s">
        <v>159</v>
      </c>
      <c r="C1590" t="s">
        <v>84</v>
      </c>
      <c r="D1590" t="s">
        <v>55</v>
      </c>
      <c r="E1590">
        <v>181</v>
      </c>
      <c r="F1590">
        <v>144</v>
      </c>
      <c r="G1590">
        <v>67</v>
      </c>
      <c r="H1590">
        <v>342</v>
      </c>
      <c r="I1590">
        <v>420</v>
      </c>
      <c r="J1590">
        <v>179</v>
      </c>
      <c r="K1590">
        <v>186</v>
      </c>
      <c r="L1590">
        <v>259</v>
      </c>
      <c r="M1590">
        <v>133</v>
      </c>
      <c r="N1590">
        <v>658</v>
      </c>
      <c r="O1590">
        <v>197</v>
      </c>
      <c r="P1590" s="1">
        <v>44256</v>
      </c>
      <c r="Q1590">
        <v>579</v>
      </c>
    </row>
    <row r="1591" spans="1:17" x14ac:dyDescent="0.25">
      <c r="A1591" s="1">
        <v>44835</v>
      </c>
      <c r="B1591" t="s">
        <v>160</v>
      </c>
      <c r="C1591" t="s">
        <v>86</v>
      </c>
      <c r="D1591" t="s">
        <v>68</v>
      </c>
      <c r="E1591">
        <v>607</v>
      </c>
      <c r="F1591">
        <v>91</v>
      </c>
      <c r="G1591">
        <v>63</v>
      </c>
      <c r="H1591">
        <v>449</v>
      </c>
      <c r="I1591">
        <v>333</v>
      </c>
      <c r="J1591">
        <v>-27</v>
      </c>
      <c r="K1591">
        <v>496</v>
      </c>
      <c r="L1591">
        <v>83</v>
      </c>
      <c r="M1591">
        <v>264</v>
      </c>
      <c r="N1591">
        <v>18</v>
      </c>
      <c r="O1591">
        <v>517</v>
      </c>
      <c r="P1591" s="1">
        <v>44317</v>
      </c>
      <c r="Q1591">
        <v>518</v>
      </c>
    </row>
    <row r="1592" spans="1:17" x14ac:dyDescent="0.25">
      <c r="A1592" s="1">
        <v>44835</v>
      </c>
      <c r="B1592" t="s">
        <v>161</v>
      </c>
      <c r="C1592" t="s">
        <v>87</v>
      </c>
      <c r="D1592" t="s">
        <v>72</v>
      </c>
      <c r="E1592">
        <v>650</v>
      </c>
      <c r="F1592">
        <v>577</v>
      </c>
      <c r="G1592">
        <v>208</v>
      </c>
      <c r="H1592">
        <v>131</v>
      </c>
      <c r="I1592">
        <v>695</v>
      </c>
      <c r="J1592">
        <v>372</v>
      </c>
      <c r="K1592">
        <v>492</v>
      </c>
      <c r="L1592">
        <v>550</v>
      </c>
      <c r="M1592">
        <v>783</v>
      </c>
      <c r="N1592">
        <v>506</v>
      </c>
      <c r="O1592">
        <v>944</v>
      </c>
      <c r="P1592" s="1">
        <v>44440</v>
      </c>
      <c r="Q1592">
        <v>395</v>
      </c>
    </row>
    <row r="1593" spans="1:17" x14ac:dyDescent="0.25">
      <c r="A1593" s="1">
        <v>44835</v>
      </c>
      <c r="B1593" t="s">
        <v>162</v>
      </c>
      <c r="C1593" t="s">
        <v>89</v>
      </c>
      <c r="D1593" t="s">
        <v>88</v>
      </c>
      <c r="E1593">
        <v>63</v>
      </c>
      <c r="F1593">
        <v>40</v>
      </c>
      <c r="G1593">
        <v>115</v>
      </c>
      <c r="H1593">
        <v>294</v>
      </c>
      <c r="I1593">
        <v>84</v>
      </c>
      <c r="J1593">
        <v>48</v>
      </c>
      <c r="K1593">
        <v>238</v>
      </c>
      <c r="L1593">
        <v>68</v>
      </c>
      <c r="M1593">
        <v>205</v>
      </c>
      <c r="N1593">
        <v>82</v>
      </c>
      <c r="O1593">
        <v>169</v>
      </c>
      <c r="P1593" s="1">
        <v>44044</v>
      </c>
      <c r="Q1593">
        <v>791</v>
      </c>
    </row>
    <row r="1594" spans="1:17" x14ac:dyDescent="0.25">
      <c r="A1594" s="1">
        <v>44835</v>
      </c>
      <c r="B1594" t="s">
        <v>163</v>
      </c>
      <c r="C1594" t="s">
        <v>90</v>
      </c>
      <c r="D1594" t="s">
        <v>82</v>
      </c>
      <c r="E1594">
        <v>429</v>
      </c>
      <c r="F1594">
        <v>102</v>
      </c>
      <c r="G1594">
        <v>131</v>
      </c>
      <c r="H1594">
        <v>286</v>
      </c>
      <c r="I1594">
        <v>317</v>
      </c>
      <c r="J1594">
        <v>99</v>
      </c>
      <c r="K1594">
        <v>112</v>
      </c>
      <c r="L1594">
        <v>82</v>
      </c>
      <c r="M1594">
        <v>86</v>
      </c>
      <c r="N1594">
        <v>460</v>
      </c>
      <c r="O1594">
        <v>78</v>
      </c>
      <c r="P1594" s="1">
        <v>44228</v>
      </c>
      <c r="Q1594">
        <v>607</v>
      </c>
    </row>
    <row r="1595" spans="1:17" x14ac:dyDescent="0.25">
      <c r="A1595" s="1">
        <v>44835</v>
      </c>
      <c r="B1595" t="s">
        <v>164</v>
      </c>
      <c r="C1595" t="s">
        <v>92</v>
      </c>
      <c r="D1595" t="s">
        <v>91</v>
      </c>
      <c r="E1595">
        <v>511</v>
      </c>
      <c r="F1595">
        <v>98</v>
      </c>
      <c r="G1595">
        <v>41</v>
      </c>
      <c r="H1595">
        <v>41</v>
      </c>
      <c r="I1595">
        <v>79</v>
      </c>
      <c r="J1595">
        <v>111</v>
      </c>
      <c r="K1595">
        <v>40</v>
      </c>
      <c r="L1595">
        <v>155</v>
      </c>
      <c r="M1595">
        <v>78</v>
      </c>
      <c r="N1595">
        <v>97</v>
      </c>
      <c r="O1595">
        <v>84</v>
      </c>
      <c r="P1595" s="1">
        <v>44105</v>
      </c>
      <c r="Q1595">
        <v>730</v>
      </c>
    </row>
    <row r="1596" spans="1:17" x14ac:dyDescent="0.25">
      <c r="A1596" s="1">
        <v>44835</v>
      </c>
      <c r="B1596" t="s">
        <v>165</v>
      </c>
      <c r="C1596" t="s">
        <v>94</v>
      </c>
      <c r="D1596" t="s">
        <v>93</v>
      </c>
      <c r="E1596">
        <v>211</v>
      </c>
      <c r="F1596">
        <v>66</v>
      </c>
      <c r="G1596">
        <v>61</v>
      </c>
      <c r="H1596">
        <v>88</v>
      </c>
      <c r="I1596">
        <v>278</v>
      </c>
      <c r="J1596">
        <v>43</v>
      </c>
      <c r="K1596">
        <v>23</v>
      </c>
      <c r="L1596">
        <v>182</v>
      </c>
      <c r="M1596">
        <v>64</v>
      </c>
      <c r="N1596">
        <v>246</v>
      </c>
      <c r="O1596">
        <v>170</v>
      </c>
      <c r="P1596" s="1">
        <v>43586</v>
      </c>
      <c r="Q1596">
        <v>1249</v>
      </c>
    </row>
    <row r="1597" spans="1:17" x14ac:dyDescent="0.25">
      <c r="A1597" s="1">
        <v>44835</v>
      </c>
      <c r="B1597" t="s">
        <v>166</v>
      </c>
      <c r="C1597" t="s">
        <v>96</v>
      </c>
      <c r="D1597" t="s">
        <v>95</v>
      </c>
      <c r="E1597">
        <v>66</v>
      </c>
      <c r="F1597">
        <v>43</v>
      </c>
      <c r="G1597">
        <v>70</v>
      </c>
      <c r="H1597">
        <v>310</v>
      </c>
      <c r="I1597">
        <v>82</v>
      </c>
      <c r="J1597">
        <v>37</v>
      </c>
      <c r="K1597">
        <v>230</v>
      </c>
      <c r="L1597">
        <v>42</v>
      </c>
      <c r="M1597">
        <v>-11</v>
      </c>
      <c r="N1597">
        <v>74</v>
      </c>
      <c r="O1597">
        <v>165</v>
      </c>
      <c r="P1597" s="1">
        <v>43678</v>
      </c>
      <c r="Q1597">
        <v>1157</v>
      </c>
    </row>
    <row r="1598" spans="1:17" x14ac:dyDescent="0.25">
      <c r="A1598" s="1">
        <v>44835</v>
      </c>
      <c r="B1598" t="s">
        <v>167</v>
      </c>
      <c r="C1598" t="s">
        <v>97</v>
      </c>
      <c r="D1598" t="s">
        <v>58</v>
      </c>
      <c r="E1598">
        <v>146</v>
      </c>
      <c r="F1598">
        <v>146</v>
      </c>
      <c r="G1598">
        <v>78</v>
      </c>
      <c r="H1598">
        <v>416</v>
      </c>
      <c r="I1598">
        <v>597</v>
      </c>
      <c r="J1598">
        <v>117</v>
      </c>
      <c r="K1598">
        <v>563</v>
      </c>
      <c r="L1598">
        <v>386</v>
      </c>
      <c r="M1598">
        <v>129</v>
      </c>
      <c r="N1598">
        <v>329</v>
      </c>
      <c r="O1598">
        <v>201</v>
      </c>
      <c r="P1598" s="1">
        <v>44287</v>
      </c>
      <c r="Q1598">
        <v>548</v>
      </c>
    </row>
    <row r="1599" spans="1:17" x14ac:dyDescent="0.25">
      <c r="A1599" s="1">
        <v>44835</v>
      </c>
      <c r="B1599" t="s">
        <v>168</v>
      </c>
      <c r="C1599" t="s">
        <v>98</v>
      </c>
      <c r="D1599" t="s">
        <v>49</v>
      </c>
      <c r="E1599">
        <v>108</v>
      </c>
      <c r="F1599">
        <v>24</v>
      </c>
      <c r="G1599">
        <v>25</v>
      </c>
      <c r="H1599">
        <v>84</v>
      </c>
      <c r="I1599">
        <v>87</v>
      </c>
      <c r="J1599">
        <v>61</v>
      </c>
      <c r="K1599">
        <v>40</v>
      </c>
      <c r="L1599">
        <v>220</v>
      </c>
      <c r="M1599">
        <v>0</v>
      </c>
      <c r="N1599">
        <v>232</v>
      </c>
      <c r="O1599">
        <v>40</v>
      </c>
      <c r="P1599" s="1">
        <v>43709</v>
      </c>
      <c r="Q1599">
        <v>1126</v>
      </c>
    </row>
    <row r="1600" spans="1:17" x14ac:dyDescent="0.25">
      <c r="A1600" s="1">
        <v>44835</v>
      </c>
      <c r="B1600" t="s">
        <v>169</v>
      </c>
      <c r="C1600" t="s">
        <v>99</v>
      </c>
      <c r="D1600" t="s">
        <v>95</v>
      </c>
      <c r="E1600">
        <v>28</v>
      </c>
      <c r="F1600">
        <v>123</v>
      </c>
      <c r="G1600">
        <v>46</v>
      </c>
      <c r="H1600">
        <v>196</v>
      </c>
      <c r="I1600">
        <v>158</v>
      </c>
      <c r="J1600">
        <v>111</v>
      </c>
      <c r="K1600">
        <v>306</v>
      </c>
      <c r="L1600">
        <v>37</v>
      </c>
      <c r="M1600">
        <v>61</v>
      </c>
      <c r="N1600">
        <v>79</v>
      </c>
      <c r="O1600">
        <v>77</v>
      </c>
      <c r="P1600" s="1">
        <v>43678</v>
      </c>
      <c r="Q1600">
        <v>1157</v>
      </c>
    </row>
    <row r="1601" spans="1:17" x14ac:dyDescent="0.25">
      <c r="A1601" s="1">
        <v>44835</v>
      </c>
      <c r="B1601" t="s">
        <v>170</v>
      </c>
      <c r="C1601" t="s">
        <v>100</v>
      </c>
      <c r="D1601" t="s">
        <v>82</v>
      </c>
      <c r="E1601">
        <v>32</v>
      </c>
      <c r="F1601">
        <v>83</v>
      </c>
      <c r="G1601">
        <v>75</v>
      </c>
      <c r="H1601">
        <v>32</v>
      </c>
      <c r="I1601">
        <v>93</v>
      </c>
      <c r="J1601">
        <v>62</v>
      </c>
      <c r="K1601">
        <v>399</v>
      </c>
      <c r="L1601">
        <v>385</v>
      </c>
      <c r="M1601">
        <v>55</v>
      </c>
      <c r="N1601">
        <v>484</v>
      </c>
      <c r="O1601">
        <v>81</v>
      </c>
      <c r="P1601" s="1">
        <v>44228</v>
      </c>
      <c r="Q1601">
        <v>607</v>
      </c>
    </row>
    <row r="1602" spans="1:17" x14ac:dyDescent="0.25">
      <c r="A1602" s="1">
        <v>44835</v>
      </c>
      <c r="B1602" t="s">
        <v>171</v>
      </c>
      <c r="C1602" t="s">
        <v>101</v>
      </c>
      <c r="D1602" t="s">
        <v>68</v>
      </c>
      <c r="E1602">
        <v>279</v>
      </c>
      <c r="F1602">
        <v>269</v>
      </c>
      <c r="G1602">
        <v>45</v>
      </c>
      <c r="H1602">
        <v>442</v>
      </c>
      <c r="I1602">
        <v>519</v>
      </c>
      <c r="J1602">
        <v>675</v>
      </c>
      <c r="K1602">
        <v>401</v>
      </c>
      <c r="L1602">
        <v>726</v>
      </c>
      <c r="M1602">
        <v>306</v>
      </c>
      <c r="N1602">
        <v>481</v>
      </c>
      <c r="O1602">
        <v>491</v>
      </c>
      <c r="P1602" s="1">
        <v>44317</v>
      </c>
      <c r="Q1602">
        <v>518</v>
      </c>
    </row>
    <row r="1603" spans="1:17" x14ac:dyDescent="0.25">
      <c r="A1603" s="1">
        <v>44835</v>
      </c>
      <c r="B1603" t="s">
        <v>172</v>
      </c>
      <c r="C1603" t="s">
        <v>102</v>
      </c>
      <c r="D1603" t="s">
        <v>88</v>
      </c>
      <c r="E1603">
        <v>35</v>
      </c>
      <c r="F1603">
        <v>96</v>
      </c>
      <c r="G1603">
        <v>71</v>
      </c>
      <c r="H1603">
        <v>178</v>
      </c>
      <c r="I1603">
        <v>63</v>
      </c>
      <c r="J1603">
        <v>121</v>
      </c>
      <c r="K1603">
        <v>152</v>
      </c>
      <c r="L1603">
        <v>97</v>
      </c>
      <c r="M1603">
        <v>177</v>
      </c>
      <c r="N1603">
        <v>97</v>
      </c>
      <c r="O1603">
        <v>472</v>
      </c>
      <c r="P1603" s="1">
        <v>44044</v>
      </c>
      <c r="Q1603">
        <v>791</v>
      </c>
    </row>
    <row r="1604" spans="1:17" x14ac:dyDescent="0.25">
      <c r="A1604" s="1">
        <v>44835</v>
      </c>
      <c r="B1604" t="s">
        <v>173</v>
      </c>
      <c r="C1604" t="s">
        <v>103</v>
      </c>
      <c r="D1604" t="s">
        <v>52</v>
      </c>
      <c r="E1604">
        <v>73</v>
      </c>
      <c r="F1604">
        <v>95</v>
      </c>
      <c r="G1604">
        <v>110</v>
      </c>
      <c r="H1604">
        <v>34</v>
      </c>
      <c r="I1604">
        <v>162</v>
      </c>
      <c r="J1604">
        <v>30</v>
      </c>
      <c r="K1604">
        <v>189</v>
      </c>
      <c r="L1604">
        <v>166</v>
      </c>
      <c r="M1604">
        <v>24</v>
      </c>
      <c r="N1604">
        <v>221</v>
      </c>
      <c r="O1604">
        <v>67</v>
      </c>
      <c r="P1604" s="1">
        <v>43862</v>
      </c>
      <c r="Q1604">
        <v>973</v>
      </c>
    </row>
    <row r="1605" spans="1:17" x14ac:dyDescent="0.25">
      <c r="A1605" s="1">
        <v>44835</v>
      </c>
      <c r="B1605" t="s">
        <v>174</v>
      </c>
      <c r="C1605" t="s">
        <v>105</v>
      </c>
      <c r="D1605" t="s">
        <v>104</v>
      </c>
      <c r="E1605">
        <v>14</v>
      </c>
      <c r="F1605">
        <v>17</v>
      </c>
      <c r="G1605">
        <v>53</v>
      </c>
      <c r="H1605">
        <v>81</v>
      </c>
      <c r="I1605">
        <v>244</v>
      </c>
      <c r="J1605">
        <v>70</v>
      </c>
      <c r="K1605">
        <v>65</v>
      </c>
      <c r="L1605">
        <v>57</v>
      </c>
      <c r="M1605">
        <v>160</v>
      </c>
      <c r="N1605">
        <v>167</v>
      </c>
      <c r="O1605">
        <v>86</v>
      </c>
      <c r="P1605" s="1">
        <v>43374</v>
      </c>
      <c r="Q1605">
        <v>1461</v>
      </c>
    </row>
    <row r="1606" spans="1:17" x14ac:dyDescent="0.25">
      <c r="A1606" s="1">
        <v>44835</v>
      </c>
      <c r="B1606" t="s">
        <v>142</v>
      </c>
      <c r="C1606" t="s">
        <v>50</v>
      </c>
      <c r="D1606" t="s">
        <v>49</v>
      </c>
      <c r="E1606">
        <v>110</v>
      </c>
      <c r="F1606">
        <v>226</v>
      </c>
      <c r="G1606">
        <v>28</v>
      </c>
      <c r="H1606">
        <v>554</v>
      </c>
      <c r="I1606">
        <v>315</v>
      </c>
      <c r="J1606">
        <v>157</v>
      </c>
      <c r="K1606">
        <v>31</v>
      </c>
      <c r="L1606">
        <v>348</v>
      </c>
      <c r="M1606">
        <v>247</v>
      </c>
      <c r="N1606">
        <v>146</v>
      </c>
      <c r="O1606">
        <v>347</v>
      </c>
      <c r="P1606" s="1">
        <v>43709</v>
      </c>
      <c r="Q1606">
        <v>1126</v>
      </c>
    </row>
    <row r="1607" spans="1:17" x14ac:dyDescent="0.25">
      <c r="A1607" s="1">
        <v>44835</v>
      </c>
      <c r="B1607" t="s">
        <v>143</v>
      </c>
      <c r="C1607" t="s">
        <v>53</v>
      </c>
      <c r="D1607" t="s">
        <v>52</v>
      </c>
      <c r="E1607">
        <v>-44</v>
      </c>
      <c r="F1607">
        <v>134</v>
      </c>
      <c r="G1607">
        <v>67</v>
      </c>
      <c r="H1607">
        <v>350</v>
      </c>
      <c r="I1607">
        <v>241</v>
      </c>
      <c r="J1607">
        <v>273</v>
      </c>
      <c r="K1607">
        <v>65</v>
      </c>
      <c r="L1607">
        <v>150</v>
      </c>
      <c r="M1607">
        <v>415</v>
      </c>
      <c r="N1607">
        <v>395</v>
      </c>
      <c r="O1607">
        <v>337</v>
      </c>
      <c r="P1607" s="1">
        <v>43862</v>
      </c>
      <c r="Q1607">
        <v>973</v>
      </c>
    </row>
    <row r="1608" spans="1:17" x14ac:dyDescent="0.25">
      <c r="A1608" s="1">
        <v>44835</v>
      </c>
      <c r="B1608" t="s">
        <v>144</v>
      </c>
      <c r="C1608" t="s">
        <v>56</v>
      </c>
      <c r="D1608" t="s">
        <v>55</v>
      </c>
      <c r="E1608">
        <v>289</v>
      </c>
      <c r="F1608">
        <v>85</v>
      </c>
      <c r="G1608">
        <v>104</v>
      </c>
      <c r="H1608">
        <v>337</v>
      </c>
      <c r="I1608">
        <v>236</v>
      </c>
      <c r="J1608">
        <v>448</v>
      </c>
      <c r="K1608">
        <v>367</v>
      </c>
      <c r="L1608">
        <v>435</v>
      </c>
      <c r="M1608">
        <v>138</v>
      </c>
      <c r="N1608">
        <v>266</v>
      </c>
      <c r="O1608">
        <v>619</v>
      </c>
      <c r="P1608" s="1">
        <v>44256</v>
      </c>
      <c r="Q1608">
        <v>579</v>
      </c>
    </row>
    <row r="1609" spans="1:17" x14ac:dyDescent="0.25">
      <c r="A1609" s="1">
        <v>44835</v>
      </c>
      <c r="B1609" t="s">
        <v>145</v>
      </c>
      <c r="C1609" t="s">
        <v>59</v>
      </c>
      <c r="D1609" t="s">
        <v>58</v>
      </c>
      <c r="E1609">
        <v>480</v>
      </c>
      <c r="F1609">
        <v>146</v>
      </c>
      <c r="G1609">
        <v>122</v>
      </c>
      <c r="H1609">
        <v>297</v>
      </c>
      <c r="I1609">
        <v>363</v>
      </c>
      <c r="J1609">
        <v>74</v>
      </c>
      <c r="K1609">
        <v>132</v>
      </c>
      <c r="L1609">
        <v>739</v>
      </c>
      <c r="M1609">
        <v>141</v>
      </c>
      <c r="N1609">
        <v>310</v>
      </c>
      <c r="O1609">
        <v>62</v>
      </c>
      <c r="P1609" s="1">
        <v>44287</v>
      </c>
      <c r="Q1609">
        <v>548</v>
      </c>
    </row>
    <row r="1610" spans="1:17" x14ac:dyDescent="0.25">
      <c r="A1610" s="1">
        <v>44866</v>
      </c>
      <c r="B1610" t="s">
        <v>144</v>
      </c>
      <c r="C1610" t="s">
        <v>56</v>
      </c>
      <c r="D1610" t="s">
        <v>55</v>
      </c>
      <c r="E1610">
        <v>306</v>
      </c>
      <c r="F1610">
        <v>70</v>
      </c>
      <c r="G1610">
        <v>130</v>
      </c>
      <c r="H1610">
        <v>337</v>
      </c>
      <c r="I1610">
        <v>354</v>
      </c>
      <c r="J1610">
        <v>653</v>
      </c>
      <c r="K1610">
        <v>516</v>
      </c>
      <c r="L1610">
        <v>-124</v>
      </c>
      <c r="M1610">
        <v>108</v>
      </c>
      <c r="N1610">
        <v>329</v>
      </c>
      <c r="O1610">
        <v>336</v>
      </c>
      <c r="P1610" s="1">
        <v>44256</v>
      </c>
      <c r="Q1610">
        <v>610</v>
      </c>
    </row>
    <row r="1611" spans="1:17" x14ac:dyDescent="0.25">
      <c r="A1611" s="1">
        <v>44866</v>
      </c>
      <c r="B1611" t="s">
        <v>145</v>
      </c>
      <c r="C1611" t="s">
        <v>59</v>
      </c>
      <c r="D1611" t="s">
        <v>58</v>
      </c>
      <c r="E1611">
        <v>536</v>
      </c>
      <c r="F1611">
        <v>16</v>
      </c>
      <c r="G1611">
        <v>155</v>
      </c>
      <c r="H1611">
        <v>423</v>
      </c>
      <c r="I1611">
        <v>135</v>
      </c>
      <c r="J1611">
        <v>127</v>
      </c>
      <c r="K1611">
        <v>180</v>
      </c>
      <c r="L1611">
        <v>322</v>
      </c>
      <c r="M1611">
        <v>152</v>
      </c>
      <c r="N1611">
        <v>463</v>
      </c>
      <c r="O1611">
        <v>168</v>
      </c>
      <c r="P1611" s="1">
        <v>44287</v>
      </c>
      <c r="Q1611">
        <v>579</v>
      </c>
    </row>
    <row r="1612" spans="1:17" x14ac:dyDescent="0.25">
      <c r="A1612" s="1">
        <v>44866</v>
      </c>
      <c r="B1612" t="s">
        <v>146</v>
      </c>
      <c r="C1612" t="s">
        <v>62</v>
      </c>
      <c r="D1612" t="s">
        <v>61</v>
      </c>
      <c r="E1612">
        <v>557</v>
      </c>
      <c r="F1612">
        <v>283</v>
      </c>
      <c r="G1612">
        <v>90</v>
      </c>
      <c r="H1612">
        <v>3</v>
      </c>
      <c r="I1612">
        <v>60</v>
      </c>
      <c r="J1612">
        <v>24</v>
      </c>
      <c r="K1612">
        <v>150</v>
      </c>
      <c r="L1612">
        <v>283</v>
      </c>
      <c r="M1612">
        <v>-3</v>
      </c>
      <c r="N1612">
        <v>88</v>
      </c>
      <c r="O1612">
        <v>56</v>
      </c>
      <c r="P1612" s="1">
        <v>44075</v>
      </c>
      <c r="Q1612">
        <v>791</v>
      </c>
    </row>
    <row r="1613" spans="1:17" x14ac:dyDescent="0.25">
      <c r="A1613" s="1">
        <v>44866</v>
      </c>
      <c r="B1613" t="s">
        <v>147</v>
      </c>
      <c r="C1613" t="s">
        <v>64</v>
      </c>
      <c r="D1613" t="s">
        <v>52</v>
      </c>
      <c r="E1613">
        <v>63</v>
      </c>
      <c r="F1613">
        <v>98</v>
      </c>
      <c r="G1613">
        <v>84</v>
      </c>
      <c r="H1613">
        <v>102</v>
      </c>
      <c r="I1613">
        <v>78</v>
      </c>
      <c r="J1613">
        <v>90</v>
      </c>
      <c r="K1613">
        <v>21</v>
      </c>
      <c r="L1613">
        <v>91</v>
      </c>
      <c r="M1613">
        <v>20</v>
      </c>
      <c r="N1613">
        <v>33</v>
      </c>
      <c r="O1613">
        <v>57</v>
      </c>
      <c r="P1613" s="1">
        <v>43862</v>
      </c>
      <c r="Q1613">
        <v>1004</v>
      </c>
    </row>
    <row r="1614" spans="1:17" x14ac:dyDescent="0.25">
      <c r="A1614" s="1">
        <v>44866</v>
      </c>
      <c r="B1614" t="s">
        <v>148</v>
      </c>
      <c r="C1614" t="s">
        <v>66</v>
      </c>
      <c r="D1614" t="s">
        <v>55</v>
      </c>
      <c r="E1614">
        <v>354</v>
      </c>
      <c r="F1614">
        <v>514</v>
      </c>
      <c r="G1614">
        <v>164</v>
      </c>
      <c r="H1614">
        <v>94</v>
      </c>
      <c r="I1614">
        <v>71</v>
      </c>
      <c r="J1614">
        <v>31</v>
      </c>
      <c r="K1614">
        <v>409</v>
      </c>
      <c r="L1614">
        <v>156</v>
      </c>
      <c r="M1614">
        <v>104</v>
      </c>
      <c r="N1614">
        <v>615</v>
      </c>
      <c r="O1614">
        <v>421</v>
      </c>
      <c r="P1614" s="1">
        <v>44256</v>
      </c>
      <c r="Q1614">
        <v>610</v>
      </c>
    </row>
    <row r="1615" spans="1:17" x14ac:dyDescent="0.25">
      <c r="A1615" s="1">
        <v>44866</v>
      </c>
      <c r="B1615" t="s">
        <v>149</v>
      </c>
      <c r="C1615" t="s">
        <v>67</v>
      </c>
      <c r="D1615" t="s">
        <v>55</v>
      </c>
      <c r="E1615">
        <v>399</v>
      </c>
      <c r="F1615">
        <v>395</v>
      </c>
      <c r="G1615">
        <v>108</v>
      </c>
      <c r="H1615">
        <v>331</v>
      </c>
      <c r="I1615">
        <v>666</v>
      </c>
      <c r="J1615">
        <v>555</v>
      </c>
      <c r="K1615">
        <v>452</v>
      </c>
      <c r="L1615">
        <v>672</v>
      </c>
      <c r="M1615">
        <v>459</v>
      </c>
      <c r="N1615">
        <v>334</v>
      </c>
      <c r="O1615">
        <v>276</v>
      </c>
      <c r="P1615" s="1">
        <v>44256</v>
      </c>
      <c r="Q1615">
        <v>610</v>
      </c>
    </row>
    <row r="1616" spans="1:17" x14ac:dyDescent="0.25">
      <c r="A1616" s="1">
        <v>44866</v>
      </c>
      <c r="B1616" t="s">
        <v>150</v>
      </c>
      <c r="C1616" t="s">
        <v>69</v>
      </c>
      <c r="D1616" t="s">
        <v>68</v>
      </c>
      <c r="E1616">
        <v>435</v>
      </c>
      <c r="F1616">
        <v>49</v>
      </c>
      <c r="G1616">
        <v>57</v>
      </c>
      <c r="H1616">
        <v>266</v>
      </c>
      <c r="I1616">
        <v>140</v>
      </c>
      <c r="J1616">
        <v>30</v>
      </c>
      <c r="K1616">
        <v>36</v>
      </c>
      <c r="L1616">
        <v>187</v>
      </c>
      <c r="M1616">
        <v>100</v>
      </c>
      <c r="N1616">
        <v>99</v>
      </c>
      <c r="O1616">
        <v>-23</v>
      </c>
      <c r="P1616" s="1">
        <v>44317</v>
      </c>
      <c r="Q1616">
        <v>549</v>
      </c>
    </row>
    <row r="1617" spans="1:17" x14ac:dyDescent="0.25">
      <c r="A1617" s="1">
        <v>44866</v>
      </c>
      <c r="B1617" t="s">
        <v>151</v>
      </c>
      <c r="C1617" t="s">
        <v>71</v>
      </c>
      <c r="D1617" t="s">
        <v>70</v>
      </c>
      <c r="E1617">
        <v>51</v>
      </c>
      <c r="F1617">
        <v>49</v>
      </c>
      <c r="G1617">
        <v>-7</v>
      </c>
      <c r="H1617">
        <v>59</v>
      </c>
      <c r="I1617">
        <v>249</v>
      </c>
      <c r="J1617">
        <v>60</v>
      </c>
      <c r="K1617">
        <v>55</v>
      </c>
      <c r="L1617">
        <v>113</v>
      </c>
      <c r="M1617">
        <v>51</v>
      </c>
      <c r="N1617">
        <v>50</v>
      </c>
      <c r="O1617">
        <v>7</v>
      </c>
      <c r="P1617" s="1">
        <v>44136</v>
      </c>
      <c r="Q1617">
        <v>730</v>
      </c>
    </row>
    <row r="1618" spans="1:17" x14ac:dyDescent="0.25">
      <c r="A1618" s="1">
        <v>44866</v>
      </c>
      <c r="B1618" t="s">
        <v>152</v>
      </c>
      <c r="C1618" t="s">
        <v>11</v>
      </c>
      <c r="D1618" t="s">
        <v>52</v>
      </c>
      <c r="E1618">
        <v>67</v>
      </c>
      <c r="F1618">
        <v>74</v>
      </c>
      <c r="G1618">
        <v>133</v>
      </c>
      <c r="H1618">
        <v>170</v>
      </c>
      <c r="I1618">
        <v>116</v>
      </c>
      <c r="J1618">
        <v>32</v>
      </c>
      <c r="K1618">
        <v>63</v>
      </c>
      <c r="L1618">
        <v>11</v>
      </c>
      <c r="M1618">
        <v>44</v>
      </c>
      <c r="N1618">
        <v>57</v>
      </c>
      <c r="O1618">
        <v>16</v>
      </c>
      <c r="P1618" s="1">
        <v>43862</v>
      </c>
      <c r="Q1618">
        <v>1004</v>
      </c>
    </row>
    <row r="1619" spans="1:17" x14ac:dyDescent="0.25">
      <c r="A1619" s="1">
        <v>44866</v>
      </c>
      <c r="B1619" t="s">
        <v>153</v>
      </c>
      <c r="C1619" t="s">
        <v>73</v>
      </c>
      <c r="D1619" t="s">
        <v>72</v>
      </c>
      <c r="E1619">
        <v>0</v>
      </c>
      <c r="F1619">
        <v>124</v>
      </c>
      <c r="G1619">
        <v>229</v>
      </c>
      <c r="H1619">
        <v>1002</v>
      </c>
      <c r="I1619">
        <v>172</v>
      </c>
      <c r="J1619">
        <v>429</v>
      </c>
      <c r="K1619">
        <v>156</v>
      </c>
      <c r="L1619">
        <v>342</v>
      </c>
      <c r="M1619">
        <v>711</v>
      </c>
      <c r="N1619">
        <v>120</v>
      </c>
      <c r="O1619">
        <v>210</v>
      </c>
      <c r="P1619" s="1">
        <v>44440</v>
      </c>
      <c r="Q1619">
        <v>426</v>
      </c>
    </row>
    <row r="1620" spans="1:17" x14ac:dyDescent="0.25">
      <c r="A1620" s="1">
        <v>44866</v>
      </c>
      <c r="B1620" t="s">
        <v>154</v>
      </c>
      <c r="C1620" t="s">
        <v>17</v>
      </c>
      <c r="D1620" t="s">
        <v>74</v>
      </c>
      <c r="E1620">
        <v>448</v>
      </c>
      <c r="F1620">
        <v>195</v>
      </c>
      <c r="G1620">
        <v>186</v>
      </c>
      <c r="H1620">
        <v>396</v>
      </c>
      <c r="I1620">
        <v>718</v>
      </c>
      <c r="J1620">
        <v>633</v>
      </c>
      <c r="K1620">
        <v>93</v>
      </c>
      <c r="L1620">
        <v>697</v>
      </c>
      <c r="M1620">
        <v>231</v>
      </c>
      <c r="N1620">
        <v>473</v>
      </c>
      <c r="O1620">
        <v>505</v>
      </c>
      <c r="P1620" s="1">
        <v>44197</v>
      </c>
      <c r="Q1620">
        <v>669</v>
      </c>
    </row>
    <row r="1621" spans="1:17" x14ac:dyDescent="0.25">
      <c r="A1621" s="1">
        <v>44866</v>
      </c>
      <c r="B1621" t="s">
        <v>155</v>
      </c>
      <c r="C1621" t="s">
        <v>76</v>
      </c>
      <c r="D1621" t="s">
        <v>75</v>
      </c>
      <c r="E1621">
        <v>74</v>
      </c>
      <c r="F1621">
        <v>93</v>
      </c>
      <c r="G1621">
        <v>90</v>
      </c>
      <c r="H1621">
        <v>43</v>
      </c>
      <c r="I1621">
        <v>16</v>
      </c>
      <c r="J1621">
        <v>71</v>
      </c>
      <c r="K1621">
        <v>112</v>
      </c>
      <c r="L1621">
        <v>149</v>
      </c>
      <c r="M1621">
        <v>5</v>
      </c>
      <c r="N1621">
        <v>125</v>
      </c>
      <c r="O1621">
        <v>91</v>
      </c>
      <c r="P1621" s="1">
        <v>44470</v>
      </c>
      <c r="Q1621">
        <v>396</v>
      </c>
    </row>
    <row r="1622" spans="1:17" x14ac:dyDescent="0.25">
      <c r="A1622" s="1">
        <v>44866</v>
      </c>
      <c r="B1622" t="s">
        <v>156</v>
      </c>
      <c r="C1622" t="s">
        <v>79</v>
      </c>
      <c r="D1622" t="s">
        <v>78</v>
      </c>
      <c r="E1622">
        <v>-5</v>
      </c>
      <c r="F1622">
        <v>50</v>
      </c>
      <c r="G1622">
        <v>66</v>
      </c>
      <c r="H1622">
        <v>319</v>
      </c>
      <c r="I1622">
        <v>30</v>
      </c>
      <c r="J1622">
        <v>58</v>
      </c>
      <c r="K1622">
        <v>50</v>
      </c>
      <c r="L1622">
        <v>54</v>
      </c>
      <c r="M1622">
        <v>59</v>
      </c>
      <c r="N1622">
        <v>930</v>
      </c>
      <c r="O1622">
        <v>79</v>
      </c>
      <c r="P1622" s="1">
        <v>44348</v>
      </c>
      <c r="Q1622">
        <v>518</v>
      </c>
    </row>
    <row r="1623" spans="1:17" x14ac:dyDescent="0.25">
      <c r="A1623" s="1">
        <v>44866</v>
      </c>
      <c r="B1623" t="s">
        <v>157</v>
      </c>
      <c r="C1623" t="s">
        <v>81</v>
      </c>
      <c r="D1623" t="s">
        <v>72</v>
      </c>
      <c r="E1623">
        <v>504</v>
      </c>
      <c r="F1623">
        <v>1018</v>
      </c>
      <c r="G1623">
        <v>69</v>
      </c>
      <c r="H1623">
        <v>498</v>
      </c>
      <c r="I1623">
        <v>834</v>
      </c>
      <c r="J1623">
        <v>794</v>
      </c>
      <c r="K1623">
        <v>979</v>
      </c>
      <c r="L1623">
        <v>363</v>
      </c>
      <c r="M1623">
        <v>455</v>
      </c>
      <c r="N1623">
        <v>1619</v>
      </c>
      <c r="O1623">
        <v>776</v>
      </c>
      <c r="P1623" s="1">
        <v>44440</v>
      </c>
      <c r="Q1623">
        <v>426</v>
      </c>
    </row>
    <row r="1624" spans="1:17" x14ac:dyDescent="0.25">
      <c r="A1624" s="1">
        <v>44866</v>
      </c>
      <c r="B1624" t="s">
        <v>158</v>
      </c>
      <c r="C1624" t="s">
        <v>83</v>
      </c>
      <c r="D1624" t="s">
        <v>82</v>
      </c>
      <c r="E1624">
        <v>303</v>
      </c>
      <c r="F1624">
        <v>536</v>
      </c>
      <c r="G1624">
        <v>63</v>
      </c>
      <c r="H1624">
        <v>261</v>
      </c>
      <c r="I1624">
        <v>16</v>
      </c>
      <c r="J1624">
        <v>548</v>
      </c>
      <c r="K1624">
        <v>363</v>
      </c>
      <c r="L1624">
        <v>179</v>
      </c>
      <c r="M1624">
        <v>207</v>
      </c>
      <c r="N1624">
        <v>433</v>
      </c>
      <c r="O1624">
        <v>380</v>
      </c>
      <c r="P1624" s="1">
        <v>44228</v>
      </c>
      <c r="Q1624">
        <v>638</v>
      </c>
    </row>
    <row r="1625" spans="1:17" x14ac:dyDescent="0.25">
      <c r="A1625" s="1">
        <v>44866</v>
      </c>
      <c r="B1625" t="s">
        <v>159</v>
      </c>
      <c r="C1625" t="s">
        <v>84</v>
      </c>
      <c r="D1625" t="s">
        <v>55</v>
      </c>
      <c r="E1625">
        <v>-37</v>
      </c>
      <c r="F1625">
        <v>598</v>
      </c>
      <c r="G1625">
        <v>143</v>
      </c>
      <c r="H1625">
        <v>340</v>
      </c>
      <c r="I1625">
        <v>332</v>
      </c>
      <c r="J1625">
        <v>26</v>
      </c>
      <c r="K1625">
        <v>483</v>
      </c>
      <c r="L1625">
        <v>287</v>
      </c>
      <c r="M1625">
        <v>154</v>
      </c>
      <c r="N1625">
        <v>438</v>
      </c>
      <c r="O1625">
        <v>215</v>
      </c>
      <c r="P1625" s="1">
        <v>44256</v>
      </c>
      <c r="Q1625">
        <v>610</v>
      </c>
    </row>
    <row r="1626" spans="1:17" x14ac:dyDescent="0.25">
      <c r="A1626" s="1">
        <v>44866</v>
      </c>
      <c r="B1626" t="s">
        <v>160</v>
      </c>
      <c r="C1626" t="s">
        <v>86</v>
      </c>
      <c r="D1626" t="s">
        <v>68</v>
      </c>
      <c r="E1626">
        <v>335</v>
      </c>
      <c r="F1626">
        <v>58</v>
      </c>
      <c r="G1626">
        <v>91</v>
      </c>
      <c r="H1626">
        <v>80</v>
      </c>
      <c r="I1626">
        <v>333</v>
      </c>
      <c r="J1626">
        <v>241</v>
      </c>
      <c r="K1626">
        <v>382</v>
      </c>
      <c r="L1626">
        <v>111</v>
      </c>
      <c r="M1626">
        <v>243</v>
      </c>
      <c r="N1626">
        <v>172</v>
      </c>
      <c r="O1626">
        <v>312</v>
      </c>
      <c r="P1626" s="1">
        <v>44317</v>
      </c>
      <c r="Q1626">
        <v>549</v>
      </c>
    </row>
    <row r="1627" spans="1:17" x14ac:dyDescent="0.25">
      <c r="A1627" s="1">
        <v>44866</v>
      </c>
      <c r="B1627" t="s">
        <v>161</v>
      </c>
      <c r="C1627" t="s">
        <v>87</v>
      </c>
      <c r="D1627" t="s">
        <v>72</v>
      </c>
      <c r="E1627">
        <v>503</v>
      </c>
      <c r="F1627">
        <v>681</v>
      </c>
      <c r="G1627">
        <v>251</v>
      </c>
      <c r="H1627">
        <v>192</v>
      </c>
      <c r="I1627">
        <v>529</v>
      </c>
      <c r="J1627">
        <v>564</v>
      </c>
      <c r="K1627">
        <v>1045</v>
      </c>
      <c r="L1627">
        <v>306</v>
      </c>
      <c r="M1627">
        <v>925</v>
      </c>
      <c r="N1627">
        <v>884</v>
      </c>
      <c r="O1627">
        <v>280</v>
      </c>
      <c r="P1627" s="1">
        <v>44440</v>
      </c>
      <c r="Q1627">
        <v>426</v>
      </c>
    </row>
    <row r="1628" spans="1:17" x14ac:dyDescent="0.25">
      <c r="A1628" s="1">
        <v>44866</v>
      </c>
      <c r="B1628" t="s">
        <v>162</v>
      </c>
      <c r="C1628" t="s">
        <v>89</v>
      </c>
      <c r="D1628" t="s">
        <v>88</v>
      </c>
      <c r="E1628">
        <v>30</v>
      </c>
      <c r="F1628">
        <v>82</v>
      </c>
      <c r="G1628">
        <v>109</v>
      </c>
      <c r="H1628">
        <v>413</v>
      </c>
      <c r="I1628">
        <v>20</v>
      </c>
      <c r="J1628">
        <v>4</v>
      </c>
      <c r="K1628">
        <v>407</v>
      </c>
      <c r="L1628">
        <v>103</v>
      </c>
      <c r="M1628">
        <v>204</v>
      </c>
      <c r="N1628">
        <v>47</v>
      </c>
      <c r="O1628">
        <v>440</v>
      </c>
      <c r="P1628" s="1">
        <v>44044</v>
      </c>
      <c r="Q1628">
        <v>822</v>
      </c>
    </row>
    <row r="1629" spans="1:17" x14ac:dyDescent="0.25">
      <c r="A1629" s="1">
        <v>44866</v>
      </c>
      <c r="B1629" t="s">
        <v>163</v>
      </c>
      <c r="C1629" t="s">
        <v>90</v>
      </c>
      <c r="D1629" t="s">
        <v>82</v>
      </c>
      <c r="E1629">
        <v>405</v>
      </c>
      <c r="F1629">
        <v>49</v>
      </c>
      <c r="G1629">
        <v>135</v>
      </c>
      <c r="H1629">
        <v>292</v>
      </c>
      <c r="I1629">
        <v>722</v>
      </c>
      <c r="J1629">
        <v>65</v>
      </c>
      <c r="K1629">
        <v>84</v>
      </c>
      <c r="L1629">
        <v>171</v>
      </c>
      <c r="M1629">
        <v>418</v>
      </c>
      <c r="N1629">
        <v>355</v>
      </c>
      <c r="O1629">
        <v>54</v>
      </c>
      <c r="P1629" s="1">
        <v>44228</v>
      </c>
      <c r="Q1629">
        <v>638</v>
      </c>
    </row>
    <row r="1630" spans="1:17" x14ac:dyDescent="0.25">
      <c r="A1630" s="1">
        <v>44866</v>
      </c>
      <c r="B1630" t="s">
        <v>164</v>
      </c>
      <c r="C1630" t="s">
        <v>92</v>
      </c>
      <c r="D1630" t="s">
        <v>91</v>
      </c>
      <c r="E1630">
        <v>281</v>
      </c>
      <c r="F1630">
        <v>155</v>
      </c>
      <c r="G1630">
        <v>92</v>
      </c>
      <c r="H1630">
        <v>90</v>
      </c>
      <c r="I1630">
        <v>72</v>
      </c>
      <c r="J1630">
        <v>73</v>
      </c>
      <c r="K1630">
        <v>88</v>
      </c>
      <c r="L1630">
        <v>79</v>
      </c>
      <c r="M1630">
        <v>95</v>
      </c>
      <c r="N1630">
        <v>156</v>
      </c>
      <c r="O1630">
        <v>101</v>
      </c>
      <c r="P1630" s="1">
        <v>44105</v>
      </c>
      <c r="Q1630">
        <v>761</v>
      </c>
    </row>
    <row r="1631" spans="1:17" x14ac:dyDescent="0.25">
      <c r="A1631" s="1">
        <v>44866</v>
      </c>
      <c r="B1631" t="s">
        <v>165</v>
      </c>
      <c r="C1631" t="s">
        <v>94</v>
      </c>
      <c r="D1631" t="s">
        <v>93</v>
      </c>
      <c r="E1631">
        <v>293</v>
      </c>
      <c r="F1631">
        <v>54</v>
      </c>
      <c r="G1631">
        <v>15</v>
      </c>
      <c r="H1631">
        <v>53</v>
      </c>
      <c r="I1631">
        <v>195</v>
      </c>
      <c r="J1631">
        <v>53</v>
      </c>
      <c r="K1631">
        <v>47</v>
      </c>
      <c r="L1631">
        <v>252</v>
      </c>
      <c r="M1631">
        <v>60</v>
      </c>
      <c r="N1631">
        <v>232</v>
      </c>
      <c r="O1631">
        <v>34</v>
      </c>
      <c r="P1631" s="1">
        <v>43586</v>
      </c>
      <c r="Q1631">
        <v>1280</v>
      </c>
    </row>
    <row r="1632" spans="1:17" x14ac:dyDescent="0.25">
      <c r="A1632" s="1">
        <v>44866</v>
      </c>
      <c r="B1632" t="s">
        <v>166</v>
      </c>
      <c r="C1632" t="s">
        <v>96</v>
      </c>
      <c r="D1632" t="s">
        <v>95</v>
      </c>
      <c r="E1632">
        <v>64</v>
      </c>
      <c r="F1632">
        <v>51</v>
      </c>
      <c r="G1632">
        <v>70</v>
      </c>
      <c r="H1632">
        <v>162</v>
      </c>
      <c r="I1632">
        <v>50</v>
      </c>
      <c r="J1632">
        <v>72</v>
      </c>
      <c r="K1632">
        <v>124</v>
      </c>
      <c r="L1632">
        <v>21</v>
      </c>
      <c r="M1632">
        <v>178</v>
      </c>
      <c r="N1632">
        <v>62</v>
      </c>
      <c r="O1632">
        <v>202</v>
      </c>
      <c r="P1632" s="1">
        <v>43678</v>
      </c>
      <c r="Q1632">
        <v>1188</v>
      </c>
    </row>
    <row r="1633" spans="1:17" x14ac:dyDescent="0.25">
      <c r="A1633" s="1">
        <v>44866</v>
      </c>
      <c r="B1633" t="s">
        <v>167</v>
      </c>
      <c r="C1633" t="s">
        <v>97</v>
      </c>
      <c r="D1633" t="s">
        <v>58</v>
      </c>
      <c r="E1633">
        <v>143</v>
      </c>
      <c r="F1633">
        <v>143</v>
      </c>
      <c r="G1633">
        <v>82</v>
      </c>
      <c r="H1633">
        <v>733</v>
      </c>
      <c r="I1633">
        <v>203</v>
      </c>
      <c r="J1633">
        <v>179</v>
      </c>
      <c r="K1633">
        <v>248</v>
      </c>
      <c r="L1633">
        <v>202</v>
      </c>
      <c r="M1633">
        <v>171</v>
      </c>
      <c r="N1633">
        <v>182</v>
      </c>
      <c r="O1633">
        <v>72</v>
      </c>
      <c r="P1633" s="1">
        <v>44287</v>
      </c>
      <c r="Q1633">
        <v>579</v>
      </c>
    </row>
    <row r="1634" spans="1:17" x14ac:dyDescent="0.25">
      <c r="A1634" s="1">
        <v>44866</v>
      </c>
      <c r="B1634" t="s">
        <v>168</v>
      </c>
      <c r="C1634" t="s">
        <v>98</v>
      </c>
      <c r="D1634" t="s">
        <v>49</v>
      </c>
      <c r="E1634">
        <v>115</v>
      </c>
      <c r="F1634">
        <v>57</v>
      </c>
      <c r="G1634">
        <v>84</v>
      </c>
      <c r="H1634">
        <v>32</v>
      </c>
      <c r="I1634">
        <v>-2</v>
      </c>
      <c r="J1634">
        <v>50</v>
      </c>
      <c r="K1634">
        <v>31</v>
      </c>
      <c r="L1634">
        <v>225</v>
      </c>
      <c r="M1634">
        <v>49</v>
      </c>
      <c r="N1634">
        <v>170</v>
      </c>
      <c r="O1634">
        <v>76</v>
      </c>
      <c r="P1634" s="1">
        <v>43709</v>
      </c>
      <c r="Q1634">
        <v>1157</v>
      </c>
    </row>
    <row r="1635" spans="1:17" x14ac:dyDescent="0.25">
      <c r="A1635" s="1">
        <v>44866</v>
      </c>
      <c r="B1635" t="s">
        <v>169</v>
      </c>
      <c r="C1635" t="s">
        <v>99</v>
      </c>
      <c r="D1635" t="s">
        <v>95</v>
      </c>
      <c r="E1635">
        <v>48</v>
      </c>
      <c r="F1635">
        <v>154</v>
      </c>
      <c r="G1635">
        <v>42</v>
      </c>
      <c r="H1635">
        <v>200</v>
      </c>
      <c r="I1635">
        <v>251</v>
      </c>
      <c r="J1635">
        <v>93</v>
      </c>
      <c r="K1635">
        <v>165</v>
      </c>
      <c r="L1635">
        <v>59</v>
      </c>
      <c r="M1635">
        <v>106</v>
      </c>
      <c r="N1635">
        <v>45</v>
      </c>
      <c r="O1635">
        <v>74</v>
      </c>
      <c r="P1635" s="1">
        <v>43678</v>
      </c>
      <c r="Q1635">
        <v>1188</v>
      </c>
    </row>
    <row r="1636" spans="1:17" x14ac:dyDescent="0.25">
      <c r="A1636" s="1">
        <v>44866</v>
      </c>
      <c r="B1636" t="s">
        <v>170</v>
      </c>
      <c r="C1636" t="s">
        <v>100</v>
      </c>
      <c r="D1636" t="s">
        <v>82</v>
      </c>
      <c r="E1636">
        <v>58</v>
      </c>
      <c r="F1636">
        <v>90</v>
      </c>
      <c r="G1636">
        <v>68</v>
      </c>
      <c r="H1636">
        <v>301</v>
      </c>
      <c r="I1636">
        <v>344</v>
      </c>
      <c r="J1636">
        <v>102</v>
      </c>
      <c r="K1636">
        <v>572</v>
      </c>
      <c r="L1636">
        <v>227</v>
      </c>
      <c r="M1636">
        <v>115</v>
      </c>
      <c r="N1636">
        <v>307</v>
      </c>
      <c r="O1636">
        <v>105</v>
      </c>
      <c r="P1636" s="1">
        <v>44228</v>
      </c>
      <c r="Q1636">
        <v>638</v>
      </c>
    </row>
    <row r="1637" spans="1:17" x14ac:dyDescent="0.25">
      <c r="A1637" s="1">
        <v>44866</v>
      </c>
      <c r="B1637" t="s">
        <v>171</v>
      </c>
      <c r="C1637" t="s">
        <v>101</v>
      </c>
      <c r="D1637" t="s">
        <v>68</v>
      </c>
      <c r="E1637">
        <v>332</v>
      </c>
      <c r="F1637">
        <v>203</v>
      </c>
      <c r="G1637">
        <v>39</v>
      </c>
      <c r="H1637">
        <v>398</v>
      </c>
      <c r="I1637">
        <v>462</v>
      </c>
      <c r="J1637">
        <v>297</v>
      </c>
      <c r="K1637">
        <v>215</v>
      </c>
      <c r="L1637">
        <v>406</v>
      </c>
      <c r="M1637">
        <v>448</v>
      </c>
      <c r="N1637">
        <v>697</v>
      </c>
      <c r="O1637">
        <v>202</v>
      </c>
      <c r="P1637" s="1">
        <v>44317</v>
      </c>
      <c r="Q1637">
        <v>549</v>
      </c>
    </row>
    <row r="1638" spans="1:17" x14ac:dyDescent="0.25">
      <c r="A1638" s="1">
        <v>44866</v>
      </c>
      <c r="B1638" t="s">
        <v>172</v>
      </c>
      <c r="C1638" t="s">
        <v>102</v>
      </c>
      <c r="D1638" t="s">
        <v>88</v>
      </c>
      <c r="E1638">
        <v>106</v>
      </c>
      <c r="F1638">
        <v>72</v>
      </c>
      <c r="G1638">
        <v>132</v>
      </c>
      <c r="H1638">
        <v>317</v>
      </c>
      <c r="I1638">
        <v>53</v>
      </c>
      <c r="J1638">
        <v>43</v>
      </c>
      <c r="K1638">
        <v>162</v>
      </c>
      <c r="L1638">
        <v>3</v>
      </c>
      <c r="M1638">
        <v>260</v>
      </c>
      <c r="N1638">
        <v>0</v>
      </c>
      <c r="O1638">
        <v>210</v>
      </c>
      <c r="P1638" s="1">
        <v>44044</v>
      </c>
      <c r="Q1638">
        <v>822</v>
      </c>
    </row>
    <row r="1639" spans="1:17" x14ac:dyDescent="0.25">
      <c r="A1639" s="1">
        <v>44866</v>
      </c>
      <c r="B1639" t="s">
        <v>173</v>
      </c>
      <c r="C1639" t="s">
        <v>103</v>
      </c>
      <c r="D1639" t="s">
        <v>52</v>
      </c>
      <c r="E1639">
        <v>48</v>
      </c>
      <c r="F1639">
        <v>72</v>
      </c>
      <c r="G1639">
        <v>14</v>
      </c>
      <c r="H1639">
        <v>194</v>
      </c>
      <c r="I1639">
        <v>350</v>
      </c>
      <c r="J1639">
        <v>96</v>
      </c>
      <c r="K1639">
        <v>9</v>
      </c>
      <c r="L1639">
        <v>82</v>
      </c>
      <c r="M1639">
        <v>64</v>
      </c>
      <c r="N1639">
        <v>2</v>
      </c>
      <c r="O1639">
        <v>119</v>
      </c>
      <c r="P1639" s="1">
        <v>43862</v>
      </c>
      <c r="Q1639">
        <v>1004</v>
      </c>
    </row>
    <row r="1640" spans="1:17" x14ac:dyDescent="0.25">
      <c r="A1640" s="1">
        <v>44866</v>
      </c>
      <c r="B1640" t="s">
        <v>174</v>
      </c>
      <c r="C1640" t="s">
        <v>105</v>
      </c>
      <c r="D1640" t="s">
        <v>104</v>
      </c>
      <c r="E1640">
        <v>2</v>
      </c>
      <c r="F1640">
        <v>50</v>
      </c>
      <c r="G1640">
        <v>3</v>
      </c>
      <c r="H1640">
        <v>156</v>
      </c>
      <c r="I1640">
        <v>37</v>
      </c>
      <c r="J1640">
        <v>8</v>
      </c>
      <c r="K1640">
        <v>55</v>
      </c>
      <c r="L1640">
        <v>74</v>
      </c>
      <c r="M1640">
        <v>175</v>
      </c>
      <c r="N1640">
        <v>109</v>
      </c>
      <c r="O1640">
        <v>176</v>
      </c>
      <c r="P1640" s="1">
        <v>43374</v>
      </c>
      <c r="Q1640">
        <v>1492</v>
      </c>
    </row>
    <row r="1641" spans="1:17" x14ac:dyDescent="0.25">
      <c r="A1641" s="1">
        <v>44866</v>
      </c>
      <c r="B1641" t="s">
        <v>142</v>
      </c>
      <c r="C1641" t="s">
        <v>50</v>
      </c>
      <c r="D1641" t="s">
        <v>49</v>
      </c>
      <c r="E1641">
        <v>283</v>
      </c>
      <c r="F1641">
        <v>145</v>
      </c>
      <c r="G1641">
        <v>58</v>
      </c>
      <c r="H1641">
        <v>150</v>
      </c>
      <c r="I1641">
        <v>423</v>
      </c>
      <c r="J1641">
        <v>30</v>
      </c>
      <c r="K1641">
        <v>37</v>
      </c>
      <c r="L1641">
        <v>65</v>
      </c>
      <c r="M1641">
        <v>33</v>
      </c>
      <c r="N1641">
        <v>279</v>
      </c>
      <c r="O1641">
        <v>251</v>
      </c>
      <c r="P1641" s="1">
        <v>43709</v>
      </c>
      <c r="Q1641">
        <v>1157</v>
      </c>
    </row>
    <row r="1642" spans="1:17" x14ac:dyDescent="0.25">
      <c r="A1642" s="1">
        <v>44866</v>
      </c>
      <c r="B1642" t="s">
        <v>143</v>
      </c>
      <c r="C1642" t="s">
        <v>53</v>
      </c>
      <c r="D1642" t="s">
        <v>52</v>
      </c>
      <c r="E1642">
        <v>146</v>
      </c>
      <c r="F1642">
        <v>-33</v>
      </c>
      <c r="G1642">
        <v>39</v>
      </c>
      <c r="H1642">
        <v>253</v>
      </c>
      <c r="I1642">
        <v>192</v>
      </c>
      <c r="J1642">
        <v>123</v>
      </c>
      <c r="K1642">
        <v>33</v>
      </c>
      <c r="L1642">
        <v>203</v>
      </c>
      <c r="M1642">
        <v>263</v>
      </c>
      <c r="N1642">
        <v>184</v>
      </c>
      <c r="O1642">
        <v>213</v>
      </c>
      <c r="P1642" s="1">
        <v>43862</v>
      </c>
      <c r="Q1642">
        <v>1004</v>
      </c>
    </row>
    <row r="1643" spans="1:17" x14ac:dyDescent="0.25">
      <c r="A1643" s="1">
        <v>44866</v>
      </c>
      <c r="B1643" t="s">
        <v>144</v>
      </c>
      <c r="C1643" t="s">
        <v>56</v>
      </c>
      <c r="D1643" t="s">
        <v>55</v>
      </c>
      <c r="E1643">
        <v>524</v>
      </c>
      <c r="F1643">
        <v>51</v>
      </c>
      <c r="G1643">
        <v>49</v>
      </c>
      <c r="H1643">
        <v>333</v>
      </c>
      <c r="I1643">
        <v>439</v>
      </c>
      <c r="J1643">
        <v>215</v>
      </c>
      <c r="K1643">
        <v>330</v>
      </c>
      <c r="L1643">
        <v>380</v>
      </c>
      <c r="M1643">
        <v>-3</v>
      </c>
      <c r="N1643">
        <v>417</v>
      </c>
      <c r="O1643">
        <v>449</v>
      </c>
      <c r="P1643" s="1">
        <v>44256</v>
      </c>
      <c r="Q1643">
        <v>610</v>
      </c>
    </row>
    <row r="1644" spans="1:17" x14ac:dyDescent="0.25">
      <c r="A1644" s="1">
        <v>44866</v>
      </c>
      <c r="B1644" t="s">
        <v>145</v>
      </c>
      <c r="C1644" t="s">
        <v>59</v>
      </c>
      <c r="D1644" t="s">
        <v>58</v>
      </c>
      <c r="E1644">
        <v>328</v>
      </c>
      <c r="F1644">
        <v>48</v>
      </c>
      <c r="G1644">
        <v>139</v>
      </c>
      <c r="H1644">
        <v>369</v>
      </c>
      <c r="I1644">
        <v>353</v>
      </c>
      <c r="J1644">
        <v>105</v>
      </c>
      <c r="K1644">
        <v>61</v>
      </c>
      <c r="L1644">
        <v>588</v>
      </c>
      <c r="M1644">
        <v>124</v>
      </c>
      <c r="N1644">
        <v>317</v>
      </c>
      <c r="O1644">
        <v>50</v>
      </c>
      <c r="P1644" s="1">
        <v>44287</v>
      </c>
      <c r="Q1644">
        <v>579</v>
      </c>
    </row>
    <row r="1645" spans="1:17" x14ac:dyDescent="0.25">
      <c r="A1645" s="1">
        <v>44896</v>
      </c>
      <c r="B1645" t="s">
        <v>144</v>
      </c>
      <c r="C1645" t="s">
        <v>56</v>
      </c>
      <c r="D1645" t="s">
        <v>55</v>
      </c>
      <c r="E1645">
        <v>252</v>
      </c>
      <c r="F1645">
        <v>94</v>
      </c>
      <c r="G1645">
        <v>155</v>
      </c>
      <c r="H1645">
        <v>500</v>
      </c>
      <c r="I1645">
        <v>262</v>
      </c>
      <c r="J1645">
        <v>607</v>
      </c>
      <c r="K1645">
        <v>326</v>
      </c>
      <c r="L1645">
        <v>406</v>
      </c>
      <c r="M1645">
        <v>85</v>
      </c>
      <c r="N1645">
        <v>238</v>
      </c>
      <c r="O1645">
        <v>64</v>
      </c>
      <c r="P1645" s="1">
        <v>44256</v>
      </c>
      <c r="Q1645">
        <v>640</v>
      </c>
    </row>
    <row r="1646" spans="1:17" x14ac:dyDescent="0.25">
      <c r="A1646" s="1">
        <v>44896</v>
      </c>
      <c r="B1646" t="s">
        <v>145</v>
      </c>
      <c r="C1646" t="s">
        <v>59</v>
      </c>
      <c r="D1646" t="s">
        <v>58</v>
      </c>
      <c r="E1646">
        <v>322</v>
      </c>
      <c r="F1646">
        <v>63</v>
      </c>
      <c r="G1646">
        <v>108</v>
      </c>
      <c r="H1646">
        <v>380</v>
      </c>
      <c r="I1646">
        <v>589</v>
      </c>
      <c r="J1646">
        <v>209</v>
      </c>
      <c r="K1646">
        <v>41</v>
      </c>
      <c r="L1646">
        <v>414</v>
      </c>
      <c r="M1646">
        <v>141</v>
      </c>
      <c r="N1646">
        <v>446</v>
      </c>
      <c r="O1646">
        <v>102</v>
      </c>
      <c r="P1646" s="1">
        <v>44287</v>
      </c>
      <c r="Q1646">
        <v>609</v>
      </c>
    </row>
    <row r="1647" spans="1:17" x14ac:dyDescent="0.25">
      <c r="A1647" s="1">
        <v>44896</v>
      </c>
      <c r="B1647" t="s">
        <v>146</v>
      </c>
      <c r="C1647" t="s">
        <v>62</v>
      </c>
      <c r="D1647" t="s">
        <v>61</v>
      </c>
      <c r="E1647">
        <v>357</v>
      </c>
      <c r="F1647">
        <v>242</v>
      </c>
      <c r="G1647">
        <v>38</v>
      </c>
      <c r="H1647">
        <v>52</v>
      </c>
      <c r="I1647">
        <v>62</v>
      </c>
      <c r="J1647">
        <v>130</v>
      </c>
      <c r="K1647">
        <v>74</v>
      </c>
      <c r="L1647">
        <v>251</v>
      </c>
      <c r="M1647">
        <v>98</v>
      </c>
      <c r="N1647">
        <v>56</v>
      </c>
      <c r="O1647">
        <v>75</v>
      </c>
      <c r="P1647" s="1">
        <v>44075</v>
      </c>
      <c r="Q1647">
        <v>821</v>
      </c>
    </row>
    <row r="1648" spans="1:17" x14ac:dyDescent="0.25">
      <c r="A1648" s="1">
        <v>44896</v>
      </c>
      <c r="B1648" t="s">
        <v>147</v>
      </c>
      <c r="C1648" t="s">
        <v>64</v>
      </c>
      <c r="D1648" t="s">
        <v>52</v>
      </c>
      <c r="E1648">
        <v>342</v>
      </c>
      <c r="F1648">
        <v>332</v>
      </c>
      <c r="G1648">
        <v>42</v>
      </c>
      <c r="H1648">
        <v>60</v>
      </c>
      <c r="I1648">
        <v>110</v>
      </c>
      <c r="J1648">
        <v>88</v>
      </c>
      <c r="K1648">
        <v>32</v>
      </c>
      <c r="L1648">
        <v>84</v>
      </c>
      <c r="M1648">
        <v>66</v>
      </c>
      <c r="N1648">
        <v>6</v>
      </c>
      <c r="O1648">
        <v>40</v>
      </c>
      <c r="P1648" s="1">
        <v>43862</v>
      </c>
      <c r="Q1648">
        <v>1034</v>
      </c>
    </row>
    <row r="1649" spans="1:17" x14ac:dyDescent="0.25">
      <c r="A1649" s="1">
        <v>44896</v>
      </c>
      <c r="B1649" t="s">
        <v>148</v>
      </c>
      <c r="C1649" t="s">
        <v>66</v>
      </c>
      <c r="D1649" t="s">
        <v>55</v>
      </c>
      <c r="E1649">
        <v>481</v>
      </c>
      <c r="F1649">
        <v>281</v>
      </c>
      <c r="G1649">
        <v>92</v>
      </c>
      <c r="H1649">
        <v>307</v>
      </c>
      <c r="I1649">
        <v>62</v>
      </c>
      <c r="J1649">
        <v>134</v>
      </c>
      <c r="K1649">
        <v>618</v>
      </c>
      <c r="L1649">
        <v>118</v>
      </c>
      <c r="M1649">
        <v>73</v>
      </c>
      <c r="N1649">
        <v>224</v>
      </c>
      <c r="O1649">
        <v>187</v>
      </c>
      <c r="P1649" s="1">
        <v>44256</v>
      </c>
      <c r="Q1649">
        <v>640</v>
      </c>
    </row>
    <row r="1650" spans="1:17" x14ac:dyDescent="0.25">
      <c r="A1650" s="1">
        <v>44896</v>
      </c>
      <c r="B1650" t="s">
        <v>149</v>
      </c>
      <c r="C1650" t="s">
        <v>67</v>
      </c>
      <c r="D1650" t="s">
        <v>55</v>
      </c>
      <c r="E1650">
        <v>368</v>
      </c>
      <c r="F1650">
        <v>549</v>
      </c>
      <c r="G1650">
        <v>139</v>
      </c>
      <c r="H1650">
        <v>263</v>
      </c>
      <c r="I1650">
        <v>139</v>
      </c>
      <c r="J1650">
        <v>849</v>
      </c>
      <c r="K1650">
        <v>174</v>
      </c>
      <c r="L1650">
        <v>592</v>
      </c>
      <c r="M1650">
        <v>519</v>
      </c>
      <c r="N1650">
        <v>438</v>
      </c>
      <c r="O1650">
        <v>647</v>
      </c>
      <c r="P1650" s="1">
        <v>44256</v>
      </c>
      <c r="Q1650">
        <v>640</v>
      </c>
    </row>
    <row r="1651" spans="1:17" x14ac:dyDescent="0.25">
      <c r="A1651" s="1">
        <v>44896</v>
      </c>
      <c r="B1651" t="s">
        <v>150</v>
      </c>
      <c r="C1651" t="s">
        <v>69</v>
      </c>
      <c r="D1651" t="s">
        <v>68</v>
      </c>
      <c r="E1651">
        <v>463</v>
      </c>
      <c r="F1651">
        <v>4</v>
      </c>
      <c r="G1651">
        <v>118</v>
      </c>
      <c r="H1651">
        <v>183</v>
      </c>
      <c r="I1651">
        <v>58</v>
      </c>
      <c r="J1651">
        <v>134</v>
      </c>
      <c r="K1651">
        <v>30</v>
      </c>
      <c r="L1651">
        <v>171</v>
      </c>
      <c r="M1651">
        <v>145</v>
      </c>
      <c r="N1651">
        <v>72</v>
      </c>
      <c r="O1651">
        <v>247</v>
      </c>
      <c r="P1651" s="1">
        <v>44317</v>
      </c>
      <c r="Q1651">
        <v>579</v>
      </c>
    </row>
    <row r="1652" spans="1:17" x14ac:dyDescent="0.25">
      <c r="A1652" s="1">
        <v>44896</v>
      </c>
      <c r="B1652" t="s">
        <v>151</v>
      </c>
      <c r="C1652" t="s">
        <v>71</v>
      </c>
      <c r="D1652" t="s">
        <v>70</v>
      </c>
      <c r="E1652">
        <v>134</v>
      </c>
      <c r="F1652">
        <v>209</v>
      </c>
      <c r="G1652">
        <v>48</v>
      </c>
      <c r="H1652">
        <v>59</v>
      </c>
      <c r="I1652">
        <v>189</v>
      </c>
      <c r="J1652">
        <v>102</v>
      </c>
      <c r="K1652">
        <v>1</v>
      </c>
      <c r="L1652">
        <v>59</v>
      </c>
      <c r="M1652">
        <v>202</v>
      </c>
      <c r="N1652">
        <v>35</v>
      </c>
      <c r="O1652">
        <v>17</v>
      </c>
      <c r="P1652" s="1">
        <v>44136</v>
      </c>
      <c r="Q1652">
        <v>760</v>
      </c>
    </row>
    <row r="1653" spans="1:17" x14ac:dyDescent="0.25">
      <c r="A1653" s="1">
        <v>44896</v>
      </c>
      <c r="B1653" t="s">
        <v>152</v>
      </c>
      <c r="C1653" t="s">
        <v>11</v>
      </c>
      <c r="D1653" t="s">
        <v>52</v>
      </c>
      <c r="E1653">
        <v>111</v>
      </c>
      <c r="F1653">
        <v>20</v>
      </c>
      <c r="G1653">
        <v>74</v>
      </c>
      <c r="H1653">
        <v>216</v>
      </c>
      <c r="I1653">
        <v>90</v>
      </c>
      <c r="J1653">
        <v>16</v>
      </c>
      <c r="K1653">
        <v>58</v>
      </c>
      <c r="L1653">
        <v>64</v>
      </c>
      <c r="M1653">
        <v>47</v>
      </c>
      <c r="N1653">
        <v>65</v>
      </c>
      <c r="O1653">
        <v>116</v>
      </c>
      <c r="P1653" s="1">
        <v>43862</v>
      </c>
      <c r="Q1653">
        <v>1034</v>
      </c>
    </row>
    <row r="1654" spans="1:17" x14ac:dyDescent="0.25">
      <c r="A1654" s="1">
        <v>44896</v>
      </c>
      <c r="B1654" t="s">
        <v>153</v>
      </c>
      <c r="C1654" t="s">
        <v>73</v>
      </c>
      <c r="D1654" t="s">
        <v>72</v>
      </c>
      <c r="E1654">
        <v>147</v>
      </c>
      <c r="F1654">
        <v>148</v>
      </c>
      <c r="G1654">
        <v>85</v>
      </c>
      <c r="H1654">
        <v>413</v>
      </c>
      <c r="I1654">
        <v>167</v>
      </c>
      <c r="J1654">
        <v>479</v>
      </c>
      <c r="K1654">
        <v>147</v>
      </c>
      <c r="L1654">
        <v>207</v>
      </c>
      <c r="M1654">
        <v>771</v>
      </c>
      <c r="N1654">
        <v>66</v>
      </c>
      <c r="O1654">
        <v>516</v>
      </c>
      <c r="P1654" s="1">
        <v>44440</v>
      </c>
      <c r="Q1654">
        <v>456</v>
      </c>
    </row>
    <row r="1655" spans="1:17" x14ac:dyDescent="0.25">
      <c r="A1655" s="1">
        <v>44896</v>
      </c>
      <c r="B1655" t="s">
        <v>154</v>
      </c>
      <c r="C1655" t="s">
        <v>17</v>
      </c>
      <c r="D1655" t="s">
        <v>74</v>
      </c>
      <c r="E1655">
        <v>627</v>
      </c>
      <c r="F1655">
        <v>584</v>
      </c>
      <c r="G1655">
        <v>65</v>
      </c>
      <c r="H1655">
        <v>389</v>
      </c>
      <c r="I1655">
        <v>527</v>
      </c>
      <c r="J1655">
        <v>441</v>
      </c>
      <c r="K1655">
        <v>23</v>
      </c>
      <c r="L1655">
        <v>453</v>
      </c>
      <c r="M1655">
        <v>303</v>
      </c>
      <c r="N1655">
        <v>371</v>
      </c>
      <c r="O1655">
        <v>147</v>
      </c>
      <c r="P1655" s="1">
        <v>44197</v>
      </c>
      <c r="Q1655">
        <v>699</v>
      </c>
    </row>
    <row r="1656" spans="1:17" x14ac:dyDescent="0.25">
      <c r="A1656" s="1">
        <v>44896</v>
      </c>
      <c r="B1656" t="s">
        <v>155</v>
      </c>
      <c r="C1656" t="s">
        <v>76</v>
      </c>
      <c r="D1656" t="s">
        <v>75</v>
      </c>
      <c r="E1656">
        <v>99</v>
      </c>
      <c r="F1656">
        <v>64</v>
      </c>
      <c r="G1656">
        <v>92</v>
      </c>
      <c r="H1656">
        <v>70</v>
      </c>
      <c r="I1656">
        <v>130</v>
      </c>
      <c r="J1656">
        <v>96</v>
      </c>
      <c r="K1656">
        <v>83</v>
      </c>
      <c r="L1656">
        <v>54</v>
      </c>
      <c r="M1656">
        <v>489</v>
      </c>
      <c r="N1656">
        <v>75</v>
      </c>
      <c r="O1656">
        <v>32</v>
      </c>
      <c r="P1656" s="1">
        <v>44470</v>
      </c>
      <c r="Q1656">
        <v>426</v>
      </c>
    </row>
    <row r="1657" spans="1:17" x14ac:dyDescent="0.25">
      <c r="A1657" s="1">
        <v>44896</v>
      </c>
      <c r="B1657" t="s">
        <v>156</v>
      </c>
      <c r="C1657" t="s">
        <v>79</v>
      </c>
      <c r="D1657" t="s">
        <v>78</v>
      </c>
      <c r="E1657">
        <v>108</v>
      </c>
      <c r="F1657">
        <v>63</v>
      </c>
      <c r="G1657">
        <v>53</v>
      </c>
      <c r="H1657">
        <v>86</v>
      </c>
      <c r="I1657">
        <v>65</v>
      </c>
      <c r="J1657">
        <v>42</v>
      </c>
      <c r="K1657">
        <v>90</v>
      </c>
      <c r="L1657">
        <v>48</v>
      </c>
      <c r="M1657">
        <v>45</v>
      </c>
      <c r="N1657">
        <v>295</v>
      </c>
      <c r="O1657">
        <v>55</v>
      </c>
      <c r="P1657" s="1">
        <v>44348</v>
      </c>
      <c r="Q1657">
        <v>548</v>
      </c>
    </row>
    <row r="1658" spans="1:17" x14ac:dyDescent="0.25">
      <c r="A1658" s="1">
        <v>44896</v>
      </c>
      <c r="B1658" t="s">
        <v>157</v>
      </c>
      <c r="C1658" t="s">
        <v>81</v>
      </c>
      <c r="D1658" t="s">
        <v>72</v>
      </c>
      <c r="E1658">
        <v>460</v>
      </c>
      <c r="F1658">
        <v>148</v>
      </c>
      <c r="G1658">
        <v>140</v>
      </c>
      <c r="H1658">
        <v>856</v>
      </c>
      <c r="I1658">
        <v>672</v>
      </c>
      <c r="J1658">
        <v>569</v>
      </c>
      <c r="K1658">
        <v>379</v>
      </c>
      <c r="L1658">
        <v>285</v>
      </c>
      <c r="M1658">
        <v>184</v>
      </c>
      <c r="N1658">
        <v>964</v>
      </c>
      <c r="O1658">
        <v>925</v>
      </c>
      <c r="P1658" s="1">
        <v>44440</v>
      </c>
      <c r="Q1658">
        <v>456</v>
      </c>
    </row>
    <row r="1659" spans="1:17" x14ac:dyDescent="0.25">
      <c r="A1659" s="1">
        <v>44896</v>
      </c>
      <c r="B1659" t="s">
        <v>158</v>
      </c>
      <c r="C1659" t="s">
        <v>83</v>
      </c>
      <c r="D1659" t="s">
        <v>82</v>
      </c>
      <c r="E1659">
        <v>445</v>
      </c>
      <c r="F1659">
        <v>377</v>
      </c>
      <c r="G1659">
        <v>91</v>
      </c>
      <c r="H1659">
        <v>359</v>
      </c>
      <c r="I1659">
        <v>291</v>
      </c>
      <c r="J1659">
        <v>405</v>
      </c>
      <c r="K1659">
        <v>148</v>
      </c>
      <c r="L1659">
        <v>153</v>
      </c>
      <c r="M1659">
        <v>538</v>
      </c>
      <c r="N1659">
        <v>128</v>
      </c>
      <c r="O1659">
        <v>55</v>
      </c>
      <c r="P1659" s="1">
        <v>44228</v>
      </c>
      <c r="Q1659">
        <v>668</v>
      </c>
    </row>
    <row r="1660" spans="1:17" x14ac:dyDescent="0.25">
      <c r="A1660" s="1">
        <v>44896</v>
      </c>
      <c r="B1660" t="s">
        <v>159</v>
      </c>
      <c r="C1660" t="s">
        <v>84</v>
      </c>
      <c r="D1660" t="s">
        <v>55</v>
      </c>
      <c r="E1660">
        <v>116</v>
      </c>
      <c r="F1660">
        <v>563</v>
      </c>
      <c r="G1660">
        <v>216</v>
      </c>
      <c r="H1660">
        <v>405</v>
      </c>
      <c r="I1660">
        <v>293</v>
      </c>
      <c r="J1660">
        <v>77</v>
      </c>
      <c r="K1660">
        <v>162</v>
      </c>
      <c r="L1660">
        <v>131</v>
      </c>
      <c r="M1660">
        <v>131</v>
      </c>
      <c r="N1660">
        <v>334</v>
      </c>
      <c r="O1660">
        <v>84</v>
      </c>
      <c r="P1660" s="1">
        <v>44256</v>
      </c>
      <c r="Q1660">
        <v>640</v>
      </c>
    </row>
    <row r="1661" spans="1:17" x14ac:dyDescent="0.25">
      <c r="A1661" s="1">
        <v>44896</v>
      </c>
      <c r="B1661" t="s">
        <v>160</v>
      </c>
      <c r="C1661" t="s">
        <v>86</v>
      </c>
      <c r="D1661" t="s">
        <v>68</v>
      </c>
      <c r="E1661">
        <v>633</v>
      </c>
      <c r="F1661">
        <v>5</v>
      </c>
      <c r="G1661">
        <v>115</v>
      </c>
      <c r="H1661">
        <v>503</v>
      </c>
      <c r="I1661">
        <v>587</v>
      </c>
      <c r="J1661">
        <v>199</v>
      </c>
      <c r="K1661">
        <v>247</v>
      </c>
      <c r="L1661">
        <v>72</v>
      </c>
      <c r="M1661">
        <v>247</v>
      </c>
      <c r="N1661">
        <v>125</v>
      </c>
      <c r="O1661">
        <v>424</v>
      </c>
      <c r="P1661" s="1">
        <v>44317</v>
      </c>
      <c r="Q1661">
        <v>579</v>
      </c>
    </row>
    <row r="1662" spans="1:17" x14ac:dyDescent="0.25">
      <c r="A1662" s="1">
        <v>44896</v>
      </c>
      <c r="B1662" t="s">
        <v>161</v>
      </c>
      <c r="C1662" t="s">
        <v>87</v>
      </c>
      <c r="D1662" t="s">
        <v>72</v>
      </c>
      <c r="E1662">
        <v>598</v>
      </c>
      <c r="F1662">
        <v>447</v>
      </c>
      <c r="G1662">
        <v>148</v>
      </c>
      <c r="H1662">
        <v>71</v>
      </c>
      <c r="I1662">
        <v>763</v>
      </c>
      <c r="J1662">
        <v>677</v>
      </c>
      <c r="K1662">
        <v>125</v>
      </c>
      <c r="L1662">
        <v>188</v>
      </c>
      <c r="M1662">
        <v>-48</v>
      </c>
      <c r="N1662">
        <v>326</v>
      </c>
      <c r="O1662">
        <v>759</v>
      </c>
      <c r="P1662" s="1">
        <v>44440</v>
      </c>
      <c r="Q1662">
        <v>456</v>
      </c>
    </row>
    <row r="1663" spans="1:17" x14ac:dyDescent="0.25">
      <c r="A1663" s="1">
        <v>44896</v>
      </c>
      <c r="B1663" t="s">
        <v>162</v>
      </c>
      <c r="C1663" t="s">
        <v>89</v>
      </c>
      <c r="D1663" t="s">
        <v>88</v>
      </c>
      <c r="E1663">
        <v>34</v>
      </c>
      <c r="F1663">
        <v>115</v>
      </c>
      <c r="G1663">
        <v>18</v>
      </c>
      <c r="H1663">
        <v>155</v>
      </c>
      <c r="I1663">
        <v>85</v>
      </c>
      <c r="J1663">
        <v>31</v>
      </c>
      <c r="K1663">
        <v>271</v>
      </c>
      <c r="L1663">
        <v>68</v>
      </c>
      <c r="M1663">
        <v>191</v>
      </c>
      <c r="N1663">
        <v>53</v>
      </c>
      <c r="O1663">
        <v>269</v>
      </c>
      <c r="P1663" s="1">
        <v>44044</v>
      </c>
      <c r="Q1663">
        <v>852</v>
      </c>
    </row>
    <row r="1664" spans="1:17" x14ac:dyDescent="0.25">
      <c r="A1664" s="1">
        <v>44896</v>
      </c>
      <c r="B1664" t="s">
        <v>163</v>
      </c>
      <c r="C1664" t="s">
        <v>90</v>
      </c>
      <c r="D1664" t="s">
        <v>82</v>
      </c>
      <c r="E1664">
        <v>383</v>
      </c>
      <c r="F1664">
        <v>48</v>
      </c>
      <c r="G1664">
        <v>102</v>
      </c>
      <c r="H1664">
        <v>291</v>
      </c>
      <c r="I1664">
        <v>492</v>
      </c>
      <c r="J1664">
        <v>118</v>
      </c>
      <c r="K1664">
        <v>74</v>
      </c>
      <c r="L1664">
        <v>157</v>
      </c>
      <c r="M1664">
        <v>400</v>
      </c>
      <c r="N1664">
        <v>472</v>
      </c>
      <c r="O1664">
        <v>86</v>
      </c>
      <c r="P1664" s="1">
        <v>44228</v>
      </c>
      <c r="Q1664">
        <v>668</v>
      </c>
    </row>
    <row r="1665" spans="1:17" x14ac:dyDescent="0.25">
      <c r="A1665" s="1">
        <v>44896</v>
      </c>
      <c r="B1665" t="s">
        <v>164</v>
      </c>
      <c r="C1665" t="s">
        <v>92</v>
      </c>
      <c r="D1665" t="s">
        <v>91</v>
      </c>
      <c r="E1665">
        <v>201</v>
      </c>
      <c r="F1665">
        <v>88</v>
      </c>
      <c r="G1665">
        <v>53</v>
      </c>
      <c r="H1665">
        <v>87</v>
      </c>
      <c r="I1665">
        <v>37</v>
      </c>
      <c r="J1665">
        <v>94</v>
      </c>
      <c r="K1665">
        <v>90</v>
      </c>
      <c r="L1665">
        <v>76</v>
      </c>
      <c r="M1665">
        <v>101</v>
      </c>
      <c r="N1665">
        <v>60</v>
      </c>
      <c r="O1665">
        <v>132</v>
      </c>
      <c r="P1665" s="1">
        <v>44105</v>
      </c>
      <c r="Q1665">
        <v>791</v>
      </c>
    </row>
    <row r="1666" spans="1:17" x14ac:dyDescent="0.25">
      <c r="A1666" s="1">
        <v>44896</v>
      </c>
      <c r="B1666" t="s">
        <v>165</v>
      </c>
      <c r="C1666" t="s">
        <v>94</v>
      </c>
      <c r="D1666" t="s">
        <v>93</v>
      </c>
      <c r="E1666">
        <v>250</v>
      </c>
      <c r="F1666">
        <v>67</v>
      </c>
      <c r="G1666">
        <v>69</v>
      </c>
      <c r="H1666">
        <v>189</v>
      </c>
      <c r="I1666">
        <v>73</v>
      </c>
      <c r="J1666">
        <v>41</v>
      </c>
      <c r="K1666">
        <v>99</v>
      </c>
      <c r="L1666">
        <v>241</v>
      </c>
      <c r="M1666">
        <v>83</v>
      </c>
      <c r="N1666">
        <v>218</v>
      </c>
      <c r="O1666">
        <v>-61</v>
      </c>
      <c r="P1666" s="1">
        <v>43586</v>
      </c>
      <c r="Q1666">
        <v>1310</v>
      </c>
    </row>
    <row r="1667" spans="1:17" x14ac:dyDescent="0.25">
      <c r="A1667" s="1">
        <v>44896</v>
      </c>
      <c r="B1667" t="s">
        <v>166</v>
      </c>
      <c r="C1667" t="s">
        <v>96</v>
      </c>
      <c r="D1667" t="s">
        <v>95</v>
      </c>
      <c r="E1667">
        <v>70</v>
      </c>
      <c r="F1667">
        <v>23</v>
      </c>
      <c r="G1667">
        <v>15</v>
      </c>
      <c r="H1667">
        <v>205</v>
      </c>
      <c r="I1667">
        <v>75</v>
      </c>
      <c r="J1667">
        <v>76</v>
      </c>
      <c r="K1667">
        <v>122</v>
      </c>
      <c r="L1667">
        <v>79</v>
      </c>
      <c r="M1667">
        <v>81</v>
      </c>
      <c r="N1667">
        <v>115</v>
      </c>
      <c r="O1667">
        <v>268</v>
      </c>
      <c r="P1667" s="1">
        <v>43678</v>
      </c>
      <c r="Q1667">
        <v>1218</v>
      </c>
    </row>
    <row r="1668" spans="1:17" x14ac:dyDescent="0.25">
      <c r="A1668" s="1">
        <v>44896</v>
      </c>
      <c r="B1668" t="s">
        <v>167</v>
      </c>
      <c r="C1668" t="s">
        <v>97</v>
      </c>
      <c r="D1668" t="s">
        <v>58</v>
      </c>
      <c r="E1668">
        <v>177</v>
      </c>
      <c r="F1668">
        <v>98</v>
      </c>
      <c r="G1668">
        <v>25</v>
      </c>
      <c r="H1668">
        <v>214</v>
      </c>
      <c r="I1668">
        <v>4</v>
      </c>
      <c r="J1668">
        <v>95</v>
      </c>
      <c r="K1668">
        <v>53</v>
      </c>
      <c r="L1668">
        <v>319</v>
      </c>
      <c r="M1668">
        <v>257</v>
      </c>
      <c r="N1668">
        <v>298</v>
      </c>
      <c r="O1668">
        <v>10</v>
      </c>
      <c r="P1668" s="1">
        <v>44287</v>
      </c>
      <c r="Q1668">
        <v>609</v>
      </c>
    </row>
    <row r="1669" spans="1:17" x14ac:dyDescent="0.25">
      <c r="A1669" s="1">
        <v>44896</v>
      </c>
      <c r="B1669" t="s">
        <v>168</v>
      </c>
      <c r="C1669" t="s">
        <v>98</v>
      </c>
      <c r="D1669" t="s">
        <v>49</v>
      </c>
      <c r="E1669">
        <v>334</v>
      </c>
      <c r="F1669">
        <v>29</v>
      </c>
      <c r="G1669">
        <v>82</v>
      </c>
      <c r="H1669">
        <v>51</v>
      </c>
      <c r="I1669">
        <v>29</v>
      </c>
      <c r="J1669">
        <v>28</v>
      </c>
      <c r="K1669">
        <v>29</v>
      </c>
      <c r="L1669">
        <v>338</v>
      </c>
      <c r="M1669">
        <v>51</v>
      </c>
      <c r="N1669">
        <v>174</v>
      </c>
      <c r="O1669">
        <v>31</v>
      </c>
      <c r="P1669" s="1">
        <v>43709</v>
      </c>
      <c r="Q1669">
        <v>1187</v>
      </c>
    </row>
    <row r="1670" spans="1:17" x14ac:dyDescent="0.25">
      <c r="A1670" s="1">
        <v>44896</v>
      </c>
      <c r="B1670" t="s">
        <v>169</v>
      </c>
      <c r="C1670" t="s">
        <v>99</v>
      </c>
      <c r="D1670" t="s">
        <v>95</v>
      </c>
      <c r="E1670">
        <v>44</v>
      </c>
      <c r="F1670">
        <v>93</v>
      </c>
      <c r="G1670">
        <v>67</v>
      </c>
      <c r="H1670">
        <v>266</v>
      </c>
      <c r="I1670">
        <v>223</v>
      </c>
      <c r="J1670">
        <v>122</v>
      </c>
      <c r="K1670">
        <v>117</v>
      </c>
      <c r="L1670">
        <v>28</v>
      </c>
      <c r="M1670">
        <v>148</v>
      </c>
      <c r="N1670">
        <v>93</v>
      </c>
      <c r="O1670">
        <v>89</v>
      </c>
      <c r="P1670" s="1">
        <v>43678</v>
      </c>
      <c r="Q1670">
        <v>1218</v>
      </c>
    </row>
    <row r="1671" spans="1:17" x14ac:dyDescent="0.25">
      <c r="A1671" s="1">
        <v>44896</v>
      </c>
      <c r="B1671" t="s">
        <v>170</v>
      </c>
      <c r="C1671" t="s">
        <v>100</v>
      </c>
      <c r="D1671" t="s">
        <v>82</v>
      </c>
      <c r="E1671">
        <v>129</v>
      </c>
      <c r="F1671">
        <v>90</v>
      </c>
      <c r="G1671">
        <v>97</v>
      </c>
      <c r="H1671">
        <v>558</v>
      </c>
      <c r="I1671">
        <v>199</v>
      </c>
      <c r="J1671">
        <v>106</v>
      </c>
      <c r="K1671">
        <v>287</v>
      </c>
      <c r="L1671">
        <v>282</v>
      </c>
      <c r="M1671">
        <v>151</v>
      </c>
      <c r="N1671">
        <v>188</v>
      </c>
      <c r="O1671">
        <v>68</v>
      </c>
      <c r="P1671" s="1">
        <v>44228</v>
      </c>
      <c r="Q1671">
        <v>668</v>
      </c>
    </row>
    <row r="1672" spans="1:17" x14ac:dyDescent="0.25">
      <c r="A1672" s="1">
        <v>44896</v>
      </c>
      <c r="B1672" t="s">
        <v>171</v>
      </c>
      <c r="C1672" t="s">
        <v>101</v>
      </c>
      <c r="D1672" t="s">
        <v>68</v>
      </c>
      <c r="E1672">
        <v>529</v>
      </c>
      <c r="F1672">
        <v>472</v>
      </c>
      <c r="G1672">
        <v>113</v>
      </c>
      <c r="H1672">
        <v>599</v>
      </c>
      <c r="I1672">
        <v>387</v>
      </c>
      <c r="J1672">
        <v>112</v>
      </c>
      <c r="K1672">
        <v>207</v>
      </c>
      <c r="L1672">
        <v>28</v>
      </c>
      <c r="M1672">
        <v>467</v>
      </c>
      <c r="N1672">
        <v>243</v>
      </c>
      <c r="O1672">
        <v>255</v>
      </c>
      <c r="P1672" s="1">
        <v>44317</v>
      </c>
      <c r="Q1672">
        <v>579</v>
      </c>
    </row>
    <row r="1673" spans="1:17" x14ac:dyDescent="0.25">
      <c r="A1673" s="1">
        <v>44896</v>
      </c>
      <c r="B1673" t="s">
        <v>172</v>
      </c>
      <c r="C1673" t="s">
        <v>102</v>
      </c>
      <c r="D1673" t="s">
        <v>88</v>
      </c>
      <c r="E1673">
        <v>70</v>
      </c>
      <c r="F1673">
        <v>16</v>
      </c>
      <c r="G1673">
        <v>18</v>
      </c>
      <c r="H1673">
        <v>250</v>
      </c>
      <c r="I1673">
        <v>10</v>
      </c>
      <c r="J1673">
        <v>82</v>
      </c>
      <c r="K1673">
        <v>135</v>
      </c>
      <c r="L1673">
        <v>56</v>
      </c>
      <c r="M1673">
        <v>283</v>
      </c>
      <c r="N1673">
        <v>17</v>
      </c>
      <c r="O1673">
        <v>380</v>
      </c>
      <c r="P1673" s="1">
        <v>44044</v>
      </c>
      <c r="Q1673">
        <v>852</v>
      </c>
    </row>
    <row r="1674" spans="1:17" x14ac:dyDescent="0.25">
      <c r="A1674" s="1">
        <v>44896</v>
      </c>
      <c r="B1674" t="s">
        <v>173</v>
      </c>
      <c r="C1674" t="s">
        <v>103</v>
      </c>
      <c r="D1674" t="s">
        <v>52</v>
      </c>
      <c r="E1674">
        <v>85</v>
      </c>
      <c r="F1674">
        <v>48</v>
      </c>
      <c r="G1674">
        <v>41</v>
      </c>
      <c r="H1674">
        <v>306</v>
      </c>
      <c r="I1674">
        <v>223</v>
      </c>
      <c r="J1674">
        <v>59</v>
      </c>
      <c r="K1674">
        <v>264</v>
      </c>
      <c r="L1674">
        <v>110</v>
      </c>
      <c r="M1674">
        <v>83</v>
      </c>
      <c r="N1674">
        <v>80</v>
      </c>
      <c r="O1674">
        <v>62</v>
      </c>
      <c r="P1674" s="1">
        <v>43862</v>
      </c>
      <c r="Q1674">
        <v>1034</v>
      </c>
    </row>
    <row r="1675" spans="1:17" x14ac:dyDescent="0.25">
      <c r="A1675" s="1">
        <v>44896</v>
      </c>
      <c r="B1675" t="s">
        <v>174</v>
      </c>
      <c r="C1675" t="s">
        <v>105</v>
      </c>
      <c r="D1675" t="s">
        <v>104</v>
      </c>
      <c r="E1675">
        <v>-25</v>
      </c>
      <c r="F1675">
        <v>47</v>
      </c>
      <c r="G1675">
        <v>42</v>
      </c>
      <c r="H1675">
        <v>239</v>
      </c>
      <c r="I1675">
        <v>59</v>
      </c>
      <c r="J1675">
        <v>44</v>
      </c>
      <c r="K1675">
        <v>15</v>
      </c>
      <c r="L1675">
        <v>53</v>
      </c>
      <c r="M1675">
        <v>86</v>
      </c>
      <c r="N1675">
        <v>66</v>
      </c>
      <c r="O1675">
        <v>83</v>
      </c>
      <c r="P1675" s="1">
        <v>43374</v>
      </c>
      <c r="Q1675">
        <v>1522</v>
      </c>
    </row>
    <row r="1676" spans="1:17" x14ac:dyDescent="0.25">
      <c r="A1676" s="1">
        <v>44896</v>
      </c>
      <c r="B1676" t="s">
        <v>142</v>
      </c>
      <c r="C1676" t="s">
        <v>50</v>
      </c>
      <c r="D1676" t="s">
        <v>49</v>
      </c>
      <c r="E1676">
        <v>197</v>
      </c>
      <c r="F1676">
        <v>163</v>
      </c>
      <c r="G1676">
        <v>62</v>
      </c>
      <c r="H1676">
        <v>118</v>
      </c>
      <c r="I1676">
        <v>231</v>
      </c>
      <c r="J1676">
        <v>129</v>
      </c>
      <c r="K1676">
        <v>32</v>
      </c>
      <c r="L1676">
        <v>55</v>
      </c>
      <c r="M1676">
        <v>383</v>
      </c>
      <c r="N1676">
        <v>164</v>
      </c>
      <c r="O1676">
        <v>156</v>
      </c>
      <c r="P1676" s="1">
        <v>43709</v>
      </c>
      <c r="Q1676">
        <v>1187</v>
      </c>
    </row>
    <row r="1677" spans="1:17" x14ac:dyDescent="0.25">
      <c r="A1677" s="1">
        <v>44896</v>
      </c>
      <c r="B1677" t="s">
        <v>143</v>
      </c>
      <c r="C1677" t="s">
        <v>53</v>
      </c>
      <c r="D1677" t="s">
        <v>52</v>
      </c>
      <c r="E1677">
        <v>27</v>
      </c>
      <c r="F1677">
        <v>224</v>
      </c>
      <c r="G1677">
        <v>58</v>
      </c>
      <c r="H1677">
        <v>109</v>
      </c>
      <c r="I1677">
        <v>166</v>
      </c>
      <c r="J1677">
        <v>276</v>
      </c>
      <c r="K1677">
        <v>97</v>
      </c>
      <c r="L1677">
        <v>448</v>
      </c>
      <c r="M1677">
        <v>114</v>
      </c>
      <c r="N1677">
        <v>173</v>
      </c>
      <c r="O1677">
        <v>242</v>
      </c>
      <c r="P1677" s="1">
        <v>43862</v>
      </c>
      <c r="Q1677">
        <v>1034</v>
      </c>
    </row>
    <row r="1678" spans="1:17" x14ac:dyDescent="0.25">
      <c r="A1678" s="1">
        <v>44896</v>
      </c>
      <c r="B1678" t="s">
        <v>144</v>
      </c>
      <c r="C1678" t="s">
        <v>56</v>
      </c>
      <c r="D1678" t="s">
        <v>55</v>
      </c>
      <c r="E1678">
        <v>190</v>
      </c>
      <c r="F1678">
        <v>29</v>
      </c>
      <c r="G1678">
        <v>128</v>
      </c>
      <c r="H1678">
        <v>419</v>
      </c>
      <c r="I1678">
        <v>446</v>
      </c>
      <c r="J1678">
        <v>412</v>
      </c>
      <c r="K1678">
        <v>180</v>
      </c>
      <c r="L1678">
        <v>75</v>
      </c>
      <c r="M1678">
        <v>72</v>
      </c>
      <c r="N1678">
        <v>262</v>
      </c>
      <c r="O1678">
        <v>276</v>
      </c>
      <c r="P1678" s="1">
        <v>44256</v>
      </c>
      <c r="Q1678">
        <v>640</v>
      </c>
    </row>
    <row r="1679" spans="1:17" x14ac:dyDescent="0.25">
      <c r="A1679" s="1">
        <v>44896</v>
      </c>
      <c r="B1679" t="s">
        <v>145</v>
      </c>
      <c r="C1679" t="s">
        <v>59</v>
      </c>
      <c r="D1679" t="s">
        <v>58</v>
      </c>
      <c r="E1679">
        <v>130</v>
      </c>
      <c r="F1679">
        <v>42</v>
      </c>
      <c r="G1679">
        <v>116</v>
      </c>
      <c r="H1679">
        <v>365</v>
      </c>
      <c r="I1679">
        <v>612</v>
      </c>
      <c r="J1679">
        <v>112</v>
      </c>
      <c r="K1679">
        <v>137</v>
      </c>
      <c r="L1679">
        <v>129</v>
      </c>
      <c r="M1679">
        <v>58</v>
      </c>
      <c r="N1679">
        <v>379</v>
      </c>
      <c r="O1679">
        <v>6</v>
      </c>
      <c r="P1679" s="1">
        <v>44287</v>
      </c>
      <c r="Q1679">
        <v>609</v>
      </c>
    </row>
    <row r="1680" spans="1:17" x14ac:dyDescent="0.25">
      <c r="A1680" s="1"/>
    </row>
    <row r="1681" spans="1:1" x14ac:dyDescent="0.25">
      <c r="A168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Phone_by_Sales (2)</vt:lpstr>
      <vt:lpstr>Sheet1</vt:lpstr>
      <vt:lpstr>Sheet2</vt:lpstr>
      <vt:lpstr>Sheet4</vt:lpstr>
      <vt:lpstr>Phone_by_Sentiment</vt:lpstr>
      <vt:lpstr>Phone_by_Price</vt:lpstr>
      <vt:lpstr>Phone_by_Sales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Asraf JS</dc:creator>
  <cp:lastModifiedBy>Asraf JS</cp:lastModifiedBy>
  <dcterms:created xsi:type="dcterms:W3CDTF">2023-02-17T13:19:13Z</dcterms:created>
  <dcterms:modified xsi:type="dcterms:W3CDTF">2023-02-17T16:05:15Z</dcterms:modified>
</cp:coreProperties>
</file>